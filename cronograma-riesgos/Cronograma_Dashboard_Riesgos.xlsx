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Historial mensual" sheetId="2" state="visible" r:id="rId2"/>
    <sheet xmlns:r="http://schemas.openxmlformats.org/officeDocument/2006/relationships" name="Cronograma R. Operacional" sheetId="3" state="visible" r:id="rId3"/>
    <sheet xmlns:r="http://schemas.openxmlformats.org/officeDocument/2006/relationships" name="Actividades R. Operacional" sheetId="4" state="visible" r:id="rId4"/>
    <sheet xmlns:r="http://schemas.openxmlformats.org/officeDocument/2006/relationships" name="Cronograma R. Normativo" sheetId="5" state="visible" r:id="rId5"/>
    <sheet xmlns:r="http://schemas.openxmlformats.org/officeDocument/2006/relationships" name="Actividades R. Normativo" sheetId="6" state="visible" r:id="rId6"/>
    <sheet xmlns:r="http://schemas.openxmlformats.org/officeDocument/2006/relationships" name="Cronograma R. Financiero" sheetId="7" state="visible" r:id="rId7"/>
    <sheet xmlns:r="http://schemas.openxmlformats.org/officeDocument/2006/relationships" name="Actividades R. Financiero" sheetId="8" state="visible" r:id="rId8"/>
    <sheet xmlns:r="http://schemas.openxmlformats.org/officeDocument/2006/relationships" name="Cronograma Asistente Técnico" sheetId="9" state="visible" r:id="rId9"/>
    <sheet xmlns:r="http://schemas.openxmlformats.org/officeDocument/2006/relationships" name="Actividades Asistente Técnico" sheetId="10" state="visible" r:id="rId10"/>
    <sheet xmlns:r="http://schemas.openxmlformats.org/officeDocument/2006/relationships" name="Instrucciones" sheetId="11" state="visible" r:id="rId11"/>
    <sheet xmlns:r="http://schemas.openxmlformats.org/officeDocument/2006/relationships" name="Configuración" sheetId="12" state="visible" r:id="rId12"/>
    <sheet xmlns:r="http://schemas.openxmlformats.org/officeDocument/2006/relationships" name="Calculos" sheetId="13" state="hidden" r:id="rId13"/>
  </sheets>
  <definedNames>
    <definedName name="MesEntrada">'Configuración'!$C$4</definedName>
    <definedName name="InicioCiclo">'Configuración'!$C$5</definedName>
    <definedName name="FechaRef">'Configuración'!$C$6</definedName>
    <definedName name="SemanaActual">'Configuración'!$C$7</definedName>
    <definedName name="SemanaManual">'Configuración'!$C$8</definedName>
    <definedName name="DiasAlerta">'Configuración'!$C$9</definedName>
    <definedName name="ObsObligatoria">'Configuración'!$C$10</definedName>
    <definedName name="MetaFinal">'Configuración'!$C$11</definedName>
    <definedName name="HistInicio">'Configuración'!$C$12</definedName>
    <definedName name="PlanRef">'Configuración'!$C$15:$C$18</definedName>
    <definedName name="ListaPuestos">'Configuración'!$B$22:$B$25</definedName>
    <definedName name="ListaEstados">'Configuración'!$B$28:$B$30</definedName>
    <definedName name="ListaSemanas">'Configuración'!$B$33:$B$36</definedName>
    <definedName name="ListaSiNo">'Configuración'!$B$39:$B$40</definedName>
    <definedName name="rFLim_RO">'Cronograma R. Operacional'!$F$5:$F$1000</definedName>
    <definedName name="rPeso_RO">'Cronograma R. Operacional'!$G$5:$G$1000</definedName>
    <definedName name="rS1_RO">'Cronograma R. Operacional'!$H$5:$H$1000</definedName>
    <definedName name="rS2_RO">'Cronograma R. Operacional'!$I$5:$I$1000</definedName>
    <definedName name="rS3_RO">'Cronograma R. Operacional'!$J$5:$J$1000</definedName>
    <definedName name="rS4_RO">'Cronograma R. Operacional'!$K$5:$K$1000</definedName>
    <definedName name="rAvance_RO">'Cronograma R. Operacional'!$L$5:$L$1000</definedName>
    <definedName name="rEstado_RO">'Cronograma R. Operacional'!$M$5:$M$1000</definedName>
    <definedName name="rValid_RO">'Cronograma R. Operacional'!$O$5:$O$1000</definedName>
    <definedName name="rMes_RO">'Cronograma R. Operacional'!$P$5:$P$1000</definedName>
    <definedName name="rOrden_RO">'Cronograma R. Operacional'!$Q$5:$Q$1000</definedName>
    <definedName name="rTipo_RO">'Cronograma R. Operacional'!$S$5:$S$1000</definedName>
    <definedName name="rEf1_RO">'Cronograma R. Operacional'!$Y$5:$Y$1000</definedName>
    <definedName name="rEf2_RO">'Cronograma R. Operacional'!$Z$5:$Z$1000</definedName>
    <definedName name="rEf3_RO">'Cronograma R. Operacional'!$AA$5:$AA$1000</definedName>
    <definedName name="rEf4_RO">'Cronograma R. Operacional'!$AB$5:$AB$1000</definedName>
    <definedName name="rFLim_RN">'Cronograma R. Normativo'!$F$5:$F$1000</definedName>
    <definedName name="rPeso_RN">'Cronograma R. Normativo'!$G$5:$G$1000</definedName>
    <definedName name="rS1_RN">'Cronograma R. Normativo'!$H$5:$H$1000</definedName>
    <definedName name="rS2_RN">'Cronograma R. Normativo'!$I$5:$I$1000</definedName>
    <definedName name="rS3_RN">'Cronograma R. Normativo'!$J$5:$J$1000</definedName>
    <definedName name="rS4_RN">'Cronograma R. Normativo'!$K$5:$K$1000</definedName>
    <definedName name="rAvance_RN">'Cronograma R. Normativo'!$L$5:$L$1000</definedName>
    <definedName name="rEstado_RN">'Cronograma R. Normativo'!$M$5:$M$1000</definedName>
    <definedName name="rValid_RN">'Cronograma R. Normativo'!$O$5:$O$1000</definedName>
    <definedName name="rMes_RN">'Cronograma R. Normativo'!$P$5:$P$1000</definedName>
    <definedName name="rOrden_RN">'Cronograma R. Normativo'!$Q$5:$Q$1000</definedName>
    <definedName name="rTipo_RN">'Cronograma R. Normativo'!$S$5:$S$1000</definedName>
    <definedName name="rEf1_RN">'Cronograma R. Normativo'!$Y$5:$Y$1000</definedName>
    <definedName name="rEf2_RN">'Cronograma R. Normativo'!$Z$5:$Z$1000</definedName>
    <definedName name="rEf3_RN">'Cronograma R. Normativo'!$AA$5:$AA$1000</definedName>
    <definedName name="rEf4_RN">'Cronograma R. Normativo'!$AB$5:$AB$1000</definedName>
    <definedName name="rFLim_RF">'Cronograma R. Financiero'!$F$5:$F$1000</definedName>
    <definedName name="rPeso_RF">'Cronograma R. Financiero'!$G$5:$G$1000</definedName>
    <definedName name="rS1_RF">'Cronograma R. Financiero'!$H$5:$H$1000</definedName>
    <definedName name="rS2_RF">'Cronograma R. Financiero'!$I$5:$I$1000</definedName>
    <definedName name="rS3_RF">'Cronograma R. Financiero'!$J$5:$J$1000</definedName>
    <definedName name="rS4_RF">'Cronograma R. Financiero'!$K$5:$K$1000</definedName>
    <definedName name="rAvance_RF">'Cronograma R. Financiero'!$L$5:$L$1000</definedName>
    <definedName name="rEstado_RF">'Cronograma R. Financiero'!$M$5:$M$1000</definedName>
    <definedName name="rValid_RF">'Cronograma R. Financiero'!$O$5:$O$1000</definedName>
    <definedName name="rMes_RF">'Cronograma R. Financiero'!$P$5:$P$1000</definedName>
    <definedName name="rOrden_RF">'Cronograma R. Financiero'!$Q$5:$Q$1000</definedName>
    <definedName name="rTipo_RF">'Cronograma R. Financiero'!$S$5:$S$1000</definedName>
    <definedName name="rEf1_RF">'Cronograma R. Financiero'!$Y$5:$Y$1000</definedName>
    <definedName name="rEf2_RF">'Cronograma R. Financiero'!$Z$5:$Z$1000</definedName>
    <definedName name="rEf3_RF">'Cronograma R. Financiero'!$AA$5:$AA$1000</definedName>
    <definedName name="rEf4_RF">'Cronograma R. Financiero'!$AB$5:$AB$1000</definedName>
    <definedName name="rFLim_ATR">'Cronograma Asistente Técnico'!$F$5:$F$1000</definedName>
    <definedName name="rPeso_ATR">'Cronograma Asistente Técnico'!$G$5:$G$1000</definedName>
    <definedName name="rS1_ATR">'Cronograma Asistente Técnico'!$H$5:$H$1000</definedName>
    <definedName name="rS2_ATR">'Cronograma Asistente Técnico'!$I$5:$I$1000</definedName>
    <definedName name="rS3_ATR">'Cronograma Asistente Técnico'!$J$5:$J$1000</definedName>
    <definedName name="rS4_ATR">'Cronograma Asistente Técnico'!$K$5:$K$1000</definedName>
    <definedName name="rAvance_ATR">'Cronograma Asistente Técnico'!$L$5:$L$1000</definedName>
    <definedName name="rEstado_ATR">'Cronograma Asistente Técnico'!$M$5:$M$1000</definedName>
    <definedName name="rValid_ATR">'Cronograma Asistente Técnico'!$O$5:$O$1000</definedName>
    <definedName name="rMes_ATR">'Cronograma Asistente Técnico'!$P$5:$P$1000</definedName>
    <definedName name="rOrden_ATR">'Cronograma Asistente Técnico'!$Q$5:$Q$1000</definedName>
    <definedName name="rTipo_ATR">'Cronograma Asistente Técnico'!$S$5:$S$1000</definedName>
    <definedName name="rEf1_ATR">'Cronograma Asistente Técnico'!$Y$5:$Y$1000</definedName>
    <definedName name="rEf2_ATR">'Cronograma Asistente Técnico'!$Z$5:$Z$1000</definedName>
    <definedName name="rEf3_ATR">'Cronograma Asistente Técnico'!$AA$5:$AA$1000</definedName>
    <definedName name="rEf4_ATR">'Cronograma Asistente Técnico'!$AB$5:$AB$1000</definedName>
    <definedName name="hSemana_RO">'Actividades R. Operacional'!$F$5:$F$104</definedName>
    <definedName name="hEstado_RO">'Actividades R. Operacional'!$L$5:$L$104</definedName>
    <definedName name="hTipo_RO">'Actividades R. Operacional'!$O$5:$O$104</definedName>
    <definedName name="hSemana_RN">'Actividades R. Normativo'!$F$5:$F$104</definedName>
    <definedName name="hEstado_RN">'Actividades R. Normativo'!$L$5:$L$104</definedName>
    <definedName name="hTipo_RN">'Actividades R. Normativo'!$O$5:$O$104</definedName>
    <definedName name="hSemana_RF">'Actividades R. Financiero'!$F$5:$F$104</definedName>
    <definedName name="hEstado_RF">'Actividades R. Financiero'!$L$5:$L$104</definedName>
    <definedName name="hTipo_RF">'Actividades R. Financiero'!$O$5:$O$104</definedName>
    <definedName name="hSemana_ATR">'Actividades Asistente Técnico'!$F$5:$F$104</definedName>
    <definedName name="hEstado_ATR">'Actividades Asistente Técnico'!$L$5:$L$104</definedName>
    <definedName name="hTipo_ATR">'Actividades Asistente Técnico'!$O$5:$O$104</definedName>
    <definedName name="MesCiclo">'Calculos'!$B$15</definedName>
    <definedName name="_xlnm.Print_Titles" localSheetId="0">'Dashboard - Consolidado'!$1:$2</definedName>
    <definedName name="_xlnm.Print_Area" localSheetId="0">'Dashboard - Consolidado'!$A$1:$N$74</definedName>
    <definedName name="_xlnm.Print_Titles" localSheetId="2">'Cronograma R. Operacional'!$4:$4</definedName>
    <definedName name="_xlnm.Print_Area" localSheetId="2">'Cronograma R. Operacional'!$A$1:$P$304</definedName>
    <definedName name="_xlnm.Print_Titles" localSheetId="3">'Actividades R. Operacional'!$4:$4</definedName>
    <definedName name="_xlnm.Print_Area" localSheetId="3">'Actividades R. Operacional'!$A$1:$M$104</definedName>
    <definedName name="_xlnm.Print_Titles" localSheetId="4">'Cronograma R. Normativo'!$4:$4</definedName>
    <definedName name="_xlnm.Print_Area" localSheetId="4">'Cronograma R. Normativo'!$A$1:$P$304</definedName>
    <definedName name="_xlnm.Print_Titles" localSheetId="5">'Actividades R. Normativo'!$4:$4</definedName>
    <definedName name="_xlnm.Print_Area" localSheetId="5">'Actividades R. Normativo'!$A$1:$M$104</definedName>
    <definedName name="_xlnm.Print_Titles" localSheetId="6">'Cronograma R. Financiero'!$4:$4</definedName>
    <definedName name="_xlnm.Print_Area" localSheetId="6">'Cronograma R. Financiero'!$A$1:$P$304</definedName>
    <definedName name="_xlnm.Print_Titles" localSheetId="7">'Actividades R. Financiero'!$4:$4</definedName>
    <definedName name="_xlnm.Print_Area" localSheetId="7">'Actividades R. Financiero'!$A$1:$M$104</definedName>
    <definedName name="_xlnm.Print_Titles" localSheetId="8">'Cronograma Asistente Técnico'!$4:$4</definedName>
    <definedName name="_xlnm.Print_Area" localSheetId="8">'Cronograma Asistente Técnico'!$A$1:$P$304</definedName>
    <definedName name="_xlnm.Print_Titles" localSheetId="9">'Actividades Asistente Técnico'!$4:$4</definedName>
    <definedName name="_xlnm.Print_Area" localSheetId="9">'Actividades Asistente Técnico'!$A$1:$M$104</definedName>
  </definedNames>
  <calcPr calcId="124519" fullCalcOnLoad="1"/>
</workbook>
</file>

<file path=xl/styles.xml><?xml version="1.0" encoding="utf-8"?>
<styleSheet xmlns="http://schemas.openxmlformats.org/spreadsheetml/2006/main">
  <numFmts count="9">
    <numFmt numFmtId="164" formatCode="[$-440A]mmmm yyyy"/>
    <numFmt numFmtId="165" formatCode="dd/mm/yyyy"/>
    <numFmt numFmtId="166" formatCode="&quot;Semana &quot;0"/>
    <numFmt numFmtId="167" formatCode="yyyy-mm-dd"/>
    <numFmt numFmtId="168" formatCode="0.0%"/>
    <numFmt numFmtId="169" formatCode="dd/mm"/>
    <numFmt numFmtId="170" formatCode="0&quot; de 4&quot;"/>
    <numFmt numFmtId="171" formatCode="0%;;&quot;&quot;"/>
    <numFmt numFmtId="172" formatCode="+0%;-0%;0%"/>
  </numFmts>
  <fonts count="28">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A1A1A"/>
      <sz val="8"/>
    </font>
    <font>
      <name val="Arial"/>
      <b val="1"/>
      <color rgb="001F3864"/>
      <sz val="9"/>
    </font>
    <font>
      <name val="Arial"/>
      <b val="1"/>
      <color rgb="001A1A1A"/>
      <sz val="9"/>
    </font>
    <font>
      <name val="Arial"/>
      <b val="1"/>
      <color rgb="001F3864"/>
      <sz val="8"/>
    </font>
    <font>
      <name val="Arial"/>
      <b val="1"/>
      <color rgb="00FFFFFF"/>
      <sz val="9"/>
    </font>
    <font>
      <name val="Arial"/>
      <i val="1"/>
      <color rgb="001A1A1A"/>
      <sz val="8"/>
    </font>
    <font>
      <name val="Arial"/>
      <b val="1"/>
      <color rgb="00FFFFFF"/>
      <sz val="16"/>
    </font>
    <font>
      <name val="Arial"/>
      <b val="1"/>
      <color rgb="001F3864"/>
      <sz val="11"/>
    </font>
    <font>
      <name val="Arial"/>
      <i val="1"/>
      <color rgb="001F3864"/>
      <sz val="8"/>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15">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EDEDED"/>
        <bgColor rgb="00EDEDED"/>
      </patternFill>
    </fill>
    <fill>
      <patternFill patternType="solid">
        <fgColor rgb="00EAF3FB"/>
        <bgColor rgb="00EAF3FB"/>
      </patternFill>
    </fill>
    <fill>
      <patternFill patternType="solid">
        <fgColor rgb="00C55A11"/>
        <bgColor rgb="00C55A11"/>
      </patternFill>
    </fill>
    <fill>
      <patternFill patternType="solid">
        <fgColor rgb="00DDEBF7"/>
        <bgColor rgb="00DDEBF7"/>
      </patternFill>
    </fill>
    <fill>
      <patternFill patternType="solid">
        <fgColor rgb="00F3DECF"/>
        <bgColor rgb="00F3DECF"/>
      </patternFill>
    </fill>
    <fill>
      <patternFill patternType="solid">
        <fgColor rgb="007030A0"/>
        <bgColor rgb="007030A0"/>
      </patternFill>
    </fill>
    <fill>
      <patternFill patternType="solid">
        <fgColor rgb="00E2D5EC"/>
        <bgColor rgb="00E2D5EC"/>
      </patternFill>
    </fill>
    <fill>
      <patternFill patternType="solid">
        <fgColor rgb="00548235"/>
        <bgColor rgb="00548235"/>
      </patternFill>
    </fill>
    <fill>
      <patternFill patternType="solid">
        <fgColor rgb="00DCE6D6"/>
        <bgColor rgb="00DCE6D6"/>
      </patternFill>
    </fill>
    <fill>
      <patternFill patternType="solid">
        <fgColor rgb="00D5E3F0"/>
        <bgColor rgb="00D5E3F0"/>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107">
    <xf numFmtId="0" fontId="0" fillId="0" borderId="0" pivotButton="0" quotePrefix="0" xfId="0"/>
    <xf numFmtId="0" fontId="17" fillId="2" borderId="0" applyAlignment="1" pivotButton="0" quotePrefix="0" xfId="0">
      <alignment horizontal="left" vertical="center" wrapText="1"/>
    </xf>
    <xf numFmtId="0" fontId="5" fillId="0" borderId="0" applyAlignment="1" pivotButton="0" quotePrefix="0" xfId="0">
      <alignment horizontal="right" vertical="center"/>
    </xf>
    <xf numFmtId="164" fontId="18" fillId="7" borderId="1" applyAlignment="1" pivotButton="0" quotePrefix="0" xfId="0">
      <alignment horizontal="center" vertical="center" wrapText="1"/>
    </xf>
    <xf numFmtId="170" fontId="18" fillId="7" borderId="1" applyAlignment="1" pivotButton="0" quotePrefix="0" xfId="0">
      <alignment horizontal="center" vertical="center" wrapText="1"/>
    </xf>
    <xf numFmtId="165" fontId="18" fillId="7" borderId="1" applyAlignment="1" pivotButton="0" quotePrefix="0" xfId="0">
      <alignment horizontal="center" vertical="center" wrapText="1"/>
    </xf>
    <xf numFmtId="0" fontId="19"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20" fillId="14" borderId="1" applyAlignment="1" pivotButton="0" quotePrefix="0" xfId="0">
      <alignment horizontal="center" vertical="center" wrapText="1"/>
    </xf>
    <xf numFmtId="0" fontId="20" fillId="14" borderId="1" applyAlignment="1" pivotButton="0" quotePrefix="0" xfId="0">
      <alignment horizontal="center" vertical="center" wrapText="1"/>
    </xf>
    <xf numFmtId="1" fontId="20" fillId="14" borderId="1" applyAlignment="1" pivotButton="0" quotePrefix="0" xfId="0">
      <alignment horizontal="center" vertical="center" wrapText="1"/>
    </xf>
    <xf numFmtId="0" fontId="9" fillId="7" borderId="1" applyAlignment="1" pivotButton="0" quotePrefix="0" xfId="0">
      <alignment horizontal="center" vertical="center" wrapText="1"/>
    </xf>
    <xf numFmtId="170" fontId="20" fillId="14"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8" fillId="0" borderId="1" applyAlignment="1" pivotButton="0" quotePrefix="0" xfId="0">
      <alignment horizontal="center" vertical="center" wrapText="1"/>
    </xf>
    <xf numFmtId="0" fontId="21" fillId="2" borderId="0" applyAlignment="1" pivotButton="0" quotePrefix="0" xfId="0">
      <alignment horizontal="left" vertical="center" wrapText="1"/>
    </xf>
    <xf numFmtId="0" fontId="0" fillId="0" borderId="1" pivotButton="0" quotePrefix="0" xfId="0"/>
    <xf numFmtId="0" fontId="3" fillId="6" borderId="1" applyAlignment="1" pivotButton="0" quotePrefix="0" xfId="0">
      <alignment horizontal="left" vertical="center" wrapText="1"/>
    </xf>
    <xf numFmtId="9" fontId="8" fillId="0" borderId="1" applyAlignment="1" pivotButton="0" quotePrefix="0" xfId="0">
      <alignment horizontal="center" vertical="center" wrapText="1"/>
    </xf>
    <xf numFmtId="171" fontId="2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3" fillId="9"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3" borderId="1" applyAlignment="1" pivotButton="0" quotePrefix="0" xfId="0">
      <alignment horizontal="left" vertical="center" wrapText="1"/>
    </xf>
    <xf numFmtId="0" fontId="5" fillId="7" borderId="1" applyAlignment="1" pivotButton="0" quotePrefix="0" xfId="0">
      <alignment horizontal="left" vertical="center" wrapText="1"/>
    </xf>
    <xf numFmtId="9" fontId="5" fillId="7" borderId="1" applyAlignment="1" pivotButton="0" quotePrefix="0" xfId="0">
      <alignment horizontal="center" vertical="center" wrapText="1"/>
    </xf>
    <xf numFmtId="171" fontId="23" fillId="7" borderId="1" applyAlignment="1" pivotButton="0" quotePrefix="0" xfId="0">
      <alignment horizontal="center" vertical="center" wrapText="1"/>
    </xf>
    <xf numFmtId="0" fontId="5" fillId="7" borderId="1" applyAlignment="1" pivotButton="0" quotePrefix="0" xfId="0">
      <alignment horizontal="center" vertical="center" wrapText="1"/>
    </xf>
    <xf numFmtId="0" fontId="15" fillId="3" borderId="1" applyAlignment="1" pivotButton="0" quotePrefix="0" xfId="0">
      <alignment horizontal="center" vertical="center" wrapText="1"/>
    </xf>
    <xf numFmtId="0" fontId="12" fillId="7" borderId="1" applyAlignment="1" pivotButton="0" quotePrefix="0" xfId="0">
      <alignment horizontal="center" vertical="center" wrapText="1"/>
    </xf>
    <xf numFmtId="172" fontId="8" fillId="0" borderId="1" applyAlignment="1" pivotButton="0" quotePrefix="0" xfId="0">
      <alignment horizontal="center" vertical="center" wrapText="1"/>
    </xf>
    <xf numFmtId="172" fontId="5" fillId="7" borderId="1" applyAlignment="1" pivotButton="0" quotePrefix="0" xfId="0">
      <alignment horizontal="center" vertical="center" wrapText="1"/>
    </xf>
    <xf numFmtId="0" fontId="24" fillId="14" borderId="1" applyAlignment="1" pivotButton="0" quotePrefix="0" xfId="0">
      <alignment horizontal="left" vertical="center" wrapText="1"/>
    </xf>
    <xf numFmtId="9" fontId="24" fillId="14" borderId="1" applyAlignment="1" pivotButton="0" quotePrefix="0" xfId="0">
      <alignment horizontal="center" vertical="center" wrapText="1"/>
    </xf>
    <xf numFmtId="172" fontId="5" fillId="14" borderId="1" applyAlignment="1" pivotButton="0" quotePrefix="0" xfId="0">
      <alignment horizontal="center" vertical="center" wrapText="1"/>
    </xf>
    <xf numFmtId="0" fontId="5" fillId="14" borderId="1" applyAlignment="1" pivotButton="0" quotePrefix="0" xfId="0">
      <alignment horizontal="center" vertical="center" wrapText="1"/>
    </xf>
    <xf numFmtId="0" fontId="25" fillId="14" borderId="1" applyAlignment="1" pivotButton="0" quotePrefix="0" xfId="0">
      <alignment horizontal="left" vertical="center" wrapText="1"/>
    </xf>
    <xf numFmtId="9" fontId="25" fillId="14" borderId="1" applyAlignment="1" pivotButton="0" quotePrefix="0" xfId="0">
      <alignment horizontal="center" vertical="center" wrapText="1"/>
    </xf>
    <xf numFmtId="0" fontId="26" fillId="0" borderId="0" applyAlignment="1" pivotButton="0" quotePrefix="0" xfId="0">
      <alignment horizontal="left" vertical="center" wrapText="1"/>
    </xf>
    <xf numFmtId="0" fontId="8" fillId="0" borderId="1"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 fillId="2" borderId="0" applyAlignment="1" pivotButton="0" quotePrefix="0" xfId="0">
      <alignment horizontal="left" vertical="center" wrapText="1"/>
    </xf>
    <xf numFmtId="0" fontId="9" fillId="7" borderId="0" applyAlignment="1" pivotButton="0" quotePrefix="0" xfId="0">
      <alignment horizontal="left" vertical="center" wrapText="1"/>
    </xf>
    <xf numFmtId="0" fontId="15" fillId="2"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1" borderId="1" applyAlignment="1" pivotButton="0" quotePrefix="0" xfId="0">
      <alignment horizontal="center" vertical="center" wrapText="1"/>
    </xf>
    <xf numFmtId="164"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1" fillId="6"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8" borderId="1" pivotButton="0" quotePrefix="0" xfId="0"/>
    <xf numFmtId="0" fontId="12" fillId="0" borderId="0" applyAlignment="1" pivotButton="0" quotePrefix="0" xfId="0">
      <alignment horizontal="right" vertical="center"/>
    </xf>
    <xf numFmtId="168" fontId="5"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3" fillId="2"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4" borderId="1" applyAlignment="1" applyProtection="1" pivotButton="0" quotePrefix="0" xfId="0">
      <alignment horizontal="left" vertical="center" wrapText="1"/>
      <protection locked="0" hidden="0"/>
    </xf>
    <xf numFmtId="0" fontId="8" fillId="4" borderId="1" applyAlignment="1" applyProtection="1" pivotButton="0" quotePrefix="0" xfId="0">
      <alignment horizontal="left" vertical="center" wrapText="1" indent="2"/>
      <protection locked="0" hidden="0"/>
    </xf>
    <xf numFmtId="165" fontId="8" fillId="4" borderId="1" applyAlignment="1" applyProtection="1" pivotButton="0" quotePrefix="0" xfId="0">
      <alignment horizontal="center" vertical="center" wrapText="1"/>
      <protection locked="0" hidden="0"/>
    </xf>
    <xf numFmtId="168"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6" fillId="5" borderId="1" applyAlignment="1" pivotButton="0" quotePrefix="0" xfId="0">
      <alignment horizontal="left" vertical="center" wrapText="1"/>
    </xf>
    <xf numFmtId="164"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12" fillId="7" borderId="0" applyAlignment="1" pivotButton="0" quotePrefix="0" xfId="0">
      <alignment horizontal="left" vertical="center" wrapText="1"/>
    </xf>
    <xf numFmtId="0" fontId="12" fillId="0" borderId="0" pivotButton="0" quotePrefix="0" xfId="0"/>
    <xf numFmtId="164" fontId="5" fillId="7" borderId="0" applyAlignment="1" pivotButton="0" quotePrefix="0" xfId="0">
      <alignment horizontal="left" vertical="center" wrapText="1"/>
    </xf>
    <xf numFmtId="0" fontId="14" fillId="0" borderId="0" applyAlignment="1" pivotButton="0" quotePrefix="0" xfId="0">
      <alignment horizontal="right" vertical="center"/>
    </xf>
    <xf numFmtId="169" fontId="14" fillId="7" borderId="1" applyAlignment="1" pivotButton="0" quotePrefix="0" xfId="0">
      <alignment horizontal="center" vertical="center" wrapText="1"/>
    </xf>
    <xf numFmtId="165" fontId="8" fillId="5" borderId="1" applyAlignment="1" pivotButton="0" quotePrefix="0" xfId="0">
      <alignment horizontal="center" vertical="center" wrapText="1"/>
    </xf>
    <xf numFmtId="0" fontId="1" fillId="9" borderId="0" applyAlignment="1" pivotButton="0" quotePrefix="0" xfId="0">
      <alignment horizontal="left" vertical="center" wrapText="1"/>
    </xf>
    <xf numFmtId="0" fontId="11" fillId="10" borderId="1" pivotButton="0" quotePrefix="0" xfId="0"/>
    <xf numFmtId="0" fontId="1" fillId="11" borderId="0" applyAlignment="1" pivotButton="0" quotePrefix="0" xfId="0">
      <alignment horizontal="left" vertical="center" wrapText="1"/>
    </xf>
    <xf numFmtId="0" fontId="11" fillId="12" borderId="1" pivotButton="0" quotePrefix="0" xfId="0"/>
    <xf numFmtId="0" fontId="1" fillId="3" borderId="0" applyAlignment="1" pivotButton="0" quotePrefix="0" xfId="0">
      <alignment horizontal="left" vertical="center" wrapText="1"/>
    </xf>
    <xf numFmtId="0" fontId="11" fillId="13" borderId="1" pivotButton="0" quotePrefix="0" xfId="0"/>
    <xf numFmtId="0" fontId="27"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0" fontId="4" fillId="0" borderId="1" applyAlignment="1" pivotButton="0" quotePrefix="0" xfId="0">
      <alignment horizontal="left" vertical="center" wrapText="1"/>
    </xf>
    <xf numFmtId="164" fontId="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center" vertical="center" wrapText="1"/>
      <protection locked="0" hidden="0"/>
    </xf>
    <xf numFmtId="166" fontId="5" fillId="5" borderId="1" applyAlignment="1" pivotButton="0" quotePrefix="0" xfId="0">
      <alignment horizontal="center" vertical="center" wrapText="1"/>
    </xf>
    <xf numFmtId="1"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3" fillId="0" borderId="0" pivotButton="0" quotePrefix="0" xfId="0"/>
    <xf numFmtId="0" fontId="15" fillId="2" borderId="0" applyAlignment="1" pivotButton="0" quotePrefix="0" xfId="0">
      <alignment horizontal="center" vertical="center" wrapText="1"/>
    </xf>
    <xf numFmtId="168" fontId="0" fillId="0" borderId="0" pivotButton="0" quotePrefix="0" xfId="0"/>
    <xf numFmtId="1" fontId="0" fillId="0" borderId="0" pivotButton="0" quotePrefix="0" xfId="0"/>
    <xf numFmtId="0" fontId="16" fillId="0" borderId="0" pivotButton="0" quotePrefix="0" xfId="0"/>
    <xf numFmtId="164" fontId="0" fillId="0" borderId="0" pivotButton="0" quotePrefix="0" xfId="0"/>
  </cellXfs>
  <cellStyles count="1">
    <cellStyle name="Normal" xfId="0" builtinId="0" hidden="0"/>
  </cellStyles>
  <dxfs count="21">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color rgb="001F3864"/>
      </font>
      <fill>
        <patternFill patternType="solid">
          <fgColor rgb="00BDD7EE"/>
          <bgColor rgb="00BDD7EE"/>
        </patternFill>
      </fill>
    </dxf>
    <dxf>
      <font>
        <i val="1"/>
        <color rgb="007F7F7F"/>
      </font>
    </dxf>
    <dxf>
      <font>
        <b val="1"/>
      </font>
      <fill>
        <patternFill patternType="solid">
          <fgColor rgb="00F3DECF"/>
          <bgColor rgb="00F3DECF"/>
        </patternFill>
      </fill>
    </dxf>
    <dxf>
      <font>
        <color rgb="00808080"/>
      </font>
      <fill>
        <patternFill patternType="solid">
          <fgColor rgb="00EAF3FB"/>
          <bgColor rgb="00EAF3FB"/>
        </patternFill>
      </fill>
    </dxf>
    <dxf>
      <fill>
        <patternFill patternType="solid">
          <fgColor rgb="00EAF3FB"/>
          <bgColor rgb="00EAF3FB"/>
        </patternFill>
      </fill>
    </dxf>
    <dxf>
      <font>
        <b val="1"/>
        <color rgb="00006100"/>
      </font>
    </dxf>
    <dxf>
      <font>
        <b val="1"/>
        <color rgb="00FFFFFF"/>
      </font>
      <fill>
        <patternFill patternType="solid">
          <fgColor rgb="00C55A11"/>
          <bgColor rgb="00C55A11"/>
        </patternFill>
      </fill>
    </dxf>
    <dxf>
      <font>
        <b val="1"/>
      </font>
      <fill>
        <patternFill patternType="solid">
          <fgColor rgb="00E2D5EC"/>
          <bgColor rgb="00E2D5EC"/>
        </patternFill>
      </fill>
    </dxf>
    <dxf>
      <font>
        <b val="1"/>
        <color rgb="00FFFFFF"/>
      </font>
      <fill>
        <patternFill patternType="solid">
          <fgColor rgb="007030A0"/>
          <bgColor rgb="007030A0"/>
        </patternFill>
      </fill>
    </dxf>
    <dxf>
      <font>
        <b val="1"/>
      </font>
      <fill>
        <patternFill patternType="solid">
          <fgColor rgb="00DCE6D6"/>
          <bgColor rgb="00DCE6D6"/>
        </patternFill>
      </fill>
    </dxf>
    <dxf>
      <font>
        <b val="1"/>
        <color rgb="00FFFFFF"/>
      </font>
      <fill>
        <patternFill patternType="solid">
          <fgColor rgb="00548235"/>
          <bgColor rgb="00548235"/>
        </patternFill>
      </fill>
    </dxf>
    <dxf>
      <font>
        <b val="1"/>
      </font>
      <fill>
        <patternFill patternType="solid">
          <fgColor rgb="00D5E3F0"/>
          <bgColor rgb="00D5E3F0"/>
        </patternFill>
      </fill>
    </dxf>
    <dxf>
      <font>
        <b val="1"/>
        <color rgb="00FFFFFF"/>
      </font>
      <fill>
        <patternFill patternType="solid">
          <fgColor rgb="002E75B6"/>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Avance ponderado por puesto</a:t>
            </a:r>
          </a:p>
        </rich>
      </tx>
    </title>
    <plotArea>
      <barChart>
        <barDir val="bar"/>
        <grouping val="clustered"/>
        <ser>
          <idx val="0"/>
          <order val="0"/>
          <spPr>
            <a:solidFill xmlns:a="http://schemas.openxmlformats.org/drawingml/2006/main">
              <a:srgbClr val="2E75B6"/>
            </a:solidFill>
            <a:ln xmlns:a="http://schemas.openxmlformats.org/drawingml/2006/main">
              <a:prstDash val="solid"/>
            </a:ln>
          </spPr>
          <dPt>
            <idx val="0"/>
            <spPr>
              <a:solidFill xmlns:a="http://schemas.openxmlformats.org/drawingml/2006/main">
                <a:srgbClr val="C55A11"/>
              </a:solidFill>
              <a:ln xmlns:a="http://schemas.openxmlformats.org/drawingml/2006/main">
                <a:solidFill>
                  <a:srgbClr val="C55A11"/>
                </a:solidFill>
                <a:prstDash val="solid"/>
              </a:ln>
            </spPr>
          </dPt>
          <dPt>
            <idx val="1"/>
            <spPr>
              <a:solidFill xmlns:a="http://schemas.openxmlformats.org/drawingml/2006/main">
                <a:srgbClr val="7030A0"/>
              </a:solidFill>
              <a:ln xmlns:a="http://schemas.openxmlformats.org/drawingml/2006/main">
                <a:solidFill>
                  <a:srgbClr val="7030A0"/>
                </a:solidFill>
                <a:prstDash val="solid"/>
              </a:ln>
            </spPr>
          </dPt>
          <dPt>
            <idx val="2"/>
            <spPr>
              <a:solidFill xmlns:a="http://schemas.openxmlformats.org/drawingml/2006/main">
                <a:srgbClr val="548235"/>
              </a:solidFill>
              <a:ln xmlns:a="http://schemas.openxmlformats.org/drawingml/2006/main">
                <a:solidFill>
                  <a:srgbClr val="548235"/>
                </a:solidFill>
                <a:prstDash val="solid"/>
              </a:ln>
            </spPr>
          </dPt>
          <dPt>
            <idx val="3"/>
            <spPr>
              <a:solidFill xmlns:a="http://schemas.openxmlformats.org/drawingml/2006/main">
                <a:srgbClr val="2E75B6"/>
              </a:solidFill>
              <a:ln xmlns:a="http://schemas.openxmlformats.org/drawingml/2006/main">
                <a:solidFill>
                  <a:srgbClr val="2E75B6"/>
                </a:solidFill>
                <a:prstDash val="solid"/>
              </a:ln>
            </spPr>
          </dPt>
          <cat>
            <numRef>
              <f>'Dashboard - Consolidado'!$B$16:$B$19</f>
            </numRef>
          </cat>
          <val>
            <numRef>
              <f>'Dashboard - Consolidado'!$D$16:$D$19</f>
            </numRef>
          </val>
        </ser>
        <dLbls>
          <numFmt formatCode="0%"/>
          <showLegendKey val="0"/>
          <showVal val="1"/>
          <showCatName val="0"/>
          <showSerName val="0"/>
          <showPercent val="0"/>
        </dLbls>
        <gapWidth val="15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general acumulado vs plan de referencia</a:t>
            </a:r>
          </a:p>
        </rich>
      </tx>
    </title>
    <plotArea>
      <barChart>
        <barDir val="col"/>
        <grouping val="clustered"/>
        <ser>
          <idx val="0"/>
          <order val="0"/>
          <tx>
            <strRef>
              <f>'Dashboard - Consolidado'!B29</f>
            </strRef>
          </tx>
          <spPr>
            <a:solidFill xmlns:a="http://schemas.openxmlformats.org/drawingml/2006/main">
              <a:srgbClr val="1F3864"/>
            </a:solidFill>
            <a:ln xmlns:a="http://schemas.openxmlformats.org/drawingml/2006/main">
              <a:prstDash val="solid"/>
            </a:ln>
          </spPr>
          <cat>
            <numRef>
              <f>'Dashboard - Consolidado'!$C$24:$F$24</f>
            </numRef>
          </cat>
          <val>
            <numRef>
              <f>'Dashboard - Consolidado'!$C$29:$F$29</f>
            </numRef>
          </val>
        </ser>
        <ser>
          <idx val="1"/>
          <order val="1"/>
          <tx>
            <strRef>
              <f>'Dashboard - Consolidado'!B30</f>
            </strRef>
          </tx>
          <spPr>
            <a:solidFill xmlns:a="http://schemas.openxmlformats.org/drawingml/2006/main">
              <a:srgbClr val="BFBFBF"/>
            </a:solidFill>
            <a:ln xmlns:a="http://schemas.openxmlformats.org/drawingml/2006/main">
              <a:prstDash val="solid"/>
            </a:ln>
          </spPr>
          <cat>
            <numRef>
              <f>'Dashboard - Consolidado'!$C$24:$F$24</f>
            </numRef>
          </cat>
          <val>
            <numRef>
              <f>'Dashboard - Consolidado'!$C$30:$F$30</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Avance de las actividades por mes y puesto</a:t>
            </a:r>
          </a:p>
        </rich>
      </tx>
    </title>
    <plotArea>
      <barChart>
        <barDir val="col"/>
        <grouping val="clustered"/>
        <ser>
          <idx val="0"/>
          <order val="0"/>
          <tx>
            <strRef>
              <f>'Historial mensual'!M5</f>
            </strRef>
          </tx>
          <spPr>
            <a:solidFill xmlns:a="http://schemas.openxmlformats.org/drawingml/2006/main">
              <a:srgbClr val="C55A11"/>
            </a:solidFill>
            <a:ln xmlns:a="http://schemas.openxmlformats.org/drawingml/2006/main">
              <a:prstDash val="solid"/>
            </a:ln>
          </spPr>
          <cat>
            <numRef>
              <f>'Historial mensual'!$Q$6:$Q$29</f>
            </numRef>
          </cat>
          <val>
            <numRef>
              <f>'Historial mensual'!$M$6:$M$29</f>
            </numRef>
          </val>
        </ser>
        <ser>
          <idx val="1"/>
          <order val="1"/>
          <tx>
            <strRef>
              <f>'Historial mensual'!N5</f>
            </strRef>
          </tx>
          <spPr>
            <a:solidFill xmlns:a="http://schemas.openxmlformats.org/drawingml/2006/main">
              <a:srgbClr val="7030A0"/>
            </a:solidFill>
            <a:ln xmlns:a="http://schemas.openxmlformats.org/drawingml/2006/main">
              <a:prstDash val="solid"/>
            </a:ln>
          </spPr>
          <cat>
            <numRef>
              <f>'Historial mensual'!$Q$6:$Q$29</f>
            </numRef>
          </cat>
          <val>
            <numRef>
              <f>'Historial mensual'!$N$6:$N$29</f>
            </numRef>
          </val>
        </ser>
        <ser>
          <idx val="2"/>
          <order val="2"/>
          <tx>
            <strRef>
              <f>'Historial mensual'!O5</f>
            </strRef>
          </tx>
          <spPr>
            <a:solidFill xmlns:a="http://schemas.openxmlformats.org/drawingml/2006/main">
              <a:srgbClr val="548235"/>
            </a:solidFill>
            <a:ln xmlns:a="http://schemas.openxmlformats.org/drawingml/2006/main">
              <a:prstDash val="solid"/>
            </a:ln>
          </spPr>
          <cat>
            <numRef>
              <f>'Historial mensual'!$Q$6:$Q$29</f>
            </numRef>
          </cat>
          <val>
            <numRef>
              <f>'Historial mensual'!$O$6:$O$29</f>
            </numRef>
          </val>
        </ser>
        <ser>
          <idx val="3"/>
          <order val="3"/>
          <tx>
            <strRef>
              <f>'Historial mensual'!P5</f>
            </strRef>
          </tx>
          <spPr>
            <a:solidFill xmlns:a="http://schemas.openxmlformats.org/drawingml/2006/main">
              <a:srgbClr val="2E75B6"/>
            </a:solidFill>
            <a:ln xmlns:a="http://schemas.openxmlformats.org/drawingml/2006/main">
              <a:prstDash val="solid"/>
            </a:ln>
          </spPr>
          <cat>
            <numRef>
              <f>'Historial mensual'!$Q$6:$Q$29</f>
            </numRef>
          </cat>
          <val>
            <numRef>
              <f>'Historial mensual'!$P$6:$P$29</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34</row>
      <rowOff>0</rowOff>
    </from>
    <ext cx="5580000" cy="2592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34</row>
      <rowOff>0</rowOff>
    </from>
    <ext cx="6300000" cy="259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30</row>
      <rowOff>0</rowOff>
    </from>
    <ext cx="108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blAct_RO" displayName="tblAct_RO" ref="A4:AB304" headerRowCount="1">
  <autoFilter ref="A4:AB304"/>
  <tableColumns count="28">
    <tableColumn id="1" name="N°">
      <calculatedColumnFormula>IF(NOT((COUNTA(tblAct_RO[[#This Row],[Macro Actividad]:[Avance Semana 4 (%)]])+COUNTA(tblAct_RO[[#This Row],[Observaciones]]))&gt;0),"",IF(tblAct_RO[[#This Row],[Tipo (aux)]]="Macro",COUNTIFS(INDEX(tblAct_RO[Tipo (aux)],1):tblAct_RO[[#This Row],[Tipo (aux)]],"Macro",INDEX(tblAct_RO[Mes],1):tblAct_RO[[#This Row],[Mes]],tblAct_RO[[#This Row],[Mes]]),IF(N(tblAct_RO[[#This Row],[Grupo (aux)]])=0,"?",COUNTIFS(INDEX($S$5:$S$1000,1):INDEX($S$5:$S$1000,tblAct_RO[[#This Row],[Grupo (aux)]]-4),"Macro",INDEX($P$5:$P$1000,1):INDEX($P$5:$P$1000,tblAct_RO[[#This Row],[Grupo (aux)]]-4),INDEX($P$5:$P$1000,tblAct_RO[[#This Row],[Grupo (aux)]]-4))&amp;"."&amp;COUNTIFS(INDEX(tblAct_RO[Grupo (aux)],1):tblAct_RO[[#This Row],[Grupo (aux)]],tblAct_RO[[#This Row],[Grupo (aux)]],INDEX(tblAct_RO[Tipo (aux)],1):tblAct_RO[[#This Row],[Tipo (aux)]],"Sub"))))</calculatedColumnFormula>
    </tableColumn>
    <tableColumn id="2" name="Macro Actividad"/>
    <tableColumn id="3" name="Subactividad"/>
    <tableColumn id="4" name="Responsable"/>
    <tableColumn id="5" name="Fecha de inicio"/>
    <tableColumn id="6" name="Fecha límite"/>
    <tableColumn id="7" name="Peso de actividad (%)"/>
    <tableColumn id="8" name="Avance Semana 1 (%)"/>
    <tableColumn id="9" name="Avance Semana 2 (%)"/>
    <tableColumn id="10" name="Avance Semana 3 (%)"/>
    <tableColumn id="11" name="Avance Semana 4 (%)"/>
    <tableColumn id="12" name="% de Avance Total Actual">
      <calculatedColumnFormula>IF(NOT((COUNTA(tblAct_RO[[#This Row],[Macro Actividad]:[Avance Semana 4 (%)]])+COUNTA(tblAct_RO[[#This Row],[Observaciones]]))&gt;0),"",IF(N(tblAct_RO[[#This Row],[N subactividades (aux)]])&gt;0,tblAct_RO[[#This Row],[Efectivo S4 (aux)]],IFERROR(LOOKUP(2,1/(tblAct_RO[[#This Row],[Avance Semana 1 (%)]:[Avance Semana 4 (%)]]&lt;&gt;""),tblAct_RO[[#This Row],[Avance Semana 1 (%)]:[Avance Semana 4 (%)]]),0)))</calculatedColumnFormula>
    </tableColumn>
    <tableColumn id="13" name="Estado">
      <calculatedColumnFormula>IF(tblAct_RO[[#This Row],[% de Avance Total Actual]]="","",IF(tblAct_RO[[#This Row],[% de Avance Total Actual]]&gt;=1,"Completado",IF(tblAct_RO[[#This Row],[% de Avance Total Actual]]&gt;0,"En curso","Pendiente")))</calculatedColumnFormula>
    </tableColumn>
    <tableColumn id="14" name="Observaciones"/>
    <tableColumn id="15" name="Revisión automática (alertas)">
      <calculatedColumnFormula>IF(NOT((COUNTA(tblAct_RO[[#This Row],[Macro Actividad]:[Avance Semana 4 (%)]])+COUNTA(tblAct_RO[[#This Row],[Observaciones]]))&gt;0),"",IF((IF(AND(tblAct_RO[[#This Row],[Tipo (aux)]]="Macro",tblAct_RO[[#This Row],[Macro Actividad]]=""),"Macroactividad vacía"&amp;" · ","")&amp;IF(AND(tblAct_RO[[#This Row],[Macro Actividad]]&lt;&gt;"",tblAct_RO[[#This Row],[Subactividad]]&lt;&gt;""),"Escriba la subactividad en otra fila, debajo de su macroactividad"&amp;" · ","")&amp;IF(AND(tblAct_RO[[#This Row],[Tipo (aux)]]="Sub",N(tblAct_RO[[#This Row],[Grupo (aux)]])=0),"Subactividad sin macroactividad arriba"&amp;" · ","")&amp;IF(tblAct_RO[[#This Row],[Responsable]]="","Sin responsable"&amp;" · ","")&amp;IF(tblAct_RO[[#This Row],[Fecha de inicio]]="","Sin fecha de inicio"&amp;" · ","")&amp;IF(tblAct_RO[[#This Row],[Fecha límite]]="","Sin fecha límite"&amp;" · ","")&amp;IF(OR(AND(tblAct_RO[[#This Row],[Fecha de inicio]]&lt;&gt;"",NOT(ISNUMBER(tblAct_RO[[#This Row],[Fecha de inicio]]))),AND(tblAct_RO[[#This Row],[Fecha límite]]&lt;&gt;"",NOT(ISNUMBER(tblAct_RO[[#This Row],[Fecha límite]])))),"Fecha no válida"&amp;" · ","")&amp;IF(AND(ISNUMBER(tblAct_RO[[#This Row],[Fecha de inicio]]),ISNUMBER(tblAct_RO[[#This Row],[Fecha límite]]),tblAct_RO[[#This Row],[Fecha de inicio]]&gt;tblAct_RO[[#This Row],[Fecha límite]]),"Inicio posterior a fecha límite"&amp;" · ","")&amp;IF(AND(tblAct_RO[[#This Row],[Tipo (aux)]]="Macro",tblAct_RO[[#This Row],[Peso de actividad (%)]]=""),"Peso vacío"&amp;" · ","")&amp;IF(AND(tblAct_RO[[#This Row],[Tipo (aux)]]="Macro",tblAct_RO[[#This Row],[Peso de actividad (%)]]&lt;&gt;"",OR(NOT(ISNUMBER(tblAct_RO[[#This Row],[Peso de actividad (%)]])),tblAct_RO[[#This Row],[Peso de actividad (%)]]&lt;=0,tblAct_RO[[#This Row],[Peso de actividad (%)]]&gt;1)),"Peso fuera de rango"&amp;" · ","")&amp;IF(AND(tblAct_RO[[#This Row],[Tipo (aux)]]="Sub",tblAct_RO[[#This Row],[Peso de actividad (%)]]&lt;&gt;""),"Las subactividades no llevan peso"&amp;" · ","")&amp;IF(AND(tblAct_RO[[#This Row],[Tipo (aux)]]="Macro",ABS(SUMIFS($G$5:$G$1000,$P$5:$P$1000,tblAct_RO[[#This Row],[Mes]],$S$5:$S$1000,"Macro")-1)&gt;0.0001),"Pesos del mes suman "&amp;TEXT(SUMIFS($G$5:$G$1000,$P$5:$P$1000,tblAct_RO[[#This Row],[Mes]],$S$5:$S$1000,"Macro"),"0%")&amp;"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Row],[Fecha límite]]),tblAct_RO[[#This Row],[Fecha límite]]&lt;FechaRef,N(tblAct_RO[[#This Row],[% de Avance Total Actual]])&lt;1),"Vencida"&amp;" · ","")&amp;IF(AND(ObsObligatoria="Sí",ISNUMBER(tblAct_RO[[#This Row],[Fecha límite]]),tblAct_RO[[#This Row],[Fecha límite]]&lt;FechaRef,N(tblAct_RO[[#This Row],[% de Avance Total Actual]])&lt;1,tblAct_RO[[#This Row],[Observaciones]]=""),"Vencida sin observación"&amp;" · ",""))="","✔ OK","⚠ "&amp;LEFT(IF(AND(tblAct_RO[[#This Row],[Tipo (aux)]]="Macro",tblAct_RO[[#This Row],[Macro Actividad]]=""),"Macroactividad vacía"&amp;" · ","")&amp;IF(AND(tblAct_RO[[#This Row],[Macro Actividad]]&lt;&gt;"",tblAct_RO[[#This Row],[Subactividad]]&lt;&gt;""),"Escriba la subactividad en otra fila, debajo de su macroactividad"&amp;" · ","")&amp;IF(AND(tblAct_RO[[#This Row],[Tipo (aux)]]="Sub",N(tblAct_RO[[#This Row],[Grupo (aux)]])=0),"Subactividad sin macroactividad arriba"&amp;" · ","")&amp;IF(tblAct_RO[[#This Row],[Responsable]]="","Sin responsable"&amp;" · ","")&amp;IF(tblAct_RO[[#This Row],[Fecha de inicio]]="","Sin fecha de inicio"&amp;" · ","")&amp;IF(tblAct_RO[[#This Row],[Fecha límite]]="","Sin fecha límite"&amp;" · ","")&amp;IF(OR(AND(tblAct_RO[[#This Row],[Fecha de inicio]]&lt;&gt;"",NOT(ISNUMBER(tblAct_RO[[#This Row],[Fecha de inicio]]))),AND(tblAct_RO[[#This Row],[Fecha límite]]&lt;&gt;"",NOT(ISNUMBER(tblAct_RO[[#This Row],[Fecha límite]])))),"Fecha no válida"&amp;" · ","")&amp;IF(AND(ISNUMBER(tblAct_RO[[#This Row],[Fecha de inicio]]),ISNUMBER(tblAct_RO[[#This Row],[Fecha límite]]),tblAct_RO[[#This Row],[Fecha de inicio]]&gt;tblAct_RO[[#This Row],[Fecha límite]]),"Inicio posterior a fecha límite"&amp;" · ","")&amp;IF(AND(tblAct_RO[[#This Row],[Tipo (aux)]]="Macro",tblAct_RO[[#This Row],[Peso de actividad (%)]]=""),"Peso vacío"&amp;" · ","")&amp;IF(AND(tblAct_RO[[#This Row],[Tipo (aux)]]="Macro",tblAct_RO[[#This Row],[Peso de actividad (%)]]&lt;&gt;"",OR(NOT(ISNUMBER(tblAct_RO[[#This Row],[Peso de actividad (%)]])),tblAct_RO[[#This Row],[Peso de actividad (%)]]&lt;=0,tblAct_RO[[#This Row],[Peso de actividad (%)]]&gt;1)),"Peso fuera de rango"&amp;" · ","")&amp;IF(AND(tblAct_RO[[#This Row],[Tipo (aux)]]="Sub",tblAct_RO[[#This Row],[Peso de actividad (%)]]&lt;&gt;""),"Las subactividades no llevan peso"&amp;" · ","")&amp;IF(AND(tblAct_RO[[#This Row],[Tipo (aux)]]="Macro",ABS(SUMIFS($G$5:$G$1000,$P$5:$P$1000,tblAct_RO[[#This Row],[Mes]],$S$5:$S$1000,"Macro")-1)&gt;0.0001),"Pesos del mes suman "&amp;TEXT(SUMIFS($G$5:$G$1000,$P$5:$P$1000,tblAct_RO[[#This Row],[Mes]],$S$5:$S$1000,"Macro"),"0%")&amp;"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Row],[Fecha límite]]),tblAct_RO[[#This Row],[Fecha límite]]&lt;FechaRef,N(tblAct_RO[[#This Row],[% de Avance Total Actual]])&lt;1),"Vencida"&amp;" · ","")&amp;IF(AND(ObsObligatoria="Sí",ISNUMBER(tblAct_RO[[#This Row],[Fecha límite]]),tblAct_RO[[#This Row],[Fecha límite]]&lt;FechaRef,N(tblAct_RO[[#This Row],[% de Avance Total Actual]])&lt;1,tblAct_RO[[#This Row],[Observaciones]]=""),"Vencida sin observación"&amp;" · ",""),LEN(IF(AND(tblAct_RO[[#This Row],[Tipo (aux)]]="Macro",tblAct_RO[[#This Row],[Macro Actividad]]=""),"Macroactividad vacía"&amp;" · ","")&amp;IF(AND(tblAct_RO[[#This Row],[Macro Actividad]]&lt;&gt;"",tblAct_RO[[#This Row],[Subactividad]]&lt;&gt;""),"Escriba la subactividad en otra fila, debajo de su macroactividad"&amp;" · ","")&amp;IF(AND(tblAct_RO[[#This Row],[Tipo (aux)]]="Sub",N(tblAct_RO[[#This Row],[Grupo (aux)]])=0),"Subactividad sin macroactividad arriba"&amp;" · ","")&amp;IF(tblAct_RO[[#This Row],[Responsable]]="","Sin responsable"&amp;" · ","")&amp;IF(tblAct_RO[[#This Row],[Fecha de inicio]]="","Sin fecha de inicio"&amp;" · ","")&amp;IF(tblAct_RO[[#This Row],[Fecha límite]]="","Sin fecha límite"&amp;" · ","")&amp;IF(OR(AND(tblAct_RO[[#This Row],[Fecha de inicio]]&lt;&gt;"",NOT(ISNUMBER(tblAct_RO[[#This Row],[Fecha de inicio]]))),AND(tblAct_RO[[#This Row],[Fecha límite]]&lt;&gt;"",NOT(ISNUMBER(tblAct_RO[[#This Row],[Fecha límite]])))),"Fecha no válida"&amp;" · ","")&amp;IF(AND(ISNUMBER(tblAct_RO[[#This Row],[Fecha de inicio]]),ISNUMBER(tblAct_RO[[#This Row],[Fecha límite]]),tblAct_RO[[#This Row],[Fecha de inicio]]&gt;tblAct_RO[[#This Row],[Fecha límite]]),"Inicio posterior a fecha límite"&amp;" · ","")&amp;IF(AND(tblAct_RO[[#This Row],[Tipo (aux)]]="Macro",tblAct_RO[[#This Row],[Peso de actividad (%)]]=""),"Peso vacío"&amp;" · ","")&amp;IF(AND(tblAct_RO[[#This Row],[Tipo (aux)]]="Macro",tblAct_RO[[#This Row],[Peso de actividad (%)]]&lt;&gt;"",OR(NOT(ISNUMBER(tblAct_RO[[#This Row],[Peso de actividad (%)]])),tblAct_RO[[#This Row],[Peso de actividad (%)]]&lt;=0,tblAct_RO[[#This Row],[Peso de actividad (%)]]&gt;1)),"Peso fuera de rango"&amp;" · ","")&amp;IF(AND(tblAct_RO[[#This Row],[Tipo (aux)]]="Sub",tblAct_RO[[#This Row],[Peso de actividad (%)]]&lt;&gt;""),"Las subactividades no llevan peso"&amp;" · ","")&amp;IF(AND(tblAct_RO[[#This Row],[Tipo (aux)]]="Macro",ABS(SUMIFS($G$5:$G$1000,$P$5:$P$1000,tblAct_RO[[#This Row],[Mes]],$S$5:$S$1000,"Macro")-1)&gt;0.0001),"Pesos del mes suman "&amp;TEXT(SUMIFS($G$5:$G$1000,$P$5:$P$1000,tblAct_RO[[#This Row],[Mes]],$S$5:$S$1000,"Macro"),"0%")&amp;"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Row],[Fecha límite]]),tblAct_RO[[#This Row],[Fecha límite]]&lt;FechaRef,N(tblAct_RO[[#This Row],[% de Avance Total Actual]])&lt;1),"Vencida"&amp;" · ","")&amp;IF(AND(ObsObligatoria="Sí",ISNUMBER(tblAct_RO[[#This Row],[Fecha límite]]),tblAct_RO[[#This Row],[Fecha límite]]&lt;FechaRef,N(tblAct_RO[[#This Row],[% de Avance Total Actual]])&lt;1,tblAct_RO[[#This Row],[Observaciones]]=""),"Vencida sin observación"&amp;" · ",""))-3)))</calculatedColumnFormula>
    </tableColumn>
    <tableColumn id="16" name="Mes">
      <calculatedColumnFormula>IF(NOT((COUNTA(tblAct_RO[[#This Row],[Macro Actividad]:[Avance Semana 4 (%)]])+COUNTA(tblAct_RO[[#This Row],[Observaciones]]))&gt;0),"",IF(AND(tblAct_RO[[#This Row],[Tipo (aux)]]="Sub",N(tblAct_RO[[#This Row],[Grupo (aux)]])&gt;0),IF(ISNUMBER(INDEX($E$5:$E$1000,tblAct_RO[[#This Row],[Grupo (aux)]]-4)),DATE(YEAR(INDEX($E$5:$E$1000,tblAct_RO[[#This Row],[Grupo (aux)]]-4)),MONTH(INDEX($E$5:$E$1000,tblAct_RO[[#This Row],[Grupo (aux)]]-4)),1),IF(ISNUMBER(INDEX($F$5:$F$1000,tblAct_RO[[#This Row],[Grupo (aux)]]-4)),DATE(YEAR(INDEX($F$5:$F$1000,tblAct_RO[[#This Row],[Grupo (aux)]]-4)),MONTH(INDEX($F$5:$F$1000,tblAct_RO[[#This Row],[Grupo (aux)]]-4)),1),MesCiclo)),IF(ISNUMBER(tblAct_RO[[#This Row],[Fecha de inicio]]),DATE(YEAR(tblAct_RO[[#This Row],[Fecha de inicio]]),MONTH(tblAct_RO[[#This Row],[Fecha de inicio]]),1),IF(ISNUMBER(tblAct_RO[[#This Row],[Fecha límite]]),DATE(YEAR(tblAct_RO[[#This Row],[Fecha límite]]),MONTH(tblAct_RO[[#This Row],[Fecha límite]]),1),MesCiclo))))</calculatedColumnFormula>
    </tableColumn>
    <tableColumn id="17" name="Orden en el mes (aux)">
      <calculatedColumnFormula>IF(OR(tblAct_RO[[#This Row],[Mes]]="",tblAct_RO[[#This Row],[Mes]]&lt;&gt;MesCiclo),"",COUNTIF(INDEX(tblAct_RO[Mes],1):tblAct_RO[[#This Row],[Mes]],MesCiclo))</calculatedColumnFormula>
    </tableColumn>
    <tableColumn id="18" name="Grupo (aux)">
      <calculatedColumnFormula>IF(tblAct_RO[[#This Row],[Tipo (aux)]]="","",IF(tblAct_RO[[#This Row],[Tipo (aux)]]="Macro",ROW(),IFERROR(LOOKUP(2,1/(INDEX(tblAct_RO[Tipo (aux)],1):tblAct_RO[[#This Row],[Tipo (aux)]]="Macro"),ROW(INDEX(tblAct_RO[Tipo (aux)],1):tblAct_RO[[#This Row],[Tipo (aux)]])),0)))</calculatedColumnFormula>
    </tableColumn>
    <tableColumn id="19" name="Tipo (aux)">
      <calculatedColumnFormula>IF(NOT((COUNTA(tblAct_RO[[#This Row],[Macro Actividad]:[Avance Semana 4 (%)]])+COUNTA(tblAct_RO[[#This Row],[Observaciones]]))&gt;0),"",IF(tblAct_RO[[#This Row],[Macro Actividad]]&lt;&gt;"","Macro",IF(tblAct_RO[[#This Row],[Subactividad]]&lt;&gt;"","Sub","Macro")))</calculatedColumnFormula>
    </tableColumn>
    <tableColumn id="20" name="N subactividades (aux)">
      <calculatedColumnFormula>IF(tblAct_RO[[#This Row],[Tipo (aux)]]="Macro",COUNTIFS($R$5:$R$1000,ROW(),$S$5:$S$1000,"Sub"),"")</calculatedColumnFormula>
    </tableColumn>
    <tableColumn id="21" name="Propio S1 (aux)">
      <calculatedColumnFormula>IF(tblAct_RO[[#This Row],[Tipo (aux)]]="","",IF(ISNUMBER(tblAct_RO[[#This Row],[Avance Semana 1 (%)]]),tblAct_RO[[#This Row],[Avance Semana 1 (%)]],0))</calculatedColumnFormula>
    </tableColumn>
    <tableColumn id="22" name="Propio S2 (aux)">
      <calculatedColumnFormula>IF(tblAct_RO[[#This Row],[Tipo (aux)]]="","",IF(ISNUMBER(tblAct_RO[[#This Row],[Avance Semana 2 (%)]]),tblAct_RO[[#This Row],[Avance Semana 2 (%)]],tblAct_RO[[#This Row],[Propio S1 (aux)]]))</calculatedColumnFormula>
    </tableColumn>
    <tableColumn id="23" name="Propio S3 (aux)">
      <calculatedColumnFormula>IF(tblAct_RO[[#This Row],[Tipo (aux)]]="","",IF(ISNUMBER(tblAct_RO[[#This Row],[Avance Semana 3 (%)]]),tblAct_RO[[#This Row],[Avance Semana 3 (%)]],tblAct_RO[[#This Row],[Propio S2 (aux)]]))</calculatedColumnFormula>
    </tableColumn>
    <tableColumn id="24" name="Propio S4 (aux)">
      <calculatedColumnFormula>IF(tblAct_RO[[#This Row],[Tipo (aux)]]="","",IF(ISNUMBER(tblAct_RO[[#This Row],[Avance Semana 4 (%)]]),tblAct_RO[[#This Row],[Avance Semana 4 (%)]],tblAct_RO[[#This Row],[Propio S3 (aux)]]))</calculatedColumnFormula>
    </tableColumn>
    <tableColumn id="25" name="Efectivo S1 (aux)">
      <calculatedColumnFormula>IF(tblAct_RO[[#This Row],[Tipo (aux)]]="","",IF(N(tblAct_RO[[#This Row],[N subactividades (aux)]])&gt;0,AVERAGEIFS($U$5:$U$1000,$R$5:$R$1000,ROW(),$S$5:$S$1000,"Sub"),tblAct_RO[[#This Row],[Propio S1 (aux)]]))</calculatedColumnFormula>
    </tableColumn>
    <tableColumn id="26" name="Efectivo S2 (aux)">
      <calculatedColumnFormula>IF(tblAct_RO[[#This Row],[Tipo (aux)]]="","",IF(N(tblAct_RO[[#This Row],[N subactividades (aux)]])&gt;0,AVERAGEIFS($V$5:$V$1000,$R$5:$R$1000,ROW(),$S$5:$S$1000,"Sub"),tblAct_RO[[#This Row],[Propio S2 (aux)]]))</calculatedColumnFormula>
    </tableColumn>
    <tableColumn id="27" name="Efectivo S3 (aux)">
      <calculatedColumnFormula>IF(tblAct_RO[[#This Row],[Tipo (aux)]]="","",IF(N(tblAct_RO[[#This Row],[N subactividades (aux)]])&gt;0,AVERAGEIFS($W$5:$W$1000,$R$5:$R$1000,ROW(),$S$5:$S$1000,"Sub"),tblAct_RO[[#This Row],[Propio S3 (aux)]]))</calculatedColumnFormula>
    </tableColumn>
    <tableColumn id="28" name="Efectivo S4 (aux)">
      <calculatedColumnFormula>IF(tblAct_RO[[#This Row],[Tipo (aux)]]="","",IF(N(tblAct_RO[[#This Row],[N subactividades (aux)]])&gt;0,AVERAGEIFS($X$5:$X$1000,$R$5:$R$1000,ROW(),$S$5:$S$1000,"Sub"),tblAct_RO[[#This Row],[Propio S4 (aux)]]))</calculatedColumnFormula>
    </tableColumn>
  </tableColumns>
  <tableStyleInfo name="TableStyleLight1" showRowStripes="0"/>
</table>
</file>

<file path=xl/tables/table2.xml><?xml version="1.0" encoding="utf-8"?>
<table xmlns="http://schemas.openxmlformats.org/spreadsheetml/2006/main" id="2" name="tblSem_RO" displayName="tblSem_RO" ref="A4:M104" headerRowCount="1">
  <autoFilter ref="A4:M104"/>
  <tableColumns count="13">
    <tableColumn id="1" name="N°"/>
    <tableColumn id="2" name="Macro Actividad / Subactividad"/>
    <tableColumn id="3" name="Responsable"/>
    <tableColumn id="4" name="Fecha de inicio"/>
    <tableColumn id="5" name="Fecha límite"/>
    <tableColumn id="6" name="Semana de entrega"/>
    <tableColumn id="7" name="Semana 1"/>
    <tableColumn id="8" name="Semana 2"/>
    <tableColumn id="9" name="Semana 3"/>
    <tableColumn id="10" name="Semana 4"/>
    <tableColumn id="11" name="% Avance actual"/>
    <tableColumn id="12" name="Estado"/>
    <tableColumn id="13" name="Observaciones"/>
  </tableColumns>
  <tableStyleInfo name="TableStyleLight1" showRowStripes="0"/>
</table>
</file>

<file path=xl/tables/table3.xml><?xml version="1.0" encoding="utf-8"?>
<table xmlns="http://schemas.openxmlformats.org/spreadsheetml/2006/main" id="3" name="tblAct_RN" displayName="tblAct_RN" ref="A4:AB304" headerRowCount="1">
  <autoFilter ref="A4:AB304"/>
  <tableColumns count="28">
    <tableColumn id="1" name="N°">
      <calculatedColumnFormula>IF(NOT((COUNTA(tblAct_RN[[#This Row],[Macro Actividad]:[Avance Semana 4 (%)]])+COUNTA(tblAct_RN[[#This Row],[Observaciones]]))&gt;0),"",IF(tblAct_RN[[#This Row],[Tipo (aux)]]="Macro",COUNTIFS(INDEX(tblAct_RN[Tipo (aux)],1):tblAct_RN[[#This Row],[Tipo (aux)]],"Macro",INDEX(tblAct_RN[Mes],1):tblAct_RN[[#This Row],[Mes]],tblAct_RN[[#This Row],[Mes]]),IF(N(tblAct_RN[[#This Row],[Grupo (aux)]])=0,"?",COUNTIFS(INDEX($S$5:$S$1000,1):INDEX($S$5:$S$1000,tblAct_RN[[#This Row],[Grupo (aux)]]-4),"Macro",INDEX($P$5:$P$1000,1):INDEX($P$5:$P$1000,tblAct_RN[[#This Row],[Grupo (aux)]]-4),INDEX($P$5:$P$1000,tblAct_RN[[#This Row],[Grupo (aux)]]-4))&amp;"."&amp;COUNTIFS(INDEX(tblAct_RN[Grupo (aux)],1):tblAct_RN[[#This Row],[Grupo (aux)]],tblAct_RN[[#This Row],[Grupo (aux)]],INDEX(tblAct_RN[Tipo (aux)],1):tblAct_RN[[#This Row],[Tipo (aux)]],"Sub"))))</calculatedColumnFormula>
    </tableColumn>
    <tableColumn id="2" name="Macro Actividad"/>
    <tableColumn id="3" name="Subactividad"/>
    <tableColumn id="4" name="Responsable"/>
    <tableColumn id="5" name="Fecha de inicio"/>
    <tableColumn id="6" name="Fecha límite"/>
    <tableColumn id="7" name="Peso de actividad (%)"/>
    <tableColumn id="8" name="Avance Semana 1 (%)"/>
    <tableColumn id="9" name="Avance Semana 2 (%)"/>
    <tableColumn id="10" name="Avance Semana 3 (%)"/>
    <tableColumn id="11" name="Avance Semana 4 (%)"/>
    <tableColumn id="12" name="% de Avance Total Actual">
      <calculatedColumnFormula>IF(NOT((COUNTA(tblAct_RN[[#This Row],[Macro Actividad]:[Avance Semana 4 (%)]])+COUNTA(tblAct_RN[[#This Row],[Observaciones]]))&gt;0),"",IF(N(tblAct_RN[[#This Row],[N subactividades (aux)]])&gt;0,tblAct_RN[[#This Row],[Efectivo S4 (aux)]],IFERROR(LOOKUP(2,1/(tblAct_RN[[#This Row],[Avance Semana 1 (%)]:[Avance Semana 4 (%)]]&lt;&gt;""),tblAct_RN[[#This Row],[Avance Semana 1 (%)]:[Avance Semana 4 (%)]]),0)))</calculatedColumnFormula>
    </tableColumn>
    <tableColumn id="13" name="Estado">
      <calculatedColumnFormula>IF(tblAct_RN[[#This Row],[% de Avance Total Actual]]="","",IF(tblAct_RN[[#This Row],[% de Avance Total Actual]]&gt;=1,"Completado",IF(tblAct_RN[[#This Row],[% de Avance Total Actual]]&gt;0,"En curso","Pendiente")))</calculatedColumnFormula>
    </tableColumn>
    <tableColumn id="14" name="Observaciones"/>
    <tableColumn id="15" name="Revisión automática (alertas)">
      <calculatedColumnFormula>IF(NOT((COUNTA(tblAct_RN[[#This Row],[Macro Actividad]:[Avance Semana 4 (%)]])+COUNTA(tblAct_RN[[#This Row],[Observaciones]]))&gt;0),"",IF((IF(AND(tblAct_RN[[#This Row],[Tipo (aux)]]="Macro",tblAct_RN[[#This Row],[Macro Actividad]]=""),"Macroactividad vacía"&amp;" · ","")&amp;IF(AND(tblAct_RN[[#This Row],[Macro Actividad]]&lt;&gt;"",tblAct_RN[[#This Row],[Subactividad]]&lt;&gt;""),"Escriba la subactividad en otra fila, debajo de su macroactividad"&amp;" · ","")&amp;IF(AND(tblAct_RN[[#This Row],[Tipo (aux)]]="Sub",N(tblAct_RN[[#This Row],[Grupo (aux)]])=0),"Subactividad sin macroactividad arriba"&amp;" · ","")&amp;IF(tblAct_RN[[#This Row],[Responsable]]="","Sin responsable"&amp;" · ","")&amp;IF(tblAct_RN[[#This Row],[Fecha de inicio]]="","Sin fecha de inicio"&amp;" · ","")&amp;IF(tblAct_RN[[#This Row],[Fecha límite]]="","Sin fecha límite"&amp;" · ","")&amp;IF(OR(AND(tblAct_RN[[#This Row],[Fecha de inicio]]&lt;&gt;"",NOT(ISNUMBER(tblAct_RN[[#This Row],[Fecha de inicio]]))),AND(tblAct_RN[[#This Row],[Fecha límite]]&lt;&gt;"",NOT(ISNUMBER(tblAct_RN[[#This Row],[Fecha límite]])))),"Fecha no válida"&amp;" · ","")&amp;IF(AND(ISNUMBER(tblAct_RN[[#This Row],[Fecha de inicio]]),ISNUMBER(tblAct_RN[[#This Row],[Fecha límite]]),tblAct_RN[[#This Row],[Fecha de inicio]]&gt;tblAct_RN[[#This Row],[Fecha límite]]),"Inicio posterior a fecha límite"&amp;" · ","")&amp;IF(AND(tblAct_RN[[#This Row],[Tipo (aux)]]="Macro",tblAct_RN[[#This Row],[Peso de actividad (%)]]=""),"Peso vacío"&amp;" · ","")&amp;IF(AND(tblAct_RN[[#This Row],[Tipo (aux)]]="Macro",tblAct_RN[[#This Row],[Peso de actividad (%)]]&lt;&gt;"",OR(NOT(ISNUMBER(tblAct_RN[[#This Row],[Peso de actividad (%)]])),tblAct_RN[[#This Row],[Peso de actividad (%)]]&lt;=0,tblAct_RN[[#This Row],[Peso de actividad (%)]]&gt;1)),"Peso fuera de rango"&amp;" · ","")&amp;IF(AND(tblAct_RN[[#This Row],[Tipo (aux)]]="Sub",tblAct_RN[[#This Row],[Peso de actividad (%)]]&lt;&gt;""),"Las subactividades no llevan peso"&amp;" · ","")&amp;IF(AND(tblAct_RN[[#This Row],[Tipo (aux)]]="Macro",ABS(SUMIFS($G$5:$G$1000,$P$5:$P$1000,tblAct_RN[[#This Row],[Mes]],$S$5:$S$1000,"Macro")-1)&gt;0.0001),"Pesos del mes suman "&amp;TEXT(SUMIFS($G$5:$G$1000,$P$5:$P$1000,tblAct_RN[[#This Row],[Mes]],$S$5:$S$1000,"Macro"),"0%")&amp;"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Row],[Fecha límite]]),tblAct_RN[[#This Row],[Fecha límite]]&lt;FechaRef,N(tblAct_RN[[#This Row],[% de Avance Total Actual]])&lt;1),"Vencida"&amp;" · ","")&amp;IF(AND(ObsObligatoria="Sí",ISNUMBER(tblAct_RN[[#This Row],[Fecha límite]]),tblAct_RN[[#This Row],[Fecha límite]]&lt;FechaRef,N(tblAct_RN[[#This Row],[% de Avance Total Actual]])&lt;1,tblAct_RN[[#This Row],[Observaciones]]=""),"Vencida sin observación"&amp;" · ",""))="","✔ OK","⚠ "&amp;LEFT(IF(AND(tblAct_RN[[#This Row],[Tipo (aux)]]="Macro",tblAct_RN[[#This Row],[Macro Actividad]]=""),"Macroactividad vacía"&amp;" · ","")&amp;IF(AND(tblAct_RN[[#This Row],[Macro Actividad]]&lt;&gt;"",tblAct_RN[[#This Row],[Subactividad]]&lt;&gt;""),"Escriba la subactividad en otra fila, debajo de su macroactividad"&amp;" · ","")&amp;IF(AND(tblAct_RN[[#This Row],[Tipo (aux)]]="Sub",N(tblAct_RN[[#This Row],[Grupo (aux)]])=0),"Subactividad sin macroactividad arriba"&amp;" · ","")&amp;IF(tblAct_RN[[#This Row],[Responsable]]="","Sin responsable"&amp;" · ","")&amp;IF(tblAct_RN[[#This Row],[Fecha de inicio]]="","Sin fecha de inicio"&amp;" · ","")&amp;IF(tblAct_RN[[#This Row],[Fecha límite]]="","Sin fecha límite"&amp;" · ","")&amp;IF(OR(AND(tblAct_RN[[#This Row],[Fecha de inicio]]&lt;&gt;"",NOT(ISNUMBER(tblAct_RN[[#This Row],[Fecha de inicio]]))),AND(tblAct_RN[[#This Row],[Fecha límite]]&lt;&gt;"",NOT(ISNUMBER(tblAct_RN[[#This Row],[Fecha límite]])))),"Fecha no válida"&amp;" · ","")&amp;IF(AND(ISNUMBER(tblAct_RN[[#This Row],[Fecha de inicio]]),ISNUMBER(tblAct_RN[[#This Row],[Fecha límite]]),tblAct_RN[[#This Row],[Fecha de inicio]]&gt;tblAct_RN[[#This Row],[Fecha límite]]),"Inicio posterior a fecha límite"&amp;" · ","")&amp;IF(AND(tblAct_RN[[#This Row],[Tipo (aux)]]="Macro",tblAct_RN[[#This Row],[Peso de actividad (%)]]=""),"Peso vacío"&amp;" · ","")&amp;IF(AND(tblAct_RN[[#This Row],[Tipo (aux)]]="Macro",tblAct_RN[[#This Row],[Peso de actividad (%)]]&lt;&gt;"",OR(NOT(ISNUMBER(tblAct_RN[[#This Row],[Peso de actividad (%)]])),tblAct_RN[[#This Row],[Peso de actividad (%)]]&lt;=0,tblAct_RN[[#This Row],[Peso de actividad (%)]]&gt;1)),"Peso fuera de rango"&amp;" · ","")&amp;IF(AND(tblAct_RN[[#This Row],[Tipo (aux)]]="Sub",tblAct_RN[[#This Row],[Peso de actividad (%)]]&lt;&gt;""),"Las subactividades no llevan peso"&amp;" · ","")&amp;IF(AND(tblAct_RN[[#This Row],[Tipo (aux)]]="Macro",ABS(SUMIFS($G$5:$G$1000,$P$5:$P$1000,tblAct_RN[[#This Row],[Mes]],$S$5:$S$1000,"Macro")-1)&gt;0.0001),"Pesos del mes suman "&amp;TEXT(SUMIFS($G$5:$G$1000,$P$5:$P$1000,tblAct_RN[[#This Row],[Mes]],$S$5:$S$1000,"Macro"),"0%")&amp;"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Row],[Fecha límite]]),tblAct_RN[[#This Row],[Fecha límite]]&lt;FechaRef,N(tblAct_RN[[#This Row],[% de Avance Total Actual]])&lt;1),"Vencida"&amp;" · ","")&amp;IF(AND(ObsObligatoria="Sí",ISNUMBER(tblAct_RN[[#This Row],[Fecha límite]]),tblAct_RN[[#This Row],[Fecha límite]]&lt;FechaRef,N(tblAct_RN[[#This Row],[% de Avance Total Actual]])&lt;1,tblAct_RN[[#This Row],[Observaciones]]=""),"Vencida sin observación"&amp;" · ",""),LEN(IF(AND(tblAct_RN[[#This Row],[Tipo (aux)]]="Macro",tblAct_RN[[#This Row],[Macro Actividad]]=""),"Macroactividad vacía"&amp;" · ","")&amp;IF(AND(tblAct_RN[[#This Row],[Macro Actividad]]&lt;&gt;"",tblAct_RN[[#This Row],[Subactividad]]&lt;&gt;""),"Escriba la subactividad en otra fila, debajo de su macroactividad"&amp;" · ","")&amp;IF(AND(tblAct_RN[[#This Row],[Tipo (aux)]]="Sub",N(tblAct_RN[[#This Row],[Grupo (aux)]])=0),"Subactividad sin macroactividad arriba"&amp;" · ","")&amp;IF(tblAct_RN[[#This Row],[Responsable]]="","Sin responsable"&amp;" · ","")&amp;IF(tblAct_RN[[#This Row],[Fecha de inicio]]="","Sin fecha de inicio"&amp;" · ","")&amp;IF(tblAct_RN[[#This Row],[Fecha límite]]="","Sin fecha límite"&amp;" · ","")&amp;IF(OR(AND(tblAct_RN[[#This Row],[Fecha de inicio]]&lt;&gt;"",NOT(ISNUMBER(tblAct_RN[[#This Row],[Fecha de inicio]]))),AND(tblAct_RN[[#This Row],[Fecha límite]]&lt;&gt;"",NOT(ISNUMBER(tblAct_RN[[#This Row],[Fecha límite]])))),"Fecha no válida"&amp;" · ","")&amp;IF(AND(ISNUMBER(tblAct_RN[[#This Row],[Fecha de inicio]]),ISNUMBER(tblAct_RN[[#This Row],[Fecha límite]]),tblAct_RN[[#This Row],[Fecha de inicio]]&gt;tblAct_RN[[#This Row],[Fecha límite]]),"Inicio posterior a fecha límite"&amp;" · ","")&amp;IF(AND(tblAct_RN[[#This Row],[Tipo (aux)]]="Macro",tblAct_RN[[#This Row],[Peso de actividad (%)]]=""),"Peso vacío"&amp;" · ","")&amp;IF(AND(tblAct_RN[[#This Row],[Tipo (aux)]]="Macro",tblAct_RN[[#This Row],[Peso de actividad (%)]]&lt;&gt;"",OR(NOT(ISNUMBER(tblAct_RN[[#This Row],[Peso de actividad (%)]])),tblAct_RN[[#This Row],[Peso de actividad (%)]]&lt;=0,tblAct_RN[[#This Row],[Peso de actividad (%)]]&gt;1)),"Peso fuera de rango"&amp;" · ","")&amp;IF(AND(tblAct_RN[[#This Row],[Tipo (aux)]]="Sub",tblAct_RN[[#This Row],[Peso de actividad (%)]]&lt;&gt;""),"Las subactividades no llevan peso"&amp;" · ","")&amp;IF(AND(tblAct_RN[[#This Row],[Tipo (aux)]]="Macro",ABS(SUMIFS($G$5:$G$1000,$P$5:$P$1000,tblAct_RN[[#This Row],[Mes]],$S$5:$S$1000,"Macro")-1)&gt;0.0001),"Pesos del mes suman "&amp;TEXT(SUMIFS($G$5:$G$1000,$P$5:$P$1000,tblAct_RN[[#This Row],[Mes]],$S$5:$S$1000,"Macro"),"0%")&amp;"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Row],[Fecha límite]]),tblAct_RN[[#This Row],[Fecha límite]]&lt;FechaRef,N(tblAct_RN[[#This Row],[% de Avance Total Actual]])&lt;1),"Vencida"&amp;" · ","")&amp;IF(AND(ObsObligatoria="Sí",ISNUMBER(tblAct_RN[[#This Row],[Fecha límite]]),tblAct_RN[[#This Row],[Fecha límite]]&lt;FechaRef,N(tblAct_RN[[#This Row],[% de Avance Total Actual]])&lt;1,tblAct_RN[[#This Row],[Observaciones]]=""),"Vencida sin observación"&amp;" · ",""))-3)))</calculatedColumnFormula>
    </tableColumn>
    <tableColumn id="16" name="Mes">
      <calculatedColumnFormula>IF(NOT((COUNTA(tblAct_RN[[#This Row],[Macro Actividad]:[Avance Semana 4 (%)]])+COUNTA(tblAct_RN[[#This Row],[Observaciones]]))&gt;0),"",IF(AND(tblAct_RN[[#This Row],[Tipo (aux)]]="Sub",N(tblAct_RN[[#This Row],[Grupo (aux)]])&gt;0),IF(ISNUMBER(INDEX($E$5:$E$1000,tblAct_RN[[#This Row],[Grupo (aux)]]-4)),DATE(YEAR(INDEX($E$5:$E$1000,tblAct_RN[[#This Row],[Grupo (aux)]]-4)),MONTH(INDEX($E$5:$E$1000,tblAct_RN[[#This Row],[Grupo (aux)]]-4)),1),IF(ISNUMBER(INDEX($F$5:$F$1000,tblAct_RN[[#This Row],[Grupo (aux)]]-4)),DATE(YEAR(INDEX($F$5:$F$1000,tblAct_RN[[#This Row],[Grupo (aux)]]-4)),MONTH(INDEX($F$5:$F$1000,tblAct_RN[[#This Row],[Grupo (aux)]]-4)),1),MesCiclo)),IF(ISNUMBER(tblAct_RN[[#This Row],[Fecha de inicio]]),DATE(YEAR(tblAct_RN[[#This Row],[Fecha de inicio]]),MONTH(tblAct_RN[[#This Row],[Fecha de inicio]]),1),IF(ISNUMBER(tblAct_RN[[#This Row],[Fecha límite]]),DATE(YEAR(tblAct_RN[[#This Row],[Fecha límite]]),MONTH(tblAct_RN[[#This Row],[Fecha límite]]),1),MesCiclo))))</calculatedColumnFormula>
    </tableColumn>
    <tableColumn id="17" name="Orden en el mes (aux)">
      <calculatedColumnFormula>IF(OR(tblAct_RN[[#This Row],[Mes]]="",tblAct_RN[[#This Row],[Mes]]&lt;&gt;MesCiclo),"",COUNTIF(INDEX(tblAct_RN[Mes],1):tblAct_RN[[#This Row],[Mes]],MesCiclo))</calculatedColumnFormula>
    </tableColumn>
    <tableColumn id="18" name="Grupo (aux)">
      <calculatedColumnFormula>IF(tblAct_RN[[#This Row],[Tipo (aux)]]="","",IF(tblAct_RN[[#This Row],[Tipo (aux)]]="Macro",ROW(),IFERROR(LOOKUP(2,1/(INDEX(tblAct_RN[Tipo (aux)],1):tblAct_RN[[#This Row],[Tipo (aux)]]="Macro"),ROW(INDEX(tblAct_RN[Tipo (aux)],1):tblAct_RN[[#This Row],[Tipo (aux)]])),0)))</calculatedColumnFormula>
    </tableColumn>
    <tableColumn id="19" name="Tipo (aux)">
      <calculatedColumnFormula>IF(NOT((COUNTA(tblAct_RN[[#This Row],[Macro Actividad]:[Avance Semana 4 (%)]])+COUNTA(tblAct_RN[[#This Row],[Observaciones]]))&gt;0),"",IF(tblAct_RN[[#This Row],[Macro Actividad]]&lt;&gt;"","Macro",IF(tblAct_RN[[#This Row],[Subactividad]]&lt;&gt;"","Sub","Macro")))</calculatedColumnFormula>
    </tableColumn>
    <tableColumn id="20" name="N subactividades (aux)">
      <calculatedColumnFormula>IF(tblAct_RN[[#This Row],[Tipo (aux)]]="Macro",COUNTIFS($R$5:$R$1000,ROW(),$S$5:$S$1000,"Sub"),"")</calculatedColumnFormula>
    </tableColumn>
    <tableColumn id="21" name="Propio S1 (aux)">
      <calculatedColumnFormula>IF(tblAct_RN[[#This Row],[Tipo (aux)]]="","",IF(ISNUMBER(tblAct_RN[[#This Row],[Avance Semana 1 (%)]]),tblAct_RN[[#This Row],[Avance Semana 1 (%)]],0))</calculatedColumnFormula>
    </tableColumn>
    <tableColumn id="22" name="Propio S2 (aux)">
      <calculatedColumnFormula>IF(tblAct_RN[[#This Row],[Tipo (aux)]]="","",IF(ISNUMBER(tblAct_RN[[#This Row],[Avance Semana 2 (%)]]),tblAct_RN[[#This Row],[Avance Semana 2 (%)]],tblAct_RN[[#This Row],[Propio S1 (aux)]]))</calculatedColumnFormula>
    </tableColumn>
    <tableColumn id="23" name="Propio S3 (aux)">
      <calculatedColumnFormula>IF(tblAct_RN[[#This Row],[Tipo (aux)]]="","",IF(ISNUMBER(tblAct_RN[[#This Row],[Avance Semana 3 (%)]]),tblAct_RN[[#This Row],[Avance Semana 3 (%)]],tblAct_RN[[#This Row],[Propio S2 (aux)]]))</calculatedColumnFormula>
    </tableColumn>
    <tableColumn id="24" name="Propio S4 (aux)">
      <calculatedColumnFormula>IF(tblAct_RN[[#This Row],[Tipo (aux)]]="","",IF(ISNUMBER(tblAct_RN[[#This Row],[Avance Semana 4 (%)]]),tblAct_RN[[#This Row],[Avance Semana 4 (%)]],tblAct_RN[[#This Row],[Propio S3 (aux)]]))</calculatedColumnFormula>
    </tableColumn>
    <tableColumn id="25" name="Efectivo S1 (aux)">
      <calculatedColumnFormula>IF(tblAct_RN[[#This Row],[Tipo (aux)]]="","",IF(N(tblAct_RN[[#This Row],[N subactividades (aux)]])&gt;0,AVERAGEIFS($U$5:$U$1000,$R$5:$R$1000,ROW(),$S$5:$S$1000,"Sub"),tblAct_RN[[#This Row],[Propio S1 (aux)]]))</calculatedColumnFormula>
    </tableColumn>
    <tableColumn id="26" name="Efectivo S2 (aux)">
      <calculatedColumnFormula>IF(tblAct_RN[[#This Row],[Tipo (aux)]]="","",IF(N(tblAct_RN[[#This Row],[N subactividades (aux)]])&gt;0,AVERAGEIFS($V$5:$V$1000,$R$5:$R$1000,ROW(),$S$5:$S$1000,"Sub"),tblAct_RN[[#This Row],[Propio S2 (aux)]]))</calculatedColumnFormula>
    </tableColumn>
    <tableColumn id="27" name="Efectivo S3 (aux)">
      <calculatedColumnFormula>IF(tblAct_RN[[#This Row],[Tipo (aux)]]="","",IF(N(tblAct_RN[[#This Row],[N subactividades (aux)]])&gt;0,AVERAGEIFS($W$5:$W$1000,$R$5:$R$1000,ROW(),$S$5:$S$1000,"Sub"),tblAct_RN[[#This Row],[Propio S3 (aux)]]))</calculatedColumnFormula>
    </tableColumn>
    <tableColumn id="28" name="Efectivo S4 (aux)">
      <calculatedColumnFormula>IF(tblAct_RN[[#This Row],[Tipo (aux)]]="","",IF(N(tblAct_RN[[#This Row],[N subactividades (aux)]])&gt;0,AVERAGEIFS($X$5:$X$1000,$R$5:$R$1000,ROW(),$S$5:$S$1000,"Sub"),tblAct_RN[[#This Row],[Propio S4 (aux)]]))</calculatedColumnFormula>
    </tableColumn>
  </tableColumns>
  <tableStyleInfo name="TableStyleLight1" showRowStripes="0"/>
</table>
</file>

<file path=xl/tables/table4.xml><?xml version="1.0" encoding="utf-8"?>
<table xmlns="http://schemas.openxmlformats.org/spreadsheetml/2006/main" id="4" name="tblSem_RN" displayName="tblSem_RN" ref="A4:M104" headerRowCount="1">
  <autoFilter ref="A4:M104"/>
  <tableColumns count="13">
    <tableColumn id="1" name="N°"/>
    <tableColumn id="2" name="Macro Actividad / Subactividad"/>
    <tableColumn id="3" name="Responsable"/>
    <tableColumn id="4" name="Fecha de inicio"/>
    <tableColumn id="5" name="Fecha límite"/>
    <tableColumn id="6" name="Semana de entrega"/>
    <tableColumn id="7" name="Semana 1"/>
    <tableColumn id="8" name="Semana 2"/>
    <tableColumn id="9" name="Semana 3"/>
    <tableColumn id="10" name="Semana 4"/>
    <tableColumn id="11" name="% Avance actual"/>
    <tableColumn id="12" name="Estado"/>
    <tableColumn id="13" name="Observaciones"/>
  </tableColumns>
  <tableStyleInfo name="TableStyleLight1" showRowStripes="0"/>
</table>
</file>

<file path=xl/tables/table5.xml><?xml version="1.0" encoding="utf-8"?>
<table xmlns="http://schemas.openxmlformats.org/spreadsheetml/2006/main" id="5" name="tblAct_RF" displayName="tblAct_RF" ref="A4:AB304" headerRowCount="1">
  <autoFilter ref="A4:AB304"/>
  <tableColumns count="28">
    <tableColumn id="1" name="N°">
      <calculatedColumnFormula>IF(NOT((COUNTA(tblAct_RF[[#This Row],[Macro Actividad]:[Avance Semana 4 (%)]])+COUNTA(tblAct_RF[[#This Row],[Observaciones]]))&gt;0),"",IF(tblAct_RF[[#This Row],[Tipo (aux)]]="Macro",COUNTIFS(INDEX(tblAct_RF[Tipo (aux)],1):tblAct_RF[[#This Row],[Tipo (aux)]],"Macro",INDEX(tblAct_RF[Mes],1):tblAct_RF[[#This Row],[Mes]],tblAct_RF[[#This Row],[Mes]]),IF(N(tblAct_RF[[#This Row],[Grupo (aux)]])=0,"?",COUNTIFS(INDEX($S$5:$S$1000,1):INDEX($S$5:$S$1000,tblAct_RF[[#This Row],[Grupo (aux)]]-4),"Macro",INDEX($P$5:$P$1000,1):INDEX($P$5:$P$1000,tblAct_RF[[#This Row],[Grupo (aux)]]-4),INDEX($P$5:$P$1000,tblAct_RF[[#This Row],[Grupo (aux)]]-4))&amp;"."&amp;COUNTIFS(INDEX(tblAct_RF[Grupo (aux)],1):tblAct_RF[[#This Row],[Grupo (aux)]],tblAct_RF[[#This Row],[Grupo (aux)]],INDEX(tblAct_RF[Tipo (aux)],1):tblAct_RF[[#This Row],[Tipo (aux)]],"Sub"))))</calculatedColumnFormula>
    </tableColumn>
    <tableColumn id="2" name="Macro Actividad"/>
    <tableColumn id="3" name="Subactividad"/>
    <tableColumn id="4" name="Responsable"/>
    <tableColumn id="5" name="Fecha de inicio"/>
    <tableColumn id="6" name="Fecha límite"/>
    <tableColumn id="7" name="Peso de actividad (%)"/>
    <tableColumn id="8" name="Avance Semana 1 (%)"/>
    <tableColumn id="9" name="Avance Semana 2 (%)"/>
    <tableColumn id="10" name="Avance Semana 3 (%)"/>
    <tableColumn id="11" name="Avance Semana 4 (%)"/>
    <tableColumn id="12" name="% de Avance Total Actual">
      <calculatedColumnFormula>IF(NOT((COUNTA(tblAct_RF[[#This Row],[Macro Actividad]:[Avance Semana 4 (%)]])+COUNTA(tblAct_RF[[#This Row],[Observaciones]]))&gt;0),"",IF(N(tblAct_RF[[#This Row],[N subactividades (aux)]])&gt;0,tblAct_RF[[#This Row],[Efectivo S4 (aux)]],IFERROR(LOOKUP(2,1/(tblAct_RF[[#This Row],[Avance Semana 1 (%)]:[Avance Semana 4 (%)]]&lt;&gt;""),tblAct_RF[[#This Row],[Avance Semana 1 (%)]:[Avance Semana 4 (%)]]),0)))</calculatedColumnFormula>
    </tableColumn>
    <tableColumn id="13" name="Estado">
      <calculatedColumnFormula>IF(tblAct_RF[[#This Row],[% de Avance Total Actual]]="","",IF(tblAct_RF[[#This Row],[% de Avance Total Actual]]&gt;=1,"Completado",IF(tblAct_RF[[#This Row],[% de Avance Total Actual]]&gt;0,"En curso","Pendiente")))</calculatedColumnFormula>
    </tableColumn>
    <tableColumn id="14" name="Observaciones"/>
    <tableColumn id="15" name="Revisión automática (alertas)">
      <calculatedColumnFormula>IF(NOT((COUNTA(tblAct_RF[[#This Row],[Macro Actividad]:[Avance Semana 4 (%)]])+COUNTA(tblAct_RF[[#This Row],[Observaciones]]))&gt;0),"",IF((IF(AND(tblAct_RF[[#This Row],[Tipo (aux)]]="Macro",tblAct_RF[[#This Row],[Macro Actividad]]=""),"Macroactividad vacía"&amp;" · ","")&amp;IF(AND(tblAct_RF[[#This Row],[Macro Actividad]]&lt;&gt;"",tblAct_RF[[#This Row],[Subactividad]]&lt;&gt;""),"Escriba la subactividad en otra fila, debajo de su macroactividad"&amp;" · ","")&amp;IF(AND(tblAct_RF[[#This Row],[Tipo (aux)]]="Sub",N(tblAct_RF[[#This Row],[Grupo (aux)]])=0),"Subactividad sin macroactividad arriba"&amp;" · ","")&amp;IF(tblAct_RF[[#This Row],[Responsable]]="","Sin responsable"&amp;" · ","")&amp;IF(tblAct_RF[[#This Row],[Fecha de inicio]]="","Sin fecha de inicio"&amp;" · ","")&amp;IF(tblAct_RF[[#This Row],[Fecha límite]]="","Sin fecha límite"&amp;" · ","")&amp;IF(OR(AND(tblAct_RF[[#This Row],[Fecha de inicio]]&lt;&gt;"",NOT(ISNUMBER(tblAct_RF[[#This Row],[Fecha de inicio]]))),AND(tblAct_RF[[#This Row],[Fecha límite]]&lt;&gt;"",NOT(ISNUMBER(tblAct_RF[[#This Row],[Fecha límite]])))),"Fecha no válida"&amp;" · ","")&amp;IF(AND(ISNUMBER(tblAct_RF[[#This Row],[Fecha de inicio]]),ISNUMBER(tblAct_RF[[#This Row],[Fecha límite]]),tblAct_RF[[#This Row],[Fecha de inicio]]&gt;tblAct_RF[[#This Row],[Fecha límite]]),"Inicio posterior a fecha límite"&amp;" · ","")&amp;IF(AND(tblAct_RF[[#This Row],[Tipo (aux)]]="Macro",tblAct_RF[[#This Row],[Peso de actividad (%)]]=""),"Peso vacío"&amp;" · ","")&amp;IF(AND(tblAct_RF[[#This Row],[Tipo (aux)]]="Macro",tblAct_RF[[#This Row],[Peso de actividad (%)]]&lt;&gt;"",OR(NOT(ISNUMBER(tblAct_RF[[#This Row],[Peso de actividad (%)]])),tblAct_RF[[#This Row],[Peso de actividad (%)]]&lt;=0,tblAct_RF[[#This Row],[Peso de actividad (%)]]&gt;1)),"Peso fuera de rango"&amp;" · ","")&amp;IF(AND(tblAct_RF[[#This Row],[Tipo (aux)]]="Sub",tblAct_RF[[#This Row],[Peso de actividad (%)]]&lt;&gt;""),"Las subactividades no llevan peso"&amp;" · ","")&amp;IF(AND(tblAct_RF[[#This Row],[Tipo (aux)]]="Macro",ABS(SUMIFS($G$5:$G$1000,$P$5:$P$1000,tblAct_RF[[#This Row],[Mes]],$S$5:$S$1000,"Macro")-1)&gt;0.0001),"Pesos del mes suman "&amp;TEXT(SUMIFS($G$5:$G$1000,$P$5:$P$1000,tblAct_RF[[#This Row],[Mes]],$S$5:$S$1000,"Macro"),"0%")&amp;"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Row],[Fecha límite]]),tblAct_RF[[#This Row],[Fecha límite]]&lt;FechaRef,N(tblAct_RF[[#This Row],[% de Avance Total Actual]])&lt;1),"Vencida"&amp;" · ","")&amp;IF(AND(ObsObligatoria="Sí",ISNUMBER(tblAct_RF[[#This Row],[Fecha límite]]),tblAct_RF[[#This Row],[Fecha límite]]&lt;FechaRef,N(tblAct_RF[[#This Row],[% de Avance Total Actual]])&lt;1,tblAct_RF[[#This Row],[Observaciones]]=""),"Vencida sin observación"&amp;" · ",""))="","✔ OK","⚠ "&amp;LEFT(IF(AND(tblAct_RF[[#This Row],[Tipo (aux)]]="Macro",tblAct_RF[[#This Row],[Macro Actividad]]=""),"Macroactividad vacía"&amp;" · ","")&amp;IF(AND(tblAct_RF[[#This Row],[Macro Actividad]]&lt;&gt;"",tblAct_RF[[#This Row],[Subactividad]]&lt;&gt;""),"Escriba la subactividad en otra fila, debajo de su macroactividad"&amp;" · ","")&amp;IF(AND(tblAct_RF[[#This Row],[Tipo (aux)]]="Sub",N(tblAct_RF[[#This Row],[Grupo (aux)]])=0),"Subactividad sin macroactividad arriba"&amp;" · ","")&amp;IF(tblAct_RF[[#This Row],[Responsable]]="","Sin responsable"&amp;" · ","")&amp;IF(tblAct_RF[[#This Row],[Fecha de inicio]]="","Sin fecha de inicio"&amp;" · ","")&amp;IF(tblAct_RF[[#This Row],[Fecha límite]]="","Sin fecha límite"&amp;" · ","")&amp;IF(OR(AND(tblAct_RF[[#This Row],[Fecha de inicio]]&lt;&gt;"",NOT(ISNUMBER(tblAct_RF[[#This Row],[Fecha de inicio]]))),AND(tblAct_RF[[#This Row],[Fecha límite]]&lt;&gt;"",NOT(ISNUMBER(tblAct_RF[[#This Row],[Fecha límite]])))),"Fecha no válida"&amp;" · ","")&amp;IF(AND(ISNUMBER(tblAct_RF[[#This Row],[Fecha de inicio]]),ISNUMBER(tblAct_RF[[#This Row],[Fecha límite]]),tblAct_RF[[#This Row],[Fecha de inicio]]&gt;tblAct_RF[[#This Row],[Fecha límite]]),"Inicio posterior a fecha límite"&amp;" · ","")&amp;IF(AND(tblAct_RF[[#This Row],[Tipo (aux)]]="Macro",tblAct_RF[[#This Row],[Peso de actividad (%)]]=""),"Peso vacío"&amp;" · ","")&amp;IF(AND(tblAct_RF[[#This Row],[Tipo (aux)]]="Macro",tblAct_RF[[#This Row],[Peso de actividad (%)]]&lt;&gt;"",OR(NOT(ISNUMBER(tblAct_RF[[#This Row],[Peso de actividad (%)]])),tblAct_RF[[#This Row],[Peso de actividad (%)]]&lt;=0,tblAct_RF[[#This Row],[Peso de actividad (%)]]&gt;1)),"Peso fuera de rango"&amp;" · ","")&amp;IF(AND(tblAct_RF[[#This Row],[Tipo (aux)]]="Sub",tblAct_RF[[#This Row],[Peso de actividad (%)]]&lt;&gt;""),"Las subactividades no llevan peso"&amp;" · ","")&amp;IF(AND(tblAct_RF[[#This Row],[Tipo (aux)]]="Macro",ABS(SUMIFS($G$5:$G$1000,$P$5:$P$1000,tblAct_RF[[#This Row],[Mes]],$S$5:$S$1000,"Macro")-1)&gt;0.0001),"Pesos del mes suman "&amp;TEXT(SUMIFS($G$5:$G$1000,$P$5:$P$1000,tblAct_RF[[#This Row],[Mes]],$S$5:$S$1000,"Macro"),"0%")&amp;"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Row],[Fecha límite]]),tblAct_RF[[#This Row],[Fecha límite]]&lt;FechaRef,N(tblAct_RF[[#This Row],[% de Avance Total Actual]])&lt;1),"Vencida"&amp;" · ","")&amp;IF(AND(ObsObligatoria="Sí",ISNUMBER(tblAct_RF[[#This Row],[Fecha límite]]),tblAct_RF[[#This Row],[Fecha límite]]&lt;FechaRef,N(tblAct_RF[[#This Row],[% de Avance Total Actual]])&lt;1,tblAct_RF[[#This Row],[Observaciones]]=""),"Vencida sin observación"&amp;" · ",""),LEN(IF(AND(tblAct_RF[[#This Row],[Tipo (aux)]]="Macro",tblAct_RF[[#This Row],[Macro Actividad]]=""),"Macroactividad vacía"&amp;" · ","")&amp;IF(AND(tblAct_RF[[#This Row],[Macro Actividad]]&lt;&gt;"",tblAct_RF[[#This Row],[Subactividad]]&lt;&gt;""),"Escriba la subactividad en otra fila, debajo de su macroactividad"&amp;" · ","")&amp;IF(AND(tblAct_RF[[#This Row],[Tipo (aux)]]="Sub",N(tblAct_RF[[#This Row],[Grupo (aux)]])=0),"Subactividad sin macroactividad arriba"&amp;" · ","")&amp;IF(tblAct_RF[[#This Row],[Responsable]]="","Sin responsable"&amp;" · ","")&amp;IF(tblAct_RF[[#This Row],[Fecha de inicio]]="","Sin fecha de inicio"&amp;" · ","")&amp;IF(tblAct_RF[[#This Row],[Fecha límite]]="","Sin fecha límite"&amp;" · ","")&amp;IF(OR(AND(tblAct_RF[[#This Row],[Fecha de inicio]]&lt;&gt;"",NOT(ISNUMBER(tblAct_RF[[#This Row],[Fecha de inicio]]))),AND(tblAct_RF[[#This Row],[Fecha límite]]&lt;&gt;"",NOT(ISNUMBER(tblAct_RF[[#This Row],[Fecha límite]])))),"Fecha no válida"&amp;" · ","")&amp;IF(AND(ISNUMBER(tblAct_RF[[#This Row],[Fecha de inicio]]),ISNUMBER(tblAct_RF[[#This Row],[Fecha límite]]),tblAct_RF[[#This Row],[Fecha de inicio]]&gt;tblAct_RF[[#This Row],[Fecha límite]]),"Inicio posterior a fecha límite"&amp;" · ","")&amp;IF(AND(tblAct_RF[[#This Row],[Tipo (aux)]]="Macro",tblAct_RF[[#This Row],[Peso de actividad (%)]]=""),"Peso vacío"&amp;" · ","")&amp;IF(AND(tblAct_RF[[#This Row],[Tipo (aux)]]="Macro",tblAct_RF[[#This Row],[Peso de actividad (%)]]&lt;&gt;"",OR(NOT(ISNUMBER(tblAct_RF[[#This Row],[Peso de actividad (%)]])),tblAct_RF[[#This Row],[Peso de actividad (%)]]&lt;=0,tblAct_RF[[#This Row],[Peso de actividad (%)]]&gt;1)),"Peso fuera de rango"&amp;" · ","")&amp;IF(AND(tblAct_RF[[#This Row],[Tipo (aux)]]="Sub",tblAct_RF[[#This Row],[Peso de actividad (%)]]&lt;&gt;""),"Las subactividades no llevan peso"&amp;" · ","")&amp;IF(AND(tblAct_RF[[#This Row],[Tipo (aux)]]="Macro",ABS(SUMIFS($G$5:$G$1000,$P$5:$P$1000,tblAct_RF[[#This Row],[Mes]],$S$5:$S$1000,"Macro")-1)&gt;0.0001),"Pesos del mes suman "&amp;TEXT(SUMIFS($G$5:$G$1000,$P$5:$P$1000,tblAct_RF[[#This Row],[Mes]],$S$5:$S$1000,"Macro"),"0%")&amp;"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Row],[Fecha límite]]),tblAct_RF[[#This Row],[Fecha límite]]&lt;FechaRef,N(tblAct_RF[[#This Row],[% de Avance Total Actual]])&lt;1),"Vencida"&amp;" · ","")&amp;IF(AND(ObsObligatoria="Sí",ISNUMBER(tblAct_RF[[#This Row],[Fecha límite]]),tblAct_RF[[#This Row],[Fecha límite]]&lt;FechaRef,N(tblAct_RF[[#This Row],[% de Avance Total Actual]])&lt;1,tblAct_RF[[#This Row],[Observaciones]]=""),"Vencida sin observación"&amp;" · ",""))-3)))</calculatedColumnFormula>
    </tableColumn>
    <tableColumn id="16" name="Mes">
      <calculatedColumnFormula>IF(NOT((COUNTA(tblAct_RF[[#This Row],[Macro Actividad]:[Avance Semana 4 (%)]])+COUNTA(tblAct_RF[[#This Row],[Observaciones]]))&gt;0),"",IF(AND(tblAct_RF[[#This Row],[Tipo (aux)]]="Sub",N(tblAct_RF[[#This Row],[Grupo (aux)]])&gt;0),IF(ISNUMBER(INDEX($E$5:$E$1000,tblAct_RF[[#This Row],[Grupo (aux)]]-4)),DATE(YEAR(INDEX($E$5:$E$1000,tblAct_RF[[#This Row],[Grupo (aux)]]-4)),MONTH(INDEX($E$5:$E$1000,tblAct_RF[[#This Row],[Grupo (aux)]]-4)),1),IF(ISNUMBER(INDEX($F$5:$F$1000,tblAct_RF[[#This Row],[Grupo (aux)]]-4)),DATE(YEAR(INDEX($F$5:$F$1000,tblAct_RF[[#This Row],[Grupo (aux)]]-4)),MONTH(INDEX($F$5:$F$1000,tblAct_RF[[#This Row],[Grupo (aux)]]-4)),1),MesCiclo)),IF(ISNUMBER(tblAct_RF[[#This Row],[Fecha de inicio]]),DATE(YEAR(tblAct_RF[[#This Row],[Fecha de inicio]]),MONTH(tblAct_RF[[#This Row],[Fecha de inicio]]),1),IF(ISNUMBER(tblAct_RF[[#This Row],[Fecha límite]]),DATE(YEAR(tblAct_RF[[#This Row],[Fecha límite]]),MONTH(tblAct_RF[[#This Row],[Fecha límite]]),1),MesCiclo))))</calculatedColumnFormula>
    </tableColumn>
    <tableColumn id="17" name="Orden en el mes (aux)">
      <calculatedColumnFormula>IF(OR(tblAct_RF[[#This Row],[Mes]]="",tblAct_RF[[#This Row],[Mes]]&lt;&gt;MesCiclo),"",COUNTIF(INDEX(tblAct_RF[Mes],1):tblAct_RF[[#This Row],[Mes]],MesCiclo))</calculatedColumnFormula>
    </tableColumn>
    <tableColumn id="18" name="Grupo (aux)">
      <calculatedColumnFormula>IF(tblAct_RF[[#This Row],[Tipo (aux)]]="","",IF(tblAct_RF[[#This Row],[Tipo (aux)]]="Macro",ROW(),IFERROR(LOOKUP(2,1/(INDEX(tblAct_RF[Tipo (aux)],1):tblAct_RF[[#This Row],[Tipo (aux)]]="Macro"),ROW(INDEX(tblAct_RF[Tipo (aux)],1):tblAct_RF[[#This Row],[Tipo (aux)]])),0)))</calculatedColumnFormula>
    </tableColumn>
    <tableColumn id="19" name="Tipo (aux)">
      <calculatedColumnFormula>IF(NOT((COUNTA(tblAct_RF[[#This Row],[Macro Actividad]:[Avance Semana 4 (%)]])+COUNTA(tblAct_RF[[#This Row],[Observaciones]]))&gt;0),"",IF(tblAct_RF[[#This Row],[Macro Actividad]]&lt;&gt;"","Macro",IF(tblAct_RF[[#This Row],[Subactividad]]&lt;&gt;"","Sub","Macro")))</calculatedColumnFormula>
    </tableColumn>
    <tableColumn id="20" name="N subactividades (aux)">
      <calculatedColumnFormula>IF(tblAct_RF[[#This Row],[Tipo (aux)]]="Macro",COUNTIFS($R$5:$R$1000,ROW(),$S$5:$S$1000,"Sub"),"")</calculatedColumnFormula>
    </tableColumn>
    <tableColumn id="21" name="Propio S1 (aux)">
      <calculatedColumnFormula>IF(tblAct_RF[[#This Row],[Tipo (aux)]]="","",IF(ISNUMBER(tblAct_RF[[#This Row],[Avance Semana 1 (%)]]),tblAct_RF[[#This Row],[Avance Semana 1 (%)]],0))</calculatedColumnFormula>
    </tableColumn>
    <tableColumn id="22" name="Propio S2 (aux)">
      <calculatedColumnFormula>IF(tblAct_RF[[#This Row],[Tipo (aux)]]="","",IF(ISNUMBER(tblAct_RF[[#This Row],[Avance Semana 2 (%)]]),tblAct_RF[[#This Row],[Avance Semana 2 (%)]],tblAct_RF[[#This Row],[Propio S1 (aux)]]))</calculatedColumnFormula>
    </tableColumn>
    <tableColumn id="23" name="Propio S3 (aux)">
      <calculatedColumnFormula>IF(tblAct_RF[[#This Row],[Tipo (aux)]]="","",IF(ISNUMBER(tblAct_RF[[#This Row],[Avance Semana 3 (%)]]),tblAct_RF[[#This Row],[Avance Semana 3 (%)]],tblAct_RF[[#This Row],[Propio S2 (aux)]]))</calculatedColumnFormula>
    </tableColumn>
    <tableColumn id="24" name="Propio S4 (aux)">
      <calculatedColumnFormula>IF(tblAct_RF[[#This Row],[Tipo (aux)]]="","",IF(ISNUMBER(tblAct_RF[[#This Row],[Avance Semana 4 (%)]]),tblAct_RF[[#This Row],[Avance Semana 4 (%)]],tblAct_RF[[#This Row],[Propio S3 (aux)]]))</calculatedColumnFormula>
    </tableColumn>
    <tableColumn id="25" name="Efectivo S1 (aux)">
      <calculatedColumnFormula>IF(tblAct_RF[[#This Row],[Tipo (aux)]]="","",IF(N(tblAct_RF[[#This Row],[N subactividades (aux)]])&gt;0,AVERAGEIFS($U$5:$U$1000,$R$5:$R$1000,ROW(),$S$5:$S$1000,"Sub"),tblAct_RF[[#This Row],[Propio S1 (aux)]]))</calculatedColumnFormula>
    </tableColumn>
    <tableColumn id="26" name="Efectivo S2 (aux)">
      <calculatedColumnFormula>IF(tblAct_RF[[#This Row],[Tipo (aux)]]="","",IF(N(tblAct_RF[[#This Row],[N subactividades (aux)]])&gt;0,AVERAGEIFS($V$5:$V$1000,$R$5:$R$1000,ROW(),$S$5:$S$1000,"Sub"),tblAct_RF[[#This Row],[Propio S2 (aux)]]))</calculatedColumnFormula>
    </tableColumn>
    <tableColumn id="27" name="Efectivo S3 (aux)">
      <calculatedColumnFormula>IF(tblAct_RF[[#This Row],[Tipo (aux)]]="","",IF(N(tblAct_RF[[#This Row],[N subactividades (aux)]])&gt;0,AVERAGEIFS($W$5:$W$1000,$R$5:$R$1000,ROW(),$S$5:$S$1000,"Sub"),tblAct_RF[[#This Row],[Propio S3 (aux)]]))</calculatedColumnFormula>
    </tableColumn>
    <tableColumn id="28" name="Efectivo S4 (aux)">
      <calculatedColumnFormula>IF(tblAct_RF[[#This Row],[Tipo (aux)]]="","",IF(N(tblAct_RF[[#This Row],[N subactividades (aux)]])&gt;0,AVERAGEIFS($X$5:$X$1000,$R$5:$R$1000,ROW(),$S$5:$S$1000,"Sub"),tblAct_RF[[#This Row],[Propio S4 (aux)]]))</calculatedColumnFormula>
    </tableColumn>
  </tableColumns>
  <tableStyleInfo name="TableStyleLight1" showRowStripes="0"/>
</table>
</file>

<file path=xl/tables/table6.xml><?xml version="1.0" encoding="utf-8"?>
<table xmlns="http://schemas.openxmlformats.org/spreadsheetml/2006/main" id="6" name="tblSem_RF" displayName="tblSem_RF" ref="A4:M104" headerRowCount="1">
  <autoFilter ref="A4:M104"/>
  <tableColumns count="13">
    <tableColumn id="1" name="N°"/>
    <tableColumn id="2" name="Macro Actividad / Subactividad"/>
    <tableColumn id="3" name="Responsable"/>
    <tableColumn id="4" name="Fecha de inicio"/>
    <tableColumn id="5" name="Fecha límite"/>
    <tableColumn id="6" name="Semana de entrega"/>
    <tableColumn id="7" name="Semana 1"/>
    <tableColumn id="8" name="Semana 2"/>
    <tableColumn id="9" name="Semana 3"/>
    <tableColumn id="10" name="Semana 4"/>
    <tableColumn id="11" name="% Avance actual"/>
    <tableColumn id="12" name="Estado"/>
    <tableColumn id="13" name="Observaciones"/>
  </tableColumns>
  <tableStyleInfo name="TableStyleLight1" showRowStripes="0"/>
</table>
</file>

<file path=xl/tables/table7.xml><?xml version="1.0" encoding="utf-8"?>
<table xmlns="http://schemas.openxmlformats.org/spreadsheetml/2006/main" id="7" name="tblAct_ATR" displayName="tblAct_ATR" ref="A4:AB304" headerRowCount="1">
  <autoFilter ref="A4:AB304"/>
  <tableColumns count="28">
    <tableColumn id="1" name="N°">
      <calculatedColumnFormula>IF(NOT((COUNTA(tblAct_ATR[[#This Row],[Macro Actividad]:[Avance Semana 4 (%)]])+COUNTA(tblAct_ATR[[#This Row],[Observaciones]]))&gt;0),"",IF(tblAct_ATR[[#This Row],[Tipo (aux)]]="Macro",COUNTIFS(INDEX(tblAct_ATR[Tipo (aux)],1):tblAct_ATR[[#This Row],[Tipo (aux)]],"Macro",INDEX(tblAct_ATR[Mes],1):tblAct_ATR[[#This Row],[Mes]],tblAct_ATR[[#This Row],[Mes]]),IF(N(tblAct_ATR[[#This Row],[Grupo (aux)]])=0,"?",COUNTIFS(INDEX($S$5:$S$1000,1):INDEX($S$5:$S$1000,tblAct_ATR[[#This Row],[Grupo (aux)]]-4),"Macro",INDEX($P$5:$P$1000,1):INDEX($P$5:$P$1000,tblAct_ATR[[#This Row],[Grupo (aux)]]-4),INDEX($P$5:$P$1000,tblAct_ATR[[#This Row],[Grupo (aux)]]-4))&amp;"."&amp;COUNTIFS(INDEX(tblAct_ATR[Grupo (aux)],1):tblAct_ATR[[#This Row],[Grupo (aux)]],tblAct_ATR[[#This Row],[Grupo (aux)]],INDEX(tblAct_ATR[Tipo (aux)],1):tblAct_ATR[[#This Row],[Tipo (aux)]],"Sub"))))</calculatedColumnFormula>
    </tableColumn>
    <tableColumn id="2" name="Macro Actividad"/>
    <tableColumn id="3" name="Subactividad"/>
    <tableColumn id="4" name="Responsable"/>
    <tableColumn id="5" name="Fecha de inicio"/>
    <tableColumn id="6" name="Fecha límite"/>
    <tableColumn id="7" name="Peso de actividad (%)"/>
    <tableColumn id="8" name="Avance Semana 1 (%)"/>
    <tableColumn id="9" name="Avance Semana 2 (%)"/>
    <tableColumn id="10" name="Avance Semana 3 (%)"/>
    <tableColumn id="11" name="Avance Semana 4 (%)"/>
    <tableColumn id="12" name="% de Avance Total Actual">
      <calculatedColumnFormula>IF(NOT((COUNTA(tblAct_ATR[[#This Row],[Macro Actividad]:[Avance Semana 4 (%)]])+COUNTA(tblAct_ATR[[#This Row],[Observaciones]]))&gt;0),"",IF(N(tblAct_ATR[[#This Row],[N subactividades (aux)]])&gt;0,tblAct_ATR[[#This Row],[Efectivo S4 (aux)]],IFERROR(LOOKUP(2,1/(tblAct_ATR[[#This Row],[Avance Semana 1 (%)]:[Avance Semana 4 (%)]]&lt;&gt;""),tblAct_ATR[[#This Row],[Avance Semana 1 (%)]:[Avance Semana 4 (%)]]),0)))</calculatedColumnFormula>
    </tableColumn>
    <tableColumn id="13" name="Estado">
      <calculatedColumnFormula>IF(tblAct_ATR[[#This Row],[% de Avance Total Actual]]="","",IF(tblAct_ATR[[#This Row],[% de Avance Total Actual]]&gt;=1,"Completado",IF(tblAct_ATR[[#This Row],[% de Avance Total Actual]]&gt;0,"En curso","Pendiente")))</calculatedColumnFormula>
    </tableColumn>
    <tableColumn id="14" name="Observaciones"/>
    <tableColumn id="15" name="Revisión automática (alertas)">
      <calculatedColumnFormula>IF(NOT((COUNTA(tblAct_ATR[[#This Row],[Macro Actividad]:[Avance Semana 4 (%)]])+COUNTA(tblAct_ATR[[#This Row],[Observaciones]]))&gt;0),"",IF((IF(AND(tblAct_ATR[[#This Row],[Tipo (aux)]]="Macro",tblAct_ATR[[#This Row],[Macro Actividad]]=""),"Macroactividad vacía"&amp;" · ","")&amp;IF(AND(tblAct_ATR[[#This Row],[Macro Actividad]]&lt;&gt;"",tblAct_ATR[[#This Row],[Subactividad]]&lt;&gt;""),"Escriba la subactividad en otra fila, debajo de su macroactividad"&amp;" · ","")&amp;IF(AND(tblAct_ATR[[#This Row],[Tipo (aux)]]="Sub",N(tblAct_ATR[[#This Row],[Grupo (aux)]])=0),"Subactividad sin macroactividad arriba"&amp;" · ","")&amp;IF(tblAct_ATR[[#This Row],[Responsable]]="","Sin responsable"&amp;" · ","")&amp;IF(tblAct_ATR[[#This Row],[Fecha de inicio]]="","Sin fecha de inicio"&amp;" · ","")&amp;IF(tblAct_ATR[[#This Row],[Fecha límite]]="","Sin fecha límite"&amp;" · ","")&amp;IF(OR(AND(tblAct_ATR[[#This Row],[Fecha de inicio]]&lt;&gt;"",NOT(ISNUMBER(tblAct_ATR[[#This Row],[Fecha de inicio]]))),AND(tblAct_ATR[[#This Row],[Fecha límite]]&lt;&gt;"",NOT(ISNUMBER(tblAct_ATR[[#This Row],[Fecha límite]])))),"Fecha no válida"&amp;" · ","")&amp;IF(AND(ISNUMBER(tblAct_ATR[[#This Row],[Fecha de inicio]]),ISNUMBER(tblAct_ATR[[#This Row],[Fecha límite]]),tblAct_ATR[[#This Row],[Fecha de inicio]]&gt;tblAct_ATR[[#This Row],[Fecha límite]]),"Inicio posterior a fecha límite"&amp;" · ","")&amp;IF(AND(tblAct_ATR[[#This Row],[Tipo (aux)]]="Macro",tblAct_ATR[[#This Row],[Peso de actividad (%)]]=""),"Peso vacío"&amp;" · ","")&amp;IF(AND(tblAct_ATR[[#This Row],[Tipo (aux)]]="Macro",tblAct_ATR[[#This Row],[Peso de actividad (%)]]&lt;&gt;"",OR(NOT(ISNUMBER(tblAct_ATR[[#This Row],[Peso de actividad (%)]])),tblAct_ATR[[#This Row],[Peso de actividad (%)]]&lt;=0,tblAct_ATR[[#This Row],[Peso de actividad (%)]]&gt;1)),"Peso fuera de rango"&amp;" · ","")&amp;IF(AND(tblAct_ATR[[#This Row],[Tipo (aux)]]="Sub",tblAct_ATR[[#This Row],[Peso de actividad (%)]]&lt;&gt;""),"Las subactividades no llevan peso"&amp;" · ","")&amp;IF(AND(tblAct_ATR[[#This Row],[Tipo (aux)]]="Macro",ABS(SUMIFS($G$5:$G$1000,$P$5:$P$1000,tblAct_ATR[[#This Row],[Mes]],$S$5:$S$1000,"Macro")-1)&gt;0.0001),"Pesos del mes suman "&amp;TEXT(SUMIFS($G$5:$G$1000,$P$5:$P$1000,tblAct_ATR[[#This Row],[Mes]],$S$5:$S$1000,"Macro"),"0%")&amp;"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Row],[Fecha límite]]),tblAct_ATR[[#This Row],[Fecha límite]]&lt;FechaRef,N(tblAct_ATR[[#This Row],[% de Avance Total Actual]])&lt;1),"Vencida"&amp;" · ","")&amp;IF(AND(ObsObligatoria="Sí",ISNUMBER(tblAct_ATR[[#This Row],[Fecha límite]]),tblAct_ATR[[#This Row],[Fecha límite]]&lt;FechaRef,N(tblAct_ATR[[#This Row],[% de Avance Total Actual]])&lt;1,tblAct_ATR[[#This Row],[Observaciones]]=""),"Vencida sin observación"&amp;" · ",""))="","✔ OK","⚠ "&amp;LEFT(IF(AND(tblAct_ATR[[#This Row],[Tipo (aux)]]="Macro",tblAct_ATR[[#This Row],[Macro Actividad]]=""),"Macroactividad vacía"&amp;" · ","")&amp;IF(AND(tblAct_ATR[[#This Row],[Macro Actividad]]&lt;&gt;"",tblAct_ATR[[#This Row],[Subactividad]]&lt;&gt;""),"Escriba la subactividad en otra fila, debajo de su macroactividad"&amp;" · ","")&amp;IF(AND(tblAct_ATR[[#This Row],[Tipo (aux)]]="Sub",N(tblAct_ATR[[#This Row],[Grupo (aux)]])=0),"Subactividad sin macroactividad arriba"&amp;" · ","")&amp;IF(tblAct_ATR[[#This Row],[Responsable]]="","Sin responsable"&amp;" · ","")&amp;IF(tblAct_ATR[[#This Row],[Fecha de inicio]]="","Sin fecha de inicio"&amp;" · ","")&amp;IF(tblAct_ATR[[#This Row],[Fecha límite]]="","Sin fecha límite"&amp;" · ","")&amp;IF(OR(AND(tblAct_ATR[[#This Row],[Fecha de inicio]]&lt;&gt;"",NOT(ISNUMBER(tblAct_ATR[[#This Row],[Fecha de inicio]]))),AND(tblAct_ATR[[#This Row],[Fecha límite]]&lt;&gt;"",NOT(ISNUMBER(tblAct_ATR[[#This Row],[Fecha límite]])))),"Fecha no válida"&amp;" · ","")&amp;IF(AND(ISNUMBER(tblAct_ATR[[#This Row],[Fecha de inicio]]),ISNUMBER(tblAct_ATR[[#This Row],[Fecha límite]]),tblAct_ATR[[#This Row],[Fecha de inicio]]&gt;tblAct_ATR[[#This Row],[Fecha límite]]),"Inicio posterior a fecha límite"&amp;" · ","")&amp;IF(AND(tblAct_ATR[[#This Row],[Tipo (aux)]]="Macro",tblAct_ATR[[#This Row],[Peso de actividad (%)]]=""),"Peso vacío"&amp;" · ","")&amp;IF(AND(tblAct_ATR[[#This Row],[Tipo (aux)]]="Macro",tblAct_ATR[[#This Row],[Peso de actividad (%)]]&lt;&gt;"",OR(NOT(ISNUMBER(tblAct_ATR[[#This Row],[Peso de actividad (%)]])),tblAct_ATR[[#This Row],[Peso de actividad (%)]]&lt;=0,tblAct_ATR[[#This Row],[Peso de actividad (%)]]&gt;1)),"Peso fuera de rango"&amp;" · ","")&amp;IF(AND(tblAct_ATR[[#This Row],[Tipo (aux)]]="Sub",tblAct_ATR[[#This Row],[Peso de actividad (%)]]&lt;&gt;""),"Las subactividades no llevan peso"&amp;" · ","")&amp;IF(AND(tblAct_ATR[[#This Row],[Tipo (aux)]]="Macro",ABS(SUMIFS($G$5:$G$1000,$P$5:$P$1000,tblAct_ATR[[#This Row],[Mes]],$S$5:$S$1000,"Macro")-1)&gt;0.0001),"Pesos del mes suman "&amp;TEXT(SUMIFS($G$5:$G$1000,$P$5:$P$1000,tblAct_ATR[[#This Row],[Mes]],$S$5:$S$1000,"Macro"),"0%")&amp;"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Row],[Fecha límite]]),tblAct_ATR[[#This Row],[Fecha límite]]&lt;FechaRef,N(tblAct_ATR[[#This Row],[% de Avance Total Actual]])&lt;1),"Vencida"&amp;" · ","")&amp;IF(AND(ObsObligatoria="Sí",ISNUMBER(tblAct_ATR[[#This Row],[Fecha límite]]),tblAct_ATR[[#This Row],[Fecha límite]]&lt;FechaRef,N(tblAct_ATR[[#This Row],[% de Avance Total Actual]])&lt;1,tblAct_ATR[[#This Row],[Observaciones]]=""),"Vencida sin observación"&amp;" · ",""),LEN(IF(AND(tblAct_ATR[[#This Row],[Tipo (aux)]]="Macro",tblAct_ATR[[#This Row],[Macro Actividad]]=""),"Macroactividad vacía"&amp;" · ","")&amp;IF(AND(tblAct_ATR[[#This Row],[Macro Actividad]]&lt;&gt;"",tblAct_ATR[[#This Row],[Subactividad]]&lt;&gt;""),"Escriba la subactividad en otra fila, debajo de su macroactividad"&amp;" · ","")&amp;IF(AND(tblAct_ATR[[#This Row],[Tipo (aux)]]="Sub",N(tblAct_ATR[[#This Row],[Grupo (aux)]])=0),"Subactividad sin macroactividad arriba"&amp;" · ","")&amp;IF(tblAct_ATR[[#This Row],[Responsable]]="","Sin responsable"&amp;" · ","")&amp;IF(tblAct_ATR[[#This Row],[Fecha de inicio]]="","Sin fecha de inicio"&amp;" · ","")&amp;IF(tblAct_ATR[[#This Row],[Fecha límite]]="","Sin fecha límite"&amp;" · ","")&amp;IF(OR(AND(tblAct_ATR[[#This Row],[Fecha de inicio]]&lt;&gt;"",NOT(ISNUMBER(tblAct_ATR[[#This Row],[Fecha de inicio]]))),AND(tblAct_ATR[[#This Row],[Fecha límite]]&lt;&gt;"",NOT(ISNUMBER(tblAct_ATR[[#This Row],[Fecha límite]])))),"Fecha no válida"&amp;" · ","")&amp;IF(AND(ISNUMBER(tblAct_ATR[[#This Row],[Fecha de inicio]]),ISNUMBER(tblAct_ATR[[#This Row],[Fecha límite]]),tblAct_ATR[[#This Row],[Fecha de inicio]]&gt;tblAct_ATR[[#This Row],[Fecha límite]]),"Inicio posterior a fecha límite"&amp;" · ","")&amp;IF(AND(tblAct_ATR[[#This Row],[Tipo (aux)]]="Macro",tblAct_ATR[[#This Row],[Peso de actividad (%)]]=""),"Peso vacío"&amp;" · ","")&amp;IF(AND(tblAct_ATR[[#This Row],[Tipo (aux)]]="Macro",tblAct_ATR[[#This Row],[Peso de actividad (%)]]&lt;&gt;"",OR(NOT(ISNUMBER(tblAct_ATR[[#This Row],[Peso de actividad (%)]])),tblAct_ATR[[#This Row],[Peso de actividad (%)]]&lt;=0,tblAct_ATR[[#This Row],[Peso de actividad (%)]]&gt;1)),"Peso fuera de rango"&amp;" · ","")&amp;IF(AND(tblAct_ATR[[#This Row],[Tipo (aux)]]="Sub",tblAct_ATR[[#This Row],[Peso de actividad (%)]]&lt;&gt;""),"Las subactividades no llevan peso"&amp;" · ","")&amp;IF(AND(tblAct_ATR[[#This Row],[Tipo (aux)]]="Macro",ABS(SUMIFS($G$5:$G$1000,$P$5:$P$1000,tblAct_ATR[[#This Row],[Mes]],$S$5:$S$1000,"Macro")-1)&gt;0.0001),"Pesos del mes suman "&amp;TEXT(SUMIFS($G$5:$G$1000,$P$5:$P$1000,tblAct_ATR[[#This Row],[Mes]],$S$5:$S$1000,"Macro"),"0%")&amp;"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Row],[Fecha límite]]),tblAct_ATR[[#This Row],[Fecha límite]]&lt;FechaRef,N(tblAct_ATR[[#This Row],[% de Avance Total Actual]])&lt;1),"Vencida"&amp;" · ","")&amp;IF(AND(ObsObligatoria="Sí",ISNUMBER(tblAct_ATR[[#This Row],[Fecha límite]]),tblAct_ATR[[#This Row],[Fecha límite]]&lt;FechaRef,N(tblAct_ATR[[#This Row],[% de Avance Total Actual]])&lt;1,tblAct_ATR[[#This Row],[Observaciones]]=""),"Vencida sin observación"&amp;" · ",""))-3)))</calculatedColumnFormula>
    </tableColumn>
    <tableColumn id="16" name="Mes">
      <calculatedColumnFormula>IF(NOT((COUNTA(tblAct_ATR[[#This Row],[Macro Actividad]:[Avance Semana 4 (%)]])+COUNTA(tblAct_ATR[[#This Row],[Observaciones]]))&gt;0),"",IF(AND(tblAct_ATR[[#This Row],[Tipo (aux)]]="Sub",N(tblAct_ATR[[#This Row],[Grupo (aux)]])&gt;0),IF(ISNUMBER(INDEX($E$5:$E$1000,tblAct_ATR[[#This Row],[Grupo (aux)]]-4)),DATE(YEAR(INDEX($E$5:$E$1000,tblAct_ATR[[#This Row],[Grupo (aux)]]-4)),MONTH(INDEX($E$5:$E$1000,tblAct_ATR[[#This Row],[Grupo (aux)]]-4)),1),IF(ISNUMBER(INDEX($F$5:$F$1000,tblAct_ATR[[#This Row],[Grupo (aux)]]-4)),DATE(YEAR(INDEX($F$5:$F$1000,tblAct_ATR[[#This Row],[Grupo (aux)]]-4)),MONTH(INDEX($F$5:$F$1000,tblAct_ATR[[#This Row],[Grupo (aux)]]-4)),1),MesCiclo)),IF(ISNUMBER(tblAct_ATR[[#This Row],[Fecha de inicio]]),DATE(YEAR(tblAct_ATR[[#This Row],[Fecha de inicio]]),MONTH(tblAct_ATR[[#This Row],[Fecha de inicio]]),1),IF(ISNUMBER(tblAct_ATR[[#This Row],[Fecha límite]]),DATE(YEAR(tblAct_ATR[[#This Row],[Fecha límite]]),MONTH(tblAct_ATR[[#This Row],[Fecha límite]]),1),MesCiclo))))</calculatedColumnFormula>
    </tableColumn>
    <tableColumn id="17" name="Orden en el mes (aux)">
      <calculatedColumnFormula>IF(OR(tblAct_ATR[[#This Row],[Mes]]="",tblAct_ATR[[#This Row],[Mes]]&lt;&gt;MesCiclo),"",COUNTIF(INDEX(tblAct_ATR[Mes],1):tblAct_ATR[[#This Row],[Mes]],MesCiclo))</calculatedColumnFormula>
    </tableColumn>
    <tableColumn id="18" name="Grupo (aux)">
      <calculatedColumnFormula>IF(tblAct_ATR[[#This Row],[Tipo (aux)]]="","",IF(tblAct_ATR[[#This Row],[Tipo (aux)]]="Macro",ROW(),IFERROR(LOOKUP(2,1/(INDEX(tblAct_ATR[Tipo (aux)],1):tblAct_ATR[[#This Row],[Tipo (aux)]]="Macro"),ROW(INDEX(tblAct_ATR[Tipo (aux)],1):tblAct_ATR[[#This Row],[Tipo (aux)]])),0)))</calculatedColumnFormula>
    </tableColumn>
    <tableColumn id="19" name="Tipo (aux)">
      <calculatedColumnFormula>IF(NOT((COUNTA(tblAct_ATR[[#This Row],[Macro Actividad]:[Avance Semana 4 (%)]])+COUNTA(tblAct_ATR[[#This Row],[Observaciones]]))&gt;0),"",IF(tblAct_ATR[[#This Row],[Macro Actividad]]&lt;&gt;"","Macro",IF(tblAct_ATR[[#This Row],[Subactividad]]&lt;&gt;"","Sub","Macro")))</calculatedColumnFormula>
    </tableColumn>
    <tableColumn id="20" name="N subactividades (aux)">
      <calculatedColumnFormula>IF(tblAct_ATR[[#This Row],[Tipo (aux)]]="Macro",COUNTIFS($R$5:$R$1000,ROW(),$S$5:$S$1000,"Sub"),"")</calculatedColumnFormula>
    </tableColumn>
    <tableColumn id="21" name="Propio S1 (aux)">
      <calculatedColumnFormula>IF(tblAct_ATR[[#This Row],[Tipo (aux)]]="","",IF(ISNUMBER(tblAct_ATR[[#This Row],[Avance Semana 1 (%)]]),tblAct_ATR[[#This Row],[Avance Semana 1 (%)]],0))</calculatedColumnFormula>
    </tableColumn>
    <tableColumn id="22" name="Propio S2 (aux)">
      <calculatedColumnFormula>IF(tblAct_ATR[[#This Row],[Tipo (aux)]]="","",IF(ISNUMBER(tblAct_ATR[[#This Row],[Avance Semana 2 (%)]]),tblAct_ATR[[#This Row],[Avance Semana 2 (%)]],tblAct_ATR[[#This Row],[Propio S1 (aux)]]))</calculatedColumnFormula>
    </tableColumn>
    <tableColumn id="23" name="Propio S3 (aux)">
      <calculatedColumnFormula>IF(tblAct_ATR[[#This Row],[Tipo (aux)]]="","",IF(ISNUMBER(tblAct_ATR[[#This Row],[Avance Semana 3 (%)]]),tblAct_ATR[[#This Row],[Avance Semana 3 (%)]],tblAct_ATR[[#This Row],[Propio S2 (aux)]]))</calculatedColumnFormula>
    </tableColumn>
    <tableColumn id="24" name="Propio S4 (aux)">
      <calculatedColumnFormula>IF(tblAct_ATR[[#This Row],[Tipo (aux)]]="","",IF(ISNUMBER(tblAct_ATR[[#This Row],[Avance Semana 4 (%)]]),tblAct_ATR[[#This Row],[Avance Semana 4 (%)]],tblAct_ATR[[#This Row],[Propio S3 (aux)]]))</calculatedColumnFormula>
    </tableColumn>
    <tableColumn id="25" name="Efectivo S1 (aux)">
      <calculatedColumnFormula>IF(tblAct_ATR[[#This Row],[Tipo (aux)]]="","",IF(N(tblAct_ATR[[#This Row],[N subactividades (aux)]])&gt;0,AVERAGEIFS($U$5:$U$1000,$R$5:$R$1000,ROW(),$S$5:$S$1000,"Sub"),tblAct_ATR[[#This Row],[Propio S1 (aux)]]))</calculatedColumnFormula>
    </tableColumn>
    <tableColumn id="26" name="Efectivo S2 (aux)">
      <calculatedColumnFormula>IF(tblAct_ATR[[#This Row],[Tipo (aux)]]="","",IF(N(tblAct_ATR[[#This Row],[N subactividades (aux)]])&gt;0,AVERAGEIFS($V$5:$V$1000,$R$5:$R$1000,ROW(),$S$5:$S$1000,"Sub"),tblAct_ATR[[#This Row],[Propio S2 (aux)]]))</calculatedColumnFormula>
    </tableColumn>
    <tableColumn id="27" name="Efectivo S3 (aux)">
      <calculatedColumnFormula>IF(tblAct_ATR[[#This Row],[Tipo (aux)]]="","",IF(N(tblAct_ATR[[#This Row],[N subactividades (aux)]])&gt;0,AVERAGEIFS($W$5:$W$1000,$R$5:$R$1000,ROW(),$S$5:$S$1000,"Sub"),tblAct_ATR[[#This Row],[Propio S3 (aux)]]))</calculatedColumnFormula>
    </tableColumn>
    <tableColumn id="28" name="Efectivo S4 (aux)">
      <calculatedColumnFormula>IF(tblAct_ATR[[#This Row],[Tipo (aux)]]="","",IF(N(tblAct_ATR[[#This Row],[N subactividades (aux)]])&gt;0,AVERAGEIFS($X$5:$X$1000,$R$5:$R$1000,ROW(),$S$5:$S$1000,"Sub"),tblAct_ATR[[#This Row],[Propio S4 (aux)]]))</calculatedColumnFormula>
    </tableColumn>
  </tableColumns>
  <tableStyleInfo name="TableStyleLight1" showRowStripes="0"/>
</table>
</file>

<file path=xl/tables/table8.xml><?xml version="1.0" encoding="utf-8"?>
<table xmlns="http://schemas.openxmlformats.org/spreadsheetml/2006/main" id="8" name="tblSem_ATR" displayName="tblSem_ATR" ref="A4:M104" headerRowCount="1">
  <autoFilter ref="A4:M104"/>
  <tableColumns count="13">
    <tableColumn id="1" name="N°"/>
    <tableColumn id="2" name="Macro Actividad / Subactividad"/>
    <tableColumn id="3" name="Responsable"/>
    <tableColumn id="4" name="Fecha de inicio"/>
    <tableColumn id="5" name="Fecha límite"/>
    <tableColumn id="6" name="Semana de entrega"/>
    <tableColumn id="7" name="Semana 1"/>
    <tableColumn id="8" name="Semana 2"/>
    <tableColumn id="9" name="Semana 3"/>
    <tableColumn id="10" name="Semana 4"/>
    <tableColumn id="11" name="% Avance actual"/>
    <tableColumn id="12" name="Estado"/>
    <tableColumn id="13"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Actividades R. Operacional'!A1" TargetMode="External" Id="rId5"/><Relationship Type="http://schemas.openxmlformats.org/officeDocument/2006/relationships/hyperlink" Target="#'Actividades R. Normativo'!A1" TargetMode="External" Id="rId6"/><Relationship Type="http://schemas.openxmlformats.org/officeDocument/2006/relationships/hyperlink" Target="#'Actividades R. Financiero'!A1" TargetMode="External" Id="rId7"/><Relationship Type="http://schemas.openxmlformats.org/officeDocument/2006/relationships/hyperlink" Target="#'Actividades Asistente T&#233;cnico'!A1" TargetMode="External" Id="rId8"/><Relationship Type="http://schemas.openxmlformats.org/officeDocument/2006/relationships/drawing" Target="/xl/drawings/drawing1.xml" Id="rId9"/></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sheet1.xml><?xml version="1.0" encoding="utf-8"?>
<worksheet xmlns="http://schemas.openxmlformats.org/spreadsheetml/2006/main">
  <sheetPr>
    <outlinePr summaryBelow="1" summaryRight="1"/>
    <pageSetUpPr fitToPage="1"/>
  </sheetPr>
  <dimension ref="B1:M73"/>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8"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s>
  <sheetData>
    <row r="1" ht="34" customHeight="1">
      <c r="B1" s="1" t="inlineStr">
        <is>
          <t>Dashboard Consolidado – Gestión de Riesgos · Ciclo mensual de 4 semanas</t>
        </is>
      </c>
      <c r="C1" s="1" t="n"/>
      <c r="D1" s="1" t="n"/>
      <c r="E1" s="1" t="n"/>
      <c r="F1" s="1" t="n"/>
      <c r="G1" s="1" t="n"/>
      <c r="H1" s="1" t="n"/>
      <c r="I1" s="1" t="n"/>
      <c r="J1" s="1" t="n"/>
      <c r="K1" s="1" t="n"/>
      <c r="L1" s="1" t="n"/>
      <c r="M1" s="1" t="n"/>
    </row>
    <row r="2" ht="22" customHeight="1">
      <c r="B2" s="2" t="inlineStr">
        <is>
          <t>Período:</t>
        </is>
      </c>
      <c r="C2" s="3">
        <f>MesCiclo</f>
        <v/>
      </c>
      <c r="D2" s="2" t="inlineStr">
        <is>
          <t>Semana actual:</t>
        </is>
      </c>
      <c r="E2" s="4">
        <f>SemanaActual</f>
        <v/>
      </c>
      <c r="F2" s="2" t="inlineStr">
        <is>
          <t>Fecha de corte:</t>
        </is>
      </c>
      <c r="G2" s="5">
        <f>FechaRef</f>
        <v/>
      </c>
      <c r="H2" s="6" t="inlineStr">
        <is>
          <t>Se actualiza solo con las hojas «Cronograma …» y «Actividades …» de cada puesto. El período y la semana se calculan con la fecha de hoy (ver Configuración).</t>
        </is>
      </c>
      <c r="I2" s="6" t="n"/>
      <c r="J2" s="6" t="n"/>
      <c r="K2" s="6" t="n"/>
      <c r="L2" s="6" t="n"/>
      <c r="M2" s="6" t="n"/>
    </row>
    <row r="4" ht="20" customHeight="1">
      <c r="B4" s="7" t="inlineStr">
        <is>
          <t>Avance general de las actividades</t>
        </is>
      </c>
      <c r="C4" s="7" t="n"/>
      <c r="D4" s="7" t="n"/>
      <c r="E4" s="7" t="inlineStr">
        <is>
          <t>Meta de cumplimiento</t>
        </is>
      </c>
      <c r="F4" s="7" t="n"/>
      <c r="G4" s="7" t="n"/>
      <c r="H4" s="7" t="inlineStr">
        <is>
          <t>Macroactividades registradas</t>
        </is>
      </c>
      <c r="I4" s="7" t="n"/>
      <c r="J4" s="7" t="n"/>
      <c r="K4" s="7" t="inlineStr">
        <is>
          <t>Actividades completadas</t>
        </is>
      </c>
      <c r="L4" s="7" t="n"/>
      <c r="M4" s="7" t="n"/>
    </row>
    <row r="5" ht="38" customHeight="1">
      <c r="B5" s="8">
        <f>IF('Calculos'!$E$8,'Calculos'!$F$8,"No definitivo")</f>
        <v/>
      </c>
      <c r="C5" s="9" t="n"/>
      <c r="D5" s="9" t="n"/>
      <c r="E5" s="8">
        <f>MetaFinal</f>
        <v/>
      </c>
      <c r="F5" s="9" t="n"/>
      <c r="G5" s="9" t="n"/>
      <c r="H5" s="10">
        <f>'Calculos'!$B$11</f>
        <v/>
      </c>
      <c r="I5" s="9" t="n"/>
      <c r="J5" s="9" t="n"/>
      <c r="K5" s="10">
        <f>'Calculos'!$N$8</f>
        <v/>
      </c>
      <c r="L5" s="9" t="n"/>
      <c r="M5" s="9" t="n"/>
    </row>
    <row r="6" ht="18" customHeight="1">
      <c r="B6" s="11">
        <f>IF('Calculos'!$E$8,"Promedio simple de los 4 puestos",IF('Calculos'!$C$8=0,"Ningún puesto con datos válidos","Provisional "&amp;TEXT('Calculos'!$D$8,"0%")&amp;" ("&amp;'Calculos'!$C$8&amp;" de 4 puestos válidos)"))</f>
        <v/>
      </c>
      <c r="C6" s="11" t="n"/>
      <c r="D6" s="11" t="n"/>
      <c r="E6" s="11" t="inlineStr">
        <is>
          <t>Al cierre de la Semana 4</t>
        </is>
      </c>
      <c r="F6" s="11" t="n"/>
      <c r="G6" s="11" t="n"/>
      <c r="H6" s="11" t="inlineStr">
        <is>
          <t>En los 4 cronogramas</t>
        </is>
      </c>
      <c r="I6" s="11" t="n"/>
      <c r="J6" s="11" t="n"/>
      <c r="K6" s="11">
        <f>IF('Calculos'!$B$11=0,"—",TEXT('Calculos'!$N$8/'Calculos'!$B$11,"0%")&amp;" del total")</f>
        <v/>
      </c>
      <c r="L6" s="11" t="n"/>
      <c r="M6" s="11" t="n"/>
    </row>
    <row r="7" ht="8" customHeight="1"/>
    <row r="8" ht="20" customHeight="1">
      <c r="B8" s="7" t="inlineStr">
        <is>
          <t>Actividades en curso</t>
        </is>
      </c>
      <c r="C8" s="7" t="n"/>
      <c r="D8" s="7" t="n"/>
      <c r="E8" s="7" t="inlineStr">
        <is>
          <t>Actividades pendientes</t>
        </is>
      </c>
      <c r="F8" s="7" t="n"/>
      <c r="G8" s="7" t="n"/>
      <c r="H8" s="7" t="inlineStr">
        <is>
          <t>Puestos que alcanzaron el 100%</t>
        </is>
      </c>
      <c r="I8" s="7" t="n"/>
      <c r="J8" s="7" t="n"/>
      <c r="K8" s="7" t="inlineStr">
        <is>
          <t>Actividades con alertas</t>
        </is>
      </c>
      <c r="L8" s="7" t="n"/>
      <c r="M8" s="7" t="n"/>
    </row>
    <row r="9" ht="38" customHeight="1">
      <c r="B9" s="10">
        <f>'Calculos'!$O$8</f>
        <v/>
      </c>
      <c r="C9" s="9" t="n"/>
      <c r="D9" s="9" t="n"/>
      <c r="E9" s="10">
        <f>'Calculos'!$P$8</f>
        <v/>
      </c>
      <c r="F9" s="9" t="n"/>
      <c r="G9" s="9" t="n"/>
      <c r="H9" s="12">
        <f>'Calculos'!$B$12</f>
        <v/>
      </c>
      <c r="I9" s="9" t="n"/>
      <c r="J9" s="9" t="n"/>
      <c r="K9" s="10">
        <f>'Calculos'!$R$8</f>
        <v/>
      </c>
      <c r="L9" s="9" t="n"/>
      <c r="M9" s="9" t="n"/>
    </row>
    <row r="10" ht="18" customHeight="1">
      <c r="B10" s="11" t="inlineStr">
        <is>
          <t>Avance &gt; 0% y &lt; 100%</t>
        </is>
      </c>
      <c r="C10" s="11" t="n"/>
      <c r="D10" s="11" t="n"/>
      <c r="E10" s="11">
        <f>"De todas las actividades, vencidas: "&amp;'Calculos'!$Q$8</f>
        <v/>
      </c>
      <c r="F10" s="11" t="n"/>
      <c r="G10" s="11" t="n"/>
      <c r="H10" s="11" t="inlineStr">
        <is>
          <t>Con ponderación válida</t>
        </is>
      </c>
      <c r="I10" s="11" t="n"/>
      <c r="J10" s="11" t="n"/>
      <c r="K10" s="11">
        <f>"Próximas a vencer: "&amp;'Calculos'!$B$13</f>
        <v/>
      </c>
      <c r="L10" s="11" t="n"/>
      <c r="M10" s="11" t="n"/>
    </row>
    <row r="12" ht="30" customHeight="1">
      <c r="B12" s="13">
        <f>IF('Calculos'!$E$8,"Avance general vs meta 100%","Avance PROVISIONAL vs meta")</f>
        <v/>
      </c>
      <c r="C12" s="14">
        <f>IF('Calculos'!$E$8,'Calculos'!$F$8,N('Calculos'!$D$8))</f>
        <v/>
      </c>
      <c r="D12" s="15" t="n"/>
      <c r="E12" s="15" t="n"/>
      <c r="F12" s="15" t="n"/>
      <c r="G12" s="16">
        <f>IF('Calculos'!$B$11=0,"⚠ No hay actividades registradas en este mes. Cada puesto registra sus actividades y pesos en su hoja «Cronograma …».",IF(NOT('Calculos'!$E$8),"⚠ Avance general NO definitivo: "&amp;(4-'Calculos'!$C$8)&amp;" puesto(s) sin actividades válidas o con pesos que no suman 100%.",IF('Calculos'!$M$8,"Actividades del mes: ¡Enhorabuena, completado anticipadamente!",IF('Calculos'!$L$8,"Actividades del mes completadas: meta del 100% alcanzada.","Actividades del mes en ejecución – Semana "&amp;SemanaActual&amp;" de 4."))))</f>
        <v/>
      </c>
      <c r="H12" s="16" t="n"/>
      <c r="I12" s="16" t="n"/>
      <c r="J12" s="16" t="n"/>
      <c r="K12" s="16" t="n"/>
      <c r="L12" s="16" t="n"/>
      <c r="M12" s="16" t="n"/>
    </row>
    <row r="14" ht="24" customHeight="1">
      <c r="B14" s="17" t="inlineStr">
        <is>
          <t>Avance individual por puesto (ponderado por el peso de cada actividad)</t>
        </is>
      </c>
      <c r="C14" s="17" t="n"/>
      <c r="D14" s="17" t="n"/>
      <c r="E14" s="17" t="n"/>
      <c r="F14" s="17" t="n"/>
      <c r="G14" s="17" t="n"/>
      <c r="H14" s="17" t="n"/>
      <c r="I14" s="17" t="n"/>
      <c r="J14" s="17" t="n"/>
      <c r="K14" s="17" t="n"/>
      <c r="L14" s="17" t="n"/>
      <c r="M14" s="17" t="n"/>
    </row>
    <row r="15" ht="30" customHeight="1">
      <c r="B15" s="7" t="inlineStr">
        <is>
          <t>Puesto</t>
        </is>
      </c>
      <c r="C15" s="7" t="inlineStr">
        <is>
          <t>Avance ponderado</t>
        </is>
      </c>
      <c r="D15" s="7" t="inlineStr">
        <is>
          <t>Progreso</t>
        </is>
      </c>
      <c r="E15" s="7" t="inlineStr">
        <is>
          <t>Total actividades</t>
        </is>
      </c>
      <c r="F15" s="7" t="inlineStr">
        <is>
          <t>Completadas</t>
        </is>
      </c>
      <c r="G15" s="7" t="inlineStr">
        <is>
          <t>En curso</t>
        </is>
      </c>
      <c r="H15" s="7" t="inlineStr">
        <is>
          <t>Pendientes</t>
        </is>
      </c>
      <c r="I15" s="7" t="inlineStr">
        <is>
          <t>Vencidas</t>
        </is>
      </c>
      <c r="J15" s="7" t="inlineStr">
        <is>
          <t>Con alertas</t>
        </is>
      </c>
      <c r="K15" s="7" t="inlineStr">
        <is>
          <t>Estado general</t>
        </is>
      </c>
      <c r="L15" s="7" t="inlineStr">
        <is>
          <t>Mensaje de finalización</t>
        </is>
      </c>
      <c r="M15" s="18" t="n"/>
    </row>
    <row r="16" ht="28" customHeight="1">
      <c r="B16" s="19">
        <f>'Calculos'!A4</f>
        <v/>
      </c>
      <c r="C16" s="20">
        <f>IF('Calculos'!B4=0,"Sin actividades",IF(NOT('Calculos'!E4),"Revisar pesos",'Calculos'!F4))</f>
        <v/>
      </c>
      <c r="D16" s="21">
        <f>IF(ISNUMBER(C16),C16,0)</f>
        <v/>
      </c>
      <c r="E16" s="22">
        <f>'Calculos'!B4</f>
        <v/>
      </c>
      <c r="F16" s="22">
        <f>'Calculos'!N4</f>
        <v/>
      </c>
      <c r="G16" s="22">
        <f>'Calculos'!O4</f>
        <v/>
      </c>
      <c r="H16" s="22">
        <f>'Calculos'!P4</f>
        <v/>
      </c>
      <c r="I16" s="22">
        <f>'Calculos'!Q4</f>
        <v/>
      </c>
      <c r="J16" s="22">
        <f>'Calculos'!R4</f>
        <v/>
      </c>
      <c r="K16" s="22">
        <f>IF('Calculos'!B4=0,"Sin actividades",IF(NOT('Calculos'!E4),"Pesos suman "&amp;TEXT('Calculos'!C4,"0%")&amp;IF('Calculos'!D4&gt;0," / "&amp;'Calculos'!D4&amp;" vacío(s)",""),IF('Calculos'!L4,"Completado",IF('Calculos'!F4&gt;0,"En curso","Pendiente"))))</f>
        <v/>
      </c>
      <c r="L16" s="22">
        <f>IF('Calculos'!B4=0,"⚠ Registrar actividades",IF(NOT('Calculos'!E4),"⚠ Configurar ponderación al 100%",IF('Calculos'!M4,"¡Enhorabuena, completado anticipadamente!",IF('Calculos'!L4,"Completado","En ejecución"))))</f>
        <v/>
      </c>
      <c r="M16" s="22" t="n"/>
    </row>
    <row r="17" ht="28" customHeight="1">
      <c r="B17" s="23">
        <f>'Calculos'!A5</f>
        <v/>
      </c>
      <c r="C17" s="20">
        <f>IF('Calculos'!B5=0,"Sin actividades",IF(NOT('Calculos'!E5),"Revisar pesos",'Calculos'!F5))</f>
        <v/>
      </c>
      <c r="D17" s="21">
        <f>IF(ISNUMBER(C17),C17,0)</f>
        <v/>
      </c>
      <c r="E17" s="22">
        <f>'Calculos'!B5</f>
        <v/>
      </c>
      <c r="F17" s="22">
        <f>'Calculos'!N5</f>
        <v/>
      </c>
      <c r="G17" s="22">
        <f>'Calculos'!O5</f>
        <v/>
      </c>
      <c r="H17" s="22">
        <f>'Calculos'!P5</f>
        <v/>
      </c>
      <c r="I17" s="22">
        <f>'Calculos'!Q5</f>
        <v/>
      </c>
      <c r="J17" s="22">
        <f>'Calculos'!R5</f>
        <v/>
      </c>
      <c r="K17" s="22">
        <f>IF('Calculos'!B5=0,"Sin actividades",IF(NOT('Calculos'!E5),"Pesos suman "&amp;TEXT('Calculos'!C5,"0%")&amp;IF('Calculos'!D5&gt;0," / "&amp;'Calculos'!D5&amp;" vacío(s)",""),IF('Calculos'!L5,"Completado",IF('Calculos'!F5&gt;0,"En curso","Pendiente"))))</f>
        <v/>
      </c>
      <c r="L17" s="22">
        <f>IF('Calculos'!B5=0,"⚠ Registrar actividades",IF(NOT('Calculos'!E5),"⚠ Configurar ponderación al 100%",IF('Calculos'!M5,"¡Enhorabuena, completado anticipadamente!",IF('Calculos'!L5,"Completado","En ejecución"))))</f>
        <v/>
      </c>
      <c r="M17" s="22" t="n"/>
    </row>
    <row r="18" ht="28" customHeight="1">
      <c r="B18" s="24">
        <f>'Calculos'!A6</f>
        <v/>
      </c>
      <c r="C18" s="20">
        <f>IF('Calculos'!B6=0,"Sin actividades",IF(NOT('Calculos'!E6),"Revisar pesos",'Calculos'!F6))</f>
        <v/>
      </c>
      <c r="D18" s="21">
        <f>IF(ISNUMBER(C18),C18,0)</f>
        <v/>
      </c>
      <c r="E18" s="22">
        <f>'Calculos'!B6</f>
        <v/>
      </c>
      <c r="F18" s="22">
        <f>'Calculos'!N6</f>
        <v/>
      </c>
      <c r="G18" s="22">
        <f>'Calculos'!O6</f>
        <v/>
      </c>
      <c r="H18" s="22">
        <f>'Calculos'!P6</f>
        <v/>
      </c>
      <c r="I18" s="22">
        <f>'Calculos'!Q6</f>
        <v/>
      </c>
      <c r="J18" s="22">
        <f>'Calculos'!R6</f>
        <v/>
      </c>
      <c r="K18" s="22">
        <f>IF('Calculos'!B6=0,"Sin actividades",IF(NOT('Calculos'!E6),"Pesos suman "&amp;TEXT('Calculos'!C6,"0%")&amp;IF('Calculos'!D6&gt;0," / "&amp;'Calculos'!D6&amp;" vacío(s)",""),IF('Calculos'!L6,"Completado",IF('Calculos'!F6&gt;0,"En curso","Pendiente"))))</f>
        <v/>
      </c>
      <c r="L18" s="22">
        <f>IF('Calculos'!B6=0,"⚠ Registrar actividades",IF(NOT('Calculos'!E6),"⚠ Configurar ponderación al 100%",IF('Calculos'!M6,"¡Enhorabuena, completado anticipadamente!",IF('Calculos'!L6,"Completado","En ejecución"))))</f>
        <v/>
      </c>
      <c r="M18" s="22" t="n"/>
    </row>
    <row r="19" ht="28" customHeight="1">
      <c r="B19" s="25">
        <f>'Calculos'!A7</f>
        <v/>
      </c>
      <c r="C19" s="20">
        <f>IF('Calculos'!B7=0,"Sin actividades",IF(NOT('Calculos'!E7),"Revisar pesos",'Calculos'!F7))</f>
        <v/>
      </c>
      <c r="D19" s="21">
        <f>IF(ISNUMBER(C19),C19,0)</f>
        <v/>
      </c>
      <c r="E19" s="22">
        <f>'Calculos'!B7</f>
        <v/>
      </c>
      <c r="F19" s="22">
        <f>'Calculos'!N7</f>
        <v/>
      </c>
      <c r="G19" s="22">
        <f>'Calculos'!O7</f>
        <v/>
      </c>
      <c r="H19" s="22">
        <f>'Calculos'!P7</f>
        <v/>
      </c>
      <c r="I19" s="22">
        <f>'Calculos'!Q7</f>
        <v/>
      </c>
      <c r="J19" s="22">
        <f>'Calculos'!R7</f>
        <v/>
      </c>
      <c r="K19" s="22">
        <f>IF('Calculos'!B7=0,"Sin actividades",IF(NOT('Calculos'!E7),"Pesos suman "&amp;TEXT('Calculos'!C7,"0%")&amp;IF('Calculos'!D7&gt;0," / "&amp;'Calculos'!D7&amp;" vacío(s)",""),IF('Calculos'!L7,"Completado",IF('Calculos'!F7&gt;0,"En curso","Pendiente"))))</f>
        <v/>
      </c>
      <c r="L19" s="22">
        <f>IF('Calculos'!B7=0,"⚠ Registrar actividades",IF(NOT('Calculos'!E7),"⚠ Configurar ponderación al 100%",IF('Calculos'!M7,"¡Enhorabuena, completado anticipadamente!",IF('Calculos'!L7,"Completado","En ejecución"))))</f>
        <v/>
      </c>
      <c r="M19" s="22" t="n"/>
    </row>
    <row r="20" ht="28" customHeight="1">
      <c r="B20" s="26" t="inlineStr">
        <is>
          <t>Total actividades</t>
        </is>
      </c>
      <c r="C20" s="27">
        <f>IF('Calculos'!$E$8,'Calculos'!$F$8,"No definitivo")</f>
        <v/>
      </c>
      <c r="D20" s="28">
        <f>IF(ISNUMBER(C20),C20,0)</f>
        <v/>
      </c>
      <c r="E20" s="29">
        <f>'Calculos'!B11</f>
        <v/>
      </c>
      <c r="F20" s="29">
        <f>'Calculos'!N8</f>
        <v/>
      </c>
      <c r="G20" s="29">
        <f>'Calculos'!O8</f>
        <v/>
      </c>
      <c r="H20" s="29">
        <f>'Calculos'!P8</f>
        <v/>
      </c>
      <c r="I20" s="29">
        <f>'Calculos'!Q8</f>
        <v/>
      </c>
      <c r="J20" s="29">
        <f>'Calculos'!R8</f>
        <v/>
      </c>
      <c r="K20" s="29">
        <f>IF('Calculos'!$E$8,"Promedio 4 puestos","No definitivo")</f>
        <v/>
      </c>
      <c r="L20" s="29">
        <f>IF(NOT('Calculos'!$E$8),"⚠ Completar configuración de todos los puestos",IF('Calculos'!$M$8,"¡Enhorabuena, completado anticipadamente!",IF('Calculos'!$L$8,"Completado","En ejecución")))</f>
        <v/>
      </c>
      <c r="M20" s="29" t="n"/>
    </row>
    <row r="22" ht="24" customHeight="1">
      <c r="B22" s="17" t="inlineStr">
        <is>
          <t>Seguimiento semanal: avance acumulado ponderado e incremento semanal</t>
        </is>
      </c>
      <c r="C22" s="17" t="n"/>
      <c r="D22" s="17" t="n"/>
      <c r="E22" s="17" t="n"/>
      <c r="F22" s="17" t="n"/>
      <c r="G22" s="17" t="n"/>
      <c r="H22" s="17" t="n"/>
      <c r="I22" s="17" t="n"/>
      <c r="J22" s="17" t="n"/>
      <c r="K22" s="17" t="n"/>
      <c r="L22" s="17" t="n"/>
      <c r="M22" s="17" t="n"/>
    </row>
    <row r="23">
      <c r="C23" s="30" t="inlineStr">
        <is>
          <t>Avance ACUMULADO ponderado al cierre de cada semana</t>
        </is>
      </c>
      <c r="D23" s="30" t="n"/>
      <c r="E23" s="30" t="n"/>
      <c r="F23" s="30" t="n"/>
      <c r="H23" s="30" t="inlineStr">
        <is>
          <t>INCREMENTO respecto a la semana anterior (puntos %)</t>
        </is>
      </c>
      <c r="I23" s="30" t="n"/>
      <c r="J23" s="30" t="n"/>
      <c r="K23" s="30" t="n"/>
      <c r="L23" s="30" t="inlineStr">
        <is>
          <t>Brecha vs meta 100%</t>
        </is>
      </c>
      <c r="M23" s="30" t="n"/>
    </row>
    <row r="24">
      <c r="B24" s="31" t="inlineStr">
        <is>
          <t>Puesto / Indicador</t>
        </is>
      </c>
      <c r="C24" s="31" t="inlineStr">
        <is>
          <t>Semana 1</t>
        </is>
      </c>
      <c r="D24" s="31" t="inlineStr">
        <is>
          <t>Semana 2</t>
        </is>
      </c>
      <c r="E24" s="31" t="inlineStr">
        <is>
          <t>Semana 3</t>
        </is>
      </c>
      <c r="F24" s="31" t="inlineStr">
        <is>
          <t>Semana 4</t>
        </is>
      </c>
      <c r="H24" s="31" t="inlineStr">
        <is>
          <t>Semana 1</t>
        </is>
      </c>
      <c r="I24" s="31" t="inlineStr">
        <is>
          <t>Semana 2</t>
        </is>
      </c>
      <c r="J24" s="31" t="inlineStr">
        <is>
          <t>Semana 3</t>
        </is>
      </c>
      <c r="K24" s="31" t="inlineStr">
        <is>
          <t>Semana 4</t>
        </is>
      </c>
      <c r="L24" s="31" t="inlineStr">
        <is>
          <t>Pendiente para la meta</t>
        </is>
      </c>
      <c r="M24" s="31" t="n"/>
    </row>
    <row r="25">
      <c r="B25" s="19">
        <f>'Calculos'!A4</f>
        <v/>
      </c>
      <c r="C25" s="20">
        <f>IF(NOT('Calculos'!G$10),"",IF('Calculos'!$E4,'Calculos'!G4,"–"))</f>
        <v/>
      </c>
      <c r="D25" s="20">
        <f>IF(NOT('Calculos'!H$10),"",IF('Calculos'!$E4,'Calculos'!H4,"–"))</f>
        <v/>
      </c>
      <c r="E25" s="20">
        <f>IF(NOT('Calculos'!I$10),"",IF('Calculos'!$E4,'Calculos'!I4,"–"))</f>
        <v/>
      </c>
      <c r="F25" s="20">
        <f>IF(NOT('Calculos'!J$10),"",IF('Calculos'!$E4,'Calculos'!J4,"–"))</f>
        <v/>
      </c>
      <c r="H25" s="32">
        <f>IF(ISNUMBER(C25),C25,"")</f>
        <v/>
      </c>
      <c r="I25" s="32">
        <f>IF(AND(ISNUMBER(D25),ISNUMBER(C25)),D25-C25,"")</f>
        <v/>
      </c>
      <c r="J25" s="32">
        <f>IF(AND(ISNUMBER(E25),ISNUMBER(D25)),E25-D25,"")</f>
        <v/>
      </c>
      <c r="K25" s="32">
        <f>IF(AND(ISNUMBER(F25),ISNUMBER(E25)),F25-E25,"")</f>
        <v/>
      </c>
      <c r="L25" s="20">
        <f>IFERROR(MetaFinal-LOOKUP(2,1/ISNUMBER(C25:F25),C25:F25),"")</f>
        <v/>
      </c>
      <c r="M25" s="22" t="n"/>
    </row>
    <row r="26">
      <c r="B26" s="23">
        <f>'Calculos'!A5</f>
        <v/>
      </c>
      <c r="C26" s="20">
        <f>IF(NOT('Calculos'!G$10),"",IF('Calculos'!$E5,'Calculos'!G5,"–"))</f>
        <v/>
      </c>
      <c r="D26" s="20">
        <f>IF(NOT('Calculos'!H$10),"",IF('Calculos'!$E5,'Calculos'!H5,"–"))</f>
        <v/>
      </c>
      <c r="E26" s="20">
        <f>IF(NOT('Calculos'!I$10),"",IF('Calculos'!$E5,'Calculos'!I5,"–"))</f>
        <v/>
      </c>
      <c r="F26" s="20">
        <f>IF(NOT('Calculos'!J$10),"",IF('Calculos'!$E5,'Calculos'!J5,"–"))</f>
        <v/>
      </c>
      <c r="H26" s="32">
        <f>IF(ISNUMBER(C26),C26,"")</f>
        <v/>
      </c>
      <c r="I26" s="32">
        <f>IF(AND(ISNUMBER(D26),ISNUMBER(C26)),D26-C26,"")</f>
        <v/>
      </c>
      <c r="J26" s="32">
        <f>IF(AND(ISNUMBER(E26),ISNUMBER(D26)),E26-D26,"")</f>
        <v/>
      </c>
      <c r="K26" s="32">
        <f>IF(AND(ISNUMBER(F26),ISNUMBER(E26)),F26-E26,"")</f>
        <v/>
      </c>
      <c r="L26" s="20">
        <f>IFERROR(MetaFinal-LOOKUP(2,1/ISNUMBER(C26:F26),C26:F26),"")</f>
        <v/>
      </c>
      <c r="M26" s="22" t="n"/>
    </row>
    <row r="27">
      <c r="B27" s="24">
        <f>'Calculos'!A6</f>
        <v/>
      </c>
      <c r="C27" s="20">
        <f>IF(NOT('Calculos'!G$10),"",IF('Calculos'!$E6,'Calculos'!G6,"–"))</f>
        <v/>
      </c>
      <c r="D27" s="20">
        <f>IF(NOT('Calculos'!H$10),"",IF('Calculos'!$E6,'Calculos'!H6,"–"))</f>
        <v/>
      </c>
      <c r="E27" s="20">
        <f>IF(NOT('Calculos'!I$10),"",IF('Calculos'!$E6,'Calculos'!I6,"–"))</f>
        <v/>
      </c>
      <c r="F27" s="20">
        <f>IF(NOT('Calculos'!J$10),"",IF('Calculos'!$E6,'Calculos'!J6,"–"))</f>
        <v/>
      </c>
      <c r="H27" s="32">
        <f>IF(ISNUMBER(C27),C27,"")</f>
        <v/>
      </c>
      <c r="I27" s="32">
        <f>IF(AND(ISNUMBER(D27),ISNUMBER(C27)),D27-C27,"")</f>
        <v/>
      </c>
      <c r="J27" s="32">
        <f>IF(AND(ISNUMBER(E27),ISNUMBER(D27)),E27-D27,"")</f>
        <v/>
      </c>
      <c r="K27" s="32">
        <f>IF(AND(ISNUMBER(F27),ISNUMBER(E27)),F27-E27,"")</f>
        <v/>
      </c>
      <c r="L27" s="20">
        <f>IFERROR(MetaFinal-LOOKUP(2,1/ISNUMBER(C27:F27),C27:F27),"")</f>
        <v/>
      </c>
      <c r="M27" s="22" t="n"/>
    </row>
    <row r="28">
      <c r="B28" s="25">
        <f>'Calculos'!A7</f>
        <v/>
      </c>
      <c r="C28" s="20">
        <f>IF(NOT('Calculos'!G$10),"",IF('Calculos'!$E7,'Calculos'!G7,"–"))</f>
        <v/>
      </c>
      <c r="D28" s="20">
        <f>IF(NOT('Calculos'!H$10),"",IF('Calculos'!$E7,'Calculos'!H7,"–"))</f>
        <v/>
      </c>
      <c r="E28" s="20">
        <f>IF(NOT('Calculos'!I$10),"",IF('Calculos'!$E7,'Calculos'!I7,"–"))</f>
        <v/>
      </c>
      <c r="F28" s="20">
        <f>IF(NOT('Calculos'!J$10),"",IF('Calculos'!$E7,'Calculos'!J7,"–"))</f>
        <v/>
      </c>
      <c r="H28" s="32">
        <f>IF(ISNUMBER(C28),C28,"")</f>
        <v/>
      </c>
      <c r="I28" s="32">
        <f>IF(AND(ISNUMBER(D28),ISNUMBER(C28)),D28-C28,"")</f>
        <v/>
      </c>
      <c r="J28" s="32">
        <f>IF(AND(ISNUMBER(E28),ISNUMBER(D28)),E28-D28,"")</f>
        <v/>
      </c>
      <c r="K28" s="32">
        <f>IF(AND(ISNUMBER(F28),ISNUMBER(E28)),F28-E28,"")</f>
        <v/>
      </c>
      <c r="L28" s="20">
        <f>IFERROR(MetaFinal-LOOKUP(2,1/ISNUMBER(C28:F28),C28:F28),"")</f>
        <v/>
      </c>
      <c r="M28" s="22" t="n"/>
    </row>
    <row r="29">
      <c r="B29" s="26" t="inlineStr">
        <is>
          <t>Avance general de las actividades</t>
        </is>
      </c>
      <c r="C29" s="27">
        <f>IF(NOT('Calculos'!G$10),"",IF('Calculos'!$E$8,'Calculos'!G8,"n/d"))</f>
        <v/>
      </c>
      <c r="D29" s="27">
        <f>IF(NOT('Calculos'!H$10),"",IF('Calculos'!$E$8,'Calculos'!H8,"n/d"))</f>
        <v/>
      </c>
      <c r="E29" s="27">
        <f>IF(NOT('Calculos'!I$10),"",IF('Calculos'!$E$8,'Calculos'!I8,"n/d"))</f>
        <v/>
      </c>
      <c r="F29" s="27">
        <f>IF(NOT('Calculos'!J$10),"",IF('Calculos'!$E$8,'Calculos'!J8,"n/d"))</f>
        <v/>
      </c>
      <c r="H29" s="33">
        <f>IF(ISNUMBER(C29),C29,"")</f>
        <v/>
      </c>
      <c r="I29" s="33">
        <f>IF(AND(ISNUMBER(D29),ISNUMBER(C29)),D29-C29,"")</f>
        <v/>
      </c>
      <c r="J29" s="33">
        <f>IF(AND(ISNUMBER(E29),ISNUMBER(D29)),E29-D29,"")</f>
        <v/>
      </c>
      <c r="K29" s="33">
        <f>IF(AND(ISNUMBER(F29),ISNUMBER(E29)),F29-E29,"")</f>
        <v/>
      </c>
      <c r="L29" s="27">
        <f>IFERROR(MetaFinal-LOOKUP(2,1/ISNUMBER(C29:F29),C29:F29),"")</f>
        <v/>
      </c>
      <c r="M29" s="29" t="n"/>
    </row>
    <row r="30">
      <c r="B30" s="34" t="inlineStr">
        <is>
          <t>Plan de referencia (supuesto)</t>
        </is>
      </c>
      <c r="C30" s="35">
        <f>INDEX(PlanRef,1)</f>
        <v/>
      </c>
      <c r="D30" s="35">
        <f>INDEX(PlanRef,2)</f>
        <v/>
      </c>
      <c r="E30" s="35">
        <f>INDEX(PlanRef,3)</f>
        <v/>
      </c>
      <c r="F30" s="35">
        <f>INDEX(PlanRef,4)</f>
        <v/>
      </c>
      <c r="H30" s="36" t="n"/>
      <c r="I30" s="36" t="n"/>
      <c r="J30" s="36" t="n"/>
      <c r="K30" s="36" t="n"/>
      <c r="L30" s="37" t="n"/>
      <c r="M30" s="37" t="n"/>
    </row>
    <row r="31">
      <c r="B31" s="38" t="inlineStr">
        <is>
          <t>Meta final</t>
        </is>
      </c>
      <c r="C31" s="39">
        <f>MetaFinal</f>
        <v/>
      </c>
      <c r="D31" s="39">
        <f>MetaFinal</f>
        <v/>
      </c>
      <c r="E31" s="39">
        <f>MetaFinal</f>
        <v/>
      </c>
      <c r="F31" s="39">
        <f>MetaFinal</f>
        <v/>
      </c>
      <c r="H31" s="36" t="n"/>
      <c r="I31" s="36" t="n"/>
      <c r="J31" s="36" t="n"/>
      <c r="K31" s="36" t="n"/>
      <c r="L31" s="37" t="n"/>
      <c r="M31" s="37" t="n"/>
    </row>
    <row r="33" ht="26" customHeight="1">
      <c r="B33" s="40" t="inlineStr">
        <is>
          <t>Lectura: el acumulado NO se suma entre semanas; el incremento es la diferencia entre semanas consecutivas. «–» = puesto sin configuración válida; «n/d» = avance general no definitivo; celda vacía = semana aún no alcanzada. Ámbar = acumulado por debajo del plan de referencia.</t>
        </is>
      </c>
      <c r="C33" s="40" t="n"/>
      <c r="D33" s="40" t="n"/>
      <c r="E33" s="40" t="n"/>
      <c r="F33" s="40" t="n"/>
      <c r="G33" s="40" t="n"/>
      <c r="H33" s="40" t="n"/>
      <c r="I33" s="40" t="n"/>
      <c r="J33" s="40" t="n"/>
      <c r="K33" s="40" t="n"/>
      <c r="L33" s="40" t="n"/>
      <c r="M33" s="40" t="n"/>
    </row>
    <row r="51" ht="24" customHeight="1">
      <c r="B51" s="17" t="inlineStr">
        <is>
          <t>Control de calidad de datos</t>
        </is>
      </c>
      <c r="C51" s="17" t="n"/>
      <c r="D51" s="17" t="n"/>
      <c r="E51" s="17" t="n"/>
      <c r="F51" s="17" t="n"/>
      <c r="G51" s="17" t="n"/>
      <c r="H51" s="17" t="n"/>
      <c r="I51" s="17" t="n"/>
      <c r="J51" s="17" t="n"/>
      <c r="K51" s="17" t="n"/>
      <c r="L51" s="17" t="n"/>
      <c r="M51" s="17" t="n"/>
    </row>
    <row r="52">
      <c r="B52" s="7" t="inlineStr">
        <is>
          <t>Verificación</t>
        </is>
      </c>
      <c r="C52" s="7" t="n"/>
      <c r="D52" s="7" t="n"/>
      <c r="E52" s="7" t="n"/>
      <c r="F52" s="7" t="n"/>
      <c r="G52" s="7" t="inlineStr">
        <is>
          <t>Casos</t>
        </is>
      </c>
      <c r="H52" s="7" t="inlineStr">
        <is>
          <t>Resultado</t>
        </is>
      </c>
      <c r="I52" s="7" t="inlineStr">
        <is>
          <t>Acción sugerida</t>
        </is>
      </c>
      <c r="J52" s="7" t="n"/>
      <c r="K52" s="7" t="n"/>
      <c r="L52" s="7" t="n"/>
      <c r="M52" s="7" t="n"/>
    </row>
    <row r="53" ht="20" customHeight="1">
      <c r="B53" s="41" t="inlineStr">
        <is>
          <t>Puestos sin actividades registradas</t>
        </is>
      </c>
      <c r="C53" s="41" t="n"/>
      <c r="D53" s="41" t="n"/>
      <c r="E53" s="41" t="n"/>
      <c r="F53" s="41" t="n"/>
      <c r="G53" s="42">
        <f>COUNTIF('Calculos'!B4:B7,0)</f>
        <v/>
      </c>
      <c r="H53" s="43">
        <f>IF(G53=0,"✔ OK",IF("crit"="warn","● Atención","⚠ Revisar"))</f>
        <v/>
      </c>
      <c r="I53" s="44" t="inlineStr">
        <is>
          <t>Registrar al menos una macroactividad por puesto.</t>
        </is>
      </c>
      <c r="J53" s="44" t="n"/>
      <c r="K53" s="44" t="n"/>
      <c r="L53" s="44" t="n"/>
      <c r="M53" s="44" t="n"/>
    </row>
    <row r="54" ht="20" customHeight="1">
      <c r="B54" s="41" t="inlineStr">
        <is>
          <t>Puestos cuya ponderación no suma 100% (o con pesos vacíos)</t>
        </is>
      </c>
      <c r="C54" s="41" t="n"/>
      <c r="D54" s="41" t="n"/>
      <c r="E54" s="41" t="n"/>
      <c r="F54" s="41" t="n"/>
      <c r="G54" s="42">
        <f>COUNTIFS('Calculos'!B4:B7,"&gt;0",'Calculos'!E4:E7,FALSE)</f>
        <v/>
      </c>
      <c r="H54" s="43">
        <f>IF(G54=0,"✔ OK",IF("crit"="warn","● Atención","⚠ Revisar"))</f>
        <v/>
      </c>
      <c r="I54" s="44" t="inlineStr">
        <is>
          <t>Ajustar los pesos del puesto hasta sumar 100%.</t>
        </is>
      </c>
      <c r="J54" s="44" t="n"/>
      <c r="K54" s="44" t="n"/>
      <c r="L54" s="44" t="n"/>
      <c r="M54" s="44" t="n"/>
    </row>
    <row r="55" ht="20" customHeight="1">
      <c r="B55" s="41" t="inlineStr">
        <is>
          <t>Actividades con peso vacío o fuera de rango</t>
        </is>
      </c>
      <c r="C55" s="41" t="n"/>
      <c r="D55" s="41" t="n"/>
      <c r="E55" s="41" t="n"/>
      <c r="F55" s="41" t="n"/>
      <c r="G55" s="42">
        <f>SUMPRODUCT((rMes_RO=MesCiclo)*((ISNUMBER(SEARCH("Peso vacío",rValid_RO))+ISNUMBER(SEARCH("Peso fuera de rango",rValid_RO)))&gt;0))+SUMPRODUCT((rMes_RN=MesCiclo)*((ISNUMBER(SEARCH("Peso vacío",rValid_RN))+ISNUMBER(SEARCH("Peso fuera de rango",rValid_RN)))&gt;0))+SUMPRODUCT((rMes_RF=MesCiclo)*((ISNUMBER(SEARCH("Peso vacío",rValid_RF))+ISNUMBER(SEARCH("Peso fuera de rango",rValid_RF)))&gt;0))+SUMPRODUCT((rMes_ATR=MesCiclo)*((ISNUMBER(SEARCH("Peso vacío",rValid_ATR))+ISNUMBER(SEARCH("Peso fuera de rango",rValid_ATR)))&gt;0))</f>
        <v/>
      </c>
      <c r="H55" s="43">
        <f>IF(G55=0,"✔ OK",IF("crit"="warn","● Atención","⚠ Revisar"))</f>
        <v/>
      </c>
      <c r="I55" s="44" t="inlineStr">
        <is>
          <t>Ingresar un peso entre 0% y 100% (mayor que 0).</t>
        </is>
      </c>
      <c r="J55" s="44" t="n"/>
      <c r="K55" s="44" t="n"/>
      <c r="L55" s="44" t="n"/>
      <c r="M55" s="44" t="n"/>
    </row>
    <row r="56" ht="20" customHeight="1">
      <c r="B56" s="41" t="inlineStr">
        <is>
          <t>Actividades sin responsable</t>
        </is>
      </c>
      <c r="C56" s="41" t="n"/>
      <c r="D56" s="41" t="n"/>
      <c r="E56" s="41" t="n"/>
      <c r="F56" s="41" t="n"/>
      <c r="G56" s="42">
        <f>SUMPRODUCT((rMes_RO=MesCiclo)*((ISNUMBER(SEARCH("Sin responsable",rValid_RO)))&gt;0))+SUMPRODUCT((rMes_RN=MesCiclo)*((ISNUMBER(SEARCH("Sin responsable",rValid_RN)))&gt;0))+SUMPRODUCT((rMes_RF=MesCiclo)*((ISNUMBER(SEARCH("Sin responsable",rValid_RF)))&gt;0))+SUMPRODUCT((rMes_ATR=MesCiclo)*((ISNUMBER(SEARCH("Sin responsable",rValid_ATR)))&gt;0))</f>
        <v/>
      </c>
      <c r="H56" s="43">
        <f>IF(G56=0,"✔ OK",IF("crit"="warn","● Atención","⚠ Revisar"))</f>
        <v/>
      </c>
      <c r="I56" s="44" t="inlineStr">
        <is>
          <t>Asignar responsable.</t>
        </is>
      </c>
      <c r="J56" s="44" t="n"/>
      <c r="K56" s="44" t="n"/>
      <c r="L56" s="44" t="n"/>
      <c r="M56" s="44" t="n"/>
    </row>
    <row r="57" ht="20" customHeight="1">
      <c r="B57" s="41" t="inlineStr">
        <is>
          <t>Actividades sin fecha límite</t>
        </is>
      </c>
      <c r="C57" s="41" t="n"/>
      <c r="D57" s="41" t="n"/>
      <c r="E57" s="41" t="n"/>
      <c r="F57" s="41" t="n"/>
      <c r="G57" s="42">
        <f>SUMPRODUCT((rMes_RO=MesCiclo)*((ISNUMBER(SEARCH("Sin fecha límite",rValid_RO)))&gt;0))+SUMPRODUCT((rMes_RN=MesCiclo)*((ISNUMBER(SEARCH("Sin fecha límite",rValid_RN)))&gt;0))+SUMPRODUCT((rMes_RF=MesCiclo)*((ISNUMBER(SEARCH("Sin fecha límite",rValid_RF)))&gt;0))+SUMPRODUCT((rMes_ATR=MesCiclo)*((ISNUMBER(SEARCH("Sin fecha límite",rValid_ATR)))&gt;0))</f>
        <v/>
      </c>
      <c r="H57" s="43">
        <f>IF(G57=0,"✔ OK",IF("crit"="warn","● Atención","⚠ Revisar"))</f>
        <v/>
      </c>
      <c r="I57" s="44" t="inlineStr">
        <is>
          <t>Registrar la fecha límite.</t>
        </is>
      </c>
      <c r="J57" s="44" t="n"/>
      <c r="K57" s="44" t="n"/>
      <c r="L57" s="44" t="n"/>
      <c r="M57" s="44" t="n"/>
    </row>
    <row r="58" ht="20" customHeight="1">
      <c r="B58" s="41" t="inlineStr">
        <is>
          <t>Fechas incoherentes o no válidas (incluye sin fecha de inicio)</t>
        </is>
      </c>
      <c r="C58" s="41" t="n"/>
      <c r="D58" s="41" t="n"/>
      <c r="E58" s="41" t="n"/>
      <c r="F58" s="41" t="n"/>
      <c r="G58" s="42">
        <f>SUMPRODUCT((rMes_RO=MesCiclo)*((ISNUMBER(SEARCH("Inicio posterior",rValid_RO))+ISNUMBER(SEARCH("Fecha no válida",rValid_RO))+ISNUMBER(SEARCH("Sin fecha de inicio",rValid_RO)))&gt;0))+SUMPRODUCT((rMes_RN=MesCiclo)*((ISNUMBER(SEARCH("Inicio posterior",rValid_RN))+ISNUMBER(SEARCH("Fecha no válida",rValid_RN))+ISNUMBER(SEARCH("Sin fecha de inicio",rValid_RN)))&gt;0))+SUMPRODUCT((rMes_RF=MesCiclo)*((ISNUMBER(SEARCH("Inicio posterior",rValid_RF))+ISNUMBER(SEARCH("Fecha no válida",rValid_RF))+ISNUMBER(SEARCH("Sin fecha de inicio",rValid_RF)))&gt;0))+SUMPRODUCT((rMes_ATR=MesCiclo)*((ISNUMBER(SEARCH("Inicio posterior",rValid_ATR))+ISNUMBER(SEARCH("Fecha no válida",rValid_ATR))+ISNUMBER(SEARCH("Sin fecha de inicio",rValid_ATR)))&gt;0))</f>
        <v/>
      </c>
      <c r="H58" s="43">
        <f>IF(G58=0,"✔ OK",IF("crit"="warn","● Atención","⚠ Revisar"))</f>
        <v/>
      </c>
      <c r="I58" s="44" t="inlineStr">
        <is>
          <t>La fecha de inicio debe ser anterior o igual a la fecha límite.</t>
        </is>
      </c>
      <c r="J58" s="44" t="n"/>
      <c r="K58" s="44" t="n"/>
      <c r="L58" s="44" t="n"/>
      <c r="M58" s="44" t="n"/>
    </row>
    <row r="59" ht="20" customHeight="1">
      <c r="B59" s="41" t="inlineStr">
        <is>
          <t>Porcentajes de avance &gt; 100%, &lt; 0% o no numéricos</t>
        </is>
      </c>
      <c r="C59" s="41" t="n"/>
      <c r="D59" s="41" t="n"/>
      <c r="E59" s="41" t="n"/>
      <c r="F59" s="41" t="n"/>
      <c r="G59" s="42">
        <f>SUMPRODUCT((rMes_RO=MesCiclo)*((ISNUMBER(SEARCH("Avance fuera de rango",rValid_RO)))&gt;0))+SUMPRODUCT((rMes_RN=MesCiclo)*((ISNUMBER(SEARCH("Avance fuera de rango",rValid_RN)))&gt;0))+SUMPRODUCT((rMes_RF=MesCiclo)*((ISNUMBER(SEARCH("Avance fuera de rango",rValid_RF)))&gt;0))+SUMPRODUCT((rMes_ATR=MesCiclo)*((ISNUMBER(SEARCH("Avance fuera de rango",rValid_ATR)))&gt;0))</f>
        <v/>
      </c>
      <c r="H59" s="43">
        <f>IF(G59=0,"✔ OK",IF("crit"="warn","● Atención","⚠ Revisar"))</f>
        <v/>
      </c>
      <c r="I59" s="44" t="inlineStr">
        <is>
          <t>Corregir: los avances deben estar entre 0% y 100%.</t>
        </is>
      </c>
      <c r="J59" s="44" t="n"/>
      <c r="K59" s="44" t="n"/>
      <c r="L59" s="44" t="n"/>
      <c r="M59" s="44" t="n"/>
    </row>
    <row r="60" ht="20" customHeight="1">
      <c r="B60" s="41" t="inlineStr">
        <is>
          <t>Avance semanal menor que el de una semana anterior</t>
        </is>
      </c>
      <c r="C60" s="41" t="n"/>
      <c r="D60" s="41" t="n"/>
      <c r="E60" s="41" t="n"/>
      <c r="F60" s="41" t="n"/>
      <c r="G60" s="42">
        <f>SUMPRODUCT((rMes_RO=MesCiclo)*((ISNUMBER(SEARCH("decreciente",rValid_RO)))&gt;0))+SUMPRODUCT((rMes_RN=MesCiclo)*((ISNUMBER(SEARCH("decreciente",rValid_RN)))&gt;0))+SUMPRODUCT((rMes_RF=MesCiclo)*((ISNUMBER(SEARCH("decreciente",rValid_RF)))&gt;0))+SUMPRODUCT((rMes_ATR=MesCiclo)*((ISNUMBER(SEARCH("decreciente",rValid_ATR)))&gt;0))</f>
        <v/>
      </c>
      <c r="H60" s="43">
        <f>IF(G60=0,"✔ OK",IF("crit"="warn","● Atención","⚠ Revisar"))</f>
        <v/>
      </c>
      <c r="I60" s="44" t="inlineStr">
        <is>
          <t>Revisar: el avance es acumulado y no debería disminuir.</t>
        </is>
      </c>
      <c r="J60" s="44" t="n"/>
      <c r="K60" s="44" t="n"/>
      <c r="L60" s="44" t="n"/>
      <c r="M60" s="44" t="n"/>
    </row>
    <row r="61" ht="20" customHeight="1">
      <c r="B61" s="41" t="inlineStr">
        <is>
          <t>Actividades vencidas no completadas</t>
        </is>
      </c>
      <c r="C61" s="41" t="n"/>
      <c r="D61" s="41" t="n"/>
      <c r="E61" s="41" t="n"/>
      <c r="F61" s="41" t="n"/>
      <c r="G61" s="42">
        <f>'Calculos'!Q8</f>
        <v/>
      </c>
      <c r="H61" s="43">
        <f>IF(G61=0,"✔ OK",IF("crit"="warn","● Atención","⚠ Revisar"))</f>
        <v/>
      </c>
      <c r="I61" s="44" t="inlineStr">
        <is>
          <t>Actualizar avance o reprogramar con justificación en Observaciones.</t>
        </is>
      </c>
      <c r="J61" s="44" t="n"/>
      <c r="K61" s="44" t="n"/>
      <c r="L61" s="44" t="n"/>
      <c r="M61" s="44" t="n"/>
    </row>
    <row r="62" ht="20" customHeight="1">
      <c r="B62" s="41" t="inlineStr">
        <is>
          <t>Actividades próximas a vencer (no completadas)</t>
        </is>
      </c>
      <c r="C62" s="41" t="n"/>
      <c r="D62" s="41" t="n"/>
      <c r="E62" s="41" t="n"/>
      <c r="F62" s="41" t="n"/>
      <c r="G62" s="42">
        <f>'Calculos'!B13</f>
        <v/>
      </c>
      <c r="H62" s="43">
        <f>IF(G62=0,"✔ OK",IF("warn"="warn","● Atención","⚠ Revisar"))</f>
        <v/>
      </c>
      <c r="I62" s="44" t="inlineStr">
        <is>
          <t>Alerta preventiva: priorizar seguimiento.</t>
        </is>
      </c>
      <c r="J62" s="44" t="n"/>
      <c r="K62" s="44" t="n"/>
      <c r="L62" s="44" t="n"/>
      <c r="M62" s="44" t="n"/>
    </row>
    <row r="63" ht="20" customHeight="1">
      <c r="B63" s="41" t="inlineStr">
        <is>
          <t>Filas con datos pero sin nombre de macroactividad</t>
        </is>
      </c>
      <c r="C63" s="41" t="n"/>
      <c r="D63" s="41" t="n"/>
      <c r="E63" s="41" t="n"/>
      <c r="F63" s="41" t="n"/>
      <c r="G63" s="42">
        <f>SUMPRODUCT((rMes_RO=MesCiclo)*((ISNUMBER(SEARCH("Macroactividad vacía",rValid_RO)))&gt;0))+SUMPRODUCT((rMes_RN=MesCiclo)*((ISNUMBER(SEARCH("Macroactividad vacía",rValid_RN)))&gt;0))+SUMPRODUCT((rMes_RF=MesCiclo)*((ISNUMBER(SEARCH("Macroactividad vacía",rValid_RF)))&gt;0))+SUMPRODUCT((rMes_ATR=MesCiclo)*((ISNUMBER(SEARCH("Macroactividad vacía",rValid_ATR)))&gt;0))</f>
        <v/>
      </c>
      <c r="H63" s="43">
        <f>IF(G63=0,"✔ OK",IF("crit"="warn","● Atención","⚠ Revisar"))</f>
        <v/>
      </c>
      <c r="I63" s="44" t="inlineStr">
        <is>
          <t>Escribir el nombre de la actividad.</t>
        </is>
      </c>
      <c r="J63" s="44" t="n"/>
      <c r="K63" s="44" t="n"/>
      <c r="L63" s="44" t="n"/>
      <c r="M63" s="44" t="n"/>
    </row>
    <row r="64" ht="20" customHeight="1">
      <c r="B64" s="41" t="inlineStr">
        <is>
          <t>Actividades vencidas sin observación que explique el incumplimiento</t>
        </is>
      </c>
      <c r="C64" s="41" t="n"/>
      <c r="D64" s="41" t="n"/>
      <c r="E64" s="41" t="n"/>
      <c r="F64" s="41" t="n"/>
      <c r="G64" s="42">
        <f>SUMPRODUCT((rMes_RO=MesCiclo)*((ISNUMBER(SEARCH("sin observación",rValid_RO)))&gt;0))+SUMPRODUCT((rMes_RN=MesCiclo)*((ISNUMBER(SEARCH("sin observación",rValid_RN)))&gt;0))+SUMPRODUCT((rMes_RF=MesCiclo)*((ISNUMBER(SEARCH("sin observación",rValid_RF)))&gt;0))+SUMPRODUCT((rMes_ATR=MesCiclo)*((ISNUMBER(SEARCH("sin observación",rValid_ATR)))&gt;0))</f>
        <v/>
      </c>
      <c r="H64" s="43">
        <f>IF(G64=0,"✔ OK",IF("crit"="warn","● Atención","⚠ Revisar"))</f>
        <v/>
      </c>
      <c r="I64" s="44" t="inlineStr">
        <is>
          <t>Escribir en Observaciones por qué no se cumplió y la nueva fecha prevista.</t>
        </is>
      </c>
      <c r="J64" s="44" t="n"/>
      <c r="K64" s="44" t="n"/>
      <c r="L64" s="44" t="n"/>
      <c r="M64" s="44" t="n"/>
    </row>
    <row r="65" ht="20" customHeight="1">
      <c r="B65" s="41" t="inlineStr">
        <is>
          <t>Avance general no definitivo (puestos no válidos)</t>
        </is>
      </c>
      <c r="C65" s="41" t="n"/>
      <c r="D65" s="41" t="n"/>
      <c r="E65" s="41" t="n"/>
      <c r="F65" s="41" t="n"/>
      <c r="G65" s="42">
        <f>4-'Calculos'!C8</f>
        <v/>
      </c>
      <c r="H65" s="43">
        <f>IF(G65=0,"✔ OK",IF("crit"="warn","● Atención","⚠ Revisar"))</f>
        <v/>
      </c>
      <c r="I65" s="44" t="inlineStr">
        <is>
          <t>El avance general solo es definitivo con los 4 puestos válidos.</t>
        </is>
      </c>
      <c r="J65" s="44" t="n"/>
      <c r="K65" s="44" t="n"/>
      <c r="L65" s="44" t="n"/>
      <c r="M65" s="44" t="n"/>
    </row>
    <row r="66" ht="26" customHeight="1">
      <c r="B66" s="40" t="inlineStr">
        <is>
          <t>Detalle por actividad: columna «Revisión automática (alertas)» de la hoja «Cronograma …» de cada puesto (filtrar por «⚠»). Pendiente normal = sin avance y dentro de plazo; Vencida = fecha límite anterior a la fecha de corte sin llegar a 100%.</t>
        </is>
      </c>
      <c r="C66" s="40" t="n"/>
      <c r="D66" s="40" t="n"/>
      <c r="E66" s="40" t="n"/>
      <c r="F66" s="40" t="n"/>
      <c r="G66" s="40" t="n"/>
      <c r="H66" s="40" t="n"/>
      <c r="I66" s="40" t="n"/>
      <c r="J66" s="40" t="n"/>
      <c r="K66" s="40" t="n"/>
      <c r="L66" s="40" t="n"/>
      <c r="M66" s="40" t="n"/>
    </row>
    <row r="68" ht="24" customHeight="1">
      <c r="B68" s="17" t="inlineStr">
        <is>
          <t>Entregas por semana según la fecha límite (completadas / programadas)</t>
        </is>
      </c>
      <c r="C68" s="17" t="n"/>
      <c r="D68" s="17" t="n"/>
      <c r="E68" s="17" t="n"/>
      <c r="F68" s="17" t="n"/>
      <c r="G68" s="17" t="n"/>
      <c r="H68" s="17" t="n"/>
      <c r="I68" s="17" t="n"/>
      <c r="J68" s="17" t="n"/>
      <c r="K68" s="17" t="n"/>
      <c r="L68" s="17" t="n"/>
      <c r="M68" s="17" t="n"/>
    </row>
    <row r="69">
      <c r="B69" s="7" t="inlineStr">
        <is>
          <t>Puesto</t>
        </is>
      </c>
      <c r="C69" s="7" t="inlineStr">
        <is>
          <t>Semana 1</t>
        </is>
      </c>
      <c r="D69" s="7" t="inlineStr">
        <is>
          <t>Semana 2</t>
        </is>
      </c>
      <c r="E69" s="7" t="inlineStr">
        <is>
          <t>Semana 3</t>
        </is>
      </c>
      <c r="F69" s="7" t="inlineStr">
        <is>
          <t>Semana 4</t>
        </is>
      </c>
      <c r="G69" s="7" t="inlineStr">
        <is>
          <t>Total</t>
        </is>
      </c>
      <c r="H69" s="7" t="inlineStr">
        <is>
          <t>Vencidas</t>
        </is>
      </c>
      <c r="I69" s="7" t="inlineStr">
        <is>
          <t>Lectura</t>
        </is>
      </c>
      <c r="J69" s="7" t="n"/>
      <c r="K69" s="7" t="n"/>
      <c r="L69" s="7" t="n"/>
      <c r="M69" s="7" t="n"/>
    </row>
    <row r="70">
      <c r="B70" s="19">
        <f>'Calculos'!A4</f>
        <v/>
      </c>
      <c r="C70" s="22">
        <f>COUNTIFS(hSemana_RO,"Semana 1",hEstado_RO,"Completado",hTipo_RO,"Macro")&amp;" / "&amp;COUNTIFS(hSemana_RO,"Semana 1",hTipo_RO,"Macro")</f>
        <v/>
      </c>
      <c r="D70" s="22">
        <f>COUNTIFS(hSemana_RO,"Semana 2",hEstado_RO,"Completado",hTipo_RO,"Macro")&amp;" / "&amp;COUNTIFS(hSemana_RO,"Semana 2",hTipo_RO,"Macro")</f>
        <v/>
      </c>
      <c r="E70" s="22">
        <f>COUNTIFS(hSemana_RO,"Semana 3",hEstado_RO,"Completado",hTipo_RO,"Macro")&amp;" / "&amp;COUNTIFS(hSemana_RO,"Semana 3",hTipo_RO,"Macro")</f>
        <v/>
      </c>
      <c r="F70" s="22">
        <f>COUNTIFS(hSemana_RO,"Semana 4",hEstado_RO,"Completado",hTipo_RO,"Macro")&amp;" / "&amp;COUNTIFS(hSemana_RO,"Semana 4",hTipo_RO,"Macro")</f>
        <v/>
      </c>
      <c r="G70" s="22">
        <f>COUNTIFS(hEstado_RO,"Completado",hTipo_RO,"Macro")&amp;" / "&amp;COUNTIFS(hEstado_RO,"?*",hTipo_RO,"Macro")</f>
        <v/>
      </c>
      <c r="H70" s="22">
        <f>COUNTIFS(hEstado_RO,"Vencida",hTipo_RO,"Macro")</f>
        <v/>
      </c>
      <c r="I70" s="44">
        <f>IF(H70&gt;0,"⚠ "&amp;H70&amp;" actividad(es) vencida(s) sin completar","Sin actividades vencidas")</f>
        <v/>
      </c>
      <c r="J70" s="44" t="n"/>
      <c r="K70" s="44" t="n"/>
      <c r="L70" s="44" t="n"/>
      <c r="M70" s="44" t="n"/>
    </row>
    <row r="71">
      <c r="B71" s="23">
        <f>'Calculos'!A5</f>
        <v/>
      </c>
      <c r="C71" s="22">
        <f>COUNTIFS(hSemana_RN,"Semana 1",hEstado_RN,"Completado",hTipo_RN,"Macro")&amp;" / "&amp;COUNTIFS(hSemana_RN,"Semana 1",hTipo_RN,"Macro")</f>
        <v/>
      </c>
      <c r="D71" s="22">
        <f>COUNTIFS(hSemana_RN,"Semana 2",hEstado_RN,"Completado",hTipo_RN,"Macro")&amp;" / "&amp;COUNTIFS(hSemana_RN,"Semana 2",hTipo_RN,"Macro")</f>
        <v/>
      </c>
      <c r="E71" s="22">
        <f>COUNTIFS(hSemana_RN,"Semana 3",hEstado_RN,"Completado",hTipo_RN,"Macro")&amp;" / "&amp;COUNTIFS(hSemana_RN,"Semana 3",hTipo_RN,"Macro")</f>
        <v/>
      </c>
      <c r="F71" s="22">
        <f>COUNTIFS(hSemana_RN,"Semana 4",hEstado_RN,"Completado",hTipo_RN,"Macro")&amp;" / "&amp;COUNTIFS(hSemana_RN,"Semana 4",hTipo_RN,"Macro")</f>
        <v/>
      </c>
      <c r="G71" s="22">
        <f>COUNTIFS(hEstado_RN,"Completado",hTipo_RN,"Macro")&amp;" / "&amp;COUNTIFS(hEstado_RN,"?*",hTipo_RN,"Macro")</f>
        <v/>
      </c>
      <c r="H71" s="22">
        <f>COUNTIFS(hEstado_RN,"Vencida",hTipo_RN,"Macro")</f>
        <v/>
      </c>
      <c r="I71" s="44">
        <f>IF(H71&gt;0,"⚠ "&amp;H71&amp;" actividad(es) vencida(s) sin completar","Sin actividades vencidas")</f>
        <v/>
      </c>
      <c r="J71" s="44" t="n"/>
      <c r="K71" s="44" t="n"/>
      <c r="L71" s="44" t="n"/>
      <c r="M71" s="44" t="n"/>
    </row>
    <row r="72">
      <c r="B72" s="24">
        <f>'Calculos'!A6</f>
        <v/>
      </c>
      <c r="C72" s="22">
        <f>COUNTIFS(hSemana_RF,"Semana 1",hEstado_RF,"Completado",hTipo_RF,"Macro")&amp;" / "&amp;COUNTIFS(hSemana_RF,"Semana 1",hTipo_RF,"Macro")</f>
        <v/>
      </c>
      <c r="D72" s="22">
        <f>COUNTIFS(hSemana_RF,"Semana 2",hEstado_RF,"Completado",hTipo_RF,"Macro")&amp;" / "&amp;COUNTIFS(hSemana_RF,"Semana 2",hTipo_RF,"Macro")</f>
        <v/>
      </c>
      <c r="E72" s="22">
        <f>COUNTIFS(hSemana_RF,"Semana 3",hEstado_RF,"Completado",hTipo_RF,"Macro")&amp;" / "&amp;COUNTIFS(hSemana_RF,"Semana 3",hTipo_RF,"Macro")</f>
        <v/>
      </c>
      <c r="F72" s="22">
        <f>COUNTIFS(hSemana_RF,"Semana 4",hEstado_RF,"Completado",hTipo_RF,"Macro")&amp;" / "&amp;COUNTIFS(hSemana_RF,"Semana 4",hTipo_RF,"Macro")</f>
        <v/>
      </c>
      <c r="G72" s="22">
        <f>COUNTIFS(hEstado_RF,"Completado",hTipo_RF,"Macro")&amp;" / "&amp;COUNTIFS(hEstado_RF,"?*",hTipo_RF,"Macro")</f>
        <v/>
      </c>
      <c r="H72" s="22">
        <f>COUNTIFS(hEstado_RF,"Vencida",hTipo_RF,"Macro")</f>
        <v/>
      </c>
      <c r="I72" s="44">
        <f>IF(H72&gt;0,"⚠ "&amp;H72&amp;" actividad(es) vencida(s) sin completar","Sin actividades vencidas")</f>
        <v/>
      </c>
      <c r="J72" s="44" t="n"/>
      <c r="K72" s="44" t="n"/>
      <c r="L72" s="44" t="n"/>
      <c r="M72" s="44" t="n"/>
    </row>
    <row r="73">
      <c r="B73" s="25">
        <f>'Calculos'!A7</f>
        <v/>
      </c>
      <c r="C73" s="22">
        <f>COUNTIFS(hSemana_ATR,"Semana 1",hEstado_ATR,"Completado",hTipo_ATR,"Macro")&amp;" / "&amp;COUNTIFS(hSemana_ATR,"Semana 1",hTipo_ATR,"Macro")</f>
        <v/>
      </c>
      <c r="D73" s="22">
        <f>COUNTIFS(hSemana_ATR,"Semana 2",hEstado_ATR,"Completado",hTipo_ATR,"Macro")&amp;" / "&amp;COUNTIFS(hSemana_ATR,"Semana 2",hTipo_ATR,"Macro")</f>
        <v/>
      </c>
      <c r="E73" s="22">
        <f>COUNTIFS(hSemana_ATR,"Semana 3",hEstado_ATR,"Completado",hTipo_ATR,"Macro")&amp;" / "&amp;COUNTIFS(hSemana_ATR,"Semana 3",hTipo_ATR,"Macro")</f>
        <v/>
      </c>
      <c r="F73" s="22">
        <f>COUNTIFS(hSemana_ATR,"Semana 4",hEstado_ATR,"Completado",hTipo_ATR,"Macro")&amp;" / "&amp;COUNTIFS(hSemana_ATR,"Semana 4",hTipo_ATR,"Macro")</f>
        <v/>
      </c>
      <c r="G73" s="22">
        <f>COUNTIFS(hEstado_ATR,"Completado",hTipo_ATR,"Macro")&amp;" / "&amp;COUNTIFS(hEstado_ATR,"?*",hTipo_ATR,"Macro")</f>
        <v/>
      </c>
      <c r="H73" s="22">
        <f>COUNTIFS(hEstado_ATR,"Vencida",hTipo_ATR,"Macro")</f>
        <v/>
      </c>
      <c r="I73" s="44">
        <f>IF(H73&gt;0,"⚠ "&amp;H73&amp;" actividad(es) vencida(s) sin completar","Sin actividades vencidas")</f>
        <v/>
      </c>
      <c r="J73" s="44" t="n"/>
      <c r="K73" s="44" t="n"/>
      <c r="L73" s="44" t="n"/>
      <c r="M73" s="44" t="n"/>
    </row>
  </sheetData>
  <sheetProtection selectLockedCells="0" selectUnlockedCells="0" sheet="1" objects="0" insertRows="1" insertHyperlinks="1" autoFilter="1" scenarios="0" formatColumns="1" deleteColumns="1" insertColumns="1" pivotTables="1" deleteRows="1" formatCells="1" formatRows="1" sort="1"/>
  <mergeCells count="84">
    <mergeCell ref="L17:M17"/>
    <mergeCell ref="L19:M19"/>
    <mergeCell ref="L28:M28"/>
    <mergeCell ref="B58:F58"/>
    <mergeCell ref="I61:M61"/>
    <mergeCell ref="B52:F52"/>
    <mergeCell ref="I70:M70"/>
    <mergeCell ref="I54:M54"/>
    <mergeCell ref="B60:F60"/>
    <mergeCell ref="I72:M72"/>
    <mergeCell ref="G12:M12"/>
    <mergeCell ref="B6:D6"/>
    <mergeCell ref="B53:F53"/>
    <mergeCell ref="I56:M56"/>
    <mergeCell ref="L29:M29"/>
    <mergeCell ref="K10:M10"/>
    <mergeCell ref="H5:J5"/>
    <mergeCell ref="B4:D4"/>
    <mergeCell ref="L31:M31"/>
    <mergeCell ref="I73:M73"/>
    <mergeCell ref="K9:M9"/>
    <mergeCell ref="K5:M5"/>
    <mergeCell ref="I63:M63"/>
    <mergeCell ref="I59:M59"/>
    <mergeCell ref="I65:M65"/>
    <mergeCell ref="I60:M60"/>
    <mergeCell ref="B54:F54"/>
    <mergeCell ref="L16:M16"/>
    <mergeCell ref="B8:D8"/>
    <mergeCell ref="B56:F56"/>
    <mergeCell ref="E6:G6"/>
    <mergeCell ref="H23:K23"/>
    <mergeCell ref="B10:D10"/>
    <mergeCell ref="K8:M8"/>
    <mergeCell ref="B9:D9"/>
    <mergeCell ref="B68:M68"/>
    <mergeCell ref="B57:F57"/>
    <mergeCell ref="L30:M30"/>
    <mergeCell ref="B5:D5"/>
    <mergeCell ref="L20:M20"/>
    <mergeCell ref="K4:M4"/>
    <mergeCell ref="I62:M62"/>
    <mergeCell ref="I64:M64"/>
    <mergeCell ref="E8:G8"/>
    <mergeCell ref="H4:J4"/>
    <mergeCell ref="H6:J6"/>
    <mergeCell ref="E10:G10"/>
    <mergeCell ref="B62:F62"/>
    <mergeCell ref="B59:F59"/>
    <mergeCell ref="E9:G9"/>
    <mergeCell ref="L24:M24"/>
    <mergeCell ref="L18:M18"/>
    <mergeCell ref="I53:M53"/>
    <mergeCell ref="L26:M26"/>
    <mergeCell ref="I55:M55"/>
    <mergeCell ref="H8:J8"/>
    <mergeCell ref="L25:M25"/>
    <mergeCell ref="I52:M52"/>
    <mergeCell ref="B65:F65"/>
    <mergeCell ref="H10:J10"/>
    <mergeCell ref="C12:F12"/>
    <mergeCell ref="B22:M22"/>
    <mergeCell ref="B63:F63"/>
    <mergeCell ref="E4:G4"/>
    <mergeCell ref="H9:J9"/>
    <mergeCell ref="C23:F23"/>
    <mergeCell ref="B14:M14"/>
    <mergeCell ref="B1:M1"/>
    <mergeCell ref="H2:M2"/>
    <mergeCell ref="I57:M57"/>
    <mergeCell ref="L15:M15"/>
    <mergeCell ref="B61:F61"/>
    <mergeCell ref="L23:M23"/>
    <mergeCell ref="I71:M71"/>
    <mergeCell ref="I58:M58"/>
    <mergeCell ref="B33:M33"/>
    <mergeCell ref="B51:M51"/>
    <mergeCell ref="K6:M6"/>
    <mergeCell ref="B55:F55"/>
    <mergeCell ref="B64:F64"/>
    <mergeCell ref="E5:G5"/>
    <mergeCell ref="B66:M66"/>
    <mergeCell ref="L27:M27"/>
    <mergeCell ref="I69:M69"/>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actividades",LEFT(K16,11)="Pesos suman",K16="No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53:H65">
    <cfRule type="expression" priority="28" dxfId="0">
      <formula>LEFT(H53,1)="✔"</formula>
    </cfRule>
    <cfRule type="expression" priority="29" dxfId="1">
      <formula>LEFT(H53,1)="●"</formula>
    </cfRule>
    <cfRule type="expression" priority="30" dxfId="2">
      <formula>LEFT(H53,1)="⚠"</formula>
    </cfRule>
  </conditionalFormatting>
  <conditionalFormatting sqref="H70:H73">
    <cfRule type="expression" priority="31" dxfId="6">
      <formula>H70&gt;0</formula>
    </cfRule>
  </conditionalFormatting>
  <conditionalFormatting sqref="I70:M73">
    <cfRule type="expression" priority="32" dxfId="1">
      <formula>LEFT($I70,1)="⚠"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70" r:id="rId5"/>
    <hyperlink xmlns:r="http://schemas.openxmlformats.org/officeDocument/2006/relationships" ref="B71" r:id="rId6"/>
    <hyperlink xmlns:r="http://schemas.openxmlformats.org/officeDocument/2006/relationships" ref="B72" r:id="rId7"/>
    <hyperlink xmlns:r="http://schemas.openxmlformats.org/officeDocument/2006/relationships" ref="B73" r:id="rId8"/>
  </hyperlinks>
  <pageMargins left="0.3" right="0.3" top="0.4" bottom="0.4" header="0.5" footer="0.5"/>
  <pageSetup orientation="landscape" paperSize="1" fitToHeight="0" fitToWidth="1"/>
  <headerFooter>
    <oddHeader/>
    <oddFooter>&amp;CPágina &amp;P de &amp;N</oddFooter>
    <evenHeader/>
    <evenFooter/>
    <firstHeader/>
    <firstFooter/>
  </headerFooter>
  <rowBreaks count="1" manualBreakCount="1">
    <brk id="34" min="0" max="16383" man="1"/>
  </rowBreaks>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B1:Q29"/>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8" customWidth="1" min="11" max="11"/>
    <col hidden="1" width="13" customWidth="1" min="13" max="13"/>
    <col hidden="1" width="13" customWidth="1" min="14" max="14"/>
    <col hidden="1" width="13" customWidth="1" min="15" max="15"/>
    <col hidden="1" width="13" customWidth="1" min="16" max="16"/>
    <col hidden="1" width="13" customWidth="1" min="17" max="17"/>
  </cols>
  <sheetData>
    <row r="1" ht="28" customHeight="1">
      <c r="B1" s="45" t="inlineStr">
        <is>
          <t>Historial mensual de actividades</t>
        </is>
      </c>
      <c r="C1" s="45" t="n"/>
      <c r="D1" s="45" t="n"/>
      <c r="E1" s="45" t="n"/>
      <c r="F1" s="45" t="n"/>
      <c r="G1" s="45" t="n"/>
      <c r="H1" s="45" t="n"/>
      <c r="I1" s="45" t="n"/>
      <c r="J1" s="45" t="n"/>
      <c r="K1" s="45" t="n"/>
    </row>
    <row r="2" ht="32" customHeight="1">
      <c r="B2" s="46" t="inlineStr">
        <is>
          <t>HOJA AUTOMÁTICA: resume cada mes con las actividades guardadas en los Cronogramas (nada se borra al empezar un mes). Empieza en octubre 2026 y muestra 24 meses (el mes actual se resalta en amarillo). «Sin datos» = el puesto no registró actividades ese mes; «Pesos ≠ 100%» = los pesos de ese mes no suman 100%.</t>
        </is>
      </c>
      <c r="C2" s="46" t="n"/>
      <c r="D2" s="46" t="n"/>
      <c r="E2" s="46" t="n"/>
      <c r="F2" s="46" t="n"/>
      <c r="G2" s="46" t="n"/>
      <c r="H2" s="46" t="n"/>
      <c r="I2" s="46" t="n"/>
      <c r="J2" s="46" t="n"/>
      <c r="K2" s="46" t="n"/>
    </row>
    <row r="4">
      <c r="B4" s="47" t="inlineStr">
        <is>
          <t>Mes</t>
        </is>
      </c>
      <c r="C4" s="48" t="inlineStr">
        <is>
          <t>Riesgo Operacional</t>
        </is>
      </c>
      <c r="D4" s="48" t="n"/>
      <c r="E4" s="49" t="inlineStr">
        <is>
          <t>Riesgo Normativo</t>
        </is>
      </c>
      <c r="F4" s="49" t="n"/>
      <c r="G4" s="50" t="inlineStr">
        <is>
          <t>Riesgo Financiero</t>
        </is>
      </c>
      <c r="H4" s="50" t="n"/>
      <c r="I4" s="7" t="inlineStr">
        <is>
          <t>Asistente Técnico de Riesgo</t>
        </is>
      </c>
      <c r="J4" s="7" t="n"/>
      <c r="K4" s="47" t="inlineStr">
        <is>
          <t>Avance general</t>
        </is>
      </c>
    </row>
    <row r="5" ht="28" customHeight="1">
      <c r="B5" s="47" t="n"/>
      <c r="C5" s="31" t="inlineStr">
        <is>
          <t>Avance</t>
        </is>
      </c>
      <c r="D5" s="31" t="inlineStr">
        <is>
          <t>Completadas / total</t>
        </is>
      </c>
      <c r="E5" s="31" t="inlineStr">
        <is>
          <t>Avance</t>
        </is>
      </c>
      <c r="F5" s="31" t="inlineStr">
        <is>
          <t>Completadas / total</t>
        </is>
      </c>
      <c r="G5" s="31" t="inlineStr">
        <is>
          <t>Avance</t>
        </is>
      </c>
      <c r="H5" s="31" t="inlineStr">
        <is>
          <t>Completadas / total</t>
        </is>
      </c>
      <c r="I5" s="31" t="inlineStr">
        <is>
          <t>Avance</t>
        </is>
      </c>
      <c r="J5" s="31" t="inlineStr">
        <is>
          <t>Completadas / total</t>
        </is>
      </c>
      <c r="K5" s="47" t="n"/>
      <c r="M5" t="inlineStr">
        <is>
          <t>Riesgo Operacional</t>
        </is>
      </c>
      <c r="N5" t="inlineStr">
        <is>
          <t>Riesgo Normativo</t>
        </is>
      </c>
      <c r="O5" t="inlineStr">
        <is>
          <t>Riesgo Financiero</t>
        </is>
      </c>
      <c r="P5" t="inlineStr">
        <is>
          <t>Asistente Técnico de Riesgo</t>
        </is>
      </c>
    </row>
    <row r="6" ht="20" customHeight="1">
      <c r="B6" s="51">
        <f>DATE(YEAR(HistInicio),MONTH(HistInicio)+0,1)</f>
        <v/>
      </c>
      <c r="C6" s="20">
        <f>IF(COUNTIFS(rMes_RO,$B6,rTipo_RO,"Macro")=0,"Sin datos",IF(ABS(SUMIFS(rPeso_RO,rMes_RO,$B6,rTipo_RO,"Macro")-1)&gt;0.0001,"Pesos ≠ 100%",SUMPRODUCT(--((rMes_RO=$B6)*(rTipo_RO="Macro")),rPeso_RO,rAvance_RO)))</f>
        <v/>
      </c>
      <c r="D6" s="22">
        <f>IF(COUNTIFS(rMes_RO,$B6,rTipo_RO,"Macro")=0,"",COUNTIFS(rEstado_RO,"Completado",rMes_RO,$B6,rTipo_RO,"Macro")&amp;" / "&amp;COUNTIFS(rMes_RO,$B6,rTipo_RO,"Macro"))</f>
        <v/>
      </c>
      <c r="E6" s="20">
        <f>IF(COUNTIFS(rMes_RN,$B6,rTipo_RN,"Macro")=0,"Sin datos",IF(ABS(SUMIFS(rPeso_RN,rMes_RN,$B6,rTipo_RN,"Macro")-1)&gt;0.0001,"Pesos ≠ 100%",SUMPRODUCT(--((rMes_RN=$B6)*(rTipo_RN="Macro")),rPeso_RN,rAvance_RN)))</f>
        <v/>
      </c>
      <c r="F6" s="22">
        <f>IF(COUNTIFS(rMes_RN,$B6,rTipo_RN,"Macro")=0,"",COUNTIFS(rEstado_RN,"Completado",rMes_RN,$B6,rTipo_RN,"Macro")&amp;" / "&amp;COUNTIFS(rMes_RN,$B6,rTipo_RN,"Macro"))</f>
        <v/>
      </c>
      <c r="G6" s="20">
        <f>IF(COUNTIFS(rMes_RF,$B6,rTipo_RF,"Macro")=0,"Sin datos",IF(ABS(SUMIFS(rPeso_RF,rMes_RF,$B6,rTipo_RF,"Macro")-1)&gt;0.0001,"Pesos ≠ 100%",SUMPRODUCT(--((rMes_RF=$B6)*(rTipo_RF="Macro")),rPeso_RF,rAvance_RF)))</f>
        <v/>
      </c>
      <c r="H6" s="22">
        <f>IF(COUNTIFS(rMes_RF,$B6,rTipo_RF,"Macro")=0,"",COUNTIFS(rEstado_RF,"Completado",rMes_RF,$B6,rTipo_RF,"Macro")&amp;" / "&amp;COUNTIFS(rMes_RF,$B6,rTipo_RF,"Macro"))</f>
        <v/>
      </c>
      <c r="I6" s="20">
        <f>IF(COUNTIFS(rMes_ATR,$B6,rTipo_ATR,"Macro")=0,"Sin datos",IF(ABS(SUMIFS(rPeso_ATR,rMes_ATR,$B6,rTipo_ATR,"Macro")-1)&gt;0.0001,"Pesos ≠ 100%",SUMPRODUCT(--((rMes_ATR=$B6)*(rTipo_ATR="Macro")),rPeso_ATR,rAvance_ATR)))</f>
        <v/>
      </c>
      <c r="J6" s="22">
        <f>IF(COUNTIFS(rMes_ATR,$B6,rTipo_ATR,"Macro")=0,"",COUNTIFS(rEstado_ATR,"Completado",rMes_ATR,$B6,rTipo_ATR,"Macro")&amp;" / "&amp;COUNTIFS(rMes_ATR,$B6,rTipo_ATR,"Macro"))</f>
        <v/>
      </c>
      <c r="K6" s="52">
        <f>IF(COUNT(C6,E6,G6,I6)=4,AVERAGE(C6,E6,G6,I6),IF(COUNTIF(C6:J6,"Sin datos")=4,"Sin datos","No definitivo"))</f>
        <v/>
      </c>
      <c r="M6">
        <f>IF(ISNUMBER(C6),C6,0)</f>
        <v/>
      </c>
      <c r="N6">
        <f>IF(ISNUMBER(E6),E6,0)</f>
        <v/>
      </c>
      <c r="O6">
        <f>IF(ISNUMBER(G6),G6,0)</f>
        <v/>
      </c>
      <c r="P6">
        <f>IF(ISNUMBER(I6),I6,0)</f>
        <v/>
      </c>
      <c r="Q6">
        <f>CHOOSE(MONTH(B6),"ene","feb","mar","abr","may","jun","jul","ago","sep","oct","nov","dic")&amp;" "&amp;YEAR(B6)</f>
        <v/>
      </c>
    </row>
    <row r="7" ht="20" customHeight="1">
      <c r="B7" s="51">
        <f>DATE(YEAR(HistInicio),MONTH(HistInicio)+1,1)</f>
        <v/>
      </c>
      <c r="C7" s="20">
        <f>IF(COUNTIFS(rMes_RO,$B7,rTipo_RO,"Macro")=0,"Sin datos",IF(ABS(SUMIFS(rPeso_RO,rMes_RO,$B7,rTipo_RO,"Macro")-1)&gt;0.0001,"Pesos ≠ 100%",SUMPRODUCT(--((rMes_RO=$B7)*(rTipo_RO="Macro")),rPeso_RO,rAvance_RO)))</f>
        <v/>
      </c>
      <c r="D7" s="22">
        <f>IF(COUNTIFS(rMes_RO,$B7,rTipo_RO,"Macro")=0,"",COUNTIFS(rEstado_RO,"Completado",rMes_RO,$B7,rTipo_RO,"Macro")&amp;" / "&amp;COUNTIFS(rMes_RO,$B7,rTipo_RO,"Macro"))</f>
        <v/>
      </c>
      <c r="E7" s="20">
        <f>IF(COUNTIFS(rMes_RN,$B7,rTipo_RN,"Macro")=0,"Sin datos",IF(ABS(SUMIFS(rPeso_RN,rMes_RN,$B7,rTipo_RN,"Macro")-1)&gt;0.0001,"Pesos ≠ 100%",SUMPRODUCT(--((rMes_RN=$B7)*(rTipo_RN="Macro")),rPeso_RN,rAvance_RN)))</f>
        <v/>
      </c>
      <c r="F7" s="22">
        <f>IF(COUNTIFS(rMes_RN,$B7,rTipo_RN,"Macro")=0,"",COUNTIFS(rEstado_RN,"Completado",rMes_RN,$B7,rTipo_RN,"Macro")&amp;" / "&amp;COUNTIFS(rMes_RN,$B7,rTipo_RN,"Macro"))</f>
        <v/>
      </c>
      <c r="G7" s="20">
        <f>IF(COUNTIFS(rMes_RF,$B7,rTipo_RF,"Macro")=0,"Sin datos",IF(ABS(SUMIFS(rPeso_RF,rMes_RF,$B7,rTipo_RF,"Macro")-1)&gt;0.0001,"Pesos ≠ 100%",SUMPRODUCT(--((rMes_RF=$B7)*(rTipo_RF="Macro")),rPeso_RF,rAvance_RF)))</f>
        <v/>
      </c>
      <c r="H7" s="22">
        <f>IF(COUNTIFS(rMes_RF,$B7,rTipo_RF,"Macro")=0,"",COUNTIFS(rEstado_RF,"Completado",rMes_RF,$B7,rTipo_RF,"Macro")&amp;" / "&amp;COUNTIFS(rMes_RF,$B7,rTipo_RF,"Macro"))</f>
        <v/>
      </c>
      <c r="I7" s="20">
        <f>IF(COUNTIFS(rMes_ATR,$B7,rTipo_ATR,"Macro")=0,"Sin datos",IF(ABS(SUMIFS(rPeso_ATR,rMes_ATR,$B7,rTipo_ATR,"Macro")-1)&gt;0.0001,"Pesos ≠ 100%",SUMPRODUCT(--((rMes_ATR=$B7)*(rTipo_ATR="Macro")),rPeso_ATR,rAvance_ATR)))</f>
        <v/>
      </c>
      <c r="J7" s="22">
        <f>IF(COUNTIFS(rMes_ATR,$B7,rTipo_ATR,"Macro")=0,"",COUNTIFS(rEstado_ATR,"Completado",rMes_ATR,$B7,rTipo_ATR,"Macro")&amp;" / "&amp;COUNTIFS(rMes_ATR,$B7,rTipo_ATR,"Macro"))</f>
        <v/>
      </c>
      <c r="K7" s="52">
        <f>IF(COUNT(C7,E7,G7,I7)=4,AVERAGE(C7,E7,G7,I7),IF(COUNTIF(C7:J7,"Sin datos")=4,"Sin datos","No definitivo"))</f>
        <v/>
      </c>
      <c r="M7">
        <f>IF(ISNUMBER(C7),C7,0)</f>
        <v/>
      </c>
      <c r="N7">
        <f>IF(ISNUMBER(E7),E7,0)</f>
        <v/>
      </c>
      <c r="O7">
        <f>IF(ISNUMBER(G7),G7,0)</f>
        <v/>
      </c>
      <c r="P7">
        <f>IF(ISNUMBER(I7),I7,0)</f>
        <v/>
      </c>
      <c r="Q7">
        <f>CHOOSE(MONTH(B7),"ene","feb","mar","abr","may","jun","jul","ago","sep","oct","nov","dic")&amp;" "&amp;YEAR(B7)</f>
        <v/>
      </c>
    </row>
    <row r="8" ht="20" customHeight="1">
      <c r="B8" s="51">
        <f>DATE(YEAR(HistInicio),MONTH(HistInicio)+2,1)</f>
        <v/>
      </c>
      <c r="C8" s="20">
        <f>IF(COUNTIFS(rMes_RO,$B8,rTipo_RO,"Macro")=0,"Sin datos",IF(ABS(SUMIFS(rPeso_RO,rMes_RO,$B8,rTipo_RO,"Macro")-1)&gt;0.0001,"Pesos ≠ 100%",SUMPRODUCT(--((rMes_RO=$B8)*(rTipo_RO="Macro")),rPeso_RO,rAvance_RO)))</f>
        <v/>
      </c>
      <c r="D8" s="22">
        <f>IF(COUNTIFS(rMes_RO,$B8,rTipo_RO,"Macro")=0,"",COUNTIFS(rEstado_RO,"Completado",rMes_RO,$B8,rTipo_RO,"Macro")&amp;" / "&amp;COUNTIFS(rMes_RO,$B8,rTipo_RO,"Macro"))</f>
        <v/>
      </c>
      <c r="E8" s="20">
        <f>IF(COUNTIFS(rMes_RN,$B8,rTipo_RN,"Macro")=0,"Sin datos",IF(ABS(SUMIFS(rPeso_RN,rMes_RN,$B8,rTipo_RN,"Macro")-1)&gt;0.0001,"Pesos ≠ 100%",SUMPRODUCT(--((rMes_RN=$B8)*(rTipo_RN="Macro")),rPeso_RN,rAvance_RN)))</f>
        <v/>
      </c>
      <c r="F8" s="22">
        <f>IF(COUNTIFS(rMes_RN,$B8,rTipo_RN,"Macro")=0,"",COUNTIFS(rEstado_RN,"Completado",rMes_RN,$B8,rTipo_RN,"Macro")&amp;" / "&amp;COUNTIFS(rMes_RN,$B8,rTipo_RN,"Macro"))</f>
        <v/>
      </c>
      <c r="G8" s="20">
        <f>IF(COUNTIFS(rMes_RF,$B8,rTipo_RF,"Macro")=0,"Sin datos",IF(ABS(SUMIFS(rPeso_RF,rMes_RF,$B8,rTipo_RF,"Macro")-1)&gt;0.0001,"Pesos ≠ 100%",SUMPRODUCT(--((rMes_RF=$B8)*(rTipo_RF="Macro")),rPeso_RF,rAvance_RF)))</f>
        <v/>
      </c>
      <c r="H8" s="22">
        <f>IF(COUNTIFS(rMes_RF,$B8,rTipo_RF,"Macro")=0,"",COUNTIFS(rEstado_RF,"Completado",rMes_RF,$B8,rTipo_RF,"Macro")&amp;" / "&amp;COUNTIFS(rMes_RF,$B8,rTipo_RF,"Macro"))</f>
        <v/>
      </c>
      <c r="I8" s="20">
        <f>IF(COUNTIFS(rMes_ATR,$B8,rTipo_ATR,"Macro")=0,"Sin datos",IF(ABS(SUMIFS(rPeso_ATR,rMes_ATR,$B8,rTipo_ATR,"Macro")-1)&gt;0.0001,"Pesos ≠ 100%",SUMPRODUCT(--((rMes_ATR=$B8)*(rTipo_ATR="Macro")),rPeso_ATR,rAvance_ATR)))</f>
        <v/>
      </c>
      <c r="J8" s="22">
        <f>IF(COUNTIFS(rMes_ATR,$B8,rTipo_ATR,"Macro")=0,"",COUNTIFS(rEstado_ATR,"Completado",rMes_ATR,$B8,rTipo_ATR,"Macro")&amp;" / "&amp;COUNTIFS(rMes_ATR,$B8,rTipo_ATR,"Macro"))</f>
        <v/>
      </c>
      <c r="K8" s="52">
        <f>IF(COUNT(C8,E8,G8,I8)=4,AVERAGE(C8,E8,G8,I8),IF(COUNTIF(C8:J8,"Sin datos")=4,"Sin datos","No definitivo"))</f>
        <v/>
      </c>
      <c r="M8">
        <f>IF(ISNUMBER(C8),C8,0)</f>
        <v/>
      </c>
      <c r="N8">
        <f>IF(ISNUMBER(E8),E8,0)</f>
        <v/>
      </c>
      <c r="O8">
        <f>IF(ISNUMBER(G8),G8,0)</f>
        <v/>
      </c>
      <c r="P8">
        <f>IF(ISNUMBER(I8),I8,0)</f>
        <v/>
      </c>
      <c r="Q8">
        <f>CHOOSE(MONTH(B8),"ene","feb","mar","abr","may","jun","jul","ago","sep","oct","nov","dic")&amp;" "&amp;YEAR(B8)</f>
        <v/>
      </c>
    </row>
    <row r="9" ht="20" customHeight="1">
      <c r="B9" s="51">
        <f>DATE(YEAR(HistInicio),MONTH(HistInicio)+3,1)</f>
        <v/>
      </c>
      <c r="C9" s="20">
        <f>IF(COUNTIFS(rMes_RO,$B9,rTipo_RO,"Macro")=0,"Sin datos",IF(ABS(SUMIFS(rPeso_RO,rMes_RO,$B9,rTipo_RO,"Macro")-1)&gt;0.0001,"Pesos ≠ 100%",SUMPRODUCT(--((rMes_RO=$B9)*(rTipo_RO="Macro")),rPeso_RO,rAvance_RO)))</f>
        <v/>
      </c>
      <c r="D9" s="22">
        <f>IF(COUNTIFS(rMes_RO,$B9,rTipo_RO,"Macro")=0,"",COUNTIFS(rEstado_RO,"Completado",rMes_RO,$B9,rTipo_RO,"Macro")&amp;" / "&amp;COUNTIFS(rMes_RO,$B9,rTipo_RO,"Macro"))</f>
        <v/>
      </c>
      <c r="E9" s="20">
        <f>IF(COUNTIFS(rMes_RN,$B9,rTipo_RN,"Macro")=0,"Sin datos",IF(ABS(SUMIFS(rPeso_RN,rMes_RN,$B9,rTipo_RN,"Macro")-1)&gt;0.0001,"Pesos ≠ 100%",SUMPRODUCT(--((rMes_RN=$B9)*(rTipo_RN="Macro")),rPeso_RN,rAvance_RN)))</f>
        <v/>
      </c>
      <c r="F9" s="22">
        <f>IF(COUNTIFS(rMes_RN,$B9,rTipo_RN,"Macro")=0,"",COUNTIFS(rEstado_RN,"Completado",rMes_RN,$B9,rTipo_RN,"Macro")&amp;" / "&amp;COUNTIFS(rMes_RN,$B9,rTipo_RN,"Macro"))</f>
        <v/>
      </c>
      <c r="G9" s="20">
        <f>IF(COUNTIFS(rMes_RF,$B9,rTipo_RF,"Macro")=0,"Sin datos",IF(ABS(SUMIFS(rPeso_RF,rMes_RF,$B9,rTipo_RF,"Macro")-1)&gt;0.0001,"Pesos ≠ 100%",SUMPRODUCT(--((rMes_RF=$B9)*(rTipo_RF="Macro")),rPeso_RF,rAvance_RF)))</f>
        <v/>
      </c>
      <c r="H9" s="22">
        <f>IF(COUNTIFS(rMes_RF,$B9,rTipo_RF,"Macro")=0,"",COUNTIFS(rEstado_RF,"Completado",rMes_RF,$B9,rTipo_RF,"Macro")&amp;" / "&amp;COUNTIFS(rMes_RF,$B9,rTipo_RF,"Macro"))</f>
        <v/>
      </c>
      <c r="I9" s="20">
        <f>IF(COUNTIFS(rMes_ATR,$B9,rTipo_ATR,"Macro")=0,"Sin datos",IF(ABS(SUMIFS(rPeso_ATR,rMes_ATR,$B9,rTipo_ATR,"Macro")-1)&gt;0.0001,"Pesos ≠ 100%",SUMPRODUCT(--((rMes_ATR=$B9)*(rTipo_ATR="Macro")),rPeso_ATR,rAvance_ATR)))</f>
        <v/>
      </c>
      <c r="J9" s="22">
        <f>IF(COUNTIFS(rMes_ATR,$B9,rTipo_ATR,"Macro")=0,"",COUNTIFS(rEstado_ATR,"Completado",rMes_ATR,$B9,rTipo_ATR,"Macro")&amp;" / "&amp;COUNTIFS(rMes_ATR,$B9,rTipo_ATR,"Macro"))</f>
        <v/>
      </c>
      <c r="K9" s="52">
        <f>IF(COUNT(C9,E9,G9,I9)=4,AVERAGE(C9,E9,G9,I9),IF(COUNTIF(C9:J9,"Sin datos")=4,"Sin datos","No definitivo"))</f>
        <v/>
      </c>
      <c r="M9">
        <f>IF(ISNUMBER(C9),C9,0)</f>
        <v/>
      </c>
      <c r="N9">
        <f>IF(ISNUMBER(E9),E9,0)</f>
        <v/>
      </c>
      <c r="O9">
        <f>IF(ISNUMBER(G9),G9,0)</f>
        <v/>
      </c>
      <c r="P9">
        <f>IF(ISNUMBER(I9),I9,0)</f>
        <v/>
      </c>
      <c r="Q9">
        <f>CHOOSE(MONTH(B9),"ene","feb","mar","abr","may","jun","jul","ago","sep","oct","nov","dic")&amp;" "&amp;YEAR(B9)</f>
        <v/>
      </c>
    </row>
    <row r="10" ht="20" customHeight="1">
      <c r="B10" s="51">
        <f>DATE(YEAR(HistInicio),MONTH(HistInicio)+4,1)</f>
        <v/>
      </c>
      <c r="C10" s="20">
        <f>IF(COUNTIFS(rMes_RO,$B10,rTipo_RO,"Macro")=0,"Sin datos",IF(ABS(SUMIFS(rPeso_RO,rMes_RO,$B10,rTipo_RO,"Macro")-1)&gt;0.0001,"Pesos ≠ 100%",SUMPRODUCT(--((rMes_RO=$B10)*(rTipo_RO="Macro")),rPeso_RO,rAvance_RO)))</f>
        <v/>
      </c>
      <c r="D10" s="22">
        <f>IF(COUNTIFS(rMes_RO,$B10,rTipo_RO,"Macro")=0,"",COUNTIFS(rEstado_RO,"Completado",rMes_RO,$B10,rTipo_RO,"Macro")&amp;" / "&amp;COUNTIFS(rMes_RO,$B10,rTipo_RO,"Macro"))</f>
        <v/>
      </c>
      <c r="E10" s="20">
        <f>IF(COUNTIFS(rMes_RN,$B10,rTipo_RN,"Macro")=0,"Sin datos",IF(ABS(SUMIFS(rPeso_RN,rMes_RN,$B10,rTipo_RN,"Macro")-1)&gt;0.0001,"Pesos ≠ 100%",SUMPRODUCT(--((rMes_RN=$B10)*(rTipo_RN="Macro")),rPeso_RN,rAvance_RN)))</f>
        <v/>
      </c>
      <c r="F10" s="22">
        <f>IF(COUNTIFS(rMes_RN,$B10,rTipo_RN,"Macro")=0,"",COUNTIFS(rEstado_RN,"Completado",rMes_RN,$B10,rTipo_RN,"Macro")&amp;" / "&amp;COUNTIFS(rMes_RN,$B10,rTipo_RN,"Macro"))</f>
        <v/>
      </c>
      <c r="G10" s="20">
        <f>IF(COUNTIFS(rMes_RF,$B10,rTipo_RF,"Macro")=0,"Sin datos",IF(ABS(SUMIFS(rPeso_RF,rMes_RF,$B10,rTipo_RF,"Macro")-1)&gt;0.0001,"Pesos ≠ 100%",SUMPRODUCT(--((rMes_RF=$B10)*(rTipo_RF="Macro")),rPeso_RF,rAvance_RF)))</f>
        <v/>
      </c>
      <c r="H10" s="22">
        <f>IF(COUNTIFS(rMes_RF,$B10,rTipo_RF,"Macro")=0,"",COUNTIFS(rEstado_RF,"Completado",rMes_RF,$B10,rTipo_RF,"Macro")&amp;" / "&amp;COUNTIFS(rMes_RF,$B10,rTipo_RF,"Macro"))</f>
        <v/>
      </c>
      <c r="I10" s="20">
        <f>IF(COUNTIFS(rMes_ATR,$B10,rTipo_ATR,"Macro")=0,"Sin datos",IF(ABS(SUMIFS(rPeso_ATR,rMes_ATR,$B10,rTipo_ATR,"Macro")-1)&gt;0.0001,"Pesos ≠ 100%",SUMPRODUCT(--((rMes_ATR=$B10)*(rTipo_ATR="Macro")),rPeso_ATR,rAvance_ATR)))</f>
        <v/>
      </c>
      <c r="J10" s="22">
        <f>IF(COUNTIFS(rMes_ATR,$B10,rTipo_ATR,"Macro")=0,"",COUNTIFS(rEstado_ATR,"Completado",rMes_ATR,$B10,rTipo_ATR,"Macro")&amp;" / "&amp;COUNTIFS(rMes_ATR,$B10,rTipo_ATR,"Macro"))</f>
        <v/>
      </c>
      <c r="K10" s="52">
        <f>IF(COUNT(C10,E10,G10,I10)=4,AVERAGE(C10,E10,G10,I10),IF(COUNTIF(C10:J10,"Sin datos")=4,"Sin datos","No definitivo"))</f>
        <v/>
      </c>
      <c r="M10">
        <f>IF(ISNUMBER(C10),C10,0)</f>
        <v/>
      </c>
      <c r="N10">
        <f>IF(ISNUMBER(E10),E10,0)</f>
        <v/>
      </c>
      <c r="O10">
        <f>IF(ISNUMBER(G10),G10,0)</f>
        <v/>
      </c>
      <c r="P10">
        <f>IF(ISNUMBER(I10),I10,0)</f>
        <v/>
      </c>
      <c r="Q10">
        <f>CHOOSE(MONTH(B10),"ene","feb","mar","abr","may","jun","jul","ago","sep","oct","nov","dic")&amp;" "&amp;YEAR(B10)</f>
        <v/>
      </c>
    </row>
    <row r="11" ht="20" customHeight="1">
      <c r="B11" s="51">
        <f>DATE(YEAR(HistInicio),MONTH(HistInicio)+5,1)</f>
        <v/>
      </c>
      <c r="C11" s="20">
        <f>IF(COUNTIFS(rMes_RO,$B11,rTipo_RO,"Macro")=0,"Sin datos",IF(ABS(SUMIFS(rPeso_RO,rMes_RO,$B11,rTipo_RO,"Macro")-1)&gt;0.0001,"Pesos ≠ 100%",SUMPRODUCT(--((rMes_RO=$B11)*(rTipo_RO="Macro")),rPeso_RO,rAvance_RO)))</f>
        <v/>
      </c>
      <c r="D11" s="22">
        <f>IF(COUNTIFS(rMes_RO,$B11,rTipo_RO,"Macro")=0,"",COUNTIFS(rEstado_RO,"Completado",rMes_RO,$B11,rTipo_RO,"Macro")&amp;" / "&amp;COUNTIFS(rMes_RO,$B11,rTipo_RO,"Macro"))</f>
        <v/>
      </c>
      <c r="E11" s="20">
        <f>IF(COUNTIFS(rMes_RN,$B11,rTipo_RN,"Macro")=0,"Sin datos",IF(ABS(SUMIFS(rPeso_RN,rMes_RN,$B11,rTipo_RN,"Macro")-1)&gt;0.0001,"Pesos ≠ 100%",SUMPRODUCT(--((rMes_RN=$B11)*(rTipo_RN="Macro")),rPeso_RN,rAvance_RN)))</f>
        <v/>
      </c>
      <c r="F11" s="22">
        <f>IF(COUNTIFS(rMes_RN,$B11,rTipo_RN,"Macro")=0,"",COUNTIFS(rEstado_RN,"Completado",rMes_RN,$B11,rTipo_RN,"Macro")&amp;" / "&amp;COUNTIFS(rMes_RN,$B11,rTipo_RN,"Macro"))</f>
        <v/>
      </c>
      <c r="G11" s="20">
        <f>IF(COUNTIFS(rMes_RF,$B11,rTipo_RF,"Macro")=0,"Sin datos",IF(ABS(SUMIFS(rPeso_RF,rMes_RF,$B11,rTipo_RF,"Macro")-1)&gt;0.0001,"Pesos ≠ 100%",SUMPRODUCT(--((rMes_RF=$B11)*(rTipo_RF="Macro")),rPeso_RF,rAvance_RF)))</f>
        <v/>
      </c>
      <c r="H11" s="22">
        <f>IF(COUNTIFS(rMes_RF,$B11,rTipo_RF,"Macro")=0,"",COUNTIFS(rEstado_RF,"Completado",rMes_RF,$B11,rTipo_RF,"Macro")&amp;" / "&amp;COUNTIFS(rMes_RF,$B11,rTipo_RF,"Macro"))</f>
        <v/>
      </c>
      <c r="I11" s="20">
        <f>IF(COUNTIFS(rMes_ATR,$B11,rTipo_ATR,"Macro")=0,"Sin datos",IF(ABS(SUMIFS(rPeso_ATR,rMes_ATR,$B11,rTipo_ATR,"Macro")-1)&gt;0.0001,"Pesos ≠ 100%",SUMPRODUCT(--((rMes_ATR=$B11)*(rTipo_ATR="Macro")),rPeso_ATR,rAvance_ATR)))</f>
        <v/>
      </c>
      <c r="J11" s="22">
        <f>IF(COUNTIFS(rMes_ATR,$B11,rTipo_ATR,"Macro")=0,"",COUNTIFS(rEstado_ATR,"Completado",rMes_ATR,$B11,rTipo_ATR,"Macro")&amp;" / "&amp;COUNTIFS(rMes_ATR,$B11,rTipo_ATR,"Macro"))</f>
        <v/>
      </c>
      <c r="K11" s="52">
        <f>IF(COUNT(C11,E11,G11,I11)=4,AVERAGE(C11,E11,G11,I11),IF(COUNTIF(C11:J11,"Sin datos")=4,"Sin datos","No definitivo"))</f>
        <v/>
      </c>
      <c r="M11">
        <f>IF(ISNUMBER(C11),C11,0)</f>
        <v/>
      </c>
      <c r="N11">
        <f>IF(ISNUMBER(E11),E11,0)</f>
        <v/>
      </c>
      <c r="O11">
        <f>IF(ISNUMBER(G11),G11,0)</f>
        <v/>
      </c>
      <c r="P11">
        <f>IF(ISNUMBER(I11),I11,0)</f>
        <v/>
      </c>
      <c r="Q11">
        <f>CHOOSE(MONTH(B11),"ene","feb","mar","abr","may","jun","jul","ago","sep","oct","nov","dic")&amp;" "&amp;YEAR(B11)</f>
        <v/>
      </c>
    </row>
    <row r="12" ht="20" customHeight="1">
      <c r="B12" s="51">
        <f>DATE(YEAR(HistInicio),MONTH(HistInicio)+6,1)</f>
        <v/>
      </c>
      <c r="C12" s="20">
        <f>IF(COUNTIFS(rMes_RO,$B12,rTipo_RO,"Macro")=0,"Sin datos",IF(ABS(SUMIFS(rPeso_RO,rMes_RO,$B12,rTipo_RO,"Macro")-1)&gt;0.0001,"Pesos ≠ 100%",SUMPRODUCT(--((rMes_RO=$B12)*(rTipo_RO="Macro")),rPeso_RO,rAvance_RO)))</f>
        <v/>
      </c>
      <c r="D12" s="22">
        <f>IF(COUNTIFS(rMes_RO,$B12,rTipo_RO,"Macro")=0,"",COUNTIFS(rEstado_RO,"Completado",rMes_RO,$B12,rTipo_RO,"Macro")&amp;" / "&amp;COUNTIFS(rMes_RO,$B12,rTipo_RO,"Macro"))</f>
        <v/>
      </c>
      <c r="E12" s="20">
        <f>IF(COUNTIFS(rMes_RN,$B12,rTipo_RN,"Macro")=0,"Sin datos",IF(ABS(SUMIFS(rPeso_RN,rMes_RN,$B12,rTipo_RN,"Macro")-1)&gt;0.0001,"Pesos ≠ 100%",SUMPRODUCT(--((rMes_RN=$B12)*(rTipo_RN="Macro")),rPeso_RN,rAvance_RN)))</f>
        <v/>
      </c>
      <c r="F12" s="22">
        <f>IF(COUNTIFS(rMes_RN,$B12,rTipo_RN,"Macro")=0,"",COUNTIFS(rEstado_RN,"Completado",rMes_RN,$B12,rTipo_RN,"Macro")&amp;" / "&amp;COUNTIFS(rMes_RN,$B12,rTipo_RN,"Macro"))</f>
        <v/>
      </c>
      <c r="G12" s="20">
        <f>IF(COUNTIFS(rMes_RF,$B12,rTipo_RF,"Macro")=0,"Sin datos",IF(ABS(SUMIFS(rPeso_RF,rMes_RF,$B12,rTipo_RF,"Macro")-1)&gt;0.0001,"Pesos ≠ 100%",SUMPRODUCT(--((rMes_RF=$B12)*(rTipo_RF="Macro")),rPeso_RF,rAvance_RF)))</f>
        <v/>
      </c>
      <c r="H12" s="22">
        <f>IF(COUNTIFS(rMes_RF,$B12,rTipo_RF,"Macro")=0,"",COUNTIFS(rEstado_RF,"Completado",rMes_RF,$B12,rTipo_RF,"Macro")&amp;" / "&amp;COUNTIFS(rMes_RF,$B12,rTipo_RF,"Macro"))</f>
        <v/>
      </c>
      <c r="I12" s="20">
        <f>IF(COUNTIFS(rMes_ATR,$B12,rTipo_ATR,"Macro")=0,"Sin datos",IF(ABS(SUMIFS(rPeso_ATR,rMes_ATR,$B12,rTipo_ATR,"Macro")-1)&gt;0.0001,"Pesos ≠ 100%",SUMPRODUCT(--((rMes_ATR=$B12)*(rTipo_ATR="Macro")),rPeso_ATR,rAvance_ATR)))</f>
        <v/>
      </c>
      <c r="J12" s="22">
        <f>IF(COUNTIFS(rMes_ATR,$B12,rTipo_ATR,"Macro")=0,"",COUNTIFS(rEstado_ATR,"Completado",rMes_ATR,$B12,rTipo_ATR,"Macro")&amp;" / "&amp;COUNTIFS(rMes_ATR,$B12,rTipo_ATR,"Macro"))</f>
        <v/>
      </c>
      <c r="K12" s="52">
        <f>IF(COUNT(C12,E12,G12,I12)=4,AVERAGE(C12,E12,G12,I12),IF(COUNTIF(C12:J12,"Sin datos")=4,"Sin datos","No definitivo"))</f>
        <v/>
      </c>
      <c r="M12">
        <f>IF(ISNUMBER(C12),C12,0)</f>
        <v/>
      </c>
      <c r="N12">
        <f>IF(ISNUMBER(E12),E12,0)</f>
        <v/>
      </c>
      <c r="O12">
        <f>IF(ISNUMBER(G12),G12,0)</f>
        <v/>
      </c>
      <c r="P12">
        <f>IF(ISNUMBER(I12),I12,0)</f>
        <v/>
      </c>
      <c r="Q12">
        <f>CHOOSE(MONTH(B12),"ene","feb","mar","abr","may","jun","jul","ago","sep","oct","nov","dic")&amp;" "&amp;YEAR(B12)</f>
        <v/>
      </c>
    </row>
    <row r="13" ht="20" customHeight="1">
      <c r="B13" s="51">
        <f>DATE(YEAR(HistInicio),MONTH(HistInicio)+7,1)</f>
        <v/>
      </c>
      <c r="C13" s="20">
        <f>IF(COUNTIFS(rMes_RO,$B13,rTipo_RO,"Macro")=0,"Sin datos",IF(ABS(SUMIFS(rPeso_RO,rMes_RO,$B13,rTipo_RO,"Macro")-1)&gt;0.0001,"Pesos ≠ 100%",SUMPRODUCT(--((rMes_RO=$B13)*(rTipo_RO="Macro")),rPeso_RO,rAvance_RO)))</f>
        <v/>
      </c>
      <c r="D13" s="22">
        <f>IF(COUNTIFS(rMes_RO,$B13,rTipo_RO,"Macro")=0,"",COUNTIFS(rEstado_RO,"Completado",rMes_RO,$B13,rTipo_RO,"Macro")&amp;" / "&amp;COUNTIFS(rMes_RO,$B13,rTipo_RO,"Macro"))</f>
        <v/>
      </c>
      <c r="E13" s="20">
        <f>IF(COUNTIFS(rMes_RN,$B13,rTipo_RN,"Macro")=0,"Sin datos",IF(ABS(SUMIFS(rPeso_RN,rMes_RN,$B13,rTipo_RN,"Macro")-1)&gt;0.0001,"Pesos ≠ 100%",SUMPRODUCT(--((rMes_RN=$B13)*(rTipo_RN="Macro")),rPeso_RN,rAvance_RN)))</f>
        <v/>
      </c>
      <c r="F13" s="22">
        <f>IF(COUNTIFS(rMes_RN,$B13,rTipo_RN,"Macro")=0,"",COUNTIFS(rEstado_RN,"Completado",rMes_RN,$B13,rTipo_RN,"Macro")&amp;" / "&amp;COUNTIFS(rMes_RN,$B13,rTipo_RN,"Macro"))</f>
        <v/>
      </c>
      <c r="G13" s="20">
        <f>IF(COUNTIFS(rMes_RF,$B13,rTipo_RF,"Macro")=0,"Sin datos",IF(ABS(SUMIFS(rPeso_RF,rMes_RF,$B13,rTipo_RF,"Macro")-1)&gt;0.0001,"Pesos ≠ 100%",SUMPRODUCT(--((rMes_RF=$B13)*(rTipo_RF="Macro")),rPeso_RF,rAvance_RF)))</f>
        <v/>
      </c>
      <c r="H13" s="22">
        <f>IF(COUNTIFS(rMes_RF,$B13,rTipo_RF,"Macro")=0,"",COUNTIFS(rEstado_RF,"Completado",rMes_RF,$B13,rTipo_RF,"Macro")&amp;" / "&amp;COUNTIFS(rMes_RF,$B13,rTipo_RF,"Macro"))</f>
        <v/>
      </c>
      <c r="I13" s="20">
        <f>IF(COUNTIFS(rMes_ATR,$B13,rTipo_ATR,"Macro")=0,"Sin datos",IF(ABS(SUMIFS(rPeso_ATR,rMes_ATR,$B13,rTipo_ATR,"Macro")-1)&gt;0.0001,"Pesos ≠ 100%",SUMPRODUCT(--((rMes_ATR=$B13)*(rTipo_ATR="Macro")),rPeso_ATR,rAvance_ATR)))</f>
        <v/>
      </c>
      <c r="J13" s="22">
        <f>IF(COUNTIFS(rMes_ATR,$B13,rTipo_ATR,"Macro")=0,"",COUNTIFS(rEstado_ATR,"Completado",rMes_ATR,$B13,rTipo_ATR,"Macro")&amp;" / "&amp;COUNTIFS(rMes_ATR,$B13,rTipo_ATR,"Macro"))</f>
        <v/>
      </c>
      <c r="K13" s="52">
        <f>IF(COUNT(C13,E13,G13,I13)=4,AVERAGE(C13,E13,G13,I13),IF(COUNTIF(C13:J13,"Sin datos")=4,"Sin datos","No definitivo"))</f>
        <v/>
      </c>
      <c r="M13">
        <f>IF(ISNUMBER(C13),C13,0)</f>
        <v/>
      </c>
      <c r="N13">
        <f>IF(ISNUMBER(E13),E13,0)</f>
        <v/>
      </c>
      <c r="O13">
        <f>IF(ISNUMBER(G13),G13,0)</f>
        <v/>
      </c>
      <c r="P13">
        <f>IF(ISNUMBER(I13),I13,0)</f>
        <v/>
      </c>
      <c r="Q13">
        <f>CHOOSE(MONTH(B13),"ene","feb","mar","abr","may","jun","jul","ago","sep","oct","nov","dic")&amp;" "&amp;YEAR(B13)</f>
        <v/>
      </c>
    </row>
    <row r="14" ht="20" customHeight="1">
      <c r="B14" s="51">
        <f>DATE(YEAR(HistInicio),MONTH(HistInicio)+8,1)</f>
        <v/>
      </c>
      <c r="C14" s="20">
        <f>IF(COUNTIFS(rMes_RO,$B14,rTipo_RO,"Macro")=0,"Sin datos",IF(ABS(SUMIFS(rPeso_RO,rMes_RO,$B14,rTipo_RO,"Macro")-1)&gt;0.0001,"Pesos ≠ 100%",SUMPRODUCT(--((rMes_RO=$B14)*(rTipo_RO="Macro")),rPeso_RO,rAvance_RO)))</f>
        <v/>
      </c>
      <c r="D14" s="22">
        <f>IF(COUNTIFS(rMes_RO,$B14,rTipo_RO,"Macro")=0,"",COUNTIFS(rEstado_RO,"Completado",rMes_RO,$B14,rTipo_RO,"Macro")&amp;" / "&amp;COUNTIFS(rMes_RO,$B14,rTipo_RO,"Macro"))</f>
        <v/>
      </c>
      <c r="E14" s="20">
        <f>IF(COUNTIFS(rMes_RN,$B14,rTipo_RN,"Macro")=0,"Sin datos",IF(ABS(SUMIFS(rPeso_RN,rMes_RN,$B14,rTipo_RN,"Macro")-1)&gt;0.0001,"Pesos ≠ 100%",SUMPRODUCT(--((rMes_RN=$B14)*(rTipo_RN="Macro")),rPeso_RN,rAvance_RN)))</f>
        <v/>
      </c>
      <c r="F14" s="22">
        <f>IF(COUNTIFS(rMes_RN,$B14,rTipo_RN,"Macro")=0,"",COUNTIFS(rEstado_RN,"Completado",rMes_RN,$B14,rTipo_RN,"Macro")&amp;" / "&amp;COUNTIFS(rMes_RN,$B14,rTipo_RN,"Macro"))</f>
        <v/>
      </c>
      <c r="G14" s="20">
        <f>IF(COUNTIFS(rMes_RF,$B14,rTipo_RF,"Macro")=0,"Sin datos",IF(ABS(SUMIFS(rPeso_RF,rMes_RF,$B14,rTipo_RF,"Macro")-1)&gt;0.0001,"Pesos ≠ 100%",SUMPRODUCT(--((rMes_RF=$B14)*(rTipo_RF="Macro")),rPeso_RF,rAvance_RF)))</f>
        <v/>
      </c>
      <c r="H14" s="22">
        <f>IF(COUNTIFS(rMes_RF,$B14,rTipo_RF,"Macro")=0,"",COUNTIFS(rEstado_RF,"Completado",rMes_RF,$B14,rTipo_RF,"Macro")&amp;" / "&amp;COUNTIFS(rMes_RF,$B14,rTipo_RF,"Macro"))</f>
        <v/>
      </c>
      <c r="I14" s="20">
        <f>IF(COUNTIFS(rMes_ATR,$B14,rTipo_ATR,"Macro")=0,"Sin datos",IF(ABS(SUMIFS(rPeso_ATR,rMes_ATR,$B14,rTipo_ATR,"Macro")-1)&gt;0.0001,"Pesos ≠ 100%",SUMPRODUCT(--((rMes_ATR=$B14)*(rTipo_ATR="Macro")),rPeso_ATR,rAvance_ATR)))</f>
        <v/>
      </c>
      <c r="J14" s="22">
        <f>IF(COUNTIFS(rMes_ATR,$B14,rTipo_ATR,"Macro")=0,"",COUNTIFS(rEstado_ATR,"Completado",rMes_ATR,$B14,rTipo_ATR,"Macro")&amp;" / "&amp;COUNTIFS(rMes_ATR,$B14,rTipo_ATR,"Macro"))</f>
        <v/>
      </c>
      <c r="K14" s="52">
        <f>IF(COUNT(C14,E14,G14,I14)=4,AVERAGE(C14,E14,G14,I14),IF(COUNTIF(C14:J14,"Sin datos")=4,"Sin datos","No definitivo"))</f>
        <v/>
      </c>
      <c r="M14">
        <f>IF(ISNUMBER(C14),C14,0)</f>
        <v/>
      </c>
      <c r="N14">
        <f>IF(ISNUMBER(E14),E14,0)</f>
        <v/>
      </c>
      <c r="O14">
        <f>IF(ISNUMBER(G14),G14,0)</f>
        <v/>
      </c>
      <c r="P14">
        <f>IF(ISNUMBER(I14),I14,0)</f>
        <v/>
      </c>
      <c r="Q14">
        <f>CHOOSE(MONTH(B14),"ene","feb","mar","abr","may","jun","jul","ago","sep","oct","nov","dic")&amp;" "&amp;YEAR(B14)</f>
        <v/>
      </c>
    </row>
    <row r="15" ht="20" customHeight="1">
      <c r="B15" s="51">
        <f>DATE(YEAR(HistInicio),MONTH(HistInicio)+9,1)</f>
        <v/>
      </c>
      <c r="C15" s="20">
        <f>IF(COUNTIFS(rMes_RO,$B15,rTipo_RO,"Macro")=0,"Sin datos",IF(ABS(SUMIFS(rPeso_RO,rMes_RO,$B15,rTipo_RO,"Macro")-1)&gt;0.0001,"Pesos ≠ 100%",SUMPRODUCT(--((rMes_RO=$B15)*(rTipo_RO="Macro")),rPeso_RO,rAvance_RO)))</f>
        <v/>
      </c>
      <c r="D15" s="22">
        <f>IF(COUNTIFS(rMes_RO,$B15,rTipo_RO,"Macro")=0,"",COUNTIFS(rEstado_RO,"Completado",rMes_RO,$B15,rTipo_RO,"Macro")&amp;" / "&amp;COUNTIFS(rMes_RO,$B15,rTipo_RO,"Macro"))</f>
        <v/>
      </c>
      <c r="E15" s="20">
        <f>IF(COUNTIFS(rMes_RN,$B15,rTipo_RN,"Macro")=0,"Sin datos",IF(ABS(SUMIFS(rPeso_RN,rMes_RN,$B15,rTipo_RN,"Macro")-1)&gt;0.0001,"Pesos ≠ 100%",SUMPRODUCT(--((rMes_RN=$B15)*(rTipo_RN="Macro")),rPeso_RN,rAvance_RN)))</f>
        <v/>
      </c>
      <c r="F15" s="22">
        <f>IF(COUNTIFS(rMes_RN,$B15,rTipo_RN,"Macro")=0,"",COUNTIFS(rEstado_RN,"Completado",rMes_RN,$B15,rTipo_RN,"Macro")&amp;" / "&amp;COUNTIFS(rMes_RN,$B15,rTipo_RN,"Macro"))</f>
        <v/>
      </c>
      <c r="G15" s="20">
        <f>IF(COUNTIFS(rMes_RF,$B15,rTipo_RF,"Macro")=0,"Sin datos",IF(ABS(SUMIFS(rPeso_RF,rMes_RF,$B15,rTipo_RF,"Macro")-1)&gt;0.0001,"Pesos ≠ 100%",SUMPRODUCT(--((rMes_RF=$B15)*(rTipo_RF="Macro")),rPeso_RF,rAvance_RF)))</f>
        <v/>
      </c>
      <c r="H15" s="22">
        <f>IF(COUNTIFS(rMes_RF,$B15,rTipo_RF,"Macro")=0,"",COUNTIFS(rEstado_RF,"Completado",rMes_RF,$B15,rTipo_RF,"Macro")&amp;" / "&amp;COUNTIFS(rMes_RF,$B15,rTipo_RF,"Macro"))</f>
        <v/>
      </c>
      <c r="I15" s="20">
        <f>IF(COUNTIFS(rMes_ATR,$B15,rTipo_ATR,"Macro")=0,"Sin datos",IF(ABS(SUMIFS(rPeso_ATR,rMes_ATR,$B15,rTipo_ATR,"Macro")-1)&gt;0.0001,"Pesos ≠ 100%",SUMPRODUCT(--((rMes_ATR=$B15)*(rTipo_ATR="Macro")),rPeso_ATR,rAvance_ATR)))</f>
        <v/>
      </c>
      <c r="J15" s="22">
        <f>IF(COUNTIFS(rMes_ATR,$B15,rTipo_ATR,"Macro")=0,"",COUNTIFS(rEstado_ATR,"Completado",rMes_ATR,$B15,rTipo_ATR,"Macro")&amp;" / "&amp;COUNTIFS(rMes_ATR,$B15,rTipo_ATR,"Macro"))</f>
        <v/>
      </c>
      <c r="K15" s="52">
        <f>IF(COUNT(C15,E15,G15,I15)=4,AVERAGE(C15,E15,G15,I15),IF(COUNTIF(C15:J15,"Sin datos")=4,"Sin datos","No definitivo"))</f>
        <v/>
      </c>
      <c r="M15">
        <f>IF(ISNUMBER(C15),C15,0)</f>
        <v/>
      </c>
      <c r="N15">
        <f>IF(ISNUMBER(E15),E15,0)</f>
        <v/>
      </c>
      <c r="O15">
        <f>IF(ISNUMBER(G15),G15,0)</f>
        <v/>
      </c>
      <c r="P15">
        <f>IF(ISNUMBER(I15),I15,0)</f>
        <v/>
      </c>
      <c r="Q15">
        <f>CHOOSE(MONTH(B15),"ene","feb","mar","abr","may","jun","jul","ago","sep","oct","nov","dic")&amp;" "&amp;YEAR(B15)</f>
        <v/>
      </c>
    </row>
    <row r="16" ht="20" customHeight="1">
      <c r="B16" s="51">
        <f>DATE(YEAR(HistInicio),MONTH(HistInicio)+10,1)</f>
        <v/>
      </c>
      <c r="C16" s="20">
        <f>IF(COUNTIFS(rMes_RO,$B16,rTipo_RO,"Macro")=0,"Sin datos",IF(ABS(SUMIFS(rPeso_RO,rMes_RO,$B16,rTipo_RO,"Macro")-1)&gt;0.0001,"Pesos ≠ 100%",SUMPRODUCT(--((rMes_RO=$B16)*(rTipo_RO="Macro")),rPeso_RO,rAvance_RO)))</f>
        <v/>
      </c>
      <c r="D16" s="22">
        <f>IF(COUNTIFS(rMes_RO,$B16,rTipo_RO,"Macro")=0,"",COUNTIFS(rEstado_RO,"Completado",rMes_RO,$B16,rTipo_RO,"Macro")&amp;" / "&amp;COUNTIFS(rMes_RO,$B16,rTipo_RO,"Macro"))</f>
        <v/>
      </c>
      <c r="E16" s="20">
        <f>IF(COUNTIFS(rMes_RN,$B16,rTipo_RN,"Macro")=0,"Sin datos",IF(ABS(SUMIFS(rPeso_RN,rMes_RN,$B16,rTipo_RN,"Macro")-1)&gt;0.0001,"Pesos ≠ 100%",SUMPRODUCT(--((rMes_RN=$B16)*(rTipo_RN="Macro")),rPeso_RN,rAvance_RN)))</f>
        <v/>
      </c>
      <c r="F16" s="22">
        <f>IF(COUNTIFS(rMes_RN,$B16,rTipo_RN,"Macro")=0,"",COUNTIFS(rEstado_RN,"Completado",rMes_RN,$B16,rTipo_RN,"Macro")&amp;" / "&amp;COUNTIFS(rMes_RN,$B16,rTipo_RN,"Macro"))</f>
        <v/>
      </c>
      <c r="G16" s="20">
        <f>IF(COUNTIFS(rMes_RF,$B16,rTipo_RF,"Macro")=0,"Sin datos",IF(ABS(SUMIFS(rPeso_RF,rMes_RF,$B16,rTipo_RF,"Macro")-1)&gt;0.0001,"Pesos ≠ 100%",SUMPRODUCT(--((rMes_RF=$B16)*(rTipo_RF="Macro")),rPeso_RF,rAvance_RF)))</f>
        <v/>
      </c>
      <c r="H16" s="22">
        <f>IF(COUNTIFS(rMes_RF,$B16,rTipo_RF,"Macro")=0,"",COUNTIFS(rEstado_RF,"Completado",rMes_RF,$B16,rTipo_RF,"Macro")&amp;" / "&amp;COUNTIFS(rMes_RF,$B16,rTipo_RF,"Macro"))</f>
        <v/>
      </c>
      <c r="I16" s="20">
        <f>IF(COUNTIFS(rMes_ATR,$B16,rTipo_ATR,"Macro")=0,"Sin datos",IF(ABS(SUMIFS(rPeso_ATR,rMes_ATR,$B16,rTipo_ATR,"Macro")-1)&gt;0.0001,"Pesos ≠ 100%",SUMPRODUCT(--((rMes_ATR=$B16)*(rTipo_ATR="Macro")),rPeso_ATR,rAvance_ATR)))</f>
        <v/>
      </c>
      <c r="J16" s="22">
        <f>IF(COUNTIFS(rMes_ATR,$B16,rTipo_ATR,"Macro")=0,"",COUNTIFS(rEstado_ATR,"Completado",rMes_ATR,$B16,rTipo_ATR,"Macro")&amp;" / "&amp;COUNTIFS(rMes_ATR,$B16,rTipo_ATR,"Macro"))</f>
        <v/>
      </c>
      <c r="K16" s="52">
        <f>IF(COUNT(C16,E16,G16,I16)=4,AVERAGE(C16,E16,G16,I16),IF(COUNTIF(C16:J16,"Sin datos")=4,"Sin datos","No definitivo"))</f>
        <v/>
      </c>
      <c r="M16">
        <f>IF(ISNUMBER(C16),C16,0)</f>
        <v/>
      </c>
      <c r="N16">
        <f>IF(ISNUMBER(E16),E16,0)</f>
        <v/>
      </c>
      <c r="O16">
        <f>IF(ISNUMBER(G16),G16,0)</f>
        <v/>
      </c>
      <c r="P16">
        <f>IF(ISNUMBER(I16),I16,0)</f>
        <v/>
      </c>
      <c r="Q16">
        <f>CHOOSE(MONTH(B16),"ene","feb","mar","abr","may","jun","jul","ago","sep","oct","nov","dic")&amp;" "&amp;YEAR(B16)</f>
        <v/>
      </c>
    </row>
    <row r="17" ht="20" customHeight="1">
      <c r="B17" s="51">
        <f>DATE(YEAR(HistInicio),MONTH(HistInicio)+11,1)</f>
        <v/>
      </c>
      <c r="C17" s="20">
        <f>IF(COUNTIFS(rMes_RO,$B17,rTipo_RO,"Macro")=0,"Sin datos",IF(ABS(SUMIFS(rPeso_RO,rMes_RO,$B17,rTipo_RO,"Macro")-1)&gt;0.0001,"Pesos ≠ 100%",SUMPRODUCT(--((rMes_RO=$B17)*(rTipo_RO="Macro")),rPeso_RO,rAvance_RO)))</f>
        <v/>
      </c>
      <c r="D17" s="22">
        <f>IF(COUNTIFS(rMes_RO,$B17,rTipo_RO,"Macro")=0,"",COUNTIFS(rEstado_RO,"Completado",rMes_RO,$B17,rTipo_RO,"Macro")&amp;" / "&amp;COUNTIFS(rMes_RO,$B17,rTipo_RO,"Macro"))</f>
        <v/>
      </c>
      <c r="E17" s="20">
        <f>IF(COUNTIFS(rMes_RN,$B17,rTipo_RN,"Macro")=0,"Sin datos",IF(ABS(SUMIFS(rPeso_RN,rMes_RN,$B17,rTipo_RN,"Macro")-1)&gt;0.0001,"Pesos ≠ 100%",SUMPRODUCT(--((rMes_RN=$B17)*(rTipo_RN="Macro")),rPeso_RN,rAvance_RN)))</f>
        <v/>
      </c>
      <c r="F17" s="22">
        <f>IF(COUNTIFS(rMes_RN,$B17,rTipo_RN,"Macro")=0,"",COUNTIFS(rEstado_RN,"Completado",rMes_RN,$B17,rTipo_RN,"Macro")&amp;" / "&amp;COUNTIFS(rMes_RN,$B17,rTipo_RN,"Macro"))</f>
        <v/>
      </c>
      <c r="G17" s="20">
        <f>IF(COUNTIFS(rMes_RF,$B17,rTipo_RF,"Macro")=0,"Sin datos",IF(ABS(SUMIFS(rPeso_RF,rMes_RF,$B17,rTipo_RF,"Macro")-1)&gt;0.0001,"Pesos ≠ 100%",SUMPRODUCT(--((rMes_RF=$B17)*(rTipo_RF="Macro")),rPeso_RF,rAvance_RF)))</f>
        <v/>
      </c>
      <c r="H17" s="22">
        <f>IF(COUNTIFS(rMes_RF,$B17,rTipo_RF,"Macro")=0,"",COUNTIFS(rEstado_RF,"Completado",rMes_RF,$B17,rTipo_RF,"Macro")&amp;" / "&amp;COUNTIFS(rMes_RF,$B17,rTipo_RF,"Macro"))</f>
        <v/>
      </c>
      <c r="I17" s="20">
        <f>IF(COUNTIFS(rMes_ATR,$B17,rTipo_ATR,"Macro")=0,"Sin datos",IF(ABS(SUMIFS(rPeso_ATR,rMes_ATR,$B17,rTipo_ATR,"Macro")-1)&gt;0.0001,"Pesos ≠ 100%",SUMPRODUCT(--((rMes_ATR=$B17)*(rTipo_ATR="Macro")),rPeso_ATR,rAvance_ATR)))</f>
        <v/>
      </c>
      <c r="J17" s="22">
        <f>IF(COUNTIFS(rMes_ATR,$B17,rTipo_ATR,"Macro")=0,"",COUNTIFS(rEstado_ATR,"Completado",rMes_ATR,$B17,rTipo_ATR,"Macro")&amp;" / "&amp;COUNTIFS(rMes_ATR,$B17,rTipo_ATR,"Macro"))</f>
        <v/>
      </c>
      <c r="K17" s="52">
        <f>IF(COUNT(C17,E17,G17,I17)=4,AVERAGE(C17,E17,G17,I17),IF(COUNTIF(C17:J17,"Sin datos")=4,"Sin datos","No definitivo"))</f>
        <v/>
      </c>
      <c r="M17">
        <f>IF(ISNUMBER(C17),C17,0)</f>
        <v/>
      </c>
      <c r="N17">
        <f>IF(ISNUMBER(E17),E17,0)</f>
        <v/>
      </c>
      <c r="O17">
        <f>IF(ISNUMBER(G17),G17,0)</f>
        <v/>
      </c>
      <c r="P17">
        <f>IF(ISNUMBER(I17),I17,0)</f>
        <v/>
      </c>
      <c r="Q17">
        <f>CHOOSE(MONTH(B17),"ene","feb","mar","abr","may","jun","jul","ago","sep","oct","nov","dic")&amp;" "&amp;YEAR(B17)</f>
        <v/>
      </c>
    </row>
    <row r="18" ht="20" customHeight="1">
      <c r="B18" s="51">
        <f>DATE(YEAR(HistInicio),MONTH(HistInicio)+12,1)</f>
        <v/>
      </c>
      <c r="C18" s="20">
        <f>IF(COUNTIFS(rMes_RO,$B18,rTipo_RO,"Macro")=0,"Sin datos",IF(ABS(SUMIFS(rPeso_RO,rMes_RO,$B18,rTipo_RO,"Macro")-1)&gt;0.0001,"Pesos ≠ 100%",SUMPRODUCT(--((rMes_RO=$B18)*(rTipo_RO="Macro")),rPeso_RO,rAvance_RO)))</f>
        <v/>
      </c>
      <c r="D18" s="22">
        <f>IF(COUNTIFS(rMes_RO,$B18,rTipo_RO,"Macro")=0,"",COUNTIFS(rEstado_RO,"Completado",rMes_RO,$B18,rTipo_RO,"Macro")&amp;" / "&amp;COUNTIFS(rMes_RO,$B18,rTipo_RO,"Macro"))</f>
        <v/>
      </c>
      <c r="E18" s="20">
        <f>IF(COUNTIFS(rMes_RN,$B18,rTipo_RN,"Macro")=0,"Sin datos",IF(ABS(SUMIFS(rPeso_RN,rMes_RN,$B18,rTipo_RN,"Macro")-1)&gt;0.0001,"Pesos ≠ 100%",SUMPRODUCT(--((rMes_RN=$B18)*(rTipo_RN="Macro")),rPeso_RN,rAvance_RN)))</f>
        <v/>
      </c>
      <c r="F18" s="22">
        <f>IF(COUNTIFS(rMes_RN,$B18,rTipo_RN,"Macro")=0,"",COUNTIFS(rEstado_RN,"Completado",rMes_RN,$B18,rTipo_RN,"Macro")&amp;" / "&amp;COUNTIFS(rMes_RN,$B18,rTipo_RN,"Macro"))</f>
        <v/>
      </c>
      <c r="G18" s="20">
        <f>IF(COUNTIFS(rMes_RF,$B18,rTipo_RF,"Macro")=0,"Sin datos",IF(ABS(SUMIFS(rPeso_RF,rMes_RF,$B18,rTipo_RF,"Macro")-1)&gt;0.0001,"Pesos ≠ 100%",SUMPRODUCT(--((rMes_RF=$B18)*(rTipo_RF="Macro")),rPeso_RF,rAvance_RF)))</f>
        <v/>
      </c>
      <c r="H18" s="22">
        <f>IF(COUNTIFS(rMes_RF,$B18,rTipo_RF,"Macro")=0,"",COUNTIFS(rEstado_RF,"Completado",rMes_RF,$B18,rTipo_RF,"Macro")&amp;" / "&amp;COUNTIFS(rMes_RF,$B18,rTipo_RF,"Macro"))</f>
        <v/>
      </c>
      <c r="I18" s="20">
        <f>IF(COUNTIFS(rMes_ATR,$B18,rTipo_ATR,"Macro")=0,"Sin datos",IF(ABS(SUMIFS(rPeso_ATR,rMes_ATR,$B18,rTipo_ATR,"Macro")-1)&gt;0.0001,"Pesos ≠ 100%",SUMPRODUCT(--((rMes_ATR=$B18)*(rTipo_ATR="Macro")),rPeso_ATR,rAvance_ATR)))</f>
        <v/>
      </c>
      <c r="J18" s="22">
        <f>IF(COUNTIFS(rMes_ATR,$B18,rTipo_ATR,"Macro")=0,"",COUNTIFS(rEstado_ATR,"Completado",rMes_ATR,$B18,rTipo_ATR,"Macro")&amp;" / "&amp;COUNTIFS(rMes_ATR,$B18,rTipo_ATR,"Macro"))</f>
        <v/>
      </c>
      <c r="K18" s="52">
        <f>IF(COUNT(C18,E18,G18,I18)=4,AVERAGE(C18,E18,G18,I18),IF(COUNTIF(C18:J18,"Sin datos")=4,"Sin datos","No definitivo"))</f>
        <v/>
      </c>
      <c r="M18">
        <f>IF(ISNUMBER(C18),C18,0)</f>
        <v/>
      </c>
      <c r="N18">
        <f>IF(ISNUMBER(E18),E18,0)</f>
        <v/>
      </c>
      <c r="O18">
        <f>IF(ISNUMBER(G18),G18,0)</f>
        <v/>
      </c>
      <c r="P18">
        <f>IF(ISNUMBER(I18),I18,0)</f>
        <v/>
      </c>
      <c r="Q18">
        <f>CHOOSE(MONTH(B18),"ene","feb","mar","abr","may","jun","jul","ago","sep","oct","nov","dic")&amp;" "&amp;YEAR(B18)</f>
        <v/>
      </c>
    </row>
    <row r="19" ht="20" customHeight="1">
      <c r="B19" s="51">
        <f>DATE(YEAR(HistInicio),MONTH(HistInicio)+13,1)</f>
        <v/>
      </c>
      <c r="C19" s="20">
        <f>IF(COUNTIFS(rMes_RO,$B19,rTipo_RO,"Macro")=0,"Sin datos",IF(ABS(SUMIFS(rPeso_RO,rMes_RO,$B19,rTipo_RO,"Macro")-1)&gt;0.0001,"Pesos ≠ 100%",SUMPRODUCT(--((rMes_RO=$B19)*(rTipo_RO="Macro")),rPeso_RO,rAvance_RO)))</f>
        <v/>
      </c>
      <c r="D19" s="22">
        <f>IF(COUNTIFS(rMes_RO,$B19,rTipo_RO,"Macro")=0,"",COUNTIFS(rEstado_RO,"Completado",rMes_RO,$B19,rTipo_RO,"Macro")&amp;" / "&amp;COUNTIFS(rMes_RO,$B19,rTipo_RO,"Macro"))</f>
        <v/>
      </c>
      <c r="E19" s="20">
        <f>IF(COUNTIFS(rMes_RN,$B19,rTipo_RN,"Macro")=0,"Sin datos",IF(ABS(SUMIFS(rPeso_RN,rMes_RN,$B19,rTipo_RN,"Macro")-1)&gt;0.0001,"Pesos ≠ 100%",SUMPRODUCT(--((rMes_RN=$B19)*(rTipo_RN="Macro")),rPeso_RN,rAvance_RN)))</f>
        <v/>
      </c>
      <c r="F19" s="22">
        <f>IF(COUNTIFS(rMes_RN,$B19,rTipo_RN,"Macro")=0,"",COUNTIFS(rEstado_RN,"Completado",rMes_RN,$B19,rTipo_RN,"Macro")&amp;" / "&amp;COUNTIFS(rMes_RN,$B19,rTipo_RN,"Macro"))</f>
        <v/>
      </c>
      <c r="G19" s="20">
        <f>IF(COUNTIFS(rMes_RF,$B19,rTipo_RF,"Macro")=0,"Sin datos",IF(ABS(SUMIFS(rPeso_RF,rMes_RF,$B19,rTipo_RF,"Macro")-1)&gt;0.0001,"Pesos ≠ 100%",SUMPRODUCT(--((rMes_RF=$B19)*(rTipo_RF="Macro")),rPeso_RF,rAvance_RF)))</f>
        <v/>
      </c>
      <c r="H19" s="22">
        <f>IF(COUNTIFS(rMes_RF,$B19,rTipo_RF,"Macro")=0,"",COUNTIFS(rEstado_RF,"Completado",rMes_RF,$B19,rTipo_RF,"Macro")&amp;" / "&amp;COUNTIFS(rMes_RF,$B19,rTipo_RF,"Macro"))</f>
        <v/>
      </c>
      <c r="I19" s="20">
        <f>IF(COUNTIFS(rMes_ATR,$B19,rTipo_ATR,"Macro")=0,"Sin datos",IF(ABS(SUMIFS(rPeso_ATR,rMes_ATR,$B19,rTipo_ATR,"Macro")-1)&gt;0.0001,"Pesos ≠ 100%",SUMPRODUCT(--((rMes_ATR=$B19)*(rTipo_ATR="Macro")),rPeso_ATR,rAvance_ATR)))</f>
        <v/>
      </c>
      <c r="J19" s="22">
        <f>IF(COUNTIFS(rMes_ATR,$B19,rTipo_ATR,"Macro")=0,"",COUNTIFS(rEstado_ATR,"Completado",rMes_ATR,$B19,rTipo_ATR,"Macro")&amp;" / "&amp;COUNTIFS(rMes_ATR,$B19,rTipo_ATR,"Macro"))</f>
        <v/>
      </c>
      <c r="K19" s="52">
        <f>IF(COUNT(C19,E19,G19,I19)=4,AVERAGE(C19,E19,G19,I19),IF(COUNTIF(C19:J19,"Sin datos")=4,"Sin datos","No definitivo"))</f>
        <v/>
      </c>
      <c r="M19">
        <f>IF(ISNUMBER(C19),C19,0)</f>
        <v/>
      </c>
      <c r="N19">
        <f>IF(ISNUMBER(E19),E19,0)</f>
        <v/>
      </c>
      <c r="O19">
        <f>IF(ISNUMBER(G19),G19,0)</f>
        <v/>
      </c>
      <c r="P19">
        <f>IF(ISNUMBER(I19),I19,0)</f>
        <v/>
      </c>
      <c r="Q19">
        <f>CHOOSE(MONTH(B19),"ene","feb","mar","abr","may","jun","jul","ago","sep","oct","nov","dic")&amp;" "&amp;YEAR(B19)</f>
        <v/>
      </c>
    </row>
    <row r="20" ht="20" customHeight="1">
      <c r="B20" s="51">
        <f>DATE(YEAR(HistInicio),MONTH(HistInicio)+14,1)</f>
        <v/>
      </c>
      <c r="C20" s="20">
        <f>IF(COUNTIFS(rMes_RO,$B20,rTipo_RO,"Macro")=0,"Sin datos",IF(ABS(SUMIFS(rPeso_RO,rMes_RO,$B20,rTipo_RO,"Macro")-1)&gt;0.0001,"Pesos ≠ 100%",SUMPRODUCT(--((rMes_RO=$B20)*(rTipo_RO="Macro")),rPeso_RO,rAvance_RO)))</f>
        <v/>
      </c>
      <c r="D20" s="22">
        <f>IF(COUNTIFS(rMes_RO,$B20,rTipo_RO,"Macro")=0,"",COUNTIFS(rEstado_RO,"Completado",rMes_RO,$B20,rTipo_RO,"Macro")&amp;" / "&amp;COUNTIFS(rMes_RO,$B20,rTipo_RO,"Macro"))</f>
        <v/>
      </c>
      <c r="E20" s="20">
        <f>IF(COUNTIFS(rMes_RN,$B20,rTipo_RN,"Macro")=0,"Sin datos",IF(ABS(SUMIFS(rPeso_RN,rMes_RN,$B20,rTipo_RN,"Macro")-1)&gt;0.0001,"Pesos ≠ 100%",SUMPRODUCT(--((rMes_RN=$B20)*(rTipo_RN="Macro")),rPeso_RN,rAvance_RN)))</f>
        <v/>
      </c>
      <c r="F20" s="22">
        <f>IF(COUNTIFS(rMes_RN,$B20,rTipo_RN,"Macro")=0,"",COUNTIFS(rEstado_RN,"Completado",rMes_RN,$B20,rTipo_RN,"Macro")&amp;" / "&amp;COUNTIFS(rMes_RN,$B20,rTipo_RN,"Macro"))</f>
        <v/>
      </c>
      <c r="G20" s="20">
        <f>IF(COUNTIFS(rMes_RF,$B20,rTipo_RF,"Macro")=0,"Sin datos",IF(ABS(SUMIFS(rPeso_RF,rMes_RF,$B20,rTipo_RF,"Macro")-1)&gt;0.0001,"Pesos ≠ 100%",SUMPRODUCT(--((rMes_RF=$B20)*(rTipo_RF="Macro")),rPeso_RF,rAvance_RF)))</f>
        <v/>
      </c>
      <c r="H20" s="22">
        <f>IF(COUNTIFS(rMes_RF,$B20,rTipo_RF,"Macro")=0,"",COUNTIFS(rEstado_RF,"Completado",rMes_RF,$B20,rTipo_RF,"Macro")&amp;" / "&amp;COUNTIFS(rMes_RF,$B20,rTipo_RF,"Macro"))</f>
        <v/>
      </c>
      <c r="I20" s="20">
        <f>IF(COUNTIFS(rMes_ATR,$B20,rTipo_ATR,"Macro")=0,"Sin datos",IF(ABS(SUMIFS(rPeso_ATR,rMes_ATR,$B20,rTipo_ATR,"Macro")-1)&gt;0.0001,"Pesos ≠ 100%",SUMPRODUCT(--((rMes_ATR=$B20)*(rTipo_ATR="Macro")),rPeso_ATR,rAvance_ATR)))</f>
        <v/>
      </c>
      <c r="J20" s="22">
        <f>IF(COUNTIFS(rMes_ATR,$B20,rTipo_ATR,"Macro")=0,"",COUNTIFS(rEstado_ATR,"Completado",rMes_ATR,$B20,rTipo_ATR,"Macro")&amp;" / "&amp;COUNTIFS(rMes_ATR,$B20,rTipo_ATR,"Macro"))</f>
        <v/>
      </c>
      <c r="K20" s="52">
        <f>IF(COUNT(C20,E20,G20,I20)=4,AVERAGE(C20,E20,G20,I20),IF(COUNTIF(C20:J20,"Sin datos")=4,"Sin datos","No definitivo"))</f>
        <v/>
      </c>
      <c r="M20">
        <f>IF(ISNUMBER(C20),C20,0)</f>
        <v/>
      </c>
      <c r="N20">
        <f>IF(ISNUMBER(E20),E20,0)</f>
        <v/>
      </c>
      <c r="O20">
        <f>IF(ISNUMBER(G20),G20,0)</f>
        <v/>
      </c>
      <c r="P20">
        <f>IF(ISNUMBER(I20),I20,0)</f>
        <v/>
      </c>
      <c r="Q20">
        <f>CHOOSE(MONTH(B20),"ene","feb","mar","abr","may","jun","jul","ago","sep","oct","nov","dic")&amp;" "&amp;YEAR(B20)</f>
        <v/>
      </c>
    </row>
    <row r="21" ht="20" customHeight="1">
      <c r="B21" s="51">
        <f>DATE(YEAR(HistInicio),MONTH(HistInicio)+15,1)</f>
        <v/>
      </c>
      <c r="C21" s="20">
        <f>IF(COUNTIFS(rMes_RO,$B21,rTipo_RO,"Macro")=0,"Sin datos",IF(ABS(SUMIFS(rPeso_RO,rMes_RO,$B21,rTipo_RO,"Macro")-1)&gt;0.0001,"Pesos ≠ 100%",SUMPRODUCT(--((rMes_RO=$B21)*(rTipo_RO="Macro")),rPeso_RO,rAvance_RO)))</f>
        <v/>
      </c>
      <c r="D21" s="22">
        <f>IF(COUNTIFS(rMes_RO,$B21,rTipo_RO,"Macro")=0,"",COUNTIFS(rEstado_RO,"Completado",rMes_RO,$B21,rTipo_RO,"Macro")&amp;" / "&amp;COUNTIFS(rMes_RO,$B21,rTipo_RO,"Macro"))</f>
        <v/>
      </c>
      <c r="E21" s="20">
        <f>IF(COUNTIFS(rMes_RN,$B21,rTipo_RN,"Macro")=0,"Sin datos",IF(ABS(SUMIFS(rPeso_RN,rMes_RN,$B21,rTipo_RN,"Macro")-1)&gt;0.0001,"Pesos ≠ 100%",SUMPRODUCT(--((rMes_RN=$B21)*(rTipo_RN="Macro")),rPeso_RN,rAvance_RN)))</f>
        <v/>
      </c>
      <c r="F21" s="22">
        <f>IF(COUNTIFS(rMes_RN,$B21,rTipo_RN,"Macro")=0,"",COUNTIFS(rEstado_RN,"Completado",rMes_RN,$B21,rTipo_RN,"Macro")&amp;" / "&amp;COUNTIFS(rMes_RN,$B21,rTipo_RN,"Macro"))</f>
        <v/>
      </c>
      <c r="G21" s="20">
        <f>IF(COUNTIFS(rMes_RF,$B21,rTipo_RF,"Macro")=0,"Sin datos",IF(ABS(SUMIFS(rPeso_RF,rMes_RF,$B21,rTipo_RF,"Macro")-1)&gt;0.0001,"Pesos ≠ 100%",SUMPRODUCT(--((rMes_RF=$B21)*(rTipo_RF="Macro")),rPeso_RF,rAvance_RF)))</f>
        <v/>
      </c>
      <c r="H21" s="22">
        <f>IF(COUNTIFS(rMes_RF,$B21,rTipo_RF,"Macro")=0,"",COUNTIFS(rEstado_RF,"Completado",rMes_RF,$B21,rTipo_RF,"Macro")&amp;" / "&amp;COUNTIFS(rMes_RF,$B21,rTipo_RF,"Macro"))</f>
        <v/>
      </c>
      <c r="I21" s="20">
        <f>IF(COUNTIFS(rMes_ATR,$B21,rTipo_ATR,"Macro")=0,"Sin datos",IF(ABS(SUMIFS(rPeso_ATR,rMes_ATR,$B21,rTipo_ATR,"Macro")-1)&gt;0.0001,"Pesos ≠ 100%",SUMPRODUCT(--((rMes_ATR=$B21)*(rTipo_ATR="Macro")),rPeso_ATR,rAvance_ATR)))</f>
        <v/>
      </c>
      <c r="J21" s="22">
        <f>IF(COUNTIFS(rMes_ATR,$B21,rTipo_ATR,"Macro")=0,"",COUNTIFS(rEstado_ATR,"Completado",rMes_ATR,$B21,rTipo_ATR,"Macro")&amp;" / "&amp;COUNTIFS(rMes_ATR,$B21,rTipo_ATR,"Macro"))</f>
        <v/>
      </c>
      <c r="K21" s="52">
        <f>IF(COUNT(C21,E21,G21,I21)=4,AVERAGE(C21,E21,G21,I21),IF(COUNTIF(C21:J21,"Sin datos")=4,"Sin datos","No definitivo"))</f>
        <v/>
      </c>
      <c r="M21">
        <f>IF(ISNUMBER(C21),C21,0)</f>
        <v/>
      </c>
      <c r="N21">
        <f>IF(ISNUMBER(E21),E21,0)</f>
        <v/>
      </c>
      <c r="O21">
        <f>IF(ISNUMBER(G21),G21,0)</f>
        <v/>
      </c>
      <c r="P21">
        <f>IF(ISNUMBER(I21),I21,0)</f>
        <v/>
      </c>
      <c r="Q21">
        <f>CHOOSE(MONTH(B21),"ene","feb","mar","abr","may","jun","jul","ago","sep","oct","nov","dic")&amp;" "&amp;YEAR(B21)</f>
        <v/>
      </c>
    </row>
    <row r="22" ht="20" customHeight="1">
      <c r="B22" s="51">
        <f>DATE(YEAR(HistInicio),MONTH(HistInicio)+16,1)</f>
        <v/>
      </c>
      <c r="C22" s="20">
        <f>IF(COUNTIFS(rMes_RO,$B22,rTipo_RO,"Macro")=0,"Sin datos",IF(ABS(SUMIFS(rPeso_RO,rMes_RO,$B22,rTipo_RO,"Macro")-1)&gt;0.0001,"Pesos ≠ 100%",SUMPRODUCT(--((rMes_RO=$B22)*(rTipo_RO="Macro")),rPeso_RO,rAvance_RO)))</f>
        <v/>
      </c>
      <c r="D22" s="22">
        <f>IF(COUNTIFS(rMes_RO,$B22,rTipo_RO,"Macro")=0,"",COUNTIFS(rEstado_RO,"Completado",rMes_RO,$B22,rTipo_RO,"Macro")&amp;" / "&amp;COUNTIFS(rMes_RO,$B22,rTipo_RO,"Macro"))</f>
        <v/>
      </c>
      <c r="E22" s="20">
        <f>IF(COUNTIFS(rMes_RN,$B22,rTipo_RN,"Macro")=0,"Sin datos",IF(ABS(SUMIFS(rPeso_RN,rMes_RN,$B22,rTipo_RN,"Macro")-1)&gt;0.0001,"Pesos ≠ 100%",SUMPRODUCT(--((rMes_RN=$B22)*(rTipo_RN="Macro")),rPeso_RN,rAvance_RN)))</f>
        <v/>
      </c>
      <c r="F22" s="22">
        <f>IF(COUNTIFS(rMes_RN,$B22,rTipo_RN,"Macro")=0,"",COUNTIFS(rEstado_RN,"Completado",rMes_RN,$B22,rTipo_RN,"Macro")&amp;" / "&amp;COUNTIFS(rMes_RN,$B22,rTipo_RN,"Macro"))</f>
        <v/>
      </c>
      <c r="G22" s="20">
        <f>IF(COUNTIFS(rMes_RF,$B22,rTipo_RF,"Macro")=0,"Sin datos",IF(ABS(SUMIFS(rPeso_RF,rMes_RF,$B22,rTipo_RF,"Macro")-1)&gt;0.0001,"Pesos ≠ 100%",SUMPRODUCT(--((rMes_RF=$B22)*(rTipo_RF="Macro")),rPeso_RF,rAvance_RF)))</f>
        <v/>
      </c>
      <c r="H22" s="22">
        <f>IF(COUNTIFS(rMes_RF,$B22,rTipo_RF,"Macro")=0,"",COUNTIFS(rEstado_RF,"Completado",rMes_RF,$B22,rTipo_RF,"Macro")&amp;" / "&amp;COUNTIFS(rMes_RF,$B22,rTipo_RF,"Macro"))</f>
        <v/>
      </c>
      <c r="I22" s="20">
        <f>IF(COUNTIFS(rMes_ATR,$B22,rTipo_ATR,"Macro")=0,"Sin datos",IF(ABS(SUMIFS(rPeso_ATR,rMes_ATR,$B22,rTipo_ATR,"Macro")-1)&gt;0.0001,"Pesos ≠ 100%",SUMPRODUCT(--((rMes_ATR=$B22)*(rTipo_ATR="Macro")),rPeso_ATR,rAvance_ATR)))</f>
        <v/>
      </c>
      <c r="J22" s="22">
        <f>IF(COUNTIFS(rMes_ATR,$B22,rTipo_ATR,"Macro")=0,"",COUNTIFS(rEstado_ATR,"Completado",rMes_ATR,$B22,rTipo_ATR,"Macro")&amp;" / "&amp;COUNTIFS(rMes_ATR,$B22,rTipo_ATR,"Macro"))</f>
        <v/>
      </c>
      <c r="K22" s="52">
        <f>IF(COUNT(C22,E22,G22,I22)=4,AVERAGE(C22,E22,G22,I22),IF(COUNTIF(C22:J22,"Sin datos")=4,"Sin datos","No definitivo"))</f>
        <v/>
      </c>
      <c r="M22">
        <f>IF(ISNUMBER(C22),C22,0)</f>
        <v/>
      </c>
      <c r="N22">
        <f>IF(ISNUMBER(E22),E22,0)</f>
        <v/>
      </c>
      <c r="O22">
        <f>IF(ISNUMBER(G22),G22,0)</f>
        <v/>
      </c>
      <c r="P22">
        <f>IF(ISNUMBER(I22),I22,0)</f>
        <v/>
      </c>
      <c r="Q22">
        <f>CHOOSE(MONTH(B22),"ene","feb","mar","abr","may","jun","jul","ago","sep","oct","nov","dic")&amp;" "&amp;YEAR(B22)</f>
        <v/>
      </c>
    </row>
    <row r="23" ht="20" customHeight="1">
      <c r="B23" s="51">
        <f>DATE(YEAR(HistInicio),MONTH(HistInicio)+17,1)</f>
        <v/>
      </c>
      <c r="C23" s="20">
        <f>IF(COUNTIFS(rMes_RO,$B23,rTipo_RO,"Macro")=0,"Sin datos",IF(ABS(SUMIFS(rPeso_RO,rMes_RO,$B23,rTipo_RO,"Macro")-1)&gt;0.0001,"Pesos ≠ 100%",SUMPRODUCT(--((rMes_RO=$B23)*(rTipo_RO="Macro")),rPeso_RO,rAvance_RO)))</f>
        <v/>
      </c>
      <c r="D23" s="22">
        <f>IF(COUNTIFS(rMes_RO,$B23,rTipo_RO,"Macro")=0,"",COUNTIFS(rEstado_RO,"Completado",rMes_RO,$B23,rTipo_RO,"Macro")&amp;" / "&amp;COUNTIFS(rMes_RO,$B23,rTipo_RO,"Macro"))</f>
        <v/>
      </c>
      <c r="E23" s="20">
        <f>IF(COUNTIFS(rMes_RN,$B23,rTipo_RN,"Macro")=0,"Sin datos",IF(ABS(SUMIFS(rPeso_RN,rMes_RN,$B23,rTipo_RN,"Macro")-1)&gt;0.0001,"Pesos ≠ 100%",SUMPRODUCT(--((rMes_RN=$B23)*(rTipo_RN="Macro")),rPeso_RN,rAvance_RN)))</f>
        <v/>
      </c>
      <c r="F23" s="22">
        <f>IF(COUNTIFS(rMes_RN,$B23,rTipo_RN,"Macro")=0,"",COUNTIFS(rEstado_RN,"Completado",rMes_RN,$B23,rTipo_RN,"Macro")&amp;" / "&amp;COUNTIFS(rMes_RN,$B23,rTipo_RN,"Macro"))</f>
        <v/>
      </c>
      <c r="G23" s="20">
        <f>IF(COUNTIFS(rMes_RF,$B23,rTipo_RF,"Macro")=0,"Sin datos",IF(ABS(SUMIFS(rPeso_RF,rMes_RF,$B23,rTipo_RF,"Macro")-1)&gt;0.0001,"Pesos ≠ 100%",SUMPRODUCT(--((rMes_RF=$B23)*(rTipo_RF="Macro")),rPeso_RF,rAvance_RF)))</f>
        <v/>
      </c>
      <c r="H23" s="22">
        <f>IF(COUNTIFS(rMes_RF,$B23,rTipo_RF,"Macro")=0,"",COUNTIFS(rEstado_RF,"Completado",rMes_RF,$B23,rTipo_RF,"Macro")&amp;" / "&amp;COUNTIFS(rMes_RF,$B23,rTipo_RF,"Macro"))</f>
        <v/>
      </c>
      <c r="I23" s="20">
        <f>IF(COUNTIFS(rMes_ATR,$B23,rTipo_ATR,"Macro")=0,"Sin datos",IF(ABS(SUMIFS(rPeso_ATR,rMes_ATR,$B23,rTipo_ATR,"Macro")-1)&gt;0.0001,"Pesos ≠ 100%",SUMPRODUCT(--((rMes_ATR=$B23)*(rTipo_ATR="Macro")),rPeso_ATR,rAvance_ATR)))</f>
        <v/>
      </c>
      <c r="J23" s="22">
        <f>IF(COUNTIFS(rMes_ATR,$B23,rTipo_ATR,"Macro")=0,"",COUNTIFS(rEstado_ATR,"Completado",rMes_ATR,$B23,rTipo_ATR,"Macro")&amp;" / "&amp;COUNTIFS(rMes_ATR,$B23,rTipo_ATR,"Macro"))</f>
        <v/>
      </c>
      <c r="K23" s="52">
        <f>IF(COUNT(C23,E23,G23,I23)=4,AVERAGE(C23,E23,G23,I23),IF(COUNTIF(C23:J23,"Sin datos")=4,"Sin datos","No definitivo"))</f>
        <v/>
      </c>
      <c r="M23">
        <f>IF(ISNUMBER(C23),C23,0)</f>
        <v/>
      </c>
      <c r="N23">
        <f>IF(ISNUMBER(E23),E23,0)</f>
        <v/>
      </c>
      <c r="O23">
        <f>IF(ISNUMBER(G23),G23,0)</f>
        <v/>
      </c>
      <c r="P23">
        <f>IF(ISNUMBER(I23),I23,0)</f>
        <v/>
      </c>
      <c r="Q23">
        <f>CHOOSE(MONTH(B23),"ene","feb","mar","abr","may","jun","jul","ago","sep","oct","nov","dic")&amp;" "&amp;YEAR(B23)</f>
        <v/>
      </c>
    </row>
    <row r="24" ht="20" customHeight="1">
      <c r="B24" s="51">
        <f>DATE(YEAR(HistInicio),MONTH(HistInicio)+18,1)</f>
        <v/>
      </c>
      <c r="C24" s="20">
        <f>IF(COUNTIFS(rMes_RO,$B24,rTipo_RO,"Macro")=0,"Sin datos",IF(ABS(SUMIFS(rPeso_RO,rMes_RO,$B24,rTipo_RO,"Macro")-1)&gt;0.0001,"Pesos ≠ 100%",SUMPRODUCT(--((rMes_RO=$B24)*(rTipo_RO="Macro")),rPeso_RO,rAvance_RO)))</f>
        <v/>
      </c>
      <c r="D24" s="22">
        <f>IF(COUNTIFS(rMes_RO,$B24,rTipo_RO,"Macro")=0,"",COUNTIFS(rEstado_RO,"Completado",rMes_RO,$B24,rTipo_RO,"Macro")&amp;" / "&amp;COUNTIFS(rMes_RO,$B24,rTipo_RO,"Macro"))</f>
        <v/>
      </c>
      <c r="E24" s="20">
        <f>IF(COUNTIFS(rMes_RN,$B24,rTipo_RN,"Macro")=0,"Sin datos",IF(ABS(SUMIFS(rPeso_RN,rMes_RN,$B24,rTipo_RN,"Macro")-1)&gt;0.0001,"Pesos ≠ 100%",SUMPRODUCT(--((rMes_RN=$B24)*(rTipo_RN="Macro")),rPeso_RN,rAvance_RN)))</f>
        <v/>
      </c>
      <c r="F24" s="22">
        <f>IF(COUNTIFS(rMes_RN,$B24,rTipo_RN,"Macro")=0,"",COUNTIFS(rEstado_RN,"Completado",rMes_RN,$B24,rTipo_RN,"Macro")&amp;" / "&amp;COUNTIFS(rMes_RN,$B24,rTipo_RN,"Macro"))</f>
        <v/>
      </c>
      <c r="G24" s="20">
        <f>IF(COUNTIFS(rMes_RF,$B24,rTipo_RF,"Macro")=0,"Sin datos",IF(ABS(SUMIFS(rPeso_RF,rMes_RF,$B24,rTipo_RF,"Macro")-1)&gt;0.0001,"Pesos ≠ 100%",SUMPRODUCT(--((rMes_RF=$B24)*(rTipo_RF="Macro")),rPeso_RF,rAvance_RF)))</f>
        <v/>
      </c>
      <c r="H24" s="22">
        <f>IF(COUNTIFS(rMes_RF,$B24,rTipo_RF,"Macro")=0,"",COUNTIFS(rEstado_RF,"Completado",rMes_RF,$B24,rTipo_RF,"Macro")&amp;" / "&amp;COUNTIFS(rMes_RF,$B24,rTipo_RF,"Macro"))</f>
        <v/>
      </c>
      <c r="I24" s="20">
        <f>IF(COUNTIFS(rMes_ATR,$B24,rTipo_ATR,"Macro")=0,"Sin datos",IF(ABS(SUMIFS(rPeso_ATR,rMes_ATR,$B24,rTipo_ATR,"Macro")-1)&gt;0.0001,"Pesos ≠ 100%",SUMPRODUCT(--((rMes_ATR=$B24)*(rTipo_ATR="Macro")),rPeso_ATR,rAvance_ATR)))</f>
        <v/>
      </c>
      <c r="J24" s="22">
        <f>IF(COUNTIFS(rMes_ATR,$B24,rTipo_ATR,"Macro")=0,"",COUNTIFS(rEstado_ATR,"Completado",rMes_ATR,$B24,rTipo_ATR,"Macro")&amp;" / "&amp;COUNTIFS(rMes_ATR,$B24,rTipo_ATR,"Macro"))</f>
        <v/>
      </c>
      <c r="K24" s="52">
        <f>IF(COUNT(C24,E24,G24,I24)=4,AVERAGE(C24,E24,G24,I24),IF(COUNTIF(C24:J24,"Sin datos")=4,"Sin datos","No definitivo"))</f>
        <v/>
      </c>
      <c r="M24">
        <f>IF(ISNUMBER(C24),C24,0)</f>
        <v/>
      </c>
      <c r="N24">
        <f>IF(ISNUMBER(E24),E24,0)</f>
        <v/>
      </c>
      <c r="O24">
        <f>IF(ISNUMBER(G24),G24,0)</f>
        <v/>
      </c>
      <c r="P24">
        <f>IF(ISNUMBER(I24),I24,0)</f>
        <v/>
      </c>
      <c r="Q24">
        <f>CHOOSE(MONTH(B24),"ene","feb","mar","abr","may","jun","jul","ago","sep","oct","nov","dic")&amp;" "&amp;YEAR(B24)</f>
        <v/>
      </c>
    </row>
    <row r="25" ht="20" customHeight="1">
      <c r="B25" s="51">
        <f>DATE(YEAR(HistInicio),MONTH(HistInicio)+19,1)</f>
        <v/>
      </c>
      <c r="C25" s="20">
        <f>IF(COUNTIFS(rMes_RO,$B25,rTipo_RO,"Macro")=0,"Sin datos",IF(ABS(SUMIFS(rPeso_RO,rMes_RO,$B25,rTipo_RO,"Macro")-1)&gt;0.0001,"Pesos ≠ 100%",SUMPRODUCT(--((rMes_RO=$B25)*(rTipo_RO="Macro")),rPeso_RO,rAvance_RO)))</f>
        <v/>
      </c>
      <c r="D25" s="22">
        <f>IF(COUNTIFS(rMes_RO,$B25,rTipo_RO,"Macro")=0,"",COUNTIFS(rEstado_RO,"Completado",rMes_RO,$B25,rTipo_RO,"Macro")&amp;" / "&amp;COUNTIFS(rMes_RO,$B25,rTipo_RO,"Macro"))</f>
        <v/>
      </c>
      <c r="E25" s="20">
        <f>IF(COUNTIFS(rMes_RN,$B25,rTipo_RN,"Macro")=0,"Sin datos",IF(ABS(SUMIFS(rPeso_RN,rMes_RN,$B25,rTipo_RN,"Macro")-1)&gt;0.0001,"Pesos ≠ 100%",SUMPRODUCT(--((rMes_RN=$B25)*(rTipo_RN="Macro")),rPeso_RN,rAvance_RN)))</f>
        <v/>
      </c>
      <c r="F25" s="22">
        <f>IF(COUNTIFS(rMes_RN,$B25,rTipo_RN,"Macro")=0,"",COUNTIFS(rEstado_RN,"Completado",rMes_RN,$B25,rTipo_RN,"Macro")&amp;" / "&amp;COUNTIFS(rMes_RN,$B25,rTipo_RN,"Macro"))</f>
        <v/>
      </c>
      <c r="G25" s="20">
        <f>IF(COUNTIFS(rMes_RF,$B25,rTipo_RF,"Macro")=0,"Sin datos",IF(ABS(SUMIFS(rPeso_RF,rMes_RF,$B25,rTipo_RF,"Macro")-1)&gt;0.0001,"Pesos ≠ 100%",SUMPRODUCT(--((rMes_RF=$B25)*(rTipo_RF="Macro")),rPeso_RF,rAvance_RF)))</f>
        <v/>
      </c>
      <c r="H25" s="22">
        <f>IF(COUNTIFS(rMes_RF,$B25,rTipo_RF,"Macro")=0,"",COUNTIFS(rEstado_RF,"Completado",rMes_RF,$B25,rTipo_RF,"Macro")&amp;" / "&amp;COUNTIFS(rMes_RF,$B25,rTipo_RF,"Macro"))</f>
        <v/>
      </c>
      <c r="I25" s="20">
        <f>IF(COUNTIFS(rMes_ATR,$B25,rTipo_ATR,"Macro")=0,"Sin datos",IF(ABS(SUMIFS(rPeso_ATR,rMes_ATR,$B25,rTipo_ATR,"Macro")-1)&gt;0.0001,"Pesos ≠ 100%",SUMPRODUCT(--((rMes_ATR=$B25)*(rTipo_ATR="Macro")),rPeso_ATR,rAvance_ATR)))</f>
        <v/>
      </c>
      <c r="J25" s="22">
        <f>IF(COUNTIFS(rMes_ATR,$B25,rTipo_ATR,"Macro")=0,"",COUNTIFS(rEstado_ATR,"Completado",rMes_ATR,$B25,rTipo_ATR,"Macro")&amp;" / "&amp;COUNTIFS(rMes_ATR,$B25,rTipo_ATR,"Macro"))</f>
        <v/>
      </c>
      <c r="K25" s="52">
        <f>IF(COUNT(C25,E25,G25,I25)=4,AVERAGE(C25,E25,G25,I25),IF(COUNTIF(C25:J25,"Sin datos")=4,"Sin datos","No definitivo"))</f>
        <v/>
      </c>
      <c r="M25">
        <f>IF(ISNUMBER(C25),C25,0)</f>
        <v/>
      </c>
      <c r="N25">
        <f>IF(ISNUMBER(E25),E25,0)</f>
        <v/>
      </c>
      <c r="O25">
        <f>IF(ISNUMBER(G25),G25,0)</f>
        <v/>
      </c>
      <c r="P25">
        <f>IF(ISNUMBER(I25),I25,0)</f>
        <v/>
      </c>
      <c r="Q25">
        <f>CHOOSE(MONTH(B25),"ene","feb","mar","abr","may","jun","jul","ago","sep","oct","nov","dic")&amp;" "&amp;YEAR(B25)</f>
        <v/>
      </c>
    </row>
    <row r="26" ht="20" customHeight="1">
      <c r="B26" s="51">
        <f>DATE(YEAR(HistInicio),MONTH(HistInicio)+20,1)</f>
        <v/>
      </c>
      <c r="C26" s="20">
        <f>IF(COUNTIFS(rMes_RO,$B26,rTipo_RO,"Macro")=0,"Sin datos",IF(ABS(SUMIFS(rPeso_RO,rMes_RO,$B26,rTipo_RO,"Macro")-1)&gt;0.0001,"Pesos ≠ 100%",SUMPRODUCT(--((rMes_RO=$B26)*(rTipo_RO="Macro")),rPeso_RO,rAvance_RO)))</f>
        <v/>
      </c>
      <c r="D26" s="22">
        <f>IF(COUNTIFS(rMes_RO,$B26,rTipo_RO,"Macro")=0,"",COUNTIFS(rEstado_RO,"Completado",rMes_RO,$B26,rTipo_RO,"Macro")&amp;" / "&amp;COUNTIFS(rMes_RO,$B26,rTipo_RO,"Macro"))</f>
        <v/>
      </c>
      <c r="E26" s="20">
        <f>IF(COUNTIFS(rMes_RN,$B26,rTipo_RN,"Macro")=0,"Sin datos",IF(ABS(SUMIFS(rPeso_RN,rMes_RN,$B26,rTipo_RN,"Macro")-1)&gt;0.0001,"Pesos ≠ 100%",SUMPRODUCT(--((rMes_RN=$B26)*(rTipo_RN="Macro")),rPeso_RN,rAvance_RN)))</f>
        <v/>
      </c>
      <c r="F26" s="22">
        <f>IF(COUNTIFS(rMes_RN,$B26,rTipo_RN,"Macro")=0,"",COUNTIFS(rEstado_RN,"Completado",rMes_RN,$B26,rTipo_RN,"Macro")&amp;" / "&amp;COUNTIFS(rMes_RN,$B26,rTipo_RN,"Macro"))</f>
        <v/>
      </c>
      <c r="G26" s="20">
        <f>IF(COUNTIFS(rMes_RF,$B26,rTipo_RF,"Macro")=0,"Sin datos",IF(ABS(SUMIFS(rPeso_RF,rMes_RF,$B26,rTipo_RF,"Macro")-1)&gt;0.0001,"Pesos ≠ 100%",SUMPRODUCT(--((rMes_RF=$B26)*(rTipo_RF="Macro")),rPeso_RF,rAvance_RF)))</f>
        <v/>
      </c>
      <c r="H26" s="22">
        <f>IF(COUNTIFS(rMes_RF,$B26,rTipo_RF,"Macro")=0,"",COUNTIFS(rEstado_RF,"Completado",rMes_RF,$B26,rTipo_RF,"Macro")&amp;" / "&amp;COUNTIFS(rMes_RF,$B26,rTipo_RF,"Macro"))</f>
        <v/>
      </c>
      <c r="I26" s="20">
        <f>IF(COUNTIFS(rMes_ATR,$B26,rTipo_ATR,"Macro")=0,"Sin datos",IF(ABS(SUMIFS(rPeso_ATR,rMes_ATR,$B26,rTipo_ATR,"Macro")-1)&gt;0.0001,"Pesos ≠ 100%",SUMPRODUCT(--((rMes_ATR=$B26)*(rTipo_ATR="Macro")),rPeso_ATR,rAvance_ATR)))</f>
        <v/>
      </c>
      <c r="J26" s="22">
        <f>IF(COUNTIFS(rMes_ATR,$B26,rTipo_ATR,"Macro")=0,"",COUNTIFS(rEstado_ATR,"Completado",rMes_ATR,$B26,rTipo_ATR,"Macro")&amp;" / "&amp;COUNTIFS(rMes_ATR,$B26,rTipo_ATR,"Macro"))</f>
        <v/>
      </c>
      <c r="K26" s="52">
        <f>IF(COUNT(C26,E26,G26,I26)=4,AVERAGE(C26,E26,G26,I26),IF(COUNTIF(C26:J26,"Sin datos")=4,"Sin datos","No definitivo"))</f>
        <v/>
      </c>
      <c r="M26">
        <f>IF(ISNUMBER(C26),C26,0)</f>
        <v/>
      </c>
      <c r="N26">
        <f>IF(ISNUMBER(E26),E26,0)</f>
        <v/>
      </c>
      <c r="O26">
        <f>IF(ISNUMBER(G26),G26,0)</f>
        <v/>
      </c>
      <c r="P26">
        <f>IF(ISNUMBER(I26),I26,0)</f>
        <v/>
      </c>
      <c r="Q26">
        <f>CHOOSE(MONTH(B26),"ene","feb","mar","abr","may","jun","jul","ago","sep","oct","nov","dic")&amp;" "&amp;YEAR(B26)</f>
        <v/>
      </c>
    </row>
    <row r="27" ht="20" customHeight="1">
      <c r="B27" s="51">
        <f>DATE(YEAR(HistInicio),MONTH(HistInicio)+21,1)</f>
        <v/>
      </c>
      <c r="C27" s="20">
        <f>IF(COUNTIFS(rMes_RO,$B27,rTipo_RO,"Macro")=0,"Sin datos",IF(ABS(SUMIFS(rPeso_RO,rMes_RO,$B27,rTipo_RO,"Macro")-1)&gt;0.0001,"Pesos ≠ 100%",SUMPRODUCT(--((rMes_RO=$B27)*(rTipo_RO="Macro")),rPeso_RO,rAvance_RO)))</f>
        <v/>
      </c>
      <c r="D27" s="22">
        <f>IF(COUNTIFS(rMes_RO,$B27,rTipo_RO,"Macro")=0,"",COUNTIFS(rEstado_RO,"Completado",rMes_RO,$B27,rTipo_RO,"Macro")&amp;" / "&amp;COUNTIFS(rMes_RO,$B27,rTipo_RO,"Macro"))</f>
        <v/>
      </c>
      <c r="E27" s="20">
        <f>IF(COUNTIFS(rMes_RN,$B27,rTipo_RN,"Macro")=0,"Sin datos",IF(ABS(SUMIFS(rPeso_RN,rMes_RN,$B27,rTipo_RN,"Macro")-1)&gt;0.0001,"Pesos ≠ 100%",SUMPRODUCT(--((rMes_RN=$B27)*(rTipo_RN="Macro")),rPeso_RN,rAvance_RN)))</f>
        <v/>
      </c>
      <c r="F27" s="22">
        <f>IF(COUNTIFS(rMes_RN,$B27,rTipo_RN,"Macro")=0,"",COUNTIFS(rEstado_RN,"Completado",rMes_RN,$B27,rTipo_RN,"Macro")&amp;" / "&amp;COUNTIFS(rMes_RN,$B27,rTipo_RN,"Macro"))</f>
        <v/>
      </c>
      <c r="G27" s="20">
        <f>IF(COUNTIFS(rMes_RF,$B27,rTipo_RF,"Macro")=0,"Sin datos",IF(ABS(SUMIFS(rPeso_RF,rMes_RF,$B27,rTipo_RF,"Macro")-1)&gt;0.0001,"Pesos ≠ 100%",SUMPRODUCT(--((rMes_RF=$B27)*(rTipo_RF="Macro")),rPeso_RF,rAvance_RF)))</f>
        <v/>
      </c>
      <c r="H27" s="22">
        <f>IF(COUNTIFS(rMes_RF,$B27,rTipo_RF,"Macro")=0,"",COUNTIFS(rEstado_RF,"Completado",rMes_RF,$B27,rTipo_RF,"Macro")&amp;" / "&amp;COUNTIFS(rMes_RF,$B27,rTipo_RF,"Macro"))</f>
        <v/>
      </c>
      <c r="I27" s="20">
        <f>IF(COUNTIFS(rMes_ATR,$B27,rTipo_ATR,"Macro")=0,"Sin datos",IF(ABS(SUMIFS(rPeso_ATR,rMes_ATR,$B27,rTipo_ATR,"Macro")-1)&gt;0.0001,"Pesos ≠ 100%",SUMPRODUCT(--((rMes_ATR=$B27)*(rTipo_ATR="Macro")),rPeso_ATR,rAvance_ATR)))</f>
        <v/>
      </c>
      <c r="J27" s="22">
        <f>IF(COUNTIFS(rMes_ATR,$B27,rTipo_ATR,"Macro")=0,"",COUNTIFS(rEstado_ATR,"Completado",rMes_ATR,$B27,rTipo_ATR,"Macro")&amp;" / "&amp;COUNTIFS(rMes_ATR,$B27,rTipo_ATR,"Macro"))</f>
        <v/>
      </c>
      <c r="K27" s="52">
        <f>IF(COUNT(C27,E27,G27,I27)=4,AVERAGE(C27,E27,G27,I27),IF(COUNTIF(C27:J27,"Sin datos")=4,"Sin datos","No definitivo"))</f>
        <v/>
      </c>
      <c r="M27">
        <f>IF(ISNUMBER(C27),C27,0)</f>
        <v/>
      </c>
      <c r="N27">
        <f>IF(ISNUMBER(E27),E27,0)</f>
        <v/>
      </c>
      <c r="O27">
        <f>IF(ISNUMBER(G27),G27,0)</f>
        <v/>
      </c>
      <c r="P27">
        <f>IF(ISNUMBER(I27),I27,0)</f>
        <v/>
      </c>
      <c r="Q27">
        <f>CHOOSE(MONTH(B27),"ene","feb","mar","abr","may","jun","jul","ago","sep","oct","nov","dic")&amp;" "&amp;YEAR(B27)</f>
        <v/>
      </c>
    </row>
    <row r="28" ht="20" customHeight="1">
      <c r="B28" s="51">
        <f>DATE(YEAR(HistInicio),MONTH(HistInicio)+22,1)</f>
        <v/>
      </c>
      <c r="C28" s="20">
        <f>IF(COUNTIFS(rMes_RO,$B28,rTipo_RO,"Macro")=0,"Sin datos",IF(ABS(SUMIFS(rPeso_RO,rMes_RO,$B28,rTipo_RO,"Macro")-1)&gt;0.0001,"Pesos ≠ 100%",SUMPRODUCT(--((rMes_RO=$B28)*(rTipo_RO="Macro")),rPeso_RO,rAvance_RO)))</f>
        <v/>
      </c>
      <c r="D28" s="22">
        <f>IF(COUNTIFS(rMes_RO,$B28,rTipo_RO,"Macro")=0,"",COUNTIFS(rEstado_RO,"Completado",rMes_RO,$B28,rTipo_RO,"Macro")&amp;" / "&amp;COUNTIFS(rMes_RO,$B28,rTipo_RO,"Macro"))</f>
        <v/>
      </c>
      <c r="E28" s="20">
        <f>IF(COUNTIFS(rMes_RN,$B28,rTipo_RN,"Macro")=0,"Sin datos",IF(ABS(SUMIFS(rPeso_RN,rMes_RN,$B28,rTipo_RN,"Macro")-1)&gt;0.0001,"Pesos ≠ 100%",SUMPRODUCT(--((rMes_RN=$B28)*(rTipo_RN="Macro")),rPeso_RN,rAvance_RN)))</f>
        <v/>
      </c>
      <c r="F28" s="22">
        <f>IF(COUNTIFS(rMes_RN,$B28,rTipo_RN,"Macro")=0,"",COUNTIFS(rEstado_RN,"Completado",rMes_RN,$B28,rTipo_RN,"Macro")&amp;" / "&amp;COUNTIFS(rMes_RN,$B28,rTipo_RN,"Macro"))</f>
        <v/>
      </c>
      <c r="G28" s="20">
        <f>IF(COUNTIFS(rMes_RF,$B28,rTipo_RF,"Macro")=0,"Sin datos",IF(ABS(SUMIFS(rPeso_RF,rMes_RF,$B28,rTipo_RF,"Macro")-1)&gt;0.0001,"Pesos ≠ 100%",SUMPRODUCT(--((rMes_RF=$B28)*(rTipo_RF="Macro")),rPeso_RF,rAvance_RF)))</f>
        <v/>
      </c>
      <c r="H28" s="22">
        <f>IF(COUNTIFS(rMes_RF,$B28,rTipo_RF,"Macro")=0,"",COUNTIFS(rEstado_RF,"Completado",rMes_RF,$B28,rTipo_RF,"Macro")&amp;" / "&amp;COUNTIFS(rMes_RF,$B28,rTipo_RF,"Macro"))</f>
        <v/>
      </c>
      <c r="I28" s="20">
        <f>IF(COUNTIFS(rMes_ATR,$B28,rTipo_ATR,"Macro")=0,"Sin datos",IF(ABS(SUMIFS(rPeso_ATR,rMes_ATR,$B28,rTipo_ATR,"Macro")-1)&gt;0.0001,"Pesos ≠ 100%",SUMPRODUCT(--((rMes_ATR=$B28)*(rTipo_ATR="Macro")),rPeso_ATR,rAvance_ATR)))</f>
        <v/>
      </c>
      <c r="J28" s="22">
        <f>IF(COUNTIFS(rMes_ATR,$B28,rTipo_ATR,"Macro")=0,"",COUNTIFS(rEstado_ATR,"Completado",rMes_ATR,$B28,rTipo_ATR,"Macro")&amp;" / "&amp;COUNTIFS(rMes_ATR,$B28,rTipo_ATR,"Macro"))</f>
        <v/>
      </c>
      <c r="K28" s="52">
        <f>IF(COUNT(C28,E28,G28,I28)=4,AVERAGE(C28,E28,G28,I28),IF(COUNTIF(C28:J28,"Sin datos")=4,"Sin datos","No definitivo"))</f>
        <v/>
      </c>
      <c r="M28">
        <f>IF(ISNUMBER(C28),C28,0)</f>
        <v/>
      </c>
      <c r="N28">
        <f>IF(ISNUMBER(E28),E28,0)</f>
        <v/>
      </c>
      <c r="O28">
        <f>IF(ISNUMBER(G28),G28,0)</f>
        <v/>
      </c>
      <c r="P28">
        <f>IF(ISNUMBER(I28),I28,0)</f>
        <v/>
      </c>
      <c r="Q28">
        <f>CHOOSE(MONTH(B28),"ene","feb","mar","abr","may","jun","jul","ago","sep","oct","nov","dic")&amp;" "&amp;YEAR(B28)</f>
        <v/>
      </c>
    </row>
    <row r="29" ht="20" customHeight="1">
      <c r="B29" s="51">
        <f>DATE(YEAR(HistInicio),MONTH(HistInicio)+23,1)</f>
        <v/>
      </c>
      <c r="C29" s="20">
        <f>IF(COUNTIFS(rMes_RO,$B29,rTipo_RO,"Macro")=0,"Sin datos",IF(ABS(SUMIFS(rPeso_RO,rMes_RO,$B29,rTipo_RO,"Macro")-1)&gt;0.0001,"Pesos ≠ 100%",SUMPRODUCT(--((rMes_RO=$B29)*(rTipo_RO="Macro")),rPeso_RO,rAvance_RO)))</f>
        <v/>
      </c>
      <c r="D29" s="22">
        <f>IF(COUNTIFS(rMes_RO,$B29,rTipo_RO,"Macro")=0,"",COUNTIFS(rEstado_RO,"Completado",rMes_RO,$B29,rTipo_RO,"Macro")&amp;" / "&amp;COUNTIFS(rMes_RO,$B29,rTipo_RO,"Macro"))</f>
        <v/>
      </c>
      <c r="E29" s="20">
        <f>IF(COUNTIFS(rMes_RN,$B29,rTipo_RN,"Macro")=0,"Sin datos",IF(ABS(SUMIFS(rPeso_RN,rMes_RN,$B29,rTipo_RN,"Macro")-1)&gt;0.0001,"Pesos ≠ 100%",SUMPRODUCT(--((rMes_RN=$B29)*(rTipo_RN="Macro")),rPeso_RN,rAvance_RN)))</f>
        <v/>
      </c>
      <c r="F29" s="22">
        <f>IF(COUNTIFS(rMes_RN,$B29,rTipo_RN,"Macro")=0,"",COUNTIFS(rEstado_RN,"Completado",rMes_RN,$B29,rTipo_RN,"Macro")&amp;" / "&amp;COUNTIFS(rMes_RN,$B29,rTipo_RN,"Macro"))</f>
        <v/>
      </c>
      <c r="G29" s="20">
        <f>IF(COUNTIFS(rMes_RF,$B29,rTipo_RF,"Macro")=0,"Sin datos",IF(ABS(SUMIFS(rPeso_RF,rMes_RF,$B29,rTipo_RF,"Macro")-1)&gt;0.0001,"Pesos ≠ 100%",SUMPRODUCT(--((rMes_RF=$B29)*(rTipo_RF="Macro")),rPeso_RF,rAvance_RF)))</f>
        <v/>
      </c>
      <c r="H29" s="22">
        <f>IF(COUNTIFS(rMes_RF,$B29,rTipo_RF,"Macro")=0,"",COUNTIFS(rEstado_RF,"Completado",rMes_RF,$B29,rTipo_RF,"Macro")&amp;" / "&amp;COUNTIFS(rMes_RF,$B29,rTipo_RF,"Macro"))</f>
        <v/>
      </c>
      <c r="I29" s="20">
        <f>IF(COUNTIFS(rMes_ATR,$B29,rTipo_ATR,"Macro")=0,"Sin datos",IF(ABS(SUMIFS(rPeso_ATR,rMes_ATR,$B29,rTipo_ATR,"Macro")-1)&gt;0.0001,"Pesos ≠ 100%",SUMPRODUCT(--((rMes_ATR=$B29)*(rTipo_ATR="Macro")),rPeso_ATR,rAvance_ATR)))</f>
        <v/>
      </c>
      <c r="J29" s="22">
        <f>IF(COUNTIFS(rMes_ATR,$B29,rTipo_ATR,"Macro")=0,"",COUNTIFS(rEstado_ATR,"Completado",rMes_ATR,$B29,rTipo_ATR,"Macro")&amp;" / "&amp;COUNTIFS(rMes_ATR,$B29,rTipo_ATR,"Macro"))</f>
        <v/>
      </c>
      <c r="K29" s="52">
        <f>IF(COUNT(C29,E29,G29,I29)=4,AVERAGE(C29,E29,G29,I29),IF(COUNTIF(C29:J29,"Sin datos")=4,"Sin datos","No definitivo"))</f>
        <v/>
      </c>
      <c r="M29">
        <f>IF(ISNUMBER(C29),C29,0)</f>
        <v/>
      </c>
      <c r="N29">
        <f>IF(ISNUMBER(E29),E29,0)</f>
        <v/>
      </c>
      <c r="O29">
        <f>IF(ISNUMBER(G29),G29,0)</f>
        <v/>
      </c>
      <c r="P29">
        <f>IF(ISNUMBER(I29),I29,0)</f>
        <v/>
      </c>
      <c r="Q29">
        <f>CHOOSE(MONTH(B29),"ene","feb","mar","abr","may","jun","jul","ago","sep","oct","nov","dic")&amp;" "&amp;YEAR(B29)</f>
        <v/>
      </c>
    </row>
  </sheetData>
  <sheetProtection selectLockedCells="0" selectUnlockedCells="0" sheet="1" objects="0" insertRows="1" insertHyperlinks="1" autoFilter="1" scenarios="0" formatColumns="1" deleteColumns="1" insertColumns="1" pivotTables="1" deleteRows="1" formatCells="1" formatRows="1" sort="1"/>
  <mergeCells count="8">
    <mergeCell ref="G4:H4"/>
    <mergeCell ref="E4:F4"/>
    <mergeCell ref="I4:J4"/>
    <mergeCell ref="B1:K1"/>
    <mergeCell ref="B4:B5"/>
    <mergeCell ref="K4:K5"/>
    <mergeCell ref="B2:K2"/>
    <mergeCell ref="C4:D4"/>
  </mergeCells>
  <conditionalFormatting sqref="C6:K29">
    <cfRule type="expression" priority="1" dxfId="0">
      <formula>AND(ISNUMBER(C6),C6&gt;=1)</formula>
    </cfRule>
    <cfRule type="expression" priority="2" dxfId="8">
      <formula>AND(ISNUMBER(C6),C6&lt;1)</formula>
    </cfRule>
    <cfRule type="expression" priority="3" dxfId="7">
      <formula>OR(C6="Pesos ≠ 100%",C6="No definitivo")</formula>
    </cfRule>
    <cfRule type="expression" priority="4" dxfId="9">
      <formula>C6="Sin datos"</formula>
    </cfRule>
  </conditionalFormatting>
  <conditionalFormatting sqref="B6:B29">
    <cfRule type="expression" priority="5" dxfId="1">
      <formula>$B6=MesCiclo</formula>
    </cfRule>
  </conditionalFormatting>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C55A11"/>
    <outlinePr summaryBelow="1" summaryRight="1"/>
    <pageSetUpPr fitToPage="1"/>
  </sheetPr>
  <dimension ref="A1:AB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36" customWidth="1" min="3" max="3"/>
    <col width="20" customWidth="1" min="4" max="4"/>
    <col width="12" customWidth="1" min="5" max="5"/>
    <col width="12" customWidth="1" min="6" max="6"/>
    <col width="11" customWidth="1" min="7" max="7"/>
    <col width="11" customWidth="1" min="8" max="8"/>
    <col width="11" customWidth="1" min="9" max="9"/>
    <col width="11" customWidth="1" min="10" max="10"/>
    <col width="11" customWidth="1" min="11" max="11"/>
    <col width="12" customWidth="1" min="12" max="12"/>
    <col width="13" customWidth="1" min="13" max="13"/>
    <col width="38" customWidth="1" min="14" max="14"/>
    <col width="50" customWidth="1" min="15" max="15"/>
    <col width="15"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s>
  <sheetData>
    <row r="1" ht="28" customHeight="1">
      <c r="A1" s="53" t="inlineStr">
        <is>
          <t>Cronograma – Riesgo Operacional</t>
        </is>
      </c>
      <c r="B1" s="53" t="n"/>
      <c r="C1" s="53" t="n"/>
      <c r="D1" s="53" t="n"/>
      <c r="E1" s="53" t="n"/>
      <c r="F1" s="53" t="n"/>
      <c r="G1" s="53" t="n"/>
      <c r="H1" s="53" t="n"/>
      <c r="I1" s="53" t="n"/>
      <c r="J1" s="53" t="n"/>
      <c r="K1" s="53" t="n"/>
      <c r="L1" s="53" t="n"/>
      <c r="M1" s="53" t="n"/>
      <c r="N1" s="53" t="n"/>
      <c r="O1" s="53" t="n"/>
      <c r="P1" s="53" t="n"/>
    </row>
    <row r="2" ht="52" customHeight="1">
      <c r="A2" s="46" t="inlineStr">
        <is>
          <t>Llene solo las celdas GRIS SUAVE; las AZUL CLARO son automáticas y están bloqueadas. MACROACTIVIDAD: escriba el nombre en «Macro Actividad» y su peso. SUBACTIVIDADES (todas las que necesite): en las filas de abajo, escríbalas en «Subactividad» dejando vacía «Macro Actividad»; cada una lleva su propio avance semanal y el % de la macroactividad se calcula solo (promedio de sus subactividades). Si no tiene subactividades, escriba su avance directamente. En cada semana escriba el % TOTAL logrado hasta esa semana. Cada mes agregue sus actividades debajo de las anteriores (no borre los meses pasados: quedan como historial).</t>
        </is>
      </c>
      <c r="B2" s="46" t="n"/>
      <c r="C2" s="46" t="n"/>
      <c r="D2" s="46" t="n"/>
      <c r="E2" s="46" t="n"/>
      <c r="F2" s="46" t="n"/>
      <c r="G2" s="46" t="n"/>
      <c r="H2" s="46" t="n"/>
      <c r="I2" s="46" t="n"/>
      <c r="J2" s="46" t="n"/>
      <c r="K2" s="46" t="n"/>
      <c r="L2" s="46" t="n"/>
      <c r="M2" s="46" t="n"/>
      <c r="N2" s="46" t="n"/>
      <c r="O2" s="46" t="n"/>
      <c r="P2" s="46" t="n"/>
    </row>
    <row r="3">
      <c r="A3" s="54" t="inlineStr">
        <is>
          <t>Llenar</t>
        </is>
      </c>
      <c r="B3" s="55" t="inlineStr">
        <is>
          <t>Automático (bloqueado)</t>
        </is>
      </c>
      <c r="C3" s="56" t="inlineStr">
        <is>
          <t>Macroactividad</t>
        </is>
      </c>
      <c r="D3" s="57" t="inlineStr">
        <is>
          <t>Pesos del mes:</t>
        </is>
      </c>
      <c r="E3" s="58">
        <f>SUMIFS($G$5:$G$1000,$P$5:$P$1000,MesCiclo,$S$5:$S$1000,"Macro")</f>
        <v/>
      </c>
      <c r="F3" s="59">
        <f>IF(COUNTIFS($S$5:$S$1000,"Macro",$P$5:$P$1000,MesCiclo)=0,"",IF(ABS(E3-1)&lt;=0.0001,"✔ 100%","⚠ Debe sumar 100%"))</f>
        <v/>
      </c>
      <c r="G3" s="59" t="n"/>
    </row>
    <row r="4" ht="42" customHeight="1">
      <c r="A4" s="60" t="inlineStr">
        <is>
          <t>N°</t>
        </is>
      </c>
      <c r="B4" s="48" t="inlineStr">
        <is>
          <t>Macro Actividad</t>
        </is>
      </c>
      <c r="C4" s="48" t="inlineStr">
        <is>
          <t>Subactividad</t>
        </is>
      </c>
      <c r="D4" s="48" t="inlineStr">
        <is>
          <t>Responsable</t>
        </is>
      </c>
      <c r="E4" s="48" t="inlineStr">
        <is>
          <t>Fecha de inicio</t>
        </is>
      </c>
      <c r="F4" s="48" t="inlineStr">
        <is>
          <t>Fecha límite</t>
        </is>
      </c>
      <c r="G4" s="48" t="inlineStr">
        <is>
          <t>Peso de actividad (%)</t>
        </is>
      </c>
      <c r="H4" s="48" t="inlineStr">
        <is>
          <t>Avance Semana 1 (%)</t>
        </is>
      </c>
      <c r="I4" s="48" t="inlineStr">
        <is>
          <t>Avance Semana 2 (%)</t>
        </is>
      </c>
      <c r="J4" s="48" t="inlineStr">
        <is>
          <t>Avance Semana 3 (%)</t>
        </is>
      </c>
      <c r="K4" s="48" t="inlineStr">
        <is>
          <t>Avance Semana 4 (%)</t>
        </is>
      </c>
      <c r="L4" s="60" t="inlineStr">
        <is>
          <t>% de Avance Total Actual</t>
        </is>
      </c>
      <c r="M4" s="60" t="inlineStr">
        <is>
          <t>Estado</t>
        </is>
      </c>
      <c r="N4" s="48" t="inlineStr">
        <is>
          <t>Observaciones</t>
        </is>
      </c>
      <c r="O4" s="60" t="inlineStr">
        <is>
          <t>Revisión automática (alertas)</t>
        </is>
      </c>
      <c r="P4" s="60" t="inlineStr">
        <is>
          <t>Mes</t>
        </is>
      </c>
      <c r="Q4" s="60" t="inlineStr">
        <is>
          <t>Orden en el mes (aux)</t>
        </is>
      </c>
      <c r="R4" s="60" t="inlineStr">
        <is>
          <t>Grupo (aux)</t>
        </is>
      </c>
      <c r="S4" s="60" t="inlineStr">
        <is>
          <t>Tipo (aux)</t>
        </is>
      </c>
      <c r="T4" s="60" t="inlineStr">
        <is>
          <t>N subactividades (aux)</t>
        </is>
      </c>
      <c r="U4" s="60" t="inlineStr">
        <is>
          <t>Propio S1 (aux)</t>
        </is>
      </c>
      <c r="V4" s="60" t="inlineStr">
        <is>
          <t>Propio S2 (aux)</t>
        </is>
      </c>
      <c r="W4" s="60" t="inlineStr">
        <is>
          <t>Propio S3 (aux)</t>
        </is>
      </c>
      <c r="X4" s="60" t="inlineStr">
        <is>
          <t>Propio S4 (aux)</t>
        </is>
      </c>
      <c r="Y4" s="60" t="inlineStr">
        <is>
          <t>Efectivo S1 (aux)</t>
        </is>
      </c>
      <c r="Z4" s="60" t="inlineStr">
        <is>
          <t>Efectivo S2 (aux)</t>
        </is>
      </c>
      <c r="AA4" s="60" t="inlineStr">
        <is>
          <t>Efectivo S3 (aux)</t>
        </is>
      </c>
      <c r="AB4" s="60" t="inlineStr">
        <is>
          <t>Efectivo S4 (aux)</t>
        </is>
      </c>
    </row>
    <row r="5">
      <c r="A5" s="61">
        <f>IF(NOT((COUNTA($B5:$K5)+COUNTA($N5))&gt;0),"",IF($S5="Macro",COUNTIFS($S$5:$S5,"Macro",$P$5:$P5,$P5),IF(N($R5)=0,"?",COUNTIFS(INDEX($S$5:$S$1000,1):INDEX($S$5:$S$1000,$R5-4),"Macro",INDEX($P$5:$P$1000,1):INDEX($P$5:$P$1000,$R5-4),INDEX($P$5:$P$1000,$R5-4))&amp;"."&amp;COUNTIFS($R$5:$R5,$R5,$S$5:$S5,"Sub"))))</f>
        <v/>
      </c>
      <c r="B5" s="62" t="n"/>
      <c r="C5" s="63" t="n"/>
      <c r="D5" s="62" t="n"/>
      <c r="E5" s="64" t="n"/>
      <c r="F5" s="64" t="n"/>
      <c r="G5" s="65" t="n"/>
      <c r="H5" s="66" t="n"/>
      <c r="I5" s="66" t="n"/>
      <c r="J5" s="66" t="n"/>
      <c r="K5" s="66" t="n"/>
      <c r="L5" s="67">
        <f>IF(NOT((COUNTA($B5:$K5)+COUNTA($N5))&gt;0),"",IF(N($T5)&gt;0,$AB5,IFERROR(LOOKUP(2,1/(H5:K5&lt;&gt;""),H5:K5),0)))</f>
        <v/>
      </c>
      <c r="M5" s="61">
        <f>IF(L5="","",IF(L5&gt;=1,"Completado",IF(L5&gt;0,"En curso","Pendiente")))</f>
        <v/>
      </c>
      <c r="N5" s="62" t="n"/>
      <c r="O5" s="68">
        <f>IF(NOT((COUNTA($B5:$K5)+COUNTA($N5))&gt;0),"",IF((IF(AND($S5="Macro",$B5=""),"Macroactividad vacía"&amp;" · ","")&amp;IF(AND($B5&lt;&gt;"",$C5&lt;&gt;""),"Escriba la subactividad en otra fila, debajo de su macroactividad"&amp;" · ","")&amp;IF(AND($S5="Sub",N($R5)=0),"Subactividad sin macroactividad arriba"&amp;" · ","")&amp;IF($D5="","Sin responsable"&amp;" · ","")&amp;IF($E5="","Sin fecha de inicio"&amp;" · ","")&amp;IF($F5="","Sin fecha límite"&amp;" · ","")&amp;IF(OR(AND($E5&lt;&gt;"",NOT(ISNUMBER($E5))),AND($F5&lt;&gt;"",NOT(ISNUMBER($F5)))),"Fecha no válida"&amp;" · ","")&amp;IF(AND(ISNUMBER($E5),ISNUMBER($F5),$E5&gt;$F5),"Inicio posterior a fecha límite"&amp;" · ","")&amp;IF(AND($S5="Macro",$G5=""),"Peso vacío"&amp;" · ","")&amp;IF(AND($S5="Macro",$G5&lt;&gt;"",OR(NOT(ISNUMBER($G5)),$G5&lt;=0,$G5&gt;1)),"Peso fuera de rango"&amp;" · ","")&amp;IF(AND($S5="Sub",$G5&lt;&gt;""),"Las subactividades no llevan peso"&amp;" · ","")&amp;IF(AND($S5="Macro",ABS(SUMIFS($G$5:$G$1000,$P$5:$P$1000,$P5,$S$5:$S$1000,"Macro")-1)&gt;0.0001),"Pesos del mes suman "&amp;TEXT(SUMIFS($G$5:$G$1000,$P$5:$P$1000,$P5,$S$5:$S$1000,"Macro"),"0%")&amp;" · ","")&amp;IF(AND(N($T5)&gt;0,COUNT($H5:$K5)&gt;0),"Con subactividades: deje vacías las semanas (se calculan solas)"&amp;" · ","")&amp;IF((COUNTIF($H5:$K5,"&gt;1")+COUNTIF($H5:$K5,"&lt;0")+COUNTA($H5:$K5)-COUNT($H5:$K5))&gt;0,"Avance fuera de rango 0-100%"&amp;" · ","")&amp;IF(OR(AND($I5&lt;&gt;"",$I5&lt;$H5),AND($J5&lt;&gt;"",$J5&lt;MAX($H5:$I5)),AND($K5&lt;&gt;"",$K5&lt;MAX($H5:$J5))),"Avance semanal decreciente"&amp;" · ","")&amp;IF(AND(ISNUMBER($F5),$F5&lt;FechaRef,N($L5)&lt;1),"Vencida"&amp;" · ","")&amp;IF(AND(ObsObligatoria="Sí",ISNUMBER($F5),$F5&lt;FechaRef,N($L5)&lt;1,$N5=""),"Vencida sin observación"&amp;" · ",""))="","✔ OK","⚠ "&amp;LEFT(IF(AND($S5="Macro",$B5=""),"Macroactividad vacía"&amp;" · ","")&amp;IF(AND($B5&lt;&gt;"",$C5&lt;&gt;""),"Escriba la subactividad en otra fila, debajo de su macroactividad"&amp;" · ","")&amp;IF(AND($S5="Sub",N($R5)=0),"Subactividad sin macroactividad arriba"&amp;" · ","")&amp;IF($D5="","Sin responsable"&amp;" · ","")&amp;IF($E5="","Sin fecha de inicio"&amp;" · ","")&amp;IF($F5="","Sin fecha límite"&amp;" · ","")&amp;IF(OR(AND($E5&lt;&gt;"",NOT(ISNUMBER($E5))),AND($F5&lt;&gt;"",NOT(ISNUMBER($F5)))),"Fecha no válida"&amp;" · ","")&amp;IF(AND(ISNUMBER($E5),ISNUMBER($F5),$E5&gt;$F5),"Inicio posterior a fecha límite"&amp;" · ","")&amp;IF(AND($S5="Macro",$G5=""),"Peso vacío"&amp;" · ","")&amp;IF(AND($S5="Macro",$G5&lt;&gt;"",OR(NOT(ISNUMBER($G5)),$G5&lt;=0,$G5&gt;1)),"Peso fuera de rango"&amp;" · ","")&amp;IF(AND($S5="Sub",$G5&lt;&gt;""),"Las subactividades no llevan peso"&amp;" · ","")&amp;IF(AND($S5="Macro",ABS(SUMIFS($G$5:$G$1000,$P$5:$P$1000,$P5,$S$5:$S$1000,"Macro")-1)&gt;0.0001),"Pesos del mes suman "&amp;TEXT(SUMIFS($G$5:$G$1000,$P$5:$P$1000,$P5,$S$5:$S$1000,"Macro"),"0%")&amp;" · ","")&amp;IF(AND(N($T5)&gt;0,COUNT($H5:$K5)&gt;0),"Con subactividades: deje vacías las semanas (se calculan solas)"&amp;" · ","")&amp;IF((COUNTIF($H5:$K5,"&gt;1")+COUNTIF($H5:$K5,"&lt;0")+COUNTA($H5:$K5)-COUNT($H5:$K5))&gt;0,"Avance fuera de rango 0-100%"&amp;" · ","")&amp;IF(OR(AND($I5&lt;&gt;"",$I5&lt;$H5),AND($J5&lt;&gt;"",$J5&lt;MAX($H5:$I5)),AND($K5&lt;&gt;"",$K5&lt;MAX($H5:$J5))),"Avance semanal decreciente"&amp;" · ","")&amp;IF(AND(ISNUMBER($F5),$F5&lt;FechaRef,N($L5)&lt;1),"Vencida"&amp;" · ","")&amp;IF(AND(ObsObligatoria="Sí",ISNUMBER($F5),$F5&lt;FechaRef,N($L5)&lt;1,$N5=""),"Vencida sin observación"&amp;" · ",""),LEN(IF(AND($S5="Macro",$B5=""),"Macroactividad vacía"&amp;" · ","")&amp;IF(AND($B5&lt;&gt;"",$C5&lt;&gt;""),"Escriba la subactividad en otra fila, debajo de su macroactividad"&amp;" · ","")&amp;IF(AND($S5="Sub",N($R5)=0),"Subactividad sin macroactividad arriba"&amp;" · ","")&amp;IF($D5="","Sin responsable"&amp;" · ","")&amp;IF($E5="","Sin fecha de inicio"&amp;" · ","")&amp;IF($F5="","Sin fecha límite"&amp;" · ","")&amp;IF(OR(AND($E5&lt;&gt;"",NOT(ISNUMBER($E5))),AND($F5&lt;&gt;"",NOT(ISNUMBER($F5)))),"Fecha no válida"&amp;" · ","")&amp;IF(AND(ISNUMBER($E5),ISNUMBER($F5),$E5&gt;$F5),"Inicio posterior a fecha límite"&amp;" · ","")&amp;IF(AND($S5="Macro",$G5=""),"Peso vacío"&amp;" · ","")&amp;IF(AND($S5="Macro",$G5&lt;&gt;"",OR(NOT(ISNUMBER($G5)),$G5&lt;=0,$G5&gt;1)),"Peso fuera de rango"&amp;" · ","")&amp;IF(AND($S5="Sub",$G5&lt;&gt;""),"Las subactividades no llevan peso"&amp;" · ","")&amp;IF(AND($S5="Macro",ABS(SUMIFS($G$5:$G$1000,$P$5:$P$1000,$P5,$S$5:$S$1000,"Macro")-1)&gt;0.0001),"Pesos del mes suman "&amp;TEXT(SUMIFS($G$5:$G$1000,$P$5:$P$1000,$P5,$S$5:$S$1000,"Macro"),"0%")&amp;" · ","")&amp;IF(AND(N($T5)&gt;0,COUNT($H5:$K5)&gt;0),"Con subactividades: deje vacías las semanas (se calculan solas)"&amp;" · ","")&amp;IF((COUNTIF($H5:$K5,"&gt;1")+COUNTIF($H5:$K5,"&lt;0")+COUNTA($H5:$K5)-COUNT($H5:$K5))&gt;0,"Avance fuera de rango 0-100%"&amp;" · ","")&amp;IF(OR(AND($I5&lt;&gt;"",$I5&lt;$H5),AND($J5&lt;&gt;"",$J5&lt;MAX($H5:$I5)),AND($K5&lt;&gt;"",$K5&lt;MAX($H5:$J5))),"Avance semanal decreciente"&amp;" · ","")&amp;IF(AND(ISNUMBER($F5),$F5&lt;FechaRef,N($L5)&lt;1),"Vencida"&amp;" · ","")&amp;IF(AND(ObsObligatoria="Sí",ISNUMBER($F5),$F5&lt;FechaRef,N($L5)&lt;1,$N5=""),"Vencida sin observación"&amp;" · ",""))-3)))</f>
        <v/>
      </c>
      <c r="P5" s="69">
        <f>IF(NOT((COUNTA($B5:$K5)+COUNTA($N5))&gt;0),"",IF(AND($S5="Sub",N($R5)&gt;0),IF(ISNUMBER(INDEX($E$5:$E$1000,$R5-4)),DATE(YEAR(INDEX($E$5:$E$1000,$R5-4)),MONTH(INDEX($E$5:$E$1000,$R5-4)),1),IF(ISNUMBER(INDEX($F$5:$F$1000,$R5-4)),DATE(YEAR(INDEX($F$5:$F$1000,$R5-4)),MONTH(INDEX($F$5:$F$1000,$R5-4)),1),MesCiclo)),IF(ISNUMBER($E5),DATE(YEAR($E5),MONTH($E5),1),IF(ISNUMBER($F5),DATE(YEAR($F5),MONTH($F5),1),MesCiclo))))</f>
        <v/>
      </c>
      <c r="Q5" s="70">
        <f>IF(OR($P5="",$P5&lt;&gt;MesCiclo),"",COUNTIF($P$5:$P5,MesCiclo))</f>
        <v/>
      </c>
      <c r="R5" s="70">
        <f>IF($S5="","",IF($S5="Macro",ROW(),IFERROR(LOOKUP(2,1/($S$5:$S5="Macro"),ROW($S$5:$S5)),0)))</f>
        <v/>
      </c>
      <c r="S5" s="70">
        <f>IF(NOT((COUNTA($B5:$K5)+COUNTA($N5))&gt;0),"",IF($B5&lt;&gt;"","Macro",IF($C5&lt;&gt;"","Sub","Macro")))</f>
        <v/>
      </c>
      <c r="T5" s="70">
        <f>IF($S5="Macro",COUNTIFS($R$5:$R$1000,ROW(),$S$5:$S$1000,"Sub"),"")</f>
        <v/>
      </c>
      <c r="U5" s="70">
        <f>IF($S5="","",IF(ISNUMBER($H5),$H5,0))</f>
        <v/>
      </c>
      <c r="V5" s="70">
        <f>IF($S5="","",IF(ISNUMBER($I5),$I5,$U5))</f>
        <v/>
      </c>
      <c r="W5" s="70">
        <f>IF($S5="","",IF(ISNUMBER($J5),$J5,$V5))</f>
        <v/>
      </c>
      <c r="X5" s="70">
        <f>IF($S5="","",IF(ISNUMBER($K5),$K5,$W5))</f>
        <v/>
      </c>
      <c r="Y5" s="70">
        <f>IF($S5="","",IF(N($T5)&gt;0,AVERAGEIFS($U$5:$U$1000,$R$5:$R$1000,ROW(),$S$5:$S$1000,"Sub"),$U5))</f>
        <v/>
      </c>
      <c r="Z5" s="70">
        <f>IF($S5="","",IF(N($T5)&gt;0,AVERAGEIFS($V$5:$V$1000,$R$5:$R$1000,ROW(),$S$5:$S$1000,"Sub"),$V5))</f>
        <v/>
      </c>
      <c r="AA5" s="70">
        <f>IF($S5="","",IF(N($T5)&gt;0,AVERAGEIFS($W$5:$W$1000,$R$5:$R$1000,ROW(),$S$5:$S$1000,"Sub"),$W5))</f>
        <v/>
      </c>
      <c r="AB5" s="70">
        <f>IF($S5="","",IF(N($T5)&gt;0,AVERAGEIFS($X$5:$X$1000,$R$5:$R$1000,ROW(),$S$5:$S$1000,"Sub"),$X5))</f>
        <v/>
      </c>
    </row>
    <row r="6">
      <c r="A6" s="61">
        <f>IF(NOT((COUNTA($B6:$K6)+COUNTA($N6))&gt;0),"",IF($S6="Macro",COUNTIFS($S$5:$S6,"Macro",$P$5:$P6,$P6),IF(N($R6)=0,"?",COUNTIFS(INDEX($S$5:$S$1000,1):INDEX($S$5:$S$1000,$R6-4),"Macro",INDEX($P$5:$P$1000,1):INDEX($P$5:$P$1000,$R6-4),INDEX($P$5:$P$1000,$R6-4))&amp;"."&amp;COUNTIFS($R$5:$R6,$R6,$S$5:$S6,"Sub"))))</f>
        <v/>
      </c>
      <c r="B6" s="62" t="n"/>
      <c r="C6" s="63" t="n"/>
      <c r="D6" s="62" t="n"/>
      <c r="E6" s="64" t="n"/>
      <c r="F6" s="64" t="n"/>
      <c r="G6" s="65" t="n"/>
      <c r="H6" s="66" t="n"/>
      <c r="I6" s="66" t="n"/>
      <c r="J6" s="66" t="n"/>
      <c r="K6" s="66" t="n"/>
      <c r="L6" s="67">
        <f>IF(NOT((COUNTA($B6:$K6)+COUNTA($N6))&gt;0),"",IF(N($T6)&gt;0,$AB6,IFERROR(LOOKUP(2,1/(H6:K6&lt;&gt;""),H6:K6),0)))</f>
        <v/>
      </c>
      <c r="M6" s="61">
        <f>IF(L6="","",IF(L6&gt;=1,"Completado",IF(L6&gt;0,"En curso","Pendiente")))</f>
        <v/>
      </c>
      <c r="N6" s="62" t="n"/>
      <c r="O6" s="68">
        <f>IF(NOT((COUNTA($B6:$K6)+COUNTA($N6))&gt;0),"",IF((IF(AND($S6="Macro",$B6=""),"Macroactividad vacía"&amp;" · ","")&amp;IF(AND($B6&lt;&gt;"",$C6&lt;&gt;""),"Escriba la subactividad en otra fila, debajo de su macroactividad"&amp;" · ","")&amp;IF(AND($S6="Sub",N($R6)=0),"Subactividad sin macroactividad arriba"&amp;" · ","")&amp;IF($D6="","Sin responsable"&amp;" · ","")&amp;IF($E6="","Sin fecha de inicio"&amp;" · ","")&amp;IF($F6="","Sin fecha límite"&amp;" · ","")&amp;IF(OR(AND($E6&lt;&gt;"",NOT(ISNUMBER($E6))),AND($F6&lt;&gt;"",NOT(ISNUMBER($F6)))),"Fecha no válida"&amp;" · ","")&amp;IF(AND(ISNUMBER($E6),ISNUMBER($F6),$E6&gt;$F6),"Inicio posterior a fecha límite"&amp;" · ","")&amp;IF(AND($S6="Macro",$G6=""),"Peso vacío"&amp;" · ","")&amp;IF(AND($S6="Macro",$G6&lt;&gt;"",OR(NOT(ISNUMBER($G6)),$G6&lt;=0,$G6&gt;1)),"Peso fuera de rango"&amp;" · ","")&amp;IF(AND($S6="Sub",$G6&lt;&gt;""),"Las subactividades no llevan peso"&amp;" · ","")&amp;IF(AND($S6="Macro",ABS(SUMIFS($G$5:$G$1000,$P$5:$P$1000,$P6,$S$5:$S$1000,"Macro")-1)&gt;0.0001),"Pesos del mes suman "&amp;TEXT(SUMIFS($G$5:$G$1000,$P$5:$P$1000,$P6,$S$5:$S$1000,"Macro"),"0%")&amp;" · ","")&amp;IF(AND(N($T6)&gt;0,COUNT($H6:$K6)&gt;0),"Con subactividades: deje vacías las semanas (se calculan solas)"&amp;" · ","")&amp;IF((COUNTIF($H6:$K6,"&gt;1")+COUNTIF($H6:$K6,"&lt;0")+COUNTA($H6:$K6)-COUNT($H6:$K6))&gt;0,"Avance fuera de rango 0-100%"&amp;" · ","")&amp;IF(OR(AND($I6&lt;&gt;"",$I6&lt;$H6),AND($J6&lt;&gt;"",$J6&lt;MAX($H6:$I6)),AND($K6&lt;&gt;"",$K6&lt;MAX($H6:$J6))),"Avance semanal decreciente"&amp;" · ","")&amp;IF(AND(ISNUMBER($F6),$F6&lt;FechaRef,N($L6)&lt;1),"Vencida"&amp;" · ","")&amp;IF(AND(ObsObligatoria="Sí",ISNUMBER($F6),$F6&lt;FechaRef,N($L6)&lt;1,$N6=""),"Vencida sin observación"&amp;" · ",""))="","✔ OK","⚠ "&amp;LEFT(IF(AND($S6="Macro",$B6=""),"Macroactividad vacía"&amp;" · ","")&amp;IF(AND($B6&lt;&gt;"",$C6&lt;&gt;""),"Escriba la subactividad en otra fila, debajo de su macroactividad"&amp;" · ","")&amp;IF(AND($S6="Sub",N($R6)=0),"Subactividad sin macroactividad arriba"&amp;" · ","")&amp;IF($D6="","Sin responsable"&amp;" · ","")&amp;IF($E6="","Sin fecha de inicio"&amp;" · ","")&amp;IF($F6="","Sin fecha límite"&amp;" · ","")&amp;IF(OR(AND($E6&lt;&gt;"",NOT(ISNUMBER($E6))),AND($F6&lt;&gt;"",NOT(ISNUMBER($F6)))),"Fecha no válida"&amp;" · ","")&amp;IF(AND(ISNUMBER($E6),ISNUMBER($F6),$E6&gt;$F6),"Inicio posterior a fecha límite"&amp;" · ","")&amp;IF(AND($S6="Macro",$G6=""),"Peso vacío"&amp;" · ","")&amp;IF(AND($S6="Macro",$G6&lt;&gt;"",OR(NOT(ISNUMBER($G6)),$G6&lt;=0,$G6&gt;1)),"Peso fuera de rango"&amp;" · ","")&amp;IF(AND($S6="Sub",$G6&lt;&gt;""),"Las subactividades no llevan peso"&amp;" · ","")&amp;IF(AND($S6="Macro",ABS(SUMIFS($G$5:$G$1000,$P$5:$P$1000,$P6,$S$5:$S$1000,"Macro")-1)&gt;0.0001),"Pesos del mes suman "&amp;TEXT(SUMIFS($G$5:$G$1000,$P$5:$P$1000,$P6,$S$5:$S$1000,"Macro"),"0%")&amp;" · ","")&amp;IF(AND(N($T6)&gt;0,COUNT($H6:$K6)&gt;0),"Con subactividades: deje vacías las semanas (se calculan solas)"&amp;" · ","")&amp;IF((COUNTIF($H6:$K6,"&gt;1")+COUNTIF($H6:$K6,"&lt;0")+COUNTA($H6:$K6)-COUNT($H6:$K6))&gt;0,"Avance fuera de rango 0-100%"&amp;" · ","")&amp;IF(OR(AND($I6&lt;&gt;"",$I6&lt;$H6),AND($J6&lt;&gt;"",$J6&lt;MAX($H6:$I6)),AND($K6&lt;&gt;"",$K6&lt;MAX($H6:$J6))),"Avance semanal decreciente"&amp;" · ","")&amp;IF(AND(ISNUMBER($F6),$F6&lt;FechaRef,N($L6)&lt;1),"Vencida"&amp;" · ","")&amp;IF(AND(ObsObligatoria="Sí",ISNUMBER($F6),$F6&lt;FechaRef,N($L6)&lt;1,$N6=""),"Vencida sin observación"&amp;" · ",""),LEN(IF(AND($S6="Macro",$B6=""),"Macroactividad vacía"&amp;" · ","")&amp;IF(AND($B6&lt;&gt;"",$C6&lt;&gt;""),"Escriba la subactividad en otra fila, debajo de su macroactividad"&amp;" · ","")&amp;IF(AND($S6="Sub",N($R6)=0),"Subactividad sin macroactividad arriba"&amp;" · ","")&amp;IF($D6="","Sin responsable"&amp;" · ","")&amp;IF($E6="","Sin fecha de inicio"&amp;" · ","")&amp;IF($F6="","Sin fecha límite"&amp;" · ","")&amp;IF(OR(AND($E6&lt;&gt;"",NOT(ISNUMBER($E6))),AND($F6&lt;&gt;"",NOT(ISNUMBER($F6)))),"Fecha no válida"&amp;" · ","")&amp;IF(AND(ISNUMBER($E6),ISNUMBER($F6),$E6&gt;$F6),"Inicio posterior a fecha límite"&amp;" · ","")&amp;IF(AND($S6="Macro",$G6=""),"Peso vacío"&amp;" · ","")&amp;IF(AND($S6="Macro",$G6&lt;&gt;"",OR(NOT(ISNUMBER($G6)),$G6&lt;=0,$G6&gt;1)),"Peso fuera de rango"&amp;" · ","")&amp;IF(AND($S6="Sub",$G6&lt;&gt;""),"Las subactividades no llevan peso"&amp;" · ","")&amp;IF(AND($S6="Macro",ABS(SUMIFS($G$5:$G$1000,$P$5:$P$1000,$P6,$S$5:$S$1000,"Macro")-1)&gt;0.0001),"Pesos del mes suman "&amp;TEXT(SUMIFS($G$5:$G$1000,$P$5:$P$1000,$P6,$S$5:$S$1000,"Macro"),"0%")&amp;" · ","")&amp;IF(AND(N($T6)&gt;0,COUNT($H6:$K6)&gt;0),"Con subactividades: deje vacías las semanas (se calculan solas)"&amp;" · ","")&amp;IF((COUNTIF($H6:$K6,"&gt;1")+COUNTIF($H6:$K6,"&lt;0")+COUNTA($H6:$K6)-COUNT($H6:$K6))&gt;0,"Avance fuera de rango 0-100%"&amp;" · ","")&amp;IF(OR(AND($I6&lt;&gt;"",$I6&lt;$H6),AND($J6&lt;&gt;"",$J6&lt;MAX($H6:$I6)),AND($K6&lt;&gt;"",$K6&lt;MAX($H6:$J6))),"Avance semanal decreciente"&amp;" · ","")&amp;IF(AND(ISNUMBER($F6),$F6&lt;FechaRef,N($L6)&lt;1),"Vencida"&amp;" · ","")&amp;IF(AND(ObsObligatoria="Sí",ISNUMBER($F6),$F6&lt;FechaRef,N($L6)&lt;1,$N6=""),"Vencida sin observación"&amp;" · ",""))-3)))</f>
        <v/>
      </c>
      <c r="P6" s="69">
        <f>IF(NOT((COUNTA($B6:$K6)+COUNTA($N6))&gt;0),"",IF(AND($S6="Sub",N($R6)&gt;0),IF(ISNUMBER(INDEX($E$5:$E$1000,$R6-4)),DATE(YEAR(INDEX($E$5:$E$1000,$R6-4)),MONTH(INDEX($E$5:$E$1000,$R6-4)),1),IF(ISNUMBER(INDEX($F$5:$F$1000,$R6-4)),DATE(YEAR(INDEX($F$5:$F$1000,$R6-4)),MONTH(INDEX($F$5:$F$1000,$R6-4)),1),MesCiclo)),IF(ISNUMBER($E6),DATE(YEAR($E6),MONTH($E6),1),IF(ISNUMBER($F6),DATE(YEAR($F6),MONTH($F6),1),MesCiclo))))</f>
        <v/>
      </c>
      <c r="Q6" s="70">
        <f>IF(OR($P6="",$P6&lt;&gt;MesCiclo),"",COUNTIF($P$5:$P6,MesCiclo))</f>
        <v/>
      </c>
      <c r="R6" s="70">
        <f>IF($S6="","",IF($S6="Macro",ROW(),IFERROR(LOOKUP(2,1/($S$5:$S6="Macro"),ROW($S$5:$S6)),0)))</f>
        <v/>
      </c>
      <c r="S6" s="70">
        <f>IF(NOT((COUNTA($B6:$K6)+COUNTA($N6))&gt;0),"",IF($B6&lt;&gt;"","Macro",IF($C6&lt;&gt;"","Sub","Macro")))</f>
        <v/>
      </c>
      <c r="T6" s="70">
        <f>IF($S6="Macro",COUNTIFS($R$5:$R$1000,ROW(),$S$5:$S$1000,"Sub"),"")</f>
        <v/>
      </c>
      <c r="U6" s="70">
        <f>IF($S6="","",IF(ISNUMBER($H6),$H6,0))</f>
        <v/>
      </c>
      <c r="V6" s="70">
        <f>IF($S6="","",IF(ISNUMBER($I6),$I6,$U6))</f>
        <v/>
      </c>
      <c r="W6" s="70">
        <f>IF($S6="","",IF(ISNUMBER($J6),$J6,$V6))</f>
        <v/>
      </c>
      <c r="X6" s="70">
        <f>IF($S6="","",IF(ISNUMBER($K6),$K6,$W6))</f>
        <v/>
      </c>
      <c r="Y6" s="70">
        <f>IF($S6="","",IF(N($T6)&gt;0,AVERAGEIFS($U$5:$U$1000,$R$5:$R$1000,ROW(),$S$5:$S$1000,"Sub"),$U6))</f>
        <v/>
      </c>
      <c r="Z6" s="70">
        <f>IF($S6="","",IF(N($T6)&gt;0,AVERAGEIFS($V$5:$V$1000,$R$5:$R$1000,ROW(),$S$5:$S$1000,"Sub"),$V6))</f>
        <v/>
      </c>
      <c r="AA6" s="70">
        <f>IF($S6="","",IF(N($T6)&gt;0,AVERAGEIFS($W$5:$W$1000,$R$5:$R$1000,ROW(),$S$5:$S$1000,"Sub"),$W6))</f>
        <v/>
      </c>
      <c r="AB6" s="70">
        <f>IF($S6="","",IF(N($T6)&gt;0,AVERAGEIFS($X$5:$X$1000,$R$5:$R$1000,ROW(),$S$5:$S$1000,"Sub"),$X6))</f>
        <v/>
      </c>
    </row>
    <row r="7">
      <c r="A7" s="61">
        <f>IF(NOT((COUNTA($B7:$K7)+COUNTA($N7))&gt;0),"",IF($S7="Macro",COUNTIFS($S$5:$S7,"Macro",$P$5:$P7,$P7),IF(N($R7)=0,"?",COUNTIFS(INDEX($S$5:$S$1000,1):INDEX($S$5:$S$1000,$R7-4),"Macro",INDEX($P$5:$P$1000,1):INDEX($P$5:$P$1000,$R7-4),INDEX($P$5:$P$1000,$R7-4))&amp;"."&amp;COUNTIFS($R$5:$R7,$R7,$S$5:$S7,"Sub"))))</f>
        <v/>
      </c>
      <c r="B7" s="62" t="n"/>
      <c r="C7" s="63" t="n"/>
      <c r="D7" s="62" t="n"/>
      <c r="E7" s="64" t="n"/>
      <c r="F7" s="64" t="n"/>
      <c r="G7" s="65" t="n"/>
      <c r="H7" s="66" t="n"/>
      <c r="I7" s="66" t="n"/>
      <c r="J7" s="66" t="n"/>
      <c r="K7" s="66" t="n"/>
      <c r="L7" s="67">
        <f>IF(NOT((COUNTA($B7:$K7)+COUNTA($N7))&gt;0),"",IF(N($T7)&gt;0,$AB7,IFERROR(LOOKUP(2,1/(H7:K7&lt;&gt;""),H7:K7),0)))</f>
        <v/>
      </c>
      <c r="M7" s="61">
        <f>IF(L7="","",IF(L7&gt;=1,"Completado",IF(L7&gt;0,"En curso","Pendiente")))</f>
        <v/>
      </c>
      <c r="N7" s="62" t="n"/>
      <c r="O7" s="68">
        <f>IF(NOT((COUNTA($B7:$K7)+COUNTA($N7))&gt;0),"",IF((IF(AND($S7="Macro",$B7=""),"Macroactividad vacía"&amp;" · ","")&amp;IF(AND($B7&lt;&gt;"",$C7&lt;&gt;""),"Escriba la subactividad en otra fila, debajo de su macroactividad"&amp;" · ","")&amp;IF(AND($S7="Sub",N($R7)=0),"Subactividad sin macroactividad arriba"&amp;" · ","")&amp;IF($D7="","Sin responsable"&amp;" · ","")&amp;IF($E7="","Sin fecha de inicio"&amp;" · ","")&amp;IF($F7="","Sin fecha límite"&amp;" · ","")&amp;IF(OR(AND($E7&lt;&gt;"",NOT(ISNUMBER($E7))),AND($F7&lt;&gt;"",NOT(ISNUMBER($F7)))),"Fecha no válida"&amp;" · ","")&amp;IF(AND(ISNUMBER($E7),ISNUMBER($F7),$E7&gt;$F7),"Inicio posterior a fecha límite"&amp;" · ","")&amp;IF(AND($S7="Macro",$G7=""),"Peso vacío"&amp;" · ","")&amp;IF(AND($S7="Macro",$G7&lt;&gt;"",OR(NOT(ISNUMBER($G7)),$G7&lt;=0,$G7&gt;1)),"Peso fuera de rango"&amp;" · ","")&amp;IF(AND($S7="Sub",$G7&lt;&gt;""),"Las subactividades no llevan peso"&amp;" · ","")&amp;IF(AND($S7="Macro",ABS(SUMIFS($G$5:$G$1000,$P$5:$P$1000,$P7,$S$5:$S$1000,"Macro")-1)&gt;0.0001),"Pesos del mes suman "&amp;TEXT(SUMIFS($G$5:$G$1000,$P$5:$P$1000,$P7,$S$5:$S$1000,"Macro"),"0%")&amp;" · ","")&amp;IF(AND(N($T7)&gt;0,COUNT($H7:$K7)&gt;0),"Con subactividades: deje vacías las semanas (se calculan solas)"&amp;" · ","")&amp;IF((COUNTIF($H7:$K7,"&gt;1")+COUNTIF($H7:$K7,"&lt;0")+COUNTA($H7:$K7)-COUNT($H7:$K7))&gt;0,"Avance fuera de rango 0-100%"&amp;" · ","")&amp;IF(OR(AND($I7&lt;&gt;"",$I7&lt;$H7),AND($J7&lt;&gt;"",$J7&lt;MAX($H7:$I7)),AND($K7&lt;&gt;"",$K7&lt;MAX($H7:$J7))),"Avance semanal decreciente"&amp;" · ","")&amp;IF(AND(ISNUMBER($F7),$F7&lt;FechaRef,N($L7)&lt;1),"Vencida"&amp;" · ","")&amp;IF(AND(ObsObligatoria="Sí",ISNUMBER($F7),$F7&lt;FechaRef,N($L7)&lt;1,$N7=""),"Vencida sin observación"&amp;" · ",""))="","✔ OK","⚠ "&amp;LEFT(IF(AND($S7="Macro",$B7=""),"Macroactividad vacía"&amp;" · ","")&amp;IF(AND($B7&lt;&gt;"",$C7&lt;&gt;""),"Escriba la subactividad en otra fila, debajo de su macroactividad"&amp;" · ","")&amp;IF(AND($S7="Sub",N($R7)=0),"Subactividad sin macroactividad arriba"&amp;" · ","")&amp;IF($D7="","Sin responsable"&amp;" · ","")&amp;IF($E7="","Sin fecha de inicio"&amp;" · ","")&amp;IF($F7="","Sin fecha límite"&amp;" · ","")&amp;IF(OR(AND($E7&lt;&gt;"",NOT(ISNUMBER($E7))),AND($F7&lt;&gt;"",NOT(ISNUMBER($F7)))),"Fecha no válida"&amp;" · ","")&amp;IF(AND(ISNUMBER($E7),ISNUMBER($F7),$E7&gt;$F7),"Inicio posterior a fecha límite"&amp;" · ","")&amp;IF(AND($S7="Macro",$G7=""),"Peso vacío"&amp;" · ","")&amp;IF(AND($S7="Macro",$G7&lt;&gt;"",OR(NOT(ISNUMBER($G7)),$G7&lt;=0,$G7&gt;1)),"Peso fuera de rango"&amp;" · ","")&amp;IF(AND($S7="Sub",$G7&lt;&gt;""),"Las subactividades no llevan peso"&amp;" · ","")&amp;IF(AND($S7="Macro",ABS(SUMIFS($G$5:$G$1000,$P$5:$P$1000,$P7,$S$5:$S$1000,"Macro")-1)&gt;0.0001),"Pesos del mes suman "&amp;TEXT(SUMIFS($G$5:$G$1000,$P$5:$P$1000,$P7,$S$5:$S$1000,"Macro"),"0%")&amp;" · ","")&amp;IF(AND(N($T7)&gt;0,COUNT($H7:$K7)&gt;0),"Con subactividades: deje vacías las semanas (se calculan solas)"&amp;" · ","")&amp;IF((COUNTIF($H7:$K7,"&gt;1")+COUNTIF($H7:$K7,"&lt;0")+COUNTA($H7:$K7)-COUNT($H7:$K7))&gt;0,"Avance fuera de rango 0-100%"&amp;" · ","")&amp;IF(OR(AND($I7&lt;&gt;"",$I7&lt;$H7),AND($J7&lt;&gt;"",$J7&lt;MAX($H7:$I7)),AND($K7&lt;&gt;"",$K7&lt;MAX($H7:$J7))),"Avance semanal decreciente"&amp;" · ","")&amp;IF(AND(ISNUMBER($F7),$F7&lt;FechaRef,N($L7)&lt;1),"Vencida"&amp;" · ","")&amp;IF(AND(ObsObligatoria="Sí",ISNUMBER($F7),$F7&lt;FechaRef,N($L7)&lt;1,$N7=""),"Vencida sin observación"&amp;" · ",""),LEN(IF(AND($S7="Macro",$B7=""),"Macroactividad vacía"&amp;" · ","")&amp;IF(AND($B7&lt;&gt;"",$C7&lt;&gt;""),"Escriba la subactividad en otra fila, debajo de su macroactividad"&amp;" · ","")&amp;IF(AND($S7="Sub",N($R7)=0),"Subactividad sin macroactividad arriba"&amp;" · ","")&amp;IF($D7="","Sin responsable"&amp;" · ","")&amp;IF($E7="","Sin fecha de inicio"&amp;" · ","")&amp;IF($F7="","Sin fecha límite"&amp;" · ","")&amp;IF(OR(AND($E7&lt;&gt;"",NOT(ISNUMBER($E7))),AND($F7&lt;&gt;"",NOT(ISNUMBER($F7)))),"Fecha no válida"&amp;" · ","")&amp;IF(AND(ISNUMBER($E7),ISNUMBER($F7),$E7&gt;$F7),"Inicio posterior a fecha límite"&amp;" · ","")&amp;IF(AND($S7="Macro",$G7=""),"Peso vacío"&amp;" · ","")&amp;IF(AND($S7="Macro",$G7&lt;&gt;"",OR(NOT(ISNUMBER($G7)),$G7&lt;=0,$G7&gt;1)),"Peso fuera de rango"&amp;" · ","")&amp;IF(AND($S7="Sub",$G7&lt;&gt;""),"Las subactividades no llevan peso"&amp;" · ","")&amp;IF(AND($S7="Macro",ABS(SUMIFS($G$5:$G$1000,$P$5:$P$1000,$P7,$S$5:$S$1000,"Macro")-1)&gt;0.0001),"Pesos del mes suman "&amp;TEXT(SUMIFS($G$5:$G$1000,$P$5:$P$1000,$P7,$S$5:$S$1000,"Macro"),"0%")&amp;" · ","")&amp;IF(AND(N($T7)&gt;0,COUNT($H7:$K7)&gt;0),"Con subactividades: deje vacías las semanas (se calculan solas)"&amp;" · ","")&amp;IF((COUNTIF($H7:$K7,"&gt;1")+COUNTIF($H7:$K7,"&lt;0")+COUNTA($H7:$K7)-COUNT($H7:$K7))&gt;0,"Avance fuera de rango 0-100%"&amp;" · ","")&amp;IF(OR(AND($I7&lt;&gt;"",$I7&lt;$H7),AND($J7&lt;&gt;"",$J7&lt;MAX($H7:$I7)),AND($K7&lt;&gt;"",$K7&lt;MAX($H7:$J7))),"Avance semanal decreciente"&amp;" · ","")&amp;IF(AND(ISNUMBER($F7),$F7&lt;FechaRef,N($L7)&lt;1),"Vencida"&amp;" · ","")&amp;IF(AND(ObsObligatoria="Sí",ISNUMBER($F7),$F7&lt;FechaRef,N($L7)&lt;1,$N7=""),"Vencida sin observación"&amp;" · ",""))-3)))</f>
        <v/>
      </c>
      <c r="P7" s="69">
        <f>IF(NOT((COUNTA($B7:$K7)+COUNTA($N7))&gt;0),"",IF(AND($S7="Sub",N($R7)&gt;0),IF(ISNUMBER(INDEX($E$5:$E$1000,$R7-4)),DATE(YEAR(INDEX($E$5:$E$1000,$R7-4)),MONTH(INDEX($E$5:$E$1000,$R7-4)),1),IF(ISNUMBER(INDEX($F$5:$F$1000,$R7-4)),DATE(YEAR(INDEX($F$5:$F$1000,$R7-4)),MONTH(INDEX($F$5:$F$1000,$R7-4)),1),MesCiclo)),IF(ISNUMBER($E7),DATE(YEAR($E7),MONTH($E7),1),IF(ISNUMBER($F7),DATE(YEAR($F7),MONTH($F7),1),MesCiclo))))</f>
        <v/>
      </c>
      <c r="Q7" s="70">
        <f>IF(OR($P7="",$P7&lt;&gt;MesCiclo),"",COUNTIF($P$5:$P7,MesCiclo))</f>
        <v/>
      </c>
      <c r="R7" s="70">
        <f>IF($S7="","",IF($S7="Macro",ROW(),IFERROR(LOOKUP(2,1/($S$5:$S7="Macro"),ROW($S$5:$S7)),0)))</f>
        <v/>
      </c>
      <c r="S7" s="70">
        <f>IF(NOT((COUNTA($B7:$K7)+COUNTA($N7))&gt;0),"",IF($B7&lt;&gt;"","Macro",IF($C7&lt;&gt;"","Sub","Macro")))</f>
        <v/>
      </c>
      <c r="T7" s="70">
        <f>IF($S7="Macro",COUNTIFS($R$5:$R$1000,ROW(),$S$5:$S$1000,"Sub"),"")</f>
        <v/>
      </c>
      <c r="U7" s="70">
        <f>IF($S7="","",IF(ISNUMBER($H7),$H7,0))</f>
        <v/>
      </c>
      <c r="V7" s="70">
        <f>IF($S7="","",IF(ISNUMBER($I7),$I7,$U7))</f>
        <v/>
      </c>
      <c r="W7" s="70">
        <f>IF($S7="","",IF(ISNUMBER($J7),$J7,$V7))</f>
        <v/>
      </c>
      <c r="X7" s="70">
        <f>IF($S7="","",IF(ISNUMBER($K7),$K7,$W7))</f>
        <v/>
      </c>
      <c r="Y7" s="70">
        <f>IF($S7="","",IF(N($T7)&gt;0,AVERAGEIFS($U$5:$U$1000,$R$5:$R$1000,ROW(),$S$5:$S$1000,"Sub"),$U7))</f>
        <v/>
      </c>
      <c r="Z7" s="70">
        <f>IF($S7="","",IF(N($T7)&gt;0,AVERAGEIFS($V$5:$V$1000,$R$5:$R$1000,ROW(),$S$5:$S$1000,"Sub"),$V7))</f>
        <v/>
      </c>
      <c r="AA7" s="70">
        <f>IF($S7="","",IF(N($T7)&gt;0,AVERAGEIFS($W$5:$W$1000,$R$5:$R$1000,ROW(),$S$5:$S$1000,"Sub"),$W7))</f>
        <v/>
      </c>
      <c r="AB7" s="70">
        <f>IF($S7="","",IF(N($T7)&gt;0,AVERAGEIFS($X$5:$X$1000,$R$5:$R$1000,ROW(),$S$5:$S$1000,"Sub"),$X7))</f>
        <v/>
      </c>
    </row>
    <row r="8">
      <c r="A8" s="61">
        <f>IF(NOT((COUNTA($B8:$K8)+COUNTA($N8))&gt;0),"",IF($S8="Macro",COUNTIFS($S$5:$S8,"Macro",$P$5:$P8,$P8),IF(N($R8)=0,"?",COUNTIFS(INDEX($S$5:$S$1000,1):INDEX($S$5:$S$1000,$R8-4),"Macro",INDEX($P$5:$P$1000,1):INDEX($P$5:$P$1000,$R8-4),INDEX($P$5:$P$1000,$R8-4))&amp;"."&amp;COUNTIFS($R$5:$R8,$R8,$S$5:$S8,"Sub"))))</f>
        <v/>
      </c>
      <c r="B8" s="62" t="n"/>
      <c r="C8" s="63" t="n"/>
      <c r="D8" s="62" t="n"/>
      <c r="E8" s="64" t="n"/>
      <c r="F8" s="64" t="n"/>
      <c r="G8" s="65" t="n"/>
      <c r="H8" s="66" t="n"/>
      <c r="I8" s="66" t="n"/>
      <c r="J8" s="66" t="n"/>
      <c r="K8" s="66" t="n"/>
      <c r="L8" s="67">
        <f>IF(NOT((COUNTA($B8:$K8)+COUNTA($N8))&gt;0),"",IF(N($T8)&gt;0,$AB8,IFERROR(LOOKUP(2,1/(H8:K8&lt;&gt;""),H8:K8),0)))</f>
        <v/>
      </c>
      <c r="M8" s="61">
        <f>IF(L8="","",IF(L8&gt;=1,"Completado",IF(L8&gt;0,"En curso","Pendiente")))</f>
        <v/>
      </c>
      <c r="N8" s="62" t="n"/>
      <c r="O8" s="68">
        <f>IF(NOT((COUNTA($B8:$K8)+COUNTA($N8))&gt;0),"",IF((IF(AND($S8="Macro",$B8=""),"Macroactividad vacía"&amp;" · ","")&amp;IF(AND($B8&lt;&gt;"",$C8&lt;&gt;""),"Escriba la subactividad en otra fila, debajo de su macroactividad"&amp;" · ","")&amp;IF(AND($S8="Sub",N($R8)=0),"Subactividad sin macroactividad arriba"&amp;" · ","")&amp;IF($D8="","Sin responsable"&amp;" · ","")&amp;IF($E8="","Sin fecha de inicio"&amp;" · ","")&amp;IF($F8="","Sin fecha límite"&amp;" · ","")&amp;IF(OR(AND($E8&lt;&gt;"",NOT(ISNUMBER($E8))),AND($F8&lt;&gt;"",NOT(ISNUMBER($F8)))),"Fecha no válida"&amp;" · ","")&amp;IF(AND(ISNUMBER($E8),ISNUMBER($F8),$E8&gt;$F8),"Inicio posterior a fecha límite"&amp;" · ","")&amp;IF(AND($S8="Macro",$G8=""),"Peso vacío"&amp;" · ","")&amp;IF(AND($S8="Macro",$G8&lt;&gt;"",OR(NOT(ISNUMBER($G8)),$G8&lt;=0,$G8&gt;1)),"Peso fuera de rango"&amp;" · ","")&amp;IF(AND($S8="Sub",$G8&lt;&gt;""),"Las subactividades no llevan peso"&amp;" · ","")&amp;IF(AND($S8="Macro",ABS(SUMIFS($G$5:$G$1000,$P$5:$P$1000,$P8,$S$5:$S$1000,"Macro")-1)&gt;0.0001),"Pesos del mes suman "&amp;TEXT(SUMIFS($G$5:$G$1000,$P$5:$P$1000,$P8,$S$5:$S$1000,"Macro"),"0%")&amp;" · ","")&amp;IF(AND(N($T8)&gt;0,COUNT($H8:$K8)&gt;0),"Con subactividades: deje vacías las semanas (se calculan solas)"&amp;" · ","")&amp;IF((COUNTIF($H8:$K8,"&gt;1")+COUNTIF($H8:$K8,"&lt;0")+COUNTA($H8:$K8)-COUNT($H8:$K8))&gt;0,"Avance fuera de rango 0-100%"&amp;" · ","")&amp;IF(OR(AND($I8&lt;&gt;"",$I8&lt;$H8),AND($J8&lt;&gt;"",$J8&lt;MAX($H8:$I8)),AND($K8&lt;&gt;"",$K8&lt;MAX($H8:$J8))),"Avance semanal decreciente"&amp;" · ","")&amp;IF(AND(ISNUMBER($F8),$F8&lt;FechaRef,N($L8)&lt;1),"Vencida"&amp;" · ","")&amp;IF(AND(ObsObligatoria="Sí",ISNUMBER($F8),$F8&lt;FechaRef,N($L8)&lt;1,$N8=""),"Vencida sin observación"&amp;" · ",""))="","✔ OK","⚠ "&amp;LEFT(IF(AND($S8="Macro",$B8=""),"Macroactividad vacía"&amp;" · ","")&amp;IF(AND($B8&lt;&gt;"",$C8&lt;&gt;""),"Escriba la subactividad en otra fila, debajo de su macroactividad"&amp;" · ","")&amp;IF(AND($S8="Sub",N($R8)=0),"Subactividad sin macroactividad arriba"&amp;" · ","")&amp;IF($D8="","Sin responsable"&amp;" · ","")&amp;IF($E8="","Sin fecha de inicio"&amp;" · ","")&amp;IF($F8="","Sin fecha límite"&amp;" · ","")&amp;IF(OR(AND($E8&lt;&gt;"",NOT(ISNUMBER($E8))),AND($F8&lt;&gt;"",NOT(ISNUMBER($F8)))),"Fecha no válida"&amp;" · ","")&amp;IF(AND(ISNUMBER($E8),ISNUMBER($F8),$E8&gt;$F8),"Inicio posterior a fecha límite"&amp;" · ","")&amp;IF(AND($S8="Macro",$G8=""),"Peso vacío"&amp;" · ","")&amp;IF(AND($S8="Macro",$G8&lt;&gt;"",OR(NOT(ISNUMBER($G8)),$G8&lt;=0,$G8&gt;1)),"Peso fuera de rango"&amp;" · ","")&amp;IF(AND($S8="Sub",$G8&lt;&gt;""),"Las subactividades no llevan peso"&amp;" · ","")&amp;IF(AND($S8="Macro",ABS(SUMIFS($G$5:$G$1000,$P$5:$P$1000,$P8,$S$5:$S$1000,"Macro")-1)&gt;0.0001),"Pesos del mes suman "&amp;TEXT(SUMIFS($G$5:$G$1000,$P$5:$P$1000,$P8,$S$5:$S$1000,"Macro"),"0%")&amp;" · ","")&amp;IF(AND(N($T8)&gt;0,COUNT($H8:$K8)&gt;0),"Con subactividades: deje vacías las semanas (se calculan solas)"&amp;" · ","")&amp;IF((COUNTIF($H8:$K8,"&gt;1")+COUNTIF($H8:$K8,"&lt;0")+COUNTA($H8:$K8)-COUNT($H8:$K8))&gt;0,"Avance fuera de rango 0-100%"&amp;" · ","")&amp;IF(OR(AND($I8&lt;&gt;"",$I8&lt;$H8),AND($J8&lt;&gt;"",$J8&lt;MAX($H8:$I8)),AND($K8&lt;&gt;"",$K8&lt;MAX($H8:$J8))),"Avance semanal decreciente"&amp;" · ","")&amp;IF(AND(ISNUMBER($F8),$F8&lt;FechaRef,N($L8)&lt;1),"Vencida"&amp;" · ","")&amp;IF(AND(ObsObligatoria="Sí",ISNUMBER($F8),$F8&lt;FechaRef,N($L8)&lt;1,$N8=""),"Vencida sin observación"&amp;" · ",""),LEN(IF(AND($S8="Macro",$B8=""),"Macroactividad vacía"&amp;" · ","")&amp;IF(AND($B8&lt;&gt;"",$C8&lt;&gt;""),"Escriba la subactividad en otra fila, debajo de su macroactividad"&amp;" · ","")&amp;IF(AND($S8="Sub",N($R8)=0),"Subactividad sin macroactividad arriba"&amp;" · ","")&amp;IF($D8="","Sin responsable"&amp;" · ","")&amp;IF($E8="","Sin fecha de inicio"&amp;" · ","")&amp;IF($F8="","Sin fecha límite"&amp;" · ","")&amp;IF(OR(AND($E8&lt;&gt;"",NOT(ISNUMBER($E8))),AND($F8&lt;&gt;"",NOT(ISNUMBER($F8)))),"Fecha no válida"&amp;" · ","")&amp;IF(AND(ISNUMBER($E8),ISNUMBER($F8),$E8&gt;$F8),"Inicio posterior a fecha límite"&amp;" · ","")&amp;IF(AND($S8="Macro",$G8=""),"Peso vacío"&amp;" · ","")&amp;IF(AND($S8="Macro",$G8&lt;&gt;"",OR(NOT(ISNUMBER($G8)),$G8&lt;=0,$G8&gt;1)),"Peso fuera de rango"&amp;" · ","")&amp;IF(AND($S8="Sub",$G8&lt;&gt;""),"Las subactividades no llevan peso"&amp;" · ","")&amp;IF(AND($S8="Macro",ABS(SUMIFS($G$5:$G$1000,$P$5:$P$1000,$P8,$S$5:$S$1000,"Macro")-1)&gt;0.0001),"Pesos del mes suman "&amp;TEXT(SUMIFS($G$5:$G$1000,$P$5:$P$1000,$P8,$S$5:$S$1000,"Macro"),"0%")&amp;" · ","")&amp;IF(AND(N($T8)&gt;0,COUNT($H8:$K8)&gt;0),"Con subactividades: deje vacías las semanas (se calculan solas)"&amp;" · ","")&amp;IF((COUNTIF($H8:$K8,"&gt;1")+COUNTIF($H8:$K8,"&lt;0")+COUNTA($H8:$K8)-COUNT($H8:$K8))&gt;0,"Avance fuera de rango 0-100%"&amp;" · ","")&amp;IF(OR(AND($I8&lt;&gt;"",$I8&lt;$H8),AND($J8&lt;&gt;"",$J8&lt;MAX($H8:$I8)),AND($K8&lt;&gt;"",$K8&lt;MAX($H8:$J8))),"Avance semanal decreciente"&amp;" · ","")&amp;IF(AND(ISNUMBER($F8),$F8&lt;FechaRef,N($L8)&lt;1),"Vencida"&amp;" · ","")&amp;IF(AND(ObsObligatoria="Sí",ISNUMBER($F8),$F8&lt;FechaRef,N($L8)&lt;1,$N8=""),"Vencida sin observación"&amp;" · ",""))-3)))</f>
        <v/>
      </c>
      <c r="P8" s="69">
        <f>IF(NOT((COUNTA($B8:$K8)+COUNTA($N8))&gt;0),"",IF(AND($S8="Sub",N($R8)&gt;0),IF(ISNUMBER(INDEX($E$5:$E$1000,$R8-4)),DATE(YEAR(INDEX($E$5:$E$1000,$R8-4)),MONTH(INDEX($E$5:$E$1000,$R8-4)),1),IF(ISNUMBER(INDEX($F$5:$F$1000,$R8-4)),DATE(YEAR(INDEX($F$5:$F$1000,$R8-4)),MONTH(INDEX($F$5:$F$1000,$R8-4)),1),MesCiclo)),IF(ISNUMBER($E8),DATE(YEAR($E8),MONTH($E8),1),IF(ISNUMBER($F8),DATE(YEAR($F8),MONTH($F8),1),MesCiclo))))</f>
        <v/>
      </c>
      <c r="Q8" s="70">
        <f>IF(OR($P8="",$P8&lt;&gt;MesCiclo),"",COUNTIF($P$5:$P8,MesCiclo))</f>
        <v/>
      </c>
      <c r="R8" s="70">
        <f>IF($S8="","",IF($S8="Macro",ROW(),IFERROR(LOOKUP(2,1/($S$5:$S8="Macro"),ROW($S$5:$S8)),0)))</f>
        <v/>
      </c>
      <c r="S8" s="70">
        <f>IF(NOT((COUNTA($B8:$K8)+COUNTA($N8))&gt;0),"",IF($B8&lt;&gt;"","Macro",IF($C8&lt;&gt;"","Sub","Macro")))</f>
        <v/>
      </c>
      <c r="T8" s="70">
        <f>IF($S8="Macro",COUNTIFS($R$5:$R$1000,ROW(),$S$5:$S$1000,"Sub"),"")</f>
        <v/>
      </c>
      <c r="U8" s="70">
        <f>IF($S8="","",IF(ISNUMBER($H8),$H8,0))</f>
        <v/>
      </c>
      <c r="V8" s="70">
        <f>IF($S8="","",IF(ISNUMBER($I8),$I8,$U8))</f>
        <v/>
      </c>
      <c r="W8" s="70">
        <f>IF($S8="","",IF(ISNUMBER($J8),$J8,$V8))</f>
        <v/>
      </c>
      <c r="X8" s="70">
        <f>IF($S8="","",IF(ISNUMBER($K8),$K8,$W8))</f>
        <v/>
      </c>
      <c r="Y8" s="70">
        <f>IF($S8="","",IF(N($T8)&gt;0,AVERAGEIFS($U$5:$U$1000,$R$5:$R$1000,ROW(),$S$5:$S$1000,"Sub"),$U8))</f>
        <v/>
      </c>
      <c r="Z8" s="70">
        <f>IF($S8="","",IF(N($T8)&gt;0,AVERAGEIFS($V$5:$V$1000,$R$5:$R$1000,ROW(),$S$5:$S$1000,"Sub"),$V8))</f>
        <v/>
      </c>
      <c r="AA8" s="70">
        <f>IF($S8="","",IF(N($T8)&gt;0,AVERAGEIFS($W$5:$W$1000,$R$5:$R$1000,ROW(),$S$5:$S$1000,"Sub"),$W8))</f>
        <v/>
      </c>
      <c r="AB8" s="70">
        <f>IF($S8="","",IF(N($T8)&gt;0,AVERAGEIFS($X$5:$X$1000,$R$5:$R$1000,ROW(),$S$5:$S$1000,"Sub"),$X8))</f>
        <v/>
      </c>
    </row>
    <row r="9">
      <c r="A9" s="61">
        <f>IF(NOT((COUNTA($B9:$K9)+COUNTA($N9))&gt;0),"",IF($S9="Macro",COUNTIFS($S$5:$S9,"Macro",$P$5:$P9,$P9),IF(N($R9)=0,"?",COUNTIFS(INDEX($S$5:$S$1000,1):INDEX($S$5:$S$1000,$R9-4),"Macro",INDEX($P$5:$P$1000,1):INDEX($P$5:$P$1000,$R9-4),INDEX($P$5:$P$1000,$R9-4))&amp;"."&amp;COUNTIFS($R$5:$R9,$R9,$S$5:$S9,"Sub"))))</f>
        <v/>
      </c>
      <c r="B9" s="62" t="n"/>
      <c r="C9" s="63" t="n"/>
      <c r="D9" s="62" t="n"/>
      <c r="E9" s="64" t="n"/>
      <c r="F9" s="64" t="n"/>
      <c r="G9" s="65" t="n"/>
      <c r="H9" s="66" t="n"/>
      <c r="I9" s="66" t="n"/>
      <c r="J9" s="66" t="n"/>
      <c r="K9" s="66" t="n"/>
      <c r="L9" s="67">
        <f>IF(NOT((COUNTA($B9:$K9)+COUNTA($N9))&gt;0),"",IF(N($T9)&gt;0,$AB9,IFERROR(LOOKUP(2,1/(H9:K9&lt;&gt;""),H9:K9),0)))</f>
        <v/>
      </c>
      <c r="M9" s="61">
        <f>IF(L9="","",IF(L9&gt;=1,"Completado",IF(L9&gt;0,"En curso","Pendiente")))</f>
        <v/>
      </c>
      <c r="N9" s="62" t="n"/>
      <c r="O9" s="68">
        <f>IF(NOT((COUNTA($B9:$K9)+COUNTA($N9))&gt;0),"",IF((IF(AND($S9="Macro",$B9=""),"Macroactividad vacía"&amp;" · ","")&amp;IF(AND($B9&lt;&gt;"",$C9&lt;&gt;""),"Escriba la subactividad en otra fila, debajo de su macroactividad"&amp;" · ","")&amp;IF(AND($S9="Sub",N($R9)=0),"Subactividad sin macroactividad arriba"&amp;" · ","")&amp;IF($D9="","Sin responsable"&amp;" · ","")&amp;IF($E9="","Sin fecha de inicio"&amp;" · ","")&amp;IF($F9="","Sin fecha límite"&amp;" · ","")&amp;IF(OR(AND($E9&lt;&gt;"",NOT(ISNUMBER($E9))),AND($F9&lt;&gt;"",NOT(ISNUMBER($F9)))),"Fecha no válida"&amp;" · ","")&amp;IF(AND(ISNUMBER($E9),ISNUMBER($F9),$E9&gt;$F9),"Inicio posterior a fecha límite"&amp;" · ","")&amp;IF(AND($S9="Macro",$G9=""),"Peso vacío"&amp;" · ","")&amp;IF(AND($S9="Macro",$G9&lt;&gt;"",OR(NOT(ISNUMBER($G9)),$G9&lt;=0,$G9&gt;1)),"Peso fuera de rango"&amp;" · ","")&amp;IF(AND($S9="Sub",$G9&lt;&gt;""),"Las subactividades no llevan peso"&amp;" · ","")&amp;IF(AND($S9="Macro",ABS(SUMIFS($G$5:$G$1000,$P$5:$P$1000,$P9,$S$5:$S$1000,"Macro")-1)&gt;0.0001),"Pesos del mes suman "&amp;TEXT(SUMIFS($G$5:$G$1000,$P$5:$P$1000,$P9,$S$5:$S$1000,"Macro"),"0%")&amp;" · ","")&amp;IF(AND(N($T9)&gt;0,COUNT($H9:$K9)&gt;0),"Con subactividades: deje vacías las semanas (se calculan solas)"&amp;" · ","")&amp;IF((COUNTIF($H9:$K9,"&gt;1")+COUNTIF($H9:$K9,"&lt;0")+COUNTA($H9:$K9)-COUNT($H9:$K9))&gt;0,"Avance fuera de rango 0-100%"&amp;" · ","")&amp;IF(OR(AND($I9&lt;&gt;"",$I9&lt;$H9),AND($J9&lt;&gt;"",$J9&lt;MAX($H9:$I9)),AND($K9&lt;&gt;"",$K9&lt;MAX($H9:$J9))),"Avance semanal decreciente"&amp;" · ","")&amp;IF(AND(ISNUMBER($F9),$F9&lt;FechaRef,N($L9)&lt;1),"Vencida"&amp;" · ","")&amp;IF(AND(ObsObligatoria="Sí",ISNUMBER($F9),$F9&lt;FechaRef,N($L9)&lt;1,$N9=""),"Vencida sin observación"&amp;" · ",""))="","✔ OK","⚠ "&amp;LEFT(IF(AND($S9="Macro",$B9=""),"Macroactividad vacía"&amp;" · ","")&amp;IF(AND($B9&lt;&gt;"",$C9&lt;&gt;""),"Escriba la subactividad en otra fila, debajo de su macroactividad"&amp;" · ","")&amp;IF(AND($S9="Sub",N($R9)=0),"Subactividad sin macroactividad arriba"&amp;" · ","")&amp;IF($D9="","Sin responsable"&amp;" · ","")&amp;IF($E9="","Sin fecha de inicio"&amp;" · ","")&amp;IF($F9="","Sin fecha límite"&amp;" · ","")&amp;IF(OR(AND($E9&lt;&gt;"",NOT(ISNUMBER($E9))),AND($F9&lt;&gt;"",NOT(ISNUMBER($F9)))),"Fecha no válida"&amp;" · ","")&amp;IF(AND(ISNUMBER($E9),ISNUMBER($F9),$E9&gt;$F9),"Inicio posterior a fecha límite"&amp;" · ","")&amp;IF(AND($S9="Macro",$G9=""),"Peso vacío"&amp;" · ","")&amp;IF(AND($S9="Macro",$G9&lt;&gt;"",OR(NOT(ISNUMBER($G9)),$G9&lt;=0,$G9&gt;1)),"Peso fuera de rango"&amp;" · ","")&amp;IF(AND($S9="Sub",$G9&lt;&gt;""),"Las subactividades no llevan peso"&amp;" · ","")&amp;IF(AND($S9="Macro",ABS(SUMIFS($G$5:$G$1000,$P$5:$P$1000,$P9,$S$5:$S$1000,"Macro")-1)&gt;0.0001),"Pesos del mes suman "&amp;TEXT(SUMIFS($G$5:$G$1000,$P$5:$P$1000,$P9,$S$5:$S$1000,"Macro"),"0%")&amp;" · ","")&amp;IF(AND(N($T9)&gt;0,COUNT($H9:$K9)&gt;0),"Con subactividades: deje vacías las semanas (se calculan solas)"&amp;" · ","")&amp;IF((COUNTIF($H9:$K9,"&gt;1")+COUNTIF($H9:$K9,"&lt;0")+COUNTA($H9:$K9)-COUNT($H9:$K9))&gt;0,"Avance fuera de rango 0-100%"&amp;" · ","")&amp;IF(OR(AND($I9&lt;&gt;"",$I9&lt;$H9),AND($J9&lt;&gt;"",$J9&lt;MAX($H9:$I9)),AND($K9&lt;&gt;"",$K9&lt;MAX($H9:$J9))),"Avance semanal decreciente"&amp;" · ","")&amp;IF(AND(ISNUMBER($F9),$F9&lt;FechaRef,N($L9)&lt;1),"Vencida"&amp;" · ","")&amp;IF(AND(ObsObligatoria="Sí",ISNUMBER($F9),$F9&lt;FechaRef,N($L9)&lt;1,$N9=""),"Vencida sin observación"&amp;" · ",""),LEN(IF(AND($S9="Macro",$B9=""),"Macroactividad vacía"&amp;" · ","")&amp;IF(AND($B9&lt;&gt;"",$C9&lt;&gt;""),"Escriba la subactividad en otra fila, debajo de su macroactividad"&amp;" · ","")&amp;IF(AND($S9="Sub",N($R9)=0),"Subactividad sin macroactividad arriba"&amp;" · ","")&amp;IF($D9="","Sin responsable"&amp;" · ","")&amp;IF($E9="","Sin fecha de inicio"&amp;" · ","")&amp;IF($F9="","Sin fecha límite"&amp;" · ","")&amp;IF(OR(AND($E9&lt;&gt;"",NOT(ISNUMBER($E9))),AND($F9&lt;&gt;"",NOT(ISNUMBER($F9)))),"Fecha no válida"&amp;" · ","")&amp;IF(AND(ISNUMBER($E9),ISNUMBER($F9),$E9&gt;$F9),"Inicio posterior a fecha límite"&amp;" · ","")&amp;IF(AND($S9="Macro",$G9=""),"Peso vacío"&amp;" · ","")&amp;IF(AND($S9="Macro",$G9&lt;&gt;"",OR(NOT(ISNUMBER($G9)),$G9&lt;=0,$G9&gt;1)),"Peso fuera de rango"&amp;" · ","")&amp;IF(AND($S9="Sub",$G9&lt;&gt;""),"Las subactividades no llevan peso"&amp;" · ","")&amp;IF(AND($S9="Macro",ABS(SUMIFS($G$5:$G$1000,$P$5:$P$1000,$P9,$S$5:$S$1000,"Macro")-1)&gt;0.0001),"Pesos del mes suman "&amp;TEXT(SUMIFS($G$5:$G$1000,$P$5:$P$1000,$P9,$S$5:$S$1000,"Macro"),"0%")&amp;" · ","")&amp;IF(AND(N($T9)&gt;0,COUNT($H9:$K9)&gt;0),"Con subactividades: deje vacías las semanas (se calculan solas)"&amp;" · ","")&amp;IF((COUNTIF($H9:$K9,"&gt;1")+COUNTIF($H9:$K9,"&lt;0")+COUNTA($H9:$K9)-COUNT($H9:$K9))&gt;0,"Avance fuera de rango 0-100%"&amp;" · ","")&amp;IF(OR(AND($I9&lt;&gt;"",$I9&lt;$H9),AND($J9&lt;&gt;"",$J9&lt;MAX($H9:$I9)),AND($K9&lt;&gt;"",$K9&lt;MAX($H9:$J9))),"Avance semanal decreciente"&amp;" · ","")&amp;IF(AND(ISNUMBER($F9),$F9&lt;FechaRef,N($L9)&lt;1),"Vencida"&amp;" · ","")&amp;IF(AND(ObsObligatoria="Sí",ISNUMBER($F9),$F9&lt;FechaRef,N($L9)&lt;1,$N9=""),"Vencida sin observación"&amp;" · ",""))-3)))</f>
        <v/>
      </c>
      <c r="P9" s="69">
        <f>IF(NOT((COUNTA($B9:$K9)+COUNTA($N9))&gt;0),"",IF(AND($S9="Sub",N($R9)&gt;0),IF(ISNUMBER(INDEX($E$5:$E$1000,$R9-4)),DATE(YEAR(INDEX($E$5:$E$1000,$R9-4)),MONTH(INDEX($E$5:$E$1000,$R9-4)),1),IF(ISNUMBER(INDEX($F$5:$F$1000,$R9-4)),DATE(YEAR(INDEX($F$5:$F$1000,$R9-4)),MONTH(INDEX($F$5:$F$1000,$R9-4)),1),MesCiclo)),IF(ISNUMBER($E9),DATE(YEAR($E9),MONTH($E9),1),IF(ISNUMBER($F9),DATE(YEAR($F9),MONTH($F9),1),MesCiclo))))</f>
        <v/>
      </c>
      <c r="Q9" s="70">
        <f>IF(OR($P9="",$P9&lt;&gt;MesCiclo),"",COUNTIF($P$5:$P9,MesCiclo))</f>
        <v/>
      </c>
      <c r="R9" s="70">
        <f>IF($S9="","",IF($S9="Macro",ROW(),IFERROR(LOOKUP(2,1/($S$5:$S9="Macro"),ROW($S$5:$S9)),0)))</f>
        <v/>
      </c>
      <c r="S9" s="70">
        <f>IF(NOT((COUNTA($B9:$K9)+COUNTA($N9))&gt;0),"",IF($B9&lt;&gt;"","Macro",IF($C9&lt;&gt;"","Sub","Macro")))</f>
        <v/>
      </c>
      <c r="T9" s="70">
        <f>IF($S9="Macro",COUNTIFS($R$5:$R$1000,ROW(),$S$5:$S$1000,"Sub"),"")</f>
        <v/>
      </c>
      <c r="U9" s="70">
        <f>IF($S9="","",IF(ISNUMBER($H9),$H9,0))</f>
        <v/>
      </c>
      <c r="V9" s="70">
        <f>IF($S9="","",IF(ISNUMBER($I9),$I9,$U9))</f>
        <v/>
      </c>
      <c r="W9" s="70">
        <f>IF($S9="","",IF(ISNUMBER($J9),$J9,$V9))</f>
        <v/>
      </c>
      <c r="X9" s="70">
        <f>IF($S9="","",IF(ISNUMBER($K9),$K9,$W9))</f>
        <v/>
      </c>
      <c r="Y9" s="70">
        <f>IF($S9="","",IF(N($T9)&gt;0,AVERAGEIFS($U$5:$U$1000,$R$5:$R$1000,ROW(),$S$5:$S$1000,"Sub"),$U9))</f>
        <v/>
      </c>
      <c r="Z9" s="70">
        <f>IF($S9="","",IF(N($T9)&gt;0,AVERAGEIFS($V$5:$V$1000,$R$5:$R$1000,ROW(),$S$5:$S$1000,"Sub"),$V9))</f>
        <v/>
      </c>
      <c r="AA9" s="70">
        <f>IF($S9="","",IF(N($T9)&gt;0,AVERAGEIFS($W$5:$W$1000,$R$5:$R$1000,ROW(),$S$5:$S$1000,"Sub"),$W9))</f>
        <v/>
      </c>
      <c r="AB9" s="70">
        <f>IF($S9="","",IF(N($T9)&gt;0,AVERAGEIFS($X$5:$X$1000,$R$5:$R$1000,ROW(),$S$5:$S$1000,"Sub"),$X9))</f>
        <v/>
      </c>
    </row>
    <row r="10">
      <c r="A10" s="61">
        <f>IF(NOT((COUNTA($B10:$K10)+COUNTA($N10))&gt;0),"",IF($S10="Macro",COUNTIFS($S$5:$S10,"Macro",$P$5:$P10,$P10),IF(N($R10)=0,"?",COUNTIFS(INDEX($S$5:$S$1000,1):INDEX($S$5:$S$1000,$R10-4),"Macro",INDEX($P$5:$P$1000,1):INDEX($P$5:$P$1000,$R10-4),INDEX($P$5:$P$1000,$R10-4))&amp;"."&amp;COUNTIFS($R$5:$R10,$R10,$S$5:$S10,"Sub"))))</f>
        <v/>
      </c>
      <c r="B10" s="62" t="n"/>
      <c r="C10" s="63" t="n"/>
      <c r="D10" s="62" t="n"/>
      <c r="E10" s="64" t="n"/>
      <c r="F10" s="64" t="n"/>
      <c r="G10" s="65" t="n"/>
      <c r="H10" s="66" t="n"/>
      <c r="I10" s="66" t="n"/>
      <c r="J10" s="66" t="n"/>
      <c r="K10" s="66" t="n"/>
      <c r="L10" s="67">
        <f>IF(NOT((COUNTA($B10:$K10)+COUNTA($N10))&gt;0),"",IF(N($T10)&gt;0,$AB10,IFERROR(LOOKUP(2,1/(H10:K10&lt;&gt;""),H10:K10),0)))</f>
        <v/>
      </c>
      <c r="M10" s="61">
        <f>IF(L10="","",IF(L10&gt;=1,"Completado",IF(L10&gt;0,"En curso","Pendiente")))</f>
        <v/>
      </c>
      <c r="N10" s="62" t="n"/>
      <c r="O10" s="68">
        <f>IF(NOT((COUNTA($B10:$K10)+COUNTA($N10))&gt;0),"",IF((IF(AND($S10="Macro",$B10=""),"Macroactividad vacía"&amp;" · ","")&amp;IF(AND($B10&lt;&gt;"",$C10&lt;&gt;""),"Escriba la subactividad en otra fila, debajo de su macroactividad"&amp;" · ","")&amp;IF(AND($S10="Sub",N($R10)=0),"Subactividad sin macroactividad arriba"&amp;" · ","")&amp;IF($D10="","Sin responsable"&amp;" · ","")&amp;IF($E10="","Sin fecha de inicio"&amp;" · ","")&amp;IF($F10="","Sin fecha límite"&amp;" · ","")&amp;IF(OR(AND($E10&lt;&gt;"",NOT(ISNUMBER($E10))),AND($F10&lt;&gt;"",NOT(ISNUMBER($F10)))),"Fecha no válida"&amp;" · ","")&amp;IF(AND(ISNUMBER($E10),ISNUMBER($F10),$E10&gt;$F10),"Inicio posterior a fecha límite"&amp;" · ","")&amp;IF(AND($S10="Macro",$G10=""),"Peso vacío"&amp;" · ","")&amp;IF(AND($S10="Macro",$G10&lt;&gt;"",OR(NOT(ISNUMBER($G10)),$G10&lt;=0,$G10&gt;1)),"Peso fuera de rango"&amp;" · ","")&amp;IF(AND($S10="Sub",$G10&lt;&gt;""),"Las subactividades no llevan peso"&amp;" · ","")&amp;IF(AND($S10="Macro",ABS(SUMIFS($G$5:$G$1000,$P$5:$P$1000,$P10,$S$5:$S$1000,"Macro")-1)&gt;0.0001),"Pesos del mes suman "&amp;TEXT(SUMIFS($G$5:$G$1000,$P$5:$P$1000,$P10,$S$5:$S$1000,"Macro"),"0%")&amp;" · ","")&amp;IF(AND(N($T10)&gt;0,COUNT($H10:$K10)&gt;0),"Con subactividades: deje vacías las semanas (se calculan solas)"&amp;" · ","")&amp;IF((COUNTIF($H10:$K10,"&gt;1")+COUNTIF($H10:$K10,"&lt;0")+COUNTA($H10:$K10)-COUNT($H10:$K10))&gt;0,"Avance fuera de rango 0-100%"&amp;" · ","")&amp;IF(OR(AND($I10&lt;&gt;"",$I10&lt;$H10),AND($J10&lt;&gt;"",$J10&lt;MAX($H10:$I10)),AND($K10&lt;&gt;"",$K10&lt;MAX($H10:$J10))),"Avance semanal decreciente"&amp;" · ","")&amp;IF(AND(ISNUMBER($F10),$F10&lt;FechaRef,N($L10)&lt;1),"Vencida"&amp;" · ","")&amp;IF(AND(ObsObligatoria="Sí",ISNUMBER($F10),$F10&lt;FechaRef,N($L10)&lt;1,$N10=""),"Vencida sin observación"&amp;" · ",""))="","✔ OK","⚠ "&amp;LEFT(IF(AND($S10="Macro",$B10=""),"Macroactividad vacía"&amp;" · ","")&amp;IF(AND($B10&lt;&gt;"",$C10&lt;&gt;""),"Escriba la subactividad en otra fila, debajo de su macroactividad"&amp;" · ","")&amp;IF(AND($S10="Sub",N($R10)=0),"Subactividad sin macroactividad arriba"&amp;" · ","")&amp;IF($D10="","Sin responsable"&amp;" · ","")&amp;IF($E10="","Sin fecha de inicio"&amp;" · ","")&amp;IF($F10="","Sin fecha límite"&amp;" · ","")&amp;IF(OR(AND($E10&lt;&gt;"",NOT(ISNUMBER($E10))),AND($F10&lt;&gt;"",NOT(ISNUMBER($F10)))),"Fecha no válida"&amp;" · ","")&amp;IF(AND(ISNUMBER($E10),ISNUMBER($F10),$E10&gt;$F10),"Inicio posterior a fecha límite"&amp;" · ","")&amp;IF(AND($S10="Macro",$G10=""),"Peso vacío"&amp;" · ","")&amp;IF(AND($S10="Macro",$G10&lt;&gt;"",OR(NOT(ISNUMBER($G10)),$G10&lt;=0,$G10&gt;1)),"Peso fuera de rango"&amp;" · ","")&amp;IF(AND($S10="Sub",$G10&lt;&gt;""),"Las subactividades no llevan peso"&amp;" · ","")&amp;IF(AND($S10="Macro",ABS(SUMIFS($G$5:$G$1000,$P$5:$P$1000,$P10,$S$5:$S$1000,"Macro")-1)&gt;0.0001),"Pesos del mes suman "&amp;TEXT(SUMIFS($G$5:$G$1000,$P$5:$P$1000,$P10,$S$5:$S$1000,"Macro"),"0%")&amp;" · ","")&amp;IF(AND(N($T10)&gt;0,COUNT($H10:$K10)&gt;0),"Con subactividades: deje vacías las semanas (se calculan solas)"&amp;" · ","")&amp;IF((COUNTIF($H10:$K10,"&gt;1")+COUNTIF($H10:$K10,"&lt;0")+COUNTA($H10:$K10)-COUNT($H10:$K10))&gt;0,"Avance fuera de rango 0-100%"&amp;" · ","")&amp;IF(OR(AND($I10&lt;&gt;"",$I10&lt;$H10),AND($J10&lt;&gt;"",$J10&lt;MAX($H10:$I10)),AND($K10&lt;&gt;"",$K10&lt;MAX($H10:$J10))),"Avance semanal decreciente"&amp;" · ","")&amp;IF(AND(ISNUMBER($F10),$F10&lt;FechaRef,N($L10)&lt;1),"Vencida"&amp;" · ","")&amp;IF(AND(ObsObligatoria="Sí",ISNUMBER($F10),$F10&lt;FechaRef,N($L10)&lt;1,$N10=""),"Vencida sin observación"&amp;" · ",""),LEN(IF(AND($S10="Macro",$B10=""),"Macroactividad vacía"&amp;" · ","")&amp;IF(AND($B10&lt;&gt;"",$C10&lt;&gt;""),"Escriba la subactividad en otra fila, debajo de su macroactividad"&amp;" · ","")&amp;IF(AND($S10="Sub",N($R10)=0),"Subactividad sin macroactividad arriba"&amp;" · ","")&amp;IF($D10="","Sin responsable"&amp;" · ","")&amp;IF($E10="","Sin fecha de inicio"&amp;" · ","")&amp;IF($F10="","Sin fecha límite"&amp;" · ","")&amp;IF(OR(AND($E10&lt;&gt;"",NOT(ISNUMBER($E10))),AND($F10&lt;&gt;"",NOT(ISNUMBER($F10)))),"Fecha no válida"&amp;" · ","")&amp;IF(AND(ISNUMBER($E10),ISNUMBER($F10),$E10&gt;$F10),"Inicio posterior a fecha límite"&amp;" · ","")&amp;IF(AND($S10="Macro",$G10=""),"Peso vacío"&amp;" · ","")&amp;IF(AND($S10="Macro",$G10&lt;&gt;"",OR(NOT(ISNUMBER($G10)),$G10&lt;=0,$G10&gt;1)),"Peso fuera de rango"&amp;" · ","")&amp;IF(AND($S10="Sub",$G10&lt;&gt;""),"Las subactividades no llevan peso"&amp;" · ","")&amp;IF(AND($S10="Macro",ABS(SUMIFS($G$5:$G$1000,$P$5:$P$1000,$P10,$S$5:$S$1000,"Macro")-1)&gt;0.0001),"Pesos del mes suman "&amp;TEXT(SUMIFS($G$5:$G$1000,$P$5:$P$1000,$P10,$S$5:$S$1000,"Macro"),"0%")&amp;" · ","")&amp;IF(AND(N($T10)&gt;0,COUNT($H10:$K10)&gt;0),"Con subactividades: deje vacías las semanas (se calculan solas)"&amp;" · ","")&amp;IF((COUNTIF($H10:$K10,"&gt;1")+COUNTIF($H10:$K10,"&lt;0")+COUNTA($H10:$K10)-COUNT($H10:$K10))&gt;0,"Avance fuera de rango 0-100%"&amp;" · ","")&amp;IF(OR(AND($I10&lt;&gt;"",$I10&lt;$H10),AND($J10&lt;&gt;"",$J10&lt;MAX($H10:$I10)),AND($K10&lt;&gt;"",$K10&lt;MAX($H10:$J10))),"Avance semanal decreciente"&amp;" · ","")&amp;IF(AND(ISNUMBER($F10),$F10&lt;FechaRef,N($L10)&lt;1),"Vencida"&amp;" · ","")&amp;IF(AND(ObsObligatoria="Sí",ISNUMBER($F10),$F10&lt;FechaRef,N($L10)&lt;1,$N10=""),"Vencida sin observación"&amp;" · ",""))-3)))</f>
        <v/>
      </c>
      <c r="P10" s="69">
        <f>IF(NOT((COUNTA($B10:$K10)+COUNTA($N10))&gt;0),"",IF(AND($S10="Sub",N($R10)&gt;0),IF(ISNUMBER(INDEX($E$5:$E$1000,$R10-4)),DATE(YEAR(INDEX($E$5:$E$1000,$R10-4)),MONTH(INDEX($E$5:$E$1000,$R10-4)),1),IF(ISNUMBER(INDEX($F$5:$F$1000,$R10-4)),DATE(YEAR(INDEX($F$5:$F$1000,$R10-4)),MONTH(INDEX($F$5:$F$1000,$R10-4)),1),MesCiclo)),IF(ISNUMBER($E10),DATE(YEAR($E10),MONTH($E10),1),IF(ISNUMBER($F10),DATE(YEAR($F10),MONTH($F10),1),MesCiclo))))</f>
        <v/>
      </c>
      <c r="Q10" s="70">
        <f>IF(OR($P10="",$P10&lt;&gt;MesCiclo),"",COUNTIF($P$5:$P10,MesCiclo))</f>
        <v/>
      </c>
      <c r="R10" s="70">
        <f>IF($S10="","",IF($S10="Macro",ROW(),IFERROR(LOOKUP(2,1/($S$5:$S10="Macro"),ROW($S$5:$S10)),0)))</f>
        <v/>
      </c>
      <c r="S10" s="70">
        <f>IF(NOT((COUNTA($B10:$K10)+COUNTA($N10))&gt;0),"",IF($B10&lt;&gt;"","Macro",IF($C10&lt;&gt;"","Sub","Macro")))</f>
        <v/>
      </c>
      <c r="T10" s="70">
        <f>IF($S10="Macro",COUNTIFS($R$5:$R$1000,ROW(),$S$5:$S$1000,"Sub"),"")</f>
        <v/>
      </c>
      <c r="U10" s="70">
        <f>IF($S10="","",IF(ISNUMBER($H10),$H10,0))</f>
        <v/>
      </c>
      <c r="V10" s="70">
        <f>IF($S10="","",IF(ISNUMBER($I10),$I10,$U10))</f>
        <v/>
      </c>
      <c r="W10" s="70">
        <f>IF($S10="","",IF(ISNUMBER($J10),$J10,$V10))</f>
        <v/>
      </c>
      <c r="X10" s="70">
        <f>IF($S10="","",IF(ISNUMBER($K10),$K10,$W10))</f>
        <v/>
      </c>
      <c r="Y10" s="70">
        <f>IF($S10="","",IF(N($T10)&gt;0,AVERAGEIFS($U$5:$U$1000,$R$5:$R$1000,ROW(),$S$5:$S$1000,"Sub"),$U10))</f>
        <v/>
      </c>
      <c r="Z10" s="70">
        <f>IF($S10="","",IF(N($T10)&gt;0,AVERAGEIFS($V$5:$V$1000,$R$5:$R$1000,ROW(),$S$5:$S$1000,"Sub"),$V10))</f>
        <v/>
      </c>
      <c r="AA10" s="70">
        <f>IF($S10="","",IF(N($T10)&gt;0,AVERAGEIFS($W$5:$W$1000,$R$5:$R$1000,ROW(),$S$5:$S$1000,"Sub"),$W10))</f>
        <v/>
      </c>
      <c r="AB10" s="70">
        <f>IF($S10="","",IF(N($T10)&gt;0,AVERAGEIFS($X$5:$X$1000,$R$5:$R$1000,ROW(),$S$5:$S$1000,"Sub"),$X10))</f>
        <v/>
      </c>
    </row>
    <row r="11">
      <c r="A11" s="61">
        <f>IF(NOT((COUNTA($B11:$K11)+COUNTA($N11))&gt;0),"",IF($S11="Macro",COUNTIFS($S$5:$S11,"Macro",$P$5:$P11,$P11),IF(N($R11)=0,"?",COUNTIFS(INDEX($S$5:$S$1000,1):INDEX($S$5:$S$1000,$R11-4),"Macro",INDEX($P$5:$P$1000,1):INDEX($P$5:$P$1000,$R11-4),INDEX($P$5:$P$1000,$R11-4))&amp;"."&amp;COUNTIFS($R$5:$R11,$R11,$S$5:$S11,"Sub"))))</f>
        <v/>
      </c>
      <c r="B11" s="62" t="n"/>
      <c r="C11" s="63" t="n"/>
      <c r="D11" s="62" t="n"/>
      <c r="E11" s="64" t="n"/>
      <c r="F11" s="64" t="n"/>
      <c r="G11" s="65" t="n"/>
      <c r="H11" s="66" t="n"/>
      <c r="I11" s="66" t="n"/>
      <c r="J11" s="66" t="n"/>
      <c r="K11" s="66" t="n"/>
      <c r="L11" s="67">
        <f>IF(NOT((COUNTA($B11:$K11)+COUNTA($N11))&gt;0),"",IF(N($T11)&gt;0,$AB11,IFERROR(LOOKUP(2,1/(H11:K11&lt;&gt;""),H11:K11),0)))</f>
        <v/>
      </c>
      <c r="M11" s="61">
        <f>IF(L11="","",IF(L11&gt;=1,"Completado",IF(L11&gt;0,"En curso","Pendiente")))</f>
        <v/>
      </c>
      <c r="N11" s="62" t="n"/>
      <c r="O11" s="68">
        <f>IF(NOT((COUNTA($B11:$K11)+COUNTA($N11))&gt;0),"",IF((IF(AND($S11="Macro",$B11=""),"Macroactividad vacía"&amp;" · ","")&amp;IF(AND($B11&lt;&gt;"",$C11&lt;&gt;""),"Escriba la subactividad en otra fila, debajo de su macroactividad"&amp;" · ","")&amp;IF(AND($S11="Sub",N($R11)=0),"Subactividad sin macroactividad arriba"&amp;" · ","")&amp;IF($D11="","Sin responsable"&amp;" · ","")&amp;IF($E11="","Sin fecha de inicio"&amp;" · ","")&amp;IF($F11="","Sin fecha límite"&amp;" · ","")&amp;IF(OR(AND($E11&lt;&gt;"",NOT(ISNUMBER($E11))),AND($F11&lt;&gt;"",NOT(ISNUMBER($F11)))),"Fecha no válida"&amp;" · ","")&amp;IF(AND(ISNUMBER($E11),ISNUMBER($F11),$E11&gt;$F11),"Inicio posterior a fecha límite"&amp;" · ","")&amp;IF(AND($S11="Macro",$G11=""),"Peso vacío"&amp;" · ","")&amp;IF(AND($S11="Macro",$G11&lt;&gt;"",OR(NOT(ISNUMBER($G11)),$G11&lt;=0,$G11&gt;1)),"Peso fuera de rango"&amp;" · ","")&amp;IF(AND($S11="Sub",$G11&lt;&gt;""),"Las subactividades no llevan peso"&amp;" · ","")&amp;IF(AND($S11="Macro",ABS(SUMIFS($G$5:$G$1000,$P$5:$P$1000,$P11,$S$5:$S$1000,"Macro")-1)&gt;0.0001),"Pesos del mes suman "&amp;TEXT(SUMIFS($G$5:$G$1000,$P$5:$P$1000,$P11,$S$5:$S$1000,"Macro"),"0%")&amp;" · ","")&amp;IF(AND(N($T11)&gt;0,COUNT($H11:$K11)&gt;0),"Con subactividades: deje vacías las semanas (se calculan solas)"&amp;" · ","")&amp;IF((COUNTIF($H11:$K11,"&gt;1")+COUNTIF($H11:$K11,"&lt;0")+COUNTA($H11:$K11)-COUNT($H11:$K11))&gt;0,"Avance fuera de rango 0-100%"&amp;" · ","")&amp;IF(OR(AND($I11&lt;&gt;"",$I11&lt;$H11),AND($J11&lt;&gt;"",$J11&lt;MAX($H11:$I11)),AND($K11&lt;&gt;"",$K11&lt;MAX($H11:$J11))),"Avance semanal decreciente"&amp;" · ","")&amp;IF(AND(ISNUMBER($F11),$F11&lt;FechaRef,N($L11)&lt;1),"Vencida"&amp;" · ","")&amp;IF(AND(ObsObligatoria="Sí",ISNUMBER($F11),$F11&lt;FechaRef,N($L11)&lt;1,$N11=""),"Vencida sin observación"&amp;" · ",""))="","✔ OK","⚠ "&amp;LEFT(IF(AND($S11="Macro",$B11=""),"Macroactividad vacía"&amp;" · ","")&amp;IF(AND($B11&lt;&gt;"",$C11&lt;&gt;""),"Escriba la subactividad en otra fila, debajo de su macroactividad"&amp;" · ","")&amp;IF(AND($S11="Sub",N($R11)=0),"Subactividad sin macroactividad arriba"&amp;" · ","")&amp;IF($D11="","Sin responsable"&amp;" · ","")&amp;IF($E11="","Sin fecha de inicio"&amp;" · ","")&amp;IF($F11="","Sin fecha límite"&amp;" · ","")&amp;IF(OR(AND($E11&lt;&gt;"",NOT(ISNUMBER($E11))),AND($F11&lt;&gt;"",NOT(ISNUMBER($F11)))),"Fecha no válida"&amp;" · ","")&amp;IF(AND(ISNUMBER($E11),ISNUMBER($F11),$E11&gt;$F11),"Inicio posterior a fecha límite"&amp;" · ","")&amp;IF(AND($S11="Macro",$G11=""),"Peso vacío"&amp;" · ","")&amp;IF(AND($S11="Macro",$G11&lt;&gt;"",OR(NOT(ISNUMBER($G11)),$G11&lt;=0,$G11&gt;1)),"Peso fuera de rango"&amp;" · ","")&amp;IF(AND($S11="Sub",$G11&lt;&gt;""),"Las subactividades no llevan peso"&amp;" · ","")&amp;IF(AND($S11="Macro",ABS(SUMIFS($G$5:$G$1000,$P$5:$P$1000,$P11,$S$5:$S$1000,"Macro")-1)&gt;0.0001),"Pesos del mes suman "&amp;TEXT(SUMIFS($G$5:$G$1000,$P$5:$P$1000,$P11,$S$5:$S$1000,"Macro"),"0%")&amp;" · ","")&amp;IF(AND(N($T11)&gt;0,COUNT($H11:$K11)&gt;0),"Con subactividades: deje vacías las semanas (se calculan solas)"&amp;" · ","")&amp;IF((COUNTIF($H11:$K11,"&gt;1")+COUNTIF($H11:$K11,"&lt;0")+COUNTA($H11:$K11)-COUNT($H11:$K11))&gt;0,"Avance fuera de rango 0-100%"&amp;" · ","")&amp;IF(OR(AND($I11&lt;&gt;"",$I11&lt;$H11),AND($J11&lt;&gt;"",$J11&lt;MAX($H11:$I11)),AND($K11&lt;&gt;"",$K11&lt;MAX($H11:$J11))),"Avance semanal decreciente"&amp;" · ","")&amp;IF(AND(ISNUMBER($F11),$F11&lt;FechaRef,N($L11)&lt;1),"Vencida"&amp;" · ","")&amp;IF(AND(ObsObligatoria="Sí",ISNUMBER($F11),$F11&lt;FechaRef,N($L11)&lt;1,$N11=""),"Vencida sin observación"&amp;" · ",""),LEN(IF(AND($S11="Macro",$B11=""),"Macroactividad vacía"&amp;" · ","")&amp;IF(AND($B11&lt;&gt;"",$C11&lt;&gt;""),"Escriba la subactividad en otra fila, debajo de su macroactividad"&amp;" · ","")&amp;IF(AND($S11="Sub",N($R11)=0),"Subactividad sin macroactividad arriba"&amp;" · ","")&amp;IF($D11="","Sin responsable"&amp;" · ","")&amp;IF($E11="","Sin fecha de inicio"&amp;" · ","")&amp;IF($F11="","Sin fecha límite"&amp;" · ","")&amp;IF(OR(AND($E11&lt;&gt;"",NOT(ISNUMBER($E11))),AND($F11&lt;&gt;"",NOT(ISNUMBER($F11)))),"Fecha no válida"&amp;" · ","")&amp;IF(AND(ISNUMBER($E11),ISNUMBER($F11),$E11&gt;$F11),"Inicio posterior a fecha límite"&amp;" · ","")&amp;IF(AND($S11="Macro",$G11=""),"Peso vacío"&amp;" · ","")&amp;IF(AND($S11="Macro",$G11&lt;&gt;"",OR(NOT(ISNUMBER($G11)),$G11&lt;=0,$G11&gt;1)),"Peso fuera de rango"&amp;" · ","")&amp;IF(AND($S11="Sub",$G11&lt;&gt;""),"Las subactividades no llevan peso"&amp;" · ","")&amp;IF(AND($S11="Macro",ABS(SUMIFS($G$5:$G$1000,$P$5:$P$1000,$P11,$S$5:$S$1000,"Macro")-1)&gt;0.0001),"Pesos del mes suman "&amp;TEXT(SUMIFS($G$5:$G$1000,$P$5:$P$1000,$P11,$S$5:$S$1000,"Macro"),"0%")&amp;" · ","")&amp;IF(AND(N($T11)&gt;0,COUNT($H11:$K11)&gt;0),"Con subactividades: deje vacías las semanas (se calculan solas)"&amp;" · ","")&amp;IF((COUNTIF($H11:$K11,"&gt;1")+COUNTIF($H11:$K11,"&lt;0")+COUNTA($H11:$K11)-COUNT($H11:$K11))&gt;0,"Avance fuera de rango 0-100%"&amp;" · ","")&amp;IF(OR(AND($I11&lt;&gt;"",$I11&lt;$H11),AND($J11&lt;&gt;"",$J11&lt;MAX($H11:$I11)),AND($K11&lt;&gt;"",$K11&lt;MAX($H11:$J11))),"Avance semanal decreciente"&amp;" · ","")&amp;IF(AND(ISNUMBER($F11),$F11&lt;FechaRef,N($L11)&lt;1),"Vencida"&amp;" · ","")&amp;IF(AND(ObsObligatoria="Sí",ISNUMBER($F11),$F11&lt;FechaRef,N($L11)&lt;1,$N11=""),"Vencida sin observación"&amp;" · ",""))-3)))</f>
        <v/>
      </c>
      <c r="P11" s="69">
        <f>IF(NOT((COUNTA($B11:$K11)+COUNTA($N11))&gt;0),"",IF(AND($S11="Sub",N($R11)&gt;0),IF(ISNUMBER(INDEX($E$5:$E$1000,$R11-4)),DATE(YEAR(INDEX($E$5:$E$1000,$R11-4)),MONTH(INDEX($E$5:$E$1000,$R11-4)),1),IF(ISNUMBER(INDEX($F$5:$F$1000,$R11-4)),DATE(YEAR(INDEX($F$5:$F$1000,$R11-4)),MONTH(INDEX($F$5:$F$1000,$R11-4)),1),MesCiclo)),IF(ISNUMBER($E11),DATE(YEAR($E11),MONTH($E11),1),IF(ISNUMBER($F11),DATE(YEAR($F11),MONTH($F11),1),MesCiclo))))</f>
        <v/>
      </c>
      <c r="Q11" s="70">
        <f>IF(OR($P11="",$P11&lt;&gt;MesCiclo),"",COUNTIF($P$5:$P11,MesCiclo))</f>
        <v/>
      </c>
      <c r="R11" s="70">
        <f>IF($S11="","",IF($S11="Macro",ROW(),IFERROR(LOOKUP(2,1/($S$5:$S11="Macro"),ROW($S$5:$S11)),0)))</f>
        <v/>
      </c>
      <c r="S11" s="70">
        <f>IF(NOT((COUNTA($B11:$K11)+COUNTA($N11))&gt;0),"",IF($B11&lt;&gt;"","Macro",IF($C11&lt;&gt;"","Sub","Macro")))</f>
        <v/>
      </c>
      <c r="T11" s="70">
        <f>IF($S11="Macro",COUNTIFS($R$5:$R$1000,ROW(),$S$5:$S$1000,"Sub"),"")</f>
        <v/>
      </c>
      <c r="U11" s="70">
        <f>IF($S11="","",IF(ISNUMBER($H11),$H11,0))</f>
        <v/>
      </c>
      <c r="V11" s="70">
        <f>IF($S11="","",IF(ISNUMBER($I11),$I11,$U11))</f>
        <v/>
      </c>
      <c r="W11" s="70">
        <f>IF($S11="","",IF(ISNUMBER($J11),$J11,$V11))</f>
        <v/>
      </c>
      <c r="X11" s="70">
        <f>IF($S11="","",IF(ISNUMBER($K11),$K11,$W11))</f>
        <v/>
      </c>
      <c r="Y11" s="70">
        <f>IF($S11="","",IF(N($T11)&gt;0,AVERAGEIFS($U$5:$U$1000,$R$5:$R$1000,ROW(),$S$5:$S$1000,"Sub"),$U11))</f>
        <v/>
      </c>
      <c r="Z11" s="70">
        <f>IF($S11="","",IF(N($T11)&gt;0,AVERAGEIFS($V$5:$V$1000,$R$5:$R$1000,ROW(),$S$5:$S$1000,"Sub"),$V11))</f>
        <v/>
      </c>
      <c r="AA11" s="70">
        <f>IF($S11="","",IF(N($T11)&gt;0,AVERAGEIFS($W$5:$W$1000,$R$5:$R$1000,ROW(),$S$5:$S$1000,"Sub"),$W11))</f>
        <v/>
      </c>
      <c r="AB11" s="70">
        <f>IF($S11="","",IF(N($T11)&gt;0,AVERAGEIFS($X$5:$X$1000,$R$5:$R$1000,ROW(),$S$5:$S$1000,"Sub"),$X11))</f>
        <v/>
      </c>
    </row>
    <row r="12">
      <c r="A12" s="61">
        <f>IF(NOT((COUNTA($B12:$K12)+COUNTA($N12))&gt;0),"",IF($S12="Macro",COUNTIFS($S$5:$S12,"Macro",$P$5:$P12,$P12),IF(N($R12)=0,"?",COUNTIFS(INDEX($S$5:$S$1000,1):INDEX($S$5:$S$1000,$R12-4),"Macro",INDEX($P$5:$P$1000,1):INDEX($P$5:$P$1000,$R12-4),INDEX($P$5:$P$1000,$R12-4))&amp;"."&amp;COUNTIFS($R$5:$R12,$R12,$S$5:$S12,"Sub"))))</f>
        <v/>
      </c>
      <c r="B12" s="62" t="n"/>
      <c r="C12" s="63" t="n"/>
      <c r="D12" s="62" t="n"/>
      <c r="E12" s="64" t="n"/>
      <c r="F12" s="64" t="n"/>
      <c r="G12" s="65" t="n"/>
      <c r="H12" s="66" t="n"/>
      <c r="I12" s="66" t="n"/>
      <c r="J12" s="66" t="n"/>
      <c r="K12" s="66" t="n"/>
      <c r="L12" s="67">
        <f>IF(NOT((COUNTA($B12:$K12)+COUNTA($N12))&gt;0),"",IF(N($T12)&gt;0,$AB12,IFERROR(LOOKUP(2,1/(H12:K12&lt;&gt;""),H12:K12),0)))</f>
        <v/>
      </c>
      <c r="M12" s="61">
        <f>IF(L12="","",IF(L12&gt;=1,"Completado",IF(L12&gt;0,"En curso","Pendiente")))</f>
        <v/>
      </c>
      <c r="N12" s="62" t="n"/>
      <c r="O12" s="68">
        <f>IF(NOT((COUNTA($B12:$K12)+COUNTA($N12))&gt;0),"",IF((IF(AND($S12="Macro",$B12=""),"Macroactividad vacía"&amp;" · ","")&amp;IF(AND($B12&lt;&gt;"",$C12&lt;&gt;""),"Escriba la subactividad en otra fila, debajo de su macroactividad"&amp;" · ","")&amp;IF(AND($S12="Sub",N($R12)=0),"Subactividad sin macroactividad arriba"&amp;" · ","")&amp;IF($D12="","Sin responsable"&amp;" · ","")&amp;IF($E12="","Sin fecha de inicio"&amp;" · ","")&amp;IF($F12="","Sin fecha límite"&amp;" · ","")&amp;IF(OR(AND($E12&lt;&gt;"",NOT(ISNUMBER($E12))),AND($F12&lt;&gt;"",NOT(ISNUMBER($F12)))),"Fecha no válida"&amp;" · ","")&amp;IF(AND(ISNUMBER($E12),ISNUMBER($F12),$E12&gt;$F12),"Inicio posterior a fecha límite"&amp;" · ","")&amp;IF(AND($S12="Macro",$G12=""),"Peso vacío"&amp;" · ","")&amp;IF(AND($S12="Macro",$G12&lt;&gt;"",OR(NOT(ISNUMBER($G12)),$G12&lt;=0,$G12&gt;1)),"Peso fuera de rango"&amp;" · ","")&amp;IF(AND($S12="Sub",$G12&lt;&gt;""),"Las subactividades no llevan peso"&amp;" · ","")&amp;IF(AND($S12="Macro",ABS(SUMIFS($G$5:$G$1000,$P$5:$P$1000,$P12,$S$5:$S$1000,"Macro")-1)&gt;0.0001),"Pesos del mes suman "&amp;TEXT(SUMIFS($G$5:$G$1000,$P$5:$P$1000,$P12,$S$5:$S$1000,"Macro"),"0%")&amp;" · ","")&amp;IF(AND(N($T12)&gt;0,COUNT($H12:$K12)&gt;0),"Con subactividades: deje vacías las semanas (se calculan solas)"&amp;" · ","")&amp;IF((COUNTIF($H12:$K12,"&gt;1")+COUNTIF($H12:$K12,"&lt;0")+COUNTA($H12:$K12)-COUNT($H12:$K12))&gt;0,"Avance fuera de rango 0-100%"&amp;" · ","")&amp;IF(OR(AND($I12&lt;&gt;"",$I12&lt;$H12),AND($J12&lt;&gt;"",$J12&lt;MAX($H12:$I12)),AND($K12&lt;&gt;"",$K12&lt;MAX($H12:$J12))),"Avance semanal decreciente"&amp;" · ","")&amp;IF(AND(ISNUMBER($F12),$F12&lt;FechaRef,N($L12)&lt;1),"Vencida"&amp;" · ","")&amp;IF(AND(ObsObligatoria="Sí",ISNUMBER($F12),$F12&lt;FechaRef,N($L12)&lt;1,$N12=""),"Vencida sin observación"&amp;" · ",""))="","✔ OK","⚠ "&amp;LEFT(IF(AND($S12="Macro",$B12=""),"Macroactividad vacía"&amp;" · ","")&amp;IF(AND($B12&lt;&gt;"",$C12&lt;&gt;""),"Escriba la subactividad en otra fila, debajo de su macroactividad"&amp;" · ","")&amp;IF(AND($S12="Sub",N($R12)=0),"Subactividad sin macroactividad arriba"&amp;" · ","")&amp;IF($D12="","Sin responsable"&amp;" · ","")&amp;IF($E12="","Sin fecha de inicio"&amp;" · ","")&amp;IF($F12="","Sin fecha límite"&amp;" · ","")&amp;IF(OR(AND($E12&lt;&gt;"",NOT(ISNUMBER($E12))),AND($F12&lt;&gt;"",NOT(ISNUMBER($F12)))),"Fecha no válida"&amp;" · ","")&amp;IF(AND(ISNUMBER($E12),ISNUMBER($F12),$E12&gt;$F12),"Inicio posterior a fecha límite"&amp;" · ","")&amp;IF(AND($S12="Macro",$G12=""),"Peso vacío"&amp;" · ","")&amp;IF(AND($S12="Macro",$G12&lt;&gt;"",OR(NOT(ISNUMBER($G12)),$G12&lt;=0,$G12&gt;1)),"Peso fuera de rango"&amp;" · ","")&amp;IF(AND($S12="Sub",$G12&lt;&gt;""),"Las subactividades no llevan peso"&amp;" · ","")&amp;IF(AND($S12="Macro",ABS(SUMIFS($G$5:$G$1000,$P$5:$P$1000,$P12,$S$5:$S$1000,"Macro")-1)&gt;0.0001),"Pesos del mes suman "&amp;TEXT(SUMIFS($G$5:$G$1000,$P$5:$P$1000,$P12,$S$5:$S$1000,"Macro"),"0%")&amp;" · ","")&amp;IF(AND(N($T12)&gt;0,COUNT($H12:$K12)&gt;0),"Con subactividades: deje vacías las semanas (se calculan solas)"&amp;" · ","")&amp;IF((COUNTIF($H12:$K12,"&gt;1")+COUNTIF($H12:$K12,"&lt;0")+COUNTA($H12:$K12)-COUNT($H12:$K12))&gt;0,"Avance fuera de rango 0-100%"&amp;" · ","")&amp;IF(OR(AND($I12&lt;&gt;"",$I12&lt;$H12),AND($J12&lt;&gt;"",$J12&lt;MAX($H12:$I12)),AND($K12&lt;&gt;"",$K12&lt;MAX($H12:$J12))),"Avance semanal decreciente"&amp;" · ","")&amp;IF(AND(ISNUMBER($F12),$F12&lt;FechaRef,N($L12)&lt;1),"Vencida"&amp;" · ","")&amp;IF(AND(ObsObligatoria="Sí",ISNUMBER($F12),$F12&lt;FechaRef,N($L12)&lt;1,$N12=""),"Vencida sin observación"&amp;" · ",""),LEN(IF(AND($S12="Macro",$B12=""),"Macroactividad vacía"&amp;" · ","")&amp;IF(AND($B12&lt;&gt;"",$C12&lt;&gt;""),"Escriba la subactividad en otra fila, debajo de su macroactividad"&amp;" · ","")&amp;IF(AND($S12="Sub",N($R12)=0),"Subactividad sin macroactividad arriba"&amp;" · ","")&amp;IF($D12="","Sin responsable"&amp;" · ","")&amp;IF($E12="","Sin fecha de inicio"&amp;" · ","")&amp;IF($F12="","Sin fecha límite"&amp;" · ","")&amp;IF(OR(AND($E12&lt;&gt;"",NOT(ISNUMBER($E12))),AND($F12&lt;&gt;"",NOT(ISNUMBER($F12)))),"Fecha no válida"&amp;" · ","")&amp;IF(AND(ISNUMBER($E12),ISNUMBER($F12),$E12&gt;$F12),"Inicio posterior a fecha límite"&amp;" · ","")&amp;IF(AND($S12="Macro",$G12=""),"Peso vacío"&amp;" · ","")&amp;IF(AND($S12="Macro",$G12&lt;&gt;"",OR(NOT(ISNUMBER($G12)),$G12&lt;=0,$G12&gt;1)),"Peso fuera de rango"&amp;" · ","")&amp;IF(AND($S12="Sub",$G12&lt;&gt;""),"Las subactividades no llevan peso"&amp;" · ","")&amp;IF(AND($S12="Macro",ABS(SUMIFS($G$5:$G$1000,$P$5:$P$1000,$P12,$S$5:$S$1000,"Macro")-1)&gt;0.0001),"Pesos del mes suman "&amp;TEXT(SUMIFS($G$5:$G$1000,$P$5:$P$1000,$P12,$S$5:$S$1000,"Macro"),"0%")&amp;" · ","")&amp;IF(AND(N($T12)&gt;0,COUNT($H12:$K12)&gt;0),"Con subactividades: deje vacías las semanas (se calculan solas)"&amp;" · ","")&amp;IF((COUNTIF($H12:$K12,"&gt;1")+COUNTIF($H12:$K12,"&lt;0")+COUNTA($H12:$K12)-COUNT($H12:$K12))&gt;0,"Avance fuera de rango 0-100%"&amp;" · ","")&amp;IF(OR(AND($I12&lt;&gt;"",$I12&lt;$H12),AND($J12&lt;&gt;"",$J12&lt;MAX($H12:$I12)),AND($K12&lt;&gt;"",$K12&lt;MAX($H12:$J12))),"Avance semanal decreciente"&amp;" · ","")&amp;IF(AND(ISNUMBER($F12),$F12&lt;FechaRef,N($L12)&lt;1),"Vencida"&amp;" · ","")&amp;IF(AND(ObsObligatoria="Sí",ISNUMBER($F12),$F12&lt;FechaRef,N($L12)&lt;1,$N12=""),"Vencida sin observación"&amp;" · ",""))-3)))</f>
        <v/>
      </c>
      <c r="P12" s="69">
        <f>IF(NOT((COUNTA($B12:$K12)+COUNTA($N12))&gt;0),"",IF(AND($S12="Sub",N($R12)&gt;0),IF(ISNUMBER(INDEX($E$5:$E$1000,$R12-4)),DATE(YEAR(INDEX($E$5:$E$1000,$R12-4)),MONTH(INDEX($E$5:$E$1000,$R12-4)),1),IF(ISNUMBER(INDEX($F$5:$F$1000,$R12-4)),DATE(YEAR(INDEX($F$5:$F$1000,$R12-4)),MONTH(INDEX($F$5:$F$1000,$R12-4)),1),MesCiclo)),IF(ISNUMBER($E12),DATE(YEAR($E12),MONTH($E12),1),IF(ISNUMBER($F12),DATE(YEAR($F12),MONTH($F12),1),MesCiclo))))</f>
        <v/>
      </c>
      <c r="Q12" s="70">
        <f>IF(OR($P12="",$P12&lt;&gt;MesCiclo),"",COUNTIF($P$5:$P12,MesCiclo))</f>
        <v/>
      </c>
      <c r="R12" s="70">
        <f>IF($S12="","",IF($S12="Macro",ROW(),IFERROR(LOOKUP(2,1/($S$5:$S12="Macro"),ROW($S$5:$S12)),0)))</f>
        <v/>
      </c>
      <c r="S12" s="70">
        <f>IF(NOT((COUNTA($B12:$K12)+COUNTA($N12))&gt;0),"",IF($B12&lt;&gt;"","Macro",IF($C12&lt;&gt;"","Sub","Macro")))</f>
        <v/>
      </c>
      <c r="T12" s="70">
        <f>IF($S12="Macro",COUNTIFS($R$5:$R$1000,ROW(),$S$5:$S$1000,"Sub"),"")</f>
        <v/>
      </c>
      <c r="U12" s="70">
        <f>IF($S12="","",IF(ISNUMBER($H12),$H12,0))</f>
        <v/>
      </c>
      <c r="V12" s="70">
        <f>IF($S12="","",IF(ISNUMBER($I12),$I12,$U12))</f>
        <v/>
      </c>
      <c r="W12" s="70">
        <f>IF($S12="","",IF(ISNUMBER($J12),$J12,$V12))</f>
        <v/>
      </c>
      <c r="X12" s="70">
        <f>IF($S12="","",IF(ISNUMBER($K12),$K12,$W12))</f>
        <v/>
      </c>
      <c r="Y12" s="70">
        <f>IF($S12="","",IF(N($T12)&gt;0,AVERAGEIFS($U$5:$U$1000,$R$5:$R$1000,ROW(),$S$5:$S$1000,"Sub"),$U12))</f>
        <v/>
      </c>
      <c r="Z12" s="70">
        <f>IF($S12="","",IF(N($T12)&gt;0,AVERAGEIFS($V$5:$V$1000,$R$5:$R$1000,ROW(),$S$5:$S$1000,"Sub"),$V12))</f>
        <v/>
      </c>
      <c r="AA12" s="70">
        <f>IF($S12="","",IF(N($T12)&gt;0,AVERAGEIFS($W$5:$W$1000,$R$5:$R$1000,ROW(),$S$5:$S$1000,"Sub"),$W12))</f>
        <v/>
      </c>
      <c r="AB12" s="70">
        <f>IF($S12="","",IF(N($T12)&gt;0,AVERAGEIFS($X$5:$X$1000,$R$5:$R$1000,ROW(),$S$5:$S$1000,"Sub"),$X12))</f>
        <v/>
      </c>
    </row>
    <row r="13">
      <c r="A13" s="61">
        <f>IF(NOT((COUNTA($B13:$K13)+COUNTA($N13))&gt;0),"",IF($S13="Macro",COUNTIFS($S$5:$S13,"Macro",$P$5:$P13,$P13),IF(N($R13)=0,"?",COUNTIFS(INDEX($S$5:$S$1000,1):INDEX($S$5:$S$1000,$R13-4),"Macro",INDEX($P$5:$P$1000,1):INDEX($P$5:$P$1000,$R13-4),INDEX($P$5:$P$1000,$R13-4))&amp;"."&amp;COUNTIFS($R$5:$R13,$R13,$S$5:$S13,"Sub"))))</f>
        <v/>
      </c>
      <c r="B13" s="62" t="n"/>
      <c r="C13" s="63" t="n"/>
      <c r="D13" s="62" t="n"/>
      <c r="E13" s="64" t="n"/>
      <c r="F13" s="64" t="n"/>
      <c r="G13" s="65" t="n"/>
      <c r="H13" s="66" t="n"/>
      <c r="I13" s="66" t="n"/>
      <c r="J13" s="66" t="n"/>
      <c r="K13" s="66" t="n"/>
      <c r="L13" s="67">
        <f>IF(NOT((COUNTA($B13:$K13)+COUNTA($N13))&gt;0),"",IF(N($T13)&gt;0,$AB13,IFERROR(LOOKUP(2,1/(H13:K13&lt;&gt;""),H13:K13),0)))</f>
        <v/>
      </c>
      <c r="M13" s="61">
        <f>IF(L13="","",IF(L13&gt;=1,"Completado",IF(L13&gt;0,"En curso","Pendiente")))</f>
        <v/>
      </c>
      <c r="N13" s="62" t="n"/>
      <c r="O13" s="68">
        <f>IF(NOT((COUNTA($B13:$K13)+COUNTA($N13))&gt;0),"",IF((IF(AND($S13="Macro",$B13=""),"Macroactividad vacía"&amp;" · ","")&amp;IF(AND($B13&lt;&gt;"",$C13&lt;&gt;""),"Escriba la subactividad en otra fila, debajo de su macroactividad"&amp;" · ","")&amp;IF(AND($S13="Sub",N($R13)=0),"Subactividad sin macroactividad arriba"&amp;" · ","")&amp;IF($D13="","Sin responsable"&amp;" · ","")&amp;IF($E13="","Sin fecha de inicio"&amp;" · ","")&amp;IF($F13="","Sin fecha límite"&amp;" · ","")&amp;IF(OR(AND($E13&lt;&gt;"",NOT(ISNUMBER($E13))),AND($F13&lt;&gt;"",NOT(ISNUMBER($F13)))),"Fecha no válida"&amp;" · ","")&amp;IF(AND(ISNUMBER($E13),ISNUMBER($F13),$E13&gt;$F13),"Inicio posterior a fecha límite"&amp;" · ","")&amp;IF(AND($S13="Macro",$G13=""),"Peso vacío"&amp;" · ","")&amp;IF(AND($S13="Macro",$G13&lt;&gt;"",OR(NOT(ISNUMBER($G13)),$G13&lt;=0,$G13&gt;1)),"Peso fuera de rango"&amp;" · ","")&amp;IF(AND($S13="Sub",$G13&lt;&gt;""),"Las subactividades no llevan peso"&amp;" · ","")&amp;IF(AND($S13="Macro",ABS(SUMIFS($G$5:$G$1000,$P$5:$P$1000,$P13,$S$5:$S$1000,"Macro")-1)&gt;0.0001),"Pesos del mes suman "&amp;TEXT(SUMIFS($G$5:$G$1000,$P$5:$P$1000,$P13,$S$5:$S$1000,"Macro"),"0%")&amp;" · ","")&amp;IF(AND(N($T13)&gt;0,COUNT($H13:$K13)&gt;0),"Con subactividades: deje vacías las semanas (se calculan solas)"&amp;" · ","")&amp;IF((COUNTIF($H13:$K13,"&gt;1")+COUNTIF($H13:$K13,"&lt;0")+COUNTA($H13:$K13)-COUNT($H13:$K13))&gt;0,"Avance fuera de rango 0-100%"&amp;" · ","")&amp;IF(OR(AND($I13&lt;&gt;"",$I13&lt;$H13),AND($J13&lt;&gt;"",$J13&lt;MAX($H13:$I13)),AND($K13&lt;&gt;"",$K13&lt;MAX($H13:$J13))),"Avance semanal decreciente"&amp;" · ","")&amp;IF(AND(ISNUMBER($F13),$F13&lt;FechaRef,N($L13)&lt;1),"Vencida"&amp;" · ","")&amp;IF(AND(ObsObligatoria="Sí",ISNUMBER($F13),$F13&lt;FechaRef,N($L13)&lt;1,$N13=""),"Vencida sin observación"&amp;" · ",""))="","✔ OK","⚠ "&amp;LEFT(IF(AND($S13="Macro",$B13=""),"Macroactividad vacía"&amp;" · ","")&amp;IF(AND($B13&lt;&gt;"",$C13&lt;&gt;""),"Escriba la subactividad en otra fila, debajo de su macroactividad"&amp;" · ","")&amp;IF(AND($S13="Sub",N($R13)=0),"Subactividad sin macroactividad arriba"&amp;" · ","")&amp;IF($D13="","Sin responsable"&amp;" · ","")&amp;IF($E13="","Sin fecha de inicio"&amp;" · ","")&amp;IF($F13="","Sin fecha límite"&amp;" · ","")&amp;IF(OR(AND($E13&lt;&gt;"",NOT(ISNUMBER($E13))),AND($F13&lt;&gt;"",NOT(ISNUMBER($F13)))),"Fecha no válida"&amp;" · ","")&amp;IF(AND(ISNUMBER($E13),ISNUMBER($F13),$E13&gt;$F13),"Inicio posterior a fecha límite"&amp;" · ","")&amp;IF(AND($S13="Macro",$G13=""),"Peso vacío"&amp;" · ","")&amp;IF(AND($S13="Macro",$G13&lt;&gt;"",OR(NOT(ISNUMBER($G13)),$G13&lt;=0,$G13&gt;1)),"Peso fuera de rango"&amp;" · ","")&amp;IF(AND($S13="Sub",$G13&lt;&gt;""),"Las subactividades no llevan peso"&amp;" · ","")&amp;IF(AND($S13="Macro",ABS(SUMIFS($G$5:$G$1000,$P$5:$P$1000,$P13,$S$5:$S$1000,"Macro")-1)&gt;0.0001),"Pesos del mes suman "&amp;TEXT(SUMIFS($G$5:$G$1000,$P$5:$P$1000,$P13,$S$5:$S$1000,"Macro"),"0%")&amp;" · ","")&amp;IF(AND(N($T13)&gt;0,COUNT($H13:$K13)&gt;0),"Con subactividades: deje vacías las semanas (se calculan solas)"&amp;" · ","")&amp;IF((COUNTIF($H13:$K13,"&gt;1")+COUNTIF($H13:$K13,"&lt;0")+COUNTA($H13:$K13)-COUNT($H13:$K13))&gt;0,"Avance fuera de rango 0-100%"&amp;" · ","")&amp;IF(OR(AND($I13&lt;&gt;"",$I13&lt;$H13),AND($J13&lt;&gt;"",$J13&lt;MAX($H13:$I13)),AND($K13&lt;&gt;"",$K13&lt;MAX($H13:$J13))),"Avance semanal decreciente"&amp;" · ","")&amp;IF(AND(ISNUMBER($F13),$F13&lt;FechaRef,N($L13)&lt;1),"Vencida"&amp;" · ","")&amp;IF(AND(ObsObligatoria="Sí",ISNUMBER($F13),$F13&lt;FechaRef,N($L13)&lt;1,$N13=""),"Vencida sin observación"&amp;" · ",""),LEN(IF(AND($S13="Macro",$B13=""),"Macroactividad vacía"&amp;" · ","")&amp;IF(AND($B13&lt;&gt;"",$C13&lt;&gt;""),"Escriba la subactividad en otra fila, debajo de su macroactividad"&amp;" · ","")&amp;IF(AND($S13="Sub",N($R13)=0),"Subactividad sin macroactividad arriba"&amp;" · ","")&amp;IF($D13="","Sin responsable"&amp;" · ","")&amp;IF($E13="","Sin fecha de inicio"&amp;" · ","")&amp;IF($F13="","Sin fecha límite"&amp;" · ","")&amp;IF(OR(AND($E13&lt;&gt;"",NOT(ISNUMBER($E13))),AND($F13&lt;&gt;"",NOT(ISNUMBER($F13)))),"Fecha no válida"&amp;" · ","")&amp;IF(AND(ISNUMBER($E13),ISNUMBER($F13),$E13&gt;$F13),"Inicio posterior a fecha límite"&amp;" · ","")&amp;IF(AND($S13="Macro",$G13=""),"Peso vacío"&amp;" · ","")&amp;IF(AND($S13="Macro",$G13&lt;&gt;"",OR(NOT(ISNUMBER($G13)),$G13&lt;=0,$G13&gt;1)),"Peso fuera de rango"&amp;" · ","")&amp;IF(AND($S13="Sub",$G13&lt;&gt;""),"Las subactividades no llevan peso"&amp;" · ","")&amp;IF(AND($S13="Macro",ABS(SUMIFS($G$5:$G$1000,$P$5:$P$1000,$P13,$S$5:$S$1000,"Macro")-1)&gt;0.0001),"Pesos del mes suman "&amp;TEXT(SUMIFS($G$5:$G$1000,$P$5:$P$1000,$P13,$S$5:$S$1000,"Macro"),"0%")&amp;" · ","")&amp;IF(AND(N($T13)&gt;0,COUNT($H13:$K13)&gt;0),"Con subactividades: deje vacías las semanas (se calculan solas)"&amp;" · ","")&amp;IF((COUNTIF($H13:$K13,"&gt;1")+COUNTIF($H13:$K13,"&lt;0")+COUNTA($H13:$K13)-COUNT($H13:$K13))&gt;0,"Avance fuera de rango 0-100%"&amp;" · ","")&amp;IF(OR(AND($I13&lt;&gt;"",$I13&lt;$H13),AND($J13&lt;&gt;"",$J13&lt;MAX($H13:$I13)),AND($K13&lt;&gt;"",$K13&lt;MAX($H13:$J13))),"Avance semanal decreciente"&amp;" · ","")&amp;IF(AND(ISNUMBER($F13),$F13&lt;FechaRef,N($L13)&lt;1),"Vencida"&amp;" · ","")&amp;IF(AND(ObsObligatoria="Sí",ISNUMBER($F13),$F13&lt;FechaRef,N($L13)&lt;1,$N13=""),"Vencida sin observación"&amp;" · ",""))-3)))</f>
        <v/>
      </c>
      <c r="P13" s="69">
        <f>IF(NOT((COUNTA($B13:$K13)+COUNTA($N13))&gt;0),"",IF(AND($S13="Sub",N($R13)&gt;0),IF(ISNUMBER(INDEX($E$5:$E$1000,$R13-4)),DATE(YEAR(INDEX($E$5:$E$1000,$R13-4)),MONTH(INDEX($E$5:$E$1000,$R13-4)),1),IF(ISNUMBER(INDEX($F$5:$F$1000,$R13-4)),DATE(YEAR(INDEX($F$5:$F$1000,$R13-4)),MONTH(INDEX($F$5:$F$1000,$R13-4)),1),MesCiclo)),IF(ISNUMBER($E13),DATE(YEAR($E13),MONTH($E13),1),IF(ISNUMBER($F13),DATE(YEAR($F13),MONTH($F13),1),MesCiclo))))</f>
        <v/>
      </c>
      <c r="Q13" s="70">
        <f>IF(OR($P13="",$P13&lt;&gt;MesCiclo),"",COUNTIF($P$5:$P13,MesCiclo))</f>
        <v/>
      </c>
      <c r="R13" s="70">
        <f>IF($S13="","",IF($S13="Macro",ROW(),IFERROR(LOOKUP(2,1/($S$5:$S13="Macro"),ROW($S$5:$S13)),0)))</f>
        <v/>
      </c>
      <c r="S13" s="70">
        <f>IF(NOT((COUNTA($B13:$K13)+COUNTA($N13))&gt;0),"",IF($B13&lt;&gt;"","Macro",IF($C13&lt;&gt;"","Sub","Macro")))</f>
        <v/>
      </c>
      <c r="T13" s="70">
        <f>IF($S13="Macro",COUNTIFS($R$5:$R$1000,ROW(),$S$5:$S$1000,"Sub"),"")</f>
        <v/>
      </c>
      <c r="U13" s="70">
        <f>IF($S13="","",IF(ISNUMBER($H13),$H13,0))</f>
        <v/>
      </c>
      <c r="V13" s="70">
        <f>IF($S13="","",IF(ISNUMBER($I13),$I13,$U13))</f>
        <v/>
      </c>
      <c r="W13" s="70">
        <f>IF($S13="","",IF(ISNUMBER($J13),$J13,$V13))</f>
        <v/>
      </c>
      <c r="X13" s="70">
        <f>IF($S13="","",IF(ISNUMBER($K13),$K13,$W13))</f>
        <v/>
      </c>
      <c r="Y13" s="70">
        <f>IF($S13="","",IF(N($T13)&gt;0,AVERAGEIFS($U$5:$U$1000,$R$5:$R$1000,ROW(),$S$5:$S$1000,"Sub"),$U13))</f>
        <v/>
      </c>
      <c r="Z13" s="70">
        <f>IF($S13="","",IF(N($T13)&gt;0,AVERAGEIFS($V$5:$V$1000,$R$5:$R$1000,ROW(),$S$5:$S$1000,"Sub"),$V13))</f>
        <v/>
      </c>
      <c r="AA13" s="70">
        <f>IF($S13="","",IF(N($T13)&gt;0,AVERAGEIFS($W$5:$W$1000,$R$5:$R$1000,ROW(),$S$5:$S$1000,"Sub"),$W13))</f>
        <v/>
      </c>
      <c r="AB13" s="70">
        <f>IF($S13="","",IF(N($T13)&gt;0,AVERAGEIFS($X$5:$X$1000,$R$5:$R$1000,ROW(),$S$5:$S$1000,"Sub"),$X13))</f>
        <v/>
      </c>
    </row>
    <row r="14">
      <c r="A14" s="61">
        <f>IF(NOT((COUNTA($B14:$K14)+COUNTA($N14))&gt;0),"",IF($S14="Macro",COUNTIFS($S$5:$S14,"Macro",$P$5:$P14,$P14),IF(N($R14)=0,"?",COUNTIFS(INDEX($S$5:$S$1000,1):INDEX($S$5:$S$1000,$R14-4),"Macro",INDEX($P$5:$P$1000,1):INDEX($P$5:$P$1000,$R14-4),INDEX($P$5:$P$1000,$R14-4))&amp;"."&amp;COUNTIFS($R$5:$R14,$R14,$S$5:$S14,"Sub"))))</f>
        <v/>
      </c>
      <c r="B14" s="62" t="n"/>
      <c r="C14" s="63" t="n"/>
      <c r="D14" s="62" t="n"/>
      <c r="E14" s="64" t="n"/>
      <c r="F14" s="64" t="n"/>
      <c r="G14" s="65" t="n"/>
      <c r="H14" s="66" t="n"/>
      <c r="I14" s="66" t="n"/>
      <c r="J14" s="66" t="n"/>
      <c r="K14" s="66" t="n"/>
      <c r="L14" s="67">
        <f>IF(NOT((COUNTA($B14:$K14)+COUNTA($N14))&gt;0),"",IF(N($T14)&gt;0,$AB14,IFERROR(LOOKUP(2,1/(H14:K14&lt;&gt;""),H14:K14),0)))</f>
        <v/>
      </c>
      <c r="M14" s="61">
        <f>IF(L14="","",IF(L14&gt;=1,"Completado",IF(L14&gt;0,"En curso","Pendiente")))</f>
        <v/>
      </c>
      <c r="N14" s="62" t="n"/>
      <c r="O14" s="68">
        <f>IF(NOT((COUNTA($B14:$K14)+COUNTA($N14))&gt;0),"",IF((IF(AND($S14="Macro",$B14=""),"Macroactividad vacía"&amp;" · ","")&amp;IF(AND($B14&lt;&gt;"",$C14&lt;&gt;""),"Escriba la subactividad en otra fila, debajo de su macroactividad"&amp;" · ","")&amp;IF(AND($S14="Sub",N($R14)=0),"Subactividad sin macroactividad arriba"&amp;" · ","")&amp;IF($D14="","Sin responsable"&amp;" · ","")&amp;IF($E14="","Sin fecha de inicio"&amp;" · ","")&amp;IF($F14="","Sin fecha límite"&amp;" · ","")&amp;IF(OR(AND($E14&lt;&gt;"",NOT(ISNUMBER($E14))),AND($F14&lt;&gt;"",NOT(ISNUMBER($F14)))),"Fecha no válida"&amp;" · ","")&amp;IF(AND(ISNUMBER($E14),ISNUMBER($F14),$E14&gt;$F14),"Inicio posterior a fecha límite"&amp;" · ","")&amp;IF(AND($S14="Macro",$G14=""),"Peso vacío"&amp;" · ","")&amp;IF(AND($S14="Macro",$G14&lt;&gt;"",OR(NOT(ISNUMBER($G14)),$G14&lt;=0,$G14&gt;1)),"Peso fuera de rango"&amp;" · ","")&amp;IF(AND($S14="Sub",$G14&lt;&gt;""),"Las subactividades no llevan peso"&amp;" · ","")&amp;IF(AND($S14="Macro",ABS(SUMIFS($G$5:$G$1000,$P$5:$P$1000,$P14,$S$5:$S$1000,"Macro")-1)&gt;0.0001),"Pesos del mes suman "&amp;TEXT(SUMIFS($G$5:$G$1000,$P$5:$P$1000,$P14,$S$5:$S$1000,"Macro"),"0%")&amp;" · ","")&amp;IF(AND(N($T14)&gt;0,COUNT($H14:$K14)&gt;0),"Con subactividades: deje vacías las semanas (se calculan solas)"&amp;" · ","")&amp;IF((COUNTIF($H14:$K14,"&gt;1")+COUNTIF($H14:$K14,"&lt;0")+COUNTA($H14:$K14)-COUNT($H14:$K14))&gt;0,"Avance fuera de rango 0-100%"&amp;" · ","")&amp;IF(OR(AND($I14&lt;&gt;"",$I14&lt;$H14),AND($J14&lt;&gt;"",$J14&lt;MAX($H14:$I14)),AND($K14&lt;&gt;"",$K14&lt;MAX($H14:$J14))),"Avance semanal decreciente"&amp;" · ","")&amp;IF(AND(ISNUMBER($F14),$F14&lt;FechaRef,N($L14)&lt;1),"Vencida"&amp;" · ","")&amp;IF(AND(ObsObligatoria="Sí",ISNUMBER($F14),$F14&lt;FechaRef,N($L14)&lt;1,$N14=""),"Vencida sin observación"&amp;" · ",""))="","✔ OK","⚠ "&amp;LEFT(IF(AND($S14="Macro",$B14=""),"Macroactividad vacía"&amp;" · ","")&amp;IF(AND($B14&lt;&gt;"",$C14&lt;&gt;""),"Escriba la subactividad en otra fila, debajo de su macroactividad"&amp;" · ","")&amp;IF(AND($S14="Sub",N($R14)=0),"Subactividad sin macroactividad arriba"&amp;" · ","")&amp;IF($D14="","Sin responsable"&amp;" · ","")&amp;IF($E14="","Sin fecha de inicio"&amp;" · ","")&amp;IF($F14="","Sin fecha límite"&amp;" · ","")&amp;IF(OR(AND($E14&lt;&gt;"",NOT(ISNUMBER($E14))),AND($F14&lt;&gt;"",NOT(ISNUMBER($F14)))),"Fecha no válida"&amp;" · ","")&amp;IF(AND(ISNUMBER($E14),ISNUMBER($F14),$E14&gt;$F14),"Inicio posterior a fecha límite"&amp;" · ","")&amp;IF(AND($S14="Macro",$G14=""),"Peso vacío"&amp;" · ","")&amp;IF(AND($S14="Macro",$G14&lt;&gt;"",OR(NOT(ISNUMBER($G14)),$G14&lt;=0,$G14&gt;1)),"Peso fuera de rango"&amp;" · ","")&amp;IF(AND($S14="Sub",$G14&lt;&gt;""),"Las subactividades no llevan peso"&amp;" · ","")&amp;IF(AND($S14="Macro",ABS(SUMIFS($G$5:$G$1000,$P$5:$P$1000,$P14,$S$5:$S$1000,"Macro")-1)&gt;0.0001),"Pesos del mes suman "&amp;TEXT(SUMIFS($G$5:$G$1000,$P$5:$P$1000,$P14,$S$5:$S$1000,"Macro"),"0%")&amp;" · ","")&amp;IF(AND(N($T14)&gt;0,COUNT($H14:$K14)&gt;0),"Con subactividades: deje vacías las semanas (se calculan solas)"&amp;" · ","")&amp;IF((COUNTIF($H14:$K14,"&gt;1")+COUNTIF($H14:$K14,"&lt;0")+COUNTA($H14:$K14)-COUNT($H14:$K14))&gt;0,"Avance fuera de rango 0-100%"&amp;" · ","")&amp;IF(OR(AND($I14&lt;&gt;"",$I14&lt;$H14),AND($J14&lt;&gt;"",$J14&lt;MAX($H14:$I14)),AND($K14&lt;&gt;"",$K14&lt;MAX($H14:$J14))),"Avance semanal decreciente"&amp;" · ","")&amp;IF(AND(ISNUMBER($F14),$F14&lt;FechaRef,N($L14)&lt;1),"Vencida"&amp;" · ","")&amp;IF(AND(ObsObligatoria="Sí",ISNUMBER($F14),$F14&lt;FechaRef,N($L14)&lt;1,$N14=""),"Vencida sin observación"&amp;" · ",""),LEN(IF(AND($S14="Macro",$B14=""),"Macroactividad vacía"&amp;" · ","")&amp;IF(AND($B14&lt;&gt;"",$C14&lt;&gt;""),"Escriba la subactividad en otra fila, debajo de su macroactividad"&amp;" · ","")&amp;IF(AND($S14="Sub",N($R14)=0),"Subactividad sin macroactividad arriba"&amp;" · ","")&amp;IF($D14="","Sin responsable"&amp;" · ","")&amp;IF($E14="","Sin fecha de inicio"&amp;" · ","")&amp;IF($F14="","Sin fecha límite"&amp;" · ","")&amp;IF(OR(AND($E14&lt;&gt;"",NOT(ISNUMBER($E14))),AND($F14&lt;&gt;"",NOT(ISNUMBER($F14)))),"Fecha no válida"&amp;" · ","")&amp;IF(AND(ISNUMBER($E14),ISNUMBER($F14),$E14&gt;$F14),"Inicio posterior a fecha límite"&amp;" · ","")&amp;IF(AND($S14="Macro",$G14=""),"Peso vacío"&amp;" · ","")&amp;IF(AND($S14="Macro",$G14&lt;&gt;"",OR(NOT(ISNUMBER($G14)),$G14&lt;=0,$G14&gt;1)),"Peso fuera de rango"&amp;" · ","")&amp;IF(AND($S14="Sub",$G14&lt;&gt;""),"Las subactividades no llevan peso"&amp;" · ","")&amp;IF(AND($S14="Macro",ABS(SUMIFS($G$5:$G$1000,$P$5:$P$1000,$P14,$S$5:$S$1000,"Macro")-1)&gt;0.0001),"Pesos del mes suman "&amp;TEXT(SUMIFS($G$5:$G$1000,$P$5:$P$1000,$P14,$S$5:$S$1000,"Macro"),"0%")&amp;" · ","")&amp;IF(AND(N($T14)&gt;0,COUNT($H14:$K14)&gt;0),"Con subactividades: deje vacías las semanas (se calculan solas)"&amp;" · ","")&amp;IF((COUNTIF($H14:$K14,"&gt;1")+COUNTIF($H14:$K14,"&lt;0")+COUNTA($H14:$K14)-COUNT($H14:$K14))&gt;0,"Avance fuera de rango 0-100%"&amp;" · ","")&amp;IF(OR(AND($I14&lt;&gt;"",$I14&lt;$H14),AND($J14&lt;&gt;"",$J14&lt;MAX($H14:$I14)),AND($K14&lt;&gt;"",$K14&lt;MAX($H14:$J14))),"Avance semanal decreciente"&amp;" · ","")&amp;IF(AND(ISNUMBER($F14),$F14&lt;FechaRef,N($L14)&lt;1),"Vencida"&amp;" · ","")&amp;IF(AND(ObsObligatoria="Sí",ISNUMBER($F14),$F14&lt;FechaRef,N($L14)&lt;1,$N14=""),"Vencida sin observación"&amp;" · ",""))-3)))</f>
        <v/>
      </c>
      <c r="P14" s="69">
        <f>IF(NOT((COUNTA($B14:$K14)+COUNTA($N14))&gt;0),"",IF(AND($S14="Sub",N($R14)&gt;0),IF(ISNUMBER(INDEX($E$5:$E$1000,$R14-4)),DATE(YEAR(INDEX($E$5:$E$1000,$R14-4)),MONTH(INDEX($E$5:$E$1000,$R14-4)),1),IF(ISNUMBER(INDEX($F$5:$F$1000,$R14-4)),DATE(YEAR(INDEX($F$5:$F$1000,$R14-4)),MONTH(INDEX($F$5:$F$1000,$R14-4)),1),MesCiclo)),IF(ISNUMBER($E14),DATE(YEAR($E14),MONTH($E14),1),IF(ISNUMBER($F14),DATE(YEAR($F14),MONTH($F14),1),MesCiclo))))</f>
        <v/>
      </c>
      <c r="Q14" s="70">
        <f>IF(OR($P14="",$P14&lt;&gt;MesCiclo),"",COUNTIF($P$5:$P14,MesCiclo))</f>
        <v/>
      </c>
      <c r="R14" s="70">
        <f>IF($S14="","",IF($S14="Macro",ROW(),IFERROR(LOOKUP(2,1/($S$5:$S14="Macro"),ROW($S$5:$S14)),0)))</f>
        <v/>
      </c>
      <c r="S14" s="70">
        <f>IF(NOT((COUNTA($B14:$K14)+COUNTA($N14))&gt;0),"",IF($B14&lt;&gt;"","Macro",IF($C14&lt;&gt;"","Sub","Macro")))</f>
        <v/>
      </c>
      <c r="T14" s="70">
        <f>IF($S14="Macro",COUNTIFS($R$5:$R$1000,ROW(),$S$5:$S$1000,"Sub"),"")</f>
        <v/>
      </c>
      <c r="U14" s="70">
        <f>IF($S14="","",IF(ISNUMBER($H14),$H14,0))</f>
        <v/>
      </c>
      <c r="V14" s="70">
        <f>IF($S14="","",IF(ISNUMBER($I14),$I14,$U14))</f>
        <v/>
      </c>
      <c r="W14" s="70">
        <f>IF($S14="","",IF(ISNUMBER($J14),$J14,$V14))</f>
        <v/>
      </c>
      <c r="X14" s="70">
        <f>IF($S14="","",IF(ISNUMBER($K14),$K14,$W14))</f>
        <v/>
      </c>
      <c r="Y14" s="70">
        <f>IF($S14="","",IF(N($T14)&gt;0,AVERAGEIFS($U$5:$U$1000,$R$5:$R$1000,ROW(),$S$5:$S$1000,"Sub"),$U14))</f>
        <v/>
      </c>
      <c r="Z14" s="70">
        <f>IF($S14="","",IF(N($T14)&gt;0,AVERAGEIFS($V$5:$V$1000,$R$5:$R$1000,ROW(),$S$5:$S$1000,"Sub"),$V14))</f>
        <v/>
      </c>
      <c r="AA14" s="70">
        <f>IF($S14="","",IF(N($T14)&gt;0,AVERAGEIFS($W$5:$W$1000,$R$5:$R$1000,ROW(),$S$5:$S$1000,"Sub"),$W14))</f>
        <v/>
      </c>
      <c r="AB14" s="70">
        <f>IF($S14="","",IF(N($T14)&gt;0,AVERAGEIFS($X$5:$X$1000,$R$5:$R$1000,ROW(),$S$5:$S$1000,"Sub"),$X14))</f>
        <v/>
      </c>
    </row>
    <row r="15">
      <c r="A15" s="61">
        <f>IF(NOT((COUNTA($B15:$K15)+COUNTA($N15))&gt;0),"",IF($S15="Macro",COUNTIFS($S$5:$S15,"Macro",$P$5:$P15,$P15),IF(N($R15)=0,"?",COUNTIFS(INDEX($S$5:$S$1000,1):INDEX($S$5:$S$1000,$R15-4),"Macro",INDEX($P$5:$P$1000,1):INDEX($P$5:$P$1000,$R15-4),INDEX($P$5:$P$1000,$R15-4))&amp;"."&amp;COUNTIFS($R$5:$R15,$R15,$S$5:$S15,"Sub"))))</f>
        <v/>
      </c>
      <c r="B15" s="62" t="n"/>
      <c r="C15" s="63" t="n"/>
      <c r="D15" s="62" t="n"/>
      <c r="E15" s="64" t="n"/>
      <c r="F15" s="64" t="n"/>
      <c r="G15" s="65" t="n"/>
      <c r="H15" s="66" t="n"/>
      <c r="I15" s="66" t="n"/>
      <c r="J15" s="66" t="n"/>
      <c r="K15" s="66" t="n"/>
      <c r="L15" s="67">
        <f>IF(NOT((COUNTA($B15:$K15)+COUNTA($N15))&gt;0),"",IF(N($T15)&gt;0,$AB15,IFERROR(LOOKUP(2,1/(H15:K15&lt;&gt;""),H15:K15),0)))</f>
        <v/>
      </c>
      <c r="M15" s="61">
        <f>IF(L15="","",IF(L15&gt;=1,"Completado",IF(L15&gt;0,"En curso","Pendiente")))</f>
        <v/>
      </c>
      <c r="N15" s="62" t="n"/>
      <c r="O15" s="68">
        <f>IF(NOT((COUNTA($B15:$K15)+COUNTA($N15))&gt;0),"",IF((IF(AND($S15="Macro",$B15=""),"Macroactividad vacía"&amp;" · ","")&amp;IF(AND($B15&lt;&gt;"",$C15&lt;&gt;""),"Escriba la subactividad en otra fila, debajo de su macroactividad"&amp;" · ","")&amp;IF(AND($S15="Sub",N($R15)=0),"Subactividad sin macroactividad arriba"&amp;" · ","")&amp;IF($D15="","Sin responsable"&amp;" · ","")&amp;IF($E15="","Sin fecha de inicio"&amp;" · ","")&amp;IF($F15="","Sin fecha límite"&amp;" · ","")&amp;IF(OR(AND($E15&lt;&gt;"",NOT(ISNUMBER($E15))),AND($F15&lt;&gt;"",NOT(ISNUMBER($F15)))),"Fecha no válida"&amp;" · ","")&amp;IF(AND(ISNUMBER($E15),ISNUMBER($F15),$E15&gt;$F15),"Inicio posterior a fecha límite"&amp;" · ","")&amp;IF(AND($S15="Macro",$G15=""),"Peso vacío"&amp;" · ","")&amp;IF(AND($S15="Macro",$G15&lt;&gt;"",OR(NOT(ISNUMBER($G15)),$G15&lt;=0,$G15&gt;1)),"Peso fuera de rango"&amp;" · ","")&amp;IF(AND($S15="Sub",$G15&lt;&gt;""),"Las subactividades no llevan peso"&amp;" · ","")&amp;IF(AND($S15="Macro",ABS(SUMIFS($G$5:$G$1000,$P$5:$P$1000,$P15,$S$5:$S$1000,"Macro")-1)&gt;0.0001),"Pesos del mes suman "&amp;TEXT(SUMIFS($G$5:$G$1000,$P$5:$P$1000,$P15,$S$5:$S$1000,"Macro"),"0%")&amp;" · ","")&amp;IF(AND(N($T15)&gt;0,COUNT($H15:$K15)&gt;0),"Con subactividades: deje vacías las semanas (se calculan solas)"&amp;" · ","")&amp;IF((COUNTIF($H15:$K15,"&gt;1")+COUNTIF($H15:$K15,"&lt;0")+COUNTA($H15:$K15)-COUNT($H15:$K15))&gt;0,"Avance fuera de rango 0-100%"&amp;" · ","")&amp;IF(OR(AND($I15&lt;&gt;"",$I15&lt;$H15),AND($J15&lt;&gt;"",$J15&lt;MAX($H15:$I15)),AND($K15&lt;&gt;"",$K15&lt;MAX($H15:$J15))),"Avance semanal decreciente"&amp;" · ","")&amp;IF(AND(ISNUMBER($F15),$F15&lt;FechaRef,N($L15)&lt;1),"Vencida"&amp;" · ","")&amp;IF(AND(ObsObligatoria="Sí",ISNUMBER($F15),$F15&lt;FechaRef,N($L15)&lt;1,$N15=""),"Vencida sin observación"&amp;" · ",""))="","✔ OK","⚠ "&amp;LEFT(IF(AND($S15="Macro",$B15=""),"Macroactividad vacía"&amp;" · ","")&amp;IF(AND($B15&lt;&gt;"",$C15&lt;&gt;""),"Escriba la subactividad en otra fila, debajo de su macroactividad"&amp;" · ","")&amp;IF(AND($S15="Sub",N($R15)=0),"Subactividad sin macroactividad arriba"&amp;" · ","")&amp;IF($D15="","Sin responsable"&amp;" · ","")&amp;IF($E15="","Sin fecha de inicio"&amp;" · ","")&amp;IF($F15="","Sin fecha límite"&amp;" · ","")&amp;IF(OR(AND($E15&lt;&gt;"",NOT(ISNUMBER($E15))),AND($F15&lt;&gt;"",NOT(ISNUMBER($F15)))),"Fecha no válida"&amp;" · ","")&amp;IF(AND(ISNUMBER($E15),ISNUMBER($F15),$E15&gt;$F15),"Inicio posterior a fecha límite"&amp;" · ","")&amp;IF(AND($S15="Macro",$G15=""),"Peso vacío"&amp;" · ","")&amp;IF(AND($S15="Macro",$G15&lt;&gt;"",OR(NOT(ISNUMBER($G15)),$G15&lt;=0,$G15&gt;1)),"Peso fuera de rango"&amp;" · ","")&amp;IF(AND($S15="Sub",$G15&lt;&gt;""),"Las subactividades no llevan peso"&amp;" · ","")&amp;IF(AND($S15="Macro",ABS(SUMIFS($G$5:$G$1000,$P$5:$P$1000,$P15,$S$5:$S$1000,"Macro")-1)&gt;0.0001),"Pesos del mes suman "&amp;TEXT(SUMIFS($G$5:$G$1000,$P$5:$P$1000,$P15,$S$5:$S$1000,"Macro"),"0%")&amp;" · ","")&amp;IF(AND(N($T15)&gt;0,COUNT($H15:$K15)&gt;0),"Con subactividades: deje vacías las semanas (se calculan solas)"&amp;" · ","")&amp;IF((COUNTIF($H15:$K15,"&gt;1")+COUNTIF($H15:$K15,"&lt;0")+COUNTA($H15:$K15)-COUNT($H15:$K15))&gt;0,"Avance fuera de rango 0-100%"&amp;" · ","")&amp;IF(OR(AND($I15&lt;&gt;"",$I15&lt;$H15),AND($J15&lt;&gt;"",$J15&lt;MAX($H15:$I15)),AND($K15&lt;&gt;"",$K15&lt;MAX($H15:$J15))),"Avance semanal decreciente"&amp;" · ","")&amp;IF(AND(ISNUMBER($F15),$F15&lt;FechaRef,N($L15)&lt;1),"Vencida"&amp;" · ","")&amp;IF(AND(ObsObligatoria="Sí",ISNUMBER($F15),$F15&lt;FechaRef,N($L15)&lt;1,$N15=""),"Vencida sin observación"&amp;" · ",""),LEN(IF(AND($S15="Macro",$B15=""),"Macroactividad vacía"&amp;" · ","")&amp;IF(AND($B15&lt;&gt;"",$C15&lt;&gt;""),"Escriba la subactividad en otra fila, debajo de su macroactividad"&amp;" · ","")&amp;IF(AND($S15="Sub",N($R15)=0),"Subactividad sin macroactividad arriba"&amp;" · ","")&amp;IF($D15="","Sin responsable"&amp;" · ","")&amp;IF($E15="","Sin fecha de inicio"&amp;" · ","")&amp;IF($F15="","Sin fecha límite"&amp;" · ","")&amp;IF(OR(AND($E15&lt;&gt;"",NOT(ISNUMBER($E15))),AND($F15&lt;&gt;"",NOT(ISNUMBER($F15)))),"Fecha no válida"&amp;" · ","")&amp;IF(AND(ISNUMBER($E15),ISNUMBER($F15),$E15&gt;$F15),"Inicio posterior a fecha límite"&amp;" · ","")&amp;IF(AND($S15="Macro",$G15=""),"Peso vacío"&amp;" · ","")&amp;IF(AND($S15="Macro",$G15&lt;&gt;"",OR(NOT(ISNUMBER($G15)),$G15&lt;=0,$G15&gt;1)),"Peso fuera de rango"&amp;" · ","")&amp;IF(AND($S15="Sub",$G15&lt;&gt;""),"Las subactividades no llevan peso"&amp;" · ","")&amp;IF(AND($S15="Macro",ABS(SUMIFS($G$5:$G$1000,$P$5:$P$1000,$P15,$S$5:$S$1000,"Macro")-1)&gt;0.0001),"Pesos del mes suman "&amp;TEXT(SUMIFS($G$5:$G$1000,$P$5:$P$1000,$P15,$S$5:$S$1000,"Macro"),"0%")&amp;" · ","")&amp;IF(AND(N($T15)&gt;0,COUNT($H15:$K15)&gt;0),"Con subactividades: deje vacías las semanas (se calculan solas)"&amp;" · ","")&amp;IF((COUNTIF($H15:$K15,"&gt;1")+COUNTIF($H15:$K15,"&lt;0")+COUNTA($H15:$K15)-COUNT($H15:$K15))&gt;0,"Avance fuera de rango 0-100%"&amp;" · ","")&amp;IF(OR(AND($I15&lt;&gt;"",$I15&lt;$H15),AND($J15&lt;&gt;"",$J15&lt;MAX($H15:$I15)),AND($K15&lt;&gt;"",$K15&lt;MAX($H15:$J15))),"Avance semanal decreciente"&amp;" · ","")&amp;IF(AND(ISNUMBER($F15),$F15&lt;FechaRef,N($L15)&lt;1),"Vencida"&amp;" · ","")&amp;IF(AND(ObsObligatoria="Sí",ISNUMBER($F15),$F15&lt;FechaRef,N($L15)&lt;1,$N15=""),"Vencida sin observación"&amp;" · ",""))-3)))</f>
        <v/>
      </c>
      <c r="P15" s="69">
        <f>IF(NOT((COUNTA($B15:$K15)+COUNTA($N15))&gt;0),"",IF(AND($S15="Sub",N($R15)&gt;0),IF(ISNUMBER(INDEX($E$5:$E$1000,$R15-4)),DATE(YEAR(INDEX($E$5:$E$1000,$R15-4)),MONTH(INDEX($E$5:$E$1000,$R15-4)),1),IF(ISNUMBER(INDEX($F$5:$F$1000,$R15-4)),DATE(YEAR(INDEX($F$5:$F$1000,$R15-4)),MONTH(INDEX($F$5:$F$1000,$R15-4)),1),MesCiclo)),IF(ISNUMBER($E15),DATE(YEAR($E15),MONTH($E15),1),IF(ISNUMBER($F15),DATE(YEAR($F15),MONTH($F15),1),MesCiclo))))</f>
        <v/>
      </c>
      <c r="Q15" s="70">
        <f>IF(OR($P15="",$P15&lt;&gt;MesCiclo),"",COUNTIF($P$5:$P15,MesCiclo))</f>
        <v/>
      </c>
      <c r="R15" s="70">
        <f>IF($S15="","",IF($S15="Macro",ROW(),IFERROR(LOOKUP(2,1/($S$5:$S15="Macro"),ROW($S$5:$S15)),0)))</f>
        <v/>
      </c>
      <c r="S15" s="70">
        <f>IF(NOT((COUNTA($B15:$K15)+COUNTA($N15))&gt;0),"",IF($B15&lt;&gt;"","Macro",IF($C15&lt;&gt;"","Sub","Macro")))</f>
        <v/>
      </c>
      <c r="T15" s="70">
        <f>IF($S15="Macro",COUNTIFS($R$5:$R$1000,ROW(),$S$5:$S$1000,"Sub"),"")</f>
        <v/>
      </c>
      <c r="U15" s="70">
        <f>IF($S15="","",IF(ISNUMBER($H15),$H15,0))</f>
        <v/>
      </c>
      <c r="V15" s="70">
        <f>IF($S15="","",IF(ISNUMBER($I15),$I15,$U15))</f>
        <v/>
      </c>
      <c r="W15" s="70">
        <f>IF($S15="","",IF(ISNUMBER($J15),$J15,$V15))</f>
        <v/>
      </c>
      <c r="X15" s="70">
        <f>IF($S15="","",IF(ISNUMBER($K15),$K15,$W15))</f>
        <v/>
      </c>
      <c r="Y15" s="70">
        <f>IF($S15="","",IF(N($T15)&gt;0,AVERAGEIFS($U$5:$U$1000,$R$5:$R$1000,ROW(),$S$5:$S$1000,"Sub"),$U15))</f>
        <v/>
      </c>
      <c r="Z15" s="70">
        <f>IF($S15="","",IF(N($T15)&gt;0,AVERAGEIFS($V$5:$V$1000,$R$5:$R$1000,ROW(),$S$5:$S$1000,"Sub"),$V15))</f>
        <v/>
      </c>
      <c r="AA15" s="70">
        <f>IF($S15="","",IF(N($T15)&gt;0,AVERAGEIFS($W$5:$W$1000,$R$5:$R$1000,ROW(),$S$5:$S$1000,"Sub"),$W15))</f>
        <v/>
      </c>
      <c r="AB15" s="70">
        <f>IF($S15="","",IF(N($T15)&gt;0,AVERAGEIFS($X$5:$X$1000,$R$5:$R$1000,ROW(),$S$5:$S$1000,"Sub"),$X15))</f>
        <v/>
      </c>
    </row>
    <row r="16">
      <c r="A16" s="61">
        <f>IF(NOT((COUNTA($B16:$K16)+COUNTA($N16))&gt;0),"",IF($S16="Macro",COUNTIFS($S$5:$S16,"Macro",$P$5:$P16,$P16),IF(N($R16)=0,"?",COUNTIFS(INDEX($S$5:$S$1000,1):INDEX($S$5:$S$1000,$R16-4),"Macro",INDEX($P$5:$P$1000,1):INDEX($P$5:$P$1000,$R16-4),INDEX($P$5:$P$1000,$R16-4))&amp;"."&amp;COUNTIFS($R$5:$R16,$R16,$S$5:$S16,"Sub"))))</f>
        <v/>
      </c>
      <c r="B16" s="62" t="n"/>
      <c r="C16" s="63" t="n"/>
      <c r="D16" s="62" t="n"/>
      <c r="E16" s="64" t="n"/>
      <c r="F16" s="64" t="n"/>
      <c r="G16" s="65" t="n"/>
      <c r="H16" s="66" t="n"/>
      <c r="I16" s="66" t="n"/>
      <c r="J16" s="66" t="n"/>
      <c r="K16" s="66" t="n"/>
      <c r="L16" s="67">
        <f>IF(NOT((COUNTA($B16:$K16)+COUNTA($N16))&gt;0),"",IF(N($T16)&gt;0,$AB16,IFERROR(LOOKUP(2,1/(H16:K16&lt;&gt;""),H16:K16),0)))</f>
        <v/>
      </c>
      <c r="M16" s="61">
        <f>IF(L16="","",IF(L16&gt;=1,"Completado",IF(L16&gt;0,"En curso","Pendiente")))</f>
        <v/>
      </c>
      <c r="N16" s="62" t="n"/>
      <c r="O16" s="68">
        <f>IF(NOT((COUNTA($B16:$K16)+COUNTA($N16))&gt;0),"",IF((IF(AND($S16="Macro",$B16=""),"Macroactividad vacía"&amp;" · ","")&amp;IF(AND($B16&lt;&gt;"",$C16&lt;&gt;""),"Escriba la subactividad en otra fila, debajo de su macroactividad"&amp;" · ","")&amp;IF(AND($S16="Sub",N($R16)=0),"Subactividad sin macroactividad arriba"&amp;" · ","")&amp;IF($D16="","Sin responsable"&amp;" · ","")&amp;IF($E16="","Sin fecha de inicio"&amp;" · ","")&amp;IF($F16="","Sin fecha límite"&amp;" · ","")&amp;IF(OR(AND($E16&lt;&gt;"",NOT(ISNUMBER($E16))),AND($F16&lt;&gt;"",NOT(ISNUMBER($F16)))),"Fecha no válida"&amp;" · ","")&amp;IF(AND(ISNUMBER($E16),ISNUMBER($F16),$E16&gt;$F16),"Inicio posterior a fecha límite"&amp;" · ","")&amp;IF(AND($S16="Macro",$G16=""),"Peso vacío"&amp;" · ","")&amp;IF(AND($S16="Macro",$G16&lt;&gt;"",OR(NOT(ISNUMBER($G16)),$G16&lt;=0,$G16&gt;1)),"Peso fuera de rango"&amp;" · ","")&amp;IF(AND($S16="Sub",$G16&lt;&gt;""),"Las subactividades no llevan peso"&amp;" · ","")&amp;IF(AND($S16="Macro",ABS(SUMIFS($G$5:$G$1000,$P$5:$P$1000,$P16,$S$5:$S$1000,"Macro")-1)&gt;0.0001),"Pesos del mes suman "&amp;TEXT(SUMIFS($G$5:$G$1000,$P$5:$P$1000,$P16,$S$5:$S$1000,"Macro"),"0%")&amp;" · ","")&amp;IF(AND(N($T16)&gt;0,COUNT($H16:$K16)&gt;0),"Con subactividades: deje vacías las semanas (se calculan solas)"&amp;" · ","")&amp;IF((COUNTIF($H16:$K16,"&gt;1")+COUNTIF($H16:$K16,"&lt;0")+COUNTA($H16:$K16)-COUNT($H16:$K16))&gt;0,"Avance fuera de rango 0-100%"&amp;" · ","")&amp;IF(OR(AND($I16&lt;&gt;"",$I16&lt;$H16),AND($J16&lt;&gt;"",$J16&lt;MAX($H16:$I16)),AND($K16&lt;&gt;"",$K16&lt;MAX($H16:$J16))),"Avance semanal decreciente"&amp;" · ","")&amp;IF(AND(ISNUMBER($F16),$F16&lt;FechaRef,N($L16)&lt;1),"Vencida"&amp;" · ","")&amp;IF(AND(ObsObligatoria="Sí",ISNUMBER($F16),$F16&lt;FechaRef,N($L16)&lt;1,$N16=""),"Vencida sin observación"&amp;" · ",""))="","✔ OK","⚠ "&amp;LEFT(IF(AND($S16="Macro",$B16=""),"Macroactividad vacía"&amp;" · ","")&amp;IF(AND($B16&lt;&gt;"",$C16&lt;&gt;""),"Escriba la subactividad en otra fila, debajo de su macroactividad"&amp;" · ","")&amp;IF(AND($S16="Sub",N($R16)=0),"Subactividad sin macroactividad arriba"&amp;" · ","")&amp;IF($D16="","Sin responsable"&amp;" · ","")&amp;IF($E16="","Sin fecha de inicio"&amp;" · ","")&amp;IF($F16="","Sin fecha límite"&amp;" · ","")&amp;IF(OR(AND($E16&lt;&gt;"",NOT(ISNUMBER($E16))),AND($F16&lt;&gt;"",NOT(ISNUMBER($F16)))),"Fecha no válida"&amp;" · ","")&amp;IF(AND(ISNUMBER($E16),ISNUMBER($F16),$E16&gt;$F16),"Inicio posterior a fecha límite"&amp;" · ","")&amp;IF(AND($S16="Macro",$G16=""),"Peso vacío"&amp;" · ","")&amp;IF(AND($S16="Macro",$G16&lt;&gt;"",OR(NOT(ISNUMBER($G16)),$G16&lt;=0,$G16&gt;1)),"Peso fuera de rango"&amp;" · ","")&amp;IF(AND($S16="Sub",$G16&lt;&gt;""),"Las subactividades no llevan peso"&amp;" · ","")&amp;IF(AND($S16="Macro",ABS(SUMIFS($G$5:$G$1000,$P$5:$P$1000,$P16,$S$5:$S$1000,"Macro")-1)&gt;0.0001),"Pesos del mes suman "&amp;TEXT(SUMIFS($G$5:$G$1000,$P$5:$P$1000,$P16,$S$5:$S$1000,"Macro"),"0%")&amp;" · ","")&amp;IF(AND(N($T16)&gt;0,COUNT($H16:$K16)&gt;0),"Con subactividades: deje vacías las semanas (se calculan solas)"&amp;" · ","")&amp;IF((COUNTIF($H16:$K16,"&gt;1")+COUNTIF($H16:$K16,"&lt;0")+COUNTA($H16:$K16)-COUNT($H16:$K16))&gt;0,"Avance fuera de rango 0-100%"&amp;" · ","")&amp;IF(OR(AND($I16&lt;&gt;"",$I16&lt;$H16),AND($J16&lt;&gt;"",$J16&lt;MAX($H16:$I16)),AND($K16&lt;&gt;"",$K16&lt;MAX($H16:$J16))),"Avance semanal decreciente"&amp;" · ","")&amp;IF(AND(ISNUMBER($F16),$F16&lt;FechaRef,N($L16)&lt;1),"Vencida"&amp;" · ","")&amp;IF(AND(ObsObligatoria="Sí",ISNUMBER($F16),$F16&lt;FechaRef,N($L16)&lt;1,$N16=""),"Vencida sin observación"&amp;" · ",""),LEN(IF(AND($S16="Macro",$B16=""),"Macroactividad vacía"&amp;" · ","")&amp;IF(AND($B16&lt;&gt;"",$C16&lt;&gt;""),"Escriba la subactividad en otra fila, debajo de su macroactividad"&amp;" · ","")&amp;IF(AND($S16="Sub",N($R16)=0),"Subactividad sin macroactividad arriba"&amp;" · ","")&amp;IF($D16="","Sin responsable"&amp;" · ","")&amp;IF($E16="","Sin fecha de inicio"&amp;" · ","")&amp;IF($F16="","Sin fecha límite"&amp;" · ","")&amp;IF(OR(AND($E16&lt;&gt;"",NOT(ISNUMBER($E16))),AND($F16&lt;&gt;"",NOT(ISNUMBER($F16)))),"Fecha no válida"&amp;" · ","")&amp;IF(AND(ISNUMBER($E16),ISNUMBER($F16),$E16&gt;$F16),"Inicio posterior a fecha límite"&amp;" · ","")&amp;IF(AND($S16="Macro",$G16=""),"Peso vacío"&amp;" · ","")&amp;IF(AND($S16="Macro",$G16&lt;&gt;"",OR(NOT(ISNUMBER($G16)),$G16&lt;=0,$G16&gt;1)),"Peso fuera de rango"&amp;" · ","")&amp;IF(AND($S16="Sub",$G16&lt;&gt;""),"Las subactividades no llevan peso"&amp;" · ","")&amp;IF(AND($S16="Macro",ABS(SUMIFS($G$5:$G$1000,$P$5:$P$1000,$P16,$S$5:$S$1000,"Macro")-1)&gt;0.0001),"Pesos del mes suman "&amp;TEXT(SUMIFS($G$5:$G$1000,$P$5:$P$1000,$P16,$S$5:$S$1000,"Macro"),"0%")&amp;" · ","")&amp;IF(AND(N($T16)&gt;0,COUNT($H16:$K16)&gt;0),"Con subactividades: deje vacías las semanas (se calculan solas)"&amp;" · ","")&amp;IF((COUNTIF($H16:$K16,"&gt;1")+COUNTIF($H16:$K16,"&lt;0")+COUNTA($H16:$K16)-COUNT($H16:$K16))&gt;0,"Avance fuera de rango 0-100%"&amp;" · ","")&amp;IF(OR(AND($I16&lt;&gt;"",$I16&lt;$H16),AND($J16&lt;&gt;"",$J16&lt;MAX($H16:$I16)),AND($K16&lt;&gt;"",$K16&lt;MAX($H16:$J16))),"Avance semanal decreciente"&amp;" · ","")&amp;IF(AND(ISNUMBER($F16),$F16&lt;FechaRef,N($L16)&lt;1),"Vencida"&amp;" · ","")&amp;IF(AND(ObsObligatoria="Sí",ISNUMBER($F16),$F16&lt;FechaRef,N($L16)&lt;1,$N16=""),"Vencida sin observación"&amp;" · ",""))-3)))</f>
        <v/>
      </c>
      <c r="P16" s="69">
        <f>IF(NOT((COUNTA($B16:$K16)+COUNTA($N16))&gt;0),"",IF(AND($S16="Sub",N($R16)&gt;0),IF(ISNUMBER(INDEX($E$5:$E$1000,$R16-4)),DATE(YEAR(INDEX($E$5:$E$1000,$R16-4)),MONTH(INDEX($E$5:$E$1000,$R16-4)),1),IF(ISNUMBER(INDEX($F$5:$F$1000,$R16-4)),DATE(YEAR(INDEX($F$5:$F$1000,$R16-4)),MONTH(INDEX($F$5:$F$1000,$R16-4)),1),MesCiclo)),IF(ISNUMBER($E16),DATE(YEAR($E16),MONTH($E16),1),IF(ISNUMBER($F16),DATE(YEAR($F16),MONTH($F16),1),MesCiclo))))</f>
        <v/>
      </c>
      <c r="Q16" s="70">
        <f>IF(OR($P16="",$P16&lt;&gt;MesCiclo),"",COUNTIF($P$5:$P16,MesCiclo))</f>
        <v/>
      </c>
      <c r="R16" s="70">
        <f>IF($S16="","",IF($S16="Macro",ROW(),IFERROR(LOOKUP(2,1/($S$5:$S16="Macro"),ROW($S$5:$S16)),0)))</f>
        <v/>
      </c>
      <c r="S16" s="70">
        <f>IF(NOT((COUNTA($B16:$K16)+COUNTA($N16))&gt;0),"",IF($B16&lt;&gt;"","Macro",IF($C16&lt;&gt;"","Sub","Macro")))</f>
        <v/>
      </c>
      <c r="T16" s="70">
        <f>IF($S16="Macro",COUNTIFS($R$5:$R$1000,ROW(),$S$5:$S$1000,"Sub"),"")</f>
        <v/>
      </c>
      <c r="U16" s="70">
        <f>IF($S16="","",IF(ISNUMBER($H16),$H16,0))</f>
        <v/>
      </c>
      <c r="V16" s="70">
        <f>IF($S16="","",IF(ISNUMBER($I16),$I16,$U16))</f>
        <v/>
      </c>
      <c r="W16" s="70">
        <f>IF($S16="","",IF(ISNUMBER($J16),$J16,$V16))</f>
        <v/>
      </c>
      <c r="X16" s="70">
        <f>IF($S16="","",IF(ISNUMBER($K16),$K16,$W16))</f>
        <v/>
      </c>
      <c r="Y16" s="70">
        <f>IF($S16="","",IF(N($T16)&gt;0,AVERAGEIFS($U$5:$U$1000,$R$5:$R$1000,ROW(),$S$5:$S$1000,"Sub"),$U16))</f>
        <v/>
      </c>
      <c r="Z16" s="70">
        <f>IF($S16="","",IF(N($T16)&gt;0,AVERAGEIFS($V$5:$V$1000,$R$5:$R$1000,ROW(),$S$5:$S$1000,"Sub"),$V16))</f>
        <v/>
      </c>
      <c r="AA16" s="70">
        <f>IF($S16="","",IF(N($T16)&gt;0,AVERAGEIFS($W$5:$W$1000,$R$5:$R$1000,ROW(),$S$5:$S$1000,"Sub"),$W16))</f>
        <v/>
      </c>
      <c r="AB16" s="70">
        <f>IF($S16="","",IF(N($T16)&gt;0,AVERAGEIFS($X$5:$X$1000,$R$5:$R$1000,ROW(),$S$5:$S$1000,"Sub"),$X16))</f>
        <v/>
      </c>
    </row>
    <row r="17">
      <c r="A17" s="61">
        <f>IF(NOT((COUNTA($B17:$K17)+COUNTA($N17))&gt;0),"",IF($S17="Macro",COUNTIFS($S$5:$S17,"Macro",$P$5:$P17,$P17),IF(N($R17)=0,"?",COUNTIFS(INDEX($S$5:$S$1000,1):INDEX($S$5:$S$1000,$R17-4),"Macro",INDEX($P$5:$P$1000,1):INDEX($P$5:$P$1000,$R17-4),INDEX($P$5:$P$1000,$R17-4))&amp;"."&amp;COUNTIFS($R$5:$R17,$R17,$S$5:$S17,"Sub"))))</f>
        <v/>
      </c>
      <c r="B17" s="62" t="n"/>
      <c r="C17" s="63" t="n"/>
      <c r="D17" s="62" t="n"/>
      <c r="E17" s="64" t="n"/>
      <c r="F17" s="64" t="n"/>
      <c r="G17" s="65" t="n"/>
      <c r="H17" s="66" t="n"/>
      <c r="I17" s="66" t="n"/>
      <c r="J17" s="66" t="n"/>
      <c r="K17" s="66" t="n"/>
      <c r="L17" s="67">
        <f>IF(NOT((COUNTA($B17:$K17)+COUNTA($N17))&gt;0),"",IF(N($T17)&gt;0,$AB17,IFERROR(LOOKUP(2,1/(H17:K17&lt;&gt;""),H17:K17),0)))</f>
        <v/>
      </c>
      <c r="M17" s="61">
        <f>IF(L17="","",IF(L17&gt;=1,"Completado",IF(L17&gt;0,"En curso","Pendiente")))</f>
        <v/>
      </c>
      <c r="N17" s="62" t="n"/>
      <c r="O17" s="68">
        <f>IF(NOT((COUNTA($B17:$K17)+COUNTA($N17))&gt;0),"",IF((IF(AND($S17="Macro",$B17=""),"Macroactividad vacía"&amp;" · ","")&amp;IF(AND($B17&lt;&gt;"",$C17&lt;&gt;""),"Escriba la subactividad en otra fila, debajo de su macroactividad"&amp;" · ","")&amp;IF(AND($S17="Sub",N($R17)=0),"Subactividad sin macroactividad arriba"&amp;" · ","")&amp;IF($D17="","Sin responsable"&amp;" · ","")&amp;IF($E17="","Sin fecha de inicio"&amp;" · ","")&amp;IF($F17="","Sin fecha límite"&amp;" · ","")&amp;IF(OR(AND($E17&lt;&gt;"",NOT(ISNUMBER($E17))),AND($F17&lt;&gt;"",NOT(ISNUMBER($F17)))),"Fecha no válida"&amp;" · ","")&amp;IF(AND(ISNUMBER($E17),ISNUMBER($F17),$E17&gt;$F17),"Inicio posterior a fecha límite"&amp;" · ","")&amp;IF(AND($S17="Macro",$G17=""),"Peso vacío"&amp;" · ","")&amp;IF(AND($S17="Macro",$G17&lt;&gt;"",OR(NOT(ISNUMBER($G17)),$G17&lt;=0,$G17&gt;1)),"Peso fuera de rango"&amp;" · ","")&amp;IF(AND($S17="Sub",$G17&lt;&gt;""),"Las subactividades no llevan peso"&amp;" · ","")&amp;IF(AND($S17="Macro",ABS(SUMIFS($G$5:$G$1000,$P$5:$P$1000,$P17,$S$5:$S$1000,"Macro")-1)&gt;0.0001),"Pesos del mes suman "&amp;TEXT(SUMIFS($G$5:$G$1000,$P$5:$P$1000,$P17,$S$5:$S$1000,"Macro"),"0%")&amp;" · ","")&amp;IF(AND(N($T17)&gt;0,COUNT($H17:$K17)&gt;0),"Con subactividades: deje vacías las semanas (se calculan solas)"&amp;" · ","")&amp;IF((COUNTIF($H17:$K17,"&gt;1")+COUNTIF($H17:$K17,"&lt;0")+COUNTA($H17:$K17)-COUNT($H17:$K17))&gt;0,"Avance fuera de rango 0-100%"&amp;" · ","")&amp;IF(OR(AND($I17&lt;&gt;"",$I17&lt;$H17),AND($J17&lt;&gt;"",$J17&lt;MAX($H17:$I17)),AND($K17&lt;&gt;"",$K17&lt;MAX($H17:$J17))),"Avance semanal decreciente"&amp;" · ","")&amp;IF(AND(ISNUMBER($F17),$F17&lt;FechaRef,N($L17)&lt;1),"Vencida"&amp;" · ","")&amp;IF(AND(ObsObligatoria="Sí",ISNUMBER($F17),$F17&lt;FechaRef,N($L17)&lt;1,$N17=""),"Vencida sin observación"&amp;" · ",""))="","✔ OK","⚠ "&amp;LEFT(IF(AND($S17="Macro",$B17=""),"Macroactividad vacía"&amp;" · ","")&amp;IF(AND($B17&lt;&gt;"",$C17&lt;&gt;""),"Escriba la subactividad en otra fila, debajo de su macroactividad"&amp;" · ","")&amp;IF(AND($S17="Sub",N($R17)=0),"Subactividad sin macroactividad arriba"&amp;" · ","")&amp;IF($D17="","Sin responsable"&amp;" · ","")&amp;IF($E17="","Sin fecha de inicio"&amp;" · ","")&amp;IF($F17="","Sin fecha límite"&amp;" · ","")&amp;IF(OR(AND($E17&lt;&gt;"",NOT(ISNUMBER($E17))),AND($F17&lt;&gt;"",NOT(ISNUMBER($F17)))),"Fecha no válida"&amp;" · ","")&amp;IF(AND(ISNUMBER($E17),ISNUMBER($F17),$E17&gt;$F17),"Inicio posterior a fecha límite"&amp;" · ","")&amp;IF(AND($S17="Macro",$G17=""),"Peso vacío"&amp;" · ","")&amp;IF(AND($S17="Macro",$G17&lt;&gt;"",OR(NOT(ISNUMBER($G17)),$G17&lt;=0,$G17&gt;1)),"Peso fuera de rango"&amp;" · ","")&amp;IF(AND($S17="Sub",$G17&lt;&gt;""),"Las subactividades no llevan peso"&amp;" · ","")&amp;IF(AND($S17="Macro",ABS(SUMIFS($G$5:$G$1000,$P$5:$P$1000,$P17,$S$5:$S$1000,"Macro")-1)&gt;0.0001),"Pesos del mes suman "&amp;TEXT(SUMIFS($G$5:$G$1000,$P$5:$P$1000,$P17,$S$5:$S$1000,"Macro"),"0%")&amp;" · ","")&amp;IF(AND(N($T17)&gt;0,COUNT($H17:$K17)&gt;0),"Con subactividades: deje vacías las semanas (se calculan solas)"&amp;" · ","")&amp;IF((COUNTIF($H17:$K17,"&gt;1")+COUNTIF($H17:$K17,"&lt;0")+COUNTA($H17:$K17)-COUNT($H17:$K17))&gt;0,"Avance fuera de rango 0-100%"&amp;" · ","")&amp;IF(OR(AND($I17&lt;&gt;"",$I17&lt;$H17),AND($J17&lt;&gt;"",$J17&lt;MAX($H17:$I17)),AND($K17&lt;&gt;"",$K17&lt;MAX($H17:$J17))),"Avance semanal decreciente"&amp;" · ","")&amp;IF(AND(ISNUMBER($F17),$F17&lt;FechaRef,N($L17)&lt;1),"Vencida"&amp;" · ","")&amp;IF(AND(ObsObligatoria="Sí",ISNUMBER($F17),$F17&lt;FechaRef,N($L17)&lt;1,$N17=""),"Vencida sin observación"&amp;" · ",""),LEN(IF(AND($S17="Macro",$B17=""),"Macroactividad vacía"&amp;" · ","")&amp;IF(AND($B17&lt;&gt;"",$C17&lt;&gt;""),"Escriba la subactividad en otra fila, debajo de su macroactividad"&amp;" · ","")&amp;IF(AND($S17="Sub",N($R17)=0),"Subactividad sin macroactividad arriba"&amp;" · ","")&amp;IF($D17="","Sin responsable"&amp;" · ","")&amp;IF($E17="","Sin fecha de inicio"&amp;" · ","")&amp;IF($F17="","Sin fecha límite"&amp;" · ","")&amp;IF(OR(AND($E17&lt;&gt;"",NOT(ISNUMBER($E17))),AND($F17&lt;&gt;"",NOT(ISNUMBER($F17)))),"Fecha no válida"&amp;" · ","")&amp;IF(AND(ISNUMBER($E17),ISNUMBER($F17),$E17&gt;$F17),"Inicio posterior a fecha límite"&amp;" · ","")&amp;IF(AND($S17="Macro",$G17=""),"Peso vacío"&amp;" · ","")&amp;IF(AND($S17="Macro",$G17&lt;&gt;"",OR(NOT(ISNUMBER($G17)),$G17&lt;=0,$G17&gt;1)),"Peso fuera de rango"&amp;" · ","")&amp;IF(AND($S17="Sub",$G17&lt;&gt;""),"Las subactividades no llevan peso"&amp;" · ","")&amp;IF(AND($S17="Macro",ABS(SUMIFS($G$5:$G$1000,$P$5:$P$1000,$P17,$S$5:$S$1000,"Macro")-1)&gt;0.0001),"Pesos del mes suman "&amp;TEXT(SUMIFS($G$5:$G$1000,$P$5:$P$1000,$P17,$S$5:$S$1000,"Macro"),"0%")&amp;" · ","")&amp;IF(AND(N($T17)&gt;0,COUNT($H17:$K17)&gt;0),"Con subactividades: deje vacías las semanas (se calculan solas)"&amp;" · ","")&amp;IF((COUNTIF($H17:$K17,"&gt;1")+COUNTIF($H17:$K17,"&lt;0")+COUNTA($H17:$K17)-COUNT($H17:$K17))&gt;0,"Avance fuera de rango 0-100%"&amp;" · ","")&amp;IF(OR(AND($I17&lt;&gt;"",$I17&lt;$H17),AND($J17&lt;&gt;"",$J17&lt;MAX($H17:$I17)),AND($K17&lt;&gt;"",$K17&lt;MAX($H17:$J17))),"Avance semanal decreciente"&amp;" · ","")&amp;IF(AND(ISNUMBER($F17),$F17&lt;FechaRef,N($L17)&lt;1),"Vencida"&amp;" · ","")&amp;IF(AND(ObsObligatoria="Sí",ISNUMBER($F17),$F17&lt;FechaRef,N($L17)&lt;1,$N17=""),"Vencida sin observación"&amp;" · ",""))-3)))</f>
        <v/>
      </c>
      <c r="P17" s="69">
        <f>IF(NOT((COUNTA($B17:$K17)+COUNTA($N17))&gt;0),"",IF(AND($S17="Sub",N($R17)&gt;0),IF(ISNUMBER(INDEX($E$5:$E$1000,$R17-4)),DATE(YEAR(INDEX($E$5:$E$1000,$R17-4)),MONTH(INDEX($E$5:$E$1000,$R17-4)),1),IF(ISNUMBER(INDEX($F$5:$F$1000,$R17-4)),DATE(YEAR(INDEX($F$5:$F$1000,$R17-4)),MONTH(INDEX($F$5:$F$1000,$R17-4)),1),MesCiclo)),IF(ISNUMBER($E17),DATE(YEAR($E17),MONTH($E17),1),IF(ISNUMBER($F17),DATE(YEAR($F17),MONTH($F17),1),MesCiclo))))</f>
        <v/>
      </c>
      <c r="Q17" s="70">
        <f>IF(OR($P17="",$P17&lt;&gt;MesCiclo),"",COUNTIF($P$5:$P17,MesCiclo))</f>
        <v/>
      </c>
      <c r="R17" s="70">
        <f>IF($S17="","",IF($S17="Macro",ROW(),IFERROR(LOOKUP(2,1/($S$5:$S17="Macro"),ROW($S$5:$S17)),0)))</f>
        <v/>
      </c>
      <c r="S17" s="70">
        <f>IF(NOT((COUNTA($B17:$K17)+COUNTA($N17))&gt;0),"",IF($B17&lt;&gt;"","Macro",IF($C17&lt;&gt;"","Sub","Macro")))</f>
        <v/>
      </c>
      <c r="T17" s="70">
        <f>IF($S17="Macro",COUNTIFS($R$5:$R$1000,ROW(),$S$5:$S$1000,"Sub"),"")</f>
        <v/>
      </c>
      <c r="U17" s="70">
        <f>IF($S17="","",IF(ISNUMBER($H17),$H17,0))</f>
        <v/>
      </c>
      <c r="V17" s="70">
        <f>IF($S17="","",IF(ISNUMBER($I17),$I17,$U17))</f>
        <v/>
      </c>
      <c r="W17" s="70">
        <f>IF($S17="","",IF(ISNUMBER($J17),$J17,$V17))</f>
        <v/>
      </c>
      <c r="X17" s="70">
        <f>IF($S17="","",IF(ISNUMBER($K17),$K17,$W17))</f>
        <v/>
      </c>
      <c r="Y17" s="70">
        <f>IF($S17="","",IF(N($T17)&gt;0,AVERAGEIFS($U$5:$U$1000,$R$5:$R$1000,ROW(),$S$5:$S$1000,"Sub"),$U17))</f>
        <v/>
      </c>
      <c r="Z17" s="70">
        <f>IF($S17="","",IF(N($T17)&gt;0,AVERAGEIFS($V$5:$V$1000,$R$5:$R$1000,ROW(),$S$5:$S$1000,"Sub"),$V17))</f>
        <v/>
      </c>
      <c r="AA17" s="70">
        <f>IF($S17="","",IF(N($T17)&gt;0,AVERAGEIFS($W$5:$W$1000,$R$5:$R$1000,ROW(),$S$5:$S$1000,"Sub"),$W17))</f>
        <v/>
      </c>
      <c r="AB17" s="70">
        <f>IF($S17="","",IF(N($T17)&gt;0,AVERAGEIFS($X$5:$X$1000,$R$5:$R$1000,ROW(),$S$5:$S$1000,"Sub"),$X17))</f>
        <v/>
      </c>
    </row>
    <row r="18">
      <c r="A18" s="61">
        <f>IF(NOT((COUNTA($B18:$K18)+COUNTA($N18))&gt;0),"",IF($S18="Macro",COUNTIFS($S$5:$S18,"Macro",$P$5:$P18,$P18),IF(N($R18)=0,"?",COUNTIFS(INDEX($S$5:$S$1000,1):INDEX($S$5:$S$1000,$R18-4),"Macro",INDEX($P$5:$P$1000,1):INDEX($P$5:$P$1000,$R18-4),INDEX($P$5:$P$1000,$R18-4))&amp;"."&amp;COUNTIFS($R$5:$R18,$R18,$S$5:$S18,"Sub"))))</f>
        <v/>
      </c>
      <c r="B18" s="62" t="n"/>
      <c r="C18" s="63" t="n"/>
      <c r="D18" s="62" t="n"/>
      <c r="E18" s="64" t="n"/>
      <c r="F18" s="64" t="n"/>
      <c r="G18" s="65" t="n"/>
      <c r="H18" s="66" t="n"/>
      <c r="I18" s="66" t="n"/>
      <c r="J18" s="66" t="n"/>
      <c r="K18" s="66" t="n"/>
      <c r="L18" s="67">
        <f>IF(NOT((COUNTA($B18:$K18)+COUNTA($N18))&gt;0),"",IF(N($T18)&gt;0,$AB18,IFERROR(LOOKUP(2,1/(H18:K18&lt;&gt;""),H18:K18),0)))</f>
        <v/>
      </c>
      <c r="M18" s="61">
        <f>IF(L18="","",IF(L18&gt;=1,"Completado",IF(L18&gt;0,"En curso","Pendiente")))</f>
        <v/>
      </c>
      <c r="N18" s="62" t="n"/>
      <c r="O18" s="68">
        <f>IF(NOT((COUNTA($B18:$K18)+COUNTA($N18))&gt;0),"",IF((IF(AND($S18="Macro",$B18=""),"Macroactividad vacía"&amp;" · ","")&amp;IF(AND($B18&lt;&gt;"",$C18&lt;&gt;""),"Escriba la subactividad en otra fila, debajo de su macroactividad"&amp;" · ","")&amp;IF(AND($S18="Sub",N($R18)=0),"Subactividad sin macroactividad arriba"&amp;" · ","")&amp;IF($D18="","Sin responsable"&amp;" · ","")&amp;IF($E18="","Sin fecha de inicio"&amp;" · ","")&amp;IF($F18="","Sin fecha límite"&amp;" · ","")&amp;IF(OR(AND($E18&lt;&gt;"",NOT(ISNUMBER($E18))),AND($F18&lt;&gt;"",NOT(ISNUMBER($F18)))),"Fecha no válida"&amp;" · ","")&amp;IF(AND(ISNUMBER($E18),ISNUMBER($F18),$E18&gt;$F18),"Inicio posterior a fecha límite"&amp;" · ","")&amp;IF(AND($S18="Macro",$G18=""),"Peso vacío"&amp;" · ","")&amp;IF(AND($S18="Macro",$G18&lt;&gt;"",OR(NOT(ISNUMBER($G18)),$G18&lt;=0,$G18&gt;1)),"Peso fuera de rango"&amp;" · ","")&amp;IF(AND($S18="Sub",$G18&lt;&gt;""),"Las subactividades no llevan peso"&amp;" · ","")&amp;IF(AND($S18="Macro",ABS(SUMIFS($G$5:$G$1000,$P$5:$P$1000,$P18,$S$5:$S$1000,"Macro")-1)&gt;0.0001),"Pesos del mes suman "&amp;TEXT(SUMIFS($G$5:$G$1000,$P$5:$P$1000,$P18,$S$5:$S$1000,"Macro"),"0%")&amp;" · ","")&amp;IF(AND(N($T18)&gt;0,COUNT($H18:$K18)&gt;0),"Con subactividades: deje vacías las semanas (se calculan solas)"&amp;" · ","")&amp;IF((COUNTIF($H18:$K18,"&gt;1")+COUNTIF($H18:$K18,"&lt;0")+COUNTA($H18:$K18)-COUNT($H18:$K18))&gt;0,"Avance fuera de rango 0-100%"&amp;" · ","")&amp;IF(OR(AND($I18&lt;&gt;"",$I18&lt;$H18),AND($J18&lt;&gt;"",$J18&lt;MAX($H18:$I18)),AND($K18&lt;&gt;"",$K18&lt;MAX($H18:$J18))),"Avance semanal decreciente"&amp;" · ","")&amp;IF(AND(ISNUMBER($F18),$F18&lt;FechaRef,N($L18)&lt;1),"Vencida"&amp;" · ","")&amp;IF(AND(ObsObligatoria="Sí",ISNUMBER($F18),$F18&lt;FechaRef,N($L18)&lt;1,$N18=""),"Vencida sin observación"&amp;" · ",""))="","✔ OK","⚠ "&amp;LEFT(IF(AND($S18="Macro",$B18=""),"Macroactividad vacía"&amp;" · ","")&amp;IF(AND($B18&lt;&gt;"",$C18&lt;&gt;""),"Escriba la subactividad en otra fila, debajo de su macroactividad"&amp;" · ","")&amp;IF(AND($S18="Sub",N($R18)=0),"Subactividad sin macroactividad arriba"&amp;" · ","")&amp;IF($D18="","Sin responsable"&amp;" · ","")&amp;IF($E18="","Sin fecha de inicio"&amp;" · ","")&amp;IF($F18="","Sin fecha límite"&amp;" · ","")&amp;IF(OR(AND($E18&lt;&gt;"",NOT(ISNUMBER($E18))),AND($F18&lt;&gt;"",NOT(ISNUMBER($F18)))),"Fecha no válida"&amp;" · ","")&amp;IF(AND(ISNUMBER($E18),ISNUMBER($F18),$E18&gt;$F18),"Inicio posterior a fecha límite"&amp;" · ","")&amp;IF(AND($S18="Macro",$G18=""),"Peso vacío"&amp;" · ","")&amp;IF(AND($S18="Macro",$G18&lt;&gt;"",OR(NOT(ISNUMBER($G18)),$G18&lt;=0,$G18&gt;1)),"Peso fuera de rango"&amp;" · ","")&amp;IF(AND($S18="Sub",$G18&lt;&gt;""),"Las subactividades no llevan peso"&amp;" · ","")&amp;IF(AND($S18="Macro",ABS(SUMIFS($G$5:$G$1000,$P$5:$P$1000,$P18,$S$5:$S$1000,"Macro")-1)&gt;0.0001),"Pesos del mes suman "&amp;TEXT(SUMIFS($G$5:$G$1000,$P$5:$P$1000,$P18,$S$5:$S$1000,"Macro"),"0%")&amp;" · ","")&amp;IF(AND(N($T18)&gt;0,COUNT($H18:$K18)&gt;0),"Con subactividades: deje vacías las semanas (se calculan solas)"&amp;" · ","")&amp;IF((COUNTIF($H18:$K18,"&gt;1")+COUNTIF($H18:$K18,"&lt;0")+COUNTA($H18:$K18)-COUNT($H18:$K18))&gt;0,"Avance fuera de rango 0-100%"&amp;" · ","")&amp;IF(OR(AND($I18&lt;&gt;"",$I18&lt;$H18),AND($J18&lt;&gt;"",$J18&lt;MAX($H18:$I18)),AND($K18&lt;&gt;"",$K18&lt;MAX($H18:$J18))),"Avance semanal decreciente"&amp;" · ","")&amp;IF(AND(ISNUMBER($F18),$F18&lt;FechaRef,N($L18)&lt;1),"Vencida"&amp;" · ","")&amp;IF(AND(ObsObligatoria="Sí",ISNUMBER($F18),$F18&lt;FechaRef,N($L18)&lt;1,$N18=""),"Vencida sin observación"&amp;" · ",""),LEN(IF(AND($S18="Macro",$B18=""),"Macroactividad vacía"&amp;" · ","")&amp;IF(AND($B18&lt;&gt;"",$C18&lt;&gt;""),"Escriba la subactividad en otra fila, debajo de su macroactividad"&amp;" · ","")&amp;IF(AND($S18="Sub",N($R18)=0),"Subactividad sin macroactividad arriba"&amp;" · ","")&amp;IF($D18="","Sin responsable"&amp;" · ","")&amp;IF($E18="","Sin fecha de inicio"&amp;" · ","")&amp;IF($F18="","Sin fecha límite"&amp;" · ","")&amp;IF(OR(AND($E18&lt;&gt;"",NOT(ISNUMBER($E18))),AND($F18&lt;&gt;"",NOT(ISNUMBER($F18)))),"Fecha no válida"&amp;" · ","")&amp;IF(AND(ISNUMBER($E18),ISNUMBER($F18),$E18&gt;$F18),"Inicio posterior a fecha límite"&amp;" · ","")&amp;IF(AND($S18="Macro",$G18=""),"Peso vacío"&amp;" · ","")&amp;IF(AND($S18="Macro",$G18&lt;&gt;"",OR(NOT(ISNUMBER($G18)),$G18&lt;=0,$G18&gt;1)),"Peso fuera de rango"&amp;" · ","")&amp;IF(AND($S18="Sub",$G18&lt;&gt;""),"Las subactividades no llevan peso"&amp;" · ","")&amp;IF(AND($S18="Macro",ABS(SUMIFS($G$5:$G$1000,$P$5:$P$1000,$P18,$S$5:$S$1000,"Macro")-1)&gt;0.0001),"Pesos del mes suman "&amp;TEXT(SUMIFS($G$5:$G$1000,$P$5:$P$1000,$P18,$S$5:$S$1000,"Macro"),"0%")&amp;" · ","")&amp;IF(AND(N($T18)&gt;0,COUNT($H18:$K18)&gt;0),"Con subactividades: deje vacías las semanas (se calculan solas)"&amp;" · ","")&amp;IF((COUNTIF($H18:$K18,"&gt;1")+COUNTIF($H18:$K18,"&lt;0")+COUNTA($H18:$K18)-COUNT($H18:$K18))&gt;0,"Avance fuera de rango 0-100%"&amp;" · ","")&amp;IF(OR(AND($I18&lt;&gt;"",$I18&lt;$H18),AND($J18&lt;&gt;"",$J18&lt;MAX($H18:$I18)),AND($K18&lt;&gt;"",$K18&lt;MAX($H18:$J18))),"Avance semanal decreciente"&amp;" · ","")&amp;IF(AND(ISNUMBER($F18),$F18&lt;FechaRef,N($L18)&lt;1),"Vencida"&amp;" · ","")&amp;IF(AND(ObsObligatoria="Sí",ISNUMBER($F18),$F18&lt;FechaRef,N($L18)&lt;1,$N18=""),"Vencida sin observación"&amp;" · ",""))-3)))</f>
        <v/>
      </c>
      <c r="P18" s="69">
        <f>IF(NOT((COUNTA($B18:$K18)+COUNTA($N18))&gt;0),"",IF(AND($S18="Sub",N($R18)&gt;0),IF(ISNUMBER(INDEX($E$5:$E$1000,$R18-4)),DATE(YEAR(INDEX($E$5:$E$1000,$R18-4)),MONTH(INDEX($E$5:$E$1000,$R18-4)),1),IF(ISNUMBER(INDEX($F$5:$F$1000,$R18-4)),DATE(YEAR(INDEX($F$5:$F$1000,$R18-4)),MONTH(INDEX($F$5:$F$1000,$R18-4)),1),MesCiclo)),IF(ISNUMBER($E18),DATE(YEAR($E18),MONTH($E18),1),IF(ISNUMBER($F18),DATE(YEAR($F18),MONTH($F18),1),MesCiclo))))</f>
        <v/>
      </c>
      <c r="Q18" s="70">
        <f>IF(OR($P18="",$P18&lt;&gt;MesCiclo),"",COUNTIF($P$5:$P18,MesCiclo))</f>
        <v/>
      </c>
      <c r="R18" s="70">
        <f>IF($S18="","",IF($S18="Macro",ROW(),IFERROR(LOOKUP(2,1/($S$5:$S18="Macro"),ROW($S$5:$S18)),0)))</f>
        <v/>
      </c>
      <c r="S18" s="70">
        <f>IF(NOT((COUNTA($B18:$K18)+COUNTA($N18))&gt;0),"",IF($B18&lt;&gt;"","Macro",IF($C18&lt;&gt;"","Sub","Macro")))</f>
        <v/>
      </c>
      <c r="T18" s="70">
        <f>IF($S18="Macro",COUNTIFS($R$5:$R$1000,ROW(),$S$5:$S$1000,"Sub"),"")</f>
        <v/>
      </c>
      <c r="U18" s="70">
        <f>IF($S18="","",IF(ISNUMBER($H18),$H18,0))</f>
        <v/>
      </c>
      <c r="V18" s="70">
        <f>IF($S18="","",IF(ISNUMBER($I18),$I18,$U18))</f>
        <v/>
      </c>
      <c r="W18" s="70">
        <f>IF($S18="","",IF(ISNUMBER($J18),$J18,$V18))</f>
        <v/>
      </c>
      <c r="X18" s="70">
        <f>IF($S18="","",IF(ISNUMBER($K18),$K18,$W18))</f>
        <v/>
      </c>
      <c r="Y18" s="70">
        <f>IF($S18="","",IF(N($T18)&gt;0,AVERAGEIFS($U$5:$U$1000,$R$5:$R$1000,ROW(),$S$5:$S$1000,"Sub"),$U18))</f>
        <v/>
      </c>
      <c r="Z18" s="70">
        <f>IF($S18="","",IF(N($T18)&gt;0,AVERAGEIFS($V$5:$V$1000,$R$5:$R$1000,ROW(),$S$5:$S$1000,"Sub"),$V18))</f>
        <v/>
      </c>
      <c r="AA18" s="70">
        <f>IF($S18="","",IF(N($T18)&gt;0,AVERAGEIFS($W$5:$W$1000,$R$5:$R$1000,ROW(),$S$5:$S$1000,"Sub"),$W18))</f>
        <v/>
      </c>
      <c r="AB18" s="70">
        <f>IF($S18="","",IF(N($T18)&gt;0,AVERAGEIFS($X$5:$X$1000,$R$5:$R$1000,ROW(),$S$5:$S$1000,"Sub"),$X18))</f>
        <v/>
      </c>
    </row>
    <row r="19">
      <c r="A19" s="61">
        <f>IF(NOT((COUNTA($B19:$K19)+COUNTA($N19))&gt;0),"",IF($S19="Macro",COUNTIFS($S$5:$S19,"Macro",$P$5:$P19,$P19),IF(N($R19)=0,"?",COUNTIFS(INDEX($S$5:$S$1000,1):INDEX($S$5:$S$1000,$R19-4),"Macro",INDEX($P$5:$P$1000,1):INDEX($P$5:$P$1000,$R19-4),INDEX($P$5:$P$1000,$R19-4))&amp;"."&amp;COUNTIFS($R$5:$R19,$R19,$S$5:$S19,"Sub"))))</f>
        <v/>
      </c>
      <c r="B19" s="62" t="n"/>
      <c r="C19" s="63" t="n"/>
      <c r="D19" s="62" t="n"/>
      <c r="E19" s="64" t="n"/>
      <c r="F19" s="64" t="n"/>
      <c r="G19" s="65" t="n"/>
      <c r="H19" s="66" t="n"/>
      <c r="I19" s="66" t="n"/>
      <c r="J19" s="66" t="n"/>
      <c r="K19" s="66" t="n"/>
      <c r="L19" s="67">
        <f>IF(NOT((COUNTA($B19:$K19)+COUNTA($N19))&gt;0),"",IF(N($T19)&gt;0,$AB19,IFERROR(LOOKUP(2,1/(H19:K19&lt;&gt;""),H19:K19),0)))</f>
        <v/>
      </c>
      <c r="M19" s="61">
        <f>IF(L19="","",IF(L19&gt;=1,"Completado",IF(L19&gt;0,"En curso","Pendiente")))</f>
        <v/>
      </c>
      <c r="N19" s="62" t="n"/>
      <c r="O19" s="68">
        <f>IF(NOT((COUNTA($B19:$K19)+COUNTA($N19))&gt;0),"",IF((IF(AND($S19="Macro",$B19=""),"Macroactividad vacía"&amp;" · ","")&amp;IF(AND($B19&lt;&gt;"",$C19&lt;&gt;""),"Escriba la subactividad en otra fila, debajo de su macroactividad"&amp;" · ","")&amp;IF(AND($S19="Sub",N($R19)=0),"Subactividad sin macroactividad arriba"&amp;" · ","")&amp;IF($D19="","Sin responsable"&amp;" · ","")&amp;IF($E19="","Sin fecha de inicio"&amp;" · ","")&amp;IF($F19="","Sin fecha límite"&amp;" · ","")&amp;IF(OR(AND($E19&lt;&gt;"",NOT(ISNUMBER($E19))),AND($F19&lt;&gt;"",NOT(ISNUMBER($F19)))),"Fecha no válida"&amp;" · ","")&amp;IF(AND(ISNUMBER($E19),ISNUMBER($F19),$E19&gt;$F19),"Inicio posterior a fecha límite"&amp;" · ","")&amp;IF(AND($S19="Macro",$G19=""),"Peso vacío"&amp;" · ","")&amp;IF(AND($S19="Macro",$G19&lt;&gt;"",OR(NOT(ISNUMBER($G19)),$G19&lt;=0,$G19&gt;1)),"Peso fuera de rango"&amp;" · ","")&amp;IF(AND($S19="Sub",$G19&lt;&gt;""),"Las subactividades no llevan peso"&amp;" · ","")&amp;IF(AND($S19="Macro",ABS(SUMIFS($G$5:$G$1000,$P$5:$P$1000,$P19,$S$5:$S$1000,"Macro")-1)&gt;0.0001),"Pesos del mes suman "&amp;TEXT(SUMIFS($G$5:$G$1000,$P$5:$P$1000,$P19,$S$5:$S$1000,"Macro"),"0%")&amp;" · ","")&amp;IF(AND(N($T19)&gt;0,COUNT($H19:$K19)&gt;0),"Con subactividades: deje vacías las semanas (se calculan solas)"&amp;" · ","")&amp;IF((COUNTIF($H19:$K19,"&gt;1")+COUNTIF($H19:$K19,"&lt;0")+COUNTA($H19:$K19)-COUNT($H19:$K19))&gt;0,"Avance fuera de rango 0-100%"&amp;" · ","")&amp;IF(OR(AND($I19&lt;&gt;"",$I19&lt;$H19),AND($J19&lt;&gt;"",$J19&lt;MAX($H19:$I19)),AND($K19&lt;&gt;"",$K19&lt;MAX($H19:$J19))),"Avance semanal decreciente"&amp;" · ","")&amp;IF(AND(ISNUMBER($F19),$F19&lt;FechaRef,N($L19)&lt;1),"Vencida"&amp;" · ","")&amp;IF(AND(ObsObligatoria="Sí",ISNUMBER($F19),$F19&lt;FechaRef,N($L19)&lt;1,$N19=""),"Vencida sin observación"&amp;" · ",""))="","✔ OK","⚠ "&amp;LEFT(IF(AND($S19="Macro",$B19=""),"Macroactividad vacía"&amp;" · ","")&amp;IF(AND($B19&lt;&gt;"",$C19&lt;&gt;""),"Escriba la subactividad en otra fila, debajo de su macroactividad"&amp;" · ","")&amp;IF(AND($S19="Sub",N($R19)=0),"Subactividad sin macroactividad arriba"&amp;" · ","")&amp;IF($D19="","Sin responsable"&amp;" · ","")&amp;IF($E19="","Sin fecha de inicio"&amp;" · ","")&amp;IF($F19="","Sin fecha límite"&amp;" · ","")&amp;IF(OR(AND($E19&lt;&gt;"",NOT(ISNUMBER($E19))),AND($F19&lt;&gt;"",NOT(ISNUMBER($F19)))),"Fecha no válida"&amp;" · ","")&amp;IF(AND(ISNUMBER($E19),ISNUMBER($F19),$E19&gt;$F19),"Inicio posterior a fecha límite"&amp;" · ","")&amp;IF(AND($S19="Macro",$G19=""),"Peso vacío"&amp;" · ","")&amp;IF(AND($S19="Macro",$G19&lt;&gt;"",OR(NOT(ISNUMBER($G19)),$G19&lt;=0,$G19&gt;1)),"Peso fuera de rango"&amp;" · ","")&amp;IF(AND($S19="Sub",$G19&lt;&gt;""),"Las subactividades no llevan peso"&amp;" · ","")&amp;IF(AND($S19="Macro",ABS(SUMIFS($G$5:$G$1000,$P$5:$P$1000,$P19,$S$5:$S$1000,"Macro")-1)&gt;0.0001),"Pesos del mes suman "&amp;TEXT(SUMIFS($G$5:$G$1000,$P$5:$P$1000,$P19,$S$5:$S$1000,"Macro"),"0%")&amp;" · ","")&amp;IF(AND(N($T19)&gt;0,COUNT($H19:$K19)&gt;0),"Con subactividades: deje vacías las semanas (se calculan solas)"&amp;" · ","")&amp;IF((COUNTIF($H19:$K19,"&gt;1")+COUNTIF($H19:$K19,"&lt;0")+COUNTA($H19:$K19)-COUNT($H19:$K19))&gt;0,"Avance fuera de rango 0-100%"&amp;" · ","")&amp;IF(OR(AND($I19&lt;&gt;"",$I19&lt;$H19),AND($J19&lt;&gt;"",$J19&lt;MAX($H19:$I19)),AND($K19&lt;&gt;"",$K19&lt;MAX($H19:$J19))),"Avance semanal decreciente"&amp;" · ","")&amp;IF(AND(ISNUMBER($F19),$F19&lt;FechaRef,N($L19)&lt;1),"Vencida"&amp;" · ","")&amp;IF(AND(ObsObligatoria="Sí",ISNUMBER($F19),$F19&lt;FechaRef,N($L19)&lt;1,$N19=""),"Vencida sin observación"&amp;" · ",""),LEN(IF(AND($S19="Macro",$B19=""),"Macroactividad vacía"&amp;" · ","")&amp;IF(AND($B19&lt;&gt;"",$C19&lt;&gt;""),"Escriba la subactividad en otra fila, debajo de su macroactividad"&amp;" · ","")&amp;IF(AND($S19="Sub",N($R19)=0),"Subactividad sin macroactividad arriba"&amp;" · ","")&amp;IF($D19="","Sin responsable"&amp;" · ","")&amp;IF($E19="","Sin fecha de inicio"&amp;" · ","")&amp;IF($F19="","Sin fecha límite"&amp;" · ","")&amp;IF(OR(AND($E19&lt;&gt;"",NOT(ISNUMBER($E19))),AND($F19&lt;&gt;"",NOT(ISNUMBER($F19)))),"Fecha no válida"&amp;" · ","")&amp;IF(AND(ISNUMBER($E19),ISNUMBER($F19),$E19&gt;$F19),"Inicio posterior a fecha límite"&amp;" · ","")&amp;IF(AND($S19="Macro",$G19=""),"Peso vacío"&amp;" · ","")&amp;IF(AND($S19="Macro",$G19&lt;&gt;"",OR(NOT(ISNUMBER($G19)),$G19&lt;=0,$G19&gt;1)),"Peso fuera de rango"&amp;" · ","")&amp;IF(AND($S19="Sub",$G19&lt;&gt;""),"Las subactividades no llevan peso"&amp;" · ","")&amp;IF(AND($S19="Macro",ABS(SUMIFS($G$5:$G$1000,$P$5:$P$1000,$P19,$S$5:$S$1000,"Macro")-1)&gt;0.0001),"Pesos del mes suman "&amp;TEXT(SUMIFS($G$5:$G$1000,$P$5:$P$1000,$P19,$S$5:$S$1000,"Macro"),"0%")&amp;" · ","")&amp;IF(AND(N($T19)&gt;0,COUNT($H19:$K19)&gt;0),"Con subactividades: deje vacías las semanas (se calculan solas)"&amp;" · ","")&amp;IF((COUNTIF($H19:$K19,"&gt;1")+COUNTIF($H19:$K19,"&lt;0")+COUNTA($H19:$K19)-COUNT($H19:$K19))&gt;0,"Avance fuera de rango 0-100%"&amp;" · ","")&amp;IF(OR(AND($I19&lt;&gt;"",$I19&lt;$H19),AND($J19&lt;&gt;"",$J19&lt;MAX($H19:$I19)),AND($K19&lt;&gt;"",$K19&lt;MAX($H19:$J19))),"Avance semanal decreciente"&amp;" · ","")&amp;IF(AND(ISNUMBER($F19),$F19&lt;FechaRef,N($L19)&lt;1),"Vencida"&amp;" · ","")&amp;IF(AND(ObsObligatoria="Sí",ISNUMBER($F19),$F19&lt;FechaRef,N($L19)&lt;1,$N19=""),"Vencida sin observación"&amp;" · ",""))-3)))</f>
        <v/>
      </c>
      <c r="P19" s="69">
        <f>IF(NOT((COUNTA($B19:$K19)+COUNTA($N19))&gt;0),"",IF(AND($S19="Sub",N($R19)&gt;0),IF(ISNUMBER(INDEX($E$5:$E$1000,$R19-4)),DATE(YEAR(INDEX($E$5:$E$1000,$R19-4)),MONTH(INDEX($E$5:$E$1000,$R19-4)),1),IF(ISNUMBER(INDEX($F$5:$F$1000,$R19-4)),DATE(YEAR(INDEX($F$5:$F$1000,$R19-4)),MONTH(INDEX($F$5:$F$1000,$R19-4)),1),MesCiclo)),IF(ISNUMBER($E19),DATE(YEAR($E19),MONTH($E19),1),IF(ISNUMBER($F19),DATE(YEAR($F19),MONTH($F19),1),MesCiclo))))</f>
        <v/>
      </c>
      <c r="Q19" s="70">
        <f>IF(OR($P19="",$P19&lt;&gt;MesCiclo),"",COUNTIF($P$5:$P19,MesCiclo))</f>
        <v/>
      </c>
      <c r="R19" s="70">
        <f>IF($S19="","",IF($S19="Macro",ROW(),IFERROR(LOOKUP(2,1/($S$5:$S19="Macro"),ROW($S$5:$S19)),0)))</f>
        <v/>
      </c>
      <c r="S19" s="70">
        <f>IF(NOT((COUNTA($B19:$K19)+COUNTA($N19))&gt;0),"",IF($B19&lt;&gt;"","Macro",IF($C19&lt;&gt;"","Sub","Macro")))</f>
        <v/>
      </c>
      <c r="T19" s="70">
        <f>IF($S19="Macro",COUNTIFS($R$5:$R$1000,ROW(),$S$5:$S$1000,"Sub"),"")</f>
        <v/>
      </c>
      <c r="U19" s="70">
        <f>IF($S19="","",IF(ISNUMBER($H19),$H19,0))</f>
        <v/>
      </c>
      <c r="V19" s="70">
        <f>IF($S19="","",IF(ISNUMBER($I19),$I19,$U19))</f>
        <v/>
      </c>
      <c r="W19" s="70">
        <f>IF($S19="","",IF(ISNUMBER($J19),$J19,$V19))</f>
        <v/>
      </c>
      <c r="X19" s="70">
        <f>IF($S19="","",IF(ISNUMBER($K19),$K19,$W19))</f>
        <v/>
      </c>
      <c r="Y19" s="70">
        <f>IF($S19="","",IF(N($T19)&gt;0,AVERAGEIFS($U$5:$U$1000,$R$5:$R$1000,ROW(),$S$5:$S$1000,"Sub"),$U19))</f>
        <v/>
      </c>
      <c r="Z19" s="70">
        <f>IF($S19="","",IF(N($T19)&gt;0,AVERAGEIFS($V$5:$V$1000,$R$5:$R$1000,ROW(),$S$5:$S$1000,"Sub"),$V19))</f>
        <v/>
      </c>
      <c r="AA19" s="70">
        <f>IF($S19="","",IF(N($T19)&gt;0,AVERAGEIFS($W$5:$W$1000,$R$5:$R$1000,ROW(),$S$5:$S$1000,"Sub"),$W19))</f>
        <v/>
      </c>
      <c r="AB19" s="70">
        <f>IF($S19="","",IF(N($T19)&gt;0,AVERAGEIFS($X$5:$X$1000,$R$5:$R$1000,ROW(),$S$5:$S$1000,"Sub"),$X19))</f>
        <v/>
      </c>
    </row>
    <row r="20">
      <c r="A20" s="61">
        <f>IF(NOT((COUNTA($B20:$K20)+COUNTA($N20))&gt;0),"",IF($S20="Macro",COUNTIFS($S$5:$S20,"Macro",$P$5:$P20,$P20),IF(N($R20)=0,"?",COUNTIFS(INDEX($S$5:$S$1000,1):INDEX($S$5:$S$1000,$R20-4),"Macro",INDEX($P$5:$P$1000,1):INDEX($P$5:$P$1000,$R20-4),INDEX($P$5:$P$1000,$R20-4))&amp;"."&amp;COUNTIFS($R$5:$R20,$R20,$S$5:$S20,"Sub"))))</f>
        <v/>
      </c>
      <c r="B20" s="62" t="n"/>
      <c r="C20" s="63" t="n"/>
      <c r="D20" s="62" t="n"/>
      <c r="E20" s="64" t="n"/>
      <c r="F20" s="64" t="n"/>
      <c r="G20" s="65" t="n"/>
      <c r="H20" s="66" t="n"/>
      <c r="I20" s="66" t="n"/>
      <c r="J20" s="66" t="n"/>
      <c r="K20" s="66" t="n"/>
      <c r="L20" s="67">
        <f>IF(NOT((COUNTA($B20:$K20)+COUNTA($N20))&gt;0),"",IF(N($T20)&gt;0,$AB20,IFERROR(LOOKUP(2,1/(H20:K20&lt;&gt;""),H20:K20),0)))</f>
        <v/>
      </c>
      <c r="M20" s="61">
        <f>IF(L20="","",IF(L20&gt;=1,"Completado",IF(L20&gt;0,"En curso","Pendiente")))</f>
        <v/>
      </c>
      <c r="N20" s="62" t="n"/>
      <c r="O20" s="68">
        <f>IF(NOT((COUNTA($B20:$K20)+COUNTA($N20))&gt;0),"",IF((IF(AND($S20="Macro",$B20=""),"Macroactividad vacía"&amp;" · ","")&amp;IF(AND($B20&lt;&gt;"",$C20&lt;&gt;""),"Escriba la subactividad en otra fila, debajo de su macroactividad"&amp;" · ","")&amp;IF(AND($S20="Sub",N($R20)=0),"Subactividad sin macroactividad arriba"&amp;" · ","")&amp;IF($D20="","Sin responsable"&amp;" · ","")&amp;IF($E20="","Sin fecha de inicio"&amp;" · ","")&amp;IF($F20="","Sin fecha límite"&amp;" · ","")&amp;IF(OR(AND($E20&lt;&gt;"",NOT(ISNUMBER($E20))),AND($F20&lt;&gt;"",NOT(ISNUMBER($F20)))),"Fecha no válida"&amp;" · ","")&amp;IF(AND(ISNUMBER($E20),ISNUMBER($F20),$E20&gt;$F20),"Inicio posterior a fecha límite"&amp;" · ","")&amp;IF(AND($S20="Macro",$G20=""),"Peso vacío"&amp;" · ","")&amp;IF(AND($S20="Macro",$G20&lt;&gt;"",OR(NOT(ISNUMBER($G20)),$G20&lt;=0,$G20&gt;1)),"Peso fuera de rango"&amp;" · ","")&amp;IF(AND($S20="Sub",$G20&lt;&gt;""),"Las subactividades no llevan peso"&amp;" · ","")&amp;IF(AND($S20="Macro",ABS(SUMIFS($G$5:$G$1000,$P$5:$P$1000,$P20,$S$5:$S$1000,"Macro")-1)&gt;0.0001),"Pesos del mes suman "&amp;TEXT(SUMIFS($G$5:$G$1000,$P$5:$P$1000,$P20,$S$5:$S$1000,"Macro"),"0%")&amp;" · ","")&amp;IF(AND(N($T20)&gt;0,COUNT($H20:$K20)&gt;0),"Con subactividades: deje vacías las semanas (se calculan solas)"&amp;" · ","")&amp;IF((COUNTIF($H20:$K20,"&gt;1")+COUNTIF($H20:$K20,"&lt;0")+COUNTA($H20:$K20)-COUNT($H20:$K20))&gt;0,"Avance fuera de rango 0-100%"&amp;" · ","")&amp;IF(OR(AND($I20&lt;&gt;"",$I20&lt;$H20),AND($J20&lt;&gt;"",$J20&lt;MAX($H20:$I20)),AND($K20&lt;&gt;"",$K20&lt;MAX($H20:$J20))),"Avance semanal decreciente"&amp;" · ","")&amp;IF(AND(ISNUMBER($F20),$F20&lt;FechaRef,N($L20)&lt;1),"Vencida"&amp;" · ","")&amp;IF(AND(ObsObligatoria="Sí",ISNUMBER($F20),$F20&lt;FechaRef,N($L20)&lt;1,$N20=""),"Vencida sin observación"&amp;" · ",""))="","✔ OK","⚠ "&amp;LEFT(IF(AND($S20="Macro",$B20=""),"Macroactividad vacía"&amp;" · ","")&amp;IF(AND($B20&lt;&gt;"",$C20&lt;&gt;""),"Escriba la subactividad en otra fila, debajo de su macroactividad"&amp;" · ","")&amp;IF(AND($S20="Sub",N($R20)=0),"Subactividad sin macroactividad arriba"&amp;" · ","")&amp;IF($D20="","Sin responsable"&amp;" · ","")&amp;IF($E20="","Sin fecha de inicio"&amp;" · ","")&amp;IF($F20="","Sin fecha límite"&amp;" · ","")&amp;IF(OR(AND($E20&lt;&gt;"",NOT(ISNUMBER($E20))),AND($F20&lt;&gt;"",NOT(ISNUMBER($F20)))),"Fecha no válida"&amp;" · ","")&amp;IF(AND(ISNUMBER($E20),ISNUMBER($F20),$E20&gt;$F20),"Inicio posterior a fecha límite"&amp;" · ","")&amp;IF(AND($S20="Macro",$G20=""),"Peso vacío"&amp;" · ","")&amp;IF(AND($S20="Macro",$G20&lt;&gt;"",OR(NOT(ISNUMBER($G20)),$G20&lt;=0,$G20&gt;1)),"Peso fuera de rango"&amp;" · ","")&amp;IF(AND($S20="Sub",$G20&lt;&gt;""),"Las subactividades no llevan peso"&amp;" · ","")&amp;IF(AND($S20="Macro",ABS(SUMIFS($G$5:$G$1000,$P$5:$P$1000,$P20,$S$5:$S$1000,"Macro")-1)&gt;0.0001),"Pesos del mes suman "&amp;TEXT(SUMIFS($G$5:$G$1000,$P$5:$P$1000,$P20,$S$5:$S$1000,"Macro"),"0%")&amp;" · ","")&amp;IF(AND(N($T20)&gt;0,COUNT($H20:$K20)&gt;0),"Con subactividades: deje vacías las semanas (se calculan solas)"&amp;" · ","")&amp;IF((COUNTIF($H20:$K20,"&gt;1")+COUNTIF($H20:$K20,"&lt;0")+COUNTA($H20:$K20)-COUNT($H20:$K20))&gt;0,"Avance fuera de rango 0-100%"&amp;" · ","")&amp;IF(OR(AND($I20&lt;&gt;"",$I20&lt;$H20),AND($J20&lt;&gt;"",$J20&lt;MAX($H20:$I20)),AND($K20&lt;&gt;"",$K20&lt;MAX($H20:$J20))),"Avance semanal decreciente"&amp;" · ","")&amp;IF(AND(ISNUMBER($F20),$F20&lt;FechaRef,N($L20)&lt;1),"Vencida"&amp;" · ","")&amp;IF(AND(ObsObligatoria="Sí",ISNUMBER($F20),$F20&lt;FechaRef,N($L20)&lt;1,$N20=""),"Vencida sin observación"&amp;" · ",""),LEN(IF(AND($S20="Macro",$B20=""),"Macroactividad vacía"&amp;" · ","")&amp;IF(AND($B20&lt;&gt;"",$C20&lt;&gt;""),"Escriba la subactividad en otra fila, debajo de su macroactividad"&amp;" · ","")&amp;IF(AND($S20="Sub",N($R20)=0),"Subactividad sin macroactividad arriba"&amp;" · ","")&amp;IF($D20="","Sin responsable"&amp;" · ","")&amp;IF($E20="","Sin fecha de inicio"&amp;" · ","")&amp;IF($F20="","Sin fecha límite"&amp;" · ","")&amp;IF(OR(AND($E20&lt;&gt;"",NOT(ISNUMBER($E20))),AND($F20&lt;&gt;"",NOT(ISNUMBER($F20)))),"Fecha no válida"&amp;" · ","")&amp;IF(AND(ISNUMBER($E20),ISNUMBER($F20),$E20&gt;$F20),"Inicio posterior a fecha límite"&amp;" · ","")&amp;IF(AND($S20="Macro",$G20=""),"Peso vacío"&amp;" · ","")&amp;IF(AND($S20="Macro",$G20&lt;&gt;"",OR(NOT(ISNUMBER($G20)),$G20&lt;=0,$G20&gt;1)),"Peso fuera de rango"&amp;" · ","")&amp;IF(AND($S20="Sub",$G20&lt;&gt;""),"Las subactividades no llevan peso"&amp;" · ","")&amp;IF(AND($S20="Macro",ABS(SUMIFS($G$5:$G$1000,$P$5:$P$1000,$P20,$S$5:$S$1000,"Macro")-1)&gt;0.0001),"Pesos del mes suman "&amp;TEXT(SUMIFS($G$5:$G$1000,$P$5:$P$1000,$P20,$S$5:$S$1000,"Macro"),"0%")&amp;" · ","")&amp;IF(AND(N($T20)&gt;0,COUNT($H20:$K20)&gt;0),"Con subactividades: deje vacías las semanas (se calculan solas)"&amp;" · ","")&amp;IF((COUNTIF($H20:$K20,"&gt;1")+COUNTIF($H20:$K20,"&lt;0")+COUNTA($H20:$K20)-COUNT($H20:$K20))&gt;0,"Avance fuera de rango 0-100%"&amp;" · ","")&amp;IF(OR(AND($I20&lt;&gt;"",$I20&lt;$H20),AND($J20&lt;&gt;"",$J20&lt;MAX($H20:$I20)),AND($K20&lt;&gt;"",$K20&lt;MAX($H20:$J20))),"Avance semanal decreciente"&amp;" · ","")&amp;IF(AND(ISNUMBER($F20),$F20&lt;FechaRef,N($L20)&lt;1),"Vencida"&amp;" · ","")&amp;IF(AND(ObsObligatoria="Sí",ISNUMBER($F20),$F20&lt;FechaRef,N($L20)&lt;1,$N20=""),"Vencida sin observación"&amp;" · ",""))-3)))</f>
        <v/>
      </c>
      <c r="P20" s="69">
        <f>IF(NOT((COUNTA($B20:$K20)+COUNTA($N20))&gt;0),"",IF(AND($S20="Sub",N($R20)&gt;0),IF(ISNUMBER(INDEX($E$5:$E$1000,$R20-4)),DATE(YEAR(INDEX($E$5:$E$1000,$R20-4)),MONTH(INDEX($E$5:$E$1000,$R20-4)),1),IF(ISNUMBER(INDEX($F$5:$F$1000,$R20-4)),DATE(YEAR(INDEX($F$5:$F$1000,$R20-4)),MONTH(INDEX($F$5:$F$1000,$R20-4)),1),MesCiclo)),IF(ISNUMBER($E20),DATE(YEAR($E20),MONTH($E20),1),IF(ISNUMBER($F20),DATE(YEAR($F20),MONTH($F20),1),MesCiclo))))</f>
        <v/>
      </c>
      <c r="Q20" s="70">
        <f>IF(OR($P20="",$P20&lt;&gt;MesCiclo),"",COUNTIF($P$5:$P20,MesCiclo))</f>
        <v/>
      </c>
      <c r="R20" s="70">
        <f>IF($S20="","",IF($S20="Macro",ROW(),IFERROR(LOOKUP(2,1/($S$5:$S20="Macro"),ROW($S$5:$S20)),0)))</f>
        <v/>
      </c>
      <c r="S20" s="70">
        <f>IF(NOT((COUNTA($B20:$K20)+COUNTA($N20))&gt;0),"",IF($B20&lt;&gt;"","Macro",IF($C20&lt;&gt;"","Sub","Macro")))</f>
        <v/>
      </c>
      <c r="T20" s="70">
        <f>IF($S20="Macro",COUNTIFS($R$5:$R$1000,ROW(),$S$5:$S$1000,"Sub"),"")</f>
        <v/>
      </c>
      <c r="U20" s="70">
        <f>IF($S20="","",IF(ISNUMBER($H20),$H20,0))</f>
        <v/>
      </c>
      <c r="V20" s="70">
        <f>IF($S20="","",IF(ISNUMBER($I20),$I20,$U20))</f>
        <v/>
      </c>
      <c r="W20" s="70">
        <f>IF($S20="","",IF(ISNUMBER($J20),$J20,$V20))</f>
        <v/>
      </c>
      <c r="X20" s="70">
        <f>IF($S20="","",IF(ISNUMBER($K20),$K20,$W20))</f>
        <v/>
      </c>
      <c r="Y20" s="70">
        <f>IF($S20="","",IF(N($T20)&gt;0,AVERAGEIFS($U$5:$U$1000,$R$5:$R$1000,ROW(),$S$5:$S$1000,"Sub"),$U20))</f>
        <v/>
      </c>
      <c r="Z20" s="70">
        <f>IF($S20="","",IF(N($T20)&gt;0,AVERAGEIFS($V$5:$V$1000,$R$5:$R$1000,ROW(),$S$5:$S$1000,"Sub"),$V20))</f>
        <v/>
      </c>
      <c r="AA20" s="70">
        <f>IF($S20="","",IF(N($T20)&gt;0,AVERAGEIFS($W$5:$W$1000,$R$5:$R$1000,ROW(),$S$5:$S$1000,"Sub"),$W20))</f>
        <v/>
      </c>
      <c r="AB20" s="70">
        <f>IF($S20="","",IF(N($T20)&gt;0,AVERAGEIFS($X$5:$X$1000,$R$5:$R$1000,ROW(),$S$5:$S$1000,"Sub"),$X20))</f>
        <v/>
      </c>
    </row>
    <row r="21">
      <c r="A21" s="61">
        <f>IF(NOT((COUNTA($B21:$K21)+COUNTA($N21))&gt;0),"",IF($S21="Macro",COUNTIFS($S$5:$S21,"Macro",$P$5:$P21,$P21),IF(N($R21)=0,"?",COUNTIFS(INDEX($S$5:$S$1000,1):INDEX($S$5:$S$1000,$R21-4),"Macro",INDEX($P$5:$P$1000,1):INDEX($P$5:$P$1000,$R21-4),INDEX($P$5:$P$1000,$R21-4))&amp;"."&amp;COUNTIFS($R$5:$R21,$R21,$S$5:$S21,"Sub"))))</f>
        <v/>
      </c>
      <c r="B21" s="62" t="n"/>
      <c r="C21" s="63" t="n"/>
      <c r="D21" s="62" t="n"/>
      <c r="E21" s="64" t="n"/>
      <c r="F21" s="64" t="n"/>
      <c r="G21" s="65" t="n"/>
      <c r="H21" s="66" t="n"/>
      <c r="I21" s="66" t="n"/>
      <c r="J21" s="66" t="n"/>
      <c r="K21" s="66" t="n"/>
      <c r="L21" s="67">
        <f>IF(NOT((COUNTA($B21:$K21)+COUNTA($N21))&gt;0),"",IF(N($T21)&gt;0,$AB21,IFERROR(LOOKUP(2,1/(H21:K21&lt;&gt;""),H21:K21),0)))</f>
        <v/>
      </c>
      <c r="M21" s="61">
        <f>IF(L21="","",IF(L21&gt;=1,"Completado",IF(L21&gt;0,"En curso","Pendiente")))</f>
        <v/>
      </c>
      <c r="N21" s="62" t="n"/>
      <c r="O21" s="68">
        <f>IF(NOT((COUNTA($B21:$K21)+COUNTA($N21))&gt;0),"",IF((IF(AND($S21="Macro",$B21=""),"Macroactividad vacía"&amp;" · ","")&amp;IF(AND($B21&lt;&gt;"",$C21&lt;&gt;""),"Escriba la subactividad en otra fila, debajo de su macroactividad"&amp;" · ","")&amp;IF(AND($S21="Sub",N($R21)=0),"Subactividad sin macroactividad arriba"&amp;" · ","")&amp;IF($D21="","Sin responsable"&amp;" · ","")&amp;IF($E21="","Sin fecha de inicio"&amp;" · ","")&amp;IF($F21="","Sin fecha límite"&amp;" · ","")&amp;IF(OR(AND($E21&lt;&gt;"",NOT(ISNUMBER($E21))),AND($F21&lt;&gt;"",NOT(ISNUMBER($F21)))),"Fecha no válida"&amp;" · ","")&amp;IF(AND(ISNUMBER($E21),ISNUMBER($F21),$E21&gt;$F21),"Inicio posterior a fecha límite"&amp;" · ","")&amp;IF(AND($S21="Macro",$G21=""),"Peso vacío"&amp;" · ","")&amp;IF(AND($S21="Macro",$G21&lt;&gt;"",OR(NOT(ISNUMBER($G21)),$G21&lt;=0,$G21&gt;1)),"Peso fuera de rango"&amp;" · ","")&amp;IF(AND($S21="Sub",$G21&lt;&gt;""),"Las subactividades no llevan peso"&amp;" · ","")&amp;IF(AND($S21="Macro",ABS(SUMIFS($G$5:$G$1000,$P$5:$P$1000,$P21,$S$5:$S$1000,"Macro")-1)&gt;0.0001),"Pesos del mes suman "&amp;TEXT(SUMIFS($G$5:$G$1000,$P$5:$P$1000,$P21,$S$5:$S$1000,"Macro"),"0%")&amp;" · ","")&amp;IF(AND(N($T21)&gt;0,COUNT($H21:$K21)&gt;0),"Con subactividades: deje vacías las semanas (se calculan solas)"&amp;" · ","")&amp;IF((COUNTIF($H21:$K21,"&gt;1")+COUNTIF($H21:$K21,"&lt;0")+COUNTA($H21:$K21)-COUNT($H21:$K21))&gt;0,"Avance fuera de rango 0-100%"&amp;" · ","")&amp;IF(OR(AND($I21&lt;&gt;"",$I21&lt;$H21),AND($J21&lt;&gt;"",$J21&lt;MAX($H21:$I21)),AND($K21&lt;&gt;"",$K21&lt;MAX($H21:$J21))),"Avance semanal decreciente"&amp;" · ","")&amp;IF(AND(ISNUMBER($F21),$F21&lt;FechaRef,N($L21)&lt;1),"Vencida"&amp;" · ","")&amp;IF(AND(ObsObligatoria="Sí",ISNUMBER($F21),$F21&lt;FechaRef,N($L21)&lt;1,$N21=""),"Vencida sin observación"&amp;" · ",""))="","✔ OK","⚠ "&amp;LEFT(IF(AND($S21="Macro",$B21=""),"Macroactividad vacía"&amp;" · ","")&amp;IF(AND($B21&lt;&gt;"",$C21&lt;&gt;""),"Escriba la subactividad en otra fila, debajo de su macroactividad"&amp;" · ","")&amp;IF(AND($S21="Sub",N($R21)=0),"Subactividad sin macroactividad arriba"&amp;" · ","")&amp;IF($D21="","Sin responsable"&amp;" · ","")&amp;IF($E21="","Sin fecha de inicio"&amp;" · ","")&amp;IF($F21="","Sin fecha límite"&amp;" · ","")&amp;IF(OR(AND($E21&lt;&gt;"",NOT(ISNUMBER($E21))),AND($F21&lt;&gt;"",NOT(ISNUMBER($F21)))),"Fecha no válida"&amp;" · ","")&amp;IF(AND(ISNUMBER($E21),ISNUMBER($F21),$E21&gt;$F21),"Inicio posterior a fecha límite"&amp;" · ","")&amp;IF(AND($S21="Macro",$G21=""),"Peso vacío"&amp;" · ","")&amp;IF(AND($S21="Macro",$G21&lt;&gt;"",OR(NOT(ISNUMBER($G21)),$G21&lt;=0,$G21&gt;1)),"Peso fuera de rango"&amp;" · ","")&amp;IF(AND($S21="Sub",$G21&lt;&gt;""),"Las subactividades no llevan peso"&amp;" · ","")&amp;IF(AND($S21="Macro",ABS(SUMIFS($G$5:$G$1000,$P$5:$P$1000,$P21,$S$5:$S$1000,"Macro")-1)&gt;0.0001),"Pesos del mes suman "&amp;TEXT(SUMIFS($G$5:$G$1000,$P$5:$P$1000,$P21,$S$5:$S$1000,"Macro"),"0%")&amp;" · ","")&amp;IF(AND(N($T21)&gt;0,COUNT($H21:$K21)&gt;0),"Con subactividades: deje vacías las semanas (se calculan solas)"&amp;" · ","")&amp;IF((COUNTIF($H21:$K21,"&gt;1")+COUNTIF($H21:$K21,"&lt;0")+COUNTA($H21:$K21)-COUNT($H21:$K21))&gt;0,"Avance fuera de rango 0-100%"&amp;" · ","")&amp;IF(OR(AND($I21&lt;&gt;"",$I21&lt;$H21),AND($J21&lt;&gt;"",$J21&lt;MAX($H21:$I21)),AND($K21&lt;&gt;"",$K21&lt;MAX($H21:$J21))),"Avance semanal decreciente"&amp;" · ","")&amp;IF(AND(ISNUMBER($F21),$F21&lt;FechaRef,N($L21)&lt;1),"Vencida"&amp;" · ","")&amp;IF(AND(ObsObligatoria="Sí",ISNUMBER($F21),$F21&lt;FechaRef,N($L21)&lt;1,$N21=""),"Vencida sin observación"&amp;" · ",""),LEN(IF(AND($S21="Macro",$B21=""),"Macroactividad vacía"&amp;" · ","")&amp;IF(AND($B21&lt;&gt;"",$C21&lt;&gt;""),"Escriba la subactividad en otra fila, debajo de su macroactividad"&amp;" · ","")&amp;IF(AND($S21="Sub",N($R21)=0),"Subactividad sin macroactividad arriba"&amp;" · ","")&amp;IF($D21="","Sin responsable"&amp;" · ","")&amp;IF($E21="","Sin fecha de inicio"&amp;" · ","")&amp;IF($F21="","Sin fecha límite"&amp;" · ","")&amp;IF(OR(AND($E21&lt;&gt;"",NOT(ISNUMBER($E21))),AND($F21&lt;&gt;"",NOT(ISNUMBER($F21)))),"Fecha no válida"&amp;" · ","")&amp;IF(AND(ISNUMBER($E21),ISNUMBER($F21),$E21&gt;$F21),"Inicio posterior a fecha límite"&amp;" · ","")&amp;IF(AND($S21="Macro",$G21=""),"Peso vacío"&amp;" · ","")&amp;IF(AND($S21="Macro",$G21&lt;&gt;"",OR(NOT(ISNUMBER($G21)),$G21&lt;=0,$G21&gt;1)),"Peso fuera de rango"&amp;" · ","")&amp;IF(AND($S21="Sub",$G21&lt;&gt;""),"Las subactividades no llevan peso"&amp;" · ","")&amp;IF(AND($S21="Macro",ABS(SUMIFS($G$5:$G$1000,$P$5:$P$1000,$P21,$S$5:$S$1000,"Macro")-1)&gt;0.0001),"Pesos del mes suman "&amp;TEXT(SUMIFS($G$5:$G$1000,$P$5:$P$1000,$P21,$S$5:$S$1000,"Macro"),"0%")&amp;" · ","")&amp;IF(AND(N($T21)&gt;0,COUNT($H21:$K21)&gt;0),"Con subactividades: deje vacías las semanas (se calculan solas)"&amp;" · ","")&amp;IF((COUNTIF($H21:$K21,"&gt;1")+COUNTIF($H21:$K21,"&lt;0")+COUNTA($H21:$K21)-COUNT($H21:$K21))&gt;0,"Avance fuera de rango 0-100%"&amp;" · ","")&amp;IF(OR(AND($I21&lt;&gt;"",$I21&lt;$H21),AND($J21&lt;&gt;"",$J21&lt;MAX($H21:$I21)),AND($K21&lt;&gt;"",$K21&lt;MAX($H21:$J21))),"Avance semanal decreciente"&amp;" · ","")&amp;IF(AND(ISNUMBER($F21),$F21&lt;FechaRef,N($L21)&lt;1),"Vencida"&amp;" · ","")&amp;IF(AND(ObsObligatoria="Sí",ISNUMBER($F21),$F21&lt;FechaRef,N($L21)&lt;1,$N21=""),"Vencida sin observación"&amp;" · ",""))-3)))</f>
        <v/>
      </c>
      <c r="P21" s="69">
        <f>IF(NOT((COUNTA($B21:$K21)+COUNTA($N21))&gt;0),"",IF(AND($S21="Sub",N($R21)&gt;0),IF(ISNUMBER(INDEX($E$5:$E$1000,$R21-4)),DATE(YEAR(INDEX($E$5:$E$1000,$R21-4)),MONTH(INDEX($E$5:$E$1000,$R21-4)),1),IF(ISNUMBER(INDEX($F$5:$F$1000,$R21-4)),DATE(YEAR(INDEX($F$5:$F$1000,$R21-4)),MONTH(INDEX($F$5:$F$1000,$R21-4)),1),MesCiclo)),IF(ISNUMBER($E21),DATE(YEAR($E21),MONTH($E21),1),IF(ISNUMBER($F21),DATE(YEAR($F21),MONTH($F21),1),MesCiclo))))</f>
        <v/>
      </c>
      <c r="Q21" s="70">
        <f>IF(OR($P21="",$P21&lt;&gt;MesCiclo),"",COUNTIF($P$5:$P21,MesCiclo))</f>
        <v/>
      </c>
      <c r="R21" s="70">
        <f>IF($S21="","",IF($S21="Macro",ROW(),IFERROR(LOOKUP(2,1/($S$5:$S21="Macro"),ROW($S$5:$S21)),0)))</f>
        <v/>
      </c>
      <c r="S21" s="70">
        <f>IF(NOT((COUNTA($B21:$K21)+COUNTA($N21))&gt;0),"",IF($B21&lt;&gt;"","Macro",IF($C21&lt;&gt;"","Sub","Macro")))</f>
        <v/>
      </c>
      <c r="T21" s="70">
        <f>IF($S21="Macro",COUNTIFS($R$5:$R$1000,ROW(),$S$5:$S$1000,"Sub"),"")</f>
        <v/>
      </c>
      <c r="U21" s="70">
        <f>IF($S21="","",IF(ISNUMBER($H21),$H21,0))</f>
        <v/>
      </c>
      <c r="V21" s="70">
        <f>IF($S21="","",IF(ISNUMBER($I21),$I21,$U21))</f>
        <v/>
      </c>
      <c r="W21" s="70">
        <f>IF($S21="","",IF(ISNUMBER($J21),$J21,$V21))</f>
        <v/>
      </c>
      <c r="X21" s="70">
        <f>IF($S21="","",IF(ISNUMBER($K21),$K21,$W21))</f>
        <v/>
      </c>
      <c r="Y21" s="70">
        <f>IF($S21="","",IF(N($T21)&gt;0,AVERAGEIFS($U$5:$U$1000,$R$5:$R$1000,ROW(),$S$5:$S$1000,"Sub"),$U21))</f>
        <v/>
      </c>
      <c r="Z21" s="70">
        <f>IF($S21="","",IF(N($T21)&gt;0,AVERAGEIFS($V$5:$V$1000,$R$5:$R$1000,ROW(),$S$5:$S$1000,"Sub"),$V21))</f>
        <v/>
      </c>
      <c r="AA21" s="70">
        <f>IF($S21="","",IF(N($T21)&gt;0,AVERAGEIFS($W$5:$W$1000,$R$5:$R$1000,ROW(),$S$5:$S$1000,"Sub"),$W21))</f>
        <v/>
      </c>
      <c r="AB21" s="70">
        <f>IF($S21="","",IF(N($T21)&gt;0,AVERAGEIFS($X$5:$X$1000,$R$5:$R$1000,ROW(),$S$5:$S$1000,"Sub"),$X21))</f>
        <v/>
      </c>
    </row>
    <row r="22">
      <c r="A22" s="61">
        <f>IF(NOT((COUNTA($B22:$K22)+COUNTA($N22))&gt;0),"",IF($S22="Macro",COUNTIFS($S$5:$S22,"Macro",$P$5:$P22,$P22),IF(N($R22)=0,"?",COUNTIFS(INDEX($S$5:$S$1000,1):INDEX($S$5:$S$1000,$R22-4),"Macro",INDEX($P$5:$P$1000,1):INDEX($P$5:$P$1000,$R22-4),INDEX($P$5:$P$1000,$R22-4))&amp;"."&amp;COUNTIFS($R$5:$R22,$R22,$S$5:$S22,"Sub"))))</f>
        <v/>
      </c>
      <c r="B22" s="62" t="n"/>
      <c r="C22" s="63" t="n"/>
      <c r="D22" s="62" t="n"/>
      <c r="E22" s="64" t="n"/>
      <c r="F22" s="64" t="n"/>
      <c r="G22" s="65" t="n"/>
      <c r="H22" s="66" t="n"/>
      <c r="I22" s="66" t="n"/>
      <c r="J22" s="66" t="n"/>
      <c r="K22" s="66" t="n"/>
      <c r="L22" s="67">
        <f>IF(NOT((COUNTA($B22:$K22)+COUNTA($N22))&gt;0),"",IF(N($T22)&gt;0,$AB22,IFERROR(LOOKUP(2,1/(H22:K22&lt;&gt;""),H22:K22),0)))</f>
        <v/>
      </c>
      <c r="M22" s="61">
        <f>IF(L22="","",IF(L22&gt;=1,"Completado",IF(L22&gt;0,"En curso","Pendiente")))</f>
        <v/>
      </c>
      <c r="N22" s="62" t="n"/>
      <c r="O22" s="68">
        <f>IF(NOT((COUNTA($B22:$K22)+COUNTA($N22))&gt;0),"",IF((IF(AND($S22="Macro",$B22=""),"Macroactividad vacía"&amp;" · ","")&amp;IF(AND($B22&lt;&gt;"",$C22&lt;&gt;""),"Escriba la subactividad en otra fila, debajo de su macroactividad"&amp;" · ","")&amp;IF(AND($S22="Sub",N($R22)=0),"Subactividad sin macroactividad arriba"&amp;" · ","")&amp;IF($D22="","Sin responsable"&amp;" · ","")&amp;IF($E22="","Sin fecha de inicio"&amp;" · ","")&amp;IF($F22="","Sin fecha límite"&amp;" · ","")&amp;IF(OR(AND($E22&lt;&gt;"",NOT(ISNUMBER($E22))),AND($F22&lt;&gt;"",NOT(ISNUMBER($F22)))),"Fecha no válida"&amp;" · ","")&amp;IF(AND(ISNUMBER($E22),ISNUMBER($F22),$E22&gt;$F22),"Inicio posterior a fecha límite"&amp;" · ","")&amp;IF(AND($S22="Macro",$G22=""),"Peso vacío"&amp;" · ","")&amp;IF(AND($S22="Macro",$G22&lt;&gt;"",OR(NOT(ISNUMBER($G22)),$G22&lt;=0,$G22&gt;1)),"Peso fuera de rango"&amp;" · ","")&amp;IF(AND($S22="Sub",$G22&lt;&gt;""),"Las subactividades no llevan peso"&amp;" · ","")&amp;IF(AND($S22="Macro",ABS(SUMIFS($G$5:$G$1000,$P$5:$P$1000,$P22,$S$5:$S$1000,"Macro")-1)&gt;0.0001),"Pesos del mes suman "&amp;TEXT(SUMIFS($G$5:$G$1000,$P$5:$P$1000,$P22,$S$5:$S$1000,"Macro"),"0%")&amp;" · ","")&amp;IF(AND(N($T22)&gt;0,COUNT($H22:$K22)&gt;0),"Con subactividades: deje vacías las semanas (se calculan solas)"&amp;" · ","")&amp;IF((COUNTIF($H22:$K22,"&gt;1")+COUNTIF($H22:$K22,"&lt;0")+COUNTA($H22:$K22)-COUNT($H22:$K22))&gt;0,"Avance fuera de rango 0-100%"&amp;" · ","")&amp;IF(OR(AND($I22&lt;&gt;"",$I22&lt;$H22),AND($J22&lt;&gt;"",$J22&lt;MAX($H22:$I22)),AND($K22&lt;&gt;"",$K22&lt;MAX($H22:$J22))),"Avance semanal decreciente"&amp;" · ","")&amp;IF(AND(ISNUMBER($F22),$F22&lt;FechaRef,N($L22)&lt;1),"Vencida"&amp;" · ","")&amp;IF(AND(ObsObligatoria="Sí",ISNUMBER($F22),$F22&lt;FechaRef,N($L22)&lt;1,$N22=""),"Vencida sin observación"&amp;" · ",""))="","✔ OK","⚠ "&amp;LEFT(IF(AND($S22="Macro",$B22=""),"Macroactividad vacía"&amp;" · ","")&amp;IF(AND($B22&lt;&gt;"",$C22&lt;&gt;""),"Escriba la subactividad en otra fila, debajo de su macroactividad"&amp;" · ","")&amp;IF(AND($S22="Sub",N($R22)=0),"Subactividad sin macroactividad arriba"&amp;" · ","")&amp;IF($D22="","Sin responsable"&amp;" · ","")&amp;IF($E22="","Sin fecha de inicio"&amp;" · ","")&amp;IF($F22="","Sin fecha límite"&amp;" · ","")&amp;IF(OR(AND($E22&lt;&gt;"",NOT(ISNUMBER($E22))),AND($F22&lt;&gt;"",NOT(ISNUMBER($F22)))),"Fecha no válida"&amp;" · ","")&amp;IF(AND(ISNUMBER($E22),ISNUMBER($F22),$E22&gt;$F22),"Inicio posterior a fecha límite"&amp;" · ","")&amp;IF(AND($S22="Macro",$G22=""),"Peso vacío"&amp;" · ","")&amp;IF(AND($S22="Macro",$G22&lt;&gt;"",OR(NOT(ISNUMBER($G22)),$G22&lt;=0,$G22&gt;1)),"Peso fuera de rango"&amp;" · ","")&amp;IF(AND($S22="Sub",$G22&lt;&gt;""),"Las subactividades no llevan peso"&amp;" · ","")&amp;IF(AND($S22="Macro",ABS(SUMIFS($G$5:$G$1000,$P$5:$P$1000,$P22,$S$5:$S$1000,"Macro")-1)&gt;0.0001),"Pesos del mes suman "&amp;TEXT(SUMIFS($G$5:$G$1000,$P$5:$P$1000,$P22,$S$5:$S$1000,"Macro"),"0%")&amp;" · ","")&amp;IF(AND(N($T22)&gt;0,COUNT($H22:$K22)&gt;0),"Con subactividades: deje vacías las semanas (se calculan solas)"&amp;" · ","")&amp;IF((COUNTIF($H22:$K22,"&gt;1")+COUNTIF($H22:$K22,"&lt;0")+COUNTA($H22:$K22)-COUNT($H22:$K22))&gt;0,"Avance fuera de rango 0-100%"&amp;" · ","")&amp;IF(OR(AND($I22&lt;&gt;"",$I22&lt;$H22),AND($J22&lt;&gt;"",$J22&lt;MAX($H22:$I22)),AND($K22&lt;&gt;"",$K22&lt;MAX($H22:$J22))),"Avance semanal decreciente"&amp;" · ","")&amp;IF(AND(ISNUMBER($F22),$F22&lt;FechaRef,N($L22)&lt;1),"Vencida"&amp;" · ","")&amp;IF(AND(ObsObligatoria="Sí",ISNUMBER($F22),$F22&lt;FechaRef,N($L22)&lt;1,$N22=""),"Vencida sin observación"&amp;" · ",""),LEN(IF(AND($S22="Macro",$B22=""),"Macroactividad vacía"&amp;" · ","")&amp;IF(AND($B22&lt;&gt;"",$C22&lt;&gt;""),"Escriba la subactividad en otra fila, debajo de su macroactividad"&amp;" · ","")&amp;IF(AND($S22="Sub",N($R22)=0),"Subactividad sin macroactividad arriba"&amp;" · ","")&amp;IF($D22="","Sin responsable"&amp;" · ","")&amp;IF($E22="","Sin fecha de inicio"&amp;" · ","")&amp;IF($F22="","Sin fecha límite"&amp;" · ","")&amp;IF(OR(AND($E22&lt;&gt;"",NOT(ISNUMBER($E22))),AND($F22&lt;&gt;"",NOT(ISNUMBER($F22)))),"Fecha no válida"&amp;" · ","")&amp;IF(AND(ISNUMBER($E22),ISNUMBER($F22),$E22&gt;$F22),"Inicio posterior a fecha límite"&amp;" · ","")&amp;IF(AND($S22="Macro",$G22=""),"Peso vacío"&amp;" · ","")&amp;IF(AND($S22="Macro",$G22&lt;&gt;"",OR(NOT(ISNUMBER($G22)),$G22&lt;=0,$G22&gt;1)),"Peso fuera de rango"&amp;" · ","")&amp;IF(AND($S22="Sub",$G22&lt;&gt;""),"Las subactividades no llevan peso"&amp;" · ","")&amp;IF(AND($S22="Macro",ABS(SUMIFS($G$5:$G$1000,$P$5:$P$1000,$P22,$S$5:$S$1000,"Macro")-1)&gt;0.0001),"Pesos del mes suman "&amp;TEXT(SUMIFS($G$5:$G$1000,$P$5:$P$1000,$P22,$S$5:$S$1000,"Macro"),"0%")&amp;" · ","")&amp;IF(AND(N($T22)&gt;0,COUNT($H22:$K22)&gt;0),"Con subactividades: deje vacías las semanas (se calculan solas)"&amp;" · ","")&amp;IF((COUNTIF($H22:$K22,"&gt;1")+COUNTIF($H22:$K22,"&lt;0")+COUNTA($H22:$K22)-COUNT($H22:$K22))&gt;0,"Avance fuera de rango 0-100%"&amp;" · ","")&amp;IF(OR(AND($I22&lt;&gt;"",$I22&lt;$H22),AND($J22&lt;&gt;"",$J22&lt;MAX($H22:$I22)),AND($K22&lt;&gt;"",$K22&lt;MAX($H22:$J22))),"Avance semanal decreciente"&amp;" · ","")&amp;IF(AND(ISNUMBER($F22),$F22&lt;FechaRef,N($L22)&lt;1),"Vencida"&amp;" · ","")&amp;IF(AND(ObsObligatoria="Sí",ISNUMBER($F22),$F22&lt;FechaRef,N($L22)&lt;1,$N22=""),"Vencida sin observación"&amp;" · ",""))-3)))</f>
        <v/>
      </c>
      <c r="P22" s="69">
        <f>IF(NOT((COUNTA($B22:$K22)+COUNTA($N22))&gt;0),"",IF(AND($S22="Sub",N($R22)&gt;0),IF(ISNUMBER(INDEX($E$5:$E$1000,$R22-4)),DATE(YEAR(INDEX($E$5:$E$1000,$R22-4)),MONTH(INDEX($E$5:$E$1000,$R22-4)),1),IF(ISNUMBER(INDEX($F$5:$F$1000,$R22-4)),DATE(YEAR(INDEX($F$5:$F$1000,$R22-4)),MONTH(INDEX($F$5:$F$1000,$R22-4)),1),MesCiclo)),IF(ISNUMBER($E22),DATE(YEAR($E22),MONTH($E22),1),IF(ISNUMBER($F22),DATE(YEAR($F22),MONTH($F22),1),MesCiclo))))</f>
        <v/>
      </c>
      <c r="Q22" s="70">
        <f>IF(OR($P22="",$P22&lt;&gt;MesCiclo),"",COUNTIF($P$5:$P22,MesCiclo))</f>
        <v/>
      </c>
      <c r="R22" s="70">
        <f>IF($S22="","",IF($S22="Macro",ROW(),IFERROR(LOOKUP(2,1/($S$5:$S22="Macro"),ROW($S$5:$S22)),0)))</f>
        <v/>
      </c>
      <c r="S22" s="70">
        <f>IF(NOT((COUNTA($B22:$K22)+COUNTA($N22))&gt;0),"",IF($B22&lt;&gt;"","Macro",IF($C22&lt;&gt;"","Sub","Macro")))</f>
        <v/>
      </c>
      <c r="T22" s="70">
        <f>IF($S22="Macro",COUNTIFS($R$5:$R$1000,ROW(),$S$5:$S$1000,"Sub"),"")</f>
        <v/>
      </c>
      <c r="U22" s="70">
        <f>IF($S22="","",IF(ISNUMBER($H22),$H22,0))</f>
        <v/>
      </c>
      <c r="V22" s="70">
        <f>IF($S22="","",IF(ISNUMBER($I22),$I22,$U22))</f>
        <v/>
      </c>
      <c r="W22" s="70">
        <f>IF($S22="","",IF(ISNUMBER($J22),$J22,$V22))</f>
        <v/>
      </c>
      <c r="X22" s="70">
        <f>IF($S22="","",IF(ISNUMBER($K22),$K22,$W22))</f>
        <v/>
      </c>
      <c r="Y22" s="70">
        <f>IF($S22="","",IF(N($T22)&gt;0,AVERAGEIFS($U$5:$U$1000,$R$5:$R$1000,ROW(),$S$5:$S$1000,"Sub"),$U22))</f>
        <v/>
      </c>
      <c r="Z22" s="70">
        <f>IF($S22="","",IF(N($T22)&gt;0,AVERAGEIFS($V$5:$V$1000,$R$5:$R$1000,ROW(),$S$5:$S$1000,"Sub"),$V22))</f>
        <v/>
      </c>
      <c r="AA22" s="70">
        <f>IF($S22="","",IF(N($T22)&gt;0,AVERAGEIFS($W$5:$W$1000,$R$5:$R$1000,ROW(),$S$5:$S$1000,"Sub"),$W22))</f>
        <v/>
      </c>
      <c r="AB22" s="70">
        <f>IF($S22="","",IF(N($T22)&gt;0,AVERAGEIFS($X$5:$X$1000,$R$5:$R$1000,ROW(),$S$5:$S$1000,"Sub"),$X22))</f>
        <v/>
      </c>
    </row>
    <row r="23">
      <c r="A23" s="61">
        <f>IF(NOT((COUNTA($B23:$K23)+COUNTA($N23))&gt;0),"",IF($S23="Macro",COUNTIFS($S$5:$S23,"Macro",$P$5:$P23,$P23),IF(N($R23)=0,"?",COUNTIFS(INDEX($S$5:$S$1000,1):INDEX($S$5:$S$1000,$R23-4),"Macro",INDEX($P$5:$P$1000,1):INDEX($P$5:$P$1000,$R23-4),INDEX($P$5:$P$1000,$R23-4))&amp;"."&amp;COUNTIFS($R$5:$R23,$R23,$S$5:$S23,"Sub"))))</f>
        <v/>
      </c>
      <c r="B23" s="62" t="n"/>
      <c r="C23" s="63" t="n"/>
      <c r="D23" s="62" t="n"/>
      <c r="E23" s="64" t="n"/>
      <c r="F23" s="64" t="n"/>
      <c r="G23" s="65" t="n"/>
      <c r="H23" s="66" t="n"/>
      <c r="I23" s="66" t="n"/>
      <c r="J23" s="66" t="n"/>
      <c r="K23" s="66" t="n"/>
      <c r="L23" s="67">
        <f>IF(NOT((COUNTA($B23:$K23)+COUNTA($N23))&gt;0),"",IF(N($T23)&gt;0,$AB23,IFERROR(LOOKUP(2,1/(H23:K23&lt;&gt;""),H23:K23),0)))</f>
        <v/>
      </c>
      <c r="M23" s="61">
        <f>IF(L23="","",IF(L23&gt;=1,"Completado",IF(L23&gt;0,"En curso","Pendiente")))</f>
        <v/>
      </c>
      <c r="N23" s="62" t="n"/>
      <c r="O23" s="68">
        <f>IF(NOT((COUNTA($B23:$K23)+COUNTA($N23))&gt;0),"",IF((IF(AND($S23="Macro",$B23=""),"Macroactividad vacía"&amp;" · ","")&amp;IF(AND($B23&lt;&gt;"",$C23&lt;&gt;""),"Escriba la subactividad en otra fila, debajo de su macroactividad"&amp;" · ","")&amp;IF(AND($S23="Sub",N($R23)=0),"Subactividad sin macroactividad arriba"&amp;" · ","")&amp;IF($D23="","Sin responsable"&amp;" · ","")&amp;IF($E23="","Sin fecha de inicio"&amp;" · ","")&amp;IF($F23="","Sin fecha límite"&amp;" · ","")&amp;IF(OR(AND($E23&lt;&gt;"",NOT(ISNUMBER($E23))),AND($F23&lt;&gt;"",NOT(ISNUMBER($F23)))),"Fecha no válida"&amp;" · ","")&amp;IF(AND(ISNUMBER($E23),ISNUMBER($F23),$E23&gt;$F23),"Inicio posterior a fecha límite"&amp;" · ","")&amp;IF(AND($S23="Macro",$G23=""),"Peso vacío"&amp;" · ","")&amp;IF(AND($S23="Macro",$G23&lt;&gt;"",OR(NOT(ISNUMBER($G23)),$G23&lt;=0,$G23&gt;1)),"Peso fuera de rango"&amp;" · ","")&amp;IF(AND($S23="Sub",$G23&lt;&gt;""),"Las subactividades no llevan peso"&amp;" · ","")&amp;IF(AND($S23="Macro",ABS(SUMIFS($G$5:$G$1000,$P$5:$P$1000,$P23,$S$5:$S$1000,"Macro")-1)&gt;0.0001),"Pesos del mes suman "&amp;TEXT(SUMIFS($G$5:$G$1000,$P$5:$P$1000,$P23,$S$5:$S$1000,"Macro"),"0%")&amp;" · ","")&amp;IF(AND(N($T23)&gt;0,COUNT($H23:$K23)&gt;0),"Con subactividades: deje vacías las semanas (se calculan solas)"&amp;" · ","")&amp;IF((COUNTIF($H23:$K23,"&gt;1")+COUNTIF($H23:$K23,"&lt;0")+COUNTA($H23:$K23)-COUNT($H23:$K23))&gt;0,"Avance fuera de rango 0-100%"&amp;" · ","")&amp;IF(OR(AND($I23&lt;&gt;"",$I23&lt;$H23),AND($J23&lt;&gt;"",$J23&lt;MAX($H23:$I23)),AND($K23&lt;&gt;"",$K23&lt;MAX($H23:$J23))),"Avance semanal decreciente"&amp;" · ","")&amp;IF(AND(ISNUMBER($F23),$F23&lt;FechaRef,N($L23)&lt;1),"Vencida"&amp;" · ","")&amp;IF(AND(ObsObligatoria="Sí",ISNUMBER($F23),$F23&lt;FechaRef,N($L23)&lt;1,$N23=""),"Vencida sin observación"&amp;" · ",""))="","✔ OK","⚠ "&amp;LEFT(IF(AND($S23="Macro",$B23=""),"Macroactividad vacía"&amp;" · ","")&amp;IF(AND($B23&lt;&gt;"",$C23&lt;&gt;""),"Escriba la subactividad en otra fila, debajo de su macroactividad"&amp;" · ","")&amp;IF(AND($S23="Sub",N($R23)=0),"Subactividad sin macroactividad arriba"&amp;" · ","")&amp;IF($D23="","Sin responsable"&amp;" · ","")&amp;IF($E23="","Sin fecha de inicio"&amp;" · ","")&amp;IF($F23="","Sin fecha límite"&amp;" · ","")&amp;IF(OR(AND($E23&lt;&gt;"",NOT(ISNUMBER($E23))),AND($F23&lt;&gt;"",NOT(ISNUMBER($F23)))),"Fecha no válida"&amp;" · ","")&amp;IF(AND(ISNUMBER($E23),ISNUMBER($F23),$E23&gt;$F23),"Inicio posterior a fecha límite"&amp;" · ","")&amp;IF(AND($S23="Macro",$G23=""),"Peso vacío"&amp;" · ","")&amp;IF(AND($S23="Macro",$G23&lt;&gt;"",OR(NOT(ISNUMBER($G23)),$G23&lt;=0,$G23&gt;1)),"Peso fuera de rango"&amp;" · ","")&amp;IF(AND($S23="Sub",$G23&lt;&gt;""),"Las subactividades no llevan peso"&amp;" · ","")&amp;IF(AND($S23="Macro",ABS(SUMIFS($G$5:$G$1000,$P$5:$P$1000,$P23,$S$5:$S$1000,"Macro")-1)&gt;0.0001),"Pesos del mes suman "&amp;TEXT(SUMIFS($G$5:$G$1000,$P$5:$P$1000,$P23,$S$5:$S$1000,"Macro"),"0%")&amp;" · ","")&amp;IF(AND(N($T23)&gt;0,COUNT($H23:$K23)&gt;0),"Con subactividades: deje vacías las semanas (se calculan solas)"&amp;" · ","")&amp;IF((COUNTIF($H23:$K23,"&gt;1")+COUNTIF($H23:$K23,"&lt;0")+COUNTA($H23:$K23)-COUNT($H23:$K23))&gt;0,"Avance fuera de rango 0-100%"&amp;" · ","")&amp;IF(OR(AND($I23&lt;&gt;"",$I23&lt;$H23),AND($J23&lt;&gt;"",$J23&lt;MAX($H23:$I23)),AND($K23&lt;&gt;"",$K23&lt;MAX($H23:$J23))),"Avance semanal decreciente"&amp;" · ","")&amp;IF(AND(ISNUMBER($F23),$F23&lt;FechaRef,N($L23)&lt;1),"Vencida"&amp;" · ","")&amp;IF(AND(ObsObligatoria="Sí",ISNUMBER($F23),$F23&lt;FechaRef,N($L23)&lt;1,$N23=""),"Vencida sin observación"&amp;" · ",""),LEN(IF(AND($S23="Macro",$B23=""),"Macroactividad vacía"&amp;" · ","")&amp;IF(AND($B23&lt;&gt;"",$C23&lt;&gt;""),"Escriba la subactividad en otra fila, debajo de su macroactividad"&amp;" · ","")&amp;IF(AND($S23="Sub",N($R23)=0),"Subactividad sin macroactividad arriba"&amp;" · ","")&amp;IF($D23="","Sin responsable"&amp;" · ","")&amp;IF($E23="","Sin fecha de inicio"&amp;" · ","")&amp;IF($F23="","Sin fecha límite"&amp;" · ","")&amp;IF(OR(AND($E23&lt;&gt;"",NOT(ISNUMBER($E23))),AND($F23&lt;&gt;"",NOT(ISNUMBER($F23)))),"Fecha no válida"&amp;" · ","")&amp;IF(AND(ISNUMBER($E23),ISNUMBER($F23),$E23&gt;$F23),"Inicio posterior a fecha límite"&amp;" · ","")&amp;IF(AND($S23="Macro",$G23=""),"Peso vacío"&amp;" · ","")&amp;IF(AND($S23="Macro",$G23&lt;&gt;"",OR(NOT(ISNUMBER($G23)),$G23&lt;=0,$G23&gt;1)),"Peso fuera de rango"&amp;" · ","")&amp;IF(AND($S23="Sub",$G23&lt;&gt;""),"Las subactividades no llevan peso"&amp;" · ","")&amp;IF(AND($S23="Macro",ABS(SUMIFS($G$5:$G$1000,$P$5:$P$1000,$P23,$S$5:$S$1000,"Macro")-1)&gt;0.0001),"Pesos del mes suman "&amp;TEXT(SUMIFS($G$5:$G$1000,$P$5:$P$1000,$P23,$S$5:$S$1000,"Macro"),"0%")&amp;" · ","")&amp;IF(AND(N($T23)&gt;0,COUNT($H23:$K23)&gt;0),"Con subactividades: deje vacías las semanas (se calculan solas)"&amp;" · ","")&amp;IF((COUNTIF($H23:$K23,"&gt;1")+COUNTIF($H23:$K23,"&lt;0")+COUNTA($H23:$K23)-COUNT($H23:$K23))&gt;0,"Avance fuera de rango 0-100%"&amp;" · ","")&amp;IF(OR(AND($I23&lt;&gt;"",$I23&lt;$H23),AND($J23&lt;&gt;"",$J23&lt;MAX($H23:$I23)),AND($K23&lt;&gt;"",$K23&lt;MAX($H23:$J23))),"Avance semanal decreciente"&amp;" · ","")&amp;IF(AND(ISNUMBER($F23),$F23&lt;FechaRef,N($L23)&lt;1),"Vencida"&amp;" · ","")&amp;IF(AND(ObsObligatoria="Sí",ISNUMBER($F23),$F23&lt;FechaRef,N($L23)&lt;1,$N23=""),"Vencida sin observación"&amp;" · ",""))-3)))</f>
        <v/>
      </c>
      <c r="P23" s="69">
        <f>IF(NOT((COUNTA($B23:$K23)+COUNTA($N23))&gt;0),"",IF(AND($S23="Sub",N($R23)&gt;0),IF(ISNUMBER(INDEX($E$5:$E$1000,$R23-4)),DATE(YEAR(INDEX($E$5:$E$1000,$R23-4)),MONTH(INDEX($E$5:$E$1000,$R23-4)),1),IF(ISNUMBER(INDEX($F$5:$F$1000,$R23-4)),DATE(YEAR(INDEX($F$5:$F$1000,$R23-4)),MONTH(INDEX($F$5:$F$1000,$R23-4)),1),MesCiclo)),IF(ISNUMBER($E23),DATE(YEAR($E23),MONTH($E23),1),IF(ISNUMBER($F23),DATE(YEAR($F23),MONTH($F23),1),MesCiclo))))</f>
        <v/>
      </c>
      <c r="Q23" s="70">
        <f>IF(OR($P23="",$P23&lt;&gt;MesCiclo),"",COUNTIF($P$5:$P23,MesCiclo))</f>
        <v/>
      </c>
      <c r="R23" s="70">
        <f>IF($S23="","",IF($S23="Macro",ROW(),IFERROR(LOOKUP(2,1/($S$5:$S23="Macro"),ROW($S$5:$S23)),0)))</f>
        <v/>
      </c>
      <c r="S23" s="70">
        <f>IF(NOT((COUNTA($B23:$K23)+COUNTA($N23))&gt;0),"",IF($B23&lt;&gt;"","Macro",IF($C23&lt;&gt;"","Sub","Macro")))</f>
        <v/>
      </c>
      <c r="T23" s="70">
        <f>IF($S23="Macro",COUNTIFS($R$5:$R$1000,ROW(),$S$5:$S$1000,"Sub"),"")</f>
        <v/>
      </c>
      <c r="U23" s="70">
        <f>IF($S23="","",IF(ISNUMBER($H23),$H23,0))</f>
        <v/>
      </c>
      <c r="V23" s="70">
        <f>IF($S23="","",IF(ISNUMBER($I23),$I23,$U23))</f>
        <v/>
      </c>
      <c r="W23" s="70">
        <f>IF($S23="","",IF(ISNUMBER($J23),$J23,$V23))</f>
        <v/>
      </c>
      <c r="X23" s="70">
        <f>IF($S23="","",IF(ISNUMBER($K23),$K23,$W23))</f>
        <v/>
      </c>
      <c r="Y23" s="70">
        <f>IF($S23="","",IF(N($T23)&gt;0,AVERAGEIFS($U$5:$U$1000,$R$5:$R$1000,ROW(),$S$5:$S$1000,"Sub"),$U23))</f>
        <v/>
      </c>
      <c r="Z23" s="70">
        <f>IF($S23="","",IF(N($T23)&gt;0,AVERAGEIFS($V$5:$V$1000,$R$5:$R$1000,ROW(),$S$5:$S$1000,"Sub"),$V23))</f>
        <v/>
      </c>
      <c r="AA23" s="70">
        <f>IF($S23="","",IF(N($T23)&gt;0,AVERAGEIFS($W$5:$W$1000,$R$5:$R$1000,ROW(),$S$5:$S$1000,"Sub"),$W23))</f>
        <v/>
      </c>
      <c r="AB23" s="70">
        <f>IF($S23="","",IF(N($T23)&gt;0,AVERAGEIFS($X$5:$X$1000,$R$5:$R$1000,ROW(),$S$5:$S$1000,"Sub"),$X23))</f>
        <v/>
      </c>
    </row>
    <row r="24">
      <c r="A24" s="61">
        <f>IF(NOT((COUNTA($B24:$K24)+COUNTA($N24))&gt;0),"",IF($S24="Macro",COUNTIFS($S$5:$S24,"Macro",$P$5:$P24,$P24),IF(N($R24)=0,"?",COUNTIFS(INDEX($S$5:$S$1000,1):INDEX($S$5:$S$1000,$R24-4),"Macro",INDEX($P$5:$P$1000,1):INDEX($P$5:$P$1000,$R24-4),INDEX($P$5:$P$1000,$R24-4))&amp;"."&amp;COUNTIFS($R$5:$R24,$R24,$S$5:$S24,"Sub"))))</f>
        <v/>
      </c>
      <c r="B24" s="62" t="n"/>
      <c r="C24" s="63" t="n"/>
      <c r="D24" s="62" t="n"/>
      <c r="E24" s="64" t="n"/>
      <c r="F24" s="64" t="n"/>
      <c r="G24" s="65" t="n"/>
      <c r="H24" s="66" t="n"/>
      <c r="I24" s="66" t="n"/>
      <c r="J24" s="66" t="n"/>
      <c r="K24" s="66" t="n"/>
      <c r="L24" s="67">
        <f>IF(NOT((COUNTA($B24:$K24)+COUNTA($N24))&gt;0),"",IF(N($T24)&gt;0,$AB24,IFERROR(LOOKUP(2,1/(H24:K24&lt;&gt;""),H24:K24),0)))</f>
        <v/>
      </c>
      <c r="M24" s="61">
        <f>IF(L24="","",IF(L24&gt;=1,"Completado",IF(L24&gt;0,"En curso","Pendiente")))</f>
        <v/>
      </c>
      <c r="N24" s="62" t="n"/>
      <c r="O24" s="68">
        <f>IF(NOT((COUNTA($B24:$K24)+COUNTA($N24))&gt;0),"",IF((IF(AND($S24="Macro",$B24=""),"Macroactividad vacía"&amp;" · ","")&amp;IF(AND($B24&lt;&gt;"",$C24&lt;&gt;""),"Escriba la subactividad en otra fila, debajo de su macroactividad"&amp;" · ","")&amp;IF(AND($S24="Sub",N($R24)=0),"Subactividad sin macroactividad arriba"&amp;" · ","")&amp;IF($D24="","Sin responsable"&amp;" · ","")&amp;IF($E24="","Sin fecha de inicio"&amp;" · ","")&amp;IF($F24="","Sin fecha límite"&amp;" · ","")&amp;IF(OR(AND($E24&lt;&gt;"",NOT(ISNUMBER($E24))),AND($F24&lt;&gt;"",NOT(ISNUMBER($F24)))),"Fecha no válida"&amp;" · ","")&amp;IF(AND(ISNUMBER($E24),ISNUMBER($F24),$E24&gt;$F24),"Inicio posterior a fecha límite"&amp;" · ","")&amp;IF(AND($S24="Macro",$G24=""),"Peso vacío"&amp;" · ","")&amp;IF(AND($S24="Macro",$G24&lt;&gt;"",OR(NOT(ISNUMBER($G24)),$G24&lt;=0,$G24&gt;1)),"Peso fuera de rango"&amp;" · ","")&amp;IF(AND($S24="Sub",$G24&lt;&gt;""),"Las subactividades no llevan peso"&amp;" · ","")&amp;IF(AND($S24="Macro",ABS(SUMIFS($G$5:$G$1000,$P$5:$P$1000,$P24,$S$5:$S$1000,"Macro")-1)&gt;0.0001),"Pesos del mes suman "&amp;TEXT(SUMIFS($G$5:$G$1000,$P$5:$P$1000,$P24,$S$5:$S$1000,"Macro"),"0%")&amp;" · ","")&amp;IF(AND(N($T24)&gt;0,COUNT($H24:$K24)&gt;0),"Con subactividades: deje vacías las semanas (se calculan solas)"&amp;" · ","")&amp;IF((COUNTIF($H24:$K24,"&gt;1")+COUNTIF($H24:$K24,"&lt;0")+COUNTA($H24:$K24)-COUNT($H24:$K24))&gt;0,"Avance fuera de rango 0-100%"&amp;" · ","")&amp;IF(OR(AND($I24&lt;&gt;"",$I24&lt;$H24),AND($J24&lt;&gt;"",$J24&lt;MAX($H24:$I24)),AND($K24&lt;&gt;"",$K24&lt;MAX($H24:$J24))),"Avance semanal decreciente"&amp;" · ","")&amp;IF(AND(ISNUMBER($F24),$F24&lt;FechaRef,N($L24)&lt;1),"Vencida"&amp;" · ","")&amp;IF(AND(ObsObligatoria="Sí",ISNUMBER($F24),$F24&lt;FechaRef,N($L24)&lt;1,$N24=""),"Vencida sin observación"&amp;" · ",""))="","✔ OK","⚠ "&amp;LEFT(IF(AND($S24="Macro",$B24=""),"Macroactividad vacía"&amp;" · ","")&amp;IF(AND($B24&lt;&gt;"",$C24&lt;&gt;""),"Escriba la subactividad en otra fila, debajo de su macroactividad"&amp;" · ","")&amp;IF(AND($S24="Sub",N($R24)=0),"Subactividad sin macroactividad arriba"&amp;" · ","")&amp;IF($D24="","Sin responsable"&amp;" · ","")&amp;IF($E24="","Sin fecha de inicio"&amp;" · ","")&amp;IF($F24="","Sin fecha límite"&amp;" · ","")&amp;IF(OR(AND($E24&lt;&gt;"",NOT(ISNUMBER($E24))),AND($F24&lt;&gt;"",NOT(ISNUMBER($F24)))),"Fecha no válida"&amp;" · ","")&amp;IF(AND(ISNUMBER($E24),ISNUMBER($F24),$E24&gt;$F24),"Inicio posterior a fecha límite"&amp;" · ","")&amp;IF(AND($S24="Macro",$G24=""),"Peso vacío"&amp;" · ","")&amp;IF(AND($S24="Macro",$G24&lt;&gt;"",OR(NOT(ISNUMBER($G24)),$G24&lt;=0,$G24&gt;1)),"Peso fuera de rango"&amp;" · ","")&amp;IF(AND($S24="Sub",$G24&lt;&gt;""),"Las subactividades no llevan peso"&amp;" · ","")&amp;IF(AND($S24="Macro",ABS(SUMIFS($G$5:$G$1000,$P$5:$P$1000,$P24,$S$5:$S$1000,"Macro")-1)&gt;0.0001),"Pesos del mes suman "&amp;TEXT(SUMIFS($G$5:$G$1000,$P$5:$P$1000,$P24,$S$5:$S$1000,"Macro"),"0%")&amp;" · ","")&amp;IF(AND(N($T24)&gt;0,COUNT($H24:$K24)&gt;0),"Con subactividades: deje vacías las semanas (se calculan solas)"&amp;" · ","")&amp;IF((COUNTIF($H24:$K24,"&gt;1")+COUNTIF($H24:$K24,"&lt;0")+COUNTA($H24:$K24)-COUNT($H24:$K24))&gt;0,"Avance fuera de rango 0-100%"&amp;" · ","")&amp;IF(OR(AND($I24&lt;&gt;"",$I24&lt;$H24),AND($J24&lt;&gt;"",$J24&lt;MAX($H24:$I24)),AND($K24&lt;&gt;"",$K24&lt;MAX($H24:$J24))),"Avance semanal decreciente"&amp;" · ","")&amp;IF(AND(ISNUMBER($F24),$F24&lt;FechaRef,N($L24)&lt;1),"Vencida"&amp;" · ","")&amp;IF(AND(ObsObligatoria="Sí",ISNUMBER($F24),$F24&lt;FechaRef,N($L24)&lt;1,$N24=""),"Vencida sin observación"&amp;" · ",""),LEN(IF(AND($S24="Macro",$B24=""),"Macroactividad vacía"&amp;" · ","")&amp;IF(AND($B24&lt;&gt;"",$C24&lt;&gt;""),"Escriba la subactividad en otra fila, debajo de su macroactividad"&amp;" · ","")&amp;IF(AND($S24="Sub",N($R24)=0),"Subactividad sin macroactividad arriba"&amp;" · ","")&amp;IF($D24="","Sin responsable"&amp;" · ","")&amp;IF($E24="","Sin fecha de inicio"&amp;" · ","")&amp;IF($F24="","Sin fecha límite"&amp;" · ","")&amp;IF(OR(AND($E24&lt;&gt;"",NOT(ISNUMBER($E24))),AND($F24&lt;&gt;"",NOT(ISNUMBER($F24)))),"Fecha no válida"&amp;" · ","")&amp;IF(AND(ISNUMBER($E24),ISNUMBER($F24),$E24&gt;$F24),"Inicio posterior a fecha límite"&amp;" · ","")&amp;IF(AND($S24="Macro",$G24=""),"Peso vacío"&amp;" · ","")&amp;IF(AND($S24="Macro",$G24&lt;&gt;"",OR(NOT(ISNUMBER($G24)),$G24&lt;=0,$G24&gt;1)),"Peso fuera de rango"&amp;" · ","")&amp;IF(AND($S24="Sub",$G24&lt;&gt;""),"Las subactividades no llevan peso"&amp;" · ","")&amp;IF(AND($S24="Macro",ABS(SUMIFS($G$5:$G$1000,$P$5:$P$1000,$P24,$S$5:$S$1000,"Macro")-1)&gt;0.0001),"Pesos del mes suman "&amp;TEXT(SUMIFS($G$5:$G$1000,$P$5:$P$1000,$P24,$S$5:$S$1000,"Macro"),"0%")&amp;" · ","")&amp;IF(AND(N($T24)&gt;0,COUNT($H24:$K24)&gt;0),"Con subactividades: deje vacías las semanas (se calculan solas)"&amp;" · ","")&amp;IF((COUNTIF($H24:$K24,"&gt;1")+COUNTIF($H24:$K24,"&lt;0")+COUNTA($H24:$K24)-COUNT($H24:$K24))&gt;0,"Avance fuera de rango 0-100%"&amp;" · ","")&amp;IF(OR(AND($I24&lt;&gt;"",$I24&lt;$H24),AND($J24&lt;&gt;"",$J24&lt;MAX($H24:$I24)),AND($K24&lt;&gt;"",$K24&lt;MAX($H24:$J24))),"Avance semanal decreciente"&amp;" · ","")&amp;IF(AND(ISNUMBER($F24),$F24&lt;FechaRef,N($L24)&lt;1),"Vencida"&amp;" · ","")&amp;IF(AND(ObsObligatoria="Sí",ISNUMBER($F24),$F24&lt;FechaRef,N($L24)&lt;1,$N24=""),"Vencida sin observación"&amp;" · ",""))-3)))</f>
        <v/>
      </c>
      <c r="P24" s="69">
        <f>IF(NOT((COUNTA($B24:$K24)+COUNTA($N24))&gt;0),"",IF(AND($S24="Sub",N($R24)&gt;0),IF(ISNUMBER(INDEX($E$5:$E$1000,$R24-4)),DATE(YEAR(INDEX($E$5:$E$1000,$R24-4)),MONTH(INDEX($E$5:$E$1000,$R24-4)),1),IF(ISNUMBER(INDEX($F$5:$F$1000,$R24-4)),DATE(YEAR(INDEX($F$5:$F$1000,$R24-4)),MONTH(INDEX($F$5:$F$1000,$R24-4)),1),MesCiclo)),IF(ISNUMBER($E24),DATE(YEAR($E24),MONTH($E24),1),IF(ISNUMBER($F24),DATE(YEAR($F24),MONTH($F24),1),MesCiclo))))</f>
        <v/>
      </c>
      <c r="Q24" s="70">
        <f>IF(OR($P24="",$P24&lt;&gt;MesCiclo),"",COUNTIF($P$5:$P24,MesCiclo))</f>
        <v/>
      </c>
      <c r="R24" s="70">
        <f>IF($S24="","",IF($S24="Macro",ROW(),IFERROR(LOOKUP(2,1/($S$5:$S24="Macro"),ROW($S$5:$S24)),0)))</f>
        <v/>
      </c>
      <c r="S24" s="70">
        <f>IF(NOT((COUNTA($B24:$K24)+COUNTA($N24))&gt;0),"",IF($B24&lt;&gt;"","Macro",IF($C24&lt;&gt;"","Sub","Macro")))</f>
        <v/>
      </c>
      <c r="T24" s="70">
        <f>IF($S24="Macro",COUNTIFS($R$5:$R$1000,ROW(),$S$5:$S$1000,"Sub"),"")</f>
        <v/>
      </c>
      <c r="U24" s="70">
        <f>IF($S24="","",IF(ISNUMBER($H24),$H24,0))</f>
        <v/>
      </c>
      <c r="V24" s="70">
        <f>IF($S24="","",IF(ISNUMBER($I24),$I24,$U24))</f>
        <v/>
      </c>
      <c r="W24" s="70">
        <f>IF($S24="","",IF(ISNUMBER($J24),$J24,$V24))</f>
        <v/>
      </c>
      <c r="X24" s="70">
        <f>IF($S24="","",IF(ISNUMBER($K24),$K24,$W24))</f>
        <v/>
      </c>
      <c r="Y24" s="70">
        <f>IF($S24="","",IF(N($T24)&gt;0,AVERAGEIFS($U$5:$U$1000,$R$5:$R$1000,ROW(),$S$5:$S$1000,"Sub"),$U24))</f>
        <v/>
      </c>
      <c r="Z24" s="70">
        <f>IF($S24="","",IF(N($T24)&gt;0,AVERAGEIFS($V$5:$V$1000,$R$5:$R$1000,ROW(),$S$5:$S$1000,"Sub"),$V24))</f>
        <v/>
      </c>
      <c r="AA24" s="70">
        <f>IF($S24="","",IF(N($T24)&gt;0,AVERAGEIFS($W$5:$W$1000,$R$5:$R$1000,ROW(),$S$5:$S$1000,"Sub"),$W24))</f>
        <v/>
      </c>
      <c r="AB24" s="70">
        <f>IF($S24="","",IF(N($T24)&gt;0,AVERAGEIFS($X$5:$X$1000,$R$5:$R$1000,ROW(),$S$5:$S$1000,"Sub"),$X24))</f>
        <v/>
      </c>
    </row>
    <row r="25">
      <c r="A25" s="61">
        <f>IF(NOT((COUNTA($B25:$K25)+COUNTA($N25))&gt;0),"",IF($S25="Macro",COUNTIFS($S$5:$S25,"Macro",$P$5:$P25,$P25),IF(N($R25)=0,"?",COUNTIFS(INDEX($S$5:$S$1000,1):INDEX($S$5:$S$1000,$R25-4),"Macro",INDEX($P$5:$P$1000,1):INDEX($P$5:$P$1000,$R25-4),INDEX($P$5:$P$1000,$R25-4))&amp;"."&amp;COUNTIFS($R$5:$R25,$R25,$S$5:$S25,"Sub"))))</f>
        <v/>
      </c>
      <c r="B25" s="62" t="n"/>
      <c r="C25" s="63" t="n"/>
      <c r="D25" s="62" t="n"/>
      <c r="E25" s="64" t="n"/>
      <c r="F25" s="64" t="n"/>
      <c r="G25" s="65" t="n"/>
      <c r="H25" s="66" t="n"/>
      <c r="I25" s="66" t="n"/>
      <c r="J25" s="66" t="n"/>
      <c r="K25" s="66" t="n"/>
      <c r="L25" s="67">
        <f>IF(NOT((COUNTA($B25:$K25)+COUNTA($N25))&gt;0),"",IF(N($T25)&gt;0,$AB25,IFERROR(LOOKUP(2,1/(H25:K25&lt;&gt;""),H25:K25),0)))</f>
        <v/>
      </c>
      <c r="M25" s="61">
        <f>IF(L25="","",IF(L25&gt;=1,"Completado",IF(L25&gt;0,"En curso","Pendiente")))</f>
        <v/>
      </c>
      <c r="N25" s="62" t="n"/>
      <c r="O25" s="68">
        <f>IF(NOT((COUNTA($B25:$K25)+COUNTA($N25))&gt;0),"",IF((IF(AND($S25="Macro",$B25=""),"Macroactividad vacía"&amp;" · ","")&amp;IF(AND($B25&lt;&gt;"",$C25&lt;&gt;""),"Escriba la subactividad en otra fila, debajo de su macroactividad"&amp;" · ","")&amp;IF(AND($S25="Sub",N($R25)=0),"Subactividad sin macroactividad arriba"&amp;" · ","")&amp;IF($D25="","Sin responsable"&amp;" · ","")&amp;IF($E25="","Sin fecha de inicio"&amp;" · ","")&amp;IF($F25="","Sin fecha límite"&amp;" · ","")&amp;IF(OR(AND($E25&lt;&gt;"",NOT(ISNUMBER($E25))),AND($F25&lt;&gt;"",NOT(ISNUMBER($F25)))),"Fecha no válida"&amp;" · ","")&amp;IF(AND(ISNUMBER($E25),ISNUMBER($F25),$E25&gt;$F25),"Inicio posterior a fecha límite"&amp;" · ","")&amp;IF(AND($S25="Macro",$G25=""),"Peso vacío"&amp;" · ","")&amp;IF(AND($S25="Macro",$G25&lt;&gt;"",OR(NOT(ISNUMBER($G25)),$G25&lt;=0,$G25&gt;1)),"Peso fuera de rango"&amp;" · ","")&amp;IF(AND($S25="Sub",$G25&lt;&gt;""),"Las subactividades no llevan peso"&amp;" · ","")&amp;IF(AND($S25="Macro",ABS(SUMIFS($G$5:$G$1000,$P$5:$P$1000,$P25,$S$5:$S$1000,"Macro")-1)&gt;0.0001),"Pesos del mes suman "&amp;TEXT(SUMIFS($G$5:$G$1000,$P$5:$P$1000,$P25,$S$5:$S$1000,"Macro"),"0%")&amp;" · ","")&amp;IF(AND(N($T25)&gt;0,COUNT($H25:$K25)&gt;0),"Con subactividades: deje vacías las semanas (se calculan solas)"&amp;" · ","")&amp;IF((COUNTIF($H25:$K25,"&gt;1")+COUNTIF($H25:$K25,"&lt;0")+COUNTA($H25:$K25)-COUNT($H25:$K25))&gt;0,"Avance fuera de rango 0-100%"&amp;" · ","")&amp;IF(OR(AND($I25&lt;&gt;"",$I25&lt;$H25),AND($J25&lt;&gt;"",$J25&lt;MAX($H25:$I25)),AND($K25&lt;&gt;"",$K25&lt;MAX($H25:$J25))),"Avance semanal decreciente"&amp;" · ","")&amp;IF(AND(ISNUMBER($F25),$F25&lt;FechaRef,N($L25)&lt;1),"Vencida"&amp;" · ","")&amp;IF(AND(ObsObligatoria="Sí",ISNUMBER($F25),$F25&lt;FechaRef,N($L25)&lt;1,$N25=""),"Vencida sin observación"&amp;" · ",""))="","✔ OK","⚠ "&amp;LEFT(IF(AND($S25="Macro",$B25=""),"Macroactividad vacía"&amp;" · ","")&amp;IF(AND($B25&lt;&gt;"",$C25&lt;&gt;""),"Escriba la subactividad en otra fila, debajo de su macroactividad"&amp;" · ","")&amp;IF(AND($S25="Sub",N($R25)=0),"Subactividad sin macroactividad arriba"&amp;" · ","")&amp;IF($D25="","Sin responsable"&amp;" · ","")&amp;IF($E25="","Sin fecha de inicio"&amp;" · ","")&amp;IF($F25="","Sin fecha límite"&amp;" · ","")&amp;IF(OR(AND($E25&lt;&gt;"",NOT(ISNUMBER($E25))),AND($F25&lt;&gt;"",NOT(ISNUMBER($F25)))),"Fecha no válida"&amp;" · ","")&amp;IF(AND(ISNUMBER($E25),ISNUMBER($F25),$E25&gt;$F25),"Inicio posterior a fecha límite"&amp;" · ","")&amp;IF(AND($S25="Macro",$G25=""),"Peso vacío"&amp;" · ","")&amp;IF(AND($S25="Macro",$G25&lt;&gt;"",OR(NOT(ISNUMBER($G25)),$G25&lt;=0,$G25&gt;1)),"Peso fuera de rango"&amp;" · ","")&amp;IF(AND($S25="Sub",$G25&lt;&gt;""),"Las subactividades no llevan peso"&amp;" · ","")&amp;IF(AND($S25="Macro",ABS(SUMIFS($G$5:$G$1000,$P$5:$P$1000,$P25,$S$5:$S$1000,"Macro")-1)&gt;0.0001),"Pesos del mes suman "&amp;TEXT(SUMIFS($G$5:$G$1000,$P$5:$P$1000,$P25,$S$5:$S$1000,"Macro"),"0%")&amp;" · ","")&amp;IF(AND(N($T25)&gt;0,COUNT($H25:$K25)&gt;0),"Con subactividades: deje vacías las semanas (se calculan solas)"&amp;" · ","")&amp;IF((COUNTIF($H25:$K25,"&gt;1")+COUNTIF($H25:$K25,"&lt;0")+COUNTA($H25:$K25)-COUNT($H25:$K25))&gt;0,"Avance fuera de rango 0-100%"&amp;" · ","")&amp;IF(OR(AND($I25&lt;&gt;"",$I25&lt;$H25),AND($J25&lt;&gt;"",$J25&lt;MAX($H25:$I25)),AND($K25&lt;&gt;"",$K25&lt;MAX($H25:$J25))),"Avance semanal decreciente"&amp;" · ","")&amp;IF(AND(ISNUMBER($F25),$F25&lt;FechaRef,N($L25)&lt;1),"Vencida"&amp;" · ","")&amp;IF(AND(ObsObligatoria="Sí",ISNUMBER($F25),$F25&lt;FechaRef,N($L25)&lt;1,$N25=""),"Vencida sin observación"&amp;" · ",""),LEN(IF(AND($S25="Macro",$B25=""),"Macroactividad vacía"&amp;" · ","")&amp;IF(AND($B25&lt;&gt;"",$C25&lt;&gt;""),"Escriba la subactividad en otra fila, debajo de su macroactividad"&amp;" · ","")&amp;IF(AND($S25="Sub",N($R25)=0),"Subactividad sin macroactividad arriba"&amp;" · ","")&amp;IF($D25="","Sin responsable"&amp;" · ","")&amp;IF($E25="","Sin fecha de inicio"&amp;" · ","")&amp;IF($F25="","Sin fecha límite"&amp;" · ","")&amp;IF(OR(AND($E25&lt;&gt;"",NOT(ISNUMBER($E25))),AND($F25&lt;&gt;"",NOT(ISNUMBER($F25)))),"Fecha no válida"&amp;" · ","")&amp;IF(AND(ISNUMBER($E25),ISNUMBER($F25),$E25&gt;$F25),"Inicio posterior a fecha límite"&amp;" · ","")&amp;IF(AND($S25="Macro",$G25=""),"Peso vacío"&amp;" · ","")&amp;IF(AND($S25="Macro",$G25&lt;&gt;"",OR(NOT(ISNUMBER($G25)),$G25&lt;=0,$G25&gt;1)),"Peso fuera de rango"&amp;" · ","")&amp;IF(AND($S25="Sub",$G25&lt;&gt;""),"Las subactividades no llevan peso"&amp;" · ","")&amp;IF(AND($S25="Macro",ABS(SUMIFS($G$5:$G$1000,$P$5:$P$1000,$P25,$S$5:$S$1000,"Macro")-1)&gt;0.0001),"Pesos del mes suman "&amp;TEXT(SUMIFS($G$5:$G$1000,$P$5:$P$1000,$P25,$S$5:$S$1000,"Macro"),"0%")&amp;" · ","")&amp;IF(AND(N($T25)&gt;0,COUNT($H25:$K25)&gt;0),"Con subactividades: deje vacías las semanas (se calculan solas)"&amp;" · ","")&amp;IF((COUNTIF($H25:$K25,"&gt;1")+COUNTIF($H25:$K25,"&lt;0")+COUNTA($H25:$K25)-COUNT($H25:$K25))&gt;0,"Avance fuera de rango 0-100%"&amp;" · ","")&amp;IF(OR(AND($I25&lt;&gt;"",$I25&lt;$H25),AND($J25&lt;&gt;"",$J25&lt;MAX($H25:$I25)),AND($K25&lt;&gt;"",$K25&lt;MAX($H25:$J25))),"Avance semanal decreciente"&amp;" · ","")&amp;IF(AND(ISNUMBER($F25),$F25&lt;FechaRef,N($L25)&lt;1),"Vencida"&amp;" · ","")&amp;IF(AND(ObsObligatoria="Sí",ISNUMBER($F25),$F25&lt;FechaRef,N($L25)&lt;1,$N25=""),"Vencida sin observación"&amp;" · ",""))-3)))</f>
        <v/>
      </c>
      <c r="P25" s="69">
        <f>IF(NOT((COUNTA($B25:$K25)+COUNTA($N25))&gt;0),"",IF(AND($S25="Sub",N($R25)&gt;0),IF(ISNUMBER(INDEX($E$5:$E$1000,$R25-4)),DATE(YEAR(INDEX($E$5:$E$1000,$R25-4)),MONTH(INDEX($E$5:$E$1000,$R25-4)),1),IF(ISNUMBER(INDEX($F$5:$F$1000,$R25-4)),DATE(YEAR(INDEX($F$5:$F$1000,$R25-4)),MONTH(INDEX($F$5:$F$1000,$R25-4)),1),MesCiclo)),IF(ISNUMBER($E25),DATE(YEAR($E25),MONTH($E25),1),IF(ISNUMBER($F25),DATE(YEAR($F25),MONTH($F25),1),MesCiclo))))</f>
        <v/>
      </c>
      <c r="Q25" s="70">
        <f>IF(OR($P25="",$P25&lt;&gt;MesCiclo),"",COUNTIF($P$5:$P25,MesCiclo))</f>
        <v/>
      </c>
      <c r="R25" s="70">
        <f>IF($S25="","",IF($S25="Macro",ROW(),IFERROR(LOOKUP(2,1/($S$5:$S25="Macro"),ROW($S$5:$S25)),0)))</f>
        <v/>
      </c>
      <c r="S25" s="70">
        <f>IF(NOT((COUNTA($B25:$K25)+COUNTA($N25))&gt;0),"",IF($B25&lt;&gt;"","Macro",IF($C25&lt;&gt;"","Sub","Macro")))</f>
        <v/>
      </c>
      <c r="T25" s="70">
        <f>IF($S25="Macro",COUNTIFS($R$5:$R$1000,ROW(),$S$5:$S$1000,"Sub"),"")</f>
        <v/>
      </c>
      <c r="U25" s="70">
        <f>IF($S25="","",IF(ISNUMBER($H25),$H25,0))</f>
        <v/>
      </c>
      <c r="V25" s="70">
        <f>IF($S25="","",IF(ISNUMBER($I25),$I25,$U25))</f>
        <v/>
      </c>
      <c r="W25" s="70">
        <f>IF($S25="","",IF(ISNUMBER($J25),$J25,$V25))</f>
        <v/>
      </c>
      <c r="X25" s="70">
        <f>IF($S25="","",IF(ISNUMBER($K25),$K25,$W25))</f>
        <v/>
      </c>
      <c r="Y25" s="70">
        <f>IF($S25="","",IF(N($T25)&gt;0,AVERAGEIFS($U$5:$U$1000,$R$5:$R$1000,ROW(),$S$5:$S$1000,"Sub"),$U25))</f>
        <v/>
      </c>
      <c r="Z25" s="70">
        <f>IF($S25="","",IF(N($T25)&gt;0,AVERAGEIFS($V$5:$V$1000,$R$5:$R$1000,ROW(),$S$5:$S$1000,"Sub"),$V25))</f>
        <v/>
      </c>
      <c r="AA25" s="70">
        <f>IF($S25="","",IF(N($T25)&gt;0,AVERAGEIFS($W$5:$W$1000,$R$5:$R$1000,ROW(),$S$5:$S$1000,"Sub"),$W25))</f>
        <v/>
      </c>
      <c r="AB25" s="70">
        <f>IF($S25="","",IF(N($T25)&gt;0,AVERAGEIFS($X$5:$X$1000,$R$5:$R$1000,ROW(),$S$5:$S$1000,"Sub"),$X25))</f>
        <v/>
      </c>
    </row>
    <row r="26">
      <c r="A26" s="61">
        <f>IF(NOT((COUNTA($B26:$K26)+COUNTA($N26))&gt;0),"",IF($S26="Macro",COUNTIFS($S$5:$S26,"Macro",$P$5:$P26,$P26),IF(N($R26)=0,"?",COUNTIFS(INDEX($S$5:$S$1000,1):INDEX($S$5:$S$1000,$R26-4),"Macro",INDEX($P$5:$P$1000,1):INDEX($P$5:$P$1000,$R26-4),INDEX($P$5:$P$1000,$R26-4))&amp;"."&amp;COUNTIFS($R$5:$R26,$R26,$S$5:$S26,"Sub"))))</f>
        <v/>
      </c>
      <c r="B26" s="62" t="n"/>
      <c r="C26" s="63" t="n"/>
      <c r="D26" s="62" t="n"/>
      <c r="E26" s="64" t="n"/>
      <c r="F26" s="64" t="n"/>
      <c r="G26" s="65" t="n"/>
      <c r="H26" s="66" t="n"/>
      <c r="I26" s="66" t="n"/>
      <c r="J26" s="66" t="n"/>
      <c r="K26" s="66" t="n"/>
      <c r="L26" s="67">
        <f>IF(NOT((COUNTA($B26:$K26)+COUNTA($N26))&gt;0),"",IF(N($T26)&gt;0,$AB26,IFERROR(LOOKUP(2,1/(H26:K26&lt;&gt;""),H26:K26),0)))</f>
        <v/>
      </c>
      <c r="M26" s="61">
        <f>IF(L26="","",IF(L26&gt;=1,"Completado",IF(L26&gt;0,"En curso","Pendiente")))</f>
        <v/>
      </c>
      <c r="N26" s="62" t="n"/>
      <c r="O26" s="68">
        <f>IF(NOT((COUNTA($B26:$K26)+COUNTA($N26))&gt;0),"",IF((IF(AND($S26="Macro",$B26=""),"Macroactividad vacía"&amp;" · ","")&amp;IF(AND($B26&lt;&gt;"",$C26&lt;&gt;""),"Escriba la subactividad en otra fila, debajo de su macroactividad"&amp;" · ","")&amp;IF(AND($S26="Sub",N($R26)=0),"Subactividad sin macroactividad arriba"&amp;" · ","")&amp;IF($D26="","Sin responsable"&amp;" · ","")&amp;IF($E26="","Sin fecha de inicio"&amp;" · ","")&amp;IF($F26="","Sin fecha límite"&amp;" · ","")&amp;IF(OR(AND($E26&lt;&gt;"",NOT(ISNUMBER($E26))),AND($F26&lt;&gt;"",NOT(ISNUMBER($F26)))),"Fecha no válida"&amp;" · ","")&amp;IF(AND(ISNUMBER($E26),ISNUMBER($F26),$E26&gt;$F26),"Inicio posterior a fecha límite"&amp;" · ","")&amp;IF(AND($S26="Macro",$G26=""),"Peso vacío"&amp;" · ","")&amp;IF(AND($S26="Macro",$G26&lt;&gt;"",OR(NOT(ISNUMBER($G26)),$G26&lt;=0,$G26&gt;1)),"Peso fuera de rango"&amp;" · ","")&amp;IF(AND($S26="Sub",$G26&lt;&gt;""),"Las subactividades no llevan peso"&amp;" · ","")&amp;IF(AND($S26="Macro",ABS(SUMIFS($G$5:$G$1000,$P$5:$P$1000,$P26,$S$5:$S$1000,"Macro")-1)&gt;0.0001),"Pesos del mes suman "&amp;TEXT(SUMIFS($G$5:$G$1000,$P$5:$P$1000,$P26,$S$5:$S$1000,"Macro"),"0%")&amp;" · ","")&amp;IF(AND(N($T26)&gt;0,COUNT($H26:$K26)&gt;0),"Con subactividades: deje vacías las semanas (se calculan solas)"&amp;" · ","")&amp;IF((COUNTIF($H26:$K26,"&gt;1")+COUNTIF($H26:$K26,"&lt;0")+COUNTA($H26:$K26)-COUNT($H26:$K26))&gt;0,"Avance fuera de rango 0-100%"&amp;" · ","")&amp;IF(OR(AND($I26&lt;&gt;"",$I26&lt;$H26),AND($J26&lt;&gt;"",$J26&lt;MAX($H26:$I26)),AND($K26&lt;&gt;"",$K26&lt;MAX($H26:$J26))),"Avance semanal decreciente"&amp;" · ","")&amp;IF(AND(ISNUMBER($F26),$F26&lt;FechaRef,N($L26)&lt;1),"Vencida"&amp;" · ","")&amp;IF(AND(ObsObligatoria="Sí",ISNUMBER($F26),$F26&lt;FechaRef,N($L26)&lt;1,$N26=""),"Vencida sin observación"&amp;" · ",""))="","✔ OK","⚠ "&amp;LEFT(IF(AND($S26="Macro",$B26=""),"Macroactividad vacía"&amp;" · ","")&amp;IF(AND($B26&lt;&gt;"",$C26&lt;&gt;""),"Escriba la subactividad en otra fila, debajo de su macroactividad"&amp;" · ","")&amp;IF(AND($S26="Sub",N($R26)=0),"Subactividad sin macroactividad arriba"&amp;" · ","")&amp;IF($D26="","Sin responsable"&amp;" · ","")&amp;IF($E26="","Sin fecha de inicio"&amp;" · ","")&amp;IF($F26="","Sin fecha límite"&amp;" · ","")&amp;IF(OR(AND($E26&lt;&gt;"",NOT(ISNUMBER($E26))),AND($F26&lt;&gt;"",NOT(ISNUMBER($F26)))),"Fecha no válida"&amp;" · ","")&amp;IF(AND(ISNUMBER($E26),ISNUMBER($F26),$E26&gt;$F26),"Inicio posterior a fecha límite"&amp;" · ","")&amp;IF(AND($S26="Macro",$G26=""),"Peso vacío"&amp;" · ","")&amp;IF(AND($S26="Macro",$G26&lt;&gt;"",OR(NOT(ISNUMBER($G26)),$G26&lt;=0,$G26&gt;1)),"Peso fuera de rango"&amp;" · ","")&amp;IF(AND($S26="Sub",$G26&lt;&gt;""),"Las subactividades no llevan peso"&amp;" · ","")&amp;IF(AND($S26="Macro",ABS(SUMIFS($G$5:$G$1000,$P$5:$P$1000,$P26,$S$5:$S$1000,"Macro")-1)&gt;0.0001),"Pesos del mes suman "&amp;TEXT(SUMIFS($G$5:$G$1000,$P$5:$P$1000,$P26,$S$5:$S$1000,"Macro"),"0%")&amp;" · ","")&amp;IF(AND(N($T26)&gt;0,COUNT($H26:$K26)&gt;0),"Con subactividades: deje vacías las semanas (se calculan solas)"&amp;" · ","")&amp;IF((COUNTIF($H26:$K26,"&gt;1")+COUNTIF($H26:$K26,"&lt;0")+COUNTA($H26:$K26)-COUNT($H26:$K26))&gt;0,"Avance fuera de rango 0-100%"&amp;" · ","")&amp;IF(OR(AND($I26&lt;&gt;"",$I26&lt;$H26),AND($J26&lt;&gt;"",$J26&lt;MAX($H26:$I26)),AND($K26&lt;&gt;"",$K26&lt;MAX($H26:$J26))),"Avance semanal decreciente"&amp;" · ","")&amp;IF(AND(ISNUMBER($F26),$F26&lt;FechaRef,N($L26)&lt;1),"Vencida"&amp;" · ","")&amp;IF(AND(ObsObligatoria="Sí",ISNUMBER($F26),$F26&lt;FechaRef,N($L26)&lt;1,$N26=""),"Vencida sin observación"&amp;" · ",""),LEN(IF(AND($S26="Macro",$B26=""),"Macroactividad vacía"&amp;" · ","")&amp;IF(AND($B26&lt;&gt;"",$C26&lt;&gt;""),"Escriba la subactividad en otra fila, debajo de su macroactividad"&amp;" · ","")&amp;IF(AND($S26="Sub",N($R26)=0),"Subactividad sin macroactividad arriba"&amp;" · ","")&amp;IF($D26="","Sin responsable"&amp;" · ","")&amp;IF($E26="","Sin fecha de inicio"&amp;" · ","")&amp;IF($F26="","Sin fecha límite"&amp;" · ","")&amp;IF(OR(AND($E26&lt;&gt;"",NOT(ISNUMBER($E26))),AND($F26&lt;&gt;"",NOT(ISNUMBER($F26)))),"Fecha no válida"&amp;" · ","")&amp;IF(AND(ISNUMBER($E26),ISNUMBER($F26),$E26&gt;$F26),"Inicio posterior a fecha límite"&amp;" · ","")&amp;IF(AND($S26="Macro",$G26=""),"Peso vacío"&amp;" · ","")&amp;IF(AND($S26="Macro",$G26&lt;&gt;"",OR(NOT(ISNUMBER($G26)),$G26&lt;=0,$G26&gt;1)),"Peso fuera de rango"&amp;" · ","")&amp;IF(AND($S26="Sub",$G26&lt;&gt;""),"Las subactividades no llevan peso"&amp;" · ","")&amp;IF(AND($S26="Macro",ABS(SUMIFS($G$5:$G$1000,$P$5:$P$1000,$P26,$S$5:$S$1000,"Macro")-1)&gt;0.0001),"Pesos del mes suman "&amp;TEXT(SUMIFS($G$5:$G$1000,$P$5:$P$1000,$P26,$S$5:$S$1000,"Macro"),"0%")&amp;" · ","")&amp;IF(AND(N($T26)&gt;0,COUNT($H26:$K26)&gt;0),"Con subactividades: deje vacías las semanas (se calculan solas)"&amp;" · ","")&amp;IF((COUNTIF($H26:$K26,"&gt;1")+COUNTIF($H26:$K26,"&lt;0")+COUNTA($H26:$K26)-COUNT($H26:$K26))&gt;0,"Avance fuera de rango 0-100%"&amp;" · ","")&amp;IF(OR(AND($I26&lt;&gt;"",$I26&lt;$H26),AND($J26&lt;&gt;"",$J26&lt;MAX($H26:$I26)),AND($K26&lt;&gt;"",$K26&lt;MAX($H26:$J26))),"Avance semanal decreciente"&amp;" · ","")&amp;IF(AND(ISNUMBER($F26),$F26&lt;FechaRef,N($L26)&lt;1),"Vencida"&amp;" · ","")&amp;IF(AND(ObsObligatoria="Sí",ISNUMBER($F26),$F26&lt;FechaRef,N($L26)&lt;1,$N26=""),"Vencida sin observación"&amp;" · ",""))-3)))</f>
        <v/>
      </c>
      <c r="P26" s="69">
        <f>IF(NOT((COUNTA($B26:$K26)+COUNTA($N26))&gt;0),"",IF(AND($S26="Sub",N($R26)&gt;0),IF(ISNUMBER(INDEX($E$5:$E$1000,$R26-4)),DATE(YEAR(INDEX($E$5:$E$1000,$R26-4)),MONTH(INDEX($E$5:$E$1000,$R26-4)),1),IF(ISNUMBER(INDEX($F$5:$F$1000,$R26-4)),DATE(YEAR(INDEX($F$5:$F$1000,$R26-4)),MONTH(INDEX($F$5:$F$1000,$R26-4)),1),MesCiclo)),IF(ISNUMBER($E26),DATE(YEAR($E26),MONTH($E26),1),IF(ISNUMBER($F26),DATE(YEAR($F26),MONTH($F26),1),MesCiclo))))</f>
        <v/>
      </c>
      <c r="Q26" s="70">
        <f>IF(OR($P26="",$P26&lt;&gt;MesCiclo),"",COUNTIF($P$5:$P26,MesCiclo))</f>
        <v/>
      </c>
      <c r="R26" s="70">
        <f>IF($S26="","",IF($S26="Macro",ROW(),IFERROR(LOOKUP(2,1/($S$5:$S26="Macro"),ROW($S$5:$S26)),0)))</f>
        <v/>
      </c>
      <c r="S26" s="70">
        <f>IF(NOT((COUNTA($B26:$K26)+COUNTA($N26))&gt;0),"",IF($B26&lt;&gt;"","Macro",IF($C26&lt;&gt;"","Sub","Macro")))</f>
        <v/>
      </c>
      <c r="T26" s="70">
        <f>IF($S26="Macro",COUNTIFS($R$5:$R$1000,ROW(),$S$5:$S$1000,"Sub"),"")</f>
        <v/>
      </c>
      <c r="U26" s="70">
        <f>IF($S26="","",IF(ISNUMBER($H26),$H26,0))</f>
        <v/>
      </c>
      <c r="V26" s="70">
        <f>IF($S26="","",IF(ISNUMBER($I26),$I26,$U26))</f>
        <v/>
      </c>
      <c r="W26" s="70">
        <f>IF($S26="","",IF(ISNUMBER($J26),$J26,$V26))</f>
        <v/>
      </c>
      <c r="X26" s="70">
        <f>IF($S26="","",IF(ISNUMBER($K26),$K26,$W26))</f>
        <v/>
      </c>
      <c r="Y26" s="70">
        <f>IF($S26="","",IF(N($T26)&gt;0,AVERAGEIFS($U$5:$U$1000,$R$5:$R$1000,ROW(),$S$5:$S$1000,"Sub"),$U26))</f>
        <v/>
      </c>
      <c r="Z26" s="70">
        <f>IF($S26="","",IF(N($T26)&gt;0,AVERAGEIFS($V$5:$V$1000,$R$5:$R$1000,ROW(),$S$5:$S$1000,"Sub"),$V26))</f>
        <v/>
      </c>
      <c r="AA26" s="70">
        <f>IF($S26="","",IF(N($T26)&gt;0,AVERAGEIFS($W$5:$W$1000,$R$5:$R$1000,ROW(),$S$5:$S$1000,"Sub"),$W26))</f>
        <v/>
      </c>
      <c r="AB26" s="70">
        <f>IF($S26="","",IF(N($T26)&gt;0,AVERAGEIFS($X$5:$X$1000,$R$5:$R$1000,ROW(),$S$5:$S$1000,"Sub"),$X26))</f>
        <v/>
      </c>
    </row>
    <row r="27">
      <c r="A27" s="61">
        <f>IF(NOT((COUNTA($B27:$K27)+COUNTA($N27))&gt;0),"",IF($S27="Macro",COUNTIFS($S$5:$S27,"Macro",$P$5:$P27,$P27),IF(N($R27)=0,"?",COUNTIFS(INDEX($S$5:$S$1000,1):INDEX($S$5:$S$1000,$R27-4),"Macro",INDEX($P$5:$P$1000,1):INDEX($P$5:$P$1000,$R27-4),INDEX($P$5:$P$1000,$R27-4))&amp;"."&amp;COUNTIFS($R$5:$R27,$R27,$S$5:$S27,"Sub"))))</f>
        <v/>
      </c>
      <c r="B27" s="62" t="n"/>
      <c r="C27" s="63" t="n"/>
      <c r="D27" s="62" t="n"/>
      <c r="E27" s="64" t="n"/>
      <c r="F27" s="64" t="n"/>
      <c r="G27" s="65" t="n"/>
      <c r="H27" s="66" t="n"/>
      <c r="I27" s="66" t="n"/>
      <c r="J27" s="66" t="n"/>
      <c r="K27" s="66" t="n"/>
      <c r="L27" s="67">
        <f>IF(NOT((COUNTA($B27:$K27)+COUNTA($N27))&gt;0),"",IF(N($T27)&gt;0,$AB27,IFERROR(LOOKUP(2,1/(H27:K27&lt;&gt;""),H27:K27),0)))</f>
        <v/>
      </c>
      <c r="M27" s="61">
        <f>IF(L27="","",IF(L27&gt;=1,"Completado",IF(L27&gt;0,"En curso","Pendiente")))</f>
        <v/>
      </c>
      <c r="N27" s="62" t="n"/>
      <c r="O27" s="68">
        <f>IF(NOT((COUNTA($B27:$K27)+COUNTA($N27))&gt;0),"",IF((IF(AND($S27="Macro",$B27=""),"Macroactividad vacía"&amp;" · ","")&amp;IF(AND($B27&lt;&gt;"",$C27&lt;&gt;""),"Escriba la subactividad en otra fila, debajo de su macroactividad"&amp;" · ","")&amp;IF(AND($S27="Sub",N($R27)=0),"Subactividad sin macroactividad arriba"&amp;" · ","")&amp;IF($D27="","Sin responsable"&amp;" · ","")&amp;IF($E27="","Sin fecha de inicio"&amp;" · ","")&amp;IF($F27="","Sin fecha límite"&amp;" · ","")&amp;IF(OR(AND($E27&lt;&gt;"",NOT(ISNUMBER($E27))),AND($F27&lt;&gt;"",NOT(ISNUMBER($F27)))),"Fecha no válida"&amp;" · ","")&amp;IF(AND(ISNUMBER($E27),ISNUMBER($F27),$E27&gt;$F27),"Inicio posterior a fecha límite"&amp;" · ","")&amp;IF(AND($S27="Macro",$G27=""),"Peso vacío"&amp;" · ","")&amp;IF(AND($S27="Macro",$G27&lt;&gt;"",OR(NOT(ISNUMBER($G27)),$G27&lt;=0,$G27&gt;1)),"Peso fuera de rango"&amp;" · ","")&amp;IF(AND($S27="Sub",$G27&lt;&gt;""),"Las subactividades no llevan peso"&amp;" · ","")&amp;IF(AND($S27="Macro",ABS(SUMIFS($G$5:$G$1000,$P$5:$P$1000,$P27,$S$5:$S$1000,"Macro")-1)&gt;0.0001),"Pesos del mes suman "&amp;TEXT(SUMIFS($G$5:$G$1000,$P$5:$P$1000,$P27,$S$5:$S$1000,"Macro"),"0%")&amp;" · ","")&amp;IF(AND(N($T27)&gt;0,COUNT($H27:$K27)&gt;0),"Con subactividades: deje vacías las semanas (se calculan solas)"&amp;" · ","")&amp;IF((COUNTIF($H27:$K27,"&gt;1")+COUNTIF($H27:$K27,"&lt;0")+COUNTA($H27:$K27)-COUNT($H27:$K27))&gt;0,"Avance fuera de rango 0-100%"&amp;" · ","")&amp;IF(OR(AND($I27&lt;&gt;"",$I27&lt;$H27),AND($J27&lt;&gt;"",$J27&lt;MAX($H27:$I27)),AND($K27&lt;&gt;"",$K27&lt;MAX($H27:$J27))),"Avance semanal decreciente"&amp;" · ","")&amp;IF(AND(ISNUMBER($F27),$F27&lt;FechaRef,N($L27)&lt;1),"Vencida"&amp;" · ","")&amp;IF(AND(ObsObligatoria="Sí",ISNUMBER($F27),$F27&lt;FechaRef,N($L27)&lt;1,$N27=""),"Vencida sin observación"&amp;" · ",""))="","✔ OK","⚠ "&amp;LEFT(IF(AND($S27="Macro",$B27=""),"Macroactividad vacía"&amp;" · ","")&amp;IF(AND($B27&lt;&gt;"",$C27&lt;&gt;""),"Escriba la subactividad en otra fila, debajo de su macroactividad"&amp;" · ","")&amp;IF(AND($S27="Sub",N($R27)=0),"Subactividad sin macroactividad arriba"&amp;" · ","")&amp;IF($D27="","Sin responsable"&amp;" · ","")&amp;IF($E27="","Sin fecha de inicio"&amp;" · ","")&amp;IF($F27="","Sin fecha límite"&amp;" · ","")&amp;IF(OR(AND($E27&lt;&gt;"",NOT(ISNUMBER($E27))),AND($F27&lt;&gt;"",NOT(ISNUMBER($F27)))),"Fecha no válida"&amp;" · ","")&amp;IF(AND(ISNUMBER($E27),ISNUMBER($F27),$E27&gt;$F27),"Inicio posterior a fecha límite"&amp;" · ","")&amp;IF(AND($S27="Macro",$G27=""),"Peso vacío"&amp;" · ","")&amp;IF(AND($S27="Macro",$G27&lt;&gt;"",OR(NOT(ISNUMBER($G27)),$G27&lt;=0,$G27&gt;1)),"Peso fuera de rango"&amp;" · ","")&amp;IF(AND($S27="Sub",$G27&lt;&gt;""),"Las subactividades no llevan peso"&amp;" · ","")&amp;IF(AND($S27="Macro",ABS(SUMIFS($G$5:$G$1000,$P$5:$P$1000,$P27,$S$5:$S$1000,"Macro")-1)&gt;0.0001),"Pesos del mes suman "&amp;TEXT(SUMIFS($G$5:$G$1000,$P$5:$P$1000,$P27,$S$5:$S$1000,"Macro"),"0%")&amp;" · ","")&amp;IF(AND(N($T27)&gt;0,COUNT($H27:$K27)&gt;0),"Con subactividades: deje vacías las semanas (se calculan solas)"&amp;" · ","")&amp;IF((COUNTIF($H27:$K27,"&gt;1")+COUNTIF($H27:$K27,"&lt;0")+COUNTA($H27:$K27)-COUNT($H27:$K27))&gt;0,"Avance fuera de rango 0-100%"&amp;" · ","")&amp;IF(OR(AND($I27&lt;&gt;"",$I27&lt;$H27),AND($J27&lt;&gt;"",$J27&lt;MAX($H27:$I27)),AND($K27&lt;&gt;"",$K27&lt;MAX($H27:$J27))),"Avance semanal decreciente"&amp;" · ","")&amp;IF(AND(ISNUMBER($F27),$F27&lt;FechaRef,N($L27)&lt;1),"Vencida"&amp;" · ","")&amp;IF(AND(ObsObligatoria="Sí",ISNUMBER($F27),$F27&lt;FechaRef,N($L27)&lt;1,$N27=""),"Vencida sin observación"&amp;" · ",""),LEN(IF(AND($S27="Macro",$B27=""),"Macroactividad vacía"&amp;" · ","")&amp;IF(AND($B27&lt;&gt;"",$C27&lt;&gt;""),"Escriba la subactividad en otra fila, debajo de su macroactividad"&amp;" · ","")&amp;IF(AND($S27="Sub",N($R27)=0),"Subactividad sin macroactividad arriba"&amp;" · ","")&amp;IF($D27="","Sin responsable"&amp;" · ","")&amp;IF($E27="","Sin fecha de inicio"&amp;" · ","")&amp;IF($F27="","Sin fecha límite"&amp;" · ","")&amp;IF(OR(AND($E27&lt;&gt;"",NOT(ISNUMBER($E27))),AND($F27&lt;&gt;"",NOT(ISNUMBER($F27)))),"Fecha no válida"&amp;" · ","")&amp;IF(AND(ISNUMBER($E27),ISNUMBER($F27),$E27&gt;$F27),"Inicio posterior a fecha límite"&amp;" · ","")&amp;IF(AND($S27="Macro",$G27=""),"Peso vacío"&amp;" · ","")&amp;IF(AND($S27="Macro",$G27&lt;&gt;"",OR(NOT(ISNUMBER($G27)),$G27&lt;=0,$G27&gt;1)),"Peso fuera de rango"&amp;" · ","")&amp;IF(AND($S27="Sub",$G27&lt;&gt;""),"Las subactividades no llevan peso"&amp;" · ","")&amp;IF(AND($S27="Macro",ABS(SUMIFS($G$5:$G$1000,$P$5:$P$1000,$P27,$S$5:$S$1000,"Macro")-1)&gt;0.0001),"Pesos del mes suman "&amp;TEXT(SUMIFS($G$5:$G$1000,$P$5:$P$1000,$P27,$S$5:$S$1000,"Macro"),"0%")&amp;" · ","")&amp;IF(AND(N($T27)&gt;0,COUNT($H27:$K27)&gt;0),"Con subactividades: deje vacías las semanas (se calculan solas)"&amp;" · ","")&amp;IF((COUNTIF($H27:$K27,"&gt;1")+COUNTIF($H27:$K27,"&lt;0")+COUNTA($H27:$K27)-COUNT($H27:$K27))&gt;0,"Avance fuera de rango 0-100%"&amp;" · ","")&amp;IF(OR(AND($I27&lt;&gt;"",$I27&lt;$H27),AND($J27&lt;&gt;"",$J27&lt;MAX($H27:$I27)),AND($K27&lt;&gt;"",$K27&lt;MAX($H27:$J27))),"Avance semanal decreciente"&amp;" · ","")&amp;IF(AND(ISNUMBER($F27),$F27&lt;FechaRef,N($L27)&lt;1),"Vencida"&amp;" · ","")&amp;IF(AND(ObsObligatoria="Sí",ISNUMBER($F27),$F27&lt;FechaRef,N($L27)&lt;1,$N27=""),"Vencida sin observación"&amp;" · ",""))-3)))</f>
        <v/>
      </c>
      <c r="P27" s="69">
        <f>IF(NOT((COUNTA($B27:$K27)+COUNTA($N27))&gt;0),"",IF(AND($S27="Sub",N($R27)&gt;0),IF(ISNUMBER(INDEX($E$5:$E$1000,$R27-4)),DATE(YEAR(INDEX($E$5:$E$1000,$R27-4)),MONTH(INDEX($E$5:$E$1000,$R27-4)),1),IF(ISNUMBER(INDEX($F$5:$F$1000,$R27-4)),DATE(YEAR(INDEX($F$5:$F$1000,$R27-4)),MONTH(INDEX($F$5:$F$1000,$R27-4)),1),MesCiclo)),IF(ISNUMBER($E27),DATE(YEAR($E27),MONTH($E27),1),IF(ISNUMBER($F27),DATE(YEAR($F27),MONTH($F27),1),MesCiclo))))</f>
        <v/>
      </c>
      <c r="Q27" s="70">
        <f>IF(OR($P27="",$P27&lt;&gt;MesCiclo),"",COUNTIF($P$5:$P27,MesCiclo))</f>
        <v/>
      </c>
      <c r="R27" s="70">
        <f>IF($S27="","",IF($S27="Macro",ROW(),IFERROR(LOOKUP(2,1/($S$5:$S27="Macro"),ROW($S$5:$S27)),0)))</f>
        <v/>
      </c>
      <c r="S27" s="70">
        <f>IF(NOT((COUNTA($B27:$K27)+COUNTA($N27))&gt;0),"",IF($B27&lt;&gt;"","Macro",IF($C27&lt;&gt;"","Sub","Macro")))</f>
        <v/>
      </c>
      <c r="T27" s="70">
        <f>IF($S27="Macro",COUNTIFS($R$5:$R$1000,ROW(),$S$5:$S$1000,"Sub"),"")</f>
        <v/>
      </c>
      <c r="U27" s="70">
        <f>IF($S27="","",IF(ISNUMBER($H27),$H27,0))</f>
        <v/>
      </c>
      <c r="V27" s="70">
        <f>IF($S27="","",IF(ISNUMBER($I27),$I27,$U27))</f>
        <v/>
      </c>
      <c r="W27" s="70">
        <f>IF($S27="","",IF(ISNUMBER($J27),$J27,$V27))</f>
        <v/>
      </c>
      <c r="X27" s="70">
        <f>IF($S27="","",IF(ISNUMBER($K27),$K27,$W27))</f>
        <v/>
      </c>
      <c r="Y27" s="70">
        <f>IF($S27="","",IF(N($T27)&gt;0,AVERAGEIFS($U$5:$U$1000,$R$5:$R$1000,ROW(),$S$5:$S$1000,"Sub"),$U27))</f>
        <v/>
      </c>
      <c r="Z27" s="70">
        <f>IF($S27="","",IF(N($T27)&gt;0,AVERAGEIFS($V$5:$V$1000,$R$5:$R$1000,ROW(),$S$5:$S$1000,"Sub"),$V27))</f>
        <v/>
      </c>
      <c r="AA27" s="70">
        <f>IF($S27="","",IF(N($T27)&gt;0,AVERAGEIFS($W$5:$W$1000,$R$5:$R$1000,ROW(),$S$5:$S$1000,"Sub"),$W27))</f>
        <v/>
      </c>
      <c r="AB27" s="70">
        <f>IF($S27="","",IF(N($T27)&gt;0,AVERAGEIFS($X$5:$X$1000,$R$5:$R$1000,ROW(),$S$5:$S$1000,"Sub"),$X27))</f>
        <v/>
      </c>
    </row>
    <row r="28">
      <c r="A28" s="61">
        <f>IF(NOT((COUNTA($B28:$K28)+COUNTA($N28))&gt;0),"",IF($S28="Macro",COUNTIFS($S$5:$S28,"Macro",$P$5:$P28,$P28),IF(N($R28)=0,"?",COUNTIFS(INDEX($S$5:$S$1000,1):INDEX($S$5:$S$1000,$R28-4),"Macro",INDEX($P$5:$P$1000,1):INDEX($P$5:$P$1000,$R28-4),INDEX($P$5:$P$1000,$R28-4))&amp;"."&amp;COUNTIFS($R$5:$R28,$R28,$S$5:$S28,"Sub"))))</f>
        <v/>
      </c>
      <c r="B28" s="62" t="n"/>
      <c r="C28" s="63" t="n"/>
      <c r="D28" s="62" t="n"/>
      <c r="E28" s="64" t="n"/>
      <c r="F28" s="64" t="n"/>
      <c r="G28" s="65" t="n"/>
      <c r="H28" s="66" t="n"/>
      <c r="I28" s="66" t="n"/>
      <c r="J28" s="66" t="n"/>
      <c r="K28" s="66" t="n"/>
      <c r="L28" s="67">
        <f>IF(NOT((COUNTA($B28:$K28)+COUNTA($N28))&gt;0),"",IF(N($T28)&gt;0,$AB28,IFERROR(LOOKUP(2,1/(H28:K28&lt;&gt;""),H28:K28),0)))</f>
        <v/>
      </c>
      <c r="M28" s="61">
        <f>IF(L28="","",IF(L28&gt;=1,"Completado",IF(L28&gt;0,"En curso","Pendiente")))</f>
        <v/>
      </c>
      <c r="N28" s="62" t="n"/>
      <c r="O28" s="68">
        <f>IF(NOT((COUNTA($B28:$K28)+COUNTA($N28))&gt;0),"",IF((IF(AND($S28="Macro",$B28=""),"Macroactividad vacía"&amp;" · ","")&amp;IF(AND($B28&lt;&gt;"",$C28&lt;&gt;""),"Escriba la subactividad en otra fila, debajo de su macroactividad"&amp;" · ","")&amp;IF(AND($S28="Sub",N($R28)=0),"Subactividad sin macroactividad arriba"&amp;" · ","")&amp;IF($D28="","Sin responsable"&amp;" · ","")&amp;IF($E28="","Sin fecha de inicio"&amp;" · ","")&amp;IF($F28="","Sin fecha límite"&amp;" · ","")&amp;IF(OR(AND($E28&lt;&gt;"",NOT(ISNUMBER($E28))),AND($F28&lt;&gt;"",NOT(ISNUMBER($F28)))),"Fecha no válida"&amp;" · ","")&amp;IF(AND(ISNUMBER($E28),ISNUMBER($F28),$E28&gt;$F28),"Inicio posterior a fecha límite"&amp;" · ","")&amp;IF(AND($S28="Macro",$G28=""),"Peso vacío"&amp;" · ","")&amp;IF(AND($S28="Macro",$G28&lt;&gt;"",OR(NOT(ISNUMBER($G28)),$G28&lt;=0,$G28&gt;1)),"Peso fuera de rango"&amp;" · ","")&amp;IF(AND($S28="Sub",$G28&lt;&gt;""),"Las subactividades no llevan peso"&amp;" · ","")&amp;IF(AND($S28="Macro",ABS(SUMIFS($G$5:$G$1000,$P$5:$P$1000,$P28,$S$5:$S$1000,"Macro")-1)&gt;0.0001),"Pesos del mes suman "&amp;TEXT(SUMIFS($G$5:$G$1000,$P$5:$P$1000,$P28,$S$5:$S$1000,"Macro"),"0%")&amp;" · ","")&amp;IF(AND(N($T28)&gt;0,COUNT($H28:$K28)&gt;0),"Con subactividades: deje vacías las semanas (se calculan solas)"&amp;" · ","")&amp;IF((COUNTIF($H28:$K28,"&gt;1")+COUNTIF($H28:$K28,"&lt;0")+COUNTA($H28:$K28)-COUNT($H28:$K28))&gt;0,"Avance fuera de rango 0-100%"&amp;" · ","")&amp;IF(OR(AND($I28&lt;&gt;"",$I28&lt;$H28),AND($J28&lt;&gt;"",$J28&lt;MAX($H28:$I28)),AND($K28&lt;&gt;"",$K28&lt;MAX($H28:$J28))),"Avance semanal decreciente"&amp;" · ","")&amp;IF(AND(ISNUMBER($F28),$F28&lt;FechaRef,N($L28)&lt;1),"Vencida"&amp;" · ","")&amp;IF(AND(ObsObligatoria="Sí",ISNUMBER($F28),$F28&lt;FechaRef,N($L28)&lt;1,$N28=""),"Vencida sin observación"&amp;" · ",""))="","✔ OK","⚠ "&amp;LEFT(IF(AND($S28="Macro",$B28=""),"Macroactividad vacía"&amp;" · ","")&amp;IF(AND($B28&lt;&gt;"",$C28&lt;&gt;""),"Escriba la subactividad en otra fila, debajo de su macroactividad"&amp;" · ","")&amp;IF(AND($S28="Sub",N($R28)=0),"Subactividad sin macroactividad arriba"&amp;" · ","")&amp;IF($D28="","Sin responsable"&amp;" · ","")&amp;IF($E28="","Sin fecha de inicio"&amp;" · ","")&amp;IF($F28="","Sin fecha límite"&amp;" · ","")&amp;IF(OR(AND($E28&lt;&gt;"",NOT(ISNUMBER($E28))),AND($F28&lt;&gt;"",NOT(ISNUMBER($F28)))),"Fecha no válida"&amp;" · ","")&amp;IF(AND(ISNUMBER($E28),ISNUMBER($F28),$E28&gt;$F28),"Inicio posterior a fecha límite"&amp;" · ","")&amp;IF(AND($S28="Macro",$G28=""),"Peso vacío"&amp;" · ","")&amp;IF(AND($S28="Macro",$G28&lt;&gt;"",OR(NOT(ISNUMBER($G28)),$G28&lt;=0,$G28&gt;1)),"Peso fuera de rango"&amp;" · ","")&amp;IF(AND($S28="Sub",$G28&lt;&gt;""),"Las subactividades no llevan peso"&amp;" · ","")&amp;IF(AND($S28="Macro",ABS(SUMIFS($G$5:$G$1000,$P$5:$P$1000,$P28,$S$5:$S$1000,"Macro")-1)&gt;0.0001),"Pesos del mes suman "&amp;TEXT(SUMIFS($G$5:$G$1000,$P$5:$P$1000,$P28,$S$5:$S$1000,"Macro"),"0%")&amp;" · ","")&amp;IF(AND(N($T28)&gt;0,COUNT($H28:$K28)&gt;0),"Con subactividades: deje vacías las semanas (se calculan solas)"&amp;" · ","")&amp;IF((COUNTIF($H28:$K28,"&gt;1")+COUNTIF($H28:$K28,"&lt;0")+COUNTA($H28:$K28)-COUNT($H28:$K28))&gt;0,"Avance fuera de rango 0-100%"&amp;" · ","")&amp;IF(OR(AND($I28&lt;&gt;"",$I28&lt;$H28),AND($J28&lt;&gt;"",$J28&lt;MAX($H28:$I28)),AND($K28&lt;&gt;"",$K28&lt;MAX($H28:$J28))),"Avance semanal decreciente"&amp;" · ","")&amp;IF(AND(ISNUMBER($F28),$F28&lt;FechaRef,N($L28)&lt;1),"Vencida"&amp;" · ","")&amp;IF(AND(ObsObligatoria="Sí",ISNUMBER($F28),$F28&lt;FechaRef,N($L28)&lt;1,$N28=""),"Vencida sin observación"&amp;" · ",""),LEN(IF(AND($S28="Macro",$B28=""),"Macroactividad vacía"&amp;" · ","")&amp;IF(AND($B28&lt;&gt;"",$C28&lt;&gt;""),"Escriba la subactividad en otra fila, debajo de su macroactividad"&amp;" · ","")&amp;IF(AND($S28="Sub",N($R28)=0),"Subactividad sin macroactividad arriba"&amp;" · ","")&amp;IF($D28="","Sin responsable"&amp;" · ","")&amp;IF($E28="","Sin fecha de inicio"&amp;" · ","")&amp;IF($F28="","Sin fecha límite"&amp;" · ","")&amp;IF(OR(AND($E28&lt;&gt;"",NOT(ISNUMBER($E28))),AND($F28&lt;&gt;"",NOT(ISNUMBER($F28)))),"Fecha no válida"&amp;" · ","")&amp;IF(AND(ISNUMBER($E28),ISNUMBER($F28),$E28&gt;$F28),"Inicio posterior a fecha límite"&amp;" · ","")&amp;IF(AND($S28="Macro",$G28=""),"Peso vacío"&amp;" · ","")&amp;IF(AND($S28="Macro",$G28&lt;&gt;"",OR(NOT(ISNUMBER($G28)),$G28&lt;=0,$G28&gt;1)),"Peso fuera de rango"&amp;" · ","")&amp;IF(AND($S28="Sub",$G28&lt;&gt;""),"Las subactividades no llevan peso"&amp;" · ","")&amp;IF(AND($S28="Macro",ABS(SUMIFS($G$5:$G$1000,$P$5:$P$1000,$P28,$S$5:$S$1000,"Macro")-1)&gt;0.0001),"Pesos del mes suman "&amp;TEXT(SUMIFS($G$5:$G$1000,$P$5:$P$1000,$P28,$S$5:$S$1000,"Macro"),"0%")&amp;" · ","")&amp;IF(AND(N($T28)&gt;0,COUNT($H28:$K28)&gt;0),"Con subactividades: deje vacías las semanas (se calculan solas)"&amp;" · ","")&amp;IF((COUNTIF($H28:$K28,"&gt;1")+COUNTIF($H28:$K28,"&lt;0")+COUNTA($H28:$K28)-COUNT($H28:$K28))&gt;0,"Avance fuera de rango 0-100%"&amp;" · ","")&amp;IF(OR(AND($I28&lt;&gt;"",$I28&lt;$H28),AND($J28&lt;&gt;"",$J28&lt;MAX($H28:$I28)),AND($K28&lt;&gt;"",$K28&lt;MAX($H28:$J28))),"Avance semanal decreciente"&amp;" · ","")&amp;IF(AND(ISNUMBER($F28),$F28&lt;FechaRef,N($L28)&lt;1),"Vencida"&amp;" · ","")&amp;IF(AND(ObsObligatoria="Sí",ISNUMBER($F28),$F28&lt;FechaRef,N($L28)&lt;1,$N28=""),"Vencida sin observación"&amp;" · ",""))-3)))</f>
        <v/>
      </c>
      <c r="P28" s="69">
        <f>IF(NOT((COUNTA($B28:$K28)+COUNTA($N28))&gt;0),"",IF(AND($S28="Sub",N($R28)&gt;0),IF(ISNUMBER(INDEX($E$5:$E$1000,$R28-4)),DATE(YEAR(INDEX($E$5:$E$1000,$R28-4)),MONTH(INDEX($E$5:$E$1000,$R28-4)),1),IF(ISNUMBER(INDEX($F$5:$F$1000,$R28-4)),DATE(YEAR(INDEX($F$5:$F$1000,$R28-4)),MONTH(INDEX($F$5:$F$1000,$R28-4)),1),MesCiclo)),IF(ISNUMBER($E28),DATE(YEAR($E28),MONTH($E28),1),IF(ISNUMBER($F28),DATE(YEAR($F28),MONTH($F28),1),MesCiclo))))</f>
        <v/>
      </c>
      <c r="Q28" s="70">
        <f>IF(OR($P28="",$P28&lt;&gt;MesCiclo),"",COUNTIF($P$5:$P28,MesCiclo))</f>
        <v/>
      </c>
      <c r="R28" s="70">
        <f>IF($S28="","",IF($S28="Macro",ROW(),IFERROR(LOOKUP(2,1/($S$5:$S28="Macro"),ROW($S$5:$S28)),0)))</f>
        <v/>
      </c>
      <c r="S28" s="70">
        <f>IF(NOT((COUNTA($B28:$K28)+COUNTA($N28))&gt;0),"",IF($B28&lt;&gt;"","Macro",IF($C28&lt;&gt;"","Sub","Macro")))</f>
        <v/>
      </c>
      <c r="T28" s="70">
        <f>IF($S28="Macro",COUNTIFS($R$5:$R$1000,ROW(),$S$5:$S$1000,"Sub"),"")</f>
        <v/>
      </c>
      <c r="U28" s="70">
        <f>IF($S28="","",IF(ISNUMBER($H28),$H28,0))</f>
        <v/>
      </c>
      <c r="V28" s="70">
        <f>IF($S28="","",IF(ISNUMBER($I28),$I28,$U28))</f>
        <v/>
      </c>
      <c r="W28" s="70">
        <f>IF($S28="","",IF(ISNUMBER($J28),$J28,$V28))</f>
        <v/>
      </c>
      <c r="X28" s="70">
        <f>IF($S28="","",IF(ISNUMBER($K28),$K28,$W28))</f>
        <v/>
      </c>
      <c r="Y28" s="70">
        <f>IF($S28="","",IF(N($T28)&gt;0,AVERAGEIFS($U$5:$U$1000,$R$5:$R$1000,ROW(),$S$5:$S$1000,"Sub"),$U28))</f>
        <v/>
      </c>
      <c r="Z28" s="70">
        <f>IF($S28="","",IF(N($T28)&gt;0,AVERAGEIFS($V$5:$V$1000,$R$5:$R$1000,ROW(),$S$5:$S$1000,"Sub"),$V28))</f>
        <v/>
      </c>
      <c r="AA28" s="70">
        <f>IF($S28="","",IF(N($T28)&gt;0,AVERAGEIFS($W$5:$W$1000,$R$5:$R$1000,ROW(),$S$5:$S$1000,"Sub"),$W28))</f>
        <v/>
      </c>
      <c r="AB28" s="70">
        <f>IF($S28="","",IF(N($T28)&gt;0,AVERAGEIFS($X$5:$X$1000,$R$5:$R$1000,ROW(),$S$5:$S$1000,"Sub"),$X28))</f>
        <v/>
      </c>
    </row>
    <row r="29">
      <c r="A29" s="61">
        <f>IF(NOT((COUNTA($B29:$K29)+COUNTA($N29))&gt;0),"",IF($S29="Macro",COUNTIFS($S$5:$S29,"Macro",$P$5:$P29,$P29),IF(N($R29)=0,"?",COUNTIFS(INDEX($S$5:$S$1000,1):INDEX($S$5:$S$1000,$R29-4),"Macro",INDEX($P$5:$P$1000,1):INDEX($P$5:$P$1000,$R29-4),INDEX($P$5:$P$1000,$R29-4))&amp;"."&amp;COUNTIFS($R$5:$R29,$R29,$S$5:$S29,"Sub"))))</f>
        <v/>
      </c>
      <c r="B29" s="62" t="n"/>
      <c r="C29" s="63" t="n"/>
      <c r="D29" s="62" t="n"/>
      <c r="E29" s="64" t="n"/>
      <c r="F29" s="64" t="n"/>
      <c r="G29" s="65" t="n"/>
      <c r="H29" s="66" t="n"/>
      <c r="I29" s="66" t="n"/>
      <c r="J29" s="66" t="n"/>
      <c r="K29" s="66" t="n"/>
      <c r="L29" s="67">
        <f>IF(NOT((COUNTA($B29:$K29)+COUNTA($N29))&gt;0),"",IF(N($T29)&gt;0,$AB29,IFERROR(LOOKUP(2,1/(H29:K29&lt;&gt;""),H29:K29),0)))</f>
        <v/>
      </c>
      <c r="M29" s="61">
        <f>IF(L29="","",IF(L29&gt;=1,"Completado",IF(L29&gt;0,"En curso","Pendiente")))</f>
        <v/>
      </c>
      <c r="N29" s="62" t="n"/>
      <c r="O29" s="68">
        <f>IF(NOT((COUNTA($B29:$K29)+COUNTA($N29))&gt;0),"",IF((IF(AND($S29="Macro",$B29=""),"Macroactividad vacía"&amp;" · ","")&amp;IF(AND($B29&lt;&gt;"",$C29&lt;&gt;""),"Escriba la subactividad en otra fila, debajo de su macroactividad"&amp;" · ","")&amp;IF(AND($S29="Sub",N($R29)=0),"Subactividad sin macroactividad arriba"&amp;" · ","")&amp;IF($D29="","Sin responsable"&amp;" · ","")&amp;IF($E29="","Sin fecha de inicio"&amp;" · ","")&amp;IF($F29="","Sin fecha límite"&amp;" · ","")&amp;IF(OR(AND($E29&lt;&gt;"",NOT(ISNUMBER($E29))),AND($F29&lt;&gt;"",NOT(ISNUMBER($F29)))),"Fecha no válida"&amp;" · ","")&amp;IF(AND(ISNUMBER($E29),ISNUMBER($F29),$E29&gt;$F29),"Inicio posterior a fecha límite"&amp;" · ","")&amp;IF(AND($S29="Macro",$G29=""),"Peso vacío"&amp;" · ","")&amp;IF(AND($S29="Macro",$G29&lt;&gt;"",OR(NOT(ISNUMBER($G29)),$G29&lt;=0,$G29&gt;1)),"Peso fuera de rango"&amp;" · ","")&amp;IF(AND($S29="Sub",$G29&lt;&gt;""),"Las subactividades no llevan peso"&amp;" · ","")&amp;IF(AND($S29="Macro",ABS(SUMIFS($G$5:$G$1000,$P$5:$P$1000,$P29,$S$5:$S$1000,"Macro")-1)&gt;0.0001),"Pesos del mes suman "&amp;TEXT(SUMIFS($G$5:$G$1000,$P$5:$P$1000,$P29,$S$5:$S$1000,"Macro"),"0%")&amp;" · ","")&amp;IF(AND(N($T29)&gt;0,COUNT($H29:$K29)&gt;0),"Con subactividades: deje vacías las semanas (se calculan solas)"&amp;" · ","")&amp;IF((COUNTIF($H29:$K29,"&gt;1")+COUNTIF($H29:$K29,"&lt;0")+COUNTA($H29:$K29)-COUNT($H29:$K29))&gt;0,"Avance fuera de rango 0-100%"&amp;" · ","")&amp;IF(OR(AND($I29&lt;&gt;"",$I29&lt;$H29),AND($J29&lt;&gt;"",$J29&lt;MAX($H29:$I29)),AND($K29&lt;&gt;"",$K29&lt;MAX($H29:$J29))),"Avance semanal decreciente"&amp;" · ","")&amp;IF(AND(ISNUMBER($F29),$F29&lt;FechaRef,N($L29)&lt;1),"Vencida"&amp;" · ","")&amp;IF(AND(ObsObligatoria="Sí",ISNUMBER($F29),$F29&lt;FechaRef,N($L29)&lt;1,$N29=""),"Vencida sin observación"&amp;" · ",""))="","✔ OK","⚠ "&amp;LEFT(IF(AND($S29="Macro",$B29=""),"Macroactividad vacía"&amp;" · ","")&amp;IF(AND($B29&lt;&gt;"",$C29&lt;&gt;""),"Escriba la subactividad en otra fila, debajo de su macroactividad"&amp;" · ","")&amp;IF(AND($S29="Sub",N($R29)=0),"Subactividad sin macroactividad arriba"&amp;" · ","")&amp;IF($D29="","Sin responsable"&amp;" · ","")&amp;IF($E29="","Sin fecha de inicio"&amp;" · ","")&amp;IF($F29="","Sin fecha límite"&amp;" · ","")&amp;IF(OR(AND($E29&lt;&gt;"",NOT(ISNUMBER($E29))),AND($F29&lt;&gt;"",NOT(ISNUMBER($F29)))),"Fecha no válida"&amp;" · ","")&amp;IF(AND(ISNUMBER($E29),ISNUMBER($F29),$E29&gt;$F29),"Inicio posterior a fecha límite"&amp;" · ","")&amp;IF(AND($S29="Macro",$G29=""),"Peso vacío"&amp;" · ","")&amp;IF(AND($S29="Macro",$G29&lt;&gt;"",OR(NOT(ISNUMBER($G29)),$G29&lt;=0,$G29&gt;1)),"Peso fuera de rango"&amp;" · ","")&amp;IF(AND($S29="Sub",$G29&lt;&gt;""),"Las subactividades no llevan peso"&amp;" · ","")&amp;IF(AND($S29="Macro",ABS(SUMIFS($G$5:$G$1000,$P$5:$P$1000,$P29,$S$5:$S$1000,"Macro")-1)&gt;0.0001),"Pesos del mes suman "&amp;TEXT(SUMIFS($G$5:$G$1000,$P$5:$P$1000,$P29,$S$5:$S$1000,"Macro"),"0%")&amp;" · ","")&amp;IF(AND(N($T29)&gt;0,COUNT($H29:$K29)&gt;0),"Con subactividades: deje vacías las semanas (se calculan solas)"&amp;" · ","")&amp;IF((COUNTIF($H29:$K29,"&gt;1")+COUNTIF($H29:$K29,"&lt;0")+COUNTA($H29:$K29)-COUNT($H29:$K29))&gt;0,"Avance fuera de rango 0-100%"&amp;" · ","")&amp;IF(OR(AND($I29&lt;&gt;"",$I29&lt;$H29),AND($J29&lt;&gt;"",$J29&lt;MAX($H29:$I29)),AND($K29&lt;&gt;"",$K29&lt;MAX($H29:$J29))),"Avance semanal decreciente"&amp;" · ","")&amp;IF(AND(ISNUMBER($F29),$F29&lt;FechaRef,N($L29)&lt;1),"Vencida"&amp;" · ","")&amp;IF(AND(ObsObligatoria="Sí",ISNUMBER($F29),$F29&lt;FechaRef,N($L29)&lt;1,$N29=""),"Vencida sin observación"&amp;" · ",""),LEN(IF(AND($S29="Macro",$B29=""),"Macroactividad vacía"&amp;" · ","")&amp;IF(AND($B29&lt;&gt;"",$C29&lt;&gt;""),"Escriba la subactividad en otra fila, debajo de su macroactividad"&amp;" · ","")&amp;IF(AND($S29="Sub",N($R29)=0),"Subactividad sin macroactividad arriba"&amp;" · ","")&amp;IF($D29="","Sin responsable"&amp;" · ","")&amp;IF($E29="","Sin fecha de inicio"&amp;" · ","")&amp;IF($F29="","Sin fecha límite"&amp;" · ","")&amp;IF(OR(AND($E29&lt;&gt;"",NOT(ISNUMBER($E29))),AND($F29&lt;&gt;"",NOT(ISNUMBER($F29)))),"Fecha no válida"&amp;" · ","")&amp;IF(AND(ISNUMBER($E29),ISNUMBER($F29),$E29&gt;$F29),"Inicio posterior a fecha límite"&amp;" · ","")&amp;IF(AND($S29="Macro",$G29=""),"Peso vacío"&amp;" · ","")&amp;IF(AND($S29="Macro",$G29&lt;&gt;"",OR(NOT(ISNUMBER($G29)),$G29&lt;=0,$G29&gt;1)),"Peso fuera de rango"&amp;" · ","")&amp;IF(AND($S29="Sub",$G29&lt;&gt;""),"Las subactividades no llevan peso"&amp;" · ","")&amp;IF(AND($S29="Macro",ABS(SUMIFS($G$5:$G$1000,$P$5:$P$1000,$P29,$S$5:$S$1000,"Macro")-1)&gt;0.0001),"Pesos del mes suman "&amp;TEXT(SUMIFS($G$5:$G$1000,$P$5:$P$1000,$P29,$S$5:$S$1000,"Macro"),"0%")&amp;" · ","")&amp;IF(AND(N($T29)&gt;0,COUNT($H29:$K29)&gt;0),"Con subactividades: deje vacías las semanas (se calculan solas)"&amp;" · ","")&amp;IF((COUNTIF($H29:$K29,"&gt;1")+COUNTIF($H29:$K29,"&lt;0")+COUNTA($H29:$K29)-COUNT($H29:$K29))&gt;0,"Avance fuera de rango 0-100%"&amp;" · ","")&amp;IF(OR(AND($I29&lt;&gt;"",$I29&lt;$H29),AND($J29&lt;&gt;"",$J29&lt;MAX($H29:$I29)),AND($K29&lt;&gt;"",$K29&lt;MAX($H29:$J29))),"Avance semanal decreciente"&amp;" · ","")&amp;IF(AND(ISNUMBER($F29),$F29&lt;FechaRef,N($L29)&lt;1),"Vencida"&amp;" · ","")&amp;IF(AND(ObsObligatoria="Sí",ISNUMBER($F29),$F29&lt;FechaRef,N($L29)&lt;1,$N29=""),"Vencida sin observación"&amp;" · ",""))-3)))</f>
        <v/>
      </c>
      <c r="P29" s="69">
        <f>IF(NOT((COUNTA($B29:$K29)+COUNTA($N29))&gt;0),"",IF(AND($S29="Sub",N($R29)&gt;0),IF(ISNUMBER(INDEX($E$5:$E$1000,$R29-4)),DATE(YEAR(INDEX($E$5:$E$1000,$R29-4)),MONTH(INDEX($E$5:$E$1000,$R29-4)),1),IF(ISNUMBER(INDEX($F$5:$F$1000,$R29-4)),DATE(YEAR(INDEX($F$5:$F$1000,$R29-4)),MONTH(INDEX($F$5:$F$1000,$R29-4)),1),MesCiclo)),IF(ISNUMBER($E29),DATE(YEAR($E29),MONTH($E29),1),IF(ISNUMBER($F29),DATE(YEAR($F29),MONTH($F29),1),MesCiclo))))</f>
        <v/>
      </c>
      <c r="Q29" s="70">
        <f>IF(OR($P29="",$P29&lt;&gt;MesCiclo),"",COUNTIF($P$5:$P29,MesCiclo))</f>
        <v/>
      </c>
      <c r="R29" s="70">
        <f>IF($S29="","",IF($S29="Macro",ROW(),IFERROR(LOOKUP(2,1/($S$5:$S29="Macro"),ROW($S$5:$S29)),0)))</f>
        <v/>
      </c>
      <c r="S29" s="70">
        <f>IF(NOT((COUNTA($B29:$K29)+COUNTA($N29))&gt;0),"",IF($B29&lt;&gt;"","Macro",IF($C29&lt;&gt;"","Sub","Macro")))</f>
        <v/>
      </c>
      <c r="T29" s="70">
        <f>IF($S29="Macro",COUNTIFS($R$5:$R$1000,ROW(),$S$5:$S$1000,"Sub"),"")</f>
        <v/>
      </c>
      <c r="U29" s="70">
        <f>IF($S29="","",IF(ISNUMBER($H29),$H29,0))</f>
        <v/>
      </c>
      <c r="V29" s="70">
        <f>IF($S29="","",IF(ISNUMBER($I29),$I29,$U29))</f>
        <v/>
      </c>
      <c r="W29" s="70">
        <f>IF($S29="","",IF(ISNUMBER($J29),$J29,$V29))</f>
        <v/>
      </c>
      <c r="X29" s="70">
        <f>IF($S29="","",IF(ISNUMBER($K29),$K29,$W29))</f>
        <v/>
      </c>
      <c r="Y29" s="70">
        <f>IF($S29="","",IF(N($T29)&gt;0,AVERAGEIFS($U$5:$U$1000,$R$5:$R$1000,ROW(),$S$5:$S$1000,"Sub"),$U29))</f>
        <v/>
      </c>
      <c r="Z29" s="70">
        <f>IF($S29="","",IF(N($T29)&gt;0,AVERAGEIFS($V$5:$V$1000,$R$5:$R$1000,ROW(),$S$5:$S$1000,"Sub"),$V29))</f>
        <v/>
      </c>
      <c r="AA29" s="70">
        <f>IF($S29="","",IF(N($T29)&gt;0,AVERAGEIFS($W$5:$W$1000,$R$5:$R$1000,ROW(),$S$5:$S$1000,"Sub"),$W29))</f>
        <v/>
      </c>
      <c r="AB29" s="70">
        <f>IF($S29="","",IF(N($T29)&gt;0,AVERAGEIFS($X$5:$X$1000,$R$5:$R$1000,ROW(),$S$5:$S$1000,"Sub"),$X29))</f>
        <v/>
      </c>
    </row>
    <row r="30">
      <c r="A30" s="61">
        <f>IF(NOT((COUNTA($B30:$K30)+COUNTA($N30))&gt;0),"",IF($S30="Macro",COUNTIFS($S$5:$S30,"Macro",$P$5:$P30,$P30),IF(N($R30)=0,"?",COUNTIFS(INDEX($S$5:$S$1000,1):INDEX($S$5:$S$1000,$R30-4),"Macro",INDEX($P$5:$P$1000,1):INDEX($P$5:$P$1000,$R30-4),INDEX($P$5:$P$1000,$R30-4))&amp;"."&amp;COUNTIFS($R$5:$R30,$R30,$S$5:$S30,"Sub"))))</f>
        <v/>
      </c>
      <c r="B30" s="62" t="n"/>
      <c r="C30" s="63" t="n"/>
      <c r="D30" s="62" t="n"/>
      <c r="E30" s="64" t="n"/>
      <c r="F30" s="64" t="n"/>
      <c r="G30" s="65" t="n"/>
      <c r="H30" s="66" t="n"/>
      <c r="I30" s="66" t="n"/>
      <c r="J30" s="66" t="n"/>
      <c r="K30" s="66" t="n"/>
      <c r="L30" s="67">
        <f>IF(NOT((COUNTA($B30:$K30)+COUNTA($N30))&gt;0),"",IF(N($T30)&gt;0,$AB30,IFERROR(LOOKUP(2,1/(H30:K30&lt;&gt;""),H30:K30),0)))</f>
        <v/>
      </c>
      <c r="M30" s="61">
        <f>IF(L30="","",IF(L30&gt;=1,"Completado",IF(L30&gt;0,"En curso","Pendiente")))</f>
        <v/>
      </c>
      <c r="N30" s="62" t="n"/>
      <c r="O30" s="68">
        <f>IF(NOT((COUNTA($B30:$K30)+COUNTA($N30))&gt;0),"",IF((IF(AND($S30="Macro",$B30=""),"Macroactividad vacía"&amp;" · ","")&amp;IF(AND($B30&lt;&gt;"",$C30&lt;&gt;""),"Escriba la subactividad en otra fila, debajo de su macroactividad"&amp;" · ","")&amp;IF(AND($S30="Sub",N($R30)=0),"Subactividad sin macroactividad arriba"&amp;" · ","")&amp;IF($D30="","Sin responsable"&amp;" · ","")&amp;IF($E30="","Sin fecha de inicio"&amp;" · ","")&amp;IF($F30="","Sin fecha límite"&amp;" · ","")&amp;IF(OR(AND($E30&lt;&gt;"",NOT(ISNUMBER($E30))),AND($F30&lt;&gt;"",NOT(ISNUMBER($F30)))),"Fecha no válida"&amp;" · ","")&amp;IF(AND(ISNUMBER($E30),ISNUMBER($F30),$E30&gt;$F30),"Inicio posterior a fecha límite"&amp;" · ","")&amp;IF(AND($S30="Macro",$G30=""),"Peso vacío"&amp;" · ","")&amp;IF(AND($S30="Macro",$G30&lt;&gt;"",OR(NOT(ISNUMBER($G30)),$G30&lt;=0,$G30&gt;1)),"Peso fuera de rango"&amp;" · ","")&amp;IF(AND($S30="Sub",$G30&lt;&gt;""),"Las subactividades no llevan peso"&amp;" · ","")&amp;IF(AND($S30="Macro",ABS(SUMIFS($G$5:$G$1000,$P$5:$P$1000,$P30,$S$5:$S$1000,"Macro")-1)&gt;0.0001),"Pesos del mes suman "&amp;TEXT(SUMIFS($G$5:$G$1000,$P$5:$P$1000,$P30,$S$5:$S$1000,"Macro"),"0%")&amp;" · ","")&amp;IF(AND(N($T30)&gt;0,COUNT($H30:$K30)&gt;0),"Con subactividades: deje vacías las semanas (se calculan solas)"&amp;" · ","")&amp;IF((COUNTIF($H30:$K30,"&gt;1")+COUNTIF($H30:$K30,"&lt;0")+COUNTA($H30:$K30)-COUNT($H30:$K30))&gt;0,"Avance fuera de rango 0-100%"&amp;" · ","")&amp;IF(OR(AND($I30&lt;&gt;"",$I30&lt;$H30),AND($J30&lt;&gt;"",$J30&lt;MAX($H30:$I30)),AND($K30&lt;&gt;"",$K30&lt;MAX($H30:$J30))),"Avance semanal decreciente"&amp;" · ","")&amp;IF(AND(ISNUMBER($F30),$F30&lt;FechaRef,N($L30)&lt;1),"Vencida"&amp;" · ","")&amp;IF(AND(ObsObligatoria="Sí",ISNUMBER($F30),$F30&lt;FechaRef,N($L30)&lt;1,$N30=""),"Vencida sin observación"&amp;" · ",""))="","✔ OK","⚠ "&amp;LEFT(IF(AND($S30="Macro",$B30=""),"Macroactividad vacía"&amp;" · ","")&amp;IF(AND($B30&lt;&gt;"",$C30&lt;&gt;""),"Escriba la subactividad en otra fila, debajo de su macroactividad"&amp;" · ","")&amp;IF(AND($S30="Sub",N($R30)=0),"Subactividad sin macroactividad arriba"&amp;" · ","")&amp;IF($D30="","Sin responsable"&amp;" · ","")&amp;IF($E30="","Sin fecha de inicio"&amp;" · ","")&amp;IF($F30="","Sin fecha límite"&amp;" · ","")&amp;IF(OR(AND($E30&lt;&gt;"",NOT(ISNUMBER($E30))),AND($F30&lt;&gt;"",NOT(ISNUMBER($F30)))),"Fecha no válida"&amp;" · ","")&amp;IF(AND(ISNUMBER($E30),ISNUMBER($F30),$E30&gt;$F30),"Inicio posterior a fecha límite"&amp;" · ","")&amp;IF(AND($S30="Macro",$G30=""),"Peso vacío"&amp;" · ","")&amp;IF(AND($S30="Macro",$G30&lt;&gt;"",OR(NOT(ISNUMBER($G30)),$G30&lt;=0,$G30&gt;1)),"Peso fuera de rango"&amp;" · ","")&amp;IF(AND($S30="Sub",$G30&lt;&gt;""),"Las subactividades no llevan peso"&amp;" · ","")&amp;IF(AND($S30="Macro",ABS(SUMIFS($G$5:$G$1000,$P$5:$P$1000,$P30,$S$5:$S$1000,"Macro")-1)&gt;0.0001),"Pesos del mes suman "&amp;TEXT(SUMIFS($G$5:$G$1000,$P$5:$P$1000,$P30,$S$5:$S$1000,"Macro"),"0%")&amp;" · ","")&amp;IF(AND(N($T30)&gt;0,COUNT($H30:$K30)&gt;0),"Con subactividades: deje vacías las semanas (se calculan solas)"&amp;" · ","")&amp;IF((COUNTIF($H30:$K30,"&gt;1")+COUNTIF($H30:$K30,"&lt;0")+COUNTA($H30:$K30)-COUNT($H30:$K30))&gt;0,"Avance fuera de rango 0-100%"&amp;" · ","")&amp;IF(OR(AND($I30&lt;&gt;"",$I30&lt;$H30),AND($J30&lt;&gt;"",$J30&lt;MAX($H30:$I30)),AND($K30&lt;&gt;"",$K30&lt;MAX($H30:$J30))),"Avance semanal decreciente"&amp;" · ","")&amp;IF(AND(ISNUMBER($F30),$F30&lt;FechaRef,N($L30)&lt;1),"Vencida"&amp;" · ","")&amp;IF(AND(ObsObligatoria="Sí",ISNUMBER($F30),$F30&lt;FechaRef,N($L30)&lt;1,$N30=""),"Vencida sin observación"&amp;" · ",""),LEN(IF(AND($S30="Macro",$B30=""),"Macroactividad vacía"&amp;" · ","")&amp;IF(AND($B30&lt;&gt;"",$C30&lt;&gt;""),"Escriba la subactividad en otra fila, debajo de su macroactividad"&amp;" · ","")&amp;IF(AND($S30="Sub",N($R30)=0),"Subactividad sin macroactividad arriba"&amp;" · ","")&amp;IF($D30="","Sin responsable"&amp;" · ","")&amp;IF($E30="","Sin fecha de inicio"&amp;" · ","")&amp;IF($F30="","Sin fecha límite"&amp;" · ","")&amp;IF(OR(AND($E30&lt;&gt;"",NOT(ISNUMBER($E30))),AND($F30&lt;&gt;"",NOT(ISNUMBER($F30)))),"Fecha no válida"&amp;" · ","")&amp;IF(AND(ISNUMBER($E30),ISNUMBER($F30),$E30&gt;$F30),"Inicio posterior a fecha límite"&amp;" · ","")&amp;IF(AND($S30="Macro",$G30=""),"Peso vacío"&amp;" · ","")&amp;IF(AND($S30="Macro",$G30&lt;&gt;"",OR(NOT(ISNUMBER($G30)),$G30&lt;=0,$G30&gt;1)),"Peso fuera de rango"&amp;" · ","")&amp;IF(AND($S30="Sub",$G30&lt;&gt;""),"Las subactividades no llevan peso"&amp;" · ","")&amp;IF(AND($S30="Macro",ABS(SUMIFS($G$5:$G$1000,$P$5:$P$1000,$P30,$S$5:$S$1000,"Macro")-1)&gt;0.0001),"Pesos del mes suman "&amp;TEXT(SUMIFS($G$5:$G$1000,$P$5:$P$1000,$P30,$S$5:$S$1000,"Macro"),"0%")&amp;" · ","")&amp;IF(AND(N($T30)&gt;0,COUNT($H30:$K30)&gt;0),"Con subactividades: deje vacías las semanas (se calculan solas)"&amp;" · ","")&amp;IF((COUNTIF($H30:$K30,"&gt;1")+COUNTIF($H30:$K30,"&lt;0")+COUNTA($H30:$K30)-COUNT($H30:$K30))&gt;0,"Avance fuera de rango 0-100%"&amp;" · ","")&amp;IF(OR(AND($I30&lt;&gt;"",$I30&lt;$H30),AND($J30&lt;&gt;"",$J30&lt;MAX($H30:$I30)),AND($K30&lt;&gt;"",$K30&lt;MAX($H30:$J30))),"Avance semanal decreciente"&amp;" · ","")&amp;IF(AND(ISNUMBER($F30),$F30&lt;FechaRef,N($L30)&lt;1),"Vencida"&amp;" · ","")&amp;IF(AND(ObsObligatoria="Sí",ISNUMBER($F30),$F30&lt;FechaRef,N($L30)&lt;1,$N30=""),"Vencida sin observación"&amp;" · ",""))-3)))</f>
        <v/>
      </c>
      <c r="P30" s="69">
        <f>IF(NOT((COUNTA($B30:$K30)+COUNTA($N30))&gt;0),"",IF(AND($S30="Sub",N($R30)&gt;0),IF(ISNUMBER(INDEX($E$5:$E$1000,$R30-4)),DATE(YEAR(INDEX($E$5:$E$1000,$R30-4)),MONTH(INDEX($E$5:$E$1000,$R30-4)),1),IF(ISNUMBER(INDEX($F$5:$F$1000,$R30-4)),DATE(YEAR(INDEX($F$5:$F$1000,$R30-4)),MONTH(INDEX($F$5:$F$1000,$R30-4)),1),MesCiclo)),IF(ISNUMBER($E30),DATE(YEAR($E30),MONTH($E30),1),IF(ISNUMBER($F30),DATE(YEAR($F30),MONTH($F30),1),MesCiclo))))</f>
        <v/>
      </c>
      <c r="Q30" s="70">
        <f>IF(OR($P30="",$P30&lt;&gt;MesCiclo),"",COUNTIF($P$5:$P30,MesCiclo))</f>
        <v/>
      </c>
      <c r="R30" s="70">
        <f>IF($S30="","",IF($S30="Macro",ROW(),IFERROR(LOOKUP(2,1/($S$5:$S30="Macro"),ROW($S$5:$S30)),0)))</f>
        <v/>
      </c>
      <c r="S30" s="70">
        <f>IF(NOT((COUNTA($B30:$K30)+COUNTA($N30))&gt;0),"",IF($B30&lt;&gt;"","Macro",IF($C30&lt;&gt;"","Sub","Macro")))</f>
        <v/>
      </c>
      <c r="T30" s="70">
        <f>IF($S30="Macro",COUNTIFS($R$5:$R$1000,ROW(),$S$5:$S$1000,"Sub"),"")</f>
        <v/>
      </c>
      <c r="U30" s="70">
        <f>IF($S30="","",IF(ISNUMBER($H30),$H30,0))</f>
        <v/>
      </c>
      <c r="V30" s="70">
        <f>IF($S30="","",IF(ISNUMBER($I30),$I30,$U30))</f>
        <v/>
      </c>
      <c r="W30" s="70">
        <f>IF($S30="","",IF(ISNUMBER($J30),$J30,$V30))</f>
        <v/>
      </c>
      <c r="X30" s="70">
        <f>IF($S30="","",IF(ISNUMBER($K30),$K30,$W30))</f>
        <v/>
      </c>
      <c r="Y30" s="70">
        <f>IF($S30="","",IF(N($T30)&gt;0,AVERAGEIFS($U$5:$U$1000,$R$5:$R$1000,ROW(),$S$5:$S$1000,"Sub"),$U30))</f>
        <v/>
      </c>
      <c r="Z30" s="70">
        <f>IF($S30="","",IF(N($T30)&gt;0,AVERAGEIFS($V$5:$V$1000,$R$5:$R$1000,ROW(),$S$5:$S$1000,"Sub"),$V30))</f>
        <v/>
      </c>
      <c r="AA30" s="70">
        <f>IF($S30="","",IF(N($T30)&gt;0,AVERAGEIFS($W$5:$W$1000,$R$5:$R$1000,ROW(),$S$5:$S$1000,"Sub"),$W30))</f>
        <v/>
      </c>
      <c r="AB30" s="70">
        <f>IF($S30="","",IF(N($T30)&gt;0,AVERAGEIFS($X$5:$X$1000,$R$5:$R$1000,ROW(),$S$5:$S$1000,"Sub"),$X30))</f>
        <v/>
      </c>
    </row>
    <row r="31">
      <c r="A31" s="61">
        <f>IF(NOT((COUNTA($B31:$K31)+COUNTA($N31))&gt;0),"",IF($S31="Macro",COUNTIFS($S$5:$S31,"Macro",$P$5:$P31,$P31),IF(N($R31)=0,"?",COUNTIFS(INDEX($S$5:$S$1000,1):INDEX($S$5:$S$1000,$R31-4),"Macro",INDEX($P$5:$P$1000,1):INDEX($P$5:$P$1000,$R31-4),INDEX($P$5:$P$1000,$R31-4))&amp;"."&amp;COUNTIFS($R$5:$R31,$R31,$S$5:$S31,"Sub"))))</f>
        <v/>
      </c>
      <c r="B31" s="62" t="n"/>
      <c r="C31" s="63" t="n"/>
      <c r="D31" s="62" t="n"/>
      <c r="E31" s="64" t="n"/>
      <c r="F31" s="64" t="n"/>
      <c r="G31" s="65" t="n"/>
      <c r="H31" s="66" t="n"/>
      <c r="I31" s="66" t="n"/>
      <c r="J31" s="66" t="n"/>
      <c r="K31" s="66" t="n"/>
      <c r="L31" s="67">
        <f>IF(NOT((COUNTA($B31:$K31)+COUNTA($N31))&gt;0),"",IF(N($T31)&gt;0,$AB31,IFERROR(LOOKUP(2,1/(H31:K31&lt;&gt;""),H31:K31),0)))</f>
        <v/>
      </c>
      <c r="M31" s="61">
        <f>IF(L31="","",IF(L31&gt;=1,"Completado",IF(L31&gt;0,"En curso","Pendiente")))</f>
        <v/>
      </c>
      <c r="N31" s="62" t="n"/>
      <c r="O31" s="68">
        <f>IF(NOT((COUNTA($B31:$K31)+COUNTA($N31))&gt;0),"",IF((IF(AND($S31="Macro",$B31=""),"Macroactividad vacía"&amp;" · ","")&amp;IF(AND($B31&lt;&gt;"",$C31&lt;&gt;""),"Escriba la subactividad en otra fila, debajo de su macroactividad"&amp;" · ","")&amp;IF(AND($S31="Sub",N($R31)=0),"Subactividad sin macroactividad arriba"&amp;" · ","")&amp;IF($D31="","Sin responsable"&amp;" · ","")&amp;IF($E31="","Sin fecha de inicio"&amp;" · ","")&amp;IF($F31="","Sin fecha límite"&amp;" · ","")&amp;IF(OR(AND($E31&lt;&gt;"",NOT(ISNUMBER($E31))),AND($F31&lt;&gt;"",NOT(ISNUMBER($F31)))),"Fecha no válida"&amp;" · ","")&amp;IF(AND(ISNUMBER($E31),ISNUMBER($F31),$E31&gt;$F31),"Inicio posterior a fecha límite"&amp;" · ","")&amp;IF(AND($S31="Macro",$G31=""),"Peso vacío"&amp;" · ","")&amp;IF(AND($S31="Macro",$G31&lt;&gt;"",OR(NOT(ISNUMBER($G31)),$G31&lt;=0,$G31&gt;1)),"Peso fuera de rango"&amp;" · ","")&amp;IF(AND($S31="Sub",$G31&lt;&gt;""),"Las subactividades no llevan peso"&amp;" · ","")&amp;IF(AND($S31="Macro",ABS(SUMIFS($G$5:$G$1000,$P$5:$P$1000,$P31,$S$5:$S$1000,"Macro")-1)&gt;0.0001),"Pesos del mes suman "&amp;TEXT(SUMIFS($G$5:$G$1000,$P$5:$P$1000,$P31,$S$5:$S$1000,"Macro"),"0%")&amp;" · ","")&amp;IF(AND(N($T31)&gt;0,COUNT($H31:$K31)&gt;0),"Con subactividades: deje vacías las semanas (se calculan solas)"&amp;" · ","")&amp;IF((COUNTIF($H31:$K31,"&gt;1")+COUNTIF($H31:$K31,"&lt;0")+COUNTA($H31:$K31)-COUNT($H31:$K31))&gt;0,"Avance fuera de rango 0-100%"&amp;" · ","")&amp;IF(OR(AND($I31&lt;&gt;"",$I31&lt;$H31),AND($J31&lt;&gt;"",$J31&lt;MAX($H31:$I31)),AND($K31&lt;&gt;"",$K31&lt;MAX($H31:$J31))),"Avance semanal decreciente"&amp;" · ","")&amp;IF(AND(ISNUMBER($F31),$F31&lt;FechaRef,N($L31)&lt;1),"Vencida"&amp;" · ","")&amp;IF(AND(ObsObligatoria="Sí",ISNUMBER($F31),$F31&lt;FechaRef,N($L31)&lt;1,$N31=""),"Vencida sin observación"&amp;" · ",""))="","✔ OK","⚠ "&amp;LEFT(IF(AND($S31="Macro",$B31=""),"Macroactividad vacía"&amp;" · ","")&amp;IF(AND($B31&lt;&gt;"",$C31&lt;&gt;""),"Escriba la subactividad en otra fila, debajo de su macroactividad"&amp;" · ","")&amp;IF(AND($S31="Sub",N($R31)=0),"Subactividad sin macroactividad arriba"&amp;" · ","")&amp;IF($D31="","Sin responsable"&amp;" · ","")&amp;IF($E31="","Sin fecha de inicio"&amp;" · ","")&amp;IF($F31="","Sin fecha límite"&amp;" · ","")&amp;IF(OR(AND($E31&lt;&gt;"",NOT(ISNUMBER($E31))),AND($F31&lt;&gt;"",NOT(ISNUMBER($F31)))),"Fecha no válida"&amp;" · ","")&amp;IF(AND(ISNUMBER($E31),ISNUMBER($F31),$E31&gt;$F31),"Inicio posterior a fecha límite"&amp;" · ","")&amp;IF(AND($S31="Macro",$G31=""),"Peso vacío"&amp;" · ","")&amp;IF(AND($S31="Macro",$G31&lt;&gt;"",OR(NOT(ISNUMBER($G31)),$G31&lt;=0,$G31&gt;1)),"Peso fuera de rango"&amp;" · ","")&amp;IF(AND($S31="Sub",$G31&lt;&gt;""),"Las subactividades no llevan peso"&amp;" · ","")&amp;IF(AND($S31="Macro",ABS(SUMIFS($G$5:$G$1000,$P$5:$P$1000,$P31,$S$5:$S$1000,"Macro")-1)&gt;0.0001),"Pesos del mes suman "&amp;TEXT(SUMIFS($G$5:$G$1000,$P$5:$P$1000,$P31,$S$5:$S$1000,"Macro"),"0%")&amp;" · ","")&amp;IF(AND(N($T31)&gt;0,COUNT($H31:$K31)&gt;0),"Con subactividades: deje vacías las semanas (se calculan solas)"&amp;" · ","")&amp;IF((COUNTIF($H31:$K31,"&gt;1")+COUNTIF($H31:$K31,"&lt;0")+COUNTA($H31:$K31)-COUNT($H31:$K31))&gt;0,"Avance fuera de rango 0-100%"&amp;" · ","")&amp;IF(OR(AND($I31&lt;&gt;"",$I31&lt;$H31),AND($J31&lt;&gt;"",$J31&lt;MAX($H31:$I31)),AND($K31&lt;&gt;"",$K31&lt;MAX($H31:$J31))),"Avance semanal decreciente"&amp;" · ","")&amp;IF(AND(ISNUMBER($F31),$F31&lt;FechaRef,N($L31)&lt;1),"Vencida"&amp;" · ","")&amp;IF(AND(ObsObligatoria="Sí",ISNUMBER($F31),$F31&lt;FechaRef,N($L31)&lt;1,$N31=""),"Vencida sin observación"&amp;" · ",""),LEN(IF(AND($S31="Macro",$B31=""),"Macroactividad vacía"&amp;" · ","")&amp;IF(AND($B31&lt;&gt;"",$C31&lt;&gt;""),"Escriba la subactividad en otra fila, debajo de su macroactividad"&amp;" · ","")&amp;IF(AND($S31="Sub",N($R31)=0),"Subactividad sin macroactividad arriba"&amp;" · ","")&amp;IF($D31="","Sin responsable"&amp;" · ","")&amp;IF($E31="","Sin fecha de inicio"&amp;" · ","")&amp;IF($F31="","Sin fecha límite"&amp;" · ","")&amp;IF(OR(AND($E31&lt;&gt;"",NOT(ISNUMBER($E31))),AND($F31&lt;&gt;"",NOT(ISNUMBER($F31)))),"Fecha no válida"&amp;" · ","")&amp;IF(AND(ISNUMBER($E31),ISNUMBER($F31),$E31&gt;$F31),"Inicio posterior a fecha límite"&amp;" · ","")&amp;IF(AND($S31="Macro",$G31=""),"Peso vacío"&amp;" · ","")&amp;IF(AND($S31="Macro",$G31&lt;&gt;"",OR(NOT(ISNUMBER($G31)),$G31&lt;=0,$G31&gt;1)),"Peso fuera de rango"&amp;" · ","")&amp;IF(AND($S31="Sub",$G31&lt;&gt;""),"Las subactividades no llevan peso"&amp;" · ","")&amp;IF(AND($S31="Macro",ABS(SUMIFS($G$5:$G$1000,$P$5:$P$1000,$P31,$S$5:$S$1000,"Macro")-1)&gt;0.0001),"Pesos del mes suman "&amp;TEXT(SUMIFS($G$5:$G$1000,$P$5:$P$1000,$P31,$S$5:$S$1000,"Macro"),"0%")&amp;" · ","")&amp;IF(AND(N($T31)&gt;0,COUNT($H31:$K31)&gt;0),"Con subactividades: deje vacías las semanas (se calculan solas)"&amp;" · ","")&amp;IF((COUNTIF($H31:$K31,"&gt;1")+COUNTIF($H31:$K31,"&lt;0")+COUNTA($H31:$K31)-COUNT($H31:$K31))&gt;0,"Avance fuera de rango 0-100%"&amp;" · ","")&amp;IF(OR(AND($I31&lt;&gt;"",$I31&lt;$H31),AND($J31&lt;&gt;"",$J31&lt;MAX($H31:$I31)),AND($K31&lt;&gt;"",$K31&lt;MAX($H31:$J31))),"Avance semanal decreciente"&amp;" · ","")&amp;IF(AND(ISNUMBER($F31),$F31&lt;FechaRef,N($L31)&lt;1),"Vencida"&amp;" · ","")&amp;IF(AND(ObsObligatoria="Sí",ISNUMBER($F31),$F31&lt;FechaRef,N($L31)&lt;1,$N31=""),"Vencida sin observación"&amp;" · ",""))-3)))</f>
        <v/>
      </c>
      <c r="P31" s="69">
        <f>IF(NOT((COUNTA($B31:$K31)+COUNTA($N31))&gt;0),"",IF(AND($S31="Sub",N($R31)&gt;0),IF(ISNUMBER(INDEX($E$5:$E$1000,$R31-4)),DATE(YEAR(INDEX($E$5:$E$1000,$R31-4)),MONTH(INDEX($E$5:$E$1000,$R31-4)),1),IF(ISNUMBER(INDEX($F$5:$F$1000,$R31-4)),DATE(YEAR(INDEX($F$5:$F$1000,$R31-4)),MONTH(INDEX($F$5:$F$1000,$R31-4)),1),MesCiclo)),IF(ISNUMBER($E31),DATE(YEAR($E31),MONTH($E31),1),IF(ISNUMBER($F31),DATE(YEAR($F31),MONTH($F31),1),MesCiclo))))</f>
        <v/>
      </c>
      <c r="Q31" s="70">
        <f>IF(OR($P31="",$P31&lt;&gt;MesCiclo),"",COUNTIF($P$5:$P31,MesCiclo))</f>
        <v/>
      </c>
      <c r="R31" s="70">
        <f>IF($S31="","",IF($S31="Macro",ROW(),IFERROR(LOOKUP(2,1/($S$5:$S31="Macro"),ROW($S$5:$S31)),0)))</f>
        <v/>
      </c>
      <c r="S31" s="70">
        <f>IF(NOT((COUNTA($B31:$K31)+COUNTA($N31))&gt;0),"",IF($B31&lt;&gt;"","Macro",IF($C31&lt;&gt;"","Sub","Macro")))</f>
        <v/>
      </c>
      <c r="T31" s="70">
        <f>IF($S31="Macro",COUNTIFS($R$5:$R$1000,ROW(),$S$5:$S$1000,"Sub"),"")</f>
        <v/>
      </c>
      <c r="U31" s="70">
        <f>IF($S31="","",IF(ISNUMBER($H31),$H31,0))</f>
        <v/>
      </c>
      <c r="V31" s="70">
        <f>IF($S31="","",IF(ISNUMBER($I31),$I31,$U31))</f>
        <v/>
      </c>
      <c r="W31" s="70">
        <f>IF($S31="","",IF(ISNUMBER($J31),$J31,$V31))</f>
        <v/>
      </c>
      <c r="X31" s="70">
        <f>IF($S31="","",IF(ISNUMBER($K31),$K31,$W31))</f>
        <v/>
      </c>
      <c r="Y31" s="70">
        <f>IF($S31="","",IF(N($T31)&gt;0,AVERAGEIFS($U$5:$U$1000,$R$5:$R$1000,ROW(),$S$5:$S$1000,"Sub"),$U31))</f>
        <v/>
      </c>
      <c r="Z31" s="70">
        <f>IF($S31="","",IF(N($T31)&gt;0,AVERAGEIFS($V$5:$V$1000,$R$5:$R$1000,ROW(),$S$5:$S$1000,"Sub"),$V31))</f>
        <v/>
      </c>
      <c r="AA31" s="70">
        <f>IF($S31="","",IF(N($T31)&gt;0,AVERAGEIFS($W$5:$W$1000,$R$5:$R$1000,ROW(),$S$5:$S$1000,"Sub"),$W31))</f>
        <v/>
      </c>
      <c r="AB31" s="70">
        <f>IF($S31="","",IF(N($T31)&gt;0,AVERAGEIFS($X$5:$X$1000,$R$5:$R$1000,ROW(),$S$5:$S$1000,"Sub"),$X31))</f>
        <v/>
      </c>
    </row>
    <row r="32">
      <c r="A32" s="61">
        <f>IF(NOT((COUNTA($B32:$K32)+COUNTA($N32))&gt;0),"",IF($S32="Macro",COUNTIFS($S$5:$S32,"Macro",$P$5:$P32,$P32),IF(N($R32)=0,"?",COUNTIFS(INDEX($S$5:$S$1000,1):INDEX($S$5:$S$1000,$R32-4),"Macro",INDEX($P$5:$P$1000,1):INDEX($P$5:$P$1000,$R32-4),INDEX($P$5:$P$1000,$R32-4))&amp;"."&amp;COUNTIFS($R$5:$R32,$R32,$S$5:$S32,"Sub"))))</f>
        <v/>
      </c>
      <c r="B32" s="62" t="n"/>
      <c r="C32" s="63" t="n"/>
      <c r="D32" s="62" t="n"/>
      <c r="E32" s="64" t="n"/>
      <c r="F32" s="64" t="n"/>
      <c r="G32" s="65" t="n"/>
      <c r="H32" s="66" t="n"/>
      <c r="I32" s="66" t="n"/>
      <c r="J32" s="66" t="n"/>
      <c r="K32" s="66" t="n"/>
      <c r="L32" s="67">
        <f>IF(NOT((COUNTA($B32:$K32)+COUNTA($N32))&gt;0),"",IF(N($T32)&gt;0,$AB32,IFERROR(LOOKUP(2,1/(H32:K32&lt;&gt;""),H32:K32),0)))</f>
        <v/>
      </c>
      <c r="M32" s="61">
        <f>IF(L32="","",IF(L32&gt;=1,"Completado",IF(L32&gt;0,"En curso","Pendiente")))</f>
        <v/>
      </c>
      <c r="N32" s="62" t="n"/>
      <c r="O32" s="68">
        <f>IF(NOT((COUNTA($B32:$K32)+COUNTA($N32))&gt;0),"",IF((IF(AND($S32="Macro",$B32=""),"Macroactividad vacía"&amp;" · ","")&amp;IF(AND($B32&lt;&gt;"",$C32&lt;&gt;""),"Escriba la subactividad en otra fila, debajo de su macroactividad"&amp;" · ","")&amp;IF(AND($S32="Sub",N($R32)=0),"Subactividad sin macroactividad arriba"&amp;" · ","")&amp;IF($D32="","Sin responsable"&amp;" · ","")&amp;IF($E32="","Sin fecha de inicio"&amp;" · ","")&amp;IF($F32="","Sin fecha límite"&amp;" · ","")&amp;IF(OR(AND($E32&lt;&gt;"",NOT(ISNUMBER($E32))),AND($F32&lt;&gt;"",NOT(ISNUMBER($F32)))),"Fecha no válida"&amp;" · ","")&amp;IF(AND(ISNUMBER($E32),ISNUMBER($F32),$E32&gt;$F32),"Inicio posterior a fecha límite"&amp;" · ","")&amp;IF(AND($S32="Macro",$G32=""),"Peso vacío"&amp;" · ","")&amp;IF(AND($S32="Macro",$G32&lt;&gt;"",OR(NOT(ISNUMBER($G32)),$G32&lt;=0,$G32&gt;1)),"Peso fuera de rango"&amp;" · ","")&amp;IF(AND($S32="Sub",$G32&lt;&gt;""),"Las subactividades no llevan peso"&amp;" · ","")&amp;IF(AND($S32="Macro",ABS(SUMIFS($G$5:$G$1000,$P$5:$P$1000,$P32,$S$5:$S$1000,"Macro")-1)&gt;0.0001),"Pesos del mes suman "&amp;TEXT(SUMIFS($G$5:$G$1000,$P$5:$P$1000,$P32,$S$5:$S$1000,"Macro"),"0%")&amp;" · ","")&amp;IF(AND(N($T32)&gt;0,COUNT($H32:$K32)&gt;0),"Con subactividades: deje vacías las semanas (se calculan solas)"&amp;" · ","")&amp;IF((COUNTIF($H32:$K32,"&gt;1")+COUNTIF($H32:$K32,"&lt;0")+COUNTA($H32:$K32)-COUNT($H32:$K32))&gt;0,"Avance fuera de rango 0-100%"&amp;" · ","")&amp;IF(OR(AND($I32&lt;&gt;"",$I32&lt;$H32),AND($J32&lt;&gt;"",$J32&lt;MAX($H32:$I32)),AND($K32&lt;&gt;"",$K32&lt;MAX($H32:$J32))),"Avance semanal decreciente"&amp;" · ","")&amp;IF(AND(ISNUMBER($F32),$F32&lt;FechaRef,N($L32)&lt;1),"Vencida"&amp;" · ","")&amp;IF(AND(ObsObligatoria="Sí",ISNUMBER($F32),$F32&lt;FechaRef,N($L32)&lt;1,$N32=""),"Vencida sin observación"&amp;" · ",""))="","✔ OK","⚠ "&amp;LEFT(IF(AND($S32="Macro",$B32=""),"Macroactividad vacía"&amp;" · ","")&amp;IF(AND($B32&lt;&gt;"",$C32&lt;&gt;""),"Escriba la subactividad en otra fila, debajo de su macroactividad"&amp;" · ","")&amp;IF(AND($S32="Sub",N($R32)=0),"Subactividad sin macroactividad arriba"&amp;" · ","")&amp;IF($D32="","Sin responsable"&amp;" · ","")&amp;IF($E32="","Sin fecha de inicio"&amp;" · ","")&amp;IF($F32="","Sin fecha límite"&amp;" · ","")&amp;IF(OR(AND($E32&lt;&gt;"",NOT(ISNUMBER($E32))),AND($F32&lt;&gt;"",NOT(ISNUMBER($F32)))),"Fecha no válida"&amp;" · ","")&amp;IF(AND(ISNUMBER($E32),ISNUMBER($F32),$E32&gt;$F32),"Inicio posterior a fecha límite"&amp;" · ","")&amp;IF(AND($S32="Macro",$G32=""),"Peso vacío"&amp;" · ","")&amp;IF(AND($S32="Macro",$G32&lt;&gt;"",OR(NOT(ISNUMBER($G32)),$G32&lt;=0,$G32&gt;1)),"Peso fuera de rango"&amp;" · ","")&amp;IF(AND($S32="Sub",$G32&lt;&gt;""),"Las subactividades no llevan peso"&amp;" · ","")&amp;IF(AND($S32="Macro",ABS(SUMIFS($G$5:$G$1000,$P$5:$P$1000,$P32,$S$5:$S$1000,"Macro")-1)&gt;0.0001),"Pesos del mes suman "&amp;TEXT(SUMIFS($G$5:$G$1000,$P$5:$P$1000,$P32,$S$5:$S$1000,"Macro"),"0%")&amp;" · ","")&amp;IF(AND(N($T32)&gt;0,COUNT($H32:$K32)&gt;0),"Con subactividades: deje vacías las semanas (se calculan solas)"&amp;" · ","")&amp;IF((COUNTIF($H32:$K32,"&gt;1")+COUNTIF($H32:$K32,"&lt;0")+COUNTA($H32:$K32)-COUNT($H32:$K32))&gt;0,"Avance fuera de rango 0-100%"&amp;" · ","")&amp;IF(OR(AND($I32&lt;&gt;"",$I32&lt;$H32),AND($J32&lt;&gt;"",$J32&lt;MAX($H32:$I32)),AND($K32&lt;&gt;"",$K32&lt;MAX($H32:$J32))),"Avance semanal decreciente"&amp;" · ","")&amp;IF(AND(ISNUMBER($F32),$F32&lt;FechaRef,N($L32)&lt;1),"Vencida"&amp;" · ","")&amp;IF(AND(ObsObligatoria="Sí",ISNUMBER($F32),$F32&lt;FechaRef,N($L32)&lt;1,$N32=""),"Vencida sin observación"&amp;" · ",""),LEN(IF(AND($S32="Macro",$B32=""),"Macroactividad vacía"&amp;" · ","")&amp;IF(AND($B32&lt;&gt;"",$C32&lt;&gt;""),"Escriba la subactividad en otra fila, debajo de su macroactividad"&amp;" · ","")&amp;IF(AND($S32="Sub",N($R32)=0),"Subactividad sin macroactividad arriba"&amp;" · ","")&amp;IF($D32="","Sin responsable"&amp;" · ","")&amp;IF($E32="","Sin fecha de inicio"&amp;" · ","")&amp;IF($F32="","Sin fecha límite"&amp;" · ","")&amp;IF(OR(AND($E32&lt;&gt;"",NOT(ISNUMBER($E32))),AND($F32&lt;&gt;"",NOT(ISNUMBER($F32)))),"Fecha no válida"&amp;" · ","")&amp;IF(AND(ISNUMBER($E32),ISNUMBER($F32),$E32&gt;$F32),"Inicio posterior a fecha límite"&amp;" · ","")&amp;IF(AND($S32="Macro",$G32=""),"Peso vacío"&amp;" · ","")&amp;IF(AND($S32="Macro",$G32&lt;&gt;"",OR(NOT(ISNUMBER($G32)),$G32&lt;=0,$G32&gt;1)),"Peso fuera de rango"&amp;" · ","")&amp;IF(AND($S32="Sub",$G32&lt;&gt;""),"Las subactividades no llevan peso"&amp;" · ","")&amp;IF(AND($S32="Macro",ABS(SUMIFS($G$5:$G$1000,$P$5:$P$1000,$P32,$S$5:$S$1000,"Macro")-1)&gt;0.0001),"Pesos del mes suman "&amp;TEXT(SUMIFS($G$5:$G$1000,$P$5:$P$1000,$P32,$S$5:$S$1000,"Macro"),"0%")&amp;" · ","")&amp;IF(AND(N($T32)&gt;0,COUNT($H32:$K32)&gt;0),"Con subactividades: deje vacías las semanas (se calculan solas)"&amp;" · ","")&amp;IF((COUNTIF($H32:$K32,"&gt;1")+COUNTIF($H32:$K32,"&lt;0")+COUNTA($H32:$K32)-COUNT($H32:$K32))&gt;0,"Avance fuera de rango 0-100%"&amp;" · ","")&amp;IF(OR(AND($I32&lt;&gt;"",$I32&lt;$H32),AND($J32&lt;&gt;"",$J32&lt;MAX($H32:$I32)),AND($K32&lt;&gt;"",$K32&lt;MAX($H32:$J32))),"Avance semanal decreciente"&amp;" · ","")&amp;IF(AND(ISNUMBER($F32),$F32&lt;FechaRef,N($L32)&lt;1),"Vencida"&amp;" · ","")&amp;IF(AND(ObsObligatoria="Sí",ISNUMBER($F32),$F32&lt;FechaRef,N($L32)&lt;1,$N32=""),"Vencida sin observación"&amp;" · ",""))-3)))</f>
        <v/>
      </c>
      <c r="P32" s="69">
        <f>IF(NOT((COUNTA($B32:$K32)+COUNTA($N32))&gt;0),"",IF(AND($S32="Sub",N($R32)&gt;0),IF(ISNUMBER(INDEX($E$5:$E$1000,$R32-4)),DATE(YEAR(INDEX($E$5:$E$1000,$R32-4)),MONTH(INDEX($E$5:$E$1000,$R32-4)),1),IF(ISNUMBER(INDEX($F$5:$F$1000,$R32-4)),DATE(YEAR(INDEX($F$5:$F$1000,$R32-4)),MONTH(INDEX($F$5:$F$1000,$R32-4)),1),MesCiclo)),IF(ISNUMBER($E32),DATE(YEAR($E32),MONTH($E32),1),IF(ISNUMBER($F32),DATE(YEAR($F32),MONTH($F32),1),MesCiclo))))</f>
        <v/>
      </c>
      <c r="Q32" s="70">
        <f>IF(OR($P32="",$P32&lt;&gt;MesCiclo),"",COUNTIF($P$5:$P32,MesCiclo))</f>
        <v/>
      </c>
      <c r="R32" s="70">
        <f>IF($S32="","",IF($S32="Macro",ROW(),IFERROR(LOOKUP(2,1/($S$5:$S32="Macro"),ROW($S$5:$S32)),0)))</f>
        <v/>
      </c>
      <c r="S32" s="70">
        <f>IF(NOT((COUNTA($B32:$K32)+COUNTA($N32))&gt;0),"",IF($B32&lt;&gt;"","Macro",IF($C32&lt;&gt;"","Sub","Macro")))</f>
        <v/>
      </c>
      <c r="T32" s="70">
        <f>IF($S32="Macro",COUNTIFS($R$5:$R$1000,ROW(),$S$5:$S$1000,"Sub"),"")</f>
        <v/>
      </c>
      <c r="U32" s="70">
        <f>IF($S32="","",IF(ISNUMBER($H32),$H32,0))</f>
        <v/>
      </c>
      <c r="V32" s="70">
        <f>IF($S32="","",IF(ISNUMBER($I32),$I32,$U32))</f>
        <v/>
      </c>
      <c r="W32" s="70">
        <f>IF($S32="","",IF(ISNUMBER($J32),$J32,$V32))</f>
        <v/>
      </c>
      <c r="X32" s="70">
        <f>IF($S32="","",IF(ISNUMBER($K32),$K32,$W32))</f>
        <v/>
      </c>
      <c r="Y32" s="70">
        <f>IF($S32="","",IF(N($T32)&gt;0,AVERAGEIFS($U$5:$U$1000,$R$5:$R$1000,ROW(),$S$5:$S$1000,"Sub"),$U32))</f>
        <v/>
      </c>
      <c r="Z32" s="70">
        <f>IF($S32="","",IF(N($T32)&gt;0,AVERAGEIFS($V$5:$V$1000,$R$5:$R$1000,ROW(),$S$5:$S$1000,"Sub"),$V32))</f>
        <v/>
      </c>
      <c r="AA32" s="70">
        <f>IF($S32="","",IF(N($T32)&gt;0,AVERAGEIFS($W$5:$W$1000,$R$5:$R$1000,ROW(),$S$5:$S$1000,"Sub"),$W32))</f>
        <v/>
      </c>
      <c r="AB32" s="70">
        <f>IF($S32="","",IF(N($T32)&gt;0,AVERAGEIFS($X$5:$X$1000,$R$5:$R$1000,ROW(),$S$5:$S$1000,"Sub"),$X32))</f>
        <v/>
      </c>
    </row>
    <row r="33">
      <c r="A33" s="61">
        <f>IF(NOT((COUNTA($B33:$K33)+COUNTA($N33))&gt;0),"",IF($S33="Macro",COUNTIFS($S$5:$S33,"Macro",$P$5:$P33,$P33),IF(N($R33)=0,"?",COUNTIFS(INDEX($S$5:$S$1000,1):INDEX($S$5:$S$1000,$R33-4),"Macro",INDEX($P$5:$P$1000,1):INDEX($P$5:$P$1000,$R33-4),INDEX($P$5:$P$1000,$R33-4))&amp;"."&amp;COUNTIFS($R$5:$R33,$R33,$S$5:$S33,"Sub"))))</f>
        <v/>
      </c>
      <c r="B33" s="62" t="n"/>
      <c r="C33" s="63" t="n"/>
      <c r="D33" s="62" t="n"/>
      <c r="E33" s="64" t="n"/>
      <c r="F33" s="64" t="n"/>
      <c r="G33" s="65" t="n"/>
      <c r="H33" s="66" t="n"/>
      <c r="I33" s="66" t="n"/>
      <c r="J33" s="66" t="n"/>
      <c r="K33" s="66" t="n"/>
      <c r="L33" s="67">
        <f>IF(NOT((COUNTA($B33:$K33)+COUNTA($N33))&gt;0),"",IF(N($T33)&gt;0,$AB33,IFERROR(LOOKUP(2,1/(H33:K33&lt;&gt;""),H33:K33),0)))</f>
        <v/>
      </c>
      <c r="M33" s="61">
        <f>IF(L33="","",IF(L33&gt;=1,"Completado",IF(L33&gt;0,"En curso","Pendiente")))</f>
        <v/>
      </c>
      <c r="N33" s="62" t="n"/>
      <c r="O33" s="68">
        <f>IF(NOT((COUNTA($B33:$K33)+COUNTA($N33))&gt;0),"",IF((IF(AND($S33="Macro",$B33=""),"Macroactividad vacía"&amp;" · ","")&amp;IF(AND($B33&lt;&gt;"",$C33&lt;&gt;""),"Escriba la subactividad en otra fila, debajo de su macroactividad"&amp;" · ","")&amp;IF(AND($S33="Sub",N($R33)=0),"Subactividad sin macroactividad arriba"&amp;" · ","")&amp;IF($D33="","Sin responsable"&amp;" · ","")&amp;IF($E33="","Sin fecha de inicio"&amp;" · ","")&amp;IF($F33="","Sin fecha límite"&amp;" · ","")&amp;IF(OR(AND($E33&lt;&gt;"",NOT(ISNUMBER($E33))),AND($F33&lt;&gt;"",NOT(ISNUMBER($F33)))),"Fecha no válida"&amp;" · ","")&amp;IF(AND(ISNUMBER($E33),ISNUMBER($F33),$E33&gt;$F33),"Inicio posterior a fecha límite"&amp;" · ","")&amp;IF(AND($S33="Macro",$G33=""),"Peso vacío"&amp;" · ","")&amp;IF(AND($S33="Macro",$G33&lt;&gt;"",OR(NOT(ISNUMBER($G33)),$G33&lt;=0,$G33&gt;1)),"Peso fuera de rango"&amp;" · ","")&amp;IF(AND($S33="Sub",$G33&lt;&gt;""),"Las subactividades no llevan peso"&amp;" · ","")&amp;IF(AND($S33="Macro",ABS(SUMIFS($G$5:$G$1000,$P$5:$P$1000,$P33,$S$5:$S$1000,"Macro")-1)&gt;0.0001),"Pesos del mes suman "&amp;TEXT(SUMIFS($G$5:$G$1000,$P$5:$P$1000,$P33,$S$5:$S$1000,"Macro"),"0%")&amp;" · ","")&amp;IF(AND(N($T33)&gt;0,COUNT($H33:$K33)&gt;0),"Con subactividades: deje vacías las semanas (se calculan solas)"&amp;" · ","")&amp;IF((COUNTIF($H33:$K33,"&gt;1")+COUNTIF($H33:$K33,"&lt;0")+COUNTA($H33:$K33)-COUNT($H33:$K33))&gt;0,"Avance fuera de rango 0-100%"&amp;" · ","")&amp;IF(OR(AND($I33&lt;&gt;"",$I33&lt;$H33),AND($J33&lt;&gt;"",$J33&lt;MAX($H33:$I33)),AND($K33&lt;&gt;"",$K33&lt;MAX($H33:$J33))),"Avance semanal decreciente"&amp;" · ","")&amp;IF(AND(ISNUMBER($F33),$F33&lt;FechaRef,N($L33)&lt;1),"Vencida"&amp;" · ","")&amp;IF(AND(ObsObligatoria="Sí",ISNUMBER($F33),$F33&lt;FechaRef,N($L33)&lt;1,$N33=""),"Vencida sin observación"&amp;" · ",""))="","✔ OK","⚠ "&amp;LEFT(IF(AND($S33="Macro",$B33=""),"Macroactividad vacía"&amp;" · ","")&amp;IF(AND($B33&lt;&gt;"",$C33&lt;&gt;""),"Escriba la subactividad en otra fila, debajo de su macroactividad"&amp;" · ","")&amp;IF(AND($S33="Sub",N($R33)=0),"Subactividad sin macroactividad arriba"&amp;" · ","")&amp;IF($D33="","Sin responsable"&amp;" · ","")&amp;IF($E33="","Sin fecha de inicio"&amp;" · ","")&amp;IF($F33="","Sin fecha límite"&amp;" · ","")&amp;IF(OR(AND($E33&lt;&gt;"",NOT(ISNUMBER($E33))),AND($F33&lt;&gt;"",NOT(ISNUMBER($F33)))),"Fecha no válida"&amp;" · ","")&amp;IF(AND(ISNUMBER($E33),ISNUMBER($F33),$E33&gt;$F33),"Inicio posterior a fecha límite"&amp;" · ","")&amp;IF(AND($S33="Macro",$G33=""),"Peso vacío"&amp;" · ","")&amp;IF(AND($S33="Macro",$G33&lt;&gt;"",OR(NOT(ISNUMBER($G33)),$G33&lt;=0,$G33&gt;1)),"Peso fuera de rango"&amp;" · ","")&amp;IF(AND($S33="Sub",$G33&lt;&gt;""),"Las subactividades no llevan peso"&amp;" · ","")&amp;IF(AND($S33="Macro",ABS(SUMIFS($G$5:$G$1000,$P$5:$P$1000,$P33,$S$5:$S$1000,"Macro")-1)&gt;0.0001),"Pesos del mes suman "&amp;TEXT(SUMIFS($G$5:$G$1000,$P$5:$P$1000,$P33,$S$5:$S$1000,"Macro"),"0%")&amp;" · ","")&amp;IF(AND(N($T33)&gt;0,COUNT($H33:$K33)&gt;0),"Con subactividades: deje vacías las semanas (se calculan solas)"&amp;" · ","")&amp;IF((COUNTIF($H33:$K33,"&gt;1")+COUNTIF($H33:$K33,"&lt;0")+COUNTA($H33:$K33)-COUNT($H33:$K33))&gt;0,"Avance fuera de rango 0-100%"&amp;" · ","")&amp;IF(OR(AND($I33&lt;&gt;"",$I33&lt;$H33),AND($J33&lt;&gt;"",$J33&lt;MAX($H33:$I33)),AND($K33&lt;&gt;"",$K33&lt;MAX($H33:$J33))),"Avance semanal decreciente"&amp;" · ","")&amp;IF(AND(ISNUMBER($F33),$F33&lt;FechaRef,N($L33)&lt;1),"Vencida"&amp;" · ","")&amp;IF(AND(ObsObligatoria="Sí",ISNUMBER($F33),$F33&lt;FechaRef,N($L33)&lt;1,$N33=""),"Vencida sin observación"&amp;" · ",""),LEN(IF(AND($S33="Macro",$B33=""),"Macroactividad vacía"&amp;" · ","")&amp;IF(AND($B33&lt;&gt;"",$C33&lt;&gt;""),"Escriba la subactividad en otra fila, debajo de su macroactividad"&amp;" · ","")&amp;IF(AND($S33="Sub",N($R33)=0),"Subactividad sin macroactividad arriba"&amp;" · ","")&amp;IF($D33="","Sin responsable"&amp;" · ","")&amp;IF($E33="","Sin fecha de inicio"&amp;" · ","")&amp;IF($F33="","Sin fecha límite"&amp;" · ","")&amp;IF(OR(AND($E33&lt;&gt;"",NOT(ISNUMBER($E33))),AND($F33&lt;&gt;"",NOT(ISNUMBER($F33)))),"Fecha no válida"&amp;" · ","")&amp;IF(AND(ISNUMBER($E33),ISNUMBER($F33),$E33&gt;$F33),"Inicio posterior a fecha límite"&amp;" · ","")&amp;IF(AND($S33="Macro",$G33=""),"Peso vacío"&amp;" · ","")&amp;IF(AND($S33="Macro",$G33&lt;&gt;"",OR(NOT(ISNUMBER($G33)),$G33&lt;=0,$G33&gt;1)),"Peso fuera de rango"&amp;" · ","")&amp;IF(AND($S33="Sub",$G33&lt;&gt;""),"Las subactividades no llevan peso"&amp;" · ","")&amp;IF(AND($S33="Macro",ABS(SUMIFS($G$5:$G$1000,$P$5:$P$1000,$P33,$S$5:$S$1000,"Macro")-1)&gt;0.0001),"Pesos del mes suman "&amp;TEXT(SUMIFS($G$5:$G$1000,$P$5:$P$1000,$P33,$S$5:$S$1000,"Macro"),"0%")&amp;" · ","")&amp;IF(AND(N($T33)&gt;0,COUNT($H33:$K33)&gt;0),"Con subactividades: deje vacías las semanas (se calculan solas)"&amp;" · ","")&amp;IF((COUNTIF($H33:$K33,"&gt;1")+COUNTIF($H33:$K33,"&lt;0")+COUNTA($H33:$K33)-COUNT($H33:$K33))&gt;0,"Avance fuera de rango 0-100%"&amp;" · ","")&amp;IF(OR(AND($I33&lt;&gt;"",$I33&lt;$H33),AND($J33&lt;&gt;"",$J33&lt;MAX($H33:$I33)),AND($K33&lt;&gt;"",$K33&lt;MAX($H33:$J33))),"Avance semanal decreciente"&amp;" · ","")&amp;IF(AND(ISNUMBER($F33),$F33&lt;FechaRef,N($L33)&lt;1),"Vencida"&amp;" · ","")&amp;IF(AND(ObsObligatoria="Sí",ISNUMBER($F33),$F33&lt;FechaRef,N($L33)&lt;1,$N33=""),"Vencida sin observación"&amp;" · ",""))-3)))</f>
        <v/>
      </c>
      <c r="P33" s="69">
        <f>IF(NOT((COUNTA($B33:$K33)+COUNTA($N33))&gt;0),"",IF(AND($S33="Sub",N($R33)&gt;0),IF(ISNUMBER(INDEX($E$5:$E$1000,$R33-4)),DATE(YEAR(INDEX($E$5:$E$1000,$R33-4)),MONTH(INDEX($E$5:$E$1000,$R33-4)),1),IF(ISNUMBER(INDEX($F$5:$F$1000,$R33-4)),DATE(YEAR(INDEX($F$5:$F$1000,$R33-4)),MONTH(INDEX($F$5:$F$1000,$R33-4)),1),MesCiclo)),IF(ISNUMBER($E33),DATE(YEAR($E33),MONTH($E33),1),IF(ISNUMBER($F33),DATE(YEAR($F33),MONTH($F33),1),MesCiclo))))</f>
        <v/>
      </c>
      <c r="Q33" s="70">
        <f>IF(OR($P33="",$P33&lt;&gt;MesCiclo),"",COUNTIF($P$5:$P33,MesCiclo))</f>
        <v/>
      </c>
      <c r="R33" s="70">
        <f>IF($S33="","",IF($S33="Macro",ROW(),IFERROR(LOOKUP(2,1/($S$5:$S33="Macro"),ROW($S$5:$S33)),0)))</f>
        <v/>
      </c>
      <c r="S33" s="70">
        <f>IF(NOT((COUNTA($B33:$K33)+COUNTA($N33))&gt;0),"",IF($B33&lt;&gt;"","Macro",IF($C33&lt;&gt;"","Sub","Macro")))</f>
        <v/>
      </c>
      <c r="T33" s="70">
        <f>IF($S33="Macro",COUNTIFS($R$5:$R$1000,ROW(),$S$5:$S$1000,"Sub"),"")</f>
        <v/>
      </c>
      <c r="U33" s="70">
        <f>IF($S33="","",IF(ISNUMBER($H33),$H33,0))</f>
        <v/>
      </c>
      <c r="V33" s="70">
        <f>IF($S33="","",IF(ISNUMBER($I33),$I33,$U33))</f>
        <v/>
      </c>
      <c r="W33" s="70">
        <f>IF($S33="","",IF(ISNUMBER($J33),$J33,$V33))</f>
        <v/>
      </c>
      <c r="X33" s="70">
        <f>IF($S33="","",IF(ISNUMBER($K33),$K33,$W33))</f>
        <v/>
      </c>
      <c r="Y33" s="70">
        <f>IF($S33="","",IF(N($T33)&gt;0,AVERAGEIFS($U$5:$U$1000,$R$5:$R$1000,ROW(),$S$5:$S$1000,"Sub"),$U33))</f>
        <v/>
      </c>
      <c r="Z33" s="70">
        <f>IF($S33="","",IF(N($T33)&gt;0,AVERAGEIFS($V$5:$V$1000,$R$5:$R$1000,ROW(),$S$5:$S$1000,"Sub"),$V33))</f>
        <v/>
      </c>
      <c r="AA33" s="70">
        <f>IF($S33="","",IF(N($T33)&gt;0,AVERAGEIFS($W$5:$W$1000,$R$5:$R$1000,ROW(),$S$5:$S$1000,"Sub"),$W33))</f>
        <v/>
      </c>
      <c r="AB33" s="70">
        <f>IF($S33="","",IF(N($T33)&gt;0,AVERAGEIFS($X$5:$X$1000,$R$5:$R$1000,ROW(),$S$5:$S$1000,"Sub"),$X33))</f>
        <v/>
      </c>
    </row>
    <row r="34">
      <c r="A34" s="61">
        <f>IF(NOT((COUNTA($B34:$K34)+COUNTA($N34))&gt;0),"",IF($S34="Macro",COUNTIFS($S$5:$S34,"Macro",$P$5:$P34,$P34),IF(N($R34)=0,"?",COUNTIFS(INDEX($S$5:$S$1000,1):INDEX($S$5:$S$1000,$R34-4),"Macro",INDEX($P$5:$P$1000,1):INDEX($P$5:$P$1000,$R34-4),INDEX($P$5:$P$1000,$R34-4))&amp;"."&amp;COUNTIFS($R$5:$R34,$R34,$S$5:$S34,"Sub"))))</f>
        <v/>
      </c>
      <c r="B34" s="62" t="n"/>
      <c r="C34" s="63" t="n"/>
      <c r="D34" s="62" t="n"/>
      <c r="E34" s="64" t="n"/>
      <c r="F34" s="64" t="n"/>
      <c r="G34" s="65" t="n"/>
      <c r="H34" s="66" t="n"/>
      <c r="I34" s="66" t="n"/>
      <c r="J34" s="66" t="n"/>
      <c r="K34" s="66" t="n"/>
      <c r="L34" s="67">
        <f>IF(NOT((COUNTA($B34:$K34)+COUNTA($N34))&gt;0),"",IF(N($T34)&gt;0,$AB34,IFERROR(LOOKUP(2,1/(H34:K34&lt;&gt;""),H34:K34),0)))</f>
        <v/>
      </c>
      <c r="M34" s="61">
        <f>IF(L34="","",IF(L34&gt;=1,"Completado",IF(L34&gt;0,"En curso","Pendiente")))</f>
        <v/>
      </c>
      <c r="N34" s="62" t="n"/>
      <c r="O34" s="68">
        <f>IF(NOT((COUNTA($B34:$K34)+COUNTA($N34))&gt;0),"",IF((IF(AND($S34="Macro",$B34=""),"Macroactividad vacía"&amp;" · ","")&amp;IF(AND($B34&lt;&gt;"",$C34&lt;&gt;""),"Escriba la subactividad en otra fila, debajo de su macroactividad"&amp;" · ","")&amp;IF(AND($S34="Sub",N($R34)=0),"Subactividad sin macroactividad arriba"&amp;" · ","")&amp;IF($D34="","Sin responsable"&amp;" · ","")&amp;IF($E34="","Sin fecha de inicio"&amp;" · ","")&amp;IF($F34="","Sin fecha límite"&amp;" · ","")&amp;IF(OR(AND($E34&lt;&gt;"",NOT(ISNUMBER($E34))),AND($F34&lt;&gt;"",NOT(ISNUMBER($F34)))),"Fecha no válida"&amp;" · ","")&amp;IF(AND(ISNUMBER($E34),ISNUMBER($F34),$E34&gt;$F34),"Inicio posterior a fecha límite"&amp;" · ","")&amp;IF(AND($S34="Macro",$G34=""),"Peso vacío"&amp;" · ","")&amp;IF(AND($S34="Macro",$G34&lt;&gt;"",OR(NOT(ISNUMBER($G34)),$G34&lt;=0,$G34&gt;1)),"Peso fuera de rango"&amp;" · ","")&amp;IF(AND($S34="Sub",$G34&lt;&gt;""),"Las subactividades no llevan peso"&amp;" · ","")&amp;IF(AND($S34="Macro",ABS(SUMIFS($G$5:$G$1000,$P$5:$P$1000,$P34,$S$5:$S$1000,"Macro")-1)&gt;0.0001),"Pesos del mes suman "&amp;TEXT(SUMIFS($G$5:$G$1000,$P$5:$P$1000,$P34,$S$5:$S$1000,"Macro"),"0%")&amp;" · ","")&amp;IF(AND(N($T34)&gt;0,COUNT($H34:$K34)&gt;0),"Con subactividades: deje vacías las semanas (se calculan solas)"&amp;" · ","")&amp;IF((COUNTIF($H34:$K34,"&gt;1")+COUNTIF($H34:$K34,"&lt;0")+COUNTA($H34:$K34)-COUNT($H34:$K34))&gt;0,"Avance fuera de rango 0-100%"&amp;" · ","")&amp;IF(OR(AND($I34&lt;&gt;"",$I34&lt;$H34),AND($J34&lt;&gt;"",$J34&lt;MAX($H34:$I34)),AND($K34&lt;&gt;"",$K34&lt;MAX($H34:$J34))),"Avance semanal decreciente"&amp;" · ","")&amp;IF(AND(ISNUMBER($F34),$F34&lt;FechaRef,N($L34)&lt;1),"Vencida"&amp;" · ","")&amp;IF(AND(ObsObligatoria="Sí",ISNUMBER($F34),$F34&lt;FechaRef,N($L34)&lt;1,$N34=""),"Vencida sin observación"&amp;" · ",""))="","✔ OK","⚠ "&amp;LEFT(IF(AND($S34="Macro",$B34=""),"Macroactividad vacía"&amp;" · ","")&amp;IF(AND($B34&lt;&gt;"",$C34&lt;&gt;""),"Escriba la subactividad en otra fila, debajo de su macroactividad"&amp;" · ","")&amp;IF(AND($S34="Sub",N($R34)=0),"Subactividad sin macroactividad arriba"&amp;" · ","")&amp;IF($D34="","Sin responsable"&amp;" · ","")&amp;IF($E34="","Sin fecha de inicio"&amp;" · ","")&amp;IF($F34="","Sin fecha límite"&amp;" · ","")&amp;IF(OR(AND($E34&lt;&gt;"",NOT(ISNUMBER($E34))),AND($F34&lt;&gt;"",NOT(ISNUMBER($F34)))),"Fecha no válida"&amp;" · ","")&amp;IF(AND(ISNUMBER($E34),ISNUMBER($F34),$E34&gt;$F34),"Inicio posterior a fecha límite"&amp;" · ","")&amp;IF(AND($S34="Macro",$G34=""),"Peso vacío"&amp;" · ","")&amp;IF(AND($S34="Macro",$G34&lt;&gt;"",OR(NOT(ISNUMBER($G34)),$G34&lt;=0,$G34&gt;1)),"Peso fuera de rango"&amp;" · ","")&amp;IF(AND($S34="Sub",$G34&lt;&gt;""),"Las subactividades no llevan peso"&amp;" · ","")&amp;IF(AND($S34="Macro",ABS(SUMIFS($G$5:$G$1000,$P$5:$P$1000,$P34,$S$5:$S$1000,"Macro")-1)&gt;0.0001),"Pesos del mes suman "&amp;TEXT(SUMIFS($G$5:$G$1000,$P$5:$P$1000,$P34,$S$5:$S$1000,"Macro"),"0%")&amp;" · ","")&amp;IF(AND(N($T34)&gt;0,COUNT($H34:$K34)&gt;0),"Con subactividades: deje vacías las semanas (se calculan solas)"&amp;" · ","")&amp;IF((COUNTIF($H34:$K34,"&gt;1")+COUNTIF($H34:$K34,"&lt;0")+COUNTA($H34:$K34)-COUNT($H34:$K34))&gt;0,"Avance fuera de rango 0-100%"&amp;" · ","")&amp;IF(OR(AND($I34&lt;&gt;"",$I34&lt;$H34),AND($J34&lt;&gt;"",$J34&lt;MAX($H34:$I34)),AND($K34&lt;&gt;"",$K34&lt;MAX($H34:$J34))),"Avance semanal decreciente"&amp;" · ","")&amp;IF(AND(ISNUMBER($F34),$F34&lt;FechaRef,N($L34)&lt;1),"Vencida"&amp;" · ","")&amp;IF(AND(ObsObligatoria="Sí",ISNUMBER($F34),$F34&lt;FechaRef,N($L34)&lt;1,$N34=""),"Vencida sin observación"&amp;" · ",""),LEN(IF(AND($S34="Macro",$B34=""),"Macroactividad vacía"&amp;" · ","")&amp;IF(AND($B34&lt;&gt;"",$C34&lt;&gt;""),"Escriba la subactividad en otra fila, debajo de su macroactividad"&amp;" · ","")&amp;IF(AND($S34="Sub",N($R34)=0),"Subactividad sin macroactividad arriba"&amp;" · ","")&amp;IF($D34="","Sin responsable"&amp;" · ","")&amp;IF($E34="","Sin fecha de inicio"&amp;" · ","")&amp;IF($F34="","Sin fecha límite"&amp;" · ","")&amp;IF(OR(AND($E34&lt;&gt;"",NOT(ISNUMBER($E34))),AND($F34&lt;&gt;"",NOT(ISNUMBER($F34)))),"Fecha no válida"&amp;" · ","")&amp;IF(AND(ISNUMBER($E34),ISNUMBER($F34),$E34&gt;$F34),"Inicio posterior a fecha límite"&amp;" · ","")&amp;IF(AND($S34="Macro",$G34=""),"Peso vacío"&amp;" · ","")&amp;IF(AND($S34="Macro",$G34&lt;&gt;"",OR(NOT(ISNUMBER($G34)),$G34&lt;=0,$G34&gt;1)),"Peso fuera de rango"&amp;" · ","")&amp;IF(AND($S34="Sub",$G34&lt;&gt;""),"Las subactividades no llevan peso"&amp;" · ","")&amp;IF(AND($S34="Macro",ABS(SUMIFS($G$5:$G$1000,$P$5:$P$1000,$P34,$S$5:$S$1000,"Macro")-1)&gt;0.0001),"Pesos del mes suman "&amp;TEXT(SUMIFS($G$5:$G$1000,$P$5:$P$1000,$P34,$S$5:$S$1000,"Macro"),"0%")&amp;" · ","")&amp;IF(AND(N($T34)&gt;0,COUNT($H34:$K34)&gt;0),"Con subactividades: deje vacías las semanas (se calculan solas)"&amp;" · ","")&amp;IF((COUNTIF($H34:$K34,"&gt;1")+COUNTIF($H34:$K34,"&lt;0")+COUNTA($H34:$K34)-COUNT($H34:$K34))&gt;0,"Avance fuera de rango 0-100%"&amp;" · ","")&amp;IF(OR(AND($I34&lt;&gt;"",$I34&lt;$H34),AND($J34&lt;&gt;"",$J34&lt;MAX($H34:$I34)),AND($K34&lt;&gt;"",$K34&lt;MAX($H34:$J34))),"Avance semanal decreciente"&amp;" · ","")&amp;IF(AND(ISNUMBER($F34),$F34&lt;FechaRef,N($L34)&lt;1),"Vencida"&amp;" · ","")&amp;IF(AND(ObsObligatoria="Sí",ISNUMBER($F34),$F34&lt;FechaRef,N($L34)&lt;1,$N34=""),"Vencida sin observación"&amp;" · ",""))-3)))</f>
        <v/>
      </c>
      <c r="P34" s="69">
        <f>IF(NOT((COUNTA($B34:$K34)+COUNTA($N34))&gt;0),"",IF(AND($S34="Sub",N($R34)&gt;0),IF(ISNUMBER(INDEX($E$5:$E$1000,$R34-4)),DATE(YEAR(INDEX($E$5:$E$1000,$R34-4)),MONTH(INDEX($E$5:$E$1000,$R34-4)),1),IF(ISNUMBER(INDEX($F$5:$F$1000,$R34-4)),DATE(YEAR(INDEX($F$5:$F$1000,$R34-4)),MONTH(INDEX($F$5:$F$1000,$R34-4)),1),MesCiclo)),IF(ISNUMBER($E34),DATE(YEAR($E34),MONTH($E34),1),IF(ISNUMBER($F34),DATE(YEAR($F34),MONTH($F34),1),MesCiclo))))</f>
        <v/>
      </c>
      <c r="Q34" s="70">
        <f>IF(OR($P34="",$P34&lt;&gt;MesCiclo),"",COUNTIF($P$5:$P34,MesCiclo))</f>
        <v/>
      </c>
      <c r="R34" s="70">
        <f>IF($S34="","",IF($S34="Macro",ROW(),IFERROR(LOOKUP(2,1/($S$5:$S34="Macro"),ROW($S$5:$S34)),0)))</f>
        <v/>
      </c>
      <c r="S34" s="70">
        <f>IF(NOT((COUNTA($B34:$K34)+COUNTA($N34))&gt;0),"",IF($B34&lt;&gt;"","Macro",IF($C34&lt;&gt;"","Sub","Macro")))</f>
        <v/>
      </c>
      <c r="T34" s="70">
        <f>IF($S34="Macro",COUNTIFS($R$5:$R$1000,ROW(),$S$5:$S$1000,"Sub"),"")</f>
        <v/>
      </c>
      <c r="U34" s="70">
        <f>IF($S34="","",IF(ISNUMBER($H34),$H34,0))</f>
        <v/>
      </c>
      <c r="V34" s="70">
        <f>IF($S34="","",IF(ISNUMBER($I34),$I34,$U34))</f>
        <v/>
      </c>
      <c r="W34" s="70">
        <f>IF($S34="","",IF(ISNUMBER($J34),$J34,$V34))</f>
        <v/>
      </c>
      <c r="X34" s="70">
        <f>IF($S34="","",IF(ISNUMBER($K34),$K34,$W34))</f>
        <v/>
      </c>
      <c r="Y34" s="70">
        <f>IF($S34="","",IF(N($T34)&gt;0,AVERAGEIFS($U$5:$U$1000,$R$5:$R$1000,ROW(),$S$5:$S$1000,"Sub"),$U34))</f>
        <v/>
      </c>
      <c r="Z34" s="70">
        <f>IF($S34="","",IF(N($T34)&gt;0,AVERAGEIFS($V$5:$V$1000,$R$5:$R$1000,ROW(),$S$5:$S$1000,"Sub"),$V34))</f>
        <v/>
      </c>
      <c r="AA34" s="70">
        <f>IF($S34="","",IF(N($T34)&gt;0,AVERAGEIFS($W$5:$W$1000,$R$5:$R$1000,ROW(),$S$5:$S$1000,"Sub"),$W34))</f>
        <v/>
      </c>
      <c r="AB34" s="70">
        <f>IF($S34="","",IF(N($T34)&gt;0,AVERAGEIFS($X$5:$X$1000,$R$5:$R$1000,ROW(),$S$5:$S$1000,"Sub"),$X34))</f>
        <v/>
      </c>
    </row>
    <row r="35">
      <c r="A35" s="61">
        <f>IF(NOT((COUNTA($B35:$K35)+COUNTA($N35))&gt;0),"",IF($S35="Macro",COUNTIFS($S$5:$S35,"Macro",$P$5:$P35,$P35),IF(N($R35)=0,"?",COUNTIFS(INDEX($S$5:$S$1000,1):INDEX($S$5:$S$1000,$R35-4),"Macro",INDEX($P$5:$P$1000,1):INDEX($P$5:$P$1000,$R35-4),INDEX($P$5:$P$1000,$R35-4))&amp;"."&amp;COUNTIFS($R$5:$R35,$R35,$S$5:$S35,"Sub"))))</f>
        <v/>
      </c>
      <c r="B35" s="62" t="n"/>
      <c r="C35" s="63" t="n"/>
      <c r="D35" s="62" t="n"/>
      <c r="E35" s="64" t="n"/>
      <c r="F35" s="64" t="n"/>
      <c r="G35" s="65" t="n"/>
      <c r="H35" s="66" t="n"/>
      <c r="I35" s="66" t="n"/>
      <c r="J35" s="66" t="n"/>
      <c r="K35" s="66" t="n"/>
      <c r="L35" s="67">
        <f>IF(NOT((COUNTA($B35:$K35)+COUNTA($N35))&gt;0),"",IF(N($T35)&gt;0,$AB35,IFERROR(LOOKUP(2,1/(H35:K35&lt;&gt;""),H35:K35),0)))</f>
        <v/>
      </c>
      <c r="M35" s="61">
        <f>IF(L35="","",IF(L35&gt;=1,"Completado",IF(L35&gt;0,"En curso","Pendiente")))</f>
        <v/>
      </c>
      <c r="N35" s="62" t="n"/>
      <c r="O35" s="68">
        <f>IF(NOT((COUNTA($B35:$K35)+COUNTA($N35))&gt;0),"",IF((IF(AND($S35="Macro",$B35=""),"Macroactividad vacía"&amp;" · ","")&amp;IF(AND($B35&lt;&gt;"",$C35&lt;&gt;""),"Escriba la subactividad en otra fila, debajo de su macroactividad"&amp;" · ","")&amp;IF(AND($S35="Sub",N($R35)=0),"Subactividad sin macroactividad arriba"&amp;" · ","")&amp;IF($D35="","Sin responsable"&amp;" · ","")&amp;IF($E35="","Sin fecha de inicio"&amp;" · ","")&amp;IF($F35="","Sin fecha límite"&amp;" · ","")&amp;IF(OR(AND($E35&lt;&gt;"",NOT(ISNUMBER($E35))),AND($F35&lt;&gt;"",NOT(ISNUMBER($F35)))),"Fecha no válida"&amp;" · ","")&amp;IF(AND(ISNUMBER($E35),ISNUMBER($F35),$E35&gt;$F35),"Inicio posterior a fecha límite"&amp;" · ","")&amp;IF(AND($S35="Macro",$G35=""),"Peso vacío"&amp;" · ","")&amp;IF(AND($S35="Macro",$G35&lt;&gt;"",OR(NOT(ISNUMBER($G35)),$G35&lt;=0,$G35&gt;1)),"Peso fuera de rango"&amp;" · ","")&amp;IF(AND($S35="Sub",$G35&lt;&gt;""),"Las subactividades no llevan peso"&amp;" · ","")&amp;IF(AND($S35="Macro",ABS(SUMIFS($G$5:$G$1000,$P$5:$P$1000,$P35,$S$5:$S$1000,"Macro")-1)&gt;0.0001),"Pesos del mes suman "&amp;TEXT(SUMIFS($G$5:$G$1000,$P$5:$P$1000,$P35,$S$5:$S$1000,"Macro"),"0%")&amp;" · ","")&amp;IF(AND(N($T35)&gt;0,COUNT($H35:$K35)&gt;0),"Con subactividades: deje vacías las semanas (se calculan solas)"&amp;" · ","")&amp;IF((COUNTIF($H35:$K35,"&gt;1")+COUNTIF($H35:$K35,"&lt;0")+COUNTA($H35:$K35)-COUNT($H35:$K35))&gt;0,"Avance fuera de rango 0-100%"&amp;" · ","")&amp;IF(OR(AND($I35&lt;&gt;"",$I35&lt;$H35),AND($J35&lt;&gt;"",$J35&lt;MAX($H35:$I35)),AND($K35&lt;&gt;"",$K35&lt;MAX($H35:$J35))),"Avance semanal decreciente"&amp;" · ","")&amp;IF(AND(ISNUMBER($F35),$F35&lt;FechaRef,N($L35)&lt;1),"Vencida"&amp;" · ","")&amp;IF(AND(ObsObligatoria="Sí",ISNUMBER($F35),$F35&lt;FechaRef,N($L35)&lt;1,$N35=""),"Vencida sin observación"&amp;" · ",""))="","✔ OK","⚠ "&amp;LEFT(IF(AND($S35="Macro",$B35=""),"Macroactividad vacía"&amp;" · ","")&amp;IF(AND($B35&lt;&gt;"",$C35&lt;&gt;""),"Escriba la subactividad en otra fila, debajo de su macroactividad"&amp;" · ","")&amp;IF(AND($S35="Sub",N($R35)=0),"Subactividad sin macroactividad arriba"&amp;" · ","")&amp;IF($D35="","Sin responsable"&amp;" · ","")&amp;IF($E35="","Sin fecha de inicio"&amp;" · ","")&amp;IF($F35="","Sin fecha límite"&amp;" · ","")&amp;IF(OR(AND($E35&lt;&gt;"",NOT(ISNUMBER($E35))),AND($F35&lt;&gt;"",NOT(ISNUMBER($F35)))),"Fecha no válida"&amp;" · ","")&amp;IF(AND(ISNUMBER($E35),ISNUMBER($F35),$E35&gt;$F35),"Inicio posterior a fecha límite"&amp;" · ","")&amp;IF(AND($S35="Macro",$G35=""),"Peso vacío"&amp;" · ","")&amp;IF(AND($S35="Macro",$G35&lt;&gt;"",OR(NOT(ISNUMBER($G35)),$G35&lt;=0,$G35&gt;1)),"Peso fuera de rango"&amp;" · ","")&amp;IF(AND($S35="Sub",$G35&lt;&gt;""),"Las subactividades no llevan peso"&amp;" · ","")&amp;IF(AND($S35="Macro",ABS(SUMIFS($G$5:$G$1000,$P$5:$P$1000,$P35,$S$5:$S$1000,"Macro")-1)&gt;0.0001),"Pesos del mes suman "&amp;TEXT(SUMIFS($G$5:$G$1000,$P$5:$P$1000,$P35,$S$5:$S$1000,"Macro"),"0%")&amp;" · ","")&amp;IF(AND(N($T35)&gt;0,COUNT($H35:$K35)&gt;0),"Con subactividades: deje vacías las semanas (se calculan solas)"&amp;" · ","")&amp;IF((COUNTIF($H35:$K35,"&gt;1")+COUNTIF($H35:$K35,"&lt;0")+COUNTA($H35:$K35)-COUNT($H35:$K35))&gt;0,"Avance fuera de rango 0-100%"&amp;" · ","")&amp;IF(OR(AND($I35&lt;&gt;"",$I35&lt;$H35),AND($J35&lt;&gt;"",$J35&lt;MAX($H35:$I35)),AND($K35&lt;&gt;"",$K35&lt;MAX($H35:$J35))),"Avance semanal decreciente"&amp;" · ","")&amp;IF(AND(ISNUMBER($F35),$F35&lt;FechaRef,N($L35)&lt;1),"Vencida"&amp;" · ","")&amp;IF(AND(ObsObligatoria="Sí",ISNUMBER($F35),$F35&lt;FechaRef,N($L35)&lt;1,$N35=""),"Vencida sin observación"&amp;" · ",""),LEN(IF(AND($S35="Macro",$B35=""),"Macroactividad vacía"&amp;" · ","")&amp;IF(AND($B35&lt;&gt;"",$C35&lt;&gt;""),"Escriba la subactividad en otra fila, debajo de su macroactividad"&amp;" · ","")&amp;IF(AND($S35="Sub",N($R35)=0),"Subactividad sin macroactividad arriba"&amp;" · ","")&amp;IF($D35="","Sin responsable"&amp;" · ","")&amp;IF($E35="","Sin fecha de inicio"&amp;" · ","")&amp;IF($F35="","Sin fecha límite"&amp;" · ","")&amp;IF(OR(AND($E35&lt;&gt;"",NOT(ISNUMBER($E35))),AND($F35&lt;&gt;"",NOT(ISNUMBER($F35)))),"Fecha no válida"&amp;" · ","")&amp;IF(AND(ISNUMBER($E35),ISNUMBER($F35),$E35&gt;$F35),"Inicio posterior a fecha límite"&amp;" · ","")&amp;IF(AND($S35="Macro",$G35=""),"Peso vacío"&amp;" · ","")&amp;IF(AND($S35="Macro",$G35&lt;&gt;"",OR(NOT(ISNUMBER($G35)),$G35&lt;=0,$G35&gt;1)),"Peso fuera de rango"&amp;" · ","")&amp;IF(AND($S35="Sub",$G35&lt;&gt;""),"Las subactividades no llevan peso"&amp;" · ","")&amp;IF(AND($S35="Macro",ABS(SUMIFS($G$5:$G$1000,$P$5:$P$1000,$P35,$S$5:$S$1000,"Macro")-1)&gt;0.0001),"Pesos del mes suman "&amp;TEXT(SUMIFS($G$5:$G$1000,$P$5:$P$1000,$P35,$S$5:$S$1000,"Macro"),"0%")&amp;" · ","")&amp;IF(AND(N($T35)&gt;0,COUNT($H35:$K35)&gt;0),"Con subactividades: deje vacías las semanas (se calculan solas)"&amp;" · ","")&amp;IF((COUNTIF($H35:$K35,"&gt;1")+COUNTIF($H35:$K35,"&lt;0")+COUNTA($H35:$K35)-COUNT($H35:$K35))&gt;0,"Avance fuera de rango 0-100%"&amp;" · ","")&amp;IF(OR(AND($I35&lt;&gt;"",$I35&lt;$H35),AND($J35&lt;&gt;"",$J35&lt;MAX($H35:$I35)),AND($K35&lt;&gt;"",$K35&lt;MAX($H35:$J35))),"Avance semanal decreciente"&amp;" · ","")&amp;IF(AND(ISNUMBER($F35),$F35&lt;FechaRef,N($L35)&lt;1),"Vencida"&amp;" · ","")&amp;IF(AND(ObsObligatoria="Sí",ISNUMBER($F35),$F35&lt;FechaRef,N($L35)&lt;1,$N35=""),"Vencida sin observación"&amp;" · ",""))-3)))</f>
        <v/>
      </c>
      <c r="P35" s="69">
        <f>IF(NOT((COUNTA($B35:$K35)+COUNTA($N35))&gt;0),"",IF(AND($S35="Sub",N($R35)&gt;0),IF(ISNUMBER(INDEX($E$5:$E$1000,$R35-4)),DATE(YEAR(INDEX($E$5:$E$1000,$R35-4)),MONTH(INDEX($E$5:$E$1000,$R35-4)),1),IF(ISNUMBER(INDEX($F$5:$F$1000,$R35-4)),DATE(YEAR(INDEX($F$5:$F$1000,$R35-4)),MONTH(INDEX($F$5:$F$1000,$R35-4)),1),MesCiclo)),IF(ISNUMBER($E35),DATE(YEAR($E35),MONTH($E35),1),IF(ISNUMBER($F35),DATE(YEAR($F35),MONTH($F35),1),MesCiclo))))</f>
        <v/>
      </c>
      <c r="Q35" s="70">
        <f>IF(OR($P35="",$P35&lt;&gt;MesCiclo),"",COUNTIF($P$5:$P35,MesCiclo))</f>
        <v/>
      </c>
      <c r="R35" s="70">
        <f>IF($S35="","",IF($S35="Macro",ROW(),IFERROR(LOOKUP(2,1/($S$5:$S35="Macro"),ROW($S$5:$S35)),0)))</f>
        <v/>
      </c>
      <c r="S35" s="70">
        <f>IF(NOT((COUNTA($B35:$K35)+COUNTA($N35))&gt;0),"",IF($B35&lt;&gt;"","Macro",IF($C35&lt;&gt;"","Sub","Macro")))</f>
        <v/>
      </c>
      <c r="T35" s="70">
        <f>IF($S35="Macro",COUNTIFS($R$5:$R$1000,ROW(),$S$5:$S$1000,"Sub"),"")</f>
        <v/>
      </c>
      <c r="U35" s="70">
        <f>IF($S35="","",IF(ISNUMBER($H35),$H35,0))</f>
        <v/>
      </c>
      <c r="V35" s="70">
        <f>IF($S35="","",IF(ISNUMBER($I35),$I35,$U35))</f>
        <v/>
      </c>
      <c r="W35" s="70">
        <f>IF($S35="","",IF(ISNUMBER($J35),$J35,$V35))</f>
        <v/>
      </c>
      <c r="X35" s="70">
        <f>IF($S35="","",IF(ISNUMBER($K35),$K35,$W35))</f>
        <v/>
      </c>
      <c r="Y35" s="70">
        <f>IF($S35="","",IF(N($T35)&gt;0,AVERAGEIFS($U$5:$U$1000,$R$5:$R$1000,ROW(),$S$5:$S$1000,"Sub"),$U35))</f>
        <v/>
      </c>
      <c r="Z35" s="70">
        <f>IF($S35="","",IF(N($T35)&gt;0,AVERAGEIFS($V$5:$V$1000,$R$5:$R$1000,ROW(),$S$5:$S$1000,"Sub"),$V35))</f>
        <v/>
      </c>
      <c r="AA35" s="70">
        <f>IF($S35="","",IF(N($T35)&gt;0,AVERAGEIFS($W$5:$W$1000,$R$5:$R$1000,ROW(),$S$5:$S$1000,"Sub"),$W35))</f>
        <v/>
      </c>
      <c r="AB35" s="70">
        <f>IF($S35="","",IF(N($T35)&gt;0,AVERAGEIFS($X$5:$X$1000,$R$5:$R$1000,ROW(),$S$5:$S$1000,"Sub"),$X35))</f>
        <v/>
      </c>
    </row>
    <row r="36">
      <c r="A36" s="61">
        <f>IF(NOT((COUNTA($B36:$K36)+COUNTA($N36))&gt;0),"",IF($S36="Macro",COUNTIFS($S$5:$S36,"Macro",$P$5:$P36,$P36),IF(N($R36)=0,"?",COUNTIFS(INDEX($S$5:$S$1000,1):INDEX($S$5:$S$1000,$R36-4),"Macro",INDEX($P$5:$P$1000,1):INDEX($P$5:$P$1000,$R36-4),INDEX($P$5:$P$1000,$R36-4))&amp;"."&amp;COUNTIFS($R$5:$R36,$R36,$S$5:$S36,"Sub"))))</f>
        <v/>
      </c>
      <c r="B36" s="62" t="n"/>
      <c r="C36" s="63" t="n"/>
      <c r="D36" s="62" t="n"/>
      <c r="E36" s="64" t="n"/>
      <c r="F36" s="64" t="n"/>
      <c r="G36" s="65" t="n"/>
      <c r="H36" s="66" t="n"/>
      <c r="I36" s="66" t="n"/>
      <c r="J36" s="66" t="n"/>
      <c r="K36" s="66" t="n"/>
      <c r="L36" s="67">
        <f>IF(NOT((COUNTA($B36:$K36)+COUNTA($N36))&gt;0),"",IF(N($T36)&gt;0,$AB36,IFERROR(LOOKUP(2,1/(H36:K36&lt;&gt;""),H36:K36),0)))</f>
        <v/>
      </c>
      <c r="M36" s="61">
        <f>IF(L36="","",IF(L36&gt;=1,"Completado",IF(L36&gt;0,"En curso","Pendiente")))</f>
        <v/>
      </c>
      <c r="N36" s="62" t="n"/>
      <c r="O36" s="68">
        <f>IF(NOT((COUNTA($B36:$K36)+COUNTA($N36))&gt;0),"",IF((IF(AND($S36="Macro",$B36=""),"Macroactividad vacía"&amp;" · ","")&amp;IF(AND($B36&lt;&gt;"",$C36&lt;&gt;""),"Escriba la subactividad en otra fila, debajo de su macroactividad"&amp;" · ","")&amp;IF(AND($S36="Sub",N($R36)=0),"Subactividad sin macroactividad arriba"&amp;" · ","")&amp;IF($D36="","Sin responsable"&amp;" · ","")&amp;IF($E36="","Sin fecha de inicio"&amp;" · ","")&amp;IF($F36="","Sin fecha límite"&amp;" · ","")&amp;IF(OR(AND($E36&lt;&gt;"",NOT(ISNUMBER($E36))),AND($F36&lt;&gt;"",NOT(ISNUMBER($F36)))),"Fecha no válida"&amp;" · ","")&amp;IF(AND(ISNUMBER($E36),ISNUMBER($F36),$E36&gt;$F36),"Inicio posterior a fecha límite"&amp;" · ","")&amp;IF(AND($S36="Macro",$G36=""),"Peso vacío"&amp;" · ","")&amp;IF(AND($S36="Macro",$G36&lt;&gt;"",OR(NOT(ISNUMBER($G36)),$G36&lt;=0,$G36&gt;1)),"Peso fuera de rango"&amp;" · ","")&amp;IF(AND($S36="Sub",$G36&lt;&gt;""),"Las subactividades no llevan peso"&amp;" · ","")&amp;IF(AND($S36="Macro",ABS(SUMIFS($G$5:$G$1000,$P$5:$P$1000,$P36,$S$5:$S$1000,"Macro")-1)&gt;0.0001),"Pesos del mes suman "&amp;TEXT(SUMIFS($G$5:$G$1000,$P$5:$P$1000,$P36,$S$5:$S$1000,"Macro"),"0%")&amp;" · ","")&amp;IF(AND(N($T36)&gt;0,COUNT($H36:$K36)&gt;0),"Con subactividades: deje vacías las semanas (se calculan solas)"&amp;" · ","")&amp;IF((COUNTIF($H36:$K36,"&gt;1")+COUNTIF($H36:$K36,"&lt;0")+COUNTA($H36:$K36)-COUNT($H36:$K36))&gt;0,"Avance fuera de rango 0-100%"&amp;" · ","")&amp;IF(OR(AND($I36&lt;&gt;"",$I36&lt;$H36),AND($J36&lt;&gt;"",$J36&lt;MAX($H36:$I36)),AND($K36&lt;&gt;"",$K36&lt;MAX($H36:$J36))),"Avance semanal decreciente"&amp;" · ","")&amp;IF(AND(ISNUMBER($F36),$F36&lt;FechaRef,N($L36)&lt;1),"Vencida"&amp;" · ","")&amp;IF(AND(ObsObligatoria="Sí",ISNUMBER($F36),$F36&lt;FechaRef,N($L36)&lt;1,$N36=""),"Vencida sin observación"&amp;" · ",""))="","✔ OK","⚠ "&amp;LEFT(IF(AND($S36="Macro",$B36=""),"Macroactividad vacía"&amp;" · ","")&amp;IF(AND($B36&lt;&gt;"",$C36&lt;&gt;""),"Escriba la subactividad en otra fila, debajo de su macroactividad"&amp;" · ","")&amp;IF(AND($S36="Sub",N($R36)=0),"Subactividad sin macroactividad arriba"&amp;" · ","")&amp;IF($D36="","Sin responsable"&amp;" · ","")&amp;IF($E36="","Sin fecha de inicio"&amp;" · ","")&amp;IF($F36="","Sin fecha límite"&amp;" · ","")&amp;IF(OR(AND($E36&lt;&gt;"",NOT(ISNUMBER($E36))),AND($F36&lt;&gt;"",NOT(ISNUMBER($F36)))),"Fecha no válida"&amp;" · ","")&amp;IF(AND(ISNUMBER($E36),ISNUMBER($F36),$E36&gt;$F36),"Inicio posterior a fecha límite"&amp;" · ","")&amp;IF(AND($S36="Macro",$G36=""),"Peso vacío"&amp;" · ","")&amp;IF(AND($S36="Macro",$G36&lt;&gt;"",OR(NOT(ISNUMBER($G36)),$G36&lt;=0,$G36&gt;1)),"Peso fuera de rango"&amp;" · ","")&amp;IF(AND($S36="Sub",$G36&lt;&gt;""),"Las subactividades no llevan peso"&amp;" · ","")&amp;IF(AND($S36="Macro",ABS(SUMIFS($G$5:$G$1000,$P$5:$P$1000,$P36,$S$5:$S$1000,"Macro")-1)&gt;0.0001),"Pesos del mes suman "&amp;TEXT(SUMIFS($G$5:$G$1000,$P$5:$P$1000,$P36,$S$5:$S$1000,"Macro"),"0%")&amp;" · ","")&amp;IF(AND(N($T36)&gt;0,COUNT($H36:$K36)&gt;0),"Con subactividades: deje vacías las semanas (se calculan solas)"&amp;" · ","")&amp;IF((COUNTIF($H36:$K36,"&gt;1")+COUNTIF($H36:$K36,"&lt;0")+COUNTA($H36:$K36)-COUNT($H36:$K36))&gt;0,"Avance fuera de rango 0-100%"&amp;" · ","")&amp;IF(OR(AND($I36&lt;&gt;"",$I36&lt;$H36),AND($J36&lt;&gt;"",$J36&lt;MAX($H36:$I36)),AND($K36&lt;&gt;"",$K36&lt;MAX($H36:$J36))),"Avance semanal decreciente"&amp;" · ","")&amp;IF(AND(ISNUMBER($F36),$F36&lt;FechaRef,N($L36)&lt;1),"Vencida"&amp;" · ","")&amp;IF(AND(ObsObligatoria="Sí",ISNUMBER($F36),$F36&lt;FechaRef,N($L36)&lt;1,$N36=""),"Vencida sin observación"&amp;" · ",""),LEN(IF(AND($S36="Macro",$B36=""),"Macroactividad vacía"&amp;" · ","")&amp;IF(AND($B36&lt;&gt;"",$C36&lt;&gt;""),"Escriba la subactividad en otra fila, debajo de su macroactividad"&amp;" · ","")&amp;IF(AND($S36="Sub",N($R36)=0),"Subactividad sin macroactividad arriba"&amp;" · ","")&amp;IF($D36="","Sin responsable"&amp;" · ","")&amp;IF($E36="","Sin fecha de inicio"&amp;" · ","")&amp;IF($F36="","Sin fecha límite"&amp;" · ","")&amp;IF(OR(AND($E36&lt;&gt;"",NOT(ISNUMBER($E36))),AND($F36&lt;&gt;"",NOT(ISNUMBER($F36)))),"Fecha no válida"&amp;" · ","")&amp;IF(AND(ISNUMBER($E36),ISNUMBER($F36),$E36&gt;$F36),"Inicio posterior a fecha límite"&amp;" · ","")&amp;IF(AND($S36="Macro",$G36=""),"Peso vacío"&amp;" · ","")&amp;IF(AND($S36="Macro",$G36&lt;&gt;"",OR(NOT(ISNUMBER($G36)),$G36&lt;=0,$G36&gt;1)),"Peso fuera de rango"&amp;" · ","")&amp;IF(AND($S36="Sub",$G36&lt;&gt;""),"Las subactividades no llevan peso"&amp;" · ","")&amp;IF(AND($S36="Macro",ABS(SUMIFS($G$5:$G$1000,$P$5:$P$1000,$P36,$S$5:$S$1000,"Macro")-1)&gt;0.0001),"Pesos del mes suman "&amp;TEXT(SUMIFS($G$5:$G$1000,$P$5:$P$1000,$P36,$S$5:$S$1000,"Macro"),"0%")&amp;" · ","")&amp;IF(AND(N($T36)&gt;0,COUNT($H36:$K36)&gt;0),"Con subactividades: deje vacías las semanas (se calculan solas)"&amp;" · ","")&amp;IF((COUNTIF($H36:$K36,"&gt;1")+COUNTIF($H36:$K36,"&lt;0")+COUNTA($H36:$K36)-COUNT($H36:$K36))&gt;0,"Avance fuera de rango 0-100%"&amp;" · ","")&amp;IF(OR(AND($I36&lt;&gt;"",$I36&lt;$H36),AND($J36&lt;&gt;"",$J36&lt;MAX($H36:$I36)),AND($K36&lt;&gt;"",$K36&lt;MAX($H36:$J36))),"Avance semanal decreciente"&amp;" · ","")&amp;IF(AND(ISNUMBER($F36),$F36&lt;FechaRef,N($L36)&lt;1),"Vencida"&amp;" · ","")&amp;IF(AND(ObsObligatoria="Sí",ISNUMBER($F36),$F36&lt;FechaRef,N($L36)&lt;1,$N36=""),"Vencida sin observación"&amp;" · ",""))-3)))</f>
        <v/>
      </c>
      <c r="P36" s="69">
        <f>IF(NOT((COUNTA($B36:$K36)+COUNTA($N36))&gt;0),"",IF(AND($S36="Sub",N($R36)&gt;0),IF(ISNUMBER(INDEX($E$5:$E$1000,$R36-4)),DATE(YEAR(INDEX($E$5:$E$1000,$R36-4)),MONTH(INDEX($E$5:$E$1000,$R36-4)),1),IF(ISNUMBER(INDEX($F$5:$F$1000,$R36-4)),DATE(YEAR(INDEX($F$5:$F$1000,$R36-4)),MONTH(INDEX($F$5:$F$1000,$R36-4)),1),MesCiclo)),IF(ISNUMBER($E36),DATE(YEAR($E36),MONTH($E36),1),IF(ISNUMBER($F36),DATE(YEAR($F36),MONTH($F36),1),MesCiclo))))</f>
        <v/>
      </c>
      <c r="Q36" s="70">
        <f>IF(OR($P36="",$P36&lt;&gt;MesCiclo),"",COUNTIF($P$5:$P36,MesCiclo))</f>
        <v/>
      </c>
      <c r="R36" s="70">
        <f>IF($S36="","",IF($S36="Macro",ROW(),IFERROR(LOOKUP(2,1/($S$5:$S36="Macro"),ROW($S$5:$S36)),0)))</f>
        <v/>
      </c>
      <c r="S36" s="70">
        <f>IF(NOT((COUNTA($B36:$K36)+COUNTA($N36))&gt;0),"",IF($B36&lt;&gt;"","Macro",IF($C36&lt;&gt;"","Sub","Macro")))</f>
        <v/>
      </c>
      <c r="T36" s="70">
        <f>IF($S36="Macro",COUNTIFS($R$5:$R$1000,ROW(),$S$5:$S$1000,"Sub"),"")</f>
        <v/>
      </c>
      <c r="U36" s="70">
        <f>IF($S36="","",IF(ISNUMBER($H36),$H36,0))</f>
        <v/>
      </c>
      <c r="V36" s="70">
        <f>IF($S36="","",IF(ISNUMBER($I36),$I36,$U36))</f>
        <v/>
      </c>
      <c r="W36" s="70">
        <f>IF($S36="","",IF(ISNUMBER($J36),$J36,$V36))</f>
        <v/>
      </c>
      <c r="X36" s="70">
        <f>IF($S36="","",IF(ISNUMBER($K36),$K36,$W36))</f>
        <v/>
      </c>
      <c r="Y36" s="70">
        <f>IF($S36="","",IF(N($T36)&gt;0,AVERAGEIFS($U$5:$U$1000,$R$5:$R$1000,ROW(),$S$5:$S$1000,"Sub"),$U36))</f>
        <v/>
      </c>
      <c r="Z36" s="70">
        <f>IF($S36="","",IF(N($T36)&gt;0,AVERAGEIFS($V$5:$V$1000,$R$5:$R$1000,ROW(),$S$5:$S$1000,"Sub"),$V36))</f>
        <v/>
      </c>
      <c r="AA36" s="70">
        <f>IF($S36="","",IF(N($T36)&gt;0,AVERAGEIFS($W$5:$W$1000,$R$5:$R$1000,ROW(),$S$5:$S$1000,"Sub"),$W36))</f>
        <v/>
      </c>
      <c r="AB36" s="70">
        <f>IF($S36="","",IF(N($T36)&gt;0,AVERAGEIFS($X$5:$X$1000,$R$5:$R$1000,ROW(),$S$5:$S$1000,"Sub"),$X36))</f>
        <v/>
      </c>
    </row>
    <row r="37">
      <c r="A37" s="61">
        <f>IF(NOT((COUNTA($B37:$K37)+COUNTA($N37))&gt;0),"",IF($S37="Macro",COUNTIFS($S$5:$S37,"Macro",$P$5:$P37,$P37),IF(N($R37)=0,"?",COUNTIFS(INDEX($S$5:$S$1000,1):INDEX($S$5:$S$1000,$R37-4),"Macro",INDEX($P$5:$P$1000,1):INDEX($P$5:$P$1000,$R37-4),INDEX($P$5:$P$1000,$R37-4))&amp;"."&amp;COUNTIFS($R$5:$R37,$R37,$S$5:$S37,"Sub"))))</f>
        <v/>
      </c>
      <c r="B37" s="62" t="n"/>
      <c r="C37" s="63" t="n"/>
      <c r="D37" s="62" t="n"/>
      <c r="E37" s="64" t="n"/>
      <c r="F37" s="64" t="n"/>
      <c r="G37" s="65" t="n"/>
      <c r="H37" s="66" t="n"/>
      <c r="I37" s="66" t="n"/>
      <c r="J37" s="66" t="n"/>
      <c r="K37" s="66" t="n"/>
      <c r="L37" s="67">
        <f>IF(NOT((COUNTA($B37:$K37)+COUNTA($N37))&gt;0),"",IF(N($T37)&gt;0,$AB37,IFERROR(LOOKUP(2,1/(H37:K37&lt;&gt;""),H37:K37),0)))</f>
        <v/>
      </c>
      <c r="M37" s="61">
        <f>IF(L37="","",IF(L37&gt;=1,"Completado",IF(L37&gt;0,"En curso","Pendiente")))</f>
        <v/>
      </c>
      <c r="N37" s="62" t="n"/>
      <c r="O37" s="68">
        <f>IF(NOT((COUNTA($B37:$K37)+COUNTA($N37))&gt;0),"",IF((IF(AND($S37="Macro",$B37=""),"Macroactividad vacía"&amp;" · ","")&amp;IF(AND($B37&lt;&gt;"",$C37&lt;&gt;""),"Escriba la subactividad en otra fila, debajo de su macroactividad"&amp;" · ","")&amp;IF(AND($S37="Sub",N($R37)=0),"Subactividad sin macroactividad arriba"&amp;" · ","")&amp;IF($D37="","Sin responsable"&amp;" · ","")&amp;IF($E37="","Sin fecha de inicio"&amp;" · ","")&amp;IF($F37="","Sin fecha límite"&amp;" · ","")&amp;IF(OR(AND($E37&lt;&gt;"",NOT(ISNUMBER($E37))),AND($F37&lt;&gt;"",NOT(ISNUMBER($F37)))),"Fecha no válida"&amp;" · ","")&amp;IF(AND(ISNUMBER($E37),ISNUMBER($F37),$E37&gt;$F37),"Inicio posterior a fecha límite"&amp;" · ","")&amp;IF(AND($S37="Macro",$G37=""),"Peso vacío"&amp;" · ","")&amp;IF(AND($S37="Macro",$G37&lt;&gt;"",OR(NOT(ISNUMBER($G37)),$G37&lt;=0,$G37&gt;1)),"Peso fuera de rango"&amp;" · ","")&amp;IF(AND($S37="Sub",$G37&lt;&gt;""),"Las subactividades no llevan peso"&amp;" · ","")&amp;IF(AND($S37="Macro",ABS(SUMIFS($G$5:$G$1000,$P$5:$P$1000,$P37,$S$5:$S$1000,"Macro")-1)&gt;0.0001),"Pesos del mes suman "&amp;TEXT(SUMIFS($G$5:$G$1000,$P$5:$P$1000,$P37,$S$5:$S$1000,"Macro"),"0%")&amp;" · ","")&amp;IF(AND(N($T37)&gt;0,COUNT($H37:$K37)&gt;0),"Con subactividades: deje vacías las semanas (se calculan solas)"&amp;" · ","")&amp;IF((COUNTIF($H37:$K37,"&gt;1")+COUNTIF($H37:$K37,"&lt;0")+COUNTA($H37:$K37)-COUNT($H37:$K37))&gt;0,"Avance fuera de rango 0-100%"&amp;" · ","")&amp;IF(OR(AND($I37&lt;&gt;"",$I37&lt;$H37),AND($J37&lt;&gt;"",$J37&lt;MAX($H37:$I37)),AND($K37&lt;&gt;"",$K37&lt;MAX($H37:$J37))),"Avance semanal decreciente"&amp;" · ","")&amp;IF(AND(ISNUMBER($F37),$F37&lt;FechaRef,N($L37)&lt;1),"Vencida"&amp;" · ","")&amp;IF(AND(ObsObligatoria="Sí",ISNUMBER($F37),$F37&lt;FechaRef,N($L37)&lt;1,$N37=""),"Vencida sin observación"&amp;" · ",""))="","✔ OK","⚠ "&amp;LEFT(IF(AND($S37="Macro",$B37=""),"Macroactividad vacía"&amp;" · ","")&amp;IF(AND($B37&lt;&gt;"",$C37&lt;&gt;""),"Escriba la subactividad en otra fila, debajo de su macroactividad"&amp;" · ","")&amp;IF(AND($S37="Sub",N($R37)=0),"Subactividad sin macroactividad arriba"&amp;" · ","")&amp;IF($D37="","Sin responsable"&amp;" · ","")&amp;IF($E37="","Sin fecha de inicio"&amp;" · ","")&amp;IF($F37="","Sin fecha límite"&amp;" · ","")&amp;IF(OR(AND($E37&lt;&gt;"",NOT(ISNUMBER($E37))),AND($F37&lt;&gt;"",NOT(ISNUMBER($F37)))),"Fecha no válida"&amp;" · ","")&amp;IF(AND(ISNUMBER($E37),ISNUMBER($F37),$E37&gt;$F37),"Inicio posterior a fecha límite"&amp;" · ","")&amp;IF(AND($S37="Macro",$G37=""),"Peso vacío"&amp;" · ","")&amp;IF(AND($S37="Macro",$G37&lt;&gt;"",OR(NOT(ISNUMBER($G37)),$G37&lt;=0,$G37&gt;1)),"Peso fuera de rango"&amp;" · ","")&amp;IF(AND($S37="Sub",$G37&lt;&gt;""),"Las subactividades no llevan peso"&amp;" · ","")&amp;IF(AND($S37="Macro",ABS(SUMIFS($G$5:$G$1000,$P$5:$P$1000,$P37,$S$5:$S$1000,"Macro")-1)&gt;0.0001),"Pesos del mes suman "&amp;TEXT(SUMIFS($G$5:$G$1000,$P$5:$P$1000,$P37,$S$5:$S$1000,"Macro"),"0%")&amp;" · ","")&amp;IF(AND(N($T37)&gt;0,COUNT($H37:$K37)&gt;0),"Con subactividades: deje vacías las semanas (se calculan solas)"&amp;" · ","")&amp;IF((COUNTIF($H37:$K37,"&gt;1")+COUNTIF($H37:$K37,"&lt;0")+COUNTA($H37:$K37)-COUNT($H37:$K37))&gt;0,"Avance fuera de rango 0-100%"&amp;" · ","")&amp;IF(OR(AND($I37&lt;&gt;"",$I37&lt;$H37),AND($J37&lt;&gt;"",$J37&lt;MAX($H37:$I37)),AND($K37&lt;&gt;"",$K37&lt;MAX($H37:$J37))),"Avance semanal decreciente"&amp;" · ","")&amp;IF(AND(ISNUMBER($F37),$F37&lt;FechaRef,N($L37)&lt;1),"Vencida"&amp;" · ","")&amp;IF(AND(ObsObligatoria="Sí",ISNUMBER($F37),$F37&lt;FechaRef,N($L37)&lt;1,$N37=""),"Vencida sin observación"&amp;" · ",""),LEN(IF(AND($S37="Macro",$B37=""),"Macroactividad vacía"&amp;" · ","")&amp;IF(AND($B37&lt;&gt;"",$C37&lt;&gt;""),"Escriba la subactividad en otra fila, debajo de su macroactividad"&amp;" · ","")&amp;IF(AND($S37="Sub",N($R37)=0),"Subactividad sin macroactividad arriba"&amp;" · ","")&amp;IF($D37="","Sin responsable"&amp;" · ","")&amp;IF($E37="","Sin fecha de inicio"&amp;" · ","")&amp;IF($F37="","Sin fecha límite"&amp;" · ","")&amp;IF(OR(AND($E37&lt;&gt;"",NOT(ISNUMBER($E37))),AND($F37&lt;&gt;"",NOT(ISNUMBER($F37)))),"Fecha no válida"&amp;" · ","")&amp;IF(AND(ISNUMBER($E37),ISNUMBER($F37),$E37&gt;$F37),"Inicio posterior a fecha límite"&amp;" · ","")&amp;IF(AND($S37="Macro",$G37=""),"Peso vacío"&amp;" · ","")&amp;IF(AND($S37="Macro",$G37&lt;&gt;"",OR(NOT(ISNUMBER($G37)),$G37&lt;=0,$G37&gt;1)),"Peso fuera de rango"&amp;" · ","")&amp;IF(AND($S37="Sub",$G37&lt;&gt;""),"Las subactividades no llevan peso"&amp;" · ","")&amp;IF(AND($S37="Macro",ABS(SUMIFS($G$5:$G$1000,$P$5:$P$1000,$P37,$S$5:$S$1000,"Macro")-1)&gt;0.0001),"Pesos del mes suman "&amp;TEXT(SUMIFS($G$5:$G$1000,$P$5:$P$1000,$P37,$S$5:$S$1000,"Macro"),"0%")&amp;" · ","")&amp;IF(AND(N($T37)&gt;0,COUNT($H37:$K37)&gt;0),"Con subactividades: deje vacías las semanas (se calculan solas)"&amp;" · ","")&amp;IF((COUNTIF($H37:$K37,"&gt;1")+COUNTIF($H37:$K37,"&lt;0")+COUNTA($H37:$K37)-COUNT($H37:$K37))&gt;0,"Avance fuera de rango 0-100%"&amp;" · ","")&amp;IF(OR(AND($I37&lt;&gt;"",$I37&lt;$H37),AND($J37&lt;&gt;"",$J37&lt;MAX($H37:$I37)),AND($K37&lt;&gt;"",$K37&lt;MAX($H37:$J37))),"Avance semanal decreciente"&amp;" · ","")&amp;IF(AND(ISNUMBER($F37),$F37&lt;FechaRef,N($L37)&lt;1),"Vencida"&amp;" · ","")&amp;IF(AND(ObsObligatoria="Sí",ISNUMBER($F37),$F37&lt;FechaRef,N($L37)&lt;1,$N37=""),"Vencida sin observación"&amp;" · ",""))-3)))</f>
        <v/>
      </c>
      <c r="P37" s="69">
        <f>IF(NOT((COUNTA($B37:$K37)+COUNTA($N37))&gt;0),"",IF(AND($S37="Sub",N($R37)&gt;0),IF(ISNUMBER(INDEX($E$5:$E$1000,$R37-4)),DATE(YEAR(INDEX($E$5:$E$1000,$R37-4)),MONTH(INDEX($E$5:$E$1000,$R37-4)),1),IF(ISNUMBER(INDEX($F$5:$F$1000,$R37-4)),DATE(YEAR(INDEX($F$5:$F$1000,$R37-4)),MONTH(INDEX($F$5:$F$1000,$R37-4)),1),MesCiclo)),IF(ISNUMBER($E37),DATE(YEAR($E37),MONTH($E37),1),IF(ISNUMBER($F37),DATE(YEAR($F37),MONTH($F37),1),MesCiclo))))</f>
        <v/>
      </c>
      <c r="Q37" s="70">
        <f>IF(OR($P37="",$P37&lt;&gt;MesCiclo),"",COUNTIF($P$5:$P37,MesCiclo))</f>
        <v/>
      </c>
      <c r="R37" s="70">
        <f>IF($S37="","",IF($S37="Macro",ROW(),IFERROR(LOOKUP(2,1/($S$5:$S37="Macro"),ROW($S$5:$S37)),0)))</f>
        <v/>
      </c>
      <c r="S37" s="70">
        <f>IF(NOT((COUNTA($B37:$K37)+COUNTA($N37))&gt;0),"",IF($B37&lt;&gt;"","Macro",IF($C37&lt;&gt;"","Sub","Macro")))</f>
        <v/>
      </c>
      <c r="T37" s="70">
        <f>IF($S37="Macro",COUNTIFS($R$5:$R$1000,ROW(),$S$5:$S$1000,"Sub"),"")</f>
        <v/>
      </c>
      <c r="U37" s="70">
        <f>IF($S37="","",IF(ISNUMBER($H37),$H37,0))</f>
        <v/>
      </c>
      <c r="V37" s="70">
        <f>IF($S37="","",IF(ISNUMBER($I37),$I37,$U37))</f>
        <v/>
      </c>
      <c r="W37" s="70">
        <f>IF($S37="","",IF(ISNUMBER($J37),$J37,$V37))</f>
        <v/>
      </c>
      <c r="X37" s="70">
        <f>IF($S37="","",IF(ISNUMBER($K37),$K37,$W37))</f>
        <v/>
      </c>
      <c r="Y37" s="70">
        <f>IF($S37="","",IF(N($T37)&gt;0,AVERAGEIFS($U$5:$U$1000,$R$5:$R$1000,ROW(),$S$5:$S$1000,"Sub"),$U37))</f>
        <v/>
      </c>
      <c r="Z37" s="70">
        <f>IF($S37="","",IF(N($T37)&gt;0,AVERAGEIFS($V$5:$V$1000,$R$5:$R$1000,ROW(),$S$5:$S$1000,"Sub"),$V37))</f>
        <v/>
      </c>
      <c r="AA37" s="70">
        <f>IF($S37="","",IF(N($T37)&gt;0,AVERAGEIFS($W$5:$W$1000,$R$5:$R$1000,ROW(),$S$5:$S$1000,"Sub"),$W37))</f>
        <v/>
      </c>
      <c r="AB37" s="70">
        <f>IF($S37="","",IF(N($T37)&gt;0,AVERAGEIFS($X$5:$X$1000,$R$5:$R$1000,ROW(),$S$5:$S$1000,"Sub"),$X37))</f>
        <v/>
      </c>
    </row>
    <row r="38">
      <c r="A38" s="61">
        <f>IF(NOT((COUNTA($B38:$K38)+COUNTA($N38))&gt;0),"",IF($S38="Macro",COUNTIFS($S$5:$S38,"Macro",$P$5:$P38,$P38),IF(N($R38)=0,"?",COUNTIFS(INDEX($S$5:$S$1000,1):INDEX($S$5:$S$1000,$R38-4),"Macro",INDEX($P$5:$P$1000,1):INDEX($P$5:$P$1000,$R38-4),INDEX($P$5:$P$1000,$R38-4))&amp;"."&amp;COUNTIFS($R$5:$R38,$R38,$S$5:$S38,"Sub"))))</f>
        <v/>
      </c>
      <c r="B38" s="62" t="n"/>
      <c r="C38" s="63" t="n"/>
      <c r="D38" s="62" t="n"/>
      <c r="E38" s="64" t="n"/>
      <c r="F38" s="64" t="n"/>
      <c r="G38" s="65" t="n"/>
      <c r="H38" s="66" t="n"/>
      <c r="I38" s="66" t="n"/>
      <c r="J38" s="66" t="n"/>
      <c r="K38" s="66" t="n"/>
      <c r="L38" s="67">
        <f>IF(NOT((COUNTA($B38:$K38)+COUNTA($N38))&gt;0),"",IF(N($T38)&gt;0,$AB38,IFERROR(LOOKUP(2,1/(H38:K38&lt;&gt;""),H38:K38),0)))</f>
        <v/>
      </c>
      <c r="M38" s="61">
        <f>IF(L38="","",IF(L38&gt;=1,"Completado",IF(L38&gt;0,"En curso","Pendiente")))</f>
        <v/>
      </c>
      <c r="N38" s="62" t="n"/>
      <c r="O38" s="68">
        <f>IF(NOT((COUNTA($B38:$K38)+COUNTA($N38))&gt;0),"",IF((IF(AND($S38="Macro",$B38=""),"Macroactividad vacía"&amp;" · ","")&amp;IF(AND($B38&lt;&gt;"",$C38&lt;&gt;""),"Escriba la subactividad en otra fila, debajo de su macroactividad"&amp;" · ","")&amp;IF(AND($S38="Sub",N($R38)=0),"Subactividad sin macroactividad arriba"&amp;" · ","")&amp;IF($D38="","Sin responsable"&amp;" · ","")&amp;IF($E38="","Sin fecha de inicio"&amp;" · ","")&amp;IF($F38="","Sin fecha límite"&amp;" · ","")&amp;IF(OR(AND($E38&lt;&gt;"",NOT(ISNUMBER($E38))),AND($F38&lt;&gt;"",NOT(ISNUMBER($F38)))),"Fecha no válida"&amp;" · ","")&amp;IF(AND(ISNUMBER($E38),ISNUMBER($F38),$E38&gt;$F38),"Inicio posterior a fecha límite"&amp;" · ","")&amp;IF(AND($S38="Macro",$G38=""),"Peso vacío"&amp;" · ","")&amp;IF(AND($S38="Macro",$G38&lt;&gt;"",OR(NOT(ISNUMBER($G38)),$G38&lt;=0,$G38&gt;1)),"Peso fuera de rango"&amp;" · ","")&amp;IF(AND($S38="Sub",$G38&lt;&gt;""),"Las subactividades no llevan peso"&amp;" · ","")&amp;IF(AND($S38="Macro",ABS(SUMIFS($G$5:$G$1000,$P$5:$P$1000,$P38,$S$5:$S$1000,"Macro")-1)&gt;0.0001),"Pesos del mes suman "&amp;TEXT(SUMIFS($G$5:$G$1000,$P$5:$P$1000,$P38,$S$5:$S$1000,"Macro"),"0%")&amp;" · ","")&amp;IF(AND(N($T38)&gt;0,COUNT($H38:$K38)&gt;0),"Con subactividades: deje vacías las semanas (se calculan solas)"&amp;" · ","")&amp;IF((COUNTIF($H38:$K38,"&gt;1")+COUNTIF($H38:$K38,"&lt;0")+COUNTA($H38:$K38)-COUNT($H38:$K38))&gt;0,"Avance fuera de rango 0-100%"&amp;" · ","")&amp;IF(OR(AND($I38&lt;&gt;"",$I38&lt;$H38),AND($J38&lt;&gt;"",$J38&lt;MAX($H38:$I38)),AND($K38&lt;&gt;"",$K38&lt;MAX($H38:$J38))),"Avance semanal decreciente"&amp;" · ","")&amp;IF(AND(ISNUMBER($F38),$F38&lt;FechaRef,N($L38)&lt;1),"Vencida"&amp;" · ","")&amp;IF(AND(ObsObligatoria="Sí",ISNUMBER($F38),$F38&lt;FechaRef,N($L38)&lt;1,$N38=""),"Vencida sin observación"&amp;" · ",""))="","✔ OK","⚠ "&amp;LEFT(IF(AND($S38="Macro",$B38=""),"Macroactividad vacía"&amp;" · ","")&amp;IF(AND($B38&lt;&gt;"",$C38&lt;&gt;""),"Escriba la subactividad en otra fila, debajo de su macroactividad"&amp;" · ","")&amp;IF(AND($S38="Sub",N($R38)=0),"Subactividad sin macroactividad arriba"&amp;" · ","")&amp;IF($D38="","Sin responsable"&amp;" · ","")&amp;IF($E38="","Sin fecha de inicio"&amp;" · ","")&amp;IF($F38="","Sin fecha límite"&amp;" · ","")&amp;IF(OR(AND($E38&lt;&gt;"",NOT(ISNUMBER($E38))),AND($F38&lt;&gt;"",NOT(ISNUMBER($F38)))),"Fecha no válida"&amp;" · ","")&amp;IF(AND(ISNUMBER($E38),ISNUMBER($F38),$E38&gt;$F38),"Inicio posterior a fecha límite"&amp;" · ","")&amp;IF(AND($S38="Macro",$G38=""),"Peso vacío"&amp;" · ","")&amp;IF(AND($S38="Macro",$G38&lt;&gt;"",OR(NOT(ISNUMBER($G38)),$G38&lt;=0,$G38&gt;1)),"Peso fuera de rango"&amp;" · ","")&amp;IF(AND($S38="Sub",$G38&lt;&gt;""),"Las subactividades no llevan peso"&amp;" · ","")&amp;IF(AND($S38="Macro",ABS(SUMIFS($G$5:$G$1000,$P$5:$P$1000,$P38,$S$5:$S$1000,"Macro")-1)&gt;0.0001),"Pesos del mes suman "&amp;TEXT(SUMIFS($G$5:$G$1000,$P$5:$P$1000,$P38,$S$5:$S$1000,"Macro"),"0%")&amp;" · ","")&amp;IF(AND(N($T38)&gt;0,COUNT($H38:$K38)&gt;0),"Con subactividades: deje vacías las semanas (se calculan solas)"&amp;" · ","")&amp;IF((COUNTIF($H38:$K38,"&gt;1")+COUNTIF($H38:$K38,"&lt;0")+COUNTA($H38:$K38)-COUNT($H38:$K38))&gt;0,"Avance fuera de rango 0-100%"&amp;" · ","")&amp;IF(OR(AND($I38&lt;&gt;"",$I38&lt;$H38),AND($J38&lt;&gt;"",$J38&lt;MAX($H38:$I38)),AND($K38&lt;&gt;"",$K38&lt;MAX($H38:$J38))),"Avance semanal decreciente"&amp;" · ","")&amp;IF(AND(ISNUMBER($F38),$F38&lt;FechaRef,N($L38)&lt;1),"Vencida"&amp;" · ","")&amp;IF(AND(ObsObligatoria="Sí",ISNUMBER($F38),$F38&lt;FechaRef,N($L38)&lt;1,$N38=""),"Vencida sin observación"&amp;" · ",""),LEN(IF(AND($S38="Macro",$B38=""),"Macroactividad vacía"&amp;" · ","")&amp;IF(AND($B38&lt;&gt;"",$C38&lt;&gt;""),"Escriba la subactividad en otra fila, debajo de su macroactividad"&amp;" · ","")&amp;IF(AND($S38="Sub",N($R38)=0),"Subactividad sin macroactividad arriba"&amp;" · ","")&amp;IF($D38="","Sin responsable"&amp;" · ","")&amp;IF($E38="","Sin fecha de inicio"&amp;" · ","")&amp;IF($F38="","Sin fecha límite"&amp;" · ","")&amp;IF(OR(AND($E38&lt;&gt;"",NOT(ISNUMBER($E38))),AND($F38&lt;&gt;"",NOT(ISNUMBER($F38)))),"Fecha no válida"&amp;" · ","")&amp;IF(AND(ISNUMBER($E38),ISNUMBER($F38),$E38&gt;$F38),"Inicio posterior a fecha límite"&amp;" · ","")&amp;IF(AND($S38="Macro",$G38=""),"Peso vacío"&amp;" · ","")&amp;IF(AND($S38="Macro",$G38&lt;&gt;"",OR(NOT(ISNUMBER($G38)),$G38&lt;=0,$G38&gt;1)),"Peso fuera de rango"&amp;" · ","")&amp;IF(AND($S38="Sub",$G38&lt;&gt;""),"Las subactividades no llevan peso"&amp;" · ","")&amp;IF(AND($S38="Macro",ABS(SUMIFS($G$5:$G$1000,$P$5:$P$1000,$P38,$S$5:$S$1000,"Macro")-1)&gt;0.0001),"Pesos del mes suman "&amp;TEXT(SUMIFS($G$5:$G$1000,$P$5:$P$1000,$P38,$S$5:$S$1000,"Macro"),"0%")&amp;" · ","")&amp;IF(AND(N($T38)&gt;0,COUNT($H38:$K38)&gt;0),"Con subactividades: deje vacías las semanas (se calculan solas)"&amp;" · ","")&amp;IF((COUNTIF($H38:$K38,"&gt;1")+COUNTIF($H38:$K38,"&lt;0")+COUNTA($H38:$K38)-COUNT($H38:$K38))&gt;0,"Avance fuera de rango 0-100%"&amp;" · ","")&amp;IF(OR(AND($I38&lt;&gt;"",$I38&lt;$H38),AND($J38&lt;&gt;"",$J38&lt;MAX($H38:$I38)),AND($K38&lt;&gt;"",$K38&lt;MAX($H38:$J38))),"Avance semanal decreciente"&amp;" · ","")&amp;IF(AND(ISNUMBER($F38),$F38&lt;FechaRef,N($L38)&lt;1),"Vencida"&amp;" · ","")&amp;IF(AND(ObsObligatoria="Sí",ISNUMBER($F38),$F38&lt;FechaRef,N($L38)&lt;1,$N38=""),"Vencida sin observación"&amp;" · ",""))-3)))</f>
        <v/>
      </c>
      <c r="P38" s="69">
        <f>IF(NOT((COUNTA($B38:$K38)+COUNTA($N38))&gt;0),"",IF(AND($S38="Sub",N($R38)&gt;0),IF(ISNUMBER(INDEX($E$5:$E$1000,$R38-4)),DATE(YEAR(INDEX($E$5:$E$1000,$R38-4)),MONTH(INDEX($E$5:$E$1000,$R38-4)),1),IF(ISNUMBER(INDEX($F$5:$F$1000,$R38-4)),DATE(YEAR(INDEX($F$5:$F$1000,$R38-4)),MONTH(INDEX($F$5:$F$1000,$R38-4)),1),MesCiclo)),IF(ISNUMBER($E38),DATE(YEAR($E38),MONTH($E38),1),IF(ISNUMBER($F38),DATE(YEAR($F38),MONTH($F38),1),MesCiclo))))</f>
        <v/>
      </c>
      <c r="Q38" s="70">
        <f>IF(OR($P38="",$P38&lt;&gt;MesCiclo),"",COUNTIF($P$5:$P38,MesCiclo))</f>
        <v/>
      </c>
      <c r="R38" s="70">
        <f>IF($S38="","",IF($S38="Macro",ROW(),IFERROR(LOOKUP(2,1/($S$5:$S38="Macro"),ROW($S$5:$S38)),0)))</f>
        <v/>
      </c>
      <c r="S38" s="70">
        <f>IF(NOT((COUNTA($B38:$K38)+COUNTA($N38))&gt;0),"",IF($B38&lt;&gt;"","Macro",IF($C38&lt;&gt;"","Sub","Macro")))</f>
        <v/>
      </c>
      <c r="T38" s="70">
        <f>IF($S38="Macro",COUNTIFS($R$5:$R$1000,ROW(),$S$5:$S$1000,"Sub"),"")</f>
        <v/>
      </c>
      <c r="U38" s="70">
        <f>IF($S38="","",IF(ISNUMBER($H38),$H38,0))</f>
        <v/>
      </c>
      <c r="V38" s="70">
        <f>IF($S38="","",IF(ISNUMBER($I38),$I38,$U38))</f>
        <v/>
      </c>
      <c r="W38" s="70">
        <f>IF($S38="","",IF(ISNUMBER($J38),$J38,$V38))</f>
        <v/>
      </c>
      <c r="X38" s="70">
        <f>IF($S38="","",IF(ISNUMBER($K38),$K38,$W38))</f>
        <v/>
      </c>
      <c r="Y38" s="70">
        <f>IF($S38="","",IF(N($T38)&gt;0,AVERAGEIFS($U$5:$U$1000,$R$5:$R$1000,ROW(),$S$5:$S$1000,"Sub"),$U38))</f>
        <v/>
      </c>
      <c r="Z38" s="70">
        <f>IF($S38="","",IF(N($T38)&gt;0,AVERAGEIFS($V$5:$V$1000,$R$5:$R$1000,ROW(),$S$5:$S$1000,"Sub"),$V38))</f>
        <v/>
      </c>
      <c r="AA38" s="70">
        <f>IF($S38="","",IF(N($T38)&gt;0,AVERAGEIFS($W$5:$W$1000,$R$5:$R$1000,ROW(),$S$5:$S$1000,"Sub"),$W38))</f>
        <v/>
      </c>
      <c r="AB38" s="70">
        <f>IF($S38="","",IF(N($T38)&gt;0,AVERAGEIFS($X$5:$X$1000,$R$5:$R$1000,ROW(),$S$5:$S$1000,"Sub"),$X38))</f>
        <v/>
      </c>
    </row>
    <row r="39">
      <c r="A39" s="61">
        <f>IF(NOT((COUNTA($B39:$K39)+COUNTA($N39))&gt;0),"",IF($S39="Macro",COUNTIFS($S$5:$S39,"Macro",$P$5:$P39,$P39),IF(N($R39)=0,"?",COUNTIFS(INDEX($S$5:$S$1000,1):INDEX($S$5:$S$1000,$R39-4),"Macro",INDEX($P$5:$P$1000,1):INDEX($P$5:$P$1000,$R39-4),INDEX($P$5:$P$1000,$R39-4))&amp;"."&amp;COUNTIFS($R$5:$R39,$R39,$S$5:$S39,"Sub"))))</f>
        <v/>
      </c>
      <c r="B39" s="62" t="n"/>
      <c r="C39" s="63" t="n"/>
      <c r="D39" s="62" t="n"/>
      <c r="E39" s="64" t="n"/>
      <c r="F39" s="64" t="n"/>
      <c r="G39" s="65" t="n"/>
      <c r="H39" s="66" t="n"/>
      <c r="I39" s="66" t="n"/>
      <c r="J39" s="66" t="n"/>
      <c r="K39" s="66" t="n"/>
      <c r="L39" s="67">
        <f>IF(NOT((COUNTA($B39:$K39)+COUNTA($N39))&gt;0),"",IF(N($T39)&gt;0,$AB39,IFERROR(LOOKUP(2,1/(H39:K39&lt;&gt;""),H39:K39),0)))</f>
        <v/>
      </c>
      <c r="M39" s="61">
        <f>IF(L39="","",IF(L39&gt;=1,"Completado",IF(L39&gt;0,"En curso","Pendiente")))</f>
        <v/>
      </c>
      <c r="N39" s="62" t="n"/>
      <c r="O39" s="68">
        <f>IF(NOT((COUNTA($B39:$K39)+COUNTA($N39))&gt;0),"",IF((IF(AND($S39="Macro",$B39=""),"Macroactividad vacía"&amp;" · ","")&amp;IF(AND($B39&lt;&gt;"",$C39&lt;&gt;""),"Escriba la subactividad en otra fila, debajo de su macroactividad"&amp;" · ","")&amp;IF(AND($S39="Sub",N($R39)=0),"Subactividad sin macroactividad arriba"&amp;" · ","")&amp;IF($D39="","Sin responsable"&amp;" · ","")&amp;IF($E39="","Sin fecha de inicio"&amp;" · ","")&amp;IF($F39="","Sin fecha límite"&amp;" · ","")&amp;IF(OR(AND($E39&lt;&gt;"",NOT(ISNUMBER($E39))),AND($F39&lt;&gt;"",NOT(ISNUMBER($F39)))),"Fecha no válida"&amp;" · ","")&amp;IF(AND(ISNUMBER($E39),ISNUMBER($F39),$E39&gt;$F39),"Inicio posterior a fecha límite"&amp;" · ","")&amp;IF(AND($S39="Macro",$G39=""),"Peso vacío"&amp;" · ","")&amp;IF(AND($S39="Macro",$G39&lt;&gt;"",OR(NOT(ISNUMBER($G39)),$G39&lt;=0,$G39&gt;1)),"Peso fuera de rango"&amp;" · ","")&amp;IF(AND($S39="Sub",$G39&lt;&gt;""),"Las subactividades no llevan peso"&amp;" · ","")&amp;IF(AND($S39="Macro",ABS(SUMIFS($G$5:$G$1000,$P$5:$P$1000,$P39,$S$5:$S$1000,"Macro")-1)&gt;0.0001),"Pesos del mes suman "&amp;TEXT(SUMIFS($G$5:$G$1000,$P$5:$P$1000,$P39,$S$5:$S$1000,"Macro"),"0%")&amp;" · ","")&amp;IF(AND(N($T39)&gt;0,COUNT($H39:$K39)&gt;0),"Con subactividades: deje vacías las semanas (se calculan solas)"&amp;" · ","")&amp;IF((COUNTIF($H39:$K39,"&gt;1")+COUNTIF($H39:$K39,"&lt;0")+COUNTA($H39:$K39)-COUNT($H39:$K39))&gt;0,"Avance fuera de rango 0-100%"&amp;" · ","")&amp;IF(OR(AND($I39&lt;&gt;"",$I39&lt;$H39),AND($J39&lt;&gt;"",$J39&lt;MAX($H39:$I39)),AND($K39&lt;&gt;"",$K39&lt;MAX($H39:$J39))),"Avance semanal decreciente"&amp;" · ","")&amp;IF(AND(ISNUMBER($F39),$F39&lt;FechaRef,N($L39)&lt;1),"Vencida"&amp;" · ","")&amp;IF(AND(ObsObligatoria="Sí",ISNUMBER($F39),$F39&lt;FechaRef,N($L39)&lt;1,$N39=""),"Vencida sin observación"&amp;" · ",""))="","✔ OK","⚠ "&amp;LEFT(IF(AND($S39="Macro",$B39=""),"Macroactividad vacía"&amp;" · ","")&amp;IF(AND($B39&lt;&gt;"",$C39&lt;&gt;""),"Escriba la subactividad en otra fila, debajo de su macroactividad"&amp;" · ","")&amp;IF(AND($S39="Sub",N($R39)=0),"Subactividad sin macroactividad arriba"&amp;" · ","")&amp;IF($D39="","Sin responsable"&amp;" · ","")&amp;IF($E39="","Sin fecha de inicio"&amp;" · ","")&amp;IF($F39="","Sin fecha límite"&amp;" · ","")&amp;IF(OR(AND($E39&lt;&gt;"",NOT(ISNUMBER($E39))),AND($F39&lt;&gt;"",NOT(ISNUMBER($F39)))),"Fecha no válida"&amp;" · ","")&amp;IF(AND(ISNUMBER($E39),ISNUMBER($F39),$E39&gt;$F39),"Inicio posterior a fecha límite"&amp;" · ","")&amp;IF(AND($S39="Macro",$G39=""),"Peso vacío"&amp;" · ","")&amp;IF(AND($S39="Macro",$G39&lt;&gt;"",OR(NOT(ISNUMBER($G39)),$G39&lt;=0,$G39&gt;1)),"Peso fuera de rango"&amp;" · ","")&amp;IF(AND($S39="Sub",$G39&lt;&gt;""),"Las subactividades no llevan peso"&amp;" · ","")&amp;IF(AND($S39="Macro",ABS(SUMIFS($G$5:$G$1000,$P$5:$P$1000,$P39,$S$5:$S$1000,"Macro")-1)&gt;0.0001),"Pesos del mes suman "&amp;TEXT(SUMIFS($G$5:$G$1000,$P$5:$P$1000,$P39,$S$5:$S$1000,"Macro"),"0%")&amp;" · ","")&amp;IF(AND(N($T39)&gt;0,COUNT($H39:$K39)&gt;0),"Con subactividades: deje vacías las semanas (se calculan solas)"&amp;" · ","")&amp;IF((COUNTIF($H39:$K39,"&gt;1")+COUNTIF($H39:$K39,"&lt;0")+COUNTA($H39:$K39)-COUNT($H39:$K39))&gt;0,"Avance fuera de rango 0-100%"&amp;" · ","")&amp;IF(OR(AND($I39&lt;&gt;"",$I39&lt;$H39),AND($J39&lt;&gt;"",$J39&lt;MAX($H39:$I39)),AND($K39&lt;&gt;"",$K39&lt;MAX($H39:$J39))),"Avance semanal decreciente"&amp;" · ","")&amp;IF(AND(ISNUMBER($F39),$F39&lt;FechaRef,N($L39)&lt;1),"Vencida"&amp;" · ","")&amp;IF(AND(ObsObligatoria="Sí",ISNUMBER($F39),$F39&lt;FechaRef,N($L39)&lt;1,$N39=""),"Vencida sin observación"&amp;" · ",""),LEN(IF(AND($S39="Macro",$B39=""),"Macroactividad vacía"&amp;" · ","")&amp;IF(AND($B39&lt;&gt;"",$C39&lt;&gt;""),"Escriba la subactividad en otra fila, debajo de su macroactividad"&amp;" · ","")&amp;IF(AND($S39="Sub",N($R39)=0),"Subactividad sin macroactividad arriba"&amp;" · ","")&amp;IF($D39="","Sin responsable"&amp;" · ","")&amp;IF($E39="","Sin fecha de inicio"&amp;" · ","")&amp;IF($F39="","Sin fecha límite"&amp;" · ","")&amp;IF(OR(AND($E39&lt;&gt;"",NOT(ISNUMBER($E39))),AND($F39&lt;&gt;"",NOT(ISNUMBER($F39)))),"Fecha no válida"&amp;" · ","")&amp;IF(AND(ISNUMBER($E39),ISNUMBER($F39),$E39&gt;$F39),"Inicio posterior a fecha límite"&amp;" · ","")&amp;IF(AND($S39="Macro",$G39=""),"Peso vacío"&amp;" · ","")&amp;IF(AND($S39="Macro",$G39&lt;&gt;"",OR(NOT(ISNUMBER($G39)),$G39&lt;=0,$G39&gt;1)),"Peso fuera de rango"&amp;" · ","")&amp;IF(AND($S39="Sub",$G39&lt;&gt;""),"Las subactividades no llevan peso"&amp;" · ","")&amp;IF(AND($S39="Macro",ABS(SUMIFS($G$5:$G$1000,$P$5:$P$1000,$P39,$S$5:$S$1000,"Macro")-1)&gt;0.0001),"Pesos del mes suman "&amp;TEXT(SUMIFS($G$5:$G$1000,$P$5:$P$1000,$P39,$S$5:$S$1000,"Macro"),"0%")&amp;" · ","")&amp;IF(AND(N($T39)&gt;0,COUNT($H39:$K39)&gt;0),"Con subactividades: deje vacías las semanas (se calculan solas)"&amp;" · ","")&amp;IF((COUNTIF($H39:$K39,"&gt;1")+COUNTIF($H39:$K39,"&lt;0")+COUNTA($H39:$K39)-COUNT($H39:$K39))&gt;0,"Avance fuera de rango 0-100%"&amp;" · ","")&amp;IF(OR(AND($I39&lt;&gt;"",$I39&lt;$H39),AND($J39&lt;&gt;"",$J39&lt;MAX($H39:$I39)),AND($K39&lt;&gt;"",$K39&lt;MAX($H39:$J39))),"Avance semanal decreciente"&amp;" · ","")&amp;IF(AND(ISNUMBER($F39),$F39&lt;FechaRef,N($L39)&lt;1),"Vencida"&amp;" · ","")&amp;IF(AND(ObsObligatoria="Sí",ISNUMBER($F39),$F39&lt;FechaRef,N($L39)&lt;1,$N39=""),"Vencida sin observación"&amp;" · ",""))-3)))</f>
        <v/>
      </c>
      <c r="P39" s="69">
        <f>IF(NOT((COUNTA($B39:$K39)+COUNTA($N39))&gt;0),"",IF(AND($S39="Sub",N($R39)&gt;0),IF(ISNUMBER(INDEX($E$5:$E$1000,$R39-4)),DATE(YEAR(INDEX($E$5:$E$1000,$R39-4)),MONTH(INDEX($E$5:$E$1000,$R39-4)),1),IF(ISNUMBER(INDEX($F$5:$F$1000,$R39-4)),DATE(YEAR(INDEX($F$5:$F$1000,$R39-4)),MONTH(INDEX($F$5:$F$1000,$R39-4)),1),MesCiclo)),IF(ISNUMBER($E39),DATE(YEAR($E39),MONTH($E39),1),IF(ISNUMBER($F39),DATE(YEAR($F39),MONTH($F39),1),MesCiclo))))</f>
        <v/>
      </c>
      <c r="Q39" s="70">
        <f>IF(OR($P39="",$P39&lt;&gt;MesCiclo),"",COUNTIF($P$5:$P39,MesCiclo))</f>
        <v/>
      </c>
      <c r="R39" s="70">
        <f>IF($S39="","",IF($S39="Macro",ROW(),IFERROR(LOOKUP(2,1/($S$5:$S39="Macro"),ROW($S$5:$S39)),0)))</f>
        <v/>
      </c>
      <c r="S39" s="70">
        <f>IF(NOT((COUNTA($B39:$K39)+COUNTA($N39))&gt;0),"",IF($B39&lt;&gt;"","Macro",IF($C39&lt;&gt;"","Sub","Macro")))</f>
        <v/>
      </c>
      <c r="T39" s="70">
        <f>IF($S39="Macro",COUNTIFS($R$5:$R$1000,ROW(),$S$5:$S$1000,"Sub"),"")</f>
        <v/>
      </c>
      <c r="U39" s="70">
        <f>IF($S39="","",IF(ISNUMBER($H39),$H39,0))</f>
        <v/>
      </c>
      <c r="V39" s="70">
        <f>IF($S39="","",IF(ISNUMBER($I39),$I39,$U39))</f>
        <v/>
      </c>
      <c r="W39" s="70">
        <f>IF($S39="","",IF(ISNUMBER($J39),$J39,$V39))</f>
        <v/>
      </c>
      <c r="X39" s="70">
        <f>IF($S39="","",IF(ISNUMBER($K39),$K39,$W39))</f>
        <v/>
      </c>
      <c r="Y39" s="70">
        <f>IF($S39="","",IF(N($T39)&gt;0,AVERAGEIFS($U$5:$U$1000,$R$5:$R$1000,ROW(),$S$5:$S$1000,"Sub"),$U39))</f>
        <v/>
      </c>
      <c r="Z39" s="70">
        <f>IF($S39="","",IF(N($T39)&gt;0,AVERAGEIFS($V$5:$V$1000,$R$5:$R$1000,ROW(),$S$5:$S$1000,"Sub"),$V39))</f>
        <v/>
      </c>
      <c r="AA39" s="70">
        <f>IF($S39="","",IF(N($T39)&gt;0,AVERAGEIFS($W$5:$W$1000,$R$5:$R$1000,ROW(),$S$5:$S$1000,"Sub"),$W39))</f>
        <v/>
      </c>
      <c r="AB39" s="70">
        <f>IF($S39="","",IF(N($T39)&gt;0,AVERAGEIFS($X$5:$X$1000,$R$5:$R$1000,ROW(),$S$5:$S$1000,"Sub"),$X39))</f>
        <v/>
      </c>
    </row>
    <row r="40">
      <c r="A40" s="61">
        <f>IF(NOT((COUNTA($B40:$K40)+COUNTA($N40))&gt;0),"",IF($S40="Macro",COUNTIFS($S$5:$S40,"Macro",$P$5:$P40,$P40),IF(N($R40)=0,"?",COUNTIFS(INDEX($S$5:$S$1000,1):INDEX($S$5:$S$1000,$R40-4),"Macro",INDEX($P$5:$P$1000,1):INDEX($P$5:$P$1000,$R40-4),INDEX($P$5:$P$1000,$R40-4))&amp;"."&amp;COUNTIFS($R$5:$R40,$R40,$S$5:$S40,"Sub"))))</f>
        <v/>
      </c>
      <c r="B40" s="62" t="n"/>
      <c r="C40" s="63" t="n"/>
      <c r="D40" s="62" t="n"/>
      <c r="E40" s="64" t="n"/>
      <c r="F40" s="64" t="n"/>
      <c r="G40" s="65" t="n"/>
      <c r="H40" s="66" t="n"/>
      <c r="I40" s="66" t="n"/>
      <c r="J40" s="66" t="n"/>
      <c r="K40" s="66" t="n"/>
      <c r="L40" s="67">
        <f>IF(NOT((COUNTA($B40:$K40)+COUNTA($N40))&gt;0),"",IF(N($T40)&gt;0,$AB40,IFERROR(LOOKUP(2,1/(H40:K40&lt;&gt;""),H40:K40),0)))</f>
        <v/>
      </c>
      <c r="M40" s="61">
        <f>IF(L40="","",IF(L40&gt;=1,"Completado",IF(L40&gt;0,"En curso","Pendiente")))</f>
        <v/>
      </c>
      <c r="N40" s="62" t="n"/>
      <c r="O40" s="68">
        <f>IF(NOT((COUNTA($B40:$K40)+COUNTA($N40))&gt;0),"",IF((IF(AND($S40="Macro",$B40=""),"Macroactividad vacía"&amp;" · ","")&amp;IF(AND($B40&lt;&gt;"",$C40&lt;&gt;""),"Escriba la subactividad en otra fila, debajo de su macroactividad"&amp;" · ","")&amp;IF(AND($S40="Sub",N($R40)=0),"Subactividad sin macroactividad arriba"&amp;" · ","")&amp;IF($D40="","Sin responsable"&amp;" · ","")&amp;IF($E40="","Sin fecha de inicio"&amp;" · ","")&amp;IF($F40="","Sin fecha límite"&amp;" · ","")&amp;IF(OR(AND($E40&lt;&gt;"",NOT(ISNUMBER($E40))),AND($F40&lt;&gt;"",NOT(ISNUMBER($F40)))),"Fecha no válida"&amp;" · ","")&amp;IF(AND(ISNUMBER($E40),ISNUMBER($F40),$E40&gt;$F40),"Inicio posterior a fecha límite"&amp;" · ","")&amp;IF(AND($S40="Macro",$G40=""),"Peso vacío"&amp;" · ","")&amp;IF(AND($S40="Macro",$G40&lt;&gt;"",OR(NOT(ISNUMBER($G40)),$G40&lt;=0,$G40&gt;1)),"Peso fuera de rango"&amp;" · ","")&amp;IF(AND($S40="Sub",$G40&lt;&gt;""),"Las subactividades no llevan peso"&amp;" · ","")&amp;IF(AND($S40="Macro",ABS(SUMIFS($G$5:$G$1000,$P$5:$P$1000,$P40,$S$5:$S$1000,"Macro")-1)&gt;0.0001),"Pesos del mes suman "&amp;TEXT(SUMIFS($G$5:$G$1000,$P$5:$P$1000,$P40,$S$5:$S$1000,"Macro"),"0%")&amp;" · ","")&amp;IF(AND(N($T40)&gt;0,COUNT($H40:$K40)&gt;0),"Con subactividades: deje vacías las semanas (se calculan solas)"&amp;" · ","")&amp;IF((COUNTIF($H40:$K40,"&gt;1")+COUNTIF($H40:$K40,"&lt;0")+COUNTA($H40:$K40)-COUNT($H40:$K40))&gt;0,"Avance fuera de rango 0-100%"&amp;" · ","")&amp;IF(OR(AND($I40&lt;&gt;"",$I40&lt;$H40),AND($J40&lt;&gt;"",$J40&lt;MAX($H40:$I40)),AND($K40&lt;&gt;"",$K40&lt;MAX($H40:$J40))),"Avance semanal decreciente"&amp;" · ","")&amp;IF(AND(ISNUMBER($F40),$F40&lt;FechaRef,N($L40)&lt;1),"Vencida"&amp;" · ","")&amp;IF(AND(ObsObligatoria="Sí",ISNUMBER($F40),$F40&lt;FechaRef,N($L40)&lt;1,$N40=""),"Vencida sin observación"&amp;" · ",""))="","✔ OK","⚠ "&amp;LEFT(IF(AND($S40="Macro",$B40=""),"Macroactividad vacía"&amp;" · ","")&amp;IF(AND($B40&lt;&gt;"",$C40&lt;&gt;""),"Escriba la subactividad en otra fila, debajo de su macroactividad"&amp;" · ","")&amp;IF(AND($S40="Sub",N($R40)=0),"Subactividad sin macroactividad arriba"&amp;" · ","")&amp;IF($D40="","Sin responsable"&amp;" · ","")&amp;IF($E40="","Sin fecha de inicio"&amp;" · ","")&amp;IF($F40="","Sin fecha límite"&amp;" · ","")&amp;IF(OR(AND($E40&lt;&gt;"",NOT(ISNUMBER($E40))),AND($F40&lt;&gt;"",NOT(ISNUMBER($F40)))),"Fecha no válida"&amp;" · ","")&amp;IF(AND(ISNUMBER($E40),ISNUMBER($F40),$E40&gt;$F40),"Inicio posterior a fecha límite"&amp;" · ","")&amp;IF(AND($S40="Macro",$G40=""),"Peso vacío"&amp;" · ","")&amp;IF(AND($S40="Macro",$G40&lt;&gt;"",OR(NOT(ISNUMBER($G40)),$G40&lt;=0,$G40&gt;1)),"Peso fuera de rango"&amp;" · ","")&amp;IF(AND($S40="Sub",$G40&lt;&gt;""),"Las subactividades no llevan peso"&amp;" · ","")&amp;IF(AND($S40="Macro",ABS(SUMIFS($G$5:$G$1000,$P$5:$P$1000,$P40,$S$5:$S$1000,"Macro")-1)&gt;0.0001),"Pesos del mes suman "&amp;TEXT(SUMIFS($G$5:$G$1000,$P$5:$P$1000,$P40,$S$5:$S$1000,"Macro"),"0%")&amp;" · ","")&amp;IF(AND(N($T40)&gt;0,COUNT($H40:$K40)&gt;0),"Con subactividades: deje vacías las semanas (se calculan solas)"&amp;" · ","")&amp;IF((COUNTIF($H40:$K40,"&gt;1")+COUNTIF($H40:$K40,"&lt;0")+COUNTA($H40:$K40)-COUNT($H40:$K40))&gt;0,"Avance fuera de rango 0-100%"&amp;" · ","")&amp;IF(OR(AND($I40&lt;&gt;"",$I40&lt;$H40),AND($J40&lt;&gt;"",$J40&lt;MAX($H40:$I40)),AND($K40&lt;&gt;"",$K40&lt;MAX($H40:$J40))),"Avance semanal decreciente"&amp;" · ","")&amp;IF(AND(ISNUMBER($F40),$F40&lt;FechaRef,N($L40)&lt;1),"Vencida"&amp;" · ","")&amp;IF(AND(ObsObligatoria="Sí",ISNUMBER($F40),$F40&lt;FechaRef,N($L40)&lt;1,$N40=""),"Vencida sin observación"&amp;" · ",""),LEN(IF(AND($S40="Macro",$B40=""),"Macroactividad vacía"&amp;" · ","")&amp;IF(AND($B40&lt;&gt;"",$C40&lt;&gt;""),"Escriba la subactividad en otra fila, debajo de su macroactividad"&amp;" · ","")&amp;IF(AND($S40="Sub",N($R40)=0),"Subactividad sin macroactividad arriba"&amp;" · ","")&amp;IF($D40="","Sin responsable"&amp;" · ","")&amp;IF($E40="","Sin fecha de inicio"&amp;" · ","")&amp;IF($F40="","Sin fecha límite"&amp;" · ","")&amp;IF(OR(AND($E40&lt;&gt;"",NOT(ISNUMBER($E40))),AND($F40&lt;&gt;"",NOT(ISNUMBER($F40)))),"Fecha no válida"&amp;" · ","")&amp;IF(AND(ISNUMBER($E40),ISNUMBER($F40),$E40&gt;$F40),"Inicio posterior a fecha límite"&amp;" · ","")&amp;IF(AND($S40="Macro",$G40=""),"Peso vacío"&amp;" · ","")&amp;IF(AND($S40="Macro",$G40&lt;&gt;"",OR(NOT(ISNUMBER($G40)),$G40&lt;=0,$G40&gt;1)),"Peso fuera de rango"&amp;" · ","")&amp;IF(AND($S40="Sub",$G40&lt;&gt;""),"Las subactividades no llevan peso"&amp;" · ","")&amp;IF(AND($S40="Macro",ABS(SUMIFS($G$5:$G$1000,$P$5:$P$1000,$P40,$S$5:$S$1000,"Macro")-1)&gt;0.0001),"Pesos del mes suman "&amp;TEXT(SUMIFS($G$5:$G$1000,$P$5:$P$1000,$P40,$S$5:$S$1000,"Macro"),"0%")&amp;" · ","")&amp;IF(AND(N($T40)&gt;0,COUNT($H40:$K40)&gt;0),"Con subactividades: deje vacías las semanas (se calculan solas)"&amp;" · ","")&amp;IF((COUNTIF($H40:$K40,"&gt;1")+COUNTIF($H40:$K40,"&lt;0")+COUNTA($H40:$K40)-COUNT($H40:$K40))&gt;0,"Avance fuera de rango 0-100%"&amp;" · ","")&amp;IF(OR(AND($I40&lt;&gt;"",$I40&lt;$H40),AND($J40&lt;&gt;"",$J40&lt;MAX($H40:$I40)),AND($K40&lt;&gt;"",$K40&lt;MAX($H40:$J40))),"Avance semanal decreciente"&amp;" · ","")&amp;IF(AND(ISNUMBER($F40),$F40&lt;FechaRef,N($L40)&lt;1),"Vencida"&amp;" · ","")&amp;IF(AND(ObsObligatoria="Sí",ISNUMBER($F40),$F40&lt;FechaRef,N($L40)&lt;1,$N40=""),"Vencida sin observación"&amp;" · ",""))-3)))</f>
        <v/>
      </c>
      <c r="P40" s="69">
        <f>IF(NOT((COUNTA($B40:$K40)+COUNTA($N40))&gt;0),"",IF(AND($S40="Sub",N($R40)&gt;0),IF(ISNUMBER(INDEX($E$5:$E$1000,$R40-4)),DATE(YEAR(INDEX($E$5:$E$1000,$R40-4)),MONTH(INDEX($E$5:$E$1000,$R40-4)),1),IF(ISNUMBER(INDEX($F$5:$F$1000,$R40-4)),DATE(YEAR(INDEX($F$5:$F$1000,$R40-4)),MONTH(INDEX($F$5:$F$1000,$R40-4)),1),MesCiclo)),IF(ISNUMBER($E40),DATE(YEAR($E40),MONTH($E40),1),IF(ISNUMBER($F40),DATE(YEAR($F40),MONTH($F40),1),MesCiclo))))</f>
        <v/>
      </c>
      <c r="Q40" s="70">
        <f>IF(OR($P40="",$P40&lt;&gt;MesCiclo),"",COUNTIF($P$5:$P40,MesCiclo))</f>
        <v/>
      </c>
      <c r="R40" s="70">
        <f>IF($S40="","",IF($S40="Macro",ROW(),IFERROR(LOOKUP(2,1/($S$5:$S40="Macro"),ROW($S$5:$S40)),0)))</f>
        <v/>
      </c>
      <c r="S40" s="70">
        <f>IF(NOT((COUNTA($B40:$K40)+COUNTA($N40))&gt;0),"",IF($B40&lt;&gt;"","Macro",IF($C40&lt;&gt;"","Sub","Macro")))</f>
        <v/>
      </c>
      <c r="T40" s="70">
        <f>IF($S40="Macro",COUNTIFS($R$5:$R$1000,ROW(),$S$5:$S$1000,"Sub"),"")</f>
        <v/>
      </c>
      <c r="U40" s="70">
        <f>IF($S40="","",IF(ISNUMBER($H40),$H40,0))</f>
        <v/>
      </c>
      <c r="V40" s="70">
        <f>IF($S40="","",IF(ISNUMBER($I40),$I40,$U40))</f>
        <v/>
      </c>
      <c r="W40" s="70">
        <f>IF($S40="","",IF(ISNUMBER($J40),$J40,$V40))</f>
        <v/>
      </c>
      <c r="X40" s="70">
        <f>IF($S40="","",IF(ISNUMBER($K40),$K40,$W40))</f>
        <v/>
      </c>
      <c r="Y40" s="70">
        <f>IF($S40="","",IF(N($T40)&gt;0,AVERAGEIFS($U$5:$U$1000,$R$5:$R$1000,ROW(),$S$5:$S$1000,"Sub"),$U40))</f>
        <v/>
      </c>
      <c r="Z40" s="70">
        <f>IF($S40="","",IF(N($T40)&gt;0,AVERAGEIFS($V$5:$V$1000,$R$5:$R$1000,ROW(),$S$5:$S$1000,"Sub"),$V40))</f>
        <v/>
      </c>
      <c r="AA40" s="70">
        <f>IF($S40="","",IF(N($T40)&gt;0,AVERAGEIFS($W$5:$W$1000,$R$5:$R$1000,ROW(),$S$5:$S$1000,"Sub"),$W40))</f>
        <v/>
      </c>
      <c r="AB40" s="70">
        <f>IF($S40="","",IF(N($T40)&gt;0,AVERAGEIFS($X$5:$X$1000,$R$5:$R$1000,ROW(),$S$5:$S$1000,"Sub"),$X40))</f>
        <v/>
      </c>
    </row>
    <row r="41">
      <c r="A41" s="61">
        <f>IF(NOT((COUNTA($B41:$K41)+COUNTA($N41))&gt;0),"",IF($S41="Macro",COUNTIFS($S$5:$S41,"Macro",$P$5:$P41,$P41),IF(N($R41)=0,"?",COUNTIFS(INDEX($S$5:$S$1000,1):INDEX($S$5:$S$1000,$R41-4),"Macro",INDEX($P$5:$P$1000,1):INDEX($P$5:$P$1000,$R41-4),INDEX($P$5:$P$1000,$R41-4))&amp;"."&amp;COUNTIFS($R$5:$R41,$R41,$S$5:$S41,"Sub"))))</f>
        <v/>
      </c>
      <c r="B41" s="62" t="n"/>
      <c r="C41" s="63" t="n"/>
      <c r="D41" s="62" t="n"/>
      <c r="E41" s="64" t="n"/>
      <c r="F41" s="64" t="n"/>
      <c r="G41" s="65" t="n"/>
      <c r="H41" s="66" t="n"/>
      <c r="I41" s="66" t="n"/>
      <c r="J41" s="66" t="n"/>
      <c r="K41" s="66" t="n"/>
      <c r="L41" s="67">
        <f>IF(NOT((COUNTA($B41:$K41)+COUNTA($N41))&gt;0),"",IF(N($T41)&gt;0,$AB41,IFERROR(LOOKUP(2,1/(H41:K41&lt;&gt;""),H41:K41),0)))</f>
        <v/>
      </c>
      <c r="M41" s="61">
        <f>IF(L41="","",IF(L41&gt;=1,"Completado",IF(L41&gt;0,"En curso","Pendiente")))</f>
        <v/>
      </c>
      <c r="N41" s="62" t="n"/>
      <c r="O41" s="68">
        <f>IF(NOT((COUNTA($B41:$K41)+COUNTA($N41))&gt;0),"",IF((IF(AND($S41="Macro",$B41=""),"Macroactividad vacía"&amp;" · ","")&amp;IF(AND($B41&lt;&gt;"",$C41&lt;&gt;""),"Escriba la subactividad en otra fila, debajo de su macroactividad"&amp;" · ","")&amp;IF(AND($S41="Sub",N($R41)=0),"Subactividad sin macroactividad arriba"&amp;" · ","")&amp;IF($D41="","Sin responsable"&amp;" · ","")&amp;IF($E41="","Sin fecha de inicio"&amp;" · ","")&amp;IF($F41="","Sin fecha límite"&amp;" · ","")&amp;IF(OR(AND($E41&lt;&gt;"",NOT(ISNUMBER($E41))),AND($F41&lt;&gt;"",NOT(ISNUMBER($F41)))),"Fecha no válida"&amp;" · ","")&amp;IF(AND(ISNUMBER($E41),ISNUMBER($F41),$E41&gt;$F41),"Inicio posterior a fecha límite"&amp;" · ","")&amp;IF(AND($S41="Macro",$G41=""),"Peso vacío"&amp;" · ","")&amp;IF(AND($S41="Macro",$G41&lt;&gt;"",OR(NOT(ISNUMBER($G41)),$G41&lt;=0,$G41&gt;1)),"Peso fuera de rango"&amp;" · ","")&amp;IF(AND($S41="Sub",$G41&lt;&gt;""),"Las subactividades no llevan peso"&amp;" · ","")&amp;IF(AND($S41="Macro",ABS(SUMIFS($G$5:$G$1000,$P$5:$P$1000,$P41,$S$5:$S$1000,"Macro")-1)&gt;0.0001),"Pesos del mes suman "&amp;TEXT(SUMIFS($G$5:$G$1000,$P$5:$P$1000,$P41,$S$5:$S$1000,"Macro"),"0%")&amp;" · ","")&amp;IF(AND(N($T41)&gt;0,COUNT($H41:$K41)&gt;0),"Con subactividades: deje vacías las semanas (se calculan solas)"&amp;" · ","")&amp;IF((COUNTIF($H41:$K41,"&gt;1")+COUNTIF($H41:$K41,"&lt;0")+COUNTA($H41:$K41)-COUNT($H41:$K41))&gt;0,"Avance fuera de rango 0-100%"&amp;" · ","")&amp;IF(OR(AND($I41&lt;&gt;"",$I41&lt;$H41),AND($J41&lt;&gt;"",$J41&lt;MAX($H41:$I41)),AND($K41&lt;&gt;"",$K41&lt;MAX($H41:$J41))),"Avance semanal decreciente"&amp;" · ","")&amp;IF(AND(ISNUMBER($F41),$F41&lt;FechaRef,N($L41)&lt;1),"Vencida"&amp;" · ","")&amp;IF(AND(ObsObligatoria="Sí",ISNUMBER($F41),$F41&lt;FechaRef,N($L41)&lt;1,$N41=""),"Vencida sin observación"&amp;" · ",""))="","✔ OK","⚠ "&amp;LEFT(IF(AND($S41="Macro",$B41=""),"Macroactividad vacía"&amp;" · ","")&amp;IF(AND($B41&lt;&gt;"",$C41&lt;&gt;""),"Escriba la subactividad en otra fila, debajo de su macroactividad"&amp;" · ","")&amp;IF(AND($S41="Sub",N($R41)=0),"Subactividad sin macroactividad arriba"&amp;" · ","")&amp;IF($D41="","Sin responsable"&amp;" · ","")&amp;IF($E41="","Sin fecha de inicio"&amp;" · ","")&amp;IF($F41="","Sin fecha límite"&amp;" · ","")&amp;IF(OR(AND($E41&lt;&gt;"",NOT(ISNUMBER($E41))),AND($F41&lt;&gt;"",NOT(ISNUMBER($F41)))),"Fecha no válida"&amp;" · ","")&amp;IF(AND(ISNUMBER($E41),ISNUMBER($F41),$E41&gt;$F41),"Inicio posterior a fecha límite"&amp;" · ","")&amp;IF(AND($S41="Macro",$G41=""),"Peso vacío"&amp;" · ","")&amp;IF(AND($S41="Macro",$G41&lt;&gt;"",OR(NOT(ISNUMBER($G41)),$G41&lt;=0,$G41&gt;1)),"Peso fuera de rango"&amp;" · ","")&amp;IF(AND($S41="Sub",$G41&lt;&gt;""),"Las subactividades no llevan peso"&amp;" · ","")&amp;IF(AND($S41="Macro",ABS(SUMIFS($G$5:$G$1000,$P$5:$P$1000,$P41,$S$5:$S$1000,"Macro")-1)&gt;0.0001),"Pesos del mes suman "&amp;TEXT(SUMIFS($G$5:$G$1000,$P$5:$P$1000,$P41,$S$5:$S$1000,"Macro"),"0%")&amp;" · ","")&amp;IF(AND(N($T41)&gt;0,COUNT($H41:$K41)&gt;0),"Con subactividades: deje vacías las semanas (se calculan solas)"&amp;" · ","")&amp;IF((COUNTIF($H41:$K41,"&gt;1")+COUNTIF($H41:$K41,"&lt;0")+COUNTA($H41:$K41)-COUNT($H41:$K41))&gt;0,"Avance fuera de rango 0-100%"&amp;" · ","")&amp;IF(OR(AND($I41&lt;&gt;"",$I41&lt;$H41),AND($J41&lt;&gt;"",$J41&lt;MAX($H41:$I41)),AND($K41&lt;&gt;"",$K41&lt;MAX($H41:$J41))),"Avance semanal decreciente"&amp;" · ","")&amp;IF(AND(ISNUMBER($F41),$F41&lt;FechaRef,N($L41)&lt;1),"Vencida"&amp;" · ","")&amp;IF(AND(ObsObligatoria="Sí",ISNUMBER($F41),$F41&lt;FechaRef,N($L41)&lt;1,$N41=""),"Vencida sin observación"&amp;" · ",""),LEN(IF(AND($S41="Macro",$B41=""),"Macroactividad vacía"&amp;" · ","")&amp;IF(AND($B41&lt;&gt;"",$C41&lt;&gt;""),"Escriba la subactividad en otra fila, debajo de su macroactividad"&amp;" · ","")&amp;IF(AND($S41="Sub",N($R41)=0),"Subactividad sin macroactividad arriba"&amp;" · ","")&amp;IF($D41="","Sin responsable"&amp;" · ","")&amp;IF($E41="","Sin fecha de inicio"&amp;" · ","")&amp;IF($F41="","Sin fecha límite"&amp;" · ","")&amp;IF(OR(AND($E41&lt;&gt;"",NOT(ISNUMBER($E41))),AND($F41&lt;&gt;"",NOT(ISNUMBER($F41)))),"Fecha no válida"&amp;" · ","")&amp;IF(AND(ISNUMBER($E41),ISNUMBER($F41),$E41&gt;$F41),"Inicio posterior a fecha límite"&amp;" · ","")&amp;IF(AND($S41="Macro",$G41=""),"Peso vacío"&amp;" · ","")&amp;IF(AND($S41="Macro",$G41&lt;&gt;"",OR(NOT(ISNUMBER($G41)),$G41&lt;=0,$G41&gt;1)),"Peso fuera de rango"&amp;" · ","")&amp;IF(AND($S41="Sub",$G41&lt;&gt;""),"Las subactividades no llevan peso"&amp;" · ","")&amp;IF(AND($S41="Macro",ABS(SUMIFS($G$5:$G$1000,$P$5:$P$1000,$P41,$S$5:$S$1000,"Macro")-1)&gt;0.0001),"Pesos del mes suman "&amp;TEXT(SUMIFS($G$5:$G$1000,$P$5:$P$1000,$P41,$S$5:$S$1000,"Macro"),"0%")&amp;" · ","")&amp;IF(AND(N($T41)&gt;0,COUNT($H41:$K41)&gt;0),"Con subactividades: deje vacías las semanas (se calculan solas)"&amp;" · ","")&amp;IF((COUNTIF($H41:$K41,"&gt;1")+COUNTIF($H41:$K41,"&lt;0")+COUNTA($H41:$K41)-COUNT($H41:$K41))&gt;0,"Avance fuera de rango 0-100%"&amp;" · ","")&amp;IF(OR(AND($I41&lt;&gt;"",$I41&lt;$H41),AND($J41&lt;&gt;"",$J41&lt;MAX($H41:$I41)),AND($K41&lt;&gt;"",$K41&lt;MAX($H41:$J41))),"Avance semanal decreciente"&amp;" · ","")&amp;IF(AND(ISNUMBER($F41),$F41&lt;FechaRef,N($L41)&lt;1),"Vencida"&amp;" · ","")&amp;IF(AND(ObsObligatoria="Sí",ISNUMBER($F41),$F41&lt;FechaRef,N($L41)&lt;1,$N41=""),"Vencida sin observación"&amp;" · ",""))-3)))</f>
        <v/>
      </c>
      <c r="P41" s="69">
        <f>IF(NOT((COUNTA($B41:$K41)+COUNTA($N41))&gt;0),"",IF(AND($S41="Sub",N($R41)&gt;0),IF(ISNUMBER(INDEX($E$5:$E$1000,$R41-4)),DATE(YEAR(INDEX($E$5:$E$1000,$R41-4)),MONTH(INDEX($E$5:$E$1000,$R41-4)),1),IF(ISNUMBER(INDEX($F$5:$F$1000,$R41-4)),DATE(YEAR(INDEX($F$5:$F$1000,$R41-4)),MONTH(INDEX($F$5:$F$1000,$R41-4)),1),MesCiclo)),IF(ISNUMBER($E41),DATE(YEAR($E41),MONTH($E41),1),IF(ISNUMBER($F41),DATE(YEAR($F41),MONTH($F41),1),MesCiclo))))</f>
        <v/>
      </c>
      <c r="Q41" s="70">
        <f>IF(OR($P41="",$P41&lt;&gt;MesCiclo),"",COUNTIF($P$5:$P41,MesCiclo))</f>
        <v/>
      </c>
      <c r="R41" s="70">
        <f>IF($S41="","",IF($S41="Macro",ROW(),IFERROR(LOOKUP(2,1/($S$5:$S41="Macro"),ROW($S$5:$S41)),0)))</f>
        <v/>
      </c>
      <c r="S41" s="70">
        <f>IF(NOT((COUNTA($B41:$K41)+COUNTA($N41))&gt;0),"",IF($B41&lt;&gt;"","Macro",IF($C41&lt;&gt;"","Sub","Macro")))</f>
        <v/>
      </c>
      <c r="T41" s="70">
        <f>IF($S41="Macro",COUNTIFS($R$5:$R$1000,ROW(),$S$5:$S$1000,"Sub"),"")</f>
        <v/>
      </c>
      <c r="U41" s="70">
        <f>IF($S41="","",IF(ISNUMBER($H41),$H41,0))</f>
        <v/>
      </c>
      <c r="V41" s="70">
        <f>IF($S41="","",IF(ISNUMBER($I41),$I41,$U41))</f>
        <v/>
      </c>
      <c r="W41" s="70">
        <f>IF($S41="","",IF(ISNUMBER($J41),$J41,$V41))</f>
        <v/>
      </c>
      <c r="X41" s="70">
        <f>IF($S41="","",IF(ISNUMBER($K41),$K41,$W41))</f>
        <v/>
      </c>
      <c r="Y41" s="70">
        <f>IF($S41="","",IF(N($T41)&gt;0,AVERAGEIFS($U$5:$U$1000,$R$5:$R$1000,ROW(),$S$5:$S$1000,"Sub"),$U41))</f>
        <v/>
      </c>
      <c r="Z41" s="70">
        <f>IF($S41="","",IF(N($T41)&gt;0,AVERAGEIFS($V$5:$V$1000,$R$5:$R$1000,ROW(),$S$5:$S$1000,"Sub"),$V41))</f>
        <v/>
      </c>
      <c r="AA41" s="70">
        <f>IF($S41="","",IF(N($T41)&gt;0,AVERAGEIFS($W$5:$W$1000,$R$5:$R$1000,ROW(),$S$5:$S$1000,"Sub"),$W41))</f>
        <v/>
      </c>
      <c r="AB41" s="70">
        <f>IF($S41="","",IF(N($T41)&gt;0,AVERAGEIFS($X$5:$X$1000,$R$5:$R$1000,ROW(),$S$5:$S$1000,"Sub"),$X41))</f>
        <v/>
      </c>
    </row>
    <row r="42">
      <c r="A42" s="61">
        <f>IF(NOT((COUNTA($B42:$K42)+COUNTA($N42))&gt;0),"",IF($S42="Macro",COUNTIFS($S$5:$S42,"Macro",$P$5:$P42,$P42),IF(N($R42)=0,"?",COUNTIFS(INDEX($S$5:$S$1000,1):INDEX($S$5:$S$1000,$R42-4),"Macro",INDEX($P$5:$P$1000,1):INDEX($P$5:$P$1000,$R42-4),INDEX($P$5:$P$1000,$R42-4))&amp;"."&amp;COUNTIFS($R$5:$R42,$R42,$S$5:$S42,"Sub"))))</f>
        <v/>
      </c>
      <c r="B42" s="62" t="n"/>
      <c r="C42" s="63" t="n"/>
      <c r="D42" s="62" t="n"/>
      <c r="E42" s="64" t="n"/>
      <c r="F42" s="64" t="n"/>
      <c r="G42" s="65" t="n"/>
      <c r="H42" s="66" t="n"/>
      <c r="I42" s="66" t="n"/>
      <c r="J42" s="66" t="n"/>
      <c r="K42" s="66" t="n"/>
      <c r="L42" s="67">
        <f>IF(NOT((COUNTA($B42:$K42)+COUNTA($N42))&gt;0),"",IF(N($T42)&gt;0,$AB42,IFERROR(LOOKUP(2,1/(H42:K42&lt;&gt;""),H42:K42),0)))</f>
        <v/>
      </c>
      <c r="M42" s="61">
        <f>IF(L42="","",IF(L42&gt;=1,"Completado",IF(L42&gt;0,"En curso","Pendiente")))</f>
        <v/>
      </c>
      <c r="N42" s="62" t="n"/>
      <c r="O42" s="68">
        <f>IF(NOT((COUNTA($B42:$K42)+COUNTA($N42))&gt;0),"",IF((IF(AND($S42="Macro",$B42=""),"Macroactividad vacía"&amp;" · ","")&amp;IF(AND($B42&lt;&gt;"",$C42&lt;&gt;""),"Escriba la subactividad en otra fila, debajo de su macroactividad"&amp;" · ","")&amp;IF(AND($S42="Sub",N($R42)=0),"Subactividad sin macroactividad arriba"&amp;" · ","")&amp;IF($D42="","Sin responsable"&amp;" · ","")&amp;IF($E42="","Sin fecha de inicio"&amp;" · ","")&amp;IF($F42="","Sin fecha límite"&amp;" · ","")&amp;IF(OR(AND($E42&lt;&gt;"",NOT(ISNUMBER($E42))),AND($F42&lt;&gt;"",NOT(ISNUMBER($F42)))),"Fecha no válida"&amp;" · ","")&amp;IF(AND(ISNUMBER($E42),ISNUMBER($F42),$E42&gt;$F42),"Inicio posterior a fecha límite"&amp;" · ","")&amp;IF(AND($S42="Macro",$G42=""),"Peso vacío"&amp;" · ","")&amp;IF(AND($S42="Macro",$G42&lt;&gt;"",OR(NOT(ISNUMBER($G42)),$G42&lt;=0,$G42&gt;1)),"Peso fuera de rango"&amp;" · ","")&amp;IF(AND($S42="Sub",$G42&lt;&gt;""),"Las subactividades no llevan peso"&amp;" · ","")&amp;IF(AND($S42="Macro",ABS(SUMIFS($G$5:$G$1000,$P$5:$P$1000,$P42,$S$5:$S$1000,"Macro")-1)&gt;0.0001),"Pesos del mes suman "&amp;TEXT(SUMIFS($G$5:$G$1000,$P$5:$P$1000,$P42,$S$5:$S$1000,"Macro"),"0%")&amp;" · ","")&amp;IF(AND(N($T42)&gt;0,COUNT($H42:$K42)&gt;0),"Con subactividades: deje vacías las semanas (se calculan solas)"&amp;" · ","")&amp;IF((COUNTIF($H42:$K42,"&gt;1")+COUNTIF($H42:$K42,"&lt;0")+COUNTA($H42:$K42)-COUNT($H42:$K42))&gt;0,"Avance fuera de rango 0-100%"&amp;" · ","")&amp;IF(OR(AND($I42&lt;&gt;"",$I42&lt;$H42),AND($J42&lt;&gt;"",$J42&lt;MAX($H42:$I42)),AND($K42&lt;&gt;"",$K42&lt;MAX($H42:$J42))),"Avance semanal decreciente"&amp;" · ","")&amp;IF(AND(ISNUMBER($F42),$F42&lt;FechaRef,N($L42)&lt;1),"Vencida"&amp;" · ","")&amp;IF(AND(ObsObligatoria="Sí",ISNUMBER($F42),$F42&lt;FechaRef,N($L42)&lt;1,$N42=""),"Vencida sin observación"&amp;" · ",""))="","✔ OK","⚠ "&amp;LEFT(IF(AND($S42="Macro",$B42=""),"Macroactividad vacía"&amp;" · ","")&amp;IF(AND($B42&lt;&gt;"",$C42&lt;&gt;""),"Escriba la subactividad en otra fila, debajo de su macroactividad"&amp;" · ","")&amp;IF(AND($S42="Sub",N($R42)=0),"Subactividad sin macroactividad arriba"&amp;" · ","")&amp;IF($D42="","Sin responsable"&amp;" · ","")&amp;IF($E42="","Sin fecha de inicio"&amp;" · ","")&amp;IF($F42="","Sin fecha límite"&amp;" · ","")&amp;IF(OR(AND($E42&lt;&gt;"",NOT(ISNUMBER($E42))),AND($F42&lt;&gt;"",NOT(ISNUMBER($F42)))),"Fecha no válida"&amp;" · ","")&amp;IF(AND(ISNUMBER($E42),ISNUMBER($F42),$E42&gt;$F42),"Inicio posterior a fecha límite"&amp;" · ","")&amp;IF(AND($S42="Macro",$G42=""),"Peso vacío"&amp;" · ","")&amp;IF(AND($S42="Macro",$G42&lt;&gt;"",OR(NOT(ISNUMBER($G42)),$G42&lt;=0,$G42&gt;1)),"Peso fuera de rango"&amp;" · ","")&amp;IF(AND($S42="Sub",$G42&lt;&gt;""),"Las subactividades no llevan peso"&amp;" · ","")&amp;IF(AND($S42="Macro",ABS(SUMIFS($G$5:$G$1000,$P$5:$P$1000,$P42,$S$5:$S$1000,"Macro")-1)&gt;0.0001),"Pesos del mes suman "&amp;TEXT(SUMIFS($G$5:$G$1000,$P$5:$P$1000,$P42,$S$5:$S$1000,"Macro"),"0%")&amp;" · ","")&amp;IF(AND(N($T42)&gt;0,COUNT($H42:$K42)&gt;0),"Con subactividades: deje vacías las semanas (se calculan solas)"&amp;" · ","")&amp;IF((COUNTIF($H42:$K42,"&gt;1")+COUNTIF($H42:$K42,"&lt;0")+COUNTA($H42:$K42)-COUNT($H42:$K42))&gt;0,"Avance fuera de rango 0-100%"&amp;" · ","")&amp;IF(OR(AND($I42&lt;&gt;"",$I42&lt;$H42),AND($J42&lt;&gt;"",$J42&lt;MAX($H42:$I42)),AND($K42&lt;&gt;"",$K42&lt;MAX($H42:$J42))),"Avance semanal decreciente"&amp;" · ","")&amp;IF(AND(ISNUMBER($F42),$F42&lt;FechaRef,N($L42)&lt;1),"Vencida"&amp;" · ","")&amp;IF(AND(ObsObligatoria="Sí",ISNUMBER($F42),$F42&lt;FechaRef,N($L42)&lt;1,$N42=""),"Vencida sin observación"&amp;" · ",""),LEN(IF(AND($S42="Macro",$B42=""),"Macroactividad vacía"&amp;" · ","")&amp;IF(AND($B42&lt;&gt;"",$C42&lt;&gt;""),"Escriba la subactividad en otra fila, debajo de su macroactividad"&amp;" · ","")&amp;IF(AND($S42="Sub",N($R42)=0),"Subactividad sin macroactividad arriba"&amp;" · ","")&amp;IF($D42="","Sin responsable"&amp;" · ","")&amp;IF($E42="","Sin fecha de inicio"&amp;" · ","")&amp;IF($F42="","Sin fecha límite"&amp;" · ","")&amp;IF(OR(AND($E42&lt;&gt;"",NOT(ISNUMBER($E42))),AND($F42&lt;&gt;"",NOT(ISNUMBER($F42)))),"Fecha no válida"&amp;" · ","")&amp;IF(AND(ISNUMBER($E42),ISNUMBER($F42),$E42&gt;$F42),"Inicio posterior a fecha límite"&amp;" · ","")&amp;IF(AND($S42="Macro",$G42=""),"Peso vacío"&amp;" · ","")&amp;IF(AND($S42="Macro",$G42&lt;&gt;"",OR(NOT(ISNUMBER($G42)),$G42&lt;=0,$G42&gt;1)),"Peso fuera de rango"&amp;" · ","")&amp;IF(AND($S42="Sub",$G42&lt;&gt;""),"Las subactividades no llevan peso"&amp;" · ","")&amp;IF(AND($S42="Macro",ABS(SUMIFS($G$5:$G$1000,$P$5:$P$1000,$P42,$S$5:$S$1000,"Macro")-1)&gt;0.0001),"Pesos del mes suman "&amp;TEXT(SUMIFS($G$5:$G$1000,$P$5:$P$1000,$P42,$S$5:$S$1000,"Macro"),"0%")&amp;" · ","")&amp;IF(AND(N($T42)&gt;0,COUNT($H42:$K42)&gt;0),"Con subactividades: deje vacías las semanas (se calculan solas)"&amp;" · ","")&amp;IF((COUNTIF($H42:$K42,"&gt;1")+COUNTIF($H42:$K42,"&lt;0")+COUNTA($H42:$K42)-COUNT($H42:$K42))&gt;0,"Avance fuera de rango 0-100%"&amp;" · ","")&amp;IF(OR(AND($I42&lt;&gt;"",$I42&lt;$H42),AND($J42&lt;&gt;"",$J42&lt;MAX($H42:$I42)),AND($K42&lt;&gt;"",$K42&lt;MAX($H42:$J42))),"Avance semanal decreciente"&amp;" · ","")&amp;IF(AND(ISNUMBER($F42),$F42&lt;FechaRef,N($L42)&lt;1),"Vencida"&amp;" · ","")&amp;IF(AND(ObsObligatoria="Sí",ISNUMBER($F42),$F42&lt;FechaRef,N($L42)&lt;1,$N42=""),"Vencida sin observación"&amp;" · ",""))-3)))</f>
        <v/>
      </c>
      <c r="P42" s="69">
        <f>IF(NOT((COUNTA($B42:$K42)+COUNTA($N42))&gt;0),"",IF(AND($S42="Sub",N($R42)&gt;0),IF(ISNUMBER(INDEX($E$5:$E$1000,$R42-4)),DATE(YEAR(INDEX($E$5:$E$1000,$R42-4)),MONTH(INDEX($E$5:$E$1000,$R42-4)),1),IF(ISNUMBER(INDEX($F$5:$F$1000,$R42-4)),DATE(YEAR(INDEX($F$5:$F$1000,$R42-4)),MONTH(INDEX($F$5:$F$1000,$R42-4)),1),MesCiclo)),IF(ISNUMBER($E42),DATE(YEAR($E42),MONTH($E42),1),IF(ISNUMBER($F42),DATE(YEAR($F42),MONTH($F42),1),MesCiclo))))</f>
        <v/>
      </c>
      <c r="Q42" s="70">
        <f>IF(OR($P42="",$P42&lt;&gt;MesCiclo),"",COUNTIF($P$5:$P42,MesCiclo))</f>
        <v/>
      </c>
      <c r="R42" s="70">
        <f>IF($S42="","",IF($S42="Macro",ROW(),IFERROR(LOOKUP(2,1/($S$5:$S42="Macro"),ROW($S$5:$S42)),0)))</f>
        <v/>
      </c>
      <c r="S42" s="70">
        <f>IF(NOT((COUNTA($B42:$K42)+COUNTA($N42))&gt;0),"",IF($B42&lt;&gt;"","Macro",IF($C42&lt;&gt;"","Sub","Macro")))</f>
        <v/>
      </c>
      <c r="T42" s="70">
        <f>IF($S42="Macro",COUNTIFS($R$5:$R$1000,ROW(),$S$5:$S$1000,"Sub"),"")</f>
        <v/>
      </c>
      <c r="U42" s="70">
        <f>IF($S42="","",IF(ISNUMBER($H42),$H42,0))</f>
        <v/>
      </c>
      <c r="V42" s="70">
        <f>IF($S42="","",IF(ISNUMBER($I42),$I42,$U42))</f>
        <v/>
      </c>
      <c r="W42" s="70">
        <f>IF($S42="","",IF(ISNUMBER($J42),$J42,$V42))</f>
        <v/>
      </c>
      <c r="X42" s="70">
        <f>IF($S42="","",IF(ISNUMBER($K42),$K42,$W42))</f>
        <v/>
      </c>
      <c r="Y42" s="70">
        <f>IF($S42="","",IF(N($T42)&gt;0,AVERAGEIFS($U$5:$U$1000,$R$5:$R$1000,ROW(),$S$5:$S$1000,"Sub"),$U42))</f>
        <v/>
      </c>
      <c r="Z42" s="70">
        <f>IF($S42="","",IF(N($T42)&gt;0,AVERAGEIFS($V$5:$V$1000,$R$5:$R$1000,ROW(),$S$5:$S$1000,"Sub"),$V42))</f>
        <v/>
      </c>
      <c r="AA42" s="70">
        <f>IF($S42="","",IF(N($T42)&gt;0,AVERAGEIFS($W$5:$W$1000,$R$5:$R$1000,ROW(),$S$5:$S$1000,"Sub"),$W42))</f>
        <v/>
      </c>
      <c r="AB42" s="70">
        <f>IF($S42="","",IF(N($T42)&gt;0,AVERAGEIFS($X$5:$X$1000,$R$5:$R$1000,ROW(),$S$5:$S$1000,"Sub"),$X42))</f>
        <v/>
      </c>
    </row>
    <row r="43">
      <c r="A43" s="61">
        <f>IF(NOT((COUNTA($B43:$K43)+COUNTA($N43))&gt;0),"",IF($S43="Macro",COUNTIFS($S$5:$S43,"Macro",$P$5:$P43,$P43),IF(N($R43)=0,"?",COUNTIFS(INDEX($S$5:$S$1000,1):INDEX($S$5:$S$1000,$R43-4),"Macro",INDEX($P$5:$P$1000,1):INDEX($P$5:$P$1000,$R43-4),INDEX($P$5:$P$1000,$R43-4))&amp;"."&amp;COUNTIFS($R$5:$R43,$R43,$S$5:$S43,"Sub"))))</f>
        <v/>
      </c>
      <c r="B43" s="62" t="n"/>
      <c r="C43" s="63" t="n"/>
      <c r="D43" s="62" t="n"/>
      <c r="E43" s="64" t="n"/>
      <c r="F43" s="64" t="n"/>
      <c r="G43" s="65" t="n"/>
      <c r="H43" s="66" t="n"/>
      <c r="I43" s="66" t="n"/>
      <c r="J43" s="66" t="n"/>
      <c r="K43" s="66" t="n"/>
      <c r="L43" s="67">
        <f>IF(NOT((COUNTA($B43:$K43)+COUNTA($N43))&gt;0),"",IF(N($T43)&gt;0,$AB43,IFERROR(LOOKUP(2,1/(H43:K43&lt;&gt;""),H43:K43),0)))</f>
        <v/>
      </c>
      <c r="M43" s="61">
        <f>IF(L43="","",IF(L43&gt;=1,"Completado",IF(L43&gt;0,"En curso","Pendiente")))</f>
        <v/>
      </c>
      <c r="N43" s="62" t="n"/>
      <c r="O43" s="68">
        <f>IF(NOT((COUNTA($B43:$K43)+COUNTA($N43))&gt;0),"",IF((IF(AND($S43="Macro",$B43=""),"Macroactividad vacía"&amp;" · ","")&amp;IF(AND($B43&lt;&gt;"",$C43&lt;&gt;""),"Escriba la subactividad en otra fila, debajo de su macroactividad"&amp;" · ","")&amp;IF(AND($S43="Sub",N($R43)=0),"Subactividad sin macroactividad arriba"&amp;" · ","")&amp;IF($D43="","Sin responsable"&amp;" · ","")&amp;IF($E43="","Sin fecha de inicio"&amp;" · ","")&amp;IF($F43="","Sin fecha límite"&amp;" · ","")&amp;IF(OR(AND($E43&lt;&gt;"",NOT(ISNUMBER($E43))),AND($F43&lt;&gt;"",NOT(ISNUMBER($F43)))),"Fecha no válida"&amp;" · ","")&amp;IF(AND(ISNUMBER($E43),ISNUMBER($F43),$E43&gt;$F43),"Inicio posterior a fecha límite"&amp;" · ","")&amp;IF(AND($S43="Macro",$G43=""),"Peso vacío"&amp;" · ","")&amp;IF(AND($S43="Macro",$G43&lt;&gt;"",OR(NOT(ISNUMBER($G43)),$G43&lt;=0,$G43&gt;1)),"Peso fuera de rango"&amp;" · ","")&amp;IF(AND($S43="Sub",$G43&lt;&gt;""),"Las subactividades no llevan peso"&amp;" · ","")&amp;IF(AND($S43="Macro",ABS(SUMIFS($G$5:$G$1000,$P$5:$P$1000,$P43,$S$5:$S$1000,"Macro")-1)&gt;0.0001),"Pesos del mes suman "&amp;TEXT(SUMIFS($G$5:$G$1000,$P$5:$P$1000,$P43,$S$5:$S$1000,"Macro"),"0%")&amp;" · ","")&amp;IF(AND(N($T43)&gt;0,COUNT($H43:$K43)&gt;0),"Con subactividades: deje vacías las semanas (se calculan solas)"&amp;" · ","")&amp;IF((COUNTIF($H43:$K43,"&gt;1")+COUNTIF($H43:$K43,"&lt;0")+COUNTA($H43:$K43)-COUNT($H43:$K43))&gt;0,"Avance fuera de rango 0-100%"&amp;" · ","")&amp;IF(OR(AND($I43&lt;&gt;"",$I43&lt;$H43),AND($J43&lt;&gt;"",$J43&lt;MAX($H43:$I43)),AND($K43&lt;&gt;"",$K43&lt;MAX($H43:$J43))),"Avance semanal decreciente"&amp;" · ","")&amp;IF(AND(ISNUMBER($F43),$F43&lt;FechaRef,N($L43)&lt;1),"Vencida"&amp;" · ","")&amp;IF(AND(ObsObligatoria="Sí",ISNUMBER($F43),$F43&lt;FechaRef,N($L43)&lt;1,$N43=""),"Vencida sin observación"&amp;" · ",""))="","✔ OK","⚠ "&amp;LEFT(IF(AND($S43="Macro",$B43=""),"Macroactividad vacía"&amp;" · ","")&amp;IF(AND($B43&lt;&gt;"",$C43&lt;&gt;""),"Escriba la subactividad en otra fila, debajo de su macroactividad"&amp;" · ","")&amp;IF(AND($S43="Sub",N($R43)=0),"Subactividad sin macroactividad arriba"&amp;" · ","")&amp;IF($D43="","Sin responsable"&amp;" · ","")&amp;IF($E43="","Sin fecha de inicio"&amp;" · ","")&amp;IF($F43="","Sin fecha límite"&amp;" · ","")&amp;IF(OR(AND($E43&lt;&gt;"",NOT(ISNUMBER($E43))),AND($F43&lt;&gt;"",NOT(ISNUMBER($F43)))),"Fecha no válida"&amp;" · ","")&amp;IF(AND(ISNUMBER($E43),ISNUMBER($F43),$E43&gt;$F43),"Inicio posterior a fecha límite"&amp;" · ","")&amp;IF(AND($S43="Macro",$G43=""),"Peso vacío"&amp;" · ","")&amp;IF(AND($S43="Macro",$G43&lt;&gt;"",OR(NOT(ISNUMBER($G43)),$G43&lt;=0,$G43&gt;1)),"Peso fuera de rango"&amp;" · ","")&amp;IF(AND($S43="Sub",$G43&lt;&gt;""),"Las subactividades no llevan peso"&amp;" · ","")&amp;IF(AND($S43="Macro",ABS(SUMIFS($G$5:$G$1000,$P$5:$P$1000,$P43,$S$5:$S$1000,"Macro")-1)&gt;0.0001),"Pesos del mes suman "&amp;TEXT(SUMIFS($G$5:$G$1000,$P$5:$P$1000,$P43,$S$5:$S$1000,"Macro"),"0%")&amp;" · ","")&amp;IF(AND(N($T43)&gt;0,COUNT($H43:$K43)&gt;0),"Con subactividades: deje vacías las semanas (se calculan solas)"&amp;" · ","")&amp;IF((COUNTIF($H43:$K43,"&gt;1")+COUNTIF($H43:$K43,"&lt;0")+COUNTA($H43:$K43)-COUNT($H43:$K43))&gt;0,"Avance fuera de rango 0-100%"&amp;" · ","")&amp;IF(OR(AND($I43&lt;&gt;"",$I43&lt;$H43),AND($J43&lt;&gt;"",$J43&lt;MAX($H43:$I43)),AND($K43&lt;&gt;"",$K43&lt;MAX($H43:$J43))),"Avance semanal decreciente"&amp;" · ","")&amp;IF(AND(ISNUMBER($F43),$F43&lt;FechaRef,N($L43)&lt;1),"Vencida"&amp;" · ","")&amp;IF(AND(ObsObligatoria="Sí",ISNUMBER($F43),$F43&lt;FechaRef,N($L43)&lt;1,$N43=""),"Vencida sin observación"&amp;" · ",""),LEN(IF(AND($S43="Macro",$B43=""),"Macroactividad vacía"&amp;" · ","")&amp;IF(AND($B43&lt;&gt;"",$C43&lt;&gt;""),"Escriba la subactividad en otra fila, debajo de su macroactividad"&amp;" · ","")&amp;IF(AND($S43="Sub",N($R43)=0),"Subactividad sin macroactividad arriba"&amp;" · ","")&amp;IF($D43="","Sin responsable"&amp;" · ","")&amp;IF($E43="","Sin fecha de inicio"&amp;" · ","")&amp;IF($F43="","Sin fecha límite"&amp;" · ","")&amp;IF(OR(AND($E43&lt;&gt;"",NOT(ISNUMBER($E43))),AND($F43&lt;&gt;"",NOT(ISNUMBER($F43)))),"Fecha no válida"&amp;" · ","")&amp;IF(AND(ISNUMBER($E43),ISNUMBER($F43),$E43&gt;$F43),"Inicio posterior a fecha límite"&amp;" · ","")&amp;IF(AND($S43="Macro",$G43=""),"Peso vacío"&amp;" · ","")&amp;IF(AND($S43="Macro",$G43&lt;&gt;"",OR(NOT(ISNUMBER($G43)),$G43&lt;=0,$G43&gt;1)),"Peso fuera de rango"&amp;" · ","")&amp;IF(AND($S43="Sub",$G43&lt;&gt;""),"Las subactividades no llevan peso"&amp;" · ","")&amp;IF(AND($S43="Macro",ABS(SUMIFS($G$5:$G$1000,$P$5:$P$1000,$P43,$S$5:$S$1000,"Macro")-1)&gt;0.0001),"Pesos del mes suman "&amp;TEXT(SUMIFS($G$5:$G$1000,$P$5:$P$1000,$P43,$S$5:$S$1000,"Macro"),"0%")&amp;" · ","")&amp;IF(AND(N($T43)&gt;0,COUNT($H43:$K43)&gt;0),"Con subactividades: deje vacías las semanas (se calculan solas)"&amp;" · ","")&amp;IF((COUNTIF($H43:$K43,"&gt;1")+COUNTIF($H43:$K43,"&lt;0")+COUNTA($H43:$K43)-COUNT($H43:$K43))&gt;0,"Avance fuera de rango 0-100%"&amp;" · ","")&amp;IF(OR(AND($I43&lt;&gt;"",$I43&lt;$H43),AND($J43&lt;&gt;"",$J43&lt;MAX($H43:$I43)),AND($K43&lt;&gt;"",$K43&lt;MAX($H43:$J43))),"Avance semanal decreciente"&amp;" · ","")&amp;IF(AND(ISNUMBER($F43),$F43&lt;FechaRef,N($L43)&lt;1),"Vencida"&amp;" · ","")&amp;IF(AND(ObsObligatoria="Sí",ISNUMBER($F43),$F43&lt;FechaRef,N($L43)&lt;1,$N43=""),"Vencida sin observación"&amp;" · ",""))-3)))</f>
        <v/>
      </c>
      <c r="P43" s="69">
        <f>IF(NOT((COUNTA($B43:$K43)+COUNTA($N43))&gt;0),"",IF(AND($S43="Sub",N($R43)&gt;0),IF(ISNUMBER(INDEX($E$5:$E$1000,$R43-4)),DATE(YEAR(INDEX($E$5:$E$1000,$R43-4)),MONTH(INDEX($E$5:$E$1000,$R43-4)),1),IF(ISNUMBER(INDEX($F$5:$F$1000,$R43-4)),DATE(YEAR(INDEX($F$5:$F$1000,$R43-4)),MONTH(INDEX($F$5:$F$1000,$R43-4)),1),MesCiclo)),IF(ISNUMBER($E43),DATE(YEAR($E43),MONTH($E43),1),IF(ISNUMBER($F43),DATE(YEAR($F43),MONTH($F43),1),MesCiclo))))</f>
        <v/>
      </c>
      <c r="Q43" s="70">
        <f>IF(OR($P43="",$P43&lt;&gt;MesCiclo),"",COUNTIF($P$5:$P43,MesCiclo))</f>
        <v/>
      </c>
      <c r="R43" s="70">
        <f>IF($S43="","",IF($S43="Macro",ROW(),IFERROR(LOOKUP(2,1/($S$5:$S43="Macro"),ROW($S$5:$S43)),0)))</f>
        <v/>
      </c>
      <c r="S43" s="70">
        <f>IF(NOT((COUNTA($B43:$K43)+COUNTA($N43))&gt;0),"",IF($B43&lt;&gt;"","Macro",IF($C43&lt;&gt;"","Sub","Macro")))</f>
        <v/>
      </c>
      <c r="T43" s="70">
        <f>IF($S43="Macro",COUNTIFS($R$5:$R$1000,ROW(),$S$5:$S$1000,"Sub"),"")</f>
        <v/>
      </c>
      <c r="U43" s="70">
        <f>IF($S43="","",IF(ISNUMBER($H43),$H43,0))</f>
        <v/>
      </c>
      <c r="V43" s="70">
        <f>IF($S43="","",IF(ISNUMBER($I43),$I43,$U43))</f>
        <v/>
      </c>
      <c r="W43" s="70">
        <f>IF($S43="","",IF(ISNUMBER($J43),$J43,$V43))</f>
        <v/>
      </c>
      <c r="X43" s="70">
        <f>IF($S43="","",IF(ISNUMBER($K43),$K43,$W43))</f>
        <v/>
      </c>
      <c r="Y43" s="70">
        <f>IF($S43="","",IF(N($T43)&gt;0,AVERAGEIFS($U$5:$U$1000,$R$5:$R$1000,ROW(),$S$5:$S$1000,"Sub"),$U43))</f>
        <v/>
      </c>
      <c r="Z43" s="70">
        <f>IF($S43="","",IF(N($T43)&gt;0,AVERAGEIFS($V$5:$V$1000,$R$5:$R$1000,ROW(),$S$5:$S$1000,"Sub"),$V43))</f>
        <v/>
      </c>
      <c r="AA43" s="70">
        <f>IF($S43="","",IF(N($T43)&gt;0,AVERAGEIFS($W$5:$W$1000,$R$5:$R$1000,ROW(),$S$5:$S$1000,"Sub"),$W43))</f>
        <v/>
      </c>
      <c r="AB43" s="70">
        <f>IF($S43="","",IF(N($T43)&gt;0,AVERAGEIFS($X$5:$X$1000,$R$5:$R$1000,ROW(),$S$5:$S$1000,"Sub"),$X43))</f>
        <v/>
      </c>
    </row>
    <row r="44">
      <c r="A44" s="61">
        <f>IF(NOT((COUNTA($B44:$K44)+COUNTA($N44))&gt;0),"",IF($S44="Macro",COUNTIFS($S$5:$S44,"Macro",$P$5:$P44,$P44),IF(N($R44)=0,"?",COUNTIFS(INDEX($S$5:$S$1000,1):INDEX($S$5:$S$1000,$R44-4),"Macro",INDEX($P$5:$P$1000,1):INDEX($P$5:$P$1000,$R44-4),INDEX($P$5:$P$1000,$R44-4))&amp;"."&amp;COUNTIFS($R$5:$R44,$R44,$S$5:$S44,"Sub"))))</f>
        <v/>
      </c>
      <c r="B44" s="62" t="n"/>
      <c r="C44" s="63" t="n"/>
      <c r="D44" s="62" t="n"/>
      <c r="E44" s="64" t="n"/>
      <c r="F44" s="64" t="n"/>
      <c r="G44" s="65" t="n"/>
      <c r="H44" s="66" t="n"/>
      <c r="I44" s="66" t="n"/>
      <c r="J44" s="66" t="n"/>
      <c r="K44" s="66" t="n"/>
      <c r="L44" s="67">
        <f>IF(NOT((COUNTA($B44:$K44)+COUNTA($N44))&gt;0),"",IF(N($T44)&gt;0,$AB44,IFERROR(LOOKUP(2,1/(H44:K44&lt;&gt;""),H44:K44),0)))</f>
        <v/>
      </c>
      <c r="M44" s="61">
        <f>IF(L44="","",IF(L44&gt;=1,"Completado",IF(L44&gt;0,"En curso","Pendiente")))</f>
        <v/>
      </c>
      <c r="N44" s="62" t="n"/>
      <c r="O44" s="68">
        <f>IF(NOT((COUNTA($B44:$K44)+COUNTA($N44))&gt;0),"",IF((IF(AND($S44="Macro",$B44=""),"Macroactividad vacía"&amp;" · ","")&amp;IF(AND($B44&lt;&gt;"",$C44&lt;&gt;""),"Escriba la subactividad en otra fila, debajo de su macroactividad"&amp;" · ","")&amp;IF(AND($S44="Sub",N($R44)=0),"Subactividad sin macroactividad arriba"&amp;" · ","")&amp;IF($D44="","Sin responsable"&amp;" · ","")&amp;IF($E44="","Sin fecha de inicio"&amp;" · ","")&amp;IF($F44="","Sin fecha límite"&amp;" · ","")&amp;IF(OR(AND($E44&lt;&gt;"",NOT(ISNUMBER($E44))),AND($F44&lt;&gt;"",NOT(ISNUMBER($F44)))),"Fecha no válida"&amp;" · ","")&amp;IF(AND(ISNUMBER($E44),ISNUMBER($F44),$E44&gt;$F44),"Inicio posterior a fecha límite"&amp;" · ","")&amp;IF(AND($S44="Macro",$G44=""),"Peso vacío"&amp;" · ","")&amp;IF(AND($S44="Macro",$G44&lt;&gt;"",OR(NOT(ISNUMBER($G44)),$G44&lt;=0,$G44&gt;1)),"Peso fuera de rango"&amp;" · ","")&amp;IF(AND($S44="Sub",$G44&lt;&gt;""),"Las subactividades no llevan peso"&amp;" · ","")&amp;IF(AND($S44="Macro",ABS(SUMIFS($G$5:$G$1000,$P$5:$P$1000,$P44,$S$5:$S$1000,"Macro")-1)&gt;0.0001),"Pesos del mes suman "&amp;TEXT(SUMIFS($G$5:$G$1000,$P$5:$P$1000,$P44,$S$5:$S$1000,"Macro"),"0%")&amp;" · ","")&amp;IF(AND(N($T44)&gt;0,COUNT($H44:$K44)&gt;0),"Con subactividades: deje vacías las semanas (se calculan solas)"&amp;" · ","")&amp;IF((COUNTIF($H44:$K44,"&gt;1")+COUNTIF($H44:$K44,"&lt;0")+COUNTA($H44:$K44)-COUNT($H44:$K44))&gt;0,"Avance fuera de rango 0-100%"&amp;" · ","")&amp;IF(OR(AND($I44&lt;&gt;"",$I44&lt;$H44),AND($J44&lt;&gt;"",$J44&lt;MAX($H44:$I44)),AND($K44&lt;&gt;"",$K44&lt;MAX($H44:$J44))),"Avance semanal decreciente"&amp;" · ","")&amp;IF(AND(ISNUMBER($F44),$F44&lt;FechaRef,N($L44)&lt;1),"Vencida"&amp;" · ","")&amp;IF(AND(ObsObligatoria="Sí",ISNUMBER($F44),$F44&lt;FechaRef,N($L44)&lt;1,$N44=""),"Vencida sin observación"&amp;" · ",""))="","✔ OK","⚠ "&amp;LEFT(IF(AND($S44="Macro",$B44=""),"Macroactividad vacía"&amp;" · ","")&amp;IF(AND($B44&lt;&gt;"",$C44&lt;&gt;""),"Escriba la subactividad en otra fila, debajo de su macroactividad"&amp;" · ","")&amp;IF(AND($S44="Sub",N($R44)=0),"Subactividad sin macroactividad arriba"&amp;" · ","")&amp;IF($D44="","Sin responsable"&amp;" · ","")&amp;IF($E44="","Sin fecha de inicio"&amp;" · ","")&amp;IF($F44="","Sin fecha límite"&amp;" · ","")&amp;IF(OR(AND($E44&lt;&gt;"",NOT(ISNUMBER($E44))),AND($F44&lt;&gt;"",NOT(ISNUMBER($F44)))),"Fecha no válida"&amp;" · ","")&amp;IF(AND(ISNUMBER($E44),ISNUMBER($F44),$E44&gt;$F44),"Inicio posterior a fecha límite"&amp;" · ","")&amp;IF(AND($S44="Macro",$G44=""),"Peso vacío"&amp;" · ","")&amp;IF(AND($S44="Macro",$G44&lt;&gt;"",OR(NOT(ISNUMBER($G44)),$G44&lt;=0,$G44&gt;1)),"Peso fuera de rango"&amp;" · ","")&amp;IF(AND($S44="Sub",$G44&lt;&gt;""),"Las subactividades no llevan peso"&amp;" · ","")&amp;IF(AND($S44="Macro",ABS(SUMIFS($G$5:$G$1000,$P$5:$P$1000,$P44,$S$5:$S$1000,"Macro")-1)&gt;0.0001),"Pesos del mes suman "&amp;TEXT(SUMIFS($G$5:$G$1000,$P$5:$P$1000,$P44,$S$5:$S$1000,"Macro"),"0%")&amp;" · ","")&amp;IF(AND(N($T44)&gt;0,COUNT($H44:$K44)&gt;0),"Con subactividades: deje vacías las semanas (se calculan solas)"&amp;" · ","")&amp;IF((COUNTIF($H44:$K44,"&gt;1")+COUNTIF($H44:$K44,"&lt;0")+COUNTA($H44:$K44)-COUNT($H44:$K44))&gt;0,"Avance fuera de rango 0-100%"&amp;" · ","")&amp;IF(OR(AND($I44&lt;&gt;"",$I44&lt;$H44),AND($J44&lt;&gt;"",$J44&lt;MAX($H44:$I44)),AND($K44&lt;&gt;"",$K44&lt;MAX($H44:$J44))),"Avance semanal decreciente"&amp;" · ","")&amp;IF(AND(ISNUMBER($F44),$F44&lt;FechaRef,N($L44)&lt;1),"Vencida"&amp;" · ","")&amp;IF(AND(ObsObligatoria="Sí",ISNUMBER($F44),$F44&lt;FechaRef,N($L44)&lt;1,$N44=""),"Vencida sin observación"&amp;" · ",""),LEN(IF(AND($S44="Macro",$B44=""),"Macroactividad vacía"&amp;" · ","")&amp;IF(AND($B44&lt;&gt;"",$C44&lt;&gt;""),"Escriba la subactividad en otra fila, debajo de su macroactividad"&amp;" · ","")&amp;IF(AND($S44="Sub",N($R44)=0),"Subactividad sin macroactividad arriba"&amp;" · ","")&amp;IF($D44="","Sin responsable"&amp;" · ","")&amp;IF($E44="","Sin fecha de inicio"&amp;" · ","")&amp;IF($F44="","Sin fecha límite"&amp;" · ","")&amp;IF(OR(AND($E44&lt;&gt;"",NOT(ISNUMBER($E44))),AND($F44&lt;&gt;"",NOT(ISNUMBER($F44)))),"Fecha no válida"&amp;" · ","")&amp;IF(AND(ISNUMBER($E44),ISNUMBER($F44),$E44&gt;$F44),"Inicio posterior a fecha límite"&amp;" · ","")&amp;IF(AND($S44="Macro",$G44=""),"Peso vacío"&amp;" · ","")&amp;IF(AND($S44="Macro",$G44&lt;&gt;"",OR(NOT(ISNUMBER($G44)),$G44&lt;=0,$G44&gt;1)),"Peso fuera de rango"&amp;" · ","")&amp;IF(AND($S44="Sub",$G44&lt;&gt;""),"Las subactividades no llevan peso"&amp;" · ","")&amp;IF(AND($S44="Macro",ABS(SUMIFS($G$5:$G$1000,$P$5:$P$1000,$P44,$S$5:$S$1000,"Macro")-1)&gt;0.0001),"Pesos del mes suman "&amp;TEXT(SUMIFS($G$5:$G$1000,$P$5:$P$1000,$P44,$S$5:$S$1000,"Macro"),"0%")&amp;" · ","")&amp;IF(AND(N($T44)&gt;0,COUNT($H44:$K44)&gt;0),"Con subactividades: deje vacías las semanas (se calculan solas)"&amp;" · ","")&amp;IF((COUNTIF($H44:$K44,"&gt;1")+COUNTIF($H44:$K44,"&lt;0")+COUNTA($H44:$K44)-COUNT($H44:$K44))&gt;0,"Avance fuera de rango 0-100%"&amp;" · ","")&amp;IF(OR(AND($I44&lt;&gt;"",$I44&lt;$H44),AND($J44&lt;&gt;"",$J44&lt;MAX($H44:$I44)),AND($K44&lt;&gt;"",$K44&lt;MAX($H44:$J44))),"Avance semanal decreciente"&amp;" · ","")&amp;IF(AND(ISNUMBER($F44),$F44&lt;FechaRef,N($L44)&lt;1),"Vencida"&amp;" · ","")&amp;IF(AND(ObsObligatoria="Sí",ISNUMBER($F44),$F44&lt;FechaRef,N($L44)&lt;1,$N44=""),"Vencida sin observación"&amp;" · ",""))-3)))</f>
        <v/>
      </c>
      <c r="P44" s="69">
        <f>IF(NOT((COUNTA($B44:$K44)+COUNTA($N44))&gt;0),"",IF(AND($S44="Sub",N($R44)&gt;0),IF(ISNUMBER(INDEX($E$5:$E$1000,$R44-4)),DATE(YEAR(INDEX($E$5:$E$1000,$R44-4)),MONTH(INDEX($E$5:$E$1000,$R44-4)),1),IF(ISNUMBER(INDEX($F$5:$F$1000,$R44-4)),DATE(YEAR(INDEX($F$5:$F$1000,$R44-4)),MONTH(INDEX($F$5:$F$1000,$R44-4)),1),MesCiclo)),IF(ISNUMBER($E44),DATE(YEAR($E44),MONTH($E44),1),IF(ISNUMBER($F44),DATE(YEAR($F44),MONTH($F44),1),MesCiclo))))</f>
        <v/>
      </c>
      <c r="Q44" s="70">
        <f>IF(OR($P44="",$P44&lt;&gt;MesCiclo),"",COUNTIF($P$5:$P44,MesCiclo))</f>
        <v/>
      </c>
      <c r="R44" s="70">
        <f>IF($S44="","",IF($S44="Macro",ROW(),IFERROR(LOOKUP(2,1/($S$5:$S44="Macro"),ROW($S$5:$S44)),0)))</f>
        <v/>
      </c>
      <c r="S44" s="70">
        <f>IF(NOT((COUNTA($B44:$K44)+COUNTA($N44))&gt;0),"",IF($B44&lt;&gt;"","Macro",IF($C44&lt;&gt;"","Sub","Macro")))</f>
        <v/>
      </c>
      <c r="T44" s="70">
        <f>IF($S44="Macro",COUNTIFS($R$5:$R$1000,ROW(),$S$5:$S$1000,"Sub"),"")</f>
        <v/>
      </c>
      <c r="U44" s="70">
        <f>IF($S44="","",IF(ISNUMBER($H44),$H44,0))</f>
        <v/>
      </c>
      <c r="V44" s="70">
        <f>IF($S44="","",IF(ISNUMBER($I44),$I44,$U44))</f>
        <v/>
      </c>
      <c r="W44" s="70">
        <f>IF($S44="","",IF(ISNUMBER($J44),$J44,$V44))</f>
        <v/>
      </c>
      <c r="X44" s="70">
        <f>IF($S44="","",IF(ISNUMBER($K44),$K44,$W44))</f>
        <v/>
      </c>
      <c r="Y44" s="70">
        <f>IF($S44="","",IF(N($T44)&gt;0,AVERAGEIFS($U$5:$U$1000,$R$5:$R$1000,ROW(),$S$5:$S$1000,"Sub"),$U44))</f>
        <v/>
      </c>
      <c r="Z44" s="70">
        <f>IF($S44="","",IF(N($T44)&gt;0,AVERAGEIFS($V$5:$V$1000,$R$5:$R$1000,ROW(),$S$5:$S$1000,"Sub"),$V44))</f>
        <v/>
      </c>
      <c r="AA44" s="70">
        <f>IF($S44="","",IF(N($T44)&gt;0,AVERAGEIFS($W$5:$W$1000,$R$5:$R$1000,ROW(),$S$5:$S$1000,"Sub"),$W44))</f>
        <v/>
      </c>
      <c r="AB44" s="70">
        <f>IF($S44="","",IF(N($T44)&gt;0,AVERAGEIFS($X$5:$X$1000,$R$5:$R$1000,ROW(),$S$5:$S$1000,"Sub"),$X44))</f>
        <v/>
      </c>
    </row>
    <row r="45">
      <c r="A45" s="61">
        <f>IF(NOT((COUNTA($B45:$K45)+COUNTA($N45))&gt;0),"",IF($S45="Macro",COUNTIFS($S$5:$S45,"Macro",$P$5:$P45,$P45),IF(N($R45)=0,"?",COUNTIFS(INDEX($S$5:$S$1000,1):INDEX($S$5:$S$1000,$R45-4),"Macro",INDEX($P$5:$P$1000,1):INDEX($P$5:$P$1000,$R45-4),INDEX($P$5:$P$1000,$R45-4))&amp;"."&amp;COUNTIFS($R$5:$R45,$R45,$S$5:$S45,"Sub"))))</f>
        <v/>
      </c>
      <c r="B45" s="62" t="n"/>
      <c r="C45" s="63" t="n"/>
      <c r="D45" s="62" t="n"/>
      <c r="E45" s="64" t="n"/>
      <c r="F45" s="64" t="n"/>
      <c r="G45" s="65" t="n"/>
      <c r="H45" s="66" t="n"/>
      <c r="I45" s="66" t="n"/>
      <c r="J45" s="66" t="n"/>
      <c r="K45" s="66" t="n"/>
      <c r="L45" s="67">
        <f>IF(NOT((COUNTA($B45:$K45)+COUNTA($N45))&gt;0),"",IF(N($T45)&gt;0,$AB45,IFERROR(LOOKUP(2,1/(H45:K45&lt;&gt;""),H45:K45),0)))</f>
        <v/>
      </c>
      <c r="M45" s="61">
        <f>IF(L45="","",IF(L45&gt;=1,"Completado",IF(L45&gt;0,"En curso","Pendiente")))</f>
        <v/>
      </c>
      <c r="N45" s="62" t="n"/>
      <c r="O45" s="68">
        <f>IF(NOT((COUNTA($B45:$K45)+COUNTA($N45))&gt;0),"",IF((IF(AND($S45="Macro",$B45=""),"Macroactividad vacía"&amp;" · ","")&amp;IF(AND($B45&lt;&gt;"",$C45&lt;&gt;""),"Escriba la subactividad en otra fila, debajo de su macroactividad"&amp;" · ","")&amp;IF(AND($S45="Sub",N($R45)=0),"Subactividad sin macroactividad arriba"&amp;" · ","")&amp;IF($D45="","Sin responsable"&amp;" · ","")&amp;IF($E45="","Sin fecha de inicio"&amp;" · ","")&amp;IF($F45="","Sin fecha límite"&amp;" · ","")&amp;IF(OR(AND($E45&lt;&gt;"",NOT(ISNUMBER($E45))),AND($F45&lt;&gt;"",NOT(ISNUMBER($F45)))),"Fecha no válida"&amp;" · ","")&amp;IF(AND(ISNUMBER($E45),ISNUMBER($F45),$E45&gt;$F45),"Inicio posterior a fecha límite"&amp;" · ","")&amp;IF(AND($S45="Macro",$G45=""),"Peso vacío"&amp;" · ","")&amp;IF(AND($S45="Macro",$G45&lt;&gt;"",OR(NOT(ISNUMBER($G45)),$G45&lt;=0,$G45&gt;1)),"Peso fuera de rango"&amp;" · ","")&amp;IF(AND($S45="Sub",$G45&lt;&gt;""),"Las subactividades no llevan peso"&amp;" · ","")&amp;IF(AND($S45="Macro",ABS(SUMIFS($G$5:$G$1000,$P$5:$P$1000,$P45,$S$5:$S$1000,"Macro")-1)&gt;0.0001),"Pesos del mes suman "&amp;TEXT(SUMIFS($G$5:$G$1000,$P$5:$P$1000,$P45,$S$5:$S$1000,"Macro"),"0%")&amp;" · ","")&amp;IF(AND(N($T45)&gt;0,COUNT($H45:$K45)&gt;0),"Con subactividades: deje vacías las semanas (se calculan solas)"&amp;" · ","")&amp;IF((COUNTIF($H45:$K45,"&gt;1")+COUNTIF($H45:$K45,"&lt;0")+COUNTA($H45:$K45)-COUNT($H45:$K45))&gt;0,"Avance fuera de rango 0-100%"&amp;" · ","")&amp;IF(OR(AND($I45&lt;&gt;"",$I45&lt;$H45),AND($J45&lt;&gt;"",$J45&lt;MAX($H45:$I45)),AND($K45&lt;&gt;"",$K45&lt;MAX($H45:$J45))),"Avance semanal decreciente"&amp;" · ","")&amp;IF(AND(ISNUMBER($F45),$F45&lt;FechaRef,N($L45)&lt;1),"Vencida"&amp;" · ","")&amp;IF(AND(ObsObligatoria="Sí",ISNUMBER($F45),$F45&lt;FechaRef,N($L45)&lt;1,$N45=""),"Vencida sin observación"&amp;" · ",""))="","✔ OK","⚠ "&amp;LEFT(IF(AND($S45="Macro",$B45=""),"Macroactividad vacía"&amp;" · ","")&amp;IF(AND($B45&lt;&gt;"",$C45&lt;&gt;""),"Escriba la subactividad en otra fila, debajo de su macroactividad"&amp;" · ","")&amp;IF(AND($S45="Sub",N($R45)=0),"Subactividad sin macroactividad arriba"&amp;" · ","")&amp;IF($D45="","Sin responsable"&amp;" · ","")&amp;IF($E45="","Sin fecha de inicio"&amp;" · ","")&amp;IF($F45="","Sin fecha límite"&amp;" · ","")&amp;IF(OR(AND($E45&lt;&gt;"",NOT(ISNUMBER($E45))),AND($F45&lt;&gt;"",NOT(ISNUMBER($F45)))),"Fecha no válida"&amp;" · ","")&amp;IF(AND(ISNUMBER($E45),ISNUMBER($F45),$E45&gt;$F45),"Inicio posterior a fecha límite"&amp;" · ","")&amp;IF(AND($S45="Macro",$G45=""),"Peso vacío"&amp;" · ","")&amp;IF(AND($S45="Macro",$G45&lt;&gt;"",OR(NOT(ISNUMBER($G45)),$G45&lt;=0,$G45&gt;1)),"Peso fuera de rango"&amp;" · ","")&amp;IF(AND($S45="Sub",$G45&lt;&gt;""),"Las subactividades no llevan peso"&amp;" · ","")&amp;IF(AND($S45="Macro",ABS(SUMIFS($G$5:$G$1000,$P$5:$P$1000,$P45,$S$5:$S$1000,"Macro")-1)&gt;0.0001),"Pesos del mes suman "&amp;TEXT(SUMIFS($G$5:$G$1000,$P$5:$P$1000,$P45,$S$5:$S$1000,"Macro"),"0%")&amp;" · ","")&amp;IF(AND(N($T45)&gt;0,COUNT($H45:$K45)&gt;0),"Con subactividades: deje vacías las semanas (se calculan solas)"&amp;" · ","")&amp;IF((COUNTIF($H45:$K45,"&gt;1")+COUNTIF($H45:$K45,"&lt;0")+COUNTA($H45:$K45)-COUNT($H45:$K45))&gt;0,"Avance fuera de rango 0-100%"&amp;" · ","")&amp;IF(OR(AND($I45&lt;&gt;"",$I45&lt;$H45),AND($J45&lt;&gt;"",$J45&lt;MAX($H45:$I45)),AND($K45&lt;&gt;"",$K45&lt;MAX($H45:$J45))),"Avance semanal decreciente"&amp;" · ","")&amp;IF(AND(ISNUMBER($F45),$F45&lt;FechaRef,N($L45)&lt;1),"Vencida"&amp;" · ","")&amp;IF(AND(ObsObligatoria="Sí",ISNUMBER($F45),$F45&lt;FechaRef,N($L45)&lt;1,$N45=""),"Vencida sin observación"&amp;" · ",""),LEN(IF(AND($S45="Macro",$B45=""),"Macroactividad vacía"&amp;" · ","")&amp;IF(AND($B45&lt;&gt;"",$C45&lt;&gt;""),"Escriba la subactividad en otra fila, debajo de su macroactividad"&amp;" · ","")&amp;IF(AND($S45="Sub",N($R45)=0),"Subactividad sin macroactividad arriba"&amp;" · ","")&amp;IF($D45="","Sin responsable"&amp;" · ","")&amp;IF($E45="","Sin fecha de inicio"&amp;" · ","")&amp;IF($F45="","Sin fecha límite"&amp;" · ","")&amp;IF(OR(AND($E45&lt;&gt;"",NOT(ISNUMBER($E45))),AND($F45&lt;&gt;"",NOT(ISNUMBER($F45)))),"Fecha no válida"&amp;" · ","")&amp;IF(AND(ISNUMBER($E45),ISNUMBER($F45),$E45&gt;$F45),"Inicio posterior a fecha límite"&amp;" · ","")&amp;IF(AND($S45="Macro",$G45=""),"Peso vacío"&amp;" · ","")&amp;IF(AND($S45="Macro",$G45&lt;&gt;"",OR(NOT(ISNUMBER($G45)),$G45&lt;=0,$G45&gt;1)),"Peso fuera de rango"&amp;" · ","")&amp;IF(AND($S45="Sub",$G45&lt;&gt;""),"Las subactividades no llevan peso"&amp;" · ","")&amp;IF(AND($S45="Macro",ABS(SUMIFS($G$5:$G$1000,$P$5:$P$1000,$P45,$S$5:$S$1000,"Macro")-1)&gt;0.0001),"Pesos del mes suman "&amp;TEXT(SUMIFS($G$5:$G$1000,$P$5:$P$1000,$P45,$S$5:$S$1000,"Macro"),"0%")&amp;" · ","")&amp;IF(AND(N($T45)&gt;0,COUNT($H45:$K45)&gt;0),"Con subactividades: deje vacías las semanas (se calculan solas)"&amp;" · ","")&amp;IF((COUNTIF($H45:$K45,"&gt;1")+COUNTIF($H45:$K45,"&lt;0")+COUNTA($H45:$K45)-COUNT($H45:$K45))&gt;0,"Avance fuera de rango 0-100%"&amp;" · ","")&amp;IF(OR(AND($I45&lt;&gt;"",$I45&lt;$H45),AND($J45&lt;&gt;"",$J45&lt;MAX($H45:$I45)),AND($K45&lt;&gt;"",$K45&lt;MAX($H45:$J45))),"Avance semanal decreciente"&amp;" · ","")&amp;IF(AND(ISNUMBER($F45),$F45&lt;FechaRef,N($L45)&lt;1),"Vencida"&amp;" · ","")&amp;IF(AND(ObsObligatoria="Sí",ISNUMBER($F45),$F45&lt;FechaRef,N($L45)&lt;1,$N45=""),"Vencida sin observación"&amp;" · ",""))-3)))</f>
        <v/>
      </c>
      <c r="P45" s="69">
        <f>IF(NOT((COUNTA($B45:$K45)+COUNTA($N45))&gt;0),"",IF(AND($S45="Sub",N($R45)&gt;0),IF(ISNUMBER(INDEX($E$5:$E$1000,$R45-4)),DATE(YEAR(INDEX($E$5:$E$1000,$R45-4)),MONTH(INDEX($E$5:$E$1000,$R45-4)),1),IF(ISNUMBER(INDEX($F$5:$F$1000,$R45-4)),DATE(YEAR(INDEX($F$5:$F$1000,$R45-4)),MONTH(INDEX($F$5:$F$1000,$R45-4)),1),MesCiclo)),IF(ISNUMBER($E45),DATE(YEAR($E45),MONTH($E45),1),IF(ISNUMBER($F45),DATE(YEAR($F45),MONTH($F45),1),MesCiclo))))</f>
        <v/>
      </c>
      <c r="Q45" s="70">
        <f>IF(OR($P45="",$P45&lt;&gt;MesCiclo),"",COUNTIF($P$5:$P45,MesCiclo))</f>
        <v/>
      </c>
      <c r="R45" s="70">
        <f>IF($S45="","",IF($S45="Macro",ROW(),IFERROR(LOOKUP(2,1/($S$5:$S45="Macro"),ROW($S$5:$S45)),0)))</f>
        <v/>
      </c>
      <c r="S45" s="70">
        <f>IF(NOT((COUNTA($B45:$K45)+COUNTA($N45))&gt;0),"",IF($B45&lt;&gt;"","Macro",IF($C45&lt;&gt;"","Sub","Macro")))</f>
        <v/>
      </c>
      <c r="T45" s="70">
        <f>IF($S45="Macro",COUNTIFS($R$5:$R$1000,ROW(),$S$5:$S$1000,"Sub"),"")</f>
        <v/>
      </c>
      <c r="U45" s="70">
        <f>IF($S45="","",IF(ISNUMBER($H45),$H45,0))</f>
        <v/>
      </c>
      <c r="V45" s="70">
        <f>IF($S45="","",IF(ISNUMBER($I45),$I45,$U45))</f>
        <v/>
      </c>
      <c r="W45" s="70">
        <f>IF($S45="","",IF(ISNUMBER($J45),$J45,$V45))</f>
        <v/>
      </c>
      <c r="X45" s="70">
        <f>IF($S45="","",IF(ISNUMBER($K45),$K45,$W45))</f>
        <v/>
      </c>
      <c r="Y45" s="70">
        <f>IF($S45="","",IF(N($T45)&gt;0,AVERAGEIFS($U$5:$U$1000,$R$5:$R$1000,ROW(),$S$5:$S$1000,"Sub"),$U45))</f>
        <v/>
      </c>
      <c r="Z45" s="70">
        <f>IF($S45="","",IF(N($T45)&gt;0,AVERAGEIFS($V$5:$V$1000,$R$5:$R$1000,ROW(),$S$5:$S$1000,"Sub"),$V45))</f>
        <v/>
      </c>
      <c r="AA45" s="70">
        <f>IF($S45="","",IF(N($T45)&gt;0,AVERAGEIFS($W$5:$W$1000,$R$5:$R$1000,ROW(),$S$5:$S$1000,"Sub"),$W45))</f>
        <v/>
      </c>
      <c r="AB45" s="70">
        <f>IF($S45="","",IF(N($T45)&gt;0,AVERAGEIFS($X$5:$X$1000,$R$5:$R$1000,ROW(),$S$5:$S$1000,"Sub"),$X45))</f>
        <v/>
      </c>
    </row>
    <row r="46">
      <c r="A46" s="61">
        <f>IF(NOT((COUNTA($B46:$K46)+COUNTA($N46))&gt;0),"",IF($S46="Macro",COUNTIFS($S$5:$S46,"Macro",$P$5:$P46,$P46),IF(N($R46)=0,"?",COUNTIFS(INDEX($S$5:$S$1000,1):INDEX($S$5:$S$1000,$R46-4),"Macro",INDEX($P$5:$P$1000,1):INDEX($P$5:$P$1000,$R46-4),INDEX($P$5:$P$1000,$R46-4))&amp;"."&amp;COUNTIFS($R$5:$R46,$R46,$S$5:$S46,"Sub"))))</f>
        <v/>
      </c>
      <c r="B46" s="62" t="n"/>
      <c r="C46" s="63" t="n"/>
      <c r="D46" s="62" t="n"/>
      <c r="E46" s="64" t="n"/>
      <c r="F46" s="64" t="n"/>
      <c r="G46" s="65" t="n"/>
      <c r="H46" s="66" t="n"/>
      <c r="I46" s="66" t="n"/>
      <c r="J46" s="66" t="n"/>
      <c r="K46" s="66" t="n"/>
      <c r="L46" s="67">
        <f>IF(NOT((COUNTA($B46:$K46)+COUNTA($N46))&gt;0),"",IF(N($T46)&gt;0,$AB46,IFERROR(LOOKUP(2,1/(H46:K46&lt;&gt;""),H46:K46),0)))</f>
        <v/>
      </c>
      <c r="M46" s="61">
        <f>IF(L46="","",IF(L46&gt;=1,"Completado",IF(L46&gt;0,"En curso","Pendiente")))</f>
        <v/>
      </c>
      <c r="N46" s="62" t="n"/>
      <c r="O46" s="68">
        <f>IF(NOT((COUNTA($B46:$K46)+COUNTA($N46))&gt;0),"",IF((IF(AND($S46="Macro",$B46=""),"Macroactividad vacía"&amp;" · ","")&amp;IF(AND($B46&lt;&gt;"",$C46&lt;&gt;""),"Escriba la subactividad en otra fila, debajo de su macroactividad"&amp;" · ","")&amp;IF(AND($S46="Sub",N($R46)=0),"Subactividad sin macroactividad arriba"&amp;" · ","")&amp;IF($D46="","Sin responsable"&amp;" · ","")&amp;IF($E46="","Sin fecha de inicio"&amp;" · ","")&amp;IF($F46="","Sin fecha límite"&amp;" · ","")&amp;IF(OR(AND($E46&lt;&gt;"",NOT(ISNUMBER($E46))),AND($F46&lt;&gt;"",NOT(ISNUMBER($F46)))),"Fecha no válida"&amp;" · ","")&amp;IF(AND(ISNUMBER($E46),ISNUMBER($F46),$E46&gt;$F46),"Inicio posterior a fecha límite"&amp;" · ","")&amp;IF(AND($S46="Macro",$G46=""),"Peso vacío"&amp;" · ","")&amp;IF(AND($S46="Macro",$G46&lt;&gt;"",OR(NOT(ISNUMBER($G46)),$G46&lt;=0,$G46&gt;1)),"Peso fuera de rango"&amp;" · ","")&amp;IF(AND($S46="Sub",$G46&lt;&gt;""),"Las subactividades no llevan peso"&amp;" · ","")&amp;IF(AND($S46="Macro",ABS(SUMIFS($G$5:$G$1000,$P$5:$P$1000,$P46,$S$5:$S$1000,"Macro")-1)&gt;0.0001),"Pesos del mes suman "&amp;TEXT(SUMIFS($G$5:$G$1000,$P$5:$P$1000,$P46,$S$5:$S$1000,"Macro"),"0%")&amp;" · ","")&amp;IF(AND(N($T46)&gt;0,COUNT($H46:$K46)&gt;0),"Con subactividades: deje vacías las semanas (se calculan solas)"&amp;" · ","")&amp;IF((COUNTIF($H46:$K46,"&gt;1")+COUNTIF($H46:$K46,"&lt;0")+COUNTA($H46:$K46)-COUNT($H46:$K46))&gt;0,"Avance fuera de rango 0-100%"&amp;" · ","")&amp;IF(OR(AND($I46&lt;&gt;"",$I46&lt;$H46),AND($J46&lt;&gt;"",$J46&lt;MAX($H46:$I46)),AND($K46&lt;&gt;"",$K46&lt;MAX($H46:$J46))),"Avance semanal decreciente"&amp;" · ","")&amp;IF(AND(ISNUMBER($F46),$F46&lt;FechaRef,N($L46)&lt;1),"Vencida"&amp;" · ","")&amp;IF(AND(ObsObligatoria="Sí",ISNUMBER($F46),$F46&lt;FechaRef,N($L46)&lt;1,$N46=""),"Vencida sin observación"&amp;" · ",""))="","✔ OK","⚠ "&amp;LEFT(IF(AND($S46="Macro",$B46=""),"Macroactividad vacía"&amp;" · ","")&amp;IF(AND($B46&lt;&gt;"",$C46&lt;&gt;""),"Escriba la subactividad en otra fila, debajo de su macroactividad"&amp;" · ","")&amp;IF(AND($S46="Sub",N($R46)=0),"Subactividad sin macroactividad arriba"&amp;" · ","")&amp;IF($D46="","Sin responsable"&amp;" · ","")&amp;IF($E46="","Sin fecha de inicio"&amp;" · ","")&amp;IF($F46="","Sin fecha límite"&amp;" · ","")&amp;IF(OR(AND($E46&lt;&gt;"",NOT(ISNUMBER($E46))),AND($F46&lt;&gt;"",NOT(ISNUMBER($F46)))),"Fecha no válida"&amp;" · ","")&amp;IF(AND(ISNUMBER($E46),ISNUMBER($F46),$E46&gt;$F46),"Inicio posterior a fecha límite"&amp;" · ","")&amp;IF(AND($S46="Macro",$G46=""),"Peso vacío"&amp;" · ","")&amp;IF(AND($S46="Macro",$G46&lt;&gt;"",OR(NOT(ISNUMBER($G46)),$G46&lt;=0,$G46&gt;1)),"Peso fuera de rango"&amp;" · ","")&amp;IF(AND($S46="Sub",$G46&lt;&gt;""),"Las subactividades no llevan peso"&amp;" · ","")&amp;IF(AND($S46="Macro",ABS(SUMIFS($G$5:$G$1000,$P$5:$P$1000,$P46,$S$5:$S$1000,"Macro")-1)&gt;0.0001),"Pesos del mes suman "&amp;TEXT(SUMIFS($G$5:$G$1000,$P$5:$P$1000,$P46,$S$5:$S$1000,"Macro"),"0%")&amp;" · ","")&amp;IF(AND(N($T46)&gt;0,COUNT($H46:$K46)&gt;0),"Con subactividades: deje vacías las semanas (se calculan solas)"&amp;" · ","")&amp;IF((COUNTIF($H46:$K46,"&gt;1")+COUNTIF($H46:$K46,"&lt;0")+COUNTA($H46:$K46)-COUNT($H46:$K46))&gt;0,"Avance fuera de rango 0-100%"&amp;" · ","")&amp;IF(OR(AND($I46&lt;&gt;"",$I46&lt;$H46),AND($J46&lt;&gt;"",$J46&lt;MAX($H46:$I46)),AND($K46&lt;&gt;"",$K46&lt;MAX($H46:$J46))),"Avance semanal decreciente"&amp;" · ","")&amp;IF(AND(ISNUMBER($F46),$F46&lt;FechaRef,N($L46)&lt;1),"Vencida"&amp;" · ","")&amp;IF(AND(ObsObligatoria="Sí",ISNUMBER($F46),$F46&lt;FechaRef,N($L46)&lt;1,$N46=""),"Vencida sin observación"&amp;" · ",""),LEN(IF(AND($S46="Macro",$B46=""),"Macroactividad vacía"&amp;" · ","")&amp;IF(AND($B46&lt;&gt;"",$C46&lt;&gt;""),"Escriba la subactividad en otra fila, debajo de su macroactividad"&amp;" · ","")&amp;IF(AND($S46="Sub",N($R46)=0),"Subactividad sin macroactividad arriba"&amp;" · ","")&amp;IF($D46="","Sin responsable"&amp;" · ","")&amp;IF($E46="","Sin fecha de inicio"&amp;" · ","")&amp;IF($F46="","Sin fecha límite"&amp;" · ","")&amp;IF(OR(AND($E46&lt;&gt;"",NOT(ISNUMBER($E46))),AND($F46&lt;&gt;"",NOT(ISNUMBER($F46)))),"Fecha no válida"&amp;" · ","")&amp;IF(AND(ISNUMBER($E46),ISNUMBER($F46),$E46&gt;$F46),"Inicio posterior a fecha límite"&amp;" · ","")&amp;IF(AND($S46="Macro",$G46=""),"Peso vacío"&amp;" · ","")&amp;IF(AND($S46="Macro",$G46&lt;&gt;"",OR(NOT(ISNUMBER($G46)),$G46&lt;=0,$G46&gt;1)),"Peso fuera de rango"&amp;" · ","")&amp;IF(AND($S46="Sub",$G46&lt;&gt;""),"Las subactividades no llevan peso"&amp;" · ","")&amp;IF(AND($S46="Macro",ABS(SUMIFS($G$5:$G$1000,$P$5:$P$1000,$P46,$S$5:$S$1000,"Macro")-1)&gt;0.0001),"Pesos del mes suman "&amp;TEXT(SUMIFS($G$5:$G$1000,$P$5:$P$1000,$P46,$S$5:$S$1000,"Macro"),"0%")&amp;" · ","")&amp;IF(AND(N($T46)&gt;0,COUNT($H46:$K46)&gt;0),"Con subactividades: deje vacías las semanas (se calculan solas)"&amp;" · ","")&amp;IF((COUNTIF($H46:$K46,"&gt;1")+COUNTIF($H46:$K46,"&lt;0")+COUNTA($H46:$K46)-COUNT($H46:$K46))&gt;0,"Avance fuera de rango 0-100%"&amp;" · ","")&amp;IF(OR(AND($I46&lt;&gt;"",$I46&lt;$H46),AND($J46&lt;&gt;"",$J46&lt;MAX($H46:$I46)),AND($K46&lt;&gt;"",$K46&lt;MAX($H46:$J46))),"Avance semanal decreciente"&amp;" · ","")&amp;IF(AND(ISNUMBER($F46),$F46&lt;FechaRef,N($L46)&lt;1),"Vencida"&amp;" · ","")&amp;IF(AND(ObsObligatoria="Sí",ISNUMBER($F46),$F46&lt;FechaRef,N($L46)&lt;1,$N46=""),"Vencida sin observación"&amp;" · ",""))-3)))</f>
        <v/>
      </c>
      <c r="P46" s="69">
        <f>IF(NOT((COUNTA($B46:$K46)+COUNTA($N46))&gt;0),"",IF(AND($S46="Sub",N($R46)&gt;0),IF(ISNUMBER(INDEX($E$5:$E$1000,$R46-4)),DATE(YEAR(INDEX($E$5:$E$1000,$R46-4)),MONTH(INDEX($E$5:$E$1000,$R46-4)),1),IF(ISNUMBER(INDEX($F$5:$F$1000,$R46-4)),DATE(YEAR(INDEX($F$5:$F$1000,$R46-4)),MONTH(INDEX($F$5:$F$1000,$R46-4)),1),MesCiclo)),IF(ISNUMBER($E46),DATE(YEAR($E46),MONTH($E46),1),IF(ISNUMBER($F46),DATE(YEAR($F46),MONTH($F46),1),MesCiclo))))</f>
        <v/>
      </c>
      <c r="Q46" s="70">
        <f>IF(OR($P46="",$P46&lt;&gt;MesCiclo),"",COUNTIF($P$5:$P46,MesCiclo))</f>
        <v/>
      </c>
      <c r="R46" s="70">
        <f>IF($S46="","",IF($S46="Macro",ROW(),IFERROR(LOOKUP(2,1/($S$5:$S46="Macro"),ROW($S$5:$S46)),0)))</f>
        <v/>
      </c>
      <c r="S46" s="70">
        <f>IF(NOT((COUNTA($B46:$K46)+COUNTA($N46))&gt;0),"",IF($B46&lt;&gt;"","Macro",IF($C46&lt;&gt;"","Sub","Macro")))</f>
        <v/>
      </c>
      <c r="T46" s="70">
        <f>IF($S46="Macro",COUNTIFS($R$5:$R$1000,ROW(),$S$5:$S$1000,"Sub"),"")</f>
        <v/>
      </c>
      <c r="U46" s="70">
        <f>IF($S46="","",IF(ISNUMBER($H46),$H46,0))</f>
        <v/>
      </c>
      <c r="V46" s="70">
        <f>IF($S46="","",IF(ISNUMBER($I46),$I46,$U46))</f>
        <v/>
      </c>
      <c r="W46" s="70">
        <f>IF($S46="","",IF(ISNUMBER($J46),$J46,$V46))</f>
        <v/>
      </c>
      <c r="X46" s="70">
        <f>IF($S46="","",IF(ISNUMBER($K46),$K46,$W46))</f>
        <v/>
      </c>
      <c r="Y46" s="70">
        <f>IF($S46="","",IF(N($T46)&gt;0,AVERAGEIFS($U$5:$U$1000,$R$5:$R$1000,ROW(),$S$5:$S$1000,"Sub"),$U46))</f>
        <v/>
      </c>
      <c r="Z46" s="70">
        <f>IF($S46="","",IF(N($T46)&gt;0,AVERAGEIFS($V$5:$V$1000,$R$5:$R$1000,ROW(),$S$5:$S$1000,"Sub"),$V46))</f>
        <v/>
      </c>
      <c r="AA46" s="70">
        <f>IF($S46="","",IF(N($T46)&gt;0,AVERAGEIFS($W$5:$W$1000,$R$5:$R$1000,ROW(),$S$5:$S$1000,"Sub"),$W46))</f>
        <v/>
      </c>
      <c r="AB46" s="70">
        <f>IF($S46="","",IF(N($T46)&gt;0,AVERAGEIFS($X$5:$X$1000,$R$5:$R$1000,ROW(),$S$5:$S$1000,"Sub"),$X46))</f>
        <v/>
      </c>
    </row>
    <row r="47">
      <c r="A47" s="61">
        <f>IF(NOT((COUNTA($B47:$K47)+COUNTA($N47))&gt;0),"",IF($S47="Macro",COUNTIFS($S$5:$S47,"Macro",$P$5:$P47,$P47),IF(N($R47)=0,"?",COUNTIFS(INDEX($S$5:$S$1000,1):INDEX($S$5:$S$1000,$R47-4),"Macro",INDEX($P$5:$P$1000,1):INDEX($P$5:$P$1000,$R47-4),INDEX($P$5:$P$1000,$R47-4))&amp;"."&amp;COUNTIFS($R$5:$R47,$R47,$S$5:$S47,"Sub"))))</f>
        <v/>
      </c>
      <c r="B47" s="62" t="n"/>
      <c r="C47" s="63" t="n"/>
      <c r="D47" s="62" t="n"/>
      <c r="E47" s="64" t="n"/>
      <c r="F47" s="64" t="n"/>
      <c r="G47" s="65" t="n"/>
      <c r="H47" s="66" t="n"/>
      <c r="I47" s="66" t="n"/>
      <c r="J47" s="66" t="n"/>
      <c r="K47" s="66" t="n"/>
      <c r="L47" s="67">
        <f>IF(NOT((COUNTA($B47:$K47)+COUNTA($N47))&gt;0),"",IF(N($T47)&gt;0,$AB47,IFERROR(LOOKUP(2,1/(H47:K47&lt;&gt;""),H47:K47),0)))</f>
        <v/>
      </c>
      <c r="M47" s="61">
        <f>IF(L47="","",IF(L47&gt;=1,"Completado",IF(L47&gt;0,"En curso","Pendiente")))</f>
        <v/>
      </c>
      <c r="N47" s="62" t="n"/>
      <c r="O47" s="68">
        <f>IF(NOT((COUNTA($B47:$K47)+COUNTA($N47))&gt;0),"",IF((IF(AND($S47="Macro",$B47=""),"Macroactividad vacía"&amp;" · ","")&amp;IF(AND($B47&lt;&gt;"",$C47&lt;&gt;""),"Escriba la subactividad en otra fila, debajo de su macroactividad"&amp;" · ","")&amp;IF(AND($S47="Sub",N($R47)=0),"Subactividad sin macroactividad arriba"&amp;" · ","")&amp;IF($D47="","Sin responsable"&amp;" · ","")&amp;IF($E47="","Sin fecha de inicio"&amp;" · ","")&amp;IF($F47="","Sin fecha límite"&amp;" · ","")&amp;IF(OR(AND($E47&lt;&gt;"",NOT(ISNUMBER($E47))),AND($F47&lt;&gt;"",NOT(ISNUMBER($F47)))),"Fecha no válida"&amp;" · ","")&amp;IF(AND(ISNUMBER($E47),ISNUMBER($F47),$E47&gt;$F47),"Inicio posterior a fecha límite"&amp;" · ","")&amp;IF(AND($S47="Macro",$G47=""),"Peso vacío"&amp;" · ","")&amp;IF(AND($S47="Macro",$G47&lt;&gt;"",OR(NOT(ISNUMBER($G47)),$G47&lt;=0,$G47&gt;1)),"Peso fuera de rango"&amp;" · ","")&amp;IF(AND($S47="Sub",$G47&lt;&gt;""),"Las subactividades no llevan peso"&amp;" · ","")&amp;IF(AND($S47="Macro",ABS(SUMIFS($G$5:$G$1000,$P$5:$P$1000,$P47,$S$5:$S$1000,"Macro")-1)&gt;0.0001),"Pesos del mes suman "&amp;TEXT(SUMIFS($G$5:$G$1000,$P$5:$P$1000,$P47,$S$5:$S$1000,"Macro"),"0%")&amp;" · ","")&amp;IF(AND(N($T47)&gt;0,COUNT($H47:$K47)&gt;0),"Con subactividades: deje vacías las semanas (se calculan solas)"&amp;" · ","")&amp;IF((COUNTIF($H47:$K47,"&gt;1")+COUNTIF($H47:$K47,"&lt;0")+COUNTA($H47:$K47)-COUNT($H47:$K47))&gt;0,"Avance fuera de rango 0-100%"&amp;" · ","")&amp;IF(OR(AND($I47&lt;&gt;"",$I47&lt;$H47),AND($J47&lt;&gt;"",$J47&lt;MAX($H47:$I47)),AND($K47&lt;&gt;"",$K47&lt;MAX($H47:$J47))),"Avance semanal decreciente"&amp;" · ","")&amp;IF(AND(ISNUMBER($F47),$F47&lt;FechaRef,N($L47)&lt;1),"Vencida"&amp;" · ","")&amp;IF(AND(ObsObligatoria="Sí",ISNUMBER($F47),$F47&lt;FechaRef,N($L47)&lt;1,$N47=""),"Vencida sin observación"&amp;" · ",""))="","✔ OK","⚠ "&amp;LEFT(IF(AND($S47="Macro",$B47=""),"Macroactividad vacía"&amp;" · ","")&amp;IF(AND($B47&lt;&gt;"",$C47&lt;&gt;""),"Escriba la subactividad en otra fila, debajo de su macroactividad"&amp;" · ","")&amp;IF(AND($S47="Sub",N($R47)=0),"Subactividad sin macroactividad arriba"&amp;" · ","")&amp;IF($D47="","Sin responsable"&amp;" · ","")&amp;IF($E47="","Sin fecha de inicio"&amp;" · ","")&amp;IF($F47="","Sin fecha límite"&amp;" · ","")&amp;IF(OR(AND($E47&lt;&gt;"",NOT(ISNUMBER($E47))),AND($F47&lt;&gt;"",NOT(ISNUMBER($F47)))),"Fecha no válida"&amp;" · ","")&amp;IF(AND(ISNUMBER($E47),ISNUMBER($F47),$E47&gt;$F47),"Inicio posterior a fecha límite"&amp;" · ","")&amp;IF(AND($S47="Macro",$G47=""),"Peso vacío"&amp;" · ","")&amp;IF(AND($S47="Macro",$G47&lt;&gt;"",OR(NOT(ISNUMBER($G47)),$G47&lt;=0,$G47&gt;1)),"Peso fuera de rango"&amp;" · ","")&amp;IF(AND($S47="Sub",$G47&lt;&gt;""),"Las subactividades no llevan peso"&amp;" · ","")&amp;IF(AND($S47="Macro",ABS(SUMIFS($G$5:$G$1000,$P$5:$P$1000,$P47,$S$5:$S$1000,"Macro")-1)&gt;0.0001),"Pesos del mes suman "&amp;TEXT(SUMIFS($G$5:$G$1000,$P$5:$P$1000,$P47,$S$5:$S$1000,"Macro"),"0%")&amp;" · ","")&amp;IF(AND(N($T47)&gt;0,COUNT($H47:$K47)&gt;0),"Con subactividades: deje vacías las semanas (se calculan solas)"&amp;" · ","")&amp;IF((COUNTIF($H47:$K47,"&gt;1")+COUNTIF($H47:$K47,"&lt;0")+COUNTA($H47:$K47)-COUNT($H47:$K47))&gt;0,"Avance fuera de rango 0-100%"&amp;" · ","")&amp;IF(OR(AND($I47&lt;&gt;"",$I47&lt;$H47),AND($J47&lt;&gt;"",$J47&lt;MAX($H47:$I47)),AND($K47&lt;&gt;"",$K47&lt;MAX($H47:$J47))),"Avance semanal decreciente"&amp;" · ","")&amp;IF(AND(ISNUMBER($F47),$F47&lt;FechaRef,N($L47)&lt;1),"Vencida"&amp;" · ","")&amp;IF(AND(ObsObligatoria="Sí",ISNUMBER($F47),$F47&lt;FechaRef,N($L47)&lt;1,$N47=""),"Vencida sin observación"&amp;" · ",""),LEN(IF(AND($S47="Macro",$B47=""),"Macroactividad vacía"&amp;" · ","")&amp;IF(AND($B47&lt;&gt;"",$C47&lt;&gt;""),"Escriba la subactividad en otra fila, debajo de su macroactividad"&amp;" · ","")&amp;IF(AND($S47="Sub",N($R47)=0),"Subactividad sin macroactividad arriba"&amp;" · ","")&amp;IF($D47="","Sin responsable"&amp;" · ","")&amp;IF($E47="","Sin fecha de inicio"&amp;" · ","")&amp;IF($F47="","Sin fecha límite"&amp;" · ","")&amp;IF(OR(AND($E47&lt;&gt;"",NOT(ISNUMBER($E47))),AND($F47&lt;&gt;"",NOT(ISNUMBER($F47)))),"Fecha no válida"&amp;" · ","")&amp;IF(AND(ISNUMBER($E47),ISNUMBER($F47),$E47&gt;$F47),"Inicio posterior a fecha límite"&amp;" · ","")&amp;IF(AND($S47="Macro",$G47=""),"Peso vacío"&amp;" · ","")&amp;IF(AND($S47="Macro",$G47&lt;&gt;"",OR(NOT(ISNUMBER($G47)),$G47&lt;=0,$G47&gt;1)),"Peso fuera de rango"&amp;" · ","")&amp;IF(AND($S47="Sub",$G47&lt;&gt;""),"Las subactividades no llevan peso"&amp;" · ","")&amp;IF(AND($S47="Macro",ABS(SUMIFS($G$5:$G$1000,$P$5:$P$1000,$P47,$S$5:$S$1000,"Macro")-1)&gt;0.0001),"Pesos del mes suman "&amp;TEXT(SUMIFS($G$5:$G$1000,$P$5:$P$1000,$P47,$S$5:$S$1000,"Macro"),"0%")&amp;" · ","")&amp;IF(AND(N($T47)&gt;0,COUNT($H47:$K47)&gt;0),"Con subactividades: deje vacías las semanas (se calculan solas)"&amp;" · ","")&amp;IF((COUNTIF($H47:$K47,"&gt;1")+COUNTIF($H47:$K47,"&lt;0")+COUNTA($H47:$K47)-COUNT($H47:$K47))&gt;0,"Avance fuera de rango 0-100%"&amp;" · ","")&amp;IF(OR(AND($I47&lt;&gt;"",$I47&lt;$H47),AND($J47&lt;&gt;"",$J47&lt;MAX($H47:$I47)),AND($K47&lt;&gt;"",$K47&lt;MAX($H47:$J47))),"Avance semanal decreciente"&amp;" · ","")&amp;IF(AND(ISNUMBER($F47),$F47&lt;FechaRef,N($L47)&lt;1),"Vencida"&amp;" · ","")&amp;IF(AND(ObsObligatoria="Sí",ISNUMBER($F47),$F47&lt;FechaRef,N($L47)&lt;1,$N47=""),"Vencida sin observación"&amp;" · ",""))-3)))</f>
        <v/>
      </c>
      <c r="P47" s="69">
        <f>IF(NOT((COUNTA($B47:$K47)+COUNTA($N47))&gt;0),"",IF(AND($S47="Sub",N($R47)&gt;0),IF(ISNUMBER(INDEX($E$5:$E$1000,$R47-4)),DATE(YEAR(INDEX($E$5:$E$1000,$R47-4)),MONTH(INDEX($E$5:$E$1000,$R47-4)),1),IF(ISNUMBER(INDEX($F$5:$F$1000,$R47-4)),DATE(YEAR(INDEX($F$5:$F$1000,$R47-4)),MONTH(INDEX($F$5:$F$1000,$R47-4)),1),MesCiclo)),IF(ISNUMBER($E47),DATE(YEAR($E47),MONTH($E47),1),IF(ISNUMBER($F47),DATE(YEAR($F47),MONTH($F47),1),MesCiclo))))</f>
        <v/>
      </c>
      <c r="Q47" s="70">
        <f>IF(OR($P47="",$P47&lt;&gt;MesCiclo),"",COUNTIF($P$5:$P47,MesCiclo))</f>
        <v/>
      </c>
      <c r="R47" s="70">
        <f>IF($S47="","",IF($S47="Macro",ROW(),IFERROR(LOOKUP(2,1/($S$5:$S47="Macro"),ROW($S$5:$S47)),0)))</f>
        <v/>
      </c>
      <c r="S47" s="70">
        <f>IF(NOT((COUNTA($B47:$K47)+COUNTA($N47))&gt;0),"",IF($B47&lt;&gt;"","Macro",IF($C47&lt;&gt;"","Sub","Macro")))</f>
        <v/>
      </c>
      <c r="T47" s="70">
        <f>IF($S47="Macro",COUNTIFS($R$5:$R$1000,ROW(),$S$5:$S$1000,"Sub"),"")</f>
        <v/>
      </c>
      <c r="U47" s="70">
        <f>IF($S47="","",IF(ISNUMBER($H47),$H47,0))</f>
        <v/>
      </c>
      <c r="V47" s="70">
        <f>IF($S47="","",IF(ISNUMBER($I47),$I47,$U47))</f>
        <v/>
      </c>
      <c r="W47" s="70">
        <f>IF($S47="","",IF(ISNUMBER($J47),$J47,$V47))</f>
        <v/>
      </c>
      <c r="X47" s="70">
        <f>IF($S47="","",IF(ISNUMBER($K47),$K47,$W47))</f>
        <v/>
      </c>
      <c r="Y47" s="70">
        <f>IF($S47="","",IF(N($T47)&gt;0,AVERAGEIFS($U$5:$U$1000,$R$5:$R$1000,ROW(),$S$5:$S$1000,"Sub"),$U47))</f>
        <v/>
      </c>
      <c r="Z47" s="70">
        <f>IF($S47="","",IF(N($T47)&gt;0,AVERAGEIFS($V$5:$V$1000,$R$5:$R$1000,ROW(),$S$5:$S$1000,"Sub"),$V47))</f>
        <v/>
      </c>
      <c r="AA47" s="70">
        <f>IF($S47="","",IF(N($T47)&gt;0,AVERAGEIFS($W$5:$W$1000,$R$5:$R$1000,ROW(),$S$5:$S$1000,"Sub"),$W47))</f>
        <v/>
      </c>
      <c r="AB47" s="70">
        <f>IF($S47="","",IF(N($T47)&gt;0,AVERAGEIFS($X$5:$X$1000,$R$5:$R$1000,ROW(),$S$5:$S$1000,"Sub"),$X47))</f>
        <v/>
      </c>
    </row>
    <row r="48">
      <c r="A48" s="61">
        <f>IF(NOT((COUNTA($B48:$K48)+COUNTA($N48))&gt;0),"",IF($S48="Macro",COUNTIFS($S$5:$S48,"Macro",$P$5:$P48,$P48),IF(N($R48)=0,"?",COUNTIFS(INDEX($S$5:$S$1000,1):INDEX($S$5:$S$1000,$R48-4),"Macro",INDEX($P$5:$P$1000,1):INDEX($P$5:$P$1000,$R48-4),INDEX($P$5:$P$1000,$R48-4))&amp;"."&amp;COUNTIFS($R$5:$R48,$R48,$S$5:$S48,"Sub"))))</f>
        <v/>
      </c>
      <c r="B48" s="62" t="n"/>
      <c r="C48" s="63" t="n"/>
      <c r="D48" s="62" t="n"/>
      <c r="E48" s="64" t="n"/>
      <c r="F48" s="64" t="n"/>
      <c r="G48" s="65" t="n"/>
      <c r="H48" s="66" t="n"/>
      <c r="I48" s="66" t="n"/>
      <c r="J48" s="66" t="n"/>
      <c r="K48" s="66" t="n"/>
      <c r="L48" s="67">
        <f>IF(NOT((COUNTA($B48:$K48)+COUNTA($N48))&gt;0),"",IF(N($T48)&gt;0,$AB48,IFERROR(LOOKUP(2,1/(H48:K48&lt;&gt;""),H48:K48),0)))</f>
        <v/>
      </c>
      <c r="M48" s="61">
        <f>IF(L48="","",IF(L48&gt;=1,"Completado",IF(L48&gt;0,"En curso","Pendiente")))</f>
        <v/>
      </c>
      <c r="N48" s="62" t="n"/>
      <c r="O48" s="68">
        <f>IF(NOT((COUNTA($B48:$K48)+COUNTA($N48))&gt;0),"",IF((IF(AND($S48="Macro",$B48=""),"Macroactividad vacía"&amp;" · ","")&amp;IF(AND($B48&lt;&gt;"",$C48&lt;&gt;""),"Escriba la subactividad en otra fila, debajo de su macroactividad"&amp;" · ","")&amp;IF(AND($S48="Sub",N($R48)=0),"Subactividad sin macroactividad arriba"&amp;" · ","")&amp;IF($D48="","Sin responsable"&amp;" · ","")&amp;IF($E48="","Sin fecha de inicio"&amp;" · ","")&amp;IF($F48="","Sin fecha límite"&amp;" · ","")&amp;IF(OR(AND($E48&lt;&gt;"",NOT(ISNUMBER($E48))),AND($F48&lt;&gt;"",NOT(ISNUMBER($F48)))),"Fecha no válida"&amp;" · ","")&amp;IF(AND(ISNUMBER($E48),ISNUMBER($F48),$E48&gt;$F48),"Inicio posterior a fecha límite"&amp;" · ","")&amp;IF(AND($S48="Macro",$G48=""),"Peso vacío"&amp;" · ","")&amp;IF(AND($S48="Macro",$G48&lt;&gt;"",OR(NOT(ISNUMBER($G48)),$G48&lt;=0,$G48&gt;1)),"Peso fuera de rango"&amp;" · ","")&amp;IF(AND($S48="Sub",$G48&lt;&gt;""),"Las subactividades no llevan peso"&amp;" · ","")&amp;IF(AND($S48="Macro",ABS(SUMIFS($G$5:$G$1000,$P$5:$P$1000,$P48,$S$5:$S$1000,"Macro")-1)&gt;0.0001),"Pesos del mes suman "&amp;TEXT(SUMIFS($G$5:$G$1000,$P$5:$P$1000,$P48,$S$5:$S$1000,"Macro"),"0%")&amp;" · ","")&amp;IF(AND(N($T48)&gt;0,COUNT($H48:$K48)&gt;0),"Con subactividades: deje vacías las semanas (se calculan solas)"&amp;" · ","")&amp;IF((COUNTIF($H48:$K48,"&gt;1")+COUNTIF($H48:$K48,"&lt;0")+COUNTA($H48:$K48)-COUNT($H48:$K48))&gt;0,"Avance fuera de rango 0-100%"&amp;" · ","")&amp;IF(OR(AND($I48&lt;&gt;"",$I48&lt;$H48),AND($J48&lt;&gt;"",$J48&lt;MAX($H48:$I48)),AND($K48&lt;&gt;"",$K48&lt;MAX($H48:$J48))),"Avance semanal decreciente"&amp;" · ","")&amp;IF(AND(ISNUMBER($F48),$F48&lt;FechaRef,N($L48)&lt;1),"Vencida"&amp;" · ","")&amp;IF(AND(ObsObligatoria="Sí",ISNUMBER($F48),$F48&lt;FechaRef,N($L48)&lt;1,$N48=""),"Vencida sin observación"&amp;" · ",""))="","✔ OK","⚠ "&amp;LEFT(IF(AND($S48="Macro",$B48=""),"Macroactividad vacía"&amp;" · ","")&amp;IF(AND($B48&lt;&gt;"",$C48&lt;&gt;""),"Escriba la subactividad en otra fila, debajo de su macroactividad"&amp;" · ","")&amp;IF(AND($S48="Sub",N($R48)=0),"Subactividad sin macroactividad arriba"&amp;" · ","")&amp;IF($D48="","Sin responsable"&amp;" · ","")&amp;IF($E48="","Sin fecha de inicio"&amp;" · ","")&amp;IF($F48="","Sin fecha límite"&amp;" · ","")&amp;IF(OR(AND($E48&lt;&gt;"",NOT(ISNUMBER($E48))),AND($F48&lt;&gt;"",NOT(ISNUMBER($F48)))),"Fecha no válida"&amp;" · ","")&amp;IF(AND(ISNUMBER($E48),ISNUMBER($F48),$E48&gt;$F48),"Inicio posterior a fecha límite"&amp;" · ","")&amp;IF(AND($S48="Macro",$G48=""),"Peso vacío"&amp;" · ","")&amp;IF(AND($S48="Macro",$G48&lt;&gt;"",OR(NOT(ISNUMBER($G48)),$G48&lt;=0,$G48&gt;1)),"Peso fuera de rango"&amp;" · ","")&amp;IF(AND($S48="Sub",$G48&lt;&gt;""),"Las subactividades no llevan peso"&amp;" · ","")&amp;IF(AND($S48="Macro",ABS(SUMIFS($G$5:$G$1000,$P$5:$P$1000,$P48,$S$5:$S$1000,"Macro")-1)&gt;0.0001),"Pesos del mes suman "&amp;TEXT(SUMIFS($G$5:$G$1000,$P$5:$P$1000,$P48,$S$5:$S$1000,"Macro"),"0%")&amp;" · ","")&amp;IF(AND(N($T48)&gt;0,COUNT($H48:$K48)&gt;0),"Con subactividades: deje vacías las semanas (se calculan solas)"&amp;" · ","")&amp;IF((COUNTIF($H48:$K48,"&gt;1")+COUNTIF($H48:$K48,"&lt;0")+COUNTA($H48:$K48)-COUNT($H48:$K48))&gt;0,"Avance fuera de rango 0-100%"&amp;" · ","")&amp;IF(OR(AND($I48&lt;&gt;"",$I48&lt;$H48),AND($J48&lt;&gt;"",$J48&lt;MAX($H48:$I48)),AND($K48&lt;&gt;"",$K48&lt;MAX($H48:$J48))),"Avance semanal decreciente"&amp;" · ","")&amp;IF(AND(ISNUMBER($F48),$F48&lt;FechaRef,N($L48)&lt;1),"Vencida"&amp;" · ","")&amp;IF(AND(ObsObligatoria="Sí",ISNUMBER($F48),$F48&lt;FechaRef,N($L48)&lt;1,$N48=""),"Vencida sin observación"&amp;" · ",""),LEN(IF(AND($S48="Macro",$B48=""),"Macroactividad vacía"&amp;" · ","")&amp;IF(AND($B48&lt;&gt;"",$C48&lt;&gt;""),"Escriba la subactividad en otra fila, debajo de su macroactividad"&amp;" · ","")&amp;IF(AND($S48="Sub",N($R48)=0),"Subactividad sin macroactividad arriba"&amp;" · ","")&amp;IF($D48="","Sin responsable"&amp;" · ","")&amp;IF($E48="","Sin fecha de inicio"&amp;" · ","")&amp;IF($F48="","Sin fecha límite"&amp;" · ","")&amp;IF(OR(AND($E48&lt;&gt;"",NOT(ISNUMBER($E48))),AND($F48&lt;&gt;"",NOT(ISNUMBER($F48)))),"Fecha no válida"&amp;" · ","")&amp;IF(AND(ISNUMBER($E48),ISNUMBER($F48),$E48&gt;$F48),"Inicio posterior a fecha límite"&amp;" · ","")&amp;IF(AND($S48="Macro",$G48=""),"Peso vacío"&amp;" · ","")&amp;IF(AND($S48="Macro",$G48&lt;&gt;"",OR(NOT(ISNUMBER($G48)),$G48&lt;=0,$G48&gt;1)),"Peso fuera de rango"&amp;" · ","")&amp;IF(AND($S48="Sub",$G48&lt;&gt;""),"Las subactividades no llevan peso"&amp;" · ","")&amp;IF(AND($S48="Macro",ABS(SUMIFS($G$5:$G$1000,$P$5:$P$1000,$P48,$S$5:$S$1000,"Macro")-1)&gt;0.0001),"Pesos del mes suman "&amp;TEXT(SUMIFS($G$5:$G$1000,$P$5:$P$1000,$P48,$S$5:$S$1000,"Macro"),"0%")&amp;" · ","")&amp;IF(AND(N($T48)&gt;0,COUNT($H48:$K48)&gt;0),"Con subactividades: deje vacías las semanas (se calculan solas)"&amp;" · ","")&amp;IF((COUNTIF($H48:$K48,"&gt;1")+COUNTIF($H48:$K48,"&lt;0")+COUNTA($H48:$K48)-COUNT($H48:$K48))&gt;0,"Avance fuera de rango 0-100%"&amp;" · ","")&amp;IF(OR(AND($I48&lt;&gt;"",$I48&lt;$H48),AND($J48&lt;&gt;"",$J48&lt;MAX($H48:$I48)),AND($K48&lt;&gt;"",$K48&lt;MAX($H48:$J48))),"Avance semanal decreciente"&amp;" · ","")&amp;IF(AND(ISNUMBER($F48),$F48&lt;FechaRef,N($L48)&lt;1),"Vencida"&amp;" · ","")&amp;IF(AND(ObsObligatoria="Sí",ISNUMBER($F48),$F48&lt;FechaRef,N($L48)&lt;1,$N48=""),"Vencida sin observación"&amp;" · ",""))-3)))</f>
        <v/>
      </c>
      <c r="P48" s="69">
        <f>IF(NOT((COUNTA($B48:$K48)+COUNTA($N48))&gt;0),"",IF(AND($S48="Sub",N($R48)&gt;0),IF(ISNUMBER(INDEX($E$5:$E$1000,$R48-4)),DATE(YEAR(INDEX($E$5:$E$1000,$R48-4)),MONTH(INDEX($E$5:$E$1000,$R48-4)),1),IF(ISNUMBER(INDEX($F$5:$F$1000,$R48-4)),DATE(YEAR(INDEX($F$5:$F$1000,$R48-4)),MONTH(INDEX($F$5:$F$1000,$R48-4)),1),MesCiclo)),IF(ISNUMBER($E48),DATE(YEAR($E48),MONTH($E48),1),IF(ISNUMBER($F48),DATE(YEAR($F48),MONTH($F48),1),MesCiclo))))</f>
        <v/>
      </c>
      <c r="Q48" s="70">
        <f>IF(OR($P48="",$P48&lt;&gt;MesCiclo),"",COUNTIF($P$5:$P48,MesCiclo))</f>
        <v/>
      </c>
      <c r="R48" s="70">
        <f>IF($S48="","",IF($S48="Macro",ROW(),IFERROR(LOOKUP(2,1/($S$5:$S48="Macro"),ROW($S$5:$S48)),0)))</f>
        <v/>
      </c>
      <c r="S48" s="70">
        <f>IF(NOT((COUNTA($B48:$K48)+COUNTA($N48))&gt;0),"",IF($B48&lt;&gt;"","Macro",IF($C48&lt;&gt;"","Sub","Macro")))</f>
        <v/>
      </c>
      <c r="T48" s="70">
        <f>IF($S48="Macro",COUNTIFS($R$5:$R$1000,ROW(),$S$5:$S$1000,"Sub"),"")</f>
        <v/>
      </c>
      <c r="U48" s="70">
        <f>IF($S48="","",IF(ISNUMBER($H48),$H48,0))</f>
        <v/>
      </c>
      <c r="V48" s="70">
        <f>IF($S48="","",IF(ISNUMBER($I48),$I48,$U48))</f>
        <v/>
      </c>
      <c r="W48" s="70">
        <f>IF($S48="","",IF(ISNUMBER($J48),$J48,$V48))</f>
        <v/>
      </c>
      <c r="X48" s="70">
        <f>IF($S48="","",IF(ISNUMBER($K48),$K48,$W48))</f>
        <v/>
      </c>
      <c r="Y48" s="70">
        <f>IF($S48="","",IF(N($T48)&gt;0,AVERAGEIFS($U$5:$U$1000,$R$5:$R$1000,ROW(),$S$5:$S$1000,"Sub"),$U48))</f>
        <v/>
      </c>
      <c r="Z48" s="70">
        <f>IF($S48="","",IF(N($T48)&gt;0,AVERAGEIFS($V$5:$V$1000,$R$5:$R$1000,ROW(),$S$5:$S$1000,"Sub"),$V48))</f>
        <v/>
      </c>
      <c r="AA48" s="70">
        <f>IF($S48="","",IF(N($T48)&gt;0,AVERAGEIFS($W$5:$W$1000,$R$5:$R$1000,ROW(),$S$5:$S$1000,"Sub"),$W48))</f>
        <v/>
      </c>
      <c r="AB48" s="70">
        <f>IF($S48="","",IF(N($T48)&gt;0,AVERAGEIFS($X$5:$X$1000,$R$5:$R$1000,ROW(),$S$5:$S$1000,"Sub"),$X48))</f>
        <v/>
      </c>
    </row>
    <row r="49">
      <c r="A49" s="61">
        <f>IF(NOT((COUNTA($B49:$K49)+COUNTA($N49))&gt;0),"",IF($S49="Macro",COUNTIFS($S$5:$S49,"Macro",$P$5:$P49,$P49),IF(N($R49)=0,"?",COUNTIFS(INDEX($S$5:$S$1000,1):INDEX($S$5:$S$1000,$R49-4),"Macro",INDEX($P$5:$P$1000,1):INDEX($P$5:$P$1000,$R49-4),INDEX($P$5:$P$1000,$R49-4))&amp;"."&amp;COUNTIFS($R$5:$R49,$R49,$S$5:$S49,"Sub"))))</f>
        <v/>
      </c>
      <c r="B49" s="62" t="n"/>
      <c r="C49" s="63" t="n"/>
      <c r="D49" s="62" t="n"/>
      <c r="E49" s="64" t="n"/>
      <c r="F49" s="64" t="n"/>
      <c r="G49" s="65" t="n"/>
      <c r="H49" s="66" t="n"/>
      <c r="I49" s="66" t="n"/>
      <c r="J49" s="66" t="n"/>
      <c r="K49" s="66" t="n"/>
      <c r="L49" s="67">
        <f>IF(NOT((COUNTA($B49:$K49)+COUNTA($N49))&gt;0),"",IF(N($T49)&gt;0,$AB49,IFERROR(LOOKUP(2,1/(H49:K49&lt;&gt;""),H49:K49),0)))</f>
        <v/>
      </c>
      <c r="M49" s="61">
        <f>IF(L49="","",IF(L49&gt;=1,"Completado",IF(L49&gt;0,"En curso","Pendiente")))</f>
        <v/>
      </c>
      <c r="N49" s="62" t="n"/>
      <c r="O49" s="68">
        <f>IF(NOT((COUNTA($B49:$K49)+COUNTA($N49))&gt;0),"",IF((IF(AND($S49="Macro",$B49=""),"Macroactividad vacía"&amp;" · ","")&amp;IF(AND($B49&lt;&gt;"",$C49&lt;&gt;""),"Escriba la subactividad en otra fila, debajo de su macroactividad"&amp;" · ","")&amp;IF(AND($S49="Sub",N($R49)=0),"Subactividad sin macroactividad arriba"&amp;" · ","")&amp;IF($D49="","Sin responsable"&amp;" · ","")&amp;IF($E49="","Sin fecha de inicio"&amp;" · ","")&amp;IF($F49="","Sin fecha límite"&amp;" · ","")&amp;IF(OR(AND($E49&lt;&gt;"",NOT(ISNUMBER($E49))),AND($F49&lt;&gt;"",NOT(ISNUMBER($F49)))),"Fecha no válida"&amp;" · ","")&amp;IF(AND(ISNUMBER($E49),ISNUMBER($F49),$E49&gt;$F49),"Inicio posterior a fecha límite"&amp;" · ","")&amp;IF(AND($S49="Macro",$G49=""),"Peso vacío"&amp;" · ","")&amp;IF(AND($S49="Macro",$G49&lt;&gt;"",OR(NOT(ISNUMBER($G49)),$G49&lt;=0,$G49&gt;1)),"Peso fuera de rango"&amp;" · ","")&amp;IF(AND($S49="Sub",$G49&lt;&gt;""),"Las subactividades no llevan peso"&amp;" · ","")&amp;IF(AND($S49="Macro",ABS(SUMIFS($G$5:$G$1000,$P$5:$P$1000,$P49,$S$5:$S$1000,"Macro")-1)&gt;0.0001),"Pesos del mes suman "&amp;TEXT(SUMIFS($G$5:$G$1000,$P$5:$P$1000,$P49,$S$5:$S$1000,"Macro"),"0%")&amp;" · ","")&amp;IF(AND(N($T49)&gt;0,COUNT($H49:$K49)&gt;0),"Con subactividades: deje vacías las semanas (se calculan solas)"&amp;" · ","")&amp;IF((COUNTIF($H49:$K49,"&gt;1")+COUNTIF($H49:$K49,"&lt;0")+COUNTA($H49:$K49)-COUNT($H49:$K49))&gt;0,"Avance fuera de rango 0-100%"&amp;" · ","")&amp;IF(OR(AND($I49&lt;&gt;"",$I49&lt;$H49),AND($J49&lt;&gt;"",$J49&lt;MAX($H49:$I49)),AND($K49&lt;&gt;"",$K49&lt;MAX($H49:$J49))),"Avance semanal decreciente"&amp;" · ","")&amp;IF(AND(ISNUMBER($F49),$F49&lt;FechaRef,N($L49)&lt;1),"Vencida"&amp;" · ","")&amp;IF(AND(ObsObligatoria="Sí",ISNUMBER($F49),$F49&lt;FechaRef,N($L49)&lt;1,$N49=""),"Vencida sin observación"&amp;" · ",""))="","✔ OK","⚠ "&amp;LEFT(IF(AND($S49="Macro",$B49=""),"Macroactividad vacía"&amp;" · ","")&amp;IF(AND($B49&lt;&gt;"",$C49&lt;&gt;""),"Escriba la subactividad en otra fila, debajo de su macroactividad"&amp;" · ","")&amp;IF(AND($S49="Sub",N($R49)=0),"Subactividad sin macroactividad arriba"&amp;" · ","")&amp;IF($D49="","Sin responsable"&amp;" · ","")&amp;IF($E49="","Sin fecha de inicio"&amp;" · ","")&amp;IF($F49="","Sin fecha límite"&amp;" · ","")&amp;IF(OR(AND($E49&lt;&gt;"",NOT(ISNUMBER($E49))),AND($F49&lt;&gt;"",NOT(ISNUMBER($F49)))),"Fecha no válida"&amp;" · ","")&amp;IF(AND(ISNUMBER($E49),ISNUMBER($F49),$E49&gt;$F49),"Inicio posterior a fecha límite"&amp;" · ","")&amp;IF(AND($S49="Macro",$G49=""),"Peso vacío"&amp;" · ","")&amp;IF(AND($S49="Macro",$G49&lt;&gt;"",OR(NOT(ISNUMBER($G49)),$G49&lt;=0,$G49&gt;1)),"Peso fuera de rango"&amp;" · ","")&amp;IF(AND($S49="Sub",$G49&lt;&gt;""),"Las subactividades no llevan peso"&amp;" · ","")&amp;IF(AND($S49="Macro",ABS(SUMIFS($G$5:$G$1000,$P$5:$P$1000,$P49,$S$5:$S$1000,"Macro")-1)&gt;0.0001),"Pesos del mes suman "&amp;TEXT(SUMIFS($G$5:$G$1000,$P$5:$P$1000,$P49,$S$5:$S$1000,"Macro"),"0%")&amp;" · ","")&amp;IF(AND(N($T49)&gt;0,COUNT($H49:$K49)&gt;0),"Con subactividades: deje vacías las semanas (se calculan solas)"&amp;" · ","")&amp;IF((COUNTIF($H49:$K49,"&gt;1")+COUNTIF($H49:$K49,"&lt;0")+COUNTA($H49:$K49)-COUNT($H49:$K49))&gt;0,"Avance fuera de rango 0-100%"&amp;" · ","")&amp;IF(OR(AND($I49&lt;&gt;"",$I49&lt;$H49),AND($J49&lt;&gt;"",$J49&lt;MAX($H49:$I49)),AND($K49&lt;&gt;"",$K49&lt;MAX($H49:$J49))),"Avance semanal decreciente"&amp;" · ","")&amp;IF(AND(ISNUMBER($F49),$F49&lt;FechaRef,N($L49)&lt;1),"Vencida"&amp;" · ","")&amp;IF(AND(ObsObligatoria="Sí",ISNUMBER($F49),$F49&lt;FechaRef,N($L49)&lt;1,$N49=""),"Vencida sin observación"&amp;" · ",""),LEN(IF(AND($S49="Macro",$B49=""),"Macroactividad vacía"&amp;" · ","")&amp;IF(AND($B49&lt;&gt;"",$C49&lt;&gt;""),"Escriba la subactividad en otra fila, debajo de su macroactividad"&amp;" · ","")&amp;IF(AND($S49="Sub",N($R49)=0),"Subactividad sin macroactividad arriba"&amp;" · ","")&amp;IF($D49="","Sin responsable"&amp;" · ","")&amp;IF($E49="","Sin fecha de inicio"&amp;" · ","")&amp;IF($F49="","Sin fecha límite"&amp;" · ","")&amp;IF(OR(AND($E49&lt;&gt;"",NOT(ISNUMBER($E49))),AND($F49&lt;&gt;"",NOT(ISNUMBER($F49)))),"Fecha no válida"&amp;" · ","")&amp;IF(AND(ISNUMBER($E49),ISNUMBER($F49),$E49&gt;$F49),"Inicio posterior a fecha límite"&amp;" · ","")&amp;IF(AND($S49="Macro",$G49=""),"Peso vacío"&amp;" · ","")&amp;IF(AND($S49="Macro",$G49&lt;&gt;"",OR(NOT(ISNUMBER($G49)),$G49&lt;=0,$G49&gt;1)),"Peso fuera de rango"&amp;" · ","")&amp;IF(AND($S49="Sub",$G49&lt;&gt;""),"Las subactividades no llevan peso"&amp;" · ","")&amp;IF(AND($S49="Macro",ABS(SUMIFS($G$5:$G$1000,$P$5:$P$1000,$P49,$S$5:$S$1000,"Macro")-1)&gt;0.0001),"Pesos del mes suman "&amp;TEXT(SUMIFS($G$5:$G$1000,$P$5:$P$1000,$P49,$S$5:$S$1000,"Macro"),"0%")&amp;" · ","")&amp;IF(AND(N($T49)&gt;0,COUNT($H49:$K49)&gt;0),"Con subactividades: deje vacías las semanas (se calculan solas)"&amp;" · ","")&amp;IF((COUNTIF($H49:$K49,"&gt;1")+COUNTIF($H49:$K49,"&lt;0")+COUNTA($H49:$K49)-COUNT($H49:$K49))&gt;0,"Avance fuera de rango 0-100%"&amp;" · ","")&amp;IF(OR(AND($I49&lt;&gt;"",$I49&lt;$H49),AND($J49&lt;&gt;"",$J49&lt;MAX($H49:$I49)),AND($K49&lt;&gt;"",$K49&lt;MAX($H49:$J49))),"Avance semanal decreciente"&amp;" · ","")&amp;IF(AND(ISNUMBER($F49),$F49&lt;FechaRef,N($L49)&lt;1),"Vencida"&amp;" · ","")&amp;IF(AND(ObsObligatoria="Sí",ISNUMBER($F49),$F49&lt;FechaRef,N($L49)&lt;1,$N49=""),"Vencida sin observación"&amp;" · ",""))-3)))</f>
        <v/>
      </c>
      <c r="P49" s="69">
        <f>IF(NOT((COUNTA($B49:$K49)+COUNTA($N49))&gt;0),"",IF(AND($S49="Sub",N($R49)&gt;0),IF(ISNUMBER(INDEX($E$5:$E$1000,$R49-4)),DATE(YEAR(INDEX($E$5:$E$1000,$R49-4)),MONTH(INDEX($E$5:$E$1000,$R49-4)),1),IF(ISNUMBER(INDEX($F$5:$F$1000,$R49-4)),DATE(YEAR(INDEX($F$5:$F$1000,$R49-4)),MONTH(INDEX($F$5:$F$1000,$R49-4)),1),MesCiclo)),IF(ISNUMBER($E49),DATE(YEAR($E49),MONTH($E49),1),IF(ISNUMBER($F49),DATE(YEAR($F49),MONTH($F49),1),MesCiclo))))</f>
        <v/>
      </c>
      <c r="Q49" s="70">
        <f>IF(OR($P49="",$P49&lt;&gt;MesCiclo),"",COUNTIF($P$5:$P49,MesCiclo))</f>
        <v/>
      </c>
      <c r="R49" s="70">
        <f>IF($S49="","",IF($S49="Macro",ROW(),IFERROR(LOOKUP(2,1/($S$5:$S49="Macro"),ROW($S$5:$S49)),0)))</f>
        <v/>
      </c>
      <c r="S49" s="70">
        <f>IF(NOT((COUNTA($B49:$K49)+COUNTA($N49))&gt;0),"",IF($B49&lt;&gt;"","Macro",IF($C49&lt;&gt;"","Sub","Macro")))</f>
        <v/>
      </c>
      <c r="T49" s="70">
        <f>IF($S49="Macro",COUNTIFS($R$5:$R$1000,ROW(),$S$5:$S$1000,"Sub"),"")</f>
        <v/>
      </c>
      <c r="U49" s="70">
        <f>IF($S49="","",IF(ISNUMBER($H49),$H49,0))</f>
        <v/>
      </c>
      <c r="V49" s="70">
        <f>IF($S49="","",IF(ISNUMBER($I49),$I49,$U49))</f>
        <v/>
      </c>
      <c r="W49" s="70">
        <f>IF($S49="","",IF(ISNUMBER($J49),$J49,$V49))</f>
        <v/>
      </c>
      <c r="X49" s="70">
        <f>IF($S49="","",IF(ISNUMBER($K49),$K49,$W49))</f>
        <v/>
      </c>
      <c r="Y49" s="70">
        <f>IF($S49="","",IF(N($T49)&gt;0,AVERAGEIFS($U$5:$U$1000,$R$5:$R$1000,ROW(),$S$5:$S$1000,"Sub"),$U49))</f>
        <v/>
      </c>
      <c r="Z49" s="70">
        <f>IF($S49="","",IF(N($T49)&gt;0,AVERAGEIFS($V$5:$V$1000,$R$5:$R$1000,ROW(),$S$5:$S$1000,"Sub"),$V49))</f>
        <v/>
      </c>
      <c r="AA49" s="70">
        <f>IF($S49="","",IF(N($T49)&gt;0,AVERAGEIFS($W$5:$W$1000,$R$5:$R$1000,ROW(),$S$5:$S$1000,"Sub"),$W49))</f>
        <v/>
      </c>
      <c r="AB49" s="70">
        <f>IF($S49="","",IF(N($T49)&gt;0,AVERAGEIFS($X$5:$X$1000,$R$5:$R$1000,ROW(),$S$5:$S$1000,"Sub"),$X49))</f>
        <v/>
      </c>
    </row>
    <row r="50">
      <c r="A50" s="61">
        <f>IF(NOT((COUNTA($B50:$K50)+COUNTA($N50))&gt;0),"",IF($S50="Macro",COUNTIFS($S$5:$S50,"Macro",$P$5:$P50,$P50),IF(N($R50)=0,"?",COUNTIFS(INDEX($S$5:$S$1000,1):INDEX($S$5:$S$1000,$R50-4),"Macro",INDEX($P$5:$P$1000,1):INDEX($P$5:$P$1000,$R50-4),INDEX($P$5:$P$1000,$R50-4))&amp;"."&amp;COUNTIFS($R$5:$R50,$R50,$S$5:$S50,"Sub"))))</f>
        <v/>
      </c>
      <c r="B50" s="62" t="n"/>
      <c r="C50" s="63" t="n"/>
      <c r="D50" s="62" t="n"/>
      <c r="E50" s="64" t="n"/>
      <c r="F50" s="64" t="n"/>
      <c r="G50" s="65" t="n"/>
      <c r="H50" s="66" t="n"/>
      <c r="I50" s="66" t="n"/>
      <c r="J50" s="66" t="n"/>
      <c r="K50" s="66" t="n"/>
      <c r="L50" s="67">
        <f>IF(NOT((COUNTA($B50:$K50)+COUNTA($N50))&gt;0),"",IF(N($T50)&gt;0,$AB50,IFERROR(LOOKUP(2,1/(H50:K50&lt;&gt;""),H50:K50),0)))</f>
        <v/>
      </c>
      <c r="M50" s="61">
        <f>IF(L50="","",IF(L50&gt;=1,"Completado",IF(L50&gt;0,"En curso","Pendiente")))</f>
        <v/>
      </c>
      <c r="N50" s="62" t="n"/>
      <c r="O50" s="68">
        <f>IF(NOT((COUNTA($B50:$K50)+COUNTA($N50))&gt;0),"",IF((IF(AND($S50="Macro",$B50=""),"Macroactividad vacía"&amp;" · ","")&amp;IF(AND($B50&lt;&gt;"",$C50&lt;&gt;""),"Escriba la subactividad en otra fila, debajo de su macroactividad"&amp;" · ","")&amp;IF(AND($S50="Sub",N($R50)=0),"Subactividad sin macroactividad arriba"&amp;" · ","")&amp;IF($D50="","Sin responsable"&amp;" · ","")&amp;IF($E50="","Sin fecha de inicio"&amp;" · ","")&amp;IF($F50="","Sin fecha límite"&amp;" · ","")&amp;IF(OR(AND($E50&lt;&gt;"",NOT(ISNUMBER($E50))),AND($F50&lt;&gt;"",NOT(ISNUMBER($F50)))),"Fecha no válida"&amp;" · ","")&amp;IF(AND(ISNUMBER($E50),ISNUMBER($F50),$E50&gt;$F50),"Inicio posterior a fecha límite"&amp;" · ","")&amp;IF(AND($S50="Macro",$G50=""),"Peso vacío"&amp;" · ","")&amp;IF(AND($S50="Macro",$G50&lt;&gt;"",OR(NOT(ISNUMBER($G50)),$G50&lt;=0,$G50&gt;1)),"Peso fuera de rango"&amp;" · ","")&amp;IF(AND($S50="Sub",$G50&lt;&gt;""),"Las subactividades no llevan peso"&amp;" · ","")&amp;IF(AND($S50="Macro",ABS(SUMIFS($G$5:$G$1000,$P$5:$P$1000,$P50,$S$5:$S$1000,"Macro")-1)&gt;0.0001),"Pesos del mes suman "&amp;TEXT(SUMIFS($G$5:$G$1000,$P$5:$P$1000,$P50,$S$5:$S$1000,"Macro"),"0%")&amp;" · ","")&amp;IF(AND(N($T50)&gt;0,COUNT($H50:$K50)&gt;0),"Con subactividades: deje vacías las semanas (se calculan solas)"&amp;" · ","")&amp;IF((COUNTIF($H50:$K50,"&gt;1")+COUNTIF($H50:$K50,"&lt;0")+COUNTA($H50:$K50)-COUNT($H50:$K50))&gt;0,"Avance fuera de rango 0-100%"&amp;" · ","")&amp;IF(OR(AND($I50&lt;&gt;"",$I50&lt;$H50),AND($J50&lt;&gt;"",$J50&lt;MAX($H50:$I50)),AND($K50&lt;&gt;"",$K50&lt;MAX($H50:$J50))),"Avance semanal decreciente"&amp;" · ","")&amp;IF(AND(ISNUMBER($F50),$F50&lt;FechaRef,N($L50)&lt;1),"Vencida"&amp;" · ","")&amp;IF(AND(ObsObligatoria="Sí",ISNUMBER($F50),$F50&lt;FechaRef,N($L50)&lt;1,$N50=""),"Vencida sin observación"&amp;" · ",""))="","✔ OK","⚠ "&amp;LEFT(IF(AND($S50="Macro",$B50=""),"Macroactividad vacía"&amp;" · ","")&amp;IF(AND($B50&lt;&gt;"",$C50&lt;&gt;""),"Escriba la subactividad en otra fila, debajo de su macroactividad"&amp;" · ","")&amp;IF(AND($S50="Sub",N($R50)=0),"Subactividad sin macroactividad arriba"&amp;" · ","")&amp;IF($D50="","Sin responsable"&amp;" · ","")&amp;IF($E50="","Sin fecha de inicio"&amp;" · ","")&amp;IF($F50="","Sin fecha límite"&amp;" · ","")&amp;IF(OR(AND($E50&lt;&gt;"",NOT(ISNUMBER($E50))),AND($F50&lt;&gt;"",NOT(ISNUMBER($F50)))),"Fecha no válida"&amp;" · ","")&amp;IF(AND(ISNUMBER($E50),ISNUMBER($F50),$E50&gt;$F50),"Inicio posterior a fecha límite"&amp;" · ","")&amp;IF(AND($S50="Macro",$G50=""),"Peso vacío"&amp;" · ","")&amp;IF(AND($S50="Macro",$G50&lt;&gt;"",OR(NOT(ISNUMBER($G50)),$G50&lt;=0,$G50&gt;1)),"Peso fuera de rango"&amp;" · ","")&amp;IF(AND($S50="Sub",$G50&lt;&gt;""),"Las subactividades no llevan peso"&amp;" · ","")&amp;IF(AND($S50="Macro",ABS(SUMIFS($G$5:$G$1000,$P$5:$P$1000,$P50,$S$5:$S$1000,"Macro")-1)&gt;0.0001),"Pesos del mes suman "&amp;TEXT(SUMIFS($G$5:$G$1000,$P$5:$P$1000,$P50,$S$5:$S$1000,"Macro"),"0%")&amp;" · ","")&amp;IF(AND(N($T50)&gt;0,COUNT($H50:$K50)&gt;0),"Con subactividades: deje vacías las semanas (se calculan solas)"&amp;" · ","")&amp;IF((COUNTIF($H50:$K50,"&gt;1")+COUNTIF($H50:$K50,"&lt;0")+COUNTA($H50:$K50)-COUNT($H50:$K50))&gt;0,"Avance fuera de rango 0-100%"&amp;" · ","")&amp;IF(OR(AND($I50&lt;&gt;"",$I50&lt;$H50),AND($J50&lt;&gt;"",$J50&lt;MAX($H50:$I50)),AND($K50&lt;&gt;"",$K50&lt;MAX($H50:$J50))),"Avance semanal decreciente"&amp;" · ","")&amp;IF(AND(ISNUMBER($F50),$F50&lt;FechaRef,N($L50)&lt;1),"Vencida"&amp;" · ","")&amp;IF(AND(ObsObligatoria="Sí",ISNUMBER($F50),$F50&lt;FechaRef,N($L50)&lt;1,$N50=""),"Vencida sin observación"&amp;" · ",""),LEN(IF(AND($S50="Macro",$B50=""),"Macroactividad vacía"&amp;" · ","")&amp;IF(AND($B50&lt;&gt;"",$C50&lt;&gt;""),"Escriba la subactividad en otra fila, debajo de su macroactividad"&amp;" · ","")&amp;IF(AND($S50="Sub",N($R50)=0),"Subactividad sin macroactividad arriba"&amp;" · ","")&amp;IF($D50="","Sin responsable"&amp;" · ","")&amp;IF($E50="","Sin fecha de inicio"&amp;" · ","")&amp;IF($F50="","Sin fecha límite"&amp;" · ","")&amp;IF(OR(AND($E50&lt;&gt;"",NOT(ISNUMBER($E50))),AND($F50&lt;&gt;"",NOT(ISNUMBER($F50)))),"Fecha no válida"&amp;" · ","")&amp;IF(AND(ISNUMBER($E50),ISNUMBER($F50),$E50&gt;$F50),"Inicio posterior a fecha límite"&amp;" · ","")&amp;IF(AND($S50="Macro",$G50=""),"Peso vacío"&amp;" · ","")&amp;IF(AND($S50="Macro",$G50&lt;&gt;"",OR(NOT(ISNUMBER($G50)),$G50&lt;=0,$G50&gt;1)),"Peso fuera de rango"&amp;" · ","")&amp;IF(AND($S50="Sub",$G50&lt;&gt;""),"Las subactividades no llevan peso"&amp;" · ","")&amp;IF(AND($S50="Macro",ABS(SUMIFS($G$5:$G$1000,$P$5:$P$1000,$P50,$S$5:$S$1000,"Macro")-1)&gt;0.0001),"Pesos del mes suman "&amp;TEXT(SUMIFS($G$5:$G$1000,$P$5:$P$1000,$P50,$S$5:$S$1000,"Macro"),"0%")&amp;" · ","")&amp;IF(AND(N($T50)&gt;0,COUNT($H50:$K50)&gt;0),"Con subactividades: deje vacías las semanas (se calculan solas)"&amp;" · ","")&amp;IF((COUNTIF($H50:$K50,"&gt;1")+COUNTIF($H50:$K50,"&lt;0")+COUNTA($H50:$K50)-COUNT($H50:$K50))&gt;0,"Avance fuera de rango 0-100%"&amp;" · ","")&amp;IF(OR(AND($I50&lt;&gt;"",$I50&lt;$H50),AND($J50&lt;&gt;"",$J50&lt;MAX($H50:$I50)),AND($K50&lt;&gt;"",$K50&lt;MAX($H50:$J50))),"Avance semanal decreciente"&amp;" · ","")&amp;IF(AND(ISNUMBER($F50),$F50&lt;FechaRef,N($L50)&lt;1),"Vencida"&amp;" · ","")&amp;IF(AND(ObsObligatoria="Sí",ISNUMBER($F50),$F50&lt;FechaRef,N($L50)&lt;1,$N50=""),"Vencida sin observación"&amp;" · ",""))-3)))</f>
        <v/>
      </c>
      <c r="P50" s="69">
        <f>IF(NOT((COUNTA($B50:$K50)+COUNTA($N50))&gt;0),"",IF(AND($S50="Sub",N($R50)&gt;0),IF(ISNUMBER(INDEX($E$5:$E$1000,$R50-4)),DATE(YEAR(INDEX($E$5:$E$1000,$R50-4)),MONTH(INDEX($E$5:$E$1000,$R50-4)),1),IF(ISNUMBER(INDEX($F$5:$F$1000,$R50-4)),DATE(YEAR(INDEX($F$5:$F$1000,$R50-4)),MONTH(INDEX($F$5:$F$1000,$R50-4)),1),MesCiclo)),IF(ISNUMBER($E50),DATE(YEAR($E50),MONTH($E50),1),IF(ISNUMBER($F50),DATE(YEAR($F50),MONTH($F50),1),MesCiclo))))</f>
        <v/>
      </c>
      <c r="Q50" s="70">
        <f>IF(OR($P50="",$P50&lt;&gt;MesCiclo),"",COUNTIF($P$5:$P50,MesCiclo))</f>
        <v/>
      </c>
      <c r="R50" s="70">
        <f>IF($S50="","",IF($S50="Macro",ROW(),IFERROR(LOOKUP(2,1/($S$5:$S50="Macro"),ROW($S$5:$S50)),0)))</f>
        <v/>
      </c>
      <c r="S50" s="70">
        <f>IF(NOT((COUNTA($B50:$K50)+COUNTA($N50))&gt;0),"",IF($B50&lt;&gt;"","Macro",IF($C50&lt;&gt;"","Sub","Macro")))</f>
        <v/>
      </c>
      <c r="T50" s="70">
        <f>IF($S50="Macro",COUNTIFS($R$5:$R$1000,ROW(),$S$5:$S$1000,"Sub"),"")</f>
        <v/>
      </c>
      <c r="U50" s="70">
        <f>IF($S50="","",IF(ISNUMBER($H50),$H50,0))</f>
        <v/>
      </c>
      <c r="V50" s="70">
        <f>IF($S50="","",IF(ISNUMBER($I50),$I50,$U50))</f>
        <v/>
      </c>
      <c r="W50" s="70">
        <f>IF($S50="","",IF(ISNUMBER($J50),$J50,$V50))</f>
        <v/>
      </c>
      <c r="X50" s="70">
        <f>IF($S50="","",IF(ISNUMBER($K50),$K50,$W50))</f>
        <v/>
      </c>
      <c r="Y50" s="70">
        <f>IF($S50="","",IF(N($T50)&gt;0,AVERAGEIFS($U$5:$U$1000,$R$5:$R$1000,ROW(),$S$5:$S$1000,"Sub"),$U50))</f>
        <v/>
      </c>
      <c r="Z50" s="70">
        <f>IF($S50="","",IF(N($T50)&gt;0,AVERAGEIFS($V$5:$V$1000,$R$5:$R$1000,ROW(),$S$5:$S$1000,"Sub"),$V50))</f>
        <v/>
      </c>
      <c r="AA50" s="70">
        <f>IF($S50="","",IF(N($T50)&gt;0,AVERAGEIFS($W$5:$W$1000,$R$5:$R$1000,ROW(),$S$5:$S$1000,"Sub"),$W50))</f>
        <v/>
      </c>
      <c r="AB50" s="70">
        <f>IF($S50="","",IF(N($T50)&gt;0,AVERAGEIFS($X$5:$X$1000,$R$5:$R$1000,ROW(),$S$5:$S$1000,"Sub"),$X50))</f>
        <v/>
      </c>
    </row>
    <row r="51">
      <c r="A51" s="61">
        <f>IF(NOT((COUNTA($B51:$K51)+COUNTA($N51))&gt;0),"",IF($S51="Macro",COUNTIFS($S$5:$S51,"Macro",$P$5:$P51,$P51),IF(N($R51)=0,"?",COUNTIFS(INDEX($S$5:$S$1000,1):INDEX($S$5:$S$1000,$R51-4),"Macro",INDEX($P$5:$P$1000,1):INDEX($P$5:$P$1000,$R51-4),INDEX($P$5:$P$1000,$R51-4))&amp;"."&amp;COUNTIFS($R$5:$R51,$R51,$S$5:$S51,"Sub"))))</f>
        <v/>
      </c>
      <c r="B51" s="62" t="n"/>
      <c r="C51" s="63" t="n"/>
      <c r="D51" s="62" t="n"/>
      <c r="E51" s="64" t="n"/>
      <c r="F51" s="64" t="n"/>
      <c r="G51" s="65" t="n"/>
      <c r="H51" s="66" t="n"/>
      <c r="I51" s="66" t="n"/>
      <c r="J51" s="66" t="n"/>
      <c r="K51" s="66" t="n"/>
      <c r="L51" s="67">
        <f>IF(NOT((COUNTA($B51:$K51)+COUNTA($N51))&gt;0),"",IF(N($T51)&gt;0,$AB51,IFERROR(LOOKUP(2,1/(H51:K51&lt;&gt;""),H51:K51),0)))</f>
        <v/>
      </c>
      <c r="M51" s="61">
        <f>IF(L51="","",IF(L51&gt;=1,"Completado",IF(L51&gt;0,"En curso","Pendiente")))</f>
        <v/>
      </c>
      <c r="N51" s="62" t="n"/>
      <c r="O51" s="68">
        <f>IF(NOT((COUNTA($B51:$K51)+COUNTA($N51))&gt;0),"",IF((IF(AND($S51="Macro",$B51=""),"Macroactividad vacía"&amp;" · ","")&amp;IF(AND($B51&lt;&gt;"",$C51&lt;&gt;""),"Escriba la subactividad en otra fila, debajo de su macroactividad"&amp;" · ","")&amp;IF(AND($S51="Sub",N($R51)=0),"Subactividad sin macroactividad arriba"&amp;" · ","")&amp;IF($D51="","Sin responsable"&amp;" · ","")&amp;IF($E51="","Sin fecha de inicio"&amp;" · ","")&amp;IF($F51="","Sin fecha límite"&amp;" · ","")&amp;IF(OR(AND($E51&lt;&gt;"",NOT(ISNUMBER($E51))),AND($F51&lt;&gt;"",NOT(ISNUMBER($F51)))),"Fecha no válida"&amp;" · ","")&amp;IF(AND(ISNUMBER($E51),ISNUMBER($F51),$E51&gt;$F51),"Inicio posterior a fecha límite"&amp;" · ","")&amp;IF(AND($S51="Macro",$G51=""),"Peso vacío"&amp;" · ","")&amp;IF(AND($S51="Macro",$G51&lt;&gt;"",OR(NOT(ISNUMBER($G51)),$G51&lt;=0,$G51&gt;1)),"Peso fuera de rango"&amp;" · ","")&amp;IF(AND($S51="Sub",$G51&lt;&gt;""),"Las subactividades no llevan peso"&amp;" · ","")&amp;IF(AND($S51="Macro",ABS(SUMIFS($G$5:$G$1000,$P$5:$P$1000,$P51,$S$5:$S$1000,"Macro")-1)&gt;0.0001),"Pesos del mes suman "&amp;TEXT(SUMIFS($G$5:$G$1000,$P$5:$P$1000,$P51,$S$5:$S$1000,"Macro"),"0%")&amp;" · ","")&amp;IF(AND(N($T51)&gt;0,COUNT($H51:$K51)&gt;0),"Con subactividades: deje vacías las semanas (se calculan solas)"&amp;" · ","")&amp;IF((COUNTIF($H51:$K51,"&gt;1")+COUNTIF($H51:$K51,"&lt;0")+COUNTA($H51:$K51)-COUNT($H51:$K51))&gt;0,"Avance fuera de rango 0-100%"&amp;" · ","")&amp;IF(OR(AND($I51&lt;&gt;"",$I51&lt;$H51),AND($J51&lt;&gt;"",$J51&lt;MAX($H51:$I51)),AND($K51&lt;&gt;"",$K51&lt;MAX($H51:$J51))),"Avance semanal decreciente"&amp;" · ","")&amp;IF(AND(ISNUMBER($F51),$F51&lt;FechaRef,N($L51)&lt;1),"Vencida"&amp;" · ","")&amp;IF(AND(ObsObligatoria="Sí",ISNUMBER($F51),$F51&lt;FechaRef,N($L51)&lt;1,$N51=""),"Vencida sin observación"&amp;" · ",""))="","✔ OK","⚠ "&amp;LEFT(IF(AND($S51="Macro",$B51=""),"Macroactividad vacía"&amp;" · ","")&amp;IF(AND($B51&lt;&gt;"",$C51&lt;&gt;""),"Escriba la subactividad en otra fila, debajo de su macroactividad"&amp;" · ","")&amp;IF(AND($S51="Sub",N($R51)=0),"Subactividad sin macroactividad arriba"&amp;" · ","")&amp;IF($D51="","Sin responsable"&amp;" · ","")&amp;IF($E51="","Sin fecha de inicio"&amp;" · ","")&amp;IF($F51="","Sin fecha límite"&amp;" · ","")&amp;IF(OR(AND($E51&lt;&gt;"",NOT(ISNUMBER($E51))),AND($F51&lt;&gt;"",NOT(ISNUMBER($F51)))),"Fecha no válida"&amp;" · ","")&amp;IF(AND(ISNUMBER($E51),ISNUMBER($F51),$E51&gt;$F51),"Inicio posterior a fecha límite"&amp;" · ","")&amp;IF(AND($S51="Macro",$G51=""),"Peso vacío"&amp;" · ","")&amp;IF(AND($S51="Macro",$G51&lt;&gt;"",OR(NOT(ISNUMBER($G51)),$G51&lt;=0,$G51&gt;1)),"Peso fuera de rango"&amp;" · ","")&amp;IF(AND($S51="Sub",$G51&lt;&gt;""),"Las subactividades no llevan peso"&amp;" · ","")&amp;IF(AND($S51="Macro",ABS(SUMIFS($G$5:$G$1000,$P$5:$P$1000,$P51,$S$5:$S$1000,"Macro")-1)&gt;0.0001),"Pesos del mes suman "&amp;TEXT(SUMIFS($G$5:$G$1000,$P$5:$P$1000,$P51,$S$5:$S$1000,"Macro"),"0%")&amp;" · ","")&amp;IF(AND(N($T51)&gt;0,COUNT($H51:$K51)&gt;0),"Con subactividades: deje vacías las semanas (se calculan solas)"&amp;" · ","")&amp;IF((COUNTIF($H51:$K51,"&gt;1")+COUNTIF($H51:$K51,"&lt;0")+COUNTA($H51:$K51)-COUNT($H51:$K51))&gt;0,"Avance fuera de rango 0-100%"&amp;" · ","")&amp;IF(OR(AND($I51&lt;&gt;"",$I51&lt;$H51),AND($J51&lt;&gt;"",$J51&lt;MAX($H51:$I51)),AND($K51&lt;&gt;"",$K51&lt;MAX($H51:$J51))),"Avance semanal decreciente"&amp;" · ","")&amp;IF(AND(ISNUMBER($F51),$F51&lt;FechaRef,N($L51)&lt;1),"Vencida"&amp;" · ","")&amp;IF(AND(ObsObligatoria="Sí",ISNUMBER($F51),$F51&lt;FechaRef,N($L51)&lt;1,$N51=""),"Vencida sin observación"&amp;" · ",""),LEN(IF(AND($S51="Macro",$B51=""),"Macroactividad vacía"&amp;" · ","")&amp;IF(AND($B51&lt;&gt;"",$C51&lt;&gt;""),"Escriba la subactividad en otra fila, debajo de su macroactividad"&amp;" · ","")&amp;IF(AND($S51="Sub",N($R51)=0),"Subactividad sin macroactividad arriba"&amp;" · ","")&amp;IF($D51="","Sin responsable"&amp;" · ","")&amp;IF($E51="","Sin fecha de inicio"&amp;" · ","")&amp;IF($F51="","Sin fecha límite"&amp;" · ","")&amp;IF(OR(AND($E51&lt;&gt;"",NOT(ISNUMBER($E51))),AND($F51&lt;&gt;"",NOT(ISNUMBER($F51)))),"Fecha no válida"&amp;" · ","")&amp;IF(AND(ISNUMBER($E51),ISNUMBER($F51),$E51&gt;$F51),"Inicio posterior a fecha límite"&amp;" · ","")&amp;IF(AND($S51="Macro",$G51=""),"Peso vacío"&amp;" · ","")&amp;IF(AND($S51="Macro",$G51&lt;&gt;"",OR(NOT(ISNUMBER($G51)),$G51&lt;=0,$G51&gt;1)),"Peso fuera de rango"&amp;" · ","")&amp;IF(AND($S51="Sub",$G51&lt;&gt;""),"Las subactividades no llevan peso"&amp;" · ","")&amp;IF(AND($S51="Macro",ABS(SUMIFS($G$5:$G$1000,$P$5:$P$1000,$P51,$S$5:$S$1000,"Macro")-1)&gt;0.0001),"Pesos del mes suman "&amp;TEXT(SUMIFS($G$5:$G$1000,$P$5:$P$1000,$P51,$S$5:$S$1000,"Macro"),"0%")&amp;" · ","")&amp;IF(AND(N($T51)&gt;0,COUNT($H51:$K51)&gt;0),"Con subactividades: deje vacías las semanas (se calculan solas)"&amp;" · ","")&amp;IF((COUNTIF($H51:$K51,"&gt;1")+COUNTIF($H51:$K51,"&lt;0")+COUNTA($H51:$K51)-COUNT($H51:$K51))&gt;0,"Avance fuera de rango 0-100%"&amp;" · ","")&amp;IF(OR(AND($I51&lt;&gt;"",$I51&lt;$H51),AND($J51&lt;&gt;"",$J51&lt;MAX($H51:$I51)),AND($K51&lt;&gt;"",$K51&lt;MAX($H51:$J51))),"Avance semanal decreciente"&amp;" · ","")&amp;IF(AND(ISNUMBER($F51),$F51&lt;FechaRef,N($L51)&lt;1),"Vencida"&amp;" · ","")&amp;IF(AND(ObsObligatoria="Sí",ISNUMBER($F51),$F51&lt;FechaRef,N($L51)&lt;1,$N51=""),"Vencida sin observación"&amp;" · ",""))-3)))</f>
        <v/>
      </c>
      <c r="P51" s="69">
        <f>IF(NOT((COUNTA($B51:$K51)+COUNTA($N51))&gt;0),"",IF(AND($S51="Sub",N($R51)&gt;0),IF(ISNUMBER(INDEX($E$5:$E$1000,$R51-4)),DATE(YEAR(INDEX($E$5:$E$1000,$R51-4)),MONTH(INDEX($E$5:$E$1000,$R51-4)),1),IF(ISNUMBER(INDEX($F$5:$F$1000,$R51-4)),DATE(YEAR(INDEX($F$5:$F$1000,$R51-4)),MONTH(INDEX($F$5:$F$1000,$R51-4)),1),MesCiclo)),IF(ISNUMBER($E51),DATE(YEAR($E51),MONTH($E51),1),IF(ISNUMBER($F51),DATE(YEAR($F51),MONTH($F51),1),MesCiclo))))</f>
        <v/>
      </c>
      <c r="Q51" s="70">
        <f>IF(OR($P51="",$P51&lt;&gt;MesCiclo),"",COUNTIF($P$5:$P51,MesCiclo))</f>
        <v/>
      </c>
      <c r="R51" s="70">
        <f>IF($S51="","",IF($S51="Macro",ROW(),IFERROR(LOOKUP(2,1/($S$5:$S51="Macro"),ROW($S$5:$S51)),0)))</f>
        <v/>
      </c>
      <c r="S51" s="70">
        <f>IF(NOT((COUNTA($B51:$K51)+COUNTA($N51))&gt;0),"",IF($B51&lt;&gt;"","Macro",IF($C51&lt;&gt;"","Sub","Macro")))</f>
        <v/>
      </c>
      <c r="T51" s="70">
        <f>IF($S51="Macro",COUNTIFS($R$5:$R$1000,ROW(),$S$5:$S$1000,"Sub"),"")</f>
        <v/>
      </c>
      <c r="U51" s="70">
        <f>IF($S51="","",IF(ISNUMBER($H51),$H51,0))</f>
        <v/>
      </c>
      <c r="V51" s="70">
        <f>IF($S51="","",IF(ISNUMBER($I51),$I51,$U51))</f>
        <v/>
      </c>
      <c r="W51" s="70">
        <f>IF($S51="","",IF(ISNUMBER($J51),$J51,$V51))</f>
        <v/>
      </c>
      <c r="X51" s="70">
        <f>IF($S51="","",IF(ISNUMBER($K51),$K51,$W51))</f>
        <v/>
      </c>
      <c r="Y51" s="70">
        <f>IF($S51="","",IF(N($T51)&gt;0,AVERAGEIFS($U$5:$U$1000,$R$5:$R$1000,ROW(),$S$5:$S$1000,"Sub"),$U51))</f>
        <v/>
      </c>
      <c r="Z51" s="70">
        <f>IF($S51="","",IF(N($T51)&gt;0,AVERAGEIFS($V$5:$V$1000,$R$5:$R$1000,ROW(),$S$5:$S$1000,"Sub"),$V51))</f>
        <v/>
      </c>
      <c r="AA51" s="70">
        <f>IF($S51="","",IF(N($T51)&gt;0,AVERAGEIFS($W$5:$W$1000,$R$5:$R$1000,ROW(),$S$5:$S$1000,"Sub"),$W51))</f>
        <v/>
      </c>
      <c r="AB51" s="70">
        <f>IF($S51="","",IF(N($T51)&gt;0,AVERAGEIFS($X$5:$X$1000,$R$5:$R$1000,ROW(),$S$5:$S$1000,"Sub"),$X51))</f>
        <v/>
      </c>
    </row>
    <row r="52">
      <c r="A52" s="61">
        <f>IF(NOT((COUNTA($B52:$K52)+COUNTA($N52))&gt;0),"",IF($S52="Macro",COUNTIFS($S$5:$S52,"Macro",$P$5:$P52,$P52),IF(N($R52)=0,"?",COUNTIFS(INDEX($S$5:$S$1000,1):INDEX($S$5:$S$1000,$R52-4),"Macro",INDEX($P$5:$P$1000,1):INDEX($P$5:$P$1000,$R52-4),INDEX($P$5:$P$1000,$R52-4))&amp;"."&amp;COUNTIFS($R$5:$R52,$R52,$S$5:$S52,"Sub"))))</f>
        <v/>
      </c>
      <c r="B52" s="62" t="n"/>
      <c r="C52" s="63" t="n"/>
      <c r="D52" s="62" t="n"/>
      <c r="E52" s="64" t="n"/>
      <c r="F52" s="64" t="n"/>
      <c r="G52" s="65" t="n"/>
      <c r="H52" s="66" t="n"/>
      <c r="I52" s="66" t="n"/>
      <c r="J52" s="66" t="n"/>
      <c r="K52" s="66" t="n"/>
      <c r="L52" s="67">
        <f>IF(NOT((COUNTA($B52:$K52)+COUNTA($N52))&gt;0),"",IF(N($T52)&gt;0,$AB52,IFERROR(LOOKUP(2,1/(H52:K52&lt;&gt;""),H52:K52),0)))</f>
        <v/>
      </c>
      <c r="M52" s="61">
        <f>IF(L52="","",IF(L52&gt;=1,"Completado",IF(L52&gt;0,"En curso","Pendiente")))</f>
        <v/>
      </c>
      <c r="N52" s="62" t="n"/>
      <c r="O52" s="68">
        <f>IF(NOT((COUNTA($B52:$K52)+COUNTA($N52))&gt;0),"",IF((IF(AND($S52="Macro",$B52=""),"Macroactividad vacía"&amp;" · ","")&amp;IF(AND($B52&lt;&gt;"",$C52&lt;&gt;""),"Escriba la subactividad en otra fila, debajo de su macroactividad"&amp;" · ","")&amp;IF(AND($S52="Sub",N($R52)=0),"Subactividad sin macroactividad arriba"&amp;" · ","")&amp;IF($D52="","Sin responsable"&amp;" · ","")&amp;IF($E52="","Sin fecha de inicio"&amp;" · ","")&amp;IF($F52="","Sin fecha límite"&amp;" · ","")&amp;IF(OR(AND($E52&lt;&gt;"",NOT(ISNUMBER($E52))),AND($F52&lt;&gt;"",NOT(ISNUMBER($F52)))),"Fecha no válida"&amp;" · ","")&amp;IF(AND(ISNUMBER($E52),ISNUMBER($F52),$E52&gt;$F52),"Inicio posterior a fecha límite"&amp;" · ","")&amp;IF(AND($S52="Macro",$G52=""),"Peso vacío"&amp;" · ","")&amp;IF(AND($S52="Macro",$G52&lt;&gt;"",OR(NOT(ISNUMBER($G52)),$G52&lt;=0,$G52&gt;1)),"Peso fuera de rango"&amp;" · ","")&amp;IF(AND($S52="Sub",$G52&lt;&gt;""),"Las subactividades no llevan peso"&amp;" · ","")&amp;IF(AND($S52="Macro",ABS(SUMIFS($G$5:$G$1000,$P$5:$P$1000,$P52,$S$5:$S$1000,"Macro")-1)&gt;0.0001),"Pesos del mes suman "&amp;TEXT(SUMIFS($G$5:$G$1000,$P$5:$P$1000,$P52,$S$5:$S$1000,"Macro"),"0%")&amp;" · ","")&amp;IF(AND(N($T52)&gt;0,COUNT($H52:$K52)&gt;0),"Con subactividades: deje vacías las semanas (se calculan solas)"&amp;" · ","")&amp;IF((COUNTIF($H52:$K52,"&gt;1")+COUNTIF($H52:$K52,"&lt;0")+COUNTA($H52:$K52)-COUNT($H52:$K52))&gt;0,"Avance fuera de rango 0-100%"&amp;" · ","")&amp;IF(OR(AND($I52&lt;&gt;"",$I52&lt;$H52),AND($J52&lt;&gt;"",$J52&lt;MAX($H52:$I52)),AND($K52&lt;&gt;"",$K52&lt;MAX($H52:$J52))),"Avance semanal decreciente"&amp;" · ","")&amp;IF(AND(ISNUMBER($F52),$F52&lt;FechaRef,N($L52)&lt;1),"Vencida"&amp;" · ","")&amp;IF(AND(ObsObligatoria="Sí",ISNUMBER($F52),$F52&lt;FechaRef,N($L52)&lt;1,$N52=""),"Vencida sin observación"&amp;" · ",""))="","✔ OK","⚠ "&amp;LEFT(IF(AND($S52="Macro",$B52=""),"Macroactividad vacía"&amp;" · ","")&amp;IF(AND($B52&lt;&gt;"",$C52&lt;&gt;""),"Escriba la subactividad en otra fila, debajo de su macroactividad"&amp;" · ","")&amp;IF(AND($S52="Sub",N($R52)=0),"Subactividad sin macroactividad arriba"&amp;" · ","")&amp;IF($D52="","Sin responsable"&amp;" · ","")&amp;IF($E52="","Sin fecha de inicio"&amp;" · ","")&amp;IF($F52="","Sin fecha límite"&amp;" · ","")&amp;IF(OR(AND($E52&lt;&gt;"",NOT(ISNUMBER($E52))),AND($F52&lt;&gt;"",NOT(ISNUMBER($F52)))),"Fecha no válida"&amp;" · ","")&amp;IF(AND(ISNUMBER($E52),ISNUMBER($F52),$E52&gt;$F52),"Inicio posterior a fecha límite"&amp;" · ","")&amp;IF(AND($S52="Macro",$G52=""),"Peso vacío"&amp;" · ","")&amp;IF(AND($S52="Macro",$G52&lt;&gt;"",OR(NOT(ISNUMBER($G52)),$G52&lt;=0,$G52&gt;1)),"Peso fuera de rango"&amp;" · ","")&amp;IF(AND($S52="Sub",$G52&lt;&gt;""),"Las subactividades no llevan peso"&amp;" · ","")&amp;IF(AND($S52="Macro",ABS(SUMIFS($G$5:$G$1000,$P$5:$P$1000,$P52,$S$5:$S$1000,"Macro")-1)&gt;0.0001),"Pesos del mes suman "&amp;TEXT(SUMIFS($G$5:$G$1000,$P$5:$P$1000,$P52,$S$5:$S$1000,"Macro"),"0%")&amp;" · ","")&amp;IF(AND(N($T52)&gt;0,COUNT($H52:$K52)&gt;0),"Con subactividades: deje vacías las semanas (se calculan solas)"&amp;" · ","")&amp;IF((COUNTIF($H52:$K52,"&gt;1")+COUNTIF($H52:$K52,"&lt;0")+COUNTA($H52:$K52)-COUNT($H52:$K52))&gt;0,"Avance fuera de rango 0-100%"&amp;" · ","")&amp;IF(OR(AND($I52&lt;&gt;"",$I52&lt;$H52),AND($J52&lt;&gt;"",$J52&lt;MAX($H52:$I52)),AND($K52&lt;&gt;"",$K52&lt;MAX($H52:$J52))),"Avance semanal decreciente"&amp;" · ","")&amp;IF(AND(ISNUMBER($F52),$F52&lt;FechaRef,N($L52)&lt;1),"Vencida"&amp;" · ","")&amp;IF(AND(ObsObligatoria="Sí",ISNUMBER($F52),$F52&lt;FechaRef,N($L52)&lt;1,$N52=""),"Vencida sin observación"&amp;" · ",""),LEN(IF(AND($S52="Macro",$B52=""),"Macroactividad vacía"&amp;" · ","")&amp;IF(AND($B52&lt;&gt;"",$C52&lt;&gt;""),"Escriba la subactividad en otra fila, debajo de su macroactividad"&amp;" · ","")&amp;IF(AND($S52="Sub",N($R52)=0),"Subactividad sin macroactividad arriba"&amp;" · ","")&amp;IF($D52="","Sin responsable"&amp;" · ","")&amp;IF($E52="","Sin fecha de inicio"&amp;" · ","")&amp;IF($F52="","Sin fecha límite"&amp;" · ","")&amp;IF(OR(AND($E52&lt;&gt;"",NOT(ISNUMBER($E52))),AND($F52&lt;&gt;"",NOT(ISNUMBER($F52)))),"Fecha no válida"&amp;" · ","")&amp;IF(AND(ISNUMBER($E52),ISNUMBER($F52),$E52&gt;$F52),"Inicio posterior a fecha límite"&amp;" · ","")&amp;IF(AND($S52="Macro",$G52=""),"Peso vacío"&amp;" · ","")&amp;IF(AND($S52="Macro",$G52&lt;&gt;"",OR(NOT(ISNUMBER($G52)),$G52&lt;=0,$G52&gt;1)),"Peso fuera de rango"&amp;" · ","")&amp;IF(AND($S52="Sub",$G52&lt;&gt;""),"Las subactividades no llevan peso"&amp;" · ","")&amp;IF(AND($S52="Macro",ABS(SUMIFS($G$5:$G$1000,$P$5:$P$1000,$P52,$S$5:$S$1000,"Macro")-1)&gt;0.0001),"Pesos del mes suman "&amp;TEXT(SUMIFS($G$5:$G$1000,$P$5:$P$1000,$P52,$S$5:$S$1000,"Macro"),"0%")&amp;" · ","")&amp;IF(AND(N($T52)&gt;0,COUNT($H52:$K52)&gt;0),"Con subactividades: deje vacías las semanas (se calculan solas)"&amp;" · ","")&amp;IF((COUNTIF($H52:$K52,"&gt;1")+COUNTIF($H52:$K52,"&lt;0")+COUNTA($H52:$K52)-COUNT($H52:$K52))&gt;0,"Avance fuera de rango 0-100%"&amp;" · ","")&amp;IF(OR(AND($I52&lt;&gt;"",$I52&lt;$H52),AND($J52&lt;&gt;"",$J52&lt;MAX($H52:$I52)),AND($K52&lt;&gt;"",$K52&lt;MAX($H52:$J52))),"Avance semanal decreciente"&amp;" · ","")&amp;IF(AND(ISNUMBER($F52),$F52&lt;FechaRef,N($L52)&lt;1),"Vencida"&amp;" · ","")&amp;IF(AND(ObsObligatoria="Sí",ISNUMBER($F52),$F52&lt;FechaRef,N($L52)&lt;1,$N52=""),"Vencida sin observación"&amp;" · ",""))-3)))</f>
        <v/>
      </c>
      <c r="P52" s="69">
        <f>IF(NOT((COUNTA($B52:$K52)+COUNTA($N52))&gt;0),"",IF(AND($S52="Sub",N($R52)&gt;0),IF(ISNUMBER(INDEX($E$5:$E$1000,$R52-4)),DATE(YEAR(INDEX($E$5:$E$1000,$R52-4)),MONTH(INDEX($E$5:$E$1000,$R52-4)),1),IF(ISNUMBER(INDEX($F$5:$F$1000,$R52-4)),DATE(YEAR(INDEX($F$5:$F$1000,$R52-4)),MONTH(INDEX($F$5:$F$1000,$R52-4)),1),MesCiclo)),IF(ISNUMBER($E52),DATE(YEAR($E52),MONTH($E52),1),IF(ISNUMBER($F52),DATE(YEAR($F52),MONTH($F52),1),MesCiclo))))</f>
        <v/>
      </c>
      <c r="Q52" s="70">
        <f>IF(OR($P52="",$P52&lt;&gt;MesCiclo),"",COUNTIF($P$5:$P52,MesCiclo))</f>
        <v/>
      </c>
      <c r="R52" s="70">
        <f>IF($S52="","",IF($S52="Macro",ROW(),IFERROR(LOOKUP(2,1/($S$5:$S52="Macro"),ROW($S$5:$S52)),0)))</f>
        <v/>
      </c>
      <c r="S52" s="70">
        <f>IF(NOT((COUNTA($B52:$K52)+COUNTA($N52))&gt;0),"",IF($B52&lt;&gt;"","Macro",IF($C52&lt;&gt;"","Sub","Macro")))</f>
        <v/>
      </c>
      <c r="T52" s="70">
        <f>IF($S52="Macro",COUNTIFS($R$5:$R$1000,ROW(),$S$5:$S$1000,"Sub"),"")</f>
        <v/>
      </c>
      <c r="U52" s="70">
        <f>IF($S52="","",IF(ISNUMBER($H52),$H52,0))</f>
        <v/>
      </c>
      <c r="V52" s="70">
        <f>IF($S52="","",IF(ISNUMBER($I52),$I52,$U52))</f>
        <v/>
      </c>
      <c r="W52" s="70">
        <f>IF($S52="","",IF(ISNUMBER($J52),$J52,$V52))</f>
        <v/>
      </c>
      <c r="X52" s="70">
        <f>IF($S52="","",IF(ISNUMBER($K52),$K52,$W52))</f>
        <v/>
      </c>
      <c r="Y52" s="70">
        <f>IF($S52="","",IF(N($T52)&gt;0,AVERAGEIFS($U$5:$U$1000,$R$5:$R$1000,ROW(),$S$5:$S$1000,"Sub"),$U52))</f>
        <v/>
      </c>
      <c r="Z52" s="70">
        <f>IF($S52="","",IF(N($T52)&gt;0,AVERAGEIFS($V$5:$V$1000,$R$5:$R$1000,ROW(),$S$5:$S$1000,"Sub"),$V52))</f>
        <v/>
      </c>
      <c r="AA52" s="70">
        <f>IF($S52="","",IF(N($T52)&gt;0,AVERAGEIFS($W$5:$W$1000,$R$5:$R$1000,ROW(),$S$5:$S$1000,"Sub"),$W52))</f>
        <v/>
      </c>
      <c r="AB52" s="70">
        <f>IF($S52="","",IF(N($T52)&gt;0,AVERAGEIFS($X$5:$X$1000,$R$5:$R$1000,ROW(),$S$5:$S$1000,"Sub"),$X52))</f>
        <v/>
      </c>
    </row>
    <row r="53">
      <c r="A53" s="61">
        <f>IF(NOT((COUNTA($B53:$K53)+COUNTA($N53))&gt;0),"",IF($S53="Macro",COUNTIFS($S$5:$S53,"Macro",$P$5:$P53,$P53),IF(N($R53)=0,"?",COUNTIFS(INDEX($S$5:$S$1000,1):INDEX($S$5:$S$1000,$R53-4),"Macro",INDEX($P$5:$P$1000,1):INDEX($P$5:$P$1000,$R53-4),INDEX($P$5:$P$1000,$R53-4))&amp;"."&amp;COUNTIFS($R$5:$R53,$R53,$S$5:$S53,"Sub"))))</f>
        <v/>
      </c>
      <c r="B53" s="62" t="n"/>
      <c r="C53" s="63" t="n"/>
      <c r="D53" s="62" t="n"/>
      <c r="E53" s="64" t="n"/>
      <c r="F53" s="64" t="n"/>
      <c r="G53" s="65" t="n"/>
      <c r="H53" s="66" t="n"/>
      <c r="I53" s="66" t="n"/>
      <c r="J53" s="66" t="n"/>
      <c r="K53" s="66" t="n"/>
      <c r="L53" s="67">
        <f>IF(NOT((COUNTA($B53:$K53)+COUNTA($N53))&gt;0),"",IF(N($T53)&gt;0,$AB53,IFERROR(LOOKUP(2,1/(H53:K53&lt;&gt;""),H53:K53),0)))</f>
        <v/>
      </c>
      <c r="M53" s="61">
        <f>IF(L53="","",IF(L53&gt;=1,"Completado",IF(L53&gt;0,"En curso","Pendiente")))</f>
        <v/>
      </c>
      <c r="N53" s="62" t="n"/>
      <c r="O53" s="68">
        <f>IF(NOT((COUNTA($B53:$K53)+COUNTA($N53))&gt;0),"",IF((IF(AND($S53="Macro",$B53=""),"Macroactividad vacía"&amp;" · ","")&amp;IF(AND($B53&lt;&gt;"",$C53&lt;&gt;""),"Escriba la subactividad en otra fila, debajo de su macroactividad"&amp;" · ","")&amp;IF(AND($S53="Sub",N($R53)=0),"Subactividad sin macroactividad arriba"&amp;" · ","")&amp;IF($D53="","Sin responsable"&amp;" · ","")&amp;IF($E53="","Sin fecha de inicio"&amp;" · ","")&amp;IF($F53="","Sin fecha límite"&amp;" · ","")&amp;IF(OR(AND($E53&lt;&gt;"",NOT(ISNUMBER($E53))),AND($F53&lt;&gt;"",NOT(ISNUMBER($F53)))),"Fecha no válida"&amp;" · ","")&amp;IF(AND(ISNUMBER($E53),ISNUMBER($F53),$E53&gt;$F53),"Inicio posterior a fecha límite"&amp;" · ","")&amp;IF(AND($S53="Macro",$G53=""),"Peso vacío"&amp;" · ","")&amp;IF(AND($S53="Macro",$G53&lt;&gt;"",OR(NOT(ISNUMBER($G53)),$G53&lt;=0,$G53&gt;1)),"Peso fuera de rango"&amp;" · ","")&amp;IF(AND($S53="Sub",$G53&lt;&gt;""),"Las subactividades no llevan peso"&amp;" · ","")&amp;IF(AND($S53="Macro",ABS(SUMIFS($G$5:$G$1000,$P$5:$P$1000,$P53,$S$5:$S$1000,"Macro")-1)&gt;0.0001),"Pesos del mes suman "&amp;TEXT(SUMIFS($G$5:$G$1000,$P$5:$P$1000,$P53,$S$5:$S$1000,"Macro"),"0%")&amp;" · ","")&amp;IF(AND(N($T53)&gt;0,COUNT($H53:$K53)&gt;0),"Con subactividades: deje vacías las semanas (se calculan solas)"&amp;" · ","")&amp;IF((COUNTIF($H53:$K53,"&gt;1")+COUNTIF($H53:$K53,"&lt;0")+COUNTA($H53:$K53)-COUNT($H53:$K53))&gt;0,"Avance fuera de rango 0-100%"&amp;" · ","")&amp;IF(OR(AND($I53&lt;&gt;"",$I53&lt;$H53),AND($J53&lt;&gt;"",$J53&lt;MAX($H53:$I53)),AND($K53&lt;&gt;"",$K53&lt;MAX($H53:$J53))),"Avance semanal decreciente"&amp;" · ","")&amp;IF(AND(ISNUMBER($F53),$F53&lt;FechaRef,N($L53)&lt;1),"Vencida"&amp;" · ","")&amp;IF(AND(ObsObligatoria="Sí",ISNUMBER($F53),$F53&lt;FechaRef,N($L53)&lt;1,$N53=""),"Vencida sin observación"&amp;" · ",""))="","✔ OK","⚠ "&amp;LEFT(IF(AND($S53="Macro",$B53=""),"Macroactividad vacía"&amp;" · ","")&amp;IF(AND($B53&lt;&gt;"",$C53&lt;&gt;""),"Escriba la subactividad en otra fila, debajo de su macroactividad"&amp;" · ","")&amp;IF(AND($S53="Sub",N($R53)=0),"Subactividad sin macroactividad arriba"&amp;" · ","")&amp;IF($D53="","Sin responsable"&amp;" · ","")&amp;IF($E53="","Sin fecha de inicio"&amp;" · ","")&amp;IF($F53="","Sin fecha límite"&amp;" · ","")&amp;IF(OR(AND($E53&lt;&gt;"",NOT(ISNUMBER($E53))),AND($F53&lt;&gt;"",NOT(ISNUMBER($F53)))),"Fecha no válida"&amp;" · ","")&amp;IF(AND(ISNUMBER($E53),ISNUMBER($F53),$E53&gt;$F53),"Inicio posterior a fecha límite"&amp;" · ","")&amp;IF(AND($S53="Macro",$G53=""),"Peso vacío"&amp;" · ","")&amp;IF(AND($S53="Macro",$G53&lt;&gt;"",OR(NOT(ISNUMBER($G53)),$G53&lt;=0,$G53&gt;1)),"Peso fuera de rango"&amp;" · ","")&amp;IF(AND($S53="Sub",$G53&lt;&gt;""),"Las subactividades no llevan peso"&amp;" · ","")&amp;IF(AND($S53="Macro",ABS(SUMIFS($G$5:$G$1000,$P$5:$P$1000,$P53,$S$5:$S$1000,"Macro")-1)&gt;0.0001),"Pesos del mes suman "&amp;TEXT(SUMIFS($G$5:$G$1000,$P$5:$P$1000,$P53,$S$5:$S$1000,"Macro"),"0%")&amp;" · ","")&amp;IF(AND(N($T53)&gt;0,COUNT($H53:$K53)&gt;0),"Con subactividades: deje vacías las semanas (se calculan solas)"&amp;" · ","")&amp;IF((COUNTIF($H53:$K53,"&gt;1")+COUNTIF($H53:$K53,"&lt;0")+COUNTA($H53:$K53)-COUNT($H53:$K53))&gt;0,"Avance fuera de rango 0-100%"&amp;" · ","")&amp;IF(OR(AND($I53&lt;&gt;"",$I53&lt;$H53),AND($J53&lt;&gt;"",$J53&lt;MAX($H53:$I53)),AND($K53&lt;&gt;"",$K53&lt;MAX($H53:$J53))),"Avance semanal decreciente"&amp;" · ","")&amp;IF(AND(ISNUMBER($F53),$F53&lt;FechaRef,N($L53)&lt;1),"Vencida"&amp;" · ","")&amp;IF(AND(ObsObligatoria="Sí",ISNUMBER($F53),$F53&lt;FechaRef,N($L53)&lt;1,$N53=""),"Vencida sin observación"&amp;" · ",""),LEN(IF(AND($S53="Macro",$B53=""),"Macroactividad vacía"&amp;" · ","")&amp;IF(AND($B53&lt;&gt;"",$C53&lt;&gt;""),"Escriba la subactividad en otra fila, debajo de su macroactividad"&amp;" · ","")&amp;IF(AND($S53="Sub",N($R53)=0),"Subactividad sin macroactividad arriba"&amp;" · ","")&amp;IF($D53="","Sin responsable"&amp;" · ","")&amp;IF($E53="","Sin fecha de inicio"&amp;" · ","")&amp;IF($F53="","Sin fecha límite"&amp;" · ","")&amp;IF(OR(AND($E53&lt;&gt;"",NOT(ISNUMBER($E53))),AND($F53&lt;&gt;"",NOT(ISNUMBER($F53)))),"Fecha no válida"&amp;" · ","")&amp;IF(AND(ISNUMBER($E53),ISNUMBER($F53),$E53&gt;$F53),"Inicio posterior a fecha límite"&amp;" · ","")&amp;IF(AND($S53="Macro",$G53=""),"Peso vacío"&amp;" · ","")&amp;IF(AND($S53="Macro",$G53&lt;&gt;"",OR(NOT(ISNUMBER($G53)),$G53&lt;=0,$G53&gt;1)),"Peso fuera de rango"&amp;" · ","")&amp;IF(AND($S53="Sub",$G53&lt;&gt;""),"Las subactividades no llevan peso"&amp;" · ","")&amp;IF(AND($S53="Macro",ABS(SUMIFS($G$5:$G$1000,$P$5:$P$1000,$P53,$S$5:$S$1000,"Macro")-1)&gt;0.0001),"Pesos del mes suman "&amp;TEXT(SUMIFS($G$5:$G$1000,$P$5:$P$1000,$P53,$S$5:$S$1000,"Macro"),"0%")&amp;" · ","")&amp;IF(AND(N($T53)&gt;0,COUNT($H53:$K53)&gt;0),"Con subactividades: deje vacías las semanas (se calculan solas)"&amp;" · ","")&amp;IF((COUNTIF($H53:$K53,"&gt;1")+COUNTIF($H53:$K53,"&lt;0")+COUNTA($H53:$K53)-COUNT($H53:$K53))&gt;0,"Avance fuera de rango 0-100%"&amp;" · ","")&amp;IF(OR(AND($I53&lt;&gt;"",$I53&lt;$H53),AND($J53&lt;&gt;"",$J53&lt;MAX($H53:$I53)),AND($K53&lt;&gt;"",$K53&lt;MAX($H53:$J53))),"Avance semanal decreciente"&amp;" · ","")&amp;IF(AND(ISNUMBER($F53),$F53&lt;FechaRef,N($L53)&lt;1),"Vencida"&amp;" · ","")&amp;IF(AND(ObsObligatoria="Sí",ISNUMBER($F53),$F53&lt;FechaRef,N($L53)&lt;1,$N53=""),"Vencida sin observación"&amp;" · ",""))-3)))</f>
        <v/>
      </c>
      <c r="P53" s="69">
        <f>IF(NOT((COUNTA($B53:$K53)+COUNTA($N53))&gt;0),"",IF(AND($S53="Sub",N($R53)&gt;0),IF(ISNUMBER(INDEX($E$5:$E$1000,$R53-4)),DATE(YEAR(INDEX($E$5:$E$1000,$R53-4)),MONTH(INDEX($E$5:$E$1000,$R53-4)),1),IF(ISNUMBER(INDEX($F$5:$F$1000,$R53-4)),DATE(YEAR(INDEX($F$5:$F$1000,$R53-4)),MONTH(INDEX($F$5:$F$1000,$R53-4)),1),MesCiclo)),IF(ISNUMBER($E53),DATE(YEAR($E53),MONTH($E53),1),IF(ISNUMBER($F53),DATE(YEAR($F53),MONTH($F53),1),MesCiclo))))</f>
        <v/>
      </c>
      <c r="Q53" s="70">
        <f>IF(OR($P53="",$P53&lt;&gt;MesCiclo),"",COUNTIF($P$5:$P53,MesCiclo))</f>
        <v/>
      </c>
      <c r="R53" s="70">
        <f>IF($S53="","",IF($S53="Macro",ROW(),IFERROR(LOOKUP(2,1/($S$5:$S53="Macro"),ROW($S$5:$S53)),0)))</f>
        <v/>
      </c>
      <c r="S53" s="70">
        <f>IF(NOT((COUNTA($B53:$K53)+COUNTA($N53))&gt;0),"",IF($B53&lt;&gt;"","Macro",IF($C53&lt;&gt;"","Sub","Macro")))</f>
        <v/>
      </c>
      <c r="T53" s="70">
        <f>IF($S53="Macro",COUNTIFS($R$5:$R$1000,ROW(),$S$5:$S$1000,"Sub"),"")</f>
        <v/>
      </c>
      <c r="U53" s="70">
        <f>IF($S53="","",IF(ISNUMBER($H53),$H53,0))</f>
        <v/>
      </c>
      <c r="V53" s="70">
        <f>IF($S53="","",IF(ISNUMBER($I53),$I53,$U53))</f>
        <v/>
      </c>
      <c r="W53" s="70">
        <f>IF($S53="","",IF(ISNUMBER($J53),$J53,$V53))</f>
        <v/>
      </c>
      <c r="X53" s="70">
        <f>IF($S53="","",IF(ISNUMBER($K53),$K53,$W53))</f>
        <v/>
      </c>
      <c r="Y53" s="70">
        <f>IF($S53="","",IF(N($T53)&gt;0,AVERAGEIFS($U$5:$U$1000,$R$5:$R$1000,ROW(),$S$5:$S$1000,"Sub"),$U53))</f>
        <v/>
      </c>
      <c r="Z53" s="70">
        <f>IF($S53="","",IF(N($T53)&gt;0,AVERAGEIFS($V$5:$V$1000,$R$5:$R$1000,ROW(),$S$5:$S$1000,"Sub"),$V53))</f>
        <v/>
      </c>
      <c r="AA53" s="70">
        <f>IF($S53="","",IF(N($T53)&gt;0,AVERAGEIFS($W$5:$W$1000,$R$5:$R$1000,ROW(),$S$5:$S$1000,"Sub"),$W53))</f>
        <v/>
      </c>
      <c r="AB53" s="70">
        <f>IF($S53="","",IF(N($T53)&gt;0,AVERAGEIFS($X$5:$X$1000,$R$5:$R$1000,ROW(),$S$5:$S$1000,"Sub"),$X53))</f>
        <v/>
      </c>
    </row>
    <row r="54">
      <c r="A54" s="61">
        <f>IF(NOT((COUNTA($B54:$K54)+COUNTA($N54))&gt;0),"",IF($S54="Macro",COUNTIFS($S$5:$S54,"Macro",$P$5:$P54,$P54),IF(N($R54)=0,"?",COUNTIFS(INDEX($S$5:$S$1000,1):INDEX($S$5:$S$1000,$R54-4),"Macro",INDEX($P$5:$P$1000,1):INDEX($P$5:$P$1000,$R54-4),INDEX($P$5:$P$1000,$R54-4))&amp;"."&amp;COUNTIFS($R$5:$R54,$R54,$S$5:$S54,"Sub"))))</f>
        <v/>
      </c>
      <c r="B54" s="62" t="n"/>
      <c r="C54" s="63" t="n"/>
      <c r="D54" s="62" t="n"/>
      <c r="E54" s="64" t="n"/>
      <c r="F54" s="64" t="n"/>
      <c r="G54" s="65" t="n"/>
      <c r="H54" s="66" t="n"/>
      <c r="I54" s="66" t="n"/>
      <c r="J54" s="66" t="n"/>
      <c r="K54" s="66" t="n"/>
      <c r="L54" s="67">
        <f>IF(NOT((COUNTA($B54:$K54)+COUNTA($N54))&gt;0),"",IF(N($T54)&gt;0,$AB54,IFERROR(LOOKUP(2,1/(H54:K54&lt;&gt;""),H54:K54),0)))</f>
        <v/>
      </c>
      <c r="M54" s="61">
        <f>IF(L54="","",IF(L54&gt;=1,"Completado",IF(L54&gt;0,"En curso","Pendiente")))</f>
        <v/>
      </c>
      <c r="N54" s="62" t="n"/>
      <c r="O54" s="68">
        <f>IF(NOT((COUNTA($B54:$K54)+COUNTA($N54))&gt;0),"",IF((IF(AND($S54="Macro",$B54=""),"Macroactividad vacía"&amp;" · ","")&amp;IF(AND($B54&lt;&gt;"",$C54&lt;&gt;""),"Escriba la subactividad en otra fila, debajo de su macroactividad"&amp;" · ","")&amp;IF(AND($S54="Sub",N($R54)=0),"Subactividad sin macroactividad arriba"&amp;" · ","")&amp;IF($D54="","Sin responsable"&amp;" · ","")&amp;IF($E54="","Sin fecha de inicio"&amp;" · ","")&amp;IF($F54="","Sin fecha límite"&amp;" · ","")&amp;IF(OR(AND($E54&lt;&gt;"",NOT(ISNUMBER($E54))),AND($F54&lt;&gt;"",NOT(ISNUMBER($F54)))),"Fecha no válida"&amp;" · ","")&amp;IF(AND(ISNUMBER($E54),ISNUMBER($F54),$E54&gt;$F54),"Inicio posterior a fecha límite"&amp;" · ","")&amp;IF(AND($S54="Macro",$G54=""),"Peso vacío"&amp;" · ","")&amp;IF(AND($S54="Macro",$G54&lt;&gt;"",OR(NOT(ISNUMBER($G54)),$G54&lt;=0,$G54&gt;1)),"Peso fuera de rango"&amp;" · ","")&amp;IF(AND($S54="Sub",$G54&lt;&gt;""),"Las subactividades no llevan peso"&amp;" · ","")&amp;IF(AND($S54="Macro",ABS(SUMIFS($G$5:$G$1000,$P$5:$P$1000,$P54,$S$5:$S$1000,"Macro")-1)&gt;0.0001),"Pesos del mes suman "&amp;TEXT(SUMIFS($G$5:$G$1000,$P$5:$P$1000,$P54,$S$5:$S$1000,"Macro"),"0%")&amp;" · ","")&amp;IF(AND(N($T54)&gt;0,COUNT($H54:$K54)&gt;0),"Con subactividades: deje vacías las semanas (se calculan solas)"&amp;" · ","")&amp;IF((COUNTIF($H54:$K54,"&gt;1")+COUNTIF($H54:$K54,"&lt;0")+COUNTA($H54:$K54)-COUNT($H54:$K54))&gt;0,"Avance fuera de rango 0-100%"&amp;" · ","")&amp;IF(OR(AND($I54&lt;&gt;"",$I54&lt;$H54),AND($J54&lt;&gt;"",$J54&lt;MAX($H54:$I54)),AND($K54&lt;&gt;"",$K54&lt;MAX($H54:$J54))),"Avance semanal decreciente"&amp;" · ","")&amp;IF(AND(ISNUMBER($F54),$F54&lt;FechaRef,N($L54)&lt;1),"Vencida"&amp;" · ","")&amp;IF(AND(ObsObligatoria="Sí",ISNUMBER($F54),$F54&lt;FechaRef,N($L54)&lt;1,$N54=""),"Vencida sin observación"&amp;" · ",""))="","✔ OK","⚠ "&amp;LEFT(IF(AND($S54="Macro",$B54=""),"Macroactividad vacía"&amp;" · ","")&amp;IF(AND($B54&lt;&gt;"",$C54&lt;&gt;""),"Escriba la subactividad en otra fila, debajo de su macroactividad"&amp;" · ","")&amp;IF(AND($S54="Sub",N($R54)=0),"Subactividad sin macroactividad arriba"&amp;" · ","")&amp;IF($D54="","Sin responsable"&amp;" · ","")&amp;IF($E54="","Sin fecha de inicio"&amp;" · ","")&amp;IF($F54="","Sin fecha límite"&amp;" · ","")&amp;IF(OR(AND($E54&lt;&gt;"",NOT(ISNUMBER($E54))),AND($F54&lt;&gt;"",NOT(ISNUMBER($F54)))),"Fecha no válida"&amp;" · ","")&amp;IF(AND(ISNUMBER($E54),ISNUMBER($F54),$E54&gt;$F54),"Inicio posterior a fecha límite"&amp;" · ","")&amp;IF(AND($S54="Macro",$G54=""),"Peso vacío"&amp;" · ","")&amp;IF(AND($S54="Macro",$G54&lt;&gt;"",OR(NOT(ISNUMBER($G54)),$G54&lt;=0,$G54&gt;1)),"Peso fuera de rango"&amp;" · ","")&amp;IF(AND($S54="Sub",$G54&lt;&gt;""),"Las subactividades no llevan peso"&amp;" · ","")&amp;IF(AND($S54="Macro",ABS(SUMIFS($G$5:$G$1000,$P$5:$P$1000,$P54,$S$5:$S$1000,"Macro")-1)&gt;0.0001),"Pesos del mes suman "&amp;TEXT(SUMIFS($G$5:$G$1000,$P$5:$P$1000,$P54,$S$5:$S$1000,"Macro"),"0%")&amp;" · ","")&amp;IF(AND(N($T54)&gt;0,COUNT($H54:$K54)&gt;0),"Con subactividades: deje vacías las semanas (se calculan solas)"&amp;" · ","")&amp;IF((COUNTIF($H54:$K54,"&gt;1")+COUNTIF($H54:$K54,"&lt;0")+COUNTA($H54:$K54)-COUNT($H54:$K54))&gt;0,"Avance fuera de rango 0-100%"&amp;" · ","")&amp;IF(OR(AND($I54&lt;&gt;"",$I54&lt;$H54),AND($J54&lt;&gt;"",$J54&lt;MAX($H54:$I54)),AND($K54&lt;&gt;"",$K54&lt;MAX($H54:$J54))),"Avance semanal decreciente"&amp;" · ","")&amp;IF(AND(ISNUMBER($F54),$F54&lt;FechaRef,N($L54)&lt;1),"Vencida"&amp;" · ","")&amp;IF(AND(ObsObligatoria="Sí",ISNUMBER($F54),$F54&lt;FechaRef,N($L54)&lt;1,$N54=""),"Vencida sin observación"&amp;" · ",""),LEN(IF(AND($S54="Macro",$B54=""),"Macroactividad vacía"&amp;" · ","")&amp;IF(AND($B54&lt;&gt;"",$C54&lt;&gt;""),"Escriba la subactividad en otra fila, debajo de su macroactividad"&amp;" · ","")&amp;IF(AND($S54="Sub",N($R54)=0),"Subactividad sin macroactividad arriba"&amp;" · ","")&amp;IF($D54="","Sin responsable"&amp;" · ","")&amp;IF($E54="","Sin fecha de inicio"&amp;" · ","")&amp;IF($F54="","Sin fecha límite"&amp;" · ","")&amp;IF(OR(AND($E54&lt;&gt;"",NOT(ISNUMBER($E54))),AND($F54&lt;&gt;"",NOT(ISNUMBER($F54)))),"Fecha no válida"&amp;" · ","")&amp;IF(AND(ISNUMBER($E54),ISNUMBER($F54),$E54&gt;$F54),"Inicio posterior a fecha límite"&amp;" · ","")&amp;IF(AND($S54="Macro",$G54=""),"Peso vacío"&amp;" · ","")&amp;IF(AND($S54="Macro",$G54&lt;&gt;"",OR(NOT(ISNUMBER($G54)),$G54&lt;=0,$G54&gt;1)),"Peso fuera de rango"&amp;" · ","")&amp;IF(AND($S54="Sub",$G54&lt;&gt;""),"Las subactividades no llevan peso"&amp;" · ","")&amp;IF(AND($S54="Macro",ABS(SUMIFS($G$5:$G$1000,$P$5:$P$1000,$P54,$S$5:$S$1000,"Macro")-1)&gt;0.0001),"Pesos del mes suman "&amp;TEXT(SUMIFS($G$5:$G$1000,$P$5:$P$1000,$P54,$S$5:$S$1000,"Macro"),"0%")&amp;" · ","")&amp;IF(AND(N($T54)&gt;0,COUNT($H54:$K54)&gt;0),"Con subactividades: deje vacías las semanas (se calculan solas)"&amp;" · ","")&amp;IF((COUNTIF($H54:$K54,"&gt;1")+COUNTIF($H54:$K54,"&lt;0")+COUNTA($H54:$K54)-COUNT($H54:$K54))&gt;0,"Avance fuera de rango 0-100%"&amp;" · ","")&amp;IF(OR(AND($I54&lt;&gt;"",$I54&lt;$H54),AND($J54&lt;&gt;"",$J54&lt;MAX($H54:$I54)),AND($K54&lt;&gt;"",$K54&lt;MAX($H54:$J54))),"Avance semanal decreciente"&amp;" · ","")&amp;IF(AND(ISNUMBER($F54),$F54&lt;FechaRef,N($L54)&lt;1),"Vencida"&amp;" · ","")&amp;IF(AND(ObsObligatoria="Sí",ISNUMBER($F54),$F54&lt;FechaRef,N($L54)&lt;1,$N54=""),"Vencida sin observación"&amp;" · ",""))-3)))</f>
        <v/>
      </c>
      <c r="P54" s="69">
        <f>IF(NOT((COUNTA($B54:$K54)+COUNTA($N54))&gt;0),"",IF(AND($S54="Sub",N($R54)&gt;0),IF(ISNUMBER(INDEX($E$5:$E$1000,$R54-4)),DATE(YEAR(INDEX($E$5:$E$1000,$R54-4)),MONTH(INDEX($E$5:$E$1000,$R54-4)),1),IF(ISNUMBER(INDEX($F$5:$F$1000,$R54-4)),DATE(YEAR(INDEX($F$5:$F$1000,$R54-4)),MONTH(INDEX($F$5:$F$1000,$R54-4)),1),MesCiclo)),IF(ISNUMBER($E54),DATE(YEAR($E54),MONTH($E54),1),IF(ISNUMBER($F54),DATE(YEAR($F54),MONTH($F54),1),MesCiclo))))</f>
        <v/>
      </c>
      <c r="Q54" s="70">
        <f>IF(OR($P54="",$P54&lt;&gt;MesCiclo),"",COUNTIF($P$5:$P54,MesCiclo))</f>
        <v/>
      </c>
      <c r="R54" s="70">
        <f>IF($S54="","",IF($S54="Macro",ROW(),IFERROR(LOOKUP(2,1/($S$5:$S54="Macro"),ROW($S$5:$S54)),0)))</f>
        <v/>
      </c>
      <c r="S54" s="70">
        <f>IF(NOT((COUNTA($B54:$K54)+COUNTA($N54))&gt;0),"",IF($B54&lt;&gt;"","Macro",IF($C54&lt;&gt;"","Sub","Macro")))</f>
        <v/>
      </c>
      <c r="T54" s="70">
        <f>IF($S54="Macro",COUNTIFS($R$5:$R$1000,ROW(),$S$5:$S$1000,"Sub"),"")</f>
        <v/>
      </c>
      <c r="U54" s="70">
        <f>IF($S54="","",IF(ISNUMBER($H54),$H54,0))</f>
        <v/>
      </c>
      <c r="V54" s="70">
        <f>IF($S54="","",IF(ISNUMBER($I54),$I54,$U54))</f>
        <v/>
      </c>
      <c r="W54" s="70">
        <f>IF($S54="","",IF(ISNUMBER($J54),$J54,$V54))</f>
        <v/>
      </c>
      <c r="X54" s="70">
        <f>IF($S54="","",IF(ISNUMBER($K54),$K54,$W54))</f>
        <v/>
      </c>
      <c r="Y54" s="70">
        <f>IF($S54="","",IF(N($T54)&gt;0,AVERAGEIFS($U$5:$U$1000,$R$5:$R$1000,ROW(),$S$5:$S$1000,"Sub"),$U54))</f>
        <v/>
      </c>
      <c r="Z54" s="70">
        <f>IF($S54="","",IF(N($T54)&gt;0,AVERAGEIFS($V$5:$V$1000,$R$5:$R$1000,ROW(),$S$5:$S$1000,"Sub"),$V54))</f>
        <v/>
      </c>
      <c r="AA54" s="70">
        <f>IF($S54="","",IF(N($T54)&gt;0,AVERAGEIFS($W$5:$W$1000,$R$5:$R$1000,ROW(),$S$5:$S$1000,"Sub"),$W54))</f>
        <v/>
      </c>
      <c r="AB54" s="70">
        <f>IF($S54="","",IF(N($T54)&gt;0,AVERAGEIFS($X$5:$X$1000,$R$5:$R$1000,ROW(),$S$5:$S$1000,"Sub"),$X54))</f>
        <v/>
      </c>
    </row>
    <row r="55">
      <c r="A55" s="61">
        <f>IF(NOT((COUNTA($B55:$K55)+COUNTA($N55))&gt;0),"",IF($S55="Macro",COUNTIFS($S$5:$S55,"Macro",$P$5:$P55,$P55),IF(N($R55)=0,"?",COUNTIFS(INDEX($S$5:$S$1000,1):INDEX($S$5:$S$1000,$R55-4),"Macro",INDEX($P$5:$P$1000,1):INDEX($P$5:$P$1000,$R55-4),INDEX($P$5:$P$1000,$R55-4))&amp;"."&amp;COUNTIFS($R$5:$R55,$R55,$S$5:$S55,"Sub"))))</f>
        <v/>
      </c>
      <c r="B55" s="62" t="n"/>
      <c r="C55" s="63" t="n"/>
      <c r="D55" s="62" t="n"/>
      <c r="E55" s="64" t="n"/>
      <c r="F55" s="64" t="n"/>
      <c r="G55" s="65" t="n"/>
      <c r="H55" s="66" t="n"/>
      <c r="I55" s="66" t="n"/>
      <c r="J55" s="66" t="n"/>
      <c r="K55" s="66" t="n"/>
      <c r="L55" s="67">
        <f>IF(NOT((COUNTA($B55:$K55)+COUNTA($N55))&gt;0),"",IF(N($T55)&gt;0,$AB55,IFERROR(LOOKUP(2,1/(H55:K55&lt;&gt;""),H55:K55),0)))</f>
        <v/>
      </c>
      <c r="M55" s="61">
        <f>IF(L55="","",IF(L55&gt;=1,"Completado",IF(L55&gt;0,"En curso","Pendiente")))</f>
        <v/>
      </c>
      <c r="N55" s="62" t="n"/>
      <c r="O55" s="68">
        <f>IF(NOT((COUNTA($B55:$K55)+COUNTA($N55))&gt;0),"",IF((IF(AND($S55="Macro",$B55=""),"Macroactividad vacía"&amp;" · ","")&amp;IF(AND($B55&lt;&gt;"",$C55&lt;&gt;""),"Escriba la subactividad en otra fila, debajo de su macroactividad"&amp;" · ","")&amp;IF(AND($S55="Sub",N($R55)=0),"Subactividad sin macroactividad arriba"&amp;" · ","")&amp;IF($D55="","Sin responsable"&amp;" · ","")&amp;IF($E55="","Sin fecha de inicio"&amp;" · ","")&amp;IF($F55="","Sin fecha límite"&amp;" · ","")&amp;IF(OR(AND($E55&lt;&gt;"",NOT(ISNUMBER($E55))),AND($F55&lt;&gt;"",NOT(ISNUMBER($F55)))),"Fecha no válida"&amp;" · ","")&amp;IF(AND(ISNUMBER($E55),ISNUMBER($F55),$E55&gt;$F55),"Inicio posterior a fecha límite"&amp;" · ","")&amp;IF(AND($S55="Macro",$G55=""),"Peso vacío"&amp;" · ","")&amp;IF(AND($S55="Macro",$G55&lt;&gt;"",OR(NOT(ISNUMBER($G55)),$G55&lt;=0,$G55&gt;1)),"Peso fuera de rango"&amp;" · ","")&amp;IF(AND($S55="Sub",$G55&lt;&gt;""),"Las subactividades no llevan peso"&amp;" · ","")&amp;IF(AND($S55="Macro",ABS(SUMIFS($G$5:$G$1000,$P$5:$P$1000,$P55,$S$5:$S$1000,"Macro")-1)&gt;0.0001),"Pesos del mes suman "&amp;TEXT(SUMIFS($G$5:$G$1000,$P$5:$P$1000,$P55,$S$5:$S$1000,"Macro"),"0%")&amp;" · ","")&amp;IF(AND(N($T55)&gt;0,COUNT($H55:$K55)&gt;0),"Con subactividades: deje vacías las semanas (se calculan solas)"&amp;" · ","")&amp;IF((COUNTIF($H55:$K55,"&gt;1")+COUNTIF($H55:$K55,"&lt;0")+COUNTA($H55:$K55)-COUNT($H55:$K55))&gt;0,"Avance fuera de rango 0-100%"&amp;" · ","")&amp;IF(OR(AND($I55&lt;&gt;"",$I55&lt;$H55),AND($J55&lt;&gt;"",$J55&lt;MAX($H55:$I55)),AND($K55&lt;&gt;"",$K55&lt;MAX($H55:$J55))),"Avance semanal decreciente"&amp;" · ","")&amp;IF(AND(ISNUMBER($F55),$F55&lt;FechaRef,N($L55)&lt;1),"Vencida"&amp;" · ","")&amp;IF(AND(ObsObligatoria="Sí",ISNUMBER($F55),$F55&lt;FechaRef,N($L55)&lt;1,$N55=""),"Vencida sin observación"&amp;" · ",""))="","✔ OK","⚠ "&amp;LEFT(IF(AND($S55="Macro",$B55=""),"Macroactividad vacía"&amp;" · ","")&amp;IF(AND($B55&lt;&gt;"",$C55&lt;&gt;""),"Escriba la subactividad en otra fila, debajo de su macroactividad"&amp;" · ","")&amp;IF(AND($S55="Sub",N($R55)=0),"Subactividad sin macroactividad arriba"&amp;" · ","")&amp;IF($D55="","Sin responsable"&amp;" · ","")&amp;IF($E55="","Sin fecha de inicio"&amp;" · ","")&amp;IF($F55="","Sin fecha límite"&amp;" · ","")&amp;IF(OR(AND($E55&lt;&gt;"",NOT(ISNUMBER($E55))),AND($F55&lt;&gt;"",NOT(ISNUMBER($F55)))),"Fecha no válida"&amp;" · ","")&amp;IF(AND(ISNUMBER($E55),ISNUMBER($F55),$E55&gt;$F55),"Inicio posterior a fecha límite"&amp;" · ","")&amp;IF(AND($S55="Macro",$G55=""),"Peso vacío"&amp;" · ","")&amp;IF(AND($S55="Macro",$G55&lt;&gt;"",OR(NOT(ISNUMBER($G55)),$G55&lt;=0,$G55&gt;1)),"Peso fuera de rango"&amp;" · ","")&amp;IF(AND($S55="Sub",$G55&lt;&gt;""),"Las subactividades no llevan peso"&amp;" · ","")&amp;IF(AND($S55="Macro",ABS(SUMIFS($G$5:$G$1000,$P$5:$P$1000,$P55,$S$5:$S$1000,"Macro")-1)&gt;0.0001),"Pesos del mes suman "&amp;TEXT(SUMIFS($G$5:$G$1000,$P$5:$P$1000,$P55,$S$5:$S$1000,"Macro"),"0%")&amp;" · ","")&amp;IF(AND(N($T55)&gt;0,COUNT($H55:$K55)&gt;0),"Con subactividades: deje vacías las semanas (se calculan solas)"&amp;" · ","")&amp;IF((COUNTIF($H55:$K55,"&gt;1")+COUNTIF($H55:$K55,"&lt;0")+COUNTA($H55:$K55)-COUNT($H55:$K55))&gt;0,"Avance fuera de rango 0-100%"&amp;" · ","")&amp;IF(OR(AND($I55&lt;&gt;"",$I55&lt;$H55),AND($J55&lt;&gt;"",$J55&lt;MAX($H55:$I55)),AND($K55&lt;&gt;"",$K55&lt;MAX($H55:$J55))),"Avance semanal decreciente"&amp;" · ","")&amp;IF(AND(ISNUMBER($F55),$F55&lt;FechaRef,N($L55)&lt;1),"Vencida"&amp;" · ","")&amp;IF(AND(ObsObligatoria="Sí",ISNUMBER($F55),$F55&lt;FechaRef,N($L55)&lt;1,$N55=""),"Vencida sin observación"&amp;" · ",""),LEN(IF(AND($S55="Macro",$B55=""),"Macroactividad vacía"&amp;" · ","")&amp;IF(AND($B55&lt;&gt;"",$C55&lt;&gt;""),"Escriba la subactividad en otra fila, debajo de su macroactividad"&amp;" · ","")&amp;IF(AND($S55="Sub",N($R55)=0),"Subactividad sin macroactividad arriba"&amp;" · ","")&amp;IF($D55="","Sin responsable"&amp;" · ","")&amp;IF($E55="","Sin fecha de inicio"&amp;" · ","")&amp;IF($F55="","Sin fecha límite"&amp;" · ","")&amp;IF(OR(AND($E55&lt;&gt;"",NOT(ISNUMBER($E55))),AND($F55&lt;&gt;"",NOT(ISNUMBER($F55)))),"Fecha no válida"&amp;" · ","")&amp;IF(AND(ISNUMBER($E55),ISNUMBER($F55),$E55&gt;$F55),"Inicio posterior a fecha límite"&amp;" · ","")&amp;IF(AND($S55="Macro",$G55=""),"Peso vacío"&amp;" · ","")&amp;IF(AND($S55="Macro",$G55&lt;&gt;"",OR(NOT(ISNUMBER($G55)),$G55&lt;=0,$G55&gt;1)),"Peso fuera de rango"&amp;" · ","")&amp;IF(AND($S55="Sub",$G55&lt;&gt;""),"Las subactividades no llevan peso"&amp;" · ","")&amp;IF(AND($S55="Macro",ABS(SUMIFS($G$5:$G$1000,$P$5:$P$1000,$P55,$S$5:$S$1000,"Macro")-1)&gt;0.0001),"Pesos del mes suman "&amp;TEXT(SUMIFS($G$5:$G$1000,$P$5:$P$1000,$P55,$S$5:$S$1000,"Macro"),"0%")&amp;" · ","")&amp;IF(AND(N($T55)&gt;0,COUNT($H55:$K55)&gt;0),"Con subactividades: deje vacías las semanas (se calculan solas)"&amp;" · ","")&amp;IF((COUNTIF($H55:$K55,"&gt;1")+COUNTIF($H55:$K55,"&lt;0")+COUNTA($H55:$K55)-COUNT($H55:$K55))&gt;0,"Avance fuera de rango 0-100%"&amp;" · ","")&amp;IF(OR(AND($I55&lt;&gt;"",$I55&lt;$H55),AND($J55&lt;&gt;"",$J55&lt;MAX($H55:$I55)),AND($K55&lt;&gt;"",$K55&lt;MAX($H55:$J55))),"Avance semanal decreciente"&amp;" · ","")&amp;IF(AND(ISNUMBER($F55),$F55&lt;FechaRef,N($L55)&lt;1),"Vencida"&amp;" · ","")&amp;IF(AND(ObsObligatoria="Sí",ISNUMBER($F55),$F55&lt;FechaRef,N($L55)&lt;1,$N55=""),"Vencida sin observación"&amp;" · ",""))-3)))</f>
        <v/>
      </c>
      <c r="P55" s="69">
        <f>IF(NOT((COUNTA($B55:$K55)+COUNTA($N55))&gt;0),"",IF(AND($S55="Sub",N($R55)&gt;0),IF(ISNUMBER(INDEX($E$5:$E$1000,$R55-4)),DATE(YEAR(INDEX($E$5:$E$1000,$R55-4)),MONTH(INDEX($E$5:$E$1000,$R55-4)),1),IF(ISNUMBER(INDEX($F$5:$F$1000,$R55-4)),DATE(YEAR(INDEX($F$5:$F$1000,$R55-4)),MONTH(INDEX($F$5:$F$1000,$R55-4)),1),MesCiclo)),IF(ISNUMBER($E55),DATE(YEAR($E55),MONTH($E55),1),IF(ISNUMBER($F55),DATE(YEAR($F55),MONTH($F55),1),MesCiclo))))</f>
        <v/>
      </c>
      <c r="Q55" s="70">
        <f>IF(OR($P55="",$P55&lt;&gt;MesCiclo),"",COUNTIF($P$5:$P55,MesCiclo))</f>
        <v/>
      </c>
      <c r="R55" s="70">
        <f>IF($S55="","",IF($S55="Macro",ROW(),IFERROR(LOOKUP(2,1/($S$5:$S55="Macro"),ROW($S$5:$S55)),0)))</f>
        <v/>
      </c>
      <c r="S55" s="70">
        <f>IF(NOT((COUNTA($B55:$K55)+COUNTA($N55))&gt;0),"",IF($B55&lt;&gt;"","Macro",IF($C55&lt;&gt;"","Sub","Macro")))</f>
        <v/>
      </c>
      <c r="T55" s="70">
        <f>IF($S55="Macro",COUNTIFS($R$5:$R$1000,ROW(),$S$5:$S$1000,"Sub"),"")</f>
        <v/>
      </c>
      <c r="U55" s="70">
        <f>IF($S55="","",IF(ISNUMBER($H55),$H55,0))</f>
        <v/>
      </c>
      <c r="V55" s="70">
        <f>IF($S55="","",IF(ISNUMBER($I55),$I55,$U55))</f>
        <v/>
      </c>
      <c r="W55" s="70">
        <f>IF($S55="","",IF(ISNUMBER($J55),$J55,$V55))</f>
        <v/>
      </c>
      <c r="X55" s="70">
        <f>IF($S55="","",IF(ISNUMBER($K55),$K55,$W55))</f>
        <v/>
      </c>
      <c r="Y55" s="70">
        <f>IF($S55="","",IF(N($T55)&gt;0,AVERAGEIFS($U$5:$U$1000,$R$5:$R$1000,ROW(),$S$5:$S$1000,"Sub"),$U55))</f>
        <v/>
      </c>
      <c r="Z55" s="70">
        <f>IF($S55="","",IF(N($T55)&gt;0,AVERAGEIFS($V$5:$V$1000,$R$5:$R$1000,ROW(),$S$5:$S$1000,"Sub"),$V55))</f>
        <v/>
      </c>
      <c r="AA55" s="70">
        <f>IF($S55="","",IF(N($T55)&gt;0,AVERAGEIFS($W$5:$W$1000,$R$5:$R$1000,ROW(),$S$5:$S$1000,"Sub"),$W55))</f>
        <v/>
      </c>
      <c r="AB55" s="70">
        <f>IF($S55="","",IF(N($T55)&gt;0,AVERAGEIFS($X$5:$X$1000,$R$5:$R$1000,ROW(),$S$5:$S$1000,"Sub"),$X55))</f>
        <v/>
      </c>
    </row>
    <row r="56">
      <c r="A56" s="61">
        <f>IF(NOT((COUNTA($B56:$K56)+COUNTA($N56))&gt;0),"",IF($S56="Macro",COUNTIFS($S$5:$S56,"Macro",$P$5:$P56,$P56),IF(N($R56)=0,"?",COUNTIFS(INDEX($S$5:$S$1000,1):INDEX($S$5:$S$1000,$R56-4),"Macro",INDEX($P$5:$P$1000,1):INDEX($P$5:$P$1000,$R56-4),INDEX($P$5:$P$1000,$R56-4))&amp;"."&amp;COUNTIFS($R$5:$R56,$R56,$S$5:$S56,"Sub"))))</f>
        <v/>
      </c>
      <c r="B56" s="62" t="n"/>
      <c r="C56" s="63" t="n"/>
      <c r="D56" s="62" t="n"/>
      <c r="E56" s="64" t="n"/>
      <c r="F56" s="64" t="n"/>
      <c r="G56" s="65" t="n"/>
      <c r="H56" s="66" t="n"/>
      <c r="I56" s="66" t="n"/>
      <c r="J56" s="66" t="n"/>
      <c r="K56" s="66" t="n"/>
      <c r="L56" s="67">
        <f>IF(NOT((COUNTA($B56:$K56)+COUNTA($N56))&gt;0),"",IF(N($T56)&gt;0,$AB56,IFERROR(LOOKUP(2,1/(H56:K56&lt;&gt;""),H56:K56),0)))</f>
        <v/>
      </c>
      <c r="M56" s="61">
        <f>IF(L56="","",IF(L56&gt;=1,"Completado",IF(L56&gt;0,"En curso","Pendiente")))</f>
        <v/>
      </c>
      <c r="N56" s="62" t="n"/>
      <c r="O56" s="68">
        <f>IF(NOT((COUNTA($B56:$K56)+COUNTA($N56))&gt;0),"",IF((IF(AND($S56="Macro",$B56=""),"Macroactividad vacía"&amp;" · ","")&amp;IF(AND($B56&lt;&gt;"",$C56&lt;&gt;""),"Escriba la subactividad en otra fila, debajo de su macroactividad"&amp;" · ","")&amp;IF(AND($S56="Sub",N($R56)=0),"Subactividad sin macroactividad arriba"&amp;" · ","")&amp;IF($D56="","Sin responsable"&amp;" · ","")&amp;IF($E56="","Sin fecha de inicio"&amp;" · ","")&amp;IF($F56="","Sin fecha límite"&amp;" · ","")&amp;IF(OR(AND($E56&lt;&gt;"",NOT(ISNUMBER($E56))),AND($F56&lt;&gt;"",NOT(ISNUMBER($F56)))),"Fecha no válida"&amp;" · ","")&amp;IF(AND(ISNUMBER($E56),ISNUMBER($F56),$E56&gt;$F56),"Inicio posterior a fecha límite"&amp;" · ","")&amp;IF(AND($S56="Macro",$G56=""),"Peso vacío"&amp;" · ","")&amp;IF(AND($S56="Macro",$G56&lt;&gt;"",OR(NOT(ISNUMBER($G56)),$G56&lt;=0,$G56&gt;1)),"Peso fuera de rango"&amp;" · ","")&amp;IF(AND($S56="Sub",$G56&lt;&gt;""),"Las subactividades no llevan peso"&amp;" · ","")&amp;IF(AND($S56="Macro",ABS(SUMIFS($G$5:$G$1000,$P$5:$P$1000,$P56,$S$5:$S$1000,"Macro")-1)&gt;0.0001),"Pesos del mes suman "&amp;TEXT(SUMIFS($G$5:$G$1000,$P$5:$P$1000,$P56,$S$5:$S$1000,"Macro"),"0%")&amp;" · ","")&amp;IF(AND(N($T56)&gt;0,COUNT($H56:$K56)&gt;0),"Con subactividades: deje vacías las semanas (se calculan solas)"&amp;" · ","")&amp;IF((COUNTIF($H56:$K56,"&gt;1")+COUNTIF($H56:$K56,"&lt;0")+COUNTA($H56:$K56)-COUNT($H56:$K56))&gt;0,"Avance fuera de rango 0-100%"&amp;" · ","")&amp;IF(OR(AND($I56&lt;&gt;"",$I56&lt;$H56),AND($J56&lt;&gt;"",$J56&lt;MAX($H56:$I56)),AND($K56&lt;&gt;"",$K56&lt;MAX($H56:$J56))),"Avance semanal decreciente"&amp;" · ","")&amp;IF(AND(ISNUMBER($F56),$F56&lt;FechaRef,N($L56)&lt;1),"Vencida"&amp;" · ","")&amp;IF(AND(ObsObligatoria="Sí",ISNUMBER($F56),$F56&lt;FechaRef,N($L56)&lt;1,$N56=""),"Vencida sin observación"&amp;" · ",""))="","✔ OK","⚠ "&amp;LEFT(IF(AND($S56="Macro",$B56=""),"Macroactividad vacía"&amp;" · ","")&amp;IF(AND($B56&lt;&gt;"",$C56&lt;&gt;""),"Escriba la subactividad en otra fila, debajo de su macroactividad"&amp;" · ","")&amp;IF(AND($S56="Sub",N($R56)=0),"Subactividad sin macroactividad arriba"&amp;" · ","")&amp;IF($D56="","Sin responsable"&amp;" · ","")&amp;IF($E56="","Sin fecha de inicio"&amp;" · ","")&amp;IF($F56="","Sin fecha límite"&amp;" · ","")&amp;IF(OR(AND($E56&lt;&gt;"",NOT(ISNUMBER($E56))),AND($F56&lt;&gt;"",NOT(ISNUMBER($F56)))),"Fecha no válida"&amp;" · ","")&amp;IF(AND(ISNUMBER($E56),ISNUMBER($F56),$E56&gt;$F56),"Inicio posterior a fecha límite"&amp;" · ","")&amp;IF(AND($S56="Macro",$G56=""),"Peso vacío"&amp;" · ","")&amp;IF(AND($S56="Macro",$G56&lt;&gt;"",OR(NOT(ISNUMBER($G56)),$G56&lt;=0,$G56&gt;1)),"Peso fuera de rango"&amp;" · ","")&amp;IF(AND($S56="Sub",$G56&lt;&gt;""),"Las subactividades no llevan peso"&amp;" · ","")&amp;IF(AND($S56="Macro",ABS(SUMIFS($G$5:$G$1000,$P$5:$P$1000,$P56,$S$5:$S$1000,"Macro")-1)&gt;0.0001),"Pesos del mes suman "&amp;TEXT(SUMIFS($G$5:$G$1000,$P$5:$P$1000,$P56,$S$5:$S$1000,"Macro"),"0%")&amp;" · ","")&amp;IF(AND(N($T56)&gt;0,COUNT($H56:$K56)&gt;0),"Con subactividades: deje vacías las semanas (se calculan solas)"&amp;" · ","")&amp;IF((COUNTIF($H56:$K56,"&gt;1")+COUNTIF($H56:$K56,"&lt;0")+COUNTA($H56:$K56)-COUNT($H56:$K56))&gt;0,"Avance fuera de rango 0-100%"&amp;" · ","")&amp;IF(OR(AND($I56&lt;&gt;"",$I56&lt;$H56),AND($J56&lt;&gt;"",$J56&lt;MAX($H56:$I56)),AND($K56&lt;&gt;"",$K56&lt;MAX($H56:$J56))),"Avance semanal decreciente"&amp;" · ","")&amp;IF(AND(ISNUMBER($F56),$F56&lt;FechaRef,N($L56)&lt;1),"Vencida"&amp;" · ","")&amp;IF(AND(ObsObligatoria="Sí",ISNUMBER($F56),$F56&lt;FechaRef,N($L56)&lt;1,$N56=""),"Vencida sin observación"&amp;" · ",""),LEN(IF(AND($S56="Macro",$B56=""),"Macroactividad vacía"&amp;" · ","")&amp;IF(AND($B56&lt;&gt;"",$C56&lt;&gt;""),"Escriba la subactividad en otra fila, debajo de su macroactividad"&amp;" · ","")&amp;IF(AND($S56="Sub",N($R56)=0),"Subactividad sin macroactividad arriba"&amp;" · ","")&amp;IF($D56="","Sin responsable"&amp;" · ","")&amp;IF($E56="","Sin fecha de inicio"&amp;" · ","")&amp;IF($F56="","Sin fecha límite"&amp;" · ","")&amp;IF(OR(AND($E56&lt;&gt;"",NOT(ISNUMBER($E56))),AND($F56&lt;&gt;"",NOT(ISNUMBER($F56)))),"Fecha no válida"&amp;" · ","")&amp;IF(AND(ISNUMBER($E56),ISNUMBER($F56),$E56&gt;$F56),"Inicio posterior a fecha límite"&amp;" · ","")&amp;IF(AND($S56="Macro",$G56=""),"Peso vacío"&amp;" · ","")&amp;IF(AND($S56="Macro",$G56&lt;&gt;"",OR(NOT(ISNUMBER($G56)),$G56&lt;=0,$G56&gt;1)),"Peso fuera de rango"&amp;" · ","")&amp;IF(AND($S56="Sub",$G56&lt;&gt;""),"Las subactividades no llevan peso"&amp;" · ","")&amp;IF(AND($S56="Macro",ABS(SUMIFS($G$5:$G$1000,$P$5:$P$1000,$P56,$S$5:$S$1000,"Macro")-1)&gt;0.0001),"Pesos del mes suman "&amp;TEXT(SUMIFS($G$5:$G$1000,$P$5:$P$1000,$P56,$S$5:$S$1000,"Macro"),"0%")&amp;" · ","")&amp;IF(AND(N($T56)&gt;0,COUNT($H56:$K56)&gt;0),"Con subactividades: deje vacías las semanas (se calculan solas)"&amp;" · ","")&amp;IF((COUNTIF($H56:$K56,"&gt;1")+COUNTIF($H56:$K56,"&lt;0")+COUNTA($H56:$K56)-COUNT($H56:$K56))&gt;0,"Avance fuera de rango 0-100%"&amp;" · ","")&amp;IF(OR(AND($I56&lt;&gt;"",$I56&lt;$H56),AND($J56&lt;&gt;"",$J56&lt;MAX($H56:$I56)),AND($K56&lt;&gt;"",$K56&lt;MAX($H56:$J56))),"Avance semanal decreciente"&amp;" · ","")&amp;IF(AND(ISNUMBER($F56),$F56&lt;FechaRef,N($L56)&lt;1),"Vencida"&amp;" · ","")&amp;IF(AND(ObsObligatoria="Sí",ISNUMBER($F56),$F56&lt;FechaRef,N($L56)&lt;1,$N56=""),"Vencida sin observación"&amp;" · ",""))-3)))</f>
        <v/>
      </c>
      <c r="P56" s="69">
        <f>IF(NOT((COUNTA($B56:$K56)+COUNTA($N56))&gt;0),"",IF(AND($S56="Sub",N($R56)&gt;0),IF(ISNUMBER(INDEX($E$5:$E$1000,$R56-4)),DATE(YEAR(INDEX($E$5:$E$1000,$R56-4)),MONTH(INDEX($E$5:$E$1000,$R56-4)),1),IF(ISNUMBER(INDEX($F$5:$F$1000,$R56-4)),DATE(YEAR(INDEX($F$5:$F$1000,$R56-4)),MONTH(INDEX($F$5:$F$1000,$R56-4)),1),MesCiclo)),IF(ISNUMBER($E56),DATE(YEAR($E56),MONTH($E56),1),IF(ISNUMBER($F56),DATE(YEAR($F56),MONTH($F56),1),MesCiclo))))</f>
        <v/>
      </c>
      <c r="Q56" s="70">
        <f>IF(OR($P56="",$P56&lt;&gt;MesCiclo),"",COUNTIF($P$5:$P56,MesCiclo))</f>
        <v/>
      </c>
      <c r="R56" s="70">
        <f>IF($S56="","",IF($S56="Macro",ROW(),IFERROR(LOOKUP(2,1/($S$5:$S56="Macro"),ROW($S$5:$S56)),0)))</f>
        <v/>
      </c>
      <c r="S56" s="70">
        <f>IF(NOT((COUNTA($B56:$K56)+COUNTA($N56))&gt;0),"",IF($B56&lt;&gt;"","Macro",IF($C56&lt;&gt;"","Sub","Macro")))</f>
        <v/>
      </c>
      <c r="T56" s="70">
        <f>IF($S56="Macro",COUNTIFS($R$5:$R$1000,ROW(),$S$5:$S$1000,"Sub"),"")</f>
        <v/>
      </c>
      <c r="U56" s="70">
        <f>IF($S56="","",IF(ISNUMBER($H56),$H56,0))</f>
        <v/>
      </c>
      <c r="V56" s="70">
        <f>IF($S56="","",IF(ISNUMBER($I56),$I56,$U56))</f>
        <v/>
      </c>
      <c r="W56" s="70">
        <f>IF($S56="","",IF(ISNUMBER($J56),$J56,$V56))</f>
        <v/>
      </c>
      <c r="X56" s="70">
        <f>IF($S56="","",IF(ISNUMBER($K56),$K56,$W56))</f>
        <v/>
      </c>
      <c r="Y56" s="70">
        <f>IF($S56="","",IF(N($T56)&gt;0,AVERAGEIFS($U$5:$U$1000,$R$5:$R$1000,ROW(),$S$5:$S$1000,"Sub"),$U56))</f>
        <v/>
      </c>
      <c r="Z56" s="70">
        <f>IF($S56="","",IF(N($T56)&gt;0,AVERAGEIFS($V$5:$V$1000,$R$5:$R$1000,ROW(),$S$5:$S$1000,"Sub"),$V56))</f>
        <v/>
      </c>
      <c r="AA56" s="70">
        <f>IF($S56="","",IF(N($T56)&gt;0,AVERAGEIFS($W$5:$W$1000,$R$5:$R$1000,ROW(),$S$5:$S$1000,"Sub"),$W56))</f>
        <v/>
      </c>
      <c r="AB56" s="70">
        <f>IF($S56="","",IF(N($T56)&gt;0,AVERAGEIFS($X$5:$X$1000,$R$5:$R$1000,ROW(),$S$5:$S$1000,"Sub"),$X56))</f>
        <v/>
      </c>
    </row>
    <row r="57">
      <c r="A57" s="61">
        <f>IF(NOT((COUNTA($B57:$K57)+COUNTA($N57))&gt;0),"",IF($S57="Macro",COUNTIFS($S$5:$S57,"Macro",$P$5:$P57,$P57),IF(N($R57)=0,"?",COUNTIFS(INDEX($S$5:$S$1000,1):INDEX($S$5:$S$1000,$R57-4),"Macro",INDEX($P$5:$P$1000,1):INDEX($P$5:$P$1000,$R57-4),INDEX($P$5:$P$1000,$R57-4))&amp;"."&amp;COUNTIFS($R$5:$R57,$R57,$S$5:$S57,"Sub"))))</f>
        <v/>
      </c>
      <c r="B57" s="62" t="n"/>
      <c r="C57" s="63" t="n"/>
      <c r="D57" s="62" t="n"/>
      <c r="E57" s="64" t="n"/>
      <c r="F57" s="64" t="n"/>
      <c r="G57" s="65" t="n"/>
      <c r="H57" s="66" t="n"/>
      <c r="I57" s="66" t="n"/>
      <c r="J57" s="66" t="n"/>
      <c r="K57" s="66" t="n"/>
      <c r="L57" s="67">
        <f>IF(NOT((COUNTA($B57:$K57)+COUNTA($N57))&gt;0),"",IF(N($T57)&gt;0,$AB57,IFERROR(LOOKUP(2,1/(H57:K57&lt;&gt;""),H57:K57),0)))</f>
        <v/>
      </c>
      <c r="M57" s="61">
        <f>IF(L57="","",IF(L57&gt;=1,"Completado",IF(L57&gt;0,"En curso","Pendiente")))</f>
        <v/>
      </c>
      <c r="N57" s="62" t="n"/>
      <c r="O57" s="68">
        <f>IF(NOT((COUNTA($B57:$K57)+COUNTA($N57))&gt;0),"",IF((IF(AND($S57="Macro",$B57=""),"Macroactividad vacía"&amp;" · ","")&amp;IF(AND($B57&lt;&gt;"",$C57&lt;&gt;""),"Escriba la subactividad en otra fila, debajo de su macroactividad"&amp;" · ","")&amp;IF(AND($S57="Sub",N($R57)=0),"Subactividad sin macroactividad arriba"&amp;" · ","")&amp;IF($D57="","Sin responsable"&amp;" · ","")&amp;IF($E57="","Sin fecha de inicio"&amp;" · ","")&amp;IF($F57="","Sin fecha límite"&amp;" · ","")&amp;IF(OR(AND($E57&lt;&gt;"",NOT(ISNUMBER($E57))),AND($F57&lt;&gt;"",NOT(ISNUMBER($F57)))),"Fecha no válida"&amp;" · ","")&amp;IF(AND(ISNUMBER($E57),ISNUMBER($F57),$E57&gt;$F57),"Inicio posterior a fecha límite"&amp;" · ","")&amp;IF(AND($S57="Macro",$G57=""),"Peso vacío"&amp;" · ","")&amp;IF(AND($S57="Macro",$G57&lt;&gt;"",OR(NOT(ISNUMBER($G57)),$G57&lt;=0,$G57&gt;1)),"Peso fuera de rango"&amp;" · ","")&amp;IF(AND($S57="Sub",$G57&lt;&gt;""),"Las subactividades no llevan peso"&amp;" · ","")&amp;IF(AND($S57="Macro",ABS(SUMIFS($G$5:$G$1000,$P$5:$P$1000,$P57,$S$5:$S$1000,"Macro")-1)&gt;0.0001),"Pesos del mes suman "&amp;TEXT(SUMIFS($G$5:$G$1000,$P$5:$P$1000,$P57,$S$5:$S$1000,"Macro"),"0%")&amp;" · ","")&amp;IF(AND(N($T57)&gt;0,COUNT($H57:$K57)&gt;0),"Con subactividades: deje vacías las semanas (se calculan solas)"&amp;" · ","")&amp;IF((COUNTIF($H57:$K57,"&gt;1")+COUNTIF($H57:$K57,"&lt;0")+COUNTA($H57:$K57)-COUNT($H57:$K57))&gt;0,"Avance fuera de rango 0-100%"&amp;" · ","")&amp;IF(OR(AND($I57&lt;&gt;"",$I57&lt;$H57),AND($J57&lt;&gt;"",$J57&lt;MAX($H57:$I57)),AND($K57&lt;&gt;"",$K57&lt;MAX($H57:$J57))),"Avance semanal decreciente"&amp;" · ","")&amp;IF(AND(ISNUMBER($F57),$F57&lt;FechaRef,N($L57)&lt;1),"Vencida"&amp;" · ","")&amp;IF(AND(ObsObligatoria="Sí",ISNUMBER($F57),$F57&lt;FechaRef,N($L57)&lt;1,$N57=""),"Vencida sin observación"&amp;" · ",""))="","✔ OK","⚠ "&amp;LEFT(IF(AND($S57="Macro",$B57=""),"Macroactividad vacía"&amp;" · ","")&amp;IF(AND($B57&lt;&gt;"",$C57&lt;&gt;""),"Escriba la subactividad en otra fila, debajo de su macroactividad"&amp;" · ","")&amp;IF(AND($S57="Sub",N($R57)=0),"Subactividad sin macroactividad arriba"&amp;" · ","")&amp;IF($D57="","Sin responsable"&amp;" · ","")&amp;IF($E57="","Sin fecha de inicio"&amp;" · ","")&amp;IF($F57="","Sin fecha límite"&amp;" · ","")&amp;IF(OR(AND($E57&lt;&gt;"",NOT(ISNUMBER($E57))),AND($F57&lt;&gt;"",NOT(ISNUMBER($F57)))),"Fecha no válida"&amp;" · ","")&amp;IF(AND(ISNUMBER($E57),ISNUMBER($F57),$E57&gt;$F57),"Inicio posterior a fecha límite"&amp;" · ","")&amp;IF(AND($S57="Macro",$G57=""),"Peso vacío"&amp;" · ","")&amp;IF(AND($S57="Macro",$G57&lt;&gt;"",OR(NOT(ISNUMBER($G57)),$G57&lt;=0,$G57&gt;1)),"Peso fuera de rango"&amp;" · ","")&amp;IF(AND($S57="Sub",$G57&lt;&gt;""),"Las subactividades no llevan peso"&amp;" · ","")&amp;IF(AND($S57="Macro",ABS(SUMIFS($G$5:$G$1000,$P$5:$P$1000,$P57,$S$5:$S$1000,"Macro")-1)&gt;0.0001),"Pesos del mes suman "&amp;TEXT(SUMIFS($G$5:$G$1000,$P$5:$P$1000,$P57,$S$5:$S$1000,"Macro"),"0%")&amp;" · ","")&amp;IF(AND(N($T57)&gt;0,COUNT($H57:$K57)&gt;0),"Con subactividades: deje vacías las semanas (se calculan solas)"&amp;" · ","")&amp;IF((COUNTIF($H57:$K57,"&gt;1")+COUNTIF($H57:$K57,"&lt;0")+COUNTA($H57:$K57)-COUNT($H57:$K57))&gt;0,"Avance fuera de rango 0-100%"&amp;" · ","")&amp;IF(OR(AND($I57&lt;&gt;"",$I57&lt;$H57),AND($J57&lt;&gt;"",$J57&lt;MAX($H57:$I57)),AND($K57&lt;&gt;"",$K57&lt;MAX($H57:$J57))),"Avance semanal decreciente"&amp;" · ","")&amp;IF(AND(ISNUMBER($F57),$F57&lt;FechaRef,N($L57)&lt;1),"Vencida"&amp;" · ","")&amp;IF(AND(ObsObligatoria="Sí",ISNUMBER($F57),$F57&lt;FechaRef,N($L57)&lt;1,$N57=""),"Vencida sin observación"&amp;" · ",""),LEN(IF(AND($S57="Macro",$B57=""),"Macroactividad vacía"&amp;" · ","")&amp;IF(AND($B57&lt;&gt;"",$C57&lt;&gt;""),"Escriba la subactividad en otra fila, debajo de su macroactividad"&amp;" · ","")&amp;IF(AND($S57="Sub",N($R57)=0),"Subactividad sin macroactividad arriba"&amp;" · ","")&amp;IF($D57="","Sin responsable"&amp;" · ","")&amp;IF($E57="","Sin fecha de inicio"&amp;" · ","")&amp;IF($F57="","Sin fecha límite"&amp;" · ","")&amp;IF(OR(AND($E57&lt;&gt;"",NOT(ISNUMBER($E57))),AND($F57&lt;&gt;"",NOT(ISNUMBER($F57)))),"Fecha no válida"&amp;" · ","")&amp;IF(AND(ISNUMBER($E57),ISNUMBER($F57),$E57&gt;$F57),"Inicio posterior a fecha límite"&amp;" · ","")&amp;IF(AND($S57="Macro",$G57=""),"Peso vacío"&amp;" · ","")&amp;IF(AND($S57="Macro",$G57&lt;&gt;"",OR(NOT(ISNUMBER($G57)),$G57&lt;=0,$G57&gt;1)),"Peso fuera de rango"&amp;" · ","")&amp;IF(AND($S57="Sub",$G57&lt;&gt;""),"Las subactividades no llevan peso"&amp;" · ","")&amp;IF(AND($S57="Macro",ABS(SUMIFS($G$5:$G$1000,$P$5:$P$1000,$P57,$S$5:$S$1000,"Macro")-1)&gt;0.0001),"Pesos del mes suman "&amp;TEXT(SUMIFS($G$5:$G$1000,$P$5:$P$1000,$P57,$S$5:$S$1000,"Macro"),"0%")&amp;" · ","")&amp;IF(AND(N($T57)&gt;0,COUNT($H57:$K57)&gt;0),"Con subactividades: deje vacías las semanas (se calculan solas)"&amp;" · ","")&amp;IF((COUNTIF($H57:$K57,"&gt;1")+COUNTIF($H57:$K57,"&lt;0")+COUNTA($H57:$K57)-COUNT($H57:$K57))&gt;0,"Avance fuera de rango 0-100%"&amp;" · ","")&amp;IF(OR(AND($I57&lt;&gt;"",$I57&lt;$H57),AND($J57&lt;&gt;"",$J57&lt;MAX($H57:$I57)),AND($K57&lt;&gt;"",$K57&lt;MAX($H57:$J57))),"Avance semanal decreciente"&amp;" · ","")&amp;IF(AND(ISNUMBER($F57),$F57&lt;FechaRef,N($L57)&lt;1),"Vencida"&amp;" · ","")&amp;IF(AND(ObsObligatoria="Sí",ISNUMBER($F57),$F57&lt;FechaRef,N($L57)&lt;1,$N57=""),"Vencida sin observación"&amp;" · ",""))-3)))</f>
        <v/>
      </c>
      <c r="P57" s="69">
        <f>IF(NOT((COUNTA($B57:$K57)+COUNTA($N57))&gt;0),"",IF(AND($S57="Sub",N($R57)&gt;0),IF(ISNUMBER(INDEX($E$5:$E$1000,$R57-4)),DATE(YEAR(INDEX($E$5:$E$1000,$R57-4)),MONTH(INDEX($E$5:$E$1000,$R57-4)),1),IF(ISNUMBER(INDEX($F$5:$F$1000,$R57-4)),DATE(YEAR(INDEX($F$5:$F$1000,$R57-4)),MONTH(INDEX($F$5:$F$1000,$R57-4)),1),MesCiclo)),IF(ISNUMBER($E57),DATE(YEAR($E57),MONTH($E57),1),IF(ISNUMBER($F57),DATE(YEAR($F57),MONTH($F57),1),MesCiclo))))</f>
        <v/>
      </c>
      <c r="Q57" s="70">
        <f>IF(OR($P57="",$P57&lt;&gt;MesCiclo),"",COUNTIF($P$5:$P57,MesCiclo))</f>
        <v/>
      </c>
      <c r="R57" s="70">
        <f>IF($S57="","",IF($S57="Macro",ROW(),IFERROR(LOOKUP(2,1/($S$5:$S57="Macro"),ROW($S$5:$S57)),0)))</f>
        <v/>
      </c>
      <c r="S57" s="70">
        <f>IF(NOT((COUNTA($B57:$K57)+COUNTA($N57))&gt;0),"",IF($B57&lt;&gt;"","Macro",IF($C57&lt;&gt;"","Sub","Macro")))</f>
        <v/>
      </c>
      <c r="T57" s="70">
        <f>IF($S57="Macro",COUNTIFS($R$5:$R$1000,ROW(),$S$5:$S$1000,"Sub"),"")</f>
        <v/>
      </c>
      <c r="U57" s="70">
        <f>IF($S57="","",IF(ISNUMBER($H57),$H57,0))</f>
        <v/>
      </c>
      <c r="V57" s="70">
        <f>IF($S57="","",IF(ISNUMBER($I57),$I57,$U57))</f>
        <v/>
      </c>
      <c r="W57" s="70">
        <f>IF($S57="","",IF(ISNUMBER($J57),$J57,$V57))</f>
        <v/>
      </c>
      <c r="X57" s="70">
        <f>IF($S57="","",IF(ISNUMBER($K57),$K57,$W57))</f>
        <v/>
      </c>
      <c r="Y57" s="70">
        <f>IF($S57="","",IF(N($T57)&gt;0,AVERAGEIFS($U$5:$U$1000,$R$5:$R$1000,ROW(),$S$5:$S$1000,"Sub"),$U57))</f>
        <v/>
      </c>
      <c r="Z57" s="70">
        <f>IF($S57="","",IF(N($T57)&gt;0,AVERAGEIFS($V$5:$V$1000,$R$5:$R$1000,ROW(),$S$5:$S$1000,"Sub"),$V57))</f>
        <v/>
      </c>
      <c r="AA57" s="70">
        <f>IF($S57="","",IF(N($T57)&gt;0,AVERAGEIFS($W$5:$W$1000,$R$5:$R$1000,ROW(),$S$5:$S$1000,"Sub"),$W57))</f>
        <v/>
      </c>
      <c r="AB57" s="70">
        <f>IF($S57="","",IF(N($T57)&gt;0,AVERAGEIFS($X$5:$X$1000,$R$5:$R$1000,ROW(),$S$5:$S$1000,"Sub"),$X57))</f>
        <v/>
      </c>
    </row>
    <row r="58">
      <c r="A58" s="61">
        <f>IF(NOT((COUNTA($B58:$K58)+COUNTA($N58))&gt;0),"",IF($S58="Macro",COUNTIFS($S$5:$S58,"Macro",$P$5:$P58,$P58),IF(N($R58)=0,"?",COUNTIFS(INDEX($S$5:$S$1000,1):INDEX($S$5:$S$1000,$R58-4),"Macro",INDEX($P$5:$P$1000,1):INDEX($P$5:$P$1000,$R58-4),INDEX($P$5:$P$1000,$R58-4))&amp;"."&amp;COUNTIFS($R$5:$R58,$R58,$S$5:$S58,"Sub"))))</f>
        <v/>
      </c>
      <c r="B58" s="62" t="n"/>
      <c r="C58" s="63" t="n"/>
      <c r="D58" s="62" t="n"/>
      <c r="E58" s="64" t="n"/>
      <c r="F58" s="64" t="n"/>
      <c r="G58" s="65" t="n"/>
      <c r="H58" s="66" t="n"/>
      <c r="I58" s="66" t="n"/>
      <c r="J58" s="66" t="n"/>
      <c r="K58" s="66" t="n"/>
      <c r="L58" s="67">
        <f>IF(NOT((COUNTA($B58:$K58)+COUNTA($N58))&gt;0),"",IF(N($T58)&gt;0,$AB58,IFERROR(LOOKUP(2,1/(H58:K58&lt;&gt;""),H58:K58),0)))</f>
        <v/>
      </c>
      <c r="M58" s="61">
        <f>IF(L58="","",IF(L58&gt;=1,"Completado",IF(L58&gt;0,"En curso","Pendiente")))</f>
        <v/>
      </c>
      <c r="N58" s="62" t="n"/>
      <c r="O58" s="68">
        <f>IF(NOT((COUNTA($B58:$K58)+COUNTA($N58))&gt;0),"",IF((IF(AND($S58="Macro",$B58=""),"Macroactividad vacía"&amp;" · ","")&amp;IF(AND($B58&lt;&gt;"",$C58&lt;&gt;""),"Escriba la subactividad en otra fila, debajo de su macroactividad"&amp;" · ","")&amp;IF(AND($S58="Sub",N($R58)=0),"Subactividad sin macroactividad arriba"&amp;" · ","")&amp;IF($D58="","Sin responsable"&amp;" · ","")&amp;IF($E58="","Sin fecha de inicio"&amp;" · ","")&amp;IF($F58="","Sin fecha límite"&amp;" · ","")&amp;IF(OR(AND($E58&lt;&gt;"",NOT(ISNUMBER($E58))),AND($F58&lt;&gt;"",NOT(ISNUMBER($F58)))),"Fecha no válida"&amp;" · ","")&amp;IF(AND(ISNUMBER($E58),ISNUMBER($F58),$E58&gt;$F58),"Inicio posterior a fecha límite"&amp;" · ","")&amp;IF(AND($S58="Macro",$G58=""),"Peso vacío"&amp;" · ","")&amp;IF(AND($S58="Macro",$G58&lt;&gt;"",OR(NOT(ISNUMBER($G58)),$G58&lt;=0,$G58&gt;1)),"Peso fuera de rango"&amp;" · ","")&amp;IF(AND($S58="Sub",$G58&lt;&gt;""),"Las subactividades no llevan peso"&amp;" · ","")&amp;IF(AND($S58="Macro",ABS(SUMIFS($G$5:$G$1000,$P$5:$P$1000,$P58,$S$5:$S$1000,"Macro")-1)&gt;0.0001),"Pesos del mes suman "&amp;TEXT(SUMIFS($G$5:$G$1000,$P$5:$P$1000,$P58,$S$5:$S$1000,"Macro"),"0%")&amp;" · ","")&amp;IF(AND(N($T58)&gt;0,COUNT($H58:$K58)&gt;0),"Con subactividades: deje vacías las semanas (se calculan solas)"&amp;" · ","")&amp;IF((COUNTIF($H58:$K58,"&gt;1")+COUNTIF($H58:$K58,"&lt;0")+COUNTA($H58:$K58)-COUNT($H58:$K58))&gt;0,"Avance fuera de rango 0-100%"&amp;" · ","")&amp;IF(OR(AND($I58&lt;&gt;"",$I58&lt;$H58),AND($J58&lt;&gt;"",$J58&lt;MAX($H58:$I58)),AND($K58&lt;&gt;"",$K58&lt;MAX($H58:$J58))),"Avance semanal decreciente"&amp;" · ","")&amp;IF(AND(ISNUMBER($F58),$F58&lt;FechaRef,N($L58)&lt;1),"Vencida"&amp;" · ","")&amp;IF(AND(ObsObligatoria="Sí",ISNUMBER($F58),$F58&lt;FechaRef,N($L58)&lt;1,$N58=""),"Vencida sin observación"&amp;" · ",""))="","✔ OK","⚠ "&amp;LEFT(IF(AND($S58="Macro",$B58=""),"Macroactividad vacía"&amp;" · ","")&amp;IF(AND($B58&lt;&gt;"",$C58&lt;&gt;""),"Escriba la subactividad en otra fila, debajo de su macroactividad"&amp;" · ","")&amp;IF(AND($S58="Sub",N($R58)=0),"Subactividad sin macroactividad arriba"&amp;" · ","")&amp;IF($D58="","Sin responsable"&amp;" · ","")&amp;IF($E58="","Sin fecha de inicio"&amp;" · ","")&amp;IF($F58="","Sin fecha límite"&amp;" · ","")&amp;IF(OR(AND($E58&lt;&gt;"",NOT(ISNUMBER($E58))),AND($F58&lt;&gt;"",NOT(ISNUMBER($F58)))),"Fecha no válida"&amp;" · ","")&amp;IF(AND(ISNUMBER($E58),ISNUMBER($F58),$E58&gt;$F58),"Inicio posterior a fecha límite"&amp;" · ","")&amp;IF(AND($S58="Macro",$G58=""),"Peso vacío"&amp;" · ","")&amp;IF(AND($S58="Macro",$G58&lt;&gt;"",OR(NOT(ISNUMBER($G58)),$G58&lt;=0,$G58&gt;1)),"Peso fuera de rango"&amp;" · ","")&amp;IF(AND($S58="Sub",$G58&lt;&gt;""),"Las subactividades no llevan peso"&amp;" · ","")&amp;IF(AND($S58="Macro",ABS(SUMIFS($G$5:$G$1000,$P$5:$P$1000,$P58,$S$5:$S$1000,"Macro")-1)&gt;0.0001),"Pesos del mes suman "&amp;TEXT(SUMIFS($G$5:$G$1000,$P$5:$P$1000,$P58,$S$5:$S$1000,"Macro"),"0%")&amp;" · ","")&amp;IF(AND(N($T58)&gt;0,COUNT($H58:$K58)&gt;0),"Con subactividades: deje vacías las semanas (se calculan solas)"&amp;" · ","")&amp;IF((COUNTIF($H58:$K58,"&gt;1")+COUNTIF($H58:$K58,"&lt;0")+COUNTA($H58:$K58)-COUNT($H58:$K58))&gt;0,"Avance fuera de rango 0-100%"&amp;" · ","")&amp;IF(OR(AND($I58&lt;&gt;"",$I58&lt;$H58),AND($J58&lt;&gt;"",$J58&lt;MAX($H58:$I58)),AND($K58&lt;&gt;"",$K58&lt;MAX($H58:$J58))),"Avance semanal decreciente"&amp;" · ","")&amp;IF(AND(ISNUMBER($F58),$F58&lt;FechaRef,N($L58)&lt;1),"Vencida"&amp;" · ","")&amp;IF(AND(ObsObligatoria="Sí",ISNUMBER($F58),$F58&lt;FechaRef,N($L58)&lt;1,$N58=""),"Vencida sin observación"&amp;" · ",""),LEN(IF(AND($S58="Macro",$B58=""),"Macroactividad vacía"&amp;" · ","")&amp;IF(AND($B58&lt;&gt;"",$C58&lt;&gt;""),"Escriba la subactividad en otra fila, debajo de su macroactividad"&amp;" · ","")&amp;IF(AND($S58="Sub",N($R58)=0),"Subactividad sin macroactividad arriba"&amp;" · ","")&amp;IF($D58="","Sin responsable"&amp;" · ","")&amp;IF($E58="","Sin fecha de inicio"&amp;" · ","")&amp;IF($F58="","Sin fecha límite"&amp;" · ","")&amp;IF(OR(AND($E58&lt;&gt;"",NOT(ISNUMBER($E58))),AND($F58&lt;&gt;"",NOT(ISNUMBER($F58)))),"Fecha no válida"&amp;" · ","")&amp;IF(AND(ISNUMBER($E58),ISNUMBER($F58),$E58&gt;$F58),"Inicio posterior a fecha límite"&amp;" · ","")&amp;IF(AND($S58="Macro",$G58=""),"Peso vacío"&amp;" · ","")&amp;IF(AND($S58="Macro",$G58&lt;&gt;"",OR(NOT(ISNUMBER($G58)),$G58&lt;=0,$G58&gt;1)),"Peso fuera de rango"&amp;" · ","")&amp;IF(AND($S58="Sub",$G58&lt;&gt;""),"Las subactividades no llevan peso"&amp;" · ","")&amp;IF(AND($S58="Macro",ABS(SUMIFS($G$5:$G$1000,$P$5:$P$1000,$P58,$S$5:$S$1000,"Macro")-1)&gt;0.0001),"Pesos del mes suman "&amp;TEXT(SUMIFS($G$5:$G$1000,$P$5:$P$1000,$P58,$S$5:$S$1000,"Macro"),"0%")&amp;" · ","")&amp;IF(AND(N($T58)&gt;0,COUNT($H58:$K58)&gt;0),"Con subactividades: deje vacías las semanas (se calculan solas)"&amp;" · ","")&amp;IF((COUNTIF($H58:$K58,"&gt;1")+COUNTIF($H58:$K58,"&lt;0")+COUNTA($H58:$K58)-COUNT($H58:$K58))&gt;0,"Avance fuera de rango 0-100%"&amp;" · ","")&amp;IF(OR(AND($I58&lt;&gt;"",$I58&lt;$H58),AND($J58&lt;&gt;"",$J58&lt;MAX($H58:$I58)),AND($K58&lt;&gt;"",$K58&lt;MAX($H58:$J58))),"Avance semanal decreciente"&amp;" · ","")&amp;IF(AND(ISNUMBER($F58),$F58&lt;FechaRef,N($L58)&lt;1),"Vencida"&amp;" · ","")&amp;IF(AND(ObsObligatoria="Sí",ISNUMBER($F58),$F58&lt;FechaRef,N($L58)&lt;1,$N58=""),"Vencida sin observación"&amp;" · ",""))-3)))</f>
        <v/>
      </c>
      <c r="P58" s="69">
        <f>IF(NOT((COUNTA($B58:$K58)+COUNTA($N58))&gt;0),"",IF(AND($S58="Sub",N($R58)&gt;0),IF(ISNUMBER(INDEX($E$5:$E$1000,$R58-4)),DATE(YEAR(INDEX($E$5:$E$1000,$R58-4)),MONTH(INDEX($E$5:$E$1000,$R58-4)),1),IF(ISNUMBER(INDEX($F$5:$F$1000,$R58-4)),DATE(YEAR(INDEX($F$5:$F$1000,$R58-4)),MONTH(INDEX($F$5:$F$1000,$R58-4)),1),MesCiclo)),IF(ISNUMBER($E58),DATE(YEAR($E58),MONTH($E58),1),IF(ISNUMBER($F58),DATE(YEAR($F58),MONTH($F58),1),MesCiclo))))</f>
        <v/>
      </c>
      <c r="Q58" s="70">
        <f>IF(OR($P58="",$P58&lt;&gt;MesCiclo),"",COUNTIF($P$5:$P58,MesCiclo))</f>
        <v/>
      </c>
      <c r="R58" s="70">
        <f>IF($S58="","",IF($S58="Macro",ROW(),IFERROR(LOOKUP(2,1/($S$5:$S58="Macro"),ROW($S$5:$S58)),0)))</f>
        <v/>
      </c>
      <c r="S58" s="70">
        <f>IF(NOT((COUNTA($B58:$K58)+COUNTA($N58))&gt;0),"",IF($B58&lt;&gt;"","Macro",IF($C58&lt;&gt;"","Sub","Macro")))</f>
        <v/>
      </c>
      <c r="T58" s="70">
        <f>IF($S58="Macro",COUNTIFS($R$5:$R$1000,ROW(),$S$5:$S$1000,"Sub"),"")</f>
        <v/>
      </c>
      <c r="U58" s="70">
        <f>IF($S58="","",IF(ISNUMBER($H58),$H58,0))</f>
        <v/>
      </c>
      <c r="V58" s="70">
        <f>IF($S58="","",IF(ISNUMBER($I58),$I58,$U58))</f>
        <v/>
      </c>
      <c r="W58" s="70">
        <f>IF($S58="","",IF(ISNUMBER($J58),$J58,$V58))</f>
        <v/>
      </c>
      <c r="X58" s="70">
        <f>IF($S58="","",IF(ISNUMBER($K58),$K58,$W58))</f>
        <v/>
      </c>
      <c r="Y58" s="70">
        <f>IF($S58="","",IF(N($T58)&gt;0,AVERAGEIFS($U$5:$U$1000,$R$5:$R$1000,ROW(),$S$5:$S$1000,"Sub"),$U58))</f>
        <v/>
      </c>
      <c r="Z58" s="70">
        <f>IF($S58="","",IF(N($T58)&gt;0,AVERAGEIFS($V$5:$V$1000,$R$5:$R$1000,ROW(),$S$5:$S$1000,"Sub"),$V58))</f>
        <v/>
      </c>
      <c r="AA58" s="70">
        <f>IF($S58="","",IF(N($T58)&gt;0,AVERAGEIFS($W$5:$W$1000,$R$5:$R$1000,ROW(),$S$5:$S$1000,"Sub"),$W58))</f>
        <v/>
      </c>
      <c r="AB58" s="70">
        <f>IF($S58="","",IF(N($T58)&gt;0,AVERAGEIFS($X$5:$X$1000,$R$5:$R$1000,ROW(),$S$5:$S$1000,"Sub"),$X58))</f>
        <v/>
      </c>
    </row>
    <row r="59">
      <c r="A59" s="61">
        <f>IF(NOT((COUNTA($B59:$K59)+COUNTA($N59))&gt;0),"",IF($S59="Macro",COUNTIFS($S$5:$S59,"Macro",$P$5:$P59,$P59),IF(N($R59)=0,"?",COUNTIFS(INDEX($S$5:$S$1000,1):INDEX($S$5:$S$1000,$R59-4),"Macro",INDEX($P$5:$P$1000,1):INDEX($P$5:$P$1000,$R59-4),INDEX($P$5:$P$1000,$R59-4))&amp;"."&amp;COUNTIFS($R$5:$R59,$R59,$S$5:$S59,"Sub"))))</f>
        <v/>
      </c>
      <c r="B59" s="62" t="n"/>
      <c r="C59" s="63" t="n"/>
      <c r="D59" s="62" t="n"/>
      <c r="E59" s="64" t="n"/>
      <c r="F59" s="64" t="n"/>
      <c r="G59" s="65" t="n"/>
      <c r="H59" s="66" t="n"/>
      <c r="I59" s="66" t="n"/>
      <c r="J59" s="66" t="n"/>
      <c r="K59" s="66" t="n"/>
      <c r="L59" s="67">
        <f>IF(NOT((COUNTA($B59:$K59)+COUNTA($N59))&gt;0),"",IF(N($T59)&gt;0,$AB59,IFERROR(LOOKUP(2,1/(H59:K59&lt;&gt;""),H59:K59),0)))</f>
        <v/>
      </c>
      <c r="M59" s="61">
        <f>IF(L59="","",IF(L59&gt;=1,"Completado",IF(L59&gt;0,"En curso","Pendiente")))</f>
        <v/>
      </c>
      <c r="N59" s="62" t="n"/>
      <c r="O59" s="68">
        <f>IF(NOT((COUNTA($B59:$K59)+COUNTA($N59))&gt;0),"",IF((IF(AND($S59="Macro",$B59=""),"Macroactividad vacía"&amp;" · ","")&amp;IF(AND($B59&lt;&gt;"",$C59&lt;&gt;""),"Escriba la subactividad en otra fila, debajo de su macroactividad"&amp;" · ","")&amp;IF(AND($S59="Sub",N($R59)=0),"Subactividad sin macroactividad arriba"&amp;" · ","")&amp;IF($D59="","Sin responsable"&amp;" · ","")&amp;IF($E59="","Sin fecha de inicio"&amp;" · ","")&amp;IF($F59="","Sin fecha límite"&amp;" · ","")&amp;IF(OR(AND($E59&lt;&gt;"",NOT(ISNUMBER($E59))),AND($F59&lt;&gt;"",NOT(ISNUMBER($F59)))),"Fecha no válida"&amp;" · ","")&amp;IF(AND(ISNUMBER($E59),ISNUMBER($F59),$E59&gt;$F59),"Inicio posterior a fecha límite"&amp;" · ","")&amp;IF(AND($S59="Macro",$G59=""),"Peso vacío"&amp;" · ","")&amp;IF(AND($S59="Macro",$G59&lt;&gt;"",OR(NOT(ISNUMBER($G59)),$G59&lt;=0,$G59&gt;1)),"Peso fuera de rango"&amp;" · ","")&amp;IF(AND($S59="Sub",$G59&lt;&gt;""),"Las subactividades no llevan peso"&amp;" · ","")&amp;IF(AND($S59="Macro",ABS(SUMIFS($G$5:$G$1000,$P$5:$P$1000,$P59,$S$5:$S$1000,"Macro")-1)&gt;0.0001),"Pesos del mes suman "&amp;TEXT(SUMIFS($G$5:$G$1000,$P$5:$P$1000,$P59,$S$5:$S$1000,"Macro"),"0%")&amp;" · ","")&amp;IF(AND(N($T59)&gt;0,COUNT($H59:$K59)&gt;0),"Con subactividades: deje vacías las semanas (se calculan solas)"&amp;" · ","")&amp;IF((COUNTIF($H59:$K59,"&gt;1")+COUNTIF($H59:$K59,"&lt;0")+COUNTA($H59:$K59)-COUNT($H59:$K59))&gt;0,"Avance fuera de rango 0-100%"&amp;" · ","")&amp;IF(OR(AND($I59&lt;&gt;"",$I59&lt;$H59),AND($J59&lt;&gt;"",$J59&lt;MAX($H59:$I59)),AND($K59&lt;&gt;"",$K59&lt;MAX($H59:$J59))),"Avance semanal decreciente"&amp;" · ","")&amp;IF(AND(ISNUMBER($F59),$F59&lt;FechaRef,N($L59)&lt;1),"Vencida"&amp;" · ","")&amp;IF(AND(ObsObligatoria="Sí",ISNUMBER($F59),$F59&lt;FechaRef,N($L59)&lt;1,$N59=""),"Vencida sin observación"&amp;" · ",""))="","✔ OK","⚠ "&amp;LEFT(IF(AND($S59="Macro",$B59=""),"Macroactividad vacía"&amp;" · ","")&amp;IF(AND($B59&lt;&gt;"",$C59&lt;&gt;""),"Escriba la subactividad en otra fila, debajo de su macroactividad"&amp;" · ","")&amp;IF(AND($S59="Sub",N($R59)=0),"Subactividad sin macroactividad arriba"&amp;" · ","")&amp;IF($D59="","Sin responsable"&amp;" · ","")&amp;IF($E59="","Sin fecha de inicio"&amp;" · ","")&amp;IF($F59="","Sin fecha límite"&amp;" · ","")&amp;IF(OR(AND($E59&lt;&gt;"",NOT(ISNUMBER($E59))),AND($F59&lt;&gt;"",NOT(ISNUMBER($F59)))),"Fecha no válida"&amp;" · ","")&amp;IF(AND(ISNUMBER($E59),ISNUMBER($F59),$E59&gt;$F59),"Inicio posterior a fecha límite"&amp;" · ","")&amp;IF(AND($S59="Macro",$G59=""),"Peso vacío"&amp;" · ","")&amp;IF(AND($S59="Macro",$G59&lt;&gt;"",OR(NOT(ISNUMBER($G59)),$G59&lt;=0,$G59&gt;1)),"Peso fuera de rango"&amp;" · ","")&amp;IF(AND($S59="Sub",$G59&lt;&gt;""),"Las subactividades no llevan peso"&amp;" · ","")&amp;IF(AND($S59="Macro",ABS(SUMIFS($G$5:$G$1000,$P$5:$P$1000,$P59,$S$5:$S$1000,"Macro")-1)&gt;0.0001),"Pesos del mes suman "&amp;TEXT(SUMIFS($G$5:$G$1000,$P$5:$P$1000,$P59,$S$5:$S$1000,"Macro"),"0%")&amp;" · ","")&amp;IF(AND(N($T59)&gt;0,COUNT($H59:$K59)&gt;0),"Con subactividades: deje vacías las semanas (se calculan solas)"&amp;" · ","")&amp;IF((COUNTIF($H59:$K59,"&gt;1")+COUNTIF($H59:$K59,"&lt;0")+COUNTA($H59:$K59)-COUNT($H59:$K59))&gt;0,"Avance fuera de rango 0-100%"&amp;" · ","")&amp;IF(OR(AND($I59&lt;&gt;"",$I59&lt;$H59),AND($J59&lt;&gt;"",$J59&lt;MAX($H59:$I59)),AND($K59&lt;&gt;"",$K59&lt;MAX($H59:$J59))),"Avance semanal decreciente"&amp;" · ","")&amp;IF(AND(ISNUMBER($F59),$F59&lt;FechaRef,N($L59)&lt;1),"Vencida"&amp;" · ","")&amp;IF(AND(ObsObligatoria="Sí",ISNUMBER($F59),$F59&lt;FechaRef,N($L59)&lt;1,$N59=""),"Vencida sin observación"&amp;" · ",""),LEN(IF(AND($S59="Macro",$B59=""),"Macroactividad vacía"&amp;" · ","")&amp;IF(AND($B59&lt;&gt;"",$C59&lt;&gt;""),"Escriba la subactividad en otra fila, debajo de su macroactividad"&amp;" · ","")&amp;IF(AND($S59="Sub",N($R59)=0),"Subactividad sin macroactividad arriba"&amp;" · ","")&amp;IF($D59="","Sin responsable"&amp;" · ","")&amp;IF($E59="","Sin fecha de inicio"&amp;" · ","")&amp;IF($F59="","Sin fecha límite"&amp;" · ","")&amp;IF(OR(AND($E59&lt;&gt;"",NOT(ISNUMBER($E59))),AND($F59&lt;&gt;"",NOT(ISNUMBER($F59)))),"Fecha no válida"&amp;" · ","")&amp;IF(AND(ISNUMBER($E59),ISNUMBER($F59),$E59&gt;$F59),"Inicio posterior a fecha límite"&amp;" · ","")&amp;IF(AND($S59="Macro",$G59=""),"Peso vacío"&amp;" · ","")&amp;IF(AND($S59="Macro",$G59&lt;&gt;"",OR(NOT(ISNUMBER($G59)),$G59&lt;=0,$G59&gt;1)),"Peso fuera de rango"&amp;" · ","")&amp;IF(AND($S59="Sub",$G59&lt;&gt;""),"Las subactividades no llevan peso"&amp;" · ","")&amp;IF(AND($S59="Macro",ABS(SUMIFS($G$5:$G$1000,$P$5:$P$1000,$P59,$S$5:$S$1000,"Macro")-1)&gt;0.0001),"Pesos del mes suman "&amp;TEXT(SUMIFS($G$5:$G$1000,$P$5:$P$1000,$P59,$S$5:$S$1000,"Macro"),"0%")&amp;" · ","")&amp;IF(AND(N($T59)&gt;0,COUNT($H59:$K59)&gt;0),"Con subactividades: deje vacías las semanas (se calculan solas)"&amp;" · ","")&amp;IF((COUNTIF($H59:$K59,"&gt;1")+COUNTIF($H59:$K59,"&lt;0")+COUNTA($H59:$K59)-COUNT($H59:$K59))&gt;0,"Avance fuera de rango 0-100%"&amp;" · ","")&amp;IF(OR(AND($I59&lt;&gt;"",$I59&lt;$H59),AND($J59&lt;&gt;"",$J59&lt;MAX($H59:$I59)),AND($K59&lt;&gt;"",$K59&lt;MAX($H59:$J59))),"Avance semanal decreciente"&amp;" · ","")&amp;IF(AND(ISNUMBER($F59),$F59&lt;FechaRef,N($L59)&lt;1),"Vencida"&amp;" · ","")&amp;IF(AND(ObsObligatoria="Sí",ISNUMBER($F59),$F59&lt;FechaRef,N($L59)&lt;1,$N59=""),"Vencida sin observación"&amp;" · ",""))-3)))</f>
        <v/>
      </c>
      <c r="P59" s="69">
        <f>IF(NOT((COUNTA($B59:$K59)+COUNTA($N59))&gt;0),"",IF(AND($S59="Sub",N($R59)&gt;0),IF(ISNUMBER(INDEX($E$5:$E$1000,$R59-4)),DATE(YEAR(INDEX($E$5:$E$1000,$R59-4)),MONTH(INDEX($E$5:$E$1000,$R59-4)),1),IF(ISNUMBER(INDEX($F$5:$F$1000,$R59-4)),DATE(YEAR(INDEX($F$5:$F$1000,$R59-4)),MONTH(INDEX($F$5:$F$1000,$R59-4)),1),MesCiclo)),IF(ISNUMBER($E59),DATE(YEAR($E59),MONTH($E59),1),IF(ISNUMBER($F59),DATE(YEAR($F59),MONTH($F59),1),MesCiclo))))</f>
        <v/>
      </c>
      <c r="Q59" s="70">
        <f>IF(OR($P59="",$P59&lt;&gt;MesCiclo),"",COUNTIF($P$5:$P59,MesCiclo))</f>
        <v/>
      </c>
      <c r="R59" s="70">
        <f>IF($S59="","",IF($S59="Macro",ROW(),IFERROR(LOOKUP(2,1/($S$5:$S59="Macro"),ROW($S$5:$S59)),0)))</f>
        <v/>
      </c>
      <c r="S59" s="70">
        <f>IF(NOT((COUNTA($B59:$K59)+COUNTA($N59))&gt;0),"",IF($B59&lt;&gt;"","Macro",IF($C59&lt;&gt;"","Sub","Macro")))</f>
        <v/>
      </c>
      <c r="T59" s="70">
        <f>IF($S59="Macro",COUNTIFS($R$5:$R$1000,ROW(),$S$5:$S$1000,"Sub"),"")</f>
        <v/>
      </c>
      <c r="U59" s="70">
        <f>IF($S59="","",IF(ISNUMBER($H59),$H59,0))</f>
        <v/>
      </c>
      <c r="V59" s="70">
        <f>IF($S59="","",IF(ISNUMBER($I59),$I59,$U59))</f>
        <v/>
      </c>
      <c r="W59" s="70">
        <f>IF($S59="","",IF(ISNUMBER($J59),$J59,$V59))</f>
        <v/>
      </c>
      <c r="X59" s="70">
        <f>IF($S59="","",IF(ISNUMBER($K59),$K59,$W59))</f>
        <v/>
      </c>
      <c r="Y59" s="70">
        <f>IF($S59="","",IF(N($T59)&gt;0,AVERAGEIFS($U$5:$U$1000,$R$5:$R$1000,ROW(),$S$5:$S$1000,"Sub"),$U59))</f>
        <v/>
      </c>
      <c r="Z59" s="70">
        <f>IF($S59="","",IF(N($T59)&gt;0,AVERAGEIFS($V$5:$V$1000,$R$5:$R$1000,ROW(),$S$5:$S$1000,"Sub"),$V59))</f>
        <v/>
      </c>
      <c r="AA59" s="70">
        <f>IF($S59="","",IF(N($T59)&gt;0,AVERAGEIFS($W$5:$W$1000,$R$5:$R$1000,ROW(),$S$5:$S$1000,"Sub"),$W59))</f>
        <v/>
      </c>
      <c r="AB59" s="70">
        <f>IF($S59="","",IF(N($T59)&gt;0,AVERAGEIFS($X$5:$X$1000,$R$5:$R$1000,ROW(),$S$5:$S$1000,"Sub"),$X59))</f>
        <v/>
      </c>
    </row>
    <row r="60">
      <c r="A60" s="61">
        <f>IF(NOT((COUNTA($B60:$K60)+COUNTA($N60))&gt;0),"",IF($S60="Macro",COUNTIFS($S$5:$S60,"Macro",$P$5:$P60,$P60),IF(N($R60)=0,"?",COUNTIFS(INDEX($S$5:$S$1000,1):INDEX($S$5:$S$1000,$R60-4),"Macro",INDEX($P$5:$P$1000,1):INDEX($P$5:$P$1000,$R60-4),INDEX($P$5:$P$1000,$R60-4))&amp;"."&amp;COUNTIFS($R$5:$R60,$R60,$S$5:$S60,"Sub"))))</f>
        <v/>
      </c>
      <c r="B60" s="62" t="n"/>
      <c r="C60" s="63" t="n"/>
      <c r="D60" s="62" t="n"/>
      <c r="E60" s="64" t="n"/>
      <c r="F60" s="64" t="n"/>
      <c r="G60" s="65" t="n"/>
      <c r="H60" s="66" t="n"/>
      <c r="I60" s="66" t="n"/>
      <c r="J60" s="66" t="n"/>
      <c r="K60" s="66" t="n"/>
      <c r="L60" s="67">
        <f>IF(NOT((COUNTA($B60:$K60)+COUNTA($N60))&gt;0),"",IF(N($T60)&gt;0,$AB60,IFERROR(LOOKUP(2,1/(H60:K60&lt;&gt;""),H60:K60),0)))</f>
        <v/>
      </c>
      <c r="M60" s="61">
        <f>IF(L60="","",IF(L60&gt;=1,"Completado",IF(L60&gt;0,"En curso","Pendiente")))</f>
        <v/>
      </c>
      <c r="N60" s="62" t="n"/>
      <c r="O60" s="68">
        <f>IF(NOT((COUNTA($B60:$K60)+COUNTA($N60))&gt;0),"",IF((IF(AND($S60="Macro",$B60=""),"Macroactividad vacía"&amp;" · ","")&amp;IF(AND($B60&lt;&gt;"",$C60&lt;&gt;""),"Escriba la subactividad en otra fila, debajo de su macroactividad"&amp;" · ","")&amp;IF(AND($S60="Sub",N($R60)=0),"Subactividad sin macroactividad arriba"&amp;" · ","")&amp;IF($D60="","Sin responsable"&amp;" · ","")&amp;IF($E60="","Sin fecha de inicio"&amp;" · ","")&amp;IF($F60="","Sin fecha límite"&amp;" · ","")&amp;IF(OR(AND($E60&lt;&gt;"",NOT(ISNUMBER($E60))),AND($F60&lt;&gt;"",NOT(ISNUMBER($F60)))),"Fecha no válida"&amp;" · ","")&amp;IF(AND(ISNUMBER($E60),ISNUMBER($F60),$E60&gt;$F60),"Inicio posterior a fecha límite"&amp;" · ","")&amp;IF(AND($S60="Macro",$G60=""),"Peso vacío"&amp;" · ","")&amp;IF(AND($S60="Macro",$G60&lt;&gt;"",OR(NOT(ISNUMBER($G60)),$G60&lt;=0,$G60&gt;1)),"Peso fuera de rango"&amp;" · ","")&amp;IF(AND($S60="Sub",$G60&lt;&gt;""),"Las subactividades no llevan peso"&amp;" · ","")&amp;IF(AND($S60="Macro",ABS(SUMIFS($G$5:$G$1000,$P$5:$P$1000,$P60,$S$5:$S$1000,"Macro")-1)&gt;0.0001),"Pesos del mes suman "&amp;TEXT(SUMIFS($G$5:$G$1000,$P$5:$P$1000,$P60,$S$5:$S$1000,"Macro"),"0%")&amp;" · ","")&amp;IF(AND(N($T60)&gt;0,COUNT($H60:$K60)&gt;0),"Con subactividades: deje vacías las semanas (se calculan solas)"&amp;" · ","")&amp;IF((COUNTIF($H60:$K60,"&gt;1")+COUNTIF($H60:$K60,"&lt;0")+COUNTA($H60:$K60)-COUNT($H60:$K60))&gt;0,"Avance fuera de rango 0-100%"&amp;" · ","")&amp;IF(OR(AND($I60&lt;&gt;"",$I60&lt;$H60),AND($J60&lt;&gt;"",$J60&lt;MAX($H60:$I60)),AND($K60&lt;&gt;"",$K60&lt;MAX($H60:$J60))),"Avance semanal decreciente"&amp;" · ","")&amp;IF(AND(ISNUMBER($F60),$F60&lt;FechaRef,N($L60)&lt;1),"Vencida"&amp;" · ","")&amp;IF(AND(ObsObligatoria="Sí",ISNUMBER($F60),$F60&lt;FechaRef,N($L60)&lt;1,$N60=""),"Vencida sin observación"&amp;" · ",""))="","✔ OK","⚠ "&amp;LEFT(IF(AND($S60="Macro",$B60=""),"Macroactividad vacía"&amp;" · ","")&amp;IF(AND($B60&lt;&gt;"",$C60&lt;&gt;""),"Escriba la subactividad en otra fila, debajo de su macroactividad"&amp;" · ","")&amp;IF(AND($S60="Sub",N($R60)=0),"Subactividad sin macroactividad arriba"&amp;" · ","")&amp;IF($D60="","Sin responsable"&amp;" · ","")&amp;IF($E60="","Sin fecha de inicio"&amp;" · ","")&amp;IF($F60="","Sin fecha límite"&amp;" · ","")&amp;IF(OR(AND($E60&lt;&gt;"",NOT(ISNUMBER($E60))),AND($F60&lt;&gt;"",NOT(ISNUMBER($F60)))),"Fecha no válida"&amp;" · ","")&amp;IF(AND(ISNUMBER($E60),ISNUMBER($F60),$E60&gt;$F60),"Inicio posterior a fecha límite"&amp;" · ","")&amp;IF(AND($S60="Macro",$G60=""),"Peso vacío"&amp;" · ","")&amp;IF(AND($S60="Macro",$G60&lt;&gt;"",OR(NOT(ISNUMBER($G60)),$G60&lt;=0,$G60&gt;1)),"Peso fuera de rango"&amp;" · ","")&amp;IF(AND($S60="Sub",$G60&lt;&gt;""),"Las subactividades no llevan peso"&amp;" · ","")&amp;IF(AND($S60="Macro",ABS(SUMIFS($G$5:$G$1000,$P$5:$P$1000,$P60,$S$5:$S$1000,"Macro")-1)&gt;0.0001),"Pesos del mes suman "&amp;TEXT(SUMIFS($G$5:$G$1000,$P$5:$P$1000,$P60,$S$5:$S$1000,"Macro"),"0%")&amp;" · ","")&amp;IF(AND(N($T60)&gt;0,COUNT($H60:$K60)&gt;0),"Con subactividades: deje vacías las semanas (se calculan solas)"&amp;" · ","")&amp;IF((COUNTIF($H60:$K60,"&gt;1")+COUNTIF($H60:$K60,"&lt;0")+COUNTA($H60:$K60)-COUNT($H60:$K60))&gt;0,"Avance fuera de rango 0-100%"&amp;" · ","")&amp;IF(OR(AND($I60&lt;&gt;"",$I60&lt;$H60),AND($J60&lt;&gt;"",$J60&lt;MAX($H60:$I60)),AND($K60&lt;&gt;"",$K60&lt;MAX($H60:$J60))),"Avance semanal decreciente"&amp;" · ","")&amp;IF(AND(ISNUMBER($F60),$F60&lt;FechaRef,N($L60)&lt;1),"Vencida"&amp;" · ","")&amp;IF(AND(ObsObligatoria="Sí",ISNUMBER($F60),$F60&lt;FechaRef,N($L60)&lt;1,$N60=""),"Vencida sin observación"&amp;" · ",""),LEN(IF(AND($S60="Macro",$B60=""),"Macroactividad vacía"&amp;" · ","")&amp;IF(AND($B60&lt;&gt;"",$C60&lt;&gt;""),"Escriba la subactividad en otra fila, debajo de su macroactividad"&amp;" · ","")&amp;IF(AND($S60="Sub",N($R60)=0),"Subactividad sin macroactividad arriba"&amp;" · ","")&amp;IF($D60="","Sin responsable"&amp;" · ","")&amp;IF($E60="","Sin fecha de inicio"&amp;" · ","")&amp;IF($F60="","Sin fecha límite"&amp;" · ","")&amp;IF(OR(AND($E60&lt;&gt;"",NOT(ISNUMBER($E60))),AND($F60&lt;&gt;"",NOT(ISNUMBER($F60)))),"Fecha no válida"&amp;" · ","")&amp;IF(AND(ISNUMBER($E60),ISNUMBER($F60),$E60&gt;$F60),"Inicio posterior a fecha límite"&amp;" · ","")&amp;IF(AND($S60="Macro",$G60=""),"Peso vacío"&amp;" · ","")&amp;IF(AND($S60="Macro",$G60&lt;&gt;"",OR(NOT(ISNUMBER($G60)),$G60&lt;=0,$G60&gt;1)),"Peso fuera de rango"&amp;" · ","")&amp;IF(AND($S60="Sub",$G60&lt;&gt;""),"Las subactividades no llevan peso"&amp;" · ","")&amp;IF(AND($S60="Macro",ABS(SUMIFS($G$5:$G$1000,$P$5:$P$1000,$P60,$S$5:$S$1000,"Macro")-1)&gt;0.0001),"Pesos del mes suman "&amp;TEXT(SUMIFS($G$5:$G$1000,$P$5:$P$1000,$P60,$S$5:$S$1000,"Macro"),"0%")&amp;" · ","")&amp;IF(AND(N($T60)&gt;0,COUNT($H60:$K60)&gt;0),"Con subactividades: deje vacías las semanas (se calculan solas)"&amp;" · ","")&amp;IF((COUNTIF($H60:$K60,"&gt;1")+COUNTIF($H60:$K60,"&lt;0")+COUNTA($H60:$K60)-COUNT($H60:$K60))&gt;0,"Avance fuera de rango 0-100%"&amp;" · ","")&amp;IF(OR(AND($I60&lt;&gt;"",$I60&lt;$H60),AND($J60&lt;&gt;"",$J60&lt;MAX($H60:$I60)),AND($K60&lt;&gt;"",$K60&lt;MAX($H60:$J60))),"Avance semanal decreciente"&amp;" · ","")&amp;IF(AND(ISNUMBER($F60),$F60&lt;FechaRef,N($L60)&lt;1),"Vencida"&amp;" · ","")&amp;IF(AND(ObsObligatoria="Sí",ISNUMBER($F60),$F60&lt;FechaRef,N($L60)&lt;1,$N60=""),"Vencida sin observación"&amp;" · ",""))-3)))</f>
        <v/>
      </c>
      <c r="P60" s="69">
        <f>IF(NOT((COUNTA($B60:$K60)+COUNTA($N60))&gt;0),"",IF(AND($S60="Sub",N($R60)&gt;0),IF(ISNUMBER(INDEX($E$5:$E$1000,$R60-4)),DATE(YEAR(INDEX($E$5:$E$1000,$R60-4)),MONTH(INDEX($E$5:$E$1000,$R60-4)),1),IF(ISNUMBER(INDEX($F$5:$F$1000,$R60-4)),DATE(YEAR(INDEX($F$5:$F$1000,$R60-4)),MONTH(INDEX($F$5:$F$1000,$R60-4)),1),MesCiclo)),IF(ISNUMBER($E60),DATE(YEAR($E60),MONTH($E60),1),IF(ISNUMBER($F60),DATE(YEAR($F60),MONTH($F60),1),MesCiclo))))</f>
        <v/>
      </c>
      <c r="Q60" s="70">
        <f>IF(OR($P60="",$P60&lt;&gt;MesCiclo),"",COUNTIF($P$5:$P60,MesCiclo))</f>
        <v/>
      </c>
      <c r="R60" s="70">
        <f>IF($S60="","",IF($S60="Macro",ROW(),IFERROR(LOOKUP(2,1/($S$5:$S60="Macro"),ROW($S$5:$S60)),0)))</f>
        <v/>
      </c>
      <c r="S60" s="70">
        <f>IF(NOT((COUNTA($B60:$K60)+COUNTA($N60))&gt;0),"",IF($B60&lt;&gt;"","Macro",IF($C60&lt;&gt;"","Sub","Macro")))</f>
        <v/>
      </c>
      <c r="T60" s="70">
        <f>IF($S60="Macro",COUNTIFS($R$5:$R$1000,ROW(),$S$5:$S$1000,"Sub"),"")</f>
        <v/>
      </c>
      <c r="U60" s="70">
        <f>IF($S60="","",IF(ISNUMBER($H60),$H60,0))</f>
        <v/>
      </c>
      <c r="V60" s="70">
        <f>IF($S60="","",IF(ISNUMBER($I60),$I60,$U60))</f>
        <v/>
      </c>
      <c r="W60" s="70">
        <f>IF($S60="","",IF(ISNUMBER($J60),$J60,$V60))</f>
        <v/>
      </c>
      <c r="X60" s="70">
        <f>IF($S60="","",IF(ISNUMBER($K60),$K60,$W60))</f>
        <v/>
      </c>
      <c r="Y60" s="70">
        <f>IF($S60="","",IF(N($T60)&gt;0,AVERAGEIFS($U$5:$U$1000,$R$5:$R$1000,ROW(),$S$5:$S$1000,"Sub"),$U60))</f>
        <v/>
      </c>
      <c r="Z60" s="70">
        <f>IF($S60="","",IF(N($T60)&gt;0,AVERAGEIFS($V$5:$V$1000,$R$5:$R$1000,ROW(),$S$5:$S$1000,"Sub"),$V60))</f>
        <v/>
      </c>
      <c r="AA60" s="70">
        <f>IF($S60="","",IF(N($T60)&gt;0,AVERAGEIFS($W$5:$W$1000,$R$5:$R$1000,ROW(),$S$5:$S$1000,"Sub"),$W60))</f>
        <v/>
      </c>
      <c r="AB60" s="70">
        <f>IF($S60="","",IF(N($T60)&gt;0,AVERAGEIFS($X$5:$X$1000,$R$5:$R$1000,ROW(),$S$5:$S$1000,"Sub"),$X60))</f>
        <v/>
      </c>
    </row>
    <row r="61">
      <c r="A61" s="61">
        <f>IF(NOT((COUNTA($B61:$K61)+COUNTA($N61))&gt;0),"",IF($S61="Macro",COUNTIFS($S$5:$S61,"Macro",$P$5:$P61,$P61),IF(N($R61)=0,"?",COUNTIFS(INDEX($S$5:$S$1000,1):INDEX($S$5:$S$1000,$R61-4),"Macro",INDEX($P$5:$P$1000,1):INDEX($P$5:$P$1000,$R61-4),INDEX($P$5:$P$1000,$R61-4))&amp;"."&amp;COUNTIFS($R$5:$R61,$R61,$S$5:$S61,"Sub"))))</f>
        <v/>
      </c>
      <c r="B61" s="62" t="n"/>
      <c r="C61" s="63" t="n"/>
      <c r="D61" s="62" t="n"/>
      <c r="E61" s="64" t="n"/>
      <c r="F61" s="64" t="n"/>
      <c r="G61" s="65" t="n"/>
      <c r="H61" s="66" t="n"/>
      <c r="I61" s="66" t="n"/>
      <c r="J61" s="66" t="n"/>
      <c r="K61" s="66" t="n"/>
      <c r="L61" s="67">
        <f>IF(NOT((COUNTA($B61:$K61)+COUNTA($N61))&gt;0),"",IF(N($T61)&gt;0,$AB61,IFERROR(LOOKUP(2,1/(H61:K61&lt;&gt;""),H61:K61),0)))</f>
        <v/>
      </c>
      <c r="M61" s="61">
        <f>IF(L61="","",IF(L61&gt;=1,"Completado",IF(L61&gt;0,"En curso","Pendiente")))</f>
        <v/>
      </c>
      <c r="N61" s="62" t="n"/>
      <c r="O61" s="68">
        <f>IF(NOT((COUNTA($B61:$K61)+COUNTA($N61))&gt;0),"",IF((IF(AND($S61="Macro",$B61=""),"Macroactividad vacía"&amp;" · ","")&amp;IF(AND($B61&lt;&gt;"",$C61&lt;&gt;""),"Escriba la subactividad en otra fila, debajo de su macroactividad"&amp;" · ","")&amp;IF(AND($S61="Sub",N($R61)=0),"Subactividad sin macroactividad arriba"&amp;" · ","")&amp;IF($D61="","Sin responsable"&amp;" · ","")&amp;IF($E61="","Sin fecha de inicio"&amp;" · ","")&amp;IF($F61="","Sin fecha límite"&amp;" · ","")&amp;IF(OR(AND($E61&lt;&gt;"",NOT(ISNUMBER($E61))),AND($F61&lt;&gt;"",NOT(ISNUMBER($F61)))),"Fecha no válida"&amp;" · ","")&amp;IF(AND(ISNUMBER($E61),ISNUMBER($F61),$E61&gt;$F61),"Inicio posterior a fecha límite"&amp;" · ","")&amp;IF(AND($S61="Macro",$G61=""),"Peso vacío"&amp;" · ","")&amp;IF(AND($S61="Macro",$G61&lt;&gt;"",OR(NOT(ISNUMBER($G61)),$G61&lt;=0,$G61&gt;1)),"Peso fuera de rango"&amp;" · ","")&amp;IF(AND($S61="Sub",$G61&lt;&gt;""),"Las subactividades no llevan peso"&amp;" · ","")&amp;IF(AND($S61="Macro",ABS(SUMIFS($G$5:$G$1000,$P$5:$P$1000,$P61,$S$5:$S$1000,"Macro")-1)&gt;0.0001),"Pesos del mes suman "&amp;TEXT(SUMIFS($G$5:$G$1000,$P$5:$P$1000,$P61,$S$5:$S$1000,"Macro"),"0%")&amp;" · ","")&amp;IF(AND(N($T61)&gt;0,COUNT($H61:$K61)&gt;0),"Con subactividades: deje vacías las semanas (se calculan solas)"&amp;" · ","")&amp;IF((COUNTIF($H61:$K61,"&gt;1")+COUNTIF($H61:$K61,"&lt;0")+COUNTA($H61:$K61)-COUNT($H61:$K61))&gt;0,"Avance fuera de rango 0-100%"&amp;" · ","")&amp;IF(OR(AND($I61&lt;&gt;"",$I61&lt;$H61),AND($J61&lt;&gt;"",$J61&lt;MAX($H61:$I61)),AND($K61&lt;&gt;"",$K61&lt;MAX($H61:$J61))),"Avance semanal decreciente"&amp;" · ","")&amp;IF(AND(ISNUMBER($F61),$F61&lt;FechaRef,N($L61)&lt;1),"Vencida"&amp;" · ","")&amp;IF(AND(ObsObligatoria="Sí",ISNUMBER($F61),$F61&lt;FechaRef,N($L61)&lt;1,$N61=""),"Vencida sin observación"&amp;" · ",""))="","✔ OK","⚠ "&amp;LEFT(IF(AND($S61="Macro",$B61=""),"Macroactividad vacía"&amp;" · ","")&amp;IF(AND($B61&lt;&gt;"",$C61&lt;&gt;""),"Escriba la subactividad en otra fila, debajo de su macroactividad"&amp;" · ","")&amp;IF(AND($S61="Sub",N($R61)=0),"Subactividad sin macroactividad arriba"&amp;" · ","")&amp;IF($D61="","Sin responsable"&amp;" · ","")&amp;IF($E61="","Sin fecha de inicio"&amp;" · ","")&amp;IF($F61="","Sin fecha límite"&amp;" · ","")&amp;IF(OR(AND($E61&lt;&gt;"",NOT(ISNUMBER($E61))),AND($F61&lt;&gt;"",NOT(ISNUMBER($F61)))),"Fecha no válida"&amp;" · ","")&amp;IF(AND(ISNUMBER($E61),ISNUMBER($F61),$E61&gt;$F61),"Inicio posterior a fecha límite"&amp;" · ","")&amp;IF(AND($S61="Macro",$G61=""),"Peso vacío"&amp;" · ","")&amp;IF(AND($S61="Macro",$G61&lt;&gt;"",OR(NOT(ISNUMBER($G61)),$G61&lt;=0,$G61&gt;1)),"Peso fuera de rango"&amp;" · ","")&amp;IF(AND($S61="Sub",$G61&lt;&gt;""),"Las subactividades no llevan peso"&amp;" · ","")&amp;IF(AND($S61="Macro",ABS(SUMIFS($G$5:$G$1000,$P$5:$P$1000,$P61,$S$5:$S$1000,"Macro")-1)&gt;0.0001),"Pesos del mes suman "&amp;TEXT(SUMIFS($G$5:$G$1000,$P$5:$P$1000,$P61,$S$5:$S$1000,"Macro"),"0%")&amp;" · ","")&amp;IF(AND(N($T61)&gt;0,COUNT($H61:$K61)&gt;0),"Con subactividades: deje vacías las semanas (se calculan solas)"&amp;" · ","")&amp;IF((COUNTIF($H61:$K61,"&gt;1")+COUNTIF($H61:$K61,"&lt;0")+COUNTA($H61:$K61)-COUNT($H61:$K61))&gt;0,"Avance fuera de rango 0-100%"&amp;" · ","")&amp;IF(OR(AND($I61&lt;&gt;"",$I61&lt;$H61),AND($J61&lt;&gt;"",$J61&lt;MAX($H61:$I61)),AND($K61&lt;&gt;"",$K61&lt;MAX($H61:$J61))),"Avance semanal decreciente"&amp;" · ","")&amp;IF(AND(ISNUMBER($F61),$F61&lt;FechaRef,N($L61)&lt;1),"Vencida"&amp;" · ","")&amp;IF(AND(ObsObligatoria="Sí",ISNUMBER($F61),$F61&lt;FechaRef,N($L61)&lt;1,$N61=""),"Vencida sin observación"&amp;" · ",""),LEN(IF(AND($S61="Macro",$B61=""),"Macroactividad vacía"&amp;" · ","")&amp;IF(AND($B61&lt;&gt;"",$C61&lt;&gt;""),"Escriba la subactividad en otra fila, debajo de su macroactividad"&amp;" · ","")&amp;IF(AND($S61="Sub",N($R61)=0),"Subactividad sin macroactividad arriba"&amp;" · ","")&amp;IF($D61="","Sin responsable"&amp;" · ","")&amp;IF($E61="","Sin fecha de inicio"&amp;" · ","")&amp;IF($F61="","Sin fecha límite"&amp;" · ","")&amp;IF(OR(AND($E61&lt;&gt;"",NOT(ISNUMBER($E61))),AND($F61&lt;&gt;"",NOT(ISNUMBER($F61)))),"Fecha no válida"&amp;" · ","")&amp;IF(AND(ISNUMBER($E61),ISNUMBER($F61),$E61&gt;$F61),"Inicio posterior a fecha límite"&amp;" · ","")&amp;IF(AND($S61="Macro",$G61=""),"Peso vacío"&amp;" · ","")&amp;IF(AND($S61="Macro",$G61&lt;&gt;"",OR(NOT(ISNUMBER($G61)),$G61&lt;=0,$G61&gt;1)),"Peso fuera de rango"&amp;" · ","")&amp;IF(AND($S61="Sub",$G61&lt;&gt;""),"Las subactividades no llevan peso"&amp;" · ","")&amp;IF(AND($S61="Macro",ABS(SUMIFS($G$5:$G$1000,$P$5:$P$1000,$P61,$S$5:$S$1000,"Macro")-1)&gt;0.0001),"Pesos del mes suman "&amp;TEXT(SUMIFS($G$5:$G$1000,$P$5:$P$1000,$P61,$S$5:$S$1000,"Macro"),"0%")&amp;" · ","")&amp;IF(AND(N($T61)&gt;0,COUNT($H61:$K61)&gt;0),"Con subactividades: deje vacías las semanas (se calculan solas)"&amp;" · ","")&amp;IF((COUNTIF($H61:$K61,"&gt;1")+COUNTIF($H61:$K61,"&lt;0")+COUNTA($H61:$K61)-COUNT($H61:$K61))&gt;0,"Avance fuera de rango 0-100%"&amp;" · ","")&amp;IF(OR(AND($I61&lt;&gt;"",$I61&lt;$H61),AND($J61&lt;&gt;"",$J61&lt;MAX($H61:$I61)),AND($K61&lt;&gt;"",$K61&lt;MAX($H61:$J61))),"Avance semanal decreciente"&amp;" · ","")&amp;IF(AND(ISNUMBER($F61),$F61&lt;FechaRef,N($L61)&lt;1),"Vencida"&amp;" · ","")&amp;IF(AND(ObsObligatoria="Sí",ISNUMBER($F61),$F61&lt;FechaRef,N($L61)&lt;1,$N61=""),"Vencida sin observación"&amp;" · ",""))-3)))</f>
        <v/>
      </c>
      <c r="P61" s="69">
        <f>IF(NOT((COUNTA($B61:$K61)+COUNTA($N61))&gt;0),"",IF(AND($S61="Sub",N($R61)&gt;0),IF(ISNUMBER(INDEX($E$5:$E$1000,$R61-4)),DATE(YEAR(INDEX($E$5:$E$1000,$R61-4)),MONTH(INDEX($E$5:$E$1000,$R61-4)),1),IF(ISNUMBER(INDEX($F$5:$F$1000,$R61-4)),DATE(YEAR(INDEX($F$5:$F$1000,$R61-4)),MONTH(INDEX($F$5:$F$1000,$R61-4)),1),MesCiclo)),IF(ISNUMBER($E61),DATE(YEAR($E61),MONTH($E61),1),IF(ISNUMBER($F61),DATE(YEAR($F61),MONTH($F61),1),MesCiclo))))</f>
        <v/>
      </c>
      <c r="Q61" s="70">
        <f>IF(OR($P61="",$P61&lt;&gt;MesCiclo),"",COUNTIF($P$5:$P61,MesCiclo))</f>
        <v/>
      </c>
      <c r="R61" s="70">
        <f>IF($S61="","",IF($S61="Macro",ROW(),IFERROR(LOOKUP(2,1/($S$5:$S61="Macro"),ROW($S$5:$S61)),0)))</f>
        <v/>
      </c>
      <c r="S61" s="70">
        <f>IF(NOT((COUNTA($B61:$K61)+COUNTA($N61))&gt;0),"",IF($B61&lt;&gt;"","Macro",IF($C61&lt;&gt;"","Sub","Macro")))</f>
        <v/>
      </c>
      <c r="T61" s="70">
        <f>IF($S61="Macro",COUNTIFS($R$5:$R$1000,ROW(),$S$5:$S$1000,"Sub"),"")</f>
        <v/>
      </c>
      <c r="U61" s="70">
        <f>IF($S61="","",IF(ISNUMBER($H61),$H61,0))</f>
        <v/>
      </c>
      <c r="V61" s="70">
        <f>IF($S61="","",IF(ISNUMBER($I61),$I61,$U61))</f>
        <v/>
      </c>
      <c r="W61" s="70">
        <f>IF($S61="","",IF(ISNUMBER($J61),$J61,$V61))</f>
        <v/>
      </c>
      <c r="X61" s="70">
        <f>IF($S61="","",IF(ISNUMBER($K61),$K61,$W61))</f>
        <v/>
      </c>
      <c r="Y61" s="70">
        <f>IF($S61="","",IF(N($T61)&gt;0,AVERAGEIFS($U$5:$U$1000,$R$5:$R$1000,ROW(),$S$5:$S$1000,"Sub"),$U61))</f>
        <v/>
      </c>
      <c r="Z61" s="70">
        <f>IF($S61="","",IF(N($T61)&gt;0,AVERAGEIFS($V$5:$V$1000,$R$5:$R$1000,ROW(),$S$5:$S$1000,"Sub"),$V61))</f>
        <v/>
      </c>
      <c r="AA61" s="70">
        <f>IF($S61="","",IF(N($T61)&gt;0,AVERAGEIFS($W$5:$W$1000,$R$5:$R$1000,ROW(),$S$5:$S$1000,"Sub"),$W61))</f>
        <v/>
      </c>
      <c r="AB61" s="70">
        <f>IF($S61="","",IF(N($T61)&gt;0,AVERAGEIFS($X$5:$X$1000,$R$5:$R$1000,ROW(),$S$5:$S$1000,"Sub"),$X61))</f>
        <v/>
      </c>
    </row>
    <row r="62">
      <c r="A62" s="61">
        <f>IF(NOT((COUNTA($B62:$K62)+COUNTA($N62))&gt;0),"",IF($S62="Macro",COUNTIFS($S$5:$S62,"Macro",$P$5:$P62,$P62),IF(N($R62)=0,"?",COUNTIFS(INDEX($S$5:$S$1000,1):INDEX($S$5:$S$1000,$R62-4),"Macro",INDEX($P$5:$P$1000,1):INDEX($P$5:$P$1000,$R62-4),INDEX($P$5:$P$1000,$R62-4))&amp;"."&amp;COUNTIFS($R$5:$R62,$R62,$S$5:$S62,"Sub"))))</f>
        <v/>
      </c>
      <c r="B62" s="62" t="n"/>
      <c r="C62" s="63" t="n"/>
      <c r="D62" s="62" t="n"/>
      <c r="E62" s="64" t="n"/>
      <c r="F62" s="64" t="n"/>
      <c r="G62" s="65" t="n"/>
      <c r="H62" s="66" t="n"/>
      <c r="I62" s="66" t="n"/>
      <c r="J62" s="66" t="n"/>
      <c r="K62" s="66" t="n"/>
      <c r="L62" s="67">
        <f>IF(NOT((COUNTA($B62:$K62)+COUNTA($N62))&gt;0),"",IF(N($T62)&gt;0,$AB62,IFERROR(LOOKUP(2,1/(H62:K62&lt;&gt;""),H62:K62),0)))</f>
        <v/>
      </c>
      <c r="M62" s="61">
        <f>IF(L62="","",IF(L62&gt;=1,"Completado",IF(L62&gt;0,"En curso","Pendiente")))</f>
        <v/>
      </c>
      <c r="N62" s="62" t="n"/>
      <c r="O62" s="68">
        <f>IF(NOT((COUNTA($B62:$K62)+COUNTA($N62))&gt;0),"",IF((IF(AND($S62="Macro",$B62=""),"Macroactividad vacía"&amp;" · ","")&amp;IF(AND($B62&lt;&gt;"",$C62&lt;&gt;""),"Escriba la subactividad en otra fila, debajo de su macroactividad"&amp;" · ","")&amp;IF(AND($S62="Sub",N($R62)=0),"Subactividad sin macroactividad arriba"&amp;" · ","")&amp;IF($D62="","Sin responsable"&amp;" · ","")&amp;IF($E62="","Sin fecha de inicio"&amp;" · ","")&amp;IF($F62="","Sin fecha límite"&amp;" · ","")&amp;IF(OR(AND($E62&lt;&gt;"",NOT(ISNUMBER($E62))),AND($F62&lt;&gt;"",NOT(ISNUMBER($F62)))),"Fecha no válida"&amp;" · ","")&amp;IF(AND(ISNUMBER($E62),ISNUMBER($F62),$E62&gt;$F62),"Inicio posterior a fecha límite"&amp;" · ","")&amp;IF(AND($S62="Macro",$G62=""),"Peso vacío"&amp;" · ","")&amp;IF(AND($S62="Macro",$G62&lt;&gt;"",OR(NOT(ISNUMBER($G62)),$G62&lt;=0,$G62&gt;1)),"Peso fuera de rango"&amp;" · ","")&amp;IF(AND($S62="Sub",$G62&lt;&gt;""),"Las subactividades no llevan peso"&amp;" · ","")&amp;IF(AND($S62="Macro",ABS(SUMIFS($G$5:$G$1000,$P$5:$P$1000,$P62,$S$5:$S$1000,"Macro")-1)&gt;0.0001),"Pesos del mes suman "&amp;TEXT(SUMIFS($G$5:$G$1000,$P$5:$P$1000,$P62,$S$5:$S$1000,"Macro"),"0%")&amp;" · ","")&amp;IF(AND(N($T62)&gt;0,COUNT($H62:$K62)&gt;0),"Con subactividades: deje vacías las semanas (se calculan solas)"&amp;" · ","")&amp;IF((COUNTIF($H62:$K62,"&gt;1")+COUNTIF($H62:$K62,"&lt;0")+COUNTA($H62:$K62)-COUNT($H62:$K62))&gt;0,"Avance fuera de rango 0-100%"&amp;" · ","")&amp;IF(OR(AND($I62&lt;&gt;"",$I62&lt;$H62),AND($J62&lt;&gt;"",$J62&lt;MAX($H62:$I62)),AND($K62&lt;&gt;"",$K62&lt;MAX($H62:$J62))),"Avance semanal decreciente"&amp;" · ","")&amp;IF(AND(ISNUMBER($F62),$F62&lt;FechaRef,N($L62)&lt;1),"Vencida"&amp;" · ","")&amp;IF(AND(ObsObligatoria="Sí",ISNUMBER($F62),$F62&lt;FechaRef,N($L62)&lt;1,$N62=""),"Vencida sin observación"&amp;" · ",""))="","✔ OK","⚠ "&amp;LEFT(IF(AND($S62="Macro",$B62=""),"Macroactividad vacía"&amp;" · ","")&amp;IF(AND($B62&lt;&gt;"",$C62&lt;&gt;""),"Escriba la subactividad en otra fila, debajo de su macroactividad"&amp;" · ","")&amp;IF(AND($S62="Sub",N($R62)=0),"Subactividad sin macroactividad arriba"&amp;" · ","")&amp;IF($D62="","Sin responsable"&amp;" · ","")&amp;IF($E62="","Sin fecha de inicio"&amp;" · ","")&amp;IF($F62="","Sin fecha límite"&amp;" · ","")&amp;IF(OR(AND($E62&lt;&gt;"",NOT(ISNUMBER($E62))),AND($F62&lt;&gt;"",NOT(ISNUMBER($F62)))),"Fecha no válida"&amp;" · ","")&amp;IF(AND(ISNUMBER($E62),ISNUMBER($F62),$E62&gt;$F62),"Inicio posterior a fecha límite"&amp;" · ","")&amp;IF(AND($S62="Macro",$G62=""),"Peso vacío"&amp;" · ","")&amp;IF(AND($S62="Macro",$G62&lt;&gt;"",OR(NOT(ISNUMBER($G62)),$G62&lt;=0,$G62&gt;1)),"Peso fuera de rango"&amp;" · ","")&amp;IF(AND($S62="Sub",$G62&lt;&gt;""),"Las subactividades no llevan peso"&amp;" · ","")&amp;IF(AND($S62="Macro",ABS(SUMIFS($G$5:$G$1000,$P$5:$P$1000,$P62,$S$5:$S$1000,"Macro")-1)&gt;0.0001),"Pesos del mes suman "&amp;TEXT(SUMIFS($G$5:$G$1000,$P$5:$P$1000,$P62,$S$5:$S$1000,"Macro"),"0%")&amp;" · ","")&amp;IF(AND(N($T62)&gt;0,COUNT($H62:$K62)&gt;0),"Con subactividades: deje vacías las semanas (se calculan solas)"&amp;" · ","")&amp;IF((COUNTIF($H62:$K62,"&gt;1")+COUNTIF($H62:$K62,"&lt;0")+COUNTA($H62:$K62)-COUNT($H62:$K62))&gt;0,"Avance fuera de rango 0-100%"&amp;" · ","")&amp;IF(OR(AND($I62&lt;&gt;"",$I62&lt;$H62),AND($J62&lt;&gt;"",$J62&lt;MAX($H62:$I62)),AND($K62&lt;&gt;"",$K62&lt;MAX($H62:$J62))),"Avance semanal decreciente"&amp;" · ","")&amp;IF(AND(ISNUMBER($F62),$F62&lt;FechaRef,N($L62)&lt;1),"Vencida"&amp;" · ","")&amp;IF(AND(ObsObligatoria="Sí",ISNUMBER($F62),$F62&lt;FechaRef,N($L62)&lt;1,$N62=""),"Vencida sin observación"&amp;" · ",""),LEN(IF(AND($S62="Macro",$B62=""),"Macroactividad vacía"&amp;" · ","")&amp;IF(AND($B62&lt;&gt;"",$C62&lt;&gt;""),"Escriba la subactividad en otra fila, debajo de su macroactividad"&amp;" · ","")&amp;IF(AND($S62="Sub",N($R62)=0),"Subactividad sin macroactividad arriba"&amp;" · ","")&amp;IF($D62="","Sin responsable"&amp;" · ","")&amp;IF($E62="","Sin fecha de inicio"&amp;" · ","")&amp;IF($F62="","Sin fecha límite"&amp;" · ","")&amp;IF(OR(AND($E62&lt;&gt;"",NOT(ISNUMBER($E62))),AND($F62&lt;&gt;"",NOT(ISNUMBER($F62)))),"Fecha no válida"&amp;" · ","")&amp;IF(AND(ISNUMBER($E62),ISNUMBER($F62),$E62&gt;$F62),"Inicio posterior a fecha límite"&amp;" · ","")&amp;IF(AND($S62="Macro",$G62=""),"Peso vacío"&amp;" · ","")&amp;IF(AND($S62="Macro",$G62&lt;&gt;"",OR(NOT(ISNUMBER($G62)),$G62&lt;=0,$G62&gt;1)),"Peso fuera de rango"&amp;" · ","")&amp;IF(AND($S62="Sub",$G62&lt;&gt;""),"Las subactividades no llevan peso"&amp;" · ","")&amp;IF(AND($S62="Macro",ABS(SUMIFS($G$5:$G$1000,$P$5:$P$1000,$P62,$S$5:$S$1000,"Macro")-1)&gt;0.0001),"Pesos del mes suman "&amp;TEXT(SUMIFS($G$5:$G$1000,$P$5:$P$1000,$P62,$S$5:$S$1000,"Macro"),"0%")&amp;" · ","")&amp;IF(AND(N($T62)&gt;0,COUNT($H62:$K62)&gt;0),"Con subactividades: deje vacías las semanas (se calculan solas)"&amp;" · ","")&amp;IF((COUNTIF($H62:$K62,"&gt;1")+COUNTIF($H62:$K62,"&lt;0")+COUNTA($H62:$K62)-COUNT($H62:$K62))&gt;0,"Avance fuera de rango 0-100%"&amp;" · ","")&amp;IF(OR(AND($I62&lt;&gt;"",$I62&lt;$H62),AND($J62&lt;&gt;"",$J62&lt;MAX($H62:$I62)),AND($K62&lt;&gt;"",$K62&lt;MAX($H62:$J62))),"Avance semanal decreciente"&amp;" · ","")&amp;IF(AND(ISNUMBER($F62),$F62&lt;FechaRef,N($L62)&lt;1),"Vencida"&amp;" · ","")&amp;IF(AND(ObsObligatoria="Sí",ISNUMBER($F62),$F62&lt;FechaRef,N($L62)&lt;1,$N62=""),"Vencida sin observación"&amp;" · ",""))-3)))</f>
        <v/>
      </c>
      <c r="P62" s="69">
        <f>IF(NOT((COUNTA($B62:$K62)+COUNTA($N62))&gt;0),"",IF(AND($S62="Sub",N($R62)&gt;0),IF(ISNUMBER(INDEX($E$5:$E$1000,$R62-4)),DATE(YEAR(INDEX($E$5:$E$1000,$R62-4)),MONTH(INDEX($E$5:$E$1000,$R62-4)),1),IF(ISNUMBER(INDEX($F$5:$F$1000,$R62-4)),DATE(YEAR(INDEX($F$5:$F$1000,$R62-4)),MONTH(INDEX($F$5:$F$1000,$R62-4)),1),MesCiclo)),IF(ISNUMBER($E62),DATE(YEAR($E62),MONTH($E62),1),IF(ISNUMBER($F62),DATE(YEAR($F62),MONTH($F62),1),MesCiclo))))</f>
        <v/>
      </c>
      <c r="Q62" s="70">
        <f>IF(OR($P62="",$P62&lt;&gt;MesCiclo),"",COUNTIF($P$5:$P62,MesCiclo))</f>
        <v/>
      </c>
      <c r="R62" s="70">
        <f>IF($S62="","",IF($S62="Macro",ROW(),IFERROR(LOOKUP(2,1/($S$5:$S62="Macro"),ROW($S$5:$S62)),0)))</f>
        <v/>
      </c>
      <c r="S62" s="70">
        <f>IF(NOT((COUNTA($B62:$K62)+COUNTA($N62))&gt;0),"",IF($B62&lt;&gt;"","Macro",IF($C62&lt;&gt;"","Sub","Macro")))</f>
        <v/>
      </c>
      <c r="T62" s="70">
        <f>IF($S62="Macro",COUNTIFS($R$5:$R$1000,ROW(),$S$5:$S$1000,"Sub"),"")</f>
        <v/>
      </c>
      <c r="U62" s="70">
        <f>IF($S62="","",IF(ISNUMBER($H62),$H62,0))</f>
        <v/>
      </c>
      <c r="V62" s="70">
        <f>IF($S62="","",IF(ISNUMBER($I62),$I62,$U62))</f>
        <v/>
      </c>
      <c r="W62" s="70">
        <f>IF($S62="","",IF(ISNUMBER($J62),$J62,$V62))</f>
        <v/>
      </c>
      <c r="X62" s="70">
        <f>IF($S62="","",IF(ISNUMBER($K62),$K62,$W62))</f>
        <v/>
      </c>
      <c r="Y62" s="70">
        <f>IF($S62="","",IF(N($T62)&gt;0,AVERAGEIFS($U$5:$U$1000,$R$5:$R$1000,ROW(),$S$5:$S$1000,"Sub"),$U62))</f>
        <v/>
      </c>
      <c r="Z62" s="70">
        <f>IF($S62="","",IF(N($T62)&gt;0,AVERAGEIFS($V$5:$V$1000,$R$5:$R$1000,ROW(),$S$5:$S$1000,"Sub"),$V62))</f>
        <v/>
      </c>
      <c r="AA62" s="70">
        <f>IF($S62="","",IF(N($T62)&gt;0,AVERAGEIFS($W$5:$W$1000,$R$5:$R$1000,ROW(),$S$5:$S$1000,"Sub"),$W62))</f>
        <v/>
      </c>
      <c r="AB62" s="70">
        <f>IF($S62="","",IF(N($T62)&gt;0,AVERAGEIFS($X$5:$X$1000,$R$5:$R$1000,ROW(),$S$5:$S$1000,"Sub"),$X62))</f>
        <v/>
      </c>
    </row>
    <row r="63">
      <c r="A63" s="61">
        <f>IF(NOT((COUNTA($B63:$K63)+COUNTA($N63))&gt;0),"",IF($S63="Macro",COUNTIFS($S$5:$S63,"Macro",$P$5:$P63,$P63),IF(N($R63)=0,"?",COUNTIFS(INDEX($S$5:$S$1000,1):INDEX($S$5:$S$1000,$R63-4),"Macro",INDEX($P$5:$P$1000,1):INDEX($P$5:$P$1000,$R63-4),INDEX($P$5:$P$1000,$R63-4))&amp;"."&amp;COUNTIFS($R$5:$R63,$R63,$S$5:$S63,"Sub"))))</f>
        <v/>
      </c>
      <c r="B63" s="62" t="n"/>
      <c r="C63" s="63" t="n"/>
      <c r="D63" s="62" t="n"/>
      <c r="E63" s="64" t="n"/>
      <c r="F63" s="64" t="n"/>
      <c r="G63" s="65" t="n"/>
      <c r="H63" s="66" t="n"/>
      <c r="I63" s="66" t="n"/>
      <c r="J63" s="66" t="n"/>
      <c r="K63" s="66" t="n"/>
      <c r="L63" s="67">
        <f>IF(NOT((COUNTA($B63:$K63)+COUNTA($N63))&gt;0),"",IF(N($T63)&gt;0,$AB63,IFERROR(LOOKUP(2,1/(H63:K63&lt;&gt;""),H63:K63),0)))</f>
        <v/>
      </c>
      <c r="M63" s="61">
        <f>IF(L63="","",IF(L63&gt;=1,"Completado",IF(L63&gt;0,"En curso","Pendiente")))</f>
        <v/>
      </c>
      <c r="N63" s="62" t="n"/>
      <c r="O63" s="68">
        <f>IF(NOT((COUNTA($B63:$K63)+COUNTA($N63))&gt;0),"",IF((IF(AND($S63="Macro",$B63=""),"Macroactividad vacía"&amp;" · ","")&amp;IF(AND($B63&lt;&gt;"",$C63&lt;&gt;""),"Escriba la subactividad en otra fila, debajo de su macroactividad"&amp;" · ","")&amp;IF(AND($S63="Sub",N($R63)=0),"Subactividad sin macroactividad arriba"&amp;" · ","")&amp;IF($D63="","Sin responsable"&amp;" · ","")&amp;IF($E63="","Sin fecha de inicio"&amp;" · ","")&amp;IF($F63="","Sin fecha límite"&amp;" · ","")&amp;IF(OR(AND($E63&lt;&gt;"",NOT(ISNUMBER($E63))),AND($F63&lt;&gt;"",NOT(ISNUMBER($F63)))),"Fecha no válida"&amp;" · ","")&amp;IF(AND(ISNUMBER($E63),ISNUMBER($F63),$E63&gt;$F63),"Inicio posterior a fecha límite"&amp;" · ","")&amp;IF(AND($S63="Macro",$G63=""),"Peso vacío"&amp;" · ","")&amp;IF(AND($S63="Macro",$G63&lt;&gt;"",OR(NOT(ISNUMBER($G63)),$G63&lt;=0,$G63&gt;1)),"Peso fuera de rango"&amp;" · ","")&amp;IF(AND($S63="Sub",$G63&lt;&gt;""),"Las subactividades no llevan peso"&amp;" · ","")&amp;IF(AND($S63="Macro",ABS(SUMIFS($G$5:$G$1000,$P$5:$P$1000,$P63,$S$5:$S$1000,"Macro")-1)&gt;0.0001),"Pesos del mes suman "&amp;TEXT(SUMIFS($G$5:$G$1000,$P$5:$P$1000,$P63,$S$5:$S$1000,"Macro"),"0%")&amp;" · ","")&amp;IF(AND(N($T63)&gt;0,COUNT($H63:$K63)&gt;0),"Con subactividades: deje vacías las semanas (se calculan solas)"&amp;" · ","")&amp;IF((COUNTIF($H63:$K63,"&gt;1")+COUNTIF($H63:$K63,"&lt;0")+COUNTA($H63:$K63)-COUNT($H63:$K63))&gt;0,"Avance fuera de rango 0-100%"&amp;" · ","")&amp;IF(OR(AND($I63&lt;&gt;"",$I63&lt;$H63),AND($J63&lt;&gt;"",$J63&lt;MAX($H63:$I63)),AND($K63&lt;&gt;"",$K63&lt;MAX($H63:$J63))),"Avance semanal decreciente"&amp;" · ","")&amp;IF(AND(ISNUMBER($F63),$F63&lt;FechaRef,N($L63)&lt;1),"Vencida"&amp;" · ","")&amp;IF(AND(ObsObligatoria="Sí",ISNUMBER($F63),$F63&lt;FechaRef,N($L63)&lt;1,$N63=""),"Vencida sin observación"&amp;" · ",""))="","✔ OK","⚠ "&amp;LEFT(IF(AND($S63="Macro",$B63=""),"Macroactividad vacía"&amp;" · ","")&amp;IF(AND($B63&lt;&gt;"",$C63&lt;&gt;""),"Escriba la subactividad en otra fila, debajo de su macroactividad"&amp;" · ","")&amp;IF(AND($S63="Sub",N($R63)=0),"Subactividad sin macroactividad arriba"&amp;" · ","")&amp;IF($D63="","Sin responsable"&amp;" · ","")&amp;IF($E63="","Sin fecha de inicio"&amp;" · ","")&amp;IF($F63="","Sin fecha límite"&amp;" · ","")&amp;IF(OR(AND($E63&lt;&gt;"",NOT(ISNUMBER($E63))),AND($F63&lt;&gt;"",NOT(ISNUMBER($F63)))),"Fecha no válida"&amp;" · ","")&amp;IF(AND(ISNUMBER($E63),ISNUMBER($F63),$E63&gt;$F63),"Inicio posterior a fecha límite"&amp;" · ","")&amp;IF(AND($S63="Macro",$G63=""),"Peso vacío"&amp;" · ","")&amp;IF(AND($S63="Macro",$G63&lt;&gt;"",OR(NOT(ISNUMBER($G63)),$G63&lt;=0,$G63&gt;1)),"Peso fuera de rango"&amp;" · ","")&amp;IF(AND($S63="Sub",$G63&lt;&gt;""),"Las subactividades no llevan peso"&amp;" · ","")&amp;IF(AND($S63="Macro",ABS(SUMIFS($G$5:$G$1000,$P$5:$P$1000,$P63,$S$5:$S$1000,"Macro")-1)&gt;0.0001),"Pesos del mes suman "&amp;TEXT(SUMIFS($G$5:$G$1000,$P$5:$P$1000,$P63,$S$5:$S$1000,"Macro"),"0%")&amp;" · ","")&amp;IF(AND(N($T63)&gt;0,COUNT($H63:$K63)&gt;0),"Con subactividades: deje vacías las semanas (se calculan solas)"&amp;" · ","")&amp;IF((COUNTIF($H63:$K63,"&gt;1")+COUNTIF($H63:$K63,"&lt;0")+COUNTA($H63:$K63)-COUNT($H63:$K63))&gt;0,"Avance fuera de rango 0-100%"&amp;" · ","")&amp;IF(OR(AND($I63&lt;&gt;"",$I63&lt;$H63),AND($J63&lt;&gt;"",$J63&lt;MAX($H63:$I63)),AND($K63&lt;&gt;"",$K63&lt;MAX($H63:$J63))),"Avance semanal decreciente"&amp;" · ","")&amp;IF(AND(ISNUMBER($F63),$F63&lt;FechaRef,N($L63)&lt;1),"Vencida"&amp;" · ","")&amp;IF(AND(ObsObligatoria="Sí",ISNUMBER($F63),$F63&lt;FechaRef,N($L63)&lt;1,$N63=""),"Vencida sin observación"&amp;" · ",""),LEN(IF(AND($S63="Macro",$B63=""),"Macroactividad vacía"&amp;" · ","")&amp;IF(AND($B63&lt;&gt;"",$C63&lt;&gt;""),"Escriba la subactividad en otra fila, debajo de su macroactividad"&amp;" · ","")&amp;IF(AND($S63="Sub",N($R63)=0),"Subactividad sin macroactividad arriba"&amp;" · ","")&amp;IF($D63="","Sin responsable"&amp;" · ","")&amp;IF($E63="","Sin fecha de inicio"&amp;" · ","")&amp;IF($F63="","Sin fecha límite"&amp;" · ","")&amp;IF(OR(AND($E63&lt;&gt;"",NOT(ISNUMBER($E63))),AND($F63&lt;&gt;"",NOT(ISNUMBER($F63)))),"Fecha no válida"&amp;" · ","")&amp;IF(AND(ISNUMBER($E63),ISNUMBER($F63),$E63&gt;$F63),"Inicio posterior a fecha límite"&amp;" · ","")&amp;IF(AND($S63="Macro",$G63=""),"Peso vacío"&amp;" · ","")&amp;IF(AND($S63="Macro",$G63&lt;&gt;"",OR(NOT(ISNUMBER($G63)),$G63&lt;=0,$G63&gt;1)),"Peso fuera de rango"&amp;" · ","")&amp;IF(AND($S63="Sub",$G63&lt;&gt;""),"Las subactividades no llevan peso"&amp;" · ","")&amp;IF(AND($S63="Macro",ABS(SUMIFS($G$5:$G$1000,$P$5:$P$1000,$P63,$S$5:$S$1000,"Macro")-1)&gt;0.0001),"Pesos del mes suman "&amp;TEXT(SUMIFS($G$5:$G$1000,$P$5:$P$1000,$P63,$S$5:$S$1000,"Macro"),"0%")&amp;" · ","")&amp;IF(AND(N($T63)&gt;0,COUNT($H63:$K63)&gt;0),"Con subactividades: deje vacías las semanas (se calculan solas)"&amp;" · ","")&amp;IF((COUNTIF($H63:$K63,"&gt;1")+COUNTIF($H63:$K63,"&lt;0")+COUNTA($H63:$K63)-COUNT($H63:$K63))&gt;0,"Avance fuera de rango 0-100%"&amp;" · ","")&amp;IF(OR(AND($I63&lt;&gt;"",$I63&lt;$H63),AND($J63&lt;&gt;"",$J63&lt;MAX($H63:$I63)),AND($K63&lt;&gt;"",$K63&lt;MAX($H63:$J63))),"Avance semanal decreciente"&amp;" · ","")&amp;IF(AND(ISNUMBER($F63),$F63&lt;FechaRef,N($L63)&lt;1),"Vencida"&amp;" · ","")&amp;IF(AND(ObsObligatoria="Sí",ISNUMBER($F63),$F63&lt;FechaRef,N($L63)&lt;1,$N63=""),"Vencida sin observación"&amp;" · ",""))-3)))</f>
        <v/>
      </c>
      <c r="P63" s="69">
        <f>IF(NOT((COUNTA($B63:$K63)+COUNTA($N63))&gt;0),"",IF(AND($S63="Sub",N($R63)&gt;0),IF(ISNUMBER(INDEX($E$5:$E$1000,$R63-4)),DATE(YEAR(INDEX($E$5:$E$1000,$R63-4)),MONTH(INDEX($E$5:$E$1000,$R63-4)),1),IF(ISNUMBER(INDEX($F$5:$F$1000,$R63-4)),DATE(YEAR(INDEX($F$5:$F$1000,$R63-4)),MONTH(INDEX($F$5:$F$1000,$R63-4)),1),MesCiclo)),IF(ISNUMBER($E63),DATE(YEAR($E63),MONTH($E63),1),IF(ISNUMBER($F63),DATE(YEAR($F63),MONTH($F63),1),MesCiclo))))</f>
        <v/>
      </c>
      <c r="Q63" s="70">
        <f>IF(OR($P63="",$P63&lt;&gt;MesCiclo),"",COUNTIF($P$5:$P63,MesCiclo))</f>
        <v/>
      </c>
      <c r="R63" s="70">
        <f>IF($S63="","",IF($S63="Macro",ROW(),IFERROR(LOOKUP(2,1/($S$5:$S63="Macro"),ROW($S$5:$S63)),0)))</f>
        <v/>
      </c>
      <c r="S63" s="70">
        <f>IF(NOT((COUNTA($B63:$K63)+COUNTA($N63))&gt;0),"",IF($B63&lt;&gt;"","Macro",IF($C63&lt;&gt;"","Sub","Macro")))</f>
        <v/>
      </c>
      <c r="T63" s="70">
        <f>IF($S63="Macro",COUNTIFS($R$5:$R$1000,ROW(),$S$5:$S$1000,"Sub"),"")</f>
        <v/>
      </c>
      <c r="U63" s="70">
        <f>IF($S63="","",IF(ISNUMBER($H63),$H63,0))</f>
        <v/>
      </c>
      <c r="V63" s="70">
        <f>IF($S63="","",IF(ISNUMBER($I63),$I63,$U63))</f>
        <v/>
      </c>
      <c r="W63" s="70">
        <f>IF($S63="","",IF(ISNUMBER($J63),$J63,$V63))</f>
        <v/>
      </c>
      <c r="X63" s="70">
        <f>IF($S63="","",IF(ISNUMBER($K63),$K63,$W63))</f>
        <v/>
      </c>
      <c r="Y63" s="70">
        <f>IF($S63="","",IF(N($T63)&gt;0,AVERAGEIFS($U$5:$U$1000,$R$5:$R$1000,ROW(),$S$5:$S$1000,"Sub"),$U63))</f>
        <v/>
      </c>
      <c r="Z63" s="70">
        <f>IF($S63="","",IF(N($T63)&gt;0,AVERAGEIFS($V$5:$V$1000,$R$5:$R$1000,ROW(),$S$5:$S$1000,"Sub"),$V63))</f>
        <v/>
      </c>
      <c r="AA63" s="70">
        <f>IF($S63="","",IF(N($T63)&gt;0,AVERAGEIFS($W$5:$W$1000,$R$5:$R$1000,ROW(),$S$5:$S$1000,"Sub"),$W63))</f>
        <v/>
      </c>
      <c r="AB63" s="70">
        <f>IF($S63="","",IF(N($T63)&gt;0,AVERAGEIFS($X$5:$X$1000,$R$5:$R$1000,ROW(),$S$5:$S$1000,"Sub"),$X63))</f>
        <v/>
      </c>
    </row>
    <row r="64">
      <c r="A64" s="61">
        <f>IF(NOT((COUNTA($B64:$K64)+COUNTA($N64))&gt;0),"",IF($S64="Macro",COUNTIFS($S$5:$S64,"Macro",$P$5:$P64,$P64),IF(N($R64)=0,"?",COUNTIFS(INDEX($S$5:$S$1000,1):INDEX($S$5:$S$1000,$R64-4),"Macro",INDEX($P$5:$P$1000,1):INDEX($P$5:$P$1000,$R64-4),INDEX($P$5:$P$1000,$R64-4))&amp;"."&amp;COUNTIFS($R$5:$R64,$R64,$S$5:$S64,"Sub"))))</f>
        <v/>
      </c>
      <c r="B64" s="62" t="n"/>
      <c r="C64" s="63" t="n"/>
      <c r="D64" s="62" t="n"/>
      <c r="E64" s="64" t="n"/>
      <c r="F64" s="64" t="n"/>
      <c r="G64" s="65" t="n"/>
      <c r="H64" s="66" t="n"/>
      <c r="I64" s="66" t="n"/>
      <c r="J64" s="66" t="n"/>
      <c r="K64" s="66" t="n"/>
      <c r="L64" s="67">
        <f>IF(NOT((COUNTA($B64:$K64)+COUNTA($N64))&gt;0),"",IF(N($T64)&gt;0,$AB64,IFERROR(LOOKUP(2,1/(H64:K64&lt;&gt;""),H64:K64),0)))</f>
        <v/>
      </c>
      <c r="M64" s="61">
        <f>IF(L64="","",IF(L64&gt;=1,"Completado",IF(L64&gt;0,"En curso","Pendiente")))</f>
        <v/>
      </c>
      <c r="N64" s="62" t="n"/>
      <c r="O64" s="68">
        <f>IF(NOT((COUNTA($B64:$K64)+COUNTA($N64))&gt;0),"",IF((IF(AND($S64="Macro",$B64=""),"Macroactividad vacía"&amp;" · ","")&amp;IF(AND($B64&lt;&gt;"",$C64&lt;&gt;""),"Escriba la subactividad en otra fila, debajo de su macroactividad"&amp;" · ","")&amp;IF(AND($S64="Sub",N($R64)=0),"Subactividad sin macroactividad arriba"&amp;" · ","")&amp;IF($D64="","Sin responsable"&amp;" · ","")&amp;IF($E64="","Sin fecha de inicio"&amp;" · ","")&amp;IF($F64="","Sin fecha límite"&amp;" · ","")&amp;IF(OR(AND($E64&lt;&gt;"",NOT(ISNUMBER($E64))),AND($F64&lt;&gt;"",NOT(ISNUMBER($F64)))),"Fecha no válida"&amp;" · ","")&amp;IF(AND(ISNUMBER($E64),ISNUMBER($F64),$E64&gt;$F64),"Inicio posterior a fecha límite"&amp;" · ","")&amp;IF(AND($S64="Macro",$G64=""),"Peso vacío"&amp;" · ","")&amp;IF(AND($S64="Macro",$G64&lt;&gt;"",OR(NOT(ISNUMBER($G64)),$G64&lt;=0,$G64&gt;1)),"Peso fuera de rango"&amp;" · ","")&amp;IF(AND($S64="Sub",$G64&lt;&gt;""),"Las subactividades no llevan peso"&amp;" · ","")&amp;IF(AND($S64="Macro",ABS(SUMIFS($G$5:$G$1000,$P$5:$P$1000,$P64,$S$5:$S$1000,"Macro")-1)&gt;0.0001),"Pesos del mes suman "&amp;TEXT(SUMIFS($G$5:$G$1000,$P$5:$P$1000,$P64,$S$5:$S$1000,"Macro"),"0%")&amp;" · ","")&amp;IF(AND(N($T64)&gt;0,COUNT($H64:$K64)&gt;0),"Con subactividades: deje vacías las semanas (se calculan solas)"&amp;" · ","")&amp;IF((COUNTIF($H64:$K64,"&gt;1")+COUNTIF($H64:$K64,"&lt;0")+COUNTA($H64:$K64)-COUNT($H64:$K64))&gt;0,"Avance fuera de rango 0-100%"&amp;" · ","")&amp;IF(OR(AND($I64&lt;&gt;"",$I64&lt;$H64),AND($J64&lt;&gt;"",$J64&lt;MAX($H64:$I64)),AND($K64&lt;&gt;"",$K64&lt;MAX($H64:$J64))),"Avance semanal decreciente"&amp;" · ","")&amp;IF(AND(ISNUMBER($F64),$F64&lt;FechaRef,N($L64)&lt;1),"Vencida"&amp;" · ","")&amp;IF(AND(ObsObligatoria="Sí",ISNUMBER($F64),$F64&lt;FechaRef,N($L64)&lt;1,$N64=""),"Vencida sin observación"&amp;" · ",""))="","✔ OK","⚠ "&amp;LEFT(IF(AND($S64="Macro",$B64=""),"Macroactividad vacía"&amp;" · ","")&amp;IF(AND($B64&lt;&gt;"",$C64&lt;&gt;""),"Escriba la subactividad en otra fila, debajo de su macroactividad"&amp;" · ","")&amp;IF(AND($S64="Sub",N($R64)=0),"Subactividad sin macroactividad arriba"&amp;" · ","")&amp;IF($D64="","Sin responsable"&amp;" · ","")&amp;IF($E64="","Sin fecha de inicio"&amp;" · ","")&amp;IF($F64="","Sin fecha límite"&amp;" · ","")&amp;IF(OR(AND($E64&lt;&gt;"",NOT(ISNUMBER($E64))),AND($F64&lt;&gt;"",NOT(ISNUMBER($F64)))),"Fecha no válida"&amp;" · ","")&amp;IF(AND(ISNUMBER($E64),ISNUMBER($F64),$E64&gt;$F64),"Inicio posterior a fecha límite"&amp;" · ","")&amp;IF(AND($S64="Macro",$G64=""),"Peso vacío"&amp;" · ","")&amp;IF(AND($S64="Macro",$G64&lt;&gt;"",OR(NOT(ISNUMBER($G64)),$G64&lt;=0,$G64&gt;1)),"Peso fuera de rango"&amp;" · ","")&amp;IF(AND($S64="Sub",$G64&lt;&gt;""),"Las subactividades no llevan peso"&amp;" · ","")&amp;IF(AND($S64="Macro",ABS(SUMIFS($G$5:$G$1000,$P$5:$P$1000,$P64,$S$5:$S$1000,"Macro")-1)&gt;0.0001),"Pesos del mes suman "&amp;TEXT(SUMIFS($G$5:$G$1000,$P$5:$P$1000,$P64,$S$5:$S$1000,"Macro"),"0%")&amp;" · ","")&amp;IF(AND(N($T64)&gt;0,COUNT($H64:$K64)&gt;0),"Con subactividades: deje vacías las semanas (se calculan solas)"&amp;" · ","")&amp;IF((COUNTIF($H64:$K64,"&gt;1")+COUNTIF($H64:$K64,"&lt;0")+COUNTA($H64:$K64)-COUNT($H64:$K64))&gt;0,"Avance fuera de rango 0-100%"&amp;" · ","")&amp;IF(OR(AND($I64&lt;&gt;"",$I64&lt;$H64),AND($J64&lt;&gt;"",$J64&lt;MAX($H64:$I64)),AND($K64&lt;&gt;"",$K64&lt;MAX($H64:$J64))),"Avance semanal decreciente"&amp;" · ","")&amp;IF(AND(ISNUMBER($F64),$F64&lt;FechaRef,N($L64)&lt;1),"Vencida"&amp;" · ","")&amp;IF(AND(ObsObligatoria="Sí",ISNUMBER($F64),$F64&lt;FechaRef,N($L64)&lt;1,$N64=""),"Vencida sin observación"&amp;" · ",""),LEN(IF(AND($S64="Macro",$B64=""),"Macroactividad vacía"&amp;" · ","")&amp;IF(AND($B64&lt;&gt;"",$C64&lt;&gt;""),"Escriba la subactividad en otra fila, debajo de su macroactividad"&amp;" · ","")&amp;IF(AND($S64="Sub",N($R64)=0),"Subactividad sin macroactividad arriba"&amp;" · ","")&amp;IF($D64="","Sin responsable"&amp;" · ","")&amp;IF($E64="","Sin fecha de inicio"&amp;" · ","")&amp;IF($F64="","Sin fecha límite"&amp;" · ","")&amp;IF(OR(AND($E64&lt;&gt;"",NOT(ISNUMBER($E64))),AND($F64&lt;&gt;"",NOT(ISNUMBER($F64)))),"Fecha no válida"&amp;" · ","")&amp;IF(AND(ISNUMBER($E64),ISNUMBER($F64),$E64&gt;$F64),"Inicio posterior a fecha límite"&amp;" · ","")&amp;IF(AND($S64="Macro",$G64=""),"Peso vacío"&amp;" · ","")&amp;IF(AND($S64="Macro",$G64&lt;&gt;"",OR(NOT(ISNUMBER($G64)),$G64&lt;=0,$G64&gt;1)),"Peso fuera de rango"&amp;" · ","")&amp;IF(AND($S64="Sub",$G64&lt;&gt;""),"Las subactividades no llevan peso"&amp;" · ","")&amp;IF(AND($S64="Macro",ABS(SUMIFS($G$5:$G$1000,$P$5:$P$1000,$P64,$S$5:$S$1000,"Macro")-1)&gt;0.0001),"Pesos del mes suman "&amp;TEXT(SUMIFS($G$5:$G$1000,$P$5:$P$1000,$P64,$S$5:$S$1000,"Macro"),"0%")&amp;" · ","")&amp;IF(AND(N($T64)&gt;0,COUNT($H64:$K64)&gt;0),"Con subactividades: deje vacías las semanas (se calculan solas)"&amp;" · ","")&amp;IF((COUNTIF($H64:$K64,"&gt;1")+COUNTIF($H64:$K64,"&lt;0")+COUNTA($H64:$K64)-COUNT($H64:$K64))&gt;0,"Avance fuera de rango 0-100%"&amp;" · ","")&amp;IF(OR(AND($I64&lt;&gt;"",$I64&lt;$H64),AND($J64&lt;&gt;"",$J64&lt;MAX($H64:$I64)),AND($K64&lt;&gt;"",$K64&lt;MAX($H64:$J64))),"Avance semanal decreciente"&amp;" · ","")&amp;IF(AND(ISNUMBER($F64),$F64&lt;FechaRef,N($L64)&lt;1),"Vencida"&amp;" · ","")&amp;IF(AND(ObsObligatoria="Sí",ISNUMBER($F64),$F64&lt;FechaRef,N($L64)&lt;1,$N64=""),"Vencida sin observación"&amp;" · ",""))-3)))</f>
        <v/>
      </c>
      <c r="P64" s="69">
        <f>IF(NOT((COUNTA($B64:$K64)+COUNTA($N64))&gt;0),"",IF(AND($S64="Sub",N($R64)&gt;0),IF(ISNUMBER(INDEX($E$5:$E$1000,$R64-4)),DATE(YEAR(INDEX($E$5:$E$1000,$R64-4)),MONTH(INDEX($E$5:$E$1000,$R64-4)),1),IF(ISNUMBER(INDEX($F$5:$F$1000,$R64-4)),DATE(YEAR(INDEX($F$5:$F$1000,$R64-4)),MONTH(INDEX($F$5:$F$1000,$R64-4)),1),MesCiclo)),IF(ISNUMBER($E64),DATE(YEAR($E64),MONTH($E64),1),IF(ISNUMBER($F64),DATE(YEAR($F64),MONTH($F64),1),MesCiclo))))</f>
        <v/>
      </c>
      <c r="Q64" s="70">
        <f>IF(OR($P64="",$P64&lt;&gt;MesCiclo),"",COUNTIF($P$5:$P64,MesCiclo))</f>
        <v/>
      </c>
      <c r="R64" s="70">
        <f>IF($S64="","",IF($S64="Macro",ROW(),IFERROR(LOOKUP(2,1/($S$5:$S64="Macro"),ROW($S$5:$S64)),0)))</f>
        <v/>
      </c>
      <c r="S64" s="70">
        <f>IF(NOT((COUNTA($B64:$K64)+COUNTA($N64))&gt;0),"",IF($B64&lt;&gt;"","Macro",IF($C64&lt;&gt;"","Sub","Macro")))</f>
        <v/>
      </c>
      <c r="T64" s="70">
        <f>IF($S64="Macro",COUNTIFS($R$5:$R$1000,ROW(),$S$5:$S$1000,"Sub"),"")</f>
        <v/>
      </c>
      <c r="U64" s="70">
        <f>IF($S64="","",IF(ISNUMBER($H64),$H64,0))</f>
        <v/>
      </c>
      <c r="V64" s="70">
        <f>IF($S64="","",IF(ISNUMBER($I64),$I64,$U64))</f>
        <v/>
      </c>
      <c r="W64" s="70">
        <f>IF($S64="","",IF(ISNUMBER($J64),$J64,$V64))</f>
        <v/>
      </c>
      <c r="X64" s="70">
        <f>IF($S64="","",IF(ISNUMBER($K64),$K64,$W64))</f>
        <v/>
      </c>
      <c r="Y64" s="70">
        <f>IF($S64="","",IF(N($T64)&gt;0,AVERAGEIFS($U$5:$U$1000,$R$5:$R$1000,ROW(),$S$5:$S$1000,"Sub"),$U64))</f>
        <v/>
      </c>
      <c r="Z64" s="70">
        <f>IF($S64="","",IF(N($T64)&gt;0,AVERAGEIFS($V$5:$V$1000,$R$5:$R$1000,ROW(),$S$5:$S$1000,"Sub"),$V64))</f>
        <v/>
      </c>
      <c r="AA64" s="70">
        <f>IF($S64="","",IF(N($T64)&gt;0,AVERAGEIFS($W$5:$W$1000,$R$5:$R$1000,ROW(),$S$5:$S$1000,"Sub"),$W64))</f>
        <v/>
      </c>
      <c r="AB64" s="70">
        <f>IF($S64="","",IF(N($T64)&gt;0,AVERAGEIFS($X$5:$X$1000,$R$5:$R$1000,ROW(),$S$5:$S$1000,"Sub"),$X64))</f>
        <v/>
      </c>
    </row>
    <row r="65">
      <c r="A65" s="61">
        <f>IF(NOT((COUNTA($B65:$K65)+COUNTA($N65))&gt;0),"",IF($S65="Macro",COUNTIFS($S$5:$S65,"Macro",$P$5:$P65,$P65),IF(N($R65)=0,"?",COUNTIFS(INDEX($S$5:$S$1000,1):INDEX($S$5:$S$1000,$R65-4),"Macro",INDEX($P$5:$P$1000,1):INDEX($P$5:$P$1000,$R65-4),INDEX($P$5:$P$1000,$R65-4))&amp;"."&amp;COUNTIFS($R$5:$R65,$R65,$S$5:$S65,"Sub"))))</f>
        <v/>
      </c>
      <c r="B65" s="62" t="n"/>
      <c r="C65" s="63" t="n"/>
      <c r="D65" s="62" t="n"/>
      <c r="E65" s="64" t="n"/>
      <c r="F65" s="64" t="n"/>
      <c r="G65" s="65" t="n"/>
      <c r="H65" s="66" t="n"/>
      <c r="I65" s="66" t="n"/>
      <c r="J65" s="66" t="n"/>
      <c r="K65" s="66" t="n"/>
      <c r="L65" s="67">
        <f>IF(NOT((COUNTA($B65:$K65)+COUNTA($N65))&gt;0),"",IF(N($T65)&gt;0,$AB65,IFERROR(LOOKUP(2,1/(H65:K65&lt;&gt;""),H65:K65),0)))</f>
        <v/>
      </c>
      <c r="M65" s="61">
        <f>IF(L65="","",IF(L65&gt;=1,"Completado",IF(L65&gt;0,"En curso","Pendiente")))</f>
        <v/>
      </c>
      <c r="N65" s="62" t="n"/>
      <c r="O65" s="68">
        <f>IF(NOT((COUNTA($B65:$K65)+COUNTA($N65))&gt;0),"",IF((IF(AND($S65="Macro",$B65=""),"Macroactividad vacía"&amp;" · ","")&amp;IF(AND($B65&lt;&gt;"",$C65&lt;&gt;""),"Escriba la subactividad en otra fila, debajo de su macroactividad"&amp;" · ","")&amp;IF(AND($S65="Sub",N($R65)=0),"Subactividad sin macroactividad arriba"&amp;" · ","")&amp;IF($D65="","Sin responsable"&amp;" · ","")&amp;IF($E65="","Sin fecha de inicio"&amp;" · ","")&amp;IF($F65="","Sin fecha límite"&amp;" · ","")&amp;IF(OR(AND($E65&lt;&gt;"",NOT(ISNUMBER($E65))),AND($F65&lt;&gt;"",NOT(ISNUMBER($F65)))),"Fecha no válida"&amp;" · ","")&amp;IF(AND(ISNUMBER($E65),ISNUMBER($F65),$E65&gt;$F65),"Inicio posterior a fecha límite"&amp;" · ","")&amp;IF(AND($S65="Macro",$G65=""),"Peso vacío"&amp;" · ","")&amp;IF(AND($S65="Macro",$G65&lt;&gt;"",OR(NOT(ISNUMBER($G65)),$G65&lt;=0,$G65&gt;1)),"Peso fuera de rango"&amp;" · ","")&amp;IF(AND($S65="Sub",$G65&lt;&gt;""),"Las subactividades no llevan peso"&amp;" · ","")&amp;IF(AND($S65="Macro",ABS(SUMIFS($G$5:$G$1000,$P$5:$P$1000,$P65,$S$5:$S$1000,"Macro")-1)&gt;0.0001),"Pesos del mes suman "&amp;TEXT(SUMIFS($G$5:$G$1000,$P$5:$P$1000,$P65,$S$5:$S$1000,"Macro"),"0%")&amp;" · ","")&amp;IF(AND(N($T65)&gt;0,COUNT($H65:$K65)&gt;0),"Con subactividades: deje vacías las semanas (se calculan solas)"&amp;" · ","")&amp;IF((COUNTIF($H65:$K65,"&gt;1")+COUNTIF($H65:$K65,"&lt;0")+COUNTA($H65:$K65)-COUNT($H65:$K65))&gt;0,"Avance fuera de rango 0-100%"&amp;" · ","")&amp;IF(OR(AND($I65&lt;&gt;"",$I65&lt;$H65),AND($J65&lt;&gt;"",$J65&lt;MAX($H65:$I65)),AND($K65&lt;&gt;"",$K65&lt;MAX($H65:$J65))),"Avance semanal decreciente"&amp;" · ","")&amp;IF(AND(ISNUMBER($F65),$F65&lt;FechaRef,N($L65)&lt;1),"Vencida"&amp;" · ","")&amp;IF(AND(ObsObligatoria="Sí",ISNUMBER($F65),$F65&lt;FechaRef,N($L65)&lt;1,$N65=""),"Vencida sin observación"&amp;" · ",""))="","✔ OK","⚠ "&amp;LEFT(IF(AND($S65="Macro",$B65=""),"Macroactividad vacía"&amp;" · ","")&amp;IF(AND($B65&lt;&gt;"",$C65&lt;&gt;""),"Escriba la subactividad en otra fila, debajo de su macroactividad"&amp;" · ","")&amp;IF(AND($S65="Sub",N($R65)=0),"Subactividad sin macroactividad arriba"&amp;" · ","")&amp;IF($D65="","Sin responsable"&amp;" · ","")&amp;IF($E65="","Sin fecha de inicio"&amp;" · ","")&amp;IF($F65="","Sin fecha límite"&amp;" · ","")&amp;IF(OR(AND($E65&lt;&gt;"",NOT(ISNUMBER($E65))),AND($F65&lt;&gt;"",NOT(ISNUMBER($F65)))),"Fecha no válida"&amp;" · ","")&amp;IF(AND(ISNUMBER($E65),ISNUMBER($F65),$E65&gt;$F65),"Inicio posterior a fecha límite"&amp;" · ","")&amp;IF(AND($S65="Macro",$G65=""),"Peso vacío"&amp;" · ","")&amp;IF(AND($S65="Macro",$G65&lt;&gt;"",OR(NOT(ISNUMBER($G65)),$G65&lt;=0,$G65&gt;1)),"Peso fuera de rango"&amp;" · ","")&amp;IF(AND($S65="Sub",$G65&lt;&gt;""),"Las subactividades no llevan peso"&amp;" · ","")&amp;IF(AND($S65="Macro",ABS(SUMIFS($G$5:$G$1000,$P$5:$P$1000,$P65,$S$5:$S$1000,"Macro")-1)&gt;0.0001),"Pesos del mes suman "&amp;TEXT(SUMIFS($G$5:$G$1000,$P$5:$P$1000,$P65,$S$5:$S$1000,"Macro"),"0%")&amp;" · ","")&amp;IF(AND(N($T65)&gt;0,COUNT($H65:$K65)&gt;0),"Con subactividades: deje vacías las semanas (se calculan solas)"&amp;" · ","")&amp;IF((COUNTIF($H65:$K65,"&gt;1")+COUNTIF($H65:$K65,"&lt;0")+COUNTA($H65:$K65)-COUNT($H65:$K65))&gt;0,"Avance fuera de rango 0-100%"&amp;" · ","")&amp;IF(OR(AND($I65&lt;&gt;"",$I65&lt;$H65),AND($J65&lt;&gt;"",$J65&lt;MAX($H65:$I65)),AND($K65&lt;&gt;"",$K65&lt;MAX($H65:$J65))),"Avance semanal decreciente"&amp;" · ","")&amp;IF(AND(ISNUMBER($F65),$F65&lt;FechaRef,N($L65)&lt;1),"Vencida"&amp;" · ","")&amp;IF(AND(ObsObligatoria="Sí",ISNUMBER($F65),$F65&lt;FechaRef,N($L65)&lt;1,$N65=""),"Vencida sin observación"&amp;" · ",""),LEN(IF(AND($S65="Macro",$B65=""),"Macroactividad vacía"&amp;" · ","")&amp;IF(AND($B65&lt;&gt;"",$C65&lt;&gt;""),"Escriba la subactividad en otra fila, debajo de su macroactividad"&amp;" · ","")&amp;IF(AND($S65="Sub",N($R65)=0),"Subactividad sin macroactividad arriba"&amp;" · ","")&amp;IF($D65="","Sin responsable"&amp;" · ","")&amp;IF($E65="","Sin fecha de inicio"&amp;" · ","")&amp;IF($F65="","Sin fecha límite"&amp;" · ","")&amp;IF(OR(AND($E65&lt;&gt;"",NOT(ISNUMBER($E65))),AND($F65&lt;&gt;"",NOT(ISNUMBER($F65)))),"Fecha no válida"&amp;" · ","")&amp;IF(AND(ISNUMBER($E65),ISNUMBER($F65),$E65&gt;$F65),"Inicio posterior a fecha límite"&amp;" · ","")&amp;IF(AND($S65="Macro",$G65=""),"Peso vacío"&amp;" · ","")&amp;IF(AND($S65="Macro",$G65&lt;&gt;"",OR(NOT(ISNUMBER($G65)),$G65&lt;=0,$G65&gt;1)),"Peso fuera de rango"&amp;" · ","")&amp;IF(AND($S65="Sub",$G65&lt;&gt;""),"Las subactividades no llevan peso"&amp;" · ","")&amp;IF(AND($S65="Macro",ABS(SUMIFS($G$5:$G$1000,$P$5:$P$1000,$P65,$S$5:$S$1000,"Macro")-1)&gt;0.0001),"Pesos del mes suman "&amp;TEXT(SUMIFS($G$5:$G$1000,$P$5:$P$1000,$P65,$S$5:$S$1000,"Macro"),"0%")&amp;" · ","")&amp;IF(AND(N($T65)&gt;0,COUNT($H65:$K65)&gt;0),"Con subactividades: deje vacías las semanas (se calculan solas)"&amp;" · ","")&amp;IF((COUNTIF($H65:$K65,"&gt;1")+COUNTIF($H65:$K65,"&lt;0")+COUNTA($H65:$K65)-COUNT($H65:$K65))&gt;0,"Avance fuera de rango 0-100%"&amp;" · ","")&amp;IF(OR(AND($I65&lt;&gt;"",$I65&lt;$H65),AND($J65&lt;&gt;"",$J65&lt;MAX($H65:$I65)),AND($K65&lt;&gt;"",$K65&lt;MAX($H65:$J65))),"Avance semanal decreciente"&amp;" · ","")&amp;IF(AND(ISNUMBER($F65),$F65&lt;FechaRef,N($L65)&lt;1),"Vencida"&amp;" · ","")&amp;IF(AND(ObsObligatoria="Sí",ISNUMBER($F65),$F65&lt;FechaRef,N($L65)&lt;1,$N65=""),"Vencida sin observación"&amp;" · ",""))-3)))</f>
        <v/>
      </c>
      <c r="P65" s="69">
        <f>IF(NOT((COUNTA($B65:$K65)+COUNTA($N65))&gt;0),"",IF(AND($S65="Sub",N($R65)&gt;0),IF(ISNUMBER(INDEX($E$5:$E$1000,$R65-4)),DATE(YEAR(INDEX($E$5:$E$1000,$R65-4)),MONTH(INDEX($E$5:$E$1000,$R65-4)),1),IF(ISNUMBER(INDEX($F$5:$F$1000,$R65-4)),DATE(YEAR(INDEX($F$5:$F$1000,$R65-4)),MONTH(INDEX($F$5:$F$1000,$R65-4)),1),MesCiclo)),IF(ISNUMBER($E65),DATE(YEAR($E65),MONTH($E65),1),IF(ISNUMBER($F65),DATE(YEAR($F65),MONTH($F65),1),MesCiclo))))</f>
        <v/>
      </c>
      <c r="Q65" s="70">
        <f>IF(OR($P65="",$P65&lt;&gt;MesCiclo),"",COUNTIF($P$5:$P65,MesCiclo))</f>
        <v/>
      </c>
      <c r="R65" s="70">
        <f>IF($S65="","",IF($S65="Macro",ROW(),IFERROR(LOOKUP(2,1/($S$5:$S65="Macro"),ROW($S$5:$S65)),0)))</f>
        <v/>
      </c>
      <c r="S65" s="70">
        <f>IF(NOT((COUNTA($B65:$K65)+COUNTA($N65))&gt;0),"",IF($B65&lt;&gt;"","Macro",IF($C65&lt;&gt;"","Sub","Macro")))</f>
        <v/>
      </c>
      <c r="T65" s="70">
        <f>IF($S65="Macro",COUNTIFS($R$5:$R$1000,ROW(),$S$5:$S$1000,"Sub"),"")</f>
        <v/>
      </c>
      <c r="U65" s="70">
        <f>IF($S65="","",IF(ISNUMBER($H65),$H65,0))</f>
        <v/>
      </c>
      <c r="V65" s="70">
        <f>IF($S65="","",IF(ISNUMBER($I65),$I65,$U65))</f>
        <v/>
      </c>
      <c r="W65" s="70">
        <f>IF($S65="","",IF(ISNUMBER($J65),$J65,$V65))</f>
        <v/>
      </c>
      <c r="X65" s="70">
        <f>IF($S65="","",IF(ISNUMBER($K65),$K65,$W65))</f>
        <v/>
      </c>
      <c r="Y65" s="70">
        <f>IF($S65="","",IF(N($T65)&gt;0,AVERAGEIFS($U$5:$U$1000,$R$5:$R$1000,ROW(),$S$5:$S$1000,"Sub"),$U65))</f>
        <v/>
      </c>
      <c r="Z65" s="70">
        <f>IF($S65="","",IF(N($T65)&gt;0,AVERAGEIFS($V$5:$V$1000,$R$5:$R$1000,ROW(),$S$5:$S$1000,"Sub"),$V65))</f>
        <v/>
      </c>
      <c r="AA65" s="70">
        <f>IF($S65="","",IF(N($T65)&gt;0,AVERAGEIFS($W$5:$W$1000,$R$5:$R$1000,ROW(),$S$5:$S$1000,"Sub"),$W65))</f>
        <v/>
      </c>
      <c r="AB65" s="70">
        <f>IF($S65="","",IF(N($T65)&gt;0,AVERAGEIFS($X$5:$X$1000,$R$5:$R$1000,ROW(),$S$5:$S$1000,"Sub"),$X65))</f>
        <v/>
      </c>
    </row>
    <row r="66">
      <c r="A66" s="61">
        <f>IF(NOT((COUNTA($B66:$K66)+COUNTA($N66))&gt;0),"",IF($S66="Macro",COUNTIFS($S$5:$S66,"Macro",$P$5:$P66,$P66),IF(N($R66)=0,"?",COUNTIFS(INDEX($S$5:$S$1000,1):INDEX($S$5:$S$1000,$R66-4),"Macro",INDEX($P$5:$P$1000,1):INDEX($P$5:$P$1000,$R66-4),INDEX($P$5:$P$1000,$R66-4))&amp;"."&amp;COUNTIFS($R$5:$R66,$R66,$S$5:$S66,"Sub"))))</f>
        <v/>
      </c>
      <c r="B66" s="62" t="n"/>
      <c r="C66" s="63" t="n"/>
      <c r="D66" s="62" t="n"/>
      <c r="E66" s="64" t="n"/>
      <c r="F66" s="64" t="n"/>
      <c r="G66" s="65" t="n"/>
      <c r="H66" s="66" t="n"/>
      <c r="I66" s="66" t="n"/>
      <c r="J66" s="66" t="n"/>
      <c r="K66" s="66" t="n"/>
      <c r="L66" s="67">
        <f>IF(NOT((COUNTA($B66:$K66)+COUNTA($N66))&gt;0),"",IF(N($T66)&gt;0,$AB66,IFERROR(LOOKUP(2,1/(H66:K66&lt;&gt;""),H66:K66),0)))</f>
        <v/>
      </c>
      <c r="M66" s="61">
        <f>IF(L66="","",IF(L66&gt;=1,"Completado",IF(L66&gt;0,"En curso","Pendiente")))</f>
        <v/>
      </c>
      <c r="N66" s="62" t="n"/>
      <c r="O66" s="68">
        <f>IF(NOT((COUNTA($B66:$K66)+COUNTA($N66))&gt;0),"",IF((IF(AND($S66="Macro",$B66=""),"Macroactividad vacía"&amp;" · ","")&amp;IF(AND($B66&lt;&gt;"",$C66&lt;&gt;""),"Escriba la subactividad en otra fila, debajo de su macroactividad"&amp;" · ","")&amp;IF(AND($S66="Sub",N($R66)=0),"Subactividad sin macroactividad arriba"&amp;" · ","")&amp;IF($D66="","Sin responsable"&amp;" · ","")&amp;IF($E66="","Sin fecha de inicio"&amp;" · ","")&amp;IF($F66="","Sin fecha límite"&amp;" · ","")&amp;IF(OR(AND($E66&lt;&gt;"",NOT(ISNUMBER($E66))),AND($F66&lt;&gt;"",NOT(ISNUMBER($F66)))),"Fecha no válida"&amp;" · ","")&amp;IF(AND(ISNUMBER($E66),ISNUMBER($F66),$E66&gt;$F66),"Inicio posterior a fecha límite"&amp;" · ","")&amp;IF(AND($S66="Macro",$G66=""),"Peso vacío"&amp;" · ","")&amp;IF(AND($S66="Macro",$G66&lt;&gt;"",OR(NOT(ISNUMBER($G66)),$G66&lt;=0,$G66&gt;1)),"Peso fuera de rango"&amp;" · ","")&amp;IF(AND($S66="Sub",$G66&lt;&gt;""),"Las subactividades no llevan peso"&amp;" · ","")&amp;IF(AND($S66="Macro",ABS(SUMIFS($G$5:$G$1000,$P$5:$P$1000,$P66,$S$5:$S$1000,"Macro")-1)&gt;0.0001),"Pesos del mes suman "&amp;TEXT(SUMIFS($G$5:$G$1000,$P$5:$P$1000,$P66,$S$5:$S$1000,"Macro"),"0%")&amp;" · ","")&amp;IF(AND(N($T66)&gt;0,COUNT($H66:$K66)&gt;0),"Con subactividades: deje vacías las semanas (se calculan solas)"&amp;" · ","")&amp;IF((COUNTIF($H66:$K66,"&gt;1")+COUNTIF($H66:$K66,"&lt;0")+COUNTA($H66:$K66)-COUNT($H66:$K66))&gt;0,"Avance fuera de rango 0-100%"&amp;" · ","")&amp;IF(OR(AND($I66&lt;&gt;"",$I66&lt;$H66),AND($J66&lt;&gt;"",$J66&lt;MAX($H66:$I66)),AND($K66&lt;&gt;"",$K66&lt;MAX($H66:$J66))),"Avance semanal decreciente"&amp;" · ","")&amp;IF(AND(ISNUMBER($F66),$F66&lt;FechaRef,N($L66)&lt;1),"Vencida"&amp;" · ","")&amp;IF(AND(ObsObligatoria="Sí",ISNUMBER($F66),$F66&lt;FechaRef,N($L66)&lt;1,$N66=""),"Vencida sin observación"&amp;" · ",""))="","✔ OK","⚠ "&amp;LEFT(IF(AND($S66="Macro",$B66=""),"Macroactividad vacía"&amp;" · ","")&amp;IF(AND($B66&lt;&gt;"",$C66&lt;&gt;""),"Escriba la subactividad en otra fila, debajo de su macroactividad"&amp;" · ","")&amp;IF(AND($S66="Sub",N($R66)=0),"Subactividad sin macroactividad arriba"&amp;" · ","")&amp;IF($D66="","Sin responsable"&amp;" · ","")&amp;IF($E66="","Sin fecha de inicio"&amp;" · ","")&amp;IF($F66="","Sin fecha límite"&amp;" · ","")&amp;IF(OR(AND($E66&lt;&gt;"",NOT(ISNUMBER($E66))),AND($F66&lt;&gt;"",NOT(ISNUMBER($F66)))),"Fecha no válida"&amp;" · ","")&amp;IF(AND(ISNUMBER($E66),ISNUMBER($F66),$E66&gt;$F66),"Inicio posterior a fecha límite"&amp;" · ","")&amp;IF(AND($S66="Macro",$G66=""),"Peso vacío"&amp;" · ","")&amp;IF(AND($S66="Macro",$G66&lt;&gt;"",OR(NOT(ISNUMBER($G66)),$G66&lt;=0,$G66&gt;1)),"Peso fuera de rango"&amp;" · ","")&amp;IF(AND($S66="Sub",$G66&lt;&gt;""),"Las subactividades no llevan peso"&amp;" · ","")&amp;IF(AND($S66="Macro",ABS(SUMIFS($G$5:$G$1000,$P$5:$P$1000,$P66,$S$5:$S$1000,"Macro")-1)&gt;0.0001),"Pesos del mes suman "&amp;TEXT(SUMIFS($G$5:$G$1000,$P$5:$P$1000,$P66,$S$5:$S$1000,"Macro"),"0%")&amp;" · ","")&amp;IF(AND(N($T66)&gt;0,COUNT($H66:$K66)&gt;0),"Con subactividades: deje vacías las semanas (se calculan solas)"&amp;" · ","")&amp;IF((COUNTIF($H66:$K66,"&gt;1")+COUNTIF($H66:$K66,"&lt;0")+COUNTA($H66:$K66)-COUNT($H66:$K66))&gt;0,"Avance fuera de rango 0-100%"&amp;" · ","")&amp;IF(OR(AND($I66&lt;&gt;"",$I66&lt;$H66),AND($J66&lt;&gt;"",$J66&lt;MAX($H66:$I66)),AND($K66&lt;&gt;"",$K66&lt;MAX($H66:$J66))),"Avance semanal decreciente"&amp;" · ","")&amp;IF(AND(ISNUMBER($F66),$F66&lt;FechaRef,N($L66)&lt;1),"Vencida"&amp;" · ","")&amp;IF(AND(ObsObligatoria="Sí",ISNUMBER($F66),$F66&lt;FechaRef,N($L66)&lt;1,$N66=""),"Vencida sin observación"&amp;" · ",""),LEN(IF(AND($S66="Macro",$B66=""),"Macroactividad vacía"&amp;" · ","")&amp;IF(AND($B66&lt;&gt;"",$C66&lt;&gt;""),"Escriba la subactividad en otra fila, debajo de su macroactividad"&amp;" · ","")&amp;IF(AND($S66="Sub",N($R66)=0),"Subactividad sin macroactividad arriba"&amp;" · ","")&amp;IF($D66="","Sin responsable"&amp;" · ","")&amp;IF($E66="","Sin fecha de inicio"&amp;" · ","")&amp;IF($F66="","Sin fecha límite"&amp;" · ","")&amp;IF(OR(AND($E66&lt;&gt;"",NOT(ISNUMBER($E66))),AND($F66&lt;&gt;"",NOT(ISNUMBER($F66)))),"Fecha no válida"&amp;" · ","")&amp;IF(AND(ISNUMBER($E66),ISNUMBER($F66),$E66&gt;$F66),"Inicio posterior a fecha límite"&amp;" · ","")&amp;IF(AND($S66="Macro",$G66=""),"Peso vacío"&amp;" · ","")&amp;IF(AND($S66="Macro",$G66&lt;&gt;"",OR(NOT(ISNUMBER($G66)),$G66&lt;=0,$G66&gt;1)),"Peso fuera de rango"&amp;" · ","")&amp;IF(AND($S66="Sub",$G66&lt;&gt;""),"Las subactividades no llevan peso"&amp;" · ","")&amp;IF(AND($S66="Macro",ABS(SUMIFS($G$5:$G$1000,$P$5:$P$1000,$P66,$S$5:$S$1000,"Macro")-1)&gt;0.0001),"Pesos del mes suman "&amp;TEXT(SUMIFS($G$5:$G$1000,$P$5:$P$1000,$P66,$S$5:$S$1000,"Macro"),"0%")&amp;" · ","")&amp;IF(AND(N($T66)&gt;0,COUNT($H66:$K66)&gt;0),"Con subactividades: deje vacías las semanas (se calculan solas)"&amp;" · ","")&amp;IF((COUNTIF($H66:$K66,"&gt;1")+COUNTIF($H66:$K66,"&lt;0")+COUNTA($H66:$K66)-COUNT($H66:$K66))&gt;0,"Avance fuera de rango 0-100%"&amp;" · ","")&amp;IF(OR(AND($I66&lt;&gt;"",$I66&lt;$H66),AND($J66&lt;&gt;"",$J66&lt;MAX($H66:$I66)),AND($K66&lt;&gt;"",$K66&lt;MAX($H66:$J66))),"Avance semanal decreciente"&amp;" · ","")&amp;IF(AND(ISNUMBER($F66),$F66&lt;FechaRef,N($L66)&lt;1),"Vencida"&amp;" · ","")&amp;IF(AND(ObsObligatoria="Sí",ISNUMBER($F66),$F66&lt;FechaRef,N($L66)&lt;1,$N66=""),"Vencida sin observación"&amp;" · ",""))-3)))</f>
        <v/>
      </c>
      <c r="P66" s="69">
        <f>IF(NOT((COUNTA($B66:$K66)+COUNTA($N66))&gt;0),"",IF(AND($S66="Sub",N($R66)&gt;0),IF(ISNUMBER(INDEX($E$5:$E$1000,$R66-4)),DATE(YEAR(INDEX($E$5:$E$1000,$R66-4)),MONTH(INDEX($E$5:$E$1000,$R66-4)),1),IF(ISNUMBER(INDEX($F$5:$F$1000,$R66-4)),DATE(YEAR(INDEX($F$5:$F$1000,$R66-4)),MONTH(INDEX($F$5:$F$1000,$R66-4)),1),MesCiclo)),IF(ISNUMBER($E66),DATE(YEAR($E66),MONTH($E66),1),IF(ISNUMBER($F66),DATE(YEAR($F66),MONTH($F66),1),MesCiclo))))</f>
        <v/>
      </c>
      <c r="Q66" s="70">
        <f>IF(OR($P66="",$P66&lt;&gt;MesCiclo),"",COUNTIF($P$5:$P66,MesCiclo))</f>
        <v/>
      </c>
      <c r="R66" s="70">
        <f>IF($S66="","",IF($S66="Macro",ROW(),IFERROR(LOOKUP(2,1/($S$5:$S66="Macro"),ROW($S$5:$S66)),0)))</f>
        <v/>
      </c>
      <c r="S66" s="70">
        <f>IF(NOT((COUNTA($B66:$K66)+COUNTA($N66))&gt;0),"",IF($B66&lt;&gt;"","Macro",IF($C66&lt;&gt;"","Sub","Macro")))</f>
        <v/>
      </c>
      <c r="T66" s="70">
        <f>IF($S66="Macro",COUNTIFS($R$5:$R$1000,ROW(),$S$5:$S$1000,"Sub"),"")</f>
        <v/>
      </c>
      <c r="U66" s="70">
        <f>IF($S66="","",IF(ISNUMBER($H66),$H66,0))</f>
        <v/>
      </c>
      <c r="V66" s="70">
        <f>IF($S66="","",IF(ISNUMBER($I66),$I66,$U66))</f>
        <v/>
      </c>
      <c r="W66" s="70">
        <f>IF($S66="","",IF(ISNUMBER($J66),$J66,$V66))</f>
        <v/>
      </c>
      <c r="X66" s="70">
        <f>IF($S66="","",IF(ISNUMBER($K66),$K66,$W66))</f>
        <v/>
      </c>
      <c r="Y66" s="70">
        <f>IF($S66="","",IF(N($T66)&gt;0,AVERAGEIFS($U$5:$U$1000,$R$5:$R$1000,ROW(),$S$5:$S$1000,"Sub"),$U66))</f>
        <v/>
      </c>
      <c r="Z66" s="70">
        <f>IF($S66="","",IF(N($T66)&gt;0,AVERAGEIFS($V$5:$V$1000,$R$5:$R$1000,ROW(),$S$5:$S$1000,"Sub"),$V66))</f>
        <v/>
      </c>
      <c r="AA66" s="70">
        <f>IF($S66="","",IF(N($T66)&gt;0,AVERAGEIFS($W$5:$W$1000,$R$5:$R$1000,ROW(),$S$5:$S$1000,"Sub"),$W66))</f>
        <v/>
      </c>
      <c r="AB66" s="70">
        <f>IF($S66="","",IF(N($T66)&gt;0,AVERAGEIFS($X$5:$X$1000,$R$5:$R$1000,ROW(),$S$5:$S$1000,"Sub"),$X66))</f>
        <v/>
      </c>
    </row>
    <row r="67">
      <c r="A67" s="61">
        <f>IF(NOT((COUNTA($B67:$K67)+COUNTA($N67))&gt;0),"",IF($S67="Macro",COUNTIFS($S$5:$S67,"Macro",$P$5:$P67,$P67),IF(N($R67)=0,"?",COUNTIFS(INDEX($S$5:$S$1000,1):INDEX($S$5:$S$1000,$R67-4),"Macro",INDEX($P$5:$P$1000,1):INDEX($P$5:$P$1000,$R67-4),INDEX($P$5:$P$1000,$R67-4))&amp;"."&amp;COUNTIFS($R$5:$R67,$R67,$S$5:$S67,"Sub"))))</f>
        <v/>
      </c>
      <c r="B67" s="62" t="n"/>
      <c r="C67" s="63" t="n"/>
      <c r="D67" s="62" t="n"/>
      <c r="E67" s="64" t="n"/>
      <c r="F67" s="64" t="n"/>
      <c r="G67" s="65" t="n"/>
      <c r="H67" s="66" t="n"/>
      <c r="I67" s="66" t="n"/>
      <c r="J67" s="66" t="n"/>
      <c r="K67" s="66" t="n"/>
      <c r="L67" s="67">
        <f>IF(NOT((COUNTA($B67:$K67)+COUNTA($N67))&gt;0),"",IF(N($T67)&gt;0,$AB67,IFERROR(LOOKUP(2,1/(H67:K67&lt;&gt;""),H67:K67),0)))</f>
        <v/>
      </c>
      <c r="M67" s="61">
        <f>IF(L67="","",IF(L67&gt;=1,"Completado",IF(L67&gt;0,"En curso","Pendiente")))</f>
        <v/>
      </c>
      <c r="N67" s="62" t="n"/>
      <c r="O67" s="68">
        <f>IF(NOT((COUNTA($B67:$K67)+COUNTA($N67))&gt;0),"",IF((IF(AND($S67="Macro",$B67=""),"Macroactividad vacía"&amp;" · ","")&amp;IF(AND($B67&lt;&gt;"",$C67&lt;&gt;""),"Escriba la subactividad en otra fila, debajo de su macroactividad"&amp;" · ","")&amp;IF(AND($S67="Sub",N($R67)=0),"Subactividad sin macroactividad arriba"&amp;" · ","")&amp;IF($D67="","Sin responsable"&amp;" · ","")&amp;IF($E67="","Sin fecha de inicio"&amp;" · ","")&amp;IF($F67="","Sin fecha límite"&amp;" · ","")&amp;IF(OR(AND($E67&lt;&gt;"",NOT(ISNUMBER($E67))),AND($F67&lt;&gt;"",NOT(ISNUMBER($F67)))),"Fecha no válida"&amp;" · ","")&amp;IF(AND(ISNUMBER($E67),ISNUMBER($F67),$E67&gt;$F67),"Inicio posterior a fecha límite"&amp;" · ","")&amp;IF(AND($S67="Macro",$G67=""),"Peso vacío"&amp;" · ","")&amp;IF(AND($S67="Macro",$G67&lt;&gt;"",OR(NOT(ISNUMBER($G67)),$G67&lt;=0,$G67&gt;1)),"Peso fuera de rango"&amp;" · ","")&amp;IF(AND($S67="Sub",$G67&lt;&gt;""),"Las subactividades no llevan peso"&amp;" · ","")&amp;IF(AND($S67="Macro",ABS(SUMIFS($G$5:$G$1000,$P$5:$P$1000,$P67,$S$5:$S$1000,"Macro")-1)&gt;0.0001),"Pesos del mes suman "&amp;TEXT(SUMIFS($G$5:$G$1000,$P$5:$P$1000,$P67,$S$5:$S$1000,"Macro"),"0%")&amp;" · ","")&amp;IF(AND(N($T67)&gt;0,COUNT($H67:$K67)&gt;0),"Con subactividades: deje vacías las semanas (se calculan solas)"&amp;" · ","")&amp;IF((COUNTIF($H67:$K67,"&gt;1")+COUNTIF($H67:$K67,"&lt;0")+COUNTA($H67:$K67)-COUNT($H67:$K67))&gt;0,"Avance fuera de rango 0-100%"&amp;" · ","")&amp;IF(OR(AND($I67&lt;&gt;"",$I67&lt;$H67),AND($J67&lt;&gt;"",$J67&lt;MAX($H67:$I67)),AND($K67&lt;&gt;"",$K67&lt;MAX($H67:$J67))),"Avance semanal decreciente"&amp;" · ","")&amp;IF(AND(ISNUMBER($F67),$F67&lt;FechaRef,N($L67)&lt;1),"Vencida"&amp;" · ","")&amp;IF(AND(ObsObligatoria="Sí",ISNUMBER($F67),$F67&lt;FechaRef,N($L67)&lt;1,$N67=""),"Vencida sin observación"&amp;" · ",""))="","✔ OK","⚠ "&amp;LEFT(IF(AND($S67="Macro",$B67=""),"Macroactividad vacía"&amp;" · ","")&amp;IF(AND($B67&lt;&gt;"",$C67&lt;&gt;""),"Escriba la subactividad en otra fila, debajo de su macroactividad"&amp;" · ","")&amp;IF(AND($S67="Sub",N($R67)=0),"Subactividad sin macroactividad arriba"&amp;" · ","")&amp;IF($D67="","Sin responsable"&amp;" · ","")&amp;IF($E67="","Sin fecha de inicio"&amp;" · ","")&amp;IF($F67="","Sin fecha límite"&amp;" · ","")&amp;IF(OR(AND($E67&lt;&gt;"",NOT(ISNUMBER($E67))),AND($F67&lt;&gt;"",NOT(ISNUMBER($F67)))),"Fecha no válida"&amp;" · ","")&amp;IF(AND(ISNUMBER($E67),ISNUMBER($F67),$E67&gt;$F67),"Inicio posterior a fecha límite"&amp;" · ","")&amp;IF(AND($S67="Macro",$G67=""),"Peso vacío"&amp;" · ","")&amp;IF(AND($S67="Macro",$G67&lt;&gt;"",OR(NOT(ISNUMBER($G67)),$G67&lt;=0,$G67&gt;1)),"Peso fuera de rango"&amp;" · ","")&amp;IF(AND($S67="Sub",$G67&lt;&gt;""),"Las subactividades no llevan peso"&amp;" · ","")&amp;IF(AND($S67="Macro",ABS(SUMIFS($G$5:$G$1000,$P$5:$P$1000,$P67,$S$5:$S$1000,"Macro")-1)&gt;0.0001),"Pesos del mes suman "&amp;TEXT(SUMIFS($G$5:$G$1000,$P$5:$P$1000,$P67,$S$5:$S$1000,"Macro"),"0%")&amp;" · ","")&amp;IF(AND(N($T67)&gt;0,COUNT($H67:$K67)&gt;0),"Con subactividades: deje vacías las semanas (se calculan solas)"&amp;" · ","")&amp;IF((COUNTIF($H67:$K67,"&gt;1")+COUNTIF($H67:$K67,"&lt;0")+COUNTA($H67:$K67)-COUNT($H67:$K67))&gt;0,"Avance fuera de rango 0-100%"&amp;" · ","")&amp;IF(OR(AND($I67&lt;&gt;"",$I67&lt;$H67),AND($J67&lt;&gt;"",$J67&lt;MAX($H67:$I67)),AND($K67&lt;&gt;"",$K67&lt;MAX($H67:$J67))),"Avance semanal decreciente"&amp;" · ","")&amp;IF(AND(ISNUMBER($F67),$F67&lt;FechaRef,N($L67)&lt;1),"Vencida"&amp;" · ","")&amp;IF(AND(ObsObligatoria="Sí",ISNUMBER($F67),$F67&lt;FechaRef,N($L67)&lt;1,$N67=""),"Vencida sin observación"&amp;" · ",""),LEN(IF(AND($S67="Macro",$B67=""),"Macroactividad vacía"&amp;" · ","")&amp;IF(AND($B67&lt;&gt;"",$C67&lt;&gt;""),"Escriba la subactividad en otra fila, debajo de su macroactividad"&amp;" · ","")&amp;IF(AND($S67="Sub",N($R67)=0),"Subactividad sin macroactividad arriba"&amp;" · ","")&amp;IF($D67="","Sin responsable"&amp;" · ","")&amp;IF($E67="","Sin fecha de inicio"&amp;" · ","")&amp;IF($F67="","Sin fecha límite"&amp;" · ","")&amp;IF(OR(AND($E67&lt;&gt;"",NOT(ISNUMBER($E67))),AND($F67&lt;&gt;"",NOT(ISNUMBER($F67)))),"Fecha no válida"&amp;" · ","")&amp;IF(AND(ISNUMBER($E67),ISNUMBER($F67),$E67&gt;$F67),"Inicio posterior a fecha límite"&amp;" · ","")&amp;IF(AND($S67="Macro",$G67=""),"Peso vacío"&amp;" · ","")&amp;IF(AND($S67="Macro",$G67&lt;&gt;"",OR(NOT(ISNUMBER($G67)),$G67&lt;=0,$G67&gt;1)),"Peso fuera de rango"&amp;" · ","")&amp;IF(AND($S67="Sub",$G67&lt;&gt;""),"Las subactividades no llevan peso"&amp;" · ","")&amp;IF(AND($S67="Macro",ABS(SUMIFS($G$5:$G$1000,$P$5:$P$1000,$P67,$S$5:$S$1000,"Macro")-1)&gt;0.0001),"Pesos del mes suman "&amp;TEXT(SUMIFS($G$5:$G$1000,$P$5:$P$1000,$P67,$S$5:$S$1000,"Macro"),"0%")&amp;" · ","")&amp;IF(AND(N($T67)&gt;0,COUNT($H67:$K67)&gt;0),"Con subactividades: deje vacías las semanas (se calculan solas)"&amp;" · ","")&amp;IF((COUNTIF($H67:$K67,"&gt;1")+COUNTIF($H67:$K67,"&lt;0")+COUNTA($H67:$K67)-COUNT($H67:$K67))&gt;0,"Avance fuera de rango 0-100%"&amp;" · ","")&amp;IF(OR(AND($I67&lt;&gt;"",$I67&lt;$H67),AND($J67&lt;&gt;"",$J67&lt;MAX($H67:$I67)),AND($K67&lt;&gt;"",$K67&lt;MAX($H67:$J67))),"Avance semanal decreciente"&amp;" · ","")&amp;IF(AND(ISNUMBER($F67),$F67&lt;FechaRef,N($L67)&lt;1),"Vencida"&amp;" · ","")&amp;IF(AND(ObsObligatoria="Sí",ISNUMBER($F67),$F67&lt;FechaRef,N($L67)&lt;1,$N67=""),"Vencida sin observación"&amp;" · ",""))-3)))</f>
        <v/>
      </c>
      <c r="P67" s="69">
        <f>IF(NOT((COUNTA($B67:$K67)+COUNTA($N67))&gt;0),"",IF(AND($S67="Sub",N($R67)&gt;0),IF(ISNUMBER(INDEX($E$5:$E$1000,$R67-4)),DATE(YEAR(INDEX($E$5:$E$1000,$R67-4)),MONTH(INDEX($E$5:$E$1000,$R67-4)),1),IF(ISNUMBER(INDEX($F$5:$F$1000,$R67-4)),DATE(YEAR(INDEX($F$5:$F$1000,$R67-4)),MONTH(INDEX($F$5:$F$1000,$R67-4)),1),MesCiclo)),IF(ISNUMBER($E67),DATE(YEAR($E67),MONTH($E67),1),IF(ISNUMBER($F67),DATE(YEAR($F67),MONTH($F67),1),MesCiclo))))</f>
        <v/>
      </c>
      <c r="Q67" s="70">
        <f>IF(OR($P67="",$P67&lt;&gt;MesCiclo),"",COUNTIF($P$5:$P67,MesCiclo))</f>
        <v/>
      </c>
      <c r="R67" s="70">
        <f>IF($S67="","",IF($S67="Macro",ROW(),IFERROR(LOOKUP(2,1/($S$5:$S67="Macro"),ROW($S$5:$S67)),0)))</f>
        <v/>
      </c>
      <c r="S67" s="70">
        <f>IF(NOT((COUNTA($B67:$K67)+COUNTA($N67))&gt;0),"",IF($B67&lt;&gt;"","Macro",IF($C67&lt;&gt;"","Sub","Macro")))</f>
        <v/>
      </c>
      <c r="T67" s="70">
        <f>IF($S67="Macro",COUNTIFS($R$5:$R$1000,ROW(),$S$5:$S$1000,"Sub"),"")</f>
        <v/>
      </c>
      <c r="U67" s="70">
        <f>IF($S67="","",IF(ISNUMBER($H67),$H67,0))</f>
        <v/>
      </c>
      <c r="V67" s="70">
        <f>IF($S67="","",IF(ISNUMBER($I67),$I67,$U67))</f>
        <v/>
      </c>
      <c r="W67" s="70">
        <f>IF($S67="","",IF(ISNUMBER($J67),$J67,$V67))</f>
        <v/>
      </c>
      <c r="X67" s="70">
        <f>IF($S67="","",IF(ISNUMBER($K67),$K67,$W67))</f>
        <v/>
      </c>
      <c r="Y67" s="70">
        <f>IF($S67="","",IF(N($T67)&gt;0,AVERAGEIFS($U$5:$U$1000,$R$5:$R$1000,ROW(),$S$5:$S$1000,"Sub"),$U67))</f>
        <v/>
      </c>
      <c r="Z67" s="70">
        <f>IF($S67="","",IF(N($T67)&gt;0,AVERAGEIFS($V$5:$V$1000,$R$5:$R$1000,ROW(),$S$5:$S$1000,"Sub"),$V67))</f>
        <v/>
      </c>
      <c r="AA67" s="70">
        <f>IF($S67="","",IF(N($T67)&gt;0,AVERAGEIFS($W$5:$W$1000,$R$5:$R$1000,ROW(),$S$5:$S$1000,"Sub"),$W67))</f>
        <v/>
      </c>
      <c r="AB67" s="70">
        <f>IF($S67="","",IF(N($T67)&gt;0,AVERAGEIFS($X$5:$X$1000,$R$5:$R$1000,ROW(),$S$5:$S$1000,"Sub"),$X67))</f>
        <v/>
      </c>
    </row>
    <row r="68">
      <c r="A68" s="61">
        <f>IF(NOT((COUNTA($B68:$K68)+COUNTA($N68))&gt;0),"",IF($S68="Macro",COUNTIFS($S$5:$S68,"Macro",$P$5:$P68,$P68),IF(N($R68)=0,"?",COUNTIFS(INDEX($S$5:$S$1000,1):INDEX($S$5:$S$1000,$R68-4),"Macro",INDEX($P$5:$P$1000,1):INDEX($P$5:$P$1000,$R68-4),INDEX($P$5:$P$1000,$R68-4))&amp;"."&amp;COUNTIFS($R$5:$R68,$R68,$S$5:$S68,"Sub"))))</f>
        <v/>
      </c>
      <c r="B68" s="62" t="n"/>
      <c r="C68" s="63" t="n"/>
      <c r="D68" s="62" t="n"/>
      <c r="E68" s="64" t="n"/>
      <c r="F68" s="64" t="n"/>
      <c r="G68" s="65" t="n"/>
      <c r="H68" s="66" t="n"/>
      <c r="I68" s="66" t="n"/>
      <c r="J68" s="66" t="n"/>
      <c r="K68" s="66" t="n"/>
      <c r="L68" s="67">
        <f>IF(NOT((COUNTA($B68:$K68)+COUNTA($N68))&gt;0),"",IF(N($T68)&gt;0,$AB68,IFERROR(LOOKUP(2,1/(H68:K68&lt;&gt;""),H68:K68),0)))</f>
        <v/>
      </c>
      <c r="M68" s="61">
        <f>IF(L68="","",IF(L68&gt;=1,"Completado",IF(L68&gt;0,"En curso","Pendiente")))</f>
        <v/>
      </c>
      <c r="N68" s="62" t="n"/>
      <c r="O68" s="68">
        <f>IF(NOT((COUNTA($B68:$K68)+COUNTA($N68))&gt;0),"",IF((IF(AND($S68="Macro",$B68=""),"Macroactividad vacía"&amp;" · ","")&amp;IF(AND($B68&lt;&gt;"",$C68&lt;&gt;""),"Escriba la subactividad en otra fila, debajo de su macroactividad"&amp;" · ","")&amp;IF(AND($S68="Sub",N($R68)=0),"Subactividad sin macroactividad arriba"&amp;" · ","")&amp;IF($D68="","Sin responsable"&amp;" · ","")&amp;IF($E68="","Sin fecha de inicio"&amp;" · ","")&amp;IF($F68="","Sin fecha límite"&amp;" · ","")&amp;IF(OR(AND($E68&lt;&gt;"",NOT(ISNUMBER($E68))),AND($F68&lt;&gt;"",NOT(ISNUMBER($F68)))),"Fecha no válida"&amp;" · ","")&amp;IF(AND(ISNUMBER($E68),ISNUMBER($F68),$E68&gt;$F68),"Inicio posterior a fecha límite"&amp;" · ","")&amp;IF(AND($S68="Macro",$G68=""),"Peso vacío"&amp;" · ","")&amp;IF(AND($S68="Macro",$G68&lt;&gt;"",OR(NOT(ISNUMBER($G68)),$G68&lt;=0,$G68&gt;1)),"Peso fuera de rango"&amp;" · ","")&amp;IF(AND($S68="Sub",$G68&lt;&gt;""),"Las subactividades no llevan peso"&amp;" · ","")&amp;IF(AND($S68="Macro",ABS(SUMIFS($G$5:$G$1000,$P$5:$P$1000,$P68,$S$5:$S$1000,"Macro")-1)&gt;0.0001),"Pesos del mes suman "&amp;TEXT(SUMIFS($G$5:$G$1000,$P$5:$P$1000,$P68,$S$5:$S$1000,"Macro"),"0%")&amp;" · ","")&amp;IF(AND(N($T68)&gt;0,COUNT($H68:$K68)&gt;0),"Con subactividades: deje vacías las semanas (se calculan solas)"&amp;" · ","")&amp;IF((COUNTIF($H68:$K68,"&gt;1")+COUNTIF($H68:$K68,"&lt;0")+COUNTA($H68:$K68)-COUNT($H68:$K68))&gt;0,"Avance fuera de rango 0-100%"&amp;" · ","")&amp;IF(OR(AND($I68&lt;&gt;"",$I68&lt;$H68),AND($J68&lt;&gt;"",$J68&lt;MAX($H68:$I68)),AND($K68&lt;&gt;"",$K68&lt;MAX($H68:$J68))),"Avance semanal decreciente"&amp;" · ","")&amp;IF(AND(ISNUMBER($F68),$F68&lt;FechaRef,N($L68)&lt;1),"Vencida"&amp;" · ","")&amp;IF(AND(ObsObligatoria="Sí",ISNUMBER($F68),$F68&lt;FechaRef,N($L68)&lt;1,$N68=""),"Vencida sin observación"&amp;" · ",""))="","✔ OK","⚠ "&amp;LEFT(IF(AND($S68="Macro",$B68=""),"Macroactividad vacía"&amp;" · ","")&amp;IF(AND($B68&lt;&gt;"",$C68&lt;&gt;""),"Escriba la subactividad en otra fila, debajo de su macroactividad"&amp;" · ","")&amp;IF(AND($S68="Sub",N($R68)=0),"Subactividad sin macroactividad arriba"&amp;" · ","")&amp;IF($D68="","Sin responsable"&amp;" · ","")&amp;IF($E68="","Sin fecha de inicio"&amp;" · ","")&amp;IF($F68="","Sin fecha límite"&amp;" · ","")&amp;IF(OR(AND($E68&lt;&gt;"",NOT(ISNUMBER($E68))),AND($F68&lt;&gt;"",NOT(ISNUMBER($F68)))),"Fecha no válida"&amp;" · ","")&amp;IF(AND(ISNUMBER($E68),ISNUMBER($F68),$E68&gt;$F68),"Inicio posterior a fecha límite"&amp;" · ","")&amp;IF(AND($S68="Macro",$G68=""),"Peso vacío"&amp;" · ","")&amp;IF(AND($S68="Macro",$G68&lt;&gt;"",OR(NOT(ISNUMBER($G68)),$G68&lt;=0,$G68&gt;1)),"Peso fuera de rango"&amp;" · ","")&amp;IF(AND($S68="Sub",$G68&lt;&gt;""),"Las subactividades no llevan peso"&amp;" · ","")&amp;IF(AND($S68="Macro",ABS(SUMIFS($G$5:$G$1000,$P$5:$P$1000,$P68,$S$5:$S$1000,"Macro")-1)&gt;0.0001),"Pesos del mes suman "&amp;TEXT(SUMIFS($G$5:$G$1000,$P$5:$P$1000,$P68,$S$5:$S$1000,"Macro"),"0%")&amp;" · ","")&amp;IF(AND(N($T68)&gt;0,COUNT($H68:$K68)&gt;0),"Con subactividades: deje vacías las semanas (se calculan solas)"&amp;" · ","")&amp;IF((COUNTIF($H68:$K68,"&gt;1")+COUNTIF($H68:$K68,"&lt;0")+COUNTA($H68:$K68)-COUNT($H68:$K68))&gt;0,"Avance fuera de rango 0-100%"&amp;" · ","")&amp;IF(OR(AND($I68&lt;&gt;"",$I68&lt;$H68),AND($J68&lt;&gt;"",$J68&lt;MAX($H68:$I68)),AND($K68&lt;&gt;"",$K68&lt;MAX($H68:$J68))),"Avance semanal decreciente"&amp;" · ","")&amp;IF(AND(ISNUMBER($F68),$F68&lt;FechaRef,N($L68)&lt;1),"Vencida"&amp;" · ","")&amp;IF(AND(ObsObligatoria="Sí",ISNUMBER($F68),$F68&lt;FechaRef,N($L68)&lt;1,$N68=""),"Vencida sin observación"&amp;" · ",""),LEN(IF(AND($S68="Macro",$B68=""),"Macroactividad vacía"&amp;" · ","")&amp;IF(AND($B68&lt;&gt;"",$C68&lt;&gt;""),"Escriba la subactividad en otra fila, debajo de su macroactividad"&amp;" · ","")&amp;IF(AND($S68="Sub",N($R68)=0),"Subactividad sin macroactividad arriba"&amp;" · ","")&amp;IF($D68="","Sin responsable"&amp;" · ","")&amp;IF($E68="","Sin fecha de inicio"&amp;" · ","")&amp;IF($F68="","Sin fecha límite"&amp;" · ","")&amp;IF(OR(AND($E68&lt;&gt;"",NOT(ISNUMBER($E68))),AND($F68&lt;&gt;"",NOT(ISNUMBER($F68)))),"Fecha no válida"&amp;" · ","")&amp;IF(AND(ISNUMBER($E68),ISNUMBER($F68),$E68&gt;$F68),"Inicio posterior a fecha límite"&amp;" · ","")&amp;IF(AND($S68="Macro",$G68=""),"Peso vacío"&amp;" · ","")&amp;IF(AND($S68="Macro",$G68&lt;&gt;"",OR(NOT(ISNUMBER($G68)),$G68&lt;=0,$G68&gt;1)),"Peso fuera de rango"&amp;" · ","")&amp;IF(AND($S68="Sub",$G68&lt;&gt;""),"Las subactividades no llevan peso"&amp;" · ","")&amp;IF(AND($S68="Macro",ABS(SUMIFS($G$5:$G$1000,$P$5:$P$1000,$P68,$S$5:$S$1000,"Macro")-1)&gt;0.0001),"Pesos del mes suman "&amp;TEXT(SUMIFS($G$5:$G$1000,$P$5:$P$1000,$P68,$S$5:$S$1000,"Macro"),"0%")&amp;" · ","")&amp;IF(AND(N($T68)&gt;0,COUNT($H68:$K68)&gt;0),"Con subactividades: deje vacías las semanas (se calculan solas)"&amp;" · ","")&amp;IF((COUNTIF($H68:$K68,"&gt;1")+COUNTIF($H68:$K68,"&lt;0")+COUNTA($H68:$K68)-COUNT($H68:$K68))&gt;0,"Avance fuera de rango 0-100%"&amp;" · ","")&amp;IF(OR(AND($I68&lt;&gt;"",$I68&lt;$H68),AND($J68&lt;&gt;"",$J68&lt;MAX($H68:$I68)),AND($K68&lt;&gt;"",$K68&lt;MAX($H68:$J68))),"Avance semanal decreciente"&amp;" · ","")&amp;IF(AND(ISNUMBER($F68),$F68&lt;FechaRef,N($L68)&lt;1),"Vencida"&amp;" · ","")&amp;IF(AND(ObsObligatoria="Sí",ISNUMBER($F68),$F68&lt;FechaRef,N($L68)&lt;1,$N68=""),"Vencida sin observación"&amp;" · ",""))-3)))</f>
        <v/>
      </c>
      <c r="P68" s="69">
        <f>IF(NOT((COUNTA($B68:$K68)+COUNTA($N68))&gt;0),"",IF(AND($S68="Sub",N($R68)&gt;0),IF(ISNUMBER(INDEX($E$5:$E$1000,$R68-4)),DATE(YEAR(INDEX($E$5:$E$1000,$R68-4)),MONTH(INDEX($E$5:$E$1000,$R68-4)),1),IF(ISNUMBER(INDEX($F$5:$F$1000,$R68-4)),DATE(YEAR(INDEX($F$5:$F$1000,$R68-4)),MONTH(INDEX($F$5:$F$1000,$R68-4)),1),MesCiclo)),IF(ISNUMBER($E68),DATE(YEAR($E68),MONTH($E68),1),IF(ISNUMBER($F68),DATE(YEAR($F68),MONTH($F68),1),MesCiclo))))</f>
        <v/>
      </c>
      <c r="Q68" s="70">
        <f>IF(OR($P68="",$P68&lt;&gt;MesCiclo),"",COUNTIF($P$5:$P68,MesCiclo))</f>
        <v/>
      </c>
      <c r="R68" s="70">
        <f>IF($S68="","",IF($S68="Macro",ROW(),IFERROR(LOOKUP(2,1/($S$5:$S68="Macro"),ROW($S$5:$S68)),0)))</f>
        <v/>
      </c>
      <c r="S68" s="70">
        <f>IF(NOT((COUNTA($B68:$K68)+COUNTA($N68))&gt;0),"",IF($B68&lt;&gt;"","Macro",IF($C68&lt;&gt;"","Sub","Macro")))</f>
        <v/>
      </c>
      <c r="T68" s="70">
        <f>IF($S68="Macro",COUNTIFS($R$5:$R$1000,ROW(),$S$5:$S$1000,"Sub"),"")</f>
        <v/>
      </c>
      <c r="U68" s="70">
        <f>IF($S68="","",IF(ISNUMBER($H68),$H68,0))</f>
        <v/>
      </c>
      <c r="V68" s="70">
        <f>IF($S68="","",IF(ISNUMBER($I68),$I68,$U68))</f>
        <v/>
      </c>
      <c r="W68" s="70">
        <f>IF($S68="","",IF(ISNUMBER($J68),$J68,$V68))</f>
        <v/>
      </c>
      <c r="X68" s="70">
        <f>IF($S68="","",IF(ISNUMBER($K68),$K68,$W68))</f>
        <v/>
      </c>
      <c r="Y68" s="70">
        <f>IF($S68="","",IF(N($T68)&gt;0,AVERAGEIFS($U$5:$U$1000,$R$5:$R$1000,ROW(),$S$5:$S$1000,"Sub"),$U68))</f>
        <v/>
      </c>
      <c r="Z68" s="70">
        <f>IF($S68="","",IF(N($T68)&gt;0,AVERAGEIFS($V$5:$V$1000,$R$5:$R$1000,ROW(),$S$5:$S$1000,"Sub"),$V68))</f>
        <v/>
      </c>
      <c r="AA68" s="70">
        <f>IF($S68="","",IF(N($T68)&gt;0,AVERAGEIFS($W$5:$W$1000,$R$5:$R$1000,ROW(),$S$5:$S$1000,"Sub"),$W68))</f>
        <v/>
      </c>
      <c r="AB68" s="70">
        <f>IF($S68="","",IF(N($T68)&gt;0,AVERAGEIFS($X$5:$X$1000,$R$5:$R$1000,ROW(),$S$5:$S$1000,"Sub"),$X68))</f>
        <v/>
      </c>
    </row>
    <row r="69">
      <c r="A69" s="61">
        <f>IF(NOT((COUNTA($B69:$K69)+COUNTA($N69))&gt;0),"",IF($S69="Macro",COUNTIFS($S$5:$S69,"Macro",$P$5:$P69,$P69),IF(N($R69)=0,"?",COUNTIFS(INDEX($S$5:$S$1000,1):INDEX($S$5:$S$1000,$R69-4),"Macro",INDEX($P$5:$P$1000,1):INDEX($P$5:$P$1000,$R69-4),INDEX($P$5:$P$1000,$R69-4))&amp;"."&amp;COUNTIFS($R$5:$R69,$R69,$S$5:$S69,"Sub"))))</f>
        <v/>
      </c>
      <c r="B69" s="62" t="n"/>
      <c r="C69" s="63" t="n"/>
      <c r="D69" s="62" t="n"/>
      <c r="E69" s="64" t="n"/>
      <c r="F69" s="64" t="n"/>
      <c r="G69" s="65" t="n"/>
      <c r="H69" s="66" t="n"/>
      <c r="I69" s="66" t="n"/>
      <c r="J69" s="66" t="n"/>
      <c r="K69" s="66" t="n"/>
      <c r="L69" s="67">
        <f>IF(NOT((COUNTA($B69:$K69)+COUNTA($N69))&gt;0),"",IF(N($T69)&gt;0,$AB69,IFERROR(LOOKUP(2,1/(H69:K69&lt;&gt;""),H69:K69),0)))</f>
        <v/>
      </c>
      <c r="M69" s="61">
        <f>IF(L69="","",IF(L69&gt;=1,"Completado",IF(L69&gt;0,"En curso","Pendiente")))</f>
        <v/>
      </c>
      <c r="N69" s="62" t="n"/>
      <c r="O69" s="68">
        <f>IF(NOT((COUNTA($B69:$K69)+COUNTA($N69))&gt;0),"",IF((IF(AND($S69="Macro",$B69=""),"Macroactividad vacía"&amp;" · ","")&amp;IF(AND($B69&lt;&gt;"",$C69&lt;&gt;""),"Escriba la subactividad en otra fila, debajo de su macroactividad"&amp;" · ","")&amp;IF(AND($S69="Sub",N($R69)=0),"Subactividad sin macroactividad arriba"&amp;" · ","")&amp;IF($D69="","Sin responsable"&amp;" · ","")&amp;IF($E69="","Sin fecha de inicio"&amp;" · ","")&amp;IF($F69="","Sin fecha límite"&amp;" · ","")&amp;IF(OR(AND($E69&lt;&gt;"",NOT(ISNUMBER($E69))),AND($F69&lt;&gt;"",NOT(ISNUMBER($F69)))),"Fecha no válida"&amp;" · ","")&amp;IF(AND(ISNUMBER($E69),ISNUMBER($F69),$E69&gt;$F69),"Inicio posterior a fecha límite"&amp;" · ","")&amp;IF(AND($S69="Macro",$G69=""),"Peso vacío"&amp;" · ","")&amp;IF(AND($S69="Macro",$G69&lt;&gt;"",OR(NOT(ISNUMBER($G69)),$G69&lt;=0,$G69&gt;1)),"Peso fuera de rango"&amp;" · ","")&amp;IF(AND($S69="Sub",$G69&lt;&gt;""),"Las subactividades no llevan peso"&amp;" · ","")&amp;IF(AND($S69="Macro",ABS(SUMIFS($G$5:$G$1000,$P$5:$P$1000,$P69,$S$5:$S$1000,"Macro")-1)&gt;0.0001),"Pesos del mes suman "&amp;TEXT(SUMIFS($G$5:$G$1000,$P$5:$P$1000,$P69,$S$5:$S$1000,"Macro"),"0%")&amp;" · ","")&amp;IF(AND(N($T69)&gt;0,COUNT($H69:$K69)&gt;0),"Con subactividades: deje vacías las semanas (se calculan solas)"&amp;" · ","")&amp;IF((COUNTIF($H69:$K69,"&gt;1")+COUNTIF($H69:$K69,"&lt;0")+COUNTA($H69:$K69)-COUNT($H69:$K69))&gt;0,"Avance fuera de rango 0-100%"&amp;" · ","")&amp;IF(OR(AND($I69&lt;&gt;"",$I69&lt;$H69),AND($J69&lt;&gt;"",$J69&lt;MAX($H69:$I69)),AND($K69&lt;&gt;"",$K69&lt;MAX($H69:$J69))),"Avance semanal decreciente"&amp;" · ","")&amp;IF(AND(ISNUMBER($F69),$F69&lt;FechaRef,N($L69)&lt;1),"Vencida"&amp;" · ","")&amp;IF(AND(ObsObligatoria="Sí",ISNUMBER($F69),$F69&lt;FechaRef,N($L69)&lt;1,$N69=""),"Vencida sin observación"&amp;" · ",""))="","✔ OK","⚠ "&amp;LEFT(IF(AND($S69="Macro",$B69=""),"Macroactividad vacía"&amp;" · ","")&amp;IF(AND($B69&lt;&gt;"",$C69&lt;&gt;""),"Escriba la subactividad en otra fila, debajo de su macroactividad"&amp;" · ","")&amp;IF(AND($S69="Sub",N($R69)=0),"Subactividad sin macroactividad arriba"&amp;" · ","")&amp;IF($D69="","Sin responsable"&amp;" · ","")&amp;IF($E69="","Sin fecha de inicio"&amp;" · ","")&amp;IF($F69="","Sin fecha límite"&amp;" · ","")&amp;IF(OR(AND($E69&lt;&gt;"",NOT(ISNUMBER($E69))),AND($F69&lt;&gt;"",NOT(ISNUMBER($F69)))),"Fecha no válida"&amp;" · ","")&amp;IF(AND(ISNUMBER($E69),ISNUMBER($F69),$E69&gt;$F69),"Inicio posterior a fecha límite"&amp;" · ","")&amp;IF(AND($S69="Macro",$G69=""),"Peso vacío"&amp;" · ","")&amp;IF(AND($S69="Macro",$G69&lt;&gt;"",OR(NOT(ISNUMBER($G69)),$G69&lt;=0,$G69&gt;1)),"Peso fuera de rango"&amp;" · ","")&amp;IF(AND($S69="Sub",$G69&lt;&gt;""),"Las subactividades no llevan peso"&amp;" · ","")&amp;IF(AND($S69="Macro",ABS(SUMIFS($G$5:$G$1000,$P$5:$P$1000,$P69,$S$5:$S$1000,"Macro")-1)&gt;0.0001),"Pesos del mes suman "&amp;TEXT(SUMIFS($G$5:$G$1000,$P$5:$P$1000,$P69,$S$5:$S$1000,"Macro"),"0%")&amp;" · ","")&amp;IF(AND(N($T69)&gt;0,COUNT($H69:$K69)&gt;0),"Con subactividades: deje vacías las semanas (se calculan solas)"&amp;" · ","")&amp;IF((COUNTIF($H69:$K69,"&gt;1")+COUNTIF($H69:$K69,"&lt;0")+COUNTA($H69:$K69)-COUNT($H69:$K69))&gt;0,"Avance fuera de rango 0-100%"&amp;" · ","")&amp;IF(OR(AND($I69&lt;&gt;"",$I69&lt;$H69),AND($J69&lt;&gt;"",$J69&lt;MAX($H69:$I69)),AND($K69&lt;&gt;"",$K69&lt;MAX($H69:$J69))),"Avance semanal decreciente"&amp;" · ","")&amp;IF(AND(ISNUMBER($F69),$F69&lt;FechaRef,N($L69)&lt;1),"Vencida"&amp;" · ","")&amp;IF(AND(ObsObligatoria="Sí",ISNUMBER($F69),$F69&lt;FechaRef,N($L69)&lt;1,$N69=""),"Vencida sin observación"&amp;" · ",""),LEN(IF(AND($S69="Macro",$B69=""),"Macroactividad vacía"&amp;" · ","")&amp;IF(AND($B69&lt;&gt;"",$C69&lt;&gt;""),"Escriba la subactividad en otra fila, debajo de su macroactividad"&amp;" · ","")&amp;IF(AND($S69="Sub",N($R69)=0),"Subactividad sin macroactividad arriba"&amp;" · ","")&amp;IF($D69="","Sin responsable"&amp;" · ","")&amp;IF($E69="","Sin fecha de inicio"&amp;" · ","")&amp;IF($F69="","Sin fecha límite"&amp;" · ","")&amp;IF(OR(AND($E69&lt;&gt;"",NOT(ISNUMBER($E69))),AND($F69&lt;&gt;"",NOT(ISNUMBER($F69)))),"Fecha no válida"&amp;" · ","")&amp;IF(AND(ISNUMBER($E69),ISNUMBER($F69),$E69&gt;$F69),"Inicio posterior a fecha límite"&amp;" · ","")&amp;IF(AND($S69="Macro",$G69=""),"Peso vacío"&amp;" · ","")&amp;IF(AND($S69="Macro",$G69&lt;&gt;"",OR(NOT(ISNUMBER($G69)),$G69&lt;=0,$G69&gt;1)),"Peso fuera de rango"&amp;" · ","")&amp;IF(AND($S69="Sub",$G69&lt;&gt;""),"Las subactividades no llevan peso"&amp;" · ","")&amp;IF(AND($S69="Macro",ABS(SUMIFS($G$5:$G$1000,$P$5:$P$1000,$P69,$S$5:$S$1000,"Macro")-1)&gt;0.0001),"Pesos del mes suman "&amp;TEXT(SUMIFS($G$5:$G$1000,$P$5:$P$1000,$P69,$S$5:$S$1000,"Macro"),"0%")&amp;" · ","")&amp;IF(AND(N($T69)&gt;0,COUNT($H69:$K69)&gt;0),"Con subactividades: deje vacías las semanas (se calculan solas)"&amp;" · ","")&amp;IF((COUNTIF($H69:$K69,"&gt;1")+COUNTIF($H69:$K69,"&lt;0")+COUNTA($H69:$K69)-COUNT($H69:$K69))&gt;0,"Avance fuera de rango 0-100%"&amp;" · ","")&amp;IF(OR(AND($I69&lt;&gt;"",$I69&lt;$H69),AND($J69&lt;&gt;"",$J69&lt;MAX($H69:$I69)),AND($K69&lt;&gt;"",$K69&lt;MAX($H69:$J69))),"Avance semanal decreciente"&amp;" · ","")&amp;IF(AND(ISNUMBER($F69),$F69&lt;FechaRef,N($L69)&lt;1),"Vencida"&amp;" · ","")&amp;IF(AND(ObsObligatoria="Sí",ISNUMBER($F69),$F69&lt;FechaRef,N($L69)&lt;1,$N69=""),"Vencida sin observación"&amp;" · ",""))-3)))</f>
        <v/>
      </c>
      <c r="P69" s="69">
        <f>IF(NOT((COUNTA($B69:$K69)+COUNTA($N69))&gt;0),"",IF(AND($S69="Sub",N($R69)&gt;0),IF(ISNUMBER(INDEX($E$5:$E$1000,$R69-4)),DATE(YEAR(INDEX($E$5:$E$1000,$R69-4)),MONTH(INDEX($E$5:$E$1000,$R69-4)),1),IF(ISNUMBER(INDEX($F$5:$F$1000,$R69-4)),DATE(YEAR(INDEX($F$5:$F$1000,$R69-4)),MONTH(INDEX($F$5:$F$1000,$R69-4)),1),MesCiclo)),IF(ISNUMBER($E69),DATE(YEAR($E69),MONTH($E69),1),IF(ISNUMBER($F69),DATE(YEAR($F69),MONTH($F69),1),MesCiclo))))</f>
        <v/>
      </c>
      <c r="Q69" s="70">
        <f>IF(OR($P69="",$P69&lt;&gt;MesCiclo),"",COUNTIF($P$5:$P69,MesCiclo))</f>
        <v/>
      </c>
      <c r="R69" s="70">
        <f>IF($S69="","",IF($S69="Macro",ROW(),IFERROR(LOOKUP(2,1/($S$5:$S69="Macro"),ROW($S$5:$S69)),0)))</f>
        <v/>
      </c>
      <c r="S69" s="70">
        <f>IF(NOT((COUNTA($B69:$K69)+COUNTA($N69))&gt;0),"",IF($B69&lt;&gt;"","Macro",IF($C69&lt;&gt;"","Sub","Macro")))</f>
        <v/>
      </c>
      <c r="T69" s="70">
        <f>IF($S69="Macro",COUNTIFS($R$5:$R$1000,ROW(),$S$5:$S$1000,"Sub"),"")</f>
        <v/>
      </c>
      <c r="U69" s="70">
        <f>IF($S69="","",IF(ISNUMBER($H69),$H69,0))</f>
        <v/>
      </c>
      <c r="V69" s="70">
        <f>IF($S69="","",IF(ISNUMBER($I69),$I69,$U69))</f>
        <v/>
      </c>
      <c r="W69" s="70">
        <f>IF($S69="","",IF(ISNUMBER($J69),$J69,$V69))</f>
        <v/>
      </c>
      <c r="X69" s="70">
        <f>IF($S69="","",IF(ISNUMBER($K69),$K69,$W69))</f>
        <v/>
      </c>
      <c r="Y69" s="70">
        <f>IF($S69="","",IF(N($T69)&gt;0,AVERAGEIFS($U$5:$U$1000,$R$5:$R$1000,ROW(),$S$5:$S$1000,"Sub"),$U69))</f>
        <v/>
      </c>
      <c r="Z69" s="70">
        <f>IF($S69="","",IF(N($T69)&gt;0,AVERAGEIFS($V$5:$V$1000,$R$5:$R$1000,ROW(),$S$5:$S$1000,"Sub"),$V69))</f>
        <v/>
      </c>
      <c r="AA69" s="70">
        <f>IF($S69="","",IF(N($T69)&gt;0,AVERAGEIFS($W$5:$W$1000,$R$5:$R$1000,ROW(),$S$5:$S$1000,"Sub"),$W69))</f>
        <v/>
      </c>
      <c r="AB69" s="70">
        <f>IF($S69="","",IF(N($T69)&gt;0,AVERAGEIFS($X$5:$X$1000,$R$5:$R$1000,ROW(),$S$5:$S$1000,"Sub"),$X69))</f>
        <v/>
      </c>
    </row>
    <row r="70">
      <c r="A70" s="61">
        <f>IF(NOT((COUNTA($B70:$K70)+COUNTA($N70))&gt;0),"",IF($S70="Macro",COUNTIFS($S$5:$S70,"Macro",$P$5:$P70,$P70),IF(N($R70)=0,"?",COUNTIFS(INDEX($S$5:$S$1000,1):INDEX($S$5:$S$1000,$R70-4),"Macro",INDEX($P$5:$P$1000,1):INDEX($P$5:$P$1000,$R70-4),INDEX($P$5:$P$1000,$R70-4))&amp;"."&amp;COUNTIFS($R$5:$R70,$R70,$S$5:$S70,"Sub"))))</f>
        <v/>
      </c>
      <c r="B70" s="62" t="n"/>
      <c r="C70" s="63" t="n"/>
      <c r="D70" s="62" t="n"/>
      <c r="E70" s="64" t="n"/>
      <c r="F70" s="64" t="n"/>
      <c r="G70" s="65" t="n"/>
      <c r="H70" s="66" t="n"/>
      <c r="I70" s="66" t="n"/>
      <c r="J70" s="66" t="n"/>
      <c r="K70" s="66" t="n"/>
      <c r="L70" s="67">
        <f>IF(NOT((COUNTA($B70:$K70)+COUNTA($N70))&gt;0),"",IF(N($T70)&gt;0,$AB70,IFERROR(LOOKUP(2,1/(H70:K70&lt;&gt;""),H70:K70),0)))</f>
        <v/>
      </c>
      <c r="M70" s="61">
        <f>IF(L70="","",IF(L70&gt;=1,"Completado",IF(L70&gt;0,"En curso","Pendiente")))</f>
        <v/>
      </c>
      <c r="N70" s="62" t="n"/>
      <c r="O70" s="68">
        <f>IF(NOT((COUNTA($B70:$K70)+COUNTA($N70))&gt;0),"",IF((IF(AND($S70="Macro",$B70=""),"Macroactividad vacía"&amp;" · ","")&amp;IF(AND($B70&lt;&gt;"",$C70&lt;&gt;""),"Escriba la subactividad en otra fila, debajo de su macroactividad"&amp;" · ","")&amp;IF(AND($S70="Sub",N($R70)=0),"Subactividad sin macroactividad arriba"&amp;" · ","")&amp;IF($D70="","Sin responsable"&amp;" · ","")&amp;IF($E70="","Sin fecha de inicio"&amp;" · ","")&amp;IF($F70="","Sin fecha límite"&amp;" · ","")&amp;IF(OR(AND($E70&lt;&gt;"",NOT(ISNUMBER($E70))),AND($F70&lt;&gt;"",NOT(ISNUMBER($F70)))),"Fecha no válida"&amp;" · ","")&amp;IF(AND(ISNUMBER($E70),ISNUMBER($F70),$E70&gt;$F70),"Inicio posterior a fecha límite"&amp;" · ","")&amp;IF(AND($S70="Macro",$G70=""),"Peso vacío"&amp;" · ","")&amp;IF(AND($S70="Macro",$G70&lt;&gt;"",OR(NOT(ISNUMBER($G70)),$G70&lt;=0,$G70&gt;1)),"Peso fuera de rango"&amp;" · ","")&amp;IF(AND($S70="Sub",$G70&lt;&gt;""),"Las subactividades no llevan peso"&amp;" · ","")&amp;IF(AND($S70="Macro",ABS(SUMIFS($G$5:$G$1000,$P$5:$P$1000,$P70,$S$5:$S$1000,"Macro")-1)&gt;0.0001),"Pesos del mes suman "&amp;TEXT(SUMIFS($G$5:$G$1000,$P$5:$P$1000,$P70,$S$5:$S$1000,"Macro"),"0%")&amp;" · ","")&amp;IF(AND(N($T70)&gt;0,COUNT($H70:$K70)&gt;0),"Con subactividades: deje vacías las semanas (se calculan solas)"&amp;" · ","")&amp;IF((COUNTIF($H70:$K70,"&gt;1")+COUNTIF($H70:$K70,"&lt;0")+COUNTA($H70:$K70)-COUNT($H70:$K70))&gt;0,"Avance fuera de rango 0-100%"&amp;" · ","")&amp;IF(OR(AND($I70&lt;&gt;"",$I70&lt;$H70),AND($J70&lt;&gt;"",$J70&lt;MAX($H70:$I70)),AND($K70&lt;&gt;"",$K70&lt;MAX($H70:$J70))),"Avance semanal decreciente"&amp;" · ","")&amp;IF(AND(ISNUMBER($F70),$F70&lt;FechaRef,N($L70)&lt;1),"Vencida"&amp;" · ","")&amp;IF(AND(ObsObligatoria="Sí",ISNUMBER($F70),$F70&lt;FechaRef,N($L70)&lt;1,$N70=""),"Vencida sin observación"&amp;" · ",""))="","✔ OK","⚠ "&amp;LEFT(IF(AND($S70="Macro",$B70=""),"Macroactividad vacía"&amp;" · ","")&amp;IF(AND($B70&lt;&gt;"",$C70&lt;&gt;""),"Escriba la subactividad en otra fila, debajo de su macroactividad"&amp;" · ","")&amp;IF(AND($S70="Sub",N($R70)=0),"Subactividad sin macroactividad arriba"&amp;" · ","")&amp;IF($D70="","Sin responsable"&amp;" · ","")&amp;IF($E70="","Sin fecha de inicio"&amp;" · ","")&amp;IF($F70="","Sin fecha límite"&amp;" · ","")&amp;IF(OR(AND($E70&lt;&gt;"",NOT(ISNUMBER($E70))),AND($F70&lt;&gt;"",NOT(ISNUMBER($F70)))),"Fecha no válida"&amp;" · ","")&amp;IF(AND(ISNUMBER($E70),ISNUMBER($F70),$E70&gt;$F70),"Inicio posterior a fecha límite"&amp;" · ","")&amp;IF(AND($S70="Macro",$G70=""),"Peso vacío"&amp;" · ","")&amp;IF(AND($S70="Macro",$G70&lt;&gt;"",OR(NOT(ISNUMBER($G70)),$G70&lt;=0,$G70&gt;1)),"Peso fuera de rango"&amp;" · ","")&amp;IF(AND($S70="Sub",$G70&lt;&gt;""),"Las subactividades no llevan peso"&amp;" · ","")&amp;IF(AND($S70="Macro",ABS(SUMIFS($G$5:$G$1000,$P$5:$P$1000,$P70,$S$5:$S$1000,"Macro")-1)&gt;0.0001),"Pesos del mes suman "&amp;TEXT(SUMIFS($G$5:$G$1000,$P$5:$P$1000,$P70,$S$5:$S$1000,"Macro"),"0%")&amp;" · ","")&amp;IF(AND(N($T70)&gt;0,COUNT($H70:$K70)&gt;0),"Con subactividades: deje vacías las semanas (se calculan solas)"&amp;" · ","")&amp;IF((COUNTIF($H70:$K70,"&gt;1")+COUNTIF($H70:$K70,"&lt;0")+COUNTA($H70:$K70)-COUNT($H70:$K70))&gt;0,"Avance fuera de rango 0-100%"&amp;" · ","")&amp;IF(OR(AND($I70&lt;&gt;"",$I70&lt;$H70),AND($J70&lt;&gt;"",$J70&lt;MAX($H70:$I70)),AND($K70&lt;&gt;"",$K70&lt;MAX($H70:$J70))),"Avance semanal decreciente"&amp;" · ","")&amp;IF(AND(ISNUMBER($F70),$F70&lt;FechaRef,N($L70)&lt;1),"Vencida"&amp;" · ","")&amp;IF(AND(ObsObligatoria="Sí",ISNUMBER($F70),$F70&lt;FechaRef,N($L70)&lt;1,$N70=""),"Vencida sin observación"&amp;" · ",""),LEN(IF(AND($S70="Macro",$B70=""),"Macroactividad vacía"&amp;" · ","")&amp;IF(AND($B70&lt;&gt;"",$C70&lt;&gt;""),"Escriba la subactividad en otra fila, debajo de su macroactividad"&amp;" · ","")&amp;IF(AND($S70="Sub",N($R70)=0),"Subactividad sin macroactividad arriba"&amp;" · ","")&amp;IF($D70="","Sin responsable"&amp;" · ","")&amp;IF($E70="","Sin fecha de inicio"&amp;" · ","")&amp;IF($F70="","Sin fecha límite"&amp;" · ","")&amp;IF(OR(AND($E70&lt;&gt;"",NOT(ISNUMBER($E70))),AND($F70&lt;&gt;"",NOT(ISNUMBER($F70)))),"Fecha no válida"&amp;" · ","")&amp;IF(AND(ISNUMBER($E70),ISNUMBER($F70),$E70&gt;$F70),"Inicio posterior a fecha límite"&amp;" · ","")&amp;IF(AND($S70="Macro",$G70=""),"Peso vacío"&amp;" · ","")&amp;IF(AND($S70="Macro",$G70&lt;&gt;"",OR(NOT(ISNUMBER($G70)),$G70&lt;=0,$G70&gt;1)),"Peso fuera de rango"&amp;" · ","")&amp;IF(AND($S70="Sub",$G70&lt;&gt;""),"Las subactividades no llevan peso"&amp;" · ","")&amp;IF(AND($S70="Macro",ABS(SUMIFS($G$5:$G$1000,$P$5:$P$1000,$P70,$S$5:$S$1000,"Macro")-1)&gt;0.0001),"Pesos del mes suman "&amp;TEXT(SUMIFS($G$5:$G$1000,$P$5:$P$1000,$P70,$S$5:$S$1000,"Macro"),"0%")&amp;" · ","")&amp;IF(AND(N($T70)&gt;0,COUNT($H70:$K70)&gt;0),"Con subactividades: deje vacías las semanas (se calculan solas)"&amp;" · ","")&amp;IF((COUNTIF($H70:$K70,"&gt;1")+COUNTIF($H70:$K70,"&lt;0")+COUNTA($H70:$K70)-COUNT($H70:$K70))&gt;0,"Avance fuera de rango 0-100%"&amp;" · ","")&amp;IF(OR(AND($I70&lt;&gt;"",$I70&lt;$H70),AND($J70&lt;&gt;"",$J70&lt;MAX($H70:$I70)),AND($K70&lt;&gt;"",$K70&lt;MAX($H70:$J70))),"Avance semanal decreciente"&amp;" · ","")&amp;IF(AND(ISNUMBER($F70),$F70&lt;FechaRef,N($L70)&lt;1),"Vencida"&amp;" · ","")&amp;IF(AND(ObsObligatoria="Sí",ISNUMBER($F70),$F70&lt;FechaRef,N($L70)&lt;1,$N70=""),"Vencida sin observación"&amp;" · ",""))-3)))</f>
        <v/>
      </c>
      <c r="P70" s="69">
        <f>IF(NOT((COUNTA($B70:$K70)+COUNTA($N70))&gt;0),"",IF(AND($S70="Sub",N($R70)&gt;0),IF(ISNUMBER(INDEX($E$5:$E$1000,$R70-4)),DATE(YEAR(INDEX($E$5:$E$1000,$R70-4)),MONTH(INDEX($E$5:$E$1000,$R70-4)),1),IF(ISNUMBER(INDEX($F$5:$F$1000,$R70-4)),DATE(YEAR(INDEX($F$5:$F$1000,$R70-4)),MONTH(INDEX($F$5:$F$1000,$R70-4)),1),MesCiclo)),IF(ISNUMBER($E70),DATE(YEAR($E70),MONTH($E70),1),IF(ISNUMBER($F70),DATE(YEAR($F70),MONTH($F70),1),MesCiclo))))</f>
        <v/>
      </c>
      <c r="Q70" s="70">
        <f>IF(OR($P70="",$P70&lt;&gt;MesCiclo),"",COUNTIF($P$5:$P70,MesCiclo))</f>
        <v/>
      </c>
      <c r="R70" s="70">
        <f>IF($S70="","",IF($S70="Macro",ROW(),IFERROR(LOOKUP(2,1/($S$5:$S70="Macro"),ROW($S$5:$S70)),0)))</f>
        <v/>
      </c>
      <c r="S70" s="70">
        <f>IF(NOT((COUNTA($B70:$K70)+COUNTA($N70))&gt;0),"",IF($B70&lt;&gt;"","Macro",IF($C70&lt;&gt;"","Sub","Macro")))</f>
        <v/>
      </c>
      <c r="T70" s="70">
        <f>IF($S70="Macro",COUNTIFS($R$5:$R$1000,ROW(),$S$5:$S$1000,"Sub"),"")</f>
        <v/>
      </c>
      <c r="U70" s="70">
        <f>IF($S70="","",IF(ISNUMBER($H70),$H70,0))</f>
        <v/>
      </c>
      <c r="V70" s="70">
        <f>IF($S70="","",IF(ISNUMBER($I70),$I70,$U70))</f>
        <v/>
      </c>
      <c r="W70" s="70">
        <f>IF($S70="","",IF(ISNUMBER($J70),$J70,$V70))</f>
        <v/>
      </c>
      <c r="X70" s="70">
        <f>IF($S70="","",IF(ISNUMBER($K70),$K70,$W70))</f>
        <v/>
      </c>
      <c r="Y70" s="70">
        <f>IF($S70="","",IF(N($T70)&gt;0,AVERAGEIFS($U$5:$U$1000,$R$5:$R$1000,ROW(),$S$5:$S$1000,"Sub"),$U70))</f>
        <v/>
      </c>
      <c r="Z70" s="70">
        <f>IF($S70="","",IF(N($T70)&gt;0,AVERAGEIFS($V$5:$V$1000,$R$5:$R$1000,ROW(),$S$5:$S$1000,"Sub"),$V70))</f>
        <v/>
      </c>
      <c r="AA70" s="70">
        <f>IF($S70="","",IF(N($T70)&gt;0,AVERAGEIFS($W$5:$W$1000,$R$5:$R$1000,ROW(),$S$5:$S$1000,"Sub"),$W70))</f>
        <v/>
      </c>
      <c r="AB70" s="70">
        <f>IF($S70="","",IF(N($T70)&gt;0,AVERAGEIFS($X$5:$X$1000,$R$5:$R$1000,ROW(),$S$5:$S$1000,"Sub"),$X70))</f>
        <v/>
      </c>
    </row>
    <row r="71">
      <c r="A71" s="61">
        <f>IF(NOT((COUNTA($B71:$K71)+COUNTA($N71))&gt;0),"",IF($S71="Macro",COUNTIFS($S$5:$S71,"Macro",$P$5:$P71,$P71),IF(N($R71)=0,"?",COUNTIFS(INDEX($S$5:$S$1000,1):INDEX($S$5:$S$1000,$R71-4),"Macro",INDEX($P$5:$P$1000,1):INDEX($P$5:$P$1000,$R71-4),INDEX($P$5:$P$1000,$R71-4))&amp;"."&amp;COUNTIFS($R$5:$R71,$R71,$S$5:$S71,"Sub"))))</f>
        <v/>
      </c>
      <c r="B71" s="62" t="n"/>
      <c r="C71" s="63" t="n"/>
      <c r="D71" s="62" t="n"/>
      <c r="E71" s="64" t="n"/>
      <c r="F71" s="64" t="n"/>
      <c r="G71" s="65" t="n"/>
      <c r="H71" s="66" t="n"/>
      <c r="I71" s="66" t="n"/>
      <c r="J71" s="66" t="n"/>
      <c r="K71" s="66" t="n"/>
      <c r="L71" s="67">
        <f>IF(NOT((COUNTA($B71:$K71)+COUNTA($N71))&gt;0),"",IF(N($T71)&gt;0,$AB71,IFERROR(LOOKUP(2,1/(H71:K71&lt;&gt;""),H71:K71),0)))</f>
        <v/>
      </c>
      <c r="M71" s="61">
        <f>IF(L71="","",IF(L71&gt;=1,"Completado",IF(L71&gt;0,"En curso","Pendiente")))</f>
        <v/>
      </c>
      <c r="N71" s="62" t="n"/>
      <c r="O71" s="68">
        <f>IF(NOT((COUNTA($B71:$K71)+COUNTA($N71))&gt;0),"",IF((IF(AND($S71="Macro",$B71=""),"Macroactividad vacía"&amp;" · ","")&amp;IF(AND($B71&lt;&gt;"",$C71&lt;&gt;""),"Escriba la subactividad en otra fila, debajo de su macroactividad"&amp;" · ","")&amp;IF(AND($S71="Sub",N($R71)=0),"Subactividad sin macroactividad arriba"&amp;" · ","")&amp;IF($D71="","Sin responsable"&amp;" · ","")&amp;IF($E71="","Sin fecha de inicio"&amp;" · ","")&amp;IF($F71="","Sin fecha límite"&amp;" · ","")&amp;IF(OR(AND($E71&lt;&gt;"",NOT(ISNUMBER($E71))),AND($F71&lt;&gt;"",NOT(ISNUMBER($F71)))),"Fecha no válida"&amp;" · ","")&amp;IF(AND(ISNUMBER($E71),ISNUMBER($F71),$E71&gt;$F71),"Inicio posterior a fecha límite"&amp;" · ","")&amp;IF(AND($S71="Macro",$G71=""),"Peso vacío"&amp;" · ","")&amp;IF(AND($S71="Macro",$G71&lt;&gt;"",OR(NOT(ISNUMBER($G71)),$G71&lt;=0,$G71&gt;1)),"Peso fuera de rango"&amp;" · ","")&amp;IF(AND($S71="Sub",$G71&lt;&gt;""),"Las subactividades no llevan peso"&amp;" · ","")&amp;IF(AND($S71="Macro",ABS(SUMIFS($G$5:$G$1000,$P$5:$P$1000,$P71,$S$5:$S$1000,"Macro")-1)&gt;0.0001),"Pesos del mes suman "&amp;TEXT(SUMIFS($G$5:$G$1000,$P$5:$P$1000,$P71,$S$5:$S$1000,"Macro"),"0%")&amp;" · ","")&amp;IF(AND(N($T71)&gt;0,COUNT($H71:$K71)&gt;0),"Con subactividades: deje vacías las semanas (se calculan solas)"&amp;" · ","")&amp;IF((COUNTIF($H71:$K71,"&gt;1")+COUNTIF($H71:$K71,"&lt;0")+COUNTA($H71:$K71)-COUNT($H71:$K71))&gt;0,"Avance fuera de rango 0-100%"&amp;" · ","")&amp;IF(OR(AND($I71&lt;&gt;"",$I71&lt;$H71),AND($J71&lt;&gt;"",$J71&lt;MAX($H71:$I71)),AND($K71&lt;&gt;"",$K71&lt;MAX($H71:$J71))),"Avance semanal decreciente"&amp;" · ","")&amp;IF(AND(ISNUMBER($F71),$F71&lt;FechaRef,N($L71)&lt;1),"Vencida"&amp;" · ","")&amp;IF(AND(ObsObligatoria="Sí",ISNUMBER($F71),$F71&lt;FechaRef,N($L71)&lt;1,$N71=""),"Vencida sin observación"&amp;" · ",""))="","✔ OK","⚠ "&amp;LEFT(IF(AND($S71="Macro",$B71=""),"Macroactividad vacía"&amp;" · ","")&amp;IF(AND($B71&lt;&gt;"",$C71&lt;&gt;""),"Escriba la subactividad en otra fila, debajo de su macroactividad"&amp;" · ","")&amp;IF(AND($S71="Sub",N($R71)=0),"Subactividad sin macroactividad arriba"&amp;" · ","")&amp;IF($D71="","Sin responsable"&amp;" · ","")&amp;IF($E71="","Sin fecha de inicio"&amp;" · ","")&amp;IF($F71="","Sin fecha límite"&amp;" · ","")&amp;IF(OR(AND($E71&lt;&gt;"",NOT(ISNUMBER($E71))),AND($F71&lt;&gt;"",NOT(ISNUMBER($F71)))),"Fecha no válida"&amp;" · ","")&amp;IF(AND(ISNUMBER($E71),ISNUMBER($F71),$E71&gt;$F71),"Inicio posterior a fecha límite"&amp;" · ","")&amp;IF(AND($S71="Macro",$G71=""),"Peso vacío"&amp;" · ","")&amp;IF(AND($S71="Macro",$G71&lt;&gt;"",OR(NOT(ISNUMBER($G71)),$G71&lt;=0,$G71&gt;1)),"Peso fuera de rango"&amp;" · ","")&amp;IF(AND($S71="Sub",$G71&lt;&gt;""),"Las subactividades no llevan peso"&amp;" · ","")&amp;IF(AND($S71="Macro",ABS(SUMIFS($G$5:$G$1000,$P$5:$P$1000,$P71,$S$5:$S$1000,"Macro")-1)&gt;0.0001),"Pesos del mes suman "&amp;TEXT(SUMIFS($G$5:$G$1000,$P$5:$P$1000,$P71,$S$5:$S$1000,"Macro"),"0%")&amp;" · ","")&amp;IF(AND(N($T71)&gt;0,COUNT($H71:$K71)&gt;0),"Con subactividades: deje vacías las semanas (se calculan solas)"&amp;" · ","")&amp;IF((COUNTIF($H71:$K71,"&gt;1")+COUNTIF($H71:$K71,"&lt;0")+COUNTA($H71:$K71)-COUNT($H71:$K71))&gt;0,"Avance fuera de rango 0-100%"&amp;" · ","")&amp;IF(OR(AND($I71&lt;&gt;"",$I71&lt;$H71),AND($J71&lt;&gt;"",$J71&lt;MAX($H71:$I71)),AND($K71&lt;&gt;"",$K71&lt;MAX($H71:$J71))),"Avance semanal decreciente"&amp;" · ","")&amp;IF(AND(ISNUMBER($F71),$F71&lt;FechaRef,N($L71)&lt;1),"Vencida"&amp;" · ","")&amp;IF(AND(ObsObligatoria="Sí",ISNUMBER($F71),$F71&lt;FechaRef,N($L71)&lt;1,$N71=""),"Vencida sin observación"&amp;" · ",""),LEN(IF(AND($S71="Macro",$B71=""),"Macroactividad vacía"&amp;" · ","")&amp;IF(AND($B71&lt;&gt;"",$C71&lt;&gt;""),"Escriba la subactividad en otra fila, debajo de su macroactividad"&amp;" · ","")&amp;IF(AND($S71="Sub",N($R71)=0),"Subactividad sin macroactividad arriba"&amp;" · ","")&amp;IF($D71="","Sin responsable"&amp;" · ","")&amp;IF($E71="","Sin fecha de inicio"&amp;" · ","")&amp;IF($F71="","Sin fecha límite"&amp;" · ","")&amp;IF(OR(AND($E71&lt;&gt;"",NOT(ISNUMBER($E71))),AND($F71&lt;&gt;"",NOT(ISNUMBER($F71)))),"Fecha no válida"&amp;" · ","")&amp;IF(AND(ISNUMBER($E71),ISNUMBER($F71),$E71&gt;$F71),"Inicio posterior a fecha límite"&amp;" · ","")&amp;IF(AND($S71="Macro",$G71=""),"Peso vacío"&amp;" · ","")&amp;IF(AND($S71="Macro",$G71&lt;&gt;"",OR(NOT(ISNUMBER($G71)),$G71&lt;=0,$G71&gt;1)),"Peso fuera de rango"&amp;" · ","")&amp;IF(AND($S71="Sub",$G71&lt;&gt;""),"Las subactividades no llevan peso"&amp;" · ","")&amp;IF(AND($S71="Macro",ABS(SUMIFS($G$5:$G$1000,$P$5:$P$1000,$P71,$S$5:$S$1000,"Macro")-1)&gt;0.0001),"Pesos del mes suman "&amp;TEXT(SUMIFS($G$5:$G$1000,$P$5:$P$1000,$P71,$S$5:$S$1000,"Macro"),"0%")&amp;" · ","")&amp;IF(AND(N($T71)&gt;0,COUNT($H71:$K71)&gt;0),"Con subactividades: deje vacías las semanas (se calculan solas)"&amp;" · ","")&amp;IF((COUNTIF($H71:$K71,"&gt;1")+COUNTIF($H71:$K71,"&lt;0")+COUNTA($H71:$K71)-COUNT($H71:$K71))&gt;0,"Avance fuera de rango 0-100%"&amp;" · ","")&amp;IF(OR(AND($I71&lt;&gt;"",$I71&lt;$H71),AND($J71&lt;&gt;"",$J71&lt;MAX($H71:$I71)),AND($K71&lt;&gt;"",$K71&lt;MAX($H71:$J71))),"Avance semanal decreciente"&amp;" · ","")&amp;IF(AND(ISNUMBER($F71),$F71&lt;FechaRef,N($L71)&lt;1),"Vencida"&amp;" · ","")&amp;IF(AND(ObsObligatoria="Sí",ISNUMBER($F71),$F71&lt;FechaRef,N($L71)&lt;1,$N71=""),"Vencida sin observación"&amp;" · ",""))-3)))</f>
        <v/>
      </c>
      <c r="P71" s="69">
        <f>IF(NOT((COUNTA($B71:$K71)+COUNTA($N71))&gt;0),"",IF(AND($S71="Sub",N($R71)&gt;0),IF(ISNUMBER(INDEX($E$5:$E$1000,$R71-4)),DATE(YEAR(INDEX($E$5:$E$1000,$R71-4)),MONTH(INDEX($E$5:$E$1000,$R71-4)),1),IF(ISNUMBER(INDEX($F$5:$F$1000,$R71-4)),DATE(YEAR(INDEX($F$5:$F$1000,$R71-4)),MONTH(INDEX($F$5:$F$1000,$R71-4)),1),MesCiclo)),IF(ISNUMBER($E71),DATE(YEAR($E71),MONTH($E71),1),IF(ISNUMBER($F71),DATE(YEAR($F71),MONTH($F71),1),MesCiclo))))</f>
        <v/>
      </c>
      <c r="Q71" s="70">
        <f>IF(OR($P71="",$P71&lt;&gt;MesCiclo),"",COUNTIF($P$5:$P71,MesCiclo))</f>
        <v/>
      </c>
      <c r="R71" s="70">
        <f>IF($S71="","",IF($S71="Macro",ROW(),IFERROR(LOOKUP(2,1/($S$5:$S71="Macro"),ROW($S$5:$S71)),0)))</f>
        <v/>
      </c>
      <c r="S71" s="70">
        <f>IF(NOT((COUNTA($B71:$K71)+COUNTA($N71))&gt;0),"",IF($B71&lt;&gt;"","Macro",IF($C71&lt;&gt;"","Sub","Macro")))</f>
        <v/>
      </c>
      <c r="T71" s="70">
        <f>IF($S71="Macro",COUNTIFS($R$5:$R$1000,ROW(),$S$5:$S$1000,"Sub"),"")</f>
        <v/>
      </c>
      <c r="U71" s="70">
        <f>IF($S71="","",IF(ISNUMBER($H71),$H71,0))</f>
        <v/>
      </c>
      <c r="V71" s="70">
        <f>IF($S71="","",IF(ISNUMBER($I71),$I71,$U71))</f>
        <v/>
      </c>
      <c r="W71" s="70">
        <f>IF($S71="","",IF(ISNUMBER($J71),$J71,$V71))</f>
        <v/>
      </c>
      <c r="X71" s="70">
        <f>IF($S71="","",IF(ISNUMBER($K71),$K71,$W71))</f>
        <v/>
      </c>
      <c r="Y71" s="70">
        <f>IF($S71="","",IF(N($T71)&gt;0,AVERAGEIFS($U$5:$U$1000,$R$5:$R$1000,ROW(),$S$5:$S$1000,"Sub"),$U71))</f>
        <v/>
      </c>
      <c r="Z71" s="70">
        <f>IF($S71="","",IF(N($T71)&gt;0,AVERAGEIFS($V$5:$V$1000,$R$5:$R$1000,ROW(),$S$5:$S$1000,"Sub"),$V71))</f>
        <v/>
      </c>
      <c r="AA71" s="70">
        <f>IF($S71="","",IF(N($T71)&gt;0,AVERAGEIFS($W$5:$W$1000,$R$5:$R$1000,ROW(),$S$5:$S$1000,"Sub"),$W71))</f>
        <v/>
      </c>
      <c r="AB71" s="70">
        <f>IF($S71="","",IF(N($T71)&gt;0,AVERAGEIFS($X$5:$X$1000,$R$5:$R$1000,ROW(),$S$5:$S$1000,"Sub"),$X71))</f>
        <v/>
      </c>
    </row>
    <row r="72">
      <c r="A72" s="61">
        <f>IF(NOT((COUNTA($B72:$K72)+COUNTA($N72))&gt;0),"",IF($S72="Macro",COUNTIFS($S$5:$S72,"Macro",$P$5:$P72,$P72),IF(N($R72)=0,"?",COUNTIFS(INDEX($S$5:$S$1000,1):INDEX($S$5:$S$1000,$R72-4),"Macro",INDEX($P$5:$P$1000,1):INDEX($P$5:$P$1000,$R72-4),INDEX($P$5:$P$1000,$R72-4))&amp;"."&amp;COUNTIFS($R$5:$R72,$R72,$S$5:$S72,"Sub"))))</f>
        <v/>
      </c>
      <c r="B72" s="62" t="n"/>
      <c r="C72" s="63" t="n"/>
      <c r="D72" s="62" t="n"/>
      <c r="E72" s="64" t="n"/>
      <c r="F72" s="64" t="n"/>
      <c r="G72" s="65" t="n"/>
      <c r="H72" s="66" t="n"/>
      <c r="I72" s="66" t="n"/>
      <c r="J72" s="66" t="n"/>
      <c r="K72" s="66" t="n"/>
      <c r="L72" s="67">
        <f>IF(NOT((COUNTA($B72:$K72)+COUNTA($N72))&gt;0),"",IF(N($T72)&gt;0,$AB72,IFERROR(LOOKUP(2,1/(H72:K72&lt;&gt;""),H72:K72),0)))</f>
        <v/>
      </c>
      <c r="M72" s="61">
        <f>IF(L72="","",IF(L72&gt;=1,"Completado",IF(L72&gt;0,"En curso","Pendiente")))</f>
        <v/>
      </c>
      <c r="N72" s="62" t="n"/>
      <c r="O72" s="68">
        <f>IF(NOT((COUNTA($B72:$K72)+COUNTA($N72))&gt;0),"",IF((IF(AND($S72="Macro",$B72=""),"Macroactividad vacía"&amp;" · ","")&amp;IF(AND($B72&lt;&gt;"",$C72&lt;&gt;""),"Escriba la subactividad en otra fila, debajo de su macroactividad"&amp;" · ","")&amp;IF(AND($S72="Sub",N($R72)=0),"Subactividad sin macroactividad arriba"&amp;" · ","")&amp;IF($D72="","Sin responsable"&amp;" · ","")&amp;IF($E72="","Sin fecha de inicio"&amp;" · ","")&amp;IF($F72="","Sin fecha límite"&amp;" · ","")&amp;IF(OR(AND($E72&lt;&gt;"",NOT(ISNUMBER($E72))),AND($F72&lt;&gt;"",NOT(ISNUMBER($F72)))),"Fecha no válida"&amp;" · ","")&amp;IF(AND(ISNUMBER($E72),ISNUMBER($F72),$E72&gt;$F72),"Inicio posterior a fecha límite"&amp;" · ","")&amp;IF(AND($S72="Macro",$G72=""),"Peso vacío"&amp;" · ","")&amp;IF(AND($S72="Macro",$G72&lt;&gt;"",OR(NOT(ISNUMBER($G72)),$G72&lt;=0,$G72&gt;1)),"Peso fuera de rango"&amp;" · ","")&amp;IF(AND($S72="Sub",$G72&lt;&gt;""),"Las subactividades no llevan peso"&amp;" · ","")&amp;IF(AND($S72="Macro",ABS(SUMIFS($G$5:$G$1000,$P$5:$P$1000,$P72,$S$5:$S$1000,"Macro")-1)&gt;0.0001),"Pesos del mes suman "&amp;TEXT(SUMIFS($G$5:$G$1000,$P$5:$P$1000,$P72,$S$5:$S$1000,"Macro"),"0%")&amp;" · ","")&amp;IF(AND(N($T72)&gt;0,COUNT($H72:$K72)&gt;0),"Con subactividades: deje vacías las semanas (se calculan solas)"&amp;" · ","")&amp;IF((COUNTIF($H72:$K72,"&gt;1")+COUNTIF($H72:$K72,"&lt;0")+COUNTA($H72:$K72)-COUNT($H72:$K72))&gt;0,"Avance fuera de rango 0-100%"&amp;" · ","")&amp;IF(OR(AND($I72&lt;&gt;"",$I72&lt;$H72),AND($J72&lt;&gt;"",$J72&lt;MAX($H72:$I72)),AND($K72&lt;&gt;"",$K72&lt;MAX($H72:$J72))),"Avance semanal decreciente"&amp;" · ","")&amp;IF(AND(ISNUMBER($F72),$F72&lt;FechaRef,N($L72)&lt;1),"Vencida"&amp;" · ","")&amp;IF(AND(ObsObligatoria="Sí",ISNUMBER($F72),$F72&lt;FechaRef,N($L72)&lt;1,$N72=""),"Vencida sin observación"&amp;" · ",""))="","✔ OK","⚠ "&amp;LEFT(IF(AND($S72="Macro",$B72=""),"Macroactividad vacía"&amp;" · ","")&amp;IF(AND($B72&lt;&gt;"",$C72&lt;&gt;""),"Escriba la subactividad en otra fila, debajo de su macroactividad"&amp;" · ","")&amp;IF(AND($S72="Sub",N($R72)=0),"Subactividad sin macroactividad arriba"&amp;" · ","")&amp;IF($D72="","Sin responsable"&amp;" · ","")&amp;IF($E72="","Sin fecha de inicio"&amp;" · ","")&amp;IF($F72="","Sin fecha límite"&amp;" · ","")&amp;IF(OR(AND($E72&lt;&gt;"",NOT(ISNUMBER($E72))),AND($F72&lt;&gt;"",NOT(ISNUMBER($F72)))),"Fecha no válida"&amp;" · ","")&amp;IF(AND(ISNUMBER($E72),ISNUMBER($F72),$E72&gt;$F72),"Inicio posterior a fecha límite"&amp;" · ","")&amp;IF(AND($S72="Macro",$G72=""),"Peso vacío"&amp;" · ","")&amp;IF(AND($S72="Macro",$G72&lt;&gt;"",OR(NOT(ISNUMBER($G72)),$G72&lt;=0,$G72&gt;1)),"Peso fuera de rango"&amp;" · ","")&amp;IF(AND($S72="Sub",$G72&lt;&gt;""),"Las subactividades no llevan peso"&amp;" · ","")&amp;IF(AND($S72="Macro",ABS(SUMIFS($G$5:$G$1000,$P$5:$P$1000,$P72,$S$5:$S$1000,"Macro")-1)&gt;0.0001),"Pesos del mes suman "&amp;TEXT(SUMIFS($G$5:$G$1000,$P$5:$P$1000,$P72,$S$5:$S$1000,"Macro"),"0%")&amp;" · ","")&amp;IF(AND(N($T72)&gt;0,COUNT($H72:$K72)&gt;0),"Con subactividades: deje vacías las semanas (se calculan solas)"&amp;" · ","")&amp;IF((COUNTIF($H72:$K72,"&gt;1")+COUNTIF($H72:$K72,"&lt;0")+COUNTA($H72:$K72)-COUNT($H72:$K72))&gt;0,"Avance fuera de rango 0-100%"&amp;" · ","")&amp;IF(OR(AND($I72&lt;&gt;"",$I72&lt;$H72),AND($J72&lt;&gt;"",$J72&lt;MAX($H72:$I72)),AND($K72&lt;&gt;"",$K72&lt;MAX($H72:$J72))),"Avance semanal decreciente"&amp;" · ","")&amp;IF(AND(ISNUMBER($F72),$F72&lt;FechaRef,N($L72)&lt;1),"Vencida"&amp;" · ","")&amp;IF(AND(ObsObligatoria="Sí",ISNUMBER($F72),$F72&lt;FechaRef,N($L72)&lt;1,$N72=""),"Vencida sin observación"&amp;" · ",""),LEN(IF(AND($S72="Macro",$B72=""),"Macroactividad vacía"&amp;" · ","")&amp;IF(AND($B72&lt;&gt;"",$C72&lt;&gt;""),"Escriba la subactividad en otra fila, debajo de su macroactividad"&amp;" · ","")&amp;IF(AND($S72="Sub",N($R72)=0),"Subactividad sin macroactividad arriba"&amp;" · ","")&amp;IF($D72="","Sin responsable"&amp;" · ","")&amp;IF($E72="","Sin fecha de inicio"&amp;" · ","")&amp;IF($F72="","Sin fecha límite"&amp;" · ","")&amp;IF(OR(AND($E72&lt;&gt;"",NOT(ISNUMBER($E72))),AND($F72&lt;&gt;"",NOT(ISNUMBER($F72)))),"Fecha no válida"&amp;" · ","")&amp;IF(AND(ISNUMBER($E72),ISNUMBER($F72),$E72&gt;$F72),"Inicio posterior a fecha límite"&amp;" · ","")&amp;IF(AND($S72="Macro",$G72=""),"Peso vacío"&amp;" · ","")&amp;IF(AND($S72="Macro",$G72&lt;&gt;"",OR(NOT(ISNUMBER($G72)),$G72&lt;=0,$G72&gt;1)),"Peso fuera de rango"&amp;" · ","")&amp;IF(AND($S72="Sub",$G72&lt;&gt;""),"Las subactividades no llevan peso"&amp;" · ","")&amp;IF(AND($S72="Macro",ABS(SUMIFS($G$5:$G$1000,$P$5:$P$1000,$P72,$S$5:$S$1000,"Macro")-1)&gt;0.0001),"Pesos del mes suman "&amp;TEXT(SUMIFS($G$5:$G$1000,$P$5:$P$1000,$P72,$S$5:$S$1000,"Macro"),"0%")&amp;" · ","")&amp;IF(AND(N($T72)&gt;0,COUNT($H72:$K72)&gt;0),"Con subactividades: deje vacías las semanas (se calculan solas)"&amp;" · ","")&amp;IF((COUNTIF($H72:$K72,"&gt;1")+COUNTIF($H72:$K72,"&lt;0")+COUNTA($H72:$K72)-COUNT($H72:$K72))&gt;0,"Avance fuera de rango 0-100%"&amp;" · ","")&amp;IF(OR(AND($I72&lt;&gt;"",$I72&lt;$H72),AND($J72&lt;&gt;"",$J72&lt;MAX($H72:$I72)),AND($K72&lt;&gt;"",$K72&lt;MAX($H72:$J72))),"Avance semanal decreciente"&amp;" · ","")&amp;IF(AND(ISNUMBER($F72),$F72&lt;FechaRef,N($L72)&lt;1),"Vencida"&amp;" · ","")&amp;IF(AND(ObsObligatoria="Sí",ISNUMBER($F72),$F72&lt;FechaRef,N($L72)&lt;1,$N72=""),"Vencida sin observación"&amp;" · ",""))-3)))</f>
        <v/>
      </c>
      <c r="P72" s="69">
        <f>IF(NOT((COUNTA($B72:$K72)+COUNTA($N72))&gt;0),"",IF(AND($S72="Sub",N($R72)&gt;0),IF(ISNUMBER(INDEX($E$5:$E$1000,$R72-4)),DATE(YEAR(INDEX($E$5:$E$1000,$R72-4)),MONTH(INDEX($E$5:$E$1000,$R72-4)),1),IF(ISNUMBER(INDEX($F$5:$F$1000,$R72-4)),DATE(YEAR(INDEX($F$5:$F$1000,$R72-4)),MONTH(INDEX($F$5:$F$1000,$R72-4)),1),MesCiclo)),IF(ISNUMBER($E72),DATE(YEAR($E72),MONTH($E72),1),IF(ISNUMBER($F72),DATE(YEAR($F72),MONTH($F72),1),MesCiclo))))</f>
        <v/>
      </c>
      <c r="Q72" s="70">
        <f>IF(OR($P72="",$P72&lt;&gt;MesCiclo),"",COUNTIF($P$5:$P72,MesCiclo))</f>
        <v/>
      </c>
      <c r="R72" s="70">
        <f>IF($S72="","",IF($S72="Macro",ROW(),IFERROR(LOOKUP(2,1/($S$5:$S72="Macro"),ROW($S$5:$S72)),0)))</f>
        <v/>
      </c>
      <c r="S72" s="70">
        <f>IF(NOT((COUNTA($B72:$K72)+COUNTA($N72))&gt;0),"",IF($B72&lt;&gt;"","Macro",IF($C72&lt;&gt;"","Sub","Macro")))</f>
        <v/>
      </c>
      <c r="T72" s="70">
        <f>IF($S72="Macro",COUNTIFS($R$5:$R$1000,ROW(),$S$5:$S$1000,"Sub"),"")</f>
        <v/>
      </c>
      <c r="U72" s="70">
        <f>IF($S72="","",IF(ISNUMBER($H72),$H72,0))</f>
        <v/>
      </c>
      <c r="V72" s="70">
        <f>IF($S72="","",IF(ISNUMBER($I72),$I72,$U72))</f>
        <v/>
      </c>
      <c r="W72" s="70">
        <f>IF($S72="","",IF(ISNUMBER($J72),$J72,$V72))</f>
        <v/>
      </c>
      <c r="X72" s="70">
        <f>IF($S72="","",IF(ISNUMBER($K72),$K72,$W72))</f>
        <v/>
      </c>
      <c r="Y72" s="70">
        <f>IF($S72="","",IF(N($T72)&gt;0,AVERAGEIFS($U$5:$U$1000,$R$5:$R$1000,ROW(),$S$5:$S$1000,"Sub"),$U72))</f>
        <v/>
      </c>
      <c r="Z72" s="70">
        <f>IF($S72="","",IF(N($T72)&gt;0,AVERAGEIFS($V$5:$V$1000,$R$5:$R$1000,ROW(),$S$5:$S$1000,"Sub"),$V72))</f>
        <v/>
      </c>
      <c r="AA72" s="70">
        <f>IF($S72="","",IF(N($T72)&gt;0,AVERAGEIFS($W$5:$W$1000,$R$5:$R$1000,ROW(),$S$5:$S$1000,"Sub"),$W72))</f>
        <v/>
      </c>
      <c r="AB72" s="70">
        <f>IF($S72="","",IF(N($T72)&gt;0,AVERAGEIFS($X$5:$X$1000,$R$5:$R$1000,ROW(),$S$5:$S$1000,"Sub"),$X72))</f>
        <v/>
      </c>
    </row>
    <row r="73">
      <c r="A73" s="61">
        <f>IF(NOT((COUNTA($B73:$K73)+COUNTA($N73))&gt;0),"",IF($S73="Macro",COUNTIFS($S$5:$S73,"Macro",$P$5:$P73,$P73),IF(N($R73)=0,"?",COUNTIFS(INDEX($S$5:$S$1000,1):INDEX($S$5:$S$1000,$R73-4),"Macro",INDEX($P$5:$P$1000,1):INDEX($P$5:$P$1000,$R73-4),INDEX($P$5:$P$1000,$R73-4))&amp;"."&amp;COUNTIFS($R$5:$R73,$R73,$S$5:$S73,"Sub"))))</f>
        <v/>
      </c>
      <c r="B73" s="62" t="n"/>
      <c r="C73" s="63" t="n"/>
      <c r="D73" s="62" t="n"/>
      <c r="E73" s="64" t="n"/>
      <c r="F73" s="64" t="n"/>
      <c r="G73" s="65" t="n"/>
      <c r="H73" s="66" t="n"/>
      <c r="I73" s="66" t="n"/>
      <c r="J73" s="66" t="n"/>
      <c r="K73" s="66" t="n"/>
      <c r="L73" s="67">
        <f>IF(NOT((COUNTA($B73:$K73)+COUNTA($N73))&gt;0),"",IF(N($T73)&gt;0,$AB73,IFERROR(LOOKUP(2,1/(H73:K73&lt;&gt;""),H73:K73),0)))</f>
        <v/>
      </c>
      <c r="M73" s="61">
        <f>IF(L73="","",IF(L73&gt;=1,"Completado",IF(L73&gt;0,"En curso","Pendiente")))</f>
        <v/>
      </c>
      <c r="N73" s="62" t="n"/>
      <c r="O73" s="68">
        <f>IF(NOT((COUNTA($B73:$K73)+COUNTA($N73))&gt;0),"",IF((IF(AND($S73="Macro",$B73=""),"Macroactividad vacía"&amp;" · ","")&amp;IF(AND($B73&lt;&gt;"",$C73&lt;&gt;""),"Escriba la subactividad en otra fila, debajo de su macroactividad"&amp;" · ","")&amp;IF(AND($S73="Sub",N($R73)=0),"Subactividad sin macroactividad arriba"&amp;" · ","")&amp;IF($D73="","Sin responsable"&amp;" · ","")&amp;IF($E73="","Sin fecha de inicio"&amp;" · ","")&amp;IF($F73="","Sin fecha límite"&amp;" · ","")&amp;IF(OR(AND($E73&lt;&gt;"",NOT(ISNUMBER($E73))),AND($F73&lt;&gt;"",NOT(ISNUMBER($F73)))),"Fecha no válida"&amp;" · ","")&amp;IF(AND(ISNUMBER($E73),ISNUMBER($F73),$E73&gt;$F73),"Inicio posterior a fecha límite"&amp;" · ","")&amp;IF(AND($S73="Macro",$G73=""),"Peso vacío"&amp;" · ","")&amp;IF(AND($S73="Macro",$G73&lt;&gt;"",OR(NOT(ISNUMBER($G73)),$G73&lt;=0,$G73&gt;1)),"Peso fuera de rango"&amp;" · ","")&amp;IF(AND($S73="Sub",$G73&lt;&gt;""),"Las subactividades no llevan peso"&amp;" · ","")&amp;IF(AND($S73="Macro",ABS(SUMIFS($G$5:$G$1000,$P$5:$P$1000,$P73,$S$5:$S$1000,"Macro")-1)&gt;0.0001),"Pesos del mes suman "&amp;TEXT(SUMIFS($G$5:$G$1000,$P$5:$P$1000,$P73,$S$5:$S$1000,"Macro"),"0%")&amp;" · ","")&amp;IF(AND(N($T73)&gt;0,COUNT($H73:$K73)&gt;0),"Con subactividades: deje vacías las semanas (se calculan solas)"&amp;" · ","")&amp;IF((COUNTIF($H73:$K73,"&gt;1")+COUNTIF($H73:$K73,"&lt;0")+COUNTA($H73:$K73)-COUNT($H73:$K73))&gt;0,"Avance fuera de rango 0-100%"&amp;" · ","")&amp;IF(OR(AND($I73&lt;&gt;"",$I73&lt;$H73),AND($J73&lt;&gt;"",$J73&lt;MAX($H73:$I73)),AND($K73&lt;&gt;"",$K73&lt;MAX($H73:$J73))),"Avance semanal decreciente"&amp;" · ","")&amp;IF(AND(ISNUMBER($F73),$F73&lt;FechaRef,N($L73)&lt;1),"Vencida"&amp;" · ","")&amp;IF(AND(ObsObligatoria="Sí",ISNUMBER($F73),$F73&lt;FechaRef,N($L73)&lt;1,$N73=""),"Vencida sin observación"&amp;" · ",""))="","✔ OK","⚠ "&amp;LEFT(IF(AND($S73="Macro",$B73=""),"Macroactividad vacía"&amp;" · ","")&amp;IF(AND($B73&lt;&gt;"",$C73&lt;&gt;""),"Escriba la subactividad en otra fila, debajo de su macroactividad"&amp;" · ","")&amp;IF(AND($S73="Sub",N($R73)=0),"Subactividad sin macroactividad arriba"&amp;" · ","")&amp;IF($D73="","Sin responsable"&amp;" · ","")&amp;IF($E73="","Sin fecha de inicio"&amp;" · ","")&amp;IF($F73="","Sin fecha límite"&amp;" · ","")&amp;IF(OR(AND($E73&lt;&gt;"",NOT(ISNUMBER($E73))),AND($F73&lt;&gt;"",NOT(ISNUMBER($F73)))),"Fecha no válida"&amp;" · ","")&amp;IF(AND(ISNUMBER($E73),ISNUMBER($F73),$E73&gt;$F73),"Inicio posterior a fecha límite"&amp;" · ","")&amp;IF(AND($S73="Macro",$G73=""),"Peso vacío"&amp;" · ","")&amp;IF(AND($S73="Macro",$G73&lt;&gt;"",OR(NOT(ISNUMBER($G73)),$G73&lt;=0,$G73&gt;1)),"Peso fuera de rango"&amp;" · ","")&amp;IF(AND($S73="Sub",$G73&lt;&gt;""),"Las subactividades no llevan peso"&amp;" · ","")&amp;IF(AND($S73="Macro",ABS(SUMIFS($G$5:$G$1000,$P$5:$P$1000,$P73,$S$5:$S$1000,"Macro")-1)&gt;0.0001),"Pesos del mes suman "&amp;TEXT(SUMIFS($G$5:$G$1000,$P$5:$P$1000,$P73,$S$5:$S$1000,"Macro"),"0%")&amp;" · ","")&amp;IF(AND(N($T73)&gt;0,COUNT($H73:$K73)&gt;0),"Con subactividades: deje vacías las semanas (se calculan solas)"&amp;" · ","")&amp;IF((COUNTIF($H73:$K73,"&gt;1")+COUNTIF($H73:$K73,"&lt;0")+COUNTA($H73:$K73)-COUNT($H73:$K73))&gt;0,"Avance fuera de rango 0-100%"&amp;" · ","")&amp;IF(OR(AND($I73&lt;&gt;"",$I73&lt;$H73),AND($J73&lt;&gt;"",$J73&lt;MAX($H73:$I73)),AND($K73&lt;&gt;"",$K73&lt;MAX($H73:$J73))),"Avance semanal decreciente"&amp;" · ","")&amp;IF(AND(ISNUMBER($F73),$F73&lt;FechaRef,N($L73)&lt;1),"Vencida"&amp;" · ","")&amp;IF(AND(ObsObligatoria="Sí",ISNUMBER($F73),$F73&lt;FechaRef,N($L73)&lt;1,$N73=""),"Vencida sin observación"&amp;" · ",""),LEN(IF(AND($S73="Macro",$B73=""),"Macroactividad vacía"&amp;" · ","")&amp;IF(AND($B73&lt;&gt;"",$C73&lt;&gt;""),"Escriba la subactividad en otra fila, debajo de su macroactividad"&amp;" · ","")&amp;IF(AND($S73="Sub",N($R73)=0),"Subactividad sin macroactividad arriba"&amp;" · ","")&amp;IF($D73="","Sin responsable"&amp;" · ","")&amp;IF($E73="","Sin fecha de inicio"&amp;" · ","")&amp;IF($F73="","Sin fecha límite"&amp;" · ","")&amp;IF(OR(AND($E73&lt;&gt;"",NOT(ISNUMBER($E73))),AND($F73&lt;&gt;"",NOT(ISNUMBER($F73)))),"Fecha no válida"&amp;" · ","")&amp;IF(AND(ISNUMBER($E73),ISNUMBER($F73),$E73&gt;$F73),"Inicio posterior a fecha límite"&amp;" · ","")&amp;IF(AND($S73="Macro",$G73=""),"Peso vacío"&amp;" · ","")&amp;IF(AND($S73="Macro",$G73&lt;&gt;"",OR(NOT(ISNUMBER($G73)),$G73&lt;=0,$G73&gt;1)),"Peso fuera de rango"&amp;" · ","")&amp;IF(AND($S73="Sub",$G73&lt;&gt;""),"Las subactividades no llevan peso"&amp;" · ","")&amp;IF(AND($S73="Macro",ABS(SUMIFS($G$5:$G$1000,$P$5:$P$1000,$P73,$S$5:$S$1000,"Macro")-1)&gt;0.0001),"Pesos del mes suman "&amp;TEXT(SUMIFS($G$5:$G$1000,$P$5:$P$1000,$P73,$S$5:$S$1000,"Macro"),"0%")&amp;" · ","")&amp;IF(AND(N($T73)&gt;0,COUNT($H73:$K73)&gt;0),"Con subactividades: deje vacías las semanas (se calculan solas)"&amp;" · ","")&amp;IF((COUNTIF($H73:$K73,"&gt;1")+COUNTIF($H73:$K73,"&lt;0")+COUNTA($H73:$K73)-COUNT($H73:$K73))&gt;0,"Avance fuera de rango 0-100%"&amp;" · ","")&amp;IF(OR(AND($I73&lt;&gt;"",$I73&lt;$H73),AND($J73&lt;&gt;"",$J73&lt;MAX($H73:$I73)),AND($K73&lt;&gt;"",$K73&lt;MAX($H73:$J73))),"Avance semanal decreciente"&amp;" · ","")&amp;IF(AND(ISNUMBER($F73),$F73&lt;FechaRef,N($L73)&lt;1),"Vencida"&amp;" · ","")&amp;IF(AND(ObsObligatoria="Sí",ISNUMBER($F73),$F73&lt;FechaRef,N($L73)&lt;1,$N73=""),"Vencida sin observación"&amp;" · ",""))-3)))</f>
        <v/>
      </c>
      <c r="P73" s="69">
        <f>IF(NOT((COUNTA($B73:$K73)+COUNTA($N73))&gt;0),"",IF(AND($S73="Sub",N($R73)&gt;0),IF(ISNUMBER(INDEX($E$5:$E$1000,$R73-4)),DATE(YEAR(INDEX($E$5:$E$1000,$R73-4)),MONTH(INDEX($E$5:$E$1000,$R73-4)),1),IF(ISNUMBER(INDEX($F$5:$F$1000,$R73-4)),DATE(YEAR(INDEX($F$5:$F$1000,$R73-4)),MONTH(INDEX($F$5:$F$1000,$R73-4)),1),MesCiclo)),IF(ISNUMBER($E73),DATE(YEAR($E73),MONTH($E73),1),IF(ISNUMBER($F73),DATE(YEAR($F73),MONTH($F73),1),MesCiclo))))</f>
        <v/>
      </c>
      <c r="Q73" s="70">
        <f>IF(OR($P73="",$P73&lt;&gt;MesCiclo),"",COUNTIF($P$5:$P73,MesCiclo))</f>
        <v/>
      </c>
      <c r="R73" s="70">
        <f>IF($S73="","",IF($S73="Macro",ROW(),IFERROR(LOOKUP(2,1/($S$5:$S73="Macro"),ROW($S$5:$S73)),0)))</f>
        <v/>
      </c>
      <c r="S73" s="70">
        <f>IF(NOT((COUNTA($B73:$K73)+COUNTA($N73))&gt;0),"",IF($B73&lt;&gt;"","Macro",IF($C73&lt;&gt;"","Sub","Macro")))</f>
        <v/>
      </c>
      <c r="T73" s="70">
        <f>IF($S73="Macro",COUNTIFS($R$5:$R$1000,ROW(),$S$5:$S$1000,"Sub"),"")</f>
        <v/>
      </c>
      <c r="U73" s="70">
        <f>IF($S73="","",IF(ISNUMBER($H73),$H73,0))</f>
        <v/>
      </c>
      <c r="V73" s="70">
        <f>IF($S73="","",IF(ISNUMBER($I73),$I73,$U73))</f>
        <v/>
      </c>
      <c r="W73" s="70">
        <f>IF($S73="","",IF(ISNUMBER($J73),$J73,$V73))</f>
        <v/>
      </c>
      <c r="X73" s="70">
        <f>IF($S73="","",IF(ISNUMBER($K73),$K73,$W73))</f>
        <v/>
      </c>
      <c r="Y73" s="70">
        <f>IF($S73="","",IF(N($T73)&gt;0,AVERAGEIFS($U$5:$U$1000,$R$5:$R$1000,ROW(),$S$5:$S$1000,"Sub"),$U73))</f>
        <v/>
      </c>
      <c r="Z73" s="70">
        <f>IF($S73="","",IF(N($T73)&gt;0,AVERAGEIFS($V$5:$V$1000,$R$5:$R$1000,ROW(),$S$5:$S$1000,"Sub"),$V73))</f>
        <v/>
      </c>
      <c r="AA73" s="70">
        <f>IF($S73="","",IF(N($T73)&gt;0,AVERAGEIFS($W$5:$W$1000,$R$5:$R$1000,ROW(),$S$5:$S$1000,"Sub"),$W73))</f>
        <v/>
      </c>
      <c r="AB73" s="70">
        <f>IF($S73="","",IF(N($T73)&gt;0,AVERAGEIFS($X$5:$X$1000,$R$5:$R$1000,ROW(),$S$5:$S$1000,"Sub"),$X73))</f>
        <v/>
      </c>
    </row>
    <row r="74">
      <c r="A74" s="61">
        <f>IF(NOT((COUNTA($B74:$K74)+COUNTA($N74))&gt;0),"",IF($S74="Macro",COUNTIFS($S$5:$S74,"Macro",$P$5:$P74,$P74),IF(N($R74)=0,"?",COUNTIFS(INDEX($S$5:$S$1000,1):INDEX($S$5:$S$1000,$R74-4),"Macro",INDEX($P$5:$P$1000,1):INDEX($P$5:$P$1000,$R74-4),INDEX($P$5:$P$1000,$R74-4))&amp;"."&amp;COUNTIFS($R$5:$R74,$R74,$S$5:$S74,"Sub"))))</f>
        <v/>
      </c>
      <c r="B74" s="62" t="n"/>
      <c r="C74" s="63" t="n"/>
      <c r="D74" s="62" t="n"/>
      <c r="E74" s="64" t="n"/>
      <c r="F74" s="64" t="n"/>
      <c r="G74" s="65" t="n"/>
      <c r="H74" s="66" t="n"/>
      <c r="I74" s="66" t="n"/>
      <c r="J74" s="66" t="n"/>
      <c r="K74" s="66" t="n"/>
      <c r="L74" s="67">
        <f>IF(NOT((COUNTA($B74:$K74)+COUNTA($N74))&gt;0),"",IF(N($T74)&gt;0,$AB74,IFERROR(LOOKUP(2,1/(H74:K74&lt;&gt;""),H74:K74),0)))</f>
        <v/>
      </c>
      <c r="M74" s="61">
        <f>IF(L74="","",IF(L74&gt;=1,"Completado",IF(L74&gt;0,"En curso","Pendiente")))</f>
        <v/>
      </c>
      <c r="N74" s="62" t="n"/>
      <c r="O74" s="68">
        <f>IF(NOT((COUNTA($B74:$K74)+COUNTA($N74))&gt;0),"",IF((IF(AND($S74="Macro",$B74=""),"Macroactividad vacía"&amp;" · ","")&amp;IF(AND($B74&lt;&gt;"",$C74&lt;&gt;""),"Escriba la subactividad en otra fila, debajo de su macroactividad"&amp;" · ","")&amp;IF(AND($S74="Sub",N($R74)=0),"Subactividad sin macroactividad arriba"&amp;" · ","")&amp;IF($D74="","Sin responsable"&amp;" · ","")&amp;IF($E74="","Sin fecha de inicio"&amp;" · ","")&amp;IF($F74="","Sin fecha límite"&amp;" · ","")&amp;IF(OR(AND($E74&lt;&gt;"",NOT(ISNUMBER($E74))),AND($F74&lt;&gt;"",NOT(ISNUMBER($F74)))),"Fecha no válida"&amp;" · ","")&amp;IF(AND(ISNUMBER($E74),ISNUMBER($F74),$E74&gt;$F74),"Inicio posterior a fecha límite"&amp;" · ","")&amp;IF(AND($S74="Macro",$G74=""),"Peso vacío"&amp;" · ","")&amp;IF(AND($S74="Macro",$G74&lt;&gt;"",OR(NOT(ISNUMBER($G74)),$G74&lt;=0,$G74&gt;1)),"Peso fuera de rango"&amp;" · ","")&amp;IF(AND($S74="Sub",$G74&lt;&gt;""),"Las subactividades no llevan peso"&amp;" · ","")&amp;IF(AND($S74="Macro",ABS(SUMIFS($G$5:$G$1000,$P$5:$P$1000,$P74,$S$5:$S$1000,"Macro")-1)&gt;0.0001),"Pesos del mes suman "&amp;TEXT(SUMIFS($G$5:$G$1000,$P$5:$P$1000,$P74,$S$5:$S$1000,"Macro"),"0%")&amp;" · ","")&amp;IF(AND(N($T74)&gt;0,COUNT($H74:$K74)&gt;0),"Con subactividades: deje vacías las semanas (se calculan solas)"&amp;" · ","")&amp;IF((COUNTIF($H74:$K74,"&gt;1")+COUNTIF($H74:$K74,"&lt;0")+COUNTA($H74:$K74)-COUNT($H74:$K74))&gt;0,"Avance fuera de rango 0-100%"&amp;" · ","")&amp;IF(OR(AND($I74&lt;&gt;"",$I74&lt;$H74),AND($J74&lt;&gt;"",$J74&lt;MAX($H74:$I74)),AND($K74&lt;&gt;"",$K74&lt;MAX($H74:$J74))),"Avance semanal decreciente"&amp;" · ","")&amp;IF(AND(ISNUMBER($F74),$F74&lt;FechaRef,N($L74)&lt;1),"Vencida"&amp;" · ","")&amp;IF(AND(ObsObligatoria="Sí",ISNUMBER($F74),$F74&lt;FechaRef,N($L74)&lt;1,$N74=""),"Vencida sin observación"&amp;" · ",""))="","✔ OK","⚠ "&amp;LEFT(IF(AND($S74="Macro",$B74=""),"Macroactividad vacía"&amp;" · ","")&amp;IF(AND($B74&lt;&gt;"",$C74&lt;&gt;""),"Escriba la subactividad en otra fila, debajo de su macroactividad"&amp;" · ","")&amp;IF(AND($S74="Sub",N($R74)=0),"Subactividad sin macroactividad arriba"&amp;" · ","")&amp;IF($D74="","Sin responsable"&amp;" · ","")&amp;IF($E74="","Sin fecha de inicio"&amp;" · ","")&amp;IF($F74="","Sin fecha límite"&amp;" · ","")&amp;IF(OR(AND($E74&lt;&gt;"",NOT(ISNUMBER($E74))),AND($F74&lt;&gt;"",NOT(ISNUMBER($F74)))),"Fecha no válida"&amp;" · ","")&amp;IF(AND(ISNUMBER($E74),ISNUMBER($F74),$E74&gt;$F74),"Inicio posterior a fecha límite"&amp;" · ","")&amp;IF(AND($S74="Macro",$G74=""),"Peso vacío"&amp;" · ","")&amp;IF(AND($S74="Macro",$G74&lt;&gt;"",OR(NOT(ISNUMBER($G74)),$G74&lt;=0,$G74&gt;1)),"Peso fuera de rango"&amp;" · ","")&amp;IF(AND($S74="Sub",$G74&lt;&gt;""),"Las subactividades no llevan peso"&amp;" · ","")&amp;IF(AND($S74="Macro",ABS(SUMIFS($G$5:$G$1000,$P$5:$P$1000,$P74,$S$5:$S$1000,"Macro")-1)&gt;0.0001),"Pesos del mes suman "&amp;TEXT(SUMIFS($G$5:$G$1000,$P$5:$P$1000,$P74,$S$5:$S$1000,"Macro"),"0%")&amp;" · ","")&amp;IF(AND(N($T74)&gt;0,COUNT($H74:$K74)&gt;0),"Con subactividades: deje vacías las semanas (se calculan solas)"&amp;" · ","")&amp;IF((COUNTIF($H74:$K74,"&gt;1")+COUNTIF($H74:$K74,"&lt;0")+COUNTA($H74:$K74)-COUNT($H74:$K74))&gt;0,"Avance fuera de rango 0-100%"&amp;" · ","")&amp;IF(OR(AND($I74&lt;&gt;"",$I74&lt;$H74),AND($J74&lt;&gt;"",$J74&lt;MAX($H74:$I74)),AND($K74&lt;&gt;"",$K74&lt;MAX($H74:$J74))),"Avance semanal decreciente"&amp;" · ","")&amp;IF(AND(ISNUMBER($F74),$F74&lt;FechaRef,N($L74)&lt;1),"Vencida"&amp;" · ","")&amp;IF(AND(ObsObligatoria="Sí",ISNUMBER($F74),$F74&lt;FechaRef,N($L74)&lt;1,$N74=""),"Vencida sin observación"&amp;" · ",""),LEN(IF(AND($S74="Macro",$B74=""),"Macroactividad vacía"&amp;" · ","")&amp;IF(AND($B74&lt;&gt;"",$C74&lt;&gt;""),"Escriba la subactividad en otra fila, debajo de su macroactividad"&amp;" · ","")&amp;IF(AND($S74="Sub",N($R74)=0),"Subactividad sin macroactividad arriba"&amp;" · ","")&amp;IF($D74="","Sin responsable"&amp;" · ","")&amp;IF($E74="","Sin fecha de inicio"&amp;" · ","")&amp;IF($F74="","Sin fecha límite"&amp;" · ","")&amp;IF(OR(AND($E74&lt;&gt;"",NOT(ISNUMBER($E74))),AND($F74&lt;&gt;"",NOT(ISNUMBER($F74)))),"Fecha no válida"&amp;" · ","")&amp;IF(AND(ISNUMBER($E74),ISNUMBER($F74),$E74&gt;$F74),"Inicio posterior a fecha límite"&amp;" · ","")&amp;IF(AND($S74="Macro",$G74=""),"Peso vacío"&amp;" · ","")&amp;IF(AND($S74="Macro",$G74&lt;&gt;"",OR(NOT(ISNUMBER($G74)),$G74&lt;=0,$G74&gt;1)),"Peso fuera de rango"&amp;" · ","")&amp;IF(AND($S74="Sub",$G74&lt;&gt;""),"Las subactividades no llevan peso"&amp;" · ","")&amp;IF(AND($S74="Macro",ABS(SUMIFS($G$5:$G$1000,$P$5:$P$1000,$P74,$S$5:$S$1000,"Macro")-1)&gt;0.0001),"Pesos del mes suman "&amp;TEXT(SUMIFS($G$5:$G$1000,$P$5:$P$1000,$P74,$S$5:$S$1000,"Macro"),"0%")&amp;" · ","")&amp;IF(AND(N($T74)&gt;0,COUNT($H74:$K74)&gt;0),"Con subactividades: deje vacías las semanas (se calculan solas)"&amp;" · ","")&amp;IF((COUNTIF($H74:$K74,"&gt;1")+COUNTIF($H74:$K74,"&lt;0")+COUNTA($H74:$K74)-COUNT($H74:$K74))&gt;0,"Avance fuera de rango 0-100%"&amp;" · ","")&amp;IF(OR(AND($I74&lt;&gt;"",$I74&lt;$H74),AND($J74&lt;&gt;"",$J74&lt;MAX($H74:$I74)),AND($K74&lt;&gt;"",$K74&lt;MAX($H74:$J74))),"Avance semanal decreciente"&amp;" · ","")&amp;IF(AND(ISNUMBER($F74),$F74&lt;FechaRef,N($L74)&lt;1),"Vencida"&amp;" · ","")&amp;IF(AND(ObsObligatoria="Sí",ISNUMBER($F74),$F74&lt;FechaRef,N($L74)&lt;1,$N74=""),"Vencida sin observación"&amp;" · ",""))-3)))</f>
        <v/>
      </c>
      <c r="P74" s="69">
        <f>IF(NOT((COUNTA($B74:$K74)+COUNTA($N74))&gt;0),"",IF(AND($S74="Sub",N($R74)&gt;0),IF(ISNUMBER(INDEX($E$5:$E$1000,$R74-4)),DATE(YEAR(INDEX($E$5:$E$1000,$R74-4)),MONTH(INDEX($E$5:$E$1000,$R74-4)),1),IF(ISNUMBER(INDEX($F$5:$F$1000,$R74-4)),DATE(YEAR(INDEX($F$5:$F$1000,$R74-4)),MONTH(INDEX($F$5:$F$1000,$R74-4)),1),MesCiclo)),IF(ISNUMBER($E74),DATE(YEAR($E74),MONTH($E74),1),IF(ISNUMBER($F74),DATE(YEAR($F74),MONTH($F74),1),MesCiclo))))</f>
        <v/>
      </c>
      <c r="Q74" s="70">
        <f>IF(OR($P74="",$P74&lt;&gt;MesCiclo),"",COUNTIF($P$5:$P74,MesCiclo))</f>
        <v/>
      </c>
      <c r="R74" s="70">
        <f>IF($S74="","",IF($S74="Macro",ROW(),IFERROR(LOOKUP(2,1/($S$5:$S74="Macro"),ROW($S$5:$S74)),0)))</f>
        <v/>
      </c>
      <c r="S74" s="70">
        <f>IF(NOT((COUNTA($B74:$K74)+COUNTA($N74))&gt;0),"",IF($B74&lt;&gt;"","Macro",IF($C74&lt;&gt;"","Sub","Macro")))</f>
        <v/>
      </c>
      <c r="T74" s="70">
        <f>IF($S74="Macro",COUNTIFS($R$5:$R$1000,ROW(),$S$5:$S$1000,"Sub"),"")</f>
        <v/>
      </c>
      <c r="U74" s="70">
        <f>IF($S74="","",IF(ISNUMBER($H74),$H74,0))</f>
        <v/>
      </c>
      <c r="V74" s="70">
        <f>IF($S74="","",IF(ISNUMBER($I74),$I74,$U74))</f>
        <v/>
      </c>
      <c r="W74" s="70">
        <f>IF($S74="","",IF(ISNUMBER($J74),$J74,$V74))</f>
        <v/>
      </c>
      <c r="X74" s="70">
        <f>IF($S74="","",IF(ISNUMBER($K74),$K74,$W74))</f>
        <v/>
      </c>
      <c r="Y74" s="70">
        <f>IF($S74="","",IF(N($T74)&gt;0,AVERAGEIFS($U$5:$U$1000,$R$5:$R$1000,ROW(),$S$5:$S$1000,"Sub"),$U74))</f>
        <v/>
      </c>
      <c r="Z74" s="70">
        <f>IF($S74="","",IF(N($T74)&gt;0,AVERAGEIFS($V$5:$V$1000,$R$5:$R$1000,ROW(),$S$5:$S$1000,"Sub"),$V74))</f>
        <v/>
      </c>
      <c r="AA74" s="70">
        <f>IF($S74="","",IF(N($T74)&gt;0,AVERAGEIFS($W$5:$W$1000,$R$5:$R$1000,ROW(),$S$5:$S$1000,"Sub"),$W74))</f>
        <v/>
      </c>
      <c r="AB74" s="70">
        <f>IF($S74="","",IF(N($T74)&gt;0,AVERAGEIFS($X$5:$X$1000,$R$5:$R$1000,ROW(),$S$5:$S$1000,"Sub"),$X74))</f>
        <v/>
      </c>
    </row>
    <row r="75">
      <c r="A75" s="61">
        <f>IF(NOT((COUNTA($B75:$K75)+COUNTA($N75))&gt;0),"",IF($S75="Macro",COUNTIFS($S$5:$S75,"Macro",$P$5:$P75,$P75),IF(N($R75)=0,"?",COUNTIFS(INDEX($S$5:$S$1000,1):INDEX($S$5:$S$1000,$R75-4),"Macro",INDEX($P$5:$P$1000,1):INDEX($P$5:$P$1000,$R75-4),INDEX($P$5:$P$1000,$R75-4))&amp;"."&amp;COUNTIFS($R$5:$R75,$R75,$S$5:$S75,"Sub"))))</f>
        <v/>
      </c>
      <c r="B75" s="62" t="n"/>
      <c r="C75" s="63" t="n"/>
      <c r="D75" s="62" t="n"/>
      <c r="E75" s="64" t="n"/>
      <c r="F75" s="64" t="n"/>
      <c r="G75" s="65" t="n"/>
      <c r="H75" s="66" t="n"/>
      <c r="I75" s="66" t="n"/>
      <c r="J75" s="66" t="n"/>
      <c r="K75" s="66" t="n"/>
      <c r="L75" s="67">
        <f>IF(NOT((COUNTA($B75:$K75)+COUNTA($N75))&gt;0),"",IF(N($T75)&gt;0,$AB75,IFERROR(LOOKUP(2,1/(H75:K75&lt;&gt;""),H75:K75),0)))</f>
        <v/>
      </c>
      <c r="M75" s="61">
        <f>IF(L75="","",IF(L75&gt;=1,"Completado",IF(L75&gt;0,"En curso","Pendiente")))</f>
        <v/>
      </c>
      <c r="N75" s="62" t="n"/>
      <c r="O75" s="68">
        <f>IF(NOT((COUNTA($B75:$K75)+COUNTA($N75))&gt;0),"",IF((IF(AND($S75="Macro",$B75=""),"Macroactividad vacía"&amp;" · ","")&amp;IF(AND($B75&lt;&gt;"",$C75&lt;&gt;""),"Escriba la subactividad en otra fila, debajo de su macroactividad"&amp;" · ","")&amp;IF(AND($S75="Sub",N($R75)=0),"Subactividad sin macroactividad arriba"&amp;" · ","")&amp;IF($D75="","Sin responsable"&amp;" · ","")&amp;IF($E75="","Sin fecha de inicio"&amp;" · ","")&amp;IF($F75="","Sin fecha límite"&amp;" · ","")&amp;IF(OR(AND($E75&lt;&gt;"",NOT(ISNUMBER($E75))),AND($F75&lt;&gt;"",NOT(ISNUMBER($F75)))),"Fecha no válida"&amp;" · ","")&amp;IF(AND(ISNUMBER($E75),ISNUMBER($F75),$E75&gt;$F75),"Inicio posterior a fecha límite"&amp;" · ","")&amp;IF(AND($S75="Macro",$G75=""),"Peso vacío"&amp;" · ","")&amp;IF(AND($S75="Macro",$G75&lt;&gt;"",OR(NOT(ISNUMBER($G75)),$G75&lt;=0,$G75&gt;1)),"Peso fuera de rango"&amp;" · ","")&amp;IF(AND($S75="Sub",$G75&lt;&gt;""),"Las subactividades no llevan peso"&amp;" · ","")&amp;IF(AND($S75="Macro",ABS(SUMIFS($G$5:$G$1000,$P$5:$P$1000,$P75,$S$5:$S$1000,"Macro")-1)&gt;0.0001),"Pesos del mes suman "&amp;TEXT(SUMIFS($G$5:$G$1000,$P$5:$P$1000,$P75,$S$5:$S$1000,"Macro"),"0%")&amp;" · ","")&amp;IF(AND(N($T75)&gt;0,COUNT($H75:$K75)&gt;0),"Con subactividades: deje vacías las semanas (se calculan solas)"&amp;" · ","")&amp;IF((COUNTIF($H75:$K75,"&gt;1")+COUNTIF($H75:$K75,"&lt;0")+COUNTA($H75:$K75)-COUNT($H75:$K75))&gt;0,"Avance fuera de rango 0-100%"&amp;" · ","")&amp;IF(OR(AND($I75&lt;&gt;"",$I75&lt;$H75),AND($J75&lt;&gt;"",$J75&lt;MAX($H75:$I75)),AND($K75&lt;&gt;"",$K75&lt;MAX($H75:$J75))),"Avance semanal decreciente"&amp;" · ","")&amp;IF(AND(ISNUMBER($F75),$F75&lt;FechaRef,N($L75)&lt;1),"Vencida"&amp;" · ","")&amp;IF(AND(ObsObligatoria="Sí",ISNUMBER($F75),$F75&lt;FechaRef,N($L75)&lt;1,$N75=""),"Vencida sin observación"&amp;" · ",""))="","✔ OK","⚠ "&amp;LEFT(IF(AND($S75="Macro",$B75=""),"Macroactividad vacía"&amp;" · ","")&amp;IF(AND($B75&lt;&gt;"",$C75&lt;&gt;""),"Escriba la subactividad en otra fila, debajo de su macroactividad"&amp;" · ","")&amp;IF(AND($S75="Sub",N($R75)=0),"Subactividad sin macroactividad arriba"&amp;" · ","")&amp;IF($D75="","Sin responsable"&amp;" · ","")&amp;IF($E75="","Sin fecha de inicio"&amp;" · ","")&amp;IF($F75="","Sin fecha límite"&amp;" · ","")&amp;IF(OR(AND($E75&lt;&gt;"",NOT(ISNUMBER($E75))),AND($F75&lt;&gt;"",NOT(ISNUMBER($F75)))),"Fecha no válida"&amp;" · ","")&amp;IF(AND(ISNUMBER($E75),ISNUMBER($F75),$E75&gt;$F75),"Inicio posterior a fecha límite"&amp;" · ","")&amp;IF(AND($S75="Macro",$G75=""),"Peso vacío"&amp;" · ","")&amp;IF(AND($S75="Macro",$G75&lt;&gt;"",OR(NOT(ISNUMBER($G75)),$G75&lt;=0,$G75&gt;1)),"Peso fuera de rango"&amp;" · ","")&amp;IF(AND($S75="Sub",$G75&lt;&gt;""),"Las subactividades no llevan peso"&amp;" · ","")&amp;IF(AND($S75="Macro",ABS(SUMIFS($G$5:$G$1000,$P$5:$P$1000,$P75,$S$5:$S$1000,"Macro")-1)&gt;0.0001),"Pesos del mes suman "&amp;TEXT(SUMIFS($G$5:$G$1000,$P$5:$P$1000,$P75,$S$5:$S$1000,"Macro"),"0%")&amp;" · ","")&amp;IF(AND(N($T75)&gt;0,COUNT($H75:$K75)&gt;0),"Con subactividades: deje vacías las semanas (se calculan solas)"&amp;" · ","")&amp;IF((COUNTIF($H75:$K75,"&gt;1")+COUNTIF($H75:$K75,"&lt;0")+COUNTA($H75:$K75)-COUNT($H75:$K75))&gt;0,"Avance fuera de rango 0-100%"&amp;" · ","")&amp;IF(OR(AND($I75&lt;&gt;"",$I75&lt;$H75),AND($J75&lt;&gt;"",$J75&lt;MAX($H75:$I75)),AND($K75&lt;&gt;"",$K75&lt;MAX($H75:$J75))),"Avance semanal decreciente"&amp;" · ","")&amp;IF(AND(ISNUMBER($F75),$F75&lt;FechaRef,N($L75)&lt;1),"Vencida"&amp;" · ","")&amp;IF(AND(ObsObligatoria="Sí",ISNUMBER($F75),$F75&lt;FechaRef,N($L75)&lt;1,$N75=""),"Vencida sin observación"&amp;" · ",""),LEN(IF(AND($S75="Macro",$B75=""),"Macroactividad vacía"&amp;" · ","")&amp;IF(AND($B75&lt;&gt;"",$C75&lt;&gt;""),"Escriba la subactividad en otra fila, debajo de su macroactividad"&amp;" · ","")&amp;IF(AND($S75="Sub",N($R75)=0),"Subactividad sin macroactividad arriba"&amp;" · ","")&amp;IF($D75="","Sin responsable"&amp;" · ","")&amp;IF($E75="","Sin fecha de inicio"&amp;" · ","")&amp;IF($F75="","Sin fecha límite"&amp;" · ","")&amp;IF(OR(AND($E75&lt;&gt;"",NOT(ISNUMBER($E75))),AND($F75&lt;&gt;"",NOT(ISNUMBER($F75)))),"Fecha no válida"&amp;" · ","")&amp;IF(AND(ISNUMBER($E75),ISNUMBER($F75),$E75&gt;$F75),"Inicio posterior a fecha límite"&amp;" · ","")&amp;IF(AND($S75="Macro",$G75=""),"Peso vacío"&amp;" · ","")&amp;IF(AND($S75="Macro",$G75&lt;&gt;"",OR(NOT(ISNUMBER($G75)),$G75&lt;=0,$G75&gt;1)),"Peso fuera de rango"&amp;" · ","")&amp;IF(AND($S75="Sub",$G75&lt;&gt;""),"Las subactividades no llevan peso"&amp;" · ","")&amp;IF(AND($S75="Macro",ABS(SUMIFS($G$5:$G$1000,$P$5:$P$1000,$P75,$S$5:$S$1000,"Macro")-1)&gt;0.0001),"Pesos del mes suman "&amp;TEXT(SUMIFS($G$5:$G$1000,$P$5:$P$1000,$P75,$S$5:$S$1000,"Macro"),"0%")&amp;" · ","")&amp;IF(AND(N($T75)&gt;0,COUNT($H75:$K75)&gt;0),"Con subactividades: deje vacías las semanas (se calculan solas)"&amp;" · ","")&amp;IF((COUNTIF($H75:$K75,"&gt;1")+COUNTIF($H75:$K75,"&lt;0")+COUNTA($H75:$K75)-COUNT($H75:$K75))&gt;0,"Avance fuera de rango 0-100%"&amp;" · ","")&amp;IF(OR(AND($I75&lt;&gt;"",$I75&lt;$H75),AND($J75&lt;&gt;"",$J75&lt;MAX($H75:$I75)),AND($K75&lt;&gt;"",$K75&lt;MAX($H75:$J75))),"Avance semanal decreciente"&amp;" · ","")&amp;IF(AND(ISNUMBER($F75),$F75&lt;FechaRef,N($L75)&lt;1),"Vencida"&amp;" · ","")&amp;IF(AND(ObsObligatoria="Sí",ISNUMBER($F75),$F75&lt;FechaRef,N($L75)&lt;1,$N75=""),"Vencida sin observación"&amp;" · ",""))-3)))</f>
        <v/>
      </c>
      <c r="P75" s="69">
        <f>IF(NOT((COUNTA($B75:$K75)+COUNTA($N75))&gt;0),"",IF(AND($S75="Sub",N($R75)&gt;0),IF(ISNUMBER(INDEX($E$5:$E$1000,$R75-4)),DATE(YEAR(INDEX($E$5:$E$1000,$R75-4)),MONTH(INDEX($E$5:$E$1000,$R75-4)),1),IF(ISNUMBER(INDEX($F$5:$F$1000,$R75-4)),DATE(YEAR(INDEX($F$5:$F$1000,$R75-4)),MONTH(INDEX($F$5:$F$1000,$R75-4)),1),MesCiclo)),IF(ISNUMBER($E75),DATE(YEAR($E75),MONTH($E75),1),IF(ISNUMBER($F75),DATE(YEAR($F75),MONTH($F75),1),MesCiclo))))</f>
        <v/>
      </c>
      <c r="Q75" s="70">
        <f>IF(OR($P75="",$P75&lt;&gt;MesCiclo),"",COUNTIF($P$5:$P75,MesCiclo))</f>
        <v/>
      </c>
      <c r="R75" s="70">
        <f>IF($S75="","",IF($S75="Macro",ROW(),IFERROR(LOOKUP(2,1/($S$5:$S75="Macro"),ROW($S$5:$S75)),0)))</f>
        <v/>
      </c>
      <c r="S75" s="70">
        <f>IF(NOT((COUNTA($B75:$K75)+COUNTA($N75))&gt;0),"",IF($B75&lt;&gt;"","Macro",IF($C75&lt;&gt;"","Sub","Macro")))</f>
        <v/>
      </c>
      <c r="T75" s="70">
        <f>IF($S75="Macro",COUNTIFS($R$5:$R$1000,ROW(),$S$5:$S$1000,"Sub"),"")</f>
        <v/>
      </c>
      <c r="U75" s="70">
        <f>IF($S75="","",IF(ISNUMBER($H75),$H75,0))</f>
        <v/>
      </c>
      <c r="V75" s="70">
        <f>IF($S75="","",IF(ISNUMBER($I75),$I75,$U75))</f>
        <v/>
      </c>
      <c r="W75" s="70">
        <f>IF($S75="","",IF(ISNUMBER($J75),$J75,$V75))</f>
        <v/>
      </c>
      <c r="X75" s="70">
        <f>IF($S75="","",IF(ISNUMBER($K75),$K75,$W75))</f>
        <v/>
      </c>
      <c r="Y75" s="70">
        <f>IF($S75="","",IF(N($T75)&gt;0,AVERAGEIFS($U$5:$U$1000,$R$5:$R$1000,ROW(),$S$5:$S$1000,"Sub"),$U75))</f>
        <v/>
      </c>
      <c r="Z75" s="70">
        <f>IF($S75="","",IF(N($T75)&gt;0,AVERAGEIFS($V$5:$V$1000,$R$5:$R$1000,ROW(),$S$5:$S$1000,"Sub"),$V75))</f>
        <v/>
      </c>
      <c r="AA75" s="70">
        <f>IF($S75="","",IF(N($T75)&gt;0,AVERAGEIFS($W$5:$W$1000,$R$5:$R$1000,ROW(),$S$5:$S$1000,"Sub"),$W75))</f>
        <v/>
      </c>
      <c r="AB75" s="70">
        <f>IF($S75="","",IF(N($T75)&gt;0,AVERAGEIFS($X$5:$X$1000,$R$5:$R$1000,ROW(),$S$5:$S$1000,"Sub"),$X75))</f>
        <v/>
      </c>
    </row>
    <row r="76">
      <c r="A76" s="61">
        <f>IF(NOT((COUNTA($B76:$K76)+COUNTA($N76))&gt;0),"",IF($S76="Macro",COUNTIFS($S$5:$S76,"Macro",$P$5:$P76,$P76),IF(N($R76)=0,"?",COUNTIFS(INDEX($S$5:$S$1000,1):INDEX($S$5:$S$1000,$R76-4),"Macro",INDEX($P$5:$P$1000,1):INDEX($P$5:$P$1000,$R76-4),INDEX($P$5:$P$1000,$R76-4))&amp;"."&amp;COUNTIFS($R$5:$R76,$R76,$S$5:$S76,"Sub"))))</f>
        <v/>
      </c>
      <c r="B76" s="62" t="n"/>
      <c r="C76" s="63" t="n"/>
      <c r="D76" s="62" t="n"/>
      <c r="E76" s="64" t="n"/>
      <c r="F76" s="64" t="n"/>
      <c r="G76" s="65" t="n"/>
      <c r="H76" s="66" t="n"/>
      <c r="I76" s="66" t="n"/>
      <c r="J76" s="66" t="n"/>
      <c r="K76" s="66" t="n"/>
      <c r="L76" s="67">
        <f>IF(NOT((COUNTA($B76:$K76)+COUNTA($N76))&gt;0),"",IF(N($T76)&gt;0,$AB76,IFERROR(LOOKUP(2,1/(H76:K76&lt;&gt;""),H76:K76),0)))</f>
        <v/>
      </c>
      <c r="M76" s="61">
        <f>IF(L76="","",IF(L76&gt;=1,"Completado",IF(L76&gt;0,"En curso","Pendiente")))</f>
        <v/>
      </c>
      <c r="N76" s="62" t="n"/>
      <c r="O76" s="68">
        <f>IF(NOT((COUNTA($B76:$K76)+COUNTA($N76))&gt;0),"",IF((IF(AND($S76="Macro",$B76=""),"Macroactividad vacía"&amp;" · ","")&amp;IF(AND($B76&lt;&gt;"",$C76&lt;&gt;""),"Escriba la subactividad en otra fila, debajo de su macroactividad"&amp;" · ","")&amp;IF(AND($S76="Sub",N($R76)=0),"Subactividad sin macroactividad arriba"&amp;" · ","")&amp;IF($D76="","Sin responsable"&amp;" · ","")&amp;IF($E76="","Sin fecha de inicio"&amp;" · ","")&amp;IF($F76="","Sin fecha límite"&amp;" · ","")&amp;IF(OR(AND($E76&lt;&gt;"",NOT(ISNUMBER($E76))),AND($F76&lt;&gt;"",NOT(ISNUMBER($F76)))),"Fecha no válida"&amp;" · ","")&amp;IF(AND(ISNUMBER($E76),ISNUMBER($F76),$E76&gt;$F76),"Inicio posterior a fecha límite"&amp;" · ","")&amp;IF(AND($S76="Macro",$G76=""),"Peso vacío"&amp;" · ","")&amp;IF(AND($S76="Macro",$G76&lt;&gt;"",OR(NOT(ISNUMBER($G76)),$G76&lt;=0,$G76&gt;1)),"Peso fuera de rango"&amp;" · ","")&amp;IF(AND($S76="Sub",$G76&lt;&gt;""),"Las subactividades no llevan peso"&amp;" · ","")&amp;IF(AND($S76="Macro",ABS(SUMIFS($G$5:$G$1000,$P$5:$P$1000,$P76,$S$5:$S$1000,"Macro")-1)&gt;0.0001),"Pesos del mes suman "&amp;TEXT(SUMIFS($G$5:$G$1000,$P$5:$P$1000,$P76,$S$5:$S$1000,"Macro"),"0%")&amp;" · ","")&amp;IF(AND(N($T76)&gt;0,COUNT($H76:$K76)&gt;0),"Con subactividades: deje vacías las semanas (se calculan solas)"&amp;" · ","")&amp;IF((COUNTIF($H76:$K76,"&gt;1")+COUNTIF($H76:$K76,"&lt;0")+COUNTA($H76:$K76)-COUNT($H76:$K76))&gt;0,"Avance fuera de rango 0-100%"&amp;" · ","")&amp;IF(OR(AND($I76&lt;&gt;"",$I76&lt;$H76),AND($J76&lt;&gt;"",$J76&lt;MAX($H76:$I76)),AND($K76&lt;&gt;"",$K76&lt;MAX($H76:$J76))),"Avance semanal decreciente"&amp;" · ","")&amp;IF(AND(ISNUMBER($F76),$F76&lt;FechaRef,N($L76)&lt;1),"Vencida"&amp;" · ","")&amp;IF(AND(ObsObligatoria="Sí",ISNUMBER($F76),$F76&lt;FechaRef,N($L76)&lt;1,$N76=""),"Vencida sin observación"&amp;" · ",""))="","✔ OK","⚠ "&amp;LEFT(IF(AND($S76="Macro",$B76=""),"Macroactividad vacía"&amp;" · ","")&amp;IF(AND($B76&lt;&gt;"",$C76&lt;&gt;""),"Escriba la subactividad en otra fila, debajo de su macroactividad"&amp;" · ","")&amp;IF(AND($S76="Sub",N($R76)=0),"Subactividad sin macroactividad arriba"&amp;" · ","")&amp;IF($D76="","Sin responsable"&amp;" · ","")&amp;IF($E76="","Sin fecha de inicio"&amp;" · ","")&amp;IF($F76="","Sin fecha límite"&amp;" · ","")&amp;IF(OR(AND($E76&lt;&gt;"",NOT(ISNUMBER($E76))),AND($F76&lt;&gt;"",NOT(ISNUMBER($F76)))),"Fecha no válida"&amp;" · ","")&amp;IF(AND(ISNUMBER($E76),ISNUMBER($F76),$E76&gt;$F76),"Inicio posterior a fecha límite"&amp;" · ","")&amp;IF(AND($S76="Macro",$G76=""),"Peso vacío"&amp;" · ","")&amp;IF(AND($S76="Macro",$G76&lt;&gt;"",OR(NOT(ISNUMBER($G76)),$G76&lt;=0,$G76&gt;1)),"Peso fuera de rango"&amp;" · ","")&amp;IF(AND($S76="Sub",$G76&lt;&gt;""),"Las subactividades no llevan peso"&amp;" · ","")&amp;IF(AND($S76="Macro",ABS(SUMIFS($G$5:$G$1000,$P$5:$P$1000,$P76,$S$5:$S$1000,"Macro")-1)&gt;0.0001),"Pesos del mes suman "&amp;TEXT(SUMIFS($G$5:$G$1000,$P$5:$P$1000,$P76,$S$5:$S$1000,"Macro"),"0%")&amp;" · ","")&amp;IF(AND(N($T76)&gt;0,COUNT($H76:$K76)&gt;0),"Con subactividades: deje vacías las semanas (se calculan solas)"&amp;" · ","")&amp;IF((COUNTIF($H76:$K76,"&gt;1")+COUNTIF($H76:$K76,"&lt;0")+COUNTA($H76:$K76)-COUNT($H76:$K76))&gt;0,"Avance fuera de rango 0-100%"&amp;" · ","")&amp;IF(OR(AND($I76&lt;&gt;"",$I76&lt;$H76),AND($J76&lt;&gt;"",$J76&lt;MAX($H76:$I76)),AND($K76&lt;&gt;"",$K76&lt;MAX($H76:$J76))),"Avance semanal decreciente"&amp;" · ","")&amp;IF(AND(ISNUMBER($F76),$F76&lt;FechaRef,N($L76)&lt;1),"Vencida"&amp;" · ","")&amp;IF(AND(ObsObligatoria="Sí",ISNUMBER($F76),$F76&lt;FechaRef,N($L76)&lt;1,$N76=""),"Vencida sin observación"&amp;" · ",""),LEN(IF(AND($S76="Macro",$B76=""),"Macroactividad vacía"&amp;" · ","")&amp;IF(AND($B76&lt;&gt;"",$C76&lt;&gt;""),"Escriba la subactividad en otra fila, debajo de su macroactividad"&amp;" · ","")&amp;IF(AND($S76="Sub",N($R76)=0),"Subactividad sin macroactividad arriba"&amp;" · ","")&amp;IF($D76="","Sin responsable"&amp;" · ","")&amp;IF($E76="","Sin fecha de inicio"&amp;" · ","")&amp;IF($F76="","Sin fecha límite"&amp;" · ","")&amp;IF(OR(AND($E76&lt;&gt;"",NOT(ISNUMBER($E76))),AND($F76&lt;&gt;"",NOT(ISNUMBER($F76)))),"Fecha no válida"&amp;" · ","")&amp;IF(AND(ISNUMBER($E76),ISNUMBER($F76),$E76&gt;$F76),"Inicio posterior a fecha límite"&amp;" · ","")&amp;IF(AND($S76="Macro",$G76=""),"Peso vacío"&amp;" · ","")&amp;IF(AND($S76="Macro",$G76&lt;&gt;"",OR(NOT(ISNUMBER($G76)),$G76&lt;=0,$G76&gt;1)),"Peso fuera de rango"&amp;" · ","")&amp;IF(AND($S76="Sub",$G76&lt;&gt;""),"Las subactividades no llevan peso"&amp;" · ","")&amp;IF(AND($S76="Macro",ABS(SUMIFS($G$5:$G$1000,$P$5:$P$1000,$P76,$S$5:$S$1000,"Macro")-1)&gt;0.0001),"Pesos del mes suman "&amp;TEXT(SUMIFS($G$5:$G$1000,$P$5:$P$1000,$P76,$S$5:$S$1000,"Macro"),"0%")&amp;" · ","")&amp;IF(AND(N($T76)&gt;0,COUNT($H76:$K76)&gt;0),"Con subactividades: deje vacías las semanas (se calculan solas)"&amp;" · ","")&amp;IF((COUNTIF($H76:$K76,"&gt;1")+COUNTIF($H76:$K76,"&lt;0")+COUNTA($H76:$K76)-COUNT($H76:$K76))&gt;0,"Avance fuera de rango 0-100%"&amp;" · ","")&amp;IF(OR(AND($I76&lt;&gt;"",$I76&lt;$H76),AND($J76&lt;&gt;"",$J76&lt;MAX($H76:$I76)),AND($K76&lt;&gt;"",$K76&lt;MAX($H76:$J76))),"Avance semanal decreciente"&amp;" · ","")&amp;IF(AND(ISNUMBER($F76),$F76&lt;FechaRef,N($L76)&lt;1),"Vencida"&amp;" · ","")&amp;IF(AND(ObsObligatoria="Sí",ISNUMBER($F76),$F76&lt;FechaRef,N($L76)&lt;1,$N76=""),"Vencida sin observación"&amp;" · ",""))-3)))</f>
        <v/>
      </c>
      <c r="P76" s="69">
        <f>IF(NOT((COUNTA($B76:$K76)+COUNTA($N76))&gt;0),"",IF(AND($S76="Sub",N($R76)&gt;0),IF(ISNUMBER(INDEX($E$5:$E$1000,$R76-4)),DATE(YEAR(INDEX($E$5:$E$1000,$R76-4)),MONTH(INDEX($E$5:$E$1000,$R76-4)),1),IF(ISNUMBER(INDEX($F$5:$F$1000,$R76-4)),DATE(YEAR(INDEX($F$5:$F$1000,$R76-4)),MONTH(INDEX($F$5:$F$1000,$R76-4)),1),MesCiclo)),IF(ISNUMBER($E76),DATE(YEAR($E76),MONTH($E76),1),IF(ISNUMBER($F76),DATE(YEAR($F76),MONTH($F76),1),MesCiclo))))</f>
        <v/>
      </c>
      <c r="Q76" s="70">
        <f>IF(OR($P76="",$P76&lt;&gt;MesCiclo),"",COUNTIF($P$5:$P76,MesCiclo))</f>
        <v/>
      </c>
      <c r="R76" s="70">
        <f>IF($S76="","",IF($S76="Macro",ROW(),IFERROR(LOOKUP(2,1/($S$5:$S76="Macro"),ROW($S$5:$S76)),0)))</f>
        <v/>
      </c>
      <c r="S76" s="70">
        <f>IF(NOT((COUNTA($B76:$K76)+COUNTA($N76))&gt;0),"",IF($B76&lt;&gt;"","Macro",IF($C76&lt;&gt;"","Sub","Macro")))</f>
        <v/>
      </c>
      <c r="T76" s="70">
        <f>IF($S76="Macro",COUNTIFS($R$5:$R$1000,ROW(),$S$5:$S$1000,"Sub"),"")</f>
        <v/>
      </c>
      <c r="U76" s="70">
        <f>IF($S76="","",IF(ISNUMBER($H76),$H76,0))</f>
        <v/>
      </c>
      <c r="V76" s="70">
        <f>IF($S76="","",IF(ISNUMBER($I76),$I76,$U76))</f>
        <v/>
      </c>
      <c r="W76" s="70">
        <f>IF($S76="","",IF(ISNUMBER($J76),$J76,$V76))</f>
        <v/>
      </c>
      <c r="X76" s="70">
        <f>IF($S76="","",IF(ISNUMBER($K76),$K76,$W76))</f>
        <v/>
      </c>
      <c r="Y76" s="70">
        <f>IF($S76="","",IF(N($T76)&gt;0,AVERAGEIFS($U$5:$U$1000,$R$5:$R$1000,ROW(),$S$5:$S$1000,"Sub"),$U76))</f>
        <v/>
      </c>
      <c r="Z76" s="70">
        <f>IF($S76="","",IF(N($T76)&gt;0,AVERAGEIFS($V$5:$V$1000,$R$5:$R$1000,ROW(),$S$5:$S$1000,"Sub"),$V76))</f>
        <v/>
      </c>
      <c r="AA76" s="70">
        <f>IF($S76="","",IF(N($T76)&gt;0,AVERAGEIFS($W$5:$W$1000,$R$5:$R$1000,ROW(),$S$5:$S$1000,"Sub"),$W76))</f>
        <v/>
      </c>
      <c r="AB76" s="70">
        <f>IF($S76="","",IF(N($T76)&gt;0,AVERAGEIFS($X$5:$X$1000,$R$5:$R$1000,ROW(),$S$5:$S$1000,"Sub"),$X76))</f>
        <v/>
      </c>
    </row>
    <row r="77">
      <c r="A77" s="61">
        <f>IF(NOT((COUNTA($B77:$K77)+COUNTA($N77))&gt;0),"",IF($S77="Macro",COUNTIFS($S$5:$S77,"Macro",$P$5:$P77,$P77),IF(N($R77)=0,"?",COUNTIFS(INDEX($S$5:$S$1000,1):INDEX($S$5:$S$1000,$R77-4),"Macro",INDEX($P$5:$P$1000,1):INDEX($P$5:$P$1000,$R77-4),INDEX($P$5:$P$1000,$R77-4))&amp;"."&amp;COUNTIFS($R$5:$R77,$R77,$S$5:$S77,"Sub"))))</f>
        <v/>
      </c>
      <c r="B77" s="62" t="n"/>
      <c r="C77" s="63" t="n"/>
      <c r="D77" s="62" t="n"/>
      <c r="E77" s="64" t="n"/>
      <c r="F77" s="64" t="n"/>
      <c r="G77" s="65" t="n"/>
      <c r="H77" s="66" t="n"/>
      <c r="I77" s="66" t="n"/>
      <c r="J77" s="66" t="n"/>
      <c r="K77" s="66" t="n"/>
      <c r="L77" s="67">
        <f>IF(NOT((COUNTA($B77:$K77)+COUNTA($N77))&gt;0),"",IF(N($T77)&gt;0,$AB77,IFERROR(LOOKUP(2,1/(H77:K77&lt;&gt;""),H77:K77),0)))</f>
        <v/>
      </c>
      <c r="M77" s="61">
        <f>IF(L77="","",IF(L77&gt;=1,"Completado",IF(L77&gt;0,"En curso","Pendiente")))</f>
        <v/>
      </c>
      <c r="N77" s="62" t="n"/>
      <c r="O77" s="68">
        <f>IF(NOT((COUNTA($B77:$K77)+COUNTA($N77))&gt;0),"",IF((IF(AND($S77="Macro",$B77=""),"Macroactividad vacía"&amp;" · ","")&amp;IF(AND($B77&lt;&gt;"",$C77&lt;&gt;""),"Escriba la subactividad en otra fila, debajo de su macroactividad"&amp;" · ","")&amp;IF(AND($S77="Sub",N($R77)=0),"Subactividad sin macroactividad arriba"&amp;" · ","")&amp;IF($D77="","Sin responsable"&amp;" · ","")&amp;IF($E77="","Sin fecha de inicio"&amp;" · ","")&amp;IF($F77="","Sin fecha límite"&amp;" · ","")&amp;IF(OR(AND($E77&lt;&gt;"",NOT(ISNUMBER($E77))),AND($F77&lt;&gt;"",NOT(ISNUMBER($F77)))),"Fecha no válida"&amp;" · ","")&amp;IF(AND(ISNUMBER($E77),ISNUMBER($F77),$E77&gt;$F77),"Inicio posterior a fecha límite"&amp;" · ","")&amp;IF(AND($S77="Macro",$G77=""),"Peso vacío"&amp;" · ","")&amp;IF(AND($S77="Macro",$G77&lt;&gt;"",OR(NOT(ISNUMBER($G77)),$G77&lt;=0,$G77&gt;1)),"Peso fuera de rango"&amp;" · ","")&amp;IF(AND($S77="Sub",$G77&lt;&gt;""),"Las subactividades no llevan peso"&amp;" · ","")&amp;IF(AND($S77="Macro",ABS(SUMIFS($G$5:$G$1000,$P$5:$P$1000,$P77,$S$5:$S$1000,"Macro")-1)&gt;0.0001),"Pesos del mes suman "&amp;TEXT(SUMIFS($G$5:$G$1000,$P$5:$P$1000,$P77,$S$5:$S$1000,"Macro"),"0%")&amp;" · ","")&amp;IF(AND(N($T77)&gt;0,COUNT($H77:$K77)&gt;0),"Con subactividades: deje vacías las semanas (se calculan solas)"&amp;" · ","")&amp;IF((COUNTIF($H77:$K77,"&gt;1")+COUNTIF($H77:$K77,"&lt;0")+COUNTA($H77:$K77)-COUNT($H77:$K77))&gt;0,"Avance fuera de rango 0-100%"&amp;" · ","")&amp;IF(OR(AND($I77&lt;&gt;"",$I77&lt;$H77),AND($J77&lt;&gt;"",$J77&lt;MAX($H77:$I77)),AND($K77&lt;&gt;"",$K77&lt;MAX($H77:$J77))),"Avance semanal decreciente"&amp;" · ","")&amp;IF(AND(ISNUMBER($F77),$F77&lt;FechaRef,N($L77)&lt;1),"Vencida"&amp;" · ","")&amp;IF(AND(ObsObligatoria="Sí",ISNUMBER($F77),$F77&lt;FechaRef,N($L77)&lt;1,$N77=""),"Vencida sin observación"&amp;" · ",""))="","✔ OK","⚠ "&amp;LEFT(IF(AND($S77="Macro",$B77=""),"Macroactividad vacía"&amp;" · ","")&amp;IF(AND($B77&lt;&gt;"",$C77&lt;&gt;""),"Escriba la subactividad en otra fila, debajo de su macroactividad"&amp;" · ","")&amp;IF(AND($S77="Sub",N($R77)=0),"Subactividad sin macroactividad arriba"&amp;" · ","")&amp;IF($D77="","Sin responsable"&amp;" · ","")&amp;IF($E77="","Sin fecha de inicio"&amp;" · ","")&amp;IF($F77="","Sin fecha límite"&amp;" · ","")&amp;IF(OR(AND($E77&lt;&gt;"",NOT(ISNUMBER($E77))),AND($F77&lt;&gt;"",NOT(ISNUMBER($F77)))),"Fecha no válida"&amp;" · ","")&amp;IF(AND(ISNUMBER($E77),ISNUMBER($F77),$E77&gt;$F77),"Inicio posterior a fecha límite"&amp;" · ","")&amp;IF(AND($S77="Macro",$G77=""),"Peso vacío"&amp;" · ","")&amp;IF(AND($S77="Macro",$G77&lt;&gt;"",OR(NOT(ISNUMBER($G77)),$G77&lt;=0,$G77&gt;1)),"Peso fuera de rango"&amp;" · ","")&amp;IF(AND($S77="Sub",$G77&lt;&gt;""),"Las subactividades no llevan peso"&amp;" · ","")&amp;IF(AND($S77="Macro",ABS(SUMIFS($G$5:$G$1000,$P$5:$P$1000,$P77,$S$5:$S$1000,"Macro")-1)&gt;0.0001),"Pesos del mes suman "&amp;TEXT(SUMIFS($G$5:$G$1000,$P$5:$P$1000,$P77,$S$5:$S$1000,"Macro"),"0%")&amp;" · ","")&amp;IF(AND(N($T77)&gt;0,COUNT($H77:$K77)&gt;0),"Con subactividades: deje vacías las semanas (se calculan solas)"&amp;" · ","")&amp;IF((COUNTIF($H77:$K77,"&gt;1")+COUNTIF($H77:$K77,"&lt;0")+COUNTA($H77:$K77)-COUNT($H77:$K77))&gt;0,"Avance fuera de rango 0-100%"&amp;" · ","")&amp;IF(OR(AND($I77&lt;&gt;"",$I77&lt;$H77),AND($J77&lt;&gt;"",$J77&lt;MAX($H77:$I77)),AND($K77&lt;&gt;"",$K77&lt;MAX($H77:$J77))),"Avance semanal decreciente"&amp;" · ","")&amp;IF(AND(ISNUMBER($F77),$F77&lt;FechaRef,N($L77)&lt;1),"Vencida"&amp;" · ","")&amp;IF(AND(ObsObligatoria="Sí",ISNUMBER($F77),$F77&lt;FechaRef,N($L77)&lt;1,$N77=""),"Vencida sin observación"&amp;" · ",""),LEN(IF(AND($S77="Macro",$B77=""),"Macroactividad vacía"&amp;" · ","")&amp;IF(AND($B77&lt;&gt;"",$C77&lt;&gt;""),"Escriba la subactividad en otra fila, debajo de su macroactividad"&amp;" · ","")&amp;IF(AND($S77="Sub",N($R77)=0),"Subactividad sin macroactividad arriba"&amp;" · ","")&amp;IF($D77="","Sin responsable"&amp;" · ","")&amp;IF($E77="","Sin fecha de inicio"&amp;" · ","")&amp;IF($F77="","Sin fecha límite"&amp;" · ","")&amp;IF(OR(AND($E77&lt;&gt;"",NOT(ISNUMBER($E77))),AND($F77&lt;&gt;"",NOT(ISNUMBER($F77)))),"Fecha no válida"&amp;" · ","")&amp;IF(AND(ISNUMBER($E77),ISNUMBER($F77),$E77&gt;$F77),"Inicio posterior a fecha límite"&amp;" · ","")&amp;IF(AND($S77="Macro",$G77=""),"Peso vacío"&amp;" · ","")&amp;IF(AND($S77="Macro",$G77&lt;&gt;"",OR(NOT(ISNUMBER($G77)),$G77&lt;=0,$G77&gt;1)),"Peso fuera de rango"&amp;" · ","")&amp;IF(AND($S77="Sub",$G77&lt;&gt;""),"Las subactividades no llevan peso"&amp;" · ","")&amp;IF(AND($S77="Macro",ABS(SUMIFS($G$5:$G$1000,$P$5:$P$1000,$P77,$S$5:$S$1000,"Macro")-1)&gt;0.0001),"Pesos del mes suman "&amp;TEXT(SUMIFS($G$5:$G$1000,$P$5:$P$1000,$P77,$S$5:$S$1000,"Macro"),"0%")&amp;" · ","")&amp;IF(AND(N($T77)&gt;0,COUNT($H77:$K77)&gt;0),"Con subactividades: deje vacías las semanas (se calculan solas)"&amp;" · ","")&amp;IF((COUNTIF($H77:$K77,"&gt;1")+COUNTIF($H77:$K77,"&lt;0")+COUNTA($H77:$K77)-COUNT($H77:$K77))&gt;0,"Avance fuera de rango 0-100%"&amp;" · ","")&amp;IF(OR(AND($I77&lt;&gt;"",$I77&lt;$H77),AND($J77&lt;&gt;"",$J77&lt;MAX($H77:$I77)),AND($K77&lt;&gt;"",$K77&lt;MAX($H77:$J77))),"Avance semanal decreciente"&amp;" · ","")&amp;IF(AND(ISNUMBER($F77),$F77&lt;FechaRef,N($L77)&lt;1),"Vencida"&amp;" · ","")&amp;IF(AND(ObsObligatoria="Sí",ISNUMBER($F77),$F77&lt;FechaRef,N($L77)&lt;1,$N77=""),"Vencida sin observación"&amp;" · ",""))-3)))</f>
        <v/>
      </c>
      <c r="P77" s="69">
        <f>IF(NOT((COUNTA($B77:$K77)+COUNTA($N77))&gt;0),"",IF(AND($S77="Sub",N($R77)&gt;0),IF(ISNUMBER(INDEX($E$5:$E$1000,$R77-4)),DATE(YEAR(INDEX($E$5:$E$1000,$R77-4)),MONTH(INDEX($E$5:$E$1000,$R77-4)),1),IF(ISNUMBER(INDEX($F$5:$F$1000,$R77-4)),DATE(YEAR(INDEX($F$5:$F$1000,$R77-4)),MONTH(INDEX($F$5:$F$1000,$R77-4)),1),MesCiclo)),IF(ISNUMBER($E77),DATE(YEAR($E77),MONTH($E77),1),IF(ISNUMBER($F77),DATE(YEAR($F77),MONTH($F77),1),MesCiclo))))</f>
        <v/>
      </c>
      <c r="Q77" s="70">
        <f>IF(OR($P77="",$P77&lt;&gt;MesCiclo),"",COUNTIF($P$5:$P77,MesCiclo))</f>
        <v/>
      </c>
      <c r="R77" s="70">
        <f>IF($S77="","",IF($S77="Macro",ROW(),IFERROR(LOOKUP(2,1/($S$5:$S77="Macro"),ROW($S$5:$S77)),0)))</f>
        <v/>
      </c>
      <c r="S77" s="70">
        <f>IF(NOT((COUNTA($B77:$K77)+COUNTA($N77))&gt;0),"",IF($B77&lt;&gt;"","Macro",IF($C77&lt;&gt;"","Sub","Macro")))</f>
        <v/>
      </c>
      <c r="T77" s="70">
        <f>IF($S77="Macro",COUNTIFS($R$5:$R$1000,ROW(),$S$5:$S$1000,"Sub"),"")</f>
        <v/>
      </c>
      <c r="U77" s="70">
        <f>IF($S77="","",IF(ISNUMBER($H77),$H77,0))</f>
        <v/>
      </c>
      <c r="V77" s="70">
        <f>IF($S77="","",IF(ISNUMBER($I77),$I77,$U77))</f>
        <v/>
      </c>
      <c r="W77" s="70">
        <f>IF($S77="","",IF(ISNUMBER($J77),$J77,$V77))</f>
        <v/>
      </c>
      <c r="X77" s="70">
        <f>IF($S77="","",IF(ISNUMBER($K77),$K77,$W77))</f>
        <v/>
      </c>
      <c r="Y77" s="70">
        <f>IF($S77="","",IF(N($T77)&gt;0,AVERAGEIFS($U$5:$U$1000,$R$5:$R$1000,ROW(),$S$5:$S$1000,"Sub"),$U77))</f>
        <v/>
      </c>
      <c r="Z77" s="70">
        <f>IF($S77="","",IF(N($T77)&gt;0,AVERAGEIFS($V$5:$V$1000,$R$5:$R$1000,ROW(),$S$5:$S$1000,"Sub"),$V77))</f>
        <v/>
      </c>
      <c r="AA77" s="70">
        <f>IF($S77="","",IF(N($T77)&gt;0,AVERAGEIFS($W$5:$W$1000,$R$5:$R$1000,ROW(),$S$5:$S$1000,"Sub"),$W77))</f>
        <v/>
      </c>
      <c r="AB77" s="70">
        <f>IF($S77="","",IF(N($T77)&gt;0,AVERAGEIFS($X$5:$X$1000,$R$5:$R$1000,ROW(),$S$5:$S$1000,"Sub"),$X77))</f>
        <v/>
      </c>
    </row>
    <row r="78">
      <c r="A78" s="61">
        <f>IF(NOT((COUNTA($B78:$K78)+COUNTA($N78))&gt;0),"",IF($S78="Macro",COUNTIFS($S$5:$S78,"Macro",$P$5:$P78,$P78),IF(N($R78)=0,"?",COUNTIFS(INDEX($S$5:$S$1000,1):INDEX($S$5:$S$1000,$R78-4),"Macro",INDEX($P$5:$P$1000,1):INDEX($P$5:$P$1000,$R78-4),INDEX($P$5:$P$1000,$R78-4))&amp;"."&amp;COUNTIFS($R$5:$R78,$R78,$S$5:$S78,"Sub"))))</f>
        <v/>
      </c>
      <c r="B78" s="62" t="n"/>
      <c r="C78" s="63" t="n"/>
      <c r="D78" s="62" t="n"/>
      <c r="E78" s="64" t="n"/>
      <c r="F78" s="64" t="n"/>
      <c r="G78" s="65" t="n"/>
      <c r="H78" s="66" t="n"/>
      <c r="I78" s="66" t="n"/>
      <c r="J78" s="66" t="n"/>
      <c r="K78" s="66" t="n"/>
      <c r="L78" s="67">
        <f>IF(NOT((COUNTA($B78:$K78)+COUNTA($N78))&gt;0),"",IF(N($T78)&gt;0,$AB78,IFERROR(LOOKUP(2,1/(H78:K78&lt;&gt;""),H78:K78),0)))</f>
        <v/>
      </c>
      <c r="M78" s="61">
        <f>IF(L78="","",IF(L78&gt;=1,"Completado",IF(L78&gt;0,"En curso","Pendiente")))</f>
        <v/>
      </c>
      <c r="N78" s="62" t="n"/>
      <c r="O78" s="68">
        <f>IF(NOT((COUNTA($B78:$K78)+COUNTA($N78))&gt;0),"",IF((IF(AND($S78="Macro",$B78=""),"Macroactividad vacía"&amp;" · ","")&amp;IF(AND($B78&lt;&gt;"",$C78&lt;&gt;""),"Escriba la subactividad en otra fila, debajo de su macroactividad"&amp;" · ","")&amp;IF(AND($S78="Sub",N($R78)=0),"Subactividad sin macroactividad arriba"&amp;" · ","")&amp;IF($D78="","Sin responsable"&amp;" · ","")&amp;IF($E78="","Sin fecha de inicio"&amp;" · ","")&amp;IF($F78="","Sin fecha límite"&amp;" · ","")&amp;IF(OR(AND($E78&lt;&gt;"",NOT(ISNUMBER($E78))),AND($F78&lt;&gt;"",NOT(ISNUMBER($F78)))),"Fecha no válida"&amp;" · ","")&amp;IF(AND(ISNUMBER($E78),ISNUMBER($F78),$E78&gt;$F78),"Inicio posterior a fecha límite"&amp;" · ","")&amp;IF(AND($S78="Macro",$G78=""),"Peso vacío"&amp;" · ","")&amp;IF(AND($S78="Macro",$G78&lt;&gt;"",OR(NOT(ISNUMBER($G78)),$G78&lt;=0,$G78&gt;1)),"Peso fuera de rango"&amp;" · ","")&amp;IF(AND($S78="Sub",$G78&lt;&gt;""),"Las subactividades no llevan peso"&amp;" · ","")&amp;IF(AND($S78="Macro",ABS(SUMIFS($G$5:$G$1000,$P$5:$P$1000,$P78,$S$5:$S$1000,"Macro")-1)&gt;0.0001),"Pesos del mes suman "&amp;TEXT(SUMIFS($G$5:$G$1000,$P$5:$P$1000,$P78,$S$5:$S$1000,"Macro"),"0%")&amp;" · ","")&amp;IF(AND(N($T78)&gt;0,COUNT($H78:$K78)&gt;0),"Con subactividades: deje vacías las semanas (se calculan solas)"&amp;" · ","")&amp;IF((COUNTIF($H78:$K78,"&gt;1")+COUNTIF($H78:$K78,"&lt;0")+COUNTA($H78:$K78)-COUNT($H78:$K78))&gt;0,"Avance fuera de rango 0-100%"&amp;" · ","")&amp;IF(OR(AND($I78&lt;&gt;"",$I78&lt;$H78),AND($J78&lt;&gt;"",$J78&lt;MAX($H78:$I78)),AND($K78&lt;&gt;"",$K78&lt;MAX($H78:$J78))),"Avance semanal decreciente"&amp;" · ","")&amp;IF(AND(ISNUMBER($F78),$F78&lt;FechaRef,N($L78)&lt;1),"Vencida"&amp;" · ","")&amp;IF(AND(ObsObligatoria="Sí",ISNUMBER($F78),$F78&lt;FechaRef,N($L78)&lt;1,$N78=""),"Vencida sin observación"&amp;" · ",""))="","✔ OK","⚠ "&amp;LEFT(IF(AND($S78="Macro",$B78=""),"Macroactividad vacía"&amp;" · ","")&amp;IF(AND($B78&lt;&gt;"",$C78&lt;&gt;""),"Escriba la subactividad en otra fila, debajo de su macroactividad"&amp;" · ","")&amp;IF(AND($S78="Sub",N($R78)=0),"Subactividad sin macroactividad arriba"&amp;" · ","")&amp;IF($D78="","Sin responsable"&amp;" · ","")&amp;IF($E78="","Sin fecha de inicio"&amp;" · ","")&amp;IF($F78="","Sin fecha límite"&amp;" · ","")&amp;IF(OR(AND($E78&lt;&gt;"",NOT(ISNUMBER($E78))),AND($F78&lt;&gt;"",NOT(ISNUMBER($F78)))),"Fecha no válida"&amp;" · ","")&amp;IF(AND(ISNUMBER($E78),ISNUMBER($F78),$E78&gt;$F78),"Inicio posterior a fecha límite"&amp;" · ","")&amp;IF(AND($S78="Macro",$G78=""),"Peso vacío"&amp;" · ","")&amp;IF(AND($S78="Macro",$G78&lt;&gt;"",OR(NOT(ISNUMBER($G78)),$G78&lt;=0,$G78&gt;1)),"Peso fuera de rango"&amp;" · ","")&amp;IF(AND($S78="Sub",$G78&lt;&gt;""),"Las subactividades no llevan peso"&amp;" · ","")&amp;IF(AND($S78="Macro",ABS(SUMIFS($G$5:$G$1000,$P$5:$P$1000,$P78,$S$5:$S$1000,"Macro")-1)&gt;0.0001),"Pesos del mes suman "&amp;TEXT(SUMIFS($G$5:$G$1000,$P$5:$P$1000,$P78,$S$5:$S$1000,"Macro"),"0%")&amp;" · ","")&amp;IF(AND(N($T78)&gt;0,COUNT($H78:$K78)&gt;0),"Con subactividades: deje vacías las semanas (se calculan solas)"&amp;" · ","")&amp;IF((COUNTIF($H78:$K78,"&gt;1")+COUNTIF($H78:$K78,"&lt;0")+COUNTA($H78:$K78)-COUNT($H78:$K78))&gt;0,"Avance fuera de rango 0-100%"&amp;" · ","")&amp;IF(OR(AND($I78&lt;&gt;"",$I78&lt;$H78),AND($J78&lt;&gt;"",$J78&lt;MAX($H78:$I78)),AND($K78&lt;&gt;"",$K78&lt;MAX($H78:$J78))),"Avance semanal decreciente"&amp;" · ","")&amp;IF(AND(ISNUMBER($F78),$F78&lt;FechaRef,N($L78)&lt;1),"Vencida"&amp;" · ","")&amp;IF(AND(ObsObligatoria="Sí",ISNUMBER($F78),$F78&lt;FechaRef,N($L78)&lt;1,$N78=""),"Vencida sin observación"&amp;" · ",""),LEN(IF(AND($S78="Macro",$B78=""),"Macroactividad vacía"&amp;" · ","")&amp;IF(AND($B78&lt;&gt;"",$C78&lt;&gt;""),"Escriba la subactividad en otra fila, debajo de su macroactividad"&amp;" · ","")&amp;IF(AND($S78="Sub",N($R78)=0),"Subactividad sin macroactividad arriba"&amp;" · ","")&amp;IF($D78="","Sin responsable"&amp;" · ","")&amp;IF($E78="","Sin fecha de inicio"&amp;" · ","")&amp;IF($F78="","Sin fecha límite"&amp;" · ","")&amp;IF(OR(AND($E78&lt;&gt;"",NOT(ISNUMBER($E78))),AND($F78&lt;&gt;"",NOT(ISNUMBER($F78)))),"Fecha no válida"&amp;" · ","")&amp;IF(AND(ISNUMBER($E78),ISNUMBER($F78),$E78&gt;$F78),"Inicio posterior a fecha límite"&amp;" · ","")&amp;IF(AND($S78="Macro",$G78=""),"Peso vacío"&amp;" · ","")&amp;IF(AND($S78="Macro",$G78&lt;&gt;"",OR(NOT(ISNUMBER($G78)),$G78&lt;=0,$G78&gt;1)),"Peso fuera de rango"&amp;" · ","")&amp;IF(AND($S78="Sub",$G78&lt;&gt;""),"Las subactividades no llevan peso"&amp;" · ","")&amp;IF(AND($S78="Macro",ABS(SUMIFS($G$5:$G$1000,$P$5:$P$1000,$P78,$S$5:$S$1000,"Macro")-1)&gt;0.0001),"Pesos del mes suman "&amp;TEXT(SUMIFS($G$5:$G$1000,$P$5:$P$1000,$P78,$S$5:$S$1000,"Macro"),"0%")&amp;" · ","")&amp;IF(AND(N($T78)&gt;0,COUNT($H78:$K78)&gt;0),"Con subactividades: deje vacías las semanas (se calculan solas)"&amp;" · ","")&amp;IF((COUNTIF($H78:$K78,"&gt;1")+COUNTIF($H78:$K78,"&lt;0")+COUNTA($H78:$K78)-COUNT($H78:$K78))&gt;0,"Avance fuera de rango 0-100%"&amp;" · ","")&amp;IF(OR(AND($I78&lt;&gt;"",$I78&lt;$H78),AND($J78&lt;&gt;"",$J78&lt;MAX($H78:$I78)),AND($K78&lt;&gt;"",$K78&lt;MAX($H78:$J78))),"Avance semanal decreciente"&amp;" · ","")&amp;IF(AND(ISNUMBER($F78),$F78&lt;FechaRef,N($L78)&lt;1),"Vencida"&amp;" · ","")&amp;IF(AND(ObsObligatoria="Sí",ISNUMBER($F78),$F78&lt;FechaRef,N($L78)&lt;1,$N78=""),"Vencida sin observación"&amp;" · ",""))-3)))</f>
        <v/>
      </c>
      <c r="P78" s="69">
        <f>IF(NOT((COUNTA($B78:$K78)+COUNTA($N78))&gt;0),"",IF(AND($S78="Sub",N($R78)&gt;0),IF(ISNUMBER(INDEX($E$5:$E$1000,$R78-4)),DATE(YEAR(INDEX($E$5:$E$1000,$R78-4)),MONTH(INDEX($E$5:$E$1000,$R78-4)),1),IF(ISNUMBER(INDEX($F$5:$F$1000,$R78-4)),DATE(YEAR(INDEX($F$5:$F$1000,$R78-4)),MONTH(INDEX($F$5:$F$1000,$R78-4)),1),MesCiclo)),IF(ISNUMBER($E78),DATE(YEAR($E78),MONTH($E78),1),IF(ISNUMBER($F78),DATE(YEAR($F78),MONTH($F78),1),MesCiclo))))</f>
        <v/>
      </c>
      <c r="Q78" s="70">
        <f>IF(OR($P78="",$P78&lt;&gt;MesCiclo),"",COUNTIF($P$5:$P78,MesCiclo))</f>
        <v/>
      </c>
      <c r="R78" s="70">
        <f>IF($S78="","",IF($S78="Macro",ROW(),IFERROR(LOOKUP(2,1/($S$5:$S78="Macro"),ROW($S$5:$S78)),0)))</f>
        <v/>
      </c>
      <c r="S78" s="70">
        <f>IF(NOT((COUNTA($B78:$K78)+COUNTA($N78))&gt;0),"",IF($B78&lt;&gt;"","Macro",IF($C78&lt;&gt;"","Sub","Macro")))</f>
        <v/>
      </c>
      <c r="T78" s="70">
        <f>IF($S78="Macro",COUNTIFS($R$5:$R$1000,ROW(),$S$5:$S$1000,"Sub"),"")</f>
        <v/>
      </c>
      <c r="U78" s="70">
        <f>IF($S78="","",IF(ISNUMBER($H78),$H78,0))</f>
        <v/>
      </c>
      <c r="V78" s="70">
        <f>IF($S78="","",IF(ISNUMBER($I78),$I78,$U78))</f>
        <v/>
      </c>
      <c r="W78" s="70">
        <f>IF($S78="","",IF(ISNUMBER($J78),$J78,$V78))</f>
        <v/>
      </c>
      <c r="X78" s="70">
        <f>IF($S78="","",IF(ISNUMBER($K78),$K78,$W78))</f>
        <v/>
      </c>
      <c r="Y78" s="70">
        <f>IF($S78="","",IF(N($T78)&gt;0,AVERAGEIFS($U$5:$U$1000,$R$5:$R$1000,ROW(),$S$5:$S$1000,"Sub"),$U78))</f>
        <v/>
      </c>
      <c r="Z78" s="70">
        <f>IF($S78="","",IF(N($T78)&gt;0,AVERAGEIFS($V$5:$V$1000,$R$5:$R$1000,ROW(),$S$5:$S$1000,"Sub"),$V78))</f>
        <v/>
      </c>
      <c r="AA78" s="70">
        <f>IF($S78="","",IF(N($T78)&gt;0,AVERAGEIFS($W$5:$W$1000,$R$5:$R$1000,ROW(),$S$5:$S$1000,"Sub"),$W78))</f>
        <v/>
      </c>
      <c r="AB78" s="70">
        <f>IF($S78="","",IF(N($T78)&gt;0,AVERAGEIFS($X$5:$X$1000,$R$5:$R$1000,ROW(),$S$5:$S$1000,"Sub"),$X78))</f>
        <v/>
      </c>
    </row>
    <row r="79">
      <c r="A79" s="61">
        <f>IF(NOT((COUNTA($B79:$K79)+COUNTA($N79))&gt;0),"",IF($S79="Macro",COUNTIFS($S$5:$S79,"Macro",$P$5:$P79,$P79),IF(N($R79)=0,"?",COUNTIFS(INDEX($S$5:$S$1000,1):INDEX($S$5:$S$1000,$R79-4),"Macro",INDEX($P$5:$P$1000,1):INDEX($P$5:$P$1000,$R79-4),INDEX($P$5:$P$1000,$R79-4))&amp;"."&amp;COUNTIFS($R$5:$R79,$R79,$S$5:$S79,"Sub"))))</f>
        <v/>
      </c>
      <c r="B79" s="62" t="n"/>
      <c r="C79" s="63" t="n"/>
      <c r="D79" s="62" t="n"/>
      <c r="E79" s="64" t="n"/>
      <c r="F79" s="64" t="n"/>
      <c r="G79" s="65" t="n"/>
      <c r="H79" s="66" t="n"/>
      <c r="I79" s="66" t="n"/>
      <c r="J79" s="66" t="n"/>
      <c r="K79" s="66" t="n"/>
      <c r="L79" s="67">
        <f>IF(NOT((COUNTA($B79:$K79)+COUNTA($N79))&gt;0),"",IF(N($T79)&gt;0,$AB79,IFERROR(LOOKUP(2,1/(H79:K79&lt;&gt;""),H79:K79),0)))</f>
        <v/>
      </c>
      <c r="M79" s="61">
        <f>IF(L79="","",IF(L79&gt;=1,"Completado",IF(L79&gt;0,"En curso","Pendiente")))</f>
        <v/>
      </c>
      <c r="N79" s="62" t="n"/>
      <c r="O79" s="68">
        <f>IF(NOT((COUNTA($B79:$K79)+COUNTA($N79))&gt;0),"",IF((IF(AND($S79="Macro",$B79=""),"Macroactividad vacía"&amp;" · ","")&amp;IF(AND($B79&lt;&gt;"",$C79&lt;&gt;""),"Escriba la subactividad en otra fila, debajo de su macroactividad"&amp;" · ","")&amp;IF(AND($S79="Sub",N($R79)=0),"Subactividad sin macroactividad arriba"&amp;" · ","")&amp;IF($D79="","Sin responsable"&amp;" · ","")&amp;IF($E79="","Sin fecha de inicio"&amp;" · ","")&amp;IF($F79="","Sin fecha límite"&amp;" · ","")&amp;IF(OR(AND($E79&lt;&gt;"",NOT(ISNUMBER($E79))),AND($F79&lt;&gt;"",NOT(ISNUMBER($F79)))),"Fecha no válida"&amp;" · ","")&amp;IF(AND(ISNUMBER($E79),ISNUMBER($F79),$E79&gt;$F79),"Inicio posterior a fecha límite"&amp;" · ","")&amp;IF(AND($S79="Macro",$G79=""),"Peso vacío"&amp;" · ","")&amp;IF(AND($S79="Macro",$G79&lt;&gt;"",OR(NOT(ISNUMBER($G79)),$G79&lt;=0,$G79&gt;1)),"Peso fuera de rango"&amp;" · ","")&amp;IF(AND($S79="Sub",$G79&lt;&gt;""),"Las subactividades no llevan peso"&amp;" · ","")&amp;IF(AND($S79="Macro",ABS(SUMIFS($G$5:$G$1000,$P$5:$P$1000,$P79,$S$5:$S$1000,"Macro")-1)&gt;0.0001),"Pesos del mes suman "&amp;TEXT(SUMIFS($G$5:$G$1000,$P$5:$P$1000,$P79,$S$5:$S$1000,"Macro"),"0%")&amp;" · ","")&amp;IF(AND(N($T79)&gt;0,COUNT($H79:$K79)&gt;0),"Con subactividades: deje vacías las semanas (se calculan solas)"&amp;" · ","")&amp;IF((COUNTIF($H79:$K79,"&gt;1")+COUNTIF($H79:$K79,"&lt;0")+COUNTA($H79:$K79)-COUNT($H79:$K79))&gt;0,"Avance fuera de rango 0-100%"&amp;" · ","")&amp;IF(OR(AND($I79&lt;&gt;"",$I79&lt;$H79),AND($J79&lt;&gt;"",$J79&lt;MAX($H79:$I79)),AND($K79&lt;&gt;"",$K79&lt;MAX($H79:$J79))),"Avance semanal decreciente"&amp;" · ","")&amp;IF(AND(ISNUMBER($F79),$F79&lt;FechaRef,N($L79)&lt;1),"Vencida"&amp;" · ","")&amp;IF(AND(ObsObligatoria="Sí",ISNUMBER($F79),$F79&lt;FechaRef,N($L79)&lt;1,$N79=""),"Vencida sin observación"&amp;" · ",""))="","✔ OK","⚠ "&amp;LEFT(IF(AND($S79="Macro",$B79=""),"Macroactividad vacía"&amp;" · ","")&amp;IF(AND($B79&lt;&gt;"",$C79&lt;&gt;""),"Escriba la subactividad en otra fila, debajo de su macroactividad"&amp;" · ","")&amp;IF(AND($S79="Sub",N($R79)=0),"Subactividad sin macroactividad arriba"&amp;" · ","")&amp;IF($D79="","Sin responsable"&amp;" · ","")&amp;IF($E79="","Sin fecha de inicio"&amp;" · ","")&amp;IF($F79="","Sin fecha límite"&amp;" · ","")&amp;IF(OR(AND($E79&lt;&gt;"",NOT(ISNUMBER($E79))),AND($F79&lt;&gt;"",NOT(ISNUMBER($F79)))),"Fecha no válida"&amp;" · ","")&amp;IF(AND(ISNUMBER($E79),ISNUMBER($F79),$E79&gt;$F79),"Inicio posterior a fecha límite"&amp;" · ","")&amp;IF(AND($S79="Macro",$G79=""),"Peso vacío"&amp;" · ","")&amp;IF(AND($S79="Macro",$G79&lt;&gt;"",OR(NOT(ISNUMBER($G79)),$G79&lt;=0,$G79&gt;1)),"Peso fuera de rango"&amp;" · ","")&amp;IF(AND($S79="Sub",$G79&lt;&gt;""),"Las subactividades no llevan peso"&amp;" · ","")&amp;IF(AND($S79="Macro",ABS(SUMIFS($G$5:$G$1000,$P$5:$P$1000,$P79,$S$5:$S$1000,"Macro")-1)&gt;0.0001),"Pesos del mes suman "&amp;TEXT(SUMIFS($G$5:$G$1000,$P$5:$P$1000,$P79,$S$5:$S$1000,"Macro"),"0%")&amp;" · ","")&amp;IF(AND(N($T79)&gt;0,COUNT($H79:$K79)&gt;0),"Con subactividades: deje vacías las semanas (se calculan solas)"&amp;" · ","")&amp;IF((COUNTIF($H79:$K79,"&gt;1")+COUNTIF($H79:$K79,"&lt;0")+COUNTA($H79:$K79)-COUNT($H79:$K79))&gt;0,"Avance fuera de rango 0-100%"&amp;" · ","")&amp;IF(OR(AND($I79&lt;&gt;"",$I79&lt;$H79),AND($J79&lt;&gt;"",$J79&lt;MAX($H79:$I79)),AND($K79&lt;&gt;"",$K79&lt;MAX($H79:$J79))),"Avance semanal decreciente"&amp;" · ","")&amp;IF(AND(ISNUMBER($F79),$F79&lt;FechaRef,N($L79)&lt;1),"Vencida"&amp;" · ","")&amp;IF(AND(ObsObligatoria="Sí",ISNUMBER($F79),$F79&lt;FechaRef,N($L79)&lt;1,$N79=""),"Vencida sin observación"&amp;" · ",""),LEN(IF(AND($S79="Macro",$B79=""),"Macroactividad vacía"&amp;" · ","")&amp;IF(AND($B79&lt;&gt;"",$C79&lt;&gt;""),"Escriba la subactividad en otra fila, debajo de su macroactividad"&amp;" · ","")&amp;IF(AND($S79="Sub",N($R79)=0),"Subactividad sin macroactividad arriba"&amp;" · ","")&amp;IF($D79="","Sin responsable"&amp;" · ","")&amp;IF($E79="","Sin fecha de inicio"&amp;" · ","")&amp;IF($F79="","Sin fecha límite"&amp;" · ","")&amp;IF(OR(AND($E79&lt;&gt;"",NOT(ISNUMBER($E79))),AND($F79&lt;&gt;"",NOT(ISNUMBER($F79)))),"Fecha no válida"&amp;" · ","")&amp;IF(AND(ISNUMBER($E79),ISNUMBER($F79),$E79&gt;$F79),"Inicio posterior a fecha límite"&amp;" · ","")&amp;IF(AND($S79="Macro",$G79=""),"Peso vacío"&amp;" · ","")&amp;IF(AND($S79="Macro",$G79&lt;&gt;"",OR(NOT(ISNUMBER($G79)),$G79&lt;=0,$G79&gt;1)),"Peso fuera de rango"&amp;" · ","")&amp;IF(AND($S79="Sub",$G79&lt;&gt;""),"Las subactividades no llevan peso"&amp;" · ","")&amp;IF(AND($S79="Macro",ABS(SUMIFS($G$5:$G$1000,$P$5:$P$1000,$P79,$S$5:$S$1000,"Macro")-1)&gt;0.0001),"Pesos del mes suman "&amp;TEXT(SUMIFS($G$5:$G$1000,$P$5:$P$1000,$P79,$S$5:$S$1000,"Macro"),"0%")&amp;" · ","")&amp;IF(AND(N($T79)&gt;0,COUNT($H79:$K79)&gt;0),"Con subactividades: deje vacías las semanas (se calculan solas)"&amp;" · ","")&amp;IF((COUNTIF($H79:$K79,"&gt;1")+COUNTIF($H79:$K79,"&lt;0")+COUNTA($H79:$K79)-COUNT($H79:$K79))&gt;0,"Avance fuera de rango 0-100%"&amp;" · ","")&amp;IF(OR(AND($I79&lt;&gt;"",$I79&lt;$H79),AND($J79&lt;&gt;"",$J79&lt;MAX($H79:$I79)),AND($K79&lt;&gt;"",$K79&lt;MAX($H79:$J79))),"Avance semanal decreciente"&amp;" · ","")&amp;IF(AND(ISNUMBER($F79),$F79&lt;FechaRef,N($L79)&lt;1),"Vencida"&amp;" · ","")&amp;IF(AND(ObsObligatoria="Sí",ISNUMBER($F79),$F79&lt;FechaRef,N($L79)&lt;1,$N79=""),"Vencida sin observación"&amp;" · ",""))-3)))</f>
        <v/>
      </c>
      <c r="P79" s="69">
        <f>IF(NOT((COUNTA($B79:$K79)+COUNTA($N79))&gt;0),"",IF(AND($S79="Sub",N($R79)&gt;0),IF(ISNUMBER(INDEX($E$5:$E$1000,$R79-4)),DATE(YEAR(INDEX($E$5:$E$1000,$R79-4)),MONTH(INDEX($E$5:$E$1000,$R79-4)),1),IF(ISNUMBER(INDEX($F$5:$F$1000,$R79-4)),DATE(YEAR(INDEX($F$5:$F$1000,$R79-4)),MONTH(INDEX($F$5:$F$1000,$R79-4)),1),MesCiclo)),IF(ISNUMBER($E79),DATE(YEAR($E79),MONTH($E79),1),IF(ISNUMBER($F79),DATE(YEAR($F79),MONTH($F79),1),MesCiclo))))</f>
        <v/>
      </c>
      <c r="Q79" s="70">
        <f>IF(OR($P79="",$P79&lt;&gt;MesCiclo),"",COUNTIF($P$5:$P79,MesCiclo))</f>
        <v/>
      </c>
      <c r="R79" s="70">
        <f>IF($S79="","",IF($S79="Macro",ROW(),IFERROR(LOOKUP(2,1/($S$5:$S79="Macro"),ROW($S$5:$S79)),0)))</f>
        <v/>
      </c>
      <c r="S79" s="70">
        <f>IF(NOT((COUNTA($B79:$K79)+COUNTA($N79))&gt;0),"",IF($B79&lt;&gt;"","Macro",IF($C79&lt;&gt;"","Sub","Macro")))</f>
        <v/>
      </c>
      <c r="T79" s="70">
        <f>IF($S79="Macro",COUNTIFS($R$5:$R$1000,ROW(),$S$5:$S$1000,"Sub"),"")</f>
        <v/>
      </c>
      <c r="U79" s="70">
        <f>IF($S79="","",IF(ISNUMBER($H79),$H79,0))</f>
        <v/>
      </c>
      <c r="V79" s="70">
        <f>IF($S79="","",IF(ISNUMBER($I79),$I79,$U79))</f>
        <v/>
      </c>
      <c r="W79" s="70">
        <f>IF($S79="","",IF(ISNUMBER($J79),$J79,$V79))</f>
        <v/>
      </c>
      <c r="X79" s="70">
        <f>IF($S79="","",IF(ISNUMBER($K79),$K79,$W79))</f>
        <v/>
      </c>
      <c r="Y79" s="70">
        <f>IF($S79="","",IF(N($T79)&gt;0,AVERAGEIFS($U$5:$U$1000,$R$5:$R$1000,ROW(),$S$5:$S$1000,"Sub"),$U79))</f>
        <v/>
      </c>
      <c r="Z79" s="70">
        <f>IF($S79="","",IF(N($T79)&gt;0,AVERAGEIFS($V$5:$V$1000,$R$5:$R$1000,ROW(),$S$5:$S$1000,"Sub"),$V79))</f>
        <v/>
      </c>
      <c r="AA79" s="70">
        <f>IF($S79="","",IF(N($T79)&gt;0,AVERAGEIFS($W$5:$W$1000,$R$5:$R$1000,ROW(),$S$5:$S$1000,"Sub"),$W79))</f>
        <v/>
      </c>
      <c r="AB79" s="70">
        <f>IF($S79="","",IF(N($T79)&gt;0,AVERAGEIFS($X$5:$X$1000,$R$5:$R$1000,ROW(),$S$5:$S$1000,"Sub"),$X79))</f>
        <v/>
      </c>
    </row>
    <row r="80">
      <c r="A80" s="61">
        <f>IF(NOT((COUNTA($B80:$K80)+COUNTA($N80))&gt;0),"",IF($S80="Macro",COUNTIFS($S$5:$S80,"Macro",$P$5:$P80,$P80),IF(N($R80)=0,"?",COUNTIFS(INDEX($S$5:$S$1000,1):INDEX($S$5:$S$1000,$R80-4),"Macro",INDEX($P$5:$P$1000,1):INDEX($P$5:$P$1000,$R80-4),INDEX($P$5:$P$1000,$R80-4))&amp;"."&amp;COUNTIFS($R$5:$R80,$R80,$S$5:$S80,"Sub"))))</f>
        <v/>
      </c>
      <c r="B80" s="62" t="n"/>
      <c r="C80" s="63" t="n"/>
      <c r="D80" s="62" t="n"/>
      <c r="E80" s="64" t="n"/>
      <c r="F80" s="64" t="n"/>
      <c r="G80" s="65" t="n"/>
      <c r="H80" s="66" t="n"/>
      <c r="I80" s="66" t="n"/>
      <c r="J80" s="66" t="n"/>
      <c r="K80" s="66" t="n"/>
      <c r="L80" s="67">
        <f>IF(NOT((COUNTA($B80:$K80)+COUNTA($N80))&gt;0),"",IF(N($T80)&gt;0,$AB80,IFERROR(LOOKUP(2,1/(H80:K80&lt;&gt;""),H80:K80),0)))</f>
        <v/>
      </c>
      <c r="M80" s="61">
        <f>IF(L80="","",IF(L80&gt;=1,"Completado",IF(L80&gt;0,"En curso","Pendiente")))</f>
        <v/>
      </c>
      <c r="N80" s="62" t="n"/>
      <c r="O80" s="68">
        <f>IF(NOT((COUNTA($B80:$K80)+COUNTA($N80))&gt;0),"",IF((IF(AND($S80="Macro",$B80=""),"Macroactividad vacía"&amp;" · ","")&amp;IF(AND($B80&lt;&gt;"",$C80&lt;&gt;""),"Escriba la subactividad en otra fila, debajo de su macroactividad"&amp;" · ","")&amp;IF(AND($S80="Sub",N($R80)=0),"Subactividad sin macroactividad arriba"&amp;" · ","")&amp;IF($D80="","Sin responsable"&amp;" · ","")&amp;IF($E80="","Sin fecha de inicio"&amp;" · ","")&amp;IF($F80="","Sin fecha límite"&amp;" · ","")&amp;IF(OR(AND($E80&lt;&gt;"",NOT(ISNUMBER($E80))),AND($F80&lt;&gt;"",NOT(ISNUMBER($F80)))),"Fecha no válida"&amp;" · ","")&amp;IF(AND(ISNUMBER($E80),ISNUMBER($F80),$E80&gt;$F80),"Inicio posterior a fecha límite"&amp;" · ","")&amp;IF(AND($S80="Macro",$G80=""),"Peso vacío"&amp;" · ","")&amp;IF(AND($S80="Macro",$G80&lt;&gt;"",OR(NOT(ISNUMBER($G80)),$G80&lt;=0,$G80&gt;1)),"Peso fuera de rango"&amp;" · ","")&amp;IF(AND($S80="Sub",$G80&lt;&gt;""),"Las subactividades no llevan peso"&amp;" · ","")&amp;IF(AND($S80="Macro",ABS(SUMIFS($G$5:$G$1000,$P$5:$P$1000,$P80,$S$5:$S$1000,"Macro")-1)&gt;0.0001),"Pesos del mes suman "&amp;TEXT(SUMIFS($G$5:$G$1000,$P$5:$P$1000,$P80,$S$5:$S$1000,"Macro"),"0%")&amp;" · ","")&amp;IF(AND(N($T80)&gt;0,COUNT($H80:$K80)&gt;0),"Con subactividades: deje vacías las semanas (se calculan solas)"&amp;" · ","")&amp;IF((COUNTIF($H80:$K80,"&gt;1")+COUNTIF($H80:$K80,"&lt;0")+COUNTA($H80:$K80)-COUNT($H80:$K80))&gt;0,"Avance fuera de rango 0-100%"&amp;" · ","")&amp;IF(OR(AND($I80&lt;&gt;"",$I80&lt;$H80),AND($J80&lt;&gt;"",$J80&lt;MAX($H80:$I80)),AND($K80&lt;&gt;"",$K80&lt;MAX($H80:$J80))),"Avance semanal decreciente"&amp;" · ","")&amp;IF(AND(ISNUMBER($F80),$F80&lt;FechaRef,N($L80)&lt;1),"Vencida"&amp;" · ","")&amp;IF(AND(ObsObligatoria="Sí",ISNUMBER($F80),$F80&lt;FechaRef,N($L80)&lt;1,$N80=""),"Vencida sin observación"&amp;" · ",""))="","✔ OK","⚠ "&amp;LEFT(IF(AND($S80="Macro",$B80=""),"Macroactividad vacía"&amp;" · ","")&amp;IF(AND($B80&lt;&gt;"",$C80&lt;&gt;""),"Escriba la subactividad en otra fila, debajo de su macroactividad"&amp;" · ","")&amp;IF(AND($S80="Sub",N($R80)=0),"Subactividad sin macroactividad arriba"&amp;" · ","")&amp;IF($D80="","Sin responsable"&amp;" · ","")&amp;IF($E80="","Sin fecha de inicio"&amp;" · ","")&amp;IF($F80="","Sin fecha límite"&amp;" · ","")&amp;IF(OR(AND($E80&lt;&gt;"",NOT(ISNUMBER($E80))),AND($F80&lt;&gt;"",NOT(ISNUMBER($F80)))),"Fecha no válida"&amp;" · ","")&amp;IF(AND(ISNUMBER($E80),ISNUMBER($F80),$E80&gt;$F80),"Inicio posterior a fecha límite"&amp;" · ","")&amp;IF(AND($S80="Macro",$G80=""),"Peso vacío"&amp;" · ","")&amp;IF(AND($S80="Macro",$G80&lt;&gt;"",OR(NOT(ISNUMBER($G80)),$G80&lt;=0,$G80&gt;1)),"Peso fuera de rango"&amp;" · ","")&amp;IF(AND($S80="Sub",$G80&lt;&gt;""),"Las subactividades no llevan peso"&amp;" · ","")&amp;IF(AND($S80="Macro",ABS(SUMIFS($G$5:$G$1000,$P$5:$P$1000,$P80,$S$5:$S$1000,"Macro")-1)&gt;0.0001),"Pesos del mes suman "&amp;TEXT(SUMIFS($G$5:$G$1000,$P$5:$P$1000,$P80,$S$5:$S$1000,"Macro"),"0%")&amp;" · ","")&amp;IF(AND(N($T80)&gt;0,COUNT($H80:$K80)&gt;0),"Con subactividades: deje vacías las semanas (se calculan solas)"&amp;" · ","")&amp;IF((COUNTIF($H80:$K80,"&gt;1")+COUNTIF($H80:$K80,"&lt;0")+COUNTA($H80:$K80)-COUNT($H80:$K80))&gt;0,"Avance fuera de rango 0-100%"&amp;" · ","")&amp;IF(OR(AND($I80&lt;&gt;"",$I80&lt;$H80),AND($J80&lt;&gt;"",$J80&lt;MAX($H80:$I80)),AND($K80&lt;&gt;"",$K80&lt;MAX($H80:$J80))),"Avance semanal decreciente"&amp;" · ","")&amp;IF(AND(ISNUMBER($F80),$F80&lt;FechaRef,N($L80)&lt;1),"Vencida"&amp;" · ","")&amp;IF(AND(ObsObligatoria="Sí",ISNUMBER($F80),$F80&lt;FechaRef,N($L80)&lt;1,$N80=""),"Vencida sin observación"&amp;" · ",""),LEN(IF(AND($S80="Macro",$B80=""),"Macroactividad vacía"&amp;" · ","")&amp;IF(AND($B80&lt;&gt;"",$C80&lt;&gt;""),"Escriba la subactividad en otra fila, debajo de su macroactividad"&amp;" · ","")&amp;IF(AND($S80="Sub",N($R80)=0),"Subactividad sin macroactividad arriba"&amp;" · ","")&amp;IF($D80="","Sin responsable"&amp;" · ","")&amp;IF($E80="","Sin fecha de inicio"&amp;" · ","")&amp;IF($F80="","Sin fecha límite"&amp;" · ","")&amp;IF(OR(AND($E80&lt;&gt;"",NOT(ISNUMBER($E80))),AND($F80&lt;&gt;"",NOT(ISNUMBER($F80)))),"Fecha no válida"&amp;" · ","")&amp;IF(AND(ISNUMBER($E80),ISNUMBER($F80),$E80&gt;$F80),"Inicio posterior a fecha límite"&amp;" · ","")&amp;IF(AND($S80="Macro",$G80=""),"Peso vacío"&amp;" · ","")&amp;IF(AND($S80="Macro",$G80&lt;&gt;"",OR(NOT(ISNUMBER($G80)),$G80&lt;=0,$G80&gt;1)),"Peso fuera de rango"&amp;" · ","")&amp;IF(AND($S80="Sub",$G80&lt;&gt;""),"Las subactividades no llevan peso"&amp;" · ","")&amp;IF(AND($S80="Macro",ABS(SUMIFS($G$5:$G$1000,$P$5:$P$1000,$P80,$S$5:$S$1000,"Macro")-1)&gt;0.0001),"Pesos del mes suman "&amp;TEXT(SUMIFS($G$5:$G$1000,$P$5:$P$1000,$P80,$S$5:$S$1000,"Macro"),"0%")&amp;" · ","")&amp;IF(AND(N($T80)&gt;0,COUNT($H80:$K80)&gt;0),"Con subactividades: deje vacías las semanas (se calculan solas)"&amp;" · ","")&amp;IF((COUNTIF($H80:$K80,"&gt;1")+COUNTIF($H80:$K80,"&lt;0")+COUNTA($H80:$K80)-COUNT($H80:$K80))&gt;0,"Avance fuera de rango 0-100%"&amp;" · ","")&amp;IF(OR(AND($I80&lt;&gt;"",$I80&lt;$H80),AND($J80&lt;&gt;"",$J80&lt;MAX($H80:$I80)),AND($K80&lt;&gt;"",$K80&lt;MAX($H80:$J80))),"Avance semanal decreciente"&amp;" · ","")&amp;IF(AND(ISNUMBER($F80),$F80&lt;FechaRef,N($L80)&lt;1),"Vencida"&amp;" · ","")&amp;IF(AND(ObsObligatoria="Sí",ISNUMBER($F80),$F80&lt;FechaRef,N($L80)&lt;1,$N80=""),"Vencida sin observación"&amp;" · ",""))-3)))</f>
        <v/>
      </c>
      <c r="P80" s="69">
        <f>IF(NOT((COUNTA($B80:$K80)+COUNTA($N80))&gt;0),"",IF(AND($S80="Sub",N($R80)&gt;0),IF(ISNUMBER(INDEX($E$5:$E$1000,$R80-4)),DATE(YEAR(INDEX($E$5:$E$1000,$R80-4)),MONTH(INDEX($E$5:$E$1000,$R80-4)),1),IF(ISNUMBER(INDEX($F$5:$F$1000,$R80-4)),DATE(YEAR(INDEX($F$5:$F$1000,$R80-4)),MONTH(INDEX($F$5:$F$1000,$R80-4)),1),MesCiclo)),IF(ISNUMBER($E80),DATE(YEAR($E80),MONTH($E80),1),IF(ISNUMBER($F80),DATE(YEAR($F80),MONTH($F80),1),MesCiclo))))</f>
        <v/>
      </c>
      <c r="Q80" s="70">
        <f>IF(OR($P80="",$P80&lt;&gt;MesCiclo),"",COUNTIF($P$5:$P80,MesCiclo))</f>
        <v/>
      </c>
      <c r="R80" s="70">
        <f>IF($S80="","",IF($S80="Macro",ROW(),IFERROR(LOOKUP(2,1/($S$5:$S80="Macro"),ROW($S$5:$S80)),0)))</f>
        <v/>
      </c>
      <c r="S80" s="70">
        <f>IF(NOT((COUNTA($B80:$K80)+COUNTA($N80))&gt;0),"",IF($B80&lt;&gt;"","Macro",IF($C80&lt;&gt;"","Sub","Macro")))</f>
        <v/>
      </c>
      <c r="T80" s="70">
        <f>IF($S80="Macro",COUNTIFS($R$5:$R$1000,ROW(),$S$5:$S$1000,"Sub"),"")</f>
        <v/>
      </c>
      <c r="U80" s="70">
        <f>IF($S80="","",IF(ISNUMBER($H80),$H80,0))</f>
        <v/>
      </c>
      <c r="V80" s="70">
        <f>IF($S80="","",IF(ISNUMBER($I80),$I80,$U80))</f>
        <v/>
      </c>
      <c r="W80" s="70">
        <f>IF($S80="","",IF(ISNUMBER($J80),$J80,$V80))</f>
        <v/>
      </c>
      <c r="X80" s="70">
        <f>IF($S80="","",IF(ISNUMBER($K80),$K80,$W80))</f>
        <v/>
      </c>
      <c r="Y80" s="70">
        <f>IF($S80="","",IF(N($T80)&gt;0,AVERAGEIFS($U$5:$U$1000,$R$5:$R$1000,ROW(),$S$5:$S$1000,"Sub"),$U80))</f>
        <v/>
      </c>
      <c r="Z80" s="70">
        <f>IF($S80="","",IF(N($T80)&gt;0,AVERAGEIFS($V$5:$V$1000,$R$5:$R$1000,ROW(),$S$5:$S$1000,"Sub"),$V80))</f>
        <v/>
      </c>
      <c r="AA80" s="70">
        <f>IF($S80="","",IF(N($T80)&gt;0,AVERAGEIFS($W$5:$W$1000,$R$5:$R$1000,ROW(),$S$5:$S$1000,"Sub"),$W80))</f>
        <v/>
      </c>
      <c r="AB80" s="70">
        <f>IF($S80="","",IF(N($T80)&gt;0,AVERAGEIFS($X$5:$X$1000,$R$5:$R$1000,ROW(),$S$5:$S$1000,"Sub"),$X80))</f>
        <v/>
      </c>
    </row>
    <row r="81">
      <c r="A81" s="61">
        <f>IF(NOT((COUNTA($B81:$K81)+COUNTA($N81))&gt;0),"",IF($S81="Macro",COUNTIFS($S$5:$S81,"Macro",$P$5:$P81,$P81),IF(N($R81)=0,"?",COUNTIFS(INDEX($S$5:$S$1000,1):INDEX($S$5:$S$1000,$R81-4),"Macro",INDEX($P$5:$P$1000,1):INDEX($P$5:$P$1000,$R81-4),INDEX($P$5:$P$1000,$R81-4))&amp;"."&amp;COUNTIFS($R$5:$R81,$R81,$S$5:$S81,"Sub"))))</f>
        <v/>
      </c>
      <c r="B81" s="62" t="n"/>
      <c r="C81" s="63" t="n"/>
      <c r="D81" s="62" t="n"/>
      <c r="E81" s="64" t="n"/>
      <c r="F81" s="64" t="n"/>
      <c r="G81" s="65" t="n"/>
      <c r="H81" s="66" t="n"/>
      <c r="I81" s="66" t="n"/>
      <c r="J81" s="66" t="n"/>
      <c r="K81" s="66" t="n"/>
      <c r="L81" s="67">
        <f>IF(NOT((COUNTA($B81:$K81)+COUNTA($N81))&gt;0),"",IF(N($T81)&gt;0,$AB81,IFERROR(LOOKUP(2,1/(H81:K81&lt;&gt;""),H81:K81),0)))</f>
        <v/>
      </c>
      <c r="M81" s="61">
        <f>IF(L81="","",IF(L81&gt;=1,"Completado",IF(L81&gt;0,"En curso","Pendiente")))</f>
        <v/>
      </c>
      <c r="N81" s="62" t="n"/>
      <c r="O81" s="68">
        <f>IF(NOT((COUNTA($B81:$K81)+COUNTA($N81))&gt;0),"",IF((IF(AND($S81="Macro",$B81=""),"Macroactividad vacía"&amp;" · ","")&amp;IF(AND($B81&lt;&gt;"",$C81&lt;&gt;""),"Escriba la subactividad en otra fila, debajo de su macroactividad"&amp;" · ","")&amp;IF(AND($S81="Sub",N($R81)=0),"Subactividad sin macroactividad arriba"&amp;" · ","")&amp;IF($D81="","Sin responsable"&amp;" · ","")&amp;IF($E81="","Sin fecha de inicio"&amp;" · ","")&amp;IF($F81="","Sin fecha límite"&amp;" · ","")&amp;IF(OR(AND($E81&lt;&gt;"",NOT(ISNUMBER($E81))),AND($F81&lt;&gt;"",NOT(ISNUMBER($F81)))),"Fecha no válida"&amp;" · ","")&amp;IF(AND(ISNUMBER($E81),ISNUMBER($F81),$E81&gt;$F81),"Inicio posterior a fecha límite"&amp;" · ","")&amp;IF(AND($S81="Macro",$G81=""),"Peso vacío"&amp;" · ","")&amp;IF(AND($S81="Macro",$G81&lt;&gt;"",OR(NOT(ISNUMBER($G81)),$G81&lt;=0,$G81&gt;1)),"Peso fuera de rango"&amp;" · ","")&amp;IF(AND($S81="Sub",$G81&lt;&gt;""),"Las subactividades no llevan peso"&amp;" · ","")&amp;IF(AND($S81="Macro",ABS(SUMIFS($G$5:$G$1000,$P$5:$P$1000,$P81,$S$5:$S$1000,"Macro")-1)&gt;0.0001),"Pesos del mes suman "&amp;TEXT(SUMIFS($G$5:$G$1000,$P$5:$P$1000,$P81,$S$5:$S$1000,"Macro"),"0%")&amp;" · ","")&amp;IF(AND(N($T81)&gt;0,COUNT($H81:$K81)&gt;0),"Con subactividades: deje vacías las semanas (se calculan solas)"&amp;" · ","")&amp;IF((COUNTIF($H81:$K81,"&gt;1")+COUNTIF($H81:$K81,"&lt;0")+COUNTA($H81:$K81)-COUNT($H81:$K81))&gt;0,"Avance fuera de rango 0-100%"&amp;" · ","")&amp;IF(OR(AND($I81&lt;&gt;"",$I81&lt;$H81),AND($J81&lt;&gt;"",$J81&lt;MAX($H81:$I81)),AND($K81&lt;&gt;"",$K81&lt;MAX($H81:$J81))),"Avance semanal decreciente"&amp;" · ","")&amp;IF(AND(ISNUMBER($F81),$F81&lt;FechaRef,N($L81)&lt;1),"Vencida"&amp;" · ","")&amp;IF(AND(ObsObligatoria="Sí",ISNUMBER($F81),$F81&lt;FechaRef,N($L81)&lt;1,$N81=""),"Vencida sin observación"&amp;" · ",""))="","✔ OK","⚠ "&amp;LEFT(IF(AND($S81="Macro",$B81=""),"Macroactividad vacía"&amp;" · ","")&amp;IF(AND($B81&lt;&gt;"",$C81&lt;&gt;""),"Escriba la subactividad en otra fila, debajo de su macroactividad"&amp;" · ","")&amp;IF(AND($S81="Sub",N($R81)=0),"Subactividad sin macroactividad arriba"&amp;" · ","")&amp;IF($D81="","Sin responsable"&amp;" · ","")&amp;IF($E81="","Sin fecha de inicio"&amp;" · ","")&amp;IF($F81="","Sin fecha límite"&amp;" · ","")&amp;IF(OR(AND($E81&lt;&gt;"",NOT(ISNUMBER($E81))),AND($F81&lt;&gt;"",NOT(ISNUMBER($F81)))),"Fecha no válida"&amp;" · ","")&amp;IF(AND(ISNUMBER($E81),ISNUMBER($F81),$E81&gt;$F81),"Inicio posterior a fecha límite"&amp;" · ","")&amp;IF(AND($S81="Macro",$G81=""),"Peso vacío"&amp;" · ","")&amp;IF(AND($S81="Macro",$G81&lt;&gt;"",OR(NOT(ISNUMBER($G81)),$G81&lt;=0,$G81&gt;1)),"Peso fuera de rango"&amp;" · ","")&amp;IF(AND($S81="Sub",$G81&lt;&gt;""),"Las subactividades no llevan peso"&amp;" · ","")&amp;IF(AND($S81="Macro",ABS(SUMIFS($G$5:$G$1000,$P$5:$P$1000,$P81,$S$5:$S$1000,"Macro")-1)&gt;0.0001),"Pesos del mes suman "&amp;TEXT(SUMIFS($G$5:$G$1000,$P$5:$P$1000,$P81,$S$5:$S$1000,"Macro"),"0%")&amp;" · ","")&amp;IF(AND(N($T81)&gt;0,COUNT($H81:$K81)&gt;0),"Con subactividades: deje vacías las semanas (se calculan solas)"&amp;" · ","")&amp;IF((COUNTIF($H81:$K81,"&gt;1")+COUNTIF($H81:$K81,"&lt;0")+COUNTA($H81:$K81)-COUNT($H81:$K81))&gt;0,"Avance fuera de rango 0-100%"&amp;" · ","")&amp;IF(OR(AND($I81&lt;&gt;"",$I81&lt;$H81),AND($J81&lt;&gt;"",$J81&lt;MAX($H81:$I81)),AND($K81&lt;&gt;"",$K81&lt;MAX($H81:$J81))),"Avance semanal decreciente"&amp;" · ","")&amp;IF(AND(ISNUMBER($F81),$F81&lt;FechaRef,N($L81)&lt;1),"Vencida"&amp;" · ","")&amp;IF(AND(ObsObligatoria="Sí",ISNUMBER($F81),$F81&lt;FechaRef,N($L81)&lt;1,$N81=""),"Vencida sin observación"&amp;" · ",""),LEN(IF(AND($S81="Macro",$B81=""),"Macroactividad vacía"&amp;" · ","")&amp;IF(AND($B81&lt;&gt;"",$C81&lt;&gt;""),"Escriba la subactividad en otra fila, debajo de su macroactividad"&amp;" · ","")&amp;IF(AND($S81="Sub",N($R81)=0),"Subactividad sin macroactividad arriba"&amp;" · ","")&amp;IF($D81="","Sin responsable"&amp;" · ","")&amp;IF($E81="","Sin fecha de inicio"&amp;" · ","")&amp;IF($F81="","Sin fecha límite"&amp;" · ","")&amp;IF(OR(AND($E81&lt;&gt;"",NOT(ISNUMBER($E81))),AND($F81&lt;&gt;"",NOT(ISNUMBER($F81)))),"Fecha no válida"&amp;" · ","")&amp;IF(AND(ISNUMBER($E81),ISNUMBER($F81),$E81&gt;$F81),"Inicio posterior a fecha límite"&amp;" · ","")&amp;IF(AND($S81="Macro",$G81=""),"Peso vacío"&amp;" · ","")&amp;IF(AND($S81="Macro",$G81&lt;&gt;"",OR(NOT(ISNUMBER($G81)),$G81&lt;=0,$G81&gt;1)),"Peso fuera de rango"&amp;" · ","")&amp;IF(AND($S81="Sub",$G81&lt;&gt;""),"Las subactividades no llevan peso"&amp;" · ","")&amp;IF(AND($S81="Macro",ABS(SUMIFS($G$5:$G$1000,$P$5:$P$1000,$P81,$S$5:$S$1000,"Macro")-1)&gt;0.0001),"Pesos del mes suman "&amp;TEXT(SUMIFS($G$5:$G$1000,$P$5:$P$1000,$P81,$S$5:$S$1000,"Macro"),"0%")&amp;" · ","")&amp;IF(AND(N($T81)&gt;0,COUNT($H81:$K81)&gt;0),"Con subactividades: deje vacías las semanas (se calculan solas)"&amp;" · ","")&amp;IF((COUNTIF($H81:$K81,"&gt;1")+COUNTIF($H81:$K81,"&lt;0")+COUNTA($H81:$K81)-COUNT($H81:$K81))&gt;0,"Avance fuera de rango 0-100%"&amp;" · ","")&amp;IF(OR(AND($I81&lt;&gt;"",$I81&lt;$H81),AND($J81&lt;&gt;"",$J81&lt;MAX($H81:$I81)),AND($K81&lt;&gt;"",$K81&lt;MAX($H81:$J81))),"Avance semanal decreciente"&amp;" · ","")&amp;IF(AND(ISNUMBER($F81),$F81&lt;FechaRef,N($L81)&lt;1),"Vencida"&amp;" · ","")&amp;IF(AND(ObsObligatoria="Sí",ISNUMBER($F81),$F81&lt;FechaRef,N($L81)&lt;1,$N81=""),"Vencida sin observación"&amp;" · ",""))-3)))</f>
        <v/>
      </c>
      <c r="P81" s="69">
        <f>IF(NOT((COUNTA($B81:$K81)+COUNTA($N81))&gt;0),"",IF(AND($S81="Sub",N($R81)&gt;0),IF(ISNUMBER(INDEX($E$5:$E$1000,$R81-4)),DATE(YEAR(INDEX($E$5:$E$1000,$R81-4)),MONTH(INDEX($E$5:$E$1000,$R81-4)),1),IF(ISNUMBER(INDEX($F$5:$F$1000,$R81-4)),DATE(YEAR(INDEX($F$5:$F$1000,$R81-4)),MONTH(INDEX($F$5:$F$1000,$R81-4)),1),MesCiclo)),IF(ISNUMBER($E81),DATE(YEAR($E81),MONTH($E81),1),IF(ISNUMBER($F81),DATE(YEAR($F81),MONTH($F81),1),MesCiclo))))</f>
        <v/>
      </c>
      <c r="Q81" s="70">
        <f>IF(OR($P81="",$P81&lt;&gt;MesCiclo),"",COUNTIF($P$5:$P81,MesCiclo))</f>
        <v/>
      </c>
      <c r="R81" s="70">
        <f>IF($S81="","",IF($S81="Macro",ROW(),IFERROR(LOOKUP(2,1/($S$5:$S81="Macro"),ROW($S$5:$S81)),0)))</f>
        <v/>
      </c>
      <c r="S81" s="70">
        <f>IF(NOT((COUNTA($B81:$K81)+COUNTA($N81))&gt;0),"",IF($B81&lt;&gt;"","Macro",IF($C81&lt;&gt;"","Sub","Macro")))</f>
        <v/>
      </c>
      <c r="T81" s="70">
        <f>IF($S81="Macro",COUNTIFS($R$5:$R$1000,ROW(),$S$5:$S$1000,"Sub"),"")</f>
        <v/>
      </c>
      <c r="U81" s="70">
        <f>IF($S81="","",IF(ISNUMBER($H81),$H81,0))</f>
        <v/>
      </c>
      <c r="V81" s="70">
        <f>IF($S81="","",IF(ISNUMBER($I81),$I81,$U81))</f>
        <v/>
      </c>
      <c r="W81" s="70">
        <f>IF($S81="","",IF(ISNUMBER($J81),$J81,$V81))</f>
        <v/>
      </c>
      <c r="X81" s="70">
        <f>IF($S81="","",IF(ISNUMBER($K81),$K81,$W81))</f>
        <v/>
      </c>
      <c r="Y81" s="70">
        <f>IF($S81="","",IF(N($T81)&gt;0,AVERAGEIFS($U$5:$U$1000,$R$5:$R$1000,ROW(),$S$5:$S$1000,"Sub"),$U81))</f>
        <v/>
      </c>
      <c r="Z81" s="70">
        <f>IF($S81="","",IF(N($T81)&gt;0,AVERAGEIFS($V$5:$V$1000,$R$5:$R$1000,ROW(),$S$5:$S$1000,"Sub"),$V81))</f>
        <v/>
      </c>
      <c r="AA81" s="70">
        <f>IF($S81="","",IF(N($T81)&gt;0,AVERAGEIFS($W$5:$W$1000,$R$5:$R$1000,ROW(),$S$5:$S$1000,"Sub"),$W81))</f>
        <v/>
      </c>
      <c r="AB81" s="70">
        <f>IF($S81="","",IF(N($T81)&gt;0,AVERAGEIFS($X$5:$X$1000,$R$5:$R$1000,ROW(),$S$5:$S$1000,"Sub"),$X81))</f>
        <v/>
      </c>
    </row>
    <row r="82">
      <c r="A82" s="61">
        <f>IF(NOT((COUNTA($B82:$K82)+COUNTA($N82))&gt;0),"",IF($S82="Macro",COUNTIFS($S$5:$S82,"Macro",$P$5:$P82,$P82),IF(N($R82)=0,"?",COUNTIFS(INDEX($S$5:$S$1000,1):INDEX($S$5:$S$1000,$R82-4),"Macro",INDEX($P$5:$P$1000,1):INDEX($P$5:$P$1000,$R82-4),INDEX($P$5:$P$1000,$R82-4))&amp;"."&amp;COUNTIFS($R$5:$R82,$R82,$S$5:$S82,"Sub"))))</f>
        <v/>
      </c>
      <c r="B82" s="62" t="n"/>
      <c r="C82" s="63" t="n"/>
      <c r="D82" s="62" t="n"/>
      <c r="E82" s="64" t="n"/>
      <c r="F82" s="64" t="n"/>
      <c r="G82" s="65" t="n"/>
      <c r="H82" s="66" t="n"/>
      <c r="I82" s="66" t="n"/>
      <c r="J82" s="66" t="n"/>
      <c r="K82" s="66" t="n"/>
      <c r="L82" s="67">
        <f>IF(NOT((COUNTA($B82:$K82)+COUNTA($N82))&gt;0),"",IF(N($T82)&gt;0,$AB82,IFERROR(LOOKUP(2,1/(H82:K82&lt;&gt;""),H82:K82),0)))</f>
        <v/>
      </c>
      <c r="M82" s="61">
        <f>IF(L82="","",IF(L82&gt;=1,"Completado",IF(L82&gt;0,"En curso","Pendiente")))</f>
        <v/>
      </c>
      <c r="N82" s="62" t="n"/>
      <c r="O82" s="68">
        <f>IF(NOT((COUNTA($B82:$K82)+COUNTA($N82))&gt;0),"",IF((IF(AND($S82="Macro",$B82=""),"Macroactividad vacía"&amp;" · ","")&amp;IF(AND($B82&lt;&gt;"",$C82&lt;&gt;""),"Escriba la subactividad en otra fila, debajo de su macroactividad"&amp;" · ","")&amp;IF(AND($S82="Sub",N($R82)=0),"Subactividad sin macroactividad arriba"&amp;" · ","")&amp;IF($D82="","Sin responsable"&amp;" · ","")&amp;IF($E82="","Sin fecha de inicio"&amp;" · ","")&amp;IF($F82="","Sin fecha límite"&amp;" · ","")&amp;IF(OR(AND($E82&lt;&gt;"",NOT(ISNUMBER($E82))),AND($F82&lt;&gt;"",NOT(ISNUMBER($F82)))),"Fecha no válida"&amp;" · ","")&amp;IF(AND(ISNUMBER($E82),ISNUMBER($F82),$E82&gt;$F82),"Inicio posterior a fecha límite"&amp;" · ","")&amp;IF(AND($S82="Macro",$G82=""),"Peso vacío"&amp;" · ","")&amp;IF(AND($S82="Macro",$G82&lt;&gt;"",OR(NOT(ISNUMBER($G82)),$G82&lt;=0,$G82&gt;1)),"Peso fuera de rango"&amp;" · ","")&amp;IF(AND($S82="Sub",$G82&lt;&gt;""),"Las subactividades no llevan peso"&amp;" · ","")&amp;IF(AND($S82="Macro",ABS(SUMIFS($G$5:$G$1000,$P$5:$P$1000,$P82,$S$5:$S$1000,"Macro")-1)&gt;0.0001),"Pesos del mes suman "&amp;TEXT(SUMIFS($G$5:$G$1000,$P$5:$P$1000,$P82,$S$5:$S$1000,"Macro"),"0%")&amp;" · ","")&amp;IF(AND(N($T82)&gt;0,COUNT($H82:$K82)&gt;0),"Con subactividades: deje vacías las semanas (se calculan solas)"&amp;" · ","")&amp;IF((COUNTIF($H82:$K82,"&gt;1")+COUNTIF($H82:$K82,"&lt;0")+COUNTA($H82:$K82)-COUNT($H82:$K82))&gt;0,"Avance fuera de rango 0-100%"&amp;" · ","")&amp;IF(OR(AND($I82&lt;&gt;"",$I82&lt;$H82),AND($J82&lt;&gt;"",$J82&lt;MAX($H82:$I82)),AND($K82&lt;&gt;"",$K82&lt;MAX($H82:$J82))),"Avance semanal decreciente"&amp;" · ","")&amp;IF(AND(ISNUMBER($F82),$F82&lt;FechaRef,N($L82)&lt;1),"Vencida"&amp;" · ","")&amp;IF(AND(ObsObligatoria="Sí",ISNUMBER($F82),$F82&lt;FechaRef,N($L82)&lt;1,$N82=""),"Vencida sin observación"&amp;" · ",""))="","✔ OK","⚠ "&amp;LEFT(IF(AND($S82="Macro",$B82=""),"Macroactividad vacía"&amp;" · ","")&amp;IF(AND($B82&lt;&gt;"",$C82&lt;&gt;""),"Escriba la subactividad en otra fila, debajo de su macroactividad"&amp;" · ","")&amp;IF(AND($S82="Sub",N($R82)=0),"Subactividad sin macroactividad arriba"&amp;" · ","")&amp;IF($D82="","Sin responsable"&amp;" · ","")&amp;IF($E82="","Sin fecha de inicio"&amp;" · ","")&amp;IF($F82="","Sin fecha límite"&amp;" · ","")&amp;IF(OR(AND($E82&lt;&gt;"",NOT(ISNUMBER($E82))),AND($F82&lt;&gt;"",NOT(ISNUMBER($F82)))),"Fecha no válida"&amp;" · ","")&amp;IF(AND(ISNUMBER($E82),ISNUMBER($F82),$E82&gt;$F82),"Inicio posterior a fecha límite"&amp;" · ","")&amp;IF(AND($S82="Macro",$G82=""),"Peso vacío"&amp;" · ","")&amp;IF(AND($S82="Macro",$G82&lt;&gt;"",OR(NOT(ISNUMBER($G82)),$G82&lt;=0,$G82&gt;1)),"Peso fuera de rango"&amp;" · ","")&amp;IF(AND($S82="Sub",$G82&lt;&gt;""),"Las subactividades no llevan peso"&amp;" · ","")&amp;IF(AND($S82="Macro",ABS(SUMIFS($G$5:$G$1000,$P$5:$P$1000,$P82,$S$5:$S$1000,"Macro")-1)&gt;0.0001),"Pesos del mes suman "&amp;TEXT(SUMIFS($G$5:$G$1000,$P$5:$P$1000,$P82,$S$5:$S$1000,"Macro"),"0%")&amp;" · ","")&amp;IF(AND(N($T82)&gt;0,COUNT($H82:$K82)&gt;0),"Con subactividades: deje vacías las semanas (se calculan solas)"&amp;" · ","")&amp;IF((COUNTIF($H82:$K82,"&gt;1")+COUNTIF($H82:$K82,"&lt;0")+COUNTA($H82:$K82)-COUNT($H82:$K82))&gt;0,"Avance fuera de rango 0-100%"&amp;" · ","")&amp;IF(OR(AND($I82&lt;&gt;"",$I82&lt;$H82),AND($J82&lt;&gt;"",$J82&lt;MAX($H82:$I82)),AND($K82&lt;&gt;"",$K82&lt;MAX($H82:$J82))),"Avance semanal decreciente"&amp;" · ","")&amp;IF(AND(ISNUMBER($F82),$F82&lt;FechaRef,N($L82)&lt;1),"Vencida"&amp;" · ","")&amp;IF(AND(ObsObligatoria="Sí",ISNUMBER($F82),$F82&lt;FechaRef,N($L82)&lt;1,$N82=""),"Vencida sin observación"&amp;" · ",""),LEN(IF(AND($S82="Macro",$B82=""),"Macroactividad vacía"&amp;" · ","")&amp;IF(AND($B82&lt;&gt;"",$C82&lt;&gt;""),"Escriba la subactividad en otra fila, debajo de su macroactividad"&amp;" · ","")&amp;IF(AND($S82="Sub",N($R82)=0),"Subactividad sin macroactividad arriba"&amp;" · ","")&amp;IF($D82="","Sin responsable"&amp;" · ","")&amp;IF($E82="","Sin fecha de inicio"&amp;" · ","")&amp;IF($F82="","Sin fecha límite"&amp;" · ","")&amp;IF(OR(AND($E82&lt;&gt;"",NOT(ISNUMBER($E82))),AND($F82&lt;&gt;"",NOT(ISNUMBER($F82)))),"Fecha no válida"&amp;" · ","")&amp;IF(AND(ISNUMBER($E82),ISNUMBER($F82),$E82&gt;$F82),"Inicio posterior a fecha límite"&amp;" · ","")&amp;IF(AND($S82="Macro",$G82=""),"Peso vacío"&amp;" · ","")&amp;IF(AND($S82="Macro",$G82&lt;&gt;"",OR(NOT(ISNUMBER($G82)),$G82&lt;=0,$G82&gt;1)),"Peso fuera de rango"&amp;" · ","")&amp;IF(AND($S82="Sub",$G82&lt;&gt;""),"Las subactividades no llevan peso"&amp;" · ","")&amp;IF(AND($S82="Macro",ABS(SUMIFS($G$5:$G$1000,$P$5:$P$1000,$P82,$S$5:$S$1000,"Macro")-1)&gt;0.0001),"Pesos del mes suman "&amp;TEXT(SUMIFS($G$5:$G$1000,$P$5:$P$1000,$P82,$S$5:$S$1000,"Macro"),"0%")&amp;" · ","")&amp;IF(AND(N($T82)&gt;0,COUNT($H82:$K82)&gt;0),"Con subactividades: deje vacías las semanas (se calculan solas)"&amp;" · ","")&amp;IF((COUNTIF($H82:$K82,"&gt;1")+COUNTIF($H82:$K82,"&lt;0")+COUNTA($H82:$K82)-COUNT($H82:$K82))&gt;0,"Avance fuera de rango 0-100%"&amp;" · ","")&amp;IF(OR(AND($I82&lt;&gt;"",$I82&lt;$H82),AND($J82&lt;&gt;"",$J82&lt;MAX($H82:$I82)),AND($K82&lt;&gt;"",$K82&lt;MAX($H82:$J82))),"Avance semanal decreciente"&amp;" · ","")&amp;IF(AND(ISNUMBER($F82),$F82&lt;FechaRef,N($L82)&lt;1),"Vencida"&amp;" · ","")&amp;IF(AND(ObsObligatoria="Sí",ISNUMBER($F82),$F82&lt;FechaRef,N($L82)&lt;1,$N82=""),"Vencida sin observación"&amp;" · ",""))-3)))</f>
        <v/>
      </c>
      <c r="P82" s="69">
        <f>IF(NOT((COUNTA($B82:$K82)+COUNTA($N82))&gt;0),"",IF(AND($S82="Sub",N($R82)&gt;0),IF(ISNUMBER(INDEX($E$5:$E$1000,$R82-4)),DATE(YEAR(INDEX($E$5:$E$1000,$R82-4)),MONTH(INDEX($E$5:$E$1000,$R82-4)),1),IF(ISNUMBER(INDEX($F$5:$F$1000,$R82-4)),DATE(YEAR(INDEX($F$5:$F$1000,$R82-4)),MONTH(INDEX($F$5:$F$1000,$R82-4)),1),MesCiclo)),IF(ISNUMBER($E82),DATE(YEAR($E82),MONTH($E82),1),IF(ISNUMBER($F82),DATE(YEAR($F82),MONTH($F82),1),MesCiclo))))</f>
        <v/>
      </c>
      <c r="Q82" s="70">
        <f>IF(OR($P82="",$P82&lt;&gt;MesCiclo),"",COUNTIF($P$5:$P82,MesCiclo))</f>
        <v/>
      </c>
      <c r="R82" s="70">
        <f>IF($S82="","",IF($S82="Macro",ROW(),IFERROR(LOOKUP(2,1/($S$5:$S82="Macro"),ROW($S$5:$S82)),0)))</f>
        <v/>
      </c>
      <c r="S82" s="70">
        <f>IF(NOT((COUNTA($B82:$K82)+COUNTA($N82))&gt;0),"",IF($B82&lt;&gt;"","Macro",IF($C82&lt;&gt;"","Sub","Macro")))</f>
        <v/>
      </c>
      <c r="T82" s="70">
        <f>IF($S82="Macro",COUNTIFS($R$5:$R$1000,ROW(),$S$5:$S$1000,"Sub"),"")</f>
        <v/>
      </c>
      <c r="U82" s="70">
        <f>IF($S82="","",IF(ISNUMBER($H82),$H82,0))</f>
        <v/>
      </c>
      <c r="V82" s="70">
        <f>IF($S82="","",IF(ISNUMBER($I82),$I82,$U82))</f>
        <v/>
      </c>
      <c r="W82" s="70">
        <f>IF($S82="","",IF(ISNUMBER($J82),$J82,$V82))</f>
        <v/>
      </c>
      <c r="X82" s="70">
        <f>IF($S82="","",IF(ISNUMBER($K82),$K82,$W82))</f>
        <v/>
      </c>
      <c r="Y82" s="70">
        <f>IF($S82="","",IF(N($T82)&gt;0,AVERAGEIFS($U$5:$U$1000,$R$5:$R$1000,ROW(),$S$5:$S$1000,"Sub"),$U82))</f>
        <v/>
      </c>
      <c r="Z82" s="70">
        <f>IF($S82="","",IF(N($T82)&gt;0,AVERAGEIFS($V$5:$V$1000,$R$5:$R$1000,ROW(),$S$5:$S$1000,"Sub"),$V82))</f>
        <v/>
      </c>
      <c r="AA82" s="70">
        <f>IF($S82="","",IF(N($T82)&gt;0,AVERAGEIFS($W$5:$W$1000,$R$5:$R$1000,ROW(),$S$5:$S$1000,"Sub"),$W82))</f>
        <v/>
      </c>
      <c r="AB82" s="70">
        <f>IF($S82="","",IF(N($T82)&gt;0,AVERAGEIFS($X$5:$X$1000,$R$5:$R$1000,ROW(),$S$5:$S$1000,"Sub"),$X82))</f>
        <v/>
      </c>
    </row>
    <row r="83">
      <c r="A83" s="61">
        <f>IF(NOT((COUNTA($B83:$K83)+COUNTA($N83))&gt;0),"",IF($S83="Macro",COUNTIFS($S$5:$S83,"Macro",$P$5:$P83,$P83),IF(N($R83)=0,"?",COUNTIFS(INDEX($S$5:$S$1000,1):INDEX($S$5:$S$1000,$R83-4),"Macro",INDEX($P$5:$P$1000,1):INDEX($P$5:$P$1000,$R83-4),INDEX($P$5:$P$1000,$R83-4))&amp;"."&amp;COUNTIFS($R$5:$R83,$R83,$S$5:$S83,"Sub"))))</f>
        <v/>
      </c>
      <c r="B83" s="62" t="n"/>
      <c r="C83" s="63" t="n"/>
      <c r="D83" s="62" t="n"/>
      <c r="E83" s="64" t="n"/>
      <c r="F83" s="64" t="n"/>
      <c r="G83" s="65" t="n"/>
      <c r="H83" s="66" t="n"/>
      <c r="I83" s="66" t="n"/>
      <c r="J83" s="66" t="n"/>
      <c r="K83" s="66" t="n"/>
      <c r="L83" s="67">
        <f>IF(NOT((COUNTA($B83:$K83)+COUNTA($N83))&gt;0),"",IF(N($T83)&gt;0,$AB83,IFERROR(LOOKUP(2,1/(H83:K83&lt;&gt;""),H83:K83),0)))</f>
        <v/>
      </c>
      <c r="M83" s="61">
        <f>IF(L83="","",IF(L83&gt;=1,"Completado",IF(L83&gt;0,"En curso","Pendiente")))</f>
        <v/>
      </c>
      <c r="N83" s="62" t="n"/>
      <c r="O83" s="68">
        <f>IF(NOT((COUNTA($B83:$K83)+COUNTA($N83))&gt;0),"",IF((IF(AND($S83="Macro",$B83=""),"Macroactividad vacía"&amp;" · ","")&amp;IF(AND($B83&lt;&gt;"",$C83&lt;&gt;""),"Escriba la subactividad en otra fila, debajo de su macroactividad"&amp;" · ","")&amp;IF(AND($S83="Sub",N($R83)=0),"Subactividad sin macroactividad arriba"&amp;" · ","")&amp;IF($D83="","Sin responsable"&amp;" · ","")&amp;IF($E83="","Sin fecha de inicio"&amp;" · ","")&amp;IF($F83="","Sin fecha límite"&amp;" · ","")&amp;IF(OR(AND($E83&lt;&gt;"",NOT(ISNUMBER($E83))),AND($F83&lt;&gt;"",NOT(ISNUMBER($F83)))),"Fecha no válida"&amp;" · ","")&amp;IF(AND(ISNUMBER($E83),ISNUMBER($F83),$E83&gt;$F83),"Inicio posterior a fecha límite"&amp;" · ","")&amp;IF(AND($S83="Macro",$G83=""),"Peso vacío"&amp;" · ","")&amp;IF(AND($S83="Macro",$G83&lt;&gt;"",OR(NOT(ISNUMBER($G83)),$G83&lt;=0,$G83&gt;1)),"Peso fuera de rango"&amp;" · ","")&amp;IF(AND($S83="Sub",$G83&lt;&gt;""),"Las subactividades no llevan peso"&amp;" · ","")&amp;IF(AND($S83="Macro",ABS(SUMIFS($G$5:$G$1000,$P$5:$P$1000,$P83,$S$5:$S$1000,"Macro")-1)&gt;0.0001),"Pesos del mes suman "&amp;TEXT(SUMIFS($G$5:$G$1000,$P$5:$P$1000,$P83,$S$5:$S$1000,"Macro"),"0%")&amp;" · ","")&amp;IF(AND(N($T83)&gt;0,COUNT($H83:$K83)&gt;0),"Con subactividades: deje vacías las semanas (se calculan solas)"&amp;" · ","")&amp;IF((COUNTIF($H83:$K83,"&gt;1")+COUNTIF($H83:$K83,"&lt;0")+COUNTA($H83:$K83)-COUNT($H83:$K83))&gt;0,"Avance fuera de rango 0-100%"&amp;" · ","")&amp;IF(OR(AND($I83&lt;&gt;"",$I83&lt;$H83),AND($J83&lt;&gt;"",$J83&lt;MAX($H83:$I83)),AND($K83&lt;&gt;"",$K83&lt;MAX($H83:$J83))),"Avance semanal decreciente"&amp;" · ","")&amp;IF(AND(ISNUMBER($F83),$F83&lt;FechaRef,N($L83)&lt;1),"Vencida"&amp;" · ","")&amp;IF(AND(ObsObligatoria="Sí",ISNUMBER($F83),$F83&lt;FechaRef,N($L83)&lt;1,$N83=""),"Vencida sin observación"&amp;" · ",""))="","✔ OK","⚠ "&amp;LEFT(IF(AND($S83="Macro",$B83=""),"Macroactividad vacía"&amp;" · ","")&amp;IF(AND($B83&lt;&gt;"",$C83&lt;&gt;""),"Escriba la subactividad en otra fila, debajo de su macroactividad"&amp;" · ","")&amp;IF(AND($S83="Sub",N($R83)=0),"Subactividad sin macroactividad arriba"&amp;" · ","")&amp;IF($D83="","Sin responsable"&amp;" · ","")&amp;IF($E83="","Sin fecha de inicio"&amp;" · ","")&amp;IF($F83="","Sin fecha límite"&amp;" · ","")&amp;IF(OR(AND($E83&lt;&gt;"",NOT(ISNUMBER($E83))),AND($F83&lt;&gt;"",NOT(ISNUMBER($F83)))),"Fecha no válida"&amp;" · ","")&amp;IF(AND(ISNUMBER($E83),ISNUMBER($F83),$E83&gt;$F83),"Inicio posterior a fecha límite"&amp;" · ","")&amp;IF(AND($S83="Macro",$G83=""),"Peso vacío"&amp;" · ","")&amp;IF(AND($S83="Macro",$G83&lt;&gt;"",OR(NOT(ISNUMBER($G83)),$G83&lt;=0,$G83&gt;1)),"Peso fuera de rango"&amp;" · ","")&amp;IF(AND($S83="Sub",$G83&lt;&gt;""),"Las subactividades no llevan peso"&amp;" · ","")&amp;IF(AND($S83="Macro",ABS(SUMIFS($G$5:$G$1000,$P$5:$P$1000,$P83,$S$5:$S$1000,"Macro")-1)&gt;0.0001),"Pesos del mes suman "&amp;TEXT(SUMIFS($G$5:$G$1000,$P$5:$P$1000,$P83,$S$5:$S$1000,"Macro"),"0%")&amp;" · ","")&amp;IF(AND(N($T83)&gt;0,COUNT($H83:$K83)&gt;0),"Con subactividades: deje vacías las semanas (se calculan solas)"&amp;" · ","")&amp;IF((COUNTIF($H83:$K83,"&gt;1")+COUNTIF($H83:$K83,"&lt;0")+COUNTA($H83:$K83)-COUNT($H83:$K83))&gt;0,"Avance fuera de rango 0-100%"&amp;" · ","")&amp;IF(OR(AND($I83&lt;&gt;"",$I83&lt;$H83),AND($J83&lt;&gt;"",$J83&lt;MAX($H83:$I83)),AND($K83&lt;&gt;"",$K83&lt;MAX($H83:$J83))),"Avance semanal decreciente"&amp;" · ","")&amp;IF(AND(ISNUMBER($F83),$F83&lt;FechaRef,N($L83)&lt;1),"Vencida"&amp;" · ","")&amp;IF(AND(ObsObligatoria="Sí",ISNUMBER($F83),$F83&lt;FechaRef,N($L83)&lt;1,$N83=""),"Vencida sin observación"&amp;" · ",""),LEN(IF(AND($S83="Macro",$B83=""),"Macroactividad vacía"&amp;" · ","")&amp;IF(AND($B83&lt;&gt;"",$C83&lt;&gt;""),"Escriba la subactividad en otra fila, debajo de su macroactividad"&amp;" · ","")&amp;IF(AND($S83="Sub",N($R83)=0),"Subactividad sin macroactividad arriba"&amp;" · ","")&amp;IF($D83="","Sin responsable"&amp;" · ","")&amp;IF($E83="","Sin fecha de inicio"&amp;" · ","")&amp;IF($F83="","Sin fecha límite"&amp;" · ","")&amp;IF(OR(AND($E83&lt;&gt;"",NOT(ISNUMBER($E83))),AND($F83&lt;&gt;"",NOT(ISNUMBER($F83)))),"Fecha no válida"&amp;" · ","")&amp;IF(AND(ISNUMBER($E83),ISNUMBER($F83),$E83&gt;$F83),"Inicio posterior a fecha límite"&amp;" · ","")&amp;IF(AND($S83="Macro",$G83=""),"Peso vacío"&amp;" · ","")&amp;IF(AND($S83="Macro",$G83&lt;&gt;"",OR(NOT(ISNUMBER($G83)),$G83&lt;=0,$G83&gt;1)),"Peso fuera de rango"&amp;" · ","")&amp;IF(AND($S83="Sub",$G83&lt;&gt;""),"Las subactividades no llevan peso"&amp;" · ","")&amp;IF(AND($S83="Macro",ABS(SUMIFS($G$5:$G$1000,$P$5:$P$1000,$P83,$S$5:$S$1000,"Macro")-1)&gt;0.0001),"Pesos del mes suman "&amp;TEXT(SUMIFS($G$5:$G$1000,$P$5:$P$1000,$P83,$S$5:$S$1000,"Macro"),"0%")&amp;" · ","")&amp;IF(AND(N($T83)&gt;0,COUNT($H83:$K83)&gt;0),"Con subactividades: deje vacías las semanas (se calculan solas)"&amp;" · ","")&amp;IF((COUNTIF($H83:$K83,"&gt;1")+COUNTIF($H83:$K83,"&lt;0")+COUNTA($H83:$K83)-COUNT($H83:$K83))&gt;0,"Avance fuera de rango 0-100%"&amp;" · ","")&amp;IF(OR(AND($I83&lt;&gt;"",$I83&lt;$H83),AND($J83&lt;&gt;"",$J83&lt;MAX($H83:$I83)),AND($K83&lt;&gt;"",$K83&lt;MAX($H83:$J83))),"Avance semanal decreciente"&amp;" · ","")&amp;IF(AND(ISNUMBER($F83),$F83&lt;FechaRef,N($L83)&lt;1),"Vencida"&amp;" · ","")&amp;IF(AND(ObsObligatoria="Sí",ISNUMBER($F83),$F83&lt;FechaRef,N($L83)&lt;1,$N83=""),"Vencida sin observación"&amp;" · ",""))-3)))</f>
        <v/>
      </c>
      <c r="P83" s="69">
        <f>IF(NOT((COUNTA($B83:$K83)+COUNTA($N83))&gt;0),"",IF(AND($S83="Sub",N($R83)&gt;0),IF(ISNUMBER(INDEX($E$5:$E$1000,$R83-4)),DATE(YEAR(INDEX($E$5:$E$1000,$R83-4)),MONTH(INDEX($E$5:$E$1000,$R83-4)),1),IF(ISNUMBER(INDEX($F$5:$F$1000,$R83-4)),DATE(YEAR(INDEX($F$5:$F$1000,$R83-4)),MONTH(INDEX($F$5:$F$1000,$R83-4)),1),MesCiclo)),IF(ISNUMBER($E83),DATE(YEAR($E83),MONTH($E83),1),IF(ISNUMBER($F83),DATE(YEAR($F83),MONTH($F83),1),MesCiclo))))</f>
        <v/>
      </c>
      <c r="Q83" s="70">
        <f>IF(OR($P83="",$P83&lt;&gt;MesCiclo),"",COUNTIF($P$5:$P83,MesCiclo))</f>
        <v/>
      </c>
      <c r="R83" s="70">
        <f>IF($S83="","",IF($S83="Macro",ROW(),IFERROR(LOOKUP(2,1/($S$5:$S83="Macro"),ROW($S$5:$S83)),0)))</f>
        <v/>
      </c>
      <c r="S83" s="70">
        <f>IF(NOT((COUNTA($B83:$K83)+COUNTA($N83))&gt;0),"",IF($B83&lt;&gt;"","Macro",IF($C83&lt;&gt;"","Sub","Macro")))</f>
        <v/>
      </c>
      <c r="T83" s="70">
        <f>IF($S83="Macro",COUNTIFS($R$5:$R$1000,ROW(),$S$5:$S$1000,"Sub"),"")</f>
        <v/>
      </c>
      <c r="U83" s="70">
        <f>IF($S83="","",IF(ISNUMBER($H83),$H83,0))</f>
        <v/>
      </c>
      <c r="V83" s="70">
        <f>IF($S83="","",IF(ISNUMBER($I83),$I83,$U83))</f>
        <v/>
      </c>
      <c r="W83" s="70">
        <f>IF($S83="","",IF(ISNUMBER($J83),$J83,$V83))</f>
        <v/>
      </c>
      <c r="X83" s="70">
        <f>IF($S83="","",IF(ISNUMBER($K83),$K83,$W83))</f>
        <v/>
      </c>
      <c r="Y83" s="70">
        <f>IF($S83="","",IF(N($T83)&gt;0,AVERAGEIFS($U$5:$U$1000,$R$5:$R$1000,ROW(),$S$5:$S$1000,"Sub"),$U83))</f>
        <v/>
      </c>
      <c r="Z83" s="70">
        <f>IF($S83="","",IF(N($T83)&gt;0,AVERAGEIFS($V$5:$V$1000,$R$5:$R$1000,ROW(),$S$5:$S$1000,"Sub"),$V83))</f>
        <v/>
      </c>
      <c r="AA83" s="70">
        <f>IF($S83="","",IF(N($T83)&gt;0,AVERAGEIFS($W$5:$W$1000,$R$5:$R$1000,ROW(),$S$5:$S$1000,"Sub"),$W83))</f>
        <v/>
      </c>
      <c r="AB83" s="70">
        <f>IF($S83="","",IF(N($T83)&gt;0,AVERAGEIFS($X$5:$X$1000,$R$5:$R$1000,ROW(),$S$5:$S$1000,"Sub"),$X83))</f>
        <v/>
      </c>
    </row>
    <row r="84">
      <c r="A84" s="61">
        <f>IF(NOT((COUNTA($B84:$K84)+COUNTA($N84))&gt;0),"",IF($S84="Macro",COUNTIFS($S$5:$S84,"Macro",$P$5:$P84,$P84),IF(N($R84)=0,"?",COUNTIFS(INDEX($S$5:$S$1000,1):INDEX($S$5:$S$1000,$R84-4),"Macro",INDEX($P$5:$P$1000,1):INDEX($P$5:$P$1000,$R84-4),INDEX($P$5:$P$1000,$R84-4))&amp;"."&amp;COUNTIFS($R$5:$R84,$R84,$S$5:$S84,"Sub"))))</f>
        <v/>
      </c>
      <c r="B84" s="62" t="n"/>
      <c r="C84" s="63" t="n"/>
      <c r="D84" s="62" t="n"/>
      <c r="E84" s="64" t="n"/>
      <c r="F84" s="64" t="n"/>
      <c r="G84" s="65" t="n"/>
      <c r="H84" s="66" t="n"/>
      <c r="I84" s="66" t="n"/>
      <c r="J84" s="66" t="n"/>
      <c r="K84" s="66" t="n"/>
      <c r="L84" s="67">
        <f>IF(NOT((COUNTA($B84:$K84)+COUNTA($N84))&gt;0),"",IF(N($T84)&gt;0,$AB84,IFERROR(LOOKUP(2,1/(H84:K84&lt;&gt;""),H84:K84),0)))</f>
        <v/>
      </c>
      <c r="M84" s="61">
        <f>IF(L84="","",IF(L84&gt;=1,"Completado",IF(L84&gt;0,"En curso","Pendiente")))</f>
        <v/>
      </c>
      <c r="N84" s="62" t="n"/>
      <c r="O84" s="68">
        <f>IF(NOT((COUNTA($B84:$K84)+COUNTA($N84))&gt;0),"",IF((IF(AND($S84="Macro",$B84=""),"Macroactividad vacía"&amp;" · ","")&amp;IF(AND($B84&lt;&gt;"",$C84&lt;&gt;""),"Escriba la subactividad en otra fila, debajo de su macroactividad"&amp;" · ","")&amp;IF(AND($S84="Sub",N($R84)=0),"Subactividad sin macroactividad arriba"&amp;" · ","")&amp;IF($D84="","Sin responsable"&amp;" · ","")&amp;IF($E84="","Sin fecha de inicio"&amp;" · ","")&amp;IF($F84="","Sin fecha límite"&amp;" · ","")&amp;IF(OR(AND($E84&lt;&gt;"",NOT(ISNUMBER($E84))),AND($F84&lt;&gt;"",NOT(ISNUMBER($F84)))),"Fecha no válida"&amp;" · ","")&amp;IF(AND(ISNUMBER($E84),ISNUMBER($F84),$E84&gt;$F84),"Inicio posterior a fecha límite"&amp;" · ","")&amp;IF(AND($S84="Macro",$G84=""),"Peso vacío"&amp;" · ","")&amp;IF(AND($S84="Macro",$G84&lt;&gt;"",OR(NOT(ISNUMBER($G84)),$G84&lt;=0,$G84&gt;1)),"Peso fuera de rango"&amp;" · ","")&amp;IF(AND($S84="Sub",$G84&lt;&gt;""),"Las subactividades no llevan peso"&amp;" · ","")&amp;IF(AND($S84="Macro",ABS(SUMIFS($G$5:$G$1000,$P$5:$P$1000,$P84,$S$5:$S$1000,"Macro")-1)&gt;0.0001),"Pesos del mes suman "&amp;TEXT(SUMIFS($G$5:$G$1000,$P$5:$P$1000,$P84,$S$5:$S$1000,"Macro"),"0%")&amp;" · ","")&amp;IF(AND(N($T84)&gt;0,COUNT($H84:$K84)&gt;0),"Con subactividades: deje vacías las semanas (se calculan solas)"&amp;" · ","")&amp;IF((COUNTIF($H84:$K84,"&gt;1")+COUNTIF($H84:$K84,"&lt;0")+COUNTA($H84:$K84)-COUNT($H84:$K84))&gt;0,"Avance fuera de rango 0-100%"&amp;" · ","")&amp;IF(OR(AND($I84&lt;&gt;"",$I84&lt;$H84),AND($J84&lt;&gt;"",$J84&lt;MAX($H84:$I84)),AND($K84&lt;&gt;"",$K84&lt;MAX($H84:$J84))),"Avance semanal decreciente"&amp;" · ","")&amp;IF(AND(ISNUMBER($F84),$F84&lt;FechaRef,N($L84)&lt;1),"Vencida"&amp;" · ","")&amp;IF(AND(ObsObligatoria="Sí",ISNUMBER($F84),$F84&lt;FechaRef,N($L84)&lt;1,$N84=""),"Vencida sin observación"&amp;" · ",""))="","✔ OK","⚠ "&amp;LEFT(IF(AND($S84="Macro",$B84=""),"Macroactividad vacía"&amp;" · ","")&amp;IF(AND($B84&lt;&gt;"",$C84&lt;&gt;""),"Escriba la subactividad en otra fila, debajo de su macroactividad"&amp;" · ","")&amp;IF(AND($S84="Sub",N($R84)=0),"Subactividad sin macroactividad arriba"&amp;" · ","")&amp;IF($D84="","Sin responsable"&amp;" · ","")&amp;IF($E84="","Sin fecha de inicio"&amp;" · ","")&amp;IF($F84="","Sin fecha límite"&amp;" · ","")&amp;IF(OR(AND($E84&lt;&gt;"",NOT(ISNUMBER($E84))),AND($F84&lt;&gt;"",NOT(ISNUMBER($F84)))),"Fecha no válida"&amp;" · ","")&amp;IF(AND(ISNUMBER($E84),ISNUMBER($F84),$E84&gt;$F84),"Inicio posterior a fecha límite"&amp;" · ","")&amp;IF(AND($S84="Macro",$G84=""),"Peso vacío"&amp;" · ","")&amp;IF(AND($S84="Macro",$G84&lt;&gt;"",OR(NOT(ISNUMBER($G84)),$G84&lt;=0,$G84&gt;1)),"Peso fuera de rango"&amp;" · ","")&amp;IF(AND($S84="Sub",$G84&lt;&gt;""),"Las subactividades no llevan peso"&amp;" · ","")&amp;IF(AND($S84="Macro",ABS(SUMIFS($G$5:$G$1000,$P$5:$P$1000,$P84,$S$5:$S$1000,"Macro")-1)&gt;0.0001),"Pesos del mes suman "&amp;TEXT(SUMIFS($G$5:$G$1000,$P$5:$P$1000,$P84,$S$5:$S$1000,"Macro"),"0%")&amp;" · ","")&amp;IF(AND(N($T84)&gt;0,COUNT($H84:$K84)&gt;0),"Con subactividades: deje vacías las semanas (se calculan solas)"&amp;" · ","")&amp;IF((COUNTIF($H84:$K84,"&gt;1")+COUNTIF($H84:$K84,"&lt;0")+COUNTA($H84:$K84)-COUNT($H84:$K84))&gt;0,"Avance fuera de rango 0-100%"&amp;" · ","")&amp;IF(OR(AND($I84&lt;&gt;"",$I84&lt;$H84),AND($J84&lt;&gt;"",$J84&lt;MAX($H84:$I84)),AND($K84&lt;&gt;"",$K84&lt;MAX($H84:$J84))),"Avance semanal decreciente"&amp;" · ","")&amp;IF(AND(ISNUMBER($F84),$F84&lt;FechaRef,N($L84)&lt;1),"Vencida"&amp;" · ","")&amp;IF(AND(ObsObligatoria="Sí",ISNUMBER($F84),$F84&lt;FechaRef,N($L84)&lt;1,$N84=""),"Vencida sin observación"&amp;" · ",""),LEN(IF(AND($S84="Macro",$B84=""),"Macroactividad vacía"&amp;" · ","")&amp;IF(AND($B84&lt;&gt;"",$C84&lt;&gt;""),"Escriba la subactividad en otra fila, debajo de su macroactividad"&amp;" · ","")&amp;IF(AND($S84="Sub",N($R84)=0),"Subactividad sin macroactividad arriba"&amp;" · ","")&amp;IF($D84="","Sin responsable"&amp;" · ","")&amp;IF($E84="","Sin fecha de inicio"&amp;" · ","")&amp;IF($F84="","Sin fecha límite"&amp;" · ","")&amp;IF(OR(AND($E84&lt;&gt;"",NOT(ISNUMBER($E84))),AND($F84&lt;&gt;"",NOT(ISNUMBER($F84)))),"Fecha no válida"&amp;" · ","")&amp;IF(AND(ISNUMBER($E84),ISNUMBER($F84),$E84&gt;$F84),"Inicio posterior a fecha límite"&amp;" · ","")&amp;IF(AND($S84="Macro",$G84=""),"Peso vacío"&amp;" · ","")&amp;IF(AND($S84="Macro",$G84&lt;&gt;"",OR(NOT(ISNUMBER($G84)),$G84&lt;=0,$G84&gt;1)),"Peso fuera de rango"&amp;" · ","")&amp;IF(AND($S84="Sub",$G84&lt;&gt;""),"Las subactividades no llevan peso"&amp;" · ","")&amp;IF(AND($S84="Macro",ABS(SUMIFS($G$5:$G$1000,$P$5:$P$1000,$P84,$S$5:$S$1000,"Macro")-1)&gt;0.0001),"Pesos del mes suman "&amp;TEXT(SUMIFS($G$5:$G$1000,$P$5:$P$1000,$P84,$S$5:$S$1000,"Macro"),"0%")&amp;" · ","")&amp;IF(AND(N($T84)&gt;0,COUNT($H84:$K84)&gt;0),"Con subactividades: deje vacías las semanas (se calculan solas)"&amp;" · ","")&amp;IF((COUNTIF($H84:$K84,"&gt;1")+COUNTIF($H84:$K84,"&lt;0")+COUNTA($H84:$K84)-COUNT($H84:$K84))&gt;0,"Avance fuera de rango 0-100%"&amp;" · ","")&amp;IF(OR(AND($I84&lt;&gt;"",$I84&lt;$H84),AND($J84&lt;&gt;"",$J84&lt;MAX($H84:$I84)),AND($K84&lt;&gt;"",$K84&lt;MAX($H84:$J84))),"Avance semanal decreciente"&amp;" · ","")&amp;IF(AND(ISNUMBER($F84),$F84&lt;FechaRef,N($L84)&lt;1),"Vencida"&amp;" · ","")&amp;IF(AND(ObsObligatoria="Sí",ISNUMBER($F84),$F84&lt;FechaRef,N($L84)&lt;1,$N84=""),"Vencida sin observación"&amp;" · ",""))-3)))</f>
        <v/>
      </c>
      <c r="P84" s="69">
        <f>IF(NOT((COUNTA($B84:$K84)+COUNTA($N84))&gt;0),"",IF(AND($S84="Sub",N($R84)&gt;0),IF(ISNUMBER(INDEX($E$5:$E$1000,$R84-4)),DATE(YEAR(INDEX($E$5:$E$1000,$R84-4)),MONTH(INDEX($E$5:$E$1000,$R84-4)),1),IF(ISNUMBER(INDEX($F$5:$F$1000,$R84-4)),DATE(YEAR(INDEX($F$5:$F$1000,$R84-4)),MONTH(INDEX($F$5:$F$1000,$R84-4)),1),MesCiclo)),IF(ISNUMBER($E84),DATE(YEAR($E84),MONTH($E84),1),IF(ISNUMBER($F84),DATE(YEAR($F84),MONTH($F84),1),MesCiclo))))</f>
        <v/>
      </c>
      <c r="Q84" s="70">
        <f>IF(OR($P84="",$P84&lt;&gt;MesCiclo),"",COUNTIF($P$5:$P84,MesCiclo))</f>
        <v/>
      </c>
      <c r="R84" s="70">
        <f>IF($S84="","",IF($S84="Macro",ROW(),IFERROR(LOOKUP(2,1/($S$5:$S84="Macro"),ROW($S$5:$S84)),0)))</f>
        <v/>
      </c>
      <c r="S84" s="70">
        <f>IF(NOT((COUNTA($B84:$K84)+COUNTA($N84))&gt;0),"",IF($B84&lt;&gt;"","Macro",IF($C84&lt;&gt;"","Sub","Macro")))</f>
        <v/>
      </c>
      <c r="T84" s="70">
        <f>IF($S84="Macro",COUNTIFS($R$5:$R$1000,ROW(),$S$5:$S$1000,"Sub"),"")</f>
        <v/>
      </c>
      <c r="U84" s="70">
        <f>IF($S84="","",IF(ISNUMBER($H84),$H84,0))</f>
        <v/>
      </c>
      <c r="V84" s="70">
        <f>IF($S84="","",IF(ISNUMBER($I84),$I84,$U84))</f>
        <v/>
      </c>
      <c r="W84" s="70">
        <f>IF($S84="","",IF(ISNUMBER($J84),$J84,$V84))</f>
        <v/>
      </c>
      <c r="X84" s="70">
        <f>IF($S84="","",IF(ISNUMBER($K84),$K84,$W84))</f>
        <v/>
      </c>
      <c r="Y84" s="70">
        <f>IF($S84="","",IF(N($T84)&gt;0,AVERAGEIFS($U$5:$U$1000,$R$5:$R$1000,ROW(),$S$5:$S$1000,"Sub"),$U84))</f>
        <v/>
      </c>
      <c r="Z84" s="70">
        <f>IF($S84="","",IF(N($T84)&gt;0,AVERAGEIFS($V$5:$V$1000,$R$5:$R$1000,ROW(),$S$5:$S$1000,"Sub"),$V84))</f>
        <v/>
      </c>
      <c r="AA84" s="70">
        <f>IF($S84="","",IF(N($T84)&gt;0,AVERAGEIFS($W$5:$W$1000,$R$5:$R$1000,ROW(),$S$5:$S$1000,"Sub"),$W84))</f>
        <v/>
      </c>
      <c r="AB84" s="70">
        <f>IF($S84="","",IF(N($T84)&gt;0,AVERAGEIFS($X$5:$X$1000,$R$5:$R$1000,ROW(),$S$5:$S$1000,"Sub"),$X84))</f>
        <v/>
      </c>
    </row>
    <row r="85">
      <c r="A85" s="61">
        <f>IF(NOT((COUNTA($B85:$K85)+COUNTA($N85))&gt;0),"",IF($S85="Macro",COUNTIFS($S$5:$S85,"Macro",$P$5:$P85,$P85),IF(N($R85)=0,"?",COUNTIFS(INDEX($S$5:$S$1000,1):INDEX($S$5:$S$1000,$R85-4),"Macro",INDEX($P$5:$P$1000,1):INDEX($P$5:$P$1000,$R85-4),INDEX($P$5:$P$1000,$R85-4))&amp;"."&amp;COUNTIFS($R$5:$R85,$R85,$S$5:$S85,"Sub"))))</f>
        <v/>
      </c>
      <c r="B85" s="62" t="n"/>
      <c r="C85" s="63" t="n"/>
      <c r="D85" s="62" t="n"/>
      <c r="E85" s="64" t="n"/>
      <c r="F85" s="64" t="n"/>
      <c r="G85" s="65" t="n"/>
      <c r="H85" s="66" t="n"/>
      <c r="I85" s="66" t="n"/>
      <c r="J85" s="66" t="n"/>
      <c r="K85" s="66" t="n"/>
      <c r="L85" s="67">
        <f>IF(NOT((COUNTA($B85:$K85)+COUNTA($N85))&gt;0),"",IF(N($T85)&gt;0,$AB85,IFERROR(LOOKUP(2,1/(H85:K85&lt;&gt;""),H85:K85),0)))</f>
        <v/>
      </c>
      <c r="M85" s="61">
        <f>IF(L85="","",IF(L85&gt;=1,"Completado",IF(L85&gt;0,"En curso","Pendiente")))</f>
        <v/>
      </c>
      <c r="N85" s="62" t="n"/>
      <c r="O85" s="68">
        <f>IF(NOT((COUNTA($B85:$K85)+COUNTA($N85))&gt;0),"",IF((IF(AND($S85="Macro",$B85=""),"Macroactividad vacía"&amp;" · ","")&amp;IF(AND($B85&lt;&gt;"",$C85&lt;&gt;""),"Escriba la subactividad en otra fila, debajo de su macroactividad"&amp;" · ","")&amp;IF(AND($S85="Sub",N($R85)=0),"Subactividad sin macroactividad arriba"&amp;" · ","")&amp;IF($D85="","Sin responsable"&amp;" · ","")&amp;IF($E85="","Sin fecha de inicio"&amp;" · ","")&amp;IF($F85="","Sin fecha límite"&amp;" · ","")&amp;IF(OR(AND($E85&lt;&gt;"",NOT(ISNUMBER($E85))),AND($F85&lt;&gt;"",NOT(ISNUMBER($F85)))),"Fecha no válida"&amp;" · ","")&amp;IF(AND(ISNUMBER($E85),ISNUMBER($F85),$E85&gt;$F85),"Inicio posterior a fecha límite"&amp;" · ","")&amp;IF(AND($S85="Macro",$G85=""),"Peso vacío"&amp;" · ","")&amp;IF(AND($S85="Macro",$G85&lt;&gt;"",OR(NOT(ISNUMBER($G85)),$G85&lt;=0,$G85&gt;1)),"Peso fuera de rango"&amp;" · ","")&amp;IF(AND($S85="Sub",$G85&lt;&gt;""),"Las subactividades no llevan peso"&amp;" · ","")&amp;IF(AND($S85="Macro",ABS(SUMIFS($G$5:$G$1000,$P$5:$P$1000,$P85,$S$5:$S$1000,"Macro")-1)&gt;0.0001),"Pesos del mes suman "&amp;TEXT(SUMIFS($G$5:$G$1000,$P$5:$P$1000,$P85,$S$5:$S$1000,"Macro"),"0%")&amp;" · ","")&amp;IF(AND(N($T85)&gt;0,COUNT($H85:$K85)&gt;0),"Con subactividades: deje vacías las semanas (se calculan solas)"&amp;" · ","")&amp;IF((COUNTIF($H85:$K85,"&gt;1")+COUNTIF($H85:$K85,"&lt;0")+COUNTA($H85:$K85)-COUNT($H85:$K85))&gt;0,"Avance fuera de rango 0-100%"&amp;" · ","")&amp;IF(OR(AND($I85&lt;&gt;"",$I85&lt;$H85),AND($J85&lt;&gt;"",$J85&lt;MAX($H85:$I85)),AND($K85&lt;&gt;"",$K85&lt;MAX($H85:$J85))),"Avance semanal decreciente"&amp;" · ","")&amp;IF(AND(ISNUMBER($F85),$F85&lt;FechaRef,N($L85)&lt;1),"Vencida"&amp;" · ","")&amp;IF(AND(ObsObligatoria="Sí",ISNUMBER($F85),$F85&lt;FechaRef,N($L85)&lt;1,$N85=""),"Vencida sin observación"&amp;" · ",""))="","✔ OK","⚠ "&amp;LEFT(IF(AND($S85="Macro",$B85=""),"Macroactividad vacía"&amp;" · ","")&amp;IF(AND($B85&lt;&gt;"",$C85&lt;&gt;""),"Escriba la subactividad en otra fila, debajo de su macroactividad"&amp;" · ","")&amp;IF(AND($S85="Sub",N($R85)=0),"Subactividad sin macroactividad arriba"&amp;" · ","")&amp;IF($D85="","Sin responsable"&amp;" · ","")&amp;IF($E85="","Sin fecha de inicio"&amp;" · ","")&amp;IF($F85="","Sin fecha límite"&amp;" · ","")&amp;IF(OR(AND($E85&lt;&gt;"",NOT(ISNUMBER($E85))),AND($F85&lt;&gt;"",NOT(ISNUMBER($F85)))),"Fecha no válida"&amp;" · ","")&amp;IF(AND(ISNUMBER($E85),ISNUMBER($F85),$E85&gt;$F85),"Inicio posterior a fecha límite"&amp;" · ","")&amp;IF(AND($S85="Macro",$G85=""),"Peso vacío"&amp;" · ","")&amp;IF(AND($S85="Macro",$G85&lt;&gt;"",OR(NOT(ISNUMBER($G85)),$G85&lt;=0,$G85&gt;1)),"Peso fuera de rango"&amp;" · ","")&amp;IF(AND($S85="Sub",$G85&lt;&gt;""),"Las subactividades no llevan peso"&amp;" · ","")&amp;IF(AND($S85="Macro",ABS(SUMIFS($G$5:$G$1000,$P$5:$P$1000,$P85,$S$5:$S$1000,"Macro")-1)&gt;0.0001),"Pesos del mes suman "&amp;TEXT(SUMIFS($G$5:$G$1000,$P$5:$P$1000,$P85,$S$5:$S$1000,"Macro"),"0%")&amp;" · ","")&amp;IF(AND(N($T85)&gt;0,COUNT($H85:$K85)&gt;0),"Con subactividades: deje vacías las semanas (se calculan solas)"&amp;" · ","")&amp;IF((COUNTIF($H85:$K85,"&gt;1")+COUNTIF($H85:$K85,"&lt;0")+COUNTA($H85:$K85)-COUNT($H85:$K85))&gt;0,"Avance fuera de rango 0-100%"&amp;" · ","")&amp;IF(OR(AND($I85&lt;&gt;"",$I85&lt;$H85),AND($J85&lt;&gt;"",$J85&lt;MAX($H85:$I85)),AND($K85&lt;&gt;"",$K85&lt;MAX($H85:$J85))),"Avance semanal decreciente"&amp;" · ","")&amp;IF(AND(ISNUMBER($F85),$F85&lt;FechaRef,N($L85)&lt;1),"Vencida"&amp;" · ","")&amp;IF(AND(ObsObligatoria="Sí",ISNUMBER($F85),$F85&lt;FechaRef,N($L85)&lt;1,$N85=""),"Vencida sin observación"&amp;" · ",""),LEN(IF(AND($S85="Macro",$B85=""),"Macroactividad vacía"&amp;" · ","")&amp;IF(AND($B85&lt;&gt;"",$C85&lt;&gt;""),"Escriba la subactividad en otra fila, debajo de su macroactividad"&amp;" · ","")&amp;IF(AND($S85="Sub",N($R85)=0),"Subactividad sin macroactividad arriba"&amp;" · ","")&amp;IF($D85="","Sin responsable"&amp;" · ","")&amp;IF($E85="","Sin fecha de inicio"&amp;" · ","")&amp;IF($F85="","Sin fecha límite"&amp;" · ","")&amp;IF(OR(AND($E85&lt;&gt;"",NOT(ISNUMBER($E85))),AND($F85&lt;&gt;"",NOT(ISNUMBER($F85)))),"Fecha no válida"&amp;" · ","")&amp;IF(AND(ISNUMBER($E85),ISNUMBER($F85),$E85&gt;$F85),"Inicio posterior a fecha límite"&amp;" · ","")&amp;IF(AND($S85="Macro",$G85=""),"Peso vacío"&amp;" · ","")&amp;IF(AND($S85="Macro",$G85&lt;&gt;"",OR(NOT(ISNUMBER($G85)),$G85&lt;=0,$G85&gt;1)),"Peso fuera de rango"&amp;" · ","")&amp;IF(AND($S85="Sub",$G85&lt;&gt;""),"Las subactividades no llevan peso"&amp;" · ","")&amp;IF(AND($S85="Macro",ABS(SUMIFS($G$5:$G$1000,$P$5:$P$1000,$P85,$S$5:$S$1000,"Macro")-1)&gt;0.0001),"Pesos del mes suman "&amp;TEXT(SUMIFS($G$5:$G$1000,$P$5:$P$1000,$P85,$S$5:$S$1000,"Macro"),"0%")&amp;" · ","")&amp;IF(AND(N($T85)&gt;0,COUNT($H85:$K85)&gt;0),"Con subactividades: deje vacías las semanas (se calculan solas)"&amp;" · ","")&amp;IF((COUNTIF($H85:$K85,"&gt;1")+COUNTIF($H85:$K85,"&lt;0")+COUNTA($H85:$K85)-COUNT($H85:$K85))&gt;0,"Avance fuera de rango 0-100%"&amp;" · ","")&amp;IF(OR(AND($I85&lt;&gt;"",$I85&lt;$H85),AND($J85&lt;&gt;"",$J85&lt;MAX($H85:$I85)),AND($K85&lt;&gt;"",$K85&lt;MAX($H85:$J85))),"Avance semanal decreciente"&amp;" · ","")&amp;IF(AND(ISNUMBER($F85),$F85&lt;FechaRef,N($L85)&lt;1),"Vencida"&amp;" · ","")&amp;IF(AND(ObsObligatoria="Sí",ISNUMBER($F85),$F85&lt;FechaRef,N($L85)&lt;1,$N85=""),"Vencida sin observación"&amp;" · ",""))-3)))</f>
        <v/>
      </c>
      <c r="P85" s="69">
        <f>IF(NOT((COUNTA($B85:$K85)+COUNTA($N85))&gt;0),"",IF(AND($S85="Sub",N($R85)&gt;0),IF(ISNUMBER(INDEX($E$5:$E$1000,$R85-4)),DATE(YEAR(INDEX($E$5:$E$1000,$R85-4)),MONTH(INDEX($E$5:$E$1000,$R85-4)),1),IF(ISNUMBER(INDEX($F$5:$F$1000,$R85-4)),DATE(YEAR(INDEX($F$5:$F$1000,$R85-4)),MONTH(INDEX($F$5:$F$1000,$R85-4)),1),MesCiclo)),IF(ISNUMBER($E85),DATE(YEAR($E85),MONTH($E85),1),IF(ISNUMBER($F85),DATE(YEAR($F85),MONTH($F85),1),MesCiclo))))</f>
        <v/>
      </c>
      <c r="Q85" s="70">
        <f>IF(OR($P85="",$P85&lt;&gt;MesCiclo),"",COUNTIF($P$5:$P85,MesCiclo))</f>
        <v/>
      </c>
      <c r="R85" s="70">
        <f>IF($S85="","",IF($S85="Macro",ROW(),IFERROR(LOOKUP(2,1/($S$5:$S85="Macro"),ROW($S$5:$S85)),0)))</f>
        <v/>
      </c>
      <c r="S85" s="70">
        <f>IF(NOT((COUNTA($B85:$K85)+COUNTA($N85))&gt;0),"",IF($B85&lt;&gt;"","Macro",IF($C85&lt;&gt;"","Sub","Macro")))</f>
        <v/>
      </c>
      <c r="T85" s="70">
        <f>IF($S85="Macro",COUNTIFS($R$5:$R$1000,ROW(),$S$5:$S$1000,"Sub"),"")</f>
        <v/>
      </c>
      <c r="U85" s="70">
        <f>IF($S85="","",IF(ISNUMBER($H85),$H85,0))</f>
        <v/>
      </c>
      <c r="V85" s="70">
        <f>IF($S85="","",IF(ISNUMBER($I85),$I85,$U85))</f>
        <v/>
      </c>
      <c r="W85" s="70">
        <f>IF($S85="","",IF(ISNUMBER($J85),$J85,$V85))</f>
        <v/>
      </c>
      <c r="X85" s="70">
        <f>IF($S85="","",IF(ISNUMBER($K85),$K85,$W85))</f>
        <v/>
      </c>
      <c r="Y85" s="70">
        <f>IF($S85="","",IF(N($T85)&gt;0,AVERAGEIFS($U$5:$U$1000,$R$5:$R$1000,ROW(),$S$5:$S$1000,"Sub"),$U85))</f>
        <v/>
      </c>
      <c r="Z85" s="70">
        <f>IF($S85="","",IF(N($T85)&gt;0,AVERAGEIFS($V$5:$V$1000,$R$5:$R$1000,ROW(),$S$5:$S$1000,"Sub"),$V85))</f>
        <v/>
      </c>
      <c r="AA85" s="70">
        <f>IF($S85="","",IF(N($T85)&gt;0,AVERAGEIFS($W$5:$W$1000,$R$5:$R$1000,ROW(),$S$5:$S$1000,"Sub"),$W85))</f>
        <v/>
      </c>
      <c r="AB85" s="70">
        <f>IF($S85="","",IF(N($T85)&gt;0,AVERAGEIFS($X$5:$X$1000,$R$5:$R$1000,ROW(),$S$5:$S$1000,"Sub"),$X85))</f>
        <v/>
      </c>
    </row>
    <row r="86">
      <c r="A86" s="61">
        <f>IF(NOT((COUNTA($B86:$K86)+COUNTA($N86))&gt;0),"",IF($S86="Macro",COUNTIFS($S$5:$S86,"Macro",$P$5:$P86,$P86),IF(N($R86)=0,"?",COUNTIFS(INDEX($S$5:$S$1000,1):INDEX($S$5:$S$1000,$R86-4),"Macro",INDEX($P$5:$P$1000,1):INDEX($P$5:$P$1000,$R86-4),INDEX($P$5:$P$1000,$R86-4))&amp;"."&amp;COUNTIFS($R$5:$R86,$R86,$S$5:$S86,"Sub"))))</f>
        <v/>
      </c>
      <c r="B86" s="62" t="n"/>
      <c r="C86" s="63" t="n"/>
      <c r="D86" s="62" t="n"/>
      <c r="E86" s="64" t="n"/>
      <c r="F86" s="64" t="n"/>
      <c r="G86" s="65" t="n"/>
      <c r="H86" s="66" t="n"/>
      <c r="I86" s="66" t="n"/>
      <c r="J86" s="66" t="n"/>
      <c r="K86" s="66" t="n"/>
      <c r="L86" s="67">
        <f>IF(NOT((COUNTA($B86:$K86)+COUNTA($N86))&gt;0),"",IF(N($T86)&gt;0,$AB86,IFERROR(LOOKUP(2,1/(H86:K86&lt;&gt;""),H86:K86),0)))</f>
        <v/>
      </c>
      <c r="M86" s="61">
        <f>IF(L86="","",IF(L86&gt;=1,"Completado",IF(L86&gt;0,"En curso","Pendiente")))</f>
        <v/>
      </c>
      <c r="N86" s="62" t="n"/>
      <c r="O86" s="68">
        <f>IF(NOT((COUNTA($B86:$K86)+COUNTA($N86))&gt;0),"",IF((IF(AND($S86="Macro",$B86=""),"Macroactividad vacía"&amp;" · ","")&amp;IF(AND($B86&lt;&gt;"",$C86&lt;&gt;""),"Escriba la subactividad en otra fila, debajo de su macroactividad"&amp;" · ","")&amp;IF(AND($S86="Sub",N($R86)=0),"Subactividad sin macroactividad arriba"&amp;" · ","")&amp;IF($D86="","Sin responsable"&amp;" · ","")&amp;IF($E86="","Sin fecha de inicio"&amp;" · ","")&amp;IF($F86="","Sin fecha límite"&amp;" · ","")&amp;IF(OR(AND($E86&lt;&gt;"",NOT(ISNUMBER($E86))),AND($F86&lt;&gt;"",NOT(ISNUMBER($F86)))),"Fecha no válida"&amp;" · ","")&amp;IF(AND(ISNUMBER($E86),ISNUMBER($F86),$E86&gt;$F86),"Inicio posterior a fecha límite"&amp;" · ","")&amp;IF(AND($S86="Macro",$G86=""),"Peso vacío"&amp;" · ","")&amp;IF(AND($S86="Macro",$G86&lt;&gt;"",OR(NOT(ISNUMBER($G86)),$G86&lt;=0,$G86&gt;1)),"Peso fuera de rango"&amp;" · ","")&amp;IF(AND($S86="Sub",$G86&lt;&gt;""),"Las subactividades no llevan peso"&amp;" · ","")&amp;IF(AND($S86="Macro",ABS(SUMIFS($G$5:$G$1000,$P$5:$P$1000,$P86,$S$5:$S$1000,"Macro")-1)&gt;0.0001),"Pesos del mes suman "&amp;TEXT(SUMIFS($G$5:$G$1000,$P$5:$P$1000,$P86,$S$5:$S$1000,"Macro"),"0%")&amp;" · ","")&amp;IF(AND(N($T86)&gt;0,COUNT($H86:$K86)&gt;0),"Con subactividades: deje vacías las semanas (se calculan solas)"&amp;" · ","")&amp;IF((COUNTIF($H86:$K86,"&gt;1")+COUNTIF($H86:$K86,"&lt;0")+COUNTA($H86:$K86)-COUNT($H86:$K86))&gt;0,"Avance fuera de rango 0-100%"&amp;" · ","")&amp;IF(OR(AND($I86&lt;&gt;"",$I86&lt;$H86),AND($J86&lt;&gt;"",$J86&lt;MAX($H86:$I86)),AND($K86&lt;&gt;"",$K86&lt;MAX($H86:$J86))),"Avance semanal decreciente"&amp;" · ","")&amp;IF(AND(ISNUMBER($F86),$F86&lt;FechaRef,N($L86)&lt;1),"Vencida"&amp;" · ","")&amp;IF(AND(ObsObligatoria="Sí",ISNUMBER($F86),$F86&lt;FechaRef,N($L86)&lt;1,$N86=""),"Vencida sin observación"&amp;" · ",""))="","✔ OK","⚠ "&amp;LEFT(IF(AND($S86="Macro",$B86=""),"Macroactividad vacía"&amp;" · ","")&amp;IF(AND($B86&lt;&gt;"",$C86&lt;&gt;""),"Escriba la subactividad en otra fila, debajo de su macroactividad"&amp;" · ","")&amp;IF(AND($S86="Sub",N($R86)=0),"Subactividad sin macroactividad arriba"&amp;" · ","")&amp;IF($D86="","Sin responsable"&amp;" · ","")&amp;IF($E86="","Sin fecha de inicio"&amp;" · ","")&amp;IF($F86="","Sin fecha límite"&amp;" · ","")&amp;IF(OR(AND($E86&lt;&gt;"",NOT(ISNUMBER($E86))),AND($F86&lt;&gt;"",NOT(ISNUMBER($F86)))),"Fecha no válida"&amp;" · ","")&amp;IF(AND(ISNUMBER($E86),ISNUMBER($F86),$E86&gt;$F86),"Inicio posterior a fecha límite"&amp;" · ","")&amp;IF(AND($S86="Macro",$G86=""),"Peso vacío"&amp;" · ","")&amp;IF(AND($S86="Macro",$G86&lt;&gt;"",OR(NOT(ISNUMBER($G86)),$G86&lt;=0,$G86&gt;1)),"Peso fuera de rango"&amp;" · ","")&amp;IF(AND($S86="Sub",$G86&lt;&gt;""),"Las subactividades no llevan peso"&amp;" · ","")&amp;IF(AND($S86="Macro",ABS(SUMIFS($G$5:$G$1000,$P$5:$P$1000,$P86,$S$5:$S$1000,"Macro")-1)&gt;0.0001),"Pesos del mes suman "&amp;TEXT(SUMIFS($G$5:$G$1000,$P$5:$P$1000,$P86,$S$5:$S$1000,"Macro"),"0%")&amp;" · ","")&amp;IF(AND(N($T86)&gt;0,COUNT($H86:$K86)&gt;0),"Con subactividades: deje vacías las semanas (se calculan solas)"&amp;" · ","")&amp;IF((COUNTIF($H86:$K86,"&gt;1")+COUNTIF($H86:$K86,"&lt;0")+COUNTA($H86:$K86)-COUNT($H86:$K86))&gt;0,"Avance fuera de rango 0-100%"&amp;" · ","")&amp;IF(OR(AND($I86&lt;&gt;"",$I86&lt;$H86),AND($J86&lt;&gt;"",$J86&lt;MAX($H86:$I86)),AND($K86&lt;&gt;"",$K86&lt;MAX($H86:$J86))),"Avance semanal decreciente"&amp;" · ","")&amp;IF(AND(ISNUMBER($F86),$F86&lt;FechaRef,N($L86)&lt;1),"Vencida"&amp;" · ","")&amp;IF(AND(ObsObligatoria="Sí",ISNUMBER($F86),$F86&lt;FechaRef,N($L86)&lt;1,$N86=""),"Vencida sin observación"&amp;" · ",""),LEN(IF(AND($S86="Macro",$B86=""),"Macroactividad vacía"&amp;" · ","")&amp;IF(AND($B86&lt;&gt;"",$C86&lt;&gt;""),"Escriba la subactividad en otra fila, debajo de su macroactividad"&amp;" · ","")&amp;IF(AND($S86="Sub",N($R86)=0),"Subactividad sin macroactividad arriba"&amp;" · ","")&amp;IF($D86="","Sin responsable"&amp;" · ","")&amp;IF($E86="","Sin fecha de inicio"&amp;" · ","")&amp;IF($F86="","Sin fecha límite"&amp;" · ","")&amp;IF(OR(AND($E86&lt;&gt;"",NOT(ISNUMBER($E86))),AND($F86&lt;&gt;"",NOT(ISNUMBER($F86)))),"Fecha no válida"&amp;" · ","")&amp;IF(AND(ISNUMBER($E86),ISNUMBER($F86),$E86&gt;$F86),"Inicio posterior a fecha límite"&amp;" · ","")&amp;IF(AND($S86="Macro",$G86=""),"Peso vacío"&amp;" · ","")&amp;IF(AND($S86="Macro",$G86&lt;&gt;"",OR(NOT(ISNUMBER($G86)),$G86&lt;=0,$G86&gt;1)),"Peso fuera de rango"&amp;" · ","")&amp;IF(AND($S86="Sub",$G86&lt;&gt;""),"Las subactividades no llevan peso"&amp;" · ","")&amp;IF(AND($S86="Macro",ABS(SUMIFS($G$5:$G$1000,$P$5:$P$1000,$P86,$S$5:$S$1000,"Macro")-1)&gt;0.0001),"Pesos del mes suman "&amp;TEXT(SUMIFS($G$5:$G$1000,$P$5:$P$1000,$P86,$S$5:$S$1000,"Macro"),"0%")&amp;" · ","")&amp;IF(AND(N($T86)&gt;0,COUNT($H86:$K86)&gt;0),"Con subactividades: deje vacías las semanas (se calculan solas)"&amp;" · ","")&amp;IF((COUNTIF($H86:$K86,"&gt;1")+COUNTIF($H86:$K86,"&lt;0")+COUNTA($H86:$K86)-COUNT($H86:$K86))&gt;0,"Avance fuera de rango 0-100%"&amp;" · ","")&amp;IF(OR(AND($I86&lt;&gt;"",$I86&lt;$H86),AND($J86&lt;&gt;"",$J86&lt;MAX($H86:$I86)),AND($K86&lt;&gt;"",$K86&lt;MAX($H86:$J86))),"Avance semanal decreciente"&amp;" · ","")&amp;IF(AND(ISNUMBER($F86),$F86&lt;FechaRef,N($L86)&lt;1),"Vencida"&amp;" · ","")&amp;IF(AND(ObsObligatoria="Sí",ISNUMBER($F86),$F86&lt;FechaRef,N($L86)&lt;1,$N86=""),"Vencida sin observación"&amp;" · ",""))-3)))</f>
        <v/>
      </c>
      <c r="P86" s="69">
        <f>IF(NOT((COUNTA($B86:$K86)+COUNTA($N86))&gt;0),"",IF(AND($S86="Sub",N($R86)&gt;0),IF(ISNUMBER(INDEX($E$5:$E$1000,$R86-4)),DATE(YEAR(INDEX($E$5:$E$1000,$R86-4)),MONTH(INDEX($E$5:$E$1000,$R86-4)),1),IF(ISNUMBER(INDEX($F$5:$F$1000,$R86-4)),DATE(YEAR(INDEX($F$5:$F$1000,$R86-4)),MONTH(INDEX($F$5:$F$1000,$R86-4)),1),MesCiclo)),IF(ISNUMBER($E86),DATE(YEAR($E86),MONTH($E86),1),IF(ISNUMBER($F86),DATE(YEAR($F86),MONTH($F86),1),MesCiclo))))</f>
        <v/>
      </c>
      <c r="Q86" s="70">
        <f>IF(OR($P86="",$P86&lt;&gt;MesCiclo),"",COUNTIF($P$5:$P86,MesCiclo))</f>
        <v/>
      </c>
      <c r="R86" s="70">
        <f>IF($S86="","",IF($S86="Macro",ROW(),IFERROR(LOOKUP(2,1/($S$5:$S86="Macro"),ROW($S$5:$S86)),0)))</f>
        <v/>
      </c>
      <c r="S86" s="70">
        <f>IF(NOT((COUNTA($B86:$K86)+COUNTA($N86))&gt;0),"",IF($B86&lt;&gt;"","Macro",IF($C86&lt;&gt;"","Sub","Macro")))</f>
        <v/>
      </c>
      <c r="T86" s="70">
        <f>IF($S86="Macro",COUNTIFS($R$5:$R$1000,ROW(),$S$5:$S$1000,"Sub"),"")</f>
        <v/>
      </c>
      <c r="U86" s="70">
        <f>IF($S86="","",IF(ISNUMBER($H86),$H86,0))</f>
        <v/>
      </c>
      <c r="V86" s="70">
        <f>IF($S86="","",IF(ISNUMBER($I86),$I86,$U86))</f>
        <v/>
      </c>
      <c r="W86" s="70">
        <f>IF($S86="","",IF(ISNUMBER($J86),$J86,$V86))</f>
        <v/>
      </c>
      <c r="X86" s="70">
        <f>IF($S86="","",IF(ISNUMBER($K86),$K86,$W86))</f>
        <v/>
      </c>
      <c r="Y86" s="70">
        <f>IF($S86="","",IF(N($T86)&gt;0,AVERAGEIFS($U$5:$U$1000,$R$5:$R$1000,ROW(),$S$5:$S$1000,"Sub"),$U86))</f>
        <v/>
      </c>
      <c r="Z86" s="70">
        <f>IF($S86="","",IF(N($T86)&gt;0,AVERAGEIFS($V$5:$V$1000,$R$5:$R$1000,ROW(),$S$5:$S$1000,"Sub"),$V86))</f>
        <v/>
      </c>
      <c r="AA86" s="70">
        <f>IF($S86="","",IF(N($T86)&gt;0,AVERAGEIFS($W$5:$W$1000,$R$5:$R$1000,ROW(),$S$5:$S$1000,"Sub"),$W86))</f>
        <v/>
      </c>
      <c r="AB86" s="70">
        <f>IF($S86="","",IF(N($T86)&gt;0,AVERAGEIFS($X$5:$X$1000,$R$5:$R$1000,ROW(),$S$5:$S$1000,"Sub"),$X86))</f>
        <v/>
      </c>
    </row>
    <row r="87">
      <c r="A87" s="61">
        <f>IF(NOT((COUNTA($B87:$K87)+COUNTA($N87))&gt;0),"",IF($S87="Macro",COUNTIFS($S$5:$S87,"Macro",$P$5:$P87,$P87),IF(N($R87)=0,"?",COUNTIFS(INDEX($S$5:$S$1000,1):INDEX($S$5:$S$1000,$R87-4),"Macro",INDEX($P$5:$P$1000,1):INDEX($P$5:$P$1000,$R87-4),INDEX($P$5:$P$1000,$R87-4))&amp;"."&amp;COUNTIFS($R$5:$R87,$R87,$S$5:$S87,"Sub"))))</f>
        <v/>
      </c>
      <c r="B87" s="62" t="n"/>
      <c r="C87" s="63" t="n"/>
      <c r="D87" s="62" t="n"/>
      <c r="E87" s="64" t="n"/>
      <c r="F87" s="64" t="n"/>
      <c r="G87" s="65" t="n"/>
      <c r="H87" s="66" t="n"/>
      <c r="I87" s="66" t="n"/>
      <c r="J87" s="66" t="n"/>
      <c r="K87" s="66" t="n"/>
      <c r="L87" s="67">
        <f>IF(NOT((COUNTA($B87:$K87)+COUNTA($N87))&gt;0),"",IF(N($T87)&gt;0,$AB87,IFERROR(LOOKUP(2,1/(H87:K87&lt;&gt;""),H87:K87),0)))</f>
        <v/>
      </c>
      <c r="M87" s="61">
        <f>IF(L87="","",IF(L87&gt;=1,"Completado",IF(L87&gt;0,"En curso","Pendiente")))</f>
        <v/>
      </c>
      <c r="N87" s="62" t="n"/>
      <c r="O87" s="68">
        <f>IF(NOT((COUNTA($B87:$K87)+COUNTA($N87))&gt;0),"",IF((IF(AND($S87="Macro",$B87=""),"Macroactividad vacía"&amp;" · ","")&amp;IF(AND($B87&lt;&gt;"",$C87&lt;&gt;""),"Escriba la subactividad en otra fila, debajo de su macroactividad"&amp;" · ","")&amp;IF(AND($S87="Sub",N($R87)=0),"Subactividad sin macroactividad arriba"&amp;" · ","")&amp;IF($D87="","Sin responsable"&amp;" · ","")&amp;IF($E87="","Sin fecha de inicio"&amp;" · ","")&amp;IF($F87="","Sin fecha límite"&amp;" · ","")&amp;IF(OR(AND($E87&lt;&gt;"",NOT(ISNUMBER($E87))),AND($F87&lt;&gt;"",NOT(ISNUMBER($F87)))),"Fecha no válida"&amp;" · ","")&amp;IF(AND(ISNUMBER($E87),ISNUMBER($F87),$E87&gt;$F87),"Inicio posterior a fecha límite"&amp;" · ","")&amp;IF(AND($S87="Macro",$G87=""),"Peso vacío"&amp;" · ","")&amp;IF(AND($S87="Macro",$G87&lt;&gt;"",OR(NOT(ISNUMBER($G87)),$G87&lt;=0,$G87&gt;1)),"Peso fuera de rango"&amp;" · ","")&amp;IF(AND($S87="Sub",$G87&lt;&gt;""),"Las subactividades no llevan peso"&amp;" · ","")&amp;IF(AND($S87="Macro",ABS(SUMIFS($G$5:$G$1000,$P$5:$P$1000,$P87,$S$5:$S$1000,"Macro")-1)&gt;0.0001),"Pesos del mes suman "&amp;TEXT(SUMIFS($G$5:$G$1000,$P$5:$P$1000,$P87,$S$5:$S$1000,"Macro"),"0%")&amp;" · ","")&amp;IF(AND(N($T87)&gt;0,COUNT($H87:$K87)&gt;0),"Con subactividades: deje vacías las semanas (se calculan solas)"&amp;" · ","")&amp;IF((COUNTIF($H87:$K87,"&gt;1")+COUNTIF($H87:$K87,"&lt;0")+COUNTA($H87:$K87)-COUNT($H87:$K87))&gt;0,"Avance fuera de rango 0-100%"&amp;" · ","")&amp;IF(OR(AND($I87&lt;&gt;"",$I87&lt;$H87),AND($J87&lt;&gt;"",$J87&lt;MAX($H87:$I87)),AND($K87&lt;&gt;"",$K87&lt;MAX($H87:$J87))),"Avance semanal decreciente"&amp;" · ","")&amp;IF(AND(ISNUMBER($F87),$F87&lt;FechaRef,N($L87)&lt;1),"Vencida"&amp;" · ","")&amp;IF(AND(ObsObligatoria="Sí",ISNUMBER($F87),$F87&lt;FechaRef,N($L87)&lt;1,$N87=""),"Vencida sin observación"&amp;" · ",""))="","✔ OK","⚠ "&amp;LEFT(IF(AND($S87="Macro",$B87=""),"Macroactividad vacía"&amp;" · ","")&amp;IF(AND($B87&lt;&gt;"",$C87&lt;&gt;""),"Escriba la subactividad en otra fila, debajo de su macroactividad"&amp;" · ","")&amp;IF(AND($S87="Sub",N($R87)=0),"Subactividad sin macroactividad arriba"&amp;" · ","")&amp;IF($D87="","Sin responsable"&amp;" · ","")&amp;IF($E87="","Sin fecha de inicio"&amp;" · ","")&amp;IF($F87="","Sin fecha límite"&amp;" · ","")&amp;IF(OR(AND($E87&lt;&gt;"",NOT(ISNUMBER($E87))),AND($F87&lt;&gt;"",NOT(ISNUMBER($F87)))),"Fecha no válida"&amp;" · ","")&amp;IF(AND(ISNUMBER($E87),ISNUMBER($F87),$E87&gt;$F87),"Inicio posterior a fecha límite"&amp;" · ","")&amp;IF(AND($S87="Macro",$G87=""),"Peso vacío"&amp;" · ","")&amp;IF(AND($S87="Macro",$G87&lt;&gt;"",OR(NOT(ISNUMBER($G87)),$G87&lt;=0,$G87&gt;1)),"Peso fuera de rango"&amp;" · ","")&amp;IF(AND($S87="Sub",$G87&lt;&gt;""),"Las subactividades no llevan peso"&amp;" · ","")&amp;IF(AND($S87="Macro",ABS(SUMIFS($G$5:$G$1000,$P$5:$P$1000,$P87,$S$5:$S$1000,"Macro")-1)&gt;0.0001),"Pesos del mes suman "&amp;TEXT(SUMIFS($G$5:$G$1000,$P$5:$P$1000,$P87,$S$5:$S$1000,"Macro"),"0%")&amp;" · ","")&amp;IF(AND(N($T87)&gt;0,COUNT($H87:$K87)&gt;0),"Con subactividades: deje vacías las semanas (se calculan solas)"&amp;" · ","")&amp;IF((COUNTIF($H87:$K87,"&gt;1")+COUNTIF($H87:$K87,"&lt;0")+COUNTA($H87:$K87)-COUNT($H87:$K87))&gt;0,"Avance fuera de rango 0-100%"&amp;" · ","")&amp;IF(OR(AND($I87&lt;&gt;"",$I87&lt;$H87),AND($J87&lt;&gt;"",$J87&lt;MAX($H87:$I87)),AND($K87&lt;&gt;"",$K87&lt;MAX($H87:$J87))),"Avance semanal decreciente"&amp;" · ","")&amp;IF(AND(ISNUMBER($F87),$F87&lt;FechaRef,N($L87)&lt;1),"Vencida"&amp;" · ","")&amp;IF(AND(ObsObligatoria="Sí",ISNUMBER($F87),$F87&lt;FechaRef,N($L87)&lt;1,$N87=""),"Vencida sin observación"&amp;" · ",""),LEN(IF(AND($S87="Macro",$B87=""),"Macroactividad vacía"&amp;" · ","")&amp;IF(AND($B87&lt;&gt;"",$C87&lt;&gt;""),"Escriba la subactividad en otra fila, debajo de su macroactividad"&amp;" · ","")&amp;IF(AND($S87="Sub",N($R87)=0),"Subactividad sin macroactividad arriba"&amp;" · ","")&amp;IF($D87="","Sin responsable"&amp;" · ","")&amp;IF($E87="","Sin fecha de inicio"&amp;" · ","")&amp;IF($F87="","Sin fecha límite"&amp;" · ","")&amp;IF(OR(AND($E87&lt;&gt;"",NOT(ISNUMBER($E87))),AND($F87&lt;&gt;"",NOT(ISNUMBER($F87)))),"Fecha no válida"&amp;" · ","")&amp;IF(AND(ISNUMBER($E87),ISNUMBER($F87),$E87&gt;$F87),"Inicio posterior a fecha límite"&amp;" · ","")&amp;IF(AND($S87="Macro",$G87=""),"Peso vacío"&amp;" · ","")&amp;IF(AND($S87="Macro",$G87&lt;&gt;"",OR(NOT(ISNUMBER($G87)),$G87&lt;=0,$G87&gt;1)),"Peso fuera de rango"&amp;" · ","")&amp;IF(AND($S87="Sub",$G87&lt;&gt;""),"Las subactividades no llevan peso"&amp;" · ","")&amp;IF(AND($S87="Macro",ABS(SUMIFS($G$5:$G$1000,$P$5:$P$1000,$P87,$S$5:$S$1000,"Macro")-1)&gt;0.0001),"Pesos del mes suman "&amp;TEXT(SUMIFS($G$5:$G$1000,$P$5:$P$1000,$P87,$S$5:$S$1000,"Macro"),"0%")&amp;" · ","")&amp;IF(AND(N($T87)&gt;0,COUNT($H87:$K87)&gt;0),"Con subactividades: deje vacías las semanas (se calculan solas)"&amp;" · ","")&amp;IF((COUNTIF($H87:$K87,"&gt;1")+COUNTIF($H87:$K87,"&lt;0")+COUNTA($H87:$K87)-COUNT($H87:$K87))&gt;0,"Avance fuera de rango 0-100%"&amp;" · ","")&amp;IF(OR(AND($I87&lt;&gt;"",$I87&lt;$H87),AND($J87&lt;&gt;"",$J87&lt;MAX($H87:$I87)),AND($K87&lt;&gt;"",$K87&lt;MAX($H87:$J87))),"Avance semanal decreciente"&amp;" · ","")&amp;IF(AND(ISNUMBER($F87),$F87&lt;FechaRef,N($L87)&lt;1),"Vencida"&amp;" · ","")&amp;IF(AND(ObsObligatoria="Sí",ISNUMBER($F87),$F87&lt;FechaRef,N($L87)&lt;1,$N87=""),"Vencida sin observación"&amp;" · ",""))-3)))</f>
        <v/>
      </c>
      <c r="P87" s="69">
        <f>IF(NOT((COUNTA($B87:$K87)+COUNTA($N87))&gt;0),"",IF(AND($S87="Sub",N($R87)&gt;0),IF(ISNUMBER(INDEX($E$5:$E$1000,$R87-4)),DATE(YEAR(INDEX($E$5:$E$1000,$R87-4)),MONTH(INDEX($E$5:$E$1000,$R87-4)),1),IF(ISNUMBER(INDEX($F$5:$F$1000,$R87-4)),DATE(YEAR(INDEX($F$5:$F$1000,$R87-4)),MONTH(INDEX($F$5:$F$1000,$R87-4)),1),MesCiclo)),IF(ISNUMBER($E87),DATE(YEAR($E87),MONTH($E87),1),IF(ISNUMBER($F87),DATE(YEAR($F87),MONTH($F87),1),MesCiclo))))</f>
        <v/>
      </c>
      <c r="Q87" s="70">
        <f>IF(OR($P87="",$P87&lt;&gt;MesCiclo),"",COUNTIF($P$5:$P87,MesCiclo))</f>
        <v/>
      </c>
      <c r="R87" s="70">
        <f>IF($S87="","",IF($S87="Macro",ROW(),IFERROR(LOOKUP(2,1/($S$5:$S87="Macro"),ROW($S$5:$S87)),0)))</f>
        <v/>
      </c>
      <c r="S87" s="70">
        <f>IF(NOT((COUNTA($B87:$K87)+COUNTA($N87))&gt;0),"",IF($B87&lt;&gt;"","Macro",IF($C87&lt;&gt;"","Sub","Macro")))</f>
        <v/>
      </c>
      <c r="T87" s="70">
        <f>IF($S87="Macro",COUNTIFS($R$5:$R$1000,ROW(),$S$5:$S$1000,"Sub"),"")</f>
        <v/>
      </c>
      <c r="U87" s="70">
        <f>IF($S87="","",IF(ISNUMBER($H87),$H87,0))</f>
        <v/>
      </c>
      <c r="V87" s="70">
        <f>IF($S87="","",IF(ISNUMBER($I87),$I87,$U87))</f>
        <v/>
      </c>
      <c r="W87" s="70">
        <f>IF($S87="","",IF(ISNUMBER($J87),$J87,$V87))</f>
        <v/>
      </c>
      <c r="X87" s="70">
        <f>IF($S87="","",IF(ISNUMBER($K87),$K87,$W87))</f>
        <v/>
      </c>
      <c r="Y87" s="70">
        <f>IF($S87="","",IF(N($T87)&gt;0,AVERAGEIFS($U$5:$U$1000,$R$5:$R$1000,ROW(),$S$5:$S$1000,"Sub"),$U87))</f>
        <v/>
      </c>
      <c r="Z87" s="70">
        <f>IF($S87="","",IF(N($T87)&gt;0,AVERAGEIFS($V$5:$V$1000,$R$5:$R$1000,ROW(),$S$5:$S$1000,"Sub"),$V87))</f>
        <v/>
      </c>
      <c r="AA87" s="70">
        <f>IF($S87="","",IF(N($T87)&gt;0,AVERAGEIFS($W$5:$W$1000,$R$5:$R$1000,ROW(),$S$5:$S$1000,"Sub"),$W87))</f>
        <v/>
      </c>
      <c r="AB87" s="70">
        <f>IF($S87="","",IF(N($T87)&gt;0,AVERAGEIFS($X$5:$X$1000,$R$5:$R$1000,ROW(),$S$5:$S$1000,"Sub"),$X87))</f>
        <v/>
      </c>
    </row>
    <row r="88">
      <c r="A88" s="61">
        <f>IF(NOT((COUNTA($B88:$K88)+COUNTA($N88))&gt;0),"",IF($S88="Macro",COUNTIFS($S$5:$S88,"Macro",$P$5:$P88,$P88),IF(N($R88)=0,"?",COUNTIFS(INDEX($S$5:$S$1000,1):INDEX($S$5:$S$1000,$R88-4),"Macro",INDEX($P$5:$P$1000,1):INDEX($P$5:$P$1000,$R88-4),INDEX($P$5:$P$1000,$R88-4))&amp;"."&amp;COUNTIFS($R$5:$R88,$R88,$S$5:$S88,"Sub"))))</f>
        <v/>
      </c>
      <c r="B88" s="62" t="n"/>
      <c r="C88" s="63" t="n"/>
      <c r="D88" s="62" t="n"/>
      <c r="E88" s="64" t="n"/>
      <c r="F88" s="64" t="n"/>
      <c r="G88" s="65" t="n"/>
      <c r="H88" s="66" t="n"/>
      <c r="I88" s="66" t="n"/>
      <c r="J88" s="66" t="n"/>
      <c r="K88" s="66" t="n"/>
      <c r="L88" s="67">
        <f>IF(NOT((COUNTA($B88:$K88)+COUNTA($N88))&gt;0),"",IF(N($T88)&gt;0,$AB88,IFERROR(LOOKUP(2,1/(H88:K88&lt;&gt;""),H88:K88),0)))</f>
        <v/>
      </c>
      <c r="M88" s="61">
        <f>IF(L88="","",IF(L88&gt;=1,"Completado",IF(L88&gt;0,"En curso","Pendiente")))</f>
        <v/>
      </c>
      <c r="N88" s="62" t="n"/>
      <c r="O88" s="68">
        <f>IF(NOT((COUNTA($B88:$K88)+COUNTA($N88))&gt;0),"",IF((IF(AND($S88="Macro",$B88=""),"Macroactividad vacía"&amp;" · ","")&amp;IF(AND($B88&lt;&gt;"",$C88&lt;&gt;""),"Escriba la subactividad en otra fila, debajo de su macroactividad"&amp;" · ","")&amp;IF(AND($S88="Sub",N($R88)=0),"Subactividad sin macroactividad arriba"&amp;" · ","")&amp;IF($D88="","Sin responsable"&amp;" · ","")&amp;IF($E88="","Sin fecha de inicio"&amp;" · ","")&amp;IF($F88="","Sin fecha límite"&amp;" · ","")&amp;IF(OR(AND($E88&lt;&gt;"",NOT(ISNUMBER($E88))),AND($F88&lt;&gt;"",NOT(ISNUMBER($F88)))),"Fecha no válida"&amp;" · ","")&amp;IF(AND(ISNUMBER($E88),ISNUMBER($F88),$E88&gt;$F88),"Inicio posterior a fecha límite"&amp;" · ","")&amp;IF(AND($S88="Macro",$G88=""),"Peso vacío"&amp;" · ","")&amp;IF(AND($S88="Macro",$G88&lt;&gt;"",OR(NOT(ISNUMBER($G88)),$G88&lt;=0,$G88&gt;1)),"Peso fuera de rango"&amp;" · ","")&amp;IF(AND($S88="Sub",$G88&lt;&gt;""),"Las subactividades no llevan peso"&amp;" · ","")&amp;IF(AND($S88="Macro",ABS(SUMIFS($G$5:$G$1000,$P$5:$P$1000,$P88,$S$5:$S$1000,"Macro")-1)&gt;0.0001),"Pesos del mes suman "&amp;TEXT(SUMIFS($G$5:$G$1000,$P$5:$P$1000,$P88,$S$5:$S$1000,"Macro"),"0%")&amp;" · ","")&amp;IF(AND(N($T88)&gt;0,COUNT($H88:$K88)&gt;0),"Con subactividades: deje vacías las semanas (se calculan solas)"&amp;" · ","")&amp;IF((COUNTIF($H88:$K88,"&gt;1")+COUNTIF($H88:$K88,"&lt;0")+COUNTA($H88:$K88)-COUNT($H88:$K88))&gt;0,"Avance fuera de rango 0-100%"&amp;" · ","")&amp;IF(OR(AND($I88&lt;&gt;"",$I88&lt;$H88),AND($J88&lt;&gt;"",$J88&lt;MAX($H88:$I88)),AND($K88&lt;&gt;"",$K88&lt;MAX($H88:$J88))),"Avance semanal decreciente"&amp;" · ","")&amp;IF(AND(ISNUMBER($F88),$F88&lt;FechaRef,N($L88)&lt;1),"Vencida"&amp;" · ","")&amp;IF(AND(ObsObligatoria="Sí",ISNUMBER($F88),$F88&lt;FechaRef,N($L88)&lt;1,$N88=""),"Vencida sin observación"&amp;" · ",""))="","✔ OK","⚠ "&amp;LEFT(IF(AND($S88="Macro",$B88=""),"Macroactividad vacía"&amp;" · ","")&amp;IF(AND($B88&lt;&gt;"",$C88&lt;&gt;""),"Escriba la subactividad en otra fila, debajo de su macroactividad"&amp;" · ","")&amp;IF(AND($S88="Sub",N($R88)=0),"Subactividad sin macroactividad arriba"&amp;" · ","")&amp;IF($D88="","Sin responsable"&amp;" · ","")&amp;IF($E88="","Sin fecha de inicio"&amp;" · ","")&amp;IF($F88="","Sin fecha límite"&amp;" · ","")&amp;IF(OR(AND($E88&lt;&gt;"",NOT(ISNUMBER($E88))),AND($F88&lt;&gt;"",NOT(ISNUMBER($F88)))),"Fecha no válida"&amp;" · ","")&amp;IF(AND(ISNUMBER($E88),ISNUMBER($F88),$E88&gt;$F88),"Inicio posterior a fecha límite"&amp;" · ","")&amp;IF(AND($S88="Macro",$G88=""),"Peso vacío"&amp;" · ","")&amp;IF(AND($S88="Macro",$G88&lt;&gt;"",OR(NOT(ISNUMBER($G88)),$G88&lt;=0,$G88&gt;1)),"Peso fuera de rango"&amp;" · ","")&amp;IF(AND($S88="Sub",$G88&lt;&gt;""),"Las subactividades no llevan peso"&amp;" · ","")&amp;IF(AND($S88="Macro",ABS(SUMIFS($G$5:$G$1000,$P$5:$P$1000,$P88,$S$5:$S$1000,"Macro")-1)&gt;0.0001),"Pesos del mes suman "&amp;TEXT(SUMIFS($G$5:$G$1000,$P$5:$P$1000,$P88,$S$5:$S$1000,"Macro"),"0%")&amp;" · ","")&amp;IF(AND(N($T88)&gt;0,COUNT($H88:$K88)&gt;0),"Con subactividades: deje vacías las semanas (se calculan solas)"&amp;" · ","")&amp;IF((COUNTIF($H88:$K88,"&gt;1")+COUNTIF($H88:$K88,"&lt;0")+COUNTA($H88:$K88)-COUNT($H88:$K88))&gt;0,"Avance fuera de rango 0-100%"&amp;" · ","")&amp;IF(OR(AND($I88&lt;&gt;"",$I88&lt;$H88),AND($J88&lt;&gt;"",$J88&lt;MAX($H88:$I88)),AND($K88&lt;&gt;"",$K88&lt;MAX($H88:$J88))),"Avance semanal decreciente"&amp;" · ","")&amp;IF(AND(ISNUMBER($F88),$F88&lt;FechaRef,N($L88)&lt;1),"Vencida"&amp;" · ","")&amp;IF(AND(ObsObligatoria="Sí",ISNUMBER($F88),$F88&lt;FechaRef,N($L88)&lt;1,$N88=""),"Vencida sin observación"&amp;" · ",""),LEN(IF(AND($S88="Macro",$B88=""),"Macroactividad vacía"&amp;" · ","")&amp;IF(AND($B88&lt;&gt;"",$C88&lt;&gt;""),"Escriba la subactividad en otra fila, debajo de su macroactividad"&amp;" · ","")&amp;IF(AND($S88="Sub",N($R88)=0),"Subactividad sin macroactividad arriba"&amp;" · ","")&amp;IF($D88="","Sin responsable"&amp;" · ","")&amp;IF($E88="","Sin fecha de inicio"&amp;" · ","")&amp;IF($F88="","Sin fecha límite"&amp;" · ","")&amp;IF(OR(AND($E88&lt;&gt;"",NOT(ISNUMBER($E88))),AND($F88&lt;&gt;"",NOT(ISNUMBER($F88)))),"Fecha no válida"&amp;" · ","")&amp;IF(AND(ISNUMBER($E88),ISNUMBER($F88),$E88&gt;$F88),"Inicio posterior a fecha límite"&amp;" · ","")&amp;IF(AND($S88="Macro",$G88=""),"Peso vacío"&amp;" · ","")&amp;IF(AND($S88="Macro",$G88&lt;&gt;"",OR(NOT(ISNUMBER($G88)),$G88&lt;=0,$G88&gt;1)),"Peso fuera de rango"&amp;" · ","")&amp;IF(AND($S88="Sub",$G88&lt;&gt;""),"Las subactividades no llevan peso"&amp;" · ","")&amp;IF(AND($S88="Macro",ABS(SUMIFS($G$5:$G$1000,$P$5:$P$1000,$P88,$S$5:$S$1000,"Macro")-1)&gt;0.0001),"Pesos del mes suman "&amp;TEXT(SUMIFS($G$5:$G$1000,$P$5:$P$1000,$P88,$S$5:$S$1000,"Macro"),"0%")&amp;" · ","")&amp;IF(AND(N($T88)&gt;0,COUNT($H88:$K88)&gt;0),"Con subactividades: deje vacías las semanas (se calculan solas)"&amp;" · ","")&amp;IF((COUNTIF($H88:$K88,"&gt;1")+COUNTIF($H88:$K88,"&lt;0")+COUNTA($H88:$K88)-COUNT($H88:$K88))&gt;0,"Avance fuera de rango 0-100%"&amp;" · ","")&amp;IF(OR(AND($I88&lt;&gt;"",$I88&lt;$H88),AND($J88&lt;&gt;"",$J88&lt;MAX($H88:$I88)),AND($K88&lt;&gt;"",$K88&lt;MAX($H88:$J88))),"Avance semanal decreciente"&amp;" · ","")&amp;IF(AND(ISNUMBER($F88),$F88&lt;FechaRef,N($L88)&lt;1),"Vencida"&amp;" · ","")&amp;IF(AND(ObsObligatoria="Sí",ISNUMBER($F88),$F88&lt;FechaRef,N($L88)&lt;1,$N88=""),"Vencida sin observación"&amp;" · ",""))-3)))</f>
        <v/>
      </c>
      <c r="P88" s="69">
        <f>IF(NOT((COUNTA($B88:$K88)+COUNTA($N88))&gt;0),"",IF(AND($S88="Sub",N($R88)&gt;0),IF(ISNUMBER(INDEX($E$5:$E$1000,$R88-4)),DATE(YEAR(INDEX($E$5:$E$1000,$R88-4)),MONTH(INDEX($E$5:$E$1000,$R88-4)),1),IF(ISNUMBER(INDEX($F$5:$F$1000,$R88-4)),DATE(YEAR(INDEX($F$5:$F$1000,$R88-4)),MONTH(INDEX($F$5:$F$1000,$R88-4)),1),MesCiclo)),IF(ISNUMBER($E88),DATE(YEAR($E88),MONTH($E88),1),IF(ISNUMBER($F88),DATE(YEAR($F88),MONTH($F88),1),MesCiclo))))</f>
        <v/>
      </c>
      <c r="Q88" s="70">
        <f>IF(OR($P88="",$P88&lt;&gt;MesCiclo),"",COUNTIF($P$5:$P88,MesCiclo))</f>
        <v/>
      </c>
      <c r="R88" s="70">
        <f>IF($S88="","",IF($S88="Macro",ROW(),IFERROR(LOOKUP(2,1/($S$5:$S88="Macro"),ROW($S$5:$S88)),0)))</f>
        <v/>
      </c>
      <c r="S88" s="70">
        <f>IF(NOT((COUNTA($B88:$K88)+COUNTA($N88))&gt;0),"",IF($B88&lt;&gt;"","Macro",IF($C88&lt;&gt;"","Sub","Macro")))</f>
        <v/>
      </c>
      <c r="T88" s="70">
        <f>IF($S88="Macro",COUNTIFS($R$5:$R$1000,ROW(),$S$5:$S$1000,"Sub"),"")</f>
        <v/>
      </c>
      <c r="U88" s="70">
        <f>IF($S88="","",IF(ISNUMBER($H88),$H88,0))</f>
        <v/>
      </c>
      <c r="V88" s="70">
        <f>IF($S88="","",IF(ISNUMBER($I88),$I88,$U88))</f>
        <v/>
      </c>
      <c r="W88" s="70">
        <f>IF($S88="","",IF(ISNUMBER($J88),$J88,$V88))</f>
        <v/>
      </c>
      <c r="X88" s="70">
        <f>IF($S88="","",IF(ISNUMBER($K88),$K88,$W88))</f>
        <v/>
      </c>
      <c r="Y88" s="70">
        <f>IF($S88="","",IF(N($T88)&gt;0,AVERAGEIFS($U$5:$U$1000,$R$5:$R$1000,ROW(),$S$5:$S$1000,"Sub"),$U88))</f>
        <v/>
      </c>
      <c r="Z88" s="70">
        <f>IF($S88="","",IF(N($T88)&gt;0,AVERAGEIFS($V$5:$V$1000,$R$5:$R$1000,ROW(),$S$5:$S$1000,"Sub"),$V88))</f>
        <v/>
      </c>
      <c r="AA88" s="70">
        <f>IF($S88="","",IF(N($T88)&gt;0,AVERAGEIFS($W$5:$W$1000,$R$5:$R$1000,ROW(),$S$5:$S$1000,"Sub"),$W88))</f>
        <v/>
      </c>
      <c r="AB88" s="70">
        <f>IF($S88="","",IF(N($T88)&gt;0,AVERAGEIFS($X$5:$X$1000,$R$5:$R$1000,ROW(),$S$5:$S$1000,"Sub"),$X88))</f>
        <v/>
      </c>
    </row>
    <row r="89">
      <c r="A89" s="61">
        <f>IF(NOT((COUNTA($B89:$K89)+COUNTA($N89))&gt;0),"",IF($S89="Macro",COUNTIFS($S$5:$S89,"Macro",$P$5:$P89,$P89),IF(N($R89)=0,"?",COUNTIFS(INDEX($S$5:$S$1000,1):INDEX($S$5:$S$1000,$R89-4),"Macro",INDEX($P$5:$P$1000,1):INDEX($P$5:$P$1000,$R89-4),INDEX($P$5:$P$1000,$R89-4))&amp;"."&amp;COUNTIFS($R$5:$R89,$R89,$S$5:$S89,"Sub"))))</f>
        <v/>
      </c>
      <c r="B89" s="62" t="n"/>
      <c r="C89" s="63" t="n"/>
      <c r="D89" s="62" t="n"/>
      <c r="E89" s="64" t="n"/>
      <c r="F89" s="64" t="n"/>
      <c r="G89" s="65" t="n"/>
      <c r="H89" s="66" t="n"/>
      <c r="I89" s="66" t="n"/>
      <c r="J89" s="66" t="n"/>
      <c r="K89" s="66" t="n"/>
      <c r="L89" s="67">
        <f>IF(NOT((COUNTA($B89:$K89)+COUNTA($N89))&gt;0),"",IF(N($T89)&gt;0,$AB89,IFERROR(LOOKUP(2,1/(H89:K89&lt;&gt;""),H89:K89),0)))</f>
        <v/>
      </c>
      <c r="M89" s="61">
        <f>IF(L89="","",IF(L89&gt;=1,"Completado",IF(L89&gt;0,"En curso","Pendiente")))</f>
        <v/>
      </c>
      <c r="N89" s="62" t="n"/>
      <c r="O89" s="68">
        <f>IF(NOT((COUNTA($B89:$K89)+COUNTA($N89))&gt;0),"",IF((IF(AND($S89="Macro",$B89=""),"Macroactividad vacía"&amp;" · ","")&amp;IF(AND($B89&lt;&gt;"",$C89&lt;&gt;""),"Escriba la subactividad en otra fila, debajo de su macroactividad"&amp;" · ","")&amp;IF(AND($S89="Sub",N($R89)=0),"Subactividad sin macroactividad arriba"&amp;" · ","")&amp;IF($D89="","Sin responsable"&amp;" · ","")&amp;IF($E89="","Sin fecha de inicio"&amp;" · ","")&amp;IF($F89="","Sin fecha límite"&amp;" · ","")&amp;IF(OR(AND($E89&lt;&gt;"",NOT(ISNUMBER($E89))),AND($F89&lt;&gt;"",NOT(ISNUMBER($F89)))),"Fecha no válida"&amp;" · ","")&amp;IF(AND(ISNUMBER($E89),ISNUMBER($F89),$E89&gt;$F89),"Inicio posterior a fecha límite"&amp;" · ","")&amp;IF(AND($S89="Macro",$G89=""),"Peso vacío"&amp;" · ","")&amp;IF(AND($S89="Macro",$G89&lt;&gt;"",OR(NOT(ISNUMBER($G89)),$G89&lt;=0,$G89&gt;1)),"Peso fuera de rango"&amp;" · ","")&amp;IF(AND($S89="Sub",$G89&lt;&gt;""),"Las subactividades no llevan peso"&amp;" · ","")&amp;IF(AND($S89="Macro",ABS(SUMIFS($G$5:$G$1000,$P$5:$P$1000,$P89,$S$5:$S$1000,"Macro")-1)&gt;0.0001),"Pesos del mes suman "&amp;TEXT(SUMIFS($G$5:$G$1000,$P$5:$P$1000,$P89,$S$5:$S$1000,"Macro"),"0%")&amp;" · ","")&amp;IF(AND(N($T89)&gt;0,COUNT($H89:$K89)&gt;0),"Con subactividades: deje vacías las semanas (se calculan solas)"&amp;" · ","")&amp;IF((COUNTIF($H89:$K89,"&gt;1")+COUNTIF($H89:$K89,"&lt;0")+COUNTA($H89:$K89)-COUNT($H89:$K89))&gt;0,"Avance fuera de rango 0-100%"&amp;" · ","")&amp;IF(OR(AND($I89&lt;&gt;"",$I89&lt;$H89),AND($J89&lt;&gt;"",$J89&lt;MAX($H89:$I89)),AND($K89&lt;&gt;"",$K89&lt;MAX($H89:$J89))),"Avance semanal decreciente"&amp;" · ","")&amp;IF(AND(ISNUMBER($F89),$F89&lt;FechaRef,N($L89)&lt;1),"Vencida"&amp;" · ","")&amp;IF(AND(ObsObligatoria="Sí",ISNUMBER($F89),$F89&lt;FechaRef,N($L89)&lt;1,$N89=""),"Vencida sin observación"&amp;" · ",""))="","✔ OK","⚠ "&amp;LEFT(IF(AND($S89="Macro",$B89=""),"Macroactividad vacía"&amp;" · ","")&amp;IF(AND($B89&lt;&gt;"",$C89&lt;&gt;""),"Escriba la subactividad en otra fila, debajo de su macroactividad"&amp;" · ","")&amp;IF(AND($S89="Sub",N($R89)=0),"Subactividad sin macroactividad arriba"&amp;" · ","")&amp;IF($D89="","Sin responsable"&amp;" · ","")&amp;IF($E89="","Sin fecha de inicio"&amp;" · ","")&amp;IF($F89="","Sin fecha límite"&amp;" · ","")&amp;IF(OR(AND($E89&lt;&gt;"",NOT(ISNUMBER($E89))),AND($F89&lt;&gt;"",NOT(ISNUMBER($F89)))),"Fecha no válida"&amp;" · ","")&amp;IF(AND(ISNUMBER($E89),ISNUMBER($F89),$E89&gt;$F89),"Inicio posterior a fecha límite"&amp;" · ","")&amp;IF(AND($S89="Macro",$G89=""),"Peso vacío"&amp;" · ","")&amp;IF(AND($S89="Macro",$G89&lt;&gt;"",OR(NOT(ISNUMBER($G89)),$G89&lt;=0,$G89&gt;1)),"Peso fuera de rango"&amp;" · ","")&amp;IF(AND($S89="Sub",$G89&lt;&gt;""),"Las subactividades no llevan peso"&amp;" · ","")&amp;IF(AND($S89="Macro",ABS(SUMIFS($G$5:$G$1000,$P$5:$P$1000,$P89,$S$5:$S$1000,"Macro")-1)&gt;0.0001),"Pesos del mes suman "&amp;TEXT(SUMIFS($G$5:$G$1000,$P$5:$P$1000,$P89,$S$5:$S$1000,"Macro"),"0%")&amp;" · ","")&amp;IF(AND(N($T89)&gt;0,COUNT($H89:$K89)&gt;0),"Con subactividades: deje vacías las semanas (se calculan solas)"&amp;" · ","")&amp;IF((COUNTIF($H89:$K89,"&gt;1")+COUNTIF($H89:$K89,"&lt;0")+COUNTA($H89:$K89)-COUNT($H89:$K89))&gt;0,"Avance fuera de rango 0-100%"&amp;" · ","")&amp;IF(OR(AND($I89&lt;&gt;"",$I89&lt;$H89),AND($J89&lt;&gt;"",$J89&lt;MAX($H89:$I89)),AND($K89&lt;&gt;"",$K89&lt;MAX($H89:$J89))),"Avance semanal decreciente"&amp;" · ","")&amp;IF(AND(ISNUMBER($F89),$F89&lt;FechaRef,N($L89)&lt;1),"Vencida"&amp;" · ","")&amp;IF(AND(ObsObligatoria="Sí",ISNUMBER($F89),$F89&lt;FechaRef,N($L89)&lt;1,$N89=""),"Vencida sin observación"&amp;" · ",""),LEN(IF(AND($S89="Macro",$B89=""),"Macroactividad vacía"&amp;" · ","")&amp;IF(AND($B89&lt;&gt;"",$C89&lt;&gt;""),"Escriba la subactividad en otra fila, debajo de su macroactividad"&amp;" · ","")&amp;IF(AND($S89="Sub",N($R89)=0),"Subactividad sin macroactividad arriba"&amp;" · ","")&amp;IF($D89="","Sin responsable"&amp;" · ","")&amp;IF($E89="","Sin fecha de inicio"&amp;" · ","")&amp;IF($F89="","Sin fecha límite"&amp;" · ","")&amp;IF(OR(AND($E89&lt;&gt;"",NOT(ISNUMBER($E89))),AND($F89&lt;&gt;"",NOT(ISNUMBER($F89)))),"Fecha no válida"&amp;" · ","")&amp;IF(AND(ISNUMBER($E89),ISNUMBER($F89),$E89&gt;$F89),"Inicio posterior a fecha límite"&amp;" · ","")&amp;IF(AND($S89="Macro",$G89=""),"Peso vacío"&amp;" · ","")&amp;IF(AND($S89="Macro",$G89&lt;&gt;"",OR(NOT(ISNUMBER($G89)),$G89&lt;=0,$G89&gt;1)),"Peso fuera de rango"&amp;" · ","")&amp;IF(AND($S89="Sub",$G89&lt;&gt;""),"Las subactividades no llevan peso"&amp;" · ","")&amp;IF(AND($S89="Macro",ABS(SUMIFS($G$5:$G$1000,$P$5:$P$1000,$P89,$S$5:$S$1000,"Macro")-1)&gt;0.0001),"Pesos del mes suman "&amp;TEXT(SUMIFS($G$5:$G$1000,$P$5:$P$1000,$P89,$S$5:$S$1000,"Macro"),"0%")&amp;" · ","")&amp;IF(AND(N($T89)&gt;0,COUNT($H89:$K89)&gt;0),"Con subactividades: deje vacías las semanas (se calculan solas)"&amp;" · ","")&amp;IF((COUNTIF($H89:$K89,"&gt;1")+COUNTIF($H89:$K89,"&lt;0")+COUNTA($H89:$K89)-COUNT($H89:$K89))&gt;0,"Avance fuera de rango 0-100%"&amp;" · ","")&amp;IF(OR(AND($I89&lt;&gt;"",$I89&lt;$H89),AND($J89&lt;&gt;"",$J89&lt;MAX($H89:$I89)),AND($K89&lt;&gt;"",$K89&lt;MAX($H89:$J89))),"Avance semanal decreciente"&amp;" · ","")&amp;IF(AND(ISNUMBER($F89),$F89&lt;FechaRef,N($L89)&lt;1),"Vencida"&amp;" · ","")&amp;IF(AND(ObsObligatoria="Sí",ISNUMBER($F89),$F89&lt;FechaRef,N($L89)&lt;1,$N89=""),"Vencida sin observación"&amp;" · ",""))-3)))</f>
        <v/>
      </c>
      <c r="P89" s="69">
        <f>IF(NOT((COUNTA($B89:$K89)+COUNTA($N89))&gt;0),"",IF(AND($S89="Sub",N($R89)&gt;0),IF(ISNUMBER(INDEX($E$5:$E$1000,$R89-4)),DATE(YEAR(INDEX($E$5:$E$1000,$R89-4)),MONTH(INDEX($E$5:$E$1000,$R89-4)),1),IF(ISNUMBER(INDEX($F$5:$F$1000,$R89-4)),DATE(YEAR(INDEX($F$5:$F$1000,$R89-4)),MONTH(INDEX($F$5:$F$1000,$R89-4)),1),MesCiclo)),IF(ISNUMBER($E89),DATE(YEAR($E89),MONTH($E89),1),IF(ISNUMBER($F89),DATE(YEAR($F89),MONTH($F89),1),MesCiclo))))</f>
        <v/>
      </c>
      <c r="Q89" s="70">
        <f>IF(OR($P89="",$P89&lt;&gt;MesCiclo),"",COUNTIF($P$5:$P89,MesCiclo))</f>
        <v/>
      </c>
      <c r="R89" s="70">
        <f>IF($S89="","",IF($S89="Macro",ROW(),IFERROR(LOOKUP(2,1/($S$5:$S89="Macro"),ROW($S$5:$S89)),0)))</f>
        <v/>
      </c>
      <c r="S89" s="70">
        <f>IF(NOT((COUNTA($B89:$K89)+COUNTA($N89))&gt;0),"",IF($B89&lt;&gt;"","Macro",IF($C89&lt;&gt;"","Sub","Macro")))</f>
        <v/>
      </c>
      <c r="T89" s="70">
        <f>IF($S89="Macro",COUNTIFS($R$5:$R$1000,ROW(),$S$5:$S$1000,"Sub"),"")</f>
        <v/>
      </c>
      <c r="U89" s="70">
        <f>IF($S89="","",IF(ISNUMBER($H89),$H89,0))</f>
        <v/>
      </c>
      <c r="V89" s="70">
        <f>IF($S89="","",IF(ISNUMBER($I89),$I89,$U89))</f>
        <v/>
      </c>
      <c r="W89" s="70">
        <f>IF($S89="","",IF(ISNUMBER($J89),$J89,$V89))</f>
        <v/>
      </c>
      <c r="X89" s="70">
        <f>IF($S89="","",IF(ISNUMBER($K89),$K89,$W89))</f>
        <v/>
      </c>
      <c r="Y89" s="70">
        <f>IF($S89="","",IF(N($T89)&gt;0,AVERAGEIFS($U$5:$U$1000,$R$5:$R$1000,ROW(),$S$5:$S$1000,"Sub"),$U89))</f>
        <v/>
      </c>
      <c r="Z89" s="70">
        <f>IF($S89="","",IF(N($T89)&gt;0,AVERAGEIFS($V$5:$V$1000,$R$5:$R$1000,ROW(),$S$5:$S$1000,"Sub"),$V89))</f>
        <v/>
      </c>
      <c r="AA89" s="70">
        <f>IF($S89="","",IF(N($T89)&gt;0,AVERAGEIFS($W$5:$W$1000,$R$5:$R$1000,ROW(),$S$5:$S$1000,"Sub"),$W89))</f>
        <v/>
      </c>
      <c r="AB89" s="70">
        <f>IF($S89="","",IF(N($T89)&gt;0,AVERAGEIFS($X$5:$X$1000,$R$5:$R$1000,ROW(),$S$5:$S$1000,"Sub"),$X89))</f>
        <v/>
      </c>
    </row>
    <row r="90">
      <c r="A90" s="61">
        <f>IF(NOT((COUNTA($B90:$K90)+COUNTA($N90))&gt;0),"",IF($S90="Macro",COUNTIFS($S$5:$S90,"Macro",$P$5:$P90,$P90),IF(N($R90)=0,"?",COUNTIFS(INDEX($S$5:$S$1000,1):INDEX($S$5:$S$1000,$R90-4),"Macro",INDEX($P$5:$P$1000,1):INDEX($P$5:$P$1000,$R90-4),INDEX($P$5:$P$1000,$R90-4))&amp;"."&amp;COUNTIFS($R$5:$R90,$R90,$S$5:$S90,"Sub"))))</f>
        <v/>
      </c>
      <c r="B90" s="62" t="n"/>
      <c r="C90" s="63" t="n"/>
      <c r="D90" s="62" t="n"/>
      <c r="E90" s="64" t="n"/>
      <c r="F90" s="64" t="n"/>
      <c r="G90" s="65" t="n"/>
      <c r="H90" s="66" t="n"/>
      <c r="I90" s="66" t="n"/>
      <c r="J90" s="66" t="n"/>
      <c r="K90" s="66" t="n"/>
      <c r="L90" s="67">
        <f>IF(NOT((COUNTA($B90:$K90)+COUNTA($N90))&gt;0),"",IF(N($T90)&gt;0,$AB90,IFERROR(LOOKUP(2,1/(H90:K90&lt;&gt;""),H90:K90),0)))</f>
        <v/>
      </c>
      <c r="M90" s="61">
        <f>IF(L90="","",IF(L90&gt;=1,"Completado",IF(L90&gt;0,"En curso","Pendiente")))</f>
        <v/>
      </c>
      <c r="N90" s="62" t="n"/>
      <c r="O90" s="68">
        <f>IF(NOT((COUNTA($B90:$K90)+COUNTA($N90))&gt;0),"",IF((IF(AND($S90="Macro",$B90=""),"Macroactividad vacía"&amp;" · ","")&amp;IF(AND($B90&lt;&gt;"",$C90&lt;&gt;""),"Escriba la subactividad en otra fila, debajo de su macroactividad"&amp;" · ","")&amp;IF(AND($S90="Sub",N($R90)=0),"Subactividad sin macroactividad arriba"&amp;" · ","")&amp;IF($D90="","Sin responsable"&amp;" · ","")&amp;IF($E90="","Sin fecha de inicio"&amp;" · ","")&amp;IF($F90="","Sin fecha límite"&amp;" · ","")&amp;IF(OR(AND($E90&lt;&gt;"",NOT(ISNUMBER($E90))),AND($F90&lt;&gt;"",NOT(ISNUMBER($F90)))),"Fecha no válida"&amp;" · ","")&amp;IF(AND(ISNUMBER($E90),ISNUMBER($F90),$E90&gt;$F90),"Inicio posterior a fecha límite"&amp;" · ","")&amp;IF(AND($S90="Macro",$G90=""),"Peso vacío"&amp;" · ","")&amp;IF(AND($S90="Macro",$G90&lt;&gt;"",OR(NOT(ISNUMBER($G90)),$G90&lt;=0,$G90&gt;1)),"Peso fuera de rango"&amp;" · ","")&amp;IF(AND($S90="Sub",$G90&lt;&gt;""),"Las subactividades no llevan peso"&amp;" · ","")&amp;IF(AND($S90="Macro",ABS(SUMIFS($G$5:$G$1000,$P$5:$P$1000,$P90,$S$5:$S$1000,"Macro")-1)&gt;0.0001),"Pesos del mes suman "&amp;TEXT(SUMIFS($G$5:$G$1000,$P$5:$P$1000,$P90,$S$5:$S$1000,"Macro"),"0%")&amp;" · ","")&amp;IF(AND(N($T90)&gt;0,COUNT($H90:$K90)&gt;0),"Con subactividades: deje vacías las semanas (se calculan solas)"&amp;" · ","")&amp;IF((COUNTIF($H90:$K90,"&gt;1")+COUNTIF($H90:$K90,"&lt;0")+COUNTA($H90:$K90)-COUNT($H90:$K90))&gt;0,"Avance fuera de rango 0-100%"&amp;" · ","")&amp;IF(OR(AND($I90&lt;&gt;"",$I90&lt;$H90),AND($J90&lt;&gt;"",$J90&lt;MAX($H90:$I90)),AND($K90&lt;&gt;"",$K90&lt;MAX($H90:$J90))),"Avance semanal decreciente"&amp;" · ","")&amp;IF(AND(ISNUMBER($F90),$F90&lt;FechaRef,N($L90)&lt;1),"Vencida"&amp;" · ","")&amp;IF(AND(ObsObligatoria="Sí",ISNUMBER($F90),$F90&lt;FechaRef,N($L90)&lt;1,$N90=""),"Vencida sin observación"&amp;" · ",""))="","✔ OK","⚠ "&amp;LEFT(IF(AND($S90="Macro",$B90=""),"Macroactividad vacía"&amp;" · ","")&amp;IF(AND($B90&lt;&gt;"",$C90&lt;&gt;""),"Escriba la subactividad en otra fila, debajo de su macroactividad"&amp;" · ","")&amp;IF(AND($S90="Sub",N($R90)=0),"Subactividad sin macroactividad arriba"&amp;" · ","")&amp;IF($D90="","Sin responsable"&amp;" · ","")&amp;IF($E90="","Sin fecha de inicio"&amp;" · ","")&amp;IF($F90="","Sin fecha límite"&amp;" · ","")&amp;IF(OR(AND($E90&lt;&gt;"",NOT(ISNUMBER($E90))),AND($F90&lt;&gt;"",NOT(ISNUMBER($F90)))),"Fecha no válida"&amp;" · ","")&amp;IF(AND(ISNUMBER($E90),ISNUMBER($F90),$E90&gt;$F90),"Inicio posterior a fecha límite"&amp;" · ","")&amp;IF(AND($S90="Macro",$G90=""),"Peso vacío"&amp;" · ","")&amp;IF(AND($S90="Macro",$G90&lt;&gt;"",OR(NOT(ISNUMBER($G90)),$G90&lt;=0,$G90&gt;1)),"Peso fuera de rango"&amp;" · ","")&amp;IF(AND($S90="Sub",$G90&lt;&gt;""),"Las subactividades no llevan peso"&amp;" · ","")&amp;IF(AND($S90="Macro",ABS(SUMIFS($G$5:$G$1000,$P$5:$P$1000,$P90,$S$5:$S$1000,"Macro")-1)&gt;0.0001),"Pesos del mes suman "&amp;TEXT(SUMIFS($G$5:$G$1000,$P$5:$P$1000,$P90,$S$5:$S$1000,"Macro"),"0%")&amp;" · ","")&amp;IF(AND(N($T90)&gt;0,COUNT($H90:$K90)&gt;0),"Con subactividades: deje vacías las semanas (se calculan solas)"&amp;" · ","")&amp;IF((COUNTIF($H90:$K90,"&gt;1")+COUNTIF($H90:$K90,"&lt;0")+COUNTA($H90:$K90)-COUNT($H90:$K90))&gt;0,"Avance fuera de rango 0-100%"&amp;" · ","")&amp;IF(OR(AND($I90&lt;&gt;"",$I90&lt;$H90),AND($J90&lt;&gt;"",$J90&lt;MAX($H90:$I90)),AND($K90&lt;&gt;"",$K90&lt;MAX($H90:$J90))),"Avance semanal decreciente"&amp;" · ","")&amp;IF(AND(ISNUMBER($F90),$F90&lt;FechaRef,N($L90)&lt;1),"Vencida"&amp;" · ","")&amp;IF(AND(ObsObligatoria="Sí",ISNUMBER($F90),$F90&lt;FechaRef,N($L90)&lt;1,$N90=""),"Vencida sin observación"&amp;" · ",""),LEN(IF(AND($S90="Macro",$B90=""),"Macroactividad vacía"&amp;" · ","")&amp;IF(AND($B90&lt;&gt;"",$C90&lt;&gt;""),"Escriba la subactividad en otra fila, debajo de su macroactividad"&amp;" · ","")&amp;IF(AND($S90="Sub",N($R90)=0),"Subactividad sin macroactividad arriba"&amp;" · ","")&amp;IF($D90="","Sin responsable"&amp;" · ","")&amp;IF($E90="","Sin fecha de inicio"&amp;" · ","")&amp;IF($F90="","Sin fecha límite"&amp;" · ","")&amp;IF(OR(AND($E90&lt;&gt;"",NOT(ISNUMBER($E90))),AND($F90&lt;&gt;"",NOT(ISNUMBER($F90)))),"Fecha no válida"&amp;" · ","")&amp;IF(AND(ISNUMBER($E90),ISNUMBER($F90),$E90&gt;$F90),"Inicio posterior a fecha límite"&amp;" · ","")&amp;IF(AND($S90="Macro",$G90=""),"Peso vacío"&amp;" · ","")&amp;IF(AND($S90="Macro",$G90&lt;&gt;"",OR(NOT(ISNUMBER($G90)),$G90&lt;=0,$G90&gt;1)),"Peso fuera de rango"&amp;" · ","")&amp;IF(AND($S90="Sub",$G90&lt;&gt;""),"Las subactividades no llevan peso"&amp;" · ","")&amp;IF(AND($S90="Macro",ABS(SUMIFS($G$5:$G$1000,$P$5:$P$1000,$P90,$S$5:$S$1000,"Macro")-1)&gt;0.0001),"Pesos del mes suman "&amp;TEXT(SUMIFS($G$5:$G$1000,$P$5:$P$1000,$P90,$S$5:$S$1000,"Macro"),"0%")&amp;" · ","")&amp;IF(AND(N($T90)&gt;0,COUNT($H90:$K90)&gt;0),"Con subactividades: deje vacías las semanas (se calculan solas)"&amp;" · ","")&amp;IF((COUNTIF($H90:$K90,"&gt;1")+COUNTIF($H90:$K90,"&lt;0")+COUNTA($H90:$K90)-COUNT($H90:$K90))&gt;0,"Avance fuera de rango 0-100%"&amp;" · ","")&amp;IF(OR(AND($I90&lt;&gt;"",$I90&lt;$H90),AND($J90&lt;&gt;"",$J90&lt;MAX($H90:$I90)),AND($K90&lt;&gt;"",$K90&lt;MAX($H90:$J90))),"Avance semanal decreciente"&amp;" · ","")&amp;IF(AND(ISNUMBER($F90),$F90&lt;FechaRef,N($L90)&lt;1),"Vencida"&amp;" · ","")&amp;IF(AND(ObsObligatoria="Sí",ISNUMBER($F90),$F90&lt;FechaRef,N($L90)&lt;1,$N90=""),"Vencida sin observación"&amp;" · ",""))-3)))</f>
        <v/>
      </c>
      <c r="P90" s="69">
        <f>IF(NOT((COUNTA($B90:$K90)+COUNTA($N90))&gt;0),"",IF(AND($S90="Sub",N($R90)&gt;0),IF(ISNUMBER(INDEX($E$5:$E$1000,$R90-4)),DATE(YEAR(INDEX($E$5:$E$1000,$R90-4)),MONTH(INDEX($E$5:$E$1000,$R90-4)),1),IF(ISNUMBER(INDEX($F$5:$F$1000,$R90-4)),DATE(YEAR(INDEX($F$5:$F$1000,$R90-4)),MONTH(INDEX($F$5:$F$1000,$R90-4)),1),MesCiclo)),IF(ISNUMBER($E90),DATE(YEAR($E90),MONTH($E90),1),IF(ISNUMBER($F90),DATE(YEAR($F90),MONTH($F90),1),MesCiclo))))</f>
        <v/>
      </c>
      <c r="Q90" s="70">
        <f>IF(OR($P90="",$P90&lt;&gt;MesCiclo),"",COUNTIF($P$5:$P90,MesCiclo))</f>
        <v/>
      </c>
      <c r="R90" s="70">
        <f>IF($S90="","",IF($S90="Macro",ROW(),IFERROR(LOOKUP(2,1/($S$5:$S90="Macro"),ROW($S$5:$S90)),0)))</f>
        <v/>
      </c>
      <c r="S90" s="70">
        <f>IF(NOT((COUNTA($B90:$K90)+COUNTA($N90))&gt;0),"",IF($B90&lt;&gt;"","Macro",IF($C90&lt;&gt;"","Sub","Macro")))</f>
        <v/>
      </c>
      <c r="T90" s="70">
        <f>IF($S90="Macro",COUNTIFS($R$5:$R$1000,ROW(),$S$5:$S$1000,"Sub"),"")</f>
        <v/>
      </c>
      <c r="U90" s="70">
        <f>IF($S90="","",IF(ISNUMBER($H90),$H90,0))</f>
        <v/>
      </c>
      <c r="V90" s="70">
        <f>IF($S90="","",IF(ISNUMBER($I90),$I90,$U90))</f>
        <v/>
      </c>
      <c r="W90" s="70">
        <f>IF($S90="","",IF(ISNUMBER($J90),$J90,$V90))</f>
        <v/>
      </c>
      <c r="X90" s="70">
        <f>IF($S90="","",IF(ISNUMBER($K90),$K90,$W90))</f>
        <v/>
      </c>
      <c r="Y90" s="70">
        <f>IF($S90="","",IF(N($T90)&gt;0,AVERAGEIFS($U$5:$U$1000,$R$5:$R$1000,ROW(),$S$5:$S$1000,"Sub"),$U90))</f>
        <v/>
      </c>
      <c r="Z90" s="70">
        <f>IF($S90="","",IF(N($T90)&gt;0,AVERAGEIFS($V$5:$V$1000,$R$5:$R$1000,ROW(),$S$5:$S$1000,"Sub"),$V90))</f>
        <v/>
      </c>
      <c r="AA90" s="70">
        <f>IF($S90="","",IF(N($T90)&gt;0,AVERAGEIFS($W$5:$W$1000,$R$5:$R$1000,ROW(),$S$5:$S$1000,"Sub"),$W90))</f>
        <v/>
      </c>
      <c r="AB90" s="70">
        <f>IF($S90="","",IF(N($T90)&gt;0,AVERAGEIFS($X$5:$X$1000,$R$5:$R$1000,ROW(),$S$5:$S$1000,"Sub"),$X90))</f>
        <v/>
      </c>
    </row>
    <row r="91">
      <c r="A91" s="61">
        <f>IF(NOT((COUNTA($B91:$K91)+COUNTA($N91))&gt;0),"",IF($S91="Macro",COUNTIFS($S$5:$S91,"Macro",$P$5:$P91,$P91),IF(N($R91)=0,"?",COUNTIFS(INDEX($S$5:$S$1000,1):INDEX($S$5:$S$1000,$R91-4),"Macro",INDEX($P$5:$P$1000,1):INDEX($P$5:$P$1000,$R91-4),INDEX($P$5:$P$1000,$R91-4))&amp;"."&amp;COUNTIFS($R$5:$R91,$R91,$S$5:$S91,"Sub"))))</f>
        <v/>
      </c>
      <c r="B91" s="62" t="n"/>
      <c r="C91" s="63" t="n"/>
      <c r="D91" s="62" t="n"/>
      <c r="E91" s="64" t="n"/>
      <c r="F91" s="64" t="n"/>
      <c r="G91" s="65" t="n"/>
      <c r="H91" s="66" t="n"/>
      <c r="I91" s="66" t="n"/>
      <c r="J91" s="66" t="n"/>
      <c r="K91" s="66" t="n"/>
      <c r="L91" s="67">
        <f>IF(NOT((COUNTA($B91:$K91)+COUNTA($N91))&gt;0),"",IF(N($T91)&gt;0,$AB91,IFERROR(LOOKUP(2,1/(H91:K91&lt;&gt;""),H91:K91),0)))</f>
        <v/>
      </c>
      <c r="M91" s="61">
        <f>IF(L91="","",IF(L91&gt;=1,"Completado",IF(L91&gt;0,"En curso","Pendiente")))</f>
        <v/>
      </c>
      <c r="N91" s="62" t="n"/>
      <c r="O91" s="68">
        <f>IF(NOT((COUNTA($B91:$K91)+COUNTA($N91))&gt;0),"",IF((IF(AND($S91="Macro",$B91=""),"Macroactividad vacía"&amp;" · ","")&amp;IF(AND($B91&lt;&gt;"",$C91&lt;&gt;""),"Escriba la subactividad en otra fila, debajo de su macroactividad"&amp;" · ","")&amp;IF(AND($S91="Sub",N($R91)=0),"Subactividad sin macroactividad arriba"&amp;" · ","")&amp;IF($D91="","Sin responsable"&amp;" · ","")&amp;IF($E91="","Sin fecha de inicio"&amp;" · ","")&amp;IF($F91="","Sin fecha límite"&amp;" · ","")&amp;IF(OR(AND($E91&lt;&gt;"",NOT(ISNUMBER($E91))),AND($F91&lt;&gt;"",NOT(ISNUMBER($F91)))),"Fecha no válida"&amp;" · ","")&amp;IF(AND(ISNUMBER($E91),ISNUMBER($F91),$E91&gt;$F91),"Inicio posterior a fecha límite"&amp;" · ","")&amp;IF(AND($S91="Macro",$G91=""),"Peso vacío"&amp;" · ","")&amp;IF(AND($S91="Macro",$G91&lt;&gt;"",OR(NOT(ISNUMBER($G91)),$G91&lt;=0,$G91&gt;1)),"Peso fuera de rango"&amp;" · ","")&amp;IF(AND($S91="Sub",$G91&lt;&gt;""),"Las subactividades no llevan peso"&amp;" · ","")&amp;IF(AND($S91="Macro",ABS(SUMIFS($G$5:$G$1000,$P$5:$P$1000,$P91,$S$5:$S$1000,"Macro")-1)&gt;0.0001),"Pesos del mes suman "&amp;TEXT(SUMIFS($G$5:$G$1000,$P$5:$P$1000,$P91,$S$5:$S$1000,"Macro"),"0%")&amp;" · ","")&amp;IF(AND(N($T91)&gt;0,COUNT($H91:$K91)&gt;0),"Con subactividades: deje vacías las semanas (se calculan solas)"&amp;" · ","")&amp;IF((COUNTIF($H91:$K91,"&gt;1")+COUNTIF($H91:$K91,"&lt;0")+COUNTA($H91:$K91)-COUNT($H91:$K91))&gt;0,"Avance fuera de rango 0-100%"&amp;" · ","")&amp;IF(OR(AND($I91&lt;&gt;"",$I91&lt;$H91),AND($J91&lt;&gt;"",$J91&lt;MAX($H91:$I91)),AND($K91&lt;&gt;"",$K91&lt;MAX($H91:$J91))),"Avance semanal decreciente"&amp;" · ","")&amp;IF(AND(ISNUMBER($F91),$F91&lt;FechaRef,N($L91)&lt;1),"Vencida"&amp;" · ","")&amp;IF(AND(ObsObligatoria="Sí",ISNUMBER($F91),$F91&lt;FechaRef,N($L91)&lt;1,$N91=""),"Vencida sin observación"&amp;" · ",""))="","✔ OK","⚠ "&amp;LEFT(IF(AND($S91="Macro",$B91=""),"Macroactividad vacía"&amp;" · ","")&amp;IF(AND($B91&lt;&gt;"",$C91&lt;&gt;""),"Escriba la subactividad en otra fila, debajo de su macroactividad"&amp;" · ","")&amp;IF(AND($S91="Sub",N($R91)=0),"Subactividad sin macroactividad arriba"&amp;" · ","")&amp;IF($D91="","Sin responsable"&amp;" · ","")&amp;IF($E91="","Sin fecha de inicio"&amp;" · ","")&amp;IF($F91="","Sin fecha límite"&amp;" · ","")&amp;IF(OR(AND($E91&lt;&gt;"",NOT(ISNUMBER($E91))),AND($F91&lt;&gt;"",NOT(ISNUMBER($F91)))),"Fecha no válida"&amp;" · ","")&amp;IF(AND(ISNUMBER($E91),ISNUMBER($F91),$E91&gt;$F91),"Inicio posterior a fecha límite"&amp;" · ","")&amp;IF(AND($S91="Macro",$G91=""),"Peso vacío"&amp;" · ","")&amp;IF(AND($S91="Macro",$G91&lt;&gt;"",OR(NOT(ISNUMBER($G91)),$G91&lt;=0,$G91&gt;1)),"Peso fuera de rango"&amp;" · ","")&amp;IF(AND($S91="Sub",$G91&lt;&gt;""),"Las subactividades no llevan peso"&amp;" · ","")&amp;IF(AND($S91="Macro",ABS(SUMIFS($G$5:$G$1000,$P$5:$P$1000,$P91,$S$5:$S$1000,"Macro")-1)&gt;0.0001),"Pesos del mes suman "&amp;TEXT(SUMIFS($G$5:$G$1000,$P$5:$P$1000,$P91,$S$5:$S$1000,"Macro"),"0%")&amp;" · ","")&amp;IF(AND(N($T91)&gt;0,COUNT($H91:$K91)&gt;0),"Con subactividades: deje vacías las semanas (se calculan solas)"&amp;" · ","")&amp;IF((COUNTIF($H91:$K91,"&gt;1")+COUNTIF($H91:$K91,"&lt;0")+COUNTA($H91:$K91)-COUNT($H91:$K91))&gt;0,"Avance fuera de rango 0-100%"&amp;" · ","")&amp;IF(OR(AND($I91&lt;&gt;"",$I91&lt;$H91),AND($J91&lt;&gt;"",$J91&lt;MAX($H91:$I91)),AND($K91&lt;&gt;"",$K91&lt;MAX($H91:$J91))),"Avance semanal decreciente"&amp;" · ","")&amp;IF(AND(ISNUMBER($F91),$F91&lt;FechaRef,N($L91)&lt;1),"Vencida"&amp;" · ","")&amp;IF(AND(ObsObligatoria="Sí",ISNUMBER($F91),$F91&lt;FechaRef,N($L91)&lt;1,$N91=""),"Vencida sin observación"&amp;" · ",""),LEN(IF(AND($S91="Macro",$B91=""),"Macroactividad vacía"&amp;" · ","")&amp;IF(AND($B91&lt;&gt;"",$C91&lt;&gt;""),"Escriba la subactividad en otra fila, debajo de su macroactividad"&amp;" · ","")&amp;IF(AND($S91="Sub",N($R91)=0),"Subactividad sin macroactividad arriba"&amp;" · ","")&amp;IF($D91="","Sin responsable"&amp;" · ","")&amp;IF($E91="","Sin fecha de inicio"&amp;" · ","")&amp;IF($F91="","Sin fecha límite"&amp;" · ","")&amp;IF(OR(AND($E91&lt;&gt;"",NOT(ISNUMBER($E91))),AND($F91&lt;&gt;"",NOT(ISNUMBER($F91)))),"Fecha no válida"&amp;" · ","")&amp;IF(AND(ISNUMBER($E91),ISNUMBER($F91),$E91&gt;$F91),"Inicio posterior a fecha límite"&amp;" · ","")&amp;IF(AND($S91="Macro",$G91=""),"Peso vacío"&amp;" · ","")&amp;IF(AND($S91="Macro",$G91&lt;&gt;"",OR(NOT(ISNUMBER($G91)),$G91&lt;=0,$G91&gt;1)),"Peso fuera de rango"&amp;" · ","")&amp;IF(AND($S91="Sub",$G91&lt;&gt;""),"Las subactividades no llevan peso"&amp;" · ","")&amp;IF(AND($S91="Macro",ABS(SUMIFS($G$5:$G$1000,$P$5:$P$1000,$P91,$S$5:$S$1000,"Macro")-1)&gt;0.0001),"Pesos del mes suman "&amp;TEXT(SUMIFS($G$5:$G$1000,$P$5:$P$1000,$P91,$S$5:$S$1000,"Macro"),"0%")&amp;" · ","")&amp;IF(AND(N($T91)&gt;0,COUNT($H91:$K91)&gt;0),"Con subactividades: deje vacías las semanas (se calculan solas)"&amp;" · ","")&amp;IF((COUNTIF($H91:$K91,"&gt;1")+COUNTIF($H91:$K91,"&lt;0")+COUNTA($H91:$K91)-COUNT($H91:$K91))&gt;0,"Avance fuera de rango 0-100%"&amp;" · ","")&amp;IF(OR(AND($I91&lt;&gt;"",$I91&lt;$H91),AND($J91&lt;&gt;"",$J91&lt;MAX($H91:$I91)),AND($K91&lt;&gt;"",$K91&lt;MAX($H91:$J91))),"Avance semanal decreciente"&amp;" · ","")&amp;IF(AND(ISNUMBER($F91),$F91&lt;FechaRef,N($L91)&lt;1),"Vencida"&amp;" · ","")&amp;IF(AND(ObsObligatoria="Sí",ISNUMBER($F91),$F91&lt;FechaRef,N($L91)&lt;1,$N91=""),"Vencida sin observación"&amp;" · ",""))-3)))</f>
        <v/>
      </c>
      <c r="P91" s="69">
        <f>IF(NOT((COUNTA($B91:$K91)+COUNTA($N91))&gt;0),"",IF(AND($S91="Sub",N($R91)&gt;0),IF(ISNUMBER(INDEX($E$5:$E$1000,$R91-4)),DATE(YEAR(INDEX($E$5:$E$1000,$R91-4)),MONTH(INDEX($E$5:$E$1000,$R91-4)),1),IF(ISNUMBER(INDEX($F$5:$F$1000,$R91-4)),DATE(YEAR(INDEX($F$5:$F$1000,$R91-4)),MONTH(INDEX($F$5:$F$1000,$R91-4)),1),MesCiclo)),IF(ISNUMBER($E91),DATE(YEAR($E91),MONTH($E91),1),IF(ISNUMBER($F91),DATE(YEAR($F91),MONTH($F91),1),MesCiclo))))</f>
        <v/>
      </c>
      <c r="Q91" s="70">
        <f>IF(OR($P91="",$P91&lt;&gt;MesCiclo),"",COUNTIF($P$5:$P91,MesCiclo))</f>
        <v/>
      </c>
      <c r="R91" s="70">
        <f>IF($S91="","",IF($S91="Macro",ROW(),IFERROR(LOOKUP(2,1/($S$5:$S91="Macro"),ROW($S$5:$S91)),0)))</f>
        <v/>
      </c>
      <c r="S91" s="70">
        <f>IF(NOT((COUNTA($B91:$K91)+COUNTA($N91))&gt;0),"",IF($B91&lt;&gt;"","Macro",IF($C91&lt;&gt;"","Sub","Macro")))</f>
        <v/>
      </c>
      <c r="T91" s="70">
        <f>IF($S91="Macro",COUNTIFS($R$5:$R$1000,ROW(),$S$5:$S$1000,"Sub"),"")</f>
        <v/>
      </c>
      <c r="U91" s="70">
        <f>IF($S91="","",IF(ISNUMBER($H91),$H91,0))</f>
        <v/>
      </c>
      <c r="V91" s="70">
        <f>IF($S91="","",IF(ISNUMBER($I91),$I91,$U91))</f>
        <v/>
      </c>
      <c r="W91" s="70">
        <f>IF($S91="","",IF(ISNUMBER($J91),$J91,$V91))</f>
        <v/>
      </c>
      <c r="X91" s="70">
        <f>IF($S91="","",IF(ISNUMBER($K91),$K91,$W91))</f>
        <v/>
      </c>
      <c r="Y91" s="70">
        <f>IF($S91="","",IF(N($T91)&gt;0,AVERAGEIFS($U$5:$U$1000,$R$5:$R$1000,ROW(),$S$5:$S$1000,"Sub"),$U91))</f>
        <v/>
      </c>
      <c r="Z91" s="70">
        <f>IF($S91="","",IF(N($T91)&gt;0,AVERAGEIFS($V$5:$V$1000,$R$5:$R$1000,ROW(),$S$5:$S$1000,"Sub"),$V91))</f>
        <v/>
      </c>
      <c r="AA91" s="70">
        <f>IF($S91="","",IF(N($T91)&gt;0,AVERAGEIFS($W$5:$W$1000,$R$5:$R$1000,ROW(),$S$5:$S$1000,"Sub"),$W91))</f>
        <v/>
      </c>
      <c r="AB91" s="70">
        <f>IF($S91="","",IF(N($T91)&gt;0,AVERAGEIFS($X$5:$X$1000,$R$5:$R$1000,ROW(),$S$5:$S$1000,"Sub"),$X91))</f>
        <v/>
      </c>
    </row>
    <row r="92">
      <c r="A92" s="61">
        <f>IF(NOT((COUNTA($B92:$K92)+COUNTA($N92))&gt;0),"",IF($S92="Macro",COUNTIFS($S$5:$S92,"Macro",$P$5:$P92,$P92),IF(N($R92)=0,"?",COUNTIFS(INDEX($S$5:$S$1000,1):INDEX($S$5:$S$1000,$R92-4),"Macro",INDEX($P$5:$P$1000,1):INDEX($P$5:$P$1000,$R92-4),INDEX($P$5:$P$1000,$R92-4))&amp;"."&amp;COUNTIFS($R$5:$R92,$R92,$S$5:$S92,"Sub"))))</f>
        <v/>
      </c>
      <c r="B92" s="62" t="n"/>
      <c r="C92" s="63" t="n"/>
      <c r="D92" s="62" t="n"/>
      <c r="E92" s="64" t="n"/>
      <c r="F92" s="64" t="n"/>
      <c r="G92" s="65" t="n"/>
      <c r="H92" s="66" t="n"/>
      <c r="I92" s="66" t="n"/>
      <c r="J92" s="66" t="n"/>
      <c r="K92" s="66" t="n"/>
      <c r="L92" s="67">
        <f>IF(NOT((COUNTA($B92:$K92)+COUNTA($N92))&gt;0),"",IF(N($T92)&gt;0,$AB92,IFERROR(LOOKUP(2,1/(H92:K92&lt;&gt;""),H92:K92),0)))</f>
        <v/>
      </c>
      <c r="M92" s="61">
        <f>IF(L92="","",IF(L92&gt;=1,"Completado",IF(L92&gt;0,"En curso","Pendiente")))</f>
        <v/>
      </c>
      <c r="N92" s="62" t="n"/>
      <c r="O92" s="68">
        <f>IF(NOT((COUNTA($B92:$K92)+COUNTA($N92))&gt;0),"",IF((IF(AND($S92="Macro",$B92=""),"Macroactividad vacía"&amp;" · ","")&amp;IF(AND($B92&lt;&gt;"",$C92&lt;&gt;""),"Escriba la subactividad en otra fila, debajo de su macroactividad"&amp;" · ","")&amp;IF(AND($S92="Sub",N($R92)=0),"Subactividad sin macroactividad arriba"&amp;" · ","")&amp;IF($D92="","Sin responsable"&amp;" · ","")&amp;IF($E92="","Sin fecha de inicio"&amp;" · ","")&amp;IF($F92="","Sin fecha límite"&amp;" · ","")&amp;IF(OR(AND($E92&lt;&gt;"",NOT(ISNUMBER($E92))),AND($F92&lt;&gt;"",NOT(ISNUMBER($F92)))),"Fecha no válida"&amp;" · ","")&amp;IF(AND(ISNUMBER($E92),ISNUMBER($F92),$E92&gt;$F92),"Inicio posterior a fecha límite"&amp;" · ","")&amp;IF(AND($S92="Macro",$G92=""),"Peso vacío"&amp;" · ","")&amp;IF(AND($S92="Macro",$G92&lt;&gt;"",OR(NOT(ISNUMBER($G92)),$G92&lt;=0,$G92&gt;1)),"Peso fuera de rango"&amp;" · ","")&amp;IF(AND($S92="Sub",$G92&lt;&gt;""),"Las subactividades no llevan peso"&amp;" · ","")&amp;IF(AND($S92="Macro",ABS(SUMIFS($G$5:$G$1000,$P$5:$P$1000,$P92,$S$5:$S$1000,"Macro")-1)&gt;0.0001),"Pesos del mes suman "&amp;TEXT(SUMIFS($G$5:$G$1000,$P$5:$P$1000,$P92,$S$5:$S$1000,"Macro"),"0%")&amp;" · ","")&amp;IF(AND(N($T92)&gt;0,COUNT($H92:$K92)&gt;0),"Con subactividades: deje vacías las semanas (se calculan solas)"&amp;" · ","")&amp;IF((COUNTIF($H92:$K92,"&gt;1")+COUNTIF($H92:$K92,"&lt;0")+COUNTA($H92:$K92)-COUNT($H92:$K92))&gt;0,"Avance fuera de rango 0-100%"&amp;" · ","")&amp;IF(OR(AND($I92&lt;&gt;"",$I92&lt;$H92),AND($J92&lt;&gt;"",$J92&lt;MAX($H92:$I92)),AND($K92&lt;&gt;"",$K92&lt;MAX($H92:$J92))),"Avance semanal decreciente"&amp;" · ","")&amp;IF(AND(ISNUMBER($F92),$F92&lt;FechaRef,N($L92)&lt;1),"Vencida"&amp;" · ","")&amp;IF(AND(ObsObligatoria="Sí",ISNUMBER($F92),$F92&lt;FechaRef,N($L92)&lt;1,$N92=""),"Vencida sin observación"&amp;" · ",""))="","✔ OK","⚠ "&amp;LEFT(IF(AND($S92="Macro",$B92=""),"Macroactividad vacía"&amp;" · ","")&amp;IF(AND($B92&lt;&gt;"",$C92&lt;&gt;""),"Escriba la subactividad en otra fila, debajo de su macroactividad"&amp;" · ","")&amp;IF(AND($S92="Sub",N($R92)=0),"Subactividad sin macroactividad arriba"&amp;" · ","")&amp;IF($D92="","Sin responsable"&amp;" · ","")&amp;IF($E92="","Sin fecha de inicio"&amp;" · ","")&amp;IF($F92="","Sin fecha límite"&amp;" · ","")&amp;IF(OR(AND($E92&lt;&gt;"",NOT(ISNUMBER($E92))),AND($F92&lt;&gt;"",NOT(ISNUMBER($F92)))),"Fecha no válida"&amp;" · ","")&amp;IF(AND(ISNUMBER($E92),ISNUMBER($F92),$E92&gt;$F92),"Inicio posterior a fecha límite"&amp;" · ","")&amp;IF(AND($S92="Macro",$G92=""),"Peso vacío"&amp;" · ","")&amp;IF(AND($S92="Macro",$G92&lt;&gt;"",OR(NOT(ISNUMBER($G92)),$G92&lt;=0,$G92&gt;1)),"Peso fuera de rango"&amp;" · ","")&amp;IF(AND($S92="Sub",$G92&lt;&gt;""),"Las subactividades no llevan peso"&amp;" · ","")&amp;IF(AND($S92="Macro",ABS(SUMIFS($G$5:$G$1000,$P$5:$P$1000,$P92,$S$5:$S$1000,"Macro")-1)&gt;0.0001),"Pesos del mes suman "&amp;TEXT(SUMIFS($G$5:$G$1000,$P$5:$P$1000,$P92,$S$5:$S$1000,"Macro"),"0%")&amp;" · ","")&amp;IF(AND(N($T92)&gt;0,COUNT($H92:$K92)&gt;0),"Con subactividades: deje vacías las semanas (se calculan solas)"&amp;" · ","")&amp;IF((COUNTIF($H92:$K92,"&gt;1")+COUNTIF($H92:$K92,"&lt;0")+COUNTA($H92:$K92)-COUNT($H92:$K92))&gt;0,"Avance fuera de rango 0-100%"&amp;" · ","")&amp;IF(OR(AND($I92&lt;&gt;"",$I92&lt;$H92),AND($J92&lt;&gt;"",$J92&lt;MAX($H92:$I92)),AND($K92&lt;&gt;"",$K92&lt;MAX($H92:$J92))),"Avance semanal decreciente"&amp;" · ","")&amp;IF(AND(ISNUMBER($F92),$F92&lt;FechaRef,N($L92)&lt;1),"Vencida"&amp;" · ","")&amp;IF(AND(ObsObligatoria="Sí",ISNUMBER($F92),$F92&lt;FechaRef,N($L92)&lt;1,$N92=""),"Vencida sin observación"&amp;" · ",""),LEN(IF(AND($S92="Macro",$B92=""),"Macroactividad vacía"&amp;" · ","")&amp;IF(AND($B92&lt;&gt;"",$C92&lt;&gt;""),"Escriba la subactividad en otra fila, debajo de su macroactividad"&amp;" · ","")&amp;IF(AND($S92="Sub",N($R92)=0),"Subactividad sin macroactividad arriba"&amp;" · ","")&amp;IF($D92="","Sin responsable"&amp;" · ","")&amp;IF($E92="","Sin fecha de inicio"&amp;" · ","")&amp;IF($F92="","Sin fecha límite"&amp;" · ","")&amp;IF(OR(AND($E92&lt;&gt;"",NOT(ISNUMBER($E92))),AND($F92&lt;&gt;"",NOT(ISNUMBER($F92)))),"Fecha no válida"&amp;" · ","")&amp;IF(AND(ISNUMBER($E92),ISNUMBER($F92),$E92&gt;$F92),"Inicio posterior a fecha límite"&amp;" · ","")&amp;IF(AND($S92="Macro",$G92=""),"Peso vacío"&amp;" · ","")&amp;IF(AND($S92="Macro",$G92&lt;&gt;"",OR(NOT(ISNUMBER($G92)),$G92&lt;=0,$G92&gt;1)),"Peso fuera de rango"&amp;" · ","")&amp;IF(AND($S92="Sub",$G92&lt;&gt;""),"Las subactividades no llevan peso"&amp;" · ","")&amp;IF(AND($S92="Macro",ABS(SUMIFS($G$5:$G$1000,$P$5:$P$1000,$P92,$S$5:$S$1000,"Macro")-1)&gt;0.0001),"Pesos del mes suman "&amp;TEXT(SUMIFS($G$5:$G$1000,$P$5:$P$1000,$P92,$S$5:$S$1000,"Macro"),"0%")&amp;" · ","")&amp;IF(AND(N($T92)&gt;0,COUNT($H92:$K92)&gt;0),"Con subactividades: deje vacías las semanas (se calculan solas)"&amp;" · ","")&amp;IF((COUNTIF($H92:$K92,"&gt;1")+COUNTIF($H92:$K92,"&lt;0")+COUNTA($H92:$K92)-COUNT($H92:$K92))&gt;0,"Avance fuera de rango 0-100%"&amp;" · ","")&amp;IF(OR(AND($I92&lt;&gt;"",$I92&lt;$H92),AND($J92&lt;&gt;"",$J92&lt;MAX($H92:$I92)),AND($K92&lt;&gt;"",$K92&lt;MAX($H92:$J92))),"Avance semanal decreciente"&amp;" · ","")&amp;IF(AND(ISNUMBER($F92),$F92&lt;FechaRef,N($L92)&lt;1),"Vencida"&amp;" · ","")&amp;IF(AND(ObsObligatoria="Sí",ISNUMBER($F92),$F92&lt;FechaRef,N($L92)&lt;1,$N92=""),"Vencida sin observación"&amp;" · ",""))-3)))</f>
        <v/>
      </c>
      <c r="P92" s="69">
        <f>IF(NOT((COUNTA($B92:$K92)+COUNTA($N92))&gt;0),"",IF(AND($S92="Sub",N($R92)&gt;0),IF(ISNUMBER(INDEX($E$5:$E$1000,$R92-4)),DATE(YEAR(INDEX($E$5:$E$1000,$R92-4)),MONTH(INDEX($E$5:$E$1000,$R92-4)),1),IF(ISNUMBER(INDEX($F$5:$F$1000,$R92-4)),DATE(YEAR(INDEX($F$5:$F$1000,$R92-4)),MONTH(INDEX($F$5:$F$1000,$R92-4)),1),MesCiclo)),IF(ISNUMBER($E92),DATE(YEAR($E92),MONTH($E92),1),IF(ISNUMBER($F92),DATE(YEAR($F92),MONTH($F92),1),MesCiclo))))</f>
        <v/>
      </c>
      <c r="Q92" s="70">
        <f>IF(OR($P92="",$P92&lt;&gt;MesCiclo),"",COUNTIF($P$5:$P92,MesCiclo))</f>
        <v/>
      </c>
      <c r="R92" s="70">
        <f>IF($S92="","",IF($S92="Macro",ROW(),IFERROR(LOOKUP(2,1/($S$5:$S92="Macro"),ROW($S$5:$S92)),0)))</f>
        <v/>
      </c>
      <c r="S92" s="70">
        <f>IF(NOT((COUNTA($B92:$K92)+COUNTA($N92))&gt;0),"",IF($B92&lt;&gt;"","Macro",IF($C92&lt;&gt;"","Sub","Macro")))</f>
        <v/>
      </c>
      <c r="T92" s="70">
        <f>IF($S92="Macro",COUNTIFS($R$5:$R$1000,ROW(),$S$5:$S$1000,"Sub"),"")</f>
        <v/>
      </c>
      <c r="U92" s="70">
        <f>IF($S92="","",IF(ISNUMBER($H92),$H92,0))</f>
        <v/>
      </c>
      <c r="V92" s="70">
        <f>IF($S92="","",IF(ISNUMBER($I92),$I92,$U92))</f>
        <v/>
      </c>
      <c r="W92" s="70">
        <f>IF($S92="","",IF(ISNUMBER($J92),$J92,$V92))</f>
        <v/>
      </c>
      <c r="X92" s="70">
        <f>IF($S92="","",IF(ISNUMBER($K92),$K92,$W92))</f>
        <v/>
      </c>
      <c r="Y92" s="70">
        <f>IF($S92="","",IF(N($T92)&gt;0,AVERAGEIFS($U$5:$U$1000,$R$5:$R$1000,ROW(),$S$5:$S$1000,"Sub"),$U92))</f>
        <v/>
      </c>
      <c r="Z92" s="70">
        <f>IF($S92="","",IF(N($T92)&gt;0,AVERAGEIFS($V$5:$V$1000,$R$5:$R$1000,ROW(),$S$5:$S$1000,"Sub"),$V92))</f>
        <v/>
      </c>
      <c r="AA92" s="70">
        <f>IF($S92="","",IF(N($T92)&gt;0,AVERAGEIFS($W$5:$W$1000,$R$5:$R$1000,ROW(),$S$5:$S$1000,"Sub"),$W92))</f>
        <v/>
      </c>
      <c r="AB92" s="70">
        <f>IF($S92="","",IF(N($T92)&gt;0,AVERAGEIFS($X$5:$X$1000,$R$5:$R$1000,ROW(),$S$5:$S$1000,"Sub"),$X92))</f>
        <v/>
      </c>
    </row>
    <row r="93">
      <c r="A93" s="61">
        <f>IF(NOT((COUNTA($B93:$K93)+COUNTA($N93))&gt;0),"",IF($S93="Macro",COUNTIFS($S$5:$S93,"Macro",$P$5:$P93,$P93),IF(N($R93)=0,"?",COUNTIFS(INDEX($S$5:$S$1000,1):INDEX($S$5:$S$1000,$R93-4),"Macro",INDEX($P$5:$P$1000,1):INDEX($P$5:$P$1000,$R93-4),INDEX($P$5:$P$1000,$R93-4))&amp;"."&amp;COUNTIFS($R$5:$R93,$R93,$S$5:$S93,"Sub"))))</f>
        <v/>
      </c>
      <c r="B93" s="62" t="n"/>
      <c r="C93" s="63" t="n"/>
      <c r="D93" s="62" t="n"/>
      <c r="E93" s="64" t="n"/>
      <c r="F93" s="64" t="n"/>
      <c r="G93" s="65" t="n"/>
      <c r="H93" s="66" t="n"/>
      <c r="I93" s="66" t="n"/>
      <c r="J93" s="66" t="n"/>
      <c r="K93" s="66" t="n"/>
      <c r="L93" s="67">
        <f>IF(NOT((COUNTA($B93:$K93)+COUNTA($N93))&gt;0),"",IF(N($T93)&gt;0,$AB93,IFERROR(LOOKUP(2,1/(H93:K93&lt;&gt;""),H93:K93),0)))</f>
        <v/>
      </c>
      <c r="M93" s="61">
        <f>IF(L93="","",IF(L93&gt;=1,"Completado",IF(L93&gt;0,"En curso","Pendiente")))</f>
        <v/>
      </c>
      <c r="N93" s="62" t="n"/>
      <c r="O93" s="68">
        <f>IF(NOT((COUNTA($B93:$K93)+COUNTA($N93))&gt;0),"",IF((IF(AND($S93="Macro",$B93=""),"Macroactividad vacía"&amp;" · ","")&amp;IF(AND($B93&lt;&gt;"",$C93&lt;&gt;""),"Escriba la subactividad en otra fila, debajo de su macroactividad"&amp;" · ","")&amp;IF(AND($S93="Sub",N($R93)=0),"Subactividad sin macroactividad arriba"&amp;" · ","")&amp;IF($D93="","Sin responsable"&amp;" · ","")&amp;IF($E93="","Sin fecha de inicio"&amp;" · ","")&amp;IF($F93="","Sin fecha límite"&amp;" · ","")&amp;IF(OR(AND($E93&lt;&gt;"",NOT(ISNUMBER($E93))),AND($F93&lt;&gt;"",NOT(ISNUMBER($F93)))),"Fecha no válida"&amp;" · ","")&amp;IF(AND(ISNUMBER($E93),ISNUMBER($F93),$E93&gt;$F93),"Inicio posterior a fecha límite"&amp;" · ","")&amp;IF(AND($S93="Macro",$G93=""),"Peso vacío"&amp;" · ","")&amp;IF(AND($S93="Macro",$G93&lt;&gt;"",OR(NOT(ISNUMBER($G93)),$G93&lt;=0,$G93&gt;1)),"Peso fuera de rango"&amp;" · ","")&amp;IF(AND($S93="Sub",$G93&lt;&gt;""),"Las subactividades no llevan peso"&amp;" · ","")&amp;IF(AND($S93="Macro",ABS(SUMIFS($G$5:$G$1000,$P$5:$P$1000,$P93,$S$5:$S$1000,"Macro")-1)&gt;0.0001),"Pesos del mes suman "&amp;TEXT(SUMIFS($G$5:$G$1000,$P$5:$P$1000,$P93,$S$5:$S$1000,"Macro"),"0%")&amp;" · ","")&amp;IF(AND(N($T93)&gt;0,COUNT($H93:$K93)&gt;0),"Con subactividades: deje vacías las semanas (se calculan solas)"&amp;" · ","")&amp;IF((COUNTIF($H93:$K93,"&gt;1")+COUNTIF($H93:$K93,"&lt;0")+COUNTA($H93:$K93)-COUNT($H93:$K93))&gt;0,"Avance fuera de rango 0-100%"&amp;" · ","")&amp;IF(OR(AND($I93&lt;&gt;"",$I93&lt;$H93),AND($J93&lt;&gt;"",$J93&lt;MAX($H93:$I93)),AND($K93&lt;&gt;"",$K93&lt;MAX($H93:$J93))),"Avance semanal decreciente"&amp;" · ","")&amp;IF(AND(ISNUMBER($F93),$F93&lt;FechaRef,N($L93)&lt;1),"Vencida"&amp;" · ","")&amp;IF(AND(ObsObligatoria="Sí",ISNUMBER($F93),$F93&lt;FechaRef,N($L93)&lt;1,$N93=""),"Vencida sin observación"&amp;" · ",""))="","✔ OK","⚠ "&amp;LEFT(IF(AND($S93="Macro",$B93=""),"Macroactividad vacía"&amp;" · ","")&amp;IF(AND($B93&lt;&gt;"",$C93&lt;&gt;""),"Escriba la subactividad en otra fila, debajo de su macroactividad"&amp;" · ","")&amp;IF(AND($S93="Sub",N($R93)=0),"Subactividad sin macroactividad arriba"&amp;" · ","")&amp;IF($D93="","Sin responsable"&amp;" · ","")&amp;IF($E93="","Sin fecha de inicio"&amp;" · ","")&amp;IF($F93="","Sin fecha límite"&amp;" · ","")&amp;IF(OR(AND($E93&lt;&gt;"",NOT(ISNUMBER($E93))),AND($F93&lt;&gt;"",NOT(ISNUMBER($F93)))),"Fecha no válida"&amp;" · ","")&amp;IF(AND(ISNUMBER($E93),ISNUMBER($F93),$E93&gt;$F93),"Inicio posterior a fecha límite"&amp;" · ","")&amp;IF(AND($S93="Macro",$G93=""),"Peso vacío"&amp;" · ","")&amp;IF(AND($S93="Macro",$G93&lt;&gt;"",OR(NOT(ISNUMBER($G93)),$G93&lt;=0,$G93&gt;1)),"Peso fuera de rango"&amp;" · ","")&amp;IF(AND($S93="Sub",$G93&lt;&gt;""),"Las subactividades no llevan peso"&amp;" · ","")&amp;IF(AND($S93="Macro",ABS(SUMIFS($G$5:$G$1000,$P$5:$P$1000,$P93,$S$5:$S$1000,"Macro")-1)&gt;0.0001),"Pesos del mes suman "&amp;TEXT(SUMIFS($G$5:$G$1000,$P$5:$P$1000,$P93,$S$5:$S$1000,"Macro"),"0%")&amp;" · ","")&amp;IF(AND(N($T93)&gt;0,COUNT($H93:$K93)&gt;0),"Con subactividades: deje vacías las semanas (se calculan solas)"&amp;" · ","")&amp;IF((COUNTIF($H93:$K93,"&gt;1")+COUNTIF($H93:$K93,"&lt;0")+COUNTA($H93:$K93)-COUNT($H93:$K93))&gt;0,"Avance fuera de rango 0-100%"&amp;" · ","")&amp;IF(OR(AND($I93&lt;&gt;"",$I93&lt;$H93),AND($J93&lt;&gt;"",$J93&lt;MAX($H93:$I93)),AND($K93&lt;&gt;"",$K93&lt;MAX($H93:$J93))),"Avance semanal decreciente"&amp;" · ","")&amp;IF(AND(ISNUMBER($F93),$F93&lt;FechaRef,N($L93)&lt;1),"Vencida"&amp;" · ","")&amp;IF(AND(ObsObligatoria="Sí",ISNUMBER($F93),$F93&lt;FechaRef,N($L93)&lt;1,$N93=""),"Vencida sin observación"&amp;" · ",""),LEN(IF(AND($S93="Macro",$B93=""),"Macroactividad vacía"&amp;" · ","")&amp;IF(AND($B93&lt;&gt;"",$C93&lt;&gt;""),"Escriba la subactividad en otra fila, debajo de su macroactividad"&amp;" · ","")&amp;IF(AND($S93="Sub",N($R93)=0),"Subactividad sin macroactividad arriba"&amp;" · ","")&amp;IF($D93="","Sin responsable"&amp;" · ","")&amp;IF($E93="","Sin fecha de inicio"&amp;" · ","")&amp;IF($F93="","Sin fecha límite"&amp;" · ","")&amp;IF(OR(AND($E93&lt;&gt;"",NOT(ISNUMBER($E93))),AND($F93&lt;&gt;"",NOT(ISNUMBER($F93)))),"Fecha no válida"&amp;" · ","")&amp;IF(AND(ISNUMBER($E93),ISNUMBER($F93),$E93&gt;$F93),"Inicio posterior a fecha límite"&amp;" · ","")&amp;IF(AND($S93="Macro",$G93=""),"Peso vacío"&amp;" · ","")&amp;IF(AND($S93="Macro",$G93&lt;&gt;"",OR(NOT(ISNUMBER($G93)),$G93&lt;=0,$G93&gt;1)),"Peso fuera de rango"&amp;" · ","")&amp;IF(AND($S93="Sub",$G93&lt;&gt;""),"Las subactividades no llevan peso"&amp;" · ","")&amp;IF(AND($S93="Macro",ABS(SUMIFS($G$5:$G$1000,$P$5:$P$1000,$P93,$S$5:$S$1000,"Macro")-1)&gt;0.0001),"Pesos del mes suman "&amp;TEXT(SUMIFS($G$5:$G$1000,$P$5:$P$1000,$P93,$S$5:$S$1000,"Macro"),"0%")&amp;" · ","")&amp;IF(AND(N($T93)&gt;0,COUNT($H93:$K93)&gt;0),"Con subactividades: deje vacías las semanas (se calculan solas)"&amp;" · ","")&amp;IF((COUNTIF($H93:$K93,"&gt;1")+COUNTIF($H93:$K93,"&lt;0")+COUNTA($H93:$K93)-COUNT($H93:$K93))&gt;0,"Avance fuera de rango 0-100%"&amp;" · ","")&amp;IF(OR(AND($I93&lt;&gt;"",$I93&lt;$H93),AND($J93&lt;&gt;"",$J93&lt;MAX($H93:$I93)),AND($K93&lt;&gt;"",$K93&lt;MAX($H93:$J93))),"Avance semanal decreciente"&amp;" · ","")&amp;IF(AND(ISNUMBER($F93),$F93&lt;FechaRef,N($L93)&lt;1),"Vencida"&amp;" · ","")&amp;IF(AND(ObsObligatoria="Sí",ISNUMBER($F93),$F93&lt;FechaRef,N($L93)&lt;1,$N93=""),"Vencida sin observación"&amp;" · ",""))-3)))</f>
        <v/>
      </c>
      <c r="P93" s="69">
        <f>IF(NOT((COUNTA($B93:$K93)+COUNTA($N93))&gt;0),"",IF(AND($S93="Sub",N($R93)&gt;0),IF(ISNUMBER(INDEX($E$5:$E$1000,$R93-4)),DATE(YEAR(INDEX($E$5:$E$1000,$R93-4)),MONTH(INDEX($E$5:$E$1000,$R93-4)),1),IF(ISNUMBER(INDEX($F$5:$F$1000,$R93-4)),DATE(YEAR(INDEX($F$5:$F$1000,$R93-4)),MONTH(INDEX($F$5:$F$1000,$R93-4)),1),MesCiclo)),IF(ISNUMBER($E93),DATE(YEAR($E93),MONTH($E93),1),IF(ISNUMBER($F93),DATE(YEAR($F93),MONTH($F93),1),MesCiclo))))</f>
        <v/>
      </c>
      <c r="Q93" s="70">
        <f>IF(OR($P93="",$P93&lt;&gt;MesCiclo),"",COUNTIF($P$5:$P93,MesCiclo))</f>
        <v/>
      </c>
      <c r="R93" s="70">
        <f>IF($S93="","",IF($S93="Macro",ROW(),IFERROR(LOOKUP(2,1/($S$5:$S93="Macro"),ROW($S$5:$S93)),0)))</f>
        <v/>
      </c>
      <c r="S93" s="70">
        <f>IF(NOT((COUNTA($B93:$K93)+COUNTA($N93))&gt;0),"",IF($B93&lt;&gt;"","Macro",IF($C93&lt;&gt;"","Sub","Macro")))</f>
        <v/>
      </c>
      <c r="T93" s="70">
        <f>IF($S93="Macro",COUNTIFS($R$5:$R$1000,ROW(),$S$5:$S$1000,"Sub"),"")</f>
        <v/>
      </c>
      <c r="U93" s="70">
        <f>IF($S93="","",IF(ISNUMBER($H93),$H93,0))</f>
        <v/>
      </c>
      <c r="V93" s="70">
        <f>IF($S93="","",IF(ISNUMBER($I93),$I93,$U93))</f>
        <v/>
      </c>
      <c r="W93" s="70">
        <f>IF($S93="","",IF(ISNUMBER($J93),$J93,$V93))</f>
        <v/>
      </c>
      <c r="X93" s="70">
        <f>IF($S93="","",IF(ISNUMBER($K93),$K93,$W93))</f>
        <v/>
      </c>
      <c r="Y93" s="70">
        <f>IF($S93="","",IF(N($T93)&gt;0,AVERAGEIFS($U$5:$U$1000,$R$5:$R$1000,ROW(),$S$5:$S$1000,"Sub"),$U93))</f>
        <v/>
      </c>
      <c r="Z93" s="70">
        <f>IF($S93="","",IF(N($T93)&gt;0,AVERAGEIFS($V$5:$V$1000,$R$5:$R$1000,ROW(),$S$5:$S$1000,"Sub"),$V93))</f>
        <v/>
      </c>
      <c r="AA93" s="70">
        <f>IF($S93="","",IF(N($T93)&gt;0,AVERAGEIFS($W$5:$W$1000,$R$5:$R$1000,ROW(),$S$5:$S$1000,"Sub"),$W93))</f>
        <v/>
      </c>
      <c r="AB93" s="70">
        <f>IF($S93="","",IF(N($T93)&gt;0,AVERAGEIFS($X$5:$X$1000,$R$5:$R$1000,ROW(),$S$5:$S$1000,"Sub"),$X93))</f>
        <v/>
      </c>
    </row>
    <row r="94">
      <c r="A94" s="61">
        <f>IF(NOT((COUNTA($B94:$K94)+COUNTA($N94))&gt;0),"",IF($S94="Macro",COUNTIFS($S$5:$S94,"Macro",$P$5:$P94,$P94),IF(N($R94)=0,"?",COUNTIFS(INDEX($S$5:$S$1000,1):INDEX($S$5:$S$1000,$R94-4),"Macro",INDEX($P$5:$P$1000,1):INDEX($P$5:$P$1000,$R94-4),INDEX($P$5:$P$1000,$R94-4))&amp;"."&amp;COUNTIFS($R$5:$R94,$R94,$S$5:$S94,"Sub"))))</f>
        <v/>
      </c>
      <c r="B94" s="62" t="n"/>
      <c r="C94" s="63" t="n"/>
      <c r="D94" s="62" t="n"/>
      <c r="E94" s="64" t="n"/>
      <c r="F94" s="64" t="n"/>
      <c r="G94" s="65" t="n"/>
      <c r="H94" s="66" t="n"/>
      <c r="I94" s="66" t="n"/>
      <c r="J94" s="66" t="n"/>
      <c r="K94" s="66" t="n"/>
      <c r="L94" s="67">
        <f>IF(NOT((COUNTA($B94:$K94)+COUNTA($N94))&gt;0),"",IF(N($T94)&gt;0,$AB94,IFERROR(LOOKUP(2,1/(H94:K94&lt;&gt;""),H94:K94),0)))</f>
        <v/>
      </c>
      <c r="M94" s="61">
        <f>IF(L94="","",IF(L94&gt;=1,"Completado",IF(L94&gt;0,"En curso","Pendiente")))</f>
        <v/>
      </c>
      <c r="N94" s="62" t="n"/>
      <c r="O94" s="68">
        <f>IF(NOT((COUNTA($B94:$K94)+COUNTA($N94))&gt;0),"",IF((IF(AND($S94="Macro",$B94=""),"Macroactividad vacía"&amp;" · ","")&amp;IF(AND($B94&lt;&gt;"",$C94&lt;&gt;""),"Escriba la subactividad en otra fila, debajo de su macroactividad"&amp;" · ","")&amp;IF(AND($S94="Sub",N($R94)=0),"Subactividad sin macroactividad arriba"&amp;" · ","")&amp;IF($D94="","Sin responsable"&amp;" · ","")&amp;IF($E94="","Sin fecha de inicio"&amp;" · ","")&amp;IF($F94="","Sin fecha límite"&amp;" · ","")&amp;IF(OR(AND($E94&lt;&gt;"",NOT(ISNUMBER($E94))),AND($F94&lt;&gt;"",NOT(ISNUMBER($F94)))),"Fecha no válida"&amp;" · ","")&amp;IF(AND(ISNUMBER($E94),ISNUMBER($F94),$E94&gt;$F94),"Inicio posterior a fecha límite"&amp;" · ","")&amp;IF(AND($S94="Macro",$G94=""),"Peso vacío"&amp;" · ","")&amp;IF(AND($S94="Macro",$G94&lt;&gt;"",OR(NOT(ISNUMBER($G94)),$G94&lt;=0,$G94&gt;1)),"Peso fuera de rango"&amp;" · ","")&amp;IF(AND($S94="Sub",$G94&lt;&gt;""),"Las subactividades no llevan peso"&amp;" · ","")&amp;IF(AND($S94="Macro",ABS(SUMIFS($G$5:$G$1000,$P$5:$P$1000,$P94,$S$5:$S$1000,"Macro")-1)&gt;0.0001),"Pesos del mes suman "&amp;TEXT(SUMIFS($G$5:$G$1000,$P$5:$P$1000,$P94,$S$5:$S$1000,"Macro"),"0%")&amp;" · ","")&amp;IF(AND(N($T94)&gt;0,COUNT($H94:$K94)&gt;0),"Con subactividades: deje vacías las semanas (se calculan solas)"&amp;" · ","")&amp;IF((COUNTIF($H94:$K94,"&gt;1")+COUNTIF($H94:$K94,"&lt;0")+COUNTA($H94:$K94)-COUNT($H94:$K94))&gt;0,"Avance fuera de rango 0-100%"&amp;" · ","")&amp;IF(OR(AND($I94&lt;&gt;"",$I94&lt;$H94),AND($J94&lt;&gt;"",$J94&lt;MAX($H94:$I94)),AND($K94&lt;&gt;"",$K94&lt;MAX($H94:$J94))),"Avance semanal decreciente"&amp;" · ","")&amp;IF(AND(ISNUMBER($F94),$F94&lt;FechaRef,N($L94)&lt;1),"Vencida"&amp;" · ","")&amp;IF(AND(ObsObligatoria="Sí",ISNUMBER($F94),$F94&lt;FechaRef,N($L94)&lt;1,$N94=""),"Vencida sin observación"&amp;" · ",""))="","✔ OK","⚠ "&amp;LEFT(IF(AND($S94="Macro",$B94=""),"Macroactividad vacía"&amp;" · ","")&amp;IF(AND($B94&lt;&gt;"",$C94&lt;&gt;""),"Escriba la subactividad en otra fila, debajo de su macroactividad"&amp;" · ","")&amp;IF(AND($S94="Sub",N($R94)=0),"Subactividad sin macroactividad arriba"&amp;" · ","")&amp;IF($D94="","Sin responsable"&amp;" · ","")&amp;IF($E94="","Sin fecha de inicio"&amp;" · ","")&amp;IF($F94="","Sin fecha límite"&amp;" · ","")&amp;IF(OR(AND($E94&lt;&gt;"",NOT(ISNUMBER($E94))),AND($F94&lt;&gt;"",NOT(ISNUMBER($F94)))),"Fecha no válida"&amp;" · ","")&amp;IF(AND(ISNUMBER($E94),ISNUMBER($F94),$E94&gt;$F94),"Inicio posterior a fecha límite"&amp;" · ","")&amp;IF(AND($S94="Macro",$G94=""),"Peso vacío"&amp;" · ","")&amp;IF(AND($S94="Macro",$G94&lt;&gt;"",OR(NOT(ISNUMBER($G94)),$G94&lt;=0,$G94&gt;1)),"Peso fuera de rango"&amp;" · ","")&amp;IF(AND($S94="Sub",$G94&lt;&gt;""),"Las subactividades no llevan peso"&amp;" · ","")&amp;IF(AND($S94="Macro",ABS(SUMIFS($G$5:$G$1000,$P$5:$P$1000,$P94,$S$5:$S$1000,"Macro")-1)&gt;0.0001),"Pesos del mes suman "&amp;TEXT(SUMIFS($G$5:$G$1000,$P$5:$P$1000,$P94,$S$5:$S$1000,"Macro"),"0%")&amp;" · ","")&amp;IF(AND(N($T94)&gt;0,COUNT($H94:$K94)&gt;0),"Con subactividades: deje vacías las semanas (se calculan solas)"&amp;" · ","")&amp;IF((COUNTIF($H94:$K94,"&gt;1")+COUNTIF($H94:$K94,"&lt;0")+COUNTA($H94:$K94)-COUNT($H94:$K94))&gt;0,"Avance fuera de rango 0-100%"&amp;" · ","")&amp;IF(OR(AND($I94&lt;&gt;"",$I94&lt;$H94),AND($J94&lt;&gt;"",$J94&lt;MAX($H94:$I94)),AND($K94&lt;&gt;"",$K94&lt;MAX($H94:$J94))),"Avance semanal decreciente"&amp;" · ","")&amp;IF(AND(ISNUMBER($F94),$F94&lt;FechaRef,N($L94)&lt;1),"Vencida"&amp;" · ","")&amp;IF(AND(ObsObligatoria="Sí",ISNUMBER($F94),$F94&lt;FechaRef,N($L94)&lt;1,$N94=""),"Vencida sin observación"&amp;" · ",""),LEN(IF(AND($S94="Macro",$B94=""),"Macroactividad vacía"&amp;" · ","")&amp;IF(AND($B94&lt;&gt;"",$C94&lt;&gt;""),"Escriba la subactividad en otra fila, debajo de su macroactividad"&amp;" · ","")&amp;IF(AND($S94="Sub",N($R94)=0),"Subactividad sin macroactividad arriba"&amp;" · ","")&amp;IF($D94="","Sin responsable"&amp;" · ","")&amp;IF($E94="","Sin fecha de inicio"&amp;" · ","")&amp;IF($F94="","Sin fecha límite"&amp;" · ","")&amp;IF(OR(AND($E94&lt;&gt;"",NOT(ISNUMBER($E94))),AND($F94&lt;&gt;"",NOT(ISNUMBER($F94)))),"Fecha no válida"&amp;" · ","")&amp;IF(AND(ISNUMBER($E94),ISNUMBER($F94),$E94&gt;$F94),"Inicio posterior a fecha límite"&amp;" · ","")&amp;IF(AND($S94="Macro",$G94=""),"Peso vacío"&amp;" · ","")&amp;IF(AND($S94="Macro",$G94&lt;&gt;"",OR(NOT(ISNUMBER($G94)),$G94&lt;=0,$G94&gt;1)),"Peso fuera de rango"&amp;" · ","")&amp;IF(AND($S94="Sub",$G94&lt;&gt;""),"Las subactividades no llevan peso"&amp;" · ","")&amp;IF(AND($S94="Macro",ABS(SUMIFS($G$5:$G$1000,$P$5:$P$1000,$P94,$S$5:$S$1000,"Macro")-1)&gt;0.0001),"Pesos del mes suman "&amp;TEXT(SUMIFS($G$5:$G$1000,$P$5:$P$1000,$P94,$S$5:$S$1000,"Macro"),"0%")&amp;" · ","")&amp;IF(AND(N($T94)&gt;0,COUNT($H94:$K94)&gt;0),"Con subactividades: deje vacías las semanas (se calculan solas)"&amp;" · ","")&amp;IF((COUNTIF($H94:$K94,"&gt;1")+COUNTIF($H94:$K94,"&lt;0")+COUNTA($H94:$K94)-COUNT($H94:$K94))&gt;0,"Avance fuera de rango 0-100%"&amp;" · ","")&amp;IF(OR(AND($I94&lt;&gt;"",$I94&lt;$H94),AND($J94&lt;&gt;"",$J94&lt;MAX($H94:$I94)),AND($K94&lt;&gt;"",$K94&lt;MAX($H94:$J94))),"Avance semanal decreciente"&amp;" · ","")&amp;IF(AND(ISNUMBER($F94),$F94&lt;FechaRef,N($L94)&lt;1),"Vencida"&amp;" · ","")&amp;IF(AND(ObsObligatoria="Sí",ISNUMBER($F94),$F94&lt;FechaRef,N($L94)&lt;1,$N94=""),"Vencida sin observación"&amp;" · ",""))-3)))</f>
        <v/>
      </c>
      <c r="P94" s="69">
        <f>IF(NOT((COUNTA($B94:$K94)+COUNTA($N94))&gt;0),"",IF(AND($S94="Sub",N($R94)&gt;0),IF(ISNUMBER(INDEX($E$5:$E$1000,$R94-4)),DATE(YEAR(INDEX($E$5:$E$1000,$R94-4)),MONTH(INDEX($E$5:$E$1000,$R94-4)),1),IF(ISNUMBER(INDEX($F$5:$F$1000,$R94-4)),DATE(YEAR(INDEX($F$5:$F$1000,$R94-4)),MONTH(INDEX($F$5:$F$1000,$R94-4)),1),MesCiclo)),IF(ISNUMBER($E94),DATE(YEAR($E94),MONTH($E94),1),IF(ISNUMBER($F94),DATE(YEAR($F94),MONTH($F94),1),MesCiclo))))</f>
        <v/>
      </c>
      <c r="Q94" s="70">
        <f>IF(OR($P94="",$P94&lt;&gt;MesCiclo),"",COUNTIF($P$5:$P94,MesCiclo))</f>
        <v/>
      </c>
      <c r="R94" s="70">
        <f>IF($S94="","",IF($S94="Macro",ROW(),IFERROR(LOOKUP(2,1/($S$5:$S94="Macro"),ROW($S$5:$S94)),0)))</f>
        <v/>
      </c>
      <c r="S94" s="70">
        <f>IF(NOT((COUNTA($B94:$K94)+COUNTA($N94))&gt;0),"",IF($B94&lt;&gt;"","Macro",IF($C94&lt;&gt;"","Sub","Macro")))</f>
        <v/>
      </c>
      <c r="T94" s="70">
        <f>IF($S94="Macro",COUNTIFS($R$5:$R$1000,ROW(),$S$5:$S$1000,"Sub"),"")</f>
        <v/>
      </c>
      <c r="U94" s="70">
        <f>IF($S94="","",IF(ISNUMBER($H94),$H94,0))</f>
        <v/>
      </c>
      <c r="V94" s="70">
        <f>IF($S94="","",IF(ISNUMBER($I94),$I94,$U94))</f>
        <v/>
      </c>
      <c r="W94" s="70">
        <f>IF($S94="","",IF(ISNUMBER($J94),$J94,$V94))</f>
        <v/>
      </c>
      <c r="X94" s="70">
        <f>IF($S94="","",IF(ISNUMBER($K94),$K94,$W94))</f>
        <v/>
      </c>
      <c r="Y94" s="70">
        <f>IF($S94="","",IF(N($T94)&gt;0,AVERAGEIFS($U$5:$U$1000,$R$5:$R$1000,ROW(),$S$5:$S$1000,"Sub"),$U94))</f>
        <v/>
      </c>
      <c r="Z94" s="70">
        <f>IF($S94="","",IF(N($T94)&gt;0,AVERAGEIFS($V$5:$V$1000,$R$5:$R$1000,ROW(),$S$5:$S$1000,"Sub"),$V94))</f>
        <v/>
      </c>
      <c r="AA94" s="70">
        <f>IF($S94="","",IF(N($T94)&gt;0,AVERAGEIFS($W$5:$W$1000,$R$5:$R$1000,ROW(),$S$5:$S$1000,"Sub"),$W94))</f>
        <v/>
      </c>
      <c r="AB94" s="70">
        <f>IF($S94="","",IF(N($T94)&gt;0,AVERAGEIFS($X$5:$X$1000,$R$5:$R$1000,ROW(),$S$5:$S$1000,"Sub"),$X94))</f>
        <v/>
      </c>
    </row>
    <row r="95">
      <c r="A95" s="61">
        <f>IF(NOT((COUNTA($B95:$K95)+COUNTA($N95))&gt;0),"",IF($S95="Macro",COUNTIFS($S$5:$S95,"Macro",$P$5:$P95,$P95),IF(N($R95)=0,"?",COUNTIFS(INDEX($S$5:$S$1000,1):INDEX($S$5:$S$1000,$R95-4),"Macro",INDEX($P$5:$P$1000,1):INDEX($P$5:$P$1000,$R95-4),INDEX($P$5:$P$1000,$R95-4))&amp;"."&amp;COUNTIFS($R$5:$R95,$R95,$S$5:$S95,"Sub"))))</f>
        <v/>
      </c>
      <c r="B95" s="62" t="n"/>
      <c r="C95" s="63" t="n"/>
      <c r="D95" s="62" t="n"/>
      <c r="E95" s="64" t="n"/>
      <c r="F95" s="64" t="n"/>
      <c r="G95" s="65" t="n"/>
      <c r="H95" s="66" t="n"/>
      <c r="I95" s="66" t="n"/>
      <c r="J95" s="66" t="n"/>
      <c r="K95" s="66" t="n"/>
      <c r="L95" s="67">
        <f>IF(NOT((COUNTA($B95:$K95)+COUNTA($N95))&gt;0),"",IF(N($T95)&gt;0,$AB95,IFERROR(LOOKUP(2,1/(H95:K95&lt;&gt;""),H95:K95),0)))</f>
        <v/>
      </c>
      <c r="M95" s="61">
        <f>IF(L95="","",IF(L95&gt;=1,"Completado",IF(L95&gt;0,"En curso","Pendiente")))</f>
        <v/>
      </c>
      <c r="N95" s="62" t="n"/>
      <c r="O95" s="68">
        <f>IF(NOT((COUNTA($B95:$K95)+COUNTA($N95))&gt;0),"",IF((IF(AND($S95="Macro",$B95=""),"Macroactividad vacía"&amp;" · ","")&amp;IF(AND($B95&lt;&gt;"",$C95&lt;&gt;""),"Escriba la subactividad en otra fila, debajo de su macroactividad"&amp;" · ","")&amp;IF(AND($S95="Sub",N($R95)=0),"Subactividad sin macroactividad arriba"&amp;" · ","")&amp;IF($D95="","Sin responsable"&amp;" · ","")&amp;IF($E95="","Sin fecha de inicio"&amp;" · ","")&amp;IF($F95="","Sin fecha límite"&amp;" · ","")&amp;IF(OR(AND($E95&lt;&gt;"",NOT(ISNUMBER($E95))),AND($F95&lt;&gt;"",NOT(ISNUMBER($F95)))),"Fecha no válida"&amp;" · ","")&amp;IF(AND(ISNUMBER($E95),ISNUMBER($F95),$E95&gt;$F95),"Inicio posterior a fecha límite"&amp;" · ","")&amp;IF(AND($S95="Macro",$G95=""),"Peso vacío"&amp;" · ","")&amp;IF(AND($S95="Macro",$G95&lt;&gt;"",OR(NOT(ISNUMBER($G95)),$G95&lt;=0,$G95&gt;1)),"Peso fuera de rango"&amp;" · ","")&amp;IF(AND($S95="Sub",$G95&lt;&gt;""),"Las subactividades no llevan peso"&amp;" · ","")&amp;IF(AND($S95="Macro",ABS(SUMIFS($G$5:$G$1000,$P$5:$P$1000,$P95,$S$5:$S$1000,"Macro")-1)&gt;0.0001),"Pesos del mes suman "&amp;TEXT(SUMIFS($G$5:$G$1000,$P$5:$P$1000,$P95,$S$5:$S$1000,"Macro"),"0%")&amp;" · ","")&amp;IF(AND(N($T95)&gt;0,COUNT($H95:$K95)&gt;0),"Con subactividades: deje vacías las semanas (se calculan solas)"&amp;" · ","")&amp;IF((COUNTIF($H95:$K95,"&gt;1")+COUNTIF($H95:$K95,"&lt;0")+COUNTA($H95:$K95)-COUNT($H95:$K95))&gt;0,"Avance fuera de rango 0-100%"&amp;" · ","")&amp;IF(OR(AND($I95&lt;&gt;"",$I95&lt;$H95),AND($J95&lt;&gt;"",$J95&lt;MAX($H95:$I95)),AND($K95&lt;&gt;"",$K95&lt;MAX($H95:$J95))),"Avance semanal decreciente"&amp;" · ","")&amp;IF(AND(ISNUMBER($F95),$F95&lt;FechaRef,N($L95)&lt;1),"Vencida"&amp;" · ","")&amp;IF(AND(ObsObligatoria="Sí",ISNUMBER($F95),$F95&lt;FechaRef,N($L95)&lt;1,$N95=""),"Vencida sin observación"&amp;" · ",""))="","✔ OK","⚠ "&amp;LEFT(IF(AND($S95="Macro",$B95=""),"Macroactividad vacía"&amp;" · ","")&amp;IF(AND($B95&lt;&gt;"",$C95&lt;&gt;""),"Escriba la subactividad en otra fila, debajo de su macroactividad"&amp;" · ","")&amp;IF(AND($S95="Sub",N($R95)=0),"Subactividad sin macroactividad arriba"&amp;" · ","")&amp;IF($D95="","Sin responsable"&amp;" · ","")&amp;IF($E95="","Sin fecha de inicio"&amp;" · ","")&amp;IF($F95="","Sin fecha límite"&amp;" · ","")&amp;IF(OR(AND($E95&lt;&gt;"",NOT(ISNUMBER($E95))),AND($F95&lt;&gt;"",NOT(ISNUMBER($F95)))),"Fecha no válida"&amp;" · ","")&amp;IF(AND(ISNUMBER($E95),ISNUMBER($F95),$E95&gt;$F95),"Inicio posterior a fecha límite"&amp;" · ","")&amp;IF(AND($S95="Macro",$G95=""),"Peso vacío"&amp;" · ","")&amp;IF(AND($S95="Macro",$G95&lt;&gt;"",OR(NOT(ISNUMBER($G95)),$G95&lt;=0,$G95&gt;1)),"Peso fuera de rango"&amp;" · ","")&amp;IF(AND($S95="Sub",$G95&lt;&gt;""),"Las subactividades no llevan peso"&amp;" · ","")&amp;IF(AND($S95="Macro",ABS(SUMIFS($G$5:$G$1000,$P$5:$P$1000,$P95,$S$5:$S$1000,"Macro")-1)&gt;0.0001),"Pesos del mes suman "&amp;TEXT(SUMIFS($G$5:$G$1000,$P$5:$P$1000,$P95,$S$5:$S$1000,"Macro"),"0%")&amp;" · ","")&amp;IF(AND(N($T95)&gt;0,COUNT($H95:$K95)&gt;0),"Con subactividades: deje vacías las semanas (se calculan solas)"&amp;" · ","")&amp;IF((COUNTIF($H95:$K95,"&gt;1")+COUNTIF($H95:$K95,"&lt;0")+COUNTA($H95:$K95)-COUNT($H95:$K95))&gt;0,"Avance fuera de rango 0-100%"&amp;" · ","")&amp;IF(OR(AND($I95&lt;&gt;"",$I95&lt;$H95),AND($J95&lt;&gt;"",$J95&lt;MAX($H95:$I95)),AND($K95&lt;&gt;"",$K95&lt;MAX($H95:$J95))),"Avance semanal decreciente"&amp;" · ","")&amp;IF(AND(ISNUMBER($F95),$F95&lt;FechaRef,N($L95)&lt;1),"Vencida"&amp;" · ","")&amp;IF(AND(ObsObligatoria="Sí",ISNUMBER($F95),$F95&lt;FechaRef,N($L95)&lt;1,$N95=""),"Vencida sin observación"&amp;" · ",""),LEN(IF(AND($S95="Macro",$B95=""),"Macroactividad vacía"&amp;" · ","")&amp;IF(AND($B95&lt;&gt;"",$C95&lt;&gt;""),"Escriba la subactividad en otra fila, debajo de su macroactividad"&amp;" · ","")&amp;IF(AND($S95="Sub",N($R95)=0),"Subactividad sin macroactividad arriba"&amp;" · ","")&amp;IF($D95="","Sin responsable"&amp;" · ","")&amp;IF($E95="","Sin fecha de inicio"&amp;" · ","")&amp;IF($F95="","Sin fecha límite"&amp;" · ","")&amp;IF(OR(AND($E95&lt;&gt;"",NOT(ISNUMBER($E95))),AND($F95&lt;&gt;"",NOT(ISNUMBER($F95)))),"Fecha no válida"&amp;" · ","")&amp;IF(AND(ISNUMBER($E95),ISNUMBER($F95),$E95&gt;$F95),"Inicio posterior a fecha límite"&amp;" · ","")&amp;IF(AND($S95="Macro",$G95=""),"Peso vacío"&amp;" · ","")&amp;IF(AND($S95="Macro",$G95&lt;&gt;"",OR(NOT(ISNUMBER($G95)),$G95&lt;=0,$G95&gt;1)),"Peso fuera de rango"&amp;" · ","")&amp;IF(AND($S95="Sub",$G95&lt;&gt;""),"Las subactividades no llevan peso"&amp;" · ","")&amp;IF(AND($S95="Macro",ABS(SUMIFS($G$5:$G$1000,$P$5:$P$1000,$P95,$S$5:$S$1000,"Macro")-1)&gt;0.0001),"Pesos del mes suman "&amp;TEXT(SUMIFS($G$5:$G$1000,$P$5:$P$1000,$P95,$S$5:$S$1000,"Macro"),"0%")&amp;" · ","")&amp;IF(AND(N($T95)&gt;0,COUNT($H95:$K95)&gt;0),"Con subactividades: deje vacías las semanas (se calculan solas)"&amp;" · ","")&amp;IF((COUNTIF($H95:$K95,"&gt;1")+COUNTIF($H95:$K95,"&lt;0")+COUNTA($H95:$K95)-COUNT($H95:$K95))&gt;0,"Avance fuera de rango 0-100%"&amp;" · ","")&amp;IF(OR(AND($I95&lt;&gt;"",$I95&lt;$H95),AND($J95&lt;&gt;"",$J95&lt;MAX($H95:$I95)),AND($K95&lt;&gt;"",$K95&lt;MAX($H95:$J95))),"Avance semanal decreciente"&amp;" · ","")&amp;IF(AND(ISNUMBER($F95),$F95&lt;FechaRef,N($L95)&lt;1),"Vencida"&amp;" · ","")&amp;IF(AND(ObsObligatoria="Sí",ISNUMBER($F95),$F95&lt;FechaRef,N($L95)&lt;1,$N95=""),"Vencida sin observación"&amp;" · ",""))-3)))</f>
        <v/>
      </c>
      <c r="P95" s="69">
        <f>IF(NOT((COUNTA($B95:$K95)+COUNTA($N95))&gt;0),"",IF(AND($S95="Sub",N($R95)&gt;0),IF(ISNUMBER(INDEX($E$5:$E$1000,$R95-4)),DATE(YEAR(INDEX($E$5:$E$1000,$R95-4)),MONTH(INDEX($E$5:$E$1000,$R95-4)),1),IF(ISNUMBER(INDEX($F$5:$F$1000,$R95-4)),DATE(YEAR(INDEX($F$5:$F$1000,$R95-4)),MONTH(INDEX($F$5:$F$1000,$R95-4)),1),MesCiclo)),IF(ISNUMBER($E95),DATE(YEAR($E95),MONTH($E95),1),IF(ISNUMBER($F95),DATE(YEAR($F95),MONTH($F95),1),MesCiclo))))</f>
        <v/>
      </c>
      <c r="Q95" s="70">
        <f>IF(OR($P95="",$P95&lt;&gt;MesCiclo),"",COUNTIF($P$5:$P95,MesCiclo))</f>
        <v/>
      </c>
      <c r="R95" s="70">
        <f>IF($S95="","",IF($S95="Macro",ROW(),IFERROR(LOOKUP(2,1/($S$5:$S95="Macro"),ROW($S$5:$S95)),0)))</f>
        <v/>
      </c>
      <c r="S95" s="70">
        <f>IF(NOT((COUNTA($B95:$K95)+COUNTA($N95))&gt;0),"",IF($B95&lt;&gt;"","Macro",IF($C95&lt;&gt;"","Sub","Macro")))</f>
        <v/>
      </c>
      <c r="T95" s="70">
        <f>IF($S95="Macro",COUNTIFS($R$5:$R$1000,ROW(),$S$5:$S$1000,"Sub"),"")</f>
        <v/>
      </c>
      <c r="U95" s="70">
        <f>IF($S95="","",IF(ISNUMBER($H95),$H95,0))</f>
        <v/>
      </c>
      <c r="V95" s="70">
        <f>IF($S95="","",IF(ISNUMBER($I95),$I95,$U95))</f>
        <v/>
      </c>
      <c r="W95" s="70">
        <f>IF($S95="","",IF(ISNUMBER($J95),$J95,$V95))</f>
        <v/>
      </c>
      <c r="X95" s="70">
        <f>IF($S95="","",IF(ISNUMBER($K95),$K95,$W95))</f>
        <v/>
      </c>
      <c r="Y95" s="70">
        <f>IF($S95="","",IF(N($T95)&gt;0,AVERAGEIFS($U$5:$U$1000,$R$5:$R$1000,ROW(),$S$5:$S$1000,"Sub"),$U95))</f>
        <v/>
      </c>
      <c r="Z95" s="70">
        <f>IF($S95="","",IF(N($T95)&gt;0,AVERAGEIFS($V$5:$V$1000,$R$5:$R$1000,ROW(),$S$5:$S$1000,"Sub"),$V95))</f>
        <v/>
      </c>
      <c r="AA95" s="70">
        <f>IF($S95="","",IF(N($T95)&gt;0,AVERAGEIFS($W$5:$W$1000,$R$5:$R$1000,ROW(),$S$5:$S$1000,"Sub"),$W95))</f>
        <v/>
      </c>
      <c r="AB95" s="70">
        <f>IF($S95="","",IF(N($T95)&gt;0,AVERAGEIFS($X$5:$X$1000,$R$5:$R$1000,ROW(),$S$5:$S$1000,"Sub"),$X95))</f>
        <v/>
      </c>
    </row>
    <row r="96">
      <c r="A96" s="61">
        <f>IF(NOT((COUNTA($B96:$K96)+COUNTA($N96))&gt;0),"",IF($S96="Macro",COUNTIFS($S$5:$S96,"Macro",$P$5:$P96,$P96),IF(N($R96)=0,"?",COUNTIFS(INDEX($S$5:$S$1000,1):INDEX($S$5:$S$1000,$R96-4),"Macro",INDEX($P$5:$P$1000,1):INDEX($P$5:$P$1000,$R96-4),INDEX($P$5:$P$1000,$R96-4))&amp;"."&amp;COUNTIFS($R$5:$R96,$R96,$S$5:$S96,"Sub"))))</f>
        <v/>
      </c>
      <c r="B96" s="62" t="n"/>
      <c r="C96" s="63" t="n"/>
      <c r="D96" s="62" t="n"/>
      <c r="E96" s="64" t="n"/>
      <c r="F96" s="64" t="n"/>
      <c r="G96" s="65" t="n"/>
      <c r="H96" s="66" t="n"/>
      <c r="I96" s="66" t="n"/>
      <c r="J96" s="66" t="n"/>
      <c r="K96" s="66" t="n"/>
      <c r="L96" s="67">
        <f>IF(NOT((COUNTA($B96:$K96)+COUNTA($N96))&gt;0),"",IF(N($T96)&gt;0,$AB96,IFERROR(LOOKUP(2,1/(H96:K96&lt;&gt;""),H96:K96),0)))</f>
        <v/>
      </c>
      <c r="M96" s="61">
        <f>IF(L96="","",IF(L96&gt;=1,"Completado",IF(L96&gt;0,"En curso","Pendiente")))</f>
        <v/>
      </c>
      <c r="N96" s="62" t="n"/>
      <c r="O96" s="68">
        <f>IF(NOT((COUNTA($B96:$K96)+COUNTA($N96))&gt;0),"",IF((IF(AND($S96="Macro",$B96=""),"Macroactividad vacía"&amp;" · ","")&amp;IF(AND($B96&lt;&gt;"",$C96&lt;&gt;""),"Escriba la subactividad en otra fila, debajo de su macroactividad"&amp;" · ","")&amp;IF(AND($S96="Sub",N($R96)=0),"Subactividad sin macroactividad arriba"&amp;" · ","")&amp;IF($D96="","Sin responsable"&amp;" · ","")&amp;IF($E96="","Sin fecha de inicio"&amp;" · ","")&amp;IF($F96="","Sin fecha límite"&amp;" · ","")&amp;IF(OR(AND($E96&lt;&gt;"",NOT(ISNUMBER($E96))),AND($F96&lt;&gt;"",NOT(ISNUMBER($F96)))),"Fecha no válida"&amp;" · ","")&amp;IF(AND(ISNUMBER($E96),ISNUMBER($F96),$E96&gt;$F96),"Inicio posterior a fecha límite"&amp;" · ","")&amp;IF(AND($S96="Macro",$G96=""),"Peso vacío"&amp;" · ","")&amp;IF(AND($S96="Macro",$G96&lt;&gt;"",OR(NOT(ISNUMBER($G96)),$G96&lt;=0,$G96&gt;1)),"Peso fuera de rango"&amp;" · ","")&amp;IF(AND($S96="Sub",$G96&lt;&gt;""),"Las subactividades no llevan peso"&amp;" · ","")&amp;IF(AND($S96="Macro",ABS(SUMIFS($G$5:$G$1000,$P$5:$P$1000,$P96,$S$5:$S$1000,"Macro")-1)&gt;0.0001),"Pesos del mes suman "&amp;TEXT(SUMIFS($G$5:$G$1000,$P$5:$P$1000,$P96,$S$5:$S$1000,"Macro"),"0%")&amp;" · ","")&amp;IF(AND(N($T96)&gt;0,COUNT($H96:$K96)&gt;0),"Con subactividades: deje vacías las semanas (se calculan solas)"&amp;" · ","")&amp;IF((COUNTIF($H96:$K96,"&gt;1")+COUNTIF($H96:$K96,"&lt;0")+COUNTA($H96:$K96)-COUNT($H96:$K96))&gt;0,"Avance fuera de rango 0-100%"&amp;" · ","")&amp;IF(OR(AND($I96&lt;&gt;"",$I96&lt;$H96),AND($J96&lt;&gt;"",$J96&lt;MAX($H96:$I96)),AND($K96&lt;&gt;"",$K96&lt;MAX($H96:$J96))),"Avance semanal decreciente"&amp;" · ","")&amp;IF(AND(ISNUMBER($F96),$F96&lt;FechaRef,N($L96)&lt;1),"Vencida"&amp;" · ","")&amp;IF(AND(ObsObligatoria="Sí",ISNUMBER($F96),$F96&lt;FechaRef,N($L96)&lt;1,$N96=""),"Vencida sin observación"&amp;" · ",""))="","✔ OK","⚠ "&amp;LEFT(IF(AND($S96="Macro",$B96=""),"Macroactividad vacía"&amp;" · ","")&amp;IF(AND($B96&lt;&gt;"",$C96&lt;&gt;""),"Escriba la subactividad en otra fila, debajo de su macroactividad"&amp;" · ","")&amp;IF(AND($S96="Sub",N($R96)=0),"Subactividad sin macroactividad arriba"&amp;" · ","")&amp;IF($D96="","Sin responsable"&amp;" · ","")&amp;IF($E96="","Sin fecha de inicio"&amp;" · ","")&amp;IF($F96="","Sin fecha límite"&amp;" · ","")&amp;IF(OR(AND($E96&lt;&gt;"",NOT(ISNUMBER($E96))),AND($F96&lt;&gt;"",NOT(ISNUMBER($F96)))),"Fecha no válida"&amp;" · ","")&amp;IF(AND(ISNUMBER($E96),ISNUMBER($F96),$E96&gt;$F96),"Inicio posterior a fecha límite"&amp;" · ","")&amp;IF(AND($S96="Macro",$G96=""),"Peso vacío"&amp;" · ","")&amp;IF(AND($S96="Macro",$G96&lt;&gt;"",OR(NOT(ISNUMBER($G96)),$G96&lt;=0,$G96&gt;1)),"Peso fuera de rango"&amp;" · ","")&amp;IF(AND($S96="Sub",$G96&lt;&gt;""),"Las subactividades no llevan peso"&amp;" · ","")&amp;IF(AND($S96="Macro",ABS(SUMIFS($G$5:$G$1000,$P$5:$P$1000,$P96,$S$5:$S$1000,"Macro")-1)&gt;0.0001),"Pesos del mes suman "&amp;TEXT(SUMIFS($G$5:$G$1000,$P$5:$P$1000,$P96,$S$5:$S$1000,"Macro"),"0%")&amp;" · ","")&amp;IF(AND(N($T96)&gt;0,COUNT($H96:$K96)&gt;0),"Con subactividades: deje vacías las semanas (se calculan solas)"&amp;" · ","")&amp;IF((COUNTIF($H96:$K96,"&gt;1")+COUNTIF($H96:$K96,"&lt;0")+COUNTA($H96:$K96)-COUNT($H96:$K96))&gt;0,"Avance fuera de rango 0-100%"&amp;" · ","")&amp;IF(OR(AND($I96&lt;&gt;"",$I96&lt;$H96),AND($J96&lt;&gt;"",$J96&lt;MAX($H96:$I96)),AND($K96&lt;&gt;"",$K96&lt;MAX($H96:$J96))),"Avance semanal decreciente"&amp;" · ","")&amp;IF(AND(ISNUMBER($F96),$F96&lt;FechaRef,N($L96)&lt;1),"Vencida"&amp;" · ","")&amp;IF(AND(ObsObligatoria="Sí",ISNUMBER($F96),$F96&lt;FechaRef,N($L96)&lt;1,$N96=""),"Vencida sin observación"&amp;" · ",""),LEN(IF(AND($S96="Macro",$B96=""),"Macroactividad vacía"&amp;" · ","")&amp;IF(AND($B96&lt;&gt;"",$C96&lt;&gt;""),"Escriba la subactividad en otra fila, debajo de su macroactividad"&amp;" · ","")&amp;IF(AND($S96="Sub",N($R96)=0),"Subactividad sin macroactividad arriba"&amp;" · ","")&amp;IF($D96="","Sin responsable"&amp;" · ","")&amp;IF($E96="","Sin fecha de inicio"&amp;" · ","")&amp;IF($F96="","Sin fecha límite"&amp;" · ","")&amp;IF(OR(AND($E96&lt;&gt;"",NOT(ISNUMBER($E96))),AND($F96&lt;&gt;"",NOT(ISNUMBER($F96)))),"Fecha no válida"&amp;" · ","")&amp;IF(AND(ISNUMBER($E96),ISNUMBER($F96),$E96&gt;$F96),"Inicio posterior a fecha límite"&amp;" · ","")&amp;IF(AND($S96="Macro",$G96=""),"Peso vacío"&amp;" · ","")&amp;IF(AND($S96="Macro",$G96&lt;&gt;"",OR(NOT(ISNUMBER($G96)),$G96&lt;=0,$G96&gt;1)),"Peso fuera de rango"&amp;" · ","")&amp;IF(AND($S96="Sub",$G96&lt;&gt;""),"Las subactividades no llevan peso"&amp;" · ","")&amp;IF(AND($S96="Macro",ABS(SUMIFS($G$5:$G$1000,$P$5:$P$1000,$P96,$S$5:$S$1000,"Macro")-1)&gt;0.0001),"Pesos del mes suman "&amp;TEXT(SUMIFS($G$5:$G$1000,$P$5:$P$1000,$P96,$S$5:$S$1000,"Macro"),"0%")&amp;" · ","")&amp;IF(AND(N($T96)&gt;0,COUNT($H96:$K96)&gt;0),"Con subactividades: deje vacías las semanas (se calculan solas)"&amp;" · ","")&amp;IF((COUNTIF($H96:$K96,"&gt;1")+COUNTIF($H96:$K96,"&lt;0")+COUNTA($H96:$K96)-COUNT($H96:$K96))&gt;0,"Avance fuera de rango 0-100%"&amp;" · ","")&amp;IF(OR(AND($I96&lt;&gt;"",$I96&lt;$H96),AND($J96&lt;&gt;"",$J96&lt;MAX($H96:$I96)),AND($K96&lt;&gt;"",$K96&lt;MAX($H96:$J96))),"Avance semanal decreciente"&amp;" · ","")&amp;IF(AND(ISNUMBER($F96),$F96&lt;FechaRef,N($L96)&lt;1),"Vencida"&amp;" · ","")&amp;IF(AND(ObsObligatoria="Sí",ISNUMBER($F96),$F96&lt;FechaRef,N($L96)&lt;1,$N96=""),"Vencida sin observación"&amp;" · ",""))-3)))</f>
        <v/>
      </c>
      <c r="P96" s="69">
        <f>IF(NOT((COUNTA($B96:$K96)+COUNTA($N96))&gt;0),"",IF(AND($S96="Sub",N($R96)&gt;0),IF(ISNUMBER(INDEX($E$5:$E$1000,$R96-4)),DATE(YEAR(INDEX($E$5:$E$1000,$R96-4)),MONTH(INDEX($E$5:$E$1000,$R96-4)),1),IF(ISNUMBER(INDEX($F$5:$F$1000,$R96-4)),DATE(YEAR(INDEX($F$5:$F$1000,$R96-4)),MONTH(INDEX($F$5:$F$1000,$R96-4)),1),MesCiclo)),IF(ISNUMBER($E96),DATE(YEAR($E96),MONTH($E96),1),IF(ISNUMBER($F96),DATE(YEAR($F96),MONTH($F96),1),MesCiclo))))</f>
        <v/>
      </c>
      <c r="Q96" s="70">
        <f>IF(OR($P96="",$P96&lt;&gt;MesCiclo),"",COUNTIF($P$5:$P96,MesCiclo))</f>
        <v/>
      </c>
      <c r="R96" s="70">
        <f>IF($S96="","",IF($S96="Macro",ROW(),IFERROR(LOOKUP(2,1/($S$5:$S96="Macro"),ROW($S$5:$S96)),0)))</f>
        <v/>
      </c>
      <c r="S96" s="70">
        <f>IF(NOT((COUNTA($B96:$K96)+COUNTA($N96))&gt;0),"",IF($B96&lt;&gt;"","Macro",IF($C96&lt;&gt;"","Sub","Macro")))</f>
        <v/>
      </c>
      <c r="T96" s="70">
        <f>IF($S96="Macro",COUNTIFS($R$5:$R$1000,ROW(),$S$5:$S$1000,"Sub"),"")</f>
        <v/>
      </c>
      <c r="U96" s="70">
        <f>IF($S96="","",IF(ISNUMBER($H96),$H96,0))</f>
        <v/>
      </c>
      <c r="V96" s="70">
        <f>IF($S96="","",IF(ISNUMBER($I96),$I96,$U96))</f>
        <v/>
      </c>
      <c r="W96" s="70">
        <f>IF($S96="","",IF(ISNUMBER($J96),$J96,$V96))</f>
        <v/>
      </c>
      <c r="X96" s="70">
        <f>IF($S96="","",IF(ISNUMBER($K96),$K96,$W96))</f>
        <v/>
      </c>
      <c r="Y96" s="70">
        <f>IF($S96="","",IF(N($T96)&gt;0,AVERAGEIFS($U$5:$U$1000,$R$5:$R$1000,ROW(),$S$5:$S$1000,"Sub"),$U96))</f>
        <v/>
      </c>
      <c r="Z96" s="70">
        <f>IF($S96="","",IF(N($T96)&gt;0,AVERAGEIFS($V$5:$V$1000,$R$5:$R$1000,ROW(),$S$5:$S$1000,"Sub"),$V96))</f>
        <v/>
      </c>
      <c r="AA96" s="70">
        <f>IF($S96="","",IF(N($T96)&gt;0,AVERAGEIFS($W$5:$W$1000,$R$5:$R$1000,ROW(),$S$5:$S$1000,"Sub"),$W96))</f>
        <v/>
      </c>
      <c r="AB96" s="70">
        <f>IF($S96="","",IF(N($T96)&gt;0,AVERAGEIFS($X$5:$X$1000,$R$5:$R$1000,ROW(),$S$5:$S$1000,"Sub"),$X96))</f>
        <v/>
      </c>
    </row>
    <row r="97">
      <c r="A97" s="61">
        <f>IF(NOT((COUNTA($B97:$K97)+COUNTA($N97))&gt;0),"",IF($S97="Macro",COUNTIFS($S$5:$S97,"Macro",$P$5:$P97,$P97),IF(N($R97)=0,"?",COUNTIFS(INDEX($S$5:$S$1000,1):INDEX($S$5:$S$1000,$R97-4),"Macro",INDEX($P$5:$P$1000,1):INDEX($P$5:$P$1000,$R97-4),INDEX($P$5:$P$1000,$R97-4))&amp;"."&amp;COUNTIFS($R$5:$R97,$R97,$S$5:$S97,"Sub"))))</f>
        <v/>
      </c>
      <c r="B97" s="62" t="n"/>
      <c r="C97" s="63" t="n"/>
      <c r="D97" s="62" t="n"/>
      <c r="E97" s="64" t="n"/>
      <c r="F97" s="64" t="n"/>
      <c r="G97" s="65" t="n"/>
      <c r="H97" s="66" t="n"/>
      <c r="I97" s="66" t="n"/>
      <c r="J97" s="66" t="n"/>
      <c r="K97" s="66" t="n"/>
      <c r="L97" s="67">
        <f>IF(NOT((COUNTA($B97:$K97)+COUNTA($N97))&gt;0),"",IF(N($T97)&gt;0,$AB97,IFERROR(LOOKUP(2,1/(H97:K97&lt;&gt;""),H97:K97),0)))</f>
        <v/>
      </c>
      <c r="M97" s="61">
        <f>IF(L97="","",IF(L97&gt;=1,"Completado",IF(L97&gt;0,"En curso","Pendiente")))</f>
        <v/>
      </c>
      <c r="N97" s="62" t="n"/>
      <c r="O97" s="68">
        <f>IF(NOT((COUNTA($B97:$K97)+COUNTA($N97))&gt;0),"",IF((IF(AND($S97="Macro",$B97=""),"Macroactividad vacía"&amp;" · ","")&amp;IF(AND($B97&lt;&gt;"",$C97&lt;&gt;""),"Escriba la subactividad en otra fila, debajo de su macroactividad"&amp;" · ","")&amp;IF(AND($S97="Sub",N($R97)=0),"Subactividad sin macroactividad arriba"&amp;" · ","")&amp;IF($D97="","Sin responsable"&amp;" · ","")&amp;IF($E97="","Sin fecha de inicio"&amp;" · ","")&amp;IF($F97="","Sin fecha límite"&amp;" · ","")&amp;IF(OR(AND($E97&lt;&gt;"",NOT(ISNUMBER($E97))),AND($F97&lt;&gt;"",NOT(ISNUMBER($F97)))),"Fecha no válida"&amp;" · ","")&amp;IF(AND(ISNUMBER($E97),ISNUMBER($F97),$E97&gt;$F97),"Inicio posterior a fecha límite"&amp;" · ","")&amp;IF(AND($S97="Macro",$G97=""),"Peso vacío"&amp;" · ","")&amp;IF(AND($S97="Macro",$G97&lt;&gt;"",OR(NOT(ISNUMBER($G97)),$G97&lt;=0,$G97&gt;1)),"Peso fuera de rango"&amp;" · ","")&amp;IF(AND($S97="Sub",$G97&lt;&gt;""),"Las subactividades no llevan peso"&amp;" · ","")&amp;IF(AND($S97="Macro",ABS(SUMIFS($G$5:$G$1000,$P$5:$P$1000,$P97,$S$5:$S$1000,"Macro")-1)&gt;0.0001),"Pesos del mes suman "&amp;TEXT(SUMIFS($G$5:$G$1000,$P$5:$P$1000,$P97,$S$5:$S$1000,"Macro"),"0%")&amp;" · ","")&amp;IF(AND(N($T97)&gt;0,COUNT($H97:$K97)&gt;0),"Con subactividades: deje vacías las semanas (se calculan solas)"&amp;" · ","")&amp;IF((COUNTIF($H97:$K97,"&gt;1")+COUNTIF($H97:$K97,"&lt;0")+COUNTA($H97:$K97)-COUNT($H97:$K97))&gt;0,"Avance fuera de rango 0-100%"&amp;" · ","")&amp;IF(OR(AND($I97&lt;&gt;"",$I97&lt;$H97),AND($J97&lt;&gt;"",$J97&lt;MAX($H97:$I97)),AND($K97&lt;&gt;"",$K97&lt;MAX($H97:$J97))),"Avance semanal decreciente"&amp;" · ","")&amp;IF(AND(ISNUMBER($F97),$F97&lt;FechaRef,N($L97)&lt;1),"Vencida"&amp;" · ","")&amp;IF(AND(ObsObligatoria="Sí",ISNUMBER($F97),$F97&lt;FechaRef,N($L97)&lt;1,$N97=""),"Vencida sin observación"&amp;" · ",""))="","✔ OK","⚠ "&amp;LEFT(IF(AND($S97="Macro",$B97=""),"Macroactividad vacía"&amp;" · ","")&amp;IF(AND($B97&lt;&gt;"",$C97&lt;&gt;""),"Escriba la subactividad en otra fila, debajo de su macroactividad"&amp;" · ","")&amp;IF(AND($S97="Sub",N($R97)=0),"Subactividad sin macroactividad arriba"&amp;" · ","")&amp;IF($D97="","Sin responsable"&amp;" · ","")&amp;IF($E97="","Sin fecha de inicio"&amp;" · ","")&amp;IF($F97="","Sin fecha límite"&amp;" · ","")&amp;IF(OR(AND($E97&lt;&gt;"",NOT(ISNUMBER($E97))),AND($F97&lt;&gt;"",NOT(ISNUMBER($F97)))),"Fecha no válida"&amp;" · ","")&amp;IF(AND(ISNUMBER($E97),ISNUMBER($F97),$E97&gt;$F97),"Inicio posterior a fecha límite"&amp;" · ","")&amp;IF(AND($S97="Macro",$G97=""),"Peso vacío"&amp;" · ","")&amp;IF(AND($S97="Macro",$G97&lt;&gt;"",OR(NOT(ISNUMBER($G97)),$G97&lt;=0,$G97&gt;1)),"Peso fuera de rango"&amp;" · ","")&amp;IF(AND($S97="Sub",$G97&lt;&gt;""),"Las subactividades no llevan peso"&amp;" · ","")&amp;IF(AND($S97="Macro",ABS(SUMIFS($G$5:$G$1000,$P$5:$P$1000,$P97,$S$5:$S$1000,"Macro")-1)&gt;0.0001),"Pesos del mes suman "&amp;TEXT(SUMIFS($G$5:$G$1000,$P$5:$P$1000,$P97,$S$5:$S$1000,"Macro"),"0%")&amp;" · ","")&amp;IF(AND(N($T97)&gt;0,COUNT($H97:$K97)&gt;0),"Con subactividades: deje vacías las semanas (se calculan solas)"&amp;" · ","")&amp;IF((COUNTIF($H97:$K97,"&gt;1")+COUNTIF($H97:$K97,"&lt;0")+COUNTA($H97:$K97)-COUNT($H97:$K97))&gt;0,"Avance fuera de rango 0-100%"&amp;" · ","")&amp;IF(OR(AND($I97&lt;&gt;"",$I97&lt;$H97),AND($J97&lt;&gt;"",$J97&lt;MAX($H97:$I97)),AND($K97&lt;&gt;"",$K97&lt;MAX($H97:$J97))),"Avance semanal decreciente"&amp;" · ","")&amp;IF(AND(ISNUMBER($F97),$F97&lt;FechaRef,N($L97)&lt;1),"Vencida"&amp;" · ","")&amp;IF(AND(ObsObligatoria="Sí",ISNUMBER($F97),$F97&lt;FechaRef,N($L97)&lt;1,$N97=""),"Vencida sin observación"&amp;" · ",""),LEN(IF(AND($S97="Macro",$B97=""),"Macroactividad vacía"&amp;" · ","")&amp;IF(AND($B97&lt;&gt;"",$C97&lt;&gt;""),"Escriba la subactividad en otra fila, debajo de su macroactividad"&amp;" · ","")&amp;IF(AND($S97="Sub",N($R97)=0),"Subactividad sin macroactividad arriba"&amp;" · ","")&amp;IF($D97="","Sin responsable"&amp;" · ","")&amp;IF($E97="","Sin fecha de inicio"&amp;" · ","")&amp;IF($F97="","Sin fecha límite"&amp;" · ","")&amp;IF(OR(AND($E97&lt;&gt;"",NOT(ISNUMBER($E97))),AND($F97&lt;&gt;"",NOT(ISNUMBER($F97)))),"Fecha no válida"&amp;" · ","")&amp;IF(AND(ISNUMBER($E97),ISNUMBER($F97),$E97&gt;$F97),"Inicio posterior a fecha límite"&amp;" · ","")&amp;IF(AND($S97="Macro",$G97=""),"Peso vacío"&amp;" · ","")&amp;IF(AND($S97="Macro",$G97&lt;&gt;"",OR(NOT(ISNUMBER($G97)),$G97&lt;=0,$G97&gt;1)),"Peso fuera de rango"&amp;" · ","")&amp;IF(AND($S97="Sub",$G97&lt;&gt;""),"Las subactividades no llevan peso"&amp;" · ","")&amp;IF(AND($S97="Macro",ABS(SUMIFS($G$5:$G$1000,$P$5:$P$1000,$P97,$S$5:$S$1000,"Macro")-1)&gt;0.0001),"Pesos del mes suman "&amp;TEXT(SUMIFS($G$5:$G$1000,$P$5:$P$1000,$P97,$S$5:$S$1000,"Macro"),"0%")&amp;" · ","")&amp;IF(AND(N($T97)&gt;0,COUNT($H97:$K97)&gt;0),"Con subactividades: deje vacías las semanas (se calculan solas)"&amp;" · ","")&amp;IF((COUNTIF($H97:$K97,"&gt;1")+COUNTIF($H97:$K97,"&lt;0")+COUNTA($H97:$K97)-COUNT($H97:$K97))&gt;0,"Avance fuera de rango 0-100%"&amp;" · ","")&amp;IF(OR(AND($I97&lt;&gt;"",$I97&lt;$H97),AND($J97&lt;&gt;"",$J97&lt;MAX($H97:$I97)),AND($K97&lt;&gt;"",$K97&lt;MAX($H97:$J97))),"Avance semanal decreciente"&amp;" · ","")&amp;IF(AND(ISNUMBER($F97),$F97&lt;FechaRef,N($L97)&lt;1),"Vencida"&amp;" · ","")&amp;IF(AND(ObsObligatoria="Sí",ISNUMBER($F97),$F97&lt;FechaRef,N($L97)&lt;1,$N97=""),"Vencida sin observación"&amp;" · ",""))-3)))</f>
        <v/>
      </c>
      <c r="P97" s="69">
        <f>IF(NOT((COUNTA($B97:$K97)+COUNTA($N97))&gt;0),"",IF(AND($S97="Sub",N($R97)&gt;0),IF(ISNUMBER(INDEX($E$5:$E$1000,$R97-4)),DATE(YEAR(INDEX($E$5:$E$1000,$R97-4)),MONTH(INDEX($E$5:$E$1000,$R97-4)),1),IF(ISNUMBER(INDEX($F$5:$F$1000,$R97-4)),DATE(YEAR(INDEX($F$5:$F$1000,$R97-4)),MONTH(INDEX($F$5:$F$1000,$R97-4)),1),MesCiclo)),IF(ISNUMBER($E97),DATE(YEAR($E97),MONTH($E97),1),IF(ISNUMBER($F97),DATE(YEAR($F97),MONTH($F97),1),MesCiclo))))</f>
        <v/>
      </c>
      <c r="Q97" s="70">
        <f>IF(OR($P97="",$P97&lt;&gt;MesCiclo),"",COUNTIF($P$5:$P97,MesCiclo))</f>
        <v/>
      </c>
      <c r="R97" s="70">
        <f>IF($S97="","",IF($S97="Macro",ROW(),IFERROR(LOOKUP(2,1/($S$5:$S97="Macro"),ROW($S$5:$S97)),0)))</f>
        <v/>
      </c>
      <c r="S97" s="70">
        <f>IF(NOT((COUNTA($B97:$K97)+COUNTA($N97))&gt;0),"",IF($B97&lt;&gt;"","Macro",IF($C97&lt;&gt;"","Sub","Macro")))</f>
        <v/>
      </c>
      <c r="T97" s="70">
        <f>IF($S97="Macro",COUNTIFS($R$5:$R$1000,ROW(),$S$5:$S$1000,"Sub"),"")</f>
        <v/>
      </c>
      <c r="U97" s="70">
        <f>IF($S97="","",IF(ISNUMBER($H97),$H97,0))</f>
        <v/>
      </c>
      <c r="V97" s="70">
        <f>IF($S97="","",IF(ISNUMBER($I97),$I97,$U97))</f>
        <v/>
      </c>
      <c r="W97" s="70">
        <f>IF($S97="","",IF(ISNUMBER($J97),$J97,$V97))</f>
        <v/>
      </c>
      <c r="X97" s="70">
        <f>IF($S97="","",IF(ISNUMBER($K97),$K97,$W97))</f>
        <v/>
      </c>
      <c r="Y97" s="70">
        <f>IF($S97="","",IF(N($T97)&gt;0,AVERAGEIFS($U$5:$U$1000,$R$5:$R$1000,ROW(),$S$5:$S$1000,"Sub"),$U97))</f>
        <v/>
      </c>
      <c r="Z97" s="70">
        <f>IF($S97="","",IF(N($T97)&gt;0,AVERAGEIFS($V$5:$V$1000,$R$5:$R$1000,ROW(),$S$5:$S$1000,"Sub"),$V97))</f>
        <v/>
      </c>
      <c r="AA97" s="70">
        <f>IF($S97="","",IF(N($T97)&gt;0,AVERAGEIFS($W$5:$W$1000,$R$5:$R$1000,ROW(),$S$5:$S$1000,"Sub"),$W97))</f>
        <v/>
      </c>
      <c r="AB97" s="70">
        <f>IF($S97="","",IF(N($T97)&gt;0,AVERAGEIFS($X$5:$X$1000,$R$5:$R$1000,ROW(),$S$5:$S$1000,"Sub"),$X97))</f>
        <v/>
      </c>
    </row>
    <row r="98">
      <c r="A98" s="61">
        <f>IF(NOT((COUNTA($B98:$K98)+COUNTA($N98))&gt;0),"",IF($S98="Macro",COUNTIFS($S$5:$S98,"Macro",$P$5:$P98,$P98),IF(N($R98)=0,"?",COUNTIFS(INDEX($S$5:$S$1000,1):INDEX($S$5:$S$1000,$R98-4),"Macro",INDEX($P$5:$P$1000,1):INDEX($P$5:$P$1000,$R98-4),INDEX($P$5:$P$1000,$R98-4))&amp;"."&amp;COUNTIFS($R$5:$R98,$R98,$S$5:$S98,"Sub"))))</f>
        <v/>
      </c>
      <c r="B98" s="62" t="n"/>
      <c r="C98" s="63" t="n"/>
      <c r="D98" s="62" t="n"/>
      <c r="E98" s="64" t="n"/>
      <c r="F98" s="64" t="n"/>
      <c r="G98" s="65" t="n"/>
      <c r="H98" s="66" t="n"/>
      <c r="I98" s="66" t="n"/>
      <c r="J98" s="66" t="n"/>
      <c r="K98" s="66" t="n"/>
      <c r="L98" s="67">
        <f>IF(NOT((COUNTA($B98:$K98)+COUNTA($N98))&gt;0),"",IF(N($T98)&gt;0,$AB98,IFERROR(LOOKUP(2,1/(H98:K98&lt;&gt;""),H98:K98),0)))</f>
        <v/>
      </c>
      <c r="M98" s="61">
        <f>IF(L98="","",IF(L98&gt;=1,"Completado",IF(L98&gt;0,"En curso","Pendiente")))</f>
        <v/>
      </c>
      <c r="N98" s="62" t="n"/>
      <c r="O98" s="68">
        <f>IF(NOT((COUNTA($B98:$K98)+COUNTA($N98))&gt;0),"",IF((IF(AND($S98="Macro",$B98=""),"Macroactividad vacía"&amp;" · ","")&amp;IF(AND($B98&lt;&gt;"",$C98&lt;&gt;""),"Escriba la subactividad en otra fila, debajo de su macroactividad"&amp;" · ","")&amp;IF(AND($S98="Sub",N($R98)=0),"Subactividad sin macroactividad arriba"&amp;" · ","")&amp;IF($D98="","Sin responsable"&amp;" · ","")&amp;IF($E98="","Sin fecha de inicio"&amp;" · ","")&amp;IF($F98="","Sin fecha límite"&amp;" · ","")&amp;IF(OR(AND($E98&lt;&gt;"",NOT(ISNUMBER($E98))),AND($F98&lt;&gt;"",NOT(ISNUMBER($F98)))),"Fecha no válida"&amp;" · ","")&amp;IF(AND(ISNUMBER($E98),ISNUMBER($F98),$E98&gt;$F98),"Inicio posterior a fecha límite"&amp;" · ","")&amp;IF(AND($S98="Macro",$G98=""),"Peso vacío"&amp;" · ","")&amp;IF(AND($S98="Macro",$G98&lt;&gt;"",OR(NOT(ISNUMBER($G98)),$G98&lt;=0,$G98&gt;1)),"Peso fuera de rango"&amp;" · ","")&amp;IF(AND($S98="Sub",$G98&lt;&gt;""),"Las subactividades no llevan peso"&amp;" · ","")&amp;IF(AND($S98="Macro",ABS(SUMIFS($G$5:$G$1000,$P$5:$P$1000,$P98,$S$5:$S$1000,"Macro")-1)&gt;0.0001),"Pesos del mes suman "&amp;TEXT(SUMIFS($G$5:$G$1000,$P$5:$P$1000,$P98,$S$5:$S$1000,"Macro"),"0%")&amp;" · ","")&amp;IF(AND(N($T98)&gt;0,COUNT($H98:$K98)&gt;0),"Con subactividades: deje vacías las semanas (se calculan solas)"&amp;" · ","")&amp;IF((COUNTIF($H98:$K98,"&gt;1")+COUNTIF($H98:$K98,"&lt;0")+COUNTA($H98:$K98)-COUNT($H98:$K98))&gt;0,"Avance fuera de rango 0-100%"&amp;" · ","")&amp;IF(OR(AND($I98&lt;&gt;"",$I98&lt;$H98),AND($J98&lt;&gt;"",$J98&lt;MAX($H98:$I98)),AND($K98&lt;&gt;"",$K98&lt;MAX($H98:$J98))),"Avance semanal decreciente"&amp;" · ","")&amp;IF(AND(ISNUMBER($F98),$F98&lt;FechaRef,N($L98)&lt;1),"Vencida"&amp;" · ","")&amp;IF(AND(ObsObligatoria="Sí",ISNUMBER($F98),$F98&lt;FechaRef,N($L98)&lt;1,$N98=""),"Vencida sin observación"&amp;" · ",""))="","✔ OK","⚠ "&amp;LEFT(IF(AND($S98="Macro",$B98=""),"Macroactividad vacía"&amp;" · ","")&amp;IF(AND($B98&lt;&gt;"",$C98&lt;&gt;""),"Escriba la subactividad en otra fila, debajo de su macroactividad"&amp;" · ","")&amp;IF(AND($S98="Sub",N($R98)=0),"Subactividad sin macroactividad arriba"&amp;" · ","")&amp;IF($D98="","Sin responsable"&amp;" · ","")&amp;IF($E98="","Sin fecha de inicio"&amp;" · ","")&amp;IF($F98="","Sin fecha límite"&amp;" · ","")&amp;IF(OR(AND($E98&lt;&gt;"",NOT(ISNUMBER($E98))),AND($F98&lt;&gt;"",NOT(ISNUMBER($F98)))),"Fecha no válida"&amp;" · ","")&amp;IF(AND(ISNUMBER($E98),ISNUMBER($F98),$E98&gt;$F98),"Inicio posterior a fecha límite"&amp;" · ","")&amp;IF(AND($S98="Macro",$G98=""),"Peso vacío"&amp;" · ","")&amp;IF(AND($S98="Macro",$G98&lt;&gt;"",OR(NOT(ISNUMBER($G98)),$G98&lt;=0,$G98&gt;1)),"Peso fuera de rango"&amp;" · ","")&amp;IF(AND($S98="Sub",$G98&lt;&gt;""),"Las subactividades no llevan peso"&amp;" · ","")&amp;IF(AND($S98="Macro",ABS(SUMIFS($G$5:$G$1000,$P$5:$P$1000,$P98,$S$5:$S$1000,"Macro")-1)&gt;0.0001),"Pesos del mes suman "&amp;TEXT(SUMIFS($G$5:$G$1000,$P$5:$P$1000,$P98,$S$5:$S$1000,"Macro"),"0%")&amp;" · ","")&amp;IF(AND(N($T98)&gt;0,COUNT($H98:$K98)&gt;0),"Con subactividades: deje vacías las semanas (se calculan solas)"&amp;" · ","")&amp;IF((COUNTIF($H98:$K98,"&gt;1")+COUNTIF($H98:$K98,"&lt;0")+COUNTA($H98:$K98)-COUNT($H98:$K98))&gt;0,"Avance fuera de rango 0-100%"&amp;" · ","")&amp;IF(OR(AND($I98&lt;&gt;"",$I98&lt;$H98),AND($J98&lt;&gt;"",$J98&lt;MAX($H98:$I98)),AND($K98&lt;&gt;"",$K98&lt;MAX($H98:$J98))),"Avance semanal decreciente"&amp;" · ","")&amp;IF(AND(ISNUMBER($F98),$F98&lt;FechaRef,N($L98)&lt;1),"Vencida"&amp;" · ","")&amp;IF(AND(ObsObligatoria="Sí",ISNUMBER($F98),$F98&lt;FechaRef,N($L98)&lt;1,$N98=""),"Vencida sin observación"&amp;" · ",""),LEN(IF(AND($S98="Macro",$B98=""),"Macroactividad vacía"&amp;" · ","")&amp;IF(AND($B98&lt;&gt;"",$C98&lt;&gt;""),"Escriba la subactividad en otra fila, debajo de su macroactividad"&amp;" · ","")&amp;IF(AND($S98="Sub",N($R98)=0),"Subactividad sin macroactividad arriba"&amp;" · ","")&amp;IF($D98="","Sin responsable"&amp;" · ","")&amp;IF($E98="","Sin fecha de inicio"&amp;" · ","")&amp;IF($F98="","Sin fecha límite"&amp;" · ","")&amp;IF(OR(AND($E98&lt;&gt;"",NOT(ISNUMBER($E98))),AND($F98&lt;&gt;"",NOT(ISNUMBER($F98)))),"Fecha no válida"&amp;" · ","")&amp;IF(AND(ISNUMBER($E98),ISNUMBER($F98),$E98&gt;$F98),"Inicio posterior a fecha límite"&amp;" · ","")&amp;IF(AND($S98="Macro",$G98=""),"Peso vacío"&amp;" · ","")&amp;IF(AND($S98="Macro",$G98&lt;&gt;"",OR(NOT(ISNUMBER($G98)),$G98&lt;=0,$G98&gt;1)),"Peso fuera de rango"&amp;" · ","")&amp;IF(AND($S98="Sub",$G98&lt;&gt;""),"Las subactividades no llevan peso"&amp;" · ","")&amp;IF(AND($S98="Macro",ABS(SUMIFS($G$5:$G$1000,$P$5:$P$1000,$P98,$S$5:$S$1000,"Macro")-1)&gt;0.0001),"Pesos del mes suman "&amp;TEXT(SUMIFS($G$5:$G$1000,$P$5:$P$1000,$P98,$S$5:$S$1000,"Macro"),"0%")&amp;" · ","")&amp;IF(AND(N($T98)&gt;0,COUNT($H98:$K98)&gt;0),"Con subactividades: deje vacías las semanas (se calculan solas)"&amp;" · ","")&amp;IF((COUNTIF($H98:$K98,"&gt;1")+COUNTIF($H98:$K98,"&lt;0")+COUNTA($H98:$K98)-COUNT($H98:$K98))&gt;0,"Avance fuera de rango 0-100%"&amp;" · ","")&amp;IF(OR(AND($I98&lt;&gt;"",$I98&lt;$H98),AND($J98&lt;&gt;"",$J98&lt;MAX($H98:$I98)),AND($K98&lt;&gt;"",$K98&lt;MAX($H98:$J98))),"Avance semanal decreciente"&amp;" · ","")&amp;IF(AND(ISNUMBER($F98),$F98&lt;FechaRef,N($L98)&lt;1),"Vencida"&amp;" · ","")&amp;IF(AND(ObsObligatoria="Sí",ISNUMBER($F98),$F98&lt;FechaRef,N($L98)&lt;1,$N98=""),"Vencida sin observación"&amp;" · ",""))-3)))</f>
        <v/>
      </c>
      <c r="P98" s="69">
        <f>IF(NOT((COUNTA($B98:$K98)+COUNTA($N98))&gt;0),"",IF(AND($S98="Sub",N($R98)&gt;0),IF(ISNUMBER(INDEX($E$5:$E$1000,$R98-4)),DATE(YEAR(INDEX($E$5:$E$1000,$R98-4)),MONTH(INDEX($E$5:$E$1000,$R98-4)),1),IF(ISNUMBER(INDEX($F$5:$F$1000,$R98-4)),DATE(YEAR(INDEX($F$5:$F$1000,$R98-4)),MONTH(INDEX($F$5:$F$1000,$R98-4)),1),MesCiclo)),IF(ISNUMBER($E98),DATE(YEAR($E98),MONTH($E98),1),IF(ISNUMBER($F98),DATE(YEAR($F98),MONTH($F98),1),MesCiclo))))</f>
        <v/>
      </c>
      <c r="Q98" s="70">
        <f>IF(OR($P98="",$P98&lt;&gt;MesCiclo),"",COUNTIF($P$5:$P98,MesCiclo))</f>
        <v/>
      </c>
      <c r="R98" s="70">
        <f>IF($S98="","",IF($S98="Macro",ROW(),IFERROR(LOOKUP(2,1/($S$5:$S98="Macro"),ROW($S$5:$S98)),0)))</f>
        <v/>
      </c>
      <c r="S98" s="70">
        <f>IF(NOT((COUNTA($B98:$K98)+COUNTA($N98))&gt;0),"",IF($B98&lt;&gt;"","Macro",IF($C98&lt;&gt;"","Sub","Macro")))</f>
        <v/>
      </c>
      <c r="T98" s="70">
        <f>IF($S98="Macro",COUNTIFS($R$5:$R$1000,ROW(),$S$5:$S$1000,"Sub"),"")</f>
        <v/>
      </c>
      <c r="U98" s="70">
        <f>IF($S98="","",IF(ISNUMBER($H98),$H98,0))</f>
        <v/>
      </c>
      <c r="V98" s="70">
        <f>IF($S98="","",IF(ISNUMBER($I98),$I98,$U98))</f>
        <v/>
      </c>
      <c r="W98" s="70">
        <f>IF($S98="","",IF(ISNUMBER($J98),$J98,$V98))</f>
        <v/>
      </c>
      <c r="X98" s="70">
        <f>IF($S98="","",IF(ISNUMBER($K98),$K98,$W98))</f>
        <v/>
      </c>
      <c r="Y98" s="70">
        <f>IF($S98="","",IF(N($T98)&gt;0,AVERAGEIFS($U$5:$U$1000,$R$5:$R$1000,ROW(),$S$5:$S$1000,"Sub"),$U98))</f>
        <v/>
      </c>
      <c r="Z98" s="70">
        <f>IF($S98="","",IF(N($T98)&gt;0,AVERAGEIFS($V$5:$V$1000,$R$5:$R$1000,ROW(),$S$5:$S$1000,"Sub"),$V98))</f>
        <v/>
      </c>
      <c r="AA98" s="70">
        <f>IF($S98="","",IF(N($T98)&gt;0,AVERAGEIFS($W$5:$W$1000,$R$5:$R$1000,ROW(),$S$5:$S$1000,"Sub"),$W98))</f>
        <v/>
      </c>
      <c r="AB98" s="70">
        <f>IF($S98="","",IF(N($T98)&gt;0,AVERAGEIFS($X$5:$X$1000,$R$5:$R$1000,ROW(),$S$5:$S$1000,"Sub"),$X98))</f>
        <v/>
      </c>
    </row>
    <row r="99">
      <c r="A99" s="61">
        <f>IF(NOT((COUNTA($B99:$K99)+COUNTA($N99))&gt;0),"",IF($S99="Macro",COUNTIFS($S$5:$S99,"Macro",$P$5:$P99,$P99),IF(N($R99)=0,"?",COUNTIFS(INDEX($S$5:$S$1000,1):INDEX($S$5:$S$1000,$R99-4),"Macro",INDEX($P$5:$P$1000,1):INDEX($P$5:$P$1000,$R99-4),INDEX($P$5:$P$1000,$R99-4))&amp;"."&amp;COUNTIFS($R$5:$R99,$R99,$S$5:$S99,"Sub"))))</f>
        <v/>
      </c>
      <c r="B99" s="62" t="n"/>
      <c r="C99" s="63" t="n"/>
      <c r="D99" s="62" t="n"/>
      <c r="E99" s="64" t="n"/>
      <c r="F99" s="64" t="n"/>
      <c r="G99" s="65" t="n"/>
      <c r="H99" s="66" t="n"/>
      <c r="I99" s="66" t="n"/>
      <c r="J99" s="66" t="n"/>
      <c r="K99" s="66" t="n"/>
      <c r="L99" s="67">
        <f>IF(NOT((COUNTA($B99:$K99)+COUNTA($N99))&gt;0),"",IF(N($T99)&gt;0,$AB99,IFERROR(LOOKUP(2,1/(H99:K99&lt;&gt;""),H99:K99),0)))</f>
        <v/>
      </c>
      <c r="M99" s="61">
        <f>IF(L99="","",IF(L99&gt;=1,"Completado",IF(L99&gt;0,"En curso","Pendiente")))</f>
        <v/>
      </c>
      <c r="N99" s="62" t="n"/>
      <c r="O99" s="68">
        <f>IF(NOT((COUNTA($B99:$K99)+COUNTA($N99))&gt;0),"",IF((IF(AND($S99="Macro",$B99=""),"Macroactividad vacía"&amp;" · ","")&amp;IF(AND($B99&lt;&gt;"",$C99&lt;&gt;""),"Escriba la subactividad en otra fila, debajo de su macroactividad"&amp;" · ","")&amp;IF(AND($S99="Sub",N($R99)=0),"Subactividad sin macroactividad arriba"&amp;" · ","")&amp;IF($D99="","Sin responsable"&amp;" · ","")&amp;IF($E99="","Sin fecha de inicio"&amp;" · ","")&amp;IF($F99="","Sin fecha límite"&amp;" · ","")&amp;IF(OR(AND($E99&lt;&gt;"",NOT(ISNUMBER($E99))),AND($F99&lt;&gt;"",NOT(ISNUMBER($F99)))),"Fecha no válida"&amp;" · ","")&amp;IF(AND(ISNUMBER($E99),ISNUMBER($F99),$E99&gt;$F99),"Inicio posterior a fecha límite"&amp;" · ","")&amp;IF(AND($S99="Macro",$G99=""),"Peso vacío"&amp;" · ","")&amp;IF(AND($S99="Macro",$G99&lt;&gt;"",OR(NOT(ISNUMBER($G99)),$G99&lt;=0,$G99&gt;1)),"Peso fuera de rango"&amp;" · ","")&amp;IF(AND($S99="Sub",$G99&lt;&gt;""),"Las subactividades no llevan peso"&amp;" · ","")&amp;IF(AND($S99="Macro",ABS(SUMIFS($G$5:$G$1000,$P$5:$P$1000,$P99,$S$5:$S$1000,"Macro")-1)&gt;0.0001),"Pesos del mes suman "&amp;TEXT(SUMIFS($G$5:$G$1000,$P$5:$P$1000,$P99,$S$5:$S$1000,"Macro"),"0%")&amp;" · ","")&amp;IF(AND(N($T99)&gt;0,COUNT($H99:$K99)&gt;0),"Con subactividades: deje vacías las semanas (se calculan solas)"&amp;" · ","")&amp;IF((COUNTIF($H99:$K99,"&gt;1")+COUNTIF($H99:$K99,"&lt;0")+COUNTA($H99:$K99)-COUNT($H99:$K99))&gt;0,"Avance fuera de rango 0-100%"&amp;" · ","")&amp;IF(OR(AND($I99&lt;&gt;"",$I99&lt;$H99),AND($J99&lt;&gt;"",$J99&lt;MAX($H99:$I99)),AND($K99&lt;&gt;"",$K99&lt;MAX($H99:$J99))),"Avance semanal decreciente"&amp;" · ","")&amp;IF(AND(ISNUMBER($F99),$F99&lt;FechaRef,N($L99)&lt;1),"Vencida"&amp;" · ","")&amp;IF(AND(ObsObligatoria="Sí",ISNUMBER($F99),$F99&lt;FechaRef,N($L99)&lt;1,$N99=""),"Vencida sin observación"&amp;" · ",""))="","✔ OK","⚠ "&amp;LEFT(IF(AND($S99="Macro",$B99=""),"Macroactividad vacía"&amp;" · ","")&amp;IF(AND($B99&lt;&gt;"",$C99&lt;&gt;""),"Escriba la subactividad en otra fila, debajo de su macroactividad"&amp;" · ","")&amp;IF(AND($S99="Sub",N($R99)=0),"Subactividad sin macroactividad arriba"&amp;" · ","")&amp;IF($D99="","Sin responsable"&amp;" · ","")&amp;IF($E99="","Sin fecha de inicio"&amp;" · ","")&amp;IF($F99="","Sin fecha límite"&amp;" · ","")&amp;IF(OR(AND($E99&lt;&gt;"",NOT(ISNUMBER($E99))),AND($F99&lt;&gt;"",NOT(ISNUMBER($F99)))),"Fecha no válida"&amp;" · ","")&amp;IF(AND(ISNUMBER($E99),ISNUMBER($F99),$E99&gt;$F99),"Inicio posterior a fecha límite"&amp;" · ","")&amp;IF(AND($S99="Macro",$G99=""),"Peso vacío"&amp;" · ","")&amp;IF(AND($S99="Macro",$G99&lt;&gt;"",OR(NOT(ISNUMBER($G99)),$G99&lt;=0,$G99&gt;1)),"Peso fuera de rango"&amp;" · ","")&amp;IF(AND($S99="Sub",$G99&lt;&gt;""),"Las subactividades no llevan peso"&amp;" · ","")&amp;IF(AND($S99="Macro",ABS(SUMIFS($G$5:$G$1000,$P$5:$P$1000,$P99,$S$5:$S$1000,"Macro")-1)&gt;0.0001),"Pesos del mes suman "&amp;TEXT(SUMIFS($G$5:$G$1000,$P$5:$P$1000,$P99,$S$5:$S$1000,"Macro"),"0%")&amp;" · ","")&amp;IF(AND(N($T99)&gt;0,COUNT($H99:$K99)&gt;0),"Con subactividades: deje vacías las semanas (se calculan solas)"&amp;" · ","")&amp;IF((COUNTIF($H99:$K99,"&gt;1")+COUNTIF($H99:$K99,"&lt;0")+COUNTA($H99:$K99)-COUNT($H99:$K99))&gt;0,"Avance fuera de rango 0-100%"&amp;" · ","")&amp;IF(OR(AND($I99&lt;&gt;"",$I99&lt;$H99),AND($J99&lt;&gt;"",$J99&lt;MAX($H99:$I99)),AND($K99&lt;&gt;"",$K99&lt;MAX($H99:$J99))),"Avance semanal decreciente"&amp;" · ","")&amp;IF(AND(ISNUMBER($F99),$F99&lt;FechaRef,N($L99)&lt;1),"Vencida"&amp;" · ","")&amp;IF(AND(ObsObligatoria="Sí",ISNUMBER($F99),$F99&lt;FechaRef,N($L99)&lt;1,$N99=""),"Vencida sin observación"&amp;" · ",""),LEN(IF(AND($S99="Macro",$B99=""),"Macroactividad vacía"&amp;" · ","")&amp;IF(AND($B99&lt;&gt;"",$C99&lt;&gt;""),"Escriba la subactividad en otra fila, debajo de su macroactividad"&amp;" · ","")&amp;IF(AND($S99="Sub",N($R99)=0),"Subactividad sin macroactividad arriba"&amp;" · ","")&amp;IF($D99="","Sin responsable"&amp;" · ","")&amp;IF($E99="","Sin fecha de inicio"&amp;" · ","")&amp;IF($F99="","Sin fecha límite"&amp;" · ","")&amp;IF(OR(AND($E99&lt;&gt;"",NOT(ISNUMBER($E99))),AND($F99&lt;&gt;"",NOT(ISNUMBER($F99)))),"Fecha no válida"&amp;" · ","")&amp;IF(AND(ISNUMBER($E99),ISNUMBER($F99),$E99&gt;$F99),"Inicio posterior a fecha límite"&amp;" · ","")&amp;IF(AND($S99="Macro",$G99=""),"Peso vacío"&amp;" · ","")&amp;IF(AND($S99="Macro",$G99&lt;&gt;"",OR(NOT(ISNUMBER($G99)),$G99&lt;=0,$G99&gt;1)),"Peso fuera de rango"&amp;" · ","")&amp;IF(AND($S99="Sub",$G99&lt;&gt;""),"Las subactividades no llevan peso"&amp;" · ","")&amp;IF(AND($S99="Macro",ABS(SUMIFS($G$5:$G$1000,$P$5:$P$1000,$P99,$S$5:$S$1000,"Macro")-1)&gt;0.0001),"Pesos del mes suman "&amp;TEXT(SUMIFS($G$5:$G$1000,$P$5:$P$1000,$P99,$S$5:$S$1000,"Macro"),"0%")&amp;" · ","")&amp;IF(AND(N($T99)&gt;0,COUNT($H99:$K99)&gt;0),"Con subactividades: deje vacías las semanas (se calculan solas)"&amp;" · ","")&amp;IF((COUNTIF($H99:$K99,"&gt;1")+COUNTIF($H99:$K99,"&lt;0")+COUNTA($H99:$K99)-COUNT($H99:$K99))&gt;0,"Avance fuera de rango 0-100%"&amp;" · ","")&amp;IF(OR(AND($I99&lt;&gt;"",$I99&lt;$H99),AND($J99&lt;&gt;"",$J99&lt;MAX($H99:$I99)),AND($K99&lt;&gt;"",$K99&lt;MAX($H99:$J99))),"Avance semanal decreciente"&amp;" · ","")&amp;IF(AND(ISNUMBER($F99),$F99&lt;FechaRef,N($L99)&lt;1),"Vencida"&amp;" · ","")&amp;IF(AND(ObsObligatoria="Sí",ISNUMBER($F99),$F99&lt;FechaRef,N($L99)&lt;1,$N99=""),"Vencida sin observación"&amp;" · ",""))-3)))</f>
        <v/>
      </c>
      <c r="P99" s="69">
        <f>IF(NOT((COUNTA($B99:$K99)+COUNTA($N99))&gt;0),"",IF(AND($S99="Sub",N($R99)&gt;0),IF(ISNUMBER(INDEX($E$5:$E$1000,$R99-4)),DATE(YEAR(INDEX($E$5:$E$1000,$R99-4)),MONTH(INDEX($E$5:$E$1000,$R99-4)),1),IF(ISNUMBER(INDEX($F$5:$F$1000,$R99-4)),DATE(YEAR(INDEX($F$5:$F$1000,$R99-4)),MONTH(INDEX($F$5:$F$1000,$R99-4)),1),MesCiclo)),IF(ISNUMBER($E99),DATE(YEAR($E99),MONTH($E99),1),IF(ISNUMBER($F99),DATE(YEAR($F99),MONTH($F99),1),MesCiclo))))</f>
        <v/>
      </c>
      <c r="Q99" s="70">
        <f>IF(OR($P99="",$P99&lt;&gt;MesCiclo),"",COUNTIF($P$5:$P99,MesCiclo))</f>
        <v/>
      </c>
      <c r="R99" s="70">
        <f>IF($S99="","",IF($S99="Macro",ROW(),IFERROR(LOOKUP(2,1/($S$5:$S99="Macro"),ROW($S$5:$S99)),0)))</f>
        <v/>
      </c>
      <c r="S99" s="70">
        <f>IF(NOT((COUNTA($B99:$K99)+COUNTA($N99))&gt;0),"",IF($B99&lt;&gt;"","Macro",IF($C99&lt;&gt;"","Sub","Macro")))</f>
        <v/>
      </c>
      <c r="T99" s="70">
        <f>IF($S99="Macro",COUNTIFS($R$5:$R$1000,ROW(),$S$5:$S$1000,"Sub"),"")</f>
        <v/>
      </c>
      <c r="U99" s="70">
        <f>IF($S99="","",IF(ISNUMBER($H99),$H99,0))</f>
        <v/>
      </c>
      <c r="V99" s="70">
        <f>IF($S99="","",IF(ISNUMBER($I99),$I99,$U99))</f>
        <v/>
      </c>
      <c r="W99" s="70">
        <f>IF($S99="","",IF(ISNUMBER($J99),$J99,$V99))</f>
        <v/>
      </c>
      <c r="X99" s="70">
        <f>IF($S99="","",IF(ISNUMBER($K99),$K99,$W99))</f>
        <v/>
      </c>
      <c r="Y99" s="70">
        <f>IF($S99="","",IF(N($T99)&gt;0,AVERAGEIFS($U$5:$U$1000,$R$5:$R$1000,ROW(),$S$5:$S$1000,"Sub"),$U99))</f>
        <v/>
      </c>
      <c r="Z99" s="70">
        <f>IF($S99="","",IF(N($T99)&gt;0,AVERAGEIFS($V$5:$V$1000,$R$5:$R$1000,ROW(),$S$5:$S$1000,"Sub"),$V99))</f>
        <v/>
      </c>
      <c r="AA99" s="70">
        <f>IF($S99="","",IF(N($T99)&gt;0,AVERAGEIFS($W$5:$W$1000,$R$5:$R$1000,ROW(),$S$5:$S$1000,"Sub"),$W99))</f>
        <v/>
      </c>
      <c r="AB99" s="70">
        <f>IF($S99="","",IF(N($T99)&gt;0,AVERAGEIFS($X$5:$X$1000,$R$5:$R$1000,ROW(),$S$5:$S$1000,"Sub"),$X99))</f>
        <v/>
      </c>
    </row>
    <row r="100">
      <c r="A100" s="61">
        <f>IF(NOT((COUNTA($B100:$K100)+COUNTA($N100))&gt;0),"",IF($S100="Macro",COUNTIFS($S$5:$S100,"Macro",$P$5:$P100,$P100),IF(N($R100)=0,"?",COUNTIFS(INDEX($S$5:$S$1000,1):INDEX($S$5:$S$1000,$R100-4),"Macro",INDEX($P$5:$P$1000,1):INDEX($P$5:$P$1000,$R100-4),INDEX($P$5:$P$1000,$R100-4))&amp;"."&amp;COUNTIFS($R$5:$R100,$R100,$S$5:$S100,"Sub"))))</f>
        <v/>
      </c>
      <c r="B100" s="62" t="n"/>
      <c r="C100" s="63" t="n"/>
      <c r="D100" s="62" t="n"/>
      <c r="E100" s="64" t="n"/>
      <c r="F100" s="64" t="n"/>
      <c r="G100" s="65" t="n"/>
      <c r="H100" s="66" t="n"/>
      <c r="I100" s="66" t="n"/>
      <c r="J100" s="66" t="n"/>
      <c r="K100" s="66" t="n"/>
      <c r="L100" s="67">
        <f>IF(NOT((COUNTA($B100:$K100)+COUNTA($N100))&gt;0),"",IF(N($T100)&gt;0,$AB100,IFERROR(LOOKUP(2,1/(H100:K100&lt;&gt;""),H100:K100),0)))</f>
        <v/>
      </c>
      <c r="M100" s="61">
        <f>IF(L100="","",IF(L100&gt;=1,"Completado",IF(L100&gt;0,"En curso","Pendiente")))</f>
        <v/>
      </c>
      <c r="N100" s="62" t="n"/>
      <c r="O100" s="68">
        <f>IF(NOT((COUNTA($B100:$K100)+COUNTA($N100))&gt;0),"",IF((IF(AND($S100="Macro",$B100=""),"Macroactividad vacía"&amp;" · ","")&amp;IF(AND($B100&lt;&gt;"",$C100&lt;&gt;""),"Escriba la subactividad en otra fila, debajo de su macroactividad"&amp;" · ","")&amp;IF(AND($S100="Sub",N($R100)=0),"Subactividad sin macroactividad arriba"&amp;" · ","")&amp;IF($D100="","Sin responsable"&amp;" · ","")&amp;IF($E100="","Sin fecha de inicio"&amp;" · ","")&amp;IF($F100="","Sin fecha límite"&amp;" · ","")&amp;IF(OR(AND($E100&lt;&gt;"",NOT(ISNUMBER($E100))),AND($F100&lt;&gt;"",NOT(ISNUMBER($F100)))),"Fecha no válida"&amp;" · ","")&amp;IF(AND(ISNUMBER($E100),ISNUMBER($F100),$E100&gt;$F100),"Inicio posterior a fecha límite"&amp;" · ","")&amp;IF(AND($S100="Macro",$G100=""),"Peso vacío"&amp;" · ","")&amp;IF(AND($S100="Macro",$G100&lt;&gt;"",OR(NOT(ISNUMBER($G100)),$G100&lt;=0,$G100&gt;1)),"Peso fuera de rango"&amp;" · ","")&amp;IF(AND($S100="Sub",$G100&lt;&gt;""),"Las subactividades no llevan peso"&amp;" · ","")&amp;IF(AND($S100="Macro",ABS(SUMIFS($G$5:$G$1000,$P$5:$P$1000,$P100,$S$5:$S$1000,"Macro")-1)&gt;0.0001),"Pesos del mes suman "&amp;TEXT(SUMIFS($G$5:$G$1000,$P$5:$P$1000,$P100,$S$5:$S$1000,"Macro"),"0%")&amp;" · ","")&amp;IF(AND(N($T100)&gt;0,COUNT($H100:$K100)&gt;0),"Con subactividades: deje vacías las semanas (se calculan solas)"&amp;"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","")&amp;IF(AND(ObsObligatoria="Sí",ISNUMBER($F100),$F100&lt;FechaRef,N($L100)&lt;1,$N100=""),"Vencida sin observación"&amp;" · ",""))="","✔ OK","⚠ "&amp;LEFT(IF(AND($S100="Macro",$B100=""),"Macroactividad vacía"&amp;" · ","")&amp;IF(AND($B100&lt;&gt;"",$C100&lt;&gt;""),"Escriba la subactividad en otra fila, debajo de su macroactividad"&amp;" · ","")&amp;IF(AND($S100="Sub",N($R100)=0),"Subactividad sin macroactividad arriba"&amp;" · ","")&amp;IF($D100="","Sin responsable"&amp;" · ","")&amp;IF($E100="","Sin fecha de inicio"&amp;" · ","")&amp;IF($F100="","Sin fecha límite"&amp;" · ","")&amp;IF(OR(AND($E100&lt;&gt;"",NOT(ISNUMBER($E100))),AND($F100&lt;&gt;"",NOT(ISNUMBER($F100)))),"Fecha no válida"&amp;" · ","")&amp;IF(AND(ISNUMBER($E100),ISNUMBER($F100),$E100&gt;$F100),"Inicio posterior a fecha límite"&amp;" · ","")&amp;IF(AND($S100="Macro",$G100=""),"Peso vacío"&amp;" · ","")&amp;IF(AND($S100="Macro",$G100&lt;&gt;"",OR(NOT(ISNUMBER($G100)),$G100&lt;=0,$G100&gt;1)),"Peso fuera de rango"&amp;" · ","")&amp;IF(AND($S100="Sub",$G100&lt;&gt;""),"Las subactividades no llevan peso"&amp;" · ","")&amp;IF(AND($S100="Macro",ABS(SUMIFS($G$5:$G$1000,$P$5:$P$1000,$P100,$S$5:$S$1000,"Macro")-1)&gt;0.0001),"Pesos del mes suman "&amp;TEXT(SUMIFS($G$5:$G$1000,$P$5:$P$1000,$P100,$S$5:$S$1000,"Macro"),"0%")&amp;" · ","")&amp;IF(AND(N($T100)&gt;0,COUNT($H100:$K100)&gt;0),"Con subactividades: deje vacías las semanas (se calculan solas)"&amp;"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","")&amp;IF(AND(ObsObligatoria="Sí",ISNUMBER($F100),$F100&lt;FechaRef,N($L100)&lt;1,$N100=""),"Vencida sin observación"&amp;" · ",""),LEN(IF(AND($S100="Macro",$B100=""),"Macroactividad vacía"&amp;" · ","")&amp;IF(AND($B100&lt;&gt;"",$C100&lt;&gt;""),"Escriba la subactividad en otra fila, debajo de su macroactividad"&amp;" · ","")&amp;IF(AND($S100="Sub",N($R100)=0),"Subactividad sin macroactividad arriba"&amp;" · ","")&amp;IF($D100="","Sin responsable"&amp;" · ","")&amp;IF($E100="","Sin fecha de inicio"&amp;" · ","")&amp;IF($F100="","Sin fecha límite"&amp;" · ","")&amp;IF(OR(AND($E100&lt;&gt;"",NOT(ISNUMBER($E100))),AND($F100&lt;&gt;"",NOT(ISNUMBER($F100)))),"Fecha no válida"&amp;" · ","")&amp;IF(AND(ISNUMBER($E100),ISNUMBER($F100),$E100&gt;$F100),"Inicio posterior a fecha límite"&amp;" · ","")&amp;IF(AND($S100="Macro",$G100=""),"Peso vacío"&amp;" · ","")&amp;IF(AND($S100="Macro",$G100&lt;&gt;"",OR(NOT(ISNUMBER($G100)),$G100&lt;=0,$G100&gt;1)),"Peso fuera de rango"&amp;" · ","")&amp;IF(AND($S100="Sub",$G100&lt;&gt;""),"Las subactividades no llevan peso"&amp;" · ","")&amp;IF(AND($S100="Macro",ABS(SUMIFS($G$5:$G$1000,$P$5:$P$1000,$P100,$S$5:$S$1000,"Macro")-1)&gt;0.0001),"Pesos del mes suman "&amp;TEXT(SUMIFS($G$5:$G$1000,$P$5:$P$1000,$P100,$S$5:$S$1000,"Macro"),"0%")&amp;" · ","")&amp;IF(AND(N($T100)&gt;0,COUNT($H100:$K100)&gt;0),"Con subactividades: deje vacías las semanas (se calculan solas)"&amp;"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","")&amp;IF(AND(ObsObligatoria="Sí",ISNUMBER($F100),$F100&lt;FechaRef,N($L100)&lt;1,$N100=""),"Vencida sin observación"&amp;" · ",""))-3)))</f>
        <v/>
      </c>
      <c r="P100" s="69">
        <f>IF(NOT((COUNTA($B100:$K100)+COUNTA($N100))&gt;0),"",IF(AND($S100="Sub",N($R100)&gt;0),IF(ISNUMBER(INDEX($E$5:$E$1000,$R100-4)),DATE(YEAR(INDEX($E$5:$E$1000,$R100-4)),MONTH(INDEX($E$5:$E$1000,$R100-4)),1),IF(ISNUMBER(INDEX($F$5:$F$1000,$R100-4)),DATE(YEAR(INDEX($F$5:$F$1000,$R100-4)),MONTH(INDEX($F$5:$F$1000,$R100-4)),1),MesCiclo)),IF(ISNUMBER($E100),DATE(YEAR($E100),MONTH($E100),1),IF(ISNUMBER($F100),DATE(YEAR($F100),MONTH($F100),1),MesCiclo))))</f>
        <v/>
      </c>
      <c r="Q100" s="70">
        <f>IF(OR($P100="",$P100&lt;&gt;MesCiclo),"",COUNTIF($P$5:$P100,MesCiclo))</f>
        <v/>
      </c>
      <c r="R100" s="70">
        <f>IF($S100="","",IF($S100="Macro",ROW(),IFERROR(LOOKUP(2,1/($S$5:$S100="Macro"),ROW($S$5:$S100)),0)))</f>
        <v/>
      </c>
      <c r="S100" s="70">
        <f>IF(NOT((COUNTA($B100:$K100)+COUNTA($N100))&gt;0),"",IF($B100&lt;&gt;"","Macro",IF($C100&lt;&gt;"","Sub","Macro")))</f>
        <v/>
      </c>
      <c r="T100" s="70">
        <f>IF($S100="Macro",COUNTIFS($R$5:$R$1000,ROW(),$S$5:$S$1000,"Sub"),"")</f>
        <v/>
      </c>
      <c r="U100" s="70">
        <f>IF($S100="","",IF(ISNUMBER($H100),$H100,0))</f>
        <v/>
      </c>
      <c r="V100" s="70">
        <f>IF($S100="","",IF(ISNUMBER($I100),$I100,$U100))</f>
        <v/>
      </c>
      <c r="W100" s="70">
        <f>IF($S100="","",IF(ISNUMBER($J100),$J100,$V100))</f>
        <v/>
      </c>
      <c r="X100" s="70">
        <f>IF($S100="","",IF(ISNUMBER($K100),$K100,$W100))</f>
        <v/>
      </c>
      <c r="Y100" s="70">
        <f>IF($S100="","",IF(N($T100)&gt;0,AVERAGEIFS($U$5:$U$1000,$R$5:$R$1000,ROW(),$S$5:$S$1000,"Sub"),$U100))</f>
        <v/>
      </c>
      <c r="Z100" s="70">
        <f>IF($S100="","",IF(N($T100)&gt;0,AVERAGEIFS($V$5:$V$1000,$R$5:$R$1000,ROW(),$S$5:$S$1000,"Sub"),$V100))</f>
        <v/>
      </c>
      <c r="AA100" s="70">
        <f>IF($S100="","",IF(N($T100)&gt;0,AVERAGEIFS($W$5:$W$1000,$R$5:$R$1000,ROW(),$S$5:$S$1000,"Sub"),$W100))</f>
        <v/>
      </c>
      <c r="AB100" s="70">
        <f>IF($S100="","",IF(N($T100)&gt;0,AVERAGEIFS($X$5:$X$1000,$R$5:$R$1000,ROW(),$S$5:$S$1000,"Sub"),$X100))</f>
        <v/>
      </c>
    </row>
    <row r="101">
      <c r="A101" s="61">
        <f>IF(NOT((COUNTA($B101:$K101)+COUNTA($N101))&gt;0),"",IF($S101="Macro",COUNTIFS($S$5:$S101,"Macro",$P$5:$P101,$P101),IF(N($R101)=0,"?",COUNTIFS(INDEX($S$5:$S$1000,1):INDEX($S$5:$S$1000,$R101-4),"Macro",INDEX($P$5:$P$1000,1):INDEX($P$5:$P$1000,$R101-4),INDEX($P$5:$P$1000,$R101-4))&amp;"."&amp;COUNTIFS($R$5:$R101,$R101,$S$5:$S101,"Sub"))))</f>
        <v/>
      </c>
      <c r="B101" s="62" t="n"/>
      <c r="C101" s="63" t="n"/>
      <c r="D101" s="62" t="n"/>
      <c r="E101" s="64" t="n"/>
      <c r="F101" s="64" t="n"/>
      <c r="G101" s="65" t="n"/>
      <c r="H101" s="66" t="n"/>
      <c r="I101" s="66" t="n"/>
      <c r="J101" s="66" t="n"/>
      <c r="K101" s="66" t="n"/>
      <c r="L101" s="67">
        <f>IF(NOT((COUNTA($B101:$K101)+COUNTA($N101))&gt;0),"",IF(N($T101)&gt;0,$AB101,IFERROR(LOOKUP(2,1/(H101:K101&lt;&gt;""),H101:K101),0)))</f>
        <v/>
      </c>
      <c r="M101" s="61">
        <f>IF(L101="","",IF(L101&gt;=1,"Completado",IF(L101&gt;0,"En curso","Pendiente")))</f>
        <v/>
      </c>
      <c r="N101" s="62" t="n"/>
      <c r="O101" s="68">
        <f>IF(NOT((COUNTA($B101:$K101)+COUNTA($N101))&gt;0),"",IF((IF(AND($S101="Macro",$B101=""),"Macroactividad vacía"&amp;" · ","")&amp;IF(AND($B101&lt;&gt;"",$C101&lt;&gt;""),"Escriba la subactividad en otra fila, debajo de su macroactividad"&amp;" · ","")&amp;IF(AND($S101="Sub",N($R101)=0),"Subactividad sin macroactividad arriba"&amp;" · ","")&amp;IF($D101="","Sin responsable"&amp;" · ","")&amp;IF($E101="","Sin fecha de inicio"&amp;" · ","")&amp;IF($F101="","Sin fecha límite"&amp;" · ","")&amp;IF(OR(AND($E101&lt;&gt;"",NOT(ISNUMBER($E101))),AND($F101&lt;&gt;"",NOT(ISNUMBER($F101)))),"Fecha no válida"&amp;" · ","")&amp;IF(AND(ISNUMBER($E101),ISNUMBER($F101),$E101&gt;$F101),"Inicio posterior a fecha límite"&amp;" · ","")&amp;IF(AND($S101="Macro",$G101=""),"Peso vacío"&amp;" · ","")&amp;IF(AND($S101="Macro",$G101&lt;&gt;"",OR(NOT(ISNUMBER($G101)),$G101&lt;=0,$G101&gt;1)),"Peso fuera de rango"&amp;" · ","")&amp;IF(AND($S101="Sub",$G101&lt;&gt;""),"Las subactividades no llevan peso"&amp;" · ","")&amp;IF(AND($S101="Macro",ABS(SUMIFS($G$5:$G$1000,$P$5:$P$1000,$P101,$S$5:$S$1000,"Macro")-1)&gt;0.0001),"Pesos del mes suman "&amp;TEXT(SUMIFS($G$5:$G$1000,$P$5:$P$1000,$P101,$S$5:$S$1000,"Macro"),"0%")&amp;" · ","")&amp;IF(AND(N($T101)&gt;0,COUNT($H101:$K101)&gt;0),"Con subactividades: deje vacías las semanas (se calculan solas)"&amp;"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","")&amp;IF(AND(ObsObligatoria="Sí",ISNUMBER($F101),$F101&lt;FechaRef,N($L101)&lt;1,$N101=""),"Vencida sin observación"&amp;" · ",""))="","✔ OK","⚠ "&amp;LEFT(IF(AND($S101="Macro",$B101=""),"Macroactividad vacía"&amp;" · ","")&amp;IF(AND($B101&lt;&gt;"",$C101&lt;&gt;""),"Escriba la subactividad en otra fila, debajo de su macroactividad"&amp;" · ","")&amp;IF(AND($S101="Sub",N($R101)=0),"Subactividad sin macroactividad arriba"&amp;" · ","")&amp;IF($D101="","Sin responsable"&amp;" · ","")&amp;IF($E101="","Sin fecha de inicio"&amp;" · ","")&amp;IF($F101="","Sin fecha límite"&amp;" · ","")&amp;IF(OR(AND($E101&lt;&gt;"",NOT(ISNUMBER($E101))),AND($F101&lt;&gt;"",NOT(ISNUMBER($F101)))),"Fecha no válida"&amp;" · ","")&amp;IF(AND(ISNUMBER($E101),ISNUMBER($F101),$E101&gt;$F101),"Inicio posterior a fecha límite"&amp;" · ","")&amp;IF(AND($S101="Macro",$G101=""),"Peso vacío"&amp;" · ","")&amp;IF(AND($S101="Macro",$G101&lt;&gt;"",OR(NOT(ISNUMBER($G101)),$G101&lt;=0,$G101&gt;1)),"Peso fuera de rango"&amp;" · ","")&amp;IF(AND($S101="Sub",$G101&lt;&gt;""),"Las subactividades no llevan peso"&amp;" · ","")&amp;IF(AND($S101="Macro",ABS(SUMIFS($G$5:$G$1000,$P$5:$P$1000,$P101,$S$5:$S$1000,"Macro")-1)&gt;0.0001),"Pesos del mes suman "&amp;TEXT(SUMIFS($G$5:$G$1000,$P$5:$P$1000,$P101,$S$5:$S$1000,"Macro"),"0%")&amp;" · ","")&amp;IF(AND(N($T101)&gt;0,COUNT($H101:$K101)&gt;0),"Con subactividades: deje vacías las semanas (se calculan solas)"&amp;"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","")&amp;IF(AND(ObsObligatoria="Sí",ISNUMBER($F101),$F101&lt;FechaRef,N($L101)&lt;1,$N101=""),"Vencida sin observación"&amp;" · ",""),LEN(IF(AND($S101="Macro",$B101=""),"Macroactividad vacía"&amp;" · ","")&amp;IF(AND($B101&lt;&gt;"",$C101&lt;&gt;""),"Escriba la subactividad en otra fila, debajo de su macroactividad"&amp;" · ","")&amp;IF(AND($S101="Sub",N($R101)=0),"Subactividad sin macroactividad arriba"&amp;" · ","")&amp;IF($D101="","Sin responsable"&amp;" · ","")&amp;IF($E101="","Sin fecha de inicio"&amp;" · ","")&amp;IF($F101="","Sin fecha límite"&amp;" · ","")&amp;IF(OR(AND($E101&lt;&gt;"",NOT(ISNUMBER($E101))),AND($F101&lt;&gt;"",NOT(ISNUMBER($F101)))),"Fecha no válida"&amp;" · ","")&amp;IF(AND(ISNUMBER($E101),ISNUMBER($F101),$E101&gt;$F101),"Inicio posterior a fecha límite"&amp;" · ","")&amp;IF(AND($S101="Macro",$G101=""),"Peso vacío"&amp;" · ","")&amp;IF(AND($S101="Macro",$G101&lt;&gt;"",OR(NOT(ISNUMBER($G101)),$G101&lt;=0,$G101&gt;1)),"Peso fuera de rango"&amp;" · ","")&amp;IF(AND($S101="Sub",$G101&lt;&gt;""),"Las subactividades no llevan peso"&amp;" · ","")&amp;IF(AND($S101="Macro",ABS(SUMIFS($G$5:$G$1000,$P$5:$P$1000,$P101,$S$5:$S$1000,"Macro")-1)&gt;0.0001),"Pesos del mes suman "&amp;TEXT(SUMIFS($G$5:$G$1000,$P$5:$P$1000,$P101,$S$5:$S$1000,"Macro"),"0%")&amp;" · ","")&amp;IF(AND(N($T101)&gt;0,COUNT($H101:$K101)&gt;0),"Con subactividades: deje vacías las semanas (se calculan solas)"&amp;"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","")&amp;IF(AND(ObsObligatoria="Sí",ISNUMBER($F101),$F101&lt;FechaRef,N($L101)&lt;1,$N101=""),"Vencida sin observación"&amp;" · ",""))-3)))</f>
        <v/>
      </c>
      <c r="P101" s="69">
        <f>IF(NOT((COUNTA($B101:$K101)+COUNTA($N101))&gt;0),"",IF(AND($S101="Sub",N($R101)&gt;0),IF(ISNUMBER(INDEX($E$5:$E$1000,$R101-4)),DATE(YEAR(INDEX($E$5:$E$1000,$R101-4)),MONTH(INDEX($E$5:$E$1000,$R101-4)),1),IF(ISNUMBER(INDEX($F$5:$F$1000,$R101-4)),DATE(YEAR(INDEX($F$5:$F$1000,$R101-4)),MONTH(INDEX($F$5:$F$1000,$R101-4)),1),MesCiclo)),IF(ISNUMBER($E101),DATE(YEAR($E101),MONTH($E101),1),IF(ISNUMBER($F101),DATE(YEAR($F101),MONTH($F101),1),MesCiclo))))</f>
        <v/>
      </c>
      <c r="Q101" s="70">
        <f>IF(OR($P101="",$P101&lt;&gt;MesCiclo),"",COUNTIF($P$5:$P101,MesCiclo))</f>
        <v/>
      </c>
      <c r="R101" s="70">
        <f>IF($S101="","",IF($S101="Macro",ROW(),IFERROR(LOOKUP(2,1/($S$5:$S101="Macro"),ROW($S$5:$S101)),0)))</f>
        <v/>
      </c>
      <c r="S101" s="70">
        <f>IF(NOT((COUNTA($B101:$K101)+COUNTA($N101))&gt;0),"",IF($B101&lt;&gt;"","Macro",IF($C101&lt;&gt;"","Sub","Macro")))</f>
        <v/>
      </c>
      <c r="T101" s="70">
        <f>IF($S101="Macro",COUNTIFS($R$5:$R$1000,ROW(),$S$5:$S$1000,"Sub"),"")</f>
        <v/>
      </c>
      <c r="U101" s="70">
        <f>IF($S101="","",IF(ISNUMBER($H101),$H101,0))</f>
        <v/>
      </c>
      <c r="V101" s="70">
        <f>IF($S101="","",IF(ISNUMBER($I101),$I101,$U101))</f>
        <v/>
      </c>
      <c r="W101" s="70">
        <f>IF($S101="","",IF(ISNUMBER($J101),$J101,$V101))</f>
        <v/>
      </c>
      <c r="X101" s="70">
        <f>IF($S101="","",IF(ISNUMBER($K101),$K101,$W101))</f>
        <v/>
      </c>
      <c r="Y101" s="70">
        <f>IF($S101="","",IF(N($T101)&gt;0,AVERAGEIFS($U$5:$U$1000,$R$5:$R$1000,ROW(),$S$5:$S$1000,"Sub"),$U101))</f>
        <v/>
      </c>
      <c r="Z101" s="70">
        <f>IF($S101="","",IF(N($T101)&gt;0,AVERAGEIFS($V$5:$V$1000,$R$5:$R$1000,ROW(),$S$5:$S$1000,"Sub"),$V101))</f>
        <v/>
      </c>
      <c r="AA101" s="70">
        <f>IF($S101="","",IF(N($T101)&gt;0,AVERAGEIFS($W$5:$W$1000,$R$5:$R$1000,ROW(),$S$5:$S$1000,"Sub"),$W101))</f>
        <v/>
      </c>
      <c r="AB101" s="70">
        <f>IF($S101="","",IF(N($T101)&gt;0,AVERAGEIFS($X$5:$X$1000,$R$5:$R$1000,ROW(),$S$5:$S$1000,"Sub"),$X101))</f>
        <v/>
      </c>
    </row>
    <row r="102">
      <c r="A102" s="61">
        <f>IF(NOT((COUNTA($B102:$K102)+COUNTA($N102))&gt;0),"",IF($S102="Macro",COUNTIFS($S$5:$S102,"Macro",$P$5:$P102,$P102),IF(N($R102)=0,"?",COUNTIFS(INDEX($S$5:$S$1000,1):INDEX($S$5:$S$1000,$R102-4),"Macro",INDEX($P$5:$P$1000,1):INDEX($P$5:$P$1000,$R102-4),INDEX($P$5:$P$1000,$R102-4))&amp;"."&amp;COUNTIFS($R$5:$R102,$R102,$S$5:$S102,"Sub"))))</f>
        <v/>
      </c>
      <c r="B102" s="62" t="n"/>
      <c r="C102" s="63" t="n"/>
      <c r="D102" s="62" t="n"/>
      <c r="E102" s="64" t="n"/>
      <c r="F102" s="64" t="n"/>
      <c r="G102" s="65" t="n"/>
      <c r="H102" s="66" t="n"/>
      <c r="I102" s="66" t="n"/>
      <c r="J102" s="66" t="n"/>
      <c r="K102" s="66" t="n"/>
      <c r="L102" s="67">
        <f>IF(NOT((COUNTA($B102:$K102)+COUNTA($N102))&gt;0),"",IF(N($T102)&gt;0,$AB102,IFERROR(LOOKUP(2,1/(H102:K102&lt;&gt;""),H102:K102),0)))</f>
        <v/>
      </c>
      <c r="M102" s="61">
        <f>IF(L102="","",IF(L102&gt;=1,"Completado",IF(L102&gt;0,"En curso","Pendiente")))</f>
        <v/>
      </c>
      <c r="N102" s="62" t="n"/>
      <c r="O102" s="68">
        <f>IF(NOT((COUNTA($B102:$K102)+COUNTA($N102))&gt;0),"",IF((IF(AND($S102="Macro",$B102=""),"Macroactividad vacía"&amp;" · ","")&amp;IF(AND($B102&lt;&gt;"",$C102&lt;&gt;""),"Escriba la subactividad en otra fila, debajo de su macroactividad"&amp;" · ","")&amp;IF(AND($S102="Sub",N($R102)=0),"Subactividad sin macroactividad arriba"&amp;" · ","")&amp;IF($D102="","Sin responsable"&amp;" · ","")&amp;IF($E102="","Sin fecha de inicio"&amp;" · ","")&amp;IF($F102="","Sin fecha límite"&amp;" · ","")&amp;IF(OR(AND($E102&lt;&gt;"",NOT(ISNUMBER($E102))),AND($F102&lt;&gt;"",NOT(ISNUMBER($F102)))),"Fecha no válida"&amp;" · ","")&amp;IF(AND(ISNUMBER($E102),ISNUMBER($F102),$E102&gt;$F102),"Inicio posterior a fecha límite"&amp;" · ","")&amp;IF(AND($S102="Macro",$G102=""),"Peso vacío"&amp;" · ","")&amp;IF(AND($S102="Macro",$G102&lt;&gt;"",OR(NOT(ISNUMBER($G102)),$G102&lt;=0,$G102&gt;1)),"Peso fuera de rango"&amp;" · ","")&amp;IF(AND($S102="Sub",$G102&lt;&gt;""),"Las subactividades no llevan peso"&amp;" · ","")&amp;IF(AND($S102="Macro",ABS(SUMIFS($G$5:$G$1000,$P$5:$P$1000,$P102,$S$5:$S$1000,"Macro")-1)&gt;0.0001),"Pesos del mes suman "&amp;TEXT(SUMIFS($G$5:$G$1000,$P$5:$P$1000,$P102,$S$5:$S$1000,"Macro"),"0%")&amp;" · ","")&amp;IF(AND(N($T102)&gt;0,COUNT($H102:$K102)&gt;0),"Con subactividades: deje vacías las semanas (se calculan solas)"&amp;"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","")&amp;IF(AND(ObsObligatoria="Sí",ISNUMBER($F102),$F102&lt;FechaRef,N($L102)&lt;1,$N102=""),"Vencida sin observación"&amp;" · ",""))="","✔ OK","⚠ "&amp;LEFT(IF(AND($S102="Macro",$B102=""),"Macroactividad vacía"&amp;" · ","")&amp;IF(AND($B102&lt;&gt;"",$C102&lt;&gt;""),"Escriba la subactividad en otra fila, debajo de su macroactividad"&amp;" · ","")&amp;IF(AND($S102="Sub",N($R102)=0),"Subactividad sin macroactividad arriba"&amp;" · ","")&amp;IF($D102="","Sin responsable"&amp;" · ","")&amp;IF($E102="","Sin fecha de inicio"&amp;" · ","")&amp;IF($F102="","Sin fecha límite"&amp;" · ","")&amp;IF(OR(AND($E102&lt;&gt;"",NOT(ISNUMBER($E102))),AND($F102&lt;&gt;"",NOT(ISNUMBER($F102)))),"Fecha no válida"&amp;" · ","")&amp;IF(AND(ISNUMBER($E102),ISNUMBER($F102),$E102&gt;$F102),"Inicio posterior a fecha límite"&amp;" · ","")&amp;IF(AND($S102="Macro",$G102=""),"Peso vacío"&amp;" · ","")&amp;IF(AND($S102="Macro",$G102&lt;&gt;"",OR(NOT(ISNUMBER($G102)),$G102&lt;=0,$G102&gt;1)),"Peso fuera de rango"&amp;" · ","")&amp;IF(AND($S102="Sub",$G102&lt;&gt;""),"Las subactividades no llevan peso"&amp;" · ","")&amp;IF(AND($S102="Macro",ABS(SUMIFS($G$5:$G$1000,$P$5:$P$1000,$P102,$S$5:$S$1000,"Macro")-1)&gt;0.0001),"Pesos del mes suman "&amp;TEXT(SUMIFS($G$5:$G$1000,$P$5:$P$1000,$P102,$S$5:$S$1000,"Macro"),"0%")&amp;" · ","")&amp;IF(AND(N($T102)&gt;0,COUNT($H102:$K102)&gt;0),"Con subactividades: deje vacías las semanas (se calculan solas)"&amp;"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","")&amp;IF(AND(ObsObligatoria="Sí",ISNUMBER($F102),$F102&lt;FechaRef,N($L102)&lt;1,$N102=""),"Vencida sin observación"&amp;" · ",""),LEN(IF(AND($S102="Macro",$B102=""),"Macroactividad vacía"&amp;" · ","")&amp;IF(AND($B102&lt;&gt;"",$C102&lt;&gt;""),"Escriba la subactividad en otra fila, debajo de su macroactividad"&amp;" · ","")&amp;IF(AND($S102="Sub",N($R102)=0),"Subactividad sin macroactividad arriba"&amp;" · ","")&amp;IF($D102="","Sin responsable"&amp;" · ","")&amp;IF($E102="","Sin fecha de inicio"&amp;" · ","")&amp;IF($F102="","Sin fecha límite"&amp;" · ","")&amp;IF(OR(AND($E102&lt;&gt;"",NOT(ISNUMBER($E102))),AND($F102&lt;&gt;"",NOT(ISNUMBER($F102)))),"Fecha no válida"&amp;" · ","")&amp;IF(AND(ISNUMBER($E102),ISNUMBER($F102),$E102&gt;$F102),"Inicio posterior a fecha límite"&amp;" · ","")&amp;IF(AND($S102="Macro",$G102=""),"Peso vacío"&amp;" · ","")&amp;IF(AND($S102="Macro",$G102&lt;&gt;"",OR(NOT(ISNUMBER($G102)),$G102&lt;=0,$G102&gt;1)),"Peso fuera de rango"&amp;" · ","")&amp;IF(AND($S102="Sub",$G102&lt;&gt;""),"Las subactividades no llevan peso"&amp;" · ","")&amp;IF(AND($S102="Macro",ABS(SUMIFS($G$5:$G$1000,$P$5:$P$1000,$P102,$S$5:$S$1000,"Macro")-1)&gt;0.0001),"Pesos del mes suman "&amp;TEXT(SUMIFS($G$5:$G$1000,$P$5:$P$1000,$P102,$S$5:$S$1000,"Macro"),"0%")&amp;" · ","")&amp;IF(AND(N($T102)&gt;0,COUNT($H102:$K102)&gt;0),"Con subactividades: deje vacías las semanas (se calculan solas)"&amp;"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","")&amp;IF(AND(ObsObligatoria="Sí",ISNUMBER($F102),$F102&lt;FechaRef,N($L102)&lt;1,$N102=""),"Vencida sin observación"&amp;" · ",""))-3)))</f>
        <v/>
      </c>
      <c r="P102" s="69">
        <f>IF(NOT((COUNTA($B102:$K102)+COUNTA($N102))&gt;0),"",IF(AND($S102="Sub",N($R102)&gt;0),IF(ISNUMBER(INDEX($E$5:$E$1000,$R102-4)),DATE(YEAR(INDEX($E$5:$E$1000,$R102-4)),MONTH(INDEX($E$5:$E$1000,$R102-4)),1),IF(ISNUMBER(INDEX($F$5:$F$1000,$R102-4)),DATE(YEAR(INDEX($F$5:$F$1000,$R102-4)),MONTH(INDEX($F$5:$F$1000,$R102-4)),1),MesCiclo)),IF(ISNUMBER($E102),DATE(YEAR($E102),MONTH($E102),1),IF(ISNUMBER($F102),DATE(YEAR($F102),MONTH($F102),1),MesCiclo))))</f>
        <v/>
      </c>
      <c r="Q102" s="70">
        <f>IF(OR($P102="",$P102&lt;&gt;MesCiclo),"",COUNTIF($P$5:$P102,MesCiclo))</f>
        <v/>
      </c>
      <c r="R102" s="70">
        <f>IF($S102="","",IF($S102="Macro",ROW(),IFERROR(LOOKUP(2,1/($S$5:$S102="Macro"),ROW($S$5:$S102)),0)))</f>
        <v/>
      </c>
      <c r="S102" s="70">
        <f>IF(NOT((COUNTA($B102:$K102)+COUNTA($N102))&gt;0),"",IF($B102&lt;&gt;"","Macro",IF($C102&lt;&gt;"","Sub","Macro")))</f>
        <v/>
      </c>
      <c r="T102" s="70">
        <f>IF($S102="Macro",COUNTIFS($R$5:$R$1000,ROW(),$S$5:$S$1000,"Sub"),"")</f>
        <v/>
      </c>
      <c r="U102" s="70">
        <f>IF($S102="","",IF(ISNUMBER($H102),$H102,0))</f>
        <v/>
      </c>
      <c r="V102" s="70">
        <f>IF($S102="","",IF(ISNUMBER($I102),$I102,$U102))</f>
        <v/>
      </c>
      <c r="W102" s="70">
        <f>IF($S102="","",IF(ISNUMBER($J102),$J102,$V102))</f>
        <v/>
      </c>
      <c r="X102" s="70">
        <f>IF($S102="","",IF(ISNUMBER($K102),$K102,$W102))</f>
        <v/>
      </c>
      <c r="Y102" s="70">
        <f>IF($S102="","",IF(N($T102)&gt;0,AVERAGEIFS($U$5:$U$1000,$R$5:$R$1000,ROW(),$S$5:$S$1000,"Sub"),$U102))</f>
        <v/>
      </c>
      <c r="Z102" s="70">
        <f>IF($S102="","",IF(N($T102)&gt;0,AVERAGEIFS($V$5:$V$1000,$R$5:$R$1000,ROW(),$S$5:$S$1000,"Sub"),$V102))</f>
        <v/>
      </c>
      <c r="AA102" s="70">
        <f>IF($S102="","",IF(N($T102)&gt;0,AVERAGEIFS($W$5:$W$1000,$R$5:$R$1000,ROW(),$S$5:$S$1000,"Sub"),$W102))</f>
        <v/>
      </c>
      <c r="AB102" s="70">
        <f>IF($S102="","",IF(N($T102)&gt;0,AVERAGEIFS($X$5:$X$1000,$R$5:$R$1000,ROW(),$S$5:$S$1000,"Sub"),$X102))</f>
        <v/>
      </c>
    </row>
    <row r="103">
      <c r="A103" s="61">
        <f>IF(NOT((COUNTA($B103:$K103)+COUNTA($N103))&gt;0),"",IF($S103="Macro",COUNTIFS($S$5:$S103,"Macro",$P$5:$P103,$P103),IF(N($R103)=0,"?",COUNTIFS(INDEX($S$5:$S$1000,1):INDEX($S$5:$S$1000,$R103-4),"Macro",INDEX($P$5:$P$1000,1):INDEX($P$5:$P$1000,$R103-4),INDEX($P$5:$P$1000,$R103-4))&amp;"."&amp;COUNTIFS($R$5:$R103,$R103,$S$5:$S103,"Sub"))))</f>
        <v/>
      </c>
      <c r="B103" s="62" t="n"/>
      <c r="C103" s="63" t="n"/>
      <c r="D103" s="62" t="n"/>
      <c r="E103" s="64" t="n"/>
      <c r="F103" s="64" t="n"/>
      <c r="G103" s="65" t="n"/>
      <c r="H103" s="66" t="n"/>
      <c r="I103" s="66" t="n"/>
      <c r="J103" s="66" t="n"/>
      <c r="K103" s="66" t="n"/>
      <c r="L103" s="67">
        <f>IF(NOT((COUNTA($B103:$K103)+COUNTA($N103))&gt;0),"",IF(N($T103)&gt;0,$AB103,IFERROR(LOOKUP(2,1/(H103:K103&lt;&gt;""),H103:K103),0)))</f>
        <v/>
      </c>
      <c r="M103" s="61">
        <f>IF(L103="","",IF(L103&gt;=1,"Completado",IF(L103&gt;0,"En curso","Pendiente")))</f>
        <v/>
      </c>
      <c r="N103" s="62" t="n"/>
      <c r="O103" s="68">
        <f>IF(NOT((COUNTA($B103:$K103)+COUNTA($N103))&gt;0),"",IF((IF(AND($S103="Macro",$B103=""),"Macroactividad vacía"&amp;" · ","")&amp;IF(AND($B103&lt;&gt;"",$C103&lt;&gt;""),"Escriba la subactividad en otra fila, debajo de su macroactividad"&amp;" · ","")&amp;IF(AND($S103="Sub",N($R103)=0),"Subactividad sin macroactividad arriba"&amp;" · ","")&amp;IF($D103="","Sin responsable"&amp;" · ","")&amp;IF($E103="","Sin fecha de inicio"&amp;" · ","")&amp;IF($F103="","Sin fecha límite"&amp;" · ","")&amp;IF(OR(AND($E103&lt;&gt;"",NOT(ISNUMBER($E103))),AND($F103&lt;&gt;"",NOT(ISNUMBER($F103)))),"Fecha no válida"&amp;" · ","")&amp;IF(AND(ISNUMBER($E103),ISNUMBER($F103),$E103&gt;$F103),"Inicio posterior a fecha límite"&amp;" · ","")&amp;IF(AND($S103="Macro",$G103=""),"Peso vacío"&amp;" · ","")&amp;IF(AND($S103="Macro",$G103&lt;&gt;"",OR(NOT(ISNUMBER($G103)),$G103&lt;=0,$G103&gt;1)),"Peso fuera de rango"&amp;" · ","")&amp;IF(AND($S103="Sub",$G103&lt;&gt;""),"Las subactividades no llevan peso"&amp;" · ","")&amp;IF(AND($S103="Macro",ABS(SUMIFS($G$5:$G$1000,$P$5:$P$1000,$P103,$S$5:$S$1000,"Macro")-1)&gt;0.0001),"Pesos del mes suman "&amp;TEXT(SUMIFS($G$5:$G$1000,$P$5:$P$1000,$P103,$S$5:$S$1000,"Macro"),"0%")&amp;" · ","")&amp;IF(AND(N($T103)&gt;0,COUNT($H103:$K103)&gt;0),"Con subactividades: deje vacías las semanas (se calculan solas)"&amp;"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","")&amp;IF(AND(ObsObligatoria="Sí",ISNUMBER($F103),$F103&lt;FechaRef,N($L103)&lt;1,$N103=""),"Vencida sin observación"&amp;" · ",""))="","✔ OK","⚠ "&amp;LEFT(IF(AND($S103="Macro",$B103=""),"Macroactividad vacía"&amp;" · ","")&amp;IF(AND($B103&lt;&gt;"",$C103&lt;&gt;""),"Escriba la subactividad en otra fila, debajo de su macroactividad"&amp;" · ","")&amp;IF(AND($S103="Sub",N($R103)=0),"Subactividad sin macroactividad arriba"&amp;" · ","")&amp;IF($D103="","Sin responsable"&amp;" · ","")&amp;IF($E103="","Sin fecha de inicio"&amp;" · ","")&amp;IF($F103="","Sin fecha límite"&amp;" · ","")&amp;IF(OR(AND($E103&lt;&gt;"",NOT(ISNUMBER($E103))),AND($F103&lt;&gt;"",NOT(ISNUMBER($F103)))),"Fecha no válida"&amp;" · ","")&amp;IF(AND(ISNUMBER($E103),ISNUMBER($F103),$E103&gt;$F103),"Inicio posterior a fecha límite"&amp;" · ","")&amp;IF(AND($S103="Macro",$G103=""),"Peso vacío"&amp;" · ","")&amp;IF(AND($S103="Macro",$G103&lt;&gt;"",OR(NOT(ISNUMBER($G103)),$G103&lt;=0,$G103&gt;1)),"Peso fuera de rango"&amp;" · ","")&amp;IF(AND($S103="Sub",$G103&lt;&gt;""),"Las subactividades no llevan peso"&amp;" · ","")&amp;IF(AND($S103="Macro",ABS(SUMIFS($G$5:$G$1000,$P$5:$P$1000,$P103,$S$5:$S$1000,"Macro")-1)&gt;0.0001),"Pesos del mes suman "&amp;TEXT(SUMIFS($G$5:$G$1000,$P$5:$P$1000,$P103,$S$5:$S$1000,"Macro"),"0%")&amp;" · ","")&amp;IF(AND(N($T103)&gt;0,COUNT($H103:$K103)&gt;0),"Con subactividades: deje vacías las semanas (se calculan solas)"&amp;"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","")&amp;IF(AND(ObsObligatoria="Sí",ISNUMBER($F103),$F103&lt;FechaRef,N($L103)&lt;1,$N103=""),"Vencida sin observación"&amp;" · ",""),LEN(IF(AND($S103="Macro",$B103=""),"Macroactividad vacía"&amp;" · ","")&amp;IF(AND($B103&lt;&gt;"",$C103&lt;&gt;""),"Escriba la subactividad en otra fila, debajo de su macroactividad"&amp;" · ","")&amp;IF(AND($S103="Sub",N($R103)=0),"Subactividad sin macroactividad arriba"&amp;" · ","")&amp;IF($D103="","Sin responsable"&amp;" · ","")&amp;IF($E103="","Sin fecha de inicio"&amp;" · ","")&amp;IF($F103="","Sin fecha límite"&amp;" · ","")&amp;IF(OR(AND($E103&lt;&gt;"",NOT(ISNUMBER($E103))),AND($F103&lt;&gt;"",NOT(ISNUMBER($F103)))),"Fecha no válida"&amp;" · ","")&amp;IF(AND(ISNUMBER($E103),ISNUMBER($F103),$E103&gt;$F103),"Inicio posterior a fecha límite"&amp;" · ","")&amp;IF(AND($S103="Macro",$G103=""),"Peso vacío"&amp;" · ","")&amp;IF(AND($S103="Macro",$G103&lt;&gt;"",OR(NOT(ISNUMBER($G103)),$G103&lt;=0,$G103&gt;1)),"Peso fuera de rango"&amp;" · ","")&amp;IF(AND($S103="Sub",$G103&lt;&gt;""),"Las subactividades no llevan peso"&amp;" · ","")&amp;IF(AND($S103="Macro",ABS(SUMIFS($G$5:$G$1000,$P$5:$P$1000,$P103,$S$5:$S$1000,"Macro")-1)&gt;0.0001),"Pesos del mes suman "&amp;TEXT(SUMIFS($G$5:$G$1000,$P$5:$P$1000,$P103,$S$5:$S$1000,"Macro"),"0%")&amp;" · ","")&amp;IF(AND(N($T103)&gt;0,COUNT($H103:$K103)&gt;0),"Con subactividades: deje vacías las semanas (se calculan solas)"&amp;"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","")&amp;IF(AND(ObsObligatoria="Sí",ISNUMBER($F103),$F103&lt;FechaRef,N($L103)&lt;1,$N103=""),"Vencida sin observación"&amp;" · ",""))-3)))</f>
        <v/>
      </c>
      <c r="P103" s="69">
        <f>IF(NOT((COUNTA($B103:$K103)+COUNTA($N103))&gt;0),"",IF(AND($S103="Sub",N($R103)&gt;0),IF(ISNUMBER(INDEX($E$5:$E$1000,$R103-4)),DATE(YEAR(INDEX($E$5:$E$1000,$R103-4)),MONTH(INDEX($E$5:$E$1000,$R103-4)),1),IF(ISNUMBER(INDEX($F$5:$F$1000,$R103-4)),DATE(YEAR(INDEX($F$5:$F$1000,$R103-4)),MONTH(INDEX($F$5:$F$1000,$R103-4)),1),MesCiclo)),IF(ISNUMBER($E103),DATE(YEAR($E103),MONTH($E103),1),IF(ISNUMBER($F103),DATE(YEAR($F103),MONTH($F103),1),MesCiclo))))</f>
        <v/>
      </c>
      <c r="Q103" s="70">
        <f>IF(OR($P103="",$P103&lt;&gt;MesCiclo),"",COUNTIF($P$5:$P103,MesCiclo))</f>
        <v/>
      </c>
      <c r="R103" s="70">
        <f>IF($S103="","",IF($S103="Macro",ROW(),IFERROR(LOOKUP(2,1/($S$5:$S103="Macro"),ROW($S$5:$S103)),0)))</f>
        <v/>
      </c>
      <c r="S103" s="70">
        <f>IF(NOT((COUNTA($B103:$K103)+COUNTA($N103))&gt;0),"",IF($B103&lt;&gt;"","Macro",IF($C103&lt;&gt;"","Sub","Macro")))</f>
        <v/>
      </c>
      <c r="T103" s="70">
        <f>IF($S103="Macro",COUNTIFS($R$5:$R$1000,ROW(),$S$5:$S$1000,"Sub"),"")</f>
        <v/>
      </c>
      <c r="U103" s="70">
        <f>IF($S103="","",IF(ISNUMBER($H103),$H103,0))</f>
        <v/>
      </c>
      <c r="V103" s="70">
        <f>IF($S103="","",IF(ISNUMBER($I103),$I103,$U103))</f>
        <v/>
      </c>
      <c r="W103" s="70">
        <f>IF($S103="","",IF(ISNUMBER($J103),$J103,$V103))</f>
        <v/>
      </c>
      <c r="X103" s="70">
        <f>IF($S103="","",IF(ISNUMBER($K103),$K103,$W103))</f>
        <v/>
      </c>
      <c r="Y103" s="70">
        <f>IF($S103="","",IF(N($T103)&gt;0,AVERAGEIFS($U$5:$U$1000,$R$5:$R$1000,ROW(),$S$5:$S$1000,"Sub"),$U103))</f>
        <v/>
      </c>
      <c r="Z103" s="70">
        <f>IF($S103="","",IF(N($T103)&gt;0,AVERAGEIFS($V$5:$V$1000,$R$5:$R$1000,ROW(),$S$5:$S$1000,"Sub"),$V103))</f>
        <v/>
      </c>
      <c r="AA103" s="70">
        <f>IF($S103="","",IF(N($T103)&gt;0,AVERAGEIFS($W$5:$W$1000,$R$5:$R$1000,ROW(),$S$5:$S$1000,"Sub"),$W103))</f>
        <v/>
      </c>
      <c r="AB103" s="70">
        <f>IF($S103="","",IF(N($T103)&gt;0,AVERAGEIFS($X$5:$X$1000,$R$5:$R$1000,ROW(),$S$5:$S$1000,"Sub"),$X103))</f>
        <v/>
      </c>
    </row>
    <row r="104">
      <c r="A104" s="61">
        <f>IF(NOT((COUNTA($B104:$K104)+COUNTA($N104))&gt;0),"",IF($S104="Macro",COUNTIFS($S$5:$S104,"Macro",$P$5:$P104,$P104),IF(N($R104)=0,"?",COUNTIFS(INDEX($S$5:$S$1000,1):INDEX($S$5:$S$1000,$R104-4),"Macro",INDEX($P$5:$P$1000,1):INDEX($P$5:$P$1000,$R104-4),INDEX($P$5:$P$1000,$R104-4))&amp;"."&amp;COUNTIFS($R$5:$R104,$R104,$S$5:$S104,"Sub"))))</f>
        <v/>
      </c>
      <c r="B104" s="62" t="n"/>
      <c r="C104" s="63" t="n"/>
      <c r="D104" s="62" t="n"/>
      <c r="E104" s="64" t="n"/>
      <c r="F104" s="64" t="n"/>
      <c r="G104" s="65" t="n"/>
      <c r="H104" s="66" t="n"/>
      <c r="I104" s="66" t="n"/>
      <c r="J104" s="66" t="n"/>
      <c r="K104" s="66" t="n"/>
      <c r="L104" s="67">
        <f>IF(NOT((COUNTA($B104:$K104)+COUNTA($N104))&gt;0),"",IF(N($T104)&gt;0,$AB104,IFERROR(LOOKUP(2,1/(H104:K104&lt;&gt;""),H104:K104),0)))</f>
        <v/>
      </c>
      <c r="M104" s="61">
        <f>IF(L104="","",IF(L104&gt;=1,"Completado",IF(L104&gt;0,"En curso","Pendiente")))</f>
        <v/>
      </c>
      <c r="N104" s="62" t="n"/>
      <c r="O104" s="68">
        <f>IF(NOT((COUNTA($B104:$K104)+COUNTA($N104))&gt;0),"",IF((IF(AND($S104="Macro",$B104=""),"Macroactividad vacía"&amp;" · ","")&amp;IF(AND($B104&lt;&gt;"",$C104&lt;&gt;""),"Escriba la subactividad en otra fila, debajo de su macroactividad"&amp;" · ","")&amp;IF(AND($S104="Sub",N($R104)=0),"Subactividad sin macroactividad arriba"&amp;" · ","")&amp;IF($D104="","Sin responsable"&amp;" · ","")&amp;IF($E104="","Sin fecha de inicio"&amp;" · ","")&amp;IF($F104="","Sin fecha límite"&amp;" · ","")&amp;IF(OR(AND($E104&lt;&gt;"",NOT(ISNUMBER($E104))),AND($F104&lt;&gt;"",NOT(ISNUMBER($F104)))),"Fecha no válida"&amp;" · ","")&amp;IF(AND(ISNUMBER($E104),ISNUMBER($F104),$E104&gt;$F104),"Inicio posterior a fecha límite"&amp;" · ","")&amp;IF(AND($S104="Macro",$G104=""),"Peso vacío"&amp;" · ","")&amp;IF(AND($S104="Macro",$G104&lt;&gt;"",OR(NOT(ISNUMBER($G104)),$G104&lt;=0,$G104&gt;1)),"Peso fuera de rango"&amp;" · ","")&amp;IF(AND($S104="Sub",$G104&lt;&gt;""),"Las subactividades no llevan peso"&amp;" · ","")&amp;IF(AND($S104="Macro",ABS(SUMIFS($G$5:$G$1000,$P$5:$P$1000,$P104,$S$5:$S$1000,"Macro")-1)&gt;0.0001),"Pesos del mes suman "&amp;TEXT(SUMIFS($G$5:$G$1000,$P$5:$P$1000,$P104,$S$5:$S$1000,"Macro"),"0%")&amp;" · ","")&amp;IF(AND(N($T104)&gt;0,COUNT($H104:$K104)&gt;0),"Con subactividades: deje vacías las semanas (se calculan solas)"&amp;"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","")&amp;IF(AND(ObsObligatoria="Sí",ISNUMBER($F104),$F104&lt;FechaRef,N($L104)&lt;1,$N104=""),"Vencida sin observación"&amp;" · ",""))="","✔ OK","⚠ "&amp;LEFT(IF(AND($S104="Macro",$B104=""),"Macroactividad vacía"&amp;" · ","")&amp;IF(AND($B104&lt;&gt;"",$C104&lt;&gt;""),"Escriba la subactividad en otra fila, debajo de su macroactividad"&amp;" · ","")&amp;IF(AND($S104="Sub",N($R104)=0),"Subactividad sin macroactividad arriba"&amp;" · ","")&amp;IF($D104="","Sin responsable"&amp;" · ","")&amp;IF($E104="","Sin fecha de inicio"&amp;" · ","")&amp;IF($F104="","Sin fecha límite"&amp;" · ","")&amp;IF(OR(AND($E104&lt;&gt;"",NOT(ISNUMBER($E104))),AND($F104&lt;&gt;"",NOT(ISNUMBER($F104)))),"Fecha no válida"&amp;" · ","")&amp;IF(AND(ISNUMBER($E104),ISNUMBER($F104),$E104&gt;$F104),"Inicio posterior a fecha límite"&amp;" · ","")&amp;IF(AND($S104="Macro",$G104=""),"Peso vacío"&amp;" · ","")&amp;IF(AND($S104="Macro",$G104&lt;&gt;"",OR(NOT(ISNUMBER($G104)),$G104&lt;=0,$G104&gt;1)),"Peso fuera de rango"&amp;" · ","")&amp;IF(AND($S104="Sub",$G104&lt;&gt;""),"Las subactividades no llevan peso"&amp;" · ","")&amp;IF(AND($S104="Macro",ABS(SUMIFS($G$5:$G$1000,$P$5:$P$1000,$P104,$S$5:$S$1000,"Macro")-1)&gt;0.0001),"Pesos del mes suman "&amp;TEXT(SUMIFS($G$5:$G$1000,$P$5:$P$1000,$P104,$S$5:$S$1000,"Macro"),"0%")&amp;" · ","")&amp;IF(AND(N($T104)&gt;0,COUNT($H104:$K104)&gt;0),"Con subactividades: deje vacías las semanas (se calculan solas)"&amp;"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","")&amp;IF(AND(ObsObligatoria="Sí",ISNUMBER($F104),$F104&lt;FechaRef,N($L104)&lt;1,$N104=""),"Vencida sin observación"&amp;" · ",""),LEN(IF(AND($S104="Macro",$B104=""),"Macroactividad vacía"&amp;" · ","")&amp;IF(AND($B104&lt;&gt;"",$C104&lt;&gt;""),"Escriba la subactividad en otra fila, debajo de su macroactividad"&amp;" · ","")&amp;IF(AND($S104="Sub",N($R104)=0),"Subactividad sin macroactividad arriba"&amp;" · ","")&amp;IF($D104="","Sin responsable"&amp;" · ","")&amp;IF($E104="","Sin fecha de inicio"&amp;" · ","")&amp;IF($F104="","Sin fecha límite"&amp;" · ","")&amp;IF(OR(AND($E104&lt;&gt;"",NOT(ISNUMBER($E104))),AND($F104&lt;&gt;"",NOT(ISNUMBER($F104)))),"Fecha no válida"&amp;" · ","")&amp;IF(AND(ISNUMBER($E104),ISNUMBER($F104),$E104&gt;$F104),"Inicio posterior a fecha límite"&amp;" · ","")&amp;IF(AND($S104="Macro",$G104=""),"Peso vacío"&amp;" · ","")&amp;IF(AND($S104="Macro",$G104&lt;&gt;"",OR(NOT(ISNUMBER($G104)),$G104&lt;=0,$G104&gt;1)),"Peso fuera de rango"&amp;" · ","")&amp;IF(AND($S104="Sub",$G104&lt;&gt;""),"Las subactividades no llevan peso"&amp;" · ","")&amp;IF(AND($S104="Macro",ABS(SUMIFS($G$5:$G$1000,$P$5:$P$1000,$P104,$S$5:$S$1000,"Macro")-1)&gt;0.0001),"Pesos del mes suman "&amp;TEXT(SUMIFS($G$5:$G$1000,$P$5:$P$1000,$P104,$S$5:$S$1000,"Macro"),"0%")&amp;" · ","")&amp;IF(AND(N($T104)&gt;0,COUNT($H104:$K104)&gt;0),"Con subactividades: deje vacías las semanas (se calculan solas)"&amp;"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","")&amp;IF(AND(ObsObligatoria="Sí",ISNUMBER($F104),$F104&lt;FechaRef,N($L104)&lt;1,$N104=""),"Vencida sin observación"&amp;" · ",""))-3)))</f>
        <v/>
      </c>
      <c r="P104" s="69">
        <f>IF(NOT((COUNTA($B104:$K104)+COUNTA($N104))&gt;0),"",IF(AND($S104="Sub",N($R104)&gt;0),IF(ISNUMBER(INDEX($E$5:$E$1000,$R104-4)),DATE(YEAR(INDEX($E$5:$E$1000,$R104-4)),MONTH(INDEX($E$5:$E$1000,$R104-4)),1),IF(ISNUMBER(INDEX($F$5:$F$1000,$R104-4)),DATE(YEAR(INDEX($F$5:$F$1000,$R104-4)),MONTH(INDEX($F$5:$F$1000,$R104-4)),1),MesCiclo)),IF(ISNUMBER($E104),DATE(YEAR($E104),MONTH($E104),1),IF(ISNUMBER($F104),DATE(YEAR($F104),MONTH($F104),1),MesCiclo))))</f>
        <v/>
      </c>
      <c r="Q104" s="70">
        <f>IF(OR($P104="",$P104&lt;&gt;MesCiclo),"",COUNTIF($P$5:$P104,MesCiclo))</f>
        <v/>
      </c>
      <c r="R104" s="70">
        <f>IF($S104="","",IF($S104="Macro",ROW(),IFERROR(LOOKUP(2,1/($S$5:$S104="Macro"),ROW($S$5:$S104)),0)))</f>
        <v/>
      </c>
      <c r="S104" s="70">
        <f>IF(NOT((COUNTA($B104:$K104)+COUNTA($N104))&gt;0),"",IF($B104&lt;&gt;"","Macro",IF($C104&lt;&gt;"","Sub","Macro")))</f>
        <v/>
      </c>
      <c r="T104" s="70">
        <f>IF($S104="Macro",COUNTIFS($R$5:$R$1000,ROW(),$S$5:$S$1000,"Sub"),"")</f>
        <v/>
      </c>
      <c r="U104" s="70">
        <f>IF($S104="","",IF(ISNUMBER($H104),$H104,0))</f>
        <v/>
      </c>
      <c r="V104" s="70">
        <f>IF($S104="","",IF(ISNUMBER($I104),$I104,$U104))</f>
        <v/>
      </c>
      <c r="W104" s="70">
        <f>IF($S104="","",IF(ISNUMBER($J104),$J104,$V104))</f>
        <v/>
      </c>
      <c r="X104" s="70">
        <f>IF($S104="","",IF(ISNUMBER($K104),$K104,$W104))</f>
        <v/>
      </c>
      <c r="Y104" s="70">
        <f>IF($S104="","",IF(N($T104)&gt;0,AVERAGEIFS($U$5:$U$1000,$R$5:$R$1000,ROW(),$S$5:$S$1000,"Sub"),$U104))</f>
        <v/>
      </c>
      <c r="Z104" s="70">
        <f>IF($S104="","",IF(N($T104)&gt;0,AVERAGEIFS($V$5:$V$1000,$R$5:$R$1000,ROW(),$S$5:$S$1000,"Sub"),$V104))</f>
        <v/>
      </c>
      <c r="AA104" s="70">
        <f>IF($S104="","",IF(N($T104)&gt;0,AVERAGEIFS($W$5:$W$1000,$R$5:$R$1000,ROW(),$S$5:$S$1000,"Sub"),$W104))</f>
        <v/>
      </c>
      <c r="AB104" s="70">
        <f>IF($S104="","",IF(N($T104)&gt;0,AVERAGEIFS($X$5:$X$1000,$R$5:$R$1000,ROW(),$S$5:$S$1000,"Sub"),$X104))</f>
        <v/>
      </c>
    </row>
    <row r="105">
      <c r="A105" s="61">
        <f>IF(NOT((COUNTA($B105:$K105)+COUNTA($N105))&gt;0),"",IF($S105="Macro",COUNTIFS($S$5:$S105,"Macro",$P$5:$P105,$P105),IF(N($R105)=0,"?",COUNTIFS(INDEX($S$5:$S$1000,1):INDEX($S$5:$S$1000,$R105-4),"Macro",INDEX($P$5:$P$1000,1):INDEX($P$5:$P$1000,$R105-4),INDEX($P$5:$P$1000,$R105-4))&amp;"."&amp;COUNTIFS($R$5:$R105,$R105,$S$5:$S105,"Sub"))))</f>
        <v/>
      </c>
      <c r="B105" s="62" t="n"/>
      <c r="C105" s="63" t="n"/>
      <c r="D105" s="62" t="n"/>
      <c r="E105" s="64" t="n"/>
      <c r="F105" s="64" t="n"/>
      <c r="G105" s="65" t="n"/>
      <c r="H105" s="66" t="n"/>
      <c r="I105" s="66" t="n"/>
      <c r="J105" s="66" t="n"/>
      <c r="K105" s="66" t="n"/>
      <c r="L105" s="67">
        <f>IF(NOT((COUNTA($B105:$K105)+COUNTA($N105))&gt;0),"",IF(N($T105)&gt;0,$AB105,IFERROR(LOOKUP(2,1/(H105:K105&lt;&gt;""),H105:K105),0)))</f>
        <v/>
      </c>
      <c r="M105" s="61">
        <f>IF(L105="","",IF(L105&gt;=1,"Completado",IF(L105&gt;0,"En curso","Pendiente")))</f>
        <v/>
      </c>
      <c r="N105" s="62" t="n"/>
      <c r="O105" s="68">
        <f>IF(NOT((COUNTA($B105:$K105)+COUNTA($N105))&gt;0),"",IF((IF(AND($S105="Macro",$B105=""),"Macroactividad vacía"&amp;" · ","")&amp;IF(AND($B105&lt;&gt;"",$C105&lt;&gt;""),"Escriba la subactividad en otra fila, debajo de su macroactividad"&amp;" · ","")&amp;IF(AND($S105="Sub",N($R105)=0),"Subactividad sin macroactividad arriba"&amp;" · ","")&amp;IF($D105="","Sin responsable"&amp;" · ","")&amp;IF($E105="","Sin fecha de inicio"&amp;" · ","")&amp;IF($F105="","Sin fecha límite"&amp;" · ","")&amp;IF(OR(AND($E105&lt;&gt;"",NOT(ISNUMBER($E105))),AND($F105&lt;&gt;"",NOT(ISNUMBER($F105)))),"Fecha no válida"&amp;" · ","")&amp;IF(AND(ISNUMBER($E105),ISNUMBER($F105),$E105&gt;$F105),"Inicio posterior a fecha límite"&amp;" · ","")&amp;IF(AND($S105="Macro",$G105=""),"Peso vacío"&amp;" · ","")&amp;IF(AND($S105="Macro",$G105&lt;&gt;"",OR(NOT(ISNUMBER($G105)),$G105&lt;=0,$G105&gt;1)),"Peso fuera de rango"&amp;" · ","")&amp;IF(AND($S105="Sub",$G105&lt;&gt;""),"Las subactividades no llevan peso"&amp;" · ","")&amp;IF(AND($S105="Macro",ABS(SUMIFS($G$5:$G$1000,$P$5:$P$1000,$P105,$S$5:$S$1000,"Macro")-1)&gt;0.0001),"Pesos del mes suman "&amp;TEXT(SUMIFS($G$5:$G$1000,$P$5:$P$1000,$P105,$S$5:$S$1000,"Macro"),"0%")&amp;" · ","")&amp;IF(AND(N($T105)&gt;0,COUNT($H105:$K105)&gt;0),"Con subactividades: deje vacías las semanas (se calculan solas)"&amp;" · ","")&amp;IF((COUNTIF($H105:$K105,"&gt;1")+COUNTIF($H105:$K105,"&lt;0")+COUNTA($H105:$K105)-COUNT($H105:$K105))&gt;0,"Avance fuera de rango 0-100%"&amp;" · ","")&amp;IF(OR(AND($I105&lt;&gt;"",$I105&lt;$H105),AND($J105&lt;&gt;"",$J105&lt;MAX($H105:$I105)),AND($K105&lt;&gt;"",$K105&lt;MAX($H105:$J105))),"Avance semanal decreciente"&amp;" · ","")&amp;IF(AND(ISNUMBER($F105),$F105&lt;FechaRef,N($L105)&lt;1),"Vencida"&amp;" · ","")&amp;IF(AND(ObsObligatoria="Sí",ISNUMBER($F105),$F105&lt;FechaRef,N($L105)&lt;1,$N105=""),"Vencida sin observación"&amp;" · ",""))="","✔ OK","⚠ "&amp;LEFT(IF(AND($S105="Macro",$B105=""),"Macroactividad vacía"&amp;" · ","")&amp;IF(AND($B105&lt;&gt;"",$C105&lt;&gt;""),"Escriba la subactividad en otra fila, debajo de su macroactividad"&amp;" · ","")&amp;IF(AND($S105="Sub",N($R105)=0),"Subactividad sin macroactividad arriba"&amp;" · ","")&amp;IF($D105="","Sin responsable"&amp;" · ","")&amp;IF($E105="","Sin fecha de inicio"&amp;" · ","")&amp;IF($F105="","Sin fecha límite"&amp;" · ","")&amp;IF(OR(AND($E105&lt;&gt;"",NOT(ISNUMBER($E105))),AND($F105&lt;&gt;"",NOT(ISNUMBER($F105)))),"Fecha no válida"&amp;" · ","")&amp;IF(AND(ISNUMBER($E105),ISNUMBER($F105),$E105&gt;$F105),"Inicio posterior a fecha límite"&amp;" · ","")&amp;IF(AND($S105="Macro",$G105=""),"Peso vacío"&amp;" · ","")&amp;IF(AND($S105="Macro",$G105&lt;&gt;"",OR(NOT(ISNUMBER($G105)),$G105&lt;=0,$G105&gt;1)),"Peso fuera de rango"&amp;" · ","")&amp;IF(AND($S105="Sub",$G105&lt;&gt;""),"Las subactividades no llevan peso"&amp;" · ","")&amp;IF(AND($S105="Macro",ABS(SUMIFS($G$5:$G$1000,$P$5:$P$1000,$P105,$S$5:$S$1000,"Macro")-1)&gt;0.0001),"Pesos del mes suman "&amp;TEXT(SUMIFS($G$5:$G$1000,$P$5:$P$1000,$P105,$S$5:$S$1000,"Macro"),"0%")&amp;" · ","")&amp;IF(AND(N($T105)&gt;0,COUNT($H105:$K105)&gt;0),"Con subactividades: deje vacías las semanas (se calculan solas)"&amp;" · ","")&amp;IF((COUNTIF($H105:$K105,"&gt;1")+COUNTIF($H105:$K105,"&lt;0")+COUNTA($H105:$K105)-COUNT($H105:$K105))&gt;0,"Avance fuera de rango 0-100%"&amp;" · ","")&amp;IF(OR(AND($I105&lt;&gt;"",$I105&lt;$H105),AND($J105&lt;&gt;"",$J105&lt;MAX($H105:$I105)),AND($K105&lt;&gt;"",$K105&lt;MAX($H105:$J105))),"Avance semanal decreciente"&amp;" · ","")&amp;IF(AND(ISNUMBER($F105),$F105&lt;FechaRef,N($L105)&lt;1),"Vencida"&amp;" · ","")&amp;IF(AND(ObsObligatoria="Sí",ISNUMBER($F105),$F105&lt;FechaRef,N($L105)&lt;1,$N105=""),"Vencida sin observación"&amp;" · ",""),LEN(IF(AND($S105="Macro",$B105=""),"Macroactividad vacía"&amp;" · ","")&amp;IF(AND($B105&lt;&gt;"",$C105&lt;&gt;""),"Escriba la subactividad en otra fila, debajo de su macroactividad"&amp;" · ","")&amp;IF(AND($S105="Sub",N($R105)=0),"Subactividad sin macroactividad arriba"&amp;" · ","")&amp;IF($D105="","Sin responsable"&amp;" · ","")&amp;IF($E105="","Sin fecha de inicio"&amp;" · ","")&amp;IF($F105="","Sin fecha límite"&amp;" · ","")&amp;IF(OR(AND($E105&lt;&gt;"",NOT(ISNUMBER($E105))),AND($F105&lt;&gt;"",NOT(ISNUMBER($F105)))),"Fecha no válida"&amp;" · ","")&amp;IF(AND(ISNUMBER($E105),ISNUMBER($F105),$E105&gt;$F105),"Inicio posterior a fecha límite"&amp;" · ","")&amp;IF(AND($S105="Macro",$G105=""),"Peso vacío"&amp;" · ","")&amp;IF(AND($S105="Macro",$G105&lt;&gt;"",OR(NOT(ISNUMBER($G105)),$G105&lt;=0,$G105&gt;1)),"Peso fuera de rango"&amp;" · ","")&amp;IF(AND($S105="Sub",$G105&lt;&gt;""),"Las subactividades no llevan peso"&amp;" · ","")&amp;IF(AND($S105="Macro",ABS(SUMIFS($G$5:$G$1000,$P$5:$P$1000,$P105,$S$5:$S$1000,"Macro")-1)&gt;0.0001),"Pesos del mes suman "&amp;TEXT(SUMIFS($G$5:$G$1000,$P$5:$P$1000,$P105,$S$5:$S$1000,"Macro"),"0%")&amp;" · ","")&amp;IF(AND(N($T105)&gt;0,COUNT($H105:$K105)&gt;0),"Con subactividades: deje vacías las semanas (se calculan solas)"&amp;" · ","")&amp;IF((COUNTIF($H105:$K105,"&gt;1")+COUNTIF($H105:$K105,"&lt;0")+COUNTA($H105:$K105)-COUNT($H105:$K105))&gt;0,"Avance fuera de rango 0-100%"&amp;" · ","")&amp;IF(OR(AND($I105&lt;&gt;"",$I105&lt;$H105),AND($J105&lt;&gt;"",$J105&lt;MAX($H105:$I105)),AND($K105&lt;&gt;"",$K105&lt;MAX($H105:$J105))),"Avance semanal decreciente"&amp;" · ","")&amp;IF(AND(ISNUMBER($F105),$F105&lt;FechaRef,N($L105)&lt;1),"Vencida"&amp;" · ","")&amp;IF(AND(ObsObligatoria="Sí",ISNUMBER($F105),$F105&lt;FechaRef,N($L105)&lt;1,$N105=""),"Vencida sin observación"&amp;" · ",""))-3)))</f>
        <v/>
      </c>
      <c r="P105" s="69">
        <f>IF(NOT((COUNTA($B105:$K105)+COUNTA($N105))&gt;0),"",IF(AND($S105="Sub",N($R105)&gt;0),IF(ISNUMBER(INDEX($E$5:$E$1000,$R105-4)),DATE(YEAR(INDEX($E$5:$E$1000,$R105-4)),MONTH(INDEX($E$5:$E$1000,$R105-4)),1),IF(ISNUMBER(INDEX($F$5:$F$1000,$R105-4)),DATE(YEAR(INDEX($F$5:$F$1000,$R105-4)),MONTH(INDEX($F$5:$F$1000,$R105-4)),1),MesCiclo)),IF(ISNUMBER($E105),DATE(YEAR($E105),MONTH($E105),1),IF(ISNUMBER($F105),DATE(YEAR($F105),MONTH($F105),1),MesCiclo))))</f>
        <v/>
      </c>
      <c r="Q105" s="70">
        <f>IF(OR($P105="",$P105&lt;&gt;MesCiclo),"",COUNTIF($P$5:$P105,MesCiclo))</f>
        <v/>
      </c>
      <c r="R105" s="70">
        <f>IF($S105="","",IF($S105="Macro",ROW(),IFERROR(LOOKUP(2,1/($S$5:$S105="Macro"),ROW($S$5:$S105)),0)))</f>
        <v/>
      </c>
      <c r="S105" s="70">
        <f>IF(NOT((COUNTA($B105:$K105)+COUNTA($N105))&gt;0),"",IF($B105&lt;&gt;"","Macro",IF($C105&lt;&gt;"","Sub","Macro")))</f>
        <v/>
      </c>
      <c r="T105" s="70">
        <f>IF($S105="Macro",COUNTIFS($R$5:$R$1000,ROW(),$S$5:$S$1000,"Sub"),"")</f>
        <v/>
      </c>
      <c r="U105" s="70">
        <f>IF($S105="","",IF(ISNUMBER($H105),$H105,0))</f>
        <v/>
      </c>
      <c r="V105" s="70">
        <f>IF($S105="","",IF(ISNUMBER($I105),$I105,$U105))</f>
        <v/>
      </c>
      <c r="W105" s="70">
        <f>IF($S105="","",IF(ISNUMBER($J105),$J105,$V105))</f>
        <v/>
      </c>
      <c r="X105" s="70">
        <f>IF($S105="","",IF(ISNUMBER($K105),$K105,$W105))</f>
        <v/>
      </c>
      <c r="Y105" s="70">
        <f>IF($S105="","",IF(N($T105)&gt;0,AVERAGEIFS($U$5:$U$1000,$R$5:$R$1000,ROW(),$S$5:$S$1000,"Sub"),$U105))</f>
        <v/>
      </c>
      <c r="Z105" s="70">
        <f>IF($S105="","",IF(N($T105)&gt;0,AVERAGEIFS($V$5:$V$1000,$R$5:$R$1000,ROW(),$S$5:$S$1000,"Sub"),$V105))</f>
        <v/>
      </c>
      <c r="AA105" s="70">
        <f>IF($S105="","",IF(N($T105)&gt;0,AVERAGEIFS($W$5:$W$1000,$R$5:$R$1000,ROW(),$S$5:$S$1000,"Sub"),$W105))</f>
        <v/>
      </c>
      <c r="AB105" s="70">
        <f>IF($S105="","",IF(N($T105)&gt;0,AVERAGEIFS($X$5:$X$1000,$R$5:$R$1000,ROW(),$S$5:$S$1000,"Sub"),$X105))</f>
        <v/>
      </c>
    </row>
    <row r="106">
      <c r="A106" s="61">
        <f>IF(NOT((COUNTA($B106:$K106)+COUNTA($N106))&gt;0),"",IF($S106="Macro",COUNTIFS($S$5:$S106,"Macro",$P$5:$P106,$P106),IF(N($R106)=0,"?",COUNTIFS(INDEX($S$5:$S$1000,1):INDEX($S$5:$S$1000,$R106-4),"Macro",INDEX($P$5:$P$1000,1):INDEX($P$5:$P$1000,$R106-4),INDEX($P$5:$P$1000,$R106-4))&amp;"."&amp;COUNTIFS($R$5:$R106,$R106,$S$5:$S106,"Sub"))))</f>
        <v/>
      </c>
      <c r="B106" s="62" t="n"/>
      <c r="C106" s="63" t="n"/>
      <c r="D106" s="62" t="n"/>
      <c r="E106" s="64" t="n"/>
      <c r="F106" s="64" t="n"/>
      <c r="G106" s="65" t="n"/>
      <c r="H106" s="66" t="n"/>
      <c r="I106" s="66" t="n"/>
      <c r="J106" s="66" t="n"/>
      <c r="K106" s="66" t="n"/>
      <c r="L106" s="67">
        <f>IF(NOT((COUNTA($B106:$K106)+COUNTA($N106))&gt;0),"",IF(N($T106)&gt;0,$AB106,IFERROR(LOOKUP(2,1/(H106:K106&lt;&gt;""),H106:K106),0)))</f>
        <v/>
      </c>
      <c r="M106" s="61">
        <f>IF(L106="","",IF(L106&gt;=1,"Completado",IF(L106&gt;0,"En curso","Pendiente")))</f>
        <v/>
      </c>
      <c r="N106" s="62" t="n"/>
      <c r="O106" s="68">
        <f>IF(NOT((COUNTA($B106:$K106)+COUNTA($N106))&gt;0),"",IF((IF(AND($S106="Macro",$B106=""),"Macroactividad vacía"&amp;" · ","")&amp;IF(AND($B106&lt;&gt;"",$C106&lt;&gt;""),"Escriba la subactividad en otra fila, debajo de su macroactividad"&amp;" · ","")&amp;IF(AND($S106="Sub",N($R106)=0),"Subactividad sin macroactividad arriba"&amp;" · ","")&amp;IF($D106="","Sin responsable"&amp;" · ","")&amp;IF($E106="","Sin fecha de inicio"&amp;" · ","")&amp;IF($F106="","Sin fecha límite"&amp;" · ","")&amp;IF(OR(AND($E106&lt;&gt;"",NOT(ISNUMBER($E106))),AND($F106&lt;&gt;"",NOT(ISNUMBER($F106)))),"Fecha no válida"&amp;" · ","")&amp;IF(AND(ISNUMBER($E106),ISNUMBER($F106),$E106&gt;$F106),"Inicio posterior a fecha límite"&amp;" · ","")&amp;IF(AND($S106="Macro",$G106=""),"Peso vacío"&amp;" · ","")&amp;IF(AND($S106="Macro",$G106&lt;&gt;"",OR(NOT(ISNUMBER($G106)),$G106&lt;=0,$G106&gt;1)),"Peso fuera de rango"&amp;" · ","")&amp;IF(AND($S106="Sub",$G106&lt;&gt;""),"Las subactividades no llevan peso"&amp;" · ","")&amp;IF(AND($S106="Macro",ABS(SUMIFS($G$5:$G$1000,$P$5:$P$1000,$P106,$S$5:$S$1000,"Macro")-1)&gt;0.0001),"Pesos del mes suman "&amp;TEXT(SUMIFS($G$5:$G$1000,$P$5:$P$1000,$P106,$S$5:$S$1000,"Macro"),"0%")&amp;" · ","")&amp;IF(AND(N($T106)&gt;0,COUNT($H106:$K106)&gt;0),"Con subactividades: deje vacías las semanas (se calculan solas)"&amp;" · ","")&amp;IF((COUNTIF($H106:$K106,"&gt;1")+COUNTIF($H106:$K106,"&lt;0")+COUNTA($H106:$K106)-COUNT($H106:$K106))&gt;0,"Avance fuera de rango 0-100%"&amp;" · ","")&amp;IF(OR(AND($I106&lt;&gt;"",$I106&lt;$H106),AND($J106&lt;&gt;"",$J106&lt;MAX($H106:$I106)),AND($K106&lt;&gt;"",$K106&lt;MAX($H106:$J106))),"Avance semanal decreciente"&amp;" · ","")&amp;IF(AND(ISNUMBER($F106),$F106&lt;FechaRef,N($L106)&lt;1),"Vencida"&amp;" · ","")&amp;IF(AND(ObsObligatoria="Sí",ISNUMBER($F106),$F106&lt;FechaRef,N($L106)&lt;1,$N106=""),"Vencida sin observación"&amp;" · ",""))="","✔ OK","⚠ "&amp;LEFT(IF(AND($S106="Macro",$B106=""),"Macroactividad vacía"&amp;" · ","")&amp;IF(AND($B106&lt;&gt;"",$C106&lt;&gt;""),"Escriba la subactividad en otra fila, debajo de su macroactividad"&amp;" · ","")&amp;IF(AND($S106="Sub",N($R106)=0),"Subactividad sin macroactividad arriba"&amp;" · ","")&amp;IF($D106="","Sin responsable"&amp;" · ","")&amp;IF($E106="","Sin fecha de inicio"&amp;" · ","")&amp;IF($F106="","Sin fecha límite"&amp;" · ","")&amp;IF(OR(AND($E106&lt;&gt;"",NOT(ISNUMBER($E106))),AND($F106&lt;&gt;"",NOT(ISNUMBER($F106)))),"Fecha no válida"&amp;" · ","")&amp;IF(AND(ISNUMBER($E106),ISNUMBER($F106),$E106&gt;$F106),"Inicio posterior a fecha límite"&amp;" · ","")&amp;IF(AND($S106="Macro",$G106=""),"Peso vacío"&amp;" · ","")&amp;IF(AND($S106="Macro",$G106&lt;&gt;"",OR(NOT(ISNUMBER($G106)),$G106&lt;=0,$G106&gt;1)),"Peso fuera de rango"&amp;" · ","")&amp;IF(AND($S106="Sub",$G106&lt;&gt;""),"Las subactividades no llevan peso"&amp;" · ","")&amp;IF(AND($S106="Macro",ABS(SUMIFS($G$5:$G$1000,$P$5:$P$1000,$P106,$S$5:$S$1000,"Macro")-1)&gt;0.0001),"Pesos del mes suman "&amp;TEXT(SUMIFS($G$5:$G$1000,$P$5:$P$1000,$P106,$S$5:$S$1000,"Macro"),"0%")&amp;" · ","")&amp;IF(AND(N($T106)&gt;0,COUNT($H106:$K106)&gt;0),"Con subactividades: deje vacías las semanas (se calculan solas)"&amp;" · ","")&amp;IF((COUNTIF($H106:$K106,"&gt;1")+COUNTIF($H106:$K106,"&lt;0")+COUNTA($H106:$K106)-COUNT($H106:$K106))&gt;0,"Avance fuera de rango 0-100%"&amp;" · ","")&amp;IF(OR(AND($I106&lt;&gt;"",$I106&lt;$H106),AND($J106&lt;&gt;"",$J106&lt;MAX($H106:$I106)),AND($K106&lt;&gt;"",$K106&lt;MAX($H106:$J106))),"Avance semanal decreciente"&amp;" · ","")&amp;IF(AND(ISNUMBER($F106),$F106&lt;FechaRef,N($L106)&lt;1),"Vencida"&amp;" · ","")&amp;IF(AND(ObsObligatoria="Sí",ISNUMBER($F106),$F106&lt;FechaRef,N($L106)&lt;1,$N106=""),"Vencida sin observación"&amp;" · ",""),LEN(IF(AND($S106="Macro",$B106=""),"Macroactividad vacía"&amp;" · ","")&amp;IF(AND($B106&lt;&gt;"",$C106&lt;&gt;""),"Escriba la subactividad en otra fila, debajo de su macroactividad"&amp;" · ","")&amp;IF(AND($S106="Sub",N($R106)=0),"Subactividad sin macroactividad arriba"&amp;" · ","")&amp;IF($D106="","Sin responsable"&amp;" · ","")&amp;IF($E106="","Sin fecha de inicio"&amp;" · ","")&amp;IF($F106="","Sin fecha límite"&amp;" · ","")&amp;IF(OR(AND($E106&lt;&gt;"",NOT(ISNUMBER($E106))),AND($F106&lt;&gt;"",NOT(ISNUMBER($F106)))),"Fecha no válida"&amp;" · ","")&amp;IF(AND(ISNUMBER($E106),ISNUMBER($F106),$E106&gt;$F106),"Inicio posterior a fecha límite"&amp;" · ","")&amp;IF(AND($S106="Macro",$G106=""),"Peso vacío"&amp;" · ","")&amp;IF(AND($S106="Macro",$G106&lt;&gt;"",OR(NOT(ISNUMBER($G106)),$G106&lt;=0,$G106&gt;1)),"Peso fuera de rango"&amp;" · ","")&amp;IF(AND($S106="Sub",$G106&lt;&gt;""),"Las subactividades no llevan peso"&amp;" · ","")&amp;IF(AND($S106="Macro",ABS(SUMIFS($G$5:$G$1000,$P$5:$P$1000,$P106,$S$5:$S$1000,"Macro")-1)&gt;0.0001),"Pesos del mes suman "&amp;TEXT(SUMIFS($G$5:$G$1000,$P$5:$P$1000,$P106,$S$5:$S$1000,"Macro"),"0%")&amp;" · ","")&amp;IF(AND(N($T106)&gt;0,COUNT($H106:$K106)&gt;0),"Con subactividades: deje vacías las semanas (se calculan solas)"&amp;" · ","")&amp;IF((COUNTIF($H106:$K106,"&gt;1")+COUNTIF($H106:$K106,"&lt;0")+COUNTA($H106:$K106)-COUNT($H106:$K106))&gt;0,"Avance fuera de rango 0-100%"&amp;" · ","")&amp;IF(OR(AND($I106&lt;&gt;"",$I106&lt;$H106),AND($J106&lt;&gt;"",$J106&lt;MAX($H106:$I106)),AND($K106&lt;&gt;"",$K106&lt;MAX($H106:$J106))),"Avance semanal decreciente"&amp;" · ","")&amp;IF(AND(ISNUMBER($F106),$F106&lt;FechaRef,N($L106)&lt;1),"Vencida"&amp;" · ","")&amp;IF(AND(ObsObligatoria="Sí",ISNUMBER($F106),$F106&lt;FechaRef,N($L106)&lt;1,$N106=""),"Vencida sin observación"&amp;" · ",""))-3)))</f>
        <v/>
      </c>
      <c r="P106" s="69">
        <f>IF(NOT((COUNTA($B106:$K106)+COUNTA($N106))&gt;0),"",IF(AND($S106="Sub",N($R106)&gt;0),IF(ISNUMBER(INDEX($E$5:$E$1000,$R106-4)),DATE(YEAR(INDEX($E$5:$E$1000,$R106-4)),MONTH(INDEX($E$5:$E$1000,$R106-4)),1),IF(ISNUMBER(INDEX($F$5:$F$1000,$R106-4)),DATE(YEAR(INDEX($F$5:$F$1000,$R106-4)),MONTH(INDEX($F$5:$F$1000,$R106-4)),1),MesCiclo)),IF(ISNUMBER($E106),DATE(YEAR($E106),MONTH($E106),1),IF(ISNUMBER($F106),DATE(YEAR($F106),MONTH($F106),1),MesCiclo))))</f>
        <v/>
      </c>
      <c r="Q106" s="70">
        <f>IF(OR($P106="",$P106&lt;&gt;MesCiclo),"",COUNTIF($P$5:$P106,MesCiclo))</f>
        <v/>
      </c>
      <c r="R106" s="70">
        <f>IF($S106="","",IF($S106="Macro",ROW(),IFERROR(LOOKUP(2,1/($S$5:$S106="Macro"),ROW($S$5:$S106)),0)))</f>
        <v/>
      </c>
      <c r="S106" s="70">
        <f>IF(NOT((COUNTA($B106:$K106)+COUNTA($N106))&gt;0),"",IF($B106&lt;&gt;"","Macro",IF($C106&lt;&gt;"","Sub","Macro")))</f>
        <v/>
      </c>
      <c r="T106" s="70">
        <f>IF($S106="Macro",COUNTIFS($R$5:$R$1000,ROW(),$S$5:$S$1000,"Sub"),"")</f>
        <v/>
      </c>
      <c r="U106" s="70">
        <f>IF($S106="","",IF(ISNUMBER($H106),$H106,0))</f>
        <v/>
      </c>
      <c r="V106" s="70">
        <f>IF($S106="","",IF(ISNUMBER($I106),$I106,$U106))</f>
        <v/>
      </c>
      <c r="W106" s="70">
        <f>IF($S106="","",IF(ISNUMBER($J106),$J106,$V106))</f>
        <v/>
      </c>
      <c r="X106" s="70">
        <f>IF($S106="","",IF(ISNUMBER($K106),$K106,$W106))</f>
        <v/>
      </c>
      <c r="Y106" s="70">
        <f>IF($S106="","",IF(N($T106)&gt;0,AVERAGEIFS($U$5:$U$1000,$R$5:$R$1000,ROW(),$S$5:$S$1000,"Sub"),$U106))</f>
        <v/>
      </c>
      <c r="Z106" s="70">
        <f>IF($S106="","",IF(N($T106)&gt;0,AVERAGEIFS($V$5:$V$1000,$R$5:$R$1000,ROW(),$S$5:$S$1000,"Sub"),$V106))</f>
        <v/>
      </c>
      <c r="AA106" s="70">
        <f>IF($S106="","",IF(N($T106)&gt;0,AVERAGEIFS($W$5:$W$1000,$R$5:$R$1000,ROW(),$S$5:$S$1000,"Sub"),$W106))</f>
        <v/>
      </c>
      <c r="AB106" s="70">
        <f>IF($S106="","",IF(N($T106)&gt;0,AVERAGEIFS($X$5:$X$1000,$R$5:$R$1000,ROW(),$S$5:$S$1000,"Sub"),$X106))</f>
        <v/>
      </c>
    </row>
    <row r="107">
      <c r="A107" s="61">
        <f>IF(NOT((COUNTA($B107:$K107)+COUNTA($N107))&gt;0),"",IF($S107="Macro",COUNTIFS($S$5:$S107,"Macro",$P$5:$P107,$P107),IF(N($R107)=0,"?",COUNTIFS(INDEX($S$5:$S$1000,1):INDEX($S$5:$S$1000,$R107-4),"Macro",INDEX($P$5:$P$1000,1):INDEX($P$5:$P$1000,$R107-4),INDEX($P$5:$P$1000,$R107-4))&amp;"."&amp;COUNTIFS($R$5:$R107,$R107,$S$5:$S107,"Sub"))))</f>
        <v/>
      </c>
      <c r="B107" s="62" t="n"/>
      <c r="C107" s="63" t="n"/>
      <c r="D107" s="62" t="n"/>
      <c r="E107" s="64" t="n"/>
      <c r="F107" s="64" t="n"/>
      <c r="G107" s="65" t="n"/>
      <c r="H107" s="66" t="n"/>
      <c r="I107" s="66" t="n"/>
      <c r="J107" s="66" t="n"/>
      <c r="K107" s="66" t="n"/>
      <c r="L107" s="67">
        <f>IF(NOT((COUNTA($B107:$K107)+COUNTA($N107))&gt;0),"",IF(N($T107)&gt;0,$AB107,IFERROR(LOOKUP(2,1/(H107:K107&lt;&gt;""),H107:K107),0)))</f>
        <v/>
      </c>
      <c r="M107" s="61">
        <f>IF(L107="","",IF(L107&gt;=1,"Completado",IF(L107&gt;0,"En curso","Pendiente")))</f>
        <v/>
      </c>
      <c r="N107" s="62" t="n"/>
      <c r="O107" s="68">
        <f>IF(NOT((COUNTA($B107:$K107)+COUNTA($N107))&gt;0),"",IF((IF(AND($S107="Macro",$B107=""),"Macroactividad vacía"&amp;" · ","")&amp;IF(AND($B107&lt;&gt;"",$C107&lt;&gt;""),"Escriba la subactividad en otra fila, debajo de su macroactividad"&amp;" · ","")&amp;IF(AND($S107="Sub",N($R107)=0),"Subactividad sin macroactividad arriba"&amp;" · ","")&amp;IF($D107="","Sin responsable"&amp;" · ","")&amp;IF($E107="","Sin fecha de inicio"&amp;" · ","")&amp;IF($F107="","Sin fecha límite"&amp;" · ","")&amp;IF(OR(AND($E107&lt;&gt;"",NOT(ISNUMBER($E107))),AND($F107&lt;&gt;"",NOT(ISNUMBER($F107)))),"Fecha no válida"&amp;" · ","")&amp;IF(AND(ISNUMBER($E107),ISNUMBER($F107),$E107&gt;$F107),"Inicio posterior a fecha límite"&amp;" · ","")&amp;IF(AND($S107="Macro",$G107=""),"Peso vacío"&amp;" · ","")&amp;IF(AND($S107="Macro",$G107&lt;&gt;"",OR(NOT(ISNUMBER($G107)),$G107&lt;=0,$G107&gt;1)),"Peso fuera de rango"&amp;" · ","")&amp;IF(AND($S107="Sub",$G107&lt;&gt;""),"Las subactividades no llevan peso"&amp;" · ","")&amp;IF(AND($S107="Macro",ABS(SUMIFS($G$5:$G$1000,$P$5:$P$1000,$P107,$S$5:$S$1000,"Macro")-1)&gt;0.0001),"Pesos del mes suman "&amp;TEXT(SUMIFS($G$5:$G$1000,$P$5:$P$1000,$P107,$S$5:$S$1000,"Macro"),"0%")&amp;" · ","")&amp;IF(AND(N($T107)&gt;0,COUNT($H107:$K107)&gt;0),"Con subactividades: deje vacías las semanas (se calculan solas)"&amp;" · ","")&amp;IF((COUNTIF($H107:$K107,"&gt;1")+COUNTIF($H107:$K107,"&lt;0")+COUNTA($H107:$K107)-COUNT($H107:$K107))&gt;0,"Avance fuera de rango 0-100%"&amp;" · ","")&amp;IF(OR(AND($I107&lt;&gt;"",$I107&lt;$H107),AND($J107&lt;&gt;"",$J107&lt;MAX($H107:$I107)),AND($K107&lt;&gt;"",$K107&lt;MAX($H107:$J107))),"Avance semanal decreciente"&amp;" · ","")&amp;IF(AND(ISNUMBER($F107),$F107&lt;FechaRef,N($L107)&lt;1),"Vencida"&amp;" · ","")&amp;IF(AND(ObsObligatoria="Sí",ISNUMBER($F107),$F107&lt;FechaRef,N($L107)&lt;1,$N107=""),"Vencida sin observación"&amp;" · ",""))="","✔ OK","⚠ "&amp;LEFT(IF(AND($S107="Macro",$B107=""),"Macroactividad vacía"&amp;" · ","")&amp;IF(AND($B107&lt;&gt;"",$C107&lt;&gt;""),"Escriba la subactividad en otra fila, debajo de su macroactividad"&amp;" · ","")&amp;IF(AND($S107="Sub",N($R107)=0),"Subactividad sin macroactividad arriba"&amp;" · ","")&amp;IF($D107="","Sin responsable"&amp;" · ","")&amp;IF($E107="","Sin fecha de inicio"&amp;" · ","")&amp;IF($F107="","Sin fecha límite"&amp;" · ","")&amp;IF(OR(AND($E107&lt;&gt;"",NOT(ISNUMBER($E107))),AND($F107&lt;&gt;"",NOT(ISNUMBER($F107)))),"Fecha no válida"&amp;" · ","")&amp;IF(AND(ISNUMBER($E107),ISNUMBER($F107),$E107&gt;$F107),"Inicio posterior a fecha límite"&amp;" · ","")&amp;IF(AND($S107="Macro",$G107=""),"Peso vacío"&amp;" · ","")&amp;IF(AND($S107="Macro",$G107&lt;&gt;"",OR(NOT(ISNUMBER($G107)),$G107&lt;=0,$G107&gt;1)),"Peso fuera de rango"&amp;" · ","")&amp;IF(AND($S107="Sub",$G107&lt;&gt;""),"Las subactividades no llevan peso"&amp;" · ","")&amp;IF(AND($S107="Macro",ABS(SUMIFS($G$5:$G$1000,$P$5:$P$1000,$P107,$S$5:$S$1000,"Macro")-1)&gt;0.0001),"Pesos del mes suman "&amp;TEXT(SUMIFS($G$5:$G$1000,$P$5:$P$1000,$P107,$S$5:$S$1000,"Macro"),"0%")&amp;" · ","")&amp;IF(AND(N($T107)&gt;0,COUNT($H107:$K107)&gt;0),"Con subactividades: deje vacías las semanas (se calculan solas)"&amp;" · ","")&amp;IF((COUNTIF($H107:$K107,"&gt;1")+COUNTIF($H107:$K107,"&lt;0")+COUNTA($H107:$K107)-COUNT($H107:$K107))&gt;0,"Avance fuera de rango 0-100%"&amp;" · ","")&amp;IF(OR(AND($I107&lt;&gt;"",$I107&lt;$H107),AND($J107&lt;&gt;"",$J107&lt;MAX($H107:$I107)),AND($K107&lt;&gt;"",$K107&lt;MAX($H107:$J107))),"Avance semanal decreciente"&amp;" · ","")&amp;IF(AND(ISNUMBER($F107),$F107&lt;FechaRef,N($L107)&lt;1),"Vencida"&amp;" · ","")&amp;IF(AND(ObsObligatoria="Sí",ISNUMBER($F107),$F107&lt;FechaRef,N($L107)&lt;1,$N107=""),"Vencida sin observación"&amp;" · ",""),LEN(IF(AND($S107="Macro",$B107=""),"Macroactividad vacía"&amp;" · ","")&amp;IF(AND($B107&lt;&gt;"",$C107&lt;&gt;""),"Escriba la subactividad en otra fila, debajo de su macroactividad"&amp;" · ","")&amp;IF(AND($S107="Sub",N($R107)=0),"Subactividad sin macroactividad arriba"&amp;" · ","")&amp;IF($D107="","Sin responsable"&amp;" · ","")&amp;IF($E107="","Sin fecha de inicio"&amp;" · ","")&amp;IF($F107="","Sin fecha límite"&amp;" · ","")&amp;IF(OR(AND($E107&lt;&gt;"",NOT(ISNUMBER($E107))),AND($F107&lt;&gt;"",NOT(ISNUMBER($F107)))),"Fecha no válida"&amp;" · ","")&amp;IF(AND(ISNUMBER($E107),ISNUMBER($F107),$E107&gt;$F107),"Inicio posterior a fecha límite"&amp;" · ","")&amp;IF(AND($S107="Macro",$G107=""),"Peso vacío"&amp;" · ","")&amp;IF(AND($S107="Macro",$G107&lt;&gt;"",OR(NOT(ISNUMBER($G107)),$G107&lt;=0,$G107&gt;1)),"Peso fuera de rango"&amp;" · ","")&amp;IF(AND($S107="Sub",$G107&lt;&gt;""),"Las subactividades no llevan peso"&amp;" · ","")&amp;IF(AND($S107="Macro",ABS(SUMIFS($G$5:$G$1000,$P$5:$P$1000,$P107,$S$5:$S$1000,"Macro")-1)&gt;0.0001),"Pesos del mes suman "&amp;TEXT(SUMIFS($G$5:$G$1000,$P$5:$P$1000,$P107,$S$5:$S$1000,"Macro"),"0%")&amp;" · ","")&amp;IF(AND(N($T107)&gt;0,COUNT($H107:$K107)&gt;0),"Con subactividades: deje vacías las semanas (se calculan solas)"&amp;" · ","")&amp;IF((COUNTIF($H107:$K107,"&gt;1")+COUNTIF($H107:$K107,"&lt;0")+COUNTA($H107:$K107)-COUNT($H107:$K107))&gt;0,"Avance fuera de rango 0-100%"&amp;" · ","")&amp;IF(OR(AND($I107&lt;&gt;"",$I107&lt;$H107),AND($J107&lt;&gt;"",$J107&lt;MAX($H107:$I107)),AND($K107&lt;&gt;"",$K107&lt;MAX($H107:$J107))),"Avance semanal decreciente"&amp;" · ","")&amp;IF(AND(ISNUMBER($F107),$F107&lt;FechaRef,N($L107)&lt;1),"Vencida"&amp;" · ","")&amp;IF(AND(ObsObligatoria="Sí",ISNUMBER($F107),$F107&lt;FechaRef,N($L107)&lt;1,$N107=""),"Vencida sin observación"&amp;" · ",""))-3)))</f>
        <v/>
      </c>
      <c r="P107" s="69">
        <f>IF(NOT((COUNTA($B107:$K107)+COUNTA($N107))&gt;0),"",IF(AND($S107="Sub",N($R107)&gt;0),IF(ISNUMBER(INDEX($E$5:$E$1000,$R107-4)),DATE(YEAR(INDEX($E$5:$E$1000,$R107-4)),MONTH(INDEX($E$5:$E$1000,$R107-4)),1),IF(ISNUMBER(INDEX($F$5:$F$1000,$R107-4)),DATE(YEAR(INDEX($F$5:$F$1000,$R107-4)),MONTH(INDEX($F$5:$F$1000,$R107-4)),1),MesCiclo)),IF(ISNUMBER($E107),DATE(YEAR($E107),MONTH($E107),1),IF(ISNUMBER($F107),DATE(YEAR($F107),MONTH($F107),1),MesCiclo))))</f>
        <v/>
      </c>
      <c r="Q107" s="70">
        <f>IF(OR($P107="",$P107&lt;&gt;MesCiclo),"",COUNTIF($P$5:$P107,MesCiclo))</f>
        <v/>
      </c>
      <c r="R107" s="70">
        <f>IF($S107="","",IF($S107="Macro",ROW(),IFERROR(LOOKUP(2,1/($S$5:$S107="Macro"),ROW($S$5:$S107)),0)))</f>
        <v/>
      </c>
      <c r="S107" s="70">
        <f>IF(NOT((COUNTA($B107:$K107)+COUNTA($N107))&gt;0),"",IF($B107&lt;&gt;"","Macro",IF($C107&lt;&gt;"","Sub","Macro")))</f>
        <v/>
      </c>
      <c r="T107" s="70">
        <f>IF($S107="Macro",COUNTIFS($R$5:$R$1000,ROW(),$S$5:$S$1000,"Sub"),"")</f>
        <v/>
      </c>
      <c r="U107" s="70">
        <f>IF($S107="","",IF(ISNUMBER($H107),$H107,0))</f>
        <v/>
      </c>
      <c r="V107" s="70">
        <f>IF($S107="","",IF(ISNUMBER($I107),$I107,$U107))</f>
        <v/>
      </c>
      <c r="W107" s="70">
        <f>IF($S107="","",IF(ISNUMBER($J107),$J107,$V107))</f>
        <v/>
      </c>
      <c r="X107" s="70">
        <f>IF($S107="","",IF(ISNUMBER($K107),$K107,$W107))</f>
        <v/>
      </c>
      <c r="Y107" s="70">
        <f>IF($S107="","",IF(N($T107)&gt;0,AVERAGEIFS($U$5:$U$1000,$R$5:$R$1000,ROW(),$S$5:$S$1000,"Sub"),$U107))</f>
        <v/>
      </c>
      <c r="Z107" s="70">
        <f>IF($S107="","",IF(N($T107)&gt;0,AVERAGEIFS($V$5:$V$1000,$R$5:$R$1000,ROW(),$S$5:$S$1000,"Sub"),$V107))</f>
        <v/>
      </c>
      <c r="AA107" s="70">
        <f>IF($S107="","",IF(N($T107)&gt;0,AVERAGEIFS($W$5:$W$1000,$R$5:$R$1000,ROW(),$S$5:$S$1000,"Sub"),$W107))</f>
        <v/>
      </c>
      <c r="AB107" s="70">
        <f>IF($S107="","",IF(N($T107)&gt;0,AVERAGEIFS($X$5:$X$1000,$R$5:$R$1000,ROW(),$S$5:$S$1000,"Sub"),$X107))</f>
        <v/>
      </c>
    </row>
    <row r="108">
      <c r="A108" s="61">
        <f>IF(NOT((COUNTA($B108:$K108)+COUNTA($N108))&gt;0),"",IF($S108="Macro",COUNTIFS($S$5:$S108,"Macro",$P$5:$P108,$P108),IF(N($R108)=0,"?",COUNTIFS(INDEX($S$5:$S$1000,1):INDEX($S$5:$S$1000,$R108-4),"Macro",INDEX($P$5:$P$1000,1):INDEX($P$5:$P$1000,$R108-4),INDEX($P$5:$P$1000,$R108-4))&amp;"."&amp;COUNTIFS($R$5:$R108,$R108,$S$5:$S108,"Sub"))))</f>
        <v/>
      </c>
      <c r="B108" s="62" t="n"/>
      <c r="C108" s="63" t="n"/>
      <c r="D108" s="62" t="n"/>
      <c r="E108" s="64" t="n"/>
      <c r="F108" s="64" t="n"/>
      <c r="G108" s="65" t="n"/>
      <c r="H108" s="66" t="n"/>
      <c r="I108" s="66" t="n"/>
      <c r="J108" s="66" t="n"/>
      <c r="K108" s="66" t="n"/>
      <c r="L108" s="67">
        <f>IF(NOT((COUNTA($B108:$K108)+COUNTA($N108))&gt;0),"",IF(N($T108)&gt;0,$AB108,IFERROR(LOOKUP(2,1/(H108:K108&lt;&gt;""),H108:K108),0)))</f>
        <v/>
      </c>
      <c r="M108" s="61">
        <f>IF(L108="","",IF(L108&gt;=1,"Completado",IF(L108&gt;0,"En curso","Pendiente")))</f>
        <v/>
      </c>
      <c r="N108" s="62" t="n"/>
      <c r="O108" s="68">
        <f>IF(NOT((COUNTA($B108:$K108)+COUNTA($N108))&gt;0),"",IF((IF(AND($S108="Macro",$B108=""),"Macroactividad vacía"&amp;" · ","")&amp;IF(AND($B108&lt;&gt;"",$C108&lt;&gt;""),"Escriba la subactividad en otra fila, debajo de su macroactividad"&amp;" · ","")&amp;IF(AND($S108="Sub",N($R108)=0),"Subactividad sin macroactividad arriba"&amp;" · ","")&amp;IF($D108="","Sin responsable"&amp;" · ","")&amp;IF($E108="","Sin fecha de inicio"&amp;" · ","")&amp;IF($F108="","Sin fecha límite"&amp;" · ","")&amp;IF(OR(AND($E108&lt;&gt;"",NOT(ISNUMBER($E108))),AND($F108&lt;&gt;"",NOT(ISNUMBER($F108)))),"Fecha no válida"&amp;" · ","")&amp;IF(AND(ISNUMBER($E108),ISNUMBER($F108),$E108&gt;$F108),"Inicio posterior a fecha límite"&amp;" · ","")&amp;IF(AND($S108="Macro",$G108=""),"Peso vacío"&amp;" · ","")&amp;IF(AND($S108="Macro",$G108&lt;&gt;"",OR(NOT(ISNUMBER($G108)),$G108&lt;=0,$G108&gt;1)),"Peso fuera de rango"&amp;" · ","")&amp;IF(AND($S108="Sub",$G108&lt;&gt;""),"Las subactividades no llevan peso"&amp;" · ","")&amp;IF(AND($S108="Macro",ABS(SUMIFS($G$5:$G$1000,$P$5:$P$1000,$P108,$S$5:$S$1000,"Macro")-1)&gt;0.0001),"Pesos del mes suman "&amp;TEXT(SUMIFS($G$5:$G$1000,$P$5:$P$1000,$P108,$S$5:$S$1000,"Macro"),"0%")&amp;" · ","")&amp;IF(AND(N($T108)&gt;0,COUNT($H108:$K108)&gt;0),"Con subactividades: deje vacías las semanas (se calculan solas)"&amp;" · ","")&amp;IF((COUNTIF($H108:$K108,"&gt;1")+COUNTIF($H108:$K108,"&lt;0")+COUNTA($H108:$K108)-COUNT($H108:$K108))&gt;0,"Avance fuera de rango 0-100%"&amp;" · ","")&amp;IF(OR(AND($I108&lt;&gt;"",$I108&lt;$H108),AND($J108&lt;&gt;"",$J108&lt;MAX($H108:$I108)),AND($K108&lt;&gt;"",$K108&lt;MAX($H108:$J108))),"Avance semanal decreciente"&amp;" · ","")&amp;IF(AND(ISNUMBER($F108),$F108&lt;FechaRef,N($L108)&lt;1),"Vencida"&amp;" · ","")&amp;IF(AND(ObsObligatoria="Sí",ISNUMBER($F108),$F108&lt;FechaRef,N($L108)&lt;1,$N108=""),"Vencida sin observación"&amp;" · ",""))="","✔ OK","⚠ "&amp;LEFT(IF(AND($S108="Macro",$B108=""),"Macroactividad vacía"&amp;" · ","")&amp;IF(AND($B108&lt;&gt;"",$C108&lt;&gt;""),"Escriba la subactividad en otra fila, debajo de su macroactividad"&amp;" · ","")&amp;IF(AND($S108="Sub",N($R108)=0),"Subactividad sin macroactividad arriba"&amp;" · ","")&amp;IF($D108="","Sin responsable"&amp;" · ","")&amp;IF($E108="","Sin fecha de inicio"&amp;" · ","")&amp;IF($F108="","Sin fecha límite"&amp;" · ","")&amp;IF(OR(AND($E108&lt;&gt;"",NOT(ISNUMBER($E108))),AND($F108&lt;&gt;"",NOT(ISNUMBER($F108)))),"Fecha no válida"&amp;" · ","")&amp;IF(AND(ISNUMBER($E108),ISNUMBER($F108),$E108&gt;$F108),"Inicio posterior a fecha límite"&amp;" · ","")&amp;IF(AND($S108="Macro",$G108=""),"Peso vacío"&amp;" · ","")&amp;IF(AND($S108="Macro",$G108&lt;&gt;"",OR(NOT(ISNUMBER($G108)),$G108&lt;=0,$G108&gt;1)),"Peso fuera de rango"&amp;" · ","")&amp;IF(AND($S108="Sub",$G108&lt;&gt;""),"Las subactividades no llevan peso"&amp;" · ","")&amp;IF(AND($S108="Macro",ABS(SUMIFS($G$5:$G$1000,$P$5:$P$1000,$P108,$S$5:$S$1000,"Macro")-1)&gt;0.0001),"Pesos del mes suman "&amp;TEXT(SUMIFS($G$5:$G$1000,$P$5:$P$1000,$P108,$S$5:$S$1000,"Macro"),"0%")&amp;" · ","")&amp;IF(AND(N($T108)&gt;0,COUNT($H108:$K108)&gt;0),"Con subactividades: deje vacías las semanas (se calculan solas)"&amp;" · ","")&amp;IF((COUNTIF($H108:$K108,"&gt;1")+COUNTIF($H108:$K108,"&lt;0")+COUNTA($H108:$K108)-COUNT($H108:$K108))&gt;0,"Avance fuera de rango 0-100%"&amp;" · ","")&amp;IF(OR(AND($I108&lt;&gt;"",$I108&lt;$H108),AND($J108&lt;&gt;"",$J108&lt;MAX($H108:$I108)),AND($K108&lt;&gt;"",$K108&lt;MAX($H108:$J108))),"Avance semanal decreciente"&amp;" · ","")&amp;IF(AND(ISNUMBER($F108),$F108&lt;FechaRef,N($L108)&lt;1),"Vencida"&amp;" · ","")&amp;IF(AND(ObsObligatoria="Sí",ISNUMBER($F108),$F108&lt;FechaRef,N($L108)&lt;1,$N108=""),"Vencida sin observación"&amp;" · ",""),LEN(IF(AND($S108="Macro",$B108=""),"Macroactividad vacía"&amp;" · ","")&amp;IF(AND($B108&lt;&gt;"",$C108&lt;&gt;""),"Escriba la subactividad en otra fila, debajo de su macroactividad"&amp;" · ","")&amp;IF(AND($S108="Sub",N($R108)=0),"Subactividad sin macroactividad arriba"&amp;" · ","")&amp;IF($D108="","Sin responsable"&amp;" · ","")&amp;IF($E108="","Sin fecha de inicio"&amp;" · ","")&amp;IF($F108="","Sin fecha límite"&amp;" · ","")&amp;IF(OR(AND($E108&lt;&gt;"",NOT(ISNUMBER($E108))),AND($F108&lt;&gt;"",NOT(ISNUMBER($F108)))),"Fecha no válida"&amp;" · ","")&amp;IF(AND(ISNUMBER($E108),ISNUMBER($F108),$E108&gt;$F108),"Inicio posterior a fecha límite"&amp;" · ","")&amp;IF(AND($S108="Macro",$G108=""),"Peso vacío"&amp;" · ","")&amp;IF(AND($S108="Macro",$G108&lt;&gt;"",OR(NOT(ISNUMBER($G108)),$G108&lt;=0,$G108&gt;1)),"Peso fuera de rango"&amp;" · ","")&amp;IF(AND($S108="Sub",$G108&lt;&gt;""),"Las subactividades no llevan peso"&amp;" · ","")&amp;IF(AND($S108="Macro",ABS(SUMIFS($G$5:$G$1000,$P$5:$P$1000,$P108,$S$5:$S$1000,"Macro")-1)&gt;0.0001),"Pesos del mes suman "&amp;TEXT(SUMIFS($G$5:$G$1000,$P$5:$P$1000,$P108,$S$5:$S$1000,"Macro"),"0%")&amp;" · ","")&amp;IF(AND(N($T108)&gt;0,COUNT($H108:$K108)&gt;0),"Con subactividades: deje vacías las semanas (se calculan solas)"&amp;" · ","")&amp;IF((COUNTIF($H108:$K108,"&gt;1")+COUNTIF($H108:$K108,"&lt;0")+COUNTA($H108:$K108)-COUNT($H108:$K108))&gt;0,"Avance fuera de rango 0-100%"&amp;" · ","")&amp;IF(OR(AND($I108&lt;&gt;"",$I108&lt;$H108),AND($J108&lt;&gt;"",$J108&lt;MAX($H108:$I108)),AND($K108&lt;&gt;"",$K108&lt;MAX($H108:$J108))),"Avance semanal decreciente"&amp;" · ","")&amp;IF(AND(ISNUMBER($F108),$F108&lt;FechaRef,N($L108)&lt;1),"Vencida"&amp;" · ","")&amp;IF(AND(ObsObligatoria="Sí",ISNUMBER($F108),$F108&lt;FechaRef,N($L108)&lt;1,$N108=""),"Vencida sin observación"&amp;" · ",""))-3)))</f>
        <v/>
      </c>
      <c r="P108" s="69">
        <f>IF(NOT((COUNTA($B108:$K108)+COUNTA($N108))&gt;0),"",IF(AND($S108="Sub",N($R108)&gt;0),IF(ISNUMBER(INDEX($E$5:$E$1000,$R108-4)),DATE(YEAR(INDEX($E$5:$E$1000,$R108-4)),MONTH(INDEX($E$5:$E$1000,$R108-4)),1),IF(ISNUMBER(INDEX($F$5:$F$1000,$R108-4)),DATE(YEAR(INDEX($F$5:$F$1000,$R108-4)),MONTH(INDEX($F$5:$F$1000,$R108-4)),1),MesCiclo)),IF(ISNUMBER($E108),DATE(YEAR($E108),MONTH($E108),1),IF(ISNUMBER($F108),DATE(YEAR($F108),MONTH($F108),1),MesCiclo))))</f>
        <v/>
      </c>
      <c r="Q108" s="70">
        <f>IF(OR($P108="",$P108&lt;&gt;MesCiclo),"",COUNTIF($P$5:$P108,MesCiclo))</f>
        <v/>
      </c>
      <c r="R108" s="70">
        <f>IF($S108="","",IF($S108="Macro",ROW(),IFERROR(LOOKUP(2,1/($S$5:$S108="Macro"),ROW($S$5:$S108)),0)))</f>
        <v/>
      </c>
      <c r="S108" s="70">
        <f>IF(NOT((COUNTA($B108:$K108)+COUNTA($N108))&gt;0),"",IF($B108&lt;&gt;"","Macro",IF($C108&lt;&gt;"","Sub","Macro")))</f>
        <v/>
      </c>
      <c r="T108" s="70">
        <f>IF($S108="Macro",COUNTIFS($R$5:$R$1000,ROW(),$S$5:$S$1000,"Sub"),"")</f>
        <v/>
      </c>
      <c r="U108" s="70">
        <f>IF($S108="","",IF(ISNUMBER($H108),$H108,0))</f>
        <v/>
      </c>
      <c r="V108" s="70">
        <f>IF($S108="","",IF(ISNUMBER($I108),$I108,$U108))</f>
        <v/>
      </c>
      <c r="W108" s="70">
        <f>IF($S108="","",IF(ISNUMBER($J108),$J108,$V108))</f>
        <v/>
      </c>
      <c r="X108" s="70">
        <f>IF($S108="","",IF(ISNUMBER($K108),$K108,$W108))</f>
        <v/>
      </c>
      <c r="Y108" s="70">
        <f>IF($S108="","",IF(N($T108)&gt;0,AVERAGEIFS($U$5:$U$1000,$R$5:$R$1000,ROW(),$S$5:$S$1000,"Sub"),$U108))</f>
        <v/>
      </c>
      <c r="Z108" s="70">
        <f>IF($S108="","",IF(N($T108)&gt;0,AVERAGEIFS($V$5:$V$1000,$R$5:$R$1000,ROW(),$S$5:$S$1000,"Sub"),$V108))</f>
        <v/>
      </c>
      <c r="AA108" s="70">
        <f>IF($S108="","",IF(N($T108)&gt;0,AVERAGEIFS($W$5:$W$1000,$R$5:$R$1000,ROW(),$S$5:$S$1000,"Sub"),$W108))</f>
        <v/>
      </c>
      <c r="AB108" s="70">
        <f>IF($S108="","",IF(N($T108)&gt;0,AVERAGEIFS($X$5:$X$1000,$R$5:$R$1000,ROW(),$S$5:$S$1000,"Sub"),$X108))</f>
        <v/>
      </c>
    </row>
    <row r="109">
      <c r="A109" s="61">
        <f>IF(NOT((COUNTA($B109:$K109)+COUNTA($N109))&gt;0),"",IF($S109="Macro",COUNTIFS($S$5:$S109,"Macro",$P$5:$P109,$P109),IF(N($R109)=0,"?",COUNTIFS(INDEX($S$5:$S$1000,1):INDEX($S$5:$S$1000,$R109-4),"Macro",INDEX($P$5:$P$1000,1):INDEX($P$5:$P$1000,$R109-4),INDEX($P$5:$P$1000,$R109-4))&amp;"."&amp;COUNTIFS($R$5:$R109,$R109,$S$5:$S109,"Sub"))))</f>
        <v/>
      </c>
      <c r="B109" s="62" t="n"/>
      <c r="C109" s="63" t="n"/>
      <c r="D109" s="62" t="n"/>
      <c r="E109" s="64" t="n"/>
      <c r="F109" s="64" t="n"/>
      <c r="G109" s="65" t="n"/>
      <c r="H109" s="66" t="n"/>
      <c r="I109" s="66" t="n"/>
      <c r="J109" s="66" t="n"/>
      <c r="K109" s="66" t="n"/>
      <c r="L109" s="67">
        <f>IF(NOT((COUNTA($B109:$K109)+COUNTA($N109))&gt;0),"",IF(N($T109)&gt;0,$AB109,IFERROR(LOOKUP(2,1/(H109:K109&lt;&gt;""),H109:K109),0)))</f>
        <v/>
      </c>
      <c r="M109" s="61">
        <f>IF(L109="","",IF(L109&gt;=1,"Completado",IF(L109&gt;0,"En curso","Pendiente")))</f>
        <v/>
      </c>
      <c r="N109" s="62" t="n"/>
      <c r="O109" s="68">
        <f>IF(NOT((COUNTA($B109:$K109)+COUNTA($N109))&gt;0),"",IF((IF(AND($S109="Macro",$B109=""),"Macroactividad vacía"&amp;" · ","")&amp;IF(AND($B109&lt;&gt;"",$C109&lt;&gt;""),"Escriba la subactividad en otra fila, debajo de su macroactividad"&amp;" · ","")&amp;IF(AND($S109="Sub",N($R109)=0),"Subactividad sin macroactividad arriba"&amp;" · ","")&amp;IF($D109="","Sin responsable"&amp;" · ","")&amp;IF($E109="","Sin fecha de inicio"&amp;" · ","")&amp;IF($F109="","Sin fecha límite"&amp;" · ","")&amp;IF(OR(AND($E109&lt;&gt;"",NOT(ISNUMBER($E109))),AND($F109&lt;&gt;"",NOT(ISNUMBER($F109)))),"Fecha no válida"&amp;" · ","")&amp;IF(AND(ISNUMBER($E109),ISNUMBER($F109),$E109&gt;$F109),"Inicio posterior a fecha límite"&amp;" · ","")&amp;IF(AND($S109="Macro",$G109=""),"Peso vacío"&amp;" · ","")&amp;IF(AND($S109="Macro",$G109&lt;&gt;"",OR(NOT(ISNUMBER($G109)),$G109&lt;=0,$G109&gt;1)),"Peso fuera de rango"&amp;" · ","")&amp;IF(AND($S109="Sub",$G109&lt;&gt;""),"Las subactividades no llevan peso"&amp;" · ","")&amp;IF(AND($S109="Macro",ABS(SUMIFS($G$5:$G$1000,$P$5:$P$1000,$P109,$S$5:$S$1000,"Macro")-1)&gt;0.0001),"Pesos del mes suman "&amp;TEXT(SUMIFS($G$5:$G$1000,$P$5:$P$1000,$P109,$S$5:$S$1000,"Macro"),"0%")&amp;" · ","")&amp;IF(AND(N($T109)&gt;0,COUNT($H109:$K109)&gt;0),"Con subactividades: deje vacías las semanas (se calculan solas)"&amp;" · ","")&amp;IF((COUNTIF($H109:$K109,"&gt;1")+COUNTIF($H109:$K109,"&lt;0")+COUNTA($H109:$K109)-COUNT($H109:$K109))&gt;0,"Avance fuera de rango 0-100%"&amp;" · ","")&amp;IF(OR(AND($I109&lt;&gt;"",$I109&lt;$H109),AND($J109&lt;&gt;"",$J109&lt;MAX($H109:$I109)),AND($K109&lt;&gt;"",$K109&lt;MAX($H109:$J109))),"Avance semanal decreciente"&amp;" · ","")&amp;IF(AND(ISNUMBER($F109),$F109&lt;FechaRef,N($L109)&lt;1),"Vencida"&amp;" · ","")&amp;IF(AND(ObsObligatoria="Sí",ISNUMBER($F109),$F109&lt;FechaRef,N($L109)&lt;1,$N109=""),"Vencida sin observación"&amp;" · ",""))="","✔ OK","⚠ "&amp;LEFT(IF(AND($S109="Macro",$B109=""),"Macroactividad vacía"&amp;" · ","")&amp;IF(AND($B109&lt;&gt;"",$C109&lt;&gt;""),"Escriba la subactividad en otra fila, debajo de su macroactividad"&amp;" · ","")&amp;IF(AND($S109="Sub",N($R109)=0),"Subactividad sin macroactividad arriba"&amp;" · ","")&amp;IF($D109="","Sin responsable"&amp;" · ","")&amp;IF($E109="","Sin fecha de inicio"&amp;" · ","")&amp;IF($F109="","Sin fecha límite"&amp;" · ","")&amp;IF(OR(AND($E109&lt;&gt;"",NOT(ISNUMBER($E109))),AND($F109&lt;&gt;"",NOT(ISNUMBER($F109)))),"Fecha no válida"&amp;" · ","")&amp;IF(AND(ISNUMBER($E109),ISNUMBER($F109),$E109&gt;$F109),"Inicio posterior a fecha límite"&amp;" · ","")&amp;IF(AND($S109="Macro",$G109=""),"Peso vacío"&amp;" · ","")&amp;IF(AND($S109="Macro",$G109&lt;&gt;"",OR(NOT(ISNUMBER($G109)),$G109&lt;=0,$G109&gt;1)),"Peso fuera de rango"&amp;" · ","")&amp;IF(AND($S109="Sub",$G109&lt;&gt;""),"Las subactividades no llevan peso"&amp;" · ","")&amp;IF(AND($S109="Macro",ABS(SUMIFS($G$5:$G$1000,$P$5:$P$1000,$P109,$S$5:$S$1000,"Macro")-1)&gt;0.0001),"Pesos del mes suman "&amp;TEXT(SUMIFS($G$5:$G$1000,$P$5:$P$1000,$P109,$S$5:$S$1000,"Macro"),"0%")&amp;" · ","")&amp;IF(AND(N($T109)&gt;0,COUNT($H109:$K109)&gt;0),"Con subactividades: deje vacías las semanas (se calculan solas)"&amp;" · ","")&amp;IF((COUNTIF($H109:$K109,"&gt;1")+COUNTIF($H109:$K109,"&lt;0")+COUNTA($H109:$K109)-COUNT($H109:$K109))&gt;0,"Avance fuera de rango 0-100%"&amp;" · ","")&amp;IF(OR(AND($I109&lt;&gt;"",$I109&lt;$H109),AND($J109&lt;&gt;"",$J109&lt;MAX($H109:$I109)),AND($K109&lt;&gt;"",$K109&lt;MAX($H109:$J109))),"Avance semanal decreciente"&amp;" · ","")&amp;IF(AND(ISNUMBER($F109),$F109&lt;FechaRef,N($L109)&lt;1),"Vencida"&amp;" · ","")&amp;IF(AND(ObsObligatoria="Sí",ISNUMBER($F109),$F109&lt;FechaRef,N($L109)&lt;1,$N109=""),"Vencida sin observación"&amp;" · ",""),LEN(IF(AND($S109="Macro",$B109=""),"Macroactividad vacía"&amp;" · ","")&amp;IF(AND($B109&lt;&gt;"",$C109&lt;&gt;""),"Escriba la subactividad en otra fila, debajo de su macroactividad"&amp;" · ","")&amp;IF(AND($S109="Sub",N($R109)=0),"Subactividad sin macroactividad arriba"&amp;" · ","")&amp;IF($D109="","Sin responsable"&amp;" · ","")&amp;IF($E109="","Sin fecha de inicio"&amp;" · ","")&amp;IF($F109="","Sin fecha límite"&amp;" · ","")&amp;IF(OR(AND($E109&lt;&gt;"",NOT(ISNUMBER($E109))),AND($F109&lt;&gt;"",NOT(ISNUMBER($F109)))),"Fecha no válida"&amp;" · ","")&amp;IF(AND(ISNUMBER($E109),ISNUMBER($F109),$E109&gt;$F109),"Inicio posterior a fecha límite"&amp;" · ","")&amp;IF(AND($S109="Macro",$G109=""),"Peso vacío"&amp;" · ","")&amp;IF(AND($S109="Macro",$G109&lt;&gt;"",OR(NOT(ISNUMBER($G109)),$G109&lt;=0,$G109&gt;1)),"Peso fuera de rango"&amp;" · ","")&amp;IF(AND($S109="Sub",$G109&lt;&gt;""),"Las subactividades no llevan peso"&amp;" · ","")&amp;IF(AND($S109="Macro",ABS(SUMIFS($G$5:$G$1000,$P$5:$P$1000,$P109,$S$5:$S$1000,"Macro")-1)&gt;0.0001),"Pesos del mes suman "&amp;TEXT(SUMIFS($G$5:$G$1000,$P$5:$P$1000,$P109,$S$5:$S$1000,"Macro"),"0%")&amp;" · ","")&amp;IF(AND(N($T109)&gt;0,COUNT($H109:$K109)&gt;0),"Con subactividades: deje vacías las semanas (se calculan solas)"&amp;" · ","")&amp;IF((COUNTIF($H109:$K109,"&gt;1")+COUNTIF($H109:$K109,"&lt;0")+COUNTA($H109:$K109)-COUNT($H109:$K109))&gt;0,"Avance fuera de rango 0-100%"&amp;" · ","")&amp;IF(OR(AND($I109&lt;&gt;"",$I109&lt;$H109),AND($J109&lt;&gt;"",$J109&lt;MAX($H109:$I109)),AND($K109&lt;&gt;"",$K109&lt;MAX($H109:$J109))),"Avance semanal decreciente"&amp;" · ","")&amp;IF(AND(ISNUMBER($F109),$F109&lt;FechaRef,N($L109)&lt;1),"Vencida"&amp;" · ","")&amp;IF(AND(ObsObligatoria="Sí",ISNUMBER($F109),$F109&lt;FechaRef,N($L109)&lt;1,$N109=""),"Vencida sin observación"&amp;" · ",""))-3)))</f>
        <v/>
      </c>
      <c r="P109" s="69">
        <f>IF(NOT((COUNTA($B109:$K109)+COUNTA($N109))&gt;0),"",IF(AND($S109="Sub",N($R109)&gt;0),IF(ISNUMBER(INDEX($E$5:$E$1000,$R109-4)),DATE(YEAR(INDEX($E$5:$E$1000,$R109-4)),MONTH(INDEX($E$5:$E$1000,$R109-4)),1),IF(ISNUMBER(INDEX($F$5:$F$1000,$R109-4)),DATE(YEAR(INDEX($F$5:$F$1000,$R109-4)),MONTH(INDEX($F$5:$F$1000,$R109-4)),1),MesCiclo)),IF(ISNUMBER($E109),DATE(YEAR($E109),MONTH($E109),1),IF(ISNUMBER($F109),DATE(YEAR($F109),MONTH($F109),1),MesCiclo))))</f>
        <v/>
      </c>
      <c r="Q109" s="70">
        <f>IF(OR($P109="",$P109&lt;&gt;MesCiclo),"",COUNTIF($P$5:$P109,MesCiclo))</f>
        <v/>
      </c>
      <c r="R109" s="70">
        <f>IF($S109="","",IF($S109="Macro",ROW(),IFERROR(LOOKUP(2,1/($S$5:$S109="Macro"),ROW($S$5:$S109)),0)))</f>
        <v/>
      </c>
      <c r="S109" s="70">
        <f>IF(NOT((COUNTA($B109:$K109)+COUNTA($N109))&gt;0),"",IF($B109&lt;&gt;"","Macro",IF($C109&lt;&gt;"","Sub","Macro")))</f>
        <v/>
      </c>
      <c r="T109" s="70">
        <f>IF($S109="Macro",COUNTIFS($R$5:$R$1000,ROW(),$S$5:$S$1000,"Sub"),"")</f>
        <v/>
      </c>
      <c r="U109" s="70">
        <f>IF($S109="","",IF(ISNUMBER($H109),$H109,0))</f>
        <v/>
      </c>
      <c r="V109" s="70">
        <f>IF($S109="","",IF(ISNUMBER($I109),$I109,$U109))</f>
        <v/>
      </c>
      <c r="W109" s="70">
        <f>IF($S109="","",IF(ISNUMBER($J109),$J109,$V109))</f>
        <v/>
      </c>
      <c r="X109" s="70">
        <f>IF($S109="","",IF(ISNUMBER($K109),$K109,$W109))</f>
        <v/>
      </c>
      <c r="Y109" s="70">
        <f>IF($S109="","",IF(N($T109)&gt;0,AVERAGEIFS($U$5:$U$1000,$R$5:$R$1000,ROW(),$S$5:$S$1000,"Sub"),$U109))</f>
        <v/>
      </c>
      <c r="Z109" s="70">
        <f>IF($S109="","",IF(N($T109)&gt;0,AVERAGEIFS($V$5:$V$1000,$R$5:$R$1000,ROW(),$S$5:$S$1000,"Sub"),$V109))</f>
        <v/>
      </c>
      <c r="AA109" s="70">
        <f>IF($S109="","",IF(N($T109)&gt;0,AVERAGEIFS($W$5:$W$1000,$R$5:$R$1000,ROW(),$S$5:$S$1000,"Sub"),$W109))</f>
        <v/>
      </c>
      <c r="AB109" s="70">
        <f>IF($S109="","",IF(N($T109)&gt;0,AVERAGEIFS($X$5:$X$1000,$R$5:$R$1000,ROW(),$S$5:$S$1000,"Sub"),$X109))</f>
        <v/>
      </c>
    </row>
    <row r="110">
      <c r="A110" s="61">
        <f>IF(NOT((COUNTA($B110:$K110)+COUNTA($N110))&gt;0),"",IF($S110="Macro",COUNTIFS($S$5:$S110,"Macro",$P$5:$P110,$P110),IF(N($R110)=0,"?",COUNTIFS(INDEX($S$5:$S$1000,1):INDEX($S$5:$S$1000,$R110-4),"Macro",INDEX($P$5:$P$1000,1):INDEX($P$5:$P$1000,$R110-4),INDEX($P$5:$P$1000,$R110-4))&amp;"."&amp;COUNTIFS($R$5:$R110,$R110,$S$5:$S110,"Sub"))))</f>
        <v/>
      </c>
      <c r="B110" s="62" t="n"/>
      <c r="C110" s="63" t="n"/>
      <c r="D110" s="62" t="n"/>
      <c r="E110" s="64" t="n"/>
      <c r="F110" s="64" t="n"/>
      <c r="G110" s="65" t="n"/>
      <c r="H110" s="66" t="n"/>
      <c r="I110" s="66" t="n"/>
      <c r="J110" s="66" t="n"/>
      <c r="K110" s="66" t="n"/>
      <c r="L110" s="67">
        <f>IF(NOT((COUNTA($B110:$K110)+COUNTA($N110))&gt;0),"",IF(N($T110)&gt;0,$AB110,IFERROR(LOOKUP(2,1/(H110:K110&lt;&gt;""),H110:K110),0)))</f>
        <v/>
      </c>
      <c r="M110" s="61">
        <f>IF(L110="","",IF(L110&gt;=1,"Completado",IF(L110&gt;0,"En curso","Pendiente")))</f>
        <v/>
      </c>
      <c r="N110" s="62" t="n"/>
      <c r="O110" s="68">
        <f>IF(NOT((COUNTA($B110:$K110)+COUNTA($N110))&gt;0),"",IF((IF(AND($S110="Macro",$B110=""),"Macroactividad vacía"&amp;" · ","")&amp;IF(AND($B110&lt;&gt;"",$C110&lt;&gt;""),"Escriba la subactividad en otra fila, debajo de su macroactividad"&amp;" · ","")&amp;IF(AND($S110="Sub",N($R110)=0),"Subactividad sin macroactividad arriba"&amp;" · ","")&amp;IF($D110="","Sin responsable"&amp;" · ","")&amp;IF($E110="","Sin fecha de inicio"&amp;" · ","")&amp;IF($F110="","Sin fecha límite"&amp;" · ","")&amp;IF(OR(AND($E110&lt;&gt;"",NOT(ISNUMBER($E110))),AND($F110&lt;&gt;"",NOT(ISNUMBER($F110)))),"Fecha no válida"&amp;" · ","")&amp;IF(AND(ISNUMBER($E110),ISNUMBER($F110),$E110&gt;$F110),"Inicio posterior a fecha límite"&amp;" · ","")&amp;IF(AND($S110="Macro",$G110=""),"Peso vacío"&amp;" · ","")&amp;IF(AND($S110="Macro",$G110&lt;&gt;"",OR(NOT(ISNUMBER($G110)),$G110&lt;=0,$G110&gt;1)),"Peso fuera de rango"&amp;" · ","")&amp;IF(AND($S110="Sub",$G110&lt;&gt;""),"Las subactividades no llevan peso"&amp;" · ","")&amp;IF(AND($S110="Macro",ABS(SUMIFS($G$5:$G$1000,$P$5:$P$1000,$P110,$S$5:$S$1000,"Macro")-1)&gt;0.0001),"Pesos del mes suman "&amp;TEXT(SUMIFS($G$5:$G$1000,$P$5:$P$1000,$P110,$S$5:$S$1000,"Macro"),"0%")&amp;" · ","")&amp;IF(AND(N($T110)&gt;0,COUNT($H110:$K110)&gt;0),"Con subactividades: deje vacías las semanas (se calculan solas)"&amp;" · ","")&amp;IF((COUNTIF($H110:$K110,"&gt;1")+COUNTIF($H110:$K110,"&lt;0")+COUNTA($H110:$K110)-COUNT($H110:$K110))&gt;0,"Avance fuera de rango 0-100%"&amp;" · ","")&amp;IF(OR(AND($I110&lt;&gt;"",$I110&lt;$H110),AND($J110&lt;&gt;"",$J110&lt;MAX($H110:$I110)),AND($K110&lt;&gt;"",$K110&lt;MAX($H110:$J110))),"Avance semanal decreciente"&amp;" · ","")&amp;IF(AND(ISNUMBER($F110),$F110&lt;FechaRef,N($L110)&lt;1),"Vencida"&amp;" · ","")&amp;IF(AND(ObsObligatoria="Sí",ISNUMBER($F110),$F110&lt;FechaRef,N($L110)&lt;1,$N110=""),"Vencida sin observación"&amp;" · ",""))="","✔ OK","⚠ "&amp;LEFT(IF(AND($S110="Macro",$B110=""),"Macroactividad vacía"&amp;" · ","")&amp;IF(AND($B110&lt;&gt;"",$C110&lt;&gt;""),"Escriba la subactividad en otra fila, debajo de su macroactividad"&amp;" · ","")&amp;IF(AND($S110="Sub",N($R110)=0),"Subactividad sin macroactividad arriba"&amp;" · ","")&amp;IF($D110="","Sin responsable"&amp;" · ","")&amp;IF($E110="","Sin fecha de inicio"&amp;" · ","")&amp;IF($F110="","Sin fecha límite"&amp;" · ","")&amp;IF(OR(AND($E110&lt;&gt;"",NOT(ISNUMBER($E110))),AND($F110&lt;&gt;"",NOT(ISNUMBER($F110)))),"Fecha no válida"&amp;" · ","")&amp;IF(AND(ISNUMBER($E110),ISNUMBER($F110),$E110&gt;$F110),"Inicio posterior a fecha límite"&amp;" · ","")&amp;IF(AND($S110="Macro",$G110=""),"Peso vacío"&amp;" · ","")&amp;IF(AND($S110="Macro",$G110&lt;&gt;"",OR(NOT(ISNUMBER($G110)),$G110&lt;=0,$G110&gt;1)),"Peso fuera de rango"&amp;" · ","")&amp;IF(AND($S110="Sub",$G110&lt;&gt;""),"Las subactividades no llevan peso"&amp;" · ","")&amp;IF(AND($S110="Macro",ABS(SUMIFS($G$5:$G$1000,$P$5:$P$1000,$P110,$S$5:$S$1000,"Macro")-1)&gt;0.0001),"Pesos del mes suman "&amp;TEXT(SUMIFS($G$5:$G$1000,$P$5:$P$1000,$P110,$S$5:$S$1000,"Macro"),"0%")&amp;" · ","")&amp;IF(AND(N($T110)&gt;0,COUNT($H110:$K110)&gt;0),"Con subactividades: deje vacías las semanas (se calculan solas)"&amp;" · ","")&amp;IF((COUNTIF($H110:$K110,"&gt;1")+COUNTIF($H110:$K110,"&lt;0")+COUNTA($H110:$K110)-COUNT($H110:$K110))&gt;0,"Avance fuera de rango 0-100%"&amp;" · ","")&amp;IF(OR(AND($I110&lt;&gt;"",$I110&lt;$H110),AND($J110&lt;&gt;"",$J110&lt;MAX($H110:$I110)),AND($K110&lt;&gt;"",$K110&lt;MAX($H110:$J110))),"Avance semanal decreciente"&amp;" · ","")&amp;IF(AND(ISNUMBER($F110),$F110&lt;FechaRef,N($L110)&lt;1),"Vencida"&amp;" · ","")&amp;IF(AND(ObsObligatoria="Sí",ISNUMBER($F110),$F110&lt;FechaRef,N($L110)&lt;1,$N110=""),"Vencida sin observación"&amp;" · ",""),LEN(IF(AND($S110="Macro",$B110=""),"Macroactividad vacía"&amp;" · ","")&amp;IF(AND($B110&lt;&gt;"",$C110&lt;&gt;""),"Escriba la subactividad en otra fila, debajo de su macroactividad"&amp;" · ","")&amp;IF(AND($S110="Sub",N($R110)=0),"Subactividad sin macroactividad arriba"&amp;" · ","")&amp;IF($D110="","Sin responsable"&amp;" · ","")&amp;IF($E110="","Sin fecha de inicio"&amp;" · ","")&amp;IF($F110="","Sin fecha límite"&amp;" · ","")&amp;IF(OR(AND($E110&lt;&gt;"",NOT(ISNUMBER($E110))),AND($F110&lt;&gt;"",NOT(ISNUMBER($F110)))),"Fecha no válida"&amp;" · ","")&amp;IF(AND(ISNUMBER($E110),ISNUMBER($F110),$E110&gt;$F110),"Inicio posterior a fecha límite"&amp;" · ","")&amp;IF(AND($S110="Macro",$G110=""),"Peso vacío"&amp;" · ","")&amp;IF(AND($S110="Macro",$G110&lt;&gt;"",OR(NOT(ISNUMBER($G110)),$G110&lt;=0,$G110&gt;1)),"Peso fuera de rango"&amp;" · ","")&amp;IF(AND($S110="Sub",$G110&lt;&gt;""),"Las subactividades no llevan peso"&amp;" · ","")&amp;IF(AND($S110="Macro",ABS(SUMIFS($G$5:$G$1000,$P$5:$P$1000,$P110,$S$5:$S$1000,"Macro")-1)&gt;0.0001),"Pesos del mes suman "&amp;TEXT(SUMIFS($G$5:$G$1000,$P$5:$P$1000,$P110,$S$5:$S$1000,"Macro"),"0%")&amp;" · ","")&amp;IF(AND(N($T110)&gt;0,COUNT($H110:$K110)&gt;0),"Con subactividades: deje vacías las semanas (se calculan solas)"&amp;" · ","")&amp;IF((COUNTIF($H110:$K110,"&gt;1")+COUNTIF($H110:$K110,"&lt;0")+COUNTA($H110:$K110)-COUNT($H110:$K110))&gt;0,"Avance fuera de rango 0-100%"&amp;" · ","")&amp;IF(OR(AND($I110&lt;&gt;"",$I110&lt;$H110),AND($J110&lt;&gt;"",$J110&lt;MAX($H110:$I110)),AND($K110&lt;&gt;"",$K110&lt;MAX($H110:$J110))),"Avance semanal decreciente"&amp;" · ","")&amp;IF(AND(ISNUMBER($F110),$F110&lt;FechaRef,N($L110)&lt;1),"Vencida"&amp;" · ","")&amp;IF(AND(ObsObligatoria="Sí",ISNUMBER($F110),$F110&lt;FechaRef,N($L110)&lt;1,$N110=""),"Vencida sin observación"&amp;" · ",""))-3)))</f>
        <v/>
      </c>
      <c r="P110" s="69">
        <f>IF(NOT((COUNTA($B110:$K110)+COUNTA($N110))&gt;0),"",IF(AND($S110="Sub",N($R110)&gt;0),IF(ISNUMBER(INDEX($E$5:$E$1000,$R110-4)),DATE(YEAR(INDEX($E$5:$E$1000,$R110-4)),MONTH(INDEX($E$5:$E$1000,$R110-4)),1),IF(ISNUMBER(INDEX($F$5:$F$1000,$R110-4)),DATE(YEAR(INDEX($F$5:$F$1000,$R110-4)),MONTH(INDEX($F$5:$F$1000,$R110-4)),1),MesCiclo)),IF(ISNUMBER($E110),DATE(YEAR($E110),MONTH($E110),1),IF(ISNUMBER($F110),DATE(YEAR($F110),MONTH($F110),1),MesCiclo))))</f>
        <v/>
      </c>
      <c r="Q110" s="70">
        <f>IF(OR($P110="",$P110&lt;&gt;MesCiclo),"",COUNTIF($P$5:$P110,MesCiclo))</f>
        <v/>
      </c>
      <c r="R110" s="70">
        <f>IF($S110="","",IF($S110="Macro",ROW(),IFERROR(LOOKUP(2,1/($S$5:$S110="Macro"),ROW($S$5:$S110)),0)))</f>
        <v/>
      </c>
      <c r="S110" s="70">
        <f>IF(NOT((COUNTA($B110:$K110)+COUNTA($N110))&gt;0),"",IF($B110&lt;&gt;"","Macro",IF($C110&lt;&gt;"","Sub","Macro")))</f>
        <v/>
      </c>
      <c r="T110" s="70">
        <f>IF($S110="Macro",COUNTIFS($R$5:$R$1000,ROW(),$S$5:$S$1000,"Sub"),"")</f>
        <v/>
      </c>
      <c r="U110" s="70">
        <f>IF($S110="","",IF(ISNUMBER($H110),$H110,0))</f>
        <v/>
      </c>
      <c r="V110" s="70">
        <f>IF($S110="","",IF(ISNUMBER($I110),$I110,$U110))</f>
        <v/>
      </c>
      <c r="W110" s="70">
        <f>IF($S110="","",IF(ISNUMBER($J110),$J110,$V110))</f>
        <v/>
      </c>
      <c r="X110" s="70">
        <f>IF($S110="","",IF(ISNUMBER($K110),$K110,$W110))</f>
        <v/>
      </c>
      <c r="Y110" s="70">
        <f>IF($S110="","",IF(N($T110)&gt;0,AVERAGEIFS($U$5:$U$1000,$R$5:$R$1000,ROW(),$S$5:$S$1000,"Sub"),$U110))</f>
        <v/>
      </c>
      <c r="Z110" s="70">
        <f>IF($S110="","",IF(N($T110)&gt;0,AVERAGEIFS($V$5:$V$1000,$R$5:$R$1000,ROW(),$S$5:$S$1000,"Sub"),$V110))</f>
        <v/>
      </c>
      <c r="AA110" s="70">
        <f>IF($S110="","",IF(N($T110)&gt;0,AVERAGEIFS($W$5:$W$1000,$R$5:$R$1000,ROW(),$S$5:$S$1000,"Sub"),$W110))</f>
        <v/>
      </c>
      <c r="AB110" s="70">
        <f>IF($S110="","",IF(N($T110)&gt;0,AVERAGEIFS($X$5:$X$1000,$R$5:$R$1000,ROW(),$S$5:$S$1000,"Sub"),$X110))</f>
        <v/>
      </c>
    </row>
    <row r="111">
      <c r="A111" s="61">
        <f>IF(NOT((COUNTA($B111:$K111)+COUNTA($N111))&gt;0),"",IF($S111="Macro",COUNTIFS($S$5:$S111,"Macro",$P$5:$P111,$P111),IF(N($R111)=0,"?",COUNTIFS(INDEX($S$5:$S$1000,1):INDEX($S$5:$S$1000,$R111-4),"Macro",INDEX($P$5:$P$1000,1):INDEX($P$5:$P$1000,$R111-4),INDEX($P$5:$P$1000,$R111-4))&amp;"."&amp;COUNTIFS($R$5:$R111,$R111,$S$5:$S111,"Sub"))))</f>
        <v/>
      </c>
      <c r="B111" s="62" t="n"/>
      <c r="C111" s="63" t="n"/>
      <c r="D111" s="62" t="n"/>
      <c r="E111" s="64" t="n"/>
      <c r="F111" s="64" t="n"/>
      <c r="G111" s="65" t="n"/>
      <c r="H111" s="66" t="n"/>
      <c r="I111" s="66" t="n"/>
      <c r="J111" s="66" t="n"/>
      <c r="K111" s="66" t="n"/>
      <c r="L111" s="67">
        <f>IF(NOT((COUNTA($B111:$K111)+COUNTA($N111))&gt;0),"",IF(N($T111)&gt;0,$AB111,IFERROR(LOOKUP(2,1/(H111:K111&lt;&gt;""),H111:K111),0)))</f>
        <v/>
      </c>
      <c r="M111" s="61">
        <f>IF(L111="","",IF(L111&gt;=1,"Completado",IF(L111&gt;0,"En curso","Pendiente")))</f>
        <v/>
      </c>
      <c r="N111" s="62" t="n"/>
      <c r="O111" s="68">
        <f>IF(NOT((COUNTA($B111:$K111)+COUNTA($N111))&gt;0),"",IF((IF(AND($S111="Macro",$B111=""),"Macroactividad vacía"&amp;" · ","")&amp;IF(AND($B111&lt;&gt;"",$C111&lt;&gt;""),"Escriba la subactividad en otra fila, debajo de su macroactividad"&amp;" · ","")&amp;IF(AND($S111="Sub",N($R111)=0),"Subactividad sin macroactividad arriba"&amp;" · ","")&amp;IF($D111="","Sin responsable"&amp;" · ","")&amp;IF($E111="","Sin fecha de inicio"&amp;" · ","")&amp;IF($F111="","Sin fecha límite"&amp;" · ","")&amp;IF(OR(AND($E111&lt;&gt;"",NOT(ISNUMBER($E111))),AND($F111&lt;&gt;"",NOT(ISNUMBER($F111)))),"Fecha no válida"&amp;" · ","")&amp;IF(AND(ISNUMBER($E111),ISNUMBER($F111),$E111&gt;$F111),"Inicio posterior a fecha límite"&amp;" · ","")&amp;IF(AND($S111="Macro",$G111=""),"Peso vacío"&amp;" · ","")&amp;IF(AND($S111="Macro",$G111&lt;&gt;"",OR(NOT(ISNUMBER($G111)),$G111&lt;=0,$G111&gt;1)),"Peso fuera de rango"&amp;" · ","")&amp;IF(AND($S111="Sub",$G111&lt;&gt;""),"Las subactividades no llevan peso"&amp;" · ","")&amp;IF(AND($S111="Macro",ABS(SUMIFS($G$5:$G$1000,$P$5:$P$1000,$P111,$S$5:$S$1000,"Macro")-1)&gt;0.0001),"Pesos del mes suman "&amp;TEXT(SUMIFS($G$5:$G$1000,$P$5:$P$1000,$P111,$S$5:$S$1000,"Macro"),"0%")&amp;" · ","")&amp;IF(AND(N($T111)&gt;0,COUNT($H111:$K111)&gt;0),"Con subactividades: deje vacías las semanas (se calculan solas)"&amp;" · ","")&amp;IF((COUNTIF($H111:$K111,"&gt;1")+COUNTIF($H111:$K111,"&lt;0")+COUNTA($H111:$K111)-COUNT($H111:$K111))&gt;0,"Avance fuera de rango 0-100%"&amp;" · ","")&amp;IF(OR(AND($I111&lt;&gt;"",$I111&lt;$H111),AND($J111&lt;&gt;"",$J111&lt;MAX($H111:$I111)),AND($K111&lt;&gt;"",$K111&lt;MAX($H111:$J111))),"Avance semanal decreciente"&amp;" · ","")&amp;IF(AND(ISNUMBER($F111),$F111&lt;FechaRef,N($L111)&lt;1),"Vencida"&amp;" · ","")&amp;IF(AND(ObsObligatoria="Sí",ISNUMBER($F111),$F111&lt;FechaRef,N($L111)&lt;1,$N111=""),"Vencida sin observación"&amp;" · ",""))="","✔ OK","⚠ "&amp;LEFT(IF(AND($S111="Macro",$B111=""),"Macroactividad vacía"&amp;" · ","")&amp;IF(AND($B111&lt;&gt;"",$C111&lt;&gt;""),"Escriba la subactividad en otra fila, debajo de su macroactividad"&amp;" · ","")&amp;IF(AND($S111="Sub",N($R111)=0),"Subactividad sin macroactividad arriba"&amp;" · ","")&amp;IF($D111="","Sin responsable"&amp;" · ","")&amp;IF($E111="","Sin fecha de inicio"&amp;" · ","")&amp;IF($F111="","Sin fecha límite"&amp;" · ","")&amp;IF(OR(AND($E111&lt;&gt;"",NOT(ISNUMBER($E111))),AND($F111&lt;&gt;"",NOT(ISNUMBER($F111)))),"Fecha no válida"&amp;" · ","")&amp;IF(AND(ISNUMBER($E111),ISNUMBER($F111),$E111&gt;$F111),"Inicio posterior a fecha límite"&amp;" · ","")&amp;IF(AND($S111="Macro",$G111=""),"Peso vacío"&amp;" · ","")&amp;IF(AND($S111="Macro",$G111&lt;&gt;"",OR(NOT(ISNUMBER($G111)),$G111&lt;=0,$G111&gt;1)),"Peso fuera de rango"&amp;" · ","")&amp;IF(AND($S111="Sub",$G111&lt;&gt;""),"Las subactividades no llevan peso"&amp;" · ","")&amp;IF(AND($S111="Macro",ABS(SUMIFS($G$5:$G$1000,$P$5:$P$1000,$P111,$S$5:$S$1000,"Macro")-1)&gt;0.0001),"Pesos del mes suman "&amp;TEXT(SUMIFS($G$5:$G$1000,$P$5:$P$1000,$P111,$S$5:$S$1000,"Macro"),"0%")&amp;" · ","")&amp;IF(AND(N($T111)&gt;0,COUNT($H111:$K111)&gt;0),"Con subactividades: deje vacías las semanas (se calculan solas)"&amp;" · ","")&amp;IF((COUNTIF($H111:$K111,"&gt;1")+COUNTIF($H111:$K111,"&lt;0")+COUNTA($H111:$K111)-COUNT($H111:$K111))&gt;0,"Avance fuera de rango 0-100%"&amp;" · ","")&amp;IF(OR(AND($I111&lt;&gt;"",$I111&lt;$H111),AND($J111&lt;&gt;"",$J111&lt;MAX($H111:$I111)),AND($K111&lt;&gt;"",$K111&lt;MAX($H111:$J111))),"Avance semanal decreciente"&amp;" · ","")&amp;IF(AND(ISNUMBER($F111),$F111&lt;FechaRef,N($L111)&lt;1),"Vencida"&amp;" · ","")&amp;IF(AND(ObsObligatoria="Sí",ISNUMBER($F111),$F111&lt;FechaRef,N($L111)&lt;1,$N111=""),"Vencida sin observación"&amp;" · ",""),LEN(IF(AND($S111="Macro",$B111=""),"Macroactividad vacía"&amp;" · ","")&amp;IF(AND($B111&lt;&gt;"",$C111&lt;&gt;""),"Escriba la subactividad en otra fila, debajo de su macroactividad"&amp;" · ","")&amp;IF(AND($S111="Sub",N($R111)=0),"Subactividad sin macroactividad arriba"&amp;" · ","")&amp;IF($D111="","Sin responsable"&amp;" · ","")&amp;IF($E111="","Sin fecha de inicio"&amp;" · ","")&amp;IF($F111="","Sin fecha límite"&amp;" · ","")&amp;IF(OR(AND($E111&lt;&gt;"",NOT(ISNUMBER($E111))),AND($F111&lt;&gt;"",NOT(ISNUMBER($F111)))),"Fecha no válida"&amp;" · ","")&amp;IF(AND(ISNUMBER($E111),ISNUMBER($F111),$E111&gt;$F111),"Inicio posterior a fecha límite"&amp;" · ","")&amp;IF(AND($S111="Macro",$G111=""),"Peso vacío"&amp;" · ","")&amp;IF(AND($S111="Macro",$G111&lt;&gt;"",OR(NOT(ISNUMBER($G111)),$G111&lt;=0,$G111&gt;1)),"Peso fuera de rango"&amp;" · ","")&amp;IF(AND($S111="Sub",$G111&lt;&gt;""),"Las subactividades no llevan peso"&amp;" · ","")&amp;IF(AND($S111="Macro",ABS(SUMIFS($G$5:$G$1000,$P$5:$P$1000,$P111,$S$5:$S$1000,"Macro")-1)&gt;0.0001),"Pesos del mes suman "&amp;TEXT(SUMIFS($G$5:$G$1000,$P$5:$P$1000,$P111,$S$5:$S$1000,"Macro"),"0%")&amp;" · ","")&amp;IF(AND(N($T111)&gt;0,COUNT($H111:$K111)&gt;0),"Con subactividades: deje vacías las semanas (se calculan solas)"&amp;" · ","")&amp;IF((COUNTIF($H111:$K111,"&gt;1")+COUNTIF($H111:$K111,"&lt;0")+COUNTA($H111:$K111)-COUNT($H111:$K111))&gt;0,"Avance fuera de rango 0-100%"&amp;" · ","")&amp;IF(OR(AND($I111&lt;&gt;"",$I111&lt;$H111),AND($J111&lt;&gt;"",$J111&lt;MAX($H111:$I111)),AND($K111&lt;&gt;"",$K111&lt;MAX($H111:$J111))),"Avance semanal decreciente"&amp;" · ","")&amp;IF(AND(ISNUMBER($F111),$F111&lt;FechaRef,N($L111)&lt;1),"Vencida"&amp;" · ","")&amp;IF(AND(ObsObligatoria="Sí",ISNUMBER($F111),$F111&lt;FechaRef,N($L111)&lt;1,$N111=""),"Vencida sin observación"&amp;" · ",""))-3)))</f>
        <v/>
      </c>
      <c r="P111" s="69">
        <f>IF(NOT((COUNTA($B111:$K111)+COUNTA($N111))&gt;0),"",IF(AND($S111="Sub",N($R111)&gt;0),IF(ISNUMBER(INDEX($E$5:$E$1000,$R111-4)),DATE(YEAR(INDEX($E$5:$E$1000,$R111-4)),MONTH(INDEX($E$5:$E$1000,$R111-4)),1),IF(ISNUMBER(INDEX($F$5:$F$1000,$R111-4)),DATE(YEAR(INDEX($F$5:$F$1000,$R111-4)),MONTH(INDEX($F$5:$F$1000,$R111-4)),1),MesCiclo)),IF(ISNUMBER($E111),DATE(YEAR($E111),MONTH($E111),1),IF(ISNUMBER($F111),DATE(YEAR($F111),MONTH($F111),1),MesCiclo))))</f>
        <v/>
      </c>
      <c r="Q111" s="70">
        <f>IF(OR($P111="",$P111&lt;&gt;MesCiclo),"",COUNTIF($P$5:$P111,MesCiclo))</f>
        <v/>
      </c>
      <c r="R111" s="70">
        <f>IF($S111="","",IF($S111="Macro",ROW(),IFERROR(LOOKUP(2,1/($S$5:$S111="Macro"),ROW($S$5:$S111)),0)))</f>
        <v/>
      </c>
      <c r="S111" s="70">
        <f>IF(NOT((COUNTA($B111:$K111)+COUNTA($N111))&gt;0),"",IF($B111&lt;&gt;"","Macro",IF($C111&lt;&gt;"","Sub","Macro")))</f>
        <v/>
      </c>
      <c r="T111" s="70">
        <f>IF($S111="Macro",COUNTIFS($R$5:$R$1000,ROW(),$S$5:$S$1000,"Sub"),"")</f>
        <v/>
      </c>
      <c r="U111" s="70">
        <f>IF($S111="","",IF(ISNUMBER($H111),$H111,0))</f>
        <v/>
      </c>
      <c r="V111" s="70">
        <f>IF($S111="","",IF(ISNUMBER($I111),$I111,$U111))</f>
        <v/>
      </c>
      <c r="W111" s="70">
        <f>IF($S111="","",IF(ISNUMBER($J111),$J111,$V111))</f>
        <v/>
      </c>
      <c r="X111" s="70">
        <f>IF($S111="","",IF(ISNUMBER($K111),$K111,$W111))</f>
        <v/>
      </c>
      <c r="Y111" s="70">
        <f>IF($S111="","",IF(N($T111)&gt;0,AVERAGEIFS($U$5:$U$1000,$R$5:$R$1000,ROW(),$S$5:$S$1000,"Sub"),$U111))</f>
        <v/>
      </c>
      <c r="Z111" s="70">
        <f>IF($S111="","",IF(N($T111)&gt;0,AVERAGEIFS($V$5:$V$1000,$R$5:$R$1000,ROW(),$S$5:$S$1000,"Sub"),$V111))</f>
        <v/>
      </c>
      <c r="AA111" s="70">
        <f>IF($S111="","",IF(N($T111)&gt;0,AVERAGEIFS($W$5:$W$1000,$R$5:$R$1000,ROW(),$S$5:$S$1000,"Sub"),$W111))</f>
        <v/>
      </c>
      <c r="AB111" s="70">
        <f>IF($S111="","",IF(N($T111)&gt;0,AVERAGEIFS($X$5:$X$1000,$R$5:$R$1000,ROW(),$S$5:$S$1000,"Sub"),$X111))</f>
        <v/>
      </c>
    </row>
    <row r="112">
      <c r="A112" s="61">
        <f>IF(NOT((COUNTA($B112:$K112)+COUNTA($N112))&gt;0),"",IF($S112="Macro",COUNTIFS($S$5:$S112,"Macro",$P$5:$P112,$P112),IF(N($R112)=0,"?",COUNTIFS(INDEX($S$5:$S$1000,1):INDEX($S$5:$S$1000,$R112-4),"Macro",INDEX($P$5:$P$1000,1):INDEX($P$5:$P$1000,$R112-4),INDEX($P$5:$P$1000,$R112-4))&amp;"."&amp;COUNTIFS($R$5:$R112,$R112,$S$5:$S112,"Sub"))))</f>
        <v/>
      </c>
      <c r="B112" s="62" t="n"/>
      <c r="C112" s="63" t="n"/>
      <c r="D112" s="62" t="n"/>
      <c r="E112" s="64" t="n"/>
      <c r="F112" s="64" t="n"/>
      <c r="G112" s="65" t="n"/>
      <c r="H112" s="66" t="n"/>
      <c r="I112" s="66" t="n"/>
      <c r="J112" s="66" t="n"/>
      <c r="K112" s="66" t="n"/>
      <c r="L112" s="67">
        <f>IF(NOT((COUNTA($B112:$K112)+COUNTA($N112))&gt;0),"",IF(N($T112)&gt;0,$AB112,IFERROR(LOOKUP(2,1/(H112:K112&lt;&gt;""),H112:K112),0)))</f>
        <v/>
      </c>
      <c r="M112" s="61">
        <f>IF(L112="","",IF(L112&gt;=1,"Completado",IF(L112&gt;0,"En curso","Pendiente")))</f>
        <v/>
      </c>
      <c r="N112" s="62" t="n"/>
      <c r="O112" s="68">
        <f>IF(NOT((COUNTA($B112:$K112)+COUNTA($N112))&gt;0),"",IF((IF(AND($S112="Macro",$B112=""),"Macroactividad vacía"&amp;" · ","")&amp;IF(AND($B112&lt;&gt;"",$C112&lt;&gt;""),"Escriba la subactividad en otra fila, debajo de su macroactividad"&amp;" · ","")&amp;IF(AND($S112="Sub",N($R112)=0),"Subactividad sin macroactividad arriba"&amp;" · ","")&amp;IF($D112="","Sin responsable"&amp;" · ","")&amp;IF($E112="","Sin fecha de inicio"&amp;" · ","")&amp;IF($F112="","Sin fecha límite"&amp;" · ","")&amp;IF(OR(AND($E112&lt;&gt;"",NOT(ISNUMBER($E112))),AND($F112&lt;&gt;"",NOT(ISNUMBER($F112)))),"Fecha no válida"&amp;" · ","")&amp;IF(AND(ISNUMBER($E112),ISNUMBER($F112),$E112&gt;$F112),"Inicio posterior a fecha límite"&amp;" · ","")&amp;IF(AND($S112="Macro",$G112=""),"Peso vacío"&amp;" · ","")&amp;IF(AND($S112="Macro",$G112&lt;&gt;"",OR(NOT(ISNUMBER($G112)),$G112&lt;=0,$G112&gt;1)),"Peso fuera de rango"&amp;" · ","")&amp;IF(AND($S112="Sub",$G112&lt;&gt;""),"Las subactividades no llevan peso"&amp;" · ","")&amp;IF(AND($S112="Macro",ABS(SUMIFS($G$5:$G$1000,$P$5:$P$1000,$P112,$S$5:$S$1000,"Macro")-1)&gt;0.0001),"Pesos del mes suman "&amp;TEXT(SUMIFS($G$5:$G$1000,$P$5:$P$1000,$P112,$S$5:$S$1000,"Macro"),"0%")&amp;" · ","")&amp;IF(AND(N($T112)&gt;0,COUNT($H112:$K112)&gt;0),"Con subactividades: deje vacías las semanas (se calculan solas)"&amp;" · ","")&amp;IF((COUNTIF($H112:$K112,"&gt;1")+COUNTIF($H112:$K112,"&lt;0")+COUNTA($H112:$K112)-COUNT($H112:$K112))&gt;0,"Avance fuera de rango 0-100%"&amp;" · ","")&amp;IF(OR(AND($I112&lt;&gt;"",$I112&lt;$H112),AND($J112&lt;&gt;"",$J112&lt;MAX($H112:$I112)),AND($K112&lt;&gt;"",$K112&lt;MAX($H112:$J112))),"Avance semanal decreciente"&amp;" · ","")&amp;IF(AND(ISNUMBER($F112),$F112&lt;FechaRef,N($L112)&lt;1),"Vencida"&amp;" · ","")&amp;IF(AND(ObsObligatoria="Sí",ISNUMBER($F112),$F112&lt;FechaRef,N($L112)&lt;1,$N112=""),"Vencida sin observación"&amp;" · ",""))="","✔ OK","⚠ "&amp;LEFT(IF(AND($S112="Macro",$B112=""),"Macroactividad vacía"&amp;" · ","")&amp;IF(AND($B112&lt;&gt;"",$C112&lt;&gt;""),"Escriba la subactividad en otra fila, debajo de su macroactividad"&amp;" · ","")&amp;IF(AND($S112="Sub",N($R112)=0),"Subactividad sin macroactividad arriba"&amp;" · ","")&amp;IF($D112="","Sin responsable"&amp;" · ","")&amp;IF($E112="","Sin fecha de inicio"&amp;" · ","")&amp;IF($F112="","Sin fecha límite"&amp;" · ","")&amp;IF(OR(AND($E112&lt;&gt;"",NOT(ISNUMBER($E112))),AND($F112&lt;&gt;"",NOT(ISNUMBER($F112)))),"Fecha no válida"&amp;" · ","")&amp;IF(AND(ISNUMBER($E112),ISNUMBER($F112),$E112&gt;$F112),"Inicio posterior a fecha límite"&amp;" · ","")&amp;IF(AND($S112="Macro",$G112=""),"Peso vacío"&amp;" · ","")&amp;IF(AND($S112="Macro",$G112&lt;&gt;"",OR(NOT(ISNUMBER($G112)),$G112&lt;=0,$G112&gt;1)),"Peso fuera de rango"&amp;" · ","")&amp;IF(AND($S112="Sub",$G112&lt;&gt;""),"Las subactividades no llevan peso"&amp;" · ","")&amp;IF(AND($S112="Macro",ABS(SUMIFS($G$5:$G$1000,$P$5:$P$1000,$P112,$S$5:$S$1000,"Macro")-1)&gt;0.0001),"Pesos del mes suman "&amp;TEXT(SUMIFS($G$5:$G$1000,$P$5:$P$1000,$P112,$S$5:$S$1000,"Macro"),"0%")&amp;" · ","")&amp;IF(AND(N($T112)&gt;0,COUNT($H112:$K112)&gt;0),"Con subactividades: deje vacías las semanas (se calculan solas)"&amp;" · ","")&amp;IF((COUNTIF($H112:$K112,"&gt;1")+COUNTIF($H112:$K112,"&lt;0")+COUNTA($H112:$K112)-COUNT($H112:$K112))&gt;0,"Avance fuera de rango 0-100%"&amp;" · ","")&amp;IF(OR(AND($I112&lt;&gt;"",$I112&lt;$H112),AND($J112&lt;&gt;"",$J112&lt;MAX($H112:$I112)),AND($K112&lt;&gt;"",$K112&lt;MAX($H112:$J112))),"Avance semanal decreciente"&amp;" · ","")&amp;IF(AND(ISNUMBER($F112),$F112&lt;FechaRef,N($L112)&lt;1),"Vencida"&amp;" · ","")&amp;IF(AND(ObsObligatoria="Sí",ISNUMBER($F112),$F112&lt;FechaRef,N($L112)&lt;1,$N112=""),"Vencida sin observación"&amp;" · ",""),LEN(IF(AND($S112="Macro",$B112=""),"Macroactividad vacía"&amp;" · ","")&amp;IF(AND($B112&lt;&gt;"",$C112&lt;&gt;""),"Escriba la subactividad en otra fila, debajo de su macroactividad"&amp;" · ","")&amp;IF(AND($S112="Sub",N($R112)=0),"Subactividad sin macroactividad arriba"&amp;" · ","")&amp;IF($D112="","Sin responsable"&amp;" · ","")&amp;IF($E112="","Sin fecha de inicio"&amp;" · ","")&amp;IF($F112="","Sin fecha límite"&amp;" · ","")&amp;IF(OR(AND($E112&lt;&gt;"",NOT(ISNUMBER($E112))),AND($F112&lt;&gt;"",NOT(ISNUMBER($F112)))),"Fecha no válida"&amp;" · ","")&amp;IF(AND(ISNUMBER($E112),ISNUMBER($F112),$E112&gt;$F112),"Inicio posterior a fecha límite"&amp;" · ","")&amp;IF(AND($S112="Macro",$G112=""),"Peso vacío"&amp;" · ","")&amp;IF(AND($S112="Macro",$G112&lt;&gt;"",OR(NOT(ISNUMBER($G112)),$G112&lt;=0,$G112&gt;1)),"Peso fuera de rango"&amp;" · ","")&amp;IF(AND($S112="Sub",$G112&lt;&gt;""),"Las subactividades no llevan peso"&amp;" · ","")&amp;IF(AND($S112="Macro",ABS(SUMIFS($G$5:$G$1000,$P$5:$P$1000,$P112,$S$5:$S$1000,"Macro")-1)&gt;0.0001),"Pesos del mes suman "&amp;TEXT(SUMIFS($G$5:$G$1000,$P$5:$P$1000,$P112,$S$5:$S$1000,"Macro"),"0%")&amp;" · ","")&amp;IF(AND(N($T112)&gt;0,COUNT($H112:$K112)&gt;0),"Con subactividades: deje vacías las semanas (se calculan solas)"&amp;" · ","")&amp;IF((COUNTIF($H112:$K112,"&gt;1")+COUNTIF($H112:$K112,"&lt;0")+COUNTA($H112:$K112)-COUNT($H112:$K112))&gt;0,"Avance fuera de rango 0-100%"&amp;" · ","")&amp;IF(OR(AND($I112&lt;&gt;"",$I112&lt;$H112),AND($J112&lt;&gt;"",$J112&lt;MAX($H112:$I112)),AND($K112&lt;&gt;"",$K112&lt;MAX($H112:$J112))),"Avance semanal decreciente"&amp;" · ","")&amp;IF(AND(ISNUMBER($F112),$F112&lt;FechaRef,N($L112)&lt;1),"Vencida"&amp;" · ","")&amp;IF(AND(ObsObligatoria="Sí",ISNUMBER($F112),$F112&lt;FechaRef,N($L112)&lt;1,$N112=""),"Vencida sin observación"&amp;" · ",""))-3)))</f>
        <v/>
      </c>
      <c r="P112" s="69">
        <f>IF(NOT((COUNTA($B112:$K112)+COUNTA($N112))&gt;0),"",IF(AND($S112="Sub",N($R112)&gt;0),IF(ISNUMBER(INDEX($E$5:$E$1000,$R112-4)),DATE(YEAR(INDEX($E$5:$E$1000,$R112-4)),MONTH(INDEX($E$5:$E$1000,$R112-4)),1),IF(ISNUMBER(INDEX($F$5:$F$1000,$R112-4)),DATE(YEAR(INDEX($F$5:$F$1000,$R112-4)),MONTH(INDEX($F$5:$F$1000,$R112-4)),1),MesCiclo)),IF(ISNUMBER($E112),DATE(YEAR($E112),MONTH($E112),1),IF(ISNUMBER($F112),DATE(YEAR($F112),MONTH($F112),1),MesCiclo))))</f>
        <v/>
      </c>
      <c r="Q112" s="70">
        <f>IF(OR($P112="",$P112&lt;&gt;MesCiclo),"",COUNTIF($P$5:$P112,MesCiclo))</f>
        <v/>
      </c>
      <c r="R112" s="70">
        <f>IF($S112="","",IF($S112="Macro",ROW(),IFERROR(LOOKUP(2,1/($S$5:$S112="Macro"),ROW($S$5:$S112)),0)))</f>
        <v/>
      </c>
      <c r="S112" s="70">
        <f>IF(NOT((COUNTA($B112:$K112)+COUNTA($N112))&gt;0),"",IF($B112&lt;&gt;"","Macro",IF($C112&lt;&gt;"","Sub","Macro")))</f>
        <v/>
      </c>
      <c r="T112" s="70">
        <f>IF($S112="Macro",COUNTIFS($R$5:$R$1000,ROW(),$S$5:$S$1000,"Sub"),"")</f>
        <v/>
      </c>
      <c r="U112" s="70">
        <f>IF($S112="","",IF(ISNUMBER($H112),$H112,0))</f>
        <v/>
      </c>
      <c r="V112" s="70">
        <f>IF($S112="","",IF(ISNUMBER($I112),$I112,$U112))</f>
        <v/>
      </c>
      <c r="W112" s="70">
        <f>IF($S112="","",IF(ISNUMBER($J112),$J112,$V112))</f>
        <v/>
      </c>
      <c r="X112" s="70">
        <f>IF($S112="","",IF(ISNUMBER($K112),$K112,$W112))</f>
        <v/>
      </c>
      <c r="Y112" s="70">
        <f>IF($S112="","",IF(N($T112)&gt;0,AVERAGEIFS($U$5:$U$1000,$R$5:$R$1000,ROW(),$S$5:$S$1000,"Sub"),$U112))</f>
        <v/>
      </c>
      <c r="Z112" s="70">
        <f>IF($S112="","",IF(N($T112)&gt;0,AVERAGEIFS($V$5:$V$1000,$R$5:$R$1000,ROW(),$S$5:$S$1000,"Sub"),$V112))</f>
        <v/>
      </c>
      <c r="AA112" s="70">
        <f>IF($S112="","",IF(N($T112)&gt;0,AVERAGEIFS($W$5:$W$1000,$R$5:$R$1000,ROW(),$S$5:$S$1000,"Sub"),$W112))</f>
        <v/>
      </c>
      <c r="AB112" s="70">
        <f>IF($S112="","",IF(N($T112)&gt;0,AVERAGEIFS($X$5:$X$1000,$R$5:$R$1000,ROW(),$S$5:$S$1000,"Sub"),$X112))</f>
        <v/>
      </c>
    </row>
    <row r="113">
      <c r="A113" s="61">
        <f>IF(NOT((COUNTA($B113:$K113)+COUNTA($N113))&gt;0),"",IF($S113="Macro",COUNTIFS($S$5:$S113,"Macro",$P$5:$P113,$P113),IF(N($R113)=0,"?",COUNTIFS(INDEX($S$5:$S$1000,1):INDEX($S$5:$S$1000,$R113-4),"Macro",INDEX($P$5:$P$1000,1):INDEX($P$5:$P$1000,$R113-4),INDEX($P$5:$P$1000,$R113-4))&amp;"."&amp;COUNTIFS($R$5:$R113,$R113,$S$5:$S113,"Sub"))))</f>
        <v/>
      </c>
      <c r="B113" s="62" t="n"/>
      <c r="C113" s="63" t="n"/>
      <c r="D113" s="62" t="n"/>
      <c r="E113" s="64" t="n"/>
      <c r="F113" s="64" t="n"/>
      <c r="G113" s="65" t="n"/>
      <c r="H113" s="66" t="n"/>
      <c r="I113" s="66" t="n"/>
      <c r="J113" s="66" t="n"/>
      <c r="K113" s="66" t="n"/>
      <c r="L113" s="67">
        <f>IF(NOT((COUNTA($B113:$K113)+COUNTA($N113))&gt;0),"",IF(N($T113)&gt;0,$AB113,IFERROR(LOOKUP(2,1/(H113:K113&lt;&gt;""),H113:K113),0)))</f>
        <v/>
      </c>
      <c r="M113" s="61">
        <f>IF(L113="","",IF(L113&gt;=1,"Completado",IF(L113&gt;0,"En curso","Pendiente")))</f>
        <v/>
      </c>
      <c r="N113" s="62" t="n"/>
      <c r="O113" s="68">
        <f>IF(NOT((COUNTA($B113:$K113)+COUNTA($N113))&gt;0),"",IF((IF(AND($S113="Macro",$B113=""),"Macroactividad vacía"&amp;" · ","")&amp;IF(AND($B113&lt;&gt;"",$C113&lt;&gt;""),"Escriba la subactividad en otra fila, debajo de su macroactividad"&amp;" · ","")&amp;IF(AND($S113="Sub",N($R113)=0),"Subactividad sin macroactividad arriba"&amp;" · ","")&amp;IF($D113="","Sin responsable"&amp;" · ","")&amp;IF($E113="","Sin fecha de inicio"&amp;" · ","")&amp;IF($F113="","Sin fecha límite"&amp;" · ","")&amp;IF(OR(AND($E113&lt;&gt;"",NOT(ISNUMBER($E113))),AND($F113&lt;&gt;"",NOT(ISNUMBER($F113)))),"Fecha no válida"&amp;" · ","")&amp;IF(AND(ISNUMBER($E113),ISNUMBER($F113),$E113&gt;$F113),"Inicio posterior a fecha límite"&amp;" · ","")&amp;IF(AND($S113="Macro",$G113=""),"Peso vacío"&amp;" · ","")&amp;IF(AND($S113="Macro",$G113&lt;&gt;"",OR(NOT(ISNUMBER($G113)),$G113&lt;=0,$G113&gt;1)),"Peso fuera de rango"&amp;" · ","")&amp;IF(AND($S113="Sub",$G113&lt;&gt;""),"Las subactividades no llevan peso"&amp;" · ","")&amp;IF(AND($S113="Macro",ABS(SUMIFS($G$5:$G$1000,$P$5:$P$1000,$P113,$S$5:$S$1000,"Macro")-1)&gt;0.0001),"Pesos del mes suman "&amp;TEXT(SUMIFS($G$5:$G$1000,$P$5:$P$1000,$P113,$S$5:$S$1000,"Macro"),"0%")&amp;" · ","")&amp;IF(AND(N($T113)&gt;0,COUNT($H113:$K113)&gt;0),"Con subactividades: deje vacías las semanas (se calculan solas)"&amp;" · ","")&amp;IF((COUNTIF($H113:$K113,"&gt;1")+COUNTIF($H113:$K113,"&lt;0")+COUNTA($H113:$K113)-COUNT($H113:$K113))&gt;0,"Avance fuera de rango 0-100%"&amp;" · ","")&amp;IF(OR(AND($I113&lt;&gt;"",$I113&lt;$H113),AND($J113&lt;&gt;"",$J113&lt;MAX($H113:$I113)),AND($K113&lt;&gt;"",$K113&lt;MAX($H113:$J113))),"Avance semanal decreciente"&amp;" · ","")&amp;IF(AND(ISNUMBER($F113),$F113&lt;FechaRef,N($L113)&lt;1),"Vencida"&amp;" · ","")&amp;IF(AND(ObsObligatoria="Sí",ISNUMBER($F113),$F113&lt;FechaRef,N($L113)&lt;1,$N113=""),"Vencida sin observación"&amp;" · ",""))="","✔ OK","⚠ "&amp;LEFT(IF(AND($S113="Macro",$B113=""),"Macroactividad vacía"&amp;" · ","")&amp;IF(AND($B113&lt;&gt;"",$C113&lt;&gt;""),"Escriba la subactividad en otra fila, debajo de su macroactividad"&amp;" · ","")&amp;IF(AND($S113="Sub",N($R113)=0),"Subactividad sin macroactividad arriba"&amp;" · ","")&amp;IF($D113="","Sin responsable"&amp;" · ","")&amp;IF($E113="","Sin fecha de inicio"&amp;" · ","")&amp;IF($F113="","Sin fecha límite"&amp;" · ","")&amp;IF(OR(AND($E113&lt;&gt;"",NOT(ISNUMBER($E113))),AND($F113&lt;&gt;"",NOT(ISNUMBER($F113)))),"Fecha no válida"&amp;" · ","")&amp;IF(AND(ISNUMBER($E113),ISNUMBER($F113),$E113&gt;$F113),"Inicio posterior a fecha límite"&amp;" · ","")&amp;IF(AND($S113="Macro",$G113=""),"Peso vacío"&amp;" · ","")&amp;IF(AND($S113="Macro",$G113&lt;&gt;"",OR(NOT(ISNUMBER($G113)),$G113&lt;=0,$G113&gt;1)),"Peso fuera de rango"&amp;" · ","")&amp;IF(AND($S113="Sub",$G113&lt;&gt;""),"Las subactividades no llevan peso"&amp;" · ","")&amp;IF(AND($S113="Macro",ABS(SUMIFS($G$5:$G$1000,$P$5:$P$1000,$P113,$S$5:$S$1000,"Macro")-1)&gt;0.0001),"Pesos del mes suman "&amp;TEXT(SUMIFS($G$5:$G$1000,$P$5:$P$1000,$P113,$S$5:$S$1000,"Macro"),"0%")&amp;" · ","")&amp;IF(AND(N($T113)&gt;0,COUNT($H113:$K113)&gt;0),"Con subactividades: deje vacías las semanas (se calculan solas)"&amp;" · ","")&amp;IF((COUNTIF($H113:$K113,"&gt;1")+COUNTIF($H113:$K113,"&lt;0")+COUNTA($H113:$K113)-COUNT($H113:$K113))&gt;0,"Avance fuera de rango 0-100%"&amp;" · ","")&amp;IF(OR(AND($I113&lt;&gt;"",$I113&lt;$H113),AND($J113&lt;&gt;"",$J113&lt;MAX($H113:$I113)),AND($K113&lt;&gt;"",$K113&lt;MAX($H113:$J113))),"Avance semanal decreciente"&amp;" · ","")&amp;IF(AND(ISNUMBER($F113),$F113&lt;FechaRef,N($L113)&lt;1),"Vencida"&amp;" · ","")&amp;IF(AND(ObsObligatoria="Sí",ISNUMBER($F113),$F113&lt;FechaRef,N($L113)&lt;1,$N113=""),"Vencida sin observación"&amp;" · ",""),LEN(IF(AND($S113="Macro",$B113=""),"Macroactividad vacía"&amp;" · ","")&amp;IF(AND($B113&lt;&gt;"",$C113&lt;&gt;""),"Escriba la subactividad en otra fila, debajo de su macroactividad"&amp;" · ","")&amp;IF(AND($S113="Sub",N($R113)=0),"Subactividad sin macroactividad arriba"&amp;" · ","")&amp;IF($D113="","Sin responsable"&amp;" · ","")&amp;IF($E113="","Sin fecha de inicio"&amp;" · ","")&amp;IF($F113="","Sin fecha límite"&amp;" · ","")&amp;IF(OR(AND($E113&lt;&gt;"",NOT(ISNUMBER($E113))),AND($F113&lt;&gt;"",NOT(ISNUMBER($F113)))),"Fecha no válida"&amp;" · ","")&amp;IF(AND(ISNUMBER($E113),ISNUMBER($F113),$E113&gt;$F113),"Inicio posterior a fecha límite"&amp;" · ","")&amp;IF(AND($S113="Macro",$G113=""),"Peso vacío"&amp;" · ","")&amp;IF(AND($S113="Macro",$G113&lt;&gt;"",OR(NOT(ISNUMBER($G113)),$G113&lt;=0,$G113&gt;1)),"Peso fuera de rango"&amp;" · ","")&amp;IF(AND($S113="Sub",$G113&lt;&gt;""),"Las subactividades no llevan peso"&amp;" · ","")&amp;IF(AND($S113="Macro",ABS(SUMIFS($G$5:$G$1000,$P$5:$P$1000,$P113,$S$5:$S$1000,"Macro")-1)&gt;0.0001),"Pesos del mes suman "&amp;TEXT(SUMIFS($G$5:$G$1000,$P$5:$P$1000,$P113,$S$5:$S$1000,"Macro"),"0%")&amp;" · ","")&amp;IF(AND(N($T113)&gt;0,COUNT($H113:$K113)&gt;0),"Con subactividades: deje vacías las semanas (se calculan solas)"&amp;" · ","")&amp;IF((COUNTIF($H113:$K113,"&gt;1")+COUNTIF($H113:$K113,"&lt;0")+COUNTA($H113:$K113)-COUNT($H113:$K113))&gt;0,"Avance fuera de rango 0-100%"&amp;" · ","")&amp;IF(OR(AND($I113&lt;&gt;"",$I113&lt;$H113),AND($J113&lt;&gt;"",$J113&lt;MAX($H113:$I113)),AND($K113&lt;&gt;"",$K113&lt;MAX($H113:$J113))),"Avance semanal decreciente"&amp;" · ","")&amp;IF(AND(ISNUMBER($F113),$F113&lt;FechaRef,N($L113)&lt;1),"Vencida"&amp;" · ","")&amp;IF(AND(ObsObligatoria="Sí",ISNUMBER($F113),$F113&lt;FechaRef,N($L113)&lt;1,$N113=""),"Vencida sin observación"&amp;" · ",""))-3)))</f>
        <v/>
      </c>
      <c r="P113" s="69">
        <f>IF(NOT((COUNTA($B113:$K113)+COUNTA($N113))&gt;0),"",IF(AND($S113="Sub",N($R113)&gt;0),IF(ISNUMBER(INDEX($E$5:$E$1000,$R113-4)),DATE(YEAR(INDEX($E$5:$E$1000,$R113-4)),MONTH(INDEX($E$5:$E$1000,$R113-4)),1),IF(ISNUMBER(INDEX($F$5:$F$1000,$R113-4)),DATE(YEAR(INDEX($F$5:$F$1000,$R113-4)),MONTH(INDEX($F$5:$F$1000,$R113-4)),1),MesCiclo)),IF(ISNUMBER($E113),DATE(YEAR($E113),MONTH($E113),1),IF(ISNUMBER($F113),DATE(YEAR($F113),MONTH($F113),1),MesCiclo))))</f>
        <v/>
      </c>
      <c r="Q113" s="70">
        <f>IF(OR($P113="",$P113&lt;&gt;MesCiclo),"",COUNTIF($P$5:$P113,MesCiclo))</f>
        <v/>
      </c>
      <c r="R113" s="70">
        <f>IF($S113="","",IF($S113="Macro",ROW(),IFERROR(LOOKUP(2,1/($S$5:$S113="Macro"),ROW($S$5:$S113)),0)))</f>
        <v/>
      </c>
      <c r="S113" s="70">
        <f>IF(NOT((COUNTA($B113:$K113)+COUNTA($N113))&gt;0),"",IF($B113&lt;&gt;"","Macro",IF($C113&lt;&gt;"","Sub","Macro")))</f>
        <v/>
      </c>
      <c r="T113" s="70">
        <f>IF($S113="Macro",COUNTIFS($R$5:$R$1000,ROW(),$S$5:$S$1000,"Sub"),"")</f>
        <v/>
      </c>
      <c r="U113" s="70">
        <f>IF($S113="","",IF(ISNUMBER($H113),$H113,0))</f>
        <v/>
      </c>
      <c r="V113" s="70">
        <f>IF($S113="","",IF(ISNUMBER($I113),$I113,$U113))</f>
        <v/>
      </c>
      <c r="W113" s="70">
        <f>IF($S113="","",IF(ISNUMBER($J113),$J113,$V113))</f>
        <v/>
      </c>
      <c r="X113" s="70">
        <f>IF($S113="","",IF(ISNUMBER($K113),$K113,$W113))</f>
        <v/>
      </c>
      <c r="Y113" s="70">
        <f>IF($S113="","",IF(N($T113)&gt;0,AVERAGEIFS($U$5:$U$1000,$R$5:$R$1000,ROW(),$S$5:$S$1000,"Sub"),$U113))</f>
        <v/>
      </c>
      <c r="Z113" s="70">
        <f>IF($S113="","",IF(N($T113)&gt;0,AVERAGEIFS($V$5:$V$1000,$R$5:$R$1000,ROW(),$S$5:$S$1000,"Sub"),$V113))</f>
        <v/>
      </c>
      <c r="AA113" s="70">
        <f>IF($S113="","",IF(N($T113)&gt;0,AVERAGEIFS($W$5:$W$1000,$R$5:$R$1000,ROW(),$S$5:$S$1000,"Sub"),$W113))</f>
        <v/>
      </c>
      <c r="AB113" s="70">
        <f>IF($S113="","",IF(N($T113)&gt;0,AVERAGEIFS($X$5:$X$1000,$R$5:$R$1000,ROW(),$S$5:$S$1000,"Sub"),$X113))</f>
        <v/>
      </c>
    </row>
    <row r="114">
      <c r="A114" s="61">
        <f>IF(NOT((COUNTA($B114:$K114)+COUNTA($N114))&gt;0),"",IF($S114="Macro",COUNTIFS($S$5:$S114,"Macro",$P$5:$P114,$P114),IF(N($R114)=0,"?",COUNTIFS(INDEX($S$5:$S$1000,1):INDEX($S$5:$S$1000,$R114-4),"Macro",INDEX($P$5:$P$1000,1):INDEX($P$5:$P$1000,$R114-4),INDEX($P$5:$P$1000,$R114-4))&amp;"."&amp;COUNTIFS($R$5:$R114,$R114,$S$5:$S114,"Sub"))))</f>
        <v/>
      </c>
      <c r="B114" s="62" t="n"/>
      <c r="C114" s="63" t="n"/>
      <c r="D114" s="62" t="n"/>
      <c r="E114" s="64" t="n"/>
      <c r="F114" s="64" t="n"/>
      <c r="G114" s="65" t="n"/>
      <c r="H114" s="66" t="n"/>
      <c r="I114" s="66" t="n"/>
      <c r="J114" s="66" t="n"/>
      <c r="K114" s="66" t="n"/>
      <c r="L114" s="67">
        <f>IF(NOT((COUNTA($B114:$K114)+COUNTA($N114))&gt;0),"",IF(N($T114)&gt;0,$AB114,IFERROR(LOOKUP(2,1/(H114:K114&lt;&gt;""),H114:K114),0)))</f>
        <v/>
      </c>
      <c r="M114" s="61">
        <f>IF(L114="","",IF(L114&gt;=1,"Completado",IF(L114&gt;0,"En curso","Pendiente")))</f>
        <v/>
      </c>
      <c r="N114" s="62" t="n"/>
      <c r="O114" s="68">
        <f>IF(NOT((COUNTA($B114:$K114)+COUNTA($N114))&gt;0),"",IF((IF(AND($S114="Macro",$B114=""),"Macroactividad vacía"&amp;" · ","")&amp;IF(AND($B114&lt;&gt;"",$C114&lt;&gt;""),"Escriba la subactividad en otra fila, debajo de su macroactividad"&amp;" · ","")&amp;IF(AND($S114="Sub",N($R114)=0),"Subactividad sin macroactividad arriba"&amp;" · ","")&amp;IF($D114="","Sin responsable"&amp;" · ","")&amp;IF($E114="","Sin fecha de inicio"&amp;" · ","")&amp;IF($F114="","Sin fecha límite"&amp;" · ","")&amp;IF(OR(AND($E114&lt;&gt;"",NOT(ISNUMBER($E114))),AND($F114&lt;&gt;"",NOT(ISNUMBER($F114)))),"Fecha no válida"&amp;" · ","")&amp;IF(AND(ISNUMBER($E114),ISNUMBER($F114),$E114&gt;$F114),"Inicio posterior a fecha límite"&amp;" · ","")&amp;IF(AND($S114="Macro",$G114=""),"Peso vacío"&amp;" · ","")&amp;IF(AND($S114="Macro",$G114&lt;&gt;"",OR(NOT(ISNUMBER($G114)),$G114&lt;=0,$G114&gt;1)),"Peso fuera de rango"&amp;" · ","")&amp;IF(AND($S114="Sub",$G114&lt;&gt;""),"Las subactividades no llevan peso"&amp;" · ","")&amp;IF(AND($S114="Macro",ABS(SUMIFS($G$5:$G$1000,$P$5:$P$1000,$P114,$S$5:$S$1000,"Macro")-1)&gt;0.0001),"Pesos del mes suman "&amp;TEXT(SUMIFS($G$5:$G$1000,$P$5:$P$1000,$P114,$S$5:$S$1000,"Macro"),"0%")&amp;" · ","")&amp;IF(AND(N($T114)&gt;0,COUNT($H114:$K114)&gt;0),"Con subactividades: deje vacías las semanas (se calculan solas)"&amp;" · ","")&amp;IF((COUNTIF($H114:$K114,"&gt;1")+COUNTIF($H114:$K114,"&lt;0")+COUNTA($H114:$K114)-COUNT($H114:$K114))&gt;0,"Avance fuera de rango 0-100%"&amp;" · ","")&amp;IF(OR(AND($I114&lt;&gt;"",$I114&lt;$H114),AND($J114&lt;&gt;"",$J114&lt;MAX($H114:$I114)),AND($K114&lt;&gt;"",$K114&lt;MAX($H114:$J114))),"Avance semanal decreciente"&amp;" · ","")&amp;IF(AND(ISNUMBER($F114),$F114&lt;FechaRef,N($L114)&lt;1),"Vencida"&amp;" · ","")&amp;IF(AND(ObsObligatoria="Sí",ISNUMBER($F114),$F114&lt;FechaRef,N($L114)&lt;1,$N114=""),"Vencida sin observación"&amp;" · ",""))="","✔ OK","⚠ "&amp;LEFT(IF(AND($S114="Macro",$B114=""),"Macroactividad vacía"&amp;" · ","")&amp;IF(AND($B114&lt;&gt;"",$C114&lt;&gt;""),"Escriba la subactividad en otra fila, debajo de su macroactividad"&amp;" · ","")&amp;IF(AND($S114="Sub",N($R114)=0),"Subactividad sin macroactividad arriba"&amp;" · ","")&amp;IF($D114="","Sin responsable"&amp;" · ","")&amp;IF($E114="","Sin fecha de inicio"&amp;" · ","")&amp;IF($F114="","Sin fecha límite"&amp;" · ","")&amp;IF(OR(AND($E114&lt;&gt;"",NOT(ISNUMBER($E114))),AND($F114&lt;&gt;"",NOT(ISNUMBER($F114)))),"Fecha no válida"&amp;" · ","")&amp;IF(AND(ISNUMBER($E114),ISNUMBER($F114),$E114&gt;$F114),"Inicio posterior a fecha límite"&amp;" · ","")&amp;IF(AND($S114="Macro",$G114=""),"Peso vacío"&amp;" · ","")&amp;IF(AND($S114="Macro",$G114&lt;&gt;"",OR(NOT(ISNUMBER($G114)),$G114&lt;=0,$G114&gt;1)),"Peso fuera de rango"&amp;" · ","")&amp;IF(AND($S114="Sub",$G114&lt;&gt;""),"Las subactividades no llevan peso"&amp;" · ","")&amp;IF(AND($S114="Macro",ABS(SUMIFS($G$5:$G$1000,$P$5:$P$1000,$P114,$S$5:$S$1000,"Macro")-1)&gt;0.0001),"Pesos del mes suman "&amp;TEXT(SUMIFS($G$5:$G$1000,$P$5:$P$1000,$P114,$S$5:$S$1000,"Macro"),"0%")&amp;" · ","")&amp;IF(AND(N($T114)&gt;0,COUNT($H114:$K114)&gt;0),"Con subactividades: deje vacías las semanas (se calculan solas)"&amp;" · ","")&amp;IF((COUNTIF($H114:$K114,"&gt;1")+COUNTIF($H114:$K114,"&lt;0")+COUNTA($H114:$K114)-COUNT($H114:$K114))&gt;0,"Avance fuera de rango 0-100%"&amp;" · ","")&amp;IF(OR(AND($I114&lt;&gt;"",$I114&lt;$H114),AND($J114&lt;&gt;"",$J114&lt;MAX($H114:$I114)),AND($K114&lt;&gt;"",$K114&lt;MAX($H114:$J114))),"Avance semanal decreciente"&amp;" · ","")&amp;IF(AND(ISNUMBER($F114),$F114&lt;FechaRef,N($L114)&lt;1),"Vencida"&amp;" · ","")&amp;IF(AND(ObsObligatoria="Sí",ISNUMBER($F114),$F114&lt;FechaRef,N($L114)&lt;1,$N114=""),"Vencida sin observación"&amp;" · ",""),LEN(IF(AND($S114="Macro",$B114=""),"Macroactividad vacía"&amp;" · ","")&amp;IF(AND($B114&lt;&gt;"",$C114&lt;&gt;""),"Escriba la subactividad en otra fila, debajo de su macroactividad"&amp;" · ","")&amp;IF(AND($S114="Sub",N($R114)=0),"Subactividad sin macroactividad arriba"&amp;" · ","")&amp;IF($D114="","Sin responsable"&amp;" · ","")&amp;IF($E114="","Sin fecha de inicio"&amp;" · ","")&amp;IF($F114="","Sin fecha límite"&amp;" · ","")&amp;IF(OR(AND($E114&lt;&gt;"",NOT(ISNUMBER($E114))),AND($F114&lt;&gt;"",NOT(ISNUMBER($F114)))),"Fecha no válida"&amp;" · ","")&amp;IF(AND(ISNUMBER($E114),ISNUMBER($F114),$E114&gt;$F114),"Inicio posterior a fecha límite"&amp;" · ","")&amp;IF(AND($S114="Macro",$G114=""),"Peso vacío"&amp;" · ","")&amp;IF(AND($S114="Macro",$G114&lt;&gt;"",OR(NOT(ISNUMBER($G114)),$G114&lt;=0,$G114&gt;1)),"Peso fuera de rango"&amp;" · ","")&amp;IF(AND($S114="Sub",$G114&lt;&gt;""),"Las subactividades no llevan peso"&amp;" · ","")&amp;IF(AND($S114="Macro",ABS(SUMIFS($G$5:$G$1000,$P$5:$P$1000,$P114,$S$5:$S$1000,"Macro")-1)&gt;0.0001),"Pesos del mes suman "&amp;TEXT(SUMIFS($G$5:$G$1000,$P$5:$P$1000,$P114,$S$5:$S$1000,"Macro"),"0%")&amp;" · ","")&amp;IF(AND(N($T114)&gt;0,COUNT($H114:$K114)&gt;0),"Con subactividades: deje vacías las semanas (se calculan solas)"&amp;" · ","")&amp;IF((COUNTIF($H114:$K114,"&gt;1")+COUNTIF($H114:$K114,"&lt;0")+COUNTA($H114:$K114)-COUNT($H114:$K114))&gt;0,"Avance fuera de rango 0-100%"&amp;" · ","")&amp;IF(OR(AND($I114&lt;&gt;"",$I114&lt;$H114),AND($J114&lt;&gt;"",$J114&lt;MAX($H114:$I114)),AND($K114&lt;&gt;"",$K114&lt;MAX($H114:$J114))),"Avance semanal decreciente"&amp;" · ","")&amp;IF(AND(ISNUMBER($F114),$F114&lt;FechaRef,N($L114)&lt;1),"Vencida"&amp;" · ","")&amp;IF(AND(ObsObligatoria="Sí",ISNUMBER($F114),$F114&lt;FechaRef,N($L114)&lt;1,$N114=""),"Vencida sin observación"&amp;" · ",""))-3)))</f>
        <v/>
      </c>
      <c r="P114" s="69">
        <f>IF(NOT((COUNTA($B114:$K114)+COUNTA($N114))&gt;0),"",IF(AND($S114="Sub",N($R114)&gt;0),IF(ISNUMBER(INDEX($E$5:$E$1000,$R114-4)),DATE(YEAR(INDEX($E$5:$E$1000,$R114-4)),MONTH(INDEX($E$5:$E$1000,$R114-4)),1),IF(ISNUMBER(INDEX($F$5:$F$1000,$R114-4)),DATE(YEAR(INDEX($F$5:$F$1000,$R114-4)),MONTH(INDEX($F$5:$F$1000,$R114-4)),1),MesCiclo)),IF(ISNUMBER($E114),DATE(YEAR($E114),MONTH($E114),1),IF(ISNUMBER($F114),DATE(YEAR($F114),MONTH($F114),1),MesCiclo))))</f>
        <v/>
      </c>
      <c r="Q114" s="70">
        <f>IF(OR($P114="",$P114&lt;&gt;MesCiclo),"",COUNTIF($P$5:$P114,MesCiclo))</f>
        <v/>
      </c>
      <c r="R114" s="70">
        <f>IF($S114="","",IF($S114="Macro",ROW(),IFERROR(LOOKUP(2,1/($S$5:$S114="Macro"),ROW($S$5:$S114)),0)))</f>
        <v/>
      </c>
      <c r="S114" s="70">
        <f>IF(NOT((COUNTA($B114:$K114)+COUNTA($N114))&gt;0),"",IF($B114&lt;&gt;"","Macro",IF($C114&lt;&gt;"","Sub","Macro")))</f>
        <v/>
      </c>
      <c r="T114" s="70">
        <f>IF($S114="Macro",COUNTIFS($R$5:$R$1000,ROW(),$S$5:$S$1000,"Sub"),"")</f>
        <v/>
      </c>
      <c r="U114" s="70">
        <f>IF($S114="","",IF(ISNUMBER($H114),$H114,0))</f>
        <v/>
      </c>
      <c r="V114" s="70">
        <f>IF($S114="","",IF(ISNUMBER($I114),$I114,$U114))</f>
        <v/>
      </c>
      <c r="W114" s="70">
        <f>IF($S114="","",IF(ISNUMBER($J114),$J114,$V114))</f>
        <v/>
      </c>
      <c r="X114" s="70">
        <f>IF($S114="","",IF(ISNUMBER($K114),$K114,$W114))</f>
        <v/>
      </c>
      <c r="Y114" s="70">
        <f>IF($S114="","",IF(N($T114)&gt;0,AVERAGEIFS($U$5:$U$1000,$R$5:$R$1000,ROW(),$S$5:$S$1000,"Sub"),$U114))</f>
        <v/>
      </c>
      <c r="Z114" s="70">
        <f>IF($S114="","",IF(N($T114)&gt;0,AVERAGEIFS($V$5:$V$1000,$R$5:$R$1000,ROW(),$S$5:$S$1000,"Sub"),$V114))</f>
        <v/>
      </c>
      <c r="AA114" s="70">
        <f>IF($S114="","",IF(N($T114)&gt;0,AVERAGEIFS($W$5:$W$1000,$R$5:$R$1000,ROW(),$S$5:$S$1000,"Sub"),$W114))</f>
        <v/>
      </c>
      <c r="AB114" s="70">
        <f>IF($S114="","",IF(N($T114)&gt;0,AVERAGEIFS($X$5:$X$1000,$R$5:$R$1000,ROW(),$S$5:$S$1000,"Sub"),$X114))</f>
        <v/>
      </c>
    </row>
    <row r="115">
      <c r="A115" s="61">
        <f>IF(NOT((COUNTA($B115:$K115)+COUNTA($N115))&gt;0),"",IF($S115="Macro",COUNTIFS($S$5:$S115,"Macro",$P$5:$P115,$P115),IF(N($R115)=0,"?",COUNTIFS(INDEX($S$5:$S$1000,1):INDEX($S$5:$S$1000,$R115-4),"Macro",INDEX($P$5:$P$1000,1):INDEX($P$5:$P$1000,$R115-4),INDEX($P$5:$P$1000,$R115-4))&amp;"."&amp;COUNTIFS($R$5:$R115,$R115,$S$5:$S115,"Sub"))))</f>
        <v/>
      </c>
      <c r="B115" s="62" t="n"/>
      <c r="C115" s="63" t="n"/>
      <c r="D115" s="62" t="n"/>
      <c r="E115" s="64" t="n"/>
      <c r="F115" s="64" t="n"/>
      <c r="G115" s="65" t="n"/>
      <c r="H115" s="66" t="n"/>
      <c r="I115" s="66" t="n"/>
      <c r="J115" s="66" t="n"/>
      <c r="K115" s="66" t="n"/>
      <c r="L115" s="67">
        <f>IF(NOT((COUNTA($B115:$K115)+COUNTA($N115))&gt;0),"",IF(N($T115)&gt;0,$AB115,IFERROR(LOOKUP(2,1/(H115:K115&lt;&gt;""),H115:K115),0)))</f>
        <v/>
      </c>
      <c r="M115" s="61">
        <f>IF(L115="","",IF(L115&gt;=1,"Completado",IF(L115&gt;0,"En curso","Pendiente")))</f>
        <v/>
      </c>
      <c r="N115" s="62" t="n"/>
      <c r="O115" s="68">
        <f>IF(NOT((COUNTA($B115:$K115)+COUNTA($N115))&gt;0),"",IF((IF(AND($S115="Macro",$B115=""),"Macroactividad vacía"&amp;" · ","")&amp;IF(AND($B115&lt;&gt;"",$C115&lt;&gt;""),"Escriba la subactividad en otra fila, debajo de su macroactividad"&amp;" · ","")&amp;IF(AND($S115="Sub",N($R115)=0),"Subactividad sin macroactividad arriba"&amp;" · ","")&amp;IF($D115="","Sin responsable"&amp;" · ","")&amp;IF($E115="","Sin fecha de inicio"&amp;" · ","")&amp;IF($F115="","Sin fecha límite"&amp;" · ","")&amp;IF(OR(AND($E115&lt;&gt;"",NOT(ISNUMBER($E115))),AND($F115&lt;&gt;"",NOT(ISNUMBER($F115)))),"Fecha no válida"&amp;" · ","")&amp;IF(AND(ISNUMBER($E115),ISNUMBER($F115),$E115&gt;$F115),"Inicio posterior a fecha límite"&amp;" · ","")&amp;IF(AND($S115="Macro",$G115=""),"Peso vacío"&amp;" · ","")&amp;IF(AND($S115="Macro",$G115&lt;&gt;"",OR(NOT(ISNUMBER($G115)),$G115&lt;=0,$G115&gt;1)),"Peso fuera de rango"&amp;" · ","")&amp;IF(AND($S115="Sub",$G115&lt;&gt;""),"Las subactividades no llevan peso"&amp;" · ","")&amp;IF(AND($S115="Macro",ABS(SUMIFS($G$5:$G$1000,$P$5:$P$1000,$P115,$S$5:$S$1000,"Macro")-1)&gt;0.0001),"Pesos del mes suman "&amp;TEXT(SUMIFS($G$5:$G$1000,$P$5:$P$1000,$P115,$S$5:$S$1000,"Macro"),"0%")&amp;" · ","")&amp;IF(AND(N($T115)&gt;0,COUNT($H115:$K115)&gt;0),"Con subactividades: deje vacías las semanas (se calculan solas)"&amp;" · ","")&amp;IF((COUNTIF($H115:$K115,"&gt;1")+COUNTIF($H115:$K115,"&lt;0")+COUNTA($H115:$K115)-COUNT($H115:$K115))&gt;0,"Avance fuera de rango 0-100%"&amp;" · ","")&amp;IF(OR(AND($I115&lt;&gt;"",$I115&lt;$H115),AND($J115&lt;&gt;"",$J115&lt;MAX($H115:$I115)),AND($K115&lt;&gt;"",$K115&lt;MAX($H115:$J115))),"Avance semanal decreciente"&amp;" · ","")&amp;IF(AND(ISNUMBER($F115),$F115&lt;FechaRef,N($L115)&lt;1),"Vencida"&amp;" · ","")&amp;IF(AND(ObsObligatoria="Sí",ISNUMBER($F115),$F115&lt;FechaRef,N($L115)&lt;1,$N115=""),"Vencida sin observación"&amp;" · ",""))="","✔ OK","⚠ "&amp;LEFT(IF(AND($S115="Macro",$B115=""),"Macroactividad vacía"&amp;" · ","")&amp;IF(AND($B115&lt;&gt;"",$C115&lt;&gt;""),"Escriba la subactividad en otra fila, debajo de su macroactividad"&amp;" · ","")&amp;IF(AND($S115="Sub",N($R115)=0),"Subactividad sin macroactividad arriba"&amp;" · ","")&amp;IF($D115="","Sin responsable"&amp;" · ","")&amp;IF($E115="","Sin fecha de inicio"&amp;" · ","")&amp;IF($F115="","Sin fecha límite"&amp;" · ","")&amp;IF(OR(AND($E115&lt;&gt;"",NOT(ISNUMBER($E115))),AND($F115&lt;&gt;"",NOT(ISNUMBER($F115)))),"Fecha no válida"&amp;" · ","")&amp;IF(AND(ISNUMBER($E115),ISNUMBER($F115),$E115&gt;$F115),"Inicio posterior a fecha límite"&amp;" · ","")&amp;IF(AND($S115="Macro",$G115=""),"Peso vacío"&amp;" · ","")&amp;IF(AND($S115="Macro",$G115&lt;&gt;"",OR(NOT(ISNUMBER($G115)),$G115&lt;=0,$G115&gt;1)),"Peso fuera de rango"&amp;" · ","")&amp;IF(AND($S115="Sub",$G115&lt;&gt;""),"Las subactividades no llevan peso"&amp;" · ","")&amp;IF(AND($S115="Macro",ABS(SUMIFS($G$5:$G$1000,$P$5:$P$1000,$P115,$S$5:$S$1000,"Macro")-1)&gt;0.0001),"Pesos del mes suman "&amp;TEXT(SUMIFS($G$5:$G$1000,$P$5:$P$1000,$P115,$S$5:$S$1000,"Macro"),"0%")&amp;" · ","")&amp;IF(AND(N($T115)&gt;0,COUNT($H115:$K115)&gt;0),"Con subactividades: deje vacías las semanas (se calculan solas)"&amp;" · ","")&amp;IF((COUNTIF($H115:$K115,"&gt;1")+COUNTIF($H115:$K115,"&lt;0")+COUNTA($H115:$K115)-COUNT($H115:$K115))&gt;0,"Avance fuera de rango 0-100%"&amp;" · ","")&amp;IF(OR(AND($I115&lt;&gt;"",$I115&lt;$H115),AND($J115&lt;&gt;"",$J115&lt;MAX($H115:$I115)),AND($K115&lt;&gt;"",$K115&lt;MAX($H115:$J115))),"Avance semanal decreciente"&amp;" · ","")&amp;IF(AND(ISNUMBER($F115),$F115&lt;FechaRef,N($L115)&lt;1),"Vencida"&amp;" · ","")&amp;IF(AND(ObsObligatoria="Sí",ISNUMBER($F115),$F115&lt;FechaRef,N($L115)&lt;1,$N115=""),"Vencida sin observación"&amp;" · ",""),LEN(IF(AND($S115="Macro",$B115=""),"Macroactividad vacía"&amp;" · ","")&amp;IF(AND($B115&lt;&gt;"",$C115&lt;&gt;""),"Escriba la subactividad en otra fila, debajo de su macroactividad"&amp;" · ","")&amp;IF(AND($S115="Sub",N($R115)=0),"Subactividad sin macroactividad arriba"&amp;" · ","")&amp;IF($D115="","Sin responsable"&amp;" · ","")&amp;IF($E115="","Sin fecha de inicio"&amp;" · ","")&amp;IF($F115="","Sin fecha límite"&amp;" · ","")&amp;IF(OR(AND($E115&lt;&gt;"",NOT(ISNUMBER($E115))),AND($F115&lt;&gt;"",NOT(ISNUMBER($F115)))),"Fecha no válida"&amp;" · ","")&amp;IF(AND(ISNUMBER($E115),ISNUMBER($F115),$E115&gt;$F115),"Inicio posterior a fecha límite"&amp;" · ","")&amp;IF(AND($S115="Macro",$G115=""),"Peso vacío"&amp;" · ","")&amp;IF(AND($S115="Macro",$G115&lt;&gt;"",OR(NOT(ISNUMBER($G115)),$G115&lt;=0,$G115&gt;1)),"Peso fuera de rango"&amp;" · ","")&amp;IF(AND($S115="Sub",$G115&lt;&gt;""),"Las subactividades no llevan peso"&amp;" · ","")&amp;IF(AND($S115="Macro",ABS(SUMIFS($G$5:$G$1000,$P$5:$P$1000,$P115,$S$5:$S$1000,"Macro")-1)&gt;0.0001),"Pesos del mes suman "&amp;TEXT(SUMIFS($G$5:$G$1000,$P$5:$P$1000,$P115,$S$5:$S$1000,"Macro"),"0%")&amp;" · ","")&amp;IF(AND(N($T115)&gt;0,COUNT($H115:$K115)&gt;0),"Con subactividades: deje vacías las semanas (se calculan solas)"&amp;" · ","")&amp;IF((COUNTIF($H115:$K115,"&gt;1")+COUNTIF($H115:$K115,"&lt;0")+COUNTA($H115:$K115)-COUNT($H115:$K115))&gt;0,"Avance fuera de rango 0-100%"&amp;" · ","")&amp;IF(OR(AND($I115&lt;&gt;"",$I115&lt;$H115),AND($J115&lt;&gt;"",$J115&lt;MAX($H115:$I115)),AND($K115&lt;&gt;"",$K115&lt;MAX($H115:$J115))),"Avance semanal decreciente"&amp;" · ","")&amp;IF(AND(ISNUMBER($F115),$F115&lt;FechaRef,N($L115)&lt;1),"Vencida"&amp;" · ","")&amp;IF(AND(ObsObligatoria="Sí",ISNUMBER($F115),$F115&lt;FechaRef,N($L115)&lt;1,$N115=""),"Vencida sin observación"&amp;" · ",""))-3)))</f>
        <v/>
      </c>
      <c r="P115" s="69">
        <f>IF(NOT((COUNTA($B115:$K115)+COUNTA($N115))&gt;0),"",IF(AND($S115="Sub",N($R115)&gt;0),IF(ISNUMBER(INDEX($E$5:$E$1000,$R115-4)),DATE(YEAR(INDEX($E$5:$E$1000,$R115-4)),MONTH(INDEX($E$5:$E$1000,$R115-4)),1),IF(ISNUMBER(INDEX($F$5:$F$1000,$R115-4)),DATE(YEAR(INDEX($F$5:$F$1000,$R115-4)),MONTH(INDEX($F$5:$F$1000,$R115-4)),1),MesCiclo)),IF(ISNUMBER($E115),DATE(YEAR($E115),MONTH($E115),1),IF(ISNUMBER($F115),DATE(YEAR($F115),MONTH($F115),1),MesCiclo))))</f>
        <v/>
      </c>
      <c r="Q115" s="70">
        <f>IF(OR($P115="",$P115&lt;&gt;MesCiclo),"",COUNTIF($P$5:$P115,MesCiclo))</f>
        <v/>
      </c>
      <c r="R115" s="70">
        <f>IF($S115="","",IF($S115="Macro",ROW(),IFERROR(LOOKUP(2,1/($S$5:$S115="Macro"),ROW($S$5:$S115)),0)))</f>
        <v/>
      </c>
      <c r="S115" s="70">
        <f>IF(NOT((COUNTA($B115:$K115)+COUNTA($N115))&gt;0),"",IF($B115&lt;&gt;"","Macro",IF($C115&lt;&gt;"","Sub","Macro")))</f>
        <v/>
      </c>
      <c r="T115" s="70">
        <f>IF($S115="Macro",COUNTIFS($R$5:$R$1000,ROW(),$S$5:$S$1000,"Sub"),"")</f>
        <v/>
      </c>
      <c r="U115" s="70">
        <f>IF($S115="","",IF(ISNUMBER($H115),$H115,0))</f>
        <v/>
      </c>
      <c r="V115" s="70">
        <f>IF($S115="","",IF(ISNUMBER($I115),$I115,$U115))</f>
        <v/>
      </c>
      <c r="W115" s="70">
        <f>IF($S115="","",IF(ISNUMBER($J115),$J115,$V115))</f>
        <v/>
      </c>
      <c r="X115" s="70">
        <f>IF($S115="","",IF(ISNUMBER($K115),$K115,$W115))</f>
        <v/>
      </c>
      <c r="Y115" s="70">
        <f>IF($S115="","",IF(N($T115)&gt;0,AVERAGEIFS($U$5:$U$1000,$R$5:$R$1000,ROW(),$S$5:$S$1000,"Sub"),$U115))</f>
        <v/>
      </c>
      <c r="Z115" s="70">
        <f>IF($S115="","",IF(N($T115)&gt;0,AVERAGEIFS($V$5:$V$1000,$R$5:$R$1000,ROW(),$S$5:$S$1000,"Sub"),$V115))</f>
        <v/>
      </c>
      <c r="AA115" s="70">
        <f>IF($S115="","",IF(N($T115)&gt;0,AVERAGEIFS($W$5:$W$1000,$R$5:$R$1000,ROW(),$S$5:$S$1000,"Sub"),$W115))</f>
        <v/>
      </c>
      <c r="AB115" s="70">
        <f>IF($S115="","",IF(N($T115)&gt;0,AVERAGEIFS($X$5:$X$1000,$R$5:$R$1000,ROW(),$S$5:$S$1000,"Sub"),$X115))</f>
        <v/>
      </c>
    </row>
    <row r="116">
      <c r="A116" s="61">
        <f>IF(NOT((COUNTA($B116:$K116)+COUNTA($N116))&gt;0),"",IF($S116="Macro",COUNTIFS($S$5:$S116,"Macro",$P$5:$P116,$P116),IF(N($R116)=0,"?",COUNTIFS(INDEX($S$5:$S$1000,1):INDEX($S$5:$S$1000,$R116-4),"Macro",INDEX($P$5:$P$1000,1):INDEX($P$5:$P$1000,$R116-4),INDEX($P$5:$P$1000,$R116-4))&amp;"."&amp;COUNTIFS($R$5:$R116,$R116,$S$5:$S116,"Sub"))))</f>
        <v/>
      </c>
      <c r="B116" s="62" t="n"/>
      <c r="C116" s="63" t="n"/>
      <c r="D116" s="62" t="n"/>
      <c r="E116" s="64" t="n"/>
      <c r="F116" s="64" t="n"/>
      <c r="G116" s="65" t="n"/>
      <c r="H116" s="66" t="n"/>
      <c r="I116" s="66" t="n"/>
      <c r="J116" s="66" t="n"/>
      <c r="K116" s="66" t="n"/>
      <c r="L116" s="67">
        <f>IF(NOT((COUNTA($B116:$K116)+COUNTA($N116))&gt;0),"",IF(N($T116)&gt;0,$AB116,IFERROR(LOOKUP(2,1/(H116:K116&lt;&gt;""),H116:K116),0)))</f>
        <v/>
      </c>
      <c r="M116" s="61">
        <f>IF(L116="","",IF(L116&gt;=1,"Completado",IF(L116&gt;0,"En curso","Pendiente")))</f>
        <v/>
      </c>
      <c r="N116" s="62" t="n"/>
      <c r="O116" s="68">
        <f>IF(NOT((COUNTA($B116:$K116)+COUNTA($N116))&gt;0),"",IF((IF(AND($S116="Macro",$B116=""),"Macroactividad vacía"&amp;" · ","")&amp;IF(AND($B116&lt;&gt;"",$C116&lt;&gt;""),"Escriba la subactividad en otra fila, debajo de su macroactividad"&amp;" · ","")&amp;IF(AND($S116="Sub",N($R116)=0),"Subactividad sin macroactividad arriba"&amp;" · ","")&amp;IF($D116="","Sin responsable"&amp;" · ","")&amp;IF($E116="","Sin fecha de inicio"&amp;" · ","")&amp;IF($F116="","Sin fecha límite"&amp;" · ","")&amp;IF(OR(AND($E116&lt;&gt;"",NOT(ISNUMBER($E116))),AND($F116&lt;&gt;"",NOT(ISNUMBER($F116)))),"Fecha no válida"&amp;" · ","")&amp;IF(AND(ISNUMBER($E116),ISNUMBER($F116),$E116&gt;$F116),"Inicio posterior a fecha límite"&amp;" · ","")&amp;IF(AND($S116="Macro",$G116=""),"Peso vacío"&amp;" · ","")&amp;IF(AND($S116="Macro",$G116&lt;&gt;"",OR(NOT(ISNUMBER($G116)),$G116&lt;=0,$G116&gt;1)),"Peso fuera de rango"&amp;" · ","")&amp;IF(AND($S116="Sub",$G116&lt;&gt;""),"Las subactividades no llevan peso"&amp;" · ","")&amp;IF(AND($S116="Macro",ABS(SUMIFS($G$5:$G$1000,$P$5:$P$1000,$P116,$S$5:$S$1000,"Macro")-1)&gt;0.0001),"Pesos del mes suman "&amp;TEXT(SUMIFS($G$5:$G$1000,$P$5:$P$1000,$P116,$S$5:$S$1000,"Macro"),"0%")&amp;" · ","")&amp;IF(AND(N($T116)&gt;0,COUNT($H116:$K116)&gt;0),"Con subactividades: deje vacías las semanas (se calculan solas)"&amp;" · ","")&amp;IF((COUNTIF($H116:$K116,"&gt;1")+COUNTIF($H116:$K116,"&lt;0")+COUNTA($H116:$K116)-COUNT($H116:$K116))&gt;0,"Avance fuera de rango 0-100%"&amp;" · ","")&amp;IF(OR(AND($I116&lt;&gt;"",$I116&lt;$H116),AND($J116&lt;&gt;"",$J116&lt;MAX($H116:$I116)),AND($K116&lt;&gt;"",$K116&lt;MAX($H116:$J116))),"Avance semanal decreciente"&amp;" · ","")&amp;IF(AND(ISNUMBER($F116),$F116&lt;FechaRef,N($L116)&lt;1),"Vencida"&amp;" · ","")&amp;IF(AND(ObsObligatoria="Sí",ISNUMBER($F116),$F116&lt;FechaRef,N($L116)&lt;1,$N116=""),"Vencida sin observación"&amp;" · ",""))="","✔ OK","⚠ "&amp;LEFT(IF(AND($S116="Macro",$B116=""),"Macroactividad vacía"&amp;" · ","")&amp;IF(AND($B116&lt;&gt;"",$C116&lt;&gt;""),"Escriba la subactividad en otra fila, debajo de su macroactividad"&amp;" · ","")&amp;IF(AND($S116="Sub",N($R116)=0),"Subactividad sin macroactividad arriba"&amp;" · ","")&amp;IF($D116="","Sin responsable"&amp;" · ","")&amp;IF($E116="","Sin fecha de inicio"&amp;" · ","")&amp;IF($F116="","Sin fecha límite"&amp;" · ","")&amp;IF(OR(AND($E116&lt;&gt;"",NOT(ISNUMBER($E116))),AND($F116&lt;&gt;"",NOT(ISNUMBER($F116)))),"Fecha no válida"&amp;" · ","")&amp;IF(AND(ISNUMBER($E116),ISNUMBER($F116),$E116&gt;$F116),"Inicio posterior a fecha límite"&amp;" · ","")&amp;IF(AND($S116="Macro",$G116=""),"Peso vacío"&amp;" · ","")&amp;IF(AND($S116="Macro",$G116&lt;&gt;"",OR(NOT(ISNUMBER($G116)),$G116&lt;=0,$G116&gt;1)),"Peso fuera de rango"&amp;" · ","")&amp;IF(AND($S116="Sub",$G116&lt;&gt;""),"Las subactividades no llevan peso"&amp;" · ","")&amp;IF(AND($S116="Macro",ABS(SUMIFS($G$5:$G$1000,$P$5:$P$1000,$P116,$S$5:$S$1000,"Macro")-1)&gt;0.0001),"Pesos del mes suman "&amp;TEXT(SUMIFS($G$5:$G$1000,$P$5:$P$1000,$P116,$S$5:$S$1000,"Macro"),"0%")&amp;" · ","")&amp;IF(AND(N($T116)&gt;0,COUNT($H116:$K116)&gt;0),"Con subactividades: deje vacías las semanas (se calculan solas)"&amp;" · ","")&amp;IF((COUNTIF($H116:$K116,"&gt;1")+COUNTIF($H116:$K116,"&lt;0")+COUNTA($H116:$K116)-COUNT($H116:$K116))&gt;0,"Avance fuera de rango 0-100%"&amp;" · ","")&amp;IF(OR(AND($I116&lt;&gt;"",$I116&lt;$H116),AND($J116&lt;&gt;"",$J116&lt;MAX($H116:$I116)),AND($K116&lt;&gt;"",$K116&lt;MAX($H116:$J116))),"Avance semanal decreciente"&amp;" · ","")&amp;IF(AND(ISNUMBER($F116),$F116&lt;FechaRef,N($L116)&lt;1),"Vencida"&amp;" · ","")&amp;IF(AND(ObsObligatoria="Sí",ISNUMBER($F116),$F116&lt;FechaRef,N($L116)&lt;1,$N116=""),"Vencida sin observación"&amp;" · ",""),LEN(IF(AND($S116="Macro",$B116=""),"Macroactividad vacía"&amp;" · ","")&amp;IF(AND($B116&lt;&gt;"",$C116&lt;&gt;""),"Escriba la subactividad en otra fila, debajo de su macroactividad"&amp;" · ","")&amp;IF(AND($S116="Sub",N($R116)=0),"Subactividad sin macroactividad arriba"&amp;" · ","")&amp;IF($D116="","Sin responsable"&amp;" · ","")&amp;IF($E116="","Sin fecha de inicio"&amp;" · ","")&amp;IF($F116="","Sin fecha límite"&amp;" · ","")&amp;IF(OR(AND($E116&lt;&gt;"",NOT(ISNUMBER($E116))),AND($F116&lt;&gt;"",NOT(ISNUMBER($F116)))),"Fecha no válida"&amp;" · ","")&amp;IF(AND(ISNUMBER($E116),ISNUMBER($F116),$E116&gt;$F116),"Inicio posterior a fecha límite"&amp;" · ","")&amp;IF(AND($S116="Macro",$G116=""),"Peso vacío"&amp;" · ","")&amp;IF(AND($S116="Macro",$G116&lt;&gt;"",OR(NOT(ISNUMBER($G116)),$G116&lt;=0,$G116&gt;1)),"Peso fuera de rango"&amp;" · ","")&amp;IF(AND($S116="Sub",$G116&lt;&gt;""),"Las subactividades no llevan peso"&amp;" · ","")&amp;IF(AND($S116="Macro",ABS(SUMIFS($G$5:$G$1000,$P$5:$P$1000,$P116,$S$5:$S$1000,"Macro")-1)&gt;0.0001),"Pesos del mes suman "&amp;TEXT(SUMIFS($G$5:$G$1000,$P$5:$P$1000,$P116,$S$5:$S$1000,"Macro"),"0%")&amp;" · ","")&amp;IF(AND(N($T116)&gt;0,COUNT($H116:$K116)&gt;0),"Con subactividades: deje vacías las semanas (se calculan solas)"&amp;" · ","")&amp;IF((COUNTIF($H116:$K116,"&gt;1")+COUNTIF($H116:$K116,"&lt;0")+COUNTA($H116:$K116)-COUNT($H116:$K116))&gt;0,"Avance fuera de rango 0-100%"&amp;" · ","")&amp;IF(OR(AND($I116&lt;&gt;"",$I116&lt;$H116),AND($J116&lt;&gt;"",$J116&lt;MAX($H116:$I116)),AND($K116&lt;&gt;"",$K116&lt;MAX($H116:$J116))),"Avance semanal decreciente"&amp;" · ","")&amp;IF(AND(ISNUMBER($F116),$F116&lt;FechaRef,N($L116)&lt;1),"Vencida"&amp;" · ","")&amp;IF(AND(ObsObligatoria="Sí",ISNUMBER($F116),$F116&lt;FechaRef,N($L116)&lt;1,$N116=""),"Vencida sin observación"&amp;" · ",""))-3)))</f>
        <v/>
      </c>
      <c r="P116" s="69">
        <f>IF(NOT((COUNTA($B116:$K116)+COUNTA($N116))&gt;0),"",IF(AND($S116="Sub",N($R116)&gt;0),IF(ISNUMBER(INDEX($E$5:$E$1000,$R116-4)),DATE(YEAR(INDEX($E$5:$E$1000,$R116-4)),MONTH(INDEX($E$5:$E$1000,$R116-4)),1),IF(ISNUMBER(INDEX($F$5:$F$1000,$R116-4)),DATE(YEAR(INDEX($F$5:$F$1000,$R116-4)),MONTH(INDEX($F$5:$F$1000,$R116-4)),1),MesCiclo)),IF(ISNUMBER($E116),DATE(YEAR($E116),MONTH($E116),1),IF(ISNUMBER($F116),DATE(YEAR($F116),MONTH($F116),1),MesCiclo))))</f>
        <v/>
      </c>
      <c r="Q116" s="70">
        <f>IF(OR($P116="",$P116&lt;&gt;MesCiclo),"",COUNTIF($P$5:$P116,MesCiclo))</f>
        <v/>
      </c>
      <c r="R116" s="70">
        <f>IF($S116="","",IF($S116="Macro",ROW(),IFERROR(LOOKUP(2,1/($S$5:$S116="Macro"),ROW($S$5:$S116)),0)))</f>
        <v/>
      </c>
      <c r="S116" s="70">
        <f>IF(NOT((COUNTA($B116:$K116)+COUNTA($N116))&gt;0),"",IF($B116&lt;&gt;"","Macro",IF($C116&lt;&gt;"","Sub","Macro")))</f>
        <v/>
      </c>
      <c r="T116" s="70">
        <f>IF($S116="Macro",COUNTIFS($R$5:$R$1000,ROW(),$S$5:$S$1000,"Sub"),"")</f>
        <v/>
      </c>
      <c r="U116" s="70">
        <f>IF($S116="","",IF(ISNUMBER($H116),$H116,0))</f>
        <v/>
      </c>
      <c r="V116" s="70">
        <f>IF($S116="","",IF(ISNUMBER($I116),$I116,$U116))</f>
        <v/>
      </c>
      <c r="W116" s="70">
        <f>IF($S116="","",IF(ISNUMBER($J116),$J116,$V116))</f>
        <v/>
      </c>
      <c r="X116" s="70">
        <f>IF($S116="","",IF(ISNUMBER($K116),$K116,$W116))</f>
        <v/>
      </c>
      <c r="Y116" s="70">
        <f>IF($S116="","",IF(N($T116)&gt;0,AVERAGEIFS($U$5:$U$1000,$R$5:$R$1000,ROW(),$S$5:$S$1000,"Sub"),$U116))</f>
        <v/>
      </c>
      <c r="Z116" s="70">
        <f>IF($S116="","",IF(N($T116)&gt;0,AVERAGEIFS($V$5:$V$1000,$R$5:$R$1000,ROW(),$S$5:$S$1000,"Sub"),$V116))</f>
        <v/>
      </c>
      <c r="AA116" s="70">
        <f>IF($S116="","",IF(N($T116)&gt;0,AVERAGEIFS($W$5:$W$1000,$R$5:$R$1000,ROW(),$S$5:$S$1000,"Sub"),$W116))</f>
        <v/>
      </c>
      <c r="AB116" s="70">
        <f>IF($S116="","",IF(N($T116)&gt;0,AVERAGEIFS($X$5:$X$1000,$R$5:$R$1000,ROW(),$S$5:$S$1000,"Sub"),$X116))</f>
        <v/>
      </c>
    </row>
    <row r="117">
      <c r="A117" s="61">
        <f>IF(NOT((COUNTA($B117:$K117)+COUNTA($N117))&gt;0),"",IF($S117="Macro",COUNTIFS($S$5:$S117,"Macro",$P$5:$P117,$P117),IF(N($R117)=0,"?",COUNTIFS(INDEX($S$5:$S$1000,1):INDEX($S$5:$S$1000,$R117-4),"Macro",INDEX($P$5:$P$1000,1):INDEX($P$5:$P$1000,$R117-4),INDEX($P$5:$P$1000,$R117-4))&amp;"."&amp;COUNTIFS($R$5:$R117,$R117,$S$5:$S117,"Sub"))))</f>
        <v/>
      </c>
      <c r="B117" s="62" t="n"/>
      <c r="C117" s="63" t="n"/>
      <c r="D117" s="62" t="n"/>
      <c r="E117" s="64" t="n"/>
      <c r="F117" s="64" t="n"/>
      <c r="G117" s="65" t="n"/>
      <c r="H117" s="66" t="n"/>
      <c r="I117" s="66" t="n"/>
      <c r="J117" s="66" t="n"/>
      <c r="K117" s="66" t="n"/>
      <c r="L117" s="67">
        <f>IF(NOT((COUNTA($B117:$K117)+COUNTA($N117))&gt;0),"",IF(N($T117)&gt;0,$AB117,IFERROR(LOOKUP(2,1/(H117:K117&lt;&gt;""),H117:K117),0)))</f>
        <v/>
      </c>
      <c r="M117" s="61">
        <f>IF(L117="","",IF(L117&gt;=1,"Completado",IF(L117&gt;0,"En curso","Pendiente")))</f>
        <v/>
      </c>
      <c r="N117" s="62" t="n"/>
      <c r="O117" s="68">
        <f>IF(NOT((COUNTA($B117:$K117)+COUNTA($N117))&gt;0),"",IF((IF(AND($S117="Macro",$B117=""),"Macroactividad vacía"&amp;" · ","")&amp;IF(AND($B117&lt;&gt;"",$C117&lt;&gt;""),"Escriba la subactividad en otra fila, debajo de su macroactividad"&amp;" · ","")&amp;IF(AND($S117="Sub",N($R117)=0),"Subactividad sin macroactividad arriba"&amp;" · ","")&amp;IF($D117="","Sin responsable"&amp;" · ","")&amp;IF($E117="","Sin fecha de inicio"&amp;" · ","")&amp;IF($F117="","Sin fecha límite"&amp;" · ","")&amp;IF(OR(AND($E117&lt;&gt;"",NOT(ISNUMBER($E117))),AND($F117&lt;&gt;"",NOT(ISNUMBER($F117)))),"Fecha no válida"&amp;" · ","")&amp;IF(AND(ISNUMBER($E117),ISNUMBER($F117),$E117&gt;$F117),"Inicio posterior a fecha límite"&amp;" · ","")&amp;IF(AND($S117="Macro",$G117=""),"Peso vacío"&amp;" · ","")&amp;IF(AND($S117="Macro",$G117&lt;&gt;"",OR(NOT(ISNUMBER($G117)),$G117&lt;=0,$G117&gt;1)),"Peso fuera de rango"&amp;" · ","")&amp;IF(AND($S117="Sub",$G117&lt;&gt;""),"Las subactividades no llevan peso"&amp;" · ","")&amp;IF(AND($S117="Macro",ABS(SUMIFS($G$5:$G$1000,$P$5:$P$1000,$P117,$S$5:$S$1000,"Macro")-1)&gt;0.0001),"Pesos del mes suman "&amp;TEXT(SUMIFS($G$5:$G$1000,$P$5:$P$1000,$P117,$S$5:$S$1000,"Macro"),"0%")&amp;" · ","")&amp;IF(AND(N($T117)&gt;0,COUNT($H117:$K117)&gt;0),"Con subactividades: deje vacías las semanas (se calculan solas)"&amp;" · ","")&amp;IF((COUNTIF($H117:$K117,"&gt;1")+COUNTIF($H117:$K117,"&lt;0")+COUNTA($H117:$K117)-COUNT($H117:$K117))&gt;0,"Avance fuera de rango 0-100%"&amp;" · ","")&amp;IF(OR(AND($I117&lt;&gt;"",$I117&lt;$H117),AND($J117&lt;&gt;"",$J117&lt;MAX($H117:$I117)),AND($K117&lt;&gt;"",$K117&lt;MAX($H117:$J117))),"Avance semanal decreciente"&amp;" · ","")&amp;IF(AND(ISNUMBER($F117),$F117&lt;FechaRef,N($L117)&lt;1),"Vencida"&amp;" · ","")&amp;IF(AND(ObsObligatoria="Sí",ISNUMBER($F117),$F117&lt;FechaRef,N($L117)&lt;1,$N117=""),"Vencida sin observación"&amp;" · ",""))="","✔ OK","⚠ "&amp;LEFT(IF(AND($S117="Macro",$B117=""),"Macroactividad vacía"&amp;" · ","")&amp;IF(AND($B117&lt;&gt;"",$C117&lt;&gt;""),"Escriba la subactividad en otra fila, debajo de su macroactividad"&amp;" · ","")&amp;IF(AND($S117="Sub",N($R117)=0),"Subactividad sin macroactividad arriba"&amp;" · ","")&amp;IF($D117="","Sin responsable"&amp;" · ","")&amp;IF($E117="","Sin fecha de inicio"&amp;" · ","")&amp;IF($F117="","Sin fecha límite"&amp;" · ","")&amp;IF(OR(AND($E117&lt;&gt;"",NOT(ISNUMBER($E117))),AND($F117&lt;&gt;"",NOT(ISNUMBER($F117)))),"Fecha no válida"&amp;" · ","")&amp;IF(AND(ISNUMBER($E117),ISNUMBER($F117),$E117&gt;$F117),"Inicio posterior a fecha límite"&amp;" · ","")&amp;IF(AND($S117="Macro",$G117=""),"Peso vacío"&amp;" · ","")&amp;IF(AND($S117="Macro",$G117&lt;&gt;"",OR(NOT(ISNUMBER($G117)),$G117&lt;=0,$G117&gt;1)),"Peso fuera de rango"&amp;" · ","")&amp;IF(AND($S117="Sub",$G117&lt;&gt;""),"Las subactividades no llevan peso"&amp;" · ","")&amp;IF(AND($S117="Macro",ABS(SUMIFS($G$5:$G$1000,$P$5:$P$1000,$P117,$S$5:$S$1000,"Macro")-1)&gt;0.0001),"Pesos del mes suman "&amp;TEXT(SUMIFS($G$5:$G$1000,$P$5:$P$1000,$P117,$S$5:$S$1000,"Macro"),"0%")&amp;" · ","")&amp;IF(AND(N($T117)&gt;0,COUNT($H117:$K117)&gt;0),"Con subactividades: deje vacías las semanas (se calculan solas)"&amp;" · ","")&amp;IF((COUNTIF($H117:$K117,"&gt;1")+COUNTIF($H117:$K117,"&lt;0")+COUNTA($H117:$K117)-COUNT($H117:$K117))&gt;0,"Avance fuera de rango 0-100%"&amp;" · ","")&amp;IF(OR(AND($I117&lt;&gt;"",$I117&lt;$H117),AND($J117&lt;&gt;"",$J117&lt;MAX($H117:$I117)),AND($K117&lt;&gt;"",$K117&lt;MAX($H117:$J117))),"Avance semanal decreciente"&amp;" · ","")&amp;IF(AND(ISNUMBER($F117),$F117&lt;FechaRef,N($L117)&lt;1),"Vencida"&amp;" · ","")&amp;IF(AND(ObsObligatoria="Sí",ISNUMBER($F117),$F117&lt;FechaRef,N($L117)&lt;1,$N117=""),"Vencida sin observación"&amp;" · ",""),LEN(IF(AND($S117="Macro",$B117=""),"Macroactividad vacía"&amp;" · ","")&amp;IF(AND($B117&lt;&gt;"",$C117&lt;&gt;""),"Escriba la subactividad en otra fila, debajo de su macroactividad"&amp;" · ","")&amp;IF(AND($S117="Sub",N($R117)=0),"Subactividad sin macroactividad arriba"&amp;" · ","")&amp;IF($D117="","Sin responsable"&amp;" · ","")&amp;IF($E117="","Sin fecha de inicio"&amp;" · ","")&amp;IF($F117="","Sin fecha límite"&amp;" · ","")&amp;IF(OR(AND($E117&lt;&gt;"",NOT(ISNUMBER($E117))),AND($F117&lt;&gt;"",NOT(ISNUMBER($F117)))),"Fecha no válida"&amp;" · ","")&amp;IF(AND(ISNUMBER($E117),ISNUMBER($F117),$E117&gt;$F117),"Inicio posterior a fecha límite"&amp;" · ","")&amp;IF(AND($S117="Macro",$G117=""),"Peso vacío"&amp;" · ","")&amp;IF(AND($S117="Macro",$G117&lt;&gt;"",OR(NOT(ISNUMBER($G117)),$G117&lt;=0,$G117&gt;1)),"Peso fuera de rango"&amp;" · ","")&amp;IF(AND($S117="Sub",$G117&lt;&gt;""),"Las subactividades no llevan peso"&amp;" · ","")&amp;IF(AND($S117="Macro",ABS(SUMIFS($G$5:$G$1000,$P$5:$P$1000,$P117,$S$5:$S$1000,"Macro")-1)&gt;0.0001),"Pesos del mes suman "&amp;TEXT(SUMIFS($G$5:$G$1000,$P$5:$P$1000,$P117,$S$5:$S$1000,"Macro"),"0%")&amp;" · ","")&amp;IF(AND(N($T117)&gt;0,COUNT($H117:$K117)&gt;0),"Con subactividades: deje vacías las semanas (se calculan solas)"&amp;" · ","")&amp;IF((COUNTIF($H117:$K117,"&gt;1")+COUNTIF($H117:$K117,"&lt;0")+COUNTA($H117:$K117)-COUNT($H117:$K117))&gt;0,"Avance fuera de rango 0-100%"&amp;" · ","")&amp;IF(OR(AND($I117&lt;&gt;"",$I117&lt;$H117),AND($J117&lt;&gt;"",$J117&lt;MAX($H117:$I117)),AND($K117&lt;&gt;"",$K117&lt;MAX($H117:$J117))),"Avance semanal decreciente"&amp;" · ","")&amp;IF(AND(ISNUMBER($F117),$F117&lt;FechaRef,N($L117)&lt;1),"Vencida"&amp;" · ","")&amp;IF(AND(ObsObligatoria="Sí",ISNUMBER($F117),$F117&lt;FechaRef,N($L117)&lt;1,$N117=""),"Vencida sin observación"&amp;" · ",""))-3)))</f>
        <v/>
      </c>
      <c r="P117" s="69">
        <f>IF(NOT((COUNTA($B117:$K117)+COUNTA($N117))&gt;0),"",IF(AND($S117="Sub",N($R117)&gt;0),IF(ISNUMBER(INDEX($E$5:$E$1000,$R117-4)),DATE(YEAR(INDEX($E$5:$E$1000,$R117-4)),MONTH(INDEX($E$5:$E$1000,$R117-4)),1),IF(ISNUMBER(INDEX($F$5:$F$1000,$R117-4)),DATE(YEAR(INDEX($F$5:$F$1000,$R117-4)),MONTH(INDEX($F$5:$F$1000,$R117-4)),1),MesCiclo)),IF(ISNUMBER($E117),DATE(YEAR($E117),MONTH($E117),1),IF(ISNUMBER($F117),DATE(YEAR($F117),MONTH($F117),1),MesCiclo))))</f>
        <v/>
      </c>
      <c r="Q117" s="70">
        <f>IF(OR($P117="",$P117&lt;&gt;MesCiclo),"",COUNTIF($P$5:$P117,MesCiclo))</f>
        <v/>
      </c>
      <c r="R117" s="70">
        <f>IF($S117="","",IF($S117="Macro",ROW(),IFERROR(LOOKUP(2,1/($S$5:$S117="Macro"),ROW($S$5:$S117)),0)))</f>
        <v/>
      </c>
      <c r="S117" s="70">
        <f>IF(NOT((COUNTA($B117:$K117)+COUNTA($N117))&gt;0),"",IF($B117&lt;&gt;"","Macro",IF($C117&lt;&gt;"","Sub","Macro")))</f>
        <v/>
      </c>
      <c r="T117" s="70">
        <f>IF($S117="Macro",COUNTIFS($R$5:$R$1000,ROW(),$S$5:$S$1000,"Sub"),"")</f>
        <v/>
      </c>
      <c r="U117" s="70">
        <f>IF($S117="","",IF(ISNUMBER($H117),$H117,0))</f>
        <v/>
      </c>
      <c r="V117" s="70">
        <f>IF($S117="","",IF(ISNUMBER($I117),$I117,$U117))</f>
        <v/>
      </c>
      <c r="W117" s="70">
        <f>IF($S117="","",IF(ISNUMBER($J117),$J117,$V117))</f>
        <v/>
      </c>
      <c r="X117" s="70">
        <f>IF($S117="","",IF(ISNUMBER($K117),$K117,$W117))</f>
        <v/>
      </c>
      <c r="Y117" s="70">
        <f>IF($S117="","",IF(N($T117)&gt;0,AVERAGEIFS($U$5:$U$1000,$R$5:$R$1000,ROW(),$S$5:$S$1000,"Sub"),$U117))</f>
        <v/>
      </c>
      <c r="Z117" s="70">
        <f>IF($S117="","",IF(N($T117)&gt;0,AVERAGEIFS($V$5:$V$1000,$R$5:$R$1000,ROW(),$S$5:$S$1000,"Sub"),$V117))</f>
        <v/>
      </c>
      <c r="AA117" s="70">
        <f>IF($S117="","",IF(N($T117)&gt;0,AVERAGEIFS($W$5:$W$1000,$R$5:$R$1000,ROW(),$S$5:$S$1000,"Sub"),$W117))</f>
        <v/>
      </c>
      <c r="AB117" s="70">
        <f>IF($S117="","",IF(N($T117)&gt;0,AVERAGEIFS($X$5:$X$1000,$R$5:$R$1000,ROW(),$S$5:$S$1000,"Sub"),$X117))</f>
        <v/>
      </c>
    </row>
    <row r="118">
      <c r="A118" s="61">
        <f>IF(NOT((COUNTA($B118:$K118)+COUNTA($N118))&gt;0),"",IF($S118="Macro",COUNTIFS($S$5:$S118,"Macro",$P$5:$P118,$P118),IF(N($R118)=0,"?",COUNTIFS(INDEX($S$5:$S$1000,1):INDEX($S$5:$S$1000,$R118-4),"Macro",INDEX($P$5:$P$1000,1):INDEX($P$5:$P$1000,$R118-4),INDEX($P$5:$P$1000,$R118-4))&amp;"."&amp;COUNTIFS($R$5:$R118,$R118,$S$5:$S118,"Sub"))))</f>
        <v/>
      </c>
      <c r="B118" s="62" t="n"/>
      <c r="C118" s="63" t="n"/>
      <c r="D118" s="62" t="n"/>
      <c r="E118" s="64" t="n"/>
      <c r="F118" s="64" t="n"/>
      <c r="G118" s="65" t="n"/>
      <c r="H118" s="66" t="n"/>
      <c r="I118" s="66" t="n"/>
      <c r="J118" s="66" t="n"/>
      <c r="K118" s="66" t="n"/>
      <c r="L118" s="67">
        <f>IF(NOT((COUNTA($B118:$K118)+COUNTA($N118))&gt;0),"",IF(N($T118)&gt;0,$AB118,IFERROR(LOOKUP(2,1/(H118:K118&lt;&gt;""),H118:K118),0)))</f>
        <v/>
      </c>
      <c r="M118" s="61">
        <f>IF(L118="","",IF(L118&gt;=1,"Completado",IF(L118&gt;0,"En curso","Pendiente")))</f>
        <v/>
      </c>
      <c r="N118" s="62" t="n"/>
      <c r="O118" s="68">
        <f>IF(NOT((COUNTA($B118:$K118)+COUNTA($N118))&gt;0),"",IF((IF(AND($S118="Macro",$B118=""),"Macroactividad vacía"&amp;" · ","")&amp;IF(AND($B118&lt;&gt;"",$C118&lt;&gt;""),"Escriba la subactividad en otra fila, debajo de su macroactividad"&amp;" · ","")&amp;IF(AND($S118="Sub",N($R118)=0),"Subactividad sin macroactividad arriba"&amp;" · ","")&amp;IF($D118="","Sin responsable"&amp;" · ","")&amp;IF($E118="","Sin fecha de inicio"&amp;" · ","")&amp;IF($F118="","Sin fecha límite"&amp;" · ","")&amp;IF(OR(AND($E118&lt;&gt;"",NOT(ISNUMBER($E118))),AND($F118&lt;&gt;"",NOT(ISNUMBER($F118)))),"Fecha no válida"&amp;" · ","")&amp;IF(AND(ISNUMBER($E118),ISNUMBER($F118),$E118&gt;$F118),"Inicio posterior a fecha límite"&amp;" · ","")&amp;IF(AND($S118="Macro",$G118=""),"Peso vacío"&amp;" · ","")&amp;IF(AND($S118="Macro",$G118&lt;&gt;"",OR(NOT(ISNUMBER($G118)),$G118&lt;=0,$G118&gt;1)),"Peso fuera de rango"&amp;" · ","")&amp;IF(AND($S118="Sub",$G118&lt;&gt;""),"Las subactividades no llevan peso"&amp;" · ","")&amp;IF(AND($S118="Macro",ABS(SUMIFS($G$5:$G$1000,$P$5:$P$1000,$P118,$S$5:$S$1000,"Macro")-1)&gt;0.0001),"Pesos del mes suman "&amp;TEXT(SUMIFS($G$5:$G$1000,$P$5:$P$1000,$P118,$S$5:$S$1000,"Macro"),"0%")&amp;" · ","")&amp;IF(AND(N($T118)&gt;0,COUNT($H118:$K118)&gt;0),"Con subactividades: deje vacías las semanas (se calculan solas)"&amp;" · ","")&amp;IF((COUNTIF($H118:$K118,"&gt;1")+COUNTIF($H118:$K118,"&lt;0")+COUNTA($H118:$K118)-COUNT($H118:$K118))&gt;0,"Avance fuera de rango 0-100%"&amp;" · ","")&amp;IF(OR(AND($I118&lt;&gt;"",$I118&lt;$H118),AND($J118&lt;&gt;"",$J118&lt;MAX($H118:$I118)),AND($K118&lt;&gt;"",$K118&lt;MAX($H118:$J118))),"Avance semanal decreciente"&amp;" · ","")&amp;IF(AND(ISNUMBER($F118),$F118&lt;FechaRef,N($L118)&lt;1),"Vencida"&amp;" · ","")&amp;IF(AND(ObsObligatoria="Sí",ISNUMBER($F118),$F118&lt;FechaRef,N($L118)&lt;1,$N118=""),"Vencida sin observación"&amp;" · ",""))="","✔ OK","⚠ "&amp;LEFT(IF(AND($S118="Macro",$B118=""),"Macroactividad vacía"&amp;" · ","")&amp;IF(AND($B118&lt;&gt;"",$C118&lt;&gt;""),"Escriba la subactividad en otra fila, debajo de su macroactividad"&amp;" · ","")&amp;IF(AND($S118="Sub",N($R118)=0),"Subactividad sin macroactividad arriba"&amp;" · ","")&amp;IF($D118="","Sin responsable"&amp;" · ","")&amp;IF($E118="","Sin fecha de inicio"&amp;" · ","")&amp;IF($F118="","Sin fecha límite"&amp;" · ","")&amp;IF(OR(AND($E118&lt;&gt;"",NOT(ISNUMBER($E118))),AND($F118&lt;&gt;"",NOT(ISNUMBER($F118)))),"Fecha no válida"&amp;" · ","")&amp;IF(AND(ISNUMBER($E118),ISNUMBER($F118),$E118&gt;$F118),"Inicio posterior a fecha límite"&amp;" · ","")&amp;IF(AND($S118="Macro",$G118=""),"Peso vacío"&amp;" · ","")&amp;IF(AND($S118="Macro",$G118&lt;&gt;"",OR(NOT(ISNUMBER($G118)),$G118&lt;=0,$G118&gt;1)),"Peso fuera de rango"&amp;" · ","")&amp;IF(AND($S118="Sub",$G118&lt;&gt;""),"Las subactividades no llevan peso"&amp;" · ","")&amp;IF(AND($S118="Macro",ABS(SUMIFS($G$5:$G$1000,$P$5:$P$1000,$P118,$S$5:$S$1000,"Macro")-1)&gt;0.0001),"Pesos del mes suman "&amp;TEXT(SUMIFS($G$5:$G$1000,$P$5:$P$1000,$P118,$S$5:$S$1000,"Macro"),"0%")&amp;" · ","")&amp;IF(AND(N($T118)&gt;0,COUNT($H118:$K118)&gt;0),"Con subactividades: deje vacías las semanas (se calculan solas)"&amp;" · ","")&amp;IF((COUNTIF($H118:$K118,"&gt;1")+COUNTIF($H118:$K118,"&lt;0")+COUNTA($H118:$K118)-COUNT($H118:$K118))&gt;0,"Avance fuera de rango 0-100%"&amp;" · ","")&amp;IF(OR(AND($I118&lt;&gt;"",$I118&lt;$H118),AND($J118&lt;&gt;"",$J118&lt;MAX($H118:$I118)),AND($K118&lt;&gt;"",$K118&lt;MAX($H118:$J118))),"Avance semanal decreciente"&amp;" · ","")&amp;IF(AND(ISNUMBER($F118),$F118&lt;FechaRef,N($L118)&lt;1),"Vencida"&amp;" · ","")&amp;IF(AND(ObsObligatoria="Sí",ISNUMBER($F118),$F118&lt;FechaRef,N($L118)&lt;1,$N118=""),"Vencida sin observación"&amp;" · ",""),LEN(IF(AND($S118="Macro",$B118=""),"Macroactividad vacía"&amp;" · ","")&amp;IF(AND($B118&lt;&gt;"",$C118&lt;&gt;""),"Escriba la subactividad en otra fila, debajo de su macroactividad"&amp;" · ","")&amp;IF(AND($S118="Sub",N($R118)=0),"Subactividad sin macroactividad arriba"&amp;" · ","")&amp;IF($D118="","Sin responsable"&amp;" · ","")&amp;IF($E118="","Sin fecha de inicio"&amp;" · ","")&amp;IF($F118="","Sin fecha límite"&amp;" · ","")&amp;IF(OR(AND($E118&lt;&gt;"",NOT(ISNUMBER($E118))),AND($F118&lt;&gt;"",NOT(ISNUMBER($F118)))),"Fecha no válida"&amp;" · ","")&amp;IF(AND(ISNUMBER($E118),ISNUMBER($F118),$E118&gt;$F118),"Inicio posterior a fecha límite"&amp;" · ","")&amp;IF(AND($S118="Macro",$G118=""),"Peso vacío"&amp;" · ","")&amp;IF(AND($S118="Macro",$G118&lt;&gt;"",OR(NOT(ISNUMBER($G118)),$G118&lt;=0,$G118&gt;1)),"Peso fuera de rango"&amp;" · ","")&amp;IF(AND($S118="Sub",$G118&lt;&gt;""),"Las subactividades no llevan peso"&amp;" · ","")&amp;IF(AND($S118="Macro",ABS(SUMIFS($G$5:$G$1000,$P$5:$P$1000,$P118,$S$5:$S$1000,"Macro")-1)&gt;0.0001),"Pesos del mes suman "&amp;TEXT(SUMIFS($G$5:$G$1000,$P$5:$P$1000,$P118,$S$5:$S$1000,"Macro"),"0%")&amp;" · ","")&amp;IF(AND(N($T118)&gt;0,COUNT($H118:$K118)&gt;0),"Con subactividades: deje vacías las semanas (se calculan solas)"&amp;" · ","")&amp;IF((COUNTIF($H118:$K118,"&gt;1")+COUNTIF($H118:$K118,"&lt;0")+COUNTA($H118:$K118)-COUNT($H118:$K118))&gt;0,"Avance fuera de rango 0-100%"&amp;" · ","")&amp;IF(OR(AND($I118&lt;&gt;"",$I118&lt;$H118),AND($J118&lt;&gt;"",$J118&lt;MAX($H118:$I118)),AND($K118&lt;&gt;"",$K118&lt;MAX($H118:$J118))),"Avance semanal decreciente"&amp;" · ","")&amp;IF(AND(ISNUMBER($F118),$F118&lt;FechaRef,N($L118)&lt;1),"Vencida"&amp;" · ","")&amp;IF(AND(ObsObligatoria="Sí",ISNUMBER($F118),$F118&lt;FechaRef,N($L118)&lt;1,$N118=""),"Vencida sin observación"&amp;" · ",""))-3)))</f>
        <v/>
      </c>
      <c r="P118" s="69">
        <f>IF(NOT((COUNTA($B118:$K118)+COUNTA($N118))&gt;0),"",IF(AND($S118="Sub",N($R118)&gt;0),IF(ISNUMBER(INDEX($E$5:$E$1000,$R118-4)),DATE(YEAR(INDEX($E$5:$E$1000,$R118-4)),MONTH(INDEX($E$5:$E$1000,$R118-4)),1),IF(ISNUMBER(INDEX($F$5:$F$1000,$R118-4)),DATE(YEAR(INDEX($F$5:$F$1000,$R118-4)),MONTH(INDEX($F$5:$F$1000,$R118-4)),1),MesCiclo)),IF(ISNUMBER($E118),DATE(YEAR($E118),MONTH($E118),1),IF(ISNUMBER($F118),DATE(YEAR($F118),MONTH($F118),1),MesCiclo))))</f>
        <v/>
      </c>
      <c r="Q118" s="70">
        <f>IF(OR($P118="",$P118&lt;&gt;MesCiclo),"",COUNTIF($P$5:$P118,MesCiclo))</f>
        <v/>
      </c>
      <c r="R118" s="70">
        <f>IF($S118="","",IF($S118="Macro",ROW(),IFERROR(LOOKUP(2,1/($S$5:$S118="Macro"),ROW($S$5:$S118)),0)))</f>
        <v/>
      </c>
      <c r="S118" s="70">
        <f>IF(NOT((COUNTA($B118:$K118)+COUNTA($N118))&gt;0),"",IF($B118&lt;&gt;"","Macro",IF($C118&lt;&gt;"","Sub","Macro")))</f>
        <v/>
      </c>
      <c r="T118" s="70">
        <f>IF($S118="Macro",COUNTIFS($R$5:$R$1000,ROW(),$S$5:$S$1000,"Sub"),"")</f>
        <v/>
      </c>
      <c r="U118" s="70">
        <f>IF($S118="","",IF(ISNUMBER($H118),$H118,0))</f>
        <v/>
      </c>
      <c r="V118" s="70">
        <f>IF($S118="","",IF(ISNUMBER($I118),$I118,$U118))</f>
        <v/>
      </c>
      <c r="W118" s="70">
        <f>IF($S118="","",IF(ISNUMBER($J118),$J118,$V118))</f>
        <v/>
      </c>
      <c r="X118" s="70">
        <f>IF($S118="","",IF(ISNUMBER($K118),$K118,$W118))</f>
        <v/>
      </c>
      <c r="Y118" s="70">
        <f>IF($S118="","",IF(N($T118)&gt;0,AVERAGEIFS($U$5:$U$1000,$R$5:$R$1000,ROW(),$S$5:$S$1000,"Sub"),$U118))</f>
        <v/>
      </c>
      <c r="Z118" s="70">
        <f>IF($S118="","",IF(N($T118)&gt;0,AVERAGEIFS($V$5:$V$1000,$R$5:$R$1000,ROW(),$S$5:$S$1000,"Sub"),$V118))</f>
        <v/>
      </c>
      <c r="AA118" s="70">
        <f>IF($S118="","",IF(N($T118)&gt;0,AVERAGEIFS($W$5:$W$1000,$R$5:$R$1000,ROW(),$S$5:$S$1000,"Sub"),$W118))</f>
        <v/>
      </c>
      <c r="AB118" s="70">
        <f>IF($S118="","",IF(N($T118)&gt;0,AVERAGEIFS($X$5:$X$1000,$R$5:$R$1000,ROW(),$S$5:$S$1000,"Sub"),$X118))</f>
        <v/>
      </c>
    </row>
    <row r="119">
      <c r="A119" s="61">
        <f>IF(NOT((COUNTA($B119:$K119)+COUNTA($N119))&gt;0),"",IF($S119="Macro",COUNTIFS($S$5:$S119,"Macro",$P$5:$P119,$P119),IF(N($R119)=0,"?",COUNTIFS(INDEX($S$5:$S$1000,1):INDEX($S$5:$S$1000,$R119-4),"Macro",INDEX($P$5:$P$1000,1):INDEX($P$5:$P$1000,$R119-4),INDEX($P$5:$P$1000,$R119-4))&amp;"."&amp;COUNTIFS($R$5:$R119,$R119,$S$5:$S119,"Sub"))))</f>
        <v/>
      </c>
      <c r="B119" s="62" t="n"/>
      <c r="C119" s="63" t="n"/>
      <c r="D119" s="62" t="n"/>
      <c r="E119" s="64" t="n"/>
      <c r="F119" s="64" t="n"/>
      <c r="G119" s="65" t="n"/>
      <c r="H119" s="66" t="n"/>
      <c r="I119" s="66" t="n"/>
      <c r="J119" s="66" t="n"/>
      <c r="K119" s="66" t="n"/>
      <c r="L119" s="67">
        <f>IF(NOT((COUNTA($B119:$K119)+COUNTA($N119))&gt;0),"",IF(N($T119)&gt;0,$AB119,IFERROR(LOOKUP(2,1/(H119:K119&lt;&gt;""),H119:K119),0)))</f>
        <v/>
      </c>
      <c r="M119" s="61">
        <f>IF(L119="","",IF(L119&gt;=1,"Completado",IF(L119&gt;0,"En curso","Pendiente")))</f>
        <v/>
      </c>
      <c r="N119" s="62" t="n"/>
      <c r="O119" s="68">
        <f>IF(NOT((COUNTA($B119:$K119)+COUNTA($N119))&gt;0),"",IF((IF(AND($S119="Macro",$B119=""),"Macroactividad vacía"&amp;" · ","")&amp;IF(AND($B119&lt;&gt;"",$C119&lt;&gt;""),"Escriba la subactividad en otra fila, debajo de su macroactividad"&amp;" · ","")&amp;IF(AND($S119="Sub",N($R119)=0),"Subactividad sin macroactividad arriba"&amp;" · ","")&amp;IF($D119="","Sin responsable"&amp;" · ","")&amp;IF($E119="","Sin fecha de inicio"&amp;" · ","")&amp;IF($F119="","Sin fecha límite"&amp;" · ","")&amp;IF(OR(AND($E119&lt;&gt;"",NOT(ISNUMBER($E119))),AND($F119&lt;&gt;"",NOT(ISNUMBER($F119)))),"Fecha no válida"&amp;" · ","")&amp;IF(AND(ISNUMBER($E119),ISNUMBER($F119),$E119&gt;$F119),"Inicio posterior a fecha límite"&amp;" · ","")&amp;IF(AND($S119="Macro",$G119=""),"Peso vacío"&amp;" · ","")&amp;IF(AND($S119="Macro",$G119&lt;&gt;"",OR(NOT(ISNUMBER($G119)),$G119&lt;=0,$G119&gt;1)),"Peso fuera de rango"&amp;" · ","")&amp;IF(AND($S119="Sub",$G119&lt;&gt;""),"Las subactividades no llevan peso"&amp;" · ","")&amp;IF(AND($S119="Macro",ABS(SUMIFS($G$5:$G$1000,$P$5:$P$1000,$P119,$S$5:$S$1000,"Macro")-1)&gt;0.0001),"Pesos del mes suman "&amp;TEXT(SUMIFS($G$5:$G$1000,$P$5:$P$1000,$P119,$S$5:$S$1000,"Macro"),"0%")&amp;" · ","")&amp;IF(AND(N($T119)&gt;0,COUNT($H119:$K119)&gt;0),"Con subactividades: deje vacías las semanas (se calculan solas)"&amp;" · ","")&amp;IF((COUNTIF($H119:$K119,"&gt;1")+COUNTIF($H119:$K119,"&lt;0")+COUNTA($H119:$K119)-COUNT($H119:$K119))&gt;0,"Avance fuera de rango 0-100%"&amp;" · ","")&amp;IF(OR(AND($I119&lt;&gt;"",$I119&lt;$H119),AND($J119&lt;&gt;"",$J119&lt;MAX($H119:$I119)),AND($K119&lt;&gt;"",$K119&lt;MAX($H119:$J119))),"Avance semanal decreciente"&amp;" · ","")&amp;IF(AND(ISNUMBER($F119),$F119&lt;FechaRef,N($L119)&lt;1),"Vencida"&amp;" · ","")&amp;IF(AND(ObsObligatoria="Sí",ISNUMBER($F119),$F119&lt;FechaRef,N($L119)&lt;1,$N119=""),"Vencida sin observación"&amp;" · ",""))="","✔ OK","⚠ "&amp;LEFT(IF(AND($S119="Macro",$B119=""),"Macroactividad vacía"&amp;" · ","")&amp;IF(AND($B119&lt;&gt;"",$C119&lt;&gt;""),"Escriba la subactividad en otra fila, debajo de su macroactividad"&amp;" · ","")&amp;IF(AND($S119="Sub",N($R119)=0),"Subactividad sin macroactividad arriba"&amp;" · ","")&amp;IF($D119="","Sin responsable"&amp;" · ","")&amp;IF($E119="","Sin fecha de inicio"&amp;" · ","")&amp;IF($F119="","Sin fecha límite"&amp;" · ","")&amp;IF(OR(AND($E119&lt;&gt;"",NOT(ISNUMBER($E119))),AND($F119&lt;&gt;"",NOT(ISNUMBER($F119)))),"Fecha no válida"&amp;" · ","")&amp;IF(AND(ISNUMBER($E119),ISNUMBER($F119),$E119&gt;$F119),"Inicio posterior a fecha límite"&amp;" · ","")&amp;IF(AND($S119="Macro",$G119=""),"Peso vacío"&amp;" · ","")&amp;IF(AND($S119="Macro",$G119&lt;&gt;"",OR(NOT(ISNUMBER($G119)),$G119&lt;=0,$G119&gt;1)),"Peso fuera de rango"&amp;" · ","")&amp;IF(AND($S119="Sub",$G119&lt;&gt;""),"Las subactividades no llevan peso"&amp;" · ","")&amp;IF(AND($S119="Macro",ABS(SUMIFS($G$5:$G$1000,$P$5:$P$1000,$P119,$S$5:$S$1000,"Macro")-1)&gt;0.0001),"Pesos del mes suman "&amp;TEXT(SUMIFS($G$5:$G$1000,$P$5:$P$1000,$P119,$S$5:$S$1000,"Macro"),"0%")&amp;" · ","")&amp;IF(AND(N($T119)&gt;0,COUNT($H119:$K119)&gt;0),"Con subactividades: deje vacías las semanas (se calculan solas)"&amp;" · ","")&amp;IF((COUNTIF($H119:$K119,"&gt;1")+COUNTIF($H119:$K119,"&lt;0")+COUNTA($H119:$K119)-COUNT($H119:$K119))&gt;0,"Avance fuera de rango 0-100%"&amp;" · ","")&amp;IF(OR(AND($I119&lt;&gt;"",$I119&lt;$H119),AND($J119&lt;&gt;"",$J119&lt;MAX($H119:$I119)),AND($K119&lt;&gt;"",$K119&lt;MAX($H119:$J119))),"Avance semanal decreciente"&amp;" · ","")&amp;IF(AND(ISNUMBER($F119),$F119&lt;FechaRef,N($L119)&lt;1),"Vencida"&amp;" · ","")&amp;IF(AND(ObsObligatoria="Sí",ISNUMBER($F119),$F119&lt;FechaRef,N($L119)&lt;1,$N119=""),"Vencida sin observación"&amp;" · ",""),LEN(IF(AND($S119="Macro",$B119=""),"Macroactividad vacía"&amp;" · ","")&amp;IF(AND($B119&lt;&gt;"",$C119&lt;&gt;""),"Escriba la subactividad en otra fila, debajo de su macroactividad"&amp;" · ","")&amp;IF(AND($S119="Sub",N($R119)=0),"Subactividad sin macroactividad arriba"&amp;" · ","")&amp;IF($D119="","Sin responsable"&amp;" · ","")&amp;IF($E119="","Sin fecha de inicio"&amp;" · ","")&amp;IF($F119="","Sin fecha límite"&amp;" · ","")&amp;IF(OR(AND($E119&lt;&gt;"",NOT(ISNUMBER($E119))),AND($F119&lt;&gt;"",NOT(ISNUMBER($F119)))),"Fecha no válida"&amp;" · ","")&amp;IF(AND(ISNUMBER($E119),ISNUMBER($F119),$E119&gt;$F119),"Inicio posterior a fecha límite"&amp;" · ","")&amp;IF(AND($S119="Macro",$G119=""),"Peso vacío"&amp;" · ","")&amp;IF(AND($S119="Macro",$G119&lt;&gt;"",OR(NOT(ISNUMBER($G119)),$G119&lt;=0,$G119&gt;1)),"Peso fuera de rango"&amp;" · ","")&amp;IF(AND($S119="Sub",$G119&lt;&gt;""),"Las subactividades no llevan peso"&amp;" · ","")&amp;IF(AND($S119="Macro",ABS(SUMIFS($G$5:$G$1000,$P$5:$P$1000,$P119,$S$5:$S$1000,"Macro")-1)&gt;0.0001),"Pesos del mes suman "&amp;TEXT(SUMIFS($G$5:$G$1000,$P$5:$P$1000,$P119,$S$5:$S$1000,"Macro"),"0%")&amp;" · ","")&amp;IF(AND(N($T119)&gt;0,COUNT($H119:$K119)&gt;0),"Con subactividades: deje vacías las semanas (se calculan solas)"&amp;" · ","")&amp;IF((COUNTIF($H119:$K119,"&gt;1")+COUNTIF($H119:$K119,"&lt;0")+COUNTA($H119:$K119)-COUNT($H119:$K119))&gt;0,"Avance fuera de rango 0-100%"&amp;" · ","")&amp;IF(OR(AND($I119&lt;&gt;"",$I119&lt;$H119),AND($J119&lt;&gt;"",$J119&lt;MAX($H119:$I119)),AND($K119&lt;&gt;"",$K119&lt;MAX($H119:$J119))),"Avance semanal decreciente"&amp;" · ","")&amp;IF(AND(ISNUMBER($F119),$F119&lt;FechaRef,N($L119)&lt;1),"Vencida"&amp;" · ","")&amp;IF(AND(ObsObligatoria="Sí",ISNUMBER($F119),$F119&lt;FechaRef,N($L119)&lt;1,$N119=""),"Vencida sin observación"&amp;" · ",""))-3)))</f>
        <v/>
      </c>
      <c r="P119" s="69">
        <f>IF(NOT((COUNTA($B119:$K119)+COUNTA($N119))&gt;0),"",IF(AND($S119="Sub",N($R119)&gt;0),IF(ISNUMBER(INDEX($E$5:$E$1000,$R119-4)),DATE(YEAR(INDEX($E$5:$E$1000,$R119-4)),MONTH(INDEX($E$5:$E$1000,$R119-4)),1),IF(ISNUMBER(INDEX($F$5:$F$1000,$R119-4)),DATE(YEAR(INDEX($F$5:$F$1000,$R119-4)),MONTH(INDEX($F$5:$F$1000,$R119-4)),1),MesCiclo)),IF(ISNUMBER($E119),DATE(YEAR($E119),MONTH($E119),1),IF(ISNUMBER($F119),DATE(YEAR($F119),MONTH($F119),1),MesCiclo))))</f>
        <v/>
      </c>
      <c r="Q119" s="70">
        <f>IF(OR($P119="",$P119&lt;&gt;MesCiclo),"",COUNTIF($P$5:$P119,MesCiclo))</f>
        <v/>
      </c>
      <c r="R119" s="70">
        <f>IF($S119="","",IF($S119="Macro",ROW(),IFERROR(LOOKUP(2,1/($S$5:$S119="Macro"),ROW($S$5:$S119)),0)))</f>
        <v/>
      </c>
      <c r="S119" s="70">
        <f>IF(NOT((COUNTA($B119:$K119)+COUNTA($N119))&gt;0),"",IF($B119&lt;&gt;"","Macro",IF($C119&lt;&gt;"","Sub","Macro")))</f>
        <v/>
      </c>
      <c r="T119" s="70">
        <f>IF($S119="Macro",COUNTIFS($R$5:$R$1000,ROW(),$S$5:$S$1000,"Sub"),"")</f>
        <v/>
      </c>
      <c r="U119" s="70">
        <f>IF($S119="","",IF(ISNUMBER($H119),$H119,0))</f>
        <v/>
      </c>
      <c r="V119" s="70">
        <f>IF($S119="","",IF(ISNUMBER($I119),$I119,$U119))</f>
        <v/>
      </c>
      <c r="W119" s="70">
        <f>IF($S119="","",IF(ISNUMBER($J119),$J119,$V119))</f>
        <v/>
      </c>
      <c r="X119" s="70">
        <f>IF($S119="","",IF(ISNUMBER($K119),$K119,$W119))</f>
        <v/>
      </c>
      <c r="Y119" s="70">
        <f>IF($S119="","",IF(N($T119)&gt;0,AVERAGEIFS($U$5:$U$1000,$R$5:$R$1000,ROW(),$S$5:$S$1000,"Sub"),$U119))</f>
        <v/>
      </c>
      <c r="Z119" s="70">
        <f>IF($S119="","",IF(N($T119)&gt;0,AVERAGEIFS($V$5:$V$1000,$R$5:$R$1000,ROW(),$S$5:$S$1000,"Sub"),$V119))</f>
        <v/>
      </c>
      <c r="AA119" s="70">
        <f>IF($S119="","",IF(N($T119)&gt;0,AVERAGEIFS($W$5:$W$1000,$R$5:$R$1000,ROW(),$S$5:$S$1000,"Sub"),$W119))</f>
        <v/>
      </c>
      <c r="AB119" s="70">
        <f>IF($S119="","",IF(N($T119)&gt;0,AVERAGEIFS($X$5:$X$1000,$R$5:$R$1000,ROW(),$S$5:$S$1000,"Sub"),$X119))</f>
        <v/>
      </c>
    </row>
    <row r="120">
      <c r="A120" s="61">
        <f>IF(NOT((COUNTA($B120:$K120)+COUNTA($N120))&gt;0),"",IF($S120="Macro",COUNTIFS($S$5:$S120,"Macro",$P$5:$P120,$P120),IF(N($R120)=0,"?",COUNTIFS(INDEX($S$5:$S$1000,1):INDEX($S$5:$S$1000,$R120-4),"Macro",INDEX($P$5:$P$1000,1):INDEX($P$5:$P$1000,$R120-4),INDEX($P$5:$P$1000,$R120-4))&amp;"."&amp;COUNTIFS($R$5:$R120,$R120,$S$5:$S120,"Sub"))))</f>
        <v/>
      </c>
      <c r="B120" s="62" t="n"/>
      <c r="C120" s="63" t="n"/>
      <c r="D120" s="62" t="n"/>
      <c r="E120" s="64" t="n"/>
      <c r="F120" s="64" t="n"/>
      <c r="G120" s="65" t="n"/>
      <c r="H120" s="66" t="n"/>
      <c r="I120" s="66" t="n"/>
      <c r="J120" s="66" t="n"/>
      <c r="K120" s="66" t="n"/>
      <c r="L120" s="67">
        <f>IF(NOT((COUNTA($B120:$K120)+COUNTA($N120))&gt;0),"",IF(N($T120)&gt;0,$AB120,IFERROR(LOOKUP(2,1/(H120:K120&lt;&gt;""),H120:K120),0)))</f>
        <v/>
      </c>
      <c r="M120" s="61">
        <f>IF(L120="","",IF(L120&gt;=1,"Completado",IF(L120&gt;0,"En curso","Pendiente")))</f>
        <v/>
      </c>
      <c r="N120" s="62" t="n"/>
      <c r="O120" s="68">
        <f>IF(NOT((COUNTA($B120:$K120)+COUNTA($N120))&gt;0),"",IF((IF(AND($S120="Macro",$B120=""),"Macroactividad vacía"&amp;" · ","")&amp;IF(AND($B120&lt;&gt;"",$C120&lt;&gt;""),"Escriba la subactividad en otra fila, debajo de su macroactividad"&amp;" · ","")&amp;IF(AND($S120="Sub",N($R120)=0),"Subactividad sin macroactividad arriba"&amp;" · ","")&amp;IF($D120="","Sin responsable"&amp;" · ","")&amp;IF($E120="","Sin fecha de inicio"&amp;" · ","")&amp;IF($F120="","Sin fecha límite"&amp;" · ","")&amp;IF(OR(AND($E120&lt;&gt;"",NOT(ISNUMBER($E120))),AND($F120&lt;&gt;"",NOT(ISNUMBER($F120)))),"Fecha no válida"&amp;" · ","")&amp;IF(AND(ISNUMBER($E120),ISNUMBER($F120),$E120&gt;$F120),"Inicio posterior a fecha límite"&amp;" · ","")&amp;IF(AND($S120="Macro",$G120=""),"Peso vacío"&amp;" · ","")&amp;IF(AND($S120="Macro",$G120&lt;&gt;"",OR(NOT(ISNUMBER($G120)),$G120&lt;=0,$G120&gt;1)),"Peso fuera de rango"&amp;" · ","")&amp;IF(AND($S120="Sub",$G120&lt;&gt;""),"Las subactividades no llevan peso"&amp;" · ","")&amp;IF(AND($S120="Macro",ABS(SUMIFS($G$5:$G$1000,$P$5:$P$1000,$P120,$S$5:$S$1000,"Macro")-1)&gt;0.0001),"Pesos del mes suman "&amp;TEXT(SUMIFS($G$5:$G$1000,$P$5:$P$1000,$P120,$S$5:$S$1000,"Macro"),"0%")&amp;" · ","")&amp;IF(AND(N($T120)&gt;0,COUNT($H120:$K120)&gt;0),"Con subactividades: deje vacías las semanas (se calculan solas)"&amp;" · ","")&amp;IF((COUNTIF($H120:$K120,"&gt;1")+COUNTIF($H120:$K120,"&lt;0")+COUNTA($H120:$K120)-COUNT($H120:$K120))&gt;0,"Avance fuera de rango 0-100%"&amp;" · ","")&amp;IF(OR(AND($I120&lt;&gt;"",$I120&lt;$H120),AND($J120&lt;&gt;"",$J120&lt;MAX($H120:$I120)),AND($K120&lt;&gt;"",$K120&lt;MAX($H120:$J120))),"Avance semanal decreciente"&amp;" · ","")&amp;IF(AND(ISNUMBER($F120),$F120&lt;FechaRef,N($L120)&lt;1),"Vencida"&amp;" · ","")&amp;IF(AND(ObsObligatoria="Sí",ISNUMBER($F120),$F120&lt;FechaRef,N($L120)&lt;1,$N120=""),"Vencida sin observación"&amp;" · ",""))="","✔ OK","⚠ "&amp;LEFT(IF(AND($S120="Macro",$B120=""),"Macroactividad vacía"&amp;" · ","")&amp;IF(AND($B120&lt;&gt;"",$C120&lt;&gt;""),"Escriba la subactividad en otra fila, debajo de su macroactividad"&amp;" · ","")&amp;IF(AND($S120="Sub",N($R120)=0),"Subactividad sin macroactividad arriba"&amp;" · ","")&amp;IF($D120="","Sin responsable"&amp;" · ","")&amp;IF($E120="","Sin fecha de inicio"&amp;" · ","")&amp;IF($F120="","Sin fecha límite"&amp;" · ","")&amp;IF(OR(AND($E120&lt;&gt;"",NOT(ISNUMBER($E120))),AND($F120&lt;&gt;"",NOT(ISNUMBER($F120)))),"Fecha no válida"&amp;" · ","")&amp;IF(AND(ISNUMBER($E120),ISNUMBER($F120),$E120&gt;$F120),"Inicio posterior a fecha límite"&amp;" · ","")&amp;IF(AND($S120="Macro",$G120=""),"Peso vacío"&amp;" · ","")&amp;IF(AND($S120="Macro",$G120&lt;&gt;"",OR(NOT(ISNUMBER($G120)),$G120&lt;=0,$G120&gt;1)),"Peso fuera de rango"&amp;" · ","")&amp;IF(AND($S120="Sub",$G120&lt;&gt;""),"Las subactividades no llevan peso"&amp;" · ","")&amp;IF(AND($S120="Macro",ABS(SUMIFS($G$5:$G$1000,$P$5:$P$1000,$P120,$S$5:$S$1000,"Macro")-1)&gt;0.0001),"Pesos del mes suman "&amp;TEXT(SUMIFS($G$5:$G$1000,$P$5:$P$1000,$P120,$S$5:$S$1000,"Macro"),"0%")&amp;" · ","")&amp;IF(AND(N($T120)&gt;0,COUNT($H120:$K120)&gt;0),"Con subactividades: deje vacías las semanas (se calculan solas)"&amp;" · ","")&amp;IF((COUNTIF($H120:$K120,"&gt;1")+COUNTIF($H120:$K120,"&lt;0")+COUNTA($H120:$K120)-COUNT($H120:$K120))&gt;0,"Avance fuera de rango 0-100%"&amp;" · ","")&amp;IF(OR(AND($I120&lt;&gt;"",$I120&lt;$H120),AND($J120&lt;&gt;"",$J120&lt;MAX($H120:$I120)),AND($K120&lt;&gt;"",$K120&lt;MAX($H120:$J120))),"Avance semanal decreciente"&amp;" · ","")&amp;IF(AND(ISNUMBER($F120),$F120&lt;FechaRef,N($L120)&lt;1),"Vencida"&amp;" · ","")&amp;IF(AND(ObsObligatoria="Sí",ISNUMBER($F120),$F120&lt;FechaRef,N($L120)&lt;1,$N120=""),"Vencida sin observación"&amp;" · ",""),LEN(IF(AND($S120="Macro",$B120=""),"Macroactividad vacía"&amp;" · ","")&amp;IF(AND($B120&lt;&gt;"",$C120&lt;&gt;""),"Escriba la subactividad en otra fila, debajo de su macroactividad"&amp;" · ","")&amp;IF(AND($S120="Sub",N($R120)=0),"Subactividad sin macroactividad arriba"&amp;" · ","")&amp;IF($D120="","Sin responsable"&amp;" · ","")&amp;IF($E120="","Sin fecha de inicio"&amp;" · ","")&amp;IF($F120="","Sin fecha límite"&amp;" · ","")&amp;IF(OR(AND($E120&lt;&gt;"",NOT(ISNUMBER($E120))),AND($F120&lt;&gt;"",NOT(ISNUMBER($F120)))),"Fecha no válida"&amp;" · ","")&amp;IF(AND(ISNUMBER($E120),ISNUMBER($F120),$E120&gt;$F120),"Inicio posterior a fecha límite"&amp;" · ","")&amp;IF(AND($S120="Macro",$G120=""),"Peso vacío"&amp;" · ","")&amp;IF(AND($S120="Macro",$G120&lt;&gt;"",OR(NOT(ISNUMBER($G120)),$G120&lt;=0,$G120&gt;1)),"Peso fuera de rango"&amp;" · ","")&amp;IF(AND($S120="Sub",$G120&lt;&gt;""),"Las subactividades no llevan peso"&amp;" · ","")&amp;IF(AND($S120="Macro",ABS(SUMIFS($G$5:$G$1000,$P$5:$P$1000,$P120,$S$5:$S$1000,"Macro")-1)&gt;0.0001),"Pesos del mes suman "&amp;TEXT(SUMIFS($G$5:$G$1000,$P$5:$P$1000,$P120,$S$5:$S$1000,"Macro"),"0%")&amp;" · ","")&amp;IF(AND(N($T120)&gt;0,COUNT($H120:$K120)&gt;0),"Con subactividades: deje vacías las semanas (se calculan solas)"&amp;" · ","")&amp;IF((COUNTIF($H120:$K120,"&gt;1")+COUNTIF($H120:$K120,"&lt;0")+COUNTA($H120:$K120)-COUNT($H120:$K120))&gt;0,"Avance fuera de rango 0-100%"&amp;" · ","")&amp;IF(OR(AND($I120&lt;&gt;"",$I120&lt;$H120),AND($J120&lt;&gt;"",$J120&lt;MAX($H120:$I120)),AND($K120&lt;&gt;"",$K120&lt;MAX($H120:$J120))),"Avance semanal decreciente"&amp;" · ","")&amp;IF(AND(ISNUMBER($F120),$F120&lt;FechaRef,N($L120)&lt;1),"Vencida"&amp;" · ","")&amp;IF(AND(ObsObligatoria="Sí",ISNUMBER($F120),$F120&lt;FechaRef,N($L120)&lt;1,$N120=""),"Vencida sin observación"&amp;" · ",""))-3)))</f>
        <v/>
      </c>
      <c r="P120" s="69">
        <f>IF(NOT((COUNTA($B120:$K120)+COUNTA($N120))&gt;0),"",IF(AND($S120="Sub",N($R120)&gt;0),IF(ISNUMBER(INDEX($E$5:$E$1000,$R120-4)),DATE(YEAR(INDEX($E$5:$E$1000,$R120-4)),MONTH(INDEX($E$5:$E$1000,$R120-4)),1),IF(ISNUMBER(INDEX($F$5:$F$1000,$R120-4)),DATE(YEAR(INDEX($F$5:$F$1000,$R120-4)),MONTH(INDEX($F$5:$F$1000,$R120-4)),1),MesCiclo)),IF(ISNUMBER($E120),DATE(YEAR($E120),MONTH($E120),1),IF(ISNUMBER($F120),DATE(YEAR($F120),MONTH($F120),1),MesCiclo))))</f>
        <v/>
      </c>
      <c r="Q120" s="70">
        <f>IF(OR($P120="",$P120&lt;&gt;MesCiclo),"",COUNTIF($P$5:$P120,MesCiclo))</f>
        <v/>
      </c>
      <c r="R120" s="70">
        <f>IF($S120="","",IF($S120="Macro",ROW(),IFERROR(LOOKUP(2,1/($S$5:$S120="Macro"),ROW($S$5:$S120)),0)))</f>
        <v/>
      </c>
      <c r="S120" s="70">
        <f>IF(NOT((COUNTA($B120:$K120)+COUNTA($N120))&gt;0),"",IF($B120&lt;&gt;"","Macro",IF($C120&lt;&gt;"","Sub","Macro")))</f>
        <v/>
      </c>
      <c r="T120" s="70">
        <f>IF($S120="Macro",COUNTIFS($R$5:$R$1000,ROW(),$S$5:$S$1000,"Sub"),"")</f>
        <v/>
      </c>
      <c r="U120" s="70">
        <f>IF($S120="","",IF(ISNUMBER($H120),$H120,0))</f>
        <v/>
      </c>
      <c r="V120" s="70">
        <f>IF($S120="","",IF(ISNUMBER($I120),$I120,$U120))</f>
        <v/>
      </c>
      <c r="W120" s="70">
        <f>IF($S120="","",IF(ISNUMBER($J120),$J120,$V120))</f>
        <v/>
      </c>
      <c r="X120" s="70">
        <f>IF($S120="","",IF(ISNUMBER($K120),$K120,$W120))</f>
        <v/>
      </c>
      <c r="Y120" s="70">
        <f>IF($S120="","",IF(N($T120)&gt;0,AVERAGEIFS($U$5:$U$1000,$R$5:$R$1000,ROW(),$S$5:$S$1000,"Sub"),$U120))</f>
        <v/>
      </c>
      <c r="Z120" s="70">
        <f>IF($S120="","",IF(N($T120)&gt;0,AVERAGEIFS($V$5:$V$1000,$R$5:$R$1000,ROW(),$S$5:$S$1000,"Sub"),$V120))</f>
        <v/>
      </c>
      <c r="AA120" s="70">
        <f>IF($S120="","",IF(N($T120)&gt;0,AVERAGEIFS($W$5:$W$1000,$R$5:$R$1000,ROW(),$S$5:$S$1000,"Sub"),$W120))</f>
        <v/>
      </c>
      <c r="AB120" s="70">
        <f>IF($S120="","",IF(N($T120)&gt;0,AVERAGEIFS($X$5:$X$1000,$R$5:$R$1000,ROW(),$S$5:$S$1000,"Sub"),$X120))</f>
        <v/>
      </c>
    </row>
    <row r="121">
      <c r="A121" s="61">
        <f>IF(NOT((COUNTA($B121:$K121)+COUNTA($N121))&gt;0),"",IF($S121="Macro",COUNTIFS($S$5:$S121,"Macro",$P$5:$P121,$P121),IF(N($R121)=0,"?",COUNTIFS(INDEX($S$5:$S$1000,1):INDEX($S$5:$S$1000,$R121-4),"Macro",INDEX($P$5:$P$1000,1):INDEX($P$5:$P$1000,$R121-4),INDEX($P$5:$P$1000,$R121-4))&amp;"."&amp;COUNTIFS($R$5:$R121,$R121,$S$5:$S121,"Sub"))))</f>
        <v/>
      </c>
      <c r="B121" s="62" t="n"/>
      <c r="C121" s="63" t="n"/>
      <c r="D121" s="62" t="n"/>
      <c r="E121" s="64" t="n"/>
      <c r="F121" s="64" t="n"/>
      <c r="G121" s="65" t="n"/>
      <c r="H121" s="66" t="n"/>
      <c r="I121" s="66" t="n"/>
      <c r="J121" s="66" t="n"/>
      <c r="K121" s="66" t="n"/>
      <c r="L121" s="67">
        <f>IF(NOT((COUNTA($B121:$K121)+COUNTA($N121))&gt;0),"",IF(N($T121)&gt;0,$AB121,IFERROR(LOOKUP(2,1/(H121:K121&lt;&gt;""),H121:K121),0)))</f>
        <v/>
      </c>
      <c r="M121" s="61">
        <f>IF(L121="","",IF(L121&gt;=1,"Completado",IF(L121&gt;0,"En curso","Pendiente")))</f>
        <v/>
      </c>
      <c r="N121" s="62" t="n"/>
      <c r="O121" s="68">
        <f>IF(NOT((COUNTA($B121:$K121)+COUNTA($N121))&gt;0),"",IF((IF(AND($S121="Macro",$B121=""),"Macroactividad vacía"&amp;" · ","")&amp;IF(AND($B121&lt;&gt;"",$C121&lt;&gt;""),"Escriba la subactividad en otra fila, debajo de su macroactividad"&amp;" · ","")&amp;IF(AND($S121="Sub",N($R121)=0),"Subactividad sin macroactividad arriba"&amp;" · ","")&amp;IF($D121="","Sin responsable"&amp;" · ","")&amp;IF($E121="","Sin fecha de inicio"&amp;" · ","")&amp;IF($F121="","Sin fecha límite"&amp;" · ","")&amp;IF(OR(AND($E121&lt;&gt;"",NOT(ISNUMBER($E121))),AND($F121&lt;&gt;"",NOT(ISNUMBER($F121)))),"Fecha no válida"&amp;" · ","")&amp;IF(AND(ISNUMBER($E121),ISNUMBER($F121),$E121&gt;$F121),"Inicio posterior a fecha límite"&amp;" · ","")&amp;IF(AND($S121="Macro",$G121=""),"Peso vacío"&amp;" · ","")&amp;IF(AND($S121="Macro",$G121&lt;&gt;"",OR(NOT(ISNUMBER($G121)),$G121&lt;=0,$G121&gt;1)),"Peso fuera de rango"&amp;" · ","")&amp;IF(AND($S121="Sub",$G121&lt;&gt;""),"Las subactividades no llevan peso"&amp;" · ","")&amp;IF(AND($S121="Macro",ABS(SUMIFS($G$5:$G$1000,$P$5:$P$1000,$P121,$S$5:$S$1000,"Macro")-1)&gt;0.0001),"Pesos del mes suman "&amp;TEXT(SUMIFS($G$5:$G$1000,$P$5:$P$1000,$P121,$S$5:$S$1000,"Macro"),"0%")&amp;" · ","")&amp;IF(AND(N($T121)&gt;0,COUNT($H121:$K121)&gt;0),"Con subactividades: deje vacías las semanas (se calculan solas)"&amp;" · ","")&amp;IF((COUNTIF($H121:$K121,"&gt;1")+COUNTIF($H121:$K121,"&lt;0")+COUNTA($H121:$K121)-COUNT($H121:$K121))&gt;0,"Avance fuera de rango 0-100%"&amp;" · ","")&amp;IF(OR(AND($I121&lt;&gt;"",$I121&lt;$H121),AND($J121&lt;&gt;"",$J121&lt;MAX($H121:$I121)),AND($K121&lt;&gt;"",$K121&lt;MAX($H121:$J121))),"Avance semanal decreciente"&amp;" · ","")&amp;IF(AND(ISNUMBER($F121),$F121&lt;FechaRef,N($L121)&lt;1),"Vencida"&amp;" · ","")&amp;IF(AND(ObsObligatoria="Sí",ISNUMBER($F121),$F121&lt;FechaRef,N($L121)&lt;1,$N121=""),"Vencida sin observación"&amp;" · ",""))="","✔ OK","⚠ "&amp;LEFT(IF(AND($S121="Macro",$B121=""),"Macroactividad vacía"&amp;" · ","")&amp;IF(AND($B121&lt;&gt;"",$C121&lt;&gt;""),"Escriba la subactividad en otra fila, debajo de su macroactividad"&amp;" · ","")&amp;IF(AND($S121="Sub",N($R121)=0),"Subactividad sin macroactividad arriba"&amp;" · ","")&amp;IF($D121="","Sin responsable"&amp;" · ","")&amp;IF($E121="","Sin fecha de inicio"&amp;" · ","")&amp;IF($F121="","Sin fecha límite"&amp;" · ","")&amp;IF(OR(AND($E121&lt;&gt;"",NOT(ISNUMBER($E121))),AND($F121&lt;&gt;"",NOT(ISNUMBER($F121)))),"Fecha no válida"&amp;" · ","")&amp;IF(AND(ISNUMBER($E121),ISNUMBER($F121),$E121&gt;$F121),"Inicio posterior a fecha límite"&amp;" · ","")&amp;IF(AND($S121="Macro",$G121=""),"Peso vacío"&amp;" · ","")&amp;IF(AND($S121="Macro",$G121&lt;&gt;"",OR(NOT(ISNUMBER($G121)),$G121&lt;=0,$G121&gt;1)),"Peso fuera de rango"&amp;" · ","")&amp;IF(AND($S121="Sub",$G121&lt;&gt;""),"Las subactividades no llevan peso"&amp;" · ","")&amp;IF(AND($S121="Macro",ABS(SUMIFS($G$5:$G$1000,$P$5:$P$1000,$P121,$S$5:$S$1000,"Macro")-1)&gt;0.0001),"Pesos del mes suman "&amp;TEXT(SUMIFS($G$5:$G$1000,$P$5:$P$1000,$P121,$S$5:$S$1000,"Macro"),"0%")&amp;" · ","")&amp;IF(AND(N($T121)&gt;0,COUNT($H121:$K121)&gt;0),"Con subactividades: deje vacías las semanas (se calculan solas)"&amp;" · ","")&amp;IF((COUNTIF($H121:$K121,"&gt;1")+COUNTIF($H121:$K121,"&lt;0")+COUNTA($H121:$K121)-COUNT($H121:$K121))&gt;0,"Avance fuera de rango 0-100%"&amp;" · ","")&amp;IF(OR(AND($I121&lt;&gt;"",$I121&lt;$H121),AND($J121&lt;&gt;"",$J121&lt;MAX($H121:$I121)),AND($K121&lt;&gt;"",$K121&lt;MAX($H121:$J121))),"Avance semanal decreciente"&amp;" · ","")&amp;IF(AND(ISNUMBER($F121),$F121&lt;FechaRef,N($L121)&lt;1),"Vencida"&amp;" · ","")&amp;IF(AND(ObsObligatoria="Sí",ISNUMBER($F121),$F121&lt;FechaRef,N($L121)&lt;1,$N121=""),"Vencida sin observación"&amp;" · ",""),LEN(IF(AND($S121="Macro",$B121=""),"Macroactividad vacía"&amp;" · ","")&amp;IF(AND($B121&lt;&gt;"",$C121&lt;&gt;""),"Escriba la subactividad en otra fila, debajo de su macroactividad"&amp;" · ","")&amp;IF(AND($S121="Sub",N($R121)=0),"Subactividad sin macroactividad arriba"&amp;" · ","")&amp;IF($D121="","Sin responsable"&amp;" · ","")&amp;IF($E121="","Sin fecha de inicio"&amp;" · ","")&amp;IF($F121="","Sin fecha límite"&amp;" · ","")&amp;IF(OR(AND($E121&lt;&gt;"",NOT(ISNUMBER($E121))),AND($F121&lt;&gt;"",NOT(ISNUMBER($F121)))),"Fecha no válida"&amp;" · ","")&amp;IF(AND(ISNUMBER($E121),ISNUMBER($F121),$E121&gt;$F121),"Inicio posterior a fecha límite"&amp;" · ","")&amp;IF(AND($S121="Macro",$G121=""),"Peso vacío"&amp;" · ","")&amp;IF(AND($S121="Macro",$G121&lt;&gt;"",OR(NOT(ISNUMBER($G121)),$G121&lt;=0,$G121&gt;1)),"Peso fuera de rango"&amp;" · ","")&amp;IF(AND($S121="Sub",$G121&lt;&gt;""),"Las subactividades no llevan peso"&amp;" · ","")&amp;IF(AND($S121="Macro",ABS(SUMIFS($G$5:$G$1000,$P$5:$P$1000,$P121,$S$5:$S$1000,"Macro")-1)&gt;0.0001),"Pesos del mes suman "&amp;TEXT(SUMIFS($G$5:$G$1000,$P$5:$P$1000,$P121,$S$5:$S$1000,"Macro"),"0%")&amp;" · ","")&amp;IF(AND(N($T121)&gt;0,COUNT($H121:$K121)&gt;0),"Con subactividades: deje vacías las semanas (se calculan solas)"&amp;" · ","")&amp;IF((COUNTIF($H121:$K121,"&gt;1")+COUNTIF($H121:$K121,"&lt;0")+COUNTA($H121:$K121)-COUNT($H121:$K121))&gt;0,"Avance fuera de rango 0-100%"&amp;" · ","")&amp;IF(OR(AND($I121&lt;&gt;"",$I121&lt;$H121),AND($J121&lt;&gt;"",$J121&lt;MAX($H121:$I121)),AND($K121&lt;&gt;"",$K121&lt;MAX($H121:$J121))),"Avance semanal decreciente"&amp;" · ","")&amp;IF(AND(ISNUMBER($F121),$F121&lt;FechaRef,N($L121)&lt;1),"Vencida"&amp;" · ","")&amp;IF(AND(ObsObligatoria="Sí",ISNUMBER($F121),$F121&lt;FechaRef,N($L121)&lt;1,$N121=""),"Vencida sin observación"&amp;" · ",""))-3)))</f>
        <v/>
      </c>
      <c r="P121" s="69">
        <f>IF(NOT((COUNTA($B121:$K121)+COUNTA($N121))&gt;0),"",IF(AND($S121="Sub",N($R121)&gt;0),IF(ISNUMBER(INDEX($E$5:$E$1000,$R121-4)),DATE(YEAR(INDEX($E$5:$E$1000,$R121-4)),MONTH(INDEX($E$5:$E$1000,$R121-4)),1),IF(ISNUMBER(INDEX($F$5:$F$1000,$R121-4)),DATE(YEAR(INDEX($F$5:$F$1000,$R121-4)),MONTH(INDEX($F$5:$F$1000,$R121-4)),1),MesCiclo)),IF(ISNUMBER($E121),DATE(YEAR($E121),MONTH($E121),1),IF(ISNUMBER($F121),DATE(YEAR($F121),MONTH($F121),1),MesCiclo))))</f>
        <v/>
      </c>
      <c r="Q121" s="70">
        <f>IF(OR($P121="",$P121&lt;&gt;MesCiclo),"",COUNTIF($P$5:$P121,MesCiclo))</f>
        <v/>
      </c>
      <c r="R121" s="70">
        <f>IF($S121="","",IF($S121="Macro",ROW(),IFERROR(LOOKUP(2,1/($S$5:$S121="Macro"),ROW($S$5:$S121)),0)))</f>
        <v/>
      </c>
      <c r="S121" s="70">
        <f>IF(NOT((COUNTA($B121:$K121)+COUNTA($N121))&gt;0),"",IF($B121&lt;&gt;"","Macro",IF($C121&lt;&gt;"","Sub","Macro")))</f>
        <v/>
      </c>
      <c r="T121" s="70">
        <f>IF($S121="Macro",COUNTIFS($R$5:$R$1000,ROW(),$S$5:$S$1000,"Sub"),"")</f>
        <v/>
      </c>
      <c r="U121" s="70">
        <f>IF($S121="","",IF(ISNUMBER($H121),$H121,0))</f>
        <v/>
      </c>
      <c r="V121" s="70">
        <f>IF($S121="","",IF(ISNUMBER($I121),$I121,$U121))</f>
        <v/>
      </c>
      <c r="W121" s="70">
        <f>IF($S121="","",IF(ISNUMBER($J121),$J121,$V121))</f>
        <v/>
      </c>
      <c r="X121" s="70">
        <f>IF($S121="","",IF(ISNUMBER($K121),$K121,$W121))</f>
        <v/>
      </c>
      <c r="Y121" s="70">
        <f>IF($S121="","",IF(N($T121)&gt;0,AVERAGEIFS($U$5:$U$1000,$R$5:$R$1000,ROW(),$S$5:$S$1000,"Sub"),$U121))</f>
        <v/>
      </c>
      <c r="Z121" s="70">
        <f>IF($S121="","",IF(N($T121)&gt;0,AVERAGEIFS($V$5:$V$1000,$R$5:$R$1000,ROW(),$S$5:$S$1000,"Sub"),$V121))</f>
        <v/>
      </c>
      <c r="AA121" s="70">
        <f>IF($S121="","",IF(N($T121)&gt;0,AVERAGEIFS($W$5:$W$1000,$R$5:$R$1000,ROW(),$S$5:$S$1000,"Sub"),$W121))</f>
        <v/>
      </c>
      <c r="AB121" s="70">
        <f>IF($S121="","",IF(N($T121)&gt;0,AVERAGEIFS($X$5:$X$1000,$R$5:$R$1000,ROW(),$S$5:$S$1000,"Sub"),$X121))</f>
        <v/>
      </c>
    </row>
    <row r="122">
      <c r="A122" s="61">
        <f>IF(NOT((COUNTA($B122:$K122)+COUNTA($N122))&gt;0),"",IF($S122="Macro",COUNTIFS($S$5:$S122,"Macro",$P$5:$P122,$P122),IF(N($R122)=0,"?",COUNTIFS(INDEX($S$5:$S$1000,1):INDEX($S$5:$S$1000,$R122-4),"Macro",INDEX($P$5:$P$1000,1):INDEX($P$5:$P$1000,$R122-4),INDEX($P$5:$P$1000,$R122-4))&amp;"."&amp;COUNTIFS($R$5:$R122,$R122,$S$5:$S122,"Sub"))))</f>
        <v/>
      </c>
      <c r="B122" s="62" t="n"/>
      <c r="C122" s="63" t="n"/>
      <c r="D122" s="62" t="n"/>
      <c r="E122" s="64" t="n"/>
      <c r="F122" s="64" t="n"/>
      <c r="G122" s="65" t="n"/>
      <c r="H122" s="66" t="n"/>
      <c r="I122" s="66" t="n"/>
      <c r="J122" s="66" t="n"/>
      <c r="K122" s="66" t="n"/>
      <c r="L122" s="67">
        <f>IF(NOT((COUNTA($B122:$K122)+COUNTA($N122))&gt;0),"",IF(N($T122)&gt;0,$AB122,IFERROR(LOOKUP(2,1/(H122:K122&lt;&gt;""),H122:K122),0)))</f>
        <v/>
      </c>
      <c r="M122" s="61">
        <f>IF(L122="","",IF(L122&gt;=1,"Completado",IF(L122&gt;0,"En curso","Pendiente")))</f>
        <v/>
      </c>
      <c r="N122" s="62" t="n"/>
      <c r="O122" s="68">
        <f>IF(NOT((COUNTA($B122:$K122)+COUNTA($N122))&gt;0),"",IF((IF(AND($S122="Macro",$B122=""),"Macroactividad vacía"&amp;" · ","")&amp;IF(AND($B122&lt;&gt;"",$C122&lt;&gt;""),"Escriba la subactividad en otra fila, debajo de su macroactividad"&amp;" · ","")&amp;IF(AND($S122="Sub",N($R122)=0),"Subactividad sin macroactividad arriba"&amp;" · ","")&amp;IF($D122="","Sin responsable"&amp;" · ","")&amp;IF($E122="","Sin fecha de inicio"&amp;" · ","")&amp;IF($F122="","Sin fecha límite"&amp;" · ","")&amp;IF(OR(AND($E122&lt;&gt;"",NOT(ISNUMBER($E122))),AND($F122&lt;&gt;"",NOT(ISNUMBER($F122)))),"Fecha no válida"&amp;" · ","")&amp;IF(AND(ISNUMBER($E122),ISNUMBER($F122),$E122&gt;$F122),"Inicio posterior a fecha límite"&amp;" · ","")&amp;IF(AND($S122="Macro",$G122=""),"Peso vacío"&amp;" · ","")&amp;IF(AND($S122="Macro",$G122&lt;&gt;"",OR(NOT(ISNUMBER($G122)),$G122&lt;=0,$G122&gt;1)),"Peso fuera de rango"&amp;" · ","")&amp;IF(AND($S122="Sub",$G122&lt;&gt;""),"Las subactividades no llevan peso"&amp;" · ","")&amp;IF(AND($S122="Macro",ABS(SUMIFS($G$5:$G$1000,$P$5:$P$1000,$P122,$S$5:$S$1000,"Macro")-1)&gt;0.0001),"Pesos del mes suman "&amp;TEXT(SUMIFS($G$5:$G$1000,$P$5:$P$1000,$P122,$S$5:$S$1000,"Macro"),"0%")&amp;" · ","")&amp;IF(AND(N($T122)&gt;0,COUNT($H122:$K122)&gt;0),"Con subactividades: deje vacías las semanas (se calculan solas)"&amp;" · ","")&amp;IF((COUNTIF($H122:$K122,"&gt;1")+COUNTIF($H122:$K122,"&lt;0")+COUNTA($H122:$K122)-COUNT($H122:$K122))&gt;0,"Avance fuera de rango 0-100%"&amp;" · ","")&amp;IF(OR(AND($I122&lt;&gt;"",$I122&lt;$H122),AND($J122&lt;&gt;"",$J122&lt;MAX($H122:$I122)),AND($K122&lt;&gt;"",$K122&lt;MAX($H122:$J122))),"Avance semanal decreciente"&amp;" · ","")&amp;IF(AND(ISNUMBER($F122),$F122&lt;FechaRef,N($L122)&lt;1),"Vencida"&amp;" · ","")&amp;IF(AND(ObsObligatoria="Sí",ISNUMBER($F122),$F122&lt;FechaRef,N($L122)&lt;1,$N122=""),"Vencida sin observación"&amp;" · ",""))="","✔ OK","⚠ "&amp;LEFT(IF(AND($S122="Macro",$B122=""),"Macroactividad vacía"&amp;" · ","")&amp;IF(AND($B122&lt;&gt;"",$C122&lt;&gt;""),"Escriba la subactividad en otra fila, debajo de su macroactividad"&amp;" · ","")&amp;IF(AND($S122="Sub",N($R122)=0),"Subactividad sin macroactividad arriba"&amp;" · ","")&amp;IF($D122="","Sin responsable"&amp;" · ","")&amp;IF($E122="","Sin fecha de inicio"&amp;" · ","")&amp;IF($F122="","Sin fecha límite"&amp;" · ","")&amp;IF(OR(AND($E122&lt;&gt;"",NOT(ISNUMBER($E122))),AND($F122&lt;&gt;"",NOT(ISNUMBER($F122)))),"Fecha no válida"&amp;" · ","")&amp;IF(AND(ISNUMBER($E122),ISNUMBER($F122),$E122&gt;$F122),"Inicio posterior a fecha límite"&amp;" · ","")&amp;IF(AND($S122="Macro",$G122=""),"Peso vacío"&amp;" · ","")&amp;IF(AND($S122="Macro",$G122&lt;&gt;"",OR(NOT(ISNUMBER($G122)),$G122&lt;=0,$G122&gt;1)),"Peso fuera de rango"&amp;" · ","")&amp;IF(AND($S122="Sub",$G122&lt;&gt;""),"Las subactividades no llevan peso"&amp;" · ","")&amp;IF(AND($S122="Macro",ABS(SUMIFS($G$5:$G$1000,$P$5:$P$1000,$P122,$S$5:$S$1000,"Macro")-1)&gt;0.0001),"Pesos del mes suman "&amp;TEXT(SUMIFS($G$5:$G$1000,$P$5:$P$1000,$P122,$S$5:$S$1000,"Macro"),"0%")&amp;" · ","")&amp;IF(AND(N($T122)&gt;0,COUNT($H122:$K122)&gt;0),"Con subactividades: deje vacías las semanas (se calculan solas)"&amp;" · ","")&amp;IF((COUNTIF($H122:$K122,"&gt;1")+COUNTIF($H122:$K122,"&lt;0")+COUNTA($H122:$K122)-COUNT($H122:$K122))&gt;0,"Avance fuera de rango 0-100%"&amp;" · ","")&amp;IF(OR(AND($I122&lt;&gt;"",$I122&lt;$H122),AND($J122&lt;&gt;"",$J122&lt;MAX($H122:$I122)),AND($K122&lt;&gt;"",$K122&lt;MAX($H122:$J122))),"Avance semanal decreciente"&amp;" · ","")&amp;IF(AND(ISNUMBER($F122),$F122&lt;FechaRef,N($L122)&lt;1),"Vencida"&amp;" · ","")&amp;IF(AND(ObsObligatoria="Sí",ISNUMBER($F122),$F122&lt;FechaRef,N($L122)&lt;1,$N122=""),"Vencida sin observación"&amp;" · ",""),LEN(IF(AND($S122="Macro",$B122=""),"Macroactividad vacía"&amp;" · ","")&amp;IF(AND($B122&lt;&gt;"",$C122&lt;&gt;""),"Escriba la subactividad en otra fila, debajo de su macroactividad"&amp;" · ","")&amp;IF(AND($S122="Sub",N($R122)=0),"Subactividad sin macroactividad arriba"&amp;" · ","")&amp;IF($D122="","Sin responsable"&amp;" · ","")&amp;IF($E122="","Sin fecha de inicio"&amp;" · ","")&amp;IF($F122="","Sin fecha límite"&amp;" · ","")&amp;IF(OR(AND($E122&lt;&gt;"",NOT(ISNUMBER($E122))),AND($F122&lt;&gt;"",NOT(ISNUMBER($F122)))),"Fecha no válida"&amp;" · ","")&amp;IF(AND(ISNUMBER($E122),ISNUMBER($F122),$E122&gt;$F122),"Inicio posterior a fecha límite"&amp;" · ","")&amp;IF(AND($S122="Macro",$G122=""),"Peso vacío"&amp;" · ","")&amp;IF(AND($S122="Macro",$G122&lt;&gt;"",OR(NOT(ISNUMBER($G122)),$G122&lt;=0,$G122&gt;1)),"Peso fuera de rango"&amp;" · ","")&amp;IF(AND($S122="Sub",$G122&lt;&gt;""),"Las subactividades no llevan peso"&amp;" · ","")&amp;IF(AND($S122="Macro",ABS(SUMIFS($G$5:$G$1000,$P$5:$P$1000,$P122,$S$5:$S$1000,"Macro")-1)&gt;0.0001),"Pesos del mes suman "&amp;TEXT(SUMIFS($G$5:$G$1000,$P$5:$P$1000,$P122,$S$5:$S$1000,"Macro"),"0%")&amp;" · ","")&amp;IF(AND(N($T122)&gt;0,COUNT($H122:$K122)&gt;0),"Con subactividades: deje vacías las semanas (se calculan solas)"&amp;" · ","")&amp;IF((COUNTIF($H122:$K122,"&gt;1")+COUNTIF($H122:$K122,"&lt;0")+COUNTA($H122:$K122)-COUNT($H122:$K122))&gt;0,"Avance fuera de rango 0-100%"&amp;" · ","")&amp;IF(OR(AND($I122&lt;&gt;"",$I122&lt;$H122),AND($J122&lt;&gt;"",$J122&lt;MAX($H122:$I122)),AND($K122&lt;&gt;"",$K122&lt;MAX($H122:$J122))),"Avance semanal decreciente"&amp;" · ","")&amp;IF(AND(ISNUMBER($F122),$F122&lt;FechaRef,N($L122)&lt;1),"Vencida"&amp;" · ","")&amp;IF(AND(ObsObligatoria="Sí",ISNUMBER($F122),$F122&lt;FechaRef,N($L122)&lt;1,$N122=""),"Vencida sin observación"&amp;" · ",""))-3)))</f>
        <v/>
      </c>
      <c r="P122" s="69">
        <f>IF(NOT((COUNTA($B122:$K122)+COUNTA($N122))&gt;0),"",IF(AND($S122="Sub",N($R122)&gt;0),IF(ISNUMBER(INDEX($E$5:$E$1000,$R122-4)),DATE(YEAR(INDEX($E$5:$E$1000,$R122-4)),MONTH(INDEX($E$5:$E$1000,$R122-4)),1),IF(ISNUMBER(INDEX($F$5:$F$1000,$R122-4)),DATE(YEAR(INDEX($F$5:$F$1000,$R122-4)),MONTH(INDEX($F$5:$F$1000,$R122-4)),1),MesCiclo)),IF(ISNUMBER($E122),DATE(YEAR($E122),MONTH($E122),1),IF(ISNUMBER($F122),DATE(YEAR($F122),MONTH($F122),1),MesCiclo))))</f>
        <v/>
      </c>
      <c r="Q122" s="70">
        <f>IF(OR($P122="",$P122&lt;&gt;MesCiclo),"",COUNTIF($P$5:$P122,MesCiclo))</f>
        <v/>
      </c>
      <c r="R122" s="70">
        <f>IF($S122="","",IF($S122="Macro",ROW(),IFERROR(LOOKUP(2,1/($S$5:$S122="Macro"),ROW($S$5:$S122)),0)))</f>
        <v/>
      </c>
      <c r="S122" s="70">
        <f>IF(NOT((COUNTA($B122:$K122)+COUNTA($N122))&gt;0),"",IF($B122&lt;&gt;"","Macro",IF($C122&lt;&gt;"","Sub","Macro")))</f>
        <v/>
      </c>
      <c r="T122" s="70">
        <f>IF($S122="Macro",COUNTIFS($R$5:$R$1000,ROW(),$S$5:$S$1000,"Sub"),"")</f>
        <v/>
      </c>
      <c r="U122" s="70">
        <f>IF($S122="","",IF(ISNUMBER($H122),$H122,0))</f>
        <v/>
      </c>
      <c r="V122" s="70">
        <f>IF($S122="","",IF(ISNUMBER($I122),$I122,$U122))</f>
        <v/>
      </c>
      <c r="W122" s="70">
        <f>IF($S122="","",IF(ISNUMBER($J122),$J122,$V122))</f>
        <v/>
      </c>
      <c r="X122" s="70">
        <f>IF($S122="","",IF(ISNUMBER($K122),$K122,$W122))</f>
        <v/>
      </c>
      <c r="Y122" s="70">
        <f>IF($S122="","",IF(N($T122)&gt;0,AVERAGEIFS($U$5:$U$1000,$R$5:$R$1000,ROW(),$S$5:$S$1000,"Sub"),$U122))</f>
        <v/>
      </c>
      <c r="Z122" s="70">
        <f>IF($S122="","",IF(N($T122)&gt;0,AVERAGEIFS($V$5:$V$1000,$R$5:$R$1000,ROW(),$S$5:$S$1000,"Sub"),$V122))</f>
        <v/>
      </c>
      <c r="AA122" s="70">
        <f>IF($S122="","",IF(N($T122)&gt;0,AVERAGEIFS($W$5:$W$1000,$R$5:$R$1000,ROW(),$S$5:$S$1000,"Sub"),$W122))</f>
        <v/>
      </c>
      <c r="AB122" s="70">
        <f>IF($S122="","",IF(N($T122)&gt;0,AVERAGEIFS($X$5:$X$1000,$R$5:$R$1000,ROW(),$S$5:$S$1000,"Sub"),$X122))</f>
        <v/>
      </c>
    </row>
    <row r="123">
      <c r="A123" s="61">
        <f>IF(NOT((COUNTA($B123:$K123)+COUNTA($N123))&gt;0),"",IF($S123="Macro",COUNTIFS($S$5:$S123,"Macro",$P$5:$P123,$P123),IF(N($R123)=0,"?",COUNTIFS(INDEX($S$5:$S$1000,1):INDEX($S$5:$S$1000,$R123-4),"Macro",INDEX($P$5:$P$1000,1):INDEX($P$5:$P$1000,$R123-4),INDEX($P$5:$P$1000,$R123-4))&amp;"."&amp;COUNTIFS($R$5:$R123,$R123,$S$5:$S123,"Sub"))))</f>
        <v/>
      </c>
      <c r="B123" s="62" t="n"/>
      <c r="C123" s="63" t="n"/>
      <c r="D123" s="62" t="n"/>
      <c r="E123" s="64" t="n"/>
      <c r="F123" s="64" t="n"/>
      <c r="G123" s="65" t="n"/>
      <c r="H123" s="66" t="n"/>
      <c r="I123" s="66" t="n"/>
      <c r="J123" s="66" t="n"/>
      <c r="K123" s="66" t="n"/>
      <c r="L123" s="67">
        <f>IF(NOT((COUNTA($B123:$K123)+COUNTA($N123))&gt;0),"",IF(N($T123)&gt;0,$AB123,IFERROR(LOOKUP(2,1/(H123:K123&lt;&gt;""),H123:K123),0)))</f>
        <v/>
      </c>
      <c r="M123" s="61">
        <f>IF(L123="","",IF(L123&gt;=1,"Completado",IF(L123&gt;0,"En curso","Pendiente")))</f>
        <v/>
      </c>
      <c r="N123" s="62" t="n"/>
      <c r="O123" s="68">
        <f>IF(NOT((COUNTA($B123:$K123)+COUNTA($N123))&gt;0),"",IF((IF(AND($S123="Macro",$B123=""),"Macroactividad vacía"&amp;" · ","")&amp;IF(AND($B123&lt;&gt;"",$C123&lt;&gt;""),"Escriba la subactividad en otra fila, debajo de su macroactividad"&amp;" · ","")&amp;IF(AND($S123="Sub",N($R123)=0),"Subactividad sin macroactividad arriba"&amp;" · ","")&amp;IF($D123="","Sin responsable"&amp;" · ","")&amp;IF($E123="","Sin fecha de inicio"&amp;" · ","")&amp;IF($F123="","Sin fecha límite"&amp;" · ","")&amp;IF(OR(AND($E123&lt;&gt;"",NOT(ISNUMBER($E123))),AND($F123&lt;&gt;"",NOT(ISNUMBER($F123)))),"Fecha no válida"&amp;" · ","")&amp;IF(AND(ISNUMBER($E123),ISNUMBER($F123),$E123&gt;$F123),"Inicio posterior a fecha límite"&amp;" · ","")&amp;IF(AND($S123="Macro",$G123=""),"Peso vacío"&amp;" · ","")&amp;IF(AND($S123="Macro",$G123&lt;&gt;"",OR(NOT(ISNUMBER($G123)),$G123&lt;=0,$G123&gt;1)),"Peso fuera de rango"&amp;" · ","")&amp;IF(AND($S123="Sub",$G123&lt;&gt;""),"Las subactividades no llevan peso"&amp;" · ","")&amp;IF(AND($S123="Macro",ABS(SUMIFS($G$5:$G$1000,$P$5:$P$1000,$P123,$S$5:$S$1000,"Macro")-1)&gt;0.0001),"Pesos del mes suman "&amp;TEXT(SUMIFS($G$5:$G$1000,$P$5:$P$1000,$P123,$S$5:$S$1000,"Macro"),"0%")&amp;" · ","")&amp;IF(AND(N($T123)&gt;0,COUNT($H123:$K123)&gt;0),"Con subactividades: deje vacías las semanas (se calculan solas)"&amp;" · ","")&amp;IF((COUNTIF($H123:$K123,"&gt;1")+COUNTIF($H123:$K123,"&lt;0")+COUNTA($H123:$K123)-COUNT($H123:$K123))&gt;0,"Avance fuera de rango 0-100%"&amp;" · ","")&amp;IF(OR(AND($I123&lt;&gt;"",$I123&lt;$H123),AND($J123&lt;&gt;"",$J123&lt;MAX($H123:$I123)),AND($K123&lt;&gt;"",$K123&lt;MAX($H123:$J123))),"Avance semanal decreciente"&amp;" · ","")&amp;IF(AND(ISNUMBER($F123),$F123&lt;FechaRef,N($L123)&lt;1),"Vencida"&amp;" · ","")&amp;IF(AND(ObsObligatoria="Sí",ISNUMBER($F123),$F123&lt;FechaRef,N($L123)&lt;1,$N123=""),"Vencida sin observación"&amp;" · ",""))="","✔ OK","⚠ "&amp;LEFT(IF(AND($S123="Macro",$B123=""),"Macroactividad vacía"&amp;" · ","")&amp;IF(AND($B123&lt;&gt;"",$C123&lt;&gt;""),"Escriba la subactividad en otra fila, debajo de su macroactividad"&amp;" · ","")&amp;IF(AND($S123="Sub",N($R123)=0),"Subactividad sin macroactividad arriba"&amp;" · ","")&amp;IF($D123="","Sin responsable"&amp;" · ","")&amp;IF($E123="","Sin fecha de inicio"&amp;" · ","")&amp;IF($F123="","Sin fecha límite"&amp;" · ","")&amp;IF(OR(AND($E123&lt;&gt;"",NOT(ISNUMBER($E123))),AND($F123&lt;&gt;"",NOT(ISNUMBER($F123)))),"Fecha no válida"&amp;" · ","")&amp;IF(AND(ISNUMBER($E123),ISNUMBER($F123),$E123&gt;$F123),"Inicio posterior a fecha límite"&amp;" · ","")&amp;IF(AND($S123="Macro",$G123=""),"Peso vacío"&amp;" · ","")&amp;IF(AND($S123="Macro",$G123&lt;&gt;"",OR(NOT(ISNUMBER($G123)),$G123&lt;=0,$G123&gt;1)),"Peso fuera de rango"&amp;" · ","")&amp;IF(AND($S123="Sub",$G123&lt;&gt;""),"Las subactividades no llevan peso"&amp;" · ","")&amp;IF(AND($S123="Macro",ABS(SUMIFS($G$5:$G$1000,$P$5:$P$1000,$P123,$S$5:$S$1000,"Macro")-1)&gt;0.0001),"Pesos del mes suman "&amp;TEXT(SUMIFS($G$5:$G$1000,$P$5:$P$1000,$P123,$S$5:$S$1000,"Macro"),"0%")&amp;" · ","")&amp;IF(AND(N($T123)&gt;0,COUNT($H123:$K123)&gt;0),"Con subactividades: deje vacías las semanas (se calculan solas)"&amp;" · ","")&amp;IF((COUNTIF($H123:$K123,"&gt;1")+COUNTIF($H123:$K123,"&lt;0")+COUNTA($H123:$K123)-COUNT($H123:$K123))&gt;0,"Avance fuera de rango 0-100%"&amp;" · ","")&amp;IF(OR(AND($I123&lt;&gt;"",$I123&lt;$H123),AND($J123&lt;&gt;"",$J123&lt;MAX($H123:$I123)),AND($K123&lt;&gt;"",$K123&lt;MAX($H123:$J123))),"Avance semanal decreciente"&amp;" · ","")&amp;IF(AND(ISNUMBER($F123),$F123&lt;FechaRef,N($L123)&lt;1),"Vencida"&amp;" · ","")&amp;IF(AND(ObsObligatoria="Sí",ISNUMBER($F123),$F123&lt;FechaRef,N($L123)&lt;1,$N123=""),"Vencida sin observación"&amp;" · ",""),LEN(IF(AND($S123="Macro",$B123=""),"Macroactividad vacía"&amp;" · ","")&amp;IF(AND($B123&lt;&gt;"",$C123&lt;&gt;""),"Escriba la subactividad en otra fila, debajo de su macroactividad"&amp;" · ","")&amp;IF(AND($S123="Sub",N($R123)=0),"Subactividad sin macroactividad arriba"&amp;" · ","")&amp;IF($D123="","Sin responsable"&amp;" · ","")&amp;IF($E123="","Sin fecha de inicio"&amp;" · ","")&amp;IF($F123="","Sin fecha límite"&amp;" · ","")&amp;IF(OR(AND($E123&lt;&gt;"",NOT(ISNUMBER($E123))),AND($F123&lt;&gt;"",NOT(ISNUMBER($F123)))),"Fecha no válida"&amp;" · ","")&amp;IF(AND(ISNUMBER($E123),ISNUMBER($F123),$E123&gt;$F123),"Inicio posterior a fecha límite"&amp;" · ","")&amp;IF(AND($S123="Macro",$G123=""),"Peso vacío"&amp;" · ","")&amp;IF(AND($S123="Macro",$G123&lt;&gt;"",OR(NOT(ISNUMBER($G123)),$G123&lt;=0,$G123&gt;1)),"Peso fuera de rango"&amp;" · ","")&amp;IF(AND($S123="Sub",$G123&lt;&gt;""),"Las subactividades no llevan peso"&amp;" · ","")&amp;IF(AND($S123="Macro",ABS(SUMIFS($G$5:$G$1000,$P$5:$P$1000,$P123,$S$5:$S$1000,"Macro")-1)&gt;0.0001),"Pesos del mes suman "&amp;TEXT(SUMIFS($G$5:$G$1000,$P$5:$P$1000,$P123,$S$5:$S$1000,"Macro"),"0%")&amp;" · ","")&amp;IF(AND(N($T123)&gt;0,COUNT($H123:$K123)&gt;0),"Con subactividades: deje vacías las semanas (se calculan solas)"&amp;" · ","")&amp;IF((COUNTIF($H123:$K123,"&gt;1")+COUNTIF($H123:$K123,"&lt;0")+COUNTA($H123:$K123)-COUNT($H123:$K123))&gt;0,"Avance fuera de rango 0-100%"&amp;" · ","")&amp;IF(OR(AND($I123&lt;&gt;"",$I123&lt;$H123),AND($J123&lt;&gt;"",$J123&lt;MAX($H123:$I123)),AND($K123&lt;&gt;"",$K123&lt;MAX($H123:$J123))),"Avance semanal decreciente"&amp;" · ","")&amp;IF(AND(ISNUMBER($F123),$F123&lt;FechaRef,N($L123)&lt;1),"Vencida"&amp;" · ","")&amp;IF(AND(ObsObligatoria="Sí",ISNUMBER($F123),$F123&lt;FechaRef,N($L123)&lt;1,$N123=""),"Vencida sin observación"&amp;" · ",""))-3)))</f>
        <v/>
      </c>
      <c r="P123" s="69">
        <f>IF(NOT((COUNTA($B123:$K123)+COUNTA($N123))&gt;0),"",IF(AND($S123="Sub",N($R123)&gt;0),IF(ISNUMBER(INDEX($E$5:$E$1000,$R123-4)),DATE(YEAR(INDEX($E$5:$E$1000,$R123-4)),MONTH(INDEX($E$5:$E$1000,$R123-4)),1),IF(ISNUMBER(INDEX($F$5:$F$1000,$R123-4)),DATE(YEAR(INDEX($F$5:$F$1000,$R123-4)),MONTH(INDEX($F$5:$F$1000,$R123-4)),1),MesCiclo)),IF(ISNUMBER($E123),DATE(YEAR($E123),MONTH($E123),1),IF(ISNUMBER($F123),DATE(YEAR($F123),MONTH($F123),1),MesCiclo))))</f>
        <v/>
      </c>
      <c r="Q123" s="70">
        <f>IF(OR($P123="",$P123&lt;&gt;MesCiclo),"",COUNTIF($P$5:$P123,MesCiclo))</f>
        <v/>
      </c>
      <c r="R123" s="70">
        <f>IF($S123="","",IF($S123="Macro",ROW(),IFERROR(LOOKUP(2,1/($S$5:$S123="Macro"),ROW($S$5:$S123)),0)))</f>
        <v/>
      </c>
      <c r="S123" s="70">
        <f>IF(NOT((COUNTA($B123:$K123)+COUNTA($N123))&gt;0),"",IF($B123&lt;&gt;"","Macro",IF($C123&lt;&gt;"","Sub","Macro")))</f>
        <v/>
      </c>
      <c r="T123" s="70">
        <f>IF($S123="Macro",COUNTIFS($R$5:$R$1000,ROW(),$S$5:$S$1000,"Sub"),"")</f>
        <v/>
      </c>
      <c r="U123" s="70">
        <f>IF($S123="","",IF(ISNUMBER($H123),$H123,0))</f>
        <v/>
      </c>
      <c r="V123" s="70">
        <f>IF($S123="","",IF(ISNUMBER($I123),$I123,$U123))</f>
        <v/>
      </c>
      <c r="W123" s="70">
        <f>IF($S123="","",IF(ISNUMBER($J123),$J123,$V123))</f>
        <v/>
      </c>
      <c r="X123" s="70">
        <f>IF($S123="","",IF(ISNUMBER($K123),$K123,$W123))</f>
        <v/>
      </c>
      <c r="Y123" s="70">
        <f>IF($S123="","",IF(N($T123)&gt;0,AVERAGEIFS($U$5:$U$1000,$R$5:$R$1000,ROW(),$S$5:$S$1000,"Sub"),$U123))</f>
        <v/>
      </c>
      <c r="Z123" s="70">
        <f>IF($S123="","",IF(N($T123)&gt;0,AVERAGEIFS($V$5:$V$1000,$R$5:$R$1000,ROW(),$S$5:$S$1000,"Sub"),$V123))</f>
        <v/>
      </c>
      <c r="AA123" s="70">
        <f>IF($S123="","",IF(N($T123)&gt;0,AVERAGEIFS($W$5:$W$1000,$R$5:$R$1000,ROW(),$S$5:$S$1000,"Sub"),$W123))</f>
        <v/>
      </c>
      <c r="AB123" s="70">
        <f>IF($S123="","",IF(N($T123)&gt;0,AVERAGEIFS($X$5:$X$1000,$R$5:$R$1000,ROW(),$S$5:$S$1000,"Sub"),$X123))</f>
        <v/>
      </c>
    </row>
    <row r="124">
      <c r="A124" s="61">
        <f>IF(NOT((COUNTA($B124:$K124)+COUNTA($N124))&gt;0),"",IF($S124="Macro",COUNTIFS($S$5:$S124,"Macro",$P$5:$P124,$P124),IF(N($R124)=0,"?",COUNTIFS(INDEX($S$5:$S$1000,1):INDEX($S$5:$S$1000,$R124-4),"Macro",INDEX($P$5:$P$1000,1):INDEX($P$5:$P$1000,$R124-4),INDEX($P$5:$P$1000,$R124-4))&amp;"."&amp;COUNTIFS($R$5:$R124,$R124,$S$5:$S124,"Sub"))))</f>
        <v/>
      </c>
      <c r="B124" s="62" t="n"/>
      <c r="C124" s="63" t="n"/>
      <c r="D124" s="62" t="n"/>
      <c r="E124" s="64" t="n"/>
      <c r="F124" s="64" t="n"/>
      <c r="G124" s="65" t="n"/>
      <c r="H124" s="66" t="n"/>
      <c r="I124" s="66" t="n"/>
      <c r="J124" s="66" t="n"/>
      <c r="K124" s="66" t="n"/>
      <c r="L124" s="67">
        <f>IF(NOT((COUNTA($B124:$K124)+COUNTA($N124))&gt;0),"",IF(N($T124)&gt;0,$AB124,IFERROR(LOOKUP(2,1/(H124:K124&lt;&gt;""),H124:K124),0)))</f>
        <v/>
      </c>
      <c r="M124" s="61">
        <f>IF(L124="","",IF(L124&gt;=1,"Completado",IF(L124&gt;0,"En curso","Pendiente")))</f>
        <v/>
      </c>
      <c r="N124" s="62" t="n"/>
      <c r="O124" s="68">
        <f>IF(NOT((COUNTA($B124:$K124)+COUNTA($N124))&gt;0),"",IF((IF(AND($S124="Macro",$B124=""),"Macroactividad vacía"&amp;" · ","")&amp;IF(AND($B124&lt;&gt;"",$C124&lt;&gt;""),"Escriba la subactividad en otra fila, debajo de su macroactividad"&amp;" · ","")&amp;IF(AND($S124="Sub",N($R124)=0),"Subactividad sin macroactividad arriba"&amp;" · ","")&amp;IF($D124="","Sin responsable"&amp;" · ","")&amp;IF($E124="","Sin fecha de inicio"&amp;" · ","")&amp;IF($F124="","Sin fecha límite"&amp;" · ","")&amp;IF(OR(AND($E124&lt;&gt;"",NOT(ISNUMBER($E124))),AND($F124&lt;&gt;"",NOT(ISNUMBER($F124)))),"Fecha no válida"&amp;" · ","")&amp;IF(AND(ISNUMBER($E124),ISNUMBER($F124),$E124&gt;$F124),"Inicio posterior a fecha límite"&amp;" · ","")&amp;IF(AND($S124="Macro",$G124=""),"Peso vacío"&amp;" · ","")&amp;IF(AND($S124="Macro",$G124&lt;&gt;"",OR(NOT(ISNUMBER($G124)),$G124&lt;=0,$G124&gt;1)),"Peso fuera de rango"&amp;" · ","")&amp;IF(AND($S124="Sub",$G124&lt;&gt;""),"Las subactividades no llevan peso"&amp;" · ","")&amp;IF(AND($S124="Macro",ABS(SUMIFS($G$5:$G$1000,$P$5:$P$1000,$P124,$S$5:$S$1000,"Macro")-1)&gt;0.0001),"Pesos del mes suman "&amp;TEXT(SUMIFS($G$5:$G$1000,$P$5:$P$1000,$P124,$S$5:$S$1000,"Macro"),"0%")&amp;" · ","")&amp;IF(AND(N($T124)&gt;0,COUNT($H124:$K124)&gt;0),"Con subactividades: deje vacías las semanas (se calculan solas)"&amp;" · ","")&amp;IF((COUNTIF($H124:$K124,"&gt;1")+COUNTIF($H124:$K124,"&lt;0")+COUNTA($H124:$K124)-COUNT($H124:$K124))&gt;0,"Avance fuera de rango 0-100%"&amp;" · ","")&amp;IF(OR(AND($I124&lt;&gt;"",$I124&lt;$H124),AND($J124&lt;&gt;"",$J124&lt;MAX($H124:$I124)),AND($K124&lt;&gt;"",$K124&lt;MAX($H124:$J124))),"Avance semanal decreciente"&amp;" · ","")&amp;IF(AND(ISNUMBER($F124),$F124&lt;FechaRef,N($L124)&lt;1),"Vencida"&amp;" · ","")&amp;IF(AND(ObsObligatoria="Sí",ISNUMBER($F124),$F124&lt;FechaRef,N($L124)&lt;1,$N124=""),"Vencida sin observación"&amp;" · ",""))="","✔ OK","⚠ "&amp;LEFT(IF(AND($S124="Macro",$B124=""),"Macroactividad vacía"&amp;" · ","")&amp;IF(AND($B124&lt;&gt;"",$C124&lt;&gt;""),"Escriba la subactividad en otra fila, debajo de su macroactividad"&amp;" · ","")&amp;IF(AND($S124="Sub",N($R124)=0),"Subactividad sin macroactividad arriba"&amp;" · ","")&amp;IF($D124="","Sin responsable"&amp;" · ","")&amp;IF($E124="","Sin fecha de inicio"&amp;" · ","")&amp;IF($F124="","Sin fecha límite"&amp;" · ","")&amp;IF(OR(AND($E124&lt;&gt;"",NOT(ISNUMBER($E124))),AND($F124&lt;&gt;"",NOT(ISNUMBER($F124)))),"Fecha no válida"&amp;" · ","")&amp;IF(AND(ISNUMBER($E124),ISNUMBER($F124),$E124&gt;$F124),"Inicio posterior a fecha límite"&amp;" · ","")&amp;IF(AND($S124="Macro",$G124=""),"Peso vacío"&amp;" · ","")&amp;IF(AND($S124="Macro",$G124&lt;&gt;"",OR(NOT(ISNUMBER($G124)),$G124&lt;=0,$G124&gt;1)),"Peso fuera de rango"&amp;" · ","")&amp;IF(AND($S124="Sub",$G124&lt;&gt;""),"Las subactividades no llevan peso"&amp;" · ","")&amp;IF(AND($S124="Macro",ABS(SUMIFS($G$5:$G$1000,$P$5:$P$1000,$P124,$S$5:$S$1000,"Macro")-1)&gt;0.0001),"Pesos del mes suman "&amp;TEXT(SUMIFS($G$5:$G$1000,$P$5:$P$1000,$P124,$S$5:$S$1000,"Macro"),"0%")&amp;" · ","")&amp;IF(AND(N($T124)&gt;0,COUNT($H124:$K124)&gt;0),"Con subactividades: deje vacías las semanas (se calculan solas)"&amp;" · ","")&amp;IF((COUNTIF($H124:$K124,"&gt;1")+COUNTIF($H124:$K124,"&lt;0")+COUNTA($H124:$K124)-COUNT($H124:$K124))&gt;0,"Avance fuera de rango 0-100%"&amp;" · ","")&amp;IF(OR(AND($I124&lt;&gt;"",$I124&lt;$H124),AND($J124&lt;&gt;"",$J124&lt;MAX($H124:$I124)),AND($K124&lt;&gt;"",$K124&lt;MAX($H124:$J124))),"Avance semanal decreciente"&amp;" · ","")&amp;IF(AND(ISNUMBER($F124),$F124&lt;FechaRef,N($L124)&lt;1),"Vencida"&amp;" · ","")&amp;IF(AND(ObsObligatoria="Sí",ISNUMBER($F124),$F124&lt;FechaRef,N($L124)&lt;1,$N124=""),"Vencida sin observación"&amp;" · ",""),LEN(IF(AND($S124="Macro",$B124=""),"Macroactividad vacía"&amp;" · ","")&amp;IF(AND($B124&lt;&gt;"",$C124&lt;&gt;""),"Escriba la subactividad en otra fila, debajo de su macroactividad"&amp;" · ","")&amp;IF(AND($S124="Sub",N($R124)=0),"Subactividad sin macroactividad arriba"&amp;" · ","")&amp;IF($D124="","Sin responsable"&amp;" · ","")&amp;IF($E124="","Sin fecha de inicio"&amp;" · ","")&amp;IF($F124="","Sin fecha límite"&amp;" · ","")&amp;IF(OR(AND($E124&lt;&gt;"",NOT(ISNUMBER($E124))),AND($F124&lt;&gt;"",NOT(ISNUMBER($F124)))),"Fecha no válida"&amp;" · ","")&amp;IF(AND(ISNUMBER($E124),ISNUMBER($F124),$E124&gt;$F124),"Inicio posterior a fecha límite"&amp;" · ","")&amp;IF(AND($S124="Macro",$G124=""),"Peso vacío"&amp;" · ","")&amp;IF(AND($S124="Macro",$G124&lt;&gt;"",OR(NOT(ISNUMBER($G124)),$G124&lt;=0,$G124&gt;1)),"Peso fuera de rango"&amp;" · ","")&amp;IF(AND($S124="Sub",$G124&lt;&gt;""),"Las subactividades no llevan peso"&amp;" · ","")&amp;IF(AND($S124="Macro",ABS(SUMIFS($G$5:$G$1000,$P$5:$P$1000,$P124,$S$5:$S$1000,"Macro")-1)&gt;0.0001),"Pesos del mes suman "&amp;TEXT(SUMIFS($G$5:$G$1000,$P$5:$P$1000,$P124,$S$5:$S$1000,"Macro"),"0%")&amp;" · ","")&amp;IF(AND(N($T124)&gt;0,COUNT($H124:$K124)&gt;0),"Con subactividades: deje vacías las semanas (se calculan solas)"&amp;" · ","")&amp;IF((COUNTIF($H124:$K124,"&gt;1")+COUNTIF($H124:$K124,"&lt;0")+COUNTA($H124:$K124)-COUNT($H124:$K124))&gt;0,"Avance fuera de rango 0-100%"&amp;" · ","")&amp;IF(OR(AND($I124&lt;&gt;"",$I124&lt;$H124),AND($J124&lt;&gt;"",$J124&lt;MAX($H124:$I124)),AND($K124&lt;&gt;"",$K124&lt;MAX($H124:$J124))),"Avance semanal decreciente"&amp;" · ","")&amp;IF(AND(ISNUMBER($F124),$F124&lt;FechaRef,N($L124)&lt;1),"Vencida"&amp;" · ","")&amp;IF(AND(ObsObligatoria="Sí",ISNUMBER($F124),$F124&lt;FechaRef,N($L124)&lt;1,$N124=""),"Vencida sin observación"&amp;" · ",""))-3)))</f>
        <v/>
      </c>
      <c r="P124" s="69">
        <f>IF(NOT((COUNTA($B124:$K124)+COUNTA($N124))&gt;0),"",IF(AND($S124="Sub",N($R124)&gt;0),IF(ISNUMBER(INDEX($E$5:$E$1000,$R124-4)),DATE(YEAR(INDEX($E$5:$E$1000,$R124-4)),MONTH(INDEX($E$5:$E$1000,$R124-4)),1),IF(ISNUMBER(INDEX($F$5:$F$1000,$R124-4)),DATE(YEAR(INDEX($F$5:$F$1000,$R124-4)),MONTH(INDEX($F$5:$F$1000,$R124-4)),1),MesCiclo)),IF(ISNUMBER($E124),DATE(YEAR($E124),MONTH($E124),1),IF(ISNUMBER($F124),DATE(YEAR($F124),MONTH($F124),1),MesCiclo))))</f>
        <v/>
      </c>
      <c r="Q124" s="70">
        <f>IF(OR($P124="",$P124&lt;&gt;MesCiclo),"",COUNTIF($P$5:$P124,MesCiclo))</f>
        <v/>
      </c>
      <c r="R124" s="70">
        <f>IF($S124="","",IF($S124="Macro",ROW(),IFERROR(LOOKUP(2,1/($S$5:$S124="Macro"),ROW($S$5:$S124)),0)))</f>
        <v/>
      </c>
      <c r="S124" s="70">
        <f>IF(NOT((COUNTA($B124:$K124)+COUNTA($N124))&gt;0),"",IF($B124&lt;&gt;"","Macro",IF($C124&lt;&gt;"","Sub","Macro")))</f>
        <v/>
      </c>
      <c r="T124" s="70">
        <f>IF($S124="Macro",COUNTIFS($R$5:$R$1000,ROW(),$S$5:$S$1000,"Sub"),"")</f>
        <v/>
      </c>
      <c r="U124" s="70">
        <f>IF($S124="","",IF(ISNUMBER($H124),$H124,0))</f>
        <v/>
      </c>
      <c r="V124" s="70">
        <f>IF($S124="","",IF(ISNUMBER($I124),$I124,$U124))</f>
        <v/>
      </c>
      <c r="W124" s="70">
        <f>IF($S124="","",IF(ISNUMBER($J124),$J124,$V124))</f>
        <v/>
      </c>
      <c r="X124" s="70">
        <f>IF($S124="","",IF(ISNUMBER($K124),$K124,$W124))</f>
        <v/>
      </c>
      <c r="Y124" s="70">
        <f>IF($S124="","",IF(N($T124)&gt;0,AVERAGEIFS($U$5:$U$1000,$R$5:$R$1000,ROW(),$S$5:$S$1000,"Sub"),$U124))</f>
        <v/>
      </c>
      <c r="Z124" s="70">
        <f>IF($S124="","",IF(N($T124)&gt;0,AVERAGEIFS($V$5:$V$1000,$R$5:$R$1000,ROW(),$S$5:$S$1000,"Sub"),$V124))</f>
        <v/>
      </c>
      <c r="AA124" s="70">
        <f>IF($S124="","",IF(N($T124)&gt;0,AVERAGEIFS($W$5:$W$1000,$R$5:$R$1000,ROW(),$S$5:$S$1000,"Sub"),$W124))</f>
        <v/>
      </c>
      <c r="AB124" s="70">
        <f>IF($S124="","",IF(N($T124)&gt;0,AVERAGEIFS($X$5:$X$1000,$R$5:$R$1000,ROW(),$S$5:$S$1000,"Sub"),$X124))</f>
        <v/>
      </c>
    </row>
    <row r="125">
      <c r="A125" s="61">
        <f>IF(NOT((COUNTA($B125:$K125)+COUNTA($N125))&gt;0),"",IF($S125="Macro",COUNTIFS($S$5:$S125,"Macro",$P$5:$P125,$P125),IF(N($R125)=0,"?",COUNTIFS(INDEX($S$5:$S$1000,1):INDEX($S$5:$S$1000,$R125-4),"Macro",INDEX($P$5:$P$1000,1):INDEX($P$5:$P$1000,$R125-4),INDEX($P$5:$P$1000,$R125-4))&amp;"."&amp;COUNTIFS($R$5:$R125,$R125,$S$5:$S125,"Sub"))))</f>
        <v/>
      </c>
      <c r="B125" s="62" t="n"/>
      <c r="C125" s="63" t="n"/>
      <c r="D125" s="62" t="n"/>
      <c r="E125" s="64" t="n"/>
      <c r="F125" s="64" t="n"/>
      <c r="G125" s="65" t="n"/>
      <c r="H125" s="66" t="n"/>
      <c r="I125" s="66" t="n"/>
      <c r="J125" s="66" t="n"/>
      <c r="K125" s="66" t="n"/>
      <c r="L125" s="67">
        <f>IF(NOT((COUNTA($B125:$K125)+COUNTA($N125))&gt;0),"",IF(N($T125)&gt;0,$AB125,IFERROR(LOOKUP(2,1/(H125:K125&lt;&gt;""),H125:K125),0)))</f>
        <v/>
      </c>
      <c r="M125" s="61">
        <f>IF(L125="","",IF(L125&gt;=1,"Completado",IF(L125&gt;0,"En curso","Pendiente")))</f>
        <v/>
      </c>
      <c r="N125" s="62" t="n"/>
      <c r="O125" s="68">
        <f>IF(NOT((COUNTA($B125:$K125)+COUNTA($N125))&gt;0),"",IF((IF(AND($S125="Macro",$B125=""),"Macroactividad vacía"&amp;" · ","")&amp;IF(AND($B125&lt;&gt;"",$C125&lt;&gt;""),"Escriba la subactividad en otra fila, debajo de su macroactividad"&amp;" · ","")&amp;IF(AND($S125="Sub",N($R125)=0),"Subactividad sin macroactividad arriba"&amp;" · ","")&amp;IF($D125="","Sin responsable"&amp;" · ","")&amp;IF($E125="","Sin fecha de inicio"&amp;" · ","")&amp;IF($F125="","Sin fecha límite"&amp;" · ","")&amp;IF(OR(AND($E125&lt;&gt;"",NOT(ISNUMBER($E125))),AND($F125&lt;&gt;"",NOT(ISNUMBER($F125)))),"Fecha no válida"&amp;" · ","")&amp;IF(AND(ISNUMBER($E125),ISNUMBER($F125),$E125&gt;$F125),"Inicio posterior a fecha límite"&amp;" · ","")&amp;IF(AND($S125="Macro",$G125=""),"Peso vacío"&amp;" · ","")&amp;IF(AND($S125="Macro",$G125&lt;&gt;"",OR(NOT(ISNUMBER($G125)),$G125&lt;=0,$G125&gt;1)),"Peso fuera de rango"&amp;" · ","")&amp;IF(AND($S125="Sub",$G125&lt;&gt;""),"Las subactividades no llevan peso"&amp;" · ","")&amp;IF(AND($S125="Macro",ABS(SUMIFS($G$5:$G$1000,$P$5:$P$1000,$P125,$S$5:$S$1000,"Macro")-1)&gt;0.0001),"Pesos del mes suman "&amp;TEXT(SUMIFS($G$5:$G$1000,$P$5:$P$1000,$P125,$S$5:$S$1000,"Macro"),"0%")&amp;" · ","")&amp;IF(AND(N($T125)&gt;0,COUNT($H125:$K125)&gt;0),"Con subactividades: deje vacías las semanas (se calculan solas)"&amp;" · ","")&amp;IF((COUNTIF($H125:$K125,"&gt;1")+COUNTIF($H125:$K125,"&lt;0")+COUNTA($H125:$K125)-COUNT($H125:$K125))&gt;0,"Avance fuera de rango 0-100%"&amp;" · ","")&amp;IF(OR(AND($I125&lt;&gt;"",$I125&lt;$H125),AND($J125&lt;&gt;"",$J125&lt;MAX($H125:$I125)),AND($K125&lt;&gt;"",$K125&lt;MAX($H125:$J125))),"Avance semanal decreciente"&amp;" · ","")&amp;IF(AND(ISNUMBER($F125),$F125&lt;FechaRef,N($L125)&lt;1),"Vencida"&amp;" · ","")&amp;IF(AND(ObsObligatoria="Sí",ISNUMBER($F125),$F125&lt;FechaRef,N($L125)&lt;1,$N125=""),"Vencida sin observación"&amp;" · ",""))="","✔ OK","⚠ "&amp;LEFT(IF(AND($S125="Macro",$B125=""),"Macroactividad vacía"&amp;" · ","")&amp;IF(AND($B125&lt;&gt;"",$C125&lt;&gt;""),"Escriba la subactividad en otra fila, debajo de su macroactividad"&amp;" · ","")&amp;IF(AND($S125="Sub",N($R125)=0),"Subactividad sin macroactividad arriba"&amp;" · ","")&amp;IF($D125="","Sin responsable"&amp;" · ","")&amp;IF($E125="","Sin fecha de inicio"&amp;" · ","")&amp;IF($F125="","Sin fecha límite"&amp;" · ","")&amp;IF(OR(AND($E125&lt;&gt;"",NOT(ISNUMBER($E125))),AND($F125&lt;&gt;"",NOT(ISNUMBER($F125)))),"Fecha no válida"&amp;" · ","")&amp;IF(AND(ISNUMBER($E125),ISNUMBER($F125),$E125&gt;$F125),"Inicio posterior a fecha límite"&amp;" · ","")&amp;IF(AND($S125="Macro",$G125=""),"Peso vacío"&amp;" · ","")&amp;IF(AND($S125="Macro",$G125&lt;&gt;"",OR(NOT(ISNUMBER($G125)),$G125&lt;=0,$G125&gt;1)),"Peso fuera de rango"&amp;" · ","")&amp;IF(AND($S125="Sub",$G125&lt;&gt;""),"Las subactividades no llevan peso"&amp;" · ","")&amp;IF(AND($S125="Macro",ABS(SUMIFS($G$5:$G$1000,$P$5:$P$1000,$P125,$S$5:$S$1000,"Macro")-1)&gt;0.0001),"Pesos del mes suman "&amp;TEXT(SUMIFS($G$5:$G$1000,$P$5:$P$1000,$P125,$S$5:$S$1000,"Macro"),"0%")&amp;" · ","")&amp;IF(AND(N($T125)&gt;0,COUNT($H125:$K125)&gt;0),"Con subactividades: deje vacías las semanas (se calculan solas)"&amp;" · ","")&amp;IF((COUNTIF($H125:$K125,"&gt;1")+COUNTIF($H125:$K125,"&lt;0")+COUNTA($H125:$K125)-COUNT($H125:$K125))&gt;0,"Avance fuera de rango 0-100%"&amp;" · ","")&amp;IF(OR(AND($I125&lt;&gt;"",$I125&lt;$H125),AND($J125&lt;&gt;"",$J125&lt;MAX($H125:$I125)),AND($K125&lt;&gt;"",$K125&lt;MAX($H125:$J125))),"Avance semanal decreciente"&amp;" · ","")&amp;IF(AND(ISNUMBER($F125),$F125&lt;FechaRef,N($L125)&lt;1),"Vencida"&amp;" · ","")&amp;IF(AND(ObsObligatoria="Sí",ISNUMBER($F125),$F125&lt;FechaRef,N($L125)&lt;1,$N125=""),"Vencida sin observación"&amp;" · ",""),LEN(IF(AND($S125="Macro",$B125=""),"Macroactividad vacía"&amp;" · ","")&amp;IF(AND($B125&lt;&gt;"",$C125&lt;&gt;""),"Escriba la subactividad en otra fila, debajo de su macroactividad"&amp;" · ","")&amp;IF(AND($S125="Sub",N($R125)=0),"Subactividad sin macroactividad arriba"&amp;" · ","")&amp;IF($D125="","Sin responsable"&amp;" · ","")&amp;IF($E125="","Sin fecha de inicio"&amp;" · ","")&amp;IF($F125="","Sin fecha límite"&amp;" · ","")&amp;IF(OR(AND($E125&lt;&gt;"",NOT(ISNUMBER($E125))),AND($F125&lt;&gt;"",NOT(ISNUMBER($F125)))),"Fecha no válida"&amp;" · ","")&amp;IF(AND(ISNUMBER($E125),ISNUMBER($F125),$E125&gt;$F125),"Inicio posterior a fecha límite"&amp;" · ","")&amp;IF(AND($S125="Macro",$G125=""),"Peso vacío"&amp;" · ","")&amp;IF(AND($S125="Macro",$G125&lt;&gt;"",OR(NOT(ISNUMBER($G125)),$G125&lt;=0,$G125&gt;1)),"Peso fuera de rango"&amp;" · ","")&amp;IF(AND($S125="Sub",$G125&lt;&gt;""),"Las subactividades no llevan peso"&amp;" · ","")&amp;IF(AND($S125="Macro",ABS(SUMIFS($G$5:$G$1000,$P$5:$P$1000,$P125,$S$5:$S$1000,"Macro")-1)&gt;0.0001),"Pesos del mes suman "&amp;TEXT(SUMIFS($G$5:$G$1000,$P$5:$P$1000,$P125,$S$5:$S$1000,"Macro"),"0%")&amp;" · ","")&amp;IF(AND(N($T125)&gt;0,COUNT($H125:$K125)&gt;0),"Con subactividades: deje vacías las semanas (se calculan solas)"&amp;" · ","")&amp;IF((COUNTIF($H125:$K125,"&gt;1")+COUNTIF($H125:$K125,"&lt;0")+COUNTA($H125:$K125)-COUNT($H125:$K125))&gt;0,"Avance fuera de rango 0-100%"&amp;" · ","")&amp;IF(OR(AND($I125&lt;&gt;"",$I125&lt;$H125),AND($J125&lt;&gt;"",$J125&lt;MAX($H125:$I125)),AND($K125&lt;&gt;"",$K125&lt;MAX($H125:$J125))),"Avance semanal decreciente"&amp;" · ","")&amp;IF(AND(ISNUMBER($F125),$F125&lt;FechaRef,N($L125)&lt;1),"Vencida"&amp;" · ","")&amp;IF(AND(ObsObligatoria="Sí",ISNUMBER($F125),$F125&lt;FechaRef,N($L125)&lt;1,$N125=""),"Vencida sin observación"&amp;" · ",""))-3)))</f>
        <v/>
      </c>
      <c r="P125" s="69">
        <f>IF(NOT((COUNTA($B125:$K125)+COUNTA($N125))&gt;0),"",IF(AND($S125="Sub",N($R125)&gt;0),IF(ISNUMBER(INDEX($E$5:$E$1000,$R125-4)),DATE(YEAR(INDEX($E$5:$E$1000,$R125-4)),MONTH(INDEX($E$5:$E$1000,$R125-4)),1),IF(ISNUMBER(INDEX($F$5:$F$1000,$R125-4)),DATE(YEAR(INDEX($F$5:$F$1000,$R125-4)),MONTH(INDEX($F$5:$F$1000,$R125-4)),1),MesCiclo)),IF(ISNUMBER($E125),DATE(YEAR($E125),MONTH($E125),1),IF(ISNUMBER($F125),DATE(YEAR($F125),MONTH($F125),1),MesCiclo))))</f>
        <v/>
      </c>
      <c r="Q125" s="70">
        <f>IF(OR($P125="",$P125&lt;&gt;MesCiclo),"",COUNTIF($P$5:$P125,MesCiclo))</f>
        <v/>
      </c>
      <c r="R125" s="70">
        <f>IF($S125="","",IF($S125="Macro",ROW(),IFERROR(LOOKUP(2,1/($S$5:$S125="Macro"),ROW($S$5:$S125)),0)))</f>
        <v/>
      </c>
      <c r="S125" s="70">
        <f>IF(NOT((COUNTA($B125:$K125)+COUNTA($N125))&gt;0),"",IF($B125&lt;&gt;"","Macro",IF($C125&lt;&gt;"","Sub","Macro")))</f>
        <v/>
      </c>
      <c r="T125" s="70">
        <f>IF($S125="Macro",COUNTIFS($R$5:$R$1000,ROW(),$S$5:$S$1000,"Sub"),"")</f>
        <v/>
      </c>
      <c r="U125" s="70">
        <f>IF($S125="","",IF(ISNUMBER($H125),$H125,0))</f>
        <v/>
      </c>
      <c r="V125" s="70">
        <f>IF($S125="","",IF(ISNUMBER($I125),$I125,$U125))</f>
        <v/>
      </c>
      <c r="W125" s="70">
        <f>IF($S125="","",IF(ISNUMBER($J125),$J125,$V125))</f>
        <v/>
      </c>
      <c r="X125" s="70">
        <f>IF($S125="","",IF(ISNUMBER($K125),$K125,$W125))</f>
        <v/>
      </c>
      <c r="Y125" s="70">
        <f>IF($S125="","",IF(N($T125)&gt;0,AVERAGEIFS($U$5:$U$1000,$R$5:$R$1000,ROW(),$S$5:$S$1000,"Sub"),$U125))</f>
        <v/>
      </c>
      <c r="Z125" s="70">
        <f>IF($S125="","",IF(N($T125)&gt;0,AVERAGEIFS($V$5:$V$1000,$R$5:$R$1000,ROW(),$S$5:$S$1000,"Sub"),$V125))</f>
        <v/>
      </c>
      <c r="AA125" s="70">
        <f>IF($S125="","",IF(N($T125)&gt;0,AVERAGEIFS($W$5:$W$1000,$R$5:$R$1000,ROW(),$S$5:$S$1000,"Sub"),$W125))</f>
        <v/>
      </c>
      <c r="AB125" s="70">
        <f>IF($S125="","",IF(N($T125)&gt;0,AVERAGEIFS($X$5:$X$1000,$R$5:$R$1000,ROW(),$S$5:$S$1000,"Sub"),$X125))</f>
        <v/>
      </c>
    </row>
    <row r="126">
      <c r="A126" s="61">
        <f>IF(NOT((COUNTA($B126:$K126)+COUNTA($N126))&gt;0),"",IF($S126="Macro",COUNTIFS($S$5:$S126,"Macro",$P$5:$P126,$P126),IF(N($R126)=0,"?",COUNTIFS(INDEX($S$5:$S$1000,1):INDEX($S$5:$S$1000,$R126-4),"Macro",INDEX($P$5:$P$1000,1):INDEX($P$5:$P$1000,$R126-4),INDEX($P$5:$P$1000,$R126-4))&amp;"."&amp;COUNTIFS($R$5:$R126,$R126,$S$5:$S126,"Sub"))))</f>
        <v/>
      </c>
      <c r="B126" s="62" t="n"/>
      <c r="C126" s="63" t="n"/>
      <c r="D126" s="62" t="n"/>
      <c r="E126" s="64" t="n"/>
      <c r="F126" s="64" t="n"/>
      <c r="G126" s="65" t="n"/>
      <c r="H126" s="66" t="n"/>
      <c r="I126" s="66" t="n"/>
      <c r="J126" s="66" t="n"/>
      <c r="K126" s="66" t="n"/>
      <c r="L126" s="67">
        <f>IF(NOT((COUNTA($B126:$K126)+COUNTA($N126))&gt;0),"",IF(N($T126)&gt;0,$AB126,IFERROR(LOOKUP(2,1/(H126:K126&lt;&gt;""),H126:K126),0)))</f>
        <v/>
      </c>
      <c r="M126" s="61">
        <f>IF(L126="","",IF(L126&gt;=1,"Completado",IF(L126&gt;0,"En curso","Pendiente")))</f>
        <v/>
      </c>
      <c r="N126" s="62" t="n"/>
      <c r="O126" s="68">
        <f>IF(NOT((COUNTA($B126:$K126)+COUNTA($N126))&gt;0),"",IF((IF(AND($S126="Macro",$B126=""),"Macroactividad vacía"&amp;" · ","")&amp;IF(AND($B126&lt;&gt;"",$C126&lt;&gt;""),"Escriba la subactividad en otra fila, debajo de su macroactividad"&amp;" · ","")&amp;IF(AND($S126="Sub",N($R126)=0),"Subactividad sin macroactividad arriba"&amp;" · ","")&amp;IF($D126="","Sin responsable"&amp;" · ","")&amp;IF($E126="","Sin fecha de inicio"&amp;" · ","")&amp;IF($F126="","Sin fecha límite"&amp;" · ","")&amp;IF(OR(AND($E126&lt;&gt;"",NOT(ISNUMBER($E126))),AND($F126&lt;&gt;"",NOT(ISNUMBER($F126)))),"Fecha no válida"&amp;" · ","")&amp;IF(AND(ISNUMBER($E126),ISNUMBER($F126),$E126&gt;$F126),"Inicio posterior a fecha límite"&amp;" · ","")&amp;IF(AND($S126="Macro",$G126=""),"Peso vacío"&amp;" · ","")&amp;IF(AND($S126="Macro",$G126&lt;&gt;"",OR(NOT(ISNUMBER($G126)),$G126&lt;=0,$G126&gt;1)),"Peso fuera de rango"&amp;" · ","")&amp;IF(AND($S126="Sub",$G126&lt;&gt;""),"Las subactividades no llevan peso"&amp;" · ","")&amp;IF(AND($S126="Macro",ABS(SUMIFS($G$5:$G$1000,$P$5:$P$1000,$P126,$S$5:$S$1000,"Macro")-1)&gt;0.0001),"Pesos del mes suman "&amp;TEXT(SUMIFS($G$5:$G$1000,$P$5:$P$1000,$P126,$S$5:$S$1000,"Macro"),"0%")&amp;" · ","")&amp;IF(AND(N($T126)&gt;0,COUNT($H126:$K126)&gt;0),"Con subactividades: deje vacías las semanas (se calculan solas)"&amp;" · ","")&amp;IF((COUNTIF($H126:$K126,"&gt;1")+COUNTIF($H126:$K126,"&lt;0")+COUNTA($H126:$K126)-COUNT($H126:$K126))&gt;0,"Avance fuera de rango 0-100%"&amp;" · ","")&amp;IF(OR(AND($I126&lt;&gt;"",$I126&lt;$H126),AND($J126&lt;&gt;"",$J126&lt;MAX($H126:$I126)),AND($K126&lt;&gt;"",$K126&lt;MAX($H126:$J126))),"Avance semanal decreciente"&amp;" · ","")&amp;IF(AND(ISNUMBER($F126),$F126&lt;FechaRef,N($L126)&lt;1),"Vencida"&amp;" · ","")&amp;IF(AND(ObsObligatoria="Sí",ISNUMBER($F126),$F126&lt;FechaRef,N($L126)&lt;1,$N126=""),"Vencida sin observación"&amp;" · ",""))="","✔ OK","⚠ "&amp;LEFT(IF(AND($S126="Macro",$B126=""),"Macroactividad vacía"&amp;" · ","")&amp;IF(AND($B126&lt;&gt;"",$C126&lt;&gt;""),"Escriba la subactividad en otra fila, debajo de su macroactividad"&amp;" · ","")&amp;IF(AND($S126="Sub",N($R126)=0),"Subactividad sin macroactividad arriba"&amp;" · ","")&amp;IF($D126="","Sin responsable"&amp;" · ","")&amp;IF($E126="","Sin fecha de inicio"&amp;" · ","")&amp;IF($F126="","Sin fecha límite"&amp;" · ","")&amp;IF(OR(AND($E126&lt;&gt;"",NOT(ISNUMBER($E126))),AND($F126&lt;&gt;"",NOT(ISNUMBER($F126)))),"Fecha no válida"&amp;" · ","")&amp;IF(AND(ISNUMBER($E126),ISNUMBER($F126),$E126&gt;$F126),"Inicio posterior a fecha límite"&amp;" · ","")&amp;IF(AND($S126="Macro",$G126=""),"Peso vacío"&amp;" · ","")&amp;IF(AND($S126="Macro",$G126&lt;&gt;"",OR(NOT(ISNUMBER($G126)),$G126&lt;=0,$G126&gt;1)),"Peso fuera de rango"&amp;" · ","")&amp;IF(AND($S126="Sub",$G126&lt;&gt;""),"Las subactividades no llevan peso"&amp;" · ","")&amp;IF(AND($S126="Macro",ABS(SUMIFS($G$5:$G$1000,$P$5:$P$1000,$P126,$S$5:$S$1000,"Macro")-1)&gt;0.0001),"Pesos del mes suman "&amp;TEXT(SUMIFS($G$5:$G$1000,$P$5:$P$1000,$P126,$S$5:$S$1000,"Macro"),"0%")&amp;" · ","")&amp;IF(AND(N($T126)&gt;0,COUNT($H126:$K126)&gt;0),"Con subactividades: deje vacías las semanas (se calculan solas)"&amp;" · ","")&amp;IF((COUNTIF($H126:$K126,"&gt;1")+COUNTIF($H126:$K126,"&lt;0")+COUNTA($H126:$K126)-COUNT($H126:$K126))&gt;0,"Avance fuera de rango 0-100%"&amp;" · ","")&amp;IF(OR(AND($I126&lt;&gt;"",$I126&lt;$H126),AND($J126&lt;&gt;"",$J126&lt;MAX($H126:$I126)),AND($K126&lt;&gt;"",$K126&lt;MAX($H126:$J126))),"Avance semanal decreciente"&amp;" · ","")&amp;IF(AND(ISNUMBER($F126),$F126&lt;FechaRef,N($L126)&lt;1),"Vencida"&amp;" · ","")&amp;IF(AND(ObsObligatoria="Sí",ISNUMBER($F126),$F126&lt;FechaRef,N($L126)&lt;1,$N126=""),"Vencida sin observación"&amp;" · ",""),LEN(IF(AND($S126="Macro",$B126=""),"Macroactividad vacía"&amp;" · ","")&amp;IF(AND($B126&lt;&gt;"",$C126&lt;&gt;""),"Escriba la subactividad en otra fila, debajo de su macroactividad"&amp;" · ","")&amp;IF(AND($S126="Sub",N($R126)=0),"Subactividad sin macroactividad arriba"&amp;" · ","")&amp;IF($D126="","Sin responsable"&amp;" · ","")&amp;IF($E126="","Sin fecha de inicio"&amp;" · ","")&amp;IF($F126="","Sin fecha límite"&amp;" · ","")&amp;IF(OR(AND($E126&lt;&gt;"",NOT(ISNUMBER($E126))),AND($F126&lt;&gt;"",NOT(ISNUMBER($F126)))),"Fecha no válida"&amp;" · ","")&amp;IF(AND(ISNUMBER($E126),ISNUMBER($F126),$E126&gt;$F126),"Inicio posterior a fecha límite"&amp;" · ","")&amp;IF(AND($S126="Macro",$G126=""),"Peso vacío"&amp;" · ","")&amp;IF(AND($S126="Macro",$G126&lt;&gt;"",OR(NOT(ISNUMBER($G126)),$G126&lt;=0,$G126&gt;1)),"Peso fuera de rango"&amp;" · ","")&amp;IF(AND($S126="Sub",$G126&lt;&gt;""),"Las subactividades no llevan peso"&amp;" · ","")&amp;IF(AND($S126="Macro",ABS(SUMIFS($G$5:$G$1000,$P$5:$P$1000,$P126,$S$5:$S$1000,"Macro")-1)&gt;0.0001),"Pesos del mes suman "&amp;TEXT(SUMIFS($G$5:$G$1000,$P$5:$P$1000,$P126,$S$5:$S$1000,"Macro"),"0%")&amp;" · ","")&amp;IF(AND(N($T126)&gt;0,COUNT($H126:$K126)&gt;0),"Con subactividades: deje vacías las semanas (se calculan solas)"&amp;" · ","")&amp;IF((COUNTIF($H126:$K126,"&gt;1")+COUNTIF($H126:$K126,"&lt;0")+COUNTA($H126:$K126)-COUNT($H126:$K126))&gt;0,"Avance fuera de rango 0-100%"&amp;" · ","")&amp;IF(OR(AND($I126&lt;&gt;"",$I126&lt;$H126),AND($J126&lt;&gt;"",$J126&lt;MAX($H126:$I126)),AND($K126&lt;&gt;"",$K126&lt;MAX($H126:$J126))),"Avance semanal decreciente"&amp;" · ","")&amp;IF(AND(ISNUMBER($F126),$F126&lt;FechaRef,N($L126)&lt;1),"Vencida"&amp;" · ","")&amp;IF(AND(ObsObligatoria="Sí",ISNUMBER($F126),$F126&lt;FechaRef,N($L126)&lt;1,$N126=""),"Vencida sin observación"&amp;" · ",""))-3)))</f>
        <v/>
      </c>
      <c r="P126" s="69">
        <f>IF(NOT((COUNTA($B126:$K126)+COUNTA($N126))&gt;0),"",IF(AND($S126="Sub",N($R126)&gt;0),IF(ISNUMBER(INDEX($E$5:$E$1000,$R126-4)),DATE(YEAR(INDEX($E$5:$E$1000,$R126-4)),MONTH(INDEX($E$5:$E$1000,$R126-4)),1),IF(ISNUMBER(INDEX($F$5:$F$1000,$R126-4)),DATE(YEAR(INDEX($F$5:$F$1000,$R126-4)),MONTH(INDEX($F$5:$F$1000,$R126-4)),1),MesCiclo)),IF(ISNUMBER($E126),DATE(YEAR($E126),MONTH($E126),1),IF(ISNUMBER($F126),DATE(YEAR($F126),MONTH($F126),1),MesCiclo))))</f>
        <v/>
      </c>
      <c r="Q126" s="70">
        <f>IF(OR($P126="",$P126&lt;&gt;MesCiclo),"",COUNTIF($P$5:$P126,MesCiclo))</f>
        <v/>
      </c>
      <c r="R126" s="70">
        <f>IF($S126="","",IF($S126="Macro",ROW(),IFERROR(LOOKUP(2,1/($S$5:$S126="Macro"),ROW($S$5:$S126)),0)))</f>
        <v/>
      </c>
      <c r="S126" s="70">
        <f>IF(NOT((COUNTA($B126:$K126)+COUNTA($N126))&gt;0),"",IF($B126&lt;&gt;"","Macro",IF($C126&lt;&gt;"","Sub","Macro")))</f>
        <v/>
      </c>
      <c r="T126" s="70">
        <f>IF($S126="Macro",COUNTIFS($R$5:$R$1000,ROW(),$S$5:$S$1000,"Sub"),"")</f>
        <v/>
      </c>
      <c r="U126" s="70">
        <f>IF($S126="","",IF(ISNUMBER($H126),$H126,0))</f>
        <v/>
      </c>
      <c r="V126" s="70">
        <f>IF($S126="","",IF(ISNUMBER($I126),$I126,$U126))</f>
        <v/>
      </c>
      <c r="W126" s="70">
        <f>IF($S126="","",IF(ISNUMBER($J126),$J126,$V126))</f>
        <v/>
      </c>
      <c r="X126" s="70">
        <f>IF($S126="","",IF(ISNUMBER($K126),$K126,$W126))</f>
        <v/>
      </c>
      <c r="Y126" s="70">
        <f>IF($S126="","",IF(N($T126)&gt;0,AVERAGEIFS($U$5:$U$1000,$R$5:$R$1000,ROW(),$S$5:$S$1000,"Sub"),$U126))</f>
        <v/>
      </c>
      <c r="Z126" s="70">
        <f>IF($S126="","",IF(N($T126)&gt;0,AVERAGEIFS($V$5:$V$1000,$R$5:$R$1000,ROW(),$S$5:$S$1000,"Sub"),$V126))</f>
        <v/>
      </c>
      <c r="AA126" s="70">
        <f>IF($S126="","",IF(N($T126)&gt;0,AVERAGEIFS($W$5:$W$1000,$R$5:$R$1000,ROW(),$S$5:$S$1000,"Sub"),$W126))</f>
        <v/>
      </c>
      <c r="AB126" s="70">
        <f>IF($S126="","",IF(N($T126)&gt;0,AVERAGEIFS($X$5:$X$1000,$R$5:$R$1000,ROW(),$S$5:$S$1000,"Sub"),$X126))</f>
        <v/>
      </c>
    </row>
    <row r="127">
      <c r="A127" s="61">
        <f>IF(NOT((COUNTA($B127:$K127)+COUNTA($N127))&gt;0),"",IF($S127="Macro",COUNTIFS($S$5:$S127,"Macro",$P$5:$P127,$P127),IF(N($R127)=0,"?",COUNTIFS(INDEX($S$5:$S$1000,1):INDEX($S$5:$S$1000,$R127-4),"Macro",INDEX($P$5:$P$1000,1):INDEX($P$5:$P$1000,$R127-4),INDEX($P$5:$P$1000,$R127-4))&amp;"."&amp;COUNTIFS($R$5:$R127,$R127,$S$5:$S127,"Sub"))))</f>
        <v/>
      </c>
      <c r="B127" s="62" t="n"/>
      <c r="C127" s="63" t="n"/>
      <c r="D127" s="62" t="n"/>
      <c r="E127" s="64" t="n"/>
      <c r="F127" s="64" t="n"/>
      <c r="G127" s="65" t="n"/>
      <c r="H127" s="66" t="n"/>
      <c r="I127" s="66" t="n"/>
      <c r="J127" s="66" t="n"/>
      <c r="K127" s="66" t="n"/>
      <c r="L127" s="67">
        <f>IF(NOT((COUNTA($B127:$K127)+COUNTA($N127))&gt;0),"",IF(N($T127)&gt;0,$AB127,IFERROR(LOOKUP(2,1/(H127:K127&lt;&gt;""),H127:K127),0)))</f>
        <v/>
      </c>
      <c r="M127" s="61">
        <f>IF(L127="","",IF(L127&gt;=1,"Completado",IF(L127&gt;0,"En curso","Pendiente")))</f>
        <v/>
      </c>
      <c r="N127" s="62" t="n"/>
      <c r="O127" s="68">
        <f>IF(NOT((COUNTA($B127:$K127)+COUNTA($N127))&gt;0),"",IF((IF(AND($S127="Macro",$B127=""),"Macroactividad vacía"&amp;" · ","")&amp;IF(AND($B127&lt;&gt;"",$C127&lt;&gt;""),"Escriba la subactividad en otra fila, debajo de su macroactividad"&amp;" · ","")&amp;IF(AND($S127="Sub",N($R127)=0),"Subactividad sin macroactividad arriba"&amp;" · ","")&amp;IF($D127="","Sin responsable"&amp;" · ","")&amp;IF($E127="","Sin fecha de inicio"&amp;" · ","")&amp;IF($F127="","Sin fecha límite"&amp;" · ","")&amp;IF(OR(AND($E127&lt;&gt;"",NOT(ISNUMBER($E127))),AND($F127&lt;&gt;"",NOT(ISNUMBER($F127)))),"Fecha no válida"&amp;" · ","")&amp;IF(AND(ISNUMBER($E127),ISNUMBER($F127),$E127&gt;$F127),"Inicio posterior a fecha límite"&amp;" · ","")&amp;IF(AND($S127="Macro",$G127=""),"Peso vacío"&amp;" · ","")&amp;IF(AND($S127="Macro",$G127&lt;&gt;"",OR(NOT(ISNUMBER($G127)),$G127&lt;=0,$G127&gt;1)),"Peso fuera de rango"&amp;" · ","")&amp;IF(AND($S127="Sub",$G127&lt;&gt;""),"Las subactividades no llevan peso"&amp;" · ","")&amp;IF(AND($S127="Macro",ABS(SUMIFS($G$5:$G$1000,$P$5:$P$1000,$P127,$S$5:$S$1000,"Macro")-1)&gt;0.0001),"Pesos del mes suman "&amp;TEXT(SUMIFS($G$5:$G$1000,$P$5:$P$1000,$P127,$S$5:$S$1000,"Macro"),"0%")&amp;" · ","")&amp;IF(AND(N($T127)&gt;0,COUNT($H127:$K127)&gt;0),"Con subactividades: deje vacías las semanas (se calculan solas)"&amp;" · ","")&amp;IF((COUNTIF($H127:$K127,"&gt;1")+COUNTIF($H127:$K127,"&lt;0")+COUNTA($H127:$K127)-COUNT($H127:$K127))&gt;0,"Avance fuera de rango 0-100%"&amp;" · ","")&amp;IF(OR(AND($I127&lt;&gt;"",$I127&lt;$H127),AND($J127&lt;&gt;"",$J127&lt;MAX($H127:$I127)),AND($K127&lt;&gt;"",$K127&lt;MAX($H127:$J127))),"Avance semanal decreciente"&amp;" · ","")&amp;IF(AND(ISNUMBER($F127),$F127&lt;FechaRef,N($L127)&lt;1),"Vencida"&amp;" · ","")&amp;IF(AND(ObsObligatoria="Sí",ISNUMBER($F127),$F127&lt;FechaRef,N($L127)&lt;1,$N127=""),"Vencida sin observación"&amp;" · ",""))="","✔ OK","⚠ "&amp;LEFT(IF(AND($S127="Macro",$B127=""),"Macroactividad vacía"&amp;" · ","")&amp;IF(AND($B127&lt;&gt;"",$C127&lt;&gt;""),"Escriba la subactividad en otra fila, debajo de su macroactividad"&amp;" · ","")&amp;IF(AND($S127="Sub",N($R127)=0),"Subactividad sin macroactividad arriba"&amp;" · ","")&amp;IF($D127="","Sin responsable"&amp;" · ","")&amp;IF($E127="","Sin fecha de inicio"&amp;" · ","")&amp;IF($F127="","Sin fecha límite"&amp;" · ","")&amp;IF(OR(AND($E127&lt;&gt;"",NOT(ISNUMBER($E127))),AND($F127&lt;&gt;"",NOT(ISNUMBER($F127)))),"Fecha no válida"&amp;" · ","")&amp;IF(AND(ISNUMBER($E127),ISNUMBER($F127),$E127&gt;$F127),"Inicio posterior a fecha límite"&amp;" · ","")&amp;IF(AND($S127="Macro",$G127=""),"Peso vacío"&amp;" · ","")&amp;IF(AND($S127="Macro",$G127&lt;&gt;"",OR(NOT(ISNUMBER($G127)),$G127&lt;=0,$G127&gt;1)),"Peso fuera de rango"&amp;" · ","")&amp;IF(AND($S127="Sub",$G127&lt;&gt;""),"Las subactividades no llevan peso"&amp;" · ","")&amp;IF(AND($S127="Macro",ABS(SUMIFS($G$5:$G$1000,$P$5:$P$1000,$P127,$S$5:$S$1000,"Macro")-1)&gt;0.0001),"Pesos del mes suman "&amp;TEXT(SUMIFS($G$5:$G$1000,$P$5:$P$1000,$P127,$S$5:$S$1000,"Macro"),"0%")&amp;" · ","")&amp;IF(AND(N($T127)&gt;0,COUNT($H127:$K127)&gt;0),"Con subactividades: deje vacías las semanas (se calculan solas)"&amp;" · ","")&amp;IF((COUNTIF($H127:$K127,"&gt;1")+COUNTIF($H127:$K127,"&lt;0")+COUNTA($H127:$K127)-COUNT($H127:$K127))&gt;0,"Avance fuera de rango 0-100%"&amp;" · ","")&amp;IF(OR(AND($I127&lt;&gt;"",$I127&lt;$H127),AND($J127&lt;&gt;"",$J127&lt;MAX($H127:$I127)),AND($K127&lt;&gt;"",$K127&lt;MAX($H127:$J127))),"Avance semanal decreciente"&amp;" · ","")&amp;IF(AND(ISNUMBER($F127),$F127&lt;FechaRef,N($L127)&lt;1),"Vencida"&amp;" · ","")&amp;IF(AND(ObsObligatoria="Sí",ISNUMBER($F127),$F127&lt;FechaRef,N($L127)&lt;1,$N127=""),"Vencida sin observación"&amp;" · ",""),LEN(IF(AND($S127="Macro",$B127=""),"Macroactividad vacía"&amp;" · ","")&amp;IF(AND($B127&lt;&gt;"",$C127&lt;&gt;""),"Escriba la subactividad en otra fila, debajo de su macroactividad"&amp;" · ","")&amp;IF(AND($S127="Sub",N($R127)=0),"Subactividad sin macroactividad arriba"&amp;" · ","")&amp;IF($D127="","Sin responsable"&amp;" · ","")&amp;IF($E127="","Sin fecha de inicio"&amp;" · ","")&amp;IF($F127="","Sin fecha límite"&amp;" · ","")&amp;IF(OR(AND($E127&lt;&gt;"",NOT(ISNUMBER($E127))),AND($F127&lt;&gt;"",NOT(ISNUMBER($F127)))),"Fecha no válida"&amp;" · ","")&amp;IF(AND(ISNUMBER($E127),ISNUMBER($F127),$E127&gt;$F127),"Inicio posterior a fecha límite"&amp;" · ","")&amp;IF(AND($S127="Macro",$G127=""),"Peso vacío"&amp;" · ","")&amp;IF(AND($S127="Macro",$G127&lt;&gt;"",OR(NOT(ISNUMBER($G127)),$G127&lt;=0,$G127&gt;1)),"Peso fuera de rango"&amp;" · ","")&amp;IF(AND($S127="Sub",$G127&lt;&gt;""),"Las subactividades no llevan peso"&amp;" · ","")&amp;IF(AND($S127="Macro",ABS(SUMIFS($G$5:$G$1000,$P$5:$P$1000,$P127,$S$5:$S$1000,"Macro")-1)&gt;0.0001),"Pesos del mes suman "&amp;TEXT(SUMIFS($G$5:$G$1000,$P$5:$P$1000,$P127,$S$5:$S$1000,"Macro"),"0%")&amp;" · ","")&amp;IF(AND(N($T127)&gt;0,COUNT($H127:$K127)&gt;0),"Con subactividades: deje vacías las semanas (se calculan solas)"&amp;" · ","")&amp;IF((COUNTIF($H127:$K127,"&gt;1")+COUNTIF($H127:$K127,"&lt;0")+COUNTA($H127:$K127)-COUNT($H127:$K127))&gt;0,"Avance fuera de rango 0-100%"&amp;" · ","")&amp;IF(OR(AND($I127&lt;&gt;"",$I127&lt;$H127),AND($J127&lt;&gt;"",$J127&lt;MAX($H127:$I127)),AND($K127&lt;&gt;"",$K127&lt;MAX($H127:$J127))),"Avance semanal decreciente"&amp;" · ","")&amp;IF(AND(ISNUMBER($F127),$F127&lt;FechaRef,N($L127)&lt;1),"Vencida"&amp;" · ","")&amp;IF(AND(ObsObligatoria="Sí",ISNUMBER($F127),$F127&lt;FechaRef,N($L127)&lt;1,$N127=""),"Vencida sin observación"&amp;" · ",""))-3)))</f>
        <v/>
      </c>
      <c r="P127" s="69">
        <f>IF(NOT((COUNTA($B127:$K127)+COUNTA($N127))&gt;0),"",IF(AND($S127="Sub",N($R127)&gt;0),IF(ISNUMBER(INDEX($E$5:$E$1000,$R127-4)),DATE(YEAR(INDEX($E$5:$E$1000,$R127-4)),MONTH(INDEX($E$5:$E$1000,$R127-4)),1),IF(ISNUMBER(INDEX($F$5:$F$1000,$R127-4)),DATE(YEAR(INDEX($F$5:$F$1000,$R127-4)),MONTH(INDEX($F$5:$F$1000,$R127-4)),1),MesCiclo)),IF(ISNUMBER($E127),DATE(YEAR($E127),MONTH($E127),1),IF(ISNUMBER($F127),DATE(YEAR($F127),MONTH($F127),1),MesCiclo))))</f>
        <v/>
      </c>
      <c r="Q127" s="70">
        <f>IF(OR($P127="",$P127&lt;&gt;MesCiclo),"",COUNTIF($P$5:$P127,MesCiclo))</f>
        <v/>
      </c>
      <c r="R127" s="70">
        <f>IF($S127="","",IF($S127="Macro",ROW(),IFERROR(LOOKUP(2,1/($S$5:$S127="Macro"),ROW($S$5:$S127)),0)))</f>
        <v/>
      </c>
      <c r="S127" s="70">
        <f>IF(NOT((COUNTA($B127:$K127)+COUNTA($N127))&gt;0),"",IF($B127&lt;&gt;"","Macro",IF($C127&lt;&gt;"","Sub","Macro")))</f>
        <v/>
      </c>
      <c r="T127" s="70">
        <f>IF($S127="Macro",COUNTIFS($R$5:$R$1000,ROW(),$S$5:$S$1000,"Sub"),"")</f>
        <v/>
      </c>
      <c r="U127" s="70">
        <f>IF($S127="","",IF(ISNUMBER($H127),$H127,0))</f>
        <v/>
      </c>
      <c r="V127" s="70">
        <f>IF($S127="","",IF(ISNUMBER($I127),$I127,$U127))</f>
        <v/>
      </c>
      <c r="W127" s="70">
        <f>IF($S127="","",IF(ISNUMBER($J127),$J127,$V127))</f>
        <v/>
      </c>
      <c r="X127" s="70">
        <f>IF($S127="","",IF(ISNUMBER($K127),$K127,$W127))</f>
        <v/>
      </c>
      <c r="Y127" s="70">
        <f>IF($S127="","",IF(N($T127)&gt;0,AVERAGEIFS($U$5:$U$1000,$R$5:$R$1000,ROW(),$S$5:$S$1000,"Sub"),$U127))</f>
        <v/>
      </c>
      <c r="Z127" s="70">
        <f>IF($S127="","",IF(N($T127)&gt;0,AVERAGEIFS($V$5:$V$1000,$R$5:$R$1000,ROW(),$S$5:$S$1000,"Sub"),$V127))</f>
        <v/>
      </c>
      <c r="AA127" s="70">
        <f>IF($S127="","",IF(N($T127)&gt;0,AVERAGEIFS($W$5:$W$1000,$R$5:$R$1000,ROW(),$S$5:$S$1000,"Sub"),$W127))</f>
        <v/>
      </c>
      <c r="AB127" s="70">
        <f>IF($S127="","",IF(N($T127)&gt;0,AVERAGEIFS($X$5:$X$1000,$R$5:$R$1000,ROW(),$S$5:$S$1000,"Sub"),$X127))</f>
        <v/>
      </c>
    </row>
    <row r="128">
      <c r="A128" s="61">
        <f>IF(NOT((COUNTA($B128:$K128)+COUNTA($N128))&gt;0),"",IF($S128="Macro",COUNTIFS($S$5:$S128,"Macro",$P$5:$P128,$P128),IF(N($R128)=0,"?",COUNTIFS(INDEX($S$5:$S$1000,1):INDEX($S$5:$S$1000,$R128-4),"Macro",INDEX($P$5:$P$1000,1):INDEX($P$5:$P$1000,$R128-4),INDEX($P$5:$P$1000,$R128-4))&amp;"."&amp;COUNTIFS($R$5:$R128,$R128,$S$5:$S128,"Sub"))))</f>
        <v/>
      </c>
      <c r="B128" s="62" t="n"/>
      <c r="C128" s="63" t="n"/>
      <c r="D128" s="62" t="n"/>
      <c r="E128" s="64" t="n"/>
      <c r="F128" s="64" t="n"/>
      <c r="G128" s="65" t="n"/>
      <c r="H128" s="66" t="n"/>
      <c r="I128" s="66" t="n"/>
      <c r="J128" s="66" t="n"/>
      <c r="K128" s="66" t="n"/>
      <c r="L128" s="67">
        <f>IF(NOT((COUNTA($B128:$K128)+COUNTA($N128))&gt;0),"",IF(N($T128)&gt;0,$AB128,IFERROR(LOOKUP(2,1/(H128:K128&lt;&gt;""),H128:K128),0)))</f>
        <v/>
      </c>
      <c r="M128" s="61">
        <f>IF(L128="","",IF(L128&gt;=1,"Completado",IF(L128&gt;0,"En curso","Pendiente")))</f>
        <v/>
      </c>
      <c r="N128" s="62" t="n"/>
      <c r="O128" s="68">
        <f>IF(NOT((COUNTA($B128:$K128)+COUNTA($N128))&gt;0),"",IF((IF(AND($S128="Macro",$B128=""),"Macroactividad vacía"&amp;" · ","")&amp;IF(AND($B128&lt;&gt;"",$C128&lt;&gt;""),"Escriba la subactividad en otra fila, debajo de su macroactividad"&amp;" · ","")&amp;IF(AND($S128="Sub",N($R128)=0),"Subactividad sin macroactividad arriba"&amp;" · ","")&amp;IF($D128="","Sin responsable"&amp;" · ","")&amp;IF($E128="","Sin fecha de inicio"&amp;" · ","")&amp;IF($F128="","Sin fecha límite"&amp;" · ","")&amp;IF(OR(AND($E128&lt;&gt;"",NOT(ISNUMBER($E128))),AND($F128&lt;&gt;"",NOT(ISNUMBER($F128)))),"Fecha no válida"&amp;" · ","")&amp;IF(AND(ISNUMBER($E128),ISNUMBER($F128),$E128&gt;$F128),"Inicio posterior a fecha límite"&amp;" · ","")&amp;IF(AND($S128="Macro",$G128=""),"Peso vacío"&amp;" · ","")&amp;IF(AND($S128="Macro",$G128&lt;&gt;"",OR(NOT(ISNUMBER($G128)),$G128&lt;=0,$G128&gt;1)),"Peso fuera de rango"&amp;" · ","")&amp;IF(AND($S128="Sub",$G128&lt;&gt;""),"Las subactividades no llevan peso"&amp;" · ","")&amp;IF(AND($S128="Macro",ABS(SUMIFS($G$5:$G$1000,$P$5:$P$1000,$P128,$S$5:$S$1000,"Macro")-1)&gt;0.0001),"Pesos del mes suman "&amp;TEXT(SUMIFS($G$5:$G$1000,$P$5:$P$1000,$P128,$S$5:$S$1000,"Macro"),"0%")&amp;" · ","")&amp;IF(AND(N($T128)&gt;0,COUNT($H128:$K128)&gt;0),"Con subactividades: deje vacías las semanas (se calculan solas)"&amp;" · ","")&amp;IF((COUNTIF($H128:$K128,"&gt;1")+COUNTIF($H128:$K128,"&lt;0")+COUNTA($H128:$K128)-COUNT($H128:$K128))&gt;0,"Avance fuera de rango 0-100%"&amp;" · ","")&amp;IF(OR(AND($I128&lt;&gt;"",$I128&lt;$H128),AND($J128&lt;&gt;"",$J128&lt;MAX($H128:$I128)),AND($K128&lt;&gt;"",$K128&lt;MAX($H128:$J128))),"Avance semanal decreciente"&amp;" · ","")&amp;IF(AND(ISNUMBER($F128),$F128&lt;FechaRef,N($L128)&lt;1),"Vencida"&amp;" · ","")&amp;IF(AND(ObsObligatoria="Sí",ISNUMBER($F128),$F128&lt;FechaRef,N($L128)&lt;1,$N128=""),"Vencida sin observación"&amp;" · ",""))="","✔ OK","⚠ "&amp;LEFT(IF(AND($S128="Macro",$B128=""),"Macroactividad vacía"&amp;" · ","")&amp;IF(AND($B128&lt;&gt;"",$C128&lt;&gt;""),"Escriba la subactividad en otra fila, debajo de su macroactividad"&amp;" · ","")&amp;IF(AND($S128="Sub",N($R128)=0),"Subactividad sin macroactividad arriba"&amp;" · ","")&amp;IF($D128="","Sin responsable"&amp;" · ","")&amp;IF($E128="","Sin fecha de inicio"&amp;" · ","")&amp;IF($F128="","Sin fecha límite"&amp;" · ","")&amp;IF(OR(AND($E128&lt;&gt;"",NOT(ISNUMBER($E128))),AND($F128&lt;&gt;"",NOT(ISNUMBER($F128)))),"Fecha no válida"&amp;" · ","")&amp;IF(AND(ISNUMBER($E128),ISNUMBER($F128),$E128&gt;$F128),"Inicio posterior a fecha límite"&amp;" · ","")&amp;IF(AND($S128="Macro",$G128=""),"Peso vacío"&amp;" · ","")&amp;IF(AND($S128="Macro",$G128&lt;&gt;"",OR(NOT(ISNUMBER($G128)),$G128&lt;=0,$G128&gt;1)),"Peso fuera de rango"&amp;" · ","")&amp;IF(AND($S128="Sub",$G128&lt;&gt;""),"Las subactividades no llevan peso"&amp;" · ","")&amp;IF(AND($S128="Macro",ABS(SUMIFS($G$5:$G$1000,$P$5:$P$1000,$P128,$S$5:$S$1000,"Macro")-1)&gt;0.0001),"Pesos del mes suman "&amp;TEXT(SUMIFS($G$5:$G$1000,$P$5:$P$1000,$P128,$S$5:$S$1000,"Macro"),"0%")&amp;" · ","")&amp;IF(AND(N($T128)&gt;0,COUNT($H128:$K128)&gt;0),"Con subactividades: deje vacías las semanas (se calculan solas)"&amp;" · ","")&amp;IF((COUNTIF($H128:$K128,"&gt;1")+COUNTIF($H128:$K128,"&lt;0")+COUNTA($H128:$K128)-COUNT($H128:$K128))&gt;0,"Avance fuera de rango 0-100%"&amp;" · ","")&amp;IF(OR(AND($I128&lt;&gt;"",$I128&lt;$H128),AND($J128&lt;&gt;"",$J128&lt;MAX($H128:$I128)),AND($K128&lt;&gt;"",$K128&lt;MAX($H128:$J128))),"Avance semanal decreciente"&amp;" · ","")&amp;IF(AND(ISNUMBER($F128),$F128&lt;FechaRef,N($L128)&lt;1),"Vencida"&amp;" · ","")&amp;IF(AND(ObsObligatoria="Sí",ISNUMBER($F128),$F128&lt;FechaRef,N($L128)&lt;1,$N128=""),"Vencida sin observación"&amp;" · ",""),LEN(IF(AND($S128="Macro",$B128=""),"Macroactividad vacía"&amp;" · ","")&amp;IF(AND($B128&lt;&gt;"",$C128&lt;&gt;""),"Escriba la subactividad en otra fila, debajo de su macroactividad"&amp;" · ","")&amp;IF(AND($S128="Sub",N($R128)=0),"Subactividad sin macroactividad arriba"&amp;" · ","")&amp;IF($D128="","Sin responsable"&amp;" · ","")&amp;IF($E128="","Sin fecha de inicio"&amp;" · ","")&amp;IF($F128="","Sin fecha límite"&amp;" · ","")&amp;IF(OR(AND($E128&lt;&gt;"",NOT(ISNUMBER($E128))),AND($F128&lt;&gt;"",NOT(ISNUMBER($F128)))),"Fecha no válida"&amp;" · ","")&amp;IF(AND(ISNUMBER($E128),ISNUMBER($F128),$E128&gt;$F128),"Inicio posterior a fecha límite"&amp;" · ","")&amp;IF(AND($S128="Macro",$G128=""),"Peso vacío"&amp;" · ","")&amp;IF(AND($S128="Macro",$G128&lt;&gt;"",OR(NOT(ISNUMBER($G128)),$G128&lt;=0,$G128&gt;1)),"Peso fuera de rango"&amp;" · ","")&amp;IF(AND($S128="Sub",$G128&lt;&gt;""),"Las subactividades no llevan peso"&amp;" · ","")&amp;IF(AND($S128="Macro",ABS(SUMIFS($G$5:$G$1000,$P$5:$P$1000,$P128,$S$5:$S$1000,"Macro")-1)&gt;0.0001),"Pesos del mes suman "&amp;TEXT(SUMIFS($G$5:$G$1000,$P$5:$P$1000,$P128,$S$5:$S$1000,"Macro"),"0%")&amp;" · ","")&amp;IF(AND(N($T128)&gt;0,COUNT($H128:$K128)&gt;0),"Con subactividades: deje vacías las semanas (se calculan solas)"&amp;" · ","")&amp;IF((COUNTIF($H128:$K128,"&gt;1")+COUNTIF($H128:$K128,"&lt;0")+COUNTA($H128:$K128)-COUNT($H128:$K128))&gt;0,"Avance fuera de rango 0-100%"&amp;" · ","")&amp;IF(OR(AND($I128&lt;&gt;"",$I128&lt;$H128),AND($J128&lt;&gt;"",$J128&lt;MAX($H128:$I128)),AND($K128&lt;&gt;"",$K128&lt;MAX($H128:$J128))),"Avance semanal decreciente"&amp;" · ","")&amp;IF(AND(ISNUMBER($F128),$F128&lt;FechaRef,N($L128)&lt;1),"Vencida"&amp;" · ","")&amp;IF(AND(ObsObligatoria="Sí",ISNUMBER($F128),$F128&lt;FechaRef,N($L128)&lt;1,$N128=""),"Vencida sin observación"&amp;" · ",""))-3)))</f>
        <v/>
      </c>
      <c r="P128" s="69">
        <f>IF(NOT((COUNTA($B128:$K128)+COUNTA($N128))&gt;0),"",IF(AND($S128="Sub",N($R128)&gt;0),IF(ISNUMBER(INDEX($E$5:$E$1000,$R128-4)),DATE(YEAR(INDEX($E$5:$E$1000,$R128-4)),MONTH(INDEX($E$5:$E$1000,$R128-4)),1),IF(ISNUMBER(INDEX($F$5:$F$1000,$R128-4)),DATE(YEAR(INDEX($F$5:$F$1000,$R128-4)),MONTH(INDEX($F$5:$F$1000,$R128-4)),1),MesCiclo)),IF(ISNUMBER($E128),DATE(YEAR($E128),MONTH($E128),1),IF(ISNUMBER($F128),DATE(YEAR($F128),MONTH($F128),1),MesCiclo))))</f>
        <v/>
      </c>
      <c r="Q128" s="70">
        <f>IF(OR($P128="",$P128&lt;&gt;MesCiclo),"",COUNTIF($P$5:$P128,MesCiclo))</f>
        <v/>
      </c>
      <c r="R128" s="70">
        <f>IF($S128="","",IF($S128="Macro",ROW(),IFERROR(LOOKUP(2,1/($S$5:$S128="Macro"),ROW($S$5:$S128)),0)))</f>
        <v/>
      </c>
      <c r="S128" s="70">
        <f>IF(NOT((COUNTA($B128:$K128)+COUNTA($N128))&gt;0),"",IF($B128&lt;&gt;"","Macro",IF($C128&lt;&gt;"","Sub","Macro")))</f>
        <v/>
      </c>
      <c r="T128" s="70">
        <f>IF($S128="Macro",COUNTIFS($R$5:$R$1000,ROW(),$S$5:$S$1000,"Sub"),"")</f>
        <v/>
      </c>
      <c r="U128" s="70">
        <f>IF($S128="","",IF(ISNUMBER($H128),$H128,0))</f>
        <v/>
      </c>
      <c r="V128" s="70">
        <f>IF($S128="","",IF(ISNUMBER($I128),$I128,$U128))</f>
        <v/>
      </c>
      <c r="W128" s="70">
        <f>IF($S128="","",IF(ISNUMBER($J128),$J128,$V128))</f>
        <v/>
      </c>
      <c r="X128" s="70">
        <f>IF($S128="","",IF(ISNUMBER($K128),$K128,$W128))</f>
        <v/>
      </c>
      <c r="Y128" s="70">
        <f>IF($S128="","",IF(N($T128)&gt;0,AVERAGEIFS($U$5:$U$1000,$R$5:$R$1000,ROW(),$S$5:$S$1000,"Sub"),$U128))</f>
        <v/>
      </c>
      <c r="Z128" s="70">
        <f>IF($S128="","",IF(N($T128)&gt;0,AVERAGEIFS($V$5:$V$1000,$R$5:$R$1000,ROW(),$S$5:$S$1000,"Sub"),$V128))</f>
        <v/>
      </c>
      <c r="AA128" s="70">
        <f>IF($S128="","",IF(N($T128)&gt;0,AVERAGEIFS($W$5:$W$1000,$R$5:$R$1000,ROW(),$S$5:$S$1000,"Sub"),$W128))</f>
        <v/>
      </c>
      <c r="AB128" s="70">
        <f>IF($S128="","",IF(N($T128)&gt;0,AVERAGEIFS($X$5:$X$1000,$R$5:$R$1000,ROW(),$S$5:$S$1000,"Sub"),$X128))</f>
        <v/>
      </c>
    </row>
    <row r="129">
      <c r="A129" s="61">
        <f>IF(NOT((COUNTA($B129:$K129)+COUNTA($N129))&gt;0),"",IF($S129="Macro",COUNTIFS($S$5:$S129,"Macro",$P$5:$P129,$P129),IF(N($R129)=0,"?",COUNTIFS(INDEX($S$5:$S$1000,1):INDEX($S$5:$S$1000,$R129-4),"Macro",INDEX($P$5:$P$1000,1):INDEX($P$5:$P$1000,$R129-4),INDEX($P$5:$P$1000,$R129-4))&amp;"."&amp;COUNTIFS($R$5:$R129,$R129,$S$5:$S129,"Sub"))))</f>
        <v/>
      </c>
      <c r="B129" s="62" t="n"/>
      <c r="C129" s="63" t="n"/>
      <c r="D129" s="62" t="n"/>
      <c r="E129" s="64" t="n"/>
      <c r="F129" s="64" t="n"/>
      <c r="G129" s="65" t="n"/>
      <c r="H129" s="66" t="n"/>
      <c r="I129" s="66" t="n"/>
      <c r="J129" s="66" t="n"/>
      <c r="K129" s="66" t="n"/>
      <c r="L129" s="67">
        <f>IF(NOT((COUNTA($B129:$K129)+COUNTA($N129))&gt;0),"",IF(N($T129)&gt;0,$AB129,IFERROR(LOOKUP(2,1/(H129:K129&lt;&gt;""),H129:K129),0)))</f>
        <v/>
      </c>
      <c r="M129" s="61">
        <f>IF(L129="","",IF(L129&gt;=1,"Completado",IF(L129&gt;0,"En curso","Pendiente")))</f>
        <v/>
      </c>
      <c r="N129" s="62" t="n"/>
      <c r="O129" s="68">
        <f>IF(NOT((COUNTA($B129:$K129)+COUNTA($N129))&gt;0),"",IF((IF(AND($S129="Macro",$B129=""),"Macroactividad vacía"&amp;" · ","")&amp;IF(AND($B129&lt;&gt;"",$C129&lt;&gt;""),"Escriba la subactividad en otra fila, debajo de su macroactividad"&amp;" · ","")&amp;IF(AND($S129="Sub",N($R129)=0),"Subactividad sin macroactividad arriba"&amp;" · ","")&amp;IF($D129="","Sin responsable"&amp;" · ","")&amp;IF($E129="","Sin fecha de inicio"&amp;" · ","")&amp;IF($F129="","Sin fecha límite"&amp;" · ","")&amp;IF(OR(AND($E129&lt;&gt;"",NOT(ISNUMBER($E129))),AND($F129&lt;&gt;"",NOT(ISNUMBER($F129)))),"Fecha no válida"&amp;" · ","")&amp;IF(AND(ISNUMBER($E129),ISNUMBER($F129),$E129&gt;$F129),"Inicio posterior a fecha límite"&amp;" · ","")&amp;IF(AND($S129="Macro",$G129=""),"Peso vacío"&amp;" · ","")&amp;IF(AND($S129="Macro",$G129&lt;&gt;"",OR(NOT(ISNUMBER($G129)),$G129&lt;=0,$G129&gt;1)),"Peso fuera de rango"&amp;" · ","")&amp;IF(AND($S129="Sub",$G129&lt;&gt;""),"Las subactividades no llevan peso"&amp;" · ","")&amp;IF(AND($S129="Macro",ABS(SUMIFS($G$5:$G$1000,$P$5:$P$1000,$P129,$S$5:$S$1000,"Macro")-1)&gt;0.0001),"Pesos del mes suman "&amp;TEXT(SUMIFS($G$5:$G$1000,$P$5:$P$1000,$P129,$S$5:$S$1000,"Macro"),"0%")&amp;" · ","")&amp;IF(AND(N($T129)&gt;0,COUNT($H129:$K129)&gt;0),"Con subactividades: deje vacías las semanas (se calculan solas)"&amp;" · ","")&amp;IF((COUNTIF($H129:$K129,"&gt;1")+COUNTIF($H129:$K129,"&lt;0")+COUNTA($H129:$K129)-COUNT($H129:$K129))&gt;0,"Avance fuera de rango 0-100%"&amp;" · ","")&amp;IF(OR(AND($I129&lt;&gt;"",$I129&lt;$H129),AND($J129&lt;&gt;"",$J129&lt;MAX($H129:$I129)),AND($K129&lt;&gt;"",$K129&lt;MAX($H129:$J129))),"Avance semanal decreciente"&amp;" · ","")&amp;IF(AND(ISNUMBER($F129),$F129&lt;FechaRef,N($L129)&lt;1),"Vencida"&amp;" · ","")&amp;IF(AND(ObsObligatoria="Sí",ISNUMBER($F129),$F129&lt;FechaRef,N($L129)&lt;1,$N129=""),"Vencida sin observación"&amp;" · ",""))="","✔ OK","⚠ "&amp;LEFT(IF(AND($S129="Macro",$B129=""),"Macroactividad vacía"&amp;" · ","")&amp;IF(AND($B129&lt;&gt;"",$C129&lt;&gt;""),"Escriba la subactividad en otra fila, debajo de su macroactividad"&amp;" · ","")&amp;IF(AND($S129="Sub",N($R129)=0),"Subactividad sin macroactividad arriba"&amp;" · ","")&amp;IF($D129="","Sin responsable"&amp;" · ","")&amp;IF($E129="","Sin fecha de inicio"&amp;" · ","")&amp;IF($F129="","Sin fecha límite"&amp;" · ","")&amp;IF(OR(AND($E129&lt;&gt;"",NOT(ISNUMBER($E129))),AND($F129&lt;&gt;"",NOT(ISNUMBER($F129)))),"Fecha no válida"&amp;" · ","")&amp;IF(AND(ISNUMBER($E129),ISNUMBER($F129),$E129&gt;$F129),"Inicio posterior a fecha límite"&amp;" · ","")&amp;IF(AND($S129="Macro",$G129=""),"Peso vacío"&amp;" · ","")&amp;IF(AND($S129="Macro",$G129&lt;&gt;"",OR(NOT(ISNUMBER($G129)),$G129&lt;=0,$G129&gt;1)),"Peso fuera de rango"&amp;" · ","")&amp;IF(AND($S129="Sub",$G129&lt;&gt;""),"Las subactividades no llevan peso"&amp;" · ","")&amp;IF(AND($S129="Macro",ABS(SUMIFS($G$5:$G$1000,$P$5:$P$1000,$P129,$S$5:$S$1000,"Macro")-1)&gt;0.0001),"Pesos del mes suman "&amp;TEXT(SUMIFS($G$5:$G$1000,$P$5:$P$1000,$P129,$S$5:$S$1000,"Macro"),"0%")&amp;" · ","")&amp;IF(AND(N($T129)&gt;0,COUNT($H129:$K129)&gt;0),"Con subactividades: deje vacías las semanas (se calculan solas)"&amp;" · ","")&amp;IF((COUNTIF($H129:$K129,"&gt;1")+COUNTIF($H129:$K129,"&lt;0")+COUNTA($H129:$K129)-COUNT($H129:$K129))&gt;0,"Avance fuera de rango 0-100%"&amp;" · ","")&amp;IF(OR(AND($I129&lt;&gt;"",$I129&lt;$H129),AND($J129&lt;&gt;"",$J129&lt;MAX($H129:$I129)),AND($K129&lt;&gt;"",$K129&lt;MAX($H129:$J129))),"Avance semanal decreciente"&amp;" · ","")&amp;IF(AND(ISNUMBER($F129),$F129&lt;FechaRef,N($L129)&lt;1),"Vencida"&amp;" · ","")&amp;IF(AND(ObsObligatoria="Sí",ISNUMBER($F129),$F129&lt;FechaRef,N($L129)&lt;1,$N129=""),"Vencida sin observación"&amp;" · ",""),LEN(IF(AND($S129="Macro",$B129=""),"Macroactividad vacía"&amp;" · ","")&amp;IF(AND($B129&lt;&gt;"",$C129&lt;&gt;""),"Escriba la subactividad en otra fila, debajo de su macroactividad"&amp;" · ","")&amp;IF(AND($S129="Sub",N($R129)=0),"Subactividad sin macroactividad arriba"&amp;" · ","")&amp;IF($D129="","Sin responsable"&amp;" · ","")&amp;IF($E129="","Sin fecha de inicio"&amp;" · ","")&amp;IF($F129="","Sin fecha límite"&amp;" · ","")&amp;IF(OR(AND($E129&lt;&gt;"",NOT(ISNUMBER($E129))),AND($F129&lt;&gt;"",NOT(ISNUMBER($F129)))),"Fecha no válida"&amp;" · ","")&amp;IF(AND(ISNUMBER($E129),ISNUMBER($F129),$E129&gt;$F129),"Inicio posterior a fecha límite"&amp;" · ","")&amp;IF(AND($S129="Macro",$G129=""),"Peso vacío"&amp;" · ","")&amp;IF(AND($S129="Macro",$G129&lt;&gt;"",OR(NOT(ISNUMBER($G129)),$G129&lt;=0,$G129&gt;1)),"Peso fuera de rango"&amp;" · ","")&amp;IF(AND($S129="Sub",$G129&lt;&gt;""),"Las subactividades no llevan peso"&amp;" · ","")&amp;IF(AND($S129="Macro",ABS(SUMIFS($G$5:$G$1000,$P$5:$P$1000,$P129,$S$5:$S$1000,"Macro")-1)&gt;0.0001),"Pesos del mes suman "&amp;TEXT(SUMIFS($G$5:$G$1000,$P$5:$P$1000,$P129,$S$5:$S$1000,"Macro"),"0%")&amp;" · ","")&amp;IF(AND(N($T129)&gt;0,COUNT($H129:$K129)&gt;0),"Con subactividades: deje vacías las semanas (se calculan solas)"&amp;" · ","")&amp;IF((COUNTIF($H129:$K129,"&gt;1")+COUNTIF($H129:$K129,"&lt;0")+COUNTA($H129:$K129)-COUNT($H129:$K129))&gt;0,"Avance fuera de rango 0-100%"&amp;" · ","")&amp;IF(OR(AND($I129&lt;&gt;"",$I129&lt;$H129),AND($J129&lt;&gt;"",$J129&lt;MAX($H129:$I129)),AND($K129&lt;&gt;"",$K129&lt;MAX($H129:$J129))),"Avance semanal decreciente"&amp;" · ","")&amp;IF(AND(ISNUMBER($F129),$F129&lt;FechaRef,N($L129)&lt;1),"Vencida"&amp;" · ","")&amp;IF(AND(ObsObligatoria="Sí",ISNUMBER($F129),$F129&lt;FechaRef,N($L129)&lt;1,$N129=""),"Vencida sin observación"&amp;" · ",""))-3)))</f>
        <v/>
      </c>
      <c r="P129" s="69">
        <f>IF(NOT((COUNTA($B129:$K129)+COUNTA($N129))&gt;0),"",IF(AND($S129="Sub",N($R129)&gt;0),IF(ISNUMBER(INDEX($E$5:$E$1000,$R129-4)),DATE(YEAR(INDEX($E$5:$E$1000,$R129-4)),MONTH(INDEX($E$5:$E$1000,$R129-4)),1),IF(ISNUMBER(INDEX($F$5:$F$1000,$R129-4)),DATE(YEAR(INDEX($F$5:$F$1000,$R129-4)),MONTH(INDEX($F$5:$F$1000,$R129-4)),1),MesCiclo)),IF(ISNUMBER($E129),DATE(YEAR($E129),MONTH($E129),1),IF(ISNUMBER($F129),DATE(YEAR($F129),MONTH($F129),1),MesCiclo))))</f>
        <v/>
      </c>
      <c r="Q129" s="70">
        <f>IF(OR($P129="",$P129&lt;&gt;MesCiclo),"",COUNTIF($P$5:$P129,MesCiclo))</f>
        <v/>
      </c>
      <c r="R129" s="70">
        <f>IF($S129="","",IF($S129="Macro",ROW(),IFERROR(LOOKUP(2,1/($S$5:$S129="Macro"),ROW($S$5:$S129)),0)))</f>
        <v/>
      </c>
      <c r="S129" s="70">
        <f>IF(NOT((COUNTA($B129:$K129)+COUNTA($N129))&gt;0),"",IF($B129&lt;&gt;"","Macro",IF($C129&lt;&gt;"","Sub","Macro")))</f>
        <v/>
      </c>
      <c r="T129" s="70">
        <f>IF($S129="Macro",COUNTIFS($R$5:$R$1000,ROW(),$S$5:$S$1000,"Sub"),"")</f>
        <v/>
      </c>
      <c r="U129" s="70">
        <f>IF($S129="","",IF(ISNUMBER($H129),$H129,0))</f>
        <v/>
      </c>
      <c r="V129" s="70">
        <f>IF($S129="","",IF(ISNUMBER($I129),$I129,$U129))</f>
        <v/>
      </c>
      <c r="W129" s="70">
        <f>IF($S129="","",IF(ISNUMBER($J129),$J129,$V129))</f>
        <v/>
      </c>
      <c r="X129" s="70">
        <f>IF($S129="","",IF(ISNUMBER($K129),$K129,$W129))</f>
        <v/>
      </c>
      <c r="Y129" s="70">
        <f>IF($S129="","",IF(N($T129)&gt;0,AVERAGEIFS($U$5:$U$1000,$R$5:$R$1000,ROW(),$S$5:$S$1000,"Sub"),$U129))</f>
        <v/>
      </c>
      <c r="Z129" s="70">
        <f>IF($S129="","",IF(N($T129)&gt;0,AVERAGEIFS($V$5:$V$1000,$R$5:$R$1000,ROW(),$S$5:$S$1000,"Sub"),$V129))</f>
        <v/>
      </c>
      <c r="AA129" s="70">
        <f>IF($S129="","",IF(N($T129)&gt;0,AVERAGEIFS($W$5:$W$1000,$R$5:$R$1000,ROW(),$S$5:$S$1000,"Sub"),$W129))</f>
        <v/>
      </c>
      <c r="AB129" s="70">
        <f>IF($S129="","",IF(N($T129)&gt;0,AVERAGEIFS($X$5:$X$1000,$R$5:$R$1000,ROW(),$S$5:$S$1000,"Sub"),$X129))</f>
        <v/>
      </c>
    </row>
    <row r="130">
      <c r="A130" s="61">
        <f>IF(NOT((COUNTA($B130:$K130)+COUNTA($N130))&gt;0),"",IF($S130="Macro",COUNTIFS($S$5:$S130,"Macro",$P$5:$P130,$P130),IF(N($R130)=0,"?",COUNTIFS(INDEX($S$5:$S$1000,1):INDEX($S$5:$S$1000,$R130-4),"Macro",INDEX($P$5:$P$1000,1):INDEX($P$5:$P$1000,$R130-4),INDEX($P$5:$P$1000,$R130-4))&amp;"."&amp;COUNTIFS($R$5:$R130,$R130,$S$5:$S130,"Sub"))))</f>
        <v/>
      </c>
      <c r="B130" s="62" t="n"/>
      <c r="C130" s="63" t="n"/>
      <c r="D130" s="62" t="n"/>
      <c r="E130" s="64" t="n"/>
      <c r="F130" s="64" t="n"/>
      <c r="G130" s="65" t="n"/>
      <c r="H130" s="66" t="n"/>
      <c r="I130" s="66" t="n"/>
      <c r="J130" s="66" t="n"/>
      <c r="K130" s="66" t="n"/>
      <c r="L130" s="67">
        <f>IF(NOT((COUNTA($B130:$K130)+COUNTA($N130))&gt;0),"",IF(N($T130)&gt;0,$AB130,IFERROR(LOOKUP(2,1/(H130:K130&lt;&gt;""),H130:K130),0)))</f>
        <v/>
      </c>
      <c r="M130" s="61">
        <f>IF(L130="","",IF(L130&gt;=1,"Completado",IF(L130&gt;0,"En curso","Pendiente")))</f>
        <v/>
      </c>
      <c r="N130" s="62" t="n"/>
      <c r="O130" s="68">
        <f>IF(NOT((COUNTA($B130:$K130)+COUNTA($N130))&gt;0),"",IF((IF(AND($S130="Macro",$B130=""),"Macroactividad vacía"&amp;" · ","")&amp;IF(AND($B130&lt;&gt;"",$C130&lt;&gt;""),"Escriba la subactividad en otra fila, debajo de su macroactividad"&amp;" · ","")&amp;IF(AND($S130="Sub",N($R130)=0),"Subactividad sin macroactividad arriba"&amp;" · ","")&amp;IF($D130="","Sin responsable"&amp;" · ","")&amp;IF($E130="","Sin fecha de inicio"&amp;" · ","")&amp;IF($F130="","Sin fecha límite"&amp;" · ","")&amp;IF(OR(AND($E130&lt;&gt;"",NOT(ISNUMBER($E130))),AND($F130&lt;&gt;"",NOT(ISNUMBER($F130)))),"Fecha no válida"&amp;" · ","")&amp;IF(AND(ISNUMBER($E130),ISNUMBER($F130),$E130&gt;$F130),"Inicio posterior a fecha límite"&amp;" · ","")&amp;IF(AND($S130="Macro",$G130=""),"Peso vacío"&amp;" · ","")&amp;IF(AND($S130="Macro",$G130&lt;&gt;"",OR(NOT(ISNUMBER($G130)),$G130&lt;=0,$G130&gt;1)),"Peso fuera de rango"&amp;" · ","")&amp;IF(AND($S130="Sub",$G130&lt;&gt;""),"Las subactividades no llevan peso"&amp;" · ","")&amp;IF(AND($S130="Macro",ABS(SUMIFS($G$5:$G$1000,$P$5:$P$1000,$P130,$S$5:$S$1000,"Macro")-1)&gt;0.0001),"Pesos del mes suman "&amp;TEXT(SUMIFS($G$5:$G$1000,$P$5:$P$1000,$P130,$S$5:$S$1000,"Macro"),"0%")&amp;" · ","")&amp;IF(AND(N($T130)&gt;0,COUNT($H130:$K130)&gt;0),"Con subactividades: deje vacías las semanas (se calculan solas)"&amp;" · ","")&amp;IF((COUNTIF($H130:$K130,"&gt;1")+COUNTIF($H130:$K130,"&lt;0")+COUNTA($H130:$K130)-COUNT($H130:$K130))&gt;0,"Avance fuera de rango 0-100%"&amp;" · ","")&amp;IF(OR(AND($I130&lt;&gt;"",$I130&lt;$H130),AND($J130&lt;&gt;"",$J130&lt;MAX($H130:$I130)),AND($K130&lt;&gt;"",$K130&lt;MAX($H130:$J130))),"Avance semanal decreciente"&amp;" · ","")&amp;IF(AND(ISNUMBER($F130),$F130&lt;FechaRef,N($L130)&lt;1),"Vencida"&amp;" · ","")&amp;IF(AND(ObsObligatoria="Sí",ISNUMBER($F130),$F130&lt;FechaRef,N($L130)&lt;1,$N130=""),"Vencida sin observación"&amp;" · ",""))="","✔ OK","⚠ "&amp;LEFT(IF(AND($S130="Macro",$B130=""),"Macroactividad vacía"&amp;" · ","")&amp;IF(AND($B130&lt;&gt;"",$C130&lt;&gt;""),"Escriba la subactividad en otra fila, debajo de su macroactividad"&amp;" · ","")&amp;IF(AND($S130="Sub",N($R130)=0),"Subactividad sin macroactividad arriba"&amp;" · ","")&amp;IF($D130="","Sin responsable"&amp;" · ","")&amp;IF($E130="","Sin fecha de inicio"&amp;" · ","")&amp;IF($F130="","Sin fecha límite"&amp;" · ","")&amp;IF(OR(AND($E130&lt;&gt;"",NOT(ISNUMBER($E130))),AND($F130&lt;&gt;"",NOT(ISNUMBER($F130)))),"Fecha no válida"&amp;" · ","")&amp;IF(AND(ISNUMBER($E130),ISNUMBER($F130),$E130&gt;$F130),"Inicio posterior a fecha límite"&amp;" · ","")&amp;IF(AND($S130="Macro",$G130=""),"Peso vacío"&amp;" · ","")&amp;IF(AND($S130="Macro",$G130&lt;&gt;"",OR(NOT(ISNUMBER($G130)),$G130&lt;=0,$G130&gt;1)),"Peso fuera de rango"&amp;" · ","")&amp;IF(AND($S130="Sub",$G130&lt;&gt;""),"Las subactividades no llevan peso"&amp;" · ","")&amp;IF(AND($S130="Macro",ABS(SUMIFS($G$5:$G$1000,$P$5:$P$1000,$P130,$S$5:$S$1000,"Macro")-1)&gt;0.0001),"Pesos del mes suman "&amp;TEXT(SUMIFS($G$5:$G$1000,$P$5:$P$1000,$P130,$S$5:$S$1000,"Macro"),"0%")&amp;" · ","")&amp;IF(AND(N($T130)&gt;0,COUNT($H130:$K130)&gt;0),"Con subactividades: deje vacías las semanas (se calculan solas)"&amp;" · ","")&amp;IF((COUNTIF($H130:$K130,"&gt;1")+COUNTIF($H130:$K130,"&lt;0")+COUNTA($H130:$K130)-COUNT($H130:$K130))&gt;0,"Avance fuera de rango 0-100%"&amp;" · ","")&amp;IF(OR(AND($I130&lt;&gt;"",$I130&lt;$H130),AND($J130&lt;&gt;"",$J130&lt;MAX($H130:$I130)),AND($K130&lt;&gt;"",$K130&lt;MAX($H130:$J130))),"Avance semanal decreciente"&amp;" · ","")&amp;IF(AND(ISNUMBER($F130),$F130&lt;FechaRef,N($L130)&lt;1),"Vencida"&amp;" · ","")&amp;IF(AND(ObsObligatoria="Sí",ISNUMBER($F130),$F130&lt;FechaRef,N($L130)&lt;1,$N130=""),"Vencida sin observación"&amp;" · ",""),LEN(IF(AND($S130="Macro",$B130=""),"Macroactividad vacía"&amp;" · ","")&amp;IF(AND($B130&lt;&gt;"",$C130&lt;&gt;""),"Escriba la subactividad en otra fila, debajo de su macroactividad"&amp;" · ","")&amp;IF(AND($S130="Sub",N($R130)=0),"Subactividad sin macroactividad arriba"&amp;" · ","")&amp;IF($D130="","Sin responsable"&amp;" · ","")&amp;IF($E130="","Sin fecha de inicio"&amp;" · ","")&amp;IF($F130="","Sin fecha límite"&amp;" · ","")&amp;IF(OR(AND($E130&lt;&gt;"",NOT(ISNUMBER($E130))),AND($F130&lt;&gt;"",NOT(ISNUMBER($F130)))),"Fecha no válida"&amp;" · ","")&amp;IF(AND(ISNUMBER($E130),ISNUMBER($F130),$E130&gt;$F130),"Inicio posterior a fecha límite"&amp;" · ","")&amp;IF(AND($S130="Macro",$G130=""),"Peso vacío"&amp;" · ","")&amp;IF(AND($S130="Macro",$G130&lt;&gt;"",OR(NOT(ISNUMBER($G130)),$G130&lt;=0,$G130&gt;1)),"Peso fuera de rango"&amp;" · ","")&amp;IF(AND($S130="Sub",$G130&lt;&gt;""),"Las subactividades no llevan peso"&amp;" · ","")&amp;IF(AND($S130="Macro",ABS(SUMIFS($G$5:$G$1000,$P$5:$P$1000,$P130,$S$5:$S$1000,"Macro")-1)&gt;0.0001),"Pesos del mes suman "&amp;TEXT(SUMIFS($G$5:$G$1000,$P$5:$P$1000,$P130,$S$5:$S$1000,"Macro"),"0%")&amp;" · ","")&amp;IF(AND(N($T130)&gt;0,COUNT($H130:$K130)&gt;0),"Con subactividades: deje vacías las semanas (se calculan solas)"&amp;" · ","")&amp;IF((COUNTIF($H130:$K130,"&gt;1")+COUNTIF($H130:$K130,"&lt;0")+COUNTA($H130:$K130)-COUNT($H130:$K130))&gt;0,"Avance fuera de rango 0-100%"&amp;" · ","")&amp;IF(OR(AND($I130&lt;&gt;"",$I130&lt;$H130),AND($J130&lt;&gt;"",$J130&lt;MAX($H130:$I130)),AND($K130&lt;&gt;"",$K130&lt;MAX($H130:$J130))),"Avance semanal decreciente"&amp;" · ","")&amp;IF(AND(ISNUMBER($F130),$F130&lt;FechaRef,N($L130)&lt;1),"Vencida"&amp;" · ","")&amp;IF(AND(ObsObligatoria="Sí",ISNUMBER($F130),$F130&lt;FechaRef,N($L130)&lt;1,$N130=""),"Vencida sin observación"&amp;" · ",""))-3)))</f>
        <v/>
      </c>
      <c r="P130" s="69">
        <f>IF(NOT((COUNTA($B130:$K130)+COUNTA($N130))&gt;0),"",IF(AND($S130="Sub",N($R130)&gt;0),IF(ISNUMBER(INDEX($E$5:$E$1000,$R130-4)),DATE(YEAR(INDEX($E$5:$E$1000,$R130-4)),MONTH(INDEX($E$5:$E$1000,$R130-4)),1),IF(ISNUMBER(INDEX($F$5:$F$1000,$R130-4)),DATE(YEAR(INDEX($F$5:$F$1000,$R130-4)),MONTH(INDEX($F$5:$F$1000,$R130-4)),1),MesCiclo)),IF(ISNUMBER($E130),DATE(YEAR($E130),MONTH($E130),1),IF(ISNUMBER($F130),DATE(YEAR($F130),MONTH($F130),1),MesCiclo))))</f>
        <v/>
      </c>
      <c r="Q130" s="70">
        <f>IF(OR($P130="",$P130&lt;&gt;MesCiclo),"",COUNTIF($P$5:$P130,MesCiclo))</f>
        <v/>
      </c>
      <c r="R130" s="70">
        <f>IF($S130="","",IF($S130="Macro",ROW(),IFERROR(LOOKUP(2,1/($S$5:$S130="Macro"),ROW($S$5:$S130)),0)))</f>
        <v/>
      </c>
      <c r="S130" s="70">
        <f>IF(NOT((COUNTA($B130:$K130)+COUNTA($N130))&gt;0),"",IF($B130&lt;&gt;"","Macro",IF($C130&lt;&gt;"","Sub","Macro")))</f>
        <v/>
      </c>
      <c r="T130" s="70">
        <f>IF($S130="Macro",COUNTIFS($R$5:$R$1000,ROW(),$S$5:$S$1000,"Sub"),"")</f>
        <v/>
      </c>
      <c r="U130" s="70">
        <f>IF($S130="","",IF(ISNUMBER($H130),$H130,0))</f>
        <v/>
      </c>
      <c r="V130" s="70">
        <f>IF($S130="","",IF(ISNUMBER($I130),$I130,$U130))</f>
        <v/>
      </c>
      <c r="W130" s="70">
        <f>IF($S130="","",IF(ISNUMBER($J130),$J130,$V130))</f>
        <v/>
      </c>
      <c r="X130" s="70">
        <f>IF($S130="","",IF(ISNUMBER($K130),$K130,$W130))</f>
        <v/>
      </c>
      <c r="Y130" s="70">
        <f>IF($S130="","",IF(N($T130)&gt;0,AVERAGEIFS($U$5:$U$1000,$R$5:$R$1000,ROW(),$S$5:$S$1000,"Sub"),$U130))</f>
        <v/>
      </c>
      <c r="Z130" s="70">
        <f>IF($S130="","",IF(N($T130)&gt;0,AVERAGEIFS($V$5:$V$1000,$R$5:$R$1000,ROW(),$S$5:$S$1000,"Sub"),$V130))</f>
        <v/>
      </c>
      <c r="AA130" s="70">
        <f>IF($S130="","",IF(N($T130)&gt;0,AVERAGEIFS($W$5:$W$1000,$R$5:$R$1000,ROW(),$S$5:$S$1000,"Sub"),$W130))</f>
        <v/>
      </c>
      <c r="AB130" s="70">
        <f>IF($S130="","",IF(N($T130)&gt;0,AVERAGEIFS($X$5:$X$1000,$R$5:$R$1000,ROW(),$S$5:$S$1000,"Sub"),$X130))</f>
        <v/>
      </c>
    </row>
    <row r="131">
      <c r="A131" s="61">
        <f>IF(NOT((COUNTA($B131:$K131)+COUNTA($N131))&gt;0),"",IF($S131="Macro",COUNTIFS($S$5:$S131,"Macro",$P$5:$P131,$P131),IF(N($R131)=0,"?",COUNTIFS(INDEX($S$5:$S$1000,1):INDEX($S$5:$S$1000,$R131-4),"Macro",INDEX($P$5:$P$1000,1):INDEX($P$5:$P$1000,$R131-4),INDEX($P$5:$P$1000,$R131-4))&amp;"."&amp;COUNTIFS($R$5:$R131,$R131,$S$5:$S131,"Sub"))))</f>
        <v/>
      </c>
      <c r="B131" s="62" t="n"/>
      <c r="C131" s="63" t="n"/>
      <c r="D131" s="62" t="n"/>
      <c r="E131" s="64" t="n"/>
      <c r="F131" s="64" t="n"/>
      <c r="G131" s="65" t="n"/>
      <c r="H131" s="66" t="n"/>
      <c r="I131" s="66" t="n"/>
      <c r="J131" s="66" t="n"/>
      <c r="K131" s="66" t="n"/>
      <c r="L131" s="67">
        <f>IF(NOT((COUNTA($B131:$K131)+COUNTA($N131))&gt;0),"",IF(N($T131)&gt;0,$AB131,IFERROR(LOOKUP(2,1/(H131:K131&lt;&gt;""),H131:K131),0)))</f>
        <v/>
      </c>
      <c r="M131" s="61">
        <f>IF(L131="","",IF(L131&gt;=1,"Completado",IF(L131&gt;0,"En curso","Pendiente")))</f>
        <v/>
      </c>
      <c r="N131" s="62" t="n"/>
      <c r="O131" s="68">
        <f>IF(NOT((COUNTA($B131:$K131)+COUNTA($N131))&gt;0),"",IF((IF(AND($S131="Macro",$B131=""),"Macroactividad vacía"&amp;" · ","")&amp;IF(AND($B131&lt;&gt;"",$C131&lt;&gt;""),"Escriba la subactividad en otra fila, debajo de su macroactividad"&amp;" · ","")&amp;IF(AND($S131="Sub",N($R131)=0),"Subactividad sin macroactividad arriba"&amp;" · ","")&amp;IF($D131="","Sin responsable"&amp;" · ","")&amp;IF($E131="","Sin fecha de inicio"&amp;" · ","")&amp;IF($F131="","Sin fecha límite"&amp;" · ","")&amp;IF(OR(AND($E131&lt;&gt;"",NOT(ISNUMBER($E131))),AND($F131&lt;&gt;"",NOT(ISNUMBER($F131)))),"Fecha no válida"&amp;" · ","")&amp;IF(AND(ISNUMBER($E131),ISNUMBER($F131),$E131&gt;$F131),"Inicio posterior a fecha límite"&amp;" · ","")&amp;IF(AND($S131="Macro",$G131=""),"Peso vacío"&amp;" · ","")&amp;IF(AND($S131="Macro",$G131&lt;&gt;"",OR(NOT(ISNUMBER($G131)),$G131&lt;=0,$G131&gt;1)),"Peso fuera de rango"&amp;" · ","")&amp;IF(AND($S131="Sub",$G131&lt;&gt;""),"Las subactividades no llevan peso"&amp;" · ","")&amp;IF(AND($S131="Macro",ABS(SUMIFS($G$5:$G$1000,$P$5:$P$1000,$P131,$S$5:$S$1000,"Macro")-1)&gt;0.0001),"Pesos del mes suman "&amp;TEXT(SUMIFS($G$5:$G$1000,$P$5:$P$1000,$P131,$S$5:$S$1000,"Macro"),"0%")&amp;" · ","")&amp;IF(AND(N($T131)&gt;0,COUNT($H131:$K131)&gt;0),"Con subactividades: deje vacías las semanas (se calculan solas)"&amp;" · ","")&amp;IF((COUNTIF($H131:$K131,"&gt;1")+COUNTIF($H131:$K131,"&lt;0")+COUNTA($H131:$K131)-COUNT($H131:$K131))&gt;0,"Avance fuera de rango 0-100%"&amp;" · ","")&amp;IF(OR(AND($I131&lt;&gt;"",$I131&lt;$H131),AND($J131&lt;&gt;"",$J131&lt;MAX($H131:$I131)),AND($K131&lt;&gt;"",$K131&lt;MAX($H131:$J131))),"Avance semanal decreciente"&amp;" · ","")&amp;IF(AND(ISNUMBER($F131),$F131&lt;FechaRef,N($L131)&lt;1),"Vencida"&amp;" · ","")&amp;IF(AND(ObsObligatoria="Sí",ISNUMBER($F131),$F131&lt;FechaRef,N($L131)&lt;1,$N131=""),"Vencida sin observación"&amp;" · ",""))="","✔ OK","⚠ "&amp;LEFT(IF(AND($S131="Macro",$B131=""),"Macroactividad vacía"&amp;" · ","")&amp;IF(AND($B131&lt;&gt;"",$C131&lt;&gt;""),"Escriba la subactividad en otra fila, debajo de su macroactividad"&amp;" · ","")&amp;IF(AND($S131="Sub",N($R131)=0),"Subactividad sin macroactividad arriba"&amp;" · ","")&amp;IF($D131="","Sin responsable"&amp;" · ","")&amp;IF($E131="","Sin fecha de inicio"&amp;" · ","")&amp;IF($F131="","Sin fecha límite"&amp;" · ","")&amp;IF(OR(AND($E131&lt;&gt;"",NOT(ISNUMBER($E131))),AND($F131&lt;&gt;"",NOT(ISNUMBER($F131)))),"Fecha no válida"&amp;" · ","")&amp;IF(AND(ISNUMBER($E131),ISNUMBER($F131),$E131&gt;$F131),"Inicio posterior a fecha límite"&amp;" · ","")&amp;IF(AND($S131="Macro",$G131=""),"Peso vacío"&amp;" · ","")&amp;IF(AND($S131="Macro",$G131&lt;&gt;"",OR(NOT(ISNUMBER($G131)),$G131&lt;=0,$G131&gt;1)),"Peso fuera de rango"&amp;" · ","")&amp;IF(AND($S131="Sub",$G131&lt;&gt;""),"Las subactividades no llevan peso"&amp;" · ","")&amp;IF(AND($S131="Macro",ABS(SUMIFS($G$5:$G$1000,$P$5:$P$1000,$P131,$S$5:$S$1000,"Macro")-1)&gt;0.0001),"Pesos del mes suman "&amp;TEXT(SUMIFS($G$5:$G$1000,$P$5:$P$1000,$P131,$S$5:$S$1000,"Macro"),"0%")&amp;" · ","")&amp;IF(AND(N($T131)&gt;0,COUNT($H131:$K131)&gt;0),"Con subactividades: deje vacías las semanas (se calculan solas)"&amp;" · ","")&amp;IF((COUNTIF($H131:$K131,"&gt;1")+COUNTIF($H131:$K131,"&lt;0")+COUNTA($H131:$K131)-COUNT($H131:$K131))&gt;0,"Avance fuera de rango 0-100%"&amp;" · ","")&amp;IF(OR(AND($I131&lt;&gt;"",$I131&lt;$H131),AND($J131&lt;&gt;"",$J131&lt;MAX($H131:$I131)),AND($K131&lt;&gt;"",$K131&lt;MAX($H131:$J131))),"Avance semanal decreciente"&amp;" · ","")&amp;IF(AND(ISNUMBER($F131),$F131&lt;FechaRef,N($L131)&lt;1),"Vencida"&amp;" · ","")&amp;IF(AND(ObsObligatoria="Sí",ISNUMBER($F131),$F131&lt;FechaRef,N($L131)&lt;1,$N131=""),"Vencida sin observación"&amp;" · ",""),LEN(IF(AND($S131="Macro",$B131=""),"Macroactividad vacía"&amp;" · ","")&amp;IF(AND($B131&lt;&gt;"",$C131&lt;&gt;""),"Escriba la subactividad en otra fila, debajo de su macroactividad"&amp;" · ","")&amp;IF(AND($S131="Sub",N($R131)=0),"Subactividad sin macroactividad arriba"&amp;" · ","")&amp;IF($D131="","Sin responsable"&amp;" · ","")&amp;IF($E131="","Sin fecha de inicio"&amp;" · ","")&amp;IF($F131="","Sin fecha límite"&amp;" · ","")&amp;IF(OR(AND($E131&lt;&gt;"",NOT(ISNUMBER($E131))),AND($F131&lt;&gt;"",NOT(ISNUMBER($F131)))),"Fecha no válida"&amp;" · ","")&amp;IF(AND(ISNUMBER($E131),ISNUMBER($F131),$E131&gt;$F131),"Inicio posterior a fecha límite"&amp;" · ","")&amp;IF(AND($S131="Macro",$G131=""),"Peso vacío"&amp;" · ","")&amp;IF(AND($S131="Macro",$G131&lt;&gt;"",OR(NOT(ISNUMBER($G131)),$G131&lt;=0,$G131&gt;1)),"Peso fuera de rango"&amp;" · ","")&amp;IF(AND($S131="Sub",$G131&lt;&gt;""),"Las subactividades no llevan peso"&amp;" · ","")&amp;IF(AND($S131="Macro",ABS(SUMIFS($G$5:$G$1000,$P$5:$P$1000,$P131,$S$5:$S$1000,"Macro")-1)&gt;0.0001),"Pesos del mes suman "&amp;TEXT(SUMIFS($G$5:$G$1000,$P$5:$P$1000,$P131,$S$5:$S$1000,"Macro"),"0%")&amp;" · ","")&amp;IF(AND(N($T131)&gt;0,COUNT($H131:$K131)&gt;0),"Con subactividades: deje vacías las semanas (se calculan solas)"&amp;" · ","")&amp;IF((COUNTIF($H131:$K131,"&gt;1")+COUNTIF($H131:$K131,"&lt;0")+COUNTA($H131:$K131)-COUNT($H131:$K131))&gt;0,"Avance fuera de rango 0-100%"&amp;" · ","")&amp;IF(OR(AND($I131&lt;&gt;"",$I131&lt;$H131),AND($J131&lt;&gt;"",$J131&lt;MAX($H131:$I131)),AND($K131&lt;&gt;"",$K131&lt;MAX($H131:$J131))),"Avance semanal decreciente"&amp;" · ","")&amp;IF(AND(ISNUMBER($F131),$F131&lt;FechaRef,N($L131)&lt;1),"Vencida"&amp;" · ","")&amp;IF(AND(ObsObligatoria="Sí",ISNUMBER($F131),$F131&lt;FechaRef,N($L131)&lt;1,$N131=""),"Vencida sin observación"&amp;" · ",""))-3)))</f>
        <v/>
      </c>
      <c r="P131" s="69">
        <f>IF(NOT((COUNTA($B131:$K131)+COUNTA($N131))&gt;0),"",IF(AND($S131="Sub",N($R131)&gt;0),IF(ISNUMBER(INDEX($E$5:$E$1000,$R131-4)),DATE(YEAR(INDEX($E$5:$E$1000,$R131-4)),MONTH(INDEX($E$5:$E$1000,$R131-4)),1),IF(ISNUMBER(INDEX($F$5:$F$1000,$R131-4)),DATE(YEAR(INDEX($F$5:$F$1000,$R131-4)),MONTH(INDEX($F$5:$F$1000,$R131-4)),1),MesCiclo)),IF(ISNUMBER($E131),DATE(YEAR($E131),MONTH($E131),1),IF(ISNUMBER($F131),DATE(YEAR($F131),MONTH($F131),1),MesCiclo))))</f>
        <v/>
      </c>
      <c r="Q131" s="70">
        <f>IF(OR($P131="",$P131&lt;&gt;MesCiclo),"",COUNTIF($P$5:$P131,MesCiclo))</f>
        <v/>
      </c>
      <c r="R131" s="70">
        <f>IF($S131="","",IF($S131="Macro",ROW(),IFERROR(LOOKUP(2,1/($S$5:$S131="Macro"),ROW($S$5:$S131)),0)))</f>
        <v/>
      </c>
      <c r="S131" s="70">
        <f>IF(NOT((COUNTA($B131:$K131)+COUNTA($N131))&gt;0),"",IF($B131&lt;&gt;"","Macro",IF($C131&lt;&gt;"","Sub","Macro")))</f>
        <v/>
      </c>
      <c r="T131" s="70">
        <f>IF($S131="Macro",COUNTIFS($R$5:$R$1000,ROW(),$S$5:$S$1000,"Sub"),"")</f>
        <v/>
      </c>
      <c r="U131" s="70">
        <f>IF($S131="","",IF(ISNUMBER($H131),$H131,0))</f>
        <v/>
      </c>
      <c r="V131" s="70">
        <f>IF($S131="","",IF(ISNUMBER($I131),$I131,$U131))</f>
        <v/>
      </c>
      <c r="W131" s="70">
        <f>IF($S131="","",IF(ISNUMBER($J131),$J131,$V131))</f>
        <v/>
      </c>
      <c r="X131" s="70">
        <f>IF($S131="","",IF(ISNUMBER($K131),$K131,$W131))</f>
        <v/>
      </c>
      <c r="Y131" s="70">
        <f>IF($S131="","",IF(N($T131)&gt;0,AVERAGEIFS($U$5:$U$1000,$R$5:$R$1000,ROW(),$S$5:$S$1000,"Sub"),$U131))</f>
        <v/>
      </c>
      <c r="Z131" s="70">
        <f>IF($S131="","",IF(N($T131)&gt;0,AVERAGEIFS($V$5:$V$1000,$R$5:$R$1000,ROW(),$S$5:$S$1000,"Sub"),$V131))</f>
        <v/>
      </c>
      <c r="AA131" s="70">
        <f>IF($S131="","",IF(N($T131)&gt;0,AVERAGEIFS($W$5:$W$1000,$R$5:$R$1000,ROW(),$S$5:$S$1000,"Sub"),$W131))</f>
        <v/>
      </c>
      <c r="AB131" s="70">
        <f>IF($S131="","",IF(N($T131)&gt;0,AVERAGEIFS($X$5:$X$1000,$R$5:$R$1000,ROW(),$S$5:$S$1000,"Sub"),$X131))</f>
        <v/>
      </c>
    </row>
    <row r="132">
      <c r="A132" s="61">
        <f>IF(NOT((COUNTA($B132:$K132)+COUNTA($N132))&gt;0),"",IF($S132="Macro",COUNTIFS($S$5:$S132,"Macro",$P$5:$P132,$P132),IF(N($R132)=0,"?",COUNTIFS(INDEX($S$5:$S$1000,1):INDEX($S$5:$S$1000,$R132-4),"Macro",INDEX($P$5:$P$1000,1):INDEX($P$5:$P$1000,$R132-4),INDEX($P$5:$P$1000,$R132-4))&amp;"."&amp;COUNTIFS($R$5:$R132,$R132,$S$5:$S132,"Sub"))))</f>
        <v/>
      </c>
      <c r="B132" s="62" t="n"/>
      <c r="C132" s="63" t="n"/>
      <c r="D132" s="62" t="n"/>
      <c r="E132" s="64" t="n"/>
      <c r="F132" s="64" t="n"/>
      <c r="G132" s="65" t="n"/>
      <c r="H132" s="66" t="n"/>
      <c r="I132" s="66" t="n"/>
      <c r="J132" s="66" t="n"/>
      <c r="K132" s="66" t="n"/>
      <c r="L132" s="67">
        <f>IF(NOT((COUNTA($B132:$K132)+COUNTA($N132))&gt;0),"",IF(N($T132)&gt;0,$AB132,IFERROR(LOOKUP(2,1/(H132:K132&lt;&gt;""),H132:K132),0)))</f>
        <v/>
      </c>
      <c r="M132" s="61">
        <f>IF(L132="","",IF(L132&gt;=1,"Completado",IF(L132&gt;0,"En curso","Pendiente")))</f>
        <v/>
      </c>
      <c r="N132" s="62" t="n"/>
      <c r="O132" s="68">
        <f>IF(NOT((COUNTA($B132:$K132)+COUNTA($N132))&gt;0),"",IF((IF(AND($S132="Macro",$B132=""),"Macroactividad vacía"&amp;" · ","")&amp;IF(AND($B132&lt;&gt;"",$C132&lt;&gt;""),"Escriba la subactividad en otra fila, debajo de su macroactividad"&amp;" · ","")&amp;IF(AND($S132="Sub",N($R132)=0),"Subactividad sin macroactividad arriba"&amp;" · ","")&amp;IF($D132="","Sin responsable"&amp;" · ","")&amp;IF($E132="","Sin fecha de inicio"&amp;" · ","")&amp;IF($F132="","Sin fecha límite"&amp;" · ","")&amp;IF(OR(AND($E132&lt;&gt;"",NOT(ISNUMBER($E132))),AND($F132&lt;&gt;"",NOT(ISNUMBER($F132)))),"Fecha no válida"&amp;" · ","")&amp;IF(AND(ISNUMBER($E132),ISNUMBER($F132),$E132&gt;$F132),"Inicio posterior a fecha límite"&amp;" · ","")&amp;IF(AND($S132="Macro",$G132=""),"Peso vacío"&amp;" · ","")&amp;IF(AND($S132="Macro",$G132&lt;&gt;"",OR(NOT(ISNUMBER($G132)),$G132&lt;=0,$G132&gt;1)),"Peso fuera de rango"&amp;" · ","")&amp;IF(AND($S132="Sub",$G132&lt;&gt;""),"Las subactividades no llevan peso"&amp;" · ","")&amp;IF(AND($S132="Macro",ABS(SUMIFS($G$5:$G$1000,$P$5:$P$1000,$P132,$S$5:$S$1000,"Macro")-1)&gt;0.0001),"Pesos del mes suman "&amp;TEXT(SUMIFS($G$5:$G$1000,$P$5:$P$1000,$P132,$S$5:$S$1000,"Macro"),"0%")&amp;" · ","")&amp;IF(AND(N($T132)&gt;0,COUNT($H132:$K132)&gt;0),"Con subactividades: deje vacías las semanas (se calculan solas)"&amp;" · ","")&amp;IF((COUNTIF($H132:$K132,"&gt;1")+COUNTIF($H132:$K132,"&lt;0")+COUNTA($H132:$K132)-COUNT($H132:$K132))&gt;0,"Avance fuera de rango 0-100%"&amp;" · ","")&amp;IF(OR(AND($I132&lt;&gt;"",$I132&lt;$H132),AND($J132&lt;&gt;"",$J132&lt;MAX($H132:$I132)),AND($K132&lt;&gt;"",$K132&lt;MAX($H132:$J132))),"Avance semanal decreciente"&amp;" · ","")&amp;IF(AND(ISNUMBER($F132),$F132&lt;FechaRef,N($L132)&lt;1),"Vencida"&amp;" · ","")&amp;IF(AND(ObsObligatoria="Sí",ISNUMBER($F132),$F132&lt;FechaRef,N($L132)&lt;1,$N132=""),"Vencida sin observación"&amp;" · ",""))="","✔ OK","⚠ "&amp;LEFT(IF(AND($S132="Macro",$B132=""),"Macroactividad vacía"&amp;" · ","")&amp;IF(AND($B132&lt;&gt;"",$C132&lt;&gt;""),"Escriba la subactividad en otra fila, debajo de su macroactividad"&amp;" · ","")&amp;IF(AND($S132="Sub",N($R132)=0),"Subactividad sin macroactividad arriba"&amp;" · ","")&amp;IF($D132="","Sin responsable"&amp;" · ","")&amp;IF($E132="","Sin fecha de inicio"&amp;" · ","")&amp;IF($F132="","Sin fecha límite"&amp;" · ","")&amp;IF(OR(AND($E132&lt;&gt;"",NOT(ISNUMBER($E132))),AND($F132&lt;&gt;"",NOT(ISNUMBER($F132)))),"Fecha no válida"&amp;" · ","")&amp;IF(AND(ISNUMBER($E132),ISNUMBER($F132),$E132&gt;$F132),"Inicio posterior a fecha límite"&amp;" · ","")&amp;IF(AND($S132="Macro",$G132=""),"Peso vacío"&amp;" · ","")&amp;IF(AND($S132="Macro",$G132&lt;&gt;"",OR(NOT(ISNUMBER($G132)),$G132&lt;=0,$G132&gt;1)),"Peso fuera de rango"&amp;" · ","")&amp;IF(AND($S132="Sub",$G132&lt;&gt;""),"Las subactividades no llevan peso"&amp;" · ","")&amp;IF(AND($S132="Macro",ABS(SUMIFS($G$5:$G$1000,$P$5:$P$1000,$P132,$S$5:$S$1000,"Macro")-1)&gt;0.0001),"Pesos del mes suman "&amp;TEXT(SUMIFS($G$5:$G$1000,$P$5:$P$1000,$P132,$S$5:$S$1000,"Macro"),"0%")&amp;" · ","")&amp;IF(AND(N($T132)&gt;0,COUNT($H132:$K132)&gt;0),"Con subactividades: deje vacías las semanas (se calculan solas)"&amp;" · ","")&amp;IF((COUNTIF($H132:$K132,"&gt;1")+COUNTIF($H132:$K132,"&lt;0")+COUNTA($H132:$K132)-COUNT($H132:$K132))&gt;0,"Avance fuera de rango 0-100%"&amp;" · ","")&amp;IF(OR(AND($I132&lt;&gt;"",$I132&lt;$H132),AND($J132&lt;&gt;"",$J132&lt;MAX($H132:$I132)),AND($K132&lt;&gt;"",$K132&lt;MAX($H132:$J132))),"Avance semanal decreciente"&amp;" · ","")&amp;IF(AND(ISNUMBER($F132),$F132&lt;FechaRef,N($L132)&lt;1),"Vencida"&amp;" · ","")&amp;IF(AND(ObsObligatoria="Sí",ISNUMBER($F132),$F132&lt;FechaRef,N($L132)&lt;1,$N132=""),"Vencida sin observación"&amp;" · ",""),LEN(IF(AND($S132="Macro",$B132=""),"Macroactividad vacía"&amp;" · ","")&amp;IF(AND($B132&lt;&gt;"",$C132&lt;&gt;""),"Escriba la subactividad en otra fila, debajo de su macroactividad"&amp;" · ","")&amp;IF(AND($S132="Sub",N($R132)=0),"Subactividad sin macroactividad arriba"&amp;" · ","")&amp;IF($D132="","Sin responsable"&amp;" · ","")&amp;IF($E132="","Sin fecha de inicio"&amp;" · ","")&amp;IF($F132="","Sin fecha límite"&amp;" · ","")&amp;IF(OR(AND($E132&lt;&gt;"",NOT(ISNUMBER($E132))),AND($F132&lt;&gt;"",NOT(ISNUMBER($F132)))),"Fecha no válida"&amp;" · ","")&amp;IF(AND(ISNUMBER($E132),ISNUMBER($F132),$E132&gt;$F132),"Inicio posterior a fecha límite"&amp;" · ","")&amp;IF(AND($S132="Macro",$G132=""),"Peso vacío"&amp;" · ","")&amp;IF(AND($S132="Macro",$G132&lt;&gt;"",OR(NOT(ISNUMBER($G132)),$G132&lt;=0,$G132&gt;1)),"Peso fuera de rango"&amp;" · ","")&amp;IF(AND($S132="Sub",$G132&lt;&gt;""),"Las subactividades no llevan peso"&amp;" · ","")&amp;IF(AND($S132="Macro",ABS(SUMIFS($G$5:$G$1000,$P$5:$P$1000,$P132,$S$5:$S$1000,"Macro")-1)&gt;0.0001),"Pesos del mes suman "&amp;TEXT(SUMIFS($G$5:$G$1000,$P$5:$P$1000,$P132,$S$5:$S$1000,"Macro"),"0%")&amp;" · ","")&amp;IF(AND(N($T132)&gt;0,COUNT($H132:$K132)&gt;0),"Con subactividades: deje vacías las semanas (se calculan solas)"&amp;" · ","")&amp;IF((COUNTIF($H132:$K132,"&gt;1")+COUNTIF($H132:$K132,"&lt;0")+COUNTA($H132:$K132)-COUNT($H132:$K132))&gt;0,"Avance fuera de rango 0-100%"&amp;" · ","")&amp;IF(OR(AND($I132&lt;&gt;"",$I132&lt;$H132),AND($J132&lt;&gt;"",$J132&lt;MAX($H132:$I132)),AND($K132&lt;&gt;"",$K132&lt;MAX($H132:$J132))),"Avance semanal decreciente"&amp;" · ","")&amp;IF(AND(ISNUMBER($F132),$F132&lt;FechaRef,N($L132)&lt;1),"Vencida"&amp;" · ","")&amp;IF(AND(ObsObligatoria="Sí",ISNUMBER($F132),$F132&lt;FechaRef,N($L132)&lt;1,$N132=""),"Vencida sin observación"&amp;" · ",""))-3)))</f>
        <v/>
      </c>
      <c r="P132" s="69">
        <f>IF(NOT((COUNTA($B132:$K132)+COUNTA($N132))&gt;0),"",IF(AND($S132="Sub",N($R132)&gt;0),IF(ISNUMBER(INDEX($E$5:$E$1000,$R132-4)),DATE(YEAR(INDEX($E$5:$E$1000,$R132-4)),MONTH(INDEX($E$5:$E$1000,$R132-4)),1),IF(ISNUMBER(INDEX($F$5:$F$1000,$R132-4)),DATE(YEAR(INDEX($F$5:$F$1000,$R132-4)),MONTH(INDEX($F$5:$F$1000,$R132-4)),1),MesCiclo)),IF(ISNUMBER($E132),DATE(YEAR($E132),MONTH($E132),1),IF(ISNUMBER($F132),DATE(YEAR($F132),MONTH($F132),1),MesCiclo))))</f>
        <v/>
      </c>
      <c r="Q132" s="70">
        <f>IF(OR($P132="",$P132&lt;&gt;MesCiclo),"",COUNTIF($P$5:$P132,MesCiclo))</f>
        <v/>
      </c>
      <c r="R132" s="70">
        <f>IF($S132="","",IF($S132="Macro",ROW(),IFERROR(LOOKUP(2,1/($S$5:$S132="Macro"),ROW($S$5:$S132)),0)))</f>
        <v/>
      </c>
      <c r="S132" s="70">
        <f>IF(NOT((COUNTA($B132:$K132)+COUNTA($N132))&gt;0),"",IF($B132&lt;&gt;"","Macro",IF($C132&lt;&gt;"","Sub","Macro")))</f>
        <v/>
      </c>
      <c r="T132" s="70">
        <f>IF($S132="Macro",COUNTIFS($R$5:$R$1000,ROW(),$S$5:$S$1000,"Sub"),"")</f>
        <v/>
      </c>
      <c r="U132" s="70">
        <f>IF($S132="","",IF(ISNUMBER($H132),$H132,0))</f>
        <v/>
      </c>
      <c r="V132" s="70">
        <f>IF($S132="","",IF(ISNUMBER($I132),$I132,$U132))</f>
        <v/>
      </c>
      <c r="W132" s="70">
        <f>IF($S132="","",IF(ISNUMBER($J132),$J132,$V132))</f>
        <v/>
      </c>
      <c r="X132" s="70">
        <f>IF($S132="","",IF(ISNUMBER($K132),$K132,$W132))</f>
        <v/>
      </c>
      <c r="Y132" s="70">
        <f>IF($S132="","",IF(N($T132)&gt;0,AVERAGEIFS($U$5:$U$1000,$R$5:$R$1000,ROW(),$S$5:$S$1000,"Sub"),$U132))</f>
        <v/>
      </c>
      <c r="Z132" s="70">
        <f>IF($S132="","",IF(N($T132)&gt;0,AVERAGEIFS($V$5:$V$1000,$R$5:$R$1000,ROW(),$S$5:$S$1000,"Sub"),$V132))</f>
        <v/>
      </c>
      <c r="AA132" s="70">
        <f>IF($S132="","",IF(N($T132)&gt;0,AVERAGEIFS($W$5:$W$1000,$R$5:$R$1000,ROW(),$S$5:$S$1000,"Sub"),$W132))</f>
        <v/>
      </c>
      <c r="AB132" s="70">
        <f>IF($S132="","",IF(N($T132)&gt;0,AVERAGEIFS($X$5:$X$1000,$R$5:$R$1000,ROW(),$S$5:$S$1000,"Sub"),$X132))</f>
        <v/>
      </c>
    </row>
    <row r="133">
      <c r="A133" s="61">
        <f>IF(NOT((COUNTA($B133:$K133)+COUNTA($N133))&gt;0),"",IF($S133="Macro",COUNTIFS($S$5:$S133,"Macro",$P$5:$P133,$P133),IF(N($R133)=0,"?",COUNTIFS(INDEX($S$5:$S$1000,1):INDEX($S$5:$S$1000,$R133-4),"Macro",INDEX($P$5:$P$1000,1):INDEX($P$5:$P$1000,$R133-4),INDEX($P$5:$P$1000,$R133-4))&amp;"."&amp;COUNTIFS($R$5:$R133,$R133,$S$5:$S133,"Sub"))))</f>
        <v/>
      </c>
      <c r="B133" s="62" t="n"/>
      <c r="C133" s="63" t="n"/>
      <c r="D133" s="62" t="n"/>
      <c r="E133" s="64" t="n"/>
      <c r="F133" s="64" t="n"/>
      <c r="G133" s="65" t="n"/>
      <c r="H133" s="66" t="n"/>
      <c r="I133" s="66" t="n"/>
      <c r="J133" s="66" t="n"/>
      <c r="K133" s="66" t="n"/>
      <c r="L133" s="67">
        <f>IF(NOT((COUNTA($B133:$K133)+COUNTA($N133))&gt;0),"",IF(N($T133)&gt;0,$AB133,IFERROR(LOOKUP(2,1/(H133:K133&lt;&gt;""),H133:K133),0)))</f>
        <v/>
      </c>
      <c r="M133" s="61">
        <f>IF(L133="","",IF(L133&gt;=1,"Completado",IF(L133&gt;0,"En curso","Pendiente")))</f>
        <v/>
      </c>
      <c r="N133" s="62" t="n"/>
      <c r="O133" s="68">
        <f>IF(NOT((COUNTA($B133:$K133)+COUNTA($N133))&gt;0),"",IF((IF(AND($S133="Macro",$B133=""),"Macroactividad vacía"&amp;" · ","")&amp;IF(AND($B133&lt;&gt;"",$C133&lt;&gt;""),"Escriba la subactividad en otra fila, debajo de su macroactividad"&amp;" · ","")&amp;IF(AND($S133="Sub",N($R133)=0),"Subactividad sin macroactividad arriba"&amp;" · ","")&amp;IF($D133="","Sin responsable"&amp;" · ","")&amp;IF($E133="","Sin fecha de inicio"&amp;" · ","")&amp;IF($F133="","Sin fecha límite"&amp;" · ","")&amp;IF(OR(AND($E133&lt;&gt;"",NOT(ISNUMBER($E133))),AND($F133&lt;&gt;"",NOT(ISNUMBER($F133)))),"Fecha no válida"&amp;" · ","")&amp;IF(AND(ISNUMBER($E133),ISNUMBER($F133),$E133&gt;$F133),"Inicio posterior a fecha límite"&amp;" · ","")&amp;IF(AND($S133="Macro",$G133=""),"Peso vacío"&amp;" · ","")&amp;IF(AND($S133="Macro",$G133&lt;&gt;"",OR(NOT(ISNUMBER($G133)),$G133&lt;=0,$G133&gt;1)),"Peso fuera de rango"&amp;" · ","")&amp;IF(AND($S133="Sub",$G133&lt;&gt;""),"Las subactividades no llevan peso"&amp;" · ","")&amp;IF(AND($S133="Macro",ABS(SUMIFS($G$5:$G$1000,$P$5:$P$1000,$P133,$S$5:$S$1000,"Macro")-1)&gt;0.0001),"Pesos del mes suman "&amp;TEXT(SUMIFS($G$5:$G$1000,$P$5:$P$1000,$P133,$S$5:$S$1000,"Macro"),"0%")&amp;" · ","")&amp;IF(AND(N($T133)&gt;0,COUNT($H133:$K133)&gt;0),"Con subactividades: deje vacías las semanas (se calculan solas)"&amp;" · ","")&amp;IF((COUNTIF($H133:$K133,"&gt;1")+COUNTIF($H133:$K133,"&lt;0")+COUNTA($H133:$K133)-COUNT($H133:$K133))&gt;0,"Avance fuera de rango 0-100%"&amp;" · ","")&amp;IF(OR(AND($I133&lt;&gt;"",$I133&lt;$H133),AND($J133&lt;&gt;"",$J133&lt;MAX($H133:$I133)),AND($K133&lt;&gt;"",$K133&lt;MAX($H133:$J133))),"Avance semanal decreciente"&amp;" · ","")&amp;IF(AND(ISNUMBER($F133),$F133&lt;FechaRef,N($L133)&lt;1),"Vencida"&amp;" · ","")&amp;IF(AND(ObsObligatoria="Sí",ISNUMBER($F133),$F133&lt;FechaRef,N($L133)&lt;1,$N133=""),"Vencida sin observación"&amp;" · ",""))="","✔ OK","⚠ "&amp;LEFT(IF(AND($S133="Macro",$B133=""),"Macroactividad vacía"&amp;" · ","")&amp;IF(AND($B133&lt;&gt;"",$C133&lt;&gt;""),"Escriba la subactividad en otra fila, debajo de su macroactividad"&amp;" · ","")&amp;IF(AND($S133="Sub",N($R133)=0),"Subactividad sin macroactividad arriba"&amp;" · ","")&amp;IF($D133="","Sin responsable"&amp;" · ","")&amp;IF($E133="","Sin fecha de inicio"&amp;" · ","")&amp;IF($F133="","Sin fecha límite"&amp;" · ","")&amp;IF(OR(AND($E133&lt;&gt;"",NOT(ISNUMBER($E133))),AND($F133&lt;&gt;"",NOT(ISNUMBER($F133)))),"Fecha no válida"&amp;" · ","")&amp;IF(AND(ISNUMBER($E133),ISNUMBER($F133),$E133&gt;$F133),"Inicio posterior a fecha límite"&amp;" · ","")&amp;IF(AND($S133="Macro",$G133=""),"Peso vacío"&amp;" · ","")&amp;IF(AND($S133="Macro",$G133&lt;&gt;"",OR(NOT(ISNUMBER($G133)),$G133&lt;=0,$G133&gt;1)),"Peso fuera de rango"&amp;" · ","")&amp;IF(AND($S133="Sub",$G133&lt;&gt;""),"Las subactividades no llevan peso"&amp;" · ","")&amp;IF(AND($S133="Macro",ABS(SUMIFS($G$5:$G$1000,$P$5:$P$1000,$P133,$S$5:$S$1000,"Macro")-1)&gt;0.0001),"Pesos del mes suman "&amp;TEXT(SUMIFS($G$5:$G$1000,$P$5:$P$1000,$P133,$S$5:$S$1000,"Macro"),"0%")&amp;" · ","")&amp;IF(AND(N($T133)&gt;0,COUNT($H133:$K133)&gt;0),"Con subactividades: deje vacías las semanas (se calculan solas)"&amp;" · ","")&amp;IF((COUNTIF($H133:$K133,"&gt;1")+COUNTIF($H133:$K133,"&lt;0")+COUNTA($H133:$K133)-COUNT($H133:$K133))&gt;0,"Avance fuera de rango 0-100%"&amp;" · ","")&amp;IF(OR(AND($I133&lt;&gt;"",$I133&lt;$H133),AND($J133&lt;&gt;"",$J133&lt;MAX($H133:$I133)),AND($K133&lt;&gt;"",$K133&lt;MAX($H133:$J133))),"Avance semanal decreciente"&amp;" · ","")&amp;IF(AND(ISNUMBER($F133),$F133&lt;FechaRef,N($L133)&lt;1),"Vencida"&amp;" · ","")&amp;IF(AND(ObsObligatoria="Sí",ISNUMBER($F133),$F133&lt;FechaRef,N($L133)&lt;1,$N133=""),"Vencida sin observación"&amp;" · ",""),LEN(IF(AND($S133="Macro",$B133=""),"Macroactividad vacía"&amp;" · ","")&amp;IF(AND($B133&lt;&gt;"",$C133&lt;&gt;""),"Escriba la subactividad en otra fila, debajo de su macroactividad"&amp;" · ","")&amp;IF(AND($S133="Sub",N($R133)=0),"Subactividad sin macroactividad arriba"&amp;" · ","")&amp;IF($D133="","Sin responsable"&amp;" · ","")&amp;IF($E133="","Sin fecha de inicio"&amp;" · ","")&amp;IF($F133="","Sin fecha límite"&amp;" · ","")&amp;IF(OR(AND($E133&lt;&gt;"",NOT(ISNUMBER($E133))),AND($F133&lt;&gt;"",NOT(ISNUMBER($F133)))),"Fecha no válida"&amp;" · ","")&amp;IF(AND(ISNUMBER($E133),ISNUMBER($F133),$E133&gt;$F133),"Inicio posterior a fecha límite"&amp;" · ","")&amp;IF(AND($S133="Macro",$G133=""),"Peso vacío"&amp;" · ","")&amp;IF(AND($S133="Macro",$G133&lt;&gt;"",OR(NOT(ISNUMBER($G133)),$G133&lt;=0,$G133&gt;1)),"Peso fuera de rango"&amp;" · ","")&amp;IF(AND($S133="Sub",$G133&lt;&gt;""),"Las subactividades no llevan peso"&amp;" · ","")&amp;IF(AND($S133="Macro",ABS(SUMIFS($G$5:$G$1000,$P$5:$P$1000,$P133,$S$5:$S$1000,"Macro")-1)&gt;0.0001),"Pesos del mes suman "&amp;TEXT(SUMIFS($G$5:$G$1000,$P$5:$P$1000,$P133,$S$5:$S$1000,"Macro"),"0%")&amp;" · ","")&amp;IF(AND(N($T133)&gt;0,COUNT($H133:$K133)&gt;0),"Con subactividades: deje vacías las semanas (se calculan solas)"&amp;" · ","")&amp;IF((COUNTIF($H133:$K133,"&gt;1")+COUNTIF($H133:$K133,"&lt;0")+COUNTA($H133:$K133)-COUNT($H133:$K133))&gt;0,"Avance fuera de rango 0-100%"&amp;" · ","")&amp;IF(OR(AND($I133&lt;&gt;"",$I133&lt;$H133),AND($J133&lt;&gt;"",$J133&lt;MAX($H133:$I133)),AND($K133&lt;&gt;"",$K133&lt;MAX($H133:$J133))),"Avance semanal decreciente"&amp;" · ","")&amp;IF(AND(ISNUMBER($F133),$F133&lt;FechaRef,N($L133)&lt;1),"Vencida"&amp;" · ","")&amp;IF(AND(ObsObligatoria="Sí",ISNUMBER($F133),$F133&lt;FechaRef,N($L133)&lt;1,$N133=""),"Vencida sin observación"&amp;" · ",""))-3)))</f>
        <v/>
      </c>
      <c r="P133" s="69">
        <f>IF(NOT((COUNTA($B133:$K133)+COUNTA($N133))&gt;0),"",IF(AND($S133="Sub",N($R133)&gt;0),IF(ISNUMBER(INDEX($E$5:$E$1000,$R133-4)),DATE(YEAR(INDEX($E$5:$E$1000,$R133-4)),MONTH(INDEX($E$5:$E$1000,$R133-4)),1),IF(ISNUMBER(INDEX($F$5:$F$1000,$R133-4)),DATE(YEAR(INDEX($F$5:$F$1000,$R133-4)),MONTH(INDEX($F$5:$F$1000,$R133-4)),1),MesCiclo)),IF(ISNUMBER($E133),DATE(YEAR($E133),MONTH($E133),1),IF(ISNUMBER($F133),DATE(YEAR($F133),MONTH($F133),1),MesCiclo))))</f>
        <v/>
      </c>
      <c r="Q133" s="70">
        <f>IF(OR($P133="",$P133&lt;&gt;MesCiclo),"",COUNTIF($P$5:$P133,MesCiclo))</f>
        <v/>
      </c>
      <c r="R133" s="70">
        <f>IF($S133="","",IF($S133="Macro",ROW(),IFERROR(LOOKUP(2,1/($S$5:$S133="Macro"),ROW($S$5:$S133)),0)))</f>
        <v/>
      </c>
      <c r="S133" s="70">
        <f>IF(NOT((COUNTA($B133:$K133)+COUNTA($N133))&gt;0),"",IF($B133&lt;&gt;"","Macro",IF($C133&lt;&gt;"","Sub","Macro")))</f>
        <v/>
      </c>
      <c r="T133" s="70">
        <f>IF($S133="Macro",COUNTIFS($R$5:$R$1000,ROW(),$S$5:$S$1000,"Sub"),"")</f>
        <v/>
      </c>
      <c r="U133" s="70">
        <f>IF($S133="","",IF(ISNUMBER($H133),$H133,0))</f>
        <v/>
      </c>
      <c r="V133" s="70">
        <f>IF($S133="","",IF(ISNUMBER($I133),$I133,$U133))</f>
        <v/>
      </c>
      <c r="W133" s="70">
        <f>IF($S133="","",IF(ISNUMBER($J133),$J133,$V133))</f>
        <v/>
      </c>
      <c r="X133" s="70">
        <f>IF($S133="","",IF(ISNUMBER($K133),$K133,$W133))</f>
        <v/>
      </c>
      <c r="Y133" s="70">
        <f>IF($S133="","",IF(N($T133)&gt;0,AVERAGEIFS($U$5:$U$1000,$R$5:$R$1000,ROW(),$S$5:$S$1000,"Sub"),$U133))</f>
        <v/>
      </c>
      <c r="Z133" s="70">
        <f>IF($S133="","",IF(N($T133)&gt;0,AVERAGEIFS($V$5:$V$1000,$R$5:$R$1000,ROW(),$S$5:$S$1000,"Sub"),$V133))</f>
        <v/>
      </c>
      <c r="AA133" s="70">
        <f>IF($S133="","",IF(N($T133)&gt;0,AVERAGEIFS($W$5:$W$1000,$R$5:$R$1000,ROW(),$S$5:$S$1000,"Sub"),$W133))</f>
        <v/>
      </c>
      <c r="AB133" s="70">
        <f>IF($S133="","",IF(N($T133)&gt;0,AVERAGEIFS($X$5:$X$1000,$R$5:$R$1000,ROW(),$S$5:$S$1000,"Sub"),$X133))</f>
        <v/>
      </c>
    </row>
    <row r="134">
      <c r="A134" s="61">
        <f>IF(NOT((COUNTA($B134:$K134)+COUNTA($N134))&gt;0),"",IF($S134="Macro",COUNTIFS($S$5:$S134,"Macro",$P$5:$P134,$P134),IF(N($R134)=0,"?",COUNTIFS(INDEX($S$5:$S$1000,1):INDEX($S$5:$S$1000,$R134-4),"Macro",INDEX($P$5:$P$1000,1):INDEX($P$5:$P$1000,$R134-4),INDEX($P$5:$P$1000,$R134-4))&amp;"."&amp;COUNTIFS($R$5:$R134,$R134,$S$5:$S134,"Sub"))))</f>
        <v/>
      </c>
      <c r="B134" s="62" t="n"/>
      <c r="C134" s="63" t="n"/>
      <c r="D134" s="62" t="n"/>
      <c r="E134" s="64" t="n"/>
      <c r="F134" s="64" t="n"/>
      <c r="G134" s="65" t="n"/>
      <c r="H134" s="66" t="n"/>
      <c r="I134" s="66" t="n"/>
      <c r="J134" s="66" t="n"/>
      <c r="K134" s="66" t="n"/>
      <c r="L134" s="67">
        <f>IF(NOT((COUNTA($B134:$K134)+COUNTA($N134))&gt;0),"",IF(N($T134)&gt;0,$AB134,IFERROR(LOOKUP(2,1/(H134:K134&lt;&gt;""),H134:K134),0)))</f>
        <v/>
      </c>
      <c r="M134" s="61">
        <f>IF(L134="","",IF(L134&gt;=1,"Completado",IF(L134&gt;0,"En curso","Pendiente")))</f>
        <v/>
      </c>
      <c r="N134" s="62" t="n"/>
      <c r="O134" s="68">
        <f>IF(NOT((COUNTA($B134:$K134)+COUNTA($N134))&gt;0),"",IF((IF(AND($S134="Macro",$B134=""),"Macroactividad vacía"&amp;" · ","")&amp;IF(AND($B134&lt;&gt;"",$C134&lt;&gt;""),"Escriba la subactividad en otra fila, debajo de su macroactividad"&amp;" · ","")&amp;IF(AND($S134="Sub",N($R134)=0),"Subactividad sin macroactividad arriba"&amp;" · ","")&amp;IF($D134="","Sin responsable"&amp;" · ","")&amp;IF($E134="","Sin fecha de inicio"&amp;" · ","")&amp;IF($F134="","Sin fecha límite"&amp;" · ","")&amp;IF(OR(AND($E134&lt;&gt;"",NOT(ISNUMBER($E134))),AND($F134&lt;&gt;"",NOT(ISNUMBER($F134)))),"Fecha no válida"&amp;" · ","")&amp;IF(AND(ISNUMBER($E134),ISNUMBER($F134),$E134&gt;$F134),"Inicio posterior a fecha límite"&amp;" · ","")&amp;IF(AND($S134="Macro",$G134=""),"Peso vacío"&amp;" · ","")&amp;IF(AND($S134="Macro",$G134&lt;&gt;"",OR(NOT(ISNUMBER($G134)),$G134&lt;=0,$G134&gt;1)),"Peso fuera de rango"&amp;" · ","")&amp;IF(AND($S134="Sub",$G134&lt;&gt;""),"Las subactividades no llevan peso"&amp;" · ","")&amp;IF(AND($S134="Macro",ABS(SUMIFS($G$5:$G$1000,$P$5:$P$1000,$P134,$S$5:$S$1000,"Macro")-1)&gt;0.0001),"Pesos del mes suman "&amp;TEXT(SUMIFS($G$5:$G$1000,$P$5:$P$1000,$P134,$S$5:$S$1000,"Macro"),"0%")&amp;" · ","")&amp;IF(AND(N($T134)&gt;0,COUNT($H134:$K134)&gt;0),"Con subactividades: deje vacías las semanas (se calculan solas)"&amp;" · ","")&amp;IF((COUNTIF($H134:$K134,"&gt;1")+COUNTIF($H134:$K134,"&lt;0")+COUNTA($H134:$K134)-COUNT($H134:$K134))&gt;0,"Avance fuera de rango 0-100%"&amp;" · ","")&amp;IF(OR(AND($I134&lt;&gt;"",$I134&lt;$H134),AND($J134&lt;&gt;"",$J134&lt;MAX($H134:$I134)),AND($K134&lt;&gt;"",$K134&lt;MAX($H134:$J134))),"Avance semanal decreciente"&amp;" · ","")&amp;IF(AND(ISNUMBER($F134),$F134&lt;FechaRef,N($L134)&lt;1),"Vencida"&amp;" · ","")&amp;IF(AND(ObsObligatoria="Sí",ISNUMBER($F134),$F134&lt;FechaRef,N($L134)&lt;1,$N134=""),"Vencida sin observación"&amp;" · ",""))="","✔ OK","⚠ "&amp;LEFT(IF(AND($S134="Macro",$B134=""),"Macroactividad vacía"&amp;" · ","")&amp;IF(AND($B134&lt;&gt;"",$C134&lt;&gt;""),"Escriba la subactividad en otra fila, debajo de su macroactividad"&amp;" · ","")&amp;IF(AND($S134="Sub",N($R134)=0),"Subactividad sin macroactividad arriba"&amp;" · ","")&amp;IF($D134="","Sin responsable"&amp;" · ","")&amp;IF($E134="","Sin fecha de inicio"&amp;" · ","")&amp;IF($F134="","Sin fecha límite"&amp;" · ","")&amp;IF(OR(AND($E134&lt;&gt;"",NOT(ISNUMBER($E134))),AND($F134&lt;&gt;"",NOT(ISNUMBER($F134)))),"Fecha no válida"&amp;" · ","")&amp;IF(AND(ISNUMBER($E134),ISNUMBER($F134),$E134&gt;$F134),"Inicio posterior a fecha límite"&amp;" · ","")&amp;IF(AND($S134="Macro",$G134=""),"Peso vacío"&amp;" · ","")&amp;IF(AND($S134="Macro",$G134&lt;&gt;"",OR(NOT(ISNUMBER($G134)),$G134&lt;=0,$G134&gt;1)),"Peso fuera de rango"&amp;" · ","")&amp;IF(AND($S134="Sub",$G134&lt;&gt;""),"Las subactividades no llevan peso"&amp;" · ","")&amp;IF(AND($S134="Macro",ABS(SUMIFS($G$5:$G$1000,$P$5:$P$1000,$P134,$S$5:$S$1000,"Macro")-1)&gt;0.0001),"Pesos del mes suman "&amp;TEXT(SUMIFS($G$5:$G$1000,$P$5:$P$1000,$P134,$S$5:$S$1000,"Macro"),"0%")&amp;" · ","")&amp;IF(AND(N($T134)&gt;0,COUNT($H134:$K134)&gt;0),"Con subactividades: deje vacías las semanas (se calculan solas)"&amp;" · ","")&amp;IF((COUNTIF($H134:$K134,"&gt;1")+COUNTIF($H134:$K134,"&lt;0")+COUNTA($H134:$K134)-COUNT($H134:$K134))&gt;0,"Avance fuera de rango 0-100%"&amp;" · ","")&amp;IF(OR(AND($I134&lt;&gt;"",$I134&lt;$H134),AND($J134&lt;&gt;"",$J134&lt;MAX($H134:$I134)),AND($K134&lt;&gt;"",$K134&lt;MAX($H134:$J134))),"Avance semanal decreciente"&amp;" · ","")&amp;IF(AND(ISNUMBER($F134),$F134&lt;FechaRef,N($L134)&lt;1),"Vencida"&amp;" · ","")&amp;IF(AND(ObsObligatoria="Sí",ISNUMBER($F134),$F134&lt;FechaRef,N($L134)&lt;1,$N134=""),"Vencida sin observación"&amp;" · ",""),LEN(IF(AND($S134="Macro",$B134=""),"Macroactividad vacía"&amp;" · ","")&amp;IF(AND($B134&lt;&gt;"",$C134&lt;&gt;""),"Escriba la subactividad en otra fila, debajo de su macroactividad"&amp;" · ","")&amp;IF(AND($S134="Sub",N($R134)=0),"Subactividad sin macroactividad arriba"&amp;" · ","")&amp;IF($D134="","Sin responsable"&amp;" · ","")&amp;IF($E134="","Sin fecha de inicio"&amp;" · ","")&amp;IF($F134="","Sin fecha límite"&amp;" · ","")&amp;IF(OR(AND($E134&lt;&gt;"",NOT(ISNUMBER($E134))),AND($F134&lt;&gt;"",NOT(ISNUMBER($F134)))),"Fecha no válida"&amp;" · ","")&amp;IF(AND(ISNUMBER($E134),ISNUMBER($F134),$E134&gt;$F134),"Inicio posterior a fecha límite"&amp;" · ","")&amp;IF(AND($S134="Macro",$G134=""),"Peso vacío"&amp;" · ","")&amp;IF(AND($S134="Macro",$G134&lt;&gt;"",OR(NOT(ISNUMBER($G134)),$G134&lt;=0,$G134&gt;1)),"Peso fuera de rango"&amp;" · ","")&amp;IF(AND($S134="Sub",$G134&lt;&gt;""),"Las subactividades no llevan peso"&amp;" · ","")&amp;IF(AND($S134="Macro",ABS(SUMIFS($G$5:$G$1000,$P$5:$P$1000,$P134,$S$5:$S$1000,"Macro")-1)&gt;0.0001),"Pesos del mes suman "&amp;TEXT(SUMIFS($G$5:$G$1000,$P$5:$P$1000,$P134,$S$5:$S$1000,"Macro"),"0%")&amp;" · ","")&amp;IF(AND(N($T134)&gt;0,COUNT($H134:$K134)&gt;0),"Con subactividades: deje vacías las semanas (se calculan solas)"&amp;" · ","")&amp;IF((COUNTIF($H134:$K134,"&gt;1")+COUNTIF($H134:$K134,"&lt;0")+COUNTA($H134:$K134)-COUNT($H134:$K134))&gt;0,"Avance fuera de rango 0-100%"&amp;" · ","")&amp;IF(OR(AND($I134&lt;&gt;"",$I134&lt;$H134),AND($J134&lt;&gt;"",$J134&lt;MAX($H134:$I134)),AND($K134&lt;&gt;"",$K134&lt;MAX($H134:$J134))),"Avance semanal decreciente"&amp;" · ","")&amp;IF(AND(ISNUMBER($F134),$F134&lt;FechaRef,N($L134)&lt;1),"Vencida"&amp;" · ","")&amp;IF(AND(ObsObligatoria="Sí",ISNUMBER($F134),$F134&lt;FechaRef,N($L134)&lt;1,$N134=""),"Vencida sin observación"&amp;" · ",""))-3)))</f>
        <v/>
      </c>
      <c r="P134" s="69">
        <f>IF(NOT((COUNTA($B134:$K134)+COUNTA($N134))&gt;0),"",IF(AND($S134="Sub",N($R134)&gt;0),IF(ISNUMBER(INDEX($E$5:$E$1000,$R134-4)),DATE(YEAR(INDEX($E$5:$E$1000,$R134-4)),MONTH(INDEX($E$5:$E$1000,$R134-4)),1),IF(ISNUMBER(INDEX($F$5:$F$1000,$R134-4)),DATE(YEAR(INDEX($F$5:$F$1000,$R134-4)),MONTH(INDEX($F$5:$F$1000,$R134-4)),1),MesCiclo)),IF(ISNUMBER($E134),DATE(YEAR($E134),MONTH($E134),1),IF(ISNUMBER($F134),DATE(YEAR($F134),MONTH($F134),1),MesCiclo))))</f>
        <v/>
      </c>
      <c r="Q134" s="70">
        <f>IF(OR($P134="",$P134&lt;&gt;MesCiclo),"",COUNTIF($P$5:$P134,MesCiclo))</f>
        <v/>
      </c>
      <c r="R134" s="70">
        <f>IF($S134="","",IF($S134="Macro",ROW(),IFERROR(LOOKUP(2,1/($S$5:$S134="Macro"),ROW($S$5:$S134)),0)))</f>
        <v/>
      </c>
      <c r="S134" s="70">
        <f>IF(NOT((COUNTA($B134:$K134)+COUNTA($N134))&gt;0),"",IF($B134&lt;&gt;"","Macro",IF($C134&lt;&gt;"","Sub","Macro")))</f>
        <v/>
      </c>
      <c r="T134" s="70">
        <f>IF($S134="Macro",COUNTIFS($R$5:$R$1000,ROW(),$S$5:$S$1000,"Sub"),"")</f>
        <v/>
      </c>
      <c r="U134" s="70">
        <f>IF($S134="","",IF(ISNUMBER($H134),$H134,0))</f>
        <v/>
      </c>
      <c r="V134" s="70">
        <f>IF($S134="","",IF(ISNUMBER($I134),$I134,$U134))</f>
        <v/>
      </c>
      <c r="W134" s="70">
        <f>IF($S134="","",IF(ISNUMBER($J134),$J134,$V134))</f>
        <v/>
      </c>
      <c r="X134" s="70">
        <f>IF($S134="","",IF(ISNUMBER($K134),$K134,$W134))</f>
        <v/>
      </c>
      <c r="Y134" s="70">
        <f>IF($S134="","",IF(N($T134)&gt;0,AVERAGEIFS($U$5:$U$1000,$R$5:$R$1000,ROW(),$S$5:$S$1000,"Sub"),$U134))</f>
        <v/>
      </c>
      <c r="Z134" s="70">
        <f>IF($S134="","",IF(N($T134)&gt;0,AVERAGEIFS($V$5:$V$1000,$R$5:$R$1000,ROW(),$S$5:$S$1000,"Sub"),$V134))</f>
        <v/>
      </c>
      <c r="AA134" s="70">
        <f>IF($S134="","",IF(N($T134)&gt;0,AVERAGEIFS($W$5:$W$1000,$R$5:$R$1000,ROW(),$S$5:$S$1000,"Sub"),$W134))</f>
        <v/>
      </c>
      <c r="AB134" s="70">
        <f>IF($S134="","",IF(N($T134)&gt;0,AVERAGEIFS($X$5:$X$1000,$R$5:$R$1000,ROW(),$S$5:$S$1000,"Sub"),$X134))</f>
        <v/>
      </c>
    </row>
    <row r="135">
      <c r="A135" s="61">
        <f>IF(NOT((COUNTA($B135:$K135)+COUNTA($N135))&gt;0),"",IF($S135="Macro",COUNTIFS($S$5:$S135,"Macro",$P$5:$P135,$P135),IF(N($R135)=0,"?",COUNTIFS(INDEX($S$5:$S$1000,1):INDEX($S$5:$S$1000,$R135-4),"Macro",INDEX($P$5:$P$1000,1):INDEX($P$5:$P$1000,$R135-4),INDEX($P$5:$P$1000,$R135-4))&amp;"."&amp;COUNTIFS($R$5:$R135,$R135,$S$5:$S135,"Sub"))))</f>
        <v/>
      </c>
      <c r="B135" s="62" t="n"/>
      <c r="C135" s="63" t="n"/>
      <c r="D135" s="62" t="n"/>
      <c r="E135" s="64" t="n"/>
      <c r="F135" s="64" t="n"/>
      <c r="G135" s="65" t="n"/>
      <c r="H135" s="66" t="n"/>
      <c r="I135" s="66" t="n"/>
      <c r="J135" s="66" t="n"/>
      <c r="K135" s="66" t="n"/>
      <c r="L135" s="67">
        <f>IF(NOT((COUNTA($B135:$K135)+COUNTA($N135))&gt;0),"",IF(N($T135)&gt;0,$AB135,IFERROR(LOOKUP(2,1/(H135:K135&lt;&gt;""),H135:K135),0)))</f>
        <v/>
      </c>
      <c r="M135" s="61">
        <f>IF(L135="","",IF(L135&gt;=1,"Completado",IF(L135&gt;0,"En curso","Pendiente")))</f>
        <v/>
      </c>
      <c r="N135" s="62" t="n"/>
      <c r="O135" s="68">
        <f>IF(NOT((COUNTA($B135:$K135)+COUNTA($N135))&gt;0),"",IF((IF(AND($S135="Macro",$B135=""),"Macroactividad vacía"&amp;" · ","")&amp;IF(AND($B135&lt;&gt;"",$C135&lt;&gt;""),"Escriba la subactividad en otra fila, debajo de su macroactividad"&amp;" · ","")&amp;IF(AND($S135="Sub",N($R135)=0),"Subactividad sin macroactividad arriba"&amp;" · ","")&amp;IF($D135="","Sin responsable"&amp;" · ","")&amp;IF($E135="","Sin fecha de inicio"&amp;" · ","")&amp;IF($F135="","Sin fecha límite"&amp;" · ","")&amp;IF(OR(AND($E135&lt;&gt;"",NOT(ISNUMBER($E135))),AND($F135&lt;&gt;"",NOT(ISNUMBER($F135)))),"Fecha no válida"&amp;" · ","")&amp;IF(AND(ISNUMBER($E135),ISNUMBER($F135),$E135&gt;$F135),"Inicio posterior a fecha límite"&amp;" · ","")&amp;IF(AND($S135="Macro",$G135=""),"Peso vacío"&amp;" · ","")&amp;IF(AND($S135="Macro",$G135&lt;&gt;"",OR(NOT(ISNUMBER($G135)),$G135&lt;=0,$G135&gt;1)),"Peso fuera de rango"&amp;" · ","")&amp;IF(AND($S135="Sub",$G135&lt;&gt;""),"Las subactividades no llevan peso"&amp;" · ","")&amp;IF(AND($S135="Macro",ABS(SUMIFS($G$5:$G$1000,$P$5:$P$1000,$P135,$S$5:$S$1000,"Macro")-1)&gt;0.0001),"Pesos del mes suman "&amp;TEXT(SUMIFS($G$5:$G$1000,$P$5:$P$1000,$P135,$S$5:$S$1000,"Macro"),"0%")&amp;" · ","")&amp;IF(AND(N($T135)&gt;0,COUNT($H135:$K135)&gt;0),"Con subactividades: deje vacías las semanas (se calculan solas)"&amp;" · ","")&amp;IF((COUNTIF($H135:$K135,"&gt;1")+COUNTIF($H135:$K135,"&lt;0")+COUNTA($H135:$K135)-COUNT($H135:$K135))&gt;0,"Avance fuera de rango 0-100%"&amp;" · ","")&amp;IF(OR(AND($I135&lt;&gt;"",$I135&lt;$H135),AND($J135&lt;&gt;"",$J135&lt;MAX($H135:$I135)),AND($K135&lt;&gt;"",$K135&lt;MAX($H135:$J135))),"Avance semanal decreciente"&amp;" · ","")&amp;IF(AND(ISNUMBER($F135),$F135&lt;FechaRef,N($L135)&lt;1),"Vencida"&amp;" · ","")&amp;IF(AND(ObsObligatoria="Sí",ISNUMBER($F135),$F135&lt;FechaRef,N($L135)&lt;1,$N135=""),"Vencida sin observación"&amp;" · ",""))="","✔ OK","⚠ "&amp;LEFT(IF(AND($S135="Macro",$B135=""),"Macroactividad vacía"&amp;" · ","")&amp;IF(AND($B135&lt;&gt;"",$C135&lt;&gt;""),"Escriba la subactividad en otra fila, debajo de su macroactividad"&amp;" · ","")&amp;IF(AND($S135="Sub",N($R135)=0),"Subactividad sin macroactividad arriba"&amp;" · ","")&amp;IF($D135="","Sin responsable"&amp;" · ","")&amp;IF($E135="","Sin fecha de inicio"&amp;" · ","")&amp;IF($F135="","Sin fecha límite"&amp;" · ","")&amp;IF(OR(AND($E135&lt;&gt;"",NOT(ISNUMBER($E135))),AND($F135&lt;&gt;"",NOT(ISNUMBER($F135)))),"Fecha no válida"&amp;" · ","")&amp;IF(AND(ISNUMBER($E135),ISNUMBER($F135),$E135&gt;$F135),"Inicio posterior a fecha límite"&amp;" · ","")&amp;IF(AND($S135="Macro",$G135=""),"Peso vacío"&amp;" · ","")&amp;IF(AND($S135="Macro",$G135&lt;&gt;"",OR(NOT(ISNUMBER($G135)),$G135&lt;=0,$G135&gt;1)),"Peso fuera de rango"&amp;" · ","")&amp;IF(AND($S135="Sub",$G135&lt;&gt;""),"Las subactividades no llevan peso"&amp;" · ","")&amp;IF(AND($S135="Macro",ABS(SUMIFS($G$5:$G$1000,$P$5:$P$1000,$P135,$S$5:$S$1000,"Macro")-1)&gt;0.0001),"Pesos del mes suman "&amp;TEXT(SUMIFS($G$5:$G$1000,$P$5:$P$1000,$P135,$S$5:$S$1000,"Macro"),"0%")&amp;" · ","")&amp;IF(AND(N($T135)&gt;0,COUNT($H135:$K135)&gt;0),"Con subactividades: deje vacías las semanas (se calculan solas)"&amp;" · ","")&amp;IF((COUNTIF($H135:$K135,"&gt;1")+COUNTIF($H135:$K135,"&lt;0")+COUNTA($H135:$K135)-COUNT($H135:$K135))&gt;0,"Avance fuera de rango 0-100%"&amp;" · ","")&amp;IF(OR(AND($I135&lt;&gt;"",$I135&lt;$H135),AND($J135&lt;&gt;"",$J135&lt;MAX($H135:$I135)),AND($K135&lt;&gt;"",$K135&lt;MAX($H135:$J135))),"Avance semanal decreciente"&amp;" · ","")&amp;IF(AND(ISNUMBER($F135),$F135&lt;FechaRef,N($L135)&lt;1),"Vencida"&amp;" · ","")&amp;IF(AND(ObsObligatoria="Sí",ISNUMBER($F135),$F135&lt;FechaRef,N($L135)&lt;1,$N135=""),"Vencida sin observación"&amp;" · ",""),LEN(IF(AND($S135="Macro",$B135=""),"Macroactividad vacía"&amp;" · ","")&amp;IF(AND($B135&lt;&gt;"",$C135&lt;&gt;""),"Escriba la subactividad en otra fila, debajo de su macroactividad"&amp;" · ","")&amp;IF(AND($S135="Sub",N($R135)=0),"Subactividad sin macroactividad arriba"&amp;" · ","")&amp;IF($D135="","Sin responsable"&amp;" · ","")&amp;IF($E135="","Sin fecha de inicio"&amp;" · ","")&amp;IF($F135="","Sin fecha límite"&amp;" · ","")&amp;IF(OR(AND($E135&lt;&gt;"",NOT(ISNUMBER($E135))),AND($F135&lt;&gt;"",NOT(ISNUMBER($F135)))),"Fecha no válida"&amp;" · ","")&amp;IF(AND(ISNUMBER($E135),ISNUMBER($F135),$E135&gt;$F135),"Inicio posterior a fecha límite"&amp;" · ","")&amp;IF(AND($S135="Macro",$G135=""),"Peso vacío"&amp;" · ","")&amp;IF(AND($S135="Macro",$G135&lt;&gt;"",OR(NOT(ISNUMBER($G135)),$G135&lt;=0,$G135&gt;1)),"Peso fuera de rango"&amp;" · ","")&amp;IF(AND($S135="Sub",$G135&lt;&gt;""),"Las subactividades no llevan peso"&amp;" · ","")&amp;IF(AND($S135="Macro",ABS(SUMIFS($G$5:$G$1000,$P$5:$P$1000,$P135,$S$5:$S$1000,"Macro")-1)&gt;0.0001),"Pesos del mes suman "&amp;TEXT(SUMIFS($G$5:$G$1000,$P$5:$P$1000,$P135,$S$5:$S$1000,"Macro"),"0%")&amp;" · ","")&amp;IF(AND(N($T135)&gt;0,COUNT($H135:$K135)&gt;0),"Con subactividades: deje vacías las semanas (se calculan solas)"&amp;" · ","")&amp;IF((COUNTIF($H135:$K135,"&gt;1")+COUNTIF($H135:$K135,"&lt;0")+COUNTA($H135:$K135)-COUNT($H135:$K135))&gt;0,"Avance fuera de rango 0-100%"&amp;" · ","")&amp;IF(OR(AND($I135&lt;&gt;"",$I135&lt;$H135),AND($J135&lt;&gt;"",$J135&lt;MAX($H135:$I135)),AND($K135&lt;&gt;"",$K135&lt;MAX($H135:$J135))),"Avance semanal decreciente"&amp;" · ","")&amp;IF(AND(ISNUMBER($F135),$F135&lt;FechaRef,N($L135)&lt;1),"Vencida"&amp;" · ","")&amp;IF(AND(ObsObligatoria="Sí",ISNUMBER($F135),$F135&lt;FechaRef,N($L135)&lt;1,$N135=""),"Vencida sin observación"&amp;" · ",""))-3)))</f>
        <v/>
      </c>
      <c r="P135" s="69">
        <f>IF(NOT((COUNTA($B135:$K135)+COUNTA($N135))&gt;0),"",IF(AND($S135="Sub",N($R135)&gt;0),IF(ISNUMBER(INDEX($E$5:$E$1000,$R135-4)),DATE(YEAR(INDEX($E$5:$E$1000,$R135-4)),MONTH(INDEX($E$5:$E$1000,$R135-4)),1),IF(ISNUMBER(INDEX($F$5:$F$1000,$R135-4)),DATE(YEAR(INDEX($F$5:$F$1000,$R135-4)),MONTH(INDEX($F$5:$F$1000,$R135-4)),1),MesCiclo)),IF(ISNUMBER($E135),DATE(YEAR($E135),MONTH($E135),1),IF(ISNUMBER($F135),DATE(YEAR($F135),MONTH($F135),1),MesCiclo))))</f>
        <v/>
      </c>
      <c r="Q135" s="70">
        <f>IF(OR($P135="",$P135&lt;&gt;MesCiclo),"",COUNTIF($P$5:$P135,MesCiclo))</f>
        <v/>
      </c>
      <c r="R135" s="70">
        <f>IF($S135="","",IF($S135="Macro",ROW(),IFERROR(LOOKUP(2,1/($S$5:$S135="Macro"),ROW($S$5:$S135)),0)))</f>
        <v/>
      </c>
      <c r="S135" s="70">
        <f>IF(NOT((COUNTA($B135:$K135)+COUNTA($N135))&gt;0),"",IF($B135&lt;&gt;"","Macro",IF($C135&lt;&gt;"","Sub","Macro")))</f>
        <v/>
      </c>
      <c r="T135" s="70">
        <f>IF($S135="Macro",COUNTIFS($R$5:$R$1000,ROW(),$S$5:$S$1000,"Sub"),"")</f>
        <v/>
      </c>
      <c r="U135" s="70">
        <f>IF($S135="","",IF(ISNUMBER($H135),$H135,0))</f>
        <v/>
      </c>
      <c r="V135" s="70">
        <f>IF($S135="","",IF(ISNUMBER($I135),$I135,$U135))</f>
        <v/>
      </c>
      <c r="W135" s="70">
        <f>IF($S135="","",IF(ISNUMBER($J135),$J135,$V135))</f>
        <v/>
      </c>
      <c r="X135" s="70">
        <f>IF($S135="","",IF(ISNUMBER($K135),$K135,$W135))</f>
        <v/>
      </c>
      <c r="Y135" s="70">
        <f>IF($S135="","",IF(N($T135)&gt;0,AVERAGEIFS($U$5:$U$1000,$R$5:$R$1000,ROW(),$S$5:$S$1000,"Sub"),$U135))</f>
        <v/>
      </c>
      <c r="Z135" s="70">
        <f>IF($S135="","",IF(N($T135)&gt;0,AVERAGEIFS($V$5:$V$1000,$R$5:$R$1000,ROW(),$S$5:$S$1000,"Sub"),$V135))</f>
        <v/>
      </c>
      <c r="AA135" s="70">
        <f>IF($S135="","",IF(N($T135)&gt;0,AVERAGEIFS($W$5:$W$1000,$R$5:$R$1000,ROW(),$S$5:$S$1000,"Sub"),$W135))</f>
        <v/>
      </c>
      <c r="AB135" s="70">
        <f>IF($S135="","",IF(N($T135)&gt;0,AVERAGEIFS($X$5:$X$1000,$R$5:$R$1000,ROW(),$S$5:$S$1000,"Sub"),$X135))</f>
        <v/>
      </c>
    </row>
    <row r="136">
      <c r="A136" s="61">
        <f>IF(NOT((COUNTA($B136:$K136)+COUNTA($N136))&gt;0),"",IF($S136="Macro",COUNTIFS($S$5:$S136,"Macro",$P$5:$P136,$P136),IF(N($R136)=0,"?",COUNTIFS(INDEX($S$5:$S$1000,1):INDEX($S$5:$S$1000,$R136-4),"Macro",INDEX($P$5:$P$1000,1):INDEX($P$5:$P$1000,$R136-4),INDEX($P$5:$P$1000,$R136-4))&amp;"."&amp;COUNTIFS($R$5:$R136,$R136,$S$5:$S136,"Sub"))))</f>
        <v/>
      </c>
      <c r="B136" s="62" t="n"/>
      <c r="C136" s="63" t="n"/>
      <c r="D136" s="62" t="n"/>
      <c r="E136" s="64" t="n"/>
      <c r="F136" s="64" t="n"/>
      <c r="G136" s="65" t="n"/>
      <c r="H136" s="66" t="n"/>
      <c r="I136" s="66" t="n"/>
      <c r="J136" s="66" t="n"/>
      <c r="K136" s="66" t="n"/>
      <c r="L136" s="67">
        <f>IF(NOT((COUNTA($B136:$K136)+COUNTA($N136))&gt;0),"",IF(N($T136)&gt;0,$AB136,IFERROR(LOOKUP(2,1/(H136:K136&lt;&gt;""),H136:K136),0)))</f>
        <v/>
      </c>
      <c r="M136" s="61">
        <f>IF(L136="","",IF(L136&gt;=1,"Completado",IF(L136&gt;0,"En curso","Pendiente")))</f>
        <v/>
      </c>
      <c r="N136" s="62" t="n"/>
      <c r="O136" s="68">
        <f>IF(NOT((COUNTA($B136:$K136)+COUNTA($N136))&gt;0),"",IF((IF(AND($S136="Macro",$B136=""),"Macroactividad vacía"&amp;" · ","")&amp;IF(AND($B136&lt;&gt;"",$C136&lt;&gt;""),"Escriba la subactividad en otra fila, debajo de su macroactividad"&amp;" · ","")&amp;IF(AND($S136="Sub",N($R136)=0),"Subactividad sin macroactividad arriba"&amp;" · ","")&amp;IF($D136="","Sin responsable"&amp;" · ","")&amp;IF($E136="","Sin fecha de inicio"&amp;" · ","")&amp;IF($F136="","Sin fecha límite"&amp;" · ","")&amp;IF(OR(AND($E136&lt;&gt;"",NOT(ISNUMBER($E136))),AND($F136&lt;&gt;"",NOT(ISNUMBER($F136)))),"Fecha no válida"&amp;" · ","")&amp;IF(AND(ISNUMBER($E136),ISNUMBER($F136),$E136&gt;$F136),"Inicio posterior a fecha límite"&amp;" · ","")&amp;IF(AND($S136="Macro",$G136=""),"Peso vacío"&amp;" · ","")&amp;IF(AND($S136="Macro",$G136&lt;&gt;"",OR(NOT(ISNUMBER($G136)),$G136&lt;=0,$G136&gt;1)),"Peso fuera de rango"&amp;" · ","")&amp;IF(AND($S136="Sub",$G136&lt;&gt;""),"Las subactividades no llevan peso"&amp;" · ","")&amp;IF(AND($S136="Macro",ABS(SUMIFS($G$5:$G$1000,$P$5:$P$1000,$P136,$S$5:$S$1000,"Macro")-1)&gt;0.0001),"Pesos del mes suman "&amp;TEXT(SUMIFS($G$5:$G$1000,$P$5:$P$1000,$P136,$S$5:$S$1000,"Macro"),"0%")&amp;" · ","")&amp;IF(AND(N($T136)&gt;0,COUNT($H136:$K136)&gt;0),"Con subactividades: deje vacías las semanas (se calculan solas)"&amp;" · ","")&amp;IF((COUNTIF($H136:$K136,"&gt;1")+COUNTIF($H136:$K136,"&lt;0")+COUNTA($H136:$K136)-COUNT($H136:$K136))&gt;0,"Avance fuera de rango 0-100%"&amp;" · ","")&amp;IF(OR(AND($I136&lt;&gt;"",$I136&lt;$H136),AND($J136&lt;&gt;"",$J136&lt;MAX($H136:$I136)),AND($K136&lt;&gt;"",$K136&lt;MAX($H136:$J136))),"Avance semanal decreciente"&amp;" · ","")&amp;IF(AND(ISNUMBER($F136),$F136&lt;FechaRef,N($L136)&lt;1),"Vencida"&amp;" · ","")&amp;IF(AND(ObsObligatoria="Sí",ISNUMBER($F136),$F136&lt;FechaRef,N($L136)&lt;1,$N136=""),"Vencida sin observación"&amp;" · ",""))="","✔ OK","⚠ "&amp;LEFT(IF(AND($S136="Macro",$B136=""),"Macroactividad vacía"&amp;" · ","")&amp;IF(AND($B136&lt;&gt;"",$C136&lt;&gt;""),"Escriba la subactividad en otra fila, debajo de su macroactividad"&amp;" · ","")&amp;IF(AND($S136="Sub",N($R136)=0),"Subactividad sin macroactividad arriba"&amp;" · ","")&amp;IF($D136="","Sin responsable"&amp;" · ","")&amp;IF($E136="","Sin fecha de inicio"&amp;" · ","")&amp;IF($F136="","Sin fecha límite"&amp;" · ","")&amp;IF(OR(AND($E136&lt;&gt;"",NOT(ISNUMBER($E136))),AND($F136&lt;&gt;"",NOT(ISNUMBER($F136)))),"Fecha no válida"&amp;" · ","")&amp;IF(AND(ISNUMBER($E136),ISNUMBER($F136),$E136&gt;$F136),"Inicio posterior a fecha límite"&amp;" · ","")&amp;IF(AND($S136="Macro",$G136=""),"Peso vacío"&amp;" · ","")&amp;IF(AND($S136="Macro",$G136&lt;&gt;"",OR(NOT(ISNUMBER($G136)),$G136&lt;=0,$G136&gt;1)),"Peso fuera de rango"&amp;" · ","")&amp;IF(AND($S136="Sub",$G136&lt;&gt;""),"Las subactividades no llevan peso"&amp;" · ","")&amp;IF(AND($S136="Macro",ABS(SUMIFS($G$5:$G$1000,$P$5:$P$1000,$P136,$S$5:$S$1000,"Macro")-1)&gt;0.0001),"Pesos del mes suman "&amp;TEXT(SUMIFS($G$5:$G$1000,$P$5:$P$1000,$P136,$S$5:$S$1000,"Macro"),"0%")&amp;" · ","")&amp;IF(AND(N($T136)&gt;0,COUNT($H136:$K136)&gt;0),"Con subactividades: deje vacías las semanas (se calculan solas)"&amp;" · ","")&amp;IF((COUNTIF($H136:$K136,"&gt;1")+COUNTIF($H136:$K136,"&lt;0")+COUNTA($H136:$K136)-COUNT($H136:$K136))&gt;0,"Avance fuera de rango 0-100%"&amp;" · ","")&amp;IF(OR(AND($I136&lt;&gt;"",$I136&lt;$H136),AND($J136&lt;&gt;"",$J136&lt;MAX($H136:$I136)),AND($K136&lt;&gt;"",$K136&lt;MAX($H136:$J136))),"Avance semanal decreciente"&amp;" · ","")&amp;IF(AND(ISNUMBER($F136),$F136&lt;FechaRef,N($L136)&lt;1),"Vencida"&amp;" · ","")&amp;IF(AND(ObsObligatoria="Sí",ISNUMBER($F136),$F136&lt;FechaRef,N($L136)&lt;1,$N136=""),"Vencida sin observación"&amp;" · ",""),LEN(IF(AND($S136="Macro",$B136=""),"Macroactividad vacía"&amp;" · ","")&amp;IF(AND($B136&lt;&gt;"",$C136&lt;&gt;""),"Escriba la subactividad en otra fila, debajo de su macroactividad"&amp;" · ","")&amp;IF(AND($S136="Sub",N($R136)=0),"Subactividad sin macroactividad arriba"&amp;" · ","")&amp;IF($D136="","Sin responsable"&amp;" · ","")&amp;IF($E136="","Sin fecha de inicio"&amp;" · ","")&amp;IF($F136="","Sin fecha límite"&amp;" · ","")&amp;IF(OR(AND($E136&lt;&gt;"",NOT(ISNUMBER($E136))),AND($F136&lt;&gt;"",NOT(ISNUMBER($F136)))),"Fecha no válida"&amp;" · ","")&amp;IF(AND(ISNUMBER($E136),ISNUMBER($F136),$E136&gt;$F136),"Inicio posterior a fecha límite"&amp;" · ","")&amp;IF(AND($S136="Macro",$G136=""),"Peso vacío"&amp;" · ","")&amp;IF(AND($S136="Macro",$G136&lt;&gt;"",OR(NOT(ISNUMBER($G136)),$G136&lt;=0,$G136&gt;1)),"Peso fuera de rango"&amp;" · ","")&amp;IF(AND($S136="Sub",$G136&lt;&gt;""),"Las subactividades no llevan peso"&amp;" · ","")&amp;IF(AND($S136="Macro",ABS(SUMIFS($G$5:$G$1000,$P$5:$P$1000,$P136,$S$5:$S$1000,"Macro")-1)&gt;0.0001),"Pesos del mes suman "&amp;TEXT(SUMIFS($G$5:$G$1000,$P$5:$P$1000,$P136,$S$5:$S$1000,"Macro"),"0%")&amp;" · ","")&amp;IF(AND(N($T136)&gt;0,COUNT($H136:$K136)&gt;0),"Con subactividades: deje vacías las semanas (se calculan solas)"&amp;" · ","")&amp;IF((COUNTIF($H136:$K136,"&gt;1")+COUNTIF($H136:$K136,"&lt;0")+COUNTA($H136:$K136)-COUNT($H136:$K136))&gt;0,"Avance fuera de rango 0-100%"&amp;" · ","")&amp;IF(OR(AND($I136&lt;&gt;"",$I136&lt;$H136),AND($J136&lt;&gt;"",$J136&lt;MAX($H136:$I136)),AND($K136&lt;&gt;"",$K136&lt;MAX($H136:$J136))),"Avance semanal decreciente"&amp;" · ","")&amp;IF(AND(ISNUMBER($F136),$F136&lt;FechaRef,N($L136)&lt;1),"Vencida"&amp;" · ","")&amp;IF(AND(ObsObligatoria="Sí",ISNUMBER($F136),$F136&lt;FechaRef,N($L136)&lt;1,$N136=""),"Vencida sin observación"&amp;" · ",""))-3)))</f>
        <v/>
      </c>
      <c r="P136" s="69">
        <f>IF(NOT((COUNTA($B136:$K136)+COUNTA($N136))&gt;0),"",IF(AND($S136="Sub",N($R136)&gt;0),IF(ISNUMBER(INDEX($E$5:$E$1000,$R136-4)),DATE(YEAR(INDEX($E$5:$E$1000,$R136-4)),MONTH(INDEX($E$5:$E$1000,$R136-4)),1),IF(ISNUMBER(INDEX($F$5:$F$1000,$R136-4)),DATE(YEAR(INDEX($F$5:$F$1000,$R136-4)),MONTH(INDEX($F$5:$F$1000,$R136-4)),1),MesCiclo)),IF(ISNUMBER($E136),DATE(YEAR($E136),MONTH($E136),1),IF(ISNUMBER($F136),DATE(YEAR($F136),MONTH($F136),1),MesCiclo))))</f>
        <v/>
      </c>
      <c r="Q136" s="70">
        <f>IF(OR($P136="",$P136&lt;&gt;MesCiclo),"",COUNTIF($P$5:$P136,MesCiclo))</f>
        <v/>
      </c>
      <c r="R136" s="70">
        <f>IF($S136="","",IF($S136="Macro",ROW(),IFERROR(LOOKUP(2,1/($S$5:$S136="Macro"),ROW($S$5:$S136)),0)))</f>
        <v/>
      </c>
      <c r="S136" s="70">
        <f>IF(NOT((COUNTA($B136:$K136)+COUNTA($N136))&gt;0),"",IF($B136&lt;&gt;"","Macro",IF($C136&lt;&gt;"","Sub","Macro")))</f>
        <v/>
      </c>
      <c r="T136" s="70">
        <f>IF($S136="Macro",COUNTIFS($R$5:$R$1000,ROW(),$S$5:$S$1000,"Sub"),"")</f>
        <v/>
      </c>
      <c r="U136" s="70">
        <f>IF($S136="","",IF(ISNUMBER($H136),$H136,0))</f>
        <v/>
      </c>
      <c r="V136" s="70">
        <f>IF($S136="","",IF(ISNUMBER($I136),$I136,$U136))</f>
        <v/>
      </c>
      <c r="W136" s="70">
        <f>IF($S136="","",IF(ISNUMBER($J136),$J136,$V136))</f>
        <v/>
      </c>
      <c r="X136" s="70">
        <f>IF($S136="","",IF(ISNUMBER($K136),$K136,$W136))</f>
        <v/>
      </c>
      <c r="Y136" s="70">
        <f>IF($S136="","",IF(N($T136)&gt;0,AVERAGEIFS($U$5:$U$1000,$R$5:$R$1000,ROW(),$S$5:$S$1000,"Sub"),$U136))</f>
        <v/>
      </c>
      <c r="Z136" s="70">
        <f>IF($S136="","",IF(N($T136)&gt;0,AVERAGEIFS($V$5:$V$1000,$R$5:$R$1000,ROW(),$S$5:$S$1000,"Sub"),$V136))</f>
        <v/>
      </c>
      <c r="AA136" s="70">
        <f>IF($S136="","",IF(N($T136)&gt;0,AVERAGEIFS($W$5:$W$1000,$R$5:$R$1000,ROW(),$S$5:$S$1000,"Sub"),$W136))</f>
        <v/>
      </c>
      <c r="AB136" s="70">
        <f>IF($S136="","",IF(N($T136)&gt;0,AVERAGEIFS($X$5:$X$1000,$R$5:$R$1000,ROW(),$S$5:$S$1000,"Sub"),$X136))</f>
        <v/>
      </c>
    </row>
    <row r="137">
      <c r="A137" s="61">
        <f>IF(NOT((COUNTA($B137:$K137)+COUNTA($N137))&gt;0),"",IF($S137="Macro",COUNTIFS($S$5:$S137,"Macro",$P$5:$P137,$P137),IF(N($R137)=0,"?",COUNTIFS(INDEX($S$5:$S$1000,1):INDEX($S$5:$S$1000,$R137-4),"Macro",INDEX($P$5:$P$1000,1):INDEX($P$5:$P$1000,$R137-4),INDEX($P$5:$P$1000,$R137-4))&amp;"."&amp;COUNTIFS($R$5:$R137,$R137,$S$5:$S137,"Sub"))))</f>
        <v/>
      </c>
      <c r="B137" s="62" t="n"/>
      <c r="C137" s="63" t="n"/>
      <c r="D137" s="62" t="n"/>
      <c r="E137" s="64" t="n"/>
      <c r="F137" s="64" t="n"/>
      <c r="G137" s="65" t="n"/>
      <c r="H137" s="66" t="n"/>
      <c r="I137" s="66" t="n"/>
      <c r="J137" s="66" t="n"/>
      <c r="K137" s="66" t="n"/>
      <c r="L137" s="67">
        <f>IF(NOT((COUNTA($B137:$K137)+COUNTA($N137))&gt;0),"",IF(N($T137)&gt;0,$AB137,IFERROR(LOOKUP(2,1/(H137:K137&lt;&gt;""),H137:K137),0)))</f>
        <v/>
      </c>
      <c r="M137" s="61">
        <f>IF(L137="","",IF(L137&gt;=1,"Completado",IF(L137&gt;0,"En curso","Pendiente")))</f>
        <v/>
      </c>
      <c r="N137" s="62" t="n"/>
      <c r="O137" s="68">
        <f>IF(NOT((COUNTA($B137:$K137)+COUNTA($N137))&gt;0),"",IF((IF(AND($S137="Macro",$B137=""),"Macroactividad vacía"&amp;" · ","")&amp;IF(AND($B137&lt;&gt;"",$C137&lt;&gt;""),"Escriba la subactividad en otra fila, debajo de su macroactividad"&amp;" · ","")&amp;IF(AND($S137="Sub",N($R137)=0),"Subactividad sin macroactividad arriba"&amp;" · ","")&amp;IF($D137="","Sin responsable"&amp;" · ","")&amp;IF($E137="","Sin fecha de inicio"&amp;" · ","")&amp;IF($F137="","Sin fecha límite"&amp;" · ","")&amp;IF(OR(AND($E137&lt;&gt;"",NOT(ISNUMBER($E137))),AND($F137&lt;&gt;"",NOT(ISNUMBER($F137)))),"Fecha no válida"&amp;" · ","")&amp;IF(AND(ISNUMBER($E137),ISNUMBER($F137),$E137&gt;$F137),"Inicio posterior a fecha límite"&amp;" · ","")&amp;IF(AND($S137="Macro",$G137=""),"Peso vacío"&amp;" · ","")&amp;IF(AND($S137="Macro",$G137&lt;&gt;"",OR(NOT(ISNUMBER($G137)),$G137&lt;=0,$G137&gt;1)),"Peso fuera de rango"&amp;" · ","")&amp;IF(AND($S137="Sub",$G137&lt;&gt;""),"Las subactividades no llevan peso"&amp;" · ","")&amp;IF(AND($S137="Macro",ABS(SUMIFS($G$5:$G$1000,$P$5:$P$1000,$P137,$S$5:$S$1000,"Macro")-1)&gt;0.0001),"Pesos del mes suman "&amp;TEXT(SUMIFS($G$5:$G$1000,$P$5:$P$1000,$P137,$S$5:$S$1000,"Macro"),"0%")&amp;" · ","")&amp;IF(AND(N($T137)&gt;0,COUNT($H137:$K137)&gt;0),"Con subactividades: deje vacías las semanas (se calculan solas)"&amp;" · ","")&amp;IF((COUNTIF($H137:$K137,"&gt;1")+COUNTIF($H137:$K137,"&lt;0")+COUNTA($H137:$K137)-COUNT($H137:$K137))&gt;0,"Avance fuera de rango 0-100%"&amp;" · ","")&amp;IF(OR(AND($I137&lt;&gt;"",$I137&lt;$H137),AND($J137&lt;&gt;"",$J137&lt;MAX($H137:$I137)),AND($K137&lt;&gt;"",$K137&lt;MAX($H137:$J137))),"Avance semanal decreciente"&amp;" · ","")&amp;IF(AND(ISNUMBER($F137),$F137&lt;FechaRef,N($L137)&lt;1),"Vencida"&amp;" · ","")&amp;IF(AND(ObsObligatoria="Sí",ISNUMBER($F137),$F137&lt;FechaRef,N($L137)&lt;1,$N137=""),"Vencida sin observación"&amp;" · ",""))="","✔ OK","⚠ "&amp;LEFT(IF(AND($S137="Macro",$B137=""),"Macroactividad vacía"&amp;" · ","")&amp;IF(AND($B137&lt;&gt;"",$C137&lt;&gt;""),"Escriba la subactividad en otra fila, debajo de su macroactividad"&amp;" · ","")&amp;IF(AND($S137="Sub",N($R137)=0),"Subactividad sin macroactividad arriba"&amp;" · ","")&amp;IF($D137="","Sin responsable"&amp;" · ","")&amp;IF($E137="","Sin fecha de inicio"&amp;" · ","")&amp;IF($F137="","Sin fecha límite"&amp;" · ","")&amp;IF(OR(AND($E137&lt;&gt;"",NOT(ISNUMBER($E137))),AND($F137&lt;&gt;"",NOT(ISNUMBER($F137)))),"Fecha no válida"&amp;" · ","")&amp;IF(AND(ISNUMBER($E137),ISNUMBER($F137),$E137&gt;$F137),"Inicio posterior a fecha límite"&amp;" · ","")&amp;IF(AND($S137="Macro",$G137=""),"Peso vacío"&amp;" · ","")&amp;IF(AND($S137="Macro",$G137&lt;&gt;"",OR(NOT(ISNUMBER($G137)),$G137&lt;=0,$G137&gt;1)),"Peso fuera de rango"&amp;" · ","")&amp;IF(AND($S137="Sub",$G137&lt;&gt;""),"Las subactividades no llevan peso"&amp;" · ","")&amp;IF(AND($S137="Macro",ABS(SUMIFS($G$5:$G$1000,$P$5:$P$1000,$P137,$S$5:$S$1000,"Macro")-1)&gt;0.0001),"Pesos del mes suman "&amp;TEXT(SUMIFS($G$5:$G$1000,$P$5:$P$1000,$P137,$S$5:$S$1000,"Macro"),"0%")&amp;" · ","")&amp;IF(AND(N($T137)&gt;0,COUNT($H137:$K137)&gt;0),"Con subactividades: deje vacías las semanas (se calculan solas)"&amp;" · ","")&amp;IF((COUNTIF($H137:$K137,"&gt;1")+COUNTIF($H137:$K137,"&lt;0")+COUNTA($H137:$K137)-COUNT($H137:$K137))&gt;0,"Avance fuera de rango 0-100%"&amp;" · ","")&amp;IF(OR(AND($I137&lt;&gt;"",$I137&lt;$H137),AND($J137&lt;&gt;"",$J137&lt;MAX($H137:$I137)),AND($K137&lt;&gt;"",$K137&lt;MAX($H137:$J137))),"Avance semanal decreciente"&amp;" · ","")&amp;IF(AND(ISNUMBER($F137),$F137&lt;FechaRef,N($L137)&lt;1),"Vencida"&amp;" · ","")&amp;IF(AND(ObsObligatoria="Sí",ISNUMBER($F137),$F137&lt;FechaRef,N($L137)&lt;1,$N137=""),"Vencida sin observación"&amp;" · ",""),LEN(IF(AND($S137="Macro",$B137=""),"Macroactividad vacía"&amp;" · ","")&amp;IF(AND($B137&lt;&gt;"",$C137&lt;&gt;""),"Escriba la subactividad en otra fila, debajo de su macroactividad"&amp;" · ","")&amp;IF(AND($S137="Sub",N($R137)=0),"Subactividad sin macroactividad arriba"&amp;" · ","")&amp;IF($D137="","Sin responsable"&amp;" · ","")&amp;IF($E137="","Sin fecha de inicio"&amp;" · ","")&amp;IF($F137="","Sin fecha límite"&amp;" · ","")&amp;IF(OR(AND($E137&lt;&gt;"",NOT(ISNUMBER($E137))),AND($F137&lt;&gt;"",NOT(ISNUMBER($F137)))),"Fecha no válida"&amp;" · ","")&amp;IF(AND(ISNUMBER($E137),ISNUMBER($F137),$E137&gt;$F137),"Inicio posterior a fecha límite"&amp;" · ","")&amp;IF(AND($S137="Macro",$G137=""),"Peso vacío"&amp;" · ","")&amp;IF(AND($S137="Macro",$G137&lt;&gt;"",OR(NOT(ISNUMBER($G137)),$G137&lt;=0,$G137&gt;1)),"Peso fuera de rango"&amp;" · ","")&amp;IF(AND($S137="Sub",$G137&lt;&gt;""),"Las subactividades no llevan peso"&amp;" · ","")&amp;IF(AND($S137="Macro",ABS(SUMIFS($G$5:$G$1000,$P$5:$P$1000,$P137,$S$5:$S$1000,"Macro")-1)&gt;0.0001),"Pesos del mes suman "&amp;TEXT(SUMIFS($G$5:$G$1000,$P$5:$P$1000,$P137,$S$5:$S$1000,"Macro"),"0%")&amp;" · ","")&amp;IF(AND(N($T137)&gt;0,COUNT($H137:$K137)&gt;0),"Con subactividades: deje vacías las semanas (se calculan solas)"&amp;" · ","")&amp;IF((COUNTIF($H137:$K137,"&gt;1")+COUNTIF($H137:$K137,"&lt;0")+COUNTA($H137:$K137)-COUNT($H137:$K137))&gt;0,"Avance fuera de rango 0-100%"&amp;" · ","")&amp;IF(OR(AND($I137&lt;&gt;"",$I137&lt;$H137),AND($J137&lt;&gt;"",$J137&lt;MAX($H137:$I137)),AND($K137&lt;&gt;"",$K137&lt;MAX($H137:$J137))),"Avance semanal decreciente"&amp;" · ","")&amp;IF(AND(ISNUMBER($F137),$F137&lt;FechaRef,N($L137)&lt;1),"Vencida"&amp;" · ","")&amp;IF(AND(ObsObligatoria="Sí",ISNUMBER($F137),$F137&lt;FechaRef,N($L137)&lt;1,$N137=""),"Vencida sin observación"&amp;" · ",""))-3)))</f>
        <v/>
      </c>
      <c r="P137" s="69">
        <f>IF(NOT((COUNTA($B137:$K137)+COUNTA($N137))&gt;0),"",IF(AND($S137="Sub",N($R137)&gt;0),IF(ISNUMBER(INDEX($E$5:$E$1000,$R137-4)),DATE(YEAR(INDEX($E$5:$E$1000,$R137-4)),MONTH(INDEX($E$5:$E$1000,$R137-4)),1),IF(ISNUMBER(INDEX($F$5:$F$1000,$R137-4)),DATE(YEAR(INDEX($F$5:$F$1000,$R137-4)),MONTH(INDEX($F$5:$F$1000,$R137-4)),1),MesCiclo)),IF(ISNUMBER($E137),DATE(YEAR($E137),MONTH($E137),1),IF(ISNUMBER($F137),DATE(YEAR($F137),MONTH($F137),1),MesCiclo))))</f>
        <v/>
      </c>
      <c r="Q137" s="70">
        <f>IF(OR($P137="",$P137&lt;&gt;MesCiclo),"",COUNTIF($P$5:$P137,MesCiclo))</f>
        <v/>
      </c>
      <c r="R137" s="70">
        <f>IF($S137="","",IF($S137="Macro",ROW(),IFERROR(LOOKUP(2,1/($S$5:$S137="Macro"),ROW($S$5:$S137)),0)))</f>
        <v/>
      </c>
      <c r="S137" s="70">
        <f>IF(NOT((COUNTA($B137:$K137)+COUNTA($N137))&gt;0),"",IF($B137&lt;&gt;"","Macro",IF($C137&lt;&gt;"","Sub","Macro")))</f>
        <v/>
      </c>
      <c r="T137" s="70">
        <f>IF($S137="Macro",COUNTIFS($R$5:$R$1000,ROW(),$S$5:$S$1000,"Sub"),"")</f>
        <v/>
      </c>
      <c r="U137" s="70">
        <f>IF($S137="","",IF(ISNUMBER($H137),$H137,0))</f>
        <v/>
      </c>
      <c r="V137" s="70">
        <f>IF($S137="","",IF(ISNUMBER($I137),$I137,$U137))</f>
        <v/>
      </c>
      <c r="W137" s="70">
        <f>IF($S137="","",IF(ISNUMBER($J137),$J137,$V137))</f>
        <v/>
      </c>
      <c r="X137" s="70">
        <f>IF($S137="","",IF(ISNUMBER($K137),$K137,$W137))</f>
        <v/>
      </c>
      <c r="Y137" s="70">
        <f>IF($S137="","",IF(N($T137)&gt;0,AVERAGEIFS($U$5:$U$1000,$R$5:$R$1000,ROW(),$S$5:$S$1000,"Sub"),$U137))</f>
        <v/>
      </c>
      <c r="Z137" s="70">
        <f>IF($S137="","",IF(N($T137)&gt;0,AVERAGEIFS($V$5:$V$1000,$R$5:$R$1000,ROW(),$S$5:$S$1000,"Sub"),$V137))</f>
        <v/>
      </c>
      <c r="AA137" s="70">
        <f>IF($S137="","",IF(N($T137)&gt;0,AVERAGEIFS($W$5:$W$1000,$R$5:$R$1000,ROW(),$S$5:$S$1000,"Sub"),$W137))</f>
        <v/>
      </c>
      <c r="AB137" s="70">
        <f>IF($S137="","",IF(N($T137)&gt;0,AVERAGEIFS($X$5:$X$1000,$R$5:$R$1000,ROW(),$S$5:$S$1000,"Sub"),$X137))</f>
        <v/>
      </c>
    </row>
    <row r="138">
      <c r="A138" s="61">
        <f>IF(NOT((COUNTA($B138:$K138)+COUNTA($N138))&gt;0),"",IF($S138="Macro",COUNTIFS($S$5:$S138,"Macro",$P$5:$P138,$P138),IF(N($R138)=0,"?",COUNTIFS(INDEX($S$5:$S$1000,1):INDEX($S$5:$S$1000,$R138-4),"Macro",INDEX($P$5:$P$1000,1):INDEX($P$5:$P$1000,$R138-4),INDEX($P$5:$P$1000,$R138-4))&amp;"."&amp;COUNTIFS($R$5:$R138,$R138,$S$5:$S138,"Sub"))))</f>
        <v/>
      </c>
      <c r="B138" s="62" t="n"/>
      <c r="C138" s="63" t="n"/>
      <c r="D138" s="62" t="n"/>
      <c r="E138" s="64" t="n"/>
      <c r="F138" s="64" t="n"/>
      <c r="G138" s="65" t="n"/>
      <c r="H138" s="66" t="n"/>
      <c r="I138" s="66" t="n"/>
      <c r="J138" s="66" t="n"/>
      <c r="K138" s="66" t="n"/>
      <c r="L138" s="67">
        <f>IF(NOT((COUNTA($B138:$K138)+COUNTA($N138))&gt;0),"",IF(N($T138)&gt;0,$AB138,IFERROR(LOOKUP(2,1/(H138:K138&lt;&gt;""),H138:K138),0)))</f>
        <v/>
      </c>
      <c r="M138" s="61">
        <f>IF(L138="","",IF(L138&gt;=1,"Completado",IF(L138&gt;0,"En curso","Pendiente")))</f>
        <v/>
      </c>
      <c r="N138" s="62" t="n"/>
      <c r="O138" s="68">
        <f>IF(NOT((COUNTA($B138:$K138)+COUNTA($N138))&gt;0),"",IF((IF(AND($S138="Macro",$B138=""),"Macroactividad vacía"&amp;" · ","")&amp;IF(AND($B138&lt;&gt;"",$C138&lt;&gt;""),"Escriba la subactividad en otra fila, debajo de su macroactividad"&amp;" · ","")&amp;IF(AND($S138="Sub",N($R138)=0),"Subactividad sin macroactividad arriba"&amp;" · ","")&amp;IF($D138="","Sin responsable"&amp;" · ","")&amp;IF($E138="","Sin fecha de inicio"&amp;" · ","")&amp;IF($F138="","Sin fecha límite"&amp;" · ","")&amp;IF(OR(AND($E138&lt;&gt;"",NOT(ISNUMBER($E138))),AND($F138&lt;&gt;"",NOT(ISNUMBER($F138)))),"Fecha no válida"&amp;" · ","")&amp;IF(AND(ISNUMBER($E138),ISNUMBER($F138),$E138&gt;$F138),"Inicio posterior a fecha límite"&amp;" · ","")&amp;IF(AND($S138="Macro",$G138=""),"Peso vacío"&amp;" · ","")&amp;IF(AND($S138="Macro",$G138&lt;&gt;"",OR(NOT(ISNUMBER($G138)),$G138&lt;=0,$G138&gt;1)),"Peso fuera de rango"&amp;" · ","")&amp;IF(AND($S138="Sub",$G138&lt;&gt;""),"Las subactividades no llevan peso"&amp;" · ","")&amp;IF(AND($S138="Macro",ABS(SUMIFS($G$5:$G$1000,$P$5:$P$1000,$P138,$S$5:$S$1000,"Macro")-1)&gt;0.0001),"Pesos del mes suman "&amp;TEXT(SUMIFS($G$5:$G$1000,$P$5:$P$1000,$P138,$S$5:$S$1000,"Macro"),"0%")&amp;" · ","")&amp;IF(AND(N($T138)&gt;0,COUNT($H138:$K138)&gt;0),"Con subactividades: deje vacías las semanas (se calculan solas)"&amp;" · ","")&amp;IF((COUNTIF($H138:$K138,"&gt;1")+COUNTIF($H138:$K138,"&lt;0")+COUNTA($H138:$K138)-COUNT($H138:$K138))&gt;0,"Avance fuera de rango 0-100%"&amp;" · ","")&amp;IF(OR(AND($I138&lt;&gt;"",$I138&lt;$H138),AND($J138&lt;&gt;"",$J138&lt;MAX($H138:$I138)),AND($K138&lt;&gt;"",$K138&lt;MAX($H138:$J138))),"Avance semanal decreciente"&amp;" · ","")&amp;IF(AND(ISNUMBER($F138),$F138&lt;FechaRef,N($L138)&lt;1),"Vencida"&amp;" · ","")&amp;IF(AND(ObsObligatoria="Sí",ISNUMBER($F138),$F138&lt;FechaRef,N($L138)&lt;1,$N138=""),"Vencida sin observación"&amp;" · ",""))="","✔ OK","⚠ "&amp;LEFT(IF(AND($S138="Macro",$B138=""),"Macroactividad vacía"&amp;" · ","")&amp;IF(AND($B138&lt;&gt;"",$C138&lt;&gt;""),"Escriba la subactividad en otra fila, debajo de su macroactividad"&amp;" · ","")&amp;IF(AND($S138="Sub",N($R138)=0),"Subactividad sin macroactividad arriba"&amp;" · ","")&amp;IF($D138="","Sin responsable"&amp;" · ","")&amp;IF($E138="","Sin fecha de inicio"&amp;" · ","")&amp;IF($F138="","Sin fecha límite"&amp;" · ","")&amp;IF(OR(AND($E138&lt;&gt;"",NOT(ISNUMBER($E138))),AND($F138&lt;&gt;"",NOT(ISNUMBER($F138)))),"Fecha no válida"&amp;" · ","")&amp;IF(AND(ISNUMBER($E138),ISNUMBER($F138),$E138&gt;$F138),"Inicio posterior a fecha límite"&amp;" · ","")&amp;IF(AND($S138="Macro",$G138=""),"Peso vacío"&amp;" · ","")&amp;IF(AND($S138="Macro",$G138&lt;&gt;"",OR(NOT(ISNUMBER($G138)),$G138&lt;=0,$G138&gt;1)),"Peso fuera de rango"&amp;" · ","")&amp;IF(AND($S138="Sub",$G138&lt;&gt;""),"Las subactividades no llevan peso"&amp;" · ","")&amp;IF(AND($S138="Macro",ABS(SUMIFS($G$5:$G$1000,$P$5:$P$1000,$P138,$S$5:$S$1000,"Macro")-1)&gt;0.0001),"Pesos del mes suman "&amp;TEXT(SUMIFS($G$5:$G$1000,$P$5:$P$1000,$P138,$S$5:$S$1000,"Macro"),"0%")&amp;" · ","")&amp;IF(AND(N($T138)&gt;0,COUNT($H138:$K138)&gt;0),"Con subactividades: deje vacías las semanas (se calculan solas)"&amp;" · ","")&amp;IF((COUNTIF($H138:$K138,"&gt;1")+COUNTIF($H138:$K138,"&lt;0")+COUNTA($H138:$K138)-COUNT($H138:$K138))&gt;0,"Avance fuera de rango 0-100%"&amp;" · ","")&amp;IF(OR(AND($I138&lt;&gt;"",$I138&lt;$H138),AND($J138&lt;&gt;"",$J138&lt;MAX($H138:$I138)),AND($K138&lt;&gt;"",$K138&lt;MAX($H138:$J138))),"Avance semanal decreciente"&amp;" · ","")&amp;IF(AND(ISNUMBER($F138),$F138&lt;FechaRef,N($L138)&lt;1),"Vencida"&amp;" · ","")&amp;IF(AND(ObsObligatoria="Sí",ISNUMBER($F138),$F138&lt;FechaRef,N($L138)&lt;1,$N138=""),"Vencida sin observación"&amp;" · ",""),LEN(IF(AND($S138="Macro",$B138=""),"Macroactividad vacía"&amp;" · ","")&amp;IF(AND($B138&lt;&gt;"",$C138&lt;&gt;""),"Escriba la subactividad en otra fila, debajo de su macroactividad"&amp;" · ","")&amp;IF(AND($S138="Sub",N($R138)=0),"Subactividad sin macroactividad arriba"&amp;" · ","")&amp;IF($D138="","Sin responsable"&amp;" · ","")&amp;IF($E138="","Sin fecha de inicio"&amp;" · ","")&amp;IF($F138="","Sin fecha límite"&amp;" · ","")&amp;IF(OR(AND($E138&lt;&gt;"",NOT(ISNUMBER($E138))),AND($F138&lt;&gt;"",NOT(ISNUMBER($F138)))),"Fecha no válida"&amp;" · ","")&amp;IF(AND(ISNUMBER($E138),ISNUMBER($F138),$E138&gt;$F138),"Inicio posterior a fecha límite"&amp;" · ","")&amp;IF(AND($S138="Macro",$G138=""),"Peso vacío"&amp;" · ","")&amp;IF(AND($S138="Macro",$G138&lt;&gt;"",OR(NOT(ISNUMBER($G138)),$G138&lt;=0,$G138&gt;1)),"Peso fuera de rango"&amp;" · ","")&amp;IF(AND($S138="Sub",$G138&lt;&gt;""),"Las subactividades no llevan peso"&amp;" · ","")&amp;IF(AND($S138="Macro",ABS(SUMIFS($G$5:$G$1000,$P$5:$P$1000,$P138,$S$5:$S$1000,"Macro")-1)&gt;0.0001),"Pesos del mes suman "&amp;TEXT(SUMIFS($G$5:$G$1000,$P$5:$P$1000,$P138,$S$5:$S$1000,"Macro"),"0%")&amp;" · ","")&amp;IF(AND(N($T138)&gt;0,COUNT($H138:$K138)&gt;0),"Con subactividades: deje vacías las semanas (se calculan solas)"&amp;" · ","")&amp;IF((COUNTIF($H138:$K138,"&gt;1")+COUNTIF($H138:$K138,"&lt;0")+COUNTA($H138:$K138)-COUNT($H138:$K138))&gt;0,"Avance fuera de rango 0-100%"&amp;" · ","")&amp;IF(OR(AND($I138&lt;&gt;"",$I138&lt;$H138),AND($J138&lt;&gt;"",$J138&lt;MAX($H138:$I138)),AND($K138&lt;&gt;"",$K138&lt;MAX($H138:$J138))),"Avance semanal decreciente"&amp;" · ","")&amp;IF(AND(ISNUMBER($F138),$F138&lt;FechaRef,N($L138)&lt;1),"Vencida"&amp;" · ","")&amp;IF(AND(ObsObligatoria="Sí",ISNUMBER($F138),$F138&lt;FechaRef,N($L138)&lt;1,$N138=""),"Vencida sin observación"&amp;" · ",""))-3)))</f>
        <v/>
      </c>
      <c r="P138" s="69">
        <f>IF(NOT((COUNTA($B138:$K138)+COUNTA($N138))&gt;0),"",IF(AND($S138="Sub",N($R138)&gt;0),IF(ISNUMBER(INDEX($E$5:$E$1000,$R138-4)),DATE(YEAR(INDEX($E$5:$E$1000,$R138-4)),MONTH(INDEX($E$5:$E$1000,$R138-4)),1),IF(ISNUMBER(INDEX($F$5:$F$1000,$R138-4)),DATE(YEAR(INDEX($F$5:$F$1000,$R138-4)),MONTH(INDEX($F$5:$F$1000,$R138-4)),1),MesCiclo)),IF(ISNUMBER($E138),DATE(YEAR($E138),MONTH($E138),1),IF(ISNUMBER($F138),DATE(YEAR($F138),MONTH($F138),1),MesCiclo))))</f>
        <v/>
      </c>
      <c r="Q138" s="70">
        <f>IF(OR($P138="",$P138&lt;&gt;MesCiclo),"",COUNTIF($P$5:$P138,MesCiclo))</f>
        <v/>
      </c>
      <c r="R138" s="70">
        <f>IF($S138="","",IF($S138="Macro",ROW(),IFERROR(LOOKUP(2,1/($S$5:$S138="Macro"),ROW($S$5:$S138)),0)))</f>
        <v/>
      </c>
      <c r="S138" s="70">
        <f>IF(NOT((COUNTA($B138:$K138)+COUNTA($N138))&gt;0),"",IF($B138&lt;&gt;"","Macro",IF($C138&lt;&gt;"","Sub","Macro")))</f>
        <v/>
      </c>
      <c r="T138" s="70">
        <f>IF($S138="Macro",COUNTIFS($R$5:$R$1000,ROW(),$S$5:$S$1000,"Sub"),"")</f>
        <v/>
      </c>
      <c r="U138" s="70">
        <f>IF($S138="","",IF(ISNUMBER($H138),$H138,0))</f>
        <v/>
      </c>
      <c r="V138" s="70">
        <f>IF($S138="","",IF(ISNUMBER($I138),$I138,$U138))</f>
        <v/>
      </c>
      <c r="W138" s="70">
        <f>IF($S138="","",IF(ISNUMBER($J138),$J138,$V138))</f>
        <v/>
      </c>
      <c r="X138" s="70">
        <f>IF($S138="","",IF(ISNUMBER($K138),$K138,$W138))</f>
        <v/>
      </c>
      <c r="Y138" s="70">
        <f>IF($S138="","",IF(N($T138)&gt;0,AVERAGEIFS($U$5:$U$1000,$R$5:$R$1000,ROW(),$S$5:$S$1000,"Sub"),$U138))</f>
        <v/>
      </c>
      <c r="Z138" s="70">
        <f>IF($S138="","",IF(N($T138)&gt;0,AVERAGEIFS($V$5:$V$1000,$R$5:$R$1000,ROW(),$S$5:$S$1000,"Sub"),$V138))</f>
        <v/>
      </c>
      <c r="AA138" s="70">
        <f>IF($S138="","",IF(N($T138)&gt;0,AVERAGEIFS($W$5:$W$1000,$R$5:$R$1000,ROW(),$S$5:$S$1000,"Sub"),$W138))</f>
        <v/>
      </c>
      <c r="AB138" s="70">
        <f>IF($S138="","",IF(N($T138)&gt;0,AVERAGEIFS($X$5:$X$1000,$R$5:$R$1000,ROW(),$S$5:$S$1000,"Sub"),$X138))</f>
        <v/>
      </c>
    </row>
    <row r="139">
      <c r="A139" s="61">
        <f>IF(NOT((COUNTA($B139:$K139)+COUNTA($N139))&gt;0),"",IF($S139="Macro",COUNTIFS($S$5:$S139,"Macro",$P$5:$P139,$P139),IF(N($R139)=0,"?",COUNTIFS(INDEX($S$5:$S$1000,1):INDEX($S$5:$S$1000,$R139-4),"Macro",INDEX($P$5:$P$1000,1):INDEX($P$5:$P$1000,$R139-4),INDEX($P$5:$P$1000,$R139-4))&amp;"."&amp;COUNTIFS($R$5:$R139,$R139,$S$5:$S139,"Sub"))))</f>
        <v/>
      </c>
      <c r="B139" s="62" t="n"/>
      <c r="C139" s="63" t="n"/>
      <c r="D139" s="62" t="n"/>
      <c r="E139" s="64" t="n"/>
      <c r="F139" s="64" t="n"/>
      <c r="G139" s="65" t="n"/>
      <c r="H139" s="66" t="n"/>
      <c r="I139" s="66" t="n"/>
      <c r="J139" s="66" t="n"/>
      <c r="K139" s="66" t="n"/>
      <c r="L139" s="67">
        <f>IF(NOT((COUNTA($B139:$K139)+COUNTA($N139))&gt;0),"",IF(N($T139)&gt;0,$AB139,IFERROR(LOOKUP(2,1/(H139:K139&lt;&gt;""),H139:K139),0)))</f>
        <v/>
      </c>
      <c r="M139" s="61">
        <f>IF(L139="","",IF(L139&gt;=1,"Completado",IF(L139&gt;0,"En curso","Pendiente")))</f>
        <v/>
      </c>
      <c r="N139" s="62" t="n"/>
      <c r="O139" s="68">
        <f>IF(NOT((COUNTA($B139:$K139)+COUNTA($N139))&gt;0),"",IF((IF(AND($S139="Macro",$B139=""),"Macroactividad vacía"&amp;" · ","")&amp;IF(AND($B139&lt;&gt;"",$C139&lt;&gt;""),"Escriba la subactividad en otra fila, debajo de su macroactividad"&amp;" · ","")&amp;IF(AND($S139="Sub",N($R139)=0),"Subactividad sin macroactividad arriba"&amp;" · ","")&amp;IF($D139="","Sin responsable"&amp;" · ","")&amp;IF($E139="","Sin fecha de inicio"&amp;" · ","")&amp;IF($F139="","Sin fecha límite"&amp;" · ","")&amp;IF(OR(AND($E139&lt;&gt;"",NOT(ISNUMBER($E139))),AND($F139&lt;&gt;"",NOT(ISNUMBER($F139)))),"Fecha no válida"&amp;" · ","")&amp;IF(AND(ISNUMBER($E139),ISNUMBER($F139),$E139&gt;$F139),"Inicio posterior a fecha límite"&amp;" · ","")&amp;IF(AND($S139="Macro",$G139=""),"Peso vacío"&amp;" · ","")&amp;IF(AND($S139="Macro",$G139&lt;&gt;"",OR(NOT(ISNUMBER($G139)),$G139&lt;=0,$G139&gt;1)),"Peso fuera de rango"&amp;" · ","")&amp;IF(AND($S139="Sub",$G139&lt;&gt;""),"Las subactividades no llevan peso"&amp;" · ","")&amp;IF(AND($S139="Macro",ABS(SUMIFS($G$5:$G$1000,$P$5:$P$1000,$P139,$S$5:$S$1000,"Macro")-1)&gt;0.0001),"Pesos del mes suman "&amp;TEXT(SUMIFS($G$5:$G$1000,$P$5:$P$1000,$P139,$S$5:$S$1000,"Macro"),"0%")&amp;" · ","")&amp;IF(AND(N($T139)&gt;0,COUNT($H139:$K139)&gt;0),"Con subactividades: deje vacías las semanas (se calculan solas)"&amp;" · ","")&amp;IF((COUNTIF($H139:$K139,"&gt;1")+COUNTIF($H139:$K139,"&lt;0")+COUNTA($H139:$K139)-COUNT($H139:$K139))&gt;0,"Avance fuera de rango 0-100%"&amp;" · ","")&amp;IF(OR(AND($I139&lt;&gt;"",$I139&lt;$H139),AND($J139&lt;&gt;"",$J139&lt;MAX($H139:$I139)),AND($K139&lt;&gt;"",$K139&lt;MAX($H139:$J139))),"Avance semanal decreciente"&amp;" · ","")&amp;IF(AND(ISNUMBER($F139),$F139&lt;FechaRef,N($L139)&lt;1),"Vencida"&amp;" · ","")&amp;IF(AND(ObsObligatoria="Sí",ISNUMBER($F139),$F139&lt;FechaRef,N($L139)&lt;1,$N139=""),"Vencida sin observación"&amp;" · ",""))="","✔ OK","⚠ "&amp;LEFT(IF(AND($S139="Macro",$B139=""),"Macroactividad vacía"&amp;" · ","")&amp;IF(AND($B139&lt;&gt;"",$C139&lt;&gt;""),"Escriba la subactividad en otra fila, debajo de su macroactividad"&amp;" · ","")&amp;IF(AND($S139="Sub",N($R139)=0),"Subactividad sin macroactividad arriba"&amp;" · ","")&amp;IF($D139="","Sin responsable"&amp;" · ","")&amp;IF($E139="","Sin fecha de inicio"&amp;" · ","")&amp;IF($F139="","Sin fecha límite"&amp;" · ","")&amp;IF(OR(AND($E139&lt;&gt;"",NOT(ISNUMBER($E139))),AND($F139&lt;&gt;"",NOT(ISNUMBER($F139)))),"Fecha no válida"&amp;" · ","")&amp;IF(AND(ISNUMBER($E139),ISNUMBER($F139),$E139&gt;$F139),"Inicio posterior a fecha límite"&amp;" · ","")&amp;IF(AND($S139="Macro",$G139=""),"Peso vacío"&amp;" · ","")&amp;IF(AND($S139="Macro",$G139&lt;&gt;"",OR(NOT(ISNUMBER($G139)),$G139&lt;=0,$G139&gt;1)),"Peso fuera de rango"&amp;" · ","")&amp;IF(AND($S139="Sub",$G139&lt;&gt;""),"Las subactividades no llevan peso"&amp;" · ","")&amp;IF(AND($S139="Macro",ABS(SUMIFS($G$5:$G$1000,$P$5:$P$1000,$P139,$S$5:$S$1000,"Macro")-1)&gt;0.0001),"Pesos del mes suman "&amp;TEXT(SUMIFS($G$5:$G$1000,$P$5:$P$1000,$P139,$S$5:$S$1000,"Macro"),"0%")&amp;" · ","")&amp;IF(AND(N($T139)&gt;0,COUNT($H139:$K139)&gt;0),"Con subactividades: deje vacías las semanas (se calculan solas)"&amp;" · ","")&amp;IF((COUNTIF($H139:$K139,"&gt;1")+COUNTIF($H139:$K139,"&lt;0")+COUNTA($H139:$K139)-COUNT($H139:$K139))&gt;0,"Avance fuera de rango 0-100%"&amp;" · ","")&amp;IF(OR(AND($I139&lt;&gt;"",$I139&lt;$H139),AND($J139&lt;&gt;"",$J139&lt;MAX($H139:$I139)),AND($K139&lt;&gt;"",$K139&lt;MAX($H139:$J139))),"Avance semanal decreciente"&amp;" · ","")&amp;IF(AND(ISNUMBER($F139),$F139&lt;FechaRef,N($L139)&lt;1),"Vencida"&amp;" · ","")&amp;IF(AND(ObsObligatoria="Sí",ISNUMBER($F139),$F139&lt;FechaRef,N($L139)&lt;1,$N139=""),"Vencida sin observación"&amp;" · ",""),LEN(IF(AND($S139="Macro",$B139=""),"Macroactividad vacía"&amp;" · ","")&amp;IF(AND($B139&lt;&gt;"",$C139&lt;&gt;""),"Escriba la subactividad en otra fila, debajo de su macroactividad"&amp;" · ","")&amp;IF(AND($S139="Sub",N($R139)=0),"Subactividad sin macroactividad arriba"&amp;" · ","")&amp;IF($D139="","Sin responsable"&amp;" · ","")&amp;IF($E139="","Sin fecha de inicio"&amp;" · ","")&amp;IF($F139="","Sin fecha límite"&amp;" · ","")&amp;IF(OR(AND($E139&lt;&gt;"",NOT(ISNUMBER($E139))),AND($F139&lt;&gt;"",NOT(ISNUMBER($F139)))),"Fecha no válida"&amp;" · ","")&amp;IF(AND(ISNUMBER($E139),ISNUMBER($F139),$E139&gt;$F139),"Inicio posterior a fecha límite"&amp;" · ","")&amp;IF(AND($S139="Macro",$G139=""),"Peso vacío"&amp;" · ","")&amp;IF(AND($S139="Macro",$G139&lt;&gt;"",OR(NOT(ISNUMBER($G139)),$G139&lt;=0,$G139&gt;1)),"Peso fuera de rango"&amp;" · ","")&amp;IF(AND($S139="Sub",$G139&lt;&gt;""),"Las subactividades no llevan peso"&amp;" · ","")&amp;IF(AND($S139="Macro",ABS(SUMIFS($G$5:$G$1000,$P$5:$P$1000,$P139,$S$5:$S$1000,"Macro")-1)&gt;0.0001),"Pesos del mes suman "&amp;TEXT(SUMIFS($G$5:$G$1000,$P$5:$P$1000,$P139,$S$5:$S$1000,"Macro"),"0%")&amp;" · ","")&amp;IF(AND(N($T139)&gt;0,COUNT($H139:$K139)&gt;0),"Con subactividades: deje vacías las semanas (se calculan solas)"&amp;" · ","")&amp;IF((COUNTIF($H139:$K139,"&gt;1")+COUNTIF($H139:$K139,"&lt;0")+COUNTA($H139:$K139)-COUNT($H139:$K139))&gt;0,"Avance fuera de rango 0-100%"&amp;" · ","")&amp;IF(OR(AND($I139&lt;&gt;"",$I139&lt;$H139),AND($J139&lt;&gt;"",$J139&lt;MAX($H139:$I139)),AND($K139&lt;&gt;"",$K139&lt;MAX($H139:$J139))),"Avance semanal decreciente"&amp;" · ","")&amp;IF(AND(ISNUMBER($F139),$F139&lt;FechaRef,N($L139)&lt;1),"Vencida"&amp;" · ","")&amp;IF(AND(ObsObligatoria="Sí",ISNUMBER($F139),$F139&lt;FechaRef,N($L139)&lt;1,$N139=""),"Vencida sin observación"&amp;" · ",""))-3)))</f>
        <v/>
      </c>
      <c r="P139" s="69">
        <f>IF(NOT((COUNTA($B139:$K139)+COUNTA($N139))&gt;0),"",IF(AND($S139="Sub",N($R139)&gt;0),IF(ISNUMBER(INDEX($E$5:$E$1000,$R139-4)),DATE(YEAR(INDEX($E$5:$E$1000,$R139-4)),MONTH(INDEX($E$5:$E$1000,$R139-4)),1),IF(ISNUMBER(INDEX($F$5:$F$1000,$R139-4)),DATE(YEAR(INDEX($F$5:$F$1000,$R139-4)),MONTH(INDEX($F$5:$F$1000,$R139-4)),1),MesCiclo)),IF(ISNUMBER($E139),DATE(YEAR($E139),MONTH($E139),1),IF(ISNUMBER($F139),DATE(YEAR($F139),MONTH($F139),1),MesCiclo))))</f>
        <v/>
      </c>
      <c r="Q139" s="70">
        <f>IF(OR($P139="",$P139&lt;&gt;MesCiclo),"",COUNTIF($P$5:$P139,MesCiclo))</f>
        <v/>
      </c>
      <c r="R139" s="70">
        <f>IF($S139="","",IF($S139="Macro",ROW(),IFERROR(LOOKUP(2,1/($S$5:$S139="Macro"),ROW($S$5:$S139)),0)))</f>
        <v/>
      </c>
      <c r="S139" s="70">
        <f>IF(NOT((COUNTA($B139:$K139)+COUNTA($N139))&gt;0),"",IF($B139&lt;&gt;"","Macro",IF($C139&lt;&gt;"","Sub","Macro")))</f>
        <v/>
      </c>
      <c r="T139" s="70">
        <f>IF($S139="Macro",COUNTIFS($R$5:$R$1000,ROW(),$S$5:$S$1000,"Sub"),"")</f>
        <v/>
      </c>
      <c r="U139" s="70">
        <f>IF($S139="","",IF(ISNUMBER($H139),$H139,0))</f>
        <v/>
      </c>
      <c r="V139" s="70">
        <f>IF($S139="","",IF(ISNUMBER($I139),$I139,$U139))</f>
        <v/>
      </c>
      <c r="W139" s="70">
        <f>IF($S139="","",IF(ISNUMBER($J139),$J139,$V139))</f>
        <v/>
      </c>
      <c r="X139" s="70">
        <f>IF($S139="","",IF(ISNUMBER($K139),$K139,$W139))</f>
        <v/>
      </c>
      <c r="Y139" s="70">
        <f>IF($S139="","",IF(N($T139)&gt;0,AVERAGEIFS($U$5:$U$1000,$R$5:$R$1000,ROW(),$S$5:$S$1000,"Sub"),$U139))</f>
        <v/>
      </c>
      <c r="Z139" s="70">
        <f>IF($S139="","",IF(N($T139)&gt;0,AVERAGEIFS($V$5:$V$1000,$R$5:$R$1000,ROW(),$S$5:$S$1000,"Sub"),$V139))</f>
        <v/>
      </c>
      <c r="AA139" s="70">
        <f>IF($S139="","",IF(N($T139)&gt;0,AVERAGEIFS($W$5:$W$1000,$R$5:$R$1000,ROW(),$S$5:$S$1000,"Sub"),$W139))</f>
        <v/>
      </c>
      <c r="AB139" s="70">
        <f>IF($S139="","",IF(N($T139)&gt;0,AVERAGEIFS($X$5:$X$1000,$R$5:$R$1000,ROW(),$S$5:$S$1000,"Sub"),$X139))</f>
        <v/>
      </c>
    </row>
    <row r="140">
      <c r="A140" s="61">
        <f>IF(NOT((COUNTA($B140:$K140)+COUNTA($N140))&gt;0),"",IF($S140="Macro",COUNTIFS($S$5:$S140,"Macro",$P$5:$P140,$P140),IF(N($R140)=0,"?",COUNTIFS(INDEX($S$5:$S$1000,1):INDEX($S$5:$S$1000,$R140-4),"Macro",INDEX($P$5:$P$1000,1):INDEX($P$5:$P$1000,$R140-4),INDEX($P$5:$P$1000,$R140-4))&amp;"."&amp;COUNTIFS($R$5:$R140,$R140,$S$5:$S140,"Sub"))))</f>
        <v/>
      </c>
      <c r="B140" s="62" t="n"/>
      <c r="C140" s="63" t="n"/>
      <c r="D140" s="62" t="n"/>
      <c r="E140" s="64" t="n"/>
      <c r="F140" s="64" t="n"/>
      <c r="G140" s="65" t="n"/>
      <c r="H140" s="66" t="n"/>
      <c r="I140" s="66" t="n"/>
      <c r="J140" s="66" t="n"/>
      <c r="K140" s="66" t="n"/>
      <c r="L140" s="67">
        <f>IF(NOT((COUNTA($B140:$K140)+COUNTA($N140))&gt;0),"",IF(N($T140)&gt;0,$AB140,IFERROR(LOOKUP(2,1/(H140:K140&lt;&gt;""),H140:K140),0)))</f>
        <v/>
      </c>
      <c r="M140" s="61">
        <f>IF(L140="","",IF(L140&gt;=1,"Completado",IF(L140&gt;0,"En curso","Pendiente")))</f>
        <v/>
      </c>
      <c r="N140" s="62" t="n"/>
      <c r="O140" s="68">
        <f>IF(NOT((COUNTA($B140:$K140)+COUNTA($N140))&gt;0),"",IF((IF(AND($S140="Macro",$B140=""),"Macroactividad vacía"&amp;" · ","")&amp;IF(AND($B140&lt;&gt;"",$C140&lt;&gt;""),"Escriba la subactividad en otra fila, debajo de su macroactividad"&amp;" · ","")&amp;IF(AND($S140="Sub",N($R140)=0),"Subactividad sin macroactividad arriba"&amp;" · ","")&amp;IF($D140="","Sin responsable"&amp;" · ","")&amp;IF($E140="","Sin fecha de inicio"&amp;" · ","")&amp;IF($F140="","Sin fecha límite"&amp;" · ","")&amp;IF(OR(AND($E140&lt;&gt;"",NOT(ISNUMBER($E140))),AND($F140&lt;&gt;"",NOT(ISNUMBER($F140)))),"Fecha no válida"&amp;" · ","")&amp;IF(AND(ISNUMBER($E140),ISNUMBER($F140),$E140&gt;$F140),"Inicio posterior a fecha límite"&amp;" · ","")&amp;IF(AND($S140="Macro",$G140=""),"Peso vacío"&amp;" · ","")&amp;IF(AND($S140="Macro",$G140&lt;&gt;"",OR(NOT(ISNUMBER($G140)),$G140&lt;=0,$G140&gt;1)),"Peso fuera de rango"&amp;" · ","")&amp;IF(AND($S140="Sub",$G140&lt;&gt;""),"Las subactividades no llevan peso"&amp;" · ","")&amp;IF(AND($S140="Macro",ABS(SUMIFS($G$5:$G$1000,$P$5:$P$1000,$P140,$S$5:$S$1000,"Macro")-1)&gt;0.0001),"Pesos del mes suman "&amp;TEXT(SUMIFS($G$5:$G$1000,$P$5:$P$1000,$P140,$S$5:$S$1000,"Macro"),"0%")&amp;" · ","")&amp;IF(AND(N($T140)&gt;0,COUNT($H140:$K140)&gt;0),"Con subactividades: deje vacías las semanas (se calculan solas)"&amp;" · ","")&amp;IF((COUNTIF($H140:$K140,"&gt;1")+COUNTIF($H140:$K140,"&lt;0")+COUNTA($H140:$K140)-COUNT($H140:$K140))&gt;0,"Avance fuera de rango 0-100%"&amp;" · ","")&amp;IF(OR(AND($I140&lt;&gt;"",$I140&lt;$H140),AND($J140&lt;&gt;"",$J140&lt;MAX($H140:$I140)),AND($K140&lt;&gt;"",$K140&lt;MAX($H140:$J140))),"Avance semanal decreciente"&amp;" · ","")&amp;IF(AND(ISNUMBER($F140),$F140&lt;FechaRef,N($L140)&lt;1),"Vencida"&amp;" · ","")&amp;IF(AND(ObsObligatoria="Sí",ISNUMBER($F140),$F140&lt;FechaRef,N($L140)&lt;1,$N140=""),"Vencida sin observación"&amp;" · ",""))="","✔ OK","⚠ "&amp;LEFT(IF(AND($S140="Macro",$B140=""),"Macroactividad vacía"&amp;" · ","")&amp;IF(AND($B140&lt;&gt;"",$C140&lt;&gt;""),"Escriba la subactividad en otra fila, debajo de su macroactividad"&amp;" · ","")&amp;IF(AND($S140="Sub",N($R140)=0),"Subactividad sin macroactividad arriba"&amp;" · ","")&amp;IF($D140="","Sin responsable"&amp;" · ","")&amp;IF($E140="","Sin fecha de inicio"&amp;" · ","")&amp;IF($F140="","Sin fecha límite"&amp;" · ","")&amp;IF(OR(AND($E140&lt;&gt;"",NOT(ISNUMBER($E140))),AND($F140&lt;&gt;"",NOT(ISNUMBER($F140)))),"Fecha no válida"&amp;" · ","")&amp;IF(AND(ISNUMBER($E140),ISNUMBER($F140),$E140&gt;$F140),"Inicio posterior a fecha límite"&amp;" · ","")&amp;IF(AND($S140="Macro",$G140=""),"Peso vacío"&amp;" · ","")&amp;IF(AND($S140="Macro",$G140&lt;&gt;"",OR(NOT(ISNUMBER($G140)),$G140&lt;=0,$G140&gt;1)),"Peso fuera de rango"&amp;" · ","")&amp;IF(AND($S140="Sub",$G140&lt;&gt;""),"Las subactividades no llevan peso"&amp;" · ","")&amp;IF(AND($S140="Macro",ABS(SUMIFS($G$5:$G$1000,$P$5:$P$1000,$P140,$S$5:$S$1000,"Macro")-1)&gt;0.0001),"Pesos del mes suman "&amp;TEXT(SUMIFS($G$5:$G$1000,$P$5:$P$1000,$P140,$S$5:$S$1000,"Macro"),"0%")&amp;" · ","")&amp;IF(AND(N($T140)&gt;0,COUNT($H140:$K140)&gt;0),"Con subactividades: deje vacías las semanas (se calculan solas)"&amp;" · ","")&amp;IF((COUNTIF($H140:$K140,"&gt;1")+COUNTIF($H140:$K140,"&lt;0")+COUNTA($H140:$K140)-COUNT($H140:$K140))&gt;0,"Avance fuera de rango 0-100%"&amp;" · ","")&amp;IF(OR(AND($I140&lt;&gt;"",$I140&lt;$H140),AND($J140&lt;&gt;"",$J140&lt;MAX($H140:$I140)),AND($K140&lt;&gt;"",$K140&lt;MAX($H140:$J140))),"Avance semanal decreciente"&amp;" · ","")&amp;IF(AND(ISNUMBER($F140),$F140&lt;FechaRef,N($L140)&lt;1),"Vencida"&amp;" · ","")&amp;IF(AND(ObsObligatoria="Sí",ISNUMBER($F140),$F140&lt;FechaRef,N($L140)&lt;1,$N140=""),"Vencida sin observación"&amp;" · ",""),LEN(IF(AND($S140="Macro",$B140=""),"Macroactividad vacía"&amp;" · ","")&amp;IF(AND($B140&lt;&gt;"",$C140&lt;&gt;""),"Escriba la subactividad en otra fila, debajo de su macroactividad"&amp;" · ","")&amp;IF(AND($S140="Sub",N($R140)=0),"Subactividad sin macroactividad arriba"&amp;" · ","")&amp;IF($D140="","Sin responsable"&amp;" · ","")&amp;IF($E140="","Sin fecha de inicio"&amp;" · ","")&amp;IF($F140="","Sin fecha límite"&amp;" · ","")&amp;IF(OR(AND($E140&lt;&gt;"",NOT(ISNUMBER($E140))),AND($F140&lt;&gt;"",NOT(ISNUMBER($F140)))),"Fecha no válida"&amp;" · ","")&amp;IF(AND(ISNUMBER($E140),ISNUMBER($F140),$E140&gt;$F140),"Inicio posterior a fecha límite"&amp;" · ","")&amp;IF(AND($S140="Macro",$G140=""),"Peso vacío"&amp;" · ","")&amp;IF(AND($S140="Macro",$G140&lt;&gt;"",OR(NOT(ISNUMBER($G140)),$G140&lt;=0,$G140&gt;1)),"Peso fuera de rango"&amp;" · ","")&amp;IF(AND($S140="Sub",$G140&lt;&gt;""),"Las subactividades no llevan peso"&amp;" · ","")&amp;IF(AND($S140="Macro",ABS(SUMIFS($G$5:$G$1000,$P$5:$P$1000,$P140,$S$5:$S$1000,"Macro")-1)&gt;0.0001),"Pesos del mes suman "&amp;TEXT(SUMIFS($G$5:$G$1000,$P$5:$P$1000,$P140,$S$5:$S$1000,"Macro"),"0%")&amp;" · ","")&amp;IF(AND(N($T140)&gt;0,COUNT($H140:$K140)&gt;0),"Con subactividades: deje vacías las semanas (se calculan solas)"&amp;" · ","")&amp;IF((COUNTIF($H140:$K140,"&gt;1")+COUNTIF($H140:$K140,"&lt;0")+COUNTA($H140:$K140)-COUNT($H140:$K140))&gt;0,"Avance fuera de rango 0-100%"&amp;" · ","")&amp;IF(OR(AND($I140&lt;&gt;"",$I140&lt;$H140),AND($J140&lt;&gt;"",$J140&lt;MAX($H140:$I140)),AND($K140&lt;&gt;"",$K140&lt;MAX($H140:$J140))),"Avance semanal decreciente"&amp;" · ","")&amp;IF(AND(ISNUMBER($F140),$F140&lt;FechaRef,N($L140)&lt;1),"Vencida"&amp;" · ","")&amp;IF(AND(ObsObligatoria="Sí",ISNUMBER($F140),$F140&lt;FechaRef,N($L140)&lt;1,$N140=""),"Vencida sin observación"&amp;" · ",""))-3)))</f>
        <v/>
      </c>
      <c r="P140" s="69">
        <f>IF(NOT((COUNTA($B140:$K140)+COUNTA($N140))&gt;0),"",IF(AND($S140="Sub",N($R140)&gt;0),IF(ISNUMBER(INDEX($E$5:$E$1000,$R140-4)),DATE(YEAR(INDEX($E$5:$E$1000,$R140-4)),MONTH(INDEX($E$5:$E$1000,$R140-4)),1),IF(ISNUMBER(INDEX($F$5:$F$1000,$R140-4)),DATE(YEAR(INDEX($F$5:$F$1000,$R140-4)),MONTH(INDEX($F$5:$F$1000,$R140-4)),1),MesCiclo)),IF(ISNUMBER($E140),DATE(YEAR($E140),MONTH($E140),1),IF(ISNUMBER($F140),DATE(YEAR($F140),MONTH($F140),1),MesCiclo))))</f>
        <v/>
      </c>
      <c r="Q140" s="70">
        <f>IF(OR($P140="",$P140&lt;&gt;MesCiclo),"",COUNTIF($P$5:$P140,MesCiclo))</f>
        <v/>
      </c>
      <c r="R140" s="70">
        <f>IF($S140="","",IF($S140="Macro",ROW(),IFERROR(LOOKUP(2,1/($S$5:$S140="Macro"),ROW($S$5:$S140)),0)))</f>
        <v/>
      </c>
      <c r="S140" s="70">
        <f>IF(NOT((COUNTA($B140:$K140)+COUNTA($N140))&gt;0),"",IF($B140&lt;&gt;"","Macro",IF($C140&lt;&gt;"","Sub","Macro")))</f>
        <v/>
      </c>
      <c r="T140" s="70">
        <f>IF($S140="Macro",COUNTIFS($R$5:$R$1000,ROW(),$S$5:$S$1000,"Sub"),"")</f>
        <v/>
      </c>
      <c r="U140" s="70">
        <f>IF($S140="","",IF(ISNUMBER($H140),$H140,0))</f>
        <v/>
      </c>
      <c r="V140" s="70">
        <f>IF($S140="","",IF(ISNUMBER($I140),$I140,$U140))</f>
        <v/>
      </c>
      <c r="W140" s="70">
        <f>IF($S140="","",IF(ISNUMBER($J140),$J140,$V140))</f>
        <v/>
      </c>
      <c r="X140" s="70">
        <f>IF($S140="","",IF(ISNUMBER($K140),$K140,$W140))</f>
        <v/>
      </c>
      <c r="Y140" s="70">
        <f>IF($S140="","",IF(N($T140)&gt;0,AVERAGEIFS($U$5:$U$1000,$R$5:$R$1000,ROW(),$S$5:$S$1000,"Sub"),$U140))</f>
        <v/>
      </c>
      <c r="Z140" s="70">
        <f>IF($S140="","",IF(N($T140)&gt;0,AVERAGEIFS($V$5:$V$1000,$R$5:$R$1000,ROW(),$S$5:$S$1000,"Sub"),$V140))</f>
        <v/>
      </c>
      <c r="AA140" s="70">
        <f>IF($S140="","",IF(N($T140)&gt;0,AVERAGEIFS($W$5:$W$1000,$R$5:$R$1000,ROW(),$S$5:$S$1000,"Sub"),$W140))</f>
        <v/>
      </c>
      <c r="AB140" s="70">
        <f>IF($S140="","",IF(N($T140)&gt;0,AVERAGEIFS($X$5:$X$1000,$R$5:$R$1000,ROW(),$S$5:$S$1000,"Sub"),$X140))</f>
        <v/>
      </c>
    </row>
    <row r="141">
      <c r="A141" s="61">
        <f>IF(NOT((COUNTA($B141:$K141)+COUNTA($N141))&gt;0),"",IF($S141="Macro",COUNTIFS($S$5:$S141,"Macro",$P$5:$P141,$P141),IF(N($R141)=0,"?",COUNTIFS(INDEX($S$5:$S$1000,1):INDEX($S$5:$S$1000,$R141-4),"Macro",INDEX($P$5:$P$1000,1):INDEX($P$5:$P$1000,$R141-4),INDEX($P$5:$P$1000,$R141-4))&amp;"."&amp;COUNTIFS($R$5:$R141,$R141,$S$5:$S141,"Sub"))))</f>
        <v/>
      </c>
      <c r="B141" s="62" t="n"/>
      <c r="C141" s="63" t="n"/>
      <c r="D141" s="62" t="n"/>
      <c r="E141" s="64" t="n"/>
      <c r="F141" s="64" t="n"/>
      <c r="G141" s="65" t="n"/>
      <c r="H141" s="66" t="n"/>
      <c r="I141" s="66" t="n"/>
      <c r="J141" s="66" t="n"/>
      <c r="K141" s="66" t="n"/>
      <c r="L141" s="67">
        <f>IF(NOT((COUNTA($B141:$K141)+COUNTA($N141))&gt;0),"",IF(N($T141)&gt;0,$AB141,IFERROR(LOOKUP(2,1/(H141:K141&lt;&gt;""),H141:K141),0)))</f>
        <v/>
      </c>
      <c r="M141" s="61">
        <f>IF(L141="","",IF(L141&gt;=1,"Completado",IF(L141&gt;0,"En curso","Pendiente")))</f>
        <v/>
      </c>
      <c r="N141" s="62" t="n"/>
      <c r="O141" s="68">
        <f>IF(NOT((COUNTA($B141:$K141)+COUNTA($N141))&gt;0),"",IF((IF(AND($S141="Macro",$B141=""),"Macroactividad vacía"&amp;" · ","")&amp;IF(AND($B141&lt;&gt;"",$C141&lt;&gt;""),"Escriba la subactividad en otra fila, debajo de su macroactividad"&amp;" · ","")&amp;IF(AND($S141="Sub",N($R141)=0),"Subactividad sin macroactividad arriba"&amp;" · ","")&amp;IF($D141="","Sin responsable"&amp;" · ","")&amp;IF($E141="","Sin fecha de inicio"&amp;" · ","")&amp;IF($F141="","Sin fecha límite"&amp;" · ","")&amp;IF(OR(AND($E141&lt;&gt;"",NOT(ISNUMBER($E141))),AND($F141&lt;&gt;"",NOT(ISNUMBER($F141)))),"Fecha no válida"&amp;" · ","")&amp;IF(AND(ISNUMBER($E141),ISNUMBER($F141),$E141&gt;$F141),"Inicio posterior a fecha límite"&amp;" · ","")&amp;IF(AND($S141="Macro",$G141=""),"Peso vacío"&amp;" · ","")&amp;IF(AND($S141="Macro",$G141&lt;&gt;"",OR(NOT(ISNUMBER($G141)),$G141&lt;=0,$G141&gt;1)),"Peso fuera de rango"&amp;" · ","")&amp;IF(AND($S141="Sub",$G141&lt;&gt;""),"Las subactividades no llevan peso"&amp;" · ","")&amp;IF(AND($S141="Macro",ABS(SUMIFS($G$5:$G$1000,$P$5:$P$1000,$P141,$S$5:$S$1000,"Macro")-1)&gt;0.0001),"Pesos del mes suman "&amp;TEXT(SUMIFS($G$5:$G$1000,$P$5:$P$1000,$P141,$S$5:$S$1000,"Macro"),"0%")&amp;" · ","")&amp;IF(AND(N($T141)&gt;0,COUNT($H141:$K141)&gt;0),"Con subactividades: deje vacías las semanas (se calculan solas)"&amp;" · ","")&amp;IF((COUNTIF($H141:$K141,"&gt;1")+COUNTIF($H141:$K141,"&lt;0")+COUNTA($H141:$K141)-COUNT($H141:$K141))&gt;0,"Avance fuera de rango 0-100%"&amp;" · ","")&amp;IF(OR(AND($I141&lt;&gt;"",$I141&lt;$H141),AND($J141&lt;&gt;"",$J141&lt;MAX($H141:$I141)),AND($K141&lt;&gt;"",$K141&lt;MAX($H141:$J141))),"Avance semanal decreciente"&amp;" · ","")&amp;IF(AND(ISNUMBER($F141),$F141&lt;FechaRef,N($L141)&lt;1),"Vencida"&amp;" · ","")&amp;IF(AND(ObsObligatoria="Sí",ISNUMBER($F141),$F141&lt;FechaRef,N($L141)&lt;1,$N141=""),"Vencida sin observación"&amp;" · ",""))="","✔ OK","⚠ "&amp;LEFT(IF(AND($S141="Macro",$B141=""),"Macroactividad vacía"&amp;" · ","")&amp;IF(AND($B141&lt;&gt;"",$C141&lt;&gt;""),"Escriba la subactividad en otra fila, debajo de su macroactividad"&amp;" · ","")&amp;IF(AND($S141="Sub",N($R141)=0),"Subactividad sin macroactividad arriba"&amp;" · ","")&amp;IF($D141="","Sin responsable"&amp;" · ","")&amp;IF($E141="","Sin fecha de inicio"&amp;" · ","")&amp;IF($F141="","Sin fecha límite"&amp;" · ","")&amp;IF(OR(AND($E141&lt;&gt;"",NOT(ISNUMBER($E141))),AND($F141&lt;&gt;"",NOT(ISNUMBER($F141)))),"Fecha no válida"&amp;" · ","")&amp;IF(AND(ISNUMBER($E141),ISNUMBER($F141),$E141&gt;$F141),"Inicio posterior a fecha límite"&amp;" · ","")&amp;IF(AND($S141="Macro",$G141=""),"Peso vacío"&amp;" · ","")&amp;IF(AND($S141="Macro",$G141&lt;&gt;"",OR(NOT(ISNUMBER($G141)),$G141&lt;=0,$G141&gt;1)),"Peso fuera de rango"&amp;" · ","")&amp;IF(AND($S141="Sub",$G141&lt;&gt;""),"Las subactividades no llevan peso"&amp;" · ","")&amp;IF(AND($S141="Macro",ABS(SUMIFS($G$5:$G$1000,$P$5:$P$1000,$P141,$S$5:$S$1000,"Macro")-1)&gt;0.0001),"Pesos del mes suman "&amp;TEXT(SUMIFS($G$5:$G$1000,$P$5:$P$1000,$P141,$S$5:$S$1000,"Macro"),"0%")&amp;" · ","")&amp;IF(AND(N($T141)&gt;0,COUNT($H141:$K141)&gt;0),"Con subactividades: deje vacías las semanas (se calculan solas)"&amp;" · ","")&amp;IF((COUNTIF($H141:$K141,"&gt;1")+COUNTIF($H141:$K141,"&lt;0")+COUNTA($H141:$K141)-COUNT($H141:$K141))&gt;0,"Avance fuera de rango 0-100%"&amp;" · ","")&amp;IF(OR(AND($I141&lt;&gt;"",$I141&lt;$H141),AND($J141&lt;&gt;"",$J141&lt;MAX($H141:$I141)),AND($K141&lt;&gt;"",$K141&lt;MAX($H141:$J141))),"Avance semanal decreciente"&amp;" · ","")&amp;IF(AND(ISNUMBER($F141),$F141&lt;FechaRef,N($L141)&lt;1),"Vencida"&amp;" · ","")&amp;IF(AND(ObsObligatoria="Sí",ISNUMBER($F141),$F141&lt;FechaRef,N($L141)&lt;1,$N141=""),"Vencida sin observación"&amp;" · ",""),LEN(IF(AND($S141="Macro",$B141=""),"Macroactividad vacía"&amp;" · ","")&amp;IF(AND($B141&lt;&gt;"",$C141&lt;&gt;""),"Escriba la subactividad en otra fila, debajo de su macroactividad"&amp;" · ","")&amp;IF(AND($S141="Sub",N($R141)=0),"Subactividad sin macroactividad arriba"&amp;" · ","")&amp;IF($D141="","Sin responsable"&amp;" · ","")&amp;IF($E141="","Sin fecha de inicio"&amp;" · ","")&amp;IF($F141="","Sin fecha límite"&amp;" · ","")&amp;IF(OR(AND($E141&lt;&gt;"",NOT(ISNUMBER($E141))),AND($F141&lt;&gt;"",NOT(ISNUMBER($F141)))),"Fecha no válida"&amp;" · ","")&amp;IF(AND(ISNUMBER($E141),ISNUMBER($F141),$E141&gt;$F141),"Inicio posterior a fecha límite"&amp;" · ","")&amp;IF(AND($S141="Macro",$G141=""),"Peso vacío"&amp;" · ","")&amp;IF(AND($S141="Macro",$G141&lt;&gt;"",OR(NOT(ISNUMBER($G141)),$G141&lt;=0,$G141&gt;1)),"Peso fuera de rango"&amp;" · ","")&amp;IF(AND($S141="Sub",$G141&lt;&gt;""),"Las subactividades no llevan peso"&amp;" · ","")&amp;IF(AND($S141="Macro",ABS(SUMIFS($G$5:$G$1000,$P$5:$P$1000,$P141,$S$5:$S$1000,"Macro")-1)&gt;0.0001),"Pesos del mes suman "&amp;TEXT(SUMIFS($G$5:$G$1000,$P$5:$P$1000,$P141,$S$5:$S$1000,"Macro"),"0%")&amp;" · ","")&amp;IF(AND(N($T141)&gt;0,COUNT($H141:$K141)&gt;0),"Con subactividades: deje vacías las semanas (se calculan solas)"&amp;" · ","")&amp;IF((COUNTIF($H141:$K141,"&gt;1")+COUNTIF($H141:$K141,"&lt;0")+COUNTA($H141:$K141)-COUNT($H141:$K141))&gt;0,"Avance fuera de rango 0-100%"&amp;" · ","")&amp;IF(OR(AND($I141&lt;&gt;"",$I141&lt;$H141),AND($J141&lt;&gt;"",$J141&lt;MAX($H141:$I141)),AND($K141&lt;&gt;"",$K141&lt;MAX($H141:$J141))),"Avance semanal decreciente"&amp;" · ","")&amp;IF(AND(ISNUMBER($F141),$F141&lt;FechaRef,N($L141)&lt;1),"Vencida"&amp;" · ","")&amp;IF(AND(ObsObligatoria="Sí",ISNUMBER($F141),$F141&lt;FechaRef,N($L141)&lt;1,$N141=""),"Vencida sin observación"&amp;" · ",""))-3)))</f>
        <v/>
      </c>
      <c r="P141" s="69">
        <f>IF(NOT((COUNTA($B141:$K141)+COUNTA($N141))&gt;0),"",IF(AND($S141="Sub",N($R141)&gt;0),IF(ISNUMBER(INDEX($E$5:$E$1000,$R141-4)),DATE(YEAR(INDEX($E$5:$E$1000,$R141-4)),MONTH(INDEX($E$5:$E$1000,$R141-4)),1),IF(ISNUMBER(INDEX($F$5:$F$1000,$R141-4)),DATE(YEAR(INDEX($F$5:$F$1000,$R141-4)),MONTH(INDEX($F$5:$F$1000,$R141-4)),1),MesCiclo)),IF(ISNUMBER($E141),DATE(YEAR($E141),MONTH($E141),1),IF(ISNUMBER($F141),DATE(YEAR($F141),MONTH($F141),1),MesCiclo))))</f>
        <v/>
      </c>
      <c r="Q141" s="70">
        <f>IF(OR($P141="",$P141&lt;&gt;MesCiclo),"",COUNTIF($P$5:$P141,MesCiclo))</f>
        <v/>
      </c>
      <c r="R141" s="70">
        <f>IF($S141="","",IF($S141="Macro",ROW(),IFERROR(LOOKUP(2,1/($S$5:$S141="Macro"),ROW($S$5:$S141)),0)))</f>
        <v/>
      </c>
      <c r="S141" s="70">
        <f>IF(NOT((COUNTA($B141:$K141)+COUNTA($N141))&gt;0),"",IF($B141&lt;&gt;"","Macro",IF($C141&lt;&gt;"","Sub","Macro")))</f>
        <v/>
      </c>
      <c r="T141" s="70">
        <f>IF($S141="Macro",COUNTIFS($R$5:$R$1000,ROW(),$S$5:$S$1000,"Sub"),"")</f>
        <v/>
      </c>
      <c r="U141" s="70">
        <f>IF($S141="","",IF(ISNUMBER($H141),$H141,0))</f>
        <v/>
      </c>
      <c r="V141" s="70">
        <f>IF($S141="","",IF(ISNUMBER($I141),$I141,$U141))</f>
        <v/>
      </c>
      <c r="W141" s="70">
        <f>IF($S141="","",IF(ISNUMBER($J141),$J141,$V141))</f>
        <v/>
      </c>
      <c r="X141" s="70">
        <f>IF($S141="","",IF(ISNUMBER($K141),$K141,$W141))</f>
        <v/>
      </c>
      <c r="Y141" s="70">
        <f>IF($S141="","",IF(N($T141)&gt;0,AVERAGEIFS($U$5:$U$1000,$R$5:$R$1000,ROW(),$S$5:$S$1000,"Sub"),$U141))</f>
        <v/>
      </c>
      <c r="Z141" s="70">
        <f>IF($S141="","",IF(N($T141)&gt;0,AVERAGEIFS($V$5:$V$1000,$R$5:$R$1000,ROW(),$S$5:$S$1000,"Sub"),$V141))</f>
        <v/>
      </c>
      <c r="AA141" s="70">
        <f>IF($S141="","",IF(N($T141)&gt;0,AVERAGEIFS($W$5:$W$1000,$R$5:$R$1000,ROW(),$S$5:$S$1000,"Sub"),$W141))</f>
        <v/>
      </c>
      <c r="AB141" s="70">
        <f>IF($S141="","",IF(N($T141)&gt;0,AVERAGEIFS($X$5:$X$1000,$R$5:$R$1000,ROW(),$S$5:$S$1000,"Sub"),$X141))</f>
        <v/>
      </c>
    </row>
    <row r="142">
      <c r="A142" s="61">
        <f>IF(NOT((COUNTA($B142:$K142)+COUNTA($N142))&gt;0),"",IF($S142="Macro",COUNTIFS($S$5:$S142,"Macro",$P$5:$P142,$P142),IF(N($R142)=0,"?",COUNTIFS(INDEX($S$5:$S$1000,1):INDEX($S$5:$S$1000,$R142-4),"Macro",INDEX($P$5:$P$1000,1):INDEX($P$5:$P$1000,$R142-4),INDEX($P$5:$P$1000,$R142-4))&amp;"."&amp;COUNTIFS($R$5:$R142,$R142,$S$5:$S142,"Sub"))))</f>
        <v/>
      </c>
      <c r="B142" s="62" t="n"/>
      <c r="C142" s="63" t="n"/>
      <c r="D142" s="62" t="n"/>
      <c r="E142" s="64" t="n"/>
      <c r="F142" s="64" t="n"/>
      <c r="G142" s="65" t="n"/>
      <c r="H142" s="66" t="n"/>
      <c r="I142" s="66" t="n"/>
      <c r="J142" s="66" t="n"/>
      <c r="K142" s="66" t="n"/>
      <c r="L142" s="67">
        <f>IF(NOT((COUNTA($B142:$K142)+COUNTA($N142))&gt;0),"",IF(N($T142)&gt;0,$AB142,IFERROR(LOOKUP(2,1/(H142:K142&lt;&gt;""),H142:K142),0)))</f>
        <v/>
      </c>
      <c r="M142" s="61">
        <f>IF(L142="","",IF(L142&gt;=1,"Completado",IF(L142&gt;0,"En curso","Pendiente")))</f>
        <v/>
      </c>
      <c r="N142" s="62" t="n"/>
      <c r="O142" s="68">
        <f>IF(NOT((COUNTA($B142:$K142)+COUNTA($N142))&gt;0),"",IF((IF(AND($S142="Macro",$B142=""),"Macroactividad vacía"&amp;" · ","")&amp;IF(AND($B142&lt;&gt;"",$C142&lt;&gt;""),"Escriba la subactividad en otra fila, debajo de su macroactividad"&amp;" · ","")&amp;IF(AND($S142="Sub",N($R142)=0),"Subactividad sin macroactividad arriba"&amp;" · ","")&amp;IF($D142="","Sin responsable"&amp;" · ","")&amp;IF($E142="","Sin fecha de inicio"&amp;" · ","")&amp;IF($F142="","Sin fecha límite"&amp;" · ","")&amp;IF(OR(AND($E142&lt;&gt;"",NOT(ISNUMBER($E142))),AND($F142&lt;&gt;"",NOT(ISNUMBER($F142)))),"Fecha no válida"&amp;" · ","")&amp;IF(AND(ISNUMBER($E142),ISNUMBER($F142),$E142&gt;$F142),"Inicio posterior a fecha límite"&amp;" · ","")&amp;IF(AND($S142="Macro",$G142=""),"Peso vacío"&amp;" · ","")&amp;IF(AND($S142="Macro",$G142&lt;&gt;"",OR(NOT(ISNUMBER($G142)),$G142&lt;=0,$G142&gt;1)),"Peso fuera de rango"&amp;" · ","")&amp;IF(AND($S142="Sub",$G142&lt;&gt;""),"Las subactividades no llevan peso"&amp;" · ","")&amp;IF(AND($S142="Macro",ABS(SUMIFS($G$5:$G$1000,$P$5:$P$1000,$P142,$S$5:$S$1000,"Macro")-1)&gt;0.0001),"Pesos del mes suman "&amp;TEXT(SUMIFS($G$5:$G$1000,$P$5:$P$1000,$P142,$S$5:$S$1000,"Macro"),"0%")&amp;" · ","")&amp;IF(AND(N($T142)&gt;0,COUNT($H142:$K142)&gt;0),"Con subactividades: deje vacías las semanas (se calculan solas)"&amp;" · ","")&amp;IF((COUNTIF($H142:$K142,"&gt;1")+COUNTIF($H142:$K142,"&lt;0")+COUNTA($H142:$K142)-COUNT($H142:$K142))&gt;0,"Avance fuera de rango 0-100%"&amp;" · ","")&amp;IF(OR(AND($I142&lt;&gt;"",$I142&lt;$H142),AND($J142&lt;&gt;"",$J142&lt;MAX($H142:$I142)),AND($K142&lt;&gt;"",$K142&lt;MAX($H142:$J142))),"Avance semanal decreciente"&amp;" · ","")&amp;IF(AND(ISNUMBER($F142),$F142&lt;FechaRef,N($L142)&lt;1),"Vencida"&amp;" · ","")&amp;IF(AND(ObsObligatoria="Sí",ISNUMBER($F142),$F142&lt;FechaRef,N($L142)&lt;1,$N142=""),"Vencida sin observación"&amp;" · ",""))="","✔ OK","⚠ "&amp;LEFT(IF(AND($S142="Macro",$B142=""),"Macroactividad vacía"&amp;" · ","")&amp;IF(AND($B142&lt;&gt;"",$C142&lt;&gt;""),"Escriba la subactividad en otra fila, debajo de su macroactividad"&amp;" · ","")&amp;IF(AND($S142="Sub",N($R142)=0),"Subactividad sin macroactividad arriba"&amp;" · ","")&amp;IF($D142="","Sin responsable"&amp;" · ","")&amp;IF($E142="","Sin fecha de inicio"&amp;" · ","")&amp;IF($F142="","Sin fecha límite"&amp;" · ","")&amp;IF(OR(AND($E142&lt;&gt;"",NOT(ISNUMBER($E142))),AND($F142&lt;&gt;"",NOT(ISNUMBER($F142)))),"Fecha no válida"&amp;" · ","")&amp;IF(AND(ISNUMBER($E142),ISNUMBER($F142),$E142&gt;$F142),"Inicio posterior a fecha límite"&amp;" · ","")&amp;IF(AND($S142="Macro",$G142=""),"Peso vacío"&amp;" · ","")&amp;IF(AND($S142="Macro",$G142&lt;&gt;"",OR(NOT(ISNUMBER($G142)),$G142&lt;=0,$G142&gt;1)),"Peso fuera de rango"&amp;" · ","")&amp;IF(AND($S142="Sub",$G142&lt;&gt;""),"Las subactividades no llevan peso"&amp;" · ","")&amp;IF(AND($S142="Macro",ABS(SUMIFS($G$5:$G$1000,$P$5:$P$1000,$P142,$S$5:$S$1000,"Macro")-1)&gt;0.0001),"Pesos del mes suman "&amp;TEXT(SUMIFS($G$5:$G$1000,$P$5:$P$1000,$P142,$S$5:$S$1000,"Macro"),"0%")&amp;" · ","")&amp;IF(AND(N($T142)&gt;0,COUNT($H142:$K142)&gt;0),"Con subactividades: deje vacías las semanas (se calculan solas)"&amp;" · ","")&amp;IF((COUNTIF($H142:$K142,"&gt;1")+COUNTIF($H142:$K142,"&lt;0")+COUNTA($H142:$K142)-COUNT($H142:$K142))&gt;0,"Avance fuera de rango 0-100%"&amp;" · ","")&amp;IF(OR(AND($I142&lt;&gt;"",$I142&lt;$H142),AND($J142&lt;&gt;"",$J142&lt;MAX($H142:$I142)),AND($K142&lt;&gt;"",$K142&lt;MAX($H142:$J142))),"Avance semanal decreciente"&amp;" · ","")&amp;IF(AND(ISNUMBER($F142),$F142&lt;FechaRef,N($L142)&lt;1),"Vencida"&amp;" · ","")&amp;IF(AND(ObsObligatoria="Sí",ISNUMBER($F142),$F142&lt;FechaRef,N($L142)&lt;1,$N142=""),"Vencida sin observación"&amp;" · ",""),LEN(IF(AND($S142="Macro",$B142=""),"Macroactividad vacía"&amp;" · ","")&amp;IF(AND($B142&lt;&gt;"",$C142&lt;&gt;""),"Escriba la subactividad en otra fila, debajo de su macroactividad"&amp;" · ","")&amp;IF(AND($S142="Sub",N($R142)=0),"Subactividad sin macroactividad arriba"&amp;" · ","")&amp;IF($D142="","Sin responsable"&amp;" · ","")&amp;IF($E142="","Sin fecha de inicio"&amp;" · ","")&amp;IF($F142="","Sin fecha límite"&amp;" · ","")&amp;IF(OR(AND($E142&lt;&gt;"",NOT(ISNUMBER($E142))),AND($F142&lt;&gt;"",NOT(ISNUMBER($F142)))),"Fecha no válida"&amp;" · ","")&amp;IF(AND(ISNUMBER($E142),ISNUMBER($F142),$E142&gt;$F142),"Inicio posterior a fecha límite"&amp;" · ","")&amp;IF(AND($S142="Macro",$G142=""),"Peso vacío"&amp;" · ","")&amp;IF(AND($S142="Macro",$G142&lt;&gt;"",OR(NOT(ISNUMBER($G142)),$G142&lt;=0,$G142&gt;1)),"Peso fuera de rango"&amp;" · ","")&amp;IF(AND($S142="Sub",$G142&lt;&gt;""),"Las subactividades no llevan peso"&amp;" · ","")&amp;IF(AND($S142="Macro",ABS(SUMIFS($G$5:$G$1000,$P$5:$P$1000,$P142,$S$5:$S$1000,"Macro")-1)&gt;0.0001),"Pesos del mes suman "&amp;TEXT(SUMIFS($G$5:$G$1000,$P$5:$P$1000,$P142,$S$5:$S$1000,"Macro"),"0%")&amp;" · ","")&amp;IF(AND(N($T142)&gt;0,COUNT($H142:$K142)&gt;0),"Con subactividades: deje vacías las semanas (se calculan solas)"&amp;" · ","")&amp;IF((COUNTIF($H142:$K142,"&gt;1")+COUNTIF($H142:$K142,"&lt;0")+COUNTA($H142:$K142)-COUNT($H142:$K142))&gt;0,"Avance fuera de rango 0-100%"&amp;" · ","")&amp;IF(OR(AND($I142&lt;&gt;"",$I142&lt;$H142),AND($J142&lt;&gt;"",$J142&lt;MAX($H142:$I142)),AND($K142&lt;&gt;"",$K142&lt;MAX($H142:$J142))),"Avance semanal decreciente"&amp;" · ","")&amp;IF(AND(ISNUMBER($F142),$F142&lt;FechaRef,N($L142)&lt;1),"Vencida"&amp;" · ","")&amp;IF(AND(ObsObligatoria="Sí",ISNUMBER($F142),$F142&lt;FechaRef,N($L142)&lt;1,$N142=""),"Vencida sin observación"&amp;" · ",""))-3)))</f>
        <v/>
      </c>
      <c r="P142" s="69">
        <f>IF(NOT((COUNTA($B142:$K142)+COUNTA($N142))&gt;0),"",IF(AND($S142="Sub",N($R142)&gt;0),IF(ISNUMBER(INDEX($E$5:$E$1000,$R142-4)),DATE(YEAR(INDEX($E$5:$E$1000,$R142-4)),MONTH(INDEX($E$5:$E$1000,$R142-4)),1),IF(ISNUMBER(INDEX($F$5:$F$1000,$R142-4)),DATE(YEAR(INDEX($F$5:$F$1000,$R142-4)),MONTH(INDEX($F$5:$F$1000,$R142-4)),1),MesCiclo)),IF(ISNUMBER($E142),DATE(YEAR($E142),MONTH($E142),1),IF(ISNUMBER($F142),DATE(YEAR($F142),MONTH($F142),1),MesCiclo))))</f>
        <v/>
      </c>
      <c r="Q142" s="70">
        <f>IF(OR($P142="",$P142&lt;&gt;MesCiclo),"",COUNTIF($P$5:$P142,MesCiclo))</f>
        <v/>
      </c>
      <c r="R142" s="70">
        <f>IF($S142="","",IF($S142="Macro",ROW(),IFERROR(LOOKUP(2,1/($S$5:$S142="Macro"),ROW($S$5:$S142)),0)))</f>
        <v/>
      </c>
      <c r="S142" s="70">
        <f>IF(NOT((COUNTA($B142:$K142)+COUNTA($N142))&gt;0),"",IF($B142&lt;&gt;"","Macro",IF($C142&lt;&gt;"","Sub","Macro")))</f>
        <v/>
      </c>
      <c r="T142" s="70">
        <f>IF($S142="Macro",COUNTIFS($R$5:$R$1000,ROW(),$S$5:$S$1000,"Sub"),"")</f>
        <v/>
      </c>
      <c r="U142" s="70">
        <f>IF($S142="","",IF(ISNUMBER($H142),$H142,0))</f>
        <v/>
      </c>
      <c r="V142" s="70">
        <f>IF($S142="","",IF(ISNUMBER($I142),$I142,$U142))</f>
        <v/>
      </c>
      <c r="W142" s="70">
        <f>IF($S142="","",IF(ISNUMBER($J142),$J142,$V142))</f>
        <v/>
      </c>
      <c r="X142" s="70">
        <f>IF($S142="","",IF(ISNUMBER($K142),$K142,$W142))</f>
        <v/>
      </c>
      <c r="Y142" s="70">
        <f>IF($S142="","",IF(N($T142)&gt;0,AVERAGEIFS($U$5:$U$1000,$R$5:$R$1000,ROW(),$S$5:$S$1000,"Sub"),$U142))</f>
        <v/>
      </c>
      <c r="Z142" s="70">
        <f>IF($S142="","",IF(N($T142)&gt;0,AVERAGEIFS($V$5:$V$1000,$R$5:$R$1000,ROW(),$S$5:$S$1000,"Sub"),$V142))</f>
        <v/>
      </c>
      <c r="AA142" s="70">
        <f>IF($S142="","",IF(N($T142)&gt;0,AVERAGEIFS($W$5:$W$1000,$R$5:$R$1000,ROW(),$S$5:$S$1000,"Sub"),$W142))</f>
        <v/>
      </c>
      <c r="AB142" s="70">
        <f>IF($S142="","",IF(N($T142)&gt;0,AVERAGEIFS($X$5:$X$1000,$R$5:$R$1000,ROW(),$S$5:$S$1000,"Sub"),$X142))</f>
        <v/>
      </c>
    </row>
    <row r="143">
      <c r="A143" s="61">
        <f>IF(NOT((COUNTA($B143:$K143)+COUNTA($N143))&gt;0),"",IF($S143="Macro",COUNTIFS($S$5:$S143,"Macro",$P$5:$P143,$P143),IF(N($R143)=0,"?",COUNTIFS(INDEX($S$5:$S$1000,1):INDEX($S$5:$S$1000,$R143-4),"Macro",INDEX($P$5:$P$1000,1):INDEX($P$5:$P$1000,$R143-4),INDEX($P$5:$P$1000,$R143-4))&amp;"."&amp;COUNTIFS($R$5:$R143,$R143,$S$5:$S143,"Sub"))))</f>
        <v/>
      </c>
      <c r="B143" s="62" t="n"/>
      <c r="C143" s="63" t="n"/>
      <c r="D143" s="62" t="n"/>
      <c r="E143" s="64" t="n"/>
      <c r="F143" s="64" t="n"/>
      <c r="G143" s="65" t="n"/>
      <c r="H143" s="66" t="n"/>
      <c r="I143" s="66" t="n"/>
      <c r="J143" s="66" t="n"/>
      <c r="K143" s="66" t="n"/>
      <c r="L143" s="67">
        <f>IF(NOT((COUNTA($B143:$K143)+COUNTA($N143))&gt;0),"",IF(N($T143)&gt;0,$AB143,IFERROR(LOOKUP(2,1/(H143:K143&lt;&gt;""),H143:K143),0)))</f>
        <v/>
      </c>
      <c r="M143" s="61">
        <f>IF(L143="","",IF(L143&gt;=1,"Completado",IF(L143&gt;0,"En curso","Pendiente")))</f>
        <v/>
      </c>
      <c r="N143" s="62" t="n"/>
      <c r="O143" s="68">
        <f>IF(NOT((COUNTA($B143:$K143)+COUNTA($N143))&gt;0),"",IF((IF(AND($S143="Macro",$B143=""),"Macroactividad vacía"&amp;" · ","")&amp;IF(AND($B143&lt;&gt;"",$C143&lt;&gt;""),"Escriba la subactividad en otra fila, debajo de su macroactividad"&amp;" · ","")&amp;IF(AND($S143="Sub",N($R143)=0),"Subactividad sin macroactividad arriba"&amp;" · ","")&amp;IF($D143="","Sin responsable"&amp;" · ","")&amp;IF($E143="","Sin fecha de inicio"&amp;" · ","")&amp;IF($F143="","Sin fecha límite"&amp;" · ","")&amp;IF(OR(AND($E143&lt;&gt;"",NOT(ISNUMBER($E143))),AND($F143&lt;&gt;"",NOT(ISNUMBER($F143)))),"Fecha no válida"&amp;" · ","")&amp;IF(AND(ISNUMBER($E143),ISNUMBER($F143),$E143&gt;$F143),"Inicio posterior a fecha límite"&amp;" · ","")&amp;IF(AND($S143="Macro",$G143=""),"Peso vacío"&amp;" · ","")&amp;IF(AND($S143="Macro",$G143&lt;&gt;"",OR(NOT(ISNUMBER($G143)),$G143&lt;=0,$G143&gt;1)),"Peso fuera de rango"&amp;" · ","")&amp;IF(AND($S143="Sub",$G143&lt;&gt;""),"Las subactividades no llevan peso"&amp;" · ","")&amp;IF(AND($S143="Macro",ABS(SUMIFS($G$5:$G$1000,$P$5:$P$1000,$P143,$S$5:$S$1000,"Macro")-1)&gt;0.0001),"Pesos del mes suman "&amp;TEXT(SUMIFS($G$5:$G$1000,$P$5:$P$1000,$P143,$S$5:$S$1000,"Macro"),"0%")&amp;" · ","")&amp;IF(AND(N($T143)&gt;0,COUNT($H143:$K143)&gt;0),"Con subactividades: deje vacías las semanas (se calculan solas)"&amp;" · ","")&amp;IF((COUNTIF($H143:$K143,"&gt;1")+COUNTIF($H143:$K143,"&lt;0")+COUNTA($H143:$K143)-COUNT($H143:$K143))&gt;0,"Avance fuera de rango 0-100%"&amp;" · ","")&amp;IF(OR(AND($I143&lt;&gt;"",$I143&lt;$H143),AND($J143&lt;&gt;"",$J143&lt;MAX($H143:$I143)),AND($K143&lt;&gt;"",$K143&lt;MAX($H143:$J143))),"Avance semanal decreciente"&amp;" · ","")&amp;IF(AND(ISNUMBER($F143),$F143&lt;FechaRef,N($L143)&lt;1),"Vencida"&amp;" · ","")&amp;IF(AND(ObsObligatoria="Sí",ISNUMBER($F143),$F143&lt;FechaRef,N($L143)&lt;1,$N143=""),"Vencida sin observación"&amp;" · ",""))="","✔ OK","⚠ "&amp;LEFT(IF(AND($S143="Macro",$B143=""),"Macroactividad vacía"&amp;" · ","")&amp;IF(AND($B143&lt;&gt;"",$C143&lt;&gt;""),"Escriba la subactividad en otra fila, debajo de su macroactividad"&amp;" · ","")&amp;IF(AND($S143="Sub",N($R143)=0),"Subactividad sin macroactividad arriba"&amp;" · ","")&amp;IF($D143="","Sin responsable"&amp;" · ","")&amp;IF($E143="","Sin fecha de inicio"&amp;" · ","")&amp;IF($F143="","Sin fecha límite"&amp;" · ","")&amp;IF(OR(AND($E143&lt;&gt;"",NOT(ISNUMBER($E143))),AND($F143&lt;&gt;"",NOT(ISNUMBER($F143)))),"Fecha no válida"&amp;" · ","")&amp;IF(AND(ISNUMBER($E143),ISNUMBER($F143),$E143&gt;$F143),"Inicio posterior a fecha límite"&amp;" · ","")&amp;IF(AND($S143="Macro",$G143=""),"Peso vacío"&amp;" · ","")&amp;IF(AND($S143="Macro",$G143&lt;&gt;"",OR(NOT(ISNUMBER($G143)),$G143&lt;=0,$G143&gt;1)),"Peso fuera de rango"&amp;" · ","")&amp;IF(AND($S143="Sub",$G143&lt;&gt;""),"Las subactividades no llevan peso"&amp;" · ","")&amp;IF(AND($S143="Macro",ABS(SUMIFS($G$5:$G$1000,$P$5:$P$1000,$P143,$S$5:$S$1000,"Macro")-1)&gt;0.0001),"Pesos del mes suman "&amp;TEXT(SUMIFS($G$5:$G$1000,$P$5:$P$1000,$P143,$S$5:$S$1000,"Macro"),"0%")&amp;" · ","")&amp;IF(AND(N($T143)&gt;0,COUNT($H143:$K143)&gt;0),"Con subactividades: deje vacías las semanas (se calculan solas)"&amp;" · ","")&amp;IF((COUNTIF($H143:$K143,"&gt;1")+COUNTIF($H143:$K143,"&lt;0")+COUNTA($H143:$K143)-COUNT($H143:$K143))&gt;0,"Avance fuera de rango 0-100%"&amp;" · ","")&amp;IF(OR(AND($I143&lt;&gt;"",$I143&lt;$H143),AND($J143&lt;&gt;"",$J143&lt;MAX($H143:$I143)),AND($K143&lt;&gt;"",$K143&lt;MAX($H143:$J143))),"Avance semanal decreciente"&amp;" · ","")&amp;IF(AND(ISNUMBER($F143),$F143&lt;FechaRef,N($L143)&lt;1),"Vencida"&amp;" · ","")&amp;IF(AND(ObsObligatoria="Sí",ISNUMBER($F143),$F143&lt;FechaRef,N($L143)&lt;1,$N143=""),"Vencida sin observación"&amp;" · ",""),LEN(IF(AND($S143="Macro",$B143=""),"Macroactividad vacía"&amp;" · ","")&amp;IF(AND($B143&lt;&gt;"",$C143&lt;&gt;""),"Escriba la subactividad en otra fila, debajo de su macroactividad"&amp;" · ","")&amp;IF(AND($S143="Sub",N($R143)=0),"Subactividad sin macroactividad arriba"&amp;" · ","")&amp;IF($D143="","Sin responsable"&amp;" · ","")&amp;IF($E143="","Sin fecha de inicio"&amp;" · ","")&amp;IF($F143="","Sin fecha límite"&amp;" · ","")&amp;IF(OR(AND($E143&lt;&gt;"",NOT(ISNUMBER($E143))),AND($F143&lt;&gt;"",NOT(ISNUMBER($F143)))),"Fecha no válida"&amp;" · ","")&amp;IF(AND(ISNUMBER($E143),ISNUMBER($F143),$E143&gt;$F143),"Inicio posterior a fecha límite"&amp;" · ","")&amp;IF(AND($S143="Macro",$G143=""),"Peso vacío"&amp;" · ","")&amp;IF(AND($S143="Macro",$G143&lt;&gt;"",OR(NOT(ISNUMBER($G143)),$G143&lt;=0,$G143&gt;1)),"Peso fuera de rango"&amp;" · ","")&amp;IF(AND($S143="Sub",$G143&lt;&gt;""),"Las subactividades no llevan peso"&amp;" · ","")&amp;IF(AND($S143="Macro",ABS(SUMIFS($G$5:$G$1000,$P$5:$P$1000,$P143,$S$5:$S$1000,"Macro")-1)&gt;0.0001),"Pesos del mes suman "&amp;TEXT(SUMIFS($G$5:$G$1000,$P$5:$P$1000,$P143,$S$5:$S$1000,"Macro"),"0%")&amp;" · ","")&amp;IF(AND(N($T143)&gt;0,COUNT($H143:$K143)&gt;0),"Con subactividades: deje vacías las semanas (se calculan solas)"&amp;" · ","")&amp;IF((COUNTIF($H143:$K143,"&gt;1")+COUNTIF($H143:$K143,"&lt;0")+COUNTA($H143:$K143)-COUNT($H143:$K143))&gt;0,"Avance fuera de rango 0-100%"&amp;" · ","")&amp;IF(OR(AND($I143&lt;&gt;"",$I143&lt;$H143),AND($J143&lt;&gt;"",$J143&lt;MAX($H143:$I143)),AND($K143&lt;&gt;"",$K143&lt;MAX($H143:$J143))),"Avance semanal decreciente"&amp;" · ","")&amp;IF(AND(ISNUMBER($F143),$F143&lt;FechaRef,N($L143)&lt;1),"Vencida"&amp;" · ","")&amp;IF(AND(ObsObligatoria="Sí",ISNUMBER($F143),$F143&lt;FechaRef,N($L143)&lt;1,$N143=""),"Vencida sin observación"&amp;" · ",""))-3)))</f>
        <v/>
      </c>
      <c r="P143" s="69">
        <f>IF(NOT((COUNTA($B143:$K143)+COUNTA($N143))&gt;0),"",IF(AND($S143="Sub",N($R143)&gt;0),IF(ISNUMBER(INDEX($E$5:$E$1000,$R143-4)),DATE(YEAR(INDEX($E$5:$E$1000,$R143-4)),MONTH(INDEX($E$5:$E$1000,$R143-4)),1),IF(ISNUMBER(INDEX($F$5:$F$1000,$R143-4)),DATE(YEAR(INDEX($F$5:$F$1000,$R143-4)),MONTH(INDEX($F$5:$F$1000,$R143-4)),1),MesCiclo)),IF(ISNUMBER($E143),DATE(YEAR($E143),MONTH($E143),1),IF(ISNUMBER($F143),DATE(YEAR($F143),MONTH($F143),1),MesCiclo))))</f>
        <v/>
      </c>
      <c r="Q143" s="70">
        <f>IF(OR($P143="",$P143&lt;&gt;MesCiclo),"",COUNTIF($P$5:$P143,MesCiclo))</f>
        <v/>
      </c>
      <c r="R143" s="70">
        <f>IF($S143="","",IF($S143="Macro",ROW(),IFERROR(LOOKUP(2,1/($S$5:$S143="Macro"),ROW($S$5:$S143)),0)))</f>
        <v/>
      </c>
      <c r="S143" s="70">
        <f>IF(NOT((COUNTA($B143:$K143)+COUNTA($N143))&gt;0),"",IF($B143&lt;&gt;"","Macro",IF($C143&lt;&gt;"","Sub","Macro")))</f>
        <v/>
      </c>
      <c r="T143" s="70">
        <f>IF($S143="Macro",COUNTIFS($R$5:$R$1000,ROW(),$S$5:$S$1000,"Sub"),"")</f>
        <v/>
      </c>
      <c r="U143" s="70">
        <f>IF($S143="","",IF(ISNUMBER($H143),$H143,0))</f>
        <v/>
      </c>
      <c r="V143" s="70">
        <f>IF($S143="","",IF(ISNUMBER($I143),$I143,$U143))</f>
        <v/>
      </c>
      <c r="W143" s="70">
        <f>IF($S143="","",IF(ISNUMBER($J143),$J143,$V143))</f>
        <v/>
      </c>
      <c r="X143" s="70">
        <f>IF($S143="","",IF(ISNUMBER($K143),$K143,$W143))</f>
        <v/>
      </c>
      <c r="Y143" s="70">
        <f>IF($S143="","",IF(N($T143)&gt;0,AVERAGEIFS($U$5:$U$1000,$R$5:$R$1000,ROW(),$S$5:$S$1000,"Sub"),$U143))</f>
        <v/>
      </c>
      <c r="Z143" s="70">
        <f>IF($S143="","",IF(N($T143)&gt;0,AVERAGEIFS($V$5:$V$1000,$R$5:$R$1000,ROW(),$S$5:$S$1000,"Sub"),$V143))</f>
        <v/>
      </c>
      <c r="AA143" s="70">
        <f>IF($S143="","",IF(N($T143)&gt;0,AVERAGEIFS($W$5:$W$1000,$R$5:$R$1000,ROW(),$S$5:$S$1000,"Sub"),$W143))</f>
        <v/>
      </c>
      <c r="AB143" s="70">
        <f>IF($S143="","",IF(N($T143)&gt;0,AVERAGEIFS($X$5:$X$1000,$R$5:$R$1000,ROW(),$S$5:$S$1000,"Sub"),$X143))</f>
        <v/>
      </c>
    </row>
    <row r="144">
      <c r="A144" s="61">
        <f>IF(NOT((COUNTA($B144:$K144)+COUNTA($N144))&gt;0),"",IF($S144="Macro",COUNTIFS($S$5:$S144,"Macro",$P$5:$P144,$P144),IF(N($R144)=0,"?",COUNTIFS(INDEX($S$5:$S$1000,1):INDEX($S$5:$S$1000,$R144-4),"Macro",INDEX($P$5:$P$1000,1):INDEX($P$5:$P$1000,$R144-4),INDEX($P$5:$P$1000,$R144-4))&amp;"."&amp;COUNTIFS($R$5:$R144,$R144,$S$5:$S144,"Sub"))))</f>
        <v/>
      </c>
      <c r="B144" s="62" t="n"/>
      <c r="C144" s="63" t="n"/>
      <c r="D144" s="62" t="n"/>
      <c r="E144" s="64" t="n"/>
      <c r="F144" s="64" t="n"/>
      <c r="G144" s="65" t="n"/>
      <c r="H144" s="66" t="n"/>
      <c r="I144" s="66" t="n"/>
      <c r="J144" s="66" t="n"/>
      <c r="K144" s="66" t="n"/>
      <c r="L144" s="67">
        <f>IF(NOT((COUNTA($B144:$K144)+COUNTA($N144))&gt;0),"",IF(N($T144)&gt;0,$AB144,IFERROR(LOOKUP(2,1/(H144:K144&lt;&gt;""),H144:K144),0)))</f>
        <v/>
      </c>
      <c r="M144" s="61">
        <f>IF(L144="","",IF(L144&gt;=1,"Completado",IF(L144&gt;0,"En curso","Pendiente")))</f>
        <v/>
      </c>
      <c r="N144" s="62" t="n"/>
      <c r="O144" s="68">
        <f>IF(NOT((COUNTA($B144:$K144)+COUNTA($N144))&gt;0),"",IF((IF(AND($S144="Macro",$B144=""),"Macroactividad vacía"&amp;" · ","")&amp;IF(AND($B144&lt;&gt;"",$C144&lt;&gt;""),"Escriba la subactividad en otra fila, debajo de su macroactividad"&amp;" · ","")&amp;IF(AND($S144="Sub",N($R144)=0),"Subactividad sin macroactividad arriba"&amp;" · ","")&amp;IF($D144="","Sin responsable"&amp;" · ","")&amp;IF($E144="","Sin fecha de inicio"&amp;" · ","")&amp;IF($F144="","Sin fecha límite"&amp;" · ","")&amp;IF(OR(AND($E144&lt;&gt;"",NOT(ISNUMBER($E144))),AND($F144&lt;&gt;"",NOT(ISNUMBER($F144)))),"Fecha no válida"&amp;" · ","")&amp;IF(AND(ISNUMBER($E144),ISNUMBER($F144),$E144&gt;$F144),"Inicio posterior a fecha límite"&amp;" · ","")&amp;IF(AND($S144="Macro",$G144=""),"Peso vacío"&amp;" · ","")&amp;IF(AND($S144="Macro",$G144&lt;&gt;"",OR(NOT(ISNUMBER($G144)),$G144&lt;=0,$G144&gt;1)),"Peso fuera de rango"&amp;" · ","")&amp;IF(AND($S144="Sub",$G144&lt;&gt;""),"Las subactividades no llevan peso"&amp;" · ","")&amp;IF(AND($S144="Macro",ABS(SUMIFS($G$5:$G$1000,$P$5:$P$1000,$P144,$S$5:$S$1000,"Macro")-1)&gt;0.0001),"Pesos del mes suman "&amp;TEXT(SUMIFS($G$5:$G$1000,$P$5:$P$1000,$P144,$S$5:$S$1000,"Macro"),"0%")&amp;" · ","")&amp;IF(AND(N($T144)&gt;0,COUNT($H144:$K144)&gt;0),"Con subactividades: deje vacías las semanas (se calculan solas)"&amp;" · ","")&amp;IF((COUNTIF($H144:$K144,"&gt;1")+COUNTIF($H144:$K144,"&lt;0")+COUNTA($H144:$K144)-COUNT($H144:$K144))&gt;0,"Avance fuera de rango 0-100%"&amp;" · ","")&amp;IF(OR(AND($I144&lt;&gt;"",$I144&lt;$H144),AND($J144&lt;&gt;"",$J144&lt;MAX($H144:$I144)),AND($K144&lt;&gt;"",$K144&lt;MAX($H144:$J144))),"Avance semanal decreciente"&amp;" · ","")&amp;IF(AND(ISNUMBER($F144),$F144&lt;FechaRef,N($L144)&lt;1),"Vencida"&amp;" · ","")&amp;IF(AND(ObsObligatoria="Sí",ISNUMBER($F144),$F144&lt;FechaRef,N($L144)&lt;1,$N144=""),"Vencida sin observación"&amp;" · ",""))="","✔ OK","⚠ "&amp;LEFT(IF(AND($S144="Macro",$B144=""),"Macroactividad vacía"&amp;" · ","")&amp;IF(AND($B144&lt;&gt;"",$C144&lt;&gt;""),"Escriba la subactividad en otra fila, debajo de su macroactividad"&amp;" · ","")&amp;IF(AND($S144="Sub",N($R144)=0),"Subactividad sin macroactividad arriba"&amp;" · ","")&amp;IF($D144="","Sin responsable"&amp;" · ","")&amp;IF($E144="","Sin fecha de inicio"&amp;" · ","")&amp;IF($F144="","Sin fecha límite"&amp;" · ","")&amp;IF(OR(AND($E144&lt;&gt;"",NOT(ISNUMBER($E144))),AND($F144&lt;&gt;"",NOT(ISNUMBER($F144)))),"Fecha no válida"&amp;" · ","")&amp;IF(AND(ISNUMBER($E144),ISNUMBER($F144),$E144&gt;$F144),"Inicio posterior a fecha límite"&amp;" · ","")&amp;IF(AND($S144="Macro",$G144=""),"Peso vacío"&amp;" · ","")&amp;IF(AND($S144="Macro",$G144&lt;&gt;"",OR(NOT(ISNUMBER($G144)),$G144&lt;=0,$G144&gt;1)),"Peso fuera de rango"&amp;" · ","")&amp;IF(AND($S144="Sub",$G144&lt;&gt;""),"Las subactividades no llevan peso"&amp;" · ","")&amp;IF(AND($S144="Macro",ABS(SUMIFS($G$5:$G$1000,$P$5:$P$1000,$P144,$S$5:$S$1000,"Macro")-1)&gt;0.0001),"Pesos del mes suman "&amp;TEXT(SUMIFS($G$5:$G$1000,$P$5:$P$1000,$P144,$S$5:$S$1000,"Macro"),"0%")&amp;" · ","")&amp;IF(AND(N($T144)&gt;0,COUNT($H144:$K144)&gt;0),"Con subactividades: deje vacías las semanas (se calculan solas)"&amp;" · ","")&amp;IF((COUNTIF($H144:$K144,"&gt;1")+COUNTIF($H144:$K144,"&lt;0")+COUNTA($H144:$K144)-COUNT($H144:$K144))&gt;0,"Avance fuera de rango 0-100%"&amp;" · ","")&amp;IF(OR(AND($I144&lt;&gt;"",$I144&lt;$H144),AND($J144&lt;&gt;"",$J144&lt;MAX($H144:$I144)),AND($K144&lt;&gt;"",$K144&lt;MAX($H144:$J144))),"Avance semanal decreciente"&amp;" · ","")&amp;IF(AND(ISNUMBER($F144),$F144&lt;FechaRef,N($L144)&lt;1),"Vencida"&amp;" · ","")&amp;IF(AND(ObsObligatoria="Sí",ISNUMBER($F144),$F144&lt;FechaRef,N($L144)&lt;1,$N144=""),"Vencida sin observación"&amp;" · ",""),LEN(IF(AND($S144="Macro",$B144=""),"Macroactividad vacía"&amp;" · ","")&amp;IF(AND($B144&lt;&gt;"",$C144&lt;&gt;""),"Escriba la subactividad en otra fila, debajo de su macroactividad"&amp;" · ","")&amp;IF(AND($S144="Sub",N($R144)=0),"Subactividad sin macroactividad arriba"&amp;" · ","")&amp;IF($D144="","Sin responsable"&amp;" · ","")&amp;IF($E144="","Sin fecha de inicio"&amp;" · ","")&amp;IF($F144="","Sin fecha límite"&amp;" · ","")&amp;IF(OR(AND($E144&lt;&gt;"",NOT(ISNUMBER($E144))),AND($F144&lt;&gt;"",NOT(ISNUMBER($F144)))),"Fecha no válida"&amp;" · ","")&amp;IF(AND(ISNUMBER($E144),ISNUMBER($F144),$E144&gt;$F144),"Inicio posterior a fecha límite"&amp;" · ","")&amp;IF(AND($S144="Macro",$G144=""),"Peso vacío"&amp;" · ","")&amp;IF(AND($S144="Macro",$G144&lt;&gt;"",OR(NOT(ISNUMBER($G144)),$G144&lt;=0,$G144&gt;1)),"Peso fuera de rango"&amp;" · ","")&amp;IF(AND($S144="Sub",$G144&lt;&gt;""),"Las subactividades no llevan peso"&amp;" · ","")&amp;IF(AND($S144="Macro",ABS(SUMIFS($G$5:$G$1000,$P$5:$P$1000,$P144,$S$5:$S$1000,"Macro")-1)&gt;0.0001),"Pesos del mes suman "&amp;TEXT(SUMIFS($G$5:$G$1000,$P$5:$P$1000,$P144,$S$5:$S$1000,"Macro"),"0%")&amp;" · ","")&amp;IF(AND(N($T144)&gt;0,COUNT($H144:$K144)&gt;0),"Con subactividades: deje vacías las semanas (se calculan solas)"&amp;" · ","")&amp;IF((COUNTIF($H144:$K144,"&gt;1")+COUNTIF($H144:$K144,"&lt;0")+COUNTA($H144:$K144)-COUNT($H144:$K144))&gt;0,"Avance fuera de rango 0-100%"&amp;" · ","")&amp;IF(OR(AND($I144&lt;&gt;"",$I144&lt;$H144),AND($J144&lt;&gt;"",$J144&lt;MAX($H144:$I144)),AND($K144&lt;&gt;"",$K144&lt;MAX($H144:$J144))),"Avance semanal decreciente"&amp;" · ","")&amp;IF(AND(ISNUMBER($F144),$F144&lt;FechaRef,N($L144)&lt;1),"Vencida"&amp;" · ","")&amp;IF(AND(ObsObligatoria="Sí",ISNUMBER($F144),$F144&lt;FechaRef,N($L144)&lt;1,$N144=""),"Vencida sin observación"&amp;" · ",""))-3)))</f>
        <v/>
      </c>
      <c r="P144" s="69">
        <f>IF(NOT((COUNTA($B144:$K144)+COUNTA($N144))&gt;0),"",IF(AND($S144="Sub",N($R144)&gt;0),IF(ISNUMBER(INDEX($E$5:$E$1000,$R144-4)),DATE(YEAR(INDEX($E$5:$E$1000,$R144-4)),MONTH(INDEX($E$5:$E$1000,$R144-4)),1),IF(ISNUMBER(INDEX($F$5:$F$1000,$R144-4)),DATE(YEAR(INDEX($F$5:$F$1000,$R144-4)),MONTH(INDEX($F$5:$F$1000,$R144-4)),1),MesCiclo)),IF(ISNUMBER($E144),DATE(YEAR($E144),MONTH($E144),1),IF(ISNUMBER($F144),DATE(YEAR($F144),MONTH($F144),1),MesCiclo))))</f>
        <v/>
      </c>
      <c r="Q144" s="70">
        <f>IF(OR($P144="",$P144&lt;&gt;MesCiclo),"",COUNTIF($P$5:$P144,MesCiclo))</f>
        <v/>
      </c>
      <c r="R144" s="70">
        <f>IF($S144="","",IF($S144="Macro",ROW(),IFERROR(LOOKUP(2,1/($S$5:$S144="Macro"),ROW($S$5:$S144)),0)))</f>
        <v/>
      </c>
      <c r="S144" s="70">
        <f>IF(NOT((COUNTA($B144:$K144)+COUNTA($N144))&gt;0),"",IF($B144&lt;&gt;"","Macro",IF($C144&lt;&gt;"","Sub","Macro")))</f>
        <v/>
      </c>
      <c r="T144" s="70">
        <f>IF($S144="Macro",COUNTIFS($R$5:$R$1000,ROW(),$S$5:$S$1000,"Sub"),"")</f>
        <v/>
      </c>
      <c r="U144" s="70">
        <f>IF($S144="","",IF(ISNUMBER($H144),$H144,0))</f>
        <v/>
      </c>
      <c r="V144" s="70">
        <f>IF($S144="","",IF(ISNUMBER($I144),$I144,$U144))</f>
        <v/>
      </c>
      <c r="W144" s="70">
        <f>IF($S144="","",IF(ISNUMBER($J144),$J144,$V144))</f>
        <v/>
      </c>
      <c r="X144" s="70">
        <f>IF($S144="","",IF(ISNUMBER($K144),$K144,$W144))</f>
        <v/>
      </c>
      <c r="Y144" s="70">
        <f>IF($S144="","",IF(N($T144)&gt;0,AVERAGEIFS($U$5:$U$1000,$R$5:$R$1000,ROW(),$S$5:$S$1000,"Sub"),$U144))</f>
        <v/>
      </c>
      <c r="Z144" s="70">
        <f>IF($S144="","",IF(N($T144)&gt;0,AVERAGEIFS($V$5:$V$1000,$R$5:$R$1000,ROW(),$S$5:$S$1000,"Sub"),$V144))</f>
        <v/>
      </c>
      <c r="AA144" s="70">
        <f>IF($S144="","",IF(N($T144)&gt;0,AVERAGEIFS($W$5:$W$1000,$R$5:$R$1000,ROW(),$S$5:$S$1000,"Sub"),$W144))</f>
        <v/>
      </c>
      <c r="AB144" s="70">
        <f>IF($S144="","",IF(N($T144)&gt;0,AVERAGEIFS($X$5:$X$1000,$R$5:$R$1000,ROW(),$S$5:$S$1000,"Sub"),$X144))</f>
        <v/>
      </c>
    </row>
    <row r="145">
      <c r="A145" s="61">
        <f>IF(NOT((COUNTA($B145:$K145)+COUNTA($N145))&gt;0),"",IF($S145="Macro",COUNTIFS($S$5:$S145,"Macro",$P$5:$P145,$P145),IF(N($R145)=0,"?",COUNTIFS(INDEX($S$5:$S$1000,1):INDEX($S$5:$S$1000,$R145-4),"Macro",INDEX($P$5:$P$1000,1):INDEX($P$5:$P$1000,$R145-4),INDEX($P$5:$P$1000,$R145-4))&amp;"."&amp;COUNTIFS($R$5:$R145,$R145,$S$5:$S145,"Sub"))))</f>
        <v/>
      </c>
      <c r="B145" s="62" t="n"/>
      <c r="C145" s="63" t="n"/>
      <c r="D145" s="62" t="n"/>
      <c r="E145" s="64" t="n"/>
      <c r="F145" s="64" t="n"/>
      <c r="G145" s="65" t="n"/>
      <c r="H145" s="66" t="n"/>
      <c r="I145" s="66" t="n"/>
      <c r="J145" s="66" t="n"/>
      <c r="K145" s="66" t="n"/>
      <c r="L145" s="67">
        <f>IF(NOT((COUNTA($B145:$K145)+COUNTA($N145))&gt;0),"",IF(N($T145)&gt;0,$AB145,IFERROR(LOOKUP(2,1/(H145:K145&lt;&gt;""),H145:K145),0)))</f>
        <v/>
      </c>
      <c r="M145" s="61">
        <f>IF(L145="","",IF(L145&gt;=1,"Completado",IF(L145&gt;0,"En curso","Pendiente")))</f>
        <v/>
      </c>
      <c r="N145" s="62" t="n"/>
      <c r="O145" s="68">
        <f>IF(NOT((COUNTA($B145:$K145)+COUNTA($N145))&gt;0),"",IF((IF(AND($S145="Macro",$B145=""),"Macroactividad vacía"&amp;" · ","")&amp;IF(AND($B145&lt;&gt;"",$C145&lt;&gt;""),"Escriba la subactividad en otra fila, debajo de su macroactividad"&amp;" · ","")&amp;IF(AND($S145="Sub",N($R145)=0),"Subactividad sin macroactividad arriba"&amp;" · ","")&amp;IF($D145="","Sin responsable"&amp;" · ","")&amp;IF($E145="","Sin fecha de inicio"&amp;" · ","")&amp;IF($F145="","Sin fecha límite"&amp;" · ","")&amp;IF(OR(AND($E145&lt;&gt;"",NOT(ISNUMBER($E145))),AND($F145&lt;&gt;"",NOT(ISNUMBER($F145)))),"Fecha no válida"&amp;" · ","")&amp;IF(AND(ISNUMBER($E145),ISNUMBER($F145),$E145&gt;$F145),"Inicio posterior a fecha límite"&amp;" · ","")&amp;IF(AND($S145="Macro",$G145=""),"Peso vacío"&amp;" · ","")&amp;IF(AND($S145="Macro",$G145&lt;&gt;"",OR(NOT(ISNUMBER($G145)),$G145&lt;=0,$G145&gt;1)),"Peso fuera de rango"&amp;" · ","")&amp;IF(AND($S145="Sub",$G145&lt;&gt;""),"Las subactividades no llevan peso"&amp;" · ","")&amp;IF(AND($S145="Macro",ABS(SUMIFS($G$5:$G$1000,$P$5:$P$1000,$P145,$S$5:$S$1000,"Macro")-1)&gt;0.0001),"Pesos del mes suman "&amp;TEXT(SUMIFS($G$5:$G$1000,$P$5:$P$1000,$P145,$S$5:$S$1000,"Macro"),"0%")&amp;" · ","")&amp;IF(AND(N($T145)&gt;0,COUNT($H145:$K145)&gt;0),"Con subactividades: deje vacías las semanas (se calculan solas)"&amp;" · ","")&amp;IF((COUNTIF($H145:$K145,"&gt;1")+COUNTIF($H145:$K145,"&lt;0")+COUNTA($H145:$K145)-COUNT($H145:$K145))&gt;0,"Avance fuera de rango 0-100%"&amp;" · ","")&amp;IF(OR(AND($I145&lt;&gt;"",$I145&lt;$H145),AND($J145&lt;&gt;"",$J145&lt;MAX($H145:$I145)),AND($K145&lt;&gt;"",$K145&lt;MAX($H145:$J145))),"Avance semanal decreciente"&amp;" · ","")&amp;IF(AND(ISNUMBER($F145),$F145&lt;FechaRef,N($L145)&lt;1),"Vencida"&amp;" · ","")&amp;IF(AND(ObsObligatoria="Sí",ISNUMBER($F145),$F145&lt;FechaRef,N($L145)&lt;1,$N145=""),"Vencida sin observación"&amp;" · ",""))="","✔ OK","⚠ "&amp;LEFT(IF(AND($S145="Macro",$B145=""),"Macroactividad vacía"&amp;" · ","")&amp;IF(AND($B145&lt;&gt;"",$C145&lt;&gt;""),"Escriba la subactividad en otra fila, debajo de su macroactividad"&amp;" · ","")&amp;IF(AND($S145="Sub",N($R145)=0),"Subactividad sin macroactividad arriba"&amp;" · ","")&amp;IF($D145="","Sin responsable"&amp;" · ","")&amp;IF($E145="","Sin fecha de inicio"&amp;" · ","")&amp;IF($F145="","Sin fecha límite"&amp;" · ","")&amp;IF(OR(AND($E145&lt;&gt;"",NOT(ISNUMBER($E145))),AND($F145&lt;&gt;"",NOT(ISNUMBER($F145)))),"Fecha no válida"&amp;" · ","")&amp;IF(AND(ISNUMBER($E145),ISNUMBER($F145),$E145&gt;$F145),"Inicio posterior a fecha límite"&amp;" · ","")&amp;IF(AND($S145="Macro",$G145=""),"Peso vacío"&amp;" · ","")&amp;IF(AND($S145="Macro",$G145&lt;&gt;"",OR(NOT(ISNUMBER($G145)),$G145&lt;=0,$G145&gt;1)),"Peso fuera de rango"&amp;" · ","")&amp;IF(AND($S145="Sub",$G145&lt;&gt;""),"Las subactividades no llevan peso"&amp;" · ","")&amp;IF(AND($S145="Macro",ABS(SUMIFS($G$5:$G$1000,$P$5:$P$1000,$P145,$S$5:$S$1000,"Macro")-1)&gt;0.0001),"Pesos del mes suman "&amp;TEXT(SUMIFS($G$5:$G$1000,$P$5:$P$1000,$P145,$S$5:$S$1000,"Macro"),"0%")&amp;" · ","")&amp;IF(AND(N($T145)&gt;0,COUNT($H145:$K145)&gt;0),"Con subactividades: deje vacías las semanas (se calculan solas)"&amp;" · ","")&amp;IF((COUNTIF($H145:$K145,"&gt;1")+COUNTIF($H145:$K145,"&lt;0")+COUNTA($H145:$K145)-COUNT($H145:$K145))&gt;0,"Avance fuera de rango 0-100%"&amp;" · ","")&amp;IF(OR(AND($I145&lt;&gt;"",$I145&lt;$H145),AND($J145&lt;&gt;"",$J145&lt;MAX($H145:$I145)),AND($K145&lt;&gt;"",$K145&lt;MAX($H145:$J145))),"Avance semanal decreciente"&amp;" · ","")&amp;IF(AND(ISNUMBER($F145),$F145&lt;FechaRef,N($L145)&lt;1),"Vencida"&amp;" · ","")&amp;IF(AND(ObsObligatoria="Sí",ISNUMBER($F145),$F145&lt;FechaRef,N($L145)&lt;1,$N145=""),"Vencida sin observación"&amp;" · ",""),LEN(IF(AND($S145="Macro",$B145=""),"Macroactividad vacía"&amp;" · ","")&amp;IF(AND($B145&lt;&gt;"",$C145&lt;&gt;""),"Escriba la subactividad en otra fila, debajo de su macroactividad"&amp;" · ","")&amp;IF(AND($S145="Sub",N($R145)=0),"Subactividad sin macroactividad arriba"&amp;" · ","")&amp;IF($D145="","Sin responsable"&amp;" · ","")&amp;IF($E145="","Sin fecha de inicio"&amp;" · ","")&amp;IF($F145="","Sin fecha límite"&amp;" · ","")&amp;IF(OR(AND($E145&lt;&gt;"",NOT(ISNUMBER($E145))),AND($F145&lt;&gt;"",NOT(ISNUMBER($F145)))),"Fecha no válida"&amp;" · ","")&amp;IF(AND(ISNUMBER($E145),ISNUMBER($F145),$E145&gt;$F145),"Inicio posterior a fecha límite"&amp;" · ","")&amp;IF(AND($S145="Macro",$G145=""),"Peso vacío"&amp;" · ","")&amp;IF(AND($S145="Macro",$G145&lt;&gt;"",OR(NOT(ISNUMBER($G145)),$G145&lt;=0,$G145&gt;1)),"Peso fuera de rango"&amp;" · ","")&amp;IF(AND($S145="Sub",$G145&lt;&gt;""),"Las subactividades no llevan peso"&amp;" · ","")&amp;IF(AND($S145="Macro",ABS(SUMIFS($G$5:$G$1000,$P$5:$P$1000,$P145,$S$5:$S$1000,"Macro")-1)&gt;0.0001),"Pesos del mes suman "&amp;TEXT(SUMIFS($G$5:$G$1000,$P$5:$P$1000,$P145,$S$5:$S$1000,"Macro"),"0%")&amp;" · ","")&amp;IF(AND(N($T145)&gt;0,COUNT($H145:$K145)&gt;0),"Con subactividades: deje vacías las semanas (se calculan solas)"&amp;" · ","")&amp;IF((COUNTIF($H145:$K145,"&gt;1")+COUNTIF($H145:$K145,"&lt;0")+COUNTA($H145:$K145)-COUNT($H145:$K145))&gt;0,"Avance fuera de rango 0-100%"&amp;" · ","")&amp;IF(OR(AND($I145&lt;&gt;"",$I145&lt;$H145),AND($J145&lt;&gt;"",$J145&lt;MAX($H145:$I145)),AND($K145&lt;&gt;"",$K145&lt;MAX($H145:$J145))),"Avance semanal decreciente"&amp;" · ","")&amp;IF(AND(ISNUMBER($F145),$F145&lt;FechaRef,N($L145)&lt;1),"Vencida"&amp;" · ","")&amp;IF(AND(ObsObligatoria="Sí",ISNUMBER($F145),$F145&lt;FechaRef,N($L145)&lt;1,$N145=""),"Vencida sin observación"&amp;" · ",""))-3)))</f>
        <v/>
      </c>
      <c r="P145" s="69">
        <f>IF(NOT((COUNTA($B145:$K145)+COUNTA($N145))&gt;0),"",IF(AND($S145="Sub",N($R145)&gt;0),IF(ISNUMBER(INDEX($E$5:$E$1000,$R145-4)),DATE(YEAR(INDEX($E$5:$E$1000,$R145-4)),MONTH(INDEX($E$5:$E$1000,$R145-4)),1),IF(ISNUMBER(INDEX($F$5:$F$1000,$R145-4)),DATE(YEAR(INDEX($F$5:$F$1000,$R145-4)),MONTH(INDEX($F$5:$F$1000,$R145-4)),1),MesCiclo)),IF(ISNUMBER($E145),DATE(YEAR($E145),MONTH($E145),1),IF(ISNUMBER($F145),DATE(YEAR($F145),MONTH($F145),1),MesCiclo))))</f>
        <v/>
      </c>
      <c r="Q145" s="70">
        <f>IF(OR($P145="",$P145&lt;&gt;MesCiclo),"",COUNTIF($P$5:$P145,MesCiclo))</f>
        <v/>
      </c>
      <c r="R145" s="70">
        <f>IF($S145="","",IF($S145="Macro",ROW(),IFERROR(LOOKUP(2,1/($S$5:$S145="Macro"),ROW($S$5:$S145)),0)))</f>
        <v/>
      </c>
      <c r="S145" s="70">
        <f>IF(NOT((COUNTA($B145:$K145)+COUNTA($N145))&gt;0),"",IF($B145&lt;&gt;"","Macro",IF($C145&lt;&gt;"","Sub","Macro")))</f>
        <v/>
      </c>
      <c r="T145" s="70">
        <f>IF($S145="Macro",COUNTIFS($R$5:$R$1000,ROW(),$S$5:$S$1000,"Sub"),"")</f>
        <v/>
      </c>
      <c r="U145" s="70">
        <f>IF($S145="","",IF(ISNUMBER($H145),$H145,0))</f>
        <v/>
      </c>
      <c r="V145" s="70">
        <f>IF($S145="","",IF(ISNUMBER($I145),$I145,$U145))</f>
        <v/>
      </c>
      <c r="W145" s="70">
        <f>IF($S145="","",IF(ISNUMBER($J145),$J145,$V145))</f>
        <v/>
      </c>
      <c r="X145" s="70">
        <f>IF($S145="","",IF(ISNUMBER($K145),$K145,$W145))</f>
        <v/>
      </c>
      <c r="Y145" s="70">
        <f>IF($S145="","",IF(N($T145)&gt;0,AVERAGEIFS($U$5:$U$1000,$R$5:$R$1000,ROW(),$S$5:$S$1000,"Sub"),$U145))</f>
        <v/>
      </c>
      <c r="Z145" s="70">
        <f>IF($S145="","",IF(N($T145)&gt;0,AVERAGEIFS($V$5:$V$1000,$R$5:$R$1000,ROW(),$S$5:$S$1000,"Sub"),$V145))</f>
        <v/>
      </c>
      <c r="AA145" s="70">
        <f>IF($S145="","",IF(N($T145)&gt;0,AVERAGEIFS($W$5:$W$1000,$R$5:$R$1000,ROW(),$S$5:$S$1000,"Sub"),$W145))</f>
        <v/>
      </c>
      <c r="AB145" s="70">
        <f>IF($S145="","",IF(N($T145)&gt;0,AVERAGEIFS($X$5:$X$1000,$R$5:$R$1000,ROW(),$S$5:$S$1000,"Sub"),$X145))</f>
        <v/>
      </c>
    </row>
    <row r="146">
      <c r="A146" s="61">
        <f>IF(NOT((COUNTA($B146:$K146)+COUNTA($N146))&gt;0),"",IF($S146="Macro",COUNTIFS($S$5:$S146,"Macro",$P$5:$P146,$P146),IF(N($R146)=0,"?",COUNTIFS(INDEX($S$5:$S$1000,1):INDEX($S$5:$S$1000,$R146-4),"Macro",INDEX($P$5:$P$1000,1):INDEX($P$5:$P$1000,$R146-4),INDEX($P$5:$P$1000,$R146-4))&amp;"."&amp;COUNTIFS($R$5:$R146,$R146,$S$5:$S146,"Sub"))))</f>
        <v/>
      </c>
      <c r="B146" s="62" t="n"/>
      <c r="C146" s="63" t="n"/>
      <c r="D146" s="62" t="n"/>
      <c r="E146" s="64" t="n"/>
      <c r="F146" s="64" t="n"/>
      <c r="G146" s="65" t="n"/>
      <c r="H146" s="66" t="n"/>
      <c r="I146" s="66" t="n"/>
      <c r="J146" s="66" t="n"/>
      <c r="K146" s="66" t="n"/>
      <c r="L146" s="67">
        <f>IF(NOT((COUNTA($B146:$K146)+COUNTA($N146))&gt;0),"",IF(N($T146)&gt;0,$AB146,IFERROR(LOOKUP(2,1/(H146:K146&lt;&gt;""),H146:K146),0)))</f>
        <v/>
      </c>
      <c r="M146" s="61">
        <f>IF(L146="","",IF(L146&gt;=1,"Completado",IF(L146&gt;0,"En curso","Pendiente")))</f>
        <v/>
      </c>
      <c r="N146" s="62" t="n"/>
      <c r="O146" s="68">
        <f>IF(NOT((COUNTA($B146:$K146)+COUNTA($N146))&gt;0),"",IF((IF(AND($S146="Macro",$B146=""),"Macroactividad vacía"&amp;" · ","")&amp;IF(AND($B146&lt;&gt;"",$C146&lt;&gt;""),"Escriba la subactividad en otra fila, debajo de su macroactividad"&amp;" · ","")&amp;IF(AND($S146="Sub",N($R146)=0),"Subactividad sin macroactividad arriba"&amp;" · ","")&amp;IF($D146="","Sin responsable"&amp;" · ","")&amp;IF($E146="","Sin fecha de inicio"&amp;" · ","")&amp;IF($F146="","Sin fecha límite"&amp;" · ","")&amp;IF(OR(AND($E146&lt;&gt;"",NOT(ISNUMBER($E146))),AND($F146&lt;&gt;"",NOT(ISNUMBER($F146)))),"Fecha no válida"&amp;" · ","")&amp;IF(AND(ISNUMBER($E146),ISNUMBER($F146),$E146&gt;$F146),"Inicio posterior a fecha límite"&amp;" · ","")&amp;IF(AND($S146="Macro",$G146=""),"Peso vacío"&amp;" · ","")&amp;IF(AND($S146="Macro",$G146&lt;&gt;"",OR(NOT(ISNUMBER($G146)),$G146&lt;=0,$G146&gt;1)),"Peso fuera de rango"&amp;" · ","")&amp;IF(AND($S146="Sub",$G146&lt;&gt;""),"Las subactividades no llevan peso"&amp;" · ","")&amp;IF(AND($S146="Macro",ABS(SUMIFS($G$5:$G$1000,$P$5:$P$1000,$P146,$S$5:$S$1000,"Macro")-1)&gt;0.0001),"Pesos del mes suman "&amp;TEXT(SUMIFS($G$5:$G$1000,$P$5:$P$1000,$P146,$S$5:$S$1000,"Macro"),"0%")&amp;" · ","")&amp;IF(AND(N($T146)&gt;0,COUNT($H146:$K146)&gt;0),"Con subactividades: deje vacías las semanas (se calculan solas)"&amp;" · ","")&amp;IF((COUNTIF($H146:$K146,"&gt;1")+COUNTIF($H146:$K146,"&lt;0")+COUNTA($H146:$K146)-COUNT($H146:$K146))&gt;0,"Avance fuera de rango 0-100%"&amp;" · ","")&amp;IF(OR(AND($I146&lt;&gt;"",$I146&lt;$H146),AND($J146&lt;&gt;"",$J146&lt;MAX($H146:$I146)),AND($K146&lt;&gt;"",$K146&lt;MAX($H146:$J146))),"Avance semanal decreciente"&amp;" · ","")&amp;IF(AND(ISNUMBER($F146),$F146&lt;FechaRef,N($L146)&lt;1),"Vencida"&amp;" · ","")&amp;IF(AND(ObsObligatoria="Sí",ISNUMBER($F146),$F146&lt;FechaRef,N($L146)&lt;1,$N146=""),"Vencida sin observación"&amp;" · ",""))="","✔ OK","⚠ "&amp;LEFT(IF(AND($S146="Macro",$B146=""),"Macroactividad vacía"&amp;" · ","")&amp;IF(AND($B146&lt;&gt;"",$C146&lt;&gt;""),"Escriba la subactividad en otra fila, debajo de su macroactividad"&amp;" · ","")&amp;IF(AND($S146="Sub",N($R146)=0),"Subactividad sin macroactividad arriba"&amp;" · ","")&amp;IF($D146="","Sin responsable"&amp;" · ","")&amp;IF($E146="","Sin fecha de inicio"&amp;" · ","")&amp;IF($F146="","Sin fecha límite"&amp;" · ","")&amp;IF(OR(AND($E146&lt;&gt;"",NOT(ISNUMBER($E146))),AND($F146&lt;&gt;"",NOT(ISNUMBER($F146)))),"Fecha no válida"&amp;" · ","")&amp;IF(AND(ISNUMBER($E146),ISNUMBER($F146),$E146&gt;$F146),"Inicio posterior a fecha límite"&amp;" · ","")&amp;IF(AND($S146="Macro",$G146=""),"Peso vacío"&amp;" · ","")&amp;IF(AND($S146="Macro",$G146&lt;&gt;"",OR(NOT(ISNUMBER($G146)),$G146&lt;=0,$G146&gt;1)),"Peso fuera de rango"&amp;" · ","")&amp;IF(AND($S146="Sub",$G146&lt;&gt;""),"Las subactividades no llevan peso"&amp;" · ","")&amp;IF(AND($S146="Macro",ABS(SUMIFS($G$5:$G$1000,$P$5:$P$1000,$P146,$S$5:$S$1000,"Macro")-1)&gt;0.0001),"Pesos del mes suman "&amp;TEXT(SUMIFS($G$5:$G$1000,$P$5:$P$1000,$P146,$S$5:$S$1000,"Macro"),"0%")&amp;" · ","")&amp;IF(AND(N($T146)&gt;0,COUNT($H146:$K146)&gt;0),"Con subactividades: deje vacías las semanas (se calculan solas)"&amp;" · ","")&amp;IF((COUNTIF($H146:$K146,"&gt;1")+COUNTIF($H146:$K146,"&lt;0")+COUNTA($H146:$K146)-COUNT($H146:$K146))&gt;0,"Avance fuera de rango 0-100%"&amp;" · ","")&amp;IF(OR(AND($I146&lt;&gt;"",$I146&lt;$H146),AND($J146&lt;&gt;"",$J146&lt;MAX($H146:$I146)),AND($K146&lt;&gt;"",$K146&lt;MAX($H146:$J146))),"Avance semanal decreciente"&amp;" · ","")&amp;IF(AND(ISNUMBER($F146),$F146&lt;FechaRef,N($L146)&lt;1),"Vencida"&amp;" · ","")&amp;IF(AND(ObsObligatoria="Sí",ISNUMBER($F146),$F146&lt;FechaRef,N($L146)&lt;1,$N146=""),"Vencida sin observación"&amp;" · ",""),LEN(IF(AND($S146="Macro",$B146=""),"Macroactividad vacía"&amp;" · ","")&amp;IF(AND($B146&lt;&gt;"",$C146&lt;&gt;""),"Escriba la subactividad en otra fila, debajo de su macroactividad"&amp;" · ","")&amp;IF(AND($S146="Sub",N($R146)=0),"Subactividad sin macroactividad arriba"&amp;" · ","")&amp;IF($D146="","Sin responsable"&amp;" · ","")&amp;IF($E146="","Sin fecha de inicio"&amp;" · ","")&amp;IF($F146="","Sin fecha límite"&amp;" · ","")&amp;IF(OR(AND($E146&lt;&gt;"",NOT(ISNUMBER($E146))),AND($F146&lt;&gt;"",NOT(ISNUMBER($F146)))),"Fecha no válida"&amp;" · ","")&amp;IF(AND(ISNUMBER($E146),ISNUMBER($F146),$E146&gt;$F146),"Inicio posterior a fecha límite"&amp;" · ","")&amp;IF(AND($S146="Macro",$G146=""),"Peso vacío"&amp;" · ","")&amp;IF(AND($S146="Macro",$G146&lt;&gt;"",OR(NOT(ISNUMBER($G146)),$G146&lt;=0,$G146&gt;1)),"Peso fuera de rango"&amp;" · ","")&amp;IF(AND($S146="Sub",$G146&lt;&gt;""),"Las subactividades no llevan peso"&amp;" · ","")&amp;IF(AND($S146="Macro",ABS(SUMIFS($G$5:$G$1000,$P$5:$P$1000,$P146,$S$5:$S$1000,"Macro")-1)&gt;0.0001),"Pesos del mes suman "&amp;TEXT(SUMIFS($G$5:$G$1000,$P$5:$P$1000,$P146,$S$5:$S$1000,"Macro"),"0%")&amp;" · ","")&amp;IF(AND(N($T146)&gt;0,COUNT($H146:$K146)&gt;0),"Con subactividades: deje vacías las semanas (se calculan solas)"&amp;" · ","")&amp;IF((COUNTIF($H146:$K146,"&gt;1")+COUNTIF($H146:$K146,"&lt;0")+COUNTA($H146:$K146)-COUNT($H146:$K146))&gt;0,"Avance fuera de rango 0-100%"&amp;" · ","")&amp;IF(OR(AND($I146&lt;&gt;"",$I146&lt;$H146),AND($J146&lt;&gt;"",$J146&lt;MAX($H146:$I146)),AND($K146&lt;&gt;"",$K146&lt;MAX($H146:$J146))),"Avance semanal decreciente"&amp;" · ","")&amp;IF(AND(ISNUMBER($F146),$F146&lt;FechaRef,N($L146)&lt;1),"Vencida"&amp;" · ","")&amp;IF(AND(ObsObligatoria="Sí",ISNUMBER($F146),$F146&lt;FechaRef,N($L146)&lt;1,$N146=""),"Vencida sin observación"&amp;" · ",""))-3)))</f>
        <v/>
      </c>
      <c r="P146" s="69">
        <f>IF(NOT((COUNTA($B146:$K146)+COUNTA($N146))&gt;0),"",IF(AND($S146="Sub",N($R146)&gt;0),IF(ISNUMBER(INDEX($E$5:$E$1000,$R146-4)),DATE(YEAR(INDEX($E$5:$E$1000,$R146-4)),MONTH(INDEX($E$5:$E$1000,$R146-4)),1),IF(ISNUMBER(INDEX($F$5:$F$1000,$R146-4)),DATE(YEAR(INDEX($F$5:$F$1000,$R146-4)),MONTH(INDEX($F$5:$F$1000,$R146-4)),1),MesCiclo)),IF(ISNUMBER($E146),DATE(YEAR($E146),MONTH($E146),1),IF(ISNUMBER($F146),DATE(YEAR($F146),MONTH($F146),1),MesCiclo))))</f>
        <v/>
      </c>
      <c r="Q146" s="70">
        <f>IF(OR($P146="",$P146&lt;&gt;MesCiclo),"",COUNTIF($P$5:$P146,MesCiclo))</f>
        <v/>
      </c>
      <c r="R146" s="70">
        <f>IF($S146="","",IF($S146="Macro",ROW(),IFERROR(LOOKUP(2,1/($S$5:$S146="Macro"),ROW($S$5:$S146)),0)))</f>
        <v/>
      </c>
      <c r="S146" s="70">
        <f>IF(NOT((COUNTA($B146:$K146)+COUNTA($N146))&gt;0),"",IF($B146&lt;&gt;"","Macro",IF($C146&lt;&gt;"","Sub","Macro")))</f>
        <v/>
      </c>
      <c r="T146" s="70">
        <f>IF($S146="Macro",COUNTIFS($R$5:$R$1000,ROW(),$S$5:$S$1000,"Sub"),"")</f>
        <v/>
      </c>
      <c r="U146" s="70">
        <f>IF($S146="","",IF(ISNUMBER($H146),$H146,0))</f>
        <v/>
      </c>
      <c r="V146" s="70">
        <f>IF($S146="","",IF(ISNUMBER($I146),$I146,$U146))</f>
        <v/>
      </c>
      <c r="W146" s="70">
        <f>IF($S146="","",IF(ISNUMBER($J146),$J146,$V146))</f>
        <v/>
      </c>
      <c r="X146" s="70">
        <f>IF($S146="","",IF(ISNUMBER($K146),$K146,$W146))</f>
        <v/>
      </c>
      <c r="Y146" s="70">
        <f>IF($S146="","",IF(N($T146)&gt;0,AVERAGEIFS($U$5:$U$1000,$R$5:$R$1000,ROW(),$S$5:$S$1000,"Sub"),$U146))</f>
        <v/>
      </c>
      <c r="Z146" s="70">
        <f>IF($S146="","",IF(N($T146)&gt;0,AVERAGEIFS($V$5:$V$1000,$R$5:$R$1000,ROW(),$S$5:$S$1000,"Sub"),$V146))</f>
        <v/>
      </c>
      <c r="AA146" s="70">
        <f>IF($S146="","",IF(N($T146)&gt;0,AVERAGEIFS($W$5:$W$1000,$R$5:$R$1000,ROW(),$S$5:$S$1000,"Sub"),$W146))</f>
        <v/>
      </c>
      <c r="AB146" s="70">
        <f>IF($S146="","",IF(N($T146)&gt;0,AVERAGEIFS($X$5:$X$1000,$R$5:$R$1000,ROW(),$S$5:$S$1000,"Sub"),$X146))</f>
        <v/>
      </c>
    </row>
    <row r="147">
      <c r="A147" s="61">
        <f>IF(NOT((COUNTA($B147:$K147)+COUNTA($N147))&gt;0),"",IF($S147="Macro",COUNTIFS($S$5:$S147,"Macro",$P$5:$P147,$P147),IF(N($R147)=0,"?",COUNTIFS(INDEX($S$5:$S$1000,1):INDEX($S$5:$S$1000,$R147-4),"Macro",INDEX($P$5:$P$1000,1):INDEX($P$5:$P$1000,$R147-4),INDEX($P$5:$P$1000,$R147-4))&amp;"."&amp;COUNTIFS($R$5:$R147,$R147,$S$5:$S147,"Sub"))))</f>
        <v/>
      </c>
      <c r="B147" s="62" t="n"/>
      <c r="C147" s="63" t="n"/>
      <c r="D147" s="62" t="n"/>
      <c r="E147" s="64" t="n"/>
      <c r="F147" s="64" t="n"/>
      <c r="G147" s="65" t="n"/>
      <c r="H147" s="66" t="n"/>
      <c r="I147" s="66" t="n"/>
      <c r="J147" s="66" t="n"/>
      <c r="K147" s="66" t="n"/>
      <c r="L147" s="67">
        <f>IF(NOT((COUNTA($B147:$K147)+COUNTA($N147))&gt;0),"",IF(N($T147)&gt;0,$AB147,IFERROR(LOOKUP(2,1/(H147:K147&lt;&gt;""),H147:K147),0)))</f>
        <v/>
      </c>
      <c r="M147" s="61">
        <f>IF(L147="","",IF(L147&gt;=1,"Completado",IF(L147&gt;0,"En curso","Pendiente")))</f>
        <v/>
      </c>
      <c r="N147" s="62" t="n"/>
      <c r="O147" s="68">
        <f>IF(NOT((COUNTA($B147:$K147)+COUNTA($N147))&gt;0),"",IF((IF(AND($S147="Macro",$B147=""),"Macroactividad vacía"&amp;" · ","")&amp;IF(AND($B147&lt;&gt;"",$C147&lt;&gt;""),"Escriba la subactividad en otra fila, debajo de su macroactividad"&amp;" · ","")&amp;IF(AND($S147="Sub",N($R147)=0),"Subactividad sin macroactividad arriba"&amp;" · ","")&amp;IF($D147="","Sin responsable"&amp;" · ","")&amp;IF($E147="","Sin fecha de inicio"&amp;" · ","")&amp;IF($F147="","Sin fecha límite"&amp;" · ","")&amp;IF(OR(AND($E147&lt;&gt;"",NOT(ISNUMBER($E147))),AND($F147&lt;&gt;"",NOT(ISNUMBER($F147)))),"Fecha no válida"&amp;" · ","")&amp;IF(AND(ISNUMBER($E147),ISNUMBER($F147),$E147&gt;$F147),"Inicio posterior a fecha límite"&amp;" · ","")&amp;IF(AND($S147="Macro",$G147=""),"Peso vacío"&amp;" · ","")&amp;IF(AND($S147="Macro",$G147&lt;&gt;"",OR(NOT(ISNUMBER($G147)),$G147&lt;=0,$G147&gt;1)),"Peso fuera de rango"&amp;" · ","")&amp;IF(AND($S147="Sub",$G147&lt;&gt;""),"Las subactividades no llevan peso"&amp;" · ","")&amp;IF(AND($S147="Macro",ABS(SUMIFS($G$5:$G$1000,$P$5:$P$1000,$P147,$S$5:$S$1000,"Macro")-1)&gt;0.0001),"Pesos del mes suman "&amp;TEXT(SUMIFS($G$5:$G$1000,$P$5:$P$1000,$P147,$S$5:$S$1000,"Macro"),"0%")&amp;" · ","")&amp;IF(AND(N($T147)&gt;0,COUNT($H147:$K147)&gt;0),"Con subactividades: deje vacías las semanas (se calculan solas)"&amp;" · ","")&amp;IF((COUNTIF($H147:$K147,"&gt;1")+COUNTIF($H147:$K147,"&lt;0")+COUNTA($H147:$K147)-COUNT($H147:$K147))&gt;0,"Avance fuera de rango 0-100%"&amp;" · ","")&amp;IF(OR(AND($I147&lt;&gt;"",$I147&lt;$H147),AND($J147&lt;&gt;"",$J147&lt;MAX($H147:$I147)),AND($K147&lt;&gt;"",$K147&lt;MAX($H147:$J147))),"Avance semanal decreciente"&amp;" · ","")&amp;IF(AND(ISNUMBER($F147),$F147&lt;FechaRef,N($L147)&lt;1),"Vencida"&amp;" · ","")&amp;IF(AND(ObsObligatoria="Sí",ISNUMBER($F147),$F147&lt;FechaRef,N($L147)&lt;1,$N147=""),"Vencida sin observación"&amp;" · ",""))="","✔ OK","⚠ "&amp;LEFT(IF(AND($S147="Macro",$B147=""),"Macroactividad vacía"&amp;" · ","")&amp;IF(AND($B147&lt;&gt;"",$C147&lt;&gt;""),"Escriba la subactividad en otra fila, debajo de su macroactividad"&amp;" · ","")&amp;IF(AND($S147="Sub",N($R147)=0),"Subactividad sin macroactividad arriba"&amp;" · ","")&amp;IF($D147="","Sin responsable"&amp;" · ","")&amp;IF($E147="","Sin fecha de inicio"&amp;" · ","")&amp;IF($F147="","Sin fecha límite"&amp;" · ","")&amp;IF(OR(AND($E147&lt;&gt;"",NOT(ISNUMBER($E147))),AND($F147&lt;&gt;"",NOT(ISNUMBER($F147)))),"Fecha no válida"&amp;" · ","")&amp;IF(AND(ISNUMBER($E147),ISNUMBER($F147),$E147&gt;$F147),"Inicio posterior a fecha límite"&amp;" · ","")&amp;IF(AND($S147="Macro",$G147=""),"Peso vacío"&amp;" · ","")&amp;IF(AND($S147="Macro",$G147&lt;&gt;"",OR(NOT(ISNUMBER($G147)),$G147&lt;=0,$G147&gt;1)),"Peso fuera de rango"&amp;" · ","")&amp;IF(AND($S147="Sub",$G147&lt;&gt;""),"Las subactividades no llevan peso"&amp;" · ","")&amp;IF(AND($S147="Macro",ABS(SUMIFS($G$5:$G$1000,$P$5:$P$1000,$P147,$S$5:$S$1000,"Macro")-1)&gt;0.0001),"Pesos del mes suman "&amp;TEXT(SUMIFS($G$5:$G$1000,$P$5:$P$1000,$P147,$S$5:$S$1000,"Macro"),"0%")&amp;" · ","")&amp;IF(AND(N($T147)&gt;0,COUNT($H147:$K147)&gt;0),"Con subactividades: deje vacías las semanas (se calculan solas)"&amp;" · ","")&amp;IF((COUNTIF($H147:$K147,"&gt;1")+COUNTIF($H147:$K147,"&lt;0")+COUNTA($H147:$K147)-COUNT($H147:$K147))&gt;0,"Avance fuera de rango 0-100%"&amp;" · ","")&amp;IF(OR(AND($I147&lt;&gt;"",$I147&lt;$H147),AND($J147&lt;&gt;"",$J147&lt;MAX($H147:$I147)),AND($K147&lt;&gt;"",$K147&lt;MAX($H147:$J147))),"Avance semanal decreciente"&amp;" · ","")&amp;IF(AND(ISNUMBER($F147),$F147&lt;FechaRef,N($L147)&lt;1),"Vencida"&amp;" · ","")&amp;IF(AND(ObsObligatoria="Sí",ISNUMBER($F147),$F147&lt;FechaRef,N($L147)&lt;1,$N147=""),"Vencida sin observación"&amp;" · ",""),LEN(IF(AND($S147="Macro",$B147=""),"Macroactividad vacía"&amp;" · ","")&amp;IF(AND($B147&lt;&gt;"",$C147&lt;&gt;""),"Escriba la subactividad en otra fila, debajo de su macroactividad"&amp;" · ","")&amp;IF(AND($S147="Sub",N($R147)=0),"Subactividad sin macroactividad arriba"&amp;" · ","")&amp;IF($D147="","Sin responsable"&amp;" · ","")&amp;IF($E147="","Sin fecha de inicio"&amp;" · ","")&amp;IF($F147="","Sin fecha límite"&amp;" · ","")&amp;IF(OR(AND($E147&lt;&gt;"",NOT(ISNUMBER($E147))),AND($F147&lt;&gt;"",NOT(ISNUMBER($F147)))),"Fecha no válida"&amp;" · ","")&amp;IF(AND(ISNUMBER($E147),ISNUMBER($F147),$E147&gt;$F147),"Inicio posterior a fecha límite"&amp;" · ","")&amp;IF(AND($S147="Macro",$G147=""),"Peso vacío"&amp;" · ","")&amp;IF(AND($S147="Macro",$G147&lt;&gt;"",OR(NOT(ISNUMBER($G147)),$G147&lt;=0,$G147&gt;1)),"Peso fuera de rango"&amp;" · ","")&amp;IF(AND($S147="Sub",$G147&lt;&gt;""),"Las subactividades no llevan peso"&amp;" · ","")&amp;IF(AND($S147="Macro",ABS(SUMIFS($G$5:$G$1000,$P$5:$P$1000,$P147,$S$5:$S$1000,"Macro")-1)&gt;0.0001),"Pesos del mes suman "&amp;TEXT(SUMIFS($G$5:$G$1000,$P$5:$P$1000,$P147,$S$5:$S$1000,"Macro"),"0%")&amp;" · ","")&amp;IF(AND(N($T147)&gt;0,COUNT($H147:$K147)&gt;0),"Con subactividades: deje vacías las semanas (se calculan solas)"&amp;" · ","")&amp;IF((COUNTIF($H147:$K147,"&gt;1")+COUNTIF($H147:$K147,"&lt;0")+COUNTA($H147:$K147)-COUNT($H147:$K147))&gt;0,"Avance fuera de rango 0-100%"&amp;" · ","")&amp;IF(OR(AND($I147&lt;&gt;"",$I147&lt;$H147),AND($J147&lt;&gt;"",$J147&lt;MAX($H147:$I147)),AND($K147&lt;&gt;"",$K147&lt;MAX($H147:$J147))),"Avance semanal decreciente"&amp;" · ","")&amp;IF(AND(ISNUMBER($F147),$F147&lt;FechaRef,N($L147)&lt;1),"Vencida"&amp;" · ","")&amp;IF(AND(ObsObligatoria="Sí",ISNUMBER($F147),$F147&lt;FechaRef,N($L147)&lt;1,$N147=""),"Vencida sin observación"&amp;" · ",""))-3)))</f>
        <v/>
      </c>
      <c r="P147" s="69">
        <f>IF(NOT((COUNTA($B147:$K147)+COUNTA($N147))&gt;0),"",IF(AND($S147="Sub",N($R147)&gt;0),IF(ISNUMBER(INDEX($E$5:$E$1000,$R147-4)),DATE(YEAR(INDEX($E$5:$E$1000,$R147-4)),MONTH(INDEX($E$5:$E$1000,$R147-4)),1),IF(ISNUMBER(INDEX($F$5:$F$1000,$R147-4)),DATE(YEAR(INDEX($F$5:$F$1000,$R147-4)),MONTH(INDEX($F$5:$F$1000,$R147-4)),1),MesCiclo)),IF(ISNUMBER($E147),DATE(YEAR($E147),MONTH($E147),1),IF(ISNUMBER($F147),DATE(YEAR($F147),MONTH($F147),1),MesCiclo))))</f>
        <v/>
      </c>
      <c r="Q147" s="70">
        <f>IF(OR($P147="",$P147&lt;&gt;MesCiclo),"",COUNTIF($P$5:$P147,MesCiclo))</f>
        <v/>
      </c>
      <c r="R147" s="70">
        <f>IF($S147="","",IF($S147="Macro",ROW(),IFERROR(LOOKUP(2,1/($S$5:$S147="Macro"),ROW($S$5:$S147)),0)))</f>
        <v/>
      </c>
      <c r="S147" s="70">
        <f>IF(NOT((COUNTA($B147:$K147)+COUNTA($N147))&gt;0),"",IF($B147&lt;&gt;"","Macro",IF($C147&lt;&gt;"","Sub","Macro")))</f>
        <v/>
      </c>
      <c r="T147" s="70">
        <f>IF($S147="Macro",COUNTIFS($R$5:$R$1000,ROW(),$S$5:$S$1000,"Sub"),"")</f>
        <v/>
      </c>
      <c r="U147" s="70">
        <f>IF($S147="","",IF(ISNUMBER($H147),$H147,0))</f>
        <v/>
      </c>
      <c r="V147" s="70">
        <f>IF($S147="","",IF(ISNUMBER($I147),$I147,$U147))</f>
        <v/>
      </c>
      <c r="W147" s="70">
        <f>IF($S147="","",IF(ISNUMBER($J147),$J147,$V147))</f>
        <v/>
      </c>
      <c r="X147" s="70">
        <f>IF($S147="","",IF(ISNUMBER($K147),$K147,$W147))</f>
        <v/>
      </c>
      <c r="Y147" s="70">
        <f>IF($S147="","",IF(N($T147)&gt;0,AVERAGEIFS($U$5:$U$1000,$R$5:$R$1000,ROW(),$S$5:$S$1000,"Sub"),$U147))</f>
        <v/>
      </c>
      <c r="Z147" s="70">
        <f>IF($S147="","",IF(N($T147)&gt;0,AVERAGEIFS($V$5:$V$1000,$R$5:$R$1000,ROW(),$S$5:$S$1000,"Sub"),$V147))</f>
        <v/>
      </c>
      <c r="AA147" s="70">
        <f>IF($S147="","",IF(N($T147)&gt;0,AVERAGEIFS($W$5:$W$1000,$R$5:$R$1000,ROW(),$S$5:$S$1000,"Sub"),$W147))</f>
        <v/>
      </c>
      <c r="AB147" s="70">
        <f>IF($S147="","",IF(N($T147)&gt;0,AVERAGEIFS($X$5:$X$1000,$R$5:$R$1000,ROW(),$S$5:$S$1000,"Sub"),$X147))</f>
        <v/>
      </c>
    </row>
    <row r="148">
      <c r="A148" s="61">
        <f>IF(NOT((COUNTA($B148:$K148)+COUNTA($N148))&gt;0),"",IF($S148="Macro",COUNTIFS($S$5:$S148,"Macro",$P$5:$P148,$P148),IF(N($R148)=0,"?",COUNTIFS(INDEX($S$5:$S$1000,1):INDEX($S$5:$S$1000,$R148-4),"Macro",INDEX($P$5:$P$1000,1):INDEX($P$5:$P$1000,$R148-4),INDEX($P$5:$P$1000,$R148-4))&amp;"."&amp;COUNTIFS($R$5:$R148,$R148,$S$5:$S148,"Sub"))))</f>
        <v/>
      </c>
      <c r="B148" s="62" t="n"/>
      <c r="C148" s="63" t="n"/>
      <c r="D148" s="62" t="n"/>
      <c r="E148" s="64" t="n"/>
      <c r="F148" s="64" t="n"/>
      <c r="G148" s="65" t="n"/>
      <c r="H148" s="66" t="n"/>
      <c r="I148" s="66" t="n"/>
      <c r="J148" s="66" t="n"/>
      <c r="K148" s="66" t="n"/>
      <c r="L148" s="67">
        <f>IF(NOT((COUNTA($B148:$K148)+COUNTA($N148))&gt;0),"",IF(N($T148)&gt;0,$AB148,IFERROR(LOOKUP(2,1/(H148:K148&lt;&gt;""),H148:K148),0)))</f>
        <v/>
      </c>
      <c r="M148" s="61">
        <f>IF(L148="","",IF(L148&gt;=1,"Completado",IF(L148&gt;0,"En curso","Pendiente")))</f>
        <v/>
      </c>
      <c r="N148" s="62" t="n"/>
      <c r="O148" s="68">
        <f>IF(NOT((COUNTA($B148:$K148)+COUNTA($N148))&gt;0),"",IF((IF(AND($S148="Macro",$B148=""),"Macroactividad vacía"&amp;" · ","")&amp;IF(AND($B148&lt;&gt;"",$C148&lt;&gt;""),"Escriba la subactividad en otra fila, debajo de su macroactividad"&amp;" · ","")&amp;IF(AND($S148="Sub",N($R148)=0),"Subactividad sin macroactividad arriba"&amp;" · ","")&amp;IF($D148="","Sin responsable"&amp;" · ","")&amp;IF($E148="","Sin fecha de inicio"&amp;" · ","")&amp;IF($F148="","Sin fecha límite"&amp;" · ","")&amp;IF(OR(AND($E148&lt;&gt;"",NOT(ISNUMBER($E148))),AND($F148&lt;&gt;"",NOT(ISNUMBER($F148)))),"Fecha no válida"&amp;" · ","")&amp;IF(AND(ISNUMBER($E148),ISNUMBER($F148),$E148&gt;$F148),"Inicio posterior a fecha límite"&amp;" · ","")&amp;IF(AND($S148="Macro",$G148=""),"Peso vacío"&amp;" · ","")&amp;IF(AND($S148="Macro",$G148&lt;&gt;"",OR(NOT(ISNUMBER($G148)),$G148&lt;=0,$G148&gt;1)),"Peso fuera de rango"&amp;" · ","")&amp;IF(AND($S148="Sub",$G148&lt;&gt;""),"Las subactividades no llevan peso"&amp;" · ","")&amp;IF(AND($S148="Macro",ABS(SUMIFS($G$5:$G$1000,$P$5:$P$1000,$P148,$S$5:$S$1000,"Macro")-1)&gt;0.0001),"Pesos del mes suman "&amp;TEXT(SUMIFS($G$5:$G$1000,$P$5:$P$1000,$P148,$S$5:$S$1000,"Macro"),"0%")&amp;" · ","")&amp;IF(AND(N($T148)&gt;0,COUNT($H148:$K148)&gt;0),"Con subactividades: deje vacías las semanas (se calculan solas)"&amp;" · ","")&amp;IF((COUNTIF($H148:$K148,"&gt;1")+COUNTIF($H148:$K148,"&lt;0")+COUNTA($H148:$K148)-COUNT($H148:$K148))&gt;0,"Avance fuera de rango 0-100%"&amp;" · ","")&amp;IF(OR(AND($I148&lt;&gt;"",$I148&lt;$H148),AND($J148&lt;&gt;"",$J148&lt;MAX($H148:$I148)),AND($K148&lt;&gt;"",$K148&lt;MAX($H148:$J148))),"Avance semanal decreciente"&amp;" · ","")&amp;IF(AND(ISNUMBER($F148),$F148&lt;FechaRef,N($L148)&lt;1),"Vencida"&amp;" · ","")&amp;IF(AND(ObsObligatoria="Sí",ISNUMBER($F148),$F148&lt;FechaRef,N($L148)&lt;1,$N148=""),"Vencida sin observación"&amp;" · ",""))="","✔ OK","⚠ "&amp;LEFT(IF(AND($S148="Macro",$B148=""),"Macroactividad vacía"&amp;" · ","")&amp;IF(AND($B148&lt;&gt;"",$C148&lt;&gt;""),"Escriba la subactividad en otra fila, debajo de su macroactividad"&amp;" · ","")&amp;IF(AND($S148="Sub",N($R148)=0),"Subactividad sin macroactividad arriba"&amp;" · ","")&amp;IF($D148="","Sin responsable"&amp;" · ","")&amp;IF($E148="","Sin fecha de inicio"&amp;" · ","")&amp;IF($F148="","Sin fecha límite"&amp;" · ","")&amp;IF(OR(AND($E148&lt;&gt;"",NOT(ISNUMBER($E148))),AND($F148&lt;&gt;"",NOT(ISNUMBER($F148)))),"Fecha no válida"&amp;" · ","")&amp;IF(AND(ISNUMBER($E148),ISNUMBER($F148),$E148&gt;$F148),"Inicio posterior a fecha límite"&amp;" · ","")&amp;IF(AND($S148="Macro",$G148=""),"Peso vacío"&amp;" · ","")&amp;IF(AND($S148="Macro",$G148&lt;&gt;"",OR(NOT(ISNUMBER($G148)),$G148&lt;=0,$G148&gt;1)),"Peso fuera de rango"&amp;" · ","")&amp;IF(AND($S148="Sub",$G148&lt;&gt;""),"Las subactividades no llevan peso"&amp;" · ","")&amp;IF(AND($S148="Macro",ABS(SUMIFS($G$5:$G$1000,$P$5:$P$1000,$P148,$S$5:$S$1000,"Macro")-1)&gt;0.0001),"Pesos del mes suman "&amp;TEXT(SUMIFS($G$5:$G$1000,$P$5:$P$1000,$P148,$S$5:$S$1000,"Macro"),"0%")&amp;" · ","")&amp;IF(AND(N($T148)&gt;0,COUNT($H148:$K148)&gt;0),"Con subactividades: deje vacías las semanas (se calculan solas)"&amp;" · ","")&amp;IF((COUNTIF($H148:$K148,"&gt;1")+COUNTIF($H148:$K148,"&lt;0")+COUNTA($H148:$K148)-COUNT($H148:$K148))&gt;0,"Avance fuera de rango 0-100%"&amp;" · ","")&amp;IF(OR(AND($I148&lt;&gt;"",$I148&lt;$H148),AND($J148&lt;&gt;"",$J148&lt;MAX($H148:$I148)),AND($K148&lt;&gt;"",$K148&lt;MAX($H148:$J148))),"Avance semanal decreciente"&amp;" · ","")&amp;IF(AND(ISNUMBER($F148),$F148&lt;FechaRef,N($L148)&lt;1),"Vencida"&amp;" · ","")&amp;IF(AND(ObsObligatoria="Sí",ISNUMBER($F148),$F148&lt;FechaRef,N($L148)&lt;1,$N148=""),"Vencida sin observación"&amp;" · ",""),LEN(IF(AND($S148="Macro",$B148=""),"Macroactividad vacía"&amp;" · ","")&amp;IF(AND($B148&lt;&gt;"",$C148&lt;&gt;""),"Escriba la subactividad en otra fila, debajo de su macroactividad"&amp;" · ","")&amp;IF(AND($S148="Sub",N($R148)=0),"Subactividad sin macroactividad arriba"&amp;" · ","")&amp;IF($D148="","Sin responsable"&amp;" · ","")&amp;IF($E148="","Sin fecha de inicio"&amp;" · ","")&amp;IF($F148="","Sin fecha límite"&amp;" · ","")&amp;IF(OR(AND($E148&lt;&gt;"",NOT(ISNUMBER($E148))),AND($F148&lt;&gt;"",NOT(ISNUMBER($F148)))),"Fecha no válida"&amp;" · ","")&amp;IF(AND(ISNUMBER($E148),ISNUMBER($F148),$E148&gt;$F148),"Inicio posterior a fecha límite"&amp;" · ","")&amp;IF(AND($S148="Macro",$G148=""),"Peso vacío"&amp;" · ","")&amp;IF(AND($S148="Macro",$G148&lt;&gt;"",OR(NOT(ISNUMBER($G148)),$G148&lt;=0,$G148&gt;1)),"Peso fuera de rango"&amp;" · ","")&amp;IF(AND($S148="Sub",$G148&lt;&gt;""),"Las subactividades no llevan peso"&amp;" · ","")&amp;IF(AND($S148="Macro",ABS(SUMIFS($G$5:$G$1000,$P$5:$P$1000,$P148,$S$5:$S$1000,"Macro")-1)&gt;0.0001),"Pesos del mes suman "&amp;TEXT(SUMIFS($G$5:$G$1000,$P$5:$P$1000,$P148,$S$5:$S$1000,"Macro"),"0%")&amp;" · ","")&amp;IF(AND(N($T148)&gt;0,COUNT($H148:$K148)&gt;0),"Con subactividades: deje vacías las semanas (se calculan solas)"&amp;" · ","")&amp;IF((COUNTIF($H148:$K148,"&gt;1")+COUNTIF($H148:$K148,"&lt;0")+COUNTA($H148:$K148)-COUNT($H148:$K148))&gt;0,"Avance fuera de rango 0-100%"&amp;" · ","")&amp;IF(OR(AND($I148&lt;&gt;"",$I148&lt;$H148),AND($J148&lt;&gt;"",$J148&lt;MAX($H148:$I148)),AND($K148&lt;&gt;"",$K148&lt;MAX($H148:$J148))),"Avance semanal decreciente"&amp;" · ","")&amp;IF(AND(ISNUMBER($F148),$F148&lt;FechaRef,N($L148)&lt;1),"Vencida"&amp;" · ","")&amp;IF(AND(ObsObligatoria="Sí",ISNUMBER($F148),$F148&lt;FechaRef,N($L148)&lt;1,$N148=""),"Vencida sin observación"&amp;" · ",""))-3)))</f>
        <v/>
      </c>
      <c r="P148" s="69">
        <f>IF(NOT((COUNTA($B148:$K148)+COUNTA($N148))&gt;0),"",IF(AND($S148="Sub",N($R148)&gt;0),IF(ISNUMBER(INDEX($E$5:$E$1000,$R148-4)),DATE(YEAR(INDEX($E$5:$E$1000,$R148-4)),MONTH(INDEX($E$5:$E$1000,$R148-4)),1),IF(ISNUMBER(INDEX($F$5:$F$1000,$R148-4)),DATE(YEAR(INDEX($F$5:$F$1000,$R148-4)),MONTH(INDEX($F$5:$F$1000,$R148-4)),1),MesCiclo)),IF(ISNUMBER($E148),DATE(YEAR($E148),MONTH($E148),1),IF(ISNUMBER($F148),DATE(YEAR($F148),MONTH($F148),1),MesCiclo))))</f>
        <v/>
      </c>
      <c r="Q148" s="70">
        <f>IF(OR($P148="",$P148&lt;&gt;MesCiclo),"",COUNTIF($P$5:$P148,MesCiclo))</f>
        <v/>
      </c>
      <c r="R148" s="70">
        <f>IF($S148="","",IF($S148="Macro",ROW(),IFERROR(LOOKUP(2,1/($S$5:$S148="Macro"),ROW($S$5:$S148)),0)))</f>
        <v/>
      </c>
      <c r="S148" s="70">
        <f>IF(NOT((COUNTA($B148:$K148)+COUNTA($N148))&gt;0),"",IF($B148&lt;&gt;"","Macro",IF($C148&lt;&gt;"","Sub","Macro")))</f>
        <v/>
      </c>
      <c r="T148" s="70">
        <f>IF($S148="Macro",COUNTIFS($R$5:$R$1000,ROW(),$S$5:$S$1000,"Sub"),"")</f>
        <v/>
      </c>
      <c r="U148" s="70">
        <f>IF($S148="","",IF(ISNUMBER($H148),$H148,0))</f>
        <v/>
      </c>
      <c r="V148" s="70">
        <f>IF($S148="","",IF(ISNUMBER($I148),$I148,$U148))</f>
        <v/>
      </c>
      <c r="W148" s="70">
        <f>IF($S148="","",IF(ISNUMBER($J148),$J148,$V148))</f>
        <v/>
      </c>
      <c r="X148" s="70">
        <f>IF($S148="","",IF(ISNUMBER($K148),$K148,$W148))</f>
        <v/>
      </c>
      <c r="Y148" s="70">
        <f>IF($S148="","",IF(N($T148)&gt;0,AVERAGEIFS($U$5:$U$1000,$R$5:$R$1000,ROW(),$S$5:$S$1000,"Sub"),$U148))</f>
        <v/>
      </c>
      <c r="Z148" s="70">
        <f>IF($S148="","",IF(N($T148)&gt;0,AVERAGEIFS($V$5:$V$1000,$R$5:$R$1000,ROW(),$S$5:$S$1000,"Sub"),$V148))</f>
        <v/>
      </c>
      <c r="AA148" s="70">
        <f>IF($S148="","",IF(N($T148)&gt;0,AVERAGEIFS($W$5:$W$1000,$R$5:$R$1000,ROW(),$S$5:$S$1000,"Sub"),$W148))</f>
        <v/>
      </c>
      <c r="AB148" s="70">
        <f>IF($S148="","",IF(N($T148)&gt;0,AVERAGEIFS($X$5:$X$1000,$R$5:$R$1000,ROW(),$S$5:$S$1000,"Sub"),$X148))</f>
        <v/>
      </c>
    </row>
    <row r="149">
      <c r="A149" s="61">
        <f>IF(NOT((COUNTA($B149:$K149)+COUNTA($N149))&gt;0),"",IF($S149="Macro",COUNTIFS($S$5:$S149,"Macro",$P$5:$P149,$P149),IF(N($R149)=0,"?",COUNTIFS(INDEX($S$5:$S$1000,1):INDEX($S$5:$S$1000,$R149-4),"Macro",INDEX($P$5:$P$1000,1):INDEX($P$5:$P$1000,$R149-4),INDEX($P$5:$P$1000,$R149-4))&amp;"."&amp;COUNTIFS($R$5:$R149,$R149,$S$5:$S149,"Sub"))))</f>
        <v/>
      </c>
      <c r="B149" s="62" t="n"/>
      <c r="C149" s="63" t="n"/>
      <c r="D149" s="62" t="n"/>
      <c r="E149" s="64" t="n"/>
      <c r="F149" s="64" t="n"/>
      <c r="G149" s="65" t="n"/>
      <c r="H149" s="66" t="n"/>
      <c r="I149" s="66" t="n"/>
      <c r="J149" s="66" t="n"/>
      <c r="K149" s="66" t="n"/>
      <c r="L149" s="67">
        <f>IF(NOT((COUNTA($B149:$K149)+COUNTA($N149))&gt;0),"",IF(N($T149)&gt;0,$AB149,IFERROR(LOOKUP(2,1/(H149:K149&lt;&gt;""),H149:K149),0)))</f>
        <v/>
      </c>
      <c r="M149" s="61">
        <f>IF(L149="","",IF(L149&gt;=1,"Completado",IF(L149&gt;0,"En curso","Pendiente")))</f>
        <v/>
      </c>
      <c r="N149" s="62" t="n"/>
      <c r="O149" s="68">
        <f>IF(NOT((COUNTA($B149:$K149)+COUNTA($N149))&gt;0),"",IF((IF(AND($S149="Macro",$B149=""),"Macroactividad vacía"&amp;" · ","")&amp;IF(AND($B149&lt;&gt;"",$C149&lt;&gt;""),"Escriba la subactividad en otra fila, debajo de su macroactividad"&amp;" · ","")&amp;IF(AND($S149="Sub",N($R149)=0),"Subactividad sin macroactividad arriba"&amp;" · ","")&amp;IF($D149="","Sin responsable"&amp;" · ","")&amp;IF($E149="","Sin fecha de inicio"&amp;" · ","")&amp;IF($F149="","Sin fecha límite"&amp;" · ","")&amp;IF(OR(AND($E149&lt;&gt;"",NOT(ISNUMBER($E149))),AND($F149&lt;&gt;"",NOT(ISNUMBER($F149)))),"Fecha no válida"&amp;" · ","")&amp;IF(AND(ISNUMBER($E149),ISNUMBER($F149),$E149&gt;$F149),"Inicio posterior a fecha límite"&amp;" · ","")&amp;IF(AND($S149="Macro",$G149=""),"Peso vacío"&amp;" · ","")&amp;IF(AND($S149="Macro",$G149&lt;&gt;"",OR(NOT(ISNUMBER($G149)),$G149&lt;=0,$G149&gt;1)),"Peso fuera de rango"&amp;" · ","")&amp;IF(AND($S149="Sub",$G149&lt;&gt;""),"Las subactividades no llevan peso"&amp;" · ","")&amp;IF(AND($S149="Macro",ABS(SUMIFS($G$5:$G$1000,$P$5:$P$1000,$P149,$S$5:$S$1000,"Macro")-1)&gt;0.0001),"Pesos del mes suman "&amp;TEXT(SUMIFS($G$5:$G$1000,$P$5:$P$1000,$P149,$S$5:$S$1000,"Macro"),"0%")&amp;" · ","")&amp;IF(AND(N($T149)&gt;0,COUNT($H149:$K149)&gt;0),"Con subactividades: deje vacías las semanas (se calculan solas)"&amp;" · ","")&amp;IF((COUNTIF($H149:$K149,"&gt;1")+COUNTIF($H149:$K149,"&lt;0")+COUNTA($H149:$K149)-COUNT($H149:$K149))&gt;0,"Avance fuera de rango 0-100%"&amp;" · ","")&amp;IF(OR(AND($I149&lt;&gt;"",$I149&lt;$H149),AND($J149&lt;&gt;"",$J149&lt;MAX($H149:$I149)),AND($K149&lt;&gt;"",$K149&lt;MAX($H149:$J149))),"Avance semanal decreciente"&amp;" · ","")&amp;IF(AND(ISNUMBER($F149),$F149&lt;FechaRef,N($L149)&lt;1),"Vencida"&amp;" · ","")&amp;IF(AND(ObsObligatoria="Sí",ISNUMBER($F149),$F149&lt;FechaRef,N($L149)&lt;1,$N149=""),"Vencida sin observación"&amp;" · ",""))="","✔ OK","⚠ "&amp;LEFT(IF(AND($S149="Macro",$B149=""),"Macroactividad vacía"&amp;" · ","")&amp;IF(AND($B149&lt;&gt;"",$C149&lt;&gt;""),"Escriba la subactividad en otra fila, debajo de su macroactividad"&amp;" · ","")&amp;IF(AND($S149="Sub",N($R149)=0),"Subactividad sin macroactividad arriba"&amp;" · ","")&amp;IF($D149="","Sin responsable"&amp;" · ","")&amp;IF($E149="","Sin fecha de inicio"&amp;" · ","")&amp;IF($F149="","Sin fecha límite"&amp;" · ","")&amp;IF(OR(AND($E149&lt;&gt;"",NOT(ISNUMBER($E149))),AND($F149&lt;&gt;"",NOT(ISNUMBER($F149)))),"Fecha no válida"&amp;" · ","")&amp;IF(AND(ISNUMBER($E149),ISNUMBER($F149),$E149&gt;$F149),"Inicio posterior a fecha límite"&amp;" · ","")&amp;IF(AND($S149="Macro",$G149=""),"Peso vacío"&amp;" · ","")&amp;IF(AND($S149="Macro",$G149&lt;&gt;"",OR(NOT(ISNUMBER($G149)),$G149&lt;=0,$G149&gt;1)),"Peso fuera de rango"&amp;" · ","")&amp;IF(AND($S149="Sub",$G149&lt;&gt;""),"Las subactividades no llevan peso"&amp;" · ","")&amp;IF(AND($S149="Macro",ABS(SUMIFS($G$5:$G$1000,$P$5:$P$1000,$P149,$S$5:$S$1000,"Macro")-1)&gt;0.0001),"Pesos del mes suman "&amp;TEXT(SUMIFS($G$5:$G$1000,$P$5:$P$1000,$P149,$S$5:$S$1000,"Macro"),"0%")&amp;" · ","")&amp;IF(AND(N($T149)&gt;0,COUNT($H149:$K149)&gt;0),"Con subactividades: deje vacías las semanas (se calculan solas)"&amp;" · ","")&amp;IF((COUNTIF($H149:$K149,"&gt;1")+COUNTIF($H149:$K149,"&lt;0")+COUNTA($H149:$K149)-COUNT($H149:$K149))&gt;0,"Avance fuera de rango 0-100%"&amp;" · ","")&amp;IF(OR(AND($I149&lt;&gt;"",$I149&lt;$H149),AND($J149&lt;&gt;"",$J149&lt;MAX($H149:$I149)),AND($K149&lt;&gt;"",$K149&lt;MAX($H149:$J149))),"Avance semanal decreciente"&amp;" · ","")&amp;IF(AND(ISNUMBER($F149),$F149&lt;FechaRef,N($L149)&lt;1),"Vencida"&amp;" · ","")&amp;IF(AND(ObsObligatoria="Sí",ISNUMBER($F149),$F149&lt;FechaRef,N($L149)&lt;1,$N149=""),"Vencida sin observación"&amp;" · ",""),LEN(IF(AND($S149="Macro",$B149=""),"Macroactividad vacía"&amp;" · ","")&amp;IF(AND($B149&lt;&gt;"",$C149&lt;&gt;""),"Escriba la subactividad en otra fila, debajo de su macroactividad"&amp;" · ","")&amp;IF(AND($S149="Sub",N($R149)=0),"Subactividad sin macroactividad arriba"&amp;" · ","")&amp;IF($D149="","Sin responsable"&amp;" · ","")&amp;IF($E149="","Sin fecha de inicio"&amp;" · ","")&amp;IF($F149="","Sin fecha límite"&amp;" · ","")&amp;IF(OR(AND($E149&lt;&gt;"",NOT(ISNUMBER($E149))),AND($F149&lt;&gt;"",NOT(ISNUMBER($F149)))),"Fecha no válida"&amp;" · ","")&amp;IF(AND(ISNUMBER($E149),ISNUMBER($F149),$E149&gt;$F149),"Inicio posterior a fecha límite"&amp;" · ","")&amp;IF(AND($S149="Macro",$G149=""),"Peso vacío"&amp;" · ","")&amp;IF(AND($S149="Macro",$G149&lt;&gt;"",OR(NOT(ISNUMBER($G149)),$G149&lt;=0,$G149&gt;1)),"Peso fuera de rango"&amp;" · ","")&amp;IF(AND($S149="Sub",$G149&lt;&gt;""),"Las subactividades no llevan peso"&amp;" · ","")&amp;IF(AND($S149="Macro",ABS(SUMIFS($G$5:$G$1000,$P$5:$P$1000,$P149,$S$5:$S$1000,"Macro")-1)&gt;0.0001),"Pesos del mes suman "&amp;TEXT(SUMIFS($G$5:$G$1000,$P$5:$P$1000,$P149,$S$5:$S$1000,"Macro"),"0%")&amp;" · ","")&amp;IF(AND(N($T149)&gt;0,COUNT($H149:$K149)&gt;0),"Con subactividades: deje vacías las semanas (se calculan solas)"&amp;" · ","")&amp;IF((COUNTIF($H149:$K149,"&gt;1")+COUNTIF($H149:$K149,"&lt;0")+COUNTA($H149:$K149)-COUNT($H149:$K149))&gt;0,"Avance fuera de rango 0-100%"&amp;" · ","")&amp;IF(OR(AND($I149&lt;&gt;"",$I149&lt;$H149),AND($J149&lt;&gt;"",$J149&lt;MAX($H149:$I149)),AND($K149&lt;&gt;"",$K149&lt;MAX($H149:$J149))),"Avance semanal decreciente"&amp;" · ","")&amp;IF(AND(ISNUMBER($F149),$F149&lt;FechaRef,N($L149)&lt;1),"Vencida"&amp;" · ","")&amp;IF(AND(ObsObligatoria="Sí",ISNUMBER($F149),$F149&lt;FechaRef,N($L149)&lt;1,$N149=""),"Vencida sin observación"&amp;" · ",""))-3)))</f>
        <v/>
      </c>
      <c r="P149" s="69">
        <f>IF(NOT((COUNTA($B149:$K149)+COUNTA($N149))&gt;0),"",IF(AND($S149="Sub",N($R149)&gt;0),IF(ISNUMBER(INDEX($E$5:$E$1000,$R149-4)),DATE(YEAR(INDEX($E$5:$E$1000,$R149-4)),MONTH(INDEX($E$5:$E$1000,$R149-4)),1),IF(ISNUMBER(INDEX($F$5:$F$1000,$R149-4)),DATE(YEAR(INDEX($F$5:$F$1000,$R149-4)),MONTH(INDEX($F$5:$F$1000,$R149-4)),1),MesCiclo)),IF(ISNUMBER($E149),DATE(YEAR($E149),MONTH($E149),1),IF(ISNUMBER($F149),DATE(YEAR($F149),MONTH($F149),1),MesCiclo))))</f>
        <v/>
      </c>
      <c r="Q149" s="70">
        <f>IF(OR($P149="",$P149&lt;&gt;MesCiclo),"",COUNTIF($P$5:$P149,MesCiclo))</f>
        <v/>
      </c>
      <c r="R149" s="70">
        <f>IF($S149="","",IF($S149="Macro",ROW(),IFERROR(LOOKUP(2,1/($S$5:$S149="Macro"),ROW($S$5:$S149)),0)))</f>
        <v/>
      </c>
      <c r="S149" s="70">
        <f>IF(NOT((COUNTA($B149:$K149)+COUNTA($N149))&gt;0),"",IF($B149&lt;&gt;"","Macro",IF($C149&lt;&gt;"","Sub","Macro")))</f>
        <v/>
      </c>
      <c r="T149" s="70">
        <f>IF($S149="Macro",COUNTIFS($R$5:$R$1000,ROW(),$S$5:$S$1000,"Sub"),"")</f>
        <v/>
      </c>
      <c r="U149" s="70">
        <f>IF($S149="","",IF(ISNUMBER($H149),$H149,0))</f>
        <v/>
      </c>
      <c r="V149" s="70">
        <f>IF($S149="","",IF(ISNUMBER($I149),$I149,$U149))</f>
        <v/>
      </c>
      <c r="W149" s="70">
        <f>IF($S149="","",IF(ISNUMBER($J149),$J149,$V149))</f>
        <v/>
      </c>
      <c r="X149" s="70">
        <f>IF($S149="","",IF(ISNUMBER($K149),$K149,$W149))</f>
        <v/>
      </c>
      <c r="Y149" s="70">
        <f>IF($S149="","",IF(N($T149)&gt;0,AVERAGEIFS($U$5:$U$1000,$R$5:$R$1000,ROW(),$S$5:$S$1000,"Sub"),$U149))</f>
        <v/>
      </c>
      <c r="Z149" s="70">
        <f>IF($S149="","",IF(N($T149)&gt;0,AVERAGEIFS($V$5:$V$1000,$R$5:$R$1000,ROW(),$S$5:$S$1000,"Sub"),$V149))</f>
        <v/>
      </c>
      <c r="AA149" s="70">
        <f>IF($S149="","",IF(N($T149)&gt;0,AVERAGEIFS($W$5:$W$1000,$R$5:$R$1000,ROW(),$S$5:$S$1000,"Sub"),$W149))</f>
        <v/>
      </c>
      <c r="AB149" s="70">
        <f>IF($S149="","",IF(N($T149)&gt;0,AVERAGEIFS($X$5:$X$1000,$R$5:$R$1000,ROW(),$S$5:$S$1000,"Sub"),$X149))</f>
        <v/>
      </c>
    </row>
    <row r="150">
      <c r="A150" s="61">
        <f>IF(NOT((COUNTA($B150:$K150)+COUNTA($N150))&gt;0),"",IF($S150="Macro",COUNTIFS($S$5:$S150,"Macro",$P$5:$P150,$P150),IF(N($R150)=0,"?",COUNTIFS(INDEX($S$5:$S$1000,1):INDEX($S$5:$S$1000,$R150-4),"Macro",INDEX($P$5:$P$1000,1):INDEX($P$5:$P$1000,$R150-4),INDEX($P$5:$P$1000,$R150-4))&amp;"."&amp;COUNTIFS($R$5:$R150,$R150,$S$5:$S150,"Sub"))))</f>
        <v/>
      </c>
      <c r="B150" s="62" t="n"/>
      <c r="C150" s="63" t="n"/>
      <c r="D150" s="62" t="n"/>
      <c r="E150" s="64" t="n"/>
      <c r="F150" s="64" t="n"/>
      <c r="G150" s="65" t="n"/>
      <c r="H150" s="66" t="n"/>
      <c r="I150" s="66" t="n"/>
      <c r="J150" s="66" t="n"/>
      <c r="K150" s="66" t="n"/>
      <c r="L150" s="67">
        <f>IF(NOT((COUNTA($B150:$K150)+COUNTA($N150))&gt;0),"",IF(N($T150)&gt;0,$AB150,IFERROR(LOOKUP(2,1/(H150:K150&lt;&gt;""),H150:K150),0)))</f>
        <v/>
      </c>
      <c r="M150" s="61">
        <f>IF(L150="","",IF(L150&gt;=1,"Completado",IF(L150&gt;0,"En curso","Pendiente")))</f>
        <v/>
      </c>
      <c r="N150" s="62" t="n"/>
      <c r="O150" s="68">
        <f>IF(NOT((COUNTA($B150:$K150)+COUNTA($N150))&gt;0),"",IF((IF(AND($S150="Macro",$B150=""),"Macroactividad vacía"&amp;" · ","")&amp;IF(AND($B150&lt;&gt;"",$C150&lt;&gt;""),"Escriba la subactividad en otra fila, debajo de su macroactividad"&amp;" · ","")&amp;IF(AND($S150="Sub",N($R150)=0),"Subactividad sin macroactividad arriba"&amp;" · ","")&amp;IF($D150="","Sin responsable"&amp;" · ","")&amp;IF($E150="","Sin fecha de inicio"&amp;" · ","")&amp;IF($F150="","Sin fecha límite"&amp;" · ","")&amp;IF(OR(AND($E150&lt;&gt;"",NOT(ISNUMBER($E150))),AND($F150&lt;&gt;"",NOT(ISNUMBER($F150)))),"Fecha no válida"&amp;" · ","")&amp;IF(AND(ISNUMBER($E150),ISNUMBER($F150),$E150&gt;$F150),"Inicio posterior a fecha límite"&amp;" · ","")&amp;IF(AND($S150="Macro",$G150=""),"Peso vacío"&amp;" · ","")&amp;IF(AND($S150="Macro",$G150&lt;&gt;"",OR(NOT(ISNUMBER($G150)),$G150&lt;=0,$G150&gt;1)),"Peso fuera de rango"&amp;" · ","")&amp;IF(AND($S150="Sub",$G150&lt;&gt;""),"Las subactividades no llevan peso"&amp;" · ","")&amp;IF(AND($S150="Macro",ABS(SUMIFS($G$5:$G$1000,$P$5:$P$1000,$P150,$S$5:$S$1000,"Macro")-1)&gt;0.0001),"Pesos del mes suman "&amp;TEXT(SUMIFS($G$5:$G$1000,$P$5:$P$1000,$P150,$S$5:$S$1000,"Macro"),"0%")&amp;" · ","")&amp;IF(AND(N($T150)&gt;0,COUNT($H150:$K150)&gt;0),"Con subactividades: deje vacías las semanas (se calculan solas)"&amp;" · ","")&amp;IF((COUNTIF($H150:$K150,"&gt;1")+COUNTIF($H150:$K150,"&lt;0")+COUNTA($H150:$K150)-COUNT($H150:$K150))&gt;0,"Avance fuera de rango 0-100%"&amp;" · ","")&amp;IF(OR(AND($I150&lt;&gt;"",$I150&lt;$H150),AND($J150&lt;&gt;"",$J150&lt;MAX($H150:$I150)),AND($K150&lt;&gt;"",$K150&lt;MAX($H150:$J150))),"Avance semanal decreciente"&amp;" · ","")&amp;IF(AND(ISNUMBER($F150),$F150&lt;FechaRef,N($L150)&lt;1),"Vencida"&amp;" · ","")&amp;IF(AND(ObsObligatoria="Sí",ISNUMBER($F150),$F150&lt;FechaRef,N($L150)&lt;1,$N150=""),"Vencida sin observación"&amp;" · ",""))="","✔ OK","⚠ "&amp;LEFT(IF(AND($S150="Macro",$B150=""),"Macroactividad vacía"&amp;" · ","")&amp;IF(AND($B150&lt;&gt;"",$C150&lt;&gt;""),"Escriba la subactividad en otra fila, debajo de su macroactividad"&amp;" · ","")&amp;IF(AND($S150="Sub",N($R150)=0),"Subactividad sin macroactividad arriba"&amp;" · ","")&amp;IF($D150="","Sin responsable"&amp;" · ","")&amp;IF($E150="","Sin fecha de inicio"&amp;" · ","")&amp;IF($F150="","Sin fecha límite"&amp;" · ","")&amp;IF(OR(AND($E150&lt;&gt;"",NOT(ISNUMBER($E150))),AND($F150&lt;&gt;"",NOT(ISNUMBER($F150)))),"Fecha no válida"&amp;" · ","")&amp;IF(AND(ISNUMBER($E150),ISNUMBER($F150),$E150&gt;$F150),"Inicio posterior a fecha límite"&amp;" · ","")&amp;IF(AND($S150="Macro",$G150=""),"Peso vacío"&amp;" · ","")&amp;IF(AND($S150="Macro",$G150&lt;&gt;"",OR(NOT(ISNUMBER($G150)),$G150&lt;=0,$G150&gt;1)),"Peso fuera de rango"&amp;" · ","")&amp;IF(AND($S150="Sub",$G150&lt;&gt;""),"Las subactividades no llevan peso"&amp;" · ","")&amp;IF(AND($S150="Macro",ABS(SUMIFS($G$5:$G$1000,$P$5:$P$1000,$P150,$S$5:$S$1000,"Macro")-1)&gt;0.0001),"Pesos del mes suman "&amp;TEXT(SUMIFS($G$5:$G$1000,$P$5:$P$1000,$P150,$S$5:$S$1000,"Macro"),"0%")&amp;" · ","")&amp;IF(AND(N($T150)&gt;0,COUNT($H150:$K150)&gt;0),"Con subactividades: deje vacías las semanas (se calculan solas)"&amp;" · ","")&amp;IF((COUNTIF($H150:$K150,"&gt;1")+COUNTIF($H150:$K150,"&lt;0")+COUNTA($H150:$K150)-COUNT($H150:$K150))&gt;0,"Avance fuera de rango 0-100%"&amp;" · ","")&amp;IF(OR(AND($I150&lt;&gt;"",$I150&lt;$H150),AND($J150&lt;&gt;"",$J150&lt;MAX($H150:$I150)),AND($K150&lt;&gt;"",$K150&lt;MAX($H150:$J150))),"Avance semanal decreciente"&amp;" · ","")&amp;IF(AND(ISNUMBER($F150),$F150&lt;FechaRef,N($L150)&lt;1),"Vencida"&amp;" · ","")&amp;IF(AND(ObsObligatoria="Sí",ISNUMBER($F150),$F150&lt;FechaRef,N($L150)&lt;1,$N150=""),"Vencida sin observación"&amp;" · ",""),LEN(IF(AND($S150="Macro",$B150=""),"Macroactividad vacía"&amp;" · ","")&amp;IF(AND($B150&lt;&gt;"",$C150&lt;&gt;""),"Escriba la subactividad en otra fila, debajo de su macroactividad"&amp;" · ","")&amp;IF(AND($S150="Sub",N($R150)=0),"Subactividad sin macroactividad arriba"&amp;" · ","")&amp;IF($D150="","Sin responsable"&amp;" · ","")&amp;IF($E150="","Sin fecha de inicio"&amp;" · ","")&amp;IF($F150="","Sin fecha límite"&amp;" · ","")&amp;IF(OR(AND($E150&lt;&gt;"",NOT(ISNUMBER($E150))),AND($F150&lt;&gt;"",NOT(ISNUMBER($F150)))),"Fecha no válida"&amp;" · ","")&amp;IF(AND(ISNUMBER($E150),ISNUMBER($F150),$E150&gt;$F150),"Inicio posterior a fecha límite"&amp;" · ","")&amp;IF(AND($S150="Macro",$G150=""),"Peso vacío"&amp;" · ","")&amp;IF(AND($S150="Macro",$G150&lt;&gt;"",OR(NOT(ISNUMBER($G150)),$G150&lt;=0,$G150&gt;1)),"Peso fuera de rango"&amp;" · ","")&amp;IF(AND($S150="Sub",$G150&lt;&gt;""),"Las subactividades no llevan peso"&amp;" · ","")&amp;IF(AND($S150="Macro",ABS(SUMIFS($G$5:$G$1000,$P$5:$P$1000,$P150,$S$5:$S$1000,"Macro")-1)&gt;0.0001),"Pesos del mes suman "&amp;TEXT(SUMIFS($G$5:$G$1000,$P$5:$P$1000,$P150,$S$5:$S$1000,"Macro"),"0%")&amp;" · ","")&amp;IF(AND(N($T150)&gt;0,COUNT($H150:$K150)&gt;0),"Con subactividades: deje vacías las semanas (se calculan solas)"&amp;" · ","")&amp;IF((COUNTIF($H150:$K150,"&gt;1")+COUNTIF($H150:$K150,"&lt;0")+COUNTA($H150:$K150)-COUNT($H150:$K150))&gt;0,"Avance fuera de rango 0-100%"&amp;" · ","")&amp;IF(OR(AND($I150&lt;&gt;"",$I150&lt;$H150),AND($J150&lt;&gt;"",$J150&lt;MAX($H150:$I150)),AND($K150&lt;&gt;"",$K150&lt;MAX($H150:$J150))),"Avance semanal decreciente"&amp;" · ","")&amp;IF(AND(ISNUMBER($F150),$F150&lt;FechaRef,N($L150)&lt;1),"Vencida"&amp;" · ","")&amp;IF(AND(ObsObligatoria="Sí",ISNUMBER($F150),$F150&lt;FechaRef,N($L150)&lt;1,$N150=""),"Vencida sin observación"&amp;" · ",""))-3)))</f>
        <v/>
      </c>
      <c r="P150" s="69">
        <f>IF(NOT((COUNTA($B150:$K150)+COUNTA($N150))&gt;0),"",IF(AND($S150="Sub",N($R150)&gt;0),IF(ISNUMBER(INDEX($E$5:$E$1000,$R150-4)),DATE(YEAR(INDEX($E$5:$E$1000,$R150-4)),MONTH(INDEX($E$5:$E$1000,$R150-4)),1),IF(ISNUMBER(INDEX($F$5:$F$1000,$R150-4)),DATE(YEAR(INDEX($F$5:$F$1000,$R150-4)),MONTH(INDEX($F$5:$F$1000,$R150-4)),1),MesCiclo)),IF(ISNUMBER($E150),DATE(YEAR($E150),MONTH($E150),1),IF(ISNUMBER($F150),DATE(YEAR($F150),MONTH($F150),1),MesCiclo))))</f>
        <v/>
      </c>
      <c r="Q150" s="70">
        <f>IF(OR($P150="",$P150&lt;&gt;MesCiclo),"",COUNTIF($P$5:$P150,MesCiclo))</f>
        <v/>
      </c>
      <c r="R150" s="70">
        <f>IF($S150="","",IF($S150="Macro",ROW(),IFERROR(LOOKUP(2,1/($S$5:$S150="Macro"),ROW($S$5:$S150)),0)))</f>
        <v/>
      </c>
      <c r="S150" s="70">
        <f>IF(NOT((COUNTA($B150:$K150)+COUNTA($N150))&gt;0),"",IF($B150&lt;&gt;"","Macro",IF($C150&lt;&gt;"","Sub","Macro")))</f>
        <v/>
      </c>
      <c r="T150" s="70">
        <f>IF($S150="Macro",COUNTIFS($R$5:$R$1000,ROW(),$S$5:$S$1000,"Sub"),"")</f>
        <v/>
      </c>
      <c r="U150" s="70">
        <f>IF($S150="","",IF(ISNUMBER($H150),$H150,0))</f>
        <v/>
      </c>
      <c r="V150" s="70">
        <f>IF($S150="","",IF(ISNUMBER($I150),$I150,$U150))</f>
        <v/>
      </c>
      <c r="W150" s="70">
        <f>IF($S150="","",IF(ISNUMBER($J150),$J150,$V150))</f>
        <v/>
      </c>
      <c r="X150" s="70">
        <f>IF($S150="","",IF(ISNUMBER($K150),$K150,$W150))</f>
        <v/>
      </c>
      <c r="Y150" s="70">
        <f>IF($S150="","",IF(N($T150)&gt;0,AVERAGEIFS($U$5:$U$1000,$R$5:$R$1000,ROW(),$S$5:$S$1000,"Sub"),$U150))</f>
        <v/>
      </c>
      <c r="Z150" s="70">
        <f>IF($S150="","",IF(N($T150)&gt;0,AVERAGEIFS($V$5:$V$1000,$R$5:$R$1000,ROW(),$S$5:$S$1000,"Sub"),$V150))</f>
        <v/>
      </c>
      <c r="AA150" s="70">
        <f>IF($S150="","",IF(N($T150)&gt;0,AVERAGEIFS($W$5:$W$1000,$R$5:$R$1000,ROW(),$S$5:$S$1000,"Sub"),$W150))</f>
        <v/>
      </c>
      <c r="AB150" s="70">
        <f>IF($S150="","",IF(N($T150)&gt;0,AVERAGEIFS($X$5:$X$1000,$R$5:$R$1000,ROW(),$S$5:$S$1000,"Sub"),$X150))</f>
        <v/>
      </c>
    </row>
    <row r="151">
      <c r="A151" s="61">
        <f>IF(NOT((COUNTA($B151:$K151)+COUNTA($N151))&gt;0),"",IF($S151="Macro",COUNTIFS($S$5:$S151,"Macro",$P$5:$P151,$P151),IF(N($R151)=0,"?",COUNTIFS(INDEX($S$5:$S$1000,1):INDEX($S$5:$S$1000,$R151-4),"Macro",INDEX($P$5:$P$1000,1):INDEX($P$5:$P$1000,$R151-4),INDEX($P$5:$P$1000,$R151-4))&amp;"."&amp;COUNTIFS($R$5:$R151,$R151,$S$5:$S151,"Sub"))))</f>
        <v/>
      </c>
      <c r="B151" s="62" t="n"/>
      <c r="C151" s="63" t="n"/>
      <c r="D151" s="62" t="n"/>
      <c r="E151" s="64" t="n"/>
      <c r="F151" s="64" t="n"/>
      <c r="G151" s="65" t="n"/>
      <c r="H151" s="66" t="n"/>
      <c r="I151" s="66" t="n"/>
      <c r="J151" s="66" t="n"/>
      <c r="K151" s="66" t="n"/>
      <c r="L151" s="67">
        <f>IF(NOT((COUNTA($B151:$K151)+COUNTA($N151))&gt;0),"",IF(N($T151)&gt;0,$AB151,IFERROR(LOOKUP(2,1/(H151:K151&lt;&gt;""),H151:K151),0)))</f>
        <v/>
      </c>
      <c r="M151" s="61">
        <f>IF(L151="","",IF(L151&gt;=1,"Completado",IF(L151&gt;0,"En curso","Pendiente")))</f>
        <v/>
      </c>
      <c r="N151" s="62" t="n"/>
      <c r="O151" s="68">
        <f>IF(NOT((COUNTA($B151:$K151)+COUNTA($N151))&gt;0),"",IF((IF(AND($S151="Macro",$B151=""),"Macroactividad vacía"&amp;" · ","")&amp;IF(AND($B151&lt;&gt;"",$C151&lt;&gt;""),"Escriba la subactividad en otra fila, debajo de su macroactividad"&amp;" · ","")&amp;IF(AND($S151="Sub",N($R151)=0),"Subactividad sin macroactividad arriba"&amp;" · ","")&amp;IF($D151="","Sin responsable"&amp;" · ","")&amp;IF($E151="","Sin fecha de inicio"&amp;" · ","")&amp;IF($F151="","Sin fecha límite"&amp;" · ","")&amp;IF(OR(AND($E151&lt;&gt;"",NOT(ISNUMBER($E151))),AND($F151&lt;&gt;"",NOT(ISNUMBER($F151)))),"Fecha no válida"&amp;" · ","")&amp;IF(AND(ISNUMBER($E151),ISNUMBER($F151),$E151&gt;$F151),"Inicio posterior a fecha límite"&amp;" · ","")&amp;IF(AND($S151="Macro",$G151=""),"Peso vacío"&amp;" · ","")&amp;IF(AND($S151="Macro",$G151&lt;&gt;"",OR(NOT(ISNUMBER($G151)),$G151&lt;=0,$G151&gt;1)),"Peso fuera de rango"&amp;" · ","")&amp;IF(AND($S151="Sub",$G151&lt;&gt;""),"Las subactividades no llevan peso"&amp;" · ","")&amp;IF(AND($S151="Macro",ABS(SUMIFS($G$5:$G$1000,$P$5:$P$1000,$P151,$S$5:$S$1000,"Macro")-1)&gt;0.0001),"Pesos del mes suman "&amp;TEXT(SUMIFS($G$5:$G$1000,$P$5:$P$1000,$P151,$S$5:$S$1000,"Macro"),"0%")&amp;" · ","")&amp;IF(AND(N($T151)&gt;0,COUNT($H151:$K151)&gt;0),"Con subactividades: deje vacías las semanas (se calculan solas)"&amp;" · ","")&amp;IF((COUNTIF($H151:$K151,"&gt;1")+COUNTIF($H151:$K151,"&lt;0")+COUNTA($H151:$K151)-COUNT($H151:$K151))&gt;0,"Avance fuera de rango 0-100%"&amp;" · ","")&amp;IF(OR(AND($I151&lt;&gt;"",$I151&lt;$H151),AND($J151&lt;&gt;"",$J151&lt;MAX($H151:$I151)),AND($K151&lt;&gt;"",$K151&lt;MAX($H151:$J151))),"Avance semanal decreciente"&amp;" · ","")&amp;IF(AND(ISNUMBER($F151),$F151&lt;FechaRef,N($L151)&lt;1),"Vencida"&amp;" · ","")&amp;IF(AND(ObsObligatoria="Sí",ISNUMBER($F151),$F151&lt;FechaRef,N($L151)&lt;1,$N151=""),"Vencida sin observación"&amp;" · ",""))="","✔ OK","⚠ "&amp;LEFT(IF(AND($S151="Macro",$B151=""),"Macroactividad vacía"&amp;" · ","")&amp;IF(AND($B151&lt;&gt;"",$C151&lt;&gt;""),"Escriba la subactividad en otra fila, debajo de su macroactividad"&amp;" · ","")&amp;IF(AND($S151="Sub",N($R151)=0),"Subactividad sin macroactividad arriba"&amp;" · ","")&amp;IF($D151="","Sin responsable"&amp;" · ","")&amp;IF($E151="","Sin fecha de inicio"&amp;" · ","")&amp;IF($F151="","Sin fecha límite"&amp;" · ","")&amp;IF(OR(AND($E151&lt;&gt;"",NOT(ISNUMBER($E151))),AND($F151&lt;&gt;"",NOT(ISNUMBER($F151)))),"Fecha no válida"&amp;" · ","")&amp;IF(AND(ISNUMBER($E151),ISNUMBER($F151),$E151&gt;$F151),"Inicio posterior a fecha límite"&amp;" · ","")&amp;IF(AND($S151="Macro",$G151=""),"Peso vacío"&amp;" · ","")&amp;IF(AND($S151="Macro",$G151&lt;&gt;"",OR(NOT(ISNUMBER($G151)),$G151&lt;=0,$G151&gt;1)),"Peso fuera de rango"&amp;" · ","")&amp;IF(AND($S151="Sub",$G151&lt;&gt;""),"Las subactividades no llevan peso"&amp;" · ","")&amp;IF(AND($S151="Macro",ABS(SUMIFS($G$5:$G$1000,$P$5:$P$1000,$P151,$S$5:$S$1000,"Macro")-1)&gt;0.0001),"Pesos del mes suman "&amp;TEXT(SUMIFS($G$5:$G$1000,$P$5:$P$1000,$P151,$S$5:$S$1000,"Macro"),"0%")&amp;" · ","")&amp;IF(AND(N($T151)&gt;0,COUNT($H151:$K151)&gt;0),"Con subactividades: deje vacías las semanas (se calculan solas)"&amp;" · ","")&amp;IF((COUNTIF($H151:$K151,"&gt;1")+COUNTIF($H151:$K151,"&lt;0")+COUNTA($H151:$K151)-COUNT($H151:$K151))&gt;0,"Avance fuera de rango 0-100%"&amp;" · ","")&amp;IF(OR(AND($I151&lt;&gt;"",$I151&lt;$H151),AND($J151&lt;&gt;"",$J151&lt;MAX($H151:$I151)),AND($K151&lt;&gt;"",$K151&lt;MAX($H151:$J151))),"Avance semanal decreciente"&amp;" · ","")&amp;IF(AND(ISNUMBER($F151),$F151&lt;FechaRef,N($L151)&lt;1),"Vencida"&amp;" · ","")&amp;IF(AND(ObsObligatoria="Sí",ISNUMBER($F151),$F151&lt;FechaRef,N($L151)&lt;1,$N151=""),"Vencida sin observación"&amp;" · ",""),LEN(IF(AND($S151="Macro",$B151=""),"Macroactividad vacía"&amp;" · ","")&amp;IF(AND($B151&lt;&gt;"",$C151&lt;&gt;""),"Escriba la subactividad en otra fila, debajo de su macroactividad"&amp;" · ","")&amp;IF(AND($S151="Sub",N($R151)=0),"Subactividad sin macroactividad arriba"&amp;" · ","")&amp;IF($D151="","Sin responsable"&amp;" · ","")&amp;IF($E151="","Sin fecha de inicio"&amp;" · ","")&amp;IF($F151="","Sin fecha límite"&amp;" · ","")&amp;IF(OR(AND($E151&lt;&gt;"",NOT(ISNUMBER($E151))),AND($F151&lt;&gt;"",NOT(ISNUMBER($F151)))),"Fecha no válida"&amp;" · ","")&amp;IF(AND(ISNUMBER($E151),ISNUMBER($F151),$E151&gt;$F151),"Inicio posterior a fecha límite"&amp;" · ","")&amp;IF(AND($S151="Macro",$G151=""),"Peso vacío"&amp;" · ","")&amp;IF(AND($S151="Macro",$G151&lt;&gt;"",OR(NOT(ISNUMBER($G151)),$G151&lt;=0,$G151&gt;1)),"Peso fuera de rango"&amp;" · ","")&amp;IF(AND($S151="Sub",$G151&lt;&gt;""),"Las subactividades no llevan peso"&amp;" · ","")&amp;IF(AND($S151="Macro",ABS(SUMIFS($G$5:$G$1000,$P$5:$P$1000,$P151,$S$5:$S$1000,"Macro")-1)&gt;0.0001),"Pesos del mes suman "&amp;TEXT(SUMIFS($G$5:$G$1000,$P$5:$P$1000,$P151,$S$5:$S$1000,"Macro"),"0%")&amp;" · ","")&amp;IF(AND(N($T151)&gt;0,COUNT($H151:$K151)&gt;0),"Con subactividades: deje vacías las semanas (se calculan solas)"&amp;" · ","")&amp;IF((COUNTIF($H151:$K151,"&gt;1")+COUNTIF($H151:$K151,"&lt;0")+COUNTA($H151:$K151)-COUNT($H151:$K151))&gt;0,"Avance fuera de rango 0-100%"&amp;" · ","")&amp;IF(OR(AND($I151&lt;&gt;"",$I151&lt;$H151),AND($J151&lt;&gt;"",$J151&lt;MAX($H151:$I151)),AND($K151&lt;&gt;"",$K151&lt;MAX($H151:$J151))),"Avance semanal decreciente"&amp;" · ","")&amp;IF(AND(ISNUMBER($F151),$F151&lt;FechaRef,N($L151)&lt;1),"Vencida"&amp;" · ","")&amp;IF(AND(ObsObligatoria="Sí",ISNUMBER($F151),$F151&lt;FechaRef,N($L151)&lt;1,$N151=""),"Vencida sin observación"&amp;" · ",""))-3)))</f>
        <v/>
      </c>
      <c r="P151" s="69">
        <f>IF(NOT((COUNTA($B151:$K151)+COUNTA($N151))&gt;0),"",IF(AND($S151="Sub",N($R151)&gt;0),IF(ISNUMBER(INDEX($E$5:$E$1000,$R151-4)),DATE(YEAR(INDEX($E$5:$E$1000,$R151-4)),MONTH(INDEX($E$5:$E$1000,$R151-4)),1),IF(ISNUMBER(INDEX($F$5:$F$1000,$R151-4)),DATE(YEAR(INDEX($F$5:$F$1000,$R151-4)),MONTH(INDEX($F$5:$F$1000,$R151-4)),1),MesCiclo)),IF(ISNUMBER($E151),DATE(YEAR($E151),MONTH($E151),1),IF(ISNUMBER($F151),DATE(YEAR($F151),MONTH($F151),1),MesCiclo))))</f>
        <v/>
      </c>
      <c r="Q151" s="70">
        <f>IF(OR($P151="",$P151&lt;&gt;MesCiclo),"",COUNTIF($P$5:$P151,MesCiclo))</f>
        <v/>
      </c>
      <c r="R151" s="70">
        <f>IF($S151="","",IF($S151="Macro",ROW(),IFERROR(LOOKUP(2,1/($S$5:$S151="Macro"),ROW($S$5:$S151)),0)))</f>
        <v/>
      </c>
      <c r="S151" s="70">
        <f>IF(NOT((COUNTA($B151:$K151)+COUNTA($N151))&gt;0),"",IF($B151&lt;&gt;"","Macro",IF($C151&lt;&gt;"","Sub","Macro")))</f>
        <v/>
      </c>
      <c r="T151" s="70">
        <f>IF($S151="Macro",COUNTIFS($R$5:$R$1000,ROW(),$S$5:$S$1000,"Sub"),"")</f>
        <v/>
      </c>
      <c r="U151" s="70">
        <f>IF($S151="","",IF(ISNUMBER($H151),$H151,0))</f>
        <v/>
      </c>
      <c r="V151" s="70">
        <f>IF($S151="","",IF(ISNUMBER($I151),$I151,$U151))</f>
        <v/>
      </c>
      <c r="W151" s="70">
        <f>IF($S151="","",IF(ISNUMBER($J151),$J151,$V151))</f>
        <v/>
      </c>
      <c r="X151" s="70">
        <f>IF($S151="","",IF(ISNUMBER($K151),$K151,$W151))</f>
        <v/>
      </c>
      <c r="Y151" s="70">
        <f>IF($S151="","",IF(N($T151)&gt;0,AVERAGEIFS($U$5:$U$1000,$R$5:$R$1000,ROW(),$S$5:$S$1000,"Sub"),$U151))</f>
        <v/>
      </c>
      <c r="Z151" s="70">
        <f>IF($S151="","",IF(N($T151)&gt;0,AVERAGEIFS($V$5:$V$1000,$R$5:$R$1000,ROW(),$S$5:$S$1000,"Sub"),$V151))</f>
        <v/>
      </c>
      <c r="AA151" s="70">
        <f>IF($S151="","",IF(N($T151)&gt;0,AVERAGEIFS($W$5:$W$1000,$R$5:$R$1000,ROW(),$S$5:$S$1000,"Sub"),$W151))</f>
        <v/>
      </c>
      <c r="AB151" s="70">
        <f>IF($S151="","",IF(N($T151)&gt;0,AVERAGEIFS($X$5:$X$1000,$R$5:$R$1000,ROW(),$S$5:$S$1000,"Sub"),$X151))</f>
        <v/>
      </c>
    </row>
    <row r="152">
      <c r="A152" s="61">
        <f>IF(NOT((COUNTA($B152:$K152)+COUNTA($N152))&gt;0),"",IF($S152="Macro",COUNTIFS($S$5:$S152,"Macro",$P$5:$P152,$P152),IF(N($R152)=0,"?",COUNTIFS(INDEX($S$5:$S$1000,1):INDEX($S$5:$S$1000,$R152-4),"Macro",INDEX($P$5:$P$1000,1):INDEX($P$5:$P$1000,$R152-4),INDEX($P$5:$P$1000,$R152-4))&amp;"."&amp;COUNTIFS($R$5:$R152,$R152,$S$5:$S152,"Sub"))))</f>
        <v/>
      </c>
      <c r="B152" s="62" t="n"/>
      <c r="C152" s="63" t="n"/>
      <c r="D152" s="62" t="n"/>
      <c r="E152" s="64" t="n"/>
      <c r="F152" s="64" t="n"/>
      <c r="G152" s="65" t="n"/>
      <c r="H152" s="66" t="n"/>
      <c r="I152" s="66" t="n"/>
      <c r="J152" s="66" t="n"/>
      <c r="K152" s="66" t="n"/>
      <c r="L152" s="67">
        <f>IF(NOT((COUNTA($B152:$K152)+COUNTA($N152))&gt;0),"",IF(N($T152)&gt;0,$AB152,IFERROR(LOOKUP(2,1/(H152:K152&lt;&gt;""),H152:K152),0)))</f>
        <v/>
      </c>
      <c r="M152" s="61">
        <f>IF(L152="","",IF(L152&gt;=1,"Completado",IF(L152&gt;0,"En curso","Pendiente")))</f>
        <v/>
      </c>
      <c r="N152" s="62" t="n"/>
      <c r="O152" s="68">
        <f>IF(NOT((COUNTA($B152:$K152)+COUNTA($N152))&gt;0),"",IF((IF(AND($S152="Macro",$B152=""),"Macroactividad vacía"&amp;" · ","")&amp;IF(AND($B152&lt;&gt;"",$C152&lt;&gt;""),"Escriba la subactividad en otra fila, debajo de su macroactividad"&amp;" · ","")&amp;IF(AND($S152="Sub",N($R152)=0),"Subactividad sin macroactividad arriba"&amp;" · ","")&amp;IF($D152="","Sin responsable"&amp;" · ","")&amp;IF($E152="","Sin fecha de inicio"&amp;" · ","")&amp;IF($F152="","Sin fecha límite"&amp;" · ","")&amp;IF(OR(AND($E152&lt;&gt;"",NOT(ISNUMBER($E152))),AND($F152&lt;&gt;"",NOT(ISNUMBER($F152)))),"Fecha no válida"&amp;" · ","")&amp;IF(AND(ISNUMBER($E152),ISNUMBER($F152),$E152&gt;$F152),"Inicio posterior a fecha límite"&amp;" · ","")&amp;IF(AND($S152="Macro",$G152=""),"Peso vacío"&amp;" · ","")&amp;IF(AND($S152="Macro",$G152&lt;&gt;"",OR(NOT(ISNUMBER($G152)),$G152&lt;=0,$G152&gt;1)),"Peso fuera de rango"&amp;" · ","")&amp;IF(AND($S152="Sub",$G152&lt;&gt;""),"Las subactividades no llevan peso"&amp;" · ","")&amp;IF(AND($S152="Macro",ABS(SUMIFS($G$5:$G$1000,$P$5:$P$1000,$P152,$S$5:$S$1000,"Macro")-1)&gt;0.0001),"Pesos del mes suman "&amp;TEXT(SUMIFS($G$5:$G$1000,$P$5:$P$1000,$P152,$S$5:$S$1000,"Macro"),"0%")&amp;" · ","")&amp;IF(AND(N($T152)&gt;0,COUNT($H152:$K152)&gt;0),"Con subactividades: deje vacías las semanas (se calculan solas)"&amp;" · ","")&amp;IF((COUNTIF($H152:$K152,"&gt;1")+COUNTIF($H152:$K152,"&lt;0")+COUNTA($H152:$K152)-COUNT($H152:$K152))&gt;0,"Avance fuera de rango 0-100%"&amp;" · ","")&amp;IF(OR(AND($I152&lt;&gt;"",$I152&lt;$H152),AND($J152&lt;&gt;"",$J152&lt;MAX($H152:$I152)),AND($K152&lt;&gt;"",$K152&lt;MAX($H152:$J152))),"Avance semanal decreciente"&amp;" · ","")&amp;IF(AND(ISNUMBER($F152),$F152&lt;FechaRef,N($L152)&lt;1),"Vencida"&amp;" · ","")&amp;IF(AND(ObsObligatoria="Sí",ISNUMBER($F152),$F152&lt;FechaRef,N($L152)&lt;1,$N152=""),"Vencida sin observación"&amp;" · ",""))="","✔ OK","⚠ "&amp;LEFT(IF(AND($S152="Macro",$B152=""),"Macroactividad vacía"&amp;" · ","")&amp;IF(AND($B152&lt;&gt;"",$C152&lt;&gt;""),"Escriba la subactividad en otra fila, debajo de su macroactividad"&amp;" · ","")&amp;IF(AND($S152="Sub",N($R152)=0),"Subactividad sin macroactividad arriba"&amp;" · ","")&amp;IF($D152="","Sin responsable"&amp;" · ","")&amp;IF($E152="","Sin fecha de inicio"&amp;" · ","")&amp;IF($F152="","Sin fecha límite"&amp;" · ","")&amp;IF(OR(AND($E152&lt;&gt;"",NOT(ISNUMBER($E152))),AND($F152&lt;&gt;"",NOT(ISNUMBER($F152)))),"Fecha no válida"&amp;" · ","")&amp;IF(AND(ISNUMBER($E152),ISNUMBER($F152),$E152&gt;$F152),"Inicio posterior a fecha límite"&amp;" · ","")&amp;IF(AND($S152="Macro",$G152=""),"Peso vacío"&amp;" · ","")&amp;IF(AND($S152="Macro",$G152&lt;&gt;"",OR(NOT(ISNUMBER($G152)),$G152&lt;=0,$G152&gt;1)),"Peso fuera de rango"&amp;" · ","")&amp;IF(AND($S152="Sub",$G152&lt;&gt;""),"Las subactividades no llevan peso"&amp;" · ","")&amp;IF(AND($S152="Macro",ABS(SUMIFS($G$5:$G$1000,$P$5:$P$1000,$P152,$S$5:$S$1000,"Macro")-1)&gt;0.0001),"Pesos del mes suman "&amp;TEXT(SUMIFS($G$5:$G$1000,$P$5:$P$1000,$P152,$S$5:$S$1000,"Macro"),"0%")&amp;" · ","")&amp;IF(AND(N($T152)&gt;0,COUNT($H152:$K152)&gt;0),"Con subactividades: deje vacías las semanas (se calculan solas)"&amp;" · ","")&amp;IF((COUNTIF($H152:$K152,"&gt;1")+COUNTIF($H152:$K152,"&lt;0")+COUNTA($H152:$K152)-COUNT($H152:$K152))&gt;0,"Avance fuera de rango 0-100%"&amp;" · ","")&amp;IF(OR(AND($I152&lt;&gt;"",$I152&lt;$H152),AND($J152&lt;&gt;"",$J152&lt;MAX($H152:$I152)),AND($K152&lt;&gt;"",$K152&lt;MAX($H152:$J152))),"Avance semanal decreciente"&amp;" · ","")&amp;IF(AND(ISNUMBER($F152),$F152&lt;FechaRef,N($L152)&lt;1),"Vencida"&amp;" · ","")&amp;IF(AND(ObsObligatoria="Sí",ISNUMBER($F152),$F152&lt;FechaRef,N($L152)&lt;1,$N152=""),"Vencida sin observación"&amp;" · ",""),LEN(IF(AND($S152="Macro",$B152=""),"Macroactividad vacía"&amp;" · ","")&amp;IF(AND($B152&lt;&gt;"",$C152&lt;&gt;""),"Escriba la subactividad en otra fila, debajo de su macroactividad"&amp;" · ","")&amp;IF(AND($S152="Sub",N($R152)=0),"Subactividad sin macroactividad arriba"&amp;" · ","")&amp;IF($D152="","Sin responsable"&amp;" · ","")&amp;IF($E152="","Sin fecha de inicio"&amp;" · ","")&amp;IF($F152="","Sin fecha límite"&amp;" · ","")&amp;IF(OR(AND($E152&lt;&gt;"",NOT(ISNUMBER($E152))),AND($F152&lt;&gt;"",NOT(ISNUMBER($F152)))),"Fecha no válida"&amp;" · ","")&amp;IF(AND(ISNUMBER($E152),ISNUMBER($F152),$E152&gt;$F152),"Inicio posterior a fecha límite"&amp;" · ","")&amp;IF(AND($S152="Macro",$G152=""),"Peso vacío"&amp;" · ","")&amp;IF(AND($S152="Macro",$G152&lt;&gt;"",OR(NOT(ISNUMBER($G152)),$G152&lt;=0,$G152&gt;1)),"Peso fuera de rango"&amp;" · ","")&amp;IF(AND($S152="Sub",$G152&lt;&gt;""),"Las subactividades no llevan peso"&amp;" · ","")&amp;IF(AND($S152="Macro",ABS(SUMIFS($G$5:$G$1000,$P$5:$P$1000,$P152,$S$5:$S$1000,"Macro")-1)&gt;0.0001),"Pesos del mes suman "&amp;TEXT(SUMIFS($G$5:$G$1000,$P$5:$P$1000,$P152,$S$5:$S$1000,"Macro"),"0%")&amp;" · ","")&amp;IF(AND(N($T152)&gt;0,COUNT($H152:$K152)&gt;0),"Con subactividades: deje vacías las semanas (se calculan solas)"&amp;" · ","")&amp;IF((COUNTIF($H152:$K152,"&gt;1")+COUNTIF($H152:$K152,"&lt;0")+COUNTA($H152:$K152)-COUNT($H152:$K152))&gt;0,"Avance fuera de rango 0-100%"&amp;" · ","")&amp;IF(OR(AND($I152&lt;&gt;"",$I152&lt;$H152),AND($J152&lt;&gt;"",$J152&lt;MAX($H152:$I152)),AND($K152&lt;&gt;"",$K152&lt;MAX($H152:$J152))),"Avance semanal decreciente"&amp;" · ","")&amp;IF(AND(ISNUMBER($F152),$F152&lt;FechaRef,N($L152)&lt;1),"Vencida"&amp;" · ","")&amp;IF(AND(ObsObligatoria="Sí",ISNUMBER($F152),$F152&lt;FechaRef,N($L152)&lt;1,$N152=""),"Vencida sin observación"&amp;" · ",""))-3)))</f>
        <v/>
      </c>
      <c r="P152" s="69">
        <f>IF(NOT((COUNTA($B152:$K152)+COUNTA($N152))&gt;0),"",IF(AND($S152="Sub",N($R152)&gt;0),IF(ISNUMBER(INDEX($E$5:$E$1000,$R152-4)),DATE(YEAR(INDEX($E$5:$E$1000,$R152-4)),MONTH(INDEX($E$5:$E$1000,$R152-4)),1),IF(ISNUMBER(INDEX($F$5:$F$1000,$R152-4)),DATE(YEAR(INDEX($F$5:$F$1000,$R152-4)),MONTH(INDEX($F$5:$F$1000,$R152-4)),1),MesCiclo)),IF(ISNUMBER($E152),DATE(YEAR($E152),MONTH($E152),1),IF(ISNUMBER($F152),DATE(YEAR($F152),MONTH($F152),1),MesCiclo))))</f>
        <v/>
      </c>
      <c r="Q152" s="70">
        <f>IF(OR($P152="",$P152&lt;&gt;MesCiclo),"",COUNTIF($P$5:$P152,MesCiclo))</f>
        <v/>
      </c>
      <c r="R152" s="70">
        <f>IF($S152="","",IF($S152="Macro",ROW(),IFERROR(LOOKUP(2,1/($S$5:$S152="Macro"),ROW($S$5:$S152)),0)))</f>
        <v/>
      </c>
      <c r="S152" s="70">
        <f>IF(NOT((COUNTA($B152:$K152)+COUNTA($N152))&gt;0),"",IF($B152&lt;&gt;"","Macro",IF($C152&lt;&gt;"","Sub","Macro")))</f>
        <v/>
      </c>
      <c r="T152" s="70">
        <f>IF($S152="Macro",COUNTIFS($R$5:$R$1000,ROW(),$S$5:$S$1000,"Sub"),"")</f>
        <v/>
      </c>
      <c r="U152" s="70">
        <f>IF($S152="","",IF(ISNUMBER($H152),$H152,0))</f>
        <v/>
      </c>
      <c r="V152" s="70">
        <f>IF($S152="","",IF(ISNUMBER($I152),$I152,$U152))</f>
        <v/>
      </c>
      <c r="W152" s="70">
        <f>IF($S152="","",IF(ISNUMBER($J152),$J152,$V152))</f>
        <v/>
      </c>
      <c r="X152" s="70">
        <f>IF($S152="","",IF(ISNUMBER($K152),$K152,$W152))</f>
        <v/>
      </c>
      <c r="Y152" s="70">
        <f>IF($S152="","",IF(N($T152)&gt;0,AVERAGEIFS($U$5:$U$1000,$R$5:$R$1000,ROW(),$S$5:$S$1000,"Sub"),$U152))</f>
        <v/>
      </c>
      <c r="Z152" s="70">
        <f>IF($S152="","",IF(N($T152)&gt;0,AVERAGEIFS($V$5:$V$1000,$R$5:$R$1000,ROW(),$S$5:$S$1000,"Sub"),$V152))</f>
        <v/>
      </c>
      <c r="AA152" s="70">
        <f>IF($S152="","",IF(N($T152)&gt;0,AVERAGEIFS($W$5:$W$1000,$R$5:$R$1000,ROW(),$S$5:$S$1000,"Sub"),$W152))</f>
        <v/>
      </c>
      <c r="AB152" s="70">
        <f>IF($S152="","",IF(N($T152)&gt;0,AVERAGEIFS($X$5:$X$1000,$R$5:$R$1000,ROW(),$S$5:$S$1000,"Sub"),$X152))</f>
        <v/>
      </c>
    </row>
    <row r="153">
      <c r="A153" s="61">
        <f>IF(NOT((COUNTA($B153:$K153)+COUNTA($N153))&gt;0),"",IF($S153="Macro",COUNTIFS($S$5:$S153,"Macro",$P$5:$P153,$P153),IF(N($R153)=0,"?",COUNTIFS(INDEX($S$5:$S$1000,1):INDEX($S$5:$S$1000,$R153-4),"Macro",INDEX($P$5:$P$1000,1):INDEX($P$5:$P$1000,$R153-4),INDEX($P$5:$P$1000,$R153-4))&amp;"."&amp;COUNTIFS($R$5:$R153,$R153,$S$5:$S153,"Sub"))))</f>
        <v/>
      </c>
      <c r="B153" s="62" t="n"/>
      <c r="C153" s="63" t="n"/>
      <c r="D153" s="62" t="n"/>
      <c r="E153" s="64" t="n"/>
      <c r="F153" s="64" t="n"/>
      <c r="G153" s="65" t="n"/>
      <c r="H153" s="66" t="n"/>
      <c r="I153" s="66" t="n"/>
      <c r="J153" s="66" t="n"/>
      <c r="K153" s="66" t="n"/>
      <c r="L153" s="67">
        <f>IF(NOT((COUNTA($B153:$K153)+COUNTA($N153))&gt;0),"",IF(N($T153)&gt;0,$AB153,IFERROR(LOOKUP(2,1/(H153:K153&lt;&gt;""),H153:K153),0)))</f>
        <v/>
      </c>
      <c r="M153" s="61">
        <f>IF(L153="","",IF(L153&gt;=1,"Completado",IF(L153&gt;0,"En curso","Pendiente")))</f>
        <v/>
      </c>
      <c r="N153" s="62" t="n"/>
      <c r="O153" s="68">
        <f>IF(NOT((COUNTA($B153:$K153)+COUNTA($N153))&gt;0),"",IF((IF(AND($S153="Macro",$B153=""),"Macroactividad vacía"&amp;" · ","")&amp;IF(AND($B153&lt;&gt;"",$C153&lt;&gt;""),"Escriba la subactividad en otra fila, debajo de su macroactividad"&amp;" · ","")&amp;IF(AND($S153="Sub",N($R153)=0),"Subactividad sin macroactividad arriba"&amp;" · ","")&amp;IF($D153="","Sin responsable"&amp;" · ","")&amp;IF($E153="","Sin fecha de inicio"&amp;" · ","")&amp;IF($F153="","Sin fecha límite"&amp;" · ","")&amp;IF(OR(AND($E153&lt;&gt;"",NOT(ISNUMBER($E153))),AND($F153&lt;&gt;"",NOT(ISNUMBER($F153)))),"Fecha no válida"&amp;" · ","")&amp;IF(AND(ISNUMBER($E153),ISNUMBER($F153),$E153&gt;$F153),"Inicio posterior a fecha límite"&amp;" · ","")&amp;IF(AND($S153="Macro",$G153=""),"Peso vacío"&amp;" · ","")&amp;IF(AND($S153="Macro",$G153&lt;&gt;"",OR(NOT(ISNUMBER($G153)),$G153&lt;=0,$G153&gt;1)),"Peso fuera de rango"&amp;" · ","")&amp;IF(AND($S153="Sub",$G153&lt;&gt;""),"Las subactividades no llevan peso"&amp;" · ","")&amp;IF(AND($S153="Macro",ABS(SUMIFS($G$5:$G$1000,$P$5:$P$1000,$P153,$S$5:$S$1000,"Macro")-1)&gt;0.0001),"Pesos del mes suman "&amp;TEXT(SUMIFS($G$5:$G$1000,$P$5:$P$1000,$P153,$S$5:$S$1000,"Macro"),"0%")&amp;" · ","")&amp;IF(AND(N($T153)&gt;0,COUNT($H153:$K153)&gt;0),"Con subactividades: deje vacías las semanas (se calculan solas)"&amp;" · ","")&amp;IF((COUNTIF($H153:$K153,"&gt;1")+COUNTIF($H153:$K153,"&lt;0")+COUNTA($H153:$K153)-COUNT($H153:$K153))&gt;0,"Avance fuera de rango 0-100%"&amp;" · ","")&amp;IF(OR(AND($I153&lt;&gt;"",$I153&lt;$H153),AND($J153&lt;&gt;"",$J153&lt;MAX($H153:$I153)),AND($K153&lt;&gt;"",$K153&lt;MAX($H153:$J153))),"Avance semanal decreciente"&amp;" · ","")&amp;IF(AND(ISNUMBER($F153),$F153&lt;FechaRef,N($L153)&lt;1),"Vencida"&amp;" · ","")&amp;IF(AND(ObsObligatoria="Sí",ISNUMBER($F153),$F153&lt;FechaRef,N($L153)&lt;1,$N153=""),"Vencida sin observación"&amp;" · ",""))="","✔ OK","⚠ "&amp;LEFT(IF(AND($S153="Macro",$B153=""),"Macroactividad vacía"&amp;" · ","")&amp;IF(AND($B153&lt;&gt;"",$C153&lt;&gt;""),"Escriba la subactividad en otra fila, debajo de su macroactividad"&amp;" · ","")&amp;IF(AND($S153="Sub",N($R153)=0),"Subactividad sin macroactividad arriba"&amp;" · ","")&amp;IF($D153="","Sin responsable"&amp;" · ","")&amp;IF($E153="","Sin fecha de inicio"&amp;" · ","")&amp;IF($F153="","Sin fecha límite"&amp;" · ","")&amp;IF(OR(AND($E153&lt;&gt;"",NOT(ISNUMBER($E153))),AND($F153&lt;&gt;"",NOT(ISNUMBER($F153)))),"Fecha no válida"&amp;" · ","")&amp;IF(AND(ISNUMBER($E153),ISNUMBER($F153),$E153&gt;$F153),"Inicio posterior a fecha límite"&amp;" · ","")&amp;IF(AND($S153="Macro",$G153=""),"Peso vacío"&amp;" · ","")&amp;IF(AND($S153="Macro",$G153&lt;&gt;"",OR(NOT(ISNUMBER($G153)),$G153&lt;=0,$G153&gt;1)),"Peso fuera de rango"&amp;" · ","")&amp;IF(AND($S153="Sub",$G153&lt;&gt;""),"Las subactividades no llevan peso"&amp;" · ","")&amp;IF(AND($S153="Macro",ABS(SUMIFS($G$5:$G$1000,$P$5:$P$1000,$P153,$S$5:$S$1000,"Macro")-1)&gt;0.0001),"Pesos del mes suman "&amp;TEXT(SUMIFS($G$5:$G$1000,$P$5:$P$1000,$P153,$S$5:$S$1000,"Macro"),"0%")&amp;" · ","")&amp;IF(AND(N($T153)&gt;0,COUNT($H153:$K153)&gt;0),"Con subactividades: deje vacías las semanas (se calculan solas)"&amp;" · ","")&amp;IF((COUNTIF($H153:$K153,"&gt;1")+COUNTIF($H153:$K153,"&lt;0")+COUNTA($H153:$K153)-COUNT($H153:$K153))&gt;0,"Avance fuera de rango 0-100%"&amp;" · ","")&amp;IF(OR(AND($I153&lt;&gt;"",$I153&lt;$H153),AND($J153&lt;&gt;"",$J153&lt;MAX($H153:$I153)),AND($K153&lt;&gt;"",$K153&lt;MAX($H153:$J153))),"Avance semanal decreciente"&amp;" · ","")&amp;IF(AND(ISNUMBER($F153),$F153&lt;FechaRef,N($L153)&lt;1),"Vencida"&amp;" · ","")&amp;IF(AND(ObsObligatoria="Sí",ISNUMBER($F153),$F153&lt;FechaRef,N($L153)&lt;1,$N153=""),"Vencida sin observación"&amp;" · ",""),LEN(IF(AND($S153="Macro",$B153=""),"Macroactividad vacía"&amp;" · ","")&amp;IF(AND($B153&lt;&gt;"",$C153&lt;&gt;""),"Escriba la subactividad en otra fila, debajo de su macroactividad"&amp;" · ","")&amp;IF(AND($S153="Sub",N($R153)=0),"Subactividad sin macroactividad arriba"&amp;" · ","")&amp;IF($D153="","Sin responsable"&amp;" · ","")&amp;IF($E153="","Sin fecha de inicio"&amp;" · ","")&amp;IF($F153="","Sin fecha límite"&amp;" · ","")&amp;IF(OR(AND($E153&lt;&gt;"",NOT(ISNUMBER($E153))),AND($F153&lt;&gt;"",NOT(ISNUMBER($F153)))),"Fecha no válida"&amp;" · ","")&amp;IF(AND(ISNUMBER($E153),ISNUMBER($F153),$E153&gt;$F153),"Inicio posterior a fecha límite"&amp;" · ","")&amp;IF(AND($S153="Macro",$G153=""),"Peso vacío"&amp;" · ","")&amp;IF(AND($S153="Macro",$G153&lt;&gt;"",OR(NOT(ISNUMBER($G153)),$G153&lt;=0,$G153&gt;1)),"Peso fuera de rango"&amp;" · ","")&amp;IF(AND($S153="Sub",$G153&lt;&gt;""),"Las subactividades no llevan peso"&amp;" · ","")&amp;IF(AND($S153="Macro",ABS(SUMIFS($G$5:$G$1000,$P$5:$P$1000,$P153,$S$5:$S$1000,"Macro")-1)&gt;0.0001),"Pesos del mes suman "&amp;TEXT(SUMIFS($G$5:$G$1000,$P$5:$P$1000,$P153,$S$5:$S$1000,"Macro"),"0%")&amp;" · ","")&amp;IF(AND(N($T153)&gt;0,COUNT($H153:$K153)&gt;0),"Con subactividades: deje vacías las semanas (se calculan solas)"&amp;" · ","")&amp;IF((COUNTIF($H153:$K153,"&gt;1")+COUNTIF($H153:$K153,"&lt;0")+COUNTA($H153:$K153)-COUNT($H153:$K153))&gt;0,"Avance fuera de rango 0-100%"&amp;" · ","")&amp;IF(OR(AND($I153&lt;&gt;"",$I153&lt;$H153),AND($J153&lt;&gt;"",$J153&lt;MAX($H153:$I153)),AND($K153&lt;&gt;"",$K153&lt;MAX($H153:$J153))),"Avance semanal decreciente"&amp;" · ","")&amp;IF(AND(ISNUMBER($F153),$F153&lt;FechaRef,N($L153)&lt;1),"Vencida"&amp;" · ","")&amp;IF(AND(ObsObligatoria="Sí",ISNUMBER($F153),$F153&lt;FechaRef,N($L153)&lt;1,$N153=""),"Vencida sin observación"&amp;" · ",""))-3)))</f>
        <v/>
      </c>
      <c r="P153" s="69">
        <f>IF(NOT((COUNTA($B153:$K153)+COUNTA($N153))&gt;0),"",IF(AND($S153="Sub",N($R153)&gt;0),IF(ISNUMBER(INDEX($E$5:$E$1000,$R153-4)),DATE(YEAR(INDEX($E$5:$E$1000,$R153-4)),MONTH(INDEX($E$5:$E$1000,$R153-4)),1),IF(ISNUMBER(INDEX($F$5:$F$1000,$R153-4)),DATE(YEAR(INDEX($F$5:$F$1000,$R153-4)),MONTH(INDEX($F$5:$F$1000,$R153-4)),1),MesCiclo)),IF(ISNUMBER($E153),DATE(YEAR($E153),MONTH($E153),1),IF(ISNUMBER($F153),DATE(YEAR($F153),MONTH($F153),1),MesCiclo))))</f>
        <v/>
      </c>
      <c r="Q153" s="70">
        <f>IF(OR($P153="",$P153&lt;&gt;MesCiclo),"",COUNTIF($P$5:$P153,MesCiclo))</f>
        <v/>
      </c>
      <c r="R153" s="70">
        <f>IF($S153="","",IF($S153="Macro",ROW(),IFERROR(LOOKUP(2,1/($S$5:$S153="Macro"),ROW($S$5:$S153)),0)))</f>
        <v/>
      </c>
      <c r="S153" s="70">
        <f>IF(NOT((COUNTA($B153:$K153)+COUNTA($N153))&gt;0),"",IF($B153&lt;&gt;"","Macro",IF($C153&lt;&gt;"","Sub","Macro")))</f>
        <v/>
      </c>
      <c r="T153" s="70">
        <f>IF($S153="Macro",COUNTIFS($R$5:$R$1000,ROW(),$S$5:$S$1000,"Sub"),"")</f>
        <v/>
      </c>
      <c r="U153" s="70">
        <f>IF($S153="","",IF(ISNUMBER($H153),$H153,0))</f>
        <v/>
      </c>
      <c r="V153" s="70">
        <f>IF($S153="","",IF(ISNUMBER($I153),$I153,$U153))</f>
        <v/>
      </c>
      <c r="W153" s="70">
        <f>IF($S153="","",IF(ISNUMBER($J153),$J153,$V153))</f>
        <v/>
      </c>
      <c r="X153" s="70">
        <f>IF($S153="","",IF(ISNUMBER($K153),$K153,$W153))</f>
        <v/>
      </c>
      <c r="Y153" s="70">
        <f>IF($S153="","",IF(N($T153)&gt;0,AVERAGEIFS($U$5:$U$1000,$R$5:$R$1000,ROW(),$S$5:$S$1000,"Sub"),$U153))</f>
        <v/>
      </c>
      <c r="Z153" s="70">
        <f>IF($S153="","",IF(N($T153)&gt;0,AVERAGEIFS($V$5:$V$1000,$R$5:$R$1000,ROW(),$S$5:$S$1000,"Sub"),$V153))</f>
        <v/>
      </c>
      <c r="AA153" s="70">
        <f>IF($S153="","",IF(N($T153)&gt;0,AVERAGEIFS($W$5:$W$1000,$R$5:$R$1000,ROW(),$S$5:$S$1000,"Sub"),$W153))</f>
        <v/>
      </c>
      <c r="AB153" s="70">
        <f>IF($S153="","",IF(N($T153)&gt;0,AVERAGEIFS($X$5:$X$1000,$R$5:$R$1000,ROW(),$S$5:$S$1000,"Sub"),$X153))</f>
        <v/>
      </c>
    </row>
    <row r="154">
      <c r="A154" s="61">
        <f>IF(NOT((COUNTA($B154:$K154)+COUNTA($N154))&gt;0),"",IF($S154="Macro",COUNTIFS($S$5:$S154,"Macro",$P$5:$P154,$P154),IF(N($R154)=0,"?",COUNTIFS(INDEX($S$5:$S$1000,1):INDEX($S$5:$S$1000,$R154-4),"Macro",INDEX($P$5:$P$1000,1):INDEX($P$5:$P$1000,$R154-4),INDEX($P$5:$P$1000,$R154-4))&amp;"."&amp;COUNTIFS($R$5:$R154,$R154,$S$5:$S154,"Sub"))))</f>
        <v/>
      </c>
      <c r="B154" s="62" t="n"/>
      <c r="C154" s="63" t="n"/>
      <c r="D154" s="62" t="n"/>
      <c r="E154" s="64" t="n"/>
      <c r="F154" s="64" t="n"/>
      <c r="G154" s="65" t="n"/>
      <c r="H154" s="66" t="n"/>
      <c r="I154" s="66" t="n"/>
      <c r="J154" s="66" t="n"/>
      <c r="K154" s="66" t="n"/>
      <c r="L154" s="67">
        <f>IF(NOT((COUNTA($B154:$K154)+COUNTA($N154))&gt;0),"",IF(N($T154)&gt;0,$AB154,IFERROR(LOOKUP(2,1/(H154:K154&lt;&gt;""),H154:K154),0)))</f>
        <v/>
      </c>
      <c r="M154" s="61">
        <f>IF(L154="","",IF(L154&gt;=1,"Completado",IF(L154&gt;0,"En curso","Pendiente")))</f>
        <v/>
      </c>
      <c r="N154" s="62" t="n"/>
      <c r="O154" s="68">
        <f>IF(NOT((COUNTA($B154:$K154)+COUNTA($N154))&gt;0),"",IF((IF(AND($S154="Macro",$B154=""),"Macroactividad vacía"&amp;" · ","")&amp;IF(AND($B154&lt;&gt;"",$C154&lt;&gt;""),"Escriba la subactividad en otra fila, debajo de su macroactividad"&amp;" · ","")&amp;IF(AND($S154="Sub",N($R154)=0),"Subactividad sin macroactividad arriba"&amp;" · ","")&amp;IF($D154="","Sin responsable"&amp;" · ","")&amp;IF($E154="","Sin fecha de inicio"&amp;" · ","")&amp;IF($F154="","Sin fecha límite"&amp;" · ","")&amp;IF(OR(AND($E154&lt;&gt;"",NOT(ISNUMBER($E154))),AND($F154&lt;&gt;"",NOT(ISNUMBER($F154)))),"Fecha no válida"&amp;" · ","")&amp;IF(AND(ISNUMBER($E154),ISNUMBER($F154),$E154&gt;$F154),"Inicio posterior a fecha límite"&amp;" · ","")&amp;IF(AND($S154="Macro",$G154=""),"Peso vacío"&amp;" · ","")&amp;IF(AND($S154="Macro",$G154&lt;&gt;"",OR(NOT(ISNUMBER($G154)),$G154&lt;=0,$G154&gt;1)),"Peso fuera de rango"&amp;" · ","")&amp;IF(AND($S154="Sub",$G154&lt;&gt;""),"Las subactividades no llevan peso"&amp;" · ","")&amp;IF(AND($S154="Macro",ABS(SUMIFS($G$5:$G$1000,$P$5:$P$1000,$P154,$S$5:$S$1000,"Macro")-1)&gt;0.0001),"Pesos del mes suman "&amp;TEXT(SUMIFS($G$5:$G$1000,$P$5:$P$1000,$P154,$S$5:$S$1000,"Macro"),"0%")&amp;" · ","")&amp;IF(AND(N($T154)&gt;0,COUNT($H154:$K154)&gt;0),"Con subactividades: deje vacías las semanas (se calculan solas)"&amp;" · ","")&amp;IF((COUNTIF($H154:$K154,"&gt;1")+COUNTIF($H154:$K154,"&lt;0")+COUNTA($H154:$K154)-COUNT($H154:$K154))&gt;0,"Avance fuera de rango 0-100%"&amp;" · ","")&amp;IF(OR(AND($I154&lt;&gt;"",$I154&lt;$H154),AND($J154&lt;&gt;"",$J154&lt;MAX($H154:$I154)),AND($K154&lt;&gt;"",$K154&lt;MAX($H154:$J154))),"Avance semanal decreciente"&amp;" · ","")&amp;IF(AND(ISNUMBER($F154),$F154&lt;FechaRef,N($L154)&lt;1),"Vencida"&amp;" · ","")&amp;IF(AND(ObsObligatoria="Sí",ISNUMBER($F154),$F154&lt;FechaRef,N($L154)&lt;1,$N154=""),"Vencida sin observación"&amp;" · ",""))="","✔ OK","⚠ "&amp;LEFT(IF(AND($S154="Macro",$B154=""),"Macroactividad vacía"&amp;" · ","")&amp;IF(AND($B154&lt;&gt;"",$C154&lt;&gt;""),"Escriba la subactividad en otra fila, debajo de su macroactividad"&amp;" · ","")&amp;IF(AND($S154="Sub",N($R154)=0),"Subactividad sin macroactividad arriba"&amp;" · ","")&amp;IF($D154="","Sin responsable"&amp;" · ","")&amp;IF($E154="","Sin fecha de inicio"&amp;" · ","")&amp;IF($F154="","Sin fecha límite"&amp;" · ","")&amp;IF(OR(AND($E154&lt;&gt;"",NOT(ISNUMBER($E154))),AND($F154&lt;&gt;"",NOT(ISNUMBER($F154)))),"Fecha no válida"&amp;" · ","")&amp;IF(AND(ISNUMBER($E154),ISNUMBER($F154),$E154&gt;$F154),"Inicio posterior a fecha límite"&amp;" · ","")&amp;IF(AND($S154="Macro",$G154=""),"Peso vacío"&amp;" · ","")&amp;IF(AND($S154="Macro",$G154&lt;&gt;"",OR(NOT(ISNUMBER($G154)),$G154&lt;=0,$G154&gt;1)),"Peso fuera de rango"&amp;" · ","")&amp;IF(AND($S154="Sub",$G154&lt;&gt;""),"Las subactividades no llevan peso"&amp;" · ","")&amp;IF(AND($S154="Macro",ABS(SUMIFS($G$5:$G$1000,$P$5:$P$1000,$P154,$S$5:$S$1000,"Macro")-1)&gt;0.0001),"Pesos del mes suman "&amp;TEXT(SUMIFS($G$5:$G$1000,$P$5:$P$1000,$P154,$S$5:$S$1000,"Macro"),"0%")&amp;" · ","")&amp;IF(AND(N($T154)&gt;0,COUNT($H154:$K154)&gt;0),"Con subactividades: deje vacías las semanas (se calculan solas)"&amp;" · ","")&amp;IF((COUNTIF($H154:$K154,"&gt;1")+COUNTIF($H154:$K154,"&lt;0")+COUNTA($H154:$K154)-COUNT($H154:$K154))&gt;0,"Avance fuera de rango 0-100%"&amp;" · ","")&amp;IF(OR(AND($I154&lt;&gt;"",$I154&lt;$H154),AND($J154&lt;&gt;"",$J154&lt;MAX($H154:$I154)),AND($K154&lt;&gt;"",$K154&lt;MAX($H154:$J154))),"Avance semanal decreciente"&amp;" · ","")&amp;IF(AND(ISNUMBER($F154),$F154&lt;FechaRef,N($L154)&lt;1),"Vencida"&amp;" · ","")&amp;IF(AND(ObsObligatoria="Sí",ISNUMBER($F154),$F154&lt;FechaRef,N($L154)&lt;1,$N154=""),"Vencida sin observación"&amp;" · ",""),LEN(IF(AND($S154="Macro",$B154=""),"Macroactividad vacía"&amp;" · ","")&amp;IF(AND($B154&lt;&gt;"",$C154&lt;&gt;""),"Escriba la subactividad en otra fila, debajo de su macroactividad"&amp;" · ","")&amp;IF(AND($S154="Sub",N($R154)=0),"Subactividad sin macroactividad arriba"&amp;" · ","")&amp;IF($D154="","Sin responsable"&amp;" · ","")&amp;IF($E154="","Sin fecha de inicio"&amp;" · ","")&amp;IF($F154="","Sin fecha límite"&amp;" · ","")&amp;IF(OR(AND($E154&lt;&gt;"",NOT(ISNUMBER($E154))),AND($F154&lt;&gt;"",NOT(ISNUMBER($F154)))),"Fecha no válida"&amp;" · ","")&amp;IF(AND(ISNUMBER($E154),ISNUMBER($F154),$E154&gt;$F154),"Inicio posterior a fecha límite"&amp;" · ","")&amp;IF(AND($S154="Macro",$G154=""),"Peso vacío"&amp;" · ","")&amp;IF(AND($S154="Macro",$G154&lt;&gt;"",OR(NOT(ISNUMBER($G154)),$G154&lt;=0,$G154&gt;1)),"Peso fuera de rango"&amp;" · ","")&amp;IF(AND($S154="Sub",$G154&lt;&gt;""),"Las subactividades no llevan peso"&amp;" · ","")&amp;IF(AND($S154="Macro",ABS(SUMIFS($G$5:$G$1000,$P$5:$P$1000,$P154,$S$5:$S$1000,"Macro")-1)&gt;0.0001),"Pesos del mes suman "&amp;TEXT(SUMIFS($G$5:$G$1000,$P$5:$P$1000,$P154,$S$5:$S$1000,"Macro"),"0%")&amp;" · ","")&amp;IF(AND(N($T154)&gt;0,COUNT($H154:$K154)&gt;0),"Con subactividades: deje vacías las semanas (se calculan solas)"&amp;" · ","")&amp;IF((COUNTIF($H154:$K154,"&gt;1")+COUNTIF($H154:$K154,"&lt;0")+COUNTA($H154:$K154)-COUNT($H154:$K154))&gt;0,"Avance fuera de rango 0-100%"&amp;" · ","")&amp;IF(OR(AND($I154&lt;&gt;"",$I154&lt;$H154),AND($J154&lt;&gt;"",$J154&lt;MAX($H154:$I154)),AND($K154&lt;&gt;"",$K154&lt;MAX($H154:$J154))),"Avance semanal decreciente"&amp;" · ","")&amp;IF(AND(ISNUMBER($F154),$F154&lt;FechaRef,N($L154)&lt;1),"Vencida"&amp;" · ","")&amp;IF(AND(ObsObligatoria="Sí",ISNUMBER($F154),$F154&lt;FechaRef,N($L154)&lt;1,$N154=""),"Vencida sin observación"&amp;" · ",""))-3)))</f>
        <v/>
      </c>
      <c r="P154" s="69">
        <f>IF(NOT((COUNTA($B154:$K154)+COUNTA($N154))&gt;0),"",IF(AND($S154="Sub",N($R154)&gt;0),IF(ISNUMBER(INDEX($E$5:$E$1000,$R154-4)),DATE(YEAR(INDEX($E$5:$E$1000,$R154-4)),MONTH(INDEX($E$5:$E$1000,$R154-4)),1),IF(ISNUMBER(INDEX($F$5:$F$1000,$R154-4)),DATE(YEAR(INDEX($F$5:$F$1000,$R154-4)),MONTH(INDEX($F$5:$F$1000,$R154-4)),1),MesCiclo)),IF(ISNUMBER($E154),DATE(YEAR($E154),MONTH($E154),1),IF(ISNUMBER($F154),DATE(YEAR($F154),MONTH($F154),1),MesCiclo))))</f>
        <v/>
      </c>
      <c r="Q154" s="70">
        <f>IF(OR($P154="",$P154&lt;&gt;MesCiclo),"",COUNTIF($P$5:$P154,MesCiclo))</f>
        <v/>
      </c>
      <c r="R154" s="70">
        <f>IF($S154="","",IF($S154="Macro",ROW(),IFERROR(LOOKUP(2,1/($S$5:$S154="Macro"),ROW($S$5:$S154)),0)))</f>
        <v/>
      </c>
      <c r="S154" s="70">
        <f>IF(NOT((COUNTA($B154:$K154)+COUNTA($N154))&gt;0),"",IF($B154&lt;&gt;"","Macro",IF($C154&lt;&gt;"","Sub","Macro")))</f>
        <v/>
      </c>
      <c r="T154" s="70">
        <f>IF($S154="Macro",COUNTIFS($R$5:$R$1000,ROW(),$S$5:$S$1000,"Sub"),"")</f>
        <v/>
      </c>
      <c r="U154" s="70">
        <f>IF($S154="","",IF(ISNUMBER($H154),$H154,0))</f>
        <v/>
      </c>
      <c r="V154" s="70">
        <f>IF($S154="","",IF(ISNUMBER($I154),$I154,$U154))</f>
        <v/>
      </c>
      <c r="W154" s="70">
        <f>IF($S154="","",IF(ISNUMBER($J154),$J154,$V154))</f>
        <v/>
      </c>
      <c r="X154" s="70">
        <f>IF($S154="","",IF(ISNUMBER($K154),$K154,$W154))</f>
        <v/>
      </c>
      <c r="Y154" s="70">
        <f>IF($S154="","",IF(N($T154)&gt;0,AVERAGEIFS($U$5:$U$1000,$R$5:$R$1000,ROW(),$S$5:$S$1000,"Sub"),$U154))</f>
        <v/>
      </c>
      <c r="Z154" s="70">
        <f>IF($S154="","",IF(N($T154)&gt;0,AVERAGEIFS($V$5:$V$1000,$R$5:$R$1000,ROW(),$S$5:$S$1000,"Sub"),$V154))</f>
        <v/>
      </c>
      <c r="AA154" s="70">
        <f>IF($S154="","",IF(N($T154)&gt;0,AVERAGEIFS($W$5:$W$1000,$R$5:$R$1000,ROW(),$S$5:$S$1000,"Sub"),$W154))</f>
        <v/>
      </c>
      <c r="AB154" s="70">
        <f>IF($S154="","",IF(N($T154)&gt;0,AVERAGEIFS($X$5:$X$1000,$R$5:$R$1000,ROW(),$S$5:$S$1000,"Sub"),$X154))</f>
        <v/>
      </c>
    </row>
    <row r="155">
      <c r="A155" s="61">
        <f>IF(NOT((COUNTA($B155:$K155)+COUNTA($N155))&gt;0),"",IF($S155="Macro",COUNTIFS($S$5:$S155,"Macro",$P$5:$P155,$P155),IF(N($R155)=0,"?",COUNTIFS(INDEX($S$5:$S$1000,1):INDEX($S$5:$S$1000,$R155-4),"Macro",INDEX($P$5:$P$1000,1):INDEX($P$5:$P$1000,$R155-4),INDEX($P$5:$P$1000,$R155-4))&amp;"."&amp;COUNTIFS($R$5:$R155,$R155,$S$5:$S155,"Sub"))))</f>
        <v/>
      </c>
      <c r="B155" s="62" t="n"/>
      <c r="C155" s="63" t="n"/>
      <c r="D155" s="62" t="n"/>
      <c r="E155" s="64" t="n"/>
      <c r="F155" s="64" t="n"/>
      <c r="G155" s="65" t="n"/>
      <c r="H155" s="66" t="n"/>
      <c r="I155" s="66" t="n"/>
      <c r="J155" s="66" t="n"/>
      <c r="K155" s="66" t="n"/>
      <c r="L155" s="67">
        <f>IF(NOT((COUNTA($B155:$K155)+COUNTA($N155))&gt;0),"",IF(N($T155)&gt;0,$AB155,IFERROR(LOOKUP(2,1/(H155:K155&lt;&gt;""),H155:K155),0)))</f>
        <v/>
      </c>
      <c r="M155" s="61">
        <f>IF(L155="","",IF(L155&gt;=1,"Completado",IF(L155&gt;0,"En curso","Pendiente")))</f>
        <v/>
      </c>
      <c r="N155" s="62" t="n"/>
      <c r="O155" s="68">
        <f>IF(NOT((COUNTA($B155:$K155)+COUNTA($N155))&gt;0),"",IF((IF(AND($S155="Macro",$B155=""),"Macroactividad vacía"&amp;" · ","")&amp;IF(AND($B155&lt;&gt;"",$C155&lt;&gt;""),"Escriba la subactividad en otra fila, debajo de su macroactividad"&amp;" · ","")&amp;IF(AND($S155="Sub",N($R155)=0),"Subactividad sin macroactividad arriba"&amp;" · ","")&amp;IF($D155="","Sin responsable"&amp;" · ","")&amp;IF($E155="","Sin fecha de inicio"&amp;" · ","")&amp;IF($F155="","Sin fecha límite"&amp;" · ","")&amp;IF(OR(AND($E155&lt;&gt;"",NOT(ISNUMBER($E155))),AND($F155&lt;&gt;"",NOT(ISNUMBER($F155)))),"Fecha no válida"&amp;" · ","")&amp;IF(AND(ISNUMBER($E155),ISNUMBER($F155),$E155&gt;$F155),"Inicio posterior a fecha límite"&amp;" · ","")&amp;IF(AND($S155="Macro",$G155=""),"Peso vacío"&amp;" · ","")&amp;IF(AND($S155="Macro",$G155&lt;&gt;"",OR(NOT(ISNUMBER($G155)),$G155&lt;=0,$G155&gt;1)),"Peso fuera de rango"&amp;" · ","")&amp;IF(AND($S155="Sub",$G155&lt;&gt;""),"Las subactividades no llevan peso"&amp;" · ","")&amp;IF(AND($S155="Macro",ABS(SUMIFS($G$5:$G$1000,$P$5:$P$1000,$P155,$S$5:$S$1000,"Macro")-1)&gt;0.0001),"Pesos del mes suman "&amp;TEXT(SUMIFS($G$5:$G$1000,$P$5:$P$1000,$P155,$S$5:$S$1000,"Macro"),"0%")&amp;" · ","")&amp;IF(AND(N($T155)&gt;0,COUNT($H155:$K155)&gt;0),"Con subactividades: deje vacías las semanas (se calculan solas)"&amp;" · ","")&amp;IF((COUNTIF($H155:$K155,"&gt;1")+COUNTIF($H155:$K155,"&lt;0")+COUNTA($H155:$K155)-COUNT($H155:$K155))&gt;0,"Avance fuera de rango 0-100%"&amp;" · ","")&amp;IF(OR(AND($I155&lt;&gt;"",$I155&lt;$H155),AND($J155&lt;&gt;"",$J155&lt;MAX($H155:$I155)),AND($K155&lt;&gt;"",$K155&lt;MAX($H155:$J155))),"Avance semanal decreciente"&amp;" · ","")&amp;IF(AND(ISNUMBER($F155),$F155&lt;FechaRef,N($L155)&lt;1),"Vencida"&amp;" · ","")&amp;IF(AND(ObsObligatoria="Sí",ISNUMBER($F155),$F155&lt;FechaRef,N($L155)&lt;1,$N155=""),"Vencida sin observación"&amp;" · ",""))="","✔ OK","⚠ "&amp;LEFT(IF(AND($S155="Macro",$B155=""),"Macroactividad vacía"&amp;" · ","")&amp;IF(AND($B155&lt;&gt;"",$C155&lt;&gt;""),"Escriba la subactividad en otra fila, debajo de su macroactividad"&amp;" · ","")&amp;IF(AND($S155="Sub",N($R155)=0),"Subactividad sin macroactividad arriba"&amp;" · ","")&amp;IF($D155="","Sin responsable"&amp;" · ","")&amp;IF($E155="","Sin fecha de inicio"&amp;" · ","")&amp;IF($F155="","Sin fecha límite"&amp;" · ","")&amp;IF(OR(AND($E155&lt;&gt;"",NOT(ISNUMBER($E155))),AND($F155&lt;&gt;"",NOT(ISNUMBER($F155)))),"Fecha no válida"&amp;" · ","")&amp;IF(AND(ISNUMBER($E155),ISNUMBER($F155),$E155&gt;$F155),"Inicio posterior a fecha límite"&amp;" · ","")&amp;IF(AND($S155="Macro",$G155=""),"Peso vacío"&amp;" · ","")&amp;IF(AND($S155="Macro",$G155&lt;&gt;"",OR(NOT(ISNUMBER($G155)),$G155&lt;=0,$G155&gt;1)),"Peso fuera de rango"&amp;" · ","")&amp;IF(AND($S155="Sub",$G155&lt;&gt;""),"Las subactividades no llevan peso"&amp;" · ","")&amp;IF(AND($S155="Macro",ABS(SUMIFS($G$5:$G$1000,$P$5:$P$1000,$P155,$S$5:$S$1000,"Macro")-1)&gt;0.0001),"Pesos del mes suman "&amp;TEXT(SUMIFS($G$5:$G$1000,$P$5:$P$1000,$P155,$S$5:$S$1000,"Macro"),"0%")&amp;" · ","")&amp;IF(AND(N($T155)&gt;0,COUNT($H155:$K155)&gt;0),"Con subactividades: deje vacías las semanas (se calculan solas)"&amp;" · ","")&amp;IF((COUNTIF($H155:$K155,"&gt;1")+COUNTIF($H155:$K155,"&lt;0")+COUNTA($H155:$K155)-COUNT($H155:$K155))&gt;0,"Avance fuera de rango 0-100%"&amp;" · ","")&amp;IF(OR(AND($I155&lt;&gt;"",$I155&lt;$H155),AND($J155&lt;&gt;"",$J155&lt;MAX($H155:$I155)),AND($K155&lt;&gt;"",$K155&lt;MAX($H155:$J155))),"Avance semanal decreciente"&amp;" · ","")&amp;IF(AND(ISNUMBER($F155),$F155&lt;FechaRef,N($L155)&lt;1),"Vencida"&amp;" · ","")&amp;IF(AND(ObsObligatoria="Sí",ISNUMBER($F155),$F155&lt;FechaRef,N($L155)&lt;1,$N155=""),"Vencida sin observación"&amp;" · ",""),LEN(IF(AND($S155="Macro",$B155=""),"Macroactividad vacía"&amp;" · ","")&amp;IF(AND($B155&lt;&gt;"",$C155&lt;&gt;""),"Escriba la subactividad en otra fila, debajo de su macroactividad"&amp;" · ","")&amp;IF(AND($S155="Sub",N($R155)=0),"Subactividad sin macroactividad arriba"&amp;" · ","")&amp;IF($D155="","Sin responsable"&amp;" · ","")&amp;IF($E155="","Sin fecha de inicio"&amp;" · ","")&amp;IF($F155="","Sin fecha límite"&amp;" · ","")&amp;IF(OR(AND($E155&lt;&gt;"",NOT(ISNUMBER($E155))),AND($F155&lt;&gt;"",NOT(ISNUMBER($F155)))),"Fecha no válida"&amp;" · ","")&amp;IF(AND(ISNUMBER($E155),ISNUMBER($F155),$E155&gt;$F155),"Inicio posterior a fecha límite"&amp;" · ","")&amp;IF(AND($S155="Macro",$G155=""),"Peso vacío"&amp;" · ","")&amp;IF(AND($S155="Macro",$G155&lt;&gt;"",OR(NOT(ISNUMBER($G155)),$G155&lt;=0,$G155&gt;1)),"Peso fuera de rango"&amp;" · ","")&amp;IF(AND($S155="Sub",$G155&lt;&gt;""),"Las subactividades no llevan peso"&amp;" · ","")&amp;IF(AND($S155="Macro",ABS(SUMIFS($G$5:$G$1000,$P$5:$P$1000,$P155,$S$5:$S$1000,"Macro")-1)&gt;0.0001),"Pesos del mes suman "&amp;TEXT(SUMIFS($G$5:$G$1000,$P$5:$P$1000,$P155,$S$5:$S$1000,"Macro"),"0%")&amp;" · ","")&amp;IF(AND(N($T155)&gt;0,COUNT($H155:$K155)&gt;0),"Con subactividades: deje vacías las semanas (se calculan solas)"&amp;" · ","")&amp;IF((COUNTIF($H155:$K155,"&gt;1")+COUNTIF($H155:$K155,"&lt;0")+COUNTA($H155:$K155)-COUNT($H155:$K155))&gt;0,"Avance fuera de rango 0-100%"&amp;" · ","")&amp;IF(OR(AND($I155&lt;&gt;"",$I155&lt;$H155),AND($J155&lt;&gt;"",$J155&lt;MAX($H155:$I155)),AND($K155&lt;&gt;"",$K155&lt;MAX($H155:$J155))),"Avance semanal decreciente"&amp;" · ","")&amp;IF(AND(ISNUMBER($F155),$F155&lt;FechaRef,N($L155)&lt;1),"Vencida"&amp;" · ","")&amp;IF(AND(ObsObligatoria="Sí",ISNUMBER($F155),$F155&lt;FechaRef,N($L155)&lt;1,$N155=""),"Vencida sin observación"&amp;" · ",""))-3)))</f>
        <v/>
      </c>
      <c r="P155" s="69">
        <f>IF(NOT((COUNTA($B155:$K155)+COUNTA($N155))&gt;0),"",IF(AND($S155="Sub",N($R155)&gt;0),IF(ISNUMBER(INDEX($E$5:$E$1000,$R155-4)),DATE(YEAR(INDEX($E$5:$E$1000,$R155-4)),MONTH(INDEX($E$5:$E$1000,$R155-4)),1),IF(ISNUMBER(INDEX($F$5:$F$1000,$R155-4)),DATE(YEAR(INDEX($F$5:$F$1000,$R155-4)),MONTH(INDEX($F$5:$F$1000,$R155-4)),1),MesCiclo)),IF(ISNUMBER($E155),DATE(YEAR($E155),MONTH($E155),1),IF(ISNUMBER($F155),DATE(YEAR($F155),MONTH($F155),1),MesCiclo))))</f>
        <v/>
      </c>
      <c r="Q155" s="70">
        <f>IF(OR($P155="",$P155&lt;&gt;MesCiclo),"",COUNTIF($P$5:$P155,MesCiclo))</f>
        <v/>
      </c>
      <c r="R155" s="70">
        <f>IF($S155="","",IF($S155="Macro",ROW(),IFERROR(LOOKUP(2,1/($S$5:$S155="Macro"),ROW($S$5:$S155)),0)))</f>
        <v/>
      </c>
      <c r="S155" s="70">
        <f>IF(NOT((COUNTA($B155:$K155)+COUNTA($N155))&gt;0),"",IF($B155&lt;&gt;"","Macro",IF($C155&lt;&gt;"","Sub","Macro")))</f>
        <v/>
      </c>
      <c r="T155" s="70">
        <f>IF($S155="Macro",COUNTIFS($R$5:$R$1000,ROW(),$S$5:$S$1000,"Sub"),"")</f>
        <v/>
      </c>
      <c r="U155" s="70">
        <f>IF($S155="","",IF(ISNUMBER($H155),$H155,0))</f>
        <v/>
      </c>
      <c r="V155" s="70">
        <f>IF($S155="","",IF(ISNUMBER($I155),$I155,$U155))</f>
        <v/>
      </c>
      <c r="W155" s="70">
        <f>IF($S155="","",IF(ISNUMBER($J155),$J155,$V155))</f>
        <v/>
      </c>
      <c r="X155" s="70">
        <f>IF($S155="","",IF(ISNUMBER($K155),$K155,$W155))</f>
        <v/>
      </c>
      <c r="Y155" s="70">
        <f>IF($S155="","",IF(N($T155)&gt;0,AVERAGEIFS($U$5:$U$1000,$R$5:$R$1000,ROW(),$S$5:$S$1000,"Sub"),$U155))</f>
        <v/>
      </c>
      <c r="Z155" s="70">
        <f>IF($S155="","",IF(N($T155)&gt;0,AVERAGEIFS($V$5:$V$1000,$R$5:$R$1000,ROW(),$S$5:$S$1000,"Sub"),$V155))</f>
        <v/>
      </c>
      <c r="AA155" s="70">
        <f>IF($S155="","",IF(N($T155)&gt;0,AVERAGEIFS($W$5:$W$1000,$R$5:$R$1000,ROW(),$S$5:$S$1000,"Sub"),$W155))</f>
        <v/>
      </c>
      <c r="AB155" s="70">
        <f>IF($S155="","",IF(N($T155)&gt;0,AVERAGEIFS($X$5:$X$1000,$R$5:$R$1000,ROW(),$S$5:$S$1000,"Sub"),$X155))</f>
        <v/>
      </c>
    </row>
    <row r="156">
      <c r="A156" s="61">
        <f>IF(NOT((COUNTA($B156:$K156)+COUNTA($N156))&gt;0),"",IF($S156="Macro",COUNTIFS($S$5:$S156,"Macro",$P$5:$P156,$P156),IF(N($R156)=0,"?",COUNTIFS(INDEX($S$5:$S$1000,1):INDEX($S$5:$S$1000,$R156-4),"Macro",INDEX($P$5:$P$1000,1):INDEX($P$5:$P$1000,$R156-4),INDEX($P$5:$P$1000,$R156-4))&amp;"."&amp;COUNTIFS($R$5:$R156,$R156,$S$5:$S156,"Sub"))))</f>
        <v/>
      </c>
      <c r="B156" s="62" t="n"/>
      <c r="C156" s="63" t="n"/>
      <c r="D156" s="62" t="n"/>
      <c r="E156" s="64" t="n"/>
      <c r="F156" s="64" t="n"/>
      <c r="G156" s="65" t="n"/>
      <c r="H156" s="66" t="n"/>
      <c r="I156" s="66" t="n"/>
      <c r="J156" s="66" t="n"/>
      <c r="K156" s="66" t="n"/>
      <c r="L156" s="67">
        <f>IF(NOT((COUNTA($B156:$K156)+COUNTA($N156))&gt;0),"",IF(N($T156)&gt;0,$AB156,IFERROR(LOOKUP(2,1/(H156:K156&lt;&gt;""),H156:K156),0)))</f>
        <v/>
      </c>
      <c r="M156" s="61">
        <f>IF(L156="","",IF(L156&gt;=1,"Completado",IF(L156&gt;0,"En curso","Pendiente")))</f>
        <v/>
      </c>
      <c r="N156" s="62" t="n"/>
      <c r="O156" s="68">
        <f>IF(NOT((COUNTA($B156:$K156)+COUNTA($N156))&gt;0),"",IF((IF(AND($S156="Macro",$B156=""),"Macroactividad vacía"&amp;" · ","")&amp;IF(AND($B156&lt;&gt;"",$C156&lt;&gt;""),"Escriba la subactividad en otra fila, debajo de su macroactividad"&amp;" · ","")&amp;IF(AND($S156="Sub",N($R156)=0),"Subactividad sin macroactividad arriba"&amp;" · ","")&amp;IF($D156="","Sin responsable"&amp;" · ","")&amp;IF($E156="","Sin fecha de inicio"&amp;" · ","")&amp;IF($F156="","Sin fecha límite"&amp;" · ","")&amp;IF(OR(AND($E156&lt;&gt;"",NOT(ISNUMBER($E156))),AND($F156&lt;&gt;"",NOT(ISNUMBER($F156)))),"Fecha no válida"&amp;" · ","")&amp;IF(AND(ISNUMBER($E156),ISNUMBER($F156),$E156&gt;$F156),"Inicio posterior a fecha límite"&amp;" · ","")&amp;IF(AND($S156="Macro",$G156=""),"Peso vacío"&amp;" · ","")&amp;IF(AND($S156="Macro",$G156&lt;&gt;"",OR(NOT(ISNUMBER($G156)),$G156&lt;=0,$G156&gt;1)),"Peso fuera de rango"&amp;" · ","")&amp;IF(AND($S156="Sub",$G156&lt;&gt;""),"Las subactividades no llevan peso"&amp;" · ","")&amp;IF(AND($S156="Macro",ABS(SUMIFS($G$5:$G$1000,$P$5:$P$1000,$P156,$S$5:$S$1000,"Macro")-1)&gt;0.0001),"Pesos del mes suman "&amp;TEXT(SUMIFS($G$5:$G$1000,$P$5:$P$1000,$P156,$S$5:$S$1000,"Macro"),"0%")&amp;" · ","")&amp;IF(AND(N($T156)&gt;0,COUNT($H156:$K156)&gt;0),"Con subactividades: deje vacías las semanas (se calculan solas)"&amp;" · ","")&amp;IF((COUNTIF($H156:$K156,"&gt;1")+COUNTIF($H156:$K156,"&lt;0")+COUNTA($H156:$K156)-COUNT($H156:$K156))&gt;0,"Avance fuera de rango 0-100%"&amp;" · ","")&amp;IF(OR(AND($I156&lt;&gt;"",$I156&lt;$H156),AND($J156&lt;&gt;"",$J156&lt;MAX($H156:$I156)),AND($K156&lt;&gt;"",$K156&lt;MAX($H156:$J156))),"Avance semanal decreciente"&amp;" · ","")&amp;IF(AND(ISNUMBER($F156),$F156&lt;FechaRef,N($L156)&lt;1),"Vencida"&amp;" · ","")&amp;IF(AND(ObsObligatoria="Sí",ISNUMBER($F156),$F156&lt;FechaRef,N($L156)&lt;1,$N156=""),"Vencida sin observación"&amp;" · ",""))="","✔ OK","⚠ "&amp;LEFT(IF(AND($S156="Macro",$B156=""),"Macroactividad vacía"&amp;" · ","")&amp;IF(AND($B156&lt;&gt;"",$C156&lt;&gt;""),"Escriba la subactividad en otra fila, debajo de su macroactividad"&amp;" · ","")&amp;IF(AND($S156="Sub",N($R156)=0),"Subactividad sin macroactividad arriba"&amp;" · ","")&amp;IF($D156="","Sin responsable"&amp;" · ","")&amp;IF($E156="","Sin fecha de inicio"&amp;" · ","")&amp;IF($F156="","Sin fecha límite"&amp;" · ","")&amp;IF(OR(AND($E156&lt;&gt;"",NOT(ISNUMBER($E156))),AND($F156&lt;&gt;"",NOT(ISNUMBER($F156)))),"Fecha no válida"&amp;" · ","")&amp;IF(AND(ISNUMBER($E156),ISNUMBER($F156),$E156&gt;$F156),"Inicio posterior a fecha límite"&amp;" · ","")&amp;IF(AND($S156="Macro",$G156=""),"Peso vacío"&amp;" · ","")&amp;IF(AND($S156="Macro",$G156&lt;&gt;"",OR(NOT(ISNUMBER($G156)),$G156&lt;=0,$G156&gt;1)),"Peso fuera de rango"&amp;" · ","")&amp;IF(AND($S156="Sub",$G156&lt;&gt;""),"Las subactividades no llevan peso"&amp;" · ","")&amp;IF(AND($S156="Macro",ABS(SUMIFS($G$5:$G$1000,$P$5:$P$1000,$P156,$S$5:$S$1000,"Macro")-1)&gt;0.0001),"Pesos del mes suman "&amp;TEXT(SUMIFS($G$5:$G$1000,$P$5:$P$1000,$P156,$S$5:$S$1000,"Macro"),"0%")&amp;" · ","")&amp;IF(AND(N($T156)&gt;0,COUNT($H156:$K156)&gt;0),"Con subactividades: deje vacías las semanas (se calculan solas)"&amp;" · ","")&amp;IF((COUNTIF($H156:$K156,"&gt;1")+COUNTIF($H156:$K156,"&lt;0")+COUNTA($H156:$K156)-COUNT($H156:$K156))&gt;0,"Avance fuera de rango 0-100%"&amp;" · ","")&amp;IF(OR(AND($I156&lt;&gt;"",$I156&lt;$H156),AND($J156&lt;&gt;"",$J156&lt;MAX($H156:$I156)),AND($K156&lt;&gt;"",$K156&lt;MAX($H156:$J156))),"Avance semanal decreciente"&amp;" · ","")&amp;IF(AND(ISNUMBER($F156),$F156&lt;FechaRef,N($L156)&lt;1),"Vencida"&amp;" · ","")&amp;IF(AND(ObsObligatoria="Sí",ISNUMBER($F156),$F156&lt;FechaRef,N($L156)&lt;1,$N156=""),"Vencida sin observación"&amp;" · ",""),LEN(IF(AND($S156="Macro",$B156=""),"Macroactividad vacía"&amp;" · ","")&amp;IF(AND($B156&lt;&gt;"",$C156&lt;&gt;""),"Escriba la subactividad en otra fila, debajo de su macroactividad"&amp;" · ","")&amp;IF(AND($S156="Sub",N($R156)=0),"Subactividad sin macroactividad arriba"&amp;" · ","")&amp;IF($D156="","Sin responsable"&amp;" · ","")&amp;IF($E156="","Sin fecha de inicio"&amp;" · ","")&amp;IF($F156="","Sin fecha límite"&amp;" · ","")&amp;IF(OR(AND($E156&lt;&gt;"",NOT(ISNUMBER($E156))),AND($F156&lt;&gt;"",NOT(ISNUMBER($F156)))),"Fecha no válida"&amp;" · ","")&amp;IF(AND(ISNUMBER($E156),ISNUMBER($F156),$E156&gt;$F156),"Inicio posterior a fecha límite"&amp;" · ","")&amp;IF(AND($S156="Macro",$G156=""),"Peso vacío"&amp;" · ","")&amp;IF(AND($S156="Macro",$G156&lt;&gt;"",OR(NOT(ISNUMBER($G156)),$G156&lt;=0,$G156&gt;1)),"Peso fuera de rango"&amp;" · ","")&amp;IF(AND($S156="Sub",$G156&lt;&gt;""),"Las subactividades no llevan peso"&amp;" · ","")&amp;IF(AND($S156="Macro",ABS(SUMIFS($G$5:$G$1000,$P$5:$P$1000,$P156,$S$5:$S$1000,"Macro")-1)&gt;0.0001),"Pesos del mes suman "&amp;TEXT(SUMIFS($G$5:$G$1000,$P$5:$P$1000,$P156,$S$5:$S$1000,"Macro"),"0%")&amp;" · ","")&amp;IF(AND(N($T156)&gt;0,COUNT($H156:$K156)&gt;0),"Con subactividades: deje vacías las semanas (se calculan solas)"&amp;" · ","")&amp;IF((COUNTIF($H156:$K156,"&gt;1")+COUNTIF($H156:$K156,"&lt;0")+COUNTA($H156:$K156)-COUNT($H156:$K156))&gt;0,"Avance fuera de rango 0-100%"&amp;" · ","")&amp;IF(OR(AND($I156&lt;&gt;"",$I156&lt;$H156),AND($J156&lt;&gt;"",$J156&lt;MAX($H156:$I156)),AND($K156&lt;&gt;"",$K156&lt;MAX($H156:$J156))),"Avance semanal decreciente"&amp;" · ","")&amp;IF(AND(ISNUMBER($F156),$F156&lt;FechaRef,N($L156)&lt;1),"Vencida"&amp;" · ","")&amp;IF(AND(ObsObligatoria="Sí",ISNUMBER($F156),$F156&lt;FechaRef,N($L156)&lt;1,$N156=""),"Vencida sin observación"&amp;" · ",""))-3)))</f>
        <v/>
      </c>
      <c r="P156" s="69">
        <f>IF(NOT((COUNTA($B156:$K156)+COUNTA($N156))&gt;0),"",IF(AND($S156="Sub",N($R156)&gt;0),IF(ISNUMBER(INDEX($E$5:$E$1000,$R156-4)),DATE(YEAR(INDEX($E$5:$E$1000,$R156-4)),MONTH(INDEX($E$5:$E$1000,$R156-4)),1),IF(ISNUMBER(INDEX($F$5:$F$1000,$R156-4)),DATE(YEAR(INDEX($F$5:$F$1000,$R156-4)),MONTH(INDEX($F$5:$F$1000,$R156-4)),1),MesCiclo)),IF(ISNUMBER($E156),DATE(YEAR($E156),MONTH($E156),1),IF(ISNUMBER($F156),DATE(YEAR($F156),MONTH($F156),1),MesCiclo))))</f>
        <v/>
      </c>
      <c r="Q156" s="70">
        <f>IF(OR($P156="",$P156&lt;&gt;MesCiclo),"",COUNTIF($P$5:$P156,MesCiclo))</f>
        <v/>
      </c>
      <c r="R156" s="70">
        <f>IF($S156="","",IF($S156="Macro",ROW(),IFERROR(LOOKUP(2,1/($S$5:$S156="Macro"),ROW($S$5:$S156)),0)))</f>
        <v/>
      </c>
      <c r="S156" s="70">
        <f>IF(NOT((COUNTA($B156:$K156)+COUNTA($N156))&gt;0),"",IF($B156&lt;&gt;"","Macro",IF($C156&lt;&gt;"","Sub","Macro")))</f>
        <v/>
      </c>
      <c r="T156" s="70">
        <f>IF($S156="Macro",COUNTIFS($R$5:$R$1000,ROW(),$S$5:$S$1000,"Sub"),"")</f>
        <v/>
      </c>
      <c r="U156" s="70">
        <f>IF($S156="","",IF(ISNUMBER($H156),$H156,0))</f>
        <v/>
      </c>
      <c r="V156" s="70">
        <f>IF($S156="","",IF(ISNUMBER($I156),$I156,$U156))</f>
        <v/>
      </c>
      <c r="W156" s="70">
        <f>IF($S156="","",IF(ISNUMBER($J156),$J156,$V156))</f>
        <v/>
      </c>
      <c r="X156" s="70">
        <f>IF($S156="","",IF(ISNUMBER($K156),$K156,$W156))</f>
        <v/>
      </c>
      <c r="Y156" s="70">
        <f>IF($S156="","",IF(N($T156)&gt;0,AVERAGEIFS($U$5:$U$1000,$R$5:$R$1000,ROW(),$S$5:$S$1000,"Sub"),$U156))</f>
        <v/>
      </c>
      <c r="Z156" s="70">
        <f>IF($S156="","",IF(N($T156)&gt;0,AVERAGEIFS($V$5:$V$1000,$R$5:$R$1000,ROW(),$S$5:$S$1000,"Sub"),$V156))</f>
        <v/>
      </c>
      <c r="AA156" s="70">
        <f>IF($S156="","",IF(N($T156)&gt;0,AVERAGEIFS($W$5:$W$1000,$R$5:$R$1000,ROW(),$S$5:$S$1000,"Sub"),$W156))</f>
        <v/>
      </c>
      <c r="AB156" s="70">
        <f>IF($S156="","",IF(N($T156)&gt;0,AVERAGEIFS($X$5:$X$1000,$R$5:$R$1000,ROW(),$S$5:$S$1000,"Sub"),$X156))</f>
        <v/>
      </c>
    </row>
    <row r="157">
      <c r="A157" s="61">
        <f>IF(NOT((COUNTA($B157:$K157)+COUNTA($N157))&gt;0),"",IF($S157="Macro",COUNTIFS($S$5:$S157,"Macro",$P$5:$P157,$P157),IF(N($R157)=0,"?",COUNTIFS(INDEX($S$5:$S$1000,1):INDEX($S$5:$S$1000,$R157-4),"Macro",INDEX($P$5:$P$1000,1):INDEX($P$5:$P$1000,$R157-4),INDEX($P$5:$P$1000,$R157-4))&amp;"."&amp;COUNTIFS($R$5:$R157,$R157,$S$5:$S157,"Sub"))))</f>
        <v/>
      </c>
      <c r="B157" s="62" t="n"/>
      <c r="C157" s="63" t="n"/>
      <c r="D157" s="62" t="n"/>
      <c r="E157" s="64" t="n"/>
      <c r="F157" s="64" t="n"/>
      <c r="G157" s="65" t="n"/>
      <c r="H157" s="66" t="n"/>
      <c r="I157" s="66" t="n"/>
      <c r="J157" s="66" t="n"/>
      <c r="K157" s="66" t="n"/>
      <c r="L157" s="67">
        <f>IF(NOT((COUNTA($B157:$K157)+COUNTA($N157))&gt;0),"",IF(N($T157)&gt;0,$AB157,IFERROR(LOOKUP(2,1/(H157:K157&lt;&gt;""),H157:K157),0)))</f>
        <v/>
      </c>
      <c r="M157" s="61">
        <f>IF(L157="","",IF(L157&gt;=1,"Completado",IF(L157&gt;0,"En curso","Pendiente")))</f>
        <v/>
      </c>
      <c r="N157" s="62" t="n"/>
      <c r="O157" s="68">
        <f>IF(NOT((COUNTA($B157:$K157)+COUNTA($N157))&gt;0),"",IF((IF(AND($S157="Macro",$B157=""),"Macroactividad vacía"&amp;" · ","")&amp;IF(AND($B157&lt;&gt;"",$C157&lt;&gt;""),"Escriba la subactividad en otra fila, debajo de su macroactividad"&amp;" · ","")&amp;IF(AND($S157="Sub",N($R157)=0),"Subactividad sin macroactividad arriba"&amp;" · ","")&amp;IF($D157="","Sin responsable"&amp;" · ","")&amp;IF($E157="","Sin fecha de inicio"&amp;" · ","")&amp;IF($F157="","Sin fecha límite"&amp;" · ","")&amp;IF(OR(AND($E157&lt;&gt;"",NOT(ISNUMBER($E157))),AND($F157&lt;&gt;"",NOT(ISNUMBER($F157)))),"Fecha no válida"&amp;" · ","")&amp;IF(AND(ISNUMBER($E157),ISNUMBER($F157),$E157&gt;$F157),"Inicio posterior a fecha límite"&amp;" · ","")&amp;IF(AND($S157="Macro",$G157=""),"Peso vacío"&amp;" · ","")&amp;IF(AND($S157="Macro",$G157&lt;&gt;"",OR(NOT(ISNUMBER($G157)),$G157&lt;=0,$G157&gt;1)),"Peso fuera de rango"&amp;" · ","")&amp;IF(AND($S157="Sub",$G157&lt;&gt;""),"Las subactividades no llevan peso"&amp;" · ","")&amp;IF(AND($S157="Macro",ABS(SUMIFS($G$5:$G$1000,$P$5:$P$1000,$P157,$S$5:$S$1000,"Macro")-1)&gt;0.0001),"Pesos del mes suman "&amp;TEXT(SUMIFS($G$5:$G$1000,$P$5:$P$1000,$P157,$S$5:$S$1000,"Macro"),"0%")&amp;" · ","")&amp;IF(AND(N($T157)&gt;0,COUNT($H157:$K157)&gt;0),"Con subactividades: deje vacías las semanas (se calculan solas)"&amp;" · ","")&amp;IF((COUNTIF($H157:$K157,"&gt;1")+COUNTIF($H157:$K157,"&lt;0")+COUNTA($H157:$K157)-COUNT($H157:$K157))&gt;0,"Avance fuera de rango 0-100%"&amp;" · ","")&amp;IF(OR(AND($I157&lt;&gt;"",$I157&lt;$H157),AND($J157&lt;&gt;"",$J157&lt;MAX($H157:$I157)),AND($K157&lt;&gt;"",$K157&lt;MAX($H157:$J157))),"Avance semanal decreciente"&amp;" · ","")&amp;IF(AND(ISNUMBER($F157),$F157&lt;FechaRef,N($L157)&lt;1),"Vencida"&amp;" · ","")&amp;IF(AND(ObsObligatoria="Sí",ISNUMBER($F157),$F157&lt;FechaRef,N($L157)&lt;1,$N157=""),"Vencida sin observación"&amp;" · ",""))="","✔ OK","⚠ "&amp;LEFT(IF(AND($S157="Macro",$B157=""),"Macroactividad vacía"&amp;" · ","")&amp;IF(AND($B157&lt;&gt;"",$C157&lt;&gt;""),"Escriba la subactividad en otra fila, debajo de su macroactividad"&amp;" · ","")&amp;IF(AND($S157="Sub",N($R157)=0),"Subactividad sin macroactividad arriba"&amp;" · ","")&amp;IF($D157="","Sin responsable"&amp;" · ","")&amp;IF($E157="","Sin fecha de inicio"&amp;" · ","")&amp;IF($F157="","Sin fecha límite"&amp;" · ","")&amp;IF(OR(AND($E157&lt;&gt;"",NOT(ISNUMBER($E157))),AND($F157&lt;&gt;"",NOT(ISNUMBER($F157)))),"Fecha no válida"&amp;" · ","")&amp;IF(AND(ISNUMBER($E157),ISNUMBER($F157),$E157&gt;$F157),"Inicio posterior a fecha límite"&amp;" · ","")&amp;IF(AND($S157="Macro",$G157=""),"Peso vacío"&amp;" · ","")&amp;IF(AND($S157="Macro",$G157&lt;&gt;"",OR(NOT(ISNUMBER($G157)),$G157&lt;=0,$G157&gt;1)),"Peso fuera de rango"&amp;" · ","")&amp;IF(AND($S157="Sub",$G157&lt;&gt;""),"Las subactividades no llevan peso"&amp;" · ","")&amp;IF(AND($S157="Macro",ABS(SUMIFS($G$5:$G$1000,$P$5:$P$1000,$P157,$S$5:$S$1000,"Macro")-1)&gt;0.0001),"Pesos del mes suman "&amp;TEXT(SUMIFS($G$5:$G$1000,$P$5:$P$1000,$P157,$S$5:$S$1000,"Macro"),"0%")&amp;" · ","")&amp;IF(AND(N($T157)&gt;0,COUNT($H157:$K157)&gt;0),"Con subactividades: deje vacías las semanas (se calculan solas)"&amp;" · ","")&amp;IF((COUNTIF($H157:$K157,"&gt;1")+COUNTIF($H157:$K157,"&lt;0")+COUNTA($H157:$K157)-COUNT($H157:$K157))&gt;0,"Avance fuera de rango 0-100%"&amp;" · ","")&amp;IF(OR(AND($I157&lt;&gt;"",$I157&lt;$H157),AND($J157&lt;&gt;"",$J157&lt;MAX($H157:$I157)),AND($K157&lt;&gt;"",$K157&lt;MAX($H157:$J157))),"Avance semanal decreciente"&amp;" · ","")&amp;IF(AND(ISNUMBER($F157),$F157&lt;FechaRef,N($L157)&lt;1),"Vencida"&amp;" · ","")&amp;IF(AND(ObsObligatoria="Sí",ISNUMBER($F157),$F157&lt;FechaRef,N($L157)&lt;1,$N157=""),"Vencida sin observación"&amp;" · ",""),LEN(IF(AND($S157="Macro",$B157=""),"Macroactividad vacía"&amp;" · ","")&amp;IF(AND($B157&lt;&gt;"",$C157&lt;&gt;""),"Escriba la subactividad en otra fila, debajo de su macroactividad"&amp;" · ","")&amp;IF(AND($S157="Sub",N($R157)=0),"Subactividad sin macroactividad arriba"&amp;" · ","")&amp;IF($D157="","Sin responsable"&amp;" · ","")&amp;IF($E157="","Sin fecha de inicio"&amp;" · ","")&amp;IF($F157="","Sin fecha límite"&amp;" · ","")&amp;IF(OR(AND($E157&lt;&gt;"",NOT(ISNUMBER($E157))),AND($F157&lt;&gt;"",NOT(ISNUMBER($F157)))),"Fecha no válida"&amp;" · ","")&amp;IF(AND(ISNUMBER($E157),ISNUMBER($F157),$E157&gt;$F157),"Inicio posterior a fecha límite"&amp;" · ","")&amp;IF(AND($S157="Macro",$G157=""),"Peso vacío"&amp;" · ","")&amp;IF(AND($S157="Macro",$G157&lt;&gt;"",OR(NOT(ISNUMBER($G157)),$G157&lt;=0,$G157&gt;1)),"Peso fuera de rango"&amp;" · ","")&amp;IF(AND($S157="Sub",$G157&lt;&gt;""),"Las subactividades no llevan peso"&amp;" · ","")&amp;IF(AND($S157="Macro",ABS(SUMIFS($G$5:$G$1000,$P$5:$P$1000,$P157,$S$5:$S$1000,"Macro")-1)&gt;0.0001),"Pesos del mes suman "&amp;TEXT(SUMIFS($G$5:$G$1000,$P$5:$P$1000,$P157,$S$5:$S$1000,"Macro"),"0%")&amp;" · ","")&amp;IF(AND(N($T157)&gt;0,COUNT($H157:$K157)&gt;0),"Con subactividades: deje vacías las semanas (se calculan solas)"&amp;" · ","")&amp;IF((COUNTIF($H157:$K157,"&gt;1")+COUNTIF($H157:$K157,"&lt;0")+COUNTA($H157:$K157)-COUNT($H157:$K157))&gt;0,"Avance fuera de rango 0-100%"&amp;" · ","")&amp;IF(OR(AND($I157&lt;&gt;"",$I157&lt;$H157),AND($J157&lt;&gt;"",$J157&lt;MAX($H157:$I157)),AND($K157&lt;&gt;"",$K157&lt;MAX($H157:$J157))),"Avance semanal decreciente"&amp;" · ","")&amp;IF(AND(ISNUMBER($F157),$F157&lt;FechaRef,N($L157)&lt;1),"Vencida"&amp;" · ","")&amp;IF(AND(ObsObligatoria="Sí",ISNUMBER($F157),$F157&lt;FechaRef,N($L157)&lt;1,$N157=""),"Vencida sin observación"&amp;" · ",""))-3)))</f>
        <v/>
      </c>
      <c r="P157" s="69">
        <f>IF(NOT((COUNTA($B157:$K157)+COUNTA($N157))&gt;0),"",IF(AND($S157="Sub",N($R157)&gt;0),IF(ISNUMBER(INDEX($E$5:$E$1000,$R157-4)),DATE(YEAR(INDEX($E$5:$E$1000,$R157-4)),MONTH(INDEX($E$5:$E$1000,$R157-4)),1),IF(ISNUMBER(INDEX($F$5:$F$1000,$R157-4)),DATE(YEAR(INDEX($F$5:$F$1000,$R157-4)),MONTH(INDEX($F$5:$F$1000,$R157-4)),1),MesCiclo)),IF(ISNUMBER($E157),DATE(YEAR($E157),MONTH($E157),1),IF(ISNUMBER($F157),DATE(YEAR($F157),MONTH($F157),1),MesCiclo))))</f>
        <v/>
      </c>
      <c r="Q157" s="70">
        <f>IF(OR($P157="",$P157&lt;&gt;MesCiclo),"",COUNTIF($P$5:$P157,MesCiclo))</f>
        <v/>
      </c>
      <c r="R157" s="70">
        <f>IF($S157="","",IF($S157="Macro",ROW(),IFERROR(LOOKUP(2,1/($S$5:$S157="Macro"),ROW($S$5:$S157)),0)))</f>
        <v/>
      </c>
      <c r="S157" s="70">
        <f>IF(NOT((COUNTA($B157:$K157)+COUNTA($N157))&gt;0),"",IF($B157&lt;&gt;"","Macro",IF($C157&lt;&gt;"","Sub","Macro")))</f>
        <v/>
      </c>
      <c r="T157" s="70">
        <f>IF($S157="Macro",COUNTIFS($R$5:$R$1000,ROW(),$S$5:$S$1000,"Sub"),"")</f>
        <v/>
      </c>
      <c r="U157" s="70">
        <f>IF($S157="","",IF(ISNUMBER($H157),$H157,0))</f>
        <v/>
      </c>
      <c r="V157" s="70">
        <f>IF($S157="","",IF(ISNUMBER($I157),$I157,$U157))</f>
        <v/>
      </c>
      <c r="W157" s="70">
        <f>IF($S157="","",IF(ISNUMBER($J157),$J157,$V157))</f>
        <v/>
      </c>
      <c r="X157" s="70">
        <f>IF($S157="","",IF(ISNUMBER($K157),$K157,$W157))</f>
        <v/>
      </c>
      <c r="Y157" s="70">
        <f>IF($S157="","",IF(N($T157)&gt;0,AVERAGEIFS($U$5:$U$1000,$R$5:$R$1000,ROW(),$S$5:$S$1000,"Sub"),$U157))</f>
        <v/>
      </c>
      <c r="Z157" s="70">
        <f>IF($S157="","",IF(N($T157)&gt;0,AVERAGEIFS($V$5:$V$1000,$R$5:$R$1000,ROW(),$S$5:$S$1000,"Sub"),$V157))</f>
        <v/>
      </c>
      <c r="AA157" s="70">
        <f>IF($S157="","",IF(N($T157)&gt;0,AVERAGEIFS($W$5:$W$1000,$R$5:$R$1000,ROW(),$S$5:$S$1000,"Sub"),$W157))</f>
        <v/>
      </c>
      <c r="AB157" s="70">
        <f>IF($S157="","",IF(N($T157)&gt;0,AVERAGEIFS($X$5:$X$1000,$R$5:$R$1000,ROW(),$S$5:$S$1000,"Sub"),$X157))</f>
        <v/>
      </c>
    </row>
    <row r="158">
      <c r="A158" s="61">
        <f>IF(NOT((COUNTA($B158:$K158)+COUNTA($N158))&gt;0),"",IF($S158="Macro",COUNTIFS($S$5:$S158,"Macro",$P$5:$P158,$P158),IF(N($R158)=0,"?",COUNTIFS(INDEX($S$5:$S$1000,1):INDEX($S$5:$S$1000,$R158-4),"Macro",INDEX($P$5:$P$1000,1):INDEX($P$5:$P$1000,$R158-4),INDEX($P$5:$P$1000,$R158-4))&amp;"."&amp;COUNTIFS($R$5:$R158,$R158,$S$5:$S158,"Sub"))))</f>
        <v/>
      </c>
      <c r="B158" s="62" t="n"/>
      <c r="C158" s="63" t="n"/>
      <c r="D158" s="62" t="n"/>
      <c r="E158" s="64" t="n"/>
      <c r="F158" s="64" t="n"/>
      <c r="G158" s="65" t="n"/>
      <c r="H158" s="66" t="n"/>
      <c r="I158" s="66" t="n"/>
      <c r="J158" s="66" t="n"/>
      <c r="K158" s="66" t="n"/>
      <c r="L158" s="67">
        <f>IF(NOT((COUNTA($B158:$K158)+COUNTA($N158))&gt;0),"",IF(N($T158)&gt;0,$AB158,IFERROR(LOOKUP(2,1/(H158:K158&lt;&gt;""),H158:K158),0)))</f>
        <v/>
      </c>
      <c r="M158" s="61">
        <f>IF(L158="","",IF(L158&gt;=1,"Completado",IF(L158&gt;0,"En curso","Pendiente")))</f>
        <v/>
      </c>
      <c r="N158" s="62" t="n"/>
      <c r="O158" s="68">
        <f>IF(NOT((COUNTA($B158:$K158)+COUNTA($N158))&gt;0),"",IF((IF(AND($S158="Macro",$B158=""),"Macroactividad vacía"&amp;" · ","")&amp;IF(AND($B158&lt;&gt;"",$C158&lt;&gt;""),"Escriba la subactividad en otra fila, debajo de su macroactividad"&amp;" · ","")&amp;IF(AND($S158="Sub",N($R158)=0),"Subactividad sin macroactividad arriba"&amp;" · ","")&amp;IF($D158="","Sin responsable"&amp;" · ","")&amp;IF($E158="","Sin fecha de inicio"&amp;" · ","")&amp;IF($F158="","Sin fecha límite"&amp;" · ","")&amp;IF(OR(AND($E158&lt;&gt;"",NOT(ISNUMBER($E158))),AND($F158&lt;&gt;"",NOT(ISNUMBER($F158)))),"Fecha no válida"&amp;" · ","")&amp;IF(AND(ISNUMBER($E158),ISNUMBER($F158),$E158&gt;$F158),"Inicio posterior a fecha límite"&amp;" · ","")&amp;IF(AND($S158="Macro",$G158=""),"Peso vacío"&amp;" · ","")&amp;IF(AND($S158="Macro",$G158&lt;&gt;"",OR(NOT(ISNUMBER($G158)),$G158&lt;=0,$G158&gt;1)),"Peso fuera de rango"&amp;" · ","")&amp;IF(AND($S158="Sub",$G158&lt;&gt;""),"Las subactividades no llevan peso"&amp;" · ","")&amp;IF(AND($S158="Macro",ABS(SUMIFS($G$5:$G$1000,$P$5:$P$1000,$P158,$S$5:$S$1000,"Macro")-1)&gt;0.0001),"Pesos del mes suman "&amp;TEXT(SUMIFS($G$5:$G$1000,$P$5:$P$1000,$P158,$S$5:$S$1000,"Macro"),"0%")&amp;" · ","")&amp;IF(AND(N($T158)&gt;0,COUNT($H158:$K158)&gt;0),"Con subactividades: deje vacías las semanas (se calculan solas)"&amp;" · ","")&amp;IF((COUNTIF($H158:$K158,"&gt;1")+COUNTIF($H158:$K158,"&lt;0")+COUNTA($H158:$K158)-COUNT($H158:$K158))&gt;0,"Avance fuera de rango 0-100%"&amp;" · ","")&amp;IF(OR(AND($I158&lt;&gt;"",$I158&lt;$H158),AND($J158&lt;&gt;"",$J158&lt;MAX($H158:$I158)),AND($K158&lt;&gt;"",$K158&lt;MAX($H158:$J158))),"Avance semanal decreciente"&amp;" · ","")&amp;IF(AND(ISNUMBER($F158),$F158&lt;FechaRef,N($L158)&lt;1),"Vencida"&amp;" · ","")&amp;IF(AND(ObsObligatoria="Sí",ISNUMBER($F158),$F158&lt;FechaRef,N($L158)&lt;1,$N158=""),"Vencida sin observación"&amp;" · ",""))="","✔ OK","⚠ "&amp;LEFT(IF(AND($S158="Macro",$B158=""),"Macroactividad vacía"&amp;" · ","")&amp;IF(AND($B158&lt;&gt;"",$C158&lt;&gt;""),"Escriba la subactividad en otra fila, debajo de su macroactividad"&amp;" · ","")&amp;IF(AND($S158="Sub",N($R158)=0),"Subactividad sin macroactividad arriba"&amp;" · ","")&amp;IF($D158="","Sin responsable"&amp;" · ","")&amp;IF($E158="","Sin fecha de inicio"&amp;" · ","")&amp;IF($F158="","Sin fecha límite"&amp;" · ","")&amp;IF(OR(AND($E158&lt;&gt;"",NOT(ISNUMBER($E158))),AND($F158&lt;&gt;"",NOT(ISNUMBER($F158)))),"Fecha no válida"&amp;" · ","")&amp;IF(AND(ISNUMBER($E158),ISNUMBER($F158),$E158&gt;$F158),"Inicio posterior a fecha límite"&amp;" · ","")&amp;IF(AND($S158="Macro",$G158=""),"Peso vacío"&amp;" · ","")&amp;IF(AND($S158="Macro",$G158&lt;&gt;"",OR(NOT(ISNUMBER($G158)),$G158&lt;=0,$G158&gt;1)),"Peso fuera de rango"&amp;" · ","")&amp;IF(AND($S158="Sub",$G158&lt;&gt;""),"Las subactividades no llevan peso"&amp;" · ","")&amp;IF(AND($S158="Macro",ABS(SUMIFS($G$5:$G$1000,$P$5:$P$1000,$P158,$S$5:$S$1000,"Macro")-1)&gt;0.0001),"Pesos del mes suman "&amp;TEXT(SUMIFS($G$5:$G$1000,$P$5:$P$1000,$P158,$S$5:$S$1000,"Macro"),"0%")&amp;" · ","")&amp;IF(AND(N($T158)&gt;0,COUNT($H158:$K158)&gt;0),"Con subactividades: deje vacías las semanas (se calculan solas)"&amp;" · ","")&amp;IF((COUNTIF($H158:$K158,"&gt;1")+COUNTIF($H158:$K158,"&lt;0")+COUNTA($H158:$K158)-COUNT($H158:$K158))&gt;0,"Avance fuera de rango 0-100%"&amp;" · ","")&amp;IF(OR(AND($I158&lt;&gt;"",$I158&lt;$H158),AND($J158&lt;&gt;"",$J158&lt;MAX($H158:$I158)),AND($K158&lt;&gt;"",$K158&lt;MAX($H158:$J158))),"Avance semanal decreciente"&amp;" · ","")&amp;IF(AND(ISNUMBER($F158),$F158&lt;FechaRef,N($L158)&lt;1),"Vencida"&amp;" · ","")&amp;IF(AND(ObsObligatoria="Sí",ISNUMBER($F158),$F158&lt;FechaRef,N($L158)&lt;1,$N158=""),"Vencida sin observación"&amp;" · ",""),LEN(IF(AND($S158="Macro",$B158=""),"Macroactividad vacía"&amp;" · ","")&amp;IF(AND($B158&lt;&gt;"",$C158&lt;&gt;""),"Escriba la subactividad en otra fila, debajo de su macroactividad"&amp;" · ","")&amp;IF(AND($S158="Sub",N($R158)=0),"Subactividad sin macroactividad arriba"&amp;" · ","")&amp;IF($D158="","Sin responsable"&amp;" · ","")&amp;IF($E158="","Sin fecha de inicio"&amp;" · ","")&amp;IF($F158="","Sin fecha límite"&amp;" · ","")&amp;IF(OR(AND($E158&lt;&gt;"",NOT(ISNUMBER($E158))),AND($F158&lt;&gt;"",NOT(ISNUMBER($F158)))),"Fecha no válida"&amp;" · ","")&amp;IF(AND(ISNUMBER($E158),ISNUMBER($F158),$E158&gt;$F158),"Inicio posterior a fecha límite"&amp;" · ","")&amp;IF(AND($S158="Macro",$G158=""),"Peso vacío"&amp;" · ","")&amp;IF(AND($S158="Macro",$G158&lt;&gt;"",OR(NOT(ISNUMBER($G158)),$G158&lt;=0,$G158&gt;1)),"Peso fuera de rango"&amp;" · ","")&amp;IF(AND($S158="Sub",$G158&lt;&gt;""),"Las subactividades no llevan peso"&amp;" · ","")&amp;IF(AND($S158="Macro",ABS(SUMIFS($G$5:$G$1000,$P$5:$P$1000,$P158,$S$5:$S$1000,"Macro")-1)&gt;0.0001),"Pesos del mes suman "&amp;TEXT(SUMIFS($G$5:$G$1000,$P$5:$P$1000,$P158,$S$5:$S$1000,"Macro"),"0%")&amp;" · ","")&amp;IF(AND(N($T158)&gt;0,COUNT($H158:$K158)&gt;0),"Con subactividades: deje vacías las semanas (se calculan solas)"&amp;" · ","")&amp;IF((COUNTIF($H158:$K158,"&gt;1")+COUNTIF($H158:$K158,"&lt;0")+COUNTA($H158:$K158)-COUNT($H158:$K158))&gt;0,"Avance fuera de rango 0-100%"&amp;" · ","")&amp;IF(OR(AND($I158&lt;&gt;"",$I158&lt;$H158),AND($J158&lt;&gt;"",$J158&lt;MAX($H158:$I158)),AND($K158&lt;&gt;"",$K158&lt;MAX($H158:$J158))),"Avance semanal decreciente"&amp;" · ","")&amp;IF(AND(ISNUMBER($F158),$F158&lt;FechaRef,N($L158)&lt;1),"Vencida"&amp;" · ","")&amp;IF(AND(ObsObligatoria="Sí",ISNUMBER($F158),$F158&lt;FechaRef,N($L158)&lt;1,$N158=""),"Vencida sin observación"&amp;" · ",""))-3)))</f>
        <v/>
      </c>
      <c r="P158" s="69">
        <f>IF(NOT((COUNTA($B158:$K158)+COUNTA($N158))&gt;0),"",IF(AND($S158="Sub",N($R158)&gt;0),IF(ISNUMBER(INDEX($E$5:$E$1000,$R158-4)),DATE(YEAR(INDEX($E$5:$E$1000,$R158-4)),MONTH(INDEX($E$5:$E$1000,$R158-4)),1),IF(ISNUMBER(INDEX($F$5:$F$1000,$R158-4)),DATE(YEAR(INDEX($F$5:$F$1000,$R158-4)),MONTH(INDEX($F$5:$F$1000,$R158-4)),1),MesCiclo)),IF(ISNUMBER($E158),DATE(YEAR($E158),MONTH($E158),1),IF(ISNUMBER($F158),DATE(YEAR($F158),MONTH($F158),1),MesCiclo))))</f>
        <v/>
      </c>
      <c r="Q158" s="70">
        <f>IF(OR($P158="",$P158&lt;&gt;MesCiclo),"",COUNTIF($P$5:$P158,MesCiclo))</f>
        <v/>
      </c>
      <c r="R158" s="70">
        <f>IF($S158="","",IF($S158="Macro",ROW(),IFERROR(LOOKUP(2,1/($S$5:$S158="Macro"),ROW($S$5:$S158)),0)))</f>
        <v/>
      </c>
      <c r="S158" s="70">
        <f>IF(NOT((COUNTA($B158:$K158)+COUNTA($N158))&gt;0),"",IF($B158&lt;&gt;"","Macro",IF($C158&lt;&gt;"","Sub","Macro")))</f>
        <v/>
      </c>
      <c r="T158" s="70">
        <f>IF($S158="Macro",COUNTIFS($R$5:$R$1000,ROW(),$S$5:$S$1000,"Sub"),"")</f>
        <v/>
      </c>
      <c r="U158" s="70">
        <f>IF($S158="","",IF(ISNUMBER($H158),$H158,0))</f>
        <v/>
      </c>
      <c r="V158" s="70">
        <f>IF($S158="","",IF(ISNUMBER($I158),$I158,$U158))</f>
        <v/>
      </c>
      <c r="W158" s="70">
        <f>IF($S158="","",IF(ISNUMBER($J158),$J158,$V158))</f>
        <v/>
      </c>
      <c r="X158" s="70">
        <f>IF($S158="","",IF(ISNUMBER($K158),$K158,$W158))</f>
        <v/>
      </c>
      <c r="Y158" s="70">
        <f>IF($S158="","",IF(N($T158)&gt;0,AVERAGEIFS($U$5:$U$1000,$R$5:$R$1000,ROW(),$S$5:$S$1000,"Sub"),$U158))</f>
        <v/>
      </c>
      <c r="Z158" s="70">
        <f>IF($S158="","",IF(N($T158)&gt;0,AVERAGEIFS($V$5:$V$1000,$R$5:$R$1000,ROW(),$S$5:$S$1000,"Sub"),$V158))</f>
        <v/>
      </c>
      <c r="AA158" s="70">
        <f>IF($S158="","",IF(N($T158)&gt;0,AVERAGEIFS($W$5:$W$1000,$R$5:$R$1000,ROW(),$S$5:$S$1000,"Sub"),$W158))</f>
        <v/>
      </c>
      <c r="AB158" s="70">
        <f>IF($S158="","",IF(N($T158)&gt;0,AVERAGEIFS($X$5:$X$1000,$R$5:$R$1000,ROW(),$S$5:$S$1000,"Sub"),$X158))</f>
        <v/>
      </c>
    </row>
    <row r="159">
      <c r="A159" s="61">
        <f>IF(NOT((COUNTA($B159:$K159)+COUNTA($N159))&gt;0),"",IF($S159="Macro",COUNTIFS($S$5:$S159,"Macro",$P$5:$P159,$P159),IF(N($R159)=0,"?",COUNTIFS(INDEX($S$5:$S$1000,1):INDEX($S$5:$S$1000,$R159-4),"Macro",INDEX($P$5:$P$1000,1):INDEX($P$5:$P$1000,$R159-4),INDEX($P$5:$P$1000,$R159-4))&amp;"."&amp;COUNTIFS($R$5:$R159,$R159,$S$5:$S159,"Sub"))))</f>
        <v/>
      </c>
      <c r="B159" s="62" t="n"/>
      <c r="C159" s="63" t="n"/>
      <c r="D159" s="62" t="n"/>
      <c r="E159" s="64" t="n"/>
      <c r="F159" s="64" t="n"/>
      <c r="G159" s="65" t="n"/>
      <c r="H159" s="66" t="n"/>
      <c r="I159" s="66" t="n"/>
      <c r="J159" s="66" t="n"/>
      <c r="K159" s="66" t="n"/>
      <c r="L159" s="67">
        <f>IF(NOT((COUNTA($B159:$K159)+COUNTA($N159))&gt;0),"",IF(N($T159)&gt;0,$AB159,IFERROR(LOOKUP(2,1/(H159:K159&lt;&gt;""),H159:K159),0)))</f>
        <v/>
      </c>
      <c r="M159" s="61">
        <f>IF(L159="","",IF(L159&gt;=1,"Completado",IF(L159&gt;0,"En curso","Pendiente")))</f>
        <v/>
      </c>
      <c r="N159" s="62" t="n"/>
      <c r="O159" s="68">
        <f>IF(NOT((COUNTA($B159:$K159)+COUNTA($N159))&gt;0),"",IF((IF(AND($S159="Macro",$B159=""),"Macroactividad vacía"&amp;" · ","")&amp;IF(AND($B159&lt;&gt;"",$C159&lt;&gt;""),"Escriba la subactividad en otra fila, debajo de su macroactividad"&amp;" · ","")&amp;IF(AND($S159="Sub",N($R159)=0),"Subactividad sin macroactividad arriba"&amp;" · ","")&amp;IF($D159="","Sin responsable"&amp;" · ","")&amp;IF($E159="","Sin fecha de inicio"&amp;" · ","")&amp;IF($F159="","Sin fecha límite"&amp;" · ","")&amp;IF(OR(AND($E159&lt;&gt;"",NOT(ISNUMBER($E159))),AND($F159&lt;&gt;"",NOT(ISNUMBER($F159)))),"Fecha no válida"&amp;" · ","")&amp;IF(AND(ISNUMBER($E159),ISNUMBER($F159),$E159&gt;$F159),"Inicio posterior a fecha límite"&amp;" · ","")&amp;IF(AND($S159="Macro",$G159=""),"Peso vacío"&amp;" · ","")&amp;IF(AND($S159="Macro",$G159&lt;&gt;"",OR(NOT(ISNUMBER($G159)),$G159&lt;=0,$G159&gt;1)),"Peso fuera de rango"&amp;" · ","")&amp;IF(AND($S159="Sub",$G159&lt;&gt;""),"Las subactividades no llevan peso"&amp;" · ","")&amp;IF(AND($S159="Macro",ABS(SUMIFS($G$5:$G$1000,$P$5:$P$1000,$P159,$S$5:$S$1000,"Macro")-1)&gt;0.0001),"Pesos del mes suman "&amp;TEXT(SUMIFS($G$5:$G$1000,$P$5:$P$1000,$P159,$S$5:$S$1000,"Macro"),"0%")&amp;" · ","")&amp;IF(AND(N($T159)&gt;0,COUNT($H159:$K159)&gt;0),"Con subactividades: deje vacías las semanas (se calculan solas)"&amp;" · ","")&amp;IF((COUNTIF($H159:$K159,"&gt;1")+COUNTIF($H159:$K159,"&lt;0")+COUNTA($H159:$K159)-COUNT($H159:$K159))&gt;0,"Avance fuera de rango 0-100%"&amp;" · ","")&amp;IF(OR(AND($I159&lt;&gt;"",$I159&lt;$H159),AND($J159&lt;&gt;"",$J159&lt;MAX($H159:$I159)),AND($K159&lt;&gt;"",$K159&lt;MAX($H159:$J159))),"Avance semanal decreciente"&amp;" · ","")&amp;IF(AND(ISNUMBER($F159),$F159&lt;FechaRef,N($L159)&lt;1),"Vencida"&amp;" · ","")&amp;IF(AND(ObsObligatoria="Sí",ISNUMBER($F159),$F159&lt;FechaRef,N($L159)&lt;1,$N159=""),"Vencida sin observación"&amp;" · ",""))="","✔ OK","⚠ "&amp;LEFT(IF(AND($S159="Macro",$B159=""),"Macroactividad vacía"&amp;" · ","")&amp;IF(AND($B159&lt;&gt;"",$C159&lt;&gt;""),"Escriba la subactividad en otra fila, debajo de su macroactividad"&amp;" · ","")&amp;IF(AND($S159="Sub",N($R159)=0),"Subactividad sin macroactividad arriba"&amp;" · ","")&amp;IF($D159="","Sin responsable"&amp;" · ","")&amp;IF($E159="","Sin fecha de inicio"&amp;" · ","")&amp;IF($F159="","Sin fecha límite"&amp;" · ","")&amp;IF(OR(AND($E159&lt;&gt;"",NOT(ISNUMBER($E159))),AND($F159&lt;&gt;"",NOT(ISNUMBER($F159)))),"Fecha no válida"&amp;" · ","")&amp;IF(AND(ISNUMBER($E159),ISNUMBER($F159),$E159&gt;$F159),"Inicio posterior a fecha límite"&amp;" · ","")&amp;IF(AND($S159="Macro",$G159=""),"Peso vacío"&amp;" · ","")&amp;IF(AND($S159="Macro",$G159&lt;&gt;"",OR(NOT(ISNUMBER($G159)),$G159&lt;=0,$G159&gt;1)),"Peso fuera de rango"&amp;" · ","")&amp;IF(AND($S159="Sub",$G159&lt;&gt;""),"Las subactividades no llevan peso"&amp;" · ","")&amp;IF(AND($S159="Macro",ABS(SUMIFS($G$5:$G$1000,$P$5:$P$1000,$P159,$S$5:$S$1000,"Macro")-1)&gt;0.0001),"Pesos del mes suman "&amp;TEXT(SUMIFS($G$5:$G$1000,$P$5:$P$1000,$P159,$S$5:$S$1000,"Macro"),"0%")&amp;" · ","")&amp;IF(AND(N($T159)&gt;0,COUNT($H159:$K159)&gt;0),"Con subactividades: deje vacías las semanas (se calculan solas)"&amp;" · ","")&amp;IF((COUNTIF($H159:$K159,"&gt;1")+COUNTIF($H159:$K159,"&lt;0")+COUNTA($H159:$K159)-COUNT($H159:$K159))&gt;0,"Avance fuera de rango 0-100%"&amp;" · ","")&amp;IF(OR(AND($I159&lt;&gt;"",$I159&lt;$H159),AND($J159&lt;&gt;"",$J159&lt;MAX($H159:$I159)),AND($K159&lt;&gt;"",$K159&lt;MAX($H159:$J159))),"Avance semanal decreciente"&amp;" · ","")&amp;IF(AND(ISNUMBER($F159),$F159&lt;FechaRef,N($L159)&lt;1),"Vencida"&amp;" · ","")&amp;IF(AND(ObsObligatoria="Sí",ISNUMBER($F159),$F159&lt;FechaRef,N($L159)&lt;1,$N159=""),"Vencida sin observación"&amp;" · ",""),LEN(IF(AND($S159="Macro",$B159=""),"Macroactividad vacía"&amp;" · ","")&amp;IF(AND($B159&lt;&gt;"",$C159&lt;&gt;""),"Escriba la subactividad en otra fila, debajo de su macroactividad"&amp;" · ","")&amp;IF(AND($S159="Sub",N($R159)=0),"Subactividad sin macroactividad arriba"&amp;" · ","")&amp;IF($D159="","Sin responsable"&amp;" · ","")&amp;IF($E159="","Sin fecha de inicio"&amp;" · ","")&amp;IF($F159="","Sin fecha límite"&amp;" · ","")&amp;IF(OR(AND($E159&lt;&gt;"",NOT(ISNUMBER($E159))),AND($F159&lt;&gt;"",NOT(ISNUMBER($F159)))),"Fecha no válida"&amp;" · ","")&amp;IF(AND(ISNUMBER($E159),ISNUMBER($F159),$E159&gt;$F159),"Inicio posterior a fecha límite"&amp;" · ","")&amp;IF(AND($S159="Macro",$G159=""),"Peso vacío"&amp;" · ","")&amp;IF(AND($S159="Macro",$G159&lt;&gt;"",OR(NOT(ISNUMBER($G159)),$G159&lt;=0,$G159&gt;1)),"Peso fuera de rango"&amp;" · ","")&amp;IF(AND($S159="Sub",$G159&lt;&gt;""),"Las subactividades no llevan peso"&amp;" · ","")&amp;IF(AND($S159="Macro",ABS(SUMIFS($G$5:$G$1000,$P$5:$P$1000,$P159,$S$5:$S$1000,"Macro")-1)&gt;0.0001),"Pesos del mes suman "&amp;TEXT(SUMIFS($G$5:$G$1000,$P$5:$P$1000,$P159,$S$5:$S$1000,"Macro"),"0%")&amp;" · ","")&amp;IF(AND(N($T159)&gt;0,COUNT($H159:$K159)&gt;0),"Con subactividades: deje vacías las semanas (se calculan solas)"&amp;" · ","")&amp;IF((COUNTIF($H159:$K159,"&gt;1")+COUNTIF($H159:$K159,"&lt;0")+COUNTA($H159:$K159)-COUNT($H159:$K159))&gt;0,"Avance fuera de rango 0-100%"&amp;" · ","")&amp;IF(OR(AND($I159&lt;&gt;"",$I159&lt;$H159),AND($J159&lt;&gt;"",$J159&lt;MAX($H159:$I159)),AND($K159&lt;&gt;"",$K159&lt;MAX($H159:$J159))),"Avance semanal decreciente"&amp;" · ","")&amp;IF(AND(ISNUMBER($F159),$F159&lt;FechaRef,N($L159)&lt;1),"Vencida"&amp;" · ","")&amp;IF(AND(ObsObligatoria="Sí",ISNUMBER($F159),$F159&lt;FechaRef,N($L159)&lt;1,$N159=""),"Vencida sin observación"&amp;" · ",""))-3)))</f>
        <v/>
      </c>
      <c r="P159" s="69">
        <f>IF(NOT((COUNTA($B159:$K159)+COUNTA($N159))&gt;0),"",IF(AND($S159="Sub",N($R159)&gt;0),IF(ISNUMBER(INDEX($E$5:$E$1000,$R159-4)),DATE(YEAR(INDEX($E$5:$E$1000,$R159-4)),MONTH(INDEX($E$5:$E$1000,$R159-4)),1),IF(ISNUMBER(INDEX($F$5:$F$1000,$R159-4)),DATE(YEAR(INDEX($F$5:$F$1000,$R159-4)),MONTH(INDEX($F$5:$F$1000,$R159-4)),1),MesCiclo)),IF(ISNUMBER($E159),DATE(YEAR($E159),MONTH($E159),1),IF(ISNUMBER($F159),DATE(YEAR($F159),MONTH($F159),1),MesCiclo))))</f>
        <v/>
      </c>
      <c r="Q159" s="70">
        <f>IF(OR($P159="",$P159&lt;&gt;MesCiclo),"",COUNTIF($P$5:$P159,MesCiclo))</f>
        <v/>
      </c>
      <c r="R159" s="70">
        <f>IF($S159="","",IF($S159="Macro",ROW(),IFERROR(LOOKUP(2,1/($S$5:$S159="Macro"),ROW($S$5:$S159)),0)))</f>
        <v/>
      </c>
      <c r="S159" s="70">
        <f>IF(NOT((COUNTA($B159:$K159)+COUNTA($N159))&gt;0),"",IF($B159&lt;&gt;"","Macro",IF($C159&lt;&gt;"","Sub","Macro")))</f>
        <v/>
      </c>
      <c r="T159" s="70">
        <f>IF($S159="Macro",COUNTIFS($R$5:$R$1000,ROW(),$S$5:$S$1000,"Sub"),"")</f>
        <v/>
      </c>
      <c r="U159" s="70">
        <f>IF($S159="","",IF(ISNUMBER($H159),$H159,0))</f>
        <v/>
      </c>
      <c r="V159" s="70">
        <f>IF($S159="","",IF(ISNUMBER($I159),$I159,$U159))</f>
        <v/>
      </c>
      <c r="W159" s="70">
        <f>IF($S159="","",IF(ISNUMBER($J159),$J159,$V159))</f>
        <v/>
      </c>
      <c r="X159" s="70">
        <f>IF($S159="","",IF(ISNUMBER($K159),$K159,$W159))</f>
        <v/>
      </c>
      <c r="Y159" s="70">
        <f>IF($S159="","",IF(N($T159)&gt;0,AVERAGEIFS($U$5:$U$1000,$R$5:$R$1000,ROW(),$S$5:$S$1000,"Sub"),$U159))</f>
        <v/>
      </c>
      <c r="Z159" s="70">
        <f>IF($S159="","",IF(N($T159)&gt;0,AVERAGEIFS($V$5:$V$1000,$R$5:$R$1000,ROW(),$S$5:$S$1000,"Sub"),$V159))</f>
        <v/>
      </c>
      <c r="AA159" s="70">
        <f>IF($S159="","",IF(N($T159)&gt;0,AVERAGEIFS($W$5:$W$1000,$R$5:$R$1000,ROW(),$S$5:$S$1000,"Sub"),$W159))</f>
        <v/>
      </c>
      <c r="AB159" s="70">
        <f>IF($S159="","",IF(N($T159)&gt;0,AVERAGEIFS($X$5:$X$1000,$R$5:$R$1000,ROW(),$S$5:$S$1000,"Sub"),$X159))</f>
        <v/>
      </c>
    </row>
    <row r="160">
      <c r="A160" s="61">
        <f>IF(NOT((COUNTA($B160:$K160)+COUNTA($N160))&gt;0),"",IF($S160="Macro",COUNTIFS($S$5:$S160,"Macro",$P$5:$P160,$P160),IF(N($R160)=0,"?",COUNTIFS(INDEX($S$5:$S$1000,1):INDEX($S$5:$S$1000,$R160-4),"Macro",INDEX($P$5:$P$1000,1):INDEX($P$5:$P$1000,$R160-4),INDEX($P$5:$P$1000,$R160-4))&amp;"."&amp;COUNTIFS($R$5:$R160,$R160,$S$5:$S160,"Sub"))))</f>
        <v/>
      </c>
      <c r="B160" s="62" t="n"/>
      <c r="C160" s="63" t="n"/>
      <c r="D160" s="62" t="n"/>
      <c r="E160" s="64" t="n"/>
      <c r="F160" s="64" t="n"/>
      <c r="G160" s="65" t="n"/>
      <c r="H160" s="66" t="n"/>
      <c r="I160" s="66" t="n"/>
      <c r="J160" s="66" t="n"/>
      <c r="K160" s="66" t="n"/>
      <c r="L160" s="67">
        <f>IF(NOT((COUNTA($B160:$K160)+COUNTA($N160))&gt;0),"",IF(N($T160)&gt;0,$AB160,IFERROR(LOOKUP(2,1/(H160:K160&lt;&gt;""),H160:K160),0)))</f>
        <v/>
      </c>
      <c r="M160" s="61">
        <f>IF(L160="","",IF(L160&gt;=1,"Completado",IF(L160&gt;0,"En curso","Pendiente")))</f>
        <v/>
      </c>
      <c r="N160" s="62" t="n"/>
      <c r="O160" s="68">
        <f>IF(NOT((COUNTA($B160:$K160)+COUNTA($N160))&gt;0),"",IF((IF(AND($S160="Macro",$B160=""),"Macroactividad vacía"&amp;" · ","")&amp;IF(AND($B160&lt;&gt;"",$C160&lt;&gt;""),"Escriba la subactividad en otra fila, debajo de su macroactividad"&amp;" · ","")&amp;IF(AND($S160="Sub",N($R160)=0),"Subactividad sin macroactividad arriba"&amp;" · ","")&amp;IF($D160="","Sin responsable"&amp;" · ","")&amp;IF($E160="","Sin fecha de inicio"&amp;" · ","")&amp;IF($F160="","Sin fecha límite"&amp;" · ","")&amp;IF(OR(AND($E160&lt;&gt;"",NOT(ISNUMBER($E160))),AND($F160&lt;&gt;"",NOT(ISNUMBER($F160)))),"Fecha no válida"&amp;" · ","")&amp;IF(AND(ISNUMBER($E160),ISNUMBER($F160),$E160&gt;$F160),"Inicio posterior a fecha límite"&amp;" · ","")&amp;IF(AND($S160="Macro",$G160=""),"Peso vacío"&amp;" · ","")&amp;IF(AND($S160="Macro",$G160&lt;&gt;"",OR(NOT(ISNUMBER($G160)),$G160&lt;=0,$G160&gt;1)),"Peso fuera de rango"&amp;" · ","")&amp;IF(AND($S160="Sub",$G160&lt;&gt;""),"Las subactividades no llevan peso"&amp;" · ","")&amp;IF(AND($S160="Macro",ABS(SUMIFS($G$5:$G$1000,$P$5:$P$1000,$P160,$S$5:$S$1000,"Macro")-1)&gt;0.0001),"Pesos del mes suman "&amp;TEXT(SUMIFS($G$5:$G$1000,$P$5:$P$1000,$P160,$S$5:$S$1000,"Macro"),"0%")&amp;" · ","")&amp;IF(AND(N($T160)&gt;0,COUNT($H160:$K160)&gt;0),"Con subactividades: deje vacías las semanas (se calculan solas)"&amp;" · ","")&amp;IF((COUNTIF($H160:$K160,"&gt;1")+COUNTIF($H160:$K160,"&lt;0")+COUNTA($H160:$K160)-COUNT($H160:$K160))&gt;0,"Avance fuera de rango 0-100%"&amp;" · ","")&amp;IF(OR(AND($I160&lt;&gt;"",$I160&lt;$H160),AND($J160&lt;&gt;"",$J160&lt;MAX($H160:$I160)),AND($K160&lt;&gt;"",$K160&lt;MAX($H160:$J160))),"Avance semanal decreciente"&amp;" · ","")&amp;IF(AND(ISNUMBER($F160),$F160&lt;FechaRef,N($L160)&lt;1),"Vencida"&amp;" · ","")&amp;IF(AND(ObsObligatoria="Sí",ISNUMBER($F160),$F160&lt;FechaRef,N($L160)&lt;1,$N160=""),"Vencida sin observación"&amp;" · ",""))="","✔ OK","⚠ "&amp;LEFT(IF(AND($S160="Macro",$B160=""),"Macroactividad vacía"&amp;" · ","")&amp;IF(AND($B160&lt;&gt;"",$C160&lt;&gt;""),"Escriba la subactividad en otra fila, debajo de su macroactividad"&amp;" · ","")&amp;IF(AND($S160="Sub",N($R160)=0),"Subactividad sin macroactividad arriba"&amp;" · ","")&amp;IF($D160="","Sin responsable"&amp;" · ","")&amp;IF($E160="","Sin fecha de inicio"&amp;" · ","")&amp;IF($F160="","Sin fecha límite"&amp;" · ","")&amp;IF(OR(AND($E160&lt;&gt;"",NOT(ISNUMBER($E160))),AND($F160&lt;&gt;"",NOT(ISNUMBER($F160)))),"Fecha no válida"&amp;" · ","")&amp;IF(AND(ISNUMBER($E160),ISNUMBER($F160),$E160&gt;$F160),"Inicio posterior a fecha límite"&amp;" · ","")&amp;IF(AND($S160="Macro",$G160=""),"Peso vacío"&amp;" · ","")&amp;IF(AND($S160="Macro",$G160&lt;&gt;"",OR(NOT(ISNUMBER($G160)),$G160&lt;=0,$G160&gt;1)),"Peso fuera de rango"&amp;" · ","")&amp;IF(AND($S160="Sub",$G160&lt;&gt;""),"Las subactividades no llevan peso"&amp;" · ","")&amp;IF(AND($S160="Macro",ABS(SUMIFS($G$5:$G$1000,$P$5:$P$1000,$P160,$S$5:$S$1000,"Macro")-1)&gt;0.0001),"Pesos del mes suman "&amp;TEXT(SUMIFS($G$5:$G$1000,$P$5:$P$1000,$P160,$S$5:$S$1000,"Macro"),"0%")&amp;" · ","")&amp;IF(AND(N($T160)&gt;0,COUNT($H160:$K160)&gt;0),"Con subactividades: deje vacías las semanas (se calculan solas)"&amp;" · ","")&amp;IF((COUNTIF($H160:$K160,"&gt;1")+COUNTIF($H160:$K160,"&lt;0")+COUNTA($H160:$K160)-COUNT($H160:$K160))&gt;0,"Avance fuera de rango 0-100%"&amp;" · ","")&amp;IF(OR(AND($I160&lt;&gt;"",$I160&lt;$H160),AND($J160&lt;&gt;"",$J160&lt;MAX($H160:$I160)),AND($K160&lt;&gt;"",$K160&lt;MAX($H160:$J160))),"Avance semanal decreciente"&amp;" · ","")&amp;IF(AND(ISNUMBER($F160),$F160&lt;FechaRef,N($L160)&lt;1),"Vencida"&amp;" · ","")&amp;IF(AND(ObsObligatoria="Sí",ISNUMBER($F160),$F160&lt;FechaRef,N($L160)&lt;1,$N160=""),"Vencida sin observación"&amp;" · ",""),LEN(IF(AND($S160="Macro",$B160=""),"Macroactividad vacía"&amp;" · ","")&amp;IF(AND($B160&lt;&gt;"",$C160&lt;&gt;""),"Escriba la subactividad en otra fila, debajo de su macroactividad"&amp;" · ","")&amp;IF(AND($S160="Sub",N($R160)=0),"Subactividad sin macroactividad arriba"&amp;" · ","")&amp;IF($D160="","Sin responsable"&amp;" · ","")&amp;IF($E160="","Sin fecha de inicio"&amp;" · ","")&amp;IF($F160="","Sin fecha límite"&amp;" · ","")&amp;IF(OR(AND($E160&lt;&gt;"",NOT(ISNUMBER($E160))),AND($F160&lt;&gt;"",NOT(ISNUMBER($F160)))),"Fecha no válida"&amp;" · ","")&amp;IF(AND(ISNUMBER($E160),ISNUMBER($F160),$E160&gt;$F160),"Inicio posterior a fecha límite"&amp;" · ","")&amp;IF(AND($S160="Macro",$G160=""),"Peso vacío"&amp;" · ","")&amp;IF(AND($S160="Macro",$G160&lt;&gt;"",OR(NOT(ISNUMBER($G160)),$G160&lt;=0,$G160&gt;1)),"Peso fuera de rango"&amp;" · ","")&amp;IF(AND($S160="Sub",$G160&lt;&gt;""),"Las subactividades no llevan peso"&amp;" · ","")&amp;IF(AND($S160="Macro",ABS(SUMIFS($G$5:$G$1000,$P$5:$P$1000,$P160,$S$5:$S$1000,"Macro")-1)&gt;0.0001),"Pesos del mes suman "&amp;TEXT(SUMIFS($G$5:$G$1000,$P$5:$P$1000,$P160,$S$5:$S$1000,"Macro"),"0%")&amp;" · ","")&amp;IF(AND(N($T160)&gt;0,COUNT($H160:$K160)&gt;0),"Con subactividades: deje vacías las semanas (se calculan solas)"&amp;" · ","")&amp;IF((COUNTIF($H160:$K160,"&gt;1")+COUNTIF($H160:$K160,"&lt;0")+COUNTA($H160:$K160)-COUNT($H160:$K160))&gt;0,"Avance fuera de rango 0-100%"&amp;" · ","")&amp;IF(OR(AND($I160&lt;&gt;"",$I160&lt;$H160),AND($J160&lt;&gt;"",$J160&lt;MAX($H160:$I160)),AND($K160&lt;&gt;"",$K160&lt;MAX($H160:$J160))),"Avance semanal decreciente"&amp;" · ","")&amp;IF(AND(ISNUMBER($F160),$F160&lt;FechaRef,N($L160)&lt;1),"Vencida"&amp;" · ","")&amp;IF(AND(ObsObligatoria="Sí",ISNUMBER($F160),$F160&lt;FechaRef,N($L160)&lt;1,$N160=""),"Vencida sin observación"&amp;" · ",""))-3)))</f>
        <v/>
      </c>
      <c r="P160" s="69">
        <f>IF(NOT((COUNTA($B160:$K160)+COUNTA($N160))&gt;0),"",IF(AND($S160="Sub",N($R160)&gt;0),IF(ISNUMBER(INDEX($E$5:$E$1000,$R160-4)),DATE(YEAR(INDEX($E$5:$E$1000,$R160-4)),MONTH(INDEX($E$5:$E$1000,$R160-4)),1),IF(ISNUMBER(INDEX($F$5:$F$1000,$R160-4)),DATE(YEAR(INDEX($F$5:$F$1000,$R160-4)),MONTH(INDEX($F$5:$F$1000,$R160-4)),1),MesCiclo)),IF(ISNUMBER($E160),DATE(YEAR($E160),MONTH($E160),1),IF(ISNUMBER($F160),DATE(YEAR($F160),MONTH($F160),1),MesCiclo))))</f>
        <v/>
      </c>
      <c r="Q160" s="70">
        <f>IF(OR($P160="",$P160&lt;&gt;MesCiclo),"",COUNTIF($P$5:$P160,MesCiclo))</f>
        <v/>
      </c>
      <c r="R160" s="70">
        <f>IF($S160="","",IF($S160="Macro",ROW(),IFERROR(LOOKUP(2,1/($S$5:$S160="Macro"),ROW($S$5:$S160)),0)))</f>
        <v/>
      </c>
      <c r="S160" s="70">
        <f>IF(NOT((COUNTA($B160:$K160)+COUNTA($N160))&gt;0),"",IF($B160&lt;&gt;"","Macro",IF($C160&lt;&gt;"","Sub","Macro")))</f>
        <v/>
      </c>
      <c r="T160" s="70">
        <f>IF($S160="Macro",COUNTIFS($R$5:$R$1000,ROW(),$S$5:$S$1000,"Sub"),"")</f>
        <v/>
      </c>
      <c r="U160" s="70">
        <f>IF($S160="","",IF(ISNUMBER($H160),$H160,0))</f>
        <v/>
      </c>
      <c r="V160" s="70">
        <f>IF($S160="","",IF(ISNUMBER($I160),$I160,$U160))</f>
        <v/>
      </c>
      <c r="W160" s="70">
        <f>IF($S160="","",IF(ISNUMBER($J160),$J160,$V160))</f>
        <v/>
      </c>
      <c r="X160" s="70">
        <f>IF($S160="","",IF(ISNUMBER($K160),$K160,$W160))</f>
        <v/>
      </c>
      <c r="Y160" s="70">
        <f>IF($S160="","",IF(N($T160)&gt;0,AVERAGEIFS($U$5:$U$1000,$R$5:$R$1000,ROW(),$S$5:$S$1000,"Sub"),$U160))</f>
        <v/>
      </c>
      <c r="Z160" s="70">
        <f>IF($S160="","",IF(N($T160)&gt;0,AVERAGEIFS($V$5:$V$1000,$R$5:$R$1000,ROW(),$S$5:$S$1000,"Sub"),$V160))</f>
        <v/>
      </c>
      <c r="AA160" s="70">
        <f>IF($S160="","",IF(N($T160)&gt;0,AVERAGEIFS($W$5:$W$1000,$R$5:$R$1000,ROW(),$S$5:$S$1000,"Sub"),$W160))</f>
        <v/>
      </c>
      <c r="AB160" s="70">
        <f>IF($S160="","",IF(N($T160)&gt;0,AVERAGEIFS($X$5:$X$1000,$R$5:$R$1000,ROW(),$S$5:$S$1000,"Sub"),$X160))</f>
        <v/>
      </c>
    </row>
    <row r="161">
      <c r="A161" s="61">
        <f>IF(NOT((COUNTA($B161:$K161)+COUNTA($N161))&gt;0),"",IF($S161="Macro",COUNTIFS($S$5:$S161,"Macro",$P$5:$P161,$P161),IF(N($R161)=0,"?",COUNTIFS(INDEX($S$5:$S$1000,1):INDEX($S$5:$S$1000,$R161-4),"Macro",INDEX($P$5:$P$1000,1):INDEX($P$5:$P$1000,$R161-4),INDEX($P$5:$P$1000,$R161-4))&amp;"."&amp;COUNTIFS($R$5:$R161,$R161,$S$5:$S161,"Sub"))))</f>
        <v/>
      </c>
      <c r="B161" s="62" t="n"/>
      <c r="C161" s="63" t="n"/>
      <c r="D161" s="62" t="n"/>
      <c r="E161" s="64" t="n"/>
      <c r="F161" s="64" t="n"/>
      <c r="G161" s="65" t="n"/>
      <c r="H161" s="66" t="n"/>
      <c r="I161" s="66" t="n"/>
      <c r="J161" s="66" t="n"/>
      <c r="K161" s="66" t="n"/>
      <c r="L161" s="67">
        <f>IF(NOT((COUNTA($B161:$K161)+COUNTA($N161))&gt;0),"",IF(N($T161)&gt;0,$AB161,IFERROR(LOOKUP(2,1/(H161:K161&lt;&gt;""),H161:K161),0)))</f>
        <v/>
      </c>
      <c r="M161" s="61">
        <f>IF(L161="","",IF(L161&gt;=1,"Completado",IF(L161&gt;0,"En curso","Pendiente")))</f>
        <v/>
      </c>
      <c r="N161" s="62" t="n"/>
      <c r="O161" s="68">
        <f>IF(NOT((COUNTA($B161:$K161)+COUNTA($N161))&gt;0),"",IF((IF(AND($S161="Macro",$B161=""),"Macroactividad vacía"&amp;" · ","")&amp;IF(AND($B161&lt;&gt;"",$C161&lt;&gt;""),"Escriba la subactividad en otra fila, debajo de su macroactividad"&amp;" · ","")&amp;IF(AND($S161="Sub",N($R161)=0),"Subactividad sin macroactividad arriba"&amp;" · ","")&amp;IF($D161="","Sin responsable"&amp;" · ","")&amp;IF($E161="","Sin fecha de inicio"&amp;" · ","")&amp;IF($F161="","Sin fecha límite"&amp;" · ","")&amp;IF(OR(AND($E161&lt;&gt;"",NOT(ISNUMBER($E161))),AND($F161&lt;&gt;"",NOT(ISNUMBER($F161)))),"Fecha no válida"&amp;" · ","")&amp;IF(AND(ISNUMBER($E161),ISNUMBER($F161),$E161&gt;$F161),"Inicio posterior a fecha límite"&amp;" · ","")&amp;IF(AND($S161="Macro",$G161=""),"Peso vacío"&amp;" · ","")&amp;IF(AND($S161="Macro",$G161&lt;&gt;"",OR(NOT(ISNUMBER($G161)),$G161&lt;=0,$G161&gt;1)),"Peso fuera de rango"&amp;" · ","")&amp;IF(AND($S161="Sub",$G161&lt;&gt;""),"Las subactividades no llevan peso"&amp;" · ","")&amp;IF(AND($S161="Macro",ABS(SUMIFS($G$5:$G$1000,$P$5:$P$1000,$P161,$S$5:$S$1000,"Macro")-1)&gt;0.0001),"Pesos del mes suman "&amp;TEXT(SUMIFS($G$5:$G$1000,$P$5:$P$1000,$P161,$S$5:$S$1000,"Macro"),"0%")&amp;" · ","")&amp;IF(AND(N($T161)&gt;0,COUNT($H161:$K161)&gt;0),"Con subactividades: deje vacías las semanas (se calculan solas)"&amp;" · ","")&amp;IF((COUNTIF($H161:$K161,"&gt;1")+COUNTIF($H161:$K161,"&lt;0")+COUNTA($H161:$K161)-COUNT($H161:$K161))&gt;0,"Avance fuera de rango 0-100%"&amp;" · ","")&amp;IF(OR(AND($I161&lt;&gt;"",$I161&lt;$H161),AND($J161&lt;&gt;"",$J161&lt;MAX($H161:$I161)),AND($K161&lt;&gt;"",$K161&lt;MAX($H161:$J161))),"Avance semanal decreciente"&amp;" · ","")&amp;IF(AND(ISNUMBER($F161),$F161&lt;FechaRef,N($L161)&lt;1),"Vencida"&amp;" · ","")&amp;IF(AND(ObsObligatoria="Sí",ISNUMBER($F161),$F161&lt;FechaRef,N($L161)&lt;1,$N161=""),"Vencida sin observación"&amp;" · ",""))="","✔ OK","⚠ "&amp;LEFT(IF(AND($S161="Macro",$B161=""),"Macroactividad vacía"&amp;" · ","")&amp;IF(AND($B161&lt;&gt;"",$C161&lt;&gt;""),"Escriba la subactividad en otra fila, debajo de su macroactividad"&amp;" · ","")&amp;IF(AND($S161="Sub",N($R161)=0),"Subactividad sin macroactividad arriba"&amp;" · ","")&amp;IF($D161="","Sin responsable"&amp;" · ","")&amp;IF($E161="","Sin fecha de inicio"&amp;" · ","")&amp;IF($F161="","Sin fecha límite"&amp;" · ","")&amp;IF(OR(AND($E161&lt;&gt;"",NOT(ISNUMBER($E161))),AND($F161&lt;&gt;"",NOT(ISNUMBER($F161)))),"Fecha no válida"&amp;" · ","")&amp;IF(AND(ISNUMBER($E161),ISNUMBER($F161),$E161&gt;$F161),"Inicio posterior a fecha límite"&amp;" · ","")&amp;IF(AND($S161="Macro",$G161=""),"Peso vacío"&amp;" · ","")&amp;IF(AND($S161="Macro",$G161&lt;&gt;"",OR(NOT(ISNUMBER($G161)),$G161&lt;=0,$G161&gt;1)),"Peso fuera de rango"&amp;" · ","")&amp;IF(AND($S161="Sub",$G161&lt;&gt;""),"Las subactividades no llevan peso"&amp;" · ","")&amp;IF(AND($S161="Macro",ABS(SUMIFS($G$5:$G$1000,$P$5:$P$1000,$P161,$S$5:$S$1000,"Macro")-1)&gt;0.0001),"Pesos del mes suman "&amp;TEXT(SUMIFS($G$5:$G$1000,$P$5:$P$1000,$P161,$S$5:$S$1000,"Macro"),"0%")&amp;" · ","")&amp;IF(AND(N($T161)&gt;0,COUNT($H161:$K161)&gt;0),"Con subactividades: deje vacías las semanas (se calculan solas)"&amp;" · ","")&amp;IF((COUNTIF($H161:$K161,"&gt;1")+COUNTIF($H161:$K161,"&lt;0")+COUNTA($H161:$K161)-COUNT($H161:$K161))&gt;0,"Avance fuera de rango 0-100%"&amp;" · ","")&amp;IF(OR(AND($I161&lt;&gt;"",$I161&lt;$H161),AND($J161&lt;&gt;"",$J161&lt;MAX($H161:$I161)),AND($K161&lt;&gt;"",$K161&lt;MAX($H161:$J161))),"Avance semanal decreciente"&amp;" · ","")&amp;IF(AND(ISNUMBER($F161),$F161&lt;FechaRef,N($L161)&lt;1),"Vencida"&amp;" · ","")&amp;IF(AND(ObsObligatoria="Sí",ISNUMBER($F161),$F161&lt;FechaRef,N($L161)&lt;1,$N161=""),"Vencida sin observación"&amp;" · ",""),LEN(IF(AND($S161="Macro",$B161=""),"Macroactividad vacía"&amp;" · ","")&amp;IF(AND($B161&lt;&gt;"",$C161&lt;&gt;""),"Escriba la subactividad en otra fila, debajo de su macroactividad"&amp;" · ","")&amp;IF(AND($S161="Sub",N($R161)=0),"Subactividad sin macroactividad arriba"&amp;" · ","")&amp;IF($D161="","Sin responsable"&amp;" · ","")&amp;IF($E161="","Sin fecha de inicio"&amp;" · ","")&amp;IF($F161="","Sin fecha límite"&amp;" · ","")&amp;IF(OR(AND($E161&lt;&gt;"",NOT(ISNUMBER($E161))),AND($F161&lt;&gt;"",NOT(ISNUMBER($F161)))),"Fecha no válida"&amp;" · ","")&amp;IF(AND(ISNUMBER($E161),ISNUMBER($F161),$E161&gt;$F161),"Inicio posterior a fecha límite"&amp;" · ","")&amp;IF(AND($S161="Macro",$G161=""),"Peso vacío"&amp;" · ","")&amp;IF(AND($S161="Macro",$G161&lt;&gt;"",OR(NOT(ISNUMBER($G161)),$G161&lt;=0,$G161&gt;1)),"Peso fuera de rango"&amp;" · ","")&amp;IF(AND($S161="Sub",$G161&lt;&gt;""),"Las subactividades no llevan peso"&amp;" · ","")&amp;IF(AND($S161="Macro",ABS(SUMIFS($G$5:$G$1000,$P$5:$P$1000,$P161,$S$5:$S$1000,"Macro")-1)&gt;0.0001),"Pesos del mes suman "&amp;TEXT(SUMIFS($G$5:$G$1000,$P$5:$P$1000,$P161,$S$5:$S$1000,"Macro"),"0%")&amp;" · ","")&amp;IF(AND(N($T161)&gt;0,COUNT($H161:$K161)&gt;0),"Con subactividades: deje vacías las semanas (se calculan solas)"&amp;" · ","")&amp;IF((COUNTIF($H161:$K161,"&gt;1")+COUNTIF($H161:$K161,"&lt;0")+COUNTA($H161:$K161)-COUNT($H161:$K161))&gt;0,"Avance fuera de rango 0-100%"&amp;" · ","")&amp;IF(OR(AND($I161&lt;&gt;"",$I161&lt;$H161),AND($J161&lt;&gt;"",$J161&lt;MAX($H161:$I161)),AND($K161&lt;&gt;"",$K161&lt;MAX($H161:$J161))),"Avance semanal decreciente"&amp;" · ","")&amp;IF(AND(ISNUMBER($F161),$F161&lt;FechaRef,N($L161)&lt;1),"Vencida"&amp;" · ","")&amp;IF(AND(ObsObligatoria="Sí",ISNUMBER($F161),$F161&lt;FechaRef,N($L161)&lt;1,$N161=""),"Vencida sin observación"&amp;" · ",""))-3)))</f>
        <v/>
      </c>
      <c r="P161" s="69">
        <f>IF(NOT((COUNTA($B161:$K161)+COUNTA($N161))&gt;0),"",IF(AND($S161="Sub",N($R161)&gt;0),IF(ISNUMBER(INDEX($E$5:$E$1000,$R161-4)),DATE(YEAR(INDEX($E$5:$E$1000,$R161-4)),MONTH(INDEX($E$5:$E$1000,$R161-4)),1),IF(ISNUMBER(INDEX($F$5:$F$1000,$R161-4)),DATE(YEAR(INDEX($F$5:$F$1000,$R161-4)),MONTH(INDEX($F$5:$F$1000,$R161-4)),1),MesCiclo)),IF(ISNUMBER($E161),DATE(YEAR($E161),MONTH($E161),1),IF(ISNUMBER($F161),DATE(YEAR($F161),MONTH($F161),1),MesCiclo))))</f>
        <v/>
      </c>
      <c r="Q161" s="70">
        <f>IF(OR($P161="",$P161&lt;&gt;MesCiclo),"",COUNTIF($P$5:$P161,MesCiclo))</f>
        <v/>
      </c>
      <c r="R161" s="70">
        <f>IF($S161="","",IF($S161="Macro",ROW(),IFERROR(LOOKUP(2,1/($S$5:$S161="Macro"),ROW($S$5:$S161)),0)))</f>
        <v/>
      </c>
      <c r="S161" s="70">
        <f>IF(NOT((COUNTA($B161:$K161)+COUNTA($N161))&gt;0),"",IF($B161&lt;&gt;"","Macro",IF($C161&lt;&gt;"","Sub","Macro")))</f>
        <v/>
      </c>
      <c r="T161" s="70">
        <f>IF($S161="Macro",COUNTIFS($R$5:$R$1000,ROW(),$S$5:$S$1000,"Sub"),"")</f>
        <v/>
      </c>
      <c r="U161" s="70">
        <f>IF($S161="","",IF(ISNUMBER($H161),$H161,0))</f>
        <v/>
      </c>
      <c r="V161" s="70">
        <f>IF($S161="","",IF(ISNUMBER($I161),$I161,$U161))</f>
        <v/>
      </c>
      <c r="W161" s="70">
        <f>IF($S161="","",IF(ISNUMBER($J161),$J161,$V161))</f>
        <v/>
      </c>
      <c r="X161" s="70">
        <f>IF($S161="","",IF(ISNUMBER($K161),$K161,$W161))</f>
        <v/>
      </c>
      <c r="Y161" s="70">
        <f>IF($S161="","",IF(N($T161)&gt;0,AVERAGEIFS($U$5:$U$1000,$R$5:$R$1000,ROW(),$S$5:$S$1000,"Sub"),$U161))</f>
        <v/>
      </c>
      <c r="Z161" s="70">
        <f>IF($S161="","",IF(N($T161)&gt;0,AVERAGEIFS($V$5:$V$1000,$R$5:$R$1000,ROW(),$S$5:$S$1000,"Sub"),$V161))</f>
        <v/>
      </c>
      <c r="AA161" s="70">
        <f>IF($S161="","",IF(N($T161)&gt;0,AVERAGEIFS($W$5:$W$1000,$R$5:$R$1000,ROW(),$S$5:$S$1000,"Sub"),$W161))</f>
        <v/>
      </c>
      <c r="AB161" s="70">
        <f>IF($S161="","",IF(N($T161)&gt;0,AVERAGEIFS($X$5:$X$1000,$R$5:$R$1000,ROW(),$S$5:$S$1000,"Sub"),$X161))</f>
        <v/>
      </c>
    </row>
    <row r="162">
      <c r="A162" s="61">
        <f>IF(NOT((COUNTA($B162:$K162)+COUNTA($N162))&gt;0),"",IF($S162="Macro",COUNTIFS($S$5:$S162,"Macro",$P$5:$P162,$P162),IF(N($R162)=0,"?",COUNTIFS(INDEX($S$5:$S$1000,1):INDEX($S$5:$S$1000,$R162-4),"Macro",INDEX($P$5:$P$1000,1):INDEX($P$5:$P$1000,$R162-4),INDEX($P$5:$P$1000,$R162-4))&amp;"."&amp;COUNTIFS($R$5:$R162,$R162,$S$5:$S162,"Sub"))))</f>
        <v/>
      </c>
      <c r="B162" s="62" t="n"/>
      <c r="C162" s="63" t="n"/>
      <c r="D162" s="62" t="n"/>
      <c r="E162" s="64" t="n"/>
      <c r="F162" s="64" t="n"/>
      <c r="G162" s="65" t="n"/>
      <c r="H162" s="66" t="n"/>
      <c r="I162" s="66" t="n"/>
      <c r="J162" s="66" t="n"/>
      <c r="K162" s="66" t="n"/>
      <c r="L162" s="67">
        <f>IF(NOT((COUNTA($B162:$K162)+COUNTA($N162))&gt;0),"",IF(N($T162)&gt;0,$AB162,IFERROR(LOOKUP(2,1/(H162:K162&lt;&gt;""),H162:K162),0)))</f>
        <v/>
      </c>
      <c r="M162" s="61">
        <f>IF(L162="","",IF(L162&gt;=1,"Completado",IF(L162&gt;0,"En curso","Pendiente")))</f>
        <v/>
      </c>
      <c r="N162" s="62" t="n"/>
      <c r="O162" s="68">
        <f>IF(NOT((COUNTA($B162:$K162)+COUNTA($N162))&gt;0),"",IF((IF(AND($S162="Macro",$B162=""),"Macroactividad vacía"&amp;" · ","")&amp;IF(AND($B162&lt;&gt;"",$C162&lt;&gt;""),"Escriba la subactividad en otra fila, debajo de su macroactividad"&amp;" · ","")&amp;IF(AND($S162="Sub",N($R162)=0),"Subactividad sin macroactividad arriba"&amp;" · ","")&amp;IF($D162="","Sin responsable"&amp;" · ","")&amp;IF($E162="","Sin fecha de inicio"&amp;" · ","")&amp;IF($F162="","Sin fecha límite"&amp;" · ","")&amp;IF(OR(AND($E162&lt;&gt;"",NOT(ISNUMBER($E162))),AND($F162&lt;&gt;"",NOT(ISNUMBER($F162)))),"Fecha no válida"&amp;" · ","")&amp;IF(AND(ISNUMBER($E162),ISNUMBER($F162),$E162&gt;$F162),"Inicio posterior a fecha límite"&amp;" · ","")&amp;IF(AND($S162="Macro",$G162=""),"Peso vacío"&amp;" · ","")&amp;IF(AND($S162="Macro",$G162&lt;&gt;"",OR(NOT(ISNUMBER($G162)),$G162&lt;=0,$G162&gt;1)),"Peso fuera de rango"&amp;" · ","")&amp;IF(AND($S162="Sub",$G162&lt;&gt;""),"Las subactividades no llevan peso"&amp;" · ","")&amp;IF(AND($S162="Macro",ABS(SUMIFS($G$5:$G$1000,$P$5:$P$1000,$P162,$S$5:$S$1000,"Macro")-1)&gt;0.0001),"Pesos del mes suman "&amp;TEXT(SUMIFS($G$5:$G$1000,$P$5:$P$1000,$P162,$S$5:$S$1000,"Macro"),"0%")&amp;" · ","")&amp;IF(AND(N($T162)&gt;0,COUNT($H162:$K162)&gt;0),"Con subactividades: deje vacías las semanas (se calculan solas)"&amp;" · ","")&amp;IF((COUNTIF($H162:$K162,"&gt;1")+COUNTIF($H162:$K162,"&lt;0")+COUNTA($H162:$K162)-COUNT($H162:$K162))&gt;0,"Avance fuera de rango 0-100%"&amp;" · ","")&amp;IF(OR(AND($I162&lt;&gt;"",$I162&lt;$H162),AND($J162&lt;&gt;"",$J162&lt;MAX($H162:$I162)),AND($K162&lt;&gt;"",$K162&lt;MAX($H162:$J162))),"Avance semanal decreciente"&amp;" · ","")&amp;IF(AND(ISNUMBER($F162),$F162&lt;FechaRef,N($L162)&lt;1),"Vencida"&amp;" · ","")&amp;IF(AND(ObsObligatoria="Sí",ISNUMBER($F162),$F162&lt;FechaRef,N($L162)&lt;1,$N162=""),"Vencida sin observación"&amp;" · ",""))="","✔ OK","⚠ "&amp;LEFT(IF(AND($S162="Macro",$B162=""),"Macroactividad vacía"&amp;" · ","")&amp;IF(AND($B162&lt;&gt;"",$C162&lt;&gt;""),"Escriba la subactividad en otra fila, debajo de su macroactividad"&amp;" · ","")&amp;IF(AND($S162="Sub",N($R162)=0),"Subactividad sin macroactividad arriba"&amp;" · ","")&amp;IF($D162="","Sin responsable"&amp;" · ","")&amp;IF($E162="","Sin fecha de inicio"&amp;" · ","")&amp;IF($F162="","Sin fecha límite"&amp;" · ","")&amp;IF(OR(AND($E162&lt;&gt;"",NOT(ISNUMBER($E162))),AND($F162&lt;&gt;"",NOT(ISNUMBER($F162)))),"Fecha no válida"&amp;" · ","")&amp;IF(AND(ISNUMBER($E162),ISNUMBER($F162),$E162&gt;$F162),"Inicio posterior a fecha límite"&amp;" · ","")&amp;IF(AND($S162="Macro",$G162=""),"Peso vacío"&amp;" · ","")&amp;IF(AND($S162="Macro",$G162&lt;&gt;"",OR(NOT(ISNUMBER($G162)),$G162&lt;=0,$G162&gt;1)),"Peso fuera de rango"&amp;" · ","")&amp;IF(AND($S162="Sub",$G162&lt;&gt;""),"Las subactividades no llevan peso"&amp;" · ","")&amp;IF(AND($S162="Macro",ABS(SUMIFS($G$5:$G$1000,$P$5:$P$1000,$P162,$S$5:$S$1000,"Macro")-1)&gt;0.0001),"Pesos del mes suman "&amp;TEXT(SUMIFS($G$5:$G$1000,$P$5:$P$1000,$P162,$S$5:$S$1000,"Macro"),"0%")&amp;" · ","")&amp;IF(AND(N($T162)&gt;0,COUNT($H162:$K162)&gt;0),"Con subactividades: deje vacías las semanas (se calculan solas)"&amp;" · ","")&amp;IF((COUNTIF($H162:$K162,"&gt;1")+COUNTIF($H162:$K162,"&lt;0")+COUNTA($H162:$K162)-COUNT($H162:$K162))&gt;0,"Avance fuera de rango 0-100%"&amp;" · ","")&amp;IF(OR(AND($I162&lt;&gt;"",$I162&lt;$H162),AND($J162&lt;&gt;"",$J162&lt;MAX($H162:$I162)),AND($K162&lt;&gt;"",$K162&lt;MAX($H162:$J162))),"Avance semanal decreciente"&amp;" · ","")&amp;IF(AND(ISNUMBER($F162),$F162&lt;FechaRef,N($L162)&lt;1),"Vencida"&amp;" · ","")&amp;IF(AND(ObsObligatoria="Sí",ISNUMBER($F162),$F162&lt;FechaRef,N($L162)&lt;1,$N162=""),"Vencida sin observación"&amp;" · ",""),LEN(IF(AND($S162="Macro",$B162=""),"Macroactividad vacía"&amp;" · ","")&amp;IF(AND($B162&lt;&gt;"",$C162&lt;&gt;""),"Escriba la subactividad en otra fila, debajo de su macroactividad"&amp;" · ","")&amp;IF(AND($S162="Sub",N($R162)=0),"Subactividad sin macroactividad arriba"&amp;" · ","")&amp;IF($D162="","Sin responsable"&amp;" · ","")&amp;IF($E162="","Sin fecha de inicio"&amp;" · ","")&amp;IF($F162="","Sin fecha límite"&amp;" · ","")&amp;IF(OR(AND($E162&lt;&gt;"",NOT(ISNUMBER($E162))),AND($F162&lt;&gt;"",NOT(ISNUMBER($F162)))),"Fecha no válida"&amp;" · ","")&amp;IF(AND(ISNUMBER($E162),ISNUMBER($F162),$E162&gt;$F162),"Inicio posterior a fecha límite"&amp;" · ","")&amp;IF(AND($S162="Macro",$G162=""),"Peso vacío"&amp;" · ","")&amp;IF(AND($S162="Macro",$G162&lt;&gt;"",OR(NOT(ISNUMBER($G162)),$G162&lt;=0,$G162&gt;1)),"Peso fuera de rango"&amp;" · ","")&amp;IF(AND($S162="Sub",$G162&lt;&gt;""),"Las subactividades no llevan peso"&amp;" · ","")&amp;IF(AND($S162="Macro",ABS(SUMIFS($G$5:$G$1000,$P$5:$P$1000,$P162,$S$5:$S$1000,"Macro")-1)&gt;0.0001),"Pesos del mes suman "&amp;TEXT(SUMIFS($G$5:$G$1000,$P$5:$P$1000,$P162,$S$5:$S$1000,"Macro"),"0%")&amp;" · ","")&amp;IF(AND(N($T162)&gt;0,COUNT($H162:$K162)&gt;0),"Con subactividades: deje vacías las semanas (se calculan solas)"&amp;" · ","")&amp;IF((COUNTIF($H162:$K162,"&gt;1")+COUNTIF($H162:$K162,"&lt;0")+COUNTA($H162:$K162)-COUNT($H162:$K162))&gt;0,"Avance fuera de rango 0-100%"&amp;" · ","")&amp;IF(OR(AND($I162&lt;&gt;"",$I162&lt;$H162),AND($J162&lt;&gt;"",$J162&lt;MAX($H162:$I162)),AND($K162&lt;&gt;"",$K162&lt;MAX($H162:$J162))),"Avance semanal decreciente"&amp;" · ","")&amp;IF(AND(ISNUMBER($F162),$F162&lt;FechaRef,N($L162)&lt;1),"Vencida"&amp;" · ","")&amp;IF(AND(ObsObligatoria="Sí",ISNUMBER($F162),$F162&lt;FechaRef,N($L162)&lt;1,$N162=""),"Vencida sin observación"&amp;" · ",""))-3)))</f>
        <v/>
      </c>
      <c r="P162" s="69">
        <f>IF(NOT((COUNTA($B162:$K162)+COUNTA($N162))&gt;0),"",IF(AND($S162="Sub",N($R162)&gt;0),IF(ISNUMBER(INDEX($E$5:$E$1000,$R162-4)),DATE(YEAR(INDEX($E$5:$E$1000,$R162-4)),MONTH(INDEX($E$5:$E$1000,$R162-4)),1),IF(ISNUMBER(INDEX($F$5:$F$1000,$R162-4)),DATE(YEAR(INDEX($F$5:$F$1000,$R162-4)),MONTH(INDEX($F$5:$F$1000,$R162-4)),1),MesCiclo)),IF(ISNUMBER($E162),DATE(YEAR($E162),MONTH($E162),1),IF(ISNUMBER($F162),DATE(YEAR($F162),MONTH($F162),1),MesCiclo))))</f>
        <v/>
      </c>
      <c r="Q162" s="70">
        <f>IF(OR($P162="",$P162&lt;&gt;MesCiclo),"",COUNTIF($P$5:$P162,MesCiclo))</f>
        <v/>
      </c>
      <c r="R162" s="70">
        <f>IF($S162="","",IF($S162="Macro",ROW(),IFERROR(LOOKUP(2,1/($S$5:$S162="Macro"),ROW($S$5:$S162)),0)))</f>
        <v/>
      </c>
      <c r="S162" s="70">
        <f>IF(NOT((COUNTA($B162:$K162)+COUNTA($N162))&gt;0),"",IF($B162&lt;&gt;"","Macro",IF($C162&lt;&gt;"","Sub","Macro")))</f>
        <v/>
      </c>
      <c r="T162" s="70">
        <f>IF($S162="Macro",COUNTIFS($R$5:$R$1000,ROW(),$S$5:$S$1000,"Sub"),"")</f>
        <v/>
      </c>
      <c r="U162" s="70">
        <f>IF($S162="","",IF(ISNUMBER($H162),$H162,0))</f>
        <v/>
      </c>
      <c r="V162" s="70">
        <f>IF($S162="","",IF(ISNUMBER($I162),$I162,$U162))</f>
        <v/>
      </c>
      <c r="W162" s="70">
        <f>IF($S162="","",IF(ISNUMBER($J162),$J162,$V162))</f>
        <v/>
      </c>
      <c r="X162" s="70">
        <f>IF($S162="","",IF(ISNUMBER($K162),$K162,$W162))</f>
        <v/>
      </c>
      <c r="Y162" s="70">
        <f>IF($S162="","",IF(N($T162)&gt;0,AVERAGEIFS($U$5:$U$1000,$R$5:$R$1000,ROW(),$S$5:$S$1000,"Sub"),$U162))</f>
        <v/>
      </c>
      <c r="Z162" s="70">
        <f>IF($S162="","",IF(N($T162)&gt;0,AVERAGEIFS($V$5:$V$1000,$R$5:$R$1000,ROW(),$S$5:$S$1000,"Sub"),$V162))</f>
        <v/>
      </c>
      <c r="AA162" s="70">
        <f>IF($S162="","",IF(N($T162)&gt;0,AVERAGEIFS($W$5:$W$1000,$R$5:$R$1000,ROW(),$S$5:$S$1000,"Sub"),$W162))</f>
        <v/>
      </c>
      <c r="AB162" s="70">
        <f>IF($S162="","",IF(N($T162)&gt;0,AVERAGEIFS($X$5:$X$1000,$R$5:$R$1000,ROW(),$S$5:$S$1000,"Sub"),$X162))</f>
        <v/>
      </c>
    </row>
    <row r="163">
      <c r="A163" s="61">
        <f>IF(NOT((COUNTA($B163:$K163)+COUNTA($N163))&gt;0),"",IF($S163="Macro",COUNTIFS($S$5:$S163,"Macro",$P$5:$P163,$P163),IF(N($R163)=0,"?",COUNTIFS(INDEX($S$5:$S$1000,1):INDEX($S$5:$S$1000,$R163-4),"Macro",INDEX($P$5:$P$1000,1):INDEX($P$5:$P$1000,$R163-4),INDEX($P$5:$P$1000,$R163-4))&amp;"."&amp;COUNTIFS($R$5:$R163,$R163,$S$5:$S163,"Sub"))))</f>
        <v/>
      </c>
      <c r="B163" s="62" t="n"/>
      <c r="C163" s="63" t="n"/>
      <c r="D163" s="62" t="n"/>
      <c r="E163" s="64" t="n"/>
      <c r="F163" s="64" t="n"/>
      <c r="G163" s="65" t="n"/>
      <c r="H163" s="66" t="n"/>
      <c r="I163" s="66" t="n"/>
      <c r="J163" s="66" t="n"/>
      <c r="K163" s="66" t="n"/>
      <c r="L163" s="67">
        <f>IF(NOT((COUNTA($B163:$K163)+COUNTA($N163))&gt;0),"",IF(N($T163)&gt;0,$AB163,IFERROR(LOOKUP(2,1/(H163:K163&lt;&gt;""),H163:K163),0)))</f>
        <v/>
      </c>
      <c r="M163" s="61">
        <f>IF(L163="","",IF(L163&gt;=1,"Completado",IF(L163&gt;0,"En curso","Pendiente")))</f>
        <v/>
      </c>
      <c r="N163" s="62" t="n"/>
      <c r="O163" s="68">
        <f>IF(NOT((COUNTA($B163:$K163)+COUNTA($N163))&gt;0),"",IF((IF(AND($S163="Macro",$B163=""),"Macroactividad vacía"&amp;" · ","")&amp;IF(AND($B163&lt;&gt;"",$C163&lt;&gt;""),"Escriba la subactividad en otra fila, debajo de su macroactividad"&amp;" · ","")&amp;IF(AND($S163="Sub",N($R163)=0),"Subactividad sin macroactividad arriba"&amp;" · ","")&amp;IF($D163="","Sin responsable"&amp;" · ","")&amp;IF($E163="","Sin fecha de inicio"&amp;" · ","")&amp;IF($F163="","Sin fecha límite"&amp;" · ","")&amp;IF(OR(AND($E163&lt;&gt;"",NOT(ISNUMBER($E163))),AND($F163&lt;&gt;"",NOT(ISNUMBER($F163)))),"Fecha no válida"&amp;" · ","")&amp;IF(AND(ISNUMBER($E163),ISNUMBER($F163),$E163&gt;$F163),"Inicio posterior a fecha límite"&amp;" · ","")&amp;IF(AND($S163="Macro",$G163=""),"Peso vacío"&amp;" · ","")&amp;IF(AND($S163="Macro",$G163&lt;&gt;"",OR(NOT(ISNUMBER($G163)),$G163&lt;=0,$G163&gt;1)),"Peso fuera de rango"&amp;" · ","")&amp;IF(AND($S163="Sub",$G163&lt;&gt;""),"Las subactividades no llevan peso"&amp;" · ","")&amp;IF(AND($S163="Macro",ABS(SUMIFS($G$5:$G$1000,$P$5:$P$1000,$P163,$S$5:$S$1000,"Macro")-1)&gt;0.0001),"Pesos del mes suman "&amp;TEXT(SUMIFS($G$5:$G$1000,$P$5:$P$1000,$P163,$S$5:$S$1000,"Macro"),"0%")&amp;" · ","")&amp;IF(AND(N($T163)&gt;0,COUNT($H163:$K163)&gt;0),"Con subactividades: deje vacías las semanas (se calculan solas)"&amp;" · ","")&amp;IF((COUNTIF($H163:$K163,"&gt;1")+COUNTIF($H163:$K163,"&lt;0")+COUNTA($H163:$K163)-COUNT($H163:$K163))&gt;0,"Avance fuera de rango 0-100%"&amp;" · ","")&amp;IF(OR(AND($I163&lt;&gt;"",$I163&lt;$H163),AND($J163&lt;&gt;"",$J163&lt;MAX($H163:$I163)),AND($K163&lt;&gt;"",$K163&lt;MAX($H163:$J163))),"Avance semanal decreciente"&amp;" · ","")&amp;IF(AND(ISNUMBER($F163),$F163&lt;FechaRef,N($L163)&lt;1),"Vencida"&amp;" · ","")&amp;IF(AND(ObsObligatoria="Sí",ISNUMBER($F163),$F163&lt;FechaRef,N($L163)&lt;1,$N163=""),"Vencida sin observación"&amp;" · ",""))="","✔ OK","⚠ "&amp;LEFT(IF(AND($S163="Macro",$B163=""),"Macroactividad vacía"&amp;" · ","")&amp;IF(AND($B163&lt;&gt;"",$C163&lt;&gt;""),"Escriba la subactividad en otra fila, debajo de su macroactividad"&amp;" · ","")&amp;IF(AND($S163="Sub",N($R163)=0),"Subactividad sin macroactividad arriba"&amp;" · ","")&amp;IF($D163="","Sin responsable"&amp;" · ","")&amp;IF($E163="","Sin fecha de inicio"&amp;" · ","")&amp;IF($F163="","Sin fecha límite"&amp;" · ","")&amp;IF(OR(AND($E163&lt;&gt;"",NOT(ISNUMBER($E163))),AND($F163&lt;&gt;"",NOT(ISNUMBER($F163)))),"Fecha no válida"&amp;" · ","")&amp;IF(AND(ISNUMBER($E163),ISNUMBER($F163),$E163&gt;$F163),"Inicio posterior a fecha límite"&amp;" · ","")&amp;IF(AND($S163="Macro",$G163=""),"Peso vacío"&amp;" · ","")&amp;IF(AND($S163="Macro",$G163&lt;&gt;"",OR(NOT(ISNUMBER($G163)),$G163&lt;=0,$G163&gt;1)),"Peso fuera de rango"&amp;" · ","")&amp;IF(AND($S163="Sub",$G163&lt;&gt;""),"Las subactividades no llevan peso"&amp;" · ","")&amp;IF(AND($S163="Macro",ABS(SUMIFS($G$5:$G$1000,$P$5:$P$1000,$P163,$S$5:$S$1000,"Macro")-1)&gt;0.0001),"Pesos del mes suman "&amp;TEXT(SUMIFS($G$5:$G$1000,$P$5:$P$1000,$P163,$S$5:$S$1000,"Macro"),"0%")&amp;" · ","")&amp;IF(AND(N($T163)&gt;0,COUNT($H163:$K163)&gt;0),"Con subactividades: deje vacías las semanas (se calculan solas)"&amp;" · ","")&amp;IF((COUNTIF($H163:$K163,"&gt;1")+COUNTIF($H163:$K163,"&lt;0")+COUNTA($H163:$K163)-COUNT($H163:$K163))&gt;0,"Avance fuera de rango 0-100%"&amp;" · ","")&amp;IF(OR(AND($I163&lt;&gt;"",$I163&lt;$H163),AND($J163&lt;&gt;"",$J163&lt;MAX($H163:$I163)),AND($K163&lt;&gt;"",$K163&lt;MAX($H163:$J163))),"Avance semanal decreciente"&amp;" · ","")&amp;IF(AND(ISNUMBER($F163),$F163&lt;FechaRef,N($L163)&lt;1),"Vencida"&amp;" · ","")&amp;IF(AND(ObsObligatoria="Sí",ISNUMBER($F163),$F163&lt;FechaRef,N($L163)&lt;1,$N163=""),"Vencida sin observación"&amp;" · ",""),LEN(IF(AND($S163="Macro",$B163=""),"Macroactividad vacía"&amp;" · ","")&amp;IF(AND($B163&lt;&gt;"",$C163&lt;&gt;""),"Escriba la subactividad en otra fila, debajo de su macroactividad"&amp;" · ","")&amp;IF(AND($S163="Sub",N($R163)=0),"Subactividad sin macroactividad arriba"&amp;" · ","")&amp;IF($D163="","Sin responsable"&amp;" · ","")&amp;IF($E163="","Sin fecha de inicio"&amp;" · ","")&amp;IF($F163="","Sin fecha límite"&amp;" · ","")&amp;IF(OR(AND($E163&lt;&gt;"",NOT(ISNUMBER($E163))),AND($F163&lt;&gt;"",NOT(ISNUMBER($F163)))),"Fecha no válida"&amp;" · ","")&amp;IF(AND(ISNUMBER($E163),ISNUMBER($F163),$E163&gt;$F163),"Inicio posterior a fecha límite"&amp;" · ","")&amp;IF(AND($S163="Macro",$G163=""),"Peso vacío"&amp;" · ","")&amp;IF(AND($S163="Macro",$G163&lt;&gt;"",OR(NOT(ISNUMBER($G163)),$G163&lt;=0,$G163&gt;1)),"Peso fuera de rango"&amp;" · ","")&amp;IF(AND($S163="Sub",$G163&lt;&gt;""),"Las subactividades no llevan peso"&amp;" · ","")&amp;IF(AND($S163="Macro",ABS(SUMIFS($G$5:$G$1000,$P$5:$P$1000,$P163,$S$5:$S$1000,"Macro")-1)&gt;0.0001),"Pesos del mes suman "&amp;TEXT(SUMIFS($G$5:$G$1000,$P$5:$P$1000,$P163,$S$5:$S$1000,"Macro"),"0%")&amp;" · ","")&amp;IF(AND(N($T163)&gt;0,COUNT($H163:$K163)&gt;0),"Con subactividades: deje vacías las semanas (se calculan solas)"&amp;" · ","")&amp;IF((COUNTIF($H163:$K163,"&gt;1")+COUNTIF($H163:$K163,"&lt;0")+COUNTA($H163:$K163)-COUNT($H163:$K163))&gt;0,"Avance fuera de rango 0-100%"&amp;" · ","")&amp;IF(OR(AND($I163&lt;&gt;"",$I163&lt;$H163),AND($J163&lt;&gt;"",$J163&lt;MAX($H163:$I163)),AND($K163&lt;&gt;"",$K163&lt;MAX($H163:$J163))),"Avance semanal decreciente"&amp;" · ","")&amp;IF(AND(ISNUMBER($F163),$F163&lt;FechaRef,N($L163)&lt;1),"Vencida"&amp;" · ","")&amp;IF(AND(ObsObligatoria="Sí",ISNUMBER($F163),$F163&lt;FechaRef,N($L163)&lt;1,$N163=""),"Vencida sin observación"&amp;" · ",""))-3)))</f>
        <v/>
      </c>
      <c r="P163" s="69">
        <f>IF(NOT((COUNTA($B163:$K163)+COUNTA($N163))&gt;0),"",IF(AND($S163="Sub",N($R163)&gt;0),IF(ISNUMBER(INDEX($E$5:$E$1000,$R163-4)),DATE(YEAR(INDEX($E$5:$E$1000,$R163-4)),MONTH(INDEX($E$5:$E$1000,$R163-4)),1),IF(ISNUMBER(INDEX($F$5:$F$1000,$R163-4)),DATE(YEAR(INDEX($F$5:$F$1000,$R163-4)),MONTH(INDEX($F$5:$F$1000,$R163-4)),1),MesCiclo)),IF(ISNUMBER($E163),DATE(YEAR($E163),MONTH($E163),1),IF(ISNUMBER($F163),DATE(YEAR($F163),MONTH($F163),1),MesCiclo))))</f>
        <v/>
      </c>
      <c r="Q163" s="70">
        <f>IF(OR($P163="",$P163&lt;&gt;MesCiclo),"",COUNTIF($P$5:$P163,MesCiclo))</f>
        <v/>
      </c>
      <c r="R163" s="70">
        <f>IF($S163="","",IF($S163="Macro",ROW(),IFERROR(LOOKUP(2,1/($S$5:$S163="Macro"),ROW($S$5:$S163)),0)))</f>
        <v/>
      </c>
      <c r="S163" s="70">
        <f>IF(NOT((COUNTA($B163:$K163)+COUNTA($N163))&gt;0),"",IF($B163&lt;&gt;"","Macro",IF($C163&lt;&gt;"","Sub","Macro")))</f>
        <v/>
      </c>
      <c r="T163" s="70">
        <f>IF($S163="Macro",COUNTIFS($R$5:$R$1000,ROW(),$S$5:$S$1000,"Sub"),"")</f>
        <v/>
      </c>
      <c r="U163" s="70">
        <f>IF($S163="","",IF(ISNUMBER($H163),$H163,0))</f>
        <v/>
      </c>
      <c r="V163" s="70">
        <f>IF($S163="","",IF(ISNUMBER($I163),$I163,$U163))</f>
        <v/>
      </c>
      <c r="W163" s="70">
        <f>IF($S163="","",IF(ISNUMBER($J163),$J163,$V163))</f>
        <v/>
      </c>
      <c r="X163" s="70">
        <f>IF($S163="","",IF(ISNUMBER($K163),$K163,$W163))</f>
        <v/>
      </c>
      <c r="Y163" s="70">
        <f>IF($S163="","",IF(N($T163)&gt;0,AVERAGEIFS($U$5:$U$1000,$R$5:$R$1000,ROW(),$S$5:$S$1000,"Sub"),$U163))</f>
        <v/>
      </c>
      <c r="Z163" s="70">
        <f>IF($S163="","",IF(N($T163)&gt;0,AVERAGEIFS($V$5:$V$1000,$R$5:$R$1000,ROW(),$S$5:$S$1000,"Sub"),$V163))</f>
        <v/>
      </c>
      <c r="AA163" s="70">
        <f>IF($S163="","",IF(N($T163)&gt;0,AVERAGEIFS($W$5:$W$1000,$R$5:$R$1000,ROW(),$S$5:$S$1000,"Sub"),$W163))</f>
        <v/>
      </c>
      <c r="AB163" s="70">
        <f>IF($S163="","",IF(N($T163)&gt;0,AVERAGEIFS($X$5:$X$1000,$R$5:$R$1000,ROW(),$S$5:$S$1000,"Sub"),$X163))</f>
        <v/>
      </c>
    </row>
    <row r="164">
      <c r="A164" s="61">
        <f>IF(NOT((COUNTA($B164:$K164)+COUNTA($N164))&gt;0),"",IF($S164="Macro",COUNTIFS($S$5:$S164,"Macro",$P$5:$P164,$P164),IF(N($R164)=0,"?",COUNTIFS(INDEX($S$5:$S$1000,1):INDEX($S$5:$S$1000,$R164-4),"Macro",INDEX($P$5:$P$1000,1):INDEX($P$5:$P$1000,$R164-4),INDEX($P$5:$P$1000,$R164-4))&amp;"."&amp;COUNTIFS($R$5:$R164,$R164,$S$5:$S164,"Sub"))))</f>
        <v/>
      </c>
      <c r="B164" s="62" t="n"/>
      <c r="C164" s="63" t="n"/>
      <c r="D164" s="62" t="n"/>
      <c r="E164" s="64" t="n"/>
      <c r="F164" s="64" t="n"/>
      <c r="G164" s="65" t="n"/>
      <c r="H164" s="66" t="n"/>
      <c r="I164" s="66" t="n"/>
      <c r="J164" s="66" t="n"/>
      <c r="K164" s="66" t="n"/>
      <c r="L164" s="67">
        <f>IF(NOT((COUNTA($B164:$K164)+COUNTA($N164))&gt;0),"",IF(N($T164)&gt;0,$AB164,IFERROR(LOOKUP(2,1/(H164:K164&lt;&gt;""),H164:K164),0)))</f>
        <v/>
      </c>
      <c r="M164" s="61">
        <f>IF(L164="","",IF(L164&gt;=1,"Completado",IF(L164&gt;0,"En curso","Pendiente")))</f>
        <v/>
      </c>
      <c r="N164" s="62" t="n"/>
      <c r="O164" s="68">
        <f>IF(NOT((COUNTA($B164:$K164)+COUNTA($N164))&gt;0),"",IF((IF(AND($S164="Macro",$B164=""),"Macroactividad vacía"&amp;" · ","")&amp;IF(AND($B164&lt;&gt;"",$C164&lt;&gt;""),"Escriba la subactividad en otra fila, debajo de su macroactividad"&amp;" · ","")&amp;IF(AND($S164="Sub",N($R164)=0),"Subactividad sin macroactividad arriba"&amp;" · ","")&amp;IF($D164="","Sin responsable"&amp;" · ","")&amp;IF($E164="","Sin fecha de inicio"&amp;" · ","")&amp;IF($F164="","Sin fecha límite"&amp;" · ","")&amp;IF(OR(AND($E164&lt;&gt;"",NOT(ISNUMBER($E164))),AND($F164&lt;&gt;"",NOT(ISNUMBER($F164)))),"Fecha no válida"&amp;" · ","")&amp;IF(AND(ISNUMBER($E164),ISNUMBER($F164),$E164&gt;$F164),"Inicio posterior a fecha límite"&amp;" · ","")&amp;IF(AND($S164="Macro",$G164=""),"Peso vacío"&amp;" · ","")&amp;IF(AND($S164="Macro",$G164&lt;&gt;"",OR(NOT(ISNUMBER($G164)),$G164&lt;=0,$G164&gt;1)),"Peso fuera de rango"&amp;" · ","")&amp;IF(AND($S164="Sub",$G164&lt;&gt;""),"Las subactividades no llevan peso"&amp;" · ","")&amp;IF(AND($S164="Macro",ABS(SUMIFS($G$5:$G$1000,$P$5:$P$1000,$P164,$S$5:$S$1000,"Macro")-1)&gt;0.0001),"Pesos del mes suman "&amp;TEXT(SUMIFS($G$5:$G$1000,$P$5:$P$1000,$P164,$S$5:$S$1000,"Macro"),"0%")&amp;" · ","")&amp;IF(AND(N($T164)&gt;0,COUNT($H164:$K164)&gt;0),"Con subactividades: deje vacías las semanas (se calculan solas)"&amp;" · ","")&amp;IF((COUNTIF($H164:$K164,"&gt;1")+COUNTIF($H164:$K164,"&lt;0")+COUNTA($H164:$K164)-COUNT($H164:$K164))&gt;0,"Avance fuera de rango 0-100%"&amp;" · ","")&amp;IF(OR(AND($I164&lt;&gt;"",$I164&lt;$H164),AND($J164&lt;&gt;"",$J164&lt;MAX($H164:$I164)),AND($K164&lt;&gt;"",$K164&lt;MAX($H164:$J164))),"Avance semanal decreciente"&amp;" · ","")&amp;IF(AND(ISNUMBER($F164),$F164&lt;FechaRef,N($L164)&lt;1),"Vencida"&amp;" · ","")&amp;IF(AND(ObsObligatoria="Sí",ISNUMBER($F164),$F164&lt;FechaRef,N($L164)&lt;1,$N164=""),"Vencida sin observación"&amp;" · ",""))="","✔ OK","⚠ "&amp;LEFT(IF(AND($S164="Macro",$B164=""),"Macroactividad vacía"&amp;" · ","")&amp;IF(AND($B164&lt;&gt;"",$C164&lt;&gt;""),"Escriba la subactividad en otra fila, debajo de su macroactividad"&amp;" · ","")&amp;IF(AND($S164="Sub",N($R164)=0),"Subactividad sin macroactividad arriba"&amp;" · ","")&amp;IF($D164="","Sin responsable"&amp;" · ","")&amp;IF($E164="","Sin fecha de inicio"&amp;" · ","")&amp;IF($F164="","Sin fecha límite"&amp;" · ","")&amp;IF(OR(AND($E164&lt;&gt;"",NOT(ISNUMBER($E164))),AND($F164&lt;&gt;"",NOT(ISNUMBER($F164)))),"Fecha no válida"&amp;" · ","")&amp;IF(AND(ISNUMBER($E164),ISNUMBER($F164),$E164&gt;$F164),"Inicio posterior a fecha límite"&amp;" · ","")&amp;IF(AND($S164="Macro",$G164=""),"Peso vacío"&amp;" · ","")&amp;IF(AND($S164="Macro",$G164&lt;&gt;"",OR(NOT(ISNUMBER($G164)),$G164&lt;=0,$G164&gt;1)),"Peso fuera de rango"&amp;" · ","")&amp;IF(AND($S164="Sub",$G164&lt;&gt;""),"Las subactividades no llevan peso"&amp;" · ","")&amp;IF(AND($S164="Macro",ABS(SUMIFS($G$5:$G$1000,$P$5:$P$1000,$P164,$S$5:$S$1000,"Macro")-1)&gt;0.0001),"Pesos del mes suman "&amp;TEXT(SUMIFS($G$5:$G$1000,$P$5:$P$1000,$P164,$S$5:$S$1000,"Macro"),"0%")&amp;" · ","")&amp;IF(AND(N($T164)&gt;0,COUNT($H164:$K164)&gt;0),"Con subactividades: deje vacías las semanas (se calculan solas)"&amp;" · ","")&amp;IF((COUNTIF($H164:$K164,"&gt;1")+COUNTIF($H164:$K164,"&lt;0")+COUNTA($H164:$K164)-COUNT($H164:$K164))&gt;0,"Avance fuera de rango 0-100%"&amp;" · ","")&amp;IF(OR(AND($I164&lt;&gt;"",$I164&lt;$H164),AND($J164&lt;&gt;"",$J164&lt;MAX($H164:$I164)),AND($K164&lt;&gt;"",$K164&lt;MAX($H164:$J164))),"Avance semanal decreciente"&amp;" · ","")&amp;IF(AND(ISNUMBER($F164),$F164&lt;FechaRef,N($L164)&lt;1),"Vencida"&amp;" · ","")&amp;IF(AND(ObsObligatoria="Sí",ISNUMBER($F164),$F164&lt;FechaRef,N($L164)&lt;1,$N164=""),"Vencida sin observación"&amp;" · ",""),LEN(IF(AND($S164="Macro",$B164=""),"Macroactividad vacía"&amp;" · ","")&amp;IF(AND($B164&lt;&gt;"",$C164&lt;&gt;""),"Escriba la subactividad en otra fila, debajo de su macroactividad"&amp;" · ","")&amp;IF(AND($S164="Sub",N($R164)=0),"Subactividad sin macroactividad arriba"&amp;" · ","")&amp;IF($D164="","Sin responsable"&amp;" · ","")&amp;IF($E164="","Sin fecha de inicio"&amp;" · ","")&amp;IF($F164="","Sin fecha límite"&amp;" · ","")&amp;IF(OR(AND($E164&lt;&gt;"",NOT(ISNUMBER($E164))),AND($F164&lt;&gt;"",NOT(ISNUMBER($F164)))),"Fecha no válida"&amp;" · ","")&amp;IF(AND(ISNUMBER($E164),ISNUMBER($F164),$E164&gt;$F164),"Inicio posterior a fecha límite"&amp;" · ","")&amp;IF(AND($S164="Macro",$G164=""),"Peso vacío"&amp;" · ","")&amp;IF(AND($S164="Macro",$G164&lt;&gt;"",OR(NOT(ISNUMBER($G164)),$G164&lt;=0,$G164&gt;1)),"Peso fuera de rango"&amp;" · ","")&amp;IF(AND($S164="Sub",$G164&lt;&gt;""),"Las subactividades no llevan peso"&amp;" · ","")&amp;IF(AND($S164="Macro",ABS(SUMIFS($G$5:$G$1000,$P$5:$P$1000,$P164,$S$5:$S$1000,"Macro")-1)&gt;0.0001),"Pesos del mes suman "&amp;TEXT(SUMIFS($G$5:$G$1000,$P$5:$P$1000,$P164,$S$5:$S$1000,"Macro"),"0%")&amp;" · ","")&amp;IF(AND(N($T164)&gt;0,COUNT($H164:$K164)&gt;0),"Con subactividades: deje vacías las semanas (se calculan solas)"&amp;" · ","")&amp;IF((COUNTIF($H164:$K164,"&gt;1")+COUNTIF($H164:$K164,"&lt;0")+COUNTA($H164:$K164)-COUNT($H164:$K164))&gt;0,"Avance fuera de rango 0-100%"&amp;" · ","")&amp;IF(OR(AND($I164&lt;&gt;"",$I164&lt;$H164),AND($J164&lt;&gt;"",$J164&lt;MAX($H164:$I164)),AND($K164&lt;&gt;"",$K164&lt;MAX($H164:$J164))),"Avance semanal decreciente"&amp;" · ","")&amp;IF(AND(ISNUMBER($F164),$F164&lt;FechaRef,N($L164)&lt;1),"Vencida"&amp;" · ","")&amp;IF(AND(ObsObligatoria="Sí",ISNUMBER($F164),$F164&lt;FechaRef,N($L164)&lt;1,$N164=""),"Vencida sin observación"&amp;" · ",""))-3)))</f>
        <v/>
      </c>
      <c r="P164" s="69">
        <f>IF(NOT((COUNTA($B164:$K164)+COUNTA($N164))&gt;0),"",IF(AND($S164="Sub",N($R164)&gt;0),IF(ISNUMBER(INDEX($E$5:$E$1000,$R164-4)),DATE(YEAR(INDEX($E$5:$E$1000,$R164-4)),MONTH(INDEX($E$5:$E$1000,$R164-4)),1),IF(ISNUMBER(INDEX($F$5:$F$1000,$R164-4)),DATE(YEAR(INDEX($F$5:$F$1000,$R164-4)),MONTH(INDEX($F$5:$F$1000,$R164-4)),1),MesCiclo)),IF(ISNUMBER($E164),DATE(YEAR($E164),MONTH($E164),1),IF(ISNUMBER($F164),DATE(YEAR($F164),MONTH($F164),1),MesCiclo))))</f>
        <v/>
      </c>
      <c r="Q164" s="70">
        <f>IF(OR($P164="",$P164&lt;&gt;MesCiclo),"",COUNTIF($P$5:$P164,MesCiclo))</f>
        <v/>
      </c>
      <c r="R164" s="70">
        <f>IF($S164="","",IF($S164="Macro",ROW(),IFERROR(LOOKUP(2,1/($S$5:$S164="Macro"),ROW($S$5:$S164)),0)))</f>
        <v/>
      </c>
      <c r="S164" s="70">
        <f>IF(NOT((COUNTA($B164:$K164)+COUNTA($N164))&gt;0),"",IF($B164&lt;&gt;"","Macro",IF($C164&lt;&gt;"","Sub","Macro")))</f>
        <v/>
      </c>
      <c r="T164" s="70">
        <f>IF($S164="Macro",COUNTIFS($R$5:$R$1000,ROW(),$S$5:$S$1000,"Sub"),"")</f>
        <v/>
      </c>
      <c r="U164" s="70">
        <f>IF($S164="","",IF(ISNUMBER($H164),$H164,0))</f>
        <v/>
      </c>
      <c r="V164" s="70">
        <f>IF($S164="","",IF(ISNUMBER($I164),$I164,$U164))</f>
        <v/>
      </c>
      <c r="W164" s="70">
        <f>IF($S164="","",IF(ISNUMBER($J164),$J164,$V164))</f>
        <v/>
      </c>
      <c r="X164" s="70">
        <f>IF($S164="","",IF(ISNUMBER($K164),$K164,$W164))</f>
        <v/>
      </c>
      <c r="Y164" s="70">
        <f>IF($S164="","",IF(N($T164)&gt;0,AVERAGEIFS($U$5:$U$1000,$R$5:$R$1000,ROW(),$S$5:$S$1000,"Sub"),$U164))</f>
        <v/>
      </c>
      <c r="Z164" s="70">
        <f>IF($S164="","",IF(N($T164)&gt;0,AVERAGEIFS($V$5:$V$1000,$R$5:$R$1000,ROW(),$S$5:$S$1000,"Sub"),$V164))</f>
        <v/>
      </c>
      <c r="AA164" s="70">
        <f>IF($S164="","",IF(N($T164)&gt;0,AVERAGEIFS($W$5:$W$1000,$R$5:$R$1000,ROW(),$S$5:$S$1000,"Sub"),$W164))</f>
        <v/>
      </c>
      <c r="AB164" s="70">
        <f>IF($S164="","",IF(N($T164)&gt;0,AVERAGEIFS($X$5:$X$1000,$R$5:$R$1000,ROW(),$S$5:$S$1000,"Sub"),$X164))</f>
        <v/>
      </c>
    </row>
    <row r="165">
      <c r="A165" s="61">
        <f>IF(NOT((COUNTA($B165:$K165)+COUNTA($N165))&gt;0),"",IF($S165="Macro",COUNTIFS($S$5:$S165,"Macro",$P$5:$P165,$P165),IF(N($R165)=0,"?",COUNTIFS(INDEX($S$5:$S$1000,1):INDEX($S$5:$S$1000,$R165-4),"Macro",INDEX($P$5:$P$1000,1):INDEX($P$5:$P$1000,$R165-4),INDEX($P$5:$P$1000,$R165-4))&amp;"."&amp;COUNTIFS($R$5:$R165,$R165,$S$5:$S165,"Sub"))))</f>
        <v/>
      </c>
      <c r="B165" s="62" t="n"/>
      <c r="C165" s="63" t="n"/>
      <c r="D165" s="62" t="n"/>
      <c r="E165" s="64" t="n"/>
      <c r="F165" s="64" t="n"/>
      <c r="G165" s="65" t="n"/>
      <c r="H165" s="66" t="n"/>
      <c r="I165" s="66" t="n"/>
      <c r="J165" s="66" t="n"/>
      <c r="K165" s="66" t="n"/>
      <c r="L165" s="67">
        <f>IF(NOT((COUNTA($B165:$K165)+COUNTA($N165))&gt;0),"",IF(N($T165)&gt;0,$AB165,IFERROR(LOOKUP(2,1/(H165:K165&lt;&gt;""),H165:K165),0)))</f>
        <v/>
      </c>
      <c r="M165" s="61">
        <f>IF(L165="","",IF(L165&gt;=1,"Completado",IF(L165&gt;0,"En curso","Pendiente")))</f>
        <v/>
      </c>
      <c r="N165" s="62" t="n"/>
      <c r="O165" s="68">
        <f>IF(NOT((COUNTA($B165:$K165)+COUNTA($N165))&gt;0),"",IF((IF(AND($S165="Macro",$B165=""),"Macroactividad vacía"&amp;" · ","")&amp;IF(AND($B165&lt;&gt;"",$C165&lt;&gt;""),"Escriba la subactividad en otra fila, debajo de su macroactividad"&amp;" · ","")&amp;IF(AND($S165="Sub",N($R165)=0),"Subactividad sin macroactividad arriba"&amp;" · ","")&amp;IF($D165="","Sin responsable"&amp;" · ","")&amp;IF($E165="","Sin fecha de inicio"&amp;" · ","")&amp;IF($F165="","Sin fecha límite"&amp;" · ","")&amp;IF(OR(AND($E165&lt;&gt;"",NOT(ISNUMBER($E165))),AND($F165&lt;&gt;"",NOT(ISNUMBER($F165)))),"Fecha no válida"&amp;" · ","")&amp;IF(AND(ISNUMBER($E165),ISNUMBER($F165),$E165&gt;$F165),"Inicio posterior a fecha límite"&amp;" · ","")&amp;IF(AND($S165="Macro",$G165=""),"Peso vacío"&amp;" · ","")&amp;IF(AND($S165="Macro",$G165&lt;&gt;"",OR(NOT(ISNUMBER($G165)),$G165&lt;=0,$G165&gt;1)),"Peso fuera de rango"&amp;" · ","")&amp;IF(AND($S165="Sub",$G165&lt;&gt;""),"Las subactividades no llevan peso"&amp;" · ","")&amp;IF(AND($S165="Macro",ABS(SUMIFS($G$5:$G$1000,$P$5:$P$1000,$P165,$S$5:$S$1000,"Macro")-1)&gt;0.0001),"Pesos del mes suman "&amp;TEXT(SUMIFS($G$5:$G$1000,$P$5:$P$1000,$P165,$S$5:$S$1000,"Macro"),"0%")&amp;" · ","")&amp;IF(AND(N($T165)&gt;0,COUNT($H165:$K165)&gt;0),"Con subactividades: deje vacías las semanas (se calculan solas)"&amp;" · ","")&amp;IF((COUNTIF($H165:$K165,"&gt;1")+COUNTIF($H165:$K165,"&lt;0")+COUNTA($H165:$K165)-COUNT($H165:$K165))&gt;0,"Avance fuera de rango 0-100%"&amp;" · ","")&amp;IF(OR(AND($I165&lt;&gt;"",$I165&lt;$H165),AND($J165&lt;&gt;"",$J165&lt;MAX($H165:$I165)),AND($K165&lt;&gt;"",$K165&lt;MAX($H165:$J165))),"Avance semanal decreciente"&amp;" · ","")&amp;IF(AND(ISNUMBER($F165),$F165&lt;FechaRef,N($L165)&lt;1),"Vencida"&amp;" · ","")&amp;IF(AND(ObsObligatoria="Sí",ISNUMBER($F165),$F165&lt;FechaRef,N($L165)&lt;1,$N165=""),"Vencida sin observación"&amp;" · ",""))="","✔ OK","⚠ "&amp;LEFT(IF(AND($S165="Macro",$B165=""),"Macroactividad vacía"&amp;" · ","")&amp;IF(AND($B165&lt;&gt;"",$C165&lt;&gt;""),"Escriba la subactividad en otra fila, debajo de su macroactividad"&amp;" · ","")&amp;IF(AND($S165="Sub",N($R165)=0),"Subactividad sin macroactividad arriba"&amp;" · ","")&amp;IF($D165="","Sin responsable"&amp;" · ","")&amp;IF($E165="","Sin fecha de inicio"&amp;" · ","")&amp;IF($F165="","Sin fecha límite"&amp;" · ","")&amp;IF(OR(AND($E165&lt;&gt;"",NOT(ISNUMBER($E165))),AND($F165&lt;&gt;"",NOT(ISNUMBER($F165)))),"Fecha no válida"&amp;" · ","")&amp;IF(AND(ISNUMBER($E165),ISNUMBER($F165),$E165&gt;$F165),"Inicio posterior a fecha límite"&amp;" · ","")&amp;IF(AND($S165="Macro",$G165=""),"Peso vacío"&amp;" · ","")&amp;IF(AND($S165="Macro",$G165&lt;&gt;"",OR(NOT(ISNUMBER($G165)),$G165&lt;=0,$G165&gt;1)),"Peso fuera de rango"&amp;" · ","")&amp;IF(AND($S165="Sub",$G165&lt;&gt;""),"Las subactividades no llevan peso"&amp;" · ","")&amp;IF(AND($S165="Macro",ABS(SUMIFS($G$5:$G$1000,$P$5:$P$1000,$P165,$S$5:$S$1000,"Macro")-1)&gt;0.0001),"Pesos del mes suman "&amp;TEXT(SUMIFS($G$5:$G$1000,$P$5:$P$1000,$P165,$S$5:$S$1000,"Macro"),"0%")&amp;" · ","")&amp;IF(AND(N($T165)&gt;0,COUNT($H165:$K165)&gt;0),"Con subactividades: deje vacías las semanas (se calculan solas)"&amp;" · ","")&amp;IF((COUNTIF($H165:$K165,"&gt;1")+COUNTIF($H165:$K165,"&lt;0")+COUNTA($H165:$K165)-COUNT($H165:$K165))&gt;0,"Avance fuera de rango 0-100%"&amp;" · ","")&amp;IF(OR(AND($I165&lt;&gt;"",$I165&lt;$H165),AND($J165&lt;&gt;"",$J165&lt;MAX($H165:$I165)),AND($K165&lt;&gt;"",$K165&lt;MAX($H165:$J165))),"Avance semanal decreciente"&amp;" · ","")&amp;IF(AND(ISNUMBER($F165),$F165&lt;FechaRef,N($L165)&lt;1),"Vencida"&amp;" · ","")&amp;IF(AND(ObsObligatoria="Sí",ISNUMBER($F165),$F165&lt;FechaRef,N($L165)&lt;1,$N165=""),"Vencida sin observación"&amp;" · ",""),LEN(IF(AND($S165="Macro",$B165=""),"Macroactividad vacía"&amp;" · ","")&amp;IF(AND($B165&lt;&gt;"",$C165&lt;&gt;""),"Escriba la subactividad en otra fila, debajo de su macroactividad"&amp;" · ","")&amp;IF(AND($S165="Sub",N($R165)=0),"Subactividad sin macroactividad arriba"&amp;" · ","")&amp;IF($D165="","Sin responsable"&amp;" · ","")&amp;IF($E165="","Sin fecha de inicio"&amp;" · ","")&amp;IF($F165="","Sin fecha límite"&amp;" · ","")&amp;IF(OR(AND($E165&lt;&gt;"",NOT(ISNUMBER($E165))),AND($F165&lt;&gt;"",NOT(ISNUMBER($F165)))),"Fecha no válida"&amp;" · ","")&amp;IF(AND(ISNUMBER($E165),ISNUMBER($F165),$E165&gt;$F165),"Inicio posterior a fecha límite"&amp;" · ","")&amp;IF(AND($S165="Macro",$G165=""),"Peso vacío"&amp;" · ","")&amp;IF(AND($S165="Macro",$G165&lt;&gt;"",OR(NOT(ISNUMBER($G165)),$G165&lt;=0,$G165&gt;1)),"Peso fuera de rango"&amp;" · ","")&amp;IF(AND($S165="Sub",$G165&lt;&gt;""),"Las subactividades no llevan peso"&amp;" · ","")&amp;IF(AND($S165="Macro",ABS(SUMIFS($G$5:$G$1000,$P$5:$P$1000,$P165,$S$5:$S$1000,"Macro")-1)&gt;0.0001),"Pesos del mes suman "&amp;TEXT(SUMIFS($G$5:$G$1000,$P$5:$P$1000,$P165,$S$5:$S$1000,"Macro"),"0%")&amp;" · ","")&amp;IF(AND(N($T165)&gt;0,COUNT($H165:$K165)&gt;0),"Con subactividades: deje vacías las semanas (se calculan solas)"&amp;" · ","")&amp;IF((COUNTIF($H165:$K165,"&gt;1")+COUNTIF($H165:$K165,"&lt;0")+COUNTA($H165:$K165)-COUNT($H165:$K165))&gt;0,"Avance fuera de rango 0-100%"&amp;" · ","")&amp;IF(OR(AND($I165&lt;&gt;"",$I165&lt;$H165),AND($J165&lt;&gt;"",$J165&lt;MAX($H165:$I165)),AND($K165&lt;&gt;"",$K165&lt;MAX($H165:$J165))),"Avance semanal decreciente"&amp;" · ","")&amp;IF(AND(ISNUMBER($F165),$F165&lt;FechaRef,N($L165)&lt;1),"Vencida"&amp;" · ","")&amp;IF(AND(ObsObligatoria="Sí",ISNUMBER($F165),$F165&lt;FechaRef,N($L165)&lt;1,$N165=""),"Vencida sin observación"&amp;" · ",""))-3)))</f>
        <v/>
      </c>
      <c r="P165" s="69">
        <f>IF(NOT((COUNTA($B165:$K165)+COUNTA($N165))&gt;0),"",IF(AND($S165="Sub",N($R165)&gt;0),IF(ISNUMBER(INDEX($E$5:$E$1000,$R165-4)),DATE(YEAR(INDEX($E$5:$E$1000,$R165-4)),MONTH(INDEX($E$5:$E$1000,$R165-4)),1),IF(ISNUMBER(INDEX($F$5:$F$1000,$R165-4)),DATE(YEAR(INDEX($F$5:$F$1000,$R165-4)),MONTH(INDEX($F$5:$F$1000,$R165-4)),1),MesCiclo)),IF(ISNUMBER($E165),DATE(YEAR($E165),MONTH($E165),1),IF(ISNUMBER($F165),DATE(YEAR($F165),MONTH($F165),1),MesCiclo))))</f>
        <v/>
      </c>
      <c r="Q165" s="70">
        <f>IF(OR($P165="",$P165&lt;&gt;MesCiclo),"",COUNTIF($P$5:$P165,MesCiclo))</f>
        <v/>
      </c>
      <c r="R165" s="70">
        <f>IF($S165="","",IF($S165="Macro",ROW(),IFERROR(LOOKUP(2,1/($S$5:$S165="Macro"),ROW($S$5:$S165)),0)))</f>
        <v/>
      </c>
      <c r="S165" s="70">
        <f>IF(NOT((COUNTA($B165:$K165)+COUNTA($N165))&gt;0),"",IF($B165&lt;&gt;"","Macro",IF($C165&lt;&gt;"","Sub","Macro")))</f>
        <v/>
      </c>
      <c r="T165" s="70">
        <f>IF($S165="Macro",COUNTIFS($R$5:$R$1000,ROW(),$S$5:$S$1000,"Sub"),"")</f>
        <v/>
      </c>
      <c r="U165" s="70">
        <f>IF($S165="","",IF(ISNUMBER($H165),$H165,0))</f>
        <v/>
      </c>
      <c r="V165" s="70">
        <f>IF($S165="","",IF(ISNUMBER($I165),$I165,$U165))</f>
        <v/>
      </c>
      <c r="W165" s="70">
        <f>IF($S165="","",IF(ISNUMBER($J165),$J165,$V165))</f>
        <v/>
      </c>
      <c r="X165" s="70">
        <f>IF($S165="","",IF(ISNUMBER($K165),$K165,$W165))</f>
        <v/>
      </c>
      <c r="Y165" s="70">
        <f>IF($S165="","",IF(N($T165)&gt;0,AVERAGEIFS($U$5:$U$1000,$R$5:$R$1000,ROW(),$S$5:$S$1000,"Sub"),$U165))</f>
        <v/>
      </c>
      <c r="Z165" s="70">
        <f>IF($S165="","",IF(N($T165)&gt;0,AVERAGEIFS($V$5:$V$1000,$R$5:$R$1000,ROW(),$S$5:$S$1000,"Sub"),$V165))</f>
        <v/>
      </c>
      <c r="AA165" s="70">
        <f>IF($S165="","",IF(N($T165)&gt;0,AVERAGEIFS($W$5:$W$1000,$R$5:$R$1000,ROW(),$S$5:$S$1000,"Sub"),$W165))</f>
        <v/>
      </c>
      <c r="AB165" s="70">
        <f>IF($S165="","",IF(N($T165)&gt;0,AVERAGEIFS($X$5:$X$1000,$R$5:$R$1000,ROW(),$S$5:$S$1000,"Sub"),$X165))</f>
        <v/>
      </c>
    </row>
    <row r="166">
      <c r="A166" s="61">
        <f>IF(NOT((COUNTA($B166:$K166)+COUNTA($N166))&gt;0),"",IF($S166="Macro",COUNTIFS($S$5:$S166,"Macro",$P$5:$P166,$P166),IF(N($R166)=0,"?",COUNTIFS(INDEX($S$5:$S$1000,1):INDEX($S$5:$S$1000,$R166-4),"Macro",INDEX($P$5:$P$1000,1):INDEX($P$5:$P$1000,$R166-4),INDEX($P$5:$P$1000,$R166-4))&amp;"."&amp;COUNTIFS($R$5:$R166,$R166,$S$5:$S166,"Sub"))))</f>
        <v/>
      </c>
      <c r="B166" s="62" t="n"/>
      <c r="C166" s="63" t="n"/>
      <c r="D166" s="62" t="n"/>
      <c r="E166" s="64" t="n"/>
      <c r="F166" s="64" t="n"/>
      <c r="G166" s="65" t="n"/>
      <c r="H166" s="66" t="n"/>
      <c r="I166" s="66" t="n"/>
      <c r="J166" s="66" t="n"/>
      <c r="K166" s="66" t="n"/>
      <c r="L166" s="67">
        <f>IF(NOT((COUNTA($B166:$K166)+COUNTA($N166))&gt;0),"",IF(N($T166)&gt;0,$AB166,IFERROR(LOOKUP(2,1/(H166:K166&lt;&gt;""),H166:K166),0)))</f>
        <v/>
      </c>
      <c r="M166" s="61">
        <f>IF(L166="","",IF(L166&gt;=1,"Completado",IF(L166&gt;0,"En curso","Pendiente")))</f>
        <v/>
      </c>
      <c r="N166" s="62" t="n"/>
      <c r="O166" s="68">
        <f>IF(NOT((COUNTA($B166:$K166)+COUNTA($N166))&gt;0),"",IF((IF(AND($S166="Macro",$B166=""),"Macroactividad vacía"&amp;" · ","")&amp;IF(AND($B166&lt;&gt;"",$C166&lt;&gt;""),"Escriba la subactividad en otra fila, debajo de su macroactividad"&amp;" · ","")&amp;IF(AND($S166="Sub",N($R166)=0),"Subactividad sin macroactividad arriba"&amp;" · ","")&amp;IF($D166="","Sin responsable"&amp;" · ","")&amp;IF($E166="","Sin fecha de inicio"&amp;" · ","")&amp;IF($F166="","Sin fecha límite"&amp;" · ","")&amp;IF(OR(AND($E166&lt;&gt;"",NOT(ISNUMBER($E166))),AND($F166&lt;&gt;"",NOT(ISNUMBER($F166)))),"Fecha no válida"&amp;" · ","")&amp;IF(AND(ISNUMBER($E166),ISNUMBER($F166),$E166&gt;$F166),"Inicio posterior a fecha límite"&amp;" · ","")&amp;IF(AND($S166="Macro",$G166=""),"Peso vacío"&amp;" · ","")&amp;IF(AND($S166="Macro",$G166&lt;&gt;"",OR(NOT(ISNUMBER($G166)),$G166&lt;=0,$G166&gt;1)),"Peso fuera de rango"&amp;" · ","")&amp;IF(AND($S166="Sub",$G166&lt;&gt;""),"Las subactividades no llevan peso"&amp;" · ","")&amp;IF(AND($S166="Macro",ABS(SUMIFS($G$5:$G$1000,$P$5:$P$1000,$P166,$S$5:$S$1000,"Macro")-1)&gt;0.0001),"Pesos del mes suman "&amp;TEXT(SUMIFS($G$5:$G$1000,$P$5:$P$1000,$P166,$S$5:$S$1000,"Macro"),"0%")&amp;" · ","")&amp;IF(AND(N($T166)&gt;0,COUNT($H166:$K166)&gt;0),"Con subactividades: deje vacías las semanas (se calculan solas)"&amp;" · ","")&amp;IF((COUNTIF($H166:$K166,"&gt;1")+COUNTIF($H166:$K166,"&lt;0")+COUNTA($H166:$K166)-COUNT($H166:$K166))&gt;0,"Avance fuera de rango 0-100%"&amp;" · ","")&amp;IF(OR(AND($I166&lt;&gt;"",$I166&lt;$H166),AND($J166&lt;&gt;"",$J166&lt;MAX($H166:$I166)),AND($K166&lt;&gt;"",$K166&lt;MAX($H166:$J166))),"Avance semanal decreciente"&amp;" · ","")&amp;IF(AND(ISNUMBER($F166),$F166&lt;FechaRef,N($L166)&lt;1),"Vencida"&amp;" · ","")&amp;IF(AND(ObsObligatoria="Sí",ISNUMBER($F166),$F166&lt;FechaRef,N($L166)&lt;1,$N166=""),"Vencida sin observación"&amp;" · ",""))="","✔ OK","⚠ "&amp;LEFT(IF(AND($S166="Macro",$B166=""),"Macroactividad vacía"&amp;" · ","")&amp;IF(AND($B166&lt;&gt;"",$C166&lt;&gt;""),"Escriba la subactividad en otra fila, debajo de su macroactividad"&amp;" · ","")&amp;IF(AND($S166="Sub",N($R166)=0),"Subactividad sin macroactividad arriba"&amp;" · ","")&amp;IF($D166="","Sin responsable"&amp;" · ","")&amp;IF($E166="","Sin fecha de inicio"&amp;" · ","")&amp;IF($F166="","Sin fecha límite"&amp;" · ","")&amp;IF(OR(AND($E166&lt;&gt;"",NOT(ISNUMBER($E166))),AND($F166&lt;&gt;"",NOT(ISNUMBER($F166)))),"Fecha no válida"&amp;" · ","")&amp;IF(AND(ISNUMBER($E166),ISNUMBER($F166),$E166&gt;$F166),"Inicio posterior a fecha límite"&amp;" · ","")&amp;IF(AND($S166="Macro",$G166=""),"Peso vacío"&amp;" · ","")&amp;IF(AND($S166="Macro",$G166&lt;&gt;"",OR(NOT(ISNUMBER($G166)),$G166&lt;=0,$G166&gt;1)),"Peso fuera de rango"&amp;" · ","")&amp;IF(AND($S166="Sub",$G166&lt;&gt;""),"Las subactividades no llevan peso"&amp;" · ","")&amp;IF(AND($S166="Macro",ABS(SUMIFS($G$5:$G$1000,$P$5:$P$1000,$P166,$S$5:$S$1000,"Macro")-1)&gt;0.0001),"Pesos del mes suman "&amp;TEXT(SUMIFS($G$5:$G$1000,$P$5:$P$1000,$P166,$S$5:$S$1000,"Macro"),"0%")&amp;" · ","")&amp;IF(AND(N($T166)&gt;0,COUNT($H166:$K166)&gt;0),"Con subactividades: deje vacías las semanas (se calculan solas)"&amp;" · ","")&amp;IF((COUNTIF($H166:$K166,"&gt;1")+COUNTIF($H166:$K166,"&lt;0")+COUNTA($H166:$K166)-COUNT($H166:$K166))&gt;0,"Avance fuera de rango 0-100%"&amp;" · ","")&amp;IF(OR(AND($I166&lt;&gt;"",$I166&lt;$H166),AND($J166&lt;&gt;"",$J166&lt;MAX($H166:$I166)),AND($K166&lt;&gt;"",$K166&lt;MAX($H166:$J166))),"Avance semanal decreciente"&amp;" · ","")&amp;IF(AND(ISNUMBER($F166),$F166&lt;FechaRef,N($L166)&lt;1),"Vencida"&amp;" · ","")&amp;IF(AND(ObsObligatoria="Sí",ISNUMBER($F166),$F166&lt;FechaRef,N($L166)&lt;1,$N166=""),"Vencida sin observación"&amp;" · ",""),LEN(IF(AND($S166="Macro",$B166=""),"Macroactividad vacía"&amp;" · ","")&amp;IF(AND($B166&lt;&gt;"",$C166&lt;&gt;""),"Escriba la subactividad en otra fila, debajo de su macroactividad"&amp;" · ","")&amp;IF(AND($S166="Sub",N($R166)=0),"Subactividad sin macroactividad arriba"&amp;" · ","")&amp;IF($D166="","Sin responsable"&amp;" · ","")&amp;IF($E166="","Sin fecha de inicio"&amp;" · ","")&amp;IF($F166="","Sin fecha límite"&amp;" · ","")&amp;IF(OR(AND($E166&lt;&gt;"",NOT(ISNUMBER($E166))),AND($F166&lt;&gt;"",NOT(ISNUMBER($F166)))),"Fecha no válida"&amp;" · ","")&amp;IF(AND(ISNUMBER($E166),ISNUMBER($F166),$E166&gt;$F166),"Inicio posterior a fecha límite"&amp;" · ","")&amp;IF(AND($S166="Macro",$G166=""),"Peso vacío"&amp;" · ","")&amp;IF(AND($S166="Macro",$G166&lt;&gt;"",OR(NOT(ISNUMBER($G166)),$G166&lt;=0,$G166&gt;1)),"Peso fuera de rango"&amp;" · ","")&amp;IF(AND($S166="Sub",$G166&lt;&gt;""),"Las subactividades no llevan peso"&amp;" · ","")&amp;IF(AND($S166="Macro",ABS(SUMIFS($G$5:$G$1000,$P$5:$P$1000,$P166,$S$5:$S$1000,"Macro")-1)&gt;0.0001),"Pesos del mes suman "&amp;TEXT(SUMIFS($G$5:$G$1000,$P$5:$P$1000,$P166,$S$5:$S$1000,"Macro"),"0%")&amp;" · ","")&amp;IF(AND(N($T166)&gt;0,COUNT($H166:$K166)&gt;0),"Con subactividades: deje vacías las semanas (se calculan solas)"&amp;" · ","")&amp;IF((COUNTIF($H166:$K166,"&gt;1")+COUNTIF($H166:$K166,"&lt;0")+COUNTA($H166:$K166)-COUNT($H166:$K166))&gt;0,"Avance fuera de rango 0-100%"&amp;" · ","")&amp;IF(OR(AND($I166&lt;&gt;"",$I166&lt;$H166),AND($J166&lt;&gt;"",$J166&lt;MAX($H166:$I166)),AND($K166&lt;&gt;"",$K166&lt;MAX($H166:$J166))),"Avance semanal decreciente"&amp;" · ","")&amp;IF(AND(ISNUMBER($F166),$F166&lt;FechaRef,N($L166)&lt;1),"Vencida"&amp;" · ","")&amp;IF(AND(ObsObligatoria="Sí",ISNUMBER($F166),$F166&lt;FechaRef,N($L166)&lt;1,$N166=""),"Vencida sin observación"&amp;" · ",""))-3)))</f>
        <v/>
      </c>
      <c r="P166" s="69">
        <f>IF(NOT((COUNTA($B166:$K166)+COUNTA($N166))&gt;0),"",IF(AND($S166="Sub",N($R166)&gt;0),IF(ISNUMBER(INDEX($E$5:$E$1000,$R166-4)),DATE(YEAR(INDEX($E$5:$E$1000,$R166-4)),MONTH(INDEX($E$5:$E$1000,$R166-4)),1),IF(ISNUMBER(INDEX($F$5:$F$1000,$R166-4)),DATE(YEAR(INDEX($F$5:$F$1000,$R166-4)),MONTH(INDEX($F$5:$F$1000,$R166-4)),1),MesCiclo)),IF(ISNUMBER($E166),DATE(YEAR($E166),MONTH($E166),1),IF(ISNUMBER($F166),DATE(YEAR($F166),MONTH($F166),1),MesCiclo))))</f>
        <v/>
      </c>
      <c r="Q166" s="70">
        <f>IF(OR($P166="",$P166&lt;&gt;MesCiclo),"",COUNTIF($P$5:$P166,MesCiclo))</f>
        <v/>
      </c>
      <c r="R166" s="70">
        <f>IF($S166="","",IF($S166="Macro",ROW(),IFERROR(LOOKUP(2,1/($S$5:$S166="Macro"),ROW($S$5:$S166)),0)))</f>
        <v/>
      </c>
      <c r="S166" s="70">
        <f>IF(NOT((COUNTA($B166:$K166)+COUNTA($N166))&gt;0),"",IF($B166&lt;&gt;"","Macro",IF($C166&lt;&gt;"","Sub","Macro")))</f>
        <v/>
      </c>
      <c r="T166" s="70">
        <f>IF($S166="Macro",COUNTIFS($R$5:$R$1000,ROW(),$S$5:$S$1000,"Sub"),"")</f>
        <v/>
      </c>
      <c r="U166" s="70">
        <f>IF($S166="","",IF(ISNUMBER($H166),$H166,0))</f>
        <v/>
      </c>
      <c r="V166" s="70">
        <f>IF($S166="","",IF(ISNUMBER($I166),$I166,$U166))</f>
        <v/>
      </c>
      <c r="W166" s="70">
        <f>IF($S166="","",IF(ISNUMBER($J166),$J166,$V166))</f>
        <v/>
      </c>
      <c r="X166" s="70">
        <f>IF($S166="","",IF(ISNUMBER($K166),$K166,$W166))</f>
        <v/>
      </c>
      <c r="Y166" s="70">
        <f>IF($S166="","",IF(N($T166)&gt;0,AVERAGEIFS($U$5:$U$1000,$R$5:$R$1000,ROW(),$S$5:$S$1000,"Sub"),$U166))</f>
        <v/>
      </c>
      <c r="Z166" s="70">
        <f>IF($S166="","",IF(N($T166)&gt;0,AVERAGEIFS($V$5:$V$1000,$R$5:$R$1000,ROW(),$S$5:$S$1000,"Sub"),$V166))</f>
        <v/>
      </c>
      <c r="AA166" s="70">
        <f>IF($S166="","",IF(N($T166)&gt;0,AVERAGEIFS($W$5:$W$1000,$R$5:$R$1000,ROW(),$S$5:$S$1000,"Sub"),$W166))</f>
        <v/>
      </c>
      <c r="AB166" s="70">
        <f>IF($S166="","",IF(N($T166)&gt;0,AVERAGEIFS($X$5:$X$1000,$R$5:$R$1000,ROW(),$S$5:$S$1000,"Sub"),$X166))</f>
        <v/>
      </c>
    </row>
    <row r="167">
      <c r="A167" s="61">
        <f>IF(NOT((COUNTA($B167:$K167)+COUNTA($N167))&gt;0),"",IF($S167="Macro",COUNTIFS($S$5:$S167,"Macro",$P$5:$P167,$P167),IF(N($R167)=0,"?",COUNTIFS(INDEX($S$5:$S$1000,1):INDEX($S$5:$S$1000,$R167-4),"Macro",INDEX($P$5:$P$1000,1):INDEX($P$5:$P$1000,$R167-4),INDEX($P$5:$P$1000,$R167-4))&amp;"."&amp;COUNTIFS($R$5:$R167,$R167,$S$5:$S167,"Sub"))))</f>
        <v/>
      </c>
      <c r="B167" s="62" t="n"/>
      <c r="C167" s="63" t="n"/>
      <c r="D167" s="62" t="n"/>
      <c r="E167" s="64" t="n"/>
      <c r="F167" s="64" t="n"/>
      <c r="G167" s="65" t="n"/>
      <c r="H167" s="66" t="n"/>
      <c r="I167" s="66" t="n"/>
      <c r="J167" s="66" t="n"/>
      <c r="K167" s="66" t="n"/>
      <c r="L167" s="67">
        <f>IF(NOT((COUNTA($B167:$K167)+COUNTA($N167))&gt;0),"",IF(N($T167)&gt;0,$AB167,IFERROR(LOOKUP(2,1/(H167:K167&lt;&gt;""),H167:K167),0)))</f>
        <v/>
      </c>
      <c r="M167" s="61">
        <f>IF(L167="","",IF(L167&gt;=1,"Completado",IF(L167&gt;0,"En curso","Pendiente")))</f>
        <v/>
      </c>
      <c r="N167" s="62" t="n"/>
      <c r="O167" s="68">
        <f>IF(NOT((COUNTA($B167:$K167)+COUNTA($N167))&gt;0),"",IF((IF(AND($S167="Macro",$B167=""),"Macroactividad vacía"&amp;" · ","")&amp;IF(AND($B167&lt;&gt;"",$C167&lt;&gt;""),"Escriba la subactividad en otra fila, debajo de su macroactividad"&amp;" · ","")&amp;IF(AND($S167="Sub",N($R167)=0),"Subactividad sin macroactividad arriba"&amp;" · ","")&amp;IF($D167="","Sin responsable"&amp;" · ","")&amp;IF($E167="","Sin fecha de inicio"&amp;" · ","")&amp;IF($F167="","Sin fecha límite"&amp;" · ","")&amp;IF(OR(AND($E167&lt;&gt;"",NOT(ISNUMBER($E167))),AND($F167&lt;&gt;"",NOT(ISNUMBER($F167)))),"Fecha no válida"&amp;" · ","")&amp;IF(AND(ISNUMBER($E167),ISNUMBER($F167),$E167&gt;$F167),"Inicio posterior a fecha límite"&amp;" · ","")&amp;IF(AND($S167="Macro",$G167=""),"Peso vacío"&amp;" · ","")&amp;IF(AND($S167="Macro",$G167&lt;&gt;"",OR(NOT(ISNUMBER($G167)),$G167&lt;=0,$G167&gt;1)),"Peso fuera de rango"&amp;" · ","")&amp;IF(AND($S167="Sub",$G167&lt;&gt;""),"Las subactividades no llevan peso"&amp;" · ","")&amp;IF(AND($S167="Macro",ABS(SUMIFS($G$5:$G$1000,$P$5:$P$1000,$P167,$S$5:$S$1000,"Macro")-1)&gt;0.0001),"Pesos del mes suman "&amp;TEXT(SUMIFS($G$5:$G$1000,$P$5:$P$1000,$P167,$S$5:$S$1000,"Macro"),"0%")&amp;" · ","")&amp;IF(AND(N($T167)&gt;0,COUNT($H167:$K167)&gt;0),"Con subactividades: deje vacías las semanas (se calculan solas)"&amp;" · ","")&amp;IF((COUNTIF($H167:$K167,"&gt;1")+COUNTIF($H167:$K167,"&lt;0")+COUNTA($H167:$K167)-COUNT($H167:$K167))&gt;0,"Avance fuera de rango 0-100%"&amp;" · ","")&amp;IF(OR(AND($I167&lt;&gt;"",$I167&lt;$H167),AND($J167&lt;&gt;"",$J167&lt;MAX($H167:$I167)),AND($K167&lt;&gt;"",$K167&lt;MAX($H167:$J167))),"Avance semanal decreciente"&amp;" · ","")&amp;IF(AND(ISNUMBER($F167),$F167&lt;FechaRef,N($L167)&lt;1),"Vencida"&amp;" · ","")&amp;IF(AND(ObsObligatoria="Sí",ISNUMBER($F167),$F167&lt;FechaRef,N($L167)&lt;1,$N167=""),"Vencida sin observación"&amp;" · ",""))="","✔ OK","⚠ "&amp;LEFT(IF(AND($S167="Macro",$B167=""),"Macroactividad vacía"&amp;" · ","")&amp;IF(AND($B167&lt;&gt;"",$C167&lt;&gt;""),"Escriba la subactividad en otra fila, debajo de su macroactividad"&amp;" · ","")&amp;IF(AND($S167="Sub",N($R167)=0),"Subactividad sin macroactividad arriba"&amp;" · ","")&amp;IF($D167="","Sin responsable"&amp;" · ","")&amp;IF($E167="","Sin fecha de inicio"&amp;" · ","")&amp;IF($F167="","Sin fecha límite"&amp;" · ","")&amp;IF(OR(AND($E167&lt;&gt;"",NOT(ISNUMBER($E167))),AND($F167&lt;&gt;"",NOT(ISNUMBER($F167)))),"Fecha no válida"&amp;" · ","")&amp;IF(AND(ISNUMBER($E167),ISNUMBER($F167),$E167&gt;$F167),"Inicio posterior a fecha límite"&amp;" · ","")&amp;IF(AND($S167="Macro",$G167=""),"Peso vacío"&amp;" · ","")&amp;IF(AND($S167="Macro",$G167&lt;&gt;"",OR(NOT(ISNUMBER($G167)),$G167&lt;=0,$G167&gt;1)),"Peso fuera de rango"&amp;" · ","")&amp;IF(AND($S167="Sub",$G167&lt;&gt;""),"Las subactividades no llevan peso"&amp;" · ","")&amp;IF(AND($S167="Macro",ABS(SUMIFS($G$5:$G$1000,$P$5:$P$1000,$P167,$S$5:$S$1000,"Macro")-1)&gt;0.0001),"Pesos del mes suman "&amp;TEXT(SUMIFS($G$5:$G$1000,$P$5:$P$1000,$P167,$S$5:$S$1000,"Macro"),"0%")&amp;" · ","")&amp;IF(AND(N($T167)&gt;0,COUNT($H167:$K167)&gt;0),"Con subactividades: deje vacías las semanas (se calculan solas)"&amp;" · ","")&amp;IF((COUNTIF($H167:$K167,"&gt;1")+COUNTIF($H167:$K167,"&lt;0")+COUNTA($H167:$K167)-COUNT($H167:$K167))&gt;0,"Avance fuera de rango 0-100%"&amp;" · ","")&amp;IF(OR(AND($I167&lt;&gt;"",$I167&lt;$H167),AND($J167&lt;&gt;"",$J167&lt;MAX($H167:$I167)),AND($K167&lt;&gt;"",$K167&lt;MAX($H167:$J167))),"Avance semanal decreciente"&amp;" · ","")&amp;IF(AND(ISNUMBER($F167),$F167&lt;FechaRef,N($L167)&lt;1),"Vencida"&amp;" · ","")&amp;IF(AND(ObsObligatoria="Sí",ISNUMBER($F167),$F167&lt;FechaRef,N($L167)&lt;1,$N167=""),"Vencida sin observación"&amp;" · ",""),LEN(IF(AND($S167="Macro",$B167=""),"Macroactividad vacía"&amp;" · ","")&amp;IF(AND($B167&lt;&gt;"",$C167&lt;&gt;""),"Escriba la subactividad en otra fila, debajo de su macroactividad"&amp;" · ","")&amp;IF(AND($S167="Sub",N($R167)=0),"Subactividad sin macroactividad arriba"&amp;" · ","")&amp;IF($D167="","Sin responsable"&amp;" · ","")&amp;IF($E167="","Sin fecha de inicio"&amp;" · ","")&amp;IF($F167="","Sin fecha límite"&amp;" · ","")&amp;IF(OR(AND($E167&lt;&gt;"",NOT(ISNUMBER($E167))),AND($F167&lt;&gt;"",NOT(ISNUMBER($F167)))),"Fecha no válida"&amp;" · ","")&amp;IF(AND(ISNUMBER($E167),ISNUMBER($F167),$E167&gt;$F167),"Inicio posterior a fecha límite"&amp;" · ","")&amp;IF(AND($S167="Macro",$G167=""),"Peso vacío"&amp;" · ","")&amp;IF(AND($S167="Macro",$G167&lt;&gt;"",OR(NOT(ISNUMBER($G167)),$G167&lt;=0,$G167&gt;1)),"Peso fuera de rango"&amp;" · ","")&amp;IF(AND($S167="Sub",$G167&lt;&gt;""),"Las subactividades no llevan peso"&amp;" · ","")&amp;IF(AND($S167="Macro",ABS(SUMIFS($G$5:$G$1000,$P$5:$P$1000,$P167,$S$5:$S$1000,"Macro")-1)&gt;0.0001),"Pesos del mes suman "&amp;TEXT(SUMIFS($G$5:$G$1000,$P$5:$P$1000,$P167,$S$5:$S$1000,"Macro"),"0%")&amp;" · ","")&amp;IF(AND(N($T167)&gt;0,COUNT($H167:$K167)&gt;0),"Con subactividades: deje vacías las semanas (se calculan solas)"&amp;" · ","")&amp;IF((COUNTIF($H167:$K167,"&gt;1")+COUNTIF($H167:$K167,"&lt;0")+COUNTA($H167:$K167)-COUNT($H167:$K167))&gt;0,"Avance fuera de rango 0-100%"&amp;" · ","")&amp;IF(OR(AND($I167&lt;&gt;"",$I167&lt;$H167),AND($J167&lt;&gt;"",$J167&lt;MAX($H167:$I167)),AND($K167&lt;&gt;"",$K167&lt;MAX($H167:$J167))),"Avance semanal decreciente"&amp;" · ","")&amp;IF(AND(ISNUMBER($F167),$F167&lt;FechaRef,N($L167)&lt;1),"Vencida"&amp;" · ","")&amp;IF(AND(ObsObligatoria="Sí",ISNUMBER($F167),$F167&lt;FechaRef,N($L167)&lt;1,$N167=""),"Vencida sin observación"&amp;" · ",""))-3)))</f>
        <v/>
      </c>
      <c r="P167" s="69">
        <f>IF(NOT((COUNTA($B167:$K167)+COUNTA($N167))&gt;0),"",IF(AND($S167="Sub",N($R167)&gt;0),IF(ISNUMBER(INDEX($E$5:$E$1000,$R167-4)),DATE(YEAR(INDEX($E$5:$E$1000,$R167-4)),MONTH(INDEX($E$5:$E$1000,$R167-4)),1),IF(ISNUMBER(INDEX($F$5:$F$1000,$R167-4)),DATE(YEAR(INDEX($F$5:$F$1000,$R167-4)),MONTH(INDEX($F$5:$F$1000,$R167-4)),1),MesCiclo)),IF(ISNUMBER($E167),DATE(YEAR($E167),MONTH($E167),1),IF(ISNUMBER($F167),DATE(YEAR($F167),MONTH($F167),1),MesCiclo))))</f>
        <v/>
      </c>
      <c r="Q167" s="70">
        <f>IF(OR($P167="",$P167&lt;&gt;MesCiclo),"",COUNTIF($P$5:$P167,MesCiclo))</f>
        <v/>
      </c>
      <c r="R167" s="70">
        <f>IF($S167="","",IF($S167="Macro",ROW(),IFERROR(LOOKUP(2,1/($S$5:$S167="Macro"),ROW($S$5:$S167)),0)))</f>
        <v/>
      </c>
      <c r="S167" s="70">
        <f>IF(NOT((COUNTA($B167:$K167)+COUNTA($N167))&gt;0),"",IF($B167&lt;&gt;"","Macro",IF($C167&lt;&gt;"","Sub","Macro")))</f>
        <v/>
      </c>
      <c r="T167" s="70">
        <f>IF($S167="Macro",COUNTIFS($R$5:$R$1000,ROW(),$S$5:$S$1000,"Sub"),"")</f>
        <v/>
      </c>
      <c r="U167" s="70">
        <f>IF($S167="","",IF(ISNUMBER($H167),$H167,0))</f>
        <v/>
      </c>
      <c r="V167" s="70">
        <f>IF($S167="","",IF(ISNUMBER($I167),$I167,$U167))</f>
        <v/>
      </c>
      <c r="W167" s="70">
        <f>IF($S167="","",IF(ISNUMBER($J167),$J167,$V167))</f>
        <v/>
      </c>
      <c r="X167" s="70">
        <f>IF($S167="","",IF(ISNUMBER($K167),$K167,$W167))</f>
        <v/>
      </c>
      <c r="Y167" s="70">
        <f>IF($S167="","",IF(N($T167)&gt;0,AVERAGEIFS($U$5:$U$1000,$R$5:$R$1000,ROW(),$S$5:$S$1000,"Sub"),$U167))</f>
        <v/>
      </c>
      <c r="Z167" s="70">
        <f>IF($S167="","",IF(N($T167)&gt;0,AVERAGEIFS($V$5:$V$1000,$R$5:$R$1000,ROW(),$S$5:$S$1000,"Sub"),$V167))</f>
        <v/>
      </c>
      <c r="AA167" s="70">
        <f>IF($S167="","",IF(N($T167)&gt;0,AVERAGEIFS($W$5:$W$1000,$R$5:$R$1000,ROW(),$S$5:$S$1000,"Sub"),$W167))</f>
        <v/>
      </c>
      <c r="AB167" s="70">
        <f>IF($S167="","",IF(N($T167)&gt;0,AVERAGEIFS($X$5:$X$1000,$R$5:$R$1000,ROW(),$S$5:$S$1000,"Sub"),$X167))</f>
        <v/>
      </c>
    </row>
    <row r="168">
      <c r="A168" s="61">
        <f>IF(NOT((COUNTA($B168:$K168)+COUNTA($N168))&gt;0),"",IF($S168="Macro",COUNTIFS($S$5:$S168,"Macro",$P$5:$P168,$P168),IF(N($R168)=0,"?",COUNTIFS(INDEX($S$5:$S$1000,1):INDEX($S$5:$S$1000,$R168-4),"Macro",INDEX($P$5:$P$1000,1):INDEX($P$5:$P$1000,$R168-4),INDEX($P$5:$P$1000,$R168-4))&amp;"."&amp;COUNTIFS($R$5:$R168,$R168,$S$5:$S168,"Sub"))))</f>
        <v/>
      </c>
      <c r="B168" s="62" t="n"/>
      <c r="C168" s="63" t="n"/>
      <c r="D168" s="62" t="n"/>
      <c r="E168" s="64" t="n"/>
      <c r="F168" s="64" t="n"/>
      <c r="G168" s="65" t="n"/>
      <c r="H168" s="66" t="n"/>
      <c r="I168" s="66" t="n"/>
      <c r="J168" s="66" t="n"/>
      <c r="K168" s="66" t="n"/>
      <c r="L168" s="67">
        <f>IF(NOT((COUNTA($B168:$K168)+COUNTA($N168))&gt;0),"",IF(N($T168)&gt;0,$AB168,IFERROR(LOOKUP(2,1/(H168:K168&lt;&gt;""),H168:K168),0)))</f>
        <v/>
      </c>
      <c r="M168" s="61">
        <f>IF(L168="","",IF(L168&gt;=1,"Completado",IF(L168&gt;0,"En curso","Pendiente")))</f>
        <v/>
      </c>
      <c r="N168" s="62" t="n"/>
      <c r="O168" s="68">
        <f>IF(NOT((COUNTA($B168:$K168)+COUNTA($N168))&gt;0),"",IF((IF(AND($S168="Macro",$B168=""),"Macroactividad vacía"&amp;" · ","")&amp;IF(AND($B168&lt;&gt;"",$C168&lt;&gt;""),"Escriba la subactividad en otra fila, debajo de su macroactividad"&amp;" · ","")&amp;IF(AND($S168="Sub",N($R168)=0),"Subactividad sin macroactividad arriba"&amp;" · ","")&amp;IF($D168="","Sin responsable"&amp;" · ","")&amp;IF($E168="","Sin fecha de inicio"&amp;" · ","")&amp;IF($F168="","Sin fecha límite"&amp;" · ","")&amp;IF(OR(AND($E168&lt;&gt;"",NOT(ISNUMBER($E168))),AND($F168&lt;&gt;"",NOT(ISNUMBER($F168)))),"Fecha no válida"&amp;" · ","")&amp;IF(AND(ISNUMBER($E168),ISNUMBER($F168),$E168&gt;$F168),"Inicio posterior a fecha límite"&amp;" · ","")&amp;IF(AND($S168="Macro",$G168=""),"Peso vacío"&amp;" · ","")&amp;IF(AND($S168="Macro",$G168&lt;&gt;"",OR(NOT(ISNUMBER($G168)),$G168&lt;=0,$G168&gt;1)),"Peso fuera de rango"&amp;" · ","")&amp;IF(AND($S168="Sub",$G168&lt;&gt;""),"Las subactividades no llevan peso"&amp;" · ","")&amp;IF(AND($S168="Macro",ABS(SUMIFS($G$5:$G$1000,$P$5:$P$1000,$P168,$S$5:$S$1000,"Macro")-1)&gt;0.0001),"Pesos del mes suman "&amp;TEXT(SUMIFS($G$5:$G$1000,$P$5:$P$1000,$P168,$S$5:$S$1000,"Macro"),"0%")&amp;" · ","")&amp;IF(AND(N($T168)&gt;0,COUNT($H168:$K168)&gt;0),"Con subactividades: deje vacías las semanas (se calculan solas)"&amp;" · ","")&amp;IF((COUNTIF($H168:$K168,"&gt;1")+COUNTIF($H168:$K168,"&lt;0")+COUNTA($H168:$K168)-COUNT($H168:$K168))&gt;0,"Avance fuera de rango 0-100%"&amp;" · ","")&amp;IF(OR(AND($I168&lt;&gt;"",$I168&lt;$H168),AND($J168&lt;&gt;"",$J168&lt;MAX($H168:$I168)),AND($K168&lt;&gt;"",$K168&lt;MAX($H168:$J168))),"Avance semanal decreciente"&amp;" · ","")&amp;IF(AND(ISNUMBER($F168),$F168&lt;FechaRef,N($L168)&lt;1),"Vencida"&amp;" · ","")&amp;IF(AND(ObsObligatoria="Sí",ISNUMBER($F168),$F168&lt;FechaRef,N($L168)&lt;1,$N168=""),"Vencida sin observación"&amp;" · ",""))="","✔ OK","⚠ "&amp;LEFT(IF(AND($S168="Macro",$B168=""),"Macroactividad vacía"&amp;" · ","")&amp;IF(AND($B168&lt;&gt;"",$C168&lt;&gt;""),"Escriba la subactividad en otra fila, debajo de su macroactividad"&amp;" · ","")&amp;IF(AND($S168="Sub",N($R168)=0),"Subactividad sin macroactividad arriba"&amp;" · ","")&amp;IF($D168="","Sin responsable"&amp;" · ","")&amp;IF($E168="","Sin fecha de inicio"&amp;" · ","")&amp;IF($F168="","Sin fecha límite"&amp;" · ","")&amp;IF(OR(AND($E168&lt;&gt;"",NOT(ISNUMBER($E168))),AND($F168&lt;&gt;"",NOT(ISNUMBER($F168)))),"Fecha no válida"&amp;" · ","")&amp;IF(AND(ISNUMBER($E168),ISNUMBER($F168),$E168&gt;$F168),"Inicio posterior a fecha límite"&amp;" · ","")&amp;IF(AND($S168="Macro",$G168=""),"Peso vacío"&amp;" · ","")&amp;IF(AND($S168="Macro",$G168&lt;&gt;"",OR(NOT(ISNUMBER($G168)),$G168&lt;=0,$G168&gt;1)),"Peso fuera de rango"&amp;" · ","")&amp;IF(AND($S168="Sub",$G168&lt;&gt;""),"Las subactividades no llevan peso"&amp;" · ","")&amp;IF(AND($S168="Macro",ABS(SUMIFS($G$5:$G$1000,$P$5:$P$1000,$P168,$S$5:$S$1000,"Macro")-1)&gt;0.0001),"Pesos del mes suman "&amp;TEXT(SUMIFS($G$5:$G$1000,$P$5:$P$1000,$P168,$S$5:$S$1000,"Macro"),"0%")&amp;" · ","")&amp;IF(AND(N($T168)&gt;0,COUNT($H168:$K168)&gt;0),"Con subactividades: deje vacías las semanas (se calculan solas)"&amp;" · ","")&amp;IF((COUNTIF($H168:$K168,"&gt;1")+COUNTIF($H168:$K168,"&lt;0")+COUNTA($H168:$K168)-COUNT($H168:$K168))&gt;0,"Avance fuera de rango 0-100%"&amp;" · ","")&amp;IF(OR(AND($I168&lt;&gt;"",$I168&lt;$H168),AND($J168&lt;&gt;"",$J168&lt;MAX($H168:$I168)),AND($K168&lt;&gt;"",$K168&lt;MAX($H168:$J168))),"Avance semanal decreciente"&amp;" · ","")&amp;IF(AND(ISNUMBER($F168),$F168&lt;FechaRef,N($L168)&lt;1),"Vencida"&amp;" · ","")&amp;IF(AND(ObsObligatoria="Sí",ISNUMBER($F168),$F168&lt;FechaRef,N($L168)&lt;1,$N168=""),"Vencida sin observación"&amp;" · ",""),LEN(IF(AND($S168="Macro",$B168=""),"Macroactividad vacía"&amp;" · ","")&amp;IF(AND($B168&lt;&gt;"",$C168&lt;&gt;""),"Escriba la subactividad en otra fila, debajo de su macroactividad"&amp;" · ","")&amp;IF(AND($S168="Sub",N($R168)=0),"Subactividad sin macroactividad arriba"&amp;" · ","")&amp;IF($D168="","Sin responsable"&amp;" · ","")&amp;IF($E168="","Sin fecha de inicio"&amp;" · ","")&amp;IF($F168="","Sin fecha límite"&amp;" · ","")&amp;IF(OR(AND($E168&lt;&gt;"",NOT(ISNUMBER($E168))),AND($F168&lt;&gt;"",NOT(ISNUMBER($F168)))),"Fecha no válida"&amp;" · ","")&amp;IF(AND(ISNUMBER($E168),ISNUMBER($F168),$E168&gt;$F168),"Inicio posterior a fecha límite"&amp;" · ","")&amp;IF(AND($S168="Macro",$G168=""),"Peso vacío"&amp;" · ","")&amp;IF(AND($S168="Macro",$G168&lt;&gt;"",OR(NOT(ISNUMBER($G168)),$G168&lt;=0,$G168&gt;1)),"Peso fuera de rango"&amp;" · ","")&amp;IF(AND($S168="Sub",$G168&lt;&gt;""),"Las subactividades no llevan peso"&amp;" · ","")&amp;IF(AND($S168="Macro",ABS(SUMIFS($G$5:$G$1000,$P$5:$P$1000,$P168,$S$5:$S$1000,"Macro")-1)&gt;0.0001),"Pesos del mes suman "&amp;TEXT(SUMIFS($G$5:$G$1000,$P$5:$P$1000,$P168,$S$5:$S$1000,"Macro"),"0%")&amp;" · ","")&amp;IF(AND(N($T168)&gt;0,COUNT($H168:$K168)&gt;0),"Con subactividades: deje vacías las semanas (se calculan solas)"&amp;" · ","")&amp;IF((COUNTIF($H168:$K168,"&gt;1")+COUNTIF($H168:$K168,"&lt;0")+COUNTA($H168:$K168)-COUNT($H168:$K168))&gt;0,"Avance fuera de rango 0-100%"&amp;" · ","")&amp;IF(OR(AND($I168&lt;&gt;"",$I168&lt;$H168),AND($J168&lt;&gt;"",$J168&lt;MAX($H168:$I168)),AND($K168&lt;&gt;"",$K168&lt;MAX($H168:$J168))),"Avance semanal decreciente"&amp;" · ","")&amp;IF(AND(ISNUMBER($F168),$F168&lt;FechaRef,N($L168)&lt;1),"Vencida"&amp;" · ","")&amp;IF(AND(ObsObligatoria="Sí",ISNUMBER($F168),$F168&lt;FechaRef,N($L168)&lt;1,$N168=""),"Vencida sin observación"&amp;" · ",""))-3)))</f>
        <v/>
      </c>
      <c r="P168" s="69">
        <f>IF(NOT((COUNTA($B168:$K168)+COUNTA($N168))&gt;0),"",IF(AND($S168="Sub",N($R168)&gt;0),IF(ISNUMBER(INDEX($E$5:$E$1000,$R168-4)),DATE(YEAR(INDEX($E$5:$E$1000,$R168-4)),MONTH(INDEX($E$5:$E$1000,$R168-4)),1),IF(ISNUMBER(INDEX($F$5:$F$1000,$R168-4)),DATE(YEAR(INDEX($F$5:$F$1000,$R168-4)),MONTH(INDEX($F$5:$F$1000,$R168-4)),1),MesCiclo)),IF(ISNUMBER($E168),DATE(YEAR($E168),MONTH($E168),1),IF(ISNUMBER($F168),DATE(YEAR($F168),MONTH($F168),1),MesCiclo))))</f>
        <v/>
      </c>
      <c r="Q168" s="70">
        <f>IF(OR($P168="",$P168&lt;&gt;MesCiclo),"",COUNTIF($P$5:$P168,MesCiclo))</f>
        <v/>
      </c>
      <c r="R168" s="70">
        <f>IF($S168="","",IF($S168="Macro",ROW(),IFERROR(LOOKUP(2,1/($S$5:$S168="Macro"),ROW($S$5:$S168)),0)))</f>
        <v/>
      </c>
      <c r="S168" s="70">
        <f>IF(NOT((COUNTA($B168:$K168)+COUNTA($N168))&gt;0),"",IF($B168&lt;&gt;"","Macro",IF($C168&lt;&gt;"","Sub","Macro")))</f>
        <v/>
      </c>
      <c r="T168" s="70">
        <f>IF($S168="Macro",COUNTIFS($R$5:$R$1000,ROW(),$S$5:$S$1000,"Sub"),"")</f>
        <v/>
      </c>
      <c r="U168" s="70">
        <f>IF($S168="","",IF(ISNUMBER($H168),$H168,0))</f>
        <v/>
      </c>
      <c r="V168" s="70">
        <f>IF($S168="","",IF(ISNUMBER($I168),$I168,$U168))</f>
        <v/>
      </c>
      <c r="W168" s="70">
        <f>IF($S168="","",IF(ISNUMBER($J168),$J168,$V168))</f>
        <v/>
      </c>
      <c r="X168" s="70">
        <f>IF($S168="","",IF(ISNUMBER($K168),$K168,$W168))</f>
        <v/>
      </c>
      <c r="Y168" s="70">
        <f>IF($S168="","",IF(N($T168)&gt;0,AVERAGEIFS($U$5:$U$1000,$R$5:$R$1000,ROW(),$S$5:$S$1000,"Sub"),$U168))</f>
        <v/>
      </c>
      <c r="Z168" s="70">
        <f>IF($S168="","",IF(N($T168)&gt;0,AVERAGEIFS($V$5:$V$1000,$R$5:$R$1000,ROW(),$S$5:$S$1000,"Sub"),$V168))</f>
        <v/>
      </c>
      <c r="AA168" s="70">
        <f>IF($S168="","",IF(N($T168)&gt;0,AVERAGEIFS($W$5:$W$1000,$R$5:$R$1000,ROW(),$S$5:$S$1000,"Sub"),$W168))</f>
        <v/>
      </c>
      <c r="AB168" s="70">
        <f>IF($S168="","",IF(N($T168)&gt;0,AVERAGEIFS($X$5:$X$1000,$R$5:$R$1000,ROW(),$S$5:$S$1000,"Sub"),$X168))</f>
        <v/>
      </c>
    </row>
    <row r="169">
      <c r="A169" s="61">
        <f>IF(NOT((COUNTA($B169:$K169)+COUNTA($N169))&gt;0),"",IF($S169="Macro",COUNTIFS($S$5:$S169,"Macro",$P$5:$P169,$P169),IF(N($R169)=0,"?",COUNTIFS(INDEX($S$5:$S$1000,1):INDEX($S$5:$S$1000,$R169-4),"Macro",INDEX($P$5:$P$1000,1):INDEX($P$5:$P$1000,$R169-4),INDEX($P$5:$P$1000,$R169-4))&amp;"."&amp;COUNTIFS($R$5:$R169,$R169,$S$5:$S169,"Sub"))))</f>
        <v/>
      </c>
      <c r="B169" s="62" t="n"/>
      <c r="C169" s="63" t="n"/>
      <c r="D169" s="62" t="n"/>
      <c r="E169" s="64" t="n"/>
      <c r="F169" s="64" t="n"/>
      <c r="G169" s="65" t="n"/>
      <c r="H169" s="66" t="n"/>
      <c r="I169" s="66" t="n"/>
      <c r="J169" s="66" t="n"/>
      <c r="K169" s="66" t="n"/>
      <c r="L169" s="67">
        <f>IF(NOT((COUNTA($B169:$K169)+COUNTA($N169))&gt;0),"",IF(N($T169)&gt;0,$AB169,IFERROR(LOOKUP(2,1/(H169:K169&lt;&gt;""),H169:K169),0)))</f>
        <v/>
      </c>
      <c r="M169" s="61">
        <f>IF(L169="","",IF(L169&gt;=1,"Completado",IF(L169&gt;0,"En curso","Pendiente")))</f>
        <v/>
      </c>
      <c r="N169" s="62" t="n"/>
      <c r="O169" s="68">
        <f>IF(NOT((COUNTA($B169:$K169)+COUNTA($N169))&gt;0),"",IF((IF(AND($S169="Macro",$B169=""),"Macroactividad vacía"&amp;" · ","")&amp;IF(AND($B169&lt;&gt;"",$C169&lt;&gt;""),"Escriba la subactividad en otra fila, debajo de su macroactividad"&amp;" · ","")&amp;IF(AND($S169="Sub",N($R169)=0),"Subactividad sin macroactividad arriba"&amp;" · ","")&amp;IF($D169="","Sin responsable"&amp;" · ","")&amp;IF($E169="","Sin fecha de inicio"&amp;" · ","")&amp;IF($F169="","Sin fecha límite"&amp;" · ","")&amp;IF(OR(AND($E169&lt;&gt;"",NOT(ISNUMBER($E169))),AND($F169&lt;&gt;"",NOT(ISNUMBER($F169)))),"Fecha no válida"&amp;" · ","")&amp;IF(AND(ISNUMBER($E169),ISNUMBER($F169),$E169&gt;$F169),"Inicio posterior a fecha límite"&amp;" · ","")&amp;IF(AND($S169="Macro",$G169=""),"Peso vacío"&amp;" · ","")&amp;IF(AND($S169="Macro",$G169&lt;&gt;"",OR(NOT(ISNUMBER($G169)),$G169&lt;=0,$G169&gt;1)),"Peso fuera de rango"&amp;" · ","")&amp;IF(AND($S169="Sub",$G169&lt;&gt;""),"Las subactividades no llevan peso"&amp;" · ","")&amp;IF(AND($S169="Macro",ABS(SUMIFS($G$5:$G$1000,$P$5:$P$1000,$P169,$S$5:$S$1000,"Macro")-1)&gt;0.0001),"Pesos del mes suman "&amp;TEXT(SUMIFS($G$5:$G$1000,$P$5:$P$1000,$P169,$S$5:$S$1000,"Macro"),"0%")&amp;" · ","")&amp;IF(AND(N($T169)&gt;0,COUNT($H169:$K169)&gt;0),"Con subactividades: deje vacías las semanas (se calculan solas)"&amp;" · ","")&amp;IF((COUNTIF($H169:$K169,"&gt;1")+COUNTIF($H169:$K169,"&lt;0")+COUNTA($H169:$K169)-COUNT($H169:$K169))&gt;0,"Avance fuera de rango 0-100%"&amp;" · ","")&amp;IF(OR(AND($I169&lt;&gt;"",$I169&lt;$H169),AND($J169&lt;&gt;"",$J169&lt;MAX($H169:$I169)),AND($K169&lt;&gt;"",$K169&lt;MAX($H169:$J169))),"Avance semanal decreciente"&amp;" · ","")&amp;IF(AND(ISNUMBER($F169),$F169&lt;FechaRef,N($L169)&lt;1),"Vencida"&amp;" · ","")&amp;IF(AND(ObsObligatoria="Sí",ISNUMBER($F169),$F169&lt;FechaRef,N($L169)&lt;1,$N169=""),"Vencida sin observación"&amp;" · ",""))="","✔ OK","⚠ "&amp;LEFT(IF(AND($S169="Macro",$B169=""),"Macroactividad vacía"&amp;" · ","")&amp;IF(AND($B169&lt;&gt;"",$C169&lt;&gt;""),"Escriba la subactividad en otra fila, debajo de su macroactividad"&amp;" · ","")&amp;IF(AND($S169="Sub",N($R169)=0),"Subactividad sin macroactividad arriba"&amp;" · ","")&amp;IF($D169="","Sin responsable"&amp;" · ","")&amp;IF($E169="","Sin fecha de inicio"&amp;" · ","")&amp;IF($F169="","Sin fecha límite"&amp;" · ","")&amp;IF(OR(AND($E169&lt;&gt;"",NOT(ISNUMBER($E169))),AND($F169&lt;&gt;"",NOT(ISNUMBER($F169)))),"Fecha no válida"&amp;" · ","")&amp;IF(AND(ISNUMBER($E169),ISNUMBER($F169),$E169&gt;$F169),"Inicio posterior a fecha límite"&amp;" · ","")&amp;IF(AND($S169="Macro",$G169=""),"Peso vacío"&amp;" · ","")&amp;IF(AND($S169="Macro",$G169&lt;&gt;"",OR(NOT(ISNUMBER($G169)),$G169&lt;=0,$G169&gt;1)),"Peso fuera de rango"&amp;" · ","")&amp;IF(AND($S169="Sub",$G169&lt;&gt;""),"Las subactividades no llevan peso"&amp;" · ","")&amp;IF(AND($S169="Macro",ABS(SUMIFS($G$5:$G$1000,$P$5:$P$1000,$P169,$S$5:$S$1000,"Macro")-1)&gt;0.0001),"Pesos del mes suman "&amp;TEXT(SUMIFS($G$5:$G$1000,$P$5:$P$1000,$P169,$S$5:$S$1000,"Macro"),"0%")&amp;" · ","")&amp;IF(AND(N($T169)&gt;0,COUNT($H169:$K169)&gt;0),"Con subactividades: deje vacías las semanas (se calculan solas)"&amp;" · ","")&amp;IF((COUNTIF($H169:$K169,"&gt;1")+COUNTIF($H169:$K169,"&lt;0")+COUNTA($H169:$K169)-COUNT($H169:$K169))&gt;0,"Avance fuera de rango 0-100%"&amp;" · ","")&amp;IF(OR(AND($I169&lt;&gt;"",$I169&lt;$H169),AND($J169&lt;&gt;"",$J169&lt;MAX($H169:$I169)),AND($K169&lt;&gt;"",$K169&lt;MAX($H169:$J169))),"Avance semanal decreciente"&amp;" · ","")&amp;IF(AND(ISNUMBER($F169),$F169&lt;FechaRef,N($L169)&lt;1),"Vencida"&amp;" · ","")&amp;IF(AND(ObsObligatoria="Sí",ISNUMBER($F169),$F169&lt;FechaRef,N($L169)&lt;1,$N169=""),"Vencida sin observación"&amp;" · ",""),LEN(IF(AND($S169="Macro",$B169=""),"Macroactividad vacía"&amp;" · ","")&amp;IF(AND($B169&lt;&gt;"",$C169&lt;&gt;""),"Escriba la subactividad en otra fila, debajo de su macroactividad"&amp;" · ","")&amp;IF(AND($S169="Sub",N($R169)=0),"Subactividad sin macroactividad arriba"&amp;" · ","")&amp;IF($D169="","Sin responsable"&amp;" · ","")&amp;IF($E169="","Sin fecha de inicio"&amp;" · ","")&amp;IF($F169="","Sin fecha límite"&amp;" · ","")&amp;IF(OR(AND($E169&lt;&gt;"",NOT(ISNUMBER($E169))),AND($F169&lt;&gt;"",NOT(ISNUMBER($F169)))),"Fecha no válida"&amp;" · ","")&amp;IF(AND(ISNUMBER($E169),ISNUMBER($F169),$E169&gt;$F169),"Inicio posterior a fecha límite"&amp;" · ","")&amp;IF(AND($S169="Macro",$G169=""),"Peso vacío"&amp;" · ","")&amp;IF(AND($S169="Macro",$G169&lt;&gt;"",OR(NOT(ISNUMBER($G169)),$G169&lt;=0,$G169&gt;1)),"Peso fuera de rango"&amp;" · ","")&amp;IF(AND($S169="Sub",$G169&lt;&gt;""),"Las subactividades no llevan peso"&amp;" · ","")&amp;IF(AND($S169="Macro",ABS(SUMIFS($G$5:$G$1000,$P$5:$P$1000,$P169,$S$5:$S$1000,"Macro")-1)&gt;0.0001),"Pesos del mes suman "&amp;TEXT(SUMIFS($G$5:$G$1000,$P$5:$P$1000,$P169,$S$5:$S$1000,"Macro"),"0%")&amp;" · ","")&amp;IF(AND(N($T169)&gt;0,COUNT($H169:$K169)&gt;0),"Con subactividades: deje vacías las semanas (se calculan solas)"&amp;" · ","")&amp;IF((COUNTIF($H169:$K169,"&gt;1")+COUNTIF($H169:$K169,"&lt;0")+COUNTA($H169:$K169)-COUNT($H169:$K169))&gt;0,"Avance fuera de rango 0-100%"&amp;" · ","")&amp;IF(OR(AND($I169&lt;&gt;"",$I169&lt;$H169),AND($J169&lt;&gt;"",$J169&lt;MAX($H169:$I169)),AND($K169&lt;&gt;"",$K169&lt;MAX($H169:$J169))),"Avance semanal decreciente"&amp;" · ","")&amp;IF(AND(ISNUMBER($F169),$F169&lt;FechaRef,N($L169)&lt;1),"Vencida"&amp;" · ","")&amp;IF(AND(ObsObligatoria="Sí",ISNUMBER($F169),$F169&lt;FechaRef,N($L169)&lt;1,$N169=""),"Vencida sin observación"&amp;" · ",""))-3)))</f>
        <v/>
      </c>
      <c r="P169" s="69">
        <f>IF(NOT((COUNTA($B169:$K169)+COUNTA($N169))&gt;0),"",IF(AND($S169="Sub",N($R169)&gt;0),IF(ISNUMBER(INDEX($E$5:$E$1000,$R169-4)),DATE(YEAR(INDEX($E$5:$E$1000,$R169-4)),MONTH(INDEX($E$5:$E$1000,$R169-4)),1),IF(ISNUMBER(INDEX($F$5:$F$1000,$R169-4)),DATE(YEAR(INDEX($F$5:$F$1000,$R169-4)),MONTH(INDEX($F$5:$F$1000,$R169-4)),1),MesCiclo)),IF(ISNUMBER($E169),DATE(YEAR($E169),MONTH($E169),1),IF(ISNUMBER($F169),DATE(YEAR($F169),MONTH($F169),1),MesCiclo))))</f>
        <v/>
      </c>
      <c r="Q169" s="70">
        <f>IF(OR($P169="",$P169&lt;&gt;MesCiclo),"",COUNTIF($P$5:$P169,MesCiclo))</f>
        <v/>
      </c>
      <c r="R169" s="70">
        <f>IF($S169="","",IF($S169="Macro",ROW(),IFERROR(LOOKUP(2,1/($S$5:$S169="Macro"),ROW($S$5:$S169)),0)))</f>
        <v/>
      </c>
      <c r="S169" s="70">
        <f>IF(NOT((COUNTA($B169:$K169)+COUNTA($N169))&gt;0),"",IF($B169&lt;&gt;"","Macro",IF($C169&lt;&gt;"","Sub","Macro")))</f>
        <v/>
      </c>
      <c r="T169" s="70">
        <f>IF($S169="Macro",COUNTIFS($R$5:$R$1000,ROW(),$S$5:$S$1000,"Sub"),"")</f>
        <v/>
      </c>
      <c r="U169" s="70">
        <f>IF($S169="","",IF(ISNUMBER($H169),$H169,0))</f>
        <v/>
      </c>
      <c r="V169" s="70">
        <f>IF($S169="","",IF(ISNUMBER($I169),$I169,$U169))</f>
        <v/>
      </c>
      <c r="W169" s="70">
        <f>IF($S169="","",IF(ISNUMBER($J169),$J169,$V169))</f>
        <v/>
      </c>
      <c r="X169" s="70">
        <f>IF($S169="","",IF(ISNUMBER($K169),$K169,$W169))</f>
        <v/>
      </c>
      <c r="Y169" s="70">
        <f>IF($S169="","",IF(N($T169)&gt;0,AVERAGEIFS($U$5:$U$1000,$R$5:$R$1000,ROW(),$S$5:$S$1000,"Sub"),$U169))</f>
        <v/>
      </c>
      <c r="Z169" s="70">
        <f>IF($S169="","",IF(N($T169)&gt;0,AVERAGEIFS($V$5:$V$1000,$R$5:$R$1000,ROW(),$S$5:$S$1000,"Sub"),$V169))</f>
        <v/>
      </c>
      <c r="AA169" s="70">
        <f>IF($S169="","",IF(N($T169)&gt;0,AVERAGEIFS($W$5:$W$1000,$R$5:$R$1000,ROW(),$S$5:$S$1000,"Sub"),$W169))</f>
        <v/>
      </c>
      <c r="AB169" s="70">
        <f>IF($S169="","",IF(N($T169)&gt;0,AVERAGEIFS($X$5:$X$1000,$R$5:$R$1000,ROW(),$S$5:$S$1000,"Sub"),$X169))</f>
        <v/>
      </c>
    </row>
    <row r="170">
      <c r="A170" s="61">
        <f>IF(NOT((COUNTA($B170:$K170)+COUNTA($N170))&gt;0),"",IF($S170="Macro",COUNTIFS($S$5:$S170,"Macro",$P$5:$P170,$P170),IF(N($R170)=0,"?",COUNTIFS(INDEX($S$5:$S$1000,1):INDEX($S$5:$S$1000,$R170-4),"Macro",INDEX($P$5:$P$1000,1):INDEX($P$5:$P$1000,$R170-4),INDEX($P$5:$P$1000,$R170-4))&amp;"."&amp;COUNTIFS($R$5:$R170,$R170,$S$5:$S170,"Sub"))))</f>
        <v/>
      </c>
      <c r="B170" s="62" t="n"/>
      <c r="C170" s="63" t="n"/>
      <c r="D170" s="62" t="n"/>
      <c r="E170" s="64" t="n"/>
      <c r="F170" s="64" t="n"/>
      <c r="G170" s="65" t="n"/>
      <c r="H170" s="66" t="n"/>
      <c r="I170" s="66" t="n"/>
      <c r="J170" s="66" t="n"/>
      <c r="K170" s="66" t="n"/>
      <c r="L170" s="67">
        <f>IF(NOT((COUNTA($B170:$K170)+COUNTA($N170))&gt;0),"",IF(N($T170)&gt;0,$AB170,IFERROR(LOOKUP(2,1/(H170:K170&lt;&gt;""),H170:K170),0)))</f>
        <v/>
      </c>
      <c r="M170" s="61">
        <f>IF(L170="","",IF(L170&gt;=1,"Completado",IF(L170&gt;0,"En curso","Pendiente")))</f>
        <v/>
      </c>
      <c r="N170" s="62" t="n"/>
      <c r="O170" s="68">
        <f>IF(NOT((COUNTA($B170:$K170)+COUNTA($N170))&gt;0),"",IF((IF(AND($S170="Macro",$B170=""),"Macroactividad vacía"&amp;" · ","")&amp;IF(AND($B170&lt;&gt;"",$C170&lt;&gt;""),"Escriba la subactividad en otra fila, debajo de su macroactividad"&amp;" · ","")&amp;IF(AND($S170="Sub",N($R170)=0),"Subactividad sin macroactividad arriba"&amp;" · ","")&amp;IF($D170="","Sin responsable"&amp;" · ","")&amp;IF($E170="","Sin fecha de inicio"&amp;" · ","")&amp;IF($F170="","Sin fecha límite"&amp;" · ","")&amp;IF(OR(AND($E170&lt;&gt;"",NOT(ISNUMBER($E170))),AND($F170&lt;&gt;"",NOT(ISNUMBER($F170)))),"Fecha no válida"&amp;" · ","")&amp;IF(AND(ISNUMBER($E170),ISNUMBER($F170),$E170&gt;$F170),"Inicio posterior a fecha límite"&amp;" · ","")&amp;IF(AND($S170="Macro",$G170=""),"Peso vacío"&amp;" · ","")&amp;IF(AND($S170="Macro",$G170&lt;&gt;"",OR(NOT(ISNUMBER($G170)),$G170&lt;=0,$G170&gt;1)),"Peso fuera de rango"&amp;" · ","")&amp;IF(AND($S170="Sub",$G170&lt;&gt;""),"Las subactividades no llevan peso"&amp;" · ","")&amp;IF(AND($S170="Macro",ABS(SUMIFS($G$5:$G$1000,$P$5:$P$1000,$P170,$S$5:$S$1000,"Macro")-1)&gt;0.0001),"Pesos del mes suman "&amp;TEXT(SUMIFS($G$5:$G$1000,$P$5:$P$1000,$P170,$S$5:$S$1000,"Macro"),"0%")&amp;" · ","")&amp;IF(AND(N($T170)&gt;0,COUNT($H170:$K170)&gt;0),"Con subactividades: deje vacías las semanas (se calculan solas)"&amp;" · ","")&amp;IF((COUNTIF($H170:$K170,"&gt;1")+COUNTIF($H170:$K170,"&lt;0")+COUNTA($H170:$K170)-COUNT($H170:$K170))&gt;0,"Avance fuera de rango 0-100%"&amp;" · ","")&amp;IF(OR(AND($I170&lt;&gt;"",$I170&lt;$H170),AND($J170&lt;&gt;"",$J170&lt;MAX($H170:$I170)),AND($K170&lt;&gt;"",$K170&lt;MAX($H170:$J170))),"Avance semanal decreciente"&amp;" · ","")&amp;IF(AND(ISNUMBER($F170),$F170&lt;FechaRef,N($L170)&lt;1),"Vencida"&amp;" · ","")&amp;IF(AND(ObsObligatoria="Sí",ISNUMBER($F170),$F170&lt;FechaRef,N($L170)&lt;1,$N170=""),"Vencida sin observación"&amp;" · ",""))="","✔ OK","⚠ "&amp;LEFT(IF(AND($S170="Macro",$B170=""),"Macroactividad vacía"&amp;" · ","")&amp;IF(AND($B170&lt;&gt;"",$C170&lt;&gt;""),"Escriba la subactividad en otra fila, debajo de su macroactividad"&amp;" · ","")&amp;IF(AND($S170="Sub",N($R170)=0),"Subactividad sin macroactividad arriba"&amp;" · ","")&amp;IF($D170="","Sin responsable"&amp;" · ","")&amp;IF($E170="","Sin fecha de inicio"&amp;" · ","")&amp;IF($F170="","Sin fecha límite"&amp;" · ","")&amp;IF(OR(AND($E170&lt;&gt;"",NOT(ISNUMBER($E170))),AND($F170&lt;&gt;"",NOT(ISNUMBER($F170)))),"Fecha no válida"&amp;" · ","")&amp;IF(AND(ISNUMBER($E170),ISNUMBER($F170),$E170&gt;$F170),"Inicio posterior a fecha límite"&amp;" · ","")&amp;IF(AND($S170="Macro",$G170=""),"Peso vacío"&amp;" · ","")&amp;IF(AND($S170="Macro",$G170&lt;&gt;"",OR(NOT(ISNUMBER($G170)),$G170&lt;=0,$G170&gt;1)),"Peso fuera de rango"&amp;" · ","")&amp;IF(AND($S170="Sub",$G170&lt;&gt;""),"Las subactividades no llevan peso"&amp;" · ","")&amp;IF(AND($S170="Macro",ABS(SUMIFS($G$5:$G$1000,$P$5:$P$1000,$P170,$S$5:$S$1000,"Macro")-1)&gt;0.0001),"Pesos del mes suman "&amp;TEXT(SUMIFS($G$5:$G$1000,$P$5:$P$1000,$P170,$S$5:$S$1000,"Macro"),"0%")&amp;" · ","")&amp;IF(AND(N($T170)&gt;0,COUNT($H170:$K170)&gt;0),"Con subactividades: deje vacías las semanas (se calculan solas)"&amp;" · ","")&amp;IF((COUNTIF($H170:$K170,"&gt;1")+COUNTIF($H170:$K170,"&lt;0")+COUNTA($H170:$K170)-COUNT($H170:$K170))&gt;0,"Avance fuera de rango 0-100%"&amp;" · ","")&amp;IF(OR(AND($I170&lt;&gt;"",$I170&lt;$H170),AND($J170&lt;&gt;"",$J170&lt;MAX($H170:$I170)),AND($K170&lt;&gt;"",$K170&lt;MAX($H170:$J170))),"Avance semanal decreciente"&amp;" · ","")&amp;IF(AND(ISNUMBER($F170),$F170&lt;FechaRef,N($L170)&lt;1),"Vencida"&amp;" · ","")&amp;IF(AND(ObsObligatoria="Sí",ISNUMBER($F170),$F170&lt;FechaRef,N($L170)&lt;1,$N170=""),"Vencida sin observación"&amp;" · ",""),LEN(IF(AND($S170="Macro",$B170=""),"Macroactividad vacía"&amp;" · ","")&amp;IF(AND($B170&lt;&gt;"",$C170&lt;&gt;""),"Escriba la subactividad en otra fila, debajo de su macroactividad"&amp;" · ","")&amp;IF(AND($S170="Sub",N($R170)=0),"Subactividad sin macroactividad arriba"&amp;" · ","")&amp;IF($D170="","Sin responsable"&amp;" · ","")&amp;IF($E170="","Sin fecha de inicio"&amp;" · ","")&amp;IF($F170="","Sin fecha límite"&amp;" · ","")&amp;IF(OR(AND($E170&lt;&gt;"",NOT(ISNUMBER($E170))),AND($F170&lt;&gt;"",NOT(ISNUMBER($F170)))),"Fecha no válida"&amp;" · ","")&amp;IF(AND(ISNUMBER($E170),ISNUMBER($F170),$E170&gt;$F170),"Inicio posterior a fecha límite"&amp;" · ","")&amp;IF(AND($S170="Macro",$G170=""),"Peso vacío"&amp;" · ","")&amp;IF(AND($S170="Macro",$G170&lt;&gt;"",OR(NOT(ISNUMBER($G170)),$G170&lt;=0,$G170&gt;1)),"Peso fuera de rango"&amp;" · ","")&amp;IF(AND($S170="Sub",$G170&lt;&gt;""),"Las subactividades no llevan peso"&amp;" · ","")&amp;IF(AND($S170="Macro",ABS(SUMIFS($G$5:$G$1000,$P$5:$P$1000,$P170,$S$5:$S$1000,"Macro")-1)&gt;0.0001),"Pesos del mes suman "&amp;TEXT(SUMIFS($G$5:$G$1000,$P$5:$P$1000,$P170,$S$5:$S$1000,"Macro"),"0%")&amp;" · ","")&amp;IF(AND(N($T170)&gt;0,COUNT($H170:$K170)&gt;0),"Con subactividades: deje vacías las semanas (se calculan solas)"&amp;" · ","")&amp;IF((COUNTIF($H170:$K170,"&gt;1")+COUNTIF($H170:$K170,"&lt;0")+COUNTA($H170:$K170)-COUNT($H170:$K170))&gt;0,"Avance fuera de rango 0-100%"&amp;" · ","")&amp;IF(OR(AND($I170&lt;&gt;"",$I170&lt;$H170),AND($J170&lt;&gt;"",$J170&lt;MAX($H170:$I170)),AND($K170&lt;&gt;"",$K170&lt;MAX($H170:$J170))),"Avance semanal decreciente"&amp;" · ","")&amp;IF(AND(ISNUMBER($F170),$F170&lt;FechaRef,N($L170)&lt;1),"Vencida"&amp;" · ","")&amp;IF(AND(ObsObligatoria="Sí",ISNUMBER($F170),$F170&lt;FechaRef,N($L170)&lt;1,$N170=""),"Vencida sin observación"&amp;" · ",""))-3)))</f>
        <v/>
      </c>
      <c r="P170" s="69">
        <f>IF(NOT((COUNTA($B170:$K170)+COUNTA($N170))&gt;0),"",IF(AND($S170="Sub",N($R170)&gt;0),IF(ISNUMBER(INDEX($E$5:$E$1000,$R170-4)),DATE(YEAR(INDEX($E$5:$E$1000,$R170-4)),MONTH(INDEX($E$5:$E$1000,$R170-4)),1),IF(ISNUMBER(INDEX($F$5:$F$1000,$R170-4)),DATE(YEAR(INDEX($F$5:$F$1000,$R170-4)),MONTH(INDEX($F$5:$F$1000,$R170-4)),1),MesCiclo)),IF(ISNUMBER($E170),DATE(YEAR($E170),MONTH($E170),1),IF(ISNUMBER($F170),DATE(YEAR($F170),MONTH($F170),1),MesCiclo))))</f>
        <v/>
      </c>
      <c r="Q170" s="70">
        <f>IF(OR($P170="",$P170&lt;&gt;MesCiclo),"",COUNTIF($P$5:$P170,MesCiclo))</f>
        <v/>
      </c>
      <c r="R170" s="70">
        <f>IF($S170="","",IF($S170="Macro",ROW(),IFERROR(LOOKUP(2,1/($S$5:$S170="Macro"),ROW($S$5:$S170)),0)))</f>
        <v/>
      </c>
      <c r="S170" s="70">
        <f>IF(NOT((COUNTA($B170:$K170)+COUNTA($N170))&gt;0),"",IF($B170&lt;&gt;"","Macro",IF($C170&lt;&gt;"","Sub","Macro")))</f>
        <v/>
      </c>
      <c r="T170" s="70">
        <f>IF($S170="Macro",COUNTIFS($R$5:$R$1000,ROW(),$S$5:$S$1000,"Sub"),"")</f>
        <v/>
      </c>
      <c r="U170" s="70">
        <f>IF($S170="","",IF(ISNUMBER($H170),$H170,0))</f>
        <v/>
      </c>
      <c r="V170" s="70">
        <f>IF($S170="","",IF(ISNUMBER($I170),$I170,$U170))</f>
        <v/>
      </c>
      <c r="W170" s="70">
        <f>IF($S170="","",IF(ISNUMBER($J170),$J170,$V170))</f>
        <v/>
      </c>
      <c r="X170" s="70">
        <f>IF($S170="","",IF(ISNUMBER($K170),$K170,$W170))</f>
        <v/>
      </c>
      <c r="Y170" s="70">
        <f>IF($S170="","",IF(N($T170)&gt;0,AVERAGEIFS($U$5:$U$1000,$R$5:$R$1000,ROW(),$S$5:$S$1000,"Sub"),$U170))</f>
        <v/>
      </c>
      <c r="Z170" s="70">
        <f>IF($S170="","",IF(N($T170)&gt;0,AVERAGEIFS($V$5:$V$1000,$R$5:$R$1000,ROW(),$S$5:$S$1000,"Sub"),$V170))</f>
        <v/>
      </c>
      <c r="AA170" s="70">
        <f>IF($S170="","",IF(N($T170)&gt;0,AVERAGEIFS($W$5:$W$1000,$R$5:$R$1000,ROW(),$S$5:$S$1000,"Sub"),$W170))</f>
        <v/>
      </c>
      <c r="AB170" s="70">
        <f>IF($S170="","",IF(N($T170)&gt;0,AVERAGEIFS($X$5:$X$1000,$R$5:$R$1000,ROW(),$S$5:$S$1000,"Sub"),$X170))</f>
        <v/>
      </c>
    </row>
    <row r="171">
      <c r="A171" s="61">
        <f>IF(NOT((COUNTA($B171:$K171)+COUNTA($N171))&gt;0),"",IF($S171="Macro",COUNTIFS($S$5:$S171,"Macro",$P$5:$P171,$P171),IF(N($R171)=0,"?",COUNTIFS(INDEX($S$5:$S$1000,1):INDEX($S$5:$S$1000,$R171-4),"Macro",INDEX($P$5:$P$1000,1):INDEX($P$5:$P$1000,$R171-4),INDEX($P$5:$P$1000,$R171-4))&amp;"."&amp;COUNTIFS($R$5:$R171,$R171,$S$5:$S171,"Sub"))))</f>
        <v/>
      </c>
      <c r="B171" s="62" t="n"/>
      <c r="C171" s="63" t="n"/>
      <c r="D171" s="62" t="n"/>
      <c r="E171" s="64" t="n"/>
      <c r="F171" s="64" t="n"/>
      <c r="G171" s="65" t="n"/>
      <c r="H171" s="66" t="n"/>
      <c r="I171" s="66" t="n"/>
      <c r="J171" s="66" t="n"/>
      <c r="K171" s="66" t="n"/>
      <c r="L171" s="67">
        <f>IF(NOT((COUNTA($B171:$K171)+COUNTA($N171))&gt;0),"",IF(N($T171)&gt;0,$AB171,IFERROR(LOOKUP(2,1/(H171:K171&lt;&gt;""),H171:K171),0)))</f>
        <v/>
      </c>
      <c r="M171" s="61">
        <f>IF(L171="","",IF(L171&gt;=1,"Completado",IF(L171&gt;0,"En curso","Pendiente")))</f>
        <v/>
      </c>
      <c r="N171" s="62" t="n"/>
      <c r="O171" s="68">
        <f>IF(NOT((COUNTA($B171:$K171)+COUNTA($N171))&gt;0),"",IF((IF(AND($S171="Macro",$B171=""),"Macroactividad vacía"&amp;" · ","")&amp;IF(AND($B171&lt;&gt;"",$C171&lt;&gt;""),"Escriba la subactividad en otra fila, debajo de su macroactividad"&amp;" · ","")&amp;IF(AND($S171="Sub",N($R171)=0),"Subactividad sin macroactividad arriba"&amp;" · ","")&amp;IF($D171="","Sin responsable"&amp;" · ","")&amp;IF($E171="","Sin fecha de inicio"&amp;" · ","")&amp;IF($F171="","Sin fecha límite"&amp;" · ","")&amp;IF(OR(AND($E171&lt;&gt;"",NOT(ISNUMBER($E171))),AND($F171&lt;&gt;"",NOT(ISNUMBER($F171)))),"Fecha no válida"&amp;" · ","")&amp;IF(AND(ISNUMBER($E171),ISNUMBER($F171),$E171&gt;$F171),"Inicio posterior a fecha límite"&amp;" · ","")&amp;IF(AND($S171="Macro",$G171=""),"Peso vacío"&amp;" · ","")&amp;IF(AND($S171="Macro",$G171&lt;&gt;"",OR(NOT(ISNUMBER($G171)),$G171&lt;=0,$G171&gt;1)),"Peso fuera de rango"&amp;" · ","")&amp;IF(AND($S171="Sub",$G171&lt;&gt;""),"Las subactividades no llevan peso"&amp;" · ","")&amp;IF(AND($S171="Macro",ABS(SUMIFS($G$5:$G$1000,$P$5:$P$1000,$P171,$S$5:$S$1000,"Macro")-1)&gt;0.0001),"Pesos del mes suman "&amp;TEXT(SUMIFS($G$5:$G$1000,$P$5:$P$1000,$P171,$S$5:$S$1000,"Macro"),"0%")&amp;" · ","")&amp;IF(AND(N($T171)&gt;0,COUNT($H171:$K171)&gt;0),"Con subactividades: deje vacías las semanas (se calculan solas)"&amp;" · ","")&amp;IF((COUNTIF($H171:$K171,"&gt;1")+COUNTIF($H171:$K171,"&lt;0")+COUNTA($H171:$K171)-COUNT($H171:$K171))&gt;0,"Avance fuera de rango 0-100%"&amp;" · ","")&amp;IF(OR(AND($I171&lt;&gt;"",$I171&lt;$H171),AND($J171&lt;&gt;"",$J171&lt;MAX($H171:$I171)),AND($K171&lt;&gt;"",$K171&lt;MAX($H171:$J171))),"Avance semanal decreciente"&amp;" · ","")&amp;IF(AND(ISNUMBER($F171),$F171&lt;FechaRef,N($L171)&lt;1),"Vencida"&amp;" · ","")&amp;IF(AND(ObsObligatoria="Sí",ISNUMBER($F171),$F171&lt;FechaRef,N($L171)&lt;1,$N171=""),"Vencida sin observación"&amp;" · ",""))="","✔ OK","⚠ "&amp;LEFT(IF(AND($S171="Macro",$B171=""),"Macroactividad vacía"&amp;" · ","")&amp;IF(AND($B171&lt;&gt;"",$C171&lt;&gt;""),"Escriba la subactividad en otra fila, debajo de su macroactividad"&amp;" · ","")&amp;IF(AND($S171="Sub",N($R171)=0),"Subactividad sin macroactividad arriba"&amp;" · ","")&amp;IF($D171="","Sin responsable"&amp;" · ","")&amp;IF($E171="","Sin fecha de inicio"&amp;" · ","")&amp;IF($F171="","Sin fecha límite"&amp;" · ","")&amp;IF(OR(AND($E171&lt;&gt;"",NOT(ISNUMBER($E171))),AND($F171&lt;&gt;"",NOT(ISNUMBER($F171)))),"Fecha no válida"&amp;" · ","")&amp;IF(AND(ISNUMBER($E171),ISNUMBER($F171),$E171&gt;$F171),"Inicio posterior a fecha límite"&amp;" · ","")&amp;IF(AND($S171="Macro",$G171=""),"Peso vacío"&amp;" · ","")&amp;IF(AND($S171="Macro",$G171&lt;&gt;"",OR(NOT(ISNUMBER($G171)),$G171&lt;=0,$G171&gt;1)),"Peso fuera de rango"&amp;" · ","")&amp;IF(AND($S171="Sub",$G171&lt;&gt;""),"Las subactividades no llevan peso"&amp;" · ","")&amp;IF(AND($S171="Macro",ABS(SUMIFS($G$5:$G$1000,$P$5:$P$1000,$P171,$S$5:$S$1000,"Macro")-1)&gt;0.0001),"Pesos del mes suman "&amp;TEXT(SUMIFS($G$5:$G$1000,$P$5:$P$1000,$P171,$S$5:$S$1000,"Macro"),"0%")&amp;" · ","")&amp;IF(AND(N($T171)&gt;0,COUNT($H171:$K171)&gt;0),"Con subactividades: deje vacías las semanas (se calculan solas)"&amp;" · ","")&amp;IF((COUNTIF($H171:$K171,"&gt;1")+COUNTIF($H171:$K171,"&lt;0")+COUNTA($H171:$K171)-COUNT($H171:$K171))&gt;0,"Avance fuera de rango 0-100%"&amp;" · ","")&amp;IF(OR(AND($I171&lt;&gt;"",$I171&lt;$H171),AND($J171&lt;&gt;"",$J171&lt;MAX($H171:$I171)),AND($K171&lt;&gt;"",$K171&lt;MAX($H171:$J171))),"Avance semanal decreciente"&amp;" · ","")&amp;IF(AND(ISNUMBER($F171),$F171&lt;FechaRef,N($L171)&lt;1),"Vencida"&amp;" · ","")&amp;IF(AND(ObsObligatoria="Sí",ISNUMBER($F171),$F171&lt;FechaRef,N($L171)&lt;1,$N171=""),"Vencida sin observación"&amp;" · ",""),LEN(IF(AND($S171="Macro",$B171=""),"Macroactividad vacía"&amp;" · ","")&amp;IF(AND($B171&lt;&gt;"",$C171&lt;&gt;""),"Escriba la subactividad en otra fila, debajo de su macroactividad"&amp;" · ","")&amp;IF(AND($S171="Sub",N($R171)=0),"Subactividad sin macroactividad arriba"&amp;" · ","")&amp;IF($D171="","Sin responsable"&amp;" · ","")&amp;IF($E171="","Sin fecha de inicio"&amp;" · ","")&amp;IF($F171="","Sin fecha límite"&amp;" · ","")&amp;IF(OR(AND($E171&lt;&gt;"",NOT(ISNUMBER($E171))),AND($F171&lt;&gt;"",NOT(ISNUMBER($F171)))),"Fecha no válida"&amp;" · ","")&amp;IF(AND(ISNUMBER($E171),ISNUMBER($F171),$E171&gt;$F171),"Inicio posterior a fecha límite"&amp;" · ","")&amp;IF(AND($S171="Macro",$G171=""),"Peso vacío"&amp;" · ","")&amp;IF(AND($S171="Macro",$G171&lt;&gt;"",OR(NOT(ISNUMBER($G171)),$G171&lt;=0,$G171&gt;1)),"Peso fuera de rango"&amp;" · ","")&amp;IF(AND($S171="Sub",$G171&lt;&gt;""),"Las subactividades no llevan peso"&amp;" · ","")&amp;IF(AND($S171="Macro",ABS(SUMIFS($G$5:$G$1000,$P$5:$P$1000,$P171,$S$5:$S$1000,"Macro")-1)&gt;0.0001),"Pesos del mes suman "&amp;TEXT(SUMIFS($G$5:$G$1000,$P$5:$P$1000,$P171,$S$5:$S$1000,"Macro"),"0%")&amp;" · ","")&amp;IF(AND(N($T171)&gt;0,COUNT($H171:$K171)&gt;0),"Con subactividades: deje vacías las semanas (se calculan solas)"&amp;" · ","")&amp;IF((COUNTIF($H171:$K171,"&gt;1")+COUNTIF($H171:$K171,"&lt;0")+COUNTA($H171:$K171)-COUNT($H171:$K171))&gt;0,"Avance fuera de rango 0-100%"&amp;" · ","")&amp;IF(OR(AND($I171&lt;&gt;"",$I171&lt;$H171),AND($J171&lt;&gt;"",$J171&lt;MAX($H171:$I171)),AND($K171&lt;&gt;"",$K171&lt;MAX($H171:$J171))),"Avance semanal decreciente"&amp;" · ","")&amp;IF(AND(ISNUMBER($F171),$F171&lt;FechaRef,N($L171)&lt;1),"Vencida"&amp;" · ","")&amp;IF(AND(ObsObligatoria="Sí",ISNUMBER($F171),$F171&lt;FechaRef,N($L171)&lt;1,$N171=""),"Vencida sin observación"&amp;" · ",""))-3)))</f>
        <v/>
      </c>
      <c r="P171" s="69">
        <f>IF(NOT((COUNTA($B171:$K171)+COUNTA($N171))&gt;0),"",IF(AND($S171="Sub",N($R171)&gt;0),IF(ISNUMBER(INDEX($E$5:$E$1000,$R171-4)),DATE(YEAR(INDEX($E$5:$E$1000,$R171-4)),MONTH(INDEX($E$5:$E$1000,$R171-4)),1),IF(ISNUMBER(INDEX($F$5:$F$1000,$R171-4)),DATE(YEAR(INDEX($F$5:$F$1000,$R171-4)),MONTH(INDEX($F$5:$F$1000,$R171-4)),1),MesCiclo)),IF(ISNUMBER($E171),DATE(YEAR($E171),MONTH($E171),1),IF(ISNUMBER($F171),DATE(YEAR($F171),MONTH($F171),1),MesCiclo))))</f>
        <v/>
      </c>
      <c r="Q171" s="70">
        <f>IF(OR($P171="",$P171&lt;&gt;MesCiclo),"",COUNTIF($P$5:$P171,MesCiclo))</f>
        <v/>
      </c>
      <c r="R171" s="70">
        <f>IF($S171="","",IF($S171="Macro",ROW(),IFERROR(LOOKUP(2,1/($S$5:$S171="Macro"),ROW($S$5:$S171)),0)))</f>
        <v/>
      </c>
      <c r="S171" s="70">
        <f>IF(NOT((COUNTA($B171:$K171)+COUNTA($N171))&gt;0),"",IF($B171&lt;&gt;"","Macro",IF($C171&lt;&gt;"","Sub","Macro")))</f>
        <v/>
      </c>
      <c r="T171" s="70">
        <f>IF($S171="Macro",COUNTIFS($R$5:$R$1000,ROW(),$S$5:$S$1000,"Sub"),"")</f>
        <v/>
      </c>
      <c r="U171" s="70">
        <f>IF($S171="","",IF(ISNUMBER($H171),$H171,0))</f>
        <v/>
      </c>
      <c r="V171" s="70">
        <f>IF($S171="","",IF(ISNUMBER($I171),$I171,$U171))</f>
        <v/>
      </c>
      <c r="W171" s="70">
        <f>IF($S171="","",IF(ISNUMBER($J171),$J171,$V171))</f>
        <v/>
      </c>
      <c r="X171" s="70">
        <f>IF($S171="","",IF(ISNUMBER($K171),$K171,$W171))</f>
        <v/>
      </c>
      <c r="Y171" s="70">
        <f>IF($S171="","",IF(N($T171)&gt;0,AVERAGEIFS($U$5:$U$1000,$R$5:$R$1000,ROW(),$S$5:$S$1000,"Sub"),$U171))</f>
        <v/>
      </c>
      <c r="Z171" s="70">
        <f>IF($S171="","",IF(N($T171)&gt;0,AVERAGEIFS($V$5:$V$1000,$R$5:$R$1000,ROW(),$S$5:$S$1000,"Sub"),$V171))</f>
        <v/>
      </c>
      <c r="AA171" s="70">
        <f>IF($S171="","",IF(N($T171)&gt;0,AVERAGEIFS($W$5:$W$1000,$R$5:$R$1000,ROW(),$S$5:$S$1000,"Sub"),$W171))</f>
        <v/>
      </c>
      <c r="AB171" s="70">
        <f>IF($S171="","",IF(N($T171)&gt;0,AVERAGEIFS($X$5:$X$1000,$R$5:$R$1000,ROW(),$S$5:$S$1000,"Sub"),$X171))</f>
        <v/>
      </c>
    </row>
    <row r="172">
      <c r="A172" s="61">
        <f>IF(NOT((COUNTA($B172:$K172)+COUNTA($N172))&gt;0),"",IF($S172="Macro",COUNTIFS($S$5:$S172,"Macro",$P$5:$P172,$P172),IF(N($R172)=0,"?",COUNTIFS(INDEX($S$5:$S$1000,1):INDEX($S$5:$S$1000,$R172-4),"Macro",INDEX($P$5:$P$1000,1):INDEX($P$5:$P$1000,$R172-4),INDEX($P$5:$P$1000,$R172-4))&amp;"."&amp;COUNTIFS($R$5:$R172,$R172,$S$5:$S172,"Sub"))))</f>
        <v/>
      </c>
      <c r="B172" s="62" t="n"/>
      <c r="C172" s="63" t="n"/>
      <c r="D172" s="62" t="n"/>
      <c r="E172" s="64" t="n"/>
      <c r="F172" s="64" t="n"/>
      <c r="G172" s="65" t="n"/>
      <c r="H172" s="66" t="n"/>
      <c r="I172" s="66" t="n"/>
      <c r="J172" s="66" t="n"/>
      <c r="K172" s="66" t="n"/>
      <c r="L172" s="67">
        <f>IF(NOT((COUNTA($B172:$K172)+COUNTA($N172))&gt;0),"",IF(N($T172)&gt;0,$AB172,IFERROR(LOOKUP(2,1/(H172:K172&lt;&gt;""),H172:K172),0)))</f>
        <v/>
      </c>
      <c r="M172" s="61">
        <f>IF(L172="","",IF(L172&gt;=1,"Completado",IF(L172&gt;0,"En curso","Pendiente")))</f>
        <v/>
      </c>
      <c r="N172" s="62" t="n"/>
      <c r="O172" s="68">
        <f>IF(NOT((COUNTA($B172:$K172)+COUNTA($N172))&gt;0),"",IF((IF(AND($S172="Macro",$B172=""),"Macroactividad vacía"&amp;" · ","")&amp;IF(AND($B172&lt;&gt;"",$C172&lt;&gt;""),"Escriba la subactividad en otra fila, debajo de su macroactividad"&amp;" · ","")&amp;IF(AND($S172="Sub",N($R172)=0),"Subactividad sin macroactividad arriba"&amp;" · ","")&amp;IF($D172="","Sin responsable"&amp;" · ","")&amp;IF($E172="","Sin fecha de inicio"&amp;" · ","")&amp;IF($F172="","Sin fecha límite"&amp;" · ","")&amp;IF(OR(AND($E172&lt;&gt;"",NOT(ISNUMBER($E172))),AND($F172&lt;&gt;"",NOT(ISNUMBER($F172)))),"Fecha no válida"&amp;" · ","")&amp;IF(AND(ISNUMBER($E172),ISNUMBER($F172),$E172&gt;$F172),"Inicio posterior a fecha límite"&amp;" · ","")&amp;IF(AND($S172="Macro",$G172=""),"Peso vacío"&amp;" · ","")&amp;IF(AND($S172="Macro",$G172&lt;&gt;"",OR(NOT(ISNUMBER($G172)),$G172&lt;=0,$G172&gt;1)),"Peso fuera de rango"&amp;" · ","")&amp;IF(AND($S172="Sub",$G172&lt;&gt;""),"Las subactividades no llevan peso"&amp;" · ","")&amp;IF(AND($S172="Macro",ABS(SUMIFS($G$5:$G$1000,$P$5:$P$1000,$P172,$S$5:$S$1000,"Macro")-1)&gt;0.0001),"Pesos del mes suman "&amp;TEXT(SUMIFS($G$5:$G$1000,$P$5:$P$1000,$P172,$S$5:$S$1000,"Macro"),"0%")&amp;" · ","")&amp;IF(AND(N($T172)&gt;0,COUNT($H172:$K172)&gt;0),"Con subactividades: deje vacías las semanas (se calculan solas)"&amp;" · ","")&amp;IF((COUNTIF($H172:$K172,"&gt;1")+COUNTIF($H172:$K172,"&lt;0")+COUNTA($H172:$K172)-COUNT($H172:$K172))&gt;0,"Avance fuera de rango 0-100%"&amp;" · ","")&amp;IF(OR(AND($I172&lt;&gt;"",$I172&lt;$H172),AND($J172&lt;&gt;"",$J172&lt;MAX($H172:$I172)),AND($K172&lt;&gt;"",$K172&lt;MAX($H172:$J172))),"Avance semanal decreciente"&amp;" · ","")&amp;IF(AND(ISNUMBER($F172),$F172&lt;FechaRef,N($L172)&lt;1),"Vencida"&amp;" · ","")&amp;IF(AND(ObsObligatoria="Sí",ISNUMBER($F172),$F172&lt;FechaRef,N($L172)&lt;1,$N172=""),"Vencida sin observación"&amp;" · ",""))="","✔ OK","⚠ "&amp;LEFT(IF(AND($S172="Macro",$B172=""),"Macroactividad vacía"&amp;" · ","")&amp;IF(AND($B172&lt;&gt;"",$C172&lt;&gt;""),"Escriba la subactividad en otra fila, debajo de su macroactividad"&amp;" · ","")&amp;IF(AND($S172="Sub",N($R172)=0),"Subactividad sin macroactividad arriba"&amp;" · ","")&amp;IF($D172="","Sin responsable"&amp;" · ","")&amp;IF($E172="","Sin fecha de inicio"&amp;" · ","")&amp;IF($F172="","Sin fecha límite"&amp;" · ","")&amp;IF(OR(AND($E172&lt;&gt;"",NOT(ISNUMBER($E172))),AND($F172&lt;&gt;"",NOT(ISNUMBER($F172)))),"Fecha no válida"&amp;" · ","")&amp;IF(AND(ISNUMBER($E172),ISNUMBER($F172),$E172&gt;$F172),"Inicio posterior a fecha límite"&amp;" · ","")&amp;IF(AND($S172="Macro",$G172=""),"Peso vacío"&amp;" · ","")&amp;IF(AND($S172="Macro",$G172&lt;&gt;"",OR(NOT(ISNUMBER($G172)),$G172&lt;=0,$G172&gt;1)),"Peso fuera de rango"&amp;" · ","")&amp;IF(AND($S172="Sub",$G172&lt;&gt;""),"Las subactividades no llevan peso"&amp;" · ","")&amp;IF(AND($S172="Macro",ABS(SUMIFS($G$5:$G$1000,$P$5:$P$1000,$P172,$S$5:$S$1000,"Macro")-1)&gt;0.0001),"Pesos del mes suman "&amp;TEXT(SUMIFS($G$5:$G$1000,$P$5:$P$1000,$P172,$S$5:$S$1000,"Macro"),"0%")&amp;" · ","")&amp;IF(AND(N($T172)&gt;0,COUNT($H172:$K172)&gt;0),"Con subactividades: deje vacías las semanas (se calculan solas)"&amp;" · ","")&amp;IF((COUNTIF($H172:$K172,"&gt;1")+COUNTIF($H172:$K172,"&lt;0")+COUNTA($H172:$K172)-COUNT($H172:$K172))&gt;0,"Avance fuera de rango 0-100%"&amp;" · ","")&amp;IF(OR(AND($I172&lt;&gt;"",$I172&lt;$H172),AND($J172&lt;&gt;"",$J172&lt;MAX($H172:$I172)),AND($K172&lt;&gt;"",$K172&lt;MAX($H172:$J172))),"Avance semanal decreciente"&amp;" · ","")&amp;IF(AND(ISNUMBER($F172),$F172&lt;FechaRef,N($L172)&lt;1),"Vencida"&amp;" · ","")&amp;IF(AND(ObsObligatoria="Sí",ISNUMBER($F172),$F172&lt;FechaRef,N($L172)&lt;1,$N172=""),"Vencida sin observación"&amp;" · ",""),LEN(IF(AND($S172="Macro",$B172=""),"Macroactividad vacía"&amp;" · ","")&amp;IF(AND($B172&lt;&gt;"",$C172&lt;&gt;""),"Escriba la subactividad en otra fila, debajo de su macroactividad"&amp;" · ","")&amp;IF(AND($S172="Sub",N($R172)=0),"Subactividad sin macroactividad arriba"&amp;" · ","")&amp;IF($D172="","Sin responsable"&amp;" · ","")&amp;IF($E172="","Sin fecha de inicio"&amp;" · ","")&amp;IF($F172="","Sin fecha límite"&amp;" · ","")&amp;IF(OR(AND($E172&lt;&gt;"",NOT(ISNUMBER($E172))),AND($F172&lt;&gt;"",NOT(ISNUMBER($F172)))),"Fecha no válida"&amp;" · ","")&amp;IF(AND(ISNUMBER($E172),ISNUMBER($F172),$E172&gt;$F172),"Inicio posterior a fecha límite"&amp;" · ","")&amp;IF(AND($S172="Macro",$G172=""),"Peso vacío"&amp;" · ","")&amp;IF(AND($S172="Macro",$G172&lt;&gt;"",OR(NOT(ISNUMBER($G172)),$G172&lt;=0,$G172&gt;1)),"Peso fuera de rango"&amp;" · ","")&amp;IF(AND($S172="Sub",$G172&lt;&gt;""),"Las subactividades no llevan peso"&amp;" · ","")&amp;IF(AND($S172="Macro",ABS(SUMIFS($G$5:$G$1000,$P$5:$P$1000,$P172,$S$5:$S$1000,"Macro")-1)&gt;0.0001),"Pesos del mes suman "&amp;TEXT(SUMIFS($G$5:$G$1000,$P$5:$P$1000,$P172,$S$5:$S$1000,"Macro"),"0%")&amp;" · ","")&amp;IF(AND(N($T172)&gt;0,COUNT($H172:$K172)&gt;0),"Con subactividades: deje vacías las semanas (se calculan solas)"&amp;" · ","")&amp;IF((COUNTIF($H172:$K172,"&gt;1")+COUNTIF($H172:$K172,"&lt;0")+COUNTA($H172:$K172)-COUNT($H172:$K172))&gt;0,"Avance fuera de rango 0-100%"&amp;" · ","")&amp;IF(OR(AND($I172&lt;&gt;"",$I172&lt;$H172),AND($J172&lt;&gt;"",$J172&lt;MAX($H172:$I172)),AND($K172&lt;&gt;"",$K172&lt;MAX($H172:$J172))),"Avance semanal decreciente"&amp;" · ","")&amp;IF(AND(ISNUMBER($F172),$F172&lt;FechaRef,N($L172)&lt;1),"Vencida"&amp;" · ","")&amp;IF(AND(ObsObligatoria="Sí",ISNUMBER($F172),$F172&lt;FechaRef,N($L172)&lt;1,$N172=""),"Vencida sin observación"&amp;" · ",""))-3)))</f>
        <v/>
      </c>
      <c r="P172" s="69">
        <f>IF(NOT((COUNTA($B172:$K172)+COUNTA($N172))&gt;0),"",IF(AND($S172="Sub",N($R172)&gt;0),IF(ISNUMBER(INDEX($E$5:$E$1000,$R172-4)),DATE(YEAR(INDEX($E$5:$E$1000,$R172-4)),MONTH(INDEX($E$5:$E$1000,$R172-4)),1),IF(ISNUMBER(INDEX($F$5:$F$1000,$R172-4)),DATE(YEAR(INDEX($F$5:$F$1000,$R172-4)),MONTH(INDEX($F$5:$F$1000,$R172-4)),1),MesCiclo)),IF(ISNUMBER($E172),DATE(YEAR($E172),MONTH($E172),1),IF(ISNUMBER($F172),DATE(YEAR($F172),MONTH($F172),1),MesCiclo))))</f>
        <v/>
      </c>
      <c r="Q172" s="70">
        <f>IF(OR($P172="",$P172&lt;&gt;MesCiclo),"",COUNTIF($P$5:$P172,MesCiclo))</f>
        <v/>
      </c>
      <c r="R172" s="70">
        <f>IF($S172="","",IF($S172="Macro",ROW(),IFERROR(LOOKUP(2,1/($S$5:$S172="Macro"),ROW($S$5:$S172)),0)))</f>
        <v/>
      </c>
      <c r="S172" s="70">
        <f>IF(NOT((COUNTA($B172:$K172)+COUNTA($N172))&gt;0),"",IF($B172&lt;&gt;"","Macro",IF($C172&lt;&gt;"","Sub","Macro")))</f>
        <v/>
      </c>
      <c r="T172" s="70">
        <f>IF($S172="Macro",COUNTIFS($R$5:$R$1000,ROW(),$S$5:$S$1000,"Sub"),"")</f>
        <v/>
      </c>
      <c r="U172" s="70">
        <f>IF($S172="","",IF(ISNUMBER($H172),$H172,0))</f>
        <v/>
      </c>
      <c r="V172" s="70">
        <f>IF($S172="","",IF(ISNUMBER($I172),$I172,$U172))</f>
        <v/>
      </c>
      <c r="W172" s="70">
        <f>IF($S172="","",IF(ISNUMBER($J172),$J172,$V172))</f>
        <v/>
      </c>
      <c r="X172" s="70">
        <f>IF($S172="","",IF(ISNUMBER($K172),$K172,$W172))</f>
        <v/>
      </c>
      <c r="Y172" s="70">
        <f>IF($S172="","",IF(N($T172)&gt;0,AVERAGEIFS($U$5:$U$1000,$R$5:$R$1000,ROW(),$S$5:$S$1000,"Sub"),$U172))</f>
        <v/>
      </c>
      <c r="Z172" s="70">
        <f>IF($S172="","",IF(N($T172)&gt;0,AVERAGEIFS($V$5:$V$1000,$R$5:$R$1000,ROW(),$S$5:$S$1000,"Sub"),$V172))</f>
        <v/>
      </c>
      <c r="AA172" s="70">
        <f>IF($S172="","",IF(N($T172)&gt;0,AVERAGEIFS($W$5:$W$1000,$R$5:$R$1000,ROW(),$S$5:$S$1000,"Sub"),$W172))</f>
        <v/>
      </c>
      <c r="AB172" s="70">
        <f>IF($S172="","",IF(N($T172)&gt;0,AVERAGEIFS($X$5:$X$1000,$R$5:$R$1000,ROW(),$S$5:$S$1000,"Sub"),$X172))</f>
        <v/>
      </c>
    </row>
    <row r="173">
      <c r="A173" s="61">
        <f>IF(NOT((COUNTA($B173:$K173)+COUNTA($N173))&gt;0),"",IF($S173="Macro",COUNTIFS($S$5:$S173,"Macro",$P$5:$P173,$P173),IF(N($R173)=0,"?",COUNTIFS(INDEX($S$5:$S$1000,1):INDEX($S$5:$S$1000,$R173-4),"Macro",INDEX($P$5:$P$1000,1):INDEX($P$5:$P$1000,$R173-4),INDEX($P$5:$P$1000,$R173-4))&amp;"."&amp;COUNTIFS($R$5:$R173,$R173,$S$5:$S173,"Sub"))))</f>
        <v/>
      </c>
      <c r="B173" s="62" t="n"/>
      <c r="C173" s="63" t="n"/>
      <c r="D173" s="62" t="n"/>
      <c r="E173" s="64" t="n"/>
      <c r="F173" s="64" t="n"/>
      <c r="G173" s="65" t="n"/>
      <c r="H173" s="66" t="n"/>
      <c r="I173" s="66" t="n"/>
      <c r="J173" s="66" t="n"/>
      <c r="K173" s="66" t="n"/>
      <c r="L173" s="67">
        <f>IF(NOT((COUNTA($B173:$K173)+COUNTA($N173))&gt;0),"",IF(N($T173)&gt;0,$AB173,IFERROR(LOOKUP(2,1/(H173:K173&lt;&gt;""),H173:K173),0)))</f>
        <v/>
      </c>
      <c r="M173" s="61">
        <f>IF(L173="","",IF(L173&gt;=1,"Completado",IF(L173&gt;0,"En curso","Pendiente")))</f>
        <v/>
      </c>
      <c r="N173" s="62" t="n"/>
      <c r="O173" s="68">
        <f>IF(NOT((COUNTA($B173:$K173)+COUNTA($N173))&gt;0),"",IF((IF(AND($S173="Macro",$B173=""),"Macroactividad vacía"&amp;" · ","")&amp;IF(AND($B173&lt;&gt;"",$C173&lt;&gt;""),"Escriba la subactividad en otra fila, debajo de su macroactividad"&amp;" · ","")&amp;IF(AND($S173="Sub",N($R173)=0),"Subactividad sin macroactividad arriba"&amp;" · ","")&amp;IF($D173="","Sin responsable"&amp;" · ","")&amp;IF($E173="","Sin fecha de inicio"&amp;" · ","")&amp;IF($F173="","Sin fecha límite"&amp;" · ","")&amp;IF(OR(AND($E173&lt;&gt;"",NOT(ISNUMBER($E173))),AND($F173&lt;&gt;"",NOT(ISNUMBER($F173)))),"Fecha no válida"&amp;" · ","")&amp;IF(AND(ISNUMBER($E173),ISNUMBER($F173),$E173&gt;$F173),"Inicio posterior a fecha límite"&amp;" · ","")&amp;IF(AND($S173="Macro",$G173=""),"Peso vacío"&amp;" · ","")&amp;IF(AND($S173="Macro",$G173&lt;&gt;"",OR(NOT(ISNUMBER($G173)),$G173&lt;=0,$G173&gt;1)),"Peso fuera de rango"&amp;" · ","")&amp;IF(AND($S173="Sub",$G173&lt;&gt;""),"Las subactividades no llevan peso"&amp;" · ","")&amp;IF(AND($S173="Macro",ABS(SUMIFS($G$5:$G$1000,$P$5:$P$1000,$P173,$S$5:$S$1000,"Macro")-1)&gt;0.0001),"Pesos del mes suman "&amp;TEXT(SUMIFS($G$5:$G$1000,$P$5:$P$1000,$P173,$S$5:$S$1000,"Macro"),"0%")&amp;" · ","")&amp;IF(AND(N($T173)&gt;0,COUNT($H173:$K173)&gt;0),"Con subactividades: deje vacías las semanas (se calculan solas)"&amp;" · ","")&amp;IF((COUNTIF($H173:$K173,"&gt;1")+COUNTIF($H173:$K173,"&lt;0")+COUNTA($H173:$K173)-COUNT($H173:$K173))&gt;0,"Avance fuera de rango 0-100%"&amp;" · ","")&amp;IF(OR(AND($I173&lt;&gt;"",$I173&lt;$H173),AND($J173&lt;&gt;"",$J173&lt;MAX($H173:$I173)),AND($K173&lt;&gt;"",$K173&lt;MAX($H173:$J173))),"Avance semanal decreciente"&amp;" · ","")&amp;IF(AND(ISNUMBER($F173),$F173&lt;FechaRef,N($L173)&lt;1),"Vencida"&amp;" · ","")&amp;IF(AND(ObsObligatoria="Sí",ISNUMBER($F173),$F173&lt;FechaRef,N($L173)&lt;1,$N173=""),"Vencida sin observación"&amp;" · ",""))="","✔ OK","⚠ "&amp;LEFT(IF(AND($S173="Macro",$B173=""),"Macroactividad vacía"&amp;" · ","")&amp;IF(AND($B173&lt;&gt;"",$C173&lt;&gt;""),"Escriba la subactividad en otra fila, debajo de su macroactividad"&amp;" · ","")&amp;IF(AND($S173="Sub",N($R173)=0),"Subactividad sin macroactividad arriba"&amp;" · ","")&amp;IF($D173="","Sin responsable"&amp;" · ","")&amp;IF($E173="","Sin fecha de inicio"&amp;" · ","")&amp;IF($F173="","Sin fecha límite"&amp;" · ","")&amp;IF(OR(AND($E173&lt;&gt;"",NOT(ISNUMBER($E173))),AND($F173&lt;&gt;"",NOT(ISNUMBER($F173)))),"Fecha no válida"&amp;" · ","")&amp;IF(AND(ISNUMBER($E173),ISNUMBER($F173),$E173&gt;$F173),"Inicio posterior a fecha límite"&amp;" · ","")&amp;IF(AND($S173="Macro",$G173=""),"Peso vacío"&amp;" · ","")&amp;IF(AND($S173="Macro",$G173&lt;&gt;"",OR(NOT(ISNUMBER($G173)),$G173&lt;=0,$G173&gt;1)),"Peso fuera de rango"&amp;" · ","")&amp;IF(AND($S173="Sub",$G173&lt;&gt;""),"Las subactividades no llevan peso"&amp;" · ","")&amp;IF(AND($S173="Macro",ABS(SUMIFS($G$5:$G$1000,$P$5:$P$1000,$P173,$S$5:$S$1000,"Macro")-1)&gt;0.0001),"Pesos del mes suman "&amp;TEXT(SUMIFS($G$5:$G$1000,$P$5:$P$1000,$P173,$S$5:$S$1000,"Macro"),"0%")&amp;" · ","")&amp;IF(AND(N($T173)&gt;0,COUNT($H173:$K173)&gt;0),"Con subactividades: deje vacías las semanas (se calculan solas)"&amp;" · ","")&amp;IF((COUNTIF($H173:$K173,"&gt;1")+COUNTIF($H173:$K173,"&lt;0")+COUNTA($H173:$K173)-COUNT($H173:$K173))&gt;0,"Avance fuera de rango 0-100%"&amp;" · ","")&amp;IF(OR(AND($I173&lt;&gt;"",$I173&lt;$H173),AND($J173&lt;&gt;"",$J173&lt;MAX($H173:$I173)),AND($K173&lt;&gt;"",$K173&lt;MAX($H173:$J173))),"Avance semanal decreciente"&amp;" · ","")&amp;IF(AND(ISNUMBER($F173),$F173&lt;FechaRef,N($L173)&lt;1),"Vencida"&amp;" · ","")&amp;IF(AND(ObsObligatoria="Sí",ISNUMBER($F173),$F173&lt;FechaRef,N($L173)&lt;1,$N173=""),"Vencida sin observación"&amp;" · ",""),LEN(IF(AND($S173="Macro",$B173=""),"Macroactividad vacía"&amp;" · ","")&amp;IF(AND($B173&lt;&gt;"",$C173&lt;&gt;""),"Escriba la subactividad en otra fila, debajo de su macroactividad"&amp;" · ","")&amp;IF(AND($S173="Sub",N($R173)=0),"Subactividad sin macroactividad arriba"&amp;" · ","")&amp;IF($D173="","Sin responsable"&amp;" · ","")&amp;IF($E173="","Sin fecha de inicio"&amp;" · ","")&amp;IF($F173="","Sin fecha límite"&amp;" · ","")&amp;IF(OR(AND($E173&lt;&gt;"",NOT(ISNUMBER($E173))),AND($F173&lt;&gt;"",NOT(ISNUMBER($F173)))),"Fecha no válida"&amp;" · ","")&amp;IF(AND(ISNUMBER($E173),ISNUMBER($F173),$E173&gt;$F173),"Inicio posterior a fecha límite"&amp;" · ","")&amp;IF(AND($S173="Macro",$G173=""),"Peso vacío"&amp;" · ","")&amp;IF(AND($S173="Macro",$G173&lt;&gt;"",OR(NOT(ISNUMBER($G173)),$G173&lt;=0,$G173&gt;1)),"Peso fuera de rango"&amp;" · ","")&amp;IF(AND($S173="Sub",$G173&lt;&gt;""),"Las subactividades no llevan peso"&amp;" · ","")&amp;IF(AND($S173="Macro",ABS(SUMIFS($G$5:$G$1000,$P$5:$P$1000,$P173,$S$5:$S$1000,"Macro")-1)&gt;0.0001),"Pesos del mes suman "&amp;TEXT(SUMIFS($G$5:$G$1000,$P$5:$P$1000,$P173,$S$5:$S$1000,"Macro"),"0%")&amp;" · ","")&amp;IF(AND(N($T173)&gt;0,COUNT($H173:$K173)&gt;0),"Con subactividades: deje vacías las semanas (se calculan solas)"&amp;" · ","")&amp;IF((COUNTIF($H173:$K173,"&gt;1")+COUNTIF($H173:$K173,"&lt;0")+COUNTA($H173:$K173)-COUNT($H173:$K173))&gt;0,"Avance fuera de rango 0-100%"&amp;" · ","")&amp;IF(OR(AND($I173&lt;&gt;"",$I173&lt;$H173),AND($J173&lt;&gt;"",$J173&lt;MAX($H173:$I173)),AND($K173&lt;&gt;"",$K173&lt;MAX($H173:$J173))),"Avance semanal decreciente"&amp;" · ","")&amp;IF(AND(ISNUMBER($F173),$F173&lt;FechaRef,N($L173)&lt;1),"Vencida"&amp;" · ","")&amp;IF(AND(ObsObligatoria="Sí",ISNUMBER($F173),$F173&lt;FechaRef,N($L173)&lt;1,$N173=""),"Vencida sin observación"&amp;" · ",""))-3)))</f>
        <v/>
      </c>
      <c r="P173" s="69">
        <f>IF(NOT((COUNTA($B173:$K173)+COUNTA($N173))&gt;0),"",IF(AND($S173="Sub",N($R173)&gt;0),IF(ISNUMBER(INDEX($E$5:$E$1000,$R173-4)),DATE(YEAR(INDEX($E$5:$E$1000,$R173-4)),MONTH(INDEX($E$5:$E$1000,$R173-4)),1),IF(ISNUMBER(INDEX($F$5:$F$1000,$R173-4)),DATE(YEAR(INDEX($F$5:$F$1000,$R173-4)),MONTH(INDEX($F$5:$F$1000,$R173-4)),1),MesCiclo)),IF(ISNUMBER($E173),DATE(YEAR($E173),MONTH($E173),1),IF(ISNUMBER($F173),DATE(YEAR($F173),MONTH($F173),1),MesCiclo))))</f>
        <v/>
      </c>
      <c r="Q173" s="70">
        <f>IF(OR($P173="",$P173&lt;&gt;MesCiclo),"",COUNTIF($P$5:$P173,MesCiclo))</f>
        <v/>
      </c>
      <c r="R173" s="70">
        <f>IF($S173="","",IF($S173="Macro",ROW(),IFERROR(LOOKUP(2,1/($S$5:$S173="Macro"),ROW($S$5:$S173)),0)))</f>
        <v/>
      </c>
      <c r="S173" s="70">
        <f>IF(NOT((COUNTA($B173:$K173)+COUNTA($N173))&gt;0),"",IF($B173&lt;&gt;"","Macro",IF($C173&lt;&gt;"","Sub","Macro")))</f>
        <v/>
      </c>
      <c r="T173" s="70">
        <f>IF($S173="Macro",COUNTIFS($R$5:$R$1000,ROW(),$S$5:$S$1000,"Sub"),"")</f>
        <v/>
      </c>
      <c r="U173" s="70">
        <f>IF($S173="","",IF(ISNUMBER($H173),$H173,0))</f>
        <v/>
      </c>
      <c r="V173" s="70">
        <f>IF($S173="","",IF(ISNUMBER($I173),$I173,$U173))</f>
        <v/>
      </c>
      <c r="W173" s="70">
        <f>IF($S173="","",IF(ISNUMBER($J173),$J173,$V173))</f>
        <v/>
      </c>
      <c r="X173" s="70">
        <f>IF($S173="","",IF(ISNUMBER($K173),$K173,$W173))</f>
        <v/>
      </c>
      <c r="Y173" s="70">
        <f>IF($S173="","",IF(N($T173)&gt;0,AVERAGEIFS($U$5:$U$1000,$R$5:$R$1000,ROW(),$S$5:$S$1000,"Sub"),$U173))</f>
        <v/>
      </c>
      <c r="Z173" s="70">
        <f>IF($S173="","",IF(N($T173)&gt;0,AVERAGEIFS($V$5:$V$1000,$R$5:$R$1000,ROW(),$S$5:$S$1000,"Sub"),$V173))</f>
        <v/>
      </c>
      <c r="AA173" s="70">
        <f>IF($S173="","",IF(N($T173)&gt;0,AVERAGEIFS($W$5:$W$1000,$R$5:$R$1000,ROW(),$S$5:$S$1000,"Sub"),$W173))</f>
        <v/>
      </c>
      <c r="AB173" s="70">
        <f>IF($S173="","",IF(N($T173)&gt;0,AVERAGEIFS($X$5:$X$1000,$R$5:$R$1000,ROW(),$S$5:$S$1000,"Sub"),$X173))</f>
        <v/>
      </c>
    </row>
    <row r="174">
      <c r="A174" s="61">
        <f>IF(NOT((COUNTA($B174:$K174)+COUNTA($N174))&gt;0),"",IF($S174="Macro",COUNTIFS($S$5:$S174,"Macro",$P$5:$P174,$P174),IF(N($R174)=0,"?",COUNTIFS(INDEX($S$5:$S$1000,1):INDEX($S$5:$S$1000,$R174-4),"Macro",INDEX($P$5:$P$1000,1):INDEX($P$5:$P$1000,$R174-4),INDEX($P$5:$P$1000,$R174-4))&amp;"."&amp;COUNTIFS($R$5:$R174,$R174,$S$5:$S174,"Sub"))))</f>
        <v/>
      </c>
      <c r="B174" s="62" t="n"/>
      <c r="C174" s="63" t="n"/>
      <c r="D174" s="62" t="n"/>
      <c r="E174" s="64" t="n"/>
      <c r="F174" s="64" t="n"/>
      <c r="G174" s="65" t="n"/>
      <c r="H174" s="66" t="n"/>
      <c r="I174" s="66" t="n"/>
      <c r="J174" s="66" t="n"/>
      <c r="K174" s="66" t="n"/>
      <c r="L174" s="67">
        <f>IF(NOT((COUNTA($B174:$K174)+COUNTA($N174))&gt;0),"",IF(N($T174)&gt;0,$AB174,IFERROR(LOOKUP(2,1/(H174:K174&lt;&gt;""),H174:K174),0)))</f>
        <v/>
      </c>
      <c r="M174" s="61">
        <f>IF(L174="","",IF(L174&gt;=1,"Completado",IF(L174&gt;0,"En curso","Pendiente")))</f>
        <v/>
      </c>
      <c r="N174" s="62" t="n"/>
      <c r="O174" s="68">
        <f>IF(NOT((COUNTA($B174:$K174)+COUNTA($N174))&gt;0),"",IF((IF(AND($S174="Macro",$B174=""),"Macroactividad vacía"&amp;" · ","")&amp;IF(AND($B174&lt;&gt;"",$C174&lt;&gt;""),"Escriba la subactividad en otra fila, debajo de su macroactividad"&amp;" · ","")&amp;IF(AND($S174="Sub",N($R174)=0),"Subactividad sin macroactividad arriba"&amp;" · ","")&amp;IF($D174="","Sin responsable"&amp;" · ","")&amp;IF($E174="","Sin fecha de inicio"&amp;" · ","")&amp;IF($F174="","Sin fecha límite"&amp;" · ","")&amp;IF(OR(AND($E174&lt;&gt;"",NOT(ISNUMBER($E174))),AND($F174&lt;&gt;"",NOT(ISNUMBER($F174)))),"Fecha no válida"&amp;" · ","")&amp;IF(AND(ISNUMBER($E174),ISNUMBER($F174),$E174&gt;$F174),"Inicio posterior a fecha límite"&amp;" · ","")&amp;IF(AND($S174="Macro",$G174=""),"Peso vacío"&amp;" · ","")&amp;IF(AND($S174="Macro",$G174&lt;&gt;"",OR(NOT(ISNUMBER($G174)),$G174&lt;=0,$G174&gt;1)),"Peso fuera de rango"&amp;" · ","")&amp;IF(AND($S174="Sub",$G174&lt;&gt;""),"Las subactividades no llevan peso"&amp;" · ","")&amp;IF(AND($S174="Macro",ABS(SUMIFS($G$5:$G$1000,$P$5:$P$1000,$P174,$S$5:$S$1000,"Macro")-1)&gt;0.0001),"Pesos del mes suman "&amp;TEXT(SUMIFS($G$5:$G$1000,$P$5:$P$1000,$P174,$S$5:$S$1000,"Macro"),"0%")&amp;" · ","")&amp;IF(AND(N($T174)&gt;0,COUNT($H174:$K174)&gt;0),"Con subactividades: deje vacías las semanas (se calculan solas)"&amp;" · ","")&amp;IF((COUNTIF($H174:$K174,"&gt;1")+COUNTIF($H174:$K174,"&lt;0")+COUNTA($H174:$K174)-COUNT($H174:$K174))&gt;0,"Avance fuera de rango 0-100%"&amp;" · ","")&amp;IF(OR(AND($I174&lt;&gt;"",$I174&lt;$H174),AND($J174&lt;&gt;"",$J174&lt;MAX($H174:$I174)),AND($K174&lt;&gt;"",$K174&lt;MAX($H174:$J174))),"Avance semanal decreciente"&amp;" · ","")&amp;IF(AND(ISNUMBER($F174),$F174&lt;FechaRef,N($L174)&lt;1),"Vencida"&amp;" · ","")&amp;IF(AND(ObsObligatoria="Sí",ISNUMBER($F174),$F174&lt;FechaRef,N($L174)&lt;1,$N174=""),"Vencida sin observación"&amp;" · ",""))="","✔ OK","⚠ "&amp;LEFT(IF(AND($S174="Macro",$B174=""),"Macroactividad vacía"&amp;" · ","")&amp;IF(AND($B174&lt;&gt;"",$C174&lt;&gt;""),"Escriba la subactividad en otra fila, debajo de su macroactividad"&amp;" · ","")&amp;IF(AND($S174="Sub",N($R174)=0),"Subactividad sin macroactividad arriba"&amp;" · ","")&amp;IF($D174="","Sin responsable"&amp;" · ","")&amp;IF($E174="","Sin fecha de inicio"&amp;" · ","")&amp;IF($F174="","Sin fecha límite"&amp;" · ","")&amp;IF(OR(AND($E174&lt;&gt;"",NOT(ISNUMBER($E174))),AND($F174&lt;&gt;"",NOT(ISNUMBER($F174)))),"Fecha no válida"&amp;" · ","")&amp;IF(AND(ISNUMBER($E174),ISNUMBER($F174),$E174&gt;$F174),"Inicio posterior a fecha límite"&amp;" · ","")&amp;IF(AND($S174="Macro",$G174=""),"Peso vacío"&amp;" · ","")&amp;IF(AND($S174="Macro",$G174&lt;&gt;"",OR(NOT(ISNUMBER($G174)),$G174&lt;=0,$G174&gt;1)),"Peso fuera de rango"&amp;" · ","")&amp;IF(AND($S174="Sub",$G174&lt;&gt;""),"Las subactividades no llevan peso"&amp;" · ","")&amp;IF(AND($S174="Macro",ABS(SUMIFS($G$5:$G$1000,$P$5:$P$1000,$P174,$S$5:$S$1000,"Macro")-1)&gt;0.0001),"Pesos del mes suman "&amp;TEXT(SUMIFS($G$5:$G$1000,$P$5:$P$1000,$P174,$S$5:$S$1000,"Macro"),"0%")&amp;" · ","")&amp;IF(AND(N($T174)&gt;0,COUNT($H174:$K174)&gt;0),"Con subactividades: deje vacías las semanas (se calculan solas)"&amp;" · ","")&amp;IF((COUNTIF($H174:$K174,"&gt;1")+COUNTIF($H174:$K174,"&lt;0")+COUNTA($H174:$K174)-COUNT($H174:$K174))&gt;0,"Avance fuera de rango 0-100%"&amp;" · ","")&amp;IF(OR(AND($I174&lt;&gt;"",$I174&lt;$H174),AND($J174&lt;&gt;"",$J174&lt;MAX($H174:$I174)),AND($K174&lt;&gt;"",$K174&lt;MAX($H174:$J174))),"Avance semanal decreciente"&amp;" · ","")&amp;IF(AND(ISNUMBER($F174),$F174&lt;FechaRef,N($L174)&lt;1),"Vencida"&amp;" · ","")&amp;IF(AND(ObsObligatoria="Sí",ISNUMBER($F174),$F174&lt;FechaRef,N($L174)&lt;1,$N174=""),"Vencida sin observación"&amp;" · ",""),LEN(IF(AND($S174="Macro",$B174=""),"Macroactividad vacía"&amp;" · ","")&amp;IF(AND($B174&lt;&gt;"",$C174&lt;&gt;""),"Escriba la subactividad en otra fila, debajo de su macroactividad"&amp;" · ","")&amp;IF(AND($S174="Sub",N($R174)=0),"Subactividad sin macroactividad arriba"&amp;" · ","")&amp;IF($D174="","Sin responsable"&amp;" · ","")&amp;IF($E174="","Sin fecha de inicio"&amp;" · ","")&amp;IF($F174="","Sin fecha límite"&amp;" · ","")&amp;IF(OR(AND($E174&lt;&gt;"",NOT(ISNUMBER($E174))),AND($F174&lt;&gt;"",NOT(ISNUMBER($F174)))),"Fecha no válida"&amp;" · ","")&amp;IF(AND(ISNUMBER($E174),ISNUMBER($F174),$E174&gt;$F174),"Inicio posterior a fecha límite"&amp;" · ","")&amp;IF(AND($S174="Macro",$G174=""),"Peso vacío"&amp;" · ","")&amp;IF(AND($S174="Macro",$G174&lt;&gt;"",OR(NOT(ISNUMBER($G174)),$G174&lt;=0,$G174&gt;1)),"Peso fuera de rango"&amp;" · ","")&amp;IF(AND($S174="Sub",$G174&lt;&gt;""),"Las subactividades no llevan peso"&amp;" · ","")&amp;IF(AND($S174="Macro",ABS(SUMIFS($G$5:$G$1000,$P$5:$P$1000,$P174,$S$5:$S$1000,"Macro")-1)&gt;0.0001),"Pesos del mes suman "&amp;TEXT(SUMIFS($G$5:$G$1000,$P$5:$P$1000,$P174,$S$5:$S$1000,"Macro"),"0%")&amp;" · ","")&amp;IF(AND(N($T174)&gt;0,COUNT($H174:$K174)&gt;0),"Con subactividades: deje vacías las semanas (se calculan solas)"&amp;" · ","")&amp;IF((COUNTIF($H174:$K174,"&gt;1")+COUNTIF($H174:$K174,"&lt;0")+COUNTA($H174:$K174)-COUNT($H174:$K174))&gt;0,"Avance fuera de rango 0-100%"&amp;" · ","")&amp;IF(OR(AND($I174&lt;&gt;"",$I174&lt;$H174),AND($J174&lt;&gt;"",$J174&lt;MAX($H174:$I174)),AND($K174&lt;&gt;"",$K174&lt;MAX($H174:$J174))),"Avance semanal decreciente"&amp;" · ","")&amp;IF(AND(ISNUMBER($F174),$F174&lt;FechaRef,N($L174)&lt;1),"Vencida"&amp;" · ","")&amp;IF(AND(ObsObligatoria="Sí",ISNUMBER($F174),$F174&lt;FechaRef,N($L174)&lt;1,$N174=""),"Vencida sin observación"&amp;" · ",""))-3)))</f>
        <v/>
      </c>
      <c r="P174" s="69">
        <f>IF(NOT((COUNTA($B174:$K174)+COUNTA($N174))&gt;0),"",IF(AND($S174="Sub",N($R174)&gt;0),IF(ISNUMBER(INDEX($E$5:$E$1000,$R174-4)),DATE(YEAR(INDEX($E$5:$E$1000,$R174-4)),MONTH(INDEX($E$5:$E$1000,$R174-4)),1),IF(ISNUMBER(INDEX($F$5:$F$1000,$R174-4)),DATE(YEAR(INDEX($F$5:$F$1000,$R174-4)),MONTH(INDEX($F$5:$F$1000,$R174-4)),1),MesCiclo)),IF(ISNUMBER($E174),DATE(YEAR($E174),MONTH($E174),1),IF(ISNUMBER($F174),DATE(YEAR($F174),MONTH($F174),1),MesCiclo))))</f>
        <v/>
      </c>
      <c r="Q174" s="70">
        <f>IF(OR($P174="",$P174&lt;&gt;MesCiclo),"",COUNTIF($P$5:$P174,MesCiclo))</f>
        <v/>
      </c>
      <c r="R174" s="70">
        <f>IF($S174="","",IF($S174="Macro",ROW(),IFERROR(LOOKUP(2,1/($S$5:$S174="Macro"),ROW($S$5:$S174)),0)))</f>
        <v/>
      </c>
      <c r="S174" s="70">
        <f>IF(NOT((COUNTA($B174:$K174)+COUNTA($N174))&gt;0),"",IF($B174&lt;&gt;"","Macro",IF($C174&lt;&gt;"","Sub","Macro")))</f>
        <v/>
      </c>
      <c r="T174" s="70">
        <f>IF($S174="Macro",COUNTIFS($R$5:$R$1000,ROW(),$S$5:$S$1000,"Sub"),"")</f>
        <v/>
      </c>
      <c r="U174" s="70">
        <f>IF($S174="","",IF(ISNUMBER($H174),$H174,0))</f>
        <v/>
      </c>
      <c r="V174" s="70">
        <f>IF($S174="","",IF(ISNUMBER($I174),$I174,$U174))</f>
        <v/>
      </c>
      <c r="W174" s="70">
        <f>IF($S174="","",IF(ISNUMBER($J174),$J174,$V174))</f>
        <v/>
      </c>
      <c r="X174" s="70">
        <f>IF($S174="","",IF(ISNUMBER($K174),$K174,$W174))</f>
        <v/>
      </c>
      <c r="Y174" s="70">
        <f>IF($S174="","",IF(N($T174)&gt;0,AVERAGEIFS($U$5:$U$1000,$R$5:$R$1000,ROW(),$S$5:$S$1000,"Sub"),$U174))</f>
        <v/>
      </c>
      <c r="Z174" s="70">
        <f>IF($S174="","",IF(N($T174)&gt;0,AVERAGEIFS($V$5:$V$1000,$R$5:$R$1000,ROW(),$S$5:$S$1000,"Sub"),$V174))</f>
        <v/>
      </c>
      <c r="AA174" s="70">
        <f>IF($S174="","",IF(N($T174)&gt;0,AVERAGEIFS($W$5:$W$1000,$R$5:$R$1000,ROW(),$S$5:$S$1000,"Sub"),$W174))</f>
        <v/>
      </c>
      <c r="AB174" s="70">
        <f>IF($S174="","",IF(N($T174)&gt;0,AVERAGEIFS($X$5:$X$1000,$R$5:$R$1000,ROW(),$S$5:$S$1000,"Sub"),$X174))</f>
        <v/>
      </c>
    </row>
    <row r="175">
      <c r="A175" s="61">
        <f>IF(NOT((COUNTA($B175:$K175)+COUNTA($N175))&gt;0),"",IF($S175="Macro",COUNTIFS($S$5:$S175,"Macro",$P$5:$P175,$P175),IF(N($R175)=0,"?",COUNTIFS(INDEX($S$5:$S$1000,1):INDEX($S$5:$S$1000,$R175-4),"Macro",INDEX($P$5:$P$1000,1):INDEX($P$5:$P$1000,$R175-4),INDEX($P$5:$P$1000,$R175-4))&amp;"."&amp;COUNTIFS($R$5:$R175,$R175,$S$5:$S175,"Sub"))))</f>
        <v/>
      </c>
      <c r="B175" s="62" t="n"/>
      <c r="C175" s="63" t="n"/>
      <c r="D175" s="62" t="n"/>
      <c r="E175" s="64" t="n"/>
      <c r="F175" s="64" t="n"/>
      <c r="G175" s="65" t="n"/>
      <c r="H175" s="66" t="n"/>
      <c r="I175" s="66" t="n"/>
      <c r="J175" s="66" t="n"/>
      <c r="K175" s="66" t="n"/>
      <c r="L175" s="67">
        <f>IF(NOT((COUNTA($B175:$K175)+COUNTA($N175))&gt;0),"",IF(N($T175)&gt;0,$AB175,IFERROR(LOOKUP(2,1/(H175:K175&lt;&gt;""),H175:K175),0)))</f>
        <v/>
      </c>
      <c r="M175" s="61">
        <f>IF(L175="","",IF(L175&gt;=1,"Completado",IF(L175&gt;0,"En curso","Pendiente")))</f>
        <v/>
      </c>
      <c r="N175" s="62" t="n"/>
      <c r="O175" s="68">
        <f>IF(NOT((COUNTA($B175:$K175)+COUNTA($N175))&gt;0),"",IF((IF(AND($S175="Macro",$B175=""),"Macroactividad vacía"&amp;" · ","")&amp;IF(AND($B175&lt;&gt;"",$C175&lt;&gt;""),"Escriba la subactividad en otra fila, debajo de su macroactividad"&amp;" · ","")&amp;IF(AND($S175="Sub",N($R175)=0),"Subactividad sin macroactividad arriba"&amp;" · ","")&amp;IF($D175="","Sin responsable"&amp;" · ","")&amp;IF($E175="","Sin fecha de inicio"&amp;" · ","")&amp;IF($F175="","Sin fecha límite"&amp;" · ","")&amp;IF(OR(AND($E175&lt;&gt;"",NOT(ISNUMBER($E175))),AND($F175&lt;&gt;"",NOT(ISNUMBER($F175)))),"Fecha no válida"&amp;" · ","")&amp;IF(AND(ISNUMBER($E175),ISNUMBER($F175),$E175&gt;$F175),"Inicio posterior a fecha límite"&amp;" · ","")&amp;IF(AND($S175="Macro",$G175=""),"Peso vacío"&amp;" · ","")&amp;IF(AND($S175="Macro",$G175&lt;&gt;"",OR(NOT(ISNUMBER($G175)),$G175&lt;=0,$G175&gt;1)),"Peso fuera de rango"&amp;" · ","")&amp;IF(AND($S175="Sub",$G175&lt;&gt;""),"Las subactividades no llevan peso"&amp;" · ","")&amp;IF(AND($S175="Macro",ABS(SUMIFS($G$5:$G$1000,$P$5:$P$1000,$P175,$S$5:$S$1000,"Macro")-1)&gt;0.0001),"Pesos del mes suman "&amp;TEXT(SUMIFS($G$5:$G$1000,$P$5:$P$1000,$P175,$S$5:$S$1000,"Macro"),"0%")&amp;" · ","")&amp;IF(AND(N($T175)&gt;0,COUNT($H175:$K175)&gt;0),"Con subactividades: deje vacías las semanas (se calculan solas)"&amp;" · ","")&amp;IF((COUNTIF($H175:$K175,"&gt;1")+COUNTIF($H175:$K175,"&lt;0")+COUNTA($H175:$K175)-COUNT($H175:$K175))&gt;0,"Avance fuera de rango 0-100%"&amp;" · ","")&amp;IF(OR(AND($I175&lt;&gt;"",$I175&lt;$H175),AND($J175&lt;&gt;"",$J175&lt;MAX($H175:$I175)),AND($K175&lt;&gt;"",$K175&lt;MAX($H175:$J175))),"Avance semanal decreciente"&amp;" · ","")&amp;IF(AND(ISNUMBER($F175),$F175&lt;FechaRef,N($L175)&lt;1),"Vencida"&amp;" · ","")&amp;IF(AND(ObsObligatoria="Sí",ISNUMBER($F175),$F175&lt;FechaRef,N($L175)&lt;1,$N175=""),"Vencida sin observación"&amp;" · ",""))="","✔ OK","⚠ "&amp;LEFT(IF(AND($S175="Macro",$B175=""),"Macroactividad vacía"&amp;" · ","")&amp;IF(AND($B175&lt;&gt;"",$C175&lt;&gt;""),"Escriba la subactividad en otra fila, debajo de su macroactividad"&amp;" · ","")&amp;IF(AND($S175="Sub",N($R175)=0),"Subactividad sin macroactividad arriba"&amp;" · ","")&amp;IF($D175="","Sin responsable"&amp;" · ","")&amp;IF($E175="","Sin fecha de inicio"&amp;" · ","")&amp;IF($F175="","Sin fecha límite"&amp;" · ","")&amp;IF(OR(AND($E175&lt;&gt;"",NOT(ISNUMBER($E175))),AND($F175&lt;&gt;"",NOT(ISNUMBER($F175)))),"Fecha no válida"&amp;" · ","")&amp;IF(AND(ISNUMBER($E175),ISNUMBER($F175),$E175&gt;$F175),"Inicio posterior a fecha límite"&amp;" · ","")&amp;IF(AND($S175="Macro",$G175=""),"Peso vacío"&amp;" · ","")&amp;IF(AND($S175="Macro",$G175&lt;&gt;"",OR(NOT(ISNUMBER($G175)),$G175&lt;=0,$G175&gt;1)),"Peso fuera de rango"&amp;" · ","")&amp;IF(AND($S175="Sub",$G175&lt;&gt;""),"Las subactividades no llevan peso"&amp;" · ","")&amp;IF(AND($S175="Macro",ABS(SUMIFS($G$5:$G$1000,$P$5:$P$1000,$P175,$S$5:$S$1000,"Macro")-1)&gt;0.0001),"Pesos del mes suman "&amp;TEXT(SUMIFS($G$5:$G$1000,$P$5:$P$1000,$P175,$S$5:$S$1000,"Macro"),"0%")&amp;" · ","")&amp;IF(AND(N($T175)&gt;0,COUNT($H175:$K175)&gt;0),"Con subactividades: deje vacías las semanas (se calculan solas)"&amp;" · ","")&amp;IF((COUNTIF($H175:$K175,"&gt;1")+COUNTIF($H175:$K175,"&lt;0")+COUNTA($H175:$K175)-COUNT($H175:$K175))&gt;0,"Avance fuera de rango 0-100%"&amp;" · ","")&amp;IF(OR(AND($I175&lt;&gt;"",$I175&lt;$H175),AND($J175&lt;&gt;"",$J175&lt;MAX($H175:$I175)),AND($K175&lt;&gt;"",$K175&lt;MAX($H175:$J175))),"Avance semanal decreciente"&amp;" · ","")&amp;IF(AND(ISNUMBER($F175),$F175&lt;FechaRef,N($L175)&lt;1),"Vencida"&amp;" · ","")&amp;IF(AND(ObsObligatoria="Sí",ISNUMBER($F175),$F175&lt;FechaRef,N($L175)&lt;1,$N175=""),"Vencida sin observación"&amp;" · ",""),LEN(IF(AND($S175="Macro",$B175=""),"Macroactividad vacía"&amp;" · ","")&amp;IF(AND($B175&lt;&gt;"",$C175&lt;&gt;""),"Escriba la subactividad en otra fila, debajo de su macroactividad"&amp;" · ","")&amp;IF(AND($S175="Sub",N($R175)=0),"Subactividad sin macroactividad arriba"&amp;" · ","")&amp;IF($D175="","Sin responsable"&amp;" · ","")&amp;IF($E175="","Sin fecha de inicio"&amp;" · ","")&amp;IF($F175="","Sin fecha límite"&amp;" · ","")&amp;IF(OR(AND($E175&lt;&gt;"",NOT(ISNUMBER($E175))),AND($F175&lt;&gt;"",NOT(ISNUMBER($F175)))),"Fecha no válida"&amp;" · ","")&amp;IF(AND(ISNUMBER($E175),ISNUMBER($F175),$E175&gt;$F175),"Inicio posterior a fecha límite"&amp;" · ","")&amp;IF(AND($S175="Macro",$G175=""),"Peso vacío"&amp;" · ","")&amp;IF(AND($S175="Macro",$G175&lt;&gt;"",OR(NOT(ISNUMBER($G175)),$G175&lt;=0,$G175&gt;1)),"Peso fuera de rango"&amp;" · ","")&amp;IF(AND($S175="Sub",$G175&lt;&gt;""),"Las subactividades no llevan peso"&amp;" · ","")&amp;IF(AND($S175="Macro",ABS(SUMIFS($G$5:$G$1000,$P$5:$P$1000,$P175,$S$5:$S$1000,"Macro")-1)&gt;0.0001),"Pesos del mes suman "&amp;TEXT(SUMIFS($G$5:$G$1000,$P$5:$P$1000,$P175,$S$5:$S$1000,"Macro"),"0%")&amp;" · ","")&amp;IF(AND(N($T175)&gt;0,COUNT($H175:$K175)&gt;0),"Con subactividades: deje vacías las semanas (se calculan solas)"&amp;" · ","")&amp;IF((COUNTIF($H175:$K175,"&gt;1")+COUNTIF($H175:$K175,"&lt;0")+COUNTA($H175:$K175)-COUNT($H175:$K175))&gt;0,"Avance fuera de rango 0-100%"&amp;" · ","")&amp;IF(OR(AND($I175&lt;&gt;"",$I175&lt;$H175),AND($J175&lt;&gt;"",$J175&lt;MAX($H175:$I175)),AND($K175&lt;&gt;"",$K175&lt;MAX($H175:$J175))),"Avance semanal decreciente"&amp;" · ","")&amp;IF(AND(ISNUMBER($F175),$F175&lt;FechaRef,N($L175)&lt;1),"Vencida"&amp;" · ","")&amp;IF(AND(ObsObligatoria="Sí",ISNUMBER($F175),$F175&lt;FechaRef,N($L175)&lt;1,$N175=""),"Vencida sin observación"&amp;" · ",""))-3)))</f>
        <v/>
      </c>
      <c r="P175" s="69">
        <f>IF(NOT((COUNTA($B175:$K175)+COUNTA($N175))&gt;0),"",IF(AND($S175="Sub",N($R175)&gt;0),IF(ISNUMBER(INDEX($E$5:$E$1000,$R175-4)),DATE(YEAR(INDEX($E$5:$E$1000,$R175-4)),MONTH(INDEX($E$5:$E$1000,$R175-4)),1),IF(ISNUMBER(INDEX($F$5:$F$1000,$R175-4)),DATE(YEAR(INDEX($F$5:$F$1000,$R175-4)),MONTH(INDEX($F$5:$F$1000,$R175-4)),1),MesCiclo)),IF(ISNUMBER($E175),DATE(YEAR($E175),MONTH($E175),1),IF(ISNUMBER($F175),DATE(YEAR($F175),MONTH($F175),1),MesCiclo))))</f>
        <v/>
      </c>
      <c r="Q175" s="70">
        <f>IF(OR($P175="",$P175&lt;&gt;MesCiclo),"",COUNTIF($P$5:$P175,MesCiclo))</f>
        <v/>
      </c>
      <c r="R175" s="70">
        <f>IF($S175="","",IF($S175="Macro",ROW(),IFERROR(LOOKUP(2,1/($S$5:$S175="Macro"),ROW($S$5:$S175)),0)))</f>
        <v/>
      </c>
      <c r="S175" s="70">
        <f>IF(NOT((COUNTA($B175:$K175)+COUNTA($N175))&gt;0),"",IF($B175&lt;&gt;"","Macro",IF($C175&lt;&gt;"","Sub","Macro")))</f>
        <v/>
      </c>
      <c r="T175" s="70">
        <f>IF($S175="Macro",COUNTIFS($R$5:$R$1000,ROW(),$S$5:$S$1000,"Sub"),"")</f>
        <v/>
      </c>
      <c r="U175" s="70">
        <f>IF($S175="","",IF(ISNUMBER($H175),$H175,0))</f>
        <v/>
      </c>
      <c r="V175" s="70">
        <f>IF($S175="","",IF(ISNUMBER($I175),$I175,$U175))</f>
        <v/>
      </c>
      <c r="W175" s="70">
        <f>IF($S175="","",IF(ISNUMBER($J175),$J175,$V175))</f>
        <v/>
      </c>
      <c r="X175" s="70">
        <f>IF($S175="","",IF(ISNUMBER($K175),$K175,$W175))</f>
        <v/>
      </c>
      <c r="Y175" s="70">
        <f>IF($S175="","",IF(N($T175)&gt;0,AVERAGEIFS($U$5:$U$1000,$R$5:$R$1000,ROW(),$S$5:$S$1000,"Sub"),$U175))</f>
        <v/>
      </c>
      <c r="Z175" s="70">
        <f>IF($S175="","",IF(N($T175)&gt;0,AVERAGEIFS($V$5:$V$1000,$R$5:$R$1000,ROW(),$S$5:$S$1000,"Sub"),$V175))</f>
        <v/>
      </c>
      <c r="AA175" s="70">
        <f>IF($S175="","",IF(N($T175)&gt;0,AVERAGEIFS($W$5:$W$1000,$R$5:$R$1000,ROW(),$S$5:$S$1000,"Sub"),$W175))</f>
        <v/>
      </c>
      <c r="AB175" s="70">
        <f>IF($S175="","",IF(N($T175)&gt;0,AVERAGEIFS($X$5:$X$1000,$R$5:$R$1000,ROW(),$S$5:$S$1000,"Sub"),$X175))</f>
        <v/>
      </c>
    </row>
    <row r="176">
      <c r="A176" s="61">
        <f>IF(NOT((COUNTA($B176:$K176)+COUNTA($N176))&gt;0),"",IF($S176="Macro",COUNTIFS($S$5:$S176,"Macro",$P$5:$P176,$P176),IF(N($R176)=0,"?",COUNTIFS(INDEX($S$5:$S$1000,1):INDEX($S$5:$S$1000,$R176-4),"Macro",INDEX($P$5:$P$1000,1):INDEX($P$5:$P$1000,$R176-4),INDEX($P$5:$P$1000,$R176-4))&amp;"."&amp;COUNTIFS($R$5:$R176,$R176,$S$5:$S176,"Sub"))))</f>
        <v/>
      </c>
      <c r="B176" s="62" t="n"/>
      <c r="C176" s="63" t="n"/>
      <c r="D176" s="62" t="n"/>
      <c r="E176" s="64" t="n"/>
      <c r="F176" s="64" t="n"/>
      <c r="G176" s="65" t="n"/>
      <c r="H176" s="66" t="n"/>
      <c r="I176" s="66" t="n"/>
      <c r="J176" s="66" t="n"/>
      <c r="K176" s="66" t="n"/>
      <c r="L176" s="67">
        <f>IF(NOT((COUNTA($B176:$K176)+COUNTA($N176))&gt;0),"",IF(N($T176)&gt;0,$AB176,IFERROR(LOOKUP(2,1/(H176:K176&lt;&gt;""),H176:K176),0)))</f>
        <v/>
      </c>
      <c r="M176" s="61">
        <f>IF(L176="","",IF(L176&gt;=1,"Completado",IF(L176&gt;0,"En curso","Pendiente")))</f>
        <v/>
      </c>
      <c r="N176" s="62" t="n"/>
      <c r="O176" s="68">
        <f>IF(NOT((COUNTA($B176:$K176)+COUNTA($N176))&gt;0),"",IF((IF(AND($S176="Macro",$B176=""),"Macroactividad vacía"&amp;" · ","")&amp;IF(AND($B176&lt;&gt;"",$C176&lt;&gt;""),"Escriba la subactividad en otra fila, debajo de su macroactividad"&amp;" · ","")&amp;IF(AND($S176="Sub",N($R176)=0),"Subactividad sin macroactividad arriba"&amp;" · ","")&amp;IF($D176="","Sin responsable"&amp;" · ","")&amp;IF($E176="","Sin fecha de inicio"&amp;" · ","")&amp;IF($F176="","Sin fecha límite"&amp;" · ","")&amp;IF(OR(AND($E176&lt;&gt;"",NOT(ISNUMBER($E176))),AND($F176&lt;&gt;"",NOT(ISNUMBER($F176)))),"Fecha no válida"&amp;" · ","")&amp;IF(AND(ISNUMBER($E176),ISNUMBER($F176),$E176&gt;$F176),"Inicio posterior a fecha límite"&amp;" · ","")&amp;IF(AND($S176="Macro",$G176=""),"Peso vacío"&amp;" · ","")&amp;IF(AND($S176="Macro",$G176&lt;&gt;"",OR(NOT(ISNUMBER($G176)),$G176&lt;=0,$G176&gt;1)),"Peso fuera de rango"&amp;" · ","")&amp;IF(AND($S176="Sub",$G176&lt;&gt;""),"Las subactividades no llevan peso"&amp;" · ","")&amp;IF(AND($S176="Macro",ABS(SUMIFS($G$5:$G$1000,$P$5:$P$1000,$P176,$S$5:$S$1000,"Macro")-1)&gt;0.0001),"Pesos del mes suman "&amp;TEXT(SUMIFS($G$5:$G$1000,$P$5:$P$1000,$P176,$S$5:$S$1000,"Macro"),"0%")&amp;" · ","")&amp;IF(AND(N($T176)&gt;0,COUNT($H176:$K176)&gt;0),"Con subactividades: deje vacías las semanas (se calculan solas)"&amp;" · ","")&amp;IF((COUNTIF($H176:$K176,"&gt;1")+COUNTIF($H176:$K176,"&lt;0")+COUNTA($H176:$K176)-COUNT($H176:$K176))&gt;0,"Avance fuera de rango 0-100%"&amp;" · ","")&amp;IF(OR(AND($I176&lt;&gt;"",$I176&lt;$H176),AND($J176&lt;&gt;"",$J176&lt;MAX($H176:$I176)),AND($K176&lt;&gt;"",$K176&lt;MAX($H176:$J176))),"Avance semanal decreciente"&amp;" · ","")&amp;IF(AND(ISNUMBER($F176),$F176&lt;FechaRef,N($L176)&lt;1),"Vencida"&amp;" · ","")&amp;IF(AND(ObsObligatoria="Sí",ISNUMBER($F176),$F176&lt;FechaRef,N($L176)&lt;1,$N176=""),"Vencida sin observación"&amp;" · ",""))="","✔ OK","⚠ "&amp;LEFT(IF(AND($S176="Macro",$B176=""),"Macroactividad vacía"&amp;" · ","")&amp;IF(AND($B176&lt;&gt;"",$C176&lt;&gt;""),"Escriba la subactividad en otra fila, debajo de su macroactividad"&amp;" · ","")&amp;IF(AND($S176="Sub",N($R176)=0),"Subactividad sin macroactividad arriba"&amp;" · ","")&amp;IF($D176="","Sin responsable"&amp;" · ","")&amp;IF($E176="","Sin fecha de inicio"&amp;" · ","")&amp;IF($F176="","Sin fecha límite"&amp;" · ","")&amp;IF(OR(AND($E176&lt;&gt;"",NOT(ISNUMBER($E176))),AND($F176&lt;&gt;"",NOT(ISNUMBER($F176)))),"Fecha no válida"&amp;" · ","")&amp;IF(AND(ISNUMBER($E176),ISNUMBER($F176),$E176&gt;$F176),"Inicio posterior a fecha límite"&amp;" · ","")&amp;IF(AND($S176="Macro",$G176=""),"Peso vacío"&amp;" · ","")&amp;IF(AND($S176="Macro",$G176&lt;&gt;"",OR(NOT(ISNUMBER($G176)),$G176&lt;=0,$G176&gt;1)),"Peso fuera de rango"&amp;" · ","")&amp;IF(AND($S176="Sub",$G176&lt;&gt;""),"Las subactividades no llevan peso"&amp;" · ","")&amp;IF(AND($S176="Macro",ABS(SUMIFS($G$5:$G$1000,$P$5:$P$1000,$P176,$S$5:$S$1000,"Macro")-1)&gt;0.0001),"Pesos del mes suman "&amp;TEXT(SUMIFS($G$5:$G$1000,$P$5:$P$1000,$P176,$S$5:$S$1000,"Macro"),"0%")&amp;" · ","")&amp;IF(AND(N($T176)&gt;0,COUNT($H176:$K176)&gt;0),"Con subactividades: deje vacías las semanas (se calculan solas)"&amp;" · ","")&amp;IF((COUNTIF($H176:$K176,"&gt;1")+COUNTIF($H176:$K176,"&lt;0")+COUNTA($H176:$K176)-COUNT($H176:$K176))&gt;0,"Avance fuera de rango 0-100%"&amp;" · ","")&amp;IF(OR(AND($I176&lt;&gt;"",$I176&lt;$H176),AND($J176&lt;&gt;"",$J176&lt;MAX($H176:$I176)),AND($K176&lt;&gt;"",$K176&lt;MAX($H176:$J176))),"Avance semanal decreciente"&amp;" · ","")&amp;IF(AND(ISNUMBER($F176),$F176&lt;FechaRef,N($L176)&lt;1),"Vencida"&amp;" · ","")&amp;IF(AND(ObsObligatoria="Sí",ISNUMBER($F176),$F176&lt;FechaRef,N($L176)&lt;1,$N176=""),"Vencida sin observación"&amp;" · ",""),LEN(IF(AND($S176="Macro",$B176=""),"Macroactividad vacía"&amp;" · ","")&amp;IF(AND($B176&lt;&gt;"",$C176&lt;&gt;""),"Escriba la subactividad en otra fila, debajo de su macroactividad"&amp;" · ","")&amp;IF(AND($S176="Sub",N($R176)=0),"Subactividad sin macroactividad arriba"&amp;" · ","")&amp;IF($D176="","Sin responsable"&amp;" · ","")&amp;IF($E176="","Sin fecha de inicio"&amp;" · ","")&amp;IF($F176="","Sin fecha límite"&amp;" · ","")&amp;IF(OR(AND($E176&lt;&gt;"",NOT(ISNUMBER($E176))),AND($F176&lt;&gt;"",NOT(ISNUMBER($F176)))),"Fecha no válida"&amp;" · ","")&amp;IF(AND(ISNUMBER($E176),ISNUMBER($F176),$E176&gt;$F176),"Inicio posterior a fecha límite"&amp;" · ","")&amp;IF(AND($S176="Macro",$G176=""),"Peso vacío"&amp;" · ","")&amp;IF(AND($S176="Macro",$G176&lt;&gt;"",OR(NOT(ISNUMBER($G176)),$G176&lt;=0,$G176&gt;1)),"Peso fuera de rango"&amp;" · ","")&amp;IF(AND($S176="Sub",$G176&lt;&gt;""),"Las subactividades no llevan peso"&amp;" · ","")&amp;IF(AND($S176="Macro",ABS(SUMIFS($G$5:$G$1000,$P$5:$P$1000,$P176,$S$5:$S$1000,"Macro")-1)&gt;0.0001),"Pesos del mes suman "&amp;TEXT(SUMIFS($G$5:$G$1000,$P$5:$P$1000,$P176,$S$5:$S$1000,"Macro"),"0%")&amp;" · ","")&amp;IF(AND(N($T176)&gt;0,COUNT($H176:$K176)&gt;0),"Con subactividades: deje vacías las semanas (se calculan solas)"&amp;" · ","")&amp;IF((COUNTIF($H176:$K176,"&gt;1")+COUNTIF($H176:$K176,"&lt;0")+COUNTA($H176:$K176)-COUNT($H176:$K176))&gt;0,"Avance fuera de rango 0-100%"&amp;" · ","")&amp;IF(OR(AND($I176&lt;&gt;"",$I176&lt;$H176),AND($J176&lt;&gt;"",$J176&lt;MAX($H176:$I176)),AND($K176&lt;&gt;"",$K176&lt;MAX($H176:$J176))),"Avance semanal decreciente"&amp;" · ","")&amp;IF(AND(ISNUMBER($F176),$F176&lt;FechaRef,N($L176)&lt;1),"Vencida"&amp;" · ","")&amp;IF(AND(ObsObligatoria="Sí",ISNUMBER($F176),$F176&lt;FechaRef,N($L176)&lt;1,$N176=""),"Vencida sin observación"&amp;" · ",""))-3)))</f>
        <v/>
      </c>
      <c r="P176" s="69">
        <f>IF(NOT((COUNTA($B176:$K176)+COUNTA($N176))&gt;0),"",IF(AND($S176="Sub",N($R176)&gt;0),IF(ISNUMBER(INDEX($E$5:$E$1000,$R176-4)),DATE(YEAR(INDEX($E$5:$E$1000,$R176-4)),MONTH(INDEX($E$5:$E$1000,$R176-4)),1),IF(ISNUMBER(INDEX($F$5:$F$1000,$R176-4)),DATE(YEAR(INDEX($F$5:$F$1000,$R176-4)),MONTH(INDEX($F$5:$F$1000,$R176-4)),1),MesCiclo)),IF(ISNUMBER($E176),DATE(YEAR($E176),MONTH($E176),1),IF(ISNUMBER($F176),DATE(YEAR($F176),MONTH($F176),1),MesCiclo))))</f>
        <v/>
      </c>
      <c r="Q176" s="70">
        <f>IF(OR($P176="",$P176&lt;&gt;MesCiclo),"",COUNTIF($P$5:$P176,MesCiclo))</f>
        <v/>
      </c>
      <c r="R176" s="70">
        <f>IF($S176="","",IF($S176="Macro",ROW(),IFERROR(LOOKUP(2,1/($S$5:$S176="Macro"),ROW($S$5:$S176)),0)))</f>
        <v/>
      </c>
      <c r="S176" s="70">
        <f>IF(NOT((COUNTA($B176:$K176)+COUNTA($N176))&gt;0),"",IF($B176&lt;&gt;"","Macro",IF($C176&lt;&gt;"","Sub","Macro")))</f>
        <v/>
      </c>
      <c r="T176" s="70">
        <f>IF($S176="Macro",COUNTIFS($R$5:$R$1000,ROW(),$S$5:$S$1000,"Sub"),"")</f>
        <v/>
      </c>
      <c r="U176" s="70">
        <f>IF($S176="","",IF(ISNUMBER($H176),$H176,0))</f>
        <v/>
      </c>
      <c r="V176" s="70">
        <f>IF($S176="","",IF(ISNUMBER($I176),$I176,$U176))</f>
        <v/>
      </c>
      <c r="W176" s="70">
        <f>IF($S176="","",IF(ISNUMBER($J176),$J176,$V176))</f>
        <v/>
      </c>
      <c r="X176" s="70">
        <f>IF($S176="","",IF(ISNUMBER($K176),$K176,$W176))</f>
        <v/>
      </c>
      <c r="Y176" s="70">
        <f>IF($S176="","",IF(N($T176)&gt;0,AVERAGEIFS($U$5:$U$1000,$R$5:$R$1000,ROW(),$S$5:$S$1000,"Sub"),$U176))</f>
        <v/>
      </c>
      <c r="Z176" s="70">
        <f>IF($S176="","",IF(N($T176)&gt;0,AVERAGEIFS($V$5:$V$1000,$R$5:$R$1000,ROW(),$S$5:$S$1000,"Sub"),$V176))</f>
        <v/>
      </c>
      <c r="AA176" s="70">
        <f>IF($S176="","",IF(N($T176)&gt;0,AVERAGEIFS($W$5:$W$1000,$R$5:$R$1000,ROW(),$S$5:$S$1000,"Sub"),$W176))</f>
        <v/>
      </c>
      <c r="AB176" s="70">
        <f>IF($S176="","",IF(N($T176)&gt;0,AVERAGEIFS($X$5:$X$1000,$R$5:$R$1000,ROW(),$S$5:$S$1000,"Sub"),$X176))</f>
        <v/>
      </c>
    </row>
    <row r="177">
      <c r="A177" s="61">
        <f>IF(NOT((COUNTA($B177:$K177)+COUNTA($N177))&gt;0),"",IF($S177="Macro",COUNTIFS($S$5:$S177,"Macro",$P$5:$P177,$P177),IF(N($R177)=0,"?",COUNTIFS(INDEX($S$5:$S$1000,1):INDEX($S$5:$S$1000,$R177-4),"Macro",INDEX($P$5:$P$1000,1):INDEX($P$5:$P$1000,$R177-4),INDEX($P$5:$P$1000,$R177-4))&amp;"."&amp;COUNTIFS($R$5:$R177,$R177,$S$5:$S177,"Sub"))))</f>
        <v/>
      </c>
      <c r="B177" s="62" t="n"/>
      <c r="C177" s="63" t="n"/>
      <c r="D177" s="62" t="n"/>
      <c r="E177" s="64" t="n"/>
      <c r="F177" s="64" t="n"/>
      <c r="G177" s="65" t="n"/>
      <c r="H177" s="66" t="n"/>
      <c r="I177" s="66" t="n"/>
      <c r="J177" s="66" t="n"/>
      <c r="K177" s="66" t="n"/>
      <c r="L177" s="67">
        <f>IF(NOT((COUNTA($B177:$K177)+COUNTA($N177))&gt;0),"",IF(N($T177)&gt;0,$AB177,IFERROR(LOOKUP(2,1/(H177:K177&lt;&gt;""),H177:K177),0)))</f>
        <v/>
      </c>
      <c r="M177" s="61">
        <f>IF(L177="","",IF(L177&gt;=1,"Completado",IF(L177&gt;0,"En curso","Pendiente")))</f>
        <v/>
      </c>
      <c r="N177" s="62" t="n"/>
      <c r="O177" s="68">
        <f>IF(NOT((COUNTA($B177:$K177)+COUNTA($N177))&gt;0),"",IF((IF(AND($S177="Macro",$B177=""),"Macroactividad vacía"&amp;" · ","")&amp;IF(AND($B177&lt;&gt;"",$C177&lt;&gt;""),"Escriba la subactividad en otra fila, debajo de su macroactividad"&amp;" · ","")&amp;IF(AND($S177="Sub",N($R177)=0),"Subactividad sin macroactividad arriba"&amp;" · ","")&amp;IF($D177="","Sin responsable"&amp;" · ","")&amp;IF($E177="","Sin fecha de inicio"&amp;" · ","")&amp;IF($F177="","Sin fecha límite"&amp;" · ","")&amp;IF(OR(AND($E177&lt;&gt;"",NOT(ISNUMBER($E177))),AND($F177&lt;&gt;"",NOT(ISNUMBER($F177)))),"Fecha no válida"&amp;" · ","")&amp;IF(AND(ISNUMBER($E177),ISNUMBER($F177),$E177&gt;$F177),"Inicio posterior a fecha límite"&amp;" · ","")&amp;IF(AND($S177="Macro",$G177=""),"Peso vacío"&amp;" · ","")&amp;IF(AND($S177="Macro",$G177&lt;&gt;"",OR(NOT(ISNUMBER($G177)),$G177&lt;=0,$G177&gt;1)),"Peso fuera de rango"&amp;" · ","")&amp;IF(AND($S177="Sub",$G177&lt;&gt;""),"Las subactividades no llevan peso"&amp;" · ","")&amp;IF(AND($S177="Macro",ABS(SUMIFS($G$5:$G$1000,$P$5:$P$1000,$P177,$S$5:$S$1000,"Macro")-1)&gt;0.0001),"Pesos del mes suman "&amp;TEXT(SUMIFS($G$5:$G$1000,$P$5:$P$1000,$P177,$S$5:$S$1000,"Macro"),"0%")&amp;" · ","")&amp;IF(AND(N($T177)&gt;0,COUNT($H177:$K177)&gt;0),"Con subactividades: deje vacías las semanas (se calculan solas)"&amp;" · ","")&amp;IF((COUNTIF($H177:$K177,"&gt;1")+COUNTIF($H177:$K177,"&lt;0")+COUNTA($H177:$K177)-COUNT($H177:$K177))&gt;0,"Avance fuera de rango 0-100%"&amp;" · ","")&amp;IF(OR(AND($I177&lt;&gt;"",$I177&lt;$H177),AND($J177&lt;&gt;"",$J177&lt;MAX($H177:$I177)),AND($K177&lt;&gt;"",$K177&lt;MAX($H177:$J177))),"Avance semanal decreciente"&amp;" · ","")&amp;IF(AND(ISNUMBER($F177),$F177&lt;FechaRef,N($L177)&lt;1),"Vencida"&amp;" · ","")&amp;IF(AND(ObsObligatoria="Sí",ISNUMBER($F177),$F177&lt;FechaRef,N($L177)&lt;1,$N177=""),"Vencida sin observación"&amp;" · ",""))="","✔ OK","⚠ "&amp;LEFT(IF(AND($S177="Macro",$B177=""),"Macroactividad vacía"&amp;" · ","")&amp;IF(AND($B177&lt;&gt;"",$C177&lt;&gt;""),"Escriba la subactividad en otra fila, debajo de su macroactividad"&amp;" · ","")&amp;IF(AND($S177="Sub",N($R177)=0),"Subactividad sin macroactividad arriba"&amp;" · ","")&amp;IF($D177="","Sin responsable"&amp;" · ","")&amp;IF($E177="","Sin fecha de inicio"&amp;" · ","")&amp;IF($F177="","Sin fecha límite"&amp;" · ","")&amp;IF(OR(AND($E177&lt;&gt;"",NOT(ISNUMBER($E177))),AND($F177&lt;&gt;"",NOT(ISNUMBER($F177)))),"Fecha no válida"&amp;" · ","")&amp;IF(AND(ISNUMBER($E177),ISNUMBER($F177),$E177&gt;$F177),"Inicio posterior a fecha límite"&amp;" · ","")&amp;IF(AND($S177="Macro",$G177=""),"Peso vacío"&amp;" · ","")&amp;IF(AND($S177="Macro",$G177&lt;&gt;"",OR(NOT(ISNUMBER($G177)),$G177&lt;=0,$G177&gt;1)),"Peso fuera de rango"&amp;" · ","")&amp;IF(AND($S177="Sub",$G177&lt;&gt;""),"Las subactividades no llevan peso"&amp;" · ","")&amp;IF(AND($S177="Macro",ABS(SUMIFS($G$5:$G$1000,$P$5:$P$1000,$P177,$S$5:$S$1000,"Macro")-1)&gt;0.0001),"Pesos del mes suman "&amp;TEXT(SUMIFS($G$5:$G$1000,$P$5:$P$1000,$P177,$S$5:$S$1000,"Macro"),"0%")&amp;" · ","")&amp;IF(AND(N($T177)&gt;0,COUNT($H177:$K177)&gt;0),"Con subactividades: deje vacías las semanas (se calculan solas)"&amp;" · ","")&amp;IF((COUNTIF($H177:$K177,"&gt;1")+COUNTIF($H177:$K177,"&lt;0")+COUNTA($H177:$K177)-COUNT($H177:$K177))&gt;0,"Avance fuera de rango 0-100%"&amp;" · ","")&amp;IF(OR(AND($I177&lt;&gt;"",$I177&lt;$H177),AND($J177&lt;&gt;"",$J177&lt;MAX($H177:$I177)),AND($K177&lt;&gt;"",$K177&lt;MAX($H177:$J177))),"Avance semanal decreciente"&amp;" · ","")&amp;IF(AND(ISNUMBER($F177),$F177&lt;FechaRef,N($L177)&lt;1),"Vencida"&amp;" · ","")&amp;IF(AND(ObsObligatoria="Sí",ISNUMBER($F177),$F177&lt;FechaRef,N($L177)&lt;1,$N177=""),"Vencida sin observación"&amp;" · ",""),LEN(IF(AND($S177="Macro",$B177=""),"Macroactividad vacía"&amp;" · ","")&amp;IF(AND($B177&lt;&gt;"",$C177&lt;&gt;""),"Escriba la subactividad en otra fila, debajo de su macroactividad"&amp;" · ","")&amp;IF(AND($S177="Sub",N($R177)=0),"Subactividad sin macroactividad arriba"&amp;" · ","")&amp;IF($D177="","Sin responsable"&amp;" · ","")&amp;IF($E177="","Sin fecha de inicio"&amp;" · ","")&amp;IF($F177="","Sin fecha límite"&amp;" · ","")&amp;IF(OR(AND($E177&lt;&gt;"",NOT(ISNUMBER($E177))),AND($F177&lt;&gt;"",NOT(ISNUMBER($F177)))),"Fecha no válida"&amp;" · ","")&amp;IF(AND(ISNUMBER($E177),ISNUMBER($F177),$E177&gt;$F177),"Inicio posterior a fecha límite"&amp;" · ","")&amp;IF(AND($S177="Macro",$G177=""),"Peso vacío"&amp;" · ","")&amp;IF(AND($S177="Macro",$G177&lt;&gt;"",OR(NOT(ISNUMBER($G177)),$G177&lt;=0,$G177&gt;1)),"Peso fuera de rango"&amp;" · ","")&amp;IF(AND($S177="Sub",$G177&lt;&gt;""),"Las subactividades no llevan peso"&amp;" · ","")&amp;IF(AND($S177="Macro",ABS(SUMIFS($G$5:$G$1000,$P$5:$P$1000,$P177,$S$5:$S$1000,"Macro")-1)&gt;0.0001),"Pesos del mes suman "&amp;TEXT(SUMIFS($G$5:$G$1000,$P$5:$P$1000,$P177,$S$5:$S$1000,"Macro"),"0%")&amp;" · ","")&amp;IF(AND(N($T177)&gt;0,COUNT($H177:$K177)&gt;0),"Con subactividades: deje vacías las semanas (se calculan solas)"&amp;" · ","")&amp;IF((COUNTIF($H177:$K177,"&gt;1")+COUNTIF($H177:$K177,"&lt;0")+COUNTA($H177:$K177)-COUNT($H177:$K177))&gt;0,"Avance fuera de rango 0-100%"&amp;" · ","")&amp;IF(OR(AND($I177&lt;&gt;"",$I177&lt;$H177),AND($J177&lt;&gt;"",$J177&lt;MAX($H177:$I177)),AND($K177&lt;&gt;"",$K177&lt;MAX($H177:$J177))),"Avance semanal decreciente"&amp;" · ","")&amp;IF(AND(ISNUMBER($F177),$F177&lt;FechaRef,N($L177)&lt;1),"Vencida"&amp;" · ","")&amp;IF(AND(ObsObligatoria="Sí",ISNUMBER($F177),$F177&lt;FechaRef,N($L177)&lt;1,$N177=""),"Vencida sin observación"&amp;" · ",""))-3)))</f>
        <v/>
      </c>
      <c r="P177" s="69">
        <f>IF(NOT((COUNTA($B177:$K177)+COUNTA($N177))&gt;0),"",IF(AND($S177="Sub",N($R177)&gt;0),IF(ISNUMBER(INDEX($E$5:$E$1000,$R177-4)),DATE(YEAR(INDEX($E$5:$E$1000,$R177-4)),MONTH(INDEX($E$5:$E$1000,$R177-4)),1),IF(ISNUMBER(INDEX($F$5:$F$1000,$R177-4)),DATE(YEAR(INDEX($F$5:$F$1000,$R177-4)),MONTH(INDEX($F$5:$F$1000,$R177-4)),1),MesCiclo)),IF(ISNUMBER($E177),DATE(YEAR($E177),MONTH($E177),1),IF(ISNUMBER($F177),DATE(YEAR($F177),MONTH($F177),1),MesCiclo))))</f>
        <v/>
      </c>
      <c r="Q177" s="70">
        <f>IF(OR($P177="",$P177&lt;&gt;MesCiclo),"",COUNTIF($P$5:$P177,MesCiclo))</f>
        <v/>
      </c>
      <c r="R177" s="70">
        <f>IF($S177="","",IF($S177="Macro",ROW(),IFERROR(LOOKUP(2,1/($S$5:$S177="Macro"),ROW($S$5:$S177)),0)))</f>
        <v/>
      </c>
      <c r="S177" s="70">
        <f>IF(NOT((COUNTA($B177:$K177)+COUNTA($N177))&gt;0),"",IF($B177&lt;&gt;"","Macro",IF($C177&lt;&gt;"","Sub","Macro")))</f>
        <v/>
      </c>
      <c r="T177" s="70">
        <f>IF($S177="Macro",COUNTIFS($R$5:$R$1000,ROW(),$S$5:$S$1000,"Sub"),"")</f>
        <v/>
      </c>
      <c r="U177" s="70">
        <f>IF($S177="","",IF(ISNUMBER($H177),$H177,0))</f>
        <v/>
      </c>
      <c r="V177" s="70">
        <f>IF($S177="","",IF(ISNUMBER($I177),$I177,$U177))</f>
        <v/>
      </c>
      <c r="W177" s="70">
        <f>IF($S177="","",IF(ISNUMBER($J177),$J177,$V177))</f>
        <v/>
      </c>
      <c r="X177" s="70">
        <f>IF($S177="","",IF(ISNUMBER($K177),$K177,$W177))</f>
        <v/>
      </c>
      <c r="Y177" s="70">
        <f>IF($S177="","",IF(N($T177)&gt;0,AVERAGEIFS($U$5:$U$1000,$R$5:$R$1000,ROW(),$S$5:$S$1000,"Sub"),$U177))</f>
        <v/>
      </c>
      <c r="Z177" s="70">
        <f>IF($S177="","",IF(N($T177)&gt;0,AVERAGEIFS($V$5:$V$1000,$R$5:$R$1000,ROW(),$S$5:$S$1000,"Sub"),$V177))</f>
        <v/>
      </c>
      <c r="AA177" s="70">
        <f>IF($S177="","",IF(N($T177)&gt;0,AVERAGEIFS($W$5:$W$1000,$R$5:$R$1000,ROW(),$S$5:$S$1000,"Sub"),$W177))</f>
        <v/>
      </c>
      <c r="AB177" s="70">
        <f>IF($S177="","",IF(N($T177)&gt;0,AVERAGEIFS($X$5:$X$1000,$R$5:$R$1000,ROW(),$S$5:$S$1000,"Sub"),$X177))</f>
        <v/>
      </c>
    </row>
    <row r="178">
      <c r="A178" s="61">
        <f>IF(NOT((COUNTA($B178:$K178)+COUNTA($N178))&gt;0),"",IF($S178="Macro",COUNTIFS($S$5:$S178,"Macro",$P$5:$P178,$P178),IF(N($R178)=0,"?",COUNTIFS(INDEX($S$5:$S$1000,1):INDEX($S$5:$S$1000,$R178-4),"Macro",INDEX($P$5:$P$1000,1):INDEX($P$5:$P$1000,$R178-4),INDEX($P$5:$P$1000,$R178-4))&amp;"."&amp;COUNTIFS($R$5:$R178,$R178,$S$5:$S178,"Sub"))))</f>
        <v/>
      </c>
      <c r="B178" s="62" t="n"/>
      <c r="C178" s="63" t="n"/>
      <c r="D178" s="62" t="n"/>
      <c r="E178" s="64" t="n"/>
      <c r="F178" s="64" t="n"/>
      <c r="G178" s="65" t="n"/>
      <c r="H178" s="66" t="n"/>
      <c r="I178" s="66" t="n"/>
      <c r="J178" s="66" t="n"/>
      <c r="K178" s="66" t="n"/>
      <c r="L178" s="67">
        <f>IF(NOT((COUNTA($B178:$K178)+COUNTA($N178))&gt;0),"",IF(N($T178)&gt;0,$AB178,IFERROR(LOOKUP(2,1/(H178:K178&lt;&gt;""),H178:K178),0)))</f>
        <v/>
      </c>
      <c r="M178" s="61">
        <f>IF(L178="","",IF(L178&gt;=1,"Completado",IF(L178&gt;0,"En curso","Pendiente")))</f>
        <v/>
      </c>
      <c r="N178" s="62" t="n"/>
      <c r="O178" s="68">
        <f>IF(NOT((COUNTA($B178:$K178)+COUNTA($N178))&gt;0),"",IF((IF(AND($S178="Macro",$B178=""),"Macroactividad vacía"&amp;" · ","")&amp;IF(AND($B178&lt;&gt;"",$C178&lt;&gt;""),"Escriba la subactividad en otra fila, debajo de su macroactividad"&amp;" · ","")&amp;IF(AND($S178="Sub",N($R178)=0),"Subactividad sin macroactividad arriba"&amp;" · ","")&amp;IF($D178="","Sin responsable"&amp;" · ","")&amp;IF($E178="","Sin fecha de inicio"&amp;" · ","")&amp;IF($F178="","Sin fecha límite"&amp;" · ","")&amp;IF(OR(AND($E178&lt;&gt;"",NOT(ISNUMBER($E178))),AND($F178&lt;&gt;"",NOT(ISNUMBER($F178)))),"Fecha no válida"&amp;" · ","")&amp;IF(AND(ISNUMBER($E178),ISNUMBER($F178),$E178&gt;$F178),"Inicio posterior a fecha límite"&amp;" · ","")&amp;IF(AND($S178="Macro",$G178=""),"Peso vacío"&amp;" · ","")&amp;IF(AND($S178="Macro",$G178&lt;&gt;"",OR(NOT(ISNUMBER($G178)),$G178&lt;=0,$G178&gt;1)),"Peso fuera de rango"&amp;" · ","")&amp;IF(AND($S178="Sub",$G178&lt;&gt;""),"Las subactividades no llevan peso"&amp;" · ","")&amp;IF(AND($S178="Macro",ABS(SUMIFS($G$5:$G$1000,$P$5:$P$1000,$P178,$S$5:$S$1000,"Macro")-1)&gt;0.0001),"Pesos del mes suman "&amp;TEXT(SUMIFS($G$5:$G$1000,$P$5:$P$1000,$P178,$S$5:$S$1000,"Macro"),"0%")&amp;" · ","")&amp;IF(AND(N($T178)&gt;0,COUNT($H178:$K178)&gt;0),"Con subactividades: deje vacías las semanas (se calculan solas)"&amp;" · ","")&amp;IF((COUNTIF($H178:$K178,"&gt;1")+COUNTIF($H178:$K178,"&lt;0")+COUNTA($H178:$K178)-COUNT($H178:$K178))&gt;0,"Avance fuera de rango 0-100%"&amp;" · ","")&amp;IF(OR(AND($I178&lt;&gt;"",$I178&lt;$H178),AND($J178&lt;&gt;"",$J178&lt;MAX($H178:$I178)),AND($K178&lt;&gt;"",$K178&lt;MAX($H178:$J178))),"Avance semanal decreciente"&amp;" · ","")&amp;IF(AND(ISNUMBER($F178),$F178&lt;FechaRef,N($L178)&lt;1),"Vencida"&amp;" · ","")&amp;IF(AND(ObsObligatoria="Sí",ISNUMBER($F178),$F178&lt;FechaRef,N($L178)&lt;1,$N178=""),"Vencida sin observación"&amp;" · ",""))="","✔ OK","⚠ "&amp;LEFT(IF(AND($S178="Macro",$B178=""),"Macroactividad vacía"&amp;" · ","")&amp;IF(AND($B178&lt;&gt;"",$C178&lt;&gt;""),"Escriba la subactividad en otra fila, debajo de su macroactividad"&amp;" · ","")&amp;IF(AND($S178="Sub",N($R178)=0),"Subactividad sin macroactividad arriba"&amp;" · ","")&amp;IF($D178="","Sin responsable"&amp;" · ","")&amp;IF($E178="","Sin fecha de inicio"&amp;" · ","")&amp;IF($F178="","Sin fecha límite"&amp;" · ","")&amp;IF(OR(AND($E178&lt;&gt;"",NOT(ISNUMBER($E178))),AND($F178&lt;&gt;"",NOT(ISNUMBER($F178)))),"Fecha no válida"&amp;" · ","")&amp;IF(AND(ISNUMBER($E178),ISNUMBER($F178),$E178&gt;$F178),"Inicio posterior a fecha límite"&amp;" · ","")&amp;IF(AND($S178="Macro",$G178=""),"Peso vacío"&amp;" · ","")&amp;IF(AND($S178="Macro",$G178&lt;&gt;"",OR(NOT(ISNUMBER($G178)),$G178&lt;=0,$G178&gt;1)),"Peso fuera de rango"&amp;" · ","")&amp;IF(AND($S178="Sub",$G178&lt;&gt;""),"Las subactividades no llevan peso"&amp;" · ","")&amp;IF(AND($S178="Macro",ABS(SUMIFS($G$5:$G$1000,$P$5:$P$1000,$P178,$S$5:$S$1000,"Macro")-1)&gt;0.0001),"Pesos del mes suman "&amp;TEXT(SUMIFS($G$5:$G$1000,$P$5:$P$1000,$P178,$S$5:$S$1000,"Macro"),"0%")&amp;" · ","")&amp;IF(AND(N($T178)&gt;0,COUNT($H178:$K178)&gt;0),"Con subactividades: deje vacías las semanas (se calculan solas)"&amp;" · ","")&amp;IF((COUNTIF($H178:$K178,"&gt;1")+COUNTIF($H178:$K178,"&lt;0")+COUNTA($H178:$K178)-COUNT($H178:$K178))&gt;0,"Avance fuera de rango 0-100%"&amp;" · ","")&amp;IF(OR(AND($I178&lt;&gt;"",$I178&lt;$H178),AND($J178&lt;&gt;"",$J178&lt;MAX($H178:$I178)),AND($K178&lt;&gt;"",$K178&lt;MAX($H178:$J178))),"Avance semanal decreciente"&amp;" · ","")&amp;IF(AND(ISNUMBER($F178),$F178&lt;FechaRef,N($L178)&lt;1),"Vencida"&amp;" · ","")&amp;IF(AND(ObsObligatoria="Sí",ISNUMBER($F178),$F178&lt;FechaRef,N($L178)&lt;1,$N178=""),"Vencida sin observación"&amp;" · ",""),LEN(IF(AND($S178="Macro",$B178=""),"Macroactividad vacía"&amp;" · ","")&amp;IF(AND($B178&lt;&gt;"",$C178&lt;&gt;""),"Escriba la subactividad en otra fila, debajo de su macroactividad"&amp;" · ","")&amp;IF(AND($S178="Sub",N($R178)=0),"Subactividad sin macroactividad arriba"&amp;" · ","")&amp;IF($D178="","Sin responsable"&amp;" · ","")&amp;IF($E178="","Sin fecha de inicio"&amp;" · ","")&amp;IF($F178="","Sin fecha límite"&amp;" · ","")&amp;IF(OR(AND($E178&lt;&gt;"",NOT(ISNUMBER($E178))),AND($F178&lt;&gt;"",NOT(ISNUMBER($F178)))),"Fecha no válida"&amp;" · ","")&amp;IF(AND(ISNUMBER($E178),ISNUMBER($F178),$E178&gt;$F178),"Inicio posterior a fecha límite"&amp;" · ","")&amp;IF(AND($S178="Macro",$G178=""),"Peso vacío"&amp;" · ","")&amp;IF(AND($S178="Macro",$G178&lt;&gt;"",OR(NOT(ISNUMBER($G178)),$G178&lt;=0,$G178&gt;1)),"Peso fuera de rango"&amp;" · ","")&amp;IF(AND($S178="Sub",$G178&lt;&gt;""),"Las subactividades no llevan peso"&amp;" · ","")&amp;IF(AND($S178="Macro",ABS(SUMIFS($G$5:$G$1000,$P$5:$P$1000,$P178,$S$5:$S$1000,"Macro")-1)&gt;0.0001),"Pesos del mes suman "&amp;TEXT(SUMIFS($G$5:$G$1000,$P$5:$P$1000,$P178,$S$5:$S$1000,"Macro"),"0%")&amp;" · ","")&amp;IF(AND(N($T178)&gt;0,COUNT($H178:$K178)&gt;0),"Con subactividades: deje vacías las semanas (se calculan solas)"&amp;" · ","")&amp;IF((COUNTIF($H178:$K178,"&gt;1")+COUNTIF($H178:$K178,"&lt;0")+COUNTA($H178:$K178)-COUNT($H178:$K178))&gt;0,"Avance fuera de rango 0-100%"&amp;" · ","")&amp;IF(OR(AND($I178&lt;&gt;"",$I178&lt;$H178),AND($J178&lt;&gt;"",$J178&lt;MAX($H178:$I178)),AND($K178&lt;&gt;"",$K178&lt;MAX($H178:$J178))),"Avance semanal decreciente"&amp;" · ","")&amp;IF(AND(ISNUMBER($F178),$F178&lt;FechaRef,N($L178)&lt;1),"Vencida"&amp;" · ","")&amp;IF(AND(ObsObligatoria="Sí",ISNUMBER($F178),$F178&lt;FechaRef,N($L178)&lt;1,$N178=""),"Vencida sin observación"&amp;" · ",""))-3)))</f>
        <v/>
      </c>
      <c r="P178" s="69">
        <f>IF(NOT((COUNTA($B178:$K178)+COUNTA($N178))&gt;0),"",IF(AND($S178="Sub",N($R178)&gt;0),IF(ISNUMBER(INDEX($E$5:$E$1000,$R178-4)),DATE(YEAR(INDEX($E$5:$E$1000,$R178-4)),MONTH(INDEX($E$5:$E$1000,$R178-4)),1),IF(ISNUMBER(INDEX($F$5:$F$1000,$R178-4)),DATE(YEAR(INDEX($F$5:$F$1000,$R178-4)),MONTH(INDEX($F$5:$F$1000,$R178-4)),1),MesCiclo)),IF(ISNUMBER($E178),DATE(YEAR($E178),MONTH($E178),1),IF(ISNUMBER($F178),DATE(YEAR($F178),MONTH($F178),1),MesCiclo))))</f>
        <v/>
      </c>
      <c r="Q178" s="70">
        <f>IF(OR($P178="",$P178&lt;&gt;MesCiclo),"",COUNTIF($P$5:$P178,MesCiclo))</f>
        <v/>
      </c>
      <c r="R178" s="70">
        <f>IF($S178="","",IF($S178="Macro",ROW(),IFERROR(LOOKUP(2,1/($S$5:$S178="Macro"),ROW($S$5:$S178)),0)))</f>
        <v/>
      </c>
      <c r="S178" s="70">
        <f>IF(NOT((COUNTA($B178:$K178)+COUNTA($N178))&gt;0),"",IF($B178&lt;&gt;"","Macro",IF($C178&lt;&gt;"","Sub","Macro")))</f>
        <v/>
      </c>
      <c r="T178" s="70">
        <f>IF($S178="Macro",COUNTIFS($R$5:$R$1000,ROW(),$S$5:$S$1000,"Sub"),"")</f>
        <v/>
      </c>
      <c r="U178" s="70">
        <f>IF($S178="","",IF(ISNUMBER($H178),$H178,0))</f>
        <v/>
      </c>
      <c r="V178" s="70">
        <f>IF($S178="","",IF(ISNUMBER($I178),$I178,$U178))</f>
        <v/>
      </c>
      <c r="W178" s="70">
        <f>IF($S178="","",IF(ISNUMBER($J178),$J178,$V178))</f>
        <v/>
      </c>
      <c r="X178" s="70">
        <f>IF($S178="","",IF(ISNUMBER($K178),$K178,$W178))</f>
        <v/>
      </c>
      <c r="Y178" s="70">
        <f>IF($S178="","",IF(N($T178)&gt;0,AVERAGEIFS($U$5:$U$1000,$R$5:$R$1000,ROW(),$S$5:$S$1000,"Sub"),$U178))</f>
        <v/>
      </c>
      <c r="Z178" s="70">
        <f>IF($S178="","",IF(N($T178)&gt;0,AVERAGEIFS($V$5:$V$1000,$R$5:$R$1000,ROW(),$S$5:$S$1000,"Sub"),$V178))</f>
        <v/>
      </c>
      <c r="AA178" s="70">
        <f>IF($S178="","",IF(N($T178)&gt;0,AVERAGEIFS($W$5:$W$1000,$R$5:$R$1000,ROW(),$S$5:$S$1000,"Sub"),$W178))</f>
        <v/>
      </c>
      <c r="AB178" s="70">
        <f>IF($S178="","",IF(N($T178)&gt;0,AVERAGEIFS($X$5:$X$1000,$R$5:$R$1000,ROW(),$S$5:$S$1000,"Sub"),$X178))</f>
        <v/>
      </c>
    </row>
    <row r="179">
      <c r="A179" s="61">
        <f>IF(NOT((COUNTA($B179:$K179)+COUNTA($N179))&gt;0),"",IF($S179="Macro",COUNTIFS($S$5:$S179,"Macro",$P$5:$P179,$P179),IF(N($R179)=0,"?",COUNTIFS(INDEX($S$5:$S$1000,1):INDEX($S$5:$S$1000,$R179-4),"Macro",INDEX($P$5:$P$1000,1):INDEX($P$5:$P$1000,$R179-4),INDEX($P$5:$P$1000,$R179-4))&amp;"."&amp;COUNTIFS($R$5:$R179,$R179,$S$5:$S179,"Sub"))))</f>
        <v/>
      </c>
      <c r="B179" s="62" t="n"/>
      <c r="C179" s="63" t="n"/>
      <c r="D179" s="62" t="n"/>
      <c r="E179" s="64" t="n"/>
      <c r="F179" s="64" t="n"/>
      <c r="G179" s="65" t="n"/>
      <c r="H179" s="66" t="n"/>
      <c r="I179" s="66" t="n"/>
      <c r="J179" s="66" t="n"/>
      <c r="K179" s="66" t="n"/>
      <c r="L179" s="67">
        <f>IF(NOT((COUNTA($B179:$K179)+COUNTA($N179))&gt;0),"",IF(N($T179)&gt;0,$AB179,IFERROR(LOOKUP(2,1/(H179:K179&lt;&gt;""),H179:K179),0)))</f>
        <v/>
      </c>
      <c r="M179" s="61">
        <f>IF(L179="","",IF(L179&gt;=1,"Completado",IF(L179&gt;0,"En curso","Pendiente")))</f>
        <v/>
      </c>
      <c r="N179" s="62" t="n"/>
      <c r="O179" s="68">
        <f>IF(NOT((COUNTA($B179:$K179)+COUNTA($N179))&gt;0),"",IF((IF(AND($S179="Macro",$B179=""),"Macroactividad vacía"&amp;" · ","")&amp;IF(AND($B179&lt;&gt;"",$C179&lt;&gt;""),"Escriba la subactividad en otra fila, debajo de su macroactividad"&amp;" · ","")&amp;IF(AND($S179="Sub",N($R179)=0),"Subactividad sin macroactividad arriba"&amp;" · ","")&amp;IF($D179="","Sin responsable"&amp;" · ","")&amp;IF($E179="","Sin fecha de inicio"&amp;" · ","")&amp;IF($F179="","Sin fecha límite"&amp;" · ","")&amp;IF(OR(AND($E179&lt;&gt;"",NOT(ISNUMBER($E179))),AND($F179&lt;&gt;"",NOT(ISNUMBER($F179)))),"Fecha no válida"&amp;" · ","")&amp;IF(AND(ISNUMBER($E179),ISNUMBER($F179),$E179&gt;$F179),"Inicio posterior a fecha límite"&amp;" · ","")&amp;IF(AND($S179="Macro",$G179=""),"Peso vacío"&amp;" · ","")&amp;IF(AND($S179="Macro",$G179&lt;&gt;"",OR(NOT(ISNUMBER($G179)),$G179&lt;=0,$G179&gt;1)),"Peso fuera de rango"&amp;" · ","")&amp;IF(AND($S179="Sub",$G179&lt;&gt;""),"Las subactividades no llevan peso"&amp;" · ","")&amp;IF(AND($S179="Macro",ABS(SUMIFS($G$5:$G$1000,$P$5:$P$1000,$P179,$S$5:$S$1000,"Macro")-1)&gt;0.0001),"Pesos del mes suman "&amp;TEXT(SUMIFS($G$5:$G$1000,$P$5:$P$1000,$P179,$S$5:$S$1000,"Macro"),"0%")&amp;" · ","")&amp;IF(AND(N($T179)&gt;0,COUNT($H179:$K179)&gt;0),"Con subactividades: deje vacías las semanas (se calculan solas)"&amp;" · ","")&amp;IF((COUNTIF($H179:$K179,"&gt;1")+COUNTIF($H179:$K179,"&lt;0")+COUNTA($H179:$K179)-COUNT($H179:$K179))&gt;0,"Avance fuera de rango 0-100%"&amp;" · ","")&amp;IF(OR(AND($I179&lt;&gt;"",$I179&lt;$H179),AND($J179&lt;&gt;"",$J179&lt;MAX($H179:$I179)),AND($K179&lt;&gt;"",$K179&lt;MAX($H179:$J179))),"Avance semanal decreciente"&amp;" · ","")&amp;IF(AND(ISNUMBER($F179),$F179&lt;FechaRef,N($L179)&lt;1),"Vencida"&amp;" · ","")&amp;IF(AND(ObsObligatoria="Sí",ISNUMBER($F179),$F179&lt;FechaRef,N($L179)&lt;1,$N179=""),"Vencida sin observación"&amp;" · ",""))="","✔ OK","⚠ "&amp;LEFT(IF(AND($S179="Macro",$B179=""),"Macroactividad vacía"&amp;" · ","")&amp;IF(AND($B179&lt;&gt;"",$C179&lt;&gt;""),"Escriba la subactividad en otra fila, debajo de su macroactividad"&amp;" · ","")&amp;IF(AND($S179="Sub",N($R179)=0),"Subactividad sin macroactividad arriba"&amp;" · ","")&amp;IF($D179="","Sin responsable"&amp;" · ","")&amp;IF($E179="","Sin fecha de inicio"&amp;" · ","")&amp;IF($F179="","Sin fecha límite"&amp;" · ","")&amp;IF(OR(AND($E179&lt;&gt;"",NOT(ISNUMBER($E179))),AND($F179&lt;&gt;"",NOT(ISNUMBER($F179)))),"Fecha no válida"&amp;" · ","")&amp;IF(AND(ISNUMBER($E179),ISNUMBER($F179),$E179&gt;$F179),"Inicio posterior a fecha límite"&amp;" · ","")&amp;IF(AND($S179="Macro",$G179=""),"Peso vacío"&amp;" · ","")&amp;IF(AND($S179="Macro",$G179&lt;&gt;"",OR(NOT(ISNUMBER($G179)),$G179&lt;=0,$G179&gt;1)),"Peso fuera de rango"&amp;" · ","")&amp;IF(AND($S179="Sub",$G179&lt;&gt;""),"Las subactividades no llevan peso"&amp;" · ","")&amp;IF(AND($S179="Macro",ABS(SUMIFS($G$5:$G$1000,$P$5:$P$1000,$P179,$S$5:$S$1000,"Macro")-1)&gt;0.0001),"Pesos del mes suman "&amp;TEXT(SUMIFS($G$5:$G$1000,$P$5:$P$1000,$P179,$S$5:$S$1000,"Macro"),"0%")&amp;" · ","")&amp;IF(AND(N($T179)&gt;0,COUNT($H179:$K179)&gt;0),"Con subactividades: deje vacías las semanas (se calculan solas)"&amp;" · ","")&amp;IF((COUNTIF($H179:$K179,"&gt;1")+COUNTIF($H179:$K179,"&lt;0")+COUNTA($H179:$K179)-COUNT($H179:$K179))&gt;0,"Avance fuera de rango 0-100%"&amp;" · ","")&amp;IF(OR(AND($I179&lt;&gt;"",$I179&lt;$H179),AND($J179&lt;&gt;"",$J179&lt;MAX($H179:$I179)),AND($K179&lt;&gt;"",$K179&lt;MAX($H179:$J179))),"Avance semanal decreciente"&amp;" · ","")&amp;IF(AND(ISNUMBER($F179),$F179&lt;FechaRef,N($L179)&lt;1),"Vencida"&amp;" · ","")&amp;IF(AND(ObsObligatoria="Sí",ISNUMBER($F179),$F179&lt;FechaRef,N($L179)&lt;1,$N179=""),"Vencida sin observación"&amp;" · ",""),LEN(IF(AND($S179="Macro",$B179=""),"Macroactividad vacía"&amp;" · ","")&amp;IF(AND($B179&lt;&gt;"",$C179&lt;&gt;""),"Escriba la subactividad en otra fila, debajo de su macroactividad"&amp;" · ","")&amp;IF(AND($S179="Sub",N($R179)=0),"Subactividad sin macroactividad arriba"&amp;" · ","")&amp;IF($D179="","Sin responsable"&amp;" · ","")&amp;IF($E179="","Sin fecha de inicio"&amp;" · ","")&amp;IF($F179="","Sin fecha límite"&amp;" · ","")&amp;IF(OR(AND($E179&lt;&gt;"",NOT(ISNUMBER($E179))),AND($F179&lt;&gt;"",NOT(ISNUMBER($F179)))),"Fecha no válida"&amp;" · ","")&amp;IF(AND(ISNUMBER($E179),ISNUMBER($F179),$E179&gt;$F179),"Inicio posterior a fecha límite"&amp;" · ","")&amp;IF(AND($S179="Macro",$G179=""),"Peso vacío"&amp;" · ","")&amp;IF(AND($S179="Macro",$G179&lt;&gt;"",OR(NOT(ISNUMBER($G179)),$G179&lt;=0,$G179&gt;1)),"Peso fuera de rango"&amp;" · ","")&amp;IF(AND($S179="Sub",$G179&lt;&gt;""),"Las subactividades no llevan peso"&amp;" · ","")&amp;IF(AND($S179="Macro",ABS(SUMIFS($G$5:$G$1000,$P$5:$P$1000,$P179,$S$5:$S$1000,"Macro")-1)&gt;0.0001),"Pesos del mes suman "&amp;TEXT(SUMIFS($G$5:$G$1000,$P$5:$P$1000,$P179,$S$5:$S$1000,"Macro"),"0%")&amp;" · ","")&amp;IF(AND(N($T179)&gt;0,COUNT($H179:$K179)&gt;0),"Con subactividades: deje vacías las semanas (se calculan solas)"&amp;" · ","")&amp;IF((COUNTIF($H179:$K179,"&gt;1")+COUNTIF($H179:$K179,"&lt;0")+COUNTA($H179:$K179)-COUNT($H179:$K179))&gt;0,"Avance fuera de rango 0-100%"&amp;" · ","")&amp;IF(OR(AND($I179&lt;&gt;"",$I179&lt;$H179),AND($J179&lt;&gt;"",$J179&lt;MAX($H179:$I179)),AND($K179&lt;&gt;"",$K179&lt;MAX($H179:$J179))),"Avance semanal decreciente"&amp;" · ","")&amp;IF(AND(ISNUMBER($F179),$F179&lt;FechaRef,N($L179)&lt;1),"Vencida"&amp;" · ","")&amp;IF(AND(ObsObligatoria="Sí",ISNUMBER($F179),$F179&lt;FechaRef,N($L179)&lt;1,$N179=""),"Vencida sin observación"&amp;" · ",""))-3)))</f>
        <v/>
      </c>
      <c r="P179" s="69">
        <f>IF(NOT((COUNTA($B179:$K179)+COUNTA($N179))&gt;0),"",IF(AND($S179="Sub",N($R179)&gt;0),IF(ISNUMBER(INDEX($E$5:$E$1000,$R179-4)),DATE(YEAR(INDEX($E$5:$E$1000,$R179-4)),MONTH(INDEX($E$5:$E$1000,$R179-4)),1),IF(ISNUMBER(INDEX($F$5:$F$1000,$R179-4)),DATE(YEAR(INDEX($F$5:$F$1000,$R179-4)),MONTH(INDEX($F$5:$F$1000,$R179-4)),1),MesCiclo)),IF(ISNUMBER($E179),DATE(YEAR($E179),MONTH($E179),1),IF(ISNUMBER($F179),DATE(YEAR($F179),MONTH($F179),1),MesCiclo))))</f>
        <v/>
      </c>
      <c r="Q179" s="70">
        <f>IF(OR($P179="",$P179&lt;&gt;MesCiclo),"",COUNTIF($P$5:$P179,MesCiclo))</f>
        <v/>
      </c>
      <c r="R179" s="70">
        <f>IF($S179="","",IF($S179="Macro",ROW(),IFERROR(LOOKUP(2,1/($S$5:$S179="Macro"),ROW($S$5:$S179)),0)))</f>
        <v/>
      </c>
      <c r="S179" s="70">
        <f>IF(NOT((COUNTA($B179:$K179)+COUNTA($N179))&gt;0),"",IF($B179&lt;&gt;"","Macro",IF($C179&lt;&gt;"","Sub","Macro")))</f>
        <v/>
      </c>
      <c r="T179" s="70">
        <f>IF($S179="Macro",COUNTIFS($R$5:$R$1000,ROW(),$S$5:$S$1000,"Sub"),"")</f>
        <v/>
      </c>
      <c r="U179" s="70">
        <f>IF($S179="","",IF(ISNUMBER($H179),$H179,0))</f>
        <v/>
      </c>
      <c r="V179" s="70">
        <f>IF($S179="","",IF(ISNUMBER($I179),$I179,$U179))</f>
        <v/>
      </c>
      <c r="W179" s="70">
        <f>IF($S179="","",IF(ISNUMBER($J179),$J179,$V179))</f>
        <v/>
      </c>
      <c r="X179" s="70">
        <f>IF($S179="","",IF(ISNUMBER($K179),$K179,$W179))</f>
        <v/>
      </c>
      <c r="Y179" s="70">
        <f>IF($S179="","",IF(N($T179)&gt;0,AVERAGEIFS($U$5:$U$1000,$R$5:$R$1000,ROW(),$S$5:$S$1000,"Sub"),$U179))</f>
        <v/>
      </c>
      <c r="Z179" s="70">
        <f>IF($S179="","",IF(N($T179)&gt;0,AVERAGEIFS($V$5:$V$1000,$R$5:$R$1000,ROW(),$S$5:$S$1000,"Sub"),$V179))</f>
        <v/>
      </c>
      <c r="AA179" s="70">
        <f>IF($S179="","",IF(N($T179)&gt;0,AVERAGEIFS($W$5:$W$1000,$R$5:$R$1000,ROW(),$S$5:$S$1000,"Sub"),$W179))</f>
        <v/>
      </c>
      <c r="AB179" s="70">
        <f>IF($S179="","",IF(N($T179)&gt;0,AVERAGEIFS($X$5:$X$1000,$R$5:$R$1000,ROW(),$S$5:$S$1000,"Sub"),$X179))</f>
        <v/>
      </c>
    </row>
    <row r="180">
      <c r="A180" s="61">
        <f>IF(NOT((COUNTA($B180:$K180)+COUNTA($N180))&gt;0),"",IF($S180="Macro",COUNTIFS($S$5:$S180,"Macro",$P$5:$P180,$P180),IF(N($R180)=0,"?",COUNTIFS(INDEX($S$5:$S$1000,1):INDEX($S$5:$S$1000,$R180-4),"Macro",INDEX($P$5:$P$1000,1):INDEX($P$5:$P$1000,$R180-4),INDEX($P$5:$P$1000,$R180-4))&amp;"."&amp;COUNTIFS($R$5:$R180,$R180,$S$5:$S180,"Sub"))))</f>
        <v/>
      </c>
      <c r="B180" s="62" t="n"/>
      <c r="C180" s="63" t="n"/>
      <c r="D180" s="62" t="n"/>
      <c r="E180" s="64" t="n"/>
      <c r="F180" s="64" t="n"/>
      <c r="G180" s="65" t="n"/>
      <c r="H180" s="66" t="n"/>
      <c r="I180" s="66" t="n"/>
      <c r="J180" s="66" t="n"/>
      <c r="K180" s="66" t="n"/>
      <c r="L180" s="67">
        <f>IF(NOT((COUNTA($B180:$K180)+COUNTA($N180))&gt;0),"",IF(N($T180)&gt;0,$AB180,IFERROR(LOOKUP(2,1/(H180:K180&lt;&gt;""),H180:K180),0)))</f>
        <v/>
      </c>
      <c r="M180" s="61">
        <f>IF(L180="","",IF(L180&gt;=1,"Completado",IF(L180&gt;0,"En curso","Pendiente")))</f>
        <v/>
      </c>
      <c r="N180" s="62" t="n"/>
      <c r="O180" s="68">
        <f>IF(NOT((COUNTA($B180:$K180)+COUNTA($N180))&gt;0),"",IF((IF(AND($S180="Macro",$B180=""),"Macroactividad vacía"&amp;" · ","")&amp;IF(AND($B180&lt;&gt;"",$C180&lt;&gt;""),"Escriba la subactividad en otra fila, debajo de su macroactividad"&amp;" · ","")&amp;IF(AND($S180="Sub",N($R180)=0),"Subactividad sin macroactividad arriba"&amp;" · ","")&amp;IF($D180="","Sin responsable"&amp;" · ","")&amp;IF($E180="","Sin fecha de inicio"&amp;" · ","")&amp;IF($F180="","Sin fecha límite"&amp;" · ","")&amp;IF(OR(AND($E180&lt;&gt;"",NOT(ISNUMBER($E180))),AND($F180&lt;&gt;"",NOT(ISNUMBER($F180)))),"Fecha no válida"&amp;" · ","")&amp;IF(AND(ISNUMBER($E180),ISNUMBER($F180),$E180&gt;$F180),"Inicio posterior a fecha límite"&amp;" · ","")&amp;IF(AND($S180="Macro",$G180=""),"Peso vacío"&amp;" · ","")&amp;IF(AND($S180="Macro",$G180&lt;&gt;"",OR(NOT(ISNUMBER($G180)),$G180&lt;=0,$G180&gt;1)),"Peso fuera de rango"&amp;" · ","")&amp;IF(AND($S180="Sub",$G180&lt;&gt;""),"Las subactividades no llevan peso"&amp;" · ","")&amp;IF(AND($S180="Macro",ABS(SUMIFS($G$5:$G$1000,$P$5:$P$1000,$P180,$S$5:$S$1000,"Macro")-1)&gt;0.0001),"Pesos del mes suman "&amp;TEXT(SUMIFS($G$5:$G$1000,$P$5:$P$1000,$P180,$S$5:$S$1000,"Macro"),"0%")&amp;" · ","")&amp;IF(AND(N($T180)&gt;0,COUNT($H180:$K180)&gt;0),"Con subactividades: deje vacías las semanas (se calculan solas)"&amp;" · ","")&amp;IF((COUNTIF($H180:$K180,"&gt;1")+COUNTIF($H180:$K180,"&lt;0")+COUNTA($H180:$K180)-COUNT($H180:$K180))&gt;0,"Avance fuera de rango 0-100%"&amp;" · ","")&amp;IF(OR(AND($I180&lt;&gt;"",$I180&lt;$H180),AND($J180&lt;&gt;"",$J180&lt;MAX($H180:$I180)),AND($K180&lt;&gt;"",$K180&lt;MAX($H180:$J180))),"Avance semanal decreciente"&amp;" · ","")&amp;IF(AND(ISNUMBER($F180),$F180&lt;FechaRef,N($L180)&lt;1),"Vencida"&amp;" · ","")&amp;IF(AND(ObsObligatoria="Sí",ISNUMBER($F180),$F180&lt;FechaRef,N($L180)&lt;1,$N180=""),"Vencida sin observación"&amp;" · ",""))="","✔ OK","⚠ "&amp;LEFT(IF(AND($S180="Macro",$B180=""),"Macroactividad vacía"&amp;" · ","")&amp;IF(AND($B180&lt;&gt;"",$C180&lt;&gt;""),"Escriba la subactividad en otra fila, debajo de su macroactividad"&amp;" · ","")&amp;IF(AND($S180="Sub",N($R180)=0),"Subactividad sin macroactividad arriba"&amp;" · ","")&amp;IF($D180="","Sin responsable"&amp;" · ","")&amp;IF($E180="","Sin fecha de inicio"&amp;" · ","")&amp;IF($F180="","Sin fecha límite"&amp;" · ","")&amp;IF(OR(AND($E180&lt;&gt;"",NOT(ISNUMBER($E180))),AND($F180&lt;&gt;"",NOT(ISNUMBER($F180)))),"Fecha no válida"&amp;" · ","")&amp;IF(AND(ISNUMBER($E180),ISNUMBER($F180),$E180&gt;$F180),"Inicio posterior a fecha límite"&amp;" · ","")&amp;IF(AND($S180="Macro",$G180=""),"Peso vacío"&amp;" · ","")&amp;IF(AND($S180="Macro",$G180&lt;&gt;"",OR(NOT(ISNUMBER($G180)),$G180&lt;=0,$G180&gt;1)),"Peso fuera de rango"&amp;" · ","")&amp;IF(AND($S180="Sub",$G180&lt;&gt;""),"Las subactividades no llevan peso"&amp;" · ","")&amp;IF(AND($S180="Macro",ABS(SUMIFS($G$5:$G$1000,$P$5:$P$1000,$P180,$S$5:$S$1000,"Macro")-1)&gt;0.0001),"Pesos del mes suman "&amp;TEXT(SUMIFS($G$5:$G$1000,$P$5:$P$1000,$P180,$S$5:$S$1000,"Macro"),"0%")&amp;" · ","")&amp;IF(AND(N($T180)&gt;0,COUNT($H180:$K180)&gt;0),"Con subactividades: deje vacías las semanas (se calculan solas)"&amp;" · ","")&amp;IF((COUNTIF($H180:$K180,"&gt;1")+COUNTIF($H180:$K180,"&lt;0")+COUNTA($H180:$K180)-COUNT($H180:$K180))&gt;0,"Avance fuera de rango 0-100%"&amp;" · ","")&amp;IF(OR(AND($I180&lt;&gt;"",$I180&lt;$H180),AND($J180&lt;&gt;"",$J180&lt;MAX($H180:$I180)),AND($K180&lt;&gt;"",$K180&lt;MAX($H180:$J180))),"Avance semanal decreciente"&amp;" · ","")&amp;IF(AND(ISNUMBER($F180),$F180&lt;FechaRef,N($L180)&lt;1),"Vencida"&amp;" · ","")&amp;IF(AND(ObsObligatoria="Sí",ISNUMBER($F180),$F180&lt;FechaRef,N($L180)&lt;1,$N180=""),"Vencida sin observación"&amp;" · ",""),LEN(IF(AND($S180="Macro",$B180=""),"Macroactividad vacía"&amp;" · ","")&amp;IF(AND($B180&lt;&gt;"",$C180&lt;&gt;""),"Escriba la subactividad en otra fila, debajo de su macroactividad"&amp;" · ","")&amp;IF(AND($S180="Sub",N($R180)=0),"Subactividad sin macroactividad arriba"&amp;" · ","")&amp;IF($D180="","Sin responsable"&amp;" · ","")&amp;IF($E180="","Sin fecha de inicio"&amp;" · ","")&amp;IF($F180="","Sin fecha límite"&amp;" · ","")&amp;IF(OR(AND($E180&lt;&gt;"",NOT(ISNUMBER($E180))),AND($F180&lt;&gt;"",NOT(ISNUMBER($F180)))),"Fecha no válida"&amp;" · ","")&amp;IF(AND(ISNUMBER($E180),ISNUMBER($F180),$E180&gt;$F180),"Inicio posterior a fecha límite"&amp;" · ","")&amp;IF(AND($S180="Macro",$G180=""),"Peso vacío"&amp;" · ","")&amp;IF(AND($S180="Macro",$G180&lt;&gt;"",OR(NOT(ISNUMBER($G180)),$G180&lt;=0,$G180&gt;1)),"Peso fuera de rango"&amp;" · ","")&amp;IF(AND($S180="Sub",$G180&lt;&gt;""),"Las subactividades no llevan peso"&amp;" · ","")&amp;IF(AND($S180="Macro",ABS(SUMIFS($G$5:$G$1000,$P$5:$P$1000,$P180,$S$5:$S$1000,"Macro")-1)&gt;0.0001),"Pesos del mes suman "&amp;TEXT(SUMIFS($G$5:$G$1000,$P$5:$P$1000,$P180,$S$5:$S$1000,"Macro"),"0%")&amp;" · ","")&amp;IF(AND(N($T180)&gt;0,COUNT($H180:$K180)&gt;0),"Con subactividades: deje vacías las semanas (se calculan solas)"&amp;" · ","")&amp;IF((COUNTIF($H180:$K180,"&gt;1")+COUNTIF($H180:$K180,"&lt;0")+COUNTA($H180:$K180)-COUNT($H180:$K180))&gt;0,"Avance fuera de rango 0-100%"&amp;" · ","")&amp;IF(OR(AND($I180&lt;&gt;"",$I180&lt;$H180),AND($J180&lt;&gt;"",$J180&lt;MAX($H180:$I180)),AND($K180&lt;&gt;"",$K180&lt;MAX($H180:$J180))),"Avance semanal decreciente"&amp;" · ","")&amp;IF(AND(ISNUMBER($F180),$F180&lt;FechaRef,N($L180)&lt;1),"Vencida"&amp;" · ","")&amp;IF(AND(ObsObligatoria="Sí",ISNUMBER($F180),$F180&lt;FechaRef,N($L180)&lt;1,$N180=""),"Vencida sin observación"&amp;" · ",""))-3)))</f>
        <v/>
      </c>
      <c r="P180" s="69">
        <f>IF(NOT((COUNTA($B180:$K180)+COUNTA($N180))&gt;0),"",IF(AND($S180="Sub",N($R180)&gt;0),IF(ISNUMBER(INDEX($E$5:$E$1000,$R180-4)),DATE(YEAR(INDEX($E$5:$E$1000,$R180-4)),MONTH(INDEX($E$5:$E$1000,$R180-4)),1),IF(ISNUMBER(INDEX($F$5:$F$1000,$R180-4)),DATE(YEAR(INDEX($F$5:$F$1000,$R180-4)),MONTH(INDEX($F$5:$F$1000,$R180-4)),1),MesCiclo)),IF(ISNUMBER($E180),DATE(YEAR($E180),MONTH($E180),1),IF(ISNUMBER($F180),DATE(YEAR($F180),MONTH($F180),1),MesCiclo))))</f>
        <v/>
      </c>
      <c r="Q180" s="70">
        <f>IF(OR($P180="",$P180&lt;&gt;MesCiclo),"",COUNTIF($P$5:$P180,MesCiclo))</f>
        <v/>
      </c>
      <c r="R180" s="70">
        <f>IF($S180="","",IF($S180="Macro",ROW(),IFERROR(LOOKUP(2,1/($S$5:$S180="Macro"),ROW($S$5:$S180)),0)))</f>
        <v/>
      </c>
      <c r="S180" s="70">
        <f>IF(NOT((COUNTA($B180:$K180)+COUNTA($N180))&gt;0),"",IF($B180&lt;&gt;"","Macro",IF($C180&lt;&gt;"","Sub","Macro")))</f>
        <v/>
      </c>
      <c r="T180" s="70">
        <f>IF($S180="Macro",COUNTIFS($R$5:$R$1000,ROW(),$S$5:$S$1000,"Sub"),"")</f>
        <v/>
      </c>
      <c r="U180" s="70">
        <f>IF($S180="","",IF(ISNUMBER($H180),$H180,0))</f>
        <v/>
      </c>
      <c r="V180" s="70">
        <f>IF($S180="","",IF(ISNUMBER($I180),$I180,$U180))</f>
        <v/>
      </c>
      <c r="W180" s="70">
        <f>IF($S180="","",IF(ISNUMBER($J180),$J180,$V180))</f>
        <v/>
      </c>
      <c r="X180" s="70">
        <f>IF($S180="","",IF(ISNUMBER($K180),$K180,$W180))</f>
        <v/>
      </c>
      <c r="Y180" s="70">
        <f>IF($S180="","",IF(N($T180)&gt;0,AVERAGEIFS($U$5:$U$1000,$R$5:$R$1000,ROW(),$S$5:$S$1000,"Sub"),$U180))</f>
        <v/>
      </c>
      <c r="Z180" s="70">
        <f>IF($S180="","",IF(N($T180)&gt;0,AVERAGEIFS($V$5:$V$1000,$R$5:$R$1000,ROW(),$S$5:$S$1000,"Sub"),$V180))</f>
        <v/>
      </c>
      <c r="AA180" s="70">
        <f>IF($S180="","",IF(N($T180)&gt;0,AVERAGEIFS($W$5:$W$1000,$R$5:$R$1000,ROW(),$S$5:$S$1000,"Sub"),$W180))</f>
        <v/>
      </c>
      <c r="AB180" s="70">
        <f>IF($S180="","",IF(N($T180)&gt;0,AVERAGEIFS($X$5:$X$1000,$R$5:$R$1000,ROW(),$S$5:$S$1000,"Sub"),$X180))</f>
        <v/>
      </c>
    </row>
    <row r="181">
      <c r="A181" s="61">
        <f>IF(NOT((COUNTA($B181:$K181)+COUNTA($N181))&gt;0),"",IF($S181="Macro",COUNTIFS($S$5:$S181,"Macro",$P$5:$P181,$P181),IF(N($R181)=0,"?",COUNTIFS(INDEX($S$5:$S$1000,1):INDEX($S$5:$S$1000,$R181-4),"Macro",INDEX($P$5:$P$1000,1):INDEX($P$5:$P$1000,$R181-4),INDEX($P$5:$P$1000,$R181-4))&amp;"."&amp;COUNTIFS($R$5:$R181,$R181,$S$5:$S181,"Sub"))))</f>
        <v/>
      </c>
      <c r="B181" s="62" t="n"/>
      <c r="C181" s="63" t="n"/>
      <c r="D181" s="62" t="n"/>
      <c r="E181" s="64" t="n"/>
      <c r="F181" s="64" t="n"/>
      <c r="G181" s="65" t="n"/>
      <c r="H181" s="66" t="n"/>
      <c r="I181" s="66" t="n"/>
      <c r="J181" s="66" t="n"/>
      <c r="K181" s="66" t="n"/>
      <c r="L181" s="67">
        <f>IF(NOT((COUNTA($B181:$K181)+COUNTA($N181))&gt;0),"",IF(N($T181)&gt;0,$AB181,IFERROR(LOOKUP(2,1/(H181:K181&lt;&gt;""),H181:K181),0)))</f>
        <v/>
      </c>
      <c r="M181" s="61">
        <f>IF(L181="","",IF(L181&gt;=1,"Completado",IF(L181&gt;0,"En curso","Pendiente")))</f>
        <v/>
      </c>
      <c r="N181" s="62" t="n"/>
      <c r="O181" s="68">
        <f>IF(NOT((COUNTA($B181:$K181)+COUNTA($N181))&gt;0),"",IF((IF(AND($S181="Macro",$B181=""),"Macroactividad vacía"&amp;" · ","")&amp;IF(AND($B181&lt;&gt;"",$C181&lt;&gt;""),"Escriba la subactividad en otra fila, debajo de su macroactividad"&amp;" · ","")&amp;IF(AND($S181="Sub",N($R181)=0),"Subactividad sin macroactividad arriba"&amp;" · ","")&amp;IF($D181="","Sin responsable"&amp;" · ","")&amp;IF($E181="","Sin fecha de inicio"&amp;" · ","")&amp;IF($F181="","Sin fecha límite"&amp;" · ","")&amp;IF(OR(AND($E181&lt;&gt;"",NOT(ISNUMBER($E181))),AND($F181&lt;&gt;"",NOT(ISNUMBER($F181)))),"Fecha no válida"&amp;" · ","")&amp;IF(AND(ISNUMBER($E181),ISNUMBER($F181),$E181&gt;$F181),"Inicio posterior a fecha límite"&amp;" · ","")&amp;IF(AND($S181="Macro",$G181=""),"Peso vacío"&amp;" · ","")&amp;IF(AND($S181="Macro",$G181&lt;&gt;"",OR(NOT(ISNUMBER($G181)),$G181&lt;=0,$G181&gt;1)),"Peso fuera de rango"&amp;" · ","")&amp;IF(AND($S181="Sub",$G181&lt;&gt;""),"Las subactividades no llevan peso"&amp;" · ","")&amp;IF(AND($S181="Macro",ABS(SUMIFS($G$5:$G$1000,$P$5:$P$1000,$P181,$S$5:$S$1000,"Macro")-1)&gt;0.0001),"Pesos del mes suman "&amp;TEXT(SUMIFS($G$5:$G$1000,$P$5:$P$1000,$P181,$S$5:$S$1000,"Macro"),"0%")&amp;" · ","")&amp;IF(AND(N($T181)&gt;0,COUNT($H181:$K181)&gt;0),"Con subactividades: deje vacías las semanas (se calculan solas)"&amp;" · ","")&amp;IF((COUNTIF($H181:$K181,"&gt;1")+COUNTIF($H181:$K181,"&lt;0")+COUNTA($H181:$K181)-COUNT($H181:$K181))&gt;0,"Avance fuera de rango 0-100%"&amp;" · ","")&amp;IF(OR(AND($I181&lt;&gt;"",$I181&lt;$H181),AND($J181&lt;&gt;"",$J181&lt;MAX($H181:$I181)),AND($K181&lt;&gt;"",$K181&lt;MAX($H181:$J181))),"Avance semanal decreciente"&amp;" · ","")&amp;IF(AND(ISNUMBER($F181),$F181&lt;FechaRef,N($L181)&lt;1),"Vencida"&amp;" · ","")&amp;IF(AND(ObsObligatoria="Sí",ISNUMBER($F181),$F181&lt;FechaRef,N($L181)&lt;1,$N181=""),"Vencida sin observación"&amp;" · ",""))="","✔ OK","⚠ "&amp;LEFT(IF(AND($S181="Macro",$B181=""),"Macroactividad vacía"&amp;" · ","")&amp;IF(AND($B181&lt;&gt;"",$C181&lt;&gt;""),"Escriba la subactividad en otra fila, debajo de su macroactividad"&amp;" · ","")&amp;IF(AND($S181="Sub",N($R181)=0),"Subactividad sin macroactividad arriba"&amp;" · ","")&amp;IF($D181="","Sin responsable"&amp;" · ","")&amp;IF($E181="","Sin fecha de inicio"&amp;" · ","")&amp;IF($F181="","Sin fecha límite"&amp;" · ","")&amp;IF(OR(AND($E181&lt;&gt;"",NOT(ISNUMBER($E181))),AND($F181&lt;&gt;"",NOT(ISNUMBER($F181)))),"Fecha no válida"&amp;" · ","")&amp;IF(AND(ISNUMBER($E181),ISNUMBER($F181),$E181&gt;$F181),"Inicio posterior a fecha límite"&amp;" · ","")&amp;IF(AND($S181="Macro",$G181=""),"Peso vacío"&amp;" · ","")&amp;IF(AND($S181="Macro",$G181&lt;&gt;"",OR(NOT(ISNUMBER($G181)),$G181&lt;=0,$G181&gt;1)),"Peso fuera de rango"&amp;" · ","")&amp;IF(AND($S181="Sub",$G181&lt;&gt;""),"Las subactividades no llevan peso"&amp;" · ","")&amp;IF(AND($S181="Macro",ABS(SUMIFS($G$5:$G$1000,$P$5:$P$1000,$P181,$S$5:$S$1000,"Macro")-1)&gt;0.0001),"Pesos del mes suman "&amp;TEXT(SUMIFS($G$5:$G$1000,$P$5:$P$1000,$P181,$S$5:$S$1000,"Macro"),"0%")&amp;" · ","")&amp;IF(AND(N($T181)&gt;0,COUNT($H181:$K181)&gt;0),"Con subactividades: deje vacías las semanas (se calculan solas)"&amp;" · ","")&amp;IF((COUNTIF($H181:$K181,"&gt;1")+COUNTIF($H181:$K181,"&lt;0")+COUNTA($H181:$K181)-COUNT($H181:$K181))&gt;0,"Avance fuera de rango 0-100%"&amp;" · ","")&amp;IF(OR(AND($I181&lt;&gt;"",$I181&lt;$H181),AND($J181&lt;&gt;"",$J181&lt;MAX($H181:$I181)),AND($K181&lt;&gt;"",$K181&lt;MAX($H181:$J181))),"Avance semanal decreciente"&amp;" · ","")&amp;IF(AND(ISNUMBER($F181),$F181&lt;FechaRef,N($L181)&lt;1),"Vencida"&amp;" · ","")&amp;IF(AND(ObsObligatoria="Sí",ISNUMBER($F181),$F181&lt;FechaRef,N($L181)&lt;1,$N181=""),"Vencida sin observación"&amp;" · ",""),LEN(IF(AND($S181="Macro",$B181=""),"Macroactividad vacía"&amp;" · ","")&amp;IF(AND($B181&lt;&gt;"",$C181&lt;&gt;""),"Escriba la subactividad en otra fila, debajo de su macroactividad"&amp;" · ","")&amp;IF(AND($S181="Sub",N($R181)=0),"Subactividad sin macroactividad arriba"&amp;" · ","")&amp;IF($D181="","Sin responsable"&amp;" · ","")&amp;IF($E181="","Sin fecha de inicio"&amp;" · ","")&amp;IF($F181="","Sin fecha límite"&amp;" · ","")&amp;IF(OR(AND($E181&lt;&gt;"",NOT(ISNUMBER($E181))),AND($F181&lt;&gt;"",NOT(ISNUMBER($F181)))),"Fecha no válida"&amp;" · ","")&amp;IF(AND(ISNUMBER($E181),ISNUMBER($F181),$E181&gt;$F181),"Inicio posterior a fecha límite"&amp;" · ","")&amp;IF(AND($S181="Macro",$G181=""),"Peso vacío"&amp;" · ","")&amp;IF(AND($S181="Macro",$G181&lt;&gt;"",OR(NOT(ISNUMBER($G181)),$G181&lt;=0,$G181&gt;1)),"Peso fuera de rango"&amp;" · ","")&amp;IF(AND($S181="Sub",$G181&lt;&gt;""),"Las subactividades no llevan peso"&amp;" · ","")&amp;IF(AND($S181="Macro",ABS(SUMIFS($G$5:$G$1000,$P$5:$P$1000,$P181,$S$5:$S$1000,"Macro")-1)&gt;0.0001),"Pesos del mes suman "&amp;TEXT(SUMIFS($G$5:$G$1000,$P$5:$P$1000,$P181,$S$5:$S$1000,"Macro"),"0%")&amp;" · ","")&amp;IF(AND(N($T181)&gt;0,COUNT($H181:$K181)&gt;0),"Con subactividades: deje vacías las semanas (se calculan solas)"&amp;" · ","")&amp;IF((COUNTIF($H181:$K181,"&gt;1")+COUNTIF($H181:$K181,"&lt;0")+COUNTA($H181:$K181)-COUNT($H181:$K181))&gt;0,"Avance fuera de rango 0-100%"&amp;" · ","")&amp;IF(OR(AND($I181&lt;&gt;"",$I181&lt;$H181),AND($J181&lt;&gt;"",$J181&lt;MAX($H181:$I181)),AND($K181&lt;&gt;"",$K181&lt;MAX($H181:$J181))),"Avance semanal decreciente"&amp;" · ","")&amp;IF(AND(ISNUMBER($F181),$F181&lt;FechaRef,N($L181)&lt;1),"Vencida"&amp;" · ","")&amp;IF(AND(ObsObligatoria="Sí",ISNUMBER($F181),$F181&lt;FechaRef,N($L181)&lt;1,$N181=""),"Vencida sin observación"&amp;" · ",""))-3)))</f>
        <v/>
      </c>
      <c r="P181" s="69">
        <f>IF(NOT((COUNTA($B181:$K181)+COUNTA($N181))&gt;0),"",IF(AND($S181="Sub",N($R181)&gt;0),IF(ISNUMBER(INDEX($E$5:$E$1000,$R181-4)),DATE(YEAR(INDEX($E$5:$E$1000,$R181-4)),MONTH(INDEX($E$5:$E$1000,$R181-4)),1),IF(ISNUMBER(INDEX($F$5:$F$1000,$R181-4)),DATE(YEAR(INDEX($F$5:$F$1000,$R181-4)),MONTH(INDEX($F$5:$F$1000,$R181-4)),1),MesCiclo)),IF(ISNUMBER($E181),DATE(YEAR($E181),MONTH($E181),1),IF(ISNUMBER($F181),DATE(YEAR($F181),MONTH($F181),1),MesCiclo))))</f>
        <v/>
      </c>
      <c r="Q181" s="70">
        <f>IF(OR($P181="",$P181&lt;&gt;MesCiclo),"",COUNTIF($P$5:$P181,MesCiclo))</f>
        <v/>
      </c>
      <c r="R181" s="70">
        <f>IF($S181="","",IF($S181="Macro",ROW(),IFERROR(LOOKUP(2,1/($S$5:$S181="Macro"),ROW($S$5:$S181)),0)))</f>
        <v/>
      </c>
      <c r="S181" s="70">
        <f>IF(NOT((COUNTA($B181:$K181)+COUNTA($N181))&gt;0),"",IF($B181&lt;&gt;"","Macro",IF($C181&lt;&gt;"","Sub","Macro")))</f>
        <v/>
      </c>
      <c r="T181" s="70">
        <f>IF($S181="Macro",COUNTIFS($R$5:$R$1000,ROW(),$S$5:$S$1000,"Sub"),"")</f>
        <v/>
      </c>
      <c r="U181" s="70">
        <f>IF($S181="","",IF(ISNUMBER($H181),$H181,0))</f>
        <v/>
      </c>
      <c r="V181" s="70">
        <f>IF($S181="","",IF(ISNUMBER($I181),$I181,$U181))</f>
        <v/>
      </c>
      <c r="W181" s="70">
        <f>IF($S181="","",IF(ISNUMBER($J181),$J181,$V181))</f>
        <v/>
      </c>
      <c r="X181" s="70">
        <f>IF($S181="","",IF(ISNUMBER($K181),$K181,$W181))</f>
        <v/>
      </c>
      <c r="Y181" s="70">
        <f>IF($S181="","",IF(N($T181)&gt;0,AVERAGEIFS($U$5:$U$1000,$R$5:$R$1000,ROW(),$S$5:$S$1000,"Sub"),$U181))</f>
        <v/>
      </c>
      <c r="Z181" s="70">
        <f>IF($S181="","",IF(N($T181)&gt;0,AVERAGEIFS($V$5:$V$1000,$R$5:$R$1000,ROW(),$S$5:$S$1000,"Sub"),$V181))</f>
        <v/>
      </c>
      <c r="AA181" s="70">
        <f>IF($S181="","",IF(N($T181)&gt;0,AVERAGEIFS($W$5:$W$1000,$R$5:$R$1000,ROW(),$S$5:$S$1000,"Sub"),$W181))</f>
        <v/>
      </c>
      <c r="AB181" s="70">
        <f>IF($S181="","",IF(N($T181)&gt;0,AVERAGEIFS($X$5:$X$1000,$R$5:$R$1000,ROW(),$S$5:$S$1000,"Sub"),$X181))</f>
        <v/>
      </c>
    </row>
    <row r="182">
      <c r="A182" s="61">
        <f>IF(NOT((COUNTA($B182:$K182)+COUNTA($N182))&gt;0),"",IF($S182="Macro",COUNTIFS($S$5:$S182,"Macro",$P$5:$P182,$P182),IF(N($R182)=0,"?",COUNTIFS(INDEX($S$5:$S$1000,1):INDEX($S$5:$S$1000,$R182-4),"Macro",INDEX($P$5:$P$1000,1):INDEX($P$5:$P$1000,$R182-4),INDEX($P$5:$P$1000,$R182-4))&amp;"."&amp;COUNTIFS($R$5:$R182,$R182,$S$5:$S182,"Sub"))))</f>
        <v/>
      </c>
      <c r="B182" s="62" t="n"/>
      <c r="C182" s="63" t="n"/>
      <c r="D182" s="62" t="n"/>
      <c r="E182" s="64" t="n"/>
      <c r="F182" s="64" t="n"/>
      <c r="G182" s="65" t="n"/>
      <c r="H182" s="66" t="n"/>
      <c r="I182" s="66" t="n"/>
      <c r="J182" s="66" t="n"/>
      <c r="K182" s="66" t="n"/>
      <c r="L182" s="67">
        <f>IF(NOT((COUNTA($B182:$K182)+COUNTA($N182))&gt;0),"",IF(N($T182)&gt;0,$AB182,IFERROR(LOOKUP(2,1/(H182:K182&lt;&gt;""),H182:K182),0)))</f>
        <v/>
      </c>
      <c r="M182" s="61">
        <f>IF(L182="","",IF(L182&gt;=1,"Completado",IF(L182&gt;0,"En curso","Pendiente")))</f>
        <v/>
      </c>
      <c r="N182" s="62" t="n"/>
      <c r="O182" s="68">
        <f>IF(NOT((COUNTA($B182:$K182)+COUNTA($N182))&gt;0),"",IF((IF(AND($S182="Macro",$B182=""),"Macroactividad vacía"&amp;" · ","")&amp;IF(AND($B182&lt;&gt;"",$C182&lt;&gt;""),"Escriba la subactividad en otra fila, debajo de su macroactividad"&amp;" · ","")&amp;IF(AND($S182="Sub",N($R182)=0),"Subactividad sin macroactividad arriba"&amp;" · ","")&amp;IF($D182="","Sin responsable"&amp;" · ","")&amp;IF($E182="","Sin fecha de inicio"&amp;" · ","")&amp;IF($F182="","Sin fecha límite"&amp;" · ","")&amp;IF(OR(AND($E182&lt;&gt;"",NOT(ISNUMBER($E182))),AND($F182&lt;&gt;"",NOT(ISNUMBER($F182)))),"Fecha no válida"&amp;" · ","")&amp;IF(AND(ISNUMBER($E182),ISNUMBER($F182),$E182&gt;$F182),"Inicio posterior a fecha límite"&amp;" · ","")&amp;IF(AND($S182="Macro",$G182=""),"Peso vacío"&amp;" · ","")&amp;IF(AND($S182="Macro",$G182&lt;&gt;"",OR(NOT(ISNUMBER($G182)),$G182&lt;=0,$G182&gt;1)),"Peso fuera de rango"&amp;" · ","")&amp;IF(AND($S182="Sub",$G182&lt;&gt;""),"Las subactividades no llevan peso"&amp;" · ","")&amp;IF(AND($S182="Macro",ABS(SUMIFS($G$5:$G$1000,$P$5:$P$1000,$P182,$S$5:$S$1000,"Macro")-1)&gt;0.0001),"Pesos del mes suman "&amp;TEXT(SUMIFS($G$5:$G$1000,$P$5:$P$1000,$P182,$S$5:$S$1000,"Macro"),"0%")&amp;" · ","")&amp;IF(AND(N($T182)&gt;0,COUNT($H182:$K182)&gt;0),"Con subactividades: deje vacías las semanas (se calculan solas)"&amp;" · ","")&amp;IF((COUNTIF($H182:$K182,"&gt;1")+COUNTIF($H182:$K182,"&lt;0")+COUNTA($H182:$K182)-COUNT($H182:$K182))&gt;0,"Avance fuera de rango 0-100%"&amp;" · ","")&amp;IF(OR(AND($I182&lt;&gt;"",$I182&lt;$H182),AND($J182&lt;&gt;"",$J182&lt;MAX($H182:$I182)),AND($K182&lt;&gt;"",$K182&lt;MAX($H182:$J182))),"Avance semanal decreciente"&amp;" · ","")&amp;IF(AND(ISNUMBER($F182),$F182&lt;FechaRef,N($L182)&lt;1),"Vencida"&amp;" · ","")&amp;IF(AND(ObsObligatoria="Sí",ISNUMBER($F182),$F182&lt;FechaRef,N($L182)&lt;1,$N182=""),"Vencida sin observación"&amp;" · ",""))="","✔ OK","⚠ "&amp;LEFT(IF(AND($S182="Macro",$B182=""),"Macroactividad vacía"&amp;" · ","")&amp;IF(AND($B182&lt;&gt;"",$C182&lt;&gt;""),"Escriba la subactividad en otra fila, debajo de su macroactividad"&amp;" · ","")&amp;IF(AND($S182="Sub",N($R182)=0),"Subactividad sin macroactividad arriba"&amp;" · ","")&amp;IF($D182="","Sin responsable"&amp;" · ","")&amp;IF($E182="","Sin fecha de inicio"&amp;" · ","")&amp;IF($F182="","Sin fecha límite"&amp;" · ","")&amp;IF(OR(AND($E182&lt;&gt;"",NOT(ISNUMBER($E182))),AND($F182&lt;&gt;"",NOT(ISNUMBER($F182)))),"Fecha no válida"&amp;" · ","")&amp;IF(AND(ISNUMBER($E182),ISNUMBER($F182),$E182&gt;$F182),"Inicio posterior a fecha límite"&amp;" · ","")&amp;IF(AND($S182="Macro",$G182=""),"Peso vacío"&amp;" · ","")&amp;IF(AND($S182="Macro",$G182&lt;&gt;"",OR(NOT(ISNUMBER($G182)),$G182&lt;=0,$G182&gt;1)),"Peso fuera de rango"&amp;" · ","")&amp;IF(AND($S182="Sub",$G182&lt;&gt;""),"Las subactividades no llevan peso"&amp;" · ","")&amp;IF(AND($S182="Macro",ABS(SUMIFS($G$5:$G$1000,$P$5:$P$1000,$P182,$S$5:$S$1000,"Macro")-1)&gt;0.0001),"Pesos del mes suman "&amp;TEXT(SUMIFS($G$5:$G$1000,$P$5:$P$1000,$P182,$S$5:$S$1000,"Macro"),"0%")&amp;" · ","")&amp;IF(AND(N($T182)&gt;0,COUNT($H182:$K182)&gt;0),"Con subactividades: deje vacías las semanas (se calculan solas)"&amp;" · ","")&amp;IF((COUNTIF($H182:$K182,"&gt;1")+COUNTIF($H182:$K182,"&lt;0")+COUNTA($H182:$K182)-COUNT($H182:$K182))&gt;0,"Avance fuera de rango 0-100%"&amp;" · ","")&amp;IF(OR(AND($I182&lt;&gt;"",$I182&lt;$H182),AND($J182&lt;&gt;"",$J182&lt;MAX($H182:$I182)),AND($K182&lt;&gt;"",$K182&lt;MAX($H182:$J182))),"Avance semanal decreciente"&amp;" · ","")&amp;IF(AND(ISNUMBER($F182),$F182&lt;FechaRef,N($L182)&lt;1),"Vencida"&amp;" · ","")&amp;IF(AND(ObsObligatoria="Sí",ISNUMBER($F182),$F182&lt;FechaRef,N($L182)&lt;1,$N182=""),"Vencida sin observación"&amp;" · ",""),LEN(IF(AND($S182="Macro",$B182=""),"Macroactividad vacía"&amp;" · ","")&amp;IF(AND($B182&lt;&gt;"",$C182&lt;&gt;""),"Escriba la subactividad en otra fila, debajo de su macroactividad"&amp;" · ","")&amp;IF(AND($S182="Sub",N($R182)=0),"Subactividad sin macroactividad arriba"&amp;" · ","")&amp;IF($D182="","Sin responsable"&amp;" · ","")&amp;IF($E182="","Sin fecha de inicio"&amp;" · ","")&amp;IF($F182="","Sin fecha límite"&amp;" · ","")&amp;IF(OR(AND($E182&lt;&gt;"",NOT(ISNUMBER($E182))),AND($F182&lt;&gt;"",NOT(ISNUMBER($F182)))),"Fecha no válida"&amp;" · ","")&amp;IF(AND(ISNUMBER($E182),ISNUMBER($F182),$E182&gt;$F182),"Inicio posterior a fecha límite"&amp;" · ","")&amp;IF(AND($S182="Macro",$G182=""),"Peso vacío"&amp;" · ","")&amp;IF(AND($S182="Macro",$G182&lt;&gt;"",OR(NOT(ISNUMBER($G182)),$G182&lt;=0,$G182&gt;1)),"Peso fuera de rango"&amp;" · ","")&amp;IF(AND($S182="Sub",$G182&lt;&gt;""),"Las subactividades no llevan peso"&amp;" · ","")&amp;IF(AND($S182="Macro",ABS(SUMIFS($G$5:$G$1000,$P$5:$P$1000,$P182,$S$5:$S$1000,"Macro")-1)&gt;0.0001),"Pesos del mes suman "&amp;TEXT(SUMIFS($G$5:$G$1000,$P$5:$P$1000,$P182,$S$5:$S$1000,"Macro"),"0%")&amp;" · ","")&amp;IF(AND(N($T182)&gt;0,COUNT($H182:$K182)&gt;0),"Con subactividades: deje vacías las semanas (se calculan solas)"&amp;" · ","")&amp;IF((COUNTIF($H182:$K182,"&gt;1")+COUNTIF($H182:$K182,"&lt;0")+COUNTA($H182:$K182)-COUNT($H182:$K182))&gt;0,"Avance fuera de rango 0-100%"&amp;" · ","")&amp;IF(OR(AND($I182&lt;&gt;"",$I182&lt;$H182),AND($J182&lt;&gt;"",$J182&lt;MAX($H182:$I182)),AND($K182&lt;&gt;"",$K182&lt;MAX($H182:$J182))),"Avance semanal decreciente"&amp;" · ","")&amp;IF(AND(ISNUMBER($F182),$F182&lt;FechaRef,N($L182)&lt;1),"Vencida"&amp;" · ","")&amp;IF(AND(ObsObligatoria="Sí",ISNUMBER($F182),$F182&lt;FechaRef,N($L182)&lt;1,$N182=""),"Vencida sin observación"&amp;" · ",""))-3)))</f>
        <v/>
      </c>
      <c r="P182" s="69">
        <f>IF(NOT((COUNTA($B182:$K182)+COUNTA($N182))&gt;0),"",IF(AND($S182="Sub",N($R182)&gt;0),IF(ISNUMBER(INDEX($E$5:$E$1000,$R182-4)),DATE(YEAR(INDEX($E$5:$E$1000,$R182-4)),MONTH(INDEX($E$5:$E$1000,$R182-4)),1),IF(ISNUMBER(INDEX($F$5:$F$1000,$R182-4)),DATE(YEAR(INDEX($F$5:$F$1000,$R182-4)),MONTH(INDEX($F$5:$F$1000,$R182-4)),1),MesCiclo)),IF(ISNUMBER($E182),DATE(YEAR($E182),MONTH($E182),1),IF(ISNUMBER($F182),DATE(YEAR($F182),MONTH($F182),1),MesCiclo))))</f>
        <v/>
      </c>
      <c r="Q182" s="70">
        <f>IF(OR($P182="",$P182&lt;&gt;MesCiclo),"",COUNTIF($P$5:$P182,MesCiclo))</f>
        <v/>
      </c>
      <c r="R182" s="70">
        <f>IF($S182="","",IF($S182="Macro",ROW(),IFERROR(LOOKUP(2,1/($S$5:$S182="Macro"),ROW($S$5:$S182)),0)))</f>
        <v/>
      </c>
      <c r="S182" s="70">
        <f>IF(NOT((COUNTA($B182:$K182)+COUNTA($N182))&gt;0),"",IF($B182&lt;&gt;"","Macro",IF($C182&lt;&gt;"","Sub","Macro")))</f>
        <v/>
      </c>
      <c r="T182" s="70">
        <f>IF($S182="Macro",COUNTIFS($R$5:$R$1000,ROW(),$S$5:$S$1000,"Sub"),"")</f>
        <v/>
      </c>
      <c r="U182" s="70">
        <f>IF($S182="","",IF(ISNUMBER($H182),$H182,0))</f>
        <v/>
      </c>
      <c r="V182" s="70">
        <f>IF($S182="","",IF(ISNUMBER($I182),$I182,$U182))</f>
        <v/>
      </c>
      <c r="W182" s="70">
        <f>IF($S182="","",IF(ISNUMBER($J182),$J182,$V182))</f>
        <v/>
      </c>
      <c r="X182" s="70">
        <f>IF($S182="","",IF(ISNUMBER($K182),$K182,$W182))</f>
        <v/>
      </c>
      <c r="Y182" s="70">
        <f>IF($S182="","",IF(N($T182)&gt;0,AVERAGEIFS($U$5:$U$1000,$R$5:$R$1000,ROW(),$S$5:$S$1000,"Sub"),$U182))</f>
        <v/>
      </c>
      <c r="Z182" s="70">
        <f>IF($S182="","",IF(N($T182)&gt;0,AVERAGEIFS($V$5:$V$1000,$R$5:$R$1000,ROW(),$S$5:$S$1000,"Sub"),$V182))</f>
        <v/>
      </c>
      <c r="AA182" s="70">
        <f>IF($S182="","",IF(N($T182)&gt;0,AVERAGEIFS($W$5:$W$1000,$R$5:$R$1000,ROW(),$S$5:$S$1000,"Sub"),$W182))</f>
        <v/>
      </c>
      <c r="AB182" s="70">
        <f>IF($S182="","",IF(N($T182)&gt;0,AVERAGEIFS($X$5:$X$1000,$R$5:$R$1000,ROW(),$S$5:$S$1000,"Sub"),$X182))</f>
        <v/>
      </c>
    </row>
    <row r="183">
      <c r="A183" s="61">
        <f>IF(NOT((COUNTA($B183:$K183)+COUNTA($N183))&gt;0),"",IF($S183="Macro",COUNTIFS($S$5:$S183,"Macro",$P$5:$P183,$P183),IF(N($R183)=0,"?",COUNTIFS(INDEX($S$5:$S$1000,1):INDEX($S$5:$S$1000,$R183-4),"Macro",INDEX($P$5:$P$1000,1):INDEX($P$5:$P$1000,$R183-4),INDEX($P$5:$P$1000,$R183-4))&amp;"."&amp;COUNTIFS($R$5:$R183,$R183,$S$5:$S183,"Sub"))))</f>
        <v/>
      </c>
      <c r="B183" s="62" t="n"/>
      <c r="C183" s="63" t="n"/>
      <c r="D183" s="62" t="n"/>
      <c r="E183" s="64" t="n"/>
      <c r="F183" s="64" t="n"/>
      <c r="G183" s="65" t="n"/>
      <c r="H183" s="66" t="n"/>
      <c r="I183" s="66" t="n"/>
      <c r="J183" s="66" t="n"/>
      <c r="K183" s="66" t="n"/>
      <c r="L183" s="67">
        <f>IF(NOT((COUNTA($B183:$K183)+COUNTA($N183))&gt;0),"",IF(N($T183)&gt;0,$AB183,IFERROR(LOOKUP(2,1/(H183:K183&lt;&gt;""),H183:K183),0)))</f>
        <v/>
      </c>
      <c r="M183" s="61">
        <f>IF(L183="","",IF(L183&gt;=1,"Completado",IF(L183&gt;0,"En curso","Pendiente")))</f>
        <v/>
      </c>
      <c r="N183" s="62" t="n"/>
      <c r="O183" s="68">
        <f>IF(NOT((COUNTA($B183:$K183)+COUNTA($N183))&gt;0),"",IF((IF(AND($S183="Macro",$B183=""),"Macroactividad vacía"&amp;" · ","")&amp;IF(AND($B183&lt;&gt;"",$C183&lt;&gt;""),"Escriba la subactividad en otra fila, debajo de su macroactividad"&amp;" · ","")&amp;IF(AND($S183="Sub",N($R183)=0),"Subactividad sin macroactividad arriba"&amp;" · ","")&amp;IF($D183="","Sin responsable"&amp;" · ","")&amp;IF($E183="","Sin fecha de inicio"&amp;" · ","")&amp;IF($F183="","Sin fecha límite"&amp;" · ","")&amp;IF(OR(AND($E183&lt;&gt;"",NOT(ISNUMBER($E183))),AND($F183&lt;&gt;"",NOT(ISNUMBER($F183)))),"Fecha no válida"&amp;" · ","")&amp;IF(AND(ISNUMBER($E183),ISNUMBER($F183),$E183&gt;$F183),"Inicio posterior a fecha límite"&amp;" · ","")&amp;IF(AND($S183="Macro",$G183=""),"Peso vacío"&amp;" · ","")&amp;IF(AND($S183="Macro",$G183&lt;&gt;"",OR(NOT(ISNUMBER($G183)),$G183&lt;=0,$G183&gt;1)),"Peso fuera de rango"&amp;" · ","")&amp;IF(AND($S183="Sub",$G183&lt;&gt;""),"Las subactividades no llevan peso"&amp;" · ","")&amp;IF(AND($S183="Macro",ABS(SUMIFS($G$5:$G$1000,$P$5:$P$1000,$P183,$S$5:$S$1000,"Macro")-1)&gt;0.0001),"Pesos del mes suman "&amp;TEXT(SUMIFS($G$5:$G$1000,$P$5:$P$1000,$P183,$S$5:$S$1000,"Macro"),"0%")&amp;" · ","")&amp;IF(AND(N($T183)&gt;0,COUNT($H183:$K183)&gt;0),"Con subactividades: deje vacías las semanas (se calculan solas)"&amp;" · ","")&amp;IF((COUNTIF($H183:$K183,"&gt;1")+COUNTIF($H183:$K183,"&lt;0")+COUNTA($H183:$K183)-COUNT($H183:$K183))&gt;0,"Avance fuera de rango 0-100%"&amp;" · ","")&amp;IF(OR(AND($I183&lt;&gt;"",$I183&lt;$H183),AND($J183&lt;&gt;"",$J183&lt;MAX($H183:$I183)),AND($K183&lt;&gt;"",$K183&lt;MAX($H183:$J183))),"Avance semanal decreciente"&amp;" · ","")&amp;IF(AND(ISNUMBER($F183),$F183&lt;FechaRef,N($L183)&lt;1),"Vencida"&amp;" · ","")&amp;IF(AND(ObsObligatoria="Sí",ISNUMBER($F183),$F183&lt;FechaRef,N($L183)&lt;1,$N183=""),"Vencida sin observación"&amp;" · ",""))="","✔ OK","⚠ "&amp;LEFT(IF(AND($S183="Macro",$B183=""),"Macroactividad vacía"&amp;" · ","")&amp;IF(AND($B183&lt;&gt;"",$C183&lt;&gt;""),"Escriba la subactividad en otra fila, debajo de su macroactividad"&amp;" · ","")&amp;IF(AND($S183="Sub",N($R183)=0),"Subactividad sin macroactividad arriba"&amp;" · ","")&amp;IF($D183="","Sin responsable"&amp;" · ","")&amp;IF($E183="","Sin fecha de inicio"&amp;" · ","")&amp;IF($F183="","Sin fecha límite"&amp;" · ","")&amp;IF(OR(AND($E183&lt;&gt;"",NOT(ISNUMBER($E183))),AND($F183&lt;&gt;"",NOT(ISNUMBER($F183)))),"Fecha no válida"&amp;" · ","")&amp;IF(AND(ISNUMBER($E183),ISNUMBER($F183),$E183&gt;$F183),"Inicio posterior a fecha límite"&amp;" · ","")&amp;IF(AND($S183="Macro",$G183=""),"Peso vacío"&amp;" · ","")&amp;IF(AND($S183="Macro",$G183&lt;&gt;"",OR(NOT(ISNUMBER($G183)),$G183&lt;=0,$G183&gt;1)),"Peso fuera de rango"&amp;" · ","")&amp;IF(AND($S183="Sub",$G183&lt;&gt;""),"Las subactividades no llevan peso"&amp;" · ","")&amp;IF(AND($S183="Macro",ABS(SUMIFS($G$5:$G$1000,$P$5:$P$1000,$P183,$S$5:$S$1000,"Macro")-1)&gt;0.0001),"Pesos del mes suman "&amp;TEXT(SUMIFS($G$5:$G$1000,$P$5:$P$1000,$P183,$S$5:$S$1000,"Macro"),"0%")&amp;" · ","")&amp;IF(AND(N($T183)&gt;0,COUNT($H183:$K183)&gt;0),"Con subactividades: deje vacías las semanas (se calculan solas)"&amp;" · ","")&amp;IF((COUNTIF($H183:$K183,"&gt;1")+COUNTIF($H183:$K183,"&lt;0")+COUNTA($H183:$K183)-COUNT($H183:$K183))&gt;0,"Avance fuera de rango 0-100%"&amp;" · ","")&amp;IF(OR(AND($I183&lt;&gt;"",$I183&lt;$H183),AND($J183&lt;&gt;"",$J183&lt;MAX($H183:$I183)),AND($K183&lt;&gt;"",$K183&lt;MAX($H183:$J183))),"Avance semanal decreciente"&amp;" · ","")&amp;IF(AND(ISNUMBER($F183),$F183&lt;FechaRef,N($L183)&lt;1),"Vencida"&amp;" · ","")&amp;IF(AND(ObsObligatoria="Sí",ISNUMBER($F183),$F183&lt;FechaRef,N($L183)&lt;1,$N183=""),"Vencida sin observación"&amp;" · ",""),LEN(IF(AND($S183="Macro",$B183=""),"Macroactividad vacía"&amp;" · ","")&amp;IF(AND($B183&lt;&gt;"",$C183&lt;&gt;""),"Escriba la subactividad en otra fila, debajo de su macroactividad"&amp;" · ","")&amp;IF(AND($S183="Sub",N($R183)=0),"Subactividad sin macroactividad arriba"&amp;" · ","")&amp;IF($D183="","Sin responsable"&amp;" · ","")&amp;IF($E183="","Sin fecha de inicio"&amp;" · ","")&amp;IF($F183="","Sin fecha límite"&amp;" · ","")&amp;IF(OR(AND($E183&lt;&gt;"",NOT(ISNUMBER($E183))),AND($F183&lt;&gt;"",NOT(ISNUMBER($F183)))),"Fecha no válida"&amp;" · ","")&amp;IF(AND(ISNUMBER($E183),ISNUMBER($F183),$E183&gt;$F183),"Inicio posterior a fecha límite"&amp;" · ","")&amp;IF(AND($S183="Macro",$G183=""),"Peso vacío"&amp;" · ","")&amp;IF(AND($S183="Macro",$G183&lt;&gt;"",OR(NOT(ISNUMBER($G183)),$G183&lt;=0,$G183&gt;1)),"Peso fuera de rango"&amp;" · ","")&amp;IF(AND($S183="Sub",$G183&lt;&gt;""),"Las subactividades no llevan peso"&amp;" · ","")&amp;IF(AND($S183="Macro",ABS(SUMIFS($G$5:$G$1000,$P$5:$P$1000,$P183,$S$5:$S$1000,"Macro")-1)&gt;0.0001),"Pesos del mes suman "&amp;TEXT(SUMIFS($G$5:$G$1000,$P$5:$P$1000,$P183,$S$5:$S$1000,"Macro"),"0%")&amp;" · ","")&amp;IF(AND(N($T183)&gt;0,COUNT($H183:$K183)&gt;0),"Con subactividades: deje vacías las semanas (se calculan solas)"&amp;" · ","")&amp;IF((COUNTIF($H183:$K183,"&gt;1")+COUNTIF($H183:$K183,"&lt;0")+COUNTA($H183:$K183)-COUNT($H183:$K183))&gt;0,"Avance fuera de rango 0-100%"&amp;" · ","")&amp;IF(OR(AND($I183&lt;&gt;"",$I183&lt;$H183),AND($J183&lt;&gt;"",$J183&lt;MAX($H183:$I183)),AND($K183&lt;&gt;"",$K183&lt;MAX($H183:$J183))),"Avance semanal decreciente"&amp;" · ","")&amp;IF(AND(ISNUMBER($F183),$F183&lt;FechaRef,N($L183)&lt;1),"Vencida"&amp;" · ","")&amp;IF(AND(ObsObligatoria="Sí",ISNUMBER($F183),$F183&lt;FechaRef,N($L183)&lt;1,$N183=""),"Vencida sin observación"&amp;" · ",""))-3)))</f>
        <v/>
      </c>
      <c r="P183" s="69">
        <f>IF(NOT((COUNTA($B183:$K183)+COUNTA($N183))&gt;0),"",IF(AND($S183="Sub",N($R183)&gt;0),IF(ISNUMBER(INDEX($E$5:$E$1000,$R183-4)),DATE(YEAR(INDEX($E$5:$E$1000,$R183-4)),MONTH(INDEX($E$5:$E$1000,$R183-4)),1),IF(ISNUMBER(INDEX($F$5:$F$1000,$R183-4)),DATE(YEAR(INDEX($F$5:$F$1000,$R183-4)),MONTH(INDEX($F$5:$F$1000,$R183-4)),1),MesCiclo)),IF(ISNUMBER($E183),DATE(YEAR($E183),MONTH($E183),1),IF(ISNUMBER($F183),DATE(YEAR($F183),MONTH($F183),1),MesCiclo))))</f>
        <v/>
      </c>
      <c r="Q183" s="70">
        <f>IF(OR($P183="",$P183&lt;&gt;MesCiclo),"",COUNTIF($P$5:$P183,MesCiclo))</f>
        <v/>
      </c>
      <c r="R183" s="70">
        <f>IF($S183="","",IF($S183="Macro",ROW(),IFERROR(LOOKUP(2,1/($S$5:$S183="Macro"),ROW($S$5:$S183)),0)))</f>
        <v/>
      </c>
      <c r="S183" s="70">
        <f>IF(NOT((COUNTA($B183:$K183)+COUNTA($N183))&gt;0),"",IF($B183&lt;&gt;"","Macro",IF($C183&lt;&gt;"","Sub","Macro")))</f>
        <v/>
      </c>
      <c r="T183" s="70">
        <f>IF($S183="Macro",COUNTIFS($R$5:$R$1000,ROW(),$S$5:$S$1000,"Sub"),"")</f>
        <v/>
      </c>
      <c r="U183" s="70">
        <f>IF($S183="","",IF(ISNUMBER($H183),$H183,0))</f>
        <v/>
      </c>
      <c r="V183" s="70">
        <f>IF($S183="","",IF(ISNUMBER($I183),$I183,$U183))</f>
        <v/>
      </c>
      <c r="W183" s="70">
        <f>IF($S183="","",IF(ISNUMBER($J183),$J183,$V183))</f>
        <v/>
      </c>
      <c r="X183" s="70">
        <f>IF($S183="","",IF(ISNUMBER($K183),$K183,$W183))</f>
        <v/>
      </c>
      <c r="Y183" s="70">
        <f>IF($S183="","",IF(N($T183)&gt;0,AVERAGEIFS($U$5:$U$1000,$R$5:$R$1000,ROW(),$S$5:$S$1000,"Sub"),$U183))</f>
        <v/>
      </c>
      <c r="Z183" s="70">
        <f>IF($S183="","",IF(N($T183)&gt;0,AVERAGEIFS($V$5:$V$1000,$R$5:$R$1000,ROW(),$S$5:$S$1000,"Sub"),$V183))</f>
        <v/>
      </c>
      <c r="AA183" s="70">
        <f>IF($S183="","",IF(N($T183)&gt;0,AVERAGEIFS($W$5:$W$1000,$R$5:$R$1000,ROW(),$S$5:$S$1000,"Sub"),$W183))</f>
        <v/>
      </c>
      <c r="AB183" s="70">
        <f>IF($S183="","",IF(N($T183)&gt;0,AVERAGEIFS($X$5:$X$1000,$R$5:$R$1000,ROW(),$S$5:$S$1000,"Sub"),$X183))</f>
        <v/>
      </c>
    </row>
    <row r="184">
      <c r="A184" s="61">
        <f>IF(NOT((COUNTA($B184:$K184)+COUNTA($N184))&gt;0),"",IF($S184="Macro",COUNTIFS($S$5:$S184,"Macro",$P$5:$P184,$P184),IF(N($R184)=0,"?",COUNTIFS(INDEX($S$5:$S$1000,1):INDEX($S$5:$S$1000,$R184-4),"Macro",INDEX($P$5:$P$1000,1):INDEX($P$5:$P$1000,$R184-4),INDEX($P$5:$P$1000,$R184-4))&amp;"."&amp;COUNTIFS($R$5:$R184,$R184,$S$5:$S184,"Sub"))))</f>
        <v/>
      </c>
      <c r="B184" s="62" t="n"/>
      <c r="C184" s="63" t="n"/>
      <c r="D184" s="62" t="n"/>
      <c r="E184" s="64" t="n"/>
      <c r="F184" s="64" t="n"/>
      <c r="G184" s="65" t="n"/>
      <c r="H184" s="66" t="n"/>
      <c r="I184" s="66" t="n"/>
      <c r="J184" s="66" t="n"/>
      <c r="K184" s="66" t="n"/>
      <c r="L184" s="67">
        <f>IF(NOT((COUNTA($B184:$K184)+COUNTA($N184))&gt;0),"",IF(N($T184)&gt;0,$AB184,IFERROR(LOOKUP(2,1/(H184:K184&lt;&gt;""),H184:K184),0)))</f>
        <v/>
      </c>
      <c r="M184" s="61">
        <f>IF(L184="","",IF(L184&gt;=1,"Completado",IF(L184&gt;0,"En curso","Pendiente")))</f>
        <v/>
      </c>
      <c r="N184" s="62" t="n"/>
      <c r="O184" s="68">
        <f>IF(NOT((COUNTA($B184:$K184)+COUNTA($N184))&gt;0),"",IF((IF(AND($S184="Macro",$B184=""),"Macroactividad vacía"&amp;" · ","")&amp;IF(AND($B184&lt;&gt;"",$C184&lt;&gt;""),"Escriba la subactividad en otra fila, debajo de su macroactividad"&amp;" · ","")&amp;IF(AND($S184="Sub",N($R184)=0),"Subactividad sin macroactividad arriba"&amp;" · ","")&amp;IF($D184="","Sin responsable"&amp;" · ","")&amp;IF($E184="","Sin fecha de inicio"&amp;" · ","")&amp;IF($F184="","Sin fecha límite"&amp;" · ","")&amp;IF(OR(AND($E184&lt;&gt;"",NOT(ISNUMBER($E184))),AND($F184&lt;&gt;"",NOT(ISNUMBER($F184)))),"Fecha no válida"&amp;" · ","")&amp;IF(AND(ISNUMBER($E184),ISNUMBER($F184),$E184&gt;$F184),"Inicio posterior a fecha límite"&amp;" · ","")&amp;IF(AND($S184="Macro",$G184=""),"Peso vacío"&amp;" · ","")&amp;IF(AND($S184="Macro",$G184&lt;&gt;"",OR(NOT(ISNUMBER($G184)),$G184&lt;=0,$G184&gt;1)),"Peso fuera de rango"&amp;" · ","")&amp;IF(AND($S184="Sub",$G184&lt;&gt;""),"Las subactividades no llevan peso"&amp;" · ","")&amp;IF(AND($S184="Macro",ABS(SUMIFS($G$5:$G$1000,$P$5:$P$1000,$P184,$S$5:$S$1000,"Macro")-1)&gt;0.0001),"Pesos del mes suman "&amp;TEXT(SUMIFS($G$5:$G$1000,$P$5:$P$1000,$P184,$S$5:$S$1000,"Macro"),"0%")&amp;" · ","")&amp;IF(AND(N($T184)&gt;0,COUNT($H184:$K184)&gt;0),"Con subactividades: deje vacías las semanas (se calculan solas)"&amp;" · ","")&amp;IF((COUNTIF($H184:$K184,"&gt;1")+COUNTIF($H184:$K184,"&lt;0")+COUNTA($H184:$K184)-COUNT($H184:$K184))&gt;0,"Avance fuera de rango 0-100%"&amp;" · ","")&amp;IF(OR(AND($I184&lt;&gt;"",$I184&lt;$H184),AND($J184&lt;&gt;"",$J184&lt;MAX($H184:$I184)),AND($K184&lt;&gt;"",$K184&lt;MAX($H184:$J184))),"Avance semanal decreciente"&amp;" · ","")&amp;IF(AND(ISNUMBER($F184),$F184&lt;FechaRef,N($L184)&lt;1),"Vencida"&amp;" · ","")&amp;IF(AND(ObsObligatoria="Sí",ISNUMBER($F184),$F184&lt;FechaRef,N($L184)&lt;1,$N184=""),"Vencida sin observación"&amp;" · ",""))="","✔ OK","⚠ "&amp;LEFT(IF(AND($S184="Macro",$B184=""),"Macroactividad vacía"&amp;" · ","")&amp;IF(AND($B184&lt;&gt;"",$C184&lt;&gt;""),"Escriba la subactividad en otra fila, debajo de su macroactividad"&amp;" · ","")&amp;IF(AND($S184="Sub",N($R184)=0),"Subactividad sin macroactividad arriba"&amp;" · ","")&amp;IF($D184="","Sin responsable"&amp;" · ","")&amp;IF($E184="","Sin fecha de inicio"&amp;" · ","")&amp;IF($F184="","Sin fecha límite"&amp;" · ","")&amp;IF(OR(AND($E184&lt;&gt;"",NOT(ISNUMBER($E184))),AND($F184&lt;&gt;"",NOT(ISNUMBER($F184)))),"Fecha no válida"&amp;" · ","")&amp;IF(AND(ISNUMBER($E184),ISNUMBER($F184),$E184&gt;$F184),"Inicio posterior a fecha límite"&amp;" · ","")&amp;IF(AND($S184="Macro",$G184=""),"Peso vacío"&amp;" · ","")&amp;IF(AND($S184="Macro",$G184&lt;&gt;"",OR(NOT(ISNUMBER($G184)),$G184&lt;=0,$G184&gt;1)),"Peso fuera de rango"&amp;" · ","")&amp;IF(AND($S184="Sub",$G184&lt;&gt;""),"Las subactividades no llevan peso"&amp;" · ","")&amp;IF(AND($S184="Macro",ABS(SUMIFS($G$5:$G$1000,$P$5:$P$1000,$P184,$S$5:$S$1000,"Macro")-1)&gt;0.0001),"Pesos del mes suman "&amp;TEXT(SUMIFS($G$5:$G$1000,$P$5:$P$1000,$P184,$S$5:$S$1000,"Macro"),"0%")&amp;" · ","")&amp;IF(AND(N($T184)&gt;0,COUNT($H184:$K184)&gt;0),"Con subactividades: deje vacías las semanas (se calculan solas)"&amp;" · ","")&amp;IF((COUNTIF($H184:$K184,"&gt;1")+COUNTIF($H184:$K184,"&lt;0")+COUNTA($H184:$K184)-COUNT($H184:$K184))&gt;0,"Avance fuera de rango 0-100%"&amp;" · ","")&amp;IF(OR(AND($I184&lt;&gt;"",$I184&lt;$H184),AND($J184&lt;&gt;"",$J184&lt;MAX($H184:$I184)),AND($K184&lt;&gt;"",$K184&lt;MAX($H184:$J184))),"Avance semanal decreciente"&amp;" · ","")&amp;IF(AND(ISNUMBER($F184),$F184&lt;FechaRef,N($L184)&lt;1),"Vencida"&amp;" · ","")&amp;IF(AND(ObsObligatoria="Sí",ISNUMBER($F184),$F184&lt;FechaRef,N($L184)&lt;1,$N184=""),"Vencida sin observación"&amp;" · ",""),LEN(IF(AND($S184="Macro",$B184=""),"Macroactividad vacía"&amp;" · ","")&amp;IF(AND($B184&lt;&gt;"",$C184&lt;&gt;""),"Escriba la subactividad en otra fila, debajo de su macroactividad"&amp;" · ","")&amp;IF(AND($S184="Sub",N($R184)=0),"Subactividad sin macroactividad arriba"&amp;" · ","")&amp;IF($D184="","Sin responsable"&amp;" · ","")&amp;IF($E184="","Sin fecha de inicio"&amp;" · ","")&amp;IF($F184="","Sin fecha límite"&amp;" · ","")&amp;IF(OR(AND($E184&lt;&gt;"",NOT(ISNUMBER($E184))),AND($F184&lt;&gt;"",NOT(ISNUMBER($F184)))),"Fecha no válida"&amp;" · ","")&amp;IF(AND(ISNUMBER($E184),ISNUMBER($F184),$E184&gt;$F184),"Inicio posterior a fecha límite"&amp;" · ","")&amp;IF(AND($S184="Macro",$G184=""),"Peso vacío"&amp;" · ","")&amp;IF(AND($S184="Macro",$G184&lt;&gt;"",OR(NOT(ISNUMBER($G184)),$G184&lt;=0,$G184&gt;1)),"Peso fuera de rango"&amp;" · ","")&amp;IF(AND($S184="Sub",$G184&lt;&gt;""),"Las subactividades no llevan peso"&amp;" · ","")&amp;IF(AND($S184="Macro",ABS(SUMIFS($G$5:$G$1000,$P$5:$P$1000,$P184,$S$5:$S$1000,"Macro")-1)&gt;0.0001),"Pesos del mes suman "&amp;TEXT(SUMIFS($G$5:$G$1000,$P$5:$P$1000,$P184,$S$5:$S$1000,"Macro"),"0%")&amp;" · ","")&amp;IF(AND(N($T184)&gt;0,COUNT($H184:$K184)&gt;0),"Con subactividades: deje vacías las semanas (se calculan solas)"&amp;" · ","")&amp;IF((COUNTIF($H184:$K184,"&gt;1")+COUNTIF($H184:$K184,"&lt;0")+COUNTA($H184:$K184)-COUNT($H184:$K184))&gt;0,"Avance fuera de rango 0-100%"&amp;" · ","")&amp;IF(OR(AND($I184&lt;&gt;"",$I184&lt;$H184),AND($J184&lt;&gt;"",$J184&lt;MAX($H184:$I184)),AND($K184&lt;&gt;"",$K184&lt;MAX($H184:$J184))),"Avance semanal decreciente"&amp;" · ","")&amp;IF(AND(ISNUMBER($F184),$F184&lt;FechaRef,N($L184)&lt;1),"Vencida"&amp;" · ","")&amp;IF(AND(ObsObligatoria="Sí",ISNUMBER($F184),$F184&lt;FechaRef,N($L184)&lt;1,$N184=""),"Vencida sin observación"&amp;" · ",""))-3)))</f>
        <v/>
      </c>
      <c r="P184" s="69">
        <f>IF(NOT((COUNTA($B184:$K184)+COUNTA($N184))&gt;0),"",IF(AND($S184="Sub",N($R184)&gt;0),IF(ISNUMBER(INDEX($E$5:$E$1000,$R184-4)),DATE(YEAR(INDEX($E$5:$E$1000,$R184-4)),MONTH(INDEX($E$5:$E$1000,$R184-4)),1),IF(ISNUMBER(INDEX($F$5:$F$1000,$R184-4)),DATE(YEAR(INDEX($F$5:$F$1000,$R184-4)),MONTH(INDEX($F$5:$F$1000,$R184-4)),1),MesCiclo)),IF(ISNUMBER($E184),DATE(YEAR($E184),MONTH($E184),1),IF(ISNUMBER($F184),DATE(YEAR($F184),MONTH($F184),1),MesCiclo))))</f>
        <v/>
      </c>
      <c r="Q184" s="70">
        <f>IF(OR($P184="",$P184&lt;&gt;MesCiclo),"",COUNTIF($P$5:$P184,MesCiclo))</f>
        <v/>
      </c>
      <c r="R184" s="70">
        <f>IF($S184="","",IF($S184="Macro",ROW(),IFERROR(LOOKUP(2,1/($S$5:$S184="Macro"),ROW($S$5:$S184)),0)))</f>
        <v/>
      </c>
      <c r="S184" s="70">
        <f>IF(NOT((COUNTA($B184:$K184)+COUNTA($N184))&gt;0),"",IF($B184&lt;&gt;"","Macro",IF($C184&lt;&gt;"","Sub","Macro")))</f>
        <v/>
      </c>
      <c r="T184" s="70">
        <f>IF($S184="Macro",COUNTIFS($R$5:$R$1000,ROW(),$S$5:$S$1000,"Sub"),"")</f>
        <v/>
      </c>
      <c r="U184" s="70">
        <f>IF($S184="","",IF(ISNUMBER($H184),$H184,0))</f>
        <v/>
      </c>
      <c r="V184" s="70">
        <f>IF($S184="","",IF(ISNUMBER($I184),$I184,$U184))</f>
        <v/>
      </c>
      <c r="W184" s="70">
        <f>IF($S184="","",IF(ISNUMBER($J184),$J184,$V184))</f>
        <v/>
      </c>
      <c r="X184" s="70">
        <f>IF($S184="","",IF(ISNUMBER($K184),$K184,$W184))</f>
        <v/>
      </c>
      <c r="Y184" s="70">
        <f>IF($S184="","",IF(N($T184)&gt;0,AVERAGEIFS($U$5:$U$1000,$R$5:$R$1000,ROW(),$S$5:$S$1000,"Sub"),$U184))</f>
        <v/>
      </c>
      <c r="Z184" s="70">
        <f>IF($S184="","",IF(N($T184)&gt;0,AVERAGEIFS($V$5:$V$1000,$R$5:$R$1000,ROW(),$S$5:$S$1000,"Sub"),$V184))</f>
        <v/>
      </c>
      <c r="AA184" s="70">
        <f>IF($S184="","",IF(N($T184)&gt;0,AVERAGEIFS($W$5:$W$1000,$R$5:$R$1000,ROW(),$S$5:$S$1000,"Sub"),$W184))</f>
        <v/>
      </c>
      <c r="AB184" s="70">
        <f>IF($S184="","",IF(N($T184)&gt;0,AVERAGEIFS($X$5:$X$1000,$R$5:$R$1000,ROW(),$S$5:$S$1000,"Sub"),$X184))</f>
        <v/>
      </c>
    </row>
    <row r="185">
      <c r="A185" s="61">
        <f>IF(NOT((COUNTA($B185:$K185)+COUNTA($N185))&gt;0),"",IF($S185="Macro",COUNTIFS($S$5:$S185,"Macro",$P$5:$P185,$P185),IF(N($R185)=0,"?",COUNTIFS(INDEX($S$5:$S$1000,1):INDEX($S$5:$S$1000,$R185-4),"Macro",INDEX($P$5:$P$1000,1):INDEX($P$5:$P$1000,$R185-4),INDEX($P$5:$P$1000,$R185-4))&amp;"."&amp;COUNTIFS($R$5:$R185,$R185,$S$5:$S185,"Sub"))))</f>
        <v/>
      </c>
      <c r="B185" s="62" t="n"/>
      <c r="C185" s="63" t="n"/>
      <c r="D185" s="62" t="n"/>
      <c r="E185" s="64" t="n"/>
      <c r="F185" s="64" t="n"/>
      <c r="G185" s="65" t="n"/>
      <c r="H185" s="66" t="n"/>
      <c r="I185" s="66" t="n"/>
      <c r="J185" s="66" t="n"/>
      <c r="K185" s="66" t="n"/>
      <c r="L185" s="67">
        <f>IF(NOT((COUNTA($B185:$K185)+COUNTA($N185))&gt;0),"",IF(N($T185)&gt;0,$AB185,IFERROR(LOOKUP(2,1/(H185:K185&lt;&gt;""),H185:K185),0)))</f>
        <v/>
      </c>
      <c r="M185" s="61">
        <f>IF(L185="","",IF(L185&gt;=1,"Completado",IF(L185&gt;0,"En curso","Pendiente")))</f>
        <v/>
      </c>
      <c r="N185" s="62" t="n"/>
      <c r="O185" s="68">
        <f>IF(NOT((COUNTA($B185:$K185)+COUNTA($N185))&gt;0),"",IF((IF(AND($S185="Macro",$B185=""),"Macroactividad vacía"&amp;" · ","")&amp;IF(AND($B185&lt;&gt;"",$C185&lt;&gt;""),"Escriba la subactividad en otra fila, debajo de su macroactividad"&amp;" · ","")&amp;IF(AND($S185="Sub",N($R185)=0),"Subactividad sin macroactividad arriba"&amp;" · ","")&amp;IF($D185="","Sin responsable"&amp;" · ","")&amp;IF($E185="","Sin fecha de inicio"&amp;" · ","")&amp;IF($F185="","Sin fecha límite"&amp;" · ","")&amp;IF(OR(AND($E185&lt;&gt;"",NOT(ISNUMBER($E185))),AND($F185&lt;&gt;"",NOT(ISNUMBER($F185)))),"Fecha no válida"&amp;" · ","")&amp;IF(AND(ISNUMBER($E185),ISNUMBER($F185),$E185&gt;$F185),"Inicio posterior a fecha límite"&amp;" · ","")&amp;IF(AND($S185="Macro",$G185=""),"Peso vacío"&amp;" · ","")&amp;IF(AND($S185="Macro",$G185&lt;&gt;"",OR(NOT(ISNUMBER($G185)),$G185&lt;=0,$G185&gt;1)),"Peso fuera de rango"&amp;" · ","")&amp;IF(AND($S185="Sub",$G185&lt;&gt;""),"Las subactividades no llevan peso"&amp;" · ","")&amp;IF(AND($S185="Macro",ABS(SUMIFS($G$5:$G$1000,$P$5:$P$1000,$P185,$S$5:$S$1000,"Macro")-1)&gt;0.0001),"Pesos del mes suman "&amp;TEXT(SUMIFS($G$5:$G$1000,$P$5:$P$1000,$P185,$S$5:$S$1000,"Macro"),"0%")&amp;" · ","")&amp;IF(AND(N($T185)&gt;0,COUNT($H185:$K185)&gt;0),"Con subactividades: deje vacías las semanas (se calculan solas)"&amp;" · ","")&amp;IF((COUNTIF($H185:$K185,"&gt;1")+COUNTIF($H185:$K185,"&lt;0")+COUNTA($H185:$K185)-COUNT($H185:$K185))&gt;0,"Avance fuera de rango 0-100%"&amp;" · ","")&amp;IF(OR(AND($I185&lt;&gt;"",$I185&lt;$H185),AND($J185&lt;&gt;"",$J185&lt;MAX($H185:$I185)),AND($K185&lt;&gt;"",$K185&lt;MAX($H185:$J185))),"Avance semanal decreciente"&amp;" · ","")&amp;IF(AND(ISNUMBER($F185),$F185&lt;FechaRef,N($L185)&lt;1),"Vencida"&amp;" · ","")&amp;IF(AND(ObsObligatoria="Sí",ISNUMBER($F185),$F185&lt;FechaRef,N($L185)&lt;1,$N185=""),"Vencida sin observación"&amp;" · ",""))="","✔ OK","⚠ "&amp;LEFT(IF(AND($S185="Macro",$B185=""),"Macroactividad vacía"&amp;" · ","")&amp;IF(AND($B185&lt;&gt;"",$C185&lt;&gt;""),"Escriba la subactividad en otra fila, debajo de su macroactividad"&amp;" · ","")&amp;IF(AND($S185="Sub",N($R185)=0),"Subactividad sin macroactividad arriba"&amp;" · ","")&amp;IF($D185="","Sin responsable"&amp;" · ","")&amp;IF($E185="","Sin fecha de inicio"&amp;" · ","")&amp;IF($F185="","Sin fecha límite"&amp;" · ","")&amp;IF(OR(AND($E185&lt;&gt;"",NOT(ISNUMBER($E185))),AND($F185&lt;&gt;"",NOT(ISNUMBER($F185)))),"Fecha no válida"&amp;" · ","")&amp;IF(AND(ISNUMBER($E185),ISNUMBER($F185),$E185&gt;$F185),"Inicio posterior a fecha límite"&amp;" · ","")&amp;IF(AND($S185="Macro",$G185=""),"Peso vacío"&amp;" · ","")&amp;IF(AND($S185="Macro",$G185&lt;&gt;"",OR(NOT(ISNUMBER($G185)),$G185&lt;=0,$G185&gt;1)),"Peso fuera de rango"&amp;" · ","")&amp;IF(AND($S185="Sub",$G185&lt;&gt;""),"Las subactividades no llevan peso"&amp;" · ","")&amp;IF(AND($S185="Macro",ABS(SUMIFS($G$5:$G$1000,$P$5:$P$1000,$P185,$S$5:$S$1000,"Macro")-1)&gt;0.0001),"Pesos del mes suman "&amp;TEXT(SUMIFS($G$5:$G$1000,$P$5:$P$1000,$P185,$S$5:$S$1000,"Macro"),"0%")&amp;" · ","")&amp;IF(AND(N($T185)&gt;0,COUNT($H185:$K185)&gt;0),"Con subactividades: deje vacías las semanas (se calculan solas)"&amp;" · ","")&amp;IF((COUNTIF($H185:$K185,"&gt;1")+COUNTIF($H185:$K185,"&lt;0")+COUNTA($H185:$K185)-COUNT($H185:$K185))&gt;0,"Avance fuera de rango 0-100%"&amp;" · ","")&amp;IF(OR(AND($I185&lt;&gt;"",$I185&lt;$H185),AND($J185&lt;&gt;"",$J185&lt;MAX($H185:$I185)),AND($K185&lt;&gt;"",$K185&lt;MAX($H185:$J185))),"Avance semanal decreciente"&amp;" · ","")&amp;IF(AND(ISNUMBER($F185),$F185&lt;FechaRef,N($L185)&lt;1),"Vencida"&amp;" · ","")&amp;IF(AND(ObsObligatoria="Sí",ISNUMBER($F185),$F185&lt;FechaRef,N($L185)&lt;1,$N185=""),"Vencida sin observación"&amp;" · ",""),LEN(IF(AND($S185="Macro",$B185=""),"Macroactividad vacía"&amp;" · ","")&amp;IF(AND($B185&lt;&gt;"",$C185&lt;&gt;""),"Escriba la subactividad en otra fila, debajo de su macroactividad"&amp;" · ","")&amp;IF(AND($S185="Sub",N($R185)=0),"Subactividad sin macroactividad arriba"&amp;" · ","")&amp;IF($D185="","Sin responsable"&amp;" · ","")&amp;IF($E185="","Sin fecha de inicio"&amp;" · ","")&amp;IF($F185="","Sin fecha límite"&amp;" · ","")&amp;IF(OR(AND($E185&lt;&gt;"",NOT(ISNUMBER($E185))),AND($F185&lt;&gt;"",NOT(ISNUMBER($F185)))),"Fecha no válida"&amp;" · ","")&amp;IF(AND(ISNUMBER($E185),ISNUMBER($F185),$E185&gt;$F185),"Inicio posterior a fecha límite"&amp;" · ","")&amp;IF(AND($S185="Macro",$G185=""),"Peso vacío"&amp;" · ","")&amp;IF(AND($S185="Macro",$G185&lt;&gt;"",OR(NOT(ISNUMBER($G185)),$G185&lt;=0,$G185&gt;1)),"Peso fuera de rango"&amp;" · ","")&amp;IF(AND($S185="Sub",$G185&lt;&gt;""),"Las subactividades no llevan peso"&amp;" · ","")&amp;IF(AND($S185="Macro",ABS(SUMIFS($G$5:$G$1000,$P$5:$P$1000,$P185,$S$5:$S$1000,"Macro")-1)&gt;0.0001),"Pesos del mes suman "&amp;TEXT(SUMIFS($G$5:$G$1000,$P$5:$P$1000,$P185,$S$5:$S$1000,"Macro"),"0%")&amp;" · ","")&amp;IF(AND(N($T185)&gt;0,COUNT($H185:$K185)&gt;0),"Con subactividades: deje vacías las semanas (se calculan solas)"&amp;" · ","")&amp;IF((COUNTIF($H185:$K185,"&gt;1")+COUNTIF($H185:$K185,"&lt;0")+COUNTA($H185:$K185)-COUNT($H185:$K185))&gt;0,"Avance fuera de rango 0-100%"&amp;" · ","")&amp;IF(OR(AND($I185&lt;&gt;"",$I185&lt;$H185),AND($J185&lt;&gt;"",$J185&lt;MAX($H185:$I185)),AND($K185&lt;&gt;"",$K185&lt;MAX($H185:$J185))),"Avance semanal decreciente"&amp;" · ","")&amp;IF(AND(ISNUMBER($F185),$F185&lt;FechaRef,N($L185)&lt;1),"Vencida"&amp;" · ","")&amp;IF(AND(ObsObligatoria="Sí",ISNUMBER($F185),$F185&lt;FechaRef,N($L185)&lt;1,$N185=""),"Vencida sin observación"&amp;" · ",""))-3)))</f>
        <v/>
      </c>
      <c r="P185" s="69">
        <f>IF(NOT((COUNTA($B185:$K185)+COUNTA($N185))&gt;0),"",IF(AND($S185="Sub",N($R185)&gt;0),IF(ISNUMBER(INDEX($E$5:$E$1000,$R185-4)),DATE(YEAR(INDEX($E$5:$E$1000,$R185-4)),MONTH(INDEX($E$5:$E$1000,$R185-4)),1),IF(ISNUMBER(INDEX($F$5:$F$1000,$R185-4)),DATE(YEAR(INDEX($F$5:$F$1000,$R185-4)),MONTH(INDEX($F$5:$F$1000,$R185-4)),1),MesCiclo)),IF(ISNUMBER($E185),DATE(YEAR($E185),MONTH($E185),1),IF(ISNUMBER($F185),DATE(YEAR($F185),MONTH($F185),1),MesCiclo))))</f>
        <v/>
      </c>
      <c r="Q185" s="70">
        <f>IF(OR($P185="",$P185&lt;&gt;MesCiclo),"",COUNTIF($P$5:$P185,MesCiclo))</f>
        <v/>
      </c>
      <c r="R185" s="70">
        <f>IF($S185="","",IF($S185="Macro",ROW(),IFERROR(LOOKUP(2,1/($S$5:$S185="Macro"),ROW($S$5:$S185)),0)))</f>
        <v/>
      </c>
      <c r="S185" s="70">
        <f>IF(NOT((COUNTA($B185:$K185)+COUNTA($N185))&gt;0),"",IF($B185&lt;&gt;"","Macro",IF($C185&lt;&gt;"","Sub","Macro")))</f>
        <v/>
      </c>
      <c r="T185" s="70">
        <f>IF($S185="Macro",COUNTIFS($R$5:$R$1000,ROW(),$S$5:$S$1000,"Sub"),"")</f>
        <v/>
      </c>
      <c r="U185" s="70">
        <f>IF($S185="","",IF(ISNUMBER($H185),$H185,0))</f>
        <v/>
      </c>
      <c r="V185" s="70">
        <f>IF($S185="","",IF(ISNUMBER($I185),$I185,$U185))</f>
        <v/>
      </c>
      <c r="W185" s="70">
        <f>IF($S185="","",IF(ISNUMBER($J185),$J185,$V185))</f>
        <v/>
      </c>
      <c r="X185" s="70">
        <f>IF($S185="","",IF(ISNUMBER($K185),$K185,$W185))</f>
        <v/>
      </c>
      <c r="Y185" s="70">
        <f>IF($S185="","",IF(N($T185)&gt;0,AVERAGEIFS($U$5:$U$1000,$R$5:$R$1000,ROW(),$S$5:$S$1000,"Sub"),$U185))</f>
        <v/>
      </c>
      <c r="Z185" s="70">
        <f>IF($S185="","",IF(N($T185)&gt;0,AVERAGEIFS($V$5:$V$1000,$R$5:$R$1000,ROW(),$S$5:$S$1000,"Sub"),$V185))</f>
        <v/>
      </c>
      <c r="AA185" s="70">
        <f>IF($S185="","",IF(N($T185)&gt;0,AVERAGEIFS($W$5:$W$1000,$R$5:$R$1000,ROW(),$S$5:$S$1000,"Sub"),$W185))</f>
        <v/>
      </c>
      <c r="AB185" s="70">
        <f>IF($S185="","",IF(N($T185)&gt;0,AVERAGEIFS($X$5:$X$1000,$R$5:$R$1000,ROW(),$S$5:$S$1000,"Sub"),$X185))</f>
        <v/>
      </c>
    </row>
    <row r="186">
      <c r="A186" s="61">
        <f>IF(NOT((COUNTA($B186:$K186)+COUNTA($N186))&gt;0),"",IF($S186="Macro",COUNTIFS($S$5:$S186,"Macro",$P$5:$P186,$P186),IF(N($R186)=0,"?",COUNTIFS(INDEX($S$5:$S$1000,1):INDEX($S$5:$S$1000,$R186-4),"Macro",INDEX($P$5:$P$1000,1):INDEX($P$5:$P$1000,$R186-4),INDEX($P$5:$P$1000,$R186-4))&amp;"."&amp;COUNTIFS($R$5:$R186,$R186,$S$5:$S186,"Sub"))))</f>
        <v/>
      </c>
      <c r="B186" s="62" t="n"/>
      <c r="C186" s="63" t="n"/>
      <c r="D186" s="62" t="n"/>
      <c r="E186" s="64" t="n"/>
      <c r="F186" s="64" t="n"/>
      <c r="G186" s="65" t="n"/>
      <c r="H186" s="66" t="n"/>
      <c r="I186" s="66" t="n"/>
      <c r="J186" s="66" t="n"/>
      <c r="K186" s="66" t="n"/>
      <c r="L186" s="67">
        <f>IF(NOT((COUNTA($B186:$K186)+COUNTA($N186))&gt;0),"",IF(N($T186)&gt;0,$AB186,IFERROR(LOOKUP(2,1/(H186:K186&lt;&gt;""),H186:K186),0)))</f>
        <v/>
      </c>
      <c r="M186" s="61">
        <f>IF(L186="","",IF(L186&gt;=1,"Completado",IF(L186&gt;0,"En curso","Pendiente")))</f>
        <v/>
      </c>
      <c r="N186" s="62" t="n"/>
      <c r="O186" s="68">
        <f>IF(NOT((COUNTA($B186:$K186)+COUNTA($N186))&gt;0),"",IF((IF(AND($S186="Macro",$B186=""),"Macroactividad vacía"&amp;" · ","")&amp;IF(AND($B186&lt;&gt;"",$C186&lt;&gt;""),"Escriba la subactividad en otra fila, debajo de su macroactividad"&amp;" · ","")&amp;IF(AND($S186="Sub",N($R186)=0),"Subactividad sin macroactividad arriba"&amp;" · ","")&amp;IF($D186="","Sin responsable"&amp;" · ","")&amp;IF($E186="","Sin fecha de inicio"&amp;" · ","")&amp;IF($F186="","Sin fecha límite"&amp;" · ","")&amp;IF(OR(AND($E186&lt;&gt;"",NOT(ISNUMBER($E186))),AND($F186&lt;&gt;"",NOT(ISNUMBER($F186)))),"Fecha no válida"&amp;" · ","")&amp;IF(AND(ISNUMBER($E186),ISNUMBER($F186),$E186&gt;$F186),"Inicio posterior a fecha límite"&amp;" · ","")&amp;IF(AND($S186="Macro",$G186=""),"Peso vacío"&amp;" · ","")&amp;IF(AND($S186="Macro",$G186&lt;&gt;"",OR(NOT(ISNUMBER($G186)),$G186&lt;=0,$G186&gt;1)),"Peso fuera de rango"&amp;" · ","")&amp;IF(AND($S186="Sub",$G186&lt;&gt;""),"Las subactividades no llevan peso"&amp;" · ","")&amp;IF(AND($S186="Macro",ABS(SUMIFS($G$5:$G$1000,$P$5:$P$1000,$P186,$S$5:$S$1000,"Macro")-1)&gt;0.0001),"Pesos del mes suman "&amp;TEXT(SUMIFS($G$5:$G$1000,$P$5:$P$1000,$P186,$S$5:$S$1000,"Macro"),"0%")&amp;" · ","")&amp;IF(AND(N($T186)&gt;0,COUNT($H186:$K186)&gt;0),"Con subactividades: deje vacías las semanas (se calculan solas)"&amp;" · ","")&amp;IF((COUNTIF($H186:$K186,"&gt;1")+COUNTIF($H186:$K186,"&lt;0")+COUNTA($H186:$K186)-COUNT($H186:$K186))&gt;0,"Avance fuera de rango 0-100%"&amp;" · ","")&amp;IF(OR(AND($I186&lt;&gt;"",$I186&lt;$H186),AND($J186&lt;&gt;"",$J186&lt;MAX($H186:$I186)),AND($K186&lt;&gt;"",$K186&lt;MAX($H186:$J186))),"Avance semanal decreciente"&amp;" · ","")&amp;IF(AND(ISNUMBER($F186),$F186&lt;FechaRef,N($L186)&lt;1),"Vencida"&amp;" · ","")&amp;IF(AND(ObsObligatoria="Sí",ISNUMBER($F186),$F186&lt;FechaRef,N($L186)&lt;1,$N186=""),"Vencida sin observación"&amp;" · ",""))="","✔ OK","⚠ "&amp;LEFT(IF(AND($S186="Macro",$B186=""),"Macroactividad vacía"&amp;" · ","")&amp;IF(AND($B186&lt;&gt;"",$C186&lt;&gt;""),"Escriba la subactividad en otra fila, debajo de su macroactividad"&amp;" · ","")&amp;IF(AND($S186="Sub",N($R186)=0),"Subactividad sin macroactividad arriba"&amp;" · ","")&amp;IF($D186="","Sin responsable"&amp;" · ","")&amp;IF($E186="","Sin fecha de inicio"&amp;" · ","")&amp;IF($F186="","Sin fecha límite"&amp;" · ","")&amp;IF(OR(AND($E186&lt;&gt;"",NOT(ISNUMBER($E186))),AND($F186&lt;&gt;"",NOT(ISNUMBER($F186)))),"Fecha no válida"&amp;" · ","")&amp;IF(AND(ISNUMBER($E186),ISNUMBER($F186),$E186&gt;$F186),"Inicio posterior a fecha límite"&amp;" · ","")&amp;IF(AND($S186="Macro",$G186=""),"Peso vacío"&amp;" · ","")&amp;IF(AND($S186="Macro",$G186&lt;&gt;"",OR(NOT(ISNUMBER($G186)),$G186&lt;=0,$G186&gt;1)),"Peso fuera de rango"&amp;" · ","")&amp;IF(AND($S186="Sub",$G186&lt;&gt;""),"Las subactividades no llevan peso"&amp;" · ","")&amp;IF(AND($S186="Macro",ABS(SUMIFS($G$5:$G$1000,$P$5:$P$1000,$P186,$S$5:$S$1000,"Macro")-1)&gt;0.0001),"Pesos del mes suman "&amp;TEXT(SUMIFS($G$5:$G$1000,$P$5:$P$1000,$P186,$S$5:$S$1000,"Macro"),"0%")&amp;" · ","")&amp;IF(AND(N($T186)&gt;0,COUNT($H186:$K186)&gt;0),"Con subactividades: deje vacías las semanas (se calculan solas)"&amp;" · ","")&amp;IF((COUNTIF($H186:$K186,"&gt;1")+COUNTIF($H186:$K186,"&lt;0")+COUNTA($H186:$K186)-COUNT($H186:$K186))&gt;0,"Avance fuera de rango 0-100%"&amp;" · ","")&amp;IF(OR(AND($I186&lt;&gt;"",$I186&lt;$H186),AND($J186&lt;&gt;"",$J186&lt;MAX($H186:$I186)),AND($K186&lt;&gt;"",$K186&lt;MAX($H186:$J186))),"Avance semanal decreciente"&amp;" · ","")&amp;IF(AND(ISNUMBER($F186),$F186&lt;FechaRef,N($L186)&lt;1),"Vencida"&amp;" · ","")&amp;IF(AND(ObsObligatoria="Sí",ISNUMBER($F186),$F186&lt;FechaRef,N($L186)&lt;1,$N186=""),"Vencida sin observación"&amp;" · ",""),LEN(IF(AND($S186="Macro",$B186=""),"Macroactividad vacía"&amp;" · ","")&amp;IF(AND($B186&lt;&gt;"",$C186&lt;&gt;""),"Escriba la subactividad en otra fila, debajo de su macroactividad"&amp;" · ","")&amp;IF(AND($S186="Sub",N($R186)=0),"Subactividad sin macroactividad arriba"&amp;" · ","")&amp;IF($D186="","Sin responsable"&amp;" · ","")&amp;IF($E186="","Sin fecha de inicio"&amp;" · ","")&amp;IF($F186="","Sin fecha límite"&amp;" · ","")&amp;IF(OR(AND($E186&lt;&gt;"",NOT(ISNUMBER($E186))),AND($F186&lt;&gt;"",NOT(ISNUMBER($F186)))),"Fecha no válida"&amp;" · ","")&amp;IF(AND(ISNUMBER($E186),ISNUMBER($F186),$E186&gt;$F186),"Inicio posterior a fecha límite"&amp;" · ","")&amp;IF(AND($S186="Macro",$G186=""),"Peso vacío"&amp;" · ","")&amp;IF(AND($S186="Macro",$G186&lt;&gt;"",OR(NOT(ISNUMBER($G186)),$G186&lt;=0,$G186&gt;1)),"Peso fuera de rango"&amp;" · ","")&amp;IF(AND($S186="Sub",$G186&lt;&gt;""),"Las subactividades no llevan peso"&amp;" · ","")&amp;IF(AND($S186="Macro",ABS(SUMIFS($G$5:$G$1000,$P$5:$P$1000,$P186,$S$5:$S$1000,"Macro")-1)&gt;0.0001),"Pesos del mes suman "&amp;TEXT(SUMIFS($G$5:$G$1000,$P$5:$P$1000,$P186,$S$5:$S$1000,"Macro"),"0%")&amp;" · ","")&amp;IF(AND(N($T186)&gt;0,COUNT($H186:$K186)&gt;0),"Con subactividades: deje vacías las semanas (se calculan solas)"&amp;" · ","")&amp;IF((COUNTIF($H186:$K186,"&gt;1")+COUNTIF($H186:$K186,"&lt;0")+COUNTA($H186:$K186)-COUNT($H186:$K186))&gt;0,"Avance fuera de rango 0-100%"&amp;" · ","")&amp;IF(OR(AND($I186&lt;&gt;"",$I186&lt;$H186),AND($J186&lt;&gt;"",$J186&lt;MAX($H186:$I186)),AND($K186&lt;&gt;"",$K186&lt;MAX($H186:$J186))),"Avance semanal decreciente"&amp;" · ","")&amp;IF(AND(ISNUMBER($F186),$F186&lt;FechaRef,N($L186)&lt;1),"Vencida"&amp;" · ","")&amp;IF(AND(ObsObligatoria="Sí",ISNUMBER($F186),$F186&lt;FechaRef,N($L186)&lt;1,$N186=""),"Vencida sin observación"&amp;" · ",""))-3)))</f>
        <v/>
      </c>
      <c r="P186" s="69">
        <f>IF(NOT((COUNTA($B186:$K186)+COUNTA($N186))&gt;0),"",IF(AND($S186="Sub",N($R186)&gt;0),IF(ISNUMBER(INDEX($E$5:$E$1000,$R186-4)),DATE(YEAR(INDEX($E$5:$E$1000,$R186-4)),MONTH(INDEX($E$5:$E$1000,$R186-4)),1),IF(ISNUMBER(INDEX($F$5:$F$1000,$R186-4)),DATE(YEAR(INDEX($F$5:$F$1000,$R186-4)),MONTH(INDEX($F$5:$F$1000,$R186-4)),1),MesCiclo)),IF(ISNUMBER($E186),DATE(YEAR($E186),MONTH($E186),1),IF(ISNUMBER($F186),DATE(YEAR($F186),MONTH($F186),1),MesCiclo))))</f>
        <v/>
      </c>
      <c r="Q186" s="70">
        <f>IF(OR($P186="",$P186&lt;&gt;MesCiclo),"",COUNTIF($P$5:$P186,MesCiclo))</f>
        <v/>
      </c>
      <c r="R186" s="70">
        <f>IF($S186="","",IF($S186="Macro",ROW(),IFERROR(LOOKUP(2,1/($S$5:$S186="Macro"),ROW($S$5:$S186)),0)))</f>
        <v/>
      </c>
      <c r="S186" s="70">
        <f>IF(NOT((COUNTA($B186:$K186)+COUNTA($N186))&gt;0),"",IF($B186&lt;&gt;"","Macro",IF($C186&lt;&gt;"","Sub","Macro")))</f>
        <v/>
      </c>
      <c r="T186" s="70">
        <f>IF($S186="Macro",COUNTIFS($R$5:$R$1000,ROW(),$S$5:$S$1000,"Sub"),"")</f>
        <v/>
      </c>
      <c r="U186" s="70">
        <f>IF($S186="","",IF(ISNUMBER($H186),$H186,0))</f>
        <v/>
      </c>
      <c r="V186" s="70">
        <f>IF($S186="","",IF(ISNUMBER($I186),$I186,$U186))</f>
        <v/>
      </c>
      <c r="W186" s="70">
        <f>IF($S186="","",IF(ISNUMBER($J186),$J186,$V186))</f>
        <v/>
      </c>
      <c r="X186" s="70">
        <f>IF($S186="","",IF(ISNUMBER($K186),$K186,$W186))</f>
        <v/>
      </c>
      <c r="Y186" s="70">
        <f>IF($S186="","",IF(N($T186)&gt;0,AVERAGEIFS($U$5:$U$1000,$R$5:$R$1000,ROW(),$S$5:$S$1000,"Sub"),$U186))</f>
        <v/>
      </c>
      <c r="Z186" s="70">
        <f>IF($S186="","",IF(N($T186)&gt;0,AVERAGEIFS($V$5:$V$1000,$R$5:$R$1000,ROW(),$S$5:$S$1000,"Sub"),$V186))</f>
        <v/>
      </c>
      <c r="AA186" s="70">
        <f>IF($S186="","",IF(N($T186)&gt;0,AVERAGEIFS($W$5:$W$1000,$R$5:$R$1000,ROW(),$S$5:$S$1000,"Sub"),$W186))</f>
        <v/>
      </c>
      <c r="AB186" s="70">
        <f>IF($S186="","",IF(N($T186)&gt;0,AVERAGEIFS($X$5:$X$1000,$R$5:$R$1000,ROW(),$S$5:$S$1000,"Sub"),$X186))</f>
        <v/>
      </c>
    </row>
    <row r="187">
      <c r="A187" s="61">
        <f>IF(NOT((COUNTA($B187:$K187)+COUNTA($N187))&gt;0),"",IF($S187="Macro",COUNTIFS($S$5:$S187,"Macro",$P$5:$P187,$P187),IF(N($R187)=0,"?",COUNTIFS(INDEX($S$5:$S$1000,1):INDEX($S$5:$S$1000,$R187-4),"Macro",INDEX($P$5:$P$1000,1):INDEX($P$5:$P$1000,$R187-4),INDEX($P$5:$P$1000,$R187-4))&amp;"."&amp;COUNTIFS($R$5:$R187,$R187,$S$5:$S187,"Sub"))))</f>
        <v/>
      </c>
      <c r="B187" s="62" t="n"/>
      <c r="C187" s="63" t="n"/>
      <c r="D187" s="62" t="n"/>
      <c r="E187" s="64" t="n"/>
      <c r="F187" s="64" t="n"/>
      <c r="G187" s="65" t="n"/>
      <c r="H187" s="66" t="n"/>
      <c r="I187" s="66" t="n"/>
      <c r="J187" s="66" t="n"/>
      <c r="K187" s="66" t="n"/>
      <c r="L187" s="67">
        <f>IF(NOT((COUNTA($B187:$K187)+COUNTA($N187))&gt;0),"",IF(N($T187)&gt;0,$AB187,IFERROR(LOOKUP(2,1/(H187:K187&lt;&gt;""),H187:K187),0)))</f>
        <v/>
      </c>
      <c r="M187" s="61">
        <f>IF(L187="","",IF(L187&gt;=1,"Completado",IF(L187&gt;0,"En curso","Pendiente")))</f>
        <v/>
      </c>
      <c r="N187" s="62" t="n"/>
      <c r="O187" s="68">
        <f>IF(NOT((COUNTA($B187:$K187)+COUNTA($N187))&gt;0),"",IF((IF(AND($S187="Macro",$B187=""),"Macroactividad vacía"&amp;" · ","")&amp;IF(AND($B187&lt;&gt;"",$C187&lt;&gt;""),"Escriba la subactividad en otra fila, debajo de su macroactividad"&amp;" · ","")&amp;IF(AND($S187="Sub",N($R187)=0),"Subactividad sin macroactividad arriba"&amp;" · ","")&amp;IF($D187="","Sin responsable"&amp;" · ","")&amp;IF($E187="","Sin fecha de inicio"&amp;" · ","")&amp;IF($F187="","Sin fecha límite"&amp;" · ","")&amp;IF(OR(AND($E187&lt;&gt;"",NOT(ISNUMBER($E187))),AND($F187&lt;&gt;"",NOT(ISNUMBER($F187)))),"Fecha no válida"&amp;" · ","")&amp;IF(AND(ISNUMBER($E187),ISNUMBER($F187),$E187&gt;$F187),"Inicio posterior a fecha límite"&amp;" · ","")&amp;IF(AND($S187="Macro",$G187=""),"Peso vacío"&amp;" · ","")&amp;IF(AND($S187="Macro",$G187&lt;&gt;"",OR(NOT(ISNUMBER($G187)),$G187&lt;=0,$G187&gt;1)),"Peso fuera de rango"&amp;" · ","")&amp;IF(AND($S187="Sub",$G187&lt;&gt;""),"Las subactividades no llevan peso"&amp;" · ","")&amp;IF(AND($S187="Macro",ABS(SUMIFS($G$5:$G$1000,$P$5:$P$1000,$P187,$S$5:$S$1000,"Macro")-1)&gt;0.0001),"Pesos del mes suman "&amp;TEXT(SUMIFS($G$5:$G$1000,$P$5:$P$1000,$P187,$S$5:$S$1000,"Macro"),"0%")&amp;" · ","")&amp;IF(AND(N($T187)&gt;0,COUNT($H187:$K187)&gt;0),"Con subactividades: deje vacías las semanas (se calculan solas)"&amp;" · ","")&amp;IF((COUNTIF($H187:$K187,"&gt;1")+COUNTIF($H187:$K187,"&lt;0")+COUNTA($H187:$K187)-COUNT($H187:$K187))&gt;0,"Avance fuera de rango 0-100%"&amp;" · ","")&amp;IF(OR(AND($I187&lt;&gt;"",$I187&lt;$H187),AND($J187&lt;&gt;"",$J187&lt;MAX($H187:$I187)),AND($K187&lt;&gt;"",$K187&lt;MAX($H187:$J187))),"Avance semanal decreciente"&amp;" · ","")&amp;IF(AND(ISNUMBER($F187),$F187&lt;FechaRef,N($L187)&lt;1),"Vencida"&amp;" · ","")&amp;IF(AND(ObsObligatoria="Sí",ISNUMBER($F187),$F187&lt;FechaRef,N($L187)&lt;1,$N187=""),"Vencida sin observación"&amp;" · ",""))="","✔ OK","⚠ "&amp;LEFT(IF(AND($S187="Macro",$B187=""),"Macroactividad vacía"&amp;" · ","")&amp;IF(AND($B187&lt;&gt;"",$C187&lt;&gt;""),"Escriba la subactividad en otra fila, debajo de su macroactividad"&amp;" · ","")&amp;IF(AND($S187="Sub",N($R187)=0),"Subactividad sin macroactividad arriba"&amp;" · ","")&amp;IF($D187="","Sin responsable"&amp;" · ","")&amp;IF($E187="","Sin fecha de inicio"&amp;" · ","")&amp;IF($F187="","Sin fecha límite"&amp;" · ","")&amp;IF(OR(AND($E187&lt;&gt;"",NOT(ISNUMBER($E187))),AND($F187&lt;&gt;"",NOT(ISNUMBER($F187)))),"Fecha no válida"&amp;" · ","")&amp;IF(AND(ISNUMBER($E187),ISNUMBER($F187),$E187&gt;$F187),"Inicio posterior a fecha límite"&amp;" · ","")&amp;IF(AND($S187="Macro",$G187=""),"Peso vacío"&amp;" · ","")&amp;IF(AND($S187="Macro",$G187&lt;&gt;"",OR(NOT(ISNUMBER($G187)),$G187&lt;=0,$G187&gt;1)),"Peso fuera de rango"&amp;" · ","")&amp;IF(AND($S187="Sub",$G187&lt;&gt;""),"Las subactividades no llevan peso"&amp;" · ","")&amp;IF(AND($S187="Macro",ABS(SUMIFS($G$5:$G$1000,$P$5:$P$1000,$P187,$S$5:$S$1000,"Macro")-1)&gt;0.0001),"Pesos del mes suman "&amp;TEXT(SUMIFS($G$5:$G$1000,$P$5:$P$1000,$P187,$S$5:$S$1000,"Macro"),"0%")&amp;" · ","")&amp;IF(AND(N($T187)&gt;0,COUNT($H187:$K187)&gt;0),"Con subactividades: deje vacías las semanas (se calculan solas)"&amp;" · ","")&amp;IF((COUNTIF($H187:$K187,"&gt;1")+COUNTIF($H187:$K187,"&lt;0")+COUNTA($H187:$K187)-COUNT($H187:$K187))&gt;0,"Avance fuera de rango 0-100%"&amp;" · ","")&amp;IF(OR(AND($I187&lt;&gt;"",$I187&lt;$H187),AND($J187&lt;&gt;"",$J187&lt;MAX($H187:$I187)),AND($K187&lt;&gt;"",$K187&lt;MAX($H187:$J187))),"Avance semanal decreciente"&amp;" · ","")&amp;IF(AND(ISNUMBER($F187),$F187&lt;FechaRef,N($L187)&lt;1),"Vencida"&amp;" · ","")&amp;IF(AND(ObsObligatoria="Sí",ISNUMBER($F187),$F187&lt;FechaRef,N($L187)&lt;1,$N187=""),"Vencida sin observación"&amp;" · ",""),LEN(IF(AND($S187="Macro",$B187=""),"Macroactividad vacía"&amp;" · ","")&amp;IF(AND($B187&lt;&gt;"",$C187&lt;&gt;""),"Escriba la subactividad en otra fila, debajo de su macroactividad"&amp;" · ","")&amp;IF(AND($S187="Sub",N($R187)=0),"Subactividad sin macroactividad arriba"&amp;" · ","")&amp;IF($D187="","Sin responsable"&amp;" · ","")&amp;IF($E187="","Sin fecha de inicio"&amp;" · ","")&amp;IF($F187="","Sin fecha límite"&amp;" · ","")&amp;IF(OR(AND($E187&lt;&gt;"",NOT(ISNUMBER($E187))),AND($F187&lt;&gt;"",NOT(ISNUMBER($F187)))),"Fecha no válida"&amp;" · ","")&amp;IF(AND(ISNUMBER($E187),ISNUMBER($F187),$E187&gt;$F187),"Inicio posterior a fecha límite"&amp;" · ","")&amp;IF(AND($S187="Macro",$G187=""),"Peso vacío"&amp;" · ","")&amp;IF(AND($S187="Macro",$G187&lt;&gt;"",OR(NOT(ISNUMBER($G187)),$G187&lt;=0,$G187&gt;1)),"Peso fuera de rango"&amp;" · ","")&amp;IF(AND($S187="Sub",$G187&lt;&gt;""),"Las subactividades no llevan peso"&amp;" · ","")&amp;IF(AND($S187="Macro",ABS(SUMIFS($G$5:$G$1000,$P$5:$P$1000,$P187,$S$5:$S$1000,"Macro")-1)&gt;0.0001),"Pesos del mes suman "&amp;TEXT(SUMIFS($G$5:$G$1000,$P$5:$P$1000,$P187,$S$5:$S$1000,"Macro"),"0%")&amp;" · ","")&amp;IF(AND(N($T187)&gt;0,COUNT($H187:$K187)&gt;0),"Con subactividades: deje vacías las semanas (se calculan solas)"&amp;" · ","")&amp;IF((COUNTIF($H187:$K187,"&gt;1")+COUNTIF($H187:$K187,"&lt;0")+COUNTA($H187:$K187)-COUNT($H187:$K187))&gt;0,"Avance fuera de rango 0-100%"&amp;" · ","")&amp;IF(OR(AND($I187&lt;&gt;"",$I187&lt;$H187),AND($J187&lt;&gt;"",$J187&lt;MAX($H187:$I187)),AND($K187&lt;&gt;"",$K187&lt;MAX($H187:$J187))),"Avance semanal decreciente"&amp;" · ","")&amp;IF(AND(ISNUMBER($F187),$F187&lt;FechaRef,N($L187)&lt;1),"Vencida"&amp;" · ","")&amp;IF(AND(ObsObligatoria="Sí",ISNUMBER($F187),$F187&lt;FechaRef,N($L187)&lt;1,$N187=""),"Vencida sin observación"&amp;" · ",""))-3)))</f>
        <v/>
      </c>
      <c r="P187" s="69">
        <f>IF(NOT((COUNTA($B187:$K187)+COUNTA($N187))&gt;0),"",IF(AND($S187="Sub",N($R187)&gt;0),IF(ISNUMBER(INDEX($E$5:$E$1000,$R187-4)),DATE(YEAR(INDEX($E$5:$E$1000,$R187-4)),MONTH(INDEX($E$5:$E$1000,$R187-4)),1),IF(ISNUMBER(INDEX($F$5:$F$1000,$R187-4)),DATE(YEAR(INDEX($F$5:$F$1000,$R187-4)),MONTH(INDEX($F$5:$F$1000,$R187-4)),1),MesCiclo)),IF(ISNUMBER($E187),DATE(YEAR($E187),MONTH($E187),1),IF(ISNUMBER($F187),DATE(YEAR($F187),MONTH($F187),1),MesCiclo))))</f>
        <v/>
      </c>
      <c r="Q187" s="70">
        <f>IF(OR($P187="",$P187&lt;&gt;MesCiclo),"",COUNTIF($P$5:$P187,MesCiclo))</f>
        <v/>
      </c>
      <c r="R187" s="70">
        <f>IF($S187="","",IF($S187="Macro",ROW(),IFERROR(LOOKUP(2,1/($S$5:$S187="Macro"),ROW($S$5:$S187)),0)))</f>
        <v/>
      </c>
      <c r="S187" s="70">
        <f>IF(NOT((COUNTA($B187:$K187)+COUNTA($N187))&gt;0),"",IF($B187&lt;&gt;"","Macro",IF($C187&lt;&gt;"","Sub","Macro")))</f>
        <v/>
      </c>
      <c r="T187" s="70">
        <f>IF($S187="Macro",COUNTIFS($R$5:$R$1000,ROW(),$S$5:$S$1000,"Sub"),"")</f>
        <v/>
      </c>
      <c r="U187" s="70">
        <f>IF($S187="","",IF(ISNUMBER($H187),$H187,0))</f>
        <v/>
      </c>
      <c r="V187" s="70">
        <f>IF($S187="","",IF(ISNUMBER($I187),$I187,$U187))</f>
        <v/>
      </c>
      <c r="W187" s="70">
        <f>IF($S187="","",IF(ISNUMBER($J187),$J187,$V187))</f>
        <v/>
      </c>
      <c r="X187" s="70">
        <f>IF($S187="","",IF(ISNUMBER($K187),$K187,$W187))</f>
        <v/>
      </c>
      <c r="Y187" s="70">
        <f>IF($S187="","",IF(N($T187)&gt;0,AVERAGEIFS($U$5:$U$1000,$R$5:$R$1000,ROW(),$S$5:$S$1000,"Sub"),$U187))</f>
        <v/>
      </c>
      <c r="Z187" s="70">
        <f>IF($S187="","",IF(N($T187)&gt;0,AVERAGEIFS($V$5:$V$1000,$R$5:$R$1000,ROW(),$S$5:$S$1000,"Sub"),$V187))</f>
        <v/>
      </c>
      <c r="AA187" s="70">
        <f>IF($S187="","",IF(N($T187)&gt;0,AVERAGEIFS($W$5:$W$1000,$R$5:$R$1000,ROW(),$S$5:$S$1000,"Sub"),$W187))</f>
        <v/>
      </c>
      <c r="AB187" s="70">
        <f>IF($S187="","",IF(N($T187)&gt;0,AVERAGEIFS($X$5:$X$1000,$R$5:$R$1000,ROW(),$S$5:$S$1000,"Sub"),$X187))</f>
        <v/>
      </c>
    </row>
    <row r="188">
      <c r="A188" s="61">
        <f>IF(NOT((COUNTA($B188:$K188)+COUNTA($N188))&gt;0),"",IF($S188="Macro",COUNTIFS($S$5:$S188,"Macro",$P$5:$P188,$P188),IF(N($R188)=0,"?",COUNTIFS(INDEX($S$5:$S$1000,1):INDEX($S$5:$S$1000,$R188-4),"Macro",INDEX($P$5:$P$1000,1):INDEX($P$5:$P$1000,$R188-4),INDEX($P$5:$P$1000,$R188-4))&amp;"."&amp;COUNTIFS($R$5:$R188,$R188,$S$5:$S188,"Sub"))))</f>
        <v/>
      </c>
      <c r="B188" s="62" t="n"/>
      <c r="C188" s="63" t="n"/>
      <c r="D188" s="62" t="n"/>
      <c r="E188" s="64" t="n"/>
      <c r="F188" s="64" t="n"/>
      <c r="G188" s="65" t="n"/>
      <c r="H188" s="66" t="n"/>
      <c r="I188" s="66" t="n"/>
      <c r="J188" s="66" t="n"/>
      <c r="K188" s="66" t="n"/>
      <c r="L188" s="67">
        <f>IF(NOT((COUNTA($B188:$K188)+COUNTA($N188))&gt;0),"",IF(N($T188)&gt;0,$AB188,IFERROR(LOOKUP(2,1/(H188:K188&lt;&gt;""),H188:K188),0)))</f>
        <v/>
      </c>
      <c r="M188" s="61">
        <f>IF(L188="","",IF(L188&gt;=1,"Completado",IF(L188&gt;0,"En curso","Pendiente")))</f>
        <v/>
      </c>
      <c r="N188" s="62" t="n"/>
      <c r="O188" s="68">
        <f>IF(NOT((COUNTA($B188:$K188)+COUNTA($N188))&gt;0),"",IF((IF(AND($S188="Macro",$B188=""),"Macroactividad vacía"&amp;" · ","")&amp;IF(AND($B188&lt;&gt;"",$C188&lt;&gt;""),"Escriba la subactividad en otra fila, debajo de su macroactividad"&amp;" · ","")&amp;IF(AND($S188="Sub",N($R188)=0),"Subactividad sin macroactividad arriba"&amp;" · ","")&amp;IF($D188="","Sin responsable"&amp;" · ","")&amp;IF($E188="","Sin fecha de inicio"&amp;" · ","")&amp;IF($F188="","Sin fecha límite"&amp;" · ","")&amp;IF(OR(AND($E188&lt;&gt;"",NOT(ISNUMBER($E188))),AND($F188&lt;&gt;"",NOT(ISNUMBER($F188)))),"Fecha no válida"&amp;" · ","")&amp;IF(AND(ISNUMBER($E188),ISNUMBER($F188),$E188&gt;$F188),"Inicio posterior a fecha límite"&amp;" · ","")&amp;IF(AND($S188="Macro",$G188=""),"Peso vacío"&amp;" · ","")&amp;IF(AND($S188="Macro",$G188&lt;&gt;"",OR(NOT(ISNUMBER($G188)),$G188&lt;=0,$G188&gt;1)),"Peso fuera de rango"&amp;" · ","")&amp;IF(AND($S188="Sub",$G188&lt;&gt;""),"Las subactividades no llevan peso"&amp;" · ","")&amp;IF(AND($S188="Macro",ABS(SUMIFS($G$5:$G$1000,$P$5:$P$1000,$P188,$S$5:$S$1000,"Macro")-1)&gt;0.0001),"Pesos del mes suman "&amp;TEXT(SUMIFS($G$5:$G$1000,$P$5:$P$1000,$P188,$S$5:$S$1000,"Macro"),"0%")&amp;" · ","")&amp;IF(AND(N($T188)&gt;0,COUNT($H188:$K188)&gt;0),"Con subactividades: deje vacías las semanas (se calculan solas)"&amp;" · ","")&amp;IF((COUNTIF($H188:$K188,"&gt;1")+COUNTIF($H188:$K188,"&lt;0")+COUNTA($H188:$K188)-COUNT($H188:$K188))&gt;0,"Avance fuera de rango 0-100%"&amp;" · ","")&amp;IF(OR(AND($I188&lt;&gt;"",$I188&lt;$H188),AND($J188&lt;&gt;"",$J188&lt;MAX($H188:$I188)),AND($K188&lt;&gt;"",$K188&lt;MAX($H188:$J188))),"Avance semanal decreciente"&amp;" · ","")&amp;IF(AND(ISNUMBER($F188),$F188&lt;FechaRef,N($L188)&lt;1),"Vencida"&amp;" · ","")&amp;IF(AND(ObsObligatoria="Sí",ISNUMBER($F188),$F188&lt;FechaRef,N($L188)&lt;1,$N188=""),"Vencida sin observación"&amp;" · ",""))="","✔ OK","⚠ "&amp;LEFT(IF(AND($S188="Macro",$B188=""),"Macroactividad vacía"&amp;" · ","")&amp;IF(AND($B188&lt;&gt;"",$C188&lt;&gt;""),"Escriba la subactividad en otra fila, debajo de su macroactividad"&amp;" · ","")&amp;IF(AND($S188="Sub",N($R188)=0),"Subactividad sin macroactividad arriba"&amp;" · ","")&amp;IF($D188="","Sin responsable"&amp;" · ","")&amp;IF($E188="","Sin fecha de inicio"&amp;" · ","")&amp;IF($F188="","Sin fecha límite"&amp;" · ","")&amp;IF(OR(AND($E188&lt;&gt;"",NOT(ISNUMBER($E188))),AND($F188&lt;&gt;"",NOT(ISNUMBER($F188)))),"Fecha no válida"&amp;" · ","")&amp;IF(AND(ISNUMBER($E188),ISNUMBER($F188),$E188&gt;$F188),"Inicio posterior a fecha límite"&amp;" · ","")&amp;IF(AND($S188="Macro",$G188=""),"Peso vacío"&amp;" · ","")&amp;IF(AND($S188="Macro",$G188&lt;&gt;"",OR(NOT(ISNUMBER($G188)),$G188&lt;=0,$G188&gt;1)),"Peso fuera de rango"&amp;" · ","")&amp;IF(AND($S188="Sub",$G188&lt;&gt;""),"Las subactividades no llevan peso"&amp;" · ","")&amp;IF(AND($S188="Macro",ABS(SUMIFS($G$5:$G$1000,$P$5:$P$1000,$P188,$S$5:$S$1000,"Macro")-1)&gt;0.0001),"Pesos del mes suman "&amp;TEXT(SUMIFS($G$5:$G$1000,$P$5:$P$1000,$P188,$S$5:$S$1000,"Macro"),"0%")&amp;" · ","")&amp;IF(AND(N($T188)&gt;0,COUNT($H188:$K188)&gt;0),"Con subactividades: deje vacías las semanas (se calculan solas)"&amp;" · ","")&amp;IF((COUNTIF($H188:$K188,"&gt;1")+COUNTIF($H188:$K188,"&lt;0")+COUNTA($H188:$K188)-COUNT($H188:$K188))&gt;0,"Avance fuera de rango 0-100%"&amp;" · ","")&amp;IF(OR(AND($I188&lt;&gt;"",$I188&lt;$H188),AND($J188&lt;&gt;"",$J188&lt;MAX($H188:$I188)),AND($K188&lt;&gt;"",$K188&lt;MAX($H188:$J188))),"Avance semanal decreciente"&amp;" · ","")&amp;IF(AND(ISNUMBER($F188),$F188&lt;FechaRef,N($L188)&lt;1),"Vencida"&amp;" · ","")&amp;IF(AND(ObsObligatoria="Sí",ISNUMBER($F188),$F188&lt;FechaRef,N($L188)&lt;1,$N188=""),"Vencida sin observación"&amp;" · ",""),LEN(IF(AND($S188="Macro",$B188=""),"Macroactividad vacía"&amp;" · ","")&amp;IF(AND($B188&lt;&gt;"",$C188&lt;&gt;""),"Escriba la subactividad en otra fila, debajo de su macroactividad"&amp;" · ","")&amp;IF(AND($S188="Sub",N($R188)=0),"Subactividad sin macroactividad arriba"&amp;" · ","")&amp;IF($D188="","Sin responsable"&amp;" · ","")&amp;IF($E188="","Sin fecha de inicio"&amp;" · ","")&amp;IF($F188="","Sin fecha límite"&amp;" · ","")&amp;IF(OR(AND($E188&lt;&gt;"",NOT(ISNUMBER($E188))),AND($F188&lt;&gt;"",NOT(ISNUMBER($F188)))),"Fecha no válida"&amp;" · ","")&amp;IF(AND(ISNUMBER($E188),ISNUMBER($F188),$E188&gt;$F188),"Inicio posterior a fecha límite"&amp;" · ","")&amp;IF(AND($S188="Macro",$G188=""),"Peso vacío"&amp;" · ","")&amp;IF(AND($S188="Macro",$G188&lt;&gt;"",OR(NOT(ISNUMBER($G188)),$G188&lt;=0,$G188&gt;1)),"Peso fuera de rango"&amp;" · ","")&amp;IF(AND($S188="Sub",$G188&lt;&gt;""),"Las subactividades no llevan peso"&amp;" · ","")&amp;IF(AND($S188="Macro",ABS(SUMIFS($G$5:$G$1000,$P$5:$P$1000,$P188,$S$5:$S$1000,"Macro")-1)&gt;0.0001),"Pesos del mes suman "&amp;TEXT(SUMIFS($G$5:$G$1000,$P$5:$P$1000,$P188,$S$5:$S$1000,"Macro"),"0%")&amp;" · ","")&amp;IF(AND(N($T188)&gt;0,COUNT($H188:$K188)&gt;0),"Con subactividades: deje vacías las semanas (se calculan solas)"&amp;" · ","")&amp;IF((COUNTIF($H188:$K188,"&gt;1")+COUNTIF($H188:$K188,"&lt;0")+COUNTA($H188:$K188)-COUNT($H188:$K188))&gt;0,"Avance fuera de rango 0-100%"&amp;" · ","")&amp;IF(OR(AND($I188&lt;&gt;"",$I188&lt;$H188),AND($J188&lt;&gt;"",$J188&lt;MAX($H188:$I188)),AND($K188&lt;&gt;"",$K188&lt;MAX($H188:$J188))),"Avance semanal decreciente"&amp;" · ","")&amp;IF(AND(ISNUMBER($F188),$F188&lt;FechaRef,N($L188)&lt;1),"Vencida"&amp;" · ","")&amp;IF(AND(ObsObligatoria="Sí",ISNUMBER($F188),$F188&lt;FechaRef,N($L188)&lt;1,$N188=""),"Vencida sin observación"&amp;" · ",""))-3)))</f>
        <v/>
      </c>
      <c r="P188" s="69">
        <f>IF(NOT((COUNTA($B188:$K188)+COUNTA($N188))&gt;0),"",IF(AND($S188="Sub",N($R188)&gt;0),IF(ISNUMBER(INDEX($E$5:$E$1000,$R188-4)),DATE(YEAR(INDEX($E$5:$E$1000,$R188-4)),MONTH(INDEX($E$5:$E$1000,$R188-4)),1),IF(ISNUMBER(INDEX($F$5:$F$1000,$R188-4)),DATE(YEAR(INDEX($F$5:$F$1000,$R188-4)),MONTH(INDEX($F$5:$F$1000,$R188-4)),1),MesCiclo)),IF(ISNUMBER($E188),DATE(YEAR($E188),MONTH($E188),1),IF(ISNUMBER($F188),DATE(YEAR($F188),MONTH($F188),1),MesCiclo))))</f>
        <v/>
      </c>
      <c r="Q188" s="70">
        <f>IF(OR($P188="",$P188&lt;&gt;MesCiclo),"",COUNTIF($P$5:$P188,MesCiclo))</f>
        <v/>
      </c>
      <c r="R188" s="70">
        <f>IF($S188="","",IF($S188="Macro",ROW(),IFERROR(LOOKUP(2,1/($S$5:$S188="Macro"),ROW($S$5:$S188)),0)))</f>
        <v/>
      </c>
      <c r="S188" s="70">
        <f>IF(NOT((COUNTA($B188:$K188)+COUNTA($N188))&gt;0),"",IF($B188&lt;&gt;"","Macro",IF($C188&lt;&gt;"","Sub","Macro")))</f>
        <v/>
      </c>
      <c r="T188" s="70">
        <f>IF($S188="Macro",COUNTIFS($R$5:$R$1000,ROW(),$S$5:$S$1000,"Sub"),"")</f>
        <v/>
      </c>
      <c r="U188" s="70">
        <f>IF($S188="","",IF(ISNUMBER($H188),$H188,0))</f>
        <v/>
      </c>
      <c r="V188" s="70">
        <f>IF($S188="","",IF(ISNUMBER($I188),$I188,$U188))</f>
        <v/>
      </c>
      <c r="W188" s="70">
        <f>IF($S188="","",IF(ISNUMBER($J188),$J188,$V188))</f>
        <v/>
      </c>
      <c r="X188" s="70">
        <f>IF($S188="","",IF(ISNUMBER($K188),$K188,$W188))</f>
        <v/>
      </c>
      <c r="Y188" s="70">
        <f>IF($S188="","",IF(N($T188)&gt;0,AVERAGEIFS($U$5:$U$1000,$R$5:$R$1000,ROW(),$S$5:$S$1000,"Sub"),$U188))</f>
        <v/>
      </c>
      <c r="Z188" s="70">
        <f>IF($S188="","",IF(N($T188)&gt;0,AVERAGEIFS($V$5:$V$1000,$R$5:$R$1000,ROW(),$S$5:$S$1000,"Sub"),$V188))</f>
        <v/>
      </c>
      <c r="AA188" s="70">
        <f>IF($S188="","",IF(N($T188)&gt;0,AVERAGEIFS($W$5:$W$1000,$R$5:$R$1000,ROW(),$S$5:$S$1000,"Sub"),$W188))</f>
        <v/>
      </c>
      <c r="AB188" s="70">
        <f>IF($S188="","",IF(N($T188)&gt;0,AVERAGEIFS($X$5:$X$1000,$R$5:$R$1000,ROW(),$S$5:$S$1000,"Sub"),$X188))</f>
        <v/>
      </c>
    </row>
    <row r="189">
      <c r="A189" s="61">
        <f>IF(NOT((COUNTA($B189:$K189)+COUNTA($N189))&gt;0),"",IF($S189="Macro",COUNTIFS($S$5:$S189,"Macro",$P$5:$P189,$P189),IF(N($R189)=0,"?",COUNTIFS(INDEX($S$5:$S$1000,1):INDEX($S$5:$S$1000,$R189-4),"Macro",INDEX($P$5:$P$1000,1):INDEX($P$5:$P$1000,$R189-4),INDEX($P$5:$P$1000,$R189-4))&amp;"."&amp;COUNTIFS($R$5:$R189,$R189,$S$5:$S189,"Sub"))))</f>
        <v/>
      </c>
      <c r="B189" s="62" t="n"/>
      <c r="C189" s="63" t="n"/>
      <c r="D189" s="62" t="n"/>
      <c r="E189" s="64" t="n"/>
      <c r="F189" s="64" t="n"/>
      <c r="G189" s="65" t="n"/>
      <c r="H189" s="66" t="n"/>
      <c r="I189" s="66" t="n"/>
      <c r="J189" s="66" t="n"/>
      <c r="K189" s="66" t="n"/>
      <c r="L189" s="67">
        <f>IF(NOT((COUNTA($B189:$K189)+COUNTA($N189))&gt;0),"",IF(N($T189)&gt;0,$AB189,IFERROR(LOOKUP(2,1/(H189:K189&lt;&gt;""),H189:K189),0)))</f>
        <v/>
      </c>
      <c r="M189" s="61">
        <f>IF(L189="","",IF(L189&gt;=1,"Completado",IF(L189&gt;0,"En curso","Pendiente")))</f>
        <v/>
      </c>
      <c r="N189" s="62" t="n"/>
      <c r="O189" s="68">
        <f>IF(NOT((COUNTA($B189:$K189)+COUNTA($N189))&gt;0),"",IF((IF(AND($S189="Macro",$B189=""),"Macroactividad vacía"&amp;" · ","")&amp;IF(AND($B189&lt;&gt;"",$C189&lt;&gt;""),"Escriba la subactividad en otra fila, debajo de su macroactividad"&amp;" · ","")&amp;IF(AND($S189="Sub",N($R189)=0),"Subactividad sin macroactividad arriba"&amp;" · ","")&amp;IF($D189="","Sin responsable"&amp;" · ","")&amp;IF($E189="","Sin fecha de inicio"&amp;" · ","")&amp;IF($F189="","Sin fecha límite"&amp;" · ","")&amp;IF(OR(AND($E189&lt;&gt;"",NOT(ISNUMBER($E189))),AND($F189&lt;&gt;"",NOT(ISNUMBER($F189)))),"Fecha no válida"&amp;" · ","")&amp;IF(AND(ISNUMBER($E189),ISNUMBER($F189),$E189&gt;$F189),"Inicio posterior a fecha límite"&amp;" · ","")&amp;IF(AND($S189="Macro",$G189=""),"Peso vacío"&amp;" · ","")&amp;IF(AND($S189="Macro",$G189&lt;&gt;"",OR(NOT(ISNUMBER($G189)),$G189&lt;=0,$G189&gt;1)),"Peso fuera de rango"&amp;" · ","")&amp;IF(AND($S189="Sub",$G189&lt;&gt;""),"Las subactividades no llevan peso"&amp;" · ","")&amp;IF(AND($S189="Macro",ABS(SUMIFS($G$5:$G$1000,$P$5:$P$1000,$P189,$S$5:$S$1000,"Macro")-1)&gt;0.0001),"Pesos del mes suman "&amp;TEXT(SUMIFS($G$5:$G$1000,$P$5:$P$1000,$P189,$S$5:$S$1000,"Macro"),"0%")&amp;" · ","")&amp;IF(AND(N($T189)&gt;0,COUNT($H189:$K189)&gt;0),"Con subactividades: deje vacías las semanas (se calculan solas)"&amp;" · ","")&amp;IF((COUNTIF($H189:$K189,"&gt;1")+COUNTIF($H189:$K189,"&lt;0")+COUNTA($H189:$K189)-COUNT($H189:$K189))&gt;0,"Avance fuera de rango 0-100%"&amp;" · ","")&amp;IF(OR(AND($I189&lt;&gt;"",$I189&lt;$H189),AND($J189&lt;&gt;"",$J189&lt;MAX($H189:$I189)),AND($K189&lt;&gt;"",$K189&lt;MAX($H189:$J189))),"Avance semanal decreciente"&amp;" · ","")&amp;IF(AND(ISNUMBER($F189),$F189&lt;FechaRef,N($L189)&lt;1),"Vencida"&amp;" · ","")&amp;IF(AND(ObsObligatoria="Sí",ISNUMBER($F189),$F189&lt;FechaRef,N($L189)&lt;1,$N189=""),"Vencida sin observación"&amp;" · ",""))="","✔ OK","⚠ "&amp;LEFT(IF(AND($S189="Macro",$B189=""),"Macroactividad vacía"&amp;" · ","")&amp;IF(AND($B189&lt;&gt;"",$C189&lt;&gt;""),"Escriba la subactividad en otra fila, debajo de su macroactividad"&amp;" · ","")&amp;IF(AND($S189="Sub",N($R189)=0),"Subactividad sin macroactividad arriba"&amp;" · ","")&amp;IF($D189="","Sin responsable"&amp;" · ","")&amp;IF($E189="","Sin fecha de inicio"&amp;" · ","")&amp;IF($F189="","Sin fecha límite"&amp;" · ","")&amp;IF(OR(AND($E189&lt;&gt;"",NOT(ISNUMBER($E189))),AND($F189&lt;&gt;"",NOT(ISNUMBER($F189)))),"Fecha no válida"&amp;" · ","")&amp;IF(AND(ISNUMBER($E189),ISNUMBER($F189),$E189&gt;$F189),"Inicio posterior a fecha límite"&amp;" · ","")&amp;IF(AND($S189="Macro",$G189=""),"Peso vacío"&amp;" · ","")&amp;IF(AND($S189="Macro",$G189&lt;&gt;"",OR(NOT(ISNUMBER($G189)),$G189&lt;=0,$G189&gt;1)),"Peso fuera de rango"&amp;" · ","")&amp;IF(AND($S189="Sub",$G189&lt;&gt;""),"Las subactividades no llevan peso"&amp;" · ","")&amp;IF(AND($S189="Macro",ABS(SUMIFS($G$5:$G$1000,$P$5:$P$1000,$P189,$S$5:$S$1000,"Macro")-1)&gt;0.0001),"Pesos del mes suman "&amp;TEXT(SUMIFS($G$5:$G$1000,$P$5:$P$1000,$P189,$S$5:$S$1000,"Macro"),"0%")&amp;" · ","")&amp;IF(AND(N($T189)&gt;0,COUNT($H189:$K189)&gt;0),"Con subactividades: deje vacías las semanas (se calculan solas)"&amp;" · ","")&amp;IF((COUNTIF($H189:$K189,"&gt;1")+COUNTIF($H189:$K189,"&lt;0")+COUNTA($H189:$K189)-COUNT($H189:$K189))&gt;0,"Avance fuera de rango 0-100%"&amp;" · ","")&amp;IF(OR(AND($I189&lt;&gt;"",$I189&lt;$H189),AND($J189&lt;&gt;"",$J189&lt;MAX($H189:$I189)),AND($K189&lt;&gt;"",$K189&lt;MAX($H189:$J189))),"Avance semanal decreciente"&amp;" · ","")&amp;IF(AND(ISNUMBER($F189),$F189&lt;FechaRef,N($L189)&lt;1),"Vencida"&amp;" · ","")&amp;IF(AND(ObsObligatoria="Sí",ISNUMBER($F189),$F189&lt;FechaRef,N($L189)&lt;1,$N189=""),"Vencida sin observación"&amp;" · ",""),LEN(IF(AND($S189="Macro",$B189=""),"Macroactividad vacía"&amp;" · ","")&amp;IF(AND($B189&lt;&gt;"",$C189&lt;&gt;""),"Escriba la subactividad en otra fila, debajo de su macroactividad"&amp;" · ","")&amp;IF(AND($S189="Sub",N($R189)=0),"Subactividad sin macroactividad arriba"&amp;" · ","")&amp;IF($D189="","Sin responsable"&amp;" · ","")&amp;IF($E189="","Sin fecha de inicio"&amp;" · ","")&amp;IF($F189="","Sin fecha límite"&amp;" · ","")&amp;IF(OR(AND($E189&lt;&gt;"",NOT(ISNUMBER($E189))),AND($F189&lt;&gt;"",NOT(ISNUMBER($F189)))),"Fecha no válida"&amp;" · ","")&amp;IF(AND(ISNUMBER($E189),ISNUMBER($F189),$E189&gt;$F189),"Inicio posterior a fecha límite"&amp;" · ","")&amp;IF(AND($S189="Macro",$G189=""),"Peso vacío"&amp;" · ","")&amp;IF(AND($S189="Macro",$G189&lt;&gt;"",OR(NOT(ISNUMBER($G189)),$G189&lt;=0,$G189&gt;1)),"Peso fuera de rango"&amp;" · ","")&amp;IF(AND($S189="Sub",$G189&lt;&gt;""),"Las subactividades no llevan peso"&amp;" · ","")&amp;IF(AND($S189="Macro",ABS(SUMIFS($G$5:$G$1000,$P$5:$P$1000,$P189,$S$5:$S$1000,"Macro")-1)&gt;0.0001),"Pesos del mes suman "&amp;TEXT(SUMIFS($G$5:$G$1000,$P$5:$P$1000,$P189,$S$5:$S$1000,"Macro"),"0%")&amp;" · ","")&amp;IF(AND(N($T189)&gt;0,COUNT($H189:$K189)&gt;0),"Con subactividades: deje vacías las semanas (se calculan solas)"&amp;" · ","")&amp;IF((COUNTIF($H189:$K189,"&gt;1")+COUNTIF($H189:$K189,"&lt;0")+COUNTA($H189:$K189)-COUNT($H189:$K189))&gt;0,"Avance fuera de rango 0-100%"&amp;" · ","")&amp;IF(OR(AND($I189&lt;&gt;"",$I189&lt;$H189),AND($J189&lt;&gt;"",$J189&lt;MAX($H189:$I189)),AND($K189&lt;&gt;"",$K189&lt;MAX($H189:$J189))),"Avance semanal decreciente"&amp;" · ","")&amp;IF(AND(ISNUMBER($F189),$F189&lt;FechaRef,N($L189)&lt;1),"Vencida"&amp;" · ","")&amp;IF(AND(ObsObligatoria="Sí",ISNUMBER($F189),$F189&lt;FechaRef,N($L189)&lt;1,$N189=""),"Vencida sin observación"&amp;" · ",""))-3)))</f>
        <v/>
      </c>
      <c r="P189" s="69">
        <f>IF(NOT((COUNTA($B189:$K189)+COUNTA($N189))&gt;0),"",IF(AND($S189="Sub",N($R189)&gt;0),IF(ISNUMBER(INDEX($E$5:$E$1000,$R189-4)),DATE(YEAR(INDEX($E$5:$E$1000,$R189-4)),MONTH(INDEX($E$5:$E$1000,$R189-4)),1),IF(ISNUMBER(INDEX($F$5:$F$1000,$R189-4)),DATE(YEAR(INDEX($F$5:$F$1000,$R189-4)),MONTH(INDEX($F$5:$F$1000,$R189-4)),1),MesCiclo)),IF(ISNUMBER($E189),DATE(YEAR($E189),MONTH($E189),1),IF(ISNUMBER($F189),DATE(YEAR($F189),MONTH($F189),1),MesCiclo))))</f>
        <v/>
      </c>
      <c r="Q189" s="70">
        <f>IF(OR($P189="",$P189&lt;&gt;MesCiclo),"",COUNTIF($P$5:$P189,MesCiclo))</f>
        <v/>
      </c>
      <c r="R189" s="70">
        <f>IF($S189="","",IF($S189="Macro",ROW(),IFERROR(LOOKUP(2,1/($S$5:$S189="Macro"),ROW($S$5:$S189)),0)))</f>
        <v/>
      </c>
      <c r="S189" s="70">
        <f>IF(NOT((COUNTA($B189:$K189)+COUNTA($N189))&gt;0),"",IF($B189&lt;&gt;"","Macro",IF($C189&lt;&gt;"","Sub","Macro")))</f>
        <v/>
      </c>
      <c r="T189" s="70">
        <f>IF($S189="Macro",COUNTIFS($R$5:$R$1000,ROW(),$S$5:$S$1000,"Sub"),"")</f>
        <v/>
      </c>
      <c r="U189" s="70">
        <f>IF($S189="","",IF(ISNUMBER($H189),$H189,0))</f>
        <v/>
      </c>
      <c r="V189" s="70">
        <f>IF($S189="","",IF(ISNUMBER($I189),$I189,$U189))</f>
        <v/>
      </c>
      <c r="W189" s="70">
        <f>IF($S189="","",IF(ISNUMBER($J189),$J189,$V189))</f>
        <v/>
      </c>
      <c r="X189" s="70">
        <f>IF($S189="","",IF(ISNUMBER($K189),$K189,$W189))</f>
        <v/>
      </c>
      <c r="Y189" s="70">
        <f>IF($S189="","",IF(N($T189)&gt;0,AVERAGEIFS($U$5:$U$1000,$R$5:$R$1000,ROW(),$S$5:$S$1000,"Sub"),$U189))</f>
        <v/>
      </c>
      <c r="Z189" s="70">
        <f>IF($S189="","",IF(N($T189)&gt;0,AVERAGEIFS($V$5:$V$1000,$R$5:$R$1000,ROW(),$S$5:$S$1000,"Sub"),$V189))</f>
        <v/>
      </c>
      <c r="AA189" s="70">
        <f>IF($S189="","",IF(N($T189)&gt;0,AVERAGEIFS($W$5:$W$1000,$R$5:$R$1000,ROW(),$S$5:$S$1000,"Sub"),$W189))</f>
        <v/>
      </c>
      <c r="AB189" s="70">
        <f>IF($S189="","",IF(N($T189)&gt;0,AVERAGEIFS($X$5:$X$1000,$R$5:$R$1000,ROW(),$S$5:$S$1000,"Sub"),$X189))</f>
        <v/>
      </c>
    </row>
    <row r="190">
      <c r="A190" s="61">
        <f>IF(NOT((COUNTA($B190:$K190)+COUNTA($N190))&gt;0),"",IF($S190="Macro",COUNTIFS($S$5:$S190,"Macro",$P$5:$P190,$P190),IF(N($R190)=0,"?",COUNTIFS(INDEX($S$5:$S$1000,1):INDEX($S$5:$S$1000,$R190-4),"Macro",INDEX($P$5:$P$1000,1):INDEX($P$5:$P$1000,$R190-4),INDEX($P$5:$P$1000,$R190-4))&amp;"."&amp;COUNTIFS($R$5:$R190,$R190,$S$5:$S190,"Sub"))))</f>
        <v/>
      </c>
      <c r="B190" s="62" t="n"/>
      <c r="C190" s="63" t="n"/>
      <c r="D190" s="62" t="n"/>
      <c r="E190" s="64" t="n"/>
      <c r="F190" s="64" t="n"/>
      <c r="G190" s="65" t="n"/>
      <c r="H190" s="66" t="n"/>
      <c r="I190" s="66" t="n"/>
      <c r="J190" s="66" t="n"/>
      <c r="K190" s="66" t="n"/>
      <c r="L190" s="67">
        <f>IF(NOT((COUNTA($B190:$K190)+COUNTA($N190))&gt;0),"",IF(N($T190)&gt;0,$AB190,IFERROR(LOOKUP(2,1/(H190:K190&lt;&gt;""),H190:K190),0)))</f>
        <v/>
      </c>
      <c r="M190" s="61">
        <f>IF(L190="","",IF(L190&gt;=1,"Completado",IF(L190&gt;0,"En curso","Pendiente")))</f>
        <v/>
      </c>
      <c r="N190" s="62" t="n"/>
      <c r="O190" s="68">
        <f>IF(NOT((COUNTA($B190:$K190)+COUNTA($N190))&gt;0),"",IF((IF(AND($S190="Macro",$B190=""),"Macroactividad vacía"&amp;" · ","")&amp;IF(AND($B190&lt;&gt;"",$C190&lt;&gt;""),"Escriba la subactividad en otra fila, debajo de su macroactividad"&amp;" · ","")&amp;IF(AND($S190="Sub",N($R190)=0),"Subactividad sin macroactividad arriba"&amp;" · ","")&amp;IF($D190="","Sin responsable"&amp;" · ","")&amp;IF($E190="","Sin fecha de inicio"&amp;" · ","")&amp;IF($F190="","Sin fecha límite"&amp;" · ","")&amp;IF(OR(AND($E190&lt;&gt;"",NOT(ISNUMBER($E190))),AND($F190&lt;&gt;"",NOT(ISNUMBER($F190)))),"Fecha no válida"&amp;" · ","")&amp;IF(AND(ISNUMBER($E190),ISNUMBER($F190),$E190&gt;$F190),"Inicio posterior a fecha límite"&amp;" · ","")&amp;IF(AND($S190="Macro",$G190=""),"Peso vacío"&amp;" · ","")&amp;IF(AND($S190="Macro",$G190&lt;&gt;"",OR(NOT(ISNUMBER($G190)),$G190&lt;=0,$G190&gt;1)),"Peso fuera de rango"&amp;" · ","")&amp;IF(AND($S190="Sub",$G190&lt;&gt;""),"Las subactividades no llevan peso"&amp;" · ","")&amp;IF(AND($S190="Macro",ABS(SUMIFS($G$5:$G$1000,$P$5:$P$1000,$P190,$S$5:$S$1000,"Macro")-1)&gt;0.0001),"Pesos del mes suman "&amp;TEXT(SUMIFS($G$5:$G$1000,$P$5:$P$1000,$P190,$S$5:$S$1000,"Macro"),"0%")&amp;" · ","")&amp;IF(AND(N($T190)&gt;0,COUNT($H190:$K190)&gt;0),"Con subactividades: deje vacías las semanas (se calculan solas)"&amp;" · ","")&amp;IF((COUNTIF($H190:$K190,"&gt;1")+COUNTIF($H190:$K190,"&lt;0")+COUNTA($H190:$K190)-COUNT($H190:$K190))&gt;0,"Avance fuera de rango 0-100%"&amp;" · ","")&amp;IF(OR(AND($I190&lt;&gt;"",$I190&lt;$H190),AND($J190&lt;&gt;"",$J190&lt;MAX($H190:$I190)),AND($K190&lt;&gt;"",$K190&lt;MAX($H190:$J190))),"Avance semanal decreciente"&amp;" · ","")&amp;IF(AND(ISNUMBER($F190),$F190&lt;FechaRef,N($L190)&lt;1),"Vencida"&amp;" · ","")&amp;IF(AND(ObsObligatoria="Sí",ISNUMBER($F190),$F190&lt;FechaRef,N($L190)&lt;1,$N190=""),"Vencida sin observación"&amp;" · ",""))="","✔ OK","⚠ "&amp;LEFT(IF(AND($S190="Macro",$B190=""),"Macroactividad vacía"&amp;" · ","")&amp;IF(AND($B190&lt;&gt;"",$C190&lt;&gt;""),"Escriba la subactividad en otra fila, debajo de su macroactividad"&amp;" · ","")&amp;IF(AND($S190="Sub",N($R190)=0),"Subactividad sin macroactividad arriba"&amp;" · ","")&amp;IF($D190="","Sin responsable"&amp;" · ","")&amp;IF($E190="","Sin fecha de inicio"&amp;" · ","")&amp;IF($F190="","Sin fecha límite"&amp;" · ","")&amp;IF(OR(AND($E190&lt;&gt;"",NOT(ISNUMBER($E190))),AND($F190&lt;&gt;"",NOT(ISNUMBER($F190)))),"Fecha no válida"&amp;" · ","")&amp;IF(AND(ISNUMBER($E190),ISNUMBER($F190),$E190&gt;$F190),"Inicio posterior a fecha límite"&amp;" · ","")&amp;IF(AND($S190="Macro",$G190=""),"Peso vacío"&amp;" · ","")&amp;IF(AND($S190="Macro",$G190&lt;&gt;"",OR(NOT(ISNUMBER($G190)),$G190&lt;=0,$G190&gt;1)),"Peso fuera de rango"&amp;" · ","")&amp;IF(AND($S190="Sub",$G190&lt;&gt;""),"Las subactividades no llevan peso"&amp;" · ","")&amp;IF(AND($S190="Macro",ABS(SUMIFS($G$5:$G$1000,$P$5:$P$1000,$P190,$S$5:$S$1000,"Macro")-1)&gt;0.0001),"Pesos del mes suman "&amp;TEXT(SUMIFS($G$5:$G$1000,$P$5:$P$1000,$P190,$S$5:$S$1000,"Macro"),"0%")&amp;" · ","")&amp;IF(AND(N($T190)&gt;0,COUNT($H190:$K190)&gt;0),"Con subactividades: deje vacías las semanas (se calculan solas)"&amp;" · ","")&amp;IF((COUNTIF($H190:$K190,"&gt;1")+COUNTIF($H190:$K190,"&lt;0")+COUNTA($H190:$K190)-COUNT($H190:$K190))&gt;0,"Avance fuera de rango 0-100%"&amp;" · ","")&amp;IF(OR(AND($I190&lt;&gt;"",$I190&lt;$H190),AND($J190&lt;&gt;"",$J190&lt;MAX($H190:$I190)),AND($K190&lt;&gt;"",$K190&lt;MAX($H190:$J190))),"Avance semanal decreciente"&amp;" · ","")&amp;IF(AND(ISNUMBER($F190),$F190&lt;FechaRef,N($L190)&lt;1),"Vencida"&amp;" · ","")&amp;IF(AND(ObsObligatoria="Sí",ISNUMBER($F190),$F190&lt;FechaRef,N($L190)&lt;1,$N190=""),"Vencida sin observación"&amp;" · ",""),LEN(IF(AND($S190="Macro",$B190=""),"Macroactividad vacía"&amp;" · ","")&amp;IF(AND($B190&lt;&gt;"",$C190&lt;&gt;""),"Escriba la subactividad en otra fila, debajo de su macroactividad"&amp;" · ","")&amp;IF(AND($S190="Sub",N($R190)=0),"Subactividad sin macroactividad arriba"&amp;" · ","")&amp;IF($D190="","Sin responsable"&amp;" · ","")&amp;IF($E190="","Sin fecha de inicio"&amp;" · ","")&amp;IF($F190="","Sin fecha límite"&amp;" · ","")&amp;IF(OR(AND($E190&lt;&gt;"",NOT(ISNUMBER($E190))),AND($F190&lt;&gt;"",NOT(ISNUMBER($F190)))),"Fecha no válida"&amp;" · ","")&amp;IF(AND(ISNUMBER($E190),ISNUMBER($F190),$E190&gt;$F190),"Inicio posterior a fecha límite"&amp;" · ","")&amp;IF(AND($S190="Macro",$G190=""),"Peso vacío"&amp;" · ","")&amp;IF(AND($S190="Macro",$G190&lt;&gt;"",OR(NOT(ISNUMBER($G190)),$G190&lt;=0,$G190&gt;1)),"Peso fuera de rango"&amp;" · ","")&amp;IF(AND($S190="Sub",$G190&lt;&gt;""),"Las subactividades no llevan peso"&amp;" · ","")&amp;IF(AND($S190="Macro",ABS(SUMIFS($G$5:$G$1000,$P$5:$P$1000,$P190,$S$5:$S$1000,"Macro")-1)&gt;0.0001),"Pesos del mes suman "&amp;TEXT(SUMIFS($G$5:$G$1000,$P$5:$P$1000,$P190,$S$5:$S$1000,"Macro"),"0%")&amp;" · ","")&amp;IF(AND(N($T190)&gt;0,COUNT($H190:$K190)&gt;0),"Con subactividades: deje vacías las semanas (se calculan solas)"&amp;" · ","")&amp;IF((COUNTIF($H190:$K190,"&gt;1")+COUNTIF($H190:$K190,"&lt;0")+COUNTA($H190:$K190)-COUNT($H190:$K190))&gt;0,"Avance fuera de rango 0-100%"&amp;" · ","")&amp;IF(OR(AND($I190&lt;&gt;"",$I190&lt;$H190),AND($J190&lt;&gt;"",$J190&lt;MAX($H190:$I190)),AND($K190&lt;&gt;"",$K190&lt;MAX($H190:$J190))),"Avance semanal decreciente"&amp;" · ","")&amp;IF(AND(ISNUMBER($F190),$F190&lt;FechaRef,N($L190)&lt;1),"Vencida"&amp;" · ","")&amp;IF(AND(ObsObligatoria="Sí",ISNUMBER($F190),$F190&lt;FechaRef,N($L190)&lt;1,$N190=""),"Vencida sin observación"&amp;" · ",""))-3)))</f>
        <v/>
      </c>
      <c r="P190" s="69">
        <f>IF(NOT((COUNTA($B190:$K190)+COUNTA($N190))&gt;0),"",IF(AND($S190="Sub",N($R190)&gt;0),IF(ISNUMBER(INDEX($E$5:$E$1000,$R190-4)),DATE(YEAR(INDEX($E$5:$E$1000,$R190-4)),MONTH(INDEX($E$5:$E$1000,$R190-4)),1),IF(ISNUMBER(INDEX($F$5:$F$1000,$R190-4)),DATE(YEAR(INDEX($F$5:$F$1000,$R190-4)),MONTH(INDEX($F$5:$F$1000,$R190-4)),1),MesCiclo)),IF(ISNUMBER($E190),DATE(YEAR($E190),MONTH($E190),1),IF(ISNUMBER($F190),DATE(YEAR($F190),MONTH($F190),1),MesCiclo))))</f>
        <v/>
      </c>
      <c r="Q190" s="70">
        <f>IF(OR($P190="",$P190&lt;&gt;MesCiclo),"",COUNTIF($P$5:$P190,MesCiclo))</f>
        <v/>
      </c>
      <c r="R190" s="70">
        <f>IF($S190="","",IF($S190="Macro",ROW(),IFERROR(LOOKUP(2,1/($S$5:$S190="Macro"),ROW($S$5:$S190)),0)))</f>
        <v/>
      </c>
      <c r="S190" s="70">
        <f>IF(NOT((COUNTA($B190:$K190)+COUNTA($N190))&gt;0),"",IF($B190&lt;&gt;"","Macro",IF($C190&lt;&gt;"","Sub","Macro")))</f>
        <v/>
      </c>
      <c r="T190" s="70">
        <f>IF($S190="Macro",COUNTIFS($R$5:$R$1000,ROW(),$S$5:$S$1000,"Sub"),"")</f>
        <v/>
      </c>
      <c r="U190" s="70">
        <f>IF($S190="","",IF(ISNUMBER($H190),$H190,0))</f>
        <v/>
      </c>
      <c r="V190" s="70">
        <f>IF($S190="","",IF(ISNUMBER($I190),$I190,$U190))</f>
        <v/>
      </c>
      <c r="W190" s="70">
        <f>IF($S190="","",IF(ISNUMBER($J190),$J190,$V190))</f>
        <v/>
      </c>
      <c r="X190" s="70">
        <f>IF($S190="","",IF(ISNUMBER($K190),$K190,$W190))</f>
        <v/>
      </c>
      <c r="Y190" s="70">
        <f>IF($S190="","",IF(N($T190)&gt;0,AVERAGEIFS($U$5:$U$1000,$R$5:$R$1000,ROW(),$S$5:$S$1000,"Sub"),$U190))</f>
        <v/>
      </c>
      <c r="Z190" s="70">
        <f>IF($S190="","",IF(N($T190)&gt;0,AVERAGEIFS($V$5:$V$1000,$R$5:$R$1000,ROW(),$S$5:$S$1000,"Sub"),$V190))</f>
        <v/>
      </c>
      <c r="AA190" s="70">
        <f>IF($S190="","",IF(N($T190)&gt;0,AVERAGEIFS($W$5:$W$1000,$R$5:$R$1000,ROW(),$S$5:$S$1000,"Sub"),$W190))</f>
        <v/>
      </c>
      <c r="AB190" s="70">
        <f>IF($S190="","",IF(N($T190)&gt;0,AVERAGEIFS($X$5:$X$1000,$R$5:$R$1000,ROW(),$S$5:$S$1000,"Sub"),$X190))</f>
        <v/>
      </c>
    </row>
    <row r="191">
      <c r="A191" s="61">
        <f>IF(NOT((COUNTA($B191:$K191)+COUNTA($N191))&gt;0),"",IF($S191="Macro",COUNTIFS($S$5:$S191,"Macro",$P$5:$P191,$P191),IF(N($R191)=0,"?",COUNTIFS(INDEX($S$5:$S$1000,1):INDEX($S$5:$S$1000,$R191-4),"Macro",INDEX($P$5:$P$1000,1):INDEX($P$5:$P$1000,$R191-4),INDEX($P$5:$P$1000,$R191-4))&amp;"."&amp;COUNTIFS($R$5:$R191,$R191,$S$5:$S191,"Sub"))))</f>
        <v/>
      </c>
      <c r="B191" s="62" t="n"/>
      <c r="C191" s="63" t="n"/>
      <c r="D191" s="62" t="n"/>
      <c r="E191" s="64" t="n"/>
      <c r="F191" s="64" t="n"/>
      <c r="G191" s="65" t="n"/>
      <c r="H191" s="66" t="n"/>
      <c r="I191" s="66" t="n"/>
      <c r="J191" s="66" t="n"/>
      <c r="K191" s="66" t="n"/>
      <c r="L191" s="67">
        <f>IF(NOT((COUNTA($B191:$K191)+COUNTA($N191))&gt;0),"",IF(N($T191)&gt;0,$AB191,IFERROR(LOOKUP(2,1/(H191:K191&lt;&gt;""),H191:K191),0)))</f>
        <v/>
      </c>
      <c r="M191" s="61">
        <f>IF(L191="","",IF(L191&gt;=1,"Completado",IF(L191&gt;0,"En curso","Pendiente")))</f>
        <v/>
      </c>
      <c r="N191" s="62" t="n"/>
      <c r="O191" s="68">
        <f>IF(NOT((COUNTA($B191:$K191)+COUNTA($N191))&gt;0),"",IF((IF(AND($S191="Macro",$B191=""),"Macroactividad vacía"&amp;" · ","")&amp;IF(AND($B191&lt;&gt;"",$C191&lt;&gt;""),"Escriba la subactividad en otra fila, debajo de su macroactividad"&amp;" · ","")&amp;IF(AND($S191="Sub",N($R191)=0),"Subactividad sin macroactividad arriba"&amp;" · ","")&amp;IF($D191="","Sin responsable"&amp;" · ","")&amp;IF($E191="","Sin fecha de inicio"&amp;" · ","")&amp;IF($F191="","Sin fecha límite"&amp;" · ","")&amp;IF(OR(AND($E191&lt;&gt;"",NOT(ISNUMBER($E191))),AND($F191&lt;&gt;"",NOT(ISNUMBER($F191)))),"Fecha no válida"&amp;" · ","")&amp;IF(AND(ISNUMBER($E191),ISNUMBER($F191),$E191&gt;$F191),"Inicio posterior a fecha límite"&amp;" · ","")&amp;IF(AND($S191="Macro",$G191=""),"Peso vacío"&amp;" · ","")&amp;IF(AND($S191="Macro",$G191&lt;&gt;"",OR(NOT(ISNUMBER($G191)),$G191&lt;=0,$G191&gt;1)),"Peso fuera de rango"&amp;" · ","")&amp;IF(AND($S191="Sub",$G191&lt;&gt;""),"Las subactividades no llevan peso"&amp;" · ","")&amp;IF(AND($S191="Macro",ABS(SUMIFS($G$5:$G$1000,$P$5:$P$1000,$P191,$S$5:$S$1000,"Macro")-1)&gt;0.0001),"Pesos del mes suman "&amp;TEXT(SUMIFS($G$5:$G$1000,$P$5:$P$1000,$P191,$S$5:$S$1000,"Macro"),"0%")&amp;" · ","")&amp;IF(AND(N($T191)&gt;0,COUNT($H191:$K191)&gt;0),"Con subactividades: deje vacías las semanas (se calculan solas)"&amp;" · ","")&amp;IF((COUNTIF($H191:$K191,"&gt;1")+COUNTIF($H191:$K191,"&lt;0")+COUNTA($H191:$K191)-COUNT($H191:$K191))&gt;0,"Avance fuera de rango 0-100%"&amp;" · ","")&amp;IF(OR(AND($I191&lt;&gt;"",$I191&lt;$H191),AND($J191&lt;&gt;"",$J191&lt;MAX($H191:$I191)),AND($K191&lt;&gt;"",$K191&lt;MAX($H191:$J191))),"Avance semanal decreciente"&amp;" · ","")&amp;IF(AND(ISNUMBER($F191),$F191&lt;FechaRef,N($L191)&lt;1),"Vencida"&amp;" · ","")&amp;IF(AND(ObsObligatoria="Sí",ISNUMBER($F191),$F191&lt;FechaRef,N($L191)&lt;1,$N191=""),"Vencida sin observación"&amp;" · ",""))="","✔ OK","⚠ "&amp;LEFT(IF(AND($S191="Macro",$B191=""),"Macroactividad vacía"&amp;" · ","")&amp;IF(AND($B191&lt;&gt;"",$C191&lt;&gt;""),"Escriba la subactividad en otra fila, debajo de su macroactividad"&amp;" · ","")&amp;IF(AND($S191="Sub",N($R191)=0),"Subactividad sin macroactividad arriba"&amp;" · ","")&amp;IF($D191="","Sin responsable"&amp;" · ","")&amp;IF($E191="","Sin fecha de inicio"&amp;" · ","")&amp;IF($F191="","Sin fecha límite"&amp;" · ","")&amp;IF(OR(AND($E191&lt;&gt;"",NOT(ISNUMBER($E191))),AND($F191&lt;&gt;"",NOT(ISNUMBER($F191)))),"Fecha no válida"&amp;" · ","")&amp;IF(AND(ISNUMBER($E191),ISNUMBER($F191),$E191&gt;$F191),"Inicio posterior a fecha límite"&amp;" · ","")&amp;IF(AND($S191="Macro",$G191=""),"Peso vacío"&amp;" · ","")&amp;IF(AND($S191="Macro",$G191&lt;&gt;"",OR(NOT(ISNUMBER($G191)),$G191&lt;=0,$G191&gt;1)),"Peso fuera de rango"&amp;" · ","")&amp;IF(AND($S191="Sub",$G191&lt;&gt;""),"Las subactividades no llevan peso"&amp;" · ","")&amp;IF(AND($S191="Macro",ABS(SUMIFS($G$5:$G$1000,$P$5:$P$1000,$P191,$S$5:$S$1000,"Macro")-1)&gt;0.0001),"Pesos del mes suman "&amp;TEXT(SUMIFS($G$5:$G$1000,$P$5:$P$1000,$P191,$S$5:$S$1000,"Macro"),"0%")&amp;" · ","")&amp;IF(AND(N($T191)&gt;0,COUNT($H191:$K191)&gt;0),"Con subactividades: deje vacías las semanas (se calculan solas)"&amp;" · ","")&amp;IF((COUNTIF($H191:$K191,"&gt;1")+COUNTIF($H191:$K191,"&lt;0")+COUNTA($H191:$K191)-COUNT($H191:$K191))&gt;0,"Avance fuera de rango 0-100%"&amp;" · ","")&amp;IF(OR(AND($I191&lt;&gt;"",$I191&lt;$H191),AND($J191&lt;&gt;"",$J191&lt;MAX($H191:$I191)),AND($K191&lt;&gt;"",$K191&lt;MAX($H191:$J191))),"Avance semanal decreciente"&amp;" · ","")&amp;IF(AND(ISNUMBER($F191),$F191&lt;FechaRef,N($L191)&lt;1),"Vencida"&amp;" · ","")&amp;IF(AND(ObsObligatoria="Sí",ISNUMBER($F191),$F191&lt;FechaRef,N($L191)&lt;1,$N191=""),"Vencida sin observación"&amp;" · ",""),LEN(IF(AND($S191="Macro",$B191=""),"Macroactividad vacía"&amp;" · ","")&amp;IF(AND($B191&lt;&gt;"",$C191&lt;&gt;""),"Escriba la subactividad en otra fila, debajo de su macroactividad"&amp;" · ","")&amp;IF(AND($S191="Sub",N($R191)=0),"Subactividad sin macroactividad arriba"&amp;" · ","")&amp;IF($D191="","Sin responsable"&amp;" · ","")&amp;IF($E191="","Sin fecha de inicio"&amp;" · ","")&amp;IF($F191="","Sin fecha límite"&amp;" · ","")&amp;IF(OR(AND($E191&lt;&gt;"",NOT(ISNUMBER($E191))),AND($F191&lt;&gt;"",NOT(ISNUMBER($F191)))),"Fecha no válida"&amp;" · ","")&amp;IF(AND(ISNUMBER($E191),ISNUMBER($F191),$E191&gt;$F191),"Inicio posterior a fecha límite"&amp;" · ","")&amp;IF(AND($S191="Macro",$G191=""),"Peso vacío"&amp;" · ","")&amp;IF(AND($S191="Macro",$G191&lt;&gt;"",OR(NOT(ISNUMBER($G191)),$G191&lt;=0,$G191&gt;1)),"Peso fuera de rango"&amp;" · ","")&amp;IF(AND($S191="Sub",$G191&lt;&gt;""),"Las subactividades no llevan peso"&amp;" · ","")&amp;IF(AND($S191="Macro",ABS(SUMIFS($G$5:$G$1000,$P$5:$P$1000,$P191,$S$5:$S$1000,"Macro")-1)&gt;0.0001),"Pesos del mes suman "&amp;TEXT(SUMIFS($G$5:$G$1000,$P$5:$P$1000,$P191,$S$5:$S$1000,"Macro"),"0%")&amp;" · ","")&amp;IF(AND(N($T191)&gt;0,COUNT($H191:$K191)&gt;0),"Con subactividades: deje vacías las semanas (se calculan solas)"&amp;" · ","")&amp;IF((COUNTIF($H191:$K191,"&gt;1")+COUNTIF($H191:$K191,"&lt;0")+COUNTA($H191:$K191)-COUNT($H191:$K191))&gt;0,"Avance fuera de rango 0-100%"&amp;" · ","")&amp;IF(OR(AND($I191&lt;&gt;"",$I191&lt;$H191),AND($J191&lt;&gt;"",$J191&lt;MAX($H191:$I191)),AND($K191&lt;&gt;"",$K191&lt;MAX($H191:$J191))),"Avance semanal decreciente"&amp;" · ","")&amp;IF(AND(ISNUMBER($F191),$F191&lt;FechaRef,N($L191)&lt;1),"Vencida"&amp;" · ","")&amp;IF(AND(ObsObligatoria="Sí",ISNUMBER($F191),$F191&lt;FechaRef,N($L191)&lt;1,$N191=""),"Vencida sin observación"&amp;" · ",""))-3)))</f>
        <v/>
      </c>
      <c r="P191" s="69">
        <f>IF(NOT((COUNTA($B191:$K191)+COUNTA($N191))&gt;0),"",IF(AND($S191="Sub",N($R191)&gt;0),IF(ISNUMBER(INDEX($E$5:$E$1000,$R191-4)),DATE(YEAR(INDEX($E$5:$E$1000,$R191-4)),MONTH(INDEX($E$5:$E$1000,$R191-4)),1),IF(ISNUMBER(INDEX($F$5:$F$1000,$R191-4)),DATE(YEAR(INDEX($F$5:$F$1000,$R191-4)),MONTH(INDEX($F$5:$F$1000,$R191-4)),1),MesCiclo)),IF(ISNUMBER($E191),DATE(YEAR($E191),MONTH($E191),1),IF(ISNUMBER($F191),DATE(YEAR($F191),MONTH($F191),1),MesCiclo))))</f>
        <v/>
      </c>
      <c r="Q191" s="70">
        <f>IF(OR($P191="",$P191&lt;&gt;MesCiclo),"",COUNTIF($P$5:$P191,MesCiclo))</f>
        <v/>
      </c>
      <c r="R191" s="70">
        <f>IF($S191="","",IF($S191="Macro",ROW(),IFERROR(LOOKUP(2,1/($S$5:$S191="Macro"),ROW($S$5:$S191)),0)))</f>
        <v/>
      </c>
      <c r="S191" s="70">
        <f>IF(NOT((COUNTA($B191:$K191)+COUNTA($N191))&gt;0),"",IF($B191&lt;&gt;"","Macro",IF($C191&lt;&gt;"","Sub","Macro")))</f>
        <v/>
      </c>
      <c r="T191" s="70">
        <f>IF($S191="Macro",COUNTIFS($R$5:$R$1000,ROW(),$S$5:$S$1000,"Sub"),"")</f>
        <v/>
      </c>
      <c r="U191" s="70">
        <f>IF($S191="","",IF(ISNUMBER($H191),$H191,0))</f>
        <v/>
      </c>
      <c r="V191" s="70">
        <f>IF($S191="","",IF(ISNUMBER($I191),$I191,$U191))</f>
        <v/>
      </c>
      <c r="W191" s="70">
        <f>IF($S191="","",IF(ISNUMBER($J191),$J191,$V191))</f>
        <v/>
      </c>
      <c r="X191" s="70">
        <f>IF($S191="","",IF(ISNUMBER($K191),$K191,$W191))</f>
        <v/>
      </c>
      <c r="Y191" s="70">
        <f>IF($S191="","",IF(N($T191)&gt;0,AVERAGEIFS($U$5:$U$1000,$R$5:$R$1000,ROW(),$S$5:$S$1000,"Sub"),$U191))</f>
        <v/>
      </c>
      <c r="Z191" s="70">
        <f>IF($S191="","",IF(N($T191)&gt;0,AVERAGEIFS($V$5:$V$1000,$R$5:$R$1000,ROW(),$S$5:$S$1000,"Sub"),$V191))</f>
        <v/>
      </c>
      <c r="AA191" s="70">
        <f>IF($S191="","",IF(N($T191)&gt;0,AVERAGEIFS($W$5:$W$1000,$R$5:$R$1000,ROW(),$S$5:$S$1000,"Sub"),$W191))</f>
        <v/>
      </c>
      <c r="AB191" s="70">
        <f>IF($S191="","",IF(N($T191)&gt;0,AVERAGEIFS($X$5:$X$1000,$R$5:$R$1000,ROW(),$S$5:$S$1000,"Sub"),$X191))</f>
        <v/>
      </c>
    </row>
    <row r="192">
      <c r="A192" s="61">
        <f>IF(NOT((COUNTA($B192:$K192)+COUNTA($N192))&gt;0),"",IF($S192="Macro",COUNTIFS($S$5:$S192,"Macro",$P$5:$P192,$P192),IF(N($R192)=0,"?",COUNTIFS(INDEX($S$5:$S$1000,1):INDEX($S$5:$S$1000,$R192-4),"Macro",INDEX($P$5:$P$1000,1):INDEX($P$5:$P$1000,$R192-4),INDEX($P$5:$P$1000,$R192-4))&amp;"."&amp;COUNTIFS($R$5:$R192,$R192,$S$5:$S192,"Sub"))))</f>
        <v/>
      </c>
      <c r="B192" s="62" t="n"/>
      <c r="C192" s="63" t="n"/>
      <c r="D192" s="62" t="n"/>
      <c r="E192" s="64" t="n"/>
      <c r="F192" s="64" t="n"/>
      <c r="G192" s="65" t="n"/>
      <c r="H192" s="66" t="n"/>
      <c r="I192" s="66" t="n"/>
      <c r="J192" s="66" t="n"/>
      <c r="K192" s="66" t="n"/>
      <c r="L192" s="67">
        <f>IF(NOT((COUNTA($B192:$K192)+COUNTA($N192))&gt;0),"",IF(N($T192)&gt;0,$AB192,IFERROR(LOOKUP(2,1/(H192:K192&lt;&gt;""),H192:K192),0)))</f>
        <v/>
      </c>
      <c r="M192" s="61">
        <f>IF(L192="","",IF(L192&gt;=1,"Completado",IF(L192&gt;0,"En curso","Pendiente")))</f>
        <v/>
      </c>
      <c r="N192" s="62" t="n"/>
      <c r="O192" s="68">
        <f>IF(NOT((COUNTA($B192:$K192)+COUNTA($N192))&gt;0),"",IF((IF(AND($S192="Macro",$B192=""),"Macroactividad vacía"&amp;" · ","")&amp;IF(AND($B192&lt;&gt;"",$C192&lt;&gt;""),"Escriba la subactividad en otra fila, debajo de su macroactividad"&amp;" · ","")&amp;IF(AND($S192="Sub",N($R192)=0),"Subactividad sin macroactividad arriba"&amp;" · ","")&amp;IF($D192="","Sin responsable"&amp;" · ","")&amp;IF($E192="","Sin fecha de inicio"&amp;" · ","")&amp;IF($F192="","Sin fecha límite"&amp;" · ","")&amp;IF(OR(AND($E192&lt;&gt;"",NOT(ISNUMBER($E192))),AND($F192&lt;&gt;"",NOT(ISNUMBER($F192)))),"Fecha no válida"&amp;" · ","")&amp;IF(AND(ISNUMBER($E192),ISNUMBER($F192),$E192&gt;$F192),"Inicio posterior a fecha límite"&amp;" · ","")&amp;IF(AND($S192="Macro",$G192=""),"Peso vacío"&amp;" · ","")&amp;IF(AND($S192="Macro",$G192&lt;&gt;"",OR(NOT(ISNUMBER($G192)),$G192&lt;=0,$G192&gt;1)),"Peso fuera de rango"&amp;" · ","")&amp;IF(AND($S192="Sub",$G192&lt;&gt;""),"Las subactividades no llevan peso"&amp;" · ","")&amp;IF(AND($S192="Macro",ABS(SUMIFS($G$5:$G$1000,$P$5:$P$1000,$P192,$S$5:$S$1000,"Macro")-1)&gt;0.0001),"Pesos del mes suman "&amp;TEXT(SUMIFS($G$5:$G$1000,$P$5:$P$1000,$P192,$S$5:$S$1000,"Macro"),"0%")&amp;" · ","")&amp;IF(AND(N($T192)&gt;0,COUNT($H192:$K192)&gt;0),"Con subactividades: deje vacías las semanas (se calculan solas)"&amp;" · ","")&amp;IF((COUNTIF($H192:$K192,"&gt;1")+COUNTIF($H192:$K192,"&lt;0")+COUNTA($H192:$K192)-COUNT($H192:$K192))&gt;0,"Avance fuera de rango 0-100%"&amp;" · ","")&amp;IF(OR(AND($I192&lt;&gt;"",$I192&lt;$H192),AND($J192&lt;&gt;"",$J192&lt;MAX($H192:$I192)),AND($K192&lt;&gt;"",$K192&lt;MAX($H192:$J192))),"Avance semanal decreciente"&amp;" · ","")&amp;IF(AND(ISNUMBER($F192),$F192&lt;FechaRef,N($L192)&lt;1),"Vencida"&amp;" · ","")&amp;IF(AND(ObsObligatoria="Sí",ISNUMBER($F192),$F192&lt;FechaRef,N($L192)&lt;1,$N192=""),"Vencida sin observación"&amp;" · ",""))="","✔ OK","⚠ "&amp;LEFT(IF(AND($S192="Macro",$B192=""),"Macroactividad vacía"&amp;" · ","")&amp;IF(AND($B192&lt;&gt;"",$C192&lt;&gt;""),"Escriba la subactividad en otra fila, debajo de su macroactividad"&amp;" · ","")&amp;IF(AND($S192="Sub",N($R192)=0),"Subactividad sin macroactividad arriba"&amp;" · ","")&amp;IF($D192="","Sin responsable"&amp;" · ","")&amp;IF($E192="","Sin fecha de inicio"&amp;" · ","")&amp;IF($F192="","Sin fecha límite"&amp;" · ","")&amp;IF(OR(AND($E192&lt;&gt;"",NOT(ISNUMBER($E192))),AND($F192&lt;&gt;"",NOT(ISNUMBER($F192)))),"Fecha no válida"&amp;" · ","")&amp;IF(AND(ISNUMBER($E192),ISNUMBER($F192),$E192&gt;$F192),"Inicio posterior a fecha límite"&amp;" · ","")&amp;IF(AND($S192="Macro",$G192=""),"Peso vacío"&amp;" · ","")&amp;IF(AND($S192="Macro",$G192&lt;&gt;"",OR(NOT(ISNUMBER($G192)),$G192&lt;=0,$G192&gt;1)),"Peso fuera de rango"&amp;" · ","")&amp;IF(AND($S192="Sub",$G192&lt;&gt;""),"Las subactividades no llevan peso"&amp;" · ","")&amp;IF(AND($S192="Macro",ABS(SUMIFS($G$5:$G$1000,$P$5:$P$1000,$P192,$S$5:$S$1000,"Macro")-1)&gt;0.0001),"Pesos del mes suman "&amp;TEXT(SUMIFS($G$5:$G$1000,$P$5:$P$1000,$P192,$S$5:$S$1000,"Macro"),"0%")&amp;" · ","")&amp;IF(AND(N($T192)&gt;0,COUNT($H192:$K192)&gt;0),"Con subactividades: deje vacías las semanas (se calculan solas)"&amp;" · ","")&amp;IF((COUNTIF($H192:$K192,"&gt;1")+COUNTIF($H192:$K192,"&lt;0")+COUNTA($H192:$K192)-COUNT($H192:$K192))&gt;0,"Avance fuera de rango 0-100%"&amp;" · ","")&amp;IF(OR(AND($I192&lt;&gt;"",$I192&lt;$H192),AND($J192&lt;&gt;"",$J192&lt;MAX($H192:$I192)),AND($K192&lt;&gt;"",$K192&lt;MAX($H192:$J192))),"Avance semanal decreciente"&amp;" · ","")&amp;IF(AND(ISNUMBER($F192),$F192&lt;FechaRef,N($L192)&lt;1),"Vencida"&amp;" · ","")&amp;IF(AND(ObsObligatoria="Sí",ISNUMBER($F192),$F192&lt;FechaRef,N($L192)&lt;1,$N192=""),"Vencida sin observación"&amp;" · ",""),LEN(IF(AND($S192="Macro",$B192=""),"Macroactividad vacía"&amp;" · ","")&amp;IF(AND($B192&lt;&gt;"",$C192&lt;&gt;""),"Escriba la subactividad en otra fila, debajo de su macroactividad"&amp;" · ","")&amp;IF(AND($S192="Sub",N($R192)=0),"Subactividad sin macroactividad arriba"&amp;" · ","")&amp;IF($D192="","Sin responsable"&amp;" · ","")&amp;IF($E192="","Sin fecha de inicio"&amp;" · ","")&amp;IF($F192="","Sin fecha límite"&amp;" · ","")&amp;IF(OR(AND($E192&lt;&gt;"",NOT(ISNUMBER($E192))),AND($F192&lt;&gt;"",NOT(ISNUMBER($F192)))),"Fecha no válida"&amp;" · ","")&amp;IF(AND(ISNUMBER($E192),ISNUMBER($F192),$E192&gt;$F192),"Inicio posterior a fecha límite"&amp;" · ","")&amp;IF(AND($S192="Macro",$G192=""),"Peso vacío"&amp;" · ","")&amp;IF(AND($S192="Macro",$G192&lt;&gt;"",OR(NOT(ISNUMBER($G192)),$G192&lt;=0,$G192&gt;1)),"Peso fuera de rango"&amp;" · ","")&amp;IF(AND($S192="Sub",$G192&lt;&gt;""),"Las subactividades no llevan peso"&amp;" · ","")&amp;IF(AND($S192="Macro",ABS(SUMIFS($G$5:$G$1000,$P$5:$P$1000,$P192,$S$5:$S$1000,"Macro")-1)&gt;0.0001),"Pesos del mes suman "&amp;TEXT(SUMIFS($G$5:$G$1000,$P$5:$P$1000,$P192,$S$5:$S$1000,"Macro"),"0%")&amp;" · ","")&amp;IF(AND(N($T192)&gt;0,COUNT($H192:$K192)&gt;0),"Con subactividades: deje vacías las semanas (se calculan solas)"&amp;" · ","")&amp;IF((COUNTIF($H192:$K192,"&gt;1")+COUNTIF($H192:$K192,"&lt;0")+COUNTA($H192:$K192)-COUNT($H192:$K192))&gt;0,"Avance fuera de rango 0-100%"&amp;" · ","")&amp;IF(OR(AND($I192&lt;&gt;"",$I192&lt;$H192),AND($J192&lt;&gt;"",$J192&lt;MAX($H192:$I192)),AND($K192&lt;&gt;"",$K192&lt;MAX($H192:$J192))),"Avance semanal decreciente"&amp;" · ","")&amp;IF(AND(ISNUMBER($F192),$F192&lt;FechaRef,N($L192)&lt;1),"Vencida"&amp;" · ","")&amp;IF(AND(ObsObligatoria="Sí",ISNUMBER($F192),$F192&lt;FechaRef,N($L192)&lt;1,$N192=""),"Vencida sin observación"&amp;" · ",""))-3)))</f>
        <v/>
      </c>
      <c r="P192" s="69">
        <f>IF(NOT((COUNTA($B192:$K192)+COUNTA($N192))&gt;0),"",IF(AND($S192="Sub",N($R192)&gt;0),IF(ISNUMBER(INDEX($E$5:$E$1000,$R192-4)),DATE(YEAR(INDEX($E$5:$E$1000,$R192-4)),MONTH(INDEX($E$5:$E$1000,$R192-4)),1),IF(ISNUMBER(INDEX($F$5:$F$1000,$R192-4)),DATE(YEAR(INDEX($F$5:$F$1000,$R192-4)),MONTH(INDEX($F$5:$F$1000,$R192-4)),1),MesCiclo)),IF(ISNUMBER($E192),DATE(YEAR($E192),MONTH($E192),1),IF(ISNUMBER($F192),DATE(YEAR($F192),MONTH($F192),1),MesCiclo))))</f>
        <v/>
      </c>
      <c r="Q192" s="70">
        <f>IF(OR($P192="",$P192&lt;&gt;MesCiclo),"",COUNTIF($P$5:$P192,MesCiclo))</f>
        <v/>
      </c>
      <c r="R192" s="70">
        <f>IF($S192="","",IF($S192="Macro",ROW(),IFERROR(LOOKUP(2,1/($S$5:$S192="Macro"),ROW($S$5:$S192)),0)))</f>
        <v/>
      </c>
      <c r="S192" s="70">
        <f>IF(NOT((COUNTA($B192:$K192)+COUNTA($N192))&gt;0),"",IF($B192&lt;&gt;"","Macro",IF($C192&lt;&gt;"","Sub","Macro")))</f>
        <v/>
      </c>
      <c r="T192" s="70">
        <f>IF($S192="Macro",COUNTIFS($R$5:$R$1000,ROW(),$S$5:$S$1000,"Sub"),"")</f>
        <v/>
      </c>
      <c r="U192" s="70">
        <f>IF($S192="","",IF(ISNUMBER($H192),$H192,0))</f>
        <v/>
      </c>
      <c r="V192" s="70">
        <f>IF($S192="","",IF(ISNUMBER($I192),$I192,$U192))</f>
        <v/>
      </c>
      <c r="W192" s="70">
        <f>IF($S192="","",IF(ISNUMBER($J192),$J192,$V192))</f>
        <v/>
      </c>
      <c r="X192" s="70">
        <f>IF($S192="","",IF(ISNUMBER($K192),$K192,$W192))</f>
        <v/>
      </c>
      <c r="Y192" s="70">
        <f>IF($S192="","",IF(N($T192)&gt;0,AVERAGEIFS($U$5:$U$1000,$R$5:$R$1000,ROW(),$S$5:$S$1000,"Sub"),$U192))</f>
        <v/>
      </c>
      <c r="Z192" s="70">
        <f>IF($S192="","",IF(N($T192)&gt;0,AVERAGEIFS($V$5:$V$1000,$R$5:$R$1000,ROW(),$S$5:$S$1000,"Sub"),$V192))</f>
        <v/>
      </c>
      <c r="AA192" s="70">
        <f>IF($S192="","",IF(N($T192)&gt;0,AVERAGEIFS($W$5:$W$1000,$R$5:$R$1000,ROW(),$S$5:$S$1000,"Sub"),$W192))</f>
        <v/>
      </c>
      <c r="AB192" s="70">
        <f>IF($S192="","",IF(N($T192)&gt;0,AVERAGEIFS($X$5:$X$1000,$R$5:$R$1000,ROW(),$S$5:$S$1000,"Sub"),$X192))</f>
        <v/>
      </c>
    </row>
    <row r="193">
      <c r="A193" s="61">
        <f>IF(NOT((COUNTA($B193:$K193)+COUNTA($N193))&gt;0),"",IF($S193="Macro",COUNTIFS($S$5:$S193,"Macro",$P$5:$P193,$P193),IF(N($R193)=0,"?",COUNTIFS(INDEX($S$5:$S$1000,1):INDEX($S$5:$S$1000,$R193-4),"Macro",INDEX($P$5:$P$1000,1):INDEX($P$5:$P$1000,$R193-4),INDEX($P$5:$P$1000,$R193-4))&amp;"."&amp;COUNTIFS($R$5:$R193,$R193,$S$5:$S193,"Sub"))))</f>
        <v/>
      </c>
      <c r="B193" s="62" t="n"/>
      <c r="C193" s="63" t="n"/>
      <c r="D193" s="62" t="n"/>
      <c r="E193" s="64" t="n"/>
      <c r="F193" s="64" t="n"/>
      <c r="G193" s="65" t="n"/>
      <c r="H193" s="66" t="n"/>
      <c r="I193" s="66" t="n"/>
      <c r="J193" s="66" t="n"/>
      <c r="K193" s="66" t="n"/>
      <c r="L193" s="67">
        <f>IF(NOT((COUNTA($B193:$K193)+COUNTA($N193))&gt;0),"",IF(N($T193)&gt;0,$AB193,IFERROR(LOOKUP(2,1/(H193:K193&lt;&gt;""),H193:K193),0)))</f>
        <v/>
      </c>
      <c r="M193" s="61">
        <f>IF(L193="","",IF(L193&gt;=1,"Completado",IF(L193&gt;0,"En curso","Pendiente")))</f>
        <v/>
      </c>
      <c r="N193" s="62" t="n"/>
      <c r="O193" s="68">
        <f>IF(NOT((COUNTA($B193:$K193)+COUNTA($N193))&gt;0),"",IF((IF(AND($S193="Macro",$B193=""),"Macroactividad vacía"&amp;" · ","")&amp;IF(AND($B193&lt;&gt;"",$C193&lt;&gt;""),"Escriba la subactividad en otra fila, debajo de su macroactividad"&amp;" · ","")&amp;IF(AND($S193="Sub",N($R193)=0),"Subactividad sin macroactividad arriba"&amp;" · ","")&amp;IF($D193="","Sin responsable"&amp;" · ","")&amp;IF($E193="","Sin fecha de inicio"&amp;" · ","")&amp;IF($F193="","Sin fecha límite"&amp;" · ","")&amp;IF(OR(AND($E193&lt;&gt;"",NOT(ISNUMBER($E193))),AND($F193&lt;&gt;"",NOT(ISNUMBER($F193)))),"Fecha no válida"&amp;" · ","")&amp;IF(AND(ISNUMBER($E193),ISNUMBER($F193),$E193&gt;$F193),"Inicio posterior a fecha límite"&amp;" · ","")&amp;IF(AND($S193="Macro",$G193=""),"Peso vacío"&amp;" · ","")&amp;IF(AND($S193="Macro",$G193&lt;&gt;"",OR(NOT(ISNUMBER($G193)),$G193&lt;=0,$G193&gt;1)),"Peso fuera de rango"&amp;" · ","")&amp;IF(AND($S193="Sub",$G193&lt;&gt;""),"Las subactividades no llevan peso"&amp;" · ","")&amp;IF(AND($S193="Macro",ABS(SUMIFS($G$5:$G$1000,$P$5:$P$1000,$P193,$S$5:$S$1000,"Macro")-1)&gt;0.0001),"Pesos del mes suman "&amp;TEXT(SUMIFS($G$5:$G$1000,$P$5:$P$1000,$P193,$S$5:$S$1000,"Macro"),"0%")&amp;" · ","")&amp;IF(AND(N($T193)&gt;0,COUNT($H193:$K193)&gt;0),"Con subactividades: deje vacías las semanas (se calculan solas)"&amp;" · ","")&amp;IF((COUNTIF($H193:$K193,"&gt;1")+COUNTIF($H193:$K193,"&lt;0")+COUNTA($H193:$K193)-COUNT($H193:$K193))&gt;0,"Avance fuera de rango 0-100%"&amp;" · ","")&amp;IF(OR(AND($I193&lt;&gt;"",$I193&lt;$H193),AND($J193&lt;&gt;"",$J193&lt;MAX($H193:$I193)),AND($K193&lt;&gt;"",$K193&lt;MAX($H193:$J193))),"Avance semanal decreciente"&amp;" · ","")&amp;IF(AND(ISNUMBER($F193),$F193&lt;FechaRef,N($L193)&lt;1),"Vencida"&amp;" · ","")&amp;IF(AND(ObsObligatoria="Sí",ISNUMBER($F193),$F193&lt;FechaRef,N($L193)&lt;1,$N193=""),"Vencida sin observación"&amp;" · ",""))="","✔ OK","⚠ "&amp;LEFT(IF(AND($S193="Macro",$B193=""),"Macroactividad vacía"&amp;" · ","")&amp;IF(AND($B193&lt;&gt;"",$C193&lt;&gt;""),"Escriba la subactividad en otra fila, debajo de su macroactividad"&amp;" · ","")&amp;IF(AND($S193="Sub",N($R193)=0),"Subactividad sin macroactividad arriba"&amp;" · ","")&amp;IF($D193="","Sin responsable"&amp;" · ","")&amp;IF($E193="","Sin fecha de inicio"&amp;" · ","")&amp;IF($F193="","Sin fecha límite"&amp;" · ","")&amp;IF(OR(AND($E193&lt;&gt;"",NOT(ISNUMBER($E193))),AND($F193&lt;&gt;"",NOT(ISNUMBER($F193)))),"Fecha no válida"&amp;" · ","")&amp;IF(AND(ISNUMBER($E193),ISNUMBER($F193),$E193&gt;$F193),"Inicio posterior a fecha límite"&amp;" · ","")&amp;IF(AND($S193="Macro",$G193=""),"Peso vacío"&amp;" · ","")&amp;IF(AND($S193="Macro",$G193&lt;&gt;"",OR(NOT(ISNUMBER($G193)),$G193&lt;=0,$G193&gt;1)),"Peso fuera de rango"&amp;" · ","")&amp;IF(AND($S193="Sub",$G193&lt;&gt;""),"Las subactividades no llevan peso"&amp;" · ","")&amp;IF(AND($S193="Macro",ABS(SUMIFS($G$5:$G$1000,$P$5:$P$1000,$P193,$S$5:$S$1000,"Macro")-1)&gt;0.0001),"Pesos del mes suman "&amp;TEXT(SUMIFS($G$5:$G$1000,$P$5:$P$1000,$P193,$S$5:$S$1000,"Macro"),"0%")&amp;" · ","")&amp;IF(AND(N($T193)&gt;0,COUNT($H193:$K193)&gt;0),"Con subactividades: deje vacías las semanas (se calculan solas)"&amp;" · ","")&amp;IF((COUNTIF($H193:$K193,"&gt;1")+COUNTIF($H193:$K193,"&lt;0")+COUNTA($H193:$K193)-COUNT($H193:$K193))&gt;0,"Avance fuera de rango 0-100%"&amp;" · ","")&amp;IF(OR(AND($I193&lt;&gt;"",$I193&lt;$H193),AND($J193&lt;&gt;"",$J193&lt;MAX($H193:$I193)),AND($K193&lt;&gt;"",$K193&lt;MAX($H193:$J193))),"Avance semanal decreciente"&amp;" · ","")&amp;IF(AND(ISNUMBER($F193),$F193&lt;FechaRef,N($L193)&lt;1),"Vencida"&amp;" · ","")&amp;IF(AND(ObsObligatoria="Sí",ISNUMBER($F193),$F193&lt;FechaRef,N($L193)&lt;1,$N193=""),"Vencida sin observación"&amp;" · ",""),LEN(IF(AND($S193="Macro",$B193=""),"Macroactividad vacía"&amp;" · ","")&amp;IF(AND($B193&lt;&gt;"",$C193&lt;&gt;""),"Escriba la subactividad en otra fila, debajo de su macroactividad"&amp;" · ","")&amp;IF(AND($S193="Sub",N($R193)=0),"Subactividad sin macroactividad arriba"&amp;" · ","")&amp;IF($D193="","Sin responsable"&amp;" · ","")&amp;IF($E193="","Sin fecha de inicio"&amp;" · ","")&amp;IF($F193="","Sin fecha límite"&amp;" · ","")&amp;IF(OR(AND($E193&lt;&gt;"",NOT(ISNUMBER($E193))),AND($F193&lt;&gt;"",NOT(ISNUMBER($F193)))),"Fecha no válida"&amp;" · ","")&amp;IF(AND(ISNUMBER($E193),ISNUMBER($F193),$E193&gt;$F193),"Inicio posterior a fecha límite"&amp;" · ","")&amp;IF(AND($S193="Macro",$G193=""),"Peso vacío"&amp;" · ","")&amp;IF(AND($S193="Macro",$G193&lt;&gt;"",OR(NOT(ISNUMBER($G193)),$G193&lt;=0,$G193&gt;1)),"Peso fuera de rango"&amp;" · ","")&amp;IF(AND($S193="Sub",$G193&lt;&gt;""),"Las subactividades no llevan peso"&amp;" · ","")&amp;IF(AND($S193="Macro",ABS(SUMIFS($G$5:$G$1000,$P$5:$P$1000,$P193,$S$5:$S$1000,"Macro")-1)&gt;0.0001),"Pesos del mes suman "&amp;TEXT(SUMIFS($G$5:$G$1000,$P$5:$P$1000,$P193,$S$5:$S$1000,"Macro"),"0%")&amp;" · ","")&amp;IF(AND(N($T193)&gt;0,COUNT($H193:$K193)&gt;0),"Con subactividades: deje vacías las semanas (se calculan solas)"&amp;" · ","")&amp;IF((COUNTIF($H193:$K193,"&gt;1")+COUNTIF($H193:$K193,"&lt;0")+COUNTA($H193:$K193)-COUNT($H193:$K193))&gt;0,"Avance fuera de rango 0-100%"&amp;" · ","")&amp;IF(OR(AND($I193&lt;&gt;"",$I193&lt;$H193),AND($J193&lt;&gt;"",$J193&lt;MAX($H193:$I193)),AND($K193&lt;&gt;"",$K193&lt;MAX($H193:$J193))),"Avance semanal decreciente"&amp;" · ","")&amp;IF(AND(ISNUMBER($F193),$F193&lt;FechaRef,N($L193)&lt;1),"Vencida"&amp;" · ","")&amp;IF(AND(ObsObligatoria="Sí",ISNUMBER($F193),$F193&lt;FechaRef,N($L193)&lt;1,$N193=""),"Vencida sin observación"&amp;" · ",""))-3)))</f>
        <v/>
      </c>
      <c r="P193" s="69">
        <f>IF(NOT((COUNTA($B193:$K193)+COUNTA($N193))&gt;0),"",IF(AND($S193="Sub",N($R193)&gt;0),IF(ISNUMBER(INDEX($E$5:$E$1000,$R193-4)),DATE(YEAR(INDEX($E$5:$E$1000,$R193-4)),MONTH(INDEX($E$5:$E$1000,$R193-4)),1),IF(ISNUMBER(INDEX($F$5:$F$1000,$R193-4)),DATE(YEAR(INDEX($F$5:$F$1000,$R193-4)),MONTH(INDEX($F$5:$F$1000,$R193-4)),1),MesCiclo)),IF(ISNUMBER($E193),DATE(YEAR($E193),MONTH($E193),1),IF(ISNUMBER($F193),DATE(YEAR($F193),MONTH($F193),1),MesCiclo))))</f>
        <v/>
      </c>
      <c r="Q193" s="70">
        <f>IF(OR($P193="",$P193&lt;&gt;MesCiclo),"",COUNTIF($P$5:$P193,MesCiclo))</f>
        <v/>
      </c>
      <c r="R193" s="70">
        <f>IF($S193="","",IF($S193="Macro",ROW(),IFERROR(LOOKUP(2,1/($S$5:$S193="Macro"),ROW($S$5:$S193)),0)))</f>
        <v/>
      </c>
      <c r="S193" s="70">
        <f>IF(NOT((COUNTA($B193:$K193)+COUNTA($N193))&gt;0),"",IF($B193&lt;&gt;"","Macro",IF($C193&lt;&gt;"","Sub","Macro")))</f>
        <v/>
      </c>
      <c r="T193" s="70">
        <f>IF($S193="Macro",COUNTIFS($R$5:$R$1000,ROW(),$S$5:$S$1000,"Sub"),"")</f>
        <v/>
      </c>
      <c r="U193" s="70">
        <f>IF($S193="","",IF(ISNUMBER($H193),$H193,0))</f>
        <v/>
      </c>
      <c r="V193" s="70">
        <f>IF($S193="","",IF(ISNUMBER($I193),$I193,$U193))</f>
        <v/>
      </c>
      <c r="W193" s="70">
        <f>IF($S193="","",IF(ISNUMBER($J193),$J193,$V193))</f>
        <v/>
      </c>
      <c r="X193" s="70">
        <f>IF($S193="","",IF(ISNUMBER($K193),$K193,$W193))</f>
        <v/>
      </c>
      <c r="Y193" s="70">
        <f>IF($S193="","",IF(N($T193)&gt;0,AVERAGEIFS($U$5:$U$1000,$R$5:$R$1000,ROW(),$S$5:$S$1000,"Sub"),$U193))</f>
        <v/>
      </c>
      <c r="Z193" s="70">
        <f>IF($S193="","",IF(N($T193)&gt;0,AVERAGEIFS($V$5:$V$1000,$R$5:$R$1000,ROW(),$S$5:$S$1000,"Sub"),$V193))</f>
        <v/>
      </c>
      <c r="AA193" s="70">
        <f>IF($S193="","",IF(N($T193)&gt;0,AVERAGEIFS($W$5:$W$1000,$R$5:$R$1000,ROW(),$S$5:$S$1000,"Sub"),$W193))</f>
        <v/>
      </c>
      <c r="AB193" s="70">
        <f>IF($S193="","",IF(N($T193)&gt;0,AVERAGEIFS($X$5:$X$1000,$R$5:$R$1000,ROW(),$S$5:$S$1000,"Sub"),$X193))</f>
        <v/>
      </c>
    </row>
    <row r="194">
      <c r="A194" s="61">
        <f>IF(NOT((COUNTA($B194:$K194)+COUNTA($N194))&gt;0),"",IF($S194="Macro",COUNTIFS($S$5:$S194,"Macro",$P$5:$P194,$P194),IF(N($R194)=0,"?",COUNTIFS(INDEX($S$5:$S$1000,1):INDEX($S$5:$S$1000,$R194-4),"Macro",INDEX($P$5:$P$1000,1):INDEX($P$5:$P$1000,$R194-4),INDEX($P$5:$P$1000,$R194-4))&amp;"."&amp;COUNTIFS($R$5:$R194,$R194,$S$5:$S194,"Sub"))))</f>
        <v/>
      </c>
      <c r="B194" s="62" t="n"/>
      <c r="C194" s="63" t="n"/>
      <c r="D194" s="62" t="n"/>
      <c r="E194" s="64" t="n"/>
      <c r="F194" s="64" t="n"/>
      <c r="G194" s="65" t="n"/>
      <c r="H194" s="66" t="n"/>
      <c r="I194" s="66" t="n"/>
      <c r="J194" s="66" t="n"/>
      <c r="K194" s="66" t="n"/>
      <c r="L194" s="67">
        <f>IF(NOT((COUNTA($B194:$K194)+COUNTA($N194))&gt;0),"",IF(N($T194)&gt;0,$AB194,IFERROR(LOOKUP(2,1/(H194:K194&lt;&gt;""),H194:K194),0)))</f>
        <v/>
      </c>
      <c r="M194" s="61">
        <f>IF(L194="","",IF(L194&gt;=1,"Completado",IF(L194&gt;0,"En curso","Pendiente")))</f>
        <v/>
      </c>
      <c r="N194" s="62" t="n"/>
      <c r="O194" s="68">
        <f>IF(NOT((COUNTA($B194:$K194)+COUNTA($N194))&gt;0),"",IF((IF(AND($S194="Macro",$B194=""),"Macroactividad vacía"&amp;" · ","")&amp;IF(AND($B194&lt;&gt;"",$C194&lt;&gt;""),"Escriba la subactividad en otra fila, debajo de su macroactividad"&amp;" · ","")&amp;IF(AND($S194="Sub",N($R194)=0),"Subactividad sin macroactividad arriba"&amp;" · ","")&amp;IF($D194="","Sin responsable"&amp;" · ","")&amp;IF($E194="","Sin fecha de inicio"&amp;" · ","")&amp;IF($F194="","Sin fecha límite"&amp;" · ","")&amp;IF(OR(AND($E194&lt;&gt;"",NOT(ISNUMBER($E194))),AND($F194&lt;&gt;"",NOT(ISNUMBER($F194)))),"Fecha no válida"&amp;" · ","")&amp;IF(AND(ISNUMBER($E194),ISNUMBER($F194),$E194&gt;$F194),"Inicio posterior a fecha límite"&amp;" · ","")&amp;IF(AND($S194="Macro",$G194=""),"Peso vacío"&amp;" · ","")&amp;IF(AND($S194="Macro",$G194&lt;&gt;"",OR(NOT(ISNUMBER($G194)),$G194&lt;=0,$G194&gt;1)),"Peso fuera de rango"&amp;" · ","")&amp;IF(AND($S194="Sub",$G194&lt;&gt;""),"Las subactividades no llevan peso"&amp;" · ","")&amp;IF(AND($S194="Macro",ABS(SUMIFS($G$5:$G$1000,$P$5:$P$1000,$P194,$S$5:$S$1000,"Macro")-1)&gt;0.0001),"Pesos del mes suman "&amp;TEXT(SUMIFS($G$5:$G$1000,$P$5:$P$1000,$P194,$S$5:$S$1000,"Macro"),"0%")&amp;" · ","")&amp;IF(AND(N($T194)&gt;0,COUNT($H194:$K194)&gt;0),"Con subactividades: deje vacías las semanas (se calculan solas)"&amp;" · ","")&amp;IF((COUNTIF($H194:$K194,"&gt;1")+COUNTIF($H194:$K194,"&lt;0")+COUNTA($H194:$K194)-COUNT($H194:$K194))&gt;0,"Avance fuera de rango 0-100%"&amp;" · ","")&amp;IF(OR(AND($I194&lt;&gt;"",$I194&lt;$H194),AND($J194&lt;&gt;"",$J194&lt;MAX($H194:$I194)),AND($K194&lt;&gt;"",$K194&lt;MAX($H194:$J194))),"Avance semanal decreciente"&amp;" · ","")&amp;IF(AND(ISNUMBER($F194),$F194&lt;FechaRef,N($L194)&lt;1),"Vencida"&amp;" · ","")&amp;IF(AND(ObsObligatoria="Sí",ISNUMBER($F194),$F194&lt;FechaRef,N($L194)&lt;1,$N194=""),"Vencida sin observación"&amp;" · ",""))="","✔ OK","⚠ "&amp;LEFT(IF(AND($S194="Macro",$B194=""),"Macroactividad vacía"&amp;" · ","")&amp;IF(AND($B194&lt;&gt;"",$C194&lt;&gt;""),"Escriba la subactividad en otra fila, debajo de su macroactividad"&amp;" · ","")&amp;IF(AND($S194="Sub",N($R194)=0),"Subactividad sin macroactividad arriba"&amp;" · ","")&amp;IF($D194="","Sin responsable"&amp;" · ","")&amp;IF($E194="","Sin fecha de inicio"&amp;" · ","")&amp;IF($F194="","Sin fecha límite"&amp;" · ","")&amp;IF(OR(AND($E194&lt;&gt;"",NOT(ISNUMBER($E194))),AND($F194&lt;&gt;"",NOT(ISNUMBER($F194)))),"Fecha no válida"&amp;" · ","")&amp;IF(AND(ISNUMBER($E194),ISNUMBER($F194),$E194&gt;$F194),"Inicio posterior a fecha límite"&amp;" · ","")&amp;IF(AND($S194="Macro",$G194=""),"Peso vacío"&amp;" · ","")&amp;IF(AND($S194="Macro",$G194&lt;&gt;"",OR(NOT(ISNUMBER($G194)),$G194&lt;=0,$G194&gt;1)),"Peso fuera de rango"&amp;" · ","")&amp;IF(AND($S194="Sub",$G194&lt;&gt;""),"Las subactividades no llevan peso"&amp;" · ","")&amp;IF(AND($S194="Macro",ABS(SUMIFS($G$5:$G$1000,$P$5:$P$1000,$P194,$S$5:$S$1000,"Macro")-1)&gt;0.0001),"Pesos del mes suman "&amp;TEXT(SUMIFS($G$5:$G$1000,$P$5:$P$1000,$P194,$S$5:$S$1000,"Macro"),"0%")&amp;" · ","")&amp;IF(AND(N($T194)&gt;0,COUNT($H194:$K194)&gt;0),"Con subactividades: deje vacías las semanas (se calculan solas)"&amp;" · ","")&amp;IF((COUNTIF($H194:$K194,"&gt;1")+COUNTIF($H194:$K194,"&lt;0")+COUNTA($H194:$K194)-COUNT($H194:$K194))&gt;0,"Avance fuera de rango 0-100%"&amp;" · ","")&amp;IF(OR(AND($I194&lt;&gt;"",$I194&lt;$H194),AND($J194&lt;&gt;"",$J194&lt;MAX($H194:$I194)),AND($K194&lt;&gt;"",$K194&lt;MAX($H194:$J194))),"Avance semanal decreciente"&amp;" · ","")&amp;IF(AND(ISNUMBER($F194),$F194&lt;FechaRef,N($L194)&lt;1),"Vencida"&amp;" · ","")&amp;IF(AND(ObsObligatoria="Sí",ISNUMBER($F194),$F194&lt;FechaRef,N($L194)&lt;1,$N194=""),"Vencida sin observación"&amp;" · ",""),LEN(IF(AND($S194="Macro",$B194=""),"Macroactividad vacía"&amp;" · ","")&amp;IF(AND($B194&lt;&gt;"",$C194&lt;&gt;""),"Escriba la subactividad en otra fila, debajo de su macroactividad"&amp;" · ","")&amp;IF(AND($S194="Sub",N($R194)=0),"Subactividad sin macroactividad arriba"&amp;" · ","")&amp;IF($D194="","Sin responsable"&amp;" · ","")&amp;IF($E194="","Sin fecha de inicio"&amp;" · ","")&amp;IF($F194="","Sin fecha límite"&amp;" · ","")&amp;IF(OR(AND($E194&lt;&gt;"",NOT(ISNUMBER($E194))),AND($F194&lt;&gt;"",NOT(ISNUMBER($F194)))),"Fecha no válida"&amp;" · ","")&amp;IF(AND(ISNUMBER($E194),ISNUMBER($F194),$E194&gt;$F194),"Inicio posterior a fecha límite"&amp;" · ","")&amp;IF(AND($S194="Macro",$G194=""),"Peso vacío"&amp;" · ","")&amp;IF(AND($S194="Macro",$G194&lt;&gt;"",OR(NOT(ISNUMBER($G194)),$G194&lt;=0,$G194&gt;1)),"Peso fuera de rango"&amp;" · ","")&amp;IF(AND($S194="Sub",$G194&lt;&gt;""),"Las subactividades no llevan peso"&amp;" · ","")&amp;IF(AND($S194="Macro",ABS(SUMIFS($G$5:$G$1000,$P$5:$P$1000,$P194,$S$5:$S$1000,"Macro")-1)&gt;0.0001),"Pesos del mes suman "&amp;TEXT(SUMIFS($G$5:$G$1000,$P$5:$P$1000,$P194,$S$5:$S$1000,"Macro"),"0%")&amp;" · ","")&amp;IF(AND(N($T194)&gt;0,COUNT($H194:$K194)&gt;0),"Con subactividades: deje vacías las semanas (se calculan solas)"&amp;" · ","")&amp;IF((COUNTIF($H194:$K194,"&gt;1")+COUNTIF($H194:$K194,"&lt;0")+COUNTA($H194:$K194)-COUNT($H194:$K194))&gt;0,"Avance fuera de rango 0-100%"&amp;" · ","")&amp;IF(OR(AND($I194&lt;&gt;"",$I194&lt;$H194),AND($J194&lt;&gt;"",$J194&lt;MAX($H194:$I194)),AND($K194&lt;&gt;"",$K194&lt;MAX($H194:$J194))),"Avance semanal decreciente"&amp;" · ","")&amp;IF(AND(ISNUMBER($F194),$F194&lt;FechaRef,N($L194)&lt;1),"Vencida"&amp;" · ","")&amp;IF(AND(ObsObligatoria="Sí",ISNUMBER($F194),$F194&lt;FechaRef,N($L194)&lt;1,$N194=""),"Vencida sin observación"&amp;" · ",""))-3)))</f>
        <v/>
      </c>
      <c r="P194" s="69">
        <f>IF(NOT((COUNTA($B194:$K194)+COUNTA($N194))&gt;0),"",IF(AND($S194="Sub",N($R194)&gt;0),IF(ISNUMBER(INDEX($E$5:$E$1000,$R194-4)),DATE(YEAR(INDEX($E$5:$E$1000,$R194-4)),MONTH(INDEX($E$5:$E$1000,$R194-4)),1),IF(ISNUMBER(INDEX($F$5:$F$1000,$R194-4)),DATE(YEAR(INDEX($F$5:$F$1000,$R194-4)),MONTH(INDEX($F$5:$F$1000,$R194-4)),1),MesCiclo)),IF(ISNUMBER($E194),DATE(YEAR($E194),MONTH($E194),1),IF(ISNUMBER($F194),DATE(YEAR($F194),MONTH($F194),1),MesCiclo))))</f>
        <v/>
      </c>
      <c r="Q194" s="70">
        <f>IF(OR($P194="",$P194&lt;&gt;MesCiclo),"",COUNTIF($P$5:$P194,MesCiclo))</f>
        <v/>
      </c>
      <c r="R194" s="70">
        <f>IF($S194="","",IF($S194="Macro",ROW(),IFERROR(LOOKUP(2,1/($S$5:$S194="Macro"),ROW($S$5:$S194)),0)))</f>
        <v/>
      </c>
      <c r="S194" s="70">
        <f>IF(NOT((COUNTA($B194:$K194)+COUNTA($N194))&gt;0),"",IF($B194&lt;&gt;"","Macro",IF($C194&lt;&gt;"","Sub","Macro")))</f>
        <v/>
      </c>
      <c r="T194" s="70">
        <f>IF($S194="Macro",COUNTIFS($R$5:$R$1000,ROW(),$S$5:$S$1000,"Sub"),"")</f>
        <v/>
      </c>
      <c r="U194" s="70">
        <f>IF($S194="","",IF(ISNUMBER($H194),$H194,0))</f>
        <v/>
      </c>
      <c r="V194" s="70">
        <f>IF($S194="","",IF(ISNUMBER($I194),$I194,$U194))</f>
        <v/>
      </c>
      <c r="W194" s="70">
        <f>IF($S194="","",IF(ISNUMBER($J194),$J194,$V194))</f>
        <v/>
      </c>
      <c r="X194" s="70">
        <f>IF($S194="","",IF(ISNUMBER($K194),$K194,$W194))</f>
        <v/>
      </c>
      <c r="Y194" s="70">
        <f>IF($S194="","",IF(N($T194)&gt;0,AVERAGEIFS($U$5:$U$1000,$R$5:$R$1000,ROW(),$S$5:$S$1000,"Sub"),$U194))</f>
        <v/>
      </c>
      <c r="Z194" s="70">
        <f>IF($S194="","",IF(N($T194)&gt;0,AVERAGEIFS($V$5:$V$1000,$R$5:$R$1000,ROW(),$S$5:$S$1000,"Sub"),$V194))</f>
        <v/>
      </c>
      <c r="AA194" s="70">
        <f>IF($S194="","",IF(N($T194)&gt;0,AVERAGEIFS($W$5:$W$1000,$R$5:$R$1000,ROW(),$S$5:$S$1000,"Sub"),$W194))</f>
        <v/>
      </c>
      <c r="AB194" s="70">
        <f>IF($S194="","",IF(N($T194)&gt;0,AVERAGEIFS($X$5:$X$1000,$R$5:$R$1000,ROW(),$S$5:$S$1000,"Sub"),$X194))</f>
        <v/>
      </c>
    </row>
    <row r="195">
      <c r="A195" s="61">
        <f>IF(NOT((COUNTA($B195:$K195)+COUNTA($N195))&gt;0),"",IF($S195="Macro",COUNTIFS($S$5:$S195,"Macro",$P$5:$P195,$P195),IF(N($R195)=0,"?",COUNTIFS(INDEX($S$5:$S$1000,1):INDEX($S$5:$S$1000,$R195-4),"Macro",INDEX($P$5:$P$1000,1):INDEX($P$5:$P$1000,$R195-4),INDEX($P$5:$P$1000,$R195-4))&amp;"."&amp;COUNTIFS($R$5:$R195,$R195,$S$5:$S195,"Sub"))))</f>
        <v/>
      </c>
      <c r="B195" s="62" t="n"/>
      <c r="C195" s="63" t="n"/>
      <c r="D195" s="62" t="n"/>
      <c r="E195" s="64" t="n"/>
      <c r="F195" s="64" t="n"/>
      <c r="G195" s="65" t="n"/>
      <c r="H195" s="66" t="n"/>
      <c r="I195" s="66" t="n"/>
      <c r="J195" s="66" t="n"/>
      <c r="K195" s="66" t="n"/>
      <c r="L195" s="67">
        <f>IF(NOT((COUNTA($B195:$K195)+COUNTA($N195))&gt;0),"",IF(N($T195)&gt;0,$AB195,IFERROR(LOOKUP(2,1/(H195:K195&lt;&gt;""),H195:K195),0)))</f>
        <v/>
      </c>
      <c r="M195" s="61">
        <f>IF(L195="","",IF(L195&gt;=1,"Completado",IF(L195&gt;0,"En curso","Pendiente")))</f>
        <v/>
      </c>
      <c r="N195" s="62" t="n"/>
      <c r="O195" s="68">
        <f>IF(NOT((COUNTA($B195:$K195)+COUNTA($N195))&gt;0),"",IF((IF(AND($S195="Macro",$B195=""),"Macroactividad vacía"&amp;" · ","")&amp;IF(AND($B195&lt;&gt;"",$C195&lt;&gt;""),"Escriba la subactividad en otra fila, debajo de su macroactividad"&amp;" · ","")&amp;IF(AND($S195="Sub",N($R195)=0),"Subactividad sin macroactividad arriba"&amp;" · ","")&amp;IF($D195="","Sin responsable"&amp;" · ","")&amp;IF($E195="","Sin fecha de inicio"&amp;" · ","")&amp;IF($F195="","Sin fecha límite"&amp;" · ","")&amp;IF(OR(AND($E195&lt;&gt;"",NOT(ISNUMBER($E195))),AND($F195&lt;&gt;"",NOT(ISNUMBER($F195)))),"Fecha no válida"&amp;" · ","")&amp;IF(AND(ISNUMBER($E195),ISNUMBER($F195),$E195&gt;$F195),"Inicio posterior a fecha límite"&amp;" · ","")&amp;IF(AND($S195="Macro",$G195=""),"Peso vacío"&amp;" · ","")&amp;IF(AND($S195="Macro",$G195&lt;&gt;"",OR(NOT(ISNUMBER($G195)),$G195&lt;=0,$G195&gt;1)),"Peso fuera de rango"&amp;" · ","")&amp;IF(AND($S195="Sub",$G195&lt;&gt;""),"Las subactividades no llevan peso"&amp;" · ","")&amp;IF(AND($S195="Macro",ABS(SUMIFS($G$5:$G$1000,$P$5:$P$1000,$P195,$S$5:$S$1000,"Macro")-1)&gt;0.0001),"Pesos del mes suman "&amp;TEXT(SUMIFS($G$5:$G$1000,$P$5:$P$1000,$P195,$S$5:$S$1000,"Macro"),"0%")&amp;" · ","")&amp;IF(AND(N($T195)&gt;0,COUNT($H195:$K195)&gt;0),"Con subactividades: deje vacías las semanas (se calculan solas)"&amp;" · ","")&amp;IF((COUNTIF($H195:$K195,"&gt;1")+COUNTIF($H195:$K195,"&lt;0")+COUNTA($H195:$K195)-COUNT($H195:$K195))&gt;0,"Avance fuera de rango 0-100%"&amp;" · ","")&amp;IF(OR(AND($I195&lt;&gt;"",$I195&lt;$H195),AND($J195&lt;&gt;"",$J195&lt;MAX($H195:$I195)),AND($K195&lt;&gt;"",$K195&lt;MAX($H195:$J195))),"Avance semanal decreciente"&amp;" · ","")&amp;IF(AND(ISNUMBER($F195),$F195&lt;FechaRef,N($L195)&lt;1),"Vencida"&amp;" · ","")&amp;IF(AND(ObsObligatoria="Sí",ISNUMBER($F195),$F195&lt;FechaRef,N($L195)&lt;1,$N195=""),"Vencida sin observación"&amp;" · ",""))="","✔ OK","⚠ "&amp;LEFT(IF(AND($S195="Macro",$B195=""),"Macroactividad vacía"&amp;" · ","")&amp;IF(AND($B195&lt;&gt;"",$C195&lt;&gt;""),"Escriba la subactividad en otra fila, debajo de su macroactividad"&amp;" · ","")&amp;IF(AND($S195="Sub",N($R195)=0),"Subactividad sin macroactividad arriba"&amp;" · ","")&amp;IF($D195="","Sin responsable"&amp;" · ","")&amp;IF($E195="","Sin fecha de inicio"&amp;" · ","")&amp;IF($F195="","Sin fecha límite"&amp;" · ","")&amp;IF(OR(AND($E195&lt;&gt;"",NOT(ISNUMBER($E195))),AND($F195&lt;&gt;"",NOT(ISNUMBER($F195)))),"Fecha no válida"&amp;" · ","")&amp;IF(AND(ISNUMBER($E195),ISNUMBER($F195),$E195&gt;$F195),"Inicio posterior a fecha límite"&amp;" · ","")&amp;IF(AND($S195="Macro",$G195=""),"Peso vacío"&amp;" · ","")&amp;IF(AND($S195="Macro",$G195&lt;&gt;"",OR(NOT(ISNUMBER($G195)),$G195&lt;=0,$G195&gt;1)),"Peso fuera de rango"&amp;" · ","")&amp;IF(AND($S195="Sub",$G195&lt;&gt;""),"Las subactividades no llevan peso"&amp;" · ","")&amp;IF(AND($S195="Macro",ABS(SUMIFS($G$5:$G$1000,$P$5:$P$1000,$P195,$S$5:$S$1000,"Macro")-1)&gt;0.0001),"Pesos del mes suman "&amp;TEXT(SUMIFS($G$5:$G$1000,$P$5:$P$1000,$P195,$S$5:$S$1000,"Macro"),"0%")&amp;" · ","")&amp;IF(AND(N($T195)&gt;0,COUNT($H195:$K195)&gt;0),"Con subactividades: deje vacías las semanas (se calculan solas)"&amp;" · ","")&amp;IF((COUNTIF($H195:$K195,"&gt;1")+COUNTIF($H195:$K195,"&lt;0")+COUNTA($H195:$K195)-COUNT($H195:$K195))&gt;0,"Avance fuera de rango 0-100%"&amp;" · ","")&amp;IF(OR(AND($I195&lt;&gt;"",$I195&lt;$H195),AND($J195&lt;&gt;"",$J195&lt;MAX($H195:$I195)),AND($K195&lt;&gt;"",$K195&lt;MAX($H195:$J195))),"Avance semanal decreciente"&amp;" · ","")&amp;IF(AND(ISNUMBER($F195),$F195&lt;FechaRef,N($L195)&lt;1),"Vencida"&amp;" · ","")&amp;IF(AND(ObsObligatoria="Sí",ISNUMBER($F195),$F195&lt;FechaRef,N($L195)&lt;1,$N195=""),"Vencida sin observación"&amp;" · ",""),LEN(IF(AND($S195="Macro",$B195=""),"Macroactividad vacía"&amp;" · ","")&amp;IF(AND($B195&lt;&gt;"",$C195&lt;&gt;""),"Escriba la subactividad en otra fila, debajo de su macroactividad"&amp;" · ","")&amp;IF(AND($S195="Sub",N($R195)=0),"Subactividad sin macroactividad arriba"&amp;" · ","")&amp;IF($D195="","Sin responsable"&amp;" · ","")&amp;IF($E195="","Sin fecha de inicio"&amp;" · ","")&amp;IF($F195="","Sin fecha límite"&amp;" · ","")&amp;IF(OR(AND($E195&lt;&gt;"",NOT(ISNUMBER($E195))),AND($F195&lt;&gt;"",NOT(ISNUMBER($F195)))),"Fecha no válida"&amp;" · ","")&amp;IF(AND(ISNUMBER($E195),ISNUMBER($F195),$E195&gt;$F195),"Inicio posterior a fecha límite"&amp;" · ","")&amp;IF(AND($S195="Macro",$G195=""),"Peso vacío"&amp;" · ","")&amp;IF(AND($S195="Macro",$G195&lt;&gt;"",OR(NOT(ISNUMBER($G195)),$G195&lt;=0,$G195&gt;1)),"Peso fuera de rango"&amp;" · ","")&amp;IF(AND($S195="Sub",$G195&lt;&gt;""),"Las subactividades no llevan peso"&amp;" · ","")&amp;IF(AND($S195="Macro",ABS(SUMIFS($G$5:$G$1000,$P$5:$P$1000,$P195,$S$5:$S$1000,"Macro")-1)&gt;0.0001),"Pesos del mes suman "&amp;TEXT(SUMIFS($G$5:$G$1000,$P$5:$P$1000,$P195,$S$5:$S$1000,"Macro"),"0%")&amp;" · ","")&amp;IF(AND(N($T195)&gt;0,COUNT($H195:$K195)&gt;0),"Con subactividades: deje vacías las semanas (se calculan solas)"&amp;" · ","")&amp;IF((COUNTIF($H195:$K195,"&gt;1")+COUNTIF($H195:$K195,"&lt;0")+COUNTA($H195:$K195)-COUNT($H195:$K195))&gt;0,"Avance fuera de rango 0-100%"&amp;" · ","")&amp;IF(OR(AND($I195&lt;&gt;"",$I195&lt;$H195),AND($J195&lt;&gt;"",$J195&lt;MAX($H195:$I195)),AND($K195&lt;&gt;"",$K195&lt;MAX($H195:$J195))),"Avance semanal decreciente"&amp;" · ","")&amp;IF(AND(ISNUMBER($F195),$F195&lt;FechaRef,N($L195)&lt;1),"Vencida"&amp;" · ","")&amp;IF(AND(ObsObligatoria="Sí",ISNUMBER($F195),$F195&lt;FechaRef,N($L195)&lt;1,$N195=""),"Vencida sin observación"&amp;" · ",""))-3)))</f>
        <v/>
      </c>
      <c r="P195" s="69">
        <f>IF(NOT((COUNTA($B195:$K195)+COUNTA($N195))&gt;0),"",IF(AND($S195="Sub",N($R195)&gt;0),IF(ISNUMBER(INDEX($E$5:$E$1000,$R195-4)),DATE(YEAR(INDEX($E$5:$E$1000,$R195-4)),MONTH(INDEX($E$5:$E$1000,$R195-4)),1),IF(ISNUMBER(INDEX($F$5:$F$1000,$R195-4)),DATE(YEAR(INDEX($F$5:$F$1000,$R195-4)),MONTH(INDEX($F$5:$F$1000,$R195-4)),1),MesCiclo)),IF(ISNUMBER($E195),DATE(YEAR($E195),MONTH($E195),1),IF(ISNUMBER($F195),DATE(YEAR($F195),MONTH($F195),1),MesCiclo))))</f>
        <v/>
      </c>
      <c r="Q195" s="70">
        <f>IF(OR($P195="",$P195&lt;&gt;MesCiclo),"",COUNTIF($P$5:$P195,MesCiclo))</f>
        <v/>
      </c>
      <c r="R195" s="70">
        <f>IF($S195="","",IF($S195="Macro",ROW(),IFERROR(LOOKUP(2,1/($S$5:$S195="Macro"),ROW($S$5:$S195)),0)))</f>
        <v/>
      </c>
      <c r="S195" s="70">
        <f>IF(NOT((COUNTA($B195:$K195)+COUNTA($N195))&gt;0),"",IF($B195&lt;&gt;"","Macro",IF($C195&lt;&gt;"","Sub","Macro")))</f>
        <v/>
      </c>
      <c r="T195" s="70">
        <f>IF($S195="Macro",COUNTIFS($R$5:$R$1000,ROW(),$S$5:$S$1000,"Sub"),"")</f>
        <v/>
      </c>
      <c r="U195" s="70">
        <f>IF($S195="","",IF(ISNUMBER($H195),$H195,0))</f>
        <v/>
      </c>
      <c r="V195" s="70">
        <f>IF($S195="","",IF(ISNUMBER($I195),$I195,$U195))</f>
        <v/>
      </c>
      <c r="W195" s="70">
        <f>IF($S195="","",IF(ISNUMBER($J195),$J195,$V195))</f>
        <v/>
      </c>
      <c r="X195" s="70">
        <f>IF($S195="","",IF(ISNUMBER($K195),$K195,$W195))</f>
        <v/>
      </c>
      <c r="Y195" s="70">
        <f>IF($S195="","",IF(N($T195)&gt;0,AVERAGEIFS($U$5:$U$1000,$R$5:$R$1000,ROW(),$S$5:$S$1000,"Sub"),$U195))</f>
        <v/>
      </c>
      <c r="Z195" s="70">
        <f>IF($S195="","",IF(N($T195)&gt;0,AVERAGEIFS($V$5:$V$1000,$R$5:$R$1000,ROW(),$S$5:$S$1000,"Sub"),$V195))</f>
        <v/>
      </c>
      <c r="AA195" s="70">
        <f>IF($S195="","",IF(N($T195)&gt;0,AVERAGEIFS($W$5:$W$1000,$R$5:$R$1000,ROW(),$S$5:$S$1000,"Sub"),$W195))</f>
        <v/>
      </c>
      <c r="AB195" s="70">
        <f>IF($S195="","",IF(N($T195)&gt;0,AVERAGEIFS($X$5:$X$1000,$R$5:$R$1000,ROW(),$S$5:$S$1000,"Sub"),$X195))</f>
        <v/>
      </c>
    </row>
    <row r="196">
      <c r="A196" s="61">
        <f>IF(NOT((COUNTA($B196:$K196)+COUNTA($N196))&gt;0),"",IF($S196="Macro",COUNTIFS($S$5:$S196,"Macro",$P$5:$P196,$P196),IF(N($R196)=0,"?",COUNTIFS(INDEX($S$5:$S$1000,1):INDEX($S$5:$S$1000,$R196-4),"Macro",INDEX($P$5:$P$1000,1):INDEX($P$5:$P$1000,$R196-4),INDEX($P$5:$P$1000,$R196-4))&amp;"."&amp;COUNTIFS($R$5:$R196,$R196,$S$5:$S196,"Sub"))))</f>
        <v/>
      </c>
      <c r="B196" s="62" t="n"/>
      <c r="C196" s="63" t="n"/>
      <c r="D196" s="62" t="n"/>
      <c r="E196" s="64" t="n"/>
      <c r="F196" s="64" t="n"/>
      <c r="G196" s="65" t="n"/>
      <c r="H196" s="66" t="n"/>
      <c r="I196" s="66" t="n"/>
      <c r="J196" s="66" t="n"/>
      <c r="K196" s="66" t="n"/>
      <c r="L196" s="67">
        <f>IF(NOT((COUNTA($B196:$K196)+COUNTA($N196))&gt;0),"",IF(N($T196)&gt;0,$AB196,IFERROR(LOOKUP(2,1/(H196:K196&lt;&gt;""),H196:K196),0)))</f>
        <v/>
      </c>
      <c r="M196" s="61">
        <f>IF(L196="","",IF(L196&gt;=1,"Completado",IF(L196&gt;0,"En curso","Pendiente")))</f>
        <v/>
      </c>
      <c r="N196" s="62" t="n"/>
      <c r="O196" s="68">
        <f>IF(NOT((COUNTA($B196:$K196)+COUNTA($N196))&gt;0),"",IF((IF(AND($S196="Macro",$B196=""),"Macroactividad vacía"&amp;" · ","")&amp;IF(AND($B196&lt;&gt;"",$C196&lt;&gt;""),"Escriba la subactividad en otra fila, debajo de su macroactividad"&amp;" · ","")&amp;IF(AND($S196="Sub",N($R196)=0),"Subactividad sin macroactividad arriba"&amp;" · ","")&amp;IF($D196="","Sin responsable"&amp;" · ","")&amp;IF($E196="","Sin fecha de inicio"&amp;" · ","")&amp;IF($F196="","Sin fecha límite"&amp;" · ","")&amp;IF(OR(AND($E196&lt;&gt;"",NOT(ISNUMBER($E196))),AND($F196&lt;&gt;"",NOT(ISNUMBER($F196)))),"Fecha no válida"&amp;" · ","")&amp;IF(AND(ISNUMBER($E196),ISNUMBER($F196),$E196&gt;$F196),"Inicio posterior a fecha límite"&amp;" · ","")&amp;IF(AND($S196="Macro",$G196=""),"Peso vacío"&amp;" · ","")&amp;IF(AND($S196="Macro",$G196&lt;&gt;"",OR(NOT(ISNUMBER($G196)),$G196&lt;=0,$G196&gt;1)),"Peso fuera de rango"&amp;" · ","")&amp;IF(AND($S196="Sub",$G196&lt;&gt;""),"Las subactividades no llevan peso"&amp;" · ","")&amp;IF(AND($S196="Macro",ABS(SUMIFS($G$5:$G$1000,$P$5:$P$1000,$P196,$S$5:$S$1000,"Macro")-1)&gt;0.0001),"Pesos del mes suman "&amp;TEXT(SUMIFS($G$5:$G$1000,$P$5:$P$1000,$P196,$S$5:$S$1000,"Macro"),"0%")&amp;" · ","")&amp;IF(AND(N($T196)&gt;0,COUNT($H196:$K196)&gt;0),"Con subactividades: deje vacías las semanas (se calculan solas)"&amp;" · ","")&amp;IF((COUNTIF($H196:$K196,"&gt;1")+COUNTIF($H196:$K196,"&lt;0")+COUNTA($H196:$K196)-COUNT($H196:$K196))&gt;0,"Avance fuera de rango 0-100%"&amp;" · ","")&amp;IF(OR(AND($I196&lt;&gt;"",$I196&lt;$H196),AND($J196&lt;&gt;"",$J196&lt;MAX($H196:$I196)),AND($K196&lt;&gt;"",$K196&lt;MAX($H196:$J196))),"Avance semanal decreciente"&amp;" · ","")&amp;IF(AND(ISNUMBER($F196),$F196&lt;FechaRef,N($L196)&lt;1),"Vencida"&amp;" · ","")&amp;IF(AND(ObsObligatoria="Sí",ISNUMBER($F196),$F196&lt;FechaRef,N($L196)&lt;1,$N196=""),"Vencida sin observación"&amp;" · ",""))="","✔ OK","⚠ "&amp;LEFT(IF(AND($S196="Macro",$B196=""),"Macroactividad vacía"&amp;" · ","")&amp;IF(AND($B196&lt;&gt;"",$C196&lt;&gt;""),"Escriba la subactividad en otra fila, debajo de su macroactividad"&amp;" · ","")&amp;IF(AND($S196="Sub",N($R196)=0),"Subactividad sin macroactividad arriba"&amp;" · ","")&amp;IF($D196="","Sin responsable"&amp;" · ","")&amp;IF($E196="","Sin fecha de inicio"&amp;" · ","")&amp;IF($F196="","Sin fecha límite"&amp;" · ","")&amp;IF(OR(AND($E196&lt;&gt;"",NOT(ISNUMBER($E196))),AND($F196&lt;&gt;"",NOT(ISNUMBER($F196)))),"Fecha no válida"&amp;" · ","")&amp;IF(AND(ISNUMBER($E196),ISNUMBER($F196),$E196&gt;$F196),"Inicio posterior a fecha límite"&amp;" · ","")&amp;IF(AND($S196="Macro",$G196=""),"Peso vacío"&amp;" · ","")&amp;IF(AND($S196="Macro",$G196&lt;&gt;"",OR(NOT(ISNUMBER($G196)),$G196&lt;=0,$G196&gt;1)),"Peso fuera de rango"&amp;" · ","")&amp;IF(AND($S196="Sub",$G196&lt;&gt;""),"Las subactividades no llevan peso"&amp;" · ","")&amp;IF(AND($S196="Macro",ABS(SUMIFS($G$5:$G$1000,$P$5:$P$1000,$P196,$S$5:$S$1000,"Macro")-1)&gt;0.0001),"Pesos del mes suman "&amp;TEXT(SUMIFS($G$5:$G$1000,$P$5:$P$1000,$P196,$S$5:$S$1000,"Macro"),"0%")&amp;" · ","")&amp;IF(AND(N($T196)&gt;0,COUNT($H196:$K196)&gt;0),"Con subactividades: deje vacías las semanas (se calculan solas)"&amp;" · ","")&amp;IF((COUNTIF($H196:$K196,"&gt;1")+COUNTIF($H196:$K196,"&lt;0")+COUNTA($H196:$K196)-COUNT($H196:$K196))&gt;0,"Avance fuera de rango 0-100%"&amp;" · ","")&amp;IF(OR(AND($I196&lt;&gt;"",$I196&lt;$H196),AND($J196&lt;&gt;"",$J196&lt;MAX($H196:$I196)),AND($K196&lt;&gt;"",$K196&lt;MAX($H196:$J196))),"Avance semanal decreciente"&amp;" · ","")&amp;IF(AND(ISNUMBER($F196),$F196&lt;FechaRef,N($L196)&lt;1),"Vencida"&amp;" · ","")&amp;IF(AND(ObsObligatoria="Sí",ISNUMBER($F196),$F196&lt;FechaRef,N($L196)&lt;1,$N196=""),"Vencida sin observación"&amp;" · ",""),LEN(IF(AND($S196="Macro",$B196=""),"Macroactividad vacía"&amp;" · ","")&amp;IF(AND($B196&lt;&gt;"",$C196&lt;&gt;""),"Escriba la subactividad en otra fila, debajo de su macroactividad"&amp;" · ","")&amp;IF(AND($S196="Sub",N($R196)=0),"Subactividad sin macroactividad arriba"&amp;" · ","")&amp;IF($D196="","Sin responsable"&amp;" · ","")&amp;IF($E196="","Sin fecha de inicio"&amp;" · ","")&amp;IF($F196="","Sin fecha límite"&amp;" · ","")&amp;IF(OR(AND($E196&lt;&gt;"",NOT(ISNUMBER($E196))),AND($F196&lt;&gt;"",NOT(ISNUMBER($F196)))),"Fecha no válida"&amp;" · ","")&amp;IF(AND(ISNUMBER($E196),ISNUMBER($F196),$E196&gt;$F196),"Inicio posterior a fecha límite"&amp;" · ","")&amp;IF(AND($S196="Macro",$G196=""),"Peso vacío"&amp;" · ","")&amp;IF(AND($S196="Macro",$G196&lt;&gt;"",OR(NOT(ISNUMBER($G196)),$G196&lt;=0,$G196&gt;1)),"Peso fuera de rango"&amp;" · ","")&amp;IF(AND($S196="Sub",$G196&lt;&gt;""),"Las subactividades no llevan peso"&amp;" · ","")&amp;IF(AND($S196="Macro",ABS(SUMIFS($G$5:$G$1000,$P$5:$P$1000,$P196,$S$5:$S$1000,"Macro")-1)&gt;0.0001),"Pesos del mes suman "&amp;TEXT(SUMIFS($G$5:$G$1000,$P$5:$P$1000,$P196,$S$5:$S$1000,"Macro"),"0%")&amp;" · ","")&amp;IF(AND(N($T196)&gt;0,COUNT($H196:$K196)&gt;0),"Con subactividades: deje vacías las semanas (se calculan solas)"&amp;" · ","")&amp;IF((COUNTIF($H196:$K196,"&gt;1")+COUNTIF($H196:$K196,"&lt;0")+COUNTA($H196:$K196)-COUNT($H196:$K196))&gt;0,"Avance fuera de rango 0-100%"&amp;" · ","")&amp;IF(OR(AND($I196&lt;&gt;"",$I196&lt;$H196),AND($J196&lt;&gt;"",$J196&lt;MAX($H196:$I196)),AND($K196&lt;&gt;"",$K196&lt;MAX($H196:$J196))),"Avance semanal decreciente"&amp;" · ","")&amp;IF(AND(ISNUMBER($F196),$F196&lt;FechaRef,N($L196)&lt;1),"Vencida"&amp;" · ","")&amp;IF(AND(ObsObligatoria="Sí",ISNUMBER($F196),$F196&lt;FechaRef,N($L196)&lt;1,$N196=""),"Vencida sin observación"&amp;" · ",""))-3)))</f>
        <v/>
      </c>
      <c r="P196" s="69">
        <f>IF(NOT((COUNTA($B196:$K196)+COUNTA($N196))&gt;0),"",IF(AND($S196="Sub",N($R196)&gt;0),IF(ISNUMBER(INDEX($E$5:$E$1000,$R196-4)),DATE(YEAR(INDEX($E$5:$E$1000,$R196-4)),MONTH(INDEX($E$5:$E$1000,$R196-4)),1),IF(ISNUMBER(INDEX($F$5:$F$1000,$R196-4)),DATE(YEAR(INDEX($F$5:$F$1000,$R196-4)),MONTH(INDEX($F$5:$F$1000,$R196-4)),1),MesCiclo)),IF(ISNUMBER($E196),DATE(YEAR($E196),MONTH($E196),1),IF(ISNUMBER($F196),DATE(YEAR($F196),MONTH($F196),1),MesCiclo))))</f>
        <v/>
      </c>
      <c r="Q196" s="70">
        <f>IF(OR($P196="",$P196&lt;&gt;MesCiclo),"",COUNTIF($P$5:$P196,MesCiclo))</f>
        <v/>
      </c>
      <c r="R196" s="70">
        <f>IF($S196="","",IF($S196="Macro",ROW(),IFERROR(LOOKUP(2,1/($S$5:$S196="Macro"),ROW($S$5:$S196)),0)))</f>
        <v/>
      </c>
      <c r="S196" s="70">
        <f>IF(NOT((COUNTA($B196:$K196)+COUNTA($N196))&gt;0),"",IF($B196&lt;&gt;"","Macro",IF($C196&lt;&gt;"","Sub","Macro")))</f>
        <v/>
      </c>
      <c r="T196" s="70">
        <f>IF($S196="Macro",COUNTIFS($R$5:$R$1000,ROW(),$S$5:$S$1000,"Sub"),"")</f>
        <v/>
      </c>
      <c r="U196" s="70">
        <f>IF($S196="","",IF(ISNUMBER($H196),$H196,0))</f>
        <v/>
      </c>
      <c r="V196" s="70">
        <f>IF($S196="","",IF(ISNUMBER($I196),$I196,$U196))</f>
        <v/>
      </c>
      <c r="W196" s="70">
        <f>IF($S196="","",IF(ISNUMBER($J196),$J196,$V196))</f>
        <v/>
      </c>
      <c r="X196" s="70">
        <f>IF($S196="","",IF(ISNUMBER($K196),$K196,$W196))</f>
        <v/>
      </c>
      <c r="Y196" s="70">
        <f>IF($S196="","",IF(N($T196)&gt;0,AVERAGEIFS($U$5:$U$1000,$R$5:$R$1000,ROW(),$S$5:$S$1000,"Sub"),$U196))</f>
        <v/>
      </c>
      <c r="Z196" s="70">
        <f>IF($S196="","",IF(N($T196)&gt;0,AVERAGEIFS($V$5:$V$1000,$R$5:$R$1000,ROW(),$S$5:$S$1000,"Sub"),$V196))</f>
        <v/>
      </c>
      <c r="AA196" s="70">
        <f>IF($S196="","",IF(N($T196)&gt;0,AVERAGEIFS($W$5:$W$1000,$R$5:$R$1000,ROW(),$S$5:$S$1000,"Sub"),$W196))</f>
        <v/>
      </c>
      <c r="AB196" s="70">
        <f>IF($S196="","",IF(N($T196)&gt;0,AVERAGEIFS($X$5:$X$1000,$R$5:$R$1000,ROW(),$S$5:$S$1000,"Sub"),$X196))</f>
        <v/>
      </c>
    </row>
    <row r="197">
      <c r="A197" s="61">
        <f>IF(NOT((COUNTA($B197:$K197)+COUNTA($N197))&gt;0),"",IF($S197="Macro",COUNTIFS($S$5:$S197,"Macro",$P$5:$P197,$P197),IF(N($R197)=0,"?",COUNTIFS(INDEX($S$5:$S$1000,1):INDEX($S$5:$S$1000,$R197-4),"Macro",INDEX($P$5:$P$1000,1):INDEX($P$5:$P$1000,$R197-4),INDEX($P$5:$P$1000,$R197-4))&amp;"."&amp;COUNTIFS($R$5:$R197,$R197,$S$5:$S197,"Sub"))))</f>
        <v/>
      </c>
      <c r="B197" s="62" t="n"/>
      <c r="C197" s="63" t="n"/>
      <c r="D197" s="62" t="n"/>
      <c r="E197" s="64" t="n"/>
      <c r="F197" s="64" t="n"/>
      <c r="G197" s="65" t="n"/>
      <c r="H197" s="66" t="n"/>
      <c r="I197" s="66" t="n"/>
      <c r="J197" s="66" t="n"/>
      <c r="K197" s="66" t="n"/>
      <c r="L197" s="67">
        <f>IF(NOT((COUNTA($B197:$K197)+COUNTA($N197))&gt;0),"",IF(N($T197)&gt;0,$AB197,IFERROR(LOOKUP(2,1/(H197:K197&lt;&gt;""),H197:K197),0)))</f>
        <v/>
      </c>
      <c r="M197" s="61">
        <f>IF(L197="","",IF(L197&gt;=1,"Completado",IF(L197&gt;0,"En curso","Pendiente")))</f>
        <v/>
      </c>
      <c r="N197" s="62" t="n"/>
      <c r="O197" s="68">
        <f>IF(NOT((COUNTA($B197:$K197)+COUNTA($N197))&gt;0),"",IF((IF(AND($S197="Macro",$B197=""),"Macroactividad vacía"&amp;" · ","")&amp;IF(AND($B197&lt;&gt;"",$C197&lt;&gt;""),"Escriba la subactividad en otra fila, debajo de su macroactividad"&amp;" · ","")&amp;IF(AND($S197="Sub",N($R197)=0),"Subactividad sin macroactividad arriba"&amp;" · ","")&amp;IF($D197="","Sin responsable"&amp;" · ","")&amp;IF($E197="","Sin fecha de inicio"&amp;" · ","")&amp;IF($F197="","Sin fecha límite"&amp;" · ","")&amp;IF(OR(AND($E197&lt;&gt;"",NOT(ISNUMBER($E197))),AND($F197&lt;&gt;"",NOT(ISNUMBER($F197)))),"Fecha no válida"&amp;" · ","")&amp;IF(AND(ISNUMBER($E197),ISNUMBER($F197),$E197&gt;$F197),"Inicio posterior a fecha límite"&amp;" · ","")&amp;IF(AND($S197="Macro",$G197=""),"Peso vacío"&amp;" · ","")&amp;IF(AND($S197="Macro",$G197&lt;&gt;"",OR(NOT(ISNUMBER($G197)),$G197&lt;=0,$G197&gt;1)),"Peso fuera de rango"&amp;" · ","")&amp;IF(AND($S197="Sub",$G197&lt;&gt;""),"Las subactividades no llevan peso"&amp;" · ","")&amp;IF(AND($S197="Macro",ABS(SUMIFS($G$5:$G$1000,$P$5:$P$1000,$P197,$S$5:$S$1000,"Macro")-1)&gt;0.0001),"Pesos del mes suman "&amp;TEXT(SUMIFS($G$5:$G$1000,$P$5:$P$1000,$P197,$S$5:$S$1000,"Macro"),"0%")&amp;" · ","")&amp;IF(AND(N($T197)&gt;0,COUNT($H197:$K197)&gt;0),"Con subactividades: deje vacías las semanas (se calculan solas)"&amp;" · ","")&amp;IF((COUNTIF($H197:$K197,"&gt;1")+COUNTIF($H197:$K197,"&lt;0")+COUNTA($H197:$K197)-COUNT($H197:$K197))&gt;0,"Avance fuera de rango 0-100%"&amp;" · ","")&amp;IF(OR(AND($I197&lt;&gt;"",$I197&lt;$H197),AND($J197&lt;&gt;"",$J197&lt;MAX($H197:$I197)),AND($K197&lt;&gt;"",$K197&lt;MAX($H197:$J197))),"Avance semanal decreciente"&amp;" · ","")&amp;IF(AND(ISNUMBER($F197),$F197&lt;FechaRef,N($L197)&lt;1),"Vencida"&amp;" · ","")&amp;IF(AND(ObsObligatoria="Sí",ISNUMBER($F197),$F197&lt;FechaRef,N($L197)&lt;1,$N197=""),"Vencida sin observación"&amp;" · ",""))="","✔ OK","⚠ "&amp;LEFT(IF(AND($S197="Macro",$B197=""),"Macroactividad vacía"&amp;" · ","")&amp;IF(AND($B197&lt;&gt;"",$C197&lt;&gt;""),"Escriba la subactividad en otra fila, debajo de su macroactividad"&amp;" · ","")&amp;IF(AND($S197="Sub",N($R197)=0),"Subactividad sin macroactividad arriba"&amp;" · ","")&amp;IF($D197="","Sin responsable"&amp;" · ","")&amp;IF($E197="","Sin fecha de inicio"&amp;" · ","")&amp;IF($F197="","Sin fecha límite"&amp;" · ","")&amp;IF(OR(AND($E197&lt;&gt;"",NOT(ISNUMBER($E197))),AND($F197&lt;&gt;"",NOT(ISNUMBER($F197)))),"Fecha no válida"&amp;" · ","")&amp;IF(AND(ISNUMBER($E197),ISNUMBER($F197),$E197&gt;$F197),"Inicio posterior a fecha límite"&amp;" · ","")&amp;IF(AND($S197="Macro",$G197=""),"Peso vacío"&amp;" · ","")&amp;IF(AND($S197="Macro",$G197&lt;&gt;"",OR(NOT(ISNUMBER($G197)),$G197&lt;=0,$G197&gt;1)),"Peso fuera de rango"&amp;" · ","")&amp;IF(AND($S197="Sub",$G197&lt;&gt;""),"Las subactividades no llevan peso"&amp;" · ","")&amp;IF(AND($S197="Macro",ABS(SUMIFS($G$5:$G$1000,$P$5:$P$1000,$P197,$S$5:$S$1000,"Macro")-1)&gt;0.0001),"Pesos del mes suman "&amp;TEXT(SUMIFS($G$5:$G$1000,$P$5:$P$1000,$P197,$S$5:$S$1000,"Macro"),"0%")&amp;" · ","")&amp;IF(AND(N($T197)&gt;0,COUNT($H197:$K197)&gt;0),"Con subactividades: deje vacías las semanas (se calculan solas)"&amp;" · ","")&amp;IF((COUNTIF($H197:$K197,"&gt;1")+COUNTIF($H197:$K197,"&lt;0")+COUNTA($H197:$K197)-COUNT($H197:$K197))&gt;0,"Avance fuera de rango 0-100%"&amp;" · ","")&amp;IF(OR(AND($I197&lt;&gt;"",$I197&lt;$H197),AND($J197&lt;&gt;"",$J197&lt;MAX($H197:$I197)),AND($K197&lt;&gt;"",$K197&lt;MAX($H197:$J197))),"Avance semanal decreciente"&amp;" · ","")&amp;IF(AND(ISNUMBER($F197),$F197&lt;FechaRef,N($L197)&lt;1),"Vencida"&amp;" · ","")&amp;IF(AND(ObsObligatoria="Sí",ISNUMBER($F197),$F197&lt;FechaRef,N($L197)&lt;1,$N197=""),"Vencida sin observación"&amp;" · ",""),LEN(IF(AND($S197="Macro",$B197=""),"Macroactividad vacía"&amp;" · ","")&amp;IF(AND($B197&lt;&gt;"",$C197&lt;&gt;""),"Escriba la subactividad en otra fila, debajo de su macroactividad"&amp;" · ","")&amp;IF(AND($S197="Sub",N($R197)=0),"Subactividad sin macroactividad arriba"&amp;" · ","")&amp;IF($D197="","Sin responsable"&amp;" · ","")&amp;IF($E197="","Sin fecha de inicio"&amp;" · ","")&amp;IF($F197="","Sin fecha límite"&amp;" · ","")&amp;IF(OR(AND($E197&lt;&gt;"",NOT(ISNUMBER($E197))),AND($F197&lt;&gt;"",NOT(ISNUMBER($F197)))),"Fecha no válida"&amp;" · ","")&amp;IF(AND(ISNUMBER($E197),ISNUMBER($F197),$E197&gt;$F197),"Inicio posterior a fecha límite"&amp;" · ","")&amp;IF(AND($S197="Macro",$G197=""),"Peso vacío"&amp;" · ","")&amp;IF(AND($S197="Macro",$G197&lt;&gt;"",OR(NOT(ISNUMBER($G197)),$G197&lt;=0,$G197&gt;1)),"Peso fuera de rango"&amp;" · ","")&amp;IF(AND($S197="Sub",$G197&lt;&gt;""),"Las subactividades no llevan peso"&amp;" · ","")&amp;IF(AND($S197="Macro",ABS(SUMIFS($G$5:$G$1000,$P$5:$P$1000,$P197,$S$5:$S$1000,"Macro")-1)&gt;0.0001),"Pesos del mes suman "&amp;TEXT(SUMIFS($G$5:$G$1000,$P$5:$P$1000,$P197,$S$5:$S$1000,"Macro"),"0%")&amp;" · ","")&amp;IF(AND(N($T197)&gt;0,COUNT($H197:$K197)&gt;0),"Con subactividades: deje vacías las semanas (se calculan solas)"&amp;" · ","")&amp;IF((COUNTIF($H197:$K197,"&gt;1")+COUNTIF($H197:$K197,"&lt;0")+COUNTA($H197:$K197)-COUNT($H197:$K197))&gt;0,"Avance fuera de rango 0-100%"&amp;" · ","")&amp;IF(OR(AND($I197&lt;&gt;"",$I197&lt;$H197),AND($J197&lt;&gt;"",$J197&lt;MAX($H197:$I197)),AND($K197&lt;&gt;"",$K197&lt;MAX($H197:$J197))),"Avance semanal decreciente"&amp;" · ","")&amp;IF(AND(ISNUMBER($F197),$F197&lt;FechaRef,N($L197)&lt;1),"Vencida"&amp;" · ","")&amp;IF(AND(ObsObligatoria="Sí",ISNUMBER($F197),$F197&lt;FechaRef,N($L197)&lt;1,$N197=""),"Vencida sin observación"&amp;" · ",""))-3)))</f>
        <v/>
      </c>
      <c r="P197" s="69">
        <f>IF(NOT((COUNTA($B197:$K197)+COUNTA($N197))&gt;0),"",IF(AND($S197="Sub",N($R197)&gt;0),IF(ISNUMBER(INDEX($E$5:$E$1000,$R197-4)),DATE(YEAR(INDEX($E$5:$E$1000,$R197-4)),MONTH(INDEX($E$5:$E$1000,$R197-4)),1),IF(ISNUMBER(INDEX($F$5:$F$1000,$R197-4)),DATE(YEAR(INDEX($F$5:$F$1000,$R197-4)),MONTH(INDEX($F$5:$F$1000,$R197-4)),1),MesCiclo)),IF(ISNUMBER($E197),DATE(YEAR($E197),MONTH($E197),1),IF(ISNUMBER($F197),DATE(YEAR($F197),MONTH($F197),1),MesCiclo))))</f>
        <v/>
      </c>
      <c r="Q197" s="70">
        <f>IF(OR($P197="",$P197&lt;&gt;MesCiclo),"",COUNTIF($P$5:$P197,MesCiclo))</f>
        <v/>
      </c>
      <c r="R197" s="70">
        <f>IF($S197="","",IF($S197="Macro",ROW(),IFERROR(LOOKUP(2,1/($S$5:$S197="Macro"),ROW($S$5:$S197)),0)))</f>
        <v/>
      </c>
      <c r="S197" s="70">
        <f>IF(NOT((COUNTA($B197:$K197)+COUNTA($N197))&gt;0),"",IF($B197&lt;&gt;"","Macro",IF($C197&lt;&gt;"","Sub","Macro")))</f>
        <v/>
      </c>
      <c r="T197" s="70">
        <f>IF($S197="Macro",COUNTIFS($R$5:$R$1000,ROW(),$S$5:$S$1000,"Sub"),"")</f>
        <v/>
      </c>
      <c r="U197" s="70">
        <f>IF($S197="","",IF(ISNUMBER($H197),$H197,0))</f>
        <v/>
      </c>
      <c r="V197" s="70">
        <f>IF($S197="","",IF(ISNUMBER($I197),$I197,$U197))</f>
        <v/>
      </c>
      <c r="W197" s="70">
        <f>IF($S197="","",IF(ISNUMBER($J197),$J197,$V197))</f>
        <v/>
      </c>
      <c r="X197" s="70">
        <f>IF($S197="","",IF(ISNUMBER($K197),$K197,$W197))</f>
        <v/>
      </c>
      <c r="Y197" s="70">
        <f>IF($S197="","",IF(N($T197)&gt;0,AVERAGEIFS($U$5:$U$1000,$R$5:$R$1000,ROW(),$S$5:$S$1000,"Sub"),$U197))</f>
        <v/>
      </c>
      <c r="Z197" s="70">
        <f>IF($S197="","",IF(N($T197)&gt;0,AVERAGEIFS($V$5:$V$1000,$R$5:$R$1000,ROW(),$S$5:$S$1000,"Sub"),$V197))</f>
        <v/>
      </c>
      <c r="AA197" s="70">
        <f>IF($S197="","",IF(N($T197)&gt;0,AVERAGEIFS($W$5:$W$1000,$R$5:$R$1000,ROW(),$S$5:$S$1000,"Sub"),$W197))</f>
        <v/>
      </c>
      <c r="AB197" s="70">
        <f>IF($S197="","",IF(N($T197)&gt;0,AVERAGEIFS($X$5:$X$1000,$R$5:$R$1000,ROW(),$S$5:$S$1000,"Sub"),$X197))</f>
        <v/>
      </c>
    </row>
    <row r="198">
      <c r="A198" s="61">
        <f>IF(NOT((COUNTA($B198:$K198)+COUNTA($N198))&gt;0),"",IF($S198="Macro",COUNTIFS($S$5:$S198,"Macro",$P$5:$P198,$P198),IF(N($R198)=0,"?",COUNTIFS(INDEX($S$5:$S$1000,1):INDEX($S$5:$S$1000,$R198-4),"Macro",INDEX($P$5:$P$1000,1):INDEX($P$5:$P$1000,$R198-4),INDEX($P$5:$P$1000,$R198-4))&amp;"."&amp;COUNTIFS($R$5:$R198,$R198,$S$5:$S198,"Sub"))))</f>
        <v/>
      </c>
      <c r="B198" s="62" t="n"/>
      <c r="C198" s="63" t="n"/>
      <c r="D198" s="62" t="n"/>
      <c r="E198" s="64" t="n"/>
      <c r="F198" s="64" t="n"/>
      <c r="G198" s="65" t="n"/>
      <c r="H198" s="66" t="n"/>
      <c r="I198" s="66" t="n"/>
      <c r="J198" s="66" t="n"/>
      <c r="K198" s="66" t="n"/>
      <c r="L198" s="67">
        <f>IF(NOT((COUNTA($B198:$K198)+COUNTA($N198))&gt;0),"",IF(N($T198)&gt;0,$AB198,IFERROR(LOOKUP(2,1/(H198:K198&lt;&gt;""),H198:K198),0)))</f>
        <v/>
      </c>
      <c r="M198" s="61">
        <f>IF(L198="","",IF(L198&gt;=1,"Completado",IF(L198&gt;0,"En curso","Pendiente")))</f>
        <v/>
      </c>
      <c r="N198" s="62" t="n"/>
      <c r="O198" s="68">
        <f>IF(NOT((COUNTA($B198:$K198)+COUNTA($N198))&gt;0),"",IF((IF(AND($S198="Macro",$B198=""),"Macroactividad vacía"&amp;" · ","")&amp;IF(AND($B198&lt;&gt;"",$C198&lt;&gt;""),"Escriba la subactividad en otra fila, debajo de su macroactividad"&amp;" · ","")&amp;IF(AND($S198="Sub",N($R198)=0),"Subactividad sin macroactividad arriba"&amp;" · ","")&amp;IF($D198="","Sin responsable"&amp;" · ","")&amp;IF($E198="","Sin fecha de inicio"&amp;" · ","")&amp;IF($F198="","Sin fecha límite"&amp;" · ","")&amp;IF(OR(AND($E198&lt;&gt;"",NOT(ISNUMBER($E198))),AND($F198&lt;&gt;"",NOT(ISNUMBER($F198)))),"Fecha no válida"&amp;" · ","")&amp;IF(AND(ISNUMBER($E198),ISNUMBER($F198),$E198&gt;$F198),"Inicio posterior a fecha límite"&amp;" · ","")&amp;IF(AND($S198="Macro",$G198=""),"Peso vacío"&amp;" · ","")&amp;IF(AND($S198="Macro",$G198&lt;&gt;"",OR(NOT(ISNUMBER($G198)),$G198&lt;=0,$G198&gt;1)),"Peso fuera de rango"&amp;" · ","")&amp;IF(AND($S198="Sub",$G198&lt;&gt;""),"Las subactividades no llevan peso"&amp;" · ","")&amp;IF(AND($S198="Macro",ABS(SUMIFS($G$5:$G$1000,$P$5:$P$1000,$P198,$S$5:$S$1000,"Macro")-1)&gt;0.0001),"Pesos del mes suman "&amp;TEXT(SUMIFS($G$5:$G$1000,$P$5:$P$1000,$P198,$S$5:$S$1000,"Macro"),"0%")&amp;" · ","")&amp;IF(AND(N($T198)&gt;0,COUNT($H198:$K198)&gt;0),"Con subactividades: deje vacías las semanas (se calculan solas)"&amp;" · ","")&amp;IF((COUNTIF($H198:$K198,"&gt;1")+COUNTIF($H198:$K198,"&lt;0")+COUNTA($H198:$K198)-COUNT($H198:$K198))&gt;0,"Avance fuera de rango 0-100%"&amp;" · ","")&amp;IF(OR(AND($I198&lt;&gt;"",$I198&lt;$H198),AND($J198&lt;&gt;"",$J198&lt;MAX($H198:$I198)),AND($K198&lt;&gt;"",$K198&lt;MAX($H198:$J198))),"Avance semanal decreciente"&amp;" · ","")&amp;IF(AND(ISNUMBER($F198),$F198&lt;FechaRef,N($L198)&lt;1),"Vencida"&amp;" · ","")&amp;IF(AND(ObsObligatoria="Sí",ISNUMBER($F198),$F198&lt;FechaRef,N($L198)&lt;1,$N198=""),"Vencida sin observación"&amp;" · ",""))="","✔ OK","⚠ "&amp;LEFT(IF(AND($S198="Macro",$B198=""),"Macroactividad vacía"&amp;" · ","")&amp;IF(AND($B198&lt;&gt;"",$C198&lt;&gt;""),"Escriba la subactividad en otra fila, debajo de su macroactividad"&amp;" · ","")&amp;IF(AND($S198="Sub",N($R198)=0),"Subactividad sin macroactividad arriba"&amp;" · ","")&amp;IF($D198="","Sin responsable"&amp;" · ","")&amp;IF($E198="","Sin fecha de inicio"&amp;" · ","")&amp;IF($F198="","Sin fecha límite"&amp;" · ","")&amp;IF(OR(AND($E198&lt;&gt;"",NOT(ISNUMBER($E198))),AND($F198&lt;&gt;"",NOT(ISNUMBER($F198)))),"Fecha no válida"&amp;" · ","")&amp;IF(AND(ISNUMBER($E198),ISNUMBER($F198),$E198&gt;$F198),"Inicio posterior a fecha límite"&amp;" · ","")&amp;IF(AND($S198="Macro",$G198=""),"Peso vacío"&amp;" · ","")&amp;IF(AND($S198="Macro",$G198&lt;&gt;"",OR(NOT(ISNUMBER($G198)),$G198&lt;=0,$G198&gt;1)),"Peso fuera de rango"&amp;" · ","")&amp;IF(AND($S198="Sub",$G198&lt;&gt;""),"Las subactividades no llevan peso"&amp;" · ","")&amp;IF(AND($S198="Macro",ABS(SUMIFS($G$5:$G$1000,$P$5:$P$1000,$P198,$S$5:$S$1000,"Macro")-1)&gt;0.0001),"Pesos del mes suman "&amp;TEXT(SUMIFS($G$5:$G$1000,$P$5:$P$1000,$P198,$S$5:$S$1000,"Macro"),"0%")&amp;" · ","")&amp;IF(AND(N($T198)&gt;0,COUNT($H198:$K198)&gt;0),"Con subactividades: deje vacías las semanas (se calculan solas)"&amp;" · ","")&amp;IF((COUNTIF($H198:$K198,"&gt;1")+COUNTIF($H198:$K198,"&lt;0")+COUNTA($H198:$K198)-COUNT($H198:$K198))&gt;0,"Avance fuera de rango 0-100%"&amp;" · ","")&amp;IF(OR(AND($I198&lt;&gt;"",$I198&lt;$H198),AND($J198&lt;&gt;"",$J198&lt;MAX($H198:$I198)),AND($K198&lt;&gt;"",$K198&lt;MAX($H198:$J198))),"Avance semanal decreciente"&amp;" · ","")&amp;IF(AND(ISNUMBER($F198),$F198&lt;FechaRef,N($L198)&lt;1),"Vencida"&amp;" · ","")&amp;IF(AND(ObsObligatoria="Sí",ISNUMBER($F198),$F198&lt;FechaRef,N($L198)&lt;1,$N198=""),"Vencida sin observación"&amp;" · ",""),LEN(IF(AND($S198="Macro",$B198=""),"Macroactividad vacía"&amp;" · ","")&amp;IF(AND($B198&lt;&gt;"",$C198&lt;&gt;""),"Escriba la subactividad en otra fila, debajo de su macroactividad"&amp;" · ","")&amp;IF(AND($S198="Sub",N($R198)=0),"Subactividad sin macroactividad arriba"&amp;" · ","")&amp;IF($D198="","Sin responsable"&amp;" · ","")&amp;IF($E198="","Sin fecha de inicio"&amp;" · ","")&amp;IF($F198="","Sin fecha límite"&amp;" · ","")&amp;IF(OR(AND($E198&lt;&gt;"",NOT(ISNUMBER($E198))),AND($F198&lt;&gt;"",NOT(ISNUMBER($F198)))),"Fecha no válida"&amp;" · ","")&amp;IF(AND(ISNUMBER($E198),ISNUMBER($F198),$E198&gt;$F198),"Inicio posterior a fecha límite"&amp;" · ","")&amp;IF(AND($S198="Macro",$G198=""),"Peso vacío"&amp;" · ","")&amp;IF(AND($S198="Macro",$G198&lt;&gt;"",OR(NOT(ISNUMBER($G198)),$G198&lt;=0,$G198&gt;1)),"Peso fuera de rango"&amp;" · ","")&amp;IF(AND($S198="Sub",$G198&lt;&gt;""),"Las subactividades no llevan peso"&amp;" · ","")&amp;IF(AND($S198="Macro",ABS(SUMIFS($G$5:$G$1000,$P$5:$P$1000,$P198,$S$5:$S$1000,"Macro")-1)&gt;0.0001),"Pesos del mes suman "&amp;TEXT(SUMIFS($G$5:$G$1000,$P$5:$P$1000,$P198,$S$5:$S$1000,"Macro"),"0%")&amp;" · ","")&amp;IF(AND(N($T198)&gt;0,COUNT($H198:$K198)&gt;0),"Con subactividades: deje vacías las semanas (se calculan solas)"&amp;" · ","")&amp;IF((COUNTIF($H198:$K198,"&gt;1")+COUNTIF($H198:$K198,"&lt;0")+COUNTA($H198:$K198)-COUNT($H198:$K198))&gt;0,"Avance fuera de rango 0-100%"&amp;" · ","")&amp;IF(OR(AND($I198&lt;&gt;"",$I198&lt;$H198),AND($J198&lt;&gt;"",$J198&lt;MAX($H198:$I198)),AND($K198&lt;&gt;"",$K198&lt;MAX($H198:$J198))),"Avance semanal decreciente"&amp;" · ","")&amp;IF(AND(ISNUMBER($F198),$F198&lt;FechaRef,N($L198)&lt;1),"Vencida"&amp;" · ","")&amp;IF(AND(ObsObligatoria="Sí",ISNUMBER($F198),$F198&lt;FechaRef,N($L198)&lt;1,$N198=""),"Vencida sin observación"&amp;" · ",""))-3)))</f>
        <v/>
      </c>
      <c r="P198" s="69">
        <f>IF(NOT((COUNTA($B198:$K198)+COUNTA($N198))&gt;0),"",IF(AND($S198="Sub",N($R198)&gt;0),IF(ISNUMBER(INDEX($E$5:$E$1000,$R198-4)),DATE(YEAR(INDEX($E$5:$E$1000,$R198-4)),MONTH(INDEX($E$5:$E$1000,$R198-4)),1),IF(ISNUMBER(INDEX($F$5:$F$1000,$R198-4)),DATE(YEAR(INDEX($F$5:$F$1000,$R198-4)),MONTH(INDEX($F$5:$F$1000,$R198-4)),1),MesCiclo)),IF(ISNUMBER($E198),DATE(YEAR($E198),MONTH($E198),1),IF(ISNUMBER($F198),DATE(YEAR($F198),MONTH($F198),1),MesCiclo))))</f>
        <v/>
      </c>
      <c r="Q198" s="70">
        <f>IF(OR($P198="",$P198&lt;&gt;MesCiclo),"",COUNTIF($P$5:$P198,MesCiclo))</f>
        <v/>
      </c>
      <c r="R198" s="70">
        <f>IF($S198="","",IF($S198="Macro",ROW(),IFERROR(LOOKUP(2,1/($S$5:$S198="Macro"),ROW($S$5:$S198)),0)))</f>
        <v/>
      </c>
      <c r="S198" s="70">
        <f>IF(NOT((COUNTA($B198:$K198)+COUNTA($N198))&gt;0),"",IF($B198&lt;&gt;"","Macro",IF($C198&lt;&gt;"","Sub","Macro")))</f>
        <v/>
      </c>
      <c r="T198" s="70">
        <f>IF($S198="Macro",COUNTIFS($R$5:$R$1000,ROW(),$S$5:$S$1000,"Sub"),"")</f>
        <v/>
      </c>
      <c r="U198" s="70">
        <f>IF($S198="","",IF(ISNUMBER($H198),$H198,0))</f>
        <v/>
      </c>
      <c r="V198" s="70">
        <f>IF($S198="","",IF(ISNUMBER($I198),$I198,$U198))</f>
        <v/>
      </c>
      <c r="W198" s="70">
        <f>IF($S198="","",IF(ISNUMBER($J198),$J198,$V198))</f>
        <v/>
      </c>
      <c r="X198" s="70">
        <f>IF($S198="","",IF(ISNUMBER($K198),$K198,$W198))</f>
        <v/>
      </c>
      <c r="Y198" s="70">
        <f>IF($S198="","",IF(N($T198)&gt;0,AVERAGEIFS($U$5:$U$1000,$R$5:$R$1000,ROW(),$S$5:$S$1000,"Sub"),$U198))</f>
        <v/>
      </c>
      <c r="Z198" s="70">
        <f>IF($S198="","",IF(N($T198)&gt;0,AVERAGEIFS($V$5:$V$1000,$R$5:$R$1000,ROW(),$S$5:$S$1000,"Sub"),$V198))</f>
        <v/>
      </c>
      <c r="AA198" s="70">
        <f>IF($S198="","",IF(N($T198)&gt;0,AVERAGEIFS($W$5:$W$1000,$R$5:$R$1000,ROW(),$S$5:$S$1000,"Sub"),$W198))</f>
        <v/>
      </c>
      <c r="AB198" s="70">
        <f>IF($S198="","",IF(N($T198)&gt;0,AVERAGEIFS($X$5:$X$1000,$R$5:$R$1000,ROW(),$S$5:$S$1000,"Sub"),$X198))</f>
        <v/>
      </c>
    </row>
    <row r="199">
      <c r="A199" s="61">
        <f>IF(NOT((COUNTA($B199:$K199)+COUNTA($N199))&gt;0),"",IF($S199="Macro",COUNTIFS($S$5:$S199,"Macro",$P$5:$P199,$P199),IF(N($R199)=0,"?",COUNTIFS(INDEX($S$5:$S$1000,1):INDEX($S$5:$S$1000,$R199-4),"Macro",INDEX($P$5:$P$1000,1):INDEX($P$5:$P$1000,$R199-4),INDEX($P$5:$P$1000,$R199-4))&amp;"."&amp;COUNTIFS($R$5:$R199,$R199,$S$5:$S199,"Sub"))))</f>
        <v/>
      </c>
      <c r="B199" s="62" t="n"/>
      <c r="C199" s="63" t="n"/>
      <c r="D199" s="62" t="n"/>
      <c r="E199" s="64" t="n"/>
      <c r="F199" s="64" t="n"/>
      <c r="G199" s="65" t="n"/>
      <c r="H199" s="66" t="n"/>
      <c r="I199" s="66" t="n"/>
      <c r="J199" s="66" t="n"/>
      <c r="K199" s="66" t="n"/>
      <c r="L199" s="67">
        <f>IF(NOT((COUNTA($B199:$K199)+COUNTA($N199))&gt;0),"",IF(N($T199)&gt;0,$AB199,IFERROR(LOOKUP(2,1/(H199:K199&lt;&gt;""),H199:K199),0)))</f>
        <v/>
      </c>
      <c r="M199" s="61">
        <f>IF(L199="","",IF(L199&gt;=1,"Completado",IF(L199&gt;0,"En curso","Pendiente")))</f>
        <v/>
      </c>
      <c r="N199" s="62" t="n"/>
      <c r="O199" s="68">
        <f>IF(NOT((COUNTA($B199:$K199)+COUNTA($N199))&gt;0),"",IF((IF(AND($S199="Macro",$B199=""),"Macroactividad vacía"&amp;" · ","")&amp;IF(AND($B199&lt;&gt;"",$C199&lt;&gt;""),"Escriba la subactividad en otra fila, debajo de su macroactividad"&amp;" · ","")&amp;IF(AND($S199="Sub",N($R199)=0),"Subactividad sin macroactividad arriba"&amp;" · ","")&amp;IF($D199="","Sin responsable"&amp;" · ","")&amp;IF($E199="","Sin fecha de inicio"&amp;" · ","")&amp;IF($F199="","Sin fecha límite"&amp;" · ","")&amp;IF(OR(AND($E199&lt;&gt;"",NOT(ISNUMBER($E199))),AND($F199&lt;&gt;"",NOT(ISNUMBER($F199)))),"Fecha no válida"&amp;" · ","")&amp;IF(AND(ISNUMBER($E199),ISNUMBER($F199),$E199&gt;$F199),"Inicio posterior a fecha límite"&amp;" · ","")&amp;IF(AND($S199="Macro",$G199=""),"Peso vacío"&amp;" · ","")&amp;IF(AND($S199="Macro",$G199&lt;&gt;"",OR(NOT(ISNUMBER($G199)),$G199&lt;=0,$G199&gt;1)),"Peso fuera de rango"&amp;" · ","")&amp;IF(AND($S199="Sub",$G199&lt;&gt;""),"Las subactividades no llevan peso"&amp;" · ","")&amp;IF(AND($S199="Macro",ABS(SUMIFS($G$5:$G$1000,$P$5:$P$1000,$P199,$S$5:$S$1000,"Macro")-1)&gt;0.0001),"Pesos del mes suman "&amp;TEXT(SUMIFS($G$5:$G$1000,$P$5:$P$1000,$P199,$S$5:$S$1000,"Macro"),"0%")&amp;" · ","")&amp;IF(AND(N($T199)&gt;0,COUNT($H199:$K199)&gt;0),"Con subactividades: deje vacías las semanas (se calculan solas)"&amp;" · ","")&amp;IF((COUNTIF($H199:$K199,"&gt;1")+COUNTIF($H199:$K199,"&lt;0")+COUNTA($H199:$K199)-COUNT($H199:$K199))&gt;0,"Avance fuera de rango 0-100%"&amp;" · ","")&amp;IF(OR(AND($I199&lt;&gt;"",$I199&lt;$H199),AND($J199&lt;&gt;"",$J199&lt;MAX($H199:$I199)),AND($K199&lt;&gt;"",$K199&lt;MAX($H199:$J199))),"Avance semanal decreciente"&amp;" · ","")&amp;IF(AND(ISNUMBER($F199),$F199&lt;FechaRef,N($L199)&lt;1),"Vencida"&amp;" · ","")&amp;IF(AND(ObsObligatoria="Sí",ISNUMBER($F199),$F199&lt;FechaRef,N($L199)&lt;1,$N199=""),"Vencida sin observación"&amp;" · ",""))="","✔ OK","⚠ "&amp;LEFT(IF(AND($S199="Macro",$B199=""),"Macroactividad vacía"&amp;" · ","")&amp;IF(AND($B199&lt;&gt;"",$C199&lt;&gt;""),"Escriba la subactividad en otra fila, debajo de su macroactividad"&amp;" · ","")&amp;IF(AND($S199="Sub",N($R199)=0),"Subactividad sin macroactividad arriba"&amp;" · ","")&amp;IF($D199="","Sin responsable"&amp;" · ","")&amp;IF($E199="","Sin fecha de inicio"&amp;" · ","")&amp;IF($F199="","Sin fecha límite"&amp;" · ","")&amp;IF(OR(AND($E199&lt;&gt;"",NOT(ISNUMBER($E199))),AND($F199&lt;&gt;"",NOT(ISNUMBER($F199)))),"Fecha no válida"&amp;" · ","")&amp;IF(AND(ISNUMBER($E199),ISNUMBER($F199),$E199&gt;$F199),"Inicio posterior a fecha límite"&amp;" · ","")&amp;IF(AND($S199="Macro",$G199=""),"Peso vacío"&amp;" · ","")&amp;IF(AND($S199="Macro",$G199&lt;&gt;"",OR(NOT(ISNUMBER($G199)),$G199&lt;=0,$G199&gt;1)),"Peso fuera de rango"&amp;" · ","")&amp;IF(AND($S199="Sub",$G199&lt;&gt;""),"Las subactividades no llevan peso"&amp;" · ","")&amp;IF(AND($S199="Macro",ABS(SUMIFS($G$5:$G$1000,$P$5:$P$1000,$P199,$S$5:$S$1000,"Macro")-1)&gt;0.0001),"Pesos del mes suman "&amp;TEXT(SUMIFS($G$5:$G$1000,$P$5:$P$1000,$P199,$S$5:$S$1000,"Macro"),"0%")&amp;" · ","")&amp;IF(AND(N($T199)&gt;0,COUNT($H199:$K199)&gt;0),"Con subactividades: deje vacías las semanas (se calculan solas)"&amp;" · ","")&amp;IF((COUNTIF($H199:$K199,"&gt;1")+COUNTIF($H199:$K199,"&lt;0")+COUNTA($H199:$K199)-COUNT($H199:$K199))&gt;0,"Avance fuera de rango 0-100%"&amp;" · ","")&amp;IF(OR(AND($I199&lt;&gt;"",$I199&lt;$H199),AND($J199&lt;&gt;"",$J199&lt;MAX($H199:$I199)),AND($K199&lt;&gt;"",$K199&lt;MAX($H199:$J199))),"Avance semanal decreciente"&amp;" · ","")&amp;IF(AND(ISNUMBER($F199),$F199&lt;FechaRef,N($L199)&lt;1),"Vencida"&amp;" · ","")&amp;IF(AND(ObsObligatoria="Sí",ISNUMBER($F199),$F199&lt;FechaRef,N($L199)&lt;1,$N199=""),"Vencida sin observación"&amp;" · ",""),LEN(IF(AND($S199="Macro",$B199=""),"Macroactividad vacía"&amp;" · ","")&amp;IF(AND($B199&lt;&gt;"",$C199&lt;&gt;""),"Escriba la subactividad en otra fila, debajo de su macroactividad"&amp;" · ","")&amp;IF(AND($S199="Sub",N($R199)=0),"Subactividad sin macroactividad arriba"&amp;" · ","")&amp;IF($D199="","Sin responsable"&amp;" · ","")&amp;IF($E199="","Sin fecha de inicio"&amp;" · ","")&amp;IF($F199="","Sin fecha límite"&amp;" · ","")&amp;IF(OR(AND($E199&lt;&gt;"",NOT(ISNUMBER($E199))),AND($F199&lt;&gt;"",NOT(ISNUMBER($F199)))),"Fecha no válida"&amp;" · ","")&amp;IF(AND(ISNUMBER($E199),ISNUMBER($F199),$E199&gt;$F199),"Inicio posterior a fecha límite"&amp;" · ","")&amp;IF(AND($S199="Macro",$G199=""),"Peso vacío"&amp;" · ","")&amp;IF(AND($S199="Macro",$G199&lt;&gt;"",OR(NOT(ISNUMBER($G199)),$G199&lt;=0,$G199&gt;1)),"Peso fuera de rango"&amp;" · ","")&amp;IF(AND($S199="Sub",$G199&lt;&gt;""),"Las subactividades no llevan peso"&amp;" · ","")&amp;IF(AND($S199="Macro",ABS(SUMIFS($G$5:$G$1000,$P$5:$P$1000,$P199,$S$5:$S$1000,"Macro")-1)&gt;0.0001),"Pesos del mes suman "&amp;TEXT(SUMIFS($G$5:$G$1000,$P$5:$P$1000,$P199,$S$5:$S$1000,"Macro"),"0%")&amp;" · ","")&amp;IF(AND(N($T199)&gt;0,COUNT($H199:$K199)&gt;0),"Con subactividades: deje vacías las semanas (se calculan solas)"&amp;" · ","")&amp;IF((COUNTIF($H199:$K199,"&gt;1")+COUNTIF($H199:$K199,"&lt;0")+COUNTA($H199:$K199)-COUNT($H199:$K199))&gt;0,"Avance fuera de rango 0-100%"&amp;" · ","")&amp;IF(OR(AND($I199&lt;&gt;"",$I199&lt;$H199),AND($J199&lt;&gt;"",$J199&lt;MAX($H199:$I199)),AND($K199&lt;&gt;"",$K199&lt;MAX($H199:$J199))),"Avance semanal decreciente"&amp;" · ","")&amp;IF(AND(ISNUMBER($F199),$F199&lt;FechaRef,N($L199)&lt;1),"Vencida"&amp;" · ","")&amp;IF(AND(ObsObligatoria="Sí",ISNUMBER($F199),$F199&lt;FechaRef,N($L199)&lt;1,$N199=""),"Vencida sin observación"&amp;" · ",""))-3)))</f>
        <v/>
      </c>
      <c r="P199" s="69">
        <f>IF(NOT((COUNTA($B199:$K199)+COUNTA($N199))&gt;0),"",IF(AND($S199="Sub",N($R199)&gt;0),IF(ISNUMBER(INDEX($E$5:$E$1000,$R199-4)),DATE(YEAR(INDEX($E$5:$E$1000,$R199-4)),MONTH(INDEX($E$5:$E$1000,$R199-4)),1),IF(ISNUMBER(INDEX($F$5:$F$1000,$R199-4)),DATE(YEAR(INDEX($F$5:$F$1000,$R199-4)),MONTH(INDEX($F$5:$F$1000,$R199-4)),1),MesCiclo)),IF(ISNUMBER($E199),DATE(YEAR($E199),MONTH($E199),1),IF(ISNUMBER($F199),DATE(YEAR($F199),MONTH($F199),1),MesCiclo))))</f>
        <v/>
      </c>
      <c r="Q199" s="70">
        <f>IF(OR($P199="",$P199&lt;&gt;MesCiclo),"",COUNTIF($P$5:$P199,MesCiclo))</f>
        <v/>
      </c>
      <c r="R199" s="70">
        <f>IF($S199="","",IF($S199="Macro",ROW(),IFERROR(LOOKUP(2,1/($S$5:$S199="Macro"),ROW($S$5:$S199)),0)))</f>
        <v/>
      </c>
      <c r="S199" s="70">
        <f>IF(NOT((COUNTA($B199:$K199)+COUNTA($N199))&gt;0),"",IF($B199&lt;&gt;"","Macro",IF($C199&lt;&gt;"","Sub","Macro")))</f>
        <v/>
      </c>
      <c r="T199" s="70">
        <f>IF($S199="Macro",COUNTIFS($R$5:$R$1000,ROW(),$S$5:$S$1000,"Sub"),"")</f>
        <v/>
      </c>
      <c r="U199" s="70">
        <f>IF($S199="","",IF(ISNUMBER($H199),$H199,0))</f>
        <v/>
      </c>
      <c r="V199" s="70">
        <f>IF($S199="","",IF(ISNUMBER($I199),$I199,$U199))</f>
        <v/>
      </c>
      <c r="W199" s="70">
        <f>IF($S199="","",IF(ISNUMBER($J199),$J199,$V199))</f>
        <v/>
      </c>
      <c r="X199" s="70">
        <f>IF($S199="","",IF(ISNUMBER($K199),$K199,$W199))</f>
        <v/>
      </c>
      <c r="Y199" s="70">
        <f>IF($S199="","",IF(N($T199)&gt;0,AVERAGEIFS($U$5:$U$1000,$R$5:$R$1000,ROW(),$S$5:$S$1000,"Sub"),$U199))</f>
        <v/>
      </c>
      <c r="Z199" s="70">
        <f>IF($S199="","",IF(N($T199)&gt;0,AVERAGEIFS($V$5:$V$1000,$R$5:$R$1000,ROW(),$S$5:$S$1000,"Sub"),$V199))</f>
        <v/>
      </c>
      <c r="AA199" s="70">
        <f>IF($S199="","",IF(N($T199)&gt;0,AVERAGEIFS($W$5:$W$1000,$R$5:$R$1000,ROW(),$S$5:$S$1000,"Sub"),$W199))</f>
        <v/>
      </c>
      <c r="AB199" s="70">
        <f>IF($S199="","",IF(N($T199)&gt;0,AVERAGEIFS($X$5:$X$1000,$R$5:$R$1000,ROW(),$S$5:$S$1000,"Sub"),$X199))</f>
        <v/>
      </c>
    </row>
    <row r="200">
      <c r="A200" s="61">
        <f>IF(NOT((COUNTA($B200:$K200)+COUNTA($N200))&gt;0),"",IF($S200="Macro",COUNTIFS($S$5:$S200,"Macro",$P$5:$P200,$P200),IF(N($R200)=0,"?",COUNTIFS(INDEX($S$5:$S$1000,1):INDEX($S$5:$S$1000,$R200-4),"Macro",INDEX($P$5:$P$1000,1):INDEX($P$5:$P$1000,$R200-4),INDEX($P$5:$P$1000,$R200-4))&amp;"."&amp;COUNTIFS($R$5:$R200,$R200,$S$5:$S200,"Sub"))))</f>
        <v/>
      </c>
      <c r="B200" s="62" t="n"/>
      <c r="C200" s="63" t="n"/>
      <c r="D200" s="62" t="n"/>
      <c r="E200" s="64" t="n"/>
      <c r="F200" s="64" t="n"/>
      <c r="G200" s="65" t="n"/>
      <c r="H200" s="66" t="n"/>
      <c r="I200" s="66" t="n"/>
      <c r="J200" s="66" t="n"/>
      <c r="K200" s="66" t="n"/>
      <c r="L200" s="67">
        <f>IF(NOT((COUNTA($B200:$K200)+COUNTA($N200))&gt;0),"",IF(N($T200)&gt;0,$AB200,IFERROR(LOOKUP(2,1/(H200:K200&lt;&gt;""),H200:K200),0)))</f>
        <v/>
      </c>
      <c r="M200" s="61">
        <f>IF(L200="","",IF(L200&gt;=1,"Completado",IF(L200&gt;0,"En curso","Pendiente")))</f>
        <v/>
      </c>
      <c r="N200" s="62" t="n"/>
      <c r="O200" s="68">
        <f>IF(NOT((COUNTA($B200:$K200)+COUNTA($N200))&gt;0),"",IF((IF(AND($S200="Macro",$B200=""),"Macroactividad vacía"&amp;" · ","")&amp;IF(AND($B200&lt;&gt;"",$C200&lt;&gt;""),"Escriba la subactividad en otra fila, debajo de su macroactividad"&amp;" · ","")&amp;IF(AND($S200="Sub",N($R200)=0),"Subactividad sin macroactividad arriba"&amp;" · ","")&amp;IF($D200="","Sin responsable"&amp;" · ","")&amp;IF($E200="","Sin fecha de inicio"&amp;" · ","")&amp;IF($F200="","Sin fecha límite"&amp;" · ","")&amp;IF(OR(AND($E200&lt;&gt;"",NOT(ISNUMBER($E200))),AND($F200&lt;&gt;"",NOT(ISNUMBER($F200)))),"Fecha no válida"&amp;" · ","")&amp;IF(AND(ISNUMBER($E200),ISNUMBER($F200),$E200&gt;$F200),"Inicio posterior a fecha límite"&amp;" · ","")&amp;IF(AND($S200="Macro",$G200=""),"Peso vacío"&amp;" · ","")&amp;IF(AND($S200="Macro",$G200&lt;&gt;"",OR(NOT(ISNUMBER($G200)),$G200&lt;=0,$G200&gt;1)),"Peso fuera de rango"&amp;" · ","")&amp;IF(AND($S200="Sub",$G200&lt;&gt;""),"Las subactividades no llevan peso"&amp;" · ","")&amp;IF(AND($S200="Macro",ABS(SUMIFS($G$5:$G$1000,$P$5:$P$1000,$P200,$S$5:$S$1000,"Macro")-1)&gt;0.0001),"Pesos del mes suman "&amp;TEXT(SUMIFS($G$5:$G$1000,$P$5:$P$1000,$P200,$S$5:$S$1000,"Macro"),"0%")&amp;" · ","")&amp;IF(AND(N($T200)&gt;0,COUNT($H200:$K200)&gt;0),"Con subactividades: deje vacías las semanas (se calculan solas)"&amp;" · ","")&amp;IF((COUNTIF($H200:$K200,"&gt;1")+COUNTIF($H200:$K200,"&lt;0")+COUNTA($H200:$K200)-COUNT($H200:$K200))&gt;0,"Avance fuera de rango 0-100%"&amp;" · ","")&amp;IF(OR(AND($I200&lt;&gt;"",$I200&lt;$H200),AND($J200&lt;&gt;"",$J200&lt;MAX($H200:$I200)),AND($K200&lt;&gt;"",$K200&lt;MAX($H200:$J200))),"Avance semanal decreciente"&amp;" · ","")&amp;IF(AND(ISNUMBER($F200),$F200&lt;FechaRef,N($L200)&lt;1),"Vencida"&amp;" · ","")&amp;IF(AND(ObsObligatoria="Sí",ISNUMBER($F200),$F200&lt;FechaRef,N($L200)&lt;1,$N200=""),"Vencida sin observación"&amp;" · ",""))="","✔ OK","⚠ "&amp;LEFT(IF(AND($S200="Macro",$B200=""),"Macroactividad vacía"&amp;" · ","")&amp;IF(AND($B200&lt;&gt;"",$C200&lt;&gt;""),"Escriba la subactividad en otra fila, debajo de su macroactividad"&amp;" · ","")&amp;IF(AND($S200="Sub",N($R200)=0),"Subactividad sin macroactividad arriba"&amp;" · ","")&amp;IF($D200="","Sin responsable"&amp;" · ","")&amp;IF($E200="","Sin fecha de inicio"&amp;" · ","")&amp;IF($F200="","Sin fecha límite"&amp;" · ","")&amp;IF(OR(AND($E200&lt;&gt;"",NOT(ISNUMBER($E200))),AND($F200&lt;&gt;"",NOT(ISNUMBER($F200)))),"Fecha no válida"&amp;" · ","")&amp;IF(AND(ISNUMBER($E200),ISNUMBER($F200),$E200&gt;$F200),"Inicio posterior a fecha límite"&amp;" · ","")&amp;IF(AND($S200="Macro",$G200=""),"Peso vacío"&amp;" · ","")&amp;IF(AND($S200="Macro",$G200&lt;&gt;"",OR(NOT(ISNUMBER($G200)),$G200&lt;=0,$G200&gt;1)),"Peso fuera de rango"&amp;" · ","")&amp;IF(AND($S200="Sub",$G200&lt;&gt;""),"Las subactividades no llevan peso"&amp;" · ","")&amp;IF(AND($S200="Macro",ABS(SUMIFS($G$5:$G$1000,$P$5:$P$1000,$P200,$S$5:$S$1000,"Macro")-1)&gt;0.0001),"Pesos del mes suman "&amp;TEXT(SUMIFS($G$5:$G$1000,$P$5:$P$1000,$P200,$S$5:$S$1000,"Macro"),"0%")&amp;" · ","")&amp;IF(AND(N($T200)&gt;0,COUNT($H200:$K200)&gt;0),"Con subactividades: deje vacías las semanas (se calculan solas)"&amp;" · ","")&amp;IF((COUNTIF($H200:$K200,"&gt;1")+COUNTIF($H200:$K200,"&lt;0")+COUNTA($H200:$K200)-COUNT($H200:$K200))&gt;0,"Avance fuera de rango 0-100%"&amp;" · ","")&amp;IF(OR(AND($I200&lt;&gt;"",$I200&lt;$H200),AND($J200&lt;&gt;"",$J200&lt;MAX($H200:$I200)),AND($K200&lt;&gt;"",$K200&lt;MAX($H200:$J200))),"Avance semanal decreciente"&amp;" · ","")&amp;IF(AND(ISNUMBER($F200),$F200&lt;FechaRef,N($L200)&lt;1),"Vencida"&amp;" · ","")&amp;IF(AND(ObsObligatoria="Sí",ISNUMBER($F200),$F200&lt;FechaRef,N($L200)&lt;1,$N200=""),"Vencida sin observación"&amp;" · ",""),LEN(IF(AND($S200="Macro",$B200=""),"Macroactividad vacía"&amp;" · ","")&amp;IF(AND($B200&lt;&gt;"",$C200&lt;&gt;""),"Escriba la subactividad en otra fila, debajo de su macroactividad"&amp;" · ","")&amp;IF(AND($S200="Sub",N($R200)=0),"Subactividad sin macroactividad arriba"&amp;" · ","")&amp;IF($D200="","Sin responsable"&amp;" · ","")&amp;IF($E200="","Sin fecha de inicio"&amp;" · ","")&amp;IF($F200="","Sin fecha límite"&amp;" · ","")&amp;IF(OR(AND($E200&lt;&gt;"",NOT(ISNUMBER($E200))),AND($F200&lt;&gt;"",NOT(ISNUMBER($F200)))),"Fecha no válida"&amp;" · ","")&amp;IF(AND(ISNUMBER($E200),ISNUMBER($F200),$E200&gt;$F200),"Inicio posterior a fecha límite"&amp;" · ","")&amp;IF(AND($S200="Macro",$G200=""),"Peso vacío"&amp;" · ","")&amp;IF(AND($S200="Macro",$G200&lt;&gt;"",OR(NOT(ISNUMBER($G200)),$G200&lt;=0,$G200&gt;1)),"Peso fuera de rango"&amp;" · ","")&amp;IF(AND($S200="Sub",$G200&lt;&gt;""),"Las subactividades no llevan peso"&amp;" · ","")&amp;IF(AND($S200="Macro",ABS(SUMIFS($G$5:$G$1000,$P$5:$P$1000,$P200,$S$5:$S$1000,"Macro")-1)&gt;0.0001),"Pesos del mes suman "&amp;TEXT(SUMIFS($G$5:$G$1000,$P$5:$P$1000,$P200,$S$5:$S$1000,"Macro"),"0%")&amp;" · ","")&amp;IF(AND(N($T200)&gt;0,COUNT($H200:$K200)&gt;0),"Con subactividades: deje vacías las semanas (se calculan solas)"&amp;" · ","")&amp;IF((COUNTIF($H200:$K200,"&gt;1")+COUNTIF($H200:$K200,"&lt;0")+COUNTA($H200:$K200)-COUNT($H200:$K200))&gt;0,"Avance fuera de rango 0-100%"&amp;" · ","")&amp;IF(OR(AND($I200&lt;&gt;"",$I200&lt;$H200),AND($J200&lt;&gt;"",$J200&lt;MAX($H200:$I200)),AND($K200&lt;&gt;"",$K200&lt;MAX($H200:$J200))),"Avance semanal decreciente"&amp;" · ","")&amp;IF(AND(ISNUMBER($F200),$F200&lt;FechaRef,N($L200)&lt;1),"Vencida"&amp;" · ","")&amp;IF(AND(ObsObligatoria="Sí",ISNUMBER($F200),$F200&lt;FechaRef,N($L200)&lt;1,$N200=""),"Vencida sin observación"&amp;" · ",""))-3)))</f>
        <v/>
      </c>
      <c r="P200" s="69">
        <f>IF(NOT((COUNTA($B200:$K200)+COUNTA($N200))&gt;0),"",IF(AND($S200="Sub",N($R200)&gt;0),IF(ISNUMBER(INDEX($E$5:$E$1000,$R200-4)),DATE(YEAR(INDEX($E$5:$E$1000,$R200-4)),MONTH(INDEX($E$5:$E$1000,$R200-4)),1),IF(ISNUMBER(INDEX($F$5:$F$1000,$R200-4)),DATE(YEAR(INDEX($F$5:$F$1000,$R200-4)),MONTH(INDEX($F$5:$F$1000,$R200-4)),1),MesCiclo)),IF(ISNUMBER($E200),DATE(YEAR($E200),MONTH($E200),1),IF(ISNUMBER($F200),DATE(YEAR($F200),MONTH($F200),1),MesCiclo))))</f>
        <v/>
      </c>
      <c r="Q200" s="70">
        <f>IF(OR($P200="",$P200&lt;&gt;MesCiclo),"",COUNTIF($P$5:$P200,MesCiclo))</f>
        <v/>
      </c>
      <c r="R200" s="70">
        <f>IF($S200="","",IF($S200="Macro",ROW(),IFERROR(LOOKUP(2,1/($S$5:$S200="Macro"),ROW($S$5:$S200)),0)))</f>
        <v/>
      </c>
      <c r="S200" s="70">
        <f>IF(NOT((COUNTA($B200:$K200)+COUNTA($N200))&gt;0),"",IF($B200&lt;&gt;"","Macro",IF($C200&lt;&gt;"","Sub","Macro")))</f>
        <v/>
      </c>
      <c r="T200" s="70">
        <f>IF($S200="Macro",COUNTIFS($R$5:$R$1000,ROW(),$S$5:$S$1000,"Sub"),"")</f>
        <v/>
      </c>
      <c r="U200" s="70">
        <f>IF($S200="","",IF(ISNUMBER($H200),$H200,0))</f>
        <v/>
      </c>
      <c r="V200" s="70">
        <f>IF($S200="","",IF(ISNUMBER($I200),$I200,$U200))</f>
        <v/>
      </c>
      <c r="W200" s="70">
        <f>IF($S200="","",IF(ISNUMBER($J200),$J200,$V200))</f>
        <v/>
      </c>
      <c r="X200" s="70">
        <f>IF($S200="","",IF(ISNUMBER($K200),$K200,$W200))</f>
        <v/>
      </c>
      <c r="Y200" s="70">
        <f>IF($S200="","",IF(N($T200)&gt;0,AVERAGEIFS($U$5:$U$1000,$R$5:$R$1000,ROW(),$S$5:$S$1000,"Sub"),$U200))</f>
        <v/>
      </c>
      <c r="Z200" s="70">
        <f>IF($S200="","",IF(N($T200)&gt;0,AVERAGEIFS($V$5:$V$1000,$R$5:$R$1000,ROW(),$S$5:$S$1000,"Sub"),$V200))</f>
        <v/>
      </c>
      <c r="AA200" s="70">
        <f>IF($S200="","",IF(N($T200)&gt;0,AVERAGEIFS($W$5:$W$1000,$R$5:$R$1000,ROW(),$S$5:$S$1000,"Sub"),$W200))</f>
        <v/>
      </c>
      <c r="AB200" s="70">
        <f>IF($S200="","",IF(N($T200)&gt;0,AVERAGEIFS($X$5:$X$1000,$R$5:$R$1000,ROW(),$S$5:$S$1000,"Sub"),$X200))</f>
        <v/>
      </c>
    </row>
    <row r="201">
      <c r="A201" s="61">
        <f>IF(NOT((COUNTA($B201:$K201)+COUNTA($N201))&gt;0),"",IF($S201="Macro",COUNTIFS($S$5:$S201,"Macro",$P$5:$P201,$P201),IF(N($R201)=0,"?",COUNTIFS(INDEX($S$5:$S$1000,1):INDEX($S$5:$S$1000,$R201-4),"Macro",INDEX($P$5:$P$1000,1):INDEX($P$5:$P$1000,$R201-4),INDEX($P$5:$P$1000,$R201-4))&amp;"."&amp;COUNTIFS($R$5:$R201,$R201,$S$5:$S201,"Sub"))))</f>
        <v/>
      </c>
      <c r="B201" s="62" t="n"/>
      <c r="C201" s="63" t="n"/>
      <c r="D201" s="62" t="n"/>
      <c r="E201" s="64" t="n"/>
      <c r="F201" s="64" t="n"/>
      <c r="G201" s="65" t="n"/>
      <c r="H201" s="66" t="n"/>
      <c r="I201" s="66" t="n"/>
      <c r="J201" s="66" t="n"/>
      <c r="K201" s="66" t="n"/>
      <c r="L201" s="67">
        <f>IF(NOT((COUNTA($B201:$K201)+COUNTA($N201))&gt;0),"",IF(N($T201)&gt;0,$AB201,IFERROR(LOOKUP(2,1/(H201:K201&lt;&gt;""),H201:K201),0)))</f>
        <v/>
      </c>
      <c r="M201" s="61">
        <f>IF(L201="","",IF(L201&gt;=1,"Completado",IF(L201&gt;0,"En curso","Pendiente")))</f>
        <v/>
      </c>
      <c r="N201" s="62" t="n"/>
      <c r="O201" s="68">
        <f>IF(NOT((COUNTA($B201:$K201)+COUNTA($N201))&gt;0),"",IF((IF(AND($S201="Macro",$B201=""),"Macroactividad vacía"&amp;" · ","")&amp;IF(AND($B201&lt;&gt;"",$C201&lt;&gt;""),"Escriba la subactividad en otra fila, debajo de su macroactividad"&amp;" · ","")&amp;IF(AND($S201="Sub",N($R201)=0),"Subactividad sin macroactividad arriba"&amp;" · ","")&amp;IF($D201="","Sin responsable"&amp;" · ","")&amp;IF($E201="","Sin fecha de inicio"&amp;" · ","")&amp;IF($F201="","Sin fecha límite"&amp;" · ","")&amp;IF(OR(AND($E201&lt;&gt;"",NOT(ISNUMBER($E201))),AND($F201&lt;&gt;"",NOT(ISNUMBER($F201)))),"Fecha no válida"&amp;" · ","")&amp;IF(AND(ISNUMBER($E201),ISNUMBER($F201),$E201&gt;$F201),"Inicio posterior a fecha límite"&amp;" · ","")&amp;IF(AND($S201="Macro",$G201=""),"Peso vacío"&amp;" · ","")&amp;IF(AND($S201="Macro",$G201&lt;&gt;"",OR(NOT(ISNUMBER($G201)),$G201&lt;=0,$G201&gt;1)),"Peso fuera de rango"&amp;" · ","")&amp;IF(AND($S201="Sub",$G201&lt;&gt;""),"Las subactividades no llevan peso"&amp;" · ","")&amp;IF(AND($S201="Macro",ABS(SUMIFS($G$5:$G$1000,$P$5:$P$1000,$P201,$S$5:$S$1000,"Macro")-1)&gt;0.0001),"Pesos del mes suman "&amp;TEXT(SUMIFS($G$5:$G$1000,$P$5:$P$1000,$P201,$S$5:$S$1000,"Macro"),"0%")&amp;" · ","")&amp;IF(AND(N($T201)&gt;0,COUNT($H201:$K201)&gt;0),"Con subactividades: deje vacías las semanas (se calculan solas)"&amp;" · ","")&amp;IF((COUNTIF($H201:$K201,"&gt;1")+COUNTIF($H201:$K201,"&lt;0")+COUNTA($H201:$K201)-COUNT($H201:$K201))&gt;0,"Avance fuera de rango 0-100%"&amp;" · ","")&amp;IF(OR(AND($I201&lt;&gt;"",$I201&lt;$H201),AND($J201&lt;&gt;"",$J201&lt;MAX($H201:$I201)),AND($K201&lt;&gt;"",$K201&lt;MAX($H201:$J201))),"Avance semanal decreciente"&amp;" · ","")&amp;IF(AND(ISNUMBER($F201),$F201&lt;FechaRef,N($L201)&lt;1),"Vencida"&amp;" · ","")&amp;IF(AND(ObsObligatoria="Sí",ISNUMBER($F201),$F201&lt;FechaRef,N($L201)&lt;1,$N201=""),"Vencida sin observación"&amp;" · ",""))="","✔ OK","⚠ "&amp;LEFT(IF(AND($S201="Macro",$B201=""),"Macroactividad vacía"&amp;" · ","")&amp;IF(AND($B201&lt;&gt;"",$C201&lt;&gt;""),"Escriba la subactividad en otra fila, debajo de su macroactividad"&amp;" · ","")&amp;IF(AND($S201="Sub",N($R201)=0),"Subactividad sin macroactividad arriba"&amp;" · ","")&amp;IF($D201="","Sin responsable"&amp;" · ","")&amp;IF($E201="","Sin fecha de inicio"&amp;" · ","")&amp;IF($F201="","Sin fecha límite"&amp;" · ","")&amp;IF(OR(AND($E201&lt;&gt;"",NOT(ISNUMBER($E201))),AND($F201&lt;&gt;"",NOT(ISNUMBER($F201)))),"Fecha no válida"&amp;" · ","")&amp;IF(AND(ISNUMBER($E201),ISNUMBER($F201),$E201&gt;$F201),"Inicio posterior a fecha límite"&amp;" · ","")&amp;IF(AND($S201="Macro",$G201=""),"Peso vacío"&amp;" · ","")&amp;IF(AND($S201="Macro",$G201&lt;&gt;"",OR(NOT(ISNUMBER($G201)),$G201&lt;=0,$G201&gt;1)),"Peso fuera de rango"&amp;" · ","")&amp;IF(AND($S201="Sub",$G201&lt;&gt;""),"Las subactividades no llevan peso"&amp;" · ","")&amp;IF(AND($S201="Macro",ABS(SUMIFS($G$5:$G$1000,$P$5:$P$1000,$P201,$S$5:$S$1000,"Macro")-1)&gt;0.0001),"Pesos del mes suman "&amp;TEXT(SUMIFS($G$5:$G$1000,$P$5:$P$1000,$P201,$S$5:$S$1000,"Macro"),"0%")&amp;" · ","")&amp;IF(AND(N($T201)&gt;0,COUNT($H201:$K201)&gt;0),"Con subactividades: deje vacías las semanas (se calculan solas)"&amp;" · ","")&amp;IF((COUNTIF($H201:$K201,"&gt;1")+COUNTIF($H201:$K201,"&lt;0")+COUNTA($H201:$K201)-COUNT($H201:$K201))&gt;0,"Avance fuera de rango 0-100%"&amp;" · ","")&amp;IF(OR(AND($I201&lt;&gt;"",$I201&lt;$H201),AND($J201&lt;&gt;"",$J201&lt;MAX($H201:$I201)),AND($K201&lt;&gt;"",$K201&lt;MAX($H201:$J201))),"Avance semanal decreciente"&amp;" · ","")&amp;IF(AND(ISNUMBER($F201),$F201&lt;FechaRef,N($L201)&lt;1),"Vencida"&amp;" · ","")&amp;IF(AND(ObsObligatoria="Sí",ISNUMBER($F201),$F201&lt;FechaRef,N($L201)&lt;1,$N201=""),"Vencida sin observación"&amp;" · ",""),LEN(IF(AND($S201="Macro",$B201=""),"Macroactividad vacía"&amp;" · ","")&amp;IF(AND($B201&lt;&gt;"",$C201&lt;&gt;""),"Escriba la subactividad en otra fila, debajo de su macroactividad"&amp;" · ","")&amp;IF(AND($S201="Sub",N($R201)=0),"Subactividad sin macroactividad arriba"&amp;" · ","")&amp;IF($D201="","Sin responsable"&amp;" · ","")&amp;IF($E201="","Sin fecha de inicio"&amp;" · ","")&amp;IF($F201="","Sin fecha límite"&amp;" · ","")&amp;IF(OR(AND($E201&lt;&gt;"",NOT(ISNUMBER($E201))),AND($F201&lt;&gt;"",NOT(ISNUMBER($F201)))),"Fecha no válida"&amp;" · ","")&amp;IF(AND(ISNUMBER($E201),ISNUMBER($F201),$E201&gt;$F201),"Inicio posterior a fecha límite"&amp;" · ","")&amp;IF(AND($S201="Macro",$G201=""),"Peso vacío"&amp;" · ","")&amp;IF(AND($S201="Macro",$G201&lt;&gt;"",OR(NOT(ISNUMBER($G201)),$G201&lt;=0,$G201&gt;1)),"Peso fuera de rango"&amp;" · ","")&amp;IF(AND($S201="Sub",$G201&lt;&gt;""),"Las subactividades no llevan peso"&amp;" · ","")&amp;IF(AND($S201="Macro",ABS(SUMIFS($G$5:$G$1000,$P$5:$P$1000,$P201,$S$5:$S$1000,"Macro")-1)&gt;0.0001),"Pesos del mes suman "&amp;TEXT(SUMIFS($G$5:$G$1000,$P$5:$P$1000,$P201,$S$5:$S$1000,"Macro"),"0%")&amp;" · ","")&amp;IF(AND(N($T201)&gt;0,COUNT($H201:$K201)&gt;0),"Con subactividades: deje vacías las semanas (se calculan solas)"&amp;" · ","")&amp;IF((COUNTIF($H201:$K201,"&gt;1")+COUNTIF($H201:$K201,"&lt;0")+COUNTA($H201:$K201)-COUNT($H201:$K201))&gt;0,"Avance fuera de rango 0-100%"&amp;" · ","")&amp;IF(OR(AND($I201&lt;&gt;"",$I201&lt;$H201),AND($J201&lt;&gt;"",$J201&lt;MAX($H201:$I201)),AND($K201&lt;&gt;"",$K201&lt;MAX($H201:$J201))),"Avance semanal decreciente"&amp;" · ","")&amp;IF(AND(ISNUMBER($F201),$F201&lt;FechaRef,N($L201)&lt;1),"Vencida"&amp;" · ","")&amp;IF(AND(ObsObligatoria="Sí",ISNUMBER($F201),$F201&lt;FechaRef,N($L201)&lt;1,$N201=""),"Vencida sin observación"&amp;" · ",""))-3)))</f>
        <v/>
      </c>
      <c r="P201" s="69">
        <f>IF(NOT((COUNTA($B201:$K201)+COUNTA($N201))&gt;0),"",IF(AND($S201="Sub",N($R201)&gt;0),IF(ISNUMBER(INDEX($E$5:$E$1000,$R201-4)),DATE(YEAR(INDEX($E$5:$E$1000,$R201-4)),MONTH(INDEX($E$5:$E$1000,$R201-4)),1),IF(ISNUMBER(INDEX($F$5:$F$1000,$R201-4)),DATE(YEAR(INDEX($F$5:$F$1000,$R201-4)),MONTH(INDEX($F$5:$F$1000,$R201-4)),1),MesCiclo)),IF(ISNUMBER($E201),DATE(YEAR($E201),MONTH($E201),1),IF(ISNUMBER($F201),DATE(YEAR($F201),MONTH($F201),1),MesCiclo))))</f>
        <v/>
      </c>
      <c r="Q201" s="70">
        <f>IF(OR($P201="",$P201&lt;&gt;MesCiclo),"",COUNTIF($P$5:$P201,MesCiclo))</f>
        <v/>
      </c>
      <c r="R201" s="70">
        <f>IF($S201="","",IF($S201="Macro",ROW(),IFERROR(LOOKUP(2,1/($S$5:$S201="Macro"),ROW($S$5:$S201)),0)))</f>
        <v/>
      </c>
      <c r="S201" s="70">
        <f>IF(NOT((COUNTA($B201:$K201)+COUNTA($N201))&gt;0),"",IF($B201&lt;&gt;"","Macro",IF($C201&lt;&gt;"","Sub","Macro")))</f>
        <v/>
      </c>
      <c r="T201" s="70">
        <f>IF($S201="Macro",COUNTIFS($R$5:$R$1000,ROW(),$S$5:$S$1000,"Sub"),"")</f>
        <v/>
      </c>
      <c r="U201" s="70">
        <f>IF($S201="","",IF(ISNUMBER($H201),$H201,0))</f>
        <v/>
      </c>
      <c r="V201" s="70">
        <f>IF($S201="","",IF(ISNUMBER($I201),$I201,$U201))</f>
        <v/>
      </c>
      <c r="W201" s="70">
        <f>IF($S201="","",IF(ISNUMBER($J201),$J201,$V201))</f>
        <v/>
      </c>
      <c r="X201" s="70">
        <f>IF($S201="","",IF(ISNUMBER($K201),$K201,$W201))</f>
        <v/>
      </c>
      <c r="Y201" s="70">
        <f>IF($S201="","",IF(N($T201)&gt;0,AVERAGEIFS($U$5:$U$1000,$R$5:$R$1000,ROW(),$S$5:$S$1000,"Sub"),$U201))</f>
        <v/>
      </c>
      <c r="Z201" s="70">
        <f>IF($S201="","",IF(N($T201)&gt;0,AVERAGEIFS($V$5:$V$1000,$R$5:$R$1000,ROW(),$S$5:$S$1000,"Sub"),$V201))</f>
        <v/>
      </c>
      <c r="AA201" s="70">
        <f>IF($S201="","",IF(N($T201)&gt;0,AVERAGEIFS($W$5:$W$1000,$R$5:$R$1000,ROW(),$S$5:$S$1000,"Sub"),$W201))</f>
        <v/>
      </c>
      <c r="AB201" s="70">
        <f>IF($S201="","",IF(N($T201)&gt;0,AVERAGEIFS($X$5:$X$1000,$R$5:$R$1000,ROW(),$S$5:$S$1000,"Sub"),$X201))</f>
        <v/>
      </c>
    </row>
    <row r="202">
      <c r="A202" s="61">
        <f>IF(NOT((COUNTA($B202:$K202)+COUNTA($N202))&gt;0),"",IF($S202="Macro",COUNTIFS($S$5:$S202,"Macro",$P$5:$P202,$P202),IF(N($R202)=0,"?",COUNTIFS(INDEX($S$5:$S$1000,1):INDEX($S$5:$S$1000,$R202-4),"Macro",INDEX($P$5:$P$1000,1):INDEX($P$5:$P$1000,$R202-4),INDEX($P$5:$P$1000,$R202-4))&amp;"."&amp;COUNTIFS($R$5:$R202,$R202,$S$5:$S202,"Sub"))))</f>
        <v/>
      </c>
      <c r="B202" s="62" t="n"/>
      <c r="C202" s="63" t="n"/>
      <c r="D202" s="62" t="n"/>
      <c r="E202" s="64" t="n"/>
      <c r="F202" s="64" t="n"/>
      <c r="G202" s="65" t="n"/>
      <c r="H202" s="66" t="n"/>
      <c r="I202" s="66" t="n"/>
      <c r="J202" s="66" t="n"/>
      <c r="K202" s="66" t="n"/>
      <c r="L202" s="67">
        <f>IF(NOT((COUNTA($B202:$K202)+COUNTA($N202))&gt;0),"",IF(N($T202)&gt;0,$AB202,IFERROR(LOOKUP(2,1/(H202:K202&lt;&gt;""),H202:K202),0)))</f>
        <v/>
      </c>
      <c r="M202" s="61">
        <f>IF(L202="","",IF(L202&gt;=1,"Completado",IF(L202&gt;0,"En curso","Pendiente")))</f>
        <v/>
      </c>
      <c r="N202" s="62" t="n"/>
      <c r="O202" s="68">
        <f>IF(NOT((COUNTA($B202:$K202)+COUNTA($N202))&gt;0),"",IF((IF(AND($S202="Macro",$B202=""),"Macroactividad vacía"&amp;" · ","")&amp;IF(AND($B202&lt;&gt;"",$C202&lt;&gt;""),"Escriba la subactividad en otra fila, debajo de su macroactividad"&amp;" · ","")&amp;IF(AND($S202="Sub",N($R202)=0),"Subactividad sin macroactividad arriba"&amp;" · ","")&amp;IF($D202="","Sin responsable"&amp;" · ","")&amp;IF($E202="","Sin fecha de inicio"&amp;" · ","")&amp;IF($F202="","Sin fecha límite"&amp;" · ","")&amp;IF(OR(AND($E202&lt;&gt;"",NOT(ISNUMBER($E202))),AND($F202&lt;&gt;"",NOT(ISNUMBER($F202)))),"Fecha no válida"&amp;" · ","")&amp;IF(AND(ISNUMBER($E202),ISNUMBER($F202),$E202&gt;$F202),"Inicio posterior a fecha límite"&amp;" · ","")&amp;IF(AND($S202="Macro",$G202=""),"Peso vacío"&amp;" · ","")&amp;IF(AND($S202="Macro",$G202&lt;&gt;"",OR(NOT(ISNUMBER($G202)),$G202&lt;=0,$G202&gt;1)),"Peso fuera de rango"&amp;" · ","")&amp;IF(AND($S202="Sub",$G202&lt;&gt;""),"Las subactividades no llevan peso"&amp;" · ","")&amp;IF(AND($S202="Macro",ABS(SUMIFS($G$5:$G$1000,$P$5:$P$1000,$P202,$S$5:$S$1000,"Macro")-1)&gt;0.0001),"Pesos del mes suman "&amp;TEXT(SUMIFS($G$5:$G$1000,$P$5:$P$1000,$P202,$S$5:$S$1000,"Macro"),"0%")&amp;" · ","")&amp;IF(AND(N($T202)&gt;0,COUNT($H202:$K202)&gt;0),"Con subactividades: deje vacías las semanas (se calculan solas)"&amp;" · ","")&amp;IF((COUNTIF($H202:$K202,"&gt;1")+COUNTIF($H202:$K202,"&lt;0")+COUNTA($H202:$K202)-COUNT($H202:$K202))&gt;0,"Avance fuera de rango 0-100%"&amp;" · ","")&amp;IF(OR(AND($I202&lt;&gt;"",$I202&lt;$H202),AND($J202&lt;&gt;"",$J202&lt;MAX($H202:$I202)),AND($K202&lt;&gt;"",$K202&lt;MAX($H202:$J202))),"Avance semanal decreciente"&amp;" · ","")&amp;IF(AND(ISNUMBER($F202),$F202&lt;FechaRef,N($L202)&lt;1),"Vencida"&amp;" · ","")&amp;IF(AND(ObsObligatoria="Sí",ISNUMBER($F202),$F202&lt;FechaRef,N($L202)&lt;1,$N202=""),"Vencida sin observación"&amp;" · ",""))="","✔ OK","⚠ "&amp;LEFT(IF(AND($S202="Macro",$B202=""),"Macroactividad vacía"&amp;" · ","")&amp;IF(AND($B202&lt;&gt;"",$C202&lt;&gt;""),"Escriba la subactividad en otra fila, debajo de su macroactividad"&amp;" · ","")&amp;IF(AND($S202="Sub",N($R202)=0),"Subactividad sin macroactividad arriba"&amp;" · ","")&amp;IF($D202="","Sin responsable"&amp;" · ","")&amp;IF($E202="","Sin fecha de inicio"&amp;" · ","")&amp;IF($F202="","Sin fecha límite"&amp;" · ","")&amp;IF(OR(AND($E202&lt;&gt;"",NOT(ISNUMBER($E202))),AND($F202&lt;&gt;"",NOT(ISNUMBER($F202)))),"Fecha no válida"&amp;" · ","")&amp;IF(AND(ISNUMBER($E202),ISNUMBER($F202),$E202&gt;$F202),"Inicio posterior a fecha límite"&amp;" · ","")&amp;IF(AND($S202="Macro",$G202=""),"Peso vacío"&amp;" · ","")&amp;IF(AND($S202="Macro",$G202&lt;&gt;"",OR(NOT(ISNUMBER($G202)),$G202&lt;=0,$G202&gt;1)),"Peso fuera de rango"&amp;" · ","")&amp;IF(AND($S202="Sub",$G202&lt;&gt;""),"Las subactividades no llevan peso"&amp;" · ","")&amp;IF(AND($S202="Macro",ABS(SUMIFS($G$5:$G$1000,$P$5:$P$1000,$P202,$S$5:$S$1000,"Macro")-1)&gt;0.0001),"Pesos del mes suman "&amp;TEXT(SUMIFS($G$5:$G$1000,$P$5:$P$1000,$P202,$S$5:$S$1000,"Macro"),"0%")&amp;" · ","")&amp;IF(AND(N($T202)&gt;0,COUNT($H202:$K202)&gt;0),"Con subactividades: deje vacías las semanas (se calculan solas)"&amp;" · ","")&amp;IF((COUNTIF($H202:$K202,"&gt;1")+COUNTIF($H202:$K202,"&lt;0")+COUNTA($H202:$K202)-COUNT($H202:$K202))&gt;0,"Avance fuera de rango 0-100%"&amp;" · ","")&amp;IF(OR(AND($I202&lt;&gt;"",$I202&lt;$H202),AND($J202&lt;&gt;"",$J202&lt;MAX($H202:$I202)),AND($K202&lt;&gt;"",$K202&lt;MAX($H202:$J202))),"Avance semanal decreciente"&amp;" · ","")&amp;IF(AND(ISNUMBER($F202),$F202&lt;FechaRef,N($L202)&lt;1),"Vencida"&amp;" · ","")&amp;IF(AND(ObsObligatoria="Sí",ISNUMBER($F202),$F202&lt;FechaRef,N($L202)&lt;1,$N202=""),"Vencida sin observación"&amp;" · ",""),LEN(IF(AND($S202="Macro",$B202=""),"Macroactividad vacía"&amp;" · ","")&amp;IF(AND($B202&lt;&gt;"",$C202&lt;&gt;""),"Escriba la subactividad en otra fila, debajo de su macroactividad"&amp;" · ","")&amp;IF(AND($S202="Sub",N($R202)=0),"Subactividad sin macroactividad arriba"&amp;" · ","")&amp;IF($D202="","Sin responsable"&amp;" · ","")&amp;IF($E202="","Sin fecha de inicio"&amp;" · ","")&amp;IF($F202="","Sin fecha límite"&amp;" · ","")&amp;IF(OR(AND($E202&lt;&gt;"",NOT(ISNUMBER($E202))),AND($F202&lt;&gt;"",NOT(ISNUMBER($F202)))),"Fecha no válida"&amp;" · ","")&amp;IF(AND(ISNUMBER($E202),ISNUMBER($F202),$E202&gt;$F202),"Inicio posterior a fecha límite"&amp;" · ","")&amp;IF(AND($S202="Macro",$G202=""),"Peso vacío"&amp;" · ","")&amp;IF(AND($S202="Macro",$G202&lt;&gt;"",OR(NOT(ISNUMBER($G202)),$G202&lt;=0,$G202&gt;1)),"Peso fuera de rango"&amp;" · ","")&amp;IF(AND($S202="Sub",$G202&lt;&gt;""),"Las subactividades no llevan peso"&amp;" · ","")&amp;IF(AND($S202="Macro",ABS(SUMIFS($G$5:$G$1000,$P$5:$P$1000,$P202,$S$5:$S$1000,"Macro")-1)&gt;0.0001),"Pesos del mes suman "&amp;TEXT(SUMIFS($G$5:$G$1000,$P$5:$P$1000,$P202,$S$5:$S$1000,"Macro"),"0%")&amp;" · ","")&amp;IF(AND(N($T202)&gt;0,COUNT($H202:$K202)&gt;0),"Con subactividades: deje vacías las semanas (se calculan solas)"&amp;" · ","")&amp;IF((COUNTIF($H202:$K202,"&gt;1")+COUNTIF($H202:$K202,"&lt;0")+COUNTA($H202:$K202)-COUNT($H202:$K202))&gt;0,"Avance fuera de rango 0-100%"&amp;" · ","")&amp;IF(OR(AND($I202&lt;&gt;"",$I202&lt;$H202),AND($J202&lt;&gt;"",$J202&lt;MAX($H202:$I202)),AND($K202&lt;&gt;"",$K202&lt;MAX($H202:$J202))),"Avance semanal decreciente"&amp;" · ","")&amp;IF(AND(ISNUMBER($F202),$F202&lt;FechaRef,N($L202)&lt;1),"Vencida"&amp;" · ","")&amp;IF(AND(ObsObligatoria="Sí",ISNUMBER($F202),$F202&lt;FechaRef,N($L202)&lt;1,$N202=""),"Vencida sin observación"&amp;" · ",""))-3)))</f>
        <v/>
      </c>
      <c r="P202" s="69">
        <f>IF(NOT((COUNTA($B202:$K202)+COUNTA($N202))&gt;0),"",IF(AND($S202="Sub",N($R202)&gt;0),IF(ISNUMBER(INDEX($E$5:$E$1000,$R202-4)),DATE(YEAR(INDEX($E$5:$E$1000,$R202-4)),MONTH(INDEX($E$5:$E$1000,$R202-4)),1),IF(ISNUMBER(INDEX($F$5:$F$1000,$R202-4)),DATE(YEAR(INDEX($F$5:$F$1000,$R202-4)),MONTH(INDEX($F$5:$F$1000,$R202-4)),1),MesCiclo)),IF(ISNUMBER($E202),DATE(YEAR($E202),MONTH($E202),1),IF(ISNUMBER($F202),DATE(YEAR($F202),MONTH($F202),1),MesCiclo))))</f>
        <v/>
      </c>
      <c r="Q202" s="70">
        <f>IF(OR($P202="",$P202&lt;&gt;MesCiclo),"",COUNTIF($P$5:$P202,MesCiclo))</f>
        <v/>
      </c>
      <c r="R202" s="70">
        <f>IF($S202="","",IF($S202="Macro",ROW(),IFERROR(LOOKUP(2,1/($S$5:$S202="Macro"),ROW($S$5:$S202)),0)))</f>
        <v/>
      </c>
      <c r="S202" s="70">
        <f>IF(NOT((COUNTA($B202:$K202)+COUNTA($N202))&gt;0),"",IF($B202&lt;&gt;"","Macro",IF($C202&lt;&gt;"","Sub","Macro")))</f>
        <v/>
      </c>
      <c r="T202" s="70">
        <f>IF($S202="Macro",COUNTIFS($R$5:$R$1000,ROW(),$S$5:$S$1000,"Sub"),"")</f>
        <v/>
      </c>
      <c r="U202" s="70">
        <f>IF($S202="","",IF(ISNUMBER($H202),$H202,0))</f>
        <v/>
      </c>
      <c r="V202" s="70">
        <f>IF($S202="","",IF(ISNUMBER($I202),$I202,$U202))</f>
        <v/>
      </c>
      <c r="W202" s="70">
        <f>IF($S202="","",IF(ISNUMBER($J202),$J202,$V202))</f>
        <v/>
      </c>
      <c r="X202" s="70">
        <f>IF($S202="","",IF(ISNUMBER($K202),$K202,$W202))</f>
        <v/>
      </c>
      <c r="Y202" s="70">
        <f>IF($S202="","",IF(N($T202)&gt;0,AVERAGEIFS($U$5:$U$1000,$R$5:$R$1000,ROW(),$S$5:$S$1000,"Sub"),$U202))</f>
        <v/>
      </c>
      <c r="Z202" s="70">
        <f>IF($S202="","",IF(N($T202)&gt;0,AVERAGEIFS($V$5:$V$1000,$R$5:$R$1000,ROW(),$S$5:$S$1000,"Sub"),$V202))</f>
        <v/>
      </c>
      <c r="AA202" s="70">
        <f>IF($S202="","",IF(N($T202)&gt;0,AVERAGEIFS($W$5:$W$1000,$R$5:$R$1000,ROW(),$S$5:$S$1000,"Sub"),$W202))</f>
        <v/>
      </c>
      <c r="AB202" s="70">
        <f>IF($S202="","",IF(N($T202)&gt;0,AVERAGEIFS($X$5:$X$1000,$R$5:$R$1000,ROW(),$S$5:$S$1000,"Sub"),$X202))</f>
        <v/>
      </c>
    </row>
    <row r="203">
      <c r="A203" s="61">
        <f>IF(NOT((COUNTA($B203:$K203)+COUNTA($N203))&gt;0),"",IF($S203="Macro",COUNTIFS($S$5:$S203,"Macro",$P$5:$P203,$P203),IF(N($R203)=0,"?",COUNTIFS(INDEX($S$5:$S$1000,1):INDEX($S$5:$S$1000,$R203-4),"Macro",INDEX($P$5:$P$1000,1):INDEX($P$5:$P$1000,$R203-4),INDEX($P$5:$P$1000,$R203-4))&amp;"."&amp;COUNTIFS($R$5:$R203,$R203,$S$5:$S203,"Sub"))))</f>
        <v/>
      </c>
      <c r="B203" s="62" t="n"/>
      <c r="C203" s="63" t="n"/>
      <c r="D203" s="62" t="n"/>
      <c r="E203" s="64" t="n"/>
      <c r="F203" s="64" t="n"/>
      <c r="G203" s="65" t="n"/>
      <c r="H203" s="66" t="n"/>
      <c r="I203" s="66" t="n"/>
      <c r="J203" s="66" t="n"/>
      <c r="K203" s="66" t="n"/>
      <c r="L203" s="67">
        <f>IF(NOT((COUNTA($B203:$K203)+COUNTA($N203))&gt;0),"",IF(N($T203)&gt;0,$AB203,IFERROR(LOOKUP(2,1/(H203:K203&lt;&gt;""),H203:K203),0)))</f>
        <v/>
      </c>
      <c r="M203" s="61">
        <f>IF(L203="","",IF(L203&gt;=1,"Completado",IF(L203&gt;0,"En curso","Pendiente")))</f>
        <v/>
      </c>
      <c r="N203" s="62" t="n"/>
      <c r="O203" s="68">
        <f>IF(NOT((COUNTA($B203:$K203)+COUNTA($N203))&gt;0),"",IF((IF(AND($S203="Macro",$B203=""),"Macroactividad vacía"&amp;" · ","")&amp;IF(AND($B203&lt;&gt;"",$C203&lt;&gt;""),"Escriba la subactividad en otra fila, debajo de su macroactividad"&amp;" · ","")&amp;IF(AND($S203="Sub",N($R203)=0),"Subactividad sin macroactividad arriba"&amp;" · ","")&amp;IF($D203="","Sin responsable"&amp;" · ","")&amp;IF($E203="","Sin fecha de inicio"&amp;" · ","")&amp;IF($F203="","Sin fecha límite"&amp;" · ","")&amp;IF(OR(AND($E203&lt;&gt;"",NOT(ISNUMBER($E203))),AND($F203&lt;&gt;"",NOT(ISNUMBER($F203)))),"Fecha no válida"&amp;" · ","")&amp;IF(AND(ISNUMBER($E203),ISNUMBER($F203),$E203&gt;$F203),"Inicio posterior a fecha límite"&amp;" · ","")&amp;IF(AND($S203="Macro",$G203=""),"Peso vacío"&amp;" · ","")&amp;IF(AND($S203="Macro",$G203&lt;&gt;"",OR(NOT(ISNUMBER($G203)),$G203&lt;=0,$G203&gt;1)),"Peso fuera de rango"&amp;" · ","")&amp;IF(AND($S203="Sub",$G203&lt;&gt;""),"Las subactividades no llevan peso"&amp;" · ","")&amp;IF(AND($S203="Macro",ABS(SUMIFS($G$5:$G$1000,$P$5:$P$1000,$P203,$S$5:$S$1000,"Macro")-1)&gt;0.0001),"Pesos del mes suman "&amp;TEXT(SUMIFS($G$5:$G$1000,$P$5:$P$1000,$P203,$S$5:$S$1000,"Macro"),"0%")&amp;" · ","")&amp;IF(AND(N($T203)&gt;0,COUNT($H203:$K203)&gt;0),"Con subactividades: deje vacías las semanas (se calculan solas)"&amp;" · ","")&amp;IF((COUNTIF($H203:$K203,"&gt;1")+COUNTIF($H203:$K203,"&lt;0")+COUNTA($H203:$K203)-COUNT($H203:$K203))&gt;0,"Avance fuera de rango 0-100%"&amp;" · ","")&amp;IF(OR(AND($I203&lt;&gt;"",$I203&lt;$H203),AND($J203&lt;&gt;"",$J203&lt;MAX($H203:$I203)),AND($K203&lt;&gt;"",$K203&lt;MAX($H203:$J203))),"Avance semanal decreciente"&amp;" · ","")&amp;IF(AND(ISNUMBER($F203),$F203&lt;FechaRef,N($L203)&lt;1),"Vencida"&amp;" · ","")&amp;IF(AND(ObsObligatoria="Sí",ISNUMBER($F203),$F203&lt;FechaRef,N($L203)&lt;1,$N203=""),"Vencida sin observación"&amp;" · ",""))="","✔ OK","⚠ "&amp;LEFT(IF(AND($S203="Macro",$B203=""),"Macroactividad vacía"&amp;" · ","")&amp;IF(AND($B203&lt;&gt;"",$C203&lt;&gt;""),"Escriba la subactividad en otra fila, debajo de su macroactividad"&amp;" · ","")&amp;IF(AND($S203="Sub",N($R203)=0),"Subactividad sin macroactividad arriba"&amp;" · ","")&amp;IF($D203="","Sin responsable"&amp;" · ","")&amp;IF($E203="","Sin fecha de inicio"&amp;" · ","")&amp;IF($F203="","Sin fecha límite"&amp;" · ","")&amp;IF(OR(AND($E203&lt;&gt;"",NOT(ISNUMBER($E203))),AND($F203&lt;&gt;"",NOT(ISNUMBER($F203)))),"Fecha no válida"&amp;" · ","")&amp;IF(AND(ISNUMBER($E203),ISNUMBER($F203),$E203&gt;$F203),"Inicio posterior a fecha límite"&amp;" · ","")&amp;IF(AND($S203="Macro",$G203=""),"Peso vacío"&amp;" · ","")&amp;IF(AND($S203="Macro",$G203&lt;&gt;"",OR(NOT(ISNUMBER($G203)),$G203&lt;=0,$G203&gt;1)),"Peso fuera de rango"&amp;" · ","")&amp;IF(AND($S203="Sub",$G203&lt;&gt;""),"Las subactividades no llevan peso"&amp;" · ","")&amp;IF(AND($S203="Macro",ABS(SUMIFS($G$5:$G$1000,$P$5:$P$1000,$P203,$S$5:$S$1000,"Macro")-1)&gt;0.0001),"Pesos del mes suman "&amp;TEXT(SUMIFS($G$5:$G$1000,$P$5:$P$1000,$P203,$S$5:$S$1000,"Macro"),"0%")&amp;" · ","")&amp;IF(AND(N($T203)&gt;0,COUNT($H203:$K203)&gt;0),"Con subactividades: deje vacías las semanas (se calculan solas)"&amp;" · ","")&amp;IF((COUNTIF($H203:$K203,"&gt;1")+COUNTIF($H203:$K203,"&lt;0")+COUNTA($H203:$K203)-COUNT($H203:$K203))&gt;0,"Avance fuera de rango 0-100%"&amp;" · ","")&amp;IF(OR(AND($I203&lt;&gt;"",$I203&lt;$H203),AND($J203&lt;&gt;"",$J203&lt;MAX($H203:$I203)),AND($K203&lt;&gt;"",$K203&lt;MAX($H203:$J203))),"Avance semanal decreciente"&amp;" · ","")&amp;IF(AND(ISNUMBER($F203),$F203&lt;FechaRef,N($L203)&lt;1),"Vencida"&amp;" · ","")&amp;IF(AND(ObsObligatoria="Sí",ISNUMBER($F203),$F203&lt;FechaRef,N($L203)&lt;1,$N203=""),"Vencida sin observación"&amp;" · ",""),LEN(IF(AND($S203="Macro",$B203=""),"Macroactividad vacía"&amp;" · ","")&amp;IF(AND($B203&lt;&gt;"",$C203&lt;&gt;""),"Escriba la subactividad en otra fila, debajo de su macroactividad"&amp;" · ","")&amp;IF(AND($S203="Sub",N($R203)=0),"Subactividad sin macroactividad arriba"&amp;" · ","")&amp;IF($D203="","Sin responsable"&amp;" · ","")&amp;IF($E203="","Sin fecha de inicio"&amp;" · ","")&amp;IF($F203="","Sin fecha límite"&amp;" · ","")&amp;IF(OR(AND($E203&lt;&gt;"",NOT(ISNUMBER($E203))),AND($F203&lt;&gt;"",NOT(ISNUMBER($F203)))),"Fecha no válida"&amp;" · ","")&amp;IF(AND(ISNUMBER($E203),ISNUMBER($F203),$E203&gt;$F203),"Inicio posterior a fecha límite"&amp;" · ","")&amp;IF(AND($S203="Macro",$G203=""),"Peso vacío"&amp;" · ","")&amp;IF(AND($S203="Macro",$G203&lt;&gt;"",OR(NOT(ISNUMBER($G203)),$G203&lt;=0,$G203&gt;1)),"Peso fuera de rango"&amp;" · ","")&amp;IF(AND($S203="Sub",$G203&lt;&gt;""),"Las subactividades no llevan peso"&amp;" · ","")&amp;IF(AND($S203="Macro",ABS(SUMIFS($G$5:$G$1000,$P$5:$P$1000,$P203,$S$5:$S$1000,"Macro")-1)&gt;0.0001),"Pesos del mes suman "&amp;TEXT(SUMIFS($G$5:$G$1000,$P$5:$P$1000,$P203,$S$5:$S$1000,"Macro"),"0%")&amp;" · ","")&amp;IF(AND(N($T203)&gt;0,COUNT($H203:$K203)&gt;0),"Con subactividades: deje vacías las semanas (se calculan solas)"&amp;" · ","")&amp;IF((COUNTIF($H203:$K203,"&gt;1")+COUNTIF($H203:$K203,"&lt;0")+COUNTA($H203:$K203)-COUNT($H203:$K203))&gt;0,"Avance fuera de rango 0-100%"&amp;" · ","")&amp;IF(OR(AND($I203&lt;&gt;"",$I203&lt;$H203),AND($J203&lt;&gt;"",$J203&lt;MAX($H203:$I203)),AND($K203&lt;&gt;"",$K203&lt;MAX($H203:$J203))),"Avance semanal decreciente"&amp;" · ","")&amp;IF(AND(ISNUMBER($F203),$F203&lt;FechaRef,N($L203)&lt;1),"Vencida"&amp;" · ","")&amp;IF(AND(ObsObligatoria="Sí",ISNUMBER($F203),$F203&lt;FechaRef,N($L203)&lt;1,$N203=""),"Vencida sin observación"&amp;" · ",""))-3)))</f>
        <v/>
      </c>
      <c r="P203" s="69">
        <f>IF(NOT((COUNTA($B203:$K203)+COUNTA($N203))&gt;0),"",IF(AND($S203="Sub",N($R203)&gt;0),IF(ISNUMBER(INDEX($E$5:$E$1000,$R203-4)),DATE(YEAR(INDEX($E$5:$E$1000,$R203-4)),MONTH(INDEX($E$5:$E$1000,$R203-4)),1),IF(ISNUMBER(INDEX($F$5:$F$1000,$R203-4)),DATE(YEAR(INDEX($F$5:$F$1000,$R203-4)),MONTH(INDEX($F$5:$F$1000,$R203-4)),1),MesCiclo)),IF(ISNUMBER($E203),DATE(YEAR($E203),MONTH($E203),1),IF(ISNUMBER($F203),DATE(YEAR($F203),MONTH($F203),1),MesCiclo))))</f>
        <v/>
      </c>
      <c r="Q203" s="70">
        <f>IF(OR($P203="",$P203&lt;&gt;MesCiclo),"",COUNTIF($P$5:$P203,MesCiclo))</f>
        <v/>
      </c>
      <c r="R203" s="70">
        <f>IF($S203="","",IF($S203="Macro",ROW(),IFERROR(LOOKUP(2,1/($S$5:$S203="Macro"),ROW($S$5:$S203)),0)))</f>
        <v/>
      </c>
      <c r="S203" s="70">
        <f>IF(NOT((COUNTA($B203:$K203)+COUNTA($N203))&gt;0),"",IF($B203&lt;&gt;"","Macro",IF($C203&lt;&gt;"","Sub","Macro")))</f>
        <v/>
      </c>
      <c r="T203" s="70">
        <f>IF($S203="Macro",COUNTIFS($R$5:$R$1000,ROW(),$S$5:$S$1000,"Sub"),"")</f>
        <v/>
      </c>
      <c r="U203" s="70">
        <f>IF($S203="","",IF(ISNUMBER($H203),$H203,0))</f>
        <v/>
      </c>
      <c r="V203" s="70">
        <f>IF($S203="","",IF(ISNUMBER($I203),$I203,$U203))</f>
        <v/>
      </c>
      <c r="W203" s="70">
        <f>IF($S203="","",IF(ISNUMBER($J203),$J203,$V203))</f>
        <v/>
      </c>
      <c r="X203" s="70">
        <f>IF($S203="","",IF(ISNUMBER($K203),$K203,$W203))</f>
        <v/>
      </c>
      <c r="Y203" s="70">
        <f>IF($S203="","",IF(N($T203)&gt;0,AVERAGEIFS($U$5:$U$1000,$R$5:$R$1000,ROW(),$S$5:$S$1000,"Sub"),$U203))</f>
        <v/>
      </c>
      <c r="Z203" s="70">
        <f>IF($S203="","",IF(N($T203)&gt;0,AVERAGEIFS($V$5:$V$1000,$R$5:$R$1000,ROW(),$S$5:$S$1000,"Sub"),$V203))</f>
        <v/>
      </c>
      <c r="AA203" s="70">
        <f>IF($S203="","",IF(N($T203)&gt;0,AVERAGEIFS($W$5:$W$1000,$R$5:$R$1000,ROW(),$S$5:$S$1000,"Sub"),$W203))</f>
        <v/>
      </c>
      <c r="AB203" s="70">
        <f>IF($S203="","",IF(N($T203)&gt;0,AVERAGEIFS($X$5:$X$1000,$R$5:$R$1000,ROW(),$S$5:$S$1000,"Sub"),$X203))</f>
        <v/>
      </c>
    </row>
    <row r="204">
      <c r="A204" s="61">
        <f>IF(NOT((COUNTA($B204:$K204)+COUNTA($N204))&gt;0),"",IF($S204="Macro",COUNTIFS($S$5:$S204,"Macro",$P$5:$P204,$P204),IF(N($R204)=0,"?",COUNTIFS(INDEX($S$5:$S$1000,1):INDEX($S$5:$S$1000,$R204-4),"Macro",INDEX($P$5:$P$1000,1):INDEX($P$5:$P$1000,$R204-4),INDEX($P$5:$P$1000,$R204-4))&amp;"."&amp;COUNTIFS($R$5:$R204,$R204,$S$5:$S204,"Sub"))))</f>
        <v/>
      </c>
      <c r="B204" s="62" t="n"/>
      <c r="C204" s="63" t="n"/>
      <c r="D204" s="62" t="n"/>
      <c r="E204" s="64" t="n"/>
      <c r="F204" s="64" t="n"/>
      <c r="G204" s="65" t="n"/>
      <c r="H204" s="66" t="n"/>
      <c r="I204" s="66" t="n"/>
      <c r="J204" s="66" t="n"/>
      <c r="K204" s="66" t="n"/>
      <c r="L204" s="67">
        <f>IF(NOT((COUNTA($B204:$K204)+COUNTA($N204))&gt;0),"",IF(N($T204)&gt;0,$AB204,IFERROR(LOOKUP(2,1/(H204:K204&lt;&gt;""),H204:K204),0)))</f>
        <v/>
      </c>
      <c r="M204" s="61">
        <f>IF(L204="","",IF(L204&gt;=1,"Completado",IF(L204&gt;0,"En curso","Pendiente")))</f>
        <v/>
      </c>
      <c r="N204" s="62" t="n"/>
      <c r="O204" s="68">
        <f>IF(NOT((COUNTA($B204:$K204)+COUNTA($N204))&gt;0),"",IF((IF(AND($S204="Macro",$B204=""),"Macroactividad vacía"&amp;" · ","")&amp;IF(AND($B204&lt;&gt;"",$C204&lt;&gt;""),"Escriba la subactividad en otra fila, debajo de su macroactividad"&amp;" · ","")&amp;IF(AND($S204="Sub",N($R204)=0),"Subactividad sin macroactividad arriba"&amp;" · ","")&amp;IF($D204="","Sin responsable"&amp;" · ","")&amp;IF($E204="","Sin fecha de inicio"&amp;" · ","")&amp;IF($F204="","Sin fecha límite"&amp;" · ","")&amp;IF(OR(AND($E204&lt;&gt;"",NOT(ISNUMBER($E204))),AND($F204&lt;&gt;"",NOT(ISNUMBER($F204)))),"Fecha no válida"&amp;" · ","")&amp;IF(AND(ISNUMBER($E204),ISNUMBER($F204),$E204&gt;$F204),"Inicio posterior a fecha límite"&amp;" · ","")&amp;IF(AND($S204="Macro",$G204=""),"Peso vacío"&amp;" · ","")&amp;IF(AND($S204="Macro",$G204&lt;&gt;"",OR(NOT(ISNUMBER($G204)),$G204&lt;=0,$G204&gt;1)),"Peso fuera de rango"&amp;" · ","")&amp;IF(AND($S204="Sub",$G204&lt;&gt;""),"Las subactividades no llevan peso"&amp;" · ","")&amp;IF(AND($S204="Macro",ABS(SUMIFS($G$5:$G$1000,$P$5:$P$1000,$P204,$S$5:$S$1000,"Macro")-1)&gt;0.0001),"Pesos del mes suman "&amp;TEXT(SUMIFS($G$5:$G$1000,$P$5:$P$1000,$P204,$S$5:$S$1000,"Macro"),"0%")&amp;" · ","")&amp;IF(AND(N($T204)&gt;0,COUNT($H204:$K204)&gt;0),"Con subactividades: deje vacías las semanas (se calculan solas)"&amp;" · ","")&amp;IF((COUNTIF($H204:$K204,"&gt;1")+COUNTIF($H204:$K204,"&lt;0")+COUNTA($H204:$K204)-COUNT($H204:$K204))&gt;0,"Avance fuera de rango 0-100%"&amp;" · ","")&amp;IF(OR(AND($I204&lt;&gt;"",$I204&lt;$H204),AND($J204&lt;&gt;"",$J204&lt;MAX($H204:$I204)),AND($K204&lt;&gt;"",$K204&lt;MAX($H204:$J204))),"Avance semanal decreciente"&amp;" · ","")&amp;IF(AND(ISNUMBER($F204),$F204&lt;FechaRef,N($L204)&lt;1),"Vencida"&amp;" · ","")&amp;IF(AND(ObsObligatoria="Sí",ISNUMBER($F204),$F204&lt;FechaRef,N($L204)&lt;1,$N204=""),"Vencida sin observación"&amp;" · ",""))="","✔ OK","⚠ "&amp;LEFT(IF(AND($S204="Macro",$B204=""),"Macroactividad vacía"&amp;" · ","")&amp;IF(AND($B204&lt;&gt;"",$C204&lt;&gt;""),"Escriba la subactividad en otra fila, debajo de su macroactividad"&amp;" · ","")&amp;IF(AND($S204="Sub",N($R204)=0),"Subactividad sin macroactividad arriba"&amp;" · ","")&amp;IF($D204="","Sin responsable"&amp;" · ","")&amp;IF($E204="","Sin fecha de inicio"&amp;" · ","")&amp;IF($F204="","Sin fecha límite"&amp;" · ","")&amp;IF(OR(AND($E204&lt;&gt;"",NOT(ISNUMBER($E204))),AND($F204&lt;&gt;"",NOT(ISNUMBER($F204)))),"Fecha no válida"&amp;" · ","")&amp;IF(AND(ISNUMBER($E204),ISNUMBER($F204),$E204&gt;$F204),"Inicio posterior a fecha límite"&amp;" · ","")&amp;IF(AND($S204="Macro",$G204=""),"Peso vacío"&amp;" · ","")&amp;IF(AND($S204="Macro",$G204&lt;&gt;"",OR(NOT(ISNUMBER($G204)),$G204&lt;=0,$G204&gt;1)),"Peso fuera de rango"&amp;" · ","")&amp;IF(AND($S204="Sub",$G204&lt;&gt;""),"Las subactividades no llevan peso"&amp;" · ","")&amp;IF(AND($S204="Macro",ABS(SUMIFS($G$5:$G$1000,$P$5:$P$1000,$P204,$S$5:$S$1000,"Macro")-1)&gt;0.0001),"Pesos del mes suman "&amp;TEXT(SUMIFS($G$5:$G$1000,$P$5:$P$1000,$P204,$S$5:$S$1000,"Macro"),"0%")&amp;" · ","")&amp;IF(AND(N($T204)&gt;0,COUNT($H204:$K204)&gt;0),"Con subactividades: deje vacías las semanas (se calculan solas)"&amp;" · ","")&amp;IF((COUNTIF($H204:$K204,"&gt;1")+COUNTIF($H204:$K204,"&lt;0")+COUNTA($H204:$K204)-COUNT($H204:$K204))&gt;0,"Avance fuera de rango 0-100%"&amp;" · ","")&amp;IF(OR(AND($I204&lt;&gt;"",$I204&lt;$H204),AND($J204&lt;&gt;"",$J204&lt;MAX($H204:$I204)),AND($K204&lt;&gt;"",$K204&lt;MAX($H204:$J204))),"Avance semanal decreciente"&amp;" · ","")&amp;IF(AND(ISNUMBER($F204),$F204&lt;FechaRef,N($L204)&lt;1),"Vencida"&amp;" · ","")&amp;IF(AND(ObsObligatoria="Sí",ISNUMBER($F204),$F204&lt;FechaRef,N($L204)&lt;1,$N204=""),"Vencida sin observación"&amp;" · ",""),LEN(IF(AND($S204="Macro",$B204=""),"Macroactividad vacía"&amp;" · ","")&amp;IF(AND($B204&lt;&gt;"",$C204&lt;&gt;""),"Escriba la subactividad en otra fila, debajo de su macroactividad"&amp;" · ","")&amp;IF(AND($S204="Sub",N($R204)=0),"Subactividad sin macroactividad arriba"&amp;" · ","")&amp;IF($D204="","Sin responsable"&amp;" · ","")&amp;IF($E204="","Sin fecha de inicio"&amp;" · ","")&amp;IF($F204="","Sin fecha límite"&amp;" · ","")&amp;IF(OR(AND($E204&lt;&gt;"",NOT(ISNUMBER($E204))),AND($F204&lt;&gt;"",NOT(ISNUMBER($F204)))),"Fecha no válida"&amp;" · ","")&amp;IF(AND(ISNUMBER($E204),ISNUMBER($F204),$E204&gt;$F204),"Inicio posterior a fecha límite"&amp;" · ","")&amp;IF(AND($S204="Macro",$G204=""),"Peso vacío"&amp;" · ","")&amp;IF(AND($S204="Macro",$G204&lt;&gt;"",OR(NOT(ISNUMBER($G204)),$G204&lt;=0,$G204&gt;1)),"Peso fuera de rango"&amp;" · ","")&amp;IF(AND($S204="Sub",$G204&lt;&gt;""),"Las subactividades no llevan peso"&amp;" · ","")&amp;IF(AND($S204="Macro",ABS(SUMIFS($G$5:$G$1000,$P$5:$P$1000,$P204,$S$5:$S$1000,"Macro")-1)&gt;0.0001),"Pesos del mes suman "&amp;TEXT(SUMIFS($G$5:$G$1000,$P$5:$P$1000,$P204,$S$5:$S$1000,"Macro"),"0%")&amp;" · ","")&amp;IF(AND(N($T204)&gt;0,COUNT($H204:$K204)&gt;0),"Con subactividades: deje vacías las semanas (se calculan solas)"&amp;" · ","")&amp;IF((COUNTIF($H204:$K204,"&gt;1")+COUNTIF($H204:$K204,"&lt;0")+COUNTA($H204:$K204)-COUNT($H204:$K204))&gt;0,"Avance fuera de rango 0-100%"&amp;" · ","")&amp;IF(OR(AND($I204&lt;&gt;"",$I204&lt;$H204),AND($J204&lt;&gt;"",$J204&lt;MAX($H204:$I204)),AND($K204&lt;&gt;"",$K204&lt;MAX($H204:$J204))),"Avance semanal decreciente"&amp;" · ","")&amp;IF(AND(ISNUMBER($F204),$F204&lt;FechaRef,N($L204)&lt;1),"Vencida"&amp;" · ","")&amp;IF(AND(ObsObligatoria="Sí",ISNUMBER($F204),$F204&lt;FechaRef,N($L204)&lt;1,$N204=""),"Vencida sin observación"&amp;" · ",""))-3)))</f>
        <v/>
      </c>
      <c r="P204" s="69">
        <f>IF(NOT((COUNTA($B204:$K204)+COUNTA($N204))&gt;0),"",IF(AND($S204="Sub",N($R204)&gt;0),IF(ISNUMBER(INDEX($E$5:$E$1000,$R204-4)),DATE(YEAR(INDEX($E$5:$E$1000,$R204-4)),MONTH(INDEX($E$5:$E$1000,$R204-4)),1),IF(ISNUMBER(INDEX($F$5:$F$1000,$R204-4)),DATE(YEAR(INDEX($F$5:$F$1000,$R204-4)),MONTH(INDEX($F$5:$F$1000,$R204-4)),1),MesCiclo)),IF(ISNUMBER($E204),DATE(YEAR($E204),MONTH($E204),1),IF(ISNUMBER($F204),DATE(YEAR($F204),MONTH($F204),1),MesCiclo))))</f>
        <v/>
      </c>
      <c r="Q204" s="70">
        <f>IF(OR($P204="",$P204&lt;&gt;MesCiclo),"",COUNTIF($P$5:$P204,MesCiclo))</f>
        <v/>
      </c>
      <c r="R204" s="70">
        <f>IF($S204="","",IF($S204="Macro",ROW(),IFERROR(LOOKUP(2,1/($S$5:$S204="Macro"),ROW($S$5:$S204)),0)))</f>
        <v/>
      </c>
      <c r="S204" s="70">
        <f>IF(NOT((COUNTA($B204:$K204)+COUNTA($N204))&gt;0),"",IF($B204&lt;&gt;"","Macro",IF($C204&lt;&gt;"","Sub","Macro")))</f>
        <v/>
      </c>
      <c r="T204" s="70">
        <f>IF($S204="Macro",COUNTIFS($R$5:$R$1000,ROW(),$S$5:$S$1000,"Sub"),"")</f>
        <v/>
      </c>
      <c r="U204" s="70">
        <f>IF($S204="","",IF(ISNUMBER($H204),$H204,0))</f>
        <v/>
      </c>
      <c r="V204" s="70">
        <f>IF($S204="","",IF(ISNUMBER($I204),$I204,$U204))</f>
        <v/>
      </c>
      <c r="W204" s="70">
        <f>IF($S204="","",IF(ISNUMBER($J204),$J204,$V204))</f>
        <v/>
      </c>
      <c r="X204" s="70">
        <f>IF($S204="","",IF(ISNUMBER($K204),$K204,$W204))</f>
        <v/>
      </c>
      <c r="Y204" s="70">
        <f>IF($S204="","",IF(N($T204)&gt;0,AVERAGEIFS($U$5:$U$1000,$R$5:$R$1000,ROW(),$S$5:$S$1000,"Sub"),$U204))</f>
        <v/>
      </c>
      <c r="Z204" s="70">
        <f>IF($S204="","",IF(N($T204)&gt;0,AVERAGEIFS($V$5:$V$1000,$R$5:$R$1000,ROW(),$S$5:$S$1000,"Sub"),$V204))</f>
        <v/>
      </c>
      <c r="AA204" s="70">
        <f>IF($S204="","",IF(N($T204)&gt;0,AVERAGEIFS($W$5:$W$1000,$R$5:$R$1000,ROW(),$S$5:$S$1000,"Sub"),$W204))</f>
        <v/>
      </c>
      <c r="AB204" s="70">
        <f>IF($S204="","",IF(N($T204)&gt;0,AVERAGEIFS($X$5:$X$1000,$R$5:$R$1000,ROW(),$S$5:$S$1000,"Sub"),$X204))</f>
        <v/>
      </c>
    </row>
    <row r="205">
      <c r="A205" s="61">
        <f>IF(NOT((COUNTA($B205:$K205)+COUNTA($N205))&gt;0),"",IF($S205="Macro",COUNTIFS($S$5:$S205,"Macro",$P$5:$P205,$P205),IF(N($R205)=0,"?",COUNTIFS(INDEX($S$5:$S$1000,1):INDEX($S$5:$S$1000,$R205-4),"Macro",INDEX($P$5:$P$1000,1):INDEX($P$5:$P$1000,$R205-4),INDEX($P$5:$P$1000,$R205-4))&amp;"."&amp;COUNTIFS($R$5:$R205,$R205,$S$5:$S205,"Sub"))))</f>
        <v/>
      </c>
      <c r="B205" s="62" t="n"/>
      <c r="C205" s="63" t="n"/>
      <c r="D205" s="62" t="n"/>
      <c r="E205" s="64" t="n"/>
      <c r="F205" s="64" t="n"/>
      <c r="G205" s="65" t="n"/>
      <c r="H205" s="66" t="n"/>
      <c r="I205" s="66" t="n"/>
      <c r="J205" s="66" t="n"/>
      <c r="K205" s="66" t="n"/>
      <c r="L205" s="67">
        <f>IF(NOT((COUNTA($B205:$K205)+COUNTA($N205))&gt;0),"",IF(N($T205)&gt;0,$AB205,IFERROR(LOOKUP(2,1/(H205:K205&lt;&gt;""),H205:K205),0)))</f>
        <v/>
      </c>
      <c r="M205" s="61">
        <f>IF(L205="","",IF(L205&gt;=1,"Completado",IF(L205&gt;0,"En curso","Pendiente")))</f>
        <v/>
      </c>
      <c r="N205" s="62" t="n"/>
      <c r="O205" s="68">
        <f>IF(NOT((COUNTA($B205:$K205)+COUNTA($N205))&gt;0),"",IF((IF(AND($S205="Macro",$B205=""),"Macroactividad vacía"&amp;" · ","")&amp;IF(AND($B205&lt;&gt;"",$C205&lt;&gt;""),"Escriba la subactividad en otra fila, debajo de su macroactividad"&amp;" · ","")&amp;IF(AND($S205="Sub",N($R205)=0),"Subactividad sin macroactividad arriba"&amp;" · ","")&amp;IF($D205="","Sin responsable"&amp;" · ","")&amp;IF($E205="","Sin fecha de inicio"&amp;" · ","")&amp;IF($F205="","Sin fecha límite"&amp;" · ","")&amp;IF(OR(AND($E205&lt;&gt;"",NOT(ISNUMBER($E205))),AND($F205&lt;&gt;"",NOT(ISNUMBER($F205)))),"Fecha no válida"&amp;" · ","")&amp;IF(AND(ISNUMBER($E205),ISNUMBER($F205),$E205&gt;$F205),"Inicio posterior a fecha límite"&amp;" · ","")&amp;IF(AND($S205="Macro",$G205=""),"Peso vacío"&amp;" · ","")&amp;IF(AND($S205="Macro",$G205&lt;&gt;"",OR(NOT(ISNUMBER($G205)),$G205&lt;=0,$G205&gt;1)),"Peso fuera de rango"&amp;" · ","")&amp;IF(AND($S205="Sub",$G205&lt;&gt;""),"Las subactividades no llevan peso"&amp;" · ","")&amp;IF(AND($S205="Macro",ABS(SUMIFS($G$5:$G$1000,$P$5:$P$1000,$P205,$S$5:$S$1000,"Macro")-1)&gt;0.0001),"Pesos del mes suman "&amp;TEXT(SUMIFS($G$5:$G$1000,$P$5:$P$1000,$P205,$S$5:$S$1000,"Macro"),"0%")&amp;" · ","")&amp;IF(AND(N($T205)&gt;0,COUNT($H205:$K205)&gt;0),"Con subactividades: deje vacías las semanas (se calculan solas)"&amp;" · ","")&amp;IF((COUNTIF($H205:$K205,"&gt;1")+COUNTIF($H205:$K205,"&lt;0")+COUNTA($H205:$K205)-COUNT($H205:$K205))&gt;0,"Avance fuera de rango 0-100%"&amp;" · ","")&amp;IF(OR(AND($I205&lt;&gt;"",$I205&lt;$H205),AND($J205&lt;&gt;"",$J205&lt;MAX($H205:$I205)),AND($K205&lt;&gt;"",$K205&lt;MAX($H205:$J205))),"Avance semanal decreciente"&amp;" · ","")&amp;IF(AND(ISNUMBER($F205),$F205&lt;FechaRef,N($L205)&lt;1),"Vencida"&amp;" · ","")&amp;IF(AND(ObsObligatoria="Sí",ISNUMBER($F205),$F205&lt;FechaRef,N($L205)&lt;1,$N205=""),"Vencida sin observación"&amp;" · ",""))="","✔ OK","⚠ "&amp;LEFT(IF(AND($S205="Macro",$B205=""),"Macroactividad vacía"&amp;" · ","")&amp;IF(AND($B205&lt;&gt;"",$C205&lt;&gt;""),"Escriba la subactividad en otra fila, debajo de su macroactividad"&amp;" · ","")&amp;IF(AND($S205="Sub",N($R205)=0),"Subactividad sin macroactividad arriba"&amp;" · ","")&amp;IF($D205="","Sin responsable"&amp;" · ","")&amp;IF($E205="","Sin fecha de inicio"&amp;" · ","")&amp;IF($F205="","Sin fecha límite"&amp;" · ","")&amp;IF(OR(AND($E205&lt;&gt;"",NOT(ISNUMBER($E205))),AND($F205&lt;&gt;"",NOT(ISNUMBER($F205)))),"Fecha no válida"&amp;" · ","")&amp;IF(AND(ISNUMBER($E205),ISNUMBER($F205),$E205&gt;$F205),"Inicio posterior a fecha límite"&amp;" · ","")&amp;IF(AND($S205="Macro",$G205=""),"Peso vacío"&amp;" · ","")&amp;IF(AND($S205="Macro",$G205&lt;&gt;"",OR(NOT(ISNUMBER($G205)),$G205&lt;=0,$G205&gt;1)),"Peso fuera de rango"&amp;" · ","")&amp;IF(AND($S205="Sub",$G205&lt;&gt;""),"Las subactividades no llevan peso"&amp;" · ","")&amp;IF(AND($S205="Macro",ABS(SUMIFS($G$5:$G$1000,$P$5:$P$1000,$P205,$S$5:$S$1000,"Macro")-1)&gt;0.0001),"Pesos del mes suman "&amp;TEXT(SUMIFS($G$5:$G$1000,$P$5:$P$1000,$P205,$S$5:$S$1000,"Macro"),"0%")&amp;" · ","")&amp;IF(AND(N($T205)&gt;0,COUNT($H205:$K205)&gt;0),"Con subactividades: deje vacías las semanas (se calculan solas)"&amp;" · ","")&amp;IF((COUNTIF($H205:$K205,"&gt;1")+COUNTIF($H205:$K205,"&lt;0")+COUNTA($H205:$K205)-COUNT($H205:$K205))&gt;0,"Avance fuera de rango 0-100%"&amp;" · ","")&amp;IF(OR(AND($I205&lt;&gt;"",$I205&lt;$H205),AND($J205&lt;&gt;"",$J205&lt;MAX($H205:$I205)),AND($K205&lt;&gt;"",$K205&lt;MAX($H205:$J205))),"Avance semanal decreciente"&amp;" · ","")&amp;IF(AND(ISNUMBER($F205),$F205&lt;FechaRef,N($L205)&lt;1),"Vencida"&amp;" · ","")&amp;IF(AND(ObsObligatoria="Sí",ISNUMBER($F205),$F205&lt;FechaRef,N($L205)&lt;1,$N205=""),"Vencida sin observación"&amp;" · ",""),LEN(IF(AND($S205="Macro",$B205=""),"Macroactividad vacía"&amp;" · ","")&amp;IF(AND($B205&lt;&gt;"",$C205&lt;&gt;""),"Escriba la subactividad en otra fila, debajo de su macroactividad"&amp;" · ","")&amp;IF(AND($S205="Sub",N($R205)=0),"Subactividad sin macroactividad arriba"&amp;" · ","")&amp;IF($D205="","Sin responsable"&amp;" · ","")&amp;IF($E205="","Sin fecha de inicio"&amp;" · ","")&amp;IF($F205="","Sin fecha límite"&amp;" · ","")&amp;IF(OR(AND($E205&lt;&gt;"",NOT(ISNUMBER($E205))),AND($F205&lt;&gt;"",NOT(ISNUMBER($F205)))),"Fecha no válida"&amp;" · ","")&amp;IF(AND(ISNUMBER($E205),ISNUMBER($F205),$E205&gt;$F205),"Inicio posterior a fecha límite"&amp;" · ","")&amp;IF(AND($S205="Macro",$G205=""),"Peso vacío"&amp;" · ","")&amp;IF(AND($S205="Macro",$G205&lt;&gt;"",OR(NOT(ISNUMBER($G205)),$G205&lt;=0,$G205&gt;1)),"Peso fuera de rango"&amp;" · ","")&amp;IF(AND($S205="Sub",$G205&lt;&gt;""),"Las subactividades no llevan peso"&amp;" · ","")&amp;IF(AND($S205="Macro",ABS(SUMIFS($G$5:$G$1000,$P$5:$P$1000,$P205,$S$5:$S$1000,"Macro")-1)&gt;0.0001),"Pesos del mes suman "&amp;TEXT(SUMIFS($G$5:$G$1000,$P$5:$P$1000,$P205,$S$5:$S$1000,"Macro"),"0%")&amp;" · ","")&amp;IF(AND(N($T205)&gt;0,COUNT($H205:$K205)&gt;0),"Con subactividades: deje vacías las semanas (se calculan solas)"&amp;" · ","")&amp;IF((COUNTIF($H205:$K205,"&gt;1")+COUNTIF($H205:$K205,"&lt;0")+COUNTA($H205:$K205)-COUNT($H205:$K205))&gt;0,"Avance fuera de rango 0-100%"&amp;" · ","")&amp;IF(OR(AND($I205&lt;&gt;"",$I205&lt;$H205),AND($J205&lt;&gt;"",$J205&lt;MAX($H205:$I205)),AND($K205&lt;&gt;"",$K205&lt;MAX($H205:$J205))),"Avance semanal decreciente"&amp;" · ","")&amp;IF(AND(ISNUMBER($F205),$F205&lt;FechaRef,N($L205)&lt;1),"Vencida"&amp;" · ","")&amp;IF(AND(ObsObligatoria="Sí",ISNUMBER($F205),$F205&lt;FechaRef,N($L205)&lt;1,$N205=""),"Vencida sin observación"&amp;" · ",""))-3)))</f>
        <v/>
      </c>
      <c r="P205" s="69">
        <f>IF(NOT((COUNTA($B205:$K205)+COUNTA($N205))&gt;0),"",IF(AND($S205="Sub",N($R205)&gt;0),IF(ISNUMBER(INDEX($E$5:$E$1000,$R205-4)),DATE(YEAR(INDEX($E$5:$E$1000,$R205-4)),MONTH(INDEX($E$5:$E$1000,$R205-4)),1),IF(ISNUMBER(INDEX($F$5:$F$1000,$R205-4)),DATE(YEAR(INDEX($F$5:$F$1000,$R205-4)),MONTH(INDEX($F$5:$F$1000,$R205-4)),1),MesCiclo)),IF(ISNUMBER($E205),DATE(YEAR($E205),MONTH($E205),1),IF(ISNUMBER($F205),DATE(YEAR($F205),MONTH($F205),1),MesCiclo))))</f>
        <v/>
      </c>
      <c r="Q205" s="70">
        <f>IF(OR($P205="",$P205&lt;&gt;MesCiclo),"",COUNTIF($P$5:$P205,MesCiclo))</f>
        <v/>
      </c>
      <c r="R205" s="70">
        <f>IF($S205="","",IF($S205="Macro",ROW(),IFERROR(LOOKUP(2,1/($S$5:$S205="Macro"),ROW($S$5:$S205)),0)))</f>
        <v/>
      </c>
      <c r="S205" s="70">
        <f>IF(NOT((COUNTA($B205:$K205)+COUNTA($N205))&gt;0),"",IF($B205&lt;&gt;"","Macro",IF($C205&lt;&gt;"","Sub","Macro")))</f>
        <v/>
      </c>
      <c r="T205" s="70">
        <f>IF($S205="Macro",COUNTIFS($R$5:$R$1000,ROW(),$S$5:$S$1000,"Sub"),"")</f>
        <v/>
      </c>
      <c r="U205" s="70">
        <f>IF($S205="","",IF(ISNUMBER($H205),$H205,0))</f>
        <v/>
      </c>
      <c r="V205" s="70">
        <f>IF($S205="","",IF(ISNUMBER($I205),$I205,$U205))</f>
        <v/>
      </c>
      <c r="W205" s="70">
        <f>IF($S205="","",IF(ISNUMBER($J205),$J205,$V205))</f>
        <v/>
      </c>
      <c r="X205" s="70">
        <f>IF($S205="","",IF(ISNUMBER($K205),$K205,$W205))</f>
        <v/>
      </c>
      <c r="Y205" s="70">
        <f>IF($S205="","",IF(N($T205)&gt;0,AVERAGEIFS($U$5:$U$1000,$R$5:$R$1000,ROW(),$S$5:$S$1000,"Sub"),$U205))</f>
        <v/>
      </c>
      <c r="Z205" s="70">
        <f>IF($S205="","",IF(N($T205)&gt;0,AVERAGEIFS($V$5:$V$1000,$R$5:$R$1000,ROW(),$S$5:$S$1000,"Sub"),$V205))</f>
        <v/>
      </c>
      <c r="AA205" s="70">
        <f>IF($S205="","",IF(N($T205)&gt;0,AVERAGEIFS($W$5:$W$1000,$R$5:$R$1000,ROW(),$S$5:$S$1000,"Sub"),$W205))</f>
        <v/>
      </c>
      <c r="AB205" s="70">
        <f>IF($S205="","",IF(N($T205)&gt;0,AVERAGEIFS($X$5:$X$1000,$R$5:$R$1000,ROW(),$S$5:$S$1000,"Sub"),$X205))</f>
        <v/>
      </c>
    </row>
    <row r="206">
      <c r="A206" s="61">
        <f>IF(NOT((COUNTA($B206:$K206)+COUNTA($N206))&gt;0),"",IF($S206="Macro",COUNTIFS($S$5:$S206,"Macro",$P$5:$P206,$P206),IF(N($R206)=0,"?",COUNTIFS(INDEX($S$5:$S$1000,1):INDEX($S$5:$S$1000,$R206-4),"Macro",INDEX($P$5:$P$1000,1):INDEX($P$5:$P$1000,$R206-4),INDEX($P$5:$P$1000,$R206-4))&amp;"."&amp;COUNTIFS($R$5:$R206,$R206,$S$5:$S206,"Sub"))))</f>
        <v/>
      </c>
      <c r="B206" s="62" t="n"/>
      <c r="C206" s="63" t="n"/>
      <c r="D206" s="62" t="n"/>
      <c r="E206" s="64" t="n"/>
      <c r="F206" s="64" t="n"/>
      <c r="G206" s="65" t="n"/>
      <c r="H206" s="66" t="n"/>
      <c r="I206" s="66" t="n"/>
      <c r="J206" s="66" t="n"/>
      <c r="K206" s="66" t="n"/>
      <c r="L206" s="67">
        <f>IF(NOT((COUNTA($B206:$K206)+COUNTA($N206))&gt;0),"",IF(N($T206)&gt;0,$AB206,IFERROR(LOOKUP(2,1/(H206:K206&lt;&gt;""),H206:K206),0)))</f>
        <v/>
      </c>
      <c r="M206" s="61">
        <f>IF(L206="","",IF(L206&gt;=1,"Completado",IF(L206&gt;0,"En curso","Pendiente")))</f>
        <v/>
      </c>
      <c r="N206" s="62" t="n"/>
      <c r="O206" s="68">
        <f>IF(NOT((COUNTA($B206:$K206)+COUNTA($N206))&gt;0),"",IF((IF(AND($S206="Macro",$B206=""),"Macroactividad vacía"&amp;" · ","")&amp;IF(AND($B206&lt;&gt;"",$C206&lt;&gt;""),"Escriba la subactividad en otra fila, debajo de su macroactividad"&amp;" · ","")&amp;IF(AND($S206="Sub",N($R206)=0),"Subactividad sin macroactividad arriba"&amp;" · ","")&amp;IF($D206="","Sin responsable"&amp;" · ","")&amp;IF($E206="","Sin fecha de inicio"&amp;" · ","")&amp;IF($F206="","Sin fecha límite"&amp;" · ","")&amp;IF(OR(AND($E206&lt;&gt;"",NOT(ISNUMBER($E206))),AND($F206&lt;&gt;"",NOT(ISNUMBER($F206)))),"Fecha no válida"&amp;" · ","")&amp;IF(AND(ISNUMBER($E206),ISNUMBER($F206),$E206&gt;$F206),"Inicio posterior a fecha límite"&amp;" · ","")&amp;IF(AND($S206="Macro",$G206=""),"Peso vacío"&amp;" · ","")&amp;IF(AND($S206="Macro",$G206&lt;&gt;"",OR(NOT(ISNUMBER($G206)),$G206&lt;=0,$G206&gt;1)),"Peso fuera de rango"&amp;" · ","")&amp;IF(AND($S206="Sub",$G206&lt;&gt;""),"Las subactividades no llevan peso"&amp;" · ","")&amp;IF(AND($S206="Macro",ABS(SUMIFS($G$5:$G$1000,$P$5:$P$1000,$P206,$S$5:$S$1000,"Macro")-1)&gt;0.0001),"Pesos del mes suman "&amp;TEXT(SUMIFS($G$5:$G$1000,$P$5:$P$1000,$P206,$S$5:$S$1000,"Macro"),"0%")&amp;" · ","")&amp;IF(AND(N($T206)&gt;0,COUNT($H206:$K206)&gt;0),"Con subactividades: deje vacías las semanas (se calculan solas)"&amp;" · ","")&amp;IF((COUNTIF($H206:$K206,"&gt;1")+COUNTIF($H206:$K206,"&lt;0")+COUNTA($H206:$K206)-COUNT($H206:$K206))&gt;0,"Avance fuera de rango 0-100%"&amp;" · ","")&amp;IF(OR(AND($I206&lt;&gt;"",$I206&lt;$H206),AND($J206&lt;&gt;"",$J206&lt;MAX($H206:$I206)),AND($K206&lt;&gt;"",$K206&lt;MAX($H206:$J206))),"Avance semanal decreciente"&amp;" · ","")&amp;IF(AND(ISNUMBER($F206),$F206&lt;FechaRef,N($L206)&lt;1),"Vencida"&amp;" · ","")&amp;IF(AND(ObsObligatoria="Sí",ISNUMBER($F206),$F206&lt;FechaRef,N($L206)&lt;1,$N206=""),"Vencida sin observación"&amp;" · ",""))="","✔ OK","⚠ "&amp;LEFT(IF(AND($S206="Macro",$B206=""),"Macroactividad vacía"&amp;" · ","")&amp;IF(AND($B206&lt;&gt;"",$C206&lt;&gt;""),"Escriba la subactividad en otra fila, debajo de su macroactividad"&amp;" · ","")&amp;IF(AND($S206="Sub",N($R206)=0),"Subactividad sin macroactividad arriba"&amp;" · ","")&amp;IF($D206="","Sin responsable"&amp;" · ","")&amp;IF($E206="","Sin fecha de inicio"&amp;" · ","")&amp;IF($F206="","Sin fecha límite"&amp;" · ","")&amp;IF(OR(AND($E206&lt;&gt;"",NOT(ISNUMBER($E206))),AND($F206&lt;&gt;"",NOT(ISNUMBER($F206)))),"Fecha no válida"&amp;" · ","")&amp;IF(AND(ISNUMBER($E206),ISNUMBER($F206),$E206&gt;$F206),"Inicio posterior a fecha límite"&amp;" · ","")&amp;IF(AND($S206="Macro",$G206=""),"Peso vacío"&amp;" · ","")&amp;IF(AND($S206="Macro",$G206&lt;&gt;"",OR(NOT(ISNUMBER($G206)),$G206&lt;=0,$G206&gt;1)),"Peso fuera de rango"&amp;" · ","")&amp;IF(AND($S206="Sub",$G206&lt;&gt;""),"Las subactividades no llevan peso"&amp;" · ","")&amp;IF(AND($S206="Macro",ABS(SUMIFS($G$5:$G$1000,$P$5:$P$1000,$P206,$S$5:$S$1000,"Macro")-1)&gt;0.0001),"Pesos del mes suman "&amp;TEXT(SUMIFS($G$5:$G$1000,$P$5:$P$1000,$P206,$S$5:$S$1000,"Macro"),"0%")&amp;" · ","")&amp;IF(AND(N($T206)&gt;0,COUNT($H206:$K206)&gt;0),"Con subactividades: deje vacías las semanas (se calculan solas)"&amp;" · ","")&amp;IF((COUNTIF($H206:$K206,"&gt;1")+COUNTIF($H206:$K206,"&lt;0")+COUNTA($H206:$K206)-COUNT($H206:$K206))&gt;0,"Avance fuera de rango 0-100%"&amp;" · ","")&amp;IF(OR(AND($I206&lt;&gt;"",$I206&lt;$H206),AND($J206&lt;&gt;"",$J206&lt;MAX($H206:$I206)),AND($K206&lt;&gt;"",$K206&lt;MAX($H206:$J206))),"Avance semanal decreciente"&amp;" · ","")&amp;IF(AND(ISNUMBER($F206),$F206&lt;FechaRef,N($L206)&lt;1),"Vencida"&amp;" · ","")&amp;IF(AND(ObsObligatoria="Sí",ISNUMBER($F206),$F206&lt;FechaRef,N($L206)&lt;1,$N206=""),"Vencida sin observación"&amp;" · ",""),LEN(IF(AND($S206="Macro",$B206=""),"Macroactividad vacía"&amp;" · ","")&amp;IF(AND($B206&lt;&gt;"",$C206&lt;&gt;""),"Escriba la subactividad en otra fila, debajo de su macroactividad"&amp;" · ","")&amp;IF(AND($S206="Sub",N($R206)=0),"Subactividad sin macroactividad arriba"&amp;" · ","")&amp;IF($D206="","Sin responsable"&amp;" · ","")&amp;IF($E206="","Sin fecha de inicio"&amp;" · ","")&amp;IF($F206="","Sin fecha límite"&amp;" · ","")&amp;IF(OR(AND($E206&lt;&gt;"",NOT(ISNUMBER($E206))),AND($F206&lt;&gt;"",NOT(ISNUMBER($F206)))),"Fecha no válida"&amp;" · ","")&amp;IF(AND(ISNUMBER($E206),ISNUMBER($F206),$E206&gt;$F206),"Inicio posterior a fecha límite"&amp;" · ","")&amp;IF(AND($S206="Macro",$G206=""),"Peso vacío"&amp;" · ","")&amp;IF(AND($S206="Macro",$G206&lt;&gt;"",OR(NOT(ISNUMBER($G206)),$G206&lt;=0,$G206&gt;1)),"Peso fuera de rango"&amp;" · ","")&amp;IF(AND($S206="Sub",$G206&lt;&gt;""),"Las subactividades no llevan peso"&amp;" · ","")&amp;IF(AND($S206="Macro",ABS(SUMIFS($G$5:$G$1000,$P$5:$P$1000,$P206,$S$5:$S$1000,"Macro")-1)&gt;0.0001),"Pesos del mes suman "&amp;TEXT(SUMIFS($G$5:$G$1000,$P$5:$P$1000,$P206,$S$5:$S$1000,"Macro"),"0%")&amp;" · ","")&amp;IF(AND(N($T206)&gt;0,COUNT($H206:$K206)&gt;0),"Con subactividades: deje vacías las semanas (se calculan solas)"&amp;" · ","")&amp;IF((COUNTIF($H206:$K206,"&gt;1")+COUNTIF($H206:$K206,"&lt;0")+COUNTA($H206:$K206)-COUNT($H206:$K206))&gt;0,"Avance fuera de rango 0-100%"&amp;" · ","")&amp;IF(OR(AND($I206&lt;&gt;"",$I206&lt;$H206),AND($J206&lt;&gt;"",$J206&lt;MAX($H206:$I206)),AND($K206&lt;&gt;"",$K206&lt;MAX($H206:$J206))),"Avance semanal decreciente"&amp;" · ","")&amp;IF(AND(ISNUMBER($F206),$F206&lt;FechaRef,N($L206)&lt;1),"Vencida"&amp;" · ","")&amp;IF(AND(ObsObligatoria="Sí",ISNUMBER($F206),$F206&lt;FechaRef,N($L206)&lt;1,$N206=""),"Vencida sin observación"&amp;" · ",""))-3)))</f>
        <v/>
      </c>
      <c r="P206" s="69">
        <f>IF(NOT((COUNTA($B206:$K206)+COUNTA($N206))&gt;0),"",IF(AND($S206="Sub",N($R206)&gt;0),IF(ISNUMBER(INDEX($E$5:$E$1000,$R206-4)),DATE(YEAR(INDEX($E$5:$E$1000,$R206-4)),MONTH(INDEX($E$5:$E$1000,$R206-4)),1),IF(ISNUMBER(INDEX($F$5:$F$1000,$R206-4)),DATE(YEAR(INDEX($F$5:$F$1000,$R206-4)),MONTH(INDEX($F$5:$F$1000,$R206-4)),1),MesCiclo)),IF(ISNUMBER($E206),DATE(YEAR($E206),MONTH($E206),1),IF(ISNUMBER($F206),DATE(YEAR($F206),MONTH($F206),1),MesCiclo))))</f>
        <v/>
      </c>
      <c r="Q206" s="70">
        <f>IF(OR($P206="",$P206&lt;&gt;MesCiclo),"",COUNTIF($P$5:$P206,MesCiclo))</f>
        <v/>
      </c>
      <c r="R206" s="70">
        <f>IF($S206="","",IF($S206="Macro",ROW(),IFERROR(LOOKUP(2,1/($S$5:$S206="Macro"),ROW($S$5:$S206)),0)))</f>
        <v/>
      </c>
      <c r="S206" s="70">
        <f>IF(NOT((COUNTA($B206:$K206)+COUNTA($N206))&gt;0),"",IF($B206&lt;&gt;"","Macro",IF($C206&lt;&gt;"","Sub","Macro")))</f>
        <v/>
      </c>
      <c r="T206" s="70">
        <f>IF($S206="Macro",COUNTIFS($R$5:$R$1000,ROW(),$S$5:$S$1000,"Sub"),"")</f>
        <v/>
      </c>
      <c r="U206" s="70">
        <f>IF($S206="","",IF(ISNUMBER($H206),$H206,0))</f>
        <v/>
      </c>
      <c r="V206" s="70">
        <f>IF($S206="","",IF(ISNUMBER($I206),$I206,$U206))</f>
        <v/>
      </c>
      <c r="W206" s="70">
        <f>IF($S206="","",IF(ISNUMBER($J206),$J206,$V206))</f>
        <v/>
      </c>
      <c r="X206" s="70">
        <f>IF($S206="","",IF(ISNUMBER($K206),$K206,$W206))</f>
        <v/>
      </c>
      <c r="Y206" s="70">
        <f>IF($S206="","",IF(N($T206)&gt;0,AVERAGEIFS($U$5:$U$1000,$R$5:$R$1000,ROW(),$S$5:$S$1000,"Sub"),$U206))</f>
        <v/>
      </c>
      <c r="Z206" s="70">
        <f>IF($S206="","",IF(N($T206)&gt;0,AVERAGEIFS($V$5:$V$1000,$R$5:$R$1000,ROW(),$S$5:$S$1000,"Sub"),$V206))</f>
        <v/>
      </c>
      <c r="AA206" s="70">
        <f>IF($S206="","",IF(N($T206)&gt;0,AVERAGEIFS($W$5:$W$1000,$R$5:$R$1000,ROW(),$S$5:$S$1000,"Sub"),$W206))</f>
        <v/>
      </c>
      <c r="AB206" s="70">
        <f>IF($S206="","",IF(N($T206)&gt;0,AVERAGEIFS($X$5:$X$1000,$R$5:$R$1000,ROW(),$S$5:$S$1000,"Sub"),$X206))</f>
        <v/>
      </c>
    </row>
    <row r="207">
      <c r="A207" s="61">
        <f>IF(NOT((COUNTA($B207:$K207)+COUNTA($N207))&gt;0),"",IF($S207="Macro",COUNTIFS($S$5:$S207,"Macro",$P$5:$P207,$P207),IF(N($R207)=0,"?",COUNTIFS(INDEX($S$5:$S$1000,1):INDEX($S$5:$S$1000,$R207-4),"Macro",INDEX($P$5:$P$1000,1):INDEX($P$5:$P$1000,$R207-4),INDEX($P$5:$P$1000,$R207-4))&amp;"."&amp;COUNTIFS($R$5:$R207,$R207,$S$5:$S207,"Sub"))))</f>
        <v/>
      </c>
      <c r="B207" s="62" t="n"/>
      <c r="C207" s="63" t="n"/>
      <c r="D207" s="62" t="n"/>
      <c r="E207" s="64" t="n"/>
      <c r="F207" s="64" t="n"/>
      <c r="G207" s="65" t="n"/>
      <c r="H207" s="66" t="n"/>
      <c r="I207" s="66" t="n"/>
      <c r="J207" s="66" t="n"/>
      <c r="K207" s="66" t="n"/>
      <c r="L207" s="67">
        <f>IF(NOT((COUNTA($B207:$K207)+COUNTA($N207))&gt;0),"",IF(N($T207)&gt;0,$AB207,IFERROR(LOOKUP(2,1/(H207:K207&lt;&gt;""),H207:K207),0)))</f>
        <v/>
      </c>
      <c r="M207" s="61">
        <f>IF(L207="","",IF(L207&gt;=1,"Completado",IF(L207&gt;0,"En curso","Pendiente")))</f>
        <v/>
      </c>
      <c r="N207" s="62" t="n"/>
      <c r="O207" s="68">
        <f>IF(NOT((COUNTA($B207:$K207)+COUNTA($N207))&gt;0),"",IF((IF(AND($S207="Macro",$B207=""),"Macroactividad vacía"&amp;" · ","")&amp;IF(AND($B207&lt;&gt;"",$C207&lt;&gt;""),"Escriba la subactividad en otra fila, debajo de su macroactividad"&amp;" · ","")&amp;IF(AND($S207="Sub",N($R207)=0),"Subactividad sin macroactividad arriba"&amp;" · ","")&amp;IF($D207="","Sin responsable"&amp;" · ","")&amp;IF($E207="","Sin fecha de inicio"&amp;" · ","")&amp;IF($F207="","Sin fecha límite"&amp;" · ","")&amp;IF(OR(AND($E207&lt;&gt;"",NOT(ISNUMBER($E207))),AND($F207&lt;&gt;"",NOT(ISNUMBER($F207)))),"Fecha no válida"&amp;" · ","")&amp;IF(AND(ISNUMBER($E207),ISNUMBER($F207),$E207&gt;$F207),"Inicio posterior a fecha límite"&amp;" · ","")&amp;IF(AND($S207="Macro",$G207=""),"Peso vacío"&amp;" · ","")&amp;IF(AND($S207="Macro",$G207&lt;&gt;"",OR(NOT(ISNUMBER($G207)),$G207&lt;=0,$G207&gt;1)),"Peso fuera de rango"&amp;" · ","")&amp;IF(AND($S207="Sub",$G207&lt;&gt;""),"Las subactividades no llevan peso"&amp;" · ","")&amp;IF(AND($S207="Macro",ABS(SUMIFS($G$5:$G$1000,$P$5:$P$1000,$P207,$S$5:$S$1000,"Macro")-1)&gt;0.0001),"Pesos del mes suman "&amp;TEXT(SUMIFS($G$5:$G$1000,$P$5:$P$1000,$P207,$S$5:$S$1000,"Macro"),"0%")&amp;" · ","")&amp;IF(AND(N($T207)&gt;0,COUNT($H207:$K207)&gt;0),"Con subactividades: deje vacías las semanas (se calculan solas)"&amp;" · ","")&amp;IF((COUNTIF($H207:$K207,"&gt;1")+COUNTIF($H207:$K207,"&lt;0")+COUNTA($H207:$K207)-COUNT($H207:$K207))&gt;0,"Avance fuera de rango 0-100%"&amp;" · ","")&amp;IF(OR(AND($I207&lt;&gt;"",$I207&lt;$H207),AND($J207&lt;&gt;"",$J207&lt;MAX($H207:$I207)),AND($K207&lt;&gt;"",$K207&lt;MAX($H207:$J207))),"Avance semanal decreciente"&amp;" · ","")&amp;IF(AND(ISNUMBER($F207),$F207&lt;FechaRef,N($L207)&lt;1),"Vencida"&amp;" · ","")&amp;IF(AND(ObsObligatoria="Sí",ISNUMBER($F207),$F207&lt;FechaRef,N($L207)&lt;1,$N207=""),"Vencida sin observación"&amp;" · ",""))="","✔ OK","⚠ "&amp;LEFT(IF(AND($S207="Macro",$B207=""),"Macroactividad vacía"&amp;" · ","")&amp;IF(AND($B207&lt;&gt;"",$C207&lt;&gt;""),"Escriba la subactividad en otra fila, debajo de su macroactividad"&amp;" · ","")&amp;IF(AND($S207="Sub",N($R207)=0),"Subactividad sin macroactividad arriba"&amp;" · ","")&amp;IF($D207="","Sin responsable"&amp;" · ","")&amp;IF($E207="","Sin fecha de inicio"&amp;" · ","")&amp;IF($F207="","Sin fecha límite"&amp;" · ","")&amp;IF(OR(AND($E207&lt;&gt;"",NOT(ISNUMBER($E207))),AND($F207&lt;&gt;"",NOT(ISNUMBER($F207)))),"Fecha no válida"&amp;" · ","")&amp;IF(AND(ISNUMBER($E207),ISNUMBER($F207),$E207&gt;$F207),"Inicio posterior a fecha límite"&amp;" · ","")&amp;IF(AND($S207="Macro",$G207=""),"Peso vacío"&amp;" · ","")&amp;IF(AND($S207="Macro",$G207&lt;&gt;"",OR(NOT(ISNUMBER($G207)),$G207&lt;=0,$G207&gt;1)),"Peso fuera de rango"&amp;" · ","")&amp;IF(AND($S207="Sub",$G207&lt;&gt;""),"Las subactividades no llevan peso"&amp;" · ","")&amp;IF(AND($S207="Macro",ABS(SUMIFS($G$5:$G$1000,$P$5:$P$1000,$P207,$S$5:$S$1000,"Macro")-1)&gt;0.0001),"Pesos del mes suman "&amp;TEXT(SUMIFS($G$5:$G$1000,$P$5:$P$1000,$P207,$S$5:$S$1000,"Macro"),"0%")&amp;" · ","")&amp;IF(AND(N($T207)&gt;0,COUNT($H207:$K207)&gt;0),"Con subactividades: deje vacías las semanas (se calculan solas)"&amp;" · ","")&amp;IF((COUNTIF($H207:$K207,"&gt;1")+COUNTIF($H207:$K207,"&lt;0")+COUNTA($H207:$K207)-COUNT($H207:$K207))&gt;0,"Avance fuera de rango 0-100%"&amp;" · ","")&amp;IF(OR(AND($I207&lt;&gt;"",$I207&lt;$H207),AND($J207&lt;&gt;"",$J207&lt;MAX($H207:$I207)),AND($K207&lt;&gt;"",$K207&lt;MAX($H207:$J207))),"Avance semanal decreciente"&amp;" · ","")&amp;IF(AND(ISNUMBER($F207),$F207&lt;FechaRef,N($L207)&lt;1),"Vencida"&amp;" · ","")&amp;IF(AND(ObsObligatoria="Sí",ISNUMBER($F207),$F207&lt;FechaRef,N($L207)&lt;1,$N207=""),"Vencida sin observación"&amp;" · ",""),LEN(IF(AND($S207="Macro",$B207=""),"Macroactividad vacía"&amp;" · ","")&amp;IF(AND($B207&lt;&gt;"",$C207&lt;&gt;""),"Escriba la subactividad en otra fila, debajo de su macroactividad"&amp;" · ","")&amp;IF(AND($S207="Sub",N($R207)=0),"Subactividad sin macroactividad arriba"&amp;" · ","")&amp;IF($D207="","Sin responsable"&amp;" · ","")&amp;IF($E207="","Sin fecha de inicio"&amp;" · ","")&amp;IF($F207="","Sin fecha límite"&amp;" · ","")&amp;IF(OR(AND($E207&lt;&gt;"",NOT(ISNUMBER($E207))),AND($F207&lt;&gt;"",NOT(ISNUMBER($F207)))),"Fecha no válida"&amp;" · ","")&amp;IF(AND(ISNUMBER($E207),ISNUMBER($F207),$E207&gt;$F207),"Inicio posterior a fecha límite"&amp;" · ","")&amp;IF(AND($S207="Macro",$G207=""),"Peso vacío"&amp;" · ","")&amp;IF(AND($S207="Macro",$G207&lt;&gt;"",OR(NOT(ISNUMBER($G207)),$G207&lt;=0,$G207&gt;1)),"Peso fuera de rango"&amp;" · ","")&amp;IF(AND($S207="Sub",$G207&lt;&gt;""),"Las subactividades no llevan peso"&amp;" · ","")&amp;IF(AND($S207="Macro",ABS(SUMIFS($G$5:$G$1000,$P$5:$P$1000,$P207,$S$5:$S$1000,"Macro")-1)&gt;0.0001),"Pesos del mes suman "&amp;TEXT(SUMIFS($G$5:$G$1000,$P$5:$P$1000,$P207,$S$5:$S$1000,"Macro"),"0%")&amp;" · ","")&amp;IF(AND(N($T207)&gt;0,COUNT($H207:$K207)&gt;0),"Con subactividades: deje vacías las semanas (se calculan solas)"&amp;" · ","")&amp;IF((COUNTIF($H207:$K207,"&gt;1")+COUNTIF($H207:$K207,"&lt;0")+COUNTA($H207:$K207)-COUNT($H207:$K207))&gt;0,"Avance fuera de rango 0-100%"&amp;" · ","")&amp;IF(OR(AND($I207&lt;&gt;"",$I207&lt;$H207),AND($J207&lt;&gt;"",$J207&lt;MAX($H207:$I207)),AND($K207&lt;&gt;"",$K207&lt;MAX($H207:$J207))),"Avance semanal decreciente"&amp;" · ","")&amp;IF(AND(ISNUMBER($F207),$F207&lt;FechaRef,N($L207)&lt;1),"Vencida"&amp;" · ","")&amp;IF(AND(ObsObligatoria="Sí",ISNUMBER($F207),$F207&lt;FechaRef,N($L207)&lt;1,$N207=""),"Vencida sin observación"&amp;" · ",""))-3)))</f>
        <v/>
      </c>
      <c r="P207" s="69">
        <f>IF(NOT((COUNTA($B207:$K207)+COUNTA($N207))&gt;0),"",IF(AND($S207="Sub",N($R207)&gt;0),IF(ISNUMBER(INDEX($E$5:$E$1000,$R207-4)),DATE(YEAR(INDEX($E$5:$E$1000,$R207-4)),MONTH(INDEX($E$5:$E$1000,$R207-4)),1),IF(ISNUMBER(INDEX($F$5:$F$1000,$R207-4)),DATE(YEAR(INDEX($F$5:$F$1000,$R207-4)),MONTH(INDEX($F$5:$F$1000,$R207-4)),1),MesCiclo)),IF(ISNUMBER($E207),DATE(YEAR($E207),MONTH($E207),1),IF(ISNUMBER($F207),DATE(YEAR($F207),MONTH($F207),1),MesCiclo))))</f>
        <v/>
      </c>
      <c r="Q207" s="70">
        <f>IF(OR($P207="",$P207&lt;&gt;MesCiclo),"",COUNTIF($P$5:$P207,MesCiclo))</f>
        <v/>
      </c>
      <c r="R207" s="70">
        <f>IF($S207="","",IF($S207="Macro",ROW(),IFERROR(LOOKUP(2,1/($S$5:$S207="Macro"),ROW($S$5:$S207)),0)))</f>
        <v/>
      </c>
      <c r="S207" s="70">
        <f>IF(NOT((COUNTA($B207:$K207)+COUNTA($N207))&gt;0),"",IF($B207&lt;&gt;"","Macro",IF($C207&lt;&gt;"","Sub","Macro")))</f>
        <v/>
      </c>
      <c r="T207" s="70">
        <f>IF($S207="Macro",COUNTIFS($R$5:$R$1000,ROW(),$S$5:$S$1000,"Sub"),"")</f>
        <v/>
      </c>
      <c r="U207" s="70">
        <f>IF($S207="","",IF(ISNUMBER($H207),$H207,0))</f>
        <v/>
      </c>
      <c r="V207" s="70">
        <f>IF($S207="","",IF(ISNUMBER($I207),$I207,$U207))</f>
        <v/>
      </c>
      <c r="W207" s="70">
        <f>IF($S207="","",IF(ISNUMBER($J207),$J207,$V207))</f>
        <v/>
      </c>
      <c r="X207" s="70">
        <f>IF($S207="","",IF(ISNUMBER($K207),$K207,$W207))</f>
        <v/>
      </c>
      <c r="Y207" s="70">
        <f>IF($S207="","",IF(N($T207)&gt;0,AVERAGEIFS($U$5:$U$1000,$R$5:$R$1000,ROW(),$S$5:$S$1000,"Sub"),$U207))</f>
        <v/>
      </c>
      <c r="Z207" s="70">
        <f>IF($S207="","",IF(N($T207)&gt;0,AVERAGEIFS($V$5:$V$1000,$R$5:$R$1000,ROW(),$S$5:$S$1000,"Sub"),$V207))</f>
        <v/>
      </c>
      <c r="AA207" s="70">
        <f>IF($S207="","",IF(N($T207)&gt;0,AVERAGEIFS($W$5:$W$1000,$R$5:$R$1000,ROW(),$S$5:$S$1000,"Sub"),$W207))</f>
        <v/>
      </c>
      <c r="AB207" s="70">
        <f>IF($S207="","",IF(N($T207)&gt;0,AVERAGEIFS($X$5:$X$1000,$R$5:$R$1000,ROW(),$S$5:$S$1000,"Sub"),$X207))</f>
        <v/>
      </c>
    </row>
    <row r="208">
      <c r="A208" s="61">
        <f>IF(NOT((COUNTA($B208:$K208)+COUNTA($N208))&gt;0),"",IF($S208="Macro",COUNTIFS($S$5:$S208,"Macro",$P$5:$P208,$P208),IF(N($R208)=0,"?",COUNTIFS(INDEX($S$5:$S$1000,1):INDEX($S$5:$S$1000,$R208-4),"Macro",INDEX($P$5:$P$1000,1):INDEX($P$5:$P$1000,$R208-4),INDEX($P$5:$P$1000,$R208-4))&amp;"."&amp;COUNTIFS($R$5:$R208,$R208,$S$5:$S208,"Sub"))))</f>
        <v/>
      </c>
      <c r="B208" s="62" t="n"/>
      <c r="C208" s="63" t="n"/>
      <c r="D208" s="62" t="n"/>
      <c r="E208" s="64" t="n"/>
      <c r="F208" s="64" t="n"/>
      <c r="G208" s="65" t="n"/>
      <c r="H208" s="66" t="n"/>
      <c r="I208" s="66" t="n"/>
      <c r="J208" s="66" t="n"/>
      <c r="K208" s="66" t="n"/>
      <c r="L208" s="67">
        <f>IF(NOT((COUNTA($B208:$K208)+COUNTA($N208))&gt;0),"",IF(N($T208)&gt;0,$AB208,IFERROR(LOOKUP(2,1/(H208:K208&lt;&gt;""),H208:K208),0)))</f>
        <v/>
      </c>
      <c r="M208" s="61">
        <f>IF(L208="","",IF(L208&gt;=1,"Completado",IF(L208&gt;0,"En curso","Pendiente")))</f>
        <v/>
      </c>
      <c r="N208" s="62" t="n"/>
      <c r="O208" s="68">
        <f>IF(NOT((COUNTA($B208:$K208)+COUNTA($N208))&gt;0),"",IF((IF(AND($S208="Macro",$B208=""),"Macroactividad vacía"&amp;" · ","")&amp;IF(AND($B208&lt;&gt;"",$C208&lt;&gt;""),"Escriba la subactividad en otra fila, debajo de su macroactividad"&amp;" · ","")&amp;IF(AND($S208="Sub",N($R208)=0),"Subactividad sin macroactividad arriba"&amp;" · ","")&amp;IF($D208="","Sin responsable"&amp;" · ","")&amp;IF($E208="","Sin fecha de inicio"&amp;" · ","")&amp;IF($F208="","Sin fecha límite"&amp;" · ","")&amp;IF(OR(AND($E208&lt;&gt;"",NOT(ISNUMBER($E208))),AND($F208&lt;&gt;"",NOT(ISNUMBER($F208)))),"Fecha no válida"&amp;" · ","")&amp;IF(AND(ISNUMBER($E208),ISNUMBER($F208),$E208&gt;$F208),"Inicio posterior a fecha límite"&amp;" · ","")&amp;IF(AND($S208="Macro",$G208=""),"Peso vacío"&amp;" · ","")&amp;IF(AND($S208="Macro",$G208&lt;&gt;"",OR(NOT(ISNUMBER($G208)),$G208&lt;=0,$G208&gt;1)),"Peso fuera de rango"&amp;" · ","")&amp;IF(AND($S208="Sub",$G208&lt;&gt;""),"Las subactividades no llevan peso"&amp;" · ","")&amp;IF(AND($S208="Macro",ABS(SUMIFS($G$5:$G$1000,$P$5:$P$1000,$P208,$S$5:$S$1000,"Macro")-1)&gt;0.0001),"Pesos del mes suman "&amp;TEXT(SUMIFS($G$5:$G$1000,$P$5:$P$1000,$P208,$S$5:$S$1000,"Macro"),"0%")&amp;" · ","")&amp;IF(AND(N($T208)&gt;0,COUNT($H208:$K208)&gt;0),"Con subactividades: deje vacías las semanas (se calculan solas)"&amp;" · ","")&amp;IF((COUNTIF($H208:$K208,"&gt;1")+COUNTIF($H208:$K208,"&lt;0")+COUNTA($H208:$K208)-COUNT($H208:$K208))&gt;0,"Avance fuera de rango 0-100%"&amp;" · ","")&amp;IF(OR(AND($I208&lt;&gt;"",$I208&lt;$H208),AND($J208&lt;&gt;"",$J208&lt;MAX($H208:$I208)),AND($K208&lt;&gt;"",$K208&lt;MAX($H208:$J208))),"Avance semanal decreciente"&amp;" · ","")&amp;IF(AND(ISNUMBER($F208),$F208&lt;FechaRef,N($L208)&lt;1),"Vencida"&amp;" · ","")&amp;IF(AND(ObsObligatoria="Sí",ISNUMBER($F208),$F208&lt;FechaRef,N($L208)&lt;1,$N208=""),"Vencida sin observación"&amp;" · ",""))="","✔ OK","⚠ "&amp;LEFT(IF(AND($S208="Macro",$B208=""),"Macroactividad vacía"&amp;" · ","")&amp;IF(AND($B208&lt;&gt;"",$C208&lt;&gt;""),"Escriba la subactividad en otra fila, debajo de su macroactividad"&amp;" · ","")&amp;IF(AND($S208="Sub",N($R208)=0),"Subactividad sin macroactividad arriba"&amp;" · ","")&amp;IF($D208="","Sin responsable"&amp;" · ","")&amp;IF($E208="","Sin fecha de inicio"&amp;" · ","")&amp;IF($F208="","Sin fecha límite"&amp;" · ","")&amp;IF(OR(AND($E208&lt;&gt;"",NOT(ISNUMBER($E208))),AND($F208&lt;&gt;"",NOT(ISNUMBER($F208)))),"Fecha no válida"&amp;" · ","")&amp;IF(AND(ISNUMBER($E208),ISNUMBER($F208),$E208&gt;$F208),"Inicio posterior a fecha límite"&amp;" · ","")&amp;IF(AND($S208="Macro",$G208=""),"Peso vacío"&amp;" · ","")&amp;IF(AND($S208="Macro",$G208&lt;&gt;"",OR(NOT(ISNUMBER($G208)),$G208&lt;=0,$G208&gt;1)),"Peso fuera de rango"&amp;" · ","")&amp;IF(AND($S208="Sub",$G208&lt;&gt;""),"Las subactividades no llevan peso"&amp;" · ","")&amp;IF(AND($S208="Macro",ABS(SUMIFS($G$5:$G$1000,$P$5:$P$1000,$P208,$S$5:$S$1000,"Macro")-1)&gt;0.0001),"Pesos del mes suman "&amp;TEXT(SUMIFS($G$5:$G$1000,$P$5:$P$1000,$P208,$S$5:$S$1000,"Macro"),"0%")&amp;" · ","")&amp;IF(AND(N($T208)&gt;0,COUNT($H208:$K208)&gt;0),"Con subactividades: deje vacías las semanas (se calculan solas)"&amp;" · ","")&amp;IF((COUNTIF($H208:$K208,"&gt;1")+COUNTIF($H208:$K208,"&lt;0")+COUNTA($H208:$K208)-COUNT($H208:$K208))&gt;0,"Avance fuera de rango 0-100%"&amp;" · ","")&amp;IF(OR(AND($I208&lt;&gt;"",$I208&lt;$H208),AND($J208&lt;&gt;"",$J208&lt;MAX($H208:$I208)),AND($K208&lt;&gt;"",$K208&lt;MAX($H208:$J208))),"Avance semanal decreciente"&amp;" · ","")&amp;IF(AND(ISNUMBER($F208),$F208&lt;FechaRef,N($L208)&lt;1),"Vencida"&amp;" · ","")&amp;IF(AND(ObsObligatoria="Sí",ISNUMBER($F208),$F208&lt;FechaRef,N($L208)&lt;1,$N208=""),"Vencida sin observación"&amp;" · ",""),LEN(IF(AND($S208="Macro",$B208=""),"Macroactividad vacía"&amp;" · ","")&amp;IF(AND($B208&lt;&gt;"",$C208&lt;&gt;""),"Escriba la subactividad en otra fila, debajo de su macroactividad"&amp;" · ","")&amp;IF(AND($S208="Sub",N($R208)=0),"Subactividad sin macroactividad arriba"&amp;" · ","")&amp;IF($D208="","Sin responsable"&amp;" · ","")&amp;IF($E208="","Sin fecha de inicio"&amp;" · ","")&amp;IF($F208="","Sin fecha límite"&amp;" · ","")&amp;IF(OR(AND($E208&lt;&gt;"",NOT(ISNUMBER($E208))),AND($F208&lt;&gt;"",NOT(ISNUMBER($F208)))),"Fecha no válida"&amp;" · ","")&amp;IF(AND(ISNUMBER($E208),ISNUMBER($F208),$E208&gt;$F208),"Inicio posterior a fecha límite"&amp;" · ","")&amp;IF(AND($S208="Macro",$G208=""),"Peso vacío"&amp;" · ","")&amp;IF(AND($S208="Macro",$G208&lt;&gt;"",OR(NOT(ISNUMBER($G208)),$G208&lt;=0,$G208&gt;1)),"Peso fuera de rango"&amp;" · ","")&amp;IF(AND($S208="Sub",$G208&lt;&gt;""),"Las subactividades no llevan peso"&amp;" · ","")&amp;IF(AND($S208="Macro",ABS(SUMIFS($G$5:$G$1000,$P$5:$P$1000,$P208,$S$5:$S$1000,"Macro")-1)&gt;0.0001),"Pesos del mes suman "&amp;TEXT(SUMIFS($G$5:$G$1000,$P$5:$P$1000,$P208,$S$5:$S$1000,"Macro"),"0%")&amp;" · ","")&amp;IF(AND(N($T208)&gt;0,COUNT($H208:$K208)&gt;0),"Con subactividades: deje vacías las semanas (se calculan solas)"&amp;" · ","")&amp;IF((COUNTIF($H208:$K208,"&gt;1")+COUNTIF($H208:$K208,"&lt;0")+COUNTA($H208:$K208)-COUNT($H208:$K208))&gt;0,"Avance fuera de rango 0-100%"&amp;" · ","")&amp;IF(OR(AND($I208&lt;&gt;"",$I208&lt;$H208),AND($J208&lt;&gt;"",$J208&lt;MAX($H208:$I208)),AND($K208&lt;&gt;"",$K208&lt;MAX($H208:$J208))),"Avance semanal decreciente"&amp;" · ","")&amp;IF(AND(ISNUMBER($F208),$F208&lt;FechaRef,N($L208)&lt;1),"Vencida"&amp;" · ","")&amp;IF(AND(ObsObligatoria="Sí",ISNUMBER($F208),$F208&lt;FechaRef,N($L208)&lt;1,$N208=""),"Vencida sin observación"&amp;" · ",""))-3)))</f>
        <v/>
      </c>
      <c r="P208" s="69">
        <f>IF(NOT((COUNTA($B208:$K208)+COUNTA($N208))&gt;0),"",IF(AND($S208="Sub",N($R208)&gt;0),IF(ISNUMBER(INDEX($E$5:$E$1000,$R208-4)),DATE(YEAR(INDEX($E$5:$E$1000,$R208-4)),MONTH(INDEX($E$5:$E$1000,$R208-4)),1),IF(ISNUMBER(INDEX($F$5:$F$1000,$R208-4)),DATE(YEAR(INDEX($F$5:$F$1000,$R208-4)),MONTH(INDEX($F$5:$F$1000,$R208-4)),1),MesCiclo)),IF(ISNUMBER($E208),DATE(YEAR($E208),MONTH($E208),1),IF(ISNUMBER($F208),DATE(YEAR($F208),MONTH($F208),1),MesCiclo))))</f>
        <v/>
      </c>
      <c r="Q208" s="70">
        <f>IF(OR($P208="",$P208&lt;&gt;MesCiclo),"",COUNTIF($P$5:$P208,MesCiclo))</f>
        <v/>
      </c>
      <c r="R208" s="70">
        <f>IF($S208="","",IF($S208="Macro",ROW(),IFERROR(LOOKUP(2,1/($S$5:$S208="Macro"),ROW($S$5:$S208)),0)))</f>
        <v/>
      </c>
      <c r="S208" s="70">
        <f>IF(NOT((COUNTA($B208:$K208)+COUNTA($N208))&gt;0),"",IF($B208&lt;&gt;"","Macro",IF($C208&lt;&gt;"","Sub","Macro")))</f>
        <v/>
      </c>
      <c r="T208" s="70">
        <f>IF($S208="Macro",COUNTIFS($R$5:$R$1000,ROW(),$S$5:$S$1000,"Sub"),"")</f>
        <v/>
      </c>
      <c r="U208" s="70">
        <f>IF($S208="","",IF(ISNUMBER($H208),$H208,0))</f>
        <v/>
      </c>
      <c r="V208" s="70">
        <f>IF($S208="","",IF(ISNUMBER($I208),$I208,$U208))</f>
        <v/>
      </c>
      <c r="W208" s="70">
        <f>IF($S208="","",IF(ISNUMBER($J208),$J208,$V208))</f>
        <v/>
      </c>
      <c r="X208" s="70">
        <f>IF($S208="","",IF(ISNUMBER($K208),$K208,$W208))</f>
        <v/>
      </c>
      <c r="Y208" s="70">
        <f>IF($S208="","",IF(N($T208)&gt;0,AVERAGEIFS($U$5:$U$1000,$R$5:$R$1000,ROW(),$S$5:$S$1000,"Sub"),$U208))</f>
        <v/>
      </c>
      <c r="Z208" s="70">
        <f>IF($S208="","",IF(N($T208)&gt;0,AVERAGEIFS($V$5:$V$1000,$R$5:$R$1000,ROW(),$S$5:$S$1000,"Sub"),$V208))</f>
        <v/>
      </c>
      <c r="AA208" s="70">
        <f>IF($S208="","",IF(N($T208)&gt;0,AVERAGEIFS($W$5:$W$1000,$R$5:$R$1000,ROW(),$S$5:$S$1000,"Sub"),$W208))</f>
        <v/>
      </c>
      <c r="AB208" s="70">
        <f>IF($S208="","",IF(N($T208)&gt;0,AVERAGEIFS($X$5:$X$1000,$R$5:$R$1000,ROW(),$S$5:$S$1000,"Sub"),$X208))</f>
        <v/>
      </c>
    </row>
    <row r="209">
      <c r="A209" s="61">
        <f>IF(NOT((COUNTA($B209:$K209)+COUNTA($N209))&gt;0),"",IF($S209="Macro",COUNTIFS($S$5:$S209,"Macro",$P$5:$P209,$P209),IF(N($R209)=0,"?",COUNTIFS(INDEX($S$5:$S$1000,1):INDEX($S$5:$S$1000,$R209-4),"Macro",INDEX($P$5:$P$1000,1):INDEX($P$5:$P$1000,$R209-4),INDEX($P$5:$P$1000,$R209-4))&amp;"."&amp;COUNTIFS($R$5:$R209,$R209,$S$5:$S209,"Sub"))))</f>
        <v/>
      </c>
      <c r="B209" s="62" t="n"/>
      <c r="C209" s="63" t="n"/>
      <c r="D209" s="62" t="n"/>
      <c r="E209" s="64" t="n"/>
      <c r="F209" s="64" t="n"/>
      <c r="G209" s="65" t="n"/>
      <c r="H209" s="66" t="n"/>
      <c r="I209" s="66" t="n"/>
      <c r="J209" s="66" t="n"/>
      <c r="K209" s="66" t="n"/>
      <c r="L209" s="67">
        <f>IF(NOT((COUNTA($B209:$K209)+COUNTA($N209))&gt;0),"",IF(N($T209)&gt;0,$AB209,IFERROR(LOOKUP(2,1/(H209:K209&lt;&gt;""),H209:K209),0)))</f>
        <v/>
      </c>
      <c r="M209" s="61">
        <f>IF(L209="","",IF(L209&gt;=1,"Completado",IF(L209&gt;0,"En curso","Pendiente")))</f>
        <v/>
      </c>
      <c r="N209" s="62" t="n"/>
      <c r="O209" s="68">
        <f>IF(NOT((COUNTA($B209:$K209)+COUNTA($N209))&gt;0),"",IF((IF(AND($S209="Macro",$B209=""),"Macroactividad vacía"&amp;" · ","")&amp;IF(AND($B209&lt;&gt;"",$C209&lt;&gt;""),"Escriba la subactividad en otra fila, debajo de su macroactividad"&amp;" · ","")&amp;IF(AND($S209="Sub",N($R209)=0),"Subactividad sin macroactividad arriba"&amp;" · ","")&amp;IF($D209="","Sin responsable"&amp;" · ","")&amp;IF($E209="","Sin fecha de inicio"&amp;" · ","")&amp;IF($F209="","Sin fecha límite"&amp;" · ","")&amp;IF(OR(AND($E209&lt;&gt;"",NOT(ISNUMBER($E209))),AND($F209&lt;&gt;"",NOT(ISNUMBER($F209)))),"Fecha no válida"&amp;" · ","")&amp;IF(AND(ISNUMBER($E209),ISNUMBER($F209),$E209&gt;$F209),"Inicio posterior a fecha límite"&amp;" · ","")&amp;IF(AND($S209="Macro",$G209=""),"Peso vacío"&amp;" · ","")&amp;IF(AND($S209="Macro",$G209&lt;&gt;"",OR(NOT(ISNUMBER($G209)),$G209&lt;=0,$G209&gt;1)),"Peso fuera de rango"&amp;" · ","")&amp;IF(AND($S209="Sub",$G209&lt;&gt;""),"Las subactividades no llevan peso"&amp;" · ","")&amp;IF(AND($S209="Macro",ABS(SUMIFS($G$5:$G$1000,$P$5:$P$1000,$P209,$S$5:$S$1000,"Macro")-1)&gt;0.0001),"Pesos del mes suman "&amp;TEXT(SUMIFS($G$5:$G$1000,$P$5:$P$1000,$P209,$S$5:$S$1000,"Macro"),"0%")&amp;" · ","")&amp;IF(AND(N($T209)&gt;0,COUNT($H209:$K209)&gt;0),"Con subactividades: deje vacías las semanas (se calculan solas)"&amp;" · ","")&amp;IF((COUNTIF($H209:$K209,"&gt;1")+COUNTIF($H209:$K209,"&lt;0")+COUNTA($H209:$K209)-COUNT($H209:$K209))&gt;0,"Avance fuera de rango 0-100%"&amp;" · ","")&amp;IF(OR(AND($I209&lt;&gt;"",$I209&lt;$H209),AND($J209&lt;&gt;"",$J209&lt;MAX($H209:$I209)),AND($K209&lt;&gt;"",$K209&lt;MAX($H209:$J209))),"Avance semanal decreciente"&amp;" · ","")&amp;IF(AND(ISNUMBER($F209),$F209&lt;FechaRef,N($L209)&lt;1),"Vencida"&amp;" · ","")&amp;IF(AND(ObsObligatoria="Sí",ISNUMBER($F209),$F209&lt;FechaRef,N($L209)&lt;1,$N209=""),"Vencida sin observación"&amp;" · ",""))="","✔ OK","⚠ "&amp;LEFT(IF(AND($S209="Macro",$B209=""),"Macroactividad vacía"&amp;" · ","")&amp;IF(AND($B209&lt;&gt;"",$C209&lt;&gt;""),"Escriba la subactividad en otra fila, debajo de su macroactividad"&amp;" · ","")&amp;IF(AND($S209="Sub",N($R209)=0),"Subactividad sin macroactividad arriba"&amp;" · ","")&amp;IF($D209="","Sin responsable"&amp;" · ","")&amp;IF($E209="","Sin fecha de inicio"&amp;" · ","")&amp;IF($F209="","Sin fecha límite"&amp;" · ","")&amp;IF(OR(AND($E209&lt;&gt;"",NOT(ISNUMBER($E209))),AND($F209&lt;&gt;"",NOT(ISNUMBER($F209)))),"Fecha no válida"&amp;" · ","")&amp;IF(AND(ISNUMBER($E209),ISNUMBER($F209),$E209&gt;$F209),"Inicio posterior a fecha límite"&amp;" · ","")&amp;IF(AND($S209="Macro",$G209=""),"Peso vacío"&amp;" · ","")&amp;IF(AND($S209="Macro",$G209&lt;&gt;"",OR(NOT(ISNUMBER($G209)),$G209&lt;=0,$G209&gt;1)),"Peso fuera de rango"&amp;" · ","")&amp;IF(AND($S209="Sub",$G209&lt;&gt;""),"Las subactividades no llevan peso"&amp;" · ","")&amp;IF(AND($S209="Macro",ABS(SUMIFS($G$5:$G$1000,$P$5:$P$1000,$P209,$S$5:$S$1000,"Macro")-1)&gt;0.0001),"Pesos del mes suman "&amp;TEXT(SUMIFS($G$5:$G$1000,$P$5:$P$1000,$P209,$S$5:$S$1000,"Macro"),"0%")&amp;" · ","")&amp;IF(AND(N($T209)&gt;0,COUNT($H209:$K209)&gt;0),"Con subactividades: deje vacías las semanas (se calculan solas)"&amp;" · ","")&amp;IF((COUNTIF($H209:$K209,"&gt;1")+COUNTIF($H209:$K209,"&lt;0")+COUNTA($H209:$K209)-COUNT($H209:$K209))&gt;0,"Avance fuera de rango 0-100%"&amp;" · ","")&amp;IF(OR(AND($I209&lt;&gt;"",$I209&lt;$H209),AND($J209&lt;&gt;"",$J209&lt;MAX($H209:$I209)),AND($K209&lt;&gt;"",$K209&lt;MAX($H209:$J209))),"Avance semanal decreciente"&amp;" · ","")&amp;IF(AND(ISNUMBER($F209),$F209&lt;FechaRef,N($L209)&lt;1),"Vencida"&amp;" · ","")&amp;IF(AND(ObsObligatoria="Sí",ISNUMBER($F209),$F209&lt;FechaRef,N($L209)&lt;1,$N209=""),"Vencida sin observación"&amp;" · ",""),LEN(IF(AND($S209="Macro",$B209=""),"Macroactividad vacía"&amp;" · ","")&amp;IF(AND($B209&lt;&gt;"",$C209&lt;&gt;""),"Escriba la subactividad en otra fila, debajo de su macroactividad"&amp;" · ","")&amp;IF(AND($S209="Sub",N($R209)=0),"Subactividad sin macroactividad arriba"&amp;" · ","")&amp;IF($D209="","Sin responsable"&amp;" · ","")&amp;IF($E209="","Sin fecha de inicio"&amp;" · ","")&amp;IF($F209="","Sin fecha límite"&amp;" · ","")&amp;IF(OR(AND($E209&lt;&gt;"",NOT(ISNUMBER($E209))),AND($F209&lt;&gt;"",NOT(ISNUMBER($F209)))),"Fecha no válida"&amp;" · ","")&amp;IF(AND(ISNUMBER($E209),ISNUMBER($F209),$E209&gt;$F209),"Inicio posterior a fecha límite"&amp;" · ","")&amp;IF(AND($S209="Macro",$G209=""),"Peso vacío"&amp;" · ","")&amp;IF(AND($S209="Macro",$G209&lt;&gt;"",OR(NOT(ISNUMBER($G209)),$G209&lt;=0,$G209&gt;1)),"Peso fuera de rango"&amp;" · ","")&amp;IF(AND($S209="Sub",$G209&lt;&gt;""),"Las subactividades no llevan peso"&amp;" · ","")&amp;IF(AND($S209="Macro",ABS(SUMIFS($G$5:$G$1000,$P$5:$P$1000,$P209,$S$5:$S$1000,"Macro")-1)&gt;0.0001),"Pesos del mes suman "&amp;TEXT(SUMIFS($G$5:$G$1000,$P$5:$P$1000,$P209,$S$5:$S$1000,"Macro"),"0%")&amp;" · ","")&amp;IF(AND(N($T209)&gt;0,COUNT($H209:$K209)&gt;0),"Con subactividades: deje vacías las semanas (se calculan solas)"&amp;" · ","")&amp;IF((COUNTIF($H209:$K209,"&gt;1")+COUNTIF($H209:$K209,"&lt;0")+COUNTA($H209:$K209)-COUNT($H209:$K209))&gt;0,"Avance fuera de rango 0-100%"&amp;" · ","")&amp;IF(OR(AND($I209&lt;&gt;"",$I209&lt;$H209),AND($J209&lt;&gt;"",$J209&lt;MAX($H209:$I209)),AND($K209&lt;&gt;"",$K209&lt;MAX($H209:$J209))),"Avance semanal decreciente"&amp;" · ","")&amp;IF(AND(ISNUMBER($F209),$F209&lt;FechaRef,N($L209)&lt;1),"Vencida"&amp;" · ","")&amp;IF(AND(ObsObligatoria="Sí",ISNUMBER($F209),$F209&lt;FechaRef,N($L209)&lt;1,$N209=""),"Vencida sin observación"&amp;" · ",""))-3)))</f>
        <v/>
      </c>
      <c r="P209" s="69">
        <f>IF(NOT((COUNTA($B209:$K209)+COUNTA($N209))&gt;0),"",IF(AND($S209="Sub",N($R209)&gt;0),IF(ISNUMBER(INDEX($E$5:$E$1000,$R209-4)),DATE(YEAR(INDEX($E$5:$E$1000,$R209-4)),MONTH(INDEX($E$5:$E$1000,$R209-4)),1),IF(ISNUMBER(INDEX($F$5:$F$1000,$R209-4)),DATE(YEAR(INDEX($F$5:$F$1000,$R209-4)),MONTH(INDEX($F$5:$F$1000,$R209-4)),1),MesCiclo)),IF(ISNUMBER($E209),DATE(YEAR($E209),MONTH($E209),1),IF(ISNUMBER($F209),DATE(YEAR($F209),MONTH($F209),1),MesCiclo))))</f>
        <v/>
      </c>
      <c r="Q209" s="70">
        <f>IF(OR($P209="",$P209&lt;&gt;MesCiclo),"",COUNTIF($P$5:$P209,MesCiclo))</f>
        <v/>
      </c>
      <c r="R209" s="70">
        <f>IF($S209="","",IF($S209="Macro",ROW(),IFERROR(LOOKUP(2,1/($S$5:$S209="Macro"),ROW($S$5:$S209)),0)))</f>
        <v/>
      </c>
      <c r="S209" s="70">
        <f>IF(NOT((COUNTA($B209:$K209)+COUNTA($N209))&gt;0),"",IF($B209&lt;&gt;"","Macro",IF($C209&lt;&gt;"","Sub","Macro")))</f>
        <v/>
      </c>
      <c r="T209" s="70">
        <f>IF($S209="Macro",COUNTIFS($R$5:$R$1000,ROW(),$S$5:$S$1000,"Sub"),"")</f>
        <v/>
      </c>
      <c r="U209" s="70">
        <f>IF($S209="","",IF(ISNUMBER($H209),$H209,0))</f>
        <v/>
      </c>
      <c r="V209" s="70">
        <f>IF($S209="","",IF(ISNUMBER($I209),$I209,$U209))</f>
        <v/>
      </c>
      <c r="W209" s="70">
        <f>IF($S209="","",IF(ISNUMBER($J209),$J209,$V209))</f>
        <v/>
      </c>
      <c r="X209" s="70">
        <f>IF($S209="","",IF(ISNUMBER($K209),$K209,$W209))</f>
        <v/>
      </c>
      <c r="Y209" s="70">
        <f>IF($S209="","",IF(N($T209)&gt;0,AVERAGEIFS($U$5:$U$1000,$R$5:$R$1000,ROW(),$S$5:$S$1000,"Sub"),$U209))</f>
        <v/>
      </c>
      <c r="Z209" s="70">
        <f>IF($S209="","",IF(N($T209)&gt;0,AVERAGEIFS($V$5:$V$1000,$R$5:$R$1000,ROW(),$S$5:$S$1000,"Sub"),$V209))</f>
        <v/>
      </c>
      <c r="AA209" s="70">
        <f>IF($S209="","",IF(N($T209)&gt;0,AVERAGEIFS($W$5:$W$1000,$R$5:$R$1000,ROW(),$S$5:$S$1000,"Sub"),$W209))</f>
        <v/>
      </c>
      <c r="AB209" s="70">
        <f>IF($S209="","",IF(N($T209)&gt;0,AVERAGEIFS($X$5:$X$1000,$R$5:$R$1000,ROW(),$S$5:$S$1000,"Sub"),$X209))</f>
        <v/>
      </c>
    </row>
    <row r="210">
      <c r="A210" s="61">
        <f>IF(NOT((COUNTA($B210:$K210)+COUNTA($N210))&gt;0),"",IF($S210="Macro",COUNTIFS($S$5:$S210,"Macro",$P$5:$P210,$P210),IF(N($R210)=0,"?",COUNTIFS(INDEX($S$5:$S$1000,1):INDEX($S$5:$S$1000,$R210-4),"Macro",INDEX($P$5:$P$1000,1):INDEX($P$5:$P$1000,$R210-4),INDEX($P$5:$P$1000,$R210-4))&amp;"."&amp;COUNTIFS($R$5:$R210,$R210,$S$5:$S210,"Sub"))))</f>
        <v/>
      </c>
      <c r="B210" s="62" t="n"/>
      <c r="C210" s="63" t="n"/>
      <c r="D210" s="62" t="n"/>
      <c r="E210" s="64" t="n"/>
      <c r="F210" s="64" t="n"/>
      <c r="G210" s="65" t="n"/>
      <c r="H210" s="66" t="n"/>
      <c r="I210" s="66" t="n"/>
      <c r="J210" s="66" t="n"/>
      <c r="K210" s="66" t="n"/>
      <c r="L210" s="67">
        <f>IF(NOT((COUNTA($B210:$K210)+COUNTA($N210))&gt;0),"",IF(N($T210)&gt;0,$AB210,IFERROR(LOOKUP(2,1/(H210:K210&lt;&gt;""),H210:K210),0)))</f>
        <v/>
      </c>
      <c r="M210" s="61">
        <f>IF(L210="","",IF(L210&gt;=1,"Completado",IF(L210&gt;0,"En curso","Pendiente")))</f>
        <v/>
      </c>
      <c r="N210" s="62" t="n"/>
      <c r="O210" s="68">
        <f>IF(NOT((COUNTA($B210:$K210)+COUNTA($N210))&gt;0),"",IF((IF(AND($S210="Macro",$B210=""),"Macroactividad vacía"&amp;" · ","")&amp;IF(AND($B210&lt;&gt;"",$C210&lt;&gt;""),"Escriba la subactividad en otra fila, debajo de su macroactividad"&amp;" · ","")&amp;IF(AND($S210="Sub",N($R210)=0),"Subactividad sin macroactividad arriba"&amp;" · ","")&amp;IF($D210="","Sin responsable"&amp;" · ","")&amp;IF($E210="","Sin fecha de inicio"&amp;" · ","")&amp;IF($F210="","Sin fecha límite"&amp;" · ","")&amp;IF(OR(AND($E210&lt;&gt;"",NOT(ISNUMBER($E210))),AND($F210&lt;&gt;"",NOT(ISNUMBER($F210)))),"Fecha no válida"&amp;" · ","")&amp;IF(AND(ISNUMBER($E210),ISNUMBER($F210),$E210&gt;$F210),"Inicio posterior a fecha límite"&amp;" · ","")&amp;IF(AND($S210="Macro",$G210=""),"Peso vacío"&amp;" · ","")&amp;IF(AND($S210="Macro",$G210&lt;&gt;"",OR(NOT(ISNUMBER($G210)),$G210&lt;=0,$G210&gt;1)),"Peso fuera de rango"&amp;" · ","")&amp;IF(AND($S210="Sub",$G210&lt;&gt;""),"Las subactividades no llevan peso"&amp;" · ","")&amp;IF(AND($S210="Macro",ABS(SUMIFS($G$5:$G$1000,$P$5:$P$1000,$P210,$S$5:$S$1000,"Macro")-1)&gt;0.0001),"Pesos del mes suman "&amp;TEXT(SUMIFS($G$5:$G$1000,$P$5:$P$1000,$P210,$S$5:$S$1000,"Macro"),"0%")&amp;" · ","")&amp;IF(AND(N($T210)&gt;0,COUNT($H210:$K210)&gt;0),"Con subactividades: deje vacías las semanas (se calculan solas)"&amp;" · ","")&amp;IF((COUNTIF($H210:$K210,"&gt;1")+COUNTIF($H210:$K210,"&lt;0")+COUNTA($H210:$K210)-COUNT($H210:$K210))&gt;0,"Avance fuera de rango 0-100%"&amp;" · ","")&amp;IF(OR(AND($I210&lt;&gt;"",$I210&lt;$H210),AND($J210&lt;&gt;"",$J210&lt;MAX($H210:$I210)),AND($K210&lt;&gt;"",$K210&lt;MAX($H210:$J210))),"Avance semanal decreciente"&amp;" · ","")&amp;IF(AND(ISNUMBER($F210),$F210&lt;FechaRef,N($L210)&lt;1),"Vencida"&amp;" · ","")&amp;IF(AND(ObsObligatoria="Sí",ISNUMBER($F210),$F210&lt;FechaRef,N($L210)&lt;1,$N210=""),"Vencida sin observación"&amp;" · ",""))="","✔ OK","⚠ "&amp;LEFT(IF(AND($S210="Macro",$B210=""),"Macroactividad vacía"&amp;" · ","")&amp;IF(AND($B210&lt;&gt;"",$C210&lt;&gt;""),"Escriba la subactividad en otra fila, debajo de su macroactividad"&amp;" · ","")&amp;IF(AND($S210="Sub",N($R210)=0),"Subactividad sin macroactividad arriba"&amp;" · ","")&amp;IF($D210="","Sin responsable"&amp;" · ","")&amp;IF($E210="","Sin fecha de inicio"&amp;" · ","")&amp;IF($F210="","Sin fecha límite"&amp;" · ","")&amp;IF(OR(AND($E210&lt;&gt;"",NOT(ISNUMBER($E210))),AND($F210&lt;&gt;"",NOT(ISNUMBER($F210)))),"Fecha no válida"&amp;" · ","")&amp;IF(AND(ISNUMBER($E210),ISNUMBER($F210),$E210&gt;$F210),"Inicio posterior a fecha límite"&amp;" · ","")&amp;IF(AND($S210="Macro",$G210=""),"Peso vacío"&amp;" · ","")&amp;IF(AND($S210="Macro",$G210&lt;&gt;"",OR(NOT(ISNUMBER($G210)),$G210&lt;=0,$G210&gt;1)),"Peso fuera de rango"&amp;" · ","")&amp;IF(AND($S210="Sub",$G210&lt;&gt;""),"Las subactividades no llevan peso"&amp;" · ","")&amp;IF(AND($S210="Macro",ABS(SUMIFS($G$5:$G$1000,$P$5:$P$1000,$P210,$S$5:$S$1000,"Macro")-1)&gt;0.0001),"Pesos del mes suman "&amp;TEXT(SUMIFS($G$5:$G$1000,$P$5:$P$1000,$P210,$S$5:$S$1000,"Macro"),"0%")&amp;" · ","")&amp;IF(AND(N($T210)&gt;0,COUNT($H210:$K210)&gt;0),"Con subactividades: deje vacías las semanas (se calculan solas)"&amp;" · ","")&amp;IF((COUNTIF($H210:$K210,"&gt;1")+COUNTIF($H210:$K210,"&lt;0")+COUNTA($H210:$K210)-COUNT($H210:$K210))&gt;0,"Avance fuera de rango 0-100%"&amp;" · ","")&amp;IF(OR(AND($I210&lt;&gt;"",$I210&lt;$H210),AND($J210&lt;&gt;"",$J210&lt;MAX($H210:$I210)),AND($K210&lt;&gt;"",$K210&lt;MAX($H210:$J210))),"Avance semanal decreciente"&amp;" · ","")&amp;IF(AND(ISNUMBER($F210),$F210&lt;FechaRef,N($L210)&lt;1),"Vencida"&amp;" · ","")&amp;IF(AND(ObsObligatoria="Sí",ISNUMBER($F210),$F210&lt;FechaRef,N($L210)&lt;1,$N210=""),"Vencida sin observación"&amp;" · ",""),LEN(IF(AND($S210="Macro",$B210=""),"Macroactividad vacía"&amp;" · ","")&amp;IF(AND($B210&lt;&gt;"",$C210&lt;&gt;""),"Escriba la subactividad en otra fila, debajo de su macroactividad"&amp;" · ","")&amp;IF(AND($S210="Sub",N($R210)=0),"Subactividad sin macroactividad arriba"&amp;" · ","")&amp;IF($D210="","Sin responsable"&amp;" · ","")&amp;IF($E210="","Sin fecha de inicio"&amp;" · ","")&amp;IF($F210="","Sin fecha límite"&amp;" · ","")&amp;IF(OR(AND($E210&lt;&gt;"",NOT(ISNUMBER($E210))),AND($F210&lt;&gt;"",NOT(ISNUMBER($F210)))),"Fecha no válida"&amp;" · ","")&amp;IF(AND(ISNUMBER($E210),ISNUMBER($F210),$E210&gt;$F210),"Inicio posterior a fecha límite"&amp;" · ","")&amp;IF(AND($S210="Macro",$G210=""),"Peso vacío"&amp;" · ","")&amp;IF(AND($S210="Macro",$G210&lt;&gt;"",OR(NOT(ISNUMBER($G210)),$G210&lt;=0,$G210&gt;1)),"Peso fuera de rango"&amp;" · ","")&amp;IF(AND($S210="Sub",$G210&lt;&gt;""),"Las subactividades no llevan peso"&amp;" · ","")&amp;IF(AND($S210="Macro",ABS(SUMIFS($G$5:$G$1000,$P$5:$P$1000,$P210,$S$5:$S$1000,"Macro")-1)&gt;0.0001),"Pesos del mes suman "&amp;TEXT(SUMIFS($G$5:$G$1000,$P$5:$P$1000,$P210,$S$5:$S$1000,"Macro"),"0%")&amp;" · ","")&amp;IF(AND(N($T210)&gt;0,COUNT($H210:$K210)&gt;0),"Con subactividades: deje vacías las semanas (se calculan solas)"&amp;" · ","")&amp;IF((COUNTIF($H210:$K210,"&gt;1")+COUNTIF($H210:$K210,"&lt;0")+COUNTA($H210:$K210)-COUNT($H210:$K210))&gt;0,"Avance fuera de rango 0-100%"&amp;" · ","")&amp;IF(OR(AND($I210&lt;&gt;"",$I210&lt;$H210),AND($J210&lt;&gt;"",$J210&lt;MAX($H210:$I210)),AND($K210&lt;&gt;"",$K210&lt;MAX($H210:$J210))),"Avance semanal decreciente"&amp;" · ","")&amp;IF(AND(ISNUMBER($F210),$F210&lt;FechaRef,N($L210)&lt;1),"Vencida"&amp;" · ","")&amp;IF(AND(ObsObligatoria="Sí",ISNUMBER($F210),$F210&lt;FechaRef,N($L210)&lt;1,$N210=""),"Vencida sin observación"&amp;" · ",""))-3)))</f>
        <v/>
      </c>
      <c r="P210" s="69">
        <f>IF(NOT((COUNTA($B210:$K210)+COUNTA($N210))&gt;0),"",IF(AND($S210="Sub",N($R210)&gt;0),IF(ISNUMBER(INDEX($E$5:$E$1000,$R210-4)),DATE(YEAR(INDEX($E$5:$E$1000,$R210-4)),MONTH(INDEX($E$5:$E$1000,$R210-4)),1),IF(ISNUMBER(INDEX($F$5:$F$1000,$R210-4)),DATE(YEAR(INDEX($F$5:$F$1000,$R210-4)),MONTH(INDEX($F$5:$F$1000,$R210-4)),1),MesCiclo)),IF(ISNUMBER($E210),DATE(YEAR($E210),MONTH($E210),1),IF(ISNUMBER($F210),DATE(YEAR($F210),MONTH($F210),1),MesCiclo))))</f>
        <v/>
      </c>
      <c r="Q210" s="70">
        <f>IF(OR($P210="",$P210&lt;&gt;MesCiclo),"",COUNTIF($P$5:$P210,MesCiclo))</f>
        <v/>
      </c>
      <c r="R210" s="70">
        <f>IF($S210="","",IF($S210="Macro",ROW(),IFERROR(LOOKUP(2,1/($S$5:$S210="Macro"),ROW($S$5:$S210)),0)))</f>
        <v/>
      </c>
      <c r="S210" s="70">
        <f>IF(NOT((COUNTA($B210:$K210)+COUNTA($N210))&gt;0),"",IF($B210&lt;&gt;"","Macro",IF($C210&lt;&gt;"","Sub","Macro")))</f>
        <v/>
      </c>
      <c r="T210" s="70">
        <f>IF($S210="Macro",COUNTIFS($R$5:$R$1000,ROW(),$S$5:$S$1000,"Sub"),"")</f>
        <v/>
      </c>
      <c r="U210" s="70">
        <f>IF($S210="","",IF(ISNUMBER($H210),$H210,0))</f>
        <v/>
      </c>
      <c r="V210" s="70">
        <f>IF($S210="","",IF(ISNUMBER($I210),$I210,$U210))</f>
        <v/>
      </c>
      <c r="W210" s="70">
        <f>IF($S210="","",IF(ISNUMBER($J210),$J210,$V210))</f>
        <v/>
      </c>
      <c r="X210" s="70">
        <f>IF($S210="","",IF(ISNUMBER($K210),$K210,$W210))</f>
        <v/>
      </c>
      <c r="Y210" s="70">
        <f>IF($S210="","",IF(N($T210)&gt;0,AVERAGEIFS($U$5:$U$1000,$R$5:$R$1000,ROW(),$S$5:$S$1000,"Sub"),$U210))</f>
        <v/>
      </c>
      <c r="Z210" s="70">
        <f>IF($S210="","",IF(N($T210)&gt;0,AVERAGEIFS($V$5:$V$1000,$R$5:$R$1000,ROW(),$S$5:$S$1000,"Sub"),$V210))</f>
        <v/>
      </c>
      <c r="AA210" s="70">
        <f>IF($S210="","",IF(N($T210)&gt;0,AVERAGEIFS($W$5:$W$1000,$R$5:$R$1000,ROW(),$S$5:$S$1000,"Sub"),$W210))</f>
        <v/>
      </c>
      <c r="AB210" s="70">
        <f>IF($S210="","",IF(N($T210)&gt;0,AVERAGEIFS($X$5:$X$1000,$R$5:$R$1000,ROW(),$S$5:$S$1000,"Sub"),$X210))</f>
        <v/>
      </c>
    </row>
    <row r="211">
      <c r="A211" s="61">
        <f>IF(NOT((COUNTA($B211:$K211)+COUNTA($N211))&gt;0),"",IF($S211="Macro",COUNTIFS($S$5:$S211,"Macro",$P$5:$P211,$P211),IF(N($R211)=0,"?",COUNTIFS(INDEX($S$5:$S$1000,1):INDEX($S$5:$S$1000,$R211-4),"Macro",INDEX($P$5:$P$1000,1):INDEX($P$5:$P$1000,$R211-4),INDEX($P$5:$P$1000,$R211-4))&amp;"."&amp;COUNTIFS($R$5:$R211,$R211,$S$5:$S211,"Sub"))))</f>
        <v/>
      </c>
      <c r="B211" s="62" t="n"/>
      <c r="C211" s="63" t="n"/>
      <c r="D211" s="62" t="n"/>
      <c r="E211" s="64" t="n"/>
      <c r="F211" s="64" t="n"/>
      <c r="G211" s="65" t="n"/>
      <c r="H211" s="66" t="n"/>
      <c r="I211" s="66" t="n"/>
      <c r="J211" s="66" t="n"/>
      <c r="K211" s="66" t="n"/>
      <c r="L211" s="67">
        <f>IF(NOT((COUNTA($B211:$K211)+COUNTA($N211))&gt;0),"",IF(N($T211)&gt;0,$AB211,IFERROR(LOOKUP(2,1/(H211:K211&lt;&gt;""),H211:K211),0)))</f>
        <v/>
      </c>
      <c r="M211" s="61">
        <f>IF(L211="","",IF(L211&gt;=1,"Completado",IF(L211&gt;0,"En curso","Pendiente")))</f>
        <v/>
      </c>
      <c r="N211" s="62" t="n"/>
      <c r="O211" s="68">
        <f>IF(NOT((COUNTA($B211:$K211)+COUNTA($N211))&gt;0),"",IF((IF(AND($S211="Macro",$B211=""),"Macroactividad vacía"&amp;" · ","")&amp;IF(AND($B211&lt;&gt;"",$C211&lt;&gt;""),"Escriba la subactividad en otra fila, debajo de su macroactividad"&amp;" · ","")&amp;IF(AND($S211="Sub",N($R211)=0),"Subactividad sin macroactividad arriba"&amp;" · ","")&amp;IF($D211="","Sin responsable"&amp;" · ","")&amp;IF($E211="","Sin fecha de inicio"&amp;" · ","")&amp;IF($F211="","Sin fecha límite"&amp;" · ","")&amp;IF(OR(AND($E211&lt;&gt;"",NOT(ISNUMBER($E211))),AND($F211&lt;&gt;"",NOT(ISNUMBER($F211)))),"Fecha no válida"&amp;" · ","")&amp;IF(AND(ISNUMBER($E211),ISNUMBER($F211),$E211&gt;$F211),"Inicio posterior a fecha límite"&amp;" · ","")&amp;IF(AND($S211="Macro",$G211=""),"Peso vacío"&amp;" · ","")&amp;IF(AND($S211="Macro",$G211&lt;&gt;"",OR(NOT(ISNUMBER($G211)),$G211&lt;=0,$G211&gt;1)),"Peso fuera de rango"&amp;" · ","")&amp;IF(AND($S211="Sub",$G211&lt;&gt;""),"Las subactividades no llevan peso"&amp;" · ","")&amp;IF(AND($S211="Macro",ABS(SUMIFS($G$5:$G$1000,$P$5:$P$1000,$P211,$S$5:$S$1000,"Macro")-1)&gt;0.0001),"Pesos del mes suman "&amp;TEXT(SUMIFS($G$5:$G$1000,$P$5:$P$1000,$P211,$S$5:$S$1000,"Macro"),"0%")&amp;" · ","")&amp;IF(AND(N($T211)&gt;0,COUNT($H211:$K211)&gt;0),"Con subactividades: deje vacías las semanas (se calculan solas)"&amp;" · ","")&amp;IF((COUNTIF($H211:$K211,"&gt;1")+COUNTIF($H211:$K211,"&lt;0")+COUNTA($H211:$K211)-COUNT($H211:$K211))&gt;0,"Avance fuera de rango 0-100%"&amp;" · ","")&amp;IF(OR(AND($I211&lt;&gt;"",$I211&lt;$H211),AND($J211&lt;&gt;"",$J211&lt;MAX($H211:$I211)),AND($K211&lt;&gt;"",$K211&lt;MAX($H211:$J211))),"Avance semanal decreciente"&amp;" · ","")&amp;IF(AND(ISNUMBER($F211),$F211&lt;FechaRef,N($L211)&lt;1),"Vencida"&amp;" · ","")&amp;IF(AND(ObsObligatoria="Sí",ISNUMBER($F211),$F211&lt;FechaRef,N($L211)&lt;1,$N211=""),"Vencida sin observación"&amp;" · ",""))="","✔ OK","⚠ "&amp;LEFT(IF(AND($S211="Macro",$B211=""),"Macroactividad vacía"&amp;" · ","")&amp;IF(AND($B211&lt;&gt;"",$C211&lt;&gt;""),"Escriba la subactividad en otra fila, debajo de su macroactividad"&amp;" · ","")&amp;IF(AND($S211="Sub",N($R211)=0),"Subactividad sin macroactividad arriba"&amp;" · ","")&amp;IF($D211="","Sin responsable"&amp;" · ","")&amp;IF($E211="","Sin fecha de inicio"&amp;" · ","")&amp;IF($F211="","Sin fecha límite"&amp;" · ","")&amp;IF(OR(AND($E211&lt;&gt;"",NOT(ISNUMBER($E211))),AND($F211&lt;&gt;"",NOT(ISNUMBER($F211)))),"Fecha no válida"&amp;" · ","")&amp;IF(AND(ISNUMBER($E211),ISNUMBER($F211),$E211&gt;$F211),"Inicio posterior a fecha límite"&amp;" · ","")&amp;IF(AND($S211="Macro",$G211=""),"Peso vacío"&amp;" · ","")&amp;IF(AND($S211="Macro",$G211&lt;&gt;"",OR(NOT(ISNUMBER($G211)),$G211&lt;=0,$G211&gt;1)),"Peso fuera de rango"&amp;" · ","")&amp;IF(AND($S211="Sub",$G211&lt;&gt;""),"Las subactividades no llevan peso"&amp;" · ","")&amp;IF(AND($S211="Macro",ABS(SUMIFS($G$5:$G$1000,$P$5:$P$1000,$P211,$S$5:$S$1000,"Macro")-1)&gt;0.0001),"Pesos del mes suman "&amp;TEXT(SUMIFS($G$5:$G$1000,$P$5:$P$1000,$P211,$S$5:$S$1000,"Macro"),"0%")&amp;" · ","")&amp;IF(AND(N($T211)&gt;0,COUNT($H211:$K211)&gt;0),"Con subactividades: deje vacías las semanas (se calculan solas)"&amp;" · ","")&amp;IF((COUNTIF($H211:$K211,"&gt;1")+COUNTIF($H211:$K211,"&lt;0")+COUNTA($H211:$K211)-COUNT($H211:$K211))&gt;0,"Avance fuera de rango 0-100%"&amp;" · ","")&amp;IF(OR(AND($I211&lt;&gt;"",$I211&lt;$H211),AND($J211&lt;&gt;"",$J211&lt;MAX($H211:$I211)),AND($K211&lt;&gt;"",$K211&lt;MAX($H211:$J211))),"Avance semanal decreciente"&amp;" · ","")&amp;IF(AND(ISNUMBER($F211),$F211&lt;FechaRef,N($L211)&lt;1),"Vencida"&amp;" · ","")&amp;IF(AND(ObsObligatoria="Sí",ISNUMBER($F211),$F211&lt;FechaRef,N($L211)&lt;1,$N211=""),"Vencida sin observación"&amp;" · ",""),LEN(IF(AND($S211="Macro",$B211=""),"Macroactividad vacía"&amp;" · ","")&amp;IF(AND($B211&lt;&gt;"",$C211&lt;&gt;""),"Escriba la subactividad en otra fila, debajo de su macroactividad"&amp;" · ","")&amp;IF(AND($S211="Sub",N($R211)=0),"Subactividad sin macroactividad arriba"&amp;" · ","")&amp;IF($D211="","Sin responsable"&amp;" · ","")&amp;IF($E211="","Sin fecha de inicio"&amp;" · ","")&amp;IF($F211="","Sin fecha límite"&amp;" · ","")&amp;IF(OR(AND($E211&lt;&gt;"",NOT(ISNUMBER($E211))),AND($F211&lt;&gt;"",NOT(ISNUMBER($F211)))),"Fecha no válida"&amp;" · ","")&amp;IF(AND(ISNUMBER($E211),ISNUMBER($F211),$E211&gt;$F211),"Inicio posterior a fecha límite"&amp;" · ","")&amp;IF(AND($S211="Macro",$G211=""),"Peso vacío"&amp;" · ","")&amp;IF(AND($S211="Macro",$G211&lt;&gt;"",OR(NOT(ISNUMBER($G211)),$G211&lt;=0,$G211&gt;1)),"Peso fuera de rango"&amp;" · ","")&amp;IF(AND($S211="Sub",$G211&lt;&gt;""),"Las subactividades no llevan peso"&amp;" · ","")&amp;IF(AND($S211="Macro",ABS(SUMIFS($G$5:$G$1000,$P$5:$P$1000,$P211,$S$5:$S$1000,"Macro")-1)&gt;0.0001),"Pesos del mes suman "&amp;TEXT(SUMIFS($G$5:$G$1000,$P$5:$P$1000,$P211,$S$5:$S$1000,"Macro"),"0%")&amp;" · ","")&amp;IF(AND(N($T211)&gt;0,COUNT($H211:$K211)&gt;0),"Con subactividades: deje vacías las semanas (se calculan solas)"&amp;" · ","")&amp;IF((COUNTIF($H211:$K211,"&gt;1")+COUNTIF($H211:$K211,"&lt;0")+COUNTA($H211:$K211)-COUNT($H211:$K211))&gt;0,"Avance fuera de rango 0-100%"&amp;" · ","")&amp;IF(OR(AND($I211&lt;&gt;"",$I211&lt;$H211),AND($J211&lt;&gt;"",$J211&lt;MAX($H211:$I211)),AND($K211&lt;&gt;"",$K211&lt;MAX($H211:$J211))),"Avance semanal decreciente"&amp;" · ","")&amp;IF(AND(ISNUMBER($F211),$F211&lt;FechaRef,N($L211)&lt;1),"Vencida"&amp;" · ","")&amp;IF(AND(ObsObligatoria="Sí",ISNUMBER($F211),$F211&lt;FechaRef,N($L211)&lt;1,$N211=""),"Vencida sin observación"&amp;" · ",""))-3)))</f>
        <v/>
      </c>
      <c r="P211" s="69">
        <f>IF(NOT((COUNTA($B211:$K211)+COUNTA($N211))&gt;0),"",IF(AND($S211="Sub",N($R211)&gt;0),IF(ISNUMBER(INDEX($E$5:$E$1000,$R211-4)),DATE(YEAR(INDEX($E$5:$E$1000,$R211-4)),MONTH(INDEX($E$5:$E$1000,$R211-4)),1),IF(ISNUMBER(INDEX($F$5:$F$1000,$R211-4)),DATE(YEAR(INDEX($F$5:$F$1000,$R211-4)),MONTH(INDEX($F$5:$F$1000,$R211-4)),1),MesCiclo)),IF(ISNUMBER($E211),DATE(YEAR($E211),MONTH($E211),1),IF(ISNUMBER($F211),DATE(YEAR($F211),MONTH($F211),1),MesCiclo))))</f>
        <v/>
      </c>
      <c r="Q211" s="70">
        <f>IF(OR($P211="",$P211&lt;&gt;MesCiclo),"",COUNTIF($P$5:$P211,MesCiclo))</f>
        <v/>
      </c>
      <c r="R211" s="70">
        <f>IF($S211="","",IF($S211="Macro",ROW(),IFERROR(LOOKUP(2,1/($S$5:$S211="Macro"),ROW($S$5:$S211)),0)))</f>
        <v/>
      </c>
      <c r="S211" s="70">
        <f>IF(NOT((COUNTA($B211:$K211)+COUNTA($N211))&gt;0),"",IF($B211&lt;&gt;"","Macro",IF($C211&lt;&gt;"","Sub","Macro")))</f>
        <v/>
      </c>
      <c r="T211" s="70">
        <f>IF($S211="Macro",COUNTIFS($R$5:$R$1000,ROW(),$S$5:$S$1000,"Sub"),"")</f>
        <v/>
      </c>
      <c r="U211" s="70">
        <f>IF($S211="","",IF(ISNUMBER($H211),$H211,0))</f>
        <v/>
      </c>
      <c r="V211" s="70">
        <f>IF($S211="","",IF(ISNUMBER($I211),$I211,$U211))</f>
        <v/>
      </c>
      <c r="W211" s="70">
        <f>IF($S211="","",IF(ISNUMBER($J211),$J211,$V211))</f>
        <v/>
      </c>
      <c r="X211" s="70">
        <f>IF($S211="","",IF(ISNUMBER($K211),$K211,$W211))</f>
        <v/>
      </c>
      <c r="Y211" s="70">
        <f>IF($S211="","",IF(N($T211)&gt;0,AVERAGEIFS($U$5:$U$1000,$R$5:$R$1000,ROW(),$S$5:$S$1000,"Sub"),$U211))</f>
        <v/>
      </c>
      <c r="Z211" s="70">
        <f>IF($S211="","",IF(N($T211)&gt;0,AVERAGEIFS($V$5:$V$1000,$R$5:$R$1000,ROW(),$S$5:$S$1000,"Sub"),$V211))</f>
        <v/>
      </c>
      <c r="AA211" s="70">
        <f>IF($S211="","",IF(N($T211)&gt;0,AVERAGEIFS($W$5:$W$1000,$R$5:$R$1000,ROW(),$S$5:$S$1000,"Sub"),$W211))</f>
        <v/>
      </c>
      <c r="AB211" s="70">
        <f>IF($S211="","",IF(N($T211)&gt;0,AVERAGEIFS($X$5:$X$1000,$R$5:$R$1000,ROW(),$S$5:$S$1000,"Sub"),$X211))</f>
        <v/>
      </c>
    </row>
    <row r="212">
      <c r="A212" s="61">
        <f>IF(NOT((COUNTA($B212:$K212)+COUNTA($N212))&gt;0),"",IF($S212="Macro",COUNTIFS($S$5:$S212,"Macro",$P$5:$P212,$P212),IF(N($R212)=0,"?",COUNTIFS(INDEX($S$5:$S$1000,1):INDEX($S$5:$S$1000,$R212-4),"Macro",INDEX($P$5:$P$1000,1):INDEX($P$5:$P$1000,$R212-4),INDEX($P$5:$P$1000,$R212-4))&amp;"."&amp;COUNTIFS($R$5:$R212,$R212,$S$5:$S212,"Sub"))))</f>
        <v/>
      </c>
      <c r="B212" s="62" t="n"/>
      <c r="C212" s="63" t="n"/>
      <c r="D212" s="62" t="n"/>
      <c r="E212" s="64" t="n"/>
      <c r="F212" s="64" t="n"/>
      <c r="G212" s="65" t="n"/>
      <c r="H212" s="66" t="n"/>
      <c r="I212" s="66" t="n"/>
      <c r="J212" s="66" t="n"/>
      <c r="K212" s="66" t="n"/>
      <c r="L212" s="67">
        <f>IF(NOT((COUNTA($B212:$K212)+COUNTA($N212))&gt;0),"",IF(N($T212)&gt;0,$AB212,IFERROR(LOOKUP(2,1/(H212:K212&lt;&gt;""),H212:K212),0)))</f>
        <v/>
      </c>
      <c r="M212" s="61">
        <f>IF(L212="","",IF(L212&gt;=1,"Completado",IF(L212&gt;0,"En curso","Pendiente")))</f>
        <v/>
      </c>
      <c r="N212" s="62" t="n"/>
      <c r="O212" s="68">
        <f>IF(NOT((COUNTA($B212:$K212)+COUNTA($N212))&gt;0),"",IF((IF(AND($S212="Macro",$B212=""),"Macroactividad vacía"&amp;" · ","")&amp;IF(AND($B212&lt;&gt;"",$C212&lt;&gt;""),"Escriba la subactividad en otra fila, debajo de su macroactividad"&amp;" · ","")&amp;IF(AND($S212="Sub",N($R212)=0),"Subactividad sin macroactividad arriba"&amp;" · ","")&amp;IF($D212="","Sin responsable"&amp;" · ","")&amp;IF($E212="","Sin fecha de inicio"&amp;" · ","")&amp;IF($F212="","Sin fecha límite"&amp;" · ","")&amp;IF(OR(AND($E212&lt;&gt;"",NOT(ISNUMBER($E212))),AND($F212&lt;&gt;"",NOT(ISNUMBER($F212)))),"Fecha no válida"&amp;" · ","")&amp;IF(AND(ISNUMBER($E212),ISNUMBER($F212),$E212&gt;$F212),"Inicio posterior a fecha límite"&amp;" · ","")&amp;IF(AND($S212="Macro",$G212=""),"Peso vacío"&amp;" · ","")&amp;IF(AND($S212="Macro",$G212&lt;&gt;"",OR(NOT(ISNUMBER($G212)),$G212&lt;=0,$G212&gt;1)),"Peso fuera de rango"&amp;" · ","")&amp;IF(AND($S212="Sub",$G212&lt;&gt;""),"Las subactividades no llevan peso"&amp;" · ","")&amp;IF(AND($S212="Macro",ABS(SUMIFS($G$5:$G$1000,$P$5:$P$1000,$P212,$S$5:$S$1000,"Macro")-1)&gt;0.0001),"Pesos del mes suman "&amp;TEXT(SUMIFS($G$5:$G$1000,$P$5:$P$1000,$P212,$S$5:$S$1000,"Macro"),"0%")&amp;" · ","")&amp;IF(AND(N($T212)&gt;0,COUNT($H212:$K212)&gt;0),"Con subactividades: deje vacías las semanas (se calculan solas)"&amp;" · ","")&amp;IF((COUNTIF($H212:$K212,"&gt;1")+COUNTIF($H212:$K212,"&lt;0")+COUNTA($H212:$K212)-COUNT($H212:$K212))&gt;0,"Avance fuera de rango 0-100%"&amp;" · ","")&amp;IF(OR(AND($I212&lt;&gt;"",$I212&lt;$H212),AND($J212&lt;&gt;"",$J212&lt;MAX($H212:$I212)),AND($K212&lt;&gt;"",$K212&lt;MAX($H212:$J212))),"Avance semanal decreciente"&amp;" · ","")&amp;IF(AND(ISNUMBER($F212),$F212&lt;FechaRef,N($L212)&lt;1),"Vencida"&amp;" · ","")&amp;IF(AND(ObsObligatoria="Sí",ISNUMBER($F212),$F212&lt;FechaRef,N($L212)&lt;1,$N212=""),"Vencida sin observación"&amp;" · ",""))="","✔ OK","⚠ "&amp;LEFT(IF(AND($S212="Macro",$B212=""),"Macroactividad vacía"&amp;" · ","")&amp;IF(AND($B212&lt;&gt;"",$C212&lt;&gt;""),"Escriba la subactividad en otra fila, debajo de su macroactividad"&amp;" · ","")&amp;IF(AND($S212="Sub",N($R212)=0),"Subactividad sin macroactividad arriba"&amp;" · ","")&amp;IF($D212="","Sin responsable"&amp;" · ","")&amp;IF($E212="","Sin fecha de inicio"&amp;" · ","")&amp;IF($F212="","Sin fecha límite"&amp;" · ","")&amp;IF(OR(AND($E212&lt;&gt;"",NOT(ISNUMBER($E212))),AND($F212&lt;&gt;"",NOT(ISNUMBER($F212)))),"Fecha no válida"&amp;" · ","")&amp;IF(AND(ISNUMBER($E212),ISNUMBER($F212),$E212&gt;$F212),"Inicio posterior a fecha límite"&amp;" · ","")&amp;IF(AND($S212="Macro",$G212=""),"Peso vacío"&amp;" · ","")&amp;IF(AND($S212="Macro",$G212&lt;&gt;"",OR(NOT(ISNUMBER($G212)),$G212&lt;=0,$G212&gt;1)),"Peso fuera de rango"&amp;" · ","")&amp;IF(AND($S212="Sub",$G212&lt;&gt;""),"Las subactividades no llevan peso"&amp;" · ","")&amp;IF(AND($S212="Macro",ABS(SUMIFS($G$5:$G$1000,$P$5:$P$1000,$P212,$S$5:$S$1000,"Macro")-1)&gt;0.0001),"Pesos del mes suman "&amp;TEXT(SUMIFS($G$5:$G$1000,$P$5:$P$1000,$P212,$S$5:$S$1000,"Macro"),"0%")&amp;" · ","")&amp;IF(AND(N($T212)&gt;0,COUNT($H212:$K212)&gt;0),"Con subactividades: deje vacías las semanas (se calculan solas)"&amp;" · ","")&amp;IF((COUNTIF($H212:$K212,"&gt;1")+COUNTIF($H212:$K212,"&lt;0")+COUNTA($H212:$K212)-COUNT($H212:$K212))&gt;0,"Avance fuera de rango 0-100%"&amp;" · ","")&amp;IF(OR(AND($I212&lt;&gt;"",$I212&lt;$H212),AND($J212&lt;&gt;"",$J212&lt;MAX($H212:$I212)),AND($K212&lt;&gt;"",$K212&lt;MAX($H212:$J212))),"Avance semanal decreciente"&amp;" · ","")&amp;IF(AND(ISNUMBER($F212),$F212&lt;FechaRef,N($L212)&lt;1),"Vencida"&amp;" · ","")&amp;IF(AND(ObsObligatoria="Sí",ISNUMBER($F212),$F212&lt;FechaRef,N($L212)&lt;1,$N212=""),"Vencida sin observación"&amp;" · ",""),LEN(IF(AND($S212="Macro",$B212=""),"Macroactividad vacía"&amp;" · ","")&amp;IF(AND($B212&lt;&gt;"",$C212&lt;&gt;""),"Escriba la subactividad en otra fila, debajo de su macroactividad"&amp;" · ","")&amp;IF(AND($S212="Sub",N($R212)=0),"Subactividad sin macroactividad arriba"&amp;" · ","")&amp;IF($D212="","Sin responsable"&amp;" · ","")&amp;IF($E212="","Sin fecha de inicio"&amp;" · ","")&amp;IF($F212="","Sin fecha límite"&amp;" · ","")&amp;IF(OR(AND($E212&lt;&gt;"",NOT(ISNUMBER($E212))),AND($F212&lt;&gt;"",NOT(ISNUMBER($F212)))),"Fecha no válida"&amp;" · ","")&amp;IF(AND(ISNUMBER($E212),ISNUMBER($F212),$E212&gt;$F212),"Inicio posterior a fecha límite"&amp;" · ","")&amp;IF(AND($S212="Macro",$G212=""),"Peso vacío"&amp;" · ","")&amp;IF(AND($S212="Macro",$G212&lt;&gt;"",OR(NOT(ISNUMBER($G212)),$G212&lt;=0,$G212&gt;1)),"Peso fuera de rango"&amp;" · ","")&amp;IF(AND($S212="Sub",$G212&lt;&gt;""),"Las subactividades no llevan peso"&amp;" · ","")&amp;IF(AND($S212="Macro",ABS(SUMIFS($G$5:$G$1000,$P$5:$P$1000,$P212,$S$5:$S$1000,"Macro")-1)&gt;0.0001),"Pesos del mes suman "&amp;TEXT(SUMIFS($G$5:$G$1000,$P$5:$P$1000,$P212,$S$5:$S$1000,"Macro"),"0%")&amp;" · ","")&amp;IF(AND(N($T212)&gt;0,COUNT($H212:$K212)&gt;0),"Con subactividades: deje vacías las semanas (se calculan solas)"&amp;" · ","")&amp;IF((COUNTIF($H212:$K212,"&gt;1")+COUNTIF($H212:$K212,"&lt;0")+COUNTA($H212:$K212)-COUNT($H212:$K212))&gt;0,"Avance fuera de rango 0-100%"&amp;" · ","")&amp;IF(OR(AND($I212&lt;&gt;"",$I212&lt;$H212),AND($J212&lt;&gt;"",$J212&lt;MAX($H212:$I212)),AND($K212&lt;&gt;"",$K212&lt;MAX($H212:$J212))),"Avance semanal decreciente"&amp;" · ","")&amp;IF(AND(ISNUMBER($F212),$F212&lt;FechaRef,N($L212)&lt;1),"Vencida"&amp;" · ","")&amp;IF(AND(ObsObligatoria="Sí",ISNUMBER($F212),$F212&lt;FechaRef,N($L212)&lt;1,$N212=""),"Vencida sin observación"&amp;" · ",""))-3)))</f>
        <v/>
      </c>
      <c r="P212" s="69">
        <f>IF(NOT((COUNTA($B212:$K212)+COUNTA($N212))&gt;0),"",IF(AND($S212="Sub",N($R212)&gt;0),IF(ISNUMBER(INDEX($E$5:$E$1000,$R212-4)),DATE(YEAR(INDEX($E$5:$E$1000,$R212-4)),MONTH(INDEX($E$5:$E$1000,$R212-4)),1),IF(ISNUMBER(INDEX($F$5:$F$1000,$R212-4)),DATE(YEAR(INDEX($F$5:$F$1000,$R212-4)),MONTH(INDEX($F$5:$F$1000,$R212-4)),1),MesCiclo)),IF(ISNUMBER($E212),DATE(YEAR($E212),MONTH($E212),1),IF(ISNUMBER($F212),DATE(YEAR($F212),MONTH($F212),1),MesCiclo))))</f>
        <v/>
      </c>
      <c r="Q212" s="70">
        <f>IF(OR($P212="",$P212&lt;&gt;MesCiclo),"",COUNTIF($P$5:$P212,MesCiclo))</f>
        <v/>
      </c>
      <c r="R212" s="70">
        <f>IF($S212="","",IF($S212="Macro",ROW(),IFERROR(LOOKUP(2,1/($S$5:$S212="Macro"),ROW($S$5:$S212)),0)))</f>
        <v/>
      </c>
      <c r="S212" s="70">
        <f>IF(NOT((COUNTA($B212:$K212)+COUNTA($N212))&gt;0),"",IF($B212&lt;&gt;"","Macro",IF($C212&lt;&gt;"","Sub","Macro")))</f>
        <v/>
      </c>
      <c r="T212" s="70">
        <f>IF($S212="Macro",COUNTIFS($R$5:$R$1000,ROW(),$S$5:$S$1000,"Sub"),"")</f>
        <v/>
      </c>
      <c r="U212" s="70">
        <f>IF($S212="","",IF(ISNUMBER($H212),$H212,0))</f>
        <v/>
      </c>
      <c r="V212" s="70">
        <f>IF($S212="","",IF(ISNUMBER($I212),$I212,$U212))</f>
        <v/>
      </c>
      <c r="W212" s="70">
        <f>IF($S212="","",IF(ISNUMBER($J212),$J212,$V212))</f>
        <v/>
      </c>
      <c r="X212" s="70">
        <f>IF($S212="","",IF(ISNUMBER($K212),$K212,$W212))</f>
        <v/>
      </c>
      <c r="Y212" s="70">
        <f>IF($S212="","",IF(N($T212)&gt;0,AVERAGEIFS($U$5:$U$1000,$R$5:$R$1000,ROW(),$S$5:$S$1000,"Sub"),$U212))</f>
        <v/>
      </c>
      <c r="Z212" s="70">
        <f>IF($S212="","",IF(N($T212)&gt;0,AVERAGEIFS($V$5:$V$1000,$R$5:$R$1000,ROW(),$S$5:$S$1000,"Sub"),$V212))</f>
        <v/>
      </c>
      <c r="AA212" s="70">
        <f>IF($S212="","",IF(N($T212)&gt;0,AVERAGEIFS($W$5:$W$1000,$R$5:$R$1000,ROW(),$S$5:$S$1000,"Sub"),$W212))</f>
        <v/>
      </c>
      <c r="AB212" s="70">
        <f>IF($S212="","",IF(N($T212)&gt;0,AVERAGEIFS($X$5:$X$1000,$R$5:$R$1000,ROW(),$S$5:$S$1000,"Sub"),$X212))</f>
        <v/>
      </c>
    </row>
    <row r="213">
      <c r="A213" s="61">
        <f>IF(NOT((COUNTA($B213:$K213)+COUNTA($N213))&gt;0),"",IF($S213="Macro",COUNTIFS($S$5:$S213,"Macro",$P$5:$P213,$P213),IF(N($R213)=0,"?",COUNTIFS(INDEX($S$5:$S$1000,1):INDEX($S$5:$S$1000,$R213-4),"Macro",INDEX($P$5:$P$1000,1):INDEX($P$5:$P$1000,$R213-4),INDEX($P$5:$P$1000,$R213-4))&amp;"."&amp;COUNTIFS($R$5:$R213,$R213,$S$5:$S213,"Sub"))))</f>
        <v/>
      </c>
      <c r="B213" s="62" t="n"/>
      <c r="C213" s="63" t="n"/>
      <c r="D213" s="62" t="n"/>
      <c r="E213" s="64" t="n"/>
      <c r="F213" s="64" t="n"/>
      <c r="G213" s="65" t="n"/>
      <c r="H213" s="66" t="n"/>
      <c r="I213" s="66" t="n"/>
      <c r="J213" s="66" t="n"/>
      <c r="K213" s="66" t="n"/>
      <c r="L213" s="67">
        <f>IF(NOT((COUNTA($B213:$K213)+COUNTA($N213))&gt;0),"",IF(N($T213)&gt;0,$AB213,IFERROR(LOOKUP(2,1/(H213:K213&lt;&gt;""),H213:K213),0)))</f>
        <v/>
      </c>
      <c r="M213" s="61">
        <f>IF(L213="","",IF(L213&gt;=1,"Completado",IF(L213&gt;0,"En curso","Pendiente")))</f>
        <v/>
      </c>
      <c r="N213" s="62" t="n"/>
      <c r="O213" s="68">
        <f>IF(NOT((COUNTA($B213:$K213)+COUNTA($N213))&gt;0),"",IF((IF(AND($S213="Macro",$B213=""),"Macroactividad vacía"&amp;" · ","")&amp;IF(AND($B213&lt;&gt;"",$C213&lt;&gt;""),"Escriba la subactividad en otra fila, debajo de su macroactividad"&amp;" · ","")&amp;IF(AND($S213="Sub",N($R213)=0),"Subactividad sin macroactividad arriba"&amp;" · ","")&amp;IF($D213="","Sin responsable"&amp;" · ","")&amp;IF($E213="","Sin fecha de inicio"&amp;" · ","")&amp;IF($F213="","Sin fecha límite"&amp;" · ","")&amp;IF(OR(AND($E213&lt;&gt;"",NOT(ISNUMBER($E213))),AND($F213&lt;&gt;"",NOT(ISNUMBER($F213)))),"Fecha no válida"&amp;" · ","")&amp;IF(AND(ISNUMBER($E213),ISNUMBER($F213),$E213&gt;$F213),"Inicio posterior a fecha límite"&amp;" · ","")&amp;IF(AND($S213="Macro",$G213=""),"Peso vacío"&amp;" · ","")&amp;IF(AND($S213="Macro",$G213&lt;&gt;"",OR(NOT(ISNUMBER($G213)),$G213&lt;=0,$G213&gt;1)),"Peso fuera de rango"&amp;" · ","")&amp;IF(AND($S213="Sub",$G213&lt;&gt;""),"Las subactividades no llevan peso"&amp;" · ","")&amp;IF(AND($S213="Macro",ABS(SUMIFS($G$5:$G$1000,$P$5:$P$1000,$P213,$S$5:$S$1000,"Macro")-1)&gt;0.0001),"Pesos del mes suman "&amp;TEXT(SUMIFS($G$5:$G$1000,$P$5:$P$1000,$P213,$S$5:$S$1000,"Macro"),"0%")&amp;" · ","")&amp;IF(AND(N($T213)&gt;0,COUNT($H213:$K213)&gt;0),"Con subactividades: deje vacías las semanas (se calculan solas)"&amp;" · ","")&amp;IF((COUNTIF($H213:$K213,"&gt;1")+COUNTIF($H213:$K213,"&lt;0")+COUNTA($H213:$K213)-COUNT($H213:$K213))&gt;0,"Avance fuera de rango 0-100%"&amp;" · ","")&amp;IF(OR(AND($I213&lt;&gt;"",$I213&lt;$H213),AND($J213&lt;&gt;"",$J213&lt;MAX($H213:$I213)),AND($K213&lt;&gt;"",$K213&lt;MAX($H213:$J213))),"Avance semanal decreciente"&amp;" · ","")&amp;IF(AND(ISNUMBER($F213),$F213&lt;FechaRef,N($L213)&lt;1),"Vencida"&amp;" · ","")&amp;IF(AND(ObsObligatoria="Sí",ISNUMBER($F213),$F213&lt;FechaRef,N($L213)&lt;1,$N213=""),"Vencida sin observación"&amp;" · ",""))="","✔ OK","⚠ "&amp;LEFT(IF(AND($S213="Macro",$B213=""),"Macroactividad vacía"&amp;" · ","")&amp;IF(AND($B213&lt;&gt;"",$C213&lt;&gt;""),"Escriba la subactividad en otra fila, debajo de su macroactividad"&amp;" · ","")&amp;IF(AND($S213="Sub",N($R213)=0),"Subactividad sin macroactividad arriba"&amp;" · ","")&amp;IF($D213="","Sin responsable"&amp;" · ","")&amp;IF($E213="","Sin fecha de inicio"&amp;" · ","")&amp;IF($F213="","Sin fecha límite"&amp;" · ","")&amp;IF(OR(AND($E213&lt;&gt;"",NOT(ISNUMBER($E213))),AND($F213&lt;&gt;"",NOT(ISNUMBER($F213)))),"Fecha no válida"&amp;" · ","")&amp;IF(AND(ISNUMBER($E213),ISNUMBER($F213),$E213&gt;$F213),"Inicio posterior a fecha límite"&amp;" · ","")&amp;IF(AND($S213="Macro",$G213=""),"Peso vacío"&amp;" · ","")&amp;IF(AND($S213="Macro",$G213&lt;&gt;"",OR(NOT(ISNUMBER($G213)),$G213&lt;=0,$G213&gt;1)),"Peso fuera de rango"&amp;" · ","")&amp;IF(AND($S213="Sub",$G213&lt;&gt;""),"Las subactividades no llevan peso"&amp;" · ","")&amp;IF(AND($S213="Macro",ABS(SUMIFS($G$5:$G$1000,$P$5:$P$1000,$P213,$S$5:$S$1000,"Macro")-1)&gt;0.0001),"Pesos del mes suman "&amp;TEXT(SUMIFS($G$5:$G$1000,$P$5:$P$1000,$P213,$S$5:$S$1000,"Macro"),"0%")&amp;" · ","")&amp;IF(AND(N($T213)&gt;0,COUNT($H213:$K213)&gt;0),"Con subactividades: deje vacías las semanas (se calculan solas)"&amp;" · ","")&amp;IF((COUNTIF($H213:$K213,"&gt;1")+COUNTIF($H213:$K213,"&lt;0")+COUNTA($H213:$K213)-COUNT($H213:$K213))&gt;0,"Avance fuera de rango 0-100%"&amp;" · ","")&amp;IF(OR(AND($I213&lt;&gt;"",$I213&lt;$H213),AND($J213&lt;&gt;"",$J213&lt;MAX($H213:$I213)),AND($K213&lt;&gt;"",$K213&lt;MAX($H213:$J213))),"Avance semanal decreciente"&amp;" · ","")&amp;IF(AND(ISNUMBER($F213),$F213&lt;FechaRef,N($L213)&lt;1),"Vencida"&amp;" · ","")&amp;IF(AND(ObsObligatoria="Sí",ISNUMBER($F213),$F213&lt;FechaRef,N($L213)&lt;1,$N213=""),"Vencida sin observación"&amp;" · ",""),LEN(IF(AND($S213="Macro",$B213=""),"Macroactividad vacía"&amp;" · ","")&amp;IF(AND($B213&lt;&gt;"",$C213&lt;&gt;""),"Escriba la subactividad en otra fila, debajo de su macroactividad"&amp;" · ","")&amp;IF(AND($S213="Sub",N($R213)=0),"Subactividad sin macroactividad arriba"&amp;" · ","")&amp;IF($D213="","Sin responsable"&amp;" · ","")&amp;IF($E213="","Sin fecha de inicio"&amp;" · ","")&amp;IF($F213="","Sin fecha límite"&amp;" · ","")&amp;IF(OR(AND($E213&lt;&gt;"",NOT(ISNUMBER($E213))),AND($F213&lt;&gt;"",NOT(ISNUMBER($F213)))),"Fecha no válida"&amp;" · ","")&amp;IF(AND(ISNUMBER($E213),ISNUMBER($F213),$E213&gt;$F213),"Inicio posterior a fecha límite"&amp;" · ","")&amp;IF(AND($S213="Macro",$G213=""),"Peso vacío"&amp;" · ","")&amp;IF(AND($S213="Macro",$G213&lt;&gt;"",OR(NOT(ISNUMBER($G213)),$G213&lt;=0,$G213&gt;1)),"Peso fuera de rango"&amp;" · ","")&amp;IF(AND($S213="Sub",$G213&lt;&gt;""),"Las subactividades no llevan peso"&amp;" · ","")&amp;IF(AND($S213="Macro",ABS(SUMIFS($G$5:$G$1000,$P$5:$P$1000,$P213,$S$5:$S$1000,"Macro")-1)&gt;0.0001),"Pesos del mes suman "&amp;TEXT(SUMIFS($G$5:$G$1000,$P$5:$P$1000,$P213,$S$5:$S$1000,"Macro"),"0%")&amp;" · ","")&amp;IF(AND(N($T213)&gt;0,COUNT($H213:$K213)&gt;0),"Con subactividades: deje vacías las semanas (se calculan solas)"&amp;" · ","")&amp;IF((COUNTIF($H213:$K213,"&gt;1")+COUNTIF($H213:$K213,"&lt;0")+COUNTA($H213:$K213)-COUNT($H213:$K213))&gt;0,"Avance fuera de rango 0-100%"&amp;" · ","")&amp;IF(OR(AND($I213&lt;&gt;"",$I213&lt;$H213),AND($J213&lt;&gt;"",$J213&lt;MAX($H213:$I213)),AND($K213&lt;&gt;"",$K213&lt;MAX($H213:$J213))),"Avance semanal decreciente"&amp;" · ","")&amp;IF(AND(ISNUMBER($F213),$F213&lt;FechaRef,N($L213)&lt;1),"Vencida"&amp;" · ","")&amp;IF(AND(ObsObligatoria="Sí",ISNUMBER($F213),$F213&lt;FechaRef,N($L213)&lt;1,$N213=""),"Vencida sin observación"&amp;" · ",""))-3)))</f>
        <v/>
      </c>
      <c r="P213" s="69">
        <f>IF(NOT((COUNTA($B213:$K213)+COUNTA($N213))&gt;0),"",IF(AND($S213="Sub",N($R213)&gt;0),IF(ISNUMBER(INDEX($E$5:$E$1000,$R213-4)),DATE(YEAR(INDEX($E$5:$E$1000,$R213-4)),MONTH(INDEX($E$5:$E$1000,$R213-4)),1),IF(ISNUMBER(INDEX($F$5:$F$1000,$R213-4)),DATE(YEAR(INDEX($F$5:$F$1000,$R213-4)),MONTH(INDEX($F$5:$F$1000,$R213-4)),1),MesCiclo)),IF(ISNUMBER($E213),DATE(YEAR($E213),MONTH($E213),1),IF(ISNUMBER($F213),DATE(YEAR($F213),MONTH($F213),1),MesCiclo))))</f>
        <v/>
      </c>
      <c r="Q213" s="70">
        <f>IF(OR($P213="",$P213&lt;&gt;MesCiclo),"",COUNTIF($P$5:$P213,MesCiclo))</f>
        <v/>
      </c>
      <c r="R213" s="70">
        <f>IF($S213="","",IF($S213="Macro",ROW(),IFERROR(LOOKUP(2,1/($S$5:$S213="Macro"),ROW($S$5:$S213)),0)))</f>
        <v/>
      </c>
      <c r="S213" s="70">
        <f>IF(NOT((COUNTA($B213:$K213)+COUNTA($N213))&gt;0),"",IF($B213&lt;&gt;"","Macro",IF($C213&lt;&gt;"","Sub","Macro")))</f>
        <v/>
      </c>
      <c r="T213" s="70">
        <f>IF($S213="Macro",COUNTIFS($R$5:$R$1000,ROW(),$S$5:$S$1000,"Sub"),"")</f>
        <v/>
      </c>
      <c r="U213" s="70">
        <f>IF($S213="","",IF(ISNUMBER($H213),$H213,0))</f>
        <v/>
      </c>
      <c r="V213" s="70">
        <f>IF($S213="","",IF(ISNUMBER($I213),$I213,$U213))</f>
        <v/>
      </c>
      <c r="W213" s="70">
        <f>IF($S213="","",IF(ISNUMBER($J213),$J213,$V213))</f>
        <v/>
      </c>
      <c r="X213" s="70">
        <f>IF($S213="","",IF(ISNUMBER($K213),$K213,$W213))</f>
        <v/>
      </c>
      <c r="Y213" s="70">
        <f>IF($S213="","",IF(N($T213)&gt;0,AVERAGEIFS($U$5:$U$1000,$R$5:$R$1000,ROW(),$S$5:$S$1000,"Sub"),$U213))</f>
        <v/>
      </c>
      <c r="Z213" s="70">
        <f>IF($S213="","",IF(N($T213)&gt;0,AVERAGEIFS($V$5:$V$1000,$R$5:$R$1000,ROW(),$S$5:$S$1000,"Sub"),$V213))</f>
        <v/>
      </c>
      <c r="AA213" s="70">
        <f>IF($S213="","",IF(N($T213)&gt;0,AVERAGEIFS($W$5:$W$1000,$R$5:$R$1000,ROW(),$S$5:$S$1000,"Sub"),$W213))</f>
        <v/>
      </c>
      <c r="AB213" s="70">
        <f>IF($S213="","",IF(N($T213)&gt;0,AVERAGEIFS($X$5:$X$1000,$R$5:$R$1000,ROW(),$S$5:$S$1000,"Sub"),$X213))</f>
        <v/>
      </c>
    </row>
    <row r="214">
      <c r="A214" s="61">
        <f>IF(NOT((COUNTA($B214:$K214)+COUNTA($N214))&gt;0),"",IF($S214="Macro",COUNTIFS($S$5:$S214,"Macro",$P$5:$P214,$P214),IF(N($R214)=0,"?",COUNTIFS(INDEX($S$5:$S$1000,1):INDEX($S$5:$S$1000,$R214-4),"Macro",INDEX($P$5:$P$1000,1):INDEX($P$5:$P$1000,$R214-4),INDEX($P$5:$P$1000,$R214-4))&amp;"."&amp;COUNTIFS($R$5:$R214,$R214,$S$5:$S214,"Sub"))))</f>
        <v/>
      </c>
      <c r="B214" s="62" t="n"/>
      <c r="C214" s="63" t="n"/>
      <c r="D214" s="62" t="n"/>
      <c r="E214" s="64" t="n"/>
      <c r="F214" s="64" t="n"/>
      <c r="G214" s="65" t="n"/>
      <c r="H214" s="66" t="n"/>
      <c r="I214" s="66" t="n"/>
      <c r="J214" s="66" t="n"/>
      <c r="K214" s="66" t="n"/>
      <c r="L214" s="67">
        <f>IF(NOT((COUNTA($B214:$K214)+COUNTA($N214))&gt;0),"",IF(N($T214)&gt;0,$AB214,IFERROR(LOOKUP(2,1/(H214:K214&lt;&gt;""),H214:K214),0)))</f>
        <v/>
      </c>
      <c r="M214" s="61">
        <f>IF(L214="","",IF(L214&gt;=1,"Completado",IF(L214&gt;0,"En curso","Pendiente")))</f>
        <v/>
      </c>
      <c r="N214" s="62" t="n"/>
      <c r="O214" s="68">
        <f>IF(NOT((COUNTA($B214:$K214)+COUNTA($N214))&gt;0),"",IF((IF(AND($S214="Macro",$B214=""),"Macroactividad vacía"&amp;" · ","")&amp;IF(AND($B214&lt;&gt;"",$C214&lt;&gt;""),"Escriba la subactividad en otra fila, debajo de su macroactividad"&amp;" · ","")&amp;IF(AND($S214="Sub",N($R214)=0),"Subactividad sin macroactividad arriba"&amp;" · ","")&amp;IF($D214="","Sin responsable"&amp;" · ","")&amp;IF($E214="","Sin fecha de inicio"&amp;" · ","")&amp;IF($F214="","Sin fecha límite"&amp;" · ","")&amp;IF(OR(AND($E214&lt;&gt;"",NOT(ISNUMBER($E214))),AND($F214&lt;&gt;"",NOT(ISNUMBER($F214)))),"Fecha no válida"&amp;" · ","")&amp;IF(AND(ISNUMBER($E214),ISNUMBER($F214),$E214&gt;$F214),"Inicio posterior a fecha límite"&amp;" · ","")&amp;IF(AND($S214="Macro",$G214=""),"Peso vacío"&amp;" · ","")&amp;IF(AND($S214="Macro",$G214&lt;&gt;"",OR(NOT(ISNUMBER($G214)),$G214&lt;=0,$G214&gt;1)),"Peso fuera de rango"&amp;" · ","")&amp;IF(AND($S214="Sub",$G214&lt;&gt;""),"Las subactividades no llevan peso"&amp;" · ","")&amp;IF(AND($S214="Macro",ABS(SUMIFS($G$5:$G$1000,$P$5:$P$1000,$P214,$S$5:$S$1000,"Macro")-1)&gt;0.0001),"Pesos del mes suman "&amp;TEXT(SUMIFS($G$5:$G$1000,$P$5:$P$1000,$P214,$S$5:$S$1000,"Macro"),"0%")&amp;" · ","")&amp;IF(AND(N($T214)&gt;0,COUNT($H214:$K214)&gt;0),"Con subactividades: deje vacías las semanas (se calculan solas)"&amp;" · ","")&amp;IF((COUNTIF($H214:$K214,"&gt;1")+COUNTIF($H214:$K214,"&lt;0")+COUNTA($H214:$K214)-COUNT($H214:$K214))&gt;0,"Avance fuera de rango 0-100%"&amp;" · ","")&amp;IF(OR(AND($I214&lt;&gt;"",$I214&lt;$H214),AND($J214&lt;&gt;"",$J214&lt;MAX($H214:$I214)),AND($K214&lt;&gt;"",$K214&lt;MAX($H214:$J214))),"Avance semanal decreciente"&amp;" · ","")&amp;IF(AND(ISNUMBER($F214),$F214&lt;FechaRef,N($L214)&lt;1),"Vencida"&amp;" · ","")&amp;IF(AND(ObsObligatoria="Sí",ISNUMBER($F214),$F214&lt;FechaRef,N($L214)&lt;1,$N214=""),"Vencida sin observación"&amp;" · ",""))="","✔ OK","⚠ "&amp;LEFT(IF(AND($S214="Macro",$B214=""),"Macroactividad vacía"&amp;" · ","")&amp;IF(AND($B214&lt;&gt;"",$C214&lt;&gt;""),"Escriba la subactividad en otra fila, debajo de su macroactividad"&amp;" · ","")&amp;IF(AND($S214="Sub",N($R214)=0),"Subactividad sin macroactividad arriba"&amp;" · ","")&amp;IF($D214="","Sin responsable"&amp;" · ","")&amp;IF($E214="","Sin fecha de inicio"&amp;" · ","")&amp;IF($F214="","Sin fecha límite"&amp;" · ","")&amp;IF(OR(AND($E214&lt;&gt;"",NOT(ISNUMBER($E214))),AND($F214&lt;&gt;"",NOT(ISNUMBER($F214)))),"Fecha no válida"&amp;" · ","")&amp;IF(AND(ISNUMBER($E214),ISNUMBER($F214),$E214&gt;$F214),"Inicio posterior a fecha límite"&amp;" · ","")&amp;IF(AND($S214="Macro",$G214=""),"Peso vacío"&amp;" · ","")&amp;IF(AND($S214="Macro",$G214&lt;&gt;"",OR(NOT(ISNUMBER($G214)),$G214&lt;=0,$G214&gt;1)),"Peso fuera de rango"&amp;" · ","")&amp;IF(AND($S214="Sub",$G214&lt;&gt;""),"Las subactividades no llevan peso"&amp;" · ","")&amp;IF(AND($S214="Macro",ABS(SUMIFS($G$5:$G$1000,$P$5:$P$1000,$P214,$S$5:$S$1000,"Macro")-1)&gt;0.0001),"Pesos del mes suman "&amp;TEXT(SUMIFS($G$5:$G$1000,$P$5:$P$1000,$P214,$S$5:$S$1000,"Macro"),"0%")&amp;" · ","")&amp;IF(AND(N($T214)&gt;0,COUNT($H214:$K214)&gt;0),"Con subactividades: deje vacías las semanas (se calculan solas)"&amp;" · ","")&amp;IF((COUNTIF($H214:$K214,"&gt;1")+COUNTIF($H214:$K214,"&lt;0")+COUNTA($H214:$K214)-COUNT($H214:$K214))&gt;0,"Avance fuera de rango 0-100%"&amp;" · ","")&amp;IF(OR(AND($I214&lt;&gt;"",$I214&lt;$H214),AND($J214&lt;&gt;"",$J214&lt;MAX($H214:$I214)),AND($K214&lt;&gt;"",$K214&lt;MAX($H214:$J214))),"Avance semanal decreciente"&amp;" · ","")&amp;IF(AND(ISNUMBER($F214),$F214&lt;FechaRef,N($L214)&lt;1),"Vencida"&amp;" · ","")&amp;IF(AND(ObsObligatoria="Sí",ISNUMBER($F214),$F214&lt;FechaRef,N($L214)&lt;1,$N214=""),"Vencida sin observación"&amp;" · ",""),LEN(IF(AND($S214="Macro",$B214=""),"Macroactividad vacía"&amp;" · ","")&amp;IF(AND($B214&lt;&gt;"",$C214&lt;&gt;""),"Escriba la subactividad en otra fila, debajo de su macroactividad"&amp;" · ","")&amp;IF(AND($S214="Sub",N($R214)=0),"Subactividad sin macroactividad arriba"&amp;" · ","")&amp;IF($D214="","Sin responsable"&amp;" · ","")&amp;IF($E214="","Sin fecha de inicio"&amp;" · ","")&amp;IF($F214="","Sin fecha límite"&amp;" · ","")&amp;IF(OR(AND($E214&lt;&gt;"",NOT(ISNUMBER($E214))),AND($F214&lt;&gt;"",NOT(ISNUMBER($F214)))),"Fecha no válida"&amp;" · ","")&amp;IF(AND(ISNUMBER($E214),ISNUMBER($F214),$E214&gt;$F214),"Inicio posterior a fecha límite"&amp;" · ","")&amp;IF(AND($S214="Macro",$G214=""),"Peso vacío"&amp;" · ","")&amp;IF(AND($S214="Macro",$G214&lt;&gt;"",OR(NOT(ISNUMBER($G214)),$G214&lt;=0,$G214&gt;1)),"Peso fuera de rango"&amp;" · ","")&amp;IF(AND($S214="Sub",$G214&lt;&gt;""),"Las subactividades no llevan peso"&amp;" · ","")&amp;IF(AND($S214="Macro",ABS(SUMIFS($G$5:$G$1000,$P$5:$P$1000,$P214,$S$5:$S$1000,"Macro")-1)&gt;0.0001),"Pesos del mes suman "&amp;TEXT(SUMIFS($G$5:$G$1000,$P$5:$P$1000,$P214,$S$5:$S$1000,"Macro"),"0%")&amp;" · ","")&amp;IF(AND(N($T214)&gt;0,COUNT($H214:$K214)&gt;0),"Con subactividades: deje vacías las semanas (se calculan solas)"&amp;" · ","")&amp;IF((COUNTIF($H214:$K214,"&gt;1")+COUNTIF($H214:$K214,"&lt;0")+COUNTA($H214:$K214)-COUNT($H214:$K214))&gt;0,"Avance fuera de rango 0-100%"&amp;" · ","")&amp;IF(OR(AND($I214&lt;&gt;"",$I214&lt;$H214),AND($J214&lt;&gt;"",$J214&lt;MAX($H214:$I214)),AND($K214&lt;&gt;"",$K214&lt;MAX($H214:$J214))),"Avance semanal decreciente"&amp;" · ","")&amp;IF(AND(ISNUMBER($F214),$F214&lt;FechaRef,N($L214)&lt;1),"Vencida"&amp;" · ","")&amp;IF(AND(ObsObligatoria="Sí",ISNUMBER($F214),$F214&lt;FechaRef,N($L214)&lt;1,$N214=""),"Vencida sin observación"&amp;" · ",""))-3)))</f>
        <v/>
      </c>
      <c r="P214" s="69">
        <f>IF(NOT((COUNTA($B214:$K214)+COUNTA($N214))&gt;0),"",IF(AND($S214="Sub",N($R214)&gt;0),IF(ISNUMBER(INDEX($E$5:$E$1000,$R214-4)),DATE(YEAR(INDEX($E$5:$E$1000,$R214-4)),MONTH(INDEX($E$5:$E$1000,$R214-4)),1),IF(ISNUMBER(INDEX($F$5:$F$1000,$R214-4)),DATE(YEAR(INDEX($F$5:$F$1000,$R214-4)),MONTH(INDEX($F$5:$F$1000,$R214-4)),1),MesCiclo)),IF(ISNUMBER($E214),DATE(YEAR($E214),MONTH($E214),1),IF(ISNUMBER($F214),DATE(YEAR($F214),MONTH($F214),1),MesCiclo))))</f>
        <v/>
      </c>
      <c r="Q214" s="70">
        <f>IF(OR($P214="",$P214&lt;&gt;MesCiclo),"",COUNTIF($P$5:$P214,MesCiclo))</f>
        <v/>
      </c>
      <c r="R214" s="70">
        <f>IF($S214="","",IF($S214="Macro",ROW(),IFERROR(LOOKUP(2,1/($S$5:$S214="Macro"),ROW($S$5:$S214)),0)))</f>
        <v/>
      </c>
      <c r="S214" s="70">
        <f>IF(NOT((COUNTA($B214:$K214)+COUNTA($N214))&gt;0),"",IF($B214&lt;&gt;"","Macro",IF($C214&lt;&gt;"","Sub","Macro")))</f>
        <v/>
      </c>
      <c r="T214" s="70">
        <f>IF($S214="Macro",COUNTIFS($R$5:$R$1000,ROW(),$S$5:$S$1000,"Sub"),"")</f>
        <v/>
      </c>
      <c r="U214" s="70">
        <f>IF($S214="","",IF(ISNUMBER($H214),$H214,0))</f>
        <v/>
      </c>
      <c r="V214" s="70">
        <f>IF($S214="","",IF(ISNUMBER($I214),$I214,$U214))</f>
        <v/>
      </c>
      <c r="W214" s="70">
        <f>IF($S214="","",IF(ISNUMBER($J214),$J214,$V214))</f>
        <v/>
      </c>
      <c r="X214" s="70">
        <f>IF($S214="","",IF(ISNUMBER($K214),$K214,$W214))</f>
        <v/>
      </c>
      <c r="Y214" s="70">
        <f>IF($S214="","",IF(N($T214)&gt;0,AVERAGEIFS($U$5:$U$1000,$R$5:$R$1000,ROW(),$S$5:$S$1000,"Sub"),$U214))</f>
        <v/>
      </c>
      <c r="Z214" s="70">
        <f>IF($S214="","",IF(N($T214)&gt;0,AVERAGEIFS($V$5:$V$1000,$R$5:$R$1000,ROW(),$S$5:$S$1000,"Sub"),$V214))</f>
        <v/>
      </c>
      <c r="AA214" s="70">
        <f>IF($S214="","",IF(N($T214)&gt;0,AVERAGEIFS($W$5:$W$1000,$R$5:$R$1000,ROW(),$S$5:$S$1000,"Sub"),$W214))</f>
        <v/>
      </c>
      <c r="AB214" s="70">
        <f>IF($S214="","",IF(N($T214)&gt;0,AVERAGEIFS($X$5:$X$1000,$R$5:$R$1000,ROW(),$S$5:$S$1000,"Sub"),$X214))</f>
        <v/>
      </c>
    </row>
    <row r="215">
      <c r="A215" s="61">
        <f>IF(NOT((COUNTA($B215:$K215)+COUNTA($N215))&gt;0),"",IF($S215="Macro",COUNTIFS($S$5:$S215,"Macro",$P$5:$P215,$P215),IF(N($R215)=0,"?",COUNTIFS(INDEX($S$5:$S$1000,1):INDEX($S$5:$S$1000,$R215-4),"Macro",INDEX($P$5:$P$1000,1):INDEX($P$5:$P$1000,$R215-4),INDEX($P$5:$P$1000,$R215-4))&amp;"."&amp;COUNTIFS($R$5:$R215,$R215,$S$5:$S215,"Sub"))))</f>
        <v/>
      </c>
      <c r="B215" s="62" t="n"/>
      <c r="C215" s="63" t="n"/>
      <c r="D215" s="62" t="n"/>
      <c r="E215" s="64" t="n"/>
      <c r="F215" s="64" t="n"/>
      <c r="G215" s="65" t="n"/>
      <c r="H215" s="66" t="n"/>
      <c r="I215" s="66" t="n"/>
      <c r="J215" s="66" t="n"/>
      <c r="K215" s="66" t="n"/>
      <c r="L215" s="67">
        <f>IF(NOT((COUNTA($B215:$K215)+COUNTA($N215))&gt;0),"",IF(N($T215)&gt;0,$AB215,IFERROR(LOOKUP(2,1/(H215:K215&lt;&gt;""),H215:K215),0)))</f>
        <v/>
      </c>
      <c r="M215" s="61">
        <f>IF(L215="","",IF(L215&gt;=1,"Completado",IF(L215&gt;0,"En curso","Pendiente")))</f>
        <v/>
      </c>
      <c r="N215" s="62" t="n"/>
      <c r="O215" s="68">
        <f>IF(NOT((COUNTA($B215:$K215)+COUNTA($N215))&gt;0),"",IF((IF(AND($S215="Macro",$B215=""),"Macroactividad vacía"&amp;" · ","")&amp;IF(AND($B215&lt;&gt;"",$C215&lt;&gt;""),"Escriba la subactividad en otra fila, debajo de su macroactividad"&amp;" · ","")&amp;IF(AND($S215="Sub",N($R215)=0),"Subactividad sin macroactividad arriba"&amp;" · ","")&amp;IF($D215="","Sin responsable"&amp;" · ","")&amp;IF($E215="","Sin fecha de inicio"&amp;" · ","")&amp;IF($F215="","Sin fecha límite"&amp;" · ","")&amp;IF(OR(AND($E215&lt;&gt;"",NOT(ISNUMBER($E215))),AND($F215&lt;&gt;"",NOT(ISNUMBER($F215)))),"Fecha no válida"&amp;" · ","")&amp;IF(AND(ISNUMBER($E215),ISNUMBER($F215),$E215&gt;$F215),"Inicio posterior a fecha límite"&amp;" · ","")&amp;IF(AND($S215="Macro",$G215=""),"Peso vacío"&amp;" · ","")&amp;IF(AND($S215="Macro",$G215&lt;&gt;"",OR(NOT(ISNUMBER($G215)),$G215&lt;=0,$G215&gt;1)),"Peso fuera de rango"&amp;" · ","")&amp;IF(AND($S215="Sub",$G215&lt;&gt;""),"Las subactividades no llevan peso"&amp;" · ","")&amp;IF(AND($S215="Macro",ABS(SUMIFS($G$5:$G$1000,$P$5:$P$1000,$P215,$S$5:$S$1000,"Macro")-1)&gt;0.0001),"Pesos del mes suman "&amp;TEXT(SUMIFS($G$5:$G$1000,$P$5:$P$1000,$P215,$S$5:$S$1000,"Macro"),"0%")&amp;" · ","")&amp;IF(AND(N($T215)&gt;0,COUNT($H215:$K215)&gt;0),"Con subactividades: deje vacías las semanas (se calculan solas)"&amp;" · ","")&amp;IF((COUNTIF($H215:$K215,"&gt;1")+COUNTIF($H215:$K215,"&lt;0")+COUNTA($H215:$K215)-COUNT($H215:$K215))&gt;0,"Avance fuera de rango 0-100%"&amp;" · ","")&amp;IF(OR(AND($I215&lt;&gt;"",$I215&lt;$H215),AND($J215&lt;&gt;"",$J215&lt;MAX($H215:$I215)),AND($K215&lt;&gt;"",$K215&lt;MAX($H215:$J215))),"Avance semanal decreciente"&amp;" · ","")&amp;IF(AND(ISNUMBER($F215),$F215&lt;FechaRef,N($L215)&lt;1),"Vencida"&amp;" · ","")&amp;IF(AND(ObsObligatoria="Sí",ISNUMBER($F215),$F215&lt;FechaRef,N($L215)&lt;1,$N215=""),"Vencida sin observación"&amp;" · ",""))="","✔ OK","⚠ "&amp;LEFT(IF(AND($S215="Macro",$B215=""),"Macroactividad vacía"&amp;" · ","")&amp;IF(AND($B215&lt;&gt;"",$C215&lt;&gt;""),"Escriba la subactividad en otra fila, debajo de su macroactividad"&amp;" · ","")&amp;IF(AND($S215="Sub",N($R215)=0),"Subactividad sin macroactividad arriba"&amp;" · ","")&amp;IF($D215="","Sin responsable"&amp;" · ","")&amp;IF($E215="","Sin fecha de inicio"&amp;" · ","")&amp;IF($F215="","Sin fecha límite"&amp;" · ","")&amp;IF(OR(AND($E215&lt;&gt;"",NOT(ISNUMBER($E215))),AND($F215&lt;&gt;"",NOT(ISNUMBER($F215)))),"Fecha no válida"&amp;" · ","")&amp;IF(AND(ISNUMBER($E215),ISNUMBER($F215),$E215&gt;$F215),"Inicio posterior a fecha límite"&amp;" · ","")&amp;IF(AND($S215="Macro",$G215=""),"Peso vacío"&amp;" · ","")&amp;IF(AND($S215="Macro",$G215&lt;&gt;"",OR(NOT(ISNUMBER($G215)),$G215&lt;=0,$G215&gt;1)),"Peso fuera de rango"&amp;" · ","")&amp;IF(AND($S215="Sub",$G215&lt;&gt;""),"Las subactividades no llevan peso"&amp;" · ","")&amp;IF(AND($S215="Macro",ABS(SUMIFS($G$5:$G$1000,$P$5:$P$1000,$P215,$S$5:$S$1000,"Macro")-1)&gt;0.0001),"Pesos del mes suman "&amp;TEXT(SUMIFS($G$5:$G$1000,$P$5:$P$1000,$P215,$S$5:$S$1000,"Macro"),"0%")&amp;" · ","")&amp;IF(AND(N($T215)&gt;0,COUNT($H215:$K215)&gt;0),"Con subactividades: deje vacías las semanas (se calculan solas)"&amp;" · ","")&amp;IF((COUNTIF($H215:$K215,"&gt;1")+COUNTIF($H215:$K215,"&lt;0")+COUNTA($H215:$K215)-COUNT($H215:$K215))&gt;0,"Avance fuera de rango 0-100%"&amp;" · ","")&amp;IF(OR(AND($I215&lt;&gt;"",$I215&lt;$H215),AND($J215&lt;&gt;"",$J215&lt;MAX($H215:$I215)),AND($K215&lt;&gt;"",$K215&lt;MAX($H215:$J215))),"Avance semanal decreciente"&amp;" · ","")&amp;IF(AND(ISNUMBER($F215),$F215&lt;FechaRef,N($L215)&lt;1),"Vencida"&amp;" · ","")&amp;IF(AND(ObsObligatoria="Sí",ISNUMBER($F215),$F215&lt;FechaRef,N($L215)&lt;1,$N215=""),"Vencida sin observación"&amp;" · ",""),LEN(IF(AND($S215="Macro",$B215=""),"Macroactividad vacía"&amp;" · ","")&amp;IF(AND($B215&lt;&gt;"",$C215&lt;&gt;""),"Escriba la subactividad en otra fila, debajo de su macroactividad"&amp;" · ","")&amp;IF(AND($S215="Sub",N($R215)=0),"Subactividad sin macroactividad arriba"&amp;" · ","")&amp;IF($D215="","Sin responsable"&amp;" · ","")&amp;IF($E215="","Sin fecha de inicio"&amp;" · ","")&amp;IF($F215="","Sin fecha límite"&amp;" · ","")&amp;IF(OR(AND($E215&lt;&gt;"",NOT(ISNUMBER($E215))),AND($F215&lt;&gt;"",NOT(ISNUMBER($F215)))),"Fecha no válida"&amp;" · ","")&amp;IF(AND(ISNUMBER($E215),ISNUMBER($F215),$E215&gt;$F215),"Inicio posterior a fecha límite"&amp;" · ","")&amp;IF(AND($S215="Macro",$G215=""),"Peso vacío"&amp;" · ","")&amp;IF(AND($S215="Macro",$G215&lt;&gt;"",OR(NOT(ISNUMBER($G215)),$G215&lt;=0,$G215&gt;1)),"Peso fuera de rango"&amp;" · ","")&amp;IF(AND($S215="Sub",$G215&lt;&gt;""),"Las subactividades no llevan peso"&amp;" · ","")&amp;IF(AND($S215="Macro",ABS(SUMIFS($G$5:$G$1000,$P$5:$P$1000,$P215,$S$5:$S$1000,"Macro")-1)&gt;0.0001),"Pesos del mes suman "&amp;TEXT(SUMIFS($G$5:$G$1000,$P$5:$P$1000,$P215,$S$5:$S$1000,"Macro"),"0%")&amp;" · ","")&amp;IF(AND(N($T215)&gt;0,COUNT($H215:$K215)&gt;0),"Con subactividades: deje vacías las semanas (se calculan solas)"&amp;" · ","")&amp;IF((COUNTIF($H215:$K215,"&gt;1")+COUNTIF($H215:$K215,"&lt;0")+COUNTA($H215:$K215)-COUNT($H215:$K215))&gt;0,"Avance fuera de rango 0-100%"&amp;" · ","")&amp;IF(OR(AND($I215&lt;&gt;"",$I215&lt;$H215),AND($J215&lt;&gt;"",$J215&lt;MAX($H215:$I215)),AND($K215&lt;&gt;"",$K215&lt;MAX($H215:$J215))),"Avance semanal decreciente"&amp;" · ","")&amp;IF(AND(ISNUMBER($F215),$F215&lt;FechaRef,N($L215)&lt;1),"Vencida"&amp;" · ","")&amp;IF(AND(ObsObligatoria="Sí",ISNUMBER($F215),$F215&lt;FechaRef,N($L215)&lt;1,$N215=""),"Vencida sin observación"&amp;" · ",""))-3)))</f>
        <v/>
      </c>
      <c r="P215" s="69">
        <f>IF(NOT((COUNTA($B215:$K215)+COUNTA($N215))&gt;0),"",IF(AND($S215="Sub",N($R215)&gt;0),IF(ISNUMBER(INDEX($E$5:$E$1000,$R215-4)),DATE(YEAR(INDEX($E$5:$E$1000,$R215-4)),MONTH(INDEX($E$5:$E$1000,$R215-4)),1),IF(ISNUMBER(INDEX($F$5:$F$1000,$R215-4)),DATE(YEAR(INDEX($F$5:$F$1000,$R215-4)),MONTH(INDEX($F$5:$F$1000,$R215-4)),1),MesCiclo)),IF(ISNUMBER($E215),DATE(YEAR($E215),MONTH($E215),1),IF(ISNUMBER($F215),DATE(YEAR($F215),MONTH($F215),1),MesCiclo))))</f>
        <v/>
      </c>
      <c r="Q215" s="70">
        <f>IF(OR($P215="",$P215&lt;&gt;MesCiclo),"",COUNTIF($P$5:$P215,MesCiclo))</f>
        <v/>
      </c>
      <c r="R215" s="70">
        <f>IF($S215="","",IF($S215="Macro",ROW(),IFERROR(LOOKUP(2,1/($S$5:$S215="Macro"),ROW($S$5:$S215)),0)))</f>
        <v/>
      </c>
      <c r="S215" s="70">
        <f>IF(NOT((COUNTA($B215:$K215)+COUNTA($N215))&gt;0),"",IF($B215&lt;&gt;"","Macro",IF($C215&lt;&gt;"","Sub","Macro")))</f>
        <v/>
      </c>
      <c r="T215" s="70">
        <f>IF($S215="Macro",COUNTIFS($R$5:$R$1000,ROW(),$S$5:$S$1000,"Sub"),"")</f>
        <v/>
      </c>
      <c r="U215" s="70">
        <f>IF($S215="","",IF(ISNUMBER($H215),$H215,0))</f>
        <v/>
      </c>
      <c r="V215" s="70">
        <f>IF($S215="","",IF(ISNUMBER($I215),$I215,$U215))</f>
        <v/>
      </c>
      <c r="W215" s="70">
        <f>IF($S215="","",IF(ISNUMBER($J215),$J215,$V215))</f>
        <v/>
      </c>
      <c r="X215" s="70">
        <f>IF($S215="","",IF(ISNUMBER($K215),$K215,$W215))</f>
        <v/>
      </c>
      <c r="Y215" s="70">
        <f>IF($S215="","",IF(N($T215)&gt;0,AVERAGEIFS($U$5:$U$1000,$R$5:$R$1000,ROW(),$S$5:$S$1000,"Sub"),$U215))</f>
        <v/>
      </c>
      <c r="Z215" s="70">
        <f>IF($S215="","",IF(N($T215)&gt;0,AVERAGEIFS($V$5:$V$1000,$R$5:$R$1000,ROW(),$S$5:$S$1000,"Sub"),$V215))</f>
        <v/>
      </c>
      <c r="AA215" s="70">
        <f>IF($S215="","",IF(N($T215)&gt;0,AVERAGEIFS($W$5:$W$1000,$R$5:$R$1000,ROW(),$S$5:$S$1000,"Sub"),$W215))</f>
        <v/>
      </c>
      <c r="AB215" s="70">
        <f>IF($S215="","",IF(N($T215)&gt;0,AVERAGEIFS($X$5:$X$1000,$R$5:$R$1000,ROW(),$S$5:$S$1000,"Sub"),$X215))</f>
        <v/>
      </c>
    </row>
    <row r="216">
      <c r="A216" s="61">
        <f>IF(NOT((COUNTA($B216:$K216)+COUNTA($N216))&gt;0),"",IF($S216="Macro",COUNTIFS($S$5:$S216,"Macro",$P$5:$P216,$P216),IF(N($R216)=0,"?",COUNTIFS(INDEX($S$5:$S$1000,1):INDEX($S$5:$S$1000,$R216-4),"Macro",INDEX($P$5:$P$1000,1):INDEX($P$5:$P$1000,$R216-4),INDEX($P$5:$P$1000,$R216-4))&amp;"."&amp;COUNTIFS($R$5:$R216,$R216,$S$5:$S216,"Sub"))))</f>
        <v/>
      </c>
      <c r="B216" s="62" t="n"/>
      <c r="C216" s="63" t="n"/>
      <c r="D216" s="62" t="n"/>
      <c r="E216" s="64" t="n"/>
      <c r="F216" s="64" t="n"/>
      <c r="G216" s="65" t="n"/>
      <c r="H216" s="66" t="n"/>
      <c r="I216" s="66" t="n"/>
      <c r="J216" s="66" t="n"/>
      <c r="K216" s="66" t="n"/>
      <c r="L216" s="67">
        <f>IF(NOT((COUNTA($B216:$K216)+COUNTA($N216))&gt;0),"",IF(N($T216)&gt;0,$AB216,IFERROR(LOOKUP(2,1/(H216:K216&lt;&gt;""),H216:K216),0)))</f>
        <v/>
      </c>
      <c r="M216" s="61">
        <f>IF(L216="","",IF(L216&gt;=1,"Completado",IF(L216&gt;0,"En curso","Pendiente")))</f>
        <v/>
      </c>
      <c r="N216" s="62" t="n"/>
      <c r="O216" s="68">
        <f>IF(NOT((COUNTA($B216:$K216)+COUNTA($N216))&gt;0),"",IF((IF(AND($S216="Macro",$B216=""),"Macroactividad vacía"&amp;" · ","")&amp;IF(AND($B216&lt;&gt;"",$C216&lt;&gt;""),"Escriba la subactividad en otra fila, debajo de su macroactividad"&amp;" · ","")&amp;IF(AND($S216="Sub",N($R216)=0),"Subactividad sin macroactividad arriba"&amp;" · ","")&amp;IF($D216="","Sin responsable"&amp;" · ","")&amp;IF($E216="","Sin fecha de inicio"&amp;" · ","")&amp;IF($F216="","Sin fecha límite"&amp;" · ","")&amp;IF(OR(AND($E216&lt;&gt;"",NOT(ISNUMBER($E216))),AND($F216&lt;&gt;"",NOT(ISNUMBER($F216)))),"Fecha no válida"&amp;" · ","")&amp;IF(AND(ISNUMBER($E216),ISNUMBER($F216),$E216&gt;$F216),"Inicio posterior a fecha límite"&amp;" · ","")&amp;IF(AND($S216="Macro",$G216=""),"Peso vacío"&amp;" · ","")&amp;IF(AND($S216="Macro",$G216&lt;&gt;"",OR(NOT(ISNUMBER($G216)),$G216&lt;=0,$G216&gt;1)),"Peso fuera de rango"&amp;" · ","")&amp;IF(AND($S216="Sub",$G216&lt;&gt;""),"Las subactividades no llevan peso"&amp;" · ","")&amp;IF(AND($S216="Macro",ABS(SUMIFS($G$5:$G$1000,$P$5:$P$1000,$P216,$S$5:$S$1000,"Macro")-1)&gt;0.0001),"Pesos del mes suman "&amp;TEXT(SUMIFS($G$5:$G$1000,$P$5:$P$1000,$P216,$S$5:$S$1000,"Macro"),"0%")&amp;" · ","")&amp;IF(AND(N($T216)&gt;0,COUNT($H216:$K216)&gt;0),"Con subactividades: deje vacías las semanas (se calculan solas)"&amp;" · ","")&amp;IF((COUNTIF($H216:$K216,"&gt;1")+COUNTIF($H216:$K216,"&lt;0")+COUNTA($H216:$K216)-COUNT($H216:$K216))&gt;0,"Avance fuera de rango 0-100%"&amp;" · ","")&amp;IF(OR(AND($I216&lt;&gt;"",$I216&lt;$H216),AND($J216&lt;&gt;"",$J216&lt;MAX($H216:$I216)),AND($K216&lt;&gt;"",$K216&lt;MAX($H216:$J216))),"Avance semanal decreciente"&amp;" · ","")&amp;IF(AND(ISNUMBER($F216),$F216&lt;FechaRef,N($L216)&lt;1),"Vencida"&amp;" · ","")&amp;IF(AND(ObsObligatoria="Sí",ISNUMBER($F216),$F216&lt;FechaRef,N($L216)&lt;1,$N216=""),"Vencida sin observación"&amp;" · ",""))="","✔ OK","⚠ "&amp;LEFT(IF(AND($S216="Macro",$B216=""),"Macroactividad vacía"&amp;" · ","")&amp;IF(AND($B216&lt;&gt;"",$C216&lt;&gt;""),"Escriba la subactividad en otra fila, debajo de su macroactividad"&amp;" · ","")&amp;IF(AND($S216="Sub",N($R216)=0),"Subactividad sin macroactividad arriba"&amp;" · ","")&amp;IF($D216="","Sin responsable"&amp;" · ","")&amp;IF($E216="","Sin fecha de inicio"&amp;" · ","")&amp;IF($F216="","Sin fecha límite"&amp;" · ","")&amp;IF(OR(AND($E216&lt;&gt;"",NOT(ISNUMBER($E216))),AND($F216&lt;&gt;"",NOT(ISNUMBER($F216)))),"Fecha no válida"&amp;" · ","")&amp;IF(AND(ISNUMBER($E216),ISNUMBER($F216),$E216&gt;$F216),"Inicio posterior a fecha límite"&amp;" · ","")&amp;IF(AND($S216="Macro",$G216=""),"Peso vacío"&amp;" · ","")&amp;IF(AND($S216="Macro",$G216&lt;&gt;"",OR(NOT(ISNUMBER($G216)),$G216&lt;=0,$G216&gt;1)),"Peso fuera de rango"&amp;" · ","")&amp;IF(AND($S216="Sub",$G216&lt;&gt;""),"Las subactividades no llevan peso"&amp;" · ","")&amp;IF(AND($S216="Macro",ABS(SUMIFS($G$5:$G$1000,$P$5:$P$1000,$P216,$S$5:$S$1000,"Macro")-1)&gt;0.0001),"Pesos del mes suman "&amp;TEXT(SUMIFS($G$5:$G$1000,$P$5:$P$1000,$P216,$S$5:$S$1000,"Macro"),"0%")&amp;" · ","")&amp;IF(AND(N($T216)&gt;0,COUNT($H216:$K216)&gt;0),"Con subactividades: deje vacías las semanas (se calculan solas)"&amp;" · ","")&amp;IF((COUNTIF($H216:$K216,"&gt;1")+COUNTIF($H216:$K216,"&lt;0")+COUNTA($H216:$K216)-COUNT($H216:$K216))&gt;0,"Avance fuera de rango 0-100%"&amp;" · ","")&amp;IF(OR(AND($I216&lt;&gt;"",$I216&lt;$H216),AND($J216&lt;&gt;"",$J216&lt;MAX($H216:$I216)),AND($K216&lt;&gt;"",$K216&lt;MAX($H216:$J216))),"Avance semanal decreciente"&amp;" · ","")&amp;IF(AND(ISNUMBER($F216),$F216&lt;FechaRef,N($L216)&lt;1),"Vencida"&amp;" · ","")&amp;IF(AND(ObsObligatoria="Sí",ISNUMBER($F216),$F216&lt;FechaRef,N($L216)&lt;1,$N216=""),"Vencida sin observación"&amp;" · ",""),LEN(IF(AND($S216="Macro",$B216=""),"Macroactividad vacía"&amp;" · ","")&amp;IF(AND($B216&lt;&gt;"",$C216&lt;&gt;""),"Escriba la subactividad en otra fila, debajo de su macroactividad"&amp;" · ","")&amp;IF(AND($S216="Sub",N($R216)=0),"Subactividad sin macroactividad arriba"&amp;" · ","")&amp;IF($D216="","Sin responsable"&amp;" · ","")&amp;IF($E216="","Sin fecha de inicio"&amp;" · ","")&amp;IF($F216="","Sin fecha límite"&amp;" · ","")&amp;IF(OR(AND($E216&lt;&gt;"",NOT(ISNUMBER($E216))),AND($F216&lt;&gt;"",NOT(ISNUMBER($F216)))),"Fecha no válida"&amp;" · ","")&amp;IF(AND(ISNUMBER($E216),ISNUMBER($F216),$E216&gt;$F216),"Inicio posterior a fecha límite"&amp;" · ","")&amp;IF(AND($S216="Macro",$G216=""),"Peso vacío"&amp;" · ","")&amp;IF(AND($S216="Macro",$G216&lt;&gt;"",OR(NOT(ISNUMBER($G216)),$G216&lt;=0,$G216&gt;1)),"Peso fuera de rango"&amp;" · ","")&amp;IF(AND($S216="Sub",$G216&lt;&gt;""),"Las subactividades no llevan peso"&amp;" · ","")&amp;IF(AND($S216="Macro",ABS(SUMIFS($G$5:$G$1000,$P$5:$P$1000,$P216,$S$5:$S$1000,"Macro")-1)&gt;0.0001),"Pesos del mes suman "&amp;TEXT(SUMIFS($G$5:$G$1000,$P$5:$P$1000,$P216,$S$5:$S$1000,"Macro"),"0%")&amp;" · ","")&amp;IF(AND(N($T216)&gt;0,COUNT($H216:$K216)&gt;0),"Con subactividades: deje vacías las semanas (se calculan solas)"&amp;" · ","")&amp;IF((COUNTIF($H216:$K216,"&gt;1")+COUNTIF($H216:$K216,"&lt;0")+COUNTA($H216:$K216)-COUNT($H216:$K216))&gt;0,"Avance fuera de rango 0-100%"&amp;" · ","")&amp;IF(OR(AND($I216&lt;&gt;"",$I216&lt;$H216),AND($J216&lt;&gt;"",$J216&lt;MAX($H216:$I216)),AND($K216&lt;&gt;"",$K216&lt;MAX($H216:$J216))),"Avance semanal decreciente"&amp;" · ","")&amp;IF(AND(ISNUMBER($F216),$F216&lt;FechaRef,N($L216)&lt;1),"Vencida"&amp;" · ","")&amp;IF(AND(ObsObligatoria="Sí",ISNUMBER($F216),$F216&lt;FechaRef,N($L216)&lt;1,$N216=""),"Vencida sin observación"&amp;" · ",""))-3)))</f>
        <v/>
      </c>
      <c r="P216" s="69">
        <f>IF(NOT((COUNTA($B216:$K216)+COUNTA($N216))&gt;0),"",IF(AND($S216="Sub",N($R216)&gt;0),IF(ISNUMBER(INDEX($E$5:$E$1000,$R216-4)),DATE(YEAR(INDEX($E$5:$E$1000,$R216-4)),MONTH(INDEX($E$5:$E$1000,$R216-4)),1),IF(ISNUMBER(INDEX($F$5:$F$1000,$R216-4)),DATE(YEAR(INDEX($F$5:$F$1000,$R216-4)),MONTH(INDEX($F$5:$F$1000,$R216-4)),1),MesCiclo)),IF(ISNUMBER($E216),DATE(YEAR($E216),MONTH($E216),1),IF(ISNUMBER($F216),DATE(YEAR($F216),MONTH($F216),1),MesCiclo))))</f>
        <v/>
      </c>
      <c r="Q216" s="70">
        <f>IF(OR($P216="",$P216&lt;&gt;MesCiclo),"",COUNTIF($P$5:$P216,MesCiclo))</f>
        <v/>
      </c>
      <c r="R216" s="70">
        <f>IF($S216="","",IF($S216="Macro",ROW(),IFERROR(LOOKUP(2,1/($S$5:$S216="Macro"),ROW($S$5:$S216)),0)))</f>
        <v/>
      </c>
      <c r="S216" s="70">
        <f>IF(NOT((COUNTA($B216:$K216)+COUNTA($N216))&gt;0),"",IF($B216&lt;&gt;"","Macro",IF($C216&lt;&gt;"","Sub","Macro")))</f>
        <v/>
      </c>
      <c r="T216" s="70">
        <f>IF($S216="Macro",COUNTIFS($R$5:$R$1000,ROW(),$S$5:$S$1000,"Sub"),"")</f>
        <v/>
      </c>
      <c r="U216" s="70">
        <f>IF($S216="","",IF(ISNUMBER($H216),$H216,0))</f>
        <v/>
      </c>
      <c r="V216" s="70">
        <f>IF($S216="","",IF(ISNUMBER($I216),$I216,$U216))</f>
        <v/>
      </c>
      <c r="W216" s="70">
        <f>IF($S216="","",IF(ISNUMBER($J216),$J216,$V216))</f>
        <v/>
      </c>
      <c r="X216" s="70">
        <f>IF($S216="","",IF(ISNUMBER($K216),$K216,$W216))</f>
        <v/>
      </c>
      <c r="Y216" s="70">
        <f>IF($S216="","",IF(N($T216)&gt;0,AVERAGEIFS($U$5:$U$1000,$R$5:$R$1000,ROW(),$S$5:$S$1000,"Sub"),$U216))</f>
        <v/>
      </c>
      <c r="Z216" s="70">
        <f>IF($S216="","",IF(N($T216)&gt;0,AVERAGEIFS($V$5:$V$1000,$R$5:$R$1000,ROW(),$S$5:$S$1000,"Sub"),$V216))</f>
        <v/>
      </c>
      <c r="AA216" s="70">
        <f>IF($S216="","",IF(N($T216)&gt;0,AVERAGEIFS($W$5:$W$1000,$R$5:$R$1000,ROW(),$S$5:$S$1000,"Sub"),$W216))</f>
        <v/>
      </c>
      <c r="AB216" s="70">
        <f>IF($S216="","",IF(N($T216)&gt;0,AVERAGEIFS($X$5:$X$1000,$R$5:$R$1000,ROW(),$S$5:$S$1000,"Sub"),$X216))</f>
        <v/>
      </c>
    </row>
    <row r="217">
      <c r="A217" s="61">
        <f>IF(NOT((COUNTA($B217:$K217)+COUNTA($N217))&gt;0),"",IF($S217="Macro",COUNTIFS($S$5:$S217,"Macro",$P$5:$P217,$P217),IF(N($R217)=0,"?",COUNTIFS(INDEX($S$5:$S$1000,1):INDEX($S$5:$S$1000,$R217-4),"Macro",INDEX($P$5:$P$1000,1):INDEX($P$5:$P$1000,$R217-4),INDEX($P$5:$P$1000,$R217-4))&amp;"."&amp;COUNTIFS($R$5:$R217,$R217,$S$5:$S217,"Sub"))))</f>
        <v/>
      </c>
      <c r="B217" s="62" t="n"/>
      <c r="C217" s="63" t="n"/>
      <c r="D217" s="62" t="n"/>
      <c r="E217" s="64" t="n"/>
      <c r="F217" s="64" t="n"/>
      <c r="G217" s="65" t="n"/>
      <c r="H217" s="66" t="n"/>
      <c r="I217" s="66" t="n"/>
      <c r="J217" s="66" t="n"/>
      <c r="K217" s="66" t="n"/>
      <c r="L217" s="67">
        <f>IF(NOT((COUNTA($B217:$K217)+COUNTA($N217))&gt;0),"",IF(N($T217)&gt;0,$AB217,IFERROR(LOOKUP(2,1/(H217:K217&lt;&gt;""),H217:K217),0)))</f>
        <v/>
      </c>
      <c r="M217" s="61">
        <f>IF(L217="","",IF(L217&gt;=1,"Completado",IF(L217&gt;0,"En curso","Pendiente")))</f>
        <v/>
      </c>
      <c r="N217" s="62" t="n"/>
      <c r="O217" s="68">
        <f>IF(NOT((COUNTA($B217:$K217)+COUNTA($N217))&gt;0),"",IF((IF(AND($S217="Macro",$B217=""),"Macroactividad vacía"&amp;" · ","")&amp;IF(AND($B217&lt;&gt;"",$C217&lt;&gt;""),"Escriba la subactividad en otra fila, debajo de su macroactividad"&amp;" · ","")&amp;IF(AND($S217="Sub",N($R217)=0),"Subactividad sin macroactividad arriba"&amp;" · ","")&amp;IF($D217="","Sin responsable"&amp;" · ","")&amp;IF($E217="","Sin fecha de inicio"&amp;" · ","")&amp;IF($F217="","Sin fecha límite"&amp;" · ","")&amp;IF(OR(AND($E217&lt;&gt;"",NOT(ISNUMBER($E217))),AND($F217&lt;&gt;"",NOT(ISNUMBER($F217)))),"Fecha no válida"&amp;" · ","")&amp;IF(AND(ISNUMBER($E217),ISNUMBER($F217),$E217&gt;$F217),"Inicio posterior a fecha límite"&amp;" · ","")&amp;IF(AND($S217="Macro",$G217=""),"Peso vacío"&amp;" · ","")&amp;IF(AND($S217="Macro",$G217&lt;&gt;"",OR(NOT(ISNUMBER($G217)),$G217&lt;=0,$G217&gt;1)),"Peso fuera de rango"&amp;" · ","")&amp;IF(AND($S217="Sub",$G217&lt;&gt;""),"Las subactividades no llevan peso"&amp;" · ","")&amp;IF(AND($S217="Macro",ABS(SUMIFS($G$5:$G$1000,$P$5:$P$1000,$P217,$S$5:$S$1000,"Macro")-1)&gt;0.0001),"Pesos del mes suman "&amp;TEXT(SUMIFS($G$5:$G$1000,$P$5:$P$1000,$P217,$S$5:$S$1000,"Macro"),"0%")&amp;" · ","")&amp;IF(AND(N($T217)&gt;0,COUNT($H217:$K217)&gt;0),"Con subactividades: deje vacías las semanas (se calculan solas)"&amp;" · ","")&amp;IF((COUNTIF($H217:$K217,"&gt;1")+COUNTIF($H217:$K217,"&lt;0")+COUNTA($H217:$K217)-COUNT($H217:$K217))&gt;0,"Avance fuera de rango 0-100%"&amp;" · ","")&amp;IF(OR(AND($I217&lt;&gt;"",$I217&lt;$H217),AND($J217&lt;&gt;"",$J217&lt;MAX($H217:$I217)),AND($K217&lt;&gt;"",$K217&lt;MAX($H217:$J217))),"Avance semanal decreciente"&amp;" · ","")&amp;IF(AND(ISNUMBER($F217),$F217&lt;FechaRef,N($L217)&lt;1),"Vencida"&amp;" · ","")&amp;IF(AND(ObsObligatoria="Sí",ISNUMBER($F217),$F217&lt;FechaRef,N($L217)&lt;1,$N217=""),"Vencida sin observación"&amp;" · ",""))="","✔ OK","⚠ "&amp;LEFT(IF(AND($S217="Macro",$B217=""),"Macroactividad vacía"&amp;" · ","")&amp;IF(AND($B217&lt;&gt;"",$C217&lt;&gt;""),"Escriba la subactividad en otra fila, debajo de su macroactividad"&amp;" · ","")&amp;IF(AND($S217="Sub",N($R217)=0),"Subactividad sin macroactividad arriba"&amp;" · ","")&amp;IF($D217="","Sin responsable"&amp;" · ","")&amp;IF($E217="","Sin fecha de inicio"&amp;" · ","")&amp;IF($F217="","Sin fecha límite"&amp;" · ","")&amp;IF(OR(AND($E217&lt;&gt;"",NOT(ISNUMBER($E217))),AND($F217&lt;&gt;"",NOT(ISNUMBER($F217)))),"Fecha no válida"&amp;" · ","")&amp;IF(AND(ISNUMBER($E217),ISNUMBER($F217),$E217&gt;$F217),"Inicio posterior a fecha límite"&amp;" · ","")&amp;IF(AND($S217="Macro",$G217=""),"Peso vacío"&amp;" · ","")&amp;IF(AND($S217="Macro",$G217&lt;&gt;"",OR(NOT(ISNUMBER($G217)),$G217&lt;=0,$G217&gt;1)),"Peso fuera de rango"&amp;" · ","")&amp;IF(AND($S217="Sub",$G217&lt;&gt;""),"Las subactividades no llevan peso"&amp;" · ","")&amp;IF(AND($S217="Macro",ABS(SUMIFS($G$5:$G$1000,$P$5:$P$1000,$P217,$S$5:$S$1000,"Macro")-1)&gt;0.0001),"Pesos del mes suman "&amp;TEXT(SUMIFS($G$5:$G$1000,$P$5:$P$1000,$P217,$S$5:$S$1000,"Macro"),"0%")&amp;" · ","")&amp;IF(AND(N($T217)&gt;0,COUNT($H217:$K217)&gt;0),"Con subactividades: deje vacías las semanas (se calculan solas)"&amp;" · ","")&amp;IF((COUNTIF($H217:$K217,"&gt;1")+COUNTIF($H217:$K217,"&lt;0")+COUNTA($H217:$K217)-COUNT($H217:$K217))&gt;0,"Avance fuera de rango 0-100%"&amp;" · ","")&amp;IF(OR(AND($I217&lt;&gt;"",$I217&lt;$H217),AND($J217&lt;&gt;"",$J217&lt;MAX($H217:$I217)),AND($K217&lt;&gt;"",$K217&lt;MAX($H217:$J217))),"Avance semanal decreciente"&amp;" · ","")&amp;IF(AND(ISNUMBER($F217),$F217&lt;FechaRef,N($L217)&lt;1),"Vencida"&amp;" · ","")&amp;IF(AND(ObsObligatoria="Sí",ISNUMBER($F217),$F217&lt;FechaRef,N($L217)&lt;1,$N217=""),"Vencida sin observación"&amp;" · ",""),LEN(IF(AND($S217="Macro",$B217=""),"Macroactividad vacía"&amp;" · ","")&amp;IF(AND($B217&lt;&gt;"",$C217&lt;&gt;""),"Escriba la subactividad en otra fila, debajo de su macroactividad"&amp;" · ","")&amp;IF(AND($S217="Sub",N($R217)=0),"Subactividad sin macroactividad arriba"&amp;" · ","")&amp;IF($D217="","Sin responsable"&amp;" · ","")&amp;IF($E217="","Sin fecha de inicio"&amp;" · ","")&amp;IF($F217="","Sin fecha límite"&amp;" · ","")&amp;IF(OR(AND($E217&lt;&gt;"",NOT(ISNUMBER($E217))),AND($F217&lt;&gt;"",NOT(ISNUMBER($F217)))),"Fecha no válida"&amp;" · ","")&amp;IF(AND(ISNUMBER($E217),ISNUMBER($F217),$E217&gt;$F217),"Inicio posterior a fecha límite"&amp;" · ","")&amp;IF(AND($S217="Macro",$G217=""),"Peso vacío"&amp;" · ","")&amp;IF(AND($S217="Macro",$G217&lt;&gt;"",OR(NOT(ISNUMBER($G217)),$G217&lt;=0,$G217&gt;1)),"Peso fuera de rango"&amp;" · ","")&amp;IF(AND($S217="Sub",$G217&lt;&gt;""),"Las subactividades no llevan peso"&amp;" · ","")&amp;IF(AND($S217="Macro",ABS(SUMIFS($G$5:$G$1000,$P$5:$P$1000,$P217,$S$5:$S$1000,"Macro")-1)&gt;0.0001),"Pesos del mes suman "&amp;TEXT(SUMIFS($G$5:$G$1000,$P$5:$P$1000,$P217,$S$5:$S$1000,"Macro"),"0%")&amp;" · ","")&amp;IF(AND(N($T217)&gt;0,COUNT($H217:$K217)&gt;0),"Con subactividades: deje vacías las semanas (se calculan solas)"&amp;" · ","")&amp;IF((COUNTIF($H217:$K217,"&gt;1")+COUNTIF($H217:$K217,"&lt;0")+COUNTA($H217:$K217)-COUNT($H217:$K217))&gt;0,"Avance fuera de rango 0-100%"&amp;" · ","")&amp;IF(OR(AND($I217&lt;&gt;"",$I217&lt;$H217),AND($J217&lt;&gt;"",$J217&lt;MAX($H217:$I217)),AND($K217&lt;&gt;"",$K217&lt;MAX($H217:$J217))),"Avance semanal decreciente"&amp;" · ","")&amp;IF(AND(ISNUMBER($F217),$F217&lt;FechaRef,N($L217)&lt;1),"Vencida"&amp;" · ","")&amp;IF(AND(ObsObligatoria="Sí",ISNUMBER($F217),$F217&lt;FechaRef,N($L217)&lt;1,$N217=""),"Vencida sin observación"&amp;" · ",""))-3)))</f>
        <v/>
      </c>
      <c r="P217" s="69">
        <f>IF(NOT((COUNTA($B217:$K217)+COUNTA($N217))&gt;0),"",IF(AND($S217="Sub",N($R217)&gt;0),IF(ISNUMBER(INDEX($E$5:$E$1000,$R217-4)),DATE(YEAR(INDEX($E$5:$E$1000,$R217-4)),MONTH(INDEX($E$5:$E$1000,$R217-4)),1),IF(ISNUMBER(INDEX($F$5:$F$1000,$R217-4)),DATE(YEAR(INDEX($F$5:$F$1000,$R217-4)),MONTH(INDEX($F$5:$F$1000,$R217-4)),1),MesCiclo)),IF(ISNUMBER($E217),DATE(YEAR($E217),MONTH($E217),1),IF(ISNUMBER($F217),DATE(YEAR($F217),MONTH($F217),1),MesCiclo))))</f>
        <v/>
      </c>
      <c r="Q217" s="70">
        <f>IF(OR($P217="",$P217&lt;&gt;MesCiclo),"",COUNTIF($P$5:$P217,MesCiclo))</f>
        <v/>
      </c>
      <c r="R217" s="70">
        <f>IF($S217="","",IF($S217="Macro",ROW(),IFERROR(LOOKUP(2,1/($S$5:$S217="Macro"),ROW($S$5:$S217)),0)))</f>
        <v/>
      </c>
      <c r="S217" s="70">
        <f>IF(NOT((COUNTA($B217:$K217)+COUNTA($N217))&gt;0),"",IF($B217&lt;&gt;"","Macro",IF($C217&lt;&gt;"","Sub","Macro")))</f>
        <v/>
      </c>
      <c r="T217" s="70">
        <f>IF($S217="Macro",COUNTIFS($R$5:$R$1000,ROW(),$S$5:$S$1000,"Sub"),"")</f>
        <v/>
      </c>
      <c r="U217" s="70">
        <f>IF($S217="","",IF(ISNUMBER($H217),$H217,0))</f>
        <v/>
      </c>
      <c r="V217" s="70">
        <f>IF($S217="","",IF(ISNUMBER($I217),$I217,$U217))</f>
        <v/>
      </c>
      <c r="W217" s="70">
        <f>IF($S217="","",IF(ISNUMBER($J217),$J217,$V217))</f>
        <v/>
      </c>
      <c r="X217" s="70">
        <f>IF($S217="","",IF(ISNUMBER($K217),$K217,$W217))</f>
        <v/>
      </c>
      <c r="Y217" s="70">
        <f>IF($S217="","",IF(N($T217)&gt;0,AVERAGEIFS($U$5:$U$1000,$R$5:$R$1000,ROW(),$S$5:$S$1000,"Sub"),$U217))</f>
        <v/>
      </c>
      <c r="Z217" s="70">
        <f>IF($S217="","",IF(N($T217)&gt;0,AVERAGEIFS($V$5:$V$1000,$R$5:$R$1000,ROW(),$S$5:$S$1000,"Sub"),$V217))</f>
        <v/>
      </c>
      <c r="AA217" s="70">
        <f>IF($S217="","",IF(N($T217)&gt;0,AVERAGEIFS($W$5:$W$1000,$R$5:$R$1000,ROW(),$S$5:$S$1000,"Sub"),$W217))</f>
        <v/>
      </c>
      <c r="AB217" s="70">
        <f>IF($S217="","",IF(N($T217)&gt;0,AVERAGEIFS($X$5:$X$1000,$R$5:$R$1000,ROW(),$S$5:$S$1000,"Sub"),$X217))</f>
        <v/>
      </c>
    </row>
    <row r="218">
      <c r="A218" s="61">
        <f>IF(NOT((COUNTA($B218:$K218)+COUNTA($N218))&gt;0),"",IF($S218="Macro",COUNTIFS($S$5:$S218,"Macro",$P$5:$P218,$P218),IF(N($R218)=0,"?",COUNTIFS(INDEX($S$5:$S$1000,1):INDEX($S$5:$S$1000,$R218-4),"Macro",INDEX($P$5:$P$1000,1):INDEX($P$5:$P$1000,$R218-4),INDEX($P$5:$P$1000,$R218-4))&amp;"."&amp;COUNTIFS($R$5:$R218,$R218,$S$5:$S218,"Sub"))))</f>
        <v/>
      </c>
      <c r="B218" s="62" t="n"/>
      <c r="C218" s="63" t="n"/>
      <c r="D218" s="62" t="n"/>
      <c r="E218" s="64" t="n"/>
      <c r="F218" s="64" t="n"/>
      <c r="G218" s="65" t="n"/>
      <c r="H218" s="66" t="n"/>
      <c r="I218" s="66" t="n"/>
      <c r="J218" s="66" t="n"/>
      <c r="K218" s="66" t="n"/>
      <c r="L218" s="67">
        <f>IF(NOT((COUNTA($B218:$K218)+COUNTA($N218))&gt;0),"",IF(N($T218)&gt;0,$AB218,IFERROR(LOOKUP(2,1/(H218:K218&lt;&gt;""),H218:K218),0)))</f>
        <v/>
      </c>
      <c r="M218" s="61">
        <f>IF(L218="","",IF(L218&gt;=1,"Completado",IF(L218&gt;0,"En curso","Pendiente")))</f>
        <v/>
      </c>
      <c r="N218" s="62" t="n"/>
      <c r="O218" s="68">
        <f>IF(NOT((COUNTA($B218:$K218)+COUNTA($N218))&gt;0),"",IF((IF(AND($S218="Macro",$B218=""),"Macroactividad vacía"&amp;" · ","")&amp;IF(AND($B218&lt;&gt;"",$C218&lt;&gt;""),"Escriba la subactividad en otra fila, debajo de su macroactividad"&amp;" · ","")&amp;IF(AND($S218="Sub",N($R218)=0),"Subactividad sin macroactividad arriba"&amp;" · ","")&amp;IF($D218="","Sin responsable"&amp;" · ","")&amp;IF($E218="","Sin fecha de inicio"&amp;" · ","")&amp;IF($F218="","Sin fecha límite"&amp;" · ","")&amp;IF(OR(AND($E218&lt;&gt;"",NOT(ISNUMBER($E218))),AND($F218&lt;&gt;"",NOT(ISNUMBER($F218)))),"Fecha no válida"&amp;" · ","")&amp;IF(AND(ISNUMBER($E218),ISNUMBER($F218),$E218&gt;$F218),"Inicio posterior a fecha límite"&amp;" · ","")&amp;IF(AND($S218="Macro",$G218=""),"Peso vacío"&amp;" · ","")&amp;IF(AND($S218="Macro",$G218&lt;&gt;"",OR(NOT(ISNUMBER($G218)),$G218&lt;=0,$G218&gt;1)),"Peso fuera de rango"&amp;" · ","")&amp;IF(AND($S218="Sub",$G218&lt;&gt;""),"Las subactividades no llevan peso"&amp;" · ","")&amp;IF(AND($S218="Macro",ABS(SUMIFS($G$5:$G$1000,$P$5:$P$1000,$P218,$S$5:$S$1000,"Macro")-1)&gt;0.0001),"Pesos del mes suman "&amp;TEXT(SUMIFS($G$5:$G$1000,$P$5:$P$1000,$P218,$S$5:$S$1000,"Macro"),"0%")&amp;" · ","")&amp;IF(AND(N($T218)&gt;0,COUNT($H218:$K218)&gt;0),"Con subactividades: deje vacías las semanas (se calculan solas)"&amp;" · ","")&amp;IF((COUNTIF($H218:$K218,"&gt;1")+COUNTIF($H218:$K218,"&lt;0")+COUNTA($H218:$K218)-COUNT($H218:$K218))&gt;0,"Avance fuera de rango 0-100%"&amp;" · ","")&amp;IF(OR(AND($I218&lt;&gt;"",$I218&lt;$H218),AND($J218&lt;&gt;"",$J218&lt;MAX($H218:$I218)),AND($K218&lt;&gt;"",$K218&lt;MAX($H218:$J218))),"Avance semanal decreciente"&amp;" · ","")&amp;IF(AND(ISNUMBER($F218),$F218&lt;FechaRef,N($L218)&lt;1),"Vencida"&amp;" · ","")&amp;IF(AND(ObsObligatoria="Sí",ISNUMBER($F218),$F218&lt;FechaRef,N($L218)&lt;1,$N218=""),"Vencida sin observación"&amp;" · ",""))="","✔ OK","⚠ "&amp;LEFT(IF(AND($S218="Macro",$B218=""),"Macroactividad vacía"&amp;" · ","")&amp;IF(AND($B218&lt;&gt;"",$C218&lt;&gt;""),"Escriba la subactividad en otra fila, debajo de su macroactividad"&amp;" · ","")&amp;IF(AND($S218="Sub",N($R218)=0),"Subactividad sin macroactividad arriba"&amp;" · ","")&amp;IF($D218="","Sin responsable"&amp;" · ","")&amp;IF($E218="","Sin fecha de inicio"&amp;" · ","")&amp;IF($F218="","Sin fecha límite"&amp;" · ","")&amp;IF(OR(AND($E218&lt;&gt;"",NOT(ISNUMBER($E218))),AND($F218&lt;&gt;"",NOT(ISNUMBER($F218)))),"Fecha no válida"&amp;" · ","")&amp;IF(AND(ISNUMBER($E218),ISNUMBER($F218),$E218&gt;$F218),"Inicio posterior a fecha límite"&amp;" · ","")&amp;IF(AND($S218="Macro",$G218=""),"Peso vacío"&amp;" · ","")&amp;IF(AND($S218="Macro",$G218&lt;&gt;"",OR(NOT(ISNUMBER($G218)),$G218&lt;=0,$G218&gt;1)),"Peso fuera de rango"&amp;" · ","")&amp;IF(AND($S218="Sub",$G218&lt;&gt;""),"Las subactividades no llevan peso"&amp;" · ","")&amp;IF(AND($S218="Macro",ABS(SUMIFS($G$5:$G$1000,$P$5:$P$1000,$P218,$S$5:$S$1000,"Macro")-1)&gt;0.0001),"Pesos del mes suman "&amp;TEXT(SUMIFS($G$5:$G$1000,$P$5:$P$1000,$P218,$S$5:$S$1000,"Macro"),"0%")&amp;" · ","")&amp;IF(AND(N($T218)&gt;0,COUNT($H218:$K218)&gt;0),"Con subactividades: deje vacías las semanas (se calculan solas)"&amp;" · ","")&amp;IF((COUNTIF($H218:$K218,"&gt;1")+COUNTIF($H218:$K218,"&lt;0")+COUNTA($H218:$K218)-COUNT($H218:$K218))&gt;0,"Avance fuera de rango 0-100%"&amp;" · ","")&amp;IF(OR(AND($I218&lt;&gt;"",$I218&lt;$H218),AND($J218&lt;&gt;"",$J218&lt;MAX($H218:$I218)),AND($K218&lt;&gt;"",$K218&lt;MAX($H218:$J218))),"Avance semanal decreciente"&amp;" · ","")&amp;IF(AND(ISNUMBER($F218),$F218&lt;FechaRef,N($L218)&lt;1),"Vencida"&amp;" · ","")&amp;IF(AND(ObsObligatoria="Sí",ISNUMBER($F218),$F218&lt;FechaRef,N($L218)&lt;1,$N218=""),"Vencida sin observación"&amp;" · ",""),LEN(IF(AND($S218="Macro",$B218=""),"Macroactividad vacía"&amp;" · ","")&amp;IF(AND($B218&lt;&gt;"",$C218&lt;&gt;""),"Escriba la subactividad en otra fila, debajo de su macroactividad"&amp;" · ","")&amp;IF(AND($S218="Sub",N($R218)=0),"Subactividad sin macroactividad arriba"&amp;" · ","")&amp;IF($D218="","Sin responsable"&amp;" · ","")&amp;IF($E218="","Sin fecha de inicio"&amp;" · ","")&amp;IF($F218="","Sin fecha límite"&amp;" · ","")&amp;IF(OR(AND($E218&lt;&gt;"",NOT(ISNUMBER($E218))),AND($F218&lt;&gt;"",NOT(ISNUMBER($F218)))),"Fecha no válida"&amp;" · ","")&amp;IF(AND(ISNUMBER($E218),ISNUMBER($F218),$E218&gt;$F218),"Inicio posterior a fecha límite"&amp;" · ","")&amp;IF(AND($S218="Macro",$G218=""),"Peso vacío"&amp;" · ","")&amp;IF(AND($S218="Macro",$G218&lt;&gt;"",OR(NOT(ISNUMBER($G218)),$G218&lt;=0,$G218&gt;1)),"Peso fuera de rango"&amp;" · ","")&amp;IF(AND($S218="Sub",$G218&lt;&gt;""),"Las subactividades no llevan peso"&amp;" · ","")&amp;IF(AND($S218="Macro",ABS(SUMIFS($G$5:$G$1000,$P$5:$P$1000,$P218,$S$5:$S$1000,"Macro")-1)&gt;0.0001),"Pesos del mes suman "&amp;TEXT(SUMIFS($G$5:$G$1000,$P$5:$P$1000,$P218,$S$5:$S$1000,"Macro"),"0%")&amp;" · ","")&amp;IF(AND(N($T218)&gt;0,COUNT($H218:$K218)&gt;0),"Con subactividades: deje vacías las semanas (se calculan solas)"&amp;" · ","")&amp;IF((COUNTIF($H218:$K218,"&gt;1")+COUNTIF($H218:$K218,"&lt;0")+COUNTA($H218:$K218)-COUNT($H218:$K218))&gt;0,"Avance fuera de rango 0-100%"&amp;" · ","")&amp;IF(OR(AND($I218&lt;&gt;"",$I218&lt;$H218),AND($J218&lt;&gt;"",$J218&lt;MAX($H218:$I218)),AND($K218&lt;&gt;"",$K218&lt;MAX($H218:$J218))),"Avance semanal decreciente"&amp;" · ","")&amp;IF(AND(ISNUMBER($F218),$F218&lt;FechaRef,N($L218)&lt;1),"Vencida"&amp;" · ","")&amp;IF(AND(ObsObligatoria="Sí",ISNUMBER($F218),$F218&lt;FechaRef,N($L218)&lt;1,$N218=""),"Vencida sin observación"&amp;" · ",""))-3)))</f>
        <v/>
      </c>
      <c r="P218" s="69">
        <f>IF(NOT((COUNTA($B218:$K218)+COUNTA($N218))&gt;0),"",IF(AND($S218="Sub",N($R218)&gt;0),IF(ISNUMBER(INDEX($E$5:$E$1000,$R218-4)),DATE(YEAR(INDEX($E$5:$E$1000,$R218-4)),MONTH(INDEX($E$5:$E$1000,$R218-4)),1),IF(ISNUMBER(INDEX($F$5:$F$1000,$R218-4)),DATE(YEAR(INDEX($F$5:$F$1000,$R218-4)),MONTH(INDEX($F$5:$F$1000,$R218-4)),1),MesCiclo)),IF(ISNUMBER($E218),DATE(YEAR($E218),MONTH($E218),1),IF(ISNUMBER($F218),DATE(YEAR($F218),MONTH($F218),1),MesCiclo))))</f>
        <v/>
      </c>
      <c r="Q218" s="70">
        <f>IF(OR($P218="",$P218&lt;&gt;MesCiclo),"",COUNTIF($P$5:$P218,MesCiclo))</f>
        <v/>
      </c>
      <c r="R218" s="70">
        <f>IF($S218="","",IF($S218="Macro",ROW(),IFERROR(LOOKUP(2,1/($S$5:$S218="Macro"),ROW($S$5:$S218)),0)))</f>
        <v/>
      </c>
      <c r="S218" s="70">
        <f>IF(NOT((COUNTA($B218:$K218)+COUNTA($N218))&gt;0),"",IF($B218&lt;&gt;"","Macro",IF($C218&lt;&gt;"","Sub","Macro")))</f>
        <v/>
      </c>
      <c r="T218" s="70">
        <f>IF($S218="Macro",COUNTIFS($R$5:$R$1000,ROW(),$S$5:$S$1000,"Sub"),"")</f>
        <v/>
      </c>
      <c r="U218" s="70">
        <f>IF($S218="","",IF(ISNUMBER($H218),$H218,0))</f>
        <v/>
      </c>
      <c r="V218" s="70">
        <f>IF($S218="","",IF(ISNUMBER($I218),$I218,$U218))</f>
        <v/>
      </c>
      <c r="W218" s="70">
        <f>IF($S218="","",IF(ISNUMBER($J218),$J218,$V218))</f>
        <v/>
      </c>
      <c r="X218" s="70">
        <f>IF($S218="","",IF(ISNUMBER($K218),$K218,$W218))</f>
        <v/>
      </c>
      <c r="Y218" s="70">
        <f>IF($S218="","",IF(N($T218)&gt;0,AVERAGEIFS($U$5:$U$1000,$R$5:$R$1000,ROW(),$S$5:$S$1000,"Sub"),$U218))</f>
        <v/>
      </c>
      <c r="Z218" s="70">
        <f>IF($S218="","",IF(N($T218)&gt;0,AVERAGEIFS($V$5:$V$1000,$R$5:$R$1000,ROW(),$S$5:$S$1000,"Sub"),$V218))</f>
        <v/>
      </c>
      <c r="AA218" s="70">
        <f>IF($S218="","",IF(N($T218)&gt;0,AVERAGEIFS($W$5:$W$1000,$R$5:$R$1000,ROW(),$S$5:$S$1000,"Sub"),$W218))</f>
        <v/>
      </c>
      <c r="AB218" s="70">
        <f>IF($S218="","",IF(N($T218)&gt;0,AVERAGEIFS($X$5:$X$1000,$R$5:$R$1000,ROW(),$S$5:$S$1000,"Sub"),$X218))</f>
        <v/>
      </c>
    </row>
    <row r="219">
      <c r="A219" s="61">
        <f>IF(NOT((COUNTA($B219:$K219)+COUNTA($N219))&gt;0),"",IF($S219="Macro",COUNTIFS($S$5:$S219,"Macro",$P$5:$P219,$P219),IF(N($R219)=0,"?",COUNTIFS(INDEX($S$5:$S$1000,1):INDEX($S$5:$S$1000,$R219-4),"Macro",INDEX($P$5:$P$1000,1):INDEX($P$5:$P$1000,$R219-4),INDEX($P$5:$P$1000,$R219-4))&amp;"."&amp;COUNTIFS($R$5:$R219,$R219,$S$5:$S219,"Sub"))))</f>
        <v/>
      </c>
      <c r="B219" s="62" t="n"/>
      <c r="C219" s="63" t="n"/>
      <c r="D219" s="62" t="n"/>
      <c r="E219" s="64" t="n"/>
      <c r="F219" s="64" t="n"/>
      <c r="G219" s="65" t="n"/>
      <c r="H219" s="66" t="n"/>
      <c r="I219" s="66" t="n"/>
      <c r="J219" s="66" t="n"/>
      <c r="K219" s="66" t="n"/>
      <c r="L219" s="67">
        <f>IF(NOT((COUNTA($B219:$K219)+COUNTA($N219))&gt;0),"",IF(N($T219)&gt;0,$AB219,IFERROR(LOOKUP(2,1/(H219:K219&lt;&gt;""),H219:K219),0)))</f>
        <v/>
      </c>
      <c r="M219" s="61">
        <f>IF(L219="","",IF(L219&gt;=1,"Completado",IF(L219&gt;0,"En curso","Pendiente")))</f>
        <v/>
      </c>
      <c r="N219" s="62" t="n"/>
      <c r="O219" s="68">
        <f>IF(NOT((COUNTA($B219:$K219)+COUNTA($N219))&gt;0),"",IF((IF(AND($S219="Macro",$B219=""),"Macroactividad vacía"&amp;" · ","")&amp;IF(AND($B219&lt;&gt;"",$C219&lt;&gt;""),"Escriba la subactividad en otra fila, debajo de su macroactividad"&amp;" · ","")&amp;IF(AND($S219="Sub",N($R219)=0),"Subactividad sin macroactividad arriba"&amp;" · ","")&amp;IF($D219="","Sin responsable"&amp;" · ","")&amp;IF($E219="","Sin fecha de inicio"&amp;" · ","")&amp;IF($F219="","Sin fecha límite"&amp;" · ","")&amp;IF(OR(AND($E219&lt;&gt;"",NOT(ISNUMBER($E219))),AND($F219&lt;&gt;"",NOT(ISNUMBER($F219)))),"Fecha no válida"&amp;" · ","")&amp;IF(AND(ISNUMBER($E219),ISNUMBER($F219),$E219&gt;$F219),"Inicio posterior a fecha límite"&amp;" · ","")&amp;IF(AND($S219="Macro",$G219=""),"Peso vacío"&amp;" · ","")&amp;IF(AND($S219="Macro",$G219&lt;&gt;"",OR(NOT(ISNUMBER($G219)),$G219&lt;=0,$G219&gt;1)),"Peso fuera de rango"&amp;" · ","")&amp;IF(AND($S219="Sub",$G219&lt;&gt;""),"Las subactividades no llevan peso"&amp;" · ","")&amp;IF(AND($S219="Macro",ABS(SUMIFS($G$5:$G$1000,$P$5:$P$1000,$P219,$S$5:$S$1000,"Macro")-1)&gt;0.0001),"Pesos del mes suman "&amp;TEXT(SUMIFS($G$5:$G$1000,$P$5:$P$1000,$P219,$S$5:$S$1000,"Macro"),"0%")&amp;" · ","")&amp;IF(AND(N($T219)&gt;0,COUNT($H219:$K219)&gt;0),"Con subactividades: deje vacías las semanas (se calculan solas)"&amp;" · ","")&amp;IF((COUNTIF($H219:$K219,"&gt;1")+COUNTIF($H219:$K219,"&lt;0")+COUNTA($H219:$K219)-COUNT($H219:$K219))&gt;0,"Avance fuera de rango 0-100%"&amp;" · ","")&amp;IF(OR(AND($I219&lt;&gt;"",$I219&lt;$H219),AND($J219&lt;&gt;"",$J219&lt;MAX($H219:$I219)),AND($K219&lt;&gt;"",$K219&lt;MAX($H219:$J219))),"Avance semanal decreciente"&amp;" · ","")&amp;IF(AND(ISNUMBER($F219),$F219&lt;FechaRef,N($L219)&lt;1),"Vencida"&amp;" · ","")&amp;IF(AND(ObsObligatoria="Sí",ISNUMBER($F219),$F219&lt;FechaRef,N($L219)&lt;1,$N219=""),"Vencida sin observación"&amp;" · ",""))="","✔ OK","⚠ "&amp;LEFT(IF(AND($S219="Macro",$B219=""),"Macroactividad vacía"&amp;" · ","")&amp;IF(AND($B219&lt;&gt;"",$C219&lt;&gt;""),"Escriba la subactividad en otra fila, debajo de su macroactividad"&amp;" · ","")&amp;IF(AND($S219="Sub",N($R219)=0),"Subactividad sin macroactividad arriba"&amp;" · ","")&amp;IF($D219="","Sin responsable"&amp;" · ","")&amp;IF($E219="","Sin fecha de inicio"&amp;" · ","")&amp;IF($F219="","Sin fecha límite"&amp;" · ","")&amp;IF(OR(AND($E219&lt;&gt;"",NOT(ISNUMBER($E219))),AND($F219&lt;&gt;"",NOT(ISNUMBER($F219)))),"Fecha no válida"&amp;" · ","")&amp;IF(AND(ISNUMBER($E219),ISNUMBER($F219),$E219&gt;$F219),"Inicio posterior a fecha límite"&amp;" · ","")&amp;IF(AND($S219="Macro",$G219=""),"Peso vacío"&amp;" · ","")&amp;IF(AND($S219="Macro",$G219&lt;&gt;"",OR(NOT(ISNUMBER($G219)),$G219&lt;=0,$G219&gt;1)),"Peso fuera de rango"&amp;" · ","")&amp;IF(AND($S219="Sub",$G219&lt;&gt;""),"Las subactividades no llevan peso"&amp;" · ","")&amp;IF(AND($S219="Macro",ABS(SUMIFS($G$5:$G$1000,$P$5:$P$1000,$P219,$S$5:$S$1000,"Macro")-1)&gt;0.0001),"Pesos del mes suman "&amp;TEXT(SUMIFS($G$5:$G$1000,$P$5:$P$1000,$P219,$S$5:$S$1000,"Macro"),"0%")&amp;" · ","")&amp;IF(AND(N($T219)&gt;0,COUNT($H219:$K219)&gt;0),"Con subactividades: deje vacías las semanas (se calculan solas)"&amp;" · ","")&amp;IF((COUNTIF($H219:$K219,"&gt;1")+COUNTIF($H219:$K219,"&lt;0")+COUNTA($H219:$K219)-COUNT($H219:$K219))&gt;0,"Avance fuera de rango 0-100%"&amp;" · ","")&amp;IF(OR(AND($I219&lt;&gt;"",$I219&lt;$H219),AND($J219&lt;&gt;"",$J219&lt;MAX($H219:$I219)),AND($K219&lt;&gt;"",$K219&lt;MAX($H219:$J219))),"Avance semanal decreciente"&amp;" · ","")&amp;IF(AND(ISNUMBER($F219),$F219&lt;FechaRef,N($L219)&lt;1),"Vencida"&amp;" · ","")&amp;IF(AND(ObsObligatoria="Sí",ISNUMBER($F219),$F219&lt;FechaRef,N($L219)&lt;1,$N219=""),"Vencida sin observación"&amp;" · ",""),LEN(IF(AND($S219="Macro",$B219=""),"Macroactividad vacía"&amp;" · ","")&amp;IF(AND($B219&lt;&gt;"",$C219&lt;&gt;""),"Escriba la subactividad en otra fila, debajo de su macroactividad"&amp;" · ","")&amp;IF(AND($S219="Sub",N($R219)=0),"Subactividad sin macroactividad arriba"&amp;" · ","")&amp;IF($D219="","Sin responsable"&amp;" · ","")&amp;IF($E219="","Sin fecha de inicio"&amp;" · ","")&amp;IF($F219="","Sin fecha límite"&amp;" · ","")&amp;IF(OR(AND($E219&lt;&gt;"",NOT(ISNUMBER($E219))),AND($F219&lt;&gt;"",NOT(ISNUMBER($F219)))),"Fecha no válida"&amp;" · ","")&amp;IF(AND(ISNUMBER($E219),ISNUMBER($F219),$E219&gt;$F219),"Inicio posterior a fecha límite"&amp;" · ","")&amp;IF(AND($S219="Macro",$G219=""),"Peso vacío"&amp;" · ","")&amp;IF(AND($S219="Macro",$G219&lt;&gt;"",OR(NOT(ISNUMBER($G219)),$G219&lt;=0,$G219&gt;1)),"Peso fuera de rango"&amp;" · ","")&amp;IF(AND($S219="Sub",$G219&lt;&gt;""),"Las subactividades no llevan peso"&amp;" · ","")&amp;IF(AND($S219="Macro",ABS(SUMIFS($G$5:$G$1000,$P$5:$P$1000,$P219,$S$5:$S$1000,"Macro")-1)&gt;0.0001),"Pesos del mes suman "&amp;TEXT(SUMIFS($G$5:$G$1000,$P$5:$P$1000,$P219,$S$5:$S$1000,"Macro"),"0%")&amp;" · ","")&amp;IF(AND(N($T219)&gt;0,COUNT($H219:$K219)&gt;0),"Con subactividades: deje vacías las semanas (se calculan solas)"&amp;" · ","")&amp;IF((COUNTIF($H219:$K219,"&gt;1")+COUNTIF($H219:$K219,"&lt;0")+COUNTA($H219:$K219)-COUNT($H219:$K219))&gt;0,"Avance fuera de rango 0-100%"&amp;" · ","")&amp;IF(OR(AND($I219&lt;&gt;"",$I219&lt;$H219),AND($J219&lt;&gt;"",$J219&lt;MAX($H219:$I219)),AND($K219&lt;&gt;"",$K219&lt;MAX($H219:$J219))),"Avance semanal decreciente"&amp;" · ","")&amp;IF(AND(ISNUMBER($F219),$F219&lt;FechaRef,N($L219)&lt;1),"Vencida"&amp;" · ","")&amp;IF(AND(ObsObligatoria="Sí",ISNUMBER($F219),$F219&lt;FechaRef,N($L219)&lt;1,$N219=""),"Vencida sin observación"&amp;" · ",""))-3)))</f>
        <v/>
      </c>
      <c r="P219" s="69">
        <f>IF(NOT((COUNTA($B219:$K219)+COUNTA($N219))&gt;0),"",IF(AND($S219="Sub",N($R219)&gt;0),IF(ISNUMBER(INDEX($E$5:$E$1000,$R219-4)),DATE(YEAR(INDEX($E$5:$E$1000,$R219-4)),MONTH(INDEX($E$5:$E$1000,$R219-4)),1),IF(ISNUMBER(INDEX($F$5:$F$1000,$R219-4)),DATE(YEAR(INDEX($F$5:$F$1000,$R219-4)),MONTH(INDEX($F$5:$F$1000,$R219-4)),1),MesCiclo)),IF(ISNUMBER($E219),DATE(YEAR($E219),MONTH($E219),1),IF(ISNUMBER($F219),DATE(YEAR($F219),MONTH($F219),1),MesCiclo))))</f>
        <v/>
      </c>
      <c r="Q219" s="70">
        <f>IF(OR($P219="",$P219&lt;&gt;MesCiclo),"",COUNTIF($P$5:$P219,MesCiclo))</f>
        <v/>
      </c>
      <c r="R219" s="70">
        <f>IF($S219="","",IF($S219="Macro",ROW(),IFERROR(LOOKUP(2,1/($S$5:$S219="Macro"),ROW($S$5:$S219)),0)))</f>
        <v/>
      </c>
      <c r="S219" s="70">
        <f>IF(NOT((COUNTA($B219:$K219)+COUNTA($N219))&gt;0),"",IF($B219&lt;&gt;"","Macro",IF($C219&lt;&gt;"","Sub","Macro")))</f>
        <v/>
      </c>
      <c r="T219" s="70">
        <f>IF($S219="Macro",COUNTIFS($R$5:$R$1000,ROW(),$S$5:$S$1000,"Sub"),"")</f>
        <v/>
      </c>
      <c r="U219" s="70">
        <f>IF($S219="","",IF(ISNUMBER($H219),$H219,0))</f>
        <v/>
      </c>
      <c r="V219" s="70">
        <f>IF($S219="","",IF(ISNUMBER($I219),$I219,$U219))</f>
        <v/>
      </c>
      <c r="W219" s="70">
        <f>IF($S219="","",IF(ISNUMBER($J219),$J219,$V219))</f>
        <v/>
      </c>
      <c r="X219" s="70">
        <f>IF($S219="","",IF(ISNUMBER($K219),$K219,$W219))</f>
        <v/>
      </c>
      <c r="Y219" s="70">
        <f>IF($S219="","",IF(N($T219)&gt;0,AVERAGEIFS($U$5:$U$1000,$R$5:$R$1000,ROW(),$S$5:$S$1000,"Sub"),$U219))</f>
        <v/>
      </c>
      <c r="Z219" s="70">
        <f>IF($S219="","",IF(N($T219)&gt;0,AVERAGEIFS($V$5:$V$1000,$R$5:$R$1000,ROW(),$S$5:$S$1000,"Sub"),$V219))</f>
        <v/>
      </c>
      <c r="AA219" s="70">
        <f>IF($S219="","",IF(N($T219)&gt;0,AVERAGEIFS($W$5:$W$1000,$R$5:$R$1000,ROW(),$S$5:$S$1000,"Sub"),$W219))</f>
        <v/>
      </c>
      <c r="AB219" s="70">
        <f>IF($S219="","",IF(N($T219)&gt;0,AVERAGEIFS($X$5:$X$1000,$R$5:$R$1000,ROW(),$S$5:$S$1000,"Sub"),$X219))</f>
        <v/>
      </c>
    </row>
    <row r="220">
      <c r="A220" s="61">
        <f>IF(NOT((COUNTA($B220:$K220)+COUNTA($N220))&gt;0),"",IF($S220="Macro",COUNTIFS($S$5:$S220,"Macro",$P$5:$P220,$P220),IF(N($R220)=0,"?",COUNTIFS(INDEX($S$5:$S$1000,1):INDEX($S$5:$S$1000,$R220-4),"Macro",INDEX($P$5:$P$1000,1):INDEX($P$5:$P$1000,$R220-4),INDEX($P$5:$P$1000,$R220-4))&amp;"."&amp;COUNTIFS($R$5:$R220,$R220,$S$5:$S220,"Sub"))))</f>
        <v/>
      </c>
      <c r="B220" s="62" t="n"/>
      <c r="C220" s="63" t="n"/>
      <c r="D220" s="62" t="n"/>
      <c r="E220" s="64" t="n"/>
      <c r="F220" s="64" t="n"/>
      <c r="G220" s="65" t="n"/>
      <c r="H220" s="66" t="n"/>
      <c r="I220" s="66" t="n"/>
      <c r="J220" s="66" t="n"/>
      <c r="K220" s="66" t="n"/>
      <c r="L220" s="67">
        <f>IF(NOT((COUNTA($B220:$K220)+COUNTA($N220))&gt;0),"",IF(N($T220)&gt;0,$AB220,IFERROR(LOOKUP(2,1/(H220:K220&lt;&gt;""),H220:K220),0)))</f>
        <v/>
      </c>
      <c r="M220" s="61">
        <f>IF(L220="","",IF(L220&gt;=1,"Completado",IF(L220&gt;0,"En curso","Pendiente")))</f>
        <v/>
      </c>
      <c r="N220" s="62" t="n"/>
      <c r="O220" s="68">
        <f>IF(NOT((COUNTA($B220:$K220)+COUNTA($N220))&gt;0),"",IF((IF(AND($S220="Macro",$B220=""),"Macroactividad vacía"&amp;" · ","")&amp;IF(AND($B220&lt;&gt;"",$C220&lt;&gt;""),"Escriba la subactividad en otra fila, debajo de su macroactividad"&amp;" · ","")&amp;IF(AND($S220="Sub",N($R220)=0),"Subactividad sin macroactividad arriba"&amp;" · ","")&amp;IF($D220="","Sin responsable"&amp;" · ","")&amp;IF($E220="","Sin fecha de inicio"&amp;" · ","")&amp;IF($F220="","Sin fecha límite"&amp;" · ","")&amp;IF(OR(AND($E220&lt;&gt;"",NOT(ISNUMBER($E220))),AND($F220&lt;&gt;"",NOT(ISNUMBER($F220)))),"Fecha no válida"&amp;" · ","")&amp;IF(AND(ISNUMBER($E220),ISNUMBER($F220),$E220&gt;$F220),"Inicio posterior a fecha límite"&amp;" · ","")&amp;IF(AND($S220="Macro",$G220=""),"Peso vacío"&amp;" · ","")&amp;IF(AND($S220="Macro",$G220&lt;&gt;"",OR(NOT(ISNUMBER($G220)),$G220&lt;=0,$G220&gt;1)),"Peso fuera de rango"&amp;" · ","")&amp;IF(AND($S220="Sub",$G220&lt;&gt;""),"Las subactividades no llevan peso"&amp;" · ","")&amp;IF(AND($S220="Macro",ABS(SUMIFS($G$5:$G$1000,$P$5:$P$1000,$P220,$S$5:$S$1000,"Macro")-1)&gt;0.0001),"Pesos del mes suman "&amp;TEXT(SUMIFS($G$5:$G$1000,$P$5:$P$1000,$P220,$S$5:$S$1000,"Macro"),"0%")&amp;" · ","")&amp;IF(AND(N($T220)&gt;0,COUNT($H220:$K220)&gt;0),"Con subactividades: deje vacías las semanas (se calculan solas)"&amp;" · ","")&amp;IF((COUNTIF($H220:$K220,"&gt;1")+COUNTIF($H220:$K220,"&lt;0")+COUNTA($H220:$K220)-COUNT($H220:$K220))&gt;0,"Avance fuera de rango 0-100%"&amp;" · ","")&amp;IF(OR(AND($I220&lt;&gt;"",$I220&lt;$H220),AND($J220&lt;&gt;"",$J220&lt;MAX($H220:$I220)),AND($K220&lt;&gt;"",$K220&lt;MAX($H220:$J220))),"Avance semanal decreciente"&amp;" · ","")&amp;IF(AND(ISNUMBER($F220),$F220&lt;FechaRef,N($L220)&lt;1),"Vencida"&amp;" · ","")&amp;IF(AND(ObsObligatoria="Sí",ISNUMBER($F220),$F220&lt;FechaRef,N($L220)&lt;1,$N220=""),"Vencida sin observación"&amp;" · ",""))="","✔ OK","⚠ "&amp;LEFT(IF(AND($S220="Macro",$B220=""),"Macroactividad vacía"&amp;" · ","")&amp;IF(AND($B220&lt;&gt;"",$C220&lt;&gt;""),"Escriba la subactividad en otra fila, debajo de su macroactividad"&amp;" · ","")&amp;IF(AND($S220="Sub",N($R220)=0),"Subactividad sin macroactividad arriba"&amp;" · ","")&amp;IF($D220="","Sin responsable"&amp;" · ","")&amp;IF($E220="","Sin fecha de inicio"&amp;" · ","")&amp;IF($F220="","Sin fecha límite"&amp;" · ","")&amp;IF(OR(AND($E220&lt;&gt;"",NOT(ISNUMBER($E220))),AND($F220&lt;&gt;"",NOT(ISNUMBER($F220)))),"Fecha no válida"&amp;" · ","")&amp;IF(AND(ISNUMBER($E220),ISNUMBER($F220),$E220&gt;$F220),"Inicio posterior a fecha límite"&amp;" · ","")&amp;IF(AND($S220="Macro",$G220=""),"Peso vacío"&amp;" · ","")&amp;IF(AND($S220="Macro",$G220&lt;&gt;"",OR(NOT(ISNUMBER($G220)),$G220&lt;=0,$G220&gt;1)),"Peso fuera de rango"&amp;" · ","")&amp;IF(AND($S220="Sub",$G220&lt;&gt;""),"Las subactividades no llevan peso"&amp;" · ","")&amp;IF(AND($S220="Macro",ABS(SUMIFS($G$5:$G$1000,$P$5:$P$1000,$P220,$S$5:$S$1000,"Macro")-1)&gt;0.0001),"Pesos del mes suman "&amp;TEXT(SUMIFS($G$5:$G$1000,$P$5:$P$1000,$P220,$S$5:$S$1000,"Macro"),"0%")&amp;" · ","")&amp;IF(AND(N($T220)&gt;0,COUNT($H220:$K220)&gt;0),"Con subactividades: deje vacías las semanas (se calculan solas)"&amp;" · ","")&amp;IF((COUNTIF($H220:$K220,"&gt;1")+COUNTIF($H220:$K220,"&lt;0")+COUNTA($H220:$K220)-COUNT($H220:$K220))&gt;0,"Avance fuera de rango 0-100%"&amp;" · ","")&amp;IF(OR(AND($I220&lt;&gt;"",$I220&lt;$H220),AND($J220&lt;&gt;"",$J220&lt;MAX($H220:$I220)),AND($K220&lt;&gt;"",$K220&lt;MAX($H220:$J220))),"Avance semanal decreciente"&amp;" · ","")&amp;IF(AND(ISNUMBER($F220),$F220&lt;FechaRef,N($L220)&lt;1),"Vencida"&amp;" · ","")&amp;IF(AND(ObsObligatoria="Sí",ISNUMBER($F220),$F220&lt;FechaRef,N($L220)&lt;1,$N220=""),"Vencida sin observación"&amp;" · ",""),LEN(IF(AND($S220="Macro",$B220=""),"Macroactividad vacía"&amp;" · ","")&amp;IF(AND($B220&lt;&gt;"",$C220&lt;&gt;""),"Escriba la subactividad en otra fila, debajo de su macroactividad"&amp;" · ","")&amp;IF(AND($S220="Sub",N($R220)=0),"Subactividad sin macroactividad arriba"&amp;" · ","")&amp;IF($D220="","Sin responsable"&amp;" · ","")&amp;IF($E220="","Sin fecha de inicio"&amp;" · ","")&amp;IF($F220="","Sin fecha límite"&amp;" · ","")&amp;IF(OR(AND($E220&lt;&gt;"",NOT(ISNUMBER($E220))),AND($F220&lt;&gt;"",NOT(ISNUMBER($F220)))),"Fecha no válida"&amp;" · ","")&amp;IF(AND(ISNUMBER($E220),ISNUMBER($F220),$E220&gt;$F220),"Inicio posterior a fecha límite"&amp;" · ","")&amp;IF(AND($S220="Macro",$G220=""),"Peso vacío"&amp;" · ","")&amp;IF(AND($S220="Macro",$G220&lt;&gt;"",OR(NOT(ISNUMBER($G220)),$G220&lt;=0,$G220&gt;1)),"Peso fuera de rango"&amp;" · ","")&amp;IF(AND($S220="Sub",$G220&lt;&gt;""),"Las subactividades no llevan peso"&amp;" · ","")&amp;IF(AND($S220="Macro",ABS(SUMIFS($G$5:$G$1000,$P$5:$P$1000,$P220,$S$5:$S$1000,"Macro")-1)&gt;0.0001),"Pesos del mes suman "&amp;TEXT(SUMIFS($G$5:$G$1000,$P$5:$P$1000,$P220,$S$5:$S$1000,"Macro"),"0%")&amp;" · ","")&amp;IF(AND(N($T220)&gt;0,COUNT($H220:$K220)&gt;0),"Con subactividades: deje vacías las semanas (se calculan solas)"&amp;" · ","")&amp;IF((COUNTIF($H220:$K220,"&gt;1")+COUNTIF($H220:$K220,"&lt;0")+COUNTA($H220:$K220)-COUNT($H220:$K220))&gt;0,"Avance fuera de rango 0-100%"&amp;" · ","")&amp;IF(OR(AND($I220&lt;&gt;"",$I220&lt;$H220),AND($J220&lt;&gt;"",$J220&lt;MAX($H220:$I220)),AND($K220&lt;&gt;"",$K220&lt;MAX($H220:$J220))),"Avance semanal decreciente"&amp;" · ","")&amp;IF(AND(ISNUMBER($F220),$F220&lt;FechaRef,N($L220)&lt;1),"Vencida"&amp;" · ","")&amp;IF(AND(ObsObligatoria="Sí",ISNUMBER($F220),$F220&lt;FechaRef,N($L220)&lt;1,$N220=""),"Vencida sin observación"&amp;" · ",""))-3)))</f>
        <v/>
      </c>
      <c r="P220" s="69">
        <f>IF(NOT((COUNTA($B220:$K220)+COUNTA($N220))&gt;0),"",IF(AND($S220="Sub",N($R220)&gt;0),IF(ISNUMBER(INDEX($E$5:$E$1000,$R220-4)),DATE(YEAR(INDEX($E$5:$E$1000,$R220-4)),MONTH(INDEX($E$5:$E$1000,$R220-4)),1),IF(ISNUMBER(INDEX($F$5:$F$1000,$R220-4)),DATE(YEAR(INDEX($F$5:$F$1000,$R220-4)),MONTH(INDEX($F$5:$F$1000,$R220-4)),1),MesCiclo)),IF(ISNUMBER($E220),DATE(YEAR($E220),MONTH($E220),1),IF(ISNUMBER($F220),DATE(YEAR($F220),MONTH($F220),1),MesCiclo))))</f>
        <v/>
      </c>
      <c r="Q220" s="70">
        <f>IF(OR($P220="",$P220&lt;&gt;MesCiclo),"",COUNTIF($P$5:$P220,MesCiclo))</f>
        <v/>
      </c>
      <c r="R220" s="70">
        <f>IF($S220="","",IF($S220="Macro",ROW(),IFERROR(LOOKUP(2,1/($S$5:$S220="Macro"),ROW($S$5:$S220)),0)))</f>
        <v/>
      </c>
      <c r="S220" s="70">
        <f>IF(NOT((COUNTA($B220:$K220)+COUNTA($N220))&gt;0),"",IF($B220&lt;&gt;"","Macro",IF($C220&lt;&gt;"","Sub","Macro")))</f>
        <v/>
      </c>
      <c r="T220" s="70">
        <f>IF($S220="Macro",COUNTIFS($R$5:$R$1000,ROW(),$S$5:$S$1000,"Sub"),"")</f>
        <v/>
      </c>
      <c r="U220" s="70">
        <f>IF($S220="","",IF(ISNUMBER($H220),$H220,0))</f>
        <v/>
      </c>
      <c r="V220" s="70">
        <f>IF($S220="","",IF(ISNUMBER($I220),$I220,$U220))</f>
        <v/>
      </c>
      <c r="W220" s="70">
        <f>IF($S220="","",IF(ISNUMBER($J220),$J220,$V220))</f>
        <v/>
      </c>
      <c r="X220" s="70">
        <f>IF($S220="","",IF(ISNUMBER($K220),$K220,$W220))</f>
        <v/>
      </c>
      <c r="Y220" s="70">
        <f>IF($S220="","",IF(N($T220)&gt;0,AVERAGEIFS($U$5:$U$1000,$R$5:$R$1000,ROW(),$S$5:$S$1000,"Sub"),$U220))</f>
        <v/>
      </c>
      <c r="Z220" s="70">
        <f>IF($S220="","",IF(N($T220)&gt;0,AVERAGEIFS($V$5:$V$1000,$R$5:$R$1000,ROW(),$S$5:$S$1000,"Sub"),$V220))</f>
        <v/>
      </c>
      <c r="AA220" s="70">
        <f>IF($S220="","",IF(N($T220)&gt;0,AVERAGEIFS($W$5:$W$1000,$R$5:$R$1000,ROW(),$S$5:$S$1000,"Sub"),$W220))</f>
        <v/>
      </c>
      <c r="AB220" s="70">
        <f>IF($S220="","",IF(N($T220)&gt;0,AVERAGEIFS($X$5:$X$1000,$R$5:$R$1000,ROW(),$S$5:$S$1000,"Sub"),$X220))</f>
        <v/>
      </c>
    </row>
    <row r="221">
      <c r="A221" s="61">
        <f>IF(NOT((COUNTA($B221:$K221)+COUNTA($N221))&gt;0),"",IF($S221="Macro",COUNTIFS($S$5:$S221,"Macro",$P$5:$P221,$P221),IF(N($R221)=0,"?",COUNTIFS(INDEX($S$5:$S$1000,1):INDEX($S$5:$S$1000,$R221-4),"Macro",INDEX($P$5:$P$1000,1):INDEX($P$5:$P$1000,$R221-4),INDEX($P$5:$P$1000,$R221-4))&amp;"."&amp;COUNTIFS($R$5:$R221,$R221,$S$5:$S221,"Sub"))))</f>
        <v/>
      </c>
      <c r="B221" s="62" t="n"/>
      <c r="C221" s="63" t="n"/>
      <c r="D221" s="62" t="n"/>
      <c r="E221" s="64" t="n"/>
      <c r="F221" s="64" t="n"/>
      <c r="G221" s="65" t="n"/>
      <c r="H221" s="66" t="n"/>
      <c r="I221" s="66" t="n"/>
      <c r="J221" s="66" t="n"/>
      <c r="K221" s="66" t="n"/>
      <c r="L221" s="67">
        <f>IF(NOT((COUNTA($B221:$K221)+COUNTA($N221))&gt;0),"",IF(N($T221)&gt;0,$AB221,IFERROR(LOOKUP(2,1/(H221:K221&lt;&gt;""),H221:K221),0)))</f>
        <v/>
      </c>
      <c r="M221" s="61">
        <f>IF(L221="","",IF(L221&gt;=1,"Completado",IF(L221&gt;0,"En curso","Pendiente")))</f>
        <v/>
      </c>
      <c r="N221" s="62" t="n"/>
      <c r="O221" s="68">
        <f>IF(NOT((COUNTA($B221:$K221)+COUNTA($N221))&gt;0),"",IF((IF(AND($S221="Macro",$B221=""),"Macroactividad vacía"&amp;" · ","")&amp;IF(AND($B221&lt;&gt;"",$C221&lt;&gt;""),"Escriba la subactividad en otra fila, debajo de su macroactividad"&amp;" · ","")&amp;IF(AND($S221="Sub",N($R221)=0),"Subactividad sin macroactividad arriba"&amp;" · ","")&amp;IF($D221="","Sin responsable"&amp;" · ","")&amp;IF($E221="","Sin fecha de inicio"&amp;" · ","")&amp;IF($F221="","Sin fecha límite"&amp;" · ","")&amp;IF(OR(AND($E221&lt;&gt;"",NOT(ISNUMBER($E221))),AND($F221&lt;&gt;"",NOT(ISNUMBER($F221)))),"Fecha no válida"&amp;" · ","")&amp;IF(AND(ISNUMBER($E221),ISNUMBER($F221),$E221&gt;$F221),"Inicio posterior a fecha límite"&amp;" · ","")&amp;IF(AND($S221="Macro",$G221=""),"Peso vacío"&amp;" · ","")&amp;IF(AND($S221="Macro",$G221&lt;&gt;"",OR(NOT(ISNUMBER($G221)),$G221&lt;=0,$G221&gt;1)),"Peso fuera de rango"&amp;" · ","")&amp;IF(AND($S221="Sub",$G221&lt;&gt;""),"Las subactividades no llevan peso"&amp;" · ","")&amp;IF(AND($S221="Macro",ABS(SUMIFS($G$5:$G$1000,$P$5:$P$1000,$P221,$S$5:$S$1000,"Macro")-1)&gt;0.0001),"Pesos del mes suman "&amp;TEXT(SUMIFS($G$5:$G$1000,$P$5:$P$1000,$P221,$S$5:$S$1000,"Macro"),"0%")&amp;" · ","")&amp;IF(AND(N($T221)&gt;0,COUNT($H221:$K221)&gt;0),"Con subactividades: deje vacías las semanas (se calculan solas)"&amp;" · ","")&amp;IF((COUNTIF($H221:$K221,"&gt;1")+COUNTIF($H221:$K221,"&lt;0")+COUNTA($H221:$K221)-COUNT($H221:$K221))&gt;0,"Avance fuera de rango 0-100%"&amp;" · ","")&amp;IF(OR(AND($I221&lt;&gt;"",$I221&lt;$H221),AND($J221&lt;&gt;"",$J221&lt;MAX($H221:$I221)),AND($K221&lt;&gt;"",$K221&lt;MAX($H221:$J221))),"Avance semanal decreciente"&amp;" · ","")&amp;IF(AND(ISNUMBER($F221),$F221&lt;FechaRef,N($L221)&lt;1),"Vencida"&amp;" · ","")&amp;IF(AND(ObsObligatoria="Sí",ISNUMBER($F221),$F221&lt;FechaRef,N($L221)&lt;1,$N221=""),"Vencida sin observación"&amp;" · ",""))="","✔ OK","⚠ "&amp;LEFT(IF(AND($S221="Macro",$B221=""),"Macroactividad vacía"&amp;" · ","")&amp;IF(AND($B221&lt;&gt;"",$C221&lt;&gt;""),"Escriba la subactividad en otra fila, debajo de su macroactividad"&amp;" · ","")&amp;IF(AND($S221="Sub",N($R221)=0),"Subactividad sin macroactividad arriba"&amp;" · ","")&amp;IF($D221="","Sin responsable"&amp;" · ","")&amp;IF($E221="","Sin fecha de inicio"&amp;" · ","")&amp;IF($F221="","Sin fecha límite"&amp;" · ","")&amp;IF(OR(AND($E221&lt;&gt;"",NOT(ISNUMBER($E221))),AND($F221&lt;&gt;"",NOT(ISNUMBER($F221)))),"Fecha no válida"&amp;" · ","")&amp;IF(AND(ISNUMBER($E221),ISNUMBER($F221),$E221&gt;$F221),"Inicio posterior a fecha límite"&amp;" · ","")&amp;IF(AND($S221="Macro",$G221=""),"Peso vacío"&amp;" · ","")&amp;IF(AND($S221="Macro",$G221&lt;&gt;"",OR(NOT(ISNUMBER($G221)),$G221&lt;=0,$G221&gt;1)),"Peso fuera de rango"&amp;" · ","")&amp;IF(AND($S221="Sub",$G221&lt;&gt;""),"Las subactividades no llevan peso"&amp;" · ","")&amp;IF(AND($S221="Macro",ABS(SUMIFS($G$5:$G$1000,$P$5:$P$1000,$P221,$S$5:$S$1000,"Macro")-1)&gt;0.0001),"Pesos del mes suman "&amp;TEXT(SUMIFS($G$5:$G$1000,$P$5:$P$1000,$P221,$S$5:$S$1000,"Macro"),"0%")&amp;" · ","")&amp;IF(AND(N($T221)&gt;0,COUNT($H221:$K221)&gt;0),"Con subactividades: deje vacías las semanas (se calculan solas)"&amp;" · ","")&amp;IF((COUNTIF($H221:$K221,"&gt;1")+COUNTIF($H221:$K221,"&lt;0")+COUNTA($H221:$K221)-COUNT($H221:$K221))&gt;0,"Avance fuera de rango 0-100%"&amp;" · ","")&amp;IF(OR(AND($I221&lt;&gt;"",$I221&lt;$H221),AND($J221&lt;&gt;"",$J221&lt;MAX($H221:$I221)),AND($K221&lt;&gt;"",$K221&lt;MAX($H221:$J221))),"Avance semanal decreciente"&amp;" · ","")&amp;IF(AND(ISNUMBER($F221),$F221&lt;FechaRef,N($L221)&lt;1),"Vencida"&amp;" · ","")&amp;IF(AND(ObsObligatoria="Sí",ISNUMBER($F221),$F221&lt;FechaRef,N($L221)&lt;1,$N221=""),"Vencida sin observación"&amp;" · ",""),LEN(IF(AND($S221="Macro",$B221=""),"Macroactividad vacía"&amp;" · ","")&amp;IF(AND($B221&lt;&gt;"",$C221&lt;&gt;""),"Escriba la subactividad en otra fila, debajo de su macroactividad"&amp;" · ","")&amp;IF(AND($S221="Sub",N($R221)=0),"Subactividad sin macroactividad arriba"&amp;" · ","")&amp;IF($D221="","Sin responsable"&amp;" · ","")&amp;IF($E221="","Sin fecha de inicio"&amp;" · ","")&amp;IF($F221="","Sin fecha límite"&amp;" · ","")&amp;IF(OR(AND($E221&lt;&gt;"",NOT(ISNUMBER($E221))),AND($F221&lt;&gt;"",NOT(ISNUMBER($F221)))),"Fecha no válida"&amp;" · ","")&amp;IF(AND(ISNUMBER($E221),ISNUMBER($F221),$E221&gt;$F221),"Inicio posterior a fecha límite"&amp;" · ","")&amp;IF(AND($S221="Macro",$G221=""),"Peso vacío"&amp;" · ","")&amp;IF(AND($S221="Macro",$G221&lt;&gt;"",OR(NOT(ISNUMBER($G221)),$G221&lt;=0,$G221&gt;1)),"Peso fuera de rango"&amp;" · ","")&amp;IF(AND($S221="Sub",$G221&lt;&gt;""),"Las subactividades no llevan peso"&amp;" · ","")&amp;IF(AND($S221="Macro",ABS(SUMIFS($G$5:$G$1000,$P$5:$P$1000,$P221,$S$5:$S$1000,"Macro")-1)&gt;0.0001),"Pesos del mes suman "&amp;TEXT(SUMIFS($G$5:$G$1000,$P$5:$P$1000,$P221,$S$5:$S$1000,"Macro"),"0%")&amp;" · ","")&amp;IF(AND(N($T221)&gt;0,COUNT($H221:$K221)&gt;0),"Con subactividades: deje vacías las semanas (se calculan solas)"&amp;" · ","")&amp;IF((COUNTIF($H221:$K221,"&gt;1")+COUNTIF($H221:$K221,"&lt;0")+COUNTA($H221:$K221)-COUNT($H221:$K221))&gt;0,"Avance fuera de rango 0-100%"&amp;" · ","")&amp;IF(OR(AND($I221&lt;&gt;"",$I221&lt;$H221),AND($J221&lt;&gt;"",$J221&lt;MAX($H221:$I221)),AND($K221&lt;&gt;"",$K221&lt;MAX($H221:$J221))),"Avance semanal decreciente"&amp;" · ","")&amp;IF(AND(ISNUMBER($F221),$F221&lt;FechaRef,N($L221)&lt;1),"Vencida"&amp;" · ","")&amp;IF(AND(ObsObligatoria="Sí",ISNUMBER($F221),$F221&lt;FechaRef,N($L221)&lt;1,$N221=""),"Vencida sin observación"&amp;" · ",""))-3)))</f>
        <v/>
      </c>
      <c r="P221" s="69">
        <f>IF(NOT((COUNTA($B221:$K221)+COUNTA($N221))&gt;0),"",IF(AND($S221="Sub",N($R221)&gt;0),IF(ISNUMBER(INDEX($E$5:$E$1000,$R221-4)),DATE(YEAR(INDEX($E$5:$E$1000,$R221-4)),MONTH(INDEX($E$5:$E$1000,$R221-4)),1),IF(ISNUMBER(INDEX($F$5:$F$1000,$R221-4)),DATE(YEAR(INDEX($F$5:$F$1000,$R221-4)),MONTH(INDEX($F$5:$F$1000,$R221-4)),1),MesCiclo)),IF(ISNUMBER($E221),DATE(YEAR($E221),MONTH($E221),1),IF(ISNUMBER($F221),DATE(YEAR($F221),MONTH($F221),1),MesCiclo))))</f>
        <v/>
      </c>
      <c r="Q221" s="70">
        <f>IF(OR($P221="",$P221&lt;&gt;MesCiclo),"",COUNTIF($P$5:$P221,MesCiclo))</f>
        <v/>
      </c>
      <c r="R221" s="70">
        <f>IF($S221="","",IF($S221="Macro",ROW(),IFERROR(LOOKUP(2,1/($S$5:$S221="Macro"),ROW($S$5:$S221)),0)))</f>
        <v/>
      </c>
      <c r="S221" s="70">
        <f>IF(NOT((COUNTA($B221:$K221)+COUNTA($N221))&gt;0),"",IF($B221&lt;&gt;"","Macro",IF($C221&lt;&gt;"","Sub","Macro")))</f>
        <v/>
      </c>
      <c r="T221" s="70">
        <f>IF($S221="Macro",COUNTIFS($R$5:$R$1000,ROW(),$S$5:$S$1000,"Sub"),"")</f>
        <v/>
      </c>
      <c r="U221" s="70">
        <f>IF($S221="","",IF(ISNUMBER($H221),$H221,0))</f>
        <v/>
      </c>
      <c r="V221" s="70">
        <f>IF($S221="","",IF(ISNUMBER($I221),$I221,$U221))</f>
        <v/>
      </c>
      <c r="W221" s="70">
        <f>IF($S221="","",IF(ISNUMBER($J221),$J221,$V221))</f>
        <v/>
      </c>
      <c r="X221" s="70">
        <f>IF($S221="","",IF(ISNUMBER($K221),$K221,$W221))</f>
        <v/>
      </c>
      <c r="Y221" s="70">
        <f>IF($S221="","",IF(N($T221)&gt;0,AVERAGEIFS($U$5:$U$1000,$R$5:$R$1000,ROW(),$S$5:$S$1000,"Sub"),$U221))</f>
        <v/>
      </c>
      <c r="Z221" s="70">
        <f>IF($S221="","",IF(N($T221)&gt;0,AVERAGEIFS($V$5:$V$1000,$R$5:$R$1000,ROW(),$S$5:$S$1000,"Sub"),$V221))</f>
        <v/>
      </c>
      <c r="AA221" s="70">
        <f>IF($S221="","",IF(N($T221)&gt;0,AVERAGEIFS($W$5:$W$1000,$R$5:$R$1000,ROW(),$S$5:$S$1000,"Sub"),$W221))</f>
        <v/>
      </c>
      <c r="AB221" s="70">
        <f>IF($S221="","",IF(N($T221)&gt;0,AVERAGEIFS($X$5:$X$1000,$R$5:$R$1000,ROW(),$S$5:$S$1000,"Sub"),$X221))</f>
        <v/>
      </c>
    </row>
    <row r="222">
      <c r="A222" s="61">
        <f>IF(NOT((COUNTA($B222:$K222)+COUNTA($N222))&gt;0),"",IF($S222="Macro",COUNTIFS($S$5:$S222,"Macro",$P$5:$P222,$P222),IF(N($R222)=0,"?",COUNTIFS(INDEX($S$5:$S$1000,1):INDEX($S$5:$S$1000,$R222-4),"Macro",INDEX($P$5:$P$1000,1):INDEX($P$5:$P$1000,$R222-4),INDEX($P$5:$P$1000,$R222-4))&amp;"."&amp;COUNTIFS($R$5:$R222,$R222,$S$5:$S222,"Sub"))))</f>
        <v/>
      </c>
      <c r="B222" s="62" t="n"/>
      <c r="C222" s="63" t="n"/>
      <c r="D222" s="62" t="n"/>
      <c r="E222" s="64" t="n"/>
      <c r="F222" s="64" t="n"/>
      <c r="G222" s="65" t="n"/>
      <c r="H222" s="66" t="n"/>
      <c r="I222" s="66" t="n"/>
      <c r="J222" s="66" t="n"/>
      <c r="K222" s="66" t="n"/>
      <c r="L222" s="67">
        <f>IF(NOT((COUNTA($B222:$K222)+COUNTA($N222))&gt;0),"",IF(N($T222)&gt;0,$AB222,IFERROR(LOOKUP(2,1/(H222:K222&lt;&gt;""),H222:K222),0)))</f>
        <v/>
      </c>
      <c r="M222" s="61">
        <f>IF(L222="","",IF(L222&gt;=1,"Completado",IF(L222&gt;0,"En curso","Pendiente")))</f>
        <v/>
      </c>
      <c r="N222" s="62" t="n"/>
      <c r="O222" s="68">
        <f>IF(NOT((COUNTA($B222:$K222)+COUNTA($N222))&gt;0),"",IF((IF(AND($S222="Macro",$B222=""),"Macroactividad vacía"&amp;" · ","")&amp;IF(AND($B222&lt;&gt;"",$C222&lt;&gt;""),"Escriba la subactividad en otra fila, debajo de su macroactividad"&amp;" · ","")&amp;IF(AND($S222="Sub",N($R222)=0),"Subactividad sin macroactividad arriba"&amp;" · ","")&amp;IF($D222="","Sin responsable"&amp;" · ","")&amp;IF($E222="","Sin fecha de inicio"&amp;" · ","")&amp;IF($F222="","Sin fecha límite"&amp;" · ","")&amp;IF(OR(AND($E222&lt;&gt;"",NOT(ISNUMBER($E222))),AND($F222&lt;&gt;"",NOT(ISNUMBER($F222)))),"Fecha no válida"&amp;" · ","")&amp;IF(AND(ISNUMBER($E222),ISNUMBER($F222),$E222&gt;$F222),"Inicio posterior a fecha límite"&amp;" · ","")&amp;IF(AND($S222="Macro",$G222=""),"Peso vacío"&amp;" · ","")&amp;IF(AND($S222="Macro",$G222&lt;&gt;"",OR(NOT(ISNUMBER($G222)),$G222&lt;=0,$G222&gt;1)),"Peso fuera de rango"&amp;" · ","")&amp;IF(AND($S222="Sub",$G222&lt;&gt;""),"Las subactividades no llevan peso"&amp;" · ","")&amp;IF(AND($S222="Macro",ABS(SUMIFS($G$5:$G$1000,$P$5:$P$1000,$P222,$S$5:$S$1000,"Macro")-1)&gt;0.0001),"Pesos del mes suman "&amp;TEXT(SUMIFS($G$5:$G$1000,$P$5:$P$1000,$P222,$S$5:$S$1000,"Macro"),"0%")&amp;" · ","")&amp;IF(AND(N($T222)&gt;0,COUNT($H222:$K222)&gt;0),"Con subactividades: deje vacías las semanas (se calculan solas)"&amp;" · ","")&amp;IF((COUNTIF($H222:$K222,"&gt;1")+COUNTIF($H222:$K222,"&lt;0")+COUNTA($H222:$K222)-COUNT($H222:$K222))&gt;0,"Avance fuera de rango 0-100%"&amp;" · ","")&amp;IF(OR(AND($I222&lt;&gt;"",$I222&lt;$H222),AND($J222&lt;&gt;"",$J222&lt;MAX($H222:$I222)),AND($K222&lt;&gt;"",$K222&lt;MAX($H222:$J222))),"Avance semanal decreciente"&amp;" · ","")&amp;IF(AND(ISNUMBER($F222),$F222&lt;FechaRef,N($L222)&lt;1),"Vencida"&amp;" · ","")&amp;IF(AND(ObsObligatoria="Sí",ISNUMBER($F222),$F222&lt;FechaRef,N($L222)&lt;1,$N222=""),"Vencida sin observación"&amp;" · ",""))="","✔ OK","⚠ "&amp;LEFT(IF(AND($S222="Macro",$B222=""),"Macroactividad vacía"&amp;" · ","")&amp;IF(AND($B222&lt;&gt;"",$C222&lt;&gt;""),"Escriba la subactividad en otra fila, debajo de su macroactividad"&amp;" · ","")&amp;IF(AND($S222="Sub",N($R222)=0),"Subactividad sin macroactividad arriba"&amp;" · ","")&amp;IF($D222="","Sin responsable"&amp;" · ","")&amp;IF($E222="","Sin fecha de inicio"&amp;" · ","")&amp;IF($F222="","Sin fecha límite"&amp;" · ","")&amp;IF(OR(AND($E222&lt;&gt;"",NOT(ISNUMBER($E222))),AND($F222&lt;&gt;"",NOT(ISNUMBER($F222)))),"Fecha no válida"&amp;" · ","")&amp;IF(AND(ISNUMBER($E222),ISNUMBER($F222),$E222&gt;$F222),"Inicio posterior a fecha límite"&amp;" · ","")&amp;IF(AND($S222="Macro",$G222=""),"Peso vacío"&amp;" · ","")&amp;IF(AND($S222="Macro",$G222&lt;&gt;"",OR(NOT(ISNUMBER($G222)),$G222&lt;=0,$G222&gt;1)),"Peso fuera de rango"&amp;" · ","")&amp;IF(AND($S222="Sub",$G222&lt;&gt;""),"Las subactividades no llevan peso"&amp;" · ","")&amp;IF(AND($S222="Macro",ABS(SUMIFS($G$5:$G$1000,$P$5:$P$1000,$P222,$S$5:$S$1000,"Macro")-1)&gt;0.0001),"Pesos del mes suman "&amp;TEXT(SUMIFS($G$5:$G$1000,$P$5:$P$1000,$P222,$S$5:$S$1000,"Macro"),"0%")&amp;" · ","")&amp;IF(AND(N($T222)&gt;0,COUNT($H222:$K222)&gt;0),"Con subactividades: deje vacías las semanas (se calculan solas)"&amp;" · ","")&amp;IF((COUNTIF($H222:$K222,"&gt;1")+COUNTIF($H222:$K222,"&lt;0")+COUNTA($H222:$K222)-COUNT($H222:$K222))&gt;0,"Avance fuera de rango 0-100%"&amp;" · ","")&amp;IF(OR(AND($I222&lt;&gt;"",$I222&lt;$H222),AND($J222&lt;&gt;"",$J222&lt;MAX($H222:$I222)),AND($K222&lt;&gt;"",$K222&lt;MAX($H222:$J222))),"Avance semanal decreciente"&amp;" · ","")&amp;IF(AND(ISNUMBER($F222),$F222&lt;FechaRef,N($L222)&lt;1),"Vencida"&amp;" · ","")&amp;IF(AND(ObsObligatoria="Sí",ISNUMBER($F222),$F222&lt;FechaRef,N($L222)&lt;1,$N222=""),"Vencida sin observación"&amp;" · ",""),LEN(IF(AND($S222="Macro",$B222=""),"Macroactividad vacía"&amp;" · ","")&amp;IF(AND($B222&lt;&gt;"",$C222&lt;&gt;""),"Escriba la subactividad en otra fila, debajo de su macroactividad"&amp;" · ","")&amp;IF(AND($S222="Sub",N($R222)=0),"Subactividad sin macroactividad arriba"&amp;" · ","")&amp;IF($D222="","Sin responsable"&amp;" · ","")&amp;IF($E222="","Sin fecha de inicio"&amp;" · ","")&amp;IF($F222="","Sin fecha límite"&amp;" · ","")&amp;IF(OR(AND($E222&lt;&gt;"",NOT(ISNUMBER($E222))),AND($F222&lt;&gt;"",NOT(ISNUMBER($F222)))),"Fecha no válida"&amp;" · ","")&amp;IF(AND(ISNUMBER($E222),ISNUMBER($F222),$E222&gt;$F222),"Inicio posterior a fecha límite"&amp;" · ","")&amp;IF(AND($S222="Macro",$G222=""),"Peso vacío"&amp;" · ","")&amp;IF(AND($S222="Macro",$G222&lt;&gt;"",OR(NOT(ISNUMBER($G222)),$G222&lt;=0,$G222&gt;1)),"Peso fuera de rango"&amp;" · ","")&amp;IF(AND($S222="Sub",$G222&lt;&gt;""),"Las subactividades no llevan peso"&amp;" · ","")&amp;IF(AND($S222="Macro",ABS(SUMIFS($G$5:$G$1000,$P$5:$P$1000,$P222,$S$5:$S$1000,"Macro")-1)&gt;0.0001),"Pesos del mes suman "&amp;TEXT(SUMIFS($G$5:$G$1000,$P$5:$P$1000,$P222,$S$5:$S$1000,"Macro"),"0%")&amp;" · ","")&amp;IF(AND(N($T222)&gt;0,COUNT($H222:$K222)&gt;0),"Con subactividades: deje vacías las semanas (se calculan solas)"&amp;" · ","")&amp;IF((COUNTIF($H222:$K222,"&gt;1")+COUNTIF($H222:$K222,"&lt;0")+COUNTA($H222:$K222)-COUNT($H222:$K222))&gt;0,"Avance fuera de rango 0-100%"&amp;" · ","")&amp;IF(OR(AND($I222&lt;&gt;"",$I222&lt;$H222),AND($J222&lt;&gt;"",$J222&lt;MAX($H222:$I222)),AND($K222&lt;&gt;"",$K222&lt;MAX($H222:$J222))),"Avance semanal decreciente"&amp;" · ","")&amp;IF(AND(ISNUMBER($F222),$F222&lt;FechaRef,N($L222)&lt;1),"Vencida"&amp;" · ","")&amp;IF(AND(ObsObligatoria="Sí",ISNUMBER($F222),$F222&lt;FechaRef,N($L222)&lt;1,$N222=""),"Vencida sin observación"&amp;" · ",""))-3)))</f>
        <v/>
      </c>
      <c r="P222" s="69">
        <f>IF(NOT((COUNTA($B222:$K222)+COUNTA($N222))&gt;0),"",IF(AND($S222="Sub",N($R222)&gt;0),IF(ISNUMBER(INDEX($E$5:$E$1000,$R222-4)),DATE(YEAR(INDEX($E$5:$E$1000,$R222-4)),MONTH(INDEX($E$5:$E$1000,$R222-4)),1),IF(ISNUMBER(INDEX($F$5:$F$1000,$R222-4)),DATE(YEAR(INDEX($F$5:$F$1000,$R222-4)),MONTH(INDEX($F$5:$F$1000,$R222-4)),1),MesCiclo)),IF(ISNUMBER($E222),DATE(YEAR($E222),MONTH($E222),1),IF(ISNUMBER($F222),DATE(YEAR($F222),MONTH($F222),1),MesCiclo))))</f>
        <v/>
      </c>
      <c r="Q222" s="70">
        <f>IF(OR($P222="",$P222&lt;&gt;MesCiclo),"",COUNTIF($P$5:$P222,MesCiclo))</f>
        <v/>
      </c>
      <c r="R222" s="70">
        <f>IF($S222="","",IF($S222="Macro",ROW(),IFERROR(LOOKUP(2,1/($S$5:$S222="Macro"),ROW($S$5:$S222)),0)))</f>
        <v/>
      </c>
      <c r="S222" s="70">
        <f>IF(NOT((COUNTA($B222:$K222)+COUNTA($N222))&gt;0),"",IF($B222&lt;&gt;"","Macro",IF($C222&lt;&gt;"","Sub","Macro")))</f>
        <v/>
      </c>
      <c r="T222" s="70">
        <f>IF($S222="Macro",COUNTIFS($R$5:$R$1000,ROW(),$S$5:$S$1000,"Sub"),"")</f>
        <v/>
      </c>
      <c r="U222" s="70">
        <f>IF($S222="","",IF(ISNUMBER($H222),$H222,0))</f>
        <v/>
      </c>
      <c r="V222" s="70">
        <f>IF($S222="","",IF(ISNUMBER($I222),$I222,$U222))</f>
        <v/>
      </c>
      <c r="W222" s="70">
        <f>IF($S222="","",IF(ISNUMBER($J222),$J222,$V222))</f>
        <v/>
      </c>
      <c r="X222" s="70">
        <f>IF($S222="","",IF(ISNUMBER($K222),$K222,$W222))</f>
        <v/>
      </c>
      <c r="Y222" s="70">
        <f>IF($S222="","",IF(N($T222)&gt;0,AVERAGEIFS($U$5:$U$1000,$R$5:$R$1000,ROW(),$S$5:$S$1000,"Sub"),$U222))</f>
        <v/>
      </c>
      <c r="Z222" s="70">
        <f>IF($S222="","",IF(N($T222)&gt;0,AVERAGEIFS($V$5:$V$1000,$R$5:$R$1000,ROW(),$S$5:$S$1000,"Sub"),$V222))</f>
        <v/>
      </c>
      <c r="AA222" s="70">
        <f>IF($S222="","",IF(N($T222)&gt;0,AVERAGEIFS($W$5:$W$1000,$R$5:$R$1000,ROW(),$S$5:$S$1000,"Sub"),$W222))</f>
        <v/>
      </c>
      <c r="AB222" s="70">
        <f>IF($S222="","",IF(N($T222)&gt;0,AVERAGEIFS($X$5:$X$1000,$R$5:$R$1000,ROW(),$S$5:$S$1000,"Sub"),$X222))</f>
        <v/>
      </c>
    </row>
    <row r="223">
      <c r="A223" s="61">
        <f>IF(NOT((COUNTA($B223:$K223)+COUNTA($N223))&gt;0),"",IF($S223="Macro",COUNTIFS($S$5:$S223,"Macro",$P$5:$P223,$P223),IF(N($R223)=0,"?",COUNTIFS(INDEX($S$5:$S$1000,1):INDEX($S$5:$S$1000,$R223-4),"Macro",INDEX($P$5:$P$1000,1):INDEX($P$5:$P$1000,$R223-4),INDEX($P$5:$P$1000,$R223-4))&amp;"."&amp;COUNTIFS($R$5:$R223,$R223,$S$5:$S223,"Sub"))))</f>
        <v/>
      </c>
      <c r="B223" s="62" t="n"/>
      <c r="C223" s="63" t="n"/>
      <c r="D223" s="62" t="n"/>
      <c r="E223" s="64" t="n"/>
      <c r="F223" s="64" t="n"/>
      <c r="G223" s="65" t="n"/>
      <c r="H223" s="66" t="n"/>
      <c r="I223" s="66" t="n"/>
      <c r="J223" s="66" t="n"/>
      <c r="K223" s="66" t="n"/>
      <c r="L223" s="67">
        <f>IF(NOT((COUNTA($B223:$K223)+COUNTA($N223))&gt;0),"",IF(N($T223)&gt;0,$AB223,IFERROR(LOOKUP(2,1/(H223:K223&lt;&gt;""),H223:K223),0)))</f>
        <v/>
      </c>
      <c r="M223" s="61">
        <f>IF(L223="","",IF(L223&gt;=1,"Completado",IF(L223&gt;0,"En curso","Pendiente")))</f>
        <v/>
      </c>
      <c r="N223" s="62" t="n"/>
      <c r="O223" s="68">
        <f>IF(NOT((COUNTA($B223:$K223)+COUNTA($N223))&gt;0),"",IF((IF(AND($S223="Macro",$B223=""),"Macroactividad vacía"&amp;" · ","")&amp;IF(AND($B223&lt;&gt;"",$C223&lt;&gt;""),"Escriba la subactividad en otra fila, debajo de su macroactividad"&amp;" · ","")&amp;IF(AND($S223="Sub",N($R223)=0),"Subactividad sin macroactividad arriba"&amp;" · ","")&amp;IF($D223="","Sin responsable"&amp;" · ","")&amp;IF($E223="","Sin fecha de inicio"&amp;" · ","")&amp;IF($F223="","Sin fecha límite"&amp;" · ","")&amp;IF(OR(AND($E223&lt;&gt;"",NOT(ISNUMBER($E223))),AND($F223&lt;&gt;"",NOT(ISNUMBER($F223)))),"Fecha no válida"&amp;" · ","")&amp;IF(AND(ISNUMBER($E223),ISNUMBER($F223),$E223&gt;$F223),"Inicio posterior a fecha límite"&amp;" · ","")&amp;IF(AND($S223="Macro",$G223=""),"Peso vacío"&amp;" · ","")&amp;IF(AND($S223="Macro",$G223&lt;&gt;"",OR(NOT(ISNUMBER($G223)),$G223&lt;=0,$G223&gt;1)),"Peso fuera de rango"&amp;" · ","")&amp;IF(AND($S223="Sub",$G223&lt;&gt;""),"Las subactividades no llevan peso"&amp;" · ","")&amp;IF(AND($S223="Macro",ABS(SUMIFS($G$5:$G$1000,$P$5:$P$1000,$P223,$S$5:$S$1000,"Macro")-1)&gt;0.0001),"Pesos del mes suman "&amp;TEXT(SUMIFS($G$5:$G$1000,$P$5:$P$1000,$P223,$S$5:$S$1000,"Macro"),"0%")&amp;" · ","")&amp;IF(AND(N($T223)&gt;0,COUNT($H223:$K223)&gt;0),"Con subactividades: deje vacías las semanas (se calculan solas)"&amp;" · ","")&amp;IF((COUNTIF($H223:$K223,"&gt;1")+COUNTIF($H223:$K223,"&lt;0")+COUNTA($H223:$K223)-COUNT($H223:$K223))&gt;0,"Avance fuera de rango 0-100%"&amp;" · ","")&amp;IF(OR(AND($I223&lt;&gt;"",$I223&lt;$H223),AND($J223&lt;&gt;"",$J223&lt;MAX($H223:$I223)),AND($K223&lt;&gt;"",$K223&lt;MAX($H223:$J223))),"Avance semanal decreciente"&amp;" · ","")&amp;IF(AND(ISNUMBER($F223),$F223&lt;FechaRef,N($L223)&lt;1),"Vencida"&amp;" · ","")&amp;IF(AND(ObsObligatoria="Sí",ISNUMBER($F223),$F223&lt;FechaRef,N($L223)&lt;1,$N223=""),"Vencida sin observación"&amp;" · ",""))="","✔ OK","⚠ "&amp;LEFT(IF(AND($S223="Macro",$B223=""),"Macroactividad vacía"&amp;" · ","")&amp;IF(AND($B223&lt;&gt;"",$C223&lt;&gt;""),"Escriba la subactividad en otra fila, debajo de su macroactividad"&amp;" · ","")&amp;IF(AND($S223="Sub",N($R223)=0),"Subactividad sin macroactividad arriba"&amp;" · ","")&amp;IF($D223="","Sin responsable"&amp;" · ","")&amp;IF($E223="","Sin fecha de inicio"&amp;" · ","")&amp;IF($F223="","Sin fecha límite"&amp;" · ","")&amp;IF(OR(AND($E223&lt;&gt;"",NOT(ISNUMBER($E223))),AND($F223&lt;&gt;"",NOT(ISNUMBER($F223)))),"Fecha no válida"&amp;" · ","")&amp;IF(AND(ISNUMBER($E223),ISNUMBER($F223),$E223&gt;$F223),"Inicio posterior a fecha límite"&amp;" · ","")&amp;IF(AND($S223="Macro",$G223=""),"Peso vacío"&amp;" · ","")&amp;IF(AND($S223="Macro",$G223&lt;&gt;"",OR(NOT(ISNUMBER($G223)),$G223&lt;=0,$G223&gt;1)),"Peso fuera de rango"&amp;" · ","")&amp;IF(AND($S223="Sub",$G223&lt;&gt;""),"Las subactividades no llevan peso"&amp;" · ","")&amp;IF(AND($S223="Macro",ABS(SUMIFS($G$5:$G$1000,$P$5:$P$1000,$P223,$S$5:$S$1000,"Macro")-1)&gt;0.0001),"Pesos del mes suman "&amp;TEXT(SUMIFS($G$5:$G$1000,$P$5:$P$1000,$P223,$S$5:$S$1000,"Macro"),"0%")&amp;" · ","")&amp;IF(AND(N($T223)&gt;0,COUNT($H223:$K223)&gt;0),"Con subactividades: deje vacías las semanas (se calculan solas)"&amp;" · ","")&amp;IF((COUNTIF($H223:$K223,"&gt;1")+COUNTIF($H223:$K223,"&lt;0")+COUNTA($H223:$K223)-COUNT($H223:$K223))&gt;0,"Avance fuera de rango 0-100%"&amp;" · ","")&amp;IF(OR(AND($I223&lt;&gt;"",$I223&lt;$H223),AND($J223&lt;&gt;"",$J223&lt;MAX($H223:$I223)),AND($K223&lt;&gt;"",$K223&lt;MAX($H223:$J223))),"Avance semanal decreciente"&amp;" · ","")&amp;IF(AND(ISNUMBER($F223),$F223&lt;FechaRef,N($L223)&lt;1),"Vencida"&amp;" · ","")&amp;IF(AND(ObsObligatoria="Sí",ISNUMBER($F223),$F223&lt;FechaRef,N($L223)&lt;1,$N223=""),"Vencida sin observación"&amp;" · ",""),LEN(IF(AND($S223="Macro",$B223=""),"Macroactividad vacía"&amp;" · ","")&amp;IF(AND($B223&lt;&gt;"",$C223&lt;&gt;""),"Escriba la subactividad en otra fila, debajo de su macroactividad"&amp;" · ","")&amp;IF(AND($S223="Sub",N($R223)=0),"Subactividad sin macroactividad arriba"&amp;" · ","")&amp;IF($D223="","Sin responsable"&amp;" · ","")&amp;IF($E223="","Sin fecha de inicio"&amp;" · ","")&amp;IF($F223="","Sin fecha límite"&amp;" · ","")&amp;IF(OR(AND($E223&lt;&gt;"",NOT(ISNUMBER($E223))),AND($F223&lt;&gt;"",NOT(ISNUMBER($F223)))),"Fecha no válida"&amp;" · ","")&amp;IF(AND(ISNUMBER($E223),ISNUMBER($F223),$E223&gt;$F223),"Inicio posterior a fecha límite"&amp;" · ","")&amp;IF(AND($S223="Macro",$G223=""),"Peso vacío"&amp;" · ","")&amp;IF(AND($S223="Macro",$G223&lt;&gt;"",OR(NOT(ISNUMBER($G223)),$G223&lt;=0,$G223&gt;1)),"Peso fuera de rango"&amp;" · ","")&amp;IF(AND($S223="Sub",$G223&lt;&gt;""),"Las subactividades no llevan peso"&amp;" · ","")&amp;IF(AND($S223="Macro",ABS(SUMIFS($G$5:$G$1000,$P$5:$P$1000,$P223,$S$5:$S$1000,"Macro")-1)&gt;0.0001),"Pesos del mes suman "&amp;TEXT(SUMIFS($G$5:$G$1000,$P$5:$P$1000,$P223,$S$5:$S$1000,"Macro"),"0%")&amp;" · ","")&amp;IF(AND(N($T223)&gt;0,COUNT($H223:$K223)&gt;0),"Con subactividades: deje vacías las semanas (se calculan solas)"&amp;" · ","")&amp;IF((COUNTIF($H223:$K223,"&gt;1")+COUNTIF($H223:$K223,"&lt;0")+COUNTA($H223:$K223)-COUNT($H223:$K223))&gt;0,"Avance fuera de rango 0-100%"&amp;" · ","")&amp;IF(OR(AND($I223&lt;&gt;"",$I223&lt;$H223),AND($J223&lt;&gt;"",$J223&lt;MAX($H223:$I223)),AND($K223&lt;&gt;"",$K223&lt;MAX($H223:$J223))),"Avance semanal decreciente"&amp;" · ","")&amp;IF(AND(ISNUMBER($F223),$F223&lt;FechaRef,N($L223)&lt;1),"Vencida"&amp;" · ","")&amp;IF(AND(ObsObligatoria="Sí",ISNUMBER($F223),$F223&lt;FechaRef,N($L223)&lt;1,$N223=""),"Vencida sin observación"&amp;" · ",""))-3)))</f>
        <v/>
      </c>
      <c r="P223" s="69">
        <f>IF(NOT((COUNTA($B223:$K223)+COUNTA($N223))&gt;0),"",IF(AND($S223="Sub",N($R223)&gt;0),IF(ISNUMBER(INDEX($E$5:$E$1000,$R223-4)),DATE(YEAR(INDEX($E$5:$E$1000,$R223-4)),MONTH(INDEX($E$5:$E$1000,$R223-4)),1),IF(ISNUMBER(INDEX($F$5:$F$1000,$R223-4)),DATE(YEAR(INDEX($F$5:$F$1000,$R223-4)),MONTH(INDEX($F$5:$F$1000,$R223-4)),1),MesCiclo)),IF(ISNUMBER($E223),DATE(YEAR($E223),MONTH($E223),1),IF(ISNUMBER($F223),DATE(YEAR($F223),MONTH($F223),1),MesCiclo))))</f>
        <v/>
      </c>
      <c r="Q223" s="70">
        <f>IF(OR($P223="",$P223&lt;&gt;MesCiclo),"",COUNTIF($P$5:$P223,MesCiclo))</f>
        <v/>
      </c>
      <c r="R223" s="70">
        <f>IF($S223="","",IF($S223="Macro",ROW(),IFERROR(LOOKUP(2,1/($S$5:$S223="Macro"),ROW($S$5:$S223)),0)))</f>
        <v/>
      </c>
      <c r="S223" s="70">
        <f>IF(NOT((COUNTA($B223:$K223)+COUNTA($N223))&gt;0),"",IF($B223&lt;&gt;"","Macro",IF($C223&lt;&gt;"","Sub","Macro")))</f>
        <v/>
      </c>
      <c r="T223" s="70">
        <f>IF($S223="Macro",COUNTIFS($R$5:$R$1000,ROW(),$S$5:$S$1000,"Sub"),"")</f>
        <v/>
      </c>
      <c r="U223" s="70">
        <f>IF($S223="","",IF(ISNUMBER($H223),$H223,0))</f>
        <v/>
      </c>
      <c r="V223" s="70">
        <f>IF($S223="","",IF(ISNUMBER($I223),$I223,$U223))</f>
        <v/>
      </c>
      <c r="W223" s="70">
        <f>IF($S223="","",IF(ISNUMBER($J223),$J223,$V223))</f>
        <v/>
      </c>
      <c r="X223" s="70">
        <f>IF($S223="","",IF(ISNUMBER($K223),$K223,$W223))</f>
        <v/>
      </c>
      <c r="Y223" s="70">
        <f>IF($S223="","",IF(N($T223)&gt;0,AVERAGEIFS($U$5:$U$1000,$R$5:$R$1000,ROW(),$S$5:$S$1000,"Sub"),$U223))</f>
        <v/>
      </c>
      <c r="Z223" s="70">
        <f>IF($S223="","",IF(N($T223)&gt;0,AVERAGEIFS($V$5:$V$1000,$R$5:$R$1000,ROW(),$S$5:$S$1000,"Sub"),$V223))</f>
        <v/>
      </c>
      <c r="AA223" s="70">
        <f>IF($S223="","",IF(N($T223)&gt;0,AVERAGEIFS($W$5:$W$1000,$R$5:$R$1000,ROW(),$S$5:$S$1000,"Sub"),$W223))</f>
        <v/>
      </c>
      <c r="AB223" s="70">
        <f>IF($S223="","",IF(N($T223)&gt;0,AVERAGEIFS($X$5:$X$1000,$R$5:$R$1000,ROW(),$S$5:$S$1000,"Sub"),$X223))</f>
        <v/>
      </c>
    </row>
    <row r="224">
      <c r="A224" s="61">
        <f>IF(NOT((COUNTA($B224:$K224)+COUNTA($N224))&gt;0),"",IF($S224="Macro",COUNTIFS($S$5:$S224,"Macro",$P$5:$P224,$P224),IF(N($R224)=0,"?",COUNTIFS(INDEX($S$5:$S$1000,1):INDEX($S$5:$S$1000,$R224-4),"Macro",INDEX($P$5:$P$1000,1):INDEX($P$5:$P$1000,$R224-4),INDEX($P$5:$P$1000,$R224-4))&amp;"."&amp;COUNTIFS($R$5:$R224,$R224,$S$5:$S224,"Sub"))))</f>
        <v/>
      </c>
      <c r="B224" s="62" t="n"/>
      <c r="C224" s="63" t="n"/>
      <c r="D224" s="62" t="n"/>
      <c r="E224" s="64" t="n"/>
      <c r="F224" s="64" t="n"/>
      <c r="G224" s="65" t="n"/>
      <c r="H224" s="66" t="n"/>
      <c r="I224" s="66" t="n"/>
      <c r="J224" s="66" t="n"/>
      <c r="K224" s="66" t="n"/>
      <c r="L224" s="67">
        <f>IF(NOT((COUNTA($B224:$K224)+COUNTA($N224))&gt;0),"",IF(N($T224)&gt;0,$AB224,IFERROR(LOOKUP(2,1/(H224:K224&lt;&gt;""),H224:K224),0)))</f>
        <v/>
      </c>
      <c r="M224" s="61">
        <f>IF(L224="","",IF(L224&gt;=1,"Completado",IF(L224&gt;0,"En curso","Pendiente")))</f>
        <v/>
      </c>
      <c r="N224" s="62" t="n"/>
      <c r="O224" s="68">
        <f>IF(NOT((COUNTA($B224:$K224)+COUNTA($N224))&gt;0),"",IF((IF(AND($S224="Macro",$B224=""),"Macroactividad vacía"&amp;" · ","")&amp;IF(AND($B224&lt;&gt;"",$C224&lt;&gt;""),"Escriba la subactividad en otra fila, debajo de su macroactividad"&amp;" · ","")&amp;IF(AND($S224="Sub",N($R224)=0),"Subactividad sin macroactividad arriba"&amp;" · ","")&amp;IF($D224="","Sin responsable"&amp;" · ","")&amp;IF($E224="","Sin fecha de inicio"&amp;" · ","")&amp;IF($F224="","Sin fecha límite"&amp;" · ","")&amp;IF(OR(AND($E224&lt;&gt;"",NOT(ISNUMBER($E224))),AND($F224&lt;&gt;"",NOT(ISNUMBER($F224)))),"Fecha no válida"&amp;" · ","")&amp;IF(AND(ISNUMBER($E224),ISNUMBER($F224),$E224&gt;$F224),"Inicio posterior a fecha límite"&amp;" · ","")&amp;IF(AND($S224="Macro",$G224=""),"Peso vacío"&amp;" · ","")&amp;IF(AND($S224="Macro",$G224&lt;&gt;"",OR(NOT(ISNUMBER($G224)),$G224&lt;=0,$G224&gt;1)),"Peso fuera de rango"&amp;" · ","")&amp;IF(AND($S224="Sub",$G224&lt;&gt;""),"Las subactividades no llevan peso"&amp;" · ","")&amp;IF(AND($S224="Macro",ABS(SUMIFS($G$5:$G$1000,$P$5:$P$1000,$P224,$S$5:$S$1000,"Macro")-1)&gt;0.0001),"Pesos del mes suman "&amp;TEXT(SUMIFS($G$5:$G$1000,$P$5:$P$1000,$P224,$S$5:$S$1000,"Macro"),"0%")&amp;" · ","")&amp;IF(AND(N($T224)&gt;0,COUNT($H224:$K224)&gt;0),"Con subactividades: deje vacías las semanas (se calculan solas)"&amp;" · ","")&amp;IF((COUNTIF($H224:$K224,"&gt;1")+COUNTIF($H224:$K224,"&lt;0")+COUNTA($H224:$K224)-COUNT($H224:$K224))&gt;0,"Avance fuera de rango 0-100%"&amp;" · ","")&amp;IF(OR(AND($I224&lt;&gt;"",$I224&lt;$H224),AND($J224&lt;&gt;"",$J224&lt;MAX($H224:$I224)),AND($K224&lt;&gt;"",$K224&lt;MAX($H224:$J224))),"Avance semanal decreciente"&amp;" · ","")&amp;IF(AND(ISNUMBER($F224),$F224&lt;FechaRef,N($L224)&lt;1),"Vencida"&amp;" · ","")&amp;IF(AND(ObsObligatoria="Sí",ISNUMBER($F224),$F224&lt;FechaRef,N($L224)&lt;1,$N224=""),"Vencida sin observación"&amp;" · ",""))="","✔ OK","⚠ "&amp;LEFT(IF(AND($S224="Macro",$B224=""),"Macroactividad vacía"&amp;" · ","")&amp;IF(AND($B224&lt;&gt;"",$C224&lt;&gt;""),"Escriba la subactividad en otra fila, debajo de su macroactividad"&amp;" · ","")&amp;IF(AND($S224="Sub",N($R224)=0),"Subactividad sin macroactividad arriba"&amp;" · ","")&amp;IF($D224="","Sin responsable"&amp;" · ","")&amp;IF($E224="","Sin fecha de inicio"&amp;" · ","")&amp;IF($F224="","Sin fecha límite"&amp;" · ","")&amp;IF(OR(AND($E224&lt;&gt;"",NOT(ISNUMBER($E224))),AND($F224&lt;&gt;"",NOT(ISNUMBER($F224)))),"Fecha no válida"&amp;" · ","")&amp;IF(AND(ISNUMBER($E224),ISNUMBER($F224),$E224&gt;$F224),"Inicio posterior a fecha límite"&amp;" · ","")&amp;IF(AND($S224="Macro",$G224=""),"Peso vacío"&amp;" · ","")&amp;IF(AND($S224="Macro",$G224&lt;&gt;"",OR(NOT(ISNUMBER($G224)),$G224&lt;=0,$G224&gt;1)),"Peso fuera de rango"&amp;" · ","")&amp;IF(AND($S224="Sub",$G224&lt;&gt;""),"Las subactividades no llevan peso"&amp;" · ","")&amp;IF(AND($S224="Macro",ABS(SUMIFS($G$5:$G$1000,$P$5:$P$1000,$P224,$S$5:$S$1000,"Macro")-1)&gt;0.0001),"Pesos del mes suman "&amp;TEXT(SUMIFS($G$5:$G$1000,$P$5:$P$1000,$P224,$S$5:$S$1000,"Macro"),"0%")&amp;" · ","")&amp;IF(AND(N($T224)&gt;0,COUNT($H224:$K224)&gt;0),"Con subactividades: deje vacías las semanas (se calculan solas)"&amp;" · ","")&amp;IF((COUNTIF($H224:$K224,"&gt;1")+COUNTIF($H224:$K224,"&lt;0")+COUNTA($H224:$K224)-COUNT($H224:$K224))&gt;0,"Avance fuera de rango 0-100%"&amp;" · ","")&amp;IF(OR(AND($I224&lt;&gt;"",$I224&lt;$H224),AND($J224&lt;&gt;"",$J224&lt;MAX($H224:$I224)),AND($K224&lt;&gt;"",$K224&lt;MAX($H224:$J224))),"Avance semanal decreciente"&amp;" · ","")&amp;IF(AND(ISNUMBER($F224),$F224&lt;FechaRef,N($L224)&lt;1),"Vencida"&amp;" · ","")&amp;IF(AND(ObsObligatoria="Sí",ISNUMBER($F224),$F224&lt;FechaRef,N($L224)&lt;1,$N224=""),"Vencida sin observación"&amp;" · ",""),LEN(IF(AND($S224="Macro",$B224=""),"Macroactividad vacía"&amp;" · ","")&amp;IF(AND($B224&lt;&gt;"",$C224&lt;&gt;""),"Escriba la subactividad en otra fila, debajo de su macroactividad"&amp;" · ","")&amp;IF(AND($S224="Sub",N($R224)=0),"Subactividad sin macroactividad arriba"&amp;" · ","")&amp;IF($D224="","Sin responsable"&amp;" · ","")&amp;IF($E224="","Sin fecha de inicio"&amp;" · ","")&amp;IF($F224="","Sin fecha límite"&amp;" · ","")&amp;IF(OR(AND($E224&lt;&gt;"",NOT(ISNUMBER($E224))),AND($F224&lt;&gt;"",NOT(ISNUMBER($F224)))),"Fecha no válida"&amp;" · ","")&amp;IF(AND(ISNUMBER($E224),ISNUMBER($F224),$E224&gt;$F224),"Inicio posterior a fecha límite"&amp;" · ","")&amp;IF(AND($S224="Macro",$G224=""),"Peso vacío"&amp;" · ","")&amp;IF(AND($S224="Macro",$G224&lt;&gt;"",OR(NOT(ISNUMBER($G224)),$G224&lt;=0,$G224&gt;1)),"Peso fuera de rango"&amp;" · ","")&amp;IF(AND($S224="Sub",$G224&lt;&gt;""),"Las subactividades no llevan peso"&amp;" · ","")&amp;IF(AND($S224="Macro",ABS(SUMIFS($G$5:$G$1000,$P$5:$P$1000,$P224,$S$5:$S$1000,"Macro")-1)&gt;0.0001),"Pesos del mes suman "&amp;TEXT(SUMIFS($G$5:$G$1000,$P$5:$P$1000,$P224,$S$5:$S$1000,"Macro"),"0%")&amp;" · ","")&amp;IF(AND(N($T224)&gt;0,COUNT($H224:$K224)&gt;0),"Con subactividades: deje vacías las semanas (se calculan solas)"&amp;" · ","")&amp;IF((COUNTIF($H224:$K224,"&gt;1")+COUNTIF($H224:$K224,"&lt;0")+COUNTA($H224:$K224)-COUNT($H224:$K224))&gt;0,"Avance fuera de rango 0-100%"&amp;" · ","")&amp;IF(OR(AND($I224&lt;&gt;"",$I224&lt;$H224),AND($J224&lt;&gt;"",$J224&lt;MAX($H224:$I224)),AND($K224&lt;&gt;"",$K224&lt;MAX($H224:$J224))),"Avance semanal decreciente"&amp;" · ","")&amp;IF(AND(ISNUMBER($F224),$F224&lt;FechaRef,N($L224)&lt;1),"Vencida"&amp;" · ","")&amp;IF(AND(ObsObligatoria="Sí",ISNUMBER($F224),$F224&lt;FechaRef,N($L224)&lt;1,$N224=""),"Vencida sin observación"&amp;" · ",""))-3)))</f>
        <v/>
      </c>
      <c r="P224" s="69">
        <f>IF(NOT((COUNTA($B224:$K224)+COUNTA($N224))&gt;0),"",IF(AND($S224="Sub",N($R224)&gt;0),IF(ISNUMBER(INDEX($E$5:$E$1000,$R224-4)),DATE(YEAR(INDEX($E$5:$E$1000,$R224-4)),MONTH(INDEX($E$5:$E$1000,$R224-4)),1),IF(ISNUMBER(INDEX($F$5:$F$1000,$R224-4)),DATE(YEAR(INDEX($F$5:$F$1000,$R224-4)),MONTH(INDEX($F$5:$F$1000,$R224-4)),1),MesCiclo)),IF(ISNUMBER($E224),DATE(YEAR($E224),MONTH($E224),1),IF(ISNUMBER($F224),DATE(YEAR($F224),MONTH($F224),1),MesCiclo))))</f>
        <v/>
      </c>
      <c r="Q224" s="70">
        <f>IF(OR($P224="",$P224&lt;&gt;MesCiclo),"",COUNTIF($P$5:$P224,MesCiclo))</f>
        <v/>
      </c>
      <c r="R224" s="70">
        <f>IF($S224="","",IF($S224="Macro",ROW(),IFERROR(LOOKUP(2,1/($S$5:$S224="Macro"),ROW($S$5:$S224)),0)))</f>
        <v/>
      </c>
      <c r="S224" s="70">
        <f>IF(NOT((COUNTA($B224:$K224)+COUNTA($N224))&gt;0),"",IF($B224&lt;&gt;"","Macro",IF($C224&lt;&gt;"","Sub","Macro")))</f>
        <v/>
      </c>
      <c r="T224" s="70">
        <f>IF($S224="Macro",COUNTIFS($R$5:$R$1000,ROW(),$S$5:$S$1000,"Sub"),"")</f>
        <v/>
      </c>
      <c r="U224" s="70">
        <f>IF($S224="","",IF(ISNUMBER($H224),$H224,0))</f>
        <v/>
      </c>
      <c r="V224" s="70">
        <f>IF($S224="","",IF(ISNUMBER($I224),$I224,$U224))</f>
        <v/>
      </c>
      <c r="W224" s="70">
        <f>IF($S224="","",IF(ISNUMBER($J224),$J224,$V224))</f>
        <v/>
      </c>
      <c r="X224" s="70">
        <f>IF($S224="","",IF(ISNUMBER($K224),$K224,$W224))</f>
        <v/>
      </c>
      <c r="Y224" s="70">
        <f>IF($S224="","",IF(N($T224)&gt;0,AVERAGEIFS($U$5:$U$1000,$R$5:$R$1000,ROW(),$S$5:$S$1000,"Sub"),$U224))</f>
        <v/>
      </c>
      <c r="Z224" s="70">
        <f>IF($S224="","",IF(N($T224)&gt;0,AVERAGEIFS($V$5:$V$1000,$R$5:$R$1000,ROW(),$S$5:$S$1000,"Sub"),$V224))</f>
        <v/>
      </c>
      <c r="AA224" s="70">
        <f>IF($S224="","",IF(N($T224)&gt;0,AVERAGEIFS($W$5:$W$1000,$R$5:$R$1000,ROW(),$S$5:$S$1000,"Sub"),$W224))</f>
        <v/>
      </c>
      <c r="AB224" s="70">
        <f>IF($S224="","",IF(N($T224)&gt;0,AVERAGEIFS($X$5:$X$1000,$R$5:$R$1000,ROW(),$S$5:$S$1000,"Sub"),$X224))</f>
        <v/>
      </c>
    </row>
    <row r="225">
      <c r="A225" s="61">
        <f>IF(NOT((COUNTA($B225:$K225)+COUNTA($N225))&gt;0),"",IF($S225="Macro",COUNTIFS($S$5:$S225,"Macro",$P$5:$P225,$P225),IF(N($R225)=0,"?",COUNTIFS(INDEX($S$5:$S$1000,1):INDEX($S$5:$S$1000,$R225-4),"Macro",INDEX($P$5:$P$1000,1):INDEX($P$5:$P$1000,$R225-4),INDEX($P$5:$P$1000,$R225-4))&amp;"."&amp;COUNTIFS($R$5:$R225,$R225,$S$5:$S225,"Sub"))))</f>
        <v/>
      </c>
      <c r="B225" s="62" t="n"/>
      <c r="C225" s="63" t="n"/>
      <c r="D225" s="62" t="n"/>
      <c r="E225" s="64" t="n"/>
      <c r="F225" s="64" t="n"/>
      <c r="G225" s="65" t="n"/>
      <c r="H225" s="66" t="n"/>
      <c r="I225" s="66" t="n"/>
      <c r="J225" s="66" t="n"/>
      <c r="K225" s="66" t="n"/>
      <c r="L225" s="67">
        <f>IF(NOT((COUNTA($B225:$K225)+COUNTA($N225))&gt;0),"",IF(N($T225)&gt;0,$AB225,IFERROR(LOOKUP(2,1/(H225:K225&lt;&gt;""),H225:K225),0)))</f>
        <v/>
      </c>
      <c r="M225" s="61">
        <f>IF(L225="","",IF(L225&gt;=1,"Completado",IF(L225&gt;0,"En curso","Pendiente")))</f>
        <v/>
      </c>
      <c r="N225" s="62" t="n"/>
      <c r="O225" s="68">
        <f>IF(NOT((COUNTA($B225:$K225)+COUNTA($N225))&gt;0),"",IF((IF(AND($S225="Macro",$B225=""),"Macroactividad vacía"&amp;" · ","")&amp;IF(AND($B225&lt;&gt;"",$C225&lt;&gt;""),"Escriba la subactividad en otra fila, debajo de su macroactividad"&amp;" · ","")&amp;IF(AND($S225="Sub",N($R225)=0),"Subactividad sin macroactividad arriba"&amp;" · ","")&amp;IF($D225="","Sin responsable"&amp;" · ","")&amp;IF($E225="","Sin fecha de inicio"&amp;" · ","")&amp;IF($F225="","Sin fecha límite"&amp;" · ","")&amp;IF(OR(AND($E225&lt;&gt;"",NOT(ISNUMBER($E225))),AND($F225&lt;&gt;"",NOT(ISNUMBER($F225)))),"Fecha no válida"&amp;" · ","")&amp;IF(AND(ISNUMBER($E225),ISNUMBER($F225),$E225&gt;$F225),"Inicio posterior a fecha límite"&amp;" · ","")&amp;IF(AND($S225="Macro",$G225=""),"Peso vacío"&amp;" · ","")&amp;IF(AND($S225="Macro",$G225&lt;&gt;"",OR(NOT(ISNUMBER($G225)),$G225&lt;=0,$G225&gt;1)),"Peso fuera de rango"&amp;" · ","")&amp;IF(AND($S225="Sub",$G225&lt;&gt;""),"Las subactividades no llevan peso"&amp;" · ","")&amp;IF(AND($S225="Macro",ABS(SUMIFS($G$5:$G$1000,$P$5:$P$1000,$P225,$S$5:$S$1000,"Macro")-1)&gt;0.0001),"Pesos del mes suman "&amp;TEXT(SUMIFS($G$5:$G$1000,$P$5:$P$1000,$P225,$S$5:$S$1000,"Macro"),"0%")&amp;" · ","")&amp;IF(AND(N($T225)&gt;0,COUNT($H225:$K225)&gt;0),"Con subactividades: deje vacías las semanas (se calculan solas)"&amp;" · ","")&amp;IF((COUNTIF($H225:$K225,"&gt;1")+COUNTIF($H225:$K225,"&lt;0")+COUNTA($H225:$K225)-COUNT($H225:$K225))&gt;0,"Avance fuera de rango 0-100%"&amp;" · ","")&amp;IF(OR(AND($I225&lt;&gt;"",$I225&lt;$H225),AND($J225&lt;&gt;"",$J225&lt;MAX($H225:$I225)),AND($K225&lt;&gt;"",$K225&lt;MAX($H225:$J225))),"Avance semanal decreciente"&amp;" · ","")&amp;IF(AND(ISNUMBER($F225),$F225&lt;FechaRef,N($L225)&lt;1),"Vencida"&amp;" · ","")&amp;IF(AND(ObsObligatoria="Sí",ISNUMBER($F225),$F225&lt;FechaRef,N($L225)&lt;1,$N225=""),"Vencida sin observación"&amp;" · ",""))="","✔ OK","⚠ "&amp;LEFT(IF(AND($S225="Macro",$B225=""),"Macroactividad vacía"&amp;" · ","")&amp;IF(AND($B225&lt;&gt;"",$C225&lt;&gt;""),"Escriba la subactividad en otra fila, debajo de su macroactividad"&amp;" · ","")&amp;IF(AND($S225="Sub",N($R225)=0),"Subactividad sin macroactividad arriba"&amp;" · ","")&amp;IF($D225="","Sin responsable"&amp;" · ","")&amp;IF($E225="","Sin fecha de inicio"&amp;" · ","")&amp;IF($F225="","Sin fecha límite"&amp;" · ","")&amp;IF(OR(AND($E225&lt;&gt;"",NOT(ISNUMBER($E225))),AND($F225&lt;&gt;"",NOT(ISNUMBER($F225)))),"Fecha no válida"&amp;" · ","")&amp;IF(AND(ISNUMBER($E225),ISNUMBER($F225),$E225&gt;$F225),"Inicio posterior a fecha límite"&amp;" · ","")&amp;IF(AND($S225="Macro",$G225=""),"Peso vacío"&amp;" · ","")&amp;IF(AND($S225="Macro",$G225&lt;&gt;"",OR(NOT(ISNUMBER($G225)),$G225&lt;=0,$G225&gt;1)),"Peso fuera de rango"&amp;" · ","")&amp;IF(AND($S225="Sub",$G225&lt;&gt;""),"Las subactividades no llevan peso"&amp;" · ","")&amp;IF(AND($S225="Macro",ABS(SUMIFS($G$5:$G$1000,$P$5:$P$1000,$P225,$S$5:$S$1000,"Macro")-1)&gt;0.0001),"Pesos del mes suman "&amp;TEXT(SUMIFS($G$5:$G$1000,$P$5:$P$1000,$P225,$S$5:$S$1000,"Macro"),"0%")&amp;" · ","")&amp;IF(AND(N($T225)&gt;0,COUNT($H225:$K225)&gt;0),"Con subactividades: deje vacías las semanas (se calculan solas)"&amp;" · ","")&amp;IF((COUNTIF($H225:$K225,"&gt;1")+COUNTIF($H225:$K225,"&lt;0")+COUNTA($H225:$K225)-COUNT($H225:$K225))&gt;0,"Avance fuera de rango 0-100%"&amp;" · ","")&amp;IF(OR(AND($I225&lt;&gt;"",$I225&lt;$H225),AND($J225&lt;&gt;"",$J225&lt;MAX($H225:$I225)),AND($K225&lt;&gt;"",$K225&lt;MAX($H225:$J225))),"Avance semanal decreciente"&amp;" · ","")&amp;IF(AND(ISNUMBER($F225),$F225&lt;FechaRef,N($L225)&lt;1),"Vencida"&amp;" · ","")&amp;IF(AND(ObsObligatoria="Sí",ISNUMBER($F225),$F225&lt;FechaRef,N($L225)&lt;1,$N225=""),"Vencida sin observación"&amp;" · ",""),LEN(IF(AND($S225="Macro",$B225=""),"Macroactividad vacía"&amp;" · ","")&amp;IF(AND($B225&lt;&gt;"",$C225&lt;&gt;""),"Escriba la subactividad en otra fila, debajo de su macroactividad"&amp;" · ","")&amp;IF(AND($S225="Sub",N($R225)=0),"Subactividad sin macroactividad arriba"&amp;" · ","")&amp;IF($D225="","Sin responsable"&amp;" · ","")&amp;IF($E225="","Sin fecha de inicio"&amp;" · ","")&amp;IF($F225="","Sin fecha límite"&amp;" · ","")&amp;IF(OR(AND($E225&lt;&gt;"",NOT(ISNUMBER($E225))),AND($F225&lt;&gt;"",NOT(ISNUMBER($F225)))),"Fecha no válida"&amp;" · ","")&amp;IF(AND(ISNUMBER($E225),ISNUMBER($F225),$E225&gt;$F225),"Inicio posterior a fecha límite"&amp;" · ","")&amp;IF(AND($S225="Macro",$G225=""),"Peso vacío"&amp;" · ","")&amp;IF(AND($S225="Macro",$G225&lt;&gt;"",OR(NOT(ISNUMBER($G225)),$G225&lt;=0,$G225&gt;1)),"Peso fuera de rango"&amp;" · ","")&amp;IF(AND($S225="Sub",$G225&lt;&gt;""),"Las subactividades no llevan peso"&amp;" · ","")&amp;IF(AND($S225="Macro",ABS(SUMIFS($G$5:$G$1000,$P$5:$P$1000,$P225,$S$5:$S$1000,"Macro")-1)&gt;0.0001),"Pesos del mes suman "&amp;TEXT(SUMIFS($G$5:$G$1000,$P$5:$P$1000,$P225,$S$5:$S$1000,"Macro"),"0%")&amp;" · ","")&amp;IF(AND(N($T225)&gt;0,COUNT($H225:$K225)&gt;0),"Con subactividades: deje vacías las semanas (se calculan solas)"&amp;" · ","")&amp;IF((COUNTIF($H225:$K225,"&gt;1")+COUNTIF($H225:$K225,"&lt;0")+COUNTA($H225:$K225)-COUNT($H225:$K225))&gt;0,"Avance fuera de rango 0-100%"&amp;" · ","")&amp;IF(OR(AND($I225&lt;&gt;"",$I225&lt;$H225),AND($J225&lt;&gt;"",$J225&lt;MAX($H225:$I225)),AND($K225&lt;&gt;"",$K225&lt;MAX($H225:$J225))),"Avance semanal decreciente"&amp;" · ","")&amp;IF(AND(ISNUMBER($F225),$F225&lt;FechaRef,N($L225)&lt;1),"Vencida"&amp;" · ","")&amp;IF(AND(ObsObligatoria="Sí",ISNUMBER($F225),$F225&lt;FechaRef,N($L225)&lt;1,$N225=""),"Vencida sin observación"&amp;" · ",""))-3)))</f>
        <v/>
      </c>
      <c r="P225" s="69">
        <f>IF(NOT((COUNTA($B225:$K225)+COUNTA($N225))&gt;0),"",IF(AND($S225="Sub",N($R225)&gt;0),IF(ISNUMBER(INDEX($E$5:$E$1000,$R225-4)),DATE(YEAR(INDEX($E$5:$E$1000,$R225-4)),MONTH(INDEX($E$5:$E$1000,$R225-4)),1),IF(ISNUMBER(INDEX($F$5:$F$1000,$R225-4)),DATE(YEAR(INDEX($F$5:$F$1000,$R225-4)),MONTH(INDEX($F$5:$F$1000,$R225-4)),1),MesCiclo)),IF(ISNUMBER($E225),DATE(YEAR($E225),MONTH($E225),1),IF(ISNUMBER($F225),DATE(YEAR($F225),MONTH($F225),1),MesCiclo))))</f>
        <v/>
      </c>
      <c r="Q225" s="70">
        <f>IF(OR($P225="",$P225&lt;&gt;MesCiclo),"",COUNTIF($P$5:$P225,MesCiclo))</f>
        <v/>
      </c>
      <c r="R225" s="70">
        <f>IF($S225="","",IF($S225="Macro",ROW(),IFERROR(LOOKUP(2,1/($S$5:$S225="Macro"),ROW($S$5:$S225)),0)))</f>
        <v/>
      </c>
      <c r="S225" s="70">
        <f>IF(NOT((COUNTA($B225:$K225)+COUNTA($N225))&gt;0),"",IF($B225&lt;&gt;"","Macro",IF($C225&lt;&gt;"","Sub","Macro")))</f>
        <v/>
      </c>
      <c r="T225" s="70">
        <f>IF($S225="Macro",COUNTIFS($R$5:$R$1000,ROW(),$S$5:$S$1000,"Sub"),"")</f>
        <v/>
      </c>
      <c r="U225" s="70">
        <f>IF($S225="","",IF(ISNUMBER($H225),$H225,0))</f>
        <v/>
      </c>
      <c r="V225" s="70">
        <f>IF($S225="","",IF(ISNUMBER($I225),$I225,$U225))</f>
        <v/>
      </c>
      <c r="W225" s="70">
        <f>IF($S225="","",IF(ISNUMBER($J225),$J225,$V225))</f>
        <v/>
      </c>
      <c r="X225" s="70">
        <f>IF($S225="","",IF(ISNUMBER($K225),$K225,$W225))</f>
        <v/>
      </c>
      <c r="Y225" s="70">
        <f>IF($S225="","",IF(N($T225)&gt;0,AVERAGEIFS($U$5:$U$1000,$R$5:$R$1000,ROW(),$S$5:$S$1000,"Sub"),$U225))</f>
        <v/>
      </c>
      <c r="Z225" s="70">
        <f>IF($S225="","",IF(N($T225)&gt;0,AVERAGEIFS($V$5:$V$1000,$R$5:$R$1000,ROW(),$S$5:$S$1000,"Sub"),$V225))</f>
        <v/>
      </c>
      <c r="AA225" s="70">
        <f>IF($S225="","",IF(N($T225)&gt;0,AVERAGEIFS($W$5:$W$1000,$R$5:$R$1000,ROW(),$S$5:$S$1000,"Sub"),$W225))</f>
        <v/>
      </c>
      <c r="AB225" s="70">
        <f>IF($S225="","",IF(N($T225)&gt;0,AVERAGEIFS($X$5:$X$1000,$R$5:$R$1000,ROW(),$S$5:$S$1000,"Sub"),$X225))</f>
        <v/>
      </c>
    </row>
    <row r="226">
      <c r="A226" s="61">
        <f>IF(NOT((COUNTA($B226:$K226)+COUNTA($N226))&gt;0),"",IF($S226="Macro",COUNTIFS($S$5:$S226,"Macro",$P$5:$P226,$P226),IF(N($R226)=0,"?",COUNTIFS(INDEX($S$5:$S$1000,1):INDEX($S$5:$S$1000,$R226-4),"Macro",INDEX($P$5:$P$1000,1):INDEX($P$5:$P$1000,$R226-4),INDEX($P$5:$P$1000,$R226-4))&amp;"."&amp;COUNTIFS($R$5:$R226,$R226,$S$5:$S226,"Sub"))))</f>
        <v/>
      </c>
      <c r="B226" s="62" t="n"/>
      <c r="C226" s="63" t="n"/>
      <c r="D226" s="62" t="n"/>
      <c r="E226" s="64" t="n"/>
      <c r="F226" s="64" t="n"/>
      <c r="G226" s="65" t="n"/>
      <c r="H226" s="66" t="n"/>
      <c r="I226" s="66" t="n"/>
      <c r="J226" s="66" t="n"/>
      <c r="K226" s="66" t="n"/>
      <c r="L226" s="67">
        <f>IF(NOT((COUNTA($B226:$K226)+COUNTA($N226))&gt;0),"",IF(N($T226)&gt;0,$AB226,IFERROR(LOOKUP(2,1/(H226:K226&lt;&gt;""),H226:K226),0)))</f>
        <v/>
      </c>
      <c r="M226" s="61">
        <f>IF(L226="","",IF(L226&gt;=1,"Completado",IF(L226&gt;0,"En curso","Pendiente")))</f>
        <v/>
      </c>
      <c r="N226" s="62" t="n"/>
      <c r="O226" s="68">
        <f>IF(NOT((COUNTA($B226:$K226)+COUNTA($N226))&gt;0),"",IF((IF(AND($S226="Macro",$B226=""),"Macroactividad vacía"&amp;" · ","")&amp;IF(AND($B226&lt;&gt;"",$C226&lt;&gt;""),"Escriba la subactividad en otra fila, debajo de su macroactividad"&amp;" · ","")&amp;IF(AND($S226="Sub",N($R226)=0),"Subactividad sin macroactividad arriba"&amp;" · ","")&amp;IF($D226="","Sin responsable"&amp;" · ","")&amp;IF($E226="","Sin fecha de inicio"&amp;" · ","")&amp;IF($F226="","Sin fecha límite"&amp;" · ","")&amp;IF(OR(AND($E226&lt;&gt;"",NOT(ISNUMBER($E226))),AND($F226&lt;&gt;"",NOT(ISNUMBER($F226)))),"Fecha no válida"&amp;" · ","")&amp;IF(AND(ISNUMBER($E226),ISNUMBER($F226),$E226&gt;$F226),"Inicio posterior a fecha límite"&amp;" · ","")&amp;IF(AND($S226="Macro",$G226=""),"Peso vacío"&amp;" · ","")&amp;IF(AND($S226="Macro",$G226&lt;&gt;"",OR(NOT(ISNUMBER($G226)),$G226&lt;=0,$G226&gt;1)),"Peso fuera de rango"&amp;" · ","")&amp;IF(AND($S226="Sub",$G226&lt;&gt;""),"Las subactividades no llevan peso"&amp;" · ","")&amp;IF(AND($S226="Macro",ABS(SUMIFS($G$5:$G$1000,$P$5:$P$1000,$P226,$S$5:$S$1000,"Macro")-1)&gt;0.0001),"Pesos del mes suman "&amp;TEXT(SUMIFS($G$5:$G$1000,$P$5:$P$1000,$P226,$S$5:$S$1000,"Macro"),"0%")&amp;" · ","")&amp;IF(AND(N($T226)&gt;0,COUNT($H226:$K226)&gt;0),"Con subactividades: deje vacías las semanas (se calculan solas)"&amp;" · ","")&amp;IF((COUNTIF($H226:$K226,"&gt;1")+COUNTIF($H226:$K226,"&lt;0")+COUNTA($H226:$K226)-COUNT($H226:$K226))&gt;0,"Avance fuera de rango 0-100%"&amp;" · ","")&amp;IF(OR(AND($I226&lt;&gt;"",$I226&lt;$H226),AND($J226&lt;&gt;"",$J226&lt;MAX($H226:$I226)),AND($K226&lt;&gt;"",$K226&lt;MAX($H226:$J226))),"Avance semanal decreciente"&amp;" · ","")&amp;IF(AND(ISNUMBER($F226),$F226&lt;FechaRef,N($L226)&lt;1),"Vencida"&amp;" · ","")&amp;IF(AND(ObsObligatoria="Sí",ISNUMBER($F226),$F226&lt;FechaRef,N($L226)&lt;1,$N226=""),"Vencida sin observación"&amp;" · ",""))="","✔ OK","⚠ "&amp;LEFT(IF(AND($S226="Macro",$B226=""),"Macroactividad vacía"&amp;" · ","")&amp;IF(AND($B226&lt;&gt;"",$C226&lt;&gt;""),"Escriba la subactividad en otra fila, debajo de su macroactividad"&amp;" · ","")&amp;IF(AND($S226="Sub",N($R226)=0),"Subactividad sin macroactividad arriba"&amp;" · ","")&amp;IF($D226="","Sin responsable"&amp;" · ","")&amp;IF($E226="","Sin fecha de inicio"&amp;" · ","")&amp;IF($F226="","Sin fecha límite"&amp;" · ","")&amp;IF(OR(AND($E226&lt;&gt;"",NOT(ISNUMBER($E226))),AND($F226&lt;&gt;"",NOT(ISNUMBER($F226)))),"Fecha no válida"&amp;" · ","")&amp;IF(AND(ISNUMBER($E226),ISNUMBER($F226),$E226&gt;$F226),"Inicio posterior a fecha límite"&amp;" · ","")&amp;IF(AND($S226="Macro",$G226=""),"Peso vacío"&amp;" · ","")&amp;IF(AND($S226="Macro",$G226&lt;&gt;"",OR(NOT(ISNUMBER($G226)),$G226&lt;=0,$G226&gt;1)),"Peso fuera de rango"&amp;" · ","")&amp;IF(AND($S226="Sub",$G226&lt;&gt;""),"Las subactividades no llevan peso"&amp;" · ","")&amp;IF(AND($S226="Macro",ABS(SUMIFS($G$5:$G$1000,$P$5:$P$1000,$P226,$S$5:$S$1000,"Macro")-1)&gt;0.0001),"Pesos del mes suman "&amp;TEXT(SUMIFS($G$5:$G$1000,$P$5:$P$1000,$P226,$S$5:$S$1000,"Macro"),"0%")&amp;" · ","")&amp;IF(AND(N($T226)&gt;0,COUNT($H226:$K226)&gt;0),"Con subactividades: deje vacías las semanas (se calculan solas)"&amp;" · ","")&amp;IF((COUNTIF($H226:$K226,"&gt;1")+COUNTIF($H226:$K226,"&lt;0")+COUNTA($H226:$K226)-COUNT($H226:$K226))&gt;0,"Avance fuera de rango 0-100%"&amp;" · ","")&amp;IF(OR(AND($I226&lt;&gt;"",$I226&lt;$H226),AND($J226&lt;&gt;"",$J226&lt;MAX($H226:$I226)),AND($K226&lt;&gt;"",$K226&lt;MAX($H226:$J226))),"Avance semanal decreciente"&amp;" · ","")&amp;IF(AND(ISNUMBER($F226),$F226&lt;FechaRef,N($L226)&lt;1),"Vencida"&amp;" · ","")&amp;IF(AND(ObsObligatoria="Sí",ISNUMBER($F226),$F226&lt;FechaRef,N($L226)&lt;1,$N226=""),"Vencida sin observación"&amp;" · ",""),LEN(IF(AND($S226="Macro",$B226=""),"Macroactividad vacía"&amp;" · ","")&amp;IF(AND($B226&lt;&gt;"",$C226&lt;&gt;""),"Escriba la subactividad en otra fila, debajo de su macroactividad"&amp;" · ","")&amp;IF(AND($S226="Sub",N($R226)=0),"Subactividad sin macroactividad arriba"&amp;" · ","")&amp;IF($D226="","Sin responsable"&amp;" · ","")&amp;IF($E226="","Sin fecha de inicio"&amp;" · ","")&amp;IF($F226="","Sin fecha límite"&amp;" · ","")&amp;IF(OR(AND($E226&lt;&gt;"",NOT(ISNUMBER($E226))),AND($F226&lt;&gt;"",NOT(ISNUMBER($F226)))),"Fecha no válida"&amp;" · ","")&amp;IF(AND(ISNUMBER($E226),ISNUMBER($F226),$E226&gt;$F226),"Inicio posterior a fecha límite"&amp;" · ","")&amp;IF(AND($S226="Macro",$G226=""),"Peso vacío"&amp;" · ","")&amp;IF(AND($S226="Macro",$G226&lt;&gt;"",OR(NOT(ISNUMBER($G226)),$G226&lt;=0,$G226&gt;1)),"Peso fuera de rango"&amp;" · ","")&amp;IF(AND($S226="Sub",$G226&lt;&gt;""),"Las subactividades no llevan peso"&amp;" · ","")&amp;IF(AND($S226="Macro",ABS(SUMIFS($G$5:$G$1000,$P$5:$P$1000,$P226,$S$5:$S$1000,"Macro")-1)&gt;0.0001),"Pesos del mes suman "&amp;TEXT(SUMIFS($G$5:$G$1000,$P$5:$P$1000,$P226,$S$5:$S$1000,"Macro"),"0%")&amp;" · ","")&amp;IF(AND(N($T226)&gt;0,COUNT($H226:$K226)&gt;0),"Con subactividades: deje vacías las semanas (se calculan solas)"&amp;" · ","")&amp;IF((COUNTIF($H226:$K226,"&gt;1")+COUNTIF($H226:$K226,"&lt;0")+COUNTA($H226:$K226)-COUNT($H226:$K226))&gt;0,"Avance fuera de rango 0-100%"&amp;" · ","")&amp;IF(OR(AND($I226&lt;&gt;"",$I226&lt;$H226),AND($J226&lt;&gt;"",$J226&lt;MAX($H226:$I226)),AND($K226&lt;&gt;"",$K226&lt;MAX($H226:$J226))),"Avance semanal decreciente"&amp;" · ","")&amp;IF(AND(ISNUMBER($F226),$F226&lt;FechaRef,N($L226)&lt;1),"Vencida"&amp;" · ","")&amp;IF(AND(ObsObligatoria="Sí",ISNUMBER($F226),$F226&lt;FechaRef,N($L226)&lt;1,$N226=""),"Vencida sin observación"&amp;" · ",""))-3)))</f>
        <v/>
      </c>
      <c r="P226" s="69">
        <f>IF(NOT((COUNTA($B226:$K226)+COUNTA($N226))&gt;0),"",IF(AND($S226="Sub",N($R226)&gt;0),IF(ISNUMBER(INDEX($E$5:$E$1000,$R226-4)),DATE(YEAR(INDEX($E$5:$E$1000,$R226-4)),MONTH(INDEX($E$5:$E$1000,$R226-4)),1),IF(ISNUMBER(INDEX($F$5:$F$1000,$R226-4)),DATE(YEAR(INDEX($F$5:$F$1000,$R226-4)),MONTH(INDEX($F$5:$F$1000,$R226-4)),1),MesCiclo)),IF(ISNUMBER($E226),DATE(YEAR($E226),MONTH($E226),1),IF(ISNUMBER($F226),DATE(YEAR($F226),MONTH($F226),1),MesCiclo))))</f>
        <v/>
      </c>
      <c r="Q226" s="70">
        <f>IF(OR($P226="",$P226&lt;&gt;MesCiclo),"",COUNTIF($P$5:$P226,MesCiclo))</f>
        <v/>
      </c>
      <c r="R226" s="70">
        <f>IF($S226="","",IF($S226="Macro",ROW(),IFERROR(LOOKUP(2,1/($S$5:$S226="Macro"),ROW($S$5:$S226)),0)))</f>
        <v/>
      </c>
      <c r="S226" s="70">
        <f>IF(NOT((COUNTA($B226:$K226)+COUNTA($N226))&gt;0),"",IF($B226&lt;&gt;"","Macro",IF($C226&lt;&gt;"","Sub","Macro")))</f>
        <v/>
      </c>
      <c r="T226" s="70">
        <f>IF($S226="Macro",COUNTIFS($R$5:$R$1000,ROW(),$S$5:$S$1000,"Sub"),"")</f>
        <v/>
      </c>
      <c r="U226" s="70">
        <f>IF($S226="","",IF(ISNUMBER($H226),$H226,0))</f>
        <v/>
      </c>
      <c r="V226" s="70">
        <f>IF($S226="","",IF(ISNUMBER($I226),$I226,$U226))</f>
        <v/>
      </c>
      <c r="W226" s="70">
        <f>IF($S226="","",IF(ISNUMBER($J226),$J226,$V226))</f>
        <v/>
      </c>
      <c r="X226" s="70">
        <f>IF($S226="","",IF(ISNUMBER($K226),$K226,$W226))</f>
        <v/>
      </c>
      <c r="Y226" s="70">
        <f>IF($S226="","",IF(N($T226)&gt;0,AVERAGEIFS($U$5:$U$1000,$R$5:$R$1000,ROW(),$S$5:$S$1000,"Sub"),$U226))</f>
        <v/>
      </c>
      <c r="Z226" s="70">
        <f>IF($S226="","",IF(N($T226)&gt;0,AVERAGEIFS($V$5:$V$1000,$R$5:$R$1000,ROW(),$S$5:$S$1000,"Sub"),$V226))</f>
        <v/>
      </c>
      <c r="AA226" s="70">
        <f>IF($S226="","",IF(N($T226)&gt;0,AVERAGEIFS($W$5:$W$1000,$R$5:$R$1000,ROW(),$S$5:$S$1000,"Sub"),$W226))</f>
        <v/>
      </c>
      <c r="AB226" s="70">
        <f>IF($S226="","",IF(N($T226)&gt;0,AVERAGEIFS($X$5:$X$1000,$R$5:$R$1000,ROW(),$S$5:$S$1000,"Sub"),$X226))</f>
        <v/>
      </c>
    </row>
    <row r="227">
      <c r="A227" s="61">
        <f>IF(NOT((COUNTA($B227:$K227)+COUNTA($N227))&gt;0),"",IF($S227="Macro",COUNTIFS($S$5:$S227,"Macro",$P$5:$P227,$P227),IF(N($R227)=0,"?",COUNTIFS(INDEX($S$5:$S$1000,1):INDEX($S$5:$S$1000,$R227-4),"Macro",INDEX($P$5:$P$1000,1):INDEX($P$5:$P$1000,$R227-4),INDEX($P$5:$P$1000,$R227-4))&amp;"."&amp;COUNTIFS($R$5:$R227,$R227,$S$5:$S227,"Sub"))))</f>
        <v/>
      </c>
      <c r="B227" s="62" t="n"/>
      <c r="C227" s="63" t="n"/>
      <c r="D227" s="62" t="n"/>
      <c r="E227" s="64" t="n"/>
      <c r="F227" s="64" t="n"/>
      <c r="G227" s="65" t="n"/>
      <c r="H227" s="66" t="n"/>
      <c r="I227" s="66" t="n"/>
      <c r="J227" s="66" t="n"/>
      <c r="K227" s="66" t="n"/>
      <c r="L227" s="67">
        <f>IF(NOT((COUNTA($B227:$K227)+COUNTA($N227))&gt;0),"",IF(N($T227)&gt;0,$AB227,IFERROR(LOOKUP(2,1/(H227:K227&lt;&gt;""),H227:K227),0)))</f>
        <v/>
      </c>
      <c r="M227" s="61">
        <f>IF(L227="","",IF(L227&gt;=1,"Completado",IF(L227&gt;0,"En curso","Pendiente")))</f>
        <v/>
      </c>
      <c r="N227" s="62" t="n"/>
      <c r="O227" s="68">
        <f>IF(NOT((COUNTA($B227:$K227)+COUNTA($N227))&gt;0),"",IF((IF(AND($S227="Macro",$B227=""),"Macroactividad vacía"&amp;" · ","")&amp;IF(AND($B227&lt;&gt;"",$C227&lt;&gt;""),"Escriba la subactividad en otra fila, debajo de su macroactividad"&amp;" · ","")&amp;IF(AND($S227="Sub",N($R227)=0),"Subactividad sin macroactividad arriba"&amp;" · ","")&amp;IF($D227="","Sin responsable"&amp;" · ","")&amp;IF($E227="","Sin fecha de inicio"&amp;" · ","")&amp;IF($F227="","Sin fecha límite"&amp;" · ","")&amp;IF(OR(AND($E227&lt;&gt;"",NOT(ISNUMBER($E227))),AND($F227&lt;&gt;"",NOT(ISNUMBER($F227)))),"Fecha no válida"&amp;" · ","")&amp;IF(AND(ISNUMBER($E227),ISNUMBER($F227),$E227&gt;$F227),"Inicio posterior a fecha límite"&amp;" · ","")&amp;IF(AND($S227="Macro",$G227=""),"Peso vacío"&amp;" · ","")&amp;IF(AND($S227="Macro",$G227&lt;&gt;"",OR(NOT(ISNUMBER($G227)),$G227&lt;=0,$G227&gt;1)),"Peso fuera de rango"&amp;" · ","")&amp;IF(AND($S227="Sub",$G227&lt;&gt;""),"Las subactividades no llevan peso"&amp;" · ","")&amp;IF(AND($S227="Macro",ABS(SUMIFS($G$5:$G$1000,$P$5:$P$1000,$P227,$S$5:$S$1000,"Macro")-1)&gt;0.0001),"Pesos del mes suman "&amp;TEXT(SUMIFS($G$5:$G$1000,$P$5:$P$1000,$P227,$S$5:$S$1000,"Macro"),"0%")&amp;" · ","")&amp;IF(AND(N($T227)&gt;0,COUNT($H227:$K227)&gt;0),"Con subactividades: deje vacías las semanas (se calculan solas)"&amp;" · ","")&amp;IF((COUNTIF($H227:$K227,"&gt;1")+COUNTIF($H227:$K227,"&lt;0")+COUNTA($H227:$K227)-COUNT($H227:$K227))&gt;0,"Avance fuera de rango 0-100%"&amp;" · ","")&amp;IF(OR(AND($I227&lt;&gt;"",$I227&lt;$H227),AND($J227&lt;&gt;"",$J227&lt;MAX($H227:$I227)),AND($K227&lt;&gt;"",$K227&lt;MAX($H227:$J227))),"Avance semanal decreciente"&amp;" · ","")&amp;IF(AND(ISNUMBER($F227),$F227&lt;FechaRef,N($L227)&lt;1),"Vencida"&amp;" · ","")&amp;IF(AND(ObsObligatoria="Sí",ISNUMBER($F227),$F227&lt;FechaRef,N($L227)&lt;1,$N227=""),"Vencida sin observación"&amp;" · ",""))="","✔ OK","⚠ "&amp;LEFT(IF(AND($S227="Macro",$B227=""),"Macroactividad vacía"&amp;" · ","")&amp;IF(AND($B227&lt;&gt;"",$C227&lt;&gt;""),"Escriba la subactividad en otra fila, debajo de su macroactividad"&amp;" · ","")&amp;IF(AND($S227="Sub",N($R227)=0),"Subactividad sin macroactividad arriba"&amp;" · ","")&amp;IF($D227="","Sin responsable"&amp;" · ","")&amp;IF($E227="","Sin fecha de inicio"&amp;" · ","")&amp;IF($F227="","Sin fecha límite"&amp;" · ","")&amp;IF(OR(AND($E227&lt;&gt;"",NOT(ISNUMBER($E227))),AND($F227&lt;&gt;"",NOT(ISNUMBER($F227)))),"Fecha no válida"&amp;" · ","")&amp;IF(AND(ISNUMBER($E227),ISNUMBER($F227),$E227&gt;$F227),"Inicio posterior a fecha límite"&amp;" · ","")&amp;IF(AND($S227="Macro",$G227=""),"Peso vacío"&amp;" · ","")&amp;IF(AND($S227="Macro",$G227&lt;&gt;"",OR(NOT(ISNUMBER($G227)),$G227&lt;=0,$G227&gt;1)),"Peso fuera de rango"&amp;" · ","")&amp;IF(AND($S227="Sub",$G227&lt;&gt;""),"Las subactividades no llevan peso"&amp;" · ","")&amp;IF(AND($S227="Macro",ABS(SUMIFS($G$5:$G$1000,$P$5:$P$1000,$P227,$S$5:$S$1000,"Macro")-1)&gt;0.0001),"Pesos del mes suman "&amp;TEXT(SUMIFS($G$5:$G$1000,$P$5:$P$1000,$P227,$S$5:$S$1000,"Macro"),"0%")&amp;" · ","")&amp;IF(AND(N($T227)&gt;0,COUNT($H227:$K227)&gt;0),"Con subactividades: deje vacías las semanas (se calculan solas)"&amp;" · ","")&amp;IF((COUNTIF($H227:$K227,"&gt;1")+COUNTIF($H227:$K227,"&lt;0")+COUNTA($H227:$K227)-COUNT($H227:$K227))&gt;0,"Avance fuera de rango 0-100%"&amp;" · ","")&amp;IF(OR(AND($I227&lt;&gt;"",$I227&lt;$H227),AND($J227&lt;&gt;"",$J227&lt;MAX($H227:$I227)),AND($K227&lt;&gt;"",$K227&lt;MAX($H227:$J227))),"Avance semanal decreciente"&amp;" · ","")&amp;IF(AND(ISNUMBER($F227),$F227&lt;FechaRef,N($L227)&lt;1),"Vencida"&amp;" · ","")&amp;IF(AND(ObsObligatoria="Sí",ISNUMBER($F227),$F227&lt;FechaRef,N($L227)&lt;1,$N227=""),"Vencida sin observación"&amp;" · ",""),LEN(IF(AND($S227="Macro",$B227=""),"Macroactividad vacía"&amp;" · ","")&amp;IF(AND($B227&lt;&gt;"",$C227&lt;&gt;""),"Escriba la subactividad en otra fila, debajo de su macroactividad"&amp;" · ","")&amp;IF(AND($S227="Sub",N($R227)=0),"Subactividad sin macroactividad arriba"&amp;" · ","")&amp;IF($D227="","Sin responsable"&amp;" · ","")&amp;IF($E227="","Sin fecha de inicio"&amp;" · ","")&amp;IF($F227="","Sin fecha límite"&amp;" · ","")&amp;IF(OR(AND($E227&lt;&gt;"",NOT(ISNUMBER($E227))),AND($F227&lt;&gt;"",NOT(ISNUMBER($F227)))),"Fecha no válida"&amp;" · ","")&amp;IF(AND(ISNUMBER($E227),ISNUMBER($F227),$E227&gt;$F227),"Inicio posterior a fecha límite"&amp;" · ","")&amp;IF(AND($S227="Macro",$G227=""),"Peso vacío"&amp;" · ","")&amp;IF(AND($S227="Macro",$G227&lt;&gt;"",OR(NOT(ISNUMBER($G227)),$G227&lt;=0,$G227&gt;1)),"Peso fuera de rango"&amp;" · ","")&amp;IF(AND($S227="Sub",$G227&lt;&gt;""),"Las subactividades no llevan peso"&amp;" · ","")&amp;IF(AND($S227="Macro",ABS(SUMIFS($G$5:$G$1000,$P$5:$P$1000,$P227,$S$5:$S$1000,"Macro")-1)&gt;0.0001),"Pesos del mes suman "&amp;TEXT(SUMIFS($G$5:$G$1000,$P$5:$P$1000,$P227,$S$5:$S$1000,"Macro"),"0%")&amp;" · ","")&amp;IF(AND(N($T227)&gt;0,COUNT($H227:$K227)&gt;0),"Con subactividades: deje vacías las semanas (se calculan solas)"&amp;" · ","")&amp;IF((COUNTIF($H227:$K227,"&gt;1")+COUNTIF($H227:$K227,"&lt;0")+COUNTA($H227:$K227)-COUNT($H227:$K227))&gt;0,"Avance fuera de rango 0-100%"&amp;" · ","")&amp;IF(OR(AND($I227&lt;&gt;"",$I227&lt;$H227),AND($J227&lt;&gt;"",$J227&lt;MAX($H227:$I227)),AND($K227&lt;&gt;"",$K227&lt;MAX($H227:$J227))),"Avance semanal decreciente"&amp;" · ","")&amp;IF(AND(ISNUMBER($F227),$F227&lt;FechaRef,N($L227)&lt;1),"Vencida"&amp;" · ","")&amp;IF(AND(ObsObligatoria="Sí",ISNUMBER($F227),$F227&lt;FechaRef,N($L227)&lt;1,$N227=""),"Vencida sin observación"&amp;" · ",""))-3)))</f>
        <v/>
      </c>
      <c r="P227" s="69">
        <f>IF(NOT((COUNTA($B227:$K227)+COUNTA($N227))&gt;0),"",IF(AND($S227="Sub",N($R227)&gt;0),IF(ISNUMBER(INDEX($E$5:$E$1000,$R227-4)),DATE(YEAR(INDEX($E$5:$E$1000,$R227-4)),MONTH(INDEX($E$5:$E$1000,$R227-4)),1),IF(ISNUMBER(INDEX($F$5:$F$1000,$R227-4)),DATE(YEAR(INDEX($F$5:$F$1000,$R227-4)),MONTH(INDEX($F$5:$F$1000,$R227-4)),1),MesCiclo)),IF(ISNUMBER($E227),DATE(YEAR($E227),MONTH($E227),1),IF(ISNUMBER($F227),DATE(YEAR($F227),MONTH($F227),1),MesCiclo))))</f>
        <v/>
      </c>
      <c r="Q227" s="70">
        <f>IF(OR($P227="",$P227&lt;&gt;MesCiclo),"",COUNTIF($P$5:$P227,MesCiclo))</f>
        <v/>
      </c>
      <c r="R227" s="70">
        <f>IF($S227="","",IF($S227="Macro",ROW(),IFERROR(LOOKUP(2,1/($S$5:$S227="Macro"),ROW($S$5:$S227)),0)))</f>
        <v/>
      </c>
      <c r="S227" s="70">
        <f>IF(NOT((COUNTA($B227:$K227)+COUNTA($N227))&gt;0),"",IF($B227&lt;&gt;"","Macro",IF($C227&lt;&gt;"","Sub","Macro")))</f>
        <v/>
      </c>
      <c r="T227" s="70">
        <f>IF($S227="Macro",COUNTIFS($R$5:$R$1000,ROW(),$S$5:$S$1000,"Sub"),"")</f>
        <v/>
      </c>
      <c r="U227" s="70">
        <f>IF($S227="","",IF(ISNUMBER($H227),$H227,0))</f>
        <v/>
      </c>
      <c r="V227" s="70">
        <f>IF($S227="","",IF(ISNUMBER($I227),$I227,$U227))</f>
        <v/>
      </c>
      <c r="W227" s="70">
        <f>IF($S227="","",IF(ISNUMBER($J227),$J227,$V227))</f>
        <v/>
      </c>
      <c r="X227" s="70">
        <f>IF($S227="","",IF(ISNUMBER($K227),$K227,$W227))</f>
        <v/>
      </c>
      <c r="Y227" s="70">
        <f>IF($S227="","",IF(N($T227)&gt;0,AVERAGEIFS($U$5:$U$1000,$R$5:$R$1000,ROW(),$S$5:$S$1000,"Sub"),$U227))</f>
        <v/>
      </c>
      <c r="Z227" s="70">
        <f>IF($S227="","",IF(N($T227)&gt;0,AVERAGEIFS($V$5:$V$1000,$R$5:$R$1000,ROW(),$S$5:$S$1000,"Sub"),$V227))</f>
        <v/>
      </c>
      <c r="AA227" s="70">
        <f>IF($S227="","",IF(N($T227)&gt;0,AVERAGEIFS($W$5:$W$1000,$R$5:$R$1000,ROW(),$S$5:$S$1000,"Sub"),$W227))</f>
        <v/>
      </c>
      <c r="AB227" s="70">
        <f>IF($S227="","",IF(N($T227)&gt;0,AVERAGEIFS($X$5:$X$1000,$R$5:$R$1000,ROW(),$S$5:$S$1000,"Sub"),$X227))</f>
        <v/>
      </c>
    </row>
    <row r="228">
      <c r="A228" s="61">
        <f>IF(NOT((COUNTA($B228:$K228)+COUNTA($N228))&gt;0),"",IF($S228="Macro",COUNTIFS($S$5:$S228,"Macro",$P$5:$P228,$P228),IF(N($R228)=0,"?",COUNTIFS(INDEX($S$5:$S$1000,1):INDEX($S$5:$S$1000,$R228-4),"Macro",INDEX($P$5:$P$1000,1):INDEX($P$5:$P$1000,$R228-4),INDEX($P$5:$P$1000,$R228-4))&amp;"."&amp;COUNTIFS($R$5:$R228,$R228,$S$5:$S228,"Sub"))))</f>
        <v/>
      </c>
      <c r="B228" s="62" t="n"/>
      <c r="C228" s="63" t="n"/>
      <c r="D228" s="62" t="n"/>
      <c r="E228" s="64" t="n"/>
      <c r="F228" s="64" t="n"/>
      <c r="G228" s="65" t="n"/>
      <c r="H228" s="66" t="n"/>
      <c r="I228" s="66" t="n"/>
      <c r="J228" s="66" t="n"/>
      <c r="K228" s="66" t="n"/>
      <c r="L228" s="67">
        <f>IF(NOT((COUNTA($B228:$K228)+COUNTA($N228))&gt;0),"",IF(N($T228)&gt;0,$AB228,IFERROR(LOOKUP(2,1/(H228:K228&lt;&gt;""),H228:K228),0)))</f>
        <v/>
      </c>
      <c r="M228" s="61">
        <f>IF(L228="","",IF(L228&gt;=1,"Completado",IF(L228&gt;0,"En curso","Pendiente")))</f>
        <v/>
      </c>
      <c r="N228" s="62" t="n"/>
      <c r="O228" s="68">
        <f>IF(NOT((COUNTA($B228:$K228)+COUNTA($N228))&gt;0),"",IF((IF(AND($S228="Macro",$B228=""),"Macroactividad vacía"&amp;" · ","")&amp;IF(AND($B228&lt;&gt;"",$C228&lt;&gt;""),"Escriba la subactividad en otra fila, debajo de su macroactividad"&amp;" · ","")&amp;IF(AND($S228="Sub",N($R228)=0),"Subactividad sin macroactividad arriba"&amp;" · ","")&amp;IF($D228="","Sin responsable"&amp;" · ","")&amp;IF($E228="","Sin fecha de inicio"&amp;" · ","")&amp;IF($F228="","Sin fecha límite"&amp;" · ","")&amp;IF(OR(AND($E228&lt;&gt;"",NOT(ISNUMBER($E228))),AND($F228&lt;&gt;"",NOT(ISNUMBER($F228)))),"Fecha no válida"&amp;" · ","")&amp;IF(AND(ISNUMBER($E228),ISNUMBER($F228),$E228&gt;$F228),"Inicio posterior a fecha límite"&amp;" · ","")&amp;IF(AND($S228="Macro",$G228=""),"Peso vacío"&amp;" · ","")&amp;IF(AND($S228="Macro",$G228&lt;&gt;"",OR(NOT(ISNUMBER($G228)),$G228&lt;=0,$G228&gt;1)),"Peso fuera de rango"&amp;" · ","")&amp;IF(AND($S228="Sub",$G228&lt;&gt;""),"Las subactividades no llevan peso"&amp;" · ","")&amp;IF(AND($S228="Macro",ABS(SUMIFS($G$5:$G$1000,$P$5:$P$1000,$P228,$S$5:$S$1000,"Macro")-1)&gt;0.0001),"Pesos del mes suman "&amp;TEXT(SUMIFS($G$5:$G$1000,$P$5:$P$1000,$P228,$S$5:$S$1000,"Macro"),"0%")&amp;" · ","")&amp;IF(AND(N($T228)&gt;0,COUNT($H228:$K228)&gt;0),"Con subactividades: deje vacías las semanas (se calculan solas)"&amp;" · ","")&amp;IF((COUNTIF($H228:$K228,"&gt;1")+COUNTIF($H228:$K228,"&lt;0")+COUNTA($H228:$K228)-COUNT($H228:$K228))&gt;0,"Avance fuera de rango 0-100%"&amp;" · ","")&amp;IF(OR(AND($I228&lt;&gt;"",$I228&lt;$H228),AND($J228&lt;&gt;"",$J228&lt;MAX($H228:$I228)),AND($K228&lt;&gt;"",$K228&lt;MAX($H228:$J228))),"Avance semanal decreciente"&amp;" · ","")&amp;IF(AND(ISNUMBER($F228),$F228&lt;FechaRef,N($L228)&lt;1),"Vencida"&amp;" · ","")&amp;IF(AND(ObsObligatoria="Sí",ISNUMBER($F228),$F228&lt;FechaRef,N($L228)&lt;1,$N228=""),"Vencida sin observación"&amp;" · ",""))="","✔ OK","⚠ "&amp;LEFT(IF(AND($S228="Macro",$B228=""),"Macroactividad vacía"&amp;" · ","")&amp;IF(AND($B228&lt;&gt;"",$C228&lt;&gt;""),"Escriba la subactividad en otra fila, debajo de su macroactividad"&amp;" · ","")&amp;IF(AND($S228="Sub",N($R228)=0),"Subactividad sin macroactividad arriba"&amp;" · ","")&amp;IF($D228="","Sin responsable"&amp;" · ","")&amp;IF($E228="","Sin fecha de inicio"&amp;" · ","")&amp;IF($F228="","Sin fecha límite"&amp;" · ","")&amp;IF(OR(AND($E228&lt;&gt;"",NOT(ISNUMBER($E228))),AND($F228&lt;&gt;"",NOT(ISNUMBER($F228)))),"Fecha no válida"&amp;" · ","")&amp;IF(AND(ISNUMBER($E228),ISNUMBER($F228),$E228&gt;$F228),"Inicio posterior a fecha límite"&amp;" · ","")&amp;IF(AND($S228="Macro",$G228=""),"Peso vacío"&amp;" · ","")&amp;IF(AND($S228="Macro",$G228&lt;&gt;"",OR(NOT(ISNUMBER($G228)),$G228&lt;=0,$G228&gt;1)),"Peso fuera de rango"&amp;" · ","")&amp;IF(AND($S228="Sub",$G228&lt;&gt;""),"Las subactividades no llevan peso"&amp;" · ","")&amp;IF(AND($S228="Macro",ABS(SUMIFS($G$5:$G$1000,$P$5:$P$1000,$P228,$S$5:$S$1000,"Macro")-1)&gt;0.0001),"Pesos del mes suman "&amp;TEXT(SUMIFS($G$5:$G$1000,$P$5:$P$1000,$P228,$S$5:$S$1000,"Macro"),"0%")&amp;" · ","")&amp;IF(AND(N($T228)&gt;0,COUNT($H228:$K228)&gt;0),"Con subactividades: deje vacías las semanas (se calculan solas)"&amp;" · ","")&amp;IF((COUNTIF($H228:$K228,"&gt;1")+COUNTIF($H228:$K228,"&lt;0")+COUNTA($H228:$K228)-COUNT($H228:$K228))&gt;0,"Avance fuera de rango 0-100%"&amp;" · ","")&amp;IF(OR(AND($I228&lt;&gt;"",$I228&lt;$H228),AND($J228&lt;&gt;"",$J228&lt;MAX($H228:$I228)),AND($K228&lt;&gt;"",$K228&lt;MAX($H228:$J228))),"Avance semanal decreciente"&amp;" · ","")&amp;IF(AND(ISNUMBER($F228),$F228&lt;FechaRef,N($L228)&lt;1),"Vencida"&amp;" · ","")&amp;IF(AND(ObsObligatoria="Sí",ISNUMBER($F228),$F228&lt;FechaRef,N($L228)&lt;1,$N228=""),"Vencida sin observación"&amp;" · ",""),LEN(IF(AND($S228="Macro",$B228=""),"Macroactividad vacía"&amp;" · ","")&amp;IF(AND($B228&lt;&gt;"",$C228&lt;&gt;""),"Escriba la subactividad en otra fila, debajo de su macroactividad"&amp;" · ","")&amp;IF(AND($S228="Sub",N($R228)=0),"Subactividad sin macroactividad arriba"&amp;" · ","")&amp;IF($D228="","Sin responsable"&amp;" · ","")&amp;IF($E228="","Sin fecha de inicio"&amp;" · ","")&amp;IF($F228="","Sin fecha límite"&amp;" · ","")&amp;IF(OR(AND($E228&lt;&gt;"",NOT(ISNUMBER($E228))),AND($F228&lt;&gt;"",NOT(ISNUMBER($F228)))),"Fecha no válida"&amp;" · ","")&amp;IF(AND(ISNUMBER($E228),ISNUMBER($F228),$E228&gt;$F228),"Inicio posterior a fecha límite"&amp;" · ","")&amp;IF(AND($S228="Macro",$G228=""),"Peso vacío"&amp;" · ","")&amp;IF(AND($S228="Macro",$G228&lt;&gt;"",OR(NOT(ISNUMBER($G228)),$G228&lt;=0,$G228&gt;1)),"Peso fuera de rango"&amp;" · ","")&amp;IF(AND($S228="Sub",$G228&lt;&gt;""),"Las subactividades no llevan peso"&amp;" · ","")&amp;IF(AND($S228="Macro",ABS(SUMIFS($G$5:$G$1000,$P$5:$P$1000,$P228,$S$5:$S$1000,"Macro")-1)&gt;0.0001),"Pesos del mes suman "&amp;TEXT(SUMIFS($G$5:$G$1000,$P$5:$P$1000,$P228,$S$5:$S$1000,"Macro"),"0%")&amp;" · ","")&amp;IF(AND(N($T228)&gt;0,COUNT($H228:$K228)&gt;0),"Con subactividades: deje vacías las semanas (se calculan solas)"&amp;" · ","")&amp;IF((COUNTIF($H228:$K228,"&gt;1")+COUNTIF($H228:$K228,"&lt;0")+COUNTA($H228:$K228)-COUNT($H228:$K228))&gt;0,"Avance fuera de rango 0-100%"&amp;" · ","")&amp;IF(OR(AND($I228&lt;&gt;"",$I228&lt;$H228),AND($J228&lt;&gt;"",$J228&lt;MAX($H228:$I228)),AND($K228&lt;&gt;"",$K228&lt;MAX($H228:$J228))),"Avance semanal decreciente"&amp;" · ","")&amp;IF(AND(ISNUMBER($F228),$F228&lt;FechaRef,N($L228)&lt;1),"Vencida"&amp;" · ","")&amp;IF(AND(ObsObligatoria="Sí",ISNUMBER($F228),$F228&lt;FechaRef,N($L228)&lt;1,$N228=""),"Vencida sin observación"&amp;" · ",""))-3)))</f>
        <v/>
      </c>
      <c r="P228" s="69">
        <f>IF(NOT((COUNTA($B228:$K228)+COUNTA($N228))&gt;0),"",IF(AND($S228="Sub",N($R228)&gt;0),IF(ISNUMBER(INDEX($E$5:$E$1000,$R228-4)),DATE(YEAR(INDEX($E$5:$E$1000,$R228-4)),MONTH(INDEX($E$5:$E$1000,$R228-4)),1),IF(ISNUMBER(INDEX($F$5:$F$1000,$R228-4)),DATE(YEAR(INDEX($F$5:$F$1000,$R228-4)),MONTH(INDEX($F$5:$F$1000,$R228-4)),1),MesCiclo)),IF(ISNUMBER($E228),DATE(YEAR($E228),MONTH($E228),1),IF(ISNUMBER($F228),DATE(YEAR($F228),MONTH($F228),1),MesCiclo))))</f>
        <v/>
      </c>
      <c r="Q228" s="70">
        <f>IF(OR($P228="",$P228&lt;&gt;MesCiclo),"",COUNTIF($P$5:$P228,MesCiclo))</f>
        <v/>
      </c>
      <c r="R228" s="70">
        <f>IF($S228="","",IF($S228="Macro",ROW(),IFERROR(LOOKUP(2,1/($S$5:$S228="Macro"),ROW($S$5:$S228)),0)))</f>
        <v/>
      </c>
      <c r="S228" s="70">
        <f>IF(NOT((COUNTA($B228:$K228)+COUNTA($N228))&gt;0),"",IF($B228&lt;&gt;"","Macro",IF($C228&lt;&gt;"","Sub","Macro")))</f>
        <v/>
      </c>
      <c r="T228" s="70">
        <f>IF($S228="Macro",COUNTIFS($R$5:$R$1000,ROW(),$S$5:$S$1000,"Sub"),"")</f>
        <v/>
      </c>
      <c r="U228" s="70">
        <f>IF($S228="","",IF(ISNUMBER($H228),$H228,0))</f>
        <v/>
      </c>
      <c r="V228" s="70">
        <f>IF($S228="","",IF(ISNUMBER($I228),$I228,$U228))</f>
        <v/>
      </c>
      <c r="W228" s="70">
        <f>IF($S228="","",IF(ISNUMBER($J228),$J228,$V228))</f>
        <v/>
      </c>
      <c r="X228" s="70">
        <f>IF($S228="","",IF(ISNUMBER($K228),$K228,$W228))</f>
        <v/>
      </c>
      <c r="Y228" s="70">
        <f>IF($S228="","",IF(N($T228)&gt;0,AVERAGEIFS($U$5:$U$1000,$R$5:$R$1000,ROW(),$S$5:$S$1000,"Sub"),$U228))</f>
        <v/>
      </c>
      <c r="Z228" s="70">
        <f>IF($S228="","",IF(N($T228)&gt;0,AVERAGEIFS($V$5:$V$1000,$R$5:$R$1000,ROW(),$S$5:$S$1000,"Sub"),$V228))</f>
        <v/>
      </c>
      <c r="AA228" s="70">
        <f>IF($S228="","",IF(N($T228)&gt;0,AVERAGEIFS($W$5:$W$1000,$R$5:$R$1000,ROW(),$S$5:$S$1000,"Sub"),$W228))</f>
        <v/>
      </c>
      <c r="AB228" s="70">
        <f>IF($S228="","",IF(N($T228)&gt;0,AVERAGEIFS($X$5:$X$1000,$R$5:$R$1000,ROW(),$S$5:$S$1000,"Sub"),$X228))</f>
        <v/>
      </c>
    </row>
    <row r="229">
      <c r="A229" s="61">
        <f>IF(NOT((COUNTA($B229:$K229)+COUNTA($N229))&gt;0),"",IF($S229="Macro",COUNTIFS($S$5:$S229,"Macro",$P$5:$P229,$P229),IF(N($R229)=0,"?",COUNTIFS(INDEX($S$5:$S$1000,1):INDEX($S$5:$S$1000,$R229-4),"Macro",INDEX($P$5:$P$1000,1):INDEX($P$5:$P$1000,$R229-4),INDEX($P$5:$P$1000,$R229-4))&amp;"."&amp;COUNTIFS($R$5:$R229,$R229,$S$5:$S229,"Sub"))))</f>
        <v/>
      </c>
      <c r="B229" s="62" t="n"/>
      <c r="C229" s="63" t="n"/>
      <c r="D229" s="62" t="n"/>
      <c r="E229" s="64" t="n"/>
      <c r="F229" s="64" t="n"/>
      <c r="G229" s="65" t="n"/>
      <c r="H229" s="66" t="n"/>
      <c r="I229" s="66" t="n"/>
      <c r="J229" s="66" t="n"/>
      <c r="K229" s="66" t="n"/>
      <c r="L229" s="67">
        <f>IF(NOT((COUNTA($B229:$K229)+COUNTA($N229))&gt;0),"",IF(N($T229)&gt;0,$AB229,IFERROR(LOOKUP(2,1/(H229:K229&lt;&gt;""),H229:K229),0)))</f>
        <v/>
      </c>
      <c r="M229" s="61">
        <f>IF(L229="","",IF(L229&gt;=1,"Completado",IF(L229&gt;0,"En curso","Pendiente")))</f>
        <v/>
      </c>
      <c r="N229" s="62" t="n"/>
      <c r="O229" s="68">
        <f>IF(NOT((COUNTA($B229:$K229)+COUNTA($N229))&gt;0),"",IF((IF(AND($S229="Macro",$B229=""),"Macroactividad vacía"&amp;" · ","")&amp;IF(AND($B229&lt;&gt;"",$C229&lt;&gt;""),"Escriba la subactividad en otra fila, debajo de su macroactividad"&amp;" · ","")&amp;IF(AND($S229="Sub",N($R229)=0),"Subactividad sin macroactividad arriba"&amp;" · ","")&amp;IF($D229="","Sin responsable"&amp;" · ","")&amp;IF($E229="","Sin fecha de inicio"&amp;" · ","")&amp;IF($F229="","Sin fecha límite"&amp;" · ","")&amp;IF(OR(AND($E229&lt;&gt;"",NOT(ISNUMBER($E229))),AND($F229&lt;&gt;"",NOT(ISNUMBER($F229)))),"Fecha no válida"&amp;" · ","")&amp;IF(AND(ISNUMBER($E229),ISNUMBER($F229),$E229&gt;$F229),"Inicio posterior a fecha límite"&amp;" · ","")&amp;IF(AND($S229="Macro",$G229=""),"Peso vacío"&amp;" · ","")&amp;IF(AND($S229="Macro",$G229&lt;&gt;"",OR(NOT(ISNUMBER($G229)),$G229&lt;=0,$G229&gt;1)),"Peso fuera de rango"&amp;" · ","")&amp;IF(AND($S229="Sub",$G229&lt;&gt;""),"Las subactividades no llevan peso"&amp;" · ","")&amp;IF(AND($S229="Macro",ABS(SUMIFS($G$5:$G$1000,$P$5:$P$1000,$P229,$S$5:$S$1000,"Macro")-1)&gt;0.0001),"Pesos del mes suman "&amp;TEXT(SUMIFS($G$5:$G$1000,$P$5:$P$1000,$P229,$S$5:$S$1000,"Macro"),"0%")&amp;" · ","")&amp;IF(AND(N($T229)&gt;0,COUNT($H229:$K229)&gt;0),"Con subactividades: deje vacías las semanas (se calculan solas)"&amp;" · ","")&amp;IF((COUNTIF($H229:$K229,"&gt;1")+COUNTIF($H229:$K229,"&lt;0")+COUNTA($H229:$K229)-COUNT($H229:$K229))&gt;0,"Avance fuera de rango 0-100%"&amp;" · ","")&amp;IF(OR(AND($I229&lt;&gt;"",$I229&lt;$H229),AND($J229&lt;&gt;"",$J229&lt;MAX($H229:$I229)),AND($K229&lt;&gt;"",$K229&lt;MAX($H229:$J229))),"Avance semanal decreciente"&amp;" · ","")&amp;IF(AND(ISNUMBER($F229),$F229&lt;FechaRef,N($L229)&lt;1),"Vencida"&amp;" · ","")&amp;IF(AND(ObsObligatoria="Sí",ISNUMBER($F229),$F229&lt;FechaRef,N($L229)&lt;1,$N229=""),"Vencida sin observación"&amp;" · ",""))="","✔ OK","⚠ "&amp;LEFT(IF(AND($S229="Macro",$B229=""),"Macroactividad vacía"&amp;" · ","")&amp;IF(AND($B229&lt;&gt;"",$C229&lt;&gt;""),"Escriba la subactividad en otra fila, debajo de su macroactividad"&amp;" · ","")&amp;IF(AND($S229="Sub",N($R229)=0),"Subactividad sin macroactividad arriba"&amp;" · ","")&amp;IF($D229="","Sin responsable"&amp;" · ","")&amp;IF($E229="","Sin fecha de inicio"&amp;" · ","")&amp;IF($F229="","Sin fecha límite"&amp;" · ","")&amp;IF(OR(AND($E229&lt;&gt;"",NOT(ISNUMBER($E229))),AND($F229&lt;&gt;"",NOT(ISNUMBER($F229)))),"Fecha no válida"&amp;" · ","")&amp;IF(AND(ISNUMBER($E229),ISNUMBER($F229),$E229&gt;$F229),"Inicio posterior a fecha límite"&amp;" · ","")&amp;IF(AND($S229="Macro",$G229=""),"Peso vacío"&amp;" · ","")&amp;IF(AND($S229="Macro",$G229&lt;&gt;"",OR(NOT(ISNUMBER($G229)),$G229&lt;=0,$G229&gt;1)),"Peso fuera de rango"&amp;" · ","")&amp;IF(AND($S229="Sub",$G229&lt;&gt;""),"Las subactividades no llevan peso"&amp;" · ","")&amp;IF(AND($S229="Macro",ABS(SUMIFS($G$5:$G$1000,$P$5:$P$1000,$P229,$S$5:$S$1000,"Macro")-1)&gt;0.0001),"Pesos del mes suman "&amp;TEXT(SUMIFS($G$5:$G$1000,$P$5:$P$1000,$P229,$S$5:$S$1000,"Macro"),"0%")&amp;" · ","")&amp;IF(AND(N($T229)&gt;0,COUNT($H229:$K229)&gt;0),"Con subactividades: deje vacías las semanas (se calculan solas)"&amp;" · ","")&amp;IF((COUNTIF($H229:$K229,"&gt;1")+COUNTIF($H229:$K229,"&lt;0")+COUNTA($H229:$K229)-COUNT($H229:$K229))&gt;0,"Avance fuera de rango 0-100%"&amp;" · ","")&amp;IF(OR(AND($I229&lt;&gt;"",$I229&lt;$H229),AND($J229&lt;&gt;"",$J229&lt;MAX($H229:$I229)),AND($K229&lt;&gt;"",$K229&lt;MAX($H229:$J229))),"Avance semanal decreciente"&amp;" · ","")&amp;IF(AND(ISNUMBER($F229),$F229&lt;FechaRef,N($L229)&lt;1),"Vencida"&amp;" · ","")&amp;IF(AND(ObsObligatoria="Sí",ISNUMBER($F229),$F229&lt;FechaRef,N($L229)&lt;1,$N229=""),"Vencida sin observación"&amp;" · ",""),LEN(IF(AND($S229="Macro",$B229=""),"Macroactividad vacía"&amp;" · ","")&amp;IF(AND($B229&lt;&gt;"",$C229&lt;&gt;""),"Escriba la subactividad en otra fila, debajo de su macroactividad"&amp;" · ","")&amp;IF(AND($S229="Sub",N($R229)=0),"Subactividad sin macroactividad arriba"&amp;" · ","")&amp;IF($D229="","Sin responsable"&amp;" · ","")&amp;IF($E229="","Sin fecha de inicio"&amp;" · ","")&amp;IF($F229="","Sin fecha límite"&amp;" · ","")&amp;IF(OR(AND($E229&lt;&gt;"",NOT(ISNUMBER($E229))),AND($F229&lt;&gt;"",NOT(ISNUMBER($F229)))),"Fecha no válida"&amp;" · ","")&amp;IF(AND(ISNUMBER($E229),ISNUMBER($F229),$E229&gt;$F229),"Inicio posterior a fecha límite"&amp;" · ","")&amp;IF(AND($S229="Macro",$G229=""),"Peso vacío"&amp;" · ","")&amp;IF(AND($S229="Macro",$G229&lt;&gt;"",OR(NOT(ISNUMBER($G229)),$G229&lt;=0,$G229&gt;1)),"Peso fuera de rango"&amp;" · ","")&amp;IF(AND($S229="Sub",$G229&lt;&gt;""),"Las subactividades no llevan peso"&amp;" · ","")&amp;IF(AND($S229="Macro",ABS(SUMIFS($G$5:$G$1000,$P$5:$P$1000,$P229,$S$5:$S$1000,"Macro")-1)&gt;0.0001),"Pesos del mes suman "&amp;TEXT(SUMIFS($G$5:$G$1000,$P$5:$P$1000,$P229,$S$5:$S$1000,"Macro"),"0%")&amp;" · ","")&amp;IF(AND(N($T229)&gt;0,COUNT($H229:$K229)&gt;0),"Con subactividades: deje vacías las semanas (se calculan solas)"&amp;" · ","")&amp;IF((COUNTIF($H229:$K229,"&gt;1")+COUNTIF($H229:$K229,"&lt;0")+COUNTA($H229:$K229)-COUNT($H229:$K229))&gt;0,"Avance fuera de rango 0-100%"&amp;" · ","")&amp;IF(OR(AND($I229&lt;&gt;"",$I229&lt;$H229),AND($J229&lt;&gt;"",$J229&lt;MAX($H229:$I229)),AND($K229&lt;&gt;"",$K229&lt;MAX($H229:$J229))),"Avance semanal decreciente"&amp;" · ","")&amp;IF(AND(ISNUMBER($F229),$F229&lt;FechaRef,N($L229)&lt;1),"Vencida"&amp;" · ","")&amp;IF(AND(ObsObligatoria="Sí",ISNUMBER($F229),$F229&lt;FechaRef,N($L229)&lt;1,$N229=""),"Vencida sin observación"&amp;" · ",""))-3)))</f>
        <v/>
      </c>
      <c r="P229" s="69">
        <f>IF(NOT((COUNTA($B229:$K229)+COUNTA($N229))&gt;0),"",IF(AND($S229="Sub",N($R229)&gt;0),IF(ISNUMBER(INDEX($E$5:$E$1000,$R229-4)),DATE(YEAR(INDEX($E$5:$E$1000,$R229-4)),MONTH(INDEX($E$5:$E$1000,$R229-4)),1),IF(ISNUMBER(INDEX($F$5:$F$1000,$R229-4)),DATE(YEAR(INDEX($F$5:$F$1000,$R229-4)),MONTH(INDEX($F$5:$F$1000,$R229-4)),1),MesCiclo)),IF(ISNUMBER($E229),DATE(YEAR($E229),MONTH($E229),1),IF(ISNUMBER($F229),DATE(YEAR($F229),MONTH($F229),1),MesCiclo))))</f>
        <v/>
      </c>
      <c r="Q229" s="70">
        <f>IF(OR($P229="",$P229&lt;&gt;MesCiclo),"",COUNTIF($P$5:$P229,MesCiclo))</f>
        <v/>
      </c>
      <c r="R229" s="70">
        <f>IF($S229="","",IF($S229="Macro",ROW(),IFERROR(LOOKUP(2,1/($S$5:$S229="Macro"),ROW($S$5:$S229)),0)))</f>
        <v/>
      </c>
      <c r="S229" s="70">
        <f>IF(NOT((COUNTA($B229:$K229)+COUNTA($N229))&gt;0),"",IF($B229&lt;&gt;"","Macro",IF($C229&lt;&gt;"","Sub","Macro")))</f>
        <v/>
      </c>
      <c r="T229" s="70">
        <f>IF($S229="Macro",COUNTIFS($R$5:$R$1000,ROW(),$S$5:$S$1000,"Sub"),"")</f>
        <v/>
      </c>
      <c r="U229" s="70">
        <f>IF($S229="","",IF(ISNUMBER($H229),$H229,0))</f>
        <v/>
      </c>
      <c r="V229" s="70">
        <f>IF($S229="","",IF(ISNUMBER($I229),$I229,$U229))</f>
        <v/>
      </c>
      <c r="W229" s="70">
        <f>IF($S229="","",IF(ISNUMBER($J229),$J229,$V229))</f>
        <v/>
      </c>
      <c r="X229" s="70">
        <f>IF($S229="","",IF(ISNUMBER($K229),$K229,$W229))</f>
        <v/>
      </c>
      <c r="Y229" s="70">
        <f>IF($S229="","",IF(N($T229)&gt;0,AVERAGEIFS($U$5:$U$1000,$R$5:$R$1000,ROW(),$S$5:$S$1000,"Sub"),$U229))</f>
        <v/>
      </c>
      <c r="Z229" s="70">
        <f>IF($S229="","",IF(N($T229)&gt;0,AVERAGEIFS($V$5:$V$1000,$R$5:$R$1000,ROW(),$S$5:$S$1000,"Sub"),$V229))</f>
        <v/>
      </c>
      <c r="AA229" s="70">
        <f>IF($S229="","",IF(N($T229)&gt;0,AVERAGEIFS($W$5:$W$1000,$R$5:$R$1000,ROW(),$S$5:$S$1000,"Sub"),$W229))</f>
        <v/>
      </c>
      <c r="AB229" s="70">
        <f>IF($S229="","",IF(N($T229)&gt;0,AVERAGEIFS($X$5:$X$1000,$R$5:$R$1000,ROW(),$S$5:$S$1000,"Sub"),$X229))</f>
        <v/>
      </c>
    </row>
    <row r="230">
      <c r="A230" s="61">
        <f>IF(NOT((COUNTA($B230:$K230)+COUNTA($N230))&gt;0),"",IF($S230="Macro",COUNTIFS($S$5:$S230,"Macro",$P$5:$P230,$P230),IF(N($R230)=0,"?",COUNTIFS(INDEX($S$5:$S$1000,1):INDEX($S$5:$S$1000,$R230-4),"Macro",INDEX($P$5:$P$1000,1):INDEX($P$5:$P$1000,$R230-4),INDEX($P$5:$P$1000,$R230-4))&amp;"."&amp;COUNTIFS($R$5:$R230,$R230,$S$5:$S230,"Sub"))))</f>
        <v/>
      </c>
      <c r="B230" s="62" t="n"/>
      <c r="C230" s="63" t="n"/>
      <c r="D230" s="62" t="n"/>
      <c r="E230" s="64" t="n"/>
      <c r="F230" s="64" t="n"/>
      <c r="G230" s="65" t="n"/>
      <c r="H230" s="66" t="n"/>
      <c r="I230" s="66" t="n"/>
      <c r="J230" s="66" t="n"/>
      <c r="K230" s="66" t="n"/>
      <c r="L230" s="67">
        <f>IF(NOT((COUNTA($B230:$K230)+COUNTA($N230))&gt;0),"",IF(N($T230)&gt;0,$AB230,IFERROR(LOOKUP(2,1/(H230:K230&lt;&gt;""),H230:K230),0)))</f>
        <v/>
      </c>
      <c r="M230" s="61">
        <f>IF(L230="","",IF(L230&gt;=1,"Completado",IF(L230&gt;0,"En curso","Pendiente")))</f>
        <v/>
      </c>
      <c r="N230" s="62" t="n"/>
      <c r="O230" s="68">
        <f>IF(NOT((COUNTA($B230:$K230)+COUNTA($N230))&gt;0),"",IF((IF(AND($S230="Macro",$B230=""),"Macroactividad vacía"&amp;" · ","")&amp;IF(AND($B230&lt;&gt;"",$C230&lt;&gt;""),"Escriba la subactividad en otra fila, debajo de su macroactividad"&amp;" · ","")&amp;IF(AND($S230="Sub",N($R230)=0),"Subactividad sin macroactividad arriba"&amp;" · ","")&amp;IF($D230="","Sin responsable"&amp;" · ","")&amp;IF($E230="","Sin fecha de inicio"&amp;" · ","")&amp;IF($F230="","Sin fecha límite"&amp;" · ","")&amp;IF(OR(AND($E230&lt;&gt;"",NOT(ISNUMBER($E230))),AND($F230&lt;&gt;"",NOT(ISNUMBER($F230)))),"Fecha no válida"&amp;" · ","")&amp;IF(AND(ISNUMBER($E230),ISNUMBER($F230),$E230&gt;$F230),"Inicio posterior a fecha límite"&amp;" · ","")&amp;IF(AND($S230="Macro",$G230=""),"Peso vacío"&amp;" · ","")&amp;IF(AND($S230="Macro",$G230&lt;&gt;"",OR(NOT(ISNUMBER($G230)),$G230&lt;=0,$G230&gt;1)),"Peso fuera de rango"&amp;" · ","")&amp;IF(AND($S230="Sub",$G230&lt;&gt;""),"Las subactividades no llevan peso"&amp;" · ","")&amp;IF(AND($S230="Macro",ABS(SUMIFS($G$5:$G$1000,$P$5:$P$1000,$P230,$S$5:$S$1000,"Macro")-1)&gt;0.0001),"Pesos del mes suman "&amp;TEXT(SUMIFS($G$5:$G$1000,$P$5:$P$1000,$P230,$S$5:$S$1000,"Macro"),"0%")&amp;" · ","")&amp;IF(AND(N($T230)&gt;0,COUNT($H230:$K230)&gt;0),"Con subactividades: deje vacías las semanas (se calculan solas)"&amp;" · ","")&amp;IF((COUNTIF($H230:$K230,"&gt;1")+COUNTIF($H230:$K230,"&lt;0")+COUNTA($H230:$K230)-COUNT($H230:$K230))&gt;0,"Avance fuera de rango 0-100%"&amp;" · ","")&amp;IF(OR(AND($I230&lt;&gt;"",$I230&lt;$H230),AND($J230&lt;&gt;"",$J230&lt;MAX($H230:$I230)),AND($K230&lt;&gt;"",$K230&lt;MAX($H230:$J230))),"Avance semanal decreciente"&amp;" · ","")&amp;IF(AND(ISNUMBER($F230),$F230&lt;FechaRef,N($L230)&lt;1),"Vencida"&amp;" · ","")&amp;IF(AND(ObsObligatoria="Sí",ISNUMBER($F230),$F230&lt;FechaRef,N($L230)&lt;1,$N230=""),"Vencida sin observación"&amp;" · ",""))="","✔ OK","⚠ "&amp;LEFT(IF(AND($S230="Macro",$B230=""),"Macroactividad vacía"&amp;" · ","")&amp;IF(AND($B230&lt;&gt;"",$C230&lt;&gt;""),"Escriba la subactividad en otra fila, debajo de su macroactividad"&amp;" · ","")&amp;IF(AND($S230="Sub",N($R230)=0),"Subactividad sin macroactividad arriba"&amp;" · ","")&amp;IF($D230="","Sin responsable"&amp;" · ","")&amp;IF($E230="","Sin fecha de inicio"&amp;" · ","")&amp;IF($F230="","Sin fecha límite"&amp;" · ","")&amp;IF(OR(AND($E230&lt;&gt;"",NOT(ISNUMBER($E230))),AND($F230&lt;&gt;"",NOT(ISNUMBER($F230)))),"Fecha no válida"&amp;" · ","")&amp;IF(AND(ISNUMBER($E230),ISNUMBER($F230),$E230&gt;$F230),"Inicio posterior a fecha límite"&amp;" · ","")&amp;IF(AND($S230="Macro",$G230=""),"Peso vacío"&amp;" · ","")&amp;IF(AND($S230="Macro",$G230&lt;&gt;"",OR(NOT(ISNUMBER($G230)),$G230&lt;=0,$G230&gt;1)),"Peso fuera de rango"&amp;" · ","")&amp;IF(AND($S230="Sub",$G230&lt;&gt;""),"Las subactividades no llevan peso"&amp;" · ","")&amp;IF(AND($S230="Macro",ABS(SUMIFS($G$5:$G$1000,$P$5:$P$1000,$P230,$S$5:$S$1000,"Macro")-1)&gt;0.0001),"Pesos del mes suman "&amp;TEXT(SUMIFS($G$5:$G$1000,$P$5:$P$1000,$P230,$S$5:$S$1000,"Macro"),"0%")&amp;" · ","")&amp;IF(AND(N($T230)&gt;0,COUNT($H230:$K230)&gt;0),"Con subactividades: deje vacías las semanas (se calculan solas)"&amp;" · ","")&amp;IF((COUNTIF($H230:$K230,"&gt;1")+COUNTIF($H230:$K230,"&lt;0")+COUNTA($H230:$K230)-COUNT($H230:$K230))&gt;0,"Avance fuera de rango 0-100%"&amp;" · ","")&amp;IF(OR(AND($I230&lt;&gt;"",$I230&lt;$H230),AND($J230&lt;&gt;"",$J230&lt;MAX($H230:$I230)),AND($K230&lt;&gt;"",$K230&lt;MAX($H230:$J230))),"Avance semanal decreciente"&amp;" · ","")&amp;IF(AND(ISNUMBER($F230),$F230&lt;FechaRef,N($L230)&lt;1),"Vencida"&amp;" · ","")&amp;IF(AND(ObsObligatoria="Sí",ISNUMBER($F230),$F230&lt;FechaRef,N($L230)&lt;1,$N230=""),"Vencida sin observación"&amp;" · ",""),LEN(IF(AND($S230="Macro",$B230=""),"Macroactividad vacía"&amp;" · ","")&amp;IF(AND($B230&lt;&gt;"",$C230&lt;&gt;""),"Escriba la subactividad en otra fila, debajo de su macroactividad"&amp;" · ","")&amp;IF(AND($S230="Sub",N($R230)=0),"Subactividad sin macroactividad arriba"&amp;" · ","")&amp;IF($D230="","Sin responsable"&amp;" · ","")&amp;IF($E230="","Sin fecha de inicio"&amp;" · ","")&amp;IF($F230="","Sin fecha límite"&amp;" · ","")&amp;IF(OR(AND($E230&lt;&gt;"",NOT(ISNUMBER($E230))),AND($F230&lt;&gt;"",NOT(ISNUMBER($F230)))),"Fecha no válida"&amp;" · ","")&amp;IF(AND(ISNUMBER($E230),ISNUMBER($F230),$E230&gt;$F230),"Inicio posterior a fecha límite"&amp;" · ","")&amp;IF(AND($S230="Macro",$G230=""),"Peso vacío"&amp;" · ","")&amp;IF(AND($S230="Macro",$G230&lt;&gt;"",OR(NOT(ISNUMBER($G230)),$G230&lt;=0,$G230&gt;1)),"Peso fuera de rango"&amp;" · ","")&amp;IF(AND($S230="Sub",$G230&lt;&gt;""),"Las subactividades no llevan peso"&amp;" · ","")&amp;IF(AND($S230="Macro",ABS(SUMIFS($G$5:$G$1000,$P$5:$P$1000,$P230,$S$5:$S$1000,"Macro")-1)&gt;0.0001),"Pesos del mes suman "&amp;TEXT(SUMIFS($G$5:$G$1000,$P$5:$P$1000,$P230,$S$5:$S$1000,"Macro"),"0%")&amp;" · ","")&amp;IF(AND(N($T230)&gt;0,COUNT($H230:$K230)&gt;0),"Con subactividades: deje vacías las semanas (se calculan solas)"&amp;" · ","")&amp;IF((COUNTIF($H230:$K230,"&gt;1")+COUNTIF($H230:$K230,"&lt;0")+COUNTA($H230:$K230)-COUNT($H230:$K230))&gt;0,"Avance fuera de rango 0-100%"&amp;" · ","")&amp;IF(OR(AND($I230&lt;&gt;"",$I230&lt;$H230),AND($J230&lt;&gt;"",$J230&lt;MAX($H230:$I230)),AND($K230&lt;&gt;"",$K230&lt;MAX($H230:$J230))),"Avance semanal decreciente"&amp;" · ","")&amp;IF(AND(ISNUMBER($F230),$F230&lt;FechaRef,N($L230)&lt;1),"Vencida"&amp;" · ","")&amp;IF(AND(ObsObligatoria="Sí",ISNUMBER($F230),$F230&lt;FechaRef,N($L230)&lt;1,$N230=""),"Vencida sin observación"&amp;" · ",""))-3)))</f>
        <v/>
      </c>
      <c r="P230" s="69">
        <f>IF(NOT((COUNTA($B230:$K230)+COUNTA($N230))&gt;0),"",IF(AND($S230="Sub",N($R230)&gt;0),IF(ISNUMBER(INDEX($E$5:$E$1000,$R230-4)),DATE(YEAR(INDEX($E$5:$E$1000,$R230-4)),MONTH(INDEX($E$5:$E$1000,$R230-4)),1),IF(ISNUMBER(INDEX($F$5:$F$1000,$R230-4)),DATE(YEAR(INDEX($F$5:$F$1000,$R230-4)),MONTH(INDEX($F$5:$F$1000,$R230-4)),1),MesCiclo)),IF(ISNUMBER($E230),DATE(YEAR($E230),MONTH($E230),1),IF(ISNUMBER($F230),DATE(YEAR($F230),MONTH($F230),1),MesCiclo))))</f>
        <v/>
      </c>
      <c r="Q230" s="70">
        <f>IF(OR($P230="",$P230&lt;&gt;MesCiclo),"",COUNTIF($P$5:$P230,MesCiclo))</f>
        <v/>
      </c>
      <c r="R230" s="70">
        <f>IF($S230="","",IF($S230="Macro",ROW(),IFERROR(LOOKUP(2,1/($S$5:$S230="Macro"),ROW($S$5:$S230)),0)))</f>
        <v/>
      </c>
      <c r="S230" s="70">
        <f>IF(NOT((COUNTA($B230:$K230)+COUNTA($N230))&gt;0),"",IF($B230&lt;&gt;"","Macro",IF($C230&lt;&gt;"","Sub","Macro")))</f>
        <v/>
      </c>
      <c r="T230" s="70">
        <f>IF($S230="Macro",COUNTIFS($R$5:$R$1000,ROW(),$S$5:$S$1000,"Sub"),"")</f>
        <v/>
      </c>
      <c r="U230" s="70">
        <f>IF($S230="","",IF(ISNUMBER($H230),$H230,0))</f>
        <v/>
      </c>
      <c r="V230" s="70">
        <f>IF($S230="","",IF(ISNUMBER($I230),$I230,$U230))</f>
        <v/>
      </c>
      <c r="W230" s="70">
        <f>IF($S230="","",IF(ISNUMBER($J230),$J230,$V230))</f>
        <v/>
      </c>
      <c r="X230" s="70">
        <f>IF($S230="","",IF(ISNUMBER($K230),$K230,$W230))</f>
        <v/>
      </c>
      <c r="Y230" s="70">
        <f>IF($S230="","",IF(N($T230)&gt;0,AVERAGEIFS($U$5:$U$1000,$R$5:$R$1000,ROW(),$S$5:$S$1000,"Sub"),$U230))</f>
        <v/>
      </c>
      <c r="Z230" s="70">
        <f>IF($S230="","",IF(N($T230)&gt;0,AVERAGEIFS($V$5:$V$1000,$R$5:$R$1000,ROW(),$S$5:$S$1000,"Sub"),$V230))</f>
        <v/>
      </c>
      <c r="AA230" s="70">
        <f>IF($S230="","",IF(N($T230)&gt;0,AVERAGEIFS($W$5:$W$1000,$R$5:$R$1000,ROW(),$S$5:$S$1000,"Sub"),$W230))</f>
        <v/>
      </c>
      <c r="AB230" s="70">
        <f>IF($S230="","",IF(N($T230)&gt;0,AVERAGEIFS($X$5:$X$1000,$R$5:$R$1000,ROW(),$S$5:$S$1000,"Sub"),$X230))</f>
        <v/>
      </c>
    </row>
    <row r="231">
      <c r="A231" s="61">
        <f>IF(NOT((COUNTA($B231:$K231)+COUNTA($N231))&gt;0),"",IF($S231="Macro",COUNTIFS($S$5:$S231,"Macro",$P$5:$P231,$P231),IF(N($R231)=0,"?",COUNTIFS(INDEX($S$5:$S$1000,1):INDEX($S$5:$S$1000,$R231-4),"Macro",INDEX($P$5:$P$1000,1):INDEX($P$5:$P$1000,$R231-4),INDEX($P$5:$P$1000,$R231-4))&amp;"."&amp;COUNTIFS($R$5:$R231,$R231,$S$5:$S231,"Sub"))))</f>
        <v/>
      </c>
      <c r="B231" s="62" t="n"/>
      <c r="C231" s="63" t="n"/>
      <c r="D231" s="62" t="n"/>
      <c r="E231" s="64" t="n"/>
      <c r="F231" s="64" t="n"/>
      <c r="G231" s="65" t="n"/>
      <c r="H231" s="66" t="n"/>
      <c r="I231" s="66" t="n"/>
      <c r="J231" s="66" t="n"/>
      <c r="K231" s="66" t="n"/>
      <c r="L231" s="67">
        <f>IF(NOT((COUNTA($B231:$K231)+COUNTA($N231))&gt;0),"",IF(N($T231)&gt;0,$AB231,IFERROR(LOOKUP(2,1/(H231:K231&lt;&gt;""),H231:K231),0)))</f>
        <v/>
      </c>
      <c r="M231" s="61">
        <f>IF(L231="","",IF(L231&gt;=1,"Completado",IF(L231&gt;0,"En curso","Pendiente")))</f>
        <v/>
      </c>
      <c r="N231" s="62" t="n"/>
      <c r="O231" s="68">
        <f>IF(NOT((COUNTA($B231:$K231)+COUNTA($N231))&gt;0),"",IF((IF(AND($S231="Macro",$B231=""),"Macroactividad vacía"&amp;" · ","")&amp;IF(AND($B231&lt;&gt;"",$C231&lt;&gt;""),"Escriba la subactividad en otra fila, debajo de su macroactividad"&amp;" · ","")&amp;IF(AND($S231="Sub",N($R231)=0),"Subactividad sin macroactividad arriba"&amp;" · ","")&amp;IF($D231="","Sin responsable"&amp;" · ","")&amp;IF($E231="","Sin fecha de inicio"&amp;" · ","")&amp;IF($F231="","Sin fecha límite"&amp;" · ","")&amp;IF(OR(AND($E231&lt;&gt;"",NOT(ISNUMBER($E231))),AND($F231&lt;&gt;"",NOT(ISNUMBER($F231)))),"Fecha no válida"&amp;" · ","")&amp;IF(AND(ISNUMBER($E231),ISNUMBER($F231),$E231&gt;$F231),"Inicio posterior a fecha límite"&amp;" · ","")&amp;IF(AND($S231="Macro",$G231=""),"Peso vacío"&amp;" · ","")&amp;IF(AND($S231="Macro",$G231&lt;&gt;"",OR(NOT(ISNUMBER($G231)),$G231&lt;=0,$G231&gt;1)),"Peso fuera de rango"&amp;" · ","")&amp;IF(AND($S231="Sub",$G231&lt;&gt;""),"Las subactividades no llevan peso"&amp;" · ","")&amp;IF(AND($S231="Macro",ABS(SUMIFS($G$5:$G$1000,$P$5:$P$1000,$P231,$S$5:$S$1000,"Macro")-1)&gt;0.0001),"Pesos del mes suman "&amp;TEXT(SUMIFS($G$5:$G$1000,$P$5:$P$1000,$P231,$S$5:$S$1000,"Macro"),"0%")&amp;" · ","")&amp;IF(AND(N($T231)&gt;0,COUNT($H231:$K231)&gt;0),"Con subactividades: deje vacías las semanas (se calculan solas)"&amp;" · ","")&amp;IF((COUNTIF($H231:$K231,"&gt;1")+COUNTIF($H231:$K231,"&lt;0")+COUNTA($H231:$K231)-COUNT($H231:$K231))&gt;0,"Avance fuera de rango 0-100%"&amp;" · ","")&amp;IF(OR(AND($I231&lt;&gt;"",$I231&lt;$H231),AND($J231&lt;&gt;"",$J231&lt;MAX($H231:$I231)),AND($K231&lt;&gt;"",$K231&lt;MAX($H231:$J231))),"Avance semanal decreciente"&amp;" · ","")&amp;IF(AND(ISNUMBER($F231),$F231&lt;FechaRef,N($L231)&lt;1),"Vencida"&amp;" · ","")&amp;IF(AND(ObsObligatoria="Sí",ISNUMBER($F231),$F231&lt;FechaRef,N($L231)&lt;1,$N231=""),"Vencida sin observación"&amp;" · ",""))="","✔ OK","⚠ "&amp;LEFT(IF(AND($S231="Macro",$B231=""),"Macroactividad vacía"&amp;" · ","")&amp;IF(AND($B231&lt;&gt;"",$C231&lt;&gt;""),"Escriba la subactividad en otra fila, debajo de su macroactividad"&amp;" · ","")&amp;IF(AND($S231="Sub",N($R231)=0),"Subactividad sin macroactividad arriba"&amp;" · ","")&amp;IF($D231="","Sin responsable"&amp;" · ","")&amp;IF($E231="","Sin fecha de inicio"&amp;" · ","")&amp;IF($F231="","Sin fecha límite"&amp;" · ","")&amp;IF(OR(AND($E231&lt;&gt;"",NOT(ISNUMBER($E231))),AND($F231&lt;&gt;"",NOT(ISNUMBER($F231)))),"Fecha no válida"&amp;" · ","")&amp;IF(AND(ISNUMBER($E231),ISNUMBER($F231),$E231&gt;$F231),"Inicio posterior a fecha límite"&amp;" · ","")&amp;IF(AND($S231="Macro",$G231=""),"Peso vacío"&amp;" · ","")&amp;IF(AND($S231="Macro",$G231&lt;&gt;"",OR(NOT(ISNUMBER($G231)),$G231&lt;=0,$G231&gt;1)),"Peso fuera de rango"&amp;" · ","")&amp;IF(AND($S231="Sub",$G231&lt;&gt;""),"Las subactividades no llevan peso"&amp;" · ","")&amp;IF(AND($S231="Macro",ABS(SUMIFS($G$5:$G$1000,$P$5:$P$1000,$P231,$S$5:$S$1000,"Macro")-1)&gt;0.0001),"Pesos del mes suman "&amp;TEXT(SUMIFS($G$5:$G$1000,$P$5:$P$1000,$P231,$S$5:$S$1000,"Macro"),"0%")&amp;" · ","")&amp;IF(AND(N($T231)&gt;0,COUNT($H231:$K231)&gt;0),"Con subactividades: deje vacías las semanas (se calculan solas)"&amp;" · ","")&amp;IF((COUNTIF($H231:$K231,"&gt;1")+COUNTIF($H231:$K231,"&lt;0")+COUNTA($H231:$K231)-COUNT($H231:$K231))&gt;0,"Avance fuera de rango 0-100%"&amp;" · ","")&amp;IF(OR(AND($I231&lt;&gt;"",$I231&lt;$H231),AND($J231&lt;&gt;"",$J231&lt;MAX($H231:$I231)),AND($K231&lt;&gt;"",$K231&lt;MAX($H231:$J231))),"Avance semanal decreciente"&amp;" · ","")&amp;IF(AND(ISNUMBER($F231),$F231&lt;FechaRef,N($L231)&lt;1),"Vencida"&amp;" · ","")&amp;IF(AND(ObsObligatoria="Sí",ISNUMBER($F231),$F231&lt;FechaRef,N($L231)&lt;1,$N231=""),"Vencida sin observación"&amp;" · ",""),LEN(IF(AND($S231="Macro",$B231=""),"Macroactividad vacía"&amp;" · ","")&amp;IF(AND($B231&lt;&gt;"",$C231&lt;&gt;""),"Escriba la subactividad en otra fila, debajo de su macroactividad"&amp;" · ","")&amp;IF(AND($S231="Sub",N($R231)=0),"Subactividad sin macroactividad arriba"&amp;" · ","")&amp;IF($D231="","Sin responsable"&amp;" · ","")&amp;IF($E231="","Sin fecha de inicio"&amp;" · ","")&amp;IF($F231="","Sin fecha límite"&amp;" · ","")&amp;IF(OR(AND($E231&lt;&gt;"",NOT(ISNUMBER($E231))),AND($F231&lt;&gt;"",NOT(ISNUMBER($F231)))),"Fecha no válida"&amp;" · ","")&amp;IF(AND(ISNUMBER($E231),ISNUMBER($F231),$E231&gt;$F231),"Inicio posterior a fecha límite"&amp;" · ","")&amp;IF(AND($S231="Macro",$G231=""),"Peso vacío"&amp;" · ","")&amp;IF(AND($S231="Macro",$G231&lt;&gt;"",OR(NOT(ISNUMBER($G231)),$G231&lt;=0,$G231&gt;1)),"Peso fuera de rango"&amp;" · ","")&amp;IF(AND($S231="Sub",$G231&lt;&gt;""),"Las subactividades no llevan peso"&amp;" · ","")&amp;IF(AND($S231="Macro",ABS(SUMIFS($G$5:$G$1000,$P$5:$P$1000,$P231,$S$5:$S$1000,"Macro")-1)&gt;0.0001),"Pesos del mes suman "&amp;TEXT(SUMIFS($G$5:$G$1000,$P$5:$P$1000,$P231,$S$5:$S$1000,"Macro"),"0%")&amp;" · ","")&amp;IF(AND(N($T231)&gt;0,COUNT($H231:$K231)&gt;0),"Con subactividades: deje vacías las semanas (se calculan solas)"&amp;" · ","")&amp;IF((COUNTIF($H231:$K231,"&gt;1")+COUNTIF($H231:$K231,"&lt;0")+COUNTA($H231:$K231)-COUNT($H231:$K231))&gt;0,"Avance fuera de rango 0-100%"&amp;" · ","")&amp;IF(OR(AND($I231&lt;&gt;"",$I231&lt;$H231),AND($J231&lt;&gt;"",$J231&lt;MAX($H231:$I231)),AND($K231&lt;&gt;"",$K231&lt;MAX($H231:$J231))),"Avance semanal decreciente"&amp;" · ","")&amp;IF(AND(ISNUMBER($F231),$F231&lt;FechaRef,N($L231)&lt;1),"Vencida"&amp;" · ","")&amp;IF(AND(ObsObligatoria="Sí",ISNUMBER($F231),$F231&lt;FechaRef,N($L231)&lt;1,$N231=""),"Vencida sin observación"&amp;" · ",""))-3)))</f>
        <v/>
      </c>
      <c r="P231" s="69">
        <f>IF(NOT((COUNTA($B231:$K231)+COUNTA($N231))&gt;0),"",IF(AND($S231="Sub",N($R231)&gt;0),IF(ISNUMBER(INDEX($E$5:$E$1000,$R231-4)),DATE(YEAR(INDEX($E$5:$E$1000,$R231-4)),MONTH(INDEX($E$5:$E$1000,$R231-4)),1),IF(ISNUMBER(INDEX($F$5:$F$1000,$R231-4)),DATE(YEAR(INDEX($F$5:$F$1000,$R231-4)),MONTH(INDEX($F$5:$F$1000,$R231-4)),1),MesCiclo)),IF(ISNUMBER($E231),DATE(YEAR($E231),MONTH($E231),1),IF(ISNUMBER($F231),DATE(YEAR($F231),MONTH($F231),1),MesCiclo))))</f>
        <v/>
      </c>
      <c r="Q231" s="70">
        <f>IF(OR($P231="",$P231&lt;&gt;MesCiclo),"",COUNTIF($P$5:$P231,MesCiclo))</f>
        <v/>
      </c>
      <c r="R231" s="70">
        <f>IF($S231="","",IF($S231="Macro",ROW(),IFERROR(LOOKUP(2,1/($S$5:$S231="Macro"),ROW($S$5:$S231)),0)))</f>
        <v/>
      </c>
      <c r="S231" s="70">
        <f>IF(NOT((COUNTA($B231:$K231)+COUNTA($N231))&gt;0),"",IF($B231&lt;&gt;"","Macro",IF($C231&lt;&gt;"","Sub","Macro")))</f>
        <v/>
      </c>
      <c r="T231" s="70">
        <f>IF($S231="Macro",COUNTIFS($R$5:$R$1000,ROW(),$S$5:$S$1000,"Sub"),"")</f>
        <v/>
      </c>
      <c r="U231" s="70">
        <f>IF($S231="","",IF(ISNUMBER($H231),$H231,0))</f>
        <v/>
      </c>
      <c r="V231" s="70">
        <f>IF($S231="","",IF(ISNUMBER($I231),$I231,$U231))</f>
        <v/>
      </c>
      <c r="W231" s="70">
        <f>IF($S231="","",IF(ISNUMBER($J231),$J231,$V231))</f>
        <v/>
      </c>
      <c r="X231" s="70">
        <f>IF($S231="","",IF(ISNUMBER($K231),$K231,$W231))</f>
        <v/>
      </c>
      <c r="Y231" s="70">
        <f>IF($S231="","",IF(N($T231)&gt;0,AVERAGEIFS($U$5:$U$1000,$R$5:$R$1000,ROW(),$S$5:$S$1000,"Sub"),$U231))</f>
        <v/>
      </c>
      <c r="Z231" s="70">
        <f>IF($S231="","",IF(N($T231)&gt;0,AVERAGEIFS($V$5:$V$1000,$R$5:$R$1000,ROW(),$S$5:$S$1000,"Sub"),$V231))</f>
        <v/>
      </c>
      <c r="AA231" s="70">
        <f>IF($S231="","",IF(N($T231)&gt;0,AVERAGEIFS($W$5:$W$1000,$R$5:$R$1000,ROW(),$S$5:$S$1000,"Sub"),$W231))</f>
        <v/>
      </c>
      <c r="AB231" s="70">
        <f>IF($S231="","",IF(N($T231)&gt;0,AVERAGEIFS($X$5:$X$1000,$R$5:$R$1000,ROW(),$S$5:$S$1000,"Sub"),$X231))</f>
        <v/>
      </c>
    </row>
    <row r="232">
      <c r="A232" s="61">
        <f>IF(NOT((COUNTA($B232:$K232)+COUNTA($N232))&gt;0),"",IF($S232="Macro",COUNTIFS($S$5:$S232,"Macro",$P$5:$P232,$P232),IF(N($R232)=0,"?",COUNTIFS(INDEX($S$5:$S$1000,1):INDEX($S$5:$S$1000,$R232-4),"Macro",INDEX($P$5:$P$1000,1):INDEX($P$5:$P$1000,$R232-4),INDEX($P$5:$P$1000,$R232-4))&amp;"."&amp;COUNTIFS($R$5:$R232,$R232,$S$5:$S232,"Sub"))))</f>
        <v/>
      </c>
      <c r="B232" s="62" t="n"/>
      <c r="C232" s="63" t="n"/>
      <c r="D232" s="62" t="n"/>
      <c r="E232" s="64" t="n"/>
      <c r="F232" s="64" t="n"/>
      <c r="G232" s="65" t="n"/>
      <c r="H232" s="66" t="n"/>
      <c r="I232" s="66" t="n"/>
      <c r="J232" s="66" t="n"/>
      <c r="K232" s="66" t="n"/>
      <c r="L232" s="67">
        <f>IF(NOT((COUNTA($B232:$K232)+COUNTA($N232))&gt;0),"",IF(N($T232)&gt;0,$AB232,IFERROR(LOOKUP(2,1/(H232:K232&lt;&gt;""),H232:K232),0)))</f>
        <v/>
      </c>
      <c r="M232" s="61">
        <f>IF(L232="","",IF(L232&gt;=1,"Completado",IF(L232&gt;0,"En curso","Pendiente")))</f>
        <v/>
      </c>
      <c r="N232" s="62" t="n"/>
      <c r="O232" s="68">
        <f>IF(NOT((COUNTA($B232:$K232)+COUNTA($N232))&gt;0),"",IF((IF(AND($S232="Macro",$B232=""),"Macroactividad vacía"&amp;" · ","")&amp;IF(AND($B232&lt;&gt;"",$C232&lt;&gt;""),"Escriba la subactividad en otra fila, debajo de su macroactividad"&amp;" · ","")&amp;IF(AND($S232="Sub",N($R232)=0),"Subactividad sin macroactividad arriba"&amp;" · ","")&amp;IF($D232="","Sin responsable"&amp;" · ","")&amp;IF($E232="","Sin fecha de inicio"&amp;" · ","")&amp;IF($F232="","Sin fecha límite"&amp;" · ","")&amp;IF(OR(AND($E232&lt;&gt;"",NOT(ISNUMBER($E232))),AND($F232&lt;&gt;"",NOT(ISNUMBER($F232)))),"Fecha no válida"&amp;" · ","")&amp;IF(AND(ISNUMBER($E232),ISNUMBER($F232),$E232&gt;$F232),"Inicio posterior a fecha límite"&amp;" · ","")&amp;IF(AND($S232="Macro",$G232=""),"Peso vacío"&amp;" · ","")&amp;IF(AND($S232="Macro",$G232&lt;&gt;"",OR(NOT(ISNUMBER($G232)),$G232&lt;=0,$G232&gt;1)),"Peso fuera de rango"&amp;" · ","")&amp;IF(AND($S232="Sub",$G232&lt;&gt;""),"Las subactividades no llevan peso"&amp;" · ","")&amp;IF(AND($S232="Macro",ABS(SUMIFS($G$5:$G$1000,$P$5:$P$1000,$P232,$S$5:$S$1000,"Macro")-1)&gt;0.0001),"Pesos del mes suman "&amp;TEXT(SUMIFS($G$5:$G$1000,$P$5:$P$1000,$P232,$S$5:$S$1000,"Macro"),"0%")&amp;" · ","")&amp;IF(AND(N($T232)&gt;0,COUNT($H232:$K232)&gt;0),"Con subactividades: deje vacías las semanas (se calculan solas)"&amp;" · ","")&amp;IF((COUNTIF($H232:$K232,"&gt;1")+COUNTIF($H232:$K232,"&lt;0")+COUNTA($H232:$K232)-COUNT($H232:$K232))&gt;0,"Avance fuera de rango 0-100%"&amp;" · ","")&amp;IF(OR(AND($I232&lt;&gt;"",$I232&lt;$H232),AND($J232&lt;&gt;"",$J232&lt;MAX($H232:$I232)),AND($K232&lt;&gt;"",$K232&lt;MAX($H232:$J232))),"Avance semanal decreciente"&amp;" · ","")&amp;IF(AND(ISNUMBER($F232),$F232&lt;FechaRef,N($L232)&lt;1),"Vencida"&amp;" · ","")&amp;IF(AND(ObsObligatoria="Sí",ISNUMBER($F232),$F232&lt;FechaRef,N($L232)&lt;1,$N232=""),"Vencida sin observación"&amp;" · ",""))="","✔ OK","⚠ "&amp;LEFT(IF(AND($S232="Macro",$B232=""),"Macroactividad vacía"&amp;" · ","")&amp;IF(AND($B232&lt;&gt;"",$C232&lt;&gt;""),"Escriba la subactividad en otra fila, debajo de su macroactividad"&amp;" · ","")&amp;IF(AND($S232="Sub",N($R232)=0),"Subactividad sin macroactividad arriba"&amp;" · ","")&amp;IF($D232="","Sin responsable"&amp;" · ","")&amp;IF($E232="","Sin fecha de inicio"&amp;" · ","")&amp;IF($F232="","Sin fecha límite"&amp;" · ","")&amp;IF(OR(AND($E232&lt;&gt;"",NOT(ISNUMBER($E232))),AND($F232&lt;&gt;"",NOT(ISNUMBER($F232)))),"Fecha no válida"&amp;" · ","")&amp;IF(AND(ISNUMBER($E232),ISNUMBER($F232),$E232&gt;$F232),"Inicio posterior a fecha límite"&amp;" · ","")&amp;IF(AND($S232="Macro",$G232=""),"Peso vacío"&amp;" · ","")&amp;IF(AND($S232="Macro",$G232&lt;&gt;"",OR(NOT(ISNUMBER($G232)),$G232&lt;=0,$G232&gt;1)),"Peso fuera de rango"&amp;" · ","")&amp;IF(AND($S232="Sub",$G232&lt;&gt;""),"Las subactividades no llevan peso"&amp;" · ","")&amp;IF(AND($S232="Macro",ABS(SUMIFS($G$5:$G$1000,$P$5:$P$1000,$P232,$S$5:$S$1000,"Macro")-1)&gt;0.0001),"Pesos del mes suman "&amp;TEXT(SUMIFS($G$5:$G$1000,$P$5:$P$1000,$P232,$S$5:$S$1000,"Macro"),"0%")&amp;" · ","")&amp;IF(AND(N($T232)&gt;0,COUNT($H232:$K232)&gt;0),"Con subactividades: deje vacías las semanas (se calculan solas)"&amp;" · ","")&amp;IF((COUNTIF($H232:$K232,"&gt;1")+COUNTIF($H232:$K232,"&lt;0")+COUNTA($H232:$K232)-COUNT($H232:$K232))&gt;0,"Avance fuera de rango 0-100%"&amp;" · ","")&amp;IF(OR(AND($I232&lt;&gt;"",$I232&lt;$H232),AND($J232&lt;&gt;"",$J232&lt;MAX($H232:$I232)),AND($K232&lt;&gt;"",$K232&lt;MAX($H232:$J232))),"Avance semanal decreciente"&amp;" · ","")&amp;IF(AND(ISNUMBER($F232),$F232&lt;FechaRef,N($L232)&lt;1),"Vencida"&amp;" · ","")&amp;IF(AND(ObsObligatoria="Sí",ISNUMBER($F232),$F232&lt;FechaRef,N($L232)&lt;1,$N232=""),"Vencida sin observación"&amp;" · ",""),LEN(IF(AND($S232="Macro",$B232=""),"Macroactividad vacía"&amp;" · ","")&amp;IF(AND($B232&lt;&gt;"",$C232&lt;&gt;""),"Escriba la subactividad en otra fila, debajo de su macroactividad"&amp;" · ","")&amp;IF(AND($S232="Sub",N($R232)=0),"Subactividad sin macroactividad arriba"&amp;" · ","")&amp;IF($D232="","Sin responsable"&amp;" · ","")&amp;IF($E232="","Sin fecha de inicio"&amp;" · ","")&amp;IF($F232="","Sin fecha límite"&amp;" · ","")&amp;IF(OR(AND($E232&lt;&gt;"",NOT(ISNUMBER($E232))),AND($F232&lt;&gt;"",NOT(ISNUMBER($F232)))),"Fecha no válida"&amp;" · ","")&amp;IF(AND(ISNUMBER($E232),ISNUMBER($F232),$E232&gt;$F232),"Inicio posterior a fecha límite"&amp;" · ","")&amp;IF(AND($S232="Macro",$G232=""),"Peso vacío"&amp;" · ","")&amp;IF(AND($S232="Macro",$G232&lt;&gt;"",OR(NOT(ISNUMBER($G232)),$G232&lt;=0,$G232&gt;1)),"Peso fuera de rango"&amp;" · ","")&amp;IF(AND($S232="Sub",$G232&lt;&gt;""),"Las subactividades no llevan peso"&amp;" · ","")&amp;IF(AND($S232="Macro",ABS(SUMIFS($G$5:$G$1000,$P$5:$P$1000,$P232,$S$5:$S$1000,"Macro")-1)&gt;0.0001),"Pesos del mes suman "&amp;TEXT(SUMIFS($G$5:$G$1000,$P$5:$P$1000,$P232,$S$5:$S$1000,"Macro"),"0%")&amp;" · ","")&amp;IF(AND(N($T232)&gt;0,COUNT($H232:$K232)&gt;0),"Con subactividades: deje vacías las semanas (se calculan solas)"&amp;" · ","")&amp;IF((COUNTIF($H232:$K232,"&gt;1")+COUNTIF($H232:$K232,"&lt;0")+COUNTA($H232:$K232)-COUNT($H232:$K232))&gt;0,"Avance fuera de rango 0-100%"&amp;" · ","")&amp;IF(OR(AND($I232&lt;&gt;"",$I232&lt;$H232),AND($J232&lt;&gt;"",$J232&lt;MAX($H232:$I232)),AND($K232&lt;&gt;"",$K232&lt;MAX($H232:$J232))),"Avance semanal decreciente"&amp;" · ","")&amp;IF(AND(ISNUMBER($F232),$F232&lt;FechaRef,N($L232)&lt;1),"Vencida"&amp;" · ","")&amp;IF(AND(ObsObligatoria="Sí",ISNUMBER($F232),$F232&lt;FechaRef,N($L232)&lt;1,$N232=""),"Vencida sin observación"&amp;" · ",""))-3)))</f>
        <v/>
      </c>
      <c r="P232" s="69">
        <f>IF(NOT((COUNTA($B232:$K232)+COUNTA($N232))&gt;0),"",IF(AND($S232="Sub",N($R232)&gt;0),IF(ISNUMBER(INDEX($E$5:$E$1000,$R232-4)),DATE(YEAR(INDEX($E$5:$E$1000,$R232-4)),MONTH(INDEX($E$5:$E$1000,$R232-4)),1),IF(ISNUMBER(INDEX($F$5:$F$1000,$R232-4)),DATE(YEAR(INDEX($F$5:$F$1000,$R232-4)),MONTH(INDEX($F$5:$F$1000,$R232-4)),1),MesCiclo)),IF(ISNUMBER($E232),DATE(YEAR($E232),MONTH($E232),1),IF(ISNUMBER($F232),DATE(YEAR($F232),MONTH($F232),1),MesCiclo))))</f>
        <v/>
      </c>
      <c r="Q232" s="70">
        <f>IF(OR($P232="",$P232&lt;&gt;MesCiclo),"",COUNTIF($P$5:$P232,MesCiclo))</f>
        <v/>
      </c>
      <c r="R232" s="70">
        <f>IF($S232="","",IF($S232="Macro",ROW(),IFERROR(LOOKUP(2,1/($S$5:$S232="Macro"),ROW($S$5:$S232)),0)))</f>
        <v/>
      </c>
      <c r="S232" s="70">
        <f>IF(NOT((COUNTA($B232:$K232)+COUNTA($N232))&gt;0),"",IF($B232&lt;&gt;"","Macro",IF($C232&lt;&gt;"","Sub","Macro")))</f>
        <v/>
      </c>
      <c r="T232" s="70">
        <f>IF($S232="Macro",COUNTIFS($R$5:$R$1000,ROW(),$S$5:$S$1000,"Sub"),"")</f>
        <v/>
      </c>
      <c r="U232" s="70">
        <f>IF($S232="","",IF(ISNUMBER($H232),$H232,0))</f>
        <v/>
      </c>
      <c r="V232" s="70">
        <f>IF($S232="","",IF(ISNUMBER($I232),$I232,$U232))</f>
        <v/>
      </c>
      <c r="W232" s="70">
        <f>IF($S232="","",IF(ISNUMBER($J232),$J232,$V232))</f>
        <v/>
      </c>
      <c r="X232" s="70">
        <f>IF($S232="","",IF(ISNUMBER($K232),$K232,$W232))</f>
        <v/>
      </c>
      <c r="Y232" s="70">
        <f>IF($S232="","",IF(N($T232)&gt;0,AVERAGEIFS($U$5:$U$1000,$R$5:$R$1000,ROW(),$S$5:$S$1000,"Sub"),$U232))</f>
        <v/>
      </c>
      <c r="Z232" s="70">
        <f>IF($S232="","",IF(N($T232)&gt;0,AVERAGEIFS($V$5:$V$1000,$R$5:$R$1000,ROW(),$S$5:$S$1000,"Sub"),$V232))</f>
        <v/>
      </c>
      <c r="AA232" s="70">
        <f>IF($S232="","",IF(N($T232)&gt;0,AVERAGEIFS($W$5:$W$1000,$R$5:$R$1000,ROW(),$S$5:$S$1000,"Sub"),$W232))</f>
        <v/>
      </c>
      <c r="AB232" s="70">
        <f>IF($S232="","",IF(N($T232)&gt;0,AVERAGEIFS($X$5:$X$1000,$R$5:$R$1000,ROW(),$S$5:$S$1000,"Sub"),$X232))</f>
        <v/>
      </c>
    </row>
    <row r="233">
      <c r="A233" s="61">
        <f>IF(NOT((COUNTA($B233:$K233)+COUNTA($N233))&gt;0),"",IF($S233="Macro",COUNTIFS($S$5:$S233,"Macro",$P$5:$P233,$P233),IF(N($R233)=0,"?",COUNTIFS(INDEX($S$5:$S$1000,1):INDEX($S$5:$S$1000,$R233-4),"Macro",INDEX($P$5:$P$1000,1):INDEX($P$5:$P$1000,$R233-4),INDEX($P$5:$P$1000,$R233-4))&amp;"."&amp;COUNTIFS($R$5:$R233,$R233,$S$5:$S233,"Sub"))))</f>
        <v/>
      </c>
      <c r="B233" s="62" t="n"/>
      <c r="C233" s="63" t="n"/>
      <c r="D233" s="62" t="n"/>
      <c r="E233" s="64" t="n"/>
      <c r="F233" s="64" t="n"/>
      <c r="G233" s="65" t="n"/>
      <c r="H233" s="66" t="n"/>
      <c r="I233" s="66" t="n"/>
      <c r="J233" s="66" t="n"/>
      <c r="K233" s="66" t="n"/>
      <c r="L233" s="67">
        <f>IF(NOT((COUNTA($B233:$K233)+COUNTA($N233))&gt;0),"",IF(N($T233)&gt;0,$AB233,IFERROR(LOOKUP(2,1/(H233:K233&lt;&gt;""),H233:K233),0)))</f>
        <v/>
      </c>
      <c r="M233" s="61">
        <f>IF(L233="","",IF(L233&gt;=1,"Completado",IF(L233&gt;0,"En curso","Pendiente")))</f>
        <v/>
      </c>
      <c r="N233" s="62" t="n"/>
      <c r="O233" s="68">
        <f>IF(NOT((COUNTA($B233:$K233)+COUNTA($N233))&gt;0),"",IF((IF(AND($S233="Macro",$B233=""),"Macroactividad vacía"&amp;" · ","")&amp;IF(AND($B233&lt;&gt;"",$C233&lt;&gt;""),"Escriba la subactividad en otra fila, debajo de su macroactividad"&amp;" · ","")&amp;IF(AND($S233="Sub",N($R233)=0),"Subactividad sin macroactividad arriba"&amp;" · ","")&amp;IF($D233="","Sin responsable"&amp;" · ","")&amp;IF($E233="","Sin fecha de inicio"&amp;" · ","")&amp;IF($F233="","Sin fecha límite"&amp;" · ","")&amp;IF(OR(AND($E233&lt;&gt;"",NOT(ISNUMBER($E233))),AND($F233&lt;&gt;"",NOT(ISNUMBER($F233)))),"Fecha no válida"&amp;" · ","")&amp;IF(AND(ISNUMBER($E233),ISNUMBER($F233),$E233&gt;$F233),"Inicio posterior a fecha límite"&amp;" · ","")&amp;IF(AND($S233="Macro",$G233=""),"Peso vacío"&amp;" · ","")&amp;IF(AND($S233="Macro",$G233&lt;&gt;"",OR(NOT(ISNUMBER($G233)),$G233&lt;=0,$G233&gt;1)),"Peso fuera de rango"&amp;" · ","")&amp;IF(AND($S233="Sub",$G233&lt;&gt;""),"Las subactividades no llevan peso"&amp;" · ","")&amp;IF(AND($S233="Macro",ABS(SUMIFS($G$5:$G$1000,$P$5:$P$1000,$P233,$S$5:$S$1000,"Macro")-1)&gt;0.0001),"Pesos del mes suman "&amp;TEXT(SUMIFS($G$5:$G$1000,$P$5:$P$1000,$P233,$S$5:$S$1000,"Macro"),"0%")&amp;" · ","")&amp;IF(AND(N($T233)&gt;0,COUNT($H233:$K233)&gt;0),"Con subactividades: deje vacías las semanas (se calculan solas)"&amp;" · ","")&amp;IF((COUNTIF($H233:$K233,"&gt;1")+COUNTIF($H233:$K233,"&lt;0")+COUNTA($H233:$K233)-COUNT($H233:$K233))&gt;0,"Avance fuera de rango 0-100%"&amp;" · ","")&amp;IF(OR(AND($I233&lt;&gt;"",$I233&lt;$H233),AND($J233&lt;&gt;"",$J233&lt;MAX($H233:$I233)),AND($K233&lt;&gt;"",$K233&lt;MAX($H233:$J233))),"Avance semanal decreciente"&amp;" · ","")&amp;IF(AND(ISNUMBER($F233),$F233&lt;FechaRef,N($L233)&lt;1),"Vencida"&amp;" · ","")&amp;IF(AND(ObsObligatoria="Sí",ISNUMBER($F233),$F233&lt;FechaRef,N($L233)&lt;1,$N233=""),"Vencida sin observación"&amp;" · ",""))="","✔ OK","⚠ "&amp;LEFT(IF(AND($S233="Macro",$B233=""),"Macroactividad vacía"&amp;" · ","")&amp;IF(AND($B233&lt;&gt;"",$C233&lt;&gt;""),"Escriba la subactividad en otra fila, debajo de su macroactividad"&amp;" · ","")&amp;IF(AND($S233="Sub",N($R233)=0),"Subactividad sin macroactividad arriba"&amp;" · ","")&amp;IF($D233="","Sin responsable"&amp;" · ","")&amp;IF($E233="","Sin fecha de inicio"&amp;" · ","")&amp;IF($F233="","Sin fecha límite"&amp;" · ","")&amp;IF(OR(AND($E233&lt;&gt;"",NOT(ISNUMBER($E233))),AND($F233&lt;&gt;"",NOT(ISNUMBER($F233)))),"Fecha no válida"&amp;" · ","")&amp;IF(AND(ISNUMBER($E233),ISNUMBER($F233),$E233&gt;$F233),"Inicio posterior a fecha límite"&amp;" · ","")&amp;IF(AND($S233="Macro",$G233=""),"Peso vacío"&amp;" · ","")&amp;IF(AND($S233="Macro",$G233&lt;&gt;"",OR(NOT(ISNUMBER($G233)),$G233&lt;=0,$G233&gt;1)),"Peso fuera de rango"&amp;" · ","")&amp;IF(AND($S233="Sub",$G233&lt;&gt;""),"Las subactividades no llevan peso"&amp;" · ","")&amp;IF(AND($S233="Macro",ABS(SUMIFS($G$5:$G$1000,$P$5:$P$1000,$P233,$S$5:$S$1000,"Macro")-1)&gt;0.0001),"Pesos del mes suman "&amp;TEXT(SUMIFS($G$5:$G$1000,$P$5:$P$1000,$P233,$S$5:$S$1000,"Macro"),"0%")&amp;" · ","")&amp;IF(AND(N($T233)&gt;0,COUNT($H233:$K233)&gt;0),"Con subactividades: deje vacías las semanas (se calculan solas)"&amp;" · ","")&amp;IF((COUNTIF($H233:$K233,"&gt;1")+COUNTIF($H233:$K233,"&lt;0")+COUNTA($H233:$K233)-COUNT($H233:$K233))&gt;0,"Avance fuera de rango 0-100%"&amp;" · ","")&amp;IF(OR(AND($I233&lt;&gt;"",$I233&lt;$H233),AND($J233&lt;&gt;"",$J233&lt;MAX($H233:$I233)),AND($K233&lt;&gt;"",$K233&lt;MAX($H233:$J233))),"Avance semanal decreciente"&amp;" · ","")&amp;IF(AND(ISNUMBER($F233),$F233&lt;FechaRef,N($L233)&lt;1),"Vencida"&amp;" · ","")&amp;IF(AND(ObsObligatoria="Sí",ISNUMBER($F233),$F233&lt;FechaRef,N($L233)&lt;1,$N233=""),"Vencida sin observación"&amp;" · ",""),LEN(IF(AND($S233="Macro",$B233=""),"Macroactividad vacía"&amp;" · ","")&amp;IF(AND($B233&lt;&gt;"",$C233&lt;&gt;""),"Escriba la subactividad en otra fila, debajo de su macroactividad"&amp;" · ","")&amp;IF(AND($S233="Sub",N($R233)=0),"Subactividad sin macroactividad arriba"&amp;" · ","")&amp;IF($D233="","Sin responsable"&amp;" · ","")&amp;IF($E233="","Sin fecha de inicio"&amp;" · ","")&amp;IF($F233="","Sin fecha límite"&amp;" · ","")&amp;IF(OR(AND($E233&lt;&gt;"",NOT(ISNUMBER($E233))),AND($F233&lt;&gt;"",NOT(ISNUMBER($F233)))),"Fecha no válida"&amp;" · ","")&amp;IF(AND(ISNUMBER($E233),ISNUMBER($F233),$E233&gt;$F233),"Inicio posterior a fecha límite"&amp;" · ","")&amp;IF(AND($S233="Macro",$G233=""),"Peso vacío"&amp;" · ","")&amp;IF(AND($S233="Macro",$G233&lt;&gt;"",OR(NOT(ISNUMBER($G233)),$G233&lt;=0,$G233&gt;1)),"Peso fuera de rango"&amp;" · ","")&amp;IF(AND($S233="Sub",$G233&lt;&gt;""),"Las subactividades no llevan peso"&amp;" · ","")&amp;IF(AND($S233="Macro",ABS(SUMIFS($G$5:$G$1000,$P$5:$P$1000,$P233,$S$5:$S$1000,"Macro")-1)&gt;0.0001),"Pesos del mes suman "&amp;TEXT(SUMIFS($G$5:$G$1000,$P$5:$P$1000,$P233,$S$5:$S$1000,"Macro"),"0%")&amp;" · ","")&amp;IF(AND(N($T233)&gt;0,COUNT($H233:$K233)&gt;0),"Con subactividades: deje vacías las semanas (se calculan solas)"&amp;" · ","")&amp;IF((COUNTIF($H233:$K233,"&gt;1")+COUNTIF($H233:$K233,"&lt;0")+COUNTA($H233:$K233)-COUNT($H233:$K233))&gt;0,"Avance fuera de rango 0-100%"&amp;" · ","")&amp;IF(OR(AND($I233&lt;&gt;"",$I233&lt;$H233),AND($J233&lt;&gt;"",$J233&lt;MAX($H233:$I233)),AND($K233&lt;&gt;"",$K233&lt;MAX($H233:$J233))),"Avance semanal decreciente"&amp;" · ","")&amp;IF(AND(ISNUMBER($F233),$F233&lt;FechaRef,N($L233)&lt;1),"Vencida"&amp;" · ","")&amp;IF(AND(ObsObligatoria="Sí",ISNUMBER($F233),$F233&lt;FechaRef,N($L233)&lt;1,$N233=""),"Vencida sin observación"&amp;" · ",""))-3)))</f>
        <v/>
      </c>
      <c r="P233" s="69">
        <f>IF(NOT((COUNTA($B233:$K233)+COUNTA($N233))&gt;0),"",IF(AND($S233="Sub",N($R233)&gt;0),IF(ISNUMBER(INDEX($E$5:$E$1000,$R233-4)),DATE(YEAR(INDEX($E$5:$E$1000,$R233-4)),MONTH(INDEX($E$5:$E$1000,$R233-4)),1),IF(ISNUMBER(INDEX($F$5:$F$1000,$R233-4)),DATE(YEAR(INDEX($F$5:$F$1000,$R233-4)),MONTH(INDEX($F$5:$F$1000,$R233-4)),1),MesCiclo)),IF(ISNUMBER($E233),DATE(YEAR($E233),MONTH($E233),1),IF(ISNUMBER($F233),DATE(YEAR($F233),MONTH($F233),1),MesCiclo))))</f>
        <v/>
      </c>
      <c r="Q233" s="70">
        <f>IF(OR($P233="",$P233&lt;&gt;MesCiclo),"",COUNTIF($P$5:$P233,MesCiclo))</f>
        <v/>
      </c>
      <c r="R233" s="70">
        <f>IF($S233="","",IF($S233="Macro",ROW(),IFERROR(LOOKUP(2,1/($S$5:$S233="Macro"),ROW($S$5:$S233)),0)))</f>
        <v/>
      </c>
      <c r="S233" s="70">
        <f>IF(NOT((COUNTA($B233:$K233)+COUNTA($N233))&gt;0),"",IF($B233&lt;&gt;"","Macro",IF($C233&lt;&gt;"","Sub","Macro")))</f>
        <v/>
      </c>
      <c r="T233" s="70">
        <f>IF($S233="Macro",COUNTIFS($R$5:$R$1000,ROW(),$S$5:$S$1000,"Sub"),"")</f>
        <v/>
      </c>
      <c r="U233" s="70">
        <f>IF($S233="","",IF(ISNUMBER($H233),$H233,0))</f>
        <v/>
      </c>
      <c r="V233" s="70">
        <f>IF($S233="","",IF(ISNUMBER($I233),$I233,$U233))</f>
        <v/>
      </c>
      <c r="W233" s="70">
        <f>IF($S233="","",IF(ISNUMBER($J233),$J233,$V233))</f>
        <v/>
      </c>
      <c r="X233" s="70">
        <f>IF($S233="","",IF(ISNUMBER($K233),$K233,$W233))</f>
        <v/>
      </c>
      <c r="Y233" s="70">
        <f>IF($S233="","",IF(N($T233)&gt;0,AVERAGEIFS($U$5:$U$1000,$R$5:$R$1000,ROW(),$S$5:$S$1000,"Sub"),$U233))</f>
        <v/>
      </c>
      <c r="Z233" s="70">
        <f>IF($S233="","",IF(N($T233)&gt;0,AVERAGEIFS($V$5:$V$1000,$R$5:$R$1000,ROW(),$S$5:$S$1000,"Sub"),$V233))</f>
        <v/>
      </c>
      <c r="AA233" s="70">
        <f>IF($S233="","",IF(N($T233)&gt;0,AVERAGEIFS($W$5:$W$1000,$R$5:$R$1000,ROW(),$S$5:$S$1000,"Sub"),$W233))</f>
        <v/>
      </c>
      <c r="AB233" s="70">
        <f>IF($S233="","",IF(N($T233)&gt;0,AVERAGEIFS($X$5:$X$1000,$R$5:$R$1000,ROW(),$S$5:$S$1000,"Sub"),$X233))</f>
        <v/>
      </c>
    </row>
    <row r="234">
      <c r="A234" s="61">
        <f>IF(NOT((COUNTA($B234:$K234)+COUNTA($N234))&gt;0),"",IF($S234="Macro",COUNTIFS($S$5:$S234,"Macro",$P$5:$P234,$P234),IF(N($R234)=0,"?",COUNTIFS(INDEX($S$5:$S$1000,1):INDEX($S$5:$S$1000,$R234-4),"Macro",INDEX($P$5:$P$1000,1):INDEX($P$5:$P$1000,$R234-4),INDEX($P$5:$P$1000,$R234-4))&amp;"."&amp;COUNTIFS($R$5:$R234,$R234,$S$5:$S234,"Sub"))))</f>
        <v/>
      </c>
      <c r="B234" s="62" t="n"/>
      <c r="C234" s="63" t="n"/>
      <c r="D234" s="62" t="n"/>
      <c r="E234" s="64" t="n"/>
      <c r="F234" s="64" t="n"/>
      <c r="G234" s="65" t="n"/>
      <c r="H234" s="66" t="n"/>
      <c r="I234" s="66" t="n"/>
      <c r="J234" s="66" t="n"/>
      <c r="K234" s="66" t="n"/>
      <c r="L234" s="67">
        <f>IF(NOT((COUNTA($B234:$K234)+COUNTA($N234))&gt;0),"",IF(N($T234)&gt;0,$AB234,IFERROR(LOOKUP(2,1/(H234:K234&lt;&gt;""),H234:K234),0)))</f>
        <v/>
      </c>
      <c r="M234" s="61">
        <f>IF(L234="","",IF(L234&gt;=1,"Completado",IF(L234&gt;0,"En curso","Pendiente")))</f>
        <v/>
      </c>
      <c r="N234" s="62" t="n"/>
      <c r="O234" s="68">
        <f>IF(NOT((COUNTA($B234:$K234)+COUNTA($N234))&gt;0),"",IF((IF(AND($S234="Macro",$B234=""),"Macroactividad vacía"&amp;" · ","")&amp;IF(AND($B234&lt;&gt;"",$C234&lt;&gt;""),"Escriba la subactividad en otra fila, debajo de su macroactividad"&amp;" · ","")&amp;IF(AND($S234="Sub",N($R234)=0),"Subactividad sin macroactividad arriba"&amp;" · ","")&amp;IF($D234="","Sin responsable"&amp;" · ","")&amp;IF($E234="","Sin fecha de inicio"&amp;" · ","")&amp;IF($F234="","Sin fecha límite"&amp;" · ","")&amp;IF(OR(AND($E234&lt;&gt;"",NOT(ISNUMBER($E234))),AND($F234&lt;&gt;"",NOT(ISNUMBER($F234)))),"Fecha no válida"&amp;" · ","")&amp;IF(AND(ISNUMBER($E234),ISNUMBER($F234),$E234&gt;$F234),"Inicio posterior a fecha límite"&amp;" · ","")&amp;IF(AND($S234="Macro",$G234=""),"Peso vacío"&amp;" · ","")&amp;IF(AND($S234="Macro",$G234&lt;&gt;"",OR(NOT(ISNUMBER($G234)),$G234&lt;=0,$G234&gt;1)),"Peso fuera de rango"&amp;" · ","")&amp;IF(AND($S234="Sub",$G234&lt;&gt;""),"Las subactividades no llevan peso"&amp;" · ","")&amp;IF(AND($S234="Macro",ABS(SUMIFS($G$5:$G$1000,$P$5:$P$1000,$P234,$S$5:$S$1000,"Macro")-1)&gt;0.0001),"Pesos del mes suman "&amp;TEXT(SUMIFS($G$5:$G$1000,$P$5:$P$1000,$P234,$S$5:$S$1000,"Macro"),"0%")&amp;" · ","")&amp;IF(AND(N($T234)&gt;0,COUNT($H234:$K234)&gt;0),"Con subactividades: deje vacías las semanas (se calculan solas)"&amp;" · ","")&amp;IF((COUNTIF($H234:$K234,"&gt;1")+COUNTIF($H234:$K234,"&lt;0")+COUNTA($H234:$K234)-COUNT($H234:$K234))&gt;0,"Avance fuera de rango 0-100%"&amp;" · ","")&amp;IF(OR(AND($I234&lt;&gt;"",$I234&lt;$H234),AND($J234&lt;&gt;"",$J234&lt;MAX($H234:$I234)),AND($K234&lt;&gt;"",$K234&lt;MAX($H234:$J234))),"Avance semanal decreciente"&amp;" · ","")&amp;IF(AND(ISNUMBER($F234),$F234&lt;FechaRef,N($L234)&lt;1),"Vencida"&amp;" · ","")&amp;IF(AND(ObsObligatoria="Sí",ISNUMBER($F234),$F234&lt;FechaRef,N($L234)&lt;1,$N234=""),"Vencida sin observación"&amp;" · ",""))="","✔ OK","⚠ "&amp;LEFT(IF(AND($S234="Macro",$B234=""),"Macroactividad vacía"&amp;" · ","")&amp;IF(AND($B234&lt;&gt;"",$C234&lt;&gt;""),"Escriba la subactividad en otra fila, debajo de su macroactividad"&amp;" · ","")&amp;IF(AND($S234="Sub",N($R234)=0),"Subactividad sin macroactividad arriba"&amp;" · ","")&amp;IF($D234="","Sin responsable"&amp;" · ","")&amp;IF($E234="","Sin fecha de inicio"&amp;" · ","")&amp;IF($F234="","Sin fecha límite"&amp;" · ","")&amp;IF(OR(AND($E234&lt;&gt;"",NOT(ISNUMBER($E234))),AND($F234&lt;&gt;"",NOT(ISNUMBER($F234)))),"Fecha no válida"&amp;" · ","")&amp;IF(AND(ISNUMBER($E234),ISNUMBER($F234),$E234&gt;$F234),"Inicio posterior a fecha límite"&amp;" · ","")&amp;IF(AND($S234="Macro",$G234=""),"Peso vacío"&amp;" · ","")&amp;IF(AND($S234="Macro",$G234&lt;&gt;"",OR(NOT(ISNUMBER($G234)),$G234&lt;=0,$G234&gt;1)),"Peso fuera de rango"&amp;" · ","")&amp;IF(AND($S234="Sub",$G234&lt;&gt;""),"Las subactividades no llevan peso"&amp;" · ","")&amp;IF(AND($S234="Macro",ABS(SUMIFS($G$5:$G$1000,$P$5:$P$1000,$P234,$S$5:$S$1000,"Macro")-1)&gt;0.0001),"Pesos del mes suman "&amp;TEXT(SUMIFS($G$5:$G$1000,$P$5:$P$1000,$P234,$S$5:$S$1000,"Macro"),"0%")&amp;" · ","")&amp;IF(AND(N($T234)&gt;0,COUNT($H234:$K234)&gt;0),"Con subactividades: deje vacías las semanas (se calculan solas)"&amp;" · ","")&amp;IF((COUNTIF($H234:$K234,"&gt;1")+COUNTIF($H234:$K234,"&lt;0")+COUNTA($H234:$K234)-COUNT($H234:$K234))&gt;0,"Avance fuera de rango 0-100%"&amp;" · ","")&amp;IF(OR(AND($I234&lt;&gt;"",$I234&lt;$H234),AND($J234&lt;&gt;"",$J234&lt;MAX($H234:$I234)),AND($K234&lt;&gt;"",$K234&lt;MAX($H234:$J234))),"Avance semanal decreciente"&amp;" · ","")&amp;IF(AND(ISNUMBER($F234),$F234&lt;FechaRef,N($L234)&lt;1),"Vencida"&amp;" · ","")&amp;IF(AND(ObsObligatoria="Sí",ISNUMBER($F234),$F234&lt;FechaRef,N($L234)&lt;1,$N234=""),"Vencida sin observación"&amp;" · ",""),LEN(IF(AND($S234="Macro",$B234=""),"Macroactividad vacía"&amp;" · ","")&amp;IF(AND($B234&lt;&gt;"",$C234&lt;&gt;""),"Escriba la subactividad en otra fila, debajo de su macroactividad"&amp;" · ","")&amp;IF(AND($S234="Sub",N($R234)=0),"Subactividad sin macroactividad arriba"&amp;" · ","")&amp;IF($D234="","Sin responsable"&amp;" · ","")&amp;IF($E234="","Sin fecha de inicio"&amp;" · ","")&amp;IF($F234="","Sin fecha límite"&amp;" · ","")&amp;IF(OR(AND($E234&lt;&gt;"",NOT(ISNUMBER($E234))),AND($F234&lt;&gt;"",NOT(ISNUMBER($F234)))),"Fecha no válida"&amp;" · ","")&amp;IF(AND(ISNUMBER($E234),ISNUMBER($F234),$E234&gt;$F234),"Inicio posterior a fecha límite"&amp;" · ","")&amp;IF(AND($S234="Macro",$G234=""),"Peso vacío"&amp;" · ","")&amp;IF(AND($S234="Macro",$G234&lt;&gt;"",OR(NOT(ISNUMBER($G234)),$G234&lt;=0,$G234&gt;1)),"Peso fuera de rango"&amp;" · ","")&amp;IF(AND($S234="Sub",$G234&lt;&gt;""),"Las subactividades no llevan peso"&amp;" · ","")&amp;IF(AND($S234="Macro",ABS(SUMIFS($G$5:$G$1000,$P$5:$P$1000,$P234,$S$5:$S$1000,"Macro")-1)&gt;0.0001),"Pesos del mes suman "&amp;TEXT(SUMIFS($G$5:$G$1000,$P$5:$P$1000,$P234,$S$5:$S$1000,"Macro"),"0%")&amp;" · ","")&amp;IF(AND(N($T234)&gt;0,COUNT($H234:$K234)&gt;0),"Con subactividades: deje vacías las semanas (se calculan solas)"&amp;" · ","")&amp;IF((COUNTIF($H234:$K234,"&gt;1")+COUNTIF($H234:$K234,"&lt;0")+COUNTA($H234:$K234)-COUNT($H234:$K234))&gt;0,"Avance fuera de rango 0-100%"&amp;" · ","")&amp;IF(OR(AND($I234&lt;&gt;"",$I234&lt;$H234),AND($J234&lt;&gt;"",$J234&lt;MAX($H234:$I234)),AND($K234&lt;&gt;"",$K234&lt;MAX($H234:$J234))),"Avance semanal decreciente"&amp;" · ","")&amp;IF(AND(ISNUMBER($F234),$F234&lt;FechaRef,N($L234)&lt;1),"Vencida"&amp;" · ","")&amp;IF(AND(ObsObligatoria="Sí",ISNUMBER($F234),$F234&lt;FechaRef,N($L234)&lt;1,$N234=""),"Vencida sin observación"&amp;" · ",""))-3)))</f>
        <v/>
      </c>
      <c r="P234" s="69">
        <f>IF(NOT((COUNTA($B234:$K234)+COUNTA($N234))&gt;0),"",IF(AND($S234="Sub",N($R234)&gt;0),IF(ISNUMBER(INDEX($E$5:$E$1000,$R234-4)),DATE(YEAR(INDEX($E$5:$E$1000,$R234-4)),MONTH(INDEX($E$5:$E$1000,$R234-4)),1),IF(ISNUMBER(INDEX($F$5:$F$1000,$R234-4)),DATE(YEAR(INDEX($F$5:$F$1000,$R234-4)),MONTH(INDEX($F$5:$F$1000,$R234-4)),1),MesCiclo)),IF(ISNUMBER($E234),DATE(YEAR($E234),MONTH($E234),1),IF(ISNUMBER($F234),DATE(YEAR($F234),MONTH($F234),1),MesCiclo))))</f>
        <v/>
      </c>
      <c r="Q234" s="70">
        <f>IF(OR($P234="",$P234&lt;&gt;MesCiclo),"",COUNTIF($P$5:$P234,MesCiclo))</f>
        <v/>
      </c>
      <c r="R234" s="70">
        <f>IF($S234="","",IF($S234="Macro",ROW(),IFERROR(LOOKUP(2,1/($S$5:$S234="Macro"),ROW($S$5:$S234)),0)))</f>
        <v/>
      </c>
      <c r="S234" s="70">
        <f>IF(NOT((COUNTA($B234:$K234)+COUNTA($N234))&gt;0),"",IF($B234&lt;&gt;"","Macro",IF($C234&lt;&gt;"","Sub","Macro")))</f>
        <v/>
      </c>
      <c r="T234" s="70">
        <f>IF($S234="Macro",COUNTIFS($R$5:$R$1000,ROW(),$S$5:$S$1000,"Sub"),"")</f>
        <v/>
      </c>
      <c r="U234" s="70">
        <f>IF($S234="","",IF(ISNUMBER($H234),$H234,0))</f>
        <v/>
      </c>
      <c r="V234" s="70">
        <f>IF($S234="","",IF(ISNUMBER($I234),$I234,$U234))</f>
        <v/>
      </c>
      <c r="W234" s="70">
        <f>IF($S234="","",IF(ISNUMBER($J234),$J234,$V234))</f>
        <v/>
      </c>
      <c r="X234" s="70">
        <f>IF($S234="","",IF(ISNUMBER($K234),$K234,$W234))</f>
        <v/>
      </c>
      <c r="Y234" s="70">
        <f>IF($S234="","",IF(N($T234)&gt;0,AVERAGEIFS($U$5:$U$1000,$R$5:$R$1000,ROW(),$S$5:$S$1000,"Sub"),$U234))</f>
        <v/>
      </c>
      <c r="Z234" s="70">
        <f>IF($S234="","",IF(N($T234)&gt;0,AVERAGEIFS($V$5:$V$1000,$R$5:$R$1000,ROW(),$S$5:$S$1000,"Sub"),$V234))</f>
        <v/>
      </c>
      <c r="AA234" s="70">
        <f>IF($S234="","",IF(N($T234)&gt;0,AVERAGEIFS($W$5:$W$1000,$R$5:$R$1000,ROW(),$S$5:$S$1000,"Sub"),$W234))</f>
        <v/>
      </c>
      <c r="AB234" s="70">
        <f>IF($S234="","",IF(N($T234)&gt;0,AVERAGEIFS($X$5:$X$1000,$R$5:$R$1000,ROW(),$S$5:$S$1000,"Sub"),$X234))</f>
        <v/>
      </c>
    </row>
    <row r="235">
      <c r="A235" s="61">
        <f>IF(NOT((COUNTA($B235:$K235)+COUNTA($N235))&gt;0),"",IF($S235="Macro",COUNTIFS($S$5:$S235,"Macro",$P$5:$P235,$P235),IF(N($R235)=0,"?",COUNTIFS(INDEX($S$5:$S$1000,1):INDEX($S$5:$S$1000,$R235-4),"Macro",INDEX($P$5:$P$1000,1):INDEX($P$5:$P$1000,$R235-4),INDEX($P$5:$P$1000,$R235-4))&amp;"."&amp;COUNTIFS($R$5:$R235,$R235,$S$5:$S235,"Sub"))))</f>
        <v/>
      </c>
      <c r="B235" s="62" t="n"/>
      <c r="C235" s="63" t="n"/>
      <c r="D235" s="62" t="n"/>
      <c r="E235" s="64" t="n"/>
      <c r="F235" s="64" t="n"/>
      <c r="G235" s="65" t="n"/>
      <c r="H235" s="66" t="n"/>
      <c r="I235" s="66" t="n"/>
      <c r="J235" s="66" t="n"/>
      <c r="K235" s="66" t="n"/>
      <c r="L235" s="67">
        <f>IF(NOT((COUNTA($B235:$K235)+COUNTA($N235))&gt;0),"",IF(N($T235)&gt;0,$AB235,IFERROR(LOOKUP(2,1/(H235:K235&lt;&gt;""),H235:K235),0)))</f>
        <v/>
      </c>
      <c r="M235" s="61">
        <f>IF(L235="","",IF(L235&gt;=1,"Completado",IF(L235&gt;0,"En curso","Pendiente")))</f>
        <v/>
      </c>
      <c r="N235" s="62" t="n"/>
      <c r="O235" s="68">
        <f>IF(NOT((COUNTA($B235:$K235)+COUNTA($N235))&gt;0),"",IF((IF(AND($S235="Macro",$B235=""),"Macroactividad vacía"&amp;" · ","")&amp;IF(AND($B235&lt;&gt;"",$C235&lt;&gt;""),"Escriba la subactividad en otra fila, debajo de su macroactividad"&amp;" · ","")&amp;IF(AND($S235="Sub",N($R235)=0),"Subactividad sin macroactividad arriba"&amp;" · ","")&amp;IF($D235="","Sin responsable"&amp;" · ","")&amp;IF($E235="","Sin fecha de inicio"&amp;" · ","")&amp;IF($F235="","Sin fecha límite"&amp;" · ","")&amp;IF(OR(AND($E235&lt;&gt;"",NOT(ISNUMBER($E235))),AND($F235&lt;&gt;"",NOT(ISNUMBER($F235)))),"Fecha no válida"&amp;" · ","")&amp;IF(AND(ISNUMBER($E235),ISNUMBER($F235),$E235&gt;$F235),"Inicio posterior a fecha límite"&amp;" · ","")&amp;IF(AND($S235="Macro",$G235=""),"Peso vacío"&amp;" · ","")&amp;IF(AND($S235="Macro",$G235&lt;&gt;"",OR(NOT(ISNUMBER($G235)),$G235&lt;=0,$G235&gt;1)),"Peso fuera de rango"&amp;" · ","")&amp;IF(AND($S235="Sub",$G235&lt;&gt;""),"Las subactividades no llevan peso"&amp;" · ","")&amp;IF(AND($S235="Macro",ABS(SUMIFS($G$5:$G$1000,$P$5:$P$1000,$P235,$S$5:$S$1000,"Macro")-1)&gt;0.0001),"Pesos del mes suman "&amp;TEXT(SUMIFS($G$5:$G$1000,$P$5:$P$1000,$P235,$S$5:$S$1000,"Macro"),"0%")&amp;" · ","")&amp;IF(AND(N($T235)&gt;0,COUNT($H235:$K235)&gt;0),"Con subactividades: deje vacías las semanas (se calculan solas)"&amp;" · ","")&amp;IF((COUNTIF($H235:$K235,"&gt;1")+COUNTIF($H235:$K235,"&lt;0")+COUNTA($H235:$K235)-COUNT($H235:$K235))&gt;0,"Avance fuera de rango 0-100%"&amp;" · ","")&amp;IF(OR(AND($I235&lt;&gt;"",$I235&lt;$H235),AND($J235&lt;&gt;"",$J235&lt;MAX($H235:$I235)),AND($K235&lt;&gt;"",$K235&lt;MAX($H235:$J235))),"Avance semanal decreciente"&amp;" · ","")&amp;IF(AND(ISNUMBER($F235),$F235&lt;FechaRef,N($L235)&lt;1),"Vencida"&amp;" · ","")&amp;IF(AND(ObsObligatoria="Sí",ISNUMBER($F235),$F235&lt;FechaRef,N($L235)&lt;1,$N235=""),"Vencida sin observación"&amp;" · ",""))="","✔ OK","⚠ "&amp;LEFT(IF(AND($S235="Macro",$B235=""),"Macroactividad vacía"&amp;" · ","")&amp;IF(AND($B235&lt;&gt;"",$C235&lt;&gt;""),"Escriba la subactividad en otra fila, debajo de su macroactividad"&amp;" · ","")&amp;IF(AND($S235="Sub",N($R235)=0),"Subactividad sin macroactividad arriba"&amp;" · ","")&amp;IF($D235="","Sin responsable"&amp;" · ","")&amp;IF($E235="","Sin fecha de inicio"&amp;" · ","")&amp;IF($F235="","Sin fecha límite"&amp;" · ","")&amp;IF(OR(AND($E235&lt;&gt;"",NOT(ISNUMBER($E235))),AND($F235&lt;&gt;"",NOT(ISNUMBER($F235)))),"Fecha no válida"&amp;" · ","")&amp;IF(AND(ISNUMBER($E235),ISNUMBER($F235),$E235&gt;$F235),"Inicio posterior a fecha límite"&amp;" · ","")&amp;IF(AND($S235="Macro",$G235=""),"Peso vacío"&amp;" · ","")&amp;IF(AND($S235="Macro",$G235&lt;&gt;"",OR(NOT(ISNUMBER($G235)),$G235&lt;=0,$G235&gt;1)),"Peso fuera de rango"&amp;" · ","")&amp;IF(AND($S235="Sub",$G235&lt;&gt;""),"Las subactividades no llevan peso"&amp;" · ","")&amp;IF(AND($S235="Macro",ABS(SUMIFS($G$5:$G$1000,$P$5:$P$1000,$P235,$S$5:$S$1000,"Macro")-1)&gt;0.0001),"Pesos del mes suman "&amp;TEXT(SUMIFS($G$5:$G$1000,$P$5:$P$1000,$P235,$S$5:$S$1000,"Macro"),"0%")&amp;" · ","")&amp;IF(AND(N($T235)&gt;0,COUNT($H235:$K235)&gt;0),"Con subactividades: deje vacías las semanas (se calculan solas)"&amp;" · ","")&amp;IF((COUNTIF($H235:$K235,"&gt;1")+COUNTIF($H235:$K235,"&lt;0")+COUNTA($H235:$K235)-COUNT($H235:$K235))&gt;0,"Avance fuera de rango 0-100%"&amp;" · ","")&amp;IF(OR(AND($I235&lt;&gt;"",$I235&lt;$H235),AND($J235&lt;&gt;"",$J235&lt;MAX($H235:$I235)),AND($K235&lt;&gt;"",$K235&lt;MAX($H235:$J235))),"Avance semanal decreciente"&amp;" · ","")&amp;IF(AND(ISNUMBER($F235),$F235&lt;FechaRef,N($L235)&lt;1),"Vencida"&amp;" · ","")&amp;IF(AND(ObsObligatoria="Sí",ISNUMBER($F235),$F235&lt;FechaRef,N($L235)&lt;1,$N235=""),"Vencida sin observación"&amp;" · ",""),LEN(IF(AND($S235="Macro",$B235=""),"Macroactividad vacía"&amp;" · ","")&amp;IF(AND($B235&lt;&gt;"",$C235&lt;&gt;""),"Escriba la subactividad en otra fila, debajo de su macroactividad"&amp;" · ","")&amp;IF(AND($S235="Sub",N($R235)=0),"Subactividad sin macroactividad arriba"&amp;" · ","")&amp;IF($D235="","Sin responsable"&amp;" · ","")&amp;IF($E235="","Sin fecha de inicio"&amp;" · ","")&amp;IF($F235="","Sin fecha límite"&amp;" · ","")&amp;IF(OR(AND($E235&lt;&gt;"",NOT(ISNUMBER($E235))),AND($F235&lt;&gt;"",NOT(ISNUMBER($F235)))),"Fecha no válida"&amp;" · ","")&amp;IF(AND(ISNUMBER($E235),ISNUMBER($F235),$E235&gt;$F235),"Inicio posterior a fecha límite"&amp;" · ","")&amp;IF(AND($S235="Macro",$G235=""),"Peso vacío"&amp;" · ","")&amp;IF(AND($S235="Macro",$G235&lt;&gt;"",OR(NOT(ISNUMBER($G235)),$G235&lt;=0,$G235&gt;1)),"Peso fuera de rango"&amp;" · ","")&amp;IF(AND($S235="Sub",$G235&lt;&gt;""),"Las subactividades no llevan peso"&amp;" · ","")&amp;IF(AND($S235="Macro",ABS(SUMIFS($G$5:$G$1000,$P$5:$P$1000,$P235,$S$5:$S$1000,"Macro")-1)&gt;0.0001),"Pesos del mes suman "&amp;TEXT(SUMIFS($G$5:$G$1000,$P$5:$P$1000,$P235,$S$5:$S$1000,"Macro"),"0%")&amp;" · ","")&amp;IF(AND(N($T235)&gt;0,COUNT($H235:$K235)&gt;0),"Con subactividades: deje vacías las semanas (se calculan solas)"&amp;" · ","")&amp;IF((COUNTIF($H235:$K235,"&gt;1")+COUNTIF($H235:$K235,"&lt;0")+COUNTA($H235:$K235)-COUNT($H235:$K235))&gt;0,"Avance fuera de rango 0-100%"&amp;" · ","")&amp;IF(OR(AND($I235&lt;&gt;"",$I235&lt;$H235),AND($J235&lt;&gt;"",$J235&lt;MAX($H235:$I235)),AND($K235&lt;&gt;"",$K235&lt;MAX($H235:$J235))),"Avance semanal decreciente"&amp;" · ","")&amp;IF(AND(ISNUMBER($F235),$F235&lt;FechaRef,N($L235)&lt;1),"Vencida"&amp;" · ","")&amp;IF(AND(ObsObligatoria="Sí",ISNUMBER($F235),$F235&lt;FechaRef,N($L235)&lt;1,$N235=""),"Vencida sin observación"&amp;" · ",""))-3)))</f>
        <v/>
      </c>
      <c r="P235" s="69">
        <f>IF(NOT((COUNTA($B235:$K235)+COUNTA($N235))&gt;0),"",IF(AND($S235="Sub",N($R235)&gt;0),IF(ISNUMBER(INDEX($E$5:$E$1000,$R235-4)),DATE(YEAR(INDEX($E$5:$E$1000,$R235-4)),MONTH(INDEX($E$5:$E$1000,$R235-4)),1),IF(ISNUMBER(INDEX($F$5:$F$1000,$R235-4)),DATE(YEAR(INDEX($F$5:$F$1000,$R235-4)),MONTH(INDEX($F$5:$F$1000,$R235-4)),1),MesCiclo)),IF(ISNUMBER($E235),DATE(YEAR($E235),MONTH($E235),1),IF(ISNUMBER($F235),DATE(YEAR($F235),MONTH($F235),1),MesCiclo))))</f>
        <v/>
      </c>
      <c r="Q235" s="70">
        <f>IF(OR($P235="",$P235&lt;&gt;MesCiclo),"",COUNTIF($P$5:$P235,MesCiclo))</f>
        <v/>
      </c>
      <c r="R235" s="70">
        <f>IF($S235="","",IF($S235="Macro",ROW(),IFERROR(LOOKUP(2,1/($S$5:$S235="Macro"),ROW($S$5:$S235)),0)))</f>
        <v/>
      </c>
      <c r="S235" s="70">
        <f>IF(NOT((COUNTA($B235:$K235)+COUNTA($N235))&gt;0),"",IF($B235&lt;&gt;"","Macro",IF($C235&lt;&gt;"","Sub","Macro")))</f>
        <v/>
      </c>
      <c r="T235" s="70">
        <f>IF($S235="Macro",COUNTIFS($R$5:$R$1000,ROW(),$S$5:$S$1000,"Sub"),"")</f>
        <v/>
      </c>
      <c r="U235" s="70">
        <f>IF($S235="","",IF(ISNUMBER($H235),$H235,0))</f>
        <v/>
      </c>
      <c r="V235" s="70">
        <f>IF($S235="","",IF(ISNUMBER($I235),$I235,$U235))</f>
        <v/>
      </c>
      <c r="W235" s="70">
        <f>IF($S235="","",IF(ISNUMBER($J235),$J235,$V235))</f>
        <v/>
      </c>
      <c r="X235" s="70">
        <f>IF($S235="","",IF(ISNUMBER($K235),$K235,$W235))</f>
        <v/>
      </c>
      <c r="Y235" s="70">
        <f>IF($S235="","",IF(N($T235)&gt;0,AVERAGEIFS($U$5:$U$1000,$R$5:$R$1000,ROW(),$S$5:$S$1000,"Sub"),$U235))</f>
        <v/>
      </c>
      <c r="Z235" s="70">
        <f>IF($S235="","",IF(N($T235)&gt;0,AVERAGEIFS($V$5:$V$1000,$R$5:$R$1000,ROW(),$S$5:$S$1000,"Sub"),$V235))</f>
        <v/>
      </c>
      <c r="AA235" s="70">
        <f>IF($S235="","",IF(N($T235)&gt;0,AVERAGEIFS($W$5:$W$1000,$R$5:$R$1000,ROW(),$S$5:$S$1000,"Sub"),$W235))</f>
        <v/>
      </c>
      <c r="AB235" s="70">
        <f>IF($S235="","",IF(N($T235)&gt;0,AVERAGEIFS($X$5:$X$1000,$R$5:$R$1000,ROW(),$S$5:$S$1000,"Sub"),$X235))</f>
        <v/>
      </c>
    </row>
    <row r="236">
      <c r="A236" s="61">
        <f>IF(NOT((COUNTA($B236:$K236)+COUNTA($N236))&gt;0),"",IF($S236="Macro",COUNTIFS($S$5:$S236,"Macro",$P$5:$P236,$P236),IF(N($R236)=0,"?",COUNTIFS(INDEX($S$5:$S$1000,1):INDEX($S$5:$S$1000,$R236-4),"Macro",INDEX($P$5:$P$1000,1):INDEX($P$5:$P$1000,$R236-4),INDEX($P$5:$P$1000,$R236-4))&amp;"."&amp;COUNTIFS($R$5:$R236,$R236,$S$5:$S236,"Sub"))))</f>
        <v/>
      </c>
      <c r="B236" s="62" t="n"/>
      <c r="C236" s="63" t="n"/>
      <c r="D236" s="62" t="n"/>
      <c r="E236" s="64" t="n"/>
      <c r="F236" s="64" t="n"/>
      <c r="G236" s="65" t="n"/>
      <c r="H236" s="66" t="n"/>
      <c r="I236" s="66" t="n"/>
      <c r="J236" s="66" t="n"/>
      <c r="K236" s="66" t="n"/>
      <c r="L236" s="67">
        <f>IF(NOT((COUNTA($B236:$K236)+COUNTA($N236))&gt;0),"",IF(N($T236)&gt;0,$AB236,IFERROR(LOOKUP(2,1/(H236:K236&lt;&gt;""),H236:K236),0)))</f>
        <v/>
      </c>
      <c r="M236" s="61">
        <f>IF(L236="","",IF(L236&gt;=1,"Completado",IF(L236&gt;0,"En curso","Pendiente")))</f>
        <v/>
      </c>
      <c r="N236" s="62" t="n"/>
      <c r="O236" s="68">
        <f>IF(NOT((COUNTA($B236:$K236)+COUNTA($N236))&gt;0),"",IF((IF(AND($S236="Macro",$B236=""),"Macroactividad vacía"&amp;" · ","")&amp;IF(AND($B236&lt;&gt;"",$C236&lt;&gt;""),"Escriba la subactividad en otra fila, debajo de su macroactividad"&amp;" · ","")&amp;IF(AND($S236="Sub",N($R236)=0),"Subactividad sin macroactividad arriba"&amp;" · ","")&amp;IF($D236="","Sin responsable"&amp;" · ","")&amp;IF($E236="","Sin fecha de inicio"&amp;" · ","")&amp;IF($F236="","Sin fecha límite"&amp;" · ","")&amp;IF(OR(AND($E236&lt;&gt;"",NOT(ISNUMBER($E236))),AND($F236&lt;&gt;"",NOT(ISNUMBER($F236)))),"Fecha no válida"&amp;" · ","")&amp;IF(AND(ISNUMBER($E236),ISNUMBER($F236),$E236&gt;$F236),"Inicio posterior a fecha límite"&amp;" · ","")&amp;IF(AND($S236="Macro",$G236=""),"Peso vacío"&amp;" · ","")&amp;IF(AND($S236="Macro",$G236&lt;&gt;"",OR(NOT(ISNUMBER($G236)),$G236&lt;=0,$G236&gt;1)),"Peso fuera de rango"&amp;" · ","")&amp;IF(AND($S236="Sub",$G236&lt;&gt;""),"Las subactividades no llevan peso"&amp;" · ","")&amp;IF(AND($S236="Macro",ABS(SUMIFS($G$5:$G$1000,$P$5:$P$1000,$P236,$S$5:$S$1000,"Macro")-1)&gt;0.0001),"Pesos del mes suman "&amp;TEXT(SUMIFS($G$5:$G$1000,$P$5:$P$1000,$P236,$S$5:$S$1000,"Macro"),"0%")&amp;" · ","")&amp;IF(AND(N($T236)&gt;0,COUNT($H236:$K236)&gt;0),"Con subactividades: deje vacías las semanas (se calculan solas)"&amp;" · ","")&amp;IF((COUNTIF($H236:$K236,"&gt;1")+COUNTIF($H236:$K236,"&lt;0")+COUNTA($H236:$K236)-COUNT($H236:$K236))&gt;0,"Avance fuera de rango 0-100%"&amp;" · ","")&amp;IF(OR(AND($I236&lt;&gt;"",$I236&lt;$H236),AND($J236&lt;&gt;"",$J236&lt;MAX($H236:$I236)),AND($K236&lt;&gt;"",$K236&lt;MAX($H236:$J236))),"Avance semanal decreciente"&amp;" · ","")&amp;IF(AND(ISNUMBER($F236),$F236&lt;FechaRef,N($L236)&lt;1),"Vencida"&amp;" · ","")&amp;IF(AND(ObsObligatoria="Sí",ISNUMBER($F236),$F236&lt;FechaRef,N($L236)&lt;1,$N236=""),"Vencida sin observación"&amp;" · ",""))="","✔ OK","⚠ "&amp;LEFT(IF(AND($S236="Macro",$B236=""),"Macroactividad vacía"&amp;" · ","")&amp;IF(AND($B236&lt;&gt;"",$C236&lt;&gt;""),"Escriba la subactividad en otra fila, debajo de su macroactividad"&amp;" · ","")&amp;IF(AND($S236="Sub",N($R236)=0),"Subactividad sin macroactividad arriba"&amp;" · ","")&amp;IF($D236="","Sin responsable"&amp;" · ","")&amp;IF($E236="","Sin fecha de inicio"&amp;" · ","")&amp;IF($F236="","Sin fecha límite"&amp;" · ","")&amp;IF(OR(AND($E236&lt;&gt;"",NOT(ISNUMBER($E236))),AND($F236&lt;&gt;"",NOT(ISNUMBER($F236)))),"Fecha no válida"&amp;" · ","")&amp;IF(AND(ISNUMBER($E236),ISNUMBER($F236),$E236&gt;$F236),"Inicio posterior a fecha límite"&amp;" · ","")&amp;IF(AND($S236="Macro",$G236=""),"Peso vacío"&amp;" · ","")&amp;IF(AND($S236="Macro",$G236&lt;&gt;"",OR(NOT(ISNUMBER($G236)),$G236&lt;=0,$G236&gt;1)),"Peso fuera de rango"&amp;" · ","")&amp;IF(AND($S236="Sub",$G236&lt;&gt;""),"Las subactividades no llevan peso"&amp;" · ","")&amp;IF(AND($S236="Macro",ABS(SUMIFS($G$5:$G$1000,$P$5:$P$1000,$P236,$S$5:$S$1000,"Macro")-1)&gt;0.0001),"Pesos del mes suman "&amp;TEXT(SUMIFS($G$5:$G$1000,$P$5:$P$1000,$P236,$S$5:$S$1000,"Macro"),"0%")&amp;" · ","")&amp;IF(AND(N($T236)&gt;0,COUNT($H236:$K236)&gt;0),"Con subactividades: deje vacías las semanas (se calculan solas)"&amp;" · ","")&amp;IF((COUNTIF($H236:$K236,"&gt;1")+COUNTIF($H236:$K236,"&lt;0")+COUNTA($H236:$K236)-COUNT($H236:$K236))&gt;0,"Avance fuera de rango 0-100%"&amp;" · ","")&amp;IF(OR(AND($I236&lt;&gt;"",$I236&lt;$H236),AND($J236&lt;&gt;"",$J236&lt;MAX($H236:$I236)),AND($K236&lt;&gt;"",$K236&lt;MAX($H236:$J236))),"Avance semanal decreciente"&amp;" · ","")&amp;IF(AND(ISNUMBER($F236),$F236&lt;FechaRef,N($L236)&lt;1),"Vencida"&amp;" · ","")&amp;IF(AND(ObsObligatoria="Sí",ISNUMBER($F236),$F236&lt;FechaRef,N($L236)&lt;1,$N236=""),"Vencida sin observación"&amp;" · ",""),LEN(IF(AND($S236="Macro",$B236=""),"Macroactividad vacía"&amp;" · ","")&amp;IF(AND($B236&lt;&gt;"",$C236&lt;&gt;""),"Escriba la subactividad en otra fila, debajo de su macroactividad"&amp;" · ","")&amp;IF(AND($S236="Sub",N($R236)=0),"Subactividad sin macroactividad arriba"&amp;" · ","")&amp;IF($D236="","Sin responsable"&amp;" · ","")&amp;IF($E236="","Sin fecha de inicio"&amp;" · ","")&amp;IF($F236="","Sin fecha límite"&amp;" · ","")&amp;IF(OR(AND($E236&lt;&gt;"",NOT(ISNUMBER($E236))),AND($F236&lt;&gt;"",NOT(ISNUMBER($F236)))),"Fecha no válida"&amp;" · ","")&amp;IF(AND(ISNUMBER($E236),ISNUMBER($F236),$E236&gt;$F236),"Inicio posterior a fecha límite"&amp;" · ","")&amp;IF(AND($S236="Macro",$G236=""),"Peso vacío"&amp;" · ","")&amp;IF(AND($S236="Macro",$G236&lt;&gt;"",OR(NOT(ISNUMBER($G236)),$G236&lt;=0,$G236&gt;1)),"Peso fuera de rango"&amp;" · ","")&amp;IF(AND($S236="Sub",$G236&lt;&gt;""),"Las subactividades no llevan peso"&amp;" · ","")&amp;IF(AND($S236="Macro",ABS(SUMIFS($G$5:$G$1000,$P$5:$P$1000,$P236,$S$5:$S$1000,"Macro")-1)&gt;0.0001),"Pesos del mes suman "&amp;TEXT(SUMIFS($G$5:$G$1000,$P$5:$P$1000,$P236,$S$5:$S$1000,"Macro"),"0%")&amp;" · ","")&amp;IF(AND(N($T236)&gt;0,COUNT($H236:$K236)&gt;0),"Con subactividades: deje vacías las semanas (se calculan solas)"&amp;" · ","")&amp;IF((COUNTIF($H236:$K236,"&gt;1")+COUNTIF($H236:$K236,"&lt;0")+COUNTA($H236:$K236)-COUNT($H236:$K236))&gt;0,"Avance fuera de rango 0-100%"&amp;" · ","")&amp;IF(OR(AND($I236&lt;&gt;"",$I236&lt;$H236),AND($J236&lt;&gt;"",$J236&lt;MAX($H236:$I236)),AND($K236&lt;&gt;"",$K236&lt;MAX($H236:$J236))),"Avance semanal decreciente"&amp;" · ","")&amp;IF(AND(ISNUMBER($F236),$F236&lt;FechaRef,N($L236)&lt;1),"Vencida"&amp;" · ","")&amp;IF(AND(ObsObligatoria="Sí",ISNUMBER($F236),$F236&lt;FechaRef,N($L236)&lt;1,$N236=""),"Vencida sin observación"&amp;" · ",""))-3)))</f>
        <v/>
      </c>
      <c r="P236" s="69">
        <f>IF(NOT((COUNTA($B236:$K236)+COUNTA($N236))&gt;0),"",IF(AND($S236="Sub",N($R236)&gt;0),IF(ISNUMBER(INDEX($E$5:$E$1000,$R236-4)),DATE(YEAR(INDEX($E$5:$E$1000,$R236-4)),MONTH(INDEX($E$5:$E$1000,$R236-4)),1),IF(ISNUMBER(INDEX($F$5:$F$1000,$R236-4)),DATE(YEAR(INDEX($F$5:$F$1000,$R236-4)),MONTH(INDEX($F$5:$F$1000,$R236-4)),1),MesCiclo)),IF(ISNUMBER($E236),DATE(YEAR($E236),MONTH($E236),1),IF(ISNUMBER($F236),DATE(YEAR($F236),MONTH($F236),1),MesCiclo))))</f>
        <v/>
      </c>
      <c r="Q236" s="70">
        <f>IF(OR($P236="",$P236&lt;&gt;MesCiclo),"",COUNTIF($P$5:$P236,MesCiclo))</f>
        <v/>
      </c>
      <c r="R236" s="70">
        <f>IF($S236="","",IF($S236="Macro",ROW(),IFERROR(LOOKUP(2,1/($S$5:$S236="Macro"),ROW($S$5:$S236)),0)))</f>
        <v/>
      </c>
      <c r="S236" s="70">
        <f>IF(NOT((COUNTA($B236:$K236)+COUNTA($N236))&gt;0),"",IF($B236&lt;&gt;"","Macro",IF($C236&lt;&gt;"","Sub","Macro")))</f>
        <v/>
      </c>
      <c r="T236" s="70">
        <f>IF($S236="Macro",COUNTIFS($R$5:$R$1000,ROW(),$S$5:$S$1000,"Sub"),"")</f>
        <v/>
      </c>
      <c r="U236" s="70">
        <f>IF($S236="","",IF(ISNUMBER($H236),$H236,0))</f>
        <v/>
      </c>
      <c r="V236" s="70">
        <f>IF($S236="","",IF(ISNUMBER($I236),$I236,$U236))</f>
        <v/>
      </c>
      <c r="W236" s="70">
        <f>IF($S236="","",IF(ISNUMBER($J236),$J236,$V236))</f>
        <v/>
      </c>
      <c r="X236" s="70">
        <f>IF($S236="","",IF(ISNUMBER($K236),$K236,$W236))</f>
        <v/>
      </c>
      <c r="Y236" s="70">
        <f>IF($S236="","",IF(N($T236)&gt;0,AVERAGEIFS($U$5:$U$1000,$R$5:$R$1000,ROW(),$S$5:$S$1000,"Sub"),$U236))</f>
        <v/>
      </c>
      <c r="Z236" s="70">
        <f>IF($S236="","",IF(N($T236)&gt;0,AVERAGEIFS($V$5:$V$1000,$R$5:$R$1000,ROW(),$S$5:$S$1000,"Sub"),$V236))</f>
        <v/>
      </c>
      <c r="AA236" s="70">
        <f>IF($S236="","",IF(N($T236)&gt;0,AVERAGEIFS($W$5:$W$1000,$R$5:$R$1000,ROW(),$S$5:$S$1000,"Sub"),$W236))</f>
        <v/>
      </c>
      <c r="AB236" s="70">
        <f>IF($S236="","",IF(N($T236)&gt;0,AVERAGEIFS($X$5:$X$1000,$R$5:$R$1000,ROW(),$S$5:$S$1000,"Sub"),$X236))</f>
        <v/>
      </c>
    </row>
    <row r="237">
      <c r="A237" s="61">
        <f>IF(NOT((COUNTA($B237:$K237)+COUNTA($N237))&gt;0),"",IF($S237="Macro",COUNTIFS($S$5:$S237,"Macro",$P$5:$P237,$P237),IF(N($R237)=0,"?",COUNTIFS(INDEX($S$5:$S$1000,1):INDEX($S$5:$S$1000,$R237-4),"Macro",INDEX($P$5:$P$1000,1):INDEX($P$5:$P$1000,$R237-4),INDEX($P$5:$P$1000,$R237-4))&amp;"."&amp;COUNTIFS($R$5:$R237,$R237,$S$5:$S237,"Sub"))))</f>
        <v/>
      </c>
      <c r="B237" s="62" t="n"/>
      <c r="C237" s="63" t="n"/>
      <c r="D237" s="62" t="n"/>
      <c r="E237" s="64" t="n"/>
      <c r="F237" s="64" t="n"/>
      <c r="G237" s="65" t="n"/>
      <c r="H237" s="66" t="n"/>
      <c r="I237" s="66" t="n"/>
      <c r="J237" s="66" t="n"/>
      <c r="K237" s="66" t="n"/>
      <c r="L237" s="67">
        <f>IF(NOT((COUNTA($B237:$K237)+COUNTA($N237))&gt;0),"",IF(N($T237)&gt;0,$AB237,IFERROR(LOOKUP(2,1/(H237:K237&lt;&gt;""),H237:K237),0)))</f>
        <v/>
      </c>
      <c r="M237" s="61">
        <f>IF(L237="","",IF(L237&gt;=1,"Completado",IF(L237&gt;0,"En curso","Pendiente")))</f>
        <v/>
      </c>
      <c r="N237" s="62" t="n"/>
      <c r="O237" s="68">
        <f>IF(NOT((COUNTA($B237:$K237)+COUNTA($N237))&gt;0),"",IF((IF(AND($S237="Macro",$B237=""),"Macroactividad vacía"&amp;" · ","")&amp;IF(AND($B237&lt;&gt;"",$C237&lt;&gt;""),"Escriba la subactividad en otra fila, debajo de su macroactividad"&amp;" · ","")&amp;IF(AND($S237="Sub",N($R237)=0),"Subactividad sin macroactividad arriba"&amp;" · ","")&amp;IF($D237="","Sin responsable"&amp;" · ","")&amp;IF($E237="","Sin fecha de inicio"&amp;" · ","")&amp;IF($F237="","Sin fecha límite"&amp;" · ","")&amp;IF(OR(AND($E237&lt;&gt;"",NOT(ISNUMBER($E237))),AND($F237&lt;&gt;"",NOT(ISNUMBER($F237)))),"Fecha no válida"&amp;" · ","")&amp;IF(AND(ISNUMBER($E237),ISNUMBER($F237),$E237&gt;$F237),"Inicio posterior a fecha límite"&amp;" · ","")&amp;IF(AND($S237="Macro",$G237=""),"Peso vacío"&amp;" · ","")&amp;IF(AND($S237="Macro",$G237&lt;&gt;"",OR(NOT(ISNUMBER($G237)),$G237&lt;=0,$G237&gt;1)),"Peso fuera de rango"&amp;" · ","")&amp;IF(AND($S237="Sub",$G237&lt;&gt;""),"Las subactividades no llevan peso"&amp;" · ","")&amp;IF(AND($S237="Macro",ABS(SUMIFS($G$5:$G$1000,$P$5:$P$1000,$P237,$S$5:$S$1000,"Macro")-1)&gt;0.0001),"Pesos del mes suman "&amp;TEXT(SUMIFS($G$5:$G$1000,$P$5:$P$1000,$P237,$S$5:$S$1000,"Macro"),"0%")&amp;" · ","")&amp;IF(AND(N($T237)&gt;0,COUNT($H237:$K237)&gt;0),"Con subactividades: deje vacías las semanas (se calculan solas)"&amp;" · ","")&amp;IF((COUNTIF($H237:$K237,"&gt;1")+COUNTIF($H237:$K237,"&lt;0")+COUNTA($H237:$K237)-COUNT($H237:$K237))&gt;0,"Avance fuera de rango 0-100%"&amp;" · ","")&amp;IF(OR(AND($I237&lt;&gt;"",$I237&lt;$H237),AND($J237&lt;&gt;"",$J237&lt;MAX($H237:$I237)),AND($K237&lt;&gt;"",$K237&lt;MAX($H237:$J237))),"Avance semanal decreciente"&amp;" · ","")&amp;IF(AND(ISNUMBER($F237),$F237&lt;FechaRef,N($L237)&lt;1),"Vencida"&amp;" · ","")&amp;IF(AND(ObsObligatoria="Sí",ISNUMBER($F237),$F237&lt;FechaRef,N($L237)&lt;1,$N237=""),"Vencida sin observación"&amp;" · ",""))="","✔ OK","⚠ "&amp;LEFT(IF(AND($S237="Macro",$B237=""),"Macroactividad vacía"&amp;" · ","")&amp;IF(AND($B237&lt;&gt;"",$C237&lt;&gt;""),"Escriba la subactividad en otra fila, debajo de su macroactividad"&amp;" · ","")&amp;IF(AND($S237="Sub",N($R237)=0),"Subactividad sin macroactividad arriba"&amp;" · ","")&amp;IF($D237="","Sin responsable"&amp;" · ","")&amp;IF($E237="","Sin fecha de inicio"&amp;" · ","")&amp;IF($F237="","Sin fecha límite"&amp;" · ","")&amp;IF(OR(AND($E237&lt;&gt;"",NOT(ISNUMBER($E237))),AND($F237&lt;&gt;"",NOT(ISNUMBER($F237)))),"Fecha no válida"&amp;" · ","")&amp;IF(AND(ISNUMBER($E237),ISNUMBER($F237),$E237&gt;$F237),"Inicio posterior a fecha límite"&amp;" · ","")&amp;IF(AND($S237="Macro",$G237=""),"Peso vacío"&amp;" · ","")&amp;IF(AND($S237="Macro",$G237&lt;&gt;"",OR(NOT(ISNUMBER($G237)),$G237&lt;=0,$G237&gt;1)),"Peso fuera de rango"&amp;" · ","")&amp;IF(AND($S237="Sub",$G237&lt;&gt;""),"Las subactividades no llevan peso"&amp;" · ","")&amp;IF(AND($S237="Macro",ABS(SUMIFS($G$5:$G$1000,$P$5:$P$1000,$P237,$S$5:$S$1000,"Macro")-1)&gt;0.0001),"Pesos del mes suman "&amp;TEXT(SUMIFS($G$5:$G$1000,$P$5:$P$1000,$P237,$S$5:$S$1000,"Macro"),"0%")&amp;" · ","")&amp;IF(AND(N($T237)&gt;0,COUNT($H237:$K237)&gt;0),"Con subactividades: deje vacías las semanas (se calculan solas)"&amp;" · ","")&amp;IF((COUNTIF($H237:$K237,"&gt;1")+COUNTIF($H237:$K237,"&lt;0")+COUNTA($H237:$K237)-COUNT($H237:$K237))&gt;0,"Avance fuera de rango 0-100%"&amp;" · ","")&amp;IF(OR(AND($I237&lt;&gt;"",$I237&lt;$H237),AND($J237&lt;&gt;"",$J237&lt;MAX($H237:$I237)),AND($K237&lt;&gt;"",$K237&lt;MAX($H237:$J237))),"Avance semanal decreciente"&amp;" · ","")&amp;IF(AND(ISNUMBER($F237),$F237&lt;FechaRef,N($L237)&lt;1),"Vencida"&amp;" · ","")&amp;IF(AND(ObsObligatoria="Sí",ISNUMBER($F237),$F237&lt;FechaRef,N($L237)&lt;1,$N237=""),"Vencida sin observación"&amp;" · ",""),LEN(IF(AND($S237="Macro",$B237=""),"Macroactividad vacía"&amp;" · ","")&amp;IF(AND($B237&lt;&gt;"",$C237&lt;&gt;""),"Escriba la subactividad en otra fila, debajo de su macroactividad"&amp;" · ","")&amp;IF(AND($S237="Sub",N($R237)=0),"Subactividad sin macroactividad arriba"&amp;" · ","")&amp;IF($D237="","Sin responsable"&amp;" · ","")&amp;IF($E237="","Sin fecha de inicio"&amp;" · ","")&amp;IF($F237="","Sin fecha límite"&amp;" · ","")&amp;IF(OR(AND($E237&lt;&gt;"",NOT(ISNUMBER($E237))),AND($F237&lt;&gt;"",NOT(ISNUMBER($F237)))),"Fecha no válida"&amp;" · ","")&amp;IF(AND(ISNUMBER($E237),ISNUMBER($F237),$E237&gt;$F237),"Inicio posterior a fecha límite"&amp;" · ","")&amp;IF(AND($S237="Macro",$G237=""),"Peso vacío"&amp;" · ","")&amp;IF(AND($S237="Macro",$G237&lt;&gt;"",OR(NOT(ISNUMBER($G237)),$G237&lt;=0,$G237&gt;1)),"Peso fuera de rango"&amp;" · ","")&amp;IF(AND($S237="Sub",$G237&lt;&gt;""),"Las subactividades no llevan peso"&amp;" · ","")&amp;IF(AND($S237="Macro",ABS(SUMIFS($G$5:$G$1000,$P$5:$P$1000,$P237,$S$5:$S$1000,"Macro")-1)&gt;0.0001),"Pesos del mes suman "&amp;TEXT(SUMIFS($G$5:$G$1000,$P$5:$P$1000,$P237,$S$5:$S$1000,"Macro"),"0%")&amp;" · ","")&amp;IF(AND(N($T237)&gt;0,COUNT($H237:$K237)&gt;0),"Con subactividades: deje vacías las semanas (se calculan solas)"&amp;" · ","")&amp;IF((COUNTIF($H237:$K237,"&gt;1")+COUNTIF($H237:$K237,"&lt;0")+COUNTA($H237:$K237)-COUNT($H237:$K237))&gt;0,"Avance fuera de rango 0-100%"&amp;" · ","")&amp;IF(OR(AND($I237&lt;&gt;"",$I237&lt;$H237),AND($J237&lt;&gt;"",$J237&lt;MAX($H237:$I237)),AND($K237&lt;&gt;"",$K237&lt;MAX($H237:$J237))),"Avance semanal decreciente"&amp;" · ","")&amp;IF(AND(ISNUMBER($F237),$F237&lt;FechaRef,N($L237)&lt;1),"Vencida"&amp;" · ","")&amp;IF(AND(ObsObligatoria="Sí",ISNUMBER($F237),$F237&lt;FechaRef,N($L237)&lt;1,$N237=""),"Vencida sin observación"&amp;" · ",""))-3)))</f>
        <v/>
      </c>
      <c r="P237" s="69">
        <f>IF(NOT((COUNTA($B237:$K237)+COUNTA($N237))&gt;0),"",IF(AND($S237="Sub",N($R237)&gt;0),IF(ISNUMBER(INDEX($E$5:$E$1000,$R237-4)),DATE(YEAR(INDEX($E$5:$E$1000,$R237-4)),MONTH(INDEX($E$5:$E$1000,$R237-4)),1),IF(ISNUMBER(INDEX($F$5:$F$1000,$R237-4)),DATE(YEAR(INDEX($F$5:$F$1000,$R237-4)),MONTH(INDEX($F$5:$F$1000,$R237-4)),1),MesCiclo)),IF(ISNUMBER($E237),DATE(YEAR($E237),MONTH($E237),1),IF(ISNUMBER($F237),DATE(YEAR($F237),MONTH($F237),1),MesCiclo))))</f>
        <v/>
      </c>
      <c r="Q237" s="70">
        <f>IF(OR($P237="",$P237&lt;&gt;MesCiclo),"",COUNTIF($P$5:$P237,MesCiclo))</f>
        <v/>
      </c>
      <c r="R237" s="70">
        <f>IF($S237="","",IF($S237="Macro",ROW(),IFERROR(LOOKUP(2,1/($S$5:$S237="Macro"),ROW($S$5:$S237)),0)))</f>
        <v/>
      </c>
      <c r="S237" s="70">
        <f>IF(NOT((COUNTA($B237:$K237)+COUNTA($N237))&gt;0),"",IF($B237&lt;&gt;"","Macro",IF($C237&lt;&gt;"","Sub","Macro")))</f>
        <v/>
      </c>
      <c r="T237" s="70">
        <f>IF($S237="Macro",COUNTIFS($R$5:$R$1000,ROW(),$S$5:$S$1000,"Sub"),"")</f>
        <v/>
      </c>
      <c r="U237" s="70">
        <f>IF($S237="","",IF(ISNUMBER($H237),$H237,0))</f>
        <v/>
      </c>
      <c r="V237" s="70">
        <f>IF($S237="","",IF(ISNUMBER($I237),$I237,$U237))</f>
        <v/>
      </c>
      <c r="W237" s="70">
        <f>IF($S237="","",IF(ISNUMBER($J237),$J237,$V237))</f>
        <v/>
      </c>
      <c r="X237" s="70">
        <f>IF($S237="","",IF(ISNUMBER($K237),$K237,$W237))</f>
        <v/>
      </c>
      <c r="Y237" s="70">
        <f>IF($S237="","",IF(N($T237)&gt;0,AVERAGEIFS($U$5:$U$1000,$R$5:$R$1000,ROW(),$S$5:$S$1000,"Sub"),$U237))</f>
        <v/>
      </c>
      <c r="Z237" s="70">
        <f>IF($S237="","",IF(N($T237)&gt;0,AVERAGEIFS($V$5:$V$1000,$R$5:$R$1000,ROW(),$S$5:$S$1000,"Sub"),$V237))</f>
        <v/>
      </c>
      <c r="AA237" s="70">
        <f>IF($S237="","",IF(N($T237)&gt;0,AVERAGEIFS($W$5:$W$1000,$R$5:$R$1000,ROW(),$S$5:$S$1000,"Sub"),$W237))</f>
        <v/>
      </c>
      <c r="AB237" s="70">
        <f>IF($S237="","",IF(N($T237)&gt;0,AVERAGEIFS($X$5:$X$1000,$R$5:$R$1000,ROW(),$S$5:$S$1000,"Sub"),$X237))</f>
        <v/>
      </c>
    </row>
    <row r="238">
      <c r="A238" s="61">
        <f>IF(NOT((COUNTA($B238:$K238)+COUNTA($N238))&gt;0),"",IF($S238="Macro",COUNTIFS($S$5:$S238,"Macro",$P$5:$P238,$P238),IF(N($R238)=0,"?",COUNTIFS(INDEX($S$5:$S$1000,1):INDEX($S$5:$S$1000,$R238-4),"Macro",INDEX($P$5:$P$1000,1):INDEX($P$5:$P$1000,$R238-4),INDEX($P$5:$P$1000,$R238-4))&amp;"."&amp;COUNTIFS($R$5:$R238,$R238,$S$5:$S238,"Sub"))))</f>
        <v/>
      </c>
      <c r="B238" s="62" t="n"/>
      <c r="C238" s="63" t="n"/>
      <c r="D238" s="62" t="n"/>
      <c r="E238" s="64" t="n"/>
      <c r="F238" s="64" t="n"/>
      <c r="G238" s="65" t="n"/>
      <c r="H238" s="66" t="n"/>
      <c r="I238" s="66" t="n"/>
      <c r="J238" s="66" t="n"/>
      <c r="K238" s="66" t="n"/>
      <c r="L238" s="67">
        <f>IF(NOT((COUNTA($B238:$K238)+COUNTA($N238))&gt;0),"",IF(N($T238)&gt;0,$AB238,IFERROR(LOOKUP(2,1/(H238:K238&lt;&gt;""),H238:K238),0)))</f>
        <v/>
      </c>
      <c r="M238" s="61">
        <f>IF(L238="","",IF(L238&gt;=1,"Completado",IF(L238&gt;0,"En curso","Pendiente")))</f>
        <v/>
      </c>
      <c r="N238" s="62" t="n"/>
      <c r="O238" s="68">
        <f>IF(NOT((COUNTA($B238:$K238)+COUNTA($N238))&gt;0),"",IF((IF(AND($S238="Macro",$B238=""),"Macroactividad vacía"&amp;" · ","")&amp;IF(AND($B238&lt;&gt;"",$C238&lt;&gt;""),"Escriba la subactividad en otra fila, debajo de su macroactividad"&amp;" · ","")&amp;IF(AND($S238="Sub",N($R238)=0),"Subactividad sin macroactividad arriba"&amp;" · ","")&amp;IF($D238="","Sin responsable"&amp;" · ","")&amp;IF($E238="","Sin fecha de inicio"&amp;" · ","")&amp;IF($F238="","Sin fecha límite"&amp;" · ","")&amp;IF(OR(AND($E238&lt;&gt;"",NOT(ISNUMBER($E238))),AND($F238&lt;&gt;"",NOT(ISNUMBER($F238)))),"Fecha no válida"&amp;" · ","")&amp;IF(AND(ISNUMBER($E238),ISNUMBER($F238),$E238&gt;$F238),"Inicio posterior a fecha límite"&amp;" · ","")&amp;IF(AND($S238="Macro",$G238=""),"Peso vacío"&amp;" · ","")&amp;IF(AND($S238="Macro",$G238&lt;&gt;"",OR(NOT(ISNUMBER($G238)),$G238&lt;=0,$G238&gt;1)),"Peso fuera de rango"&amp;" · ","")&amp;IF(AND($S238="Sub",$G238&lt;&gt;""),"Las subactividades no llevan peso"&amp;" · ","")&amp;IF(AND($S238="Macro",ABS(SUMIFS($G$5:$G$1000,$P$5:$P$1000,$P238,$S$5:$S$1000,"Macro")-1)&gt;0.0001),"Pesos del mes suman "&amp;TEXT(SUMIFS($G$5:$G$1000,$P$5:$P$1000,$P238,$S$5:$S$1000,"Macro"),"0%")&amp;" · ","")&amp;IF(AND(N($T238)&gt;0,COUNT($H238:$K238)&gt;0),"Con subactividades: deje vacías las semanas (se calculan solas)"&amp;" · ","")&amp;IF((COUNTIF($H238:$K238,"&gt;1")+COUNTIF($H238:$K238,"&lt;0")+COUNTA($H238:$K238)-COUNT($H238:$K238))&gt;0,"Avance fuera de rango 0-100%"&amp;" · ","")&amp;IF(OR(AND($I238&lt;&gt;"",$I238&lt;$H238),AND($J238&lt;&gt;"",$J238&lt;MAX($H238:$I238)),AND($K238&lt;&gt;"",$K238&lt;MAX($H238:$J238))),"Avance semanal decreciente"&amp;" · ","")&amp;IF(AND(ISNUMBER($F238),$F238&lt;FechaRef,N($L238)&lt;1),"Vencida"&amp;" · ","")&amp;IF(AND(ObsObligatoria="Sí",ISNUMBER($F238),$F238&lt;FechaRef,N($L238)&lt;1,$N238=""),"Vencida sin observación"&amp;" · ",""))="","✔ OK","⚠ "&amp;LEFT(IF(AND($S238="Macro",$B238=""),"Macroactividad vacía"&amp;" · ","")&amp;IF(AND($B238&lt;&gt;"",$C238&lt;&gt;""),"Escriba la subactividad en otra fila, debajo de su macroactividad"&amp;" · ","")&amp;IF(AND($S238="Sub",N($R238)=0),"Subactividad sin macroactividad arriba"&amp;" · ","")&amp;IF($D238="","Sin responsable"&amp;" · ","")&amp;IF($E238="","Sin fecha de inicio"&amp;" · ","")&amp;IF($F238="","Sin fecha límite"&amp;" · ","")&amp;IF(OR(AND($E238&lt;&gt;"",NOT(ISNUMBER($E238))),AND($F238&lt;&gt;"",NOT(ISNUMBER($F238)))),"Fecha no válida"&amp;" · ","")&amp;IF(AND(ISNUMBER($E238),ISNUMBER($F238),$E238&gt;$F238),"Inicio posterior a fecha límite"&amp;" · ","")&amp;IF(AND($S238="Macro",$G238=""),"Peso vacío"&amp;" · ","")&amp;IF(AND($S238="Macro",$G238&lt;&gt;"",OR(NOT(ISNUMBER($G238)),$G238&lt;=0,$G238&gt;1)),"Peso fuera de rango"&amp;" · ","")&amp;IF(AND($S238="Sub",$G238&lt;&gt;""),"Las subactividades no llevan peso"&amp;" · ","")&amp;IF(AND($S238="Macro",ABS(SUMIFS($G$5:$G$1000,$P$5:$P$1000,$P238,$S$5:$S$1000,"Macro")-1)&gt;0.0001),"Pesos del mes suman "&amp;TEXT(SUMIFS($G$5:$G$1000,$P$5:$P$1000,$P238,$S$5:$S$1000,"Macro"),"0%")&amp;" · ","")&amp;IF(AND(N($T238)&gt;0,COUNT($H238:$K238)&gt;0),"Con subactividades: deje vacías las semanas (se calculan solas)"&amp;" · ","")&amp;IF((COUNTIF($H238:$K238,"&gt;1")+COUNTIF($H238:$K238,"&lt;0")+COUNTA($H238:$K238)-COUNT($H238:$K238))&gt;0,"Avance fuera de rango 0-100%"&amp;" · ","")&amp;IF(OR(AND($I238&lt;&gt;"",$I238&lt;$H238),AND($J238&lt;&gt;"",$J238&lt;MAX($H238:$I238)),AND($K238&lt;&gt;"",$K238&lt;MAX($H238:$J238))),"Avance semanal decreciente"&amp;" · ","")&amp;IF(AND(ISNUMBER($F238),$F238&lt;FechaRef,N($L238)&lt;1),"Vencida"&amp;" · ","")&amp;IF(AND(ObsObligatoria="Sí",ISNUMBER($F238),$F238&lt;FechaRef,N($L238)&lt;1,$N238=""),"Vencida sin observación"&amp;" · ",""),LEN(IF(AND($S238="Macro",$B238=""),"Macroactividad vacía"&amp;" · ","")&amp;IF(AND($B238&lt;&gt;"",$C238&lt;&gt;""),"Escriba la subactividad en otra fila, debajo de su macroactividad"&amp;" · ","")&amp;IF(AND($S238="Sub",N($R238)=0),"Subactividad sin macroactividad arriba"&amp;" · ","")&amp;IF($D238="","Sin responsable"&amp;" · ","")&amp;IF($E238="","Sin fecha de inicio"&amp;" · ","")&amp;IF($F238="","Sin fecha límite"&amp;" · ","")&amp;IF(OR(AND($E238&lt;&gt;"",NOT(ISNUMBER($E238))),AND($F238&lt;&gt;"",NOT(ISNUMBER($F238)))),"Fecha no válida"&amp;" · ","")&amp;IF(AND(ISNUMBER($E238),ISNUMBER($F238),$E238&gt;$F238),"Inicio posterior a fecha límite"&amp;" · ","")&amp;IF(AND($S238="Macro",$G238=""),"Peso vacío"&amp;" · ","")&amp;IF(AND($S238="Macro",$G238&lt;&gt;"",OR(NOT(ISNUMBER($G238)),$G238&lt;=0,$G238&gt;1)),"Peso fuera de rango"&amp;" · ","")&amp;IF(AND($S238="Sub",$G238&lt;&gt;""),"Las subactividades no llevan peso"&amp;" · ","")&amp;IF(AND($S238="Macro",ABS(SUMIFS($G$5:$G$1000,$P$5:$P$1000,$P238,$S$5:$S$1000,"Macro")-1)&gt;0.0001),"Pesos del mes suman "&amp;TEXT(SUMIFS($G$5:$G$1000,$P$5:$P$1000,$P238,$S$5:$S$1000,"Macro"),"0%")&amp;" · ","")&amp;IF(AND(N($T238)&gt;0,COUNT($H238:$K238)&gt;0),"Con subactividades: deje vacías las semanas (se calculan solas)"&amp;" · ","")&amp;IF((COUNTIF($H238:$K238,"&gt;1")+COUNTIF($H238:$K238,"&lt;0")+COUNTA($H238:$K238)-COUNT($H238:$K238))&gt;0,"Avance fuera de rango 0-100%"&amp;" · ","")&amp;IF(OR(AND($I238&lt;&gt;"",$I238&lt;$H238),AND($J238&lt;&gt;"",$J238&lt;MAX($H238:$I238)),AND($K238&lt;&gt;"",$K238&lt;MAX($H238:$J238))),"Avance semanal decreciente"&amp;" · ","")&amp;IF(AND(ISNUMBER($F238),$F238&lt;FechaRef,N($L238)&lt;1),"Vencida"&amp;" · ","")&amp;IF(AND(ObsObligatoria="Sí",ISNUMBER($F238),$F238&lt;FechaRef,N($L238)&lt;1,$N238=""),"Vencida sin observación"&amp;" · ",""))-3)))</f>
        <v/>
      </c>
      <c r="P238" s="69">
        <f>IF(NOT((COUNTA($B238:$K238)+COUNTA($N238))&gt;0),"",IF(AND($S238="Sub",N($R238)&gt;0),IF(ISNUMBER(INDEX($E$5:$E$1000,$R238-4)),DATE(YEAR(INDEX($E$5:$E$1000,$R238-4)),MONTH(INDEX($E$5:$E$1000,$R238-4)),1),IF(ISNUMBER(INDEX($F$5:$F$1000,$R238-4)),DATE(YEAR(INDEX($F$5:$F$1000,$R238-4)),MONTH(INDEX($F$5:$F$1000,$R238-4)),1),MesCiclo)),IF(ISNUMBER($E238),DATE(YEAR($E238),MONTH($E238),1),IF(ISNUMBER($F238),DATE(YEAR($F238),MONTH($F238),1),MesCiclo))))</f>
        <v/>
      </c>
      <c r="Q238" s="70">
        <f>IF(OR($P238="",$P238&lt;&gt;MesCiclo),"",COUNTIF($P$5:$P238,MesCiclo))</f>
        <v/>
      </c>
      <c r="R238" s="70">
        <f>IF($S238="","",IF($S238="Macro",ROW(),IFERROR(LOOKUP(2,1/($S$5:$S238="Macro"),ROW($S$5:$S238)),0)))</f>
        <v/>
      </c>
      <c r="S238" s="70">
        <f>IF(NOT((COUNTA($B238:$K238)+COUNTA($N238))&gt;0),"",IF($B238&lt;&gt;"","Macro",IF($C238&lt;&gt;"","Sub","Macro")))</f>
        <v/>
      </c>
      <c r="T238" s="70">
        <f>IF($S238="Macro",COUNTIFS($R$5:$R$1000,ROW(),$S$5:$S$1000,"Sub"),"")</f>
        <v/>
      </c>
      <c r="U238" s="70">
        <f>IF($S238="","",IF(ISNUMBER($H238),$H238,0))</f>
        <v/>
      </c>
      <c r="V238" s="70">
        <f>IF($S238="","",IF(ISNUMBER($I238),$I238,$U238))</f>
        <v/>
      </c>
      <c r="W238" s="70">
        <f>IF($S238="","",IF(ISNUMBER($J238),$J238,$V238))</f>
        <v/>
      </c>
      <c r="X238" s="70">
        <f>IF($S238="","",IF(ISNUMBER($K238),$K238,$W238))</f>
        <v/>
      </c>
      <c r="Y238" s="70">
        <f>IF($S238="","",IF(N($T238)&gt;0,AVERAGEIFS($U$5:$U$1000,$R$5:$R$1000,ROW(),$S$5:$S$1000,"Sub"),$U238))</f>
        <v/>
      </c>
      <c r="Z238" s="70">
        <f>IF($S238="","",IF(N($T238)&gt;0,AVERAGEIFS($V$5:$V$1000,$R$5:$R$1000,ROW(),$S$5:$S$1000,"Sub"),$V238))</f>
        <v/>
      </c>
      <c r="AA238" s="70">
        <f>IF($S238="","",IF(N($T238)&gt;0,AVERAGEIFS($W$5:$W$1000,$R$5:$R$1000,ROW(),$S$5:$S$1000,"Sub"),$W238))</f>
        <v/>
      </c>
      <c r="AB238" s="70">
        <f>IF($S238="","",IF(N($T238)&gt;0,AVERAGEIFS($X$5:$X$1000,$R$5:$R$1000,ROW(),$S$5:$S$1000,"Sub"),$X238))</f>
        <v/>
      </c>
    </row>
    <row r="239">
      <c r="A239" s="61">
        <f>IF(NOT((COUNTA($B239:$K239)+COUNTA($N239))&gt;0),"",IF($S239="Macro",COUNTIFS($S$5:$S239,"Macro",$P$5:$P239,$P239),IF(N($R239)=0,"?",COUNTIFS(INDEX($S$5:$S$1000,1):INDEX($S$5:$S$1000,$R239-4),"Macro",INDEX($P$5:$P$1000,1):INDEX($P$5:$P$1000,$R239-4),INDEX($P$5:$P$1000,$R239-4))&amp;"."&amp;COUNTIFS($R$5:$R239,$R239,$S$5:$S239,"Sub"))))</f>
        <v/>
      </c>
      <c r="B239" s="62" t="n"/>
      <c r="C239" s="63" t="n"/>
      <c r="D239" s="62" t="n"/>
      <c r="E239" s="64" t="n"/>
      <c r="F239" s="64" t="n"/>
      <c r="G239" s="65" t="n"/>
      <c r="H239" s="66" t="n"/>
      <c r="I239" s="66" t="n"/>
      <c r="J239" s="66" t="n"/>
      <c r="K239" s="66" t="n"/>
      <c r="L239" s="67">
        <f>IF(NOT((COUNTA($B239:$K239)+COUNTA($N239))&gt;0),"",IF(N($T239)&gt;0,$AB239,IFERROR(LOOKUP(2,1/(H239:K239&lt;&gt;""),H239:K239),0)))</f>
        <v/>
      </c>
      <c r="M239" s="61">
        <f>IF(L239="","",IF(L239&gt;=1,"Completado",IF(L239&gt;0,"En curso","Pendiente")))</f>
        <v/>
      </c>
      <c r="N239" s="62" t="n"/>
      <c r="O239" s="68">
        <f>IF(NOT((COUNTA($B239:$K239)+COUNTA($N239))&gt;0),"",IF((IF(AND($S239="Macro",$B239=""),"Macroactividad vacía"&amp;" · ","")&amp;IF(AND($B239&lt;&gt;"",$C239&lt;&gt;""),"Escriba la subactividad en otra fila, debajo de su macroactividad"&amp;" · ","")&amp;IF(AND($S239="Sub",N($R239)=0),"Subactividad sin macroactividad arriba"&amp;" · ","")&amp;IF($D239="","Sin responsable"&amp;" · ","")&amp;IF($E239="","Sin fecha de inicio"&amp;" · ","")&amp;IF($F239="","Sin fecha límite"&amp;" · ","")&amp;IF(OR(AND($E239&lt;&gt;"",NOT(ISNUMBER($E239))),AND($F239&lt;&gt;"",NOT(ISNUMBER($F239)))),"Fecha no válida"&amp;" · ","")&amp;IF(AND(ISNUMBER($E239),ISNUMBER($F239),$E239&gt;$F239),"Inicio posterior a fecha límite"&amp;" · ","")&amp;IF(AND($S239="Macro",$G239=""),"Peso vacío"&amp;" · ","")&amp;IF(AND($S239="Macro",$G239&lt;&gt;"",OR(NOT(ISNUMBER($G239)),$G239&lt;=0,$G239&gt;1)),"Peso fuera de rango"&amp;" · ","")&amp;IF(AND($S239="Sub",$G239&lt;&gt;""),"Las subactividades no llevan peso"&amp;" · ","")&amp;IF(AND($S239="Macro",ABS(SUMIFS($G$5:$G$1000,$P$5:$P$1000,$P239,$S$5:$S$1000,"Macro")-1)&gt;0.0001),"Pesos del mes suman "&amp;TEXT(SUMIFS($G$5:$G$1000,$P$5:$P$1000,$P239,$S$5:$S$1000,"Macro"),"0%")&amp;" · ","")&amp;IF(AND(N($T239)&gt;0,COUNT($H239:$K239)&gt;0),"Con subactividades: deje vacías las semanas (se calculan solas)"&amp;" · ","")&amp;IF((COUNTIF($H239:$K239,"&gt;1")+COUNTIF($H239:$K239,"&lt;0")+COUNTA($H239:$K239)-COUNT($H239:$K239))&gt;0,"Avance fuera de rango 0-100%"&amp;" · ","")&amp;IF(OR(AND($I239&lt;&gt;"",$I239&lt;$H239),AND($J239&lt;&gt;"",$J239&lt;MAX($H239:$I239)),AND($K239&lt;&gt;"",$K239&lt;MAX($H239:$J239))),"Avance semanal decreciente"&amp;" · ","")&amp;IF(AND(ISNUMBER($F239),$F239&lt;FechaRef,N($L239)&lt;1),"Vencida"&amp;" · ","")&amp;IF(AND(ObsObligatoria="Sí",ISNUMBER($F239),$F239&lt;FechaRef,N($L239)&lt;1,$N239=""),"Vencida sin observación"&amp;" · ",""))="","✔ OK","⚠ "&amp;LEFT(IF(AND($S239="Macro",$B239=""),"Macroactividad vacía"&amp;" · ","")&amp;IF(AND($B239&lt;&gt;"",$C239&lt;&gt;""),"Escriba la subactividad en otra fila, debajo de su macroactividad"&amp;" · ","")&amp;IF(AND($S239="Sub",N($R239)=0),"Subactividad sin macroactividad arriba"&amp;" · ","")&amp;IF($D239="","Sin responsable"&amp;" · ","")&amp;IF($E239="","Sin fecha de inicio"&amp;" · ","")&amp;IF($F239="","Sin fecha límite"&amp;" · ","")&amp;IF(OR(AND($E239&lt;&gt;"",NOT(ISNUMBER($E239))),AND($F239&lt;&gt;"",NOT(ISNUMBER($F239)))),"Fecha no válida"&amp;" · ","")&amp;IF(AND(ISNUMBER($E239),ISNUMBER($F239),$E239&gt;$F239),"Inicio posterior a fecha límite"&amp;" · ","")&amp;IF(AND($S239="Macro",$G239=""),"Peso vacío"&amp;" · ","")&amp;IF(AND($S239="Macro",$G239&lt;&gt;"",OR(NOT(ISNUMBER($G239)),$G239&lt;=0,$G239&gt;1)),"Peso fuera de rango"&amp;" · ","")&amp;IF(AND($S239="Sub",$G239&lt;&gt;""),"Las subactividades no llevan peso"&amp;" · ","")&amp;IF(AND($S239="Macro",ABS(SUMIFS($G$5:$G$1000,$P$5:$P$1000,$P239,$S$5:$S$1000,"Macro")-1)&gt;0.0001),"Pesos del mes suman "&amp;TEXT(SUMIFS($G$5:$G$1000,$P$5:$P$1000,$P239,$S$5:$S$1000,"Macro"),"0%")&amp;" · ","")&amp;IF(AND(N($T239)&gt;0,COUNT($H239:$K239)&gt;0),"Con subactividades: deje vacías las semanas (se calculan solas)"&amp;" · ","")&amp;IF((COUNTIF($H239:$K239,"&gt;1")+COUNTIF($H239:$K239,"&lt;0")+COUNTA($H239:$K239)-COUNT($H239:$K239))&gt;0,"Avance fuera de rango 0-100%"&amp;" · ","")&amp;IF(OR(AND($I239&lt;&gt;"",$I239&lt;$H239),AND($J239&lt;&gt;"",$J239&lt;MAX($H239:$I239)),AND($K239&lt;&gt;"",$K239&lt;MAX($H239:$J239))),"Avance semanal decreciente"&amp;" · ","")&amp;IF(AND(ISNUMBER($F239),$F239&lt;FechaRef,N($L239)&lt;1),"Vencida"&amp;" · ","")&amp;IF(AND(ObsObligatoria="Sí",ISNUMBER($F239),$F239&lt;FechaRef,N($L239)&lt;1,$N239=""),"Vencida sin observación"&amp;" · ",""),LEN(IF(AND($S239="Macro",$B239=""),"Macroactividad vacía"&amp;" · ","")&amp;IF(AND($B239&lt;&gt;"",$C239&lt;&gt;""),"Escriba la subactividad en otra fila, debajo de su macroactividad"&amp;" · ","")&amp;IF(AND($S239="Sub",N($R239)=0),"Subactividad sin macroactividad arriba"&amp;" · ","")&amp;IF($D239="","Sin responsable"&amp;" · ","")&amp;IF($E239="","Sin fecha de inicio"&amp;" · ","")&amp;IF($F239="","Sin fecha límite"&amp;" · ","")&amp;IF(OR(AND($E239&lt;&gt;"",NOT(ISNUMBER($E239))),AND($F239&lt;&gt;"",NOT(ISNUMBER($F239)))),"Fecha no válida"&amp;" · ","")&amp;IF(AND(ISNUMBER($E239),ISNUMBER($F239),$E239&gt;$F239),"Inicio posterior a fecha límite"&amp;" · ","")&amp;IF(AND($S239="Macro",$G239=""),"Peso vacío"&amp;" · ","")&amp;IF(AND($S239="Macro",$G239&lt;&gt;"",OR(NOT(ISNUMBER($G239)),$G239&lt;=0,$G239&gt;1)),"Peso fuera de rango"&amp;" · ","")&amp;IF(AND($S239="Sub",$G239&lt;&gt;""),"Las subactividades no llevan peso"&amp;" · ","")&amp;IF(AND($S239="Macro",ABS(SUMIFS($G$5:$G$1000,$P$5:$P$1000,$P239,$S$5:$S$1000,"Macro")-1)&gt;0.0001),"Pesos del mes suman "&amp;TEXT(SUMIFS($G$5:$G$1000,$P$5:$P$1000,$P239,$S$5:$S$1000,"Macro"),"0%")&amp;" · ","")&amp;IF(AND(N($T239)&gt;0,COUNT($H239:$K239)&gt;0),"Con subactividades: deje vacías las semanas (se calculan solas)"&amp;" · ","")&amp;IF((COUNTIF($H239:$K239,"&gt;1")+COUNTIF($H239:$K239,"&lt;0")+COUNTA($H239:$K239)-COUNT($H239:$K239))&gt;0,"Avance fuera de rango 0-100%"&amp;" · ","")&amp;IF(OR(AND($I239&lt;&gt;"",$I239&lt;$H239),AND($J239&lt;&gt;"",$J239&lt;MAX($H239:$I239)),AND($K239&lt;&gt;"",$K239&lt;MAX($H239:$J239))),"Avance semanal decreciente"&amp;" · ","")&amp;IF(AND(ISNUMBER($F239),$F239&lt;FechaRef,N($L239)&lt;1),"Vencida"&amp;" · ","")&amp;IF(AND(ObsObligatoria="Sí",ISNUMBER($F239),$F239&lt;FechaRef,N($L239)&lt;1,$N239=""),"Vencida sin observación"&amp;" · ",""))-3)))</f>
        <v/>
      </c>
      <c r="P239" s="69">
        <f>IF(NOT((COUNTA($B239:$K239)+COUNTA($N239))&gt;0),"",IF(AND($S239="Sub",N($R239)&gt;0),IF(ISNUMBER(INDEX($E$5:$E$1000,$R239-4)),DATE(YEAR(INDEX($E$5:$E$1000,$R239-4)),MONTH(INDEX($E$5:$E$1000,$R239-4)),1),IF(ISNUMBER(INDEX($F$5:$F$1000,$R239-4)),DATE(YEAR(INDEX($F$5:$F$1000,$R239-4)),MONTH(INDEX($F$5:$F$1000,$R239-4)),1),MesCiclo)),IF(ISNUMBER($E239),DATE(YEAR($E239),MONTH($E239),1),IF(ISNUMBER($F239),DATE(YEAR($F239),MONTH($F239),1),MesCiclo))))</f>
        <v/>
      </c>
      <c r="Q239" s="70">
        <f>IF(OR($P239="",$P239&lt;&gt;MesCiclo),"",COUNTIF($P$5:$P239,MesCiclo))</f>
        <v/>
      </c>
      <c r="R239" s="70">
        <f>IF($S239="","",IF($S239="Macro",ROW(),IFERROR(LOOKUP(2,1/($S$5:$S239="Macro"),ROW($S$5:$S239)),0)))</f>
        <v/>
      </c>
      <c r="S239" s="70">
        <f>IF(NOT((COUNTA($B239:$K239)+COUNTA($N239))&gt;0),"",IF($B239&lt;&gt;"","Macro",IF($C239&lt;&gt;"","Sub","Macro")))</f>
        <v/>
      </c>
      <c r="T239" s="70">
        <f>IF($S239="Macro",COUNTIFS($R$5:$R$1000,ROW(),$S$5:$S$1000,"Sub"),"")</f>
        <v/>
      </c>
      <c r="U239" s="70">
        <f>IF($S239="","",IF(ISNUMBER($H239),$H239,0))</f>
        <v/>
      </c>
      <c r="V239" s="70">
        <f>IF($S239="","",IF(ISNUMBER($I239),$I239,$U239))</f>
        <v/>
      </c>
      <c r="W239" s="70">
        <f>IF($S239="","",IF(ISNUMBER($J239),$J239,$V239))</f>
        <v/>
      </c>
      <c r="X239" s="70">
        <f>IF($S239="","",IF(ISNUMBER($K239),$K239,$W239))</f>
        <v/>
      </c>
      <c r="Y239" s="70">
        <f>IF($S239="","",IF(N($T239)&gt;0,AVERAGEIFS($U$5:$U$1000,$R$5:$R$1000,ROW(),$S$5:$S$1000,"Sub"),$U239))</f>
        <v/>
      </c>
      <c r="Z239" s="70">
        <f>IF($S239="","",IF(N($T239)&gt;0,AVERAGEIFS($V$5:$V$1000,$R$5:$R$1000,ROW(),$S$5:$S$1000,"Sub"),$V239))</f>
        <v/>
      </c>
      <c r="AA239" s="70">
        <f>IF($S239="","",IF(N($T239)&gt;0,AVERAGEIFS($W$5:$W$1000,$R$5:$R$1000,ROW(),$S$5:$S$1000,"Sub"),$W239))</f>
        <v/>
      </c>
      <c r="AB239" s="70">
        <f>IF($S239="","",IF(N($T239)&gt;0,AVERAGEIFS($X$5:$X$1000,$R$5:$R$1000,ROW(),$S$5:$S$1000,"Sub"),$X239))</f>
        <v/>
      </c>
    </row>
    <row r="240">
      <c r="A240" s="61">
        <f>IF(NOT((COUNTA($B240:$K240)+COUNTA($N240))&gt;0),"",IF($S240="Macro",COUNTIFS($S$5:$S240,"Macro",$P$5:$P240,$P240),IF(N($R240)=0,"?",COUNTIFS(INDEX($S$5:$S$1000,1):INDEX($S$5:$S$1000,$R240-4),"Macro",INDEX($P$5:$P$1000,1):INDEX($P$5:$P$1000,$R240-4),INDEX($P$5:$P$1000,$R240-4))&amp;"."&amp;COUNTIFS($R$5:$R240,$R240,$S$5:$S240,"Sub"))))</f>
        <v/>
      </c>
      <c r="B240" s="62" t="n"/>
      <c r="C240" s="63" t="n"/>
      <c r="D240" s="62" t="n"/>
      <c r="E240" s="64" t="n"/>
      <c r="F240" s="64" t="n"/>
      <c r="G240" s="65" t="n"/>
      <c r="H240" s="66" t="n"/>
      <c r="I240" s="66" t="n"/>
      <c r="J240" s="66" t="n"/>
      <c r="K240" s="66" t="n"/>
      <c r="L240" s="67">
        <f>IF(NOT((COUNTA($B240:$K240)+COUNTA($N240))&gt;0),"",IF(N($T240)&gt;0,$AB240,IFERROR(LOOKUP(2,1/(H240:K240&lt;&gt;""),H240:K240),0)))</f>
        <v/>
      </c>
      <c r="M240" s="61">
        <f>IF(L240="","",IF(L240&gt;=1,"Completado",IF(L240&gt;0,"En curso","Pendiente")))</f>
        <v/>
      </c>
      <c r="N240" s="62" t="n"/>
      <c r="O240" s="68">
        <f>IF(NOT((COUNTA($B240:$K240)+COUNTA($N240))&gt;0),"",IF((IF(AND($S240="Macro",$B240=""),"Macroactividad vacía"&amp;" · ","")&amp;IF(AND($B240&lt;&gt;"",$C240&lt;&gt;""),"Escriba la subactividad en otra fila, debajo de su macroactividad"&amp;" · ","")&amp;IF(AND($S240="Sub",N($R240)=0),"Subactividad sin macroactividad arriba"&amp;" · ","")&amp;IF($D240="","Sin responsable"&amp;" · ","")&amp;IF($E240="","Sin fecha de inicio"&amp;" · ","")&amp;IF($F240="","Sin fecha límite"&amp;" · ","")&amp;IF(OR(AND($E240&lt;&gt;"",NOT(ISNUMBER($E240))),AND($F240&lt;&gt;"",NOT(ISNUMBER($F240)))),"Fecha no válida"&amp;" · ","")&amp;IF(AND(ISNUMBER($E240),ISNUMBER($F240),$E240&gt;$F240),"Inicio posterior a fecha límite"&amp;" · ","")&amp;IF(AND($S240="Macro",$G240=""),"Peso vacío"&amp;" · ","")&amp;IF(AND($S240="Macro",$G240&lt;&gt;"",OR(NOT(ISNUMBER($G240)),$G240&lt;=0,$G240&gt;1)),"Peso fuera de rango"&amp;" · ","")&amp;IF(AND($S240="Sub",$G240&lt;&gt;""),"Las subactividades no llevan peso"&amp;" · ","")&amp;IF(AND($S240="Macro",ABS(SUMIFS($G$5:$G$1000,$P$5:$P$1000,$P240,$S$5:$S$1000,"Macro")-1)&gt;0.0001),"Pesos del mes suman "&amp;TEXT(SUMIFS($G$5:$G$1000,$P$5:$P$1000,$P240,$S$5:$S$1000,"Macro"),"0%")&amp;" · ","")&amp;IF(AND(N($T240)&gt;0,COUNT($H240:$K240)&gt;0),"Con subactividades: deje vacías las semanas (se calculan solas)"&amp;" · ","")&amp;IF((COUNTIF($H240:$K240,"&gt;1")+COUNTIF($H240:$K240,"&lt;0")+COUNTA($H240:$K240)-COUNT($H240:$K240))&gt;0,"Avance fuera de rango 0-100%"&amp;" · ","")&amp;IF(OR(AND($I240&lt;&gt;"",$I240&lt;$H240),AND($J240&lt;&gt;"",$J240&lt;MAX($H240:$I240)),AND($K240&lt;&gt;"",$K240&lt;MAX($H240:$J240))),"Avance semanal decreciente"&amp;" · ","")&amp;IF(AND(ISNUMBER($F240),$F240&lt;FechaRef,N($L240)&lt;1),"Vencida"&amp;" · ","")&amp;IF(AND(ObsObligatoria="Sí",ISNUMBER($F240),$F240&lt;FechaRef,N($L240)&lt;1,$N240=""),"Vencida sin observación"&amp;" · ",""))="","✔ OK","⚠ "&amp;LEFT(IF(AND($S240="Macro",$B240=""),"Macroactividad vacía"&amp;" · ","")&amp;IF(AND($B240&lt;&gt;"",$C240&lt;&gt;""),"Escriba la subactividad en otra fila, debajo de su macroactividad"&amp;" · ","")&amp;IF(AND($S240="Sub",N($R240)=0),"Subactividad sin macroactividad arriba"&amp;" · ","")&amp;IF($D240="","Sin responsable"&amp;" · ","")&amp;IF($E240="","Sin fecha de inicio"&amp;" · ","")&amp;IF($F240="","Sin fecha límite"&amp;" · ","")&amp;IF(OR(AND($E240&lt;&gt;"",NOT(ISNUMBER($E240))),AND($F240&lt;&gt;"",NOT(ISNUMBER($F240)))),"Fecha no válida"&amp;" · ","")&amp;IF(AND(ISNUMBER($E240),ISNUMBER($F240),$E240&gt;$F240),"Inicio posterior a fecha límite"&amp;" · ","")&amp;IF(AND($S240="Macro",$G240=""),"Peso vacío"&amp;" · ","")&amp;IF(AND($S240="Macro",$G240&lt;&gt;"",OR(NOT(ISNUMBER($G240)),$G240&lt;=0,$G240&gt;1)),"Peso fuera de rango"&amp;" · ","")&amp;IF(AND($S240="Sub",$G240&lt;&gt;""),"Las subactividades no llevan peso"&amp;" · ","")&amp;IF(AND($S240="Macro",ABS(SUMIFS($G$5:$G$1000,$P$5:$P$1000,$P240,$S$5:$S$1000,"Macro")-1)&gt;0.0001),"Pesos del mes suman "&amp;TEXT(SUMIFS($G$5:$G$1000,$P$5:$P$1000,$P240,$S$5:$S$1000,"Macro"),"0%")&amp;" · ","")&amp;IF(AND(N($T240)&gt;0,COUNT($H240:$K240)&gt;0),"Con subactividades: deje vacías las semanas (se calculan solas)"&amp;" · ","")&amp;IF((COUNTIF($H240:$K240,"&gt;1")+COUNTIF($H240:$K240,"&lt;0")+COUNTA($H240:$K240)-COUNT($H240:$K240))&gt;0,"Avance fuera de rango 0-100%"&amp;" · ","")&amp;IF(OR(AND($I240&lt;&gt;"",$I240&lt;$H240),AND($J240&lt;&gt;"",$J240&lt;MAX($H240:$I240)),AND($K240&lt;&gt;"",$K240&lt;MAX($H240:$J240))),"Avance semanal decreciente"&amp;" · ","")&amp;IF(AND(ISNUMBER($F240),$F240&lt;FechaRef,N($L240)&lt;1),"Vencida"&amp;" · ","")&amp;IF(AND(ObsObligatoria="Sí",ISNUMBER($F240),$F240&lt;FechaRef,N($L240)&lt;1,$N240=""),"Vencida sin observación"&amp;" · ",""),LEN(IF(AND($S240="Macro",$B240=""),"Macroactividad vacía"&amp;" · ","")&amp;IF(AND($B240&lt;&gt;"",$C240&lt;&gt;""),"Escriba la subactividad en otra fila, debajo de su macroactividad"&amp;" · ","")&amp;IF(AND($S240="Sub",N($R240)=0),"Subactividad sin macroactividad arriba"&amp;" · ","")&amp;IF($D240="","Sin responsable"&amp;" · ","")&amp;IF($E240="","Sin fecha de inicio"&amp;" · ","")&amp;IF($F240="","Sin fecha límite"&amp;" · ","")&amp;IF(OR(AND($E240&lt;&gt;"",NOT(ISNUMBER($E240))),AND($F240&lt;&gt;"",NOT(ISNUMBER($F240)))),"Fecha no válida"&amp;" · ","")&amp;IF(AND(ISNUMBER($E240),ISNUMBER($F240),$E240&gt;$F240),"Inicio posterior a fecha límite"&amp;" · ","")&amp;IF(AND($S240="Macro",$G240=""),"Peso vacío"&amp;" · ","")&amp;IF(AND($S240="Macro",$G240&lt;&gt;"",OR(NOT(ISNUMBER($G240)),$G240&lt;=0,$G240&gt;1)),"Peso fuera de rango"&amp;" · ","")&amp;IF(AND($S240="Sub",$G240&lt;&gt;""),"Las subactividades no llevan peso"&amp;" · ","")&amp;IF(AND($S240="Macro",ABS(SUMIFS($G$5:$G$1000,$P$5:$P$1000,$P240,$S$5:$S$1000,"Macro")-1)&gt;0.0001),"Pesos del mes suman "&amp;TEXT(SUMIFS($G$5:$G$1000,$P$5:$P$1000,$P240,$S$5:$S$1000,"Macro"),"0%")&amp;" · ","")&amp;IF(AND(N($T240)&gt;0,COUNT($H240:$K240)&gt;0),"Con subactividades: deje vacías las semanas (se calculan solas)"&amp;" · ","")&amp;IF((COUNTIF($H240:$K240,"&gt;1")+COUNTIF($H240:$K240,"&lt;0")+COUNTA($H240:$K240)-COUNT($H240:$K240))&gt;0,"Avance fuera de rango 0-100%"&amp;" · ","")&amp;IF(OR(AND($I240&lt;&gt;"",$I240&lt;$H240),AND($J240&lt;&gt;"",$J240&lt;MAX($H240:$I240)),AND($K240&lt;&gt;"",$K240&lt;MAX($H240:$J240))),"Avance semanal decreciente"&amp;" · ","")&amp;IF(AND(ISNUMBER($F240),$F240&lt;FechaRef,N($L240)&lt;1),"Vencida"&amp;" · ","")&amp;IF(AND(ObsObligatoria="Sí",ISNUMBER($F240),$F240&lt;FechaRef,N($L240)&lt;1,$N240=""),"Vencida sin observación"&amp;" · ",""))-3)))</f>
        <v/>
      </c>
      <c r="P240" s="69">
        <f>IF(NOT((COUNTA($B240:$K240)+COUNTA($N240))&gt;0),"",IF(AND($S240="Sub",N($R240)&gt;0),IF(ISNUMBER(INDEX($E$5:$E$1000,$R240-4)),DATE(YEAR(INDEX($E$5:$E$1000,$R240-4)),MONTH(INDEX($E$5:$E$1000,$R240-4)),1),IF(ISNUMBER(INDEX($F$5:$F$1000,$R240-4)),DATE(YEAR(INDEX($F$5:$F$1000,$R240-4)),MONTH(INDEX($F$5:$F$1000,$R240-4)),1),MesCiclo)),IF(ISNUMBER($E240),DATE(YEAR($E240),MONTH($E240),1),IF(ISNUMBER($F240),DATE(YEAR($F240),MONTH($F240),1),MesCiclo))))</f>
        <v/>
      </c>
      <c r="Q240" s="70">
        <f>IF(OR($P240="",$P240&lt;&gt;MesCiclo),"",COUNTIF($P$5:$P240,MesCiclo))</f>
        <v/>
      </c>
      <c r="R240" s="70">
        <f>IF($S240="","",IF($S240="Macro",ROW(),IFERROR(LOOKUP(2,1/($S$5:$S240="Macro"),ROW($S$5:$S240)),0)))</f>
        <v/>
      </c>
      <c r="S240" s="70">
        <f>IF(NOT((COUNTA($B240:$K240)+COUNTA($N240))&gt;0),"",IF($B240&lt;&gt;"","Macro",IF($C240&lt;&gt;"","Sub","Macro")))</f>
        <v/>
      </c>
      <c r="T240" s="70">
        <f>IF($S240="Macro",COUNTIFS($R$5:$R$1000,ROW(),$S$5:$S$1000,"Sub"),"")</f>
        <v/>
      </c>
      <c r="U240" s="70">
        <f>IF($S240="","",IF(ISNUMBER($H240),$H240,0))</f>
        <v/>
      </c>
      <c r="V240" s="70">
        <f>IF($S240="","",IF(ISNUMBER($I240),$I240,$U240))</f>
        <v/>
      </c>
      <c r="W240" s="70">
        <f>IF($S240="","",IF(ISNUMBER($J240),$J240,$V240))</f>
        <v/>
      </c>
      <c r="X240" s="70">
        <f>IF($S240="","",IF(ISNUMBER($K240),$K240,$W240))</f>
        <v/>
      </c>
      <c r="Y240" s="70">
        <f>IF($S240="","",IF(N($T240)&gt;0,AVERAGEIFS($U$5:$U$1000,$R$5:$R$1000,ROW(),$S$5:$S$1000,"Sub"),$U240))</f>
        <v/>
      </c>
      <c r="Z240" s="70">
        <f>IF($S240="","",IF(N($T240)&gt;0,AVERAGEIFS($V$5:$V$1000,$R$5:$R$1000,ROW(),$S$5:$S$1000,"Sub"),$V240))</f>
        <v/>
      </c>
      <c r="AA240" s="70">
        <f>IF($S240="","",IF(N($T240)&gt;0,AVERAGEIFS($W$5:$W$1000,$R$5:$R$1000,ROW(),$S$5:$S$1000,"Sub"),$W240))</f>
        <v/>
      </c>
      <c r="AB240" s="70">
        <f>IF($S240="","",IF(N($T240)&gt;0,AVERAGEIFS($X$5:$X$1000,$R$5:$R$1000,ROW(),$S$5:$S$1000,"Sub"),$X240))</f>
        <v/>
      </c>
    </row>
    <row r="241">
      <c r="A241" s="61">
        <f>IF(NOT((COUNTA($B241:$K241)+COUNTA($N241))&gt;0),"",IF($S241="Macro",COUNTIFS($S$5:$S241,"Macro",$P$5:$P241,$P241),IF(N($R241)=0,"?",COUNTIFS(INDEX($S$5:$S$1000,1):INDEX($S$5:$S$1000,$R241-4),"Macro",INDEX($P$5:$P$1000,1):INDEX($P$5:$P$1000,$R241-4),INDEX($P$5:$P$1000,$R241-4))&amp;"."&amp;COUNTIFS($R$5:$R241,$R241,$S$5:$S241,"Sub"))))</f>
        <v/>
      </c>
      <c r="B241" s="62" t="n"/>
      <c r="C241" s="63" t="n"/>
      <c r="D241" s="62" t="n"/>
      <c r="E241" s="64" t="n"/>
      <c r="F241" s="64" t="n"/>
      <c r="G241" s="65" t="n"/>
      <c r="H241" s="66" t="n"/>
      <c r="I241" s="66" t="n"/>
      <c r="J241" s="66" t="n"/>
      <c r="K241" s="66" t="n"/>
      <c r="L241" s="67">
        <f>IF(NOT((COUNTA($B241:$K241)+COUNTA($N241))&gt;0),"",IF(N($T241)&gt;0,$AB241,IFERROR(LOOKUP(2,1/(H241:K241&lt;&gt;""),H241:K241),0)))</f>
        <v/>
      </c>
      <c r="M241" s="61">
        <f>IF(L241="","",IF(L241&gt;=1,"Completado",IF(L241&gt;0,"En curso","Pendiente")))</f>
        <v/>
      </c>
      <c r="N241" s="62" t="n"/>
      <c r="O241" s="68">
        <f>IF(NOT((COUNTA($B241:$K241)+COUNTA($N241))&gt;0),"",IF((IF(AND($S241="Macro",$B241=""),"Macroactividad vacía"&amp;" · ","")&amp;IF(AND($B241&lt;&gt;"",$C241&lt;&gt;""),"Escriba la subactividad en otra fila, debajo de su macroactividad"&amp;" · ","")&amp;IF(AND($S241="Sub",N($R241)=0),"Subactividad sin macroactividad arriba"&amp;" · ","")&amp;IF($D241="","Sin responsable"&amp;" · ","")&amp;IF($E241="","Sin fecha de inicio"&amp;" · ","")&amp;IF($F241="","Sin fecha límite"&amp;" · ","")&amp;IF(OR(AND($E241&lt;&gt;"",NOT(ISNUMBER($E241))),AND($F241&lt;&gt;"",NOT(ISNUMBER($F241)))),"Fecha no válida"&amp;" · ","")&amp;IF(AND(ISNUMBER($E241),ISNUMBER($F241),$E241&gt;$F241),"Inicio posterior a fecha límite"&amp;" · ","")&amp;IF(AND($S241="Macro",$G241=""),"Peso vacío"&amp;" · ","")&amp;IF(AND($S241="Macro",$G241&lt;&gt;"",OR(NOT(ISNUMBER($G241)),$G241&lt;=0,$G241&gt;1)),"Peso fuera de rango"&amp;" · ","")&amp;IF(AND($S241="Sub",$G241&lt;&gt;""),"Las subactividades no llevan peso"&amp;" · ","")&amp;IF(AND($S241="Macro",ABS(SUMIFS($G$5:$G$1000,$P$5:$P$1000,$P241,$S$5:$S$1000,"Macro")-1)&gt;0.0001),"Pesos del mes suman "&amp;TEXT(SUMIFS($G$5:$G$1000,$P$5:$P$1000,$P241,$S$5:$S$1000,"Macro"),"0%")&amp;" · ","")&amp;IF(AND(N($T241)&gt;0,COUNT($H241:$K241)&gt;0),"Con subactividades: deje vacías las semanas (se calculan solas)"&amp;" · ","")&amp;IF((COUNTIF($H241:$K241,"&gt;1")+COUNTIF($H241:$K241,"&lt;0")+COUNTA($H241:$K241)-COUNT($H241:$K241))&gt;0,"Avance fuera de rango 0-100%"&amp;" · ","")&amp;IF(OR(AND($I241&lt;&gt;"",$I241&lt;$H241),AND($J241&lt;&gt;"",$J241&lt;MAX($H241:$I241)),AND($K241&lt;&gt;"",$K241&lt;MAX($H241:$J241))),"Avance semanal decreciente"&amp;" · ","")&amp;IF(AND(ISNUMBER($F241),$F241&lt;FechaRef,N($L241)&lt;1),"Vencida"&amp;" · ","")&amp;IF(AND(ObsObligatoria="Sí",ISNUMBER($F241),$F241&lt;FechaRef,N($L241)&lt;1,$N241=""),"Vencida sin observación"&amp;" · ",""))="","✔ OK","⚠ "&amp;LEFT(IF(AND($S241="Macro",$B241=""),"Macroactividad vacía"&amp;" · ","")&amp;IF(AND($B241&lt;&gt;"",$C241&lt;&gt;""),"Escriba la subactividad en otra fila, debajo de su macroactividad"&amp;" · ","")&amp;IF(AND($S241="Sub",N($R241)=0),"Subactividad sin macroactividad arriba"&amp;" · ","")&amp;IF($D241="","Sin responsable"&amp;" · ","")&amp;IF($E241="","Sin fecha de inicio"&amp;" · ","")&amp;IF($F241="","Sin fecha límite"&amp;" · ","")&amp;IF(OR(AND($E241&lt;&gt;"",NOT(ISNUMBER($E241))),AND($F241&lt;&gt;"",NOT(ISNUMBER($F241)))),"Fecha no válida"&amp;" · ","")&amp;IF(AND(ISNUMBER($E241),ISNUMBER($F241),$E241&gt;$F241),"Inicio posterior a fecha límite"&amp;" · ","")&amp;IF(AND($S241="Macro",$G241=""),"Peso vacío"&amp;" · ","")&amp;IF(AND($S241="Macro",$G241&lt;&gt;"",OR(NOT(ISNUMBER($G241)),$G241&lt;=0,$G241&gt;1)),"Peso fuera de rango"&amp;" · ","")&amp;IF(AND($S241="Sub",$G241&lt;&gt;""),"Las subactividades no llevan peso"&amp;" · ","")&amp;IF(AND($S241="Macro",ABS(SUMIFS($G$5:$G$1000,$P$5:$P$1000,$P241,$S$5:$S$1000,"Macro")-1)&gt;0.0001),"Pesos del mes suman "&amp;TEXT(SUMIFS($G$5:$G$1000,$P$5:$P$1000,$P241,$S$5:$S$1000,"Macro"),"0%")&amp;" · ","")&amp;IF(AND(N($T241)&gt;0,COUNT($H241:$K241)&gt;0),"Con subactividades: deje vacías las semanas (se calculan solas)"&amp;" · ","")&amp;IF((COUNTIF($H241:$K241,"&gt;1")+COUNTIF($H241:$K241,"&lt;0")+COUNTA($H241:$K241)-COUNT($H241:$K241))&gt;0,"Avance fuera de rango 0-100%"&amp;" · ","")&amp;IF(OR(AND($I241&lt;&gt;"",$I241&lt;$H241),AND($J241&lt;&gt;"",$J241&lt;MAX($H241:$I241)),AND($K241&lt;&gt;"",$K241&lt;MAX($H241:$J241))),"Avance semanal decreciente"&amp;" · ","")&amp;IF(AND(ISNUMBER($F241),$F241&lt;FechaRef,N($L241)&lt;1),"Vencida"&amp;" · ","")&amp;IF(AND(ObsObligatoria="Sí",ISNUMBER($F241),$F241&lt;FechaRef,N($L241)&lt;1,$N241=""),"Vencida sin observación"&amp;" · ",""),LEN(IF(AND($S241="Macro",$B241=""),"Macroactividad vacía"&amp;" · ","")&amp;IF(AND($B241&lt;&gt;"",$C241&lt;&gt;""),"Escriba la subactividad en otra fila, debajo de su macroactividad"&amp;" · ","")&amp;IF(AND($S241="Sub",N($R241)=0),"Subactividad sin macroactividad arriba"&amp;" · ","")&amp;IF($D241="","Sin responsable"&amp;" · ","")&amp;IF($E241="","Sin fecha de inicio"&amp;" · ","")&amp;IF($F241="","Sin fecha límite"&amp;" · ","")&amp;IF(OR(AND($E241&lt;&gt;"",NOT(ISNUMBER($E241))),AND($F241&lt;&gt;"",NOT(ISNUMBER($F241)))),"Fecha no válida"&amp;" · ","")&amp;IF(AND(ISNUMBER($E241),ISNUMBER($F241),$E241&gt;$F241),"Inicio posterior a fecha límite"&amp;" · ","")&amp;IF(AND($S241="Macro",$G241=""),"Peso vacío"&amp;" · ","")&amp;IF(AND($S241="Macro",$G241&lt;&gt;"",OR(NOT(ISNUMBER($G241)),$G241&lt;=0,$G241&gt;1)),"Peso fuera de rango"&amp;" · ","")&amp;IF(AND($S241="Sub",$G241&lt;&gt;""),"Las subactividades no llevan peso"&amp;" · ","")&amp;IF(AND($S241="Macro",ABS(SUMIFS($G$5:$G$1000,$P$5:$P$1000,$P241,$S$5:$S$1000,"Macro")-1)&gt;0.0001),"Pesos del mes suman "&amp;TEXT(SUMIFS($G$5:$G$1000,$P$5:$P$1000,$P241,$S$5:$S$1000,"Macro"),"0%")&amp;" · ","")&amp;IF(AND(N($T241)&gt;0,COUNT($H241:$K241)&gt;0),"Con subactividades: deje vacías las semanas (se calculan solas)"&amp;" · ","")&amp;IF((COUNTIF($H241:$K241,"&gt;1")+COUNTIF($H241:$K241,"&lt;0")+COUNTA($H241:$K241)-COUNT($H241:$K241))&gt;0,"Avance fuera de rango 0-100%"&amp;" · ","")&amp;IF(OR(AND($I241&lt;&gt;"",$I241&lt;$H241),AND($J241&lt;&gt;"",$J241&lt;MAX($H241:$I241)),AND($K241&lt;&gt;"",$K241&lt;MAX($H241:$J241))),"Avance semanal decreciente"&amp;" · ","")&amp;IF(AND(ISNUMBER($F241),$F241&lt;FechaRef,N($L241)&lt;1),"Vencida"&amp;" · ","")&amp;IF(AND(ObsObligatoria="Sí",ISNUMBER($F241),$F241&lt;FechaRef,N($L241)&lt;1,$N241=""),"Vencida sin observación"&amp;" · ",""))-3)))</f>
        <v/>
      </c>
      <c r="P241" s="69">
        <f>IF(NOT((COUNTA($B241:$K241)+COUNTA($N241))&gt;0),"",IF(AND($S241="Sub",N($R241)&gt;0),IF(ISNUMBER(INDEX($E$5:$E$1000,$R241-4)),DATE(YEAR(INDEX($E$5:$E$1000,$R241-4)),MONTH(INDEX($E$5:$E$1000,$R241-4)),1),IF(ISNUMBER(INDEX($F$5:$F$1000,$R241-4)),DATE(YEAR(INDEX($F$5:$F$1000,$R241-4)),MONTH(INDEX($F$5:$F$1000,$R241-4)),1),MesCiclo)),IF(ISNUMBER($E241),DATE(YEAR($E241),MONTH($E241),1),IF(ISNUMBER($F241),DATE(YEAR($F241),MONTH($F241),1),MesCiclo))))</f>
        <v/>
      </c>
      <c r="Q241" s="70">
        <f>IF(OR($P241="",$P241&lt;&gt;MesCiclo),"",COUNTIF($P$5:$P241,MesCiclo))</f>
        <v/>
      </c>
      <c r="R241" s="70">
        <f>IF($S241="","",IF($S241="Macro",ROW(),IFERROR(LOOKUP(2,1/($S$5:$S241="Macro"),ROW($S$5:$S241)),0)))</f>
        <v/>
      </c>
      <c r="S241" s="70">
        <f>IF(NOT((COUNTA($B241:$K241)+COUNTA($N241))&gt;0),"",IF($B241&lt;&gt;"","Macro",IF($C241&lt;&gt;"","Sub","Macro")))</f>
        <v/>
      </c>
      <c r="T241" s="70">
        <f>IF($S241="Macro",COUNTIFS($R$5:$R$1000,ROW(),$S$5:$S$1000,"Sub"),"")</f>
        <v/>
      </c>
      <c r="U241" s="70">
        <f>IF($S241="","",IF(ISNUMBER($H241),$H241,0))</f>
        <v/>
      </c>
      <c r="V241" s="70">
        <f>IF($S241="","",IF(ISNUMBER($I241),$I241,$U241))</f>
        <v/>
      </c>
      <c r="W241" s="70">
        <f>IF($S241="","",IF(ISNUMBER($J241),$J241,$V241))</f>
        <v/>
      </c>
      <c r="X241" s="70">
        <f>IF($S241="","",IF(ISNUMBER($K241),$K241,$W241))</f>
        <v/>
      </c>
      <c r="Y241" s="70">
        <f>IF($S241="","",IF(N($T241)&gt;0,AVERAGEIFS($U$5:$U$1000,$R$5:$R$1000,ROW(),$S$5:$S$1000,"Sub"),$U241))</f>
        <v/>
      </c>
      <c r="Z241" s="70">
        <f>IF($S241="","",IF(N($T241)&gt;0,AVERAGEIFS($V$5:$V$1000,$R$5:$R$1000,ROW(),$S$5:$S$1000,"Sub"),$V241))</f>
        <v/>
      </c>
      <c r="AA241" s="70">
        <f>IF($S241="","",IF(N($T241)&gt;0,AVERAGEIFS($W$5:$W$1000,$R$5:$R$1000,ROW(),$S$5:$S$1000,"Sub"),$W241))</f>
        <v/>
      </c>
      <c r="AB241" s="70">
        <f>IF($S241="","",IF(N($T241)&gt;0,AVERAGEIFS($X$5:$X$1000,$R$5:$R$1000,ROW(),$S$5:$S$1000,"Sub"),$X241))</f>
        <v/>
      </c>
    </row>
    <row r="242">
      <c r="A242" s="61">
        <f>IF(NOT((COUNTA($B242:$K242)+COUNTA($N242))&gt;0),"",IF($S242="Macro",COUNTIFS($S$5:$S242,"Macro",$P$5:$P242,$P242),IF(N($R242)=0,"?",COUNTIFS(INDEX($S$5:$S$1000,1):INDEX($S$5:$S$1000,$R242-4),"Macro",INDEX($P$5:$P$1000,1):INDEX($P$5:$P$1000,$R242-4),INDEX($P$5:$P$1000,$R242-4))&amp;"."&amp;COUNTIFS($R$5:$R242,$R242,$S$5:$S242,"Sub"))))</f>
        <v/>
      </c>
      <c r="B242" s="62" t="n"/>
      <c r="C242" s="63" t="n"/>
      <c r="D242" s="62" t="n"/>
      <c r="E242" s="64" t="n"/>
      <c r="F242" s="64" t="n"/>
      <c r="G242" s="65" t="n"/>
      <c r="H242" s="66" t="n"/>
      <c r="I242" s="66" t="n"/>
      <c r="J242" s="66" t="n"/>
      <c r="K242" s="66" t="n"/>
      <c r="L242" s="67">
        <f>IF(NOT((COUNTA($B242:$K242)+COUNTA($N242))&gt;0),"",IF(N($T242)&gt;0,$AB242,IFERROR(LOOKUP(2,1/(H242:K242&lt;&gt;""),H242:K242),0)))</f>
        <v/>
      </c>
      <c r="M242" s="61">
        <f>IF(L242="","",IF(L242&gt;=1,"Completado",IF(L242&gt;0,"En curso","Pendiente")))</f>
        <v/>
      </c>
      <c r="N242" s="62" t="n"/>
      <c r="O242" s="68">
        <f>IF(NOT((COUNTA($B242:$K242)+COUNTA($N242))&gt;0),"",IF((IF(AND($S242="Macro",$B242=""),"Macroactividad vacía"&amp;" · ","")&amp;IF(AND($B242&lt;&gt;"",$C242&lt;&gt;""),"Escriba la subactividad en otra fila, debajo de su macroactividad"&amp;" · ","")&amp;IF(AND($S242="Sub",N($R242)=0),"Subactividad sin macroactividad arriba"&amp;" · ","")&amp;IF($D242="","Sin responsable"&amp;" · ","")&amp;IF($E242="","Sin fecha de inicio"&amp;" · ","")&amp;IF($F242="","Sin fecha límite"&amp;" · ","")&amp;IF(OR(AND($E242&lt;&gt;"",NOT(ISNUMBER($E242))),AND($F242&lt;&gt;"",NOT(ISNUMBER($F242)))),"Fecha no válida"&amp;" · ","")&amp;IF(AND(ISNUMBER($E242),ISNUMBER($F242),$E242&gt;$F242),"Inicio posterior a fecha límite"&amp;" · ","")&amp;IF(AND($S242="Macro",$G242=""),"Peso vacío"&amp;" · ","")&amp;IF(AND($S242="Macro",$G242&lt;&gt;"",OR(NOT(ISNUMBER($G242)),$G242&lt;=0,$G242&gt;1)),"Peso fuera de rango"&amp;" · ","")&amp;IF(AND($S242="Sub",$G242&lt;&gt;""),"Las subactividades no llevan peso"&amp;" · ","")&amp;IF(AND($S242="Macro",ABS(SUMIFS($G$5:$G$1000,$P$5:$P$1000,$P242,$S$5:$S$1000,"Macro")-1)&gt;0.0001),"Pesos del mes suman "&amp;TEXT(SUMIFS($G$5:$G$1000,$P$5:$P$1000,$P242,$S$5:$S$1000,"Macro"),"0%")&amp;" · ","")&amp;IF(AND(N($T242)&gt;0,COUNT($H242:$K242)&gt;0),"Con subactividades: deje vacías las semanas (se calculan solas)"&amp;" · ","")&amp;IF((COUNTIF($H242:$K242,"&gt;1")+COUNTIF($H242:$K242,"&lt;0")+COUNTA($H242:$K242)-COUNT($H242:$K242))&gt;0,"Avance fuera de rango 0-100%"&amp;" · ","")&amp;IF(OR(AND($I242&lt;&gt;"",$I242&lt;$H242),AND($J242&lt;&gt;"",$J242&lt;MAX($H242:$I242)),AND($K242&lt;&gt;"",$K242&lt;MAX($H242:$J242))),"Avance semanal decreciente"&amp;" · ","")&amp;IF(AND(ISNUMBER($F242),$F242&lt;FechaRef,N($L242)&lt;1),"Vencida"&amp;" · ","")&amp;IF(AND(ObsObligatoria="Sí",ISNUMBER($F242),$F242&lt;FechaRef,N($L242)&lt;1,$N242=""),"Vencida sin observación"&amp;" · ",""))="","✔ OK","⚠ "&amp;LEFT(IF(AND($S242="Macro",$B242=""),"Macroactividad vacía"&amp;" · ","")&amp;IF(AND($B242&lt;&gt;"",$C242&lt;&gt;""),"Escriba la subactividad en otra fila, debajo de su macroactividad"&amp;" · ","")&amp;IF(AND($S242="Sub",N($R242)=0),"Subactividad sin macroactividad arriba"&amp;" · ","")&amp;IF($D242="","Sin responsable"&amp;" · ","")&amp;IF($E242="","Sin fecha de inicio"&amp;" · ","")&amp;IF($F242="","Sin fecha límite"&amp;" · ","")&amp;IF(OR(AND($E242&lt;&gt;"",NOT(ISNUMBER($E242))),AND($F242&lt;&gt;"",NOT(ISNUMBER($F242)))),"Fecha no válida"&amp;" · ","")&amp;IF(AND(ISNUMBER($E242),ISNUMBER($F242),$E242&gt;$F242),"Inicio posterior a fecha límite"&amp;" · ","")&amp;IF(AND($S242="Macro",$G242=""),"Peso vacío"&amp;" · ","")&amp;IF(AND($S242="Macro",$G242&lt;&gt;"",OR(NOT(ISNUMBER($G242)),$G242&lt;=0,$G242&gt;1)),"Peso fuera de rango"&amp;" · ","")&amp;IF(AND($S242="Sub",$G242&lt;&gt;""),"Las subactividades no llevan peso"&amp;" · ","")&amp;IF(AND($S242="Macro",ABS(SUMIFS($G$5:$G$1000,$P$5:$P$1000,$P242,$S$5:$S$1000,"Macro")-1)&gt;0.0001),"Pesos del mes suman "&amp;TEXT(SUMIFS($G$5:$G$1000,$P$5:$P$1000,$P242,$S$5:$S$1000,"Macro"),"0%")&amp;" · ","")&amp;IF(AND(N($T242)&gt;0,COUNT($H242:$K242)&gt;0),"Con subactividades: deje vacías las semanas (se calculan solas)"&amp;" · ","")&amp;IF((COUNTIF($H242:$K242,"&gt;1")+COUNTIF($H242:$K242,"&lt;0")+COUNTA($H242:$K242)-COUNT($H242:$K242))&gt;0,"Avance fuera de rango 0-100%"&amp;" · ","")&amp;IF(OR(AND($I242&lt;&gt;"",$I242&lt;$H242),AND($J242&lt;&gt;"",$J242&lt;MAX($H242:$I242)),AND($K242&lt;&gt;"",$K242&lt;MAX($H242:$J242))),"Avance semanal decreciente"&amp;" · ","")&amp;IF(AND(ISNUMBER($F242),$F242&lt;FechaRef,N($L242)&lt;1),"Vencida"&amp;" · ","")&amp;IF(AND(ObsObligatoria="Sí",ISNUMBER($F242),$F242&lt;FechaRef,N($L242)&lt;1,$N242=""),"Vencida sin observación"&amp;" · ",""),LEN(IF(AND($S242="Macro",$B242=""),"Macroactividad vacía"&amp;" · ","")&amp;IF(AND($B242&lt;&gt;"",$C242&lt;&gt;""),"Escriba la subactividad en otra fila, debajo de su macroactividad"&amp;" · ","")&amp;IF(AND($S242="Sub",N($R242)=0),"Subactividad sin macroactividad arriba"&amp;" · ","")&amp;IF($D242="","Sin responsable"&amp;" · ","")&amp;IF($E242="","Sin fecha de inicio"&amp;" · ","")&amp;IF($F242="","Sin fecha límite"&amp;" · ","")&amp;IF(OR(AND($E242&lt;&gt;"",NOT(ISNUMBER($E242))),AND($F242&lt;&gt;"",NOT(ISNUMBER($F242)))),"Fecha no válida"&amp;" · ","")&amp;IF(AND(ISNUMBER($E242),ISNUMBER($F242),$E242&gt;$F242),"Inicio posterior a fecha límite"&amp;" · ","")&amp;IF(AND($S242="Macro",$G242=""),"Peso vacío"&amp;" · ","")&amp;IF(AND($S242="Macro",$G242&lt;&gt;"",OR(NOT(ISNUMBER($G242)),$G242&lt;=0,$G242&gt;1)),"Peso fuera de rango"&amp;" · ","")&amp;IF(AND($S242="Sub",$G242&lt;&gt;""),"Las subactividades no llevan peso"&amp;" · ","")&amp;IF(AND($S242="Macro",ABS(SUMIFS($G$5:$G$1000,$P$5:$P$1000,$P242,$S$5:$S$1000,"Macro")-1)&gt;0.0001),"Pesos del mes suman "&amp;TEXT(SUMIFS($G$5:$G$1000,$P$5:$P$1000,$P242,$S$5:$S$1000,"Macro"),"0%")&amp;" · ","")&amp;IF(AND(N($T242)&gt;0,COUNT($H242:$K242)&gt;0),"Con subactividades: deje vacías las semanas (se calculan solas)"&amp;" · ","")&amp;IF((COUNTIF($H242:$K242,"&gt;1")+COUNTIF($H242:$K242,"&lt;0")+COUNTA($H242:$K242)-COUNT($H242:$K242))&gt;0,"Avance fuera de rango 0-100%"&amp;" · ","")&amp;IF(OR(AND($I242&lt;&gt;"",$I242&lt;$H242),AND($J242&lt;&gt;"",$J242&lt;MAX($H242:$I242)),AND($K242&lt;&gt;"",$K242&lt;MAX($H242:$J242))),"Avance semanal decreciente"&amp;" · ","")&amp;IF(AND(ISNUMBER($F242),$F242&lt;FechaRef,N($L242)&lt;1),"Vencida"&amp;" · ","")&amp;IF(AND(ObsObligatoria="Sí",ISNUMBER($F242),$F242&lt;FechaRef,N($L242)&lt;1,$N242=""),"Vencida sin observación"&amp;" · ",""))-3)))</f>
        <v/>
      </c>
      <c r="P242" s="69">
        <f>IF(NOT((COUNTA($B242:$K242)+COUNTA($N242))&gt;0),"",IF(AND($S242="Sub",N($R242)&gt;0),IF(ISNUMBER(INDEX($E$5:$E$1000,$R242-4)),DATE(YEAR(INDEX($E$5:$E$1000,$R242-4)),MONTH(INDEX($E$5:$E$1000,$R242-4)),1),IF(ISNUMBER(INDEX($F$5:$F$1000,$R242-4)),DATE(YEAR(INDEX($F$5:$F$1000,$R242-4)),MONTH(INDEX($F$5:$F$1000,$R242-4)),1),MesCiclo)),IF(ISNUMBER($E242),DATE(YEAR($E242),MONTH($E242),1),IF(ISNUMBER($F242),DATE(YEAR($F242),MONTH($F242),1),MesCiclo))))</f>
        <v/>
      </c>
      <c r="Q242" s="70">
        <f>IF(OR($P242="",$P242&lt;&gt;MesCiclo),"",COUNTIF($P$5:$P242,MesCiclo))</f>
        <v/>
      </c>
      <c r="R242" s="70">
        <f>IF($S242="","",IF($S242="Macro",ROW(),IFERROR(LOOKUP(2,1/($S$5:$S242="Macro"),ROW($S$5:$S242)),0)))</f>
        <v/>
      </c>
      <c r="S242" s="70">
        <f>IF(NOT((COUNTA($B242:$K242)+COUNTA($N242))&gt;0),"",IF($B242&lt;&gt;"","Macro",IF($C242&lt;&gt;"","Sub","Macro")))</f>
        <v/>
      </c>
      <c r="T242" s="70">
        <f>IF($S242="Macro",COUNTIFS($R$5:$R$1000,ROW(),$S$5:$S$1000,"Sub"),"")</f>
        <v/>
      </c>
      <c r="U242" s="70">
        <f>IF($S242="","",IF(ISNUMBER($H242),$H242,0))</f>
        <v/>
      </c>
      <c r="V242" s="70">
        <f>IF($S242="","",IF(ISNUMBER($I242),$I242,$U242))</f>
        <v/>
      </c>
      <c r="W242" s="70">
        <f>IF($S242="","",IF(ISNUMBER($J242),$J242,$V242))</f>
        <v/>
      </c>
      <c r="X242" s="70">
        <f>IF($S242="","",IF(ISNUMBER($K242),$K242,$W242))</f>
        <v/>
      </c>
      <c r="Y242" s="70">
        <f>IF($S242="","",IF(N($T242)&gt;0,AVERAGEIFS($U$5:$U$1000,$R$5:$R$1000,ROW(),$S$5:$S$1000,"Sub"),$U242))</f>
        <v/>
      </c>
      <c r="Z242" s="70">
        <f>IF($S242="","",IF(N($T242)&gt;0,AVERAGEIFS($V$5:$V$1000,$R$5:$R$1000,ROW(),$S$5:$S$1000,"Sub"),$V242))</f>
        <v/>
      </c>
      <c r="AA242" s="70">
        <f>IF($S242="","",IF(N($T242)&gt;0,AVERAGEIFS($W$5:$W$1000,$R$5:$R$1000,ROW(),$S$5:$S$1000,"Sub"),$W242))</f>
        <v/>
      </c>
      <c r="AB242" s="70">
        <f>IF($S242="","",IF(N($T242)&gt;0,AVERAGEIFS($X$5:$X$1000,$R$5:$R$1000,ROW(),$S$5:$S$1000,"Sub"),$X242))</f>
        <v/>
      </c>
    </row>
    <row r="243">
      <c r="A243" s="61">
        <f>IF(NOT((COUNTA($B243:$K243)+COUNTA($N243))&gt;0),"",IF($S243="Macro",COUNTIFS($S$5:$S243,"Macro",$P$5:$P243,$P243),IF(N($R243)=0,"?",COUNTIFS(INDEX($S$5:$S$1000,1):INDEX($S$5:$S$1000,$R243-4),"Macro",INDEX($P$5:$P$1000,1):INDEX($P$5:$P$1000,$R243-4),INDEX($P$5:$P$1000,$R243-4))&amp;"."&amp;COUNTIFS($R$5:$R243,$R243,$S$5:$S243,"Sub"))))</f>
        <v/>
      </c>
      <c r="B243" s="62" t="n"/>
      <c r="C243" s="63" t="n"/>
      <c r="D243" s="62" t="n"/>
      <c r="E243" s="64" t="n"/>
      <c r="F243" s="64" t="n"/>
      <c r="G243" s="65" t="n"/>
      <c r="H243" s="66" t="n"/>
      <c r="I243" s="66" t="n"/>
      <c r="J243" s="66" t="n"/>
      <c r="K243" s="66" t="n"/>
      <c r="L243" s="67">
        <f>IF(NOT((COUNTA($B243:$K243)+COUNTA($N243))&gt;0),"",IF(N($T243)&gt;0,$AB243,IFERROR(LOOKUP(2,1/(H243:K243&lt;&gt;""),H243:K243),0)))</f>
        <v/>
      </c>
      <c r="M243" s="61">
        <f>IF(L243="","",IF(L243&gt;=1,"Completado",IF(L243&gt;0,"En curso","Pendiente")))</f>
        <v/>
      </c>
      <c r="N243" s="62" t="n"/>
      <c r="O243" s="68">
        <f>IF(NOT((COUNTA($B243:$K243)+COUNTA($N243))&gt;0),"",IF((IF(AND($S243="Macro",$B243=""),"Macroactividad vacía"&amp;" · ","")&amp;IF(AND($B243&lt;&gt;"",$C243&lt;&gt;""),"Escriba la subactividad en otra fila, debajo de su macroactividad"&amp;" · ","")&amp;IF(AND($S243="Sub",N($R243)=0),"Subactividad sin macroactividad arriba"&amp;" · ","")&amp;IF($D243="","Sin responsable"&amp;" · ","")&amp;IF($E243="","Sin fecha de inicio"&amp;" · ","")&amp;IF($F243="","Sin fecha límite"&amp;" · ","")&amp;IF(OR(AND($E243&lt;&gt;"",NOT(ISNUMBER($E243))),AND($F243&lt;&gt;"",NOT(ISNUMBER($F243)))),"Fecha no válida"&amp;" · ","")&amp;IF(AND(ISNUMBER($E243),ISNUMBER($F243),$E243&gt;$F243),"Inicio posterior a fecha límite"&amp;" · ","")&amp;IF(AND($S243="Macro",$G243=""),"Peso vacío"&amp;" · ","")&amp;IF(AND($S243="Macro",$G243&lt;&gt;"",OR(NOT(ISNUMBER($G243)),$G243&lt;=0,$G243&gt;1)),"Peso fuera de rango"&amp;" · ","")&amp;IF(AND($S243="Sub",$G243&lt;&gt;""),"Las subactividades no llevan peso"&amp;" · ","")&amp;IF(AND($S243="Macro",ABS(SUMIFS($G$5:$G$1000,$P$5:$P$1000,$P243,$S$5:$S$1000,"Macro")-1)&gt;0.0001),"Pesos del mes suman "&amp;TEXT(SUMIFS($G$5:$G$1000,$P$5:$P$1000,$P243,$S$5:$S$1000,"Macro"),"0%")&amp;" · ","")&amp;IF(AND(N($T243)&gt;0,COUNT($H243:$K243)&gt;0),"Con subactividades: deje vacías las semanas (se calculan solas)"&amp;" · ","")&amp;IF((COUNTIF($H243:$K243,"&gt;1")+COUNTIF($H243:$K243,"&lt;0")+COUNTA($H243:$K243)-COUNT($H243:$K243))&gt;0,"Avance fuera de rango 0-100%"&amp;" · ","")&amp;IF(OR(AND($I243&lt;&gt;"",$I243&lt;$H243),AND($J243&lt;&gt;"",$J243&lt;MAX($H243:$I243)),AND($K243&lt;&gt;"",$K243&lt;MAX($H243:$J243))),"Avance semanal decreciente"&amp;" · ","")&amp;IF(AND(ISNUMBER($F243),$F243&lt;FechaRef,N($L243)&lt;1),"Vencida"&amp;" · ","")&amp;IF(AND(ObsObligatoria="Sí",ISNUMBER($F243),$F243&lt;FechaRef,N($L243)&lt;1,$N243=""),"Vencida sin observación"&amp;" · ",""))="","✔ OK","⚠ "&amp;LEFT(IF(AND($S243="Macro",$B243=""),"Macroactividad vacía"&amp;" · ","")&amp;IF(AND($B243&lt;&gt;"",$C243&lt;&gt;""),"Escriba la subactividad en otra fila, debajo de su macroactividad"&amp;" · ","")&amp;IF(AND($S243="Sub",N($R243)=0),"Subactividad sin macroactividad arriba"&amp;" · ","")&amp;IF($D243="","Sin responsable"&amp;" · ","")&amp;IF($E243="","Sin fecha de inicio"&amp;" · ","")&amp;IF($F243="","Sin fecha límite"&amp;" · ","")&amp;IF(OR(AND($E243&lt;&gt;"",NOT(ISNUMBER($E243))),AND($F243&lt;&gt;"",NOT(ISNUMBER($F243)))),"Fecha no válida"&amp;" · ","")&amp;IF(AND(ISNUMBER($E243),ISNUMBER($F243),$E243&gt;$F243),"Inicio posterior a fecha límite"&amp;" · ","")&amp;IF(AND($S243="Macro",$G243=""),"Peso vacío"&amp;" · ","")&amp;IF(AND($S243="Macro",$G243&lt;&gt;"",OR(NOT(ISNUMBER($G243)),$G243&lt;=0,$G243&gt;1)),"Peso fuera de rango"&amp;" · ","")&amp;IF(AND($S243="Sub",$G243&lt;&gt;""),"Las subactividades no llevan peso"&amp;" · ","")&amp;IF(AND($S243="Macro",ABS(SUMIFS($G$5:$G$1000,$P$5:$P$1000,$P243,$S$5:$S$1000,"Macro")-1)&gt;0.0001),"Pesos del mes suman "&amp;TEXT(SUMIFS($G$5:$G$1000,$P$5:$P$1000,$P243,$S$5:$S$1000,"Macro"),"0%")&amp;" · ","")&amp;IF(AND(N($T243)&gt;0,COUNT($H243:$K243)&gt;0),"Con subactividades: deje vacías las semanas (se calculan solas)"&amp;" · ","")&amp;IF((COUNTIF($H243:$K243,"&gt;1")+COUNTIF($H243:$K243,"&lt;0")+COUNTA($H243:$K243)-COUNT($H243:$K243))&gt;0,"Avance fuera de rango 0-100%"&amp;" · ","")&amp;IF(OR(AND($I243&lt;&gt;"",$I243&lt;$H243),AND($J243&lt;&gt;"",$J243&lt;MAX($H243:$I243)),AND($K243&lt;&gt;"",$K243&lt;MAX($H243:$J243))),"Avance semanal decreciente"&amp;" · ","")&amp;IF(AND(ISNUMBER($F243),$F243&lt;FechaRef,N($L243)&lt;1),"Vencida"&amp;" · ","")&amp;IF(AND(ObsObligatoria="Sí",ISNUMBER($F243),$F243&lt;FechaRef,N($L243)&lt;1,$N243=""),"Vencida sin observación"&amp;" · ",""),LEN(IF(AND($S243="Macro",$B243=""),"Macroactividad vacía"&amp;" · ","")&amp;IF(AND($B243&lt;&gt;"",$C243&lt;&gt;""),"Escriba la subactividad en otra fila, debajo de su macroactividad"&amp;" · ","")&amp;IF(AND($S243="Sub",N($R243)=0),"Subactividad sin macroactividad arriba"&amp;" · ","")&amp;IF($D243="","Sin responsable"&amp;" · ","")&amp;IF($E243="","Sin fecha de inicio"&amp;" · ","")&amp;IF($F243="","Sin fecha límite"&amp;" · ","")&amp;IF(OR(AND($E243&lt;&gt;"",NOT(ISNUMBER($E243))),AND($F243&lt;&gt;"",NOT(ISNUMBER($F243)))),"Fecha no válida"&amp;" · ","")&amp;IF(AND(ISNUMBER($E243),ISNUMBER($F243),$E243&gt;$F243),"Inicio posterior a fecha límite"&amp;" · ","")&amp;IF(AND($S243="Macro",$G243=""),"Peso vacío"&amp;" · ","")&amp;IF(AND($S243="Macro",$G243&lt;&gt;"",OR(NOT(ISNUMBER($G243)),$G243&lt;=0,$G243&gt;1)),"Peso fuera de rango"&amp;" · ","")&amp;IF(AND($S243="Sub",$G243&lt;&gt;""),"Las subactividades no llevan peso"&amp;" · ","")&amp;IF(AND($S243="Macro",ABS(SUMIFS($G$5:$G$1000,$P$5:$P$1000,$P243,$S$5:$S$1000,"Macro")-1)&gt;0.0001),"Pesos del mes suman "&amp;TEXT(SUMIFS($G$5:$G$1000,$P$5:$P$1000,$P243,$S$5:$S$1000,"Macro"),"0%")&amp;" · ","")&amp;IF(AND(N($T243)&gt;0,COUNT($H243:$K243)&gt;0),"Con subactividades: deje vacías las semanas (se calculan solas)"&amp;" · ","")&amp;IF((COUNTIF($H243:$K243,"&gt;1")+COUNTIF($H243:$K243,"&lt;0")+COUNTA($H243:$K243)-COUNT($H243:$K243))&gt;0,"Avance fuera de rango 0-100%"&amp;" · ","")&amp;IF(OR(AND($I243&lt;&gt;"",$I243&lt;$H243),AND($J243&lt;&gt;"",$J243&lt;MAX($H243:$I243)),AND($K243&lt;&gt;"",$K243&lt;MAX($H243:$J243))),"Avance semanal decreciente"&amp;" · ","")&amp;IF(AND(ISNUMBER($F243),$F243&lt;FechaRef,N($L243)&lt;1),"Vencida"&amp;" · ","")&amp;IF(AND(ObsObligatoria="Sí",ISNUMBER($F243),$F243&lt;FechaRef,N($L243)&lt;1,$N243=""),"Vencida sin observación"&amp;" · ",""))-3)))</f>
        <v/>
      </c>
      <c r="P243" s="69">
        <f>IF(NOT((COUNTA($B243:$K243)+COUNTA($N243))&gt;0),"",IF(AND($S243="Sub",N($R243)&gt;0),IF(ISNUMBER(INDEX($E$5:$E$1000,$R243-4)),DATE(YEAR(INDEX($E$5:$E$1000,$R243-4)),MONTH(INDEX($E$5:$E$1000,$R243-4)),1),IF(ISNUMBER(INDEX($F$5:$F$1000,$R243-4)),DATE(YEAR(INDEX($F$5:$F$1000,$R243-4)),MONTH(INDEX($F$5:$F$1000,$R243-4)),1),MesCiclo)),IF(ISNUMBER($E243),DATE(YEAR($E243),MONTH($E243),1),IF(ISNUMBER($F243),DATE(YEAR($F243),MONTH($F243),1),MesCiclo))))</f>
        <v/>
      </c>
      <c r="Q243" s="70">
        <f>IF(OR($P243="",$P243&lt;&gt;MesCiclo),"",COUNTIF($P$5:$P243,MesCiclo))</f>
        <v/>
      </c>
      <c r="R243" s="70">
        <f>IF($S243="","",IF($S243="Macro",ROW(),IFERROR(LOOKUP(2,1/($S$5:$S243="Macro"),ROW($S$5:$S243)),0)))</f>
        <v/>
      </c>
      <c r="S243" s="70">
        <f>IF(NOT((COUNTA($B243:$K243)+COUNTA($N243))&gt;0),"",IF($B243&lt;&gt;"","Macro",IF($C243&lt;&gt;"","Sub","Macro")))</f>
        <v/>
      </c>
      <c r="T243" s="70">
        <f>IF($S243="Macro",COUNTIFS($R$5:$R$1000,ROW(),$S$5:$S$1000,"Sub"),"")</f>
        <v/>
      </c>
      <c r="U243" s="70">
        <f>IF($S243="","",IF(ISNUMBER($H243),$H243,0))</f>
        <v/>
      </c>
      <c r="V243" s="70">
        <f>IF($S243="","",IF(ISNUMBER($I243),$I243,$U243))</f>
        <v/>
      </c>
      <c r="W243" s="70">
        <f>IF($S243="","",IF(ISNUMBER($J243),$J243,$V243))</f>
        <v/>
      </c>
      <c r="X243" s="70">
        <f>IF($S243="","",IF(ISNUMBER($K243),$K243,$W243))</f>
        <v/>
      </c>
      <c r="Y243" s="70">
        <f>IF($S243="","",IF(N($T243)&gt;0,AVERAGEIFS($U$5:$U$1000,$R$5:$R$1000,ROW(),$S$5:$S$1000,"Sub"),$U243))</f>
        <v/>
      </c>
      <c r="Z243" s="70">
        <f>IF($S243="","",IF(N($T243)&gt;0,AVERAGEIFS($V$5:$V$1000,$R$5:$R$1000,ROW(),$S$5:$S$1000,"Sub"),$V243))</f>
        <v/>
      </c>
      <c r="AA243" s="70">
        <f>IF($S243="","",IF(N($T243)&gt;0,AVERAGEIFS($W$5:$W$1000,$R$5:$R$1000,ROW(),$S$5:$S$1000,"Sub"),$W243))</f>
        <v/>
      </c>
      <c r="AB243" s="70">
        <f>IF($S243="","",IF(N($T243)&gt;0,AVERAGEIFS($X$5:$X$1000,$R$5:$R$1000,ROW(),$S$5:$S$1000,"Sub"),$X243))</f>
        <v/>
      </c>
    </row>
    <row r="244">
      <c r="A244" s="61">
        <f>IF(NOT((COUNTA($B244:$K244)+COUNTA($N244))&gt;0),"",IF($S244="Macro",COUNTIFS($S$5:$S244,"Macro",$P$5:$P244,$P244),IF(N($R244)=0,"?",COUNTIFS(INDEX($S$5:$S$1000,1):INDEX($S$5:$S$1000,$R244-4),"Macro",INDEX($P$5:$P$1000,1):INDEX($P$5:$P$1000,$R244-4),INDEX($P$5:$P$1000,$R244-4))&amp;"."&amp;COUNTIFS($R$5:$R244,$R244,$S$5:$S244,"Sub"))))</f>
        <v/>
      </c>
      <c r="B244" s="62" t="n"/>
      <c r="C244" s="63" t="n"/>
      <c r="D244" s="62" t="n"/>
      <c r="E244" s="64" t="n"/>
      <c r="F244" s="64" t="n"/>
      <c r="G244" s="65" t="n"/>
      <c r="H244" s="66" t="n"/>
      <c r="I244" s="66" t="n"/>
      <c r="J244" s="66" t="n"/>
      <c r="K244" s="66" t="n"/>
      <c r="L244" s="67">
        <f>IF(NOT((COUNTA($B244:$K244)+COUNTA($N244))&gt;0),"",IF(N($T244)&gt;0,$AB244,IFERROR(LOOKUP(2,1/(H244:K244&lt;&gt;""),H244:K244),0)))</f>
        <v/>
      </c>
      <c r="M244" s="61">
        <f>IF(L244="","",IF(L244&gt;=1,"Completado",IF(L244&gt;0,"En curso","Pendiente")))</f>
        <v/>
      </c>
      <c r="N244" s="62" t="n"/>
      <c r="O244" s="68">
        <f>IF(NOT((COUNTA($B244:$K244)+COUNTA($N244))&gt;0),"",IF((IF(AND($S244="Macro",$B244=""),"Macroactividad vacía"&amp;" · ","")&amp;IF(AND($B244&lt;&gt;"",$C244&lt;&gt;""),"Escriba la subactividad en otra fila, debajo de su macroactividad"&amp;" · ","")&amp;IF(AND($S244="Sub",N($R244)=0),"Subactividad sin macroactividad arriba"&amp;" · ","")&amp;IF($D244="","Sin responsable"&amp;" · ","")&amp;IF($E244="","Sin fecha de inicio"&amp;" · ","")&amp;IF($F244="","Sin fecha límite"&amp;" · ","")&amp;IF(OR(AND($E244&lt;&gt;"",NOT(ISNUMBER($E244))),AND($F244&lt;&gt;"",NOT(ISNUMBER($F244)))),"Fecha no válida"&amp;" · ","")&amp;IF(AND(ISNUMBER($E244),ISNUMBER($F244),$E244&gt;$F244),"Inicio posterior a fecha límite"&amp;" · ","")&amp;IF(AND($S244="Macro",$G244=""),"Peso vacío"&amp;" · ","")&amp;IF(AND($S244="Macro",$G244&lt;&gt;"",OR(NOT(ISNUMBER($G244)),$G244&lt;=0,$G244&gt;1)),"Peso fuera de rango"&amp;" · ","")&amp;IF(AND($S244="Sub",$G244&lt;&gt;""),"Las subactividades no llevan peso"&amp;" · ","")&amp;IF(AND($S244="Macro",ABS(SUMIFS($G$5:$G$1000,$P$5:$P$1000,$P244,$S$5:$S$1000,"Macro")-1)&gt;0.0001),"Pesos del mes suman "&amp;TEXT(SUMIFS($G$5:$G$1000,$P$5:$P$1000,$P244,$S$5:$S$1000,"Macro"),"0%")&amp;" · ","")&amp;IF(AND(N($T244)&gt;0,COUNT($H244:$K244)&gt;0),"Con subactividades: deje vacías las semanas (se calculan solas)"&amp;" · ","")&amp;IF((COUNTIF($H244:$K244,"&gt;1")+COUNTIF($H244:$K244,"&lt;0")+COUNTA($H244:$K244)-COUNT($H244:$K244))&gt;0,"Avance fuera de rango 0-100%"&amp;" · ","")&amp;IF(OR(AND($I244&lt;&gt;"",$I244&lt;$H244),AND($J244&lt;&gt;"",$J244&lt;MAX($H244:$I244)),AND($K244&lt;&gt;"",$K244&lt;MAX($H244:$J244))),"Avance semanal decreciente"&amp;" · ","")&amp;IF(AND(ISNUMBER($F244),$F244&lt;FechaRef,N($L244)&lt;1),"Vencida"&amp;" · ","")&amp;IF(AND(ObsObligatoria="Sí",ISNUMBER($F244),$F244&lt;FechaRef,N($L244)&lt;1,$N244=""),"Vencida sin observación"&amp;" · ",""))="","✔ OK","⚠ "&amp;LEFT(IF(AND($S244="Macro",$B244=""),"Macroactividad vacía"&amp;" · ","")&amp;IF(AND($B244&lt;&gt;"",$C244&lt;&gt;""),"Escriba la subactividad en otra fila, debajo de su macroactividad"&amp;" · ","")&amp;IF(AND($S244="Sub",N($R244)=0),"Subactividad sin macroactividad arriba"&amp;" · ","")&amp;IF($D244="","Sin responsable"&amp;" · ","")&amp;IF($E244="","Sin fecha de inicio"&amp;" · ","")&amp;IF($F244="","Sin fecha límite"&amp;" · ","")&amp;IF(OR(AND($E244&lt;&gt;"",NOT(ISNUMBER($E244))),AND($F244&lt;&gt;"",NOT(ISNUMBER($F244)))),"Fecha no válida"&amp;" · ","")&amp;IF(AND(ISNUMBER($E244),ISNUMBER($F244),$E244&gt;$F244),"Inicio posterior a fecha límite"&amp;" · ","")&amp;IF(AND($S244="Macro",$G244=""),"Peso vacío"&amp;" · ","")&amp;IF(AND($S244="Macro",$G244&lt;&gt;"",OR(NOT(ISNUMBER($G244)),$G244&lt;=0,$G244&gt;1)),"Peso fuera de rango"&amp;" · ","")&amp;IF(AND($S244="Sub",$G244&lt;&gt;""),"Las subactividades no llevan peso"&amp;" · ","")&amp;IF(AND($S244="Macro",ABS(SUMIFS($G$5:$G$1000,$P$5:$P$1000,$P244,$S$5:$S$1000,"Macro")-1)&gt;0.0001),"Pesos del mes suman "&amp;TEXT(SUMIFS($G$5:$G$1000,$P$5:$P$1000,$P244,$S$5:$S$1000,"Macro"),"0%")&amp;" · ","")&amp;IF(AND(N($T244)&gt;0,COUNT($H244:$K244)&gt;0),"Con subactividades: deje vacías las semanas (se calculan solas)"&amp;" · ","")&amp;IF((COUNTIF($H244:$K244,"&gt;1")+COUNTIF($H244:$K244,"&lt;0")+COUNTA($H244:$K244)-COUNT($H244:$K244))&gt;0,"Avance fuera de rango 0-100%"&amp;" · ","")&amp;IF(OR(AND($I244&lt;&gt;"",$I244&lt;$H244),AND($J244&lt;&gt;"",$J244&lt;MAX($H244:$I244)),AND($K244&lt;&gt;"",$K244&lt;MAX($H244:$J244))),"Avance semanal decreciente"&amp;" · ","")&amp;IF(AND(ISNUMBER($F244),$F244&lt;FechaRef,N($L244)&lt;1),"Vencida"&amp;" · ","")&amp;IF(AND(ObsObligatoria="Sí",ISNUMBER($F244),$F244&lt;FechaRef,N($L244)&lt;1,$N244=""),"Vencida sin observación"&amp;" · ",""),LEN(IF(AND($S244="Macro",$B244=""),"Macroactividad vacía"&amp;" · ","")&amp;IF(AND($B244&lt;&gt;"",$C244&lt;&gt;""),"Escriba la subactividad en otra fila, debajo de su macroactividad"&amp;" · ","")&amp;IF(AND($S244="Sub",N($R244)=0),"Subactividad sin macroactividad arriba"&amp;" · ","")&amp;IF($D244="","Sin responsable"&amp;" · ","")&amp;IF($E244="","Sin fecha de inicio"&amp;" · ","")&amp;IF($F244="","Sin fecha límite"&amp;" · ","")&amp;IF(OR(AND($E244&lt;&gt;"",NOT(ISNUMBER($E244))),AND($F244&lt;&gt;"",NOT(ISNUMBER($F244)))),"Fecha no válida"&amp;" · ","")&amp;IF(AND(ISNUMBER($E244),ISNUMBER($F244),$E244&gt;$F244),"Inicio posterior a fecha límite"&amp;" · ","")&amp;IF(AND($S244="Macro",$G244=""),"Peso vacío"&amp;" · ","")&amp;IF(AND($S244="Macro",$G244&lt;&gt;"",OR(NOT(ISNUMBER($G244)),$G244&lt;=0,$G244&gt;1)),"Peso fuera de rango"&amp;" · ","")&amp;IF(AND($S244="Sub",$G244&lt;&gt;""),"Las subactividades no llevan peso"&amp;" · ","")&amp;IF(AND($S244="Macro",ABS(SUMIFS($G$5:$G$1000,$P$5:$P$1000,$P244,$S$5:$S$1000,"Macro")-1)&gt;0.0001),"Pesos del mes suman "&amp;TEXT(SUMIFS($G$5:$G$1000,$P$5:$P$1000,$P244,$S$5:$S$1000,"Macro"),"0%")&amp;" · ","")&amp;IF(AND(N($T244)&gt;0,COUNT($H244:$K244)&gt;0),"Con subactividades: deje vacías las semanas (se calculan solas)"&amp;" · ","")&amp;IF((COUNTIF($H244:$K244,"&gt;1")+COUNTIF($H244:$K244,"&lt;0")+COUNTA($H244:$K244)-COUNT($H244:$K244))&gt;0,"Avance fuera de rango 0-100%"&amp;" · ","")&amp;IF(OR(AND($I244&lt;&gt;"",$I244&lt;$H244),AND($J244&lt;&gt;"",$J244&lt;MAX($H244:$I244)),AND($K244&lt;&gt;"",$K244&lt;MAX($H244:$J244))),"Avance semanal decreciente"&amp;" · ","")&amp;IF(AND(ISNUMBER($F244),$F244&lt;FechaRef,N($L244)&lt;1),"Vencida"&amp;" · ","")&amp;IF(AND(ObsObligatoria="Sí",ISNUMBER($F244),$F244&lt;FechaRef,N($L244)&lt;1,$N244=""),"Vencida sin observación"&amp;" · ",""))-3)))</f>
        <v/>
      </c>
      <c r="P244" s="69">
        <f>IF(NOT((COUNTA($B244:$K244)+COUNTA($N244))&gt;0),"",IF(AND($S244="Sub",N($R244)&gt;0),IF(ISNUMBER(INDEX($E$5:$E$1000,$R244-4)),DATE(YEAR(INDEX($E$5:$E$1000,$R244-4)),MONTH(INDEX($E$5:$E$1000,$R244-4)),1),IF(ISNUMBER(INDEX($F$5:$F$1000,$R244-4)),DATE(YEAR(INDEX($F$5:$F$1000,$R244-4)),MONTH(INDEX($F$5:$F$1000,$R244-4)),1),MesCiclo)),IF(ISNUMBER($E244),DATE(YEAR($E244),MONTH($E244),1),IF(ISNUMBER($F244),DATE(YEAR($F244),MONTH($F244),1),MesCiclo))))</f>
        <v/>
      </c>
      <c r="Q244" s="70">
        <f>IF(OR($P244="",$P244&lt;&gt;MesCiclo),"",COUNTIF($P$5:$P244,MesCiclo))</f>
        <v/>
      </c>
      <c r="R244" s="70">
        <f>IF($S244="","",IF($S244="Macro",ROW(),IFERROR(LOOKUP(2,1/($S$5:$S244="Macro"),ROW($S$5:$S244)),0)))</f>
        <v/>
      </c>
      <c r="S244" s="70">
        <f>IF(NOT((COUNTA($B244:$K244)+COUNTA($N244))&gt;0),"",IF($B244&lt;&gt;"","Macro",IF($C244&lt;&gt;"","Sub","Macro")))</f>
        <v/>
      </c>
      <c r="T244" s="70">
        <f>IF($S244="Macro",COUNTIFS($R$5:$R$1000,ROW(),$S$5:$S$1000,"Sub"),"")</f>
        <v/>
      </c>
      <c r="U244" s="70">
        <f>IF($S244="","",IF(ISNUMBER($H244),$H244,0))</f>
        <v/>
      </c>
      <c r="V244" s="70">
        <f>IF($S244="","",IF(ISNUMBER($I244),$I244,$U244))</f>
        <v/>
      </c>
      <c r="W244" s="70">
        <f>IF($S244="","",IF(ISNUMBER($J244),$J244,$V244))</f>
        <v/>
      </c>
      <c r="X244" s="70">
        <f>IF($S244="","",IF(ISNUMBER($K244),$K244,$W244))</f>
        <v/>
      </c>
      <c r="Y244" s="70">
        <f>IF($S244="","",IF(N($T244)&gt;0,AVERAGEIFS($U$5:$U$1000,$R$5:$R$1000,ROW(),$S$5:$S$1000,"Sub"),$U244))</f>
        <v/>
      </c>
      <c r="Z244" s="70">
        <f>IF($S244="","",IF(N($T244)&gt;0,AVERAGEIFS($V$5:$V$1000,$R$5:$R$1000,ROW(),$S$5:$S$1000,"Sub"),$V244))</f>
        <v/>
      </c>
      <c r="AA244" s="70">
        <f>IF($S244="","",IF(N($T244)&gt;0,AVERAGEIFS($W$5:$W$1000,$R$5:$R$1000,ROW(),$S$5:$S$1000,"Sub"),$W244))</f>
        <v/>
      </c>
      <c r="AB244" s="70">
        <f>IF($S244="","",IF(N($T244)&gt;0,AVERAGEIFS($X$5:$X$1000,$R$5:$R$1000,ROW(),$S$5:$S$1000,"Sub"),$X244))</f>
        <v/>
      </c>
    </row>
    <row r="245">
      <c r="A245" s="61">
        <f>IF(NOT((COUNTA($B245:$K245)+COUNTA($N245))&gt;0),"",IF($S245="Macro",COUNTIFS($S$5:$S245,"Macro",$P$5:$P245,$P245),IF(N($R245)=0,"?",COUNTIFS(INDEX($S$5:$S$1000,1):INDEX($S$5:$S$1000,$R245-4),"Macro",INDEX($P$5:$P$1000,1):INDEX($P$5:$P$1000,$R245-4),INDEX($P$5:$P$1000,$R245-4))&amp;"."&amp;COUNTIFS($R$5:$R245,$R245,$S$5:$S245,"Sub"))))</f>
        <v/>
      </c>
      <c r="B245" s="62" t="n"/>
      <c r="C245" s="63" t="n"/>
      <c r="D245" s="62" t="n"/>
      <c r="E245" s="64" t="n"/>
      <c r="F245" s="64" t="n"/>
      <c r="G245" s="65" t="n"/>
      <c r="H245" s="66" t="n"/>
      <c r="I245" s="66" t="n"/>
      <c r="J245" s="66" t="n"/>
      <c r="K245" s="66" t="n"/>
      <c r="L245" s="67">
        <f>IF(NOT((COUNTA($B245:$K245)+COUNTA($N245))&gt;0),"",IF(N($T245)&gt;0,$AB245,IFERROR(LOOKUP(2,1/(H245:K245&lt;&gt;""),H245:K245),0)))</f>
        <v/>
      </c>
      <c r="M245" s="61">
        <f>IF(L245="","",IF(L245&gt;=1,"Completado",IF(L245&gt;0,"En curso","Pendiente")))</f>
        <v/>
      </c>
      <c r="N245" s="62" t="n"/>
      <c r="O245" s="68">
        <f>IF(NOT((COUNTA($B245:$K245)+COUNTA($N245))&gt;0),"",IF((IF(AND($S245="Macro",$B245=""),"Macroactividad vacía"&amp;" · ","")&amp;IF(AND($B245&lt;&gt;"",$C245&lt;&gt;""),"Escriba la subactividad en otra fila, debajo de su macroactividad"&amp;" · ","")&amp;IF(AND($S245="Sub",N($R245)=0),"Subactividad sin macroactividad arriba"&amp;" · ","")&amp;IF($D245="","Sin responsable"&amp;" · ","")&amp;IF($E245="","Sin fecha de inicio"&amp;" · ","")&amp;IF($F245="","Sin fecha límite"&amp;" · ","")&amp;IF(OR(AND($E245&lt;&gt;"",NOT(ISNUMBER($E245))),AND($F245&lt;&gt;"",NOT(ISNUMBER($F245)))),"Fecha no válida"&amp;" · ","")&amp;IF(AND(ISNUMBER($E245),ISNUMBER($F245),$E245&gt;$F245),"Inicio posterior a fecha límite"&amp;" · ","")&amp;IF(AND($S245="Macro",$G245=""),"Peso vacío"&amp;" · ","")&amp;IF(AND($S245="Macro",$G245&lt;&gt;"",OR(NOT(ISNUMBER($G245)),$G245&lt;=0,$G245&gt;1)),"Peso fuera de rango"&amp;" · ","")&amp;IF(AND($S245="Sub",$G245&lt;&gt;""),"Las subactividades no llevan peso"&amp;" · ","")&amp;IF(AND($S245="Macro",ABS(SUMIFS($G$5:$G$1000,$P$5:$P$1000,$P245,$S$5:$S$1000,"Macro")-1)&gt;0.0001),"Pesos del mes suman "&amp;TEXT(SUMIFS($G$5:$G$1000,$P$5:$P$1000,$P245,$S$5:$S$1000,"Macro"),"0%")&amp;" · ","")&amp;IF(AND(N($T245)&gt;0,COUNT($H245:$K245)&gt;0),"Con subactividades: deje vacías las semanas (se calculan solas)"&amp;" · ","")&amp;IF((COUNTIF($H245:$K245,"&gt;1")+COUNTIF($H245:$K245,"&lt;0")+COUNTA($H245:$K245)-COUNT($H245:$K245))&gt;0,"Avance fuera de rango 0-100%"&amp;" · ","")&amp;IF(OR(AND($I245&lt;&gt;"",$I245&lt;$H245),AND($J245&lt;&gt;"",$J245&lt;MAX($H245:$I245)),AND($K245&lt;&gt;"",$K245&lt;MAX($H245:$J245))),"Avance semanal decreciente"&amp;" · ","")&amp;IF(AND(ISNUMBER($F245),$F245&lt;FechaRef,N($L245)&lt;1),"Vencida"&amp;" · ","")&amp;IF(AND(ObsObligatoria="Sí",ISNUMBER($F245),$F245&lt;FechaRef,N($L245)&lt;1,$N245=""),"Vencida sin observación"&amp;" · ",""))="","✔ OK","⚠ "&amp;LEFT(IF(AND($S245="Macro",$B245=""),"Macroactividad vacía"&amp;" · ","")&amp;IF(AND($B245&lt;&gt;"",$C245&lt;&gt;""),"Escriba la subactividad en otra fila, debajo de su macroactividad"&amp;" · ","")&amp;IF(AND($S245="Sub",N($R245)=0),"Subactividad sin macroactividad arriba"&amp;" · ","")&amp;IF($D245="","Sin responsable"&amp;" · ","")&amp;IF($E245="","Sin fecha de inicio"&amp;" · ","")&amp;IF($F245="","Sin fecha límite"&amp;" · ","")&amp;IF(OR(AND($E245&lt;&gt;"",NOT(ISNUMBER($E245))),AND($F245&lt;&gt;"",NOT(ISNUMBER($F245)))),"Fecha no válida"&amp;" · ","")&amp;IF(AND(ISNUMBER($E245),ISNUMBER($F245),$E245&gt;$F245),"Inicio posterior a fecha límite"&amp;" · ","")&amp;IF(AND($S245="Macro",$G245=""),"Peso vacío"&amp;" · ","")&amp;IF(AND($S245="Macro",$G245&lt;&gt;"",OR(NOT(ISNUMBER($G245)),$G245&lt;=0,$G245&gt;1)),"Peso fuera de rango"&amp;" · ","")&amp;IF(AND($S245="Sub",$G245&lt;&gt;""),"Las subactividades no llevan peso"&amp;" · ","")&amp;IF(AND($S245="Macro",ABS(SUMIFS($G$5:$G$1000,$P$5:$P$1000,$P245,$S$5:$S$1000,"Macro")-1)&gt;0.0001),"Pesos del mes suman "&amp;TEXT(SUMIFS($G$5:$G$1000,$P$5:$P$1000,$P245,$S$5:$S$1000,"Macro"),"0%")&amp;" · ","")&amp;IF(AND(N($T245)&gt;0,COUNT($H245:$K245)&gt;0),"Con subactividades: deje vacías las semanas (se calculan solas)"&amp;" · ","")&amp;IF((COUNTIF($H245:$K245,"&gt;1")+COUNTIF($H245:$K245,"&lt;0")+COUNTA($H245:$K245)-COUNT($H245:$K245))&gt;0,"Avance fuera de rango 0-100%"&amp;" · ","")&amp;IF(OR(AND($I245&lt;&gt;"",$I245&lt;$H245),AND($J245&lt;&gt;"",$J245&lt;MAX($H245:$I245)),AND($K245&lt;&gt;"",$K245&lt;MAX($H245:$J245))),"Avance semanal decreciente"&amp;" · ","")&amp;IF(AND(ISNUMBER($F245),$F245&lt;FechaRef,N($L245)&lt;1),"Vencida"&amp;" · ","")&amp;IF(AND(ObsObligatoria="Sí",ISNUMBER($F245),$F245&lt;FechaRef,N($L245)&lt;1,$N245=""),"Vencida sin observación"&amp;" · ",""),LEN(IF(AND($S245="Macro",$B245=""),"Macroactividad vacía"&amp;" · ","")&amp;IF(AND($B245&lt;&gt;"",$C245&lt;&gt;""),"Escriba la subactividad en otra fila, debajo de su macroactividad"&amp;" · ","")&amp;IF(AND($S245="Sub",N($R245)=0),"Subactividad sin macroactividad arriba"&amp;" · ","")&amp;IF($D245="","Sin responsable"&amp;" · ","")&amp;IF($E245="","Sin fecha de inicio"&amp;" · ","")&amp;IF($F245="","Sin fecha límite"&amp;" · ","")&amp;IF(OR(AND($E245&lt;&gt;"",NOT(ISNUMBER($E245))),AND($F245&lt;&gt;"",NOT(ISNUMBER($F245)))),"Fecha no válida"&amp;" · ","")&amp;IF(AND(ISNUMBER($E245),ISNUMBER($F245),$E245&gt;$F245),"Inicio posterior a fecha límite"&amp;" · ","")&amp;IF(AND($S245="Macro",$G245=""),"Peso vacío"&amp;" · ","")&amp;IF(AND($S245="Macro",$G245&lt;&gt;"",OR(NOT(ISNUMBER($G245)),$G245&lt;=0,$G245&gt;1)),"Peso fuera de rango"&amp;" · ","")&amp;IF(AND($S245="Sub",$G245&lt;&gt;""),"Las subactividades no llevan peso"&amp;" · ","")&amp;IF(AND($S245="Macro",ABS(SUMIFS($G$5:$G$1000,$P$5:$P$1000,$P245,$S$5:$S$1000,"Macro")-1)&gt;0.0001),"Pesos del mes suman "&amp;TEXT(SUMIFS($G$5:$G$1000,$P$5:$P$1000,$P245,$S$5:$S$1000,"Macro"),"0%")&amp;" · ","")&amp;IF(AND(N($T245)&gt;0,COUNT($H245:$K245)&gt;0),"Con subactividades: deje vacías las semanas (se calculan solas)"&amp;" · ","")&amp;IF((COUNTIF($H245:$K245,"&gt;1")+COUNTIF($H245:$K245,"&lt;0")+COUNTA($H245:$K245)-COUNT($H245:$K245))&gt;0,"Avance fuera de rango 0-100%"&amp;" · ","")&amp;IF(OR(AND($I245&lt;&gt;"",$I245&lt;$H245),AND($J245&lt;&gt;"",$J245&lt;MAX($H245:$I245)),AND($K245&lt;&gt;"",$K245&lt;MAX($H245:$J245))),"Avance semanal decreciente"&amp;" · ","")&amp;IF(AND(ISNUMBER($F245),$F245&lt;FechaRef,N($L245)&lt;1),"Vencida"&amp;" · ","")&amp;IF(AND(ObsObligatoria="Sí",ISNUMBER($F245),$F245&lt;FechaRef,N($L245)&lt;1,$N245=""),"Vencida sin observación"&amp;" · ",""))-3)))</f>
        <v/>
      </c>
      <c r="P245" s="69">
        <f>IF(NOT((COUNTA($B245:$K245)+COUNTA($N245))&gt;0),"",IF(AND($S245="Sub",N($R245)&gt;0),IF(ISNUMBER(INDEX($E$5:$E$1000,$R245-4)),DATE(YEAR(INDEX($E$5:$E$1000,$R245-4)),MONTH(INDEX($E$5:$E$1000,$R245-4)),1),IF(ISNUMBER(INDEX($F$5:$F$1000,$R245-4)),DATE(YEAR(INDEX($F$5:$F$1000,$R245-4)),MONTH(INDEX($F$5:$F$1000,$R245-4)),1),MesCiclo)),IF(ISNUMBER($E245),DATE(YEAR($E245),MONTH($E245),1),IF(ISNUMBER($F245),DATE(YEAR($F245),MONTH($F245),1),MesCiclo))))</f>
        <v/>
      </c>
      <c r="Q245" s="70">
        <f>IF(OR($P245="",$P245&lt;&gt;MesCiclo),"",COUNTIF($P$5:$P245,MesCiclo))</f>
        <v/>
      </c>
      <c r="R245" s="70">
        <f>IF($S245="","",IF($S245="Macro",ROW(),IFERROR(LOOKUP(2,1/($S$5:$S245="Macro"),ROW($S$5:$S245)),0)))</f>
        <v/>
      </c>
      <c r="S245" s="70">
        <f>IF(NOT((COUNTA($B245:$K245)+COUNTA($N245))&gt;0),"",IF($B245&lt;&gt;"","Macro",IF($C245&lt;&gt;"","Sub","Macro")))</f>
        <v/>
      </c>
      <c r="T245" s="70">
        <f>IF($S245="Macro",COUNTIFS($R$5:$R$1000,ROW(),$S$5:$S$1000,"Sub"),"")</f>
        <v/>
      </c>
      <c r="U245" s="70">
        <f>IF($S245="","",IF(ISNUMBER($H245),$H245,0))</f>
        <v/>
      </c>
      <c r="V245" s="70">
        <f>IF($S245="","",IF(ISNUMBER($I245),$I245,$U245))</f>
        <v/>
      </c>
      <c r="W245" s="70">
        <f>IF($S245="","",IF(ISNUMBER($J245),$J245,$V245))</f>
        <v/>
      </c>
      <c r="X245" s="70">
        <f>IF($S245="","",IF(ISNUMBER($K245),$K245,$W245))</f>
        <v/>
      </c>
      <c r="Y245" s="70">
        <f>IF($S245="","",IF(N($T245)&gt;0,AVERAGEIFS($U$5:$U$1000,$R$5:$R$1000,ROW(),$S$5:$S$1000,"Sub"),$U245))</f>
        <v/>
      </c>
      <c r="Z245" s="70">
        <f>IF($S245="","",IF(N($T245)&gt;0,AVERAGEIFS($V$5:$V$1000,$R$5:$R$1000,ROW(),$S$5:$S$1000,"Sub"),$V245))</f>
        <v/>
      </c>
      <c r="AA245" s="70">
        <f>IF($S245="","",IF(N($T245)&gt;0,AVERAGEIFS($W$5:$W$1000,$R$5:$R$1000,ROW(),$S$5:$S$1000,"Sub"),$W245))</f>
        <v/>
      </c>
      <c r="AB245" s="70">
        <f>IF($S245="","",IF(N($T245)&gt;0,AVERAGEIFS($X$5:$X$1000,$R$5:$R$1000,ROW(),$S$5:$S$1000,"Sub"),$X245))</f>
        <v/>
      </c>
    </row>
    <row r="246">
      <c r="A246" s="61">
        <f>IF(NOT((COUNTA($B246:$K246)+COUNTA($N246))&gt;0),"",IF($S246="Macro",COUNTIFS($S$5:$S246,"Macro",$P$5:$P246,$P246),IF(N($R246)=0,"?",COUNTIFS(INDEX($S$5:$S$1000,1):INDEX($S$5:$S$1000,$R246-4),"Macro",INDEX($P$5:$P$1000,1):INDEX($P$5:$P$1000,$R246-4),INDEX($P$5:$P$1000,$R246-4))&amp;"."&amp;COUNTIFS($R$5:$R246,$R246,$S$5:$S246,"Sub"))))</f>
        <v/>
      </c>
      <c r="B246" s="62" t="n"/>
      <c r="C246" s="63" t="n"/>
      <c r="D246" s="62" t="n"/>
      <c r="E246" s="64" t="n"/>
      <c r="F246" s="64" t="n"/>
      <c r="G246" s="65" t="n"/>
      <c r="H246" s="66" t="n"/>
      <c r="I246" s="66" t="n"/>
      <c r="J246" s="66" t="n"/>
      <c r="K246" s="66" t="n"/>
      <c r="L246" s="67">
        <f>IF(NOT((COUNTA($B246:$K246)+COUNTA($N246))&gt;0),"",IF(N($T246)&gt;0,$AB246,IFERROR(LOOKUP(2,1/(H246:K246&lt;&gt;""),H246:K246),0)))</f>
        <v/>
      </c>
      <c r="M246" s="61">
        <f>IF(L246="","",IF(L246&gt;=1,"Completado",IF(L246&gt;0,"En curso","Pendiente")))</f>
        <v/>
      </c>
      <c r="N246" s="62" t="n"/>
      <c r="O246" s="68">
        <f>IF(NOT((COUNTA($B246:$K246)+COUNTA($N246))&gt;0),"",IF((IF(AND($S246="Macro",$B246=""),"Macroactividad vacía"&amp;" · ","")&amp;IF(AND($B246&lt;&gt;"",$C246&lt;&gt;""),"Escriba la subactividad en otra fila, debajo de su macroactividad"&amp;" · ","")&amp;IF(AND($S246="Sub",N($R246)=0),"Subactividad sin macroactividad arriba"&amp;" · ","")&amp;IF($D246="","Sin responsable"&amp;" · ","")&amp;IF($E246="","Sin fecha de inicio"&amp;" · ","")&amp;IF($F246="","Sin fecha límite"&amp;" · ","")&amp;IF(OR(AND($E246&lt;&gt;"",NOT(ISNUMBER($E246))),AND($F246&lt;&gt;"",NOT(ISNUMBER($F246)))),"Fecha no válida"&amp;" · ","")&amp;IF(AND(ISNUMBER($E246),ISNUMBER($F246),$E246&gt;$F246),"Inicio posterior a fecha límite"&amp;" · ","")&amp;IF(AND($S246="Macro",$G246=""),"Peso vacío"&amp;" · ","")&amp;IF(AND($S246="Macro",$G246&lt;&gt;"",OR(NOT(ISNUMBER($G246)),$G246&lt;=0,$G246&gt;1)),"Peso fuera de rango"&amp;" · ","")&amp;IF(AND($S246="Sub",$G246&lt;&gt;""),"Las subactividades no llevan peso"&amp;" · ","")&amp;IF(AND($S246="Macro",ABS(SUMIFS($G$5:$G$1000,$P$5:$P$1000,$P246,$S$5:$S$1000,"Macro")-1)&gt;0.0001),"Pesos del mes suman "&amp;TEXT(SUMIFS($G$5:$G$1000,$P$5:$P$1000,$P246,$S$5:$S$1000,"Macro"),"0%")&amp;" · ","")&amp;IF(AND(N($T246)&gt;0,COUNT($H246:$K246)&gt;0),"Con subactividades: deje vacías las semanas (se calculan solas)"&amp;" · ","")&amp;IF((COUNTIF($H246:$K246,"&gt;1")+COUNTIF($H246:$K246,"&lt;0")+COUNTA($H246:$K246)-COUNT($H246:$K246))&gt;0,"Avance fuera de rango 0-100%"&amp;" · ","")&amp;IF(OR(AND($I246&lt;&gt;"",$I246&lt;$H246),AND($J246&lt;&gt;"",$J246&lt;MAX($H246:$I246)),AND($K246&lt;&gt;"",$K246&lt;MAX($H246:$J246))),"Avance semanal decreciente"&amp;" · ","")&amp;IF(AND(ISNUMBER($F246),$F246&lt;FechaRef,N($L246)&lt;1),"Vencida"&amp;" · ","")&amp;IF(AND(ObsObligatoria="Sí",ISNUMBER($F246),$F246&lt;FechaRef,N($L246)&lt;1,$N246=""),"Vencida sin observación"&amp;" · ",""))="","✔ OK","⚠ "&amp;LEFT(IF(AND($S246="Macro",$B246=""),"Macroactividad vacía"&amp;" · ","")&amp;IF(AND($B246&lt;&gt;"",$C246&lt;&gt;""),"Escriba la subactividad en otra fila, debajo de su macroactividad"&amp;" · ","")&amp;IF(AND($S246="Sub",N($R246)=0),"Subactividad sin macroactividad arriba"&amp;" · ","")&amp;IF($D246="","Sin responsable"&amp;" · ","")&amp;IF($E246="","Sin fecha de inicio"&amp;" · ","")&amp;IF($F246="","Sin fecha límite"&amp;" · ","")&amp;IF(OR(AND($E246&lt;&gt;"",NOT(ISNUMBER($E246))),AND($F246&lt;&gt;"",NOT(ISNUMBER($F246)))),"Fecha no válida"&amp;" · ","")&amp;IF(AND(ISNUMBER($E246),ISNUMBER($F246),$E246&gt;$F246),"Inicio posterior a fecha límite"&amp;" · ","")&amp;IF(AND($S246="Macro",$G246=""),"Peso vacío"&amp;" · ","")&amp;IF(AND($S246="Macro",$G246&lt;&gt;"",OR(NOT(ISNUMBER($G246)),$G246&lt;=0,$G246&gt;1)),"Peso fuera de rango"&amp;" · ","")&amp;IF(AND($S246="Sub",$G246&lt;&gt;""),"Las subactividades no llevan peso"&amp;" · ","")&amp;IF(AND($S246="Macro",ABS(SUMIFS($G$5:$G$1000,$P$5:$P$1000,$P246,$S$5:$S$1000,"Macro")-1)&gt;0.0001),"Pesos del mes suman "&amp;TEXT(SUMIFS($G$5:$G$1000,$P$5:$P$1000,$P246,$S$5:$S$1000,"Macro"),"0%")&amp;" · ","")&amp;IF(AND(N($T246)&gt;0,COUNT($H246:$K246)&gt;0),"Con subactividades: deje vacías las semanas (se calculan solas)"&amp;" · ","")&amp;IF((COUNTIF($H246:$K246,"&gt;1")+COUNTIF($H246:$K246,"&lt;0")+COUNTA($H246:$K246)-COUNT($H246:$K246))&gt;0,"Avance fuera de rango 0-100%"&amp;" · ","")&amp;IF(OR(AND($I246&lt;&gt;"",$I246&lt;$H246),AND($J246&lt;&gt;"",$J246&lt;MAX($H246:$I246)),AND($K246&lt;&gt;"",$K246&lt;MAX($H246:$J246))),"Avance semanal decreciente"&amp;" · ","")&amp;IF(AND(ISNUMBER($F246),$F246&lt;FechaRef,N($L246)&lt;1),"Vencida"&amp;" · ","")&amp;IF(AND(ObsObligatoria="Sí",ISNUMBER($F246),$F246&lt;FechaRef,N($L246)&lt;1,$N246=""),"Vencida sin observación"&amp;" · ",""),LEN(IF(AND($S246="Macro",$B246=""),"Macroactividad vacía"&amp;" · ","")&amp;IF(AND($B246&lt;&gt;"",$C246&lt;&gt;""),"Escriba la subactividad en otra fila, debajo de su macroactividad"&amp;" · ","")&amp;IF(AND($S246="Sub",N($R246)=0),"Subactividad sin macroactividad arriba"&amp;" · ","")&amp;IF($D246="","Sin responsable"&amp;" · ","")&amp;IF($E246="","Sin fecha de inicio"&amp;" · ","")&amp;IF($F246="","Sin fecha límite"&amp;" · ","")&amp;IF(OR(AND($E246&lt;&gt;"",NOT(ISNUMBER($E246))),AND($F246&lt;&gt;"",NOT(ISNUMBER($F246)))),"Fecha no válida"&amp;" · ","")&amp;IF(AND(ISNUMBER($E246),ISNUMBER($F246),$E246&gt;$F246),"Inicio posterior a fecha límite"&amp;" · ","")&amp;IF(AND($S246="Macro",$G246=""),"Peso vacío"&amp;" · ","")&amp;IF(AND($S246="Macro",$G246&lt;&gt;"",OR(NOT(ISNUMBER($G246)),$G246&lt;=0,$G246&gt;1)),"Peso fuera de rango"&amp;" · ","")&amp;IF(AND($S246="Sub",$G246&lt;&gt;""),"Las subactividades no llevan peso"&amp;" · ","")&amp;IF(AND($S246="Macro",ABS(SUMIFS($G$5:$G$1000,$P$5:$P$1000,$P246,$S$5:$S$1000,"Macro")-1)&gt;0.0001),"Pesos del mes suman "&amp;TEXT(SUMIFS($G$5:$G$1000,$P$5:$P$1000,$P246,$S$5:$S$1000,"Macro"),"0%")&amp;" · ","")&amp;IF(AND(N($T246)&gt;0,COUNT($H246:$K246)&gt;0),"Con subactividades: deje vacías las semanas (se calculan solas)"&amp;" · ","")&amp;IF((COUNTIF($H246:$K246,"&gt;1")+COUNTIF($H246:$K246,"&lt;0")+COUNTA($H246:$K246)-COUNT($H246:$K246))&gt;0,"Avance fuera de rango 0-100%"&amp;" · ","")&amp;IF(OR(AND($I246&lt;&gt;"",$I246&lt;$H246),AND($J246&lt;&gt;"",$J246&lt;MAX($H246:$I246)),AND($K246&lt;&gt;"",$K246&lt;MAX($H246:$J246))),"Avance semanal decreciente"&amp;" · ","")&amp;IF(AND(ISNUMBER($F246),$F246&lt;FechaRef,N($L246)&lt;1),"Vencida"&amp;" · ","")&amp;IF(AND(ObsObligatoria="Sí",ISNUMBER($F246),$F246&lt;FechaRef,N($L246)&lt;1,$N246=""),"Vencida sin observación"&amp;" · ",""))-3)))</f>
        <v/>
      </c>
      <c r="P246" s="69">
        <f>IF(NOT((COUNTA($B246:$K246)+COUNTA($N246))&gt;0),"",IF(AND($S246="Sub",N($R246)&gt;0),IF(ISNUMBER(INDEX($E$5:$E$1000,$R246-4)),DATE(YEAR(INDEX($E$5:$E$1000,$R246-4)),MONTH(INDEX($E$5:$E$1000,$R246-4)),1),IF(ISNUMBER(INDEX($F$5:$F$1000,$R246-4)),DATE(YEAR(INDEX($F$5:$F$1000,$R246-4)),MONTH(INDEX($F$5:$F$1000,$R246-4)),1),MesCiclo)),IF(ISNUMBER($E246),DATE(YEAR($E246),MONTH($E246),1),IF(ISNUMBER($F246),DATE(YEAR($F246),MONTH($F246),1),MesCiclo))))</f>
        <v/>
      </c>
      <c r="Q246" s="70">
        <f>IF(OR($P246="",$P246&lt;&gt;MesCiclo),"",COUNTIF($P$5:$P246,MesCiclo))</f>
        <v/>
      </c>
      <c r="R246" s="70">
        <f>IF($S246="","",IF($S246="Macro",ROW(),IFERROR(LOOKUP(2,1/($S$5:$S246="Macro"),ROW($S$5:$S246)),0)))</f>
        <v/>
      </c>
      <c r="S246" s="70">
        <f>IF(NOT((COUNTA($B246:$K246)+COUNTA($N246))&gt;0),"",IF($B246&lt;&gt;"","Macro",IF($C246&lt;&gt;"","Sub","Macro")))</f>
        <v/>
      </c>
      <c r="T246" s="70">
        <f>IF($S246="Macro",COUNTIFS($R$5:$R$1000,ROW(),$S$5:$S$1000,"Sub"),"")</f>
        <v/>
      </c>
      <c r="U246" s="70">
        <f>IF($S246="","",IF(ISNUMBER($H246),$H246,0))</f>
        <v/>
      </c>
      <c r="V246" s="70">
        <f>IF($S246="","",IF(ISNUMBER($I246),$I246,$U246))</f>
        <v/>
      </c>
      <c r="W246" s="70">
        <f>IF($S246="","",IF(ISNUMBER($J246),$J246,$V246))</f>
        <v/>
      </c>
      <c r="X246" s="70">
        <f>IF($S246="","",IF(ISNUMBER($K246),$K246,$W246))</f>
        <v/>
      </c>
      <c r="Y246" s="70">
        <f>IF($S246="","",IF(N($T246)&gt;0,AVERAGEIFS($U$5:$U$1000,$R$5:$R$1000,ROW(),$S$5:$S$1000,"Sub"),$U246))</f>
        <v/>
      </c>
      <c r="Z246" s="70">
        <f>IF($S246="","",IF(N($T246)&gt;0,AVERAGEIFS($V$5:$V$1000,$R$5:$R$1000,ROW(),$S$5:$S$1000,"Sub"),$V246))</f>
        <v/>
      </c>
      <c r="AA246" s="70">
        <f>IF($S246="","",IF(N($T246)&gt;0,AVERAGEIFS($W$5:$W$1000,$R$5:$R$1000,ROW(),$S$5:$S$1000,"Sub"),$W246))</f>
        <v/>
      </c>
      <c r="AB246" s="70">
        <f>IF($S246="","",IF(N($T246)&gt;0,AVERAGEIFS($X$5:$X$1000,$R$5:$R$1000,ROW(),$S$5:$S$1000,"Sub"),$X246))</f>
        <v/>
      </c>
    </row>
    <row r="247">
      <c r="A247" s="61">
        <f>IF(NOT((COUNTA($B247:$K247)+COUNTA($N247))&gt;0),"",IF($S247="Macro",COUNTIFS($S$5:$S247,"Macro",$P$5:$P247,$P247),IF(N($R247)=0,"?",COUNTIFS(INDEX($S$5:$S$1000,1):INDEX($S$5:$S$1000,$R247-4),"Macro",INDEX($P$5:$P$1000,1):INDEX($P$5:$P$1000,$R247-4),INDEX($P$5:$P$1000,$R247-4))&amp;"."&amp;COUNTIFS($R$5:$R247,$R247,$S$5:$S247,"Sub"))))</f>
        <v/>
      </c>
      <c r="B247" s="62" t="n"/>
      <c r="C247" s="63" t="n"/>
      <c r="D247" s="62" t="n"/>
      <c r="E247" s="64" t="n"/>
      <c r="F247" s="64" t="n"/>
      <c r="G247" s="65" t="n"/>
      <c r="H247" s="66" t="n"/>
      <c r="I247" s="66" t="n"/>
      <c r="J247" s="66" t="n"/>
      <c r="K247" s="66" t="n"/>
      <c r="L247" s="67">
        <f>IF(NOT((COUNTA($B247:$K247)+COUNTA($N247))&gt;0),"",IF(N($T247)&gt;0,$AB247,IFERROR(LOOKUP(2,1/(H247:K247&lt;&gt;""),H247:K247),0)))</f>
        <v/>
      </c>
      <c r="M247" s="61">
        <f>IF(L247="","",IF(L247&gt;=1,"Completado",IF(L247&gt;0,"En curso","Pendiente")))</f>
        <v/>
      </c>
      <c r="N247" s="62" t="n"/>
      <c r="O247" s="68">
        <f>IF(NOT((COUNTA($B247:$K247)+COUNTA($N247))&gt;0),"",IF((IF(AND($S247="Macro",$B247=""),"Macroactividad vacía"&amp;" · ","")&amp;IF(AND($B247&lt;&gt;"",$C247&lt;&gt;""),"Escriba la subactividad en otra fila, debajo de su macroactividad"&amp;" · ","")&amp;IF(AND($S247="Sub",N($R247)=0),"Subactividad sin macroactividad arriba"&amp;" · ","")&amp;IF($D247="","Sin responsable"&amp;" · ","")&amp;IF($E247="","Sin fecha de inicio"&amp;" · ","")&amp;IF($F247="","Sin fecha límite"&amp;" · ","")&amp;IF(OR(AND($E247&lt;&gt;"",NOT(ISNUMBER($E247))),AND($F247&lt;&gt;"",NOT(ISNUMBER($F247)))),"Fecha no válida"&amp;" · ","")&amp;IF(AND(ISNUMBER($E247),ISNUMBER($F247),$E247&gt;$F247),"Inicio posterior a fecha límite"&amp;" · ","")&amp;IF(AND($S247="Macro",$G247=""),"Peso vacío"&amp;" · ","")&amp;IF(AND($S247="Macro",$G247&lt;&gt;"",OR(NOT(ISNUMBER($G247)),$G247&lt;=0,$G247&gt;1)),"Peso fuera de rango"&amp;" · ","")&amp;IF(AND($S247="Sub",$G247&lt;&gt;""),"Las subactividades no llevan peso"&amp;" · ","")&amp;IF(AND($S247="Macro",ABS(SUMIFS($G$5:$G$1000,$P$5:$P$1000,$P247,$S$5:$S$1000,"Macro")-1)&gt;0.0001),"Pesos del mes suman "&amp;TEXT(SUMIFS($G$5:$G$1000,$P$5:$P$1000,$P247,$S$5:$S$1000,"Macro"),"0%")&amp;" · ","")&amp;IF(AND(N($T247)&gt;0,COUNT($H247:$K247)&gt;0),"Con subactividades: deje vacías las semanas (se calculan solas)"&amp;" · ","")&amp;IF((COUNTIF($H247:$K247,"&gt;1")+COUNTIF($H247:$K247,"&lt;0")+COUNTA($H247:$K247)-COUNT($H247:$K247))&gt;0,"Avance fuera de rango 0-100%"&amp;" · ","")&amp;IF(OR(AND($I247&lt;&gt;"",$I247&lt;$H247),AND($J247&lt;&gt;"",$J247&lt;MAX($H247:$I247)),AND($K247&lt;&gt;"",$K247&lt;MAX($H247:$J247))),"Avance semanal decreciente"&amp;" · ","")&amp;IF(AND(ISNUMBER($F247),$F247&lt;FechaRef,N($L247)&lt;1),"Vencida"&amp;" · ","")&amp;IF(AND(ObsObligatoria="Sí",ISNUMBER($F247),$F247&lt;FechaRef,N($L247)&lt;1,$N247=""),"Vencida sin observación"&amp;" · ",""))="","✔ OK","⚠ "&amp;LEFT(IF(AND($S247="Macro",$B247=""),"Macroactividad vacía"&amp;" · ","")&amp;IF(AND($B247&lt;&gt;"",$C247&lt;&gt;""),"Escriba la subactividad en otra fila, debajo de su macroactividad"&amp;" · ","")&amp;IF(AND($S247="Sub",N($R247)=0),"Subactividad sin macroactividad arriba"&amp;" · ","")&amp;IF($D247="","Sin responsable"&amp;" · ","")&amp;IF($E247="","Sin fecha de inicio"&amp;" · ","")&amp;IF($F247="","Sin fecha límite"&amp;" · ","")&amp;IF(OR(AND($E247&lt;&gt;"",NOT(ISNUMBER($E247))),AND($F247&lt;&gt;"",NOT(ISNUMBER($F247)))),"Fecha no válida"&amp;" · ","")&amp;IF(AND(ISNUMBER($E247),ISNUMBER($F247),$E247&gt;$F247),"Inicio posterior a fecha límite"&amp;" · ","")&amp;IF(AND($S247="Macro",$G247=""),"Peso vacío"&amp;" · ","")&amp;IF(AND($S247="Macro",$G247&lt;&gt;"",OR(NOT(ISNUMBER($G247)),$G247&lt;=0,$G247&gt;1)),"Peso fuera de rango"&amp;" · ","")&amp;IF(AND($S247="Sub",$G247&lt;&gt;""),"Las subactividades no llevan peso"&amp;" · ","")&amp;IF(AND($S247="Macro",ABS(SUMIFS($G$5:$G$1000,$P$5:$P$1000,$P247,$S$5:$S$1000,"Macro")-1)&gt;0.0001),"Pesos del mes suman "&amp;TEXT(SUMIFS($G$5:$G$1000,$P$5:$P$1000,$P247,$S$5:$S$1000,"Macro"),"0%")&amp;" · ","")&amp;IF(AND(N($T247)&gt;0,COUNT($H247:$K247)&gt;0),"Con subactividades: deje vacías las semanas (se calculan solas)"&amp;" · ","")&amp;IF((COUNTIF($H247:$K247,"&gt;1")+COUNTIF($H247:$K247,"&lt;0")+COUNTA($H247:$K247)-COUNT($H247:$K247))&gt;0,"Avance fuera de rango 0-100%"&amp;" · ","")&amp;IF(OR(AND($I247&lt;&gt;"",$I247&lt;$H247),AND($J247&lt;&gt;"",$J247&lt;MAX($H247:$I247)),AND($K247&lt;&gt;"",$K247&lt;MAX($H247:$J247))),"Avance semanal decreciente"&amp;" · ","")&amp;IF(AND(ISNUMBER($F247),$F247&lt;FechaRef,N($L247)&lt;1),"Vencida"&amp;" · ","")&amp;IF(AND(ObsObligatoria="Sí",ISNUMBER($F247),$F247&lt;FechaRef,N($L247)&lt;1,$N247=""),"Vencida sin observación"&amp;" · ",""),LEN(IF(AND($S247="Macro",$B247=""),"Macroactividad vacía"&amp;" · ","")&amp;IF(AND($B247&lt;&gt;"",$C247&lt;&gt;""),"Escriba la subactividad en otra fila, debajo de su macroactividad"&amp;" · ","")&amp;IF(AND($S247="Sub",N($R247)=0),"Subactividad sin macroactividad arriba"&amp;" · ","")&amp;IF($D247="","Sin responsable"&amp;" · ","")&amp;IF($E247="","Sin fecha de inicio"&amp;" · ","")&amp;IF($F247="","Sin fecha límite"&amp;" · ","")&amp;IF(OR(AND($E247&lt;&gt;"",NOT(ISNUMBER($E247))),AND($F247&lt;&gt;"",NOT(ISNUMBER($F247)))),"Fecha no válida"&amp;" · ","")&amp;IF(AND(ISNUMBER($E247),ISNUMBER($F247),$E247&gt;$F247),"Inicio posterior a fecha límite"&amp;" · ","")&amp;IF(AND($S247="Macro",$G247=""),"Peso vacío"&amp;" · ","")&amp;IF(AND($S247="Macro",$G247&lt;&gt;"",OR(NOT(ISNUMBER($G247)),$G247&lt;=0,$G247&gt;1)),"Peso fuera de rango"&amp;" · ","")&amp;IF(AND($S247="Sub",$G247&lt;&gt;""),"Las subactividades no llevan peso"&amp;" · ","")&amp;IF(AND($S247="Macro",ABS(SUMIFS($G$5:$G$1000,$P$5:$P$1000,$P247,$S$5:$S$1000,"Macro")-1)&gt;0.0001),"Pesos del mes suman "&amp;TEXT(SUMIFS($G$5:$G$1000,$P$5:$P$1000,$P247,$S$5:$S$1000,"Macro"),"0%")&amp;" · ","")&amp;IF(AND(N($T247)&gt;0,COUNT($H247:$K247)&gt;0),"Con subactividades: deje vacías las semanas (se calculan solas)"&amp;" · ","")&amp;IF((COUNTIF($H247:$K247,"&gt;1")+COUNTIF($H247:$K247,"&lt;0")+COUNTA($H247:$K247)-COUNT($H247:$K247))&gt;0,"Avance fuera de rango 0-100%"&amp;" · ","")&amp;IF(OR(AND($I247&lt;&gt;"",$I247&lt;$H247),AND($J247&lt;&gt;"",$J247&lt;MAX($H247:$I247)),AND($K247&lt;&gt;"",$K247&lt;MAX($H247:$J247))),"Avance semanal decreciente"&amp;" · ","")&amp;IF(AND(ISNUMBER($F247),$F247&lt;FechaRef,N($L247)&lt;1),"Vencida"&amp;" · ","")&amp;IF(AND(ObsObligatoria="Sí",ISNUMBER($F247),$F247&lt;FechaRef,N($L247)&lt;1,$N247=""),"Vencida sin observación"&amp;" · ",""))-3)))</f>
        <v/>
      </c>
      <c r="P247" s="69">
        <f>IF(NOT((COUNTA($B247:$K247)+COUNTA($N247))&gt;0),"",IF(AND($S247="Sub",N($R247)&gt;0),IF(ISNUMBER(INDEX($E$5:$E$1000,$R247-4)),DATE(YEAR(INDEX($E$5:$E$1000,$R247-4)),MONTH(INDEX($E$5:$E$1000,$R247-4)),1),IF(ISNUMBER(INDEX($F$5:$F$1000,$R247-4)),DATE(YEAR(INDEX($F$5:$F$1000,$R247-4)),MONTH(INDEX($F$5:$F$1000,$R247-4)),1),MesCiclo)),IF(ISNUMBER($E247),DATE(YEAR($E247),MONTH($E247),1),IF(ISNUMBER($F247),DATE(YEAR($F247),MONTH($F247),1),MesCiclo))))</f>
        <v/>
      </c>
      <c r="Q247" s="70">
        <f>IF(OR($P247="",$P247&lt;&gt;MesCiclo),"",COUNTIF($P$5:$P247,MesCiclo))</f>
        <v/>
      </c>
      <c r="R247" s="70">
        <f>IF($S247="","",IF($S247="Macro",ROW(),IFERROR(LOOKUP(2,1/($S$5:$S247="Macro"),ROW($S$5:$S247)),0)))</f>
        <v/>
      </c>
      <c r="S247" s="70">
        <f>IF(NOT((COUNTA($B247:$K247)+COUNTA($N247))&gt;0),"",IF($B247&lt;&gt;"","Macro",IF($C247&lt;&gt;"","Sub","Macro")))</f>
        <v/>
      </c>
      <c r="T247" s="70">
        <f>IF($S247="Macro",COUNTIFS($R$5:$R$1000,ROW(),$S$5:$S$1000,"Sub"),"")</f>
        <v/>
      </c>
      <c r="U247" s="70">
        <f>IF($S247="","",IF(ISNUMBER($H247),$H247,0))</f>
        <v/>
      </c>
      <c r="V247" s="70">
        <f>IF($S247="","",IF(ISNUMBER($I247),$I247,$U247))</f>
        <v/>
      </c>
      <c r="W247" s="70">
        <f>IF($S247="","",IF(ISNUMBER($J247),$J247,$V247))</f>
        <v/>
      </c>
      <c r="X247" s="70">
        <f>IF($S247="","",IF(ISNUMBER($K247),$K247,$W247))</f>
        <v/>
      </c>
      <c r="Y247" s="70">
        <f>IF($S247="","",IF(N($T247)&gt;0,AVERAGEIFS($U$5:$U$1000,$R$5:$R$1000,ROW(),$S$5:$S$1000,"Sub"),$U247))</f>
        <v/>
      </c>
      <c r="Z247" s="70">
        <f>IF($S247="","",IF(N($T247)&gt;0,AVERAGEIFS($V$5:$V$1000,$R$5:$R$1000,ROW(),$S$5:$S$1000,"Sub"),$V247))</f>
        <v/>
      </c>
      <c r="AA247" s="70">
        <f>IF($S247="","",IF(N($T247)&gt;0,AVERAGEIFS($W$5:$W$1000,$R$5:$R$1000,ROW(),$S$5:$S$1000,"Sub"),$W247))</f>
        <v/>
      </c>
      <c r="AB247" s="70">
        <f>IF($S247="","",IF(N($T247)&gt;0,AVERAGEIFS($X$5:$X$1000,$R$5:$R$1000,ROW(),$S$5:$S$1000,"Sub"),$X247))</f>
        <v/>
      </c>
    </row>
    <row r="248">
      <c r="A248" s="61">
        <f>IF(NOT((COUNTA($B248:$K248)+COUNTA($N248))&gt;0),"",IF($S248="Macro",COUNTIFS($S$5:$S248,"Macro",$P$5:$P248,$P248),IF(N($R248)=0,"?",COUNTIFS(INDEX($S$5:$S$1000,1):INDEX($S$5:$S$1000,$R248-4),"Macro",INDEX($P$5:$P$1000,1):INDEX($P$5:$P$1000,$R248-4),INDEX($P$5:$P$1000,$R248-4))&amp;"."&amp;COUNTIFS($R$5:$R248,$R248,$S$5:$S248,"Sub"))))</f>
        <v/>
      </c>
      <c r="B248" s="62" t="n"/>
      <c r="C248" s="63" t="n"/>
      <c r="D248" s="62" t="n"/>
      <c r="E248" s="64" t="n"/>
      <c r="F248" s="64" t="n"/>
      <c r="G248" s="65" t="n"/>
      <c r="H248" s="66" t="n"/>
      <c r="I248" s="66" t="n"/>
      <c r="J248" s="66" t="n"/>
      <c r="K248" s="66" t="n"/>
      <c r="L248" s="67">
        <f>IF(NOT((COUNTA($B248:$K248)+COUNTA($N248))&gt;0),"",IF(N($T248)&gt;0,$AB248,IFERROR(LOOKUP(2,1/(H248:K248&lt;&gt;""),H248:K248),0)))</f>
        <v/>
      </c>
      <c r="M248" s="61">
        <f>IF(L248="","",IF(L248&gt;=1,"Completado",IF(L248&gt;0,"En curso","Pendiente")))</f>
        <v/>
      </c>
      <c r="N248" s="62" t="n"/>
      <c r="O248" s="68">
        <f>IF(NOT((COUNTA($B248:$K248)+COUNTA($N248))&gt;0),"",IF((IF(AND($S248="Macro",$B248=""),"Macroactividad vacía"&amp;" · ","")&amp;IF(AND($B248&lt;&gt;"",$C248&lt;&gt;""),"Escriba la subactividad en otra fila, debajo de su macroactividad"&amp;" · ","")&amp;IF(AND($S248="Sub",N($R248)=0),"Subactividad sin macroactividad arriba"&amp;" · ","")&amp;IF($D248="","Sin responsable"&amp;" · ","")&amp;IF($E248="","Sin fecha de inicio"&amp;" · ","")&amp;IF($F248="","Sin fecha límite"&amp;" · ","")&amp;IF(OR(AND($E248&lt;&gt;"",NOT(ISNUMBER($E248))),AND($F248&lt;&gt;"",NOT(ISNUMBER($F248)))),"Fecha no válida"&amp;" · ","")&amp;IF(AND(ISNUMBER($E248),ISNUMBER($F248),$E248&gt;$F248),"Inicio posterior a fecha límite"&amp;" · ","")&amp;IF(AND($S248="Macro",$G248=""),"Peso vacío"&amp;" · ","")&amp;IF(AND($S248="Macro",$G248&lt;&gt;"",OR(NOT(ISNUMBER($G248)),$G248&lt;=0,$G248&gt;1)),"Peso fuera de rango"&amp;" · ","")&amp;IF(AND($S248="Sub",$G248&lt;&gt;""),"Las subactividades no llevan peso"&amp;" · ","")&amp;IF(AND($S248="Macro",ABS(SUMIFS($G$5:$G$1000,$P$5:$P$1000,$P248,$S$5:$S$1000,"Macro")-1)&gt;0.0001),"Pesos del mes suman "&amp;TEXT(SUMIFS($G$5:$G$1000,$P$5:$P$1000,$P248,$S$5:$S$1000,"Macro"),"0%")&amp;" · ","")&amp;IF(AND(N($T248)&gt;0,COUNT($H248:$K248)&gt;0),"Con subactividades: deje vacías las semanas (se calculan solas)"&amp;" · ","")&amp;IF((COUNTIF($H248:$K248,"&gt;1")+COUNTIF($H248:$K248,"&lt;0")+COUNTA($H248:$K248)-COUNT($H248:$K248))&gt;0,"Avance fuera de rango 0-100%"&amp;" · ","")&amp;IF(OR(AND($I248&lt;&gt;"",$I248&lt;$H248),AND($J248&lt;&gt;"",$J248&lt;MAX($H248:$I248)),AND($K248&lt;&gt;"",$K248&lt;MAX($H248:$J248))),"Avance semanal decreciente"&amp;" · ","")&amp;IF(AND(ISNUMBER($F248),$F248&lt;FechaRef,N($L248)&lt;1),"Vencida"&amp;" · ","")&amp;IF(AND(ObsObligatoria="Sí",ISNUMBER($F248),$F248&lt;FechaRef,N($L248)&lt;1,$N248=""),"Vencida sin observación"&amp;" · ",""))="","✔ OK","⚠ "&amp;LEFT(IF(AND($S248="Macro",$B248=""),"Macroactividad vacía"&amp;" · ","")&amp;IF(AND($B248&lt;&gt;"",$C248&lt;&gt;""),"Escriba la subactividad en otra fila, debajo de su macroactividad"&amp;" · ","")&amp;IF(AND($S248="Sub",N($R248)=0),"Subactividad sin macroactividad arriba"&amp;" · ","")&amp;IF($D248="","Sin responsable"&amp;" · ","")&amp;IF($E248="","Sin fecha de inicio"&amp;" · ","")&amp;IF($F248="","Sin fecha límite"&amp;" · ","")&amp;IF(OR(AND($E248&lt;&gt;"",NOT(ISNUMBER($E248))),AND($F248&lt;&gt;"",NOT(ISNUMBER($F248)))),"Fecha no válida"&amp;" · ","")&amp;IF(AND(ISNUMBER($E248),ISNUMBER($F248),$E248&gt;$F248),"Inicio posterior a fecha límite"&amp;" · ","")&amp;IF(AND($S248="Macro",$G248=""),"Peso vacío"&amp;" · ","")&amp;IF(AND($S248="Macro",$G248&lt;&gt;"",OR(NOT(ISNUMBER($G248)),$G248&lt;=0,$G248&gt;1)),"Peso fuera de rango"&amp;" · ","")&amp;IF(AND($S248="Sub",$G248&lt;&gt;""),"Las subactividades no llevan peso"&amp;" · ","")&amp;IF(AND($S248="Macro",ABS(SUMIFS($G$5:$G$1000,$P$5:$P$1000,$P248,$S$5:$S$1000,"Macro")-1)&gt;0.0001),"Pesos del mes suman "&amp;TEXT(SUMIFS($G$5:$G$1000,$P$5:$P$1000,$P248,$S$5:$S$1000,"Macro"),"0%")&amp;" · ","")&amp;IF(AND(N($T248)&gt;0,COUNT($H248:$K248)&gt;0),"Con subactividades: deje vacías las semanas (se calculan solas)"&amp;" · ","")&amp;IF((COUNTIF($H248:$K248,"&gt;1")+COUNTIF($H248:$K248,"&lt;0")+COUNTA($H248:$K248)-COUNT($H248:$K248))&gt;0,"Avance fuera de rango 0-100%"&amp;" · ","")&amp;IF(OR(AND($I248&lt;&gt;"",$I248&lt;$H248),AND($J248&lt;&gt;"",$J248&lt;MAX($H248:$I248)),AND($K248&lt;&gt;"",$K248&lt;MAX($H248:$J248))),"Avance semanal decreciente"&amp;" · ","")&amp;IF(AND(ISNUMBER($F248),$F248&lt;FechaRef,N($L248)&lt;1),"Vencida"&amp;" · ","")&amp;IF(AND(ObsObligatoria="Sí",ISNUMBER($F248),$F248&lt;FechaRef,N($L248)&lt;1,$N248=""),"Vencida sin observación"&amp;" · ",""),LEN(IF(AND($S248="Macro",$B248=""),"Macroactividad vacía"&amp;" · ","")&amp;IF(AND($B248&lt;&gt;"",$C248&lt;&gt;""),"Escriba la subactividad en otra fila, debajo de su macroactividad"&amp;" · ","")&amp;IF(AND($S248="Sub",N($R248)=0),"Subactividad sin macroactividad arriba"&amp;" · ","")&amp;IF($D248="","Sin responsable"&amp;" · ","")&amp;IF($E248="","Sin fecha de inicio"&amp;" · ","")&amp;IF($F248="","Sin fecha límite"&amp;" · ","")&amp;IF(OR(AND($E248&lt;&gt;"",NOT(ISNUMBER($E248))),AND($F248&lt;&gt;"",NOT(ISNUMBER($F248)))),"Fecha no válida"&amp;" · ","")&amp;IF(AND(ISNUMBER($E248),ISNUMBER($F248),$E248&gt;$F248),"Inicio posterior a fecha límite"&amp;" · ","")&amp;IF(AND($S248="Macro",$G248=""),"Peso vacío"&amp;" · ","")&amp;IF(AND($S248="Macro",$G248&lt;&gt;"",OR(NOT(ISNUMBER($G248)),$G248&lt;=0,$G248&gt;1)),"Peso fuera de rango"&amp;" · ","")&amp;IF(AND($S248="Sub",$G248&lt;&gt;""),"Las subactividades no llevan peso"&amp;" · ","")&amp;IF(AND($S248="Macro",ABS(SUMIFS($G$5:$G$1000,$P$5:$P$1000,$P248,$S$5:$S$1000,"Macro")-1)&gt;0.0001),"Pesos del mes suman "&amp;TEXT(SUMIFS($G$5:$G$1000,$P$5:$P$1000,$P248,$S$5:$S$1000,"Macro"),"0%")&amp;" · ","")&amp;IF(AND(N($T248)&gt;0,COUNT($H248:$K248)&gt;0),"Con subactividades: deje vacías las semanas (se calculan solas)"&amp;" · ","")&amp;IF((COUNTIF($H248:$K248,"&gt;1")+COUNTIF($H248:$K248,"&lt;0")+COUNTA($H248:$K248)-COUNT($H248:$K248))&gt;0,"Avance fuera de rango 0-100%"&amp;" · ","")&amp;IF(OR(AND($I248&lt;&gt;"",$I248&lt;$H248),AND($J248&lt;&gt;"",$J248&lt;MAX($H248:$I248)),AND($K248&lt;&gt;"",$K248&lt;MAX($H248:$J248))),"Avance semanal decreciente"&amp;" · ","")&amp;IF(AND(ISNUMBER($F248),$F248&lt;FechaRef,N($L248)&lt;1),"Vencida"&amp;" · ","")&amp;IF(AND(ObsObligatoria="Sí",ISNUMBER($F248),$F248&lt;FechaRef,N($L248)&lt;1,$N248=""),"Vencida sin observación"&amp;" · ",""))-3)))</f>
        <v/>
      </c>
      <c r="P248" s="69">
        <f>IF(NOT((COUNTA($B248:$K248)+COUNTA($N248))&gt;0),"",IF(AND($S248="Sub",N($R248)&gt;0),IF(ISNUMBER(INDEX($E$5:$E$1000,$R248-4)),DATE(YEAR(INDEX($E$5:$E$1000,$R248-4)),MONTH(INDEX($E$5:$E$1000,$R248-4)),1),IF(ISNUMBER(INDEX($F$5:$F$1000,$R248-4)),DATE(YEAR(INDEX($F$5:$F$1000,$R248-4)),MONTH(INDEX($F$5:$F$1000,$R248-4)),1),MesCiclo)),IF(ISNUMBER($E248),DATE(YEAR($E248),MONTH($E248),1),IF(ISNUMBER($F248),DATE(YEAR($F248),MONTH($F248),1),MesCiclo))))</f>
        <v/>
      </c>
      <c r="Q248" s="70">
        <f>IF(OR($P248="",$P248&lt;&gt;MesCiclo),"",COUNTIF($P$5:$P248,MesCiclo))</f>
        <v/>
      </c>
      <c r="R248" s="70">
        <f>IF($S248="","",IF($S248="Macro",ROW(),IFERROR(LOOKUP(2,1/($S$5:$S248="Macro"),ROW($S$5:$S248)),0)))</f>
        <v/>
      </c>
      <c r="S248" s="70">
        <f>IF(NOT((COUNTA($B248:$K248)+COUNTA($N248))&gt;0),"",IF($B248&lt;&gt;"","Macro",IF($C248&lt;&gt;"","Sub","Macro")))</f>
        <v/>
      </c>
      <c r="T248" s="70">
        <f>IF($S248="Macro",COUNTIFS($R$5:$R$1000,ROW(),$S$5:$S$1000,"Sub"),"")</f>
        <v/>
      </c>
      <c r="U248" s="70">
        <f>IF($S248="","",IF(ISNUMBER($H248),$H248,0))</f>
        <v/>
      </c>
      <c r="V248" s="70">
        <f>IF($S248="","",IF(ISNUMBER($I248),$I248,$U248))</f>
        <v/>
      </c>
      <c r="W248" s="70">
        <f>IF($S248="","",IF(ISNUMBER($J248),$J248,$V248))</f>
        <v/>
      </c>
      <c r="X248" s="70">
        <f>IF($S248="","",IF(ISNUMBER($K248),$K248,$W248))</f>
        <v/>
      </c>
      <c r="Y248" s="70">
        <f>IF($S248="","",IF(N($T248)&gt;0,AVERAGEIFS($U$5:$U$1000,$R$5:$R$1000,ROW(),$S$5:$S$1000,"Sub"),$U248))</f>
        <v/>
      </c>
      <c r="Z248" s="70">
        <f>IF($S248="","",IF(N($T248)&gt;0,AVERAGEIFS($V$5:$V$1000,$R$5:$R$1000,ROW(),$S$5:$S$1000,"Sub"),$V248))</f>
        <v/>
      </c>
      <c r="AA248" s="70">
        <f>IF($S248="","",IF(N($T248)&gt;0,AVERAGEIFS($W$5:$W$1000,$R$5:$R$1000,ROW(),$S$5:$S$1000,"Sub"),$W248))</f>
        <v/>
      </c>
      <c r="AB248" s="70">
        <f>IF($S248="","",IF(N($T248)&gt;0,AVERAGEIFS($X$5:$X$1000,$R$5:$R$1000,ROW(),$S$5:$S$1000,"Sub"),$X248))</f>
        <v/>
      </c>
    </row>
    <row r="249">
      <c r="A249" s="61">
        <f>IF(NOT((COUNTA($B249:$K249)+COUNTA($N249))&gt;0),"",IF($S249="Macro",COUNTIFS($S$5:$S249,"Macro",$P$5:$P249,$P249),IF(N($R249)=0,"?",COUNTIFS(INDEX($S$5:$S$1000,1):INDEX($S$5:$S$1000,$R249-4),"Macro",INDEX($P$5:$P$1000,1):INDEX($P$5:$P$1000,$R249-4),INDEX($P$5:$P$1000,$R249-4))&amp;"."&amp;COUNTIFS($R$5:$R249,$R249,$S$5:$S249,"Sub"))))</f>
        <v/>
      </c>
      <c r="B249" s="62" t="n"/>
      <c r="C249" s="63" t="n"/>
      <c r="D249" s="62" t="n"/>
      <c r="E249" s="64" t="n"/>
      <c r="F249" s="64" t="n"/>
      <c r="G249" s="65" t="n"/>
      <c r="H249" s="66" t="n"/>
      <c r="I249" s="66" t="n"/>
      <c r="J249" s="66" t="n"/>
      <c r="K249" s="66" t="n"/>
      <c r="L249" s="67">
        <f>IF(NOT((COUNTA($B249:$K249)+COUNTA($N249))&gt;0),"",IF(N($T249)&gt;0,$AB249,IFERROR(LOOKUP(2,1/(H249:K249&lt;&gt;""),H249:K249),0)))</f>
        <v/>
      </c>
      <c r="M249" s="61">
        <f>IF(L249="","",IF(L249&gt;=1,"Completado",IF(L249&gt;0,"En curso","Pendiente")))</f>
        <v/>
      </c>
      <c r="N249" s="62" t="n"/>
      <c r="O249" s="68">
        <f>IF(NOT((COUNTA($B249:$K249)+COUNTA($N249))&gt;0),"",IF((IF(AND($S249="Macro",$B249=""),"Macroactividad vacía"&amp;" · ","")&amp;IF(AND($B249&lt;&gt;"",$C249&lt;&gt;""),"Escriba la subactividad en otra fila, debajo de su macroactividad"&amp;" · ","")&amp;IF(AND($S249="Sub",N($R249)=0),"Subactividad sin macroactividad arriba"&amp;" · ","")&amp;IF($D249="","Sin responsable"&amp;" · ","")&amp;IF($E249="","Sin fecha de inicio"&amp;" · ","")&amp;IF($F249="","Sin fecha límite"&amp;" · ","")&amp;IF(OR(AND($E249&lt;&gt;"",NOT(ISNUMBER($E249))),AND($F249&lt;&gt;"",NOT(ISNUMBER($F249)))),"Fecha no válida"&amp;" · ","")&amp;IF(AND(ISNUMBER($E249),ISNUMBER($F249),$E249&gt;$F249),"Inicio posterior a fecha límite"&amp;" · ","")&amp;IF(AND($S249="Macro",$G249=""),"Peso vacío"&amp;" · ","")&amp;IF(AND($S249="Macro",$G249&lt;&gt;"",OR(NOT(ISNUMBER($G249)),$G249&lt;=0,$G249&gt;1)),"Peso fuera de rango"&amp;" · ","")&amp;IF(AND($S249="Sub",$G249&lt;&gt;""),"Las subactividades no llevan peso"&amp;" · ","")&amp;IF(AND($S249="Macro",ABS(SUMIFS($G$5:$G$1000,$P$5:$P$1000,$P249,$S$5:$S$1000,"Macro")-1)&gt;0.0001),"Pesos del mes suman "&amp;TEXT(SUMIFS($G$5:$G$1000,$P$5:$P$1000,$P249,$S$5:$S$1000,"Macro"),"0%")&amp;" · ","")&amp;IF(AND(N($T249)&gt;0,COUNT($H249:$K249)&gt;0),"Con subactividades: deje vacías las semanas (se calculan solas)"&amp;" · ","")&amp;IF((COUNTIF($H249:$K249,"&gt;1")+COUNTIF($H249:$K249,"&lt;0")+COUNTA($H249:$K249)-COUNT($H249:$K249))&gt;0,"Avance fuera de rango 0-100%"&amp;" · ","")&amp;IF(OR(AND($I249&lt;&gt;"",$I249&lt;$H249),AND($J249&lt;&gt;"",$J249&lt;MAX($H249:$I249)),AND($K249&lt;&gt;"",$K249&lt;MAX($H249:$J249))),"Avance semanal decreciente"&amp;" · ","")&amp;IF(AND(ISNUMBER($F249),$F249&lt;FechaRef,N($L249)&lt;1),"Vencida"&amp;" · ","")&amp;IF(AND(ObsObligatoria="Sí",ISNUMBER($F249),$F249&lt;FechaRef,N($L249)&lt;1,$N249=""),"Vencida sin observación"&amp;" · ",""))="","✔ OK","⚠ "&amp;LEFT(IF(AND($S249="Macro",$B249=""),"Macroactividad vacía"&amp;" · ","")&amp;IF(AND($B249&lt;&gt;"",$C249&lt;&gt;""),"Escriba la subactividad en otra fila, debajo de su macroactividad"&amp;" · ","")&amp;IF(AND($S249="Sub",N($R249)=0),"Subactividad sin macroactividad arriba"&amp;" · ","")&amp;IF($D249="","Sin responsable"&amp;" · ","")&amp;IF($E249="","Sin fecha de inicio"&amp;" · ","")&amp;IF($F249="","Sin fecha límite"&amp;" · ","")&amp;IF(OR(AND($E249&lt;&gt;"",NOT(ISNUMBER($E249))),AND($F249&lt;&gt;"",NOT(ISNUMBER($F249)))),"Fecha no válida"&amp;" · ","")&amp;IF(AND(ISNUMBER($E249),ISNUMBER($F249),$E249&gt;$F249),"Inicio posterior a fecha límite"&amp;" · ","")&amp;IF(AND($S249="Macro",$G249=""),"Peso vacío"&amp;" · ","")&amp;IF(AND($S249="Macro",$G249&lt;&gt;"",OR(NOT(ISNUMBER($G249)),$G249&lt;=0,$G249&gt;1)),"Peso fuera de rango"&amp;" · ","")&amp;IF(AND($S249="Sub",$G249&lt;&gt;""),"Las subactividades no llevan peso"&amp;" · ","")&amp;IF(AND($S249="Macro",ABS(SUMIFS($G$5:$G$1000,$P$5:$P$1000,$P249,$S$5:$S$1000,"Macro")-1)&gt;0.0001),"Pesos del mes suman "&amp;TEXT(SUMIFS($G$5:$G$1000,$P$5:$P$1000,$P249,$S$5:$S$1000,"Macro"),"0%")&amp;" · ","")&amp;IF(AND(N($T249)&gt;0,COUNT($H249:$K249)&gt;0),"Con subactividades: deje vacías las semanas (se calculan solas)"&amp;" · ","")&amp;IF((COUNTIF($H249:$K249,"&gt;1")+COUNTIF($H249:$K249,"&lt;0")+COUNTA($H249:$K249)-COUNT($H249:$K249))&gt;0,"Avance fuera de rango 0-100%"&amp;" · ","")&amp;IF(OR(AND($I249&lt;&gt;"",$I249&lt;$H249),AND($J249&lt;&gt;"",$J249&lt;MAX($H249:$I249)),AND($K249&lt;&gt;"",$K249&lt;MAX($H249:$J249))),"Avance semanal decreciente"&amp;" · ","")&amp;IF(AND(ISNUMBER($F249),$F249&lt;FechaRef,N($L249)&lt;1),"Vencida"&amp;" · ","")&amp;IF(AND(ObsObligatoria="Sí",ISNUMBER($F249),$F249&lt;FechaRef,N($L249)&lt;1,$N249=""),"Vencida sin observación"&amp;" · ",""),LEN(IF(AND($S249="Macro",$B249=""),"Macroactividad vacía"&amp;" · ","")&amp;IF(AND($B249&lt;&gt;"",$C249&lt;&gt;""),"Escriba la subactividad en otra fila, debajo de su macroactividad"&amp;" · ","")&amp;IF(AND($S249="Sub",N($R249)=0),"Subactividad sin macroactividad arriba"&amp;" · ","")&amp;IF($D249="","Sin responsable"&amp;" · ","")&amp;IF($E249="","Sin fecha de inicio"&amp;" · ","")&amp;IF($F249="","Sin fecha límite"&amp;" · ","")&amp;IF(OR(AND($E249&lt;&gt;"",NOT(ISNUMBER($E249))),AND($F249&lt;&gt;"",NOT(ISNUMBER($F249)))),"Fecha no válida"&amp;" · ","")&amp;IF(AND(ISNUMBER($E249),ISNUMBER($F249),$E249&gt;$F249),"Inicio posterior a fecha límite"&amp;" · ","")&amp;IF(AND($S249="Macro",$G249=""),"Peso vacío"&amp;" · ","")&amp;IF(AND($S249="Macro",$G249&lt;&gt;"",OR(NOT(ISNUMBER($G249)),$G249&lt;=0,$G249&gt;1)),"Peso fuera de rango"&amp;" · ","")&amp;IF(AND($S249="Sub",$G249&lt;&gt;""),"Las subactividades no llevan peso"&amp;" · ","")&amp;IF(AND($S249="Macro",ABS(SUMIFS($G$5:$G$1000,$P$5:$P$1000,$P249,$S$5:$S$1000,"Macro")-1)&gt;0.0001),"Pesos del mes suman "&amp;TEXT(SUMIFS($G$5:$G$1000,$P$5:$P$1000,$P249,$S$5:$S$1000,"Macro"),"0%")&amp;" · ","")&amp;IF(AND(N($T249)&gt;0,COUNT($H249:$K249)&gt;0),"Con subactividades: deje vacías las semanas (se calculan solas)"&amp;" · ","")&amp;IF((COUNTIF($H249:$K249,"&gt;1")+COUNTIF($H249:$K249,"&lt;0")+COUNTA($H249:$K249)-COUNT($H249:$K249))&gt;0,"Avance fuera de rango 0-100%"&amp;" · ","")&amp;IF(OR(AND($I249&lt;&gt;"",$I249&lt;$H249),AND($J249&lt;&gt;"",$J249&lt;MAX($H249:$I249)),AND($K249&lt;&gt;"",$K249&lt;MAX($H249:$J249))),"Avance semanal decreciente"&amp;" · ","")&amp;IF(AND(ISNUMBER($F249),$F249&lt;FechaRef,N($L249)&lt;1),"Vencida"&amp;" · ","")&amp;IF(AND(ObsObligatoria="Sí",ISNUMBER($F249),$F249&lt;FechaRef,N($L249)&lt;1,$N249=""),"Vencida sin observación"&amp;" · ",""))-3)))</f>
        <v/>
      </c>
      <c r="P249" s="69">
        <f>IF(NOT((COUNTA($B249:$K249)+COUNTA($N249))&gt;0),"",IF(AND($S249="Sub",N($R249)&gt;0),IF(ISNUMBER(INDEX($E$5:$E$1000,$R249-4)),DATE(YEAR(INDEX($E$5:$E$1000,$R249-4)),MONTH(INDEX($E$5:$E$1000,$R249-4)),1),IF(ISNUMBER(INDEX($F$5:$F$1000,$R249-4)),DATE(YEAR(INDEX($F$5:$F$1000,$R249-4)),MONTH(INDEX($F$5:$F$1000,$R249-4)),1),MesCiclo)),IF(ISNUMBER($E249),DATE(YEAR($E249),MONTH($E249),1),IF(ISNUMBER($F249),DATE(YEAR($F249),MONTH($F249),1),MesCiclo))))</f>
        <v/>
      </c>
      <c r="Q249" s="70">
        <f>IF(OR($P249="",$P249&lt;&gt;MesCiclo),"",COUNTIF($P$5:$P249,MesCiclo))</f>
        <v/>
      </c>
      <c r="R249" s="70">
        <f>IF($S249="","",IF($S249="Macro",ROW(),IFERROR(LOOKUP(2,1/($S$5:$S249="Macro"),ROW($S$5:$S249)),0)))</f>
        <v/>
      </c>
      <c r="S249" s="70">
        <f>IF(NOT((COUNTA($B249:$K249)+COUNTA($N249))&gt;0),"",IF($B249&lt;&gt;"","Macro",IF($C249&lt;&gt;"","Sub","Macro")))</f>
        <v/>
      </c>
      <c r="T249" s="70">
        <f>IF($S249="Macro",COUNTIFS($R$5:$R$1000,ROW(),$S$5:$S$1000,"Sub"),"")</f>
        <v/>
      </c>
      <c r="U249" s="70">
        <f>IF($S249="","",IF(ISNUMBER($H249),$H249,0))</f>
        <v/>
      </c>
      <c r="V249" s="70">
        <f>IF($S249="","",IF(ISNUMBER($I249),$I249,$U249))</f>
        <v/>
      </c>
      <c r="W249" s="70">
        <f>IF($S249="","",IF(ISNUMBER($J249),$J249,$V249))</f>
        <v/>
      </c>
      <c r="X249" s="70">
        <f>IF($S249="","",IF(ISNUMBER($K249),$K249,$W249))</f>
        <v/>
      </c>
      <c r="Y249" s="70">
        <f>IF($S249="","",IF(N($T249)&gt;0,AVERAGEIFS($U$5:$U$1000,$R$5:$R$1000,ROW(),$S$5:$S$1000,"Sub"),$U249))</f>
        <v/>
      </c>
      <c r="Z249" s="70">
        <f>IF($S249="","",IF(N($T249)&gt;0,AVERAGEIFS($V$5:$V$1000,$R$5:$R$1000,ROW(),$S$5:$S$1000,"Sub"),$V249))</f>
        <v/>
      </c>
      <c r="AA249" s="70">
        <f>IF($S249="","",IF(N($T249)&gt;0,AVERAGEIFS($W$5:$W$1000,$R$5:$R$1000,ROW(),$S$5:$S$1000,"Sub"),$W249))</f>
        <v/>
      </c>
      <c r="AB249" s="70">
        <f>IF($S249="","",IF(N($T249)&gt;0,AVERAGEIFS($X$5:$X$1000,$R$5:$R$1000,ROW(),$S$5:$S$1000,"Sub"),$X249))</f>
        <v/>
      </c>
    </row>
    <row r="250">
      <c r="A250" s="61">
        <f>IF(NOT((COUNTA($B250:$K250)+COUNTA($N250))&gt;0),"",IF($S250="Macro",COUNTIFS($S$5:$S250,"Macro",$P$5:$P250,$P250),IF(N($R250)=0,"?",COUNTIFS(INDEX($S$5:$S$1000,1):INDEX($S$5:$S$1000,$R250-4),"Macro",INDEX($P$5:$P$1000,1):INDEX($P$5:$P$1000,$R250-4),INDEX($P$5:$P$1000,$R250-4))&amp;"."&amp;COUNTIFS($R$5:$R250,$R250,$S$5:$S250,"Sub"))))</f>
        <v/>
      </c>
      <c r="B250" s="62" t="n"/>
      <c r="C250" s="63" t="n"/>
      <c r="D250" s="62" t="n"/>
      <c r="E250" s="64" t="n"/>
      <c r="F250" s="64" t="n"/>
      <c r="G250" s="65" t="n"/>
      <c r="H250" s="66" t="n"/>
      <c r="I250" s="66" t="n"/>
      <c r="J250" s="66" t="n"/>
      <c r="K250" s="66" t="n"/>
      <c r="L250" s="67">
        <f>IF(NOT((COUNTA($B250:$K250)+COUNTA($N250))&gt;0),"",IF(N($T250)&gt;0,$AB250,IFERROR(LOOKUP(2,1/(H250:K250&lt;&gt;""),H250:K250),0)))</f>
        <v/>
      </c>
      <c r="M250" s="61">
        <f>IF(L250="","",IF(L250&gt;=1,"Completado",IF(L250&gt;0,"En curso","Pendiente")))</f>
        <v/>
      </c>
      <c r="N250" s="62" t="n"/>
      <c r="O250" s="68">
        <f>IF(NOT((COUNTA($B250:$K250)+COUNTA($N250))&gt;0),"",IF((IF(AND($S250="Macro",$B250=""),"Macroactividad vacía"&amp;" · ","")&amp;IF(AND($B250&lt;&gt;"",$C250&lt;&gt;""),"Escriba la subactividad en otra fila, debajo de su macroactividad"&amp;" · ","")&amp;IF(AND($S250="Sub",N($R250)=0),"Subactividad sin macroactividad arriba"&amp;" · ","")&amp;IF($D250="","Sin responsable"&amp;" · ","")&amp;IF($E250="","Sin fecha de inicio"&amp;" · ","")&amp;IF($F250="","Sin fecha límite"&amp;" · ","")&amp;IF(OR(AND($E250&lt;&gt;"",NOT(ISNUMBER($E250))),AND($F250&lt;&gt;"",NOT(ISNUMBER($F250)))),"Fecha no válida"&amp;" · ","")&amp;IF(AND(ISNUMBER($E250),ISNUMBER($F250),$E250&gt;$F250),"Inicio posterior a fecha límite"&amp;" · ","")&amp;IF(AND($S250="Macro",$G250=""),"Peso vacío"&amp;" · ","")&amp;IF(AND($S250="Macro",$G250&lt;&gt;"",OR(NOT(ISNUMBER($G250)),$G250&lt;=0,$G250&gt;1)),"Peso fuera de rango"&amp;" · ","")&amp;IF(AND($S250="Sub",$G250&lt;&gt;""),"Las subactividades no llevan peso"&amp;" · ","")&amp;IF(AND($S250="Macro",ABS(SUMIFS($G$5:$G$1000,$P$5:$P$1000,$P250,$S$5:$S$1000,"Macro")-1)&gt;0.0001),"Pesos del mes suman "&amp;TEXT(SUMIFS($G$5:$G$1000,$P$5:$P$1000,$P250,$S$5:$S$1000,"Macro"),"0%")&amp;" · ","")&amp;IF(AND(N($T250)&gt;0,COUNT($H250:$K250)&gt;0),"Con subactividades: deje vacías las semanas (se calculan solas)"&amp;" · ","")&amp;IF((COUNTIF($H250:$K250,"&gt;1")+COUNTIF($H250:$K250,"&lt;0")+COUNTA($H250:$K250)-COUNT($H250:$K250))&gt;0,"Avance fuera de rango 0-100%"&amp;" · ","")&amp;IF(OR(AND($I250&lt;&gt;"",$I250&lt;$H250),AND($J250&lt;&gt;"",$J250&lt;MAX($H250:$I250)),AND($K250&lt;&gt;"",$K250&lt;MAX($H250:$J250))),"Avance semanal decreciente"&amp;" · ","")&amp;IF(AND(ISNUMBER($F250),$F250&lt;FechaRef,N($L250)&lt;1),"Vencida"&amp;" · ","")&amp;IF(AND(ObsObligatoria="Sí",ISNUMBER($F250),$F250&lt;FechaRef,N($L250)&lt;1,$N250=""),"Vencida sin observación"&amp;" · ",""))="","✔ OK","⚠ "&amp;LEFT(IF(AND($S250="Macro",$B250=""),"Macroactividad vacía"&amp;" · ","")&amp;IF(AND($B250&lt;&gt;"",$C250&lt;&gt;""),"Escriba la subactividad en otra fila, debajo de su macroactividad"&amp;" · ","")&amp;IF(AND($S250="Sub",N($R250)=0),"Subactividad sin macroactividad arriba"&amp;" · ","")&amp;IF($D250="","Sin responsable"&amp;" · ","")&amp;IF($E250="","Sin fecha de inicio"&amp;" · ","")&amp;IF($F250="","Sin fecha límite"&amp;" · ","")&amp;IF(OR(AND($E250&lt;&gt;"",NOT(ISNUMBER($E250))),AND($F250&lt;&gt;"",NOT(ISNUMBER($F250)))),"Fecha no válida"&amp;" · ","")&amp;IF(AND(ISNUMBER($E250),ISNUMBER($F250),$E250&gt;$F250),"Inicio posterior a fecha límite"&amp;" · ","")&amp;IF(AND($S250="Macro",$G250=""),"Peso vacío"&amp;" · ","")&amp;IF(AND($S250="Macro",$G250&lt;&gt;"",OR(NOT(ISNUMBER($G250)),$G250&lt;=0,$G250&gt;1)),"Peso fuera de rango"&amp;" · ","")&amp;IF(AND($S250="Sub",$G250&lt;&gt;""),"Las subactividades no llevan peso"&amp;" · ","")&amp;IF(AND($S250="Macro",ABS(SUMIFS($G$5:$G$1000,$P$5:$P$1000,$P250,$S$5:$S$1000,"Macro")-1)&gt;0.0001),"Pesos del mes suman "&amp;TEXT(SUMIFS($G$5:$G$1000,$P$5:$P$1000,$P250,$S$5:$S$1000,"Macro"),"0%")&amp;" · ","")&amp;IF(AND(N($T250)&gt;0,COUNT($H250:$K250)&gt;0),"Con subactividades: deje vacías las semanas (se calculan solas)"&amp;" · ","")&amp;IF((COUNTIF($H250:$K250,"&gt;1")+COUNTIF($H250:$K250,"&lt;0")+COUNTA($H250:$K250)-COUNT($H250:$K250))&gt;0,"Avance fuera de rango 0-100%"&amp;" · ","")&amp;IF(OR(AND($I250&lt;&gt;"",$I250&lt;$H250),AND($J250&lt;&gt;"",$J250&lt;MAX($H250:$I250)),AND($K250&lt;&gt;"",$K250&lt;MAX($H250:$J250))),"Avance semanal decreciente"&amp;" · ","")&amp;IF(AND(ISNUMBER($F250),$F250&lt;FechaRef,N($L250)&lt;1),"Vencida"&amp;" · ","")&amp;IF(AND(ObsObligatoria="Sí",ISNUMBER($F250),$F250&lt;FechaRef,N($L250)&lt;1,$N250=""),"Vencida sin observación"&amp;" · ",""),LEN(IF(AND($S250="Macro",$B250=""),"Macroactividad vacía"&amp;" · ","")&amp;IF(AND($B250&lt;&gt;"",$C250&lt;&gt;""),"Escriba la subactividad en otra fila, debajo de su macroactividad"&amp;" · ","")&amp;IF(AND($S250="Sub",N($R250)=0),"Subactividad sin macroactividad arriba"&amp;" · ","")&amp;IF($D250="","Sin responsable"&amp;" · ","")&amp;IF($E250="","Sin fecha de inicio"&amp;" · ","")&amp;IF($F250="","Sin fecha límite"&amp;" · ","")&amp;IF(OR(AND($E250&lt;&gt;"",NOT(ISNUMBER($E250))),AND($F250&lt;&gt;"",NOT(ISNUMBER($F250)))),"Fecha no válida"&amp;" · ","")&amp;IF(AND(ISNUMBER($E250),ISNUMBER($F250),$E250&gt;$F250),"Inicio posterior a fecha límite"&amp;" · ","")&amp;IF(AND($S250="Macro",$G250=""),"Peso vacío"&amp;" · ","")&amp;IF(AND($S250="Macro",$G250&lt;&gt;"",OR(NOT(ISNUMBER($G250)),$G250&lt;=0,$G250&gt;1)),"Peso fuera de rango"&amp;" · ","")&amp;IF(AND($S250="Sub",$G250&lt;&gt;""),"Las subactividades no llevan peso"&amp;" · ","")&amp;IF(AND($S250="Macro",ABS(SUMIFS($G$5:$G$1000,$P$5:$P$1000,$P250,$S$5:$S$1000,"Macro")-1)&gt;0.0001),"Pesos del mes suman "&amp;TEXT(SUMIFS($G$5:$G$1000,$P$5:$P$1000,$P250,$S$5:$S$1000,"Macro"),"0%")&amp;" · ","")&amp;IF(AND(N($T250)&gt;0,COUNT($H250:$K250)&gt;0),"Con subactividades: deje vacías las semanas (se calculan solas)"&amp;" · ","")&amp;IF((COUNTIF($H250:$K250,"&gt;1")+COUNTIF($H250:$K250,"&lt;0")+COUNTA($H250:$K250)-COUNT($H250:$K250))&gt;0,"Avance fuera de rango 0-100%"&amp;" · ","")&amp;IF(OR(AND($I250&lt;&gt;"",$I250&lt;$H250),AND($J250&lt;&gt;"",$J250&lt;MAX($H250:$I250)),AND($K250&lt;&gt;"",$K250&lt;MAX($H250:$J250))),"Avance semanal decreciente"&amp;" · ","")&amp;IF(AND(ISNUMBER($F250),$F250&lt;FechaRef,N($L250)&lt;1),"Vencida"&amp;" · ","")&amp;IF(AND(ObsObligatoria="Sí",ISNUMBER($F250),$F250&lt;FechaRef,N($L250)&lt;1,$N250=""),"Vencida sin observación"&amp;" · ",""))-3)))</f>
        <v/>
      </c>
      <c r="P250" s="69">
        <f>IF(NOT((COUNTA($B250:$K250)+COUNTA($N250))&gt;0),"",IF(AND($S250="Sub",N($R250)&gt;0),IF(ISNUMBER(INDEX($E$5:$E$1000,$R250-4)),DATE(YEAR(INDEX($E$5:$E$1000,$R250-4)),MONTH(INDEX($E$5:$E$1000,$R250-4)),1),IF(ISNUMBER(INDEX($F$5:$F$1000,$R250-4)),DATE(YEAR(INDEX($F$5:$F$1000,$R250-4)),MONTH(INDEX($F$5:$F$1000,$R250-4)),1),MesCiclo)),IF(ISNUMBER($E250),DATE(YEAR($E250),MONTH($E250),1),IF(ISNUMBER($F250),DATE(YEAR($F250),MONTH($F250),1),MesCiclo))))</f>
        <v/>
      </c>
      <c r="Q250" s="70">
        <f>IF(OR($P250="",$P250&lt;&gt;MesCiclo),"",COUNTIF($P$5:$P250,MesCiclo))</f>
        <v/>
      </c>
      <c r="R250" s="70">
        <f>IF($S250="","",IF($S250="Macro",ROW(),IFERROR(LOOKUP(2,1/($S$5:$S250="Macro"),ROW($S$5:$S250)),0)))</f>
        <v/>
      </c>
      <c r="S250" s="70">
        <f>IF(NOT((COUNTA($B250:$K250)+COUNTA($N250))&gt;0),"",IF($B250&lt;&gt;"","Macro",IF($C250&lt;&gt;"","Sub","Macro")))</f>
        <v/>
      </c>
      <c r="T250" s="70">
        <f>IF($S250="Macro",COUNTIFS($R$5:$R$1000,ROW(),$S$5:$S$1000,"Sub"),"")</f>
        <v/>
      </c>
      <c r="U250" s="70">
        <f>IF($S250="","",IF(ISNUMBER($H250),$H250,0))</f>
        <v/>
      </c>
      <c r="V250" s="70">
        <f>IF($S250="","",IF(ISNUMBER($I250),$I250,$U250))</f>
        <v/>
      </c>
      <c r="W250" s="70">
        <f>IF($S250="","",IF(ISNUMBER($J250),$J250,$V250))</f>
        <v/>
      </c>
      <c r="X250" s="70">
        <f>IF($S250="","",IF(ISNUMBER($K250),$K250,$W250))</f>
        <v/>
      </c>
      <c r="Y250" s="70">
        <f>IF($S250="","",IF(N($T250)&gt;0,AVERAGEIFS($U$5:$U$1000,$R$5:$R$1000,ROW(),$S$5:$S$1000,"Sub"),$U250))</f>
        <v/>
      </c>
      <c r="Z250" s="70">
        <f>IF($S250="","",IF(N($T250)&gt;0,AVERAGEIFS($V$5:$V$1000,$R$5:$R$1000,ROW(),$S$5:$S$1000,"Sub"),$V250))</f>
        <v/>
      </c>
      <c r="AA250" s="70">
        <f>IF($S250="","",IF(N($T250)&gt;0,AVERAGEIFS($W$5:$W$1000,$R$5:$R$1000,ROW(),$S$5:$S$1000,"Sub"),$W250))</f>
        <v/>
      </c>
      <c r="AB250" s="70">
        <f>IF($S250="","",IF(N($T250)&gt;0,AVERAGEIFS($X$5:$X$1000,$R$5:$R$1000,ROW(),$S$5:$S$1000,"Sub"),$X250))</f>
        <v/>
      </c>
    </row>
    <row r="251">
      <c r="A251" s="61">
        <f>IF(NOT((COUNTA($B251:$K251)+COUNTA($N251))&gt;0),"",IF($S251="Macro",COUNTIFS($S$5:$S251,"Macro",$P$5:$P251,$P251),IF(N($R251)=0,"?",COUNTIFS(INDEX($S$5:$S$1000,1):INDEX($S$5:$S$1000,$R251-4),"Macro",INDEX($P$5:$P$1000,1):INDEX($P$5:$P$1000,$R251-4),INDEX($P$5:$P$1000,$R251-4))&amp;"."&amp;COUNTIFS($R$5:$R251,$R251,$S$5:$S251,"Sub"))))</f>
        <v/>
      </c>
      <c r="B251" s="62" t="n"/>
      <c r="C251" s="63" t="n"/>
      <c r="D251" s="62" t="n"/>
      <c r="E251" s="64" t="n"/>
      <c r="F251" s="64" t="n"/>
      <c r="G251" s="65" t="n"/>
      <c r="H251" s="66" t="n"/>
      <c r="I251" s="66" t="n"/>
      <c r="J251" s="66" t="n"/>
      <c r="K251" s="66" t="n"/>
      <c r="L251" s="67">
        <f>IF(NOT((COUNTA($B251:$K251)+COUNTA($N251))&gt;0),"",IF(N($T251)&gt;0,$AB251,IFERROR(LOOKUP(2,1/(H251:K251&lt;&gt;""),H251:K251),0)))</f>
        <v/>
      </c>
      <c r="M251" s="61">
        <f>IF(L251="","",IF(L251&gt;=1,"Completado",IF(L251&gt;0,"En curso","Pendiente")))</f>
        <v/>
      </c>
      <c r="N251" s="62" t="n"/>
      <c r="O251" s="68">
        <f>IF(NOT((COUNTA($B251:$K251)+COUNTA($N251))&gt;0),"",IF((IF(AND($S251="Macro",$B251=""),"Macroactividad vacía"&amp;" · ","")&amp;IF(AND($B251&lt;&gt;"",$C251&lt;&gt;""),"Escriba la subactividad en otra fila, debajo de su macroactividad"&amp;" · ","")&amp;IF(AND($S251="Sub",N($R251)=0),"Subactividad sin macroactividad arriba"&amp;" · ","")&amp;IF($D251="","Sin responsable"&amp;" · ","")&amp;IF($E251="","Sin fecha de inicio"&amp;" · ","")&amp;IF($F251="","Sin fecha límite"&amp;" · ","")&amp;IF(OR(AND($E251&lt;&gt;"",NOT(ISNUMBER($E251))),AND($F251&lt;&gt;"",NOT(ISNUMBER($F251)))),"Fecha no válida"&amp;" · ","")&amp;IF(AND(ISNUMBER($E251),ISNUMBER($F251),$E251&gt;$F251),"Inicio posterior a fecha límite"&amp;" · ","")&amp;IF(AND($S251="Macro",$G251=""),"Peso vacío"&amp;" · ","")&amp;IF(AND($S251="Macro",$G251&lt;&gt;"",OR(NOT(ISNUMBER($G251)),$G251&lt;=0,$G251&gt;1)),"Peso fuera de rango"&amp;" · ","")&amp;IF(AND($S251="Sub",$G251&lt;&gt;""),"Las subactividades no llevan peso"&amp;" · ","")&amp;IF(AND($S251="Macro",ABS(SUMIFS($G$5:$G$1000,$P$5:$P$1000,$P251,$S$5:$S$1000,"Macro")-1)&gt;0.0001),"Pesos del mes suman "&amp;TEXT(SUMIFS($G$5:$G$1000,$P$5:$P$1000,$P251,$S$5:$S$1000,"Macro"),"0%")&amp;" · ","")&amp;IF(AND(N($T251)&gt;0,COUNT($H251:$K251)&gt;0),"Con subactividades: deje vacías las semanas (se calculan solas)"&amp;" · ","")&amp;IF((COUNTIF($H251:$K251,"&gt;1")+COUNTIF($H251:$K251,"&lt;0")+COUNTA($H251:$K251)-COUNT($H251:$K251))&gt;0,"Avance fuera de rango 0-100%"&amp;" · ","")&amp;IF(OR(AND($I251&lt;&gt;"",$I251&lt;$H251),AND($J251&lt;&gt;"",$J251&lt;MAX($H251:$I251)),AND($K251&lt;&gt;"",$K251&lt;MAX($H251:$J251))),"Avance semanal decreciente"&amp;" · ","")&amp;IF(AND(ISNUMBER($F251),$F251&lt;FechaRef,N($L251)&lt;1),"Vencida"&amp;" · ","")&amp;IF(AND(ObsObligatoria="Sí",ISNUMBER($F251),$F251&lt;FechaRef,N($L251)&lt;1,$N251=""),"Vencida sin observación"&amp;" · ",""))="","✔ OK","⚠ "&amp;LEFT(IF(AND($S251="Macro",$B251=""),"Macroactividad vacía"&amp;" · ","")&amp;IF(AND($B251&lt;&gt;"",$C251&lt;&gt;""),"Escriba la subactividad en otra fila, debajo de su macroactividad"&amp;" · ","")&amp;IF(AND($S251="Sub",N($R251)=0),"Subactividad sin macroactividad arriba"&amp;" · ","")&amp;IF($D251="","Sin responsable"&amp;" · ","")&amp;IF($E251="","Sin fecha de inicio"&amp;" · ","")&amp;IF($F251="","Sin fecha límite"&amp;" · ","")&amp;IF(OR(AND($E251&lt;&gt;"",NOT(ISNUMBER($E251))),AND($F251&lt;&gt;"",NOT(ISNUMBER($F251)))),"Fecha no válida"&amp;" · ","")&amp;IF(AND(ISNUMBER($E251),ISNUMBER($F251),$E251&gt;$F251),"Inicio posterior a fecha límite"&amp;" · ","")&amp;IF(AND($S251="Macro",$G251=""),"Peso vacío"&amp;" · ","")&amp;IF(AND($S251="Macro",$G251&lt;&gt;"",OR(NOT(ISNUMBER($G251)),$G251&lt;=0,$G251&gt;1)),"Peso fuera de rango"&amp;" · ","")&amp;IF(AND($S251="Sub",$G251&lt;&gt;""),"Las subactividades no llevan peso"&amp;" · ","")&amp;IF(AND($S251="Macro",ABS(SUMIFS($G$5:$G$1000,$P$5:$P$1000,$P251,$S$5:$S$1000,"Macro")-1)&gt;0.0001),"Pesos del mes suman "&amp;TEXT(SUMIFS($G$5:$G$1000,$P$5:$P$1000,$P251,$S$5:$S$1000,"Macro"),"0%")&amp;" · ","")&amp;IF(AND(N($T251)&gt;0,COUNT($H251:$K251)&gt;0),"Con subactividades: deje vacías las semanas (se calculan solas)"&amp;" · ","")&amp;IF((COUNTIF($H251:$K251,"&gt;1")+COUNTIF($H251:$K251,"&lt;0")+COUNTA($H251:$K251)-COUNT($H251:$K251))&gt;0,"Avance fuera de rango 0-100%"&amp;" · ","")&amp;IF(OR(AND($I251&lt;&gt;"",$I251&lt;$H251),AND($J251&lt;&gt;"",$J251&lt;MAX($H251:$I251)),AND($K251&lt;&gt;"",$K251&lt;MAX($H251:$J251))),"Avance semanal decreciente"&amp;" · ","")&amp;IF(AND(ISNUMBER($F251),$F251&lt;FechaRef,N($L251)&lt;1),"Vencida"&amp;" · ","")&amp;IF(AND(ObsObligatoria="Sí",ISNUMBER($F251),$F251&lt;FechaRef,N($L251)&lt;1,$N251=""),"Vencida sin observación"&amp;" · ",""),LEN(IF(AND($S251="Macro",$B251=""),"Macroactividad vacía"&amp;" · ","")&amp;IF(AND($B251&lt;&gt;"",$C251&lt;&gt;""),"Escriba la subactividad en otra fila, debajo de su macroactividad"&amp;" · ","")&amp;IF(AND($S251="Sub",N($R251)=0),"Subactividad sin macroactividad arriba"&amp;" · ","")&amp;IF($D251="","Sin responsable"&amp;" · ","")&amp;IF($E251="","Sin fecha de inicio"&amp;" · ","")&amp;IF($F251="","Sin fecha límite"&amp;" · ","")&amp;IF(OR(AND($E251&lt;&gt;"",NOT(ISNUMBER($E251))),AND($F251&lt;&gt;"",NOT(ISNUMBER($F251)))),"Fecha no válida"&amp;" · ","")&amp;IF(AND(ISNUMBER($E251),ISNUMBER($F251),$E251&gt;$F251),"Inicio posterior a fecha límite"&amp;" · ","")&amp;IF(AND($S251="Macro",$G251=""),"Peso vacío"&amp;" · ","")&amp;IF(AND($S251="Macro",$G251&lt;&gt;"",OR(NOT(ISNUMBER($G251)),$G251&lt;=0,$G251&gt;1)),"Peso fuera de rango"&amp;" · ","")&amp;IF(AND($S251="Sub",$G251&lt;&gt;""),"Las subactividades no llevan peso"&amp;" · ","")&amp;IF(AND($S251="Macro",ABS(SUMIFS($G$5:$G$1000,$P$5:$P$1000,$P251,$S$5:$S$1000,"Macro")-1)&gt;0.0001),"Pesos del mes suman "&amp;TEXT(SUMIFS($G$5:$G$1000,$P$5:$P$1000,$P251,$S$5:$S$1000,"Macro"),"0%")&amp;" · ","")&amp;IF(AND(N($T251)&gt;0,COUNT($H251:$K251)&gt;0),"Con subactividades: deje vacías las semanas (se calculan solas)"&amp;" · ","")&amp;IF((COUNTIF($H251:$K251,"&gt;1")+COUNTIF($H251:$K251,"&lt;0")+COUNTA($H251:$K251)-COUNT($H251:$K251))&gt;0,"Avance fuera de rango 0-100%"&amp;" · ","")&amp;IF(OR(AND($I251&lt;&gt;"",$I251&lt;$H251),AND($J251&lt;&gt;"",$J251&lt;MAX($H251:$I251)),AND($K251&lt;&gt;"",$K251&lt;MAX($H251:$J251))),"Avance semanal decreciente"&amp;" · ","")&amp;IF(AND(ISNUMBER($F251),$F251&lt;FechaRef,N($L251)&lt;1),"Vencida"&amp;" · ","")&amp;IF(AND(ObsObligatoria="Sí",ISNUMBER($F251),$F251&lt;FechaRef,N($L251)&lt;1,$N251=""),"Vencida sin observación"&amp;" · ",""))-3)))</f>
        <v/>
      </c>
      <c r="P251" s="69">
        <f>IF(NOT((COUNTA($B251:$K251)+COUNTA($N251))&gt;0),"",IF(AND($S251="Sub",N($R251)&gt;0),IF(ISNUMBER(INDEX($E$5:$E$1000,$R251-4)),DATE(YEAR(INDEX($E$5:$E$1000,$R251-4)),MONTH(INDEX($E$5:$E$1000,$R251-4)),1),IF(ISNUMBER(INDEX($F$5:$F$1000,$R251-4)),DATE(YEAR(INDEX($F$5:$F$1000,$R251-4)),MONTH(INDEX($F$5:$F$1000,$R251-4)),1),MesCiclo)),IF(ISNUMBER($E251),DATE(YEAR($E251),MONTH($E251),1),IF(ISNUMBER($F251),DATE(YEAR($F251),MONTH($F251),1),MesCiclo))))</f>
        <v/>
      </c>
      <c r="Q251" s="70">
        <f>IF(OR($P251="",$P251&lt;&gt;MesCiclo),"",COUNTIF($P$5:$P251,MesCiclo))</f>
        <v/>
      </c>
      <c r="R251" s="70">
        <f>IF($S251="","",IF($S251="Macro",ROW(),IFERROR(LOOKUP(2,1/($S$5:$S251="Macro"),ROW($S$5:$S251)),0)))</f>
        <v/>
      </c>
      <c r="S251" s="70">
        <f>IF(NOT((COUNTA($B251:$K251)+COUNTA($N251))&gt;0),"",IF($B251&lt;&gt;"","Macro",IF($C251&lt;&gt;"","Sub","Macro")))</f>
        <v/>
      </c>
      <c r="T251" s="70">
        <f>IF($S251="Macro",COUNTIFS($R$5:$R$1000,ROW(),$S$5:$S$1000,"Sub"),"")</f>
        <v/>
      </c>
      <c r="U251" s="70">
        <f>IF($S251="","",IF(ISNUMBER($H251),$H251,0))</f>
        <v/>
      </c>
      <c r="V251" s="70">
        <f>IF($S251="","",IF(ISNUMBER($I251),$I251,$U251))</f>
        <v/>
      </c>
      <c r="W251" s="70">
        <f>IF($S251="","",IF(ISNUMBER($J251),$J251,$V251))</f>
        <v/>
      </c>
      <c r="X251" s="70">
        <f>IF($S251="","",IF(ISNUMBER($K251),$K251,$W251))</f>
        <v/>
      </c>
      <c r="Y251" s="70">
        <f>IF($S251="","",IF(N($T251)&gt;0,AVERAGEIFS($U$5:$U$1000,$R$5:$R$1000,ROW(),$S$5:$S$1000,"Sub"),$U251))</f>
        <v/>
      </c>
      <c r="Z251" s="70">
        <f>IF($S251="","",IF(N($T251)&gt;0,AVERAGEIFS($V$5:$V$1000,$R$5:$R$1000,ROW(),$S$5:$S$1000,"Sub"),$V251))</f>
        <v/>
      </c>
      <c r="AA251" s="70">
        <f>IF($S251="","",IF(N($T251)&gt;0,AVERAGEIFS($W$5:$W$1000,$R$5:$R$1000,ROW(),$S$5:$S$1000,"Sub"),$W251))</f>
        <v/>
      </c>
      <c r="AB251" s="70">
        <f>IF($S251="","",IF(N($T251)&gt;0,AVERAGEIFS($X$5:$X$1000,$R$5:$R$1000,ROW(),$S$5:$S$1000,"Sub"),$X251))</f>
        <v/>
      </c>
    </row>
    <row r="252">
      <c r="A252" s="61">
        <f>IF(NOT((COUNTA($B252:$K252)+COUNTA($N252))&gt;0),"",IF($S252="Macro",COUNTIFS($S$5:$S252,"Macro",$P$5:$P252,$P252),IF(N($R252)=0,"?",COUNTIFS(INDEX($S$5:$S$1000,1):INDEX($S$5:$S$1000,$R252-4),"Macro",INDEX($P$5:$P$1000,1):INDEX($P$5:$P$1000,$R252-4),INDEX($P$5:$P$1000,$R252-4))&amp;"."&amp;COUNTIFS($R$5:$R252,$R252,$S$5:$S252,"Sub"))))</f>
        <v/>
      </c>
      <c r="B252" s="62" t="n"/>
      <c r="C252" s="63" t="n"/>
      <c r="D252" s="62" t="n"/>
      <c r="E252" s="64" t="n"/>
      <c r="F252" s="64" t="n"/>
      <c r="G252" s="65" t="n"/>
      <c r="H252" s="66" t="n"/>
      <c r="I252" s="66" t="n"/>
      <c r="J252" s="66" t="n"/>
      <c r="K252" s="66" t="n"/>
      <c r="L252" s="67">
        <f>IF(NOT((COUNTA($B252:$K252)+COUNTA($N252))&gt;0),"",IF(N($T252)&gt;0,$AB252,IFERROR(LOOKUP(2,1/(H252:K252&lt;&gt;""),H252:K252),0)))</f>
        <v/>
      </c>
      <c r="M252" s="61">
        <f>IF(L252="","",IF(L252&gt;=1,"Completado",IF(L252&gt;0,"En curso","Pendiente")))</f>
        <v/>
      </c>
      <c r="N252" s="62" t="n"/>
      <c r="O252" s="68">
        <f>IF(NOT((COUNTA($B252:$K252)+COUNTA($N252))&gt;0),"",IF((IF(AND($S252="Macro",$B252=""),"Macroactividad vacía"&amp;" · ","")&amp;IF(AND($B252&lt;&gt;"",$C252&lt;&gt;""),"Escriba la subactividad en otra fila, debajo de su macroactividad"&amp;" · ","")&amp;IF(AND($S252="Sub",N($R252)=0),"Subactividad sin macroactividad arriba"&amp;" · ","")&amp;IF($D252="","Sin responsable"&amp;" · ","")&amp;IF($E252="","Sin fecha de inicio"&amp;" · ","")&amp;IF($F252="","Sin fecha límite"&amp;" · ","")&amp;IF(OR(AND($E252&lt;&gt;"",NOT(ISNUMBER($E252))),AND($F252&lt;&gt;"",NOT(ISNUMBER($F252)))),"Fecha no válida"&amp;" · ","")&amp;IF(AND(ISNUMBER($E252),ISNUMBER($F252),$E252&gt;$F252),"Inicio posterior a fecha límite"&amp;" · ","")&amp;IF(AND($S252="Macro",$G252=""),"Peso vacío"&amp;" · ","")&amp;IF(AND($S252="Macro",$G252&lt;&gt;"",OR(NOT(ISNUMBER($G252)),$G252&lt;=0,$G252&gt;1)),"Peso fuera de rango"&amp;" · ","")&amp;IF(AND($S252="Sub",$G252&lt;&gt;""),"Las subactividades no llevan peso"&amp;" · ","")&amp;IF(AND($S252="Macro",ABS(SUMIFS($G$5:$G$1000,$P$5:$P$1000,$P252,$S$5:$S$1000,"Macro")-1)&gt;0.0001),"Pesos del mes suman "&amp;TEXT(SUMIFS($G$5:$G$1000,$P$5:$P$1000,$P252,$S$5:$S$1000,"Macro"),"0%")&amp;" · ","")&amp;IF(AND(N($T252)&gt;0,COUNT($H252:$K252)&gt;0),"Con subactividades: deje vacías las semanas (se calculan solas)"&amp;" · ","")&amp;IF((COUNTIF($H252:$K252,"&gt;1")+COUNTIF($H252:$K252,"&lt;0")+COUNTA($H252:$K252)-COUNT($H252:$K252))&gt;0,"Avance fuera de rango 0-100%"&amp;" · ","")&amp;IF(OR(AND($I252&lt;&gt;"",$I252&lt;$H252),AND($J252&lt;&gt;"",$J252&lt;MAX($H252:$I252)),AND($K252&lt;&gt;"",$K252&lt;MAX($H252:$J252))),"Avance semanal decreciente"&amp;" · ","")&amp;IF(AND(ISNUMBER($F252),$F252&lt;FechaRef,N($L252)&lt;1),"Vencida"&amp;" · ","")&amp;IF(AND(ObsObligatoria="Sí",ISNUMBER($F252),$F252&lt;FechaRef,N($L252)&lt;1,$N252=""),"Vencida sin observación"&amp;" · ",""))="","✔ OK","⚠ "&amp;LEFT(IF(AND($S252="Macro",$B252=""),"Macroactividad vacía"&amp;" · ","")&amp;IF(AND($B252&lt;&gt;"",$C252&lt;&gt;""),"Escriba la subactividad en otra fila, debajo de su macroactividad"&amp;" · ","")&amp;IF(AND($S252="Sub",N($R252)=0),"Subactividad sin macroactividad arriba"&amp;" · ","")&amp;IF($D252="","Sin responsable"&amp;" · ","")&amp;IF($E252="","Sin fecha de inicio"&amp;" · ","")&amp;IF($F252="","Sin fecha límite"&amp;" · ","")&amp;IF(OR(AND($E252&lt;&gt;"",NOT(ISNUMBER($E252))),AND($F252&lt;&gt;"",NOT(ISNUMBER($F252)))),"Fecha no válida"&amp;" · ","")&amp;IF(AND(ISNUMBER($E252),ISNUMBER($F252),$E252&gt;$F252),"Inicio posterior a fecha límite"&amp;" · ","")&amp;IF(AND($S252="Macro",$G252=""),"Peso vacío"&amp;" · ","")&amp;IF(AND($S252="Macro",$G252&lt;&gt;"",OR(NOT(ISNUMBER($G252)),$G252&lt;=0,$G252&gt;1)),"Peso fuera de rango"&amp;" · ","")&amp;IF(AND($S252="Sub",$G252&lt;&gt;""),"Las subactividades no llevan peso"&amp;" · ","")&amp;IF(AND($S252="Macro",ABS(SUMIFS($G$5:$G$1000,$P$5:$P$1000,$P252,$S$5:$S$1000,"Macro")-1)&gt;0.0001),"Pesos del mes suman "&amp;TEXT(SUMIFS($G$5:$G$1000,$P$5:$P$1000,$P252,$S$5:$S$1000,"Macro"),"0%")&amp;" · ","")&amp;IF(AND(N($T252)&gt;0,COUNT($H252:$K252)&gt;0),"Con subactividades: deje vacías las semanas (se calculan solas)"&amp;" · ","")&amp;IF((COUNTIF($H252:$K252,"&gt;1")+COUNTIF($H252:$K252,"&lt;0")+COUNTA($H252:$K252)-COUNT($H252:$K252))&gt;0,"Avance fuera de rango 0-100%"&amp;" · ","")&amp;IF(OR(AND($I252&lt;&gt;"",$I252&lt;$H252),AND($J252&lt;&gt;"",$J252&lt;MAX($H252:$I252)),AND($K252&lt;&gt;"",$K252&lt;MAX($H252:$J252))),"Avance semanal decreciente"&amp;" · ","")&amp;IF(AND(ISNUMBER($F252),$F252&lt;FechaRef,N($L252)&lt;1),"Vencida"&amp;" · ","")&amp;IF(AND(ObsObligatoria="Sí",ISNUMBER($F252),$F252&lt;FechaRef,N($L252)&lt;1,$N252=""),"Vencida sin observación"&amp;" · ",""),LEN(IF(AND($S252="Macro",$B252=""),"Macroactividad vacía"&amp;" · ","")&amp;IF(AND($B252&lt;&gt;"",$C252&lt;&gt;""),"Escriba la subactividad en otra fila, debajo de su macroactividad"&amp;" · ","")&amp;IF(AND($S252="Sub",N($R252)=0),"Subactividad sin macroactividad arriba"&amp;" · ","")&amp;IF($D252="","Sin responsable"&amp;" · ","")&amp;IF($E252="","Sin fecha de inicio"&amp;" · ","")&amp;IF($F252="","Sin fecha límite"&amp;" · ","")&amp;IF(OR(AND($E252&lt;&gt;"",NOT(ISNUMBER($E252))),AND($F252&lt;&gt;"",NOT(ISNUMBER($F252)))),"Fecha no válida"&amp;" · ","")&amp;IF(AND(ISNUMBER($E252),ISNUMBER($F252),$E252&gt;$F252),"Inicio posterior a fecha límite"&amp;" · ","")&amp;IF(AND($S252="Macro",$G252=""),"Peso vacío"&amp;" · ","")&amp;IF(AND($S252="Macro",$G252&lt;&gt;"",OR(NOT(ISNUMBER($G252)),$G252&lt;=0,$G252&gt;1)),"Peso fuera de rango"&amp;" · ","")&amp;IF(AND($S252="Sub",$G252&lt;&gt;""),"Las subactividades no llevan peso"&amp;" · ","")&amp;IF(AND($S252="Macro",ABS(SUMIFS($G$5:$G$1000,$P$5:$P$1000,$P252,$S$5:$S$1000,"Macro")-1)&gt;0.0001),"Pesos del mes suman "&amp;TEXT(SUMIFS($G$5:$G$1000,$P$5:$P$1000,$P252,$S$5:$S$1000,"Macro"),"0%")&amp;" · ","")&amp;IF(AND(N($T252)&gt;0,COUNT($H252:$K252)&gt;0),"Con subactividades: deje vacías las semanas (se calculan solas)"&amp;" · ","")&amp;IF((COUNTIF($H252:$K252,"&gt;1")+COUNTIF($H252:$K252,"&lt;0")+COUNTA($H252:$K252)-COUNT($H252:$K252))&gt;0,"Avance fuera de rango 0-100%"&amp;" · ","")&amp;IF(OR(AND($I252&lt;&gt;"",$I252&lt;$H252),AND($J252&lt;&gt;"",$J252&lt;MAX($H252:$I252)),AND($K252&lt;&gt;"",$K252&lt;MAX($H252:$J252))),"Avance semanal decreciente"&amp;" · ","")&amp;IF(AND(ISNUMBER($F252),$F252&lt;FechaRef,N($L252)&lt;1),"Vencida"&amp;" · ","")&amp;IF(AND(ObsObligatoria="Sí",ISNUMBER($F252),$F252&lt;FechaRef,N($L252)&lt;1,$N252=""),"Vencida sin observación"&amp;" · ",""))-3)))</f>
        <v/>
      </c>
      <c r="P252" s="69">
        <f>IF(NOT((COUNTA($B252:$K252)+COUNTA($N252))&gt;0),"",IF(AND($S252="Sub",N($R252)&gt;0),IF(ISNUMBER(INDEX($E$5:$E$1000,$R252-4)),DATE(YEAR(INDEX($E$5:$E$1000,$R252-4)),MONTH(INDEX($E$5:$E$1000,$R252-4)),1),IF(ISNUMBER(INDEX($F$5:$F$1000,$R252-4)),DATE(YEAR(INDEX($F$5:$F$1000,$R252-4)),MONTH(INDEX($F$5:$F$1000,$R252-4)),1),MesCiclo)),IF(ISNUMBER($E252),DATE(YEAR($E252),MONTH($E252),1),IF(ISNUMBER($F252),DATE(YEAR($F252),MONTH($F252),1),MesCiclo))))</f>
        <v/>
      </c>
      <c r="Q252" s="70">
        <f>IF(OR($P252="",$P252&lt;&gt;MesCiclo),"",COUNTIF($P$5:$P252,MesCiclo))</f>
        <v/>
      </c>
      <c r="R252" s="70">
        <f>IF($S252="","",IF($S252="Macro",ROW(),IFERROR(LOOKUP(2,1/($S$5:$S252="Macro"),ROW($S$5:$S252)),0)))</f>
        <v/>
      </c>
      <c r="S252" s="70">
        <f>IF(NOT((COUNTA($B252:$K252)+COUNTA($N252))&gt;0),"",IF($B252&lt;&gt;"","Macro",IF($C252&lt;&gt;"","Sub","Macro")))</f>
        <v/>
      </c>
      <c r="T252" s="70">
        <f>IF($S252="Macro",COUNTIFS($R$5:$R$1000,ROW(),$S$5:$S$1000,"Sub"),"")</f>
        <v/>
      </c>
      <c r="U252" s="70">
        <f>IF($S252="","",IF(ISNUMBER($H252),$H252,0))</f>
        <v/>
      </c>
      <c r="V252" s="70">
        <f>IF($S252="","",IF(ISNUMBER($I252),$I252,$U252))</f>
        <v/>
      </c>
      <c r="W252" s="70">
        <f>IF($S252="","",IF(ISNUMBER($J252),$J252,$V252))</f>
        <v/>
      </c>
      <c r="X252" s="70">
        <f>IF($S252="","",IF(ISNUMBER($K252),$K252,$W252))</f>
        <v/>
      </c>
      <c r="Y252" s="70">
        <f>IF($S252="","",IF(N($T252)&gt;0,AVERAGEIFS($U$5:$U$1000,$R$5:$R$1000,ROW(),$S$5:$S$1000,"Sub"),$U252))</f>
        <v/>
      </c>
      <c r="Z252" s="70">
        <f>IF($S252="","",IF(N($T252)&gt;0,AVERAGEIFS($V$5:$V$1000,$R$5:$R$1000,ROW(),$S$5:$S$1000,"Sub"),$V252))</f>
        <v/>
      </c>
      <c r="AA252" s="70">
        <f>IF($S252="","",IF(N($T252)&gt;0,AVERAGEIFS($W$5:$W$1000,$R$5:$R$1000,ROW(),$S$5:$S$1000,"Sub"),$W252))</f>
        <v/>
      </c>
      <c r="AB252" s="70">
        <f>IF($S252="","",IF(N($T252)&gt;0,AVERAGEIFS($X$5:$X$1000,$R$5:$R$1000,ROW(),$S$5:$S$1000,"Sub"),$X252))</f>
        <v/>
      </c>
    </row>
    <row r="253">
      <c r="A253" s="61">
        <f>IF(NOT((COUNTA($B253:$K253)+COUNTA($N253))&gt;0),"",IF($S253="Macro",COUNTIFS($S$5:$S253,"Macro",$P$5:$P253,$P253),IF(N($R253)=0,"?",COUNTIFS(INDEX($S$5:$S$1000,1):INDEX($S$5:$S$1000,$R253-4),"Macro",INDEX($P$5:$P$1000,1):INDEX($P$5:$P$1000,$R253-4),INDEX($P$5:$P$1000,$R253-4))&amp;"."&amp;COUNTIFS($R$5:$R253,$R253,$S$5:$S253,"Sub"))))</f>
        <v/>
      </c>
      <c r="B253" s="62" t="n"/>
      <c r="C253" s="63" t="n"/>
      <c r="D253" s="62" t="n"/>
      <c r="E253" s="64" t="n"/>
      <c r="F253" s="64" t="n"/>
      <c r="G253" s="65" t="n"/>
      <c r="H253" s="66" t="n"/>
      <c r="I253" s="66" t="n"/>
      <c r="J253" s="66" t="n"/>
      <c r="K253" s="66" t="n"/>
      <c r="L253" s="67">
        <f>IF(NOT((COUNTA($B253:$K253)+COUNTA($N253))&gt;0),"",IF(N($T253)&gt;0,$AB253,IFERROR(LOOKUP(2,1/(H253:K253&lt;&gt;""),H253:K253),0)))</f>
        <v/>
      </c>
      <c r="M253" s="61">
        <f>IF(L253="","",IF(L253&gt;=1,"Completado",IF(L253&gt;0,"En curso","Pendiente")))</f>
        <v/>
      </c>
      <c r="N253" s="62" t="n"/>
      <c r="O253" s="68">
        <f>IF(NOT((COUNTA($B253:$K253)+COUNTA($N253))&gt;0),"",IF((IF(AND($S253="Macro",$B253=""),"Macroactividad vacía"&amp;" · ","")&amp;IF(AND($B253&lt;&gt;"",$C253&lt;&gt;""),"Escriba la subactividad en otra fila, debajo de su macroactividad"&amp;" · ","")&amp;IF(AND($S253="Sub",N($R253)=0),"Subactividad sin macroactividad arriba"&amp;" · ","")&amp;IF($D253="","Sin responsable"&amp;" · ","")&amp;IF($E253="","Sin fecha de inicio"&amp;" · ","")&amp;IF($F253="","Sin fecha límite"&amp;" · ","")&amp;IF(OR(AND($E253&lt;&gt;"",NOT(ISNUMBER($E253))),AND($F253&lt;&gt;"",NOT(ISNUMBER($F253)))),"Fecha no válida"&amp;" · ","")&amp;IF(AND(ISNUMBER($E253),ISNUMBER($F253),$E253&gt;$F253),"Inicio posterior a fecha límite"&amp;" · ","")&amp;IF(AND($S253="Macro",$G253=""),"Peso vacío"&amp;" · ","")&amp;IF(AND($S253="Macro",$G253&lt;&gt;"",OR(NOT(ISNUMBER($G253)),$G253&lt;=0,$G253&gt;1)),"Peso fuera de rango"&amp;" · ","")&amp;IF(AND($S253="Sub",$G253&lt;&gt;""),"Las subactividades no llevan peso"&amp;" · ","")&amp;IF(AND($S253="Macro",ABS(SUMIFS($G$5:$G$1000,$P$5:$P$1000,$P253,$S$5:$S$1000,"Macro")-1)&gt;0.0001),"Pesos del mes suman "&amp;TEXT(SUMIFS($G$5:$G$1000,$P$5:$P$1000,$P253,$S$5:$S$1000,"Macro"),"0%")&amp;" · ","")&amp;IF(AND(N($T253)&gt;0,COUNT($H253:$K253)&gt;0),"Con subactividades: deje vacías las semanas (se calculan solas)"&amp;" · ","")&amp;IF((COUNTIF($H253:$K253,"&gt;1")+COUNTIF($H253:$K253,"&lt;0")+COUNTA($H253:$K253)-COUNT($H253:$K253))&gt;0,"Avance fuera de rango 0-100%"&amp;" · ","")&amp;IF(OR(AND($I253&lt;&gt;"",$I253&lt;$H253),AND($J253&lt;&gt;"",$J253&lt;MAX($H253:$I253)),AND($K253&lt;&gt;"",$K253&lt;MAX($H253:$J253))),"Avance semanal decreciente"&amp;" · ","")&amp;IF(AND(ISNUMBER($F253),$F253&lt;FechaRef,N($L253)&lt;1),"Vencida"&amp;" · ","")&amp;IF(AND(ObsObligatoria="Sí",ISNUMBER($F253),$F253&lt;FechaRef,N($L253)&lt;1,$N253=""),"Vencida sin observación"&amp;" · ",""))="","✔ OK","⚠ "&amp;LEFT(IF(AND($S253="Macro",$B253=""),"Macroactividad vacía"&amp;" · ","")&amp;IF(AND($B253&lt;&gt;"",$C253&lt;&gt;""),"Escriba la subactividad en otra fila, debajo de su macroactividad"&amp;" · ","")&amp;IF(AND($S253="Sub",N($R253)=0),"Subactividad sin macroactividad arriba"&amp;" · ","")&amp;IF($D253="","Sin responsable"&amp;" · ","")&amp;IF($E253="","Sin fecha de inicio"&amp;" · ","")&amp;IF($F253="","Sin fecha límite"&amp;" · ","")&amp;IF(OR(AND($E253&lt;&gt;"",NOT(ISNUMBER($E253))),AND($F253&lt;&gt;"",NOT(ISNUMBER($F253)))),"Fecha no válida"&amp;" · ","")&amp;IF(AND(ISNUMBER($E253),ISNUMBER($F253),$E253&gt;$F253),"Inicio posterior a fecha límite"&amp;" · ","")&amp;IF(AND($S253="Macro",$G253=""),"Peso vacío"&amp;" · ","")&amp;IF(AND($S253="Macro",$G253&lt;&gt;"",OR(NOT(ISNUMBER($G253)),$G253&lt;=0,$G253&gt;1)),"Peso fuera de rango"&amp;" · ","")&amp;IF(AND($S253="Sub",$G253&lt;&gt;""),"Las subactividades no llevan peso"&amp;" · ","")&amp;IF(AND($S253="Macro",ABS(SUMIFS($G$5:$G$1000,$P$5:$P$1000,$P253,$S$5:$S$1000,"Macro")-1)&gt;0.0001),"Pesos del mes suman "&amp;TEXT(SUMIFS($G$5:$G$1000,$P$5:$P$1000,$P253,$S$5:$S$1000,"Macro"),"0%")&amp;" · ","")&amp;IF(AND(N($T253)&gt;0,COUNT($H253:$K253)&gt;0),"Con subactividades: deje vacías las semanas (se calculan solas)"&amp;" · ","")&amp;IF((COUNTIF($H253:$K253,"&gt;1")+COUNTIF($H253:$K253,"&lt;0")+COUNTA($H253:$K253)-COUNT($H253:$K253))&gt;0,"Avance fuera de rango 0-100%"&amp;" · ","")&amp;IF(OR(AND($I253&lt;&gt;"",$I253&lt;$H253),AND($J253&lt;&gt;"",$J253&lt;MAX($H253:$I253)),AND($K253&lt;&gt;"",$K253&lt;MAX($H253:$J253))),"Avance semanal decreciente"&amp;" · ","")&amp;IF(AND(ISNUMBER($F253),$F253&lt;FechaRef,N($L253)&lt;1),"Vencida"&amp;" · ","")&amp;IF(AND(ObsObligatoria="Sí",ISNUMBER($F253),$F253&lt;FechaRef,N($L253)&lt;1,$N253=""),"Vencida sin observación"&amp;" · ",""),LEN(IF(AND($S253="Macro",$B253=""),"Macroactividad vacía"&amp;" · ","")&amp;IF(AND($B253&lt;&gt;"",$C253&lt;&gt;""),"Escriba la subactividad en otra fila, debajo de su macroactividad"&amp;" · ","")&amp;IF(AND($S253="Sub",N($R253)=0),"Subactividad sin macroactividad arriba"&amp;" · ","")&amp;IF($D253="","Sin responsable"&amp;" · ","")&amp;IF($E253="","Sin fecha de inicio"&amp;" · ","")&amp;IF($F253="","Sin fecha límite"&amp;" · ","")&amp;IF(OR(AND($E253&lt;&gt;"",NOT(ISNUMBER($E253))),AND($F253&lt;&gt;"",NOT(ISNUMBER($F253)))),"Fecha no válida"&amp;" · ","")&amp;IF(AND(ISNUMBER($E253),ISNUMBER($F253),$E253&gt;$F253),"Inicio posterior a fecha límite"&amp;" · ","")&amp;IF(AND($S253="Macro",$G253=""),"Peso vacío"&amp;" · ","")&amp;IF(AND($S253="Macro",$G253&lt;&gt;"",OR(NOT(ISNUMBER($G253)),$G253&lt;=0,$G253&gt;1)),"Peso fuera de rango"&amp;" · ","")&amp;IF(AND($S253="Sub",$G253&lt;&gt;""),"Las subactividades no llevan peso"&amp;" · ","")&amp;IF(AND($S253="Macro",ABS(SUMIFS($G$5:$G$1000,$P$5:$P$1000,$P253,$S$5:$S$1000,"Macro")-1)&gt;0.0001),"Pesos del mes suman "&amp;TEXT(SUMIFS($G$5:$G$1000,$P$5:$P$1000,$P253,$S$5:$S$1000,"Macro"),"0%")&amp;" · ","")&amp;IF(AND(N($T253)&gt;0,COUNT($H253:$K253)&gt;0),"Con subactividades: deje vacías las semanas (se calculan solas)"&amp;" · ","")&amp;IF((COUNTIF($H253:$K253,"&gt;1")+COUNTIF($H253:$K253,"&lt;0")+COUNTA($H253:$K253)-COUNT($H253:$K253))&gt;0,"Avance fuera de rango 0-100%"&amp;" · ","")&amp;IF(OR(AND($I253&lt;&gt;"",$I253&lt;$H253),AND($J253&lt;&gt;"",$J253&lt;MAX($H253:$I253)),AND($K253&lt;&gt;"",$K253&lt;MAX($H253:$J253))),"Avance semanal decreciente"&amp;" · ","")&amp;IF(AND(ISNUMBER($F253),$F253&lt;FechaRef,N($L253)&lt;1),"Vencida"&amp;" · ","")&amp;IF(AND(ObsObligatoria="Sí",ISNUMBER($F253),$F253&lt;FechaRef,N($L253)&lt;1,$N253=""),"Vencida sin observación"&amp;" · ",""))-3)))</f>
        <v/>
      </c>
      <c r="P253" s="69">
        <f>IF(NOT((COUNTA($B253:$K253)+COUNTA($N253))&gt;0),"",IF(AND($S253="Sub",N($R253)&gt;0),IF(ISNUMBER(INDEX($E$5:$E$1000,$R253-4)),DATE(YEAR(INDEX($E$5:$E$1000,$R253-4)),MONTH(INDEX($E$5:$E$1000,$R253-4)),1),IF(ISNUMBER(INDEX($F$5:$F$1000,$R253-4)),DATE(YEAR(INDEX($F$5:$F$1000,$R253-4)),MONTH(INDEX($F$5:$F$1000,$R253-4)),1),MesCiclo)),IF(ISNUMBER($E253),DATE(YEAR($E253),MONTH($E253),1),IF(ISNUMBER($F253),DATE(YEAR($F253),MONTH($F253),1),MesCiclo))))</f>
        <v/>
      </c>
      <c r="Q253" s="70">
        <f>IF(OR($P253="",$P253&lt;&gt;MesCiclo),"",COUNTIF($P$5:$P253,MesCiclo))</f>
        <v/>
      </c>
      <c r="R253" s="70">
        <f>IF($S253="","",IF($S253="Macro",ROW(),IFERROR(LOOKUP(2,1/($S$5:$S253="Macro"),ROW($S$5:$S253)),0)))</f>
        <v/>
      </c>
      <c r="S253" s="70">
        <f>IF(NOT((COUNTA($B253:$K253)+COUNTA($N253))&gt;0),"",IF($B253&lt;&gt;"","Macro",IF($C253&lt;&gt;"","Sub","Macro")))</f>
        <v/>
      </c>
      <c r="T253" s="70">
        <f>IF($S253="Macro",COUNTIFS($R$5:$R$1000,ROW(),$S$5:$S$1000,"Sub"),"")</f>
        <v/>
      </c>
      <c r="U253" s="70">
        <f>IF($S253="","",IF(ISNUMBER($H253),$H253,0))</f>
        <v/>
      </c>
      <c r="V253" s="70">
        <f>IF($S253="","",IF(ISNUMBER($I253),$I253,$U253))</f>
        <v/>
      </c>
      <c r="W253" s="70">
        <f>IF($S253="","",IF(ISNUMBER($J253),$J253,$V253))</f>
        <v/>
      </c>
      <c r="X253" s="70">
        <f>IF($S253="","",IF(ISNUMBER($K253),$K253,$W253))</f>
        <v/>
      </c>
      <c r="Y253" s="70">
        <f>IF($S253="","",IF(N($T253)&gt;0,AVERAGEIFS($U$5:$U$1000,$R$5:$R$1000,ROW(),$S$5:$S$1000,"Sub"),$U253))</f>
        <v/>
      </c>
      <c r="Z253" s="70">
        <f>IF($S253="","",IF(N($T253)&gt;0,AVERAGEIFS($V$5:$V$1000,$R$5:$R$1000,ROW(),$S$5:$S$1000,"Sub"),$V253))</f>
        <v/>
      </c>
      <c r="AA253" s="70">
        <f>IF($S253="","",IF(N($T253)&gt;0,AVERAGEIFS($W$5:$W$1000,$R$5:$R$1000,ROW(),$S$5:$S$1000,"Sub"),$W253))</f>
        <v/>
      </c>
      <c r="AB253" s="70">
        <f>IF($S253="","",IF(N($T253)&gt;0,AVERAGEIFS($X$5:$X$1000,$R$5:$R$1000,ROW(),$S$5:$S$1000,"Sub"),$X253))</f>
        <v/>
      </c>
    </row>
    <row r="254">
      <c r="A254" s="61">
        <f>IF(NOT((COUNTA($B254:$K254)+COUNTA($N254))&gt;0),"",IF($S254="Macro",COUNTIFS($S$5:$S254,"Macro",$P$5:$P254,$P254),IF(N($R254)=0,"?",COUNTIFS(INDEX($S$5:$S$1000,1):INDEX($S$5:$S$1000,$R254-4),"Macro",INDEX($P$5:$P$1000,1):INDEX($P$5:$P$1000,$R254-4),INDEX($P$5:$P$1000,$R254-4))&amp;"."&amp;COUNTIFS($R$5:$R254,$R254,$S$5:$S254,"Sub"))))</f>
        <v/>
      </c>
      <c r="B254" s="62" t="n"/>
      <c r="C254" s="63" t="n"/>
      <c r="D254" s="62" t="n"/>
      <c r="E254" s="64" t="n"/>
      <c r="F254" s="64" t="n"/>
      <c r="G254" s="65" t="n"/>
      <c r="H254" s="66" t="n"/>
      <c r="I254" s="66" t="n"/>
      <c r="J254" s="66" t="n"/>
      <c r="K254" s="66" t="n"/>
      <c r="L254" s="67">
        <f>IF(NOT((COUNTA($B254:$K254)+COUNTA($N254))&gt;0),"",IF(N($T254)&gt;0,$AB254,IFERROR(LOOKUP(2,1/(H254:K254&lt;&gt;""),H254:K254),0)))</f>
        <v/>
      </c>
      <c r="M254" s="61">
        <f>IF(L254="","",IF(L254&gt;=1,"Completado",IF(L254&gt;0,"En curso","Pendiente")))</f>
        <v/>
      </c>
      <c r="N254" s="62" t="n"/>
      <c r="O254" s="68">
        <f>IF(NOT((COUNTA($B254:$K254)+COUNTA($N254))&gt;0),"",IF((IF(AND($S254="Macro",$B254=""),"Macroactividad vacía"&amp;" · ","")&amp;IF(AND($B254&lt;&gt;"",$C254&lt;&gt;""),"Escriba la subactividad en otra fila, debajo de su macroactividad"&amp;" · ","")&amp;IF(AND($S254="Sub",N($R254)=0),"Subactividad sin macroactividad arriba"&amp;" · ","")&amp;IF($D254="","Sin responsable"&amp;" · ","")&amp;IF($E254="","Sin fecha de inicio"&amp;" · ","")&amp;IF($F254="","Sin fecha límite"&amp;" · ","")&amp;IF(OR(AND($E254&lt;&gt;"",NOT(ISNUMBER($E254))),AND($F254&lt;&gt;"",NOT(ISNUMBER($F254)))),"Fecha no válida"&amp;" · ","")&amp;IF(AND(ISNUMBER($E254),ISNUMBER($F254),$E254&gt;$F254),"Inicio posterior a fecha límite"&amp;" · ","")&amp;IF(AND($S254="Macro",$G254=""),"Peso vacío"&amp;" · ","")&amp;IF(AND($S254="Macro",$G254&lt;&gt;"",OR(NOT(ISNUMBER($G254)),$G254&lt;=0,$G254&gt;1)),"Peso fuera de rango"&amp;" · ","")&amp;IF(AND($S254="Sub",$G254&lt;&gt;""),"Las subactividades no llevan peso"&amp;" · ","")&amp;IF(AND($S254="Macro",ABS(SUMIFS($G$5:$G$1000,$P$5:$P$1000,$P254,$S$5:$S$1000,"Macro")-1)&gt;0.0001),"Pesos del mes suman "&amp;TEXT(SUMIFS($G$5:$G$1000,$P$5:$P$1000,$P254,$S$5:$S$1000,"Macro"),"0%")&amp;" · ","")&amp;IF(AND(N($T254)&gt;0,COUNT($H254:$K254)&gt;0),"Con subactividades: deje vacías las semanas (se calculan solas)"&amp;" · ","")&amp;IF((COUNTIF($H254:$K254,"&gt;1")+COUNTIF($H254:$K254,"&lt;0")+COUNTA($H254:$K254)-COUNT($H254:$K254))&gt;0,"Avance fuera de rango 0-100%"&amp;" · ","")&amp;IF(OR(AND($I254&lt;&gt;"",$I254&lt;$H254),AND($J254&lt;&gt;"",$J254&lt;MAX($H254:$I254)),AND($K254&lt;&gt;"",$K254&lt;MAX($H254:$J254))),"Avance semanal decreciente"&amp;" · ","")&amp;IF(AND(ISNUMBER($F254),$F254&lt;FechaRef,N($L254)&lt;1),"Vencida"&amp;" · ","")&amp;IF(AND(ObsObligatoria="Sí",ISNUMBER($F254),$F254&lt;FechaRef,N($L254)&lt;1,$N254=""),"Vencida sin observación"&amp;" · ",""))="","✔ OK","⚠ "&amp;LEFT(IF(AND($S254="Macro",$B254=""),"Macroactividad vacía"&amp;" · ","")&amp;IF(AND($B254&lt;&gt;"",$C254&lt;&gt;""),"Escriba la subactividad en otra fila, debajo de su macroactividad"&amp;" · ","")&amp;IF(AND($S254="Sub",N($R254)=0),"Subactividad sin macroactividad arriba"&amp;" · ","")&amp;IF($D254="","Sin responsable"&amp;" · ","")&amp;IF($E254="","Sin fecha de inicio"&amp;" · ","")&amp;IF($F254="","Sin fecha límite"&amp;" · ","")&amp;IF(OR(AND($E254&lt;&gt;"",NOT(ISNUMBER($E254))),AND($F254&lt;&gt;"",NOT(ISNUMBER($F254)))),"Fecha no válida"&amp;" · ","")&amp;IF(AND(ISNUMBER($E254),ISNUMBER($F254),$E254&gt;$F254),"Inicio posterior a fecha límite"&amp;" · ","")&amp;IF(AND($S254="Macro",$G254=""),"Peso vacío"&amp;" · ","")&amp;IF(AND($S254="Macro",$G254&lt;&gt;"",OR(NOT(ISNUMBER($G254)),$G254&lt;=0,$G254&gt;1)),"Peso fuera de rango"&amp;" · ","")&amp;IF(AND($S254="Sub",$G254&lt;&gt;""),"Las subactividades no llevan peso"&amp;" · ","")&amp;IF(AND($S254="Macro",ABS(SUMIFS($G$5:$G$1000,$P$5:$P$1000,$P254,$S$5:$S$1000,"Macro")-1)&gt;0.0001),"Pesos del mes suman "&amp;TEXT(SUMIFS($G$5:$G$1000,$P$5:$P$1000,$P254,$S$5:$S$1000,"Macro"),"0%")&amp;" · ","")&amp;IF(AND(N($T254)&gt;0,COUNT($H254:$K254)&gt;0),"Con subactividades: deje vacías las semanas (se calculan solas)"&amp;" · ","")&amp;IF((COUNTIF($H254:$K254,"&gt;1")+COUNTIF($H254:$K254,"&lt;0")+COUNTA($H254:$K254)-COUNT($H254:$K254))&gt;0,"Avance fuera de rango 0-100%"&amp;" · ","")&amp;IF(OR(AND($I254&lt;&gt;"",$I254&lt;$H254),AND($J254&lt;&gt;"",$J254&lt;MAX($H254:$I254)),AND($K254&lt;&gt;"",$K254&lt;MAX($H254:$J254))),"Avance semanal decreciente"&amp;" · ","")&amp;IF(AND(ISNUMBER($F254),$F254&lt;FechaRef,N($L254)&lt;1),"Vencida"&amp;" · ","")&amp;IF(AND(ObsObligatoria="Sí",ISNUMBER($F254),$F254&lt;FechaRef,N($L254)&lt;1,$N254=""),"Vencida sin observación"&amp;" · ",""),LEN(IF(AND($S254="Macro",$B254=""),"Macroactividad vacía"&amp;" · ","")&amp;IF(AND($B254&lt;&gt;"",$C254&lt;&gt;""),"Escriba la subactividad en otra fila, debajo de su macroactividad"&amp;" · ","")&amp;IF(AND($S254="Sub",N($R254)=0),"Subactividad sin macroactividad arriba"&amp;" · ","")&amp;IF($D254="","Sin responsable"&amp;" · ","")&amp;IF($E254="","Sin fecha de inicio"&amp;" · ","")&amp;IF($F254="","Sin fecha límite"&amp;" · ","")&amp;IF(OR(AND($E254&lt;&gt;"",NOT(ISNUMBER($E254))),AND($F254&lt;&gt;"",NOT(ISNUMBER($F254)))),"Fecha no válida"&amp;" · ","")&amp;IF(AND(ISNUMBER($E254),ISNUMBER($F254),$E254&gt;$F254),"Inicio posterior a fecha límite"&amp;" · ","")&amp;IF(AND($S254="Macro",$G254=""),"Peso vacío"&amp;" · ","")&amp;IF(AND($S254="Macro",$G254&lt;&gt;"",OR(NOT(ISNUMBER($G254)),$G254&lt;=0,$G254&gt;1)),"Peso fuera de rango"&amp;" · ","")&amp;IF(AND($S254="Sub",$G254&lt;&gt;""),"Las subactividades no llevan peso"&amp;" · ","")&amp;IF(AND($S254="Macro",ABS(SUMIFS($G$5:$G$1000,$P$5:$P$1000,$P254,$S$5:$S$1000,"Macro")-1)&gt;0.0001),"Pesos del mes suman "&amp;TEXT(SUMIFS($G$5:$G$1000,$P$5:$P$1000,$P254,$S$5:$S$1000,"Macro"),"0%")&amp;" · ","")&amp;IF(AND(N($T254)&gt;0,COUNT($H254:$K254)&gt;0),"Con subactividades: deje vacías las semanas (se calculan solas)"&amp;" · ","")&amp;IF((COUNTIF($H254:$K254,"&gt;1")+COUNTIF($H254:$K254,"&lt;0")+COUNTA($H254:$K254)-COUNT($H254:$K254))&gt;0,"Avance fuera de rango 0-100%"&amp;" · ","")&amp;IF(OR(AND($I254&lt;&gt;"",$I254&lt;$H254),AND($J254&lt;&gt;"",$J254&lt;MAX($H254:$I254)),AND($K254&lt;&gt;"",$K254&lt;MAX($H254:$J254))),"Avance semanal decreciente"&amp;" · ","")&amp;IF(AND(ISNUMBER($F254),$F254&lt;FechaRef,N($L254)&lt;1),"Vencida"&amp;" · ","")&amp;IF(AND(ObsObligatoria="Sí",ISNUMBER($F254),$F254&lt;FechaRef,N($L254)&lt;1,$N254=""),"Vencida sin observación"&amp;" · ",""))-3)))</f>
        <v/>
      </c>
      <c r="P254" s="69">
        <f>IF(NOT((COUNTA($B254:$K254)+COUNTA($N254))&gt;0),"",IF(AND($S254="Sub",N($R254)&gt;0),IF(ISNUMBER(INDEX($E$5:$E$1000,$R254-4)),DATE(YEAR(INDEX($E$5:$E$1000,$R254-4)),MONTH(INDEX($E$5:$E$1000,$R254-4)),1),IF(ISNUMBER(INDEX($F$5:$F$1000,$R254-4)),DATE(YEAR(INDEX($F$5:$F$1000,$R254-4)),MONTH(INDEX($F$5:$F$1000,$R254-4)),1),MesCiclo)),IF(ISNUMBER($E254),DATE(YEAR($E254),MONTH($E254),1),IF(ISNUMBER($F254),DATE(YEAR($F254),MONTH($F254),1),MesCiclo))))</f>
        <v/>
      </c>
      <c r="Q254" s="70">
        <f>IF(OR($P254="",$P254&lt;&gt;MesCiclo),"",COUNTIF($P$5:$P254,MesCiclo))</f>
        <v/>
      </c>
      <c r="R254" s="70">
        <f>IF($S254="","",IF($S254="Macro",ROW(),IFERROR(LOOKUP(2,1/($S$5:$S254="Macro"),ROW($S$5:$S254)),0)))</f>
        <v/>
      </c>
      <c r="S254" s="70">
        <f>IF(NOT((COUNTA($B254:$K254)+COUNTA($N254))&gt;0),"",IF($B254&lt;&gt;"","Macro",IF($C254&lt;&gt;"","Sub","Macro")))</f>
        <v/>
      </c>
      <c r="T254" s="70">
        <f>IF($S254="Macro",COUNTIFS($R$5:$R$1000,ROW(),$S$5:$S$1000,"Sub"),"")</f>
        <v/>
      </c>
      <c r="U254" s="70">
        <f>IF($S254="","",IF(ISNUMBER($H254),$H254,0))</f>
        <v/>
      </c>
      <c r="V254" s="70">
        <f>IF($S254="","",IF(ISNUMBER($I254),$I254,$U254))</f>
        <v/>
      </c>
      <c r="W254" s="70">
        <f>IF($S254="","",IF(ISNUMBER($J254),$J254,$V254))</f>
        <v/>
      </c>
      <c r="X254" s="70">
        <f>IF($S254="","",IF(ISNUMBER($K254),$K254,$W254))</f>
        <v/>
      </c>
      <c r="Y254" s="70">
        <f>IF($S254="","",IF(N($T254)&gt;0,AVERAGEIFS($U$5:$U$1000,$R$5:$R$1000,ROW(),$S$5:$S$1000,"Sub"),$U254))</f>
        <v/>
      </c>
      <c r="Z254" s="70">
        <f>IF($S254="","",IF(N($T254)&gt;0,AVERAGEIFS($V$5:$V$1000,$R$5:$R$1000,ROW(),$S$5:$S$1000,"Sub"),$V254))</f>
        <v/>
      </c>
      <c r="AA254" s="70">
        <f>IF($S254="","",IF(N($T254)&gt;0,AVERAGEIFS($W$5:$W$1000,$R$5:$R$1000,ROW(),$S$5:$S$1000,"Sub"),$W254))</f>
        <v/>
      </c>
      <c r="AB254" s="70">
        <f>IF($S254="","",IF(N($T254)&gt;0,AVERAGEIFS($X$5:$X$1000,$R$5:$R$1000,ROW(),$S$5:$S$1000,"Sub"),$X254))</f>
        <v/>
      </c>
    </row>
    <row r="255">
      <c r="A255" s="61">
        <f>IF(NOT((COUNTA($B255:$K255)+COUNTA($N255))&gt;0),"",IF($S255="Macro",COUNTIFS($S$5:$S255,"Macro",$P$5:$P255,$P255),IF(N($R255)=0,"?",COUNTIFS(INDEX($S$5:$S$1000,1):INDEX($S$5:$S$1000,$R255-4),"Macro",INDEX($P$5:$P$1000,1):INDEX($P$5:$P$1000,$R255-4),INDEX($P$5:$P$1000,$R255-4))&amp;"."&amp;COUNTIFS($R$5:$R255,$R255,$S$5:$S255,"Sub"))))</f>
        <v/>
      </c>
      <c r="B255" s="62" t="n"/>
      <c r="C255" s="63" t="n"/>
      <c r="D255" s="62" t="n"/>
      <c r="E255" s="64" t="n"/>
      <c r="F255" s="64" t="n"/>
      <c r="G255" s="65" t="n"/>
      <c r="H255" s="66" t="n"/>
      <c r="I255" s="66" t="n"/>
      <c r="J255" s="66" t="n"/>
      <c r="K255" s="66" t="n"/>
      <c r="L255" s="67">
        <f>IF(NOT((COUNTA($B255:$K255)+COUNTA($N255))&gt;0),"",IF(N($T255)&gt;0,$AB255,IFERROR(LOOKUP(2,1/(H255:K255&lt;&gt;""),H255:K255),0)))</f>
        <v/>
      </c>
      <c r="M255" s="61">
        <f>IF(L255="","",IF(L255&gt;=1,"Completado",IF(L255&gt;0,"En curso","Pendiente")))</f>
        <v/>
      </c>
      <c r="N255" s="62" t="n"/>
      <c r="O255" s="68">
        <f>IF(NOT((COUNTA($B255:$K255)+COUNTA($N255))&gt;0),"",IF((IF(AND($S255="Macro",$B255=""),"Macroactividad vacía"&amp;" · ","")&amp;IF(AND($B255&lt;&gt;"",$C255&lt;&gt;""),"Escriba la subactividad en otra fila, debajo de su macroactividad"&amp;" · ","")&amp;IF(AND($S255="Sub",N($R255)=0),"Subactividad sin macroactividad arriba"&amp;" · ","")&amp;IF($D255="","Sin responsable"&amp;" · ","")&amp;IF($E255="","Sin fecha de inicio"&amp;" · ","")&amp;IF($F255="","Sin fecha límite"&amp;" · ","")&amp;IF(OR(AND($E255&lt;&gt;"",NOT(ISNUMBER($E255))),AND($F255&lt;&gt;"",NOT(ISNUMBER($F255)))),"Fecha no válida"&amp;" · ","")&amp;IF(AND(ISNUMBER($E255),ISNUMBER($F255),$E255&gt;$F255),"Inicio posterior a fecha límite"&amp;" · ","")&amp;IF(AND($S255="Macro",$G255=""),"Peso vacío"&amp;" · ","")&amp;IF(AND($S255="Macro",$G255&lt;&gt;"",OR(NOT(ISNUMBER($G255)),$G255&lt;=0,$G255&gt;1)),"Peso fuera de rango"&amp;" · ","")&amp;IF(AND($S255="Sub",$G255&lt;&gt;""),"Las subactividades no llevan peso"&amp;" · ","")&amp;IF(AND($S255="Macro",ABS(SUMIFS($G$5:$G$1000,$P$5:$P$1000,$P255,$S$5:$S$1000,"Macro")-1)&gt;0.0001),"Pesos del mes suman "&amp;TEXT(SUMIFS($G$5:$G$1000,$P$5:$P$1000,$P255,$S$5:$S$1000,"Macro"),"0%")&amp;" · ","")&amp;IF(AND(N($T255)&gt;0,COUNT($H255:$K255)&gt;0),"Con subactividades: deje vacías las semanas (se calculan solas)"&amp;" · ","")&amp;IF((COUNTIF($H255:$K255,"&gt;1")+COUNTIF($H255:$K255,"&lt;0")+COUNTA($H255:$K255)-COUNT($H255:$K255))&gt;0,"Avance fuera de rango 0-100%"&amp;" · ","")&amp;IF(OR(AND($I255&lt;&gt;"",$I255&lt;$H255),AND($J255&lt;&gt;"",$J255&lt;MAX($H255:$I255)),AND($K255&lt;&gt;"",$K255&lt;MAX($H255:$J255))),"Avance semanal decreciente"&amp;" · ","")&amp;IF(AND(ISNUMBER($F255),$F255&lt;FechaRef,N($L255)&lt;1),"Vencida"&amp;" · ","")&amp;IF(AND(ObsObligatoria="Sí",ISNUMBER($F255),$F255&lt;FechaRef,N($L255)&lt;1,$N255=""),"Vencida sin observación"&amp;" · ",""))="","✔ OK","⚠ "&amp;LEFT(IF(AND($S255="Macro",$B255=""),"Macroactividad vacía"&amp;" · ","")&amp;IF(AND($B255&lt;&gt;"",$C255&lt;&gt;""),"Escriba la subactividad en otra fila, debajo de su macroactividad"&amp;" · ","")&amp;IF(AND($S255="Sub",N($R255)=0),"Subactividad sin macroactividad arriba"&amp;" · ","")&amp;IF($D255="","Sin responsable"&amp;" · ","")&amp;IF($E255="","Sin fecha de inicio"&amp;" · ","")&amp;IF($F255="","Sin fecha límite"&amp;" · ","")&amp;IF(OR(AND($E255&lt;&gt;"",NOT(ISNUMBER($E255))),AND($F255&lt;&gt;"",NOT(ISNUMBER($F255)))),"Fecha no válida"&amp;" · ","")&amp;IF(AND(ISNUMBER($E255),ISNUMBER($F255),$E255&gt;$F255),"Inicio posterior a fecha límite"&amp;" · ","")&amp;IF(AND($S255="Macro",$G255=""),"Peso vacío"&amp;" · ","")&amp;IF(AND($S255="Macro",$G255&lt;&gt;"",OR(NOT(ISNUMBER($G255)),$G255&lt;=0,$G255&gt;1)),"Peso fuera de rango"&amp;" · ","")&amp;IF(AND($S255="Sub",$G255&lt;&gt;""),"Las subactividades no llevan peso"&amp;" · ","")&amp;IF(AND($S255="Macro",ABS(SUMIFS($G$5:$G$1000,$P$5:$P$1000,$P255,$S$5:$S$1000,"Macro")-1)&gt;0.0001),"Pesos del mes suman "&amp;TEXT(SUMIFS($G$5:$G$1000,$P$5:$P$1000,$P255,$S$5:$S$1000,"Macro"),"0%")&amp;" · ","")&amp;IF(AND(N($T255)&gt;0,COUNT($H255:$K255)&gt;0),"Con subactividades: deje vacías las semanas (se calculan solas)"&amp;" · ","")&amp;IF((COUNTIF($H255:$K255,"&gt;1")+COUNTIF($H255:$K255,"&lt;0")+COUNTA($H255:$K255)-COUNT($H255:$K255))&gt;0,"Avance fuera de rango 0-100%"&amp;" · ","")&amp;IF(OR(AND($I255&lt;&gt;"",$I255&lt;$H255),AND($J255&lt;&gt;"",$J255&lt;MAX($H255:$I255)),AND($K255&lt;&gt;"",$K255&lt;MAX($H255:$J255))),"Avance semanal decreciente"&amp;" · ","")&amp;IF(AND(ISNUMBER($F255),$F255&lt;FechaRef,N($L255)&lt;1),"Vencida"&amp;" · ","")&amp;IF(AND(ObsObligatoria="Sí",ISNUMBER($F255),$F255&lt;FechaRef,N($L255)&lt;1,$N255=""),"Vencida sin observación"&amp;" · ",""),LEN(IF(AND($S255="Macro",$B255=""),"Macroactividad vacía"&amp;" · ","")&amp;IF(AND($B255&lt;&gt;"",$C255&lt;&gt;""),"Escriba la subactividad en otra fila, debajo de su macroactividad"&amp;" · ","")&amp;IF(AND($S255="Sub",N($R255)=0),"Subactividad sin macroactividad arriba"&amp;" · ","")&amp;IF($D255="","Sin responsable"&amp;" · ","")&amp;IF($E255="","Sin fecha de inicio"&amp;" · ","")&amp;IF($F255="","Sin fecha límite"&amp;" · ","")&amp;IF(OR(AND($E255&lt;&gt;"",NOT(ISNUMBER($E255))),AND($F255&lt;&gt;"",NOT(ISNUMBER($F255)))),"Fecha no válida"&amp;" · ","")&amp;IF(AND(ISNUMBER($E255),ISNUMBER($F255),$E255&gt;$F255),"Inicio posterior a fecha límite"&amp;" · ","")&amp;IF(AND($S255="Macro",$G255=""),"Peso vacío"&amp;" · ","")&amp;IF(AND($S255="Macro",$G255&lt;&gt;"",OR(NOT(ISNUMBER($G255)),$G255&lt;=0,$G255&gt;1)),"Peso fuera de rango"&amp;" · ","")&amp;IF(AND($S255="Sub",$G255&lt;&gt;""),"Las subactividades no llevan peso"&amp;" · ","")&amp;IF(AND($S255="Macro",ABS(SUMIFS($G$5:$G$1000,$P$5:$P$1000,$P255,$S$5:$S$1000,"Macro")-1)&gt;0.0001),"Pesos del mes suman "&amp;TEXT(SUMIFS($G$5:$G$1000,$P$5:$P$1000,$P255,$S$5:$S$1000,"Macro"),"0%")&amp;" · ","")&amp;IF(AND(N($T255)&gt;0,COUNT($H255:$K255)&gt;0),"Con subactividades: deje vacías las semanas (se calculan solas)"&amp;" · ","")&amp;IF((COUNTIF($H255:$K255,"&gt;1")+COUNTIF($H255:$K255,"&lt;0")+COUNTA($H255:$K255)-COUNT($H255:$K255))&gt;0,"Avance fuera de rango 0-100%"&amp;" · ","")&amp;IF(OR(AND($I255&lt;&gt;"",$I255&lt;$H255),AND($J255&lt;&gt;"",$J255&lt;MAX($H255:$I255)),AND($K255&lt;&gt;"",$K255&lt;MAX($H255:$J255))),"Avance semanal decreciente"&amp;" · ","")&amp;IF(AND(ISNUMBER($F255),$F255&lt;FechaRef,N($L255)&lt;1),"Vencida"&amp;" · ","")&amp;IF(AND(ObsObligatoria="Sí",ISNUMBER($F255),$F255&lt;FechaRef,N($L255)&lt;1,$N255=""),"Vencida sin observación"&amp;" · ",""))-3)))</f>
        <v/>
      </c>
      <c r="P255" s="69">
        <f>IF(NOT((COUNTA($B255:$K255)+COUNTA($N255))&gt;0),"",IF(AND($S255="Sub",N($R255)&gt;0),IF(ISNUMBER(INDEX($E$5:$E$1000,$R255-4)),DATE(YEAR(INDEX($E$5:$E$1000,$R255-4)),MONTH(INDEX($E$5:$E$1000,$R255-4)),1),IF(ISNUMBER(INDEX($F$5:$F$1000,$R255-4)),DATE(YEAR(INDEX($F$5:$F$1000,$R255-4)),MONTH(INDEX($F$5:$F$1000,$R255-4)),1),MesCiclo)),IF(ISNUMBER($E255),DATE(YEAR($E255),MONTH($E255),1),IF(ISNUMBER($F255),DATE(YEAR($F255),MONTH($F255),1),MesCiclo))))</f>
        <v/>
      </c>
      <c r="Q255" s="70">
        <f>IF(OR($P255="",$P255&lt;&gt;MesCiclo),"",COUNTIF($P$5:$P255,MesCiclo))</f>
        <v/>
      </c>
      <c r="R255" s="70">
        <f>IF($S255="","",IF($S255="Macro",ROW(),IFERROR(LOOKUP(2,1/($S$5:$S255="Macro"),ROW($S$5:$S255)),0)))</f>
        <v/>
      </c>
      <c r="S255" s="70">
        <f>IF(NOT((COUNTA($B255:$K255)+COUNTA($N255))&gt;0),"",IF($B255&lt;&gt;"","Macro",IF($C255&lt;&gt;"","Sub","Macro")))</f>
        <v/>
      </c>
      <c r="T255" s="70">
        <f>IF($S255="Macro",COUNTIFS($R$5:$R$1000,ROW(),$S$5:$S$1000,"Sub"),"")</f>
        <v/>
      </c>
      <c r="U255" s="70">
        <f>IF($S255="","",IF(ISNUMBER($H255),$H255,0))</f>
        <v/>
      </c>
      <c r="V255" s="70">
        <f>IF($S255="","",IF(ISNUMBER($I255),$I255,$U255))</f>
        <v/>
      </c>
      <c r="W255" s="70">
        <f>IF($S255="","",IF(ISNUMBER($J255),$J255,$V255))</f>
        <v/>
      </c>
      <c r="X255" s="70">
        <f>IF($S255="","",IF(ISNUMBER($K255),$K255,$W255))</f>
        <v/>
      </c>
      <c r="Y255" s="70">
        <f>IF($S255="","",IF(N($T255)&gt;0,AVERAGEIFS($U$5:$U$1000,$R$5:$R$1000,ROW(),$S$5:$S$1000,"Sub"),$U255))</f>
        <v/>
      </c>
      <c r="Z255" s="70">
        <f>IF($S255="","",IF(N($T255)&gt;0,AVERAGEIFS($V$5:$V$1000,$R$5:$R$1000,ROW(),$S$5:$S$1000,"Sub"),$V255))</f>
        <v/>
      </c>
      <c r="AA255" s="70">
        <f>IF($S255="","",IF(N($T255)&gt;0,AVERAGEIFS($W$5:$W$1000,$R$5:$R$1000,ROW(),$S$5:$S$1000,"Sub"),$W255))</f>
        <v/>
      </c>
      <c r="AB255" s="70">
        <f>IF($S255="","",IF(N($T255)&gt;0,AVERAGEIFS($X$5:$X$1000,$R$5:$R$1000,ROW(),$S$5:$S$1000,"Sub"),$X255))</f>
        <v/>
      </c>
    </row>
    <row r="256">
      <c r="A256" s="61">
        <f>IF(NOT((COUNTA($B256:$K256)+COUNTA($N256))&gt;0),"",IF($S256="Macro",COUNTIFS($S$5:$S256,"Macro",$P$5:$P256,$P256),IF(N($R256)=0,"?",COUNTIFS(INDEX($S$5:$S$1000,1):INDEX($S$5:$S$1000,$R256-4),"Macro",INDEX($P$5:$P$1000,1):INDEX($P$5:$P$1000,$R256-4),INDEX($P$5:$P$1000,$R256-4))&amp;"."&amp;COUNTIFS($R$5:$R256,$R256,$S$5:$S256,"Sub"))))</f>
        <v/>
      </c>
      <c r="B256" s="62" t="n"/>
      <c r="C256" s="63" t="n"/>
      <c r="D256" s="62" t="n"/>
      <c r="E256" s="64" t="n"/>
      <c r="F256" s="64" t="n"/>
      <c r="G256" s="65" t="n"/>
      <c r="H256" s="66" t="n"/>
      <c r="I256" s="66" t="n"/>
      <c r="J256" s="66" t="n"/>
      <c r="K256" s="66" t="n"/>
      <c r="L256" s="67">
        <f>IF(NOT((COUNTA($B256:$K256)+COUNTA($N256))&gt;0),"",IF(N($T256)&gt;0,$AB256,IFERROR(LOOKUP(2,1/(H256:K256&lt;&gt;""),H256:K256),0)))</f>
        <v/>
      </c>
      <c r="M256" s="61">
        <f>IF(L256="","",IF(L256&gt;=1,"Completado",IF(L256&gt;0,"En curso","Pendiente")))</f>
        <v/>
      </c>
      <c r="N256" s="62" t="n"/>
      <c r="O256" s="68">
        <f>IF(NOT((COUNTA($B256:$K256)+COUNTA($N256))&gt;0),"",IF((IF(AND($S256="Macro",$B256=""),"Macroactividad vacía"&amp;" · ","")&amp;IF(AND($B256&lt;&gt;"",$C256&lt;&gt;""),"Escriba la subactividad en otra fila, debajo de su macroactividad"&amp;" · ","")&amp;IF(AND($S256="Sub",N($R256)=0),"Subactividad sin macroactividad arriba"&amp;" · ","")&amp;IF($D256="","Sin responsable"&amp;" · ","")&amp;IF($E256="","Sin fecha de inicio"&amp;" · ","")&amp;IF($F256="","Sin fecha límite"&amp;" · ","")&amp;IF(OR(AND($E256&lt;&gt;"",NOT(ISNUMBER($E256))),AND($F256&lt;&gt;"",NOT(ISNUMBER($F256)))),"Fecha no válida"&amp;" · ","")&amp;IF(AND(ISNUMBER($E256),ISNUMBER($F256),$E256&gt;$F256),"Inicio posterior a fecha límite"&amp;" · ","")&amp;IF(AND($S256="Macro",$G256=""),"Peso vacío"&amp;" · ","")&amp;IF(AND($S256="Macro",$G256&lt;&gt;"",OR(NOT(ISNUMBER($G256)),$G256&lt;=0,$G256&gt;1)),"Peso fuera de rango"&amp;" · ","")&amp;IF(AND($S256="Sub",$G256&lt;&gt;""),"Las subactividades no llevan peso"&amp;" · ","")&amp;IF(AND($S256="Macro",ABS(SUMIFS($G$5:$G$1000,$P$5:$P$1000,$P256,$S$5:$S$1000,"Macro")-1)&gt;0.0001),"Pesos del mes suman "&amp;TEXT(SUMIFS($G$5:$G$1000,$P$5:$P$1000,$P256,$S$5:$S$1000,"Macro"),"0%")&amp;" · ","")&amp;IF(AND(N($T256)&gt;0,COUNT($H256:$K256)&gt;0),"Con subactividades: deje vacías las semanas (se calculan solas)"&amp;" · ","")&amp;IF((COUNTIF($H256:$K256,"&gt;1")+COUNTIF($H256:$K256,"&lt;0")+COUNTA($H256:$K256)-COUNT($H256:$K256))&gt;0,"Avance fuera de rango 0-100%"&amp;" · ","")&amp;IF(OR(AND($I256&lt;&gt;"",$I256&lt;$H256),AND($J256&lt;&gt;"",$J256&lt;MAX($H256:$I256)),AND($K256&lt;&gt;"",$K256&lt;MAX($H256:$J256))),"Avance semanal decreciente"&amp;" · ","")&amp;IF(AND(ISNUMBER($F256),$F256&lt;FechaRef,N($L256)&lt;1),"Vencida"&amp;" · ","")&amp;IF(AND(ObsObligatoria="Sí",ISNUMBER($F256),$F256&lt;FechaRef,N($L256)&lt;1,$N256=""),"Vencida sin observación"&amp;" · ",""))="","✔ OK","⚠ "&amp;LEFT(IF(AND($S256="Macro",$B256=""),"Macroactividad vacía"&amp;" · ","")&amp;IF(AND($B256&lt;&gt;"",$C256&lt;&gt;""),"Escriba la subactividad en otra fila, debajo de su macroactividad"&amp;" · ","")&amp;IF(AND($S256="Sub",N($R256)=0),"Subactividad sin macroactividad arriba"&amp;" · ","")&amp;IF($D256="","Sin responsable"&amp;" · ","")&amp;IF($E256="","Sin fecha de inicio"&amp;" · ","")&amp;IF($F256="","Sin fecha límite"&amp;" · ","")&amp;IF(OR(AND($E256&lt;&gt;"",NOT(ISNUMBER($E256))),AND($F256&lt;&gt;"",NOT(ISNUMBER($F256)))),"Fecha no válida"&amp;" · ","")&amp;IF(AND(ISNUMBER($E256),ISNUMBER($F256),$E256&gt;$F256),"Inicio posterior a fecha límite"&amp;" · ","")&amp;IF(AND($S256="Macro",$G256=""),"Peso vacío"&amp;" · ","")&amp;IF(AND($S256="Macro",$G256&lt;&gt;"",OR(NOT(ISNUMBER($G256)),$G256&lt;=0,$G256&gt;1)),"Peso fuera de rango"&amp;" · ","")&amp;IF(AND($S256="Sub",$G256&lt;&gt;""),"Las subactividades no llevan peso"&amp;" · ","")&amp;IF(AND($S256="Macro",ABS(SUMIFS($G$5:$G$1000,$P$5:$P$1000,$P256,$S$5:$S$1000,"Macro")-1)&gt;0.0001),"Pesos del mes suman "&amp;TEXT(SUMIFS($G$5:$G$1000,$P$5:$P$1000,$P256,$S$5:$S$1000,"Macro"),"0%")&amp;" · ","")&amp;IF(AND(N($T256)&gt;0,COUNT($H256:$K256)&gt;0),"Con subactividades: deje vacías las semanas (se calculan solas)"&amp;" · ","")&amp;IF((COUNTIF($H256:$K256,"&gt;1")+COUNTIF($H256:$K256,"&lt;0")+COUNTA($H256:$K256)-COUNT($H256:$K256))&gt;0,"Avance fuera de rango 0-100%"&amp;" · ","")&amp;IF(OR(AND($I256&lt;&gt;"",$I256&lt;$H256),AND($J256&lt;&gt;"",$J256&lt;MAX($H256:$I256)),AND($K256&lt;&gt;"",$K256&lt;MAX($H256:$J256))),"Avance semanal decreciente"&amp;" · ","")&amp;IF(AND(ISNUMBER($F256),$F256&lt;FechaRef,N($L256)&lt;1),"Vencida"&amp;" · ","")&amp;IF(AND(ObsObligatoria="Sí",ISNUMBER($F256),$F256&lt;FechaRef,N($L256)&lt;1,$N256=""),"Vencida sin observación"&amp;" · ",""),LEN(IF(AND($S256="Macro",$B256=""),"Macroactividad vacía"&amp;" · ","")&amp;IF(AND($B256&lt;&gt;"",$C256&lt;&gt;""),"Escriba la subactividad en otra fila, debajo de su macroactividad"&amp;" · ","")&amp;IF(AND($S256="Sub",N($R256)=0),"Subactividad sin macroactividad arriba"&amp;" · ","")&amp;IF($D256="","Sin responsable"&amp;" · ","")&amp;IF($E256="","Sin fecha de inicio"&amp;" · ","")&amp;IF($F256="","Sin fecha límite"&amp;" · ","")&amp;IF(OR(AND($E256&lt;&gt;"",NOT(ISNUMBER($E256))),AND($F256&lt;&gt;"",NOT(ISNUMBER($F256)))),"Fecha no válida"&amp;" · ","")&amp;IF(AND(ISNUMBER($E256),ISNUMBER($F256),$E256&gt;$F256),"Inicio posterior a fecha límite"&amp;" · ","")&amp;IF(AND($S256="Macro",$G256=""),"Peso vacío"&amp;" · ","")&amp;IF(AND($S256="Macro",$G256&lt;&gt;"",OR(NOT(ISNUMBER($G256)),$G256&lt;=0,$G256&gt;1)),"Peso fuera de rango"&amp;" · ","")&amp;IF(AND($S256="Sub",$G256&lt;&gt;""),"Las subactividades no llevan peso"&amp;" · ","")&amp;IF(AND($S256="Macro",ABS(SUMIFS($G$5:$G$1000,$P$5:$P$1000,$P256,$S$5:$S$1000,"Macro")-1)&gt;0.0001),"Pesos del mes suman "&amp;TEXT(SUMIFS($G$5:$G$1000,$P$5:$P$1000,$P256,$S$5:$S$1000,"Macro"),"0%")&amp;" · ","")&amp;IF(AND(N($T256)&gt;0,COUNT($H256:$K256)&gt;0),"Con subactividades: deje vacías las semanas (se calculan solas)"&amp;" · ","")&amp;IF((COUNTIF($H256:$K256,"&gt;1")+COUNTIF($H256:$K256,"&lt;0")+COUNTA($H256:$K256)-COUNT($H256:$K256))&gt;0,"Avance fuera de rango 0-100%"&amp;" · ","")&amp;IF(OR(AND($I256&lt;&gt;"",$I256&lt;$H256),AND($J256&lt;&gt;"",$J256&lt;MAX($H256:$I256)),AND($K256&lt;&gt;"",$K256&lt;MAX($H256:$J256))),"Avance semanal decreciente"&amp;" · ","")&amp;IF(AND(ISNUMBER($F256),$F256&lt;FechaRef,N($L256)&lt;1),"Vencida"&amp;" · ","")&amp;IF(AND(ObsObligatoria="Sí",ISNUMBER($F256),$F256&lt;FechaRef,N($L256)&lt;1,$N256=""),"Vencida sin observación"&amp;" · ",""))-3)))</f>
        <v/>
      </c>
      <c r="P256" s="69">
        <f>IF(NOT((COUNTA($B256:$K256)+COUNTA($N256))&gt;0),"",IF(AND($S256="Sub",N($R256)&gt;0),IF(ISNUMBER(INDEX($E$5:$E$1000,$R256-4)),DATE(YEAR(INDEX($E$5:$E$1000,$R256-4)),MONTH(INDEX($E$5:$E$1000,$R256-4)),1),IF(ISNUMBER(INDEX($F$5:$F$1000,$R256-4)),DATE(YEAR(INDEX($F$5:$F$1000,$R256-4)),MONTH(INDEX($F$5:$F$1000,$R256-4)),1),MesCiclo)),IF(ISNUMBER($E256),DATE(YEAR($E256),MONTH($E256),1),IF(ISNUMBER($F256),DATE(YEAR($F256),MONTH($F256),1),MesCiclo))))</f>
        <v/>
      </c>
      <c r="Q256" s="70">
        <f>IF(OR($P256="",$P256&lt;&gt;MesCiclo),"",COUNTIF($P$5:$P256,MesCiclo))</f>
        <v/>
      </c>
      <c r="R256" s="70">
        <f>IF($S256="","",IF($S256="Macro",ROW(),IFERROR(LOOKUP(2,1/($S$5:$S256="Macro"),ROW($S$5:$S256)),0)))</f>
        <v/>
      </c>
      <c r="S256" s="70">
        <f>IF(NOT((COUNTA($B256:$K256)+COUNTA($N256))&gt;0),"",IF($B256&lt;&gt;"","Macro",IF($C256&lt;&gt;"","Sub","Macro")))</f>
        <v/>
      </c>
      <c r="T256" s="70">
        <f>IF($S256="Macro",COUNTIFS($R$5:$R$1000,ROW(),$S$5:$S$1000,"Sub"),"")</f>
        <v/>
      </c>
      <c r="U256" s="70">
        <f>IF($S256="","",IF(ISNUMBER($H256),$H256,0))</f>
        <v/>
      </c>
      <c r="V256" s="70">
        <f>IF($S256="","",IF(ISNUMBER($I256),$I256,$U256))</f>
        <v/>
      </c>
      <c r="W256" s="70">
        <f>IF($S256="","",IF(ISNUMBER($J256),$J256,$V256))</f>
        <v/>
      </c>
      <c r="X256" s="70">
        <f>IF($S256="","",IF(ISNUMBER($K256),$K256,$W256))</f>
        <v/>
      </c>
      <c r="Y256" s="70">
        <f>IF($S256="","",IF(N($T256)&gt;0,AVERAGEIFS($U$5:$U$1000,$R$5:$R$1000,ROW(),$S$5:$S$1000,"Sub"),$U256))</f>
        <v/>
      </c>
      <c r="Z256" s="70">
        <f>IF($S256="","",IF(N($T256)&gt;0,AVERAGEIFS($V$5:$V$1000,$R$5:$R$1000,ROW(),$S$5:$S$1000,"Sub"),$V256))</f>
        <v/>
      </c>
      <c r="AA256" s="70">
        <f>IF($S256="","",IF(N($T256)&gt;0,AVERAGEIFS($W$5:$W$1000,$R$5:$R$1000,ROW(),$S$5:$S$1000,"Sub"),$W256))</f>
        <v/>
      </c>
      <c r="AB256" s="70">
        <f>IF($S256="","",IF(N($T256)&gt;0,AVERAGEIFS($X$5:$X$1000,$R$5:$R$1000,ROW(),$S$5:$S$1000,"Sub"),$X256))</f>
        <v/>
      </c>
    </row>
    <row r="257">
      <c r="A257" s="61">
        <f>IF(NOT((COUNTA($B257:$K257)+COUNTA($N257))&gt;0),"",IF($S257="Macro",COUNTIFS($S$5:$S257,"Macro",$P$5:$P257,$P257),IF(N($R257)=0,"?",COUNTIFS(INDEX($S$5:$S$1000,1):INDEX($S$5:$S$1000,$R257-4),"Macro",INDEX($P$5:$P$1000,1):INDEX($P$5:$P$1000,$R257-4),INDEX($P$5:$P$1000,$R257-4))&amp;"."&amp;COUNTIFS($R$5:$R257,$R257,$S$5:$S257,"Sub"))))</f>
        <v/>
      </c>
      <c r="B257" s="62" t="n"/>
      <c r="C257" s="63" t="n"/>
      <c r="D257" s="62" t="n"/>
      <c r="E257" s="64" t="n"/>
      <c r="F257" s="64" t="n"/>
      <c r="G257" s="65" t="n"/>
      <c r="H257" s="66" t="n"/>
      <c r="I257" s="66" t="n"/>
      <c r="J257" s="66" t="n"/>
      <c r="K257" s="66" t="n"/>
      <c r="L257" s="67">
        <f>IF(NOT((COUNTA($B257:$K257)+COUNTA($N257))&gt;0),"",IF(N($T257)&gt;0,$AB257,IFERROR(LOOKUP(2,1/(H257:K257&lt;&gt;""),H257:K257),0)))</f>
        <v/>
      </c>
      <c r="M257" s="61">
        <f>IF(L257="","",IF(L257&gt;=1,"Completado",IF(L257&gt;0,"En curso","Pendiente")))</f>
        <v/>
      </c>
      <c r="N257" s="62" t="n"/>
      <c r="O257" s="68">
        <f>IF(NOT((COUNTA($B257:$K257)+COUNTA($N257))&gt;0),"",IF((IF(AND($S257="Macro",$B257=""),"Macroactividad vacía"&amp;" · ","")&amp;IF(AND($B257&lt;&gt;"",$C257&lt;&gt;""),"Escriba la subactividad en otra fila, debajo de su macroactividad"&amp;" · ","")&amp;IF(AND($S257="Sub",N($R257)=0),"Subactividad sin macroactividad arriba"&amp;" · ","")&amp;IF($D257="","Sin responsable"&amp;" · ","")&amp;IF($E257="","Sin fecha de inicio"&amp;" · ","")&amp;IF($F257="","Sin fecha límite"&amp;" · ","")&amp;IF(OR(AND($E257&lt;&gt;"",NOT(ISNUMBER($E257))),AND($F257&lt;&gt;"",NOT(ISNUMBER($F257)))),"Fecha no válida"&amp;" · ","")&amp;IF(AND(ISNUMBER($E257),ISNUMBER($F257),$E257&gt;$F257),"Inicio posterior a fecha límite"&amp;" · ","")&amp;IF(AND($S257="Macro",$G257=""),"Peso vacío"&amp;" · ","")&amp;IF(AND($S257="Macro",$G257&lt;&gt;"",OR(NOT(ISNUMBER($G257)),$G257&lt;=0,$G257&gt;1)),"Peso fuera de rango"&amp;" · ","")&amp;IF(AND($S257="Sub",$G257&lt;&gt;""),"Las subactividades no llevan peso"&amp;" · ","")&amp;IF(AND($S257="Macro",ABS(SUMIFS($G$5:$G$1000,$P$5:$P$1000,$P257,$S$5:$S$1000,"Macro")-1)&gt;0.0001),"Pesos del mes suman "&amp;TEXT(SUMIFS($G$5:$G$1000,$P$5:$P$1000,$P257,$S$5:$S$1000,"Macro"),"0%")&amp;" · ","")&amp;IF(AND(N($T257)&gt;0,COUNT($H257:$K257)&gt;0),"Con subactividades: deje vacías las semanas (se calculan solas)"&amp;" · ","")&amp;IF((COUNTIF($H257:$K257,"&gt;1")+COUNTIF($H257:$K257,"&lt;0")+COUNTA($H257:$K257)-COUNT($H257:$K257))&gt;0,"Avance fuera de rango 0-100%"&amp;" · ","")&amp;IF(OR(AND($I257&lt;&gt;"",$I257&lt;$H257),AND($J257&lt;&gt;"",$J257&lt;MAX($H257:$I257)),AND($K257&lt;&gt;"",$K257&lt;MAX($H257:$J257))),"Avance semanal decreciente"&amp;" · ","")&amp;IF(AND(ISNUMBER($F257),$F257&lt;FechaRef,N($L257)&lt;1),"Vencida"&amp;" · ","")&amp;IF(AND(ObsObligatoria="Sí",ISNUMBER($F257),$F257&lt;FechaRef,N($L257)&lt;1,$N257=""),"Vencida sin observación"&amp;" · ",""))="","✔ OK","⚠ "&amp;LEFT(IF(AND($S257="Macro",$B257=""),"Macroactividad vacía"&amp;" · ","")&amp;IF(AND($B257&lt;&gt;"",$C257&lt;&gt;""),"Escriba la subactividad en otra fila, debajo de su macroactividad"&amp;" · ","")&amp;IF(AND($S257="Sub",N($R257)=0),"Subactividad sin macroactividad arriba"&amp;" · ","")&amp;IF($D257="","Sin responsable"&amp;" · ","")&amp;IF($E257="","Sin fecha de inicio"&amp;" · ","")&amp;IF($F257="","Sin fecha límite"&amp;" · ","")&amp;IF(OR(AND($E257&lt;&gt;"",NOT(ISNUMBER($E257))),AND($F257&lt;&gt;"",NOT(ISNUMBER($F257)))),"Fecha no válida"&amp;" · ","")&amp;IF(AND(ISNUMBER($E257),ISNUMBER($F257),$E257&gt;$F257),"Inicio posterior a fecha límite"&amp;" · ","")&amp;IF(AND($S257="Macro",$G257=""),"Peso vacío"&amp;" · ","")&amp;IF(AND($S257="Macro",$G257&lt;&gt;"",OR(NOT(ISNUMBER($G257)),$G257&lt;=0,$G257&gt;1)),"Peso fuera de rango"&amp;" · ","")&amp;IF(AND($S257="Sub",$G257&lt;&gt;""),"Las subactividades no llevan peso"&amp;" · ","")&amp;IF(AND($S257="Macro",ABS(SUMIFS($G$5:$G$1000,$P$5:$P$1000,$P257,$S$5:$S$1000,"Macro")-1)&gt;0.0001),"Pesos del mes suman "&amp;TEXT(SUMIFS($G$5:$G$1000,$P$5:$P$1000,$P257,$S$5:$S$1000,"Macro"),"0%")&amp;" · ","")&amp;IF(AND(N($T257)&gt;0,COUNT($H257:$K257)&gt;0),"Con subactividades: deje vacías las semanas (se calculan solas)"&amp;" · ","")&amp;IF((COUNTIF($H257:$K257,"&gt;1")+COUNTIF($H257:$K257,"&lt;0")+COUNTA($H257:$K257)-COUNT($H257:$K257))&gt;0,"Avance fuera de rango 0-100%"&amp;" · ","")&amp;IF(OR(AND($I257&lt;&gt;"",$I257&lt;$H257),AND($J257&lt;&gt;"",$J257&lt;MAX($H257:$I257)),AND($K257&lt;&gt;"",$K257&lt;MAX($H257:$J257))),"Avance semanal decreciente"&amp;" · ","")&amp;IF(AND(ISNUMBER($F257),$F257&lt;FechaRef,N($L257)&lt;1),"Vencida"&amp;" · ","")&amp;IF(AND(ObsObligatoria="Sí",ISNUMBER($F257),$F257&lt;FechaRef,N($L257)&lt;1,$N257=""),"Vencida sin observación"&amp;" · ",""),LEN(IF(AND($S257="Macro",$B257=""),"Macroactividad vacía"&amp;" · ","")&amp;IF(AND($B257&lt;&gt;"",$C257&lt;&gt;""),"Escriba la subactividad en otra fila, debajo de su macroactividad"&amp;" · ","")&amp;IF(AND($S257="Sub",N($R257)=0),"Subactividad sin macroactividad arriba"&amp;" · ","")&amp;IF($D257="","Sin responsable"&amp;" · ","")&amp;IF($E257="","Sin fecha de inicio"&amp;" · ","")&amp;IF($F257="","Sin fecha límite"&amp;" · ","")&amp;IF(OR(AND($E257&lt;&gt;"",NOT(ISNUMBER($E257))),AND($F257&lt;&gt;"",NOT(ISNUMBER($F257)))),"Fecha no válida"&amp;" · ","")&amp;IF(AND(ISNUMBER($E257),ISNUMBER($F257),$E257&gt;$F257),"Inicio posterior a fecha límite"&amp;" · ","")&amp;IF(AND($S257="Macro",$G257=""),"Peso vacío"&amp;" · ","")&amp;IF(AND($S257="Macro",$G257&lt;&gt;"",OR(NOT(ISNUMBER($G257)),$G257&lt;=0,$G257&gt;1)),"Peso fuera de rango"&amp;" · ","")&amp;IF(AND($S257="Sub",$G257&lt;&gt;""),"Las subactividades no llevan peso"&amp;" · ","")&amp;IF(AND($S257="Macro",ABS(SUMIFS($G$5:$G$1000,$P$5:$P$1000,$P257,$S$5:$S$1000,"Macro")-1)&gt;0.0001),"Pesos del mes suman "&amp;TEXT(SUMIFS($G$5:$G$1000,$P$5:$P$1000,$P257,$S$5:$S$1000,"Macro"),"0%")&amp;" · ","")&amp;IF(AND(N($T257)&gt;0,COUNT($H257:$K257)&gt;0),"Con subactividades: deje vacías las semanas (se calculan solas)"&amp;" · ","")&amp;IF((COUNTIF($H257:$K257,"&gt;1")+COUNTIF($H257:$K257,"&lt;0")+COUNTA($H257:$K257)-COUNT($H257:$K257))&gt;0,"Avance fuera de rango 0-100%"&amp;" · ","")&amp;IF(OR(AND($I257&lt;&gt;"",$I257&lt;$H257),AND($J257&lt;&gt;"",$J257&lt;MAX($H257:$I257)),AND($K257&lt;&gt;"",$K257&lt;MAX($H257:$J257))),"Avance semanal decreciente"&amp;" · ","")&amp;IF(AND(ISNUMBER($F257),$F257&lt;FechaRef,N($L257)&lt;1),"Vencida"&amp;" · ","")&amp;IF(AND(ObsObligatoria="Sí",ISNUMBER($F257),$F257&lt;FechaRef,N($L257)&lt;1,$N257=""),"Vencida sin observación"&amp;" · ",""))-3)))</f>
        <v/>
      </c>
      <c r="P257" s="69">
        <f>IF(NOT((COUNTA($B257:$K257)+COUNTA($N257))&gt;0),"",IF(AND($S257="Sub",N($R257)&gt;0),IF(ISNUMBER(INDEX($E$5:$E$1000,$R257-4)),DATE(YEAR(INDEX($E$5:$E$1000,$R257-4)),MONTH(INDEX($E$5:$E$1000,$R257-4)),1),IF(ISNUMBER(INDEX($F$5:$F$1000,$R257-4)),DATE(YEAR(INDEX($F$5:$F$1000,$R257-4)),MONTH(INDEX($F$5:$F$1000,$R257-4)),1),MesCiclo)),IF(ISNUMBER($E257),DATE(YEAR($E257),MONTH($E257),1),IF(ISNUMBER($F257),DATE(YEAR($F257),MONTH($F257),1),MesCiclo))))</f>
        <v/>
      </c>
      <c r="Q257" s="70">
        <f>IF(OR($P257="",$P257&lt;&gt;MesCiclo),"",COUNTIF($P$5:$P257,MesCiclo))</f>
        <v/>
      </c>
      <c r="R257" s="70">
        <f>IF($S257="","",IF($S257="Macro",ROW(),IFERROR(LOOKUP(2,1/($S$5:$S257="Macro"),ROW($S$5:$S257)),0)))</f>
        <v/>
      </c>
      <c r="S257" s="70">
        <f>IF(NOT((COUNTA($B257:$K257)+COUNTA($N257))&gt;0),"",IF($B257&lt;&gt;"","Macro",IF($C257&lt;&gt;"","Sub","Macro")))</f>
        <v/>
      </c>
      <c r="T257" s="70">
        <f>IF($S257="Macro",COUNTIFS($R$5:$R$1000,ROW(),$S$5:$S$1000,"Sub"),"")</f>
        <v/>
      </c>
      <c r="U257" s="70">
        <f>IF($S257="","",IF(ISNUMBER($H257),$H257,0))</f>
        <v/>
      </c>
      <c r="V257" s="70">
        <f>IF($S257="","",IF(ISNUMBER($I257),$I257,$U257))</f>
        <v/>
      </c>
      <c r="W257" s="70">
        <f>IF($S257="","",IF(ISNUMBER($J257),$J257,$V257))</f>
        <v/>
      </c>
      <c r="X257" s="70">
        <f>IF($S257="","",IF(ISNUMBER($K257),$K257,$W257))</f>
        <v/>
      </c>
      <c r="Y257" s="70">
        <f>IF($S257="","",IF(N($T257)&gt;0,AVERAGEIFS($U$5:$U$1000,$R$5:$R$1000,ROW(),$S$5:$S$1000,"Sub"),$U257))</f>
        <v/>
      </c>
      <c r="Z257" s="70">
        <f>IF($S257="","",IF(N($T257)&gt;0,AVERAGEIFS($V$5:$V$1000,$R$5:$R$1000,ROW(),$S$5:$S$1000,"Sub"),$V257))</f>
        <v/>
      </c>
      <c r="AA257" s="70">
        <f>IF($S257="","",IF(N($T257)&gt;0,AVERAGEIFS($W$5:$W$1000,$R$5:$R$1000,ROW(),$S$5:$S$1000,"Sub"),$W257))</f>
        <v/>
      </c>
      <c r="AB257" s="70">
        <f>IF($S257="","",IF(N($T257)&gt;0,AVERAGEIFS($X$5:$X$1000,$R$5:$R$1000,ROW(),$S$5:$S$1000,"Sub"),$X257))</f>
        <v/>
      </c>
    </row>
    <row r="258">
      <c r="A258" s="61">
        <f>IF(NOT((COUNTA($B258:$K258)+COUNTA($N258))&gt;0),"",IF($S258="Macro",COUNTIFS($S$5:$S258,"Macro",$P$5:$P258,$P258),IF(N($R258)=0,"?",COUNTIFS(INDEX($S$5:$S$1000,1):INDEX($S$5:$S$1000,$R258-4),"Macro",INDEX($P$5:$P$1000,1):INDEX($P$5:$P$1000,$R258-4),INDEX($P$5:$P$1000,$R258-4))&amp;"."&amp;COUNTIFS($R$5:$R258,$R258,$S$5:$S258,"Sub"))))</f>
        <v/>
      </c>
      <c r="B258" s="62" t="n"/>
      <c r="C258" s="63" t="n"/>
      <c r="D258" s="62" t="n"/>
      <c r="E258" s="64" t="n"/>
      <c r="F258" s="64" t="n"/>
      <c r="G258" s="65" t="n"/>
      <c r="H258" s="66" t="n"/>
      <c r="I258" s="66" t="n"/>
      <c r="J258" s="66" t="n"/>
      <c r="K258" s="66" t="n"/>
      <c r="L258" s="67">
        <f>IF(NOT((COUNTA($B258:$K258)+COUNTA($N258))&gt;0),"",IF(N($T258)&gt;0,$AB258,IFERROR(LOOKUP(2,1/(H258:K258&lt;&gt;""),H258:K258),0)))</f>
        <v/>
      </c>
      <c r="M258" s="61">
        <f>IF(L258="","",IF(L258&gt;=1,"Completado",IF(L258&gt;0,"En curso","Pendiente")))</f>
        <v/>
      </c>
      <c r="N258" s="62" t="n"/>
      <c r="O258" s="68">
        <f>IF(NOT((COUNTA($B258:$K258)+COUNTA($N258))&gt;0),"",IF((IF(AND($S258="Macro",$B258=""),"Macroactividad vacía"&amp;" · ","")&amp;IF(AND($B258&lt;&gt;"",$C258&lt;&gt;""),"Escriba la subactividad en otra fila, debajo de su macroactividad"&amp;" · ","")&amp;IF(AND($S258="Sub",N($R258)=0),"Subactividad sin macroactividad arriba"&amp;" · ","")&amp;IF($D258="","Sin responsable"&amp;" · ","")&amp;IF($E258="","Sin fecha de inicio"&amp;" · ","")&amp;IF($F258="","Sin fecha límite"&amp;" · ","")&amp;IF(OR(AND($E258&lt;&gt;"",NOT(ISNUMBER($E258))),AND($F258&lt;&gt;"",NOT(ISNUMBER($F258)))),"Fecha no válida"&amp;" · ","")&amp;IF(AND(ISNUMBER($E258),ISNUMBER($F258),$E258&gt;$F258),"Inicio posterior a fecha límite"&amp;" · ","")&amp;IF(AND($S258="Macro",$G258=""),"Peso vacío"&amp;" · ","")&amp;IF(AND($S258="Macro",$G258&lt;&gt;"",OR(NOT(ISNUMBER($G258)),$G258&lt;=0,$G258&gt;1)),"Peso fuera de rango"&amp;" · ","")&amp;IF(AND($S258="Sub",$G258&lt;&gt;""),"Las subactividades no llevan peso"&amp;" · ","")&amp;IF(AND($S258="Macro",ABS(SUMIFS($G$5:$G$1000,$P$5:$P$1000,$P258,$S$5:$S$1000,"Macro")-1)&gt;0.0001),"Pesos del mes suman "&amp;TEXT(SUMIFS($G$5:$G$1000,$P$5:$P$1000,$P258,$S$5:$S$1000,"Macro"),"0%")&amp;" · ","")&amp;IF(AND(N($T258)&gt;0,COUNT($H258:$K258)&gt;0),"Con subactividades: deje vacías las semanas (se calculan solas)"&amp;" · ","")&amp;IF((COUNTIF($H258:$K258,"&gt;1")+COUNTIF($H258:$K258,"&lt;0")+COUNTA($H258:$K258)-COUNT($H258:$K258))&gt;0,"Avance fuera de rango 0-100%"&amp;" · ","")&amp;IF(OR(AND($I258&lt;&gt;"",$I258&lt;$H258),AND($J258&lt;&gt;"",$J258&lt;MAX($H258:$I258)),AND($K258&lt;&gt;"",$K258&lt;MAX($H258:$J258))),"Avance semanal decreciente"&amp;" · ","")&amp;IF(AND(ISNUMBER($F258),$F258&lt;FechaRef,N($L258)&lt;1),"Vencida"&amp;" · ","")&amp;IF(AND(ObsObligatoria="Sí",ISNUMBER($F258),$F258&lt;FechaRef,N($L258)&lt;1,$N258=""),"Vencida sin observación"&amp;" · ",""))="","✔ OK","⚠ "&amp;LEFT(IF(AND($S258="Macro",$B258=""),"Macroactividad vacía"&amp;" · ","")&amp;IF(AND($B258&lt;&gt;"",$C258&lt;&gt;""),"Escriba la subactividad en otra fila, debajo de su macroactividad"&amp;" · ","")&amp;IF(AND($S258="Sub",N($R258)=0),"Subactividad sin macroactividad arriba"&amp;" · ","")&amp;IF($D258="","Sin responsable"&amp;" · ","")&amp;IF($E258="","Sin fecha de inicio"&amp;" · ","")&amp;IF($F258="","Sin fecha límite"&amp;" · ","")&amp;IF(OR(AND($E258&lt;&gt;"",NOT(ISNUMBER($E258))),AND($F258&lt;&gt;"",NOT(ISNUMBER($F258)))),"Fecha no válida"&amp;" · ","")&amp;IF(AND(ISNUMBER($E258),ISNUMBER($F258),$E258&gt;$F258),"Inicio posterior a fecha límite"&amp;" · ","")&amp;IF(AND($S258="Macro",$G258=""),"Peso vacío"&amp;" · ","")&amp;IF(AND($S258="Macro",$G258&lt;&gt;"",OR(NOT(ISNUMBER($G258)),$G258&lt;=0,$G258&gt;1)),"Peso fuera de rango"&amp;" · ","")&amp;IF(AND($S258="Sub",$G258&lt;&gt;""),"Las subactividades no llevan peso"&amp;" · ","")&amp;IF(AND($S258="Macro",ABS(SUMIFS($G$5:$G$1000,$P$5:$P$1000,$P258,$S$5:$S$1000,"Macro")-1)&gt;0.0001),"Pesos del mes suman "&amp;TEXT(SUMIFS($G$5:$G$1000,$P$5:$P$1000,$P258,$S$5:$S$1000,"Macro"),"0%")&amp;" · ","")&amp;IF(AND(N($T258)&gt;0,COUNT($H258:$K258)&gt;0),"Con subactividades: deje vacías las semanas (se calculan solas)"&amp;" · ","")&amp;IF((COUNTIF($H258:$K258,"&gt;1")+COUNTIF($H258:$K258,"&lt;0")+COUNTA($H258:$K258)-COUNT($H258:$K258))&gt;0,"Avance fuera de rango 0-100%"&amp;" · ","")&amp;IF(OR(AND($I258&lt;&gt;"",$I258&lt;$H258),AND($J258&lt;&gt;"",$J258&lt;MAX($H258:$I258)),AND($K258&lt;&gt;"",$K258&lt;MAX($H258:$J258))),"Avance semanal decreciente"&amp;" · ","")&amp;IF(AND(ISNUMBER($F258),$F258&lt;FechaRef,N($L258)&lt;1),"Vencida"&amp;" · ","")&amp;IF(AND(ObsObligatoria="Sí",ISNUMBER($F258),$F258&lt;FechaRef,N($L258)&lt;1,$N258=""),"Vencida sin observación"&amp;" · ",""),LEN(IF(AND($S258="Macro",$B258=""),"Macroactividad vacía"&amp;" · ","")&amp;IF(AND($B258&lt;&gt;"",$C258&lt;&gt;""),"Escriba la subactividad en otra fila, debajo de su macroactividad"&amp;" · ","")&amp;IF(AND($S258="Sub",N($R258)=0),"Subactividad sin macroactividad arriba"&amp;" · ","")&amp;IF($D258="","Sin responsable"&amp;" · ","")&amp;IF($E258="","Sin fecha de inicio"&amp;" · ","")&amp;IF($F258="","Sin fecha límite"&amp;" · ","")&amp;IF(OR(AND($E258&lt;&gt;"",NOT(ISNUMBER($E258))),AND($F258&lt;&gt;"",NOT(ISNUMBER($F258)))),"Fecha no válida"&amp;" · ","")&amp;IF(AND(ISNUMBER($E258),ISNUMBER($F258),$E258&gt;$F258),"Inicio posterior a fecha límite"&amp;" · ","")&amp;IF(AND($S258="Macro",$G258=""),"Peso vacío"&amp;" · ","")&amp;IF(AND($S258="Macro",$G258&lt;&gt;"",OR(NOT(ISNUMBER($G258)),$G258&lt;=0,$G258&gt;1)),"Peso fuera de rango"&amp;" · ","")&amp;IF(AND($S258="Sub",$G258&lt;&gt;""),"Las subactividades no llevan peso"&amp;" · ","")&amp;IF(AND($S258="Macro",ABS(SUMIFS($G$5:$G$1000,$P$5:$P$1000,$P258,$S$5:$S$1000,"Macro")-1)&gt;0.0001),"Pesos del mes suman "&amp;TEXT(SUMIFS($G$5:$G$1000,$P$5:$P$1000,$P258,$S$5:$S$1000,"Macro"),"0%")&amp;" · ","")&amp;IF(AND(N($T258)&gt;0,COUNT($H258:$K258)&gt;0),"Con subactividades: deje vacías las semanas (se calculan solas)"&amp;" · ","")&amp;IF((COUNTIF($H258:$K258,"&gt;1")+COUNTIF($H258:$K258,"&lt;0")+COUNTA($H258:$K258)-COUNT($H258:$K258))&gt;0,"Avance fuera de rango 0-100%"&amp;" · ","")&amp;IF(OR(AND($I258&lt;&gt;"",$I258&lt;$H258),AND($J258&lt;&gt;"",$J258&lt;MAX($H258:$I258)),AND($K258&lt;&gt;"",$K258&lt;MAX($H258:$J258))),"Avance semanal decreciente"&amp;" · ","")&amp;IF(AND(ISNUMBER($F258),$F258&lt;FechaRef,N($L258)&lt;1),"Vencida"&amp;" · ","")&amp;IF(AND(ObsObligatoria="Sí",ISNUMBER($F258),$F258&lt;FechaRef,N($L258)&lt;1,$N258=""),"Vencida sin observación"&amp;" · ",""))-3)))</f>
        <v/>
      </c>
      <c r="P258" s="69">
        <f>IF(NOT((COUNTA($B258:$K258)+COUNTA($N258))&gt;0),"",IF(AND($S258="Sub",N($R258)&gt;0),IF(ISNUMBER(INDEX($E$5:$E$1000,$R258-4)),DATE(YEAR(INDEX($E$5:$E$1000,$R258-4)),MONTH(INDEX($E$5:$E$1000,$R258-4)),1),IF(ISNUMBER(INDEX($F$5:$F$1000,$R258-4)),DATE(YEAR(INDEX($F$5:$F$1000,$R258-4)),MONTH(INDEX($F$5:$F$1000,$R258-4)),1),MesCiclo)),IF(ISNUMBER($E258),DATE(YEAR($E258),MONTH($E258),1),IF(ISNUMBER($F258),DATE(YEAR($F258),MONTH($F258),1),MesCiclo))))</f>
        <v/>
      </c>
      <c r="Q258" s="70">
        <f>IF(OR($P258="",$P258&lt;&gt;MesCiclo),"",COUNTIF($P$5:$P258,MesCiclo))</f>
        <v/>
      </c>
      <c r="R258" s="70">
        <f>IF($S258="","",IF($S258="Macro",ROW(),IFERROR(LOOKUP(2,1/($S$5:$S258="Macro"),ROW($S$5:$S258)),0)))</f>
        <v/>
      </c>
      <c r="S258" s="70">
        <f>IF(NOT((COUNTA($B258:$K258)+COUNTA($N258))&gt;0),"",IF($B258&lt;&gt;"","Macro",IF($C258&lt;&gt;"","Sub","Macro")))</f>
        <v/>
      </c>
      <c r="T258" s="70">
        <f>IF($S258="Macro",COUNTIFS($R$5:$R$1000,ROW(),$S$5:$S$1000,"Sub"),"")</f>
        <v/>
      </c>
      <c r="U258" s="70">
        <f>IF($S258="","",IF(ISNUMBER($H258),$H258,0))</f>
        <v/>
      </c>
      <c r="V258" s="70">
        <f>IF($S258="","",IF(ISNUMBER($I258),$I258,$U258))</f>
        <v/>
      </c>
      <c r="W258" s="70">
        <f>IF($S258="","",IF(ISNUMBER($J258),$J258,$V258))</f>
        <v/>
      </c>
      <c r="X258" s="70">
        <f>IF($S258="","",IF(ISNUMBER($K258),$K258,$W258))</f>
        <v/>
      </c>
      <c r="Y258" s="70">
        <f>IF($S258="","",IF(N($T258)&gt;0,AVERAGEIFS($U$5:$U$1000,$R$5:$R$1000,ROW(),$S$5:$S$1000,"Sub"),$U258))</f>
        <v/>
      </c>
      <c r="Z258" s="70">
        <f>IF($S258="","",IF(N($T258)&gt;0,AVERAGEIFS($V$5:$V$1000,$R$5:$R$1000,ROW(),$S$5:$S$1000,"Sub"),$V258))</f>
        <v/>
      </c>
      <c r="AA258" s="70">
        <f>IF($S258="","",IF(N($T258)&gt;0,AVERAGEIFS($W$5:$W$1000,$R$5:$R$1000,ROW(),$S$5:$S$1000,"Sub"),$W258))</f>
        <v/>
      </c>
      <c r="AB258" s="70">
        <f>IF($S258="","",IF(N($T258)&gt;0,AVERAGEIFS($X$5:$X$1000,$R$5:$R$1000,ROW(),$S$5:$S$1000,"Sub"),$X258))</f>
        <v/>
      </c>
    </row>
    <row r="259">
      <c r="A259" s="61">
        <f>IF(NOT((COUNTA($B259:$K259)+COUNTA($N259))&gt;0),"",IF($S259="Macro",COUNTIFS($S$5:$S259,"Macro",$P$5:$P259,$P259),IF(N($R259)=0,"?",COUNTIFS(INDEX($S$5:$S$1000,1):INDEX($S$5:$S$1000,$R259-4),"Macro",INDEX($P$5:$P$1000,1):INDEX($P$5:$P$1000,$R259-4),INDEX($P$5:$P$1000,$R259-4))&amp;"."&amp;COUNTIFS($R$5:$R259,$R259,$S$5:$S259,"Sub"))))</f>
        <v/>
      </c>
      <c r="B259" s="62" t="n"/>
      <c r="C259" s="63" t="n"/>
      <c r="D259" s="62" t="n"/>
      <c r="E259" s="64" t="n"/>
      <c r="F259" s="64" t="n"/>
      <c r="G259" s="65" t="n"/>
      <c r="H259" s="66" t="n"/>
      <c r="I259" s="66" t="n"/>
      <c r="J259" s="66" t="n"/>
      <c r="K259" s="66" t="n"/>
      <c r="L259" s="67">
        <f>IF(NOT((COUNTA($B259:$K259)+COUNTA($N259))&gt;0),"",IF(N($T259)&gt;0,$AB259,IFERROR(LOOKUP(2,1/(H259:K259&lt;&gt;""),H259:K259),0)))</f>
        <v/>
      </c>
      <c r="M259" s="61">
        <f>IF(L259="","",IF(L259&gt;=1,"Completado",IF(L259&gt;0,"En curso","Pendiente")))</f>
        <v/>
      </c>
      <c r="N259" s="62" t="n"/>
      <c r="O259" s="68">
        <f>IF(NOT((COUNTA($B259:$K259)+COUNTA($N259))&gt;0),"",IF((IF(AND($S259="Macro",$B259=""),"Macroactividad vacía"&amp;" · ","")&amp;IF(AND($B259&lt;&gt;"",$C259&lt;&gt;""),"Escriba la subactividad en otra fila, debajo de su macroactividad"&amp;" · ","")&amp;IF(AND($S259="Sub",N($R259)=0),"Subactividad sin macroactividad arriba"&amp;" · ","")&amp;IF($D259="","Sin responsable"&amp;" · ","")&amp;IF($E259="","Sin fecha de inicio"&amp;" · ","")&amp;IF($F259="","Sin fecha límite"&amp;" · ","")&amp;IF(OR(AND($E259&lt;&gt;"",NOT(ISNUMBER($E259))),AND($F259&lt;&gt;"",NOT(ISNUMBER($F259)))),"Fecha no válida"&amp;" · ","")&amp;IF(AND(ISNUMBER($E259),ISNUMBER($F259),$E259&gt;$F259),"Inicio posterior a fecha límite"&amp;" · ","")&amp;IF(AND($S259="Macro",$G259=""),"Peso vacío"&amp;" · ","")&amp;IF(AND($S259="Macro",$G259&lt;&gt;"",OR(NOT(ISNUMBER($G259)),$G259&lt;=0,$G259&gt;1)),"Peso fuera de rango"&amp;" · ","")&amp;IF(AND($S259="Sub",$G259&lt;&gt;""),"Las subactividades no llevan peso"&amp;" · ","")&amp;IF(AND($S259="Macro",ABS(SUMIFS($G$5:$G$1000,$P$5:$P$1000,$P259,$S$5:$S$1000,"Macro")-1)&gt;0.0001),"Pesos del mes suman "&amp;TEXT(SUMIFS($G$5:$G$1000,$P$5:$P$1000,$P259,$S$5:$S$1000,"Macro"),"0%")&amp;" · ","")&amp;IF(AND(N($T259)&gt;0,COUNT($H259:$K259)&gt;0),"Con subactividades: deje vacías las semanas (se calculan solas)"&amp;" · ","")&amp;IF((COUNTIF($H259:$K259,"&gt;1")+COUNTIF($H259:$K259,"&lt;0")+COUNTA($H259:$K259)-COUNT($H259:$K259))&gt;0,"Avance fuera de rango 0-100%"&amp;" · ","")&amp;IF(OR(AND($I259&lt;&gt;"",$I259&lt;$H259),AND($J259&lt;&gt;"",$J259&lt;MAX($H259:$I259)),AND($K259&lt;&gt;"",$K259&lt;MAX($H259:$J259))),"Avance semanal decreciente"&amp;" · ","")&amp;IF(AND(ISNUMBER($F259),$F259&lt;FechaRef,N($L259)&lt;1),"Vencida"&amp;" · ","")&amp;IF(AND(ObsObligatoria="Sí",ISNUMBER($F259),$F259&lt;FechaRef,N($L259)&lt;1,$N259=""),"Vencida sin observación"&amp;" · ",""))="","✔ OK","⚠ "&amp;LEFT(IF(AND($S259="Macro",$B259=""),"Macroactividad vacía"&amp;" · ","")&amp;IF(AND($B259&lt;&gt;"",$C259&lt;&gt;""),"Escriba la subactividad en otra fila, debajo de su macroactividad"&amp;" · ","")&amp;IF(AND($S259="Sub",N($R259)=0),"Subactividad sin macroactividad arriba"&amp;" · ","")&amp;IF($D259="","Sin responsable"&amp;" · ","")&amp;IF($E259="","Sin fecha de inicio"&amp;" · ","")&amp;IF($F259="","Sin fecha límite"&amp;" · ","")&amp;IF(OR(AND($E259&lt;&gt;"",NOT(ISNUMBER($E259))),AND($F259&lt;&gt;"",NOT(ISNUMBER($F259)))),"Fecha no válida"&amp;" · ","")&amp;IF(AND(ISNUMBER($E259),ISNUMBER($F259),$E259&gt;$F259),"Inicio posterior a fecha límite"&amp;" · ","")&amp;IF(AND($S259="Macro",$G259=""),"Peso vacío"&amp;" · ","")&amp;IF(AND($S259="Macro",$G259&lt;&gt;"",OR(NOT(ISNUMBER($G259)),$G259&lt;=0,$G259&gt;1)),"Peso fuera de rango"&amp;" · ","")&amp;IF(AND($S259="Sub",$G259&lt;&gt;""),"Las subactividades no llevan peso"&amp;" · ","")&amp;IF(AND($S259="Macro",ABS(SUMIFS($G$5:$G$1000,$P$5:$P$1000,$P259,$S$5:$S$1000,"Macro")-1)&gt;0.0001),"Pesos del mes suman "&amp;TEXT(SUMIFS($G$5:$G$1000,$P$5:$P$1000,$P259,$S$5:$S$1000,"Macro"),"0%")&amp;" · ","")&amp;IF(AND(N($T259)&gt;0,COUNT($H259:$K259)&gt;0),"Con subactividades: deje vacías las semanas (se calculan solas)"&amp;" · ","")&amp;IF((COUNTIF($H259:$K259,"&gt;1")+COUNTIF($H259:$K259,"&lt;0")+COUNTA($H259:$K259)-COUNT($H259:$K259))&gt;0,"Avance fuera de rango 0-100%"&amp;" · ","")&amp;IF(OR(AND($I259&lt;&gt;"",$I259&lt;$H259),AND($J259&lt;&gt;"",$J259&lt;MAX($H259:$I259)),AND($K259&lt;&gt;"",$K259&lt;MAX($H259:$J259))),"Avance semanal decreciente"&amp;" · ","")&amp;IF(AND(ISNUMBER($F259),$F259&lt;FechaRef,N($L259)&lt;1),"Vencida"&amp;" · ","")&amp;IF(AND(ObsObligatoria="Sí",ISNUMBER($F259),$F259&lt;FechaRef,N($L259)&lt;1,$N259=""),"Vencida sin observación"&amp;" · ",""),LEN(IF(AND($S259="Macro",$B259=""),"Macroactividad vacía"&amp;" · ","")&amp;IF(AND($B259&lt;&gt;"",$C259&lt;&gt;""),"Escriba la subactividad en otra fila, debajo de su macroactividad"&amp;" · ","")&amp;IF(AND($S259="Sub",N($R259)=0),"Subactividad sin macroactividad arriba"&amp;" · ","")&amp;IF($D259="","Sin responsable"&amp;" · ","")&amp;IF($E259="","Sin fecha de inicio"&amp;" · ","")&amp;IF($F259="","Sin fecha límite"&amp;" · ","")&amp;IF(OR(AND($E259&lt;&gt;"",NOT(ISNUMBER($E259))),AND($F259&lt;&gt;"",NOT(ISNUMBER($F259)))),"Fecha no válida"&amp;" · ","")&amp;IF(AND(ISNUMBER($E259),ISNUMBER($F259),$E259&gt;$F259),"Inicio posterior a fecha límite"&amp;" · ","")&amp;IF(AND($S259="Macro",$G259=""),"Peso vacío"&amp;" · ","")&amp;IF(AND($S259="Macro",$G259&lt;&gt;"",OR(NOT(ISNUMBER($G259)),$G259&lt;=0,$G259&gt;1)),"Peso fuera de rango"&amp;" · ","")&amp;IF(AND($S259="Sub",$G259&lt;&gt;""),"Las subactividades no llevan peso"&amp;" · ","")&amp;IF(AND($S259="Macro",ABS(SUMIFS($G$5:$G$1000,$P$5:$P$1000,$P259,$S$5:$S$1000,"Macro")-1)&gt;0.0001),"Pesos del mes suman "&amp;TEXT(SUMIFS($G$5:$G$1000,$P$5:$P$1000,$P259,$S$5:$S$1000,"Macro"),"0%")&amp;" · ","")&amp;IF(AND(N($T259)&gt;0,COUNT($H259:$K259)&gt;0),"Con subactividades: deje vacías las semanas (se calculan solas)"&amp;" · ","")&amp;IF((COUNTIF($H259:$K259,"&gt;1")+COUNTIF($H259:$K259,"&lt;0")+COUNTA($H259:$K259)-COUNT($H259:$K259))&gt;0,"Avance fuera de rango 0-100%"&amp;" · ","")&amp;IF(OR(AND($I259&lt;&gt;"",$I259&lt;$H259),AND($J259&lt;&gt;"",$J259&lt;MAX($H259:$I259)),AND($K259&lt;&gt;"",$K259&lt;MAX($H259:$J259))),"Avance semanal decreciente"&amp;" · ","")&amp;IF(AND(ISNUMBER($F259),$F259&lt;FechaRef,N($L259)&lt;1),"Vencida"&amp;" · ","")&amp;IF(AND(ObsObligatoria="Sí",ISNUMBER($F259),$F259&lt;FechaRef,N($L259)&lt;1,$N259=""),"Vencida sin observación"&amp;" · ",""))-3)))</f>
        <v/>
      </c>
      <c r="P259" s="69">
        <f>IF(NOT((COUNTA($B259:$K259)+COUNTA($N259))&gt;0),"",IF(AND($S259="Sub",N($R259)&gt;0),IF(ISNUMBER(INDEX($E$5:$E$1000,$R259-4)),DATE(YEAR(INDEX($E$5:$E$1000,$R259-4)),MONTH(INDEX($E$5:$E$1000,$R259-4)),1),IF(ISNUMBER(INDEX($F$5:$F$1000,$R259-4)),DATE(YEAR(INDEX($F$5:$F$1000,$R259-4)),MONTH(INDEX($F$5:$F$1000,$R259-4)),1),MesCiclo)),IF(ISNUMBER($E259),DATE(YEAR($E259),MONTH($E259),1),IF(ISNUMBER($F259),DATE(YEAR($F259),MONTH($F259),1),MesCiclo))))</f>
        <v/>
      </c>
      <c r="Q259" s="70">
        <f>IF(OR($P259="",$P259&lt;&gt;MesCiclo),"",COUNTIF($P$5:$P259,MesCiclo))</f>
        <v/>
      </c>
      <c r="R259" s="70">
        <f>IF($S259="","",IF($S259="Macro",ROW(),IFERROR(LOOKUP(2,1/($S$5:$S259="Macro"),ROW($S$5:$S259)),0)))</f>
        <v/>
      </c>
      <c r="S259" s="70">
        <f>IF(NOT((COUNTA($B259:$K259)+COUNTA($N259))&gt;0),"",IF($B259&lt;&gt;"","Macro",IF($C259&lt;&gt;"","Sub","Macro")))</f>
        <v/>
      </c>
      <c r="T259" s="70">
        <f>IF($S259="Macro",COUNTIFS($R$5:$R$1000,ROW(),$S$5:$S$1000,"Sub"),"")</f>
        <v/>
      </c>
      <c r="U259" s="70">
        <f>IF($S259="","",IF(ISNUMBER($H259),$H259,0))</f>
        <v/>
      </c>
      <c r="V259" s="70">
        <f>IF($S259="","",IF(ISNUMBER($I259),$I259,$U259))</f>
        <v/>
      </c>
      <c r="W259" s="70">
        <f>IF($S259="","",IF(ISNUMBER($J259),$J259,$V259))</f>
        <v/>
      </c>
      <c r="X259" s="70">
        <f>IF($S259="","",IF(ISNUMBER($K259),$K259,$W259))</f>
        <v/>
      </c>
      <c r="Y259" s="70">
        <f>IF($S259="","",IF(N($T259)&gt;0,AVERAGEIFS($U$5:$U$1000,$R$5:$R$1000,ROW(),$S$5:$S$1000,"Sub"),$U259))</f>
        <v/>
      </c>
      <c r="Z259" s="70">
        <f>IF($S259="","",IF(N($T259)&gt;0,AVERAGEIFS($V$5:$V$1000,$R$5:$R$1000,ROW(),$S$5:$S$1000,"Sub"),$V259))</f>
        <v/>
      </c>
      <c r="AA259" s="70">
        <f>IF($S259="","",IF(N($T259)&gt;0,AVERAGEIFS($W$5:$W$1000,$R$5:$R$1000,ROW(),$S$5:$S$1000,"Sub"),$W259))</f>
        <v/>
      </c>
      <c r="AB259" s="70">
        <f>IF($S259="","",IF(N($T259)&gt;0,AVERAGEIFS($X$5:$X$1000,$R$5:$R$1000,ROW(),$S$5:$S$1000,"Sub"),$X259))</f>
        <v/>
      </c>
    </row>
    <row r="260">
      <c r="A260" s="61">
        <f>IF(NOT((COUNTA($B260:$K260)+COUNTA($N260))&gt;0),"",IF($S260="Macro",COUNTIFS($S$5:$S260,"Macro",$P$5:$P260,$P260),IF(N($R260)=0,"?",COUNTIFS(INDEX($S$5:$S$1000,1):INDEX($S$5:$S$1000,$R260-4),"Macro",INDEX($P$5:$P$1000,1):INDEX($P$5:$P$1000,$R260-4),INDEX($P$5:$P$1000,$R260-4))&amp;"."&amp;COUNTIFS($R$5:$R260,$R260,$S$5:$S260,"Sub"))))</f>
        <v/>
      </c>
      <c r="B260" s="62" t="n"/>
      <c r="C260" s="63" t="n"/>
      <c r="D260" s="62" t="n"/>
      <c r="E260" s="64" t="n"/>
      <c r="F260" s="64" t="n"/>
      <c r="G260" s="65" t="n"/>
      <c r="H260" s="66" t="n"/>
      <c r="I260" s="66" t="n"/>
      <c r="J260" s="66" t="n"/>
      <c r="K260" s="66" t="n"/>
      <c r="L260" s="67">
        <f>IF(NOT((COUNTA($B260:$K260)+COUNTA($N260))&gt;0),"",IF(N($T260)&gt;0,$AB260,IFERROR(LOOKUP(2,1/(H260:K260&lt;&gt;""),H260:K260),0)))</f>
        <v/>
      </c>
      <c r="M260" s="61">
        <f>IF(L260="","",IF(L260&gt;=1,"Completado",IF(L260&gt;0,"En curso","Pendiente")))</f>
        <v/>
      </c>
      <c r="N260" s="62" t="n"/>
      <c r="O260" s="68">
        <f>IF(NOT((COUNTA($B260:$K260)+COUNTA($N260))&gt;0),"",IF((IF(AND($S260="Macro",$B260=""),"Macroactividad vacía"&amp;" · ","")&amp;IF(AND($B260&lt;&gt;"",$C260&lt;&gt;""),"Escriba la subactividad en otra fila, debajo de su macroactividad"&amp;" · ","")&amp;IF(AND($S260="Sub",N($R260)=0),"Subactividad sin macroactividad arriba"&amp;" · ","")&amp;IF($D260="","Sin responsable"&amp;" · ","")&amp;IF($E260="","Sin fecha de inicio"&amp;" · ","")&amp;IF($F260="","Sin fecha límite"&amp;" · ","")&amp;IF(OR(AND($E260&lt;&gt;"",NOT(ISNUMBER($E260))),AND($F260&lt;&gt;"",NOT(ISNUMBER($F260)))),"Fecha no válida"&amp;" · ","")&amp;IF(AND(ISNUMBER($E260),ISNUMBER($F260),$E260&gt;$F260),"Inicio posterior a fecha límite"&amp;" · ","")&amp;IF(AND($S260="Macro",$G260=""),"Peso vacío"&amp;" · ","")&amp;IF(AND($S260="Macro",$G260&lt;&gt;"",OR(NOT(ISNUMBER($G260)),$G260&lt;=0,$G260&gt;1)),"Peso fuera de rango"&amp;" · ","")&amp;IF(AND($S260="Sub",$G260&lt;&gt;""),"Las subactividades no llevan peso"&amp;" · ","")&amp;IF(AND($S260="Macro",ABS(SUMIFS($G$5:$G$1000,$P$5:$P$1000,$P260,$S$5:$S$1000,"Macro")-1)&gt;0.0001),"Pesos del mes suman "&amp;TEXT(SUMIFS($G$5:$G$1000,$P$5:$P$1000,$P260,$S$5:$S$1000,"Macro"),"0%")&amp;" · ","")&amp;IF(AND(N($T260)&gt;0,COUNT($H260:$K260)&gt;0),"Con subactividades: deje vacías las semanas (se calculan solas)"&amp;" · ","")&amp;IF((COUNTIF($H260:$K260,"&gt;1")+COUNTIF($H260:$K260,"&lt;0")+COUNTA($H260:$K260)-COUNT($H260:$K260))&gt;0,"Avance fuera de rango 0-100%"&amp;" · ","")&amp;IF(OR(AND($I260&lt;&gt;"",$I260&lt;$H260),AND($J260&lt;&gt;"",$J260&lt;MAX($H260:$I260)),AND($K260&lt;&gt;"",$K260&lt;MAX($H260:$J260))),"Avance semanal decreciente"&amp;" · ","")&amp;IF(AND(ISNUMBER($F260),$F260&lt;FechaRef,N($L260)&lt;1),"Vencida"&amp;" · ","")&amp;IF(AND(ObsObligatoria="Sí",ISNUMBER($F260),$F260&lt;FechaRef,N($L260)&lt;1,$N260=""),"Vencida sin observación"&amp;" · ",""))="","✔ OK","⚠ "&amp;LEFT(IF(AND($S260="Macro",$B260=""),"Macroactividad vacía"&amp;" · ","")&amp;IF(AND($B260&lt;&gt;"",$C260&lt;&gt;""),"Escriba la subactividad en otra fila, debajo de su macroactividad"&amp;" · ","")&amp;IF(AND($S260="Sub",N($R260)=0),"Subactividad sin macroactividad arriba"&amp;" · ","")&amp;IF($D260="","Sin responsable"&amp;" · ","")&amp;IF($E260="","Sin fecha de inicio"&amp;" · ","")&amp;IF($F260="","Sin fecha límite"&amp;" · ","")&amp;IF(OR(AND($E260&lt;&gt;"",NOT(ISNUMBER($E260))),AND($F260&lt;&gt;"",NOT(ISNUMBER($F260)))),"Fecha no válida"&amp;" · ","")&amp;IF(AND(ISNUMBER($E260),ISNUMBER($F260),$E260&gt;$F260),"Inicio posterior a fecha límite"&amp;" · ","")&amp;IF(AND($S260="Macro",$G260=""),"Peso vacío"&amp;" · ","")&amp;IF(AND($S260="Macro",$G260&lt;&gt;"",OR(NOT(ISNUMBER($G260)),$G260&lt;=0,$G260&gt;1)),"Peso fuera de rango"&amp;" · ","")&amp;IF(AND($S260="Sub",$G260&lt;&gt;""),"Las subactividades no llevan peso"&amp;" · ","")&amp;IF(AND($S260="Macro",ABS(SUMIFS($G$5:$G$1000,$P$5:$P$1000,$P260,$S$5:$S$1000,"Macro")-1)&gt;0.0001),"Pesos del mes suman "&amp;TEXT(SUMIFS($G$5:$G$1000,$P$5:$P$1000,$P260,$S$5:$S$1000,"Macro"),"0%")&amp;" · ","")&amp;IF(AND(N($T260)&gt;0,COUNT($H260:$K260)&gt;0),"Con subactividades: deje vacías las semanas (se calculan solas)"&amp;" · ","")&amp;IF((COUNTIF($H260:$K260,"&gt;1")+COUNTIF($H260:$K260,"&lt;0")+COUNTA($H260:$K260)-COUNT($H260:$K260))&gt;0,"Avance fuera de rango 0-100%"&amp;" · ","")&amp;IF(OR(AND($I260&lt;&gt;"",$I260&lt;$H260),AND($J260&lt;&gt;"",$J260&lt;MAX($H260:$I260)),AND($K260&lt;&gt;"",$K260&lt;MAX($H260:$J260))),"Avance semanal decreciente"&amp;" · ","")&amp;IF(AND(ISNUMBER($F260),$F260&lt;FechaRef,N($L260)&lt;1),"Vencida"&amp;" · ","")&amp;IF(AND(ObsObligatoria="Sí",ISNUMBER($F260),$F260&lt;FechaRef,N($L260)&lt;1,$N260=""),"Vencida sin observación"&amp;" · ",""),LEN(IF(AND($S260="Macro",$B260=""),"Macroactividad vacía"&amp;" · ","")&amp;IF(AND($B260&lt;&gt;"",$C260&lt;&gt;""),"Escriba la subactividad en otra fila, debajo de su macroactividad"&amp;" · ","")&amp;IF(AND($S260="Sub",N($R260)=0),"Subactividad sin macroactividad arriba"&amp;" · ","")&amp;IF($D260="","Sin responsable"&amp;" · ","")&amp;IF($E260="","Sin fecha de inicio"&amp;" · ","")&amp;IF($F260="","Sin fecha límite"&amp;" · ","")&amp;IF(OR(AND($E260&lt;&gt;"",NOT(ISNUMBER($E260))),AND($F260&lt;&gt;"",NOT(ISNUMBER($F260)))),"Fecha no válida"&amp;" · ","")&amp;IF(AND(ISNUMBER($E260),ISNUMBER($F260),$E260&gt;$F260),"Inicio posterior a fecha límite"&amp;" · ","")&amp;IF(AND($S260="Macro",$G260=""),"Peso vacío"&amp;" · ","")&amp;IF(AND($S260="Macro",$G260&lt;&gt;"",OR(NOT(ISNUMBER($G260)),$G260&lt;=0,$G260&gt;1)),"Peso fuera de rango"&amp;" · ","")&amp;IF(AND($S260="Sub",$G260&lt;&gt;""),"Las subactividades no llevan peso"&amp;" · ","")&amp;IF(AND($S260="Macro",ABS(SUMIFS($G$5:$G$1000,$P$5:$P$1000,$P260,$S$5:$S$1000,"Macro")-1)&gt;0.0001),"Pesos del mes suman "&amp;TEXT(SUMIFS($G$5:$G$1000,$P$5:$P$1000,$P260,$S$5:$S$1000,"Macro"),"0%")&amp;" · ","")&amp;IF(AND(N($T260)&gt;0,COUNT($H260:$K260)&gt;0),"Con subactividades: deje vacías las semanas (se calculan solas)"&amp;" · ","")&amp;IF((COUNTIF($H260:$K260,"&gt;1")+COUNTIF($H260:$K260,"&lt;0")+COUNTA($H260:$K260)-COUNT($H260:$K260))&gt;0,"Avance fuera de rango 0-100%"&amp;" · ","")&amp;IF(OR(AND($I260&lt;&gt;"",$I260&lt;$H260),AND($J260&lt;&gt;"",$J260&lt;MAX($H260:$I260)),AND($K260&lt;&gt;"",$K260&lt;MAX($H260:$J260))),"Avance semanal decreciente"&amp;" · ","")&amp;IF(AND(ISNUMBER($F260),$F260&lt;FechaRef,N($L260)&lt;1),"Vencida"&amp;" · ","")&amp;IF(AND(ObsObligatoria="Sí",ISNUMBER($F260),$F260&lt;FechaRef,N($L260)&lt;1,$N260=""),"Vencida sin observación"&amp;" · ",""))-3)))</f>
        <v/>
      </c>
      <c r="P260" s="69">
        <f>IF(NOT((COUNTA($B260:$K260)+COUNTA($N260))&gt;0),"",IF(AND($S260="Sub",N($R260)&gt;0),IF(ISNUMBER(INDEX($E$5:$E$1000,$R260-4)),DATE(YEAR(INDEX($E$5:$E$1000,$R260-4)),MONTH(INDEX($E$5:$E$1000,$R260-4)),1),IF(ISNUMBER(INDEX($F$5:$F$1000,$R260-4)),DATE(YEAR(INDEX($F$5:$F$1000,$R260-4)),MONTH(INDEX($F$5:$F$1000,$R260-4)),1),MesCiclo)),IF(ISNUMBER($E260),DATE(YEAR($E260),MONTH($E260),1),IF(ISNUMBER($F260),DATE(YEAR($F260),MONTH($F260),1),MesCiclo))))</f>
        <v/>
      </c>
      <c r="Q260" s="70">
        <f>IF(OR($P260="",$P260&lt;&gt;MesCiclo),"",COUNTIF($P$5:$P260,MesCiclo))</f>
        <v/>
      </c>
      <c r="R260" s="70">
        <f>IF($S260="","",IF($S260="Macro",ROW(),IFERROR(LOOKUP(2,1/($S$5:$S260="Macro"),ROW($S$5:$S260)),0)))</f>
        <v/>
      </c>
      <c r="S260" s="70">
        <f>IF(NOT((COUNTA($B260:$K260)+COUNTA($N260))&gt;0),"",IF($B260&lt;&gt;"","Macro",IF($C260&lt;&gt;"","Sub","Macro")))</f>
        <v/>
      </c>
      <c r="T260" s="70">
        <f>IF($S260="Macro",COUNTIFS($R$5:$R$1000,ROW(),$S$5:$S$1000,"Sub"),"")</f>
        <v/>
      </c>
      <c r="U260" s="70">
        <f>IF($S260="","",IF(ISNUMBER($H260),$H260,0))</f>
        <v/>
      </c>
      <c r="V260" s="70">
        <f>IF($S260="","",IF(ISNUMBER($I260),$I260,$U260))</f>
        <v/>
      </c>
      <c r="W260" s="70">
        <f>IF($S260="","",IF(ISNUMBER($J260),$J260,$V260))</f>
        <v/>
      </c>
      <c r="X260" s="70">
        <f>IF($S260="","",IF(ISNUMBER($K260),$K260,$W260))</f>
        <v/>
      </c>
      <c r="Y260" s="70">
        <f>IF($S260="","",IF(N($T260)&gt;0,AVERAGEIFS($U$5:$U$1000,$R$5:$R$1000,ROW(),$S$5:$S$1000,"Sub"),$U260))</f>
        <v/>
      </c>
      <c r="Z260" s="70">
        <f>IF($S260="","",IF(N($T260)&gt;0,AVERAGEIFS($V$5:$V$1000,$R$5:$R$1000,ROW(),$S$5:$S$1000,"Sub"),$V260))</f>
        <v/>
      </c>
      <c r="AA260" s="70">
        <f>IF($S260="","",IF(N($T260)&gt;0,AVERAGEIFS($W$5:$W$1000,$R$5:$R$1000,ROW(),$S$5:$S$1000,"Sub"),$W260))</f>
        <v/>
      </c>
      <c r="AB260" s="70">
        <f>IF($S260="","",IF(N($T260)&gt;0,AVERAGEIFS($X$5:$X$1000,$R$5:$R$1000,ROW(),$S$5:$S$1000,"Sub"),$X260))</f>
        <v/>
      </c>
    </row>
    <row r="261">
      <c r="A261" s="61">
        <f>IF(NOT((COUNTA($B261:$K261)+COUNTA($N261))&gt;0),"",IF($S261="Macro",COUNTIFS($S$5:$S261,"Macro",$P$5:$P261,$P261),IF(N($R261)=0,"?",COUNTIFS(INDEX($S$5:$S$1000,1):INDEX($S$5:$S$1000,$R261-4),"Macro",INDEX($P$5:$P$1000,1):INDEX($P$5:$P$1000,$R261-4),INDEX($P$5:$P$1000,$R261-4))&amp;"."&amp;COUNTIFS($R$5:$R261,$R261,$S$5:$S261,"Sub"))))</f>
        <v/>
      </c>
      <c r="B261" s="62" t="n"/>
      <c r="C261" s="63" t="n"/>
      <c r="D261" s="62" t="n"/>
      <c r="E261" s="64" t="n"/>
      <c r="F261" s="64" t="n"/>
      <c r="G261" s="65" t="n"/>
      <c r="H261" s="66" t="n"/>
      <c r="I261" s="66" t="n"/>
      <c r="J261" s="66" t="n"/>
      <c r="K261" s="66" t="n"/>
      <c r="L261" s="67">
        <f>IF(NOT((COUNTA($B261:$K261)+COUNTA($N261))&gt;0),"",IF(N($T261)&gt;0,$AB261,IFERROR(LOOKUP(2,1/(H261:K261&lt;&gt;""),H261:K261),0)))</f>
        <v/>
      </c>
      <c r="M261" s="61">
        <f>IF(L261="","",IF(L261&gt;=1,"Completado",IF(L261&gt;0,"En curso","Pendiente")))</f>
        <v/>
      </c>
      <c r="N261" s="62" t="n"/>
      <c r="O261" s="68">
        <f>IF(NOT((COUNTA($B261:$K261)+COUNTA($N261))&gt;0),"",IF((IF(AND($S261="Macro",$B261=""),"Macroactividad vacía"&amp;" · ","")&amp;IF(AND($B261&lt;&gt;"",$C261&lt;&gt;""),"Escriba la subactividad en otra fila, debajo de su macroactividad"&amp;" · ","")&amp;IF(AND($S261="Sub",N($R261)=0),"Subactividad sin macroactividad arriba"&amp;" · ","")&amp;IF($D261="","Sin responsable"&amp;" · ","")&amp;IF($E261="","Sin fecha de inicio"&amp;" · ","")&amp;IF($F261="","Sin fecha límite"&amp;" · ","")&amp;IF(OR(AND($E261&lt;&gt;"",NOT(ISNUMBER($E261))),AND($F261&lt;&gt;"",NOT(ISNUMBER($F261)))),"Fecha no válida"&amp;" · ","")&amp;IF(AND(ISNUMBER($E261),ISNUMBER($F261),$E261&gt;$F261),"Inicio posterior a fecha límite"&amp;" · ","")&amp;IF(AND($S261="Macro",$G261=""),"Peso vacío"&amp;" · ","")&amp;IF(AND($S261="Macro",$G261&lt;&gt;"",OR(NOT(ISNUMBER($G261)),$G261&lt;=0,$G261&gt;1)),"Peso fuera de rango"&amp;" · ","")&amp;IF(AND($S261="Sub",$G261&lt;&gt;""),"Las subactividades no llevan peso"&amp;" · ","")&amp;IF(AND($S261="Macro",ABS(SUMIFS($G$5:$G$1000,$P$5:$P$1000,$P261,$S$5:$S$1000,"Macro")-1)&gt;0.0001),"Pesos del mes suman "&amp;TEXT(SUMIFS($G$5:$G$1000,$P$5:$P$1000,$P261,$S$5:$S$1000,"Macro"),"0%")&amp;" · ","")&amp;IF(AND(N($T261)&gt;0,COUNT($H261:$K261)&gt;0),"Con subactividades: deje vacías las semanas (se calculan solas)"&amp;" · ","")&amp;IF((COUNTIF($H261:$K261,"&gt;1")+COUNTIF($H261:$K261,"&lt;0")+COUNTA($H261:$K261)-COUNT($H261:$K261))&gt;0,"Avance fuera de rango 0-100%"&amp;" · ","")&amp;IF(OR(AND($I261&lt;&gt;"",$I261&lt;$H261),AND($J261&lt;&gt;"",$J261&lt;MAX($H261:$I261)),AND($K261&lt;&gt;"",$K261&lt;MAX($H261:$J261))),"Avance semanal decreciente"&amp;" · ","")&amp;IF(AND(ISNUMBER($F261),$F261&lt;FechaRef,N($L261)&lt;1),"Vencida"&amp;" · ","")&amp;IF(AND(ObsObligatoria="Sí",ISNUMBER($F261),$F261&lt;FechaRef,N($L261)&lt;1,$N261=""),"Vencida sin observación"&amp;" · ",""))="","✔ OK","⚠ "&amp;LEFT(IF(AND($S261="Macro",$B261=""),"Macroactividad vacía"&amp;" · ","")&amp;IF(AND($B261&lt;&gt;"",$C261&lt;&gt;""),"Escriba la subactividad en otra fila, debajo de su macroactividad"&amp;" · ","")&amp;IF(AND($S261="Sub",N($R261)=0),"Subactividad sin macroactividad arriba"&amp;" · ","")&amp;IF($D261="","Sin responsable"&amp;" · ","")&amp;IF($E261="","Sin fecha de inicio"&amp;" · ","")&amp;IF($F261="","Sin fecha límite"&amp;" · ","")&amp;IF(OR(AND($E261&lt;&gt;"",NOT(ISNUMBER($E261))),AND($F261&lt;&gt;"",NOT(ISNUMBER($F261)))),"Fecha no válida"&amp;" · ","")&amp;IF(AND(ISNUMBER($E261),ISNUMBER($F261),$E261&gt;$F261),"Inicio posterior a fecha límite"&amp;" · ","")&amp;IF(AND($S261="Macro",$G261=""),"Peso vacío"&amp;" · ","")&amp;IF(AND($S261="Macro",$G261&lt;&gt;"",OR(NOT(ISNUMBER($G261)),$G261&lt;=0,$G261&gt;1)),"Peso fuera de rango"&amp;" · ","")&amp;IF(AND($S261="Sub",$G261&lt;&gt;""),"Las subactividades no llevan peso"&amp;" · ","")&amp;IF(AND($S261="Macro",ABS(SUMIFS($G$5:$G$1000,$P$5:$P$1000,$P261,$S$5:$S$1000,"Macro")-1)&gt;0.0001),"Pesos del mes suman "&amp;TEXT(SUMIFS($G$5:$G$1000,$P$5:$P$1000,$P261,$S$5:$S$1000,"Macro"),"0%")&amp;" · ","")&amp;IF(AND(N($T261)&gt;0,COUNT($H261:$K261)&gt;0),"Con subactividades: deje vacías las semanas (se calculan solas)"&amp;" · ","")&amp;IF((COUNTIF($H261:$K261,"&gt;1")+COUNTIF($H261:$K261,"&lt;0")+COUNTA($H261:$K261)-COUNT($H261:$K261))&gt;0,"Avance fuera de rango 0-100%"&amp;" · ","")&amp;IF(OR(AND($I261&lt;&gt;"",$I261&lt;$H261),AND($J261&lt;&gt;"",$J261&lt;MAX($H261:$I261)),AND($K261&lt;&gt;"",$K261&lt;MAX($H261:$J261))),"Avance semanal decreciente"&amp;" · ","")&amp;IF(AND(ISNUMBER($F261),$F261&lt;FechaRef,N($L261)&lt;1),"Vencida"&amp;" · ","")&amp;IF(AND(ObsObligatoria="Sí",ISNUMBER($F261),$F261&lt;FechaRef,N($L261)&lt;1,$N261=""),"Vencida sin observación"&amp;" · ",""),LEN(IF(AND($S261="Macro",$B261=""),"Macroactividad vacía"&amp;" · ","")&amp;IF(AND($B261&lt;&gt;"",$C261&lt;&gt;""),"Escriba la subactividad en otra fila, debajo de su macroactividad"&amp;" · ","")&amp;IF(AND($S261="Sub",N($R261)=0),"Subactividad sin macroactividad arriba"&amp;" · ","")&amp;IF($D261="","Sin responsable"&amp;" · ","")&amp;IF($E261="","Sin fecha de inicio"&amp;" · ","")&amp;IF($F261="","Sin fecha límite"&amp;" · ","")&amp;IF(OR(AND($E261&lt;&gt;"",NOT(ISNUMBER($E261))),AND($F261&lt;&gt;"",NOT(ISNUMBER($F261)))),"Fecha no válida"&amp;" · ","")&amp;IF(AND(ISNUMBER($E261),ISNUMBER($F261),$E261&gt;$F261),"Inicio posterior a fecha límite"&amp;" · ","")&amp;IF(AND($S261="Macro",$G261=""),"Peso vacío"&amp;" · ","")&amp;IF(AND($S261="Macro",$G261&lt;&gt;"",OR(NOT(ISNUMBER($G261)),$G261&lt;=0,$G261&gt;1)),"Peso fuera de rango"&amp;" · ","")&amp;IF(AND($S261="Sub",$G261&lt;&gt;""),"Las subactividades no llevan peso"&amp;" · ","")&amp;IF(AND($S261="Macro",ABS(SUMIFS($G$5:$G$1000,$P$5:$P$1000,$P261,$S$5:$S$1000,"Macro")-1)&gt;0.0001),"Pesos del mes suman "&amp;TEXT(SUMIFS($G$5:$G$1000,$P$5:$P$1000,$P261,$S$5:$S$1000,"Macro"),"0%")&amp;" · ","")&amp;IF(AND(N($T261)&gt;0,COUNT($H261:$K261)&gt;0),"Con subactividades: deje vacías las semanas (se calculan solas)"&amp;" · ","")&amp;IF((COUNTIF($H261:$K261,"&gt;1")+COUNTIF($H261:$K261,"&lt;0")+COUNTA($H261:$K261)-COUNT($H261:$K261))&gt;0,"Avance fuera de rango 0-100%"&amp;" · ","")&amp;IF(OR(AND($I261&lt;&gt;"",$I261&lt;$H261),AND($J261&lt;&gt;"",$J261&lt;MAX($H261:$I261)),AND($K261&lt;&gt;"",$K261&lt;MAX($H261:$J261))),"Avance semanal decreciente"&amp;" · ","")&amp;IF(AND(ISNUMBER($F261),$F261&lt;FechaRef,N($L261)&lt;1),"Vencida"&amp;" · ","")&amp;IF(AND(ObsObligatoria="Sí",ISNUMBER($F261),$F261&lt;FechaRef,N($L261)&lt;1,$N261=""),"Vencida sin observación"&amp;" · ",""))-3)))</f>
        <v/>
      </c>
      <c r="P261" s="69">
        <f>IF(NOT((COUNTA($B261:$K261)+COUNTA($N261))&gt;0),"",IF(AND($S261="Sub",N($R261)&gt;0),IF(ISNUMBER(INDEX($E$5:$E$1000,$R261-4)),DATE(YEAR(INDEX($E$5:$E$1000,$R261-4)),MONTH(INDEX($E$5:$E$1000,$R261-4)),1),IF(ISNUMBER(INDEX($F$5:$F$1000,$R261-4)),DATE(YEAR(INDEX($F$5:$F$1000,$R261-4)),MONTH(INDEX($F$5:$F$1000,$R261-4)),1),MesCiclo)),IF(ISNUMBER($E261),DATE(YEAR($E261),MONTH($E261),1),IF(ISNUMBER($F261),DATE(YEAR($F261),MONTH($F261),1),MesCiclo))))</f>
        <v/>
      </c>
      <c r="Q261" s="70">
        <f>IF(OR($P261="",$P261&lt;&gt;MesCiclo),"",COUNTIF($P$5:$P261,MesCiclo))</f>
        <v/>
      </c>
      <c r="R261" s="70">
        <f>IF($S261="","",IF($S261="Macro",ROW(),IFERROR(LOOKUP(2,1/($S$5:$S261="Macro"),ROW($S$5:$S261)),0)))</f>
        <v/>
      </c>
      <c r="S261" s="70">
        <f>IF(NOT((COUNTA($B261:$K261)+COUNTA($N261))&gt;0),"",IF($B261&lt;&gt;"","Macro",IF($C261&lt;&gt;"","Sub","Macro")))</f>
        <v/>
      </c>
      <c r="T261" s="70">
        <f>IF($S261="Macro",COUNTIFS($R$5:$R$1000,ROW(),$S$5:$S$1000,"Sub"),"")</f>
        <v/>
      </c>
      <c r="U261" s="70">
        <f>IF($S261="","",IF(ISNUMBER($H261),$H261,0))</f>
        <v/>
      </c>
      <c r="V261" s="70">
        <f>IF($S261="","",IF(ISNUMBER($I261),$I261,$U261))</f>
        <v/>
      </c>
      <c r="W261" s="70">
        <f>IF($S261="","",IF(ISNUMBER($J261),$J261,$V261))</f>
        <v/>
      </c>
      <c r="X261" s="70">
        <f>IF($S261="","",IF(ISNUMBER($K261),$K261,$W261))</f>
        <v/>
      </c>
      <c r="Y261" s="70">
        <f>IF($S261="","",IF(N($T261)&gt;0,AVERAGEIFS($U$5:$U$1000,$R$5:$R$1000,ROW(),$S$5:$S$1000,"Sub"),$U261))</f>
        <v/>
      </c>
      <c r="Z261" s="70">
        <f>IF($S261="","",IF(N($T261)&gt;0,AVERAGEIFS($V$5:$V$1000,$R$5:$R$1000,ROW(),$S$5:$S$1000,"Sub"),$V261))</f>
        <v/>
      </c>
      <c r="AA261" s="70">
        <f>IF($S261="","",IF(N($T261)&gt;0,AVERAGEIFS($W$5:$W$1000,$R$5:$R$1000,ROW(),$S$5:$S$1000,"Sub"),$W261))</f>
        <v/>
      </c>
      <c r="AB261" s="70">
        <f>IF($S261="","",IF(N($T261)&gt;0,AVERAGEIFS($X$5:$X$1000,$R$5:$R$1000,ROW(),$S$5:$S$1000,"Sub"),$X261))</f>
        <v/>
      </c>
    </row>
    <row r="262">
      <c r="A262" s="61">
        <f>IF(NOT((COUNTA($B262:$K262)+COUNTA($N262))&gt;0),"",IF($S262="Macro",COUNTIFS($S$5:$S262,"Macro",$P$5:$P262,$P262),IF(N($R262)=0,"?",COUNTIFS(INDEX($S$5:$S$1000,1):INDEX($S$5:$S$1000,$R262-4),"Macro",INDEX($P$5:$P$1000,1):INDEX($P$5:$P$1000,$R262-4),INDEX($P$5:$P$1000,$R262-4))&amp;"."&amp;COUNTIFS($R$5:$R262,$R262,$S$5:$S262,"Sub"))))</f>
        <v/>
      </c>
      <c r="B262" s="62" t="n"/>
      <c r="C262" s="63" t="n"/>
      <c r="D262" s="62" t="n"/>
      <c r="E262" s="64" t="n"/>
      <c r="F262" s="64" t="n"/>
      <c r="G262" s="65" t="n"/>
      <c r="H262" s="66" t="n"/>
      <c r="I262" s="66" t="n"/>
      <c r="J262" s="66" t="n"/>
      <c r="K262" s="66" t="n"/>
      <c r="L262" s="67">
        <f>IF(NOT((COUNTA($B262:$K262)+COUNTA($N262))&gt;0),"",IF(N($T262)&gt;0,$AB262,IFERROR(LOOKUP(2,1/(H262:K262&lt;&gt;""),H262:K262),0)))</f>
        <v/>
      </c>
      <c r="M262" s="61">
        <f>IF(L262="","",IF(L262&gt;=1,"Completado",IF(L262&gt;0,"En curso","Pendiente")))</f>
        <v/>
      </c>
      <c r="N262" s="62" t="n"/>
      <c r="O262" s="68">
        <f>IF(NOT((COUNTA($B262:$K262)+COUNTA($N262))&gt;0),"",IF((IF(AND($S262="Macro",$B262=""),"Macroactividad vacía"&amp;" · ","")&amp;IF(AND($B262&lt;&gt;"",$C262&lt;&gt;""),"Escriba la subactividad en otra fila, debajo de su macroactividad"&amp;" · ","")&amp;IF(AND($S262="Sub",N($R262)=0),"Subactividad sin macroactividad arriba"&amp;" · ","")&amp;IF($D262="","Sin responsable"&amp;" · ","")&amp;IF($E262="","Sin fecha de inicio"&amp;" · ","")&amp;IF($F262="","Sin fecha límite"&amp;" · ","")&amp;IF(OR(AND($E262&lt;&gt;"",NOT(ISNUMBER($E262))),AND($F262&lt;&gt;"",NOT(ISNUMBER($F262)))),"Fecha no válida"&amp;" · ","")&amp;IF(AND(ISNUMBER($E262),ISNUMBER($F262),$E262&gt;$F262),"Inicio posterior a fecha límite"&amp;" · ","")&amp;IF(AND($S262="Macro",$G262=""),"Peso vacío"&amp;" · ","")&amp;IF(AND($S262="Macro",$G262&lt;&gt;"",OR(NOT(ISNUMBER($G262)),$G262&lt;=0,$G262&gt;1)),"Peso fuera de rango"&amp;" · ","")&amp;IF(AND($S262="Sub",$G262&lt;&gt;""),"Las subactividades no llevan peso"&amp;" · ","")&amp;IF(AND($S262="Macro",ABS(SUMIFS($G$5:$G$1000,$P$5:$P$1000,$P262,$S$5:$S$1000,"Macro")-1)&gt;0.0001),"Pesos del mes suman "&amp;TEXT(SUMIFS($G$5:$G$1000,$P$5:$P$1000,$P262,$S$5:$S$1000,"Macro"),"0%")&amp;" · ","")&amp;IF(AND(N($T262)&gt;0,COUNT($H262:$K262)&gt;0),"Con subactividades: deje vacías las semanas (se calculan solas)"&amp;" · ","")&amp;IF((COUNTIF($H262:$K262,"&gt;1")+COUNTIF($H262:$K262,"&lt;0")+COUNTA($H262:$K262)-COUNT($H262:$K262))&gt;0,"Avance fuera de rango 0-100%"&amp;" · ","")&amp;IF(OR(AND($I262&lt;&gt;"",$I262&lt;$H262),AND($J262&lt;&gt;"",$J262&lt;MAX($H262:$I262)),AND($K262&lt;&gt;"",$K262&lt;MAX($H262:$J262))),"Avance semanal decreciente"&amp;" · ","")&amp;IF(AND(ISNUMBER($F262),$F262&lt;FechaRef,N($L262)&lt;1),"Vencida"&amp;" · ","")&amp;IF(AND(ObsObligatoria="Sí",ISNUMBER($F262),$F262&lt;FechaRef,N($L262)&lt;1,$N262=""),"Vencida sin observación"&amp;" · ",""))="","✔ OK","⚠ "&amp;LEFT(IF(AND($S262="Macro",$B262=""),"Macroactividad vacía"&amp;" · ","")&amp;IF(AND($B262&lt;&gt;"",$C262&lt;&gt;""),"Escriba la subactividad en otra fila, debajo de su macroactividad"&amp;" · ","")&amp;IF(AND($S262="Sub",N($R262)=0),"Subactividad sin macroactividad arriba"&amp;" · ","")&amp;IF($D262="","Sin responsable"&amp;" · ","")&amp;IF($E262="","Sin fecha de inicio"&amp;" · ","")&amp;IF($F262="","Sin fecha límite"&amp;" · ","")&amp;IF(OR(AND($E262&lt;&gt;"",NOT(ISNUMBER($E262))),AND($F262&lt;&gt;"",NOT(ISNUMBER($F262)))),"Fecha no válida"&amp;" · ","")&amp;IF(AND(ISNUMBER($E262),ISNUMBER($F262),$E262&gt;$F262),"Inicio posterior a fecha límite"&amp;" · ","")&amp;IF(AND($S262="Macro",$G262=""),"Peso vacío"&amp;" · ","")&amp;IF(AND($S262="Macro",$G262&lt;&gt;"",OR(NOT(ISNUMBER($G262)),$G262&lt;=0,$G262&gt;1)),"Peso fuera de rango"&amp;" · ","")&amp;IF(AND($S262="Sub",$G262&lt;&gt;""),"Las subactividades no llevan peso"&amp;" · ","")&amp;IF(AND($S262="Macro",ABS(SUMIFS($G$5:$G$1000,$P$5:$P$1000,$P262,$S$5:$S$1000,"Macro")-1)&gt;0.0001),"Pesos del mes suman "&amp;TEXT(SUMIFS($G$5:$G$1000,$P$5:$P$1000,$P262,$S$5:$S$1000,"Macro"),"0%")&amp;" · ","")&amp;IF(AND(N($T262)&gt;0,COUNT($H262:$K262)&gt;0),"Con subactividades: deje vacías las semanas (se calculan solas)"&amp;" · ","")&amp;IF((COUNTIF($H262:$K262,"&gt;1")+COUNTIF($H262:$K262,"&lt;0")+COUNTA($H262:$K262)-COUNT($H262:$K262))&gt;0,"Avance fuera de rango 0-100%"&amp;" · ","")&amp;IF(OR(AND($I262&lt;&gt;"",$I262&lt;$H262),AND($J262&lt;&gt;"",$J262&lt;MAX($H262:$I262)),AND($K262&lt;&gt;"",$K262&lt;MAX($H262:$J262))),"Avance semanal decreciente"&amp;" · ","")&amp;IF(AND(ISNUMBER($F262),$F262&lt;FechaRef,N($L262)&lt;1),"Vencida"&amp;" · ","")&amp;IF(AND(ObsObligatoria="Sí",ISNUMBER($F262),$F262&lt;FechaRef,N($L262)&lt;1,$N262=""),"Vencida sin observación"&amp;" · ",""),LEN(IF(AND($S262="Macro",$B262=""),"Macroactividad vacía"&amp;" · ","")&amp;IF(AND($B262&lt;&gt;"",$C262&lt;&gt;""),"Escriba la subactividad en otra fila, debajo de su macroactividad"&amp;" · ","")&amp;IF(AND($S262="Sub",N($R262)=0),"Subactividad sin macroactividad arriba"&amp;" · ","")&amp;IF($D262="","Sin responsable"&amp;" · ","")&amp;IF($E262="","Sin fecha de inicio"&amp;" · ","")&amp;IF($F262="","Sin fecha límite"&amp;" · ","")&amp;IF(OR(AND($E262&lt;&gt;"",NOT(ISNUMBER($E262))),AND($F262&lt;&gt;"",NOT(ISNUMBER($F262)))),"Fecha no válida"&amp;" · ","")&amp;IF(AND(ISNUMBER($E262),ISNUMBER($F262),$E262&gt;$F262),"Inicio posterior a fecha límite"&amp;" · ","")&amp;IF(AND($S262="Macro",$G262=""),"Peso vacío"&amp;" · ","")&amp;IF(AND($S262="Macro",$G262&lt;&gt;"",OR(NOT(ISNUMBER($G262)),$G262&lt;=0,$G262&gt;1)),"Peso fuera de rango"&amp;" · ","")&amp;IF(AND($S262="Sub",$G262&lt;&gt;""),"Las subactividades no llevan peso"&amp;" · ","")&amp;IF(AND($S262="Macro",ABS(SUMIFS($G$5:$G$1000,$P$5:$P$1000,$P262,$S$5:$S$1000,"Macro")-1)&gt;0.0001),"Pesos del mes suman "&amp;TEXT(SUMIFS($G$5:$G$1000,$P$5:$P$1000,$P262,$S$5:$S$1000,"Macro"),"0%")&amp;" · ","")&amp;IF(AND(N($T262)&gt;0,COUNT($H262:$K262)&gt;0),"Con subactividades: deje vacías las semanas (se calculan solas)"&amp;" · ","")&amp;IF((COUNTIF($H262:$K262,"&gt;1")+COUNTIF($H262:$K262,"&lt;0")+COUNTA($H262:$K262)-COUNT($H262:$K262))&gt;0,"Avance fuera de rango 0-100%"&amp;" · ","")&amp;IF(OR(AND($I262&lt;&gt;"",$I262&lt;$H262),AND($J262&lt;&gt;"",$J262&lt;MAX($H262:$I262)),AND($K262&lt;&gt;"",$K262&lt;MAX($H262:$J262))),"Avance semanal decreciente"&amp;" · ","")&amp;IF(AND(ISNUMBER($F262),$F262&lt;FechaRef,N($L262)&lt;1),"Vencida"&amp;" · ","")&amp;IF(AND(ObsObligatoria="Sí",ISNUMBER($F262),$F262&lt;FechaRef,N($L262)&lt;1,$N262=""),"Vencida sin observación"&amp;" · ",""))-3)))</f>
        <v/>
      </c>
      <c r="P262" s="69">
        <f>IF(NOT((COUNTA($B262:$K262)+COUNTA($N262))&gt;0),"",IF(AND($S262="Sub",N($R262)&gt;0),IF(ISNUMBER(INDEX($E$5:$E$1000,$R262-4)),DATE(YEAR(INDEX($E$5:$E$1000,$R262-4)),MONTH(INDEX($E$5:$E$1000,$R262-4)),1),IF(ISNUMBER(INDEX($F$5:$F$1000,$R262-4)),DATE(YEAR(INDEX($F$5:$F$1000,$R262-4)),MONTH(INDEX($F$5:$F$1000,$R262-4)),1),MesCiclo)),IF(ISNUMBER($E262),DATE(YEAR($E262),MONTH($E262),1),IF(ISNUMBER($F262),DATE(YEAR($F262),MONTH($F262),1),MesCiclo))))</f>
        <v/>
      </c>
      <c r="Q262" s="70">
        <f>IF(OR($P262="",$P262&lt;&gt;MesCiclo),"",COUNTIF($P$5:$P262,MesCiclo))</f>
        <v/>
      </c>
      <c r="R262" s="70">
        <f>IF($S262="","",IF($S262="Macro",ROW(),IFERROR(LOOKUP(2,1/($S$5:$S262="Macro"),ROW($S$5:$S262)),0)))</f>
        <v/>
      </c>
      <c r="S262" s="70">
        <f>IF(NOT((COUNTA($B262:$K262)+COUNTA($N262))&gt;0),"",IF($B262&lt;&gt;"","Macro",IF($C262&lt;&gt;"","Sub","Macro")))</f>
        <v/>
      </c>
      <c r="T262" s="70">
        <f>IF($S262="Macro",COUNTIFS($R$5:$R$1000,ROW(),$S$5:$S$1000,"Sub"),"")</f>
        <v/>
      </c>
      <c r="U262" s="70">
        <f>IF($S262="","",IF(ISNUMBER($H262),$H262,0))</f>
        <v/>
      </c>
      <c r="V262" s="70">
        <f>IF($S262="","",IF(ISNUMBER($I262),$I262,$U262))</f>
        <v/>
      </c>
      <c r="W262" s="70">
        <f>IF($S262="","",IF(ISNUMBER($J262),$J262,$V262))</f>
        <v/>
      </c>
      <c r="X262" s="70">
        <f>IF($S262="","",IF(ISNUMBER($K262),$K262,$W262))</f>
        <v/>
      </c>
      <c r="Y262" s="70">
        <f>IF($S262="","",IF(N($T262)&gt;0,AVERAGEIFS($U$5:$U$1000,$R$5:$R$1000,ROW(),$S$5:$S$1000,"Sub"),$U262))</f>
        <v/>
      </c>
      <c r="Z262" s="70">
        <f>IF($S262="","",IF(N($T262)&gt;0,AVERAGEIFS($V$5:$V$1000,$R$5:$R$1000,ROW(),$S$5:$S$1000,"Sub"),$V262))</f>
        <v/>
      </c>
      <c r="AA262" s="70">
        <f>IF($S262="","",IF(N($T262)&gt;0,AVERAGEIFS($W$5:$W$1000,$R$5:$R$1000,ROW(),$S$5:$S$1000,"Sub"),$W262))</f>
        <v/>
      </c>
      <c r="AB262" s="70">
        <f>IF($S262="","",IF(N($T262)&gt;0,AVERAGEIFS($X$5:$X$1000,$R$5:$R$1000,ROW(),$S$5:$S$1000,"Sub"),$X262))</f>
        <v/>
      </c>
    </row>
    <row r="263">
      <c r="A263" s="61">
        <f>IF(NOT((COUNTA($B263:$K263)+COUNTA($N263))&gt;0),"",IF($S263="Macro",COUNTIFS($S$5:$S263,"Macro",$P$5:$P263,$P263),IF(N($R263)=0,"?",COUNTIFS(INDEX($S$5:$S$1000,1):INDEX($S$5:$S$1000,$R263-4),"Macro",INDEX($P$5:$P$1000,1):INDEX($P$5:$P$1000,$R263-4),INDEX($P$5:$P$1000,$R263-4))&amp;"."&amp;COUNTIFS($R$5:$R263,$R263,$S$5:$S263,"Sub"))))</f>
        <v/>
      </c>
      <c r="B263" s="62" t="n"/>
      <c r="C263" s="63" t="n"/>
      <c r="D263" s="62" t="n"/>
      <c r="E263" s="64" t="n"/>
      <c r="F263" s="64" t="n"/>
      <c r="G263" s="65" t="n"/>
      <c r="H263" s="66" t="n"/>
      <c r="I263" s="66" t="n"/>
      <c r="J263" s="66" t="n"/>
      <c r="K263" s="66" t="n"/>
      <c r="L263" s="67">
        <f>IF(NOT((COUNTA($B263:$K263)+COUNTA($N263))&gt;0),"",IF(N($T263)&gt;0,$AB263,IFERROR(LOOKUP(2,1/(H263:K263&lt;&gt;""),H263:K263),0)))</f>
        <v/>
      </c>
      <c r="M263" s="61">
        <f>IF(L263="","",IF(L263&gt;=1,"Completado",IF(L263&gt;0,"En curso","Pendiente")))</f>
        <v/>
      </c>
      <c r="N263" s="62" t="n"/>
      <c r="O263" s="68">
        <f>IF(NOT((COUNTA($B263:$K263)+COUNTA($N263))&gt;0),"",IF((IF(AND($S263="Macro",$B263=""),"Macroactividad vacía"&amp;" · ","")&amp;IF(AND($B263&lt;&gt;"",$C263&lt;&gt;""),"Escriba la subactividad en otra fila, debajo de su macroactividad"&amp;" · ","")&amp;IF(AND($S263="Sub",N($R263)=0),"Subactividad sin macroactividad arriba"&amp;" · ","")&amp;IF($D263="","Sin responsable"&amp;" · ","")&amp;IF($E263="","Sin fecha de inicio"&amp;" · ","")&amp;IF($F263="","Sin fecha límite"&amp;" · ","")&amp;IF(OR(AND($E263&lt;&gt;"",NOT(ISNUMBER($E263))),AND($F263&lt;&gt;"",NOT(ISNUMBER($F263)))),"Fecha no válida"&amp;" · ","")&amp;IF(AND(ISNUMBER($E263),ISNUMBER($F263),$E263&gt;$F263),"Inicio posterior a fecha límite"&amp;" · ","")&amp;IF(AND($S263="Macro",$G263=""),"Peso vacío"&amp;" · ","")&amp;IF(AND($S263="Macro",$G263&lt;&gt;"",OR(NOT(ISNUMBER($G263)),$G263&lt;=0,$G263&gt;1)),"Peso fuera de rango"&amp;" · ","")&amp;IF(AND($S263="Sub",$G263&lt;&gt;""),"Las subactividades no llevan peso"&amp;" · ","")&amp;IF(AND($S263="Macro",ABS(SUMIFS($G$5:$G$1000,$P$5:$P$1000,$P263,$S$5:$S$1000,"Macro")-1)&gt;0.0001),"Pesos del mes suman "&amp;TEXT(SUMIFS($G$5:$G$1000,$P$5:$P$1000,$P263,$S$5:$S$1000,"Macro"),"0%")&amp;" · ","")&amp;IF(AND(N($T263)&gt;0,COUNT($H263:$K263)&gt;0),"Con subactividades: deje vacías las semanas (se calculan solas)"&amp;" · ","")&amp;IF((COUNTIF($H263:$K263,"&gt;1")+COUNTIF($H263:$K263,"&lt;0")+COUNTA($H263:$K263)-COUNT($H263:$K263))&gt;0,"Avance fuera de rango 0-100%"&amp;" · ","")&amp;IF(OR(AND($I263&lt;&gt;"",$I263&lt;$H263),AND($J263&lt;&gt;"",$J263&lt;MAX($H263:$I263)),AND($K263&lt;&gt;"",$K263&lt;MAX($H263:$J263))),"Avance semanal decreciente"&amp;" · ","")&amp;IF(AND(ISNUMBER($F263),$F263&lt;FechaRef,N($L263)&lt;1),"Vencida"&amp;" · ","")&amp;IF(AND(ObsObligatoria="Sí",ISNUMBER($F263),$F263&lt;FechaRef,N($L263)&lt;1,$N263=""),"Vencida sin observación"&amp;" · ",""))="","✔ OK","⚠ "&amp;LEFT(IF(AND($S263="Macro",$B263=""),"Macroactividad vacía"&amp;" · ","")&amp;IF(AND($B263&lt;&gt;"",$C263&lt;&gt;""),"Escriba la subactividad en otra fila, debajo de su macroactividad"&amp;" · ","")&amp;IF(AND($S263="Sub",N($R263)=0),"Subactividad sin macroactividad arriba"&amp;" · ","")&amp;IF($D263="","Sin responsable"&amp;" · ","")&amp;IF($E263="","Sin fecha de inicio"&amp;" · ","")&amp;IF($F263="","Sin fecha límite"&amp;" · ","")&amp;IF(OR(AND($E263&lt;&gt;"",NOT(ISNUMBER($E263))),AND($F263&lt;&gt;"",NOT(ISNUMBER($F263)))),"Fecha no válida"&amp;" · ","")&amp;IF(AND(ISNUMBER($E263),ISNUMBER($F263),$E263&gt;$F263),"Inicio posterior a fecha límite"&amp;" · ","")&amp;IF(AND($S263="Macro",$G263=""),"Peso vacío"&amp;" · ","")&amp;IF(AND($S263="Macro",$G263&lt;&gt;"",OR(NOT(ISNUMBER($G263)),$G263&lt;=0,$G263&gt;1)),"Peso fuera de rango"&amp;" · ","")&amp;IF(AND($S263="Sub",$G263&lt;&gt;""),"Las subactividades no llevan peso"&amp;" · ","")&amp;IF(AND($S263="Macro",ABS(SUMIFS($G$5:$G$1000,$P$5:$P$1000,$P263,$S$5:$S$1000,"Macro")-1)&gt;0.0001),"Pesos del mes suman "&amp;TEXT(SUMIFS($G$5:$G$1000,$P$5:$P$1000,$P263,$S$5:$S$1000,"Macro"),"0%")&amp;" · ","")&amp;IF(AND(N($T263)&gt;0,COUNT($H263:$K263)&gt;0),"Con subactividades: deje vacías las semanas (se calculan solas)"&amp;" · ","")&amp;IF((COUNTIF($H263:$K263,"&gt;1")+COUNTIF($H263:$K263,"&lt;0")+COUNTA($H263:$K263)-COUNT($H263:$K263))&gt;0,"Avance fuera de rango 0-100%"&amp;" · ","")&amp;IF(OR(AND($I263&lt;&gt;"",$I263&lt;$H263),AND($J263&lt;&gt;"",$J263&lt;MAX($H263:$I263)),AND($K263&lt;&gt;"",$K263&lt;MAX($H263:$J263))),"Avance semanal decreciente"&amp;" · ","")&amp;IF(AND(ISNUMBER($F263),$F263&lt;FechaRef,N($L263)&lt;1),"Vencida"&amp;" · ","")&amp;IF(AND(ObsObligatoria="Sí",ISNUMBER($F263),$F263&lt;FechaRef,N($L263)&lt;1,$N263=""),"Vencida sin observación"&amp;" · ",""),LEN(IF(AND($S263="Macro",$B263=""),"Macroactividad vacía"&amp;" · ","")&amp;IF(AND($B263&lt;&gt;"",$C263&lt;&gt;""),"Escriba la subactividad en otra fila, debajo de su macroactividad"&amp;" · ","")&amp;IF(AND($S263="Sub",N($R263)=0),"Subactividad sin macroactividad arriba"&amp;" · ","")&amp;IF($D263="","Sin responsable"&amp;" · ","")&amp;IF($E263="","Sin fecha de inicio"&amp;" · ","")&amp;IF($F263="","Sin fecha límite"&amp;" · ","")&amp;IF(OR(AND($E263&lt;&gt;"",NOT(ISNUMBER($E263))),AND($F263&lt;&gt;"",NOT(ISNUMBER($F263)))),"Fecha no válida"&amp;" · ","")&amp;IF(AND(ISNUMBER($E263),ISNUMBER($F263),$E263&gt;$F263),"Inicio posterior a fecha límite"&amp;" · ","")&amp;IF(AND($S263="Macro",$G263=""),"Peso vacío"&amp;" · ","")&amp;IF(AND($S263="Macro",$G263&lt;&gt;"",OR(NOT(ISNUMBER($G263)),$G263&lt;=0,$G263&gt;1)),"Peso fuera de rango"&amp;" · ","")&amp;IF(AND($S263="Sub",$G263&lt;&gt;""),"Las subactividades no llevan peso"&amp;" · ","")&amp;IF(AND($S263="Macro",ABS(SUMIFS($G$5:$G$1000,$P$5:$P$1000,$P263,$S$5:$S$1000,"Macro")-1)&gt;0.0001),"Pesos del mes suman "&amp;TEXT(SUMIFS($G$5:$G$1000,$P$5:$P$1000,$P263,$S$5:$S$1000,"Macro"),"0%")&amp;" · ","")&amp;IF(AND(N($T263)&gt;0,COUNT($H263:$K263)&gt;0),"Con subactividades: deje vacías las semanas (se calculan solas)"&amp;" · ","")&amp;IF((COUNTIF($H263:$K263,"&gt;1")+COUNTIF($H263:$K263,"&lt;0")+COUNTA($H263:$K263)-COUNT($H263:$K263))&gt;0,"Avance fuera de rango 0-100%"&amp;" · ","")&amp;IF(OR(AND($I263&lt;&gt;"",$I263&lt;$H263),AND($J263&lt;&gt;"",$J263&lt;MAX($H263:$I263)),AND($K263&lt;&gt;"",$K263&lt;MAX($H263:$J263))),"Avance semanal decreciente"&amp;" · ","")&amp;IF(AND(ISNUMBER($F263),$F263&lt;FechaRef,N($L263)&lt;1),"Vencida"&amp;" · ","")&amp;IF(AND(ObsObligatoria="Sí",ISNUMBER($F263),$F263&lt;FechaRef,N($L263)&lt;1,$N263=""),"Vencida sin observación"&amp;" · ",""))-3)))</f>
        <v/>
      </c>
      <c r="P263" s="69">
        <f>IF(NOT((COUNTA($B263:$K263)+COUNTA($N263))&gt;0),"",IF(AND($S263="Sub",N($R263)&gt;0),IF(ISNUMBER(INDEX($E$5:$E$1000,$R263-4)),DATE(YEAR(INDEX($E$5:$E$1000,$R263-4)),MONTH(INDEX($E$5:$E$1000,$R263-4)),1),IF(ISNUMBER(INDEX($F$5:$F$1000,$R263-4)),DATE(YEAR(INDEX($F$5:$F$1000,$R263-4)),MONTH(INDEX($F$5:$F$1000,$R263-4)),1),MesCiclo)),IF(ISNUMBER($E263),DATE(YEAR($E263),MONTH($E263),1),IF(ISNUMBER($F263),DATE(YEAR($F263),MONTH($F263),1),MesCiclo))))</f>
        <v/>
      </c>
      <c r="Q263" s="70">
        <f>IF(OR($P263="",$P263&lt;&gt;MesCiclo),"",COUNTIF($P$5:$P263,MesCiclo))</f>
        <v/>
      </c>
      <c r="R263" s="70">
        <f>IF($S263="","",IF($S263="Macro",ROW(),IFERROR(LOOKUP(2,1/($S$5:$S263="Macro"),ROW($S$5:$S263)),0)))</f>
        <v/>
      </c>
      <c r="S263" s="70">
        <f>IF(NOT((COUNTA($B263:$K263)+COUNTA($N263))&gt;0),"",IF($B263&lt;&gt;"","Macro",IF($C263&lt;&gt;"","Sub","Macro")))</f>
        <v/>
      </c>
      <c r="T263" s="70">
        <f>IF($S263="Macro",COUNTIFS($R$5:$R$1000,ROW(),$S$5:$S$1000,"Sub"),"")</f>
        <v/>
      </c>
      <c r="U263" s="70">
        <f>IF($S263="","",IF(ISNUMBER($H263),$H263,0))</f>
        <v/>
      </c>
      <c r="V263" s="70">
        <f>IF($S263="","",IF(ISNUMBER($I263),$I263,$U263))</f>
        <v/>
      </c>
      <c r="W263" s="70">
        <f>IF($S263="","",IF(ISNUMBER($J263),$J263,$V263))</f>
        <v/>
      </c>
      <c r="X263" s="70">
        <f>IF($S263="","",IF(ISNUMBER($K263),$K263,$W263))</f>
        <v/>
      </c>
      <c r="Y263" s="70">
        <f>IF($S263="","",IF(N($T263)&gt;0,AVERAGEIFS($U$5:$U$1000,$R$5:$R$1000,ROW(),$S$5:$S$1000,"Sub"),$U263))</f>
        <v/>
      </c>
      <c r="Z263" s="70">
        <f>IF($S263="","",IF(N($T263)&gt;0,AVERAGEIFS($V$5:$V$1000,$R$5:$R$1000,ROW(),$S$5:$S$1000,"Sub"),$V263))</f>
        <v/>
      </c>
      <c r="AA263" s="70">
        <f>IF($S263="","",IF(N($T263)&gt;0,AVERAGEIFS($W$5:$W$1000,$R$5:$R$1000,ROW(),$S$5:$S$1000,"Sub"),$W263))</f>
        <v/>
      </c>
      <c r="AB263" s="70">
        <f>IF($S263="","",IF(N($T263)&gt;0,AVERAGEIFS($X$5:$X$1000,$R$5:$R$1000,ROW(),$S$5:$S$1000,"Sub"),$X263))</f>
        <v/>
      </c>
    </row>
    <row r="264">
      <c r="A264" s="61">
        <f>IF(NOT((COUNTA($B264:$K264)+COUNTA($N264))&gt;0),"",IF($S264="Macro",COUNTIFS($S$5:$S264,"Macro",$P$5:$P264,$P264),IF(N($R264)=0,"?",COUNTIFS(INDEX($S$5:$S$1000,1):INDEX($S$5:$S$1000,$R264-4),"Macro",INDEX($P$5:$P$1000,1):INDEX($P$5:$P$1000,$R264-4),INDEX($P$5:$P$1000,$R264-4))&amp;"."&amp;COUNTIFS($R$5:$R264,$R264,$S$5:$S264,"Sub"))))</f>
        <v/>
      </c>
      <c r="B264" s="62" t="n"/>
      <c r="C264" s="63" t="n"/>
      <c r="D264" s="62" t="n"/>
      <c r="E264" s="64" t="n"/>
      <c r="F264" s="64" t="n"/>
      <c r="G264" s="65" t="n"/>
      <c r="H264" s="66" t="n"/>
      <c r="I264" s="66" t="n"/>
      <c r="J264" s="66" t="n"/>
      <c r="K264" s="66" t="n"/>
      <c r="L264" s="67">
        <f>IF(NOT((COUNTA($B264:$K264)+COUNTA($N264))&gt;0),"",IF(N($T264)&gt;0,$AB264,IFERROR(LOOKUP(2,1/(H264:K264&lt;&gt;""),H264:K264),0)))</f>
        <v/>
      </c>
      <c r="M264" s="61">
        <f>IF(L264="","",IF(L264&gt;=1,"Completado",IF(L264&gt;0,"En curso","Pendiente")))</f>
        <v/>
      </c>
      <c r="N264" s="62" t="n"/>
      <c r="O264" s="68">
        <f>IF(NOT((COUNTA($B264:$K264)+COUNTA($N264))&gt;0),"",IF((IF(AND($S264="Macro",$B264=""),"Macroactividad vacía"&amp;" · ","")&amp;IF(AND($B264&lt;&gt;"",$C264&lt;&gt;""),"Escriba la subactividad en otra fila, debajo de su macroactividad"&amp;" · ","")&amp;IF(AND($S264="Sub",N($R264)=0),"Subactividad sin macroactividad arriba"&amp;" · ","")&amp;IF($D264="","Sin responsable"&amp;" · ","")&amp;IF($E264="","Sin fecha de inicio"&amp;" · ","")&amp;IF($F264="","Sin fecha límite"&amp;" · ","")&amp;IF(OR(AND($E264&lt;&gt;"",NOT(ISNUMBER($E264))),AND($F264&lt;&gt;"",NOT(ISNUMBER($F264)))),"Fecha no válida"&amp;" · ","")&amp;IF(AND(ISNUMBER($E264),ISNUMBER($F264),$E264&gt;$F264),"Inicio posterior a fecha límite"&amp;" · ","")&amp;IF(AND($S264="Macro",$G264=""),"Peso vacío"&amp;" · ","")&amp;IF(AND($S264="Macro",$G264&lt;&gt;"",OR(NOT(ISNUMBER($G264)),$G264&lt;=0,$G264&gt;1)),"Peso fuera de rango"&amp;" · ","")&amp;IF(AND($S264="Sub",$G264&lt;&gt;""),"Las subactividades no llevan peso"&amp;" · ","")&amp;IF(AND($S264="Macro",ABS(SUMIFS($G$5:$G$1000,$P$5:$P$1000,$P264,$S$5:$S$1000,"Macro")-1)&gt;0.0001),"Pesos del mes suman "&amp;TEXT(SUMIFS($G$5:$G$1000,$P$5:$P$1000,$P264,$S$5:$S$1000,"Macro"),"0%")&amp;" · ","")&amp;IF(AND(N($T264)&gt;0,COUNT($H264:$K264)&gt;0),"Con subactividades: deje vacías las semanas (se calculan solas)"&amp;" · ","")&amp;IF((COUNTIF($H264:$K264,"&gt;1")+COUNTIF($H264:$K264,"&lt;0")+COUNTA($H264:$K264)-COUNT($H264:$K264))&gt;0,"Avance fuera de rango 0-100%"&amp;" · ","")&amp;IF(OR(AND($I264&lt;&gt;"",$I264&lt;$H264),AND($J264&lt;&gt;"",$J264&lt;MAX($H264:$I264)),AND($K264&lt;&gt;"",$K264&lt;MAX($H264:$J264))),"Avance semanal decreciente"&amp;" · ","")&amp;IF(AND(ISNUMBER($F264),$F264&lt;FechaRef,N($L264)&lt;1),"Vencida"&amp;" · ","")&amp;IF(AND(ObsObligatoria="Sí",ISNUMBER($F264),$F264&lt;FechaRef,N($L264)&lt;1,$N264=""),"Vencida sin observación"&amp;" · ",""))="","✔ OK","⚠ "&amp;LEFT(IF(AND($S264="Macro",$B264=""),"Macroactividad vacía"&amp;" · ","")&amp;IF(AND($B264&lt;&gt;"",$C264&lt;&gt;""),"Escriba la subactividad en otra fila, debajo de su macroactividad"&amp;" · ","")&amp;IF(AND($S264="Sub",N($R264)=0),"Subactividad sin macroactividad arriba"&amp;" · ","")&amp;IF($D264="","Sin responsable"&amp;" · ","")&amp;IF($E264="","Sin fecha de inicio"&amp;" · ","")&amp;IF($F264="","Sin fecha límite"&amp;" · ","")&amp;IF(OR(AND($E264&lt;&gt;"",NOT(ISNUMBER($E264))),AND($F264&lt;&gt;"",NOT(ISNUMBER($F264)))),"Fecha no válida"&amp;" · ","")&amp;IF(AND(ISNUMBER($E264),ISNUMBER($F264),$E264&gt;$F264),"Inicio posterior a fecha límite"&amp;" · ","")&amp;IF(AND($S264="Macro",$G264=""),"Peso vacío"&amp;" · ","")&amp;IF(AND($S264="Macro",$G264&lt;&gt;"",OR(NOT(ISNUMBER($G264)),$G264&lt;=0,$G264&gt;1)),"Peso fuera de rango"&amp;" · ","")&amp;IF(AND($S264="Sub",$G264&lt;&gt;""),"Las subactividades no llevan peso"&amp;" · ","")&amp;IF(AND($S264="Macro",ABS(SUMIFS($G$5:$G$1000,$P$5:$P$1000,$P264,$S$5:$S$1000,"Macro")-1)&gt;0.0001),"Pesos del mes suman "&amp;TEXT(SUMIFS($G$5:$G$1000,$P$5:$P$1000,$P264,$S$5:$S$1000,"Macro"),"0%")&amp;" · ","")&amp;IF(AND(N($T264)&gt;0,COUNT($H264:$K264)&gt;0),"Con subactividades: deje vacías las semanas (se calculan solas)"&amp;" · ","")&amp;IF((COUNTIF($H264:$K264,"&gt;1")+COUNTIF($H264:$K264,"&lt;0")+COUNTA($H264:$K264)-COUNT($H264:$K264))&gt;0,"Avance fuera de rango 0-100%"&amp;" · ","")&amp;IF(OR(AND($I264&lt;&gt;"",$I264&lt;$H264),AND($J264&lt;&gt;"",$J264&lt;MAX($H264:$I264)),AND($K264&lt;&gt;"",$K264&lt;MAX($H264:$J264))),"Avance semanal decreciente"&amp;" · ","")&amp;IF(AND(ISNUMBER($F264),$F264&lt;FechaRef,N($L264)&lt;1),"Vencida"&amp;" · ","")&amp;IF(AND(ObsObligatoria="Sí",ISNUMBER($F264),$F264&lt;FechaRef,N($L264)&lt;1,$N264=""),"Vencida sin observación"&amp;" · ",""),LEN(IF(AND($S264="Macro",$B264=""),"Macroactividad vacía"&amp;" · ","")&amp;IF(AND($B264&lt;&gt;"",$C264&lt;&gt;""),"Escriba la subactividad en otra fila, debajo de su macroactividad"&amp;" · ","")&amp;IF(AND($S264="Sub",N($R264)=0),"Subactividad sin macroactividad arriba"&amp;" · ","")&amp;IF($D264="","Sin responsable"&amp;" · ","")&amp;IF($E264="","Sin fecha de inicio"&amp;" · ","")&amp;IF($F264="","Sin fecha límite"&amp;" · ","")&amp;IF(OR(AND($E264&lt;&gt;"",NOT(ISNUMBER($E264))),AND($F264&lt;&gt;"",NOT(ISNUMBER($F264)))),"Fecha no válida"&amp;" · ","")&amp;IF(AND(ISNUMBER($E264),ISNUMBER($F264),$E264&gt;$F264),"Inicio posterior a fecha límite"&amp;" · ","")&amp;IF(AND($S264="Macro",$G264=""),"Peso vacío"&amp;" · ","")&amp;IF(AND($S264="Macro",$G264&lt;&gt;"",OR(NOT(ISNUMBER($G264)),$G264&lt;=0,$G264&gt;1)),"Peso fuera de rango"&amp;" · ","")&amp;IF(AND($S264="Sub",$G264&lt;&gt;""),"Las subactividades no llevan peso"&amp;" · ","")&amp;IF(AND($S264="Macro",ABS(SUMIFS($G$5:$G$1000,$P$5:$P$1000,$P264,$S$5:$S$1000,"Macro")-1)&gt;0.0001),"Pesos del mes suman "&amp;TEXT(SUMIFS($G$5:$G$1000,$P$5:$P$1000,$P264,$S$5:$S$1000,"Macro"),"0%")&amp;" · ","")&amp;IF(AND(N($T264)&gt;0,COUNT($H264:$K264)&gt;0),"Con subactividades: deje vacías las semanas (se calculan solas)"&amp;" · ","")&amp;IF((COUNTIF($H264:$K264,"&gt;1")+COUNTIF($H264:$K264,"&lt;0")+COUNTA($H264:$K264)-COUNT($H264:$K264))&gt;0,"Avance fuera de rango 0-100%"&amp;" · ","")&amp;IF(OR(AND($I264&lt;&gt;"",$I264&lt;$H264),AND($J264&lt;&gt;"",$J264&lt;MAX($H264:$I264)),AND($K264&lt;&gt;"",$K264&lt;MAX($H264:$J264))),"Avance semanal decreciente"&amp;" · ","")&amp;IF(AND(ISNUMBER($F264),$F264&lt;FechaRef,N($L264)&lt;1),"Vencida"&amp;" · ","")&amp;IF(AND(ObsObligatoria="Sí",ISNUMBER($F264),$F264&lt;FechaRef,N($L264)&lt;1,$N264=""),"Vencida sin observación"&amp;" · ",""))-3)))</f>
        <v/>
      </c>
      <c r="P264" s="69">
        <f>IF(NOT((COUNTA($B264:$K264)+COUNTA($N264))&gt;0),"",IF(AND($S264="Sub",N($R264)&gt;0),IF(ISNUMBER(INDEX($E$5:$E$1000,$R264-4)),DATE(YEAR(INDEX($E$5:$E$1000,$R264-4)),MONTH(INDEX($E$5:$E$1000,$R264-4)),1),IF(ISNUMBER(INDEX($F$5:$F$1000,$R264-4)),DATE(YEAR(INDEX($F$5:$F$1000,$R264-4)),MONTH(INDEX($F$5:$F$1000,$R264-4)),1),MesCiclo)),IF(ISNUMBER($E264),DATE(YEAR($E264),MONTH($E264),1),IF(ISNUMBER($F264),DATE(YEAR($F264),MONTH($F264),1),MesCiclo))))</f>
        <v/>
      </c>
      <c r="Q264" s="70">
        <f>IF(OR($P264="",$P264&lt;&gt;MesCiclo),"",COUNTIF($P$5:$P264,MesCiclo))</f>
        <v/>
      </c>
      <c r="R264" s="70">
        <f>IF($S264="","",IF($S264="Macro",ROW(),IFERROR(LOOKUP(2,1/($S$5:$S264="Macro"),ROW($S$5:$S264)),0)))</f>
        <v/>
      </c>
      <c r="S264" s="70">
        <f>IF(NOT((COUNTA($B264:$K264)+COUNTA($N264))&gt;0),"",IF($B264&lt;&gt;"","Macro",IF($C264&lt;&gt;"","Sub","Macro")))</f>
        <v/>
      </c>
      <c r="T264" s="70">
        <f>IF($S264="Macro",COUNTIFS($R$5:$R$1000,ROW(),$S$5:$S$1000,"Sub"),"")</f>
        <v/>
      </c>
      <c r="U264" s="70">
        <f>IF($S264="","",IF(ISNUMBER($H264),$H264,0))</f>
        <v/>
      </c>
      <c r="V264" s="70">
        <f>IF($S264="","",IF(ISNUMBER($I264),$I264,$U264))</f>
        <v/>
      </c>
      <c r="W264" s="70">
        <f>IF($S264="","",IF(ISNUMBER($J264),$J264,$V264))</f>
        <v/>
      </c>
      <c r="X264" s="70">
        <f>IF($S264="","",IF(ISNUMBER($K264),$K264,$W264))</f>
        <v/>
      </c>
      <c r="Y264" s="70">
        <f>IF($S264="","",IF(N($T264)&gt;0,AVERAGEIFS($U$5:$U$1000,$R$5:$R$1000,ROW(),$S$5:$S$1000,"Sub"),$U264))</f>
        <v/>
      </c>
      <c r="Z264" s="70">
        <f>IF($S264="","",IF(N($T264)&gt;0,AVERAGEIFS($V$5:$V$1000,$R$5:$R$1000,ROW(),$S$5:$S$1000,"Sub"),$V264))</f>
        <v/>
      </c>
      <c r="AA264" s="70">
        <f>IF($S264="","",IF(N($T264)&gt;0,AVERAGEIFS($W$5:$W$1000,$R$5:$R$1000,ROW(),$S$5:$S$1000,"Sub"),$W264))</f>
        <v/>
      </c>
      <c r="AB264" s="70">
        <f>IF($S264="","",IF(N($T264)&gt;0,AVERAGEIFS($X$5:$X$1000,$R$5:$R$1000,ROW(),$S$5:$S$1000,"Sub"),$X264))</f>
        <v/>
      </c>
    </row>
    <row r="265">
      <c r="A265" s="61">
        <f>IF(NOT((COUNTA($B265:$K265)+COUNTA($N265))&gt;0),"",IF($S265="Macro",COUNTIFS($S$5:$S265,"Macro",$P$5:$P265,$P265),IF(N($R265)=0,"?",COUNTIFS(INDEX($S$5:$S$1000,1):INDEX($S$5:$S$1000,$R265-4),"Macro",INDEX($P$5:$P$1000,1):INDEX($P$5:$P$1000,$R265-4),INDEX($P$5:$P$1000,$R265-4))&amp;"."&amp;COUNTIFS($R$5:$R265,$R265,$S$5:$S265,"Sub"))))</f>
        <v/>
      </c>
      <c r="B265" s="62" t="n"/>
      <c r="C265" s="63" t="n"/>
      <c r="D265" s="62" t="n"/>
      <c r="E265" s="64" t="n"/>
      <c r="F265" s="64" t="n"/>
      <c r="G265" s="65" t="n"/>
      <c r="H265" s="66" t="n"/>
      <c r="I265" s="66" t="n"/>
      <c r="J265" s="66" t="n"/>
      <c r="K265" s="66" t="n"/>
      <c r="L265" s="67">
        <f>IF(NOT((COUNTA($B265:$K265)+COUNTA($N265))&gt;0),"",IF(N($T265)&gt;0,$AB265,IFERROR(LOOKUP(2,1/(H265:K265&lt;&gt;""),H265:K265),0)))</f>
        <v/>
      </c>
      <c r="M265" s="61">
        <f>IF(L265="","",IF(L265&gt;=1,"Completado",IF(L265&gt;0,"En curso","Pendiente")))</f>
        <v/>
      </c>
      <c r="N265" s="62" t="n"/>
      <c r="O265" s="68">
        <f>IF(NOT((COUNTA($B265:$K265)+COUNTA($N265))&gt;0),"",IF((IF(AND($S265="Macro",$B265=""),"Macroactividad vacía"&amp;" · ","")&amp;IF(AND($B265&lt;&gt;"",$C265&lt;&gt;""),"Escriba la subactividad en otra fila, debajo de su macroactividad"&amp;" · ","")&amp;IF(AND($S265="Sub",N($R265)=0),"Subactividad sin macroactividad arriba"&amp;" · ","")&amp;IF($D265="","Sin responsable"&amp;" · ","")&amp;IF($E265="","Sin fecha de inicio"&amp;" · ","")&amp;IF($F265="","Sin fecha límite"&amp;" · ","")&amp;IF(OR(AND($E265&lt;&gt;"",NOT(ISNUMBER($E265))),AND($F265&lt;&gt;"",NOT(ISNUMBER($F265)))),"Fecha no válida"&amp;" · ","")&amp;IF(AND(ISNUMBER($E265),ISNUMBER($F265),$E265&gt;$F265),"Inicio posterior a fecha límite"&amp;" · ","")&amp;IF(AND($S265="Macro",$G265=""),"Peso vacío"&amp;" · ","")&amp;IF(AND($S265="Macro",$G265&lt;&gt;"",OR(NOT(ISNUMBER($G265)),$G265&lt;=0,$G265&gt;1)),"Peso fuera de rango"&amp;" · ","")&amp;IF(AND($S265="Sub",$G265&lt;&gt;""),"Las subactividades no llevan peso"&amp;" · ","")&amp;IF(AND($S265="Macro",ABS(SUMIFS($G$5:$G$1000,$P$5:$P$1000,$P265,$S$5:$S$1000,"Macro")-1)&gt;0.0001),"Pesos del mes suman "&amp;TEXT(SUMIFS($G$5:$G$1000,$P$5:$P$1000,$P265,$S$5:$S$1000,"Macro"),"0%")&amp;" · ","")&amp;IF(AND(N($T265)&gt;0,COUNT($H265:$K265)&gt;0),"Con subactividades: deje vacías las semanas (se calculan solas)"&amp;" · ","")&amp;IF((COUNTIF($H265:$K265,"&gt;1")+COUNTIF($H265:$K265,"&lt;0")+COUNTA($H265:$K265)-COUNT($H265:$K265))&gt;0,"Avance fuera de rango 0-100%"&amp;" · ","")&amp;IF(OR(AND($I265&lt;&gt;"",$I265&lt;$H265),AND($J265&lt;&gt;"",$J265&lt;MAX($H265:$I265)),AND($K265&lt;&gt;"",$K265&lt;MAX($H265:$J265))),"Avance semanal decreciente"&amp;" · ","")&amp;IF(AND(ISNUMBER($F265),$F265&lt;FechaRef,N($L265)&lt;1),"Vencida"&amp;" · ","")&amp;IF(AND(ObsObligatoria="Sí",ISNUMBER($F265),$F265&lt;FechaRef,N($L265)&lt;1,$N265=""),"Vencida sin observación"&amp;" · ",""))="","✔ OK","⚠ "&amp;LEFT(IF(AND($S265="Macro",$B265=""),"Macroactividad vacía"&amp;" · ","")&amp;IF(AND($B265&lt;&gt;"",$C265&lt;&gt;""),"Escriba la subactividad en otra fila, debajo de su macroactividad"&amp;" · ","")&amp;IF(AND($S265="Sub",N($R265)=0),"Subactividad sin macroactividad arriba"&amp;" · ","")&amp;IF($D265="","Sin responsable"&amp;" · ","")&amp;IF($E265="","Sin fecha de inicio"&amp;" · ","")&amp;IF($F265="","Sin fecha límite"&amp;" · ","")&amp;IF(OR(AND($E265&lt;&gt;"",NOT(ISNUMBER($E265))),AND($F265&lt;&gt;"",NOT(ISNUMBER($F265)))),"Fecha no válida"&amp;" · ","")&amp;IF(AND(ISNUMBER($E265),ISNUMBER($F265),$E265&gt;$F265),"Inicio posterior a fecha límite"&amp;" · ","")&amp;IF(AND($S265="Macro",$G265=""),"Peso vacío"&amp;" · ","")&amp;IF(AND($S265="Macro",$G265&lt;&gt;"",OR(NOT(ISNUMBER($G265)),$G265&lt;=0,$G265&gt;1)),"Peso fuera de rango"&amp;" · ","")&amp;IF(AND($S265="Sub",$G265&lt;&gt;""),"Las subactividades no llevan peso"&amp;" · ","")&amp;IF(AND($S265="Macro",ABS(SUMIFS($G$5:$G$1000,$P$5:$P$1000,$P265,$S$5:$S$1000,"Macro")-1)&gt;0.0001),"Pesos del mes suman "&amp;TEXT(SUMIFS($G$5:$G$1000,$P$5:$P$1000,$P265,$S$5:$S$1000,"Macro"),"0%")&amp;" · ","")&amp;IF(AND(N($T265)&gt;0,COUNT($H265:$K265)&gt;0),"Con subactividades: deje vacías las semanas (se calculan solas)"&amp;" · ","")&amp;IF((COUNTIF($H265:$K265,"&gt;1")+COUNTIF($H265:$K265,"&lt;0")+COUNTA($H265:$K265)-COUNT($H265:$K265))&gt;0,"Avance fuera de rango 0-100%"&amp;" · ","")&amp;IF(OR(AND($I265&lt;&gt;"",$I265&lt;$H265),AND($J265&lt;&gt;"",$J265&lt;MAX($H265:$I265)),AND($K265&lt;&gt;"",$K265&lt;MAX($H265:$J265))),"Avance semanal decreciente"&amp;" · ","")&amp;IF(AND(ISNUMBER($F265),$F265&lt;FechaRef,N($L265)&lt;1),"Vencida"&amp;" · ","")&amp;IF(AND(ObsObligatoria="Sí",ISNUMBER($F265),$F265&lt;FechaRef,N($L265)&lt;1,$N265=""),"Vencida sin observación"&amp;" · ",""),LEN(IF(AND($S265="Macro",$B265=""),"Macroactividad vacía"&amp;" · ","")&amp;IF(AND($B265&lt;&gt;"",$C265&lt;&gt;""),"Escriba la subactividad en otra fila, debajo de su macroactividad"&amp;" · ","")&amp;IF(AND($S265="Sub",N($R265)=0),"Subactividad sin macroactividad arriba"&amp;" · ","")&amp;IF($D265="","Sin responsable"&amp;" · ","")&amp;IF($E265="","Sin fecha de inicio"&amp;" · ","")&amp;IF($F265="","Sin fecha límite"&amp;" · ","")&amp;IF(OR(AND($E265&lt;&gt;"",NOT(ISNUMBER($E265))),AND($F265&lt;&gt;"",NOT(ISNUMBER($F265)))),"Fecha no válida"&amp;" · ","")&amp;IF(AND(ISNUMBER($E265),ISNUMBER($F265),$E265&gt;$F265),"Inicio posterior a fecha límite"&amp;" · ","")&amp;IF(AND($S265="Macro",$G265=""),"Peso vacío"&amp;" · ","")&amp;IF(AND($S265="Macro",$G265&lt;&gt;"",OR(NOT(ISNUMBER($G265)),$G265&lt;=0,$G265&gt;1)),"Peso fuera de rango"&amp;" · ","")&amp;IF(AND($S265="Sub",$G265&lt;&gt;""),"Las subactividades no llevan peso"&amp;" · ","")&amp;IF(AND($S265="Macro",ABS(SUMIFS($G$5:$G$1000,$P$5:$P$1000,$P265,$S$5:$S$1000,"Macro")-1)&gt;0.0001),"Pesos del mes suman "&amp;TEXT(SUMIFS($G$5:$G$1000,$P$5:$P$1000,$P265,$S$5:$S$1000,"Macro"),"0%")&amp;" · ","")&amp;IF(AND(N($T265)&gt;0,COUNT($H265:$K265)&gt;0),"Con subactividades: deje vacías las semanas (se calculan solas)"&amp;" · ","")&amp;IF((COUNTIF($H265:$K265,"&gt;1")+COUNTIF($H265:$K265,"&lt;0")+COUNTA($H265:$K265)-COUNT($H265:$K265))&gt;0,"Avance fuera de rango 0-100%"&amp;" · ","")&amp;IF(OR(AND($I265&lt;&gt;"",$I265&lt;$H265),AND($J265&lt;&gt;"",$J265&lt;MAX($H265:$I265)),AND($K265&lt;&gt;"",$K265&lt;MAX($H265:$J265))),"Avance semanal decreciente"&amp;" · ","")&amp;IF(AND(ISNUMBER($F265),$F265&lt;FechaRef,N($L265)&lt;1),"Vencida"&amp;" · ","")&amp;IF(AND(ObsObligatoria="Sí",ISNUMBER($F265),$F265&lt;FechaRef,N($L265)&lt;1,$N265=""),"Vencida sin observación"&amp;" · ",""))-3)))</f>
        <v/>
      </c>
      <c r="P265" s="69">
        <f>IF(NOT((COUNTA($B265:$K265)+COUNTA($N265))&gt;0),"",IF(AND($S265="Sub",N($R265)&gt;0),IF(ISNUMBER(INDEX($E$5:$E$1000,$R265-4)),DATE(YEAR(INDEX($E$5:$E$1000,$R265-4)),MONTH(INDEX($E$5:$E$1000,$R265-4)),1),IF(ISNUMBER(INDEX($F$5:$F$1000,$R265-4)),DATE(YEAR(INDEX($F$5:$F$1000,$R265-4)),MONTH(INDEX($F$5:$F$1000,$R265-4)),1),MesCiclo)),IF(ISNUMBER($E265),DATE(YEAR($E265),MONTH($E265),1),IF(ISNUMBER($F265),DATE(YEAR($F265),MONTH($F265),1),MesCiclo))))</f>
        <v/>
      </c>
      <c r="Q265" s="70">
        <f>IF(OR($P265="",$P265&lt;&gt;MesCiclo),"",COUNTIF($P$5:$P265,MesCiclo))</f>
        <v/>
      </c>
      <c r="R265" s="70">
        <f>IF($S265="","",IF($S265="Macro",ROW(),IFERROR(LOOKUP(2,1/($S$5:$S265="Macro"),ROW($S$5:$S265)),0)))</f>
        <v/>
      </c>
      <c r="S265" s="70">
        <f>IF(NOT((COUNTA($B265:$K265)+COUNTA($N265))&gt;0),"",IF($B265&lt;&gt;"","Macro",IF($C265&lt;&gt;"","Sub","Macro")))</f>
        <v/>
      </c>
      <c r="T265" s="70">
        <f>IF($S265="Macro",COUNTIFS($R$5:$R$1000,ROW(),$S$5:$S$1000,"Sub"),"")</f>
        <v/>
      </c>
      <c r="U265" s="70">
        <f>IF($S265="","",IF(ISNUMBER($H265),$H265,0))</f>
        <v/>
      </c>
      <c r="V265" s="70">
        <f>IF($S265="","",IF(ISNUMBER($I265),$I265,$U265))</f>
        <v/>
      </c>
      <c r="W265" s="70">
        <f>IF($S265="","",IF(ISNUMBER($J265),$J265,$V265))</f>
        <v/>
      </c>
      <c r="X265" s="70">
        <f>IF($S265="","",IF(ISNUMBER($K265),$K265,$W265))</f>
        <v/>
      </c>
      <c r="Y265" s="70">
        <f>IF($S265="","",IF(N($T265)&gt;0,AVERAGEIFS($U$5:$U$1000,$R$5:$R$1000,ROW(),$S$5:$S$1000,"Sub"),$U265))</f>
        <v/>
      </c>
      <c r="Z265" s="70">
        <f>IF($S265="","",IF(N($T265)&gt;0,AVERAGEIFS($V$5:$V$1000,$R$5:$R$1000,ROW(),$S$5:$S$1000,"Sub"),$V265))</f>
        <v/>
      </c>
      <c r="AA265" s="70">
        <f>IF($S265="","",IF(N($T265)&gt;0,AVERAGEIFS($W$5:$W$1000,$R$5:$R$1000,ROW(),$S$5:$S$1000,"Sub"),$W265))</f>
        <v/>
      </c>
      <c r="AB265" s="70">
        <f>IF($S265="","",IF(N($T265)&gt;0,AVERAGEIFS($X$5:$X$1000,$R$5:$R$1000,ROW(),$S$5:$S$1000,"Sub"),$X265))</f>
        <v/>
      </c>
    </row>
    <row r="266">
      <c r="A266" s="61">
        <f>IF(NOT((COUNTA($B266:$K266)+COUNTA($N266))&gt;0),"",IF($S266="Macro",COUNTIFS($S$5:$S266,"Macro",$P$5:$P266,$P266),IF(N($R266)=0,"?",COUNTIFS(INDEX($S$5:$S$1000,1):INDEX($S$5:$S$1000,$R266-4),"Macro",INDEX($P$5:$P$1000,1):INDEX($P$5:$P$1000,$R266-4),INDEX($P$5:$P$1000,$R266-4))&amp;"."&amp;COUNTIFS($R$5:$R266,$R266,$S$5:$S266,"Sub"))))</f>
        <v/>
      </c>
      <c r="B266" s="62" t="n"/>
      <c r="C266" s="63" t="n"/>
      <c r="D266" s="62" t="n"/>
      <c r="E266" s="64" t="n"/>
      <c r="F266" s="64" t="n"/>
      <c r="G266" s="65" t="n"/>
      <c r="H266" s="66" t="n"/>
      <c r="I266" s="66" t="n"/>
      <c r="J266" s="66" t="n"/>
      <c r="K266" s="66" t="n"/>
      <c r="L266" s="67">
        <f>IF(NOT((COUNTA($B266:$K266)+COUNTA($N266))&gt;0),"",IF(N($T266)&gt;0,$AB266,IFERROR(LOOKUP(2,1/(H266:K266&lt;&gt;""),H266:K266),0)))</f>
        <v/>
      </c>
      <c r="M266" s="61">
        <f>IF(L266="","",IF(L266&gt;=1,"Completado",IF(L266&gt;0,"En curso","Pendiente")))</f>
        <v/>
      </c>
      <c r="N266" s="62" t="n"/>
      <c r="O266" s="68">
        <f>IF(NOT((COUNTA($B266:$K266)+COUNTA($N266))&gt;0),"",IF((IF(AND($S266="Macro",$B266=""),"Macroactividad vacía"&amp;" · ","")&amp;IF(AND($B266&lt;&gt;"",$C266&lt;&gt;""),"Escriba la subactividad en otra fila, debajo de su macroactividad"&amp;" · ","")&amp;IF(AND($S266="Sub",N($R266)=0),"Subactividad sin macroactividad arriba"&amp;" · ","")&amp;IF($D266="","Sin responsable"&amp;" · ","")&amp;IF($E266="","Sin fecha de inicio"&amp;" · ","")&amp;IF($F266="","Sin fecha límite"&amp;" · ","")&amp;IF(OR(AND($E266&lt;&gt;"",NOT(ISNUMBER($E266))),AND($F266&lt;&gt;"",NOT(ISNUMBER($F266)))),"Fecha no válida"&amp;" · ","")&amp;IF(AND(ISNUMBER($E266),ISNUMBER($F266),$E266&gt;$F266),"Inicio posterior a fecha límite"&amp;" · ","")&amp;IF(AND($S266="Macro",$G266=""),"Peso vacío"&amp;" · ","")&amp;IF(AND($S266="Macro",$G266&lt;&gt;"",OR(NOT(ISNUMBER($G266)),$G266&lt;=0,$G266&gt;1)),"Peso fuera de rango"&amp;" · ","")&amp;IF(AND($S266="Sub",$G266&lt;&gt;""),"Las subactividades no llevan peso"&amp;" · ","")&amp;IF(AND($S266="Macro",ABS(SUMIFS($G$5:$G$1000,$P$5:$P$1000,$P266,$S$5:$S$1000,"Macro")-1)&gt;0.0001),"Pesos del mes suman "&amp;TEXT(SUMIFS($G$5:$G$1000,$P$5:$P$1000,$P266,$S$5:$S$1000,"Macro"),"0%")&amp;" · ","")&amp;IF(AND(N($T266)&gt;0,COUNT($H266:$K266)&gt;0),"Con subactividades: deje vacías las semanas (se calculan solas)"&amp;" · ","")&amp;IF((COUNTIF($H266:$K266,"&gt;1")+COUNTIF($H266:$K266,"&lt;0")+COUNTA($H266:$K266)-COUNT($H266:$K266))&gt;0,"Avance fuera de rango 0-100%"&amp;" · ","")&amp;IF(OR(AND($I266&lt;&gt;"",$I266&lt;$H266),AND($J266&lt;&gt;"",$J266&lt;MAX($H266:$I266)),AND($K266&lt;&gt;"",$K266&lt;MAX($H266:$J266))),"Avance semanal decreciente"&amp;" · ","")&amp;IF(AND(ISNUMBER($F266),$F266&lt;FechaRef,N($L266)&lt;1),"Vencida"&amp;" · ","")&amp;IF(AND(ObsObligatoria="Sí",ISNUMBER($F266),$F266&lt;FechaRef,N($L266)&lt;1,$N266=""),"Vencida sin observación"&amp;" · ",""))="","✔ OK","⚠ "&amp;LEFT(IF(AND($S266="Macro",$B266=""),"Macroactividad vacía"&amp;" · ","")&amp;IF(AND($B266&lt;&gt;"",$C266&lt;&gt;""),"Escriba la subactividad en otra fila, debajo de su macroactividad"&amp;" · ","")&amp;IF(AND($S266="Sub",N($R266)=0),"Subactividad sin macroactividad arriba"&amp;" · ","")&amp;IF($D266="","Sin responsable"&amp;" · ","")&amp;IF($E266="","Sin fecha de inicio"&amp;" · ","")&amp;IF($F266="","Sin fecha límite"&amp;" · ","")&amp;IF(OR(AND($E266&lt;&gt;"",NOT(ISNUMBER($E266))),AND($F266&lt;&gt;"",NOT(ISNUMBER($F266)))),"Fecha no válida"&amp;" · ","")&amp;IF(AND(ISNUMBER($E266),ISNUMBER($F266),$E266&gt;$F266),"Inicio posterior a fecha límite"&amp;" · ","")&amp;IF(AND($S266="Macro",$G266=""),"Peso vacío"&amp;" · ","")&amp;IF(AND($S266="Macro",$G266&lt;&gt;"",OR(NOT(ISNUMBER($G266)),$G266&lt;=0,$G266&gt;1)),"Peso fuera de rango"&amp;" · ","")&amp;IF(AND($S266="Sub",$G266&lt;&gt;""),"Las subactividades no llevan peso"&amp;" · ","")&amp;IF(AND($S266="Macro",ABS(SUMIFS($G$5:$G$1000,$P$5:$P$1000,$P266,$S$5:$S$1000,"Macro")-1)&gt;0.0001),"Pesos del mes suman "&amp;TEXT(SUMIFS($G$5:$G$1000,$P$5:$P$1000,$P266,$S$5:$S$1000,"Macro"),"0%")&amp;" · ","")&amp;IF(AND(N($T266)&gt;0,COUNT($H266:$K266)&gt;0),"Con subactividades: deje vacías las semanas (se calculan solas)"&amp;" · ","")&amp;IF((COUNTIF($H266:$K266,"&gt;1")+COUNTIF($H266:$K266,"&lt;0")+COUNTA($H266:$K266)-COUNT($H266:$K266))&gt;0,"Avance fuera de rango 0-100%"&amp;" · ","")&amp;IF(OR(AND($I266&lt;&gt;"",$I266&lt;$H266),AND($J266&lt;&gt;"",$J266&lt;MAX($H266:$I266)),AND($K266&lt;&gt;"",$K266&lt;MAX($H266:$J266))),"Avance semanal decreciente"&amp;" · ","")&amp;IF(AND(ISNUMBER($F266),$F266&lt;FechaRef,N($L266)&lt;1),"Vencida"&amp;" · ","")&amp;IF(AND(ObsObligatoria="Sí",ISNUMBER($F266),$F266&lt;FechaRef,N($L266)&lt;1,$N266=""),"Vencida sin observación"&amp;" · ",""),LEN(IF(AND($S266="Macro",$B266=""),"Macroactividad vacía"&amp;" · ","")&amp;IF(AND($B266&lt;&gt;"",$C266&lt;&gt;""),"Escriba la subactividad en otra fila, debajo de su macroactividad"&amp;" · ","")&amp;IF(AND($S266="Sub",N($R266)=0),"Subactividad sin macroactividad arriba"&amp;" · ","")&amp;IF($D266="","Sin responsable"&amp;" · ","")&amp;IF($E266="","Sin fecha de inicio"&amp;" · ","")&amp;IF($F266="","Sin fecha límite"&amp;" · ","")&amp;IF(OR(AND($E266&lt;&gt;"",NOT(ISNUMBER($E266))),AND($F266&lt;&gt;"",NOT(ISNUMBER($F266)))),"Fecha no válida"&amp;" · ","")&amp;IF(AND(ISNUMBER($E266),ISNUMBER($F266),$E266&gt;$F266),"Inicio posterior a fecha límite"&amp;" · ","")&amp;IF(AND($S266="Macro",$G266=""),"Peso vacío"&amp;" · ","")&amp;IF(AND($S266="Macro",$G266&lt;&gt;"",OR(NOT(ISNUMBER($G266)),$G266&lt;=0,$G266&gt;1)),"Peso fuera de rango"&amp;" · ","")&amp;IF(AND($S266="Sub",$G266&lt;&gt;""),"Las subactividades no llevan peso"&amp;" · ","")&amp;IF(AND($S266="Macro",ABS(SUMIFS($G$5:$G$1000,$P$5:$P$1000,$P266,$S$5:$S$1000,"Macro")-1)&gt;0.0001),"Pesos del mes suman "&amp;TEXT(SUMIFS($G$5:$G$1000,$P$5:$P$1000,$P266,$S$5:$S$1000,"Macro"),"0%")&amp;" · ","")&amp;IF(AND(N($T266)&gt;0,COUNT($H266:$K266)&gt;0),"Con subactividades: deje vacías las semanas (se calculan solas)"&amp;" · ","")&amp;IF((COUNTIF($H266:$K266,"&gt;1")+COUNTIF($H266:$K266,"&lt;0")+COUNTA($H266:$K266)-COUNT($H266:$K266))&gt;0,"Avance fuera de rango 0-100%"&amp;" · ","")&amp;IF(OR(AND($I266&lt;&gt;"",$I266&lt;$H266),AND($J266&lt;&gt;"",$J266&lt;MAX($H266:$I266)),AND($K266&lt;&gt;"",$K266&lt;MAX($H266:$J266))),"Avance semanal decreciente"&amp;" · ","")&amp;IF(AND(ISNUMBER($F266),$F266&lt;FechaRef,N($L266)&lt;1),"Vencida"&amp;" · ","")&amp;IF(AND(ObsObligatoria="Sí",ISNUMBER($F266),$F266&lt;FechaRef,N($L266)&lt;1,$N266=""),"Vencida sin observación"&amp;" · ",""))-3)))</f>
        <v/>
      </c>
      <c r="P266" s="69">
        <f>IF(NOT((COUNTA($B266:$K266)+COUNTA($N266))&gt;0),"",IF(AND($S266="Sub",N($R266)&gt;0),IF(ISNUMBER(INDEX($E$5:$E$1000,$R266-4)),DATE(YEAR(INDEX($E$5:$E$1000,$R266-4)),MONTH(INDEX($E$5:$E$1000,$R266-4)),1),IF(ISNUMBER(INDEX($F$5:$F$1000,$R266-4)),DATE(YEAR(INDEX($F$5:$F$1000,$R266-4)),MONTH(INDEX($F$5:$F$1000,$R266-4)),1),MesCiclo)),IF(ISNUMBER($E266),DATE(YEAR($E266),MONTH($E266),1),IF(ISNUMBER($F266),DATE(YEAR($F266),MONTH($F266),1),MesCiclo))))</f>
        <v/>
      </c>
      <c r="Q266" s="70">
        <f>IF(OR($P266="",$P266&lt;&gt;MesCiclo),"",COUNTIF($P$5:$P266,MesCiclo))</f>
        <v/>
      </c>
      <c r="R266" s="70">
        <f>IF($S266="","",IF($S266="Macro",ROW(),IFERROR(LOOKUP(2,1/($S$5:$S266="Macro"),ROW($S$5:$S266)),0)))</f>
        <v/>
      </c>
      <c r="S266" s="70">
        <f>IF(NOT((COUNTA($B266:$K266)+COUNTA($N266))&gt;0),"",IF($B266&lt;&gt;"","Macro",IF($C266&lt;&gt;"","Sub","Macro")))</f>
        <v/>
      </c>
      <c r="T266" s="70">
        <f>IF($S266="Macro",COUNTIFS($R$5:$R$1000,ROW(),$S$5:$S$1000,"Sub"),"")</f>
        <v/>
      </c>
      <c r="U266" s="70">
        <f>IF($S266="","",IF(ISNUMBER($H266),$H266,0))</f>
        <v/>
      </c>
      <c r="V266" s="70">
        <f>IF($S266="","",IF(ISNUMBER($I266),$I266,$U266))</f>
        <v/>
      </c>
      <c r="W266" s="70">
        <f>IF($S266="","",IF(ISNUMBER($J266),$J266,$V266))</f>
        <v/>
      </c>
      <c r="X266" s="70">
        <f>IF($S266="","",IF(ISNUMBER($K266),$K266,$W266))</f>
        <v/>
      </c>
      <c r="Y266" s="70">
        <f>IF($S266="","",IF(N($T266)&gt;0,AVERAGEIFS($U$5:$U$1000,$R$5:$R$1000,ROW(),$S$5:$S$1000,"Sub"),$U266))</f>
        <v/>
      </c>
      <c r="Z266" s="70">
        <f>IF($S266="","",IF(N($T266)&gt;0,AVERAGEIFS($V$5:$V$1000,$R$5:$R$1000,ROW(),$S$5:$S$1000,"Sub"),$V266))</f>
        <v/>
      </c>
      <c r="AA266" s="70">
        <f>IF($S266="","",IF(N($T266)&gt;0,AVERAGEIFS($W$5:$W$1000,$R$5:$R$1000,ROW(),$S$5:$S$1000,"Sub"),$W266))</f>
        <v/>
      </c>
      <c r="AB266" s="70">
        <f>IF($S266="","",IF(N($T266)&gt;0,AVERAGEIFS($X$5:$X$1000,$R$5:$R$1000,ROW(),$S$5:$S$1000,"Sub"),$X266))</f>
        <v/>
      </c>
    </row>
    <row r="267">
      <c r="A267" s="61">
        <f>IF(NOT((COUNTA($B267:$K267)+COUNTA($N267))&gt;0),"",IF($S267="Macro",COUNTIFS($S$5:$S267,"Macro",$P$5:$P267,$P267),IF(N($R267)=0,"?",COUNTIFS(INDEX($S$5:$S$1000,1):INDEX($S$5:$S$1000,$R267-4),"Macro",INDEX($P$5:$P$1000,1):INDEX($P$5:$P$1000,$R267-4),INDEX($P$5:$P$1000,$R267-4))&amp;"."&amp;COUNTIFS($R$5:$R267,$R267,$S$5:$S267,"Sub"))))</f>
        <v/>
      </c>
      <c r="B267" s="62" t="n"/>
      <c r="C267" s="63" t="n"/>
      <c r="D267" s="62" t="n"/>
      <c r="E267" s="64" t="n"/>
      <c r="F267" s="64" t="n"/>
      <c r="G267" s="65" t="n"/>
      <c r="H267" s="66" t="n"/>
      <c r="I267" s="66" t="n"/>
      <c r="J267" s="66" t="n"/>
      <c r="K267" s="66" t="n"/>
      <c r="L267" s="67">
        <f>IF(NOT((COUNTA($B267:$K267)+COUNTA($N267))&gt;0),"",IF(N($T267)&gt;0,$AB267,IFERROR(LOOKUP(2,1/(H267:K267&lt;&gt;""),H267:K267),0)))</f>
        <v/>
      </c>
      <c r="M267" s="61">
        <f>IF(L267="","",IF(L267&gt;=1,"Completado",IF(L267&gt;0,"En curso","Pendiente")))</f>
        <v/>
      </c>
      <c r="N267" s="62" t="n"/>
      <c r="O267" s="68">
        <f>IF(NOT((COUNTA($B267:$K267)+COUNTA($N267))&gt;0),"",IF((IF(AND($S267="Macro",$B267=""),"Macroactividad vacía"&amp;" · ","")&amp;IF(AND($B267&lt;&gt;"",$C267&lt;&gt;""),"Escriba la subactividad en otra fila, debajo de su macroactividad"&amp;" · ","")&amp;IF(AND($S267="Sub",N($R267)=0),"Subactividad sin macroactividad arriba"&amp;" · ","")&amp;IF($D267="","Sin responsable"&amp;" · ","")&amp;IF($E267="","Sin fecha de inicio"&amp;" · ","")&amp;IF($F267="","Sin fecha límite"&amp;" · ","")&amp;IF(OR(AND($E267&lt;&gt;"",NOT(ISNUMBER($E267))),AND($F267&lt;&gt;"",NOT(ISNUMBER($F267)))),"Fecha no válida"&amp;" · ","")&amp;IF(AND(ISNUMBER($E267),ISNUMBER($F267),$E267&gt;$F267),"Inicio posterior a fecha límite"&amp;" · ","")&amp;IF(AND($S267="Macro",$G267=""),"Peso vacío"&amp;" · ","")&amp;IF(AND($S267="Macro",$G267&lt;&gt;"",OR(NOT(ISNUMBER($G267)),$G267&lt;=0,$G267&gt;1)),"Peso fuera de rango"&amp;" · ","")&amp;IF(AND($S267="Sub",$G267&lt;&gt;""),"Las subactividades no llevan peso"&amp;" · ","")&amp;IF(AND($S267="Macro",ABS(SUMIFS($G$5:$G$1000,$P$5:$P$1000,$P267,$S$5:$S$1000,"Macro")-1)&gt;0.0001),"Pesos del mes suman "&amp;TEXT(SUMIFS($G$5:$G$1000,$P$5:$P$1000,$P267,$S$5:$S$1000,"Macro"),"0%")&amp;" · ","")&amp;IF(AND(N($T267)&gt;0,COUNT($H267:$K267)&gt;0),"Con subactividades: deje vacías las semanas (se calculan solas)"&amp;" · ","")&amp;IF((COUNTIF($H267:$K267,"&gt;1")+COUNTIF($H267:$K267,"&lt;0")+COUNTA($H267:$K267)-COUNT($H267:$K267))&gt;0,"Avance fuera de rango 0-100%"&amp;" · ","")&amp;IF(OR(AND($I267&lt;&gt;"",$I267&lt;$H267),AND($J267&lt;&gt;"",$J267&lt;MAX($H267:$I267)),AND($K267&lt;&gt;"",$K267&lt;MAX($H267:$J267))),"Avance semanal decreciente"&amp;" · ","")&amp;IF(AND(ISNUMBER($F267),$F267&lt;FechaRef,N($L267)&lt;1),"Vencida"&amp;" · ","")&amp;IF(AND(ObsObligatoria="Sí",ISNUMBER($F267),$F267&lt;FechaRef,N($L267)&lt;1,$N267=""),"Vencida sin observación"&amp;" · ",""))="","✔ OK","⚠ "&amp;LEFT(IF(AND($S267="Macro",$B267=""),"Macroactividad vacía"&amp;" · ","")&amp;IF(AND($B267&lt;&gt;"",$C267&lt;&gt;""),"Escriba la subactividad en otra fila, debajo de su macroactividad"&amp;" · ","")&amp;IF(AND($S267="Sub",N($R267)=0),"Subactividad sin macroactividad arriba"&amp;" · ","")&amp;IF($D267="","Sin responsable"&amp;" · ","")&amp;IF($E267="","Sin fecha de inicio"&amp;" · ","")&amp;IF($F267="","Sin fecha límite"&amp;" · ","")&amp;IF(OR(AND($E267&lt;&gt;"",NOT(ISNUMBER($E267))),AND($F267&lt;&gt;"",NOT(ISNUMBER($F267)))),"Fecha no válida"&amp;" · ","")&amp;IF(AND(ISNUMBER($E267),ISNUMBER($F267),$E267&gt;$F267),"Inicio posterior a fecha límite"&amp;" · ","")&amp;IF(AND($S267="Macro",$G267=""),"Peso vacío"&amp;" · ","")&amp;IF(AND($S267="Macro",$G267&lt;&gt;"",OR(NOT(ISNUMBER($G267)),$G267&lt;=0,$G267&gt;1)),"Peso fuera de rango"&amp;" · ","")&amp;IF(AND($S267="Sub",$G267&lt;&gt;""),"Las subactividades no llevan peso"&amp;" · ","")&amp;IF(AND($S267="Macro",ABS(SUMIFS($G$5:$G$1000,$P$5:$P$1000,$P267,$S$5:$S$1000,"Macro")-1)&gt;0.0001),"Pesos del mes suman "&amp;TEXT(SUMIFS($G$5:$G$1000,$P$5:$P$1000,$P267,$S$5:$S$1000,"Macro"),"0%")&amp;" · ","")&amp;IF(AND(N($T267)&gt;0,COUNT($H267:$K267)&gt;0),"Con subactividades: deje vacías las semanas (se calculan solas)"&amp;" · ","")&amp;IF((COUNTIF($H267:$K267,"&gt;1")+COUNTIF($H267:$K267,"&lt;0")+COUNTA($H267:$K267)-COUNT($H267:$K267))&gt;0,"Avance fuera de rango 0-100%"&amp;" · ","")&amp;IF(OR(AND($I267&lt;&gt;"",$I267&lt;$H267),AND($J267&lt;&gt;"",$J267&lt;MAX($H267:$I267)),AND($K267&lt;&gt;"",$K267&lt;MAX($H267:$J267))),"Avance semanal decreciente"&amp;" · ","")&amp;IF(AND(ISNUMBER($F267),$F267&lt;FechaRef,N($L267)&lt;1),"Vencida"&amp;" · ","")&amp;IF(AND(ObsObligatoria="Sí",ISNUMBER($F267),$F267&lt;FechaRef,N($L267)&lt;1,$N267=""),"Vencida sin observación"&amp;" · ",""),LEN(IF(AND($S267="Macro",$B267=""),"Macroactividad vacía"&amp;" · ","")&amp;IF(AND($B267&lt;&gt;"",$C267&lt;&gt;""),"Escriba la subactividad en otra fila, debajo de su macroactividad"&amp;" · ","")&amp;IF(AND($S267="Sub",N($R267)=0),"Subactividad sin macroactividad arriba"&amp;" · ","")&amp;IF($D267="","Sin responsable"&amp;" · ","")&amp;IF($E267="","Sin fecha de inicio"&amp;" · ","")&amp;IF($F267="","Sin fecha límite"&amp;" · ","")&amp;IF(OR(AND($E267&lt;&gt;"",NOT(ISNUMBER($E267))),AND($F267&lt;&gt;"",NOT(ISNUMBER($F267)))),"Fecha no válida"&amp;" · ","")&amp;IF(AND(ISNUMBER($E267),ISNUMBER($F267),$E267&gt;$F267),"Inicio posterior a fecha límite"&amp;" · ","")&amp;IF(AND($S267="Macro",$G267=""),"Peso vacío"&amp;" · ","")&amp;IF(AND($S267="Macro",$G267&lt;&gt;"",OR(NOT(ISNUMBER($G267)),$G267&lt;=0,$G267&gt;1)),"Peso fuera de rango"&amp;" · ","")&amp;IF(AND($S267="Sub",$G267&lt;&gt;""),"Las subactividades no llevan peso"&amp;" · ","")&amp;IF(AND($S267="Macro",ABS(SUMIFS($G$5:$G$1000,$P$5:$P$1000,$P267,$S$5:$S$1000,"Macro")-1)&gt;0.0001),"Pesos del mes suman "&amp;TEXT(SUMIFS($G$5:$G$1000,$P$5:$P$1000,$P267,$S$5:$S$1000,"Macro"),"0%")&amp;" · ","")&amp;IF(AND(N($T267)&gt;0,COUNT($H267:$K267)&gt;0),"Con subactividades: deje vacías las semanas (se calculan solas)"&amp;" · ","")&amp;IF((COUNTIF($H267:$K267,"&gt;1")+COUNTIF($H267:$K267,"&lt;0")+COUNTA($H267:$K267)-COUNT($H267:$K267))&gt;0,"Avance fuera de rango 0-100%"&amp;" · ","")&amp;IF(OR(AND($I267&lt;&gt;"",$I267&lt;$H267),AND($J267&lt;&gt;"",$J267&lt;MAX($H267:$I267)),AND($K267&lt;&gt;"",$K267&lt;MAX($H267:$J267))),"Avance semanal decreciente"&amp;" · ","")&amp;IF(AND(ISNUMBER($F267),$F267&lt;FechaRef,N($L267)&lt;1),"Vencida"&amp;" · ","")&amp;IF(AND(ObsObligatoria="Sí",ISNUMBER($F267),$F267&lt;FechaRef,N($L267)&lt;1,$N267=""),"Vencida sin observación"&amp;" · ",""))-3)))</f>
        <v/>
      </c>
      <c r="P267" s="69">
        <f>IF(NOT((COUNTA($B267:$K267)+COUNTA($N267))&gt;0),"",IF(AND($S267="Sub",N($R267)&gt;0),IF(ISNUMBER(INDEX($E$5:$E$1000,$R267-4)),DATE(YEAR(INDEX($E$5:$E$1000,$R267-4)),MONTH(INDEX($E$5:$E$1000,$R267-4)),1),IF(ISNUMBER(INDEX($F$5:$F$1000,$R267-4)),DATE(YEAR(INDEX($F$5:$F$1000,$R267-4)),MONTH(INDEX($F$5:$F$1000,$R267-4)),1),MesCiclo)),IF(ISNUMBER($E267),DATE(YEAR($E267),MONTH($E267),1),IF(ISNUMBER($F267),DATE(YEAR($F267),MONTH($F267),1),MesCiclo))))</f>
        <v/>
      </c>
      <c r="Q267" s="70">
        <f>IF(OR($P267="",$P267&lt;&gt;MesCiclo),"",COUNTIF($P$5:$P267,MesCiclo))</f>
        <v/>
      </c>
      <c r="R267" s="70">
        <f>IF($S267="","",IF($S267="Macro",ROW(),IFERROR(LOOKUP(2,1/($S$5:$S267="Macro"),ROW($S$5:$S267)),0)))</f>
        <v/>
      </c>
      <c r="S267" s="70">
        <f>IF(NOT((COUNTA($B267:$K267)+COUNTA($N267))&gt;0),"",IF($B267&lt;&gt;"","Macro",IF($C267&lt;&gt;"","Sub","Macro")))</f>
        <v/>
      </c>
      <c r="T267" s="70">
        <f>IF($S267="Macro",COUNTIFS($R$5:$R$1000,ROW(),$S$5:$S$1000,"Sub"),"")</f>
        <v/>
      </c>
      <c r="U267" s="70">
        <f>IF($S267="","",IF(ISNUMBER($H267),$H267,0))</f>
        <v/>
      </c>
      <c r="V267" s="70">
        <f>IF($S267="","",IF(ISNUMBER($I267),$I267,$U267))</f>
        <v/>
      </c>
      <c r="W267" s="70">
        <f>IF($S267="","",IF(ISNUMBER($J267),$J267,$V267))</f>
        <v/>
      </c>
      <c r="X267" s="70">
        <f>IF($S267="","",IF(ISNUMBER($K267),$K267,$W267))</f>
        <v/>
      </c>
      <c r="Y267" s="70">
        <f>IF($S267="","",IF(N($T267)&gt;0,AVERAGEIFS($U$5:$U$1000,$R$5:$R$1000,ROW(),$S$5:$S$1000,"Sub"),$U267))</f>
        <v/>
      </c>
      <c r="Z267" s="70">
        <f>IF($S267="","",IF(N($T267)&gt;0,AVERAGEIFS($V$5:$V$1000,$R$5:$R$1000,ROW(),$S$5:$S$1000,"Sub"),$V267))</f>
        <v/>
      </c>
      <c r="AA267" s="70">
        <f>IF($S267="","",IF(N($T267)&gt;0,AVERAGEIFS($W$5:$W$1000,$R$5:$R$1000,ROW(),$S$5:$S$1000,"Sub"),$W267))</f>
        <v/>
      </c>
      <c r="AB267" s="70">
        <f>IF($S267="","",IF(N($T267)&gt;0,AVERAGEIFS($X$5:$X$1000,$R$5:$R$1000,ROW(),$S$5:$S$1000,"Sub"),$X267))</f>
        <v/>
      </c>
    </row>
    <row r="268">
      <c r="A268" s="61">
        <f>IF(NOT((COUNTA($B268:$K268)+COUNTA($N268))&gt;0),"",IF($S268="Macro",COUNTIFS($S$5:$S268,"Macro",$P$5:$P268,$P268),IF(N($R268)=0,"?",COUNTIFS(INDEX($S$5:$S$1000,1):INDEX($S$5:$S$1000,$R268-4),"Macro",INDEX($P$5:$P$1000,1):INDEX($P$5:$P$1000,$R268-4),INDEX($P$5:$P$1000,$R268-4))&amp;"."&amp;COUNTIFS($R$5:$R268,$R268,$S$5:$S268,"Sub"))))</f>
        <v/>
      </c>
      <c r="B268" s="62" t="n"/>
      <c r="C268" s="63" t="n"/>
      <c r="D268" s="62" t="n"/>
      <c r="E268" s="64" t="n"/>
      <c r="F268" s="64" t="n"/>
      <c r="G268" s="65" t="n"/>
      <c r="H268" s="66" t="n"/>
      <c r="I268" s="66" t="n"/>
      <c r="J268" s="66" t="n"/>
      <c r="K268" s="66" t="n"/>
      <c r="L268" s="67">
        <f>IF(NOT((COUNTA($B268:$K268)+COUNTA($N268))&gt;0),"",IF(N($T268)&gt;0,$AB268,IFERROR(LOOKUP(2,1/(H268:K268&lt;&gt;""),H268:K268),0)))</f>
        <v/>
      </c>
      <c r="M268" s="61">
        <f>IF(L268="","",IF(L268&gt;=1,"Completado",IF(L268&gt;0,"En curso","Pendiente")))</f>
        <v/>
      </c>
      <c r="N268" s="62" t="n"/>
      <c r="O268" s="68">
        <f>IF(NOT((COUNTA($B268:$K268)+COUNTA($N268))&gt;0),"",IF((IF(AND($S268="Macro",$B268=""),"Macroactividad vacía"&amp;" · ","")&amp;IF(AND($B268&lt;&gt;"",$C268&lt;&gt;""),"Escriba la subactividad en otra fila, debajo de su macroactividad"&amp;" · ","")&amp;IF(AND($S268="Sub",N($R268)=0),"Subactividad sin macroactividad arriba"&amp;" · ","")&amp;IF($D268="","Sin responsable"&amp;" · ","")&amp;IF($E268="","Sin fecha de inicio"&amp;" · ","")&amp;IF($F268="","Sin fecha límite"&amp;" · ","")&amp;IF(OR(AND($E268&lt;&gt;"",NOT(ISNUMBER($E268))),AND($F268&lt;&gt;"",NOT(ISNUMBER($F268)))),"Fecha no válida"&amp;" · ","")&amp;IF(AND(ISNUMBER($E268),ISNUMBER($F268),$E268&gt;$F268),"Inicio posterior a fecha límite"&amp;" · ","")&amp;IF(AND($S268="Macro",$G268=""),"Peso vacío"&amp;" · ","")&amp;IF(AND($S268="Macro",$G268&lt;&gt;"",OR(NOT(ISNUMBER($G268)),$G268&lt;=0,$G268&gt;1)),"Peso fuera de rango"&amp;" · ","")&amp;IF(AND($S268="Sub",$G268&lt;&gt;""),"Las subactividades no llevan peso"&amp;" · ","")&amp;IF(AND($S268="Macro",ABS(SUMIFS($G$5:$G$1000,$P$5:$P$1000,$P268,$S$5:$S$1000,"Macro")-1)&gt;0.0001),"Pesos del mes suman "&amp;TEXT(SUMIFS($G$5:$G$1000,$P$5:$P$1000,$P268,$S$5:$S$1000,"Macro"),"0%")&amp;" · ","")&amp;IF(AND(N($T268)&gt;0,COUNT($H268:$K268)&gt;0),"Con subactividades: deje vacías las semanas (se calculan solas)"&amp;" · ","")&amp;IF((COUNTIF($H268:$K268,"&gt;1")+COUNTIF($H268:$K268,"&lt;0")+COUNTA($H268:$K268)-COUNT($H268:$K268))&gt;0,"Avance fuera de rango 0-100%"&amp;" · ","")&amp;IF(OR(AND($I268&lt;&gt;"",$I268&lt;$H268),AND($J268&lt;&gt;"",$J268&lt;MAX($H268:$I268)),AND($K268&lt;&gt;"",$K268&lt;MAX($H268:$J268))),"Avance semanal decreciente"&amp;" · ","")&amp;IF(AND(ISNUMBER($F268),$F268&lt;FechaRef,N($L268)&lt;1),"Vencida"&amp;" · ","")&amp;IF(AND(ObsObligatoria="Sí",ISNUMBER($F268),$F268&lt;FechaRef,N($L268)&lt;1,$N268=""),"Vencida sin observación"&amp;" · ",""))="","✔ OK","⚠ "&amp;LEFT(IF(AND($S268="Macro",$B268=""),"Macroactividad vacía"&amp;" · ","")&amp;IF(AND($B268&lt;&gt;"",$C268&lt;&gt;""),"Escriba la subactividad en otra fila, debajo de su macroactividad"&amp;" · ","")&amp;IF(AND($S268="Sub",N($R268)=0),"Subactividad sin macroactividad arriba"&amp;" · ","")&amp;IF($D268="","Sin responsable"&amp;" · ","")&amp;IF($E268="","Sin fecha de inicio"&amp;" · ","")&amp;IF($F268="","Sin fecha límite"&amp;" · ","")&amp;IF(OR(AND($E268&lt;&gt;"",NOT(ISNUMBER($E268))),AND($F268&lt;&gt;"",NOT(ISNUMBER($F268)))),"Fecha no válida"&amp;" · ","")&amp;IF(AND(ISNUMBER($E268),ISNUMBER($F268),$E268&gt;$F268),"Inicio posterior a fecha límite"&amp;" · ","")&amp;IF(AND($S268="Macro",$G268=""),"Peso vacío"&amp;" · ","")&amp;IF(AND($S268="Macro",$G268&lt;&gt;"",OR(NOT(ISNUMBER($G268)),$G268&lt;=0,$G268&gt;1)),"Peso fuera de rango"&amp;" · ","")&amp;IF(AND($S268="Sub",$G268&lt;&gt;""),"Las subactividades no llevan peso"&amp;" · ","")&amp;IF(AND($S268="Macro",ABS(SUMIFS($G$5:$G$1000,$P$5:$P$1000,$P268,$S$5:$S$1000,"Macro")-1)&gt;0.0001),"Pesos del mes suman "&amp;TEXT(SUMIFS($G$5:$G$1000,$P$5:$P$1000,$P268,$S$5:$S$1000,"Macro"),"0%")&amp;" · ","")&amp;IF(AND(N($T268)&gt;0,COUNT($H268:$K268)&gt;0),"Con subactividades: deje vacías las semanas (se calculan solas)"&amp;" · ","")&amp;IF((COUNTIF($H268:$K268,"&gt;1")+COUNTIF($H268:$K268,"&lt;0")+COUNTA($H268:$K268)-COUNT($H268:$K268))&gt;0,"Avance fuera de rango 0-100%"&amp;" · ","")&amp;IF(OR(AND($I268&lt;&gt;"",$I268&lt;$H268),AND($J268&lt;&gt;"",$J268&lt;MAX($H268:$I268)),AND($K268&lt;&gt;"",$K268&lt;MAX($H268:$J268))),"Avance semanal decreciente"&amp;" · ","")&amp;IF(AND(ISNUMBER($F268),$F268&lt;FechaRef,N($L268)&lt;1),"Vencida"&amp;" · ","")&amp;IF(AND(ObsObligatoria="Sí",ISNUMBER($F268),$F268&lt;FechaRef,N($L268)&lt;1,$N268=""),"Vencida sin observación"&amp;" · ",""),LEN(IF(AND($S268="Macro",$B268=""),"Macroactividad vacía"&amp;" · ","")&amp;IF(AND($B268&lt;&gt;"",$C268&lt;&gt;""),"Escriba la subactividad en otra fila, debajo de su macroactividad"&amp;" · ","")&amp;IF(AND($S268="Sub",N($R268)=0),"Subactividad sin macroactividad arriba"&amp;" · ","")&amp;IF($D268="","Sin responsable"&amp;" · ","")&amp;IF($E268="","Sin fecha de inicio"&amp;" · ","")&amp;IF($F268="","Sin fecha límite"&amp;" · ","")&amp;IF(OR(AND($E268&lt;&gt;"",NOT(ISNUMBER($E268))),AND($F268&lt;&gt;"",NOT(ISNUMBER($F268)))),"Fecha no válida"&amp;" · ","")&amp;IF(AND(ISNUMBER($E268),ISNUMBER($F268),$E268&gt;$F268),"Inicio posterior a fecha límite"&amp;" · ","")&amp;IF(AND($S268="Macro",$G268=""),"Peso vacío"&amp;" · ","")&amp;IF(AND($S268="Macro",$G268&lt;&gt;"",OR(NOT(ISNUMBER($G268)),$G268&lt;=0,$G268&gt;1)),"Peso fuera de rango"&amp;" · ","")&amp;IF(AND($S268="Sub",$G268&lt;&gt;""),"Las subactividades no llevan peso"&amp;" · ","")&amp;IF(AND($S268="Macro",ABS(SUMIFS($G$5:$G$1000,$P$5:$P$1000,$P268,$S$5:$S$1000,"Macro")-1)&gt;0.0001),"Pesos del mes suman "&amp;TEXT(SUMIFS($G$5:$G$1000,$P$5:$P$1000,$P268,$S$5:$S$1000,"Macro"),"0%")&amp;" · ","")&amp;IF(AND(N($T268)&gt;0,COUNT($H268:$K268)&gt;0),"Con subactividades: deje vacías las semanas (se calculan solas)"&amp;" · ","")&amp;IF((COUNTIF($H268:$K268,"&gt;1")+COUNTIF($H268:$K268,"&lt;0")+COUNTA($H268:$K268)-COUNT($H268:$K268))&gt;0,"Avance fuera de rango 0-100%"&amp;" · ","")&amp;IF(OR(AND($I268&lt;&gt;"",$I268&lt;$H268),AND($J268&lt;&gt;"",$J268&lt;MAX($H268:$I268)),AND($K268&lt;&gt;"",$K268&lt;MAX($H268:$J268))),"Avance semanal decreciente"&amp;" · ","")&amp;IF(AND(ISNUMBER($F268),$F268&lt;FechaRef,N($L268)&lt;1),"Vencida"&amp;" · ","")&amp;IF(AND(ObsObligatoria="Sí",ISNUMBER($F268),$F268&lt;FechaRef,N($L268)&lt;1,$N268=""),"Vencida sin observación"&amp;" · ",""))-3)))</f>
        <v/>
      </c>
      <c r="P268" s="69">
        <f>IF(NOT((COUNTA($B268:$K268)+COUNTA($N268))&gt;0),"",IF(AND($S268="Sub",N($R268)&gt;0),IF(ISNUMBER(INDEX($E$5:$E$1000,$R268-4)),DATE(YEAR(INDEX($E$5:$E$1000,$R268-4)),MONTH(INDEX($E$5:$E$1000,$R268-4)),1),IF(ISNUMBER(INDEX($F$5:$F$1000,$R268-4)),DATE(YEAR(INDEX($F$5:$F$1000,$R268-4)),MONTH(INDEX($F$5:$F$1000,$R268-4)),1),MesCiclo)),IF(ISNUMBER($E268),DATE(YEAR($E268),MONTH($E268),1),IF(ISNUMBER($F268),DATE(YEAR($F268),MONTH($F268),1),MesCiclo))))</f>
        <v/>
      </c>
      <c r="Q268" s="70">
        <f>IF(OR($P268="",$P268&lt;&gt;MesCiclo),"",COUNTIF($P$5:$P268,MesCiclo))</f>
        <v/>
      </c>
      <c r="R268" s="70">
        <f>IF($S268="","",IF($S268="Macro",ROW(),IFERROR(LOOKUP(2,1/($S$5:$S268="Macro"),ROW($S$5:$S268)),0)))</f>
        <v/>
      </c>
      <c r="S268" s="70">
        <f>IF(NOT((COUNTA($B268:$K268)+COUNTA($N268))&gt;0),"",IF($B268&lt;&gt;"","Macro",IF($C268&lt;&gt;"","Sub","Macro")))</f>
        <v/>
      </c>
      <c r="T268" s="70">
        <f>IF($S268="Macro",COUNTIFS($R$5:$R$1000,ROW(),$S$5:$S$1000,"Sub"),"")</f>
        <v/>
      </c>
      <c r="U268" s="70">
        <f>IF($S268="","",IF(ISNUMBER($H268),$H268,0))</f>
        <v/>
      </c>
      <c r="V268" s="70">
        <f>IF($S268="","",IF(ISNUMBER($I268),$I268,$U268))</f>
        <v/>
      </c>
      <c r="W268" s="70">
        <f>IF($S268="","",IF(ISNUMBER($J268),$J268,$V268))</f>
        <v/>
      </c>
      <c r="X268" s="70">
        <f>IF($S268="","",IF(ISNUMBER($K268),$K268,$W268))</f>
        <v/>
      </c>
      <c r="Y268" s="70">
        <f>IF($S268="","",IF(N($T268)&gt;0,AVERAGEIFS($U$5:$U$1000,$R$5:$R$1000,ROW(),$S$5:$S$1000,"Sub"),$U268))</f>
        <v/>
      </c>
      <c r="Z268" s="70">
        <f>IF($S268="","",IF(N($T268)&gt;0,AVERAGEIFS($V$5:$V$1000,$R$5:$R$1000,ROW(),$S$5:$S$1000,"Sub"),$V268))</f>
        <v/>
      </c>
      <c r="AA268" s="70">
        <f>IF($S268="","",IF(N($T268)&gt;0,AVERAGEIFS($W$5:$W$1000,$R$5:$R$1000,ROW(),$S$5:$S$1000,"Sub"),$W268))</f>
        <v/>
      </c>
      <c r="AB268" s="70">
        <f>IF($S268="","",IF(N($T268)&gt;0,AVERAGEIFS($X$5:$X$1000,$R$5:$R$1000,ROW(),$S$5:$S$1000,"Sub"),$X268))</f>
        <v/>
      </c>
    </row>
    <row r="269">
      <c r="A269" s="61">
        <f>IF(NOT((COUNTA($B269:$K269)+COUNTA($N269))&gt;0),"",IF($S269="Macro",COUNTIFS($S$5:$S269,"Macro",$P$5:$P269,$P269),IF(N($R269)=0,"?",COUNTIFS(INDEX($S$5:$S$1000,1):INDEX($S$5:$S$1000,$R269-4),"Macro",INDEX($P$5:$P$1000,1):INDEX($P$5:$P$1000,$R269-4),INDEX($P$5:$P$1000,$R269-4))&amp;"."&amp;COUNTIFS($R$5:$R269,$R269,$S$5:$S269,"Sub"))))</f>
        <v/>
      </c>
      <c r="B269" s="62" t="n"/>
      <c r="C269" s="63" t="n"/>
      <c r="D269" s="62" t="n"/>
      <c r="E269" s="64" t="n"/>
      <c r="F269" s="64" t="n"/>
      <c r="G269" s="65" t="n"/>
      <c r="H269" s="66" t="n"/>
      <c r="I269" s="66" t="n"/>
      <c r="J269" s="66" t="n"/>
      <c r="K269" s="66" t="n"/>
      <c r="L269" s="67">
        <f>IF(NOT((COUNTA($B269:$K269)+COUNTA($N269))&gt;0),"",IF(N($T269)&gt;0,$AB269,IFERROR(LOOKUP(2,1/(H269:K269&lt;&gt;""),H269:K269),0)))</f>
        <v/>
      </c>
      <c r="M269" s="61">
        <f>IF(L269="","",IF(L269&gt;=1,"Completado",IF(L269&gt;0,"En curso","Pendiente")))</f>
        <v/>
      </c>
      <c r="N269" s="62" t="n"/>
      <c r="O269" s="68">
        <f>IF(NOT((COUNTA($B269:$K269)+COUNTA($N269))&gt;0),"",IF((IF(AND($S269="Macro",$B269=""),"Macroactividad vacía"&amp;" · ","")&amp;IF(AND($B269&lt;&gt;"",$C269&lt;&gt;""),"Escriba la subactividad en otra fila, debajo de su macroactividad"&amp;" · ","")&amp;IF(AND($S269="Sub",N($R269)=0),"Subactividad sin macroactividad arriba"&amp;" · ","")&amp;IF($D269="","Sin responsable"&amp;" · ","")&amp;IF($E269="","Sin fecha de inicio"&amp;" · ","")&amp;IF($F269="","Sin fecha límite"&amp;" · ","")&amp;IF(OR(AND($E269&lt;&gt;"",NOT(ISNUMBER($E269))),AND($F269&lt;&gt;"",NOT(ISNUMBER($F269)))),"Fecha no válida"&amp;" · ","")&amp;IF(AND(ISNUMBER($E269),ISNUMBER($F269),$E269&gt;$F269),"Inicio posterior a fecha límite"&amp;" · ","")&amp;IF(AND($S269="Macro",$G269=""),"Peso vacío"&amp;" · ","")&amp;IF(AND($S269="Macro",$G269&lt;&gt;"",OR(NOT(ISNUMBER($G269)),$G269&lt;=0,$G269&gt;1)),"Peso fuera de rango"&amp;" · ","")&amp;IF(AND($S269="Sub",$G269&lt;&gt;""),"Las subactividades no llevan peso"&amp;" · ","")&amp;IF(AND($S269="Macro",ABS(SUMIFS($G$5:$G$1000,$P$5:$P$1000,$P269,$S$5:$S$1000,"Macro")-1)&gt;0.0001),"Pesos del mes suman "&amp;TEXT(SUMIFS($G$5:$G$1000,$P$5:$P$1000,$P269,$S$5:$S$1000,"Macro"),"0%")&amp;" · ","")&amp;IF(AND(N($T269)&gt;0,COUNT($H269:$K269)&gt;0),"Con subactividades: deje vacías las semanas (se calculan solas)"&amp;" · ","")&amp;IF((COUNTIF($H269:$K269,"&gt;1")+COUNTIF($H269:$K269,"&lt;0")+COUNTA($H269:$K269)-COUNT($H269:$K269))&gt;0,"Avance fuera de rango 0-100%"&amp;" · ","")&amp;IF(OR(AND($I269&lt;&gt;"",$I269&lt;$H269),AND($J269&lt;&gt;"",$J269&lt;MAX($H269:$I269)),AND($K269&lt;&gt;"",$K269&lt;MAX($H269:$J269))),"Avance semanal decreciente"&amp;" · ","")&amp;IF(AND(ISNUMBER($F269),$F269&lt;FechaRef,N($L269)&lt;1),"Vencida"&amp;" · ","")&amp;IF(AND(ObsObligatoria="Sí",ISNUMBER($F269),$F269&lt;FechaRef,N($L269)&lt;1,$N269=""),"Vencida sin observación"&amp;" · ",""))="","✔ OK","⚠ "&amp;LEFT(IF(AND($S269="Macro",$B269=""),"Macroactividad vacía"&amp;" · ","")&amp;IF(AND($B269&lt;&gt;"",$C269&lt;&gt;""),"Escriba la subactividad en otra fila, debajo de su macroactividad"&amp;" · ","")&amp;IF(AND($S269="Sub",N($R269)=0),"Subactividad sin macroactividad arriba"&amp;" · ","")&amp;IF($D269="","Sin responsable"&amp;" · ","")&amp;IF($E269="","Sin fecha de inicio"&amp;" · ","")&amp;IF($F269="","Sin fecha límite"&amp;" · ","")&amp;IF(OR(AND($E269&lt;&gt;"",NOT(ISNUMBER($E269))),AND($F269&lt;&gt;"",NOT(ISNUMBER($F269)))),"Fecha no válida"&amp;" · ","")&amp;IF(AND(ISNUMBER($E269),ISNUMBER($F269),$E269&gt;$F269),"Inicio posterior a fecha límite"&amp;" · ","")&amp;IF(AND($S269="Macro",$G269=""),"Peso vacío"&amp;" · ","")&amp;IF(AND($S269="Macro",$G269&lt;&gt;"",OR(NOT(ISNUMBER($G269)),$G269&lt;=0,$G269&gt;1)),"Peso fuera de rango"&amp;" · ","")&amp;IF(AND($S269="Sub",$G269&lt;&gt;""),"Las subactividades no llevan peso"&amp;" · ","")&amp;IF(AND($S269="Macro",ABS(SUMIFS($G$5:$G$1000,$P$5:$P$1000,$P269,$S$5:$S$1000,"Macro")-1)&gt;0.0001),"Pesos del mes suman "&amp;TEXT(SUMIFS($G$5:$G$1000,$P$5:$P$1000,$P269,$S$5:$S$1000,"Macro"),"0%")&amp;" · ","")&amp;IF(AND(N($T269)&gt;0,COUNT($H269:$K269)&gt;0),"Con subactividades: deje vacías las semanas (se calculan solas)"&amp;" · ","")&amp;IF((COUNTIF($H269:$K269,"&gt;1")+COUNTIF($H269:$K269,"&lt;0")+COUNTA($H269:$K269)-COUNT($H269:$K269))&gt;0,"Avance fuera de rango 0-100%"&amp;" · ","")&amp;IF(OR(AND($I269&lt;&gt;"",$I269&lt;$H269),AND($J269&lt;&gt;"",$J269&lt;MAX($H269:$I269)),AND($K269&lt;&gt;"",$K269&lt;MAX($H269:$J269))),"Avance semanal decreciente"&amp;" · ","")&amp;IF(AND(ISNUMBER($F269),$F269&lt;FechaRef,N($L269)&lt;1),"Vencida"&amp;" · ","")&amp;IF(AND(ObsObligatoria="Sí",ISNUMBER($F269),$F269&lt;FechaRef,N($L269)&lt;1,$N269=""),"Vencida sin observación"&amp;" · ",""),LEN(IF(AND($S269="Macro",$B269=""),"Macroactividad vacía"&amp;" · ","")&amp;IF(AND($B269&lt;&gt;"",$C269&lt;&gt;""),"Escriba la subactividad en otra fila, debajo de su macroactividad"&amp;" · ","")&amp;IF(AND($S269="Sub",N($R269)=0),"Subactividad sin macroactividad arriba"&amp;" · ","")&amp;IF($D269="","Sin responsable"&amp;" · ","")&amp;IF($E269="","Sin fecha de inicio"&amp;" · ","")&amp;IF($F269="","Sin fecha límite"&amp;" · ","")&amp;IF(OR(AND($E269&lt;&gt;"",NOT(ISNUMBER($E269))),AND($F269&lt;&gt;"",NOT(ISNUMBER($F269)))),"Fecha no válida"&amp;" · ","")&amp;IF(AND(ISNUMBER($E269),ISNUMBER($F269),$E269&gt;$F269),"Inicio posterior a fecha límite"&amp;" · ","")&amp;IF(AND($S269="Macro",$G269=""),"Peso vacío"&amp;" · ","")&amp;IF(AND($S269="Macro",$G269&lt;&gt;"",OR(NOT(ISNUMBER($G269)),$G269&lt;=0,$G269&gt;1)),"Peso fuera de rango"&amp;" · ","")&amp;IF(AND($S269="Sub",$G269&lt;&gt;""),"Las subactividades no llevan peso"&amp;" · ","")&amp;IF(AND($S269="Macro",ABS(SUMIFS($G$5:$G$1000,$P$5:$P$1000,$P269,$S$5:$S$1000,"Macro")-1)&gt;0.0001),"Pesos del mes suman "&amp;TEXT(SUMIFS($G$5:$G$1000,$P$5:$P$1000,$P269,$S$5:$S$1000,"Macro"),"0%")&amp;" · ","")&amp;IF(AND(N($T269)&gt;0,COUNT($H269:$K269)&gt;0),"Con subactividades: deje vacías las semanas (se calculan solas)"&amp;" · ","")&amp;IF((COUNTIF($H269:$K269,"&gt;1")+COUNTIF($H269:$K269,"&lt;0")+COUNTA($H269:$K269)-COUNT($H269:$K269))&gt;0,"Avance fuera de rango 0-100%"&amp;" · ","")&amp;IF(OR(AND($I269&lt;&gt;"",$I269&lt;$H269),AND($J269&lt;&gt;"",$J269&lt;MAX($H269:$I269)),AND($K269&lt;&gt;"",$K269&lt;MAX($H269:$J269))),"Avance semanal decreciente"&amp;" · ","")&amp;IF(AND(ISNUMBER($F269),$F269&lt;FechaRef,N($L269)&lt;1),"Vencida"&amp;" · ","")&amp;IF(AND(ObsObligatoria="Sí",ISNUMBER($F269),$F269&lt;FechaRef,N($L269)&lt;1,$N269=""),"Vencida sin observación"&amp;" · ",""))-3)))</f>
        <v/>
      </c>
      <c r="P269" s="69">
        <f>IF(NOT((COUNTA($B269:$K269)+COUNTA($N269))&gt;0),"",IF(AND($S269="Sub",N($R269)&gt;0),IF(ISNUMBER(INDEX($E$5:$E$1000,$R269-4)),DATE(YEAR(INDEX($E$5:$E$1000,$R269-4)),MONTH(INDEX($E$5:$E$1000,$R269-4)),1),IF(ISNUMBER(INDEX($F$5:$F$1000,$R269-4)),DATE(YEAR(INDEX($F$5:$F$1000,$R269-4)),MONTH(INDEX($F$5:$F$1000,$R269-4)),1),MesCiclo)),IF(ISNUMBER($E269),DATE(YEAR($E269),MONTH($E269),1),IF(ISNUMBER($F269),DATE(YEAR($F269),MONTH($F269),1),MesCiclo))))</f>
        <v/>
      </c>
      <c r="Q269" s="70">
        <f>IF(OR($P269="",$P269&lt;&gt;MesCiclo),"",COUNTIF($P$5:$P269,MesCiclo))</f>
        <v/>
      </c>
      <c r="R269" s="70">
        <f>IF($S269="","",IF($S269="Macro",ROW(),IFERROR(LOOKUP(2,1/($S$5:$S269="Macro"),ROW($S$5:$S269)),0)))</f>
        <v/>
      </c>
      <c r="S269" s="70">
        <f>IF(NOT((COUNTA($B269:$K269)+COUNTA($N269))&gt;0),"",IF($B269&lt;&gt;"","Macro",IF($C269&lt;&gt;"","Sub","Macro")))</f>
        <v/>
      </c>
      <c r="T269" s="70">
        <f>IF($S269="Macro",COUNTIFS($R$5:$R$1000,ROW(),$S$5:$S$1000,"Sub"),"")</f>
        <v/>
      </c>
      <c r="U269" s="70">
        <f>IF($S269="","",IF(ISNUMBER($H269),$H269,0))</f>
        <v/>
      </c>
      <c r="V269" s="70">
        <f>IF($S269="","",IF(ISNUMBER($I269),$I269,$U269))</f>
        <v/>
      </c>
      <c r="W269" s="70">
        <f>IF($S269="","",IF(ISNUMBER($J269),$J269,$V269))</f>
        <v/>
      </c>
      <c r="X269" s="70">
        <f>IF($S269="","",IF(ISNUMBER($K269),$K269,$W269))</f>
        <v/>
      </c>
      <c r="Y269" s="70">
        <f>IF($S269="","",IF(N($T269)&gt;0,AVERAGEIFS($U$5:$U$1000,$R$5:$R$1000,ROW(),$S$5:$S$1000,"Sub"),$U269))</f>
        <v/>
      </c>
      <c r="Z269" s="70">
        <f>IF($S269="","",IF(N($T269)&gt;0,AVERAGEIFS($V$5:$V$1000,$R$5:$R$1000,ROW(),$S$5:$S$1000,"Sub"),$V269))</f>
        <v/>
      </c>
      <c r="AA269" s="70">
        <f>IF($S269="","",IF(N($T269)&gt;0,AVERAGEIFS($W$5:$W$1000,$R$5:$R$1000,ROW(),$S$5:$S$1000,"Sub"),$W269))</f>
        <v/>
      </c>
      <c r="AB269" s="70">
        <f>IF($S269="","",IF(N($T269)&gt;0,AVERAGEIFS($X$5:$X$1000,$R$5:$R$1000,ROW(),$S$5:$S$1000,"Sub"),$X269))</f>
        <v/>
      </c>
    </row>
    <row r="270">
      <c r="A270" s="61">
        <f>IF(NOT((COUNTA($B270:$K270)+COUNTA($N270))&gt;0),"",IF($S270="Macro",COUNTIFS($S$5:$S270,"Macro",$P$5:$P270,$P270),IF(N($R270)=0,"?",COUNTIFS(INDEX($S$5:$S$1000,1):INDEX($S$5:$S$1000,$R270-4),"Macro",INDEX($P$5:$P$1000,1):INDEX($P$5:$P$1000,$R270-4),INDEX($P$5:$P$1000,$R270-4))&amp;"."&amp;COUNTIFS($R$5:$R270,$R270,$S$5:$S270,"Sub"))))</f>
        <v/>
      </c>
      <c r="B270" s="62" t="n"/>
      <c r="C270" s="63" t="n"/>
      <c r="D270" s="62" t="n"/>
      <c r="E270" s="64" t="n"/>
      <c r="F270" s="64" t="n"/>
      <c r="G270" s="65" t="n"/>
      <c r="H270" s="66" t="n"/>
      <c r="I270" s="66" t="n"/>
      <c r="J270" s="66" t="n"/>
      <c r="K270" s="66" t="n"/>
      <c r="L270" s="67">
        <f>IF(NOT((COUNTA($B270:$K270)+COUNTA($N270))&gt;0),"",IF(N($T270)&gt;0,$AB270,IFERROR(LOOKUP(2,1/(H270:K270&lt;&gt;""),H270:K270),0)))</f>
        <v/>
      </c>
      <c r="M270" s="61">
        <f>IF(L270="","",IF(L270&gt;=1,"Completado",IF(L270&gt;0,"En curso","Pendiente")))</f>
        <v/>
      </c>
      <c r="N270" s="62" t="n"/>
      <c r="O270" s="68">
        <f>IF(NOT((COUNTA($B270:$K270)+COUNTA($N270))&gt;0),"",IF((IF(AND($S270="Macro",$B270=""),"Macroactividad vacía"&amp;" · ","")&amp;IF(AND($B270&lt;&gt;"",$C270&lt;&gt;""),"Escriba la subactividad en otra fila, debajo de su macroactividad"&amp;" · ","")&amp;IF(AND($S270="Sub",N($R270)=0),"Subactividad sin macroactividad arriba"&amp;" · ","")&amp;IF($D270="","Sin responsable"&amp;" · ","")&amp;IF($E270="","Sin fecha de inicio"&amp;" · ","")&amp;IF($F270="","Sin fecha límite"&amp;" · ","")&amp;IF(OR(AND($E270&lt;&gt;"",NOT(ISNUMBER($E270))),AND($F270&lt;&gt;"",NOT(ISNUMBER($F270)))),"Fecha no válida"&amp;" · ","")&amp;IF(AND(ISNUMBER($E270),ISNUMBER($F270),$E270&gt;$F270),"Inicio posterior a fecha límite"&amp;" · ","")&amp;IF(AND($S270="Macro",$G270=""),"Peso vacío"&amp;" · ","")&amp;IF(AND($S270="Macro",$G270&lt;&gt;"",OR(NOT(ISNUMBER($G270)),$G270&lt;=0,$G270&gt;1)),"Peso fuera de rango"&amp;" · ","")&amp;IF(AND($S270="Sub",$G270&lt;&gt;""),"Las subactividades no llevan peso"&amp;" · ","")&amp;IF(AND($S270="Macro",ABS(SUMIFS($G$5:$G$1000,$P$5:$P$1000,$P270,$S$5:$S$1000,"Macro")-1)&gt;0.0001),"Pesos del mes suman "&amp;TEXT(SUMIFS($G$5:$G$1000,$P$5:$P$1000,$P270,$S$5:$S$1000,"Macro"),"0%")&amp;" · ","")&amp;IF(AND(N($T270)&gt;0,COUNT($H270:$K270)&gt;0),"Con subactividades: deje vacías las semanas (se calculan solas)"&amp;" · ","")&amp;IF((COUNTIF($H270:$K270,"&gt;1")+COUNTIF($H270:$K270,"&lt;0")+COUNTA($H270:$K270)-COUNT($H270:$K270))&gt;0,"Avance fuera de rango 0-100%"&amp;" · ","")&amp;IF(OR(AND($I270&lt;&gt;"",$I270&lt;$H270),AND($J270&lt;&gt;"",$J270&lt;MAX($H270:$I270)),AND($K270&lt;&gt;"",$K270&lt;MAX($H270:$J270))),"Avance semanal decreciente"&amp;" · ","")&amp;IF(AND(ISNUMBER($F270),$F270&lt;FechaRef,N($L270)&lt;1),"Vencida"&amp;" · ","")&amp;IF(AND(ObsObligatoria="Sí",ISNUMBER($F270),$F270&lt;FechaRef,N($L270)&lt;1,$N270=""),"Vencida sin observación"&amp;" · ",""))="","✔ OK","⚠ "&amp;LEFT(IF(AND($S270="Macro",$B270=""),"Macroactividad vacía"&amp;" · ","")&amp;IF(AND($B270&lt;&gt;"",$C270&lt;&gt;""),"Escriba la subactividad en otra fila, debajo de su macroactividad"&amp;" · ","")&amp;IF(AND($S270="Sub",N($R270)=0),"Subactividad sin macroactividad arriba"&amp;" · ","")&amp;IF($D270="","Sin responsable"&amp;" · ","")&amp;IF($E270="","Sin fecha de inicio"&amp;" · ","")&amp;IF($F270="","Sin fecha límite"&amp;" · ","")&amp;IF(OR(AND($E270&lt;&gt;"",NOT(ISNUMBER($E270))),AND($F270&lt;&gt;"",NOT(ISNUMBER($F270)))),"Fecha no válida"&amp;" · ","")&amp;IF(AND(ISNUMBER($E270),ISNUMBER($F270),$E270&gt;$F270),"Inicio posterior a fecha límite"&amp;" · ","")&amp;IF(AND($S270="Macro",$G270=""),"Peso vacío"&amp;" · ","")&amp;IF(AND($S270="Macro",$G270&lt;&gt;"",OR(NOT(ISNUMBER($G270)),$G270&lt;=0,$G270&gt;1)),"Peso fuera de rango"&amp;" · ","")&amp;IF(AND($S270="Sub",$G270&lt;&gt;""),"Las subactividades no llevan peso"&amp;" · ","")&amp;IF(AND($S270="Macro",ABS(SUMIFS($G$5:$G$1000,$P$5:$P$1000,$P270,$S$5:$S$1000,"Macro")-1)&gt;0.0001),"Pesos del mes suman "&amp;TEXT(SUMIFS($G$5:$G$1000,$P$5:$P$1000,$P270,$S$5:$S$1000,"Macro"),"0%")&amp;" · ","")&amp;IF(AND(N($T270)&gt;0,COUNT($H270:$K270)&gt;0),"Con subactividades: deje vacías las semanas (se calculan solas)"&amp;" · ","")&amp;IF((COUNTIF($H270:$K270,"&gt;1")+COUNTIF($H270:$K270,"&lt;0")+COUNTA($H270:$K270)-COUNT($H270:$K270))&gt;0,"Avance fuera de rango 0-100%"&amp;" · ","")&amp;IF(OR(AND($I270&lt;&gt;"",$I270&lt;$H270),AND($J270&lt;&gt;"",$J270&lt;MAX($H270:$I270)),AND($K270&lt;&gt;"",$K270&lt;MAX($H270:$J270))),"Avance semanal decreciente"&amp;" · ","")&amp;IF(AND(ISNUMBER($F270),$F270&lt;FechaRef,N($L270)&lt;1),"Vencida"&amp;" · ","")&amp;IF(AND(ObsObligatoria="Sí",ISNUMBER($F270),$F270&lt;FechaRef,N($L270)&lt;1,$N270=""),"Vencida sin observación"&amp;" · ",""),LEN(IF(AND($S270="Macro",$B270=""),"Macroactividad vacía"&amp;" · ","")&amp;IF(AND($B270&lt;&gt;"",$C270&lt;&gt;""),"Escriba la subactividad en otra fila, debajo de su macroactividad"&amp;" · ","")&amp;IF(AND($S270="Sub",N($R270)=0),"Subactividad sin macroactividad arriba"&amp;" · ","")&amp;IF($D270="","Sin responsable"&amp;" · ","")&amp;IF($E270="","Sin fecha de inicio"&amp;" · ","")&amp;IF($F270="","Sin fecha límite"&amp;" · ","")&amp;IF(OR(AND($E270&lt;&gt;"",NOT(ISNUMBER($E270))),AND($F270&lt;&gt;"",NOT(ISNUMBER($F270)))),"Fecha no válida"&amp;" · ","")&amp;IF(AND(ISNUMBER($E270),ISNUMBER($F270),$E270&gt;$F270),"Inicio posterior a fecha límite"&amp;" · ","")&amp;IF(AND($S270="Macro",$G270=""),"Peso vacío"&amp;" · ","")&amp;IF(AND($S270="Macro",$G270&lt;&gt;"",OR(NOT(ISNUMBER($G270)),$G270&lt;=0,$G270&gt;1)),"Peso fuera de rango"&amp;" · ","")&amp;IF(AND($S270="Sub",$G270&lt;&gt;""),"Las subactividades no llevan peso"&amp;" · ","")&amp;IF(AND($S270="Macro",ABS(SUMIFS($G$5:$G$1000,$P$5:$P$1000,$P270,$S$5:$S$1000,"Macro")-1)&gt;0.0001),"Pesos del mes suman "&amp;TEXT(SUMIFS($G$5:$G$1000,$P$5:$P$1000,$P270,$S$5:$S$1000,"Macro"),"0%")&amp;" · ","")&amp;IF(AND(N($T270)&gt;0,COUNT($H270:$K270)&gt;0),"Con subactividades: deje vacías las semanas (se calculan solas)"&amp;" · ","")&amp;IF((COUNTIF($H270:$K270,"&gt;1")+COUNTIF($H270:$K270,"&lt;0")+COUNTA($H270:$K270)-COUNT($H270:$K270))&gt;0,"Avance fuera de rango 0-100%"&amp;" · ","")&amp;IF(OR(AND($I270&lt;&gt;"",$I270&lt;$H270),AND($J270&lt;&gt;"",$J270&lt;MAX($H270:$I270)),AND($K270&lt;&gt;"",$K270&lt;MAX($H270:$J270))),"Avance semanal decreciente"&amp;" · ","")&amp;IF(AND(ISNUMBER($F270),$F270&lt;FechaRef,N($L270)&lt;1),"Vencida"&amp;" · ","")&amp;IF(AND(ObsObligatoria="Sí",ISNUMBER($F270),$F270&lt;FechaRef,N($L270)&lt;1,$N270=""),"Vencida sin observación"&amp;" · ",""))-3)))</f>
        <v/>
      </c>
      <c r="P270" s="69">
        <f>IF(NOT((COUNTA($B270:$K270)+COUNTA($N270))&gt;0),"",IF(AND($S270="Sub",N($R270)&gt;0),IF(ISNUMBER(INDEX($E$5:$E$1000,$R270-4)),DATE(YEAR(INDEX($E$5:$E$1000,$R270-4)),MONTH(INDEX($E$5:$E$1000,$R270-4)),1),IF(ISNUMBER(INDEX($F$5:$F$1000,$R270-4)),DATE(YEAR(INDEX($F$5:$F$1000,$R270-4)),MONTH(INDEX($F$5:$F$1000,$R270-4)),1),MesCiclo)),IF(ISNUMBER($E270),DATE(YEAR($E270),MONTH($E270),1),IF(ISNUMBER($F270),DATE(YEAR($F270),MONTH($F270),1),MesCiclo))))</f>
        <v/>
      </c>
      <c r="Q270" s="70">
        <f>IF(OR($P270="",$P270&lt;&gt;MesCiclo),"",COUNTIF($P$5:$P270,MesCiclo))</f>
        <v/>
      </c>
      <c r="R270" s="70">
        <f>IF($S270="","",IF($S270="Macro",ROW(),IFERROR(LOOKUP(2,1/($S$5:$S270="Macro"),ROW($S$5:$S270)),0)))</f>
        <v/>
      </c>
      <c r="S270" s="70">
        <f>IF(NOT((COUNTA($B270:$K270)+COUNTA($N270))&gt;0),"",IF($B270&lt;&gt;"","Macro",IF($C270&lt;&gt;"","Sub","Macro")))</f>
        <v/>
      </c>
      <c r="T270" s="70">
        <f>IF($S270="Macro",COUNTIFS($R$5:$R$1000,ROW(),$S$5:$S$1000,"Sub"),"")</f>
        <v/>
      </c>
      <c r="U270" s="70">
        <f>IF($S270="","",IF(ISNUMBER($H270),$H270,0))</f>
        <v/>
      </c>
      <c r="V270" s="70">
        <f>IF($S270="","",IF(ISNUMBER($I270),$I270,$U270))</f>
        <v/>
      </c>
      <c r="W270" s="70">
        <f>IF($S270="","",IF(ISNUMBER($J270),$J270,$V270))</f>
        <v/>
      </c>
      <c r="X270" s="70">
        <f>IF($S270="","",IF(ISNUMBER($K270),$K270,$W270))</f>
        <v/>
      </c>
      <c r="Y270" s="70">
        <f>IF($S270="","",IF(N($T270)&gt;0,AVERAGEIFS($U$5:$U$1000,$R$5:$R$1000,ROW(),$S$5:$S$1000,"Sub"),$U270))</f>
        <v/>
      </c>
      <c r="Z270" s="70">
        <f>IF($S270="","",IF(N($T270)&gt;0,AVERAGEIFS($V$5:$V$1000,$R$5:$R$1000,ROW(),$S$5:$S$1000,"Sub"),$V270))</f>
        <v/>
      </c>
      <c r="AA270" s="70">
        <f>IF($S270="","",IF(N($T270)&gt;0,AVERAGEIFS($W$5:$W$1000,$R$5:$R$1000,ROW(),$S$5:$S$1000,"Sub"),$W270))</f>
        <v/>
      </c>
      <c r="AB270" s="70">
        <f>IF($S270="","",IF(N($T270)&gt;0,AVERAGEIFS($X$5:$X$1000,$R$5:$R$1000,ROW(),$S$5:$S$1000,"Sub"),$X270))</f>
        <v/>
      </c>
    </row>
    <row r="271">
      <c r="A271" s="61">
        <f>IF(NOT((COUNTA($B271:$K271)+COUNTA($N271))&gt;0),"",IF($S271="Macro",COUNTIFS($S$5:$S271,"Macro",$P$5:$P271,$P271),IF(N($R271)=0,"?",COUNTIFS(INDEX($S$5:$S$1000,1):INDEX($S$5:$S$1000,$R271-4),"Macro",INDEX($P$5:$P$1000,1):INDEX($P$5:$P$1000,$R271-4),INDEX($P$5:$P$1000,$R271-4))&amp;"."&amp;COUNTIFS($R$5:$R271,$R271,$S$5:$S271,"Sub"))))</f>
        <v/>
      </c>
      <c r="B271" s="62" t="n"/>
      <c r="C271" s="63" t="n"/>
      <c r="D271" s="62" t="n"/>
      <c r="E271" s="64" t="n"/>
      <c r="F271" s="64" t="n"/>
      <c r="G271" s="65" t="n"/>
      <c r="H271" s="66" t="n"/>
      <c r="I271" s="66" t="n"/>
      <c r="J271" s="66" t="n"/>
      <c r="K271" s="66" t="n"/>
      <c r="L271" s="67">
        <f>IF(NOT((COUNTA($B271:$K271)+COUNTA($N271))&gt;0),"",IF(N($T271)&gt;0,$AB271,IFERROR(LOOKUP(2,1/(H271:K271&lt;&gt;""),H271:K271),0)))</f>
        <v/>
      </c>
      <c r="M271" s="61">
        <f>IF(L271="","",IF(L271&gt;=1,"Completado",IF(L271&gt;0,"En curso","Pendiente")))</f>
        <v/>
      </c>
      <c r="N271" s="62" t="n"/>
      <c r="O271" s="68">
        <f>IF(NOT((COUNTA($B271:$K271)+COUNTA($N271))&gt;0),"",IF((IF(AND($S271="Macro",$B271=""),"Macroactividad vacía"&amp;" · ","")&amp;IF(AND($B271&lt;&gt;"",$C271&lt;&gt;""),"Escriba la subactividad en otra fila, debajo de su macroactividad"&amp;" · ","")&amp;IF(AND($S271="Sub",N($R271)=0),"Subactividad sin macroactividad arriba"&amp;" · ","")&amp;IF($D271="","Sin responsable"&amp;" · ","")&amp;IF($E271="","Sin fecha de inicio"&amp;" · ","")&amp;IF($F271="","Sin fecha límite"&amp;" · ","")&amp;IF(OR(AND($E271&lt;&gt;"",NOT(ISNUMBER($E271))),AND($F271&lt;&gt;"",NOT(ISNUMBER($F271)))),"Fecha no válida"&amp;" · ","")&amp;IF(AND(ISNUMBER($E271),ISNUMBER($F271),$E271&gt;$F271),"Inicio posterior a fecha límite"&amp;" · ","")&amp;IF(AND($S271="Macro",$G271=""),"Peso vacío"&amp;" · ","")&amp;IF(AND($S271="Macro",$G271&lt;&gt;"",OR(NOT(ISNUMBER($G271)),$G271&lt;=0,$G271&gt;1)),"Peso fuera de rango"&amp;" · ","")&amp;IF(AND($S271="Sub",$G271&lt;&gt;""),"Las subactividades no llevan peso"&amp;" · ","")&amp;IF(AND($S271="Macro",ABS(SUMIFS($G$5:$G$1000,$P$5:$P$1000,$P271,$S$5:$S$1000,"Macro")-1)&gt;0.0001),"Pesos del mes suman "&amp;TEXT(SUMIFS($G$5:$G$1000,$P$5:$P$1000,$P271,$S$5:$S$1000,"Macro"),"0%")&amp;" · ","")&amp;IF(AND(N($T271)&gt;0,COUNT($H271:$K271)&gt;0),"Con subactividades: deje vacías las semanas (se calculan solas)"&amp;" · ","")&amp;IF((COUNTIF($H271:$K271,"&gt;1")+COUNTIF($H271:$K271,"&lt;0")+COUNTA($H271:$K271)-COUNT($H271:$K271))&gt;0,"Avance fuera de rango 0-100%"&amp;" · ","")&amp;IF(OR(AND($I271&lt;&gt;"",$I271&lt;$H271),AND($J271&lt;&gt;"",$J271&lt;MAX($H271:$I271)),AND($K271&lt;&gt;"",$K271&lt;MAX($H271:$J271))),"Avance semanal decreciente"&amp;" · ","")&amp;IF(AND(ISNUMBER($F271),$F271&lt;FechaRef,N($L271)&lt;1),"Vencida"&amp;" · ","")&amp;IF(AND(ObsObligatoria="Sí",ISNUMBER($F271),$F271&lt;FechaRef,N($L271)&lt;1,$N271=""),"Vencida sin observación"&amp;" · ",""))="","✔ OK","⚠ "&amp;LEFT(IF(AND($S271="Macro",$B271=""),"Macroactividad vacía"&amp;" · ","")&amp;IF(AND($B271&lt;&gt;"",$C271&lt;&gt;""),"Escriba la subactividad en otra fila, debajo de su macroactividad"&amp;" · ","")&amp;IF(AND($S271="Sub",N($R271)=0),"Subactividad sin macroactividad arriba"&amp;" · ","")&amp;IF($D271="","Sin responsable"&amp;" · ","")&amp;IF($E271="","Sin fecha de inicio"&amp;" · ","")&amp;IF($F271="","Sin fecha límite"&amp;" · ","")&amp;IF(OR(AND($E271&lt;&gt;"",NOT(ISNUMBER($E271))),AND($F271&lt;&gt;"",NOT(ISNUMBER($F271)))),"Fecha no válida"&amp;" · ","")&amp;IF(AND(ISNUMBER($E271),ISNUMBER($F271),$E271&gt;$F271),"Inicio posterior a fecha límite"&amp;" · ","")&amp;IF(AND($S271="Macro",$G271=""),"Peso vacío"&amp;" · ","")&amp;IF(AND($S271="Macro",$G271&lt;&gt;"",OR(NOT(ISNUMBER($G271)),$G271&lt;=0,$G271&gt;1)),"Peso fuera de rango"&amp;" · ","")&amp;IF(AND($S271="Sub",$G271&lt;&gt;""),"Las subactividades no llevan peso"&amp;" · ","")&amp;IF(AND($S271="Macro",ABS(SUMIFS($G$5:$G$1000,$P$5:$P$1000,$P271,$S$5:$S$1000,"Macro")-1)&gt;0.0001),"Pesos del mes suman "&amp;TEXT(SUMIFS($G$5:$G$1000,$P$5:$P$1000,$P271,$S$5:$S$1000,"Macro"),"0%")&amp;" · ","")&amp;IF(AND(N($T271)&gt;0,COUNT($H271:$K271)&gt;0),"Con subactividades: deje vacías las semanas (se calculan solas)"&amp;" · ","")&amp;IF((COUNTIF($H271:$K271,"&gt;1")+COUNTIF($H271:$K271,"&lt;0")+COUNTA($H271:$K271)-COUNT($H271:$K271))&gt;0,"Avance fuera de rango 0-100%"&amp;" · ","")&amp;IF(OR(AND($I271&lt;&gt;"",$I271&lt;$H271),AND($J271&lt;&gt;"",$J271&lt;MAX($H271:$I271)),AND($K271&lt;&gt;"",$K271&lt;MAX($H271:$J271))),"Avance semanal decreciente"&amp;" · ","")&amp;IF(AND(ISNUMBER($F271),$F271&lt;FechaRef,N($L271)&lt;1),"Vencida"&amp;" · ","")&amp;IF(AND(ObsObligatoria="Sí",ISNUMBER($F271),$F271&lt;FechaRef,N($L271)&lt;1,$N271=""),"Vencida sin observación"&amp;" · ",""),LEN(IF(AND($S271="Macro",$B271=""),"Macroactividad vacía"&amp;" · ","")&amp;IF(AND($B271&lt;&gt;"",$C271&lt;&gt;""),"Escriba la subactividad en otra fila, debajo de su macroactividad"&amp;" · ","")&amp;IF(AND($S271="Sub",N($R271)=0),"Subactividad sin macroactividad arriba"&amp;" · ","")&amp;IF($D271="","Sin responsable"&amp;" · ","")&amp;IF($E271="","Sin fecha de inicio"&amp;" · ","")&amp;IF($F271="","Sin fecha límite"&amp;" · ","")&amp;IF(OR(AND($E271&lt;&gt;"",NOT(ISNUMBER($E271))),AND($F271&lt;&gt;"",NOT(ISNUMBER($F271)))),"Fecha no válida"&amp;" · ","")&amp;IF(AND(ISNUMBER($E271),ISNUMBER($F271),$E271&gt;$F271),"Inicio posterior a fecha límite"&amp;" · ","")&amp;IF(AND($S271="Macro",$G271=""),"Peso vacío"&amp;" · ","")&amp;IF(AND($S271="Macro",$G271&lt;&gt;"",OR(NOT(ISNUMBER($G271)),$G271&lt;=0,$G271&gt;1)),"Peso fuera de rango"&amp;" · ","")&amp;IF(AND($S271="Sub",$G271&lt;&gt;""),"Las subactividades no llevan peso"&amp;" · ","")&amp;IF(AND($S271="Macro",ABS(SUMIFS($G$5:$G$1000,$P$5:$P$1000,$P271,$S$5:$S$1000,"Macro")-1)&gt;0.0001),"Pesos del mes suman "&amp;TEXT(SUMIFS($G$5:$G$1000,$P$5:$P$1000,$P271,$S$5:$S$1000,"Macro"),"0%")&amp;" · ","")&amp;IF(AND(N($T271)&gt;0,COUNT($H271:$K271)&gt;0),"Con subactividades: deje vacías las semanas (se calculan solas)"&amp;" · ","")&amp;IF((COUNTIF($H271:$K271,"&gt;1")+COUNTIF($H271:$K271,"&lt;0")+COUNTA($H271:$K271)-COUNT($H271:$K271))&gt;0,"Avance fuera de rango 0-100%"&amp;" · ","")&amp;IF(OR(AND($I271&lt;&gt;"",$I271&lt;$H271),AND($J271&lt;&gt;"",$J271&lt;MAX($H271:$I271)),AND($K271&lt;&gt;"",$K271&lt;MAX($H271:$J271))),"Avance semanal decreciente"&amp;" · ","")&amp;IF(AND(ISNUMBER($F271),$F271&lt;FechaRef,N($L271)&lt;1),"Vencida"&amp;" · ","")&amp;IF(AND(ObsObligatoria="Sí",ISNUMBER($F271),$F271&lt;FechaRef,N($L271)&lt;1,$N271=""),"Vencida sin observación"&amp;" · ",""))-3)))</f>
        <v/>
      </c>
      <c r="P271" s="69">
        <f>IF(NOT((COUNTA($B271:$K271)+COUNTA($N271))&gt;0),"",IF(AND($S271="Sub",N($R271)&gt;0),IF(ISNUMBER(INDEX($E$5:$E$1000,$R271-4)),DATE(YEAR(INDEX($E$5:$E$1000,$R271-4)),MONTH(INDEX($E$5:$E$1000,$R271-4)),1),IF(ISNUMBER(INDEX($F$5:$F$1000,$R271-4)),DATE(YEAR(INDEX($F$5:$F$1000,$R271-4)),MONTH(INDEX($F$5:$F$1000,$R271-4)),1),MesCiclo)),IF(ISNUMBER($E271),DATE(YEAR($E271),MONTH($E271),1),IF(ISNUMBER($F271),DATE(YEAR($F271),MONTH($F271),1),MesCiclo))))</f>
        <v/>
      </c>
      <c r="Q271" s="70">
        <f>IF(OR($P271="",$P271&lt;&gt;MesCiclo),"",COUNTIF($P$5:$P271,MesCiclo))</f>
        <v/>
      </c>
      <c r="R271" s="70">
        <f>IF($S271="","",IF($S271="Macro",ROW(),IFERROR(LOOKUP(2,1/($S$5:$S271="Macro"),ROW($S$5:$S271)),0)))</f>
        <v/>
      </c>
      <c r="S271" s="70">
        <f>IF(NOT((COUNTA($B271:$K271)+COUNTA($N271))&gt;0),"",IF($B271&lt;&gt;"","Macro",IF($C271&lt;&gt;"","Sub","Macro")))</f>
        <v/>
      </c>
      <c r="T271" s="70">
        <f>IF($S271="Macro",COUNTIFS($R$5:$R$1000,ROW(),$S$5:$S$1000,"Sub"),"")</f>
        <v/>
      </c>
      <c r="U271" s="70">
        <f>IF($S271="","",IF(ISNUMBER($H271),$H271,0))</f>
        <v/>
      </c>
      <c r="V271" s="70">
        <f>IF($S271="","",IF(ISNUMBER($I271),$I271,$U271))</f>
        <v/>
      </c>
      <c r="W271" s="70">
        <f>IF($S271="","",IF(ISNUMBER($J271),$J271,$V271))</f>
        <v/>
      </c>
      <c r="X271" s="70">
        <f>IF($S271="","",IF(ISNUMBER($K271),$K271,$W271))</f>
        <v/>
      </c>
      <c r="Y271" s="70">
        <f>IF($S271="","",IF(N($T271)&gt;0,AVERAGEIFS($U$5:$U$1000,$R$5:$R$1000,ROW(),$S$5:$S$1000,"Sub"),$U271))</f>
        <v/>
      </c>
      <c r="Z271" s="70">
        <f>IF($S271="","",IF(N($T271)&gt;0,AVERAGEIFS($V$5:$V$1000,$R$5:$R$1000,ROW(),$S$5:$S$1000,"Sub"),$V271))</f>
        <v/>
      </c>
      <c r="AA271" s="70">
        <f>IF($S271="","",IF(N($T271)&gt;0,AVERAGEIFS($W$5:$W$1000,$R$5:$R$1000,ROW(),$S$5:$S$1000,"Sub"),$W271))</f>
        <v/>
      </c>
      <c r="AB271" s="70">
        <f>IF($S271="","",IF(N($T271)&gt;0,AVERAGEIFS($X$5:$X$1000,$R$5:$R$1000,ROW(),$S$5:$S$1000,"Sub"),$X271))</f>
        <v/>
      </c>
    </row>
    <row r="272">
      <c r="A272" s="61">
        <f>IF(NOT((COUNTA($B272:$K272)+COUNTA($N272))&gt;0),"",IF($S272="Macro",COUNTIFS($S$5:$S272,"Macro",$P$5:$P272,$P272),IF(N($R272)=0,"?",COUNTIFS(INDEX($S$5:$S$1000,1):INDEX($S$5:$S$1000,$R272-4),"Macro",INDEX($P$5:$P$1000,1):INDEX($P$5:$P$1000,$R272-4),INDEX($P$5:$P$1000,$R272-4))&amp;"."&amp;COUNTIFS($R$5:$R272,$R272,$S$5:$S272,"Sub"))))</f>
        <v/>
      </c>
      <c r="B272" s="62" t="n"/>
      <c r="C272" s="63" t="n"/>
      <c r="D272" s="62" t="n"/>
      <c r="E272" s="64" t="n"/>
      <c r="F272" s="64" t="n"/>
      <c r="G272" s="65" t="n"/>
      <c r="H272" s="66" t="n"/>
      <c r="I272" s="66" t="n"/>
      <c r="J272" s="66" t="n"/>
      <c r="K272" s="66" t="n"/>
      <c r="L272" s="67">
        <f>IF(NOT((COUNTA($B272:$K272)+COUNTA($N272))&gt;0),"",IF(N($T272)&gt;0,$AB272,IFERROR(LOOKUP(2,1/(H272:K272&lt;&gt;""),H272:K272),0)))</f>
        <v/>
      </c>
      <c r="M272" s="61">
        <f>IF(L272="","",IF(L272&gt;=1,"Completado",IF(L272&gt;0,"En curso","Pendiente")))</f>
        <v/>
      </c>
      <c r="N272" s="62" t="n"/>
      <c r="O272" s="68">
        <f>IF(NOT((COUNTA($B272:$K272)+COUNTA($N272))&gt;0),"",IF((IF(AND($S272="Macro",$B272=""),"Macroactividad vacía"&amp;" · ","")&amp;IF(AND($B272&lt;&gt;"",$C272&lt;&gt;""),"Escriba la subactividad en otra fila, debajo de su macroactividad"&amp;" · ","")&amp;IF(AND($S272="Sub",N($R272)=0),"Subactividad sin macroactividad arriba"&amp;" · ","")&amp;IF($D272="","Sin responsable"&amp;" · ","")&amp;IF($E272="","Sin fecha de inicio"&amp;" · ","")&amp;IF($F272="","Sin fecha límite"&amp;" · ","")&amp;IF(OR(AND($E272&lt;&gt;"",NOT(ISNUMBER($E272))),AND($F272&lt;&gt;"",NOT(ISNUMBER($F272)))),"Fecha no válida"&amp;" · ","")&amp;IF(AND(ISNUMBER($E272),ISNUMBER($F272),$E272&gt;$F272),"Inicio posterior a fecha límite"&amp;" · ","")&amp;IF(AND($S272="Macro",$G272=""),"Peso vacío"&amp;" · ","")&amp;IF(AND($S272="Macro",$G272&lt;&gt;"",OR(NOT(ISNUMBER($G272)),$G272&lt;=0,$G272&gt;1)),"Peso fuera de rango"&amp;" · ","")&amp;IF(AND($S272="Sub",$G272&lt;&gt;""),"Las subactividades no llevan peso"&amp;" · ","")&amp;IF(AND($S272="Macro",ABS(SUMIFS($G$5:$G$1000,$P$5:$P$1000,$P272,$S$5:$S$1000,"Macro")-1)&gt;0.0001),"Pesos del mes suman "&amp;TEXT(SUMIFS($G$5:$G$1000,$P$5:$P$1000,$P272,$S$5:$S$1000,"Macro"),"0%")&amp;" · ","")&amp;IF(AND(N($T272)&gt;0,COUNT($H272:$K272)&gt;0),"Con subactividades: deje vacías las semanas (se calculan solas)"&amp;" · ","")&amp;IF((COUNTIF($H272:$K272,"&gt;1")+COUNTIF($H272:$K272,"&lt;0")+COUNTA($H272:$K272)-COUNT($H272:$K272))&gt;0,"Avance fuera de rango 0-100%"&amp;" · ","")&amp;IF(OR(AND($I272&lt;&gt;"",$I272&lt;$H272),AND($J272&lt;&gt;"",$J272&lt;MAX($H272:$I272)),AND($K272&lt;&gt;"",$K272&lt;MAX($H272:$J272))),"Avance semanal decreciente"&amp;" · ","")&amp;IF(AND(ISNUMBER($F272),$F272&lt;FechaRef,N($L272)&lt;1),"Vencida"&amp;" · ","")&amp;IF(AND(ObsObligatoria="Sí",ISNUMBER($F272),$F272&lt;FechaRef,N($L272)&lt;1,$N272=""),"Vencida sin observación"&amp;" · ",""))="","✔ OK","⚠ "&amp;LEFT(IF(AND($S272="Macro",$B272=""),"Macroactividad vacía"&amp;" · ","")&amp;IF(AND($B272&lt;&gt;"",$C272&lt;&gt;""),"Escriba la subactividad en otra fila, debajo de su macroactividad"&amp;" · ","")&amp;IF(AND($S272="Sub",N($R272)=0),"Subactividad sin macroactividad arriba"&amp;" · ","")&amp;IF($D272="","Sin responsable"&amp;" · ","")&amp;IF($E272="","Sin fecha de inicio"&amp;" · ","")&amp;IF($F272="","Sin fecha límite"&amp;" · ","")&amp;IF(OR(AND($E272&lt;&gt;"",NOT(ISNUMBER($E272))),AND($F272&lt;&gt;"",NOT(ISNUMBER($F272)))),"Fecha no válida"&amp;" · ","")&amp;IF(AND(ISNUMBER($E272),ISNUMBER($F272),$E272&gt;$F272),"Inicio posterior a fecha límite"&amp;" · ","")&amp;IF(AND($S272="Macro",$G272=""),"Peso vacío"&amp;" · ","")&amp;IF(AND($S272="Macro",$G272&lt;&gt;"",OR(NOT(ISNUMBER($G272)),$G272&lt;=0,$G272&gt;1)),"Peso fuera de rango"&amp;" · ","")&amp;IF(AND($S272="Sub",$G272&lt;&gt;""),"Las subactividades no llevan peso"&amp;" · ","")&amp;IF(AND($S272="Macro",ABS(SUMIFS($G$5:$G$1000,$P$5:$P$1000,$P272,$S$5:$S$1000,"Macro")-1)&gt;0.0001),"Pesos del mes suman "&amp;TEXT(SUMIFS($G$5:$G$1000,$P$5:$P$1000,$P272,$S$5:$S$1000,"Macro"),"0%")&amp;" · ","")&amp;IF(AND(N($T272)&gt;0,COUNT($H272:$K272)&gt;0),"Con subactividades: deje vacías las semanas (se calculan solas)"&amp;" · ","")&amp;IF((COUNTIF($H272:$K272,"&gt;1")+COUNTIF($H272:$K272,"&lt;0")+COUNTA($H272:$K272)-COUNT($H272:$K272))&gt;0,"Avance fuera de rango 0-100%"&amp;" · ","")&amp;IF(OR(AND($I272&lt;&gt;"",$I272&lt;$H272),AND($J272&lt;&gt;"",$J272&lt;MAX($H272:$I272)),AND($K272&lt;&gt;"",$K272&lt;MAX($H272:$J272))),"Avance semanal decreciente"&amp;" · ","")&amp;IF(AND(ISNUMBER($F272),$F272&lt;FechaRef,N($L272)&lt;1),"Vencida"&amp;" · ","")&amp;IF(AND(ObsObligatoria="Sí",ISNUMBER($F272),$F272&lt;FechaRef,N($L272)&lt;1,$N272=""),"Vencida sin observación"&amp;" · ",""),LEN(IF(AND($S272="Macro",$B272=""),"Macroactividad vacía"&amp;" · ","")&amp;IF(AND($B272&lt;&gt;"",$C272&lt;&gt;""),"Escriba la subactividad en otra fila, debajo de su macroactividad"&amp;" · ","")&amp;IF(AND($S272="Sub",N($R272)=0),"Subactividad sin macroactividad arriba"&amp;" · ","")&amp;IF($D272="","Sin responsable"&amp;" · ","")&amp;IF($E272="","Sin fecha de inicio"&amp;" · ","")&amp;IF($F272="","Sin fecha límite"&amp;" · ","")&amp;IF(OR(AND($E272&lt;&gt;"",NOT(ISNUMBER($E272))),AND($F272&lt;&gt;"",NOT(ISNUMBER($F272)))),"Fecha no válida"&amp;" · ","")&amp;IF(AND(ISNUMBER($E272),ISNUMBER($F272),$E272&gt;$F272),"Inicio posterior a fecha límite"&amp;" · ","")&amp;IF(AND($S272="Macro",$G272=""),"Peso vacío"&amp;" · ","")&amp;IF(AND($S272="Macro",$G272&lt;&gt;"",OR(NOT(ISNUMBER($G272)),$G272&lt;=0,$G272&gt;1)),"Peso fuera de rango"&amp;" · ","")&amp;IF(AND($S272="Sub",$G272&lt;&gt;""),"Las subactividades no llevan peso"&amp;" · ","")&amp;IF(AND($S272="Macro",ABS(SUMIFS($G$5:$G$1000,$P$5:$P$1000,$P272,$S$5:$S$1000,"Macro")-1)&gt;0.0001),"Pesos del mes suman "&amp;TEXT(SUMIFS($G$5:$G$1000,$P$5:$P$1000,$P272,$S$5:$S$1000,"Macro"),"0%")&amp;" · ","")&amp;IF(AND(N($T272)&gt;0,COUNT($H272:$K272)&gt;0),"Con subactividades: deje vacías las semanas (se calculan solas)"&amp;" · ","")&amp;IF((COUNTIF($H272:$K272,"&gt;1")+COUNTIF($H272:$K272,"&lt;0")+COUNTA($H272:$K272)-COUNT($H272:$K272))&gt;0,"Avance fuera de rango 0-100%"&amp;" · ","")&amp;IF(OR(AND($I272&lt;&gt;"",$I272&lt;$H272),AND($J272&lt;&gt;"",$J272&lt;MAX($H272:$I272)),AND($K272&lt;&gt;"",$K272&lt;MAX($H272:$J272))),"Avance semanal decreciente"&amp;" · ","")&amp;IF(AND(ISNUMBER($F272),$F272&lt;FechaRef,N($L272)&lt;1),"Vencida"&amp;" · ","")&amp;IF(AND(ObsObligatoria="Sí",ISNUMBER($F272),$F272&lt;FechaRef,N($L272)&lt;1,$N272=""),"Vencida sin observación"&amp;" · ",""))-3)))</f>
        <v/>
      </c>
      <c r="P272" s="69">
        <f>IF(NOT((COUNTA($B272:$K272)+COUNTA($N272))&gt;0),"",IF(AND($S272="Sub",N($R272)&gt;0),IF(ISNUMBER(INDEX($E$5:$E$1000,$R272-4)),DATE(YEAR(INDEX($E$5:$E$1000,$R272-4)),MONTH(INDEX($E$5:$E$1000,$R272-4)),1),IF(ISNUMBER(INDEX($F$5:$F$1000,$R272-4)),DATE(YEAR(INDEX($F$5:$F$1000,$R272-4)),MONTH(INDEX($F$5:$F$1000,$R272-4)),1),MesCiclo)),IF(ISNUMBER($E272),DATE(YEAR($E272),MONTH($E272),1),IF(ISNUMBER($F272),DATE(YEAR($F272),MONTH($F272),1),MesCiclo))))</f>
        <v/>
      </c>
      <c r="Q272" s="70">
        <f>IF(OR($P272="",$P272&lt;&gt;MesCiclo),"",COUNTIF($P$5:$P272,MesCiclo))</f>
        <v/>
      </c>
      <c r="R272" s="70">
        <f>IF($S272="","",IF($S272="Macro",ROW(),IFERROR(LOOKUP(2,1/($S$5:$S272="Macro"),ROW($S$5:$S272)),0)))</f>
        <v/>
      </c>
      <c r="S272" s="70">
        <f>IF(NOT((COUNTA($B272:$K272)+COUNTA($N272))&gt;0),"",IF($B272&lt;&gt;"","Macro",IF($C272&lt;&gt;"","Sub","Macro")))</f>
        <v/>
      </c>
      <c r="T272" s="70">
        <f>IF($S272="Macro",COUNTIFS($R$5:$R$1000,ROW(),$S$5:$S$1000,"Sub"),"")</f>
        <v/>
      </c>
      <c r="U272" s="70">
        <f>IF($S272="","",IF(ISNUMBER($H272),$H272,0))</f>
        <v/>
      </c>
      <c r="V272" s="70">
        <f>IF($S272="","",IF(ISNUMBER($I272),$I272,$U272))</f>
        <v/>
      </c>
      <c r="W272" s="70">
        <f>IF($S272="","",IF(ISNUMBER($J272),$J272,$V272))</f>
        <v/>
      </c>
      <c r="X272" s="70">
        <f>IF($S272="","",IF(ISNUMBER($K272),$K272,$W272))</f>
        <v/>
      </c>
      <c r="Y272" s="70">
        <f>IF($S272="","",IF(N($T272)&gt;0,AVERAGEIFS($U$5:$U$1000,$R$5:$R$1000,ROW(),$S$5:$S$1000,"Sub"),$U272))</f>
        <v/>
      </c>
      <c r="Z272" s="70">
        <f>IF($S272="","",IF(N($T272)&gt;0,AVERAGEIFS($V$5:$V$1000,$R$5:$R$1000,ROW(),$S$5:$S$1000,"Sub"),$V272))</f>
        <v/>
      </c>
      <c r="AA272" s="70">
        <f>IF($S272="","",IF(N($T272)&gt;0,AVERAGEIFS($W$5:$W$1000,$R$5:$R$1000,ROW(),$S$5:$S$1000,"Sub"),$W272))</f>
        <v/>
      </c>
      <c r="AB272" s="70">
        <f>IF($S272="","",IF(N($T272)&gt;0,AVERAGEIFS($X$5:$X$1000,$R$5:$R$1000,ROW(),$S$5:$S$1000,"Sub"),$X272))</f>
        <v/>
      </c>
    </row>
    <row r="273">
      <c r="A273" s="61">
        <f>IF(NOT((COUNTA($B273:$K273)+COUNTA($N273))&gt;0),"",IF($S273="Macro",COUNTIFS($S$5:$S273,"Macro",$P$5:$P273,$P273),IF(N($R273)=0,"?",COUNTIFS(INDEX($S$5:$S$1000,1):INDEX($S$5:$S$1000,$R273-4),"Macro",INDEX($P$5:$P$1000,1):INDEX($P$5:$P$1000,$R273-4),INDEX($P$5:$P$1000,$R273-4))&amp;"."&amp;COUNTIFS($R$5:$R273,$R273,$S$5:$S273,"Sub"))))</f>
        <v/>
      </c>
      <c r="B273" s="62" t="n"/>
      <c r="C273" s="63" t="n"/>
      <c r="D273" s="62" t="n"/>
      <c r="E273" s="64" t="n"/>
      <c r="F273" s="64" t="n"/>
      <c r="G273" s="65" t="n"/>
      <c r="H273" s="66" t="n"/>
      <c r="I273" s="66" t="n"/>
      <c r="J273" s="66" t="n"/>
      <c r="K273" s="66" t="n"/>
      <c r="L273" s="67">
        <f>IF(NOT((COUNTA($B273:$K273)+COUNTA($N273))&gt;0),"",IF(N($T273)&gt;0,$AB273,IFERROR(LOOKUP(2,1/(H273:K273&lt;&gt;""),H273:K273),0)))</f>
        <v/>
      </c>
      <c r="M273" s="61">
        <f>IF(L273="","",IF(L273&gt;=1,"Completado",IF(L273&gt;0,"En curso","Pendiente")))</f>
        <v/>
      </c>
      <c r="N273" s="62" t="n"/>
      <c r="O273" s="68">
        <f>IF(NOT((COUNTA($B273:$K273)+COUNTA($N273))&gt;0),"",IF((IF(AND($S273="Macro",$B273=""),"Macroactividad vacía"&amp;" · ","")&amp;IF(AND($B273&lt;&gt;"",$C273&lt;&gt;""),"Escriba la subactividad en otra fila, debajo de su macroactividad"&amp;" · ","")&amp;IF(AND($S273="Sub",N($R273)=0),"Subactividad sin macroactividad arriba"&amp;" · ","")&amp;IF($D273="","Sin responsable"&amp;" · ","")&amp;IF($E273="","Sin fecha de inicio"&amp;" · ","")&amp;IF($F273="","Sin fecha límite"&amp;" · ","")&amp;IF(OR(AND($E273&lt;&gt;"",NOT(ISNUMBER($E273))),AND($F273&lt;&gt;"",NOT(ISNUMBER($F273)))),"Fecha no válida"&amp;" · ","")&amp;IF(AND(ISNUMBER($E273),ISNUMBER($F273),$E273&gt;$F273),"Inicio posterior a fecha límite"&amp;" · ","")&amp;IF(AND($S273="Macro",$G273=""),"Peso vacío"&amp;" · ","")&amp;IF(AND($S273="Macro",$G273&lt;&gt;"",OR(NOT(ISNUMBER($G273)),$G273&lt;=0,$G273&gt;1)),"Peso fuera de rango"&amp;" · ","")&amp;IF(AND($S273="Sub",$G273&lt;&gt;""),"Las subactividades no llevan peso"&amp;" · ","")&amp;IF(AND($S273="Macro",ABS(SUMIFS($G$5:$G$1000,$P$5:$P$1000,$P273,$S$5:$S$1000,"Macro")-1)&gt;0.0001),"Pesos del mes suman "&amp;TEXT(SUMIFS($G$5:$G$1000,$P$5:$P$1000,$P273,$S$5:$S$1000,"Macro"),"0%")&amp;" · ","")&amp;IF(AND(N($T273)&gt;0,COUNT($H273:$K273)&gt;0),"Con subactividades: deje vacías las semanas (se calculan solas)"&amp;" · ","")&amp;IF((COUNTIF($H273:$K273,"&gt;1")+COUNTIF($H273:$K273,"&lt;0")+COUNTA($H273:$K273)-COUNT($H273:$K273))&gt;0,"Avance fuera de rango 0-100%"&amp;" · ","")&amp;IF(OR(AND($I273&lt;&gt;"",$I273&lt;$H273),AND($J273&lt;&gt;"",$J273&lt;MAX($H273:$I273)),AND($K273&lt;&gt;"",$K273&lt;MAX($H273:$J273))),"Avance semanal decreciente"&amp;" · ","")&amp;IF(AND(ISNUMBER($F273),$F273&lt;FechaRef,N($L273)&lt;1),"Vencida"&amp;" · ","")&amp;IF(AND(ObsObligatoria="Sí",ISNUMBER($F273),$F273&lt;FechaRef,N($L273)&lt;1,$N273=""),"Vencida sin observación"&amp;" · ",""))="","✔ OK","⚠ "&amp;LEFT(IF(AND($S273="Macro",$B273=""),"Macroactividad vacía"&amp;" · ","")&amp;IF(AND($B273&lt;&gt;"",$C273&lt;&gt;""),"Escriba la subactividad en otra fila, debajo de su macroactividad"&amp;" · ","")&amp;IF(AND($S273="Sub",N($R273)=0),"Subactividad sin macroactividad arriba"&amp;" · ","")&amp;IF($D273="","Sin responsable"&amp;" · ","")&amp;IF($E273="","Sin fecha de inicio"&amp;" · ","")&amp;IF($F273="","Sin fecha límite"&amp;" · ","")&amp;IF(OR(AND($E273&lt;&gt;"",NOT(ISNUMBER($E273))),AND($F273&lt;&gt;"",NOT(ISNUMBER($F273)))),"Fecha no válida"&amp;" · ","")&amp;IF(AND(ISNUMBER($E273),ISNUMBER($F273),$E273&gt;$F273),"Inicio posterior a fecha límite"&amp;" · ","")&amp;IF(AND($S273="Macro",$G273=""),"Peso vacío"&amp;" · ","")&amp;IF(AND($S273="Macro",$G273&lt;&gt;"",OR(NOT(ISNUMBER($G273)),$G273&lt;=0,$G273&gt;1)),"Peso fuera de rango"&amp;" · ","")&amp;IF(AND($S273="Sub",$G273&lt;&gt;""),"Las subactividades no llevan peso"&amp;" · ","")&amp;IF(AND($S273="Macro",ABS(SUMIFS($G$5:$G$1000,$P$5:$P$1000,$P273,$S$5:$S$1000,"Macro")-1)&gt;0.0001),"Pesos del mes suman "&amp;TEXT(SUMIFS($G$5:$G$1000,$P$5:$P$1000,$P273,$S$5:$S$1000,"Macro"),"0%")&amp;" · ","")&amp;IF(AND(N($T273)&gt;0,COUNT($H273:$K273)&gt;0),"Con subactividades: deje vacías las semanas (se calculan solas)"&amp;" · ","")&amp;IF((COUNTIF($H273:$K273,"&gt;1")+COUNTIF($H273:$K273,"&lt;0")+COUNTA($H273:$K273)-COUNT($H273:$K273))&gt;0,"Avance fuera de rango 0-100%"&amp;" · ","")&amp;IF(OR(AND($I273&lt;&gt;"",$I273&lt;$H273),AND($J273&lt;&gt;"",$J273&lt;MAX($H273:$I273)),AND($K273&lt;&gt;"",$K273&lt;MAX($H273:$J273))),"Avance semanal decreciente"&amp;" · ","")&amp;IF(AND(ISNUMBER($F273),$F273&lt;FechaRef,N($L273)&lt;1),"Vencida"&amp;" · ","")&amp;IF(AND(ObsObligatoria="Sí",ISNUMBER($F273),$F273&lt;FechaRef,N($L273)&lt;1,$N273=""),"Vencida sin observación"&amp;" · ",""),LEN(IF(AND($S273="Macro",$B273=""),"Macroactividad vacía"&amp;" · ","")&amp;IF(AND($B273&lt;&gt;"",$C273&lt;&gt;""),"Escriba la subactividad en otra fila, debajo de su macroactividad"&amp;" · ","")&amp;IF(AND($S273="Sub",N($R273)=0),"Subactividad sin macroactividad arriba"&amp;" · ","")&amp;IF($D273="","Sin responsable"&amp;" · ","")&amp;IF($E273="","Sin fecha de inicio"&amp;" · ","")&amp;IF($F273="","Sin fecha límite"&amp;" · ","")&amp;IF(OR(AND($E273&lt;&gt;"",NOT(ISNUMBER($E273))),AND($F273&lt;&gt;"",NOT(ISNUMBER($F273)))),"Fecha no válida"&amp;" · ","")&amp;IF(AND(ISNUMBER($E273),ISNUMBER($F273),$E273&gt;$F273),"Inicio posterior a fecha límite"&amp;" · ","")&amp;IF(AND($S273="Macro",$G273=""),"Peso vacío"&amp;" · ","")&amp;IF(AND($S273="Macro",$G273&lt;&gt;"",OR(NOT(ISNUMBER($G273)),$G273&lt;=0,$G273&gt;1)),"Peso fuera de rango"&amp;" · ","")&amp;IF(AND($S273="Sub",$G273&lt;&gt;""),"Las subactividades no llevan peso"&amp;" · ","")&amp;IF(AND($S273="Macro",ABS(SUMIFS($G$5:$G$1000,$P$5:$P$1000,$P273,$S$5:$S$1000,"Macro")-1)&gt;0.0001),"Pesos del mes suman "&amp;TEXT(SUMIFS($G$5:$G$1000,$P$5:$P$1000,$P273,$S$5:$S$1000,"Macro"),"0%")&amp;" · ","")&amp;IF(AND(N($T273)&gt;0,COUNT($H273:$K273)&gt;0),"Con subactividades: deje vacías las semanas (se calculan solas)"&amp;" · ","")&amp;IF((COUNTIF($H273:$K273,"&gt;1")+COUNTIF($H273:$K273,"&lt;0")+COUNTA($H273:$K273)-COUNT($H273:$K273))&gt;0,"Avance fuera de rango 0-100%"&amp;" · ","")&amp;IF(OR(AND($I273&lt;&gt;"",$I273&lt;$H273),AND($J273&lt;&gt;"",$J273&lt;MAX($H273:$I273)),AND($K273&lt;&gt;"",$K273&lt;MAX($H273:$J273))),"Avance semanal decreciente"&amp;" · ","")&amp;IF(AND(ISNUMBER($F273),$F273&lt;FechaRef,N($L273)&lt;1),"Vencida"&amp;" · ","")&amp;IF(AND(ObsObligatoria="Sí",ISNUMBER($F273),$F273&lt;FechaRef,N($L273)&lt;1,$N273=""),"Vencida sin observación"&amp;" · ",""))-3)))</f>
        <v/>
      </c>
      <c r="P273" s="69">
        <f>IF(NOT((COUNTA($B273:$K273)+COUNTA($N273))&gt;0),"",IF(AND($S273="Sub",N($R273)&gt;0),IF(ISNUMBER(INDEX($E$5:$E$1000,$R273-4)),DATE(YEAR(INDEX($E$5:$E$1000,$R273-4)),MONTH(INDEX($E$5:$E$1000,$R273-4)),1),IF(ISNUMBER(INDEX($F$5:$F$1000,$R273-4)),DATE(YEAR(INDEX($F$5:$F$1000,$R273-4)),MONTH(INDEX($F$5:$F$1000,$R273-4)),1),MesCiclo)),IF(ISNUMBER($E273),DATE(YEAR($E273),MONTH($E273),1),IF(ISNUMBER($F273),DATE(YEAR($F273),MONTH($F273),1),MesCiclo))))</f>
        <v/>
      </c>
      <c r="Q273" s="70">
        <f>IF(OR($P273="",$P273&lt;&gt;MesCiclo),"",COUNTIF($P$5:$P273,MesCiclo))</f>
        <v/>
      </c>
      <c r="R273" s="70">
        <f>IF($S273="","",IF($S273="Macro",ROW(),IFERROR(LOOKUP(2,1/($S$5:$S273="Macro"),ROW($S$5:$S273)),0)))</f>
        <v/>
      </c>
      <c r="S273" s="70">
        <f>IF(NOT((COUNTA($B273:$K273)+COUNTA($N273))&gt;0),"",IF($B273&lt;&gt;"","Macro",IF($C273&lt;&gt;"","Sub","Macro")))</f>
        <v/>
      </c>
      <c r="T273" s="70">
        <f>IF($S273="Macro",COUNTIFS($R$5:$R$1000,ROW(),$S$5:$S$1000,"Sub"),"")</f>
        <v/>
      </c>
      <c r="U273" s="70">
        <f>IF($S273="","",IF(ISNUMBER($H273),$H273,0))</f>
        <v/>
      </c>
      <c r="V273" s="70">
        <f>IF($S273="","",IF(ISNUMBER($I273),$I273,$U273))</f>
        <v/>
      </c>
      <c r="W273" s="70">
        <f>IF($S273="","",IF(ISNUMBER($J273),$J273,$V273))</f>
        <v/>
      </c>
      <c r="X273" s="70">
        <f>IF($S273="","",IF(ISNUMBER($K273),$K273,$W273))</f>
        <v/>
      </c>
      <c r="Y273" s="70">
        <f>IF($S273="","",IF(N($T273)&gt;0,AVERAGEIFS($U$5:$U$1000,$R$5:$R$1000,ROW(),$S$5:$S$1000,"Sub"),$U273))</f>
        <v/>
      </c>
      <c r="Z273" s="70">
        <f>IF($S273="","",IF(N($T273)&gt;0,AVERAGEIFS($V$5:$V$1000,$R$5:$R$1000,ROW(),$S$5:$S$1000,"Sub"),$V273))</f>
        <v/>
      </c>
      <c r="AA273" s="70">
        <f>IF($S273="","",IF(N($T273)&gt;0,AVERAGEIFS($W$5:$W$1000,$R$5:$R$1000,ROW(),$S$5:$S$1000,"Sub"),$W273))</f>
        <v/>
      </c>
      <c r="AB273" s="70">
        <f>IF($S273="","",IF(N($T273)&gt;0,AVERAGEIFS($X$5:$X$1000,$R$5:$R$1000,ROW(),$S$5:$S$1000,"Sub"),$X273))</f>
        <v/>
      </c>
    </row>
    <row r="274">
      <c r="A274" s="61">
        <f>IF(NOT((COUNTA($B274:$K274)+COUNTA($N274))&gt;0),"",IF($S274="Macro",COUNTIFS($S$5:$S274,"Macro",$P$5:$P274,$P274),IF(N($R274)=0,"?",COUNTIFS(INDEX($S$5:$S$1000,1):INDEX($S$5:$S$1000,$R274-4),"Macro",INDEX($P$5:$P$1000,1):INDEX($P$5:$P$1000,$R274-4),INDEX($P$5:$P$1000,$R274-4))&amp;"."&amp;COUNTIFS($R$5:$R274,$R274,$S$5:$S274,"Sub"))))</f>
        <v/>
      </c>
      <c r="B274" s="62" t="n"/>
      <c r="C274" s="63" t="n"/>
      <c r="D274" s="62" t="n"/>
      <c r="E274" s="64" t="n"/>
      <c r="F274" s="64" t="n"/>
      <c r="G274" s="65" t="n"/>
      <c r="H274" s="66" t="n"/>
      <c r="I274" s="66" t="n"/>
      <c r="J274" s="66" t="n"/>
      <c r="K274" s="66" t="n"/>
      <c r="L274" s="67">
        <f>IF(NOT((COUNTA($B274:$K274)+COUNTA($N274))&gt;0),"",IF(N($T274)&gt;0,$AB274,IFERROR(LOOKUP(2,1/(H274:K274&lt;&gt;""),H274:K274),0)))</f>
        <v/>
      </c>
      <c r="M274" s="61">
        <f>IF(L274="","",IF(L274&gt;=1,"Completado",IF(L274&gt;0,"En curso","Pendiente")))</f>
        <v/>
      </c>
      <c r="N274" s="62" t="n"/>
      <c r="O274" s="68">
        <f>IF(NOT((COUNTA($B274:$K274)+COUNTA($N274))&gt;0),"",IF((IF(AND($S274="Macro",$B274=""),"Macroactividad vacía"&amp;" · ","")&amp;IF(AND($B274&lt;&gt;"",$C274&lt;&gt;""),"Escriba la subactividad en otra fila, debajo de su macroactividad"&amp;" · ","")&amp;IF(AND($S274="Sub",N($R274)=0),"Subactividad sin macroactividad arriba"&amp;" · ","")&amp;IF($D274="","Sin responsable"&amp;" · ","")&amp;IF($E274="","Sin fecha de inicio"&amp;" · ","")&amp;IF($F274="","Sin fecha límite"&amp;" · ","")&amp;IF(OR(AND($E274&lt;&gt;"",NOT(ISNUMBER($E274))),AND($F274&lt;&gt;"",NOT(ISNUMBER($F274)))),"Fecha no válida"&amp;" · ","")&amp;IF(AND(ISNUMBER($E274),ISNUMBER($F274),$E274&gt;$F274),"Inicio posterior a fecha límite"&amp;" · ","")&amp;IF(AND($S274="Macro",$G274=""),"Peso vacío"&amp;" · ","")&amp;IF(AND($S274="Macro",$G274&lt;&gt;"",OR(NOT(ISNUMBER($G274)),$G274&lt;=0,$G274&gt;1)),"Peso fuera de rango"&amp;" · ","")&amp;IF(AND($S274="Sub",$G274&lt;&gt;""),"Las subactividades no llevan peso"&amp;" · ","")&amp;IF(AND($S274="Macro",ABS(SUMIFS($G$5:$G$1000,$P$5:$P$1000,$P274,$S$5:$S$1000,"Macro")-1)&gt;0.0001),"Pesos del mes suman "&amp;TEXT(SUMIFS($G$5:$G$1000,$P$5:$P$1000,$P274,$S$5:$S$1000,"Macro"),"0%")&amp;" · ","")&amp;IF(AND(N($T274)&gt;0,COUNT($H274:$K274)&gt;0),"Con subactividades: deje vacías las semanas (se calculan solas)"&amp;" · ","")&amp;IF((COUNTIF($H274:$K274,"&gt;1")+COUNTIF($H274:$K274,"&lt;0")+COUNTA($H274:$K274)-COUNT($H274:$K274))&gt;0,"Avance fuera de rango 0-100%"&amp;" · ","")&amp;IF(OR(AND($I274&lt;&gt;"",$I274&lt;$H274),AND($J274&lt;&gt;"",$J274&lt;MAX($H274:$I274)),AND($K274&lt;&gt;"",$K274&lt;MAX($H274:$J274))),"Avance semanal decreciente"&amp;" · ","")&amp;IF(AND(ISNUMBER($F274),$F274&lt;FechaRef,N($L274)&lt;1),"Vencida"&amp;" · ","")&amp;IF(AND(ObsObligatoria="Sí",ISNUMBER($F274),$F274&lt;FechaRef,N($L274)&lt;1,$N274=""),"Vencida sin observación"&amp;" · ",""))="","✔ OK","⚠ "&amp;LEFT(IF(AND($S274="Macro",$B274=""),"Macroactividad vacía"&amp;" · ","")&amp;IF(AND($B274&lt;&gt;"",$C274&lt;&gt;""),"Escriba la subactividad en otra fila, debajo de su macroactividad"&amp;" · ","")&amp;IF(AND($S274="Sub",N($R274)=0),"Subactividad sin macroactividad arriba"&amp;" · ","")&amp;IF($D274="","Sin responsable"&amp;" · ","")&amp;IF($E274="","Sin fecha de inicio"&amp;" · ","")&amp;IF($F274="","Sin fecha límite"&amp;" · ","")&amp;IF(OR(AND($E274&lt;&gt;"",NOT(ISNUMBER($E274))),AND($F274&lt;&gt;"",NOT(ISNUMBER($F274)))),"Fecha no válida"&amp;" · ","")&amp;IF(AND(ISNUMBER($E274),ISNUMBER($F274),$E274&gt;$F274),"Inicio posterior a fecha límite"&amp;" · ","")&amp;IF(AND($S274="Macro",$G274=""),"Peso vacío"&amp;" · ","")&amp;IF(AND($S274="Macro",$G274&lt;&gt;"",OR(NOT(ISNUMBER($G274)),$G274&lt;=0,$G274&gt;1)),"Peso fuera de rango"&amp;" · ","")&amp;IF(AND($S274="Sub",$G274&lt;&gt;""),"Las subactividades no llevan peso"&amp;" · ","")&amp;IF(AND($S274="Macro",ABS(SUMIFS($G$5:$G$1000,$P$5:$P$1000,$P274,$S$5:$S$1000,"Macro")-1)&gt;0.0001),"Pesos del mes suman "&amp;TEXT(SUMIFS($G$5:$G$1000,$P$5:$P$1000,$P274,$S$5:$S$1000,"Macro"),"0%")&amp;" · ","")&amp;IF(AND(N($T274)&gt;0,COUNT($H274:$K274)&gt;0),"Con subactividades: deje vacías las semanas (se calculan solas)"&amp;" · ","")&amp;IF((COUNTIF($H274:$K274,"&gt;1")+COUNTIF($H274:$K274,"&lt;0")+COUNTA($H274:$K274)-COUNT($H274:$K274))&gt;0,"Avance fuera de rango 0-100%"&amp;" · ","")&amp;IF(OR(AND($I274&lt;&gt;"",$I274&lt;$H274),AND($J274&lt;&gt;"",$J274&lt;MAX($H274:$I274)),AND($K274&lt;&gt;"",$K274&lt;MAX($H274:$J274))),"Avance semanal decreciente"&amp;" · ","")&amp;IF(AND(ISNUMBER($F274),$F274&lt;FechaRef,N($L274)&lt;1),"Vencida"&amp;" · ","")&amp;IF(AND(ObsObligatoria="Sí",ISNUMBER($F274),$F274&lt;FechaRef,N($L274)&lt;1,$N274=""),"Vencida sin observación"&amp;" · ",""),LEN(IF(AND($S274="Macro",$B274=""),"Macroactividad vacía"&amp;" · ","")&amp;IF(AND($B274&lt;&gt;"",$C274&lt;&gt;""),"Escriba la subactividad en otra fila, debajo de su macroactividad"&amp;" · ","")&amp;IF(AND($S274="Sub",N($R274)=0),"Subactividad sin macroactividad arriba"&amp;" · ","")&amp;IF($D274="","Sin responsable"&amp;" · ","")&amp;IF($E274="","Sin fecha de inicio"&amp;" · ","")&amp;IF($F274="","Sin fecha límite"&amp;" · ","")&amp;IF(OR(AND($E274&lt;&gt;"",NOT(ISNUMBER($E274))),AND($F274&lt;&gt;"",NOT(ISNUMBER($F274)))),"Fecha no válida"&amp;" · ","")&amp;IF(AND(ISNUMBER($E274),ISNUMBER($F274),$E274&gt;$F274),"Inicio posterior a fecha límite"&amp;" · ","")&amp;IF(AND($S274="Macro",$G274=""),"Peso vacío"&amp;" · ","")&amp;IF(AND($S274="Macro",$G274&lt;&gt;"",OR(NOT(ISNUMBER($G274)),$G274&lt;=0,$G274&gt;1)),"Peso fuera de rango"&amp;" · ","")&amp;IF(AND($S274="Sub",$G274&lt;&gt;""),"Las subactividades no llevan peso"&amp;" · ","")&amp;IF(AND($S274="Macro",ABS(SUMIFS($G$5:$G$1000,$P$5:$P$1000,$P274,$S$5:$S$1000,"Macro")-1)&gt;0.0001),"Pesos del mes suman "&amp;TEXT(SUMIFS($G$5:$G$1000,$P$5:$P$1000,$P274,$S$5:$S$1000,"Macro"),"0%")&amp;" · ","")&amp;IF(AND(N($T274)&gt;0,COUNT($H274:$K274)&gt;0),"Con subactividades: deje vacías las semanas (se calculan solas)"&amp;" · ","")&amp;IF((COUNTIF($H274:$K274,"&gt;1")+COUNTIF($H274:$K274,"&lt;0")+COUNTA($H274:$K274)-COUNT($H274:$K274))&gt;0,"Avance fuera de rango 0-100%"&amp;" · ","")&amp;IF(OR(AND($I274&lt;&gt;"",$I274&lt;$H274),AND($J274&lt;&gt;"",$J274&lt;MAX($H274:$I274)),AND($K274&lt;&gt;"",$K274&lt;MAX($H274:$J274))),"Avance semanal decreciente"&amp;" · ","")&amp;IF(AND(ISNUMBER($F274),$F274&lt;FechaRef,N($L274)&lt;1),"Vencida"&amp;" · ","")&amp;IF(AND(ObsObligatoria="Sí",ISNUMBER($F274),$F274&lt;FechaRef,N($L274)&lt;1,$N274=""),"Vencida sin observación"&amp;" · ",""))-3)))</f>
        <v/>
      </c>
      <c r="P274" s="69">
        <f>IF(NOT((COUNTA($B274:$K274)+COUNTA($N274))&gt;0),"",IF(AND($S274="Sub",N($R274)&gt;0),IF(ISNUMBER(INDEX($E$5:$E$1000,$R274-4)),DATE(YEAR(INDEX($E$5:$E$1000,$R274-4)),MONTH(INDEX($E$5:$E$1000,$R274-4)),1),IF(ISNUMBER(INDEX($F$5:$F$1000,$R274-4)),DATE(YEAR(INDEX($F$5:$F$1000,$R274-4)),MONTH(INDEX($F$5:$F$1000,$R274-4)),1),MesCiclo)),IF(ISNUMBER($E274),DATE(YEAR($E274),MONTH($E274),1),IF(ISNUMBER($F274),DATE(YEAR($F274),MONTH($F274),1),MesCiclo))))</f>
        <v/>
      </c>
      <c r="Q274" s="70">
        <f>IF(OR($P274="",$P274&lt;&gt;MesCiclo),"",COUNTIF($P$5:$P274,MesCiclo))</f>
        <v/>
      </c>
      <c r="R274" s="70">
        <f>IF($S274="","",IF($S274="Macro",ROW(),IFERROR(LOOKUP(2,1/($S$5:$S274="Macro"),ROW($S$5:$S274)),0)))</f>
        <v/>
      </c>
      <c r="S274" s="70">
        <f>IF(NOT((COUNTA($B274:$K274)+COUNTA($N274))&gt;0),"",IF($B274&lt;&gt;"","Macro",IF($C274&lt;&gt;"","Sub","Macro")))</f>
        <v/>
      </c>
      <c r="T274" s="70">
        <f>IF($S274="Macro",COUNTIFS($R$5:$R$1000,ROW(),$S$5:$S$1000,"Sub"),"")</f>
        <v/>
      </c>
      <c r="U274" s="70">
        <f>IF($S274="","",IF(ISNUMBER($H274),$H274,0))</f>
        <v/>
      </c>
      <c r="V274" s="70">
        <f>IF($S274="","",IF(ISNUMBER($I274),$I274,$U274))</f>
        <v/>
      </c>
      <c r="W274" s="70">
        <f>IF($S274="","",IF(ISNUMBER($J274),$J274,$V274))</f>
        <v/>
      </c>
      <c r="X274" s="70">
        <f>IF($S274="","",IF(ISNUMBER($K274),$K274,$W274))</f>
        <v/>
      </c>
      <c r="Y274" s="70">
        <f>IF($S274="","",IF(N($T274)&gt;0,AVERAGEIFS($U$5:$U$1000,$R$5:$R$1000,ROW(),$S$5:$S$1000,"Sub"),$U274))</f>
        <v/>
      </c>
      <c r="Z274" s="70">
        <f>IF($S274="","",IF(N($T274)&gt;0,AVERAGEIFS($V$5:$V$1000,$R$5:$R$1000,ROW(),$S$5:$S$1000,"Sub"),$V274))</f>
        <v/>
      </c>
      <c r="AA274" s="70">
        <f>IF($S274="","",IF(N($T274)&gt;0,AVERAGEIFS($W$5:$W$1000,$R$5:$R$1000,ROW(),$S$5:$S$1000,"Sub"),$W274))</f>
        <v/>
      </c>
      <c r="AB274" s="70">
        <f>IF($S274="","",IF(N($T274)&gt;0,AVERAGEIFS($X$5:$X$1000,$R$5:$R$1000,ROW(),$S$5:$S$1000,"Sub"),$X274))</f>
        <v/>
      </c>
    </row>
    <row r="275">
      <c r="A275" s="61">
        <f>IF(NOT((COUNTA($B275:$K275)+COUNTA($N275))&gt;0),"",IF($S275="Macro",COUNTIFS($S$5:$S275,"Macro",$P$5:$P275,$P275),IF(N($R275)=0,"?",COUNTIFS(INDEX($S$5:$S$1000,1):INDEX($S$5:$S$1000,$R275-4),"Macro",INDEX($P$5:$P$1000,1):INDEX($P$5:$P$1000,$R275-4),INDEX($P$5:$P$1000,$R275-4))&amp;"."&amp;COUNTIFS($R$5:$R275,$R275,$S$5:$S275,"Sub"))))</f>
        <v/>
      </c>
      <c r="B275" s="62" t="n"/>
      <c r="C275" s="63" t="n"/>
      <c r="D275" s="62" t="n"/>
      <c r="E275" s="64" t="n"/>
      <c r="F275" s="64" t="n"/>
      <c r="G275" s="65" t="n"/>
      <c r="H275" s="66" t="n"/>
      <c r="I275" s="66" t="n"/>
      <c r="J275" s="66" t="n"/>
      <c r="K275" s="66" t="n"/>
      <c r="L275" s="67">
        <f>IF(NOT((COUNTA($B275:$K275)+COUNTA($N275))&gt;0),"",IF(N($T275)&gt;0,$AB275,IFERROR(LOOKUP(2,1/(H275:K275&lt;&gt;""),H275:K275),0)))</f>
        <v/>
      </c>
      <c r="M275" s="61">
        <f>IF(L275="","",IF(L275&gt;=1,"Completado",IF(L275&gt;0,"En curso","Pendiente")))</f>
        <v/>
      </c>
      <c r="N275" s="62" t="n"/>
      <c r="O275" s="68">
        <f>IF(NOT((COUNTA($B275:$K275)+COUNTA($N275))&gt;0),"",IF((IF(AND($S275="Macro",$B275=""),"Macroactividad vacía"&amp;" · ","")&amp;IF(AND($B275&lt;&gt;"",$C275&lt;&gt;""),"Escriba la subactividad en otra fila, debajo de su macroactividad"&amp;" · ","")&amp;IF(AND($S275="Sub",N($R275)=0),"Subactividad sin macroactividad arriba"&amp;" · ","")&amp;IF($D275="","Sin responsable"&amp;" · ","")&amp;IF($E275="","Sin fecha de inicio"&amp;" · ","")&amp;IF($F275="","Sin fecha límite"&amp;" · ","")&amp;IF(OR(AND($E275&lt;&gt;"",NOT(ISNUMBER($E275))),AND($F275&lt;&gt;"",NOT(ISNUMBER($F275)))),"Fecha no válida"&amp;" · ","")&amp;IF(AND(ISNUMBER($E275),ISNUMBER($F275),$E275&gt;$F275),"Inicio posterior a fecha límite"&amp;" · ","")&amp;IF(AND($S275="Macro",$G275=""),"Peso vacío"&amp;" · ","")&amp;IF(AND($S275="Macro",$G275&lt;&gt;"",OR(NOT(ISNUMBER($G275)),$G275&lt;=0,$G275&gt;1)),"Peso fuera de rango"&amp;" · ","")&amp;IF(AND($S275="Sub",$G275&lt;&gt;""),"Las subactividades no llevan peso"&amp;" · ","")&amp;IF(AND($S275="Macro",ABS(SUMIFS($G$5:$G$1000,$P$5:$P$1000,$P275,$S$5:$S$1000,"Macro")-1)&gt;0.0001),"Pesos del mes suman "&amp;TEXT(SUMIFS($G$5:$G$1000,$P$5:$P$1000,$P275,$S$5:$S$1000,"Macro"),"0%")&amp;" · ","")&amp;IF(AND(N($T275)&gt;0,COUNT($H275:$K275)&gt;0),"Con subactividades: deje vacías las semanas (se calculan solas)"&amp;" · ","")&amp;IF((COUNTIF($H275:$K275,"&gt;1")+COUNTIF($H275:$K275,"&lt;0")+COUNTA($H275:$K275)-COUNT($H275:$K275))&gt;0,"Avance fuera de rango 0-100%"&amp;" · ","")&amp;IF(OR(AND($I275&lt;&gt;"",$I275&lt;$H275),AND($J275&lt;&gt;"",$J275&lt;MAX($H275:$I275)),AND($K275&lt;&gt;"",$K275&lt;MAX($H275:$J275))),"Avance semanal decreciente"&amp;" · ","")&amp;IF(AND(ISNUMBER($F275),$F275&lt;FechaRef,N($L275)&lt;1),"Vencida"&amp;" · ","")&amp;IF(AND(ObsObligatoria="Sí",ISNUMBER($F275),$F275&lt;FechaRef,N($L275)&lt;1,$N275=""),"Vencida sin observación"&amp;" · ",""))="","✔ OK","⚠ "&amp;LEFT(IF(AND($S275="Macro",$B275=""),"Macroactividad vacía"&amp;" · ","")&amp;IF(AND($B275&lt;&gt;"",$C275&lt;&gt;""),"Escriba la subactividad en otra fila, debajo de su macroactividad"&amp;" · ","")&amp;IF(AND($S275="Sub",N($R275)=0),"Subactividad sin macroactividad arriba"&amp;" · ","")&amp;IF($D275="","Sin responsable"&amp;" · ","")&amp;IF($E275="","Sin fecha de inicio"&amp;" · ","")&amp;IF($F275="","Sin fecha límite"&amp;" · ","")&amp;IF(OR(AND($E275&lt;&gt;"",NOT(ISNUMBER($E275))),AND($F275&lt;&gt;"",NOT(ISNUMBER($F275)))),"Fecha no válida"&amp;" · ","")&amp;IF(AND(ISNUMBER($E275),ISNUMBER($F275),$E275&gt;$F275),"Inicio posterior a fecha límite"&amp;" · ","")&amp;IF(AND($S275="Macro",$G275=""),"Peso vacío"&amp;" · ","")&amp;IF(AND($S275="Macro",$G275&lt;&gt;"",OR(NOT(ISNUMBER($G275)),$G275&lt;=0,$G275&gt;1)),"Peso fuera de rango"&amp;" · ","")&amp;IF(AND($S275="Sub",$G275&lt;&gt;""),"Las subactividades no llevan peso"&amp;" · ","")&amp;IF(AND($S275="Macro",ABS(SUMIFS($G$5:$G$1000,$P$5:$P$1000,$P275,$S$5:$S$1000,"Macro")-1)&gt;0.0001),"Pesos del mes suman "&amp;TEXT(SUMIFS($G$5:$G$1000,$P$5:$P$1000,$P275,$S$5:$S$1000,"Macro"),"0%")&amp;" · ","")&amp;IF(AND(N($T275)&gt;0,COUNT($H275:$K275)&gt;0),"Con subactividades: deje vacías las semanas (se calculan solas)"&amp;" · ","")&amp;IF((COUNTIF($H275:$K275,"&gt;1")+COUNTIF($H275:$K275,"&lt;0")+COUNTA($H275:$K275)-COUNT($H275:$K275))&gt;0,"Avance fuera de rango 0-100%"&amp;" · ","")&amp;IF(OR(AND($I275&lt;&gt;"",$I275&lt;$H275),AND($J275&lt;&gt;"",$J275&lt;MAX($H275:$I275)),AND($K275&lt;&gt;"",$K275&lt;MAX($H275:$J275))),"Avance semanal decreciente"&amp;" · ","")&amp;IF(AND(ISNUMBER($F275),$F275&lt;FechaRef,N($L275)&lt;1),"Vencida"&amp;" · ","")&amp;IF(AND(ObsObligatoria="Sí",ISNUMBER($F275),$F275&lt;FechaRef,N($L275)&lt;1,$N275=""),"Vencida sin observación"&amp;" · ",""),LEN(IF(AND($S275="Macro",$B275=""),"Macroactividad vacía"&amp;" · ","")&amp;IF(AND($B275&lt;&gt;"",$C275&lt;&gt;""),"Escriba la subactividad en otra fila, debajo de su macroactividad"&amp;" · ","")&amp;IF(AND($S275="Sub",N($R275)=0),"Subactividad sin macroactividad arriba"&amp;" · ","")&amp;IF($D275="","Sin responsable"&amp;" · ","")&amp;IF($E275="","Sin fecha de inicio"&amp;" · ","")&amp;IF($F275="","Sin fecha límite"&amp;" · ","")&amp;IF(OR(AND($E275&lt;&gt;"",NOT(ISNUMBER($E275))),AND($F275&lt;&gt;"",NOT(ISNUMBER($F275)))),"Fecha no válida"&amp;" · ","")&amp;IF(AND(ISNUMBER($E275),ISNUMBER($F275),$E275&gt;$F275),"Inicio posterior a fecha límite"&amp;" · ","")&amp;IF(AND($S275="Macro",$G275=""),"Peso vacío"&amp;" · ","")&amp;IF(AND($S275="Macro",$G275&lt;&gt;"",OR(NOT(ISNUMBER($G275)),$G275&lt;=0,$G275&gt;1)),"Peso fuera de rango"&amp;" · ","")&amp;IF(AND($S275="Sub",$G275&lt;&gt;""),"Las subactividades no llevan peso"&amp;" · ","")&amp;IF(AND($S275="Macro",ABS(SUMIFS($G$5:$G$1000,$P$5:$P$1000,$P275,$S$5:$S$1000,"Macro")-1)&gt;0.0001),"Pesos del mes suman "&amp;TEXT(SUMIFS($G$5:$G$1000,$P$5:$P$1000,$P275,$S$5:$S$1000,"Macro"),"0%")&amp;" · ","")&amp;IF(AND(N($T275)&gt;0,COUNT($H275:$K275)&gt;0),"Con subactividades: deje vacías las semanas (se calculan solas)"&amp;" · ","")&amp;IF((COUNTIF($H275:$K275,"&gt;1")+COUNTIF($H275:$K275,"&lt;0")+COUNTA($H275:$K275)-COUNT($H275:$K275))&gt;0,"Avance fuera de rango 0-100%"&amp;" · ","")&amp;IF(OR(AND($I275&lt;&gt;"",$I275&lt;$H275),AND($J275&lt;&gt;"",$J275&lt;MAX($H275:$I275)),AND($K275&lt;&gt;"",$K275&lt;MAX($H275:$J275))),"Avance semanal decreciente"&amp;" · ","")&amp;IF(AND(ISNUMBER($F275),$F275&lt;FechaRef,N($L275)&lt;1),"Vencida"&amp;" · ","")&amp;IF(AND(ObsObligatoria="Sí",ISNUMBER($F275),$F275&lt;FechaRef,N($L275)&lt;1,$N275=""),"Vencida sin observación"&amp;" · ",""))-3)))</f>
        <v/>
      </c>
      <c r="P275" s="69">
        <f>IF(NOT((COUNTA($B275:$K275)+COUNTA($N275))&gt;0),"",IF(AND($S275="Sub",N($R275)&gt;0),IF(ISNUMBER(INDEX($E$5:$E$1000,$R275-4)),DATE(YEAR(INDEX($E$5:$E$1000,$R275-4)),MONTH(INDEX($E$5:$E$1000,$R275-4)),1),IF(ISNUMBER(INDEX($F$5:$F$1000,$R275-4)),DATE(YEAR(INDEX($F$5:$F$1000,$R275-4)),MONTH(INDEX($F$5:$F$1000,$R275-4)),1),MesCiclo)),IF(ISNUMBER($E275),DATE(YEAR($E275),MONTH($E275),1),IF(ISNUMBER($F275),DATE(YEAR($F275),MONTH($F275),1),MesCiclo))))</f>
        <v/>
      </c>
      <c r="Q275" s="70">
        <f>IF(OR($P275="",$P275&lt;&gt;MesCiclo),"",COUNTIF($P$5:$P275,MesCiclo))</f>
        <v/>
      </c>
      <c r="R275" s="70">
        <f>IF($S275="","",IF($S275="Macro",ROW(),IFERROR(LOOKUP(2,1/($S$5:$S275="Macro"),ROW($S$5:$S275)),0)))</f>
        <v/>
      </c>
      <c r="S275" s="70">
        <f>IF(NOT((COUNTA($B275:$K275)+COUNTA($N275))&gt;0),"",IF($B275&lt;&gt;"","Macro",IF($C275&lt;&gt;"","Sub","Macro")))</f>
        <v/>
      </c>
      <c r="T275" s="70">
        <f>IF($S275="Macro",COUNTIFS($R$5:$R$1000,ROW(),$S$5:$S$1000,"Sub"),"")</f>
        <v/>
      </c>
      <c r="U275" s="70">
        <f>IF($S275="","",IF(ISNUMBER($H275),$H275,0))</f>
        <v/>
      </c>
      <c r="V275" s="70">
        <f>IF($S275="","",IF(ISNUMBER($I275),$I275,$U275))</f>
        <v/>
      </c>
      <c r="W275" s="70">
        <f>IF($S275="","",IF(ISNUMBER($J275),$J275,$V275))</f>
        <v/>
      </c>
      <c r="X275" s="70">
        <f>IF($S275="","",IF(ISNUMBER($K275),$K275,$W275))</f>
        <v/>
      </c>
      <c r="Y275" s="70">
        <f>IF($S275="","",IF(N($T275)&gt;0,AVERAGEIFS($U$5:$U$1000,$R$5:$R$1000,ROW(),$S$5:$S$1000,"Sub"),$U275))</f>
        <v/>
      </c>
      <c r="Z275" s="70">
        <f>IF($S275="","",IF(N($T275)&gt;0,AVERAGEIFS($V$5:$V$1000,$R$5:$R$1000,ROW(),$S$5:$S$1000,"Sub"),$V275))</f>
        <v/>
      </c>
      <c r="AA275" s="70">
        <f>IF($S275="","",IF(N($T275)&gt;0,AVERAGEIFS($W$5:$W$1000,$R$5:$R$1000,ROW(),$S$5:$S$1000,"Sub"),$W275))</f>
        <v/>
      </c>
      <c r="AB275" s="70">
        <f>IF($S275="","",IF(N($T275)&gt;0,AVERAGEIFS($X$5:$X$1000,$R$5:$R$1000,ROW(),$S$5:$S$1000,"Sub"),$X275))</f>
        <v/>
      </c>
    </row>
    <row r="276">
      <c r="A276" s="61">
        <f>IF(NOT((COUNTA($B276:$K276)+COUNTA($N276))&gt;0),"",IF($S276="Macro",COUNTIFS($S$5:$S276,"Macro",$P$5:$P276,$P276),IF(N($R276)=0,"?",COUNTIFS(INDEX($S$5:$S$1000,1):INDEX($S$5:$S$1000,$R276-4),"Macro",INDEX($P$5:$P$1000,1):INDEX($P$5:$P$1000,$R276-4),INDEX($P$5:$P$1000,$R276-4))&amp;"."&amp;COUNTIFS($R$5:$R276,$R276,$S$5:$S276,"Sub"))))</f>
        <v/>
      </c>
      <c r="B276" s="62" t="n"/>
      <c r="C276" s="63" t="n"/>
      <c r="D276" s="62" t="n"/>
      <c r="E276" s="64" t="n"/>
      <c r="F276" s="64" t="n"/>
      <c r="G276" s="65" t="n"/>
      <c r="H276" s="66" t="n"/>
      <c r="I276" s="66" t="n"/>
      <c r="J276" s="66" t="n"/>
      <c r="K276" s="66" t="n"/>
      <c r="L276" s="67">
        <f>IF(NOT((COUNTA($B276:$K276)+COUNTA($N276))&gt;0),"",IF(N($T276)&gt;0,$AB276,IFERROR(LOOKUP(2,1/(H276:K276&lt;&gt;""),H276:K276),0)))</f>
        <v/>
      </c>
      <c r="M276" s="61">
        <f>IF(L276="","",IF(L276&gt;=1,"Completado",IF(L276&gt;0,"En curso","Pendiente")))</f>
        <v/>
      </c>
      <c r="N276" s="62" t="n"/>
      <c r="O276" s="68">
        <f>IF(NOT((COUNTA($B276:$K276)+COUNTA($N276))&gt;0),"",IF((IF(AND($S276="Macro",$B276=""),"Macroactividad vacía"&amp;" · ","")&amp;IF(AND($B276&lt;&gt;"",$C276&lt;&gt;""),"Escriba la subactividad en otra fila, debajo de su macroactividad"&amp;" · ","")&amp;IF(AND($S276="Sub",N($R276)=0),"Subactividad sin macroactividad arriba"&amp;" · ","")&amp;IF($D276="","Sin responsable"&amp;" · ","")&amp;IF($E276="","Sin fecha de inicio"&amp;" · ","")&amp;IF($F276="","Sin fecha límite"&amp;" · ","")&amp;IF(OR(AND($E276&lt;&gt;"",NOT(ISNUMBER($E276))),AND($F276&lt;&gt;"",NOT(ISNUMBER($F276)))),"Fecha no válida"&amp;" · ","")&amp;IF(AND(ISNUMBER($E276),ISNUMBER($F276),$E276&gt;$F276),"Inicio posterior a fecha límite"&amp;" · ","")&amp;IF(AND($S276="Macro",$G276=""),"Peso vacío"&amp;" · ","")&amp;IF(AND($S276="Macro",$G276&lt;&gt;"",OR(NOT(ISNUMBER($G276)),$G276&lt;=0,$G276&gt;1)),"Peso fuera de rango"&amp;" · ","")&amp;IF(AND($S276="Sub",$G276&lt;&gt;""),"Las subactividades no llevan peso"&amp;" · ","")&amp;IF(AND($S276="Macro",ABS(SUMIFS($G$5:$G$1000,$P$5:$P$1000,$P276,$S$5:$S$1000,"Macro")-1)&gt;0.0001),"Pesos del mes suman "&amp;TEXT(SUMIFS($G$5:$G$1000,$P$5:$P$1000,$P276,$S$5:$S$1000,"Macro"),"0%")&amp;" · ","")&amp;IF(AND(N($T276)&gt;0,COUNT($H276:$K276)&gt;0),"Con subactividades: deje vacías las semanas (se calculan solas)"&amp;" · ","")&amp;IF((COUNTIF($H276:$K276,"&gt;1")+COUNTIF($H276:$K276,"&lt;0")+COUNTA($H276:$K276)-COUNT($H276:$K276))&gt;0,"Avance fuera de rango 0-100%"&amp;" · ","")&amp;IF(OR(AND($I276&lt;&gt;"",$I276&lt;$H276),AND($J276&lt;&gt;"",$J276&lt;MAX($H276:$I276)),AND($K276&lt;&gt;"",$K276&lt;MAX($H276:$J276))),"Avance semanal decreciente"&amp;" · ","")&amp;IF(AND(ISNUMBER($F276),$F276&lt;FechaRef,N($L276)&lt;1),"Vencida"&amp;" · ","")&amp;IF(AND(ObsObligatoria="Sí",ISNUMBER($F276),$F276&lt;FechaRef,N($L276)&lt;1,$N276=""),"Vencida sin observación"&amp;" · ",""))="","✔ OK","⚠ "&amp;LEFT(IF(AND($S276="Macro",$B276=""),"Macroactividad vacía"&amp;" · ","")&amp;IF(AND($B276&lt;&gt;"",$C276&lt;&gt;""),"Escriba la subactividad en otra fila, debajo de su macroactividad"&amp;" · ","")&amp;IF(AND($S276="Sub",N($R276)=0),"Subactividad sin macroactividad arriba"&amp;" · ","")&amp;IF($D276="","Sin responsable"&amp;" · ","")&amp;IF($E276="","Sin fecha de inicio"&amp;" · ","")&amp;IF($F276="","Sin fecha límite"&amp;" · ","")&amp;IF(OR(AND($E276&lt;&gt;"",NOT(ISNUMBER($E276))),AND($F276&lt;&gt;"",NOT(ISNUMBER($F276)))),"Fecha no válida"&amp;" · ","")&amp;IF(AND(ISNUMBER($E276),ISNUMBER($F276),$E276&gt;$F276),"Inicio posterior a fecha límite"&amp;" · ","")&amp;IF(AND($S276="Macro",$G276=""),"Peso vacío"&amp;" · ","")&amp;IF(AND($S276="Macro",$G276&lt;&gt;"",OR(NOT(ISNUMBER($G276)),$G276&lt;=0,$G276&gt;1)),"Peso fuera de rango"&amp;" · ","")&amp;IF(AND($S276="Sub",$G276&lt;&gt;""),"Las subactividades no llevan peso"&amp;" · ","")&amp;IF(AND($S276="Macro",ABS(SUMIFS($G$5:$G$1000,$P$5:$P$1000,$P276,$S$5:$S$1000,"Macro")-1)&gt;0.0001),"Pesos del mes suman "&amp;TEXT(SUMIFS($G$5:$G$1000,$P$5:$P$1000,$P276,$S$5:$S$1000,"Macro"),"0%")&amp;" · ","")&amp;IF(AND(N($T276)&gt;0,COUNT($H276:$K276)&gt;0),"Con subactividades: deje vacías las semanas (se calculan solas)"&amp;" · ","")&amp;IF((COUNTIF($H276:$K276,"&gt;1")+COUNTIF($H276:$K276,"&lt;0")+COUNTA($H276:$K276)-COUNT($H276:$K276))&gt;0,"Avance fuera de rango 0-100%"&amp;" · ","")&amp;IF(OR(AND($I276&lt;&gt;"",$I276&lt;$H276),AND($J276&lt;&gt;"",$J276&lt;MAX($H276:$I276)),AND($K276&lt;&gt;"",$K276&lt;MAX($H276:$J276))),"Avance semanal decreciente"&amp;" · ","")&amp;IF(AND(ISNUMBER($F276),$F276&lt;FechaRef,N($L276)&lt;1),"Vencida"&amp;" · ","")&amp;IF(AND(ObsObligatoria="Sí",ISNUMBER($F276),$F276&lt;FechaRef,N($L276)&lt;1,$N276=""),"Vencida sin observación"&amp;" · ",""),LEN(IF(AND($S276="Macro",$B276=""),"Macroactividad vacía"&amp;" · ","")&amp;IF(AND($B276&lt;&gt;"",$C276&lt;&gt;""),"Escriba la subactividad en otra fila, debajo de su macroactividad"&amp;" · ","")&amp;IF(AND($S276="Sub",N($R276)=0),"Subactividad sin macroactividad arriba"&amp;" · ","")&amp;IF($D276="","Sin responsable"&amp;" · ","")&amp;IF($E276="","Sin fecha de inicio"&amp;" · ","")&amp;IF($F276="","Sin fecha límite"&amp;" · ","")&amp;IF(OR(AND($E276&lt;&gt;"",NOT(ISNUMBER($E276))),AND($F276&lt;&gt;"",NOT(ISNUMBER($F276)))),"Fecha no válida"&amp;" · ","")&amp;IF(AND(ISNUMBER($E276),ISNUMBER($F276),$E276&gt;$F276),"Inicio posterior a fecha límite"&amp;" · ","")&amp;IF(AND($S276="Macro",$G276=""),"Peso vacío"&amp;" · ","")&amp;IF(AND($S276="Macro",$G276&lt;&gt;"",OR(NOT(ISNUMBER($G276)),$G276&lt;=0,$G276&gt;1)),"Peso fuera de rango"&amp;" · ","")&amp;IF(AND($S276="Sub",$G276&lt;&gt;""),"Las subactividades no llevan peso"&amp;" · ","")&amp;IF(AND($S276="Macro",ABS(SUMIFS($G$5:$G$1000,$P$5:$P$1000,$P276,$S$5:$S$1000,"Macro")-1)&gt;0.0001),"Pesos del mes suman "&amp;TEXT(SUMIFS($G$5:$G$1000,$P$5:$P$1000,$P276,$S$5:$S$1000,"Macro"),"0%")&amp;" · ","")&amp;IF(AND(N($T276)&gt;0,COUNT($H276:$K276)&gt;0),"Con subactividades: deje vacías las semanas (se calculan solas)"&amp;" · ","")&amp;IF((COUNTIF($H276:$K276,"&gt;1")+COUNTIF($H276:$K276,"&lt;0")+COUNTA($H276:$K276)-COUNT($H276:$K276))&gt;0,"Avance fuera de rango 0-100%"&amp;" · ","")&amp;IF(OR(AND($I276&lt;&gt;"",$I276&lt;$H276),AND($J276&lt;&gt;"",$J276&lt;MAX($H276:$I276)),AND($K276&lt;&gt;"",$K276&lt;MAX($H276:$J276))),"Avance semanal decreciente"&amp;" · ","")&amp;IF(AND(ISNUMBER($F276),$F276&lt;FechaRef,N($L276)&lt;1),"Vencida"&amp;" · ","")&amp;IF(AND(ObsObligatoria="Sí",ISNUMBER($F276),$F276&lt;FechaRef,N($L276)&lt;1,$N276=""),"Vencida sin observación"&amp;" · ",""))-3)))</f>
        <v/>
      </c>
      <c r="P276" s="69">
        <f>IF(NOT((COUNTA($B276:$K276)+COUNTA($N276))&gt;0),"",IF(AND($S276="Sub",N($R276)&gt;0),IF(ISNUMBER(INDEX($E$5:$E$1000,$R276-4)),DATE(YEAR(INDEX($E$5:$E$1000,$R276-4)),MONTH(INDEX($E$5:$E$1000,$R276-4)),1),IF(ISNUMBER(INDEX($F$5:$F$1000,$R276-4)),DATE(YEAR(INDEX($F$5:$F$1000,$R276-4)),MONTH(INDEX($F$5:$F$1000,$R276-4)),1),MesCiclo)),IF(ISNUMBER($E276),DATE(YEAR($E276),MONTH($E276),1),IF(ISNUMBER($F276),DATE(YEAR($F276),MONTH($F276),1),MesCiclo))))</f>
        <v/>
      </c>
      <c r="Q276" s="70">
        <f>IF(OR($P276="",$P276&lt;&gt;MesCiclo),"",COUNTIF($P$5:$P276,MesCiclo))</f>
        <v/>
      </c>
      <c r="R276" s="70">
        <f>IF($S276="","",IF($S276="Macro",ROW(),IFERROR(LOOKUP(2,1/($S$5:$S276="Macro"),ROW($S$5:$S276)),0)))</f>
        <v/>
      </c>
      <c r="S276" s="70">
        <f>IF(NOT((COUNTA($B276:$K276)+COUNTA($N276))&gt;0),"",IF($B276&lt;&gt;"","Macro",IF($C276&lt;&gt;"","Sub","Macro")))</f>
        <v/>
      </c>
      <c r="T276" s="70">
        <f>IF($S276="Macro",COUNTIFS($R$5:$R$1000,ROW(),$S$5:$S$1000,"Sub"),"")</f>
        <v/>
      </c>
      <c r="U276" s="70">
        <f>IF($S276="","",IF(ISNUMBER($H276),$H276,0))</f>
        <v/>
      </c>
      <c r="V276" s="70">
        <f>IF($S276="","",IF(ISNUMBER($I276),$I276,$U276))</f>
        <v/>
      </c>
      <c r="W276" s="70">
        <f>IF($S276="","",IF(ISNUMBER($J276),$J276,$V276))</f>
        <v/>
      </c>
      <c r="X276" s="70">
        <f>IF($S276="","",IF(ISNUMBER($K276),$K276,$W276))</f>
        <v/>
      </c>
      <c r="Y276" s="70">
        <f>IF($S276="","",IF(N($T276)&gt;0,AVERAGEIFS($U$5:$U$1000,$R$5:$R$1000,ROW(),$S$5:$S$1000,"Sub"),$U276))</f>
        <v/>
      </c>
      <c r="Z276" s="70">
        <f>IF($S276="","",IF(N($T276)&gt;0,AVERAGEIFS($V$5:$V$1000,$R$5:$R$1000,ROW(),$S$5:$S$1000,"Sub"),$V276))</f>
        <v/>
      </c>
      <c r="AA276" s="70">
        <f>IF($S276="","",IF(N($T276)&gt;0,AVERAGEIFS($W$5:$W$1000,$R$5:$R$1000,ROW(),$S$5:$S$1000,"Sub"),$W276))</f>
        <v/>
      </c>
      <c r="AB276" s="70">
        <f>IF($S276="","",IF(N($T276)&gt;0,AVERAGEIFS($X$5:$X$1000,$R$5:$R$1000,ROW(),$S$5:$S$1000,"Sub"),$X276))</f>
        <v/>
      </c>
    </row>
    <row r="277">
      <c r="A277" s="61">
        <f>IF(NOT((COUNTA($B277:$K277)+COUNTA($N277))&gt;0),"",IF($S277="Macro",COUNTIFS($S$5:$S277,"Macro",$P$5:$P277,$P277),IF(N($R277)=0,"?",COUNTIFS(INDEX($S$5:$S$1000,1):INDEX($S$5:$S$1000,$R277-4),"Macro",INDEX($P$5:$P$1000,1):INDEX($P$5:$P$1000,$R277-4),INDEX($P$5:$P$1000,$R277-4))&amp;"."&amp;COUNTIFS($R$5:$R277,$R277,$S$5:$S277,"Sub"))))</f>
        <v/>
      </c>
      <c r="B277" s="62" t="n"/>
      <c r="C277" s="63" t="n"/>
      <c r="D277" s="62" t="n"/>
      <c r="E277" s="64" t="n"/>
      <c r="F277" s="64" t="n"/>
      <c r="G277" s="65" t="n"/>
      <c r="H277" s="66" t="n"/>
      <c r="I277" s="66" t="n"/>
      <c r="J277" s="66" t="n"/>
      <c r="K277" s="66" t="n"/>
      <c r="L277" s="67">
        <f>IF(NOT((COUNTA($B277:$K277)+COUNTA($N277))&gt;0),"",IF(N($T277)&gt;0,$AB277,IFERROR(LOOKUP(2,1/(H277:K277&lt;&gt;""),H277:K277),0)))</f>
        <v/>
      </c>
      <c r="M277" s="61">
        <f>IF(L277="","",IF(L277&gt;=1,"Completado",IF(L277&gt;0,"En curso","Pendiente")))</f>
        <v/>
      </c>
      <c r="N277" s="62" t="n"/>
      <c r="O277" s="68">
        <f>IF(NOT((COUNTA($B277:$K277)+COUNTA($N277))&gt;0),"",IF((IF(AND($S277="Macro",$B277=""),"Macroactividad vacía"&amp;" · ","")&amp;IF(AND($B277&lt;&gt;"",$C277&lt;&gt;""),"Escriba la subactividad en otra fila, debajo de su macroactividad"&amp;" · ","")&amp;IF(AND($S277="Sub",N($R277)=0),"Subactividad sin macroactividad arriba"&amp;" · ","")&amp;IF($D277="","Sin responsable"&amp;" · ","")&amp;IF($E277="","Sin fecha de inicio"&amp;" · ","")&amp;IF($F277="","Sin fecha límite"&amp;" · ","")&amp;IF(OR(AND($E277&lt;&gt;"",NOT(ISNUMBER($E277))),AND($F277&lt;&gt;"",NOT(ISNUMBER($F277)))),"Fecha no válida"&amp;" · ","")&amp;IF(AND(ISNUMBER($E277),ISNUMBER($F277),$E277&gt;$F277),"Inicio posterior a fecha límite"&amp;" · ","")&amp;IF(AND($S277="Macro",$G277=""),"Peso vacío"&amp;" · ","")&amp;IF(AND($S277="Macro",$G277&lt;&gt;"",OR(NOT(ISNUMBER($G277)),$G277&lt;=0,$G277&gt;1)),"Peso fuera de rango"&amp;" · ","")&amp;IF(AND($S277="Sub",$G277&lt;&gt;""),"Las subactividades no llevan peso"&amp;" · ","")&amp;IF(AND($S277="Macro",ABS(SUMIFS($G$5:$G$1000,$P$5:$P$1000,$P277,$S$5:$S$1000,"Macro")-1)&gt;0.0001),"Pesos del mes suman "&amp;TEXT(SUMIFS($G$5:$G$1000,$P$5:$P$1000,$P277,$S$5:$S$1000,"Macro"),"0%")&amp;" · ","")&amp;IF(AND(N($T277)&gt;0,COUNT($H277:$K277)&gt;0),"Con subactividades: deje vacías las semanas (se calculan solas)"&amp;" · ","")&amp;IF((COUNTIF($H277:$K277,"&gt;1")+COUNTIF($H277:$K277,"&lt;0")+COUNTA($H277:$K277)-COUNT($H277:$K277))&gt;0,"Avance fuera de rango 0-100%"&amp;" · ","")&amp;IF(OR(AND($I277&lt;&gt;"",$I277&lt;$H277),AND($J277&lt;&gt;"",$J277&lt;MAX($H277:$I277)),AND($K277&lt;&gt;"",$K277&lt;MAX($H277:$J277))),"Avance semanal decreciente"&amp;" · ","")&amp;IF(AND(ISNUMBER($F277),$F277&lt;FechaRef,N($L277)&lt;1),"Vencida"&amp;" · ","")&amp;IF(AND(ObsObligatoria="Sí",ISNUMBER($F277),$F277&lt;FechaRef,N($L277)&lt;1,$N277=""),"Vencida sin observación"&amp;" · ",""))="","✔ OK","⚠ "&amp;LEFT(IF(AND($S277="Macro",$B277=""),"Macroactividad vacía"&amp;" · ","")&amp;IF(AND($B277&lt;&gt;"",$C277&lt;&gt;""),"Escriba la subactividad en otra fila, debajo de su macroactividad"&amp;" · ","")&amp;IF(AND($S277="Sub",N($R277)=0),"Subactividad sin macroactividad arriba"&amp;" · ","")&amp;IF($D277="","Sin responsable"&amp;" · ","")&amp;IF($E277="","Sin fecha de inicio"&amp;" · ","")&amp;IF($F277="","Sin fecha límite"&amp;" · ","")&amp;IF(OR(AND($E277&lt;&gt;"",NOT(ISNUMBER($E277))),AND($F277&lt;&gt;"",NOT(ISNUMBER($F277)))),"Fecha no válida"&amp;" · ","")&amp;IF(AND(ISNUMBER($E277),ISNUMBER($F277),$E277&gt;$F277),"Inicio posterior a fecha límite"&amp;" · ","")&amp;IF(AND($S277="Macro",$G277=""),"Peso vacío"&amp;" · ","")&amp;IF(AND($S277="Macro",$G277&lt;&gt;"",OR(NOT(ISNUMBER($G277)),$G277&lt;=0,$G277&gt;1)),"Peso fuera de rango"&amp;" · ","")&amp;IF(AND($S277="Sub",$G277&lt;&gt;""),"Las subactividades no llevan peso"&amp;" · ","")&amp;IF(AND($S277="Macro",ABS(SUMIFS($G$5:$G$1000,$P$5:$P$1000,$P277,$S$5:$S$1000,"Macro")-1)&gt;0.0001),"Pesos del mes suman "&amp;TEXT(SUMIFS($G$5:$G$1000,$P$5:$P$1000,$P277,$S$5:$S$1000,"Macro"),"0%")&amp;" · ","")&amp;IF(AND(N($T277)&gt;0,COUNT($H277:$K277)&gt;0),"Con subactividades: deje vacías las semanas (se calculan solas)"&amp;" · ","")&amp;IF((COUNTIF($H277:$K277,"&gt;1")+COUNTIF($H277:$K277,"&lt;0")+COUNTA($H277:$K277)-COUNT($H277:$K277))&gt;0,"Avance fuera de rango 0-100%"&amp;" · ","")&amp;IF(OR(AND($I277&lt;&gt;"",$I277&lt;$H277),AND($J277&lt;&gt;"",$J277&lt;MAX($H277:$I277)),AND($K277&lt;&gt;"",$K277&lt;MAX($H277:$J277))),"Avance semanal decreciente"&amp;" · ","")&amp;IF(AND(ISNUMBER($F277),$F277&lt;FechaRef,N($L277)&lt;1),"Vencida"&amp;" · ","")&amp;IF(AND(ObsObligatoria="Sí",ISNUMBER($F277),$F277&lt;FechaRef,N($L277)&lt;1,$N277=""),"Vencida sin observación"&amp;" · ",""),LEN(IF(AND($S277="Macro",$B277=""),"Macroactividad vacía"&amp;" · ","")&amp;IF(AND($B277&lt;&gt;"",$C277&lt;&gt;""),"Escriba la subactividad en otra fila, debajo de su macroactividad"&amp;" · ","")&amp;IF(AND($S277="Sub",N($R277)=0),"Subactividad sin macroactividad arriba"&amp;" · ","")&amp;IF($D277="","Sin responsable"&amp;" · ","")&amp;IF($E277="","Sin fecha de inicio"&amp;" · ","")&amp;IF($F277="","Sin fecha límite"&amp;" · ","")&amp;IF(OR(AND($E277&lt;&gt;"",NOT(ISNUMBER($E277))),AND($F277&lt;&gt;"",NOT(ISNUMBER($F277)))),"Fecha no válida"&amp;" · ","")&amp;IF(AND(ISNUMBER($E277),ISNUMBER($F277),$E277&gt;$F277),"Inicio posterior a fecha límite"&amp;" · ","")&amp;IF(AND($S277="Macro",$G277=""),"Peso vacío"&amp;" · ","")&amp;IF(AND($S277="Macro",$G277&lt;&gt;"",OR(NOT(ISNUMBER($G277)),$G277&lt;=0,$G277&gt;1)),"Peso fuera de rango"&amp;" · ","")&amp;IF(AND($S277="Sub",$G277&lt;&gt;""),"Las subactividades no llevan peso"&amp;" · ","")&amp;IF(AND($S277="Macro",ABS(SUMIFS($G$5:$G$1000,$P$5:$P$1000,$P277,$S$5:$S$1000,"Macro")-1)&gt;0.0001),"Pesos del mes suman "&amp;TEXT(SUMIFS($G$5:$G$1000,$P$5:$P$1000,$P277,$S$5:$S$1000,"Macro"),"0%")&amp;" · ","")&amp;IF(AND(N($T277)&gt;0,COUNT($H277:$K277)&gt;0),"Con subactividades: deje vacías las semanas (se calculan solas)"&amp;" · ","")&amp;IF((COUNTIF($H277:$K277,"&gt;1")+COUNTIF($H277:$K277,"&lt;0")+COUNTA($H277:$K277)-COUNT($H277:$K277))&gt;0,"Avance fuera de rango 0-100%"&amp;" · ","")&amp;IF(OR(AND($I277&lt;&gt;"",$I277&lt;$H277),AND($J277&lt;&gt;"",$J277&lt;MAX($H277:$I277)),AND($K277&lt;&gt;"",$K277&lt;MAX($H277:$J277))),"Avance semanal decreciente"&amp;" · ","")&amp;IF(AND(ISNUMBER($F277),$F277&lt;FechaRef,N($L277)&lt;1),"Vencida"&amp;" · ","")&amp;IF(AND(ObsObligatoria="Sí",ISNUMBER($F277),$F277&lt;FechaRef,N($L277)&lt;1,$N277=""),"Vencida sin observación"&amp;" · ",""))-3)))</f>
        <v/>
      </c>
      <c r="P277" s="69">
        <f>IF(NOT((COUNTA($B277:$K277)+COUNTA($N277))&gt;0),"",IF(AND($S277="Sub",N($R277)&gt;0),IF(ISNUMBER(INDEX($E$5:$E$1000,$R277-4)),DATE(YEAR(INDEX($E$5:$E$1000,$R277-4)),MONTH(INDEX($E$5:$E$1000,$R277-4)),1),IF(ISNUMBER(INDEX($F$5:$F$1000,$R277-4)),DATE(YEAR(INDEX($F$5:$F$1000,$R277-4)),MONTH(INDEX($F$5:$F$1000,$R277-4)),1),MesCiclo)),IF(ISNUMBER($E277),DATE(YEAR($E277),MONTH($E277),1),IF(ISNUMBER($F277),DATE(YEAR($F277),MONTH($F277),1),MesCiclo))))</f>
        <v/>
      </c>
      <c r="Q277" s="70">
        <f>IF(OR($P277="",$P277&lt;&gt;MesCiclo),"",COUNTIF($P$5:$P277,MesCiclo))</f>
        <v/>
      </c>
      <c r="R277" s="70">
        <f>IF($S277="","",IF($S277="Macro",ROW(),IFERROR(LOOKUP(2,1/($S$5:$S277="Macro"),ROW($S$5:$S277)),0)))</f>
        <v/>
      </c>
      <c r="S277" s="70">
        <f>IF(NOT((COUNTA($B277:$K277)+COUNTA($N277))&gt;0),"",IF($B277&lt;&gt;"","Macro",IF($C277&lt;&gt;"","Sub","Macro")))</f>
        <v/>
      </c>
      <c r="T277" s="70">
        <f>IF($S277="Macro",COUNTIFS($R$5:$R$1000,ROW(),$S$5:$S$1000,"Sub"),"")</f>
        <v/>
      </c>
      <c r="U277" s="70">
        <f>IF($S277="","",IF(ISNUMBER($H277),$H277,0))</f>
        <v/>
      </c>
      <c r="V277" s="70">
        <f>IF($S277="","",IF(ISNUMBER($I277),$I277,$U277))</f>
        <v/>
      </c>
      <c r="W277" s="70">
        <f>IF($S277="","",IF(ISNUMBER($J277),$J277,$V277))</f>
        <v/>
      </c>
      <c r="X277" s="70">
        <f>IF($S277="","",IF(ISNUMBER($K277),$K277,$W277))</f>
        <v/>
      </c>
      <c r="Y277" s="70">
        <f>IF($S277="","",IF(N($T277)&gt;0,AVERAGEIFS($U$5:$U$1000,$R$5:$R$1000,ROW(),$S$5:$S$1000,"Sub"),$U277))</f>
        <v/>
      </c>
      <c r="Z277" s="70">
        <f>IF($S277="","",IF(N($T277)&gt;0,AVERAGEIFS($V$5:$V$1000,$R$5:$R$1000,ROW(),$S$5:$S$1000,"Sub"),$V277))</f>
        <v/>
      </c>
      <c r="AA277" s="70">
        <f>IF($S277="","",IF(N($T277)&gt;0,AVERAGEIFS($W$5:$W$1000,$R$5:$R$1000,ROW(),$S$5:$S$1000,"Sub"),$W277))</f>
        <v/>
      </c>
      <c r="AB277" s="70">
        <f>IF($S277="","",IF(N($T277)&gt;0,AVERAGEIFS($X$5:$X$1000,$R$5:$R$1000,ROW(),$S$5:$S$1000,"Sub"),$X277))</f>
        <v/>
      </c>
    </row>
    <row r="278">
      <c r="A278" s="61">
        <f>IF(NOT((COUNTA($B278:$K278)+COUNTA($N278))&gt;0),"",IF($S278="Macro",COUNTIFS($S$5:$S278,"Macro",$P$5:$P278,$P278),IF(N($R278)=0,"?",COUNTIFS(INDEX($S$5:$S$1000,1):INDEX($S$5:$S$1000,$R278-4),"Macro",INDEX($P$5:$P$1000,1):INDEX($P$5:$P$1000,$R278-4),INDEX($P$5:$P$1000,$R278-4))&amp;"."&amp;COUNTIFS($R$5:$R278,$R278,$S$5:$S278,"Sub"))))</f>
        <v/>
      </c>
      <c r="B278" s="62" t="n"/>
      <c r="C278" s="63" t="n"/>
      <c r="D278" s="62" t="n"/>
      <c r="E278" s="64" t="n"/>
      <c r="F278" s="64" t="n"/>
      <c r="G278" s="65" t="n"/>
      <c r="H278" s="66" t="n"/>
      <c r="I278" s="66" t="n"/>
      <c r="J278" s="66" t="n"/>
      <c r="K278" s="66" t="n"/>
      <c r="L278" s="67">
        <f>IF(NOT((COUNTA($B278:$K278)+COUNTA($N278))&gt;0),"",IF(N($T278)&gt;0,$AB278,IFERROR(LOOKUP(2,1/(H278:K278&lt;&gt;""),H278:K278),0)))</f>
        <v/>
      </c>
      <c r="M278" s="61">
        <f>IF(L278="","",IF(L278&gt;=1,"Completado",IF(L278&gt;0,"En curso","Pendiente")))</f>
        <v/>
      </c>
      <c r="N278" s="62" t="n"/>
      <c r="O278" s="68">
        <f>IF(NOT((COUNTA($B278:$K278)+COUNTA($N278))&gt;0),"",IF((IF(AND($S278="Macro",$B278=""),"Macroactividad vacía"&amp;" · ","")&amp;IF(AND($B278&lt;&gt;"",$C278&lt;&gt;""),"Escriba la subactividad en otra fila, debajo de su macroactividad"&amp;" · ","")&amp;IF(AND($S278="Sub",N($R278)=0),"Subactividad sin macroactividad arriba"&amp;" · ","")&amp;IF($D278="","Sin responsable"&amp;" · ","")&amp;IF($E278="","Sin fecha de inicio"&amp;" · ","")&amp;IF($F278="","Sin fecha límite"&amp;" · ","")&amp;IF(OR(AND($E278&lt;&gt;"",NOT(ISNUMBER($E278))),AND($F278&lt;&gt;"",NOT(ISNUMBER($F278)))),"Fecha no válida"&amp;" · ","")&amp;IF(AND(ISNUMBER($E278),ISNUMBER($F278),$E278&gt;$F278),"Inicio posterior a fecha límite"&amp;" · ","")&amp;IF(AND($S278="Macro",$G278=""),"Peso vacío"&amp;" · ","")&amp;IF(AND($S278="Macro",$G278&lt;&gt;"",OR(NOT(ISNUMBER($G278)),$G278&lt;=0,$G278&gt;1)),"Peso fuera de rango"&amp;" · ","")&amp;IF(AND($S278="Sub",$G278&lt;&gt;""),"Las subactividades no llevan peso"&amp;" · ","")&amp;IF(AND($S278="Macro",ABS(SUMIFS($G$5:$G$1000,$P$5:$P$1000,$P278,$S$5:$S$1000,"Macro")-1)&gt;0.0001),"Pesos del mes suman "&amp;TEXT(SUMIFS($G$5:$G$1000,$P$5:$P$1000,$P278,$S$5:$S$1000,"Macro"),"0%")&amp;" · ","")&amp;IF(AND(N($T278)&gt;0,COUNT($H278:$K278)&gt;0),"Con subactividades: deje vacías las semanas (se calculan solas)"&amp;" · ","")&amp;IF((COUNTIF($H278:$K278,"&gt;1")+COUNTIF($H278:$K278,"&lt;0")+COUNTA($H278:$K278)-COUNT($H278:$K278))&gt;0,"Avance fuera de rango 0-100%"&amp;" · ","")&amp;IF(OR(AND($I278&lt;&gt;"",$I278&lt;$H278),AND($J278&lt;&gt;"",$J278&lt;MAX($H278:$I278)),AND($K278&lt;&gt;"",$K278&lt;MAX($H278:$J278))),"Avance semanal decreciente"&amp;" · ","")&amp;IF(AND(ISNUMBER($F278),$F278&lt;FechaRef,N($L278)&lt;1),"Vencida"&amp;" · ","")&amp;IF(AND(ObsObligatoria="Sí",ISNUMBER($F278),$F278&lt;FechaRef,N($L278)&lt;1,$N278=""),"Vencida sin observación"&amp;" · ",""))="","✔ OK","⚠ "&amp;LEFT(IF(AND($S278="Macro",$B278=""),"Macroactividad vacía"&amp;" · ","")&amp;IF(AND($B278&lt;&gt;"",$C278&lt;&gt;""),"Escriba la subactividad en otra fila, debajo de su macroactividad"&amp;" · ","")&amp;IF(AND($S278="Sub",N($R278)=0),"Subactividad sin macroactividad arriba"&amp;" · ","")&amp;IF($D278="","Sin responsable"&amp;" · ","")&amp;IF($E278="","Sin fecha de inicio"&amp;" · ","")&amp;IF($F278="","Sin fecha límite"&amp;" · ","")&amp;IF(OR(AND($E278&lt;&gt;"",NOT(ISNUMBER($E278))),AND($F278&lt;&gt;"",NOT(ISNUMBER($F278)))),"Fecha no válida"&amp;" · ","")&amp;IF(AND(ISNUMBER($E278),ISNUMBER($F278),$E278&gt;$F278),"Inicio posterior a fecha límite"&amp;" · ","")&amp;IF(AND($S278="Macro",$G278=""),"Peso vacío"&amp;" · ","")&amp;IF(AND($S278="Macro",$G278&lt;&gt;"",OR(NOT(ISNUMBER($G278)),$G278&lt;=0,$G278&gt;1)),"Peso fuera de rango"&amp;" · ","")&amp;IF(AND($S278="Sub",$G278&lt;&gt;""),"Las subactividades no llevan peso"&amp;" · ","")&amp;IF(AND($S278="Macro",ABS(SUMIFS($G$5:$G$1000,$P$5:$P$1000,$P278,$S$5:$S$1000,"Macro")-1)&gt;0.0001),"Pesos del mes suman "&amp;TEXT(SUMIFS($G$5:$G$1000,$P$5:$P$1000,$P278,$S$5:$S$1000,"Macro"),"0%")&amp;" · ","")&amp;IF(AND(N($T278)&gt;0,COUNT($H278:$K278)&gt;0),"Con subactividades: deje vacías las semanas (se calculan solas)"&amp;" · ","")&amp;IF((COUNTIF($H278:$K278,"&gt;1")+COUNTIF($H278:$K278,"&lt;0")+COUNTA($H278:$K278)-COUNT($H278:$K278))&gt;0,"Avance fuera de rango 0-100%"&amp;" · ","")&amp;IF(OR(AND($I278&lt;&gt;"",$I278&lt;$H278),AND($J278&lt;&gt;"",$J278&lt;MAX($H278:$I278)),AND($K278&lt;&gt;"",$K278&lt;MAX($H278:$J278))),"Avance semanal decreciente"&amp;" · ","")&amp;IF(AND(ISNUMBER($F278),$F278&lt;FechaRef,N($L278)&lt;1),"Vencida"&amp;" · ","")&amp;IF(AND(ObsObligatoria="Sí",ISNUMBER($F278),$F278&lt;FechaRef,N($L278)&lt;1,$N278=""),"Vencida sin observación"&amp;" · ",""),LEN(IF(AND($S278="Macro",$B278=""),"Macroactividad vacía"&amp;" · ","")&amp;IF(AND($B278&lt;&gt;"",$C278&lt;&gt;""),"Escriba la subactividad en otra fila, debajo de su macroactividad"&amp;" · ","")&amp;IF(AND($S278="Sub",N($R278)=0),"Subactividad sin macroactividad arriba"&amp;" · ","")&amp;IF($D278="","Sin responsable"&amp;" · ","")&amp;IF($E278="","Sin fecha de inicio"&amp;" · ","")&amp;IF($F278="","Sin fecha límite"&amp;" · ","")&amp;IF(OR(AND($E278&lt;&gt;"",NOT(ISNUMBER($E278))),AND($F278&lt;&gt;"",NOT(ISNUMBER($F278)))),"Fecha no válida"&amp;" · ","")&amp;IF(AND(ISNUMBER($E278),ISNUMBER($F278),$E278&gt;$F278),"Inicio posterior a fecha límite"&amp;" · ","")&amp;IF(AND($S278="Macro",$G278=""),"Peso vacío"&amp;" · ","")&amp;IF(AND($S278="Macro",$G278&lt;&gt;"",OR(NOT(ISNUMBER($G278)),$G278&lt;=0,$G278&gt;1)),"Peso fuera de rango"&amp;" · ","")&amp;IF(AND($S278="Sub",$G278&lt;&gt;""),"Las subactividades no llevan peso"&amp;" · ","")&amp;IF(AND($S278="Macro",ABS(SUMIFS($G$5:$G$1000,$P$5:$P$1000,$P278,$S$5:$S$1000,"Macro")-1)&gt;0.0001),"Pesos del mes suman "&amp;TEXT(SUMIFS($G$5:$G$1000,$P$5:$P$1000,$P278,$S$5:$S$1000,"Macro"),"0%")&amp;" · ","")&amp;IF(AND(N($T278)&gt;0,COUNT($H278:$K278)&gt;0),"Con subactividades: deje vacías las semanas (se calculan solas)"&amp;" · ","")&amp;IF((COUNTIF($H278:$K278,"&gt;1")+COUNTIF($H278:$K278,"&lt;0")+COUNTA($H278:$K278)-COUNT($H278:$K278))&gt;0,"Avance fuera de rango 0-100%"&amp;" · ","")&amp;IF(OR(AND($I278&lt;&gt;"",$I278&lt;$H278),AND($J278&lt;&gt;"",$J278&lt;MAX($H278:$I278)),AND($K278&lt;&gt;"",$K278&lt;MAX($H278:$J278))),"Avance semanal decreciente"&amp;" · ","")&amp;IF(AND(ISNUMBER($F278),$F278&lt;FechaRef,N($L278)&lt;1),"Vencida"&amp;" · ","")&amp;IF(AND(ObsObligatoria="Sí",ISNUMBER($F278),$F278&lt;FechaRef,N($L278)&lt;1,$N278=""),"Vencida sin observación"&amp;" · ",""))-3)))</f>
        <v/>
      </c>
      <c r="P278" s="69">
        <f>IF(NOT((COUNTA($B278:$K278)+COUNTA($N278))&gt;0),"",IF(AND($S278="Sub",N($R278)&gt;0),IF(ISNUMBER(INDEX($E$5:$E$1000,$R278-4)),DATE(YEAR(INDEX($E$5:$E$1000,$R278-4)),MONTH(INDEX($E$5:$E$1000,$R278-4)),1),IF(ISNUMBER(INDEX($F$5:$F$1000,$R278-4)),DATE(YEAR(INDEX($F$5:$F$1000,$R278-4)),MONTH(INDEX($F$5:$F$1000,$R278-4)),1),MesCiclo)),IF(ISNUMBER($E278),DATE(YEAR($E278),MONTH($E278),1),IF(ISNUMBER($F278),DATE(YEAR($F278),MONTH($F278),1),MesCiclo))))</f>
        <v/>
      </c>
      <c r="Q278" s="70">
        <f>IF(OR($P278="",$P278&lt;&gt;MesCiclo),"",COUNTIF($P$5:$P278,MesCiclo))</f>
        <v/>
      </c>
      <c r="R278" s="70">
        <f>IF($S278="","",IF($S278="Macro",ROW(),IFERROR(LOOKUP(2,1/($S$5:$S278="Macro"),ROW($S$5:$S278)),0)))</f>
        <v/>
      </c>
      <c r="S278" s="70">
        <f>IF(NOT((COUNTA($B278:$K278)+COUNTA($N278))&gt;0),"",IF($B278&lt;&gt;"","Macro",IF($C278&lt;&gt;"","Sub","Macro")))</f>
        <v/>
      </c>
      <c r="T278" s="70">
        <f>IF($S278="Macro",COUNTIFS($R$5:$R$1000,ROW(),$S$5:$S$1000,"Sub"),"")</f>
        <v/>
      </c>
      <c r="U278" s="70">
        <f>IF($S278="","",IF(ISNUMBER($H278),$H278,0))</f>
        <v/>
      </c>
      <c r="V278" s="70">
        <f>IF($S278="","",IF(ISNUMBER($I278),$I278,$U278))</f>
        <v/>
      </c>
      <c r="W278" s="70">
        <f>IF($S278="","",IF(ISNUMBER($J278),$J278,$V278))</f>
        <v/>
      </c>
      <c r="X278" s="70">
        <f>IF($S278="","",IF(ISNUMBER($K278),$K278,$W278))</f>
        <v/>
      </c>
      <c r="Y278" s="70">
        <f>IF($S278="","",IF(N($T278)&gt;0,AVERAGEIFS($U$5:$U$1000,$R$5:$R$1000,ROW(),$S$5:$S$1000,"Sub"),$U278))</f>
        <v/>
      </c>
      <c r="Z278" s="70">
        <f>IF($S278="","",IF(N($T278)&gt;0,AVERAGEIFS($V$5:$V$1000,$R$5:$R$1000,ROW(),$S$5:$S$1000,"Sub"),$V278))</f>
        <v/>
      </c>
      <c r="AA278" s="70">
        <f>IF($S278="","",IF(N($T278)&gt;0,AVERAGEIFS($W$5:$W$1000,$R$5:$R$1000,ROW(),$S$5:$S$1000,"Sub"),$W278))</f>
        <v/>
      </c>
      <c r="AB278" s="70">
        <f>IF($S278="","",IF(N($T278)&gt;0,AVERAGEIFS($X$5:$X$1000,$R$5:$R$1000,ROW(),$S$5:$S$1000,"Sub"),$X278))</f>
        <v/>
      </c>
    </row>
    <row r="279">
      <c r="A279" s="61">
        <f>IF(NOT((COUNTA($B279:$K279)+COUNTA($N279))&gt;0),"",IF($S279="Macro",COUNTIFS($S$5:$S279,"Macro",$P$5:$P279,$P279),IF(N($R279)=0,"?",COUNTIFS(INDEX($S$5:$S$1000,1):INDEX($S$5:$S$1000,$R279-4),"Macro",INDEX($P$5:$P$1000,1):INDEX($P$5:$P$1000,$R279-4),INDEX($P$5:$P$1000,$R279-4))&amp;"."&amp;COUNTIFS($R$5:$R279,$R279,$S$5:$S279,"Sub"))))</f>
        <v/>
      </c>
      <c r="B279" s="62" t="n"/>
      <c r="C279" s="63" t="n"/>
      <c r="D279" s="62" t="n"/>
      <c r="E279" s="64" t="n"/>
      <c r="F279" s="64" t="n"/>
      <c r="G279" s="65" t="n"/>
      <c r="H279" s="66" t="n"/>
      <c r="I279" s="66" t="n"/>
      <c r="J279" s="66" t="n"/>
      <c r="K279" s="66" t="n"/>
      <c r="L279" s="67">
        <f>IF(NOT((COUNTA($B279:$K279)+COUNTA($N279))&gt;0),"",IF(N($T279)&gt;0,$AB279,IFERROR(LOOKUP(2,1/(H279:K279&lt;&gt;""),H279:K279),0)))</f>
        <v/>
      </c>
      <c r="M279" s="61">
        <f>IF(L279="","",IF(L279&gt;=1,"Completado",IF(L279&gt;0,"En curso","Pendiente")))</f>
        <v/>
      </c>
      <c r="N279" s="62" t="n"/>
      <c r="O279" s="68">
        <f>IF(NOT((COUNTA($B279:$K279)+COUNTA($N279))&gt;0),"",IF((IF(AND($S279="Macro",$B279=""),"Macroactividad vacía"&amp;" · ","")&amp;IF(AND($B279&lt;&gt;"",$C279&lt;&gt;""),"Escriba la subactividad en otra fila, debajo de su macroactividad"&amp;" · ","")&amp;IF(AND($S279="Sub",N($R279)=0),"Subactividad sin macroactividad arriba"&amp;" · ","")&amp;IF($D279="","Sin responsable"&amp;" · ","")&amp;IF($E279="","Sin fecha de inicio"&amp;" · ","")&amp;IF($F279="","Sin fecha límite"&amp;" · ","")&amp;IF(OR(AND($E279&lt;&gt;"",NOT(ISNUMBER($E279))),AND($F279&lt;&gt;"",NOT(ISNUMBER($F279)))),"Fecha no válida"&amp;" · ","")&amp;IF(AND(ISNUMBER($E279),ISNUMBER($F279),$E279&gt;$F279),"Inicio posterior a fecha límite"&amp;" · ","")&amp;IF(AND($S279="Macro",$G279=""),"Peso vacío"&amp;" · ","")&amp;IF(AND($S279="Macro",$G279&lt;&gt;"",OR(NOT(ISNUMBER($G279)),$G279&lt;=0,$G279&gt;1)),"Peso fuera de rango"&amp;" · ","")&amp;IF(AND($S279="Sub",$G279&lt;&gt;""),"Las subactividades no llevan peso"&amp;" · ","")&amp;IF(AND($S279="Macro",ABS(SUMIFS($G$5:$G$1000,$P$5:$P$1000,$P279,$S$5:$S$1000,"Macro")-1)&gt;0.0001),"Pesos del mes suman "&amp;TEXT(SUMIFS($G$5:$G$1000,$P$5:$P$1000,$P279,$S$5:$S$1000,"Macro"),"0%")&amp;" · ","")&amp;IF(AND(N($T279)&gt;0,COUNT($H279:$K279)&gt;0),"Con subactividades: deje vacías las semanas (se calculan solas)"&amp;" · ","")&amp;IF((COUNTIF($H279:$K279,"&gt;1")+COUNTIF($H279:$K279,"&lt;0")+COUNTA($H279:$K279)-COUNT($H279:$K279))&gt;0,"Avance fuera de rango 0-100%"&amp;" · ","")&amp;IF(OR(AND($I279&lt;&gt;"",$I279&lt;$H279),AND($J279&lt;&gt;"",$J279&lt;MAX($H279:$I279)),AND($K279&lt;&gt;"",$K279&lt;MAX($H279:$J279))),"Avance semanal decreciente"&amp;" · ","")&amp;IF(AND(ISNUMBER($F279),$F279&lt;FechaRef,N($L279)&lt;1),"Vencida"&amp;" · ","")&amp;IF(AND(ObsObligatoria="Sí",ISNUMBER($F279),$F279&lt;FechaRef,N($L279)&lt;1,$N279=""),"Vencida sin observación"&amp;" · ",""))="","✔ OK","⚠ "&amp;LEFT(IF(AND($S279="Macro",$B279=""),"Macroactividad vacía"&amp;" · ","")&amp;IF(AND($B279&lt;&gt;"",$C279&lt;&gt;""),"Escriba la subactividad en otra fila, debajo de su macroactividad"&amp;" · ","")&amp;IF(AND($S279="Sub",N($R279)=0),"Subactividad sin macroactividad arriba"&amp;" · ","")&amp;IF($D279="","Sin responsable"&amp;" · ","")&amp;IF($E279="","Sin fecha de inicio"&amp;" · ","")&amp;IF($F279="","Sin fecha límite"&amp;" · ","")&amp;IF(OR(AND($E279&lt;&gt;"",NOT(ISNUMBER($E279))),AND($F279&lt;&gt;"",NOT(ISNUMBER($F279)))),"Fecha no válida"&amp;" · ","")&amp;IF(AND(ISNUMBER($E279),ISNUMBER($F279),$E279&gt;$F279),"Inicio posterior a fecha límite"&amp;" · ","")&amp;IF(AND($S279="Macro",$G279=""),"Peso vacío"&amp;" · ","")&amp;IF(AND($S279="Macro",$G279&lt;&gt;"",OR(NOT(ISNUMBER($G279)),$G279&lt;=0,$G279&gt;1)),"Peso fuera de rango"&amp;" · ","")&amp;IF(AND($S279="Sub",$G279&lt;&gt;""),"Las subactividades no llevan peso"&amp;" · ","")&amp;IF(AND($S279="Macro",ABS(SUMIFS($G$5:$G$1000,$P$5:$P$1000,$P279,$S$5:$S$1000,"Macro")-1)&gt;0.0001),"Pesos del mes suman "&amp;TEXT(SUMIFS($G$5:$G$1000,$P$5:$P$1000,$P279,$S$5:$S$1000,"Macro"),"0%")&amp;" · ","")&amp;IF(AND(N($T279)&gt;0,COUNT($H279:$K279)&gt;0),"Con subactividades: deje vacías las semanas (se calculan solas)"&amp;" · ","")&amp;IF((COUNTIF($H279:$K279,"&gt;1")+COUNTIF($H279:$K279,"&lt;0")+COUNTA($H279:$K279)-COUNT($H279:$K279))&gt;0,"Avance fuera de rango 0-100%"&amp;" · ","")&amp;IF(OR(AND($I279&lt;&gt;"",$I279&lt;$H279),AND($J279&lt;&gt;"",$J279&lt;MAX($H279:$I279)),AND($K279&lt;&gt;"",$K279&lt;MAX($H279:$J279))),"Avance semanal decreciente"&amp;" · ","")&amp;IF(AND(ISNUMBER($F279),$F279&lt;FechaRef,N($L279)&lt;1),"Vencida"&amp;" · ","")&amp;IF(AND(ObsObligatoria="Sí",ISNUMBER($F279),$F279&lt;FechaRef,N($L279)&lt;1,$N279=""),"Vencida sin observación"&amp;" · ",""),LEN(IF(AND($S279="Macro",$B279=""),"Macroactividad vacía"&amp;" · ","")&amp;IF(AND($B279&lt;&gt;"",$C279&lt;&gt;""),"Escriba la subactividad en otra fila, debajo de su macroactividad"&amp;" · ","")&amp;IF(AND($S279="Sub",N($R279)=0),"Subactividad sin macroactividad arriba"&amp;" · ","")&amp;IF($D279="","Sin responsable"&amp;" · ","")&amp;IF($E279="","Sin fecha de inicio"&amp;" · ","")&amp;IF($F279="","Sin fecha límite"&amp;" · ","")&amp;IF(OR(AND($E279&lt;&gt;"",NOT(ISNUMBER($E279))),AND($F279&lt;&gt;"",NOT(ISNUMBER($F279)))),"Fecha no válida"&amp;" · ","")&amp;IF(AND(ISNUMBER($E279),ISNUMBER($F279),$E279&gt;$F279),"Inicio posterior a fecha límite"&amp;" · ","")&amp;IF(AND($S279="Macro",$G279=""),"Peso vacío"&amp;" · ","")&amp;IF(AND($S279="Macro",$G279&lt;&gt;"",OR(NOT(ISNUMBER($G279)),$G279&lt;=0,$G279&gt;1)),"Peso fuera de rango"&amp;" · ","")&amp;IF(AND($S279="Sub",$G279&lt;&gt;""),"Las subactividades no llevan peso"&amp;" · ","")&amp;IF(AND($S279="Macro",ABS(SUMIFS($G$5:$G$1000,$P$5:$P$1000,$P279,$S$5:$S$1000,"Macro")-1)&gt;0.0001),"Pesos del mes suman "&amp;TEXT(SUMIFS($G$5:$G$1000,$P$5:$P$1000,$P279,$S$5:$S$1000,"Macro"),"0%")&amp;" · ","")&amp;IF(AND(N($T279)&gt;0,COUNT($H279:$K279)&gt;0),"Con subactividades: deje vacías las semanas (se calculan solas)"&amp;" · ","")&amp;IF((COUNTIF($H279:$K279,"&gt;1")+COUNTIF($H279:$K279,"&lt;0")+COUNTA($H279:$K279)-COUNT($H279:$K279))&gt;0,"Avance fuera de rango 0-100%"&amp;" · ","")&amp;IF(OR(AND($I279&lt;&gt;"",$I279&lt;$H279),AND($J279&lt;&gt;"",$J279&lt;MAX($H279:$I279)),AND($K279&lt;&gt;"",$K279&lt;MAX($H279:$J279))),"Avance semanal decreciente"&amp;" · ","")&amp;IF(AND(ISNUMBER($F279),$F279&lt;FechaRef,N($L279)&lt;1),"Vencida"&amp;" · ","")&amp;IF(AND(ObsObligatoria="Sí",ISNUMBER($F279),$F279&lt;FechaRef,N($L279)&lt;1,$N279=""),"Vencida sin observación"&amp;" · ",""))-3)))</f>
        <v/>
      </c>
      <c r="P279" s="69">
        <f>IF(NOT((COUNTA($B279:$K279)+COUNTA($N279))&gt;0),"",IF(AND($S279="Sub",N($R279)&gt;0),IF(ISNUMBER(INDEX($E$5:$E$1000,$R279-4)),DATE(YEAR(INDEX($E$5:$E$1000,$R279-4)),MONTH(INDEX($E$5:$E$1000,$R279-4)),1),IF(ISNUMBER(INDEX($F$5:$F$1000,$R279-4)),DATE(YEAR(INDEX($F$5:$F$1000,$R279-4)),MONTH(INDEX($F$5:$F$1000,$R279-4)),1),MesCiclo)),IF(ISNUMBER($E279),DATE(YEAR($E279),MONTH($E279),1),IF(ISNUMBER($F279),DATE(YEAR($F279),MONTH($F279),1),MesCiclo))))</f>
        <v/>
      </c>
      <c r="Q279" s="70">
        <f>IF(OR($P279="",$P279&lt;&gt;MesCiclo),"",COUNTIF($P$5:$P279,MesCiclo))</f>
        <v/>
      </c>
      <c r="R279" s="70">
        <f>IF($S279="","",IF($S279="Macro",ROW(),IFERROR(LOOKUP(2,1/($S$5:$S279="Macro"),ROW($S$5:$S279)),0)))</f>
        <v/>
      </c>
      <c r="S279" s="70">
        <f>IF(NOT((COUNTA($B279:$K279)+COUNTA($N279))&gt;0),"",IF($B279&lt;&gt;"","Macro",IF($C279&lt;&gt;"","Sub","Macro")))</f>
        <v/>
      </c>
      <c r="T279" s="70">
        <f>IF($S279="Macro",COUNTIFS($R$5:$R$1000,ROW(),$S$5:$S$1000,"Sub"),"")</f>
        <v/>
      </c>
      <c r="U279" s="70">
        <f>IF($S279="","",IF(ISNUMBER($H279),$H279,0))</f>
        <v/>
      </c>
      <c r="V279" s="70">
        <f>IF($S279="","",IF(ISNUMBER($I279),$I279,$U279))</f>
        <v/>
      </c>
      <c r="W279" s="70">
        <f>IF($S279="","",IF(ISNUMBER($J279),$J279,$V279))</f>
        <v/>
      </c>
      <c r="X279" s="70">
        <f>IF($S279="","",IF(ISNUMBER($K279),$K279,$W279))</f>
        <v/>
      </c>
      <c r="Y279" s="70">
        <f>IF($S279="","",IF(N($T279)&gt;0,AVERAGEIFS($U$5:$U$1000,$R$5:$R$1000,ROW(),$S$5:$S$1000,"Sub"),$U279))</f>
        <v/>
      </c>
      <c r="Z279" s="70">
        <f>IF($S279="","",IF(N($T279)&gt;0,AVERAGEIFS($V$5:$V$1000,$R$5:$R$1000,ROW(),$S$5:$S$1000,"Sub"),$V279))</f>
        <v/>
      </c>
      <c r="AA279" s="70">
        <f>IF($S279="","",IF(N($T279)&gt;0,AVERAGEIFS($W$5:$W$1000,$R$5:$R$1000,ROW(),$S$5:$S$1000,"Sub"),$W279))</f>
        <v/>
      </c>
      <c r="AB279" s="70">
        <f>IF($S279="","",IF(N($T279)&gt;0,AVERAGEIFS($X$5:$X$1000,$R$5:$R$1000,ROW(),$S$5:$S$1000,"Sub"),$X279))</f>
        <v/>
      </c>
    </row>
    <row r="280">
      <c r="A280" s="61">
        <f>IF(NOT((COUNTA($B280:$K280)+COUNTA($N280))&gt;0),"",IF($S280="Macro",COUNTIFS($S$5:$S280,"Macro",$P$5:$P280,$P280),IF(N($R280)=0,"?",COUNTIFS(INDEX($S$5:$S$1000,1):INDEX($S$5:$S$1000,$R280-4),"Macro",INDEX($P$5:$P$1000,1):INDEX($P$5:$P$1000,$R280-4),INDEX($P$5:$P$1000,$R280-4))&amp;"."&amp;COUNTIFS($R$5:$R280,$R280,$S$5:$S280,"Sub"))))</f>
        <v/>
      </c>
      <c r="B280" s="62" t="n"/>
      <c r="C280" s="63" t="n"/>
      <c r="D280" s="62" t="n"/>
      <c r="E280" s="64" t="n"/>
      <c r="F280" s="64" t="n"/>
      <c r="G280" s="65" t="n"/>
      <c r="H280" s="66" t="n"/>
      <c r="I280" s="66" t="n"/>
      <c r="J280" s="66" t="n"/>
      <c r="K280" s="66" t="n"/>
      <c r="L280" s="67">
        <f>IF(NOT((COUNTA($B280:$K280)+COUNTA($N280))&gt;0),"",IF(N($T280)&gt;0,$AB280,IFERROR(LOOKUP(2,1/(H280:K280&lt;&gt;""),H280:K280),0)))</f>
        <v/>
      </c>
      <c r="M280" s="61">
        <f>IF(L280="","",IF(L280&gt;=1,"Completado",IF(L280&gt;0,"En curso","Pendiente")))</f>
        <v/>
      </c>
      <c r="N280" s="62" t="n"/>
      <c r="O280" s="68">
        <f>IF(NOT((COUNTA($B280:$K280)+COUNTA($N280))&gt;0),"",IF((IF(AND($S280="Macro",$B280=""),"Macroactividad vacía"&amp;" · ","")&amp;IF(AND($B280&lt;&gt;"",$C280&lt;&gt;""),"Escriba la subactividad en otra fila, debajo de su macroactividad"&amp;" · ","")&amp;IF(AND($S280="Sub",N($R280)=0),"Subactividad sin macroactividad arriba"&amp;" · ","")&amp;IF($D280="","Sin responsable"&amp;" · ","")&amp;IF($E280="","Sin fecha de inicio"&amp;" · ","")&amp;IF($F280="","Sin fecha límite"&amp;" · ","")&amp;IF(OR(AND($E280&lt;&gt;"",NOT(ISNUMBER($E280))),AND($F280&lt;&gt;"",NOT(ISNUMBER($F280)))),"Fecha no válida"&amp;" · ","")&amp;IF(AND(ISNUMBER($E280),ISNUMBER($F280),$E280&gt;$F280),"Inicio posterior a fecha límite"&amp;" · ","")&amp;IF(AND($S280="Macro",$G280=""),"Peso vacío"&amp;" · ","")&amp;IF(AND($S280="Macro",$G280&lt;&gt;"",OR(NOT(ISNUMBER($G280)),$G280&lt;=0,$G280&gt;1)),"Peso fuera de rango"&amp;" · ","")&amp;IF(AND($S280="Sub",$G280&lt;&gt;""),"Las subactividades no llevan peso"&amp;" · ","")&amp;IF(AND($S280="Macro",ABS(SUMIFS($G$5:$G$1000,$P$5:$P$1000,$P280,$S$5:$S$1000,"Macro")-1)&gt;0.0001),"Pesos del mes suman "&amp;TEXT(SUMIFS($G$5:$G$1000,$P$5:$P$1000,$P280,$S$5:$S$1000,"Macro"),"0%")&amp;" · ","")&amp;IF(AND(N($T280)&gt;0,COUNT($H280:$K280)&gt;0),"Con subactividades: deje vacías las semanas (se calculan solas)"&amp;" · ","")&amp;IF((COUNTIF($H280:$K280,"&gt;1")+COUNTIF($H280:$K280,"&lt;0")+COUNTA($H280:$K280)-COUNT($H280:$K280))&gt;0,"Avance fuera de rango 0-100%"&amp;" · ","")&amp;IF(OR(AND($I280&lt;&gt;"",$I280&lt;$H280),AND($J280&lt;&gt;"",$J280&lt;MAX($H280:$I280)),AND($K280&lt;&gt;"",$K280&lt;MAX($H280:$J280))),"Avance semanal decreciente"&amp;" · ","")&amp;IF(AND(ISNUMBER($F280),$F280&lt;FechaRef,N($L280)&lt;1),"Vencida"&amp;" · ","")&amp;IF(AND(ObsObligatoria="Sí",ISNUMBER($F280),$F280&lt;FechaRef,N($L280)&lt;1,$N280=""),"Vencida sin observación"&amp;" · ",""))="","✔ OK","⚠ "&amp;LEFT(IF(AND($S280="Macro",$B280=""),"Macroactividad vacía"&amp;" · ","")&amp;IF(AND($B280&lt;&gt;"",$C280&lt;&gt;""),"Escriba la subactividad en otra fila, debajo de su macroactividad"&amp;" · ","")&amp;IF(AND($S280="Sub",N($R280)=0),"Subactividad sin macroactividad arriba"&amp;" · ","")&amp;IF($D280="","Sin responsable"&amp;" · ","")&amp;IF($E280="","Sin fecha de inicio"&amp;" · ","")&amp;IF($F280="","Sin fecha límite"&amp;" · ","")&amp;IF(OR(AND($E280&lt;&gt;"",NOT(ISNUMBER($E280))),AND($F280&lt;&gt;"",NOT(ISNUMBER($F280)))),"Fecha no válida"&amp;" · ","")&amp;IF(AND(ISNUMBER($E280),ISNUMBER($F280),$E280&gt;$F280),"Inicio posterior a fecha límite"&amp;" · ","")&amp;IF(AND($S280="Macro",$G280=""),"Peso vacío"&amp;" · ","")&amp;IF(AND($S280="Macro",$G280&lt;&gt;"",OR(NOT(ISNUMBER($G280)),$G280&lt;=0,$G280&gt;1)),"Peso fuera de rango"&amp;" · ","")&amp;IF(AND($S280="Sub",$G280&lt;&gt;""),"Las subactividades no llevan peso"&amp;" · ","")&amp;IF(AND($S280="Macro",ABS(SUMIFS($G$5:$G$1000,$P$5:$P$1000,$P280,$S$5:$S$1000,"Macro")-1)&gt;0.0001),"Pesos del mes suman "&amp;TEXT(SUMIFS($G$5:$G$1000,$P$5:$P$1000,$P280,$S$5:$S$1000,"Macro"),"0%")&amp;" · ","")&amp;IF(AND(N($T280)&gt;0,COUNT($H280:$K280)&gt;0),"Con subactividades: deje vacías las semanas (se calculan solas)"&amp;" · ","")&amp;IF((COUNTIF($H280:$K280,"&gt;1")+COUNTIF($H280:$K280,"&lt;0")+COUNTA($H280:$K280)-COUNT($H280:$K280))&gt;0,"Avance fuera de rango 0-100%"&amp;" · ","")&amp;IF(OR(AND($I280&lt;&gt;"",$I280&lt;$H280),AND($J280&lt;&gt;"",$J280&lt;MAX($H280:$I280)),AND($K280&lt;&gt;"",$K280&lt;MAX($H280:$J280))),"Avance semanal decreciente"&amp;" · ","")&amp;IF(AND(ISNUMBER($F280),$F280&lt;FechaRef,N($L280)&lt;1),"Vencida"&amp;" · ","")&amp;IF(AND(ObsObligatoria="Sí",ISNUMBER($F280),$F280&lt;FechaRef,N($L280)&lt;1,$N280=""),"Vencida sin observación"&amp;" · ",""),LEN(IF(AND($S280="Macro",$B280=""),"Macroactividad vacía"&amp;" · ","")&amp;IF(AND($B280&lt;&gt;"",$C280&lt;&gt;""),"Escriba la subactividad en otra fila, debajo de su macroactividad"&amp;" · ","")&amp;IF(AND($S280="Sub",N($R280)=0),"Subactividad sin macroactividad arriba"&amp;" · ","")&amp;IF($D280="","Sin responsable"&amp;" · ","")&amp;IF($E280="","Sin fecha de inicio"&amp;" · ","")&amp;IF($F280="","Sin fecha límite"&amp;" · ","")&amp;IF(OR(AND($E280&lt;&gt;"",NOT(ISNUMBER($E280))),AND($F280&lt;&gt;"",NOT(ISNUMBER($F280)))),"Fecha no válida"&amp;" · ","")&amp;IF(AND(ISNUMBER($E280),ISNUMBER($F280),$E280&gt;$F280),"Inicio posterior a fecha límite"&amp;" · ","")&amp;IF(AND($S280="Macro",$G280=""),"Peso vacío"&amp;" · ","")&amp;IF(AND($S280="Macro",$G280&lt;&gt;"",OR(NOT(ISNUMBER($G280)),$G280&lt;=0,$G280&gt;1)),"Peso fuera de rango"&amp;" · ","")&amp;IF(AND($S280="Sub",$G280&lt;&gt;""),"Las subactividades no llevan peso"&amp;" · ","")&amp;IF(AND($S280="Macro",ABS(SUMIFS($G$5:$G$1000,$P$5:$P$1000,$P280,$S$5:$S$1000,"Macro")-1)&gt;0.0001),"Pesos del mes suman "&amp;TEXT(SUMIFS($G$5:$G$1000,$P$5:$P$1000,$P280,$S$5:$S$1000,"Macro"),"0%")&amp;" · ","")&amp;IF(AND(N($T280)&gt;0,COUNT($H280:$K280)&gt;0),"Con subactividades: deje vacías las semanas (se calculan solas)"&amp;" · ","")&amp;IF((COUNTIF($H280:$K280,"&gt;1")+COUNTIF($H280:$K280,"&lt;0")+COUNTA($H280:$K280)-COUNT($H280:$K280))&gt;0,"Avance fuera de rango 0-100%"&amp;" · ","")&amp;IF(OR(AND($I280&lt;&gt;"",$I280&lt;$H280),AND($J280&lt;&gt;"",$J280&lt;MAX($H280:$I280)),AND($K280&lt;&gt;"",$K280&lt;MAX($H280:$J280))),"Avance semanal decreciente"&amp;" · ","")&amp;IF(AND(ISNUMBER($F280),$F280&lt;FechaRef,N($L280)&lt;1),"Vencida"&amp;" · ","")&amp;IF(AND(ObsObligatoria="Sí",ISNUMBER($F280),$F280&lt;FechaRef,N($L280)&lt;1,$N280=""),"Vencida sin observación"&amp;" · ",""))-3)))</f>
        <v/>
      </c>
      <c r="P280" s="69">
        <f>IF(NOT((COUNTA($B280:$K280)+COUNTA($N280))&gt;0),"",IF(AND($S280="Sub",N($R280)&gt;0),IF(ISNUMBER(INDEX($E$5:$E$1000,$R280-4)),DATE(YEAR(INDEX($E$5:$E$1000,$R280-4)),MONTH(INDEX($E$5:$E$1000,$R280-4)),1),IF(ISNUMBER(INDEX($F$5:$F$1000,$R280-4)),DATE(YEAR(INDEX($F$5:$F$1000,$R280-4)),MONTH(INDEX($F$5:$F$1000,$R280-4)),1),MesCiclo)),IF(ISNUMBER($E280),DATE(YEAR($E280),MONTH($E280),1),IF(ISNUMBER($F280),DATE(YEAR($F280),MONTH($F280),1),MesCiclo))))</f>
        <v/>
      </c>
      <c r="Q280" s="70">
        <f>IF(OR($P280="",$P280&lt;&gt;MesCiclo),"",COUNTIF($P$5:$P280,MesCiclo))</f>
        <v/>
      </c>
      <c r="R280" s="70">
        <f>IF($S280="","",IF($S280="Macro",ROW(),IFERROR(LOOKUP(2,1/($S$5:$S280="Macro"),ROW($S$5:$S280)),0)))</f>
        <v/>
      </c>
      <c r="S280" s="70">
        <f>IF(NOT((COUNTA($B280:$K280)+COUNTA($N280))&gt;0),"",IF($B280&lt;&gt;"","Macro",IF($C280&lt;&gt;"","Sub","Macro")))</f>
        <v/>
      </c>
      <c r="T280" s="70">
        <f>IF($S280="Macro",COUNTIFS($R$5:$R$1000,ROW(),$S$5:$S$1000,"Sub"),"")</f>
        <v/>
      </c>
      <c r="U280" s="70">
        <f>IF($S280="","",IF(ISNUMBER($H280),$H280,0))</f>
        <v/>
      </c>
      <c r="V280" s="70">
        <f>IF($S280="","",IF(ISNUMBER($I280),$I280,$U280))</f>
        <v/>
      </c>
      <c r="W280" s="70">
        <f>IF($S280="","",IF(ISNUMBER($J280),$J280,$V280))</f>
        <v/>
      </c>
      <c r="X280" s="70">
        <f>IF($S280="","",IF(ISNUMBER($K280),$K280,$W280))</f>
        <v/>
      </c>
      <c r="Y280" s="70">
        <f>IF($S280="","",IF(N($T280)&gt;0,AVERAGEIFS($U$5:$U$1000,$R$5:$R$1000,ROW(),$S$5:$S$1000,"Sub"),$U280))</f>
        <v/>
      </c>
      <c r="Z280" s="70">
        <f>IF($S280="","",IF(N($T280)&gt;0,AVERAGEIFS($V$5:$V$1000,$R$5:$R$1000,ROW(),$S$5:$S$1000,"Sub"),$V280))</f>
        <v/>
      </c>
      <c r="AA280" s="70">
        <f>IF($S280="","",IF(N($T280)&gt;0,AVERAGEIFS($W$5:$W$1000,$R$5:$R$1000,ROW(),$S$5:$S$1000,"Sub"),$W280))</f>
        <v/>
      </c>
      <c r="AB280" s="70">
        <f>IF($S280="","",IF(N($T280)&gt;0,AVERAGEIFS($X$5:$X$1000,$R$5:$R$1000,ROW(),$S$5:$S$1000,"Sub"),$X280))</f>
        <v/>
      </c>
    </row>
    <row r="281">
      <c r="A281" s="61">
        <f>IF(NOT((COUNTA($B281:$K281)+COUNTA($N281))&gt;0),"",IF($S281="Macro",COUNTIFS($S$5:$S281,"Macro",$P$5:$P281,$P281),IF(N($R281)=0,"?",COUNTIFS(INDEX($S$5:$S$1000,1):INDEX($S$5:$S$1000,$R281-4),"Macro",INDEX($P$5:$P$1000,1):INDEX($P$5:$P$1000,$R281-4),INDEX($P$5:$P$1000,$R281-4))&amp;"."&amp;COUNTIFS($R$5:$R281,$R281,$S$5:$S281,"Sub"))))</f>
        <v/>
      </c>
      <c r="B281" s="62" t="n"/>
      <c r="C281" s="63" t="n"/>
      <c r="D281" s="62" t="n"/>
      <c r="E281" s="64" t="n"/>
      <c r="F281" s="64" t="n"/>
      <c r="G281" s="65" t="n"/>
      <c r="H281" s="66" t="n"/>
      <c r="I281" s="66" t="n"/>
      <c r="J281" s="66" t="n"/>
      <c r="K281" s="66" t="n"/>
      <c r="L281" s="67">
        <f>IF(NOT((COUNTA($B281:$K281)+COUNTA($N281))&gt;0),"",IF(N($T281)&gt;0,$AB281,IFERROR(LOOKUP(2,1/(H281:K281&lt;&gt;""),H281:K281),0)))</f>
        <v/>
      </c>
      <c r="M281" s="61">
        <f>IF(L281="","",IF(L281&gt;=1,"Completado",IF(L281&gt;0,"En curso","Pendiente")))</f>
        <v/>
      </c>
      <c r="N281" s="62" t="n"/>
      <c r="O281" s="68">
        <f>IF(NOT((COUNTA($B281:$K281)+COUNTA($N281))&gt;0),"",IF((IF(AND($S281="Macro",$B281=""),"Macroactividad vacía"&amp;" · ","")&amp;IF(AND($B281&lt;&gt;"",$C281&lt;&gt;""),"Escriba la subactividad en otra fila, debajo de su macroactividad"&amp;" · ","")&amp;IF(AND($S281="Sub",N($R281)=0),"Subactividad sin macroactividad arriba"&amp;" · ","")&amp;IF($D281="","Sin responsable"&amp;" · ","")&amp;IF($E281="","Sin fecha de inicio"&amp;" · ","")&amp;IF($F281="","Sin fecha límite"&amp;" · ","")&amp;IF(OR(AND($E281&lt;&gt;"",NOT(ISNUMBER($E281))),AND($F281&lt;&gt;"",NOT(ISNUMBER($F281)))),"Fecha no válida"&amp;" · ","")&amp;IF(AND(ISNUMBER($E281),ISNUMBER($F281),$E281&gt;$F281),"Inicio posterior a fecha límite"&amp;" · ","")&amp;IF(AND($S281="Macro",$G281=""),"Peso vacío"&amp;" · ","")&amp;IF(AND($S281="Macro",$G281&lt;&gt;"",OR(NOT(ISNUMBER($G281)),$G281&lt;=0,$G281&gt;1)),"Peso fuera de rango"&amp;" · ","")&amp;IF(AND($S281="Sub",$G281&lt;&gt;""),"Las subactividades no llevan peso"&amp;" · ","")&amp;IF(AND($S281="Macro",ABS(SUMIFS($G$5:$G$1000,$P$5:$P$1000,$P281,$S$5:$S$1000,"Macro")-1)&gt;0.0001),"Pesos del mes suman "&amp;TEXT(SUMIFS($G$5:$G$1000,$P$5:$P$1000,$P281,$S$5:$S$1000,"Macro"),"0%")&amp;" · ","")&amp;IF(AND(N($T281)&gt;0,COUNT($H281:$K281)&gt;0),"Con subactividades: deje vacías las semanas (se calculan solas)"&amp;" · ","")&amp;IF((COUNTIF($H281:$K281,"&gt;1")+COUNTIF($H281:$K281,"&lt;0")+COUNTA($H281:$K281)-COUNT($H281:$K281))&gt;0,"Avance fuera de rango 0-100%"&amp;" · ","")&amp;IF(OR(AND($I281&lt;&gt;"",$I281&lt;$H281),AND($J281&lt;&gt;"",$J281&lt;MAX($H281:$I281)),AND($K281&lt;&gt;"",$K281&lt;MAX($H281:$J281))),"Avance semanal decreciente"&amp;" · ","")&amp;IF(AND(ISNUMBER($F281),$F281&lt;FechaRef,N($L281)&lt;1),"Vencida"&amp;" · ","")&amp;IF(AND(ObsObligatoria="Sí",ISNUMBER($F281),$F281&lt;FechaRef,N($L281)&lt;1,$N281=""),"Vencida sin observación"&amp;" · ",""))="","✔ OK","⚠ "&amp;LEFT(IF(AND($S281="Macro",$B281=""),"Macroactividad vacía"&amp;" · ","")&amp;IF(AND($B281&lt;&gt;"",$C281&lt;&gt;""),"Escriba la subactividad en otra fila, debajo de su macroactividad"&amp;" · ","")&amp;IF(AND($S281="Sub",N($R281)=0),"Subactividad sin macroactividad arriba"&amp;" · ","")&amp;IF($D281="","Sin responsable"&amp;" · ","")&amp;IF($E281="","Sin fecha de inicio"&amp;" · ","")&amp;IF($F281="","Sin fecha límite"&amp;" · ","")&amp;IF(OR(AND($E281&lt;&gt;"",NOT(ISNUMBER($E281))),AND($F281&lt;&gt;"",NOT(ISNUMBER($F281)))),"Fecha no válida"&amp;" · ","")&amp;IF(AND(ISNUMBER($E281),ISNUMBER($F281),$E281&gt;$F281),"Inicio posterior a fecha límite"&amp;" · ","")&amp;IF(AND($S281="Macro",$G281=""),"Peso vacío"&amp;" · ","")&amp;IF(AND($S281="Macro",$G281&lt;&gt;"",OR(NOT(ISNUMBER($G281)),$G281&lt;=0,$G281&gt;1)),"Peso fuera de rango"&amp;" · ","")&amp;IF(AND($S281="Sub",$G281&lt;&gt;""),"Las subactividades no llevan peso"&amp;" · ","")&amp;IF(AND($S281="Macro",ABS(SUMIFS($G$5:$G$1000,$P$5:$P$1000,$P281,$S$5:$S$1000,"Macro")-1)&gt;0.0001),"Pesos del mes suman "&amp;TEXT(SUMIFS($G$5:$G$1000,$P$5:$P$1000,$P281,$S$5:$S$1000,"Macro"),"0%")&amp;" · ","")&amp;IF(AND(N($T281)&gt;0,COUNT($H281:$K281)&gt;0),"Con subactividades: deje vacías las semanas (se calculan solas)"&amp;" · ","")&amp;IF((COUNTIF($H281:$K281,"&gt;1")+COUNTIF($H281:$K281,"&lt;0")+COUNTA($H281:$K281)-COUNT($H281:$K281))&gt;0,"Avance fuera de rango 0-100%"&amp;" · ","")&amp;IF(OR(AND($I281&lt;&gt;"",$I281&lt;$H281),AND($J281&lt;&gt;"",$J281&lt;MAX($H281:$I281)),AND($K281&lt;&gt;"",$K281&lt;MAX($H281:$J281))),"Avance semanal decreciente"&amp;" · ","")&amp;IF(AND(ISNUMBER($F281),$F281&lt;FechaRef,N($L281)&lt;1),"Vencida"&amp;" · ","")&amp;IF(AND(ObsObligatoria="Sí",ISNUMBER($F281),$F281&lt;FechaRef,N($L281)&lt;1,$N281=""),"Vencida sin observación"&amp;" · ",""),LEN(IF(AND($S281="Macro",$B281=""),"Macroactividad vacía"&amp;" · ","")&amp;IF(AND($B281&lt;&gt;"",$C281&lt;&gt;""),"Escriba la subactividad en otra fila, debajo de su macroactividad"&amp;" · ","")&amp;IF(AND($S281="Sub",N($R281)=0),"Subactividad sin macroactividad arriba"&amp;" · ","")&amp;IF($D281="","Sin responsable"&amp;" · ","")&amp;IF($E281="","Sin fecha de inicio"&amp;" · ","")&amp;IF($F281="","Sin fecha límite"&amp;" · ","")&amp;IF(OR(AND($E281&lt;&gt;"",NOT(ISNUMBER($E281))),AND($F281&lt;&gt;"",NOT(ISNUMBER($F281)))),"Fecha no válida"&amp;" · ","")&amp;IF(AND(ISNUMBER($E281),ISNUMBER($F281),$E281&gt;$F281),"Inicio posterior a fecha límite"&amp;" · ","")&amp;IF(AND($S281="Macro",$G281=""),"Peso vacío"&amp;" · ","")&amp;IF(AND($S281="Macro",$G281&lt;&gt;"",OR(NOT(ISNUMBER($G281)),$G281&lt;=0,$G281&gt;1)),"Peso fuera de rango"&amp;" · ","")&amp;IF(AND($S281="Sub",$G281&lt;&gt;""),"Las subactividades no llevan peso"&amp;" · ","")&amp;IF(AND($S281="Macro",ABS(SUMIFS($G$5:$G$1000,$P$5:$P$1000,$P281,$S$5:$S$1000,"Macro")-1)&gt;0.0001),"Pesos del mes suman "&amp;TEXT(SUMIFS($G$5:$G$1000,$P$5:$P$1000,$P281,$S$5:$S$1000,"Macro"),"0%")&amp;" · ","")&amp;IF(AND(N($T281)&gt;0,COUNT($H281:$K281)&gt;0),"Con subactividades: deje vacías las semanas (se calculan solas)"&amp;" · ","")&amp;IF((COUNTIF($H281:$K281,"&gt;1")+COUNTIF($H281:$K281,"&lt;0")+COUNTA($H281:$K281)-COUNT($H281:$K281))&gt;0,"Avance fuera de rango 0-100%"&amp;" · ","")&amp;IF(OR(AND($I281&lt;&gt;"",$I281&lt;$H281),AND($J281&lt;&gt;"",$J281&lt;MAX($H281:$I281)),AND($K281&lt;&gt;"",$K281&lt;MAX($H281:$J281))),"Avance semanal decreciente"&amp;" · ","")&amp;IF(AND(ISNUMBER($F281),$F281&lt;FechaRef,N($L281)&lt;1),"Vencida"&amp;" · ","")&amp;IF(AND(ObsObligatoria="Sí",ISNUMBER($F281),$F281&lt;FechaRef,N($L281)&lt;1,$N281=""),"Vencida sin observación"&amp;" · ",""))-3)))</f>
        <v/>
      </c>
      <c r="P281" s="69">
        <f>IF(NOT((COUNTA($B281:$K281)+COUNTA($N281))&gt;0),"",IF(AND($S281="Sub",N($R281)&gt;0),IF(ISNUMBER(INDEX($E$5:$E$1000,$R281-4)),DATE(YEAR(INDEX($E$5:$E$1000,$R281-4)),MONTH(INDEX($E$5:$E$1000,$R281-4)),1),IF(ISNUMBER(INDEX($F$5:$F$1000,$R281-4)),DATE(YEAR(INDEX($F$5:$F$1000,$R281-4)),MONTH(INDEX($F$5:$F$1000,$R281-4)),1),MesCiclo)),IF(ISNUMBER($E281),DATE(YEAR($E281),MONTH($E281),1),IF(ISNUMBER($F281),DATE(YEAR($F281),MONTH($F281),1),MesCiclo))))</f>
        <v/>
      </c>
      <c r="Q281" s="70">
        <f>IF(OR($P281="",$P281&lt;&gt;MesCiclo),"",COUNTIF($P$5:$P281,MesCiclo))</f>
        <v/>
      </c>
      <c r="R281" s="70">
        <f>IF($S281="","",IF($S281="Macro",ROW(),IFERROR(LOOKUP(2,1/($S$5:$S281="Macro"),ROW($S$5:$S281)),0)))</f>
        <v/>
      </c>
      <c r="S281" s="70">
        <f>IF(NOT((COUNTA($B281:$K281)+COUNTA($N281))&gt;0),"",IF($B281&lt;&gt;"","Macro",IF($C281&lt;&gt;"","Sub","Macro")))</f>
        <v/>
      </c>
      <c r="T281" s="70">
        <f>IF($S281="Macro",COUNTIFS($R$5:$R$1000,ROW(),$S$5:$S$1000,"Sub"),"")</f>
        <v/>
      </c>
      <c r="U281" s="70">
        <f>IF($S281="","",IF(ISNUMBER($H281),$H281,0))</f>
        <v/>
      </c>
      <c r="V281" s="70">
        <f>IF($S281="","",IF(ISNUMBER($I281),$I281,$U281))</f>
        <v/>
      </c>
      <c r="W281" s="70">
        <f>IF($S281="","",IF(ISNUMBER($J281),$J281,$V281))</f>
        <v/>
      </c>
      <c r="X281" s="70">
        <f>IF($S281="","",IF(ISNUMBER($K281),$K281,$W281))</f>
        <v/>
      </c>
      <c r="Y281" s="70">
        <f>IF($S281="","",IF(N($T281)&gt;0,AVERAGEIFS($U$5:$U$1000,$R$5:$R$1000,ROW(),$S$5:$S$1000,"Sub"),$U281))</f>
        <v/>
      </c>
      <c r="Z281" s="70">
        <f>IF($S281="","",IF(N($T281)&gt;0,AVERAGEIFS($V$5:$V$1000,$R$5:$R$1000,ROW(),$S$5:$S$1000,"Sub"),$V281))</f>
        <v/>
      </c>
      <c r="AA281" s="70">
        <f>IF($S281="","",IF(N($T281)&gt;0,AVERAGEIFS($W$5:$W$1000,$R$5:$R$1000,ROW(),$S$5:$S$1000,"Sub"),$W281))</f>
        <v/>
      </c>
      <c r="AB281" s="70">
        <f>IF($S281="","",IF(N($T281)&gt;0,AVERAGEIFS($X$5:$X$1000,$R$5:$R$1000,ROW(),$S$5:$S$1000,"Sub"),$X281))</f>
        <v/>
      </c>
    </row>
    <row r="282">
      <c r="A282" s="61">
        <f>IF(NOT((COUNTA($B282:$K282)+COUNTA($N282))&gt;0),"",IF($S282="Macro",COUNTIFS($S$5:$S282,"Macro",$P$5:$P282,$P282),IF(N($R282)=0,"?",COUNTIFS(INDEX($S$5:$S$1000,1):INDEX($S$5:$S$1000,$R282-4),"Macro",INDEX($P$5:$P$1000,1):INDEX($P$5:$P$1000,$R282-4),INDEX($P$5:$P$1000,$R282-4))&amp;"."&amp;COUNTIFS($R$5:$R282,$R282,$S$5:$S282,"Sub"))))</f>
        <v/>
      </c>
      <c r="B282" s="62" t="n"/>
      <c r="C282" s="63" t="n"/>
      <c r="D282" s="62" t="n"/>
      <c r="E282" s="64" t="n"/>
      <c r="F282" s="64" t="n"/>
      <c r="G282" s="65" t="n"/>
      <c r="H282" s="66" t="n"/>
      <c r="I282" s="66" t="n"/>
      <c r="J282" s="66" t="n"/>
      <c r="K282" s="66" t="n"/>
      <c r="L282" s="67">
        <f>IF(NOT((COUNTA($B282:$K282)+COUNTA($N282))&gt;0),"",IF(N($T282)&gt;0,$AB282,IFERROR(LOOKUP(2,1/(H282:K282&lt;&gt;""),H282:K282),0)))</f>
        <v/>
      </c>
      <c r="M282" s="61">
        <f>IF(L282="","",IF(L282&gt;=1,"Completado",IF(L282&gt;0,"En curso","Pendiente")))</f>
        <v/>
      </c>
      <c r="N282" s="62" t="n"/>
      <c r="O282" s="68">
        <f>IF(NOT((COUNTA($B282:$K282)+COUNTA($N282))&gt;0),"",IF((IF(AND($S282="Macro",$B282=""),"Macroactividad vacía"&amp;" · ","")&amp;IF(AND($B282&lt;&gt;"",$C282&lt;&gt;""),"Escriba la subactividad en otra fila, debajo de su macroactividad"&amp;" · ","")&amp;IF(AND($S282="Sub",N($R282)=0),"Subactividad sin macroactividad arriba"&amp;" · ","")&amp;IF($D282="","Sin responsable"&amp;" · ","")&amp;IF($E282="","Sin fecha de inicio"&amp;" · ","")&amp;IF($F282="","Sin fecha límite"&amp;" · ","")&amp;IF(OR(AND($E282&lt;&gt;"",NOT(ISNUMBER($E282))),AND($F282&lt;&gt;"",NOT(ISNUMBER($F282)))),"Fecha no válida"&amp;" · ","")&amp;IF(AND(ISNUMBER($E282),ISNUMBER($F282),$E282&gt;$F282),"Inicio posterior a fecha límite"&amp;" · ","")&amp;IF(AND($S282="Macro",$G282=""),"Peso vacío"&amp;" · ","")&amp;IF(AND($S282="Macro",$G282&lt;&gt;"",OR(NOT(ISNUMBER($G282)),$G282&lt;=0,$G282&gt;1)),"Peso fuera de rango"&amp;" · ","")&amp;IF(AND($S282="Sub",$G282&lt;&gt;""),"Las subactividades no llevan peso"&amp;" · ","")&amp;IF(AND($S282="Macro",ABS(SUMIFS($G$5:$G$1000,$P$5:$P$1000,$P282,$S$5:$S$1000,"Macro")-1)&gt;0.0001),"Pesos del mes suman "&amp;TEXT(SUMIFS($G$5:$G$1000,$P$5:$P$1000,$P282,$S$5:$S$1000,"Macro"),"0%")&amp;" · ","")&amp;IF(AND(N($T282)&gt;0,COUNT($H282:$K282)&gt;0),"Con subactividades: deje vacías las semanas (se calculan solas)"&amp;" · ","")&amp;IF((COUNTIF($H282:$K282,"&gt;1")+COUNTIF($H282:$K282,"&lt;0")+COUNTA($H282:$K282)-COUNT($H282:$K282))&gt;0,"Avance fuera de rango 0-100%"&amp;" · ","")&amp;IF(OR(AND($I282&lt;&gt;"",$I282&lt;$H282),AND($J282&lt;&gt;"",$J282&lt;MAX($H282:$I282)),AND($K282&lt;&gt;"",$K282&lt;MAX($H282:$J282))),"Avance semanal decreciente"&amp;" · ","")&amp;IF(AND(ISNUMBER($F282),$F282&lt;FechaRef,N($L282)&lt;1),"Vencida"&amp;" · ","")&amp;IF(AND(ObsObligatoria="Sí",ISNUMBER($F282),$F282&lt;FechaRef,N($L282)&lt;1,$N282=""),"Vencida sin observación"&amp;" · ",""))="","✔ OK","⚠ "&amp;LEFT(IF(AND($S282="Macro",$B282=""),"Macroactividad vacía"&amp;" · ","")&amp;IF(AND($B282&lt;&gt;"",$C282&lt;&gt;""),"Escriba la subactividad en otra fila, debajo de su macroactividad"&amp;" · ","")&amp;IF(AND($S282="Sub",N($R282)=0),"Subactividad sin macroactividad arriba"&amp;" · ","")&amp;IF($D282="","Sin responsable"&amp;" · ","")&amp;IF($E282="","Sin fecha de inicio"&amp;" · ","")&amp;IF($F282="","Sin fecha límite"&amp;" · ","")&amp;IF(OR(AND($E282&lt;&gt;"",NOT(ISNUMBER($E282))),AND($F282&lt;&gt;"",NOT(ISNUMBER($F282)))),"Fecha no válida"&amp;" · ","")&amp;IF(AND(ISNUMBER($E282),ISNUMBER($F282),$E282&gt;$F282),"Inicio posterior a fecha límite"&amp;" · ","")&amp;IF(AND($S282="Macro",$G282=""),"Peso vacío"&amp;" · ","")&amp;IF(AND($S282="Macro",$G282&lt;&gt;"",OR(NOT(ISNUMBER($G282)),$G282&lt;=0,$G282&gt;1)),"Peso fuera de rango"&amp;" · ","")&amp;IF(AND($S282="Sub",$G282&lt;&gt;""),"Las subactividades no llevan peso"&amp;" · ","")&amp;IF(AND($S282="Macro",ABS(SUMIFS($G$5:$G$1000,$P$5:$P$1000,$P282,$S$5:$S$1000,"Macro")-1)&gt;0.0001),"Pesos del mes suman "&amp;TEXT(SUMIFS($G$5:$G$1000,$P$5:$P$1000,$P282,$S$5:$S$1000,"Macro"),"0%")&amp;" · ","")&amp;IF(AND(N($T282)&gt;0,COUNT($H282:$K282)&gt;0),"Con subactividades: deje vacías las semanas (se calculan solas)"&amp;" · ","")&amp;IF((COUNTIF($H282:$K282,"&gt;1")+COUNTIF($H282:$K282,"&lt;0")+COUNTA($H282:$K282)-COUNT($H282:$K282))&gt;0,"Avance fuera de rango 0-100%"&amp;" · ","")&amp;IF(OR(AND($I282&lt;&gt;"",$I282&lt;$H282),AND($J282&lt;&gt;"",$J282&lt;MAX($H282:$I282)),AND($K282&lt;&gt;"",$K282&lt;MAX($H282:$J282))),"Avance semanal decreciente"&amp;" · ","")&amp;IF(AND(ISNUMBER($F282),$F282&lt;FechaRef,N($L282)&lt;1),"Vencida"&amp;" · ","")&amp;IF(AND(ObsObligatoria="Sí",ISNUMBER($F282),$F282&lt;FechaRef,N($L282)&lt;1,$N282=""),"Vencida sin observación"&amp;" · ",""),LEN(IF(AND($S282="Macro",$B282=""),"Macroactividad vacía"&amp;" · ","")&amp;IF(AND($B282&lt;&gt;"",$C282&lt;&gt;""),"Escriba la subactividad en otra fila, debajo de su macroactividad"&amp;" · ","")&amp;IF(AND($S282="Sub",N($R282)=0),"Subactividad sin macroactividad arriba"&amp;" · ","")&amp;IF($D282="","Sin responsable"&amp;" · ","")&amp;IF($E282="","Sin fecha de inicio"&amp;" · ","")&amp;IF($F282="","Sin fecha límite"&amp;" · ","")&amp;IF(OR(AND($E282&lt;&gt;"",NOT(ISNUMBER($E282))),AND($F282&lt;&gt;"",NOT(ISNUMBER($F282)))),"Fecha no válida"&amp;" · ","")&amp;IF(AND(ISNUMBER($E282),ISNUMBER($F282),$E282&gt;$F282),"Inicio posterior a fecha límite"&amp;" · ","")&amp;IF(AND($S282="Macro",$G282=""),"Peso vacío"&amp;" · ","")&amp;IF(AND($S282="Macro",$G282&lt;&gt;"",OR(NOT(ISNUMBER($G282)),$G282&lt;=0,$G282&gt;1)),"Peso fuera de rango"&amp;" · ","")&amp;IF(AND($S282="Sub",$G282&lt;&gt;""),"Las subactividades no llevan peso"&amp;" · ","")&amp;IF(AND($S282="Macro",ABS(SUMIFS($G$5:$G$1000,$P$5:$P$1000,$P282,$S$5:$S$1000,"Macro")-1)&gt;0.0001),"Pesos del mes suman "&amp;TEXT(SUMIFS($G$5:$G$1000,$P$5:$P$1000,$P282,$S$5:$S$1000,"Macro"),"0%")&amp;" · ","")&amp;IF(AND(N($T282)&gt;0,COUNT($H282:$K282)&gt;0),"Con subactividades: deje vacías las semanas (se calculan solas)"&amp;" · ","")&amp;IF((COUNTIF($H282:$K282,"&gt;1")+COUNTIF($H282:$K282,"&lt;0")+COUNTA($H282:$K282)-COUNT($H282:$K282))&gt;0,"Avance fuera de rango 0-100%"&amp;" · ","")&amp;IF(OR(AND($I282&lt;&gt;"",$I282&lt;$H282),AND($J282&lt;&gt;"",$J282&lt;MAX($H282:$I282)),AND($K282&lt;&gt;"",$K282&lt;MAX($H282:$J282))),"Avance semanal decreciente"&amp;" · ","")&amp;IF(AND(ISNUMBER($F282),$F282&lt;FechaRef,N($L282)&lt;1),"Vencida"&amp;" · ","")&amp;IF(AND(ObsObligatoria="Sí",ISNUMBER($F282),$F282&lt;FechaRef,N($L282)&lt;1,$N282=""),"Vencida sin observación"&amp;" · ",""))-3)))</f>
        <v/>
      </c>
      <c r="P282" s="69">
        <f>IF(NOT((COUNTA($B282:$K282)+COUNTA($N282))&gt;0),"",IF(AND($S282="Sub",N($R282)&gt;0),IF(ISNUMBER(INDEX($E$5:$E$1000,$R282-4)),DATE(YEAR(INDEX($E$5:$E$1000,$R282-4)),MONTH(INDEX($E$5:$E$1000,$R282-4)),1),IF(ISNUMBER(INDEX($F$5:$F$1000,$R282-4)),DATE(YEAR(INDEX($F$5:$F$1000,$R282-4)),MONTH(INDEX($F$5:$F$1000,$R282-4)),1),MesCiclo)),IF(ISNUMBER($E282),DATE(YEAR($E282),MONTH($E282),1),IF(ISNUMBER($F282),DATE(YEAR($F282),MONTH($F282),1),MesCiclo))))</f>
        <v/>
      </c>
      <c r="Q282" s="70">
        <f>IF(OR($P282="",$P282&lt;&gt;MesCiclo),"",COUNTIF($P$5:$P282,MesCiclo))</f>
        <v/>
      </c>
      <c r="R282" s="70">
        <f>IF($S282="","",IF($S282="Macro",ROW(),IFERROR(LOOKUP(2,1/($S$5:$S282="Macro"),ROW($S$5:$S282)),0)))</f>
        <v/>
      </c>
      <c r="S282" s="70">
        <f>IF(NOT((COUNTA($B282:$K282)+COUNTA($N282))&gt;0),"",IF($B282&lt;&gt;"","Macro",IF($C282&lt;&gt;"","Sub","Macro")))</f>
        <v/>
      </c>
      <c r="T282" s="70">
        <f>IF($S282="Macro",COUNTIFS($R$5:$R$1000,ROW(),$S$5:$S$1000,"Sub"),"")</f>
        <v/>
      </c>
      <c r="U282" s="70">
        <f>IF($S282="","",IF(ISNUMBER($H282),$H282,0))</f>
        <v/>
      </c>
      <c r="V282" s="70">
        <f>IF($S282="","",IF(ISNUMBER($I282),$I282,$U282))</f>
        <v/>
      </c>
      <c r="W282" s="70">
        <f>IF($S282="","",IF(ISNUMBER($J282),$J282,$V282))</f>
        <v/>
      </c>
      <c r="X282" s="70">
        <f>IF($S282="","",IF(ISNUMBER($K282),$K282,$W282))</f>
        <v/>
      </c>
      <c r="Y282" s="70">
        <f>IF($S282="","",IF(N($T282)&gt;0,AVERAGEIFS($U$5:$U$1000,$R$5:$R$1000,ROW(),$S$5:$S$1000,"Sub"),$U282))</f>
        <v/>
      </c>
      <c r="Z282" s="70">
        <f>IF($S282="","",IF(N($T282)&gt;0,AVERAGEIFS($V$5:$V$1000,$R$5:$R$1000,ROW(),$S$5:$S$1000,"Sub"),$V282))</f>
        <v/>
      </c>
      <c r="AA282" s="70">
        <f>IF($S282="","",IF(N($T282)&gt;0,AVERAGEIFS($W$5:$W$1000,$R$5:$R$1000,ROW(),$S$5:$S$1000,"Sub"),$W282))</f>
        <v/>
      </c>
      <c r="AB282" s="70">
        <f>IF($S282="","",IF(N($T282)&gt;0,AVERAGEIFS($X$5:$X$1000,$R$5:$R$1000,ROW(),$S$5:$S$1000,"Sub"),$X282))</f>
        <v/>
      </c>
    </row>
    <row r="283">
      <c r="A283" s="61">
        <f>IF(NOT((COUNTA($B283:$K283)+COUNTA($N283))&gt;0),"",IF($S283="Macro",COUNTIFS($S$5:$S283,"Macro",$P$5:$P283,$P283),IF(N($R283)=0,"?",COUNTIFS(INDEX($S$5:$S$1000,1):INDEX($S$5:$S$1000,$R283-4),"Macro",INDEX($P$5:$P$1000,1):INDEX($P$5:$P$1000,$R283-4),INDEX($P$5:$P$1000,$R283-4))&amp;"."&amp;COUNTIFS($R$5:$R283,$R283,$S$5:$S283,"Sub"))))</f>
        <v/>
      </c>
      <c r="B283" s="62" t="n"/>
      <c r="C283" s="63" t="n"/>
      <c r="D283" s="62" t="n"/>
      <c r="E283" s="64" t="n"/>
      <c r="F283" s="64" t="n"/>
      <c r="G283" s="65" t="n"/>
      <c r="H283" s="66" t="n"/>
      <c r="I283" s="66" t="n"/>
      <c r="J283" s="66" t="n"/>
      <c r="K283" s="66" t="n"/>
      <c r="L283" s="67">
        <f>IF(NOT((COUNTA($B283:$K283)+COUNTA($N283))&gt;0),"",IF(N($T283)&gt;0,$AB283,IFERROR(LOOKUP(2,1/(H283:K283&lt;&gt;""),H283:K283),0)))</f>
        <v/>
      </c>
      <c r="M283" s="61">
        <f>IF(L283="","",IF(L283&gt;=1,"Completado",IF(L283&gt;0,"En curso","Pendiente")))</f>
        <v/>
      </c>
      <c r="N283" s="62" t="n"/>
      <c r="O283" s="68">
        <f>IF(NOT((COUNTA($B283:$K283)+COUNTA($N283))&gt;0),"",IF((IF(AND($S283="Macro",$B283=""),"Macroactividad vacía"&amp;" · ","")&amp;IF(AND($B283&lt;&gt;"",$C283&lt;&gt;""),"Escriba la subactividad en otra fila, debajo de su macroactividad"&amp;" · ","")&amp;IF(AND($S283="Sub",N($R283)=0),"Subactividad sin macroactividad arriba"&amp;" · ","")&amp;IF($D283="","Sin responsable"&amp;" · ","")&amp;IF($E283="","Sin fecha de inicio"&amp;" · ","")&amp;IF($F283="","Sin fecha límite"&amp;" · ","")&amp;IF(OR(AND($E283&lt;&gt;"",NOT(ISNUMBER($E283))),AND($F283&lt;&gt;"",NOT(ISNUMBER($F283)))),"Fecha no válida"&amp;" · ","")&amp;IF(AND(ISNUMBER($E283),ISNUMBER($F283),$E283&gt;$F283),"Inicio posterior a fecha límite"&amp;" · ","")&amp;IF(AND($S283="Macro",$G283=""),"Peso vacío"&amp;" · ","")&amp;IF(AND($S283="Macro",$G283&lt;&gt;"",OR(NOT(ISNUMBER($G283)),$G283&lt;=0,$G283&gt;1)),"Peso fuera de rango"&amp;" · ","")&amp;IF(AND($S283="Sub",$G283&lt;&gt;""),"Las subactividades no llevan peso"&amp;" · ","")&amp;IF(AND($S283="Macro",ABS(SUMIFS($G$5:$G$1000,$P$5:$P$1000,$P283,$S$5:$S$1000,"Macro")-1)&gt;0.0001),"Pesos del mes suman "&amp;TEXT(SUMIFS($G$5:$G$1000,$P$5:$P$1000,$P283,$S$5:$S$1000,"Macro"),"0%")&amp;" · ","")&amp;IF(AND(N($T283)&gt;0,COUNT($H283:$K283)&gt;0),"Con subactividades: deje vacías las semanas (se calculan solas)"&amp;" · ","")&amp;IF((COUNTIF($H283:$K283,"&gt;1")+COUNTIF($H283:$K283,"&lt;0")+COUNTA($H283:$K283)-COUNT($H283:$K283))&gt;0,"Avance fuera de rango 0-100%"&amp;" · ","")&amp;IF(OR(AND($I283&lt;&gt;"",$I283&lt;$H283),AND($J283&lt;&gt;"",$J283&lt;MAX($H283:$I283)),AND($K283&lt;&gt;"",$K283&lt;MAX($H283:$J283))),"Avance semanal decreciente"&amp;" · ","")&amp;IF(AND(ISNUMBER($F283),$F283&lt;FechaRef,N($L283)&lt;1),"Vencida"&amp;" · ","")&amp;IF(AND(ObsObligatoria="Sí",ISNUMBER($F283),$F283&lt;FechaRef,N($L283)&lt;1,$N283=""),"Vencida sin observación"&amp;" · ",""))="","✔ OK","⚠ "&amp;LEFT(IF(AND($S283="Macro",$B283=""),"Macroactividad vacía"&amp;" · ","")&amp;IF(AND($B283&lt;&gt;"",$C283&lt;&gt;""),"Escriba la subactividad en otra fila, debajo de su macroactividad"&amp;" · ","")&amp;IF(AND($S283="Sub",N($R283)=0),"Subactividad sin macroactividad arriba"&amp;" · ","")&amp;IF($D283="","Sin responsable"&amp;" · ","")&amp;IF($E283="","Sin fecha de inicio"&amp;" · ","")&amp;IF($F283="","Sin fecha límite"&amp;" · ","")&amp;IF(OR(AND($E283&lt;&gt;"",NOT(ISNUMBER($E283))),AND($F283&lt;&gt;"",NOT(ISNUMBER($F283)))),"Fecha no válida"&amp;" · ","")&amp;IF(AND(ISNUMBER($E283),ISNUMBER($F283),$E283&gt;$F283),"Inicio posterior a fecha límite"&amp;" · ","")&amp;IF(AND($S283="Macro",$G283=""),"Peso vacío"&amp;" · ","")&amp;IF(AND($S283="Macro",$G283&lt;&gt;"",OR(NOT(ISNUMBER($G283)),$G283&lt;=0,$G283&gt;1)),"Peso fuera de rango"&amp;" · ","")&amp;IF(AND($S283="Sub",$G283&lt;&gt;""),"Las subactividades no llevan peso"&amp;" · ","")&amp;IF(AND($S283="Macro",ABS(SUMIFS($G$5:$G$1000,$P$5:$P$1000,$P283,$S$5:$S$1000,"Macro")-1)&gt;0.0001),"Pesos del mes suman "&amp;TEXT(SUMIFS($G$5:$G$1000,$P$5:$P$1000,$P283,$S$5:$S$1000,"Macro"),"0%")&amp;" · ","")&amp;IF(AND(N($T283)&gt;0,COUNT($H283:$K283)&gt;0),"Con subactividades: deje vacías las semanas (se calculan solas)"&amp;" · ","")&amp;IF((COUNTIF($H283:$K283,"&gt;1")+COUNTIF($H283:$K283,"&lt;0")+COUNTA($H283:$K283)-COUNT($H283:$K283))&gt;0,"Avance fuera de rango 0-100%"&amp;" · ","")&amp;IF(OR(AND($I283&lt;&gt;"",$I283&lt;$H283),AND($J283&lt;&gt;"",$J283&lt;MAX($H283:$I283)),AND($K283&lt;&gt;"",$K283&lt;MAX($H283:$J283))),"Avance semanal decreciente"&amp;" · ","")&amp;IF(AND(ISNUMBER($F283),$F283&lt;FechaRef,N($L283)&lt;1),"Vencida"&amp;" · ","")&amp;IF(AND(ObsObligatoria="Sí",ISNUMBER($F283),$F283&lt;FechaRef,N($L283)&lt;1,$N283=""),"Vencida sin observación"&amp;" · ",""),LEN(IF(AND($S283="Macro",$B283=""),"Macroactividad vacía"&amp;" · ","")&amp;IF(AND($B283&lt;&gt;"",$C283&lt;&gt;""),"Escriba la subactividad en otra fila, debajo de su macroactividad"&amp;" · ","")&amp;IF(AND($S283="Sub",N($R283)=0),"Subactividad sin macroactividad arriba"&amp;" · ","")&amp;IF($D283="","Sin responsable"&amp;" · ","")&amp;IF($E283="","Sin fecha de inicio"&amp;" · ","")&amp;IF($F283="","Sin fecha límite"&amp;" · ","")&amp;IF(OR(AND($E283&lt;&gt;"",NOT(ISNUMBER($E283))),AND($F283&lt;&gt;"",NOT(ISNUMBER($F283)))),"Fecha no válida"&amp;" · ","")&amp;IF(AND(ISNUMBER($E283),ISNUMBER($F283),$E283&gt;$F283),"Inicio posterior a fecha límite"&amp;" · ","")&amp;IF(AND($S283="Macro",$G283=""),"Peso vacío"&amp;" · ","")&amp;IF(AND($S283="Macro",$G283&lt;&gt;"",OR(NOT(ISNUMBER($G283)),$G283&lt;=0,$G283&gt;1)),"Peso fuera de rango"&amp;" · ","")&amp;IF(AND($S283="Sub",$G283&lt;&gt;""),"Las subactividades no llevan peso"&amp;" · ","")&amp;IF(AND($S283="Macro",ABS(SUMIFS($G$5:$G$1000,$P$5:$P$1000,$P283,$S$5:$S$1000,"Macro")-1)&gt;0.0001),"Pesos del mes suman "&amp;TEXT(SUMIFS($G$5:$G$1000,$P$5:$P$1000,$P283,$S$5:$S$1000,"Macro"),"0%")&amp;" · ","")&amp;IF(AND(N($T283)&gt;0,COUNT($H283:$K283)&gt;0),"Con subactividades: deje vacías las semanas (se calculan solas)"&amp;" · ","")&amp;IF((COUNTIF($H283:$K283,"&gt;1")+COUNTIF($H283:$K283,"&lt;0")+COUNTA($H283:$K283)-COUNT($H283:$K283))&gt;0,"Avance fuera de rango 0-100%"&amp;" · ","")&amp;IF(OR(AND($I283&lt;&gt;"",$I283&lt;$H283),AND($J283&lt;&gt;"",$J283&lt;MAX($H283:$I283)),AND($K283&lt;&gt;"",$K283&lt;MAX($H283:$J283))),"Avance semanal decreciente"&amp;" · ","")&amp;IF(AND(ISNUMBER($F283),$F283&lt;FechaRef,N($L283)&lt;1),"Vencida"&amp;" · ","")&amp;IF(AND(ObsObligatoria="Sí",ISNUMBER($F283),$F283&lt;FechaRef,N($L283)&lt;1,$N283=""),"Vencida sin observación"&amp;" · ",""))-3)))</f>
        <v/>
      </c>
      <c r="P283" s="69">
        <f>IF(NOT((COUNTA($B283:$K283)+COUNTA($N283))&gt;0),"",IF(AND($S283="Sub",N($R283)&gt;0),IF(ISNUMBER(INDEX($E$5:$E$1000,$R283-4)),DATE(YEAR(INDEX($E$5:$E$1000,$R283-4)),MONTH(INDEX($E$5:$E$1000,$R283-4)),1),IF(ISNUMBER(INDEX($F$5:$F$1000,$R283-4)),DATE(YEAR(INDEX($F$5:$F$1000,$R283-4)),MONTH(INDEX($F$5:$F$1000,$R283-4)),1),MesCiclo)),IF(ISNUMBER($E283),DATE(YEAR($E283),MONTH($E283),1),IF(ISNUMBER($F283),DATE(YEAR($F283),MONTH($F283),1),MesCiclo))))</f>
        <v/>
      </c>
      <c r="Q283" s="70">
        <f>IF(OR($P283="",$P283&lt;&gt;MesCiclo),"",COUNTIF($P$5:$P283,MesCiclo))</f>
        <v/>
      </c>
      <c r="R283" s="70">
        <f>IF($S283="","",IF($S283="Macro",ROW(),IFERROR(LOOKUP(2,1/($S$5:$S283="Macro"),ROW($S$5:$S283)),0)))</f>
        <v/>
      </c>
      <c r="S283" s="70">
        <f>IF(NOT((COUNTA($B283:$K283)+COUNTA($N283))&gt;0),"",IF($B283&lt;&gt;"","Macro",IF($C283&lt;&gt;"","Sub","Macro")))</f>
        <v/>
      </c>
      <c r="T283" s="70">
        <f>IF($S283="Macro",COUNTIFS($R$5:$R$1000,ROW(),$S$5:$S$1000,"Sub"),"")</f>
        <v/>
      </c>
      <c r="U283" s="70">
        <f>IF($S283="","",IF(ISNUMBER($H283),$H283,0))</f>
        <v/>
      </c>
      <c r="V283" s="70">
        <f>IF($S283="","",IF(ISNUMBER($I283),$I283,$U283))</f>
        <v/>
      </c>
      <c r="W283" s="70">
        <f>IF($S283="","",IF(ISNUMBER($J283),$J283,$V283))</f>
        <v/>
      </c>
      <c r="X283" s="70">
        <f>IF($S283="","",IF(ISNUMBER($K283),$K283,$W283))</f>
        <v/>
      </c>
      <c r="Y283" s="70">
        <f>IF($S283="","",IF(N($T283)&gt;0,AVERAGEIFS($U$5:$U$1000,$R$5:$R$1000,ROW(),$S$5:$S$1000,"Sub"),$U283))</f>
        <v/>
      </c>
      <c r="Z283" s="70">
        <f>IF($S283="","",IF(N($T283)&gt;0,AVERAGEIFS($V$5:$V$1000,$R$5:$R$1000,ROW(),$S$5:$S$1000,"Sub"),$V283))</f>
        <v/>
      </c>
      <c r="AA283" s="70">
        <f>IF($S283="","",IF(N($T283)&gt;0,AVERAGEIFS($W$5:$W$1000,$R$5:$R$1000,ROW(),$S$5:$S$1000,"Sub"),$W283))</f>
        <v/>
      </c>
      <c r="AB283" s="70">
        <f>IF($S283="","",IF(N($T283)&gt;0,AVERAGEIFS($X$5:$X$1000,$R$5:$R$1000,ROW(),$S$5:$S$1000,"Sub"),$X283))</f>
        <v/>
      </c>
    </row>
    <row r="284">
      <c r="A284" s="61">
        <f>IF(NOT((COUNTA($B284:$K284)+COUNTA($N284))&gt;0),"",IF($S284="Macro",COUNTIFS($S$5:$S284,"Macro",$P$5:$P284,$P284),IF(N($R284)=0,"?",COUNTIFS(INDEX($S$5:$S$1000,1):INDEX($S$5:$S$1000,$R284-4),"Macro",INDEX($P$5:$P$1000,1):INDEX($P$5:$P$1000,$R284-4),INDEX($P$5:$P$1000,$R284-4))&amp;"."&amp;COUNTIFS($R$5:$R284,$R284,$S$5:$S284,"Sub"))))</f>
        <v/>
      </c>
      <c r="B284" s="62" t="n"/>
      <c r="C284" s="63" t="n"/>
      <c r="D284" s="62" t="n"/>
      <c r="E284" s="64" t="n"/>
      <c r="F284" s="64" t="n"/>
      <c r="G284" s="65" t="n"/>
      <c r="H284" s="66" t="n"/>
      <c r="I284" s="66" t="n"/>
      <c r="J284" s="66" t="n"/>
      <c r="K284" s="66" t="n"/>
      <c r="L284" s="67">
        <f>IF(NOT((COUNTA($B284:$K284)+COUNTA($N284))&gt;0),"",IF(N($T284)&gt;0,$AB284,IFERROR(LOOKUP(2,1/(H284:K284&lt;&gt;""),H284:K284),0)))</f>
        <v/>
      </c>
      <c r="M284" s="61">
        <f>IF(L284="","",IF(L284&gt;=1,"Completado",IF(L284&gt;0,"En curso","Pendiente")))</f>
        <v/>
      </c>
      <c r="N284" s="62" t="n"/>
      <c r="O284" s="68">
        <f>IF(NOT((COUNTA($B284:$K284)+COUNTA($N284))&gt;0),"",IF((IF(AND($S284="Macro",$B284=""),"Macroactividad vacía"&amp;" · ","")&amp;IF(AND($B284&lt;&gt;"",$C284&lt;&gt;""),"Escriba la subactividad en otra fila, debajo de su macroactividad"&amp;" · ","")&amp;IF(AND($S284="Sub",N($R284)=0),"Subactividad sin macroactividad arriba"&amp;" · ","")&amp;IF($D284="","Sin responsable"&amp;" · ","")&amp;IF($E284="","Sin fecha de inicio"&amp;" · ","")&amp;IF($F284="","Sin fecha límite"&amp;" · ","")&amp;IF(OR(AND($E284&lt;&gt;"",NOT(ISNUMBER($E284))),AND($F284&lt;&gt;"",NOT(ISNUMBER($F284)))),"Fecha no válida"&amp;" · ","")&amp;IF(AND(ISNUMBER($E284),ISNUMBER($F284),$E284&gt;$F284),"Inicio posterior a fecha límite"&amp;" · ","")&amp;IF(AND($S284="Macro",$G284=""),"Peso vacío"&amp;" · ","")&amp;IF(AND($S284="Macro",$G284&lt;&gt;"",OR(NOT(ISNUMBER($G284)),$G284&lt;=0,$G284&gt;1)),"Peso fuera de rango"&amp;" · ","")&amp;IF(AND($S284="Sub",$G284&lt;&gt;""),"Las subactividades no llevan peso"&amp;" · ","")&amp;IF(AND($S284="Macro",ABS(SUMIFS($G$5:$G$1000,$P$5:$P$1000,$P284,$S$5:$S$1000,"Macro")-1)&gt;0.0001),"Pesos del mes suman "&amp;TEXT(SUMIFS($G$5:$G$1000,$P$5:$P$1000,$P284,$S$5:$S$1000,"Macro"),"0%")&amp;" · ","")&amp;IF(AND(N($T284)&gt;0,COUNT($H284:$K284)&gt;0),"Con subactividades: deje vacías las semanas (se calculan solas)"&amp;" · ","")&amp;IF((COUNTIF($H284:$K284,"&gt;1")+COUNTIF($H284:$K284,"&lt;0")+COUNTA($H284:$K284)-COUNT($H284:$K284))&gt;0,"Avance fuera de rango 0-100%"&amp;" · ","")&amp;IF(OR(AND($I284&lt;&gt;"",$I284&lt;$H284),AND($J284&lt;&gt;"",$J284&lt;MAX($H284:$I284)),AND($K284&lt;&gt;"",$K284&lt;MAX($H284:$J284))),"Avance semanal decreciente"&amp;" · ","")&amp;IF(AND(ISNUMBER($F284),$F284&lt;FechaRef,N($L284)&lt;1),"Vencida"&amp;" · ","")&amp;IF(AND(ObsObligatoria="Sí",ISNUMBER($F284),$F284&lt;FechaRef,N($L284)&lt;1,$N284=""),"Vencida sin observación"&amp;" · ",""))="","✔ OK","⚠ "&amp;LEFT(IF(AND($S284="Macro",$B284=""),"Macroactividad vacía"&amp;" · ","")&amp;IF(AND($B284&lt;&gt;"",$C284&lt;&gt;""),"Escriba la subactividad en otra fila, debajo de su macroactividad"&amp;" · ","")&amp;IF(AND($S284="Sub",N($R284)=0),"Subactividad sin macroactividad arriba"&amp;" · ","")&amp;IF($D284="","Sin responsable"&amp;" · ","")&amp;IF($E284="","Sin fecha de inicio"&amp;" · ","")&amp;IF($F284="","Sin fecha límite"&amp;" · ","")&amp;IF(OR(AND($E284&lt;&gt;"",NOT(ISNUMBER($E284))),AND($F284&lt;&gt;"",NOT(ISNUMBER($F284)))),"Fecha no válida"&amp;" · ","")&amp;IF(AND(ISNUMBER($E284),ISNUMBER($F284),$E284&gt;$F284),"Inicio posterior a fecha límite"&amp;" · ","")&amp;IF(AND($S284="Macro",$G284=""),"Peso vacío"&amp;" · ","")&amp;IF(AND($S284="Macro",$G284&lt;&gt;"",OR(NOT(ISNUMBER($G284)),$G284&lt;=0,$G284&gt;1)),"Peso fuera de rango"&amp;" · ","")&amp;IF(AND($S284="Sub",$G284&lt;&gt;""),"Las subactividades no llevan peso"&amp;" · ","")&amp;IF(AND($S284="Macro",ABS(SUMIFS($G$5:$G$1000,$P$5:$P$1000,$P284,$S$5:$S$1000,"Macro")-1)&gt;0.0001),"Pesos del mes suman "&amp;TEXT(SUMIFS($G$5:$G$1000,$P$5:$P$1000,$P284,$S$5:$S$1000,"Macro"),"0%")&amp;" · ","")&amp;IF(AND(N($T284)&gt;0,COUNT($H284:$K284)&gt;0),"Con subactividades: deje vacías las semanas (se calculan solas)"&amp;" · ","")&amp;IF((COUNTIF($H284:$K284,"&gt;1")+COUNTIF($H284:$K284,"&lt;0")+COUNTA($H284:$K284)-COUNT($H284:$K284))&gt;0,"Avance fuera de rango 0-100%"&amp;" · ","")&amp;IF(OR(AND($I284&lt;&gt;"",$I284&lt;$H284),AND($J284&lt;&gt;"",$J284&lt;MAX($H284:$I284)),AND($K284&lt;&gt;"",$K284&lt;MAX($H284:$J284))),"Avance semanal decreciente"&amp;" · ","")&amp;IF(AND(ISNUMBER($F284),$F284&lt;FechaRef,N($L284)&lt;1),"Vencida"&amp;" · ","")&amp;IF(AND(ObsObligatoria="Sí",ISNUMBER($F284),$F284&lt;FechaRef,N($L284)&lt;1,$N284=""),"Vencida sin observación"&amp;" · ",""),LEN(IF(AND($S284="Macro",$B284=""),"Macroactividad vacía"&amp;" · ","")&amp;IF(AND($B284&lt;&gt;"",$C284&lt;&gt;""),"Escriba la subactividad en otra fila, debajo de su macroactividad"&amp;" · ","")&amp;IF(AND($S284="Sub",N($R284)=0),"Subactividad sin macroactividad arriba"&amp;" · ","")&amp;IF($D284="","Sin responsable"&amp;" · ","")&amp;IF($E284="","Sin fecha de inicio"&amp;" · ","")&amp;IF($F284="","Sin fecha límite"&amp;" · ","")&amp;IF(OR(AND($E284&lt;&gt;"",NOT(ISNUMBER($E284))),AND($F284&lt;&gt;"",NOT(ISNUMBER($F284)))),"Fecha no válida"&amp;" · ","")&amp;IF(AND(ISNUMBER($E284),ISNUMBER($F284),$E284&gt;$F284),"Inicio posterior a fecha límite"&amp;" · ","")&amp;IF(AND($S284="Macro",$G284=""),"Peso vacío"&amp;" · ","")&amp;IF(AND($S284="Macro",$G284&lt;&gt;"",OR(NOT(ISNUMBER($G284)),$G284&lt;=0,$G284&gt;1)),"Peso fuera de rango"&amp;" · ","")&amp;IF(AND($S284="Sub",$G284&lt;&gt;""),"Las subactividades no llevan peso"&amp;" · ","")&amp;IF(AND($S284="Macro",ABS(SUMIFS($G$5:$G$1000,$P$5:$P$1000,$P284,$S$5:$S$1000,"Macro")-1)&gt;0.0001),"Pesos del mes suman "&amp;TEXT(SUMIFS($G$5:$G$1000,$P$5:$P$1000,$P284,$S$5:$S$1000,"Macro"),"0%")&amp;" · ","")&amp;IF(AND(N($T284)&gt;0,COUNT($H284:$K284)&gt;0),"Con subactividades: deje vacías las semanas (se calculan solas)"&amp;" · ","")&amp;IF((COUNTIF($H284:$K284,"&gt;1")+COUNTIF($H284:$K284,"&lt;0")+COUNTA($H284:$K284)-COUNT($H284:$K284))&gt;0,"Avance fuera de rango 0-100%"&amp;" · ","")&amp;IF(OR(AND($I284&lt;&gt;"",$I284&lt;$H284),AND($J284&lt;&gt;"",$J284&lt;MAX($H284:$I284)),AND($K284&lt;&gt;"",$K284&lt;MAX($H284:$J284))),"Avance semanal decreciente"&amp;" · ","")&amp;IF(AND(ISNUMBER($F284),$F284&lt;FechaRef,N($L284)&lt;1),"Vencida"&amp;" · ","")&amp;IF(AND(ObsObligatoria="Sí",ISNUMBER($F284),$F284&lt;FechaRef,N($L284)&lt;1,$N284=""),"Vencida sin observación"&amp;" · ",""))-3)))</f>
        <v/>
      </c>
      <c r="P284" s="69">
        <f>IF(NOT((COUNTA($B284:$K284)+COUNTA($N284))&gt;0),"",IF(AND($S284="Sub",N($R284)&gt;0),IF(ISNUMBER(INDEX($E$5:$E$1000,$R284-4)),DATE(YEAR(INDEX($E$5:$E$1000,$R284-4)),MONTH(INDEX($E$5:$E$1000,$R284-4)),1),IF(ISNUMBER(INDEX($F$5:$F$1000,$R284-4)),DATE(YEAR(INDEX($F$5:$F$1000,$R284-4)),MONTH(INDEX($F$5:$F$1000,$R284-4)),1),MesCiclo)),IF(ISNUMBER($E284),DATE(YEAR($E284),MONTH($E284),1),IF(ISNUMBER($F284),DATE(YEAR($F284),MONTH($F284),1),MesCiclo))))</f>
        <v/>
      </c>
      <c r="Q284" s="70">
        <f>IF(OR($P284="",$P284&lt;&gt;MesCiclo),"",COUNTIF($P$5:$P284,MesCiclo))</f>
        <v/>
      </c>
      <c r="R284" s="70">
        <f>IF($S284="","",IF($S284="Macro",ROW(),IFERROR(LOOKUP(2,1/($S$5:$S284="Macro"),ROW($S$5:$S284)),0)))</f>
        <v/>
      </c>
      <c r="S284" s="70">
        <f>IF(NOT((COUNTA($B284:$K284)+COUNTA($N284))&gt;0),"",IF($B284&lt;&gt;"","Macro",IF($C284&lt;&gt;"","Sub","Macro")))</f>
        <v/>
      </c>
      <c r="T284" s="70">
        <f>IF($S284="Macro",COUNTIFS($R$5:$R$1000,ROW(),$S$5:$S$1000,"Sub"),"")</f>
        <v/>
      </c>
      <c r="U284" s="70">
        <f>IF($S284="","",IF(ISNUMBER($H284),$H284,0))</f>
        <v/>
      </c>
      <c r="V284" s="70">
        <f>IF($S284="","",IF(ISNUMBER($I284),$I284,$U284))</f>
        <v/>
      </c>
      <c r="W284" s="70">
        <f>IF($S284="","",IF(ISNUMBER($J284),$J284,$V284))</f>
        <v/>
      </c>
      <c r="X284" s="70">
        <f>IF($S284="","",IF(ISNUMBER($K284),$K284,$W284))</f>
        <v/>
      </c>
      <c r="Y284" s="70">
        <f>IF($S284="","",IF(N($T284)&gt;0,AVERAGEIFS($U$5:$U$1000,$R$5:$R$1000,ROW(),$S$5:$S$1000,"Sub"),$U284))</f>
        <v/>
      </c>
      <c r="Z284" s="70">
        <f>IF($S284="","",IF(N($T284)&gt;0,AVERAGEIFS($V$5:$V$1000,$R$5:$R$1000,ROW(),$S$5:$S$1000,"Sub"),$V284))</f>
        <v/>
      </c>
      <c r="AA284" s="70">
        <f>IF($S284="","",IF(N($T284)&gt;0,AVERAGEIFS($W$5:$W$1000,$R$5:$R$1000,ROW(),$S$5:$S$1000,"Sub"),$W284))</f>
        <v/>
      </c>
      <c r="AB284" s="70">
        <f>IF($S284="","",IF(N($T284)&gt;0,AVERAGEIFS($X$5:$X$1000,$R$5:$R$1000,ROW(),$S$5:$S$1000,"Sub"),$X284))</f>
        <v/>
      </c>
    </row>
    <row r="285">
      <c r="A285" s="61">
        <f>IF(NOT((COUNTA($B285:$K285)+COUNTA($N285))&gt;0),"",IF($S285="Macro",COUNTIFS($S$5:$S285,"Macro",$P$5:$P285,$P285),IF(N($R285)=0,"?",COUNTIFS(INDEX($S$5:$S$1000,1):INDEX($S$5:$S$1000,$R285-4),"Macro",INDEX($P$5:$P$1000,1):INDEX($P$5:$P$1000,$R285-4),INDEX($P$5:$P$1000,$R285-4))&amp;"."&amp;COUNTIFS($R$5:$R285,$R285,$S$5:$S285,"Sub"))))</f>
        <v/>
      </c>
      <c r="B285" s="62" t="n"/>
      <c r="C285" s="63" t="n"/>
      <c r="D285" s="62" t="n"/>
      <c r="E285" s="64" t="n"/>
      <c r="F285" s="64" t="n"/>
      <c r="G285" s="65" t="n"/>
      <c r="H285" s="66" t="n"/>
      <c r="I285" s="66" t="n"/>
      <c r="J285" s="66" t="n"/>
      <c r="K285" s="66" t="n"/>
      <c r="L285" s="67">
        <f>IF(NOT((COUNTA($B285:$K285)+COUNTA($N285))&gt;0),"",IF(N($T285)&gt;0,$AB285,IFERROR(LOOKUP(2,1/(H285:K285&lt;&gt;""),H285:K285),0)))</f>
        <v/>
      </c>
      <c r="M285" s="61">
        <f>IF(L285="","",IF(L285&gt;=1,"Completado",IF(L285&gt;0,"En curso","Pendiente")))</f>
        <v/>
      </c>
      <c r="N285" s="62" t="n"/>
      <c r="O285" s="68">
        <f>IF(NOT((COUNTA($B285:$K285)+COUNTA($N285))&gt;0),"",IF((IF(AND($S285="Macro",$B285=""),"Macroactividad vacía"&amp;" · ","")&amp;IF(AND($B285&lt;&gt;"",$C285&lt;&gt;""),"Escriba la subactividad en otra fila, debajo de su macroactividad"&amp;" · ","")&amp;IF(AND($S285="Sub",N($R285)=0),"Subactividad sin macroactividad arriba"&amp;" · ","")&amp;IF($D285="","Sin responsable"&amp;" · ","")&amp;IF($E285="","Sin fecha de inicio"&amp;" · ","")&amp;IF($F285="","Sin fecha límite"&amp;" · ","")&amp;IF(OR(AND($E285&lt;&gt;"",NOT(ISNUMBER($E285))),AND($F285&lt;&gt;"",NOT(ISNUMBER($F285)))),"Fecha no válida"&amp;" · ","")&amp;IF(AND(ISNUMBER($E285),ISNUMBER($F285),$E285&gt;$F285),"Inicio posterior a fecha límite"&amp;" · ","")&amp;IF(AND($S285="Macro",$G285=""),"Peso vacío"&amp;" · ","")&amp;IF(AND($S285="Macro",$G285&lt;&gt;"",OR(NOT(ISNUMBER($G285)),$G285&lt;=0,$G285&gt;1)),"Peso fuera de rango"&amp;" · ","")&amp;IF(AND($S285="Sub",$G285&lt;&gt;""),"Las subactividades no llevan peso"&amp;" · ","")&amp;IF(AND($S285="Macro",ABS(SUMIFS($G$5:$G$1000,$P$5:$P$1000,$P285,$S$5:$S$1000,"Macro")-1)&gt;0.0001),"Pesos del mes suman "&amp;TEXT(SUMIFS($G$5:$G$1000,$P$5:$P$1000,$P285,$S$5:$S$1000,"Macro"),"0%")&amp;" · ","")&amp;IF(AND(N($T285)&gt;0,COUNT($H285:$K285)&gt;0),"Con subactividades: deje vacías las semanas (se calculan solas)"&amp;" · ","")&amp;IF((COUNTIF($H285:$K285,"&gt;1")+COUNTIF($H285:$K285,"&lt;0")+COUNTA($H285:$K285)-COUNT($H285:$K285))&gt;0,"Avance fuera de rango 0-100%"&amp;" · ","")&amp;IF(OR(AND($I285&lt;&gt;"",$I285&lt;$H285),AND($J285&lt;&gt;"",$J285&lt;MAX($H285:$I285)),AND($K285&lt;&gt;"",$K285&lt;MAX($H285:$J285))),"Avance semanal decreciente"&amp;" · ","")&amp;IF(AND(ISNUMBER($F285),$F285&lt;FechaRef,N($L285)&lt;1),"Vencida"&amp;" · ","")&amp;IF(AND(ObsObligatoria="Sí",ISNUMBER($F285),$F285&lt;FechaRef,N($L285)&lt;1,$N285=""),"Vencida sin observación"&amp;" · ",""))="","✔ OK","⚠ "&amp;LEFT(IF(AND($S285="Macro",$B285=""),"Macroactividad vacía"&amp;" · ","")&amp;IF(AND($B285&lt;&gt;"",$C285&lt;&gt;""),"Escriba la subactividad en otra fila, debajo de su macroactividad"&amp;" · ","")&amp;IF(AND($S285="Sub",N($R285)=0),"Subactividad sin macroactividad arriba"&amp;" · ","")&amp;IF($D285="","Sin responsable"&amp;" · ","")&amp;IF($E285="","Sin fecha de inicio"&amp;" · ","")&amp;IF($F285="","Sin fecha límite"&amp;" · ","")&amp;IF(OR(AND($E285&lt;&gt;"",NOT(ISNUMBER($E285))),AND($F285&lt;&gt;"",NOT(ISNUMBER($F285)))),"Fecha no válida"&amp;" · ","")&amp;IF(AND(ISNUMBER($E285),ISNUMBER($F285),$E285&gt;$F285),"Inicio posterior a fecha límite"&amp;" · ","")&amp;IF(AND($S285="Macro",$G285=""),"Peso vacío"&amp;" · ","")&amp;IF(AND($S285="Macro",$G285&lt;&gt;"",OR(NOT(ISNUMBER($G285)),$G285&lt;=0,$G285&gt;1)),"Peso fuera de rango"&amp;" · ","")&amp;IF(AND($S285="Sub",$G285&lt;&gt;""),"Las subactividades no llevan peso"&amp;" · ","")&amp;IF(AND($S285="Macro",ABS(SUMIFS($G$5:$G$1000,$P$5:$P$1000,$P285,$S$5:$S$1000,"Macro")-1)&gt;0.0001),"Pesos del mes suman "&amp;TEXT(SUMIFS($G$5:$G$1000,$P$5:$P$1000,$P285,$S$5:$S$1000,"Macro"),"0%")&amp;" · ","")&amp;IF(AND(N($T285)&gt;0,COUNT($H285:$K285)&gt;0),"Con subactividades: deje vacías las semanas (se calculan solas)"&amp;" · ","")&amp;IF((COUNTIF($H285:$K285,"&gt;1")+COUNTIF($H285:$K285,"&lt;0")+COUNTA($H285:$K285)-COUNT($H285:$K285))&gt;0,"Avance fuera de rango 0-100%"&amp;" · ","")&amp;IF(OR(AND($I285&lt;&gt;"",$I285&lt;$H285),AND($J285&lt;&gt;"",$J285&lt;MAX($H285:$I285)),AND($K285&lt;&gt;"",$K285&lt;MAX($H285:$J285))),"Avance semanal decreciente"&amp;" · ","")&amp;IF(AND(ISNUMBER($F285),$F285&lt;FechaRef,N($L285)&lt;1),"Vencida"&amp;" · ","")&amp;IF(AND(ObsObligatoria="Sí",ISNUMBER($F285),$F285&lt;FechaRef,N($L285)&lt;1,$N285=""),"Vencida sin observación"&amp;" · ",""),LEN(IF(AND($S285="Macro",$B285=""),"Macroactividad vacía"&amp;" · ","")&amp;IF(AND($B285&lt;&gt;"",$C285&lt;&gt;""),"Escriba la subactividad en otra fila, debajo de su macroactividad"&amp;" · ","")&amp;IF(AND($S285="Sub",N($R285)=0),"Subactividad sin macroactividad arriba"&amp;" · ","")&amp;IF($D285="","Sin responsable"&amp;" · ","")&amp;IF($E285="","Sin fecha de inicio"&amp;" · ","")&amp;IF($F285="","Sin fecha límite"&amp;" · ","")&amp;IF(OR(AND($E285&lt;&gt;"",NOT(ISNUMBER($E285))),AND($F285&lt;&gt;"",NOT(ISNUMBER($F285)))),"Fecha no válida"&amp;" · ","")&amp;IF(AND(ISNUMBER($E285),ISNUMBER($F285),$E285&gt;$F285),"Inicio posterior a fecha límite"&amp;" · ","")&amp;IF(AND($S285="Macro",$G285=""),"Peso vacío"&amp;" · ","")&amp;IF(AND($S285="Macro",$G285&lt;&gt;"",OR(NOT(ISNUMBER($G285)),$G285&lt;=0,$G285&gt;1)),"Peso fuera de rango"&amp;" · ","")&amp;IF(AND($S285="Sub",$G285&lt;&gt;""),"Las subactividades no llevan peso"&amp;" · ","")&amp;IF(AND($S285="Macro",ABS(SUMIFS($G$5:$G$1000,$P$5:$P$1000,$P285,$S$5:$S$1000,"Macro")-1)&gt;0.0001),"Pesos del mes suman "&amp;TEXT(SUMIFS($G$5:$G$1000,$P$5:$P$1000,$P285,$S$5:$S$1000,"Macro"),"0%")&amp;" · ","")&amp;IF(AND(N($T285)&gt;0,COUNT($H285:$K285)&gt;0),"Con subactividades: deje vacías las semanas (se calculan solas)"&amp;" · ","")&amp;IF((COUNTIF($H285:$K285,"&gt;1")+COUNTIF($H285:$K285,"&lt;0")+COUNTA($H285:$K285)-COUNT($H285:$K285))&gt;0,"Avance fuera de rango 0-100%"&amp;" · ","")&amp;IF(OR(AND($I285&lt;&gt;"",$I285&lt;$H285),AND($J285&lt;&gt;"",$J285&lt;MAX($H285:$I285)),AND($K285&lt;&gt;"",$K285&lt;MAX($H285:$J285))),"Avance semanal decreciente"&amp;" · ","")&amp;IF(AND(ISNUMBER($F285),$F285&lt;FechaRef,N($L285)&lt;1),"Vencida"&amp;" · ","")&amp;IF(AND(ObsObligatoria="Sí",ISNUMBER($F285),$F285&lt;FechaRef,N($L285)&lt;1,$N285=""),"Vencida sin observación"&amp;" · ",""))-3)))</f>
        <v/>
      </c>
      <c r="P285" s="69">
        <f>IF(NOT((COUNTA($B285:$K285)+COUNTA($N285))&gt;0),"",IF(AND($S285="Sub",N($R285)&gt;0),IF(ISNUMBER(INDEX($E$5:$E$1000,$R285-4)),DATE(YEAR(INDEX($E$5:$E$1000,$R285-4)),MONTH(INDEX($E$5:$E$1000,$R285-4)),1),IF(ISNUMBER(INDEX($F$5:$F$1000,$R285-4)),DATE(YEAR(INDEX($F$5:$F$1000,$R285-4)),MONTH(INDEX($F$5:$F$1000,$R285-4)),1),MesCiclo)),IF(ISNUMBER($E285),DATE(YEAR($E285),MONTH($E285),1),IF(ISNUMBER($F285),DATE(YEAR($F285),MONTH($F285),1),MesCiclo))))</f>
        <v/>
      </c>
      <c r="Q285" s="70">
        <f>IF(OR($P285="",$P285&lt;&gt;MesCiclo),"",COUNTIF($P$5:$P285,MesCiclo))</f>
        <v/>
      </c>
      <c r="R285" s="70">
        <f>IF($S285="","",IF($S285="Macro",ROW(),IFERROR(LOOKUP(2,1/($S$5:$S285="Macro"),ROW($S$5:$S285)),0)))</f>
        <v/>
      </c>
      <c r="S285" s="70">
        <f>IF(NOT((COUNTA($B285:$K285)+COUNTA($N285))&gt;0),"",IF($B285&lt;&gt;"","Macro",IF($C285&lt;&gt;"","Sub","Macro")))</f>
        <v/>
      </c>
      <c r="T285" s="70">
        <f>IF($S285="Macro",COUNTIFS($R$5:$R$1000,ROW(),$S$5:$S$1000,"Sub"),"")</f>
        <v/>
      </c>
      <c r="U285" s="70">
        <f>IF($S285="","",IF(ISNUMBER($H285),$H285,0))</f>
        <v/>
      </c>
      <c r="V285" s="70">
        <f>IF($S285="","",IF(ISNUMBER($I285),$I285,$U285))</f>
        <v/>
      </c>
      <c r="W285" s="70">
        <f>IF($S285="","",IF(ISNUMBER($J285),$J285,$V285))</f>
        <v/>
      </c>
      <c r="X285" s="70">
        <f>IF($S285="","",IF(ISNUMBER($K285),$K285,$W285))</f>
        <v/>
      </c>
      <c r="Y285" s="70">
        <f>IF($S285="","",IF(N($T285)&gt;0,AVERAGEIFS($U$5:$U$1000,$R$5:$R$1000,ROW(),$S$5:$S$1000,"Sub"),$U285))</f>
        <v/>
      </c>
      <c r="Z285" s="70">
        <f>IF($S285="","",IF(N($T285)&gt;0,AVERAGEIFS($V$5:$V$1000,$R$5:$R$1000,ROW(),$S$5:$S$1000,"Sub"),$V285))</f>
        <v/>
      </c>
      <c r="AA285" s="70">
        <f>IF($S285="","",IF(N($T285)&gt;0,AVERAGEIFS($W$5:$W$1000,$R$5:$R$1000,ROW(),$S$5:$S$1000,"Sub"),$W285))</f>
        <v/>
      </c>
      <c r="AB285" s="70">
        <f>IF($S285="","",IF(N($T285)&gt;0,AVERAGEIFS($X$5:$X$1000,$R$5:$R$1000,ROW(),$S$5:$S$1000,"Sub"),$X285))</f>
        <v/>
      </c>
    </row>
    <row r="286">
      <c r="A286" s="61">
        <f>IF(NOT((COUNTA($B286:$K286)+COUNTA($N286))&gt;0),"",IF($S286="Macro",COUNTIFS($S$5:$S286,"Macro",$P$5:$P286,$P286),IF(N($R286)=0,"?",COUNTIFS(INDEX($S$5:$S$1000,1):INDEX($S$5:$S$1000,$R286-4),"Macro",INDEX($P$5:$P$1000,1):INDEX($P$5:$P$1000,$R286-4),INDEX($P$5:$P$1000,$R286-4))&amp;"."&amp;COUNTIFS($R$5:$R286,$R286,$S$5:$S286,"Sub"))))</f>
        <v/>
      </c>
      <c r="B286" s="62" t="n"/>
      <c r="C286" s="63" t="n"/>
      <c r="D286" s="62" t="n"/>
      <c r="E286" s="64" t="n"/>
      <c r="F286" s="64" t="n"/>
      <c r="G286" s="65" t="n"/>
      <c r="H286" s="66" t="n"/>
      <c r="I286" s="66" t="n"/>
      <c r="J286" s="66" t="n"/>
      <c r="K286" s="66" t="n"/>
      <c r="L286" s="67">
        <f>IF(NOT((COUNTA($B286:$K286)+COUNTA($N286))&gt;0),"",IF(N($T286)&gt;0,$AB286,IFERROR(LOOKUP(2,1/(H286:K286&lt;&gt;""),H286:K286),0)))</f>
        <v/>
      </c>
      <c r="M286" s="61">
        <f>IF(L286="","",IF(L286&gt;=1,"Completado",IF(L286&gt;0,"En curso","Pendiente")))</f>
        <v/>
      </c>
      <c r="N286" s="62" t="n"/>
      <c r="O286" s="68">
        <f>IF(NOT((COUNTA($B286:$K286)+COUNTA($N286))&gt;0),"",IF((IF(AND($S286="Macro",$B286=""),"Macroactividad vacía"&amp;" · ","")&amp;IF(AND($B286&lt;&gt;"",$C286&lt;&gt;""),"Escriba la subactividad en otra fila, debajo de su macroactividad"&amp;" · ","")&amp;IF(AND($S286="Sub",N($R286)=0),"Subactividad sin macroactividad arriba"&amp;" · ","")&amp;IF($D286="","Sin responsable"&amp;" · ","")&amp;IF($E286="","Sin fecha de inicio"&amp;" · ","")&amp;IF($F286="","Sin fecha límite"&amp;" · ","")&amp;IF(OR(AND($E286&lt;&gt;"",NOT(ISNUMBER($E286))),AND($F286&lt;&gt;"",NOT(ISNUMBER($F286)))),"Fecha no válida"&amp;" · ","")&amp;IF(AND(ISNUMBER($E286),ISNUMBER($F286),$E286&gt;$F286),"Inicio posterior a fecha límite"&amp;" · ","")&amp;IF(AND($S286="Macro",$G286=""),"Peso vacío"&amp;" · ","")&amp;IF(AND($S286="Macro",$G286&lt;&gt;"",OR(NOT(ISNUMBER($G286)),$G286&lt;=0,$G286&gt;1)),"Peso fuera de rango"&amp;" · ","")&amp;IF(AND($S286="Sub",$G286&lt;&gt;""),"Las subactividades no llevan peso"&amp;" · ","")&amp;IF(AND($S286="Macro",ABS(SUMIFS($G$5:$G$1000,$P$5:$P$1000,$P286,$S$5:$S$1000,"Macro")-1)&gt;0.0001),"Pesos del mes suman "&amp;TEXT(SUMIFS($G$5:$G$1000,$P$5:$P$1000,$P286,$S$5:$S$1000,"Macro"),"0%")&amp;" · ","")&amp;IF(AND(N($T286)&gt;0,COUNT($H286:$K286)&gt;0),"Con subactividades: deje vacías las semanas (se calculan solas)"&amp;" · ","")&amp;IF((COUNTIF($H286:$K286,"&gt;1")+COUNTIF($H286:$K286,"&lt;0")+COUNTA($H286:$K286)-COUNT($H286:$K286))&gt;0,"Avance fuera de rango 0-100%"&amp;" · ","")&amp;IF(OR(AND($I286&lt;&gt;"",$I286&lt;$H286),AND($J286&lt;&gt;"",$J286&lt;MAX($H286:$I286)),AND($K286&lt;&gt;"",$K286&lt;MAX($H286:$J286))),"Avance semanal decreciente"&amp;" · ","")&amp;IF(AND(ISNUMBER($F286),$F286&lt;FechaRef,N($L286)&lt;1),"Vencida"&amp;" · ","")&amp;IF(AND(ObsObligatoria="Sí",ISNUMBER($F286),$F286&lt;FechaRef,N($L286)&lt;1,$N286=""),"Vencida sin observación"&amp;" · ",""))="","✔ OK","⚠ "&amp;LEFT(IF(AND($S286="Macro",$B286=""),"Macroactividad vacía"&amp;" · ","")&amp;IF(AND($B286&lt;&gt;"",$C286&lt;&gt;""),"Escriba la subactividad en otra fila, debajo de su macroactividad"&amp;" · ","")&amp;IF(AND($S286="Sub",N($R286)=0),"Subactividad sin macroactividad arriba"&amp;" · ","")&amp;IF($D286="","Sin responsable"&amp;" · ","")&amp;IF($E286="","Sin fecha de inicio"&amp;" · ","")&amp;IF($F286="","Sin fecha límite"&amp;" · ","")&amp;IF(OR(AND($E286&lt;&gt;"",NOT(ISNUMBER($E286))),AND($F286&lt;&gt;"",NOT(ISNUMBER($F286)))),"Fecha no válida"&amp;" · ","")&amp;IF(AND(ISNUMBER($E286),ISNUMBER($F286),$E286&gt;$F286),"Inicio posterior a fecha límite"&amp;" · ","")&amp;IF(AND($S286="Macro",$G286=""),"Peso vacío"&amp;" · ","")&amp;IF(AND($S286="Macro",$G286&lt;&gt;"",OR(NOT(ISNUMBER($G286)),$G286&lt;=0,$G286&gt;1)),"Peso fuera de rango"&amp;" · ","")&amp;IF(AND($S286="Sub",$G286&lt;&gt;""),"Las subactividades no llevan peso"&amp;" · ","")&amp;IF(AND($S286="Macro",ABS(SUMIFS($G$5:$G$1000,$P$5:$P$1000,$P286,$S$5:$S$1000,"Macro")-1)&gt;0.0001),"Pesos del mes suman "&amp;TEXT(SUMIFS($G$5:$G$1000,$P$5:$P$1000,$P286,$S$5:$S$1000,"Macro"),"0%")&amp;" · ","")&amp;IF(AND(N($T286)&gt;0,COUNT($H286:$K286)&gt;0),"Con subactividades: deje vacías las semanas (se calculan solas)"&amp;" · ","")&amp;IF((COUNTIF($H286:$K286,"&gt;1")+COUNTIF($H286:$K286,"&lt;0")+COUNTA($H286:$K286)-COUNT($H286:$K286))&gt;0,"Avance fuera de rango 0-100%"&amp;" · ","")&amp;IF(OR(AND($I286&lt;&gt;"",$I286&lt;$H286),AND($J286&lt;&gt;"",$J286&lt;MAX($H286:$I286)),AND($K286&lt;&gt;"",$K286&lt;MAX($H286:$J286))),"Avance semanal decreciente"&amp;" · ","")&amp;IF(AND(ISNUMBER($F286),$F286&lt;FechaRef,N($L286)&lt;1),"Vencida"&amp;" · ","")&amp;IF(AND(ObsObligatoria="Sí",ISNUMBER($F286),$F286&lt;FechaRef,N($L286)&lt;1,$N286=""),"Vencida sin observación"&amp;" · ",""),LEN(IF(AND($S286="Macro",$B286=""),"Macroactividad vacía"&amp;" · ","")&amp;IF(AND($B286&lt;&gt;"",$C286&lt;&gt;""),"Escriba la subactividad en otra fila, debajo de su macroactividad"&amp;" · ","")&amp;IF(AND($S286="Sub",N($R286)=0),"Subactividad sin macroactividad arriba"&amp;" · ","")&amp;IF($D286="","Sin responsable"&amp;" · ","")&amp;IF($E286="","Sin fecha de inicio"&amp;" · ","")&amp;IF($F286="","Sin fecha límite"&amp;" · ","")&amp;IF(OR(AND($E286&lt;&gt;"",NOT(ISNUMBER($E286))),AND($F286&lt;&gt;"",NOT(ISNUMBER($F286)))),"Fecha no válida"&amp;" · ","")&amp;IF(AND(ISNUMBER($E286),ISNUMBER($F286),$E286&gt;$F286),"Inicio posterior a fecha límite"&amp;" · ","")&amp;IF(AND($S286="Macro",$G286=""),"Peso vacío"&amp;" · ","")&amp;IF(AND($S286="Macro",$G286&lt;&gt;"",OR(NOT(ISNUMBER($G286)),$G286&lt;=0,$G286&gt;1)),"Peso fuera de rango"&amp;" · ","")&amp;IF(AND($S286="Sub",$G286&lt;&gt;""),"Las subactividades no llevan peso"&amp;" · ","")&amp;IF(AND($S286="Macro",ABS(SUMIFS($G$5:$G$1000,$P$5:$P$1000,$P286,$S$5:$S$1000,"Macro")-1)&gt;0.0001),"Pesos del mes suman "&amp;TEXT(SUMIFS($G$5:$G$1000,$P$5:$P$1000,$P286,$S$5:$S$1000,"Macro"),"0%")&amp;" · ","")&amp;IF(AND(N($T286)&gt;0,COUNT($H286:$K286)&gt;0),"Con subactividades: deje vacías las semanas (se calculan solas)"&amp;" · ","")&amp;IF((COUNTIF($H286:$K286,"&gt;1")+COUNTIF($H286:$K286,"&lt;0")+COUNTA($H286:$K286)-COUNT($H286:$K286))&gt;0,"Avance fuera de rango 0-100%"&amp;" · ","")&amp;IF(OR(AND($I286&lt;&gt;"",$I286&lt;$H286),AND($J286&lt;&gt;"",$J286&lt;MAX($H286:$I286)),AND($K286&lt;&gt;"",$K286&lt;MAX($H286:$J286))),"Avance semanal decreciente"&amp;" · ","")&amp;IF(AND(ISNUMBER($F286),$F286&lt;FechaRef,N($L286)&lt;1),"Vencida"&amp;" · ","")&amp;IF(AND(ObsObligatoria="Sí",ISNUMBER($F286),$F286&lt;FechaRef,N($L286)&lt;1,$N286=""),"Vencida sin observación"&amp;" · ",""))-3)))</f>
        <v/>
      </c>
      <c r="P286" s="69">
        <f>IF(NOT((COUNTA($B286:$K286)+COUNTA($N286))&gt;0),"",IF(AND($S286="Sub",N($R286)&gt;0),IF(ISNUMBER(INDEX($E$5:$E$1000,$R286-4)),DATE(YEAR(INDEX($E$5:$E$1000,$R286-4)),MONTH(INDEX($E$5:$E$1000,$R286-4)),1),IF(ISNUMBER(INDEX($F$5:$F$1000,$R286-4)),DATE(YEAR(INDEX($F$5:$F$1000,$R286-4)),MONTH(INDEX($F$5:$F$1000,$R286-4)),1),MesCiclo)),IF(ISNUMBER($E286),DATE(YEAR($E286),MONTH($E286),1),IF(ISNUMBER($F286),DATE(YEAR($F286),MONTH($F286),1),MesCiclo))))</f>
        <v/>
      </c>
      <c r="Q286" s="70">
        <f>IF(OR($P286="",$P286&lt;&gt;MesCiclo),"",COUNTIF($P$5:$P286,MesCiclo))</f>
        <v/>
      </c>
      <c r="R286" s="70">
        <f>IF($S286="","",IF($S286="Macro",ROW(),IFERROR(LOOKUP(2,1/($S$5:$S286="Macro"),ROW($S$5:$S286)),0)))</f>
        <v/>
      </c>
      <c r="S286" s="70">
        <f>IF(NOT((COUNTA($B286:$K286)+COUNTA($N286))&gt;0),"",IF($B286&lt;&gt;"","Macro",IF($C286&lt;&gt;"","Sub","Macro")))</f>
        <v/>
      </c>
      <c r="T286" s="70">
        <f>IF($S286="Macro",COUNTIFS($R$5:$R$1000,ROW(),$S$5:$S$1000,"Sub"),"")</f>
        <v/>
      </c>
      <c r="U286" s="70">
        <f>IF($S286="","",IF(ISNUMBER($H286),$H286,0))</f>
        <v/>
      </c>
      <c r="V286" s="70">
        <f>IF($S286="","",IF(ISNUMBER($I286),$I286,$U286))</f>
        <v/>
      </c>
      <c r="W286" s="70">
        <f>IF($S286="","",IF(ISNUMBER($J286),$J286,$V286))</f>
        <v/>
      </c>
      <c r="X286" s="70">
        <f>IF($S286="","",IF(ISNUMBER($K286),$K286,$W286))</f>
        <v/>
      </c>
      <c r="Y286" s="70">
        <f>IF($S286="","",IF(N($T286)&gt;0,AVERAGEIFS($U$5:$U$1000,$R$5:$R$1000,ROW(),$S$5:$S$1000,"Sub"),$U286))</f>
        <v/>
      </c>
      <c r="Z286" s="70">
        <f>IF($S286="","",IF(N($T286)&gt;0,AVERAGEIFS($V$5:$V$1000,$R$5:$R$1000,ROW(),$S$5:$S$1000,"Sub"),$V286))</f>
        <v/>
      </c>
      <c r="AA286" s="70">
        <f>IF($S286="","",IF(N($T286)&gt;0,AVERAGEIFS($W$5:$W$1000,$R$5:$R$1000,ROW(),$S$5:$S$1000,"Sub"),$W286))</f>
        <v/>
      </c>
      <c r="AB286" s="70">
        <f>IF($S286="","",IF(N($T286)&gt;0,AVERAGEIFS($X$5:$X$1000,$R$5:$R$1000,ROW(),$S$5:$S$1000,"Sub"),$X286))</f>
        <v/>
      </c>
    </row>
    <row r="287">
      <c r="A287" s="61">
        <f>IF(NOT((COUNTA($B287:$K287)+COUNTA($N287))&gt;0),"",IF($S287="Macro",COUNTIFS($S$5:$S287,"Macro",$P$5:$P287,$P287),IF(N($R287)=0,"?",COUNTIFS(INDEX($S$5:$S$1000,1):INDEX($S$5:$S$1000,$R287-4),"Macro",INDEX($P$5:$P$1000,1):INDEX($P$5:$P$1000,$R287-4),INDEX($P$5:$P$1000,$R287-4))&amp;"."&amp;COUNTIFS($R$5:$R287,$R287,$S$5:$S287,"Sub"))))</f>
        <v/>
      </c>
      <c r="B287" s="62" t="n"/>
      <c r="C287" s="63" t="n"/>
      <c r="D287" s="62" t="n"/>
      <c r="E287" s="64" t="n"/>
      <c r="F287" s="64" t="n"/>
      <c r="G287" s="65" t="n"/>
      <c r="H287" s="66" t="n"/>
      <c r="I287" s="66" t="n"/>
      <c r="J287" s="66" t="n"/>
      <c r="K287" s="66" t="n"/>
      <c r="L287" s="67">
        <f>IF(NOT((COUNTA($B287:$K287)+COUNTA($N287))&gt;0),"",IF(N($T287)&gt;0,$AB287,IFERROR(LOOKUP(2,1/(H287:K287&lt;&gt;""),H287:K287),0)))</f>
        <v/>
      </c>
      <c r="M287" s="61">
        <f>IF(L287="","",IF(L287&gt;=1,"Completado",IF(L287&gt;0,"En curso","Pendiente")))</f>
        <v/>
      </c>
      <c r="N287" s="62" t="n"/>
      <c r="O287" s="68">
        <f>IF(NOT((COUNTA($B287:$K287)+COUNTA($N287))&gt;0),"",IF((IF(AND($S287="Macro",$B287=""),"Macroactividad vacía"&amp;" · ","")&amp;IF(AND($B287&lt;&gt;"",$C287&lt;&gt;""),"Escriba la subactividad en otra fila, debajo de su macroactividad"&amp;" · ","")&amp;IF(AND($S287="Sub",N($R287)=0),"Subactividad sin macroactividad arriba"&amp;" · ","")&amp;IF($D287="","Sin responsable"&amp;" · ","")&amp;IF($E287="","Sin fecha de inicio"&amp;" · ","")&amp;IF($F287="","Sin fecha límite"&amp;" · ","")&amp;IF(OR(AND($E287&lt;&gt;"",NOT(ISNUMBER($E287))),AND($F287&lt;&gt;"",NOT(ISNUMBER($F287)))),"Fecha no válida"&amp;" · ","")&amp;IF(AND(ISNUMBER($E287),ISNUMBER($F287),$E287&gt;$F287),"Inicio posterior a fecha límite"&amp;" · ","")&amp;IF(AND($S287="Macro",$G287=""),"Peso vacío"&amp;" · ","")&amp;IF(AND($S287="Macro",$G287&lt;&gt;"",OR(NOT(ISNUMBER($G287)),$G287&lt;=0,$G287&gt;1)),"Peso fuera de rango"&amp;" · ","")&amp;IF(AND($S287="Sub",$G287&lt;&gt;""),"Las subactividades no llevan peso"&amp;" · ","")&amp;IF(AND($S287="Macro",ABS(SUMIFS($G$5:$G$1000,$P$5:$P$1000,$P287,$S$5:$S$1000,"Macro")-1)&gt;0.0001),"Pesos del mes suman "&amp;TEXT(SUMIFS($G$5:$G$1000,$P$5:$P$1000,$P287,$S$5:$S$1000,"Macro"),"0%")&amp;" · ","")&amp;IF(AND(N($T287)&gt;0,COUNT($H287:$K287)&gt;0),"Con subactividades: deje vacías las semanas (se calculan solas)"&amp;" · ","")&amp;IF((COUNTIF($H287:$K287,"&gt;1")+COUNTIF($H287:$K287,"&lt;0")+COUNTA($H287:$K287)-COUNT($H287:$K287))&gt;0,"Avance fuera de rango 0-100%"&amp;" · ","")&amp;IF(OR(AND($I287&lt;&gt;"",$I287&lt;$H287),AND($J287&lt;&gt;"",$J287&lt;MAX($H287:$I287)),AND($K287&lt;&gt;"",$K287&lt;MAX($H287:$J287))),"Avance semanal decreciente"&amp;" · ","")&amp;IF(AND(ISNUMBER($F287),$F287&lt;FechaRef,N($L287)&lt;1),"Vencida"&amp;" · ","")&amp;IF(AND(ObsObligatoria="Sí",ISNUMBER($F287),$F287&lt;FechaRef,N($L287)&lt;1,$N287=""),"Vencida sin observación"&amp;" · ",""))="","✔ OK","⚠ "&amp;LEFT(IF(AND($S287="Macro",$B287=""),"Macroactividad vacía"&amp;" · ","")&amp;IF(AND($B287&lt;&gt;"",$C287&lt;&gt;""),"Escriba la subactividad en otra fila, debajo de su macroactividad"&amp;" · ","")&amp;IF(AND($S287="Sub",N($R287)=0),"Subactividad sin macroactividad arriba"&amp;" · ","")&amp;IF($D287="","Sin responsable"&amp;" · ","")&amp;IF($E287="","Sin fecha de inicio"&amp;" · ","")&amp;IF($F287="","Sin fecha límite"&amp;" · ","")&amp;IF(OR(AND($E287&lt;&gt;"",NOT(ISNUMBER($E287))),AND($F287&lt;&gt;"",NOT(ISNUMBER($F287)))),"Fecha no válida"&amp;" · ","")&amp;IF(AND(ISNUMBER($E287),ISNUMBER($F287),$E287&gt;$F287),"Inicio posterior a fecha límite"&amp;" · ","")&amp;IF(AND($S287="Macro",$G287=""),"Peso vacío"&amp;" · ","")&amp;IF(AND($S287="Macro",$G287&lt;&gt;"",OR(NOT(ISNUMBER($G287)),$G287&lt;=0,$G287&gt;1)),"Peso fuera de rango"&amp;" · ","")&amp;IF(AND($S287="Sub",$G287&lt;&gt;""),"Las subactividades no llevan peso"&amp;" · ","")&amp;IF(AND($S287="Macro",ABS(SUMIFS($G$5:$G$1000,$P$5:$P$1000,$P287,$S$5:$S$1000,"Macro")-1)&gt;0.0001),"Pesos del mes suman "&amp;TEXT(SUMIFS($G$5:$G$1000,$P$5:$P$1000,$P287,$S$5:$S$1000,"Macro"),"0%")&amp;" · ","")&amp;IF(AND(N($T287)&gt;0,COUNT($H287:$K287)&gt;0),"Con subactividades: deje vacías las semanas (se calculan solas)"&amp;" · ","")&amp;IF((COUNTIF($H287:$K287,"&gt;1")+COUNTIF($H287:$K287,"&lt;0")+COUNTA($H287:$K287)-COUNT($H287:$K287))&gt;0,"Avance fuera de rango 0-100%"&amp;" · ","")&amp;IF(OR(AND($I287&lt;&gt;"",$I287&lt;$H287),AND($J287&lt;&gt;"",$J287&lt;MAX($H287:$I287)),AND($K287&lt;&gt;"",$K287&lt;MAX($H287:$J287))),"Avance semanal decreciente"&amp;" · ","")&amp;IF(AND(ISNUMBER($F287),$F287&lt;FechaRef,N($L287)&lt;1),"Vencida"&amp;" · ","")&amp;IF(AND(ObsObligatoria="Sí",ISNUMBER($F287),$F287&lt;FechaRef,N($L287)&lt;1,$N287=""),"Vencida sin observación"&amp;" · ",""),LEN(IF(AND($S287="Macro",$B287=""),"Macroactividad vacía"&amp;" · ","")&amp;IF(AND($B287&lt;&gt;"",$C287&lt;&gt;""),"Escriba la subactividad en otra fila, debajo de su macroactividad"&amp;" · ","")&amp;IF(AND($S287="Sub",N($R287)=0),"Subactividad sin macroactividad arriba"&amp;" · ","")&amp;IF($D287="","Sin responsable"&amp;" · ","")&amp;IF($E287="","Sin fecha de inicio"&amp;" · ","")&amp;IF($F287="","Sin fecha límite"&amp;" · ","")&amp;IF(OR(AND($E287&lt;&gt;"",NOT(ISNUMBER($E287))),AND($F287&lt;&gt;"",NOT(ISNUMBER($F287)))),"Fecha no válida"&amp;" · ","")&amp;IF(AND(ISNUMBER($E287),ISNUMBER($F287),$E287&gt;$F287),"Inicio posterior a fecha límite"&amp;" · ","")&amp;IF(AND($S287="Macro",$G287=""),"Peso vacío"&amp;" · ","")&amp;IF(AND($S287="Macro",$G287&lt;&gt;"",OR(NOT(ISNUMBER($G287)),$G287&lt;=0,$G287&gt;1)),"Peso fuera de rango"&amp;" · ","")&amp;IF(AND($S287="Sub",$G287&lt;&gt;""),"Las subactividades no llevan peso"&amp;" · ","")&amp;IF(AND($S287="Macro",ABS(SUMIFS($G$5:$G$1000,$P$5:$P$1000,$P287,$S$5:$S$1000,"Macro")-1)&gt;0.0001),"Pesos del mes suman "&amp;TEXT(SUMIFS($G$5:$G$1000,$P$5:$P$1000,$P287,$S$5:$S$1000,"Macro"),"0%")&amp;" · ","")&amp;IF(AND(N($T287)&gt;0,COUNT($H287:$K287)&gt;0),"Con subactividades: deje vacías las semanas (se calculan solas)"&amp;" · ","")&amp;IF((COUNTIF($H287:$K287,"&gt;1")+COUNTIF($H287:$K287,"&lt;0")+COUNTA($H287:$K287)-COUNT($H287:$K287))&gt;0,"Avance fuera de rango 0-100%"&amp;" · ","")&amp;IF(OR(AND($I287&lt;&gt;"",$I287&lt;$H287),AND($J287&lt;&gt;"",$J287&lt;MAX($H287:$I287)),AND($K287&lt;&gt;"",$K287&lt;MAX($H287:$J287))),"Avance semanal decreciente"&amp;" · ","")&amp;IF(AND(ISNUMBER($F287),$F287&lt;FechaRef,N($L287)&lt;1),"Vencida"&amp;" · ","")&amp;IF(AND(ObsObligatoria="Sí",ISNUMBER($F287),$F287&lt;FechaRef,N($L287)&lt;1,$N287=""),"Vencida sin observación"&amp;" · ",""))-3)))</f>
        <v/>
      </c>
      <c r="P287" s="69">
        <f>IF(NOT((COUNTA($B287:$K287)+COUNTA($N287))&gt;0),"",IF(AND($S287="Sub",N($R287)&gt;0),IF(ISNUMBER(INDEX($E$5:$E$1000,$R287-4)),DATE(YEAR(INDEX($E$5:$E$1000,$R287-4)),MONTH(INDEX($E$5:$E$1000,$R287-4)),1),IF(ISNUMBER(INDEX($F$5:$F$1000,$R287-4)),DATE(YEAR(INDEX($F$5:$F$1000,$R287-4)),MONTH(INDEX($F$5:$F$1000,$R287-4)),1),MesCiclo)),IF(ISNUMBER($E287),DATE(YEAR($E287),MONTH($E287),1),IF(ISNUMBER($F287),DATE(YEAR($F287),MONTH($F287),1),MesCiclo))))</f>
        <v/>
      </c>
      <c r="Q287" s="70">
        <f>IF(OR($P287="",$P287&lt;&gt;MesCiclo),"",COUNTIF($P$5:$P287,MesCiclo))</f>
        <v/>
      </c>
      <c r="R287" s="70">
        <f>IF($S287="","",IF($S287="Macro",ROW(),IFERROR(LOOKUP(2,1/($S$5:$S287="Macro"),ROW($S$5:$S287)),0)))</f>
        <v/>
      </c>
      <c r="S287" s="70">
        <f>IF(NOT((COUNTA($B287:$K287)+COUNTA($N287))&gt;0),"",IF($B287&lt;&gt;"","Macro",IF($C287&lt;&gt;"","Sub","Macro")))</f>
        <v/>
      </c>
      <c r="T287" s="70">
        <f>IF($S287="Macro",COUNTIFS($R$5:$R$1000,ROW(),$S$5:$S$1000,"Sub"),"")</f>
        <v/>
      </c>
      <c r="U287" s="70">
        <f>IF($S287="","",IF(ISNUMBER($H287),$H287,0))</f>
        <v/>
      </c>
      <c r="V287" s="70">
        <f>IF($S287="","",IF(ISNUMBER($I287),$I287,$U287))</f>
        <v/>
      </c>
      <c r="W287" s="70">
        <f>IF($S287="","",IF(ISNUMBER($J287),$J287,$V287))</f>
        <v/>
      </c>
      <c r="X287" s="70">
        <f>IF($S287="","",IF(ISNUMBER($K287),$K287,$W287))</f>
        <v/>
      </c>
      <c r="Y287" s="70">
        <f>IF($S287="","",IF(N($T287)&gt;0,AVERAGEIFS($U$5:$U$1000,$R$5:$R$1000,ROW(),$S$5:$S$1000,"Sub"),$U287))</f>
        <v/>
      </c>
      <c r="Z287" s="70">
        <f>IF($S287="","",IF(N($T287)&gt;0,AVERAGEIFS($V$5:$V$1000,$R$5:$R$1000,ROW(),$S$5:$S$1000,"Sub"),$V287))</f>
        <v/>
      </c>
      <c r="AA287" s="70">
        <f>IF($S287="","",IF(N($T287)&gt;0,AVERAGEIFS($W$5:$W$1000,$R$5:$R$1000,ROW(),$S$5:$S$1000,"Sub"),$W287))</f>
        <v/>
      </c>
      <c r="AB287" s="70">
        <f>IF($S287="","",IF(N($T287)&gt;0,AVERAGEIFS($X$5:$X$1000,$R$5:$R$1000,ROW(),$S$5:$S$1000,"Sub"),$X287))</f>
        <v/>
      </c>
    </row>
    <row r="288">
      <c r="A288" s="61">
        <f>IF(NOT((COUNTA($B288:$K288)+COUNTA($N288))&gt;0),"",IF($S288="Macro",COUNTIFS($S$5:$S288,"Macro",$P$5:$P288,$P288),IF(N($R288)=0,"?",COUNTIFS(INDEX($S$5:$S$1000,1):INDEX($S$5:$S$1000,$R288-4),"Macro",INDEX($P$5:$P$1000,1):INDEX($P$5:$P$1000,$R288-4),INDEX($P$5:$P$1000,$R288-4))&amp;"."&amp;COUNTIFS($R$5:$R288,$R288,$S$5:$S288,"Sub"))))</f>
        <v/>
      </c>
      <c r="B288" s="62" t="n"/>
      <c r="C288" s="63" t="n"/>
      <c r="D288" s="62" t="n"/>
      <c r="E288" s="64" t="n"/>
      <c r="F288" s="64" t="n"/>
      <c r="G288" s="65" t="n"/>
      <c r="H288" s="66" t="n"/>
      <c r="I288" s="66" t="n"/>
      <c r="J288" s="66" t="n"/>
      <c r="K288" s="66" t="n"/>
      <c r="L288" s="67">
        <f>IF(NOT((COUNTA($B288:$K288)+COUNTA($N288))&gt;0),"",IF(N($T288)&gt;0,$AB288,IFERROR(LOOKUP(2,1/(H288:K288&lt;&gt;""),H288:K288),0)))</f>
        <v/>
      </c>
      <c r="M288" s="61">
        <f>IF(L288="","",IF(L288&gt;=1,"Completado",IF(L288&gt;0,"En curso","Pendiente")))</f>
        <v/>
      </c>
      <c r="N288" s="62" t="n"/>
      <c r="O288" s="68">
        <f>IF(NOT((COUNTA($B288:$K288)+COUNTA($N288))&gt;0),"",IF((IF(AND($S288="Macro",$B288=""),"Macroactividad vacía"&amp;" · ","")&amp;IF(AND($B288&lt;&gt;"",$C288&lt;&gt;""),"Escriba la subactividad en otra fila, debajo de su macroactividad"&amp;" · ","")&amp;IF(AND($S288="Sub",N($R288)=0),"Subactividad sin macroactividad arriba"&amp;" · ","")&amp;IF($D288="","Sin responsable"&amp;" · ","")&amp;IF($E288="","Sin fecha de inicio"&amp;" · ","")&amp;IF($F288="","Sin fecha límite"&amp;" · ","")&amp;IF(OR(AND($E288&lt;&gt;"",NOT(ISNUMBER($E288))),AND($F288&lt;&gt;"",NOT(ISNUMBER($F288)))),"Fecha no válida"&amp;" · ","")&amp;IF(AND(ISNUMBER($E288),ISNUMBER($F288),$E288&gt;$F288),"Inicio posterior a fecha límite"&amp;" · ","")&amp;IF(AND($S288="Macro",$G288=""),"Peso vacío"&amp;" · ","")&amp;IF(AND($S288="Macro",$G288&lt;&gt;"",OR(NOT(ISNUMBER($G288)),$G288&lt;=0,$G288&gt;1)),"Peso fuera de rango"&amp;" · ","")&amp;IF(AND($S288="Sub",$G288&lt;&gt;""),"Las subactividades no llevan peso"&amp;" · ","")&amp;IF(AND($S288="Macro",ABS(SUMIFS($G$5:$G$1000,$P$5:$P$1000,$P288,$S$5:$S$1000,"Macro")-1)&gt;0.0001),"Pesos del mes suman "&amp;TEXT(SUMIFS($G$5:$G$1000,$P$5:$P$1000,$P288,$S$5:$S$1000,"Macro"),"0%")&amp;" · ","")&amp;IF(AND(N($T288)&gt;0,COUNT($H288:$K288)&gt;0),"Con subactividades: deje vacías las semanas (se calculan solas)"&amp;" · ","")&amp;IF((COUNTIF($H288:$K288,"&gt;1")+COUNTIF($H288:$K288,"&lt;0")+COUNTA($H288:$K288)-COUNT($H288:$K288))&gt;0,"Avance fuera de rango 0-100%"&amp;" · ","")&amp;IF(OR(AND($I288&lt;&gt;"",$I288&lt;$H288),AND($J288&lt;&gt;"",$J288&lt;MAX($H288:$I288)),AND($K288&lt;&gt;"",$K288&lt;MAX($H288:$J288))),"Avance semanal decreciente"&amp;" · ","")&amp;IF(AND(ISNUMBER($F288),$F288&lt;FechaRef,N($L288)&lt;1),"Vencida"&amp;" · ","")&amp;IF(AND(ObsObligatoria="Sí",ISNUMBER($F288),$F288&lt;FechaRef,N($L288)&lt;1,$N288=""),"Vencida sin observación"&amp;" · ",""))="","✔ OK","⚠ "&amp;LEFT(IF(AND($S288="Macro",$B288=""),"Macroactividad vacía"&amp;" · ","")&amp;IF(AND($B288&lt;&gt;"",$C288&lt;&gt;""),"Escriba la subactividad en otra fila, debajo de su macroactividad"&amp;" · ","")&amp;IF(AND($S288="Sub",N($R288)=0),"Subactividad sin macroactividad arriba"&amp;" · ","")&amp;IF($D288="","Sin responsable"&amp;" · ","")&amp;IF($E288="","Sin fecha de inicio"&amp;" · ","")&amp;IF($F288="","Sin fecha límite"&amp;" · ","")&amp;IF(OR(AND($E288&lt;&gt;"",NOT(ISNUMBER($E288))),AND($F288&lt;&gt;"",NOT(ISNUMBER($F288)))),"Fecha no válida"&amp;" · ","")&amp;IF(AND(ISNUMBER($E288),ISNUMBER($F288),$E288&gt;$F288),"Inicio posterior a fecha límite"&amp;" · ","")&amp;IF(AND($S288="Macro",$G288=""),"Peso vacío"&amp;" · ","")&amp;IF(AND($S288="Macro",$G288&lt;&gt;"",OR(NOT(ISNUMBER($G288)),$G288&lt;=0,$G288&gt;1)),"Peso fuera de rango"&amp;" · ","")&amp;IF(AND($S288="Sub",$G288&lt;&gt;""),"Las subactividades no llevan peso"&amp;" · ","")&amp;IF(AND($S288="Macro",ABS(SUMIFS($G$5:$G$1000,$P$5:$P$1000,$P288,$S$5:$S$1000,"Macro")-1)&gt;0.0001),"Pesos del mes suman "&amp;TEXT(SUMIFS($G$5:$G$1000,$P$5:$P$1000,$P288,$S$5:$S$1000,"Macro"),"0%")&amp;" · ","")&amp;IF(AND(N($T288)&gt;0,COUNT($H288:$K288)&gt;0),"Con subactividades: deje vacías las semanas (se calculan solas)"&amp;" · ","")&amp;IF((COUNTIF($H288:$K288,"&gt;1")+COUNTIF($H288:$K288,"&lt;0")+COUNTA($H288:$K288)-COUNT($H288:$K288))&gt;0,"Avance fuera de rango 0-100%"&amp;" · ","")&amp;IF(OR(AND($I288&lt;&gt;"",$I288&lt;$H288),AND($J288&lt;&gt;"",$J288&lt;MAX($H288:$I288)),AND($K288&lt;&gt;"",$K288&lt;MAX($H288:$J288))),"Avance semanal decreciente"&amp;" · ","")&amp;IF(AND(ISNUMBER($F288),$F288&lt;FechaRef,N($L288)&lt;1),"Vencida"&amp;" · ","")&amp;IF(AND(ObsObligatoria="Sí",ISNUMBER($F288),$F288&lt;FechaRef,N($L288)&lt;1,$N288=""),"Vencida sin observación"&amp;" · ",""),LEN(IF(AND($S288="Macro",$B288=""),"Macroactividad vacía"&amp;" · ","")&amp;IF(AND($B288&lt;&gt;"",$C288&lt;&gt;""),"Escriba la subactividad en otra fila, debajo de su macroactividad"&amp;" · ","")&amp;IF(AND($S288="Sub",N($R288)=0),"Subactividad sin macroactividad arriba"&amp;" · ","")&amp;IF($D288="","Sin responsable"&amp;" · ","")&amp;IF($E288="","Sin fecha de inicio"&amp;" · ","")&amp;IF($F288="","Sin fecha límite"&amp;" · ","")&amp;IF(OR(AND($E288&lt;&gt;"",NOT(ISNUMBER($E288))),AND($F288&lt;&gt;"",NOT(ISNUMBER($F288)))),"Fecha no válida"&amp;" · ","")&amp;IF(AND(ISNUMBER($E288),ISNUMBER($F288),$E288&gt;$F288),"Inicio posterior a fecha límite"&amp;" · ","")&amp;IF(AND($S288="Macro",$G288=""),"Peso vacío"&amp;" · ","")&amp;IF(AND($S288="Macro",$G288&lt;&gt;"",OR(NOT(ISNUMBER($G288)),$G288&lt;=0,$G288&gt;1)),"Peso fuera de rango"&amp;" · ","")&amp;IF(AND($S288="Sub",$G288&lt;&gt;""),"Las subactividades no llevan peso"&amp;" · ","")&amp;IF(AND($S288="Macro",ABS(SUMIFS($G$5:$G$1000,$P$5:$P$1000,$P288,$S$5:$S$1000,"Macro")-1)&gt;0.0001),"Pesos del mes suman "&amp;TEXT(SUMIFS($G$5:$G$1000,$P$5:$P$1000,$P288,$S$5:$S$1000,"Macro"),"0%")&amp;" · ","")&amp;IF(AND(N($T288)&gt;0,COUNT($H288:$K288)&gt;0),"Con subactividades: deje vacías las semanas (se calculan solas)"&amp;" · ","")&amp;IF((COUNTIF($H288:$K288,"&gt;1")+COUNTIF($H288:$K288,"&lt;0")+COUNTA($H288:$K288)-COUNT($H288:$K288))&gt;0,"Avance fuera de rango 0-100%"&amp;" · ","")&amp;IF(OR(AND($I288&lt;&gt;"",$I288&lt;$H288),AND($J288&lt;&gt;"",$J288&lt;MAX($H288:$I288)),AND($K288&lt;&gt;"",$K288&lt;MAX($H288:$J288))),"Avance semanal decreciente"&amp;" · ","")&amp;IF(AND(ISNUMBER($F288),$F288&lt;FechaRef,N($L288)&lt;1),"Vencida"&amp;" · ","")&amp;IF(AND(ObsObligatoria="Sí",ISNUMBER($F288),$F288&lt;FechaRef,N($L288)&lt;1,$N288=""),"Vencida sin observación"&amp;" · ",""))-3)))</f>
        <v/>
      </c>
      <c r="P288" s="69">
        <f>IF(NOT((COUNTA($B288:$K288)+COUNTA($N288))&gt;0),"",IF(AND($S288="Sub",N($R288)&gt;0),IF(ISNUMBER(INDEX($E$5:$E$1000,$R288-4)),DATE(YEAR(INDEX($E$5:$E$1000,$R288-4)),MONTH(INDEX($E$5:$E$1000,$R288-4)),1),IF(ISNUMBER(INDEX($F$5:$F$1000,$R288-4)),DATE(YEAR(INDEX($F$5:$F$1000,$R288-4)),MONTH(INDEX($F$5:$F$1000,$R288-4)),1),MesCiclo)),IF(ISNUMBER($E288),DATE(YEAR($E288),MONTH($E288),1),IF(ISNUMBER($F288),DATE(YEAR($F288),MONTH($F288),1),MesCiclo))))</f>
        <v/>
      </c>
      <c r="Q288" s="70">
        <f>IF(OR($P288="",$P288&lt;&gt;MesCiclo),"",COUNTIF($P$5:$P288,MesCiclo))</f>
        <v/>
      </c>
      <c r="R288" s="70">
        <f>IF($S288="","",IF($S288="Macro",ROW(),IFERROR(LOOKUP(2,1/($S$5:$S288="Macro"),ROW($S$5:$S288)),0)))</f>
        <v/>
      </c>
      <c r="S288" s="70">
        <f>IF(NOT((COUNTA($B288:$K288)+COUNTA($N288))&gt;0),"",IF($B288&lt;&gt;"","Macro",IF($C288&lt;&gt;"","Sub","Macro")))</f>
        <v/>
      </c>
      <c r="T288" s="70">
        <f>IF($S288="Macro",COUNTIFS($R$5:$R$1000,ROW(),$S$5:$S$1000,"Sub"),"")</f>
        <v/>
      </c>
      <c r="U288" s="70">
        <f>IF($S288="","",IF(ISNUMBER($H288),$H288,0))</f>
        <v/>
      </c>
      <c r="V288" s="70">
        <f>IF($S288="","",IF(ISNUMBER($I288),$I288,$U288))</f>
        <v/>
      </c>
      <c r="W288" s="70">
        <f>IF($S288="","",IF(ISNUMBER($J288),$J288,$V288))</f>
        <v/>
      </c>
      <c r="X288" s="70">
        <f>IF($S288="","",IF(ISNUMBER($K288),$K288,$W288))</f>
        <v/>
      </c>
      <c r="Y288" s="70">
        <f>IF($S288="","",IF(N($T288)&gt;0,AVERAGEIFS($U$5:$U$1000,$R$5:$R$1000,ROW(),$S$5:$S$1000,"Sub"),$U288))</f>
        <v/>
      </c>
      <c r="Z288" s="70">
        <f>IF($S288="","",IF(N($T288)&gt;0,AVERAGEIFS($V$5:$V$1000,$R$5:$R$1000,ROW(),$S$5:$S$1000,"Sub"),$V288))</f>
        <v/>
      </c>
      <c r="AA288" s="70">
        <f>IF($S288="","",IF(N($T288)&gt;0,AVERAGEIFS($W$5:$W$1000,$R$5:$R$1000,ROW(),$S$5:$S$1000,"Sub"),$W288))</f>
        <v/>
      </c>
      <c r="AB288" s="70">
        <f>IF($S288="","",IF(N($T288)&gt;0,AVERAGEIFS($X$5:$X$1000,$R$5:$R$1000,ROW(),$S$5:$S$1000,"Sub"),$X288))</f>
        <v/>
      </c>
    </row>
    <row r="289">
      <c r="A289" s="61">
        <f>IF(NOT((COUNTA($B289:$K289)+COUNTA($N289))&gt;0),"",IF($S289="Macro",COUNTIFS($S$5:$S289,"Macro",$P$5:$P289,$P289),IF(N($R289)=0,"?",COUNTIFS(INDEX($S$5:$S$1000,1):INDEX($S$5:$S$1000,$R289-4),"Macro",INDEX($P$5:$P$1000,1):INDEX($P$5:$P$1000,$R289-4),INDEX($P$5:$P$1000,$R289-4))&amp;"."&amp;COUNTIFS($R$5:$R289,$R289,$S$5:$S289,"Sub"))))</f>
        <v/>
      </c>
      <c r="B289" s="62" t="n"/>
      <c r="C289" s="63" t="n"/>
      <c r="D289" s="62" t="n"/>
      <c r="E289" s="64" t="n"/>
      <c r="F289" s="64" t="n"/>
      <c r="G289" s="65" t="n"/>
      <c r="H289" s="66" t="n"/>
      <c r="I289" s="66" t="n"/>
      <c r="J289" s="66" t="n"/>
      <c r="K289" s="66" t="n"/>
      <c r="L289" s="67">
        <f>IF(NOT((COUNTA($B289:$K289)+COUNTA($N289))&gt;0),"",IF(N($T289)&gt;0,$AB289,IFERROR(LOOKUP(2,1/(H289:K289&lt;&gt;""),H289:K289),0)))</f>
        <v/>
      </c>
      <c r="M289" s="61">
        <f>IF(L289="","",IF(L289&gt;=1,"Completado",IF(L289&gt;0,"En curso","Pendiente")))</f>
        <v/>
      </c>
      <c r="N289" s="62" t="n"/>
      <c r="O289" s="68">
        <f>IF(NOT((COUNTA($B289:$K289)+COUNTA($N289))&gt;0),"",IF((IF(AND($S289="Macro",$B289=""),"Macroactividad vacía"&amp;" · ","")&amp;IF(AND($B289&lt;&gt;"",$C289&lt;&gt;""),"Escriba la subactividad en otra fila, debajo de su macroactividad"&amp;" · ","")&amp;IF(AND($S289="Sub",N($R289)=0),"Subactividad sin macroactividad arriba"&amp;" · ","")&amp;IF($D289="","Sin responsable"&amp;" · ","")&amp;IF($E289="","Sin fecha de inicio"&amp;" · ","")&amp;IF($F289="","Sin fecha límite"&amp;" · ","")&amp;IF(OR(AND($E289&lt;&gt;"",NOT(ISNUMBER($E289))),AND($F289&lt;&gt;"",NOT(ISNUMBER($F289)))),"Fecha no válida"&amp;" · ","")&amp;IF(AND(ISNUMBER($E289),ISNUMBER($F289),$E289&gt;$F289),"Inicio posterior a fecha límite"&amp;" · ","")&amp;IF(AND($S289="Macro",$G289=""),"Peso vacío"&amp;" · ","")&amp;IF(AND($S289="Macro",$G289&lt;&gt;"",OR(NOT(ISNUMBER($G289)),$G289&lt;=0,$G289&gt;1)),"Peso fuera de rango"&amp;" · ","")&amp;IF(AND($S289="Sub",$G289&lt;&gt;""),"Las subactividades no llevan peso"&amp;" · ","")&amp;IF(AND($S289="Macro",ABS(SUMIFS($G$5:$G$1000,$P$5:$P$1000,$P289,$S$5:$S$1000,"Macro")-1)&gt;0.0001),"Pesos del mes suman "&amp;TEXT(SUMIFS($G$5:$G$1000,$P$5:$P$1000,$P289,$S$5:$S$1000,"Macro"),"0%")&amp;" · ","")&amp;IF(AND(N($T289)&gt;0,COUNT($H289:$K289)&gt;0),"Con subactividades: deje vacías las semanas (se calculan solas)"&amp;" · ","")&amp;IF((COUNTIF($H289:$K289,"&gt;1")+COUNTIF($H289:$K289,"&lt;0")+COUNTA($H289:$K289)-COUNT($H289:$K289))&gt;0,"Avance fuera de rango 0-100%"&amp;" · ","")&amp;IF(OR(AND($I289&lt;&gt;"",$I289&lt;$H289),AND($J289&lt;&gt;"",$J289&lt;MAX($H289:$I289)),AND($K289&lt;&gt;"",$K289&lt;MAX($H289:$J289))),"Avance semanal decreciente"&amp;" · ","")&amp;IF(AND(ISNUMBER($F289),$F289&lt;FechaRef,N($L289)&lt;1),"Vencida"&amp;" · ","")&amp;IF(AND(ObsObligatoria="Sí",ISNUMBER($F289),$F289&lt;FechaRef,N($L289)&lt;1,$N289=""),"Vencida sin observación"&amp;" · ",""))="","✔ OK","⚠ "&amp;LEFT(IF(AND($S289="Macro",$B289=""),"Macroactividad vacía"&amp;" · ","")&amp;IF(AND($B289&lt;&gt;"",$C289&lt;&gt;""),"Escriba la subactividad en otra fila, debajo de su macroactividad"&amp;" · ","")&amp;IF(AND($S289="Sub",N($R289)=0),"Subactividad sin macroactividad arriba"&amp;" · ","")&amp;IF($D289="","Sin responsable"&amp;" · ","")&amp;IF($E289="","Sin fecha de inicio"&amp;" · ","")&amp;IF($F289="","Sin fecha límite"&amp;" · ","")&amp;IF(OR(AND($E289&lt;&gt;"",NOT(ISNUMBER($E289))),AND($F289&lt;&gt;"",NOT(ISNUMBER($F289)))),"Fecha no válida"&amp;" · ","")&amp;IF(AND(ISNUMBER($E289),ISNUMBER($F289),$E289&gt;$F289),"Inicio posterior a fecha límite"&amp;" · ","")&amp;IF(AND($S289="Macro",$G289=""),"Peso vacío"&amp;" · ","")&amp;IF(AND($S289="Macro",$G289&lt;&gt;"",OR(NOT(ISNUMBER($G289)),$G289&lt;=0,$G289&gt;1)),"Peso fuera de rango"&amp;" · ","")&amp;IF(AND($S289="Sub",$G289&lt;&gt;""),"Las subactividades no llevan peso"&amp;" · ","")&amp;IF(AND($S289="Macro",ABS(SUMIFS($G$5:$G$1000,$P$5:$P$1000,$P289,$S$5:$S$1000,"Macro")-1)&gt;0.0001),"Pesos del mes suman "&amp;TEXT(SUMIFS($G$5:$G$1000,$P$5:$P$1000,$P289,$S$5:$S$1000,"Macro"),"0%")&amp;" · ","")&amp;IF(AND(N($T289)&gt;0,COUNT($H289:$K289)&gt;0),"Con subactividades: deje vacías las semanas (se calculan solas)"&amp;" · ","")&amp;IF((COUNTIF($H289:$K289,"&gt;1")+COUNTIF($H289:$K289,"&lt;0")+COUNTA($H289:$K289)-COUNT($H289:$K289))&gt;0,"Avance fuera de rango 0-100%"&amp;" · ","")&amp;IF(OR(AND($I289&lt;&gt;"",$I289&lt;$H289),AND($J289&lt;&gt;"",$J289&lt;MAX($H289:$I289)),AND($K289&lt;&gt;"",$K289&lt;MAX($H289:$J289))),"Avance semanal decreciente"&amp;" · ","")&amp;IF(AND(ISNUMBER($F289),$F289&lt;FechaRef,N($L289)&lt;1),"Vencida"&amp;" · ","")&amp;IF(AND(ObsObligatoria="Sí",ISNUMBER($F289),$F289&lt;FechaRef,N($L289)&lt;1,$N289=""),"Vencida sin observación"&amp;" · ",""),LEN(IF(AND($S289="Macro",$B289=""),"Macroactividad vacía"&amp;" · ","")&amp;IF(AND($B289&lt;&gt;"",$C289&lt;&gt;""),"Escriba la subactividad en otra fila, debajo de su macroactividad"&amp;" · ","")&amp;IF(AND($S289="Sub",N($R289)=0),"Subactividad sin macroactividad arriba"&amp;" · ","")&amp;IF($D289="","Sin responsable"&amp;" · ","")&amp;IF($E289="","Sin fecha de inicio"&amp;" · ","")&amp;IF($F289="","Sin fecha límite"&amp;" · ","")&amp;IF(OR(AND($E289&lt;&gt;"",NOT(ISNUMBER($E289))),AND($F289&lt;&gt;"",NOT(ISNUMBER($F289)))),"Fecha no válida"&amp;" · ","")&amp;IF(AND(ISNUMBER($E289),ISNUMBER($F289),$E289&gt;$F289),"Inicio posterior a fecha límite"&amp;" · ","")&amp;IF(AND($S289="Macro",$G289=""),"Peso vacío"&amp;" · ","")&amp;IF(AND($S289="Macro",$G289&lt;&gt;"",OR(NOT(ISNUMBER($G289)),$G289&lt;=0,$G289&gt;1)),"Peso fuera de rango"&amp;" · ","")&amp;IF(AND($S289="Sub",$G289&lt;&gt;""),"Las subactividades no llevan peso"&amp;" · ","")&amp;IF(AND($S289="Macro",ABS(SUMIFS($G$5:$G$1000,$P$5:$P$1000,$P289,$S$5:$S$1000,"Macro")-1)&gt;0.0001),"Pesos del mes suman "&amp;TEXT(SUMIFS($G$5:$G$1000,$P$5:$P$1000,$P289,$S$5:$S$1000,"Macro"),"0%")&amp;" · ","")&amp;IF(AND(N($T289)&gt;0,COUNT($H289:$K289)&gt;0),"Con subactividades: deje vacías las semanas (se calculan solas)"&amp;" · ","")&amp;IF((COUNTIF($H289:$K289,"&gt;1")+COUNTIF($H289:$K289,"&lt;0")+COUNTA($H289:$K289)-COUNT($H289:$K289))&gt;0,"Avance fuera de rango 0-100%"&amp;" · ","")&amp;IF(OR(AND($I289&lt;&gt;"",$I289&lt;$H289),AND($J289&lt;&gt;"",$J289&lt;MAX($H289:$I289)),AND($K289&lt;&gt;"",$K289&lt;MAX($H289:$J289))),"Avance semanal decreciente"&amp;" · ","")&amp;IF(AND(ISNUMBER($F289),$F289&lt;FechaRef,N($L289)&lt;1),"Vencida"&amp;" · ","")&amp;IF(AND(ObsObligatoria="Sí",ISNUMBER($F289),$F289&lt;FechaRef,N($L289)&lt;1,$N289=""),"Vencida sin observación"&amp;" · ",""))-3)))</f>
        <v/>
      </c>
      <c r="P289" s="69">
        <f>IF(NOT((COUNTA($B289:$K289)+COUNTA($N289))&gt;0),"",IF(AND($S289="Sub",N($R289)&gt;0),IF(ISNUMBER(INDEX($E$5:$E$1000,$R289-4)),DATE(YEAR(INDEX($E$5:$E$1000,$R289-4)),MONTH(INDEX($E$5:$E$1000,$R289-4)),1),IF(ISNUMBER(INDEX($F$5:$F$1000,$R289-4)),DATE(YEAR(INDEX($F$5:$F$1000,$R289-4)),MONTH(INDEX($F$5:$F$1000,$R289-4)),1),MesCiclo)),IF(ISNUMBER($E289),DATE(YEAR($E289),MONTH($E289),1),IF(ISNUMBER($F289),DATE(YEAR($F289),MONTH($F289),1),MesCiclo))))</f>
        <v/>
      </c>
      <c r="Q289" s="70">
        <f>IF(OR($P289="",$P289&lt;&gt;MesCiclo),"",COUNTIF($P$5:$P289,MesCiclo))</f>
        <v/>
      </c>
      <c r="R289" s="70">
        <f>IF($S289="","",IF($S289="Macro",ROW(),IFERROR(LOOKUP(2,1/($S$5:$S289="Macro"),ROW($S$5:$S289)),0)))</f>
        <v/>
      </c>
      <c r="S289" s="70">
        <f>IF(NOT((COUNTA($B289:$K289)+COUNTA($N289))&gt;0),"",IF($B289&lt;&gt;"","Macro",IF($C289&lt;&gt;"","Sub","Macro")))</f>
        <v/>
      </c>
      <c r="T289" s="70">
        <f>IF($S289="Macro",COUNTIFS($R$5:$R$1000,ROW(),$S$5:$S$1000,"Sub"),"")</f>
        <v/>
      </c>
      <c r="U289" s="70">
        <f>IF($S289="","",IF(ISNUMBER($H289),$H289,0))</f>
        <v/>
      </c>
      <c r="V289" s="70">
        <f>IF($S289="","",IF(ISNUMBER($I289),$I289,$U289))</f>
        <v/>
      </c>
      <c r="W289" s="70">
        <f>IF($S289="","",IF(ISNUMBER($J289),$J289,$V289))</f>
        <v/>
      </c>
      <c r="X289" s="70">
        <f>IF($S289="","",IF(ISNUMBER($K289),$K289,$W289))</f>
        <v/>
      </c>
      <c r="Y289" s="70">
        <f>IF($S289="","",IF(N($T289)&gt;0,AVERAGEIFS($U$5:$U$1000,$R$5:$R$1000,ROW(),$S$5:$S$1000,"Sub"),$U289))</f>
        <v/>
      </c>
      <c r="Z289" s="70">
        <f>IF($S289="","",IF(N($T289)&gt;0,AVERAGEIFS($V$5:$V$1000,$R$5:$R$1000,ROW(),$S$5:$S$1000,"Sub"),$V289))</f>
        <v/>
      </c>
      <c r="AA289" s="70">
        <f>IF($S289="","",IF(N($T289)&gt;0,AVERAGEIFS($W$5:$W$1000,$R$5:$R$1000,ROW(),$S$5:$S$1000,"Sub"),$W289))</f>
        <v/>
      </c>
      <c r="AB289" s="70">
        <f>IF($S289="","",IF(N($T289)&gt;0,AVERAGEIFS($X$5:$X$1000,$R$5:$R$1000,ROW(),$S$5:$S$1000,"Sub"),$X289))</f>
        <v/>
      </c>
    </row>
    <row r="290">
      <c r="A290" s="61">
        <f>IF(NOT((COUNTA($B290:$K290)+COUNTA($N290))&gt;0),"",IF($S290="Macro",COUNTIFS($S$5:$S290,"Macro",$P$5:$P290,$P290),IF(N($R290)=0,"?",COUNTIFS(INDEX($S$5:$S$1000,1):INDEX($S$5:$S$1000,$R290-4),"Macro",INDEX($P$5:$P$1000,1):INDEX($P$5:$P$1000,$R290-4),INDEX($P$5:$P$1000,$R290-4))&amp;"."&amp;COUNTIFS($R$5:$R290,$R290,$S$5:$S290,"Sub"))))</f>
        <v/>
      </c>
      <c r="B290" s="62" t="n"/>
      <c r="C290" s="63" t="n"/>
      <c r="D290" s="62" t="n"/>
      <c r="E290" s="64" t="n"/>
      <c r="F290" s="64" t="n"/>
      <c r="G290" s="65" t="n"/>
      <c r="H290" s="66" t="n"/>
      <c r="I290" s="66" t="n"/>
      <c r="J290" s="66" t="n"/>
      <c r="K290" s="66" t="n"/>
      <c r="L290" s="67">
        <f>IF(NOT((COUNTA($B290:$K290)+COUNTA($N290))&gt;0),"",IF(N($T290)&gt;0,$AB290,IFERROR(LOOKUP(2,1/(H290:K290&lt;&gt;""),H290:K290),0)))</f>
        <v/>
      </c>
      <c r="M290" s="61">
        <f>IF(L290="","",IF(L290&gt;=1,"Completado",IF(L290&gt;0,"En curso","Pendiente")))</f>
        <v/>
      </c>
      <c r="N290" s="62" t="n"/>
      <c r="O290" s="68">
        <f>IF(NOT((COUNTA($B290:$K290)+COUNTA($N290))&gt;0),"",IF((IF(AND($S290="Macro",$B290=""),"Macroactividad vacía"&amp;" · ","")&amp;IF(AND($B290&lt;&gt;"",$C290&lt;&gt;""),"Escriba la subactividad en otra fila, debajo de su macroactividad"&amp;" · ","")&amp;IF(AND($S290="Sub",N($R290)=0),"Subactividad sin macroactividad arriba"&amp;" · ","")&amp;IF($D290="","Sin responsable"&amp;" · ","")&amp;IF($E290="","Sin fecha de inicio"&amp;" · ","")&amp;IF($F290="","Sin fecha límite"&amp;" · ","")&amp;IF(OR(AND($E290&lt;&gt;"",NOT(ISNUMBER($E290))),AND($F290&lt;&gt;"",NOT(ISNUMBER($F290)))),"Fecha no válida"&amp;" · ","")&amp;IF(AND(ISNUMBER($E290),ISNUMBER($F290),$E290&gt;$F290),"Inicio posterior a fecha límite"&amp;" · ","")&amp;IF(AND($S290="Macro",$G290=""),"Peso vacío"&amp;" · ","")&amp;IF(AND($S290="Macro",$G290&lt;&gt;"",OR(NOT(ISNUMBER($G290)),$G290&lt;=0,$G290&gt;1)),"Peso fuera de rango"&amp;" · ","")&amp;IF(AND($S290="Sub",$G290&lt;&gt;""),"Las subactividades no llevan peso"&amp;" · ","")&amp;IF(AND($S290="Macro",ABS(SUMIFS($G$5:$G$1000,$P$5:$P$1000,$P290,$S$5:$S$1000,"Macro")-1)&gt;0.0001),"Pesos del mes suman "&amp;TEXT(SUMIFS($G$5:$G$1000,$P$5:$P$1000,$P290,$S$5:$S$1000,"Macro"),"0%")&amp;" · ","")&amp;IF(AND(N($T290)&gt;0,COUNT($H290:$K290)&gt;0),"Con subactividades: deje vacías las semanas (se calculan solas)"&amp;" · ","")&amp;IF((COUNTIF($H290:$K290,"&gt;1")+COUNTIF($H290:$K290,"&lt;0")+COUNTA($H290:$K290)-COUNT($H290:$K290))&gt;0,"Avance fuera de rango 0-100%"&amp;" · ","")&amp;IF(OR(AND($I290&lt;&gt;"",$I290&lt;$H290),AND($J290&lt;&gt;"",$J290&lt;MAX($H290:$I290)),AND($K290&lt;&gt;"",$K290&lt;MAX($H290:$J290))),"Avance semanal decreciente"&amp;" · ","")&amp;IF(AND(ISNUMBER($F290),$F290&lt;FechaRef,N($L290)&lt;1),"Vencida"&amp;" · ","")&amp;IF(AND(ObsObligatoria="Sí",ISNUMBER($F290),$F290&lt;FechaRef,N($L290)&lt;1,$N290=""),"Vencida sin observación"&amp;" · ",""))="","✔ OK","⚠ "&amp;LEFT(IF(AND($S290="Macro",$B290=""),"Macroactividad vacía"&amp;" · ","")&amp;IF(AND($B290&lt;&gt;"",$C290&lt;&gt;""),"Escriba la subactividad en otra fila, debajo de su macroactividad"&amp;" · ","")&amp;IF(AND($S290="Sub",N($R290)=0),"Subactividad sin macroactividad arriba"&amp;" · ","")&amp;IF($D290="","Sin responsable"&amp;" · ","")&amp;IF($E290="","Sin fecha de inicio"&amp;" · ","")&amp;IF($F290="","Sin fecha límite"&amp;" · ","")&amp;IF(OR(AND($E290&lt;&gt;"",NOT(ISNUMBER($E290))),AND($F290&lt;&gt;"",NOT(ISNUMBER($F290)))),"Fecha no válida"&amp;" · ","")&amp;IF(AND(ISNUMBER($E290),ISNUMBER($F290),$E290&gt;$F290),"Inicio posterior a fecha límite"&amp;" · ","")&amp;IF(AND($S290="Macro",$G290=""),"Peso vacío"&amp;" · ","")&amp;IF(AND($S290="Macro",$G290&lt;&gt;"",OR(NOT(ISNUMBER($G290)),$G290&lt;=0,$G290&gt;1)),"Peso fuera de rango"&amp;" · ","")&amp;IF(AND($S290="Sub",$G290&lt;&gt;""),"Las subactividades no llevan peso"&amp;" · ","")&amp;IF(AND($S290="Macro",ABS(SUMIFS($G$5:$G$1000,$P$5:$P$1000,$P290,$S$5:$S$1000,"Macro")-1)&gt;0.0001),"Pesos del mes suman "&amp;TEXT(SUMIFS($G$5:$G$1000,$P$5:$P$1000,$P290,$S$5:$S$1000,"Macro"),"0%")&amp;" · ","")&amp;IF(AND(N($T290)&gt;0,COUNT($H290:$K290)&gt;0),"Con subactividades: deje vacías las semanas (se calculan solas)"&amp;" · ","")&amp;IF((COUNTIF($H290:$K290,"&gt;1")+COUNTIF($H290:$K290,"&lt;0")+COUNTA($H290:$K290)-COUNT($H290:$K290))&gt;0,"Avance fuera de rango 0-100%"&amp;" · ","")&amp;IF(OR(AND($I290&lt;&gt;"",$I290&lt;$H290),AND($J290&lt;&gt;"",$J290&lt;MAX($H290:$I290)),AND($K290&lt;&gt;"",$K290&lt;MAX($H290:$J290))),"Avance semanal decreciente"&amp;" · ","")&amp;IF(AND(ISNUMBER($F290),$F290&lt;FechaRef,N($L290)&lt;1),"Vencida"&amp;" · ","")&amp;IF(AND(ObsObligatoria="Sí",ISNUMBER($F290),$F290&lt;FechaRef,N($L290)&lt;1,$N290=""),"Vencida sin observación"&amp;" · ",""),LEN(IF(AND($S290="Macro",$B290=""),"Macroactividad vacía"&amp;" · ","")&amp;IF(AND($B290&lt;&gt;"",$C290&lt;&gt;""),"Escriba la subactividad en otra fila, debajo de su macroactividad"&amp;" · ","")&amp;IF(AND($S290="Sub",N($R290)=0),"Subactividad sin macroactividad arriba"&amp;" · ","")&amp;IF($D290="","Sin responsable"&amp;" · ","")&amp;IF($E290="","Sin fecha de inicio"&amp;" · ","")&amp;IF($F290="","Sin fecha límite"&amp;" · ","")&amp;IF(OR(AND($E290&lt;&gt;"",NOT(ISNUMBER($E290))),AND($F290&lt;&gt;"",NOT(ISNUMBER($F290)))),"Fecha no válida"&amp;" · ","")&amp;IF(AND(ISNUMBER($E290),ISNUMBER($F290),$E290&gt;$F290),"Inicio posterior a fecha límite"&amp;" · ","")&amp;IF(AND($S290="Macro",$G290=""),"Peso vacío"&amp;" · ","")&amp;IF(AND($S290="Macro",$G290&lt;&gt;"",OR(NOT(ISNUMBER($G290)),$G290&lt;=0,$G290&gt;1)),"Peso fuera de rango"&amp;" · ","")&amp;IF(AND($S290="Sub",$G290&lt;&gt;""),"Las subactividades no llevan peso"&amp;" · ","")&amp;IF(AND($S290="Macro",ABS(SUMIFS($G$5:$G$1000,$P$5:$P$1000,$P290,$S$5:$S$1000,"Macro")-1)&gt;0.0001),"Pesos del mes suman "&amp;TEXT(SUMIFS($G$5:$G$1000,$P$5:$P$1000,$P290,$S$5:$S$1000,"Macro"),"0%")&amp;" · ","")&amp;IF(AND(N($T290)&gt;0,COUNT($H290:$K290)&gt;0),"Con subactividades: deje vacías las semanas (se calculan solas)"&amp;" · ","")&amp;IF((COUNTIF($H290:$K290,"&gt;1")+COUNTIF($H290:$K290,"&lt;0")+COUNTA($H290:$K290)-COUNT($H290:$K290))&gt;0,"Avance fuera de rango 0-100%"&amp;" · ","")&amp;IF(OR(AND($I290&lt;&gt;"",$I290&lt;$H290),AND($J290&lt;&gt;"",$J290&lt;MAX($H290:$I290)),AND($K290&lt;&gt;"",$K290&lt;MAX($H290:$J290))),"Avance semanal decreciente"&amp;" · ","")&amp;IF(AND(ISNUMBER($F290),$F290&lt;FechaRef,N($L290)&lt;1),"Vencida"&amp;" · ","")&amp;IF(AND(ObsObligatoria="Sí",ISNUMBER($F290),$F290&lt;FechaRef,N($L290)&lt;1,$N290=""),"Vencida sin observación"&amp;" · ",""))-3)))</f>
        <v/>
      </c>
      <c r="P290" s="69">
        <f>IF(NOT((COUNTA($B290:$K290)+COUNTA($N290))&gt;0),"",IF(AND($S290="Sub",N($R290)&gt;0),IF(ISNUMBER(INDEX($E$5:$E$1000,$R290-4)),DATE(YEAR(INDEX($E$5:$E$1000,$R290-4)),MONTH(INDEX($E$5:$E$1000,$R290-4)),1),IF(ISNUMBER(INDEX($F$5:$F$1000,$R290-4)),DATE(YEAR(INDEX($F$5:$F$1000,$R290-4)),MONTH(INDEX($F$5:$F$1000,$R290-4)),1),MesCiclo)),IF(ISNUMBER($E290),DATE(YEAR($E290),MONTH($E290),1),IF(ISNUMBER($F290),DATE(YEAR($F290),MONTH($F290),1),MesCiclo))))</f>
        <v/>
      </c>
      <c r="Q290" s="70">
        <f>IF(OR($P290="",$P290&lt;&gt;MesCiclo),"",COUNTIF($P$5:$P290,MesCiclo))</f>
        <v/>
      </c>
      <c r="R290" s="70">
        <f>IF($S290="","",IF($S290="Macro",ROW(),IFERROR(LOOKUP(2,1/($S$5:$S290="Macro"),ROW($S$5:$S290)),0)))</f>
        <v/>
      </c>
      <c r="S290" s="70">
        <f>IF(NOT((COUNTA($B290:$K290)+COUNTA($N290))&gt;0),"",IF($B290&lt;&gt;"","Macro",IF($C290&lt;&gt;"","Sub","Macro")))</f>
        <v/>
      </c>
      <c r="T290" s="70">
        <f>IF($S290="Macro",COUNTIFS($R$5:$R$1000,ROW(),$S$5:$S$1000,"Sub"),"")</f>
        <v/>
      </c>
      <c r="U290" s="70">
        <f>IF($S290="","",IF(ISNUMBER($H290),$H290,0))</f>
        <v/>
      </c>
      <c r="V290" s="70">
        <f>IF($S290="","",IF(ISNUMBER($I290),$I290,$U290))</f>
        <v/>
      </c>
      <c r="W290" s="70">
        <f>IF($S290="","",IF(ISNUMBER($J290),$J290,$V290))</f>
        <v/>
      </c>
      <c r="X290" s="70">
        <f>IF($S290="","",IF(ISNUMBER($K290),$K290,$W290))</f>
        <v/>
      </c>
      <c r="Y290" s="70">
        <f>IF($S290="","",IF(N($T290)&gt;0,AVERAGEIFS($U$5:$U$1000,$R$5:$R$1000,ROW(),$S$5:$S$1000,"Sub"),$U290))</f>
        <v/>
      </c>
      <c r="Z290" s="70">
        <f>IF($S290="","",IF(N($T290)&gt;0,AVERAGEIFS($V$5:$V$1000,$R$5:$R$1000,ROW(),$S$5:$S$1000,"Sub"),$V290))</f>
        <v/>
      </c>
      <c r="AA290" s="70">
        <f>IF($S290="","",IF(N($T290)&gt;0,AVERAGEIFS($W$5:$W$1000,$R$5:$R$1000,ROW(),$S$5:$S$1000,"Sub"),$W290))</f>
        <v/>
      </c>
      <c r="AB290" s="70">
        <f>IF($S290="","",IF(N($T290)&gt;0,AVERAGEIFS($X$5:$X$1000,$R$5:$R$1000,ROW(),$S$5:$S$1000,"Sub"),$X290))</f>
        <v/>
      </c>
    </row>
    <row r="291">
      <c r="A291" s="61">
        <f>IF(NOT((COUNTA($B291:$K291)+COUNTA($N291))&gt;0),"",IF($S291="Macro",COUNTIFS($S$5:$S291,"Macro",$P$5:$P291,$P291),IF(N($R291)=0,"?",COUNTIFS(INDEX($S$5:$S$1000,1):INDEX($S$5:$S$1000,$R291-4),"Macro",INDEX($P$5:$P$1000,1):INDEX($P$5:$P$1000,$R291-4),INDEX($P$5:$P$1000,$R291-4))&amp;"."&amp;COUNTIFS($R$5:$R291,$R291,$S$5:$S291,"Sub"))))</f>
        <v/>
      </c>
      <c r="B291" s="62" t="n"/>
      <c r="C291" s="63" t="n"/>
      <c r="D291" s="62" t="n"/>
      <c r="E291" s="64" t="n"/>
      <c r="F291" s="64" t="n"/>
      <c r="G291" s="65" t="n"/>
      <c r="H291" s="66" t="n"/>
      <c r="I291" s="66" t="n"/>
      <c r="J291" s="66" t="n"/>
      <c r="K291" s="66" t="n"/>
      <c r="L291" s="67">
        <f>IF(NOT((COUNTA($B291:$K291)+COUNTA($N291))&gt;0),"",IF(N($T291)&gt;0,$AB291,IFERROR(LOOKUP(2,1/(H291:K291&lt;&gt;""),H291:K291),0)))</f>
        <v/>
      </c>
      <c r="M291" s="61">
        <f>IF(L291="","",IF(L291&gt;=1,"Completado",IF(L291&gt;0,"En curso","Pendiente")))</f>
        <v/>
      </c>
      <c r="N291" s="62" t="n"/>
      <c r="O291" s="68">
        <f>IF(NOT((COUNTA($B291:$K291)+COUNTA($N291))&gt;0),"",IF((IF(AND($S291="Macro",$B291=""),"Macroactividad vacía"&amp;" · ","")&amp;IF(AND($B291&lt;&gt;"",$C291&lt;&gt;""),"Escriba la subactividad en otra fila, debajo de su macroactividad"&amp;" · ","")&amp;IF(AND($S291="Sub",N($R291)=0),"Subactividad sin macroactividad arriba"&amp;" · ","")&amp;IF($D291="","Sin responsable"&amp;" · ","")&amp;IF($E291="","Sin fecha de inicio"&amp;" · ","")&amp;IF($F291="","Sin fecha límite"&amp;" · ","")&amp;IF(OR(AND($E291&lt;&gt;"",NOT(ISNUMBER($E291))),AND($F291&lt;&gt;"",NOT(ISNUMBER($F291)))),"Fecha no válida"&amp;" · ","")&amp;IF(AND(ISNUMBER($E291),ISNUMBER($F291),$E291&gt;$F291),"Inicio posterior a fecha límite"&amp;" · ","")&amp;IF(AND($S291="Macro",$G291=""),"Peso vacío"&amp;" · ","")&amp;IF(AND($S291="Macro",$G291&lt;&gt;"",OR(NOT(ISNUMBER($G291)),$G291&lt;=0,$G291&gt;1)),"Peso fuera de rango"&amp;" · ","")&amp;IF(AND($S291="Sub",$G291&lt;&gt;""),"Las subactividades no llevan peso"&amp;" · ","")&amp;IF(AND($S291="Macro",ABS(SUMIFS($G$5:$G$1000,$P$5:$P$1000,$P291,$S$5:$S$1000,"Macro")-1)&gt;0.0001),"Pesos del mes suman "&amp;TEXT(SUMIFS($G$5:$G$1000,$P$5:$P$1000,$P291,$S$5:$S$1000,"Macro"),"0%")&amp;" · ","")&amp;IF(AND(N($T291)&gt;0,COUNT($H291:$K291)&gt;0),"Con subactividades: deje vacías las semanas (se calculan solas)"&amp;" · ","")&amp;IF((COUNTIF($H291:$K291,"&gt;1")+COUNTIF($H291:$K291,"&lt;0")+COUNTA($H291:$K291)-COUNT($H291:$K291))&gt;0,"Avance fuera de rango 0-100%"&amp;" · ","")&amp;IF(OR(AND($I291&lt;&gt;"",$I291&lt;$H291),AND($J291&lt;&gt;"",$J291&lt;MAX($H291:$I291)),AND($K291&lt;&gt;"",$K291&lt;MAX($H291:$J291))),"Avance semanal decreciente"&amp;" · ","")&amp;IF(AND(ISNUMBER($F291),$F291&lt;FechaRef,N($L291)&lt;1),"Vencida"&amp;" · ","")&amp;IF(AND(ObsObligatoria="Sí",ISNUMBER($F291),$F291&lt;FechaRef,N($L291)&lt;1,$N291=""),"Vencida sin observación"&amp;" · ",""))="","✔ OK","⚠ "&amp;LEFT(IF(AND($S291="Macro",$B291=""),"Macroactividad vacía"&amp;" · ","")&amp;IF(AND($B291&lt;&gt;"",$C291&lt;&gt;""),"Escriba la subactividad en otra fila, debajo de su macroactividad"&amp;" · ","")&amp;IF(AND($S291="Sub",N($R291)=0),"Subactividad sin macroactividad arriba"&amp;" · ","")&amp;IF($D291="","Sin responsable"&amp;" · ","")&amp;IF($E291="","Sin fecha de inicio"&amp;" · ","")&amp;IF($F291="","Sin fecha límite"&amp;" · ","")&amp;IF(OR(AND($E291&lt;&gt;"",NOT(ISNUMBER($E291))),AND($F291&lt;&gt;"",NOT(ISNUMBER($F291)))),"Fecha no válida"&amp;" · ","")&amp;IF(AND(ISNUMBER($E291),ISNUMBER($F291),$E291&gt;$F291),"Inicio posterior a fecha límite"&amp;" · ","")&amp;IF(AND($S291="Macro",$G291=""),"Peso vacío"&amp;" · ","")&amp;IF(AND($S291="Macro",$G291&lt;&gt;"",OR(NOT(ISNUMBER($G291)),$G291&lt;=0,$G291&gt;1)),"Peso fuera de rango"&amp;" · ","")&amp;IF(AND($S291="Sub",$G291&lt;&gt;""),"Las subactividades no llevan peso"&amp;" · ","")&amp;IF(AND($S291="Macro",ABS(SUMIFS($G$5:$G$1000,$P$5:$P$1000,$P291,$S$5:$S$1000,"Macro")-1)&gt;0.0001),"Pesos del mes suman "&amp;TEXT(SUMIFS($G$5:$G$1000,$P$5:$P$1000,$P291,$S$5:$S$1000,"Macro"),"0%")&amp;" · ","")&amp;IF(AND(N($T291)&gt;0,COUNT($H291:$K291)&gt;0),"Con subactividades: deje vacías las semanas (se calculan solas)"&amp;" · ","")&amp;IF((COUNTIF($H291:$K291,"&gt;1")+COUNTIF($H291:$K291,"&lt;0")+COUNTA($H291:$K291)-COUNT($H291:$K291))&gt;0,"Avance fuera de rango 0-100%"&amp;" · ","")&amp;IF(OR(AND($I291&lt;&gt;"",$I291&lt;$H291),AND($J291&lt;&gt;"",$J291&lt;MAX($H291:$I291)),AND($K291&lt;&gt;"",$K291&lt;MAX($H291:$J291))),"Avance semanal decreciente"&amp;" · ","")&amp;IF(AND(ISNUMBER($F291),$F291&lt;FechaRef,N($L291)&lt;1),"Vencida"&amp;" · ","")&amp;IF(AND(ObsObligatoria="Sí",ISNUMBER($F291),$F291&lt;FechaRef,N($L291)&lt;1,$N291=""),"Vencida sin observación"&amp;" · ",""),LEN(IF(AND($S291="Macro",$B291=""),"Macroactividad vacía"&amp;" · ","")&amp;IF(AND($B291&lt;&gt;"",$C291&lt;&gt;""),"Escriba la subactividad en otra fila, debajo de su macroactividad"&amp;" · ","")&amp;IF(AND($S291="Sub",N($R291)=0),"Subactividad sin macroactividad arriba"&amp;" · ","")&amp;IF($D291="","Sin responsable"&amp;" · ","")&amp;IF($E291="","Sin fecha de inicio"&amp;" · ","")&amp;IF($F291="","Sin fecha límite"&amp;" · ","")&amp;IF(OR(AND($E291&lt;&gt;"",NOT(ISNUMBER($E291))),AND($F291&lt;&gt;"",NOT(ISNUMBER($F291)))),"Fecha no válida"&amp;" · ","")&amp;IF(AND(ISNUMBER($E291),ISNUMBER($F291),$E291&gt;$F291),"Inicio posterior a fecha límite"&amp;" · ","")&amp;IF(AND($S291="Macro",$G291=""),"Peso vacío"&amp;" · ","")&amp;IF(AND($S291="Macro",$G291&lt;&gt;"",OR(NOT(ISNUMBER($G291)),$G291&lt;=0,$G291&gt;1)),"Peso fuera de rango"&amp;" · ","")&amp;IF(AND($S291="Sub",$G291&lt;&gt;""),"Las subactividades no llevan peso"&amp;" · ","")&amp;IF(AND($S291="Macro",ABS(SUMIFS($G$5:$G$1000,$P$5:$P$1000,$P291,$S$5:$S$1000,"Macro")-1)&gt;0.0001),"Pesos del mes suman "&amp;TEXT(SUMIFS($G$5:$G$1000,$P$5:$P$1000,$P291,$S$5:$S$1000,"Macro"),"0%")&amp;" · ","")&amp;IF(AND(N($T291)&gt;0,COUNT($H291:$K291)&gt;0),"Con subactividades: deje vacías las semanas (se calculan solas)"&amp;" · ","")&amp;IF((COUNTIF($H291:$K291,"&gt;1")+COUNTIF($H291:$K291,"&lt;0")+COUNTA($H291:$K291)-COUNT($H291:$K291))&gt;0,"Avance fuera de rango 0-100%"&amp;" · ","")&amp;IF(OR(AND($I291&lt;&gt;"",$I291&lt;$H291),AND($J291&lt;&gt;"",$J291&lt;MAX($H291:$I291)),AND($K291&lt;&gt;"",$K291&lt;MAX($H291:$J291))),"Avance semanal decreciente"&amp;" · ","")&amp;IF(AND(ISNUMBER($F291),$F291&lt;FechaRef,N($L291)&lt;1),"Vencida"&amp;" · ","")&amp;IF(AND(ObsObligatoria="Sí",ISNUMBER($F291),$F291&lt;FechaRef,N($L291)&lt;1,$N291=""),"Vencida sin observación"&amp;" · ",""))-3)))</f>
        <v/>
      </c>
      <c r="P291" s="69">
        <f>IF(NOT((COUNTA($B291:$K291)+COUNTA($N291))&gt;0),"",IF(AND($S291="Sub",N($R291)&gt;0),IF(ISNUMBER(INDEX($E$5:$E$1000,$R291-4)),DATE(YEAR(INDEX($E$5:$E$1000,$R291-4)),MONTH(INDEX($E$5:$E$1000,$R291-4)),1),IF(ISNUMBER(INDEX($F$5:$F$1000,$R291-4)),DATE(YEAR(INDEX($F$5:$F$1000,$R291-4)),MONTH(INDEX($F$5:$F$1000,$R291-4)),1),MesCiclo)),IF(ISNUMBER($E291),DATE(YEAR($E291),MONTH($E291),1),IF(ISNUMBER($F291),DATE(YEAR($F291),MONTH($F291),1),MesCiclo))))</f>
        <v/>
      </c>
      <c r="Q291" s="70">
        <f>IF(OR($P291="",$P291&lt;&gt;MesCiclo),"",COUNTIF($P$5:$P291,MesCiclo))</f>
        <v/>
      </c>
      <c r="R291" s="70">
        <f>IF($S291="","",IF($S291="Macro",ROW(),IFERROR(LOOKUP(2,1/($S$5:$S291="Macro"),ROW($S$5:$S291)),0)))</f>
        <v/>
      </c>
      <c r="S291" s="70">
        <f>IF(NOT((COUNTA($B291:$K291)+COUNTA($N291))&gt;0),"",IF($B291&lt;&gt;"","Macro",IF($C291&lt;&gt;"","Sub","Macro")))</f>
        <v/>
      </c>
      <c r="T291" s="70">
        <f>IF($S291="Macro",COUNTIFS($R$5:$R$1000,ROW(),$S$5:$S$1000,"Sub"),"")</f>
        <v/>
      </c>
      <c r="U291" s="70">
        <f>IF($S291="","",IF(ISNUMBER($H291),$H291,0))</f>
        <v/>
      </c>
      <c r="V291" s="70">
        <f>IF($S291="","",IF(ISNUMBER($I291),$I291,$U291))</f>
        <v/>
      </c>
      <c r="W291" s="70">
        <f>IF($S291="","",IF(ISNUMBER($J291),$J291,$V291))</f>
        <v/>
      </c>
      <c r="X291" s="70">
        <f>IF($S291="","",IF(ISNUMBER($K291),$K291,$W291))</f>
        <v/>
      </c>
      <c r="Y291" s="70">
        <f>IF($S291="","",IF(N($T291)&gt;0,AVERAGEIFS($U$5:$U$1000,$R$5:$R$1000,ROW(),$S$5:$S$1000,"Sub"),$U291))</f>
        <v/>
      </c>
      <c r="Z291" s="70">
        <f>IF($S291="","",IF(N($T291)&gt;0,AVERAGEIFS($V$5:$V$1000,$R$5:$R$1000,ROW(),$S$5:$S$1000,"Sub"),$V291))</f>
        <v/>
      </c>
      <c r="AA291" s="70">
        <f>IF($S291="","",IF(N($T291)&gt;0,AVERAGEIFS($W$5:$W$1000,$R$5:$R$1000,ROW(),$S$5:$S$1000,"Sub"),$W291))</f>
        <v/>
      </c>
      <c r="AB291" s="70">
        <f>IF($S291="","",IF(N($T291)&gt;0,AVERAGEIFS($X$5:$X$1000,$R$5:$R$1000,ROW(),$S$5:$S$1000,"Sub"),$X291))</f>
        <v/>
      </c>
    </row>
    <row r="292">
      <c r="A292" s="61">
        <f>IF(NOT((COUNTA($B292:$K292)+COUNTA($N292))&gt;0),"",IF($S292="Macro",COUNTIFS($S$5:$S292,"Macro",$P$5:$P292,$P292),IF(N($R292)=0,"?",COUNTIFS(INDEX($S$5:$S$1000,1):INDEX($S$5:$S$1000,$R292-4),"Macro",INDEX($P$5:$P$1000,1):INDEX($P$5:$P$1000,$R292-4),INDEX($P$5:$P$1000,$R292-4))&amp;"."&amp;COUNTIFS($R$5:$R292,$R292,$S$5:$S292,"Sub"))))</f>
        <v/>
      </c>
      <c r="B292" s="62" t="n"/>
      <c r="C292" s="63" t="n"/>
      <c r="D292" s="62" t="n"/>
      <c r="E292" s="64" t="n"/>
      <c r="F292" s="64" t="n"/>
      <c r="G292" s="65" t="n"/>
      <c r="H292" s="66" t="n"/>
      <c r="I292" s="66" t="n"/>
      <c r="J292" s="66" t="n"/>
      <c r="K292" s="66" t="n"/>
      <c r="L292" s="67">
        <f>IF(NOT((COUNTA($B292:$K292)+COUNTA($N292))&gt;0),"",IF(N($T292)&gt;0,$AB292,IFERROR(LOOKUP(2,1/(H292:K292&lt;&gt;""),H292:K292),0)))</f>
        <v/>
      </c>
      <c r="M292" s="61">
        <f>IF(L292="","",IF(L292&gt;=1,"Completado",IF(L292&gt;0,"En curso","Pendiente")))</f>
        <v/>
      </c>
      <c r="N292" s="62" t="n"/>
      <c r="O292" s="68">
        <f>IF(NOT((COUNTA($B292:$K292)+COUNTA($N292))&gt;0),"",IF((IF(AND($S292="Macro",$B292=""),"Macroactividad vacía"&amp;" · ","")&amp;IF(AND($B292&lt;&gt;"",$C292&lt;&gt;""),"Escriba la subactividad en otra fila, debajo de su macroactividad"&amp;" · ","")&amp;IF(AND($S292="Sub",N($R292)=0),"Subactividad sin macroactividad arriba"&amp;" · ","")&amp;IF($D292="","Sin responsable"&amp;" · ","")&amp;IF($E292="","Sin fecha de inicio"&amp;" · ","")&amp;IF($F292="","Sin fecha límite"&amp;" · ","")&amp;IF(OR(AND($E292&lt;&gt;"",NOT(ISNUMBER($E292))),AND($F292&lt;&gt;"",NOT(ISNUMBER($F292)))),"Fecha no válida"&amp;" · ","")&amp;IF(AND(ISNUMBER($E292),ISNUMBER($F292),$E292&gt;$F292),"Inicio posterior a fecha límite"&amp;" · ","")&amp;IF(AND($S292="Macro",$G292=""),"Peso vacío"&amp;" · ","")&amp;IF(AND($S292="Macro",$G292&lt;&gt;"",OR(NOT(ISNUMBER($G292)),$G292&lt;=0,$G292&gt;1)),"Peso fuera de rango"&amp;" · ","")&amp;IF(AND($S292="Sub",$G292&lt;&gt;""),"Las subactividades no llevan peso"&amp;" · ","")&amp;IF(AND($S292="Macro",ABS(SUMIFS($G$5:$G$1000,$P$5:$P$1000,$P292,$S$5:$S$1000,"Macro")-1)&gt;0.0001),"Pesos del mes suman "&amp;TEXT(SUMIFS($G$5:$G$1000,$P$5:$P$1000,$P292,$S$5:$S$1000,"Macro"),"0%")&amp;" · ","")&amp;IF(AND(N($T292)&gt;0,COUNT($H292:$K292)&gt;0),"Con subactividades: deje vacías las semanas (se calculan solas)"&amp;" · ","")&amp;IF((COUNTIF($H292:$K292,"&gt;1")+COUNTIF($H292:$K292,"&lt;0")+COUNTA($H292:$K292)-COUNT($H292:$K292))&gt;0,"Avance fuera de rango 0-100%"&amp;" · ","")&amp;IF(OR(AND($I292&lt;&gt;"",$I292&lt;$H292),AND($J292&lt;&gt;"",$J292&lt;MAX($H292:$I292)),AND($K292&lt;&gt;"",$K292&lt;MAX($H292:$J292))),"Avance semanal decreciente"&amp;" · ","")&amp;IF(AND(ISNUMBER($F292),$F292&lt;FechaRef,N($L292)&lt;1),"Vencida"&amp;" · ","")&amp;IF(AND(ObsObligatoria="Sí",ISNUMBER($F292),$F292&lt;FechaRef,N($L292)&lt;1,$N292=""),"Vencida sin observación"&amp;" · ",""))="","✔ OK","⚠ "&amp;LEFT(IF(AND($S292="Macro",$B292=""),"Macroactividad vacía"&amp;" · ","")&amp;IF(AND($B292&lt;&gt;"",$C292&lt;&gt;""),"Escriba la subactividad en otra fila, debajo de su macroactividad"&amp;" · ","")&amp;IF(AND($S292="Sub",N($R292)=0),"Subactividad sin macroactividad arriba"&amp;" · ","")&amp;IF($D292="","Sin responsable"&amp;" · ","")&amp;IF($E292="","Sin fecha de inicio"&amp;" · ","")&amp;IF($F292="","Sin fecha límite"&amp;" · ","")&amp;IF(OR(AND($E292&lt;&gt;"",NOT(ISNUMBER($E292))),AND($F292&lt;&gt;"",NOT(ISNUMBER($F292)))),"Fecha no válida"&amp;" · ","")&amp;IF(AND(ISNUMBER($E292),ISNUMBER($F292),$E292&gt;$F292),"Inicio posterior a fecha límite"&amp;" · ","")&amp;IF(AND($S292="Macro",$G292=""),"Peso vacío"&amp;" · ","")&amp;IF(AND($S292="Macro",$G292&lt;&gt;"",OR(NOT(ISNUMBER($G292)),$G292&lt;=0,$G292&gt;1)),"Peso fuera de rango"&amp;" · ","")&amp;IF(AND($S292="Sub",$G292&lt;&gt;""),"Las subactividades no llevan peso"&amp;" · ","")&amp;IF(AND($S292="Macro",ABS(SUMIFS($G$5:$G$1000,$P$5:$P$1000,$P292,$S$5:$S$1000,"Macro")-1)&gt;0.0001),"Pesos del mes suman "&amp;TEXT(SUMIFS($G$5:$G$1000,$P$5:$P$1000,$P292,$S$5:$S$1000,"Macro"),"0%")&amp;" · ","")&amp;IF(AND(N($T292)&gt;0,COUNT($H292:$K292)&gt;0),"Con subactividades: deje vacías las semanas (se calculan solas)"&amp;" · ","")&amp;IF((COUNTIF($H292:$K292,"&gt;1")+COUNTIF($H292:$K292,"&lt;0")+COUNTA($H292:$K292)-COUNT($H292:$K292))&gt;0,"Avance fuera de rango 0-100%"&amp;" · ","")&amp;IF(OR(AND($I292&lt;&gt;"",$I292&lt;$H292),AND($J292&lt;&gt;"",$J292&lt;MAX($H292:$I292)),AND($K292&lt;&gt;"",$K292&lt;MAX($H292:$J292))),"Avance semanal decreciente"&amp;" · ","")&amp;IF(AND(ISNUMBER($F292),$F292&lt;FechaRef,N($L292)&lt;1),"Vencida"&amp;" · ","")&amp;IF(AND(ObsObligatoria="Sí",ISNUMBER($F292),$F292&lt;FechaRef,N($L292)&lt;1,$N292=""),"Vencida sin observación"&amp;" · ",""),LEN(IF(AND($S292="Macro",$B292=""),"Macroactividad vacía"&amp;" · ","")&amp;IF(AND($B292&lt;&gt;"",$C292&lt;&gt;""),"Escriba la subactividad en otra fila, debajo de su macroactividad"&amp;" · ","")&amp;IF(AND($S292="Sub",N($R292)=0),"Subactividad sin macroactividad arriba"&amp;" · ","")&amp;IF($D292="","Sin responsable"&amp;" · ","")&amp;IF($E292="","Sin fecha de inicio"&amp;" · ","")&amp;IF($F292="","Sin fecha límite"&amp;" · ","")&amp;IF(OR(AND($E292&lt;&gt;"",NOT(ISNUMBER($E292))),AND($F292&lt;&gt;"",NOT(ISNUMBER($F292)))),"Fecha no válida"&amp;" · ","")&amp;IF(AND(ISNUMBER($E292),ISNUMBER($F292),$E292&gt;$F292),"Inicio posterior a fecha límite"&amp;" · ","")&amp;IF(AND($S292="Macro",$G292=""),"Peso vacío"&amp;" · ","")&amp;IF(AND($S292="Macro",$G292&lt;&gt;"",OR(NOT(ISNUMBER($G292)),$G292&lt;=0,$G292&gt;1)),"Peso fuera de rango"&amp;" · ","")&amp;IF(AND($S292="Sub",$G292&lt;&gt;""),"Las subactividades no llevan peso"&amp;" · ","")&amp;IF(AND($S292="Macro",ABS(SUMIFS($G$5:$G$1000,$P$5:$P$1000,$P292,$S$5:$S$1000,"Macro")-1)&gt;0.0001),"Pesos del mes suman "&amp;TEXT(SUMIFS($G$5:$G$1000,$P$5:$P$1000,$P292,$S$5:$S$1000,"Macro"),"0%")&amp;" · ","")&amp;IF(AND(N($T292)&gt;0,COUNT($H292:$K292)&gt;0),"Con subactividades: deje vacías las semanas (se calculan solas)"&amp;" · ","")&amp;IF((COUNTIF($H292:$K292,"&gt;1")+COUNTIF($H292:$K292,"&lt;0")+COUNTA($H292:$K292)-COUNT($H292:$K292))&gt;0,"Avance fuera de rango 0-100%"&amp;" · ","")&amp;IF(OR(AND($I292&lt;&gt;"",$I292&lt;$H292),AND($J292&lt;&gt;"",$J292&lt;MAX($H292:$I292)),AND($K292&lt;&gt;"",$K292&lt;MAX($H292:$J292))),"Avance semanal decreciente"&amp;" · ","")&amp;IF(AND(ISNUMBER($F292),$F292&lt;FechaRef,N($L292)&lt;1),"Vencida"&amp;" · ","")&amp;IF(AND(ObsObligatoria="Sí",ISNUMBER($F292),$F292&lt;FechaRef,N($L292)&lt;1,$N292=""),"Vencida sin observación"&amp;" · ",""))-3)))</f>
        <v/>
      </c>
      <c r="P292" s="69">
        <f>IF(NOT((COUNTA($B292:$K292)+COUNTA($N292))&gt;0),"",IF(AND($S292="Sub",N($R292)&gt;0),IF(ISNUMBER(INDEX($E$5:$E$1000,$R292-4)),DATE(YEAR(INDEX($E$5:$E$1000,$R292-4)),MONTH(INDEX($E$5:$E$1000,$R292-4)),1),IF(ISNUMBER(INDEX($F$5:$F$1000,$R292-4)),DATE(YEAR(INDEX($F$5:$F$1000,$R292-4)),MONTH(INDEX($F$5:$F$1000,$R292-4)),1),MesCiclo)),IF(ISNUMBER($E292),DATE(YEAR($E292),MONTH($E292),1),IF(ISNUMBER($F292),DATE(YEAR($F292),MONTH($F292),1),MesCiclo))))</f>
        <v/>
      </c>
      <c r="Q292" s="70">
        <f>IF(OR($P292="",$P292&lt;&gt;MesCiclo),"",COUNTIF($P$5:$P292,MesCiclo))</f>
        <v/>
      </c>
      <c r="R292" s="70">
        <f>IF($S292="","",IF($S292="Macro",ROW(),IFERROR(LOOKUP(2,1/($S$5:$S292="Macro"),ROW($S$5:$S292)),0)))</f>
        <v/>
      </c>
      <c r="S292" s="70">
        <f>IF(NOT((COUNTA($B292:$K292)+COUNTA($N292))&gt;0),"",IF($B292&lt;&gt;"","Macro",IF($C292&lt;&gt;"","Sub","Macro")))</f>
        <v/>
      </c>
      <c r="T292" s="70">
        <f>IF($S292="Macro",COUNTIFS($R$5:$R$1000,ROW(),$S$5:$S$1000,"Sub"),"")</f>
        <v/>
      </c>
      <c r="U292" s="70">
        <f>IF($S292="","",IF(ISNUMBER($H292),$H292,0))</f>
        <v/>
      </c>
      <c r="V292" s="70">
        <f>IF($S292="","",IF(ISNUMBER($I292),$I292,$U292))</f>
        <v/>
      </c>
      <c r="W292" s="70">
        <f>IF($S292="","",IF(ISNUMBER($J292),$J292,$V292))</f>
        <v/>
      </c>
      <c r="X292" s="70">
        <f>IF($S292="","",IF(ISNUMBER($K292),$K292,$W292))</f>
        <v/>
      </c>
      <c r="Y292" s="70">
        <f>IF($S292="","",IF(N($T292)&gt;0,AVERAGEIFS($U$5:$U$1000,$R$5:$R$1000,ROW(),$S$5:$S$1000,"Sub"),$U292))</f>
        <v/>
      </c>
      <c r="Z292" s="70">
        <f>IF($S292="","",IF(N($T292)&gt;0,AVERAGEIFS($V$5:$V$1000,$R$5:$R$1000,ROW(),$S$5:$S$1000,"Sub"),$V292))</f>
        <v/>
      </c>
      <c r="AA292" s="70">
        <f>IF($S292="","",IF(N($T292)&gt;0,AVERAGEIFS($W$5:$W$1000,$R$5:$R$1000,ROW(),$S$5:$S$1000,"Sub"),$W292))</f>
        <v/>
      </c>
      <c r="AB292" s="70">
        <f>IF($S292="","",IF(N($T292)&gt;0,AVERAGEIFS($X$5:$X$1000,$R$5:$R$1000,ROW(),$S$5:$S$1000,"Sub"),$X292))</f>
        <v/>
      </c>
    </row>
    <row r="293">
      <c r="A293" s="61">
        <f>IF(NOT((COUNTA($B293:$K293)+COUNTA($N293))&gt;0),"",IF($S293="Macro",COUNTIFS($S$5:$S293,"Macro",$P$5:$P293,$P293),IF(N($R293)=0,"?",COUNTIFS(INDEX($S$5:$S$1000,1):INDEX($S$5:$S$1000,$R293-4),"Macro",INDEX($P$5:$P$1000,1):INDEX($P$5:$P$1000,$R293-4),INDEX($P$5:$P$1000,$R293-4))&amp;"."&amp;COUNTIFS($R$5:$R293,$R293,$S$5:$S293,"Sub"))))</f>
        <v/>
      </c>
      <c r="B293" s="62" t="n"/>
      <c r="C293" s="63" t="n"/>
      <c r="D293" s="62" t="n"/>
      <c r="E293" s="64" t="n"/>
      <c r="F293" s="64" t="n"/>
      <c r="G293" s="65" t="n"/>
      <c r="H293" s="66" t="n"/>
      <c r="I293" s="66" t="n"/>
      <c r="J293" s="66" t="n"/>
      <c r="K293" s="66" t="n"/>
      <c r="L293" s="67">
        <f>IF(NOT((COUNTA($B293:$K293)+COUNTA($N293))&gt;0),"",IF(N($T293)&gt;0,$AB293,IFERROR(LOOKUP(2,1/(H293:K293&lt;&gt;""),H293:K293),0)))</f>
        <v/>
      </c>
      <c r="M293" s="61">
        <f>IF(L293="","",IF(L293&gt;=1,"Completado",IF(L293&gt;0,"En curso","Pendiente")))</f>
        <v/>
      </c>
      <c r="N293" s="62" t="n"/>
      <c r="O293" s="68">
        <f>IF(NOT((COUNTA($B293:$K293)+COUNTA($N293))&gt;0),"",IF((IF(AND($S293="Macro",$B293=""),"Macroactividad vacía"&amp;" · ","")&amp;IF(AND($B293&lt;&gt;"",$C293&lt;&gt;""),"Escriba la subactividad en otra fila, debajo de su macroactividad"&amp;" · ","")&amp;IF(AND($S293="Sub",N($R293)=0),"Subactividad sin macroactividad arriba"&amp;" · ","")&amp;IF($D293="","Sin responsable"&amp;" · ","")&amp;IF($E293="","Sin fecha de inicio"&amp;" · ","")&amp;IF($F293="","Sin fecha límite"&amp;" · ","")&amp;IF(OR(AND($E293&lt;&gt;"",NOT(ISNUMBER($E293))),AND($F293&lt;&gt;"",NOT(ISNUMBER($F293)))),"Fecha no válida"&amp;" · ","")&amp;IF(AND(ISNUMBER($E293),ISNUMBER($F293),$E293&gt;$F293),"Inicio posterior a fecha límite"&amp;" · ","")&amp;IF(AND($S293="Macro",$G293=""),"Peso vacío"&amp;" · ","")&amp;IF(AND($S293="Macro",$G293&lt;&gt;"",OR(NOT(ISNUMBER($G293)),$G293&lt;=0,$G293&gt;1)),"Peso fuera de rango"&amp;" · ","")&amp;IF(AND($S293="Sub",$G293&lt;&gt;""),"Las subactividades no llevan peso"&amp;" · ","")&amp;IF(AND($S293="Macro",ABS(SUMIFS($G$5:$G$1000,$P$5:$P$1000,$P293,$S$5:$S$1000,"Macro")-1)&gt;0.0001),"Pesos del mes suman "&amp;TEXT(SUMIFS($G$5:$G$1000,$P$5:$P$1000,$P293,$S$5:$S$1000,"Macro"),"0%")&amp;" · ","")&amp;IF(AND(N($T293)&gt;0,COUNT($H293:$K293)&gt;0),"Con subactividades: deje vacías las semanas (se calculan solas)"&amp;" · ","")&amp;IF((COUNTIF($H293:$K293,"&gt;1")+COUNTIF($H293:$K293,"&lt;0")+COUNTA($H293:$K293)-COUNT($H293:$K293))&gt;0,"Avance fuera de rango 0-100%"&amp;" · ","")&amp;IF(OR(AND($I293&lt;&gt;"",$I293&lt;$H293),AND($J293&lt;&gt;"",$J293&lt;MAX($H293:$I293)),AND($K293&lt;&gt;"",$K293&lt;MAX($H293:$J293))),"Avance semanal decreciente"&amp;" · ","")&amp;IF(AND(ISNUMBER($F293),$F293&lt;FechaRef,N($L293)&lt;1),"Vencida"&amp;" · ","")&amp;IF(AND(ObsObligatoria="Sí",ISNUMBER($F293),$F293&lt;FechaRef,N($L293)&lt;1,$N293=""),"Vencida sin observación"&amp;" · ",""))="","✔ OK","⚠ "&amp;LEFT(IF(AND($S293="Macro",$B293=""),"Macroactividad vacía"&amp;" · ","")&amp;IF(AND($B293&lt;&gt;"",$C293&lt;&gt;""),"Escriba la subactividad en otra fila, debajo de su macroactividad"&amp;" · ","")&amp;IF(AND($S293="Sub",N($R293)=0),"Subactividad sin macroactividad arriba"&amp;" · ","")&amp;IF($D293="","Sin responsable"&amp;" · ","")&amp;IF($E293="","Sin fecha de inicio"&amp;" · ","")&amp;IF($F293="","Sin fecha límite"&amp;" · ","")&amp;IF(OR(AND($E293&lt;&gt;"",NOT(ISNUMBER($E293))),AND($F293&lt;&gt;"",NOT(ISNUMBER($F293)))),"Fecha no válida"&amp;" · ","")&amp;IF(AND(ISNUMBER($E293),ISNUMBER($F293),$E293&gt;$F293),"Inicio posterior a fecha límite"&amp;" · ","")&amp;IF(AND($S293="Macro",$G293=""),"Peso vacío"&amp;" · ","")&amp;IF(AND($S293="Macro",$G293&lt;&gt;"",OR(NOT(ISNUMBER($G293)),$G293&lt;=0,$G293&gt;1)),"Peso fuera de rango"&amp;" · ","")&amp;IF(AND($S293="Sub",$G293&lt;&gt;""),"Las subactividades no llevan peso"&amp;" · ","")&amp;IF(AND($S293="Macro",ABS(SUMIFS($G$5:$G$1000,$P$5:$P$1000,$P293,$S$5:$S$1000,"Macro")-1)&gt;0.0001),"Pesos del mes suman "&amp;TEXT(SUMIFS($G$5:$G$1000,$P$5:$P$1000,$P293,$S$5:$S$1000,"Macro"),"0%")&amp;" · ","")&amp;IF(AND(N($T293)&gt;0,COUNT($H293:$K293)&gt;0),"Con subactividades: deje vacías las semanas (se calculan solas)"&amp;" · ","")&amp;IF((COUNTIF($H293:$K293,"&gt;1")+COUNTIF($H293:$K293,"&lt;0")+COUNTA($H293:$K293)-COUNT($H293:$K293))&gt;0,"Avance fuera de rango 0-100%"&amp;" · ","")&amp;IF(OR(AND($I293&lt;&gt;"",$I293&lt;$H293),AND($J293&lt;&gt;"",$J293&lt;MAX($H293:$I293)),AND($K293&lt;&gt;"",$K293&lt;MAX($H293:$J293))),"Avance semanal decreciente"&amp;" · ","")&amp;IF(AND(ISNUMBER($F293),$F293&lt;FechaRef,N($L293)&lt;1),"Vencida"&amp;" · ","")&amp;IF(AND(ObsObligatoria="Sí",ISNUMBER($F293),$F293&lt;FechaRef,N($L293)&lt;1,$N293=""),"Vencida sin observación"&amp;" · ",""),LEN(IF(AND($S293="Macro",$B293=""),"Macroactividad vacía"&amp;" · ","")&amp;IF(AND($B293&lt;&gt;"",$C293&lt;&gt;""),"Escriba la subactividad en otra fila, debajo de su macroactividad"&amp;" · ","")&amp;IF(AND($S293="Sub",N($R293)=0),"Subactividad sin macroactividad arriba"&amp;" · ","")&amp;IF($D293="","Sin responsable"&amp;" · ","")&amp;IF($E293="","Sin fecha de inicio"&amp;" · ","")&amp;IF($F293="","Sin fecha límite"&amp;" · ","")&amp;IF(OR(AND($E293&lt;&gt;"",NOT(ISNUMBER($E293))),AND($F293&lt;&gt;"",NOT(ISNUMBER($F293)))),"Fecha no válida"&amp;" · ","")&amp;IF(AND(ISNUMBER($E293),ISNUMBER($F293),$E293&gt;$F293),"Inicio posterior a fecha límite"&amp;" · ","")&amp;IF(AND($S293="Macro",$G293=""),"Peso vacío"&amp;" · ","")&amp;IF(AND($S293="Macro",$G293&lt;&gt;"",OR(NOT(ISNUMBER($G293)),$G293&lt;=0,$G293&gt;1)),"Peso fuera de rango"&amp;" · ","")&amp;IF(AND($S293="Sub",$G293&lt;&gt;""),"Las subactividades no llevan peso"&amp;" · ","")&amp;IF(AND($S293="Macro",ABS(SUMIFS($G$5:$G$1000,$P$5:$P$1000,$P293,$S$5:$S$1000,"Macro")-1)&gt;0.0001),"Pesos del mes suman "&amp;TEXT(SUMIFS($G$5:$G$1000,$P$5:$P$1000,$P293,$S$5:$S$1000,"Macro"),"0%")&amp;" · ","")&amp;IF(AND(N($T293)&gt;0,COUNT($H293:$K293)&gt;0),"Con subactividades: deje vacías las semanas (se calculan solas)"&amp;" · ","")&amp;IF((COUNTIF($H293:$K293,"&gt;1")+COUNTIF($H293:$K293,"&lt;0")+COUNTA($H293:$K293)-COUNT($H293:$K293))&gt;0,"Avance fuera de rango 0-100%"&amp;" · ","")&amp;IF(OR(AND($I293&lt;&gt;"",$I293&lt;$H293),AND($J293&lt;&gt;"",$J293&lt;MAX($H293:$I293)),AND($K293&lt;&gt;"",$K293&lt;MAX($H293:$J293))),"Avance semanal decreciente"&amp;" · ","")&amp;IF(AND(ISNUMBER($F293),$F293&lt;FechaRef,N($L293)&lt;1),"Vencida"&amp;" · ","")&amp;IF(AND(ObsObligatoria="Sí",ISNUMBER($F293),$F293&lt;FechaRef,N($L293)&lt;1,$N293=""),"Vencida sin observación"&amp;" · ",""))-3)))</f>
        <v/>
      </c>
      <c r="P293" s="69">
        <f>IF(NOT((COUNTA($B293:$K293)+COUNTA($N293))&gt;0),"",IF(AND($S293="Sub",N($R293)&gt;0),IF(ISNUMBER(INDEX($E$5:$E$1000,$R293-4)),DATE(YEAR(INDEX($E$5:$E$1000,$R293-4)),MONTH(INDEX($E$5:$E$1000,$R293-4)),1),IF(ISNUMBER(INDEX($F$5:$F$1000,$R293-4)),DATE(YEAR(INDEX($F$5:$F$1000,$R293-4)),MONTH(INDEX($F$5:$F$1000,$R293-4)),1),MesCiclo)),IF(ISNUMBER($E293),DATE(YEAR($E293),MONTH($E293),1),IF(ISNUMBER($F293),DATE(YEAR($F293),MONTH($F293),1),MesCiclo))))</f>
        <v/>
      </c>
      <c r="Q293" s="70">
        <f>IF(OR($P293="",$P293&lt;&gt;MesCiclo),"",COUNTIF($P$5:$P293,MesCiclo))</f>
        <v/>
      </c>
      <c r="R293" s="70">
        <f>IF($S293="","",IF($S293="Macro",ROW(),IFERROR(LOOKUP(2,1/($S$5:$S293="Macro"),ROW($S$5:$S293)),0)))</f>
        <v/>
      </c>
      <c r="S293" s="70">
        <f>IF(NOT((COUNTA($B293:$K293)+COUNTA($N293))&gt;0),"",IF($B293&lt;&gt;"","Macro",IF($C293&lt;&gt;"","Sub","Macro")))</f>
        <v/>
      </c>
      <c r="T293" s="70">
        <f>IF($S293="Macro",COUNTIFS($R$5:$R$1000,ROW(),$S$5:$S$1000,"Sub"),"")</f>
        <v/>
      </c>
      <c r="U293" s="70">
        <f>IF($S293="","",IF(ISNUMBER($H293),$H293,0))</f>
        <v/>
      </c>
      <c r="V293" s="70">
        <f>IF($S293="","",IF(ISNUMBER($I293),$I293,$U293))</f>
        <v/>
      </c>
      <c r="W293" s="70">
        <f>IF($S293="","",IF(ISNUMBER($J293),$J293,$V293))</f>
        <v/>
      </c>
      <c r="X293" s="70">
        <f>IF($S293="","",IF(ISNUMBER($K293),$K293,$W293))</f>
        <v/>
      </c>
      <c r="Y293" s="70">
        <f>IF($S293="","",IF(N($T293)&gt;0,AVERAGEIFS($U$5:$U$1000,$R$5:$R$1000,ROW(),$S$5:$S$1000,"Sub"),$U293))</f>
        <v/>
      </c>
      <c r="Z293" s="70">
        <f>IF($S293="","",IF(N($T293)&gt;0,AVERAGEIFS($V$5:$V$1000,$R$5:$R$1000,ROW(),$S$5:$S$1000,"Sub"),$V293))</f>
        <v/>
      </c>
      <c r="AA293" s="70">
        <f>IF($S293="","",IF(N($T293)&gt;0,AVERAGEIFS($W$5:$W$1000,$R$5:$R$1000,ROW(),$S$5:$S$1000,"Sub"),$W293))</f>
        <v/>
      </c>
      <c r="AB293" s="70">
        <f>IF($S293="","",IF(N($T293)&gt;0,AVERAGEIFS($X$5:$X$1000,$R$5:$R$1000,ROW(),$S$5:$S$1000,"Sub"),$X293))</f>
        <v/>
      </c>
    </row>
    <row r="294">
      <c r="A294" s="61">
        <f>IF(NOT((COUNTA($B294:$K294)+COUNTA($N294))&gt;0),"",IF($S294="Macro",COUNTIFS($S$5:$S294,"Macro",$P$5:$P294,$P294),IF(N($R294)=0,"?",COUNTIFS(INDEX($S$5:$S$1000,1):INDEX($S$5:$S$1000,$R294-4),"Macro",INDEX($P$5:$P$1000,1):INDEX($P$5:$P$1000,$R294-4),INDEX($P$5:$P$1000,$R294-4))&amp;"."&amp;COUNTIFS($R$5:$R294,$R294,$S$5:$S294,"Sub"))))</f>
        <v/>
      </c>
      <c r="B294" s="62" t="n"/>
      <c r="C294" s="63" t="n"/>
      <c r="D294" s="62" t="n"/>
      <c r="E294" s="64" t="n"/>
      <c r="F294" s="64" t="n"/>
      <c r="G294" s="65" t="n"/>
      <c r="H294" s="66" t="n"/>
      <c r="I294" s="66" t="n"/>
      <c r="J294" s="66" t="n"/>
      <c r="K294" s="66" t="n"/>
      <c r="L294" s="67">
        <f>IF(NOT((COUNTA($B294:$K294)+COUNTA($N294))&gt;0),"",IF(N($T294)&gt;0,$AB294,IFERROR(LOOKUP(2,1/(H294:K294&lt;&gt;""),H294:K294),0)))</f>
        <v/>
      </c>
      <c r="M294" s="61">
        <f>IF(L294="","",IF(L294&gt;=1,"Completado",IF(L294&gt;0,"En curso","Pendiente")))</f>
        <v/>
      </c>
      <c r="N294" s="62" t="n"/>
      <c r="O294" s="68">
        <f>IF(NOT((COUNTA($B294:$K294)+COUNTA($N294))&gt;0),"",IF((IF(AND($S294="Macro",$B294=""),"Macroactividad vacía"&amp;" · ","")&amp;IF(AND($B294&lt;&gt;"",$C294&lt;&gt;""),"Escriba la subactividad en otra fila, debajo de su macroactividad"&amp;" · ","")&amp;IF(AND($S294="Sub",N($R294)=0),"Subactividad sin macroactividad arriba"&amp;" · ","")&amp;IF($D294="","Sin responsable"&amp;" · ","")&amp;IF($E294="","Sin fecha de inicio"&amp;" · ","")&amp;IF($F294="","Sin fecha límite"&amp;" · ","")&amp;IF(OR(AND($E294&lt;&gt;"",NOT(ISNUMBER($E294))),AND($F294&lt;&gt;"",NOT(ISNUMBER($F294)))),"Fecha no válida"&amp;" · ","")&amp;IF(AND(ISNUMBER($E294),ISNUMBER($F294),$E294&gt;$F294),"Inicio posterior a fecha límite"&amp;" · ","")&amp;IF(AND($S294="Macro",$G294=""),"Peso vacío"&amp;" · ","")&amp;IF(AND($S294="Macro",$G294&lt;&gt;"",OR(NOT(ISNUMBER($G294)),$G294&lt;=0,$G294&gt;1)),"Peso fuera de rango"&amp;" · ","")&amp;IF(AND($S294="Sub",$G294&lt;&gt;""),"Las subactividades no llevan peso"&amp;" · ","")&amp;IF(AND($S294="Macro",ABS(SUMIFS($G$5:$G$1000,$P$5:$P$1000,$P294,$S$5:$S$1000,"Macro")-1)&gt;0.0001),"Pesos del mes suman "&amp;TEXT(SUMIFS($G$5:$G$1000,$P$5:$P$1000,$P294,$S$5:$S$1000,"Macro"),"0%")&amp;" · ","")&amp;IF(AND(N($T294)&gt;0,COUNT($H294:$K294)&gt;0),"Con subactividades: deje vacías las semanas (se calculan solas)"&amp;" · ","")&amp;IF((COUNTIF($H294:$K294,"&gt;1")+COUNTIF($H294:$K294,"&lt;0")+COUNTA($H294:$K294)-COUNT($H294:$K294))&gt;0,"Avance fuera de rango 0-100%"&amp;" · ","")&amp;IF(OR(AND($I294&lt;&gt;"",$I294&lt;$H294),AND($J294&lt;&gt;"",$J294&lt;MAX($H294:$I294)),AND($K294&lt;&gt;"",$K294&lt;MAX($H294:$J294))),"Avance semanal decreciente"&amp;" · ","")&amp;IF(AND(ISNUMBER($F294),$F294&lt;FechaRef,N($L294)&lt;1),"Vencida"&amp;" · ","")&amp;IF(AND(ObsObligatoria="Sí",ISNUMBER($F294),$F294&lt;FechaRef,N($L294)&lt;1,$N294=""),"Vencida sin observación"&amp;" · ",""))="","✔ OK","⚠ "&amp;LEFT(IF(AND($S294="Macro",$B294=""),"Macroactividad vacía"&amp;" · ","")&amp;IF(AND($B294&lt;&gt;"",$C294&lt;&gt;""),"Escriba la subactividad en otra fila, debajo de su macroactividad"&amp;" · ","")&amp;IF(AND($S294="Sub",N($R294)=0),"Subactividad sin macroactividad arriba"&amp;" · ","")&amp;IF($D294="","Sin responsable"&amp;" · ","")&amp;IF($E294="","Sin fecha de inicio"&amp;" · ","")&amp;IF($F294="","Sin fecha límite"&amp;" · ","")&amp;IF(OR(AND($E294&lt;&gt;"",NOT(ISNUMBER($E294))),AND($F294&lt;&gt;"",NOT(ISNUMBER($F294)))),"Fecha no válida"&amp;" · ","")&amp;IF(AND(ISNUMBER($E294),ISNUMBER($F294),$E294&gt;$F294),"Inicio posterior a fecha límite"&amp;" · ","")&amp;IF(AND($S294="Macro",$G294=""),"Peso vacío"&amp;" · ","")&amp;IF(AND($S294="Macro",$G294&lt;&gt;"",OR(NOT(ISNUMBER($G294)),$G294&lt;=0,$G294&gt;1)),"Peso fuera de rango"&amp;" · ","")&amp;IF(AND($S294="Sub",$G294&lt;&gt;""),"Las subactividades no llevan peso"&amp;" · ","")&amp;IF(AND($S294="Macro",ABS(SUMIFS($G$5:$G$1000,$P$5:$P$1000,$P294,$S$5:$S$1000,"Macro")-1)&gt;0.0001),"Pesos del mes suman "&amp;TEXT(SUMIFS($G$5:$G$1000,$P$5:$P$1000,$P294,$S$5:$S$1000,"Macro"),"0%")&amp;" · ","")&amp;IF(AND(N($T294)&gt;0,COUNT($H294:$K294)&gt;0),"Con subactividades: deje vacías las semanas (se calculan solas)"&amp;" · ","")&amp;IF((COUNTIF($H294:$K294,"&gt;1")+COUNTIF($H294:$K294,"&lt;0")+COUNTA($H294:$K294)-COUNT($H294:$K294))&gt;0,"Avance fuera de rango 0-100%"&amp;" · ","")&amp;IF(OR(AND($I294&lt;&gt;"",$I294&lt;$H294),AND($J294&lt;&gt;"",$J294&lt;MAX($H294:$I294)),AND($K294&lt;&gt;"",$K294&lt;MAX($H294:$J294))),"Avance semanal decreciente"&amp;" · ","")&amp;IF(AND(ISNUMBER($F294),$F294&lt;FechaRef,N($L294)&lt;1),"Vencida"&amp;" · ","")&amp;IF(AND(ObsObligatoria="Sí",ISNUMBER($F294),$F294&lt;FechaRef,N($L294)&lt;1,$N294=""),"Vencida sin observación"&amp;" · ",""),LEN(IF(AND($S294="Macro",$B294=""),"Macroactividad vacía"&amp;" · ","")&amp;IF(AND($B294&lt;&gt;"",$C294&lt;&gt;""),"Escriba la subactividad en otra fila, debajo de su macroactividad"&amp;" · ","")&amp;IF(AND($S294="Sub",N($R294)=0),"Subactividad sin macroactividad arriba"&amp;" · ","")&amp;IF($D294="","Sin responsable"&amp;" · ","")&amp;IF($E294="","Sin fecha de inicio"&amp;" · ","")&amp;IF($F294="","Sin fecha límite"&amp;" · ","")&amp;IF(OR(AND($E294&lt;&gt;"",NOT(ISNUMBER($E294))),AND($F294&lt;&gt;"",NOT(ISNUMBER($F294)))),"Fecha no válida"&amp;" · ","")&amp;IF(AND(ISNUMBER($E294),ISNUMBER($F294),$E294&gt;$F294),"Inicio posterior a fecha límite"&amp;" · ","")&amp;IF(AND($S294="Macro",$G294=""),"Peso vacío"&amp;" · ","")&amp;IF(AND($S294="Macro",$G294&lt;&gt;"",OR(NOT(ISNUMBER($G294)),$G294&lt;=0,$G294&gt;1)),"Peso fuera de rango"&amp;" · ","")&amp;IF(AND($S294="Sub",$G294&lt;&gt;""),"Las subactividades no llevan peso"&amp;" · ","")&amp;IF(AND($S294="Macro",ABS(SUMIFS($G$5:$G$1000,$P$5:$P$1000,$P294,$S$5:$S$1000,"Macro")-1)&gt;0.0001),"Pesos del mes suman "&amp;TEXT(SUMIFS($G$5:$G$1000,$P$5:$P$1000,$P294,$S$5:$S$1000,"Macro"),"0%")&amp;" · ","")&amp;IF(AND(N($T294)&gt;0,COUNT($H294:$K294)&gt;0),"Con subactividades: deje vacías las semanas (se calculan solas)"&amp;" · ","")&amp;IF((COUNTIF($H294:$K294,"&gt;1")+COUNTIF($H294:$K294,"&lt;0")+COUNTA($H294:$K294)-COUNT($H294:$K294))&gt;0,"Avance fuera de rango 0-100%"&amp;" · ","")&amp;IF(OR(AND($I294&lt;&gt;"",$I294&lt;$H294),AND($J294&lt;&gt;"",$J294&lt;MAX($H294:$I294)),AND($K294&lt;&gt;"",$K294&lt;MAX($H294:$J294))),"Avance semanal decreciente"&amp;" · ","")&amp;IF(AND(ISNUMBER($F294),$F294&lt;FechaRef,N($L294)&lt;1),"Vencida"&amp;" · ","")&amp;IF(AND(ObsObligatoria="Sí",ISNUMBER($F294),$F294&lt;FechaRef,N($L294)&lt;1,$N294=""),"Vencida sin observación"&amp;" · ",""))-3)))</f>
        <v/>
      </c>
      <c r="P294" s="69">
        <f>IF(NOT((COUNTA($B294:$K294)+COUNTA($N294))&gt;0),"",IF(AND($S294="Sub",N($R294)&gt;0),IF(ISNUMBER(INDEX($E$5:$E$1000,$R294-4)),DATE(YEAR(INDEX($E$5:$E$1000,$R294-4)),MONTH(INDEX($E$5:$E$1000,$R294-4)),1),IF(ISNUMBER(INDEX($F$5:$F$1000,$R294-4)),DATE(YEAR(INDEX($F$5:$F$1000,$R294-4)),MONTH(INDEX($F$5:$F$1000,$R294-4)),1),MesCiclo)),IF(ISNUMBER($E294),DATE(YEAR($E294),MONTH($E294),1),IF(ISNUMBER($F294),DATE(YEAR($F294),MONTH($F294),1),MesCiclo))))</f>
        <v/>
      </c>
      <c r="Q294" s="70">
        <f>IF(OR($P294="",$P294&lt;&gt;MesCiclo),"",COUNTIF($P$5:$P294,MesCiclo))</f>
        <v/>
      </c>
      <c r="R294" s="70">
        <f>IF($S294="","",IF($S294="Macro",ROW(),IFERROR(LOOKUP(2,1/($S$5:$S294="Macro"),ROW($S$5:$S294)),0)))</f>
        <v/>
      </c>
      <c r="S294" s="70">
        <f>IF(NOT((COUNTA($B294:$K294)+COUNTA($N294))&gt;0),"",IF($B294&lt;&gt;"","Macro",IF($C294&lt;&gt;"","Sub","Macro")))</f>
        <v/>
      </c>
      <c r="T294" s="70">
        <f>IF($S294="Macro",COUNTIFS($R$5:$R$1000,ROW(),$S$5:$S$1000,"Sub"),"")</f>
        <v/>
      </c>
      <c r="U294" s="70">
        <f>IF($S294="","",IF(ISNUMBER($H294),$H294,0))</f>
        <v/>
      </c>
      <c r="V294" s="70">
        <f>IF($S294="","",IF(ISNUMBER($I294),$I294,$U294))</f>
        <v/>
      </c>
      <c r="W294" s="70">
        <f>IF($S294="","",IF(ISNUMBER($J294),$J294,$V294))</f>
        <v/>
      </c>
      <c r="X294" s="70">
        <f>IF($S294="","",IF(ISNUMBER($K294),$K294,$W294))</f>
        <v/>
      </c>
      <c r="Y294" s="70">
        <f>IF($S294="","",IF(N($T294)&gt;0,AVERAGEIFS($U$5:$U$1000,$R$5:$R$1000,ROW(),$S$5:$S$1000,"Sub"),$U294))</f>
        <v/>
      </c>
      <c r="Z294" s="70">
        <f>IF($S294="","",IF(N($T294)&gt;0,AVERAGEIFS($V$5:$V$1000,$R$5:$R$1000,ROW(),$S$5:$S$1000,"Sub"),$V294))</f>
        <v/>
      </c>
      <c r="AA294" s="70">
        <f>IF($S294="","",IF(N($T294)&gt;0,AVERAGEIFS($W$5:$W$1000,$R$5:$R$1000,ROW(),$S$5:$S$1000,"Sub"),$W294))</f>
        <v/>
      </c>
      <c r="AB294" s="70">
        <f>IF($S294="","",IF(N($T294)&gt;0,AVERAGEIFS($X$5:$X$1000,$R$5:$R$1000,ROW(),$S$5:$S$1000,"Sub"),$X294))</f>
        <v/>
      </c>
    </row>
    <row r="295">
      <c r="A295" s="61">
        <f>IF(NOT((COUNTA($B295:$K295)+COUNTA($N295))&gt;0),"",IF($S295="Macro",COUNTIFS($S$5:$S295,"Macro",$P$5:$P295,$P295),IF(N($R295)=0,"?",COUNTIFS(INDEX($S$5:$S$1000,1):INDEX($S$5:$S$1000,$R295-4),"Macro",INDEX($P$5:$P$1000,1):INDEX($P$5:$P$1000,$R295-4),INDEX($P$5:$P$1000,$R295-4))&amp;"."&amp;COUNTIFS($R$5:$R295,$R295,$S$5:$S295,"Sub"))))</f>
        <v/>
      </c>
      <c r="B295" s="62" t="n"/>
      <c r="C295" s="63" t="n"/>
      <c r="D295" s="62" t="n"/>
      <c r="E295" s="64" t="n"/>
      <c r="F295" s="64" t="n"/>
      <c r="G295" s="65" t="n"/>
      <c r="H295" s="66" t="n"/>
      <c r="I295" s="66" t="n"/>
      <c r="J295" s="66" t="n"/>
      <c r="K295" s="66" t="n"/>
      <c r="L295" s="67">
        <f>IF(NOT((COUNTA($B295:$K295)+COUNTA($N295))&gt;0),"",IF(N($T295)&gt;0,$AB295,IFERROR(LOOKUP(2,1/(H295:K295&lt;&gt;""),H295:K295),0)))</f>
        <v/>
      </c>
      <c r="M295" s="61">
        <f>IF(L295="","",IF(L295&gt;=1,"Completado",IF(L295&gt;0,"En curso","Pendiente")))</f>
        <v/>
      </c>
      <c r="N295" s="62" t="n"/>
      <c r="O295" s="68">
        <f>IF(NOT((COUNTA($B295:$K295)+COUNTA($N295))&gt;0),"",IF((IF(AND($S295="Macro",$B295=""),"Macroactividad vacía"&amp;" · ","")&amp;IF(AND($B295&lt;&gt;"",$C295&lt;&gt;""),"Escriba la subactividad en otra fila, debajo de su macroactividad"&amp;" · ","")&amp;IF(AND($S295="Sub",N($R295)=0),"Subactividad sin macroactividad arriba"&amp;" · ","")&amp;IF($D295="","Sin responsable"&amp;" · ","")&amp;IF($E295="","Sin fecha de inicio"&amp;" · ","")&amp;IF($F295="","Sin fecha límite"&amp;" · ","")&amp;IF(OR(AND($E295&lt;&gt;"",NOT(ISNUMBER($E295))),AND($F295&lt;&gt;"",NOT(ISNUMBER($F295)))),"Fecha no válida"&amp;" · ","")&amp;IF(AND(ISNUMBER($E295),ISNUMBER($F295),$E295&gt;$F295),"Inicio posterior a fecha límite"&amp;" · ","")&amp;IF(AND($S295="Macro",$G295=""),"Peso vacío"&amp;" · ","")&amp;IF(AND($S295="Macro",$G295&lt;&gt;"",OR(NOT(ISNUMBER($G295)),$G295&lt;=0,$G295&gt;1)),"Peso fuera de rango"&amp;" · ","")&amp;IF(AND($S295="Sub",$G295&lt;&gt;""),"Las subactividades no llevan peso"&amp;" · ","")&amp;IF(AND($S295="Macro",ABS(SUMIFS($G$5:$G$1000,$P$5:$P$1000,$P295,$S$5:$S$1000,"Macro")-1)&gt;0.0001),"Pesos del mes suman "&amp;TEXT(SUMIFS($G$5:$G$1000,$P$5:$P$1000,$P295,$S$5:$S$1000,"Macro"),"0%")&amp;" · ","")&amp;IF(AND(N($T295)&gt;0,COUNT($H295:$K295)&gt;0),"Con subactividades: deje vacías las semanas (se calculan solas)"&amp;" · ","")&amp;IF((COUNTIF($H295:$K295,"&gt;1")+COUNTIF($H295:$K295,"&lt;0")+COUNTA($H295:$K295)-COUNT($H295:$K295))&gt;0,"Avance fuera de rango 0-100%"&amp;" · ","")&amp;IF(OR(AND($I295&lt;&gt;"",$I295&lt;$H295),AND($J295&lt;&gt;"",$J295&lt;MAX($H295:$I295)),AND($K295&lt;&gt;"",$K295&lt;MAX($H295:$J295))),"Avance semanal decreciente"&amp;" · ","")&amp;IF(AND(ISNUMBER($F295),$F295&lt;FechaRef,N($L295)&lt;1),"Vencida"&amp;" · ","")&amp;IF(AND(ObsObligatoria="Sí",ISNUMBER($F295),$F295&lt;FechaRef,N($L295)&lt;1,$N295=""),"Vencida sin observación"&amp;" · ",""))="","✔ OK","⚠ "&amp;LEFT(IF(AND($S295="Macro",$B295=""),"Macroactividad vacía"&amp;" · ","")&amp;IF(AND($B295&lt;&gt;"",$C295&lt;&gt;""),"Escriba la subactividad en otra fila, debajo de su macroactividad"&amp;" · ","")&amp;IF(AND($S295="Sub",N($R295)=0),"Subactividad sin macroactividad arriba"&amp;" · ","")&amp;IF($D295="","Sin responsable"&amp;" · ","")&amp;IF($E295="","Sin fecha de inicio"&amp;" · ","")&amp;IF($F295="","Sin fecha límite"&amp;" · ","")&amp;IF(OR(AND($E295&lt;&gt;"",NOT(ISNUMBER($E295))),AND($F295&lt;&gt;"",NOT(ISNUMBER($F295)))),"Fecha no válida"&amp;" · ","")&amp;IF(AND(ISNUMBER($E295),ISNUMBER($F295),$E295&gt;$F295),"Inicio posterior a fecha límite"&amp;" · ","")&amp;IF(AND($S295="Macro",$G295=""),"Peso vacío"&amp;" · ","")&amp;IF(AND($S295="Macro",$G295&lt;&gt;"",OR(NOT(ISNUMBER($G295)),$G295&lt;=0,$G295&gt;1)),"Peso fuera de rango"&amp;" · ","")&amp;IF(AND($S295="Sub",$G295&lt;&gt;""),"Las subactividades no llevan peso"&amp;" · ","")&amp;IF(AND($S295="Macro",ABS(SUMIFS($G$5:$G$1000,$P$5:$P$1000,$P295,$S$5:$S$1000,"Macro")-1)&gt;0.0001),"Pesos del mes suman "&amp;TEXT(SUMIFS($G$5:$G$1000,$P$5:$P$1000,$P295,$S$5:$S$1000,"Macro"),"0%")&amp;" · ","")&amp;IF(AND(N($T295)&gt;0,COUNT($H295:$K295)&gt;0),"Con subactividades: deje vacías las semanas (se calculan solas)"&amp;" · ","")&amp;IF((COUNTIF($H295:$K295,"&gt;1")+COUNTIF($H295:$K295,"&lt;0")+COUNTA($H295:$K295)-COUNT($H295:$K295))&gt;0,"Avance fuera de rango 0-100%"&amp;" · ","")&amp;IF(OR(AND($I295&lt;&gt;"",$I295&lt;$H295),AND($J295&lt;&gt;"",$J295&lt;MAX($H295:$I295)),AND($K295&lt;&gt;"",$K295&lt;MAX($H295:$J295))),"Avance semanal decreciente"&amp;" · ","")&amp;IF(AND(ISNUMBER($F295),$F295&lt;FechaRef,N($L295)&lt;1),"Vencida"&amp;" · ","")&amp;IF(AND(ObsObligatoria="Sí",ISNUMBER($F295),$F295&lt;FechaRef,N($L295)&lt;1,$N295=""),"Vencida sin observación"&amp;" · ",""),LEN(IF(AND($S295="Macro",$B295=""),"Macroactividad vacía"&amp;" · ","")&amp;IF(AND($B295&lt;&gt;"",$C295&lt;&gt;""),"Escriba la subactividad en otra fila, debajo de su macroactividad"&amp;" · ","")&amp;IF(AND($S295="Sub",N($R295)=0),"Subactividad sin macroactividad arriba"&amp;" · ","")&amp;IF($D295="","Sin responsable"&amp;" · ","")&amp;IF($E295="","Sin fecha de inicio"&amp;" · ","")&amp;IF($F295="","Sin fecha límite"&amp;" · ","")&amp;IF(OR(AND($E295&lt;&gt;"",NOT(ISNUMBER($E295))),AND($F295&lt;&gt;"",NOT(ISNUMBER($F295)))),"Fecha no válida"&amp;" · ","")&amp;IF(AND(ISNUMBER($E295),ISNUMBER($F295),$E295&gt;$F295),"Inicio posterior a fecha límite"&amp;" · ","")&amp;IF(AND($S295="Macro",$G295=""),"Peso vacío"&amp;" · ","")&amp;IF(AND($S295="Macro",$G295&lt;&gt;"",OR(NOT(ISNUMBER($G295)),$G295&lt;=0,$G295&gt;1)),"Peso fuera de rango"&amp;" · ","")&amp;IF(AND($S295="Sub",$G295&lt;&gt;""),"Las subactividades no llevan peso"&amp;" · ","")&amp;IF(AND($S295="Macro",ABS(SUMIFS($G$5:$G$1000,$P$5:$P$1000,$P295,$S$5:$S$1000,"Macro")-1)&gt;0.0001),"Pesos del mes suman "&amp;TEXT(SUMIFS($G$5:$G$1000,$P$5:$P$1000,$P295,$S$5:$S$1000,"Macro"),"0%")&amp;" · ","")&amp;IF(AND(N($T295)&gt;0,COUNT($H295:$K295)&gt;0),"Con subactividades: deje vacías las semanas (se calculan solas)"&amp;" · ","")&amp;IF((COUNTIF($H295:$K295,"&gt;1")+COUNTIF($H295:$K295,"&lt;0")+COUNTA($H295:$K295)-COUNT($H295:$K295))&gt;0,"Avance fuera de rango 0-100%"&amp;" · ","")&amp;IF(OR(AND($I295&lt;&gt;"",$I295&lt;$H295),AND($J295&lt;&gt;"",$J295&lt;MAX($H295:$I295)),AND($K295&lt;&gt;"",$K295&lt;MAX($H295:$J295))),"Avance semanal decreciente"&amp;" · ","")&amp;IF(AND(ISNUMBER($F295),$F295&lt;FechaRef,N($L295)&lt;1),"Vencida"&amp;" · ","")&amp;IF(AND(ObsObligatoria="Sí",ISNUMBER($F295),$F295&lt;FechaRef,N($L295)&lt;1,$N295=""),"Vencida sin observación"&amp;" · ",""))-3)))</f>
        <v/>
      </c>
      <c r="P295" s="69">
        <f>IF(NOT((COUNTA($B295:$K295)+COUNTA($N295))&gt;0),"",IF(AND($S295="Sub",N($R295)&gt;0),IF(ISNUMBER(INDEX($E$5:$E$1000,$R295-4)),DATE(YEAR(INDEX($E$5:$E$1000,$R295-4)),MONTH(INDEX($E$5:$E$1000,$R295-4)),1),IF(ISNUMBER(INDEX($F$5:$F$1000,$R295-4)),DATE(YEAR(INDEX($F$5:$F$1000,$R295-4)),MONTH(INDEX($F$5:$F$1000,$R295-4)),1),MesCiclo)),IF(ISNUMBER($E295),DATE(YEAR($E295),MONTH($E295),1),IF(ISNUMBER($F295),DATE(YEAR($F295),MONTH($F295),1),MesCiclo))))</f>
        <v/>
      </c>
      <c r="Q295" s="70">
        <f>IF(OR($P295="",$P295&lt;&gt;MesCiclo),"",COUNTIF($P$5:$P295,MesCiclo))</f>
        <v/>
      </c>
      <c r="R295" s="70">
        <f>IF($S295="","",IF($S295="Macro",ROW(),IFERROR(LOOKUP(2,1/($S$5:$S295="Macro"),ROW($S$5:$S295)),0)))</f>
        <v/>
      </c>
      <c r="S295" s="70">
        <f>IF(NOT((COUNTA($B295:$K295)+COUNTA($N295))&gt;0),"",IF($B295&lt;&gt;"","Macro",IF($C295&lt;&gt;"","Sub","Macro")))</f>
        <v/>
      </c>
      <c r="T295" s="70">
        <f>IF($S295="Macro",COUNTIFS($R$5:$R$1000,ROW(),$S$5:$S$1000,"Sub"),"")</f>
        <v/>
      </c>
      <c r="U295" s="70">
        <f>IF($S295="","",IF(ISNUMBER($H295),$H295,0))</f>
        <v/>
      </c>
      <c r="V295" s="70">
        <f>IF($S295="","",IF(ISNUMBER($I295),$I295,$U295))</f>
        <v/>
      </c>
      <c r="W295" s="70">
        <f>IF($S295="","",IF(ISNUMBER($J295),$J295,$V295))</f>
        <v/>
      </c>
      <c r="X295" s="70">
        <f>IF($S295="","",IF(ISNUMBER($K295),$K295,$W295))</f>
        <v/>
      </c>
      <c r="Y295" s="70">
        <f>IF($S295="","",IF(N($T295)&gt;0,AVERAGEIFS($U$5:$U$1000,$R$5:$R$1000,ROW(),$S$5:$S$1000,"Sub"),$U295))</f>
        <v/>
      </c>
      <c r="Z295" s="70">
        <f>IF($S295="","",IF(N($T295)&gt;0,AVERAGEIFS($V$5:$V$1000,$R$5:$R$1000,ROW(),$S$5:$S$1000,"Sub"),$V295))</f>
        <v/>
      </c>
      <c r="AA295" s="70">
        <f>IF($S295="","",IF(N($T295)&gt;0,AVERAGEIFS($W$5:$W$1000,$R$5:$R$1000,ROW(),$S$5:$S$1000,"Sub"),$W295))</f>
        <v/>
      </c>
      <c r="AB295" s="70">
        <f>IF($S295="","",IF(N($T295)&gt;0,AVERAGEIFS($X$5:$X$1000,$R$5:$R$1000,ROW(),$S$5:$S$1000,"Sub"),$X295))</f>
        <v/>
      </c>
    </row>
    <row r="296">
      <c r="A296" s="61">
        <f>IF(NOT((COUNTA($B296:$K296)+COUNTA($N296))&gt;0),"",IF($S296="Macro",COUNTIFS($S$5:$S296,"Macro",$P$5:$P296,$P296),IF(N($R296)=0,"?",COUNTIFS(INDEX($S$5:$S$1000,1):INDEX($S$5:$S$1000,$R296-4),"Macro",INDEX($P$5:$P$1000,1):INDEX($P$5:$P$1000,$R296-4),INDEX($P$5:$P$1000,$R296-4))&amp;"."&amp;COUNTIFS($R$5:$R296,$R296,$S$5:$S296,"Sub"))))</f>
        <v/>
      </c>
      <c r="B296" s="62" t="n"/>
      <c r="C296" s="63" t="n"/>
      <c r="D296" s="62" t="n"/>
      <c r="E296" s="64" t="n"/>
      <c r="F296" s="64" t="n"/>
      <c r="G296" s="65" t="n"/>
      <c r="H296" s="66" t="n"/>
      <c r="I296" s="66" t="n"/>
      <c r="J296" s="66" t="n"/>
      <c r="K296" s="66" t="n"/>
      <c r="L296" s="67">
        <f>IF(NOT((COUNTA($B296:$K296)+COUNTA($N296))&gt;0),"",IF(N($T296)&gt;0,$AB296,IFERROR(LOOKUP(2,1/(H296:K296&lt;&gt;""),H296:K296),0)))</f>
        <v/>
      </c>
      <c r="M296" s="61">
        <f>IF(L296="","",IF(L296&gt;=1,"Completado",IF(L296&gt;0,"En curso","Pendiente")))</f>
        <v/>
      </c>
      <c r="N296" s="62" t="n"/>
      <c r="O296" s="68">
        <f>IF(NOT((COUNTA($B296:$K296)+COUNTA($N296))&gt;0),"",IF((IF(AND($S296="Macro",$B296=""),"Macroactividad vacía"&amp;" · ","")&amp;IF(AND($B296&lt;&gt;"",$C296&lt;&gt;""),"Escriba la subactividad en otra fila, debajo de su macroactividad"&amp;" · ","")&amp;IF(AND($S296="Sub",N($R296)=0),"Subactividad sin macroactividad arriba"&amp;" · ","")&amp;IF($D296="","Sin responsable"&amp;" · ","")&amp;IF($E296="","Sin fecha de inicio"&amp;" · ","")&amp;IF($F296="","Sin fecha límite"&amp;" · ","")&amp;IF(OR(AND($E296&lt;&gt;"",NOT(ISNUMBER($E296))),AND($F296&lt;&gt;"",NOT(ISNUMBER($F296)))),"Fecha no válida"&amp;" · ","")&amp;IF(AND(ISNUMBER($E296),ISNUMBER($F296),$E296&gt;$F296),"Inicio posterior a fecha límite"&amp;" · ","")&amp;IF(AND($S296="Macro",$G296=""),"Peso vacío"&amp;" · ","")&amp;IF(AND($S296="Macro",$G296&lt;&gt;"",OR(NOT(ISNUMBER($G296)),$G296&lt;=0,$G296&gt;1)),"Peso fuera de rango"&amp;" · ","")&amp;IF(AND($S296="Sub",$G296&lt;&gt;""),"Las subactividades no llevan peso"&amp;" · ","")&amp;IF(AND($S296="Macro",ABS(SUMIFS($G$5:$G$1000,$P$5:$P$1000,$P296,$S$5:$S$1000,"Macro")-1)&gt;0.0001),"Pesos del mes suman "&amp;TEXT(SUMIFS($G$5:$G$1000,$P$5:$P$1000,$P296,$S$5:$S$1000,"Macro"),"0%")&amp;" · ","")&amp;IF(AND(N($T296)&gt;0,COUNT($H296:$K296)&gt;0),"Con subactividades: deje vacías las semanas (se calculan solas)"&amp;" · ","")&amp;IF((COUNTIF($H296:$K296,"&gt;1")+COUNTIF($H296:$K296,"&lt;0")+COUNTA($H296:$K296)-COUNT($H296:$K296))&gt;0,"Avance fuera de rango 0-100%"&amp;" · ","")&amp;IF(OR(AND($I296&lt;&gt;"",$I296&lt;$H296),AND($J296&lt;&gt;"",$J296&lt;MAX($H296:$I296)),AND($K296&lt;&gt;"",$K296&lt;MAX($H296:$J296))),"Avance semanal decreciente"&amp;" · ","")&amp;IF(AND(ISNUMBER($F296),$F296&lt;FechaRef,N($L296)&lt;1),"Vencida"&amp;" · ","")&amp;IF(AND(ObsObligatoria="Sí",ISNUMBER($F296),$F296&lt;FechaRef,N($L296)&lt;1,$N296=""),"Vencida sin observación"&amp;" · ",""))="","✔ OK","⚠ "&amp;LEFT(IF(AND($S296="Macro",$B296=""),"Macroactividad vacía"&amp;" · ","")&amp;IF(AND($B296&lt;&gt;"",$C296&lt;&gt;""),"Escriba la subactividad en otra fila, debajo de su macroactividad"&amp;" · ","")&amp;IF(AND($S296="Sub",N($R296)=0),"Subactividad sin macroactividad arriba"&amp;" · ","")&amp;IF($D296="","Sin responsable"&amp;" · ","")&amp;IF($E296="","Sin fecha de inicio"&amp;" · ","")&amp;IF($F296="","Sin fecha límite"&amp;" · ","")&amp;IF(OR(AND($E296&lt;&gt;"",NOT(ISNUMBER($E296))),AND($F296&lt;&gt;"",NOT(ISNUMBER($F296)))),"Fecha no válida"&amp;" · ","")&amp;IF(AND(ISNUMBER($E296),ISNUMBER($F296),$E296&gt;$F296),"Inicio posterior a fecha límite"&amp;" · ","")&amp;IF(AND($S296="Macro",$G296=""),"Peso vacío"&amp;" · ","")&amp;IF(AND($S296="Macro",$G296&lt;&gt;"",OR(NOT(ISNUMBER($G296)),$G296&lt;=0,$G296&gt;1)),"Peso fuera de rango"&amp;" · ","")&amp;IF(AND($S296="Sub",$G296&lt;&gt;""),"Las subactividades no llevan peso"&amp;" · ","")&amp;IF(AND($S296="Macro",ABS(SUMIFS($G$5:$G$1000,$P$5:$P$1000,$P296,$S$5:$S$1000,"Macro")-1)&gt;0.0001),"Pesos del mes suman "&amp;TEXT(SUMIFS($G$5:$G$1000,$P$5:$P$1000,$P296,$S$5:$S$1000,"Macro"),"0%")&amp;" · ","")&amp;IF(AND(N($T296)&gt;0,COUNT($H296:$K296)&gt;0),"Con subactividades: deje vacías las semanas (se calculan solas)"&amp;" · ","")&amp;IF((COUNTIF($H296:$K296,"&gt;1")+COUNTIF($H296:$K296,"&lt;0")+COUNTA($H296:$K296)-COUNT($H296:$K296))&gt;0,"Avance fuera de rango 0-100%"&amp;" · ","")&amp;IF(OR(AND($I296&lt;&gt;"",$I296&lt;$H296),AND($J296&lt;&gt;"",$J296&lt;MAX($H296:$I296)),AND($K296&lt;&gt;"",$K296&lt;MAX($H296:$J296))),"Avance semanal decreciente"&amp;" · ","")&amp;IF(AND(ISNUMBER($F296),$F296&lt;FechaRef,N($L296)&lt;1),"Vencida"&amp;" · ","")&amp;IF(AND(ObsObligatoria="Sí",ISNUMBER($F296),$F296&lt;FechaRef,N($L296)&lt;1,$N296=""),"Vencida sin observación"&amp;" · ",""),LEN(IF(AND($S296="Macro",$B296=""),"Macroactividad vacía"&amp;" · ","")&amp;IF(AND($B296&lt;&gt;"",$C296&lt;&gt;""),"Escriba la subactividad en otra fila, debajo de su macroactividad"&amp;" · ","")&amp;IF(AND($S296="Sub",N($R296)=0),"Subactividad sin macroactividad arriba"&amp;" · ","")&amp;IF($D296="","Sin responsable"&amp;" · ","")&amp;IF($E296="","Sin fecha de inicio"&amp;" · ","")&amp;IF($F296="","Sin fecha límite"&amp;" · ","")&amp;IF(OR(AND($E296&lt;&gt;"",NOT(ISNUMBER($E296))),AND($F296&lt;&gt;"",NOT(ISNUMBER($F296)))),"Fecha no válida"&amp;" · ","")&amp;IF(AND(ISNUMBER($E296),ISNUMBER($F296),$E296&gt;$F296),"Inicio posterior a fecha límite"&amp;" · ","")&amp;IF(AND($S296="Macro",$G296=""),"Peso vacío"&amp;" · ","")&amp;IF(AND($S296="Macro",$G296&lt;&gt;"",OR(NOT(ISNUMBER($G296)),$G296&lt;=0,$G296&gt;1)),"Peso fuera de rango"&amp;" · ","")&amp;IF(AND($S296="Sub",$G296&lt;&gt;""),"Las subactividades no llevan peso"&amp;" · ","")&amp;IF(AND($S296="Macro",ABS(SUMIFS($G$5:$G$1000,$P$5:$P$1000,$P296,$S$5:$S$1000,"Macro")-1)&gt;0.0001),"Pesos del mes suman "&amp;TEXT(SUMIFS($G$5:$G$1000,$P$5:$P$1000,$P296,$S$5:$S$1000,"Macro"),"0%")&amp;" · ","")&amp;IF(AND(N($T296)&gt;0,COUNT($H296:$K296)&gt;0),"Con subactividades: deje vacías las semanas (se calculan solas)"&amp;" · ","")&amp;IF((COUNTIF($H296:$K296,"&gt;1")+COUNTIF($H296:$K296,"&lt;0")+COUNTA($H296:$K296)-COUNT($H296:$K296))&gt;0,"Avance fuera de rango 0-100%"&amp;" · ","")&amp;IF(OR(AND($I296&lt;&gt;"",$I296&lt;$H296),AND($J296&lt;&gt;"",$J296&lt;MAX($H296:$I296)),AND($K296&lt;&gt;"",$K296&lt;MAX($H296:$J296))),"Avance semanal decreciente"&amp;" · ","")&amp;IF(AND(ISNUMBER($F296),$F296&lt;FechaRef,N($L296)&lt;1),"Vencida"&amp;" · ","")&amp;IF(AND(ObsObligatoria="Sí",ISNUMBER($F296),$F296&lt;FechaRef,N($L296)&lt;1,$N296=""),"Vencida sin observación"&amp;" · ",""))-3)))</f>
        <v/>
      </c>
      <c r="P296" s="69">
        <f>IF(NOT((COUNTA($B296:$K296)+COUNTA($N296))&gt;0),"",IF(AND($S296="Sub",N($R296)&gt;0),IF(ISNUMBER(INDEX($E$5:$E$1000,$R296-4)),DATE(YEAR(INDEX($E$5:$E$1000,$R296-4)),MONTH(INDEX($E$5:$E$1000,$R296-4)),1),IF(ISNUMBER(INDEX($F$5:$F$1000,$R296-4)),DATE(YEAR(INDEX($F$5:$F$1000,$R296-4)),MONTH(INDEX($F$5:$F$1000,$R296-4)),1),MesCiclo)),IF(ISNUMBER($E296),DATE(YEAR($E296),MONTH($E296),1),IF(ISNUMBER($F296),DATE(YEAR($F296),MONTH($F296),1),MesCiclo))))</f>
        <v/>
      </c>
      <c r="Q296" s="70">
        <f>IF(OR($P296="",$P296&lt;&gt;MesCiclo),"",COUNTIF($P$5:$P296,MesCiclo))</f>
        <v/>
      </c>
      <c r="R296" s="70">
        <f>IF($S296="","",IF($S296="Macro",ROW(),IFERROR(LOOKUP(2,1/($S$5:$S296="Macro"),ROW($S$5:$S296)),0)))</f>
        <v/>
      </c>
      <c r="S296" s="70">
        <f>IF(NOT((COUNTA($B296:$K296)+COUNTA($N296))&gt;0),"",IF($B296&lt;&gt;"","Macro",IF($C296&lt;&gt;"","Sub","Macro")))</f>
        <v/>
      </c>
      <c r="T296" s="70">
        <f>IF($S296="Macro",COUNTIFS($R$5:$R$1000,ROW(),$S$5:$S$1000,"Sub"),"")</f>
        <v/>
      </c>
      <c r="U296" s="70">
        <f>IF($S296="","",IF(ISNUMBER($H296),$H296,0))</f>
        <v/>
      </c>
      <c r="V296" s="70">
        <f>IF($S296="","",IF(ISNUMBER($I296),$I296,$U296))</f>
        <v/>
      </c>
      <c r="W296" s="70">
        <f>IF($S296="","",IF(ISNUMBER($J296),$J296,$V296))</f>
        <v/>
      </c>
      <c r="X296" s="70">
        <f>IF($S296="","",IF(ISNUMBER($K296),$K296,$W296))</f>
        <v/>
      </c>
      <c r="Y296" s="70">
        <f>IF($S296="","",IF(N($T296)&gt;0,AVERAGEIFS($U$5:$U$1000,$R$5:$R$1000,ROW(),$S$5:$S$1000,"Sub"),$U296))</f>
        <v/>
      </c>
      <c r="Z296" s="70">
        <f>IF($S296="","",IF(N($T296)&gt;0,AVERAGEIFS($V$5:$V$1000,$R$5:$R$1000,ROW(),$S$5:$S$1000,"Sub"),$V296))</f>
        <v/>
      </c>
      <c r="AA296" s="70">
        <f>IF($S296="","",IF(N($T296)&gt;0,AVERAGEIFS($W$5:$W$1000,$R$5:$R$1000,ROW(),$S$5:$S$1000,"Sub"),$W296))</f>
        <v/>
      </c>
      <c r="AB296" s="70">
        <f>IF($S296="","",IF(N($T296)&gt;0,AVERAGEIFS($X$5:$X$1000,$R$5:$R$1000,ROW(),$S$5:$S$1000,"Sub"),$X296))</f>
        <v/>
      </c>
    </row>
    <row r="297">
      <c r="A297" s="61">
        <f>IF(NOT((COUNTA($B297:$K297)+COUNTA($N297))&gt;0),"",IF($S297="Macro",COUNTIFS($S$5:$S297,"Macro",$P$5:$P297,$P297),IF(N($R297)=0,"?",COUNTIFS(INDEX($S$5:$S$1000,1):INDEX($S$5:$S$1000,$R297-4),"Macro",INDEX($P$5:$P$1000,1):INDEX($P$5:$P$1000,$R297-4),INDEX($P$5:$P$1000,$R297-4))&amp;"."&amp;COUNTIFS($R$5:$R297,$R297,$S$5:$S297,"Sub"))))</f>
        <v/>
      </c>
      <c r="B297" s="62" t="n"/>
      <c r="C297" s="63" t="n"/>
      <c r="D297" s="62" t="n"/>
      <c r="E297" s="64" t="n"/>
      <c r="F297" s="64" t="n"/>
      <c r="G297" s="65" t="n"/>
      <c r="H297" s="66" t="n"/>
      <c r="I297" s="66" t="n"/>
      <c r="J297" s="66" t="n"/>
      <c r="K297" s="66" t="n"/>
      <c r="L297" s="67">
        <f>IF(NOT((COUNTA($B297:$K297)+COUNTA($N297))&gt;0),"",IF(N($T297)&gt;0,$AB297,IFERROR(LOOKUP(2,1/(H297:K297&lt;&gt;""),H297:K297),0)))</f>
        <v/>
      </c>
      <c r="M297" s="61">
        <f>IF(L297="","",IF(L297&gt;=1,"Completado",IF(L297&gt;0,"En curso","Pendiente")))</f>
        <v/>
      </c>
      <c r="N297" s="62" t="n"/>
      <c r="O297" s="68">
        <f>IF(NOT((COUNTA($B297:$K297)+COUNTA($N297))&gt;0),"",IF((IF(AND($S297="Macro",$B297=""),"Macroactividad vacía"&amp;" · ","")&amp;IF(AND($B297&lt;&gt;"",$C297&lt;&gt;""),"Escriba la subactividad en otra fila, debajo de su macroactividad"&amp;" · ","")&amp;IF(AND($S297="Sub",N($R297)=0),"Subactividad sin macroactividad arriba"&amp;" · ","")&amp;IF($D297="","Sin responsable"&amp;" · ","")&amp;IF($E297="","Sin fecha de inicio"&amp;" · ","")&amp;IF($F297="","Sin fecha límite"&amp;" · ","")&amp;IF(OR(AND($E297&lt;&gt;"",NOT(ISNUMBER($E297))),AND($F297&lt;&gt;"",NOT(ISNUMBER($F297)))),"Fecha no válida"&amp;" · ","")&amp;IF(AND(ISNUMBER($E297),ISNUMBER($F297),$E297&gt;$F297),"Inicio posterior a fecha límite"&amp;" · ","")&amp;IF(AND($S297="Macro",$G297=""),"Peso vacío"&amp;" · ","")&amp;IF(AND($S297="Macro",$G297&lt;&gt;"",OR(NOT(ISNUMBER($G297)),$G297&lt;=0,$G297&gt;1)),"Peso fuera de rango"&amp;" · ","")&amp;IF(AND($S297="Sub",$G297&lt;&gt;""),"Las subactividades no llevan peso"&amp;" · ","")&amp;IF(AND($S297="Macro",ABS(SUMIFS($G$5:$G$1000,$P$5:$P$1000,$P297,$S$5:$S$1000,"Macro")-1)&gt;0.0001),"Pesos del mes suman "&amp;TEXT(SUMIFS($G$5:$G$1000,$P$5:$P$1000,$P297,$S$5:$S$1000,"Macro"),"0%")&amp;" · ","")&amp;IF(AND(N($T297)&gt;0,COUNT($H297:$K297)&gt;0),"Con subactividades: deje vacías las semanas (se calculan solas)"&amp;" · ","")&amp;IF((COUNTIF($H297:$K297,"&gt;1")+COUNTIF($H297:$K297,"&lt;0")+COUNTA($H297:$K297)-COUNT($H297:$K297))&gt;0,"Avance fuera de rango 0-100%"&amp;" · ","")&amp;IF(OR(AND($I297&lt;&gt;"",$I297&lt;$H297),AND($J297&lt;&gt;"",$J297&lt;MAX($H297:$I297)),AND($K297&lt;&gt;"",$K297&lt;MAX($H297:$J297))),"Avance semanal decreciente"&amp;" · ","")&amp;IF(AND(ISNUMBER($F297),$F297&lt;FechaRef,N($L297)&lt;1),"Vencida"&amp;" · ","")&amp;IF(AND(ObsObligatoria="Sí",ISNUMBER($F297),$F297&lt;FechaRef,N($L297)&lt;1,$N297=""),"Vencida sin observación"&amp;" · ",""))="","✔ OK","⚠ "&amp;LEFT(IF(AND($S297="Macro",$B297=""),"Macroactividad vacía"&amp;" · ","")&amp;IF(AND($B297&lt;&gt;"",$C297&lt;&gt;""),"Escriba la subactividad en otra fila, debajo de su macroactividad"&amp;" · ","")&amp;IF(AND($S297="Sub",N($R297)=0),"Subactividad sin macroactividad arriba"&amp;" · ","")&amp;IF($D297="","Sin responsable"&amp;" · ","")&amp;IF($E297="","Sin fecha de inicio"&amp;" · ","")&amp;IF($F297="","Sin fecha límite"&amp;" · ","")&amp;IF(OR(AND($E297&lt;&gt;"",NOT(ISNUMBER($E297))),AND($F297&lt;&gt;"",NOT(ISNUMBER($F297)))),"Fecha no válida"&amp;" · ","")&amp;IF(AND(ISNUMBER($E297),ISNUMBER($F297),$E297&gt;$F297),"Inicio posterior a fecha límite"&amp;" · ","")&amp;IF(AND($S297="Macro",$G297=""),"Peso vacío"&amp;" · ","")&amp;IF(AND($S297="Macro",$G297&lt;&gt;"",OR(NOT(ISNUMBER($G297)),$G297&lt;=0,$G297&gt;1)),"Peso fuera de rango"&amp;" · ","")&amp;IF(AND($S297="Sub",$G297&lt;&gt;""),"Las subactividades no llevan peso"&amp;" · ","")&amp;IF(AND($S297="Macro",ABS(SUMIFS($G$5:$G$1000,$P$5:$P$1000,$P297,$S$5:$S$1000,"Macro")-1)&gt;0.0001),"Pesos del mes suman "&amp;TEXT(SUMIFS($G$5:$G$1000,$P$5:$P$1000,$P297,$S$5:$S$1000,"Macro"),"0%")&amp;" · ","")&amp;IF(AND(N($T297)&gt;0,COUNT($H297:$K297)&gt;0),"Con subactividades: deje vacías las semanas (se calculan solas)"&amp;" · ","")&amp;IF((COUNTIF($H297:$K297,"&gt;1")+COUNTIF($H297:$K297,"&lt;0")+COUNTA($H297:$K297)-COUNT($H297:$K297))&gt;0,"Avance fuera de rango 0-100%"&amp;" · ","")&amp;IF(OR(AND($I297&lt;&gt;"",$I297&lt;$H297),AND($J297&lt;&gt;"",$J297&lt;MAX($H297:$I297)),AND($K297&lt;&gt;"",$K297&lt;MAX($H297:$J297))),"Avance semanal decreciente"&amp;" · ","")&amp;IF(AND(ISNUMBER($F297),$F297&lt;FechaRef,N($L297)&lt;1),"Vencida"&amp;" · ","")&amp;IF(AND(ObsObligatoria="Sí",ISNUMBER($F297),$F297&lt;FechaRef,N($L297)&lt;1,$N297=""),"Vencida sin observación"&amp;" · ",""),LEN(IF(AND($S297="Macro",$B297=""),"Macroactividad vacía"&amp;" · ","")&amp;IF(AND($B297&lt;&gt;"",$C297&lt;&gt;""),"Escriba la subactividad en otra fila, debajo de su macroactividad"&amp;" · ","")&amp;IF(AND($S297="Sub",N($R297)=0),"Subactividad sin macroactividad arriba"&amp;" · ","")&amp;IF($D297="","Sin responsable"&amp;" · ","")&amp;IF($E297="","Sin fecha de inicio"&amp;" · ","")&amp;IF($F297="","Sin fecha límite"&amp;" · ","")&amp;IF(OR(AND($E297&lt;&gt;"",NOT(ISNUMBER($E297))),AND($F297&lt;&gt;"",NOT(ISNUMBER($F297)))),"Fecha no válida"&amp;" · ","")&amp;IF(AND(ISNUMBER($E297),ISNUMBER($F297),$E297&gt;$F297),"Inicio posterior a fecha límite"&amp;" · ","")&amp;IF(AND($S297="Macro",$G297=""),"Peso vacío"&amp;" · ","")&amp;IF(AND($S297="Macro",$G297&lt;&gt;"",OR(NOT(ISNUMBER($G297)),$G297&lt;=0,$G297&gt;1)),"Peso fuera de rango"&amp;" · ","")&amp;IF(AND($S297="Sub",$G297&lt;&gt;""),"Las subactividades no llevan peso"&amp;" · ","")&amp;IF(AND($S297="Macro",ABS(SUMIFS($G$5:$G$1000,$P$5:$P$1000,$P297,$S$5:$S$1000,"Macro")-1)&gt;0.0001),"Pesos del mes suman "&amp;TEXT(SUMIFS($G$5:$G$1000,$P$5:$P$1000,$P297,$S$5:$S$1000,"Macro"),"0%")&amp;" · ","")&amp;IF(AND(N($T297)&gt;0,COUNT($H297:$K297)&gt;0),"Con subactividades: deje vacías las semanas (se calculan solas)"&amp;" · ","")&amp;IF((COUNTIF($H297:$K297,"&gt;1")+COUNTIF($H297:$K297,"&lt;0")+COUNTA($H297:$K297)-COUNT($H297:$K297))&gt;0,"Avance fuera de rango 0-100%"&amp;" · ","")&amp;IF(OR(AND($I297&lt;&gt;"",$I297&lt;$H297),AND($J297&lt;&gt;"",$J297&lt;MAX($H297:$I297)),AND($K297&lt;&gt;"",$K297&lt;MAX($H297:$J297))),"Avance semanal decreciente"&amp;" · ","")&amp;IF(AND(ISNUMBER($F297),$F297&lt;FechaRef,N($L297)&lt;1),"Vencida"&amp;" · ","")&amp;IF(AND(ObsObligatoria="Sí",ISNUMBER($F297),$F297&lt;FechaRef,N($L297)&lt;1,$N297=""),"Vencida sin observación"&amp;" · ",""))-3)))</f>
        <v/>
      </c>
      <c r="P297" s="69">
        <f>IF(NOT((COUNTA($B297:$K297)+COUNTA($N297))&gt;0),"",IF(AND($S297="Sub",N($R297)&gt;0),IF(ISNUMBER(INDEX($E$5:$E$1000,$R297-4)),DATE(YEAR(INDEX($E$5:$E$1000,$R297-4)),MONTH(INDEX($E$5:$E$1000,$R297-4)),1),IF(ISNUMBER(INDEX($F$5:$F$1000,$R297-4)),DATE(YEAR(INDEX($F$5:$F$1000,$R297-4)),MONTH(INDEX($F$5:$F$1000,$R297-4)),1),MesCiclo)),IF(ISNUMBER($E297),DATE(YEAR($E297),MONTH($E297),1),IF(ISNUMBER($F297),DATE(YEAR($F297),MONTH($F297),1),MesCiclo))))</f>
        <v/>
      </c>
      <c r="Q297" s="70">
        <f>IF(OR($P297="",$P297&lt;&gt;MesCiclo),"",COUNTIF($P$5:$P297,MesCiclo))</f>
        <v/>
      </c>
      <c r="R297" s="70">
        <f>IF($S297="","",IF($S297="Macro",ROW(),IFERROR(LOOKUP(2,1/($S$5:$S297="Macro"),ROW($S$5:$S297)),0)))</f>
        <v/>
      </c>
      <c r="S297" s="70">
        <f>IF(NOT((COUNTA($B297:$K297)+COUNTA($N297))&gt;0),"",IF($B297&lt;&gt;"","Macro",IF($C297&lt;&gt;"","Sub","Macro")))</f>
        <v/>
      </c>
      <c r="T297" s="70">
        <f>IF($S297="Macro",COUNTIFS($R$5:$R$1000,ROW(),$S$5:$S$1000,"Sub"),"")</f>
        <v/>
      </c>
      <c r="U297" s="70">
        <f>IF($S297="","",IF(ISNUMBER($H297),$H297,0))</f>
        <v/>
      </c>
      <c r="V297" s="70">
        <f>IF($S297="","",IF(ISNUMBER($I297),$I297,$U297))</f>
        <v/>
      </c>
      <c r="W297" s="70">
        <f>IF($S297="","",IF(ISNUMBER($J297),$J297,$V297))</f>
        <v/>
      </c>
      <c r="X297" s="70">
        <f>IF($S297="","",IF(ISNUMBER($K297),$K297,$W297))</f>
        <v/>
      </c>
      <c r="Y297" s="70">
        <f>IF($S297="","",IF(N($T297)&gt;0,AVERAGEIFS($U$5:$U$1000,$R$5:$R$1000,ROW(),$S$5:$S$1000,"Sub"),$U297))</f>
        <v/>
      </c>
      <c r="Z297" s="70">
        <f>IF($S297="","",IF(N($T297)&gt;0,AVERAGEIFS($V$5:$V$1000,$R$5:$R$1000,ROW(),$S$5:$S$1000,"Sub"),$V297))</f>
        <v/>
      </c>
      <c r="AA297" s="70">
        <f>IF($S297="","",IF(N($T297)&gt;0,AVERAGEIFS($W$5:$W$1000,$R$5:$R$1000,ROW(),$S$5:$S$1000,"Sub"),$W297))</f>
        <v/>
      </c>
      <c r="AB297" s="70">
        <f>IF($S297="","",IF(N($T297)&gt;0,AVERAGEIFS($X$5:$X$1000,$R$5:$R$1000,ROW(),$S$5:$S$1000,"Sub"),$X297))</f>
        <v/>
      </c>
    </row>
    <row r="298">
      <c r="A298" s="61">
        <f>IF(NOT((COUNTA($B298:$K298)+COUNTA($N298))&gt;0),"",IF($S298="Macro",COUNTIFS($S$5:$S298,"Macro",$P$5:$P298,$P298),IF(N($R298)=0,"?",COUNTIFS(INDEX($S$5:$S$1000,1):INDEX($S$5:$S$1000,$R298-4),"Macro",INDEX($P$5:$P$1000,1):INDEX($P$5:$P$1000,$R298-4),INDEX($P$5:$P$1000,$R298-4))&amp;"."&amp;COUNTIFS($R$5:$R298,$R298,$S$5:$S298,"Sub"))))</f>
        <v/>
      </c>
      <c r="B298" s="62" t="n"/>
      <c r="C298" s="63" t="n"/>
      <c r="D298" s="62" t="n"/>
      <c r="E298" s="64" t="n"/>
      <c r="F298" s="64" t="n"/>
      <c r="G298" s="65" t="n"/>
      <c r="H298" s="66" t="n"/>
      <c r="I298" s="66" t="n"/>
      <c r="J298" s="66" t="n"/>
      <c r="K298" s="66" t="n"/>
      <c r="L298" s="67">
        <f>IF(NOT((COUNTA($B298:$K298)+COUNTA($N298))&gt;0),"",IF(N($T298)&gt;0,$AB298,IFERROR(LOOKUP(2,1/(H298:K298&lt;&gt;""),H298:K298),0)))</f>
        <v/>
      </c>
      <c r="M298" s="61">
        <f>IF(L298="","",IF(L298&gt;=1,"Completado",IF(L298&gt;0,"En curso","Pendiente")))</f>
        <v/>
      </c>
      <c r="N298" s="62" t="n"/>
      <c r="O298" s="68">
        <f>IF(NOT((COUNTA($B298:$K298)+COUNTA($N298))&gt;0),"",IF((IF(AND($S298="Macro",$B298=""),"Macroactividad vacía"&amp;" · ","")&amp;IF(AND($B298&lt;&gt;"",$C298&lt;&gt;""),"Escriba la subactividad en otra fila, debajo de su macroactividad"&amp;" · ","")&amp;IF(AND($S298="Sub",N($R298)=0),"Subactividad sin macroactividad arriba"&amp;" · ","")&amp;IF($D298="","Sin responsable"&amp;" · ","")&amp;IF($E298="","Sin fecha de inicio"&amp;" · ","")&amp;IF($F298="","Sin fecha límite"&amp;" · ","")&amp;IF(OR(AND($E298&lt;&gt;"",NOT(ISNUMBER($E298))),AND($F298&lt;&gt;"",NOT(ISNUMBER($F298)))),"Fecha no válida"&amp;" · ","")&amp;IF(AND(ISNUMBER($E298),ISNUMBER($F298),$E298&gt;$F298),"Inicio posterior a fecha límite"&amp;" · ","")&amp;IF(AND($S298="Macro",$G298=""),"Peso vacío"&amp;" · ","")&amp;IF(AND($S298="Macro",$G298&lt;&gt;"",OR(NOT(ISNUMBER($G298)),$G298&lt;=0,$G298&gt;1)),"Peso fuera de rango"&amp;" · ","")&amp;IF(AND($S298="Sub",$G298&lt;&gt;""),"Las subactividades no llevan peso"&amp;" · ","")&amp;IF(AND($S298="Macro",ABS(SUMIFS($G$5:$G$1000,$P$5:$P$1000,$P298,$S$5:$S$1000,"Macro")-1)&gt;0.0001),"Pesos del mes suman "&amp;TEXT(SUMIFS($G$5:$G$1000,$P$5:$P$1000,$P298,$S$5:$S$1000,"Macro"),"0%")&amp;" · ","")&amp;IF(AND(N($T298)&gt;0,COUNT($H298:$K298)&gt;0),"Con subactividades: deje vacías las semanas (se calculan solas)"&amp;" · ","")&amp;IF((COUNTIF($H298:$K298,"&gt;1")+COUNTIF($H298:$K298,"&lt;0")+COUNTA($H298:$K298)-COUNT($H298:$K298))&gt;0,"Avance fuera de rango 0-100%"&amp;" · ","")&amp;IF(OR(AND($I298&lt;&gt;"",$I298&lt;$H298),AND($J298&lt;&gt;"",$J298&lt;MAX($H298:$I298)),AND($K298&lt;&gt;"",$K298&lt;MAX($H298:$J298))),"Avance semanal decreciente"&amp;" · ","")&amp;IF(AND(ISNUMBER($F298),$F298&lt;FechaRef,N($L298)&lt;1),"Vencida"&amp;" · ","")&amp;IF(AND(ObsObligatoria="Sí",ISNUMBER($F298),$F298&lt;FechaRef,N($L298)&lt;1,$N298=""),"Vencida sin observación"&amp;" · ",""))="","✔ OK","⚠ "&amp;LEFT(IF(AND($S298="Macro",$B298=""),"Macroactividad vacía"&amp;" · ","")&amp;IF(AND($B298&lt;&gt;"",$C298&lt;&gt;""),"Escriba la subactividad en otra fila, debajo de su macroactividad"&amp;" · ","")&amp;IF(AND($S298="Sub",N($R298)=0),"Subactividad sin macroactividad arriba"&amp;" · ","")&amp;IF($D298="","Sin responsable"&amp;" · ","")&amp;IF($E298="","Sin fecha de inicio"&amp;" · ","")&amp;IF($F298="","Sin fecha límite"&amp;" · ","")&amp;IF(OR(AND($E298&lt;&gt;"",NOT(ISNUMBER($E298))),AND($F298&lt;&gt;"",NOT(ISNUMBER($F298)))),"Fecha no válida"&amp;" · ","")&amp;IF(AND(ISNUMBER($E298),ISNUMBER($F298),$E298&gt;$F298),"Inicio posterior a fecha límite"&amp;" · ","")&amp;IF(AND($S298="Macro",$G298=""),"Peso vacío"&amp;" · ","")&amp;IF(AND($S298="Macro",$G298&lt;&gt;"",OR(NOT(ISNUMBER($G298)),$G298&lt;=0,$G298&gt;1)),"Peso fuera de rango"&amp;" · ","")&amp;IF(AND($S298="Sub",$G298&lt;&gt;""),"Las subactividades no llevan peso"&amp;" · ","")&amp;IF(AND($S298="Macro",ABS(SUMIFS($G$5:$G$1000,$P$5:$P$1000,$P298,$S$5:$S$1000,"Macro")-1)&gt;0.0001),"Pesos del mes suman "&amp;TEXT(SUMIFS($G$5:$G$1000,$P$5:$P$1000,$P298,$S$5:$S$1000,"Macro"),"0%")&amp;" · ","")&amp;IF(AND(N($T298)&gt;0,COUNT($H298:$K298)&gt;0),"Con subactividades: deje vacías las semanas (se calculan solas)"&amp;" · ","")&amp;IF((COUNTIF($H298:$K298,"&gt;1")+COUNTIF($H298:$K298,"&lt;0")+COUNTA($H298:$K298)-COUNT($H298:$K298))&gt;0,"Avance fuera de rango 0-100%"&amp;" · ","")&amp;IF(OR(AND($I298&lt;&gt;"",$I298&lt;$H298),AND($J298&lt;&gt;"",$J298&lt;MAX($H298:$I298)),AND($K298&lt;&gt;"",$K298&lt;MAX($H298:$J298))),"Avance semanal decreciente"&amp;" · ","")&amp;IF(AND(ISNUMBER($F298),$F298&lt;FechaRef,N($L298)&lt;1),"Vencida"&amp;" · ","")&amp;IF(AND(ObsObligatoria="Sí",ISNUMBER($F298),$F298&lt;FechaRef,N($L298)&lt;1,$N298=""),"Vencida sin observación"&amp;" · ",""),LEN(IF(AND($S298="Macro",$B298=""),"Macroactividad vacía"&amp;" · ","")&amp;IF(AND($B298&lt;&gt;"",$C298&lt;&gt;""),"Escriba la subactividad en otra fila, debajo de su macroactividad"&amp;" · ","")&amp;IF(AND($S298="Sub",N($R298)=0),"Subactividad sin macroactividad arriba"&amp;" · ","")&amp;IF($D298="","Sin responsable"&amp;" · ","")&amp;IF($E298="","Sin fecha de inicio"&amp;" · ","")&amp;IF($F298="","Sin fecha límite"&amp;" · ","")&amp;IF(OR(AND($E298&lt;&gt;"",NOT(ISNUMBER($E298))),AND($F298&lt;&gt;"",NOT(ISNUMBER($F298)))),"Fecha no válida"&amp;" · ","")&amp;IF(AND(ISNUMBER($E298),ISNUMBER($F298),$E298&gt;$F298),"Inicio posterior a fecha límite"&amp;" · ","")&amp;IF(AND($S298="Macro",$G298=""),"Peso vacío"&amp;" · ","")&amp;IF(AND($S298="Macro",$G298&lt;&gt;"",OR(NOT(ISNUMBER($G298)),$G298&lt;=0,$G298&gt;1)),"Peso fuera de rango"&amp;" · ","")&amp;IF(AND($S298="Sub",$G298&lt;&gt;""),"Las subactividades no llevan peso"&amp;" · ","")&amp;IF(AND($S298="Macro",ABS(SUMIFS($G$5:$G$1000,$P$5:$P$1000,$P298,$S$5:$S$1000,"Macro")-1)&gt;0.0001),"Pesos del mes suman "&amp;TEXT(SUMIFS($G$5:$G$1000,$P$5:$P$1000,$P298,$S$5:$S$1000,"Macro"),"0%")&amp;" · ","")&amp;IF(AND(N($T298)&gt;0,COUNT($H298:$K298)&gt;0),"Con subactividades: deje vacías las semanas (se calculan solas)"&amp;" · ","")&amp;IF((COUNTIF($H298:$K298,"&gt;1")+COUNTIF($H298:$K298,"&lt;0")+COUNTA($H298:$K298)-COUNT($H298:$K298))&gt;0,"Avance fuera de rango 0-100%"&amp;" · ","")&amp;IF(OR(AND($I298&lt;&gt;"",$I298&lt;$H298),AND($J298&lt;&gt;"",$J298&lt;MAX($H298:$I298)),AND($K298&lt;&gt;"",$K298&lt;MAX($H298:$J298))),"Avance semanal decreciente"&amp;" · ","")&amp;IF(AND(ISNUMBER($F298),$F298&lt;FechaRef,N($L298)&lt;1),"Vencida"&amp;" · ","")&amp;IF(AND(ObsObligatoria="Sí",ISNUMBER($F298),$F298&lt;FechaRef,N($L298)&lt;1,$N298=""),"Vencida sin observación"&amp;" · ",""))-3)))</f>
        <v/>
      </c>
      <c r="P298" s="69">
        <f>IF(NOT((COUNTA($B298:$K298)+COUNTA($N298))&gt;0),"",IF(AND($S298="Sub",N($R298)&gt;0),IF(ISNUMBER(INDEX($E$5:$E$1000,$R298-4)),DATE(YEAR(INDEX($E$5:$E$1000,$R298-4)),MONTH(INDEX($E$5:$E$1000,$R298-4)),1),IF(ISNUMBER(INDEX($F$5:$F$1000,$R298-4)),DATE(YEAR(INDEX($F$5:$F$1000,$R298-4)),MONTH(INDEX($F$5:$F$1000,$R298-4)),1),MesCiclo)),IF(ISNUMBER($E298),DATE(YEAR($E298),MONTH($E298),1),IF(ISNUMBER($F298),DATE(YEAR($F298),MONTH($F298),1),MesCiclo))))</f>
        <v/>
      </c>
      <c r="Q298" s="70">
        <f>IF(OR($P298="",$P298&lt;&gt;MesCiclo),"",COUNTIF($P$5:$P298,MesCiclo))</f>
        <v/>
      </c>
      <c r="R298" s="70">
        <f>IF($S298="","",IF($S298="Macro",ROW(),IFERROR(LOOKUP(2,1/($S$5:$S298="Macro"),ROW($S$5:$S298)),0)))</f>
        <v/>
      </c>
      <c r="S298" s="70">
        <f>IF(NOT((COUNTA($B298:$K298)+COUNTA($N298))&gt;0),"",IF($B298&lt;&gt;"","Macro",IF($C298&lt;&gt;"","Sub","Macro")))</f>
        <v/>
      </c>
      <c r="T298" s="70">
        <f>IF($S298="Macro",COUNTIFS($R$5:$R$1000,ROW(),$S$5:$S$1000,"Sub"),"")</f>
        <v/>
      </c>
      <c r="U298" s="70">
        <f>IF($S298="","",IF(ISNUMBER($H298),$H298,0))</f>
        <v/>
      </c>
      <c r="V298" s="70">
        <f>IF($S298="","",IF(ISNUMBER($I298),$I298,$U298))</f>
        <v/>
      </c>
      <c r="W298" s="70">
        <f>IF($S298="","",IF(ISNUMBER($J298),$J298,$V298))</f>
        <v/>
      </c>
      <c r="X298" s="70">
        <f>IF($S298="","",IF(ISNUMBER($K298),$K298,$W298))</f>
        <v/>
      </c>
      <c r="Y298" s="70">
        <f>IF($S298="","",IF(N($T298)&gt;0,AVERAGEIFS($U$5:$U$1000,$R$5:$R$1000,ROW(),$S$5:$S$1000,"Sub"),$U298))</f>
        <v/>
      </c>
      <c r="Z298" s="70">
        <f>IF($S298="","",IF(N($T298)&gt;0,AVERAGEIFS($V$5:$V$1000,$R$5:$R$1000,ROW(),$S$5:$S$1000,"Sub"),$V298))</f>
        <v/>
      </c>
      <c r="AA298" s="70">
        <f>IF($S298="","",IF(N($T298)&gt;0,AVERAGEIFS($W$5:$W$1000,$R$5:$R$1000,ROW(),$S$5:$S$1000,"Sub"),$W298))</f>
        <v/>
      </c>
      <c r="AB298" s="70">
        <f>IF($S298="","",IF(N($T298)&gt;0,AVERAGEIFS($X$5:$X$1000,$R$5:$R$1000,ROW(),$S$5:$S$1000,"Sub"),$X298))</f>
        <v/>
      </c>
    </row>
    <row r="299">
      <c r="A299" s="61">
        <f>IF(NOT((COUNTA($B299:$K299)+COUNTA($N299))&gt;0),"",IF($S299="Macro",COUNTIFS($S$5:$S299,"Macro",$P$5:$P299,$P299),IF(N($R299)=0,"?",COUNTIFS(INDEX($S$5:$S$1000,1):INDEX($S$5:$S$1000,$R299-4),"Macro",INDEX($P$5:$P$1000,1):INDEX($P$5:$P$1000,$R299-4),INDEX($P$5:$P$1000,$R299-4))&amp;"."&amp;COUNTIFS($R$5:$R299,$R299,$S$5:$S299,"Sub"))))</f>
        <v/>
      </c>
      <c r="B299" s="62" t="n"/>
      <c r="C299" s="63" t="n"/>
      <c r="D299" s="62" t="n"/>
      <c r="E299" s="64" t="n"/>
      <c r="F299" s="64" t="n"/>
      <c r="G299" s="65" t="n"/>
      <c r="H299" s="66" t="n"/>
      <c r="I299" s="66" t="n"/>
      <c r="J299" s="66" t="n"/>
      <c r="K299" s="66" t="n"/>
      <c r="L299" s="67">
        <f>IF(NOT((COUNTA($B299:$K299)+COUNTA($N299))&gt;0),"",IF(N($T299)&gt;0,$AB299,IFERROR(LOOKUP(2,1/(H299:K299&lt;&gt;""),H299:K299),0)))</f>
        <v/>
      </c>
      <c r="M299" s="61">
        <f>IF(L299="","",IF(L299&gt;=1,"Completado",IF(L299&gt;0,"En curso","Pendiente")))</f>
        <v/>
      </c>
      <c r="N299" s="62" t="n"/>
      <c r="O299" s="68">
        <f>IF(NOT((COUNTA($B299:$K299)+COUNTA($N299))&gt;0),"",IF((IF(AND($S299="Macro",$B299=""),"Macroactividad vacía"&amp;" · ","")&amp;IF(AND($B299&lt;&gt;"",$C299&lt;&gt;""),"Escriba la subactividad en otra fila, debajo de su macroactividad"&amp;" · ","")&amp;IF(AND($S299="Sub",N($R299)=0),"Subactividad sin macroactividad arriba"&amp;" · ","")&amp;IF($D299="","Sin responsable"&amp;" · ","")&amp;IF($E299="","Sin fecha de inicio"&amp;" · ","")&amp;IF($F299="","Sin fecha límite"&amp;" · ","")&amp;IF(OR(AND($E299&lt;&gt;"",NOT(ISNUMBER($E299))),AND($F299&lt;&gt;"",NOT(ISNUMBER($F299)))),"Fecha no válida"&amp;" · ","")&amp;IF(AND(ISNUMBER($E299),ISNUMBER($F299),$E299&gt;$F299),"Inicio posterior a fecha límite"&amp;" · ","")&amp;IF(AND($S299="Macro",$G299=""),"Peso vacío"&amp;" · ","")&amp;IF(AND($S299="Macro",$G299&lt;&gt;"",OR(NOT(ISNUMBER($G299)),$G299&lt;=0,$G299&gt;1)),"Peso fuera de rango"&amp;" · ","")&amp;IF(AND($S299="Sub",$G299&lt;&gt;""),"Las subactividades no llevan peso"&amp;" · ","")&amp;IF(AND($S299="Macro",ABS(SUMIFS($G$5:$G$1000,$P$5:$P$1000,$P299,$S$5:$S$1000,"Macro")-1)&gt;0.0001),"Pesos del mes suman "&amp;TEXT(SUMIFS($G$5:$G$1000,$P$5:$P$1000,$P299,$S$5:$S$1000,"Macro"),"0%")&amp;" · ","")&amp;IF(AND(N($T299)&gt;0,COUNT($H299:$K299)&gt;0),"Con subactividades: deje vacías las semanas (se calculan solas)"&amp;" · ","")&amp;IF((COUNTIF($H299:$K299,"&gt;1")+COUNTIF($H299:$K299,"&lt;0")+COUNTA($H299:$K299)-COUNT($H299:$K299))&gt;0,"Avance fuera de rango 0-100%"&amp;" · ","")&amp;IF(OR(AND($I299&lt;&gt;"",$I299&lt;$H299),AND($J299&lt;&gt;"",$J299&lt;MAX($H299:$I299)),AND($K299&lt;&gt;"",$K299&lt;MAX($H299:$J299))),"Avance semanal decreciente"&amp;" · ","")&amp;IF(AND(ISNUMBER($F299),$F299&lt;FechaRef,N($L299)&lt;1),"Vencida"&amp;" · ","")&amp;IF(AND(ObsObligatoria="Sí",ISNUMBER($F299),$F299&lt;FechaRef,N($L299)&lt;1,$N299=""),"Vencida sin observación"&amp;" · ",""))="","✔ OK","⚠ "&amp;LEFT(IF(AND($S299="Macro",$B299=""),"Macroactividad vacía"&amp;" · ","")&amp;IF(AND($B299&lt;&gt;"",$C299&lt;&gt;""),"Escriba la subactividad en otra fila, debajo de su macroactividad"&amp;" · ","")&amp;IF(AND($S299="Sub",N($R299)=0),"Subactividad sin macroactividad arriba"&amp;" · ","")&amp;IF($D299="","Sin responsable"&amp;" · ","")&amp;IF($E299="","Sin fecha de inicio"&amp;" · ","")&amp;IF($F299="","Sin fecha límite"&amp;" · ","")&amp;IF(OR(AND($E299&lt;&gt;"",NOT(ISNUMBER($E299))),AND($F299&lt;&gt;"",NOT(ISNUMBER($F299)))),"Fecha no válida"&amp;" · ","")&amp;IF(AND(ISNUMBER($E299),ISNUMBER($F299),$E299&gt;$F299),"Inicio posterior a fecha límite"&amp;" · ","")&amp;IF(AND($S299="Macro",$G299=""),"Peso vacío"&amp;" · ","")&amp;IF(AND($S299="Macro",$G299&lt;&gt;"",OR(NOT(ISNUMBER($G299)),$G299&lt;=0,$G299&gt;1)),"Peso fuera de rango"&amp;" · ","")&amp;IF(AND($S299="Sub",$G299&lt;&gt;""),"Las subactividades no llevan peso"&amp;" · ","")&amp;IF(AND($S299="Macro",ABS(SUMIFS($G$5:$G$1000,$P$5:$P$1000,$P299,$S$5:$S$1000,"Macro")-1)&gt;0.0001),"Pesos del mes suman "&amp;TEXT(SUMIFS($G$5:$G$1000,$P$5:$P$1000,$P299,$S$5:$S$1000,"Macro"),"0%")&amp;" · ","")&amp;IF(AND(N($T299)&gt;0,COUNT($H299:$K299)&gt;0),"Con subactividades: deje vacías las semanas (se calculan solas)"&amp;" · ","")&amp;IF((COUNTIF($H299:$K299,"&gt;1")+COUNTIF($H299:$K299,"&lt;0")+COUNTA($H299:$K299)-COUNT($H299:$K299))&gt;0,"Avance fuera de rango 0-100%"&amp;" · ","")&amp;IF(OR(AND($I299&lt;&gt;"",$I299&lt;$H299),AND($J299&lt;&gt;"",$J299&lt;MAX($H299:$I299)),AND($K299&lt;&gt;"",$K299&lt;MAX($H299:$J299))),"Avance semanal decreciente"&amp;" · ","")&amp;IF(AND(ISNUMBER($F299),$F299&lt;FechaRef,N($L299)&lt;1),"Vencida"&amp;" · ","")&amp;IF(AND(ObsObligatoria="Sí",ISNUMBER($F299),$F299&lt;FechaRef,N($L299)&lt;1,$N299=""),"Vencida sin observación"&amp;" · ",""),LEN(IF(AND($S299="Macro",$B299=""),"Macroactividad vacía"&amp;" · ","")&amp;IF(AND($B299&lt;&gt;"",$C299&lt;&gt;""),"Escriba la subactividad en otra fila, debajo de su macroactividad"&amp;" · ","")&amp;IF(AND($S299="Sub",N($R299)=0),"Subactividad sin macroactividad arriba"&amp;" · ","")&amp;IF($D299="","Sin responsable"&amp;" · ","")&amp;IF($E299="","Sin fecha de inicio"&amp;" · ","")&amp;IF($F299="","Sin fecha límite"&amp;" · ","")&amp;IF(OR(AND($E299&lt;&gt;"",NOT(ISNUMBER($E299))),AND($F299&lt;&gt;"",NOT(ISNUMBER($F299)))),"Fecha no válida"&amp;" · ","")&amp;IF(AND(ISNUMBER($E299),ISNUMBER($F299),$E299&gt;$F299),"Inicio posterior a fecha límite"&amp;" · ","")&amp;IF(AND($S299="Macro",$G299=""),"Peso vacío"&amp;" · ","")&amp;IF(AND($S299="Macro",$G299&lt;&gt;"",OR(NOT(ISNUMBER($G299)),$G299&lt;=0,$G299&gt;1)),"Peso fuera de rango"&amp;" · ","")&amp;IF(AND($S299="Sub",$G299&lt;&gt;""),"Las subactividades no llevan peso"&amp;" · ","")&amp;IF(AND($S299="Macro",ABS(SUMIFS($G$5:$G$1000,$P$5:$P$1000,$P299,$S$5:$S$1000,"Macro")-1)&gt;0.0001),"Pesos del mes suman "&amp;TEXT(SUMIFS($G$5:$G$1000,$P$5:$P$1000,$P299,$S$5:$S$1000,"Macro"),"0%")&amp;" · ","")&amp;IF(AND(N($T299)&gt;0,COUNT($H299:$K299)&gt;0),"Con subactividades: deje vacías las semanas (se calculan solas)"&amp;" · ","")&amp;IF((COUNTIF($H299:$K299,"&gt;1")+COUNTIF($H299:$K299,"&lt;0")+COUNTA($H299:$K299)-COUNT($H299:$K299))&gt;0,"Avance fuera de rango 0-100%"&amp;" · ","")&amp;IF(OR(AND($I299&lt;&gt;"",$I299&lt;$H299),AND($J299&lt;&gt;"",$J299&lt;MAX($H299:$I299)),AND($K299&lt;&gt;"",$K299&lt;MAX($H299:$J299))),"Avance semanal decreciente"&amp;" · ","")&amp;IF(AND(ISNUMBER($F299),$F299&lt;FechaRef,N($L299)&lt;1),"Vencida"&amp;" · ","")&amp;IF(AND(ObsObligatoria="Sí",ISNUMBER($F299),$F299&lt;FechaRef,N($L299)&lt;1,$N299=""),"Vencida sin observación"&amp;" · ",""))-3)))</f>
        <v/>
      </c>
      <c r="P299" s="69">
        <f>IF(NOT((COUNTA($B299:$K299)+COUNTA($N299))&gt;0),"",IF(AND($S299="Sub",N($R299)&gt;0),IF(ISNUMBER(INDEX($E$5:$E$1000,$R299-4)),DATE(YEAR(INDEX($E$5:$E$1000,$R299-4)),MONTH(INDEX($E$5:$E$1000,$R299-4)),1),IF(ISNUMBER(INDEX($F$5:$F$1000,$R299-4)),DATE(YEAR(INDEX($F$5:$F$1000,$R299-4)),MONTH(INDEX($F$5:$F$1000,$R299-4)),1),MesCiclo)),IF(ISNUMBER($E299),DATE(YEAR($E299),MONTH($E299),1),IF(ISNUMBER($F299),DATE(YEAR($F299),MONTH($F299),1),MesCiclo))))</f>
        <v/>
      </c>
      <c r="Q299" s="70">
        <f>IF(OR($P299="",$P299&lt;&gt;MesCiclo),"",COUNTIF($P$5:$P299,MesCiclo))</f>
        <v/>
      </c>
      <c r="R299" s="70">
        <f>IF($S299="","",IF($S299="Macro",ROW(),IFERROR(LOOKUP(2,1/($S$5:$S299="Macro"),ROW($S$5:$S299)),0)))</f>
        <v/>
      </c>
      <c r="S299" s="70">
        <f>IF(NOT((COUNTA($B299:$K299)+COUNTA($N299))&gt;0),"",IF($B299&lt;&gt;"","Macro",IF($C299&lt;&gt;"","Sub","Macro")))</f>
        <v/>
      </c>
      <c r="T299" s="70">
        <f>IF($S299="Macro",COUNTIFS($R$5:$R$1000,ROW(),$S$5:$S$1000,"Sub"),"")</f>
        <v/>
      </c>
      <c r="U299" s="70">
        <f>IF($S299="","",IF(ISNUMBER($H299),$H299,0))</f>
        <v/>
      </c>
      <c r="V299" s="70">
        <f>IF($S299="","",IF(ISNUMBER($I299),$I299,$U299))</f>
        <v/>
      </c>
      <c r="W299" s="70">
        <f>IF($S299="","",IF(ISNUMBER($J299),$J299,$V299))</f>
        <v/>
      </c>
      <c r="X299" s="70">
        <f>IF($S299="","",IF(ISNUMBER($K299),$K299,$W299))</f>
        <v/>
      </c>
      <c r="Y299" s="70">
        <f>IF($S299="","",IF(N($T299)&gt;0,AVERAGEIFS($U$5:$U$1000,$R$5:$R$1000,ROW(),$S$5:$S$1000,"Sub"),$U299))</f>
        <v/>
      </c>
      <c r="Z299" s="70">
        <f>IF($S299="","",IF(N($T299)&gt;0,AVERAGEIFS($V$5:$V$1000,$R$5:$R$1000,ROW(),$S$5:$S$1000,"Sub"),$V299))</f>
        <v/>
      </c>
      <c r="AA299" s="70">
        <f>IF($S299="","",IF(N($T299)&gt;0,AVERAGEIFS($W$5:$W$1000,$R$5:$R$1000,ROW(),$S$5:$S$1000,"Sub"),$W299))</f>
        <v/>
      </c>
      <c r="AB299" s="70">
        <f>IF($S299="","",IF(N($T299)&gt;0,AVERAGEIFS($X$5:$X$1000,$R$5:$R$1000,ROW(),$S$5:$S$1000,"Sub"),$X299))</f>
        <v/>
      </c>
    </row>
    <row r="300">
      <c r="A300" s="61">
        <f>IF(NOT((COUNTA($B300:$K300)+COUNTA($N300))&gt;0),"",IF($S300="Macro",COUNTIFS($S$5:$S300,"Macro",$P$5:$P300,$P300),IF(N($R300)=0,"?",COUNTIFS(INDEX($S$5:$S$1000,1):INDEX($S$5:$S$1000,$R300-4),"Macro",INDEX($P$5:$P$1000,1):INDEX($P$5:$P$1000,$R300-4),INDEX($P$5:$P$1000,$R300-4))&amp;"."&amp;COUNTIFS($R$5:$R300,$R300,$S$5:$S300,"Sub"))))</f>
        <v/>
      </c>
      <c r="B300" s="62" t="n"/>
      <c r="C300" s="63" t="n"/>
      <c r="D300" s="62" t="n"/>
      <c r="E300" s="64" t="n"/>
      <c r="F300" s="64" t="n"/>
      <c r="G300" s="65" t="n"/>
      <c r="H300" s="66" t="n"/>
      <c r="I300" s="66" t="n"/>
      <c r="J300" s="66" t="n"/>
      <c r="K300" s="66" t="n"/>
      <c r="L300" s="67">
        <f>IF(NOT((COUNTA($B300:$K300)+COUNTA($N300))&gt;0),"",IF(N($T300)&gt;0,$AB300,IFERROR(LOOKUP(2,1/(H300:K300&lt;&gt;""),H300:K300),0)))</f>
        <v/>
      </c>
      <c r="M300" s="61">
        <f>IF(L300="","",IF(L300&gt;=1,"Completado",IF(L300&gt;0,"En curso","Pendiente")))</f>
        <v/>
      </c>
      <c r="N300" s="62" t="n"/>
      <c r="O300" s="68">
        <f>IF(NOT((COUNTA($B300:$K300)+COUNTA($N300))&gt;0),"",IF((IF(AND($S300="Macro",$B300=""),"Macroactividad vacía"&amp;" · ","")&amp;IF(AND($B300&lt;&gt;"",$C300&lt;&gt;""),"Escriba la subactividad en otra fila, debajo de su macroactividad"&amp;" · ","")&amp;IF(AND($S300="Sub",N($R300)=0),"Subactividad sin macroactividad arriba"&amp;" · ","")&amp;IF($D300="","Sin responsable"&amp;" · ","")&amp;IF($E300="","Sin fecha de inicio"&amp;" · ","")&amp;IF($F300="","Sin fecha límite"&amp;" · ","")&amp;IF(OR(AND($E300&lt;&gt;"",NOT(ISNUMBER($E300))),AND($F300&lt;&gt;"",NOT(ISNUMBER($F300)))),"Fecha no válida"&amp;" · ","")&amp;IF(AND(ISNUMBER($E300),ISNUMBER($F300),$E300&gt;$F300),"Inicio posterior a fecha límite"&amp;" · ","")&amp;IF(AND($S300="Macro",$G300=""),"Peso vacío"&amp;" · ","")&amp;IF(AND($S300="Macro",$G300&lt;&gt;"",OR(NOT(ISNUMBER($G300)),$G300&lt;=0,$G300&gt;1)),"Peso fuera de rango"&amp;" · ","")&amp;IF(AND($S300="Sub",$G300&lt;&gt;""),"Las subactividades no llevan peso"&amp;" · ","")&amp;IF(AND($S300="Macro",ABS(SUMIFS($G$5:$G$1000,$P$5:$P$1000,$P300,$S$5:$S$1000,"Macro")-1)&gt;0.0001),"Pesos del mes suman "&amp;TEXT(SUMIFS($G$5:$G$1000,$P$5:$P$1000,$P300,$S$5:$S$1000,"Macro"),"0%")&amp;" · ","")&amp;IF(AND(N($T300)&gt;0,COUNT($H300:$K300)&gt;0),"Con subactividades: deje vacías las semanas (se calculan solas)"&amp;" · ","")&amp;IF((COUNTIF($H300:$K300,"&gt;1")+COUNTIF($H300:$K300,"&lt;0")+COUNTA($H300:$K300)-COUNT($H300:$K300))&gt;0,"Avance fuera de rango 0-100%"&amp;" · ","")&amp;IF(OR(AND($I300&lt;&gt;"",$I300&lt;$H300),AND($J300&lt;&gt;"",$J300&lt;MAX($H300:$I300)),AND($K300&lt;&gt;"",$K300&lt;MAX($H300:$J300))),"Avance semanal decreciente"&amp;" · ","")&amp;IF(AND(ISNUMBER($F300),$F300&lt;FechaRef,N($L300)&lt;1),"Vencida"&amp;" · ","")&amp;IF(AND(ObsObligatoria="Sí",ISNUMBER($F300),$F300&lt;FechaRef,N($L300)&lt;1,$N300=""),"Vencida sin observación"&amp;" · ",""))="","✔ OK","⚠ "&amp;LEFT(IF(AND($S300="Macro",$B300=""),"Macroactividad vacía"&amp;" · ","")&amp;IF(AND($B300&lt;&gt;"",$C300&lt;&gt;""),"Escriba la subactividad en otra fila, debajo de su macroactividad"&amp;" · ","")&amp;IF(AND($S300="Sub",N($R300)=0),"Subactividad sin macroactividad arriba"&amp;" · ","")&amp;IF($D300="","Sin responsable"&amp;" · ","")&amp;IF($E300="","Sin fecha de inicio"&amp;" · ","")&amp;IF($F300="","Sin fecha límite"&amp;" · ","")&amp;IF(OR(AND($E300&lt;&gt;"",NOT(ISNUMBER($E300))),AND($F300&lt;&gt;"",NOT(ISNUMBER($F300)))),"Fecha no válida"&amp;" · ","")&amp;IF(AND(ISNUMBER($E300),ISNUMBER($F300),$E300&gt;$F300),"Inicio posterior a fecha límite"&amp;" · ","")&amp;IF(AND($S300="Macro",$G300=""),"Peso vacío"&amp;" · ","")&amp;IF(AND($S300="Macro",$G300&lt;&gt;"",OR(NOT(ISNUMBER($G300)),$G300&lt;=0,$G300&gt;1)),"Peso fuera de rango"&amp;" · ","")&amp;IF(AND($S300="Sub",$G300&lt;&gt;""),"Las subactividades no llevan peso"&amp;" · ","")&amp;IF(AND($S300="Macro",ABS(SUMIFS($G$5:$G$1000,$P$5:$P$1000,$P300,$S$5:$S$1000,"Macro")-1)&gt;0.0001),"Pesos del mes suman "&amp;TEXT(SUMIFS($G$5:$G$1000,$P$5:$P$1000,$P300,$S$5:$S$1000,"Macro"),"0%")&amp;" · ","")&amp;IF(AND(N($T300)&gt;0,COUNT($H300:$K300)&gt;0),"Con subactividades: deje vacías las semanas (se calculan solas)"&amp;" · ","")&amp;IF((COUNTIF($H300:$K300,"&gt;1")+COUNTIF($H300:$K300,"&lt;0")+COUNTA($H300:$K300)-COUNT($H300:$K300))&gt;0,"Avance fuera de rango 0-100%"&amp;" · ","")&amp;IF(OR(AND($I300&lt;&gt;"",$I300&lt;$H300),AND($J300&lt;&gt;"",$J300&lt;MAX($H300:$I300)),AND($K300&lt;&gt;"",$K300&lt;MAX($H300:$J300))),"Avance semanal decreciente"&amp;" · ","")&amp;IF(AND(ISNUMBER($F300),$F300&lt;FechaRef,N($L300)&lt;1),"Vencida"&amp;" · ","")&amp;IF(AND(ObsObligatoria="Sí",ISNUMBER($F300),$F300&lt;FechaRef,N($L300)&lt;1,$N300=""),"Vencida sin observación"&amp;" · ",""),LEN(IF(AND($S300="Macro",$B300=""),"Macroactividad vacía"&amp;" · ","")&amp;IF(AND($B300&lt;&gt;"",$C300&lt;&gt;""),"Escriba la subactividad en otra fila, debajo de su macroactividad"&amp;" · ","")&amp;IF(AND($S300="Sub",N($R300)=0),"Subactividad sin macroactividad arriba"&amp;" · ","")&amp;IF($D300="","Sin responsable"&amp;" · ","")&amp;IF($E300="","Sin fecha de inicio"&amp;" · ","")&amp;IF($F300="","Sin fecha límite"&amp;" · ","")&amp;IF(OR(AND($E300&lt;&gt;"",NOT(ISNUMBER($E300))),AND($F300&lt;&gt;"",NOT(ISNUMBER($F300)))),"Fecha no válida"&amp;" · ","")&amp;IF(AND(ISNUMBER($E300),ISNUMBER($F300),$E300&gt;$F300),"Inicio posterior a fecha límite"&amp;" · ","")&amp;IF(AND($S300="Macro",$G300=""),"Peso vacío"&amp;" · ","")&amp;IF(AND($S300="Macro",$G300&lt;&gt;"",OR(NOT(ISNUMBER($G300)),$G300&lt;=0,$G300&gt;1)),"Peso fuera de rango"&amp;" · ","")&amp;IF(AND($S300="Sub",$G300&lt;&gt;""),"Las subactividades no llevan peso"&amp;" · ","")&amp;IF(AND($S300="Macro",ABS(SUMIFS($G$5:$G$1000,$P$5:$P$1000,$P300,$S$5:$S$1000,"Macro")-1)&gt;0.0001),"Pesos del mes suman "&amp;TEXT(SUMIFS($G$5:$G$1000,$P$5:$P$1000,$P300,$S$5:$S$1000,"Macro"),"0%")&amp;" · ","")&amp;IF(AND(N($T300)&gt;0,COUNT($H300:$K300)&gt;0),"Con subactividades: deje vacías las semanas (se calculan solas)"&amp;" · ","")&amp;IF((COUNTIF($H300:$K300,"&gt;1")+COUNTIF($H300:$K300,"&lt;0")+COUNTA($H300:$K300)-COUNT($H300:$K300))&gt;0,"Avance fuera de rango 0-100%"&amp;" · ","")&amp;IF(OR(AND($I300&lt;&gt;"",$I300&lt;$H300),AND($J300&lt;&gt;"",$J300&lt;MAX($H300:$I300)),AND($K300&lt;&gt;"",$K300&lt;MAX($H300:$J300))),"Avance semanal decreciente"&amp;" · ","")&amp;IF(AND(ISNUMBER($F300),$F300&lt;FechaRef,N($L300)&lt;1),"Vencida"&amp;" · ","")&amp;IF(AND(ObsObligatoria="Sí",ISNUMBER($F300),$F300&lt;FechaRef,N($L300)&lt;1,$N300=""),"Vencida sin observación"&amp;" · ",""))-3)))</f>
        <v/>
      </c>
      <c r="P300" s="69">
        <f>IF(NOT((COUNTA($B300:$K300)+COUNTA($N300))&gt;0),"",IF(AND($S300="Sub",N($R300)&gt;0),IF(ISNUMBER(INDEX($E$5:$E$1000,$R300-4)),DATE(YEAR(INDEX($E$5:$E$1000,$R300-4)),MONTH(INDEX($E$5:$E$1000,$R300-4)),1),IF(ISNUMBER(INDEX($F$5:$F$1000,$R300-4)),DATE(YEAR(INDEX($F$5:$F$1000,$R300-4)),MONTH(INDEX($F$5:$F$1000,$R300-4)),1),MesCiclo)),IF(ISNUMBER($E300),DATE(YEAR($E300),MONTH($E300),1),IF(ISNUMBER($F300),DATE(YEAR($F300),MONTH($F300),1),MesCiclo))))</f>
        <v/>
      </c>
      <c r="Q300" s="70">
        <f>IF(OR($P300="",$P300&lt;&gt;MesCiclo),"",COUNTIF($P$5:$P300,MesCiclo))</f>
        <v/>
      </c>
      <c r="R300" s="70">
        <f>IF($S300="","",IF($S300="Macro",ROW(),IFERROR(LOOKUP(2,1/($S$5:$S300="Macro"),ROW($S$5:$S300)),0)))</f>
        <v/>
      </c>
      <c r="S300" s="70">
        <f>IF(NOT((COUNTA($B300:$K300)+COUNTA($N300))&gt;0),"",IF($B300&lt;&gt;"","Macro",IF($C300&lt;&gt;"","Sub","Macro")))</f>
        <v/>
      </c>
      <c r="T300" s="70">
        <f>IF($S300="Macro",COUNTIFS($R$5:$R$1000,ROW(),$S$5:$S$1000,"Sub"),"")</f>
        <v/>
      </c>
      <c r="U300" s="70">
        <f>IF($S300="","",IF(ISNUMBER($H300),$H300,0))</f>
        <v/>
      </c>
      <c r="V300" s="70">
        <f>IF($S300="","",IF(ISNUMBER($I300),$I300,$U300))</f>
        <v/>
      </c>
      <c r="W300" s="70">
        <f>IF($S300="","",IF(ISNUMBER($J300),$J300,$V300))</f>
        <v/>
      </c>
      <c r="X300" s="70">
        <f>IF($S300="","",IF(ISNUMBER($K300),$K300,$W300))</f>
        <v/>
      </c>
      <c r="Y300" s="70">
        <f>IF($S300="","",IF(N($T300)&gt;0,AVERAGEIFS($U$5:$U$1000,$R$5:$R$1000,ROW(),$S$5:$S$1000,"Sub"),$U300))</f>
        <v/>
      </c>
      <c r="Z300" s="70">
        <f>IF($S300="","",IF(N($T300)&gt;0,AVERAGEIFS($V$5:$V$1000,$R$5:$R$1000,ROW(),$S$5:$S$1000,"Sub"),$V300))</f>
        <v/>
      </c>
      <c r="AA300" s="70">
        <f>IF($S300="","",IF(N($T300)&gt;0,AVERAGEIFS($W$5:$W$1000,$R$5:$R$1000,ROW(),$S$5:$S$1000,"Sub"),$W300))</f>
        <v/>
      </c>
      <c r="AB300" s="70">
        <f>IF($S300="","",IF(N($T300)&gt;0,AVERAGEIFS($X$5:$X$1000,$R$5:$R$1000,ROW(),$S$5:$S$1000,"Sub"),$X300))</f>
        <v/>
      </c>
    </row>
    <row r="301">
      <c r="A301" s="61">
        <f>IF(NOT((COUNTA($B301:$K301)+COUNTA($N301))&gt;0),"",IF($S301="Macro",COUNTIFS($S$5:$S301,"Macro",$P$5:$P301,$P301),IF(N($R301)=0,"?",COUNTIFS(INDEX($S$5:$S$1000,1):INDEX($S$5:$S$1000,$R301-4),"Macro",INDEX($P$5:$P$1000,1):INDEX($P$5:$P$1000,$R301-4),INDEX($P$5:$P$1000,$R301-4))&amp;"."&amp;COUNTIFS($R$5:$R301,$R301,$S$5:$S301,"Sub"))))</f>
        <v/>
      </c>
      <c r="B301" s="62" t="n"/>
      <c r="C301" s="63" t="n"/>
      <c r="D301" s="62" t="n"/>
      <c r="E301" s="64" t="n"/>
      <c r="F301" s="64" t="n"/>
      <c r="G301" s="65" t="n"/>
      <c r="H301" s="66" t="n"/>
      <c r="I301" s="66" t="n"/>
      <c r="J301" s="66" t="n"/>
      <c r="K301" s="66" t="n"/>
      <c r="L301" s="67">
        <f>IF(NOT((COUNTA($B301:$K301)+COUNTA($N301))&gt;0),"",IF(N($T301)&gt;0,$AB301,IFERROR(LOOKUP(2,1/(H301:K301&lt;&gt;""),H301:K301),0)))</f>
        <v/>
      </c>
      <c r="M301" s="61">
        <f>IF(L301="","",IF(L301&gt;=1,"Completado",IF(L301&gt;0,"En curso","Pendiente")))</f>
        <v/>
      </c>
      <c r="N301" s="62" t="n"/>
      <c r="O301" s="68">
        <f>IF(NOT((COUNTA($B301:$K301)+COUNTA($N301))&gt;0),"",IF((IF(AND($S301="Macro",$B301=""),"Macroactividad vacía"&amp;" · ","")&amp;IF(AND($B301&lt;&gt;"",$C301&lt;&gt;""),"Escriba la subactividad en otra fila, debajo de su macroactividad"&amp;" · ","")&amp;IF(AND($S301="Sub",N($R301)=0),"Subactividad sin macroactividad arriba"&amp;" · ","")&amp;IF($D301="","Sin responsable"&amp;" · ","")&amp;IF($E301="","Sin fecha de inicio"&amp;" · ","")&amp;IF($F301="","Sin fecha límite"&amp;" · ","")&amp;IF(OR(AND($E301&lt;&gt;"",NOT(ISNUMBER($E301))),AND($F301&lt;&gt;"",NOT(ISNUMBER($F301)))),"Fecha no válida"&amp;" · ","")&amp;IF(AND(ISNUMBER($E301),ISNUMBER($F301),$E301&gt;$F301),"Inicio posterior a fecha límite"&amp;" · ","")&amp;IF(AND($S301="Macro",$G301=""),"Peso vacío"&amp;" · ","")&amp;IF(AND($S301="Macro",$G301&lt;&gt;"",OR(NOT(ISNUMBER($G301)),$G301&lt;=0,$G301&gt;1)),"Peso fuera de rango"&amp;" · ","")&amp;IF(AND($S301="Sub",$G301&lt;&gt;""),"Las subactividades no llevan peso"&amp;" · ","")&amp;IF(AND($S301="Macro",ABS(SUMIFS($G$5:$G$1000,$P$5:$P$1000,$P301,$S$5:$S$1000,"Macro")-1)&gt;0.0001),"Pesos del mes suman "&amp;TEXT(SUMIFS($G$5:$G$1000,$P$5:$P$1000,$P301,$S$5:$S$1000,"Macro"),"0%")&amp;" · ","")&amp;IF(AND(N($T301)&gt;0,COUNT($H301:$K301)&gt;0),"Con subactividades: deje vacías las semanas (se calculan solas)"&amp;" · ","")&amp;IF((COUNTIF($H301:$K301,"&gt;1")+COUNTIF($H301:$K301,"&lt;0")+COUNTA($H301:$K301)-COUNT($H301:$K301))&gt;0,"Avance fuera de rango 0-100%"&amp;" · ","")&amp;IF(OR(AND($I301&lt;&gt;"",$I301&lt;$H301),AND($J301&lt;&gt;"",$J301&lt;MAX($H301:$I301)),AND($K301&lt;&gt;"",$K301&lt;MAX($H301:$J301))),"Avance semanal decreciente"&amp;" · ","")&amp;IF(AND(ISNUMBER($F301),$F301&lt;FechaRef,N($L301)&lt;1),"Vencida"&amp;" · ","")&amp;IF(AND(ObsObligatoria="Sí",ISNUMBER($F301),$F301&lt;FechaRef,N($L301)&lt;1,$N301=""),"Vencida sin observación"&amp;" · ",""))="","✔ OK","⚠ "&amp;LEFT(IF(AND($S301="Macro",$B301=""),"Macroactividad vacía"&amp;" · ","")&amp;IF(AND($B301&lt;&gt;"",$C301&lt;&gt;""),"Escriba la subactividad en otra fila, debajo de su macroactividad"&amp;" · ","")&amp;IF(AND($S301="Sub",N($R301)=0),"Subactividad sin macroactividad arriba"&amp;" · ","")&amp;IF($D301="","Sin responsable"&amp;" · ","")&amp;IF($E301="","Sin fecha de inicio"&amp;" · ","")&amp;IF($F301="","Sin fecha límite"&amp;" · ","")&amp;IF(OR(AND($E301&lt;&gt;"",NOT(ISNUMBER($E301))),AND($F301&lt;&gt;"",NOT(ISNUMBER($F301)))),"Fecha no válida"&amp;" · ","")&amp;IF(AND(ISNUMBER($E301),ISNUMBER($F301),$E301&gt;$F301),"Inicio posterior a fecha límite"&amp;" · ","")&amp;IF(AND($S301="Macro",$G301=""),"Peso vacío"&amp;" · ","")&amp;IF(AND($S301="Macro",$G301&lt;&gt;"",OR(NOT(ISNUMBER($G301)),$G301&lt;=0,$G301&gt;1)),"Peso fuera de rango"&amp;" · ","")&amp;IF(AND($S301="Sub",$G301&lt;&gt;""),"Las subactividades no llevan peso"&amp;" · ","")&amp;IF(AND($S301="Macro",ABS(SUMIFS($G$5:$G$1000,$P$5:$P$1000,$P301,$S$5:$S$1000,"Macro")-1)&gt;0.0001),"Pesos del mes suman "&amp;TEXT(SUMIFS($G$5:$G$1000,$P$5:$P$1000,$P301,$S$5:$S$1000,"Macro"),"0%")&amp;" · ","")&amp;IF(AND(N($T301)&gt;0,COUNT($H301:$K301)&gt;0),"Con subactividades: deje vacías las semanas (se calculan solas)"&amp;" · ","")&amp;IF((COUNTIF($H301:$K301,"&gt;1")+COUNTIF($H301:$K301,"&lt;0")+COUNTA($H301:$K301)-COUNT($H301:$K301))&gt;0,"Avance fuera de rango 0-100%"&amp;" · ","")&amp;IF(OR(AND($I301&lt;&gt;"",$I301&lt;$H301),AND($J301&lt;&gt;"",$J301&lt;MAX($H301:$I301)),AND($K301&lt;&gt;"",$K301&lt;MAX($H301:$J301))),"Avance semanal decreciente"&amp;" · ","")&amp;IF(AND(ISNUMBER($F301),$F301&lt;FechaRef,N($L301)&lt;1),"Vencida"&amp;" · ","")&amp;IF(AND(ObsObligatoria="Sí",ISNUMBER($F301),$F301&lt;FechaRef,N($L301)&lt;1,$N301=""),"Vencida sin observación"&amp;" · ",""),LEN(IF(AND($S301="Macro",$B301=""),"Macroactividad vacía"&amp;" · ","")&amp;IF(AND($B301&lt;&gt;"",$C301&lt;&gt;""),"Escriba la subactividad en otra fila, debajo de su macroactividad"&amp;" · ","")&amp;IF(AND($S301="Sub",N($R301)=0),"Subactividad sin macroactividad arriba"&amp;" · ","")&amp;IF($D301="","Sin responsable"&amp;" · ","")&amp;IF($E301="","Sin fecha de inicio"&amp;" · ","")&amp;IF($F301="","Sin fecha límite"&amp;" · ","")&amp;IF(OR(AND($E301&lt;&gt;"",NOT(ISNUMBER($E301))),AND($F301&lt;&gt;"",NOT(ISNUMBER($F301)))),"Fecha no válida"&amp;" · ","")&amp;IF(AND(ISNUMBER($E301),ISNUMBER($F301),$E301&gt;$F301),"Inicio posterior a fecha límite"&amp;" · ","")&amp;IF(AND($S301="Macro",$G301=""),"Peso vacío"&amp;" · ","")&amp;IF(AND($S301="Macro",$G301&lt;&gt;"",OR(NOT(ISNUMBER($G301)),$G301&lt;=0,$G301&gt;1)),"Peso fuera de rango"&amp;" · ","")&amp;IF(AND($S301="Sub",$G301&lt;&gt;""),"Las subactividades no llevan peso"&amp;" · ","")&amp;IF(AND($S301="Macro",ABS(SUMIFS($G$5:$G$1000,$P$5:$P$1000,$P301,$S$5:$S$1000,"Macro")-1)&gt;0.0001),"Pesos del mes suman "&amp;TEXT(SUMIFS($G$5:$G$1000,$P$5:$P$1000,$P301,$S$5:$S$1000,"Macro"),"0%")&amp;" · ","")&amp;IF(AND(N($T301)&gt;0,COUNT($H301:$K301)&gt;0),"Con subactividades: deje vacías las semanas (se calculan solas)"&amp;" · ","")&amp;IF((COUNTIF($H301:$K301,"&gt;1")+COUNTIF($H301:$K301,"&lt;0")+COUNTA($H301:$K301)-COUNT($H301:$K301))&gt;0,"Avance fuera de rango 0-100%"&amp;" · ","")&amp;IF(OR(AND($I301&lt;&gt;"",$I301&lt;$H301),AND($J301&lt;&gt;"",$J301&lt;MAX($H301:$I301)),AND($K301&lt;&gt;"",$K301&lt;MAX($H301:$J301))),"Avance semanal decreciente"&amp;" · ","")&amp;IF(AND(ISNUMBER($F301),$F301&lt;FechaRef,N($L301)&lt;1),"Vencida"&amp;" · ","")&amp;IF(AND(ObsObligatoria="Sí",ISNUMBER($F301),$F301&lt;FechaRef,N($L301)&lt;1,$N301=""),"Vencida sin observación"&amp;" · ",""))-3)))</f>
        <v/>
      </c>
      <c r="P301" s="69">
        <f>IF(NOT((COUNTA($B301:$K301)+COUNTA($N301))&gt;0),"",IF(AND($S301="Sub",N($R301)&gt;0),IF(ISNUMBER(INDEX($E$5:$E$1000,$R301-4)),DATE(YEAR(INDEX($E$5:$E$1000,$R301-4)),MONTH(INDEX($E$5:$E$1000,$R301-4)),1),IF(ISNUMBER(INDEX($F$5:$F$1000,$R301-4)),DATE(YEAR(INDEX($F$5:$F$1000,$R301-4)),MONTH(INDEX($F$5:$F$1000,$R301-4)),1),MesCiclo)),IF(ISNUMBER($E301),DATE(YEAR($E301),MONTH($E301),1),IF(ISNUMBER($F301),DATE(YEAR($F301),MONTH($F301),1),MesCiclo))))</f>
        <v/>
      </c>
      <c r="Q301" s="70">
        <f>IF(OR($P301="",$P301&lt;&gt;MesCiclo),"",COUNTIF($P$5:$P301,MesCiclo))</f>
        <v/>
      </c>
      <c r="R301" s="70">
        <f>IF($S301="","",IF($S301="Macro",ROW(),IFERROR(LOOKUP(2,1/($S$5:$S301="Macro"),ROW($S$5:$S301)),0)))</f>
        <v/>
      </c>
      <c r="S301" s="70">
        <f>IF(NOT((COUNTA($B301:$K301)+COUNTA($N301))&gt;0),"",IF($B301&lt;&gt;"","Macro",IF($C301&lt;&gt;"","Sub","Macro")))</f>
        <v/>
      </c>
      <c r="T301" s="70">
        <f>IF($S301="Macro",COUNTIFS($R$5:$R$1000,ROW(),$S$5:$S$1000,"Sub"),"")</f>
        <v/>
      </c>
      <c r="U301" s="70">
        <f>IF($S301="","",IF(ISNUMBER($H301),$H301,0))</f>
        <v/>
      </c>
      <c r="V301" s="70">
        <f>IF($S301="","",IF(ISNUMBER($I301),$I301,$U301))</f>
        <v/>
      </c>
      <c r="W301" s="70">
        <f>IF($S301="","",IF(ISNUMBER($J301),$J301,$V301))</f>
        <v/>
      </c>
      <c r="X301" s="70">
        <f>IF($S301="","",IF(ISNUMBER($K301),$K301,$W301))</f>
        <v/>
      </c>
      <c r="Y301" s="70">
        <f>IF($S301="","",IF(N($T301)&gt;0,AVERAGEIFS($U$5:$U$1000,$R$5:$R$1000,ROW(),$S$5:$S$1000,"Sub"),$U301))</f>
        <v/>
      </c>
      <c r="Z301" s="70">
        <f>IF($S301="","",IF(N($T301)&gt;0,AVERAGEIFS($V$5:$V$1000,$R$5:$R$1000,ROW(),$S$5:$S$1000,"Sub"),$V301))</f>
        <v/>
      </c>
      <c r="AA301" s="70">
        <f>IF($S301="","",IF(N($T301)&gt;0,AVERAGEIFS($W$5:$W$1000,$R$5:$R$1000,ROW(),$S$5:$S$1000,"Sub"),$W301))</f>
        <v/>
      </c>
      <c r="AB301" s="70">
        <f>IF($S301="","",IF(N($T301)&gt;0,AVERAGEIFS($X$5:$X$1000,$R$5:$R$1000,ROW(),$S$5:$S$1000,"Sub"),$X301))</f>
        <v/>
      </c>
    </row>
    <row r="302">
      <c r="A302" s="61">
        <f>IF(NOT((COUNTA($B302:$K302)+COUNTA($N302))&gt;0),"",IF($S302="Macro",COUNTIFS($S$5:$S302,"Macro",$P$5:$P302,$P302),IF(N($R302)=0,"?",COUNTIFS(INDEX($S$5:$S$1000,1):INDEX($S$5:$S$1000,$R302-4),"Macro",INDEX($P$5:$P$1000,1):INDEX($P$5:$P$1000,$R302-4),INDEX($P$5:$P$1000,$R302-4))&amp;"."&amp;COUNTIFS($R$5:$R302,$R302,$S$5:$S302,"Sub"))))</f>
        <v/>
      </c>
      <c r="B302" s="62" t="n"/>
      <c r="C302" s="63" t="n"/>
      <c r="D302" s="62" t="n"/>
      <c r="E302" s="64" t="n"/>
      <c r="F302" s="64" t="n"/>
      <c r="G302" s="65" t="n"/>
      <c r="H302" s="66" t="n"/>
      <c r="I302" s="66" t="n"/>
      <c r="J302" s="66" t="n"/>
      <c r="K302" s="66" t="n"/>
      <c r="L302" s="67">
        <f>IF(NOT((COUNTA($B302:$K302)+COUNTA($N302))&gt;0),"",IF(N($T302)&gt;0,$AB302,IFERROR(LOOKUP(2,1/(H302:K302&lt;&gt;""),H302:K302),0)))</f>
        <v/>
      </c>
      <c r="M302" s="61">
        <f>IF(L302="","",IF(L302&gt;=1,"Completado",IF(L302&gt;0,"En curso","Pendiente")))</f>
        <v/>
      </c>
      <c r="N302" s="62" t="n"/>
      <c r="O302" s="68">
        <f>IF(NOT((COUNTA($B302:$K302)+COUNTA($N302))&gt;0),"",IF((IF(AND($S302="Macro",$B302=""),"Macroactividad vacía"&amp;" · ","")&amp;IF(AND($B302&lt;&gt;"",$C302&lt;&gt;""),"Escriba la subactividad en otra fila, debajo de su macroactividad"&amp;" · ","")&amp;IF(AND($S302="Sub",N($R302)=0),"Subactividad sin macroactividad arriba"&amp;" · ","")&amp;IF($D302="","Sin responsable"&amp;" · ","")&amp;IF($E302="","Sin fecha de inicio"&amp;" · ","")&amp;IF($F302="","Sin fecha límite"&amp;" · ","")&amp;IF(OR(AND($E302&lt;&gt;"",NOT(ISNUMBER($E302))),AND($F302&lt;&gt;"",NOT(ISNUMBER($F302)))),"Fecha no válida"&amp;" · ","")&amp;IF(AND(ISNUMBER($E302),ISNUMBER($F302),$E302&gt;$F302),"Inicio posterior a fecha límite"&amp;" · ","")&amp;IF(AND($S302="Macro",$G302=""),"Peso vacío"&amp;" · ","")&amp;IF(AND($S302="Macro",$G302&lt;&gt;"",OR(NOT(ISNUMBER($G302)),$G302&lt;=0,$G302&gt;1)),"Peso fuera de rango"&amp;" · ","")&amp;IF(AND($S302="Sub",$G302&lt;&gt;""),"Las subactividades no llevan peso"&amp;" · ","")&amp;IF(AND($S302="Macro",ABS(SUMIFS($G$5:$G$1000,$P$5:$P$1000,$P302,$S$5:$S$1000,"Macro")-1)&gt;0.0001),"Pesos del mes suman "&amp;TEXT(SUMIFS($G$5:$G$1000,$P$5:$P$1000,$P302,$S$5:$S$1000,"Macro"),"0%")&amp;" · ","")&amp;IF(AND(N($T302)&gt;0,COUNT($H302:$K302)&gt;0),"Con subactividades: deje vacías las semanas (se calculan solas)"&amp;" · ","")&amp;IF((COUNTIF($H302:$K302,"&gt;1")+COUNTIF($H302:$K302,"&lt;0")+COUNTA($H302:$K302)-COUNT($H302:$K302))&gt;0,"Avance fuera de rango 0-100%"&amp;" · ","")&amp;IF(OR(AND($I302&lt;&gt;"",$I302&lt;$H302),AND($J302&lt;&gt;"",$J302&lt;MAX($H302:$I302)),AND($K302&lt;&gt;"",$K302&lt;MAX($H302:$J302))),"Avance semanal decreciente"&amp;" · ","")&amp;IF(AND(ISNUMBER($F302),$F302&lt;FechaRef,N($L302)&lt;1),"Vencida"&amp;" · ","")&amp;IF(AND(ObsObligatoria="Sí",ISNUMBER($F302),$F302&lt;FechaRef,N($L302)&lt;1,$N302=""),"Vencida sin observación"&amp;" · ",""))="","✔ OK","⚠ "&amp;LEFT(IF(AND($S302="Macro",$B302=""),"Macroactividad vacía"&amp;" · ","")&amp;IF(AND($B302&lt;&gt;"",$C302&lt;&gt;""),"Escriba la subactividad en otra fila, debajo de su macroactividad"&amp;" · ","")&amp;IF(AND($S302="Sub",N($R302)=0),"Subactividad sin macroactividad arriba"&amp;" · ","")&amp;IF($D302="","Sin responsable"&amp;" · ","")&amp;IF($E302="","Sin fecha de inicio"&amp;" · ","")&amp;IF($F302="","Sin fecha límite"&amp;" · ","")&amp;IF(OR(AND($E302&lt;&gt;"",NOT(ISNUMBER($E302))),AND($F302&lt;&gt;"",NOT(ISNUMBER($F302)))),"Fecha no válida"&amp;" · ","")&amp;IF(AND(ISNUMBER($E302),ISNUMBER($F302),$E302&gt;$F302),"Inicio posterior a fecha límite"&amp;" · ","")&amp;IF(AND($S302="Macro",$G302=""),"Peso vacío"&amp;" · ","")&amp;IF(AND($S302="Macro",$G302&lt;&gt;"",OR(NOT(ISNUMBER($G302)),$G302&lt;=0,$G302&gt;1)),"Peso fuera de rango"&amp;" · ","")&amp;IF(AND($S302="Sub",$G302&lt;&gt;""),"Las subactividades no llevan peso"&amp;" · ","")&amp;IF(AND($S302="Macro",ABS(SUMIFS($G$5:$G$1000,$P$5:$P$1000,$P302,$S$5:$S$1000,"Macro")-1)&gt;0.0001),"Pesos del mes suman "&amp;TEXT(SUMIFS($G$5:$G$1000,$P$5:$P$1000,$P302,$S$5:$S$1000,"Macro"),"0%")&amp;" · ","")&amp;IF(AND(N($T302)&gt;0,COUNT($H302:$K302)&gt;0),"Con subactividades: deje vacías las semanas (se calculan solas)"&amp;" · ","")&amp;IF((COUNTIF($H302:$K302,"&gt;1")+COUNTIF($H302:$K302,"&lt;0")+COUNTA($H302:$K302)-COUNT($H302:$K302))&gt;0,"Avance fuera de rango 0-100%"&amp;" · ","")&amp;IF(OR(AND($I302&lt;&gt;"",$I302&lt;$H302),AND($J302&lt;&gt;"",$J302&lt;MAX($H302:$I302)),AND($K302&lt;&gt;"",$K302&lt;MAX($H302:$J302))),"Avance semanal decreciente"&amp;" · ","")&amp;IF(AND(ISNUMBER($F302),$F302&lt;FechaRef,N($L302)&lt;1),"Vencida"&amp;" · ","")&amp;IF(AND(ObsObligatoria="Sí",ISNUMBER($F302),$F302&lt;FechaRef,N($L302)&lt;1,$N302=""),"Vencida sin observación"&amp;" · ",""),LEN(IF(AND($S302="Macro",$B302=""),"Macroactividad vacía"&amp;" · ","")&amp;IF(AND($B302&lt;&gt;"",$C302&lt;&gt;""),"Escriba la subactividad en otra fila, debajo de su macroactividad"&amp;" · ","")&amp;IF(AND($S302="Sub",N($R302)=0),"Subactividad sin macroactividad arriba"&amp;" · ","")&amp;IF($D302="","Sin responsable"&amp;" · ","")&amp;IF($E302="","Sin fecha de inicio"&amp;" · ","")&amp;IF($F302="","Sin fecha límite"&amp;" · ","")&amp;IF(OR(AND($E302&lt;&gt;"",NOT(ISNUMBER($E302))),AND($F302&lt;&gt;"",NOT(ISNUMBER($F302)))),"Fecha no válida"&amp;" · ","")&amp;IF(AND(ISNUMBER($E302),ISNUMBER($F302),$E302&gt;$F302),"Inicio posterior a fecha límite"&amp;" · ","")&amp;IF(AND($S302="Macro",$G302=""),"Peso vacío"&amp;" · ","")&amp;IF(AND($S302="Macro",$G302&lt;&gt;"",OR(NOT(ISNUMBER($G302)),$G302&lt;=0,$G302&gt;1)),"Peso fuera de rango"&amp;" · ","")&amp;IF(AND($S302="Sub",$G302&lt;&gt;""),"Las subactividades no llevan peso"&amp;" · ","")&amp;IF(AND($S302="Macro",ABS(SUMIFS($G$5:$G$1000,$P$5:$P$1000,$P302,$S$5:$S$1000,"Macro")-1)&gt;0.0001),"Pesos del mes suman "&amp;TEXT(SUMIFS($G$5:$G$1000,$P$5:$P$1000,$P302,$S$5:$S$1000,"Macro"),"0%")&amp;" · ","")&amp;IF(AND(N($T302)&gt;0,COUNT($H302:$K302)&gt;0),"Con subactividades: deje vacías las semanas (se calculan solas)"&amp;" · ","")&amp;IF((COUNTIF($H302:$K302,"&gt;1")+COUNTIF($H302:$K302,"&lt;0")+COUNTA($H302:$K302)-COUNT($H302:$K302))&gt;0,"Avance fuera de rango 0-100%"&amp;" · ","")&amp;IF(OR(AND($I302&lt;&gt;"",$I302&lt;$H302),AND($J302&lt;&gt;"",$J302&lt;MAX($H302:$I302)),AND($K302&lt;&gt;"",$K302&lt;MAX($H302:$J302))),"Avance semanal decreciente"&amp;" · ","")&amp;IF(AND(ISNUMBER($F302),$F302&lt;FechaRef,N($L302)&lt;1),"Vencida"&amp;" · ","")&amp;IF(AND(ObsObligatoria="Sí",ISNUMBER($F302),$F302&lt;FechaRef,N($L302)&lt;1,$N302=""),"Vencida sin observación"&amp;" · ",""))-3)))</f>
        <v/>
      </c>
      <c r="P302" s="69">
        <f>IF(NOT((COUNTA($B302:$K302)+COUNTA($N302))&gt;0),"",IF(AND($S302="Sub",N($R302)&gt;0),IF(ISNUMBER(INDEX($E$5:$E$1000,$R302-4)),DATE(YEAR(INDEX($E$5:$E$1000,$R302-4)),MONTH(INDEX($E$5:$E$1000,$R302-4)),1),IF(ISNUMBER(INDEX($F$5:$F$1000,$R302-4)),DATE(YEAR(INDEX($F$5:$F$1000,$R302-4)),MONTH(INDEX($F$5:$F$1000,$R302-4)),1),MesCiclo)),IF(ISNUMBER($E302),DATE(YEAR($E302),MONTH($E302),1),IF(ISNUMBER($F302),DATE(YEAR($F302),MONTH($F302),1),MesCiclo))))</f>
        <v/>
      </c>
      <c r="Q302" s="70">
        <f>IF(OR($P302="",$P302&lt;&gt;MesCiclo),"",COUNTIF($P$5:$P302,MesCiclo))</f>
        <v/>
      </c>
      <c r="R302" s="70">
        <f>IF($S302="","",IF($S302="Macro",ROW(),IFERROR(LOOKUP(2,1/($S$5:$S302="Macro"),ROW($S$5:$S302)),0)))</f>
        <v/>
      </c>
      <c r="S302" s="70">
        <f>IF(NOT((COUNTA($B302:$K302)+COUNTA($N302))&gt;0),"",IF($B302&lt;&gt;"","Macro",IF($C302&lt;&gt;"","Sub","Macro")))</f>
        <v/>
      </c>
      <c r="T302" s="70">
        <f>IF($S302="Macro",COUNTIFS($R$5:$R$1000,ROW(),$S$5:$S$1000,"Sub"),"")</f>
        <v/>
      </c>
      <c r="U302" s="70">
        <f>IF($S302="","",IF(ISNUMBER($H302),$H302,0))</f>
        <v/>
      </c>
      <c r="V302" s="70">
        <f>IF($S302="","",IF(ISNUMBER($I302),$I302,$U302))</f>
        <v/>
      </c>
      <c r="W302" s="70">
        <f>IF($S302="","",IF(ISNUMBER($J302),$J302,$V302))</f>
        <v/>
      </c>
      <c r="X302" s="70">
        <f>IF($S302="","",IF(ISNUMBER($K302),$K302,$W302))</f>
        <v/>
      </c>
      <c r="Y302" s="70">
        <f>IF($S302="","",IF(N($T302)&gt;0,AVERAGEIFS($U$5:$U$1000,$R$5:$R$1000,ROW(),$S$5:$S$1000,"Sub"),$U302))</f>
        <v/>
      </c>
      <c r="Z302" s="70">
        <f>IF($S302="","",IF(N($T302)&gt;0,AVERAGEIFS($V$5:$V$1000,$R$5:$R$1000,ROW(),$S$5:$S$1000,"Sub"),$V302))</f>
        <v/>
      </c>
      <c r="AA302" s="70">
        <f>IF($S302="","",IF(N($T302)&gt;0,AVERAGEIFS($W$5:$W$1000,$R$5:$R$1000,ROW(),$S$5:$S$1000,"Sub"),$W302))</f>
        <v/>
      </c>
      <c r="AB302" s="70">
        <f>IF($S302="","",IF(N($T302)&gt;0,AVERAGEIFS($X$5:$X$1000,$R$5:$R$1000,ROW(),$S$5:$S$1000,"Sub"),$X302))</f>
        <v/>
      </c>
    </row>
    <row r="303">
      <c r="A303" s="61">
        <f>IF(NOT((COUNTA($B303:$K303)+COUNTA($N303))&gt;0),"",IF($S303="Macro",COUNTIFS($S$5:$S303,"Macro",$P$5:$P303,$P303),IF(N($R303)=0,"?",COUNTIFS(INDEX($S$5:$S$1000,1):INDEX($S$5:$S$1000,$R303-4),"Macro",INDEX($P$5:$P$1000,1):INDEX($P$5:$P$1000,$R303-4),INDEX($P$5:$P$1000,$R303-4))&amp;"."&amp;COUNTIFS($R$5:$R303,$R303,$S$5:$S303,"Sub"))))</f>
        <v/>
      </c>
      <c r="B303" s="62" t="n"/>
      <c r="C303" s="63" t="n"/>
      <c r="D303" s="62" t="n"/>
      <c r="E303" s="64" t="n"/>
      <c r="F303" s="64" t="n"/>
      <c r="G303" s="65" t="n"/>
      <c r="H303" s="66" t="n"/>
      <c r="I303" s="66" t="n"/>
      <c r="J303" s="66" t="n"/>
      <c r="K303" s="66" t="n"/>
      <c r="L303" s="67">
        <f>IF(NOT((COUNTA($B303:$K303)+COUNTA($N303))&gt;0),"",IF(N($T303)&gt;0,$AB303,IFERROR(LOOKUP(2,1/(H303:K303&lt;&gt;""),H303:K303),0)))</f>
        <v/>
      </c>
      <c r="M303" s="61">
        <f>IF(L303="","",IF(L303&gt;=1,"Completado",IF(L303&gt;0,"En curso","Pendiente")))</f>
        <v/>
      </c>
      <c r="N303" s="62" t="n"/>
      <c r="O303" s="68">
        <f>IF(NOT((COUNTA($B303:$K303)+COUNTA($N303))&gt;0),"",IF((IF(AND($S303="Macro",$B303=""),"Macroactividad vacía"&amp;" · ","")&amp;IF(AND($B303&lt;&gt;"",$C303&lt;&gt;""),"Escriba la subactividad en otra fila, debajo de su macroactividad"&amp;" · ","")&amp;IF(AND($S303="Sub",N($R303)=0),"Subactividad sin macroactividad arriba"&amp;" · ","")&amp;IF($D303="","Sin responsable"&amp;" · ","")&amp;IF($E303="","Sin fecha de inicio"&amp;" · ","")&amp;IF($F303="","Sin fecha límite"&amp;" · ","")&amp;IF(OR(AND($E303&lt;&gt;"",NOT(ISNUMBER($E303))),AND($F303&lt;&gt;"",NOT(ISNUMBER($F303)))),"Fecha no válida"&amp;" · ","")&amp;IF(AND(ISNUMBER($E303),ISNUMBER($F303),$E303&gt;$F303),"Inicio posterior a fecha límite"&amp;" · ","")&amp;IF(AND($S303="Macro",$G303=""),"Peso vacío"&amp;" · ","")&amp;IF(AND($S303="Macro",$G303&lt;&gt;"",OR(NOT(ISNUMBER($G303)),$G303&lt;=0,$G303&gt;1)),"Peso fuera de rango"&amp;" · ","")&amp;IF(AND($S303="Sub",$G303&lt;&gt;""),"Las subactividades no llevan peso"&amp;" · ","")&amp;IF(AND($S303="Macro",ABS(SUMIFS($G$5:$G$1000,$P$5:$P$1000,$P303,$S$5:$S$1000,"Macro")-1)&gt;0.0001),"Pesos del mes suman "&amp;TEXT(SUMIFS($G$5:$G$1000,$P$5:$P$1000,$P303,$S$5:$S$1000,"Macro"),"0%")&amp;" · ","")&amp;IF(AND(N($T303)&gt;0,COUNT($H303:$K303)&gt;0),"Con subactividades: deje vacías las semanas (se calculan solas)"&amp;" · ","")&amp;IF((COUNTIF($H303:$K303,"&gt;1")+COUNTIF($H303:$K303,"&lt;0")+COUNTA($H303:$K303)-COUNT($H303:$K303))&gt;0,"Avance fuera de rango 0-100%"&amp;" · ","")&amp;IF(OR(AND($I303&lt;&gt;"",$I303&lt;$H303),AND($J303&lt;&gt;"",$J303&lt;MAX($H303:$I303)),AND($K303&lt;&gt;"",$K303&lt;MAX($H303:$J303))),"Avance semanal decreciente"&amp;" · ","")&amp;IF(AND(ISNUMBER($F303),$F303&lt;FechaRef,N($L303)&lt;1),"Vencida"&amp;" · ","")&amp;IF(AND(ObsObligatoria="Sí",ISNUMBER($F303),$F303&lt;FechaRef,N($L303)&lt;1,$N303=""),"Vencida sin observación"&amp;" · ",""))="","✔ OK","⚠ "&amp;LEFT(IF(AND($S303="Macro",$B303=""),"Macroactividad vacía"&amp;" · ","")&amp;IF(AND($B303&lt;&gt;"",$C303&lt;&gt;""),"Escriba la subactividad en otra fila, debajo de su macroactividad"&amp;" · ","")&amp;IF(AND($S303="Sub",N($R303)=0),"Subactividad sin macroactividad arriba"&amp;" · ","")&amp;IF($D303="","Sin responsable"&amp;" · ","")&amp;IF($E303="","Sin fecha de inicio"&amp;" · ","")&amp;IF($F303="","Sin fecha límite"&amp;" · ","")&amp;IF(OR(AND($E303&lt;&gt;"",NOT(ISNUMBER($E303))),AND($F303&lt;&gt;"",NOT(ISNUMBER($F303)))),"Fecha no válida"&amp;" · ","")&amp;IF(AND(ISNUMBER($E303),ISNUMBER($F303),$E303&gt;$F303),"Inicio posterior a fecha límite"&amp;" · ","")&amp;IF(AND($S303="Macro",$G303=""),"Peso vacío"&amp;" · ","")&amp;IF(AND($S303="Macro",$G303&lt;&gt;"",OR(NOT(ISNUMBER($G303)),$G303&lt;=0,$G303&gt;1)),"Peso fuera de rango"&amp;" · ","")&amp;IF(AND($S303="Sub",$G303&lt;&gt;""),"Las subactividades no llevan peso"&amp;" · ","")&amp;IF(AND($S303="Macro",ABS(SUMIFS($G$5:$G$1000,$P$5:$P$1000,$P303,$S$5:$S$1000,"Macro")-1)&gt;0.0001),"Pesos del mes suman "&amp;TEXT(SUMIFS($G$5:$G$1000,$P$5:$P$1000,$P303,$S$5:$S$1000,"Macro"),"0%")&amp;" · ","")&amp;IF(AND(N($T303)&gt;0,COUNT($H303:$K303)&gt;0),"Con subactividades: deje vacías las semanas (se calculan solas)"&amp;" · ","")&amp;IF((COUNTIF($H303:$K303,"&gt;1")+COUNTIF($H303:$K303,"&lt;0")+COUNTA($H303:$K303)-COUNT($H303:$K303))&gt;0,"Avance fuera de rango 0-100%"&amp;" · ","")&amp;IF(OR(AND($I303&lt;&gt;"",$I303&lt;$H303),AND($J303&lt;&gt;"",$J303&lt;MAX($H303:$I303)),AND($K303&lt;&gt;"",$K303&lt;MAX($H303:$J303))),"Avance semanal decreciente"&amp;" · ","")&amp;IF(AND(ISNUMBER($F303),$F303&lt;FechaRef,N($L303)&lt;1),"Vencida"&amp;" · ","")&amp;IF(AND(ObsObligatoria="Sí",ISNUMBER($F303),$F303&lt;FechaRef,N($L303)&lt;1,$N303=""),"Vencida sin observación"&amp;" · ",""),LEN(IF(AND($S303="Macro",$B303=""),"Macroactividad vacía"&amp;" · ","")&amp;IF(AND($B303&lt;&gt;"",$C303&lt;&gt;""),"Escriba la subactividad en otra fila, debajo de su macroactividad"&amp;" · ","")&amp;IF(AND($S303="Sub",N($R303)=0),"Subactividad sin macroactividad arriba"&amp;" · ","")&amp;IF($D303="","Sin responsable"&amp;" · ","")&amp;IF($E303="","Sin fecha de inicio"&amp;" · ","")&amp;IF($F303="","Sin fecha límite"&amp;" · ","")&amp;IF(OR(AND($E303&lt;&gt;"",NOT(ISNUMBER($E303))),AND($F303&lt;&gt;"",NOT(ISNUMBER($F303)))),"Fecha no válida"&amp;" · ","")&amp;IF(AND(ISNUMBER($E303),ISNUMBER($F303),$E303&gt;$F303),"Inicio posterior a fecha límite"&amp;" · ","")&amp;IF(AND($S303="Macro",$G303=""),"Peso vacío"&amp;" · ","")&amp;IF(AND($S303="Macro",$G303&lt;&gt;"",OR(NOT(ISNUMBER($G303)),$G303&lt;=0,$G303&gt;1)),"Peso fuera de rango"&amp;" · ","")&amp;IF(AND($S303="Sub",$G303&lt;&gt;""),"Las subactividades no llevan peso"&amp;" · ","")&amp;IF(AND($S303="Macro",ABS(SUMIFS($G$5:$G$1000,$P$5:$P$1000,$P303,$S$5:$S$1000,"Macro")-1)&gt;0.0001),"Pesos del mes suman "&amp;TEXT(SUMIFS($G$5:$G$1000,$P$5:$P$1000,$P303,$S$5:$S$1000,"Macro"),"0%")&amp;" · ","")&amp;IF(AND(N($T303)&gt;0,COUNT($H303:$K303)&gt;0),"Con subactividades: deje vacías las semanas (se calculan solas)"&amp;" · ","")&amp;IF((COUNTIF($H303:$K303,"&gt;1")+COUNTIF($H303:$K303,"&lt;0")+COUNTA($H303:$K303)-COUNT($H303:$K303))&gt;0,"Avance fuera de rango 0-100%"&amp;" · ","")&amp;IF(OR(AND($I303&lt;&gt;"",$I303&lt;$H303),AND($J303&lt;&gt;"",$J303&lt;MAX($H303:$I303)),AND($K303&lt;&gt;"",$K303&lt;MAX($H303:$J303))),"Avance semanal decreciente"&amp;" · ","")&amp;IF(AND(ISNUMBER($F303),$F303&lt;FechaRef,N($L303)&lt;1),"Vencida"&amp;" · ","")&amp;IF(AND(ObsObligatoria="Sí",ISNUMBER($F303),$F303&lt;FechaRef,N($L303)&lt;1,$N303=""),"Vencida sin observación"&amp;" · ",""))-3)))</f>
        <v/>
      </c>
      <c r="P303" s="69">
        <f>IF(NOT((COUNTA($B303:$K303)+COUNTA($N303))&gt;0),"",IF(AND($S303="Sub",N($R303)&gt;0),IF(ISNUMBER(INDEX($E$5:$E$1000,$R303-4)),DATE(YEAR(INDEX($E$5:$E$1000,$R303-4)),MONTH(INDEX($E$5:$E$1000,$R303-4)),1),IF(ISNUMBER(INDEX($F$5:$F$1000,$R303-4)),DATE(YEAR(INDEX($F$5:$F$1000,$R303-4)),MONTH(INDEX($F$5:$F$1000,$R303-4)),1),MesCiclo)),IF(ISNUMBER($E303),DATE(YEAR($E303),MONTH($E303),1),IF(ISNUMBER($F303),DATE(YEAR($F303),MONTH($F303),1),MesCiclo))))</f>
        <v/>
      </c>
      <c r="Q303" s="70">
        <f>IF(OR($P303="",$P303&lt;&gt;MesCiclo),"",COUNTIF($P$5:$P303,MesCiclo))</f>
        <v/>
      </c>
      <c r="R303" s="70">
        <f>IF($S303="","",IF($S303="Macro",ROW(),IFERROR(LOOKUP(2,1/($S$5:$S303="Macro"),ROW($S$5:$S303)),0)))</f>
        <v/>
      </c>
      <c r="S303" s="70">
        <f>IF(NOT((COUNTA($B303:$K303)+COUNTA($N303))&gt;0),"",IF($B303&lt;&gt;"","Macro",IF($C303&lt;&gt;"","Sub","Macro")))</f>
        <v/>
      </c>
      <c r="T303" s="70">
        <f>IF($S303="Macro",COUNTIFS($R$5:$R$1000,ROW(),$S$5:$S$1000,"Sub"),"")</f>
        <v/>
      </c>
      <c r="U303" s="70">
        <f>IF($S303="","",IF(ISNUMBER($H303),$H303,0))</f>
        <v/>
      </c>
      <c r="V303" s="70">
        <f>IF($S303="","",IF(ISNUMBER($I303),$I303,$U303))</f>
        <v/>
      </c>
      <c r="W303" s="70">
        <f>IF($S303="","",IF(ISNUMBER($J303),$J303,$V303))</f>
        <v/>
      </c>
      <c r="X303" s="70">
        <f>IF($S303="","",IF(ISNUMBER($K303),$K303,$W303))</f>
        <v/>
      </c>
      <c r="Y303" s="70">
        <f>IF($S303="","",IF(N($T303)&gt;0,AVERAGEIFS($U$5:$U$1000,$R$5:$R$1000,ROW(),$S$5:$S$1000,"Sub"),$U303))</f>
        <v/>
      </c>
      <c r="Z303" s="70">
        <f>IF($S303="","",IF(N($T303)&gt;0,AVERAGEIFS($V$5:$V$1000,$R$5:$R$1000,ROW(),$S$5:$S$1000,"Sub"),$V303))</f>
        <v/>
      </c>
      <c r="AA303" s="70">
        <f>IF($S303="","",IF(N($T303)&gt;0,AVERAGEIFS($W$5:$W$1000,$R$5:$R$1000,ROW(),$S$5:$S$1000,"Sub"),$W303))</f>
        <v/>
      </c>
      <c r="AB303" s="70">
        <f>IF($S303="","",IF(N($T303)&gt;0,AVERAGEIFS($X$5:$X$1000,$R$5:$R$1000,ROW(),$S$5:$S$1000,"Sub"),$X303))</f>
        <v/>
      </c>
    </row>
    <row r="304">
      <c r="A304" s="61">
        <f>IF(NOT((COUNTA($B304:$K304)+COUNTA($N304))&gt;0),"",IF($S304="Macro",COUNTIFS($S$5:$S304,"Macro",$P$5:$P304,$P304),IF(N($R304)=0,"?",COUNTIFS(INDEX($S$5:$S$1000,1):INDEX($S$5:$S$1000,$R304-4),"Macro",INDEX($P$5:$P$1000,1):INDEX($P$5:$P$1000,$R304-4),INDEX($P$5:$P$1000,$R304-4))&amp;"."&amp;COUNTIFS($R$5:$R304,$R304,$S$5:$S304,"Sub"))))</f>
        <v/>
      </c>
      <c r="B304" s="62" t="n"/>
      <c r="C304" s="63" t="n"/>
      <c r="D304" s="62" t="n"/>
      <c r="E304" s="64" t="n"/>
      <c r="F304" s="64" t="n"/>
      <c r="G304" s="65" t="n"/>
      <c r="H304" s="66" t="n"/>
      <c r="I304" s="66" t="n"/>
      <c r="J304" s="66" t="n"/>
      <c r="K304" s="66" t="n"/>
      <c r="L304" s="67">
        <f>IF(NOT((COUNTA($B304:$K304)+COUNTA($N304))&gt;0),"",IF(N($T304)&gt;0,$AB304,IFERROR(LOOKUP(2,1/(H304:K304&lt;&gt;""),H304:K304),0)))</f>
        <v/>
      </c>
      <c r="M304" s="61">
        <f>IF(L304="","",IF(L304&gt;=1,"Completado",IF(L304&gt;0,"En curso","Pendiente")))</f>
        <v/>
      </c>
      <c r="N304" s="62" t="n"/>
      <c r="O304" s="68">
        <f>IF(NOT((COUNTA($B304:$K304)+COUNTA($N304))&gt;0),"",IF((IF(AND($S304="Macro",$B304=""),"Macroactividad vacía"&amp;" · ","")&amp;IF(AND($B304&lt;&gt;"",$C304&lt;&gt;""),"Escriba la subactividad en otra fila, debajo de su macroactividad"&amp;" · ","")&amp;IF(AND($S304="Sub",N($R304)=0),"Subactividad sin macroactividad arriba"&amp;" · ","")&amp;IF($D304="","Sin responsable"&amp;" · ","")&amp;IF($E304="","Sin fecha de inicio"&amp;" · ","")&amp;IF($F304="","Sin fecha límite"&amp;" · ","")&amp;IF(OR(AND($E304&lt;&gt;"",NOT(ISNUMBER($E304))),AND($F304&lt;&gt;"",NOT(ISNUMBER($F304)))),"Fecha no válida"&amp;" · ","")&amp;IF(AND(ISNUMBER($E304),ISNUMBER($F304),$E304&gt;$F304),"Inicio posterior a fecha límite"&amp;" · ","")&amp;IF(AND($S304="Macro",$G304=""),"Peso vacío"&amp;" · ","")&amp;IF(AND($S304="Macro",$G304&lt;&gt;"",OR(NOT(ISNUMBER($G304)),$G304&lt;=0,$G304&gt;1)),"Peso fuera de rango"&amp;" · ","")&amp;IF(AND($S304="Sub",$G304&lt;&gt;""),"Las subactividades no llevan peso"&amp;" · ","")&amp;IF(AND($S304="Macro",ABS(SUMIFS($G$5:$G$1000,$P$5:$P$1000,$P304,$S$5:$S$1000,"Macro")-1)&gt;0.0001),"Pesos del mes suman "&amp;TEXT(SUMIFS($G$5:$G$1000,$P$5:$P$1000,$P304,$S$5:$S$1000,"Macro"),"0%")&amp;" · ","")&amp;IF(AND(N($T304)&gt;0,COUNT($H304:$K304)&gt;0),"Con subactividades: deje vacías las semanas (se calculan solas)"&amp;" · ","")&amp;IF((COUNTIF($H304:$K304,"&gt;1")+COUNTIF($H304:$K304,"&lt;0")+COUNTA($H304:$K304)-COUNT($H304:$K304))&gt;0,"Avance fuera de rango 0-100%"&amp;" · ","")&amp;IF(OR(AND($I304&lt;&gt;"",$I304&lt;$H304),AND($J304&lt;&gt;"",$J304&lt;MAX($H304:$I304)),AND($K304&lt;&gt;"",$K304&lt;MAX($H304:$J304))),"Avance semanal decreciente"&amp;" · ","")&amp;IF(AND(ISNUMBER($F304),$F304&lt;FechaRef,N($L304)&lt;1),"Vencida"&amp;" · ","")&amp;IF(AND(ObsObligatoria="Sí",ISNUMBER($F304),$F304&lt;FechaRef,N($L304)&lt;1,$N304=""),"Vencida sin observación"&amp;" · ",""))="","✔ OK","⚠ "&amp;LEFT(IF(AND($S304="Macro",$B304=""),"Macroactividad vacía"&amp;" · ","")&amp;IF(AND($B304&lt;&gt;"",$C304&lt;&gt;""),"Escriba la subactividad en otra fila, debajo de su macroactividad"&amp;" · ","")&amp;IF(AND($S304="Sub",N($R304)=0),"Subactividad sin macroactividad arriba"&amp;" · ","")&amp;IF($D304="","Sin responsable"&amp;" · ","")&amp;IF($E304="","Sin fecha de inicio"&amp;" · ","")&amp;IF($F304="","Sin fecha límite"&amp;" · ","")&amp;IF(OR(AND($E304&lt;&gt;"",NOT(ISNUMBER($E304))),AND($F304&lt;&gt;"",NOT(ISNUMBER($F304)))),"Fecha no válida"&amp;" · ","")&amp;IF(AND(ISNUMBER($E304),ISNUMBER($F304),$E304&gt;$F304),"Inicio posterior a fecha límite"&amp;" · ","")&amp;IF(AND($S304="Macro",$G304=""),"Peso vacío"&amp;" · ","")&amp;IF(AND($S304="Macro",$G304&lt;&gt;"",OR(NOT(ISNUMBER($G304)),$G304&lt;=0,$G304&gt;1)),"Peso fuera de rango"&amp;" · ","")&amp;IF(AND($S304="Sub",$G304&lt;&gt;""),"Las subactividades no llevan peso"&amp;" · ","")&amp;IF(AND($S304="Macro",ABS(SUMIFS($G$5:$G$1000,$P$5:$P$1000,$P304,$S$5:$S$1000,"Macro")-1)&gt;0.0001),"Pesos del mes suman "&amp;TEXT(SUMIFS($G$5:$G$1000,$P$5:$P$1000,$P304,$S$5:$S$1000,"Macro"),"0%")&amp;" · ","")&amp;IF(AND(N($T304)&gt;0,COUNT($H304:$K304)&gt;0),"Con subactividades: deje vacías las semanas (se calculan solas)"&amp;" · ","")&amp;IF((COUNTIF($H304:$K304,"&gt;1")+COUNTIF($H304:$K304,"&lt;0")+COUNTA($H304:$K304)-COUNT($H304:$K304))&gt;0,"Avance fuera de rango 0-100%"&amp;" · ","")&amp;IF(OR(AND($I304&lt;&gt;"",$I304&lt;$H304),AND($J304&lt;&gt;"",$J304&lt;MAX($H304:$I304)),AND($K304&lt;&gt;"",$K304&lt;MAX($H304:$J304))),"Avance semanal decreciente"&amp;" · ","")&amp;IF(AND(ISNUMBER($F304),$F304&lt;FechaRef,N($L304)&lt;1),"Vencida"&amp;" · ","")&amp;IF(AND(ObsObligatoria="Sí",ISNUMBER($F304),$F304&lt;FechaRef,N($L304)&lt;1,$N304=""),"Vencida sin observación"&amp;" · ",""),LEN(IF(AND($S304="Macro",$B304=""),"Macroactividad vacía"&amp;" · ","")&amp;IF(AND($B304&lt;&gt;"",$C304&lt;&gt;""),"Escriba la subactividad en otra fila, debajo de su macroactividad"&amp;" · ","")&amp;IF(AND($S304="Sub",N($R304)=0),"Subactividad sin macroactividad arriba"&amp;" · ","")&amp;IF($D304="","Sin responsable"&amp;" · ","")&amp;IF($E304="","Sin fecha de inicio"&amp;" · ","")&amp;IF($F304="","Sin fecha límite"&amp;" · ","")&amp;IF(OR(AND($E304&lt;&gt;"",NOT(ISNUMBER($E304))),AND($F304&lt;&gt;"",NOT(ISNUMBER($F304)))),"Fecha no válida"&amp;" · ","")&amp;IF(AND(ISNUMBER($E304),ISNUMBER($F304),$E304&gt;$F304),"Inicio posterior a fecha límite"&amp;" · ","")&amp;IF(AND($S304="Macro",$G304=""),"Peso vacío"&amp;" · ","")&amp;IF(AND($S304="Macro",$G304&lt;&gt;"",OR(NOT(ISNUMBER($G304)),$G304&lt;=0,$G304&gt;1)),"Peso fuera de rango"&amp;" · ","")&amp;IF(AND($S304="Sub",$G304&lt;&gt;""),"Las subactividades no llevan peso"&amp;" · ","")&amp;IF(AND($S304="Macro",ABS(SUMIFS($G$5:$G$1000,$P$5:$P$1000,$P304,$S$5:$S$1000,"Macro")-1)&gt;0.0001),"Pesos del mes suman "&amp;TEXT(SUMIFS($G$5:$G$1000,$P$5:$P$1000,$P304,$S$5:$S$1000,"Macro"),"0%")&amp;" · ","")&amp;IF(AND(N($T304)&gt;0,COUNT($H304:$K304)&gt;0),"Con subactividades: deje vacías las semanas (se calculan solas)"&amp;" · ","")&amp;IF((COUNTIF($H304:$K304,"&gt;1")+COUNTIF($H304:$K304,"&lt;0")+COUNTA($H304:$K304)-COUNT($H304:$K304))&gt;0,"Avance fuera de rango 0-100%"&amp;" · ","")&amp;IF(OR(AND($I304&lt;&gt;"",$I304&lt;$H304),AND($J304&lt;&gt;"",$J304&lt;MAX($H304:$I304)),AND($K304&lt;&gt;"",$K304&lt;MAX($H304:$J304))),"Avance semanal decreciente"&amp;" · ","")&amp;IF(AND(ISNUMBER($F304),$F304&lt;FechaRef,N($L304)&lt;1),"Vencida"&amp;" · ","")&amp;IF(AND(ObsObligatoria="Sí",ISNUMBER($F304),$F304&lt;FechaRef,N($L304)&lt;1,$N304=""),"Vencida sin observación"&amp;" · ",""))-3)))</f>
        <v/>
      </c>
      <c r="P304" s="69">
        <f>IF(NOT((COUNTA($B304:$K304)+COUNTA($N304))&gt;0),"",IF(AND($S304="Sub",N($R304)&gt;0),IF(ISNUMBER(INDEX($E$5:$E$1000,$R304-4)),DATE(YEAR(INDEX($E$5:$E$1000,$R304-4)),MONTH(INDEX($E$5:$E$1000,$R304-4)),1),IF(ISNUMBER(INDEX($F$5:$F$1000,$R304-4)),DATE(YEAR(INDEX($F$5:$F$1000,$R304-4)),MONTH(INDEX($F$5:$F$1000,$R304-4)),1),MesCiclo)),IF(ISNUMBER($E304),DATE(YEAR($E304),MONTH($E304),1),IF(ISNUMBER($F304),DATE(YEAR($F304),MONTH($F304),1),MesCiclo))))</f>
        <v/>
      </c>
      <c r="Q304" s="70">
        <f>IF(OR($P304="",$P304&lt;&gt;MesCiclo),"",COUNTIF($P$5:$P304,MesCiclo))</f>
        <v/>
      </c>
      <c r="R304" s="70">
        <f>IF($S304="","",IF($S304="Macro",ROW(),IFERROR(LOOKUP(2,1/($S$5:$S304="Macro"),ROW($S$5:$S304)),0)))</f>
        <v/>
      </c>
      <c r="S304" s="70">
        <f>IF(NOT((COUNTA($B304:$K304)+COUNTA($N304))&gt;0),"",IF($B304&lt;&gt;"","Macro",IF($C304&lt;&gt;"","Sub","Macro")))</f>
        <v/>
      </c>
      <c r="T304" s="70">
        <f>IF($S304="Macro",COUNTIFS($R$5:$R$1000,ROW(),$S$5:$S$1000,"Sub"),"")</f>
        <v/>
      </c>
      <c r="U304" s="70">
        <f>IF($S304="","",IF(ISNUMBER($H304),$H304,0))</f>
        <v/>
      </c>
      <c r="V304" s="70">
        <f>IF($S304="","",IF(ISNUMBER($I304),$I304,$U304))</f>
        <v/>
      </c>
      <c r="W304" s="70">
        <f>IF($S304="","",IF(ISNUMBER($J304),$J304,$V304))</f>
        <v/>
      </c>
      <c r="X304" s="70">
        <f>IF($S304="","",IF(ISNUMBER($K304),$K304,$W304))</f>
        <v/>
      </c>
      <c r="Y304" s="70">
        <f>IF($S304="","",IF(N($T304)&gt;0,AVERAGEIFS($U$5:$U$1000,$R$5:$R$1000,ROW(),$S$5:$S$1000,"Sub"),$U304))</f>
        <v/>
      </c>
      <c r="Z304" s="70">
        <f>IF($S304="","",IF(N($T304)&gt;0,AVERAGEIFS($V$5:$V$1000,$R$5:$R$1000,ROW(),$S$5:$S$1000,"Sub"),$V304))</f>
        <v/>
      </c>
      <c r="AA304" s="70">
        <f>IF($S304="","",IF(N($T304)&gt;0,AVERAGEIFS($W$5:$W$1000,$R$5:$R$1000,ROW(),$S$5:$S$1000,"Sub"),$W304))</f>
        <v/>
      </c>
      <c r="AB304" s="70">
        <f>IF($S304="","",IF(N($T304)&gt;0,AVERAGEIFS($X$5:$X$1000,$R$5:$R$1000,ROW(),$S$5:$S$1000,"Sub"),$X304))</f>
        <v/>
      </c>
    </row>
  </sheetData>
  <sheetProtection selectLockedCells="0" selectUnlockedCells="0" sheet="1" objects="0" insertRows="1" insertHyperlinks="1" autoFilter="0" scenarios="0" formatColumns="0" deleteColumns="1" insertColumns="1" pivotTables="1" deleteRows="1" formatCells="1" formatRows="0" sort="0"/>
  <mergeCells count="3">
    <mergeCell ref="F3:G3"/>
    <mergeCell ref="A1:P1"/>
    <mergeCell ref="A2:P2"/>
  </mergeCells>
  <conditionalFormatting sqref="F3:G3">
    <cfRule type="expression" priority="1" dxfId="1">
      <formula>LEFT($F$3,1)="⚠"</formula>
    </cfRule>
    <cfRule type="expression" priority="2" dxfId="0">
      <formula>LEFT($F$3,1)="✔"</formula>
    </cfRule>
  </conditionalFormatting>
  <conditionalFormatting sqref="M5:M1000">
    <cfRule type="expression" priority="3" dxfId="0">
      <formula>$M5="Completado"</formula>
    </cfRule>
    <cfRule type="expression" priority="4" dxfId="4">
      <formula>$M5="En curso"</formula>
    </cfRule>
    <cfRule type="expression" priority="5" dxfId="5">
      <formula>$M5="Pendiente"</formula>
    </cfRule>
  </conditionalFormatting>
  <conditionalFormatting sqref="L5:L1000">
    <cfRule type="expression" priority="6" dxfId="0">
      <formula>AND(ISNUMBER($L5),$L5&gt;=1)</formula>
    </cfRule>
    <cfRule type="dataBar" priority="7">
      <dataBar showValue="1">
        <cfvo type="num" val="0"/>
        <cfvo type="num" val="1"/>
        <color rgb="005B9BD5"/>
      </dataBar>
    </cfRule>
  </conditionalFormatting>
  <conditionalFormatting sqref="F5:F1000">
    <cfRule type="expression" priority="8" dxfId="6" stopIfTrue="1">
      <formula>AND(ISNUMBER($F5),$F5&lt;FechaRef,N($L5)&lt;1)</formula>
    </cfRule>
    <cfRule type="expression" priority="9" dxfId="7">
      <formula>AND(ISNUMBER($F5),$F5&gt;=FechaRef,$F5-FechaRef&lt;=DiasAlerta,N($L5)&lt;1)</formula>
    </cfRule>
  </conditionalFormatting>
  <conditionalFormatting sqref="B5:B1000">
    <cfRule type="expression" priority="10" dxfId="5" stopIfTrue="1">
      <formula>AND($S5="Macro",$B5="")</formula>
    </cfRule>
    <cfRule type="expression" priority="11" dxfId="10">
      <formula>$S5="Macro"</formula>
    </cfRule>
  </conditionalFormatting>
  <conditionalFormatting sqref="C5:C1000">
    <cfRule type="expression" priority="12" dxfId="5">
      <formula>AND($B5&lt;&gt;"",$C5&lt;&gt;"")</formula>
    </cfRule>
  </conditionalFormatting>
  <conditionalFormatting sqref="D5:D1000">
    <cfRule type="expression" priority="13" dxfId="5">
      <formula>AND((COUNTA($B5:$K5)+COUNTA($N5))&gt;0,D5="")</formula>
    </cfRule>
  </conditionalFormatting>
  <conditionalFormatting sqref="E5:F1000">
    <cfRule type="expression" priority="14" dxfId="5" stopIfTrue="1">
      <formula>AND((COUNTA($B5:$K5)+COUNTA($N5))&gt;0,E5="")</formula>
    </cfRule>
    <cfRule type="expression" priority="15" dxfId="6">
      <formula>AND(ISNUMBER($E5),ISNUMBER($F5),$E5&gt;$F5)</formula>
    </cfRule>
  </conditionalFormatting>
  <conditionalFormatting sqref="G5:G1000">
    <cfRule type="expression" priority="16" dxfId="11" stopIfTrue="1">
      <formula>$S5="Sub"</formula>
    </cfRule>
    <cfRule type="expression" priority="17" dxfId="5" stopIfTrue="1">
      <formula>AND($S5="Macro",G5="")</formula>
    </cfRule>
    <cfRule type="expression" priority="18" dxfId="7">
      <formula>AND($S5="Macro",ABS(SUMIFS($G$5:$G$1000,$P$5:$P$1000,$P5,$S$5:$S$1000,"Macro")-1)&gt;0.0001)</formula>
    </cfRule>
  </conditionalFormatting>
  <conditionalFormatting sqref="H5:K1000">
    <cfRule type="expression" priority="19" dxfId="5" stopIfTrue="1">
      <formula>AND(N($T5)&gt;0,H5&lt;&gt;"")</formula>
    </cfRule>
    <cfRule type="expression" priority="20" dxfId="12" stopIfTrue="1">
      <formula>N($T5)&gt;0</formula>
    </cfRule>
    <cfRule type="expression" priority="21" dxfId="5" stopIfTrue="1">
      <formula>AND(H5&lt;&gt;"",OR(NOT(ISNUMBER(H5)),H5&gt;1,H5&lt;0))</formula>
    </cfRule>
  </conditionalFormatting>
  <conditionalFormatting sqref="I5:K1000">
    <cfRule type="expression" priority="22" dxfId="6">
      <formula>AND(I5&lt;&gt;"",I5&lt;MAX($H5:H5))</formula>
    </cfRule>
  </conditionalFormatting>
  <conditionalFormatting sqref="N5:N1000">
    <cfRule type="expression" priority="23" dxfId="5">
      <formula>AND(ObsObligatoria="Sí",ISNUMBER($F5),$F5&lt;FechaRef,N($L5)&lt;1,$N5="")</formula>
    </cfRule>
  </conditionalFormatting>
  <conditionalFormatting sqref="O5:O1000">
    <cfRule type="expression" priority="24" dxfId="5">
      <formula>LEFT($O5,1)="⚠"</formula>
    </cfRule>
    <cfRule type="expression" priority="25" dxfId="13">
      <formula>LEFT($O5,1)="✔"</formula>
    </cfRule>
  </conditionalFormatting>
  <conditionalFormatting sqref="P5:P1000">
    <cfRule type="expression" priority="26" dxfId="1">
      <formula>AND($P5&lt;&gt;"",$P5=MesCiclo)</formula>
    </cfRule>
  </conditionalFormatting>
  <conditionalFormatting sqref="A5:A1000">
    <cfRule type="expression" priority="27" dxfId="10">
      <formula>$S5="Macro"</formula>
    </cfRule>
  </conditionalFormatting>
  <dataValidations count="4">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Peso no válido" error="Ingrese un porcentaje entre 0% y 100% (por ejemplo 25%)." promptTitle="Peso (solo macroactividades)" prompt="Qué tanto vale la macroactividad en el mes. Las subactividades no llevan peso." type="decimal" operator="between">
      <formula1>0</formula1>
      <formula2>1</formula2>
    </dataValidation>
    <dataValidation sqref="H5:K1000" showDropDown="0" showInputMessage="1" showErrorMessage="1" allowBlank="1" errorTitle="Avance no válido" error="Ingrese un porcentaje entre 0% y 100%. Deje la celda vacía si la semana no ha llegado." promptTitle="Avance acumulado" prompt="% TOTAL logrado hasta esta semana. Si la macroactividad tiene subactividades, déjelo vacío: se calcula solo." type="decimal" operator="between">
      <formula1>0</formula1>
      <formula2>1</formula2>
    </dataValidation>
    <dataValidation sqref="C5:C1000" showDropDown="0" showInputMessage="1" showErrorMessage="0" allowBlank="1" promptTitle="Subactividad" prompt="Escríbala en la fila de abajo de su macroactividad, dejando vacía «Macro Actividad». Puede agregar todas las que necesite." type="textLength" operator="greaterThan">
      <formula1>0</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tabColor rgb="00C55A11"/>
    <outlinePr summaryBelow="1" summaryRight="1"/>
    <pageSetUpPr fitToPage="1"/>
  </sheetPr>
  <dimension ref="A1:P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22" customWidth="1" min="3" max="3"/>
    <col width="12" customWidth="1" min="4" max="4"/>
    <col width="12" customWidth="1" min="5" max="5"/>
    <col width="16" customWidth="1" min="6" max="6"/>
    <col width="11" customWidth="1" min="7" max="7"/>
    <col width="11" customWidth="1" min="8" max="8"/>
    <col width="11" customWidth="1" min="9" max="9"/>
    <col width="11" customWidth="1" min="10" max="10"/>
    <col width="12" customWidth="1" min="11" max="11"/>
    <col width="13" customWidth="1" min="12" max="12"/>
    <col width="46" customWidth="1" min="13" max="13"/>
    <col hidden="1" width="13" customWidth="1" min="14" max="14"/>
    <col hidden="1" width="13" customWidth="1" min="15" max="15"/>
    <col hidden="1" width="13" customWidth="1" min="16" max="16"/>
  </cols>
  <sheetData>
    <row r="1" ht="28" customHeight="1">
      <c r="A1" s="53" t="inlineStr">
        <is>
          <t>Actividades del mes por semana – Riesgo Operacional</t>
        </is>
      </c>
      <c r="B1" s="53" t="n"/>
      <c r="C1" s="53" t="n"/>
      <c r="D1" s="53" t="n"/>
      <c r="E1" s="53" t="n"/>
      <c r="F1" s="53" t="n"/>
      <c r="G1" s="53" t="n"/>
      <c r="H1" s="53" t="n"/>
      <c r="I1" s="53" t="n"/>
      <c r="J1" s="53" t="n"/>
      <c r="K1" s="53" t="n"/>
      <c r="L1" s="53" t="n"/>
      <c r="M1" s="53" t="n"/>
    </row>
    <row r="2" ht="32" customHeight="1">
      <c r="A2" s="71" t="inlineStr">
        <is>
          <t>HOJA AUTOMÁTICA Y BLOQUEADA: muestra solo las actividades del mes indicado abajo, tomadas de «Cronograma R. Operacional». No hay que escribir nada aquí. La barra de color marca las semanas en que cada actividad está programada (de la fecha de inicio a la fecha límite) y dentro aparece el avance registrado en esa semana.</t>
        </is>
      </c>
      <c r="B2" s="71" t="n"/>
      <c r="C2" s="71" t="n"/>
      <c r="D2" s="71" t="n"/>
      <c r="E2" s="71" t="n"/>
      <c r="F2" s="71" t="n"/>
      <c r="G2" s="71" t="n"/>
      <c r="H2" s="71" t="n"/>
      <c r="I2" s="71" t="n"/>
      <c r="J2" s="71" t="n"/>
      <c r="K2" s="71" t="n"/>
      <c r="L2" s="71" t="n"/>
      <c r="M2" s="71" t="n"/>
    </row>
    <row r="3">
      <c r="A3" s="72" t="inlineStr">
        <is>
          <t>Mes:</t>
        </is>
      </c>
      <c r="B3" s="73">
        <f>MesCiclo</f>
        <v/>
      </c>
      <c r="F3" s="74" t="inlineStr">
        <is>
          <t>Semana del:</t>
        </is>
      </c>
      <c r="G3" s="75">
        <f>(InicioCiclo+0)</f>
        <v/>
      </c>
      <c r="H3" s="75">
        <f>(InicioCiclo+7)</f>
        <v/>
      </c>
      <c r="I3" s="75">
        <f>(InicioCiclo+14)</f>
        <v/>
      </c>
      <c r="J3" s="75">
        <f>(InicioCiclo+21)</f>
        <v/>
      </c>
    </row>
    <row r="4" ht="34" customHeight="1">
      <c r="A4" s="60" t="inlineStr">
        <is>
          <t>N°</t>
        </is>
      </c>
      <c r="B4" s="60" t="inlineStr">
        <is>
          <t>Macro Actividad / Subactividad</t>
        </is>
      </c>
      <c r="C4" s="60" t="inlineStr">
        <is>
          <t>Responsable</t>
        </is>
      </c>
      <c r="D4" s="60" t="inlineStr">
        <is>
          <t>Fecha de inicio</t>
        </is>
      </c>
      <c r="E4" s="60" t="inlineStr">
        <is>
          <t>Fecha límite</t>
        </is>
      </c>
      <c r="F4" s="60" t="inlineStr">
        <is>
          <t>Semana de entrega</t>
        </is>
      </c>
      <c r="G4" s="48" t="inlineStr">
        <is>
          <t>Semana 1</t>
        </is>
      </c>
      <c r="H4" s="48" t="inlineStr">
        <is>
          <t>Semana 2</t>
        </is>
      </c>
      <c r="I4" s="48" t="inlineStr">
        <is>
          <t>Semana 3</t>
        </is>
      </c>
      <c r="J4" s="48" t="inlineStr">
        <is>
          <t>Semana 4</t>
        </is>
      </c>
      <c r="K4" s="60" t="inlineStr">
        <is>
          <t>% Avance actual</t>
        </is>
      </c>
      <c r="L4" s="60" t="inlineStr">
        <is>
          <t>Estado</t>
        </is>
      </c>
      <c r="M4" s="60" t="inlineStr">
        <is>
          <t>Observaciones</t>
        </is>
      </c>
      <c r="N4" t="inlineStr">
        <is>
          <t>Fila origen (aux)</t>
        </is>
      </c>
      <c r="O4" t="inlineStr">
        <is>
          <t>Tipo (aux)</t>
        </is>
      </c>
      <c r="P4" t="inlineStr">
        <is>
          <t>N subactividades (aux)</t>
        </is>
      </c>
    </row>
    <row r="5">
      <c r="A5" s="61">
        <f>IF($N5="","",INDEX('Cronograma R. Operacional'!$A$5:$A$1000,$N5))</f>
        <v/>
      </c>
      <c r="B5" s="70">
        <f>IF($N5="","",IF($O5="Sub","     ↳ "&amp;INDEX('Cronograma R. Operacional'!$C$5:$C$1000,$N5),INDEX('Cronograma R. Operacional'!$B$5:$B$1000,$N5)&amp;""))</f>
        <v/>
      </c>
      <c r="C5" s="70">
        <f>IF($N5="","",INDEX('Cronograma R. Operacional'!$D$5:$D$1000,$N5)&amp;"")</f>
        <v/>
      </c>
      <c r="D5" s="76">
        <f>IF($N5="","",IF(INDEX('Cronograma R. Operacional'!$E$5:$E$1000,$N5)="","",INDEX('Cronograma R. Operacional'!$E$5:$E$1000,$N5)))</f>
        <v/>
      </c>
      <c r="E5" s="76">
        <f>IF($N5="","",IF(INDEX('Cronograma R. Operacional'!$F$5:$F$1000,$N5)="","",INDEX('Cronograma R. Operacional'!$F$5:$F$1000,$N5)))</f>
        <v/>
      </c>
      <c r="F5" s="61">
        <f>IF($N5="","",IF(NOT(ISNUMBER($E5)),"",IF($E5&lt;InicioCiclo,"Antes del ciclo",IF($E5&gt;=InicioCiclo+28,"Después del ciclo","Semana "&amp;(INT(($E5-InicioCiclo)/7)+1)))))</f>
        <v/>
      </c>
      <c r="G5" s="67">
        <f>IF($N5="","",IF($P5&gt;0,IF(1&lt;=SemanaActual,INDEX('Cronograma R. Operacional'!$Y$5:$Y$1000,$N5),""),IF(INDEX('Cronograma R. Operacional'!$H$5:$H$1000,$N5)="","",INDEX('Cronograma R. Operacional'!$H$5:$H$1000,$N5))))</f>
        <v/>
      </c>
      <c r="H5" s="67">
        <f>IF($N5="","",IF($P5&gt;0,IF(2&lt;=SemanaActual,INDEX('Cronograma R. Operacional'!$Z$5:$Z$1000,$N5),""),IF(INDEX('Cronograma R. Operacional'!$I$5:$I$1000,$N5)="","",INDEX('Cronograma R. Operacional'!$I$5:$I$1000,$N5))))</f>
        <v/>
      </c>
      <c r="I5" s="67">
        <f>IF($N5="","",IF($P5&gt;0,IF(3&lt;=SemanaActual,INDEX('Cronograma R. Operacional'!$AA$5:$AA$1000,$N5),""),IF(INDEX('Cronograma R. Operacional'!$J$5:$J$1000,$N5)="","",INDEX('Cronograma R. Operacional'!$J$5:$J$1000,$N5))))</f>
        <v/>
      </c>
      <c r="J5" s="67">
        <f>IF($N5="","",IF($P5&gt;0,IF(4&lt;=SemanaActual,INDEX('Cronograma R. Operacional'!$AB$5:$AB$1000,$N5),""),IF(INDEX('Cronograma R. Operacional'!$K$5:$K$1000,$N5)="","",INDEX('Cronograma R. Operacional'!$K$5:$K$1000,$N5))))</f>
        <v/>
      </c>
      <c r="K5" s="67">
        <f>IF($N5="","",INDEX('Cronograma R. Operacional'!$L$5:$L$1000,$N5))</f>
        <v/>
      </c>
      <c r="L5" s="61">
        <f>IF($N5="","",IF(N($K5)&gt;=1,"Completado",IF(AND(ISNUMBER($E5),$E5&lt;FechaRef),"Vencida",IF(N($K5)&gt;0,"En curso","Pendiente"))))</f>
        <v/>
      </c>
      <c r="M5" s="70">
        <f>IF($N5="","",INDEX('Cronograma R. Operacional'!$N$5:$N$1000,$N5)&amp;"")</f>
        <v/>
      </c>
      <c r="N5">
        <f>IFERROR(MATCH(ROW()-4,rOrden_RO,0),"")</f>
        <v/>
      </c>
      <c r="O5">
        <f>IF($N5="","",INDEX('Cronograma R. Operacional'!$S$5:$S$1000,$N5))</f>
        <v/>
      </c>
      <c r="P5">
        <f>IF($N5="","",N(INDEX('Cronograma R. Operacional'!$T$5:$T$1000,$N5)))</f>
        <v/>
      </c>
    </row>
    <row r="6">
      <c r="A6" s="61">
        <f>IF($N6="","",INDEX('Cronograma R. Operacional'!$A$5:$A$1000,$N6))</f>
        <v/>
      </c>
      <c r="B6" s="70">
        <f>IF($N6="","",IF($O6="Sub","     ↳ "&amp;INDEX('Cronograma R. Operacional'!$C$5:$C$1000,$N6),INDEX('Cronograma R. Operacional'!$B$5:$B$1000,$N6)&amp;""))</f>
        <v/>
      </c>
      <c r="C6" s="70">
        <f>IF($N6="","",INDEX('Cronograma R. Operacional'!$D$5:$D$1000,$N6)&amp;"")</f>
        <v/>
      </c>
      <c r="D6" s="76">
        <f>IF($N6="","",IF(INDEX('Cronograma R. Operacional'!$E$5:$E$1000,$N6)="","",INDEX('Cronograma R. Operacional'!$E$5:$E$1000,$N6)))</f>
        <v/>
      </c>
      <c r="E6" s="76">
        <f>IF($N6="","",IF(INDEX('Cronograma R. Operacional'!$F$5:$F$1000,$N6)="","",INDEX('Cronograma R. Operacional'!$F$5:$F$1000,$N6)))</f>
        <v/>
      </c>
      <c r="F6" s="61">
        <f>IF($N6="","",IF(NOT(ISNUMBER($E6)),"",IF($E6&lt;InicioCiclo,"Antes del ciclo",IF($E6&gt;=InicioCiclo+28,"Después del ciclo","Semana "&amp;(INT(($E6-InicioCiclo)/7)+1)))))</f>
        <v/>
      </c>
      <c r="G6" s="67">
        <f>IF($N6="","",IF($P6&gt;0,IF(1&lt;=SemanaActual,INDEX('Cronograma R. Operacional'!$Y$5:$Y$1000,$N6),""),IF(INDEX('Cronograma R. Operacional'!$H$5:$H$1000,$N6)="","",INDEX('Cronograma R. Operacional'!$H$5:$H$1000,$N6))))</f>
        <v/>
      </c>
      <c r="H6" s="67">
        <f>IF($N6="","",IF($P6&gt;0,IF(2&lt;=SemanaActual,INDEX('Cronograma R. Operacional'!$Z$5:$Z$1000,$N6),""),IF(INDEX('Cronograma R. Operacional'!$I$5:$I$1000,$N6)="","",INDEX('Cronograma R. Operacional'!$I$5:$I$1000,$N6))))</f>
        <v/>
      </c>
      <c r="I6" s="67">
        <f>IF($N6="","",IF($P6&gt;0,IF(3&lt;=SemanaActual,INDEX('Cronograma R. Operacional'!$AA$5:$AA$1000,$N6),""),IF(INDEX('Cronograma R. Operacional'!$J$5:$J$1000,$N6)="","",INDEX('Cronograma R. Operacional'!$J$5:$J$1000,$N6))))</f>
        <v/>
      </c>
      <c r="J6" s="67">
        <f>IF($N6="","",IF($P6&gt;0,IF(4&lt;=SemanaActual,INDEX('Cronograma R. Operacional'!$AB$5:$AB$1000,$N6),""),IF(INDEX('Cronograma R. Operacional'!$K$5:$K$1000,$N6)="","",INDEX('Cronograma R. Operacional'!$K$5:$K$1000,$N6))))</f>
        <v/>
      </c>
      <c r="K6" s="67">
        <f>IF($N6="","",INDEX('Cronograma R. Operacional'!$L$5:$L$1000,$N6))</f>
        <v/>
      </c>
      <c r="L6" s="61">
        <f>IF($N6="","",IF(N($K6)&gt;=1,"Completado",IF(AND(ISNUMBER($E6),$E6&lt;FechaRef),"Vencida",IF(N($K6)&gt;0,"En curso","Pendiente"))))</f>
        <v/>
      </c>
      <c r="M6" s="70">
        <f>IF($N6="","",INDEX('Cronograma R. Operacional'!$N$5:$N$1000,$N6)&amp;"")</f>
        <v/>
      </c>
      <c r="N6">
        <f>IFERROR(MATCH(ROW()-4,rOrden_RO,0),"")</f>
        <v/>
      </c>
      <c r="O6">
        <f>IF($N6="","",INDEX('Cronograma R. Operacional'!$S$5:$S$1000,$N6))</f>
        <v/>
      </c>
      <c r="P6">
        <f>IF($N6="","",N(INDEX('Cronograma R. Operacional'!$T$5:$T$1000,$N6)))</f>
        <v/>
      </c>
    </row>
    <row r="7">
      <c r="A7" s="61">
        <f>IF($N7="","",INDEX('Cronograma R. Operacional'!$A$5:$A$1000,$N7))</f>
        <v/>
      </c>
      <c r="B7" s="70">
        <f>IF($N7="","",IF($O7="Sub","     ↳ "&amp;INDEX('Cronograma R. Operacional'!$C$5:$C$1000,$N7),INDEX('Cronograma R. Operacional'!$B$5:$B$1000,$N7)&amp;""))</f>
        <v/>
      </c>
      <c r="C7" s="70">
        <f>IF($N7="","",INDEX('Cronograma R. Operacional'!$D$5:$D$1000,$N7)&amp;"")</f>
        <v/>
      </c>
      <c r="D7" s="76">
        <f>IF($N7="","",IF(INDEX('Cronograma R. Operacional'!$E$5:$E$1000,$N7)="","",INDEX('Cronograma R. Operacional'!$E$5:$E$1000,$N7)))</f>
        <v/>
      </c>
      <c r="E7" s="76">
        <f>IF($N7="","",IF(INDEX('Cronograma R. Operacional'!$F$5:$F$1000,$N7)="","",INDEX('Cronograma R. Operacional'!$F$5:$F$1000,$N7)))</f>
        <v/>
      </c>
      <c r="F7" s="61">
        <f>IF($N7="","",IF(NOT(ISNUMBER($E7)),"",IF($E7&lt;InicioCiclo,"Antes del ciclo",IF($E7&gt;=InicioCiclo+28,"Después del ciclo","Semana "&amp;(INT(($E7-InicioCiclo)/7)+1)))))</f>
        <v/>
      </c>
      <c r="G7" s="67">
        <f>IF($N7="","",IF($P7&gt;0,IF(1&lt;=SemanaActual,INDEX('Cronograma R. Operacional'!$Y$5:$Y$1000,$N7),""),IF(INDEX('Cronograma R. Operacional'!$H$5:$H$1000,$N7)="","",INDEX('Cronograma R. Operacional'!$H$5:$H$1000,$N7))))</f>
        <v/>
      </c>
      <c r="H7" s="67">
        <f>IF($N7="","",IF($P7&gt;0,IF(2&lt;=SemanaActual,INDEX('Cronograma R. Operacional'!$Z$5:$Z$1000,$N7),""),IF(INDEX('Cronograma R. Operacional'!$I$5:$I$1000,$N7)="","",INDEX('Cronograma R. Operacional'!$I$5:$I$1000,$N7))))</f>
        <v/>
      </c>
      <c r="I7" s="67">
        <f>IF($N7="","",IF($P7&gt;0,IF(3&lt;=SemanaActual,INDEX('Cronograma R. Operacional'!$AA$5:$AA$1000,$N7),""),IF(INDEX('Cronograma R. Operacional'!$J$5:$J$1000,$N7)="","",INDEX('Cronograma R. Operacional'!$J$5:$J$1000,$N7))))</f>
        <v/>
      </c>
      <c r="J7" s="67">
        <f>IF($N7="","",IF($P7&gt;0,IF(4&lt;=SemanaActual,INDEX('Cronograma R. Operacional'!$AB$5:$AB$1000,$N7),""),IF(INDEX('Cronograma R. Operacional'!$K$5:$K$1000,$N7)="","",INDEX('Cronograma R. Operacional'!$K$5:$K$1000,$N7))))</f>
        <v/>
      </c>
      <c r="K7" s="67">
        <f>IF($N7="","",INDEX('Cronograma R. Operacional'!$L$5:$L$1000,$N7))</f>
        <v/>
      </c>
      <c r="L7" s="61">
        <f>IF($N7="","",IF(N($K7)&gt;=1,"Completado",IF(AND(ISNUMBER($E7),$E7&lt;FechaRef),"Vencida",IF(N($K7)&gt;0,"En curso","Pendiente"))))</f>
        <v/>
      </c>
      <c r="M7" s="70">
        <f>IF($N7="","",INDEX('Cronograma R. Operacional'!$N$5:$N$1000,$N7)&amp;"")</f>
        <v/>
      </c>
      <c r="N7">
        <f>IFERROR(MATCH(ROW()-4,rOrden_RO,0),"")</f>
        <v/>
      </c>
      <c r="O7">
        <f>IF($N7="","",INDEX('Cronograma R. Operacional'!$S$5:$S$1000,$N7))</f>
        <v/>
      </c>
      <c r="P7">
        <f>IF($N7="","",N(INDEX('Cronograma R. Operacional'!$T$5:$T$1000,$N7)))</f>
        <v/>
      </c>
    </row>
    <row r="8">
      <c r="A8" s="61">
        <f>IF($N8="","",INDEX('Cronograma R. Operacional'!$A$5:$A$1000,$N8))</f>
        <v/>
      </c>
      <c r="B8" s="70">
        <f>IF($N8="","",IF($O8="Sub","     ↳ "&amp;INDEX('Cronograma R. Operacional'!$C$5:$C$1000,$N8),INDEX('Cronograma R. Operacional'!$B$5:$B$1000,$N8)&amp;""))</f>
        <v/>
      </c>
      <c r="C8" s="70">
        <f>IF($N8="","",INDEX('Cronograma R. Operacional'!$D$5:$D$1000,$N8)&amp;"")</f>
        <v/>
      </c>
      <c r="D8" s="76">
        <f>IF($N8="","",IF(INDEX('Cronograma R. Operacional'!$E$5:$E$1000,$N8)="","",INDEX('Cronograma R. Operacional'!$E$5:$E$1000,$N8)))</f>
        <v/>
      </c>
      <c r="E8" s="76">
        <f>IF($N8="","",IF(INDEX('Cronograma R. Operacional'!$F$5:$F$1000,$N8)="","",INDEX('Cronograma R. Operacional'!$F$5:$F$1000,$N8)))</f>
        <v/>
      </c>
      <c r="F8" s="61">
        <f>IF($N8="","",IF(NOT(ISNUMBER($E8)),"",IF($E8&lt;InicioCiclo,"Antes del ciclo",IF($E8&gt;=InicioCiclo+28,"Después del ciclo","Semana "&amp;(INT(($E8-InicioCiclo)/7)+1)))))</f>
        <v/>
      </c>
      <c r="G8" s="67">
        <f>IF($N8="","",IF($P8&gt;0,IF(1&lt;=SemanaActual,INDEX('Cronograma R. Operacional'!$Y$5:$Y$1000,$N8),""),IF(INDEX('Cronograma R. Operacional'!$H$5:$H$1000,$N8)="","",INDEX('Cronograma R. Operacional'!$H$5:$H$1000,$N8))))</f>
        <v/>
      </c>
      <c r="H8" s="67">
        <f>IF($N8="","",IF($P8&gt;0,IF(2&lt;=SemanaActual,INDEX('Cronograma R. Operacional'!$Z$5:$Z$1000,$N8),""),IF(INDEX('Cronograma R. Operacional'!$I$5:$I$1000,$N8)="","",INDEX('Cronograma R. Operacional'!$I$5:$I$1000,$N8))))</f>
        <v/>
      </c>
      <c r="I8" s="67">
        <f>IF($N8="","",IF($P8&gt;0,IF(3&lt;=SemanaActual,INDEX('Cronograma R. Operacional'!$AA$5:$AA$1000,$N8),""),IF(INDEX('Cronograma R. Operacional'!$J$5:$J$1000,$N8)="","",INDEX('Cronograma R. Operacional'!$J$5:$J$1000,$N8))))</f>
        <v/>
      </c>
      <c r="J8" s="67">
        <f>IF($N8="","",IF($P8&gt;0,IF(4&lt;=SemanaActual,INDEX('Cronograma R. Operacional'!$AB$5:$AB$1000,$N8),""),IF(INDEX('Cronograma R. Operacional'!$K$5:$K$1000,$N8)="","",INDEX('Cronograma R. Operacional'!$K$5:$K$1000,$N8))))</f>
        <v/>
      </c>
      <c r="K8" s="67">
        <f>IF($N8="","",INDEX('Cronograma R. Operacional'!$L$5:$L$1000,$N8))</f>
        <v/>
      </c>
      <c r="L8" s="61">
        <f>IF($N8="","",IF(N($K8)&gt;=1,"Completado",IF(AND(ISNUMBER($E8),$E8&lt;FechaRef),"Vencida",IF(N($K8)&gt;0,"En curso","Pendiente"))))</f>
        <v/>
      </c>
      <c r="M8" s="70">
        <f>IF($N8="","",INDEX('Cronograma R. Operacional'!$N$5:$N$1000,$N8)&amp;"")</f>
        <v/>
      </c>
      <c r="N8">
        <f>IFERROR(MATCH(ROW()-4,rOrden_RO,0),"")</f>
        <v/>
      </c>
      <c r="O8">
        <f>IF($N8="","",INDEX('Cronograma R. Operacional'!$S$5:$S$1000,$N8))</f>
        <v/>
      </c>
      <c r="P8">
        <f>IF($N8="","",N(INDEX('Cronograma R. Operacional'!$T$5:$T$1000,$N8)))</f>
        <v/>
      </c>
    </row>
    <row r="9">
      <c r="A9" s="61">
        <f>IF($N9="","",INDEX('Cronograma R. Operacional'!$A$5:$A$1000,$N9))</f>
        <v/>
      </c>
      <c r="B9" s="70">
        <f>IF($N9="","",IF($O9="Sub","     ↳ "&amp;INDEX('Cronograma R. Operacional'!$C$5:$C$1000,$N9),INDEX('Cronograma R. Operacional'!$B$5:$B$1000,$N9)&amp;""))</f>
        <v/>
      </c>
      <c r="C9" s="70">
        <f>IF($N9="","",INDEX('Cronograma R. Operacional'!$D$5:$D$1000,$N9)&amp;"")</f>
        <v/>
      </c>
      <c r="D9" s="76">
        <f>IF($N9="","",IF(INDEX('Cronograma R. Operacional'!$E$5:$E$1000,$N9)="","",INDEX('Cronograma R. Operacional'!$E$5:$E$1000,$N9)))</f>
        <v/>
      </c>
      <c r="E9" s="76">
        <f>IF($N9="","",IF(INDEX('Cronograma R. Operacional'!$F$5:$F$1000,$N9)="","",INDEX('Cronograma R. Operacional'!$F$5:$F$1000,$N9)))</f>
        <v/>
      </c>
      <c r="F9" s="61">
        <f>IF($N9="","",IF(NOT(ISNUMBER($E9)),"",IF($E9&lt;InicioCiclo,"Antes del ciclo",IF($E9&gt;=InicioCiclo+28,"Después del ciclo","Semana "&amp;(INT(($E9-InicioCiclo)/7)+1)))))</f>
        <v/>
      </c>
      <c r="G9" s="67">
        <f>IF($N9="","",IF($P9&gt;0,IF(1&lt;=SemanaActual,INDEX('Cronograma R. Operacional'!$Y$5:$Y$1000,$N9),""),IF(INDEX('Cronograma R. Operacional'!$H$5:$H$1000,$N9)="","",INDEX('Cronograma R. Operacional'!$H$5:$H$1000,$N9))))</f>
        <v/>
      </c>
      <c r="H9" s="67">
        <f>IF($N9="","",IF($P9&gt;0,IF(2&lt;=SemanaActual,INDEX('Cronograma R. Operacional'!$Z$5:$Z$1000,$N9),""),IF(INDEX('Cronograma R. Operacional'!$I$5:$I$1000,$N9)="","",INDEX('Cronograma R. Operacional'!$I$5:$I$1000,$N9))))</f>
        <v/>
      </c>
      <c r="I9" s="67">
        <f>IF($N9="","",IF($P9&gt;0,IF(3&lt;=SemanaActual,INDEX('Cronograma R. Operacional'!$AA$5:$AA$1000,$N9),""),IF(INDEX('Cronograma R. Operacional'!$J$5:$J$1000,$N9)="","",INDEX('Cronograma R. Operacional'!$J$5:$J$1000,$N9))))</f>
        <v/>
      </c>
      <c r="J9" s="67">
        <f>IF($N9="","",IF($P9&gt;0,IF(4&lt;=SemanaActual,INDEX('Cronograma R. Operacional'!$AB$5:$AB$1000,$N9),""),IF(INDEX('Cronograma R. Operacional'!$K$5:$K$1000,$N9)="","",INDEX('Cronograma R. Operacional'!$K$5:$K$1000,$N9))))</f>
        <v/>
      </c>
      <c r="K9" s="67">
        <f>IF($N9="","",INDEX('Cronograma R. Operacional'!$L$5:$L$1000,$N9))</f>
        <v/>
      </c>
      <c r="L9" s="61">
        <f>IF($N9="","",IF(N($K9)&gt;=1,"Completado",IF(AND(ISNUMBER($E9),$E9&lt;FechaRef),"Vencida",IF(N($K9)&gt;0,"En curso","Pendiente"))))</f>
        <v/>
      </c>
      <c r="M9" s="70">
        <f>IF($N9="","",INDEX('Cronograma R. Operacional'!$N$5:$N$1000,$N9)&amp;"")</f>
        <v/>
      </c>
      <c r="N9">
        <f>IFERROR(MATCH(ROW()-4,rOrden_RO,0),"")</f>
        <v/>
      </c>
      <c r="O9">
        <f>IF($N9="","",INDEX('Cronograma R. Operacional'!$S$5:$S$1000,$N9))</f>
        <v/>
      </c>
      <c r="P9">
        <f>IF($N9="","",N(INDEX('Cronograma R. Operacional'!$T$5:$T$1000,$N9)))</f>
        <v/>
      </c>
    </row>
    <row r="10">
      <c r="A10" s="61">
        <f>IF($N10="","",INDEX('Cronograma R. Operacional'!$A$5:$A$1000,$N10))</f>
        <v/>
      </c>
      <c r="B10" s="70">
        <f>IF($N10="","",IF($O10="Sub","     ↳ "&amp;INDEX('Cronograma R. Operacional'!$C$5:$C$1000,$N10),INDEX('Cronograma R. Operacional'!$B$5:$B$1000,$N10)&amp;""))</f>
        <v/>
      </c>
      <c r="C10" s="70">
        <f>IF($N10="","",INDEX('Cronograma R. Operacional'!$D$5:$D$1000,$N10)&amp;"")</f>
        <v/>
      </c>
      <c r="D10" s="76">
        <f>IF($N10="","",IF(INDEX('Cronograma R. Operacional'!$E$5:$E$1000,$N10)="","",INDEX('Cronograma R. Operacional'!$E$5:$E$1000,$N10)))</f>
        <v/>
      </c>
      <c r="E10" s="76">
        <f>IF($N10="","",IF(INDEX('Cronograma R. Operacional'!$F$5:$F$1000,$N10)="","",INDEX('Cronograma R. Operacional'!$F$5:$F$1000,$N10)))</f>
        <v/>
      </c>
      <c r="F10" s="61">
        <f>IF($N10="","",IF(NOT(ISNUMBER($E10)),"",IF($E10&lt;InicioCiclo,"Antes del ciclo",IF($E10&gt;=InicioCiclo+28,"Después del ciclo","Semana "&amp;(INT(($E10-InicioCiclo)/7)+1)))))</f>
        <v/>
      </c>
      <c r="G10" s="67">
        <f>IF($N10="","",IF($P10&gt;0,IF(1&lt;=SemanaActual,INDEX('Cronograma R. Operacional'!$Y$5:$Y$1000,$N10),""),IF(INDEX('Cronograma R. Operacional'!$H$5:$H$1000,$N10)="","",INDEX('Cronograma R. Operacional'!$H$5:$H$1000,$N10))))</f>
        <v/>
      </c>
      <c r="H10" s="67">
        <f>IF($N10="","",IF($P10&gt;0,IF(2&lt;=SemanaActual,INDEX('Cronograma R. Operacional'!$Z$5:$Z$1000,$N10),""),IF(INDEX('Cronograma R. Operacional'!$I$5:$I$1000,$N10)="","",INDEX('Cronograma R. Operacional'!$I$5:$I$1000,$N10))))</f>
        <v/>
      </c>
      <c r="I10" s="67">
        <f>IF($N10="","",IF($P10&gt;0,IF(3&lt;=SemanaActual,INDEX('Cronograma R. Operacional'!$AA$5:$AA$1000,$N10),""),IF(INDEX('Cronograma R. Operacional'!$J$5:$J$1000,$N10)="","",INDEX('Cronograma R. Operacional'!$J$5:$J$1000,$N10))))</f>
        <v/>
      </c>
      <c r="J10" s="67">
        <f>IF($N10="","",IF($P10&gt;0,IF(4&lt;=SemanaActual,INDEX('Cronograma R. Operacional'!$AB$5:$AB$1000,$N10),""),IF(INDEX('Cronograma R. Operacional'!$K$5:$K$1000,$N10)="","",INDEX('Cronograma R. Operacional'!$K$5:$K$1000,$N10))))</f>
        <v/>
      </c>
      <c r="K10" s="67">
        <f>IF($N10="","",INDEX('Cronograma R. Operacional'!$L$5:$L$1000,$N10))</f>
        <v/>
      </c>
      <c r="L10" s="61">
        <f>IF($N10="","",IF(N($K10)&gt;=1,"Completado",IF(AND(ISNUMBER($E10),$E10&lt;FechaRef),"Vencida",IF(N($K10)&gt;0,"En curso","Pendiente"))))</f>
        <v/>
      </c>
      <c r="M10" s="70">
        <f>IF($N10="","",INDEX('Cronograma R. Operacional'!$N$5:$N$1000,$N10)&amp;"")</f>
        <v/>
      </c>
      <c r="N10">
        <f>IFERROR(MATCH(ROW()-4,rOrden_RO,0),"")</f>
        <v/>
      </c>
      <c r="O10">
        <f>IF($N10="","",INDEX('Cronograma R. Operacional'!$S$5:$S$1000,$N10))</f>
        <v/>
      </c>
      <c r="P10">
        <f>IF($N10="","",N(INDEX('Cronograma R. Operacional'!$T$5:$T$1000,$N10)))</f>
        <v/>
      </c>
    </row>
    <row r="11">
      <c r="A11" s="61">
        <f>IF($N11="","",INDEX('Cronograma R. Operacional'!$A$5:$A$1000,$N11))</f>
        <v/>
      </c>
      <c r="B11" s="70">
        <f>IF($N11="","",IF($O11="Sub","     ↳ "&amp;INDEX('Cronograma R. Operacional'!$C$5:$C$1000,$N11),INDEX('Cronograma R. Operacional'!$B$5:$B$1000,$N11)&amp;""))</f>
        <v/>
      </c>
      <c r="C11" s="70">
        <f>IF($N11="","",INDEX('Cronograma R. Operacional'!$D$5:$D$1000,$N11)&amp;"")</f>
        <v/>
      </c>
      <c r="D11" s="76">
        <f>IF($N11="","",IF(INDEX('Cronograma R. Operacional'!$E$5:$E$1000,$N11)="","",INDEX('Cronograma R. Operacional'!$E$5:$E$1000,$N11)))</f>
        <v/>
      </c>
      <c r="E11" s="76">
        <f>IF($N11="","",IF(INDEX('Cronograma R. Operacional'!$F$5:$F$1000,$N11)="","",INDEX('Cronograma R. Operacional'!$F$5:$F$1000,$N11)))</f>
        <v/>
      </c>
      <c r="F11" s="61">
        <f>IF($N11="","",IF(NOT(ISNUMBER($E11)),"",IF($E11&lt;InicioCiclo,"Antes del ciclo",IF($E11&gt;=InicioCiclo+28,"Después del ciclo","Semana "&amp;(INT(($E11-InicioCiclo)/7)+1)))))</f>
        <v/>
      </c>
      <c r="G11" s="67">
        <f>IF($N11="","",IF($P11&gt;0,IF(1&lt;=SemanaActual,INDEX('Cronograma R. Operacional'!$Y$5:$Y$1000,$N11),""),IF(INDEX('Cronograma R. Operacional'!$H$5:$H$1000,$N11)="","",INDEX('Cronograma R. Operacional'!$H$5:$H$1000,$N11))))</f>
        <v/>
      </c>
      <c r="H11" s="67">
        <f>IF($N11="","",IF($P11&gt;0,IF(2&lt;=SemanaActual,INDEX('Cronograma R. Operacional'!$Z$5:$Z$1000,$N11),""),IF(INDEX('Cronograma R. Operacional'!$I$5:$I$1000,$N11)="","",INDEX('Cronograma R. Operacional'!$I$5:$I$1000,$N11))))</f>
        <v/>
      </c>
      <c r="I11" s="67">
        <f>IF($N11="","",IF($P11&gt;0,IF(3&lt;=SemanaActual,INDEX('Cronograma R. Operacional'!$AA$5:$AA$1000,$N11),""),IF(INDEX('Cronograma R. Operacional'!$J$5:$J$1000,$N11)="","",INDEX('Cronograma R. Operacional'!$J$5:$J$1000,$N11))))</f>
        <v/>
      </c>
      <c r="J11" s="67">
        <f>IF($N11="","",IF($P11&gt;0,IF(4&lt;=SemanaActual,INDEX('Cronograma R. Operacional'!$AB$5:$AB$1000,$N11),""),IF(INDEX('Cronograma R. Operacional'!$K$5:$K$1000,$N11)="","",INDEX('Cronograma R. Operacional'!$K$5:$K$1000,$N11))))</f>
        <v/>
      </c>
      <c r="K11" s="67">
        <f>IF($N11="","",INDEX('Cronograma R. Operacional'!$L$5:$L$1000,$N11))</f>
        <v/>
      </c>
      <c r="L11" s="61">
        <f>IF($N11="","",IF(N($K11)&gt;=1,"Completado",IF(AND(ISNUMBER($E11),$E11&lt;FechaRef),"Vencida",IF(N($K11)&gt;0,"En curso","Pendiente"))))</f>
        <v/>
      </c>
      <c r="M11" s="70">
        <f>IF($N11="","",INDEX('Cronograma R. Operacional'!$N$5:$N$1000,$N11)&amp;"")</f>
        <v/>
      </c>
      <c r="N11">
        <f>IFERROR(MATCH(ROW()-4,rOrden_RO,0),"")</f>
        <v/>
      </c>
      <c r="O11">
        <f>IF($N11="","",INDEX('Cronograma R. Operacional'!$S$5:$S$1000,$N11))</f>
        <v/>
      </c>
      <c r="P11">
        <f>IF($N11="","",N(INDEX('Cronograma R. Operacional'!$T$5:$T$1000,$N11)))</f>
        <v/>
      </c>
    </row>
    <row r="12">
      <c r="A12" s="61">
        <f>IF($N12="","",INDEX('Cronograma R. Operacional'!$A$5:$A$1000,$N12))</f>
        <v/>
      </c>
      <c r="B12" s="70">
        <f>IF($N12="","",IF($O12="Sub","     ↳ "&amp;INDEX('Cronograma R. Operacional'!$C$5:$C$1000,$N12),INDEX('Cronograma R. Operacional'!$B$5:$B$1000,$N12)&amp;""))</f>
        <v/>
      </c>
      <c r="C12" s="70">
        <f>IF($N12="","",INDEX('Cronograma R. Operacional'!$D$5:$D$1000,$N12)&amp;"")</f>
        <v/>
      </c>
      <c r="D12" s="76">
        <f>IF($N12="","",IF(INDEX('Cronograma R. Operacional'!$E$5:$E$1000,$N12)="","",INDEX('Cronograma R. Operacional'!$E$5:$E$1000,$N12)))</f>
        <v/>
      </c>
      <c r="E12" s="76">
        <f>IF($N12="","",IF(INDEX('Cronograma R. Operacional'!$F$5:$F$1000,$N12)="","",INDEX('Cronograma R. Operacional'!$F$5:$F$1000,$N12)))</f>
        <v/>
      </c>
      <c r="F12" s="61">
        <f>IF($N12="","",IF(NOT(ISNUMBER($E12)),"",IF($E12&lt;InicioCiclo,"Antes del ciclo",IF($E12&gt;=InicioCiclo+28,"Después del ciclo","Semana "&amp;(INT(($E12-InicioCiclo)/7)+1)))))</f>
        <v/>
      </c>
      <c r="G12" s="67">
        <f>IF($N12="","",IF($P12&gt;0,IF(1&lt;=SemanaActual,INDEX('Cronograma R. Operacional'!$Y$5:$Y$1000,$N12),""),IF(INDEX('Cronograma R. Operacional'!$H$5:$H$1000,$N12)="","",INDEX('Cronograma R. Operacional'!$H$5:$H$1000,$N12))))</f>
        <v/>
      </c>
      <c r="H12" s="67">
        <f>IF($N12="","",IF($P12&gt;0,IF(2&lt;=SemanaActual,INDEX('Cronograma R. Operacional'!$Z$5:$Z$1000,$N12),""),IF(INDEX('Cronograma R. Operacional'!$I$5:$I$1000,$N12)="","",INDEX('Cronograma R. Operacional'!$I$5:$I$1000,$N12))))</f>
        <v/>
      </c>
      <c r="I12" s="67">
        <f>IF($N12="","",IF($P12&gt;0,IF(3&lt;=SemanaActual,INDEX('Cronograma R. Operacional'!$AA$5:$AA$1000,$N12),""),IF(INDEX('Cronograma R. Operacional'!$J$5:$J$1000,$N12)="","",INDEX('Cronograma R. Operacional'!$J$5:$J$1000,$N12))))</f>
        <v/>
      </c>
      <c r="J12" s="67">
        <f>IF($N12="","",IF($P12&gt;0,IF(4&lt;=SemanaActual,INDEX('Cronograma R. Operacional'!$AB$5:$AB$1000,$N12),""),IF(INDEX('Cronograma R. Operacional'!$K$5:$K$1000,$N12)="","",INDEX('Cronograma R. Operacional'!$K$5:$K$1000,$N12))))</f>
        <v/>
      </c>
      <c r="K12" s="67">
        <f>IF($N12="","",INDEX('Cronograma R. Operacional'!$L$5:$L$1000,$N12))</f>
        <v/>
      </c>
      <c r="L12" s="61">
        <f>IF($N12="","",IF(N($K12)&gt;=1,"Completado",IF(AND(ISNUMBER($E12),$E12&lt;FechaRef),"Vencida",IF(N($K12)&gt;0,"En curso","Pendiente"))))</f>
        <v/>
      </c>
      <c r="M12" s="70">
        <f>IF($N12="","",INDEX('Cronograma R. Operacional'!$N$5:$N$1000,$N12)&amp;"")</f>
        <v/>
      </c>
      <c r="N12">
        <f>IFERROR(MATCH(ROW()-4,rOrden_RO,0),"")</f>
        <v/>
      </c>
      <c r="O12">
        <f>IF($N12="","",INDEX('Cronograma R. Operacional'!$S$5:$S$1000,$N12))</f>
        <v/>
      </c>
      <c r="P12">
        <f>IF($N12="","",N(INDEX('Cronograma R. Operacional'!$T$5:$T$1000,$N12)))</f>
        <v/>
      </c>
    </row>
    <row r="13">
      <c r="A13" s="61">
        <f>IF($N13="","",INDEX('Cronograma R. Operacional'!$A$5:$A$1000,$N13))</f>
        <v/>
      </c>
      <c r="B13" s="70">
        <f>IF($N13="","",IF($O13="Sub","     ↳ "&amp;INDEX('Cronograma R. Operacional'!$C$5:$C$1000,$N13),INDEX('Cronograma R. Operacional'!$B$5:$B$1000,$N13)&amp;""))</f>
        <v/>
      </c>
      <c r="C13" s="70">
        <f>IF($N13="","",INDEX('Cronograma R. Operacional'!$D$5:$D$1000,$N13)&amp;"")</f>
        <v/>
      </c>
      <c r="D13" s="76">
        <f>IF($N13="","",IF(INDEX('Cronograma R. Operacional'!$E$5:$E$1000,$N13)="","",INDEX('Cronograma R. Operacional'!$E$5:$E$1000,$N13)))</f>
        <v/>
      </c>
      <c r="E13" s="76">
        <f>IF($N13="","",IF(INDEX('Cronograma R. Operacional'!$F$5:$F$1000,$N13)="","",INDEX('Cronograma R. Operacional'!$F$5:$F$1000,$N13)))</f>
        <v/>
      </c>
      <c r="F13" s="61">
        <f>IF($N13="","",IF(NOT(ISNUMBER($E13)),"",IF($E13&lt;InicioCiclo,"Antes del ciclo",IF($E13&gt;=InicioCiclo+28,"Después del ciclo","Semana "&amp;(INT(($E13-InicioCiclo)/7)+1)))))</f>
        <v/>
      </c>
      <c r="G13" s="67">
        <f>IF($N13="","",IF($P13&gt;0,IF(1&lt;=SemanaActual,INDEX('Cronograma R. Operacional'!$Y$5:$Y$1000,$N13),""),IF(INDEX('Cronograma R. Operacional'!$H$5:$H$1000,$N13)="","",INDEX('Cronograma R. Operacional'!$H$5:$H$1000,$N13))))</f>
        <v/>
      </c>
      <c r="H13" s="67">
        <f>IF($N13="","",IF($P13&gt;0,IF(2&lt;=SemanaActual,INDEX('Cronograma R. Operacional'!$Z$5:$Z$1000,$N13),""),IF(INDEX('Cronograma R. Operacional'!$I$5:$I$1000,$N13)="","",INDEX('Cronograma R. Operacional'!$I$5:$I$1000,$N13))))</f>
        <v/>
      </c>
      <c r="I13" s="67">
        <f>IF($N13="","",IF($P13&gt;0,IF(3&lt;=SemanaActual,INDEX('Cronograma R. Operacional'!$AA$5:$AA$1000,$N13),""),IF(INDEX('Cronograma R. Operacional'!$J$5:$J$1000,$N13)="","",INDEX('Cronograma R. Operacional'!$J$5:$J$1000,$N13))))</f>
        <v/>
      </c>
      <c r="J13" s="67">
        <f>IF($N13="","",IF($P13&gt;0,IF(4&lt;=SemanaActual,INDEX('Cronograma R. Operacional'!$AB$5:$AB$1000,$N13),""),IF(INDEX('Cronograma R. Operacional'!$K$5:$K$1000,$N13)="","",INDEX('Cronograma R. Operacional'!$K$5:$K$1000,$N13))))</f>
        <v/>
      </c>
      <c r="K13" s="67">
        <f>IF($N13="","",INDEX('Cronograma R. Operacional'!$L$5:$L$1000,$N13))</f>
        <v/>
      </c>
      <c r="L13" s="61">
        <f>IF($N13="","",IF(N($K13)&gt;=1,"Completado",IF(AND(ISNUMBER($E13),$E13&lt;FechaRef),"Vencida",IF(N($K13)&gt;0,"En curso","Pendiente"))))</f>
        <v/>
      </c>
      <c r="M13" s="70">
        <f>IF($N13="","",INDEX('Cronograma R. Operacional'!$N$5:$N$1000,$N13)&amp;"")</f>
        <v/>
      </c>
      <c r="N13">
        <f>IFERROR(MATCH(ROW()-4,rOrden_RO,0),"")</f>
        <v/>
      </c>
      <c r="O13">
        <f>IF($N13="","",INDEX('Cronograma R. Operacional'!$S$5:$S$1000,$N13))</f>
        <v/>
      </c>
      <c r="P13">
        <f>IF($N13="","",N(INDEX('Cronograma R. Operacional'!$T$5:$T$1000,$N13)))</f>
        <v/>
      </c>
    </row>
    <row r="14">
      <c r="A14" s="61">
        <f>IF($N14="","",INDEX('Cronograma R. Operacional'!$A$5:$A$1000,$N14))</f>
        <v/>
      </c>
      <c r="B14" s="70">
        <f>IF($N14="","",IF($O14="Sub","     ↳ "&amp;INDEX('Cronograma R. Operacional'!$C$5:$C$1000,$N14),INDEX('Cronograma R. Operacional'!$B$5:$B$1000,$N14)&amp;""))</f>
        <v/>
      </c>
      <c r="C14" s="70">
        <f>IF($N14="","",INDEX('Cronograma R. Operacional'!$D$5:$D$1000,$N14)&amp;"")</f>
        <v/>
      </c>
      <c r="D14" s="76">
        <f>IF($N14="","",IF(INDEX('Cronograma R. Operacional'!$E$5:$E$1000,$N14)="","",INDEX('Cronograma R. Operacional'!$E$5:$E$1000,$N14)))</f>
        <v/>
      </c>
      <c r="E14" s="76">
        <f>IF($N14="","",IF(INDEX('Cronograma R. Operacional'!$F$5:$F$1000,$N14)="","",INDEX('Cronograma R. Operacional'!$F$5:$F$1000,$N14)))</f>
        <v/>
      </c>
      <c r="F14" s="61">
        <f>IF($N14="","",IF(NOT(ISNUMBER($E14)),"",IF($E14&lt;InicioCiclo,"Antes del ciclo",IF($E14&gt;=InicioCiclo+28,"Después del ciclo","Semana "&amp;(INT(($E14-InicioCiclo)/7)+1)))))</f>
        <v/>
      </c>
      <c r="G14" s="67">
        <f>IF($N14="","",IF($P14&gt;0,IF(1&lt;=SemanaActual,INDEX('Cronograma R. Operacional'!$Y$5:$Y$1000,$N14),""),IF(INDEX('Cronograma R. Operacional'!$H$5:$H$1000,$N14)="","",INDEX('Cronograma R. Operacional'!$H$5:$H$1000,$N14))))</f>
        <v/>
      </c>
      <c r="H14" s="67">
        <f>IF($N14="","",IF($P14&gt;0,IF(2&lt;=SemanaActual,INDEX('Cronograma R. Operacional'!$Z$5:$Z$1000,$N14),""),IF(INDEX('Cronograma R. Operacional'!$I$5:$I$1000,$N14)="","",INDEX('Cronograma R. Operacional'!$I$5:$I$1000,$N14))))</f>
        <v/>
      </c>
      <c r="I14" s="67">
        <f>IF($N14="","",IF($P14&gt;0,IF(3&lt;=SemanaActual,INDEX('Cronograma R. Operacional'!$AA$5:$AA$1000,$N14),""),IF(INDEX('Cronograma R. Operacional'!$J$5:$J$1000,$N14)="","",INDEX('Cronograma R. Operacional'!$J$5:$J$1000,$N14))))</f>
        <v/>
      </c>
      <c r="J14" s="67">
        <f>IF($N14="","",IF($P14&gt;0,IF(4&lt;=SemanaActual,INDEX('Cronograma R. Operacional'!$AB$5:$AB$1000,$N14),""),IF(INDEX('Cronograma R. Operacional'!$K$5:$K$1000,$N14)="","",INDEX('Cronograma R. Operacional'!$K$5:$K$1000,$N14))))</f>
        <v/>
      </c>
      <c r="K14" s="67">
        <f>IF($N14="","",INDEX('Cronograma R. Operacional'!$L$5:$L$1000,$N14))</f>
        <v/>
      </c>
      <c r="L14" s="61">
        <f>IF($N14="","",IF(N($K14)&gt;=1,"Completado",IF(AND(ISNUMBER($E14),$E14&lt;FechaRef),"Vencida",IF(N($K14)&gt;0,"En curso","Pendiente"))))</f>
        <v/>
      </c>
      <c r="M14" s="70">
        <f>IF($N14="","",INDEX('Cronograma R. Operacional'!$N$5:$N$1000,$N14)&amp;"")</f>
        <v/>
      </c>
      <c r="N14">
        <f>IFERROR(MATCH(ROW()-4,rOrden_RO,0),"")</f>
        <v/>
      </c>
      <c r="O14">
        <f>IF($N14="","",INDEX('Cronograma R. Operacional'!$S$5:$S$1000,$N14))</f>
        <v/>
      </c>
      <c r="P14">
        <f>IF($N14="","",N(INDEX('Cronograma R. Operacional'!$T$5:$T$1000,$N14)))</f>
        <v/>
      </c>
    </row>
    <row r="15">
      <c r="A15" s="61">
        <f>IF($N15="","",INDEX('Cronograma R. Operacional'!$A$5:$A$1000,$N15))</f>
        <v/>
      </c>
      <c r="B15" s="70">
        <f>IF($N15="","",IF($O15="Sub","     ↳ "&amp;INDEX('Cronograma R. Operacional'!$C$5:$C$1000,$N15),INDEX('Cronograma R. Operacional'!$B$5:$B$1000,$N15)&amp;""))</f>
        <v/>
      </c>
      <c r="C15" s="70">
        <f>IF($N15="","",INDEX('Cronograma R. Operacional'!$D$5:$D$1000,$N15)&amp;"")</f>
        <v/>
      </c>
      <c r="D15" s="76">
        <f>IF($N15="","",IF(INDEX('Cronograma R. Operacional'!$E$5:$E$1000,$N15)="","",INDEX('Cronograma R. Operacional'!$E$5:$E$1000,$N15)))</f>
        <v/>
      </c>
      <c r="E15" s="76">
        <f>IF($N15="","",IF(INDEX('Cronograma R. Operacional'!$F$5:$F$1000,$N15)="","",INDEX('Cronograma R. Operacional'!$F$5:$F$1000,$N15)))</f>
        <v/>
      </c>
      <c r="F15" s="61">
        <f>IF($N15="","",IF(NOT(ISNUMBER($E15)),"",IF($E15&lt;InicioCiclo,"Antes del ciclo",IF($E15&gt;=InicioCiclo+28,"Después del ciclo","Semana "&amp;(INT(($E15-InicioCiclo)/7)+1)))))</f>
        <v/>
      </c>
      <c r="G15" s="67">
        <f>IF($N15="","",IF($P15&gt;0,IF(1&lt;=SemanaActual,INDEX('Cronograma R. Operacional'!$Y$5:$Y$1000,$N15),""),IF(INDEX('Cronograma R. Operacional'!$H$5:$H$1000,$N15)="","",INDEX('Cronograma R. Operacional'!$H$5:$H$1000,$N15))))</f>
        <v/>
      </c>
      <c r="H15" s="67">
        <f>IF($N15="","",IF($P15&gt;0,IF(2&lt;=SemanaActual,INDEX('Cronograma R. Operacional'!$Z$5:$Z$1000,$N15),""),IF(INDEX('Cronograma R. Operacional'!$I$5:$I$1000,$N15)="","",INDEX('Cronograma R. Operacional'!$I$5:$I$1000,$N15))))</f>
        <v/>
      </c>
      <c r="I15" s="67">
        <f>IF($N15="","",IF($P15&gt;0,IF(3&lt;=SemanaActual,INDEX('Cronograma R. Operacional'!$AA$5:$AA$1000,$N15),""),IF(INDEX('Cronograma R. Operacional'!$J$5:$J$1000,$N15)="","",INDEX('Cronograma R. Operacional'!$J$5:$J$1000,$N15))))</f>
        <v/>
      </c>
      <c r="J15" s="67">
        <f>IF($N15="","",IF($P15&gt;0,IF(4&lt;=SemanaActual,INDEX('Cronograma R. Operacional'!$AB$5:$AB$1000,$N15),""),IF(INDEX('Cronograma R. Operacional'!$K$5:$K$1000,$N15)="","",INDEX('Cronograma R. Operacional'!$K$5:$K$1000,$N15))))</f>
        <v/>
      </c>
      <c r="K15" s="67">
        <f>IF($N15="","",INDEX('Cronograma R. Operacional'!$L$5:$L$1000,$N15))</f>
        <v/>
      </c>
      <c r="L15" s="61">
        <f>IF($N15="","",IF(N($K15)&gt;=1,"Completado",IF(AND(ISNUMBER($E15),$E15&lt;FechaRef),"Vencida",IF(N($K15)&gt;0,"En curso","Pendiente"))))</f>
        <v/>
      </c>
      <c r="M15" s="70">
        <f>IF($N15="","",INDEX('Cronograma R. Operacional'!$N$5:$N$1000,$N15)&amp;"")</f>
        <v/>
      </c>
      <c r="N15">
        <f>IFERROR(MATCH(ROW()-4,rOrden_RO,0),"")</f>
        <v/>
      </c>
      <c r="O15">
        <f>IF($N15="","",INDEX('Cronograma R. Operacional'!$S$5:$S$1000,$N15))</f>
        <v/>
      </c>
      <c r="P15">
        <f>IF($N15="","",N(INDEX('Cronograma R. Operacional'!$T$5:$T$1000,$N15)))</f>
        <v/>
      </c>
    </row>
    <row r="16">
      <c r="A16" s="61">
        <f>IF($N16="","",INDEX('Cronograma R. Operacional'!$A$5:$A$1000,$N16))</f>
        <v/>
      </c>
      <c r="B16" s="70">
        <f>IF($N16="","",IF($O16="Sub","     ↳ "&amp;INDEX('Cronograma R. Operacional'!$C$5:$C$1000,$N16),INDEX('Cronograma R. Operacional'!$B$5:$B$1000,$N16)&amp;""))</f>
        <v/>
      </c>
      <c r="C16" s="70">
        <f>IF($N16="","",INDEX('Cronograma R. Operacional'!$D$5:$D$1000,$N16)&amp;"")</f>
        <v/>
      </c>
      <c r="D16" s="76">
        <f>IF($N16="","",IF(INDEX('Cronograma R. Operacional'!$E$5:$E$1000,$N16)="","",INDEX('Cronograma R. Operacional'!$E$5:$E$1000,$N16)))</f>
        <v/>
      </c>
      <c r="E16" s="76">
        <f>IF($N16="","",IF(INDEX('Cronograma R. Operacional'!$F$5:$F$1000,$N16)="","",INDEX('Cronograma R. Operacional'!$F$5:$F$1000,$N16)))</f>
        <v/>
      </c>
      <c r="F16" s="61">
        <f>IF($N16="","",IF(NOT(ISNUMBER($E16)),"",IF($E16&lt;InicioCiclo,"Antes del ciclo",IF($E16&gt;=InicioCiclo+28,"Después del ciclo","Semana "&amp;(INT(($E16-InicioCiclo)/7)+1)))))</f>
        <v/>
      </c>
      <c r="G16" s="67">
        <f>IF($N16="","",IF($P16&gt;0,IF(1&lt;=SemanaActual,INDEX('Cronograma R. Operacional'!$Y$5:$Y$1000,$N16),""),IF(INDEX('Cronograma R. Operacional'!$H$5:$H$1000,$N16)="","",INDEX('Cronograma R. Operacional'!$H$5:$H$1000,$N16))))</f>
        <v/>
      </c>
      <c r="H16" s="67">
        <f>IF($N16="","",IF($P16&gt;0,IF(2&lt;=SemanaActual,INDEX('Cronograma R. Operacional'!$Z$5:$Z$1000,$N16),""),IF(INDEX('Cronograma R. Operacional'!$I$5:$I$1000,$N16)="","",INDEX('Cronograma R. Operacional'!$I$5:$I$1000,$N16))))</f>
        <v/>
      </c>
      <c r="I16" s="67">
        <f>IF($N16="","",IF($P16&gt;0,IF(3&lt;=SemanaActual,INDEX('Cronograma R. Operacional'!$AA$5:$AA$1000,$N16),""),IF(INDEX('Cronograma R. Operacional'!$J$5:$J$1000,$N16)="","",INDEX('Cronograma R. Operacional'!$J$5:$J$1000,$N16))))</f>
        <v/>
      </c>
      <c r="J16" s="67">
        <f>IF($N16="","",IF($P16&gt;0,IF(4&lt;=SemanaActual,INDEX('Cronograma R. Operacional'!$AB$5:$AB$1000,$N16),""),IF(INDEX('Cronograma R. Operacional'!$K$5:$K$1000,$N16)="","",INDEX('Cronograma R. Operacional'!$K$5:$K$1000,$N16))))</f>
        <v/>
      </c>
      <c r="K16" s="67">
        <f>IF($N16="","",INDEX('Cronograma R. Operacional'!$L$5:$L$1000,$N16))</f>
        <v/>
      </c>
      <c r="L16" s="61">
        <f>IF($N16="","",IF(N($K16)&gt;=1,"Completado",IF(AND(ISNUMBER($E16),$E16&lt;FechaRef),"Vencida",IF(N($K16)&gt;0,"En curso","Pendiente"))))</f>
        <v/>
      </c>
      <c r="M16" s="70">
        <f>IF($N16="","",INDEX('Cronograma R. Operacional'!$N$5:$N$1000,$N16)&amp;"")</f>
        <v/>
      </c>
      <c r="N16">
        <f>IFERROR(MATCH(ROW()-4,rOrden_RO,0),"")</f>
        <v/>
      </c>
      <c r="O16">
        <f>IF($N16="","",INDEX('Cronograma R. Operacional'!$S$5:$S$1000,$N16))</f>
        <v/>
      </c>
      <c r="P16">
        <f>IF($N16="","",N(INDEX('Cronograma R. Operacional'!$T$5:$T$1000,$N16)))</f>
        <v/>
      </c>
    </row>
    <row r="17">
      <c r="A17" s="61">
        <f>IF($N17="","",INDEX('Cronograma R. Operacional'!$A$5:$A$1000,$N17))</f>
        <v/>
      </c>
      <c r="B17" s="70">
        <f>IF($N17="","",IF($O17="Sub","     ↳ "&amp;INDEX('Cronograma R. Operacional'!$C$5:$C$1000,$N17),INDEX('Cronograma R. Operacional'!$B$5:$B$1000,$N17)&amp;""))</f>
        <v/>
      </c>
      <c r="C17" s="70">
        <f>IF($N17="","",INDEX('Cronograma R. Operacional'!$D$5:$D$1000,$N17)&amp;"")</f>
        <v/>
      </c>
      <c r="D17" s="76">
        <f>IF($N17="","",IF(INDEX('Cronograma R. Operacional'!$E$5:$E$1000,$N17)="","",INDEX('Cronograma R. Operacional'!$E$5:$E$1000,$N17)))</f>
        <v/>
      </c>
      <c r="E17" s="76">
        <f>IF($N17="","",IF(INDEX('Cronograma R. Operacional'!$F$5:$F$1000,$N17)="","",INDEX('Cronograma R. Operacional'!$F$5:$F$1000,$N17)))</f>
        <v/>
      </c>
      <c r="F17" s="61">
        <f>IF($N17="","",IF(NOT(ISNUMBER($E17)),"",IF($E17&lt;InicioCiclo,"Antes del ciclo",IF($E17&gt;=InicioCiclo+28,"Después del ciclo","Semana "&amp;(INT(($E17-InicioCiclo)/7)+1)))))</f>
        <v/>
      </c>
      <c r="G17" s="67">
        <f>IF($N17="","",IF($P17&gt;0,IF(1&lt;=SemanaActual,INDEX('Cronograma R. Operacional'!$Y$5:$Y$1000,$N17),""),IF(INDEX('Cronograma R. Operacional'!$H$5:$H$1000,$N17)="","",INDEX('Cronograma R. Operacional'!$H$5:$H$1000,$N17))))</f>
        <v/>
      </c>
      <c r="H17" s="67">
        <f>IF($N17="","",IF($P17&gt;0,IF(2&lt;=SemanaActual,INDEX('Cronograma R. Operacional'!$Z$5:$Z$1000,$N17),""),IF(INDEX('Cronograma R. Operacional'!$I$5:$I$1000,$N17)="","",INDEX('Cronograma R. Operacional'!$I$5:$I$1000,$N17))))</f>
        <v/>
      </c>
      <c r="I17" s="67">
        <f>IF($N17="","",IF($P17&gt;0,IF(3&lt;=SemanaActual,INDEX('Cronograma R. Operacional'!$AA$5:$AA$1000,$N17),""),IF(INDEX('Cronograma R. Operacional'!$J$5:$J$1000,$N17)="","",INDEX('Cronograma R. Operacional'!$J$5:$J$1000,$N17))))</f>
        <v/>
      </c>
      <c r="J17" s="67">
        <f>IF($N17="","",IF($P17&gt;0,IF(4&lt;=SemanaActual,INDEX('Cronograma R. Operacional'!$AB$5:$AB$1000,$N17),""),IF(INDEX('Cronograma R. Operacional'!$K$5:$K$1000,$N17)="","",INDEX('Cronograma R. Operacional'!$K$5:$K$1000,$N17))))</f>
        <v/>
      </c>
      <c r="K17" s="67">
        <f>IF($N17="","",INDEX('Cronograma R. Operacional'!$L$5:$L$1000,$N17))</f>
        <v/>
      </c>
      <c r="L17" s="61">
        <f>IF($N17="","",IF(N($K17)&gt;=1,"Completado",IF(AND(ISNUMBER($E17),$E17&lt;FechaRef),"Vencida",IF(N($K17)&gt;0,"En curso","Pendiente"))))</f>
        <v/>
      </c>
      <c r="M17" s="70">
        <f>IF($N17="","",INDEX('Cronograma R. Operacional'!$N$5:$N$1000,$N17)&amp;"")</f>
        <v/>
      </c>
      <c r="N17">
        <f>IFERROR(MATCH(ROW()-4,rOrden_RO,0),"")</f>
        <v/>
      </c>
      <c r="O17">
        <f>IF($N17="","",INDEX('Cronograma R. Operacional'!$S$5:$S$1000,$N17))</f>
        <v/>
      </c>
      <c r="P17">
        <f>IF($N17="","",N(INDEX('Cronograma R. Operacional'!$T$5:$T$1000,$N17)))</f>
        <v/>
      </c>
    </row>
    <row r="18">
      <c r="A18" s="61">
        <f>IF($N18="","",INDEX('Cronograma R. Operacional'!$A$5:$A$1000,$N18))</f>
        <v/>
      </c>
      <c r="B18" s="70">
        <f>IF($N18="","",IF($O18="Sub","     ↳ "&amp;INDEX('Cronograma R. Operacional'!$C$5:$C$1000,$N18),INDEX('Cronograma R. Operacional'!$B$5:$B$1000,$N18)&amp;""))</f>
        <v/>
      </c>
      <c r="C18" s="70">
        <f>IF($N18="","",INDEX('Cronograma R. Operacional'!$D$5:$D$1000,$N18)&amp;"")</f>
        <v/>
      </c>
      <c r="D18" s="76">
        <f>IF($N18="","",IF(INDEX('Cronograma R. Operacional'!$E$5:$E$1000,$N18)="","",INDEX('Cronograma R. Operacional'!$E$5:$E$1000,$N18)))</f>
        <v/>
      </c>
      <c r="E18" s="76">
        <f>IF($N18="","",IF(INDEX('Cronograma R. Operacional'!$F$5:$F$1000,$N18)="","",INDEX('Cronograma R. Operacional'!$F$5:$F$1000,$N18)))</f>
        <v/>
      </c>
      <c r="F18" s="61">
        <f>IF($N18="","",IF(NOT(ISNUMBER($E18)),"",IF($E18&lt;InicioCiclo,"Antes del ciclo",IF($E18&gt;=InicioCiclo+28,"Después del ciclo","Semana "&amp;(INT(($E18-InicioCiclo)/7)+1)))))</f>
        <v/>
      </c>
      <c r="G18" s="67">
        <f>IF($N18="","",IF($P18&gt;0,IF(1&lt;=SemanaActual,INDEX('Cronograma R. Operacional'!$Y$5:$Y$1000,$N18),""),IF(INDEX('Cronograma R. Operacional'!$H$5:$H$1000,$N18)="","",INDEX('Cronograma R. Operacional'!$H$5:$H$1000,$N18))))</f>
        <v/>
      </c>
      <c r="H18" s="67">
        <f>IF($N18="","",IF($P18&gt;0,IF(2&lt;=SemanaActual,INDEX('Cronograma R. Operacional'!$Z$5:$Z$1000,$N18),""),IF(INDEX('Cronograma R. Operacional'!$I$5:$I$1000,$N18)="","",INDEX('Cronograma R. Operacional'!$I$5:$I$1000,$N18))))</f>
        <v/>
      </c>
      <c r="I18" s="67">
        <f>IF($N18="","",IF($P18&gt;0,IF(3&lt;=SemanaActual,INDEX('Cronograma R. Operacional'!$AA$5:$AA$1000,$N18),""),IF(INDEX('Cronograma R. Operacional'!$J$5:$J$1000,$N18)="","",INDEX('Cronograma R. Operacional'!$J$5:$J$1000,$N18))))</f>
        <v/>
      </c>
      <c r="J18" s="67">
        <f>IF($N18="","",IF($P18&gt;0,IF(4&lt;=SemanaActual,INDEX('Cronograma R. Operacional'!$AB$5:$AB$1000,$N18),""),IF(INDEX('Cronograma R. Operacional'!$K$5:$K$1000,$N18)="","",INDEX('Cronograma R. Operacional'!$K$5:$K$1000,$N18))))</f>
        <v/>
      </c>
      <c r="K18" s="67">
        <f>IF($N18="","",INDEX('Cronograma R. Operacional'!$L$5:$L$1000,$N18))</f>
        <v/>
      </c>
      <c r="L18" s="61">
        <f>IF($N18="","",IF(N($K18)&gt;=1,"Completado",IF(AND(ISNUMBER($E18),$E18&lt;FechaRef),"Vencida",IF(N($K18)&gt;0,"En curso","Pendiente"))))</f>
        <v/>
      </c>
      <c r="M18" s="70">
        <f>IF($N18="","",INDEX('Cronograma R. Operacional'!$N$5:$N$1000,$N18)&amp;"")</f>
        <v/>
      </c>
      <c r="N18">
        <f>IFERROR(MATCH(ROW()-4,rOrden_RO,0),"")</f>
        <v/>
      </c>
      <c r="O18">
        <f>IF($N18="","",INDEX('Cronograma R. Operacional'!$S$5:$S$1000,$N18))</f>
        <v/>
      </c>
      <c r="P18">
        <f>IF($N18="","",N(INDEX('Cronograma R. Operacional'!$T$5:$T$1000,$N18)))</f>
        <v/>
      </c>
    </row>
    <row r="19">
      <c r="A19" s="61">
        <f>IF($N19="","",INDEX('Cronograma R. Operacional'!$A$5:$A$1000,$N19))</f>
        <v/>
      </c>
      <c r="B19" s="70">
        <f>IF($N19="","",IF($O19="Sub","     ↳ "&amp;INDEX('Cronograma R. Operacional'!$C$5:$C$1000,$N19),INDEX('Cronograma R. Operacional'!$B$5:$B$1000,$N19)&amp;""))</f>
        <v/>
      </c>
      <c r="C19" s="70">
        <f>IF($N19="","",INDEX('Cronograma R. Operacional'!$D$5:$D$1000,$N19)&amp;"")</f>
        <v/>
      </c>
      <c r="D19" s="76">
        <f>IF($N19="","",IF(INDEX('Cronograma R. Operacional'!$E$5:$E$1000,$N19)="","",INDEX('Cronograma R. Operacional'!$E$5:$E$1000,$N19)))</f>
        <v/>
      </c>
      <c r="E19" s="76">
        <f>IF($N19="","",IF(INDEX('Cronograma R. Operacional'!$F$5:$F$1000,$N19)="","",INDEX('Cronograma R. Operacional'!$F$5:$F$1000,$N19)))</f>
        <v/>
      </c>
      <c r="F19" s="61">
        <f>IF($N19="","",IF(NOT(ISNUMBER($E19)),"",IF($E19&lt;InicioCiclo,"Antes del ciclo",IF($E19&gt;=InicioCiclo+28,"Después del ciclo","Semana "&amp;(INT(($E19-InicioCiclo)/7)+1)))))</f>
        <v/>
      </c>
      <c r="G19" s="67">
        <f>IF($N19="","",IF($P19&gt;0,IF(1&lt;=SemanaActual,INDEX('Cronograma R. Operacional'!$Y$5:$Y$1000,$N19),""),IF(INDEX('Cronograma R. Operacional'!$H$5:$H$1000,$N19)="","",INDEX('Cronograma R. Operacional'!$H$5:$H$1000,$N19))))</f>
        <v/>
      </c>
      <c r="H19" s="67">
        <f>IF($N19="","",IF($P19&gt;0,IF(2&lt;=SemanaActual,INDEX('Cronograma R. Operacional'!$Z$5:$Z$1000,$N19),""),IF(INDEX('Cronograma R. Operacional'!$I$5:$I$1000,$N19)="","",INDEX('Cronograma R. Operacional'!$I$5:$I$1000,$N19))))</f>
        <v/>
      </c>
      <c r="I19" s="67">
        <f>IF($N19="","",IF($P19&gt;0,IF(3&lt;=SemanaActual,INDEX('Cronograma R. Operacional'!$AA$5:$AA$1000,$N19),""),IF(INDEX('Cronograma R. Operacional'!$J$5:$J$1000,$N19)="","",INDEX('Cronograma R. Operacional'!$J$5:$J$1000,$N19))))</f>
        <v/>
      </c>
      <c r="J19" s="67">
        <f>IF($N19="","",IF($P19&gt;0,IF(4&lt;=SemanaActual,INDEX('Cronograma R. Operacional'!$AB$5:$AB$1000,$N19),""),IF(INDEX('Cronograma R. Operacional'!$K$5:$K$1000,$N19)="","",INDEX('Cronograma R. Operacional'!$K$5:$K$1000,$N19))))</f>
        <v/>
      </c>
      <c r="K19" s="67">
        <f>IF($N19="","",INDEX('Cronograma R. Operacional'!$L$5:$L$1000,$N19))</f>
        <v/>
      </c>
      <c r="L19" s="61">
        <f>IF($N19="","",IF(N($K19)&gt;=1,"Completado",IF(AND(ISNUMBER($E19),$E19&lt;FechaRef),"Vencida",IF(N($K19)&gt;0,"En curso","Pendiente"))))</f>
        <v/>
      </c>
      <c r="M19" s="70">
        <f>IF($N19="","",INDEX('Cronograma R. Operacional'!$N$5:$N$1000,$N19)&amp;"")</f>
        <v/>
      </c>
      <c r="N19">
        <f>IFERROR(MATCH(ROW()-4,rOrden_RO,0),"")</f>
        <v/>
      </c>
      <c r="O19">
        <f>IF($N19="","",INDEX('Cronograma R. Operacional'!$S$5:$S$1000,$N19))</f>
        <v/>
      </c>
      <c r="P19">
        <f>IF($N19="","",N(INDEX('Cronograma R. Operacional'!$T$5:$T$1000,$N19)))</f>
        <v/>
      </c>
    </row>
    <row r="20">
      <c r="A20" s="61">
        <f>IF($N20="","",INDEX('Cronograma R. Operacional'!$A$5:$A$1000,$N20))</f>
        <v/>
      </c>
      <c r="B20" s="70">
        <f>IF($N20="","",IF($O20="Sub","     ↳ "&amp;INDEX('Cronograma R. Operacional'!$C$5:$C$1000,$N20),INDEX('Cronograma R. Operacional'!$B$5:$B$1000,$N20)&amp;""))</f>
        <v/>
      </c>
      <c r="C20" s="70">
        <f>IF($N20="","",INDEX('Cronograma R. Operacional'!$D$5:$D$1000,$N20)&amp;"")</f>
        <v/>
      </c>
      <c r="D20" s="76">
        <f>IF($N20="","",IF(INDEX('Cronograma R. Operacional'!$E$5:$E$1000,$N20)="","",INDEX('Cronograma R. Operacional'!$E$5:$E$1000,$N20)))</f>
        <v/>
      </c>
      <c r="E20" s="76">
        <f>IF($N20="","",IF(INDEX('Cronograma R. Operacional'!$F$5:$F$1000,$N20)="","",INDEX('Cronograma R. Operacional'!$F$5:$F$1000,$N20)))</f>
        <v/>
      </c>
      <c r="F20" s="61">
        <f>IF($N20="","",IF(NOT(ISNUMBER($E20)),"",IF($E20&lt;InicioCiclo,"Antes del ciclo",IF($E20&gt;=InicioCiclo+28,"Después del ciclo","Semana "&amp;(INT(($E20-InicioCiclo)/7)+1)))))</f>
        <v/>
      </c>
      <c r="G20" s="67">
        <f>IF($N20="","",IF($P20&gt;0,IF(1&lt;=SemanaActual,INDEX('Cronograma R. Operacional'!$Y$5:$Y$1000,$N20),""),IF(INDEX('Cronograma R. Operacional'!$H$5:$H$1000,$N20)="","",INDEX('Cronograma R. Operacional'!$H$5:$H$1000,$N20))))</f>
        <v/>
      </c>
      <c r="H20" s="67">
        <f>IF($N20="","",IF($P20&gt;0,IF(2&lt;=SemanaActual,INDEX('Cronograma R. Operacional'!$Z$5:$Z$1000,$N20),""),IF(INDEX('Cronograma R. Operacional'!$I$5:$I$1000,$N20)="","",INDEX('Cronograma R. Operacional'!$I$5:$I$1000,$N20))))</f>
        <v/>
      </c>
      <c r="I20" s="67">
        <f>IF($N20="","",IF($P20&gt;0,IF(3&lt;=SemanaActual,INDEX('Cronograma R. Operacional'!$AA$5:$AA$1000,$N20),""),IF(INDEX('Cronograma R. Operacional'!$J$5:$J$1000,$N20)="","",INDEX('Cronograma R. Operacional'!$J$5:$J$1000,$N20))))</f>
        <v/>
      </c>
      <c r="J20" s="67">
        <f>IF($N20="","",IF($P20&gt;0,IF(4&lt;=SemanaActual,INDEX('Cronograma R. Operacional'!$AB$5:$AB$1000,$N20),""),IF(INDEX('Cronograma R. Operacional'!$K$5:$K$1000,$N20)="","",INDEX('Cronograma R. Operacional'!$K$5:$K$1000,$N20))))</f>
        <v/>
      </c>
      <c r="K20" s="67">
        <f>IF($N20="","",INDEX('Cronograma R. Operacional'!$L$5:$L$1000,$N20))</f>
        <v/>
      </c>
      <c r="L20" s="61">
        <f>IF($N20="","",IF(N($K20)&gt;=1,"Completado",IF(AND(ISNUMBER($E20),$E20&lt;FechaRef),"Vencida",IF(N($K20)&gt;0,"En curso","Pendiente"))))</f>
        <v/>
      </c>
      <c r="M20" s="70">
        <f>IF($N20="","",INDEX('Cronograma R. Operacional'!$N$5:$N$1000,$N20)&amp;"")</f>
        <v/>
      </c>
      <c r="N20">
        <f>IFERROR(MATCH(ROW()-4,rOrden_RO,0),"")</f>
        <v/>
      </c>
      <c r="O20">
        <f>IF($N20="","",INDEX('Cronograma R. Operacional'!$S$5:$S$1000,$N20))</f>
        <v/>
      </c>
      <c r="P20">
        <f>IF($N20="","",N(INDEX('Cronograma R. Operacional'!$T$5:$T$1000,$N20)))</f>
        <v/>
      </c>
    </row>
    <row r="21">
      <c r="A21" s="61">
        <f>IF($N21="","",INDEX('Cronograma R. Operacional'!$A$5:$A$1000,$N21))</f>
        <v/>
      </c>
      <c r="B21" s="70">
        <f>IF($N21="","",IF($O21="Sub","     ↳ "&amp;INDEX('Cronograma R. Operacional'!$C$5:$C$1000,$N21),INDEX('Cronograma R. Operacional'!$B$5:$B$1000,$N21)&amp;""))</f>
        <v/>
      </c>
      <c r="C21" s="70">
        <f>IF($N21="","",INDEX('Cronograma R. Operacional'!$D$5:$D$1000,$N21)&amp;"")</f>
        <v/>
      </c>
      <c r="D21" s="76">
        <f>IF($N21="","",IF(INDEX('Cronograma R. Operacional'!$E$5:$E$1000,$N21)="","",INDEX('Cronograma R. Operacional'!$E$5:$E$1000,$N21)))</f>
        <v/>
      </c>
      <c r="E21" s="76">
        <f>IF($N21="","",IF(INDEX('Cronograma R. Operacional'!$F$5:$F$1000,$N21)="","",INDEX('Cronograma R. Operacional'!$F$5:$F$1000,$N21)))</f>
        <v/>
      </c>
      <c r="F21" s="61">
        <f>IF($N21="","",IF(NOT(ISNUMBER($E21)),"",IF($E21&lt;InicioCiclo,"Antes del ciclo",IF($E21&gt;=InicioCiclo+28,"Después del ciclo","Semana "&amp;(INT(($E21-InicioCiclo)/7)+1)))))</f>
        <v/>
      </c>
      <c r="G21" s="67">
        <f>IF($N21="","",IF($P21&gt;0,IF(1&lt;=SemanaActual,INDEX('Cronograma R. Operacional'!$Y$5:$Y$1000,$N21),""),IF(INDEX('Cronograma R. Operacional'!$H$5:$H$1000,$N21)="","",INDEX('Cronograma R. Operacional'!$H$5:$H$1000,$N21))))</f>
        <v/>
      </c>
      <c r="H21" s="67">
        <f>IF($N21="","",IF($P21&gt;0,IF(2&lt;=SemanaActual,INDEX('Cronograma R. Operacional'!$Z$5:$Z$1000,$N21),""),IF(INDEX('Cronograma R. Operacional'!$I$5:$I$1000,$N21)="","",INDEX('Cronograma R. Operacional'!$I$5:$I$1000,$N21))))</f>
        <v/>
      </c>
      <c r="I21" s="67">
        <f>IF($N21="","",IF($P21&gt;0,IF(3&lt;=SemanaActual,INDEX('Cronograma R. Operacional'!$AA$5:$AA$1000,$N21),""),IF(INDEX('Cronograma R. Operacional'!$J$5:$J$1000,$N21)="","",INDEX('Cronograma R. Operacional'!$J$5:$J$1000,$N21))))</f>
        <v/>
      </c>
      <c r="J21" s="67">
        <f>IF($N21="","",IF($P21&gt;0,IF(4&lt;=SemanaActual,INDEX('Cronograma R. Operacional'!$AB$5:$AB$1000,$N21),""),IF(INDEX('Cronograma R. Operacional'!$K$5:$K$1000,$N21)="","",INDEX('Cronograma R. Operacional'!$K$5:$K$1000,$N21))))</f>
        <v/>
      </c>
      <c r="K21" s="67">
        <f>IF($N21="","",INDEX('Cronograma R. Operacional'!$L$5:$L$1000,$N21))</f>
        <v/>
      </c>
      <c r="L21" s="61">
        <f>IF($N21="","",IF(N($K21)&gt;=1,"Completado",IF(AND(ISNUMBER($E21),$E21&lt;FechaRef),"Vencida",IF(N($K21)&gt;0,"En curso","Pendiente"))))</f>
        <v/>
      </c>
      <c r="M21" s="70">
        <f>IF($N21="","",INDEX('Cronograma R. Operacional'!$N$5:$N$1000,$N21)&amp;"")</f>
        <v/>
      </c>
      <c r="N21">
        <f>IFERROR(MATCH(ROW()-4,rOrden_RO,0),"")</f>
        <v/>
      </c>
      <c r="O21">
        <f>IF($N21="","",INDEX('Cronograma R. Operacional'!$S$5:$S$1000,$N21))</f>
        <v/>
      </c>
      <c r="P21">
        <f>IF($N21="","",N(INDEX('Cronograma R. Operacional'!$T$5:$T$1000,$N21)))</f>
        <v/>
      </c>
    </row>
    <row r="22">
      <c r="A22" s="61">
        <f>IF($N22="","",INDEX('Cronograma R. Operacional'!$A$5:$A$1000,$N22))</f>
        <v/>
      </c>
      <c r="B22" s="70">
        <f>IF($N22="","",IF($O22="Sub","     ↳ "&amp;INDEX('Cronograma R. Operacional'!$C$5:$C$1000,$N22),INDEX('Cronograma R. Operacional'!$B$5:$B$1000,$N22)&amp;""))</f>
        <v/>
      </c>
      <c r="C22" s="70">
        <f>IF($N22="","",INDEX('Cronograma R. Operacional'!$D$5:$D$1000,$N22)&amp;"")</f>
        <v/>
      </c>
      <c r="D22" s="76">
        <f>IF($N22="","",IF(INDEX('Cronograma R. Operacional'!$E$5:$E$1000,$N22)="","",INDEX('Cronograma R. Operacional'!$E$5:$E$1000,$N22)))</f>
        <v/>
      </c>
      <c r="E22" s="76">
        <f>IF($N22="","",IF(INDEX('Cronograma R. Operacional'!$F$5:$F$1000,$N22)="","",INDEX('Cronograma R. Operacional'!$F$5:$F$1000,$N22)))</f>
        <v/>
      </c>
      <c r="F22" s="61">
        <f>IF($N22="","",IF(NOT(ISNUMBER($E22)),"",IF($E22&lt;InicioCiclo,"Antes del ciclo",IF($E22&gt;=InicioCiclo+28,"Después del ciclo","Semana "&amp;(INT(($E22-InicioCiclo)/7)+1)))))</f>
        <v/>
      </c>
      <c r="G22" s="67">
        <f>IF($N22="","",IF($P22&gt;0,IF(1&lt;=SemanaActual,INDEX('Cronograma R. Operacional'!$Y$5:$Y$1000,$N22),""),IF(INDEX('Cronograma R. Operacional'!$H$5:$H$1000,$N22)="","",INDEX('Cronograma R. Operacional'!$H$5:$H$1000,$N22))))</f>
        <v/>
      </c>
      <c r="H22" s="67">
        <f>IF($N22="","",IF($P22&gt;0,IF(2&lt;=SemanaActual,INDEX('Cronograma R. Operacional'!$Z$5:$Z$1000,$N22),""),IF(INDEX('Cronograma R. Operacional'!$I$5:$I$1000,$N22)="","",INDEX('Cronograma R. Operacional'!$I$5:$I$1000,$N22))))</f>
        <v/>
      </c>
      <c r="I22" s="67">
        <f>IF($N22="","",IF($P22&gt;0,IF(3&lt;=SemanaActual,INDEX('Cronograma R. Operacional'!$AA$5:$AA$1000,$N22),""),IF(INDEX('Cronograma R. Operacional'!$J$5:$J$1000,$N22)="","",INDEX('Cronograma R. Operacional'!$J$5:$J$1000,$N22))))</f>
        <v/>
      </c>
      <c r="J22" s="67">
        <f>IF($N22="","",IF($P22&gt;0,IF(4&lt;=SemanaActual,INDEX('Cronograma R. Operacional'!$AB$5:$AB$1000,$N22),""),IF(INDEX('Cronograma R. Operacional'!$K$5:$K$1000,$N22)="","",INDEX('Cronograma R. Operacional'!$K$5:$K$1000,$N22))))</f>
        <v/>
      </c>
      <c r="K22" s="67">
        <f>IF($N22="","",INDEX('Cronograma R. Operacional'!$L$5:$L$1000,$N22))</f>
        <v/>
      </c>
      <c r="L22" s="61">
        <f>IF($N22="","",IF(N($K22)&gt;=1,"Completado",IF(AND(ISNUMBER($E22),$E22&lt;FechaRef),"Vencida",IF(N($K22)&gt;0,"En curso","Pendiente"))))</f>
        <v/>
      </c>
      <c r="M22" s="70">
        <f>IF($N22="","",INDEX('Cronograma R. Operacional'!$N$5:$N$1000,$N22)&amp;"")</f>
        <v/>
      </c>
      <c r="N22">
        <f>IFERROR(MATCH(ROW()-4,rOrden_RO,0),"")</f>
        <v/>
      </c>
      <c r="O22">
        <f>IF($N22="","",INDEX('Cronograma R. Operacional'!$S$5:$S$1000,$N22))</f>
        <v/>
      </c>
      <c r="P22">
        <f>IF($N22="","",N(INDEX('Cronograma R. Operacional'!$T$5:$T$1000,$N22)))</f>
        <v/>
      </c>
    </row>
    <row r="23">
      <c r="A23" s="61">
        <f>IF($N23="","",INDEX('Cronograma R. Operacional'!$A$5:$A$1000,$N23))</f>
        <v/>
      </c>
      <c r="B23" s="70">
        <f>IF($N23="","",IF($O23="Sub","     ↳ "&amp;INDEX('Cronograma R. Operacional'!$C$5:$C$1000,$N23),INDEX('Cronograma R. Operacional'!$B$5:$B$1000,$N23)&amp;""))</f>
        <v/>
      </c>
      <c r="C23" s="70">
        <f>IF($N23="","",INDEX('Cronograma R. Operacional'!$D$5:$D$1000,$N23)&amp;"")</f>
        <v/>
      </c>
      <c r="D23" s="76">
        <f>IF($N23="","",IF(INDEX('Cronograma R. Operacional'!$E$5:$E$1000,$N23)="","",INDEX('Cronograma R. Operacional'!$E$5:$E$1000,$N23)))</f>
        <v/>
      </c>
      <c r="E23" s="76">
        <f>IF($N23="","",IF(INDEX('Cronograma R. Operacional'!$F$5:$F$1000,$N23)="","",INDEX('Cronograma R. Operacional'!$F$5:$F$1000,$N23)))</f>
        <v/>
      </c>
      <c r="F23" s="61">
        <f>IF($N23="","",IF(NOT(ISNUMBER($E23)),"",IF($E23&lt;InicioCiclo,"Antes del ciclo",IF($E23&gt;=InicioCiclo+28,"Después del ciclo","Semana "&amp;(INT(($E23-InicioCiclo)/7)+1)))))</f>
        <v/>
      </c>
      <c r="G23" s="67">
        <f>IF($N23="","",IF($P23&gt;0,IF(1&lt;=SemanaActual,INDEX('Cronograma R. Operacional'!$Y$5:$Y$1000,$N23),""),IF(INDEX('Cronograma R. Operacional'!$H$5:$H$1000,$N23)="","",INDEX('Cronograma R. Operacional'!$H$5:$H$1000,$N23))))</f>
        <v/>
      </c>
      <c r="H23" s="67">
        <f>IF($N23="","",IF($P23&gt;0,IF(2&lt;=SemanaActual,INDEX('Cronograma R. Operacional'!$Z$5:$Z$1000,$N23),""),IF(INDEX('Cronograma R. Operacional'!$I$5:$I$1000,$N23)="","",INDEX('Cronograma R. Operacional'!$I$5:$I$1000,$N23))))</f>
        <v/>
      </c>
      <c r="I23" s="67">
        <f>IF($N23="","",IF($P23&gt;0,IF(3&lt;=SemanaActual,INDEX('Cronograma R. Operacional'!$AA$5:$AA$1000,$N23),""),IF(INDEX('Cronograma R. Operacional'!$J$5:$J$1000,$N23)="","",INDEX('Cronograma R. Operacional'!$J$5:$J$1000,$N23))))</f>
        <v/>
      </c>
      <c r="J23" s="67">
        <f>IF($N23="","",IF($P23&gt;0,IF(4&lt;=SemanaActual,INDEX('Cronograma R. Operacional'!$AB$5:$AB$1000,$N23),""),IF(INDEX('Cronograma R. Operacional'!$K$5:$K$1000,$N23)="","",INDEX('Cronograma R. Operacional'!$K$5:$K$1000,$N23))))</f>
        <v/>
      </c>
      <c r="K23" s="67">
        <f>IF($N23="","",INDEX('Cronograma R. Operacional'!$L$5:$L$1000,$N23))</f>
        <v/>
      </c>
      <c r="L23" s="61">
        <f>IF($N23="","",IF(N($K23)&gt;=1,"Completado",IF(AND(ISNUMBER($E23),$E23&lt;FechaRef),"Vencida",IF(N($K23)&gt;0,"En curso","Pendiente"))))</f>
        <v/>
      </c>
      <c r="M23" s="70">
        <f>IF($N23="","",INDEX('Cronograma R. Operacional'!$N$5:$N$1000,$N23)&amp;"")</f>
        <v/>
      </c>
      <c r="N23">
        <f>IFERROR(MATCH(ROW()-4,rOrden_RO,0),"")</f>
        <v/>
      </c>
      <c r="O23">
        <f>IF($N23="","",INDEX('Cronograma R. Operacional'!$S$5:$S$1000,$N23))</f>
        <v/>
      </c>
      <c r="P23">
        <f>IF($N23="","",N(INDEX('Cronograma R. Operacional'!$T$5:$T$1000,$N23)))</f>
        <v/>
      </c>
    </row>
    <row r="24">
      <c r="A24" s="61">
        <f>IF($N24="","",INDEX('Cronograma R. Operacional'!$A$5:$A$1000,$N24))</f>
        <v/>
      </c>
      <c r="B24" s="70">
        <f>IF($N24="","",IF($O24="Sub","     ↳ "&amp;INDEX('Cronograma R. Operacional'!$C$5:$C$1000,$N24),INDEX('Cronograma R. Operacional'!$B$5:$B$1000,$N24)&amp;""))</f>
        <v/>
      </c>
      <c r="C24" s="70">
        <f>IF($N24="","",INDEX('Cronograma R. Operacional'!$D$5:$D$1000,$N24)&amp;"")</f>
        <v/>
      </c>
      <c r="D24" s="76">
        <f>IF($N24="","",IF(INDEX('Cronograma R. Operacional'!$E$5:$E$1000,$N24)="","",INDEX('Cronograma R. Operacional'!$E$5:$E$1000,$N24)))</f>
        <v/>
      </c>
      <c r="E24" s="76">
        <f>IF($N24="","",IF(INDEX('Cronograma R. Operacional'!$F$5:$F$1000,$N24)="","",INDEX('Cronograma R. Operacional'!$F$5:$F$1000,$N24)))</f>
        <v/>
      </c>
      <c r="F24" s="61">
        <f>IF($N24="","",IF(NOT(ISNUMBER($E24)),"",IF($E24&lt;InicioCiclo,"Antes del ciclo",IF($E24&gt;=InicioCiclo+28,"Después del ciclo","Semana "&amp;(INT(($E24-InicioCiclo)/7)+1)))))</f>
        <v/>
      </c>
      <c r="G24" s="67">
        <f>IF($N24="","",IF($P24&gt;0,IF(1&lt;=SemanaActual,INDEX('Cronograma R. Operacional'!$Y$5:$Y$1000,$N24),""),IF(INDEX('Cronograma R. Operacional'!$H$5:$H$1000,$N24)="","",INDEX('Cronograma R. Operacional'!$H$5:$H$1000,$N24))))</f>
        <v/>
      </c>
      <c r="H24" s="67">
        <f>IF($N24="","",IF($P24&gt;0,IF(2&lt;=SemanaActual,INDEX('Cronograma R. Operacional'!$Z$5:$Z$1000,$N24),""),IF(INDEX('Cronograma R. Operacional'!$I$5:$I$1000,$N24)="","",INDEX('Cronograma R. Operacional'!$I$5:$I$1000,$N24))))</f>
        <v/>
      </c>
      <c r="I24" s="67">
        <f>IF($N24="","",IF($P24&gt;0,IF(3&lt;=SemanaActual,INDEX('Cronograma R. Operacional'!$AA$5:$AA$1000,$N24),""),IF(INDEX('Cronograma R. Operacional'!$J$5:$J$1000,$N24)="","",INDEX('Cronograma R. Operacional'!$J$5:$J$1000,$N24))))</f>
        <v/>
      </c>
      <c r="J24" s="67">
        <f>IF($N24="","",IF($P24&gt;0,IF(4&lt;=SemanaActual,INDEX('Cronograma R. Operacional'!$AB$5:$AB$1000,$N24),""),IF(INDEX('Cronograma R. Operacional'!$K$5:$K$1000,$N24)="","",INDEX('Cronograma R. Operacional'!$K$5:$K$1000,$N24))))</f>
        <v/>
      </c>
      <c r="K24" s="67">
        <f>IF($N24="","",INDEX('Cronograma R. Operacional'!$L$5:$L$1000,$N24))</f>
        <v/>
      </c>
      <c r="L24" s="61">
        <f>IF($N24="","",IF(N($K24)&gt;=1,"Completado",IF(AND(ISNUMBER($E24),$E24&lt;FechaRef),"Vencida",IF(N($K24)&gt;0,"En curso","Pendiente"))))</f>
        <v/>
      </c>
      <c r="M24" s="70">
        <f>IF($N24="","",INDEX('Cronograma R. Operacional'!$N$5:$N$1000,$N24)&amp;"")</f>
        <v/>
      </c>
      <c r="N24">
        <f>IFERROR(MATCH(ROW()-4,rOrden_RO,0),"")</f>
        <v/>
      </c>
      <c r="O24">
        <f>IF($N24="","",INDEX('Cronograma R. Operacional'!$S$5:$S$1000,$N24))</f>
        <v/>
      </c>
      <c r="P24">
        <f>IF($N24="","",N(INDEX('Cronograma R. Operacional'!$T$5:$T$1000,$N24)))</f>
        <v/>
      </c>
    </row>
    <row r="25">
      <c r="A25" s="61">
        <f>IF($N25="","",INDEX('Cronograma R. Operacional'!$A$5:$A$1000,$N25))</f>
        <v/>
      </c>
      <c r="B25" s="70">
        <f>IF($N25="","",IF($O25="Sub","     ↳ "&amp;INDEX('Cronograma R. Operacional'!$C$5:$C$1000,$N25),INDEX('Cronograma R. Operacional'!$B$5:$B$1000,$N25)&amp;""))</f>
        <v/>
      </c>
      <c r="C25" s="70">
        <f>IF($N25="","",INDEX('Cronograma R. Operacional'!$D$5:$D$1000,$N25)&amp;"")</f>
        <v/>
      </c>
      <c r="D25" s="76">
        <f>IF($N25="","",IF(INDEX('Cronograma R. Operacional'!$E$5:$E$1000,$N25)="","",INDEX('Cronograma R. Operacional'!$E$5:$E$1000,$N25)))</f>
        <v/>
      </c>
      <c r="E25" s="76">
        <f>IF($N25="","",IF(INDEX('Cronograma R. Operacional'!$F$5:$F$1000,$N25)="","",INDEX('Cronograma R. Operacional'!$F$5:$F$1000,$N25)))</f>
        <v/>
      </c>
      <c r="F25" s="61">
        <f>IF($N25="","",IF(NOT(ISNUMBER($E25)),"",IF($E25&lt;InicioCiclo,"Antes del ciclo",IF($E25&gt;=InicioCiclo+28,"Después del ciclo","Semana "&amp;(INT(($E25-InicioCiclo)/7)+1)))))</f>
        <v/>
      </c>
      <c r="G25" s="67">
        <f>IF($N25="","",IF($P25&gt;0,IF(1&lt;=SemanaActual,INDEX('Cronograma R. Operacional'!$Y$5:$Y$1000,$N25),""),IF(INDEX('Cronograma R. Operacional'!$H$5:$H$1000,$N25)="","",INDEX('Cronograma R. Operacional'!$H$5:$H$1000,$N25))))</f>
        <v/>
      </c>
      <c r="H25" s="67">
        <f>IF($N25="","",IF($P25&gt;0,IF(2&lt;=SemanaActual,INDEX('Cronograma R. Operacional'!$Z$5:$Z$1000,$N25),""),IF(INDEX('Cronograma R. Operacional'!$I$5:$I$1000,$N25)="","",INDEX('Cronograma R. Operacional'!$I$5:$I$1000,$N25))))</f>
        <v/>
      </c>
      <c r="I25" s="67">
        <f>IF($N25="","",IF($P25&gt;0,IF(3&lt;=SemanaActual,INDEX('Cronograma R. Operacional'!$AA$5:$AA$1000,$N25),""),IF(INDEX('Cronograma R. Operacional'!$J$5:$J$1000,$N25)="","",INDEX('Cronograma R. Operacional'!$J$5:$J$1000,$N25))))</f>
        <v/>
      </c>
      <c r="J25" s="67">
        <f>IF($N25="","",IF($P25&gt;0,IF(4&lt;=SemanaActual,INDEX('Cronograma R. Operacional'!$AB$5:$AB$1000,$N25),""),IF(INDEX('Cronograma R. Operacional'!$K$5:$K$1000,$N25)="","",INDEX('Cronograma R. Operacional'!$K$5:$K$1000,$N25))))</f>
        <v/>
      </c>
      <c r="K25" s="67">
        <f>IF($N25="","",INDEX('Cronograma R. Operacional'!$L$5:$L$1000,$N25))</f>
        <v/>
      </c>
      <c r="L25" s="61">
        <f>IF($N25="","",IF(N($K25)&gt;=1,"Completado",IF(AND(ISNUMBER($E25),$E25&lt;FechaRef),"Vencida",IF(N($K25)&gt;0,"En curso","Pendiente"))))</f>
        <v/>
      </c>
      <c r="M25" s="70">
        <f>IF($N25="","",INDEX('Cronograma R. Operacional'!$N$5:$N$1000,$N25)&amp;"")</f>
        <v/>
      </c>
      <c r="N25">
        <f>IFERROR(MATCH(ROW()-4,rOrden_RO,0),"")</f>
        <v/>
      </c>
      <c r="O25">
        <f>IF($N25="","",INDEX('Cronograma R. Operacional'!$S$5:$S$1000,$N25))</f>
        <v/>
      </c>
      <c r="P25">
        <f>IF($N25="","",N(INDEX('Cronograma R. Operacional'!$T$5:$T$1000,$N25)))</f>
        <v/>
      </c>
    </row>
    <row r="26">
      <c r="A26" s="61">
        <f>IF($N26="","",INDEX('Cronograma R. Operacional'!$A$5:$A$1000,$N26))</f>
        <v/>
      </c>
      <c r="B26" s="70">
        <f>IF($N26="","",IF($O26="Sub","     ↳ "&amp;INDEX('Cronograma R. Operacional'!$C$5:$C$1000,$N26),INDEX('Cronograma R. Operacional'!$B$5:$B$1000,$N26)&amp;""))</f>
        <v/>
      </c>
      <c r="C26" s="70">
        <f>IF($N26="","",INDEX('Cronograma R. Operacional'!$D$5:$D$1000,$N26)&amp;"")</f>
        <v/>
      </c>
      <c r="D26" s="76">
        <f>IF($N26="","",IF(INDEX('Cronograma R. Operacional'!$E$5:$E$1000,$N26)="","",INDEX('Cronograma R. Operacional'!$E$5:$E$1000,$N26)))</f>
        <v/>
      </c>
      <c r="E26" s="76">
        <f>IF($N26="","",IF(INDEX('Cronograma R. Operacional'!$F$5:$F$1000,$N26)="","",INDEX('Cronograma R. Operacional'!$F$5:$F$1000,$N26)))</f>
        <v/>
      </c>
      <c r="F26" s="61">
        <f>IF($N26="","",IF(NOT(ISNUMBER($E26)),"",IF($E26&lt;InicioCiclo,"Antes del ciclo",IF($E26&gt;=InicioCiclo+28,"Después del ciclo","Semana "&amp;(INT(($E26-InicioCiclo)/7)+1)))))</f>
        <v/>
      </c>
      <c r="G26" s="67">
        <f>IF($N26="","",IF($P26&gt;0,IF(1&lt;=SemanaActual,INDEX('Cronograma R. Operacional'!$Y$5:$Y$1000,$N26),""),IF(INDEX('Cronograma R. Operacional'!$H$5:$H$1000,$N26)="","",INDEX('Cronograma R. Operacional'!$H$5:$H$1000,$N26))))</f>
        <v/>
      </c>
      <c r="H26" s="67">
        <f>IF($N26="","",IF($P26&gt;0,IF(2&lt;=SemanaActual,INDEX('Cronograma R. Operacional'!$Z$5:$Z$1000,$N26),""),IF(INDEX('Cronograma R. Operacional'!$I$5:$I$1000,$N26)="","",INDEX('Cronograma R. Operacional'!$I$5:$I$1000,$N26))))</f>
        <v/>
      </c>
      <c r="I26" s="67">
        <f>IF($N26="","",IF($P26&gt;0,IF(3&lt;=SemanaActual,INDEX('Cronograma R. Operacional'!$AA$5:$AA$1000,$N26),""),IF(INDEX('Cronograma R. Operacional'!$J$5:$J$1000,$N26)="","",INDEX('Cronograma R. Operacional'!$J$5:$J$1000,$N26))))</f>
        <v/>
      </c>
      <c r="J26" s="67">
        <f>IF($N26="","",IF($P26&gt;0,IF(4&lt;=SemanaActual,INDEX('Cronograma R. Operacional'!$AB$5:$AB$1000,$N26),""),IF(INDEX('Cronograma R. Operacional'!$K$5:$K$1000,$N26)="","",INDEX('Cronograma R. Operacional'!$K$5:$K$1000,$N26))))</f>
        <v/>
      </c>
      <c r="K26" s="67">
        <f>IF($N26="","",INDEX('Cronograma R. Operacional'!$L$5:$L$1000,$N26))</f>
        <v/>
      </c>
      <c r="L26" s="61">
        <f>IF($N26="","",IF(N($K26)&gt;=1,"Completado",IF(AND(ISNUMBER($E26),$E26&lt;FechaRef),"Vencida",IF(N($K26)&gt;0,"En curso","Pendiente"))))</f>
        <v/>
      </c>
      <c r="M26" s="70">
        <f>IF($N26="","",INDEX('Cronograma R. Operacional'!$N$5:$N$1000,$N26)&amp;"")</f>
        <v/>
      </c>
      <c r="N26">
        <f>IFERROR(MATCH(ROW()-4,rOrden_RO,0),"")</f>
        <v/>
      </c>
      <c r="O26">
        <f>IF($N26="","",INDEX('Cronograma R. Operacional'!$S$5:$S$1000,$N26))</f>
        <v/>
      </c>
      <c r="P26">
        <f>IF($N26="","",N(INDEX('Cronograma R. Operacional'!$T$5:$T$1000,$N26)))</f>
        <v/>
      </c>
    </row>
    <row r="27">
      <c r="A27" s="61">
        <f>IF($N27="","",INDEX('Cronograma R. Operacional'!$A$5:$A$1000,$N27))</f>
        <v/>
      </c>
      <c r="B27" s="70">
        <f>IF($N27="","",IF($O27="Sub","     ↳ "&amp;INDEX('Cronograma R. Operacional'!$C$5:$C$1000,$N27),INDEX('Cronograma R. Operacional'!$B$5:$B$1000,$N27)&amp;""))</f>
        <v/>
      </c>
      <c r="C27" s="70">
        <f>IF($N27="","",INDEX('Cronograma R. Operacional'!$D$5:$D$1000,$N27)&amp;"")</f>
        <v/>
      </c>
      <c r="D27" s="76">
        <f>IF($N27="","",IF(INDEX('Cronograma R. Operacional'!$E$5:$E$1000,$N27)="","",INDEX('Cronograma R. Operacional'!$E$5:$E$1000,$N27)))</f>
        <v/>
      </c>
      <c r="E27" s="76">
        <f>IF($N27="","",IF(INDEX('Cronograma R. Operacional'!$F$5:$F$1000,$N27)="","",INDEX('Cronograma R. Operacional'!$F$5:$F$1000,$N27)))</f>
        <v/>
      </c>
      <c r="F27" s="61">
        <f>IF($N27="","",IF(NOT(ISNUMBER($E27)),"",IF($E27&lt;InicioCiclo,"Antes del ciclo",IF($E27&gt;=InicioCiclo+28,"Después del ciclo","Semana "&amp;(INT(($E27-InicioCiclo)/7)+1)))))</f>
        <v/>
      </c>
      <c r="G27" s="67">
        <f>IF($N27="","",IF($P27&gt;0,IF(1&lt;=SemanaActual,INDEX('Cronograma R. Operacional'!$Y$5:$Y$1000,$N27),""),IF(INDEX('Cronograma R. Operacional'!$H$5:$H$1000,$N27)="","",INDEX('Cronograma R. Operacional'!$H$5:$H$1000,$N27))))</f>
        <v/>
      </c>
      <c r="H27" s="67">
        <f>IF($N27="","",IF($P27&gt;0,IF(2&lt;=SemanaActual,INDEX('Cronograma R. Operacional'!$Z$5:$Z$1000,$N27),""),IF(INDEX('Cronograma R. Operacional'!$I$5:$I$1000,$N27)="","",INDEX('Cronograma R. Operacional'!$I$5:$I$1000,$N27))))</f>
        <v/>
      </c>
      <c r="I27" s="67">
        <f>IF($N27="","",IF($P27&gt;0,IF(3&lt;=SemanaActual,INDEX('Cronograma R. Operacional'!$AA$5:$AA$1000,$N27),""),IF(INDEX('Cronograma R. Operacional'!$J$5:$J$1000,$N27)="","",INDEX('Cronograma R. Operacional'!$J$5:$J$1000,$N27))))</f>
        <v/>
      </c>
      <c r="J27" s="67">
        <f>IF($N27="","",IF($P27&gt;0,IF(4&lt;=SemanaActual,INDEX('Cronograma R. Operacional'!$AB$5:$AB$1000,$N27),""),IF(INDEX('Cronograma R. Operacional'!$K$5:$K$1000,$N27)="","",INDEX('Cronograma R. Operacional'!$K$5:$K$1000,$N27))))</f>
        <v/>
      </c>
      <c r="K27" s="67">
        <f>IF($N27="","",INDEX('Cronograma R. Operacional'!$L$5:$L$1000,$N27))</f>
        <v/>
      </c>
      <c r="L27" s="61">
        <f>IF($N27="","",IF(N($K27)&gt;=1,"Completado",IF(AND(ISNUMBER($E27),$E27&lt;FechaRef),"Vencida",IF(N($K27)&gt;0,"En curso","Pendiente"))))</f>
        <v/>
      </c>
      <c r="M27" s="70">
        <f>IF($N27="","",INDEX('Cronograma R. Operacional'!$N$5:$N$1000,$N27)&amp;"")</f>
        <v/>
      </c>
      <c r="N27">
        <f>IFERROR(MATCH(ROW()-4,rOrden_RO,0),"")</f>
        <v/>
      </c>
      <c r="O27">
        <f>IF($N27="","",INDEX('Cronograma R. Operacional'!$S$5:$S$1000,$N27))</f>
        <v/>
      </c>
      <c r="P27">
        <f>IF($N27="","",N(INDEX('Cronograma R. Operacional'!$T$5:$T$1000,$N27)))</f>
        <v/>
      </c>
    </row>
    <row r="28">
      <c r="A28" s="61">
        <f>IF($N28="","",INDEX('Cronograma R. Operacional'!$A$5:$A$1000,$N28))</f>
        <v/>
      </c>
      <c r="B28" s="70">
        <f>IF($N28="","",IF($O28="Sub","     ↳ "&amp;INDEX('Cronograma R. Operacional'!$C$5:$C$1000,$N28),INDEX('Cronograma R. Operacional'!$B$5:$B$1000,$N28)&amp;""))</f>
        <v/>
      </c>
      <c r="C28" s="70">
        <f>IF($N28="","",INDEX('Cronograma R. Operacional'!$D$5:$D$1000,$N28)&amp;"")</f>
        <v/>
      </c>
      <c r="D28" s="76">
        <f>IF($N28="","",IF(INDEX('Cronograma R. Operacional'!$E$5:$E$1000,$N28)="","",INDEX('Cronograma R. Operacional'!$E$5:$E$1000,$N28)))</f>
        <v/>
      </c>
      <c r="E28" s="76">
        <f>IF($N28="","",IF(INDEX('Cronograma R. Operacional'!$F$5:$F$1000,$N28)="","",INDEX('Cronograma R. Operacional'!$F$5:$F$1000,$N28)))</f>
        <v/>
      </c>
      <c r="F28" s="61">
        <f>IF($N28="","",IF(NOT(ISNUMBER($E28)),"",IF($E28&lt;InicioCiclo,"Antes del ciclo",IF($E28&gt;=InicioCiclo+28,"Después del ciclo","Semana "&amp;(INT(($E28-InicioCiclo)/7)+1)))))</f>
        <v/>
      </c>
      <c r="G28" s="67">
        <f>IF($N28="","",IF($P28&gt;0,IF(1&lt;=SemanaActual,INDEX('Cronograma R. Operacional'!$Y$5:$Y$1000,$N28),""),IF(INDEX('Cronograma R. Operacional'!$H$5:$H$1000,$N28)="","",INDEX('Cronograma R. Operacional'!$H$5:$H$1000,$N28))))</f>
        <v/>
      </c>
      <c r="H28" s="67">
        <f>IF($N28="","",IF($P28&gt;0,IF(2&lt;=SemanaActual,INDEX('Cronograma R. Operacional'!$Z$5:$Z$1000,$N28),""),IF(INDEX('Cronograma R. Operacional'!$I$5:$I$1000,$N28)="","",INDEX('Cronograma R. Operacional'!$I$5:$I$1000,$N28))))</f>
        <v/>
      </c>
      <c r="I28" s="67">
        <f>IF($N28="","",IF($P28&gt;0,IF(3&lt;=SemanaActual,INDEX('Cronograma R. Operacional'!$AA$5:$AA$1000,$N28),""),IF(INDEX('Cronograma R. Operacional'!$J$5:$J$1000,$N28)="","",INDEX('Cronograma R. Operacional'!$J$5:$J$1000,$N28))))</f>
        <v/>
      </c>
      <c r="J28" s="67">
        <f>IF($N28="","",IF($P28&gt;0,IF(4&lt;=SemanaActual,INDEX('Cronograma R. Operacional'!$AB$5:$AB$1000,$N28),""),IF(INDEX('Cronograma R. Operacional'!$K$5:$K$1000,$N28)="","",INDEX('Cronograma R. Operacional'!$K$5:$K$1000,$N28))))</f>
        <v/>
      </c>
      <c r="K28" s="67">
        <f>IF($N28="","",INDEX('Cronograma R. Operacional'!$L$5:$L$1000,$N28))</f>
        <v/>
      </c>
      <c r="L28" s="61">
        <f>IF($N28="","",IF(N($K28)&gt;=1,"Completado",IF(AND(ISNUMBER($E28),$E28&lt;FechaRef),"Vencida",IF(N($K28)&gt;0,"En curso","Pendiente"))))</f>
        <v/>
      </c>
      <c r="M28" s="70">
        <f>IF($N28="","",INDEX('Cronograma R. Operacional'!$N$5:$N$1000,$N28)&amp;"")</f>
        <v/>
      </c>
      <c r="N28">
        <f>IFERROR(MATCH(ROW()-4,rOrden_RO,0),"")</f>
        <v/>
      </c>
      <c r="O28">
        <f>IF($N28="","",INDEX('Cronograma R. Operacional'!$S$5:$S$1000,$N28))</f>
        <v/>
      </c>
      <c r="P28">
        <f>IF($N28="","",N(INDEX('Cronograma R. Operacional'!$T$5:$T$1000,$N28)))</f>
        <v/>
      </c>
    </row>
    <row r="29">
      <c r="A29" s="61">
        <f>IF($N29="","",INDEX('Cronograma R. Operacional'!$A$5:$A$1000,$N29))</f>
        <v/>
      </c>
      <c r="B29" s="70">
        <f>IF($N29="","",IF($O29="Sub","     ↳ "&amp;INDEX('Cronograma R. Operacional'!$C$5:$C$1000,$N29),INDEX('Cronograma R. Operacional'!$B$5:$B$1000,$N29)&amp;""))</f>
        <v/>
      </c>
      <c r="C29" s="70">
        <f>IF($N29="","",INDEX('Cronograma R. Operacional'!$D$5:$D$1000,$N29)&amp;"")</f>
        <v/>
      </c>
      <c r="D29" s="76">
        <f>IF($N29="","",IF(INDEX('Cronograma R. Operacional'!$E$5:$E$1000,$N29)="","",INDEX('Cronograma R. Operacional'!$E$5:$E$1000,$N29)))</f>
        <v/>
      </c>
      <c r="E29" s="76">
        <f>IF($N29="","",IF(INDEX('Cronograma R. Operacional'!$F$5:$F$1000,$N29)="","",INDEX('Cronograma R. Operacional'!$F$5:$F$1000,$N29)))</f>
        <v/>
      </c>
      <c r="F29" s="61">
        <f>IF($N29="","",IF(NOT(ISNUMBER($E29)),"",IF($E29&lt;InicioCiclo,"Antes del ciclo",IF($E29&gt;=InicioCiclo+28,"Después del ciclo","Semana "&amp;(INT(($E29-InicioCiclo)/7)+1)))))</f>
        <v/>
      </c>
      <c r="G29" s="67">
        <f>IF($N29="","",IF($P29&gt;0,IF(1&lt;=SemanaActual,INDEX('Cronograma R. Operacional'!$Y$5:$Y$1000,$N29),""),IF(INDEX('Cronograma R. Operacional'!$H$5:$H$1000,$N29)="","",INDEX('Cronograma R. Operacional'!$H$5:$H$1000,$N29))))</f>
        <v/>
      </c>
      <c r="H29" s="67">
        <f>IF($N29="","",IF($P29&gt;0,IF(2&lt;=SemanaActual,INDEX('Cronograma R. Operacional'!$Z$5:$Z$1000,$N29),""),IF(INDEX('Cronograma R. Operacional'!$I$5:$I$1000,$N29)="","",INDEX('Cronograma R. Operacional'!$I$5:$I$1000,$N29))))</f>
        <v/>
      </c>
      <c r="I29" s="67">
        <f>IF($N29="","",IF($P29&gt;0,IF(3&lt;=SemanaActual,INDEX('Cronograma R. Operacional'!$AA$5:$AA$1000,$N29),""),IF(INDEX('Cronograma R. Operacional'!$J$5:$J$1000,$N29)="","",INDEX('Cronograma R. Operacional'!$J$5:$J$1000,$N29))))</f>
        <v/>
      </c>
      <c r="J29" s="67">
        <f>IF($N29="","",IF($P29&gt;0,IF(4&lt;=SemanaActual,INDEX('Cronograma R. Operacional'!$AB$5:$AB$1000,$N29),""),IF(INDEX('Cronograma R. Operacional'!$K$5:$K$1000,$N29)="","",INDEX('Cronograma R. Operacional'!$K$5:$K$1000,$N29))))</f>
        <v/>
      </c>
      <c r="K29" s="67">
        <f>IF($N29="","",INDEX('Cronograma R. Operacional'!$L$5:$L$1000,$N29))</f>
        <v/>
      </c>
      <c r="L29" s="61">
        <f>IF($N29="","",IF(N($K29)&gt;=1,"Completado",IF(AND(ISNUMBER($E29),$E29&lt;FechaRef),"Vencida",IF(N($K29)&gt;0,"En curso","Pendiente"))))</f>
        <v/>
      </c>
      <c r="M29" s="70">
        <f>IF($N29="","",INDEX('Cronograma R. Operacional'!$N$5:$N$1000,$N29)&amp;"")</f>
        <v/>
      </c>
      <c r="N29">
        <f>IFERROR(MATCH(ROW()-4,rOrden_RO,0),"")</f>
        <v/>
      </c>
      <c r="O29">
        <f>IF($N29="","",INDEX('Cronograma R. Operacional'!$S$5:$S$1000,$N29))</f>
        <v/>
      </c>
      <c r="P29">
        <f>IF($N29="","",N(INDEX('Cronograma R. Operacional'!$T$5:$T$1000,$N29)))</f>
        <v/>
      </c>
    </row>
    <row r="30">
      <c r="A30" s="61">
        <f>IF($N30="","",INDEX('Cronograma R. Operacional'!$A$5:$A$1000,$N30))</f>
        <v/>
      </c>
      <c r="B30" s="70">
        <f>IF($N30="","",IF($O30="Sub","     ↳ "&amp;INDEX('Cronograma R. Operacional'!$C$5:$C$1000,$N30),INDEX('Cronograma R. Operacional'!$B$5:$B$1000,$N30)&amp;""))</f>
        <v/>
      </c>
      <c r="C30" s="70">
        <f>IF($N30="","",INDEX('Cronograma R. Operacional'!$D$5:$D$1000,$N30)&amp;"")</f>
        <v/>
      </c>
      <c r="D30" s="76">
        <f>IF($N30="","",IF(INDEX('Cronograma R. Operacional'!$E$5:$E$1000,$N30)="","",INDEX('Cronograma R. Operacional'!$E$5:$E$1000,$N30)))</f>
        <v/>
      </c>
      <c r="E30" s="76">
        <f>IF($N30="","",IF(INDEX('Cronograma R. Operacional'!$F$5:$F$1000,$N30)="","",INDEX('Cronograma R. Operacional'!$F$5:$F$1000,$N30)))</f>
        <v/>
      </c>
      <c r="F30" s="61">
        <f>IF($N30="","",IF(NOT(ISNUMBER($E30)),"",IF($E30&lt;InicioCiclo,"Antes del ciclo",IF($E30&gt;=InicioCiclo+28,"Después del ciclo","Semana "&amp;(INT(($E30-InicioCiclo)/7)+1)))))</f>
        <v/>
      </c>
      <c r="G30" s="67">
        <f>IF($N30="","",IF($P30&gt;0,IF(1&lt;=SemanaActual,INDEX('Cronograma R. Operacional'!$Y$5:$Y$1000,$N30),""),IF(INDEX('Cronograma R. Operacional'!$H$5:$H$1000,$N30)="","",INDEX('Cronograma R. Operacional'!$H$5:$H$1000,$N30))))</f>
        <v/>
      </c>
      <c r="H30" s="67">
        <f>IF($N30="","",IF($P30&gt;0,IF(2&lt;=SemanaActual,INDEX('Cronograma R. Operacional'!$Z$5:$Z$1000,$N30),""),IF(INDEX('Cronograma R. Operacional'!$I$5:$I$1000,$N30)="","",INDEX('Cronograma R. Operacional'!$I$5:$I$1000,$N30))))</f>
        <v/>
      </c>
      <c r="I30" s="67">
        <f>IF($N30="","",IF($P30&gt;0,IF(3&lt;=SemanaActual,INDEX('Cronograma R. Operacional'!$AA$5:$AA$1000,$N30),""),IF(INDEX('Cronograma R. Operacional'!$J$5:$J$1000,$N30)="","",INDEX('Cronograma R. Operacional'!$J$5:$J$1000,$N30))))</f>
        <v/>
      </c>
      <c r="J30" s="67">
        <f>IF($N30="","",IF($P30&gt;0,IF(4&lt;=SemanaActual,INDEX('Cronograma R. Operacional'!$AB$5:$AB$1000,$N30),""),IF(INDEX('Cronograma R. Operacional'!$K$5:$K$1000,$N30)="","",INDEX('Cronograma R. Operacional'!$K$5:$K$1000,$N30))))</f>
        <v/>
      </c>
      <c r="K30" s="67">
        <f>IF($N30="","",INDEX('Cronograma R. Operacional'!$L$5:$L$1000,$N30))</f>
        <v/>
      </c>
      <c r="L30" s="61">
        <f>IF($N30="","",IF(N($K30)&gt;=1,"Completado",IF(AND(ISNUMBER($E30),$E30&lt;FechaRef),"Vencida",IF(N($K30)&gt;0,"En curso","Pendiente"))))</f>
        <v/>
      </c>
      <c r="M30" s="70">
        <f>IF($N30="","",INDEX('Cronograma R. Operacional'!$N$5:$N$1000,$N30)&amp;"")</f>
        <v/>
      </c>
      <c r="N30">
        <f>IFERROR(MATCH(ROW()-4,rOrden_RO,0),"")</f>
        <v/>
      </c>
      <c r="O30">
        <f>IF($N30="","",INDEX('Cronograma R. Operacional'!$S$5:$S$1000,$N30))</f>
        <v/>
      </c>
      <c r="P30">
        <f>IF($N30="","",N(INDEX('Cronograma R. Operacional'!$T$5:$T$1000,$N30)))</f>
        <v/>
      </c>
    </row>
    <row r="31">
      <c r="A31" s="61">
        <f>IF($N31="","",INDEX('Cronograma R. Operacional'!$A$5:$A$1000,$N31))</f>
        <v/>
      </c>
      <c r="B31" s="70">
        <f>IF($N31="","",IF($O31="Sub","     ↳ "&amp;INDEX('Cronograma R. Operacional'!$C$5:$C$1000,$N31),INDEX('Cronograma R. Operacional'!$B$5:$B$1000,$N31)&amp;""))</f>
        <v/>
      </c>
      <c r="C31" s="70">
        <f>IF($N31="","",INDEX('Cronograma R. Operacional'!$D$5:$D$1000,$N31)&amp;"")</f>
        <v/>
      </c>
      <c r="D31" s="76">
        <f>IF($N31="","",IF(INDEX('Cronograma R. Operacional'!$E$5:$E$1000,$N31)="","",INDEX('Cronograma R. Operacional'!$E$5:$E$1000,$N31)))</f>
        <v/>
      </c>
      <c r="E31" s="76">
        <f>IF($N31="","",IF(INDEX('Cronograma R. Operacional'!$F$5:$F$1000,$N31)="","",INDEX('Cronograma R. Operacional'!$F$5:$F$1000,$N31)))</f>
        <v/>
      </c>
      <c r="F31" s="61">
        <f>IF($N31="","",IF(NOT(ISNUMBER($E31)),"",IF($E31&lt;InicioCiclo,"Antes del ciclo",IF($E31&gt;=InicioCiclo+28,"Después del ciclo","Semana "&amp;(INT(($E31-InicioCiclo)/7)+1)))))</f>
        <v/>
      </c>
      <c r="G31" s="67">
        <f>IF($N31="","",IF($P31&gt;0,IF(1&lt;=SemanaActual,INDEX('Cronograma R. Operacional'!$Y$5:$Y$1000,$N31),""),IF(INDEX('Cronograma R. Operacional'!$H$5:$H$1000,$N31)="","",INDEX('Cronograma R. Operacional'!$H$5:$H$1000,$N31))))</f>
        <v/>
      </c>
      <c r="H31" s="67">
        <f>IF($N31="","",IF($P31&gt;0,IF(2&lt;=SemanaActual,INDEX('Cronograma R. Operacional'!$Z$5:$Z$1000,$N31),""),IF(INDEX('Cronograma R. Operacional'!$I$5:$I$1000,$N31)="","",INDEX('Cronograma R. Operacional'!$I$5:$I$1000,$N31))))</f>
        <v/>
      </c>
      <c r="I31" s="67">
        <f>IF($N31="","",IF($P31&gt;0,IF(3&lt;=SemanaActual,INDEX('Cronograma R. Operacional'!$AA$5:$AA$1000,$N31),""),IF(INDEX('Cronograma R. Operacional'!$J$5:$J$1000,$N31)="","",INDEX('Cronograma R. Operacional'!$J$5:$J$1000,$N31))))</f>
        <v/>
      </c>
      <c r="J31" s="67">
        <f>IF($N31="","",IF($P31&gt;0,IF(4&lt;=SemanaActual,INDEX('Cronograma R. Operacional'!$AB$5:$AB$1000,$N31),""),IF(INDEX('Cronograma R. Operacional'!$K$5:$K$1000,$N31)="","",INDEX('Cronograma R. Operacional'!$K$5:$K$1000,$N31))))</f>
        <v/>
      </c>
      <c r="K31" s="67">
        <f>IF($N31="","",INDEX('Cronograma R. Operacional'!$L$5:$L$1000,$N31))</f>
        <v/>
      </c>
      <c r="L31" s="61">
        <f>IF($N31="","",IF(N($K31)&gt;=1,"Completado",IF(AND(ISNUMBER($E31),$E31&lt;FechaRef),"Vencida",IF(N($K31)&gt;0,"En curso","Pendiente"))))</f>
        <v/>
      </c>
      <c r="M31" s="70">
        <f>IF($N31="","",INDEX('Cronograma R. Operacional'!$N$5:$N$1000,$N31)&amp;"")</f>
        <v/>
      </c>
      <c r="N31">
        <f>IFERROR(MATCH(ROW()-4,rOrden_RO,0),"")</f>
        <v/>
      </c>
      <c r="O31">
        <f>IF($N31="","",INDEX('Cronograma R. Operacional'!$S$5:$S$1000,$N31))</f>
        <v/>
      </c>
      <c r="P31">
        <f>IF($N31="","",N(INDEX('Cronograma R. Operacional'!$T$5:$T$1000,$N31)))</f>
        <v/>
      </c>
    </row>
    <row r="32">
      <c r="A32" s="61">
        <f>IF($N32="","",INDEX('Cronograma R. Operacional'!$A$5:$A$1000,$N32))</f>
        <v/>
      </c>
      <c r="B32" s="70">
        <f>IF($N32="","",IF($O32="Sub","     ↳ "&amp;INDEX('Cronograma R. Operacional'!$C$5:$C$1000,$N32),INDEX('Cronograma R. Operacional'!$B$5:$B$1000,$N32)&amp;""))</f>
        <v/>
      </c>
      <c r="C32" s="70">
        <f>IF($N32="","",INDEX('Cronograma R. Operacional'!$D$5:$D$1000,$N32)&amp;"")</f>
        <v/>
      </c>
      <c r="D32" s="76">
        <f>IF($N32="","",IF(INDEX('Cronograma R. Operacional'!$E$5:$E$1000,$N32)="","",INDEX('Cronograma R. Operacional'!$E$5:$E$1000,$N32)))</f>
        <v/>
      </c>
      <c r="E32" s="76">
        <f>IF($N32="","",IF(INDEX('Cronograma R. Operacional'!$F$5:$F$1000,$N32)="","",INDEX('Cronograma R. Operacional'!$F$5:$F$1000,$N32)))</f>
        <v/>
      </c>
      <c r="F32" s="61">
        <f>IF($N32="","",IF(NOT(ISNUMBER($E32)),"",IF($E32&lt;InicioCiclo,"Antes del ciclo",IF($E32&gt;=InicioCiclo+28,"Después del ciclo","Semana "&amp;(INT(($E32-InicioCiclo)/7)+1)))))</f>
        <v/>
      </c>
      <c r="G32" s="67">
        <f>IF($N32="","",IF($P32&gt;0,IF(1&lt;=SemanaActual,INDEX('Cronograma R. Operacional'!$Y$5:$Y$1000,$N32),""),IF(INDEX('Cronograma R. Operacional'!$H$5:$H$1000,$N32)="","",INDEX('Cronograma R. Operacional'!$H$5:$H$1000,$N32))))</f>
        <v/>
      </c>
      <c r="H32" s="67">
        <f>IF($N32="","",IF($P32&gt;0,IF(2&lt;=SemanaActual,INDEX('Cronograma R. Operacional'!$Z$5:$Z$1000,$N32),""),IF(INDEX('Cronograma R. Operacional'!$I$5:$I$1000,$N32)="","",INDEX('Cronograma R. Operacional'!$I$5:$I$1000,$N32))))</f>
        <v/>
      </c>
      <c r="I32" s="67">
        <f>IF($N32="","",IF($P32&gt;0,IF(3&lt;=SemanaActual,INDEX('Cronograma R. Operacional'!$AA$5:$AA$1000,$N32),""),IF(INDEX('Cronograma R. Operacional'!$J$5:$J$1000,$N32)="","",INDEX('Cronograma R. Operacional'!$J$5:$J$1000,$N32))))</f>
        <v/>
      </c>
      <c r="J32" s="67">
        <f>IF($N32="","",IF($P32&gt;0,IF(4&lt;=SemanaActual,INDEX('Cronograma R. Operacional'!$AB$5:$AB$1000,$N32),""),IF(INDEX('Cronograma R. Operacional'!$K$5:$K$1000,$N32)="","",INDEX('Cronograma R. Operacional'!$K$5:$K$1000,$N32))))</f>
        <v/>
      </c>
      <c r="K32" s="67">
        <f>IF($N32="","",INDEX('Cronograma R. Operacional'!$L$5:$L$1000,$N32))</f>
        <v/>
      </c>
      <c r="L32" s="61">
        <f>IF($N32="","",IF(N($K32)&gt;=1,"Completado",IF(AND(ISNUMBER($E32),$E32&lt;FechaRef),"Vencida",IF(N($K32)&gt;0,"En curso","Pendiente"))))</f>
        <v/>
      </c>
      <c r="M32" s="70">
        <f>IF($N32="","",INDEX('Cronograma R. Operacional'!$N$5:$N$1000,$N32)&amp;"")</f>
        <v/>
      </c>
      <c r="N32">
        <f>IFERROR(MATCH(ROW()-4,rOrden_RO,0),"")</f>
        <v/>
      </c>
      <c r="O32">
        <f>IF($N32="","",INDEX('Cronograma R. Operacional'!$S$5:$S$1000,$N32))</f>
        <v/>
      </c>
      <c r="P32">
        <f>IF($N32="","",N(INDEX('Cronograma R. Operacional'!$T$5:$T$1000,$N32)))</f>
        <v/>
      </c>
    </row>
    <row r="33">
      <c r="A33" s="61">
        <f>IF($N33="","",INDEX('Cronograma R. Operacional'!$A$5:$A$1000,$N33))</f>
        <v/>
      </c>
      <c r="B33" s="70">
        <f>IF($N33="","",IF($O33="Sub","     ↳ "&amp;INDEX('Cronograma R. Operacional'!$C$5:$C$1000,$N33),INDEX('Cronograma R. Operacional'!$B$5:$B$1000,$N33)&amp;""))</f>
        <v/>
      </c>
      <c r="C33" s="70">
        <f>IF($N33="","",INDEX('Cronograma R. Operacional'!$D$5:$D$1000,$N33)&amp;"")</f>
        <v/>
      </c>
      <c r="D33" s="76">
        <f>IF($N33="","",IF(INDEX('Cronograma R. Operacional'!$E$5:$E$1000,$N33)="","",INDEX('Cronograma R. Operacional'!$E$5:$E$1000,$N33)))</f>
        <v/>
      </c>
      <c r="E33" s="76">
        <f>IF($N33="","",IF(INDEX('Cronograma R. Operacional'!$F$5:$F$1000,$N33)="","",INDEX('Cronograma R. Operacional'!$F$5:$F$1000,$N33)))</f>
        <v/>
      </c>
      <c r="F33" s="61">
        <f>IF($N33="","",IF(NOT(ISNUMBER($E33)),"",IF($E33&lt;InicioCiclo,"Antes del ciclo",IF($E33&gt;=InicioCiclo+28,"Después del ciclo","Semana "&amp;(INT(($E33-InicioCiclo)/7)+1)))))</f>
        <v/>
      </c>
      <c r="G33" s="67">
        <f>IF($N33="","",IF($P33&gt;0,IF(1&lt;=SemanaActual,INDEX('Cronograma R. Operacional'!$Y$5:$Y$1000,$N33),""),IF(INDEX('Cronograma R. Operacional'!$H$5:$H$1000,$N33)="","",INDEX('Cronograma R. Operacional'!$H$5:$H$1000,$N33))))</f>
        <v/>
      </c>
      <c r="H33" s="67">
        <f>IF($N33="","",IF($P33&gt;0,IF(2&lt;=SemanaActual,INDEX('Cronograma R. Operacional'!$Z$5:$Z$1000,$N33),""),IF(INDEX('Cronograma R. Operacional'!$I$5:$I$1000,$N33)="","",INDEX('Cronograma R. Operacional'!$I$5:$I$1000,$N33))))</f>
        <v/>
      </c>
      <c r="I33" s="67">
        <f>IF($N33="","",IF($P33&gt;0,IF(3&lt;=SemanaActual,INDEX('Cronograma R. Operacional'!$AA$5:$AA$1000,$N33),""),IF(INDEX('Cronograma R. Operacional'!$J$5:$J$1000,$N33)="","",INDEX('Cronograma R. Operacional'!$J$5:$J$1000,$N33))))</f>
        <v/>
      </c>
      <c r="J33" s="67">
        <f>IF($N33="","",IF($P33&gt;0,IF(4&lt;=SemanaActual,INDEX('Cronograma R. Operacional'!$AB$5:$AB$1000,$N33),""),IF(INDEX('Cronograma R. Operacional'!$K$5:$K$1000,$N33)="","",INDEX('Cronograma R. Operacional'!$K$5:$K$1000,$N33))))</f>
        <v/>
      </c>
      <c r="K33" s="67">
        <f>IF($N33="","",INDEX('Cronograma R. Operacional'!$L$5:$L$1000,$N33))</f>
        <v/>
      </c>
      <c r="L33" s="61">
        <f>IF($N33="","",IF(N($K33)&gt;=1,"Completado",IF(AND(ISNUMBER($E33),$E33&lt;FechaRef),"Vencida",IF(N($K33)&gt;0,"En curso","Pendiente"))))</f>
        <v/>
      </c>
      <c r="M33" s="70">
        <f>IF($N33="","",INDEX('Cronograma R. Operacional'!$N$5:$N$1000,$N33)&amp;"")</f>
        <v/>
      </c>
      <c r="N33">
        <f>IFERROR(MATCH(ROW()-4,rOrden_RO,0),"")</f>
        <v/>
      </c>
      <c r="O33">
        <f>IF($N33="","",INDEX('Cronograma R. Operacional'!$S$5:$S$1000,$N33))</f>
        <v/>
      </c>
      <c r="P33">
        <f>IF($N33="","",N(INDEX('Cronograma R. Operacional'!$T$5:$T$1000,$N33)))</f>
        <v/>
      </c>
    </row>
    <row r="34">
      <c r="A34" s="61">
        <f>IF($N34="","",INDEX('Cronograma R. Operacional'!$A$5:$A$1000,$N34))</f>
        <v/>
      </c>
      <c r="B34" s="70">
        <f>IF($N34="","",IF($O34="Sub","     ↳ "&amp;INDEX('Cronograma R. Operacional'!$C$5:$C$1000,$N34),INDEX('Cronograma R. Operacional'!$B$5:$B$1000,$N34)&amp;""))</f>
        <v/>
      </c>
      <c r="C34" s="70">
        <f>IF($N34="","",INDEX('Cronograma R. Operacional'!$D$5:$D$1000,$N34)&amp;"")</f>
        <v/>
      </c>
      <c r="D34" s="76">
        <f>IF($N34="","",IF(INDEX('Cronograma R. Operacional'!$E$5:$E$1000,$N34)="","",INDEX('Cronograma R. Operacional'!$E$5:$E$1000,$N34)))</f>
        <v/>
      </c>
      <c r="E34" s="76">
        <f>IF($N34="","",IF(INDEX('Cronograma R. Operacional'!$F$5:$F$1000,$N34)="","",INDEX('Cronograma R. Operacional'!$F$5:$F$1000,$N34)))</f>
        <v/>
      </c>
      <c r="F34" s="61">
        <f>IF($N34="","",IF(NOT(ISNUMBER($E34)),"",IF($E34&lt;InicioCiclo,"Antes del ciclo",IF($E34&gt;=InicioCiclo+28,"Después del ciclo","Semana "&amp;(INT(($E34-InicioCiclo)/7)+1)))))</f>
        <v/>
      </c>
      <c r="G34" s="67">
        <f>IF($N34="","",IF($P34&gt;0,IF(1&lt;=SemanaActual,INDEX('Cronograma R. Operacional'!$Y$5:$Y$1000,$N34),""),IF(INDEX('Cronograma R. Operacional'!$H$5:$H$1000,$N34)="","",INDEX('Cronograma R. Operacional'!$H$5:$H$1000,$N34))))</f>
        <v/>
      </c>
      <c r="H34" s="67">
        <f>IF($N34="","",IF($P34&gt;0,IF(2&lt;=SemanaActual,INDEX('Cronograma R. Operacional'!$Z$5:$Z$1000,$N34),""),IF(INDEX('Cronograma R. Operacional'!$I$5:$I$1000,$N34)="","",INDEX('Cronograma R. Operacional'!$I$5:$I$1000,$N34))))</f>
        <v/>
      </c>
      <c r="I34" s="67">
        <f>IF($N34="","",IF($P34&gt;0,IF(3&lt;=SemanaActual,INDEX('Cronograma R. Operacional'!$AA$5:$AA$1000,$N34),""),IF(INDEX('Cronograma R. Operacional'!$J$5:$J$1000,$N34)="","",INDEX('Cronograma R. Operacional'!$J$5:$J$1000,$N34))))</f>
        <v/>
      </c>
      <c r="J34" s="67">
        <f>IF($N34="","",IF($P34&gt;0,IF(4&lt;=SemanaActual,INDEX('Cronograma R. Operacional'!$AB$5:$AB$1000,$N34),""),IF(INDEX('Cronograma R. Operacional'!$K$5:$K$1000,$N34)="","",INDEX('Cronograma R. Operacional'!$K$5:$K$1000,$N34))))</f>
        <v/>
      </c>
      <c r="K34" s="67">
        <f>IF($N34="","",INDEX('Cronograma R. Operacional'!$L$5:$L$1000,$N34))</f>
        <v/>
      </c>
      <c r="L34" s="61">
        <f>IF($N34="","",IF(N($K34)&gt;=1,"Completado",IF(AND(ISNUMBER($E34),$E34&lt;FechaRef),"Vencida",IF(N($K34)&gt;0,"En curso","Pendiente"))))</f>
        <v/>
      </c>
      <c r="M34" s="70">
        <f>IF($N34="","",INDEX('Cronograma R. Operacional'!$N$5:$N$1000,$N34)&amp;"")</f>
        <v/>
      </c>
      <c r="N34">
        <f>IFERROR(MATCH(ROW()-4,rOrden_RO,0),"")</f>
        <v/>
      </c>
      <c r="O34">
        <f>IF($N34="","",INDEX('Cronograma R. Operacional'!$S$5:$S$1000,$N34))</f>
        <v/>
      </c>
      <c r="P34">
        <f>IF($N34="","",N(INDEX('Cronograma R. Operacional'!$T$5:$T$1000,$N34)))</f>
        <v/>
      </c>
    </row>
    <row r="35">
      <c r="A35" s="61">
        <f>IF($N35="","",INDEX('Cronograma R. Operacional'!$A$5:$A$1000,$N35))</f>
        <v/>
      </c>
      <c r="B35" s="70">
        <f>IF($N35="","",IF($O35="Sub","     ↳ "&amp;INDEX('Cronograma R. Operacional'!$C$5:$C$1000,$N35),INDEX('Cronograma R. Operacional'!$B$5:$B$1000,$N35)&amp;""))</f>
        <v/>
      </c>
      <c r="C35" s="70">
        <f>IF($N35="","",INDEX('Cronograma R. Operacional'!$D$5:$D$1000,$N35)&amp;"")</f>
        <v/>
      </c>
      <c r="D35" s="76">
        <f>IF($N35="","",IF(INDEX('Cronograma R. Operacional'!$E$5:$E$1000,$N35)="","",INDEX('Cronograma R. Operacional'!$E$5:$E$1000,$N35)))</f>
        <v/>
      </c>
      <c r="E35" s="76">
        <f>IF($N35="","",IF(INDEX('Cronograma R. Operacional'!$F$5:$F$1000,$N35)="","",INDEX('Cronograma R. Operacional'!$F$5:$F$1000,$N35)))</f>
        <v/>
      </c>
      <c r="F35" s="61">
        <f>IF($N35="","",IF(NOT(ISNUMBER($E35)),"",IF($E35&lt;InicioCiclo,"Antes del ciclo",IF($E35&gt;=InicioCiclo+28,"Después del ciclo","Semana "&amp;(INT(($E35-InicioCiclo)/7)+1)))))</f>
        <v/>
      </c>
      <c r="G35" s="67">
        <f>IF($N35="","",IF($P35&gt;0,IF(1&lt;=SemanaActual,INDEX('Cronograma R. Operacional'!$Y$5:$Y$1000,$N35),""),IF(INDEX('Cronograma R. Operacional'!$H$5:$H$1000,$N35)="","",INDEX('Cronograma R. Operacional'!$H$5:$H$1000,$N35))))</f>
        <v/>
      </c>
      <c r="H35" s="67">
        <f>IF($N35="","",IF($P35&gt;0,IF(2&lt;=SemanaActual,INDEX('Cronograma R. Operacional'!$Z$5:$Z$1000,$N35),""),IF(INDEX('Cronograma R. Operacional'!$I$5:$I$1000,$N35)="","",INDEX('Cronograma R. Operacional'!$I$5:$I$1000,$N35))))</f>
        <v/>
      </c>
      <c r="I35" s="67">
        <f>IF($N35="","",IF($P35&gt;0,IF(3&lt;=SemanaActual,INDEX('Cronograma R. Operacional'!$AA$5:$AA$1000,$N35),""),IF(INDEX('Cronograma R. Operacional'!$J$5:$J$1000,$N35)="","",INDEX('Cronograma R. Operacional'!$J$5:$J$1000,$N35))))</f>
        <v/>
      </c>
      <c r="J35" s="67">
        <f>IF($N35="","",IF($P35&gt;0,IF(4&lt;=SemanaActual,INDEX('Cronograma R. Operacional'!$AB$5:$AB$1000,$N35),""),IF(INDEX('Cronograma R. Operacional'!$K$5:$K$1000,$N35)="","",INDEX('Cronograma R. Operacional'!$K$5:$K$1000,$N35))))</f>
        <v/>
      </c>
      <c r="K35" s="67">
        <f>IF($N35="","",INDEX('Cronograma R. Operacional'!$L$5:$L$1000,$N35))</f>
        <v/>
      </c>
      <c r="L35" s="61">
        <f>IF($N35="","",IF(N($K35)&gt;=1,"Completado",IF(AND(ISNUMBER($E35),$E35&lt;FechaRef),"Vencida",IF(N($K35)&gt;0,"En curso","Pendiente"))))</f>
        <v/>
      </c>
      <c r="M35" s="70">
        <f>IF($N35="","",INDEX('Cronograma R. Operacional'!$N$5:$N$1000,$N35)&amp;"")</f>
        <v/>
      </c>
      <c r="N35">
        <f>IFERROR(MATCH(ROW()-4,rOrden_RO,0),"")</f>
        <v/>
      </c>
      <c r="O35">
        <f>IF($N35="","",INDEX('Cronograma R. Operacional'!$S$5:$S$1000,$N35))</f>
        <v/>
      </c>
      <c r="P35">
        <f>IF($N35="","",N(INDEX('Cronograma R. Operacional'!$T$5:$T$1000,$N35)))</f>
        <v/>
      </c>
    </row>
    <row r="36">
      <c r="A36" s="61">
        <f>IF($N36="","",INDEX('Cronograma R. Operacional'!$A$5:$A$1000,$N36))</f>
        <v/>
      </c>
      <c r="B36" s="70">
        <f>IF($N36="","",IF($O36="Sub","     ↳ "&amp;INDEX('Cronograma R. Operacional'!$C$5:$C$1000,$N36),INDEX('Cronograma R. Operacional'!$B$5:$B$1000,$N36)&amp;""))</f>
        <v/>
      </c>
      <c r="C36" s="70">
        <f>IF($N36="","",INDEX('Cronograma R. Operacional'!$D$5:$D$1000,$N36)&amp;"")</f>
        <v/>
      </c>
      <c r="D36" s="76">
        <f>IF($N36="","",IF(INDEX('Cronograma R. Operacional'!$E$5:$E$1000,$N36)="","",INDEX('Cronograma R. Operacional'!$E$5:$E$1000,$N36)))</f>
        <v/>
      </c>
      <c r="E36" s="76">
        <f>IF($N36="","",IF(INDEX('Cronograma R. Operacional'!$F$5:$F$1000,$N36)="","",INDEX('Cronograma R. Operacional'!$F$5:$F$1000,$N36)))</f>
        <v/>
      </c>
      <c r="F36" s="61">
        <f>IF($N36="","",IF(NOT(ISNUMBER($E36)),"",IF($E36&lt;InicioCiclo,"Antes del ciclo",IF($E36&gt;=InicioCiclo+28,"Después del ciclo","Semana "&amp;(INT(($E36-InicioCiclo)/7)+1)))))</f>
        <v/>
      </c>
      <c r="G36" s="67">
        <f>IF($N36="","",IF($P36&gt;0,IF(1&lt;=SemanaActual,INDEX('Cronograma R. Operacional'!$Y$5:$Y$1000,$N36),""),IF(INDEX('Cronograma R. Operacional'!$H$5:$H$1000,$N36)="","",INDEX('Cronograma R. Operacional'!$H$5:$H$1000,$N36))))</f>
        <v/>
      </c>
      <c r="H36" s="67">
        <f>IF($N36="","",IF($P36&gt;0,IF(2&lt;=SemanaActual,INDEX('Cronograma R. Operacional'!$Z$5:$Z$1000,$N36),""),IF(INDEX('Cronograma R. Operacional'!$I$5:$I$1000,$N36)="","",INDEX('Cronograma R. Operacional'!$I$5:$I$1000,$N36))))</f>
        <v/>
      </c>
      <c r="I36" s="67">
        <f>IF($N36="","",IF($P36&gt;0,IF(3&lt;=SemanaActual,INDEX('Cronograma R. Operacional'!$AA$5:$AA$1000,$N36),""),IF(INDEX('Cronograma R. Operacional'!$J$5:$J$1000,$N36)="","",INDEX('Cronograma R. Operacional'!$J$5:$J$1000,$N36))))</f>
        <v/>
      </c>
      <c r="J36" s="67">
        <f>IF($N36="","",IF($P36&gt;0,IF(4&lt;=SemanaActual,INDEX('Cronograma R. Operacional'!$AB$5:$AB$1000,$N36),""),IF(INDEX('Cronograma R. Operacional'!$K$5:$K$1000,$N36)="","",INDEX('Cronograma R. Operacional'!$K$5:$K$1000,$N36))))</f>
        <v/>
      </c>
      <c r="K36" s="67">
        <f>IF($N36="","",INDEX('Cronograma R. Operacional'!$L$5:$L$1000,$N36))</f>
        <v/>
      </c>
      <c r="L36" s="61">
        <f>IF($N36="","",IF(N($K36)&gt;=1,"Completado",IF(AND(ISNUMBER($E36),$E36&lt;FechaRef),"Vencida",IF(N($K36)&gt;0,"En curso","Pendiente"))))</f>
        <v/>
      </c>
      <c r="M36" s="70">
        <f>IF($N36="","",INDEX('Cronograma R. Operacional'!$N$5:$N$1000,$N36)&amp;"")</f>
        <v/>
      </c>
      <c r="N36">
        <f>IFERROR(MATCH(ROW()-4,rOrden_RO,0),"")</f>
        <v/>
      </c>
      <c r="O36">
        <f>IF($N36="","",INDEX('Cronograma R. Operacional'!$S$5:$S$1000,$N36))</f>
        <v/>
      </c>
      <c r="P36">
        <f>IF($N36="","",N(INDEX('Cronograma R. Operacional'!$T$5:$T$1000,$N36)))</f>
        <v/>
      </c>
    </row>
    <row r="37">
      <c r="A37" s="61">
        <f>IF($N37="","",INDEX('Cronograma R. Operacional'!$A$5:$A$1000,$N37))</f>
        <v/>
      </c>
      <c r="B37" s="70">
        <f>IF($N37="","",IF($O37="Sub","     ↳ "&amp;INDEX('Cronograma R. Operacional'!$C$5:$C$1000,$N37),INDEX('Cronograma R. Operacional'!$B$5:$B$1000,$N37)&amp;""))</f>
        <v/>
      </c>
      <c r="C37" s="70">
        <f>IF($N37="","",INDEX('Cronograma R. Operacional'!$D$5:$D$1000,$N37)&amp;"")</f>
        <v/>
      </c>
      <c r="D37" s="76">
        <f>IF($N37="","",IF(INDEX('Cronograma R. Operacional'!$E$5:$E$1000,$N37)="","",INDEX('Cronograma R. Operacional'!$E$5:$E$1000,$N37)))</f>
        <v/>
      </c>
      <c r="E37" s="76">
        <f>IF($N37="","",IF(INDEX('Cronograma R. Operacional'!$F$5:$F$1000,$N37)="","",INDEX('Cronograma R. Operacional'!$F$5:$F$1000,$N37)))</f>
        <v/>
      </c>
      <c r="F37" s="61">
        <f>IF($N37="","",IF(NOT(ISNUMBER($E37)),"",IF($E37&lt;InicioCiclo,"Antes del ciclo",IF($E37&gt;=InicioCiclo+28,"Después del ciclo","Semana "&amp;(INT(($E37-InicioCiclo)/7)+1)))))</f>
        <v/>
      </c>
      <c r="G37" s="67">
        <f>IF($N37="","",IF($P37&gt;0,IF(1&lt;=SemanaActual,INDEX('Cronograma R. Operacional'!$Y$5:$Y$1000,$N37),""),IF(INDEX('Cronograma R. Operacional'!$H$5:$H$1000,$N37)="","",INDEX('Cronograma R. Operacional'!$H$5:$H$1000,$N37))))</f>
        <v/>
      </c>
      <c r="H37" s="67">
        <f>IF($N37="","",IF($P37&gt;0,IF(2&lt;=SemanaActual,INDEX('Cronograma R. Operacional'!$Z$5:$Z$1000,$N37),""),IF(INDEX('Cronograma R. Operacional'!$I$5:$I$1000,$N37)="","",INDEX('Cronograma R. Operacional'!$I$5:$I$1000,$N37))))</f>
        <v/>
      </c>
      <c r="I37" s="67">
        <f>IF($N37="","",IF($P37&gt;0,IF(3&lt;=SemanaActual,INDEX('Cronograma R. Operacional'!$AA$5:$AA$1000,$N37),""),IF(INDEX('Cronograma R. Operacional'!$J$5:$J$1000,$N37)="","",INDEX('Cronograma R. Operacional'!$J$5:$J$1000,$N37))))</f>
        <v/>
      </c>
      <c r="J37" s="67">
        <f>IF($N37="","",IF($P37&gt;0,IF(4&lt;=SemanaActual,INDEX('Cronograma R. Operacional'!$AB$5:$AB$1000,$N37),""),IF(INDEX('Cronograma R. Operacional'!$K$5:$K$1000,$N37)="","",INDEX('Cronograma R. Operacional'!$K$5:$K$1000,$N37))))</f>
        <v/>
      </c>
      <c r="K37" s="67">
        <f>IF($N37="","",INDEX('Cronograma R. Operacional'!$L$5:$L$1000,$N37))</f>
        <v/>
      </c>
      <c r="L37" s="61">
        <f>IF($N37="","",IF(N($K37)&gt;=1,"Completado",IF(AND(ISNUMBER($E37),$E37&lt;FechaRef),"Vencida",IF(N($K37)&gt;0,"En curso","Pendiente"))))</f>
        <v/>
      </c>
      <c r="M37" s="70">
        <f>IF($N37="","",INDEX('Cronograma R. Operacional'!$N$5:$N$1000,$N37)&amp;"")</f>
        <v/>
      </c>
      <c r="N37">
        <f>IFERROR(MATCH(ROW()-4,rOrden_RO,0),"")</f>
        <v/>
      </c>
      <c r="O37">
        <f>IF($N37="","",INDEX('Cronograma R. Operacional'!$S$5:$S$1000,$N37))</f>
        <v/>
      </c>
      <c r="P37">
        <f>IF($N37="","",N(INDEX('Cronograma R. Operacional'!$T$5:$T$1000,$N37)))</f>
        <v/>
      </c>
    </row>
    <row r="38">
      <c r="A38" s="61">
        <f>IF($N38="","",INDEX('Cronograma R. Operacional'!$A$5:$A$1000,$N38))</f>
        <v/>
      </c>
      <c r="B38" s="70">
        <f>IF($N38="","",IF($O38="Sub","     ↳ "&amp;INDEX('Cronograma R. Operacional'!$C$5:$C$1000,$N38),INDEX('Cronograma R. Operacional'!$B$5:$B$1000,$N38)&amp;""))</f>
        <v/>
      </c>
      <c r="C38" s="70">
        <f>IF($N38="","",INDEX('Cronograma R. Operacional'!$D$5:$D$1000,$N38)&amp;"")</f>
        <v/>
      </c>
      <c r="D38" s="76">
        <f>IF($N38="","",IF(INDEX('Cronograma R. Operacional'!$E$5:$E$1000,$N38)="","",INDEX('Cronograma R. Operacional'!$E$5:$E$1000,$N38)))</f>
        <v/>
      </c>
      <c r="E38" s="76">
        <f>IF($N38="","",IF(INDEX('Cronograma R. Operacional'!$F$5:$F$1000,$N38)="","",INDEX('Cronograma R. Operacional'!$F$5:$F$1000,$N38)))</f>
        <v/>
      </c>
      <c r="F38" s="61">
        <f>IF($N38="","",IF(NOT(ISNUMBER($E38)),"",IF($E38&lt;InicioCiclo,"Antes del ciclo",IF($E38&gt;=InicioCiclo+28,"Después del ciclo","Semana "&amp;(INT(($E38-InicioCiclo)/7)+1)))))</f>
        <v/>
      </c>
      <c r="G38" s="67">
        <f>IF($N38="","",IF($P38&gt;0,IF(1&lt;=SemanaActual,INDEX('Cronograma R. Operacional'!$Y$5:$Y$1000,$N38),""),IF(INDEX('Cronograma R. Operacional'!$H$5:$H$1000,$N38)="","",INDEX('Cronograma R. Operacional'!$H$5:$H$1000,$N38))))</f>
        <v/>
      </c>
      <c r="H38" s="67">
        <f>IF($N38="","",IF($P38&gt;0,IF(2&lt;=SemanaActual,INDEX('Cronograma R. Operacional'!$Z$5:$Z$1000,$N38),""),IF(INDEX('Cronograma R. Operacional'!$I$5:$I$1000,$N38)="","",INDEX('Cronograma R. Operacional'!$I$5:$I$1000,$N38))))</f>
        <v/>
      </c>
      <c r="I38" s="67">
        <f>IF($N38="","",IF($P38&gt;0,IF(3&lt;=SemanaActual,INDEX('Cronograma R. Operacional'!$AA$5:$AA$1000,$N38),""),IF(INDEX('Cronograma R. Operacional'!$J$5:$J$1000,$N38)="","",INDEX('Cronograma R. Operacional'!$J$5:$J$1000,$N38))))</f>
        <v/>
      </c>
      <c r="J38" s="67">
        <f>IF($N38="","",IF($P38&gt;0,IF(4&lt;=SemanaActual,INDEX('Cronograma R. Operacional'!$AB$5:$AB$1000,$N38),""),IF(INDEX('Cronograma R. Operacional'!$K$5:$K$1000,$N38)="","",INDEX('Cronograma R. Operacional'!$K$5:$K$1000,$N38))))</f>
        <v/>
      </c>
      <c r="K38" s="67">
        <f>IF($N38="","",INDEX('Cronograma R. Operacional'!$L$5:$L$1000,$N38))</f>
        <v/>
      </c>
      <c r="L38" s="61">
        <f>IF($N38="","",IF(N($K38)&gt;=1,"Completado",IF(AND(ISNUMBER($E38),$E38&lt;FechaRef),"Vencida",IF(N($K38)&gt;0,"En curso","Pendiente"))))</f>
        <v/>
      </c>
      <c r="M38" s="70">
        <f>IF($N38="","",INDEX('Cronograma R. Operacional'!$N$5:$N$1000,$N38)&amp;"")</f>
        <v/>
      </c>
      <c r="N38">
        <f>IFERROR(MATCH(ROW()-4,rOrden_RO,0),"")</f>
        <v/>
      </c>
      <c r="O38">
        <f>IF($N38="","",INDEX('Cronograma R. Operacional'!$S$5:$S$1000,$N38))</f>
        <v/>
      </c>
      <c r="P38">
        <f>IF($N38="","",N(INDEX('Cronograma R. Operacional'!$T$5:$T$1000,$N38)))</f>
        <v/>
      </c>
    </row>
    <row r="39">
      <c r="A39" s="61">
        <f>IF($N39="","",INDEX('Cronograma R. Operacional'!$A$5:$A$1000,$N39))</f>
        <v/>
      </c>
      <c r="B39" s="70">
        <f>IF($N39="","",IF($O39="Sub","     ↳ "&amp;INDEX('Cronograma R. Operacional'!$C$5:$C$1000,$N39),INDEX('Cronograma R. Operacional'!$B$5:$B$1000,$N39)&amp;""))</f>
        <v/>
      </c>
      <c r="C39" s="70">
        <f>IF($N39="","",INDEX('Cronograma R. Operacional'!$D$5:$D$1000,$N39)&amp;"")</f>
        <v/>
      </c>
      <c r="D39" s="76">
        <f>IF($N39="","",IF(INDEX('Cronograma R. Operacional'!$E$5:$E$1000,$N39)="","",INDEX('Cronograma R. Operacional'!$E$5:$E$1000,$N39)))</f>
        <v/>
      </c>
      <c r="E39" s="76">
        <f>IF($N39="","",IF(INDEX('Cronograma R. Operacional'!$F$5:$F$1000,$N39)="","",INDEX('Cronograma R. Operacional'!$F$5:$F$1000,$N39)))</f>
        <v/>
      </c>
      <c r="F39" s="61">
        <f>IF($N39="","",IF(NOT(ISNUMBER($E39)),"",IF($E39&lt;InicioCiclo,"Antes del ciclo",IF($E39&gt;=InicioCiclo+28,"Después del ciclo","Semana "&amp;(INT(($E39-InicioCiclo)/7)+1)))))</f>
        <v/>
      </c>
      <c r="G39" s="67">
        <f>IF($N39="","",IF($P39&gt;0,IF(1&lt;=SemanaActual,INDEX('Cronograma R. Operacional'!$Y$5:$Y$1000,$N39),""),IF(INDEX('Cronograma R. Operacional'!$H$5:$H$1000,$N39)="","",INDEX('Cronograma R. Operacional'!$H$5:$H$1000,$N39))))</f>
        <v/>
      </c>
      <c r="H39" s="67">
        <f>IF($N39="","",IF($P39&gt;0,IF(2&lt;=SemanaActual,INDEX('Cronograma R. Operacional'!$Z$5:$Z$1000,$N39),""),IF(INDEX('Cronograma R. Operacional'!$I$5:$I$1000,$N39)="","",INDEX('Cronograma R. Operacional'!$I$5:$I$1000,$N39))))</f>
        <v/>
      </c>
      <c r="I39" s="67">
        <f>IF($N39="","",IF($P39&gt;0,IF(3&lt;=SemanaActual,INDEX('Cronograma R. Operacional'!$AA$5:$AA$1000,$N39),""),IF(INDEX('Cronograma R. Operacional'!$J$5:$J$1000,$N39)="","",INDEX('Cronograma R. Operacional'!$J$5:$J$1000,$N39))))</f>
        <v/>
      </c>
      <c r="J39" s="67">
        <f>IF($N39="","",IF($P39&gt;0,IF(4&lt;=SemanaActual,INDEX('Cronograma R. Operacional'!$AB$5:$AB$1000,$N39),""),IF(INDEX('Cronograma R. Operacional'!$K$5:$K$1000,$N39)="","",INDEX('Cronograma R. Operacional'!$K$5:$K$1000,$N39))))</f>
        <v/>
      </c>
      <c r="K39" s="67">
        <f>IF($N39="","",INDEX('Cronograma R. Operacional'!$L$5:$L$1000,$N39))</f>
        <v/>
      </c>
      <c r="L39" s="61">
        <f>IF($N39="","",IF(N($K39)&gt;=1,"Completado",IF(AND(ISNUMBER($E39),$E39&lt;FechaRef),"Vencida",IF(N($K39)&gt;0,"En curso","Pendiente"))))</f>
        <v/>
      </c>
      <c r="M39" s="70">
        <f>IF($N39="","",INDEX('Cronograma R. Operacional'!$N$5:$N$1000,$N39)&amp;"")</f>
        <v/>
      </c>
      <c r="N39">
        <f>IFERROR(MATCH(ROW()-4,rOrden_RO,0),"")</f>
        <v/>
      </c>
      <c r="O39">
        <f>IF($N39="","",INDEX('Cronograma R. Operacional'!$S$5:$S$1000,$N39))</f>
        <v/>
      </c>
      <c r="P39">
        <f>IF($N39="","",N(INDEX('Cronograma R. Operacional'!$T$5:$T$1000,$N39)))</f>
        <v/>
      </c>
    </row>
    <row r="40">
      <c r="A40" s="61">
        <f>IF($N40="","",INDEX('Cronograma R. Operacional'!$A$5:$A$1000,$N40))</f>
        <v/>
      </c>
      <c r="B40" s="70">
        <f>IF($N40="","",IF($O40="Sub","     ↳ "&amp;INDEX('Cronograma R. Operacional'!$C$5:$C$1000,$N40),INDEX('Cronograma R. Operacional'!$B$5:$B$1000,$N40)&amp;""))</f>
        <v/>
      </c>
      <c r="C40" s="70">
        <f>IF($N40="","",INDEX('Cronograma R. Operacional'!$D$5:$D$1000,$N40)&amp;"")</f>
        <v/>
      </c>
      <c r="D40" s="76">
        <f>IF($N40="","",IF(INDEX('Cronograma R. Operacional'!$E$5:$E$1000,$N40)="","",INDEX('Cronograma R. Operacional'!$E$5:$E$1000,$N40)))</f>
        <v/>
      </c>
      <c r="E40" s="76">
        <f>IF($N40="","",IF(INDEX('Cronograma R. Operacional'!$F$5:$F$1000,$N40)="","",INDEX('Cronograma R. Operacional'!$F$5:$F$1000,$N40)))</f>
        <v/>
      </c>
      <c r="F40" s="61">
        <f>IF($N40="","",IF(NOT(ISNUMBER($E40)),"",IF($E40&lt;InicioCiclo,"Antes del ciclo",IF($E40&gt;=InicioCiclo+28,"Después del ciclo","Semana "&amp;(INT(($E40-InicioCiclo)/7)+1)))))</f>
        <v/>
      </c>
      <c r="G40" s="67">
        <f>IF($N40="","",IF($P40&gt;0,IF(1&lt;=SemanaActual,INDEX('Cronograma R. Operacional'!$Y$5:$Y$1000,$N40),""),IF(INDEX('Cronograma R. Operacional'!$H$5:$H$1000,$N40)="","",INDEX('Cronograma R. Operacional'!$H$5:$H$1000,$N40))))</f>
        <v/>
      </c>
      <c r="H40" s="67">
        <f>IF($N40="","",IF($P40&gt;0,IF(2&lt;=SemanaActual,INDEX('Cronograma R. Operacional'!$Z$5:$Z$1000,$N40),""),IF(INDEX('Cronograma R. Operacional'!$I$5:$I$1000,$N40)="","",INDEX('Cronograma R. Operacional'!$I$5:$I$1000,$N40))))</f>
        <v/>
      </c>
      <c r="I40" s="67">
        <f>IF($N40="","",IF($P40&gt;0,IF(3&lt;=SemanaActual,INDEX('Cronograma R. Operacional'!$AA$5:$AA$1000,$N40),""),IF(INDEX('Cronograma R. Operacional'!$J$5:$J$1000,$N40)="","",INDEX('Cronograma R. Operacional'!$J$5:$J$1000,$N40))))</f>
        <v/>
      </c>
      <c r="J40" s="67">
        <f>IF($N40="","",IF($P40&gt;0,IF(4&lt;=SemanaActual,INDEX('Cronograma R. Operacional'!$AB$5:$AB$1000,$N40),""),IF(INDEX('Cronograma R. Operacional'!$K$5:$K$1000,$N40)="","",INDEX('Cronograma R. Operacional'!$K$5:$K$1000,$N40))))</f>
        <v/>
      </c>
      <c r="K40" s="67">
        <f>IF($N40="","",INDEX('Cronograma R. Operacional'!$L$5:$L$1000,$N40))</f>
        <v/>
      </c>
      <c r="L40" s="61">
        <f>IF($N40="","",IF(N($K40)&gt;=1,"Completado",IF(AND(ISNUMBER($E40),$E40&lt;FechaRef),"Vencida",IF(N($K40)&gt;0,"En curso","Pendiente"))))</f>
        <v/>
      </c>
      <c r="M40" s="70">
        <f>IF($N40="","",INDEX('Cronograma R. Operacional'!$N$5:$N$1000,$N40)&amp;"")</f>
        <v/>
      </c>
      <c r="N40">
        <f>IFERROR(MATCH(ROW()-4,rOrden_RO,0),"")</f>
        <v/>
      </c>
      <c r="O40">
        <f>IF($N40="","",INDEX('Cronograma R. Operacional'!$S$5:$S$1000,$N40))</f>
        <v/>
      </c>
      <c r="P40">
        <f>IF($N40="","",N(INDEX('Cronograma R. Operacional'!$T$5:$T$1000,$N40)))</f>
        <v/>
      </c>
    </row>
    <row r="41">
      <c r="A41" s="61">
        <f>IF($N41="","",INDEX('Cronograma R. Operacional'!$A$5:$A$1000,$N41))</f>
        <v/>
      </c>
      <c r="B41" s="70">
        <f>IF($N41="","",IF($O41="Sub","     ↳ "&amp;INDEX('Cronograma R. Operacional'!$C$5:$C$1000,$N41),INDEX('Cronograma R. Operacional'!$B$5:$B$1000,$N41)&amp;""))</f>
        <v/>
      </c>
      <c r="C41" s="70">
        <f>IF($N41="","",INDEX('Cronograma R. Operacional'!$D$5:$D$1000,$N41)&amp;"")</f>
        <v/>
      </c>
      <c r="D41" s="76">
        <f>IF($N41="","",IF(INDEX('Cronograma R. Operacional'!$E$5:$E$1000,$N41)="","",INDEX('Cronograma R. Operacional'!$E$5:$E$1000,$N41)))</f>
        <v/>
      </c>
      <c r="E41" s="76">
        <f>IF($N41="","",IF(INDEX('Cronograma R. Operacional'!$F$5:$F$1000,$N41)="","",INDEX('Cronograma R. Operacional'!$F$5:$F$1000,$N41)))</f>
        <v/>
      </c>
      <c r="F41" s="61">
        <f>IF($N41="","",IF(NOT(ISNUMBER($E41)),"",IF($E41&lt;InicioCiclo,"Antes del ciclo",IF($E41&gt;=InicioCiclo+28,"Después del ciclo","Semana "&amp;(INT(($E41-InicioCiclo)/7)+1)))))</f>
        <v/>
      </c>
      <c r="G41" s="67">
        <f>IF($N41="","",IF($P41&gt;0,IF(1&lt;=SemanaActual,INDEX('Cronograma R. Operacional'!$Y$5:$Y$1000,$N41),""),IF(INDEX('Cronograma R. Operacional'!$H$5:$H$1000,$N41)="","",INDEX('Cronograma R. Operacional'!$H$5:$H$1000,$N41))))</f>
        <v/>
      </c>
      <c r="H41" s="67">
        <f>IF($N41="","",IF($P41&gt;0,IF(2&lt;=SemanaActual,INDEX('Cronograma R. Operacional'!$Z$5:$Z$1000,$N41),""),IF(INDEX('Cronograma R. Operacional'!$I$5:$I$1000,$N41)="","",INDEX('Cronograma R. Operacional'!$I$5:$I$1000,$N41))))</f>
        <v/>
      </c>
      <c r="I41" s="67">
        <f>IF($N41="","",IF($P41&gt;0,IF(3&lt;=SemanaActual,INDEX('Cronograma R. Operacional'!$AA$5:$AA$1000,$N41),""),IF(INDEX('Cronograma R. Operacional'!$J$5:$J$1000,$N41)="","",INDEX('Cronograma R. Operacional'!$J$5:$J$1000,$N41))))</f>
        <v/>
      </c>
      <c r="J41" s="67">
        <f>IF($N41="","",IF($P41&gt;0,IF(4&lt;=SemanaActual,INDEX('Cronograma R. Operacional'!$AB$5:$AB$1000,$N41),""),IF(INDEX('Cronograma R. Operacional'!$K$5:$K$1000,$N41)="","",INDEX('Cronograma R. Operacional'!$K$5:$K$1000,$N41))))</f>
        <v/>
      </c>
      <c r="K41" s="67">
        <f>IF($N41="","",INDEX('Cronograma R. Operacional'!$L$5:$L$1000,$N41))</f>
        <v/>
      </c>
      <c r="L41" s="61">
        <f>IF($N41="","",IF(N($K41)&gt;=1,"Completado",IF(AND(ISNUMBER($E41),$E41&lt;FechaRef),"Vencida",IF(N($K41)&gt;0,"En curso","Pendiente"))))</f>
        <v/>
      </c>
      <c r="M41" s="70">
        <f>IF($N41="","",INDEX('Cronograma R. Operacional'!$N$5:$N$1000,$N41)&amp;"")</f>
        <v/>
      </c>
      <c r="N41">
        <f>IFERROR(MATCH(ROW()-4,rOrden_RO,0),"")</f>
        <v/>
      </c>
      <c r="O41">
        <f>IF($N41="","",INDEX('Cronograma R. Operacional'!$S$5:$S$1000,$N41))</f>
        <v/>
      </c>
      <c r="P41">
        <f>IF($N41="","",N(INDEX('Cronograma R. Operacional'!$T$5:$T$1000,$N41)))</f>
        <v/>
      </c>
    </row>
    <row r="42">
      <c r="A42" s="61">
        <f>IF($N42="","",INDEX('Cronograma R. Operacional'!$A$5:$A$1000,$N42))</f>
        <v/>
      </c>
      <c r="B42" s="70">
        <f>IF($N42="","",IF($O42="Sub","     ↳ "&amp;INDEX('Cronograma R. Operacional'!$C$5:$C$1000,$N42),INDEX('Cronograma R. Operacional'!$B$5:$B$1000,$N42)&amp;""))</f>
        <v/>
      </c>
      <c r="C42" s="70">
        <f>IF($N42="","",INDEX('Cronograma R. Operacional'!$D$5:$D$1000,$N42)&amp;"")</f>
        <v/>
      </c>
      <c r="D42" s="76">
        <f>IF($N42="","",IF(INDEX('Cronograma R. Operacional'!$E$5:$E$1000,$N42)="","",INDEX('Cronograma R. Operacional'!$E$5:$E$1000,$N42)))</f>
        <v/>
      </c>
      <c r="E42" s="76">
        <f>IF($N42="","",IF(INDEX('Cronograma R. Operacional'!$F$5:$F$1000,$N42)="","",INDEX('Cronograma R. Operacional'!$F$5:$F$1000,$N42)))</f>
        <v/>
      </c>
      <c r="F42" s="61">
        <f>IF($N42="","",IF(NOT(ISNUMBER($E42)),"",IF($E42&lt;InicioCiclo,"Antes del ciclo",IF($E42&gt;=InicioCiclo+28,"Después del ciclo","Semana "&amp;(INT(($E42-InicioCiclo)/7)+1)))))</f>
        <v/>
      </c>
      <c r="G42" s="67">
        <f>IF($N42="","",IF($P42&gt;0,IF(1&lt;=SemanaActual,INDEX('Cronograma R. Operacional'!$Y$5:$Y$1000,$N42),""),IF(INDEX('Cronograma R. Operacional'!$H$5:$H$1000,$N42)="","",INDEX('Cronograma R. Operacional'!$H$5:$H$1000,$N42))))</f>
        <v/>
      </c>
      <c r="H42" s="67">
        <f>IF($N42="","",IF($P42&gt;0,IF(2&lt;=SemanaActual,INDEX('Cronograma R. Operacional'!$Z$5:$Z$1000,$N42),""),IF(INDEX('Cronograma R. Operacional'!$I$5:$I$1000,$N42)="","",INDEX('Cronograma R. Operacional'!$I$5:$I$1000,$N42))))</f>
        <v/>
      </c>
      <c r="I42" s="67">
        <f>IF($N42="","",IF($P42&gt;0,IF(3&lt;=SemanaActual,INDEX('Cronograma R. Operacional'!$AA$5:$AA$1000,$N42),""),IF(INDEX('Cronograma R. Operacional'!$J$5:$J$1000,$N42)="","",INDEX('Cronograma R. Operacional'!$J$5:$J$1000,$N42))))</f>
        <v/>
      </c>
      <c r="J42" s="67">
        <f>IF($N42="","",IF($P42&gt;0,IF(4&lt;=SemanaActual,INDEX('Cronograma R. Operacional'!$AB$5:$AB$1000,$N42),""),IF(INDEX('Cronograma R. Operacional'!$K$5:$K$1000,$N42)="","",INDEX('Cronograma R. Operacional'!$K$5:$K$1000,$N42))))</f>
        <v/>
      </c>
      <c r="K42" s="67">
        <f>IF($N42="","",INDEX('Cronograma R. Operacional'!$L$5:$L$1000,$N42))</f>
        <v/>
      </c>
      <c r="L42" s="61">
        <f>IF($N42="","",IF(N($K42)&gt;=1,"Completado",IF(AND(ISNUMBER($E42),$E42&lt;FechaRef),"Vencida",IF(N($K42)&gt;0,"En curso","Pendiente"))))</f>
        <v/>
      </c>
      <c r="M42" s="70">
        <f>IF($N42="","",INDEX('Cronograma R. Operacional'!$N$5:$N$1000,$N42)&amp;"")</f>
        <v/>
      </c>
      <c r="N42">
        <f>IFERROR(MATCH(ROW()-4,rOrden_RO,0),"")</f>
        <v/>
      </c>
      <c r="O42">
        <f>IF($N42="","",INDEX('Cronograma R. Operacional'!$S$5:$S$1000,$N42))</f>
        <v/>
      </c>
      <c r="P42">
        <f>IF($N42="","",N(INDEX('Cronograma R. Operacional'!$T$5:$T$1000,$N42)))</f>
        <v/>
      </c>
    </row>
    <row r="43">
      <c r="A43" s="61">
        <f>IF($N43="","",INDEX('Cronograma R. Operacional'!$A$5:$A$1000,$N43))</f>
        <v/>
      </c>
      <c r="B43" s="70">
        <f>IF($N43="","",IF($O43="Sub","     ↳ "&amp;INDEX('Cronograma R. Operacional'!$C$5:$C$1000,$N43),INDEX('Cronograma R. Operacional'!$B$5:$B$1000,$N43)&amp;""))</f>
        <v/>
      </c>
      <c r="C43" s="70">
        <f>IF($N43="","",INDEX('Cronograma R. Operacional'!$D$5:$D$1000,$N43)&amp;"")</f>
        <v/>
      </c>
      <c r="D43" s="76">
        <f>IF($N43="","",IF(INDEX('Cronograma R. Operacional'!$E$5:$E$1000,$N43)="","",INDEX('Cronograma R. Operacional'!$E$5:$E$1000,$N43)))</f>
        <v/>
      </c>
      <c r="E43" s="76">
        <f>IF($N43="","",IF(INDEX('Cronograma R. Operacional'!$F$5:$F$1000,$N43)="","",INDEX('Cronograma R. Operacional'!$F$5:$F$1000,$N43)))</f>
        <v/>
      </c>
      <c r="F43" s="61">
        <f>IF($N43="","",IF(NOT(ISNUMBER($E43)),"",IF($E43&lt;InicioCiclo,"Antes del ciclo",IF($E43&gt;=InicioCiclo+28,"Después del ciclo","Semana "&amp;(INT(($E43-InicioCiclo)/7)+1)))))</f>
        <v/>
      </c>
      <c r="G43" s="67">
        <f>IF($N43="","",IF($P43&gt;0,IF(1&lt;=SemanaActual,INDEX('Cronograma R. Operacional'!$Y$5:$Y$1000,$N43),""),IF(INDEX('Cronograma R. Operacional'!$H$5:$H$1000,$N43)="","",INDEX('Cronograma R. Operacional'!$H$5:$H$1000,$N43))))</f>
        <v/>
      </c>
      <c r="H43" s="67">
        <f>IF($N43="","",IF($P43&gt;0,IF(2&lt;=SemanaActual,INDEX('Cronograma R. Operacional'!$Z$5:$Z$1000,$N43),""),IF(INDEX('Cronograma R. Operacional'!$I$5:$I$1000,$N43)="","",INDEX('Cronograma R. Operacional'!$I$5:$I$1000,$N43))))</f>
        <v/>
      </c>
      <c r="I43" s="67">
        <f>IF($N43="","",IF($P43&gt;0,IF(3&lt;=SemanaActual,INDEX('Cronograma R. Operacional'!$AA$5:$AA$1000,$N43),""),IF(INDEX('Cronograma R. Operacional'!$J$5:$J$1000,$N43)="","",INDEX('Cronograma R. Operacional'!$J$5:$J$1000,$N43))))</f>
        <v/>
      </c>
      <c r="J43" s="67">
        <f>IF($N43="","",IF($P43&gt;0,IF(4&lt;=SemanaActual,INDEX('Cronograma R. Operacional'!$AB$5:$AB$1000,$N43),""),IF(INDEX('Cronograma R. Operacional'!$K$5:$K$1000,$N43)="","",INDEX('Cronograma R. Operacional'!$K$5:$K$1000,$N43))))</f>
        <v/>
      </c>
      <c r="K43" s="67">
        <f>IF($N43="","",INDEX('Cronograma R. Operacional'!$L$5:$L$1000,$N43))</f>
        <v/>
      </c>
      <c r="L43" s="61">
        <f>IF($N43="","",IF(N($K43)&gt;=1,"Completado",IF(AND(ISNUMBER($E43),$E43&lt;FechaRef),"Vencida",IF(N($K43)&gt;0,"En curso","Pendiente"))))</f>
        <v/>
      </c>
      <c r="M43" s="70">
        <f>IF($N43="","",INDEX('Cronograma R. Operacional'!$N$5:$N$1000,$N43)&amp;"")</f>
        <v/>
      </c>
      <c r="N43">
        <f>IFERROR(MATCH(ROW()-4,rOrden_RO,0),"")</f>
        <v/>
      </c>
      <c r="O43">
        <f>IF($N43="","",INDEX('Cronograma R. Operacional'!$S$5:$S$1000,$N43))</f>
        <v/>
      </c>
      <c r="P43">
        <f>IF($N43="","",N(INDEX('Cronograma R. Operacional'!$T$5:$T$1000,$N43)))</f>
        <v/>
      </c>
    </row>
    <row r="44">
      <c r="A44" s="61">
        <f>IF($N44="","",INDEX('Cronograma R. Operacional'!$A$5:$A$1000,$N44))</f>
        <v/>
      </c>
      <c r="B44" s="70">
        <f>IF($N44="","",IF($O44="Sub","     ↳ "&amp;INDEX('Cronograma R. Operacional'!$C$5:$C$1000,$N44),INDEX('Cronograma R. Operacional'!$B$5:$B$1000,$N44)&amp;""))</f>
        <v/>
      </c>
      <c r="C44" s="70">
        <f>IF($N44="","",INDEX('Cronograma R. Operacional'!$D$5:$D$1000,$N44)&amp;"")</f>
        <v/>
      </c>
      <c r="D44" s="76">
        <f>IF($N44="","",IF(INDEX('Cronograma R. Operacional'!$E$5:$E$1000,$N44)="","",INDEX('Cronograma R. Operacional'!$E$5:$E$1000,$N44)))</f>
        <v/>
      </c>
      <c r="E44" s="76">
        <f>IF($N44="","",IF(INDEX('Cronograma R. Operacional'!$F$5:$F$1000,$N44)="","",INDEX('Cronograma R. Operacional'!$F$5:$F$1000,$N44)))</f>
        <v/>
      </c>
      <c r="F44" s="61">
        <f>IF($N44="","",IF(NOT(ISNUMBER($E44)),"",IF($E44&lt;InicioCiclo,"Antes del ciclo",IF($E44&gt;=InicioCiclo+28,"Después del ciclo","Semana "&amp;(INT(($E44-InicioCiclo)/7)+1)))))</f>
        <v/>
      </c>
      <c r="G44" s="67">
        <f>IF($N44="","",IF($P44&gt;0,IF(1&lt;=SemanaActual,INDEX('Cronograma R. Operacional'!$Y$5:$Y$1000,$N44),""),IF(INDEX('Cronograma R. Operacional'!$H$5:$H$1000,$N44)="","",INDEX('Cronograma R. Operacional'!$H$5:$H$1000,$N44))))</f>
        <v/>
      </c>
      <c r="H44" s="67">
        <f>IF($N44="","",IF($P44&gt;0,IF(2&lt;=SemanaActual,INDEX('Cronograma R. Operacional'!$Z$5:$Z$1000,$N44),""),IF(INDEX('Cronograma R. Operacional'!$I$5:$I$1000,$N44)="","",INDEX('Cronograma R. Operacional'!$I$5:$I$1000,$N44))))</f>
        <v/>
      </c>
      <c r="I44" s="67">
        <f>IF($N44="","",IF($P44&gt;0,IF(3&lt;=SemanaActual,INDEX('Cronograma R. Operacional'!$AA$5:$AA$1000,$N44),""),IF(INDEX('Cronograma R. Operacional'!$J$5:$J$1000,$N44)="","",INDEX('Cronograma R. Operacional'!$J$5:$J$1000,$N44))))</f>
        <v/>
      </c>
      <c r="J44" s="67">
        <f>IF($N44="","",IF($P44&gt;0,IF(4&lt;=SemanaActual,INDEX('Cronograma R. Operacional'!$AB$5:$AB$1000,$N44),""),IF(INDEX('Cronograma R. Operacional'!$K$5:$K$1000,$N44)="","",INDEX('Cronograma R. Operacional'!$K$5:$K$1000,$N44))))</f>
        <v/>
      </c>
      <c r="K44" s="67">
        <f>IF($N44="","",INDEX('Cronograma R. Operacional'!$L$5:$L$1000,$N44))</f>
        <v/>
      </c>
      <c r="L44" s="61">
        <f>IF($N44="","",IF(N($K44)&gt;=1,"Completado",IF(AND(ISNUMBER($E44),$E44&lt;FechaRef),"Vencida",IF(N($K44)&gt;0,"En curso","Pendiente"))))</f>
        <v/>
      </c>
      <c r="M44" s="70">
        <f>IF($N44="","",INDEX('Cronograma R. Operacional'!$N$5:$N$1000,$N44)&amp;"")</f>
        <v/>
      </c>
      <c r="N44">
        <f>IFERROR(MATCH(ROW()-4,rOrden_RO,0),"")</f>
        <v/>
      </c>
      <c r="O44">
        <f>IF($N44="","",INDEX('Cronograma R. Operacional'!$S$5:$S$1000,$N44))</f>
        <v/>
      </c>
      <c r="P44">
        <f>IF($N44="","",N(INDEX('Cronograma R. Operacional'!$T$5:$T$1000,$N44)))</f>
        <v/>
      </c>
    </row>
    <row r="45">
      <c r="A45" s="61">
        <f>IF($N45="","",INDEX('Cronograma R. Operacional'!$A$5:$A$1000,$N45))</f>
        <v/>
      </c>
      <c r="B45" s="70">
        <f>IF($N45="","",IF($O45="Sub","     ↳ "&amp;INDEX('Cronograma R. Operacional'!$C$5:$C$1000,$N45),INDEX('Cronograma R. Operacional'!$B$5:$B$1000,$N45)&amp;""))</f>
        <v/>
      </c>
      <c r="C45" s="70">
        <f>IF($N45="","",INDEX('Cronograma R. Operacional'!$D$5:$D$1000,$N45)&amp;"")</f>
        <v/>
      </c>
      <c r="D45" s="76">
        <f>IF($N45="","",IF(INDEX('Cronograma R. Operacional'!$E$5:$E$1000,$N45)="","",INDEX('Cronograma R. Operacional'!$E$5:$E$1000,$N45)))</f>
        <v/>
      </c>
      <c r="E45" s="76">
        <f>IF($N45="","",IF(INDEX('Cronograma R. Operacional'!$F$5:$F$1000,$N45)="","",INDEX('Cronograma R. Operacional'!$F$5:$F$1000,$N45)))</f>
        <v/>
      </c>
      <c r="F45" s="61">
        <f>IF($N45="","",IF(NOT(ISNUMBER($E45)),"",IF($E45&lt;InicioCiclo,"Antes del ciclo",IF($E45&gt;=InicioCiclo+28,"Después del ciclo","Semana "&amp;(INT(($E45-InicioCiclo)/7)+1)))))</f>
        <v/>
      </c>
      <c r="G45" s="67">
        <f>IF($N45="","",IF($P45&gt;0,IF(1&lt;=SemanaActual,INDEX('Cronograma R. Operacional'!$Y$5:$Y$1000,$N45),""),IF(INDEX('Cronograma R. Operacional'!$H$5:$H$1000,$N45)="","",INDEX('Cronograma R. Operacional'!$H$5:$H$1000,$N45))))</f>
        <v/>
      </c>
      <c r="H45" s="67">
        <f>IF($N45="","",IF($P45&gt;0,IF(2&lt;=SemanaActual,INDEX('Cronograma R. Operacional'!$Z$5:$Z$1000,$N45),""),IF(INDEX('Cronograma R. Operacional'!$I$5:$I$1000,$N45)="","",INDEX('Cronograma R. Operacional'!$I$5:$I$1000,$N45))))</f>
        <v/>
      </c>
      <c r="I45" s="67">
        <f>IF($N45="","",IF($P45&gt;0,IF(3&lt;=SemanaActual,INDEX('Cronograma R. Operacional'!$AA$5:$AA$1000,$N45),""),IF(INDEX('Cronograma R. Operacional'!$J$5:$J$1000,$N45)="","",INDEX('Cronograma R. Operacional'!$J$5:$J$1000,$N45))))</f>
        <v/>
      </c>
      <c r="J45" s="67">
        <f>IF($N45="","",IF($P45&gt;0,IF(4&lt;=SemanaActual,INDEX('Cronograma R. Operacional'!$AB$5:$AB$1000,$N45),""),IF(INDEX('Cronograma R. Operacional'!$K$5:$K$1000,$N45)="","",INDEX('Cronograma R. Operacional'!$K$5:$K$1000,$N45))))</f>
        <v/>
      </c>
      <c r="K45" s="67">
        <f>IF($N45="","",INDEX('Cronograma R. Operacional'!$L$5:$L$1000,$N45))</f>
        <v/>
      </c>
      <c r="L45" s="61">
        <f>IF($N45="","",IF(N($K45)&gt;=1,"Completado",IF(AND(ISNUMBER($E45),$E45&lt;FechaRef),"Vencida",IF(N($K45)&gt;0,"En curso","Pendiente"))))</f>
        <v/>
      </c>
      <c r="M45" s="70">
        <f>IF($N45="","",INDEX('Cronograma R. Operacional'!$N$5:$N$1000,$N45)&amp;"")</f>
        <v/>
      </c>
      <c r="N45">
        <f>IFERROR(MATCH(ROW()-4,rOrden_RO,0),"")</f>
        <v/>
      </c>
      <c r="O45">
        <f>IF($N45="","",INDEX('Cronograma R. Operacional'!$S$5:$S$1000,$N45))</f>
        <v/>
      </c>
      <c r="P45">
        <f>IF($N45="","",N(INDEX('Cronograma R. Operacional'!$T$5:$T$1000,$N45)))</f>
        <v/>
      </c>
    </row>
    <row r="46">
      <c r="A46" s="61">
        <f>IF($N46="","",INDEX('Cronograma R. Operacional'!$A$5:$A$1000,$N46))</f>
        <v/>
      </c>
      <c r="B46" s="70">
        <f>IF($N46="","",IF($O46="Sub","     ↳ "&amp;INDEX('Cronograma R. Operacional'!$C$5:$C$1000,$N46),INDEX('Cronograma R. Operacional'!$B$5:$B$1000,$N46)&amp;""))</f>
        <v/>
      </c>
      <c r="C46" s="70">
        <f>IF($N46="","",INDEX('Cronograma R. Operacional'!$D$5:$D$1000,$N46)&amp;"")</f>
        <v/>
      </c>
      <c r="D46" s="76">
        <f>IF($N46="","",IF(INDEX('Cronograma R. Operacional'!$E$5:$E$1000,$N46)="","",INDEX('Cronograma R. Operacional'!$E$5:$E$1000,$N46)))</f>
        <v/>
      </c>
      <c r="E46" s="76">
        <f>IF($N46="","",IF(INDEX('Cronograma R. Operacional'!$F$5:$F$1000,$N46)="","",INDEX('Cronograma R. Operacional'!$F$5:$F$1000,$N46)))</f>
        <v/>
      </c>
      <c r="F46" s="61">
        <f>IF($N46="","",IF(NOT(ISNUMBER($E46)),"",IF($E46&lt;InicioCiclo,"Antes del ciclo",IF($E46&gt;=InicioCiclo+28,"Después del ciclo","Semana "&amp;(INT(($E46-InicioCiclo)/7)+1)))))</f>
        <v/>
      </c>
      <c r="G46" s="67">
        <f>IF($N46="","",IF($P46&gt;0,IF(1&lt;=SemanaActual,INDEX('Cronograma R. Operacional'!$Y$5:$Y$1000,$N46),""),IF(INDEX('Cronograma R. Operacional'!$H$5:$H$1000,$N46)="","",INDEX('Cronograma R. Operacional'!$H$5:$H$1000,$N46))))</f>
        <v/>
      </c>
      <c r="H46" s="67">
        <f>IF($N46="","",IF($P46&gt;0,IF(2&lt;=SemanaActual,INDEX('Cronograma R. Operacional'!$Z$5:$Z$1000,$N46),""),IF(INDEX('Cronograma R. Operacional'!$I$5:$I$1000,$N46)="","",INDEX('Cronograma R. Operacional'!$I$5:$I$1000,$N46))))</f>
        <v/>
      </c>
      <c r="I46" s="67">
        <f>IF($N46="","",IF($P46&gt;0,IF(3&lt;=SemanaActual,INDEX('Cronograma R. Operacional'!$AA$5:$AA$1000,$N46),""),IF(INDEX('Cronograma R. Operacional'!$J$5:$J$1000,$N46)="","",INDEX('Cronograma R. Operacional'!$J$5:$J$1000,$N46))))</f>
        <v/>
      </c>
      <c r="J46" s="67">
        <f>IF($N46="","",IF($P46&gt;0,IF(4&lt;=SemanaActual,INDEX('Cronograma R. Operacional'!$AB$5:$AB$1000,$N46),""),IF(INDEX('Cronograma R. Operacional'!$K$5:$K$1000,$N46)="","",INDEX('Cronograma R. Operacional'!$K$5:$K$1000,$N46))))</f>
        <v/>
      </c>
      <c r="K46" s="67">
        <f>IF($N46="","",INDEX('Cronograma R. Operacional'!$L$5:$L$1000,$N46))</f>
        <v/>
      </c>
      <c r="L46" s="61">
        <f>IF($N46="","",IF(N($K46)&gt;=1,"Completado",IF(AND(ISNUMBER($E46),$E46&lt;FechaRef),"Vencida",IF(N($K46)&gt;0,"En curso","Pendiente"))))</f>
        <v/>
      </c>
      <c r="M46" s="70">
        <f>IF($N46="","",INDEX('Cronograma R. Operacional'!$N$5:$N$1000,$N46)&amp;"")</f>
        <v/>
      </c>
      <c r="N46">
        <f>IFERROR(MATCH(ROW()-4,rOrden_RO,0),"")</f>
        <v/>
      </c>
      <c r="O46">
        <f>IF($N46="","",INDEX('Cronograma R. Operacional'!$S$5:$S$1000,$N46))</f>
        <v/>
      </c>
      <c r="P46">
        <f>IF($N46="","",N(INDEX('Cronograma R. Operacional'!$T$5:$T$1000,$N46)))</f>
        <v/>
      </c>
    </row>
    <row r="47">
      <c r="A47" s="61">
        <f>IF($N47="","",INDEX('Cronograma R. Operacional'!$A$5:$A$1000,$N47))</f>
        <v/>
      </c>
      <c r="B47" s="70">
        <f>IF($N47="","",IF($O47="Sub","     ↳ "&amp;INDEX('Cronograma R. Operacional'!$C$5:$C$1000,$N47),INDEX('Cronograma R. Operacional'!$B$5:$B$1000,$N47)&amp;""))</f>
        <v/>
      </c>
      <c r="C47" s="70">
        <f>IF($N47="","",INDEX('Cronograma R. Operacional'!$D$5:$D$1000,$N47)&amp;"")</f>
        <v/>
      </c>
      <c r="D47" s="76">
        <f>IF($N47="","",IF(INDEX('Cronograma R. Operacional'!$E$5:$E$1000,$N47)="","",INDEX('Cronograma R. Operacional'!$E$5:$E$1000,$N47)))</f>
        <v/>
      </c>
      <c r="E47" s="76">
        <f>IF($N47="","",IF(INDEX('Cronograma R. Operacional'!$F$5:$F$1000,$N47)="","",INDEX('Cronograma R. Operacional'!$F$5:$F$1000,$N47)))</f>
        <v/>
      </c>
      <c r="F47" s="61">
        <f>IF($N47="","",IF(NOT(ISNUMBER($E47)),"",IF($E47&lt;InicioCiclo,"Antes del ciclo",IF($E47&gt;=InicioCiclo+28,"Después del ciclo","Semana "&amp;(INT(($E47-InicioCiclo)/7)+1)))))</f>
        <v/>
      </c>
      <c r="G47" s="67">
        <f>IF($N47="","",IF($P47&gt;0,IF(1&lt;=SemanaActual,INDEX('Cronograma R. Operacional'!$Y$5:$Y$1000,$N47),""),IF(INDEX('Cronograma R. Operacional'!$H$5:$H$1000,$N47)="","",INDEX('Cronograma R. Operacional'!$H$5:$H$1000,$N47))))</f>
        <v/>
      </c>
      <c r="H47" s="67">
        <f>IF($N47="","",IF($P47&gt;0,IF(2&lt;=SemanaActual,INDEX('Cronograma R. Operacional'!$Z$5:$Z$1000,$N47),""),IF(INDEX('Cronograma R. Operacional'!$I$5:$I$1000,$N47)="","",INDEX('Cronograma R. Operacional'!$I$5:$I$1000,$N47))))</f>
        <v/>
      </c>
      <c r="I47" s="67">
        <f>IF($N47="","",IF($P47&gt;0,IF(3&lt;=SemanaActual,INDEX('Cronograma R. Operacional'!$AA$5:$AA$1000,$N47),""),IF(INDEX('Cronograma R. Operacional'!$J$5:$J$1000,$N47)="","",INDEX('Cronograma R. Operacional'!$J$5:$J$1000,$N47))))</f>
        <v/>
      </c>
      <c r="J47" s="67">
        <f>IF($N47="","",IF($P47&gt;0,IF(4&lt;=SemanaActual,INDEX('Cronograma R. Operacional'!$AB$5:$AB$1000,$N47),""),IF(INDEX('Cronograma R. Operacional'!$K$5:$K$1000,$N47)="","",INDEX('Cronograma R. Operacional'!$K$5:$K$1000,$N47))))</f>
        <v/>
      </c>
      <c r="K47" s="67">
        <f>IF($N47="","",INDEX('Cronograma R. Operacional'!$L$5:$L$1000,$N47))</f>
        <v/>
      </c>
      <c r="L47" s="61">
        <f>IF($N47="","",IF(N($K47)&gt;=1,"Completado",IF(AND(ISNUMBER($E47),$E47&lt;FechaRef),"Vencida",IF(N($K47)&gt;0,"En curso","Pendiente"))))</f>
        <v/>
      </c>
      <c r="M47" s="70">
        <f>IF($N47="","",INDEX('Cronograma R. Operacional'!$N$5:$N$1000,$N47)&amp;"")</f>
        <v/>
      </c>
      <c r="N47">
        <f>IFERROR(MATCH(ROW()-4,rOrden_RO,0),"")</f>
        <v/>
      </c>
      <c r="O47">
        <f>IF($N47="","",INDEX('Cronograma R. Operacional'!$S$5:$S$1000,$N47))</f>
        <v/>
      </c>
      <c r="P47">
        <f>IF($N47="","",N(INDEX('Cronograma R. Operacional'!$T$5:$T$1000,$N47)))</f>
        <v/>
      </c>
    </row>
    <row r="48">
      <c r="A48" s="61">
        <f>IF($N48="","",INDEX('Cronograma R. Operacional'!$A$5:$A$1000,$N48))</f>
        <v/>
      </c>
      <c r="B48" s="70">
        <f>IF($N48="","",IF($O48="Sub","     ↳ "&amp;INDEX('Cronograma R. Operacional'!$C$5:$C$1000,$N48),INDEX('Cronograma R. Operacional'!$B$5:$B$1000,$N48)&amp;""))</f>
        <v/>
      </c>
      <c r="C48" s="70">
        <f>IF($N48="","",INDEX('Cronograma R. Operacional'!$D$5:$D$1000,$N48)&amp;"")</f>
        <v/>
      </c>
      <c r="D48" s="76">
        <f>IF($N48="","",IF(INDEX('Cronograma R. Operacional'!$E$5:$E$1000,$N48)="","",INDEX('Cronograma R. Operacional'!$E$5:$E$1000,$N48)))</f>
        <v/>
      </c>
      <c r="E48" s="76">
        <f>IF($N48="","",IF(INDEX('Cronograma R. Operacional'!$F$5:$F$1000,$N48)="","",INDEX('Cronograma R. Operacional'!$F$5:$F$1000,$N48)))</f>
        <v/>
      </c>
      <c r="F48" s="61">
        <f>IF($N48="","",IF(NOT(ISNUMBER($E48)),"",IF($E48&lt;InicioCiclo,"Antes del ciclo",IF($E48&gt;=InicioCiclo+28,"Después del ciclo","Semana "&amp;(INT(($E48-InicioCiclo)/7)+1)))))</f>
        <v/>
      </c>
      <c r="G48" s="67">
        <f>IF($N48="","",IF($P48&gt;0,IF(1&lt;=SemanaActual,INDEX('Cronograma R. Operacional'!$Y$5:$Y$1000,$N48),""),IF(INDEX('Cronograma R. Operacional'!$H$5:$H$1000,$N48)="","",INDEX('Cronograma R. Operacional'!$H$5:$H$1000,$N48))))</f>
        <v/>
      </c>
      <c r="H48" s="67">
        <f>IF($N48="","",IF($P48&gt;0,IF(2&lt;=SemanaActual,INDEX('Cronograma R. Operacional'!$Z$5:$Z$1000,$N48),""),IF(INDEX('Cronograma R. Operacional'!$I$5:$I$1000,$N48)="","",INDEX('Cronograma R. Operacional'!$I$5:$I$1000,$N48))))</f>
        <v/>
      </c>
      <c r="I48" s="67">
        <f>IF($N48="","",IF($P48&gt;0,IF(3&lt;=SemanaActual,INDEX('Cronograma R. Operacional'!$AA$5:$AA$1000,$N48),""),IF(INDEX('Cronograma R. Operacional'!$J$5:$J$1000,$N48)="","",INDEX('Cronograma R. Operacional'!$J$5:$J$1000,$N48))))</f>
        <v/>
      </c>
      <c r="J48" s="67">
        <f>IF($N48="","",IF($P48&gt;0,IF(4&lt;=SemanaActual,INDEX('Cronograma R. Operacional'!$AB$5:$AB$1000,$N48),""),IF(INDEX('Cronograma R. Operacional'!$K$5:$K$1000,$N48)="","",INDEX('Cronograma R. Operacional'!$K$5:$K$1000,$N48))))</f>
        <v/>
      </c>
      <c r="K48" s="67">
        <f>IF($N48="","",INDEX('Cronograma R. Operacional'!$L$5:$L$1000,$N48))</f>
        <v/>
      </c>
      <c r="L48" s="61">
        <f>IF($N48="","",IF(N($K48)&gt;=1,"Completado",IF(AND(ISNUMBER($E48),$E48&lt;FechaRef),"Vencida",IF(N($K48)&gt;0,"En curso","Pendiente"))))</f>
        <v/>
      </c>
      <c r="M48" s="70">
        <f>IF($N48="","",INDEX('Cronograma R. Operacional'!$N$5:$N$1000,$N48)&amp;"")</f>
        <v/>
      </c>
      <c r="N48">
        <f>IFERROR(MATCH(ROW()-4,rOrden_RO,0),"")</f>
        <v/>
      </c>
      <c r="O48">
        <f>IF($N48="","",INDEX('Cronograma R. Operacional'!$S$5:$S$1000,$N48))</f>
        <v/>
      </c>
      <c r="P48">
        <f>IF($N48="","",N(INDEX('Cronograma R. Operacional'!$T$5:$T$1000,$N48)))</f>
        <v/>
      </c>
    </row>
    <row r="49">
      <c r="A49" s="61">
        <f>IF($N49="","",INDEX('Cronograma R. Operacional'!$A$5:$A$1000,$N49))</f>
        <v/>
      </c>
      <c r="B49" s="70">
        <f>IF($N49="","",IF($O49="Sub","     ↳ "&amp;INDEX('Cronograma R. Operacional'!$C$5:$C$1000,$N49),INDEX('Cronograma R. Operacional'!$B$5:$B$1000,$N49)&amp;""))</f>
        <v/>
      </c>
      <c r="C49" s="70">
        <f>IF($N49="","",INDEX('Cronograma R. Operacional'!$D$5:$D$1000,$N49)&amp;"")</f>
        <v/>
      </c>
      <c r="D49" s="76">
        <f>IF($N49="","",IF(INDEX('Cronograma R. Operacional'!$E$5:$E$1000,$N49)="","",INDEX('Cronograma R. Operacional'!$E$5:$E$1000,$N49)))</f>
        <v/>
      </c>
      <c r="E49" s="76">
        <f>IF($N49="","",IF(INDEX('Cronograma R. Operacional'!$F$5:$F$1000,$N49)="","",INDEX('Cronograma R. Operacional'!$F$5:$F$1000,$N49)))</f>
        <v/>
      </c>
      <c r="F49" s="61">
        <f>IF($N49="","",IF(NOT(ISNUMBER($E49)),"",IF($E49&lt;InicioCiclo,"Antes del ciclo",IF($E49&gt;=InicioCiclo+28,"Después del ciclo","Semana "&amp;(INT(($E49-InicioCiclo)/7)+1)))))</f>
        <v/>
      </c>
      <c r="G49" s="67">
        <f>IF($N49="","",IF($P49&gt;0,IF(1&lt;=SemanaActual,INDEX('Cronograma R. Operacional'!$Y$5:$Y$1000,$N49),""),IF(INDEX('Cronograma R. Operacional'!$H$5:$H$1000,$N49)="","",INDEX('Cronograma R. Operacional'!$H$5:$H$1000,$N49))))</f>
        <v/>
      </c>
      <c r="H49" s="67">
        <f>IF($N49="","",IF($P49&gt;0,IF(2&lt;=SemanaActual,INDEX('Cronograma R. Operacional'!$Z$5:$Z$1000,$N49),""),IF(INDEX('Cronograma R. Operacional'!$I$5:$I$1000,$N49)="","",INDEX('Cronograma R. Operacional'!$I$5:$I$1000,$N49))))</f>
        <v/>
      </c>
      <c r="I49" s="67">
        <f>IF($N49="","",IF($P49&gt;0,IF(3&lt;=SemanaActual,INDEX('Cronograma R. Operacional'!$AA$5:$AA$1000,$N49),""),IF(INDEX('Cronograma R. Operacional'!$J$5:$J$1000,$N49)="","",INDEX('Cronograma R. Operacional'!$J$5:$J$1000,$N49))))</f>
        <v/>
      </c>
      <c r="J49" s="67">
        <f>IF($N49="","",IF($P49&gt;0,IF(4&lt;=SemanaActual,INDEX('Cronograma R. Operacional'!$AB$5:$AB$1000,$N49),""),IF(INDEX('Cronograma R. Operacional'!$K$5:$K$1000,$N49)="","",INDEX('Cronograma R. Operacional'!$K$5:$K$1000,$N49))))</f>
        <v/>
      </c>
      <c r="K49" s="67">
        <f>IF($N49="","",INDEX('Cronograma R. Operacional'!$L$5:$L$1000,$N49))</f>
        <v/>
      </c>
      <c r="L49" s="61">
        <f>IF($N49="","",IF(N($K49)&gt;=1,"Completado",IF(AND(ISNUMBER($E49),$E49&lt;FechaRef),"Vencida",IF(N($K49)&gt;0,"En curso","Pendiente"))))</f>
        <v/>
      </c>
      <c r="M49" s="70">
        <f>IF($N49="","",INDEX('Cronograma R. Operacional'!$N$5:$N$1000,$N49)&amp;"")</f>
        <v/>
      </c>
      <c r="N49">
        <f>IFERROR(MATCH(ROW()-4,rOrden_RO,0),"")</f>
        <v/>
      </c>
      <c r="O49">
        <f>IF($N49="","",INDEX('Cronograma R. Operacional'!$S$5:$S$1000,$N49))</f>
        <v/>
      </c>
      <c r="P49">
        <f>IF($N49="","",N(INDEX('Cronograma R. Operacional'!$T$5:$T$1000,$N49)))</f>
        <v/>
      </c>
    </row>
    <row r="50">
      <c r="A50" s="61">
        <f>IF($N50="","",INDEX('Cronograma R. Operacional'!$A$5:$A$1000,$N50))</f>
        <v/>
      </c>
      <c r="B50" s="70">
        <f>IF($N50="","",IF($O50="Sub","     ↳ "&amp;INDEX('Cronograma R. Operacional'!$C$5:$C$1000,$N50),INDEX('Cronograma R. Operacional'!$B$5:$B$1000,$N50)&amp;""))</f>
        <v/>
      </c>
      <c r="C50" s="70">
        <f>IF($N50="","",INDEX('Cronograma R. Operacional'!$D$5:$D$1000,$N50)&amp;"")</f>
        <v/>
      </c>
      <c r="D50" s="76">
        <f>IF($N50="","",IF(INDEX('Cronograma R. Operacional'!$E$5:$E$1000,$N50)="","",INDEX('Cronograma R. Operacional'!$E$5:$E$1000,$N50)))</f>
        <v/>
      </c>
      <c r="E50" s="76">
        <f>IF($N50="","",IF(INDEX('Cronograma R. Operacional'!$F$5:$F$1000,$N50)="","",INDEX('Cronograma R. Operacional'!$F$5:$F$1000,$N50)))</f>
        <v/>
      </c>
      <c r="F50" s="61">
        <f>IF($N50="","",IF(NOT(ISNUMBER($E50)),"",IF($E50&lt;InicioCiclo,"Antes del ciclo",IF($E50&gt;=InicioCiclo+28,"Después del ciclo","Semana "&amp;(INT(($E50-InicioCiclo)/7)+1)))))</f>
        <v/>
      </c>
      <c r="G50" s="67">
        <f>IF($N50="","",IF($P50&gt;0,IF(1&lt;=SemanaActual,INDEX('Cronograma R. Operacional'!$Y$5:$Y$1000,$N50),""),IF(INDEX('Cronograma R. Operacional'!$H$5:$H$1000,$N50)="","",INDEX('Cronograma R. Operacional'!$H$5:$H$1000,$N50))))</f>
        <v/>
      </c>
      <c r="H50" s="67">
        <f>IF($N50="","",IF($P50&gt;0,IF(2&lt;=SemanaActual,INDEX('Cronograma R. Operacional'!$Z$5:$Z$1000,$N50),""),IF(INDEX('Cronograma R. Operacional'!$I$5:$I$1000,$N50)="","",INDEX('Cronograma R. Operacional'!$I$5:$I$1000,$N50))))</f>
        <v/>
      </c>
      <c r="I50" s="67">
        <f>IF($N50="","",IF($P50&gt;0,IF(3&lt;=SemanaActual,INDEX('Cronograma R. Operacional'!$AA$5:$AA$1000,$N50),""),IF(INDEX('Cronograma R. Operacional'!$J$5:$J$1000,$N50)="","",INDEX('Cronograma R. Operacional'!$J$5:$J$1000,$N50))))</f>
        <v/>
      </c>
      <c r="J50" s="67">
        <f>IF($N50="","",IF($P50&gt;0,IF(4&lt;=SemanaActual,INDEX('Cronograma R. Operacional'!$AB$5:$AB$1000,$N50),""),IF(INDEX('Cronograma R. Operacional'!$K$5:$K$1000,$N50)="","",INDEX('Cronograma R. Operacional'!$K$5:$K$1000,$N50))))</f>
        <v/>
      </c>
      <c r="K50" s="67">
        <f>IF($N50="","",INDEX('Cronograma R. Operacional'!$L$5:$L$1000,$N50))</f>
        <v/>
      </c>
      <c r="L50" s="61">
        <f>IF($N50="","",IF(N($K50)&gt;=1,"Completado",IF(AND(ISNUMBER($E50),$E50&lt;FechaRef),"Vencida",IF(N($K50)&gt;0,"En curso","Pendiente"))))</f>
        <v/>
      </c>
      <c r="M50" s="70">
        <f>IF($N50="","",INDEX('Cronograma R. Operacional'!$N$5:$N$1000,$N50)&amp;"")</f>
        <v/>
      </c>
      <c r="N50">
        <f>IFERROR(MATCH(ROW()-4,rOrden_RO,0),"")</f>
        <v/>
      </c>
      <c r="O50">
        <f>IF($N50="","",INDEX('Cronograma R. Operacional'!$S$5:$S$1000,$N50))</f>
        <v/>
      </c>
      <c r="P50">
        <f>IF($N50="","",N(INDEX('Cronograma R. Operacional'!$T$5:$T$1000,$N50)))</f>
        <v/>
      </c>
    </row>
    <row r="51">
      <c r="A51" s="61">
        <f>IF($N51="","",INDEX('Cronograma R. Operacional'!$A$5:$A$1000,$N51))</f>
        <v/>
      </c>
      <c r="B51" s="70">
        <f>IF($N51="","",IF($O51="Sub","     ↳ "&amp;INDEX('Cronograma R. Operacional'!$C$5:$C$1000,$N51),INDEX('Cronograma R. Operacional'!$B$5:$B$1000,$N51)&amp;""))</f>
        <v/>
      </c>
      <c r="C51" s="70">
        <f>IF($N51="","",INDEX('Cronograma R. Operacional'!$D$5:$D$1000,$N51)&amp;"")</f>
        <v/>
      </c>
      <c r="D51" s="76">
        <f>IF($N51="","",IF(INDEX('Cronograma R. Operacional'!$E$5:$E$1000,$N51)="","",INDEX('Cronograma R. Operacional'!$E$5:$E$1000,$N51)))</f>
        <v/>
      </c>
      <c r="E51" s="76">
        <f>IF($N51="","",IF(INDEX('Cronograma R. Operacional'!$F$5:$F$1000,$N51)="","",INDEX('Cronograma R. Operacional'!$F$5:$F$1000,$N51)))</f>
        <v/>
      </c>
      <c r="F51" s="61">
        <f>IF($N51="","",IF(NOT(ISNUMBER($E51)),"",IF($E51&lt;InicioCiclo,"Antes del ciclo",IF($E51&gt;=InicioCiclo+28,"Después del ciclo","Semana "&amp;(INT(($E51-InicioCiclo)/7)+1)))))</f>
        <v/>
      </c>
      <c r="G51" s="67">
        <f>IF($N51="","",IF($P51&gt;0,IF(1&lt;=SemanaActual,INDEX('Cronograma R. Operacional'!$Y$5:$Y$1000,$N51),""),IF(INDEX('Cronograma R. Operacional'!$H$5:$H$1000,$N51)="","",INDEX('Cronograma R. Operacional'!$H$5:$H$1000,$N51))))</f>
        <v/>
      </c>
      <c r="H51" s="67">
        <f>IF($N51="","",IF($P51&gt;0,IF(2&lt;=SemanaActual,INDEX('Cronograma R. Operacional'!$Z$5:$Z$1000,$N51),""),IF(INDEX('Cronograma R. Operacional'!$I$5:$I$1000,$N51)="","",INDEX('Cronograma R. Operacional'!$I$5:$I$1000,$N51))))</f>
        <v/>
      </c>
      <c r="I51" s="67">
        <f>IF($N51="","",IF($P51&gt;0,IF(3&lt;=SemanaActual,INDEX('Cronograma R. Operacional'!$AA$5:$AA$1000,$N51),""),IF(INDEX('Cronograma R. Operacional'!$J$5:$J$1000,$N51)="","",INDEX('Cronograma R. Operacional'!$J$5:$J$1000,$N51))))</f>
        <v/>
      </c>
      <c r="J51" s="67">
        <f>IF($N51="","",IF($P51&gt;0,IF(4&lt;=SemanaActual,INDEX('Cronograma R. Operacional'!$AB$5:$AB$1000,$N51),""),IF(INDEX('Cronograma R. Operacional'!$K$5:$K$1000,$N51)="","",INDEX('Cronograma R. Operacional'!$K$5:$K$1000,$N51))))</f>
        <v/>
      </c>
      <c r="K51" s="67">
        <f>IF($N51="","",INDEX('Cronograma R. Operacional'!$L$5:$L$1000,$N51))</f>
        <v/>
      </c>
      <c r="L51" s="61">
        <f>IF($N51="","",IF(N($K51)&gt;=1,"Completado",IF(AND(ISNUMBER($E51),$E51&lt;FechaRef),"Vencida",IF(N($K51)&gt;0,"En curso","Pendiente"))))</f>
        <v/>
      </c>
      <c r="M51" s="70">
        <f>IF($N51="","",INDEX('Cronograma R. Operacional'!$N$5:$N$1000,$N51)&amp;"")</f>
        <v/>
      </c>
      <c r="N51">
        <f>IFERROR(MATCH(ROW()-4,rOrden_RO,0),"")</f>
        <v/>
      </c>
      <c r="O51">
        <f>IF($N51="","",INDEX('Cronograma R. Operacional'!$S$5:$S$1000,$N51))</f>
        <v/>
      </c>
      <c r="P51">
        <f>IF($N51="","",N(INDEX('Cronograma R. Operacional'!$T$5:$T$1000,$N51)))</f>
        <v/>
      </c>
    </row>
    <row r="52">
      <c r="A52" s="61">
        <f>IF($N52="","",INDEX('Cronograma R. Operacional'!$A$5:$A$1000,$N52))</f>
        <v/>
      </c>
      <c r="B52" s="70">
        <f>IF($N52="","",IF($O52="Sub","     ↳ "&amp;INDEX('Cronograma R. Operacional'!$C$5:$C$1000,$N52),INDEX('Cronograma R. Operacional'!$B$5:$B$1000,$N52)&amp;""))</f>
        <v/>
      </c>
      <c r="C52" s="70">
        <f>IF($N52="","",INDEX('Cronograma R. Operacional'!$D$5:$D$1000,$N52)&amp;"")</f>
        <v/>
      </c>
      <c r="D52" s="76">
        <f>IF($N52="","",IF(INDEX('Cronograma R. Operacional'!$E$5:$E$1000,$N52)="","",INDEX('Cronograma R. Operacional'!$E$5:$E$1000,$N52)))</f>
        <v/>
      </c>
      <c r="E52" s="76">
        <f>IF($N52="","",IF(INDEX('Cronograma R. Operacional'!$F$5:$F$1000,$N52)="","",INDEX('Cronograma R. Operacional'!$F$5:$F$1000,$N52)))</f>
        <v/>
      </c>
      <c r="F52" s="61">
        <f>IF($N52="","",IF(NOT(ISNUMBER($E52)),"",IF($E52&lt;InicioCiclo,"Antes del ciclo",IF($E52&gt;=InicioCiclo+28,"Después del ciclo","Semana "&amp;(INT(($E52-InicioCiclo)/7)+1)))))</f>
        <v/>
      </c>
      <c r="G52" s="67">
        <f>IF($N52="","",IF($P52&gt;0,IF(1&lt;=SemanaActual,INDEX('Cronograma R. Operacional'!$Y$5:$Y$1000,$N52),""),IF(INDEX('Cronograma R. Operacional'!$H$5:$H$1000,$N52)="","",INDEX('Cronograma R. Operacional'!$H$5:$H$1000,$N52))))</f>
        <v/>
      </c>
      <c r="H52" s="67">
        <f>IF($N52="","",IF($P52&gt;0,IF(2&lt;=SemanaActual,INDEX('Cronograma R. Operacional'!$Z$5:$Z$1000,$N52),""),IF(INDEX('Cronograma R. Operacional'!$I$5:$I$1000,$N52)="","",INDEX('Cronograma R. Operacional'!$I$5:$I$1000,$N52))))</f>
        <v/>
      </c>
      <c r="I52" s="67">
        <f>IF($N52="","",IF($P52&gt;0,IF(3&lt;=SemanaActual,INDEX('Cronograma R. Operacional'!$AA$5:$AA$1000,$N52),""),IF(INDEX('Cronograma R. Operacional'!$J$5:$J$1000,$N52)="","",INDEX('Cronograma R. Operacional'!$J$5:$J$1000,$N52))))</f>
        <v/>
      </c>
      <c r="J52" s="67">
        <f>IF($N52="","",IF($P52&gt;0,IF(4&lt;=SemanaActual,INDEX('Cronograma R. Operacional'!$AB$5:$AB$1000,$N52),""),IF(INDEX('Cronograma R. Operacional'!$K$5:$K$1000,$N52)="","",INDEX('Cronograma R. Operacional'!$K$5:$K$1000,$N52))))</f>
        <v/>
      </c>
      <c r="K52" s="67">
        <f>IF($N52="","",INDEX('Cronograma R. Operacional'!$L$5:$L$1000,$N52))</f>
        <v/>
      </c>
      <c r="L52" s="61">
        <f>IF($N52="","",IF(N($K52)&gt;=1,"Completado",IF(AND(ISNUMBER($E52),$E52&lt;FechaRef),"Vencida",IF(N($K52)&gt;0,"En curso","Pendiente"))))</f>
        <v/>
      </c>
      <c r="M52" s="70">
        <f>IF($N52="","",INDEX('Cronograma R. Operacional'!$N$5:$N$1000,$N52)&amp;"")</f>
        <v/>
      </c>
      <c r="N52">
        <f>IFERROR(MATCH(ROW()-4,rOrden_RO,0),"")</f>
        <v/>
      </c>
      <c r="O52">
        <f>IF($N52="","",INDEX('Cronograma R. Operacional'!$S$5:$S$1000,$N52))</f>
        <v/>
      </c>
      <c r="P52">
        <f>IF($N52="","",N(INDEX('Cronograma R. Operacional'!$T$5:$T$1000,$N52)))</f>
        <v/>
      </c>
    </row>
    <row r="53">
      <c r="A53" s="61">
        <f>IF($N53="","",INDEX('Cronograma R. Operacional'!$A$5:$A$1000,$N53))</f>
        <v/>
      </c>
      <c r="B53" s="70">
        <f>IF($N53="","",IF($O53="Sub","     ↳ "&amp;INDEX('Cronograma R. Operacional'!$C$5:$C$1000,$N53),INDEX('Cronograma R. Operacional'!$B$5:$B$1000,$N53)&amp;""))</f>
        <v/>
      </c>
      <c r="C53" s="70">
        <f>IF($N53="","",INDEX('Cronograma R. Operacional'!$D$5:$D$1000,$N53)&amp;"")</f>
        <v/>
      </c>
      <c r="D53" s="76">
        <f>IF($N53="","",IF(INDEX('Cronograma R. Operacional'!$E$5:$E$1000,$N53)="","",INDEX('Cronograma R. Operacional'!$E$5:$E$1000,$N53)))</f>
        <v/>
      </c>
      <c r="E53" s="76">
        <f>IF($N53="","",IF(INDEX('Cronograma R. Operacional'!$F$5:$F$1000,$N53)="","",INDEX('Cronograma R. Operacional'!$F$5:$F$1000,$N53)))</f>
        <v/>
      </c>
      <c r="F53" s="61">
        <f>IF($N53="","",IF(NOT(ISNUMBER($E53)),"",IF($E53&lt;InicioCiclo,"Antes del ciclo",IF($E53&gt;=InicioCiclo+28,"Después del ciclo","Semana "&amp;(INT(($E53-InicioCiclo)/7)+1)))))</f>
        <v/>
      </c>
      <c r="G53" s="67">
        <f>IF($N53="","",IF($P53&gt;0,IF(1&lt;=SemanaActual,INDEX('Cronograma R. Operacional'!$Y$5:$Y$1000,$N53),""),IF(INDEX('Cronograma R. Operacional'!$H$5:$H$1000,$N53)="","",INDEX('Cronograma R. Operacional'!$H$5:$H$1000,$N53))))</f>
        <v/>
      </c>
      <c r="H53" s="67">
        <f>IF($N53="","",IF($P53&gt;0,IF(2&lt;=SemanaActual,INDEX('Cronograma R. Operacional'!$Z$5:$Z$1000,$N53),""),IF(INDEX('Cronograma R. Operacional'!$I$5:$I$1000,$N53)="","",INDEX('Cronograma R. Operacional'!$I$5:$I$1000,$N53))))</f>
        <v/>
      </c>
      <c r="I53" s="67">
        <f>IF($N53="","",IF($P53&gt;0,IF(3&lt;=SemanaActual,INDEX('Cronograma R. Operacional'!$AA$5:$AA$1000,$N53),""),IF(INDEX('Cronograma R. Operacional'!$J$5:$J$1000,$N53)="","",INDEX('Cronograma R. Operacional'!$J$5:$J$1000,$N53))))</f>
        <v/>
      </c>
      <c r="J53" s="67">
        <f>IF($N53="","",IF($P53&gt;0,IF(4&lt;=SemanaActual,INDEX('Cronograma R. Operacional'!$AB$5:$AB$1000,$N53),""),IF(INDEX('Cronograma R. Operacional'!$K$5:$K$1000,$N53)="","",INDEX('Cronograma R. Operacional'!$K$5:$K$1000,$N53))))</f>
        <v/>
      </c>
      <c r="K53" s="67">
        <f>IF($N53="","",INDEX('Cronograma R. Operacional'!$L$5:$L$1000,$N53))</f>
        <v/>
      </c>
      <c r="L53" s="61">
        <f>IF($N53="","",IF(N($K53)&gt;=1,"Completado",IF(AND(ISNUMBER($E53),$E53&lt;FechaRef),"Vencida",IF(N($K53)&gt;0,"En curso","Pendiente"))))</f>
        <v/>
      </c>
      <c r="M53" s="70">
        <f>IF($N53="","",INDEX('Cronograma R. Operacional'!$N$5:$N$1000,$N53)&amp;"")</f>
        <v/>
      </c>
      <c r="N53">
        <f>IFERROR(MATCH(ROW()-4,rOrden_RO,0),"")</f>
        <v/>
      </c>
      <c r="O53">
        <f>IF($N53="","",INDEX('Cronograma R. Operacional'!$S$5:$S$1000,$N53))</f>
        <v/>
      </c>
      <c r="P53">
        <f>IF($N53="","",N(INDEX('Cronograma R. Operacional'!$T$5:$T$1000,$N53)))</f>
        <v/>
      </c>
    </row>
    <row r="54">
      <c r="A54" s="61">
        <f>IF($N54="","",INDEX('Cronograma R. Operacional'!$A$5:$A$1000,$N54))</f>
        <v/>
      </c>
      <c r="B54" s="70">
        <f>IF($N54="","",IF($O54="Sub","     ↳ "&amp;INDEX('Cronograma R. Operacional'!$C$5:$C$1000,$N54),INDEX('Cronograma R. Operacional'!$B$5:$B$1000,$N54)&amp;""))</f>
        <v/>
      </c>
      <c r="C54" s="70">
        <f>IF($N54="","",INDEX('Cronograma R. Operacional'!$D$5:$D$1000,$N54)&amp;"")</f>
        <v/>
      </c>
      <c r="D54" s="76">
        <f>IF($N54="","",IF(INDEX('Cronograma R. Operacional'!$E$5:$E$1000,$N54)="","",INDEX('Cronograma R. Operacional'!$E$5:$E$1000,$N54)))</f>
        <v/>
      </c>
      <c r="E54" s="76">
        <f>IF($N54="","",IF(INDEX('Cronograma R. Operacional'!$F$5:$F$1000,$N54)="","",INDEX('Cronograma R. Operacional'!$F$5:$F$1000,$N54)))</f>
        <v/>
      </c>
      <c r="F54" s="61">
        <f>IF($N54="","",IF(NOT(ISNUMBER($E54)),"",IF($E54&lt;InicioCiclo,"Antes del ciclo",IF($E54&gt;=InicioCiclo+28,"Después del ciclo","Semana "&amp;(INT(($E54-InicioCiclo)/7)+1)))))</f>
        <v/>
      </c>
      <c r="G54" s="67">
        <f>IF($N54="","",IF($P54&gt;0,IF(1&lt;=SemanaActual,INDEX('Cronograma R. Operacional'!$Y$5:$Y$1000,$N54),""),IF(INDEX('Cronograma R. Operacional'!$H$5:$H$1000,$N54)="","",INDEX('Cronograma R. Operacional'!$H$5:$H$1000,$N54))))</f>
        <v/>
      </c>
      <c r="H54" s="67">
        <f>IF($N54="","",IF($P54&gt;0,IF(2&lt;=SemanaActual,INDEX('Cronograma R. Operacional'!$Z$5:$Z$1000,$N54),""),IF(INDEX('Cronograma R. Operacional'!$I$5:$I$1000,$N54)="","",INDEX('Cronograma R. Operacional'!$I$5:$I$1000,$N54))))</f>
        <v/>
      </c>
      <c r="I54" s="67">
        <f>IF($N54="","",IF($P54&gt;0,IF(3&lt;=SemanaActual,INDEX('Cronograma R. Operacional'!$AA$5:$AA$1000,$N54),""),IF(INDEX('Cronograma R. Operacional'!$J$5:$J$1000,$N54)="","",INDEX('Cronograma R. Operacional'!$J$5:$J$1000,$N54))))</f>
        <v/>
      </c>
      <c r="J54" s="67">
        <f>IF($N54="","",IF($P54&gt;0,IF(4&lt;=SemanaActual,INDEX('Cronograma R. Operacional'!$AB$5:$AB$1000,$N54),""),IF(INDEX('Cronograma R. Operacional'!$K$5:$K$1000,$N54)="","",INDEX('Cronograma R. Operacional'!$K$5:$K$1000,$N54))))</f>
        <v/>
      </c>
      <c r="K54" s="67">
        <f>IF($N54="","",INDEX('Cronograma R. Operacional'!$L$5:$L$1000,$N54))</f>
        <v/>
      </c>
      <c r="L54" s="61">
        <f>IF($N54="","",IF(N($K54)&gt;=1,"Completado",IF(AND(ISNUMBER($E54),$E54&lt;FechaRef),"Vencida",IF(N($K54)&gt;0,"En curso","Pendiente"))))</f>
        <v/>
      </c>
      <c r="M54" s="70">
        <f>IF($N54="","",INDEX('Cronograma R. Operacional'!$N$5:$N$1000,$N54)&amp;"")</f>
        <v/>
      </c>
      <c r="N54">
        <f>IFERROR(MATCH(ROW()-4,rOrden_RO,0),"")</f>
        <v/>
      </c>
      <c r="O54">
        <f>IF($N54="","",INDEX('Cronograma R. Operacional'!$S$5:$S$1000,$N54))</f>
        <v/>
      </c>
      <c r="P54">
        <f>IF($N54="","",N(INDEX('Cronograma R. Operacional'!$T$5:$T$1000,$N54)))</f>
        <v/>
      </c>
    </row>
    <row r="55">
      <c r="A55" s="61">
        <f>IF($N55="","",INDEX('Cronograma R. Operacional'!$A$5:$A$1000,$N55))</f>
        <v/>
      </c>
      <c r="B55" s="70">
        <f>IF($N55="","",IF($O55="Sub","     ↳ "&amp;INDEX('Cronograma R. Operacional'!$C$5:$C$1000,$N55),INDEX('Cronograma R. Operacional'!$B$5:$B$1000,$N55)&amp;""))</f>
        <v/>
      </c>
      <c r="C55" s="70">
        <f>IF($N55="","",INDEX('Cronograma R. Operacional'!$D$5:$D$1000,$N55)&amp;"")</f>
        <v/>
      </c>
      <c r="D55" s="76">
        <f>IF($N55="","",IF(INDEX('Cronograma R. Operacional'!$E$5:$E$1000,$N55)="","",INDEX('Cronograma R. Operacional'!$E$5:$E$1000,$N55)))</f>
        <v/>
      </c>
      <c r="E55" s="76">
        <f>IF($N55="","",IF(INDEX('Cronograma R. Operacional'!$F$5:$F$1000,$N55)="","",INDEX('Cronograma R. Operacional'!$F$5:$F$1000,$N55)))</f>
        <v/>
      </c>
      <c r="F55" s="61">
        <f>IF($N55="","",IF(NOT(ISNUMBER($E55)),"",IF($E55&lt;InicioCiclo,"Antes del ciclo",IF($E55&gt;=InicioCiclo+28,"Después del ciclo","Semana "&amp;(INT(($E55-InicioCiclo)/7)+1)))))</f>
        <v/>
      </c>
      <c r="G55" s="67">
        <f>IF($N55="","",IF($P55&gt;0,IF(1&lt;=SemanaActual,INDEX('Cronograma R. Operacional'!$Y$5:$Y$1000,$N55),""),IF(INDEX('Cronograma R. Operacional'!$H$5:$H$1000,$N55)="","",INDEX('Cronograma R. Operacional'!$H$5:$H$1000,$N55))))</f>
        <v/>
      </c>
      <c r="H55" s="67">
        <f>IF($N55="","",IF($P55&gt;0,IF(2&lt;=SemanaActual,INDEX('Cronograma R. Operacional'!$Z$5:$Z$1000,$N55),""),IF(INDEX('Cronograma R. Operacional'!$I$5:$I$1000,$N55)="","",INDEX('Cronograma R. Operacional'!$I$5:$I$1000,$N55))))</f>
        <v/>
      </c>
      <c r="I55" s="67">
        <f>IF($N55="","",IF($P55&gt;0,IF(3&lt;=SemanaActual,INDEX('Cronograma R. Operacional'!$AA$5:$AA$1000,$N55),""),IF(INDEX('Cronograma R. Operacional'!$J$5:$J$1000,$N55)="","",INDEX('Cronograma R. Operacional'!$J$5:$J$1000,$N55))))</f>
        <v/>
      </c>
      <c r="J55" s="67">
        <f>IF($N55="","",IF($P55&gt;0,IF(4&lt;=SemanaActual,INDEX('Cronograma R. Operacional'!$AB$5:$AB$1000,$N55),""),IF(INDEX('Cronograma R. Operacional'!$K$5:$K$1000,$N55)="","",INDEX('Cronograma R. Operacional'!$K$5:$K$1000,$N55))))</f>
        <v/>
      </c>
      <c r="K55" s="67">
        <f>IF($N55="","",INDEX('Cronograma R. Operacional'!$L$5:$L$1000,$N55))</f>
        <v/>
      </c>
      <c r="L55" s="61">
        <f>IF($N55="","",IF(N($K55)&gt;=1,"Completado",IF(AND(ISNUMBER($E55),$E55&lt;FechaRef),"Vencida",IF(N($K55)&gt;0,"En curso","Pendiente"))))</f>
        <v/>
      </c>
      <c r="M55" s="70">
        <f>IF($N55="","",INDEX('Cronograma R. Operacional'!$N$5:$N$1000,$N55)&amp;"")</f>
        <v/>
      </c>
      <c r="N55">
        <f>IFERROR(MATCH(ROW()-4,rOrden_RO,0),"")</f>
        <v/>
      </c>
      <c r="O55">
        <f>IF($N55="","",INDEX('Cronograma R. Operacional'!$S$5:$S$1000,$N55))</f>
        <v/>
      </c>
      <c r="P55">
        <f>IF($N55="","",N(INDEX('Cronograma R. Operacional'!$T$5:$T$1000,$N55)))</f>
        <v/>
      </c>
    </row>
    <row r="56">
      <c r="A56" s="61">
        <f>IF($N56="","",INDEX('Cronograma R. Operacional'!$A$5:$A$1000,$N56))</f>
        <v/>
      </c>
      <c r="B56" s="70">
        <f>IF($N56="","",IF($O56="Sub","     ↳ "&amp;INDEX('Cronograma R. Operacional'!$C$5:$C$1000,$N56),INDEX('Cronograma R. Operacional'!$B$5:$B$1000,$N56)&amp;""))</f>
        <v/>
      </c>
      <c r="C56" s="70">
        <f>IF($N56="","",INDEX('Cronograma R. Operacional'!$D$5:$D$1000,$N56)&amp;"")</f>
        <v/>
      </c>
      <c r="D56" s="76">
        <f>IF($N56="","",IF(INDEX('Cronograma R. Operacional'!$E$5:$E$1000,$N56)="","",INDEX('Cronograma R. Operacional'!$E$5:$E$1000,$N56)))</f>
        <v/>
      </c>
      <c r="E56" s="76">
        <f>IF($N56="","",IF(INDEX('Cronograma R. Operacional'!$F$5:$F$1000,$N56)="","",INDEX('Cronograma R. Operacional'!$F$5:$F$1000,$N56)))</f>
        <v/>
      </c>
      <c r="F56" s="61">
        <f>IF($N56="","",IF(NOT(ISNUMBER($E56)),"",IF($E56&lt;InicioCiclo,"Antes del ciclo",IF($E56&gt;=InicioCiclo+28,"Después del ciclo","Semana "&amp;(INT(($E56-InicioCiclo)/7)+1)))))</f>
        <v/>
      </c>
      <c r="G56" s="67">
        <f>IF($N56="","",IF($P56&gt;0,IF(1&lt;=SemanaActual,INDEX('Cronograma R. Operacional'!$Y$5:$Y$1000,$N56),""),IF(INDEX('Cronograma R. Operacional'!$H$5:$H$1000,$N56)="","",INDEX('Cronograma R. Operacional'!$H$5:$H$1000,$N56))))</f>
        <v/>
      </c>
      <c r="H56" s="67">
        <f>IF($N56="","",IF($P56&gt;0,IF(2&lt;=SemanaActual,INDEX('Cronograma R. Operacional'!$Z$5:$Z$1000,$N56),""),IF(INDEX('Cronograma R. Operacional'!$I$5:$I$1000,$N56)="","",INDEX('Cronograma R. Operacional'!$I$5:$I$1000,$N56))))</f>
        <v/>
      </c>
      <c r="I56" s="67">
        <f>IF($N56="","",IF($P56&gt;0,IF(3&lt;=SemanaActual,INDEX('Cronograma R. Operacional'!$AA$5:$AA$1000,$N56),""),IF(INDEX('Cronograma R. Operacional'!$J$5:$J$1000,$N56)="","",INDEX('Cronograma R. Operacional'!$J$5:$J$1000,$N56))))</f>
        <v/>
      </c>
      <c r="J56" s="67">
        <f>IF($N56="","",IF($P56&gt;0,IF(4&lt;=SemanaActual,INDEX('Cronograma R. Operacional'!$AB$5:$AB$1000,$N56),""),IF(INDEX('Cronograma R. Operacional'!$K$5:$K$1000,$N56)="","",INDEX('Cronograma R. Operacional'!$K$5:$K$1000,$N56))))</f>
        <v/>
      </c>
      <c r="K56" s="67">
        <f>IF($N56="","",INDEX('Cronograma R. Operacional'!$L$5:$L$1000,$N56))</f>
        <v/>
      </c>
      <c r="L56" s="61">
        <f>IF($N56="","",IF(N($K56)&gt;=1,"Completado",IF(AND(ISNUMBER($E56),$E56&lt;FechaRef),"Vencida",IF(N($K56)&gt;0,"En curso","Pendiente"))))</f>
        <v/>
      </c>
      <c r="M56" s="70">
        <f>IF($N56="","",INDEX('Cronograma R. Operacional'!$N$5:$N$1000,$N56)&amp;"")</f>
        <v/>
      </c>
      <c r="N56">
        <f>IFERROR(MATCH(ROW()-4,rOrden_RO,0),"")</f>
        <v/>
      </c>
      <c r="O56">
        <f>IF($N56="","",INDEX('Cronograma R. Operacional'!$S$5:$S$1000,$N56))</f>
        <v/>
      </c>
      <c r="P56">
        <f>IF($N56="","",N(INDEX('Cronograma R. Operacional'!$T$5:$T$1000,$N56)))</f>
        <v/>
      </c>
    </row>
    <row r="57">
      <c r="A57" s="61">
        <f>IF($N57="","",INDEX('Cronograma R. Operacional'!$A$5:$A$1000,$N57))</f>
        <v/>
      </c>
      <c r="B57" s="70">
        <f>IF($N57="","",IF($O57="Sub","     ↳ "&amp;INDEX('Cronograma R. Operacional'!$C$5:$C$1000,$N57),INDEX('Cronograma R. Operacional'!$B$5:$B$1000,$N57)&amp;""))</f>
        <v/>
      </c>
      <c r="C57" s="70">
        <f>IF($N57="","",INDEX('Cronograma R. Operacional'!$D$5:$D$1000,$N57)&amp;"")</f>
        <v/>
      </c>
      <c r="D57" s="76">
        <f>IF($N57="","",IF(INDEX('Cronograma R. Operacional'!$E$5:$E$1000,$N57)="","",INDEX('Cronograma R. Operacional'!$E$5:$E$1000,$N57)))</f>
        <v/>
      </c>
      <c r="E57" s="76">
        <f>IF($N57="","",IF(INDEX('Cronograma R. Operacional'!$F$5:$F$1000,$N57)="","",INDEX('Cronograma R. Operacional'!$F$5:$F$1000,$N57)))</f>
        <v/>
      </c>
      <c r="F57" s="61">
        <f>IF($N57="","",IF(NOT(ISNUMBER($E57)),"",IF($E57&lt;InicioCiclo,"Antes del ciclo",IF($E57&gt;=InicioCiclo+28,"Después del ciclo","Semana "&amp;(INT(($E57-InicioCiclo)/7)+1)))))</f>
        <v/>
      </c>
      <c r="G57" s="67">
        <f>IF($N57="","",IF($P57&gt;0,IF(1&lt;=SemanaActual,INDEX('Cronograma R. Operacional'!$Y$5:$Y$1000,$N57),""),IF(INDEX('Cronograma R. Operacional'!$H$5:$H$1000,$N57)="","",INDEX('Cronograma R. Operacional'!$H$5:$H$1000,$N57))))</f>
        <v/>
      </c>
      <c r="H57" s="67">
        <f>IF($N57="","",IF($P57&gt;0,IF(2&lt;=SemanaActual,INDEX('Cronograma R. Operacional'!$Z$5:$Z$1000,$N57),""),IF(INDEX('Cronograma R. Operacional'!$I$5:$I$1000,$N57)="","",INDEX('Cronograma R. Operacional'!$I$5:$I$1000,$N57))))</f>
        <v/>
      </c>
      <c r="I57" s="67">
        <f>IF($N57="","",IF($P57&gt;0,IF(3&lt;=SemanaActual,INDEX('Cronograma R. Operacional'!$AA$5:$AA$1000,$N57),""),IF(INDEX('Cronograma R. Operacional'!$J$5:$J$1000,$N57)="","",INDEX('Cronograma R. Operacional'!$J$5:$J$1000,$N57))))</f>
        <v/>
      </c>
      <c r="J57" s="67">
        <f>IF($N57="","",IF($P57&gt;0,IF(4&lt;=SemanaActual,INDEX('Cronograma R. Operacional'!$AB$5:$AB$1000,$N57),""),IF(INDEX('Cronograma R. Operacional'!$K$5:$K$1000,$N57)="","",INDEX('Cronograma R. Operacional'!$K$5:$K$1000,$N57))))</f>
        <v/>
      </c>
      <c r="K57" s="67">
        <f>IF($N57="","",INDEX('Cronograma R. Operacional'!$L$5:$L$1000,$N57))</f>
        <v/>
      </c>
      <c r="L57" s="61">
        <f>IF($N57="","",IF(N($K57)&gt;=1,"Completado",IF(AND(ISNUMBER($E57),$E57&lt;FechaRef),"Vencida",IF(N($K57)&gt;0,"En curso","Pendiente"))))</f>
        <v/>
      </c>
      <c r="M57" s="70">
        <f>IF($N57="","",INDEX('Cronograma R. Operacional'!$N$5:$N$1000,$N57)&amp;"")</f>
        <v/>
      </c>
      <c r="N57">
        <f>IFERROR(MATCH(ROW()-4,rOrden_RO,0),"")</f>
        <v/>
      </c>
      <c r="O57">
        <f>IF($N57="","",INDEX('Cronograma R. Operacional'!$S$5:$S$1000,$N57))</f>
        <v/>
      </c>
      <c r="P57">
        <f>IF($N57="","",N(INDEX('Cronograma R. Operacional'!$T$5:$T$1000,$N57)))</f>
        <v/>
      </c>
    </row>
    <row r="58">
      <c r="A58" s="61">
        <f>IF($N58="","",INDEX('Cronograma R. Operacional'!$A$5:$A$1000,$N58))</f>
        <v/>
      </c>
      <c r="B58" s="70">
        <f>IF($N58="","",IF($O58="Sub","     ↳ "&amp;INDEX('Cronograma R. Operacional'!$C$5:$C$1000,$N58),INDEX('Cronograma R. Operacional'!$B$5:$B$1000,$N58)&amp;""))</f>
        <v/>
      </c>
      <c r="C58" s="70">
        <f>IF($N58="","",INDEX('Cronograma R. Operacional'!$D$5:$D$1000,$N58)&amp;"")</f>
        <v/>
      </c>
      <c r="D58" s="76">
        <f>IF($N58="","",IF(INDEX('Cronograma R. Operacional'!$E$5:$E$1000,$N58)="","",INDEX('Cronograma R. Operacional'!$E$5:$E$1000,$N58)))</f>
        <v/>
      </c>
      <c r="E58" s="76">
        <f>IF($N58="","",IF(INDEX('Cronograma R. Operacional'!$F$5:$F$1000,$N58)="","",INDEX('Cronograma R. Operacional'!$F$5:$F$1000,$N58)))</f>
        <v/>
      </c>
      <c r="F58" s="61">
        <f>IF($N58="","",IF(NOT(ISNUMBER($E58)),"",IF($E58&lt;InicioCiclo,"Antes del ciclo",IF($E58&gt;=InicioCiclo+28,"Después del ciclo","Semana "&amp;(INT(($E58-InicioCiclo)/7)+1)))))</f>
        <v/>
      </c>
      <c r="G58" s="67">
        <f>IF($N58="","",IF($P58&gt;0,IF(1&lt;=SemanaActual,INDEX('Cronograma R. Operacional'!$Y$5:$Y$1000,$N58),""),IF(INDEX('Cronograma R. Operacional'!$H$5:$H$1000,$N58)="","",INDEX('Cronograma R. Operacional'!$H$5:$H$1000,$N58))))</f>
        <v/>
      </c>
      <c r="H58" s="67">
        <f>IF($N58="","",IF($P58&gt;0,IF(2&lt;=SemanaActual,INDEX('Cronograma R. Operacional'!$Z$5:$Z$1000,$N58),""),IF(INDEX('Cronograma R. Operacional'!$I$5:$I$1000,$N58)="","",INDEX('Cronograma R. Operacional'!$I$5:$I$1000,$N58))))</f>
        <v/>
      </c>
      <c r="I58" s="67">
        <f>IF($N58="","",IF($P58&gt;0,IF(3&lt;=SemanaActual,INDEX('Cronograma R. Operacional'!$AA$5:$AA$1000,$N58),""),IF(INDEX('Cronograma R. Operacional'!$J$5:$J$1000,$N58)="","",INDEX('Cronograma R. Operacional'!$J$5:$J$1000,$N58))))</f>
        <v/>
      </c>
      <c r="J58" s="67">
        <f>IF($N58="","",IF($P58&gt;0,IF(4&lt;=SemanaActual,INDEX('Cronograma R. Operacional'!$AB$5:$AB$1000,$N58),""),IF(INDEX('Cronograma R. Operacional'!$K$5:$K$1000,$N58)="","",INDEX('Cronograma R. Operacional'!$K$5:$K$1000,$N58))))</f>
        <v/>
      </c>
      <c r="K58" s="67">
        <f>IF($N58="","",INDEX('Cronograma R. Operacional'!$L$5:$L$1000,$N58))</f>
        <v/>
      </c>
      <c r="L58" s="61">
        <f>IF($N58="","",IF(N($K58)&gt;=1,"Completado",IF(AND(ISNUMBER($E58),$E58&lt;FechaRef),"Vencida",IF(N($K58)&gt;0,"En curso","Pendiente"))))</f>
        <v/>
      </c>
      <c r="M58" s="70">
        <f>IF($N58="","",INDEX('Cronograma R. Operacional'!$N$5:$N$1000,$N58)&amp;"")</f>
        <v/>
      </c>
      <c r="N58">
        <f>IFERROR(MATCH(ROW()-4,rOrden_RO,0),"")</f>
        <v/>
      </c>
      <c r="O58">
        <f>IF($N58="","",INDEX('Cronograma R. Operacional'!$S$5:$S$1000,$N58))</f>
        <v/>
      </c>
      <c r="P58">
        <f>IF($N58="","",N(INDEX('Cronograma R. Operacional'!$T$5:$T$1000,$N58)))</f>
        <v/>
      </c>
    </row>
    <row r="59">
      <c r="A59" s="61">
        <f>IF($N59="","",INDEX('Cronograma R. Operacional'!$A$5:$A$1000,$N59))</f>
        <v/>
      </c>
      <c r="B59" s="70">
        <f>IF($N59="","",IF($O59="Sub","     ↳ "&amp;INDEX('Cronograma R. Operacional'!$C$5:$C$1000,$N59),INDEX('Cronograma R. Operacional'!$B$5:$B$1000,$N59)&amp;""))</f>
        <v/>
      </c>
      <c r="C59" s="70">
        <f>IF($N59="","",INDEX('Cronograma R. Operacional'!$D$5:$D$1000,$N59)&amp;"")</f>
        <v/>
      </c>
      <c r="D59" s="76">
        <f>IF($N59="","",IF(INDEX('Cronograma R. Operacional'!$E$5:$E$1000,$N59)="","",INDEX('Cronograma R. Operacional'!$E$5:$E$1000,$N59)))</f>
        <v/>
      </c>
      <c r="E59" s="76">
        <f>IF($N59="","",IF(INDEX('Cronograma R. Operacional'!$F$5:$F$1000,$N59)="","",INDEX('Cronograma R. Operacional'!$F$5:$F$1000,$N59)))</f>
        <v/>
      </c>
      <c r="F59" s="61">
        <f>IF($N59="","",IF(NOT(ISNUMBER($E59)),"",IF($E59&lt;InicioCiclo,"Antes del ciclo",IF($E59&gt;=InicioCiclo+28,"Después del ciclo","Semana "&amp;(INT(($E59-InicioCiclo)/7)+1)))))</f>
        <v/>
      </c>
      <c r="G59" s="67">
        <f>IF($N59="","",IF($P59&gt;0,IF(1&lt;=SemanaActual,INDEX('Cronograma R. Operacional'!$Y$5:$Y$1000,$N59),""),IF(INDEX('Cronograma R. Operacional'!$H$5:$H$1000,$N59)="","",INDEX('Cronograma R. Operacional'!$H$5:$H$1000,$N59))))</f>
        <v/>
      </c>
      <c r="H59" s="67">
        <f>IF($N59="","",IF($P59&gt;0,IF(2&lt;=SemanaActual,INDEX('Cronograma R. Operacional'!$Z$5:$Z$1000,$N59),""),IF(INDEX('Cronograma R. Operacional'!$I$5:$I$1000,$N59)="","",INDEX('Cronograma R. Operacional'!$I$5:$I$1000,$N59))))</f>
        <v/>
      </c>
      <c r="I59" s="67">
        <f>IF($N59="","",IF($P59&gt;0,IF(3&lt;=SemanaActual,INDEX('Cronograma R. Operacional'!$AA$5:$AA$1000,$N59),""),IF(INDEX('Cronograma R. Operacional'!$J$5:$J$1000,$N59)="","",INDEX('Cronograma R. Operacional'!$J$5:$J$1000,$N59))))</f>
        <v/>
      </c>
      <c r="J59" s="67">
        <f>IF($N59="","",IF($P59&gt;0,IF(4&lt;=SemanaActual,INDEX('Cronograma R. Operacional'!$AB$5:$AB$1000,$N59),""),IF(INDEX('Cronograma R. Operacional'!$K$5:$K$1000,$N59)="","",INDEX('Cronograma R. Operacional'!$K$5:$K$1000,$N59))))</f>
        <v/>
      </c>
      <c r="K59" s="67">
        <f>IF($N59="","",INDEX('Cronograma R. Operacional'!$L$5:$L$1000,$N59))</f>
        <v/>
      </c>
      <c r="L59" s="61">
        <f>IF($N59="","",IF(N($K59)&gt;=1,"Completado",IF(AND(ISNUMBER($E59),$E59&lt;FechaRef),"Vencida",IF(N($K59)&gt;0,"En curso","Pendiente"))))</f>
        <v/>
      </c>
      <c r="M59" s="70">
        <f>IF($N59="","",INDEX('Cronograma R. Operacional'!$N$5:$N$1000,$N59)&amp;"")</f>
        <v/>
      </c>
      <c r="N59">
        <f>IFERROR(MATCH(ROW()-4,rOrden_RO,0),"")</f>
        <v/>
      </c>
      <c r="O59">
        <f>IF($N59="","",INDEX('Cronograma R. Operacional'!$S$5:$S$1000,$N59))</f>
        <v/>
      </c>
      <c r="P59">
        <f>IF($N59="","",N(INDEX('Cronograma R. Operacional'!$T$5:$T$1000,$N59)))</f>
        <v/>
      </c>
    </row>
    <row r="60">
      <c r="A60" s="61">
        <f>IF($N60="","",INDEX('Cronograma R. Operacional'!$A$5:$A$1000,$N60))</f>
        <v/>
      </c>
      <c r="B60" s="70">
        <f>IF($N60="","",IF($O60="Sub","     ↳ "&amp;INDEX('Cronograma R. Operacional'!$C$5:$C$1000,$N60),INDEX('Cronograma R. Operacional'!$B$5:$B$1000,$N60)&amp;""))</f>
        <v/>
      </c>
      <c r="C60" s="70">
        <f>IF($N60="","",INDEX('Cronograma R. Operacional'!$D$5:$D$1000,$N60)&amp;"")</f>
        <v/>
      </c>
      <c r="D60" s="76">
        <f>IF($N60="","",IF(INDEX('Cronograma R. Operacional'!$E$5:$E$1000,$N60)="","",INDEX('Cronograma R. Operacional'!$E$5:$E$1000,$N60)))</f>
        <v/>
      </c>
      <c r="E60" s="76">
        <f>IF($N60="","",IF(INDEX('Cronograma R. Operacional'!$F$5:$F$1000,$N60)="","",INDEX('Cronograma R. Operacional'!$F$5:$F$1000,$N60)))</f>
        <v/>
      </c>
      <c r="F60" s="61">
        <f>IF($N60="","",IF(NOT(ISNUMBER($E60)),"",IF($E60&lt;InicioCiclo,"Antes del ciclo",IF($E60&gt;=InicioCiclo+28,"Después del ciclo","Semana "&amp;(INT(($E60-InicioCiclo)/7)+1)))))</f>
        <v/>
      </c>
      <c r="G60" s="67">
        <f>IF($N60="","",IF($P60&gt;0,IF(1&lt;=SemanaActual,INDEX('Cronograma R. Operacional'!$Y$5:$Y$1000,$N60),""),IF(INDEX('Cronograma R. Operacional'!$H$5:$H$1000,$N60)="","",INDEX('Cronograma R. Operacional'!$H$5:$H$1000,$N60))))</f>
        <v/>
      </c>
      <c r="H60" s="67">
        <f>IF($N60="","",IF($P60&gt;0,IF(2&lt;=SemanaActual,INDEX('Cronograma R. Operacional'!$Z$5:$Z$1000,$N60),""),IF(INDEX('Cronograma R. Operacional'!$I$5:$I$1000,$N60)="","",INDEX('Cronograma R. Operacional'!$I$5:$I$1000,$N60))))</f>
        <v/>
      </c>
      <c r="I60" s="67">
        <f>IF($N60="","",IF($P60&gt;0,IF(3&lt;=SemanaActual,INDEX('Cronograma R. Operacional'!$AA$5:$AA$1000,$N60),""),IF(INDEX('Cronograma R. Operacional'!$J$5:$J$1000,$N60)="","",INDEX('Cronograma R. Operacional'!$J$5:$J$1000,$N60))))</f>
        <v/>
      </c>
      <c r="J60" s="67">
        <f>IF($N60="","",IF($P60&gt;0,IF(4&lt;=SemanaActual,INDEX('Cronograma R. Operacional'!$AB$5:$AB$1000,$N60),""),IF(INDEX('Cronograma R. Operacional'!$K$5:$K$1000,$N60)="","",INDEX('Cronograma R. Operacional'!$K$5:$K$1000,$N60))))</f>
        <v/>
      </c>
      <c r="K60" s="67">
        <f>IF($N60="","",INDEX('Cronograma R. Operacional'!$L$5:$L$1000,$N60))</f>
        <v/>
      </c>
      <c r="L60" s="61">
        <f>IF($N60="","",IF(N($K60)&gt;=1,"Completado",IF(AND(ISNUMBER($E60),$E60&lt;FechaRef),"Vencida",IF(N($K60)&gt;0,"En curso","Pendiente"))))</f>
        <v/>
      </c>
      <c r="M60" s="70">
        <f>IF($N60="","",INDEX('Cronograma R. Operacional'!$N$5:$N$1000,$N60)&amp;"")</f>
        <v/>
      </c>
      <c r="N60">
        <f>IFERROR(MATCH(ROW()-4,rOrden_RO,0),"")</f>
        <v/>
      </c>
      <c r="O60">
        <f>IF($N60="","",INDEX('Cronograma R. Operacional'!$S$5:$S$1000,$N60))</f>
        <v/>
      </c>
      <c r="P60">
        <f>IF($N60="","",N(INDEX('Cronograma R. Operacional'!$T$5:$T$1000,$N60)))</f>
        <v/>
      </c>
    </row>
    <row r="61">
      <c r="A61" s="61">
        <f>IF($N61="","",INDEX('Cronograma R. Operacional'!$A$5:$A$1000,$N61))</f>
        <v/>
      </c>
      <c r="B61" s="70">
        <f>IF($N61="","",IF($O61="Sub","     ↳ "&amp;INDEX('Cronograma R. Operacional'!$C$5:$C$1000,$N61),INDEX('Cronograma R. Operacional'!$B$5:$B$1000,$N61)&amp;""))</f>
        <v/>
      </c>
      <c r="C61" s="70">
        <f>IF($N61="","",INDEX('Cronograma R. Operacional'!$D$5:$D$1000,$N61)&amp;"")</f>
        <v/>
      </c>
      <c r="D61" s="76">
        <f>IF($N61="","",IF(INDEX('Cronograma R. Operacional'!$E$5:$E$1000,$N61)="","",INDEX('Cronograma R. Operacional'!$E$5:$E$1000,$N61)))</f>
        <v/>
      </c>
      <c r="E61" s="76">
        <f>IF($N61="","",IF(INDEX('Cronograma R. Operacional'!$F$5:$F$1000,$N61)="","",INDEX('Cronograma R. Operacional'!$F$5:$F$1000,$N61)))</f>
        <v/>
      </c>
      <c r="F61" s="61">
        <f>IF($N61="","",IF(NOT(ISNUMBER($E61)),"",IF($E61&lt;InicioCiclo,"Antes del ciclo",IF($E61&gt;=InicioCiclo+28,"Después del ciclo","Semana "&amp;(INT(($E61-InicioCiclo)/7)+1)))))</f>
        <v/>
      </c>
      <c r="G61" s="67">
        <f>IF($N61="","",IF($P61&gt;0,IF(1&lt;=SemanaActual,INDEX('Cronograma R. Operacional'!$Y$5:$Y$1000,$N61),""),IF(INDEX('Cronograma R. Operacional'!$H$5:$H$1000,$N61)="","",INDEX('Cronograma R. Operacional'!$H$5:$H$1000,$N61))))</f>
        <v/>
      </c>
      <c r="H61" s="67">
        <f>IF($N61="","",IF($P61&gt;0,IF(2&lt;=SemanaActual,INDEX('Cronograma R. Operacional'!$Z$5:$Z$1000,$N61),""),IF(INDEX('Cronograma R. Operacional'!$I$5:$I$1000,$N61)="","",INDEX('Cronograma R. Operacional'!$I$5:$I$1000,$N61))))</f>
        <v/>
      </c>
      <c r="I61" s="67">
        <f>IF($N61="","",IF($P61&gt;0,IF(3&lt;=SemanaActual,INDEX('Cronograma R. Operacional'!$AA$5:$AA$1000,$N61),""),IF(INDEX('Cronograma R. Operacional'!$J$5:$J$1000,$N61)="","",INDEX('Cronograma R. Operacional'!$J$5:$J$1000,$N61))))</f>
        <v/>
      </c>
      <c r="J61" s="67">
        <f>IF($N61="","",IF($P61&gt;0,IF(4&lt;=SemanaActual,INDEX('Cronograma R. Operacional'!$AB$5:$AB$1000,$N61),""),IF(INDEX('Cronograma R. Operacional'!$K$5:$K$1000,$N61)="","",INDEX('Cronograma R. Operacional'!$K$5:$K$1000,$N61))))</f>
        <v/>
      </c>
      <c r="K61" s="67">
        <f>IF($N61="","",INDEX('Cronograma R. Operacional'!$L$5:$L$1000,$N61))</f>
        <v/>
      </c>
      <c r="L61" s="61">
        <f>IF($N61="","",IF(N($K61)&gt;=1,"Completado",IF(AND(ISNUMBER($E61),$E61&lt;FechaRef),"Vencida",IF(N($K61)&gt;0,"En curso","Pendiente"))))</f>
        <v/>
      </c>
      <c r="M61" s="70">
        <f>IF($N61="","",INDEX('Cronograma R. Operacional'!$N$5:$N$1000,$N61)&amp;"")</f>
        <v/>
      </c>
      <c r="N61">
        <f>IFERROR(MATCH(ROW()-4,rOrden_RO,0),"")</f>
        <v/>
      </c>
      <c r="O61">
        <f>IF($N61="","",INDEX('Cronograma R. Operacional'!$S$5:$S$1000,$N61))</f>
        <v/>
      </c>
      <c r="P61">
        <f>IF($N61="","",N(INDEX('Cronograma R. Operacional'!$T$5:$T$1000,$N61)))</f>
        <v/>
      </c>
    </row>
    <row r="62">
      <c r="A62" s="61">
        <f>IF($N62="","",INDEX('Cronograma R. Operacional'!$A$5:$A$1000,$N62))</f>
        <v/>
      </c>
      <c r="B62" s="70">
        <f>IF($N62="","",IF($O62="Sub","     ↳ "&amp;INDEX('Cronograma R. Operacional'!$C$5:$C$1000,$N62),INDEX('Cronograma R. Operacional'!$B$5:$B$1000,$N62)&amp;""))</f>
        <v/>
      </c>
      <c r="C62" s="70">
        <f>IF($N62="","",INDEX('Cronograma R. Operacional'!$D$5:$D$1000,$N62)&amp;"")</f>
        <v/>
      </c>
      <c r="D62" s="76">
        <f>IF($N62="","",IF(INDEX('Cronograma R. Operacional'!$E$5:$E$1000,$N62)="","",INDEX('Cronograma R. Operacional'!$E$5:$E$1000,$N62)))</f>
        <v/>
      </c>
      <c r="E62" s="76">
        <f>IF($N62="","",IF(INDEX('Cronograma R. Operacional'!$F$5:$F$1000,$N62)="","",INDEX('Cronograma R. Operacional'!$F$5:$F$1000,$N62)))</f>
        <v/>
      </c>
      <c r="F62" s="61">
        <f>IF($N62="","",IF(NOT(ISNUMBER($E62)),"",IF($E62&lt;InicioCiclo,"Antes del ciclo",IF($E62&gt;=InicioCiclo+28,"Después del ciclo","Semana "&amp;(INT(($E62-InicioCiclo)/7)+1)))))</f>
        <v/>
      </c>
      <c r="G62" s="67">
        <f>IF($N62="","",IF($P62&gt;0,IF(1&lt;=SemanaActual,INDEX('Cronograma R. Operacional'!$Y$5:$Y$1000,$N62),""),IF(INDEX('Cronograma R. Operacional'!$H$5:$H$1000,$N62)="","",INDEX('Cronograma R. Operacional'!$H$5:$H$1000,$N62))))</f>
        <v/>
      </c>
      <c r="H62" s="67">
        <f>IF($N62="","",IF($P62&gt;0,IF(2&lt;=SemanaActual,INDEX('Cronograma R. Operacional'!$Z$5:$Z$1000,$N62),""),IF(INDEX('Cronograma R. Operacional'!$I$5:$I$1000,$N62)="","",INDEX('Cronograma R. Operacional'!$I$5:$I$1000,$N62))))</f>
        <v/>
      </c>
      <c r="I62" s="67">
        <f>IF($N62="","",IF($P62&gt;0,IF(3&lt;=SemanaActual,INDEX('Cronograma R. Operacional'!$AA$5:$AA$1000,$N62),""),IF(INDEX('Cronograma R. Operacional'!$J$5:$J$1000,$N62)="","",INDEX('Cronograma R. Operacional'!$J$5:$J$1000,$N62))))</f>
        <v/>
      </c>
      <c r="J62" s="67">
        <f>IF($N62="","",IF($P62&gt;0,IF(4&lt;=SemanaActual,INDEX('Cronograma R. Operacional'!$AB$5:$AB$1000,$N62),""),IF(INDEX('Cronograma R. Operacional'!$K$5:$K$1000,$N62)="","",INDEX('Cronograma R. Operacional'!$K$5:$K$1000,$N62))))</f>
        <v/>
      </c>
      <c r="K62" s="67">
        <f>IF($N62="","",INDEX('Cronograma R. Operacional'!$L$5:$L$1000,$N62))</f>
        <v/>
      </c>
      <c r="L62" s="61">
        <f>IF($N62="","",IF(N($K62)&gt;=1,"Completado",IF(AND(ISNUMBER($E62),$E62&lt;FechaRef),"Vencida",IF(N($K62)&gt;0,"En curso","Pendiente"))))</f>
        <v/>
      </c>
      <c r="M62" s="70">
        <f>IF($N62="","",INDEX('Cronograma R. Operacional'!$N$5:$N$1000,$N62)&amp;"")</f>
        <v/>
      </c>
      <c r="N62">
        <f>IFERROR(MATCH(ROW()-4,rOrden_RO,0),"")</f>
        <v/>
      </c>
      <c r="O62">
        <f>IF($N62="","",INDEX('Cronograma R. Operacional'!$S$5:$S$1000,$N62))</f>
        <v/>
      </c>
      <c r="P62">
        <f>IF($N62="","",N(INDEX('Cronograma R. Operacional'!$T$5:$T$1000,$N62)))</f>
        <v/>
      </c>
    </row>
    <row r="63">
      <c r="A63" s="61">
        <f>IF($N63="","",INDEX('Cronograma R. Operacional'!$A$5:$A$1000,$N63))</f>
        <v/>
      </c>
      <c r="B63" s="70">
        <f>IF($N63="","",IF($O63="Sub","     ↳ "&amp;INDEX('Cronograma R. Operacional'!$C$5:$C$1000,$N63),INDEX('Cronograma R. Operacional'!$B$5:$B$1000,$N63)&amp;""))</f>
        <v/>
      </c>
      <c r="C63" s="70">
        <f>IF($N63="","",INDEX('Cronograma R. Operacional'!$D$5:$D$1000,$N63)&amp;"")</f>
        <v/>
      </c>
      <c r="D63" s="76">
        <f>IF($N63="","",IF(INDEX('Cronograma R. Operacional'!$E$5:$E$1000,$N63)="","",INDEX('Cronograma R. Operacional'!$E$5:$E$1000,$N63)))</f>
        <v/>
      </c>
      <c r="E63" s="76">
        <f>IF($N63="","",IF(INDEX('Cronograma R. Operacional'!$F$5:$F$1000,$N63)="","",INDEX('Cronograma R. Operacional'!$F$5:$F$1000,$N63)))</f>
        <v/>
      </c>
      <c r="F63" s="61">
        <f>IF($N63="","",IF(NOT(ISNUMBER($E63)),"",IF($E63&lt;InicioCiclo,"Antes del ciclo",IF($E63&gt;=InicioCiclo+28,"Después del ciclo","Semana "&amp;(INT(($E63-InicioCiclo)/7)+1)))))</f>
        <v/>
      </c>
      <c r="G63" s="67">
        <f>IF($N63="","",IF($P63&gt;0,IF(1&lt;=SemanaActual,INDEX('Cronograma R. Operacional'!$Y$5:$Y$1000,$N63),""),IF(INDEX('Cronograma R. Operacional'!$H$5:$H$1000,$N63)="","",INDEX('Cronograma R. Operacional'!$H$5:$H$1000,$N63))))</f>
        <v/>
      </c>
      <c r="H63" s="67">
        <f>IF($N63="","",IF($P63&gt;0,IF(2&lt;=SemanaActual,INDEX('Cronograma R. Operacional'!$Z$5:$Z$1000,$N63),""),IF(INDEX('Cronograma R. Operacional'!$I$5:$I$1000,$N63)="","",INDEX('Cronograma R. Operacional'!$I$5:$I$1000,$N63))))</f>
        <v/>
      </c>
      <c r="I63" s="67">
        <f>IF($N63="","",IF($P63&gt;0,IF(3&lt;=SemanaActual,INDEX('Cronograma R. Operacional'!$AA$5:$AA$1000,$N63),""),IF(INDEX('Cronograma R. Operacional'!$J$5:$J$1000,$N63)="","",INDEX('Cronograma R. Operacional'!$J$5:$J$1000,$N63))))</f>
        <v/>
      </c>
      <c r="J63" s="67">
        <f>IF($N63="","",IF($P63&gt;0,IF(4&lt;=SemanaActual,INDEX('Cronograma R. Operacional'!$AB$5:$AB$1000,$N63),""),IF(INDEX('Cronograma R. Operacional'!$K$5:$K$1000,$N63)="","",INDEX('Cronograma R. Operacional'!$K$5:$K$1000,$N63))))</f>
        <v/>
      </c>
      <c r="K63" s="67">
        <f>IF($N63="","",INDEX('Cronograma R. Operacional'!$L$5:$L$1000,$N63))</f>
        <v/>
      </c>
      <c r="L63" s="61">
        <f>IF($N63="","",IF(N($K63)&gt;=1,"Completado",IF(AND(ISNUMBER($E63),$E63&lt;FechaRef),"Vencida",IF(N($K63)&gt;0,"En curso","Pendiente"))))</f>
        <v/>
      </c>
      <c r="M63" s="70">
        <f>IF($N63="","",INDEX('Cronograma R. Operacional'!$N$5:$N$1000,$N63)&amp;"")</f>
        <v/>
      </c>
      <c r="N63">
        <f>IFERROR(MATCH(ROW()-4,rOrden_RO,0),"")</f>
        <v/>
      </c>
      <c r="O63">
        <f>IF($N63="","",INDEX('Cronograma R. Operacional'!$S$5:$S$1000,$N63))</f>
        <v/>
      </c>
      <c r="P63">
        <f>IF($N63="","",N(INDEX('Cronograma R. Operacional'!$T$5:$T$1000,$N63)))</f>
        <v/>
      </c>
    </row>
    <row r="64">
      <c r="A64" s="61">
        <f>IF($N64="","",INDEX('Cronograma R. Operacional'!$A$5:$A$1000,$N64))</f>
        <v/>
      </c>
      <c r="B64" s="70">
        <f>IF($N64="","",IF($O64="Sub","     ↳ "&amp;INDEX('Cronograma R. Operacional'!$C$5:$C$1000,$N64),INDEX('Cronograma R. Operacional'!$B$5:$B$1000,$N64)&amp;""))</f>
        <v/>
      </c>
      <c r="C64" s="70">
        <f>IF($N64="","",INDEX('Cronograma R. Operacional'!$D$5:$D$1000,$N64)&amp;"")</f>
        <v/>
      </c>
      <c r="D64" s="76">
        <f>IF($N64="","",IF(INDEX('Cronograma R. Operacional'!$E$5:$E$1000,$N64)="","",INDEX('Cronograma R. Operacional'!$E$5:$E$1000,$N64)))</f>
        <v/>
      </c>
      <c r="E64" s="76">
        <f>IF($N64="","",IF(INDEX('Cronograma R. Operacional'!$F$5:$F$1000,$N64)="","",INDEX('Cronograma R. Operacional'!$F$5:$F$1000,$N64)))</f>
        <v/>
      </c>
      <c r="F64" s="61">
        <f>IF($N64="","",IF(NOT(ISNUMBER($E64)),"",IF($E64&lt;InicioCiclo,"Antes del ciclo",IF($E64&gt;=InicioCiclo+28,"Después del ciclo","Semana "&amp;(INT(($E64-InicioCiclo)/7)+1)))))</f>
        <v/>
      </c>
      <c r="G64" s="67">
        <f>IF($N64="","",IF($P64&gt;0,IF(1&lt;=SemanaActual,INDEX('Cronograma R. Operacional'!$Y$5:$Y$1000,$N64),""),IF(INDEX('Cronograma R. Operacional'!$H$5:$H$1000,$N64)="","",INDEX('Cronograma R. Operacional'!$H$5:$H$1000,$N64))))</f>
        <v/>
      </c>
      <c r="H64" s="67">
        <f>IF($N64="","",IF($P64&gt;0,IF(2&lt;=SemanaActual,INDEX('Cronograma R. Operacional'!$Z$5:$Z$1000,$N64),""),IF(INDEX('Cronograma R. Operacional'!$I$5:$I$1000,$N64)="","",INDEX('Cronograma R. Operacional'!$I$5:$I$1000,$N64))))</f>
        <v/>
      </c>
      <c r="I64" s="67">
        <f>IF($N64="","",IF($P64&gt;0,IF(3&lt;=SemanaActual,INDEX('Cronograma R. Operacional'!$AA$5:$AA$1000,$N64),""),IF(INDEX('Cronograma R. Operacional'!$J$5:$J$1000,$N64)="","",INDEX('Cronograma R. Operacional'!$J$5:$J$1000,$N64))))</f>
        <v/>
      </c>
      <c r="J64" s="67">
        <f>IF($N64="","",IF($P64&gt;0,IF(4&lt;=SemanaActual,INDEX('Cronograma R. Operacional'!$AB$5:$AB$1000,$N64),""),IF(INDEX('Cronograma R. Operacional'!$K$5:$K$1000,$N64)="","",INDEX('Cronograma R. Operacional'!$K$5:$K$1000,$N64))))</f>
        <v/>
      </c>
      <c r="K64" s="67">
        <f>IF($N64="","",INDEX('Cronograma R. Operacional'!$L$5:$L$1000,$N64))</f>
        <v/>
      </c>
      <c r="L64" s="61">
        <f>IF($N64="","",IF(N($K64)&gt;=1,"Completado",IF(AND(ISNUMBER($E64),$E64&lt;FechaRef),"Vencida",IF(N($K64)&gt;0,"En curso","Pendiente"))))</f>
        <v/>
      </c>
      <c r="M64" s="70">
        <f>IF($N64="","",INDEX('Cronograma R. Operacional'!$N$5:$N$1000,$N64)&amp;"")</f>
        <v/>
      </c>
      <c r="N64">
        <f>IFERROR(MATCH(ROW()-4,rOrden_RO,0),"")</f>
        <v/>
      </c>
      <c r="O64">
        <f>IF($N64="","",INDEX('Cronograma R. Operacional'!$S$5:$S$1000,$N64))</f>
        <v/>
      </c>
      <c r="P64">
        <f>IF($N64="","",N(INDEX('Cronograma R. Operacional'!$T$5:$T$1000,$N64)))</f>
        <v/>
      </c>
    </row>
    <row r="65">
      <c r="A65" s="61">
        <f>IF($N65="","",INDEX('Cronograma R. Operacional'!$A$5:$A$1000,$N65))</f>
        <v/>
      </c>
      <c r="B65" s="70">
        <f>IF($N65="","",IF($O65="Sub","     ↳ "&amp;INDEX('Cronograma R. Operacional'!$C$5:$C$1000,$N65),INDEX('Cronograma R. Operacional'!$B$5:$B$1000,$N65)&amp;""))</f>
        <v/>
      </c>
      <c r="C65" s="70">
        <f>IF($N65="","",INDEX('Cronograma R. Operacional'!$D$5:$D$1000,$N65)&amp;"")</f>
        <v/>
      </c>
      <c r="D65" s="76">
        <f>IF($N65="","",IF(INDEX('Cronograma R. Operacional'!$E$5:$E$1000,$N65)="","",INDEX('Cronograma R. Operacional'!$E$5:$E$1000,$N65)))</f>
        <v/>
      </c>
      <c r="E65" s="76">
        <f>IF($N65="","",IF(INDEX('Cronograma R. Operacional'!$F$5:$F$1000,$N65)="","",INDEX('Cronograma R. Operacional'!$F$5:$F$1000,$N65)))</f>
        <v/>
      </c>
      <c r="F65" s="61">
        <f>IF($N65="","",IF(NOT(ISNUMBER($E65)),"",IF($E65&lt;InicioCiclo,"Antes del ciclo",IF($E65&gt;=InicioCiclo+28,"Después del ciclo","Semana "&amp;(INT(($E65-InicioCiclo)/7)+1)))))</f>
        <v/>
      </c>
      <c r="G65" s="67">
        <f>IF($N65="","",IF($P65&gt;0,IF(1&lt;=SemanaActual,INDEX('Cronograma R. Operacional'!$Y$5:$Y$1000,$N65),""),IF(INDEX('Cronograma R. Operacional'!$H$5:$H$1000,$N65)="","",INDEX('Cronograma R. Operacional'!$H$5:$H$1000,$N65))))</f>
        <v/>
      </c>
      <c r="H65" s="67">
        <f>IF($N65="","",IF($P65&gt;0,IF(2&lt;=SemanaActual,INDEX('Cronograma R. Operacional'!$Z$5:$Z$1000,$N65),""),IF(INDEX('Cronograma R. Operacional'!$I$5:$I$1000,$N65)="","",INDEX('Cronograma R. Operacional'!$I$5:$I$1000,$N65))))</f>
        <v/>
      </c>
      <c r="I65" s="67">
        <f>IF($N65="","",IF($P65&gt;0,IF(3&lt;=SemanaActual,INDEX('Cronograma R. Operacional'!$AA$5:$AA$1000,$N65),""),IF(INDEX('Cronograma R. Operacional'!$J$5:$J$1000,$N65)="","",INDEX('Cronograma R. Operacional'!$J$5:$J$1000,$N65))))</f>
        <v/>
      </c>
      <c r="J65" s="67">
        <f>IF($N65="","",IF($P65&gt;0,IF(4&lt;=SemanaActual,INDEX('Cronograma R. Operacional'!$AB$5:$AB$1000,$N65),""),IF(INDEX('Cronograma R. Operacional'!$K$5:$K$1000,$N65)="","",INDEX('Cronograma R. Operacional'!$K$5:$K$1000,$N65))))</f>
        <v/>
      </c>
      <c r="K65" s="67">
        <f>IF($N65="","",INDEX('Cronograma R. Operacional'!$L$5:$L$1000,$N65))</f>
        <v/>
      </c>
      <c r="L65" s="61">
        <f>IF($N65="","",IF(N($K65)&gt;=1,"Completado",IF(AND(ISNUMBER($E65),$E65&lt;FechaRef),"Vencida",IF(N($K65)&gt;0,"En curso","Pendiente"))))</f>
        <v/>
      </c>
      <c r="M65" s="70">
        <f>IF($N65="","",INDEX('Cronograma R. Operacional'!$N$5:$N$1000,$N65)&amp;"")</f>
        <v/>
      </c>
      <c r="N65">
        <f>IFERROR(MATCH(ROW()-4,rOrden_RO,0),"")</f>
        <v/>
      </c>
      <c r="O65">
        <f>IF($N65="","",INDEX('Cronograma R. Operacional'!$S$5:$S$1000,$N65))</f>
        <v/>
      </c>
      <c r="P65">
        <f>IF($N65="","",N(INDEX('Cronograma R. Operacional'!$T$5:$T$1000,$N65)))</f>
        <v/>
      </c>
    </row>
    <row r="66">
      <c r="A66" s="61">
        <f>IF($N66="","",INDEX('Cronograma R. Operacional'!$A$5:$A$1000,$N66))</f>
        <v/>
      </c>
      <c r="B66" s="70">
        <f>IF($N66="","",IF($O66="Sub","     ↳ "&amp;INDEX('Cronograma R. Operacional'!$C$5:$C$1000,$N66),INDEX('Cronograma R. Operacional'!$B$5:$B$1000,$N66)&amp;""))</f>
        <v/>
      </c>
      <c r="C66" s="70">
        <f>IF($N66="","",INDEX('Cronograma R. Operacional'!$D$5:$D$1000,$N66)&amp;"")</f>
        <v/>
      </c>
      <c r="D66" s="76">
        <f>IF($N66="","",IF(INDEX('Cronograma R. Operacional'!$E$5:$E$1000,$N66)="","",INDEX('Cronograma R. Operacional'!$E$5:$E$1000,$N66)))</f>
        <v/>
      </c>
      <c r="E66" s="76">
        <f>IF($N66="","",IF(INDEX('Cronograma R. Operacional'!$F$5:$F$1000,$N66)="","",INDEX('Cronograma R. Operacional'!$F$5:$F$1000,$N66)))</f>
        <v/>
      </c>
      <c r="F66" s="61">
        <f>IF($N66="","",IF(NOT(ISNUMBER($E66)),"",IF($E66&lt;InicioCiclo,"Antes del ciclo",IF($E66&gt;=InicioCiclo+28,"Después del ciclo","Semana "&amp;(INT(($E66-InicioCiclo)/7)+1)))))</f>
        <v/>
      </c>
      <c r="G66" s="67">
        <f>IF($N66="","",IF($P66&gt;0,IF(1&lt;=SemanaActual,INDEX('Cronograma R. Operacional'!$Y$5:$Y$1000,$N66),""),IF(INDEX('Cronograma R. Operacional'!$H$5:$H$1000,$N66)="","",INDEX('Cronograma R. Operacional'!$H$5:$H$1000,$N66))))</f>
        <v/>
      </c>
      <c r="H66" s="67">
        <f>IF($N66="","",IF($P66&gt;0,IF(2&lt;=SemanaActual,INDEX('Cronograma R. Operacional'!$Z$5:$Z$1000,$N66),""),IF(INDEX('Cronograma R. Operacional'!$I$5:$I$1000,$N66)="","",INDEX('Cronograma R. Operacional'!$I$5:$I$1000,$N66))))</f>
        <v/>
      </c>
      <c r="I66" s="67">
        <f>IF($N66="","",IF($P66&gt;0,IF(3&lt;=SemanaActual,INDEX('Cronograma R. Operacional'!$AA$5:$AA$1000,$N66),""),IF(INDEX('Cronograma R. Operacional'!$J$5:$J$1000,$N66)="","",INDEX('Cronograma R. Operacional'!$J$5:$J$1000,$N66))))</f>
        <v/>
      </c>
      <c r="J66" s="67">
        <f>IF($N66="","",IF($P66&gt;0,IF(4&lt;=SemanaActual,INDEX('Cronograma R. Operacional'!$AB$5:$AB$1000,$N66),""),IF(INDEX('Cronograma R. Operacional'!$K$5:$K$1000,$N66)="","",INDEX('Cronograma R. Operacional'!$K$5:$K$1000,$N66))))</f>
        <v/>
      </c>
      <c r="K66" s="67">
        <f>IF($N66="","",INDEX('Cronograma R. Operacional'!$L$5:$L$1000,$N66))</f>
        <v/>
      </c>
      <c r="L66" s="61">
        <f>IF($N66="","",IF(N($K66)&gt;=1,"Completado",IF(AND(ISNUMBER($E66),$E66&lt;FechaRef),"Vencida",IF(N($K66)&gt;0,"En curso","Pendiente"))))</f>
        <v/>
      </c>
      <c r="M66" s="70">
        <f>IF($N66="","",INDEX('Cronograma R. Operacional'!$N$5:$N$1000,$N66)&amp;"")</f>
        <v/>
      </c>
      <c r="N66">
        <f>IFERROR(MATCH(ROW()-4,rOrden_RO,0),"")</f>
        <v/>
      </c>
      <c r="O66">
        <f>IF($N66="","",INDEX('Cronograma R. Operacional'!$S$5:$S$1000,$N66))</f>
        <v/>
      </c>
      <c r="P66">
        <f>IF($N66="","",N(INDEX('Cronograma R. Operacional'!$T$5:$T$1000,$N66)))</f>
        <v/>
      </c>
    </row>
    <row r="67">
      <c r="A67" s="61">
        <f>IF($N67="","",INDEX('Cronograma R. Operacional'!$A$5:$A$1000,$N67))</f>
        <v/>
      </c>
      <c r="B67" s="70">
        <f>IF($N67="","",IF($O67="Sub","     ↳ "&amp;INDEX('Cronograma R. Operacional'!$C$5:$C$1000,$N67),INDEX('Cronograma R. Operacional'!$B$5:$B$1000,$N67)&amp;""))</f>
        <v/>
      </c>
      <c r="C67" s="70">
        <f>IF($N67="","",INDEX('Cronograma R. Operacional'!$D$5:$D$1000,$N67)&amp;"")</f>
        <v/>
      </c>
      <c r="D67" s="76">
        <f>IF($N67="","",IF(INDEX('Cronograma R. Operacional'!$E$5:$E$1000,$N67)="","",INDEX('Cronograma R. Operacional'!$E$5:$E$1000,$N67)))</f>
        <v/>
      </c>
      <c r="E67" s="76">
        <f>IF($N67="","",IF(INDEX('Cronograma R. Operacional'!$F$5:$F$1000,$N67)="","",INDEX('Cronograma R. Operacional'!$F$5:$F$1000,$N67)))</f>
        <v/>
      </c>
      <c r="F67" s="61">
        <f>IF($N67="","",IF(NOT(ISNUMBER($E67)),"",IF($E67&lt;InicioCiclo,"Antes del ciclo",IF($E67&gt;=InicioCiclo+28,"Después del ciclo","Semana "&amp;(INT(($E67-InicioCiclo)/7)+1)))))</f>
        <v/>
      </c>
      <c r="G67" s="67">
        <f>IF($N67="","",IF($P67&gt;0,IF(1&lt;=SemanaActual,INDEX('Cronograma R. Operacional'!$Y$5:$Y$1000,$N67),""),IF(INDEX('Cronograma R. Operacional'!$H$5:$H$1000,$N67)="","",INDEX('Cronograma R. Operacional'!$H$5:$H$1000,$N67))))</f>
        <v/>
      </c>
      <c r="H67" s="67">
        <f>IF($N67="","",IF($P67&gt;0,IF(2&lt;=SemanaActual,INDEX('Cronograma R. Operacional'!$Z$5:$Z$1000,$N67),""),IF(INDEX('Cronograma R. Operacional'!$I$5:$I$1000,$N67)="","",INDEX('Cronograma R. Operacional'!$I$5:$I$1000,$N67))))</f>
        <v/>
      </c>
      <c r="I67" s="67">
        <f>IF($N67="","",IF($P67&gt;0,IF(3&lt;=SemanaActual,INDEX('Cronograma R. Operacional'!$AA$5:$AA$1000,$N67),""),IF(INDEX('Cronograma R. Operacional'!$J$5:$J$1000,$N67)="","",INDEX('Cronograma R. Operacional'!$J$5:$J$1000,$N67))))</f>
        <v/>
      </c>
      <c r="J67" s="67">
        <f>IF($N67="","",IF($P67&gt;0,IF(4&lt;=SemanaActual,INDEX('Cronograma R. Operacional'!$AB$5:$AB$1000,$N67),""),IF(INDEX('Cronograma R. Operacional'!$K$5:$K$1000,$N67)="","",INDEX('Cronograma R. Operacional'!$K$5:$K$1000,$N67))))</f>
        <v/>
      </c>
      <c r="K67" s="67">
        <f>IF($N67="","",INDEX('Cronograma R. Operacional'!$L$5:$L$1000,$N67))</f>
        <v/>
      </c>
      <c r="L67" s="61">
        <f>IF($N67="","",IF(N($K67)&gt;=1,"Completado",IF(AND(ISNUMBER($E67),$E67&lt;FechaRef),"Vencida",IF(N($K67)&gt;0,"En curso","Pendiente"))))</f>
        <v/>
      </c>
      <c r="M67" s="70">
        <f>IF($N67="","",INDEX('Cronograma R. Operacional'!$N$5:$N$1000,$N67)&amp;"")</f>
        <v/>
      </c>
      <c r="N67">
        <f>IFERROR(MATCH(ROW()-4,rOrden_RO,0),"")</f>
        <v/>
      </c>
      <c r="O67">
        <f>IF($N67="","",INDEX('Cronograma R. Operacional'!$S$5:$S$1000,$N67))</f>
        <v/>
      </c>
      <c r="P67">
        <f>IF($N67="","",N(INDEX('Cronograma R. Operacional'!$T$5:$T$1000,$N67)))</f>
        <v/>
      </c>
    </row>
    <row r="68">
      <c r="A68" s="61">
        <f>IF($N68="","",INDEX('Cronograma R. Operacional'!$A$5:$A$1000,$N68))</f>
        <v/>
      </c>
      <c r="B68" s="70">
        <f>IF($N68="","",IF($O68="Sub","     ↳ "&amp;INDEX('Cronograma R. Operacional'!$C$5:$C$1000,$N68),INDEX('Cronograma R. Operacional'!$B$5:$B$1000,$N68)&amp;""))</f>
        <v/>
      </c>
      <c r="C68" s="70">
        <f>IF($N68="","",INDEX('Cronograma R. Operacional'!$D$5:$D$1000,$N68)&amp;"")</f>
        <v/>
      </c>
      <c r="D68" s="76">
        <f>IF($N68="","",IF(INDEX('Cronograma R. Operacional'!$E$5:$E$1000,$N68)="","",INDEX('Cronograma R. Operacional'!$E$5:$E$1000,$N68)))</f>
        <v/>
      </c>
      <c r="E68" s="76">
        <f>IF($N68="","",IF(INDEX('Cronograma R. Operacional'!$F$5:$F$1000,$N68)="","",INDEX('Cronograma R. Operacional'!$F$5:$F$1000,$N68)))</f>
        <v/>
      </c>
      <c r="F68" s="61">
        <f>IF($N68="","",IF(NOT(ISNUMBER($E68)),"",IF($E68&lt;InicioCiclo,"Antes del ciclo",IF($E68&gt;=InicioCiclo+28,"Después del ciclo","Semana "&amp;(INT(($E68-InicioCiclo)/7)+1)))))</f>
        <v/>
      </c>
      <c r="G68" s="67">
        <f>IF($N68="","",IF($P68&gt;0,IF(1&lt;=SemanaActual,INDEX('Cronograma R. Operacional'!$Y$5:$Y$1000,$N68),""),IF(INDEX('Cronograma R. Operacional'!$H$5:$H$1000,$N68)="","",INDEX('Cronograma R. Operacional'!$H$5:$H$1000,$N68))))</f>
        <v/>
      </c>
      <c r="H68" s="67">
        <f>IF($N68="","",IF($P68&gt;0,IF(2&lt;=SemanaActual,INDEX('Cronograma R. Operacional'!$Z$5:$Z$1000,$N68),""),IF(INDEX('Cronograma R. Operacional'!$I$5:$I$1000,$N68)="","",INDEX('Cronograma R. Operacional'!$I$5:$I$1000,$N68))))</f>
        <v/>
      </c>
      <c r="I68" s="67">
        <f>IF($N68="","",IF($P68&gt;0,IF(3&lt;=SemanaActual,INDEX('Cronograma R. Operacional'!$AA$5:$AA$1000,$N68),""),IF(INDEX('Cronograma R. Operacional'!$J$5:$J$1000,$N68)="","",INDEX('Cronograma R. Operacional'!$J$5:$J$1000,$N68))))</f>
        <v/>
      </c>
      <c r="J68" s="67">
        <f>IF($N68="","",IF($P68&gt;0,IF(4&lt;=SemanaActual,INDEX('Cronograma R. Operacional'!$AB$5:$AB$1000,$N68),""),IF(INDEX('Cronograma R. Operacional'!$K$5:$K$1000,$N68)="","",INDEX('Cronograma R. Operacional'!$K$5:$K$1000,$N68))))</f>
        <v/>
      </c>
      <c r="K68" s="67">
        <f>IF($N68="","",INDEX('Cronograma R. Operacional'!$L$5:$L$1000,$N68))</f>
        <v/>
      </c>
      <c r="L68" s="61">
        <f>IF($N68="","",IF(N($K68)&gt;=1,"Completado",IF(AND(ISNUMBER($E68),$E68&lt;FechaRef),"Vencida",IF(N($K68)&gt;0,"En curso","Pendiente"))))</f>
        <v/>
      </c>
      <c r="M68" s="70">
        <f>IF($N68="","",INDEX('Cronograma R. Operacional'!$N$5:$N$1000,$N68)&amp;"")</f>
        <v/>
      </c>
      <c r="N68">
        <f>IFERROR(MATCH(ROW()-4,rOrden_RO,0),"")</f>
        <v/>
      </c>
      <c r="O68">
        <f>IF($N68="","",INDEX('Cronograma R. Operacional'!$S$5:$S$1000,$N68))</f>
        <v/>
      </c>
      <c r="P68">
        <f>IF($N68="","",N(INDEX('Cronograma R. Operacional'!$T$5:$T$1000,$N68)))</f>
        <v/>
      </c>
    </row>
    <row r="69">
      <c r="A69" s="61">
        <f>IF($N69="","",INDEX('Cronograma R. Operacional'!$A$5:$A$1000,$N69))</f>
        <v/>
      </c>
      <c r="B69" s="70">
        <f>IF($N69="","",IF($O69="Sub","     ↳ "&amp;INDEX('Cronograma R. Operacional'!$C$5:$C$1000,$N69),INDEX('Cronograma R. Operacional'!$B$5:$B$1000,$N69)&amp;""))</f>
        <v/>
      </c>
      <c r="C69" s="70">
        <f>IF($N69="","",INDEX('Cronograma R. Operacional'!$D$5:$D$1000,$N69)&amp;"")</f>
        <v/>
      </c>
      <c r="D69" s="76">
        <f>IF($N69="","",IF(INDEX('Cronograma R. Operacional'!$E$5:$E$1000,$N69)="","",INDEX('Cronograma R. Operacional'!$E$5:$E$1000,$N69)))</f>
        <v/>
      </c>
      <c r="E69" s="76">
        <f>IF($N69="","",IF(INDEX('Cronograma R. Operacional'!$F$5:$F$1000,$N69)="","",INDEX('Cronograma R. Operacional'!$F$5:$F$1000,$N69)))</f>
        <v/>
      </c>
      <c r="F69" s="61">
        <f>IF($N69="","",IF(NOT(ISNUMBER($E69)),"",IF($E69&lt;InicioCiclo,"Antes del ciclo",IF($E69&gt;=InicioCiclo+28,"Después del ciclo","Semana "&amp;(INT(($E69-InicioCiclo)/7)+1)))))</f>
        <v/>
      </c>
      <c r="G69" s="67">
        <f>IF($N69="","",IF($P69&gt;0,IF(1&lt;=SemanaActual,INDEX('Cronograma R. Operacional'!$Y$5:$Y$1000,$N69),""),IF(INDEX('Cronograma R. Operacional'!$H$5:$H$1000,$N69)="","",INDEX('Cronograma R. Operacional'!$H$5:$H$1000,$N69))))</f>
        <v/>
      </c>
      <c r="H69" s="67">
        <f>IF($N69="","",IF($P69&gt;0,IF(2&lt;=SemanaActual,INDEX('Cronograma R. Operacional'!$Z$5:$Z$1000,$N69),""),IF(INDEX('Cronograma R. Operacional'!$I$5:$I$1000,$N69)="","",INDEX('Cronograma R. Operacional'!$I$5:$I$1000,$N69))))</f>
        <v/>
      </c>
      <c r="I69" s="67">
        <f>IF($N69="","",IF($P69&gt;0,IF(3&lt;=SemanaActual,INDEX('Cronograma R. Operacional'!$AA$5:$AA$1000,$N69),""),IF(INDEX('Cronograma R. Operacional'!$J$5:$J$1000,$N69)="","",INDEX('Cronograma R. Operacional'!$J$5:$J$1000,$N69))))</f>
        <v/>
      </c>
      <c r="J69" s="67">
        <f>IF($N69="","",IF($P69&gt;0,IF(4&lt;=SemanaActual,INDEX('Cronograma R. Operacional'!$AB$5:$AB$1000,$N69),""),IF(INDEX('Cronograma R. Operacional'!$K$5:$K$1000,$N69)="","",INDEX('Cronograma R. Operacional'!$K$5:$K$1000,$N69))))</f>
        <v/>
      </c>
      <c r="K69" s="67">
        <f>IF($N69="","",INDEX('Cronograma R. Operacional'!$L$5:$L$1000,$N69))</f>
        <v/>
      </c>
      <c r="L69" s="61">
        <f>IF($N69="","",IF(N($K69)&gt;=1,"Completado",IF(AND(ISNUMBER($E69),$E69&lt;FechaRef),"Vencida",IF(N($K69)&gt;0,"En curso","Pendiente"))))</f>
        <v/>
      </c>
      <c r="M69" s="70">
        <f>IF($N69="","",INDEX('Cronograma R. Operacional'!$N$5:$N$1000,$N69)&amp;"")</f>
        <v/>
      </c>
      <c r="N69">
        <f>IFERROR(MATCH(ROW()-4,rOrden_RO,0),"")</f>
        <v/>
      </c>
      <c r="O69">
        <f>IF($N69="","",INDEX('Cronograma R. Operacional'!$S$5:$S$1000,$N69))</f>
        <v/>
      </c>
      <c r="P69">
        <f>IF($N69="","",N(INDEX('Cronograma R. Operacional'!$T$5:$T$1000,$N69)))</f>
        <v/>
      </c>
    </row>
    <row r="70">
      <c r="A70" s="61">
        <f>IF($N70="","",INDEX('Cronograma R. Operacional'!$A$5:$A$1000,$N70))</f>
        <v/>
      </c>
      <c r="B70" s="70">
        <f>IF($N70="","",IF($O70="Sub","     ↳ "&amp;INDEX('Cronograma R. Operacional'!$C$5:$C$1000,$N70),INDEX('Cronograma R. Operacional'!$B$5:$B$1000,$N70)&amp;""))</f>
        <v/>
      </c>
      <c r="C70" s="70">
        <f>IF($N70="","",INDEX('Cronograma R. Operacional'!$D$5:$D$1000,$N70)&amp;"")</f>
        <v/>
      </c>
      <c r="D70" s="76">
        <f>IF($N70="","",IF(INDEX('Cronograma R. Operacional'!$E$5:$E$1000,$N70)="","",INDEX('Cronograma R. Operacional'!$E$5:$E$1000,$N70)))</f>
        <v/>
      </c>
      <c r="E70" s="76">
        <f>IF($N70="","",IF(INDEX('Cronograma R. Operacional'!$F$5:$F$1000,$N70)="","",INDEX('Cronograma R. Operacional'!$F$5:$F$1000,$N70)))</f>
        <v/>
      </c>
      <c r="F70" s="61">
        <f>IF($N70="","",IF(NOT(ISNUMBER($E70)),"",IF($E70&lt;InicioCiclo,"Antes del ciclo",IF($E70&gt;=InicioCiclo+28,"Después del ciclo","Semana "&amp;(INT(($E70-InicioCiclo)/7)+1)))))</f>
        <v/>
      </c>
      <c r="G70" s="67">
        <f>IF($N70="","",IF($P70&gt;0,IF(1&lt;=SemanaActual,INDEX('Cronograma R. Operacional'!$Y$5:$Y$1000,$N70),""),IF(INDEX('Cronograma R. Operacional'!$H$5:$H$1000,$N70)="","",INDEX('Cronograma R. Operacional'!$H$5:$H$1000,$N70))))</f>
        <v/>
      </c>
      <c r="H70" s="67">
        <f>IF($N70="","",IF($P70&gt;0,IF(2&lt;=SemanaActual,INDEX('Cronograma R. Operacional'!$Z$5:$Z$1000,$N70),""),IF(INDEX('Cronograma R. Operacional'!$I$5:$I$1000,$N70)="","",INDEX('Cronograma R. Operacional'!$I$5:$I$1000,$N70))))</f>
        <v/>
      </c>
      <c r="I70" s="67">
        <f>IF($N70="","",IF($P70&gt;0,IF(3&lt;=SemanaActual,INDEX('Cronograma R. Operacional'!$AA$5:$AA$1000,$N70),""),IF(INDEX('Cronograma R. Operacional'!$J$5:$J$1000,$N70)="","",INDEX('Cronograma R. Operacional'!$J$5:$J$1000,$N70))))</f>
        <v/>
      </c>
      <c r="J70" s="67">
        <f>IF($N70="","",IF($P70&gt;0,IF(4&lt;=SemanaActual,INDEX('Cronograma R. Operacional'!$AB$5:$AB$1000,$N70),""),IF(INDEX('Cronograma R. Operacional'!$K$5:$K$1000,$N70)="","",INDEX('Cronograma R. Operacional'!$K$5:$K$1000,$N70))))</f>
        <v/>
      </c>
      <c r="K70" s="67">
        <f>IF($N70="","",INDEX('Cronograma R. Operacional'!$L$5:$L$1000,$N70))</f>
        <v/>
      </c>
      <c r="L70" s="61">
        <f>IF($N70="","",IF(N($K70)&gt;=1,"Completado",IF(AND(ISNUMBER($E70),$E70&lt;FechaRef),"Vencida",IF(N($K70)&gt;0,"En curso","Pendiente"))))</f>
        <v/>
      </c>
      <c r="M70" s="70">
        <f>IF($N70="","",INDEX('Cronograma R. Operacional'!$N$5:$N$1000,$N70)&amp;"")</f>
        <v/>
      </c>
      <c r="N70">
        <f>IFERROR(MATCH(ROW()-4,rOrden_RO,0),"")</f>
        <v/>
      </c>
      <c r="O70">
        <f>IF($N70="","",INDEX('Cronograma R. Operacional'!$S$5:$S$1000,$N70))</f>
        <v/>
      </c>
      <c r="P70">
        <f>IF($N70="","",N(INDEX('Cronograma R. Operacional'!$T$5:$T$1000,$N70)))</f>
        <v/>
      </c>
    </row>
    <row r="71">
      <c r="A71" s="61">
        <f>IF($N71="","",INDEX('Cronograma R. Operacional'!$A$5:$A$1000,$N71))</f>
        <v/>
      </c>
      <c r="B71" s="70">
        <f>IF($N71="","",IF($O71="Sub","     ↳ "&amp;INDEX('Cronograma R. Operacional'!$C$5:$C$1000,$N71),INDEX('Cronograma R. Operacional'!$B$5:$B$1000,$N71)&amp;""))</f>
        <v/>
      </c>
      <c r="C71" s="70">
        <f>IF($N71="","",INDEX('Cronograma R. Operacional'!$D$5:$D$1000,$N71)&amp;"")</f>
        <v/>
      </c>
      <c r="D71" s="76">
        <f>IF($N71="","",IF(INDEX('Cronograma R. Operacional'!$E$5:$E$1000,$N71)="","",INDEX('Cronograma R. Operacional'!$E$5:$E$1000,$N71)))</f>
        <v/>
      </c>
      <c r="E71" s="76">
        <f>IF($N71="","",IF(INDEX('Cronograma R. Operacional'!$F$5:$F$1000,$N71)="","",INDEX('Cronograma R. Operacional'!$F$5:$F$1000,$N71)))</f>
        <v/>
      </c>
      <c r="F71" s="61">
        <f>IF($N71="","",IF(NOT(ISNUMBER($E71)),"",IF($E71&lt;InicioCiclo,"Antes del ciclo",IF($E71&gt;=InicioCiclo+28,"Después del ciclo","Semana "&amp;(INT(($E71-InicioCiclo)/7)+1)))))</f>
        <v/>
      </c>
      <c r="G71" s="67">
        <f>IF($N71="","",IF($P71&gt;0,IF(1&lt;=SemanaActual,INDEX('Cronograma R. Operacional'!$Y$5:$Y$1000,$N71),""),IF(INDEX('Cronograma R. Operacional'!$H$5:$H$1000,$N71)="","",INDEX('Cronograma R. Operacional'!$H$5:$H$1000,$N71))))</f>
        <v/>
      </c>
      <c r="H71" s="67">
        <f>IF($N71="","",IF($P71&gt;0,IF(2&lt;=SemanaActual,INDEX('Cronograma R. Operacional'!$Z$5:$Z$1000,$N71),""),IF(INDEX('Cronograma R. Operacional'!$I$5:$I$1000,$N71)="","",INDEX('Cronograma R. Operacional'!$I$5:$I$1000,$N71))))</f>
        <v/>
      </c>
      <c r="I71" s="67">
        <f>IF($N71="","",IF($P71&gt;0,IF(3&lt;=SemanaActual,INDEX('Cronograma R. Operacional'!$AA$5:$AA$1000,$N71),""),IF(INDEX('Cronograma R. Operacional'!$J$5:$J$1000,$N71)="","",INDEX('Cronograma R. Operacional'!$J$5:$J$1000,$N71))))</f>
        <v/>
      </c>
      <c r="J71" s="67">
        <f>IF($N71="","",IF($P71&gt;0,IF(4&lt;=SemanaActual,INDEX('Cronograma R. Operacional'!$AB$5:$AB$1000,$N71),""),IF(INDEX('Cronograma R. Operacional'!$K$5:$K$1000,$N71)="","",INDEX('Cronograma R. Operacional'!$K$5:$K$1000,$N71))))</f>
        <v/>
      </c>
      <c r="K71" s="67">
        <f>IF($N71="","",INDEX('Cronograma R. Operacional'!$L$5:$L$1000,$N71))</f>
        <v/>
      </c>
      <c r="L71" s="61">
        <f>IF($N71="","",IF(N($K71)&gt;=1,"Completado",IF(AND(ISNUMBER($E71),$E71&lt;FechaRef),"Vencida",IF(N($K71)&gt;0,"En curso","Pendiente"))))</f>
        <v/>
      </c>
      <c r="M71" s="70">
        <f>IF($N71="","",INDEX('Cronograma R. Operacional'!$N$5:$N$1000,$N71)&amp;"")</f>
        <v/>
      </c>
      <c r="N71">
        <f>IFERROR(MATCH(ROW()-4,rOrden_RO,0),"")</f>
        <v/>
      </c>
      <c r="O71">
        <f>IF($N71="","",INDEX('Cronograma R. Operacional'!$S$5:$S$1000,$N71))</f>
        <v/>
      </c>
      <c r="P71">
        <f>IF($N71="","",N(INDEX('Cronograma R. Operacional'!$T$5:$T$1000,$N71)))</f>
        <v/>
      </c>
    </row>
    <row r="72">
      <c r="A72" s="61">
        <f>IF($N72="","",INDEX('Cronograma R. Operacional'!$A$5:$A$1000,$N72))</f>
        <v/>
      </c>
      <c r="B72" s="70">
        <f>IF($N72="","",IF($O72="Sub","     ↳ "&amp;INDEX('Cronograma R. Operacional'!$C$5:$C$1000,$N72),INDEX('Cronograma R. Operacional'!$B$5:$B$1000,$N72)&amp;""))</f>
        <v/>
      </c>
      <c r="C72" s="70">
        <f>IF($N72="","",INDEX('Cronograma R. Operacional'!$D$5:$D$1000,$N72)&amp;"")</f>
        <v/>
      </c>
      <c r="D72" s="76">
        <f>IF($N72="","",IF(INDEX('Cronograma R. Operacional'!$E$5:$E$1000,$N72)="","",INDEX('Cronograma R. Operacional'!$E$5:$E$1000,$N72)))</f>
        <v/>
      </c>
      <c r="E72" s="76">
        <f>IF($N72="","",IF(INDEX('Cronograma R. Operacional'!$F$5:$F$1000,$N72)="","",INDEX('Cronograma R. Operacional'!$F$5:$F$1000,$N72)))</f>
        <v/>
      </c>
      <c r="F72" s="61">
        <f>IF($N72="","",IF(NOT(ISNUMBER($E72)),"",IF($E72&lt;InicioCiclo,"Antes del ciclo",IF($E72&gt;=InicioCiclo+28,"Después del ciclo","Semana "&amp;(INT(($E72-InicioCiclo)/7)+1)))))</f>
        <v/>
      </c>
      <c r="G72" s="67">
        <f>IF($N72="","",IF($P72&gt;0,IF(1&lt;=SemanaActual,INDEX('Cronograma R. Operacional'!$Y$5:$Y$1000,$N72),""),IF(INDEX('Cronograma R. Operacional'!$H$5:$H$1000,$N72)="","",INDEX('Cronograma R. Operacional'!$H$5:$H$1000,$N72))))</f>
        <v/>
      </c>
      <c r="H72" s="67">
        <f>IF($N72="","",IF($P72&gt;0,IF(2&lt;=SemanaActual,INDEX('Cronograma R. Operacional'!$Z$5:$Z$1000,$N72),""),IF(INDEX('Cronograma R. Operacional'!$I$5:$I$1000,$N72)="","",INDEX('Cronograma R. Operacional'!$I$5:$I$1000,$N72))))</f>
        <v/>
      </c>
      <c r="I72" s="67">
        <f>IF($N72="","",IF($P72&gt;0,IF(3&lt;=SemanaActual,INDEX('Cronograma R. Operacional'!$AA$5:$AA$1000,$N72),""),IF(INDEX('Cronograma R. Operacional'!$J$5:$J$1000,$N72)="","",INDEX('Cronograma R. Operacional'!$J$5:$J$1000,$N72))))</f>
        <v/>
      </c>
      <c r="J72" s="67">
        <f>IF($N72="","",IF($P72&gt;0,IF(4&lt;=SemanaActual,INDEX('Cronograma R. Operacional'!$AB$5:$AB$1000,$N72),""),IF(INDEX('Cronograma R. Operacional'!$K$5:$K$1000,$N72)="","",INDEX('Cronograma R. Operacional'!$K$5:$K$1000,$N72))))</f>
        <v/>
      </c>
      <c r="K72" s="67">
        <f>IF($N72="","",INDEX('Cronograma R. Operacional'!$L$5:$L$1000,$N72))</f>
        <v/>
      </c>
      <c r="L72" s="61">
        <f>IF($N72="","",IF(N($K72)&gt;=1,"Completado",IF(AND(ISNUMBER($E72),$E72&lt;FechaRef),"Vencida",IF(N($K72)&gt;0,"En curso","Pendiente"))))</f>
        <v/>
      </c>
      <c r="M72" s="70">
        <f>IF($N72="","",INDEX('Cronograma R. Operacional'!$N$5:$N$1000,$N72)&amp;"")</f>
        <v/>
      </c>
      <c r="N72">
        <f>IFERROR(MATCH(ROW()-4,rOrden_RO,0),"")</f>
        <v/>
      </c>
      <c r="O72">
        <f>IF($N72="","",INDEX('Cronograma R. Operacional'!$S$5:$S$1000,$N72))</f>
        <v/>
      </c>
      <c r="P72">
        <f>IF($N72="","",N(INDEX('Cronograma R. Operacional'!$T$5:$T$1000,$N72)))</f>
        <v/>
      </c>
    </row>
    <row r="73">
      <c r="A73" s="61">
        <f>IF($N73="","",INDEX('Cronograma R. Operacional'!$A$5:$A$1000,$N73))</f>
        <v/>
      </c>
      <c r="B73" s="70">
        <f>IF($N73="","",IF($O73="Sub","     ↳ "&amp;INDEX('Cronograma R. Operacional'!$C$5:$C$1000,$N73),INDEX('Cronograma R. Operacional'!$B$5:$B$1000,$N73)&amp;""))</f>
        <v/>
      </c>
      <c r="C73" s="70">
        <f>IF($N73="","",INDEX('Cronograma R. Operacional'!$D$5:$D$1000,$N73)&amp;"")</f>
        <v/>
      </c>
      <c r="D73" s="76">
        <f>IF($N73="","",IF(INDEX('Cronograma R. Operacional'!$E$5:$E$1000,$N73)="","",INDEX('Cronograma R. Operacional'!$E$5:$E$1000,$N73)))</f>
        <v/>
      </c>
      <c r="E73" s="76">
        <f>IF($N73="","",IF(INDEX('Cronograma R. Operacional'!$F$5:$F$1000,$N73)="","",INDEX('Cronograma R. Operacional'!$F$5:$F$1000,$N73)))</f>
        <v/>
      </c>
      <c r="F73" s="61">
        <f>IF($N73="","",IF(NOT(ISNUMBER($E73)),"",IF($E73&lt;InicioCiclo,"Antes del ciclo",IF($E73&gt;=InicioCiclo+28,"Después del ciclo","Semana "&amp;(INT(($E73-InicioCiclo)/7)+1)))))</f>
        <v/>
      </c>
      <c r="G73" s="67">
        <f>IF($N73="","",IF($P73&gt;0,IF(1&lt;=SemanaActual,INDEX('Cronograma R. Operacional'!$Y$5:$Y$1000,$N73),""),IF(INDEX('Cronograma R. Operacional'!$H$5:$H$1000,$N73)="","",INDEX('Cronograma R. Operacional'!$H$5:$H$1000,$N73))))</f>
        <v/>
      </c>
      <c r="H73" s="67">
        <f>IF($N73="","",IF($P73&gt;0,IF(2&lt;=SemanaActual,INDEX('Cronograma R. Operacional'!$Z$5:$Z$1000,$N73),""),IF(INDEX('Cronograma R. Operacional'!$I$5:$I$1000,$N73)="","",INDEX('Cronograma R. Operacional'!$I$5:$I$1000,$N73))))</f>
        <v/>
      </c>
      <c r="I73" s="67">
        <f>IF($N73="","",IF($P73&gt;0,IF(3&lt;=SemanaActual,INDEX('Cronograma R. Operacional'!$AA$5:$AA$1000,$N73),""),IF(INDEX('Cronograma R. Operacional'!$J$5:$J$1000,$N73)="","",INDEX('Cronograma R. Operacional'!$J$5:$J$1000,$N73))))</f>
        <v/>
      </c>
      <c r="J73" s="67">
        <f>IF($N73="","",IF($P73&gt;0,IF(4&lt;=SemanaActual,INDEX('Cronograma R. Operacional'!$AB$5:$AB$1000,$N73),""),IF(INDEX('Cronograma R. Operacional'!$K$5:$K$1000,$N73)="","",INDEX('Cronograma R. Operacional'!$K$5:$K$1000,$N73))))</f>
        <v/>
      </c>
      <c r="K73" s="67">
        <f>IF($N73="","",INDEX('Cronograma R. Operacional'!$L$5:$L$1000,$N73))</f>
        <v/>
      </c>
      <c r="L73" s="61">
        <f>IF($N73="","",IF(N($K73)&gt;=1,"Completado",IF(AND(ISNUMBER($E73),$E73&lt;FechaRef),"Vencida",IF(N($K73)&gt;0,"En curso","Pendiente"))))</f>
        <v/>
      </c>
      <c r="M73" s="70">
        <f>IF($N73="","",INDEX('Cronograma R. Operacional'!$N$5:$N$1000,$N73)&amp;"")</f>
        <v/>
      </c>
      <c r="N73">
        <f>IFERROR(MATCH(ROW()-4,rOrden_RO,0),"")</f>
        <v/>
      </c>
      <c r="O73">
        <f>IF($N73="","",INDEX('Cronograma R. Operacional'!$S$5:$S$1000,$N73))</f>
        <v/>
      </c>
      <c r="P73">
        <f>IF($N73="","",N(INDEX('Cronograma R. Operacional'!$T$5:$T$1000,$N73)))</f>
        <v/>
      </c>
    </row>
    <row r="74">
      <c r="A74" s="61">
        <f>IF($N74="","",INDEX('Cronograma R. Operacional'!$A$5:$A$1000,$N74))</f>
        <v/>
      </c>
      <c r="B74" s="70">
        <f>IF($N74="","",IF($O74="Sub","     ↳ "&amp;INDEX('Cronograma R. Operacional'!$C$5:$C$1000,$N74),INDEX('Cronograma R. Operacional'!$B$5:$B$1000,$N74)&amp;""))</f>
        <v/>
      </c>
      <c r="C74" s="70">
        <f>IF($N74="","",INDEX('Cronograma R. Operacional'!$D$5:$D$1000,$N74)&amp;"")</f>
        <v/>
      </c>
      <c r="D74" s="76">
        <f>IF($N74="","",IF(INDEX('Cronograma R. Operacional'!$E$5:$E$1000,$N74)="","",INDEX('Cronograma R. Operacional'!$E$5:$E$1000,$N74)))</f>
        <v/>
      </c>
      <c r="E74" s="76">
        <f>IF($N74="","",IF(INDEX('Cronograma R. Operacional'!$F$5:$F$1000,$N74)="","",INDEX('Cronograma R. Operacional'!$F$5:$F$1000,$N74)))</f>
        <v/>
      </c>
      <c r="F74" s="61">
        <f>IF($N74="","",IF(NOT(ISNUMBER($E74)),"",IF($E74&lt;InicioCiclo,"Antes del ciclo",IF($E74&gt;=InicioCiclo+28,"Después del ciclo","Semana "&amp;(INT(($E74-InicioCiclo)/7)+1)))))</f>
        <v/>
      </c>
      <c r="G74" s="67">
        <f>IF($N74="","",IF($P74&gt;0,IF(1&lt;=SemanaActual,INDEX('Cronograma R. Operacional'!$Y$5:$Y$1000,$N74),""),IF(INDEX('Cronograma R. Operacional'!$H$5:$H$1000,$N74)="","",INDEX('Cronograma R. Operacional'!$H$5:$H$1000,$N74))))</f>
        <v/>
      </c>
      <c r="H74" s="67">
        <f>IF($N74="","",IF($P74&gt;0,IF(2&lt;=SemanaActual,INDEX('Cronograma R. Operacional'!$Z$5:$Z$1000,$N74),""),IF(INDEX('Cronograma R. Operacional'!$I$5:$I$1000,$N74)="","",INDEX('Cronograma R. Operacional'!$I$5:$I$1000,$N74))))</f>
        <v/>
      </c>
      <c r="I74" s="67">
        <f>IF($N74="","",IF($P74&gt;0,IF(3&lt;=SemanaActual,INDEX('Cronograma R. Operacional'!$AA$5:$AA$1000,$N74),""),IF(INDEX('Cronograma R. Operacional'!$J$5:$J$1000,$N74)="","",INDEX('Cronograma R. Operacional'!$J$5:$J$1000,$N74))))</f>
        <v/>
      </c>
      <c r="J74" s="67">
        <f>IF($N74="","",IF($P74&gt;0,IF(4&lt;=SemanaActual,INDEX('Cronograma R. Operacional'!$AB$5:$AB$1000,$N74),""),IF(INDEX('Cronograma R. Operacional'!$K$5:$K$1000,$N74)="","",INDEX('Cronograma R. Operacional'!$K$5:$K$1000,$N74))))</f>
        <v/>
      </c>
      <c r="K74" s="67">
        <f>IF($N74="","",INDEX('Cronograma R. Operacional'!$L$5:$L$1000,$N74))</f>
        <v/>
      </c>
      <c r="L74" s="61">
        <f>IF($N74="","",IF(N($K74)&gt;=1,"Completado",IF(AND(ISNUMBER($E74),$E74&lt;FechaRef),"Vencida",IF(N($K74)&gt;0,"En curso","Pendiente"))))</f>
        <v/>
      </c>
      <c r="M74" s="70">
        <f>IF($N74="","",INDEX('Cronograma R. Operacional'!$N$5:$N$1000,$N74)&amp;"")</f>
        <v/>
      </c>
      <c r="N74">
        <f>IFERROR(MATCH(ROW()-4,rOrden_RO,0),"")</f>
        <v/>
      </c>
      <c r="O74">
        <f>IF($N74="","",INDEX('Cronograma R. Operacional'!$S$5:$S$1000,$N74))</f>
        <v/>
      </c>
      <c r="P74">
        <f>IF($N74="","",N(INDEX('Cronograma R. Operacional'!$T$5:$T$1000,$N74)))</f>
        <v/>
      </c>
    </row>
    <row r="75">
      <c r="A75" s="61">
        <f>IF($N75="","",INDEX('Cronograma R. Operacional'!$A$5:$A$1000,$N75))</f>
        <v/>
      </c>
      <c r="B75" s="70">
        <f>IF($N75="","",IF($O75="Sub","     ↳ "&amp;INDEX('Cronograma R. Operacional'!$C$5:$C$1000,$N75),INDEX('Cronograma R. Operacional'!$B$5:$B$1000,$N75)&amp;""))</f>
        <v/>
      </c>
      <c r="C75" s="70">
        <f>IF($N75="","",INDEX('Cronograma R. Operacional'!$D$5:$D$1000,$N75)&amp;"")</f>
        <v/>
      </c>
      <c r="D75" s="76">
        <f>IF($N75="","",IF(INDEX('Cronograma R. Operacional'!$E$5:$E$1000,$N75)="","",INDEX('Cronograma R. Operacional'!$E$5:$E$1000,$N75)))</f>
        <v/>
      </c>
      <c r="E75" s="76">
        <f>IF($N75="","",IF(INDEX('Cronograma R. Operacional'!$F$5:$F$1000,$N75)="","",INDEX('Cronograma R. Operacional'!$F$5:$F$1000,$N75)))</f>
        <v/>
      </c>
      <c r="F75" s="61">
        <f>IF($N75="","",IF(NOT(ISNUMBER($E75)),"",IF($E75&lt;InicioCiclo,"Antes del ciclo",IF($E75&gt;=InicioCiclo+28,"Después del ciclo","Semana "&amp;(INT(($E75-InicioCiclo)/7)+1)))))</f>
        <v/>
      </c>
      <c r="G75" s="67">
        <f>IF($N75="","",IF($P75&gt;0,IF(1&lt;=SemanaActual,INDEX('Cronograma R. Operacional'!$Y$5:$Y$1000,$N75),""),IF(INDEX('Cronograma R. Operacional'!$H$5:$H$1000,$N75)="","",INDEX('Cronograma R. Operacional'!$H$5:$H$1000,$N75))))</f>
        <v/>
      </c>
      <c r="H75" s="67">
        <f>IF($N75="","",IF($P75&gt;0,IF(2&lt;=SemanaActual,INDEX('Cronograma R. Operacional'!$Z$5:$Z$1000,$N75),""),IF(INDEX('Cronograma R. Operacional'!$I$5:$I$1000,$N75)="","",INDEX('Cronograma R. Operacional'!$I$5:$I$1000,$N75))))</f>
        <v/>
      </c>
      <c r="I75" s="67">
        <f>IF($N75="","",IF($P75&gt;0,IF(3&lt;=SemanaActual,INDEX('Cronograma R. Operacional'!$AA$5:$AA$1000,$N75),""),IF(INDEX('Cronograma R. Operacional'!$J$5:$J$1000,$N75)="","",INDEX('Cronograma R. Operacional'!$J$5:$J$1000,$N75))))</f>
        <v/>
      </c>
      <c r="J75" s="67">
        <f>IF($N75="","",IF($P75&gt;0,IF(4&lt;=SemanaActual,INDEX('Cronograma R. Operacional'!$AB$5:$AB$1000,$N75),""),IF(INDEX('Cronograma R. Operacional'!$K$5:$K$1000,$N75)="","",INDEX('Cronograma R. Operacional'!$K$5:$K$1000,$N75))))</f>
        <v/>
      </c>
      <c r="K75" s="67">
        <f>IF($N75="","",INDEX('Cronograma R. Operacional'!$L$5:$L$1000,$N75))</f>
        <v/>
      </c>
      <c r="L75" s="61">
        <f>IF($N75="","",IF(N($K75)&gt;=1,"Completado",IF(AND(ISNUMBER($E75),$E75&lt;FechaRef),"Vencida",IF(N($K75)&gt;0,"En curso","Pendiente"))))</f>
        <v/>
      </c>
      <c r="M75" s="70">
        <f>IF($N75="","",INDEX('Cronograma R. Operacional'!$N$5:$N$1000,$N75)&amp;"")</f>
        <v/>
      </c>
      <c r="N75">
        <f>IFERROR(MATCH(ROW()-4,rOrden_RO,0),"")</f>
        <v/>
      </c>
      <c r="O75">
        <f>IF($N75="","",INDEX('Cronograma R. Operacional'!$S$5:$S$1000,$N75))</f>
        <v/>
      </c>
      <c r="P75">
        <f>IF($N75="","",N(INDEX('Cronograma R. Operacional'!$T$5:$T$1000,$N75)))</f>
        <v/>
      </c>
    </row>
    <row r="76">
      <c r="A76" s="61">
        <f>IF($N76="","",INDEX('Cronograma R. Operacional'!$A$5:$A$1000,$N76))</f>
        <v/>
      </c>
      <c r="B76" s="70">
        <f>IF($N76="","",IF($O76="Sub","     ↳ "&amp;INDEX('Cronograma R. Operacional'!$C$5:$C$1000,$N76),INDEX('Cronograma R. Operacional'!$B$5:$B$1000,$N76)&amp;""))</f>
        <v/>
      </c>
      <c r="C76" s="70">
        <f>IF($N76="","",INDEX('Cronograma R. Operacional'!$D$5:$D$1000,$N76)&amp;"")</f>
        <v/>
      </c>
      <c r="D76" s="76">
        <f>IF($N76="","",IF(INDEX('Cronograma R. Operacional'!$E$5:$E$1000,$N76)="","",INDEX('Cronograma R. Operacional'!$E$5:$E$1000,$N76)))</f>
        <v/>
      </c>
      <c r="E76" s="76">
        <f>IF($N76="","",IF(INDEX('Cronograma R. Operacional'!$F$5:$F$1000,$N76)="","",INDEX('Cronograma R. Operacional'!$F$5:$F$1000,$N76)))</f>
        <v/>
      </c>
      <c r="F76" s="61">
        <f>IF($N76="","",IF(NOT(ISNUMBER($E76)),"",IF($E76&lt;InicioCiclo,"Antes del ciclo",IF($E76&gt;=InicioCiclo+28,"Después del ciclo","Semana "&amp;(INT(($E76-InicioCiclo)/7)+1)))))</f>
        <v/>
      </c>
      <c r="G76" s="67">
        <f>IF($N76="","",IF($P76&gt;0,IF(1&lt;=SemanaActual,INDEX('Cronograma R. Operacional'!$Y$5:$Y$1000,$N76),""),IF(INDEX('Cronograma R. Operacional'!$H$5:$H$1000,$N76)="","",INDEX('Cronograma R. Operacional'!$H$5:$H$1000,$N76))))</f>
        <v/>
      </c>
      <c r="H76" s="67">
        <f>IF($N76="","",IF($P76&gt;0,IF(2&lt;=SemanaActual,INDEX('Cronograma R. Operacional'!$Z$5:$Z$1000,$N76),""),IF(INDEX('Cronograma R. Operacional'!$I$5:$I$1000,$N76)="","",INDEX('Cronograma R. Operacional'!$I$5:$I$1000,$N76))))</f>
        <v/>
      </c>
      <c r="I76" s="67">
        <f>IF($N76="","",IF($P76&gt;0,IF(3&lt;=SemanaActual,INDEX('Cronograma R. Operacional'!$AA$5:$AA$1000,$N76),""),IF(INDEX('Cronograma R. Operacional'!$J$5:$J$1000,$N76)="","",INDEX('Cronograma R. Operacional'!$J$5:$J$1000,$N76))))</f>
        <v/>
      </c>
      <c r="J76" s="67">
        <f>IF($N76="","",IF($P76&gt;0,IF(4&lt;=SemanaActual,INDEX('Cronograma R. Operacional'!$AB$5:$AB$1000,$N76),""),IF(INDEX('Cronograma R. Operacional'!$K$5:$K$1000,$N76)="","",INDEX('Cronograma R. Operacional'!$K$5:$K$1000,$N76))))</f>
        <v/>
      </c>
      <c r="K76" s="67">
        <f>IF($N76="","",INDEX('Cronograma R. Operacional'!$L$5:$L$1000,$N76))</f>
        <v/>
      </c>
      <c r="L76" s="61">
        <f>IF($N76="","",IF(N($K76)&gt;=1,"Completado",IF(AND(ISNUMBER($E76),$E76&lt;FechaRef),"Vencida",IF(N($K76)&gt;0,"En curso","Pendiente"))))</f>
        <v/>
      </c>
      <c r="M76" s="70">
        <f>IF($N76="","",INDEX('Cronograma R. Operacional'!$N$5:$N$1000,$N76)&amp;"")</f>
        <v/>
      </c>
      <c r="N76">
        <f>IFERROR(MATCH(ROW()-4,rOrden_RO,0),"")</f>
        <v/>
      </c>
      <c r="O76">
        <f>IF($N76="","",INDEX('Cronograma R. Operacional'!$S$5:$S$1000,$N76))</f>
        <v/>
      </c>
      <c r="P76">
        <f>IF($N76="","",N(INDEX('Cronograma R. Operacional'!$T$5:$T$1000,$N76)))</f>
        <v/>
      </c>
    </row>
    <row r="77">
      <c r="A77" s="61">
        <f>IF($N77="","",INDEX('Cronograma R. Operacional'!$A$5:$A$1000,$N77))</f>
        <v/>
      </c>
      <c r="B77" s="70">
        <f>IF($N77="","",IF($O77="Sub","     ↳ "&amp;INDEX('Cronograma R. Operacional'!$C$5:$C$1000,$N77),INDEX('Cronograma R. Operacional'!$B$5:$B$1000,$N77)&amp;""))</f>
        <v/>
      </c>
      <c r="C77" s="70">
        <f>IF($N77="","",INDEX('Cronograma R. Operacional'!$D$5:$D$1000,$N77)&amp;"")</f>
        <v/>
      </c>
      <c r="D77" s="76">
        <f>IF($N77="","",IF(INDEX('Cronograma R. Operacional'!$E$5:$E$1000,$N77)="","",INDEX('Cronograma R. Operacional'!$E$5:$E$1000,$N77)))</f>
        <v/>
      </c>
      <c r="E77" s="76">
        <f>IF($N77="","",IF(INDEX('Cronograma R. Operacional'!$F$5:$F$1000,$N77)="","",INDEX('Cronograma R. Operacional'!$F$5:$F$1000,$N77)))</f>
        <v/>
      </c>
      <c r="F77" s="61">
        <f>IF($N77="","",IF(NOT(ISNUMBER($E77)),"",IF($E77&lt;InicioCiclo,"Antes del ciclo",IF($E77&gt;=InicioCiclo+28,"Después del ciclo","Semana "&amp;(INT(($E77-InicioCiclo)/7)+1)))))</f>
        <v/>
      </c>
      <c r="G77" s="67">
        <f>IF($N77="","",IF($P77&gt;0,IF(1&lt;=SemanaActual,INDEX('Cronograma R. Operacional'!$Y$5:$Y$1000,$N77),""),IF(INDEX('Cronograma R. Operacional'!$H$5:$H$1000,$N77)="","",INDEX('Cronograma R. Operacional'!$H$5:$H$1000,$N77))))</f>
        <v/>
      </c>
      <c r="H77" s="67">
        <f>IF($N77="","",IF($P77&gt;0,IF(2&lt;=SemanaActual,INDEX('Cronograma R. Operacional'!$Z$5:$Z$1000,$N77),""),IF(INDEX('Cronograma R. Operacional'!$I$5:$I$1000,$N77)="","",INDEX('Cronograma R. Operacional'!$I$5:$I$1000,$N77))))</f>
        <v/>
      </c>
      <c r="I77" s="67">
        <f>IF($N77="","",IF($P77&gt;0,IF(3&lt;=SemanaActual,INDEX('Cronograma R. Operacional'!$AA$5:$AA$1000,$N77),""),IF(INDEX('Cronograma R. Operacional'!$J$5:$J$1000,$N77)="","",INDEX('Cronograma R. Operacional'!$J$5:$J$1000,$N77))))</f>
        <v/>
      </c>
      <c r="J77" s="67">
        <f>IF($N77="","",IF($P77&gt;0,IF(4&lt;=SemanaActual,INDEX('Cronograma R. Operacional'!$AB$5:$AB$1000,$N77),""),IF(INDEX('Cronograma R. Operacional'!$K$5:$K$1000,$N77)="","",INDEX('Cronograma R. Operacional'!$K$5:$K$1000,$N77))))</f>
        <v/>
      </c>
      <c r="K77" s="67">
        <f>IF($N77="","",INDEX('Cronograma R. Operacional'!$L$5:$L$1000,$N77))</f>
        <v/>
      </c>
      <c r="L77" s="61">
        <f>IF($N77="","",IF(N($K77)&gt;=1,"Completado",IF(AND(ISNUMBER($E77),$E77&lt;FechaRef),"Vencida",IF(N($K77)&gt;0,"En curso","Pendiente"))))</f>
        <v/>
      </c>
      <c r="M77" s="70">
        <f>IF($N77="","",INDEX('Cronograma R. Operacional'!$N$5:$N$1000,$N77)&amp;"")</f>
        <v/>
      </c>
      <c r="N77">
        <f>IFERROR(MATCH(ROW()-4,rOrden_RO,0),"")</f>
        <v/>
      </c>
      <c r="O77">
        <f>IF($N77="","",INDEX('Cronograma R. Operacional'!$S$5:$S$1000,$N77))</f>
        <v/>
      </c>
      <c r="P77">
        <f>IF($N77="","",N(INDEX('Cronograma R. Operacional'!$T$5:$T$1000,$N77)))</f>
        <v/>
      </c>
    </row>
    <row r="78">
      <c r="A78" s="61">
        <f>IF($N78="","",INDEX('Cronograma R. Operacional'!$A$5:$A$1000,$N78))</f>
        <v/>
      </c>
      <c r="B78" s="70">
        <f>IF($N78="","",IF($O78="Sub","     ↳ "&amp;INDEX('Cronograma R. Operacional'!$C$5:$C$1000,$N78),INDEX('Cronograma R. Operacional'!$B$5:$B$1000,$N78)&amp;""))</f>
        <v/>
      </c>
      <c r="C78" s="70">
        <f>IF($N78="","",INDEX('Cronograma R. Operacional'!$D$5:$D$1000,$N78)&amp;"")</f>
        <v/>
      </c>
      <c r="D78" s="76">
        <f>IF($N78="","",IF(INDEX('Cronograma R. Operacional'!$E$5:$E$1000,$N78)="","",INDEX('Cronograma R. Operacional'!$E$5:$E$1000,$N78)))</f>
        <v/>
      </c>
      <c r="E78" s="76">
        <f>IF($N78="","",IF(INDEX('Cronograma R. Operacional'!$F$5:$F$1000,$N78)="","",INDEX('Cronograma R. Operacional'!$F$5:$F$1000,$N78)))</f>
        <v/>
      </c>
      <c r="F78" s="61">
        <f>IF($N78="","",IF(NOT(ISNUMBER($E78)),"",IF($E78&lt;InicioCiclo,"Antes del ciclo",IF($E78&gt;=InicioCiclo+28,"Después del ciclo","Semana "&amp;(INT(($E78-InicioCiclo)/7)+1)))))</f>
        <v/>
      </c>
      <c r="G78" s="67">
        <f>IF($N78="","",IF($P78&gt;0,IF(1&lt;=SemanaActual,INDEX('Cronograma R. Operacional'!$Y$5:$Y$1000,$N78),""),IF(INDEX('Cronograma R. Operacional'!$H$5:$H$1000,$N78)="","",INDEX('Cronograma R. Operacional'!$H$5:$H$1000,$N78))))</f>
        <v/>
      </c>
      <c r="H78" s="67">
        <f>IF($N78="","",IF($P78&gt;0,IF(2&lt;=SemanaActual,INDEX('Cronograma R. Operacional'!$Z$5:$Z$1000,$N78),""),IF(INDEX('Cronograma R. Operacional'!$I$5:$I$1000,$N78)="","",INDEX('Cronograma R. Operacional'!$I$5:$I$1000,$N78))))</f>
        <v/>
      </c>
      <c r="I78" s="67">
        <f>IF($N78="","",IF($P78&gt;0,IF(3&lt;=SemanaActual,INDEX('Cronograma R. Operacional'!$AA$5:$AA$1000,$N78),""),IF(INDEX('Cronograma R. Operacional'!$J$5:$J$1000,$N78)="","",INDEX('Cronograma R. Operacional'!$J$5:$J$1000,$N78))))</f>
        <v/>
      </c>
      <c r="J78" s="67">
        <f>IF($N78="","",IF($P78&gt;0,IF(4&lt;=SemanaActual,INDEX('Cronograma R. Operacional'!$AB$5:$AB$1000,$N78),""),IF(INDEX('Cronograma R. Operacional'!$K$5:$K$1000,$N78)="","",INDEX('Cronograma R. Operacional'!$K$5:$K$1000,$N78))))</f>
        <v/>
      </c>
      <c r="K78" s="67">
        <f>IF($N78="","",INDEX('Cronograma R. Operacional'!$L$5:$L$1000,$N78))</f>
        <v/>
      </c>
      <c r="L78" s="61">
        <f>IF($N78="","",IF(N($K78)&gt;=1,"Completado",IF(AND(ISNUMBER($E78),$E78&lt;FechaRef),"Vencida",IF(N($K78)&gt;0,"En curso","Pendiente"))))</f>
        <v/>
      </c>
      <c r="M78" s="70">
        <f>IF($N78="","",INDEX('Cronograma R. Operacional'!$N$5:$N$1000,$N78)&amp;"")</f>
        <v/>
      </c>
      <c r="N78">
        <f>IFERROR(MATCH(ROW()-4,rOrden_RO,0),"")</f>
        <v/>
      </c>
      <c r="O78">
        <f>IF($N78="","",INDEX('Cronograma R. Operacional'!$S$5:$S$1000,$N78))</f>
        <v/>
      </c>
      <c r="P78">
        <f>IF($N78="","",N(INDEX('Cronograma R. Operacional'!$T$5:$T$1000,$N78)))</f>
        <v/>
      </c>
    </row>
    <row r="79">
      <c r="A79" s="61">
        <f>IF($N79="","",INDEX('Cronograma R. Operacional'!$A$5:$A$1000,$N79))</f>
        <v/>
      </c>
      <c r="B79" s="70">
        <f>IF($N79="","",IF($O79="Sub","     ↳ "&amp;INDEX('Cronograma R. Operacional'!$C$5:$C$1000,$N79),INDEX('Cronograma R. Operacional'!$B$5:$B$1000,$N79)&amp;""))</f>
        <v/>
      </c>
      <c r="C79" s="70">
        <f>IF($N79="","",INDEX('Cronograma R. Operacional'!$D$5:$D$1000,$N79)&amp;"")</f>
        <v/>
      </c>
      <c r="D79" s="76">
        <f>IF($N79="","",IF(INDEX('Cronograma R. Operacional'!$E$5:$E$1000,$N79)="","",INDEX('Cronograma R. Operacional'!$E$5:$E$1000,$N79)))</f>
        <v/>
      </c>
      <c r="E79" s="76">
        <f>IF($N79="","",IF(INDEX('Cronograma R. Operacional'!$F$5:$F$1000,$N79)="","",INDEX('Cronograma R. Operacional'!$F$5:$F$1000,$N79)))</f>
        <v/>
      </c>
      <c r="F79" s="61">
        <f>IF($N79="","",IF(NOT(ISNUMBER($E79)),"",IF($E79&lt;InicioCiclo,"Antes del ciclo",IF($E79&gt;=InicioCiclo+28,"Después del ciclo","Semana "&amp;(INT(($E79-InicioCiclo)/7)+1)))))</f>
        <v/>
      </c>
      <c r="G79" s="67">
        <f>IF($N79="","",IF($P79&gt;0,IF(1&lt;=SemanaActual,INDEX('Cronograma R. Operacional'!$Y$5:$Y$1000,$N79),""),IF(INDEX('Cronograma R. Operacional'!$H$5:$H$1000,$N79)="","",INDEX('Cronograma R. Operacional'!$H$5:$H$1000,$N79))))</f>
        <v/>
      </c>
      <c r="H79" s="67">
        <f>IF($N79="","",IF($P79&gt;0,IF(2&lt;=SemanaActual,INDEX('Cronograma R. Operacional'!$Z$5:$Z$1000,$N79),""),IF(INDEX('Cronograma R. Operacional'!$I$5:$I$1000,$N79)="","",INDEX('Cronograma R. Operacional'!$I$5:$I$1000,$N79))))</f>
        <v/>
      </c>
      <c r="I79" s="67">
        <f>IF($N79="","",IF($P79&gt;0,IF(3&lt;=SemanaActual,INDEX('Cronograma R. Operacional'!$AA$5:$AA$1000,$N79),""),IF(INDEX('Cronograma R. Operacional'!$J$5:$J$1000,$N79)="","",INDEX('Cronograma R. Operacional'!$J$5:$J$1000,$N79))))</f>
        <v/>
      </c>
      <c r="J79" s="67">
        <f>IF($N79="","",IF($P79&gt;0,IF(4&lt;=SemanaActual,INDEX('Cronograma R. Operacional'!$AB$5:$AB$1000,$N79),""),IF(INDEX('Cronograma R. Operacional'!$K$5:$K$1000,$N79)="","",INDEX('Cronograma R. Operacional'!$K$5:$K$1000,$N79))))</f>
        <v/>
      </c>
      <c r="K79" s="67">
        <f>IF($N79="","",INDEX('Cronograma R. Operacional'!$L$5:$L$1000,$N79))</f>
        <v/>
      </c>
      <c r="L79" s="61">
        <f>IF($N79="","",IF(N($K79)&gt;=1,"Completado",IF(AND(ISNUMBER($E79),$E79&lt;FechaRef),"Vencida",IF(N($K79)&gt;0,"En curso","Pendiente"))))</f>
        <v/>
      </c>
      <c r="M79" s="70">
        <f>IF($N79="","",INDEX('Cronograma R. Operacional'!$N$5:$N$1000,$N79)&amp;"")</f>
        <v/>
      </c>
      <c r="N79">
        <f>IFERROR(MATCH(ROW()-4,rOrden_RO,0),"")</f>
        <v/>
      </c>
      <c r="O79">
        <f>IF($N79="","",INDEX('Cronograma R. Operacional'!$S$5:$S$1000,$N79))</f>
        <v/>
      </c>
      <c r="P79">
        <f>IF($N79="","",N(INDEX('Cronograma R. Operacional'!$T$5:$T$1000,$N79)))</f>
        <v/>
      </c>
    </row>
    <row r="80">
      <c r="A80" s="61">
        <f>IF($N80="","",INDEX('Cronograma R. Operacional'!$A$5:$A$1000,$N80))</f>
        <v/>
      </c>
      <c r="B80" s="70">
        <f>IF($N80="","",IF($O80="Sub","     ↳ "&amp;INDEX('Cronograma R. Operacional'!$C$5:$C$1000,$N80),INDEX('Cronograma R. Operacional'!$B$5:$B$1000,$N80)&amp;""))</f>
        <v/>
      </c>
      <c r="C80" s="70">
        <f>IF($N80="","",INDEX('Cronograma R. Operacional'!$D$5:$D$1000,$N80)&amp;"")</f>
        <v/>
      </c>
      <c r="D80" s="76">
        <f>IF($N80="","",IF(INDEX('Cronograma R. Operacional'!$E$5:$E$1000,$N80)="","",INDEX('Cronograma R. Operacional'!$E$5:$E$1000,$N80)))</f>
        <v/>
      </c>
      <c r="E80" s="76">
        <f>IF($N80="","",IF(INDEX('Cronograma R. Operacional'!$F$5:$F$1000,$N80)="","",INDEX('Cronograma R. Operacional'!$F$5:$F$1000,$N80)))</f>
        <v/>
      </c>
      <c r="F80" s="61">
        <f>IF($N80="","",IF(NOT(ISNUMBER($E80)),"",IF($E80&lt;InicioCiclo,"Antes del ciclo",IF($E80&gt;=InicioCiclo+28,"Después del ciclo","Semana "&amp;(INT(($E80-InicioCiclo)/7)+1)))))</f>
        <v/>
      </c>
      <c r="G80" s="67">
        <f>IF($N80="","",IF($P80&gt;0,IF(1&lt;=SemanaActual,INDEX('Cronograma R. Operacional'!$Y$5:$Y$1000,$N80),""),IF(INDEX('Cronograma R. Operacional'!$H$5:$H$1000,$N80)="","",INDEX('Cronograma R. Operacional'!$H$5:$H$1000,$N80))))</f>
        <v/>
      </c>
      <c r="H80" s="67">
        <f>IF($N80="","",IF($P80&gt;0,IF(2&lt;=SemanaActual,INDEX('Cronograma R. Operacional'!$Z$5:$Z$1000,$N80),""),IF(INDEX('Cronograma R. Operacional'!$I$5:$I$1000,$N80)="","",INDEX('Cronograma R. Operacional'!$I$5:$I$1000,$N80))))</f>
        <v/>
      </c>
      <c r="I80" s="67">
        <f>IF($N80="","",IF($P80&gt;0,IF(3&lt;=SemanaActual,INDEX('Cronograma R. Operacional'!$AA$5:$AA$1000,$N80),""),IF(INDEX('Cronograma R. Operacional'!$J$5:$J$1000,$N80)="","",INDEX('Cronograma R. Operacional'!$J$5:$J$1000,$N80))))</f>
        <v/>
      </c>
      <c r="J80" s="67">
        <f>IF($N80="","",IF($P80&gt;0,IF(4&lt;=SemanaActual,INDEX('Cronograma R. Operacional'!$AB$5:$AB$1000,$N80),""),IF(INDEX('Cronograma R. Operacional'!$K$5:$K$1000,$N80)="","",INDEX('Cronograma R. Operacional'!$K$5:$K$1000,$N80))))</f>
        <v/>
      </c>
      <c r="K80" s="67">
        <f>IF($N80="","",INDEX('Cronograma R. Operacional'!$L$5:$L$1000,$N80))</f>
        <v/>
      </c>
      <c r="L80" s="61">
        <f>IF($N80="","",IF(N($K80)&gt;=1,"Completado",IF(AND(ISNUMBER($E80),$E80&lt;FechaRef),"Vencida",IF(N($K80)&gt;0,"En curso","Pendiente"))))</f>
        <v/>
      </c>
      <c r="M80" s="70">
        <f>IF($N80="","",INDEX('Cronograma R. Operacional'!$N$5:$N$1000,$N80)&amp;"")</f>
        <v/>
      </c>
      <c r="N80">
        <f>IFERROR(MATCH(ROW()-4,rOrden_RO,0),"")</f>
        <v/>
      </c>
      <c r="O80">
        <f>IF($N80="","",INDEX('Cronograma R. Operacional'!$S$5:$S$1000,$N80))</f>
        <v/>
      </c>
      <c r="P80">
        <f>IF($N80="","",N(INDEX('Cronograma R. Operacional'!$T$5:$T$1000,$N80)))</f>
        <v/>
      </c>
    </row>
    <row r="81">
      <c r="A81" s="61">
        <f>IF($N81="","",INDEX('Cronograma R. Operacional'!$A$5:$A$1000,$N81))</f>
        <v/>
      </c>
      <c r="B81" s="70">
        <f>IF($N81="","",IF($O81="Sub","     ↳ "&amp;INDEX('Cronograma R. Operacional'!$C$5:$C$1000,$N81),INDEX('Cronograma R. Operacional'!$B$5:$B$1000,$N81)&amp;""))</f>
        <v/>
      </c>
      <c r="C81" s="70">
        <f>IF($N81="","",INDEX('Cronograma R. Operacional'!$D$5:$D$1000,$N81)&amp;"")</f>
        <v/>
      </c>
      <c r="D81" s="76">
        <f>IF($N81="","",IF(INDEX('Cronograma R. Operacional'!$E$5:$E$1000,$N81)="","",INDEX('Cronograma R. Operacional'!$E$5:$E$1000,$N81)))</f>
        <v/>
      </c>
      <c r="E81" s="76">
        <f>IF($N81="","",IF(INDEX('Cronograma R. Operacional'!$F$5:$F$1000,$N81)="","",INDEX('Cronograma R. Operacional'!$F$5:$F$1000,$N81)))</f>
        <v/>
      </c>
      <c r="F81" s="61">
        <f>IF($N81="","",IF(NOT(ISNUMBER($E81)),"",IF($E81&lt;InicioCiclo,"Antes del ciclo",IF($E81&gt;=InicioCiclo+28,"Después del ciclo","Semana "&amp;(INT(($E81-InicioCiclo)/7)+1)))))</f>
        <v/>
      </c>
      <c r="G81" s="67">
        <f>IF($N81="","",IF($P81&gt;0,IF(1&lt;=SemanaActual,INDEX('Cronograma R. Operacional'!$Y$5:$Y$1000,$N81),""),IF(INDEX('Cronograma R. Operacional'!$H$5:$H$1000,$N81)="","",INDEX('Cronograma R. Operacional'!$H$5:$H$1000,$N81))))</f>
        <v/>
      </c>
      <c r="H81" s="67">
        <f>IF($N81="","",IF($P81&gt;0,IF(2&lt;=SemanaActual,INDEX('Cronograma R. Operacional'!$Z$5:$Z$1000,$N81),""),IF(INDEX('Cronograma R. Operacional'!$I$5:$I$1000,$N81)="","",INDEX('Cronograma R. Operacional'!$I$5:$I$1000,$N81))))</f>
        <v/>
      </c>
      <c r="I81" s="67">
        <f>IF($N81="","",IF($P81&gt;0,IF(3&lt;=SemanaActual,INDEX('Cronograma R. Operacional'!$AA$5:$AA$1000,$N81),""),IF(INDEX('Cronograma R. Operacional'!$J$5:$J$1000,$N81)="","",INDEX('Cronograma R. Operacional'!$J$5:$J$1000,$N81))))</f>
        <v/>
      </c>
      <c r="J81" s="67">
        <f>IF($N81="","",IF($P81&gt;0,IF(4&lt;=SemanaActual,INDEX('Cronograma R. Operacional'!$AB$5:$AB$1000,$N81),""),IF(INDEX('Cronograma R. Operacional'!$K$5:$K$1000,$N81)="","",INDEX('Cronograma R. Operacional'!$K$5:$K$1000,$N81))))</f>
        <v/>
      </c>
      <c r="K81" s="67">
        <f>IF($N81="","",INDEX('Cronograma R. Operacional'!$L$5:$L$1000,$N81))</f>
        <v/>
      </c>
      <c r="L81" s="61">
        <f>IF($N81="","",IF(N($K81)&gt;=1,"Completado",IF(AND(ISNUMBER($E81),$E81&lt;FechaRef),"Vencida",IF(N($K81)&gt;0,"En curso","Pendiente"))))</f>
        <v/>
      </c>
      <c r="M81" s="70">
        <f>IF($N81="","",INDEX('Cronograma R. Operacional'!$N$5:$N$1000,$N81)&amp;"")</f>
        <v/>
      </c>
      <c r="N81">
        <f>IFERROR(MATCH(ROW()-4,rOrden_RO,0),"")</f>
        <v/>
      </c>
      <c r="O81">
        <f>IF($N81="","",INDEX('Cronograma R. Operacional'!$S$5:$S$1000,$N81))</f>
        <v/>
      </c>
      <c r="P81">
        <f>IF($N81="","",N(INDEX('Cronograma R. Operacional'!$T$5:$T$1000,$N81)))</f>
        <v/>
      </c>
    </row>
    <row r="82">
      <c r="A82" s="61">
        <f>IF($N82="","",INDEX('Cronograma R. Operacional'!$A$5:$A$1000,$N82))</f>
        <v/>
      </c>
      <c r="B82" s="70">
        <f>IF($N82="","",IF($O82="Sub","     ↳ "&amp;INDEX('Cronograma R. Operacional'!$C$5:$C$1000,$N82),INDEX('Cronograma R. Operacional'!$B$5:$B$1000,$N82)&amp;""))</f>
        <v/>
      </c>
      <c r="C82" s="70">
        <f>IF($N82="","",INDEX('Cronograma R. Operacional'!$D$5:$D$1000,$N82)&amp;"")</f>
        <v/>
      </c>
      <c r="D82" s="76">
        <f>IF($N82="","",IF(INDEX('Cronograma R. Operacional'!$E$5:$E$1000,$N82)="","",INDEX('Cronograma R. Operacional'!$E$5:$E$1000,$N82)))</f>
        <v/>
      </c>
      <c r="E82" s="76">
        <f>IF($N82="","",IF(INDEX('Cronograma R. Operacional'!$F$5:$F$1000,$N82)="","",INDEX('Cronograma R. Operacional'!$F$5:$F$1000,$N82)))</f>
        <v/>
      </c>
      <c r="F82" s="61">
        <f>IF($N82="","",IF(NOT(ISNUMBER($E82)),"",IF($E82&lt;InicioCiclo,"Antes del ciclo",IF($E82&gt;=InicioCiclo+28,"Después del ciclo","Semana "&amp;(INT(($E82-InicioCiclo)/7)+1)))))</f>
        <v/>
      </c>
      <c r="G82" s="67">
        <f>IF($N82="","",IF($P82&gt;0,IF(1&lt;=SemanaActual,INDEX('Cronograma R. Operacional'!$Y$5:$Y$1000,$N82),""),IF(INDEX('Cronograma R. Operacional'!$H$5:$H$1000,$N82)="","",INDEX('Cronograma R. Operacional'!$H$5:$H$1000,$N82))))</f>
        <v/>
      </c>
      <c r="H82" s="67">
        <f>IF($N82="","",IF($P82&gt;0,IF(2&lt;=SemanaActual,INDEX('Cronograma R. Operacional'!$Z$5:$Z$1000,$N82),""),IF(INDEX('Cronograma R. Operacional'!$I$5:$I$1000,$N82)="","",INDEX('Cronograma R. Operacional'!$I$5:$I$1000,$N82))))</f>
        <v/>
      </c>
      <c r="I82" s="67">
        <f>IF($N82="","",IF($P82&gt;0,IF(3&lt;=SemanaActual,INDEX('Cronograma R. Operacional'!$AA$5:$AA$1000,$N82),""),IF(INDEX('Cronograma R. Operacional'!$J$5:$J$1000,$N82)="","",INDEX('Cronograma R. Operacional'!$J$5:$J$1000,$N82))))</f>
        <v/>
      </c>
      <c r="J82" s="67">
        <f>IF($N82="","",IF($P82&gt;0,IF(4&lt;=SemanaActual,INDEX('Cronograma R. Operacional'!$AB$5:$AB$1000,$N82),""),IF(INDEX('Cronograma R. Operacional'!$K$5:$K$1000,$N82)="","",INDEX('Cronograma R. Operacional'!$K$5:$K$1000,$N82))))</f>
        <v/>
      </c>
      <c r="K82" s="67">
        <f>IF($N82="","",INDEX('Cronograma R. Operacional'!$L$5:$L$1000,$N82))</f>
        <v/>
      </c>
      <c r="L82" s="61">
        <f>IF($N82="","",IF(N($K82)&gt;=1,"Completado",IF(AND(ISNUMBER($E82),$E82&lt;FechaRef),"Vencida",IF(N($K82)&gt;0,"En curso","Pendiente"))))</f>
        <v/>
      </c>
      <c r="M82" s="70">
        <f>IF($N82="","",INDEX('Cronograma R. Operacional'!$N$5:$N$1000,$N82)&amp;"")</f>
        <v/>
      </c>
      <c r="N82">
        <f>IFERROR(MATCH(ROW()-4,rOrden_RO,0),"")</f>
        <v/>
      </c>
      <c r="O82">
        <f>IF($N82="","",INDEX('Cronograma R. Operacional'!$S$5:$S$1000,$N82))</f>
        <v/>
      </c>
      <c r="P82">
        <f>IF($N82="","",N(INDEX('Cronograma R. Operacional'!$T$5:$T$1000,$N82)))</f>
        <v/>
      </c>
    </row>
    <row r="83">
      <c r="A83" s="61">
        <f>IF($N83="","",INDEX('Cronograma R. Operacional'!$A$5:$A$1000,$N83))</f>
        <v/>
      </c>
      <c r="B83" s="70">
        <f>IF($N83="","",IF($O83="Sub","     ↳ "&amp;INDEX('Cronograma R. Operacional'!$C$5:$C$1000,$N83),INDEX('Cronograma R. Operacional'!$B$5:$B$1000,$N83)&amp;""))</f>
        <v/>
      </c>
      <c r="C83" s="70">
        <f>IF($N83="","",INDEX('Cronograma R. Operacional'!$D$5:$D$1000,$N83)&amp;"")</f>
        <v/>
      </c>
      <c r="D83" s="76">
        <f>IF($N83="","",IF(INDEX('Cronograma R. Operacional'!$E$5:$E$1000,$N83)="","",INDEX('Cronograma R. Operacional'!$E$5:$E$1000,$N83)))</f>
        <v/>
      </c>
      <c r="E83" s="76">
        <f>IF($N83="","",IF(INDEX('Cronograma R. Operacional'!$F$5:$F$1000,$N83)="","",INDEX('Cronograma R. Operacional'!$F$5:$F$1000,$N83)))</f>
        <v/>
      </c>
      <c r="F83" s="61">
        <f>IF($N83="","",IF(NOT(ISNUMBER($E83)),"",IF($E83&lt;InicioCiclo,"Antes del ciclo",IF($E83&gt;=InicioCiclo+28,"Después del ciclo","Semana "&amp;(INT(($E83-InicioCiclo)/7)+1)))))</f>
        <v/>
      </c>
      <c r="G83" s="67">
        <f>IF($N83="","",IF($P83&gt;0,IF(1&lt;=SemanaActual,INDEX('Cronograma R. Operacional'!$Y$5:$Y$1000,$N83),""),IF(INDEX('Cronograma R. Operacional'!$H$5:$H$1000,$N83)="","",INDEX('Cronograma R. Operacional'!$H$5:$H$1000,$N83))))</f>
        <v/>
      </c>
      <c r="H83" s="67">
        <f>IF($N83="","",IF($P83&gt;0,IF(2&lt;=SemanaActual,INDEX('Cronograma R. Operacional'!$Z$5:$Z$1000,$N83),""),IF(INDEX('Cronograma R. Operacional'!$I$5:$I$1000,$N83)="","",INDEX('Cronograma R. Operacional'!$I$5:$I$1000,$N83))))</f>
        <v/>
      </c>
      <c r="I83" s="67">
        <f>IF($N83="","",IF($P83&gt;0,IF(3&lt;=SemanaActual,INDEX('Cronograma R. Operacional'!$AA$5:$AA$1000,$N83),""),IF(INDEX('Cronograma R. Operacional'!$J$5:$J$1000,$N83)="","",INDEX('Cronograma R. Operacional'!$J$5:$J$1000,$N83))))</f>
        <v/>
      </c>
      <c r="J83" s="67">
        <f>IF($N83="","",IF($P83&gt;0,IF(4&lt;=SemanaActual,INDEX('Cronograma R. Operacional'!$AB$5:$AB$1000,$N83),""),IF(INDEX('Cronograma R. Operacional'!$K$5:$K$1000,$N83)="","",INDEX('Cronograma R. Operacional'!$K$5:$K$1000,$N83))))</f>
        <v/>
      </c>
      <c r="K83" s="67">
        <f>IF($N83="","",INDEX('Cronograma R. Operacional'!$L$5:$L$1000,$N83))</f>
        <v/>
      </c>
      <c r="L83" s="61">
        <f>IF($N83="","",IF(N($K83)&gt;=1,"Completado",IF(AND(ISNUMBER($E83),$E83&lt;FechaRef),"Vencida",IF(N($K83)&gt;0,"En curso","Pendiente"))))</f>
        <v/>
      </c>
      <c r="M83" s="70">
        <f>IF($N83="","",INDEX('Cronograma R. Operacional'!$N$5:$N$1000,$N83)&amp;"")</f>
        <v/>
      </c>
      <c r="N83">
        <f>IFERROR(MATCH(ROW()-4,rOrden_RO,0),"")</f>
        <v/>
      </c>
      <c r="O83">
        <f>IF($N83="","",INDEX('Cronograma R. Operacional'!$S$5:$S$1000,$N83))</f>
        <v/>
      </c>
      <c r="P83">
        <f>IF($N83="","",N(INDEX('Cronograma R. Operacional'!$T$5:$T$1000,$N83)))</f>
        <v/>
      </c>
    </row>
    <row r="84">
      <c r="A84" s="61">
        <f>IF($N84="","",INDEX('Cronograma R. Operacional'!$A$5:$A$1000,$N84))</f>
        <v/>
      </c>
      <c r="B84" s="70">
        <f>IF($N84="","",IF($O84="Sub","     ↳ "&amp;INDEX('Cronograma R. Operacional'!$C$5:$C$1000,$N84),INDEX('Cronograma R. Operacional'!$B$5:$B$1000,$N84)&amp;""))</f>
        <v/>
      </c>
      <c r="C84" s="70">
        <f>IF($N84="","",INDEX('Cronograma R. Operacional'!$D$5:$D$1000,$N84)&amp;"")</f>
        <v/>
      </c>
      <c r="D84" s="76">
        <f>IF($N84="","",IF(INDEX('Cronograma R. Operacional'!$E$5:$E$1000,$N84)="","",INDEX('Cronograma R. Operacional'!$E$5:$E$1000,$N84)))</f>
        <v/>
      </c>
      <c r="E84" s="76">
        <f>IF($N84="","",IF(INDEX('Cronograma R. Operacional'!$F$5:$F$1000,$N84)="","",INDEX('Cronograma R. Operacional'!$F$5:$F$1000,$N84)))</f>
        <v/>
      </c>
      <c r="F84" s="61">
        <f>IF($N84="","",IF(NOT(ISNUMBER($E84)),"",IF($E84&lt;InicioCiclo,"Antes del ciclo",IF($E84&gt;=InicioCiclo+28,"Después del ciclo","Semana "&amp;(INT(($E84-InicioCiclo)/7)+1)))))</f>
        <v/>
      </c>
      <c r="G84" s="67">
        <f>IF($N84="","",IF($P84&gt;0,IF(1&lt;=SemanaActual,INDEX('Cronograma R. Operacional'!$Y$5:$Y$1000,$N84),""),IF(INDEX('Cronograma R. Operacional'!$H$5:$H$1000,$N84)="","",INDEX('Cronograma R. Operacional'!$H$5:$H$1000,$N84))))</f>
        <v/>
      </c>
      <c r="H84" s="67">
        <f>IF($N84="","",IF($P84&gt;0,IF(2&lt;=SemanaActual,INDEX('Cronograma R. Operacional'!$Z$5:$Z$1000,$N84),""),IF(INDEX('Cronograma R. Operacional'!$I$5:$I$1000,$N84)="","",INDEX('Cronograma R. Operacional'!$I$5:$I$1000,$N84))))</f>
        <v/>
      </c>
      <c r="I84" s="67">
        <f>IF($N84="","",IF($P84&gt;0,IF(3&lt;=SemanaActual,INDEX('Cronograma R. Operacional'!$AA$5:$AA$1000,$N84),""),IF(INDEX('Cronograma R. Operacional'!$J$5:$J$1000,$N84)="","",INDEX('Cronograma R. Operacional'!$J$5:$J$1000,$N84))))</f>
        <v/>
      </c>
      <c r="J84" s="67">
        <f>IF($N84="","",IF($P84&gt;0,IF(4&lt;=SemanaActual,INDEX('Cronograma R. Operacional'!$AB$5:$AB$1000,$N84),""),IF(INDEX('Cronograma R. Operacional'!$K$5:$K$1000,$N84)="","",INDEX('Cronograma R. Operacional'!$K$5:$K$1000,$N84))))</f>
        <v/>
      </c>
      <c r="K84" s="67">
        <f>IF($N84="","",INDEX('Cronograma R. Operacional'!$L$5:$L$1000,$N84))</f>
        <v/>
      </c>
      <c r="L84" s="61">
        <f>IF($N84="","",IF(N($K84)&gt;=1,"Completado",IF(AND(ISNUMBER($E84),$E84&lt;FechaRef),"Vencida",IF(N($K84)&gt;0,"En curso","Pendiente"))))</f>
        <v/>
      </c>
      <c r="M84" s="70">
        <f>IF($N84="","",INDEX('Cronograma R. Operacional'!$N$5:$N$1000,$N84)&amp;"")</f>
        <v/>
      </c>
      <c r="N84">
        <f>IFERROR(MATCH(ROW()-4,rOrden_RO,0),"")</f>
        <v/>
      </c>
      <c r="O84">
        <f>IF($N84="","",INDEX('Cronograma R. Operacional'!$S$5:$S$1000,$N84))</f>
        <v/>
      </c>
      <c r="P84">
        <f>IF($N84="","",N(INDEX('Cronograma R. Operacional'!$T$5:$T$1000,$N84)))</f>
        <v/>
      </c>
    </row>
    <row r="85">
      <c r="A85" s="61">
        <f>IF($N85="","",INDEX('Cronograma R. Operacional'!$A$5:$A$1000,$N85))</f>
        <v/>
      </c>
      <c r="B85" s="70">
        <f>IF($N85="","",IF($O85="Sub","     ↳ "&amp;INDEX('Cronograma R. Operacional'!$C$5:$C$1000,$N85),INDEX('Cronograma R. Operacional'!$B$5:$B$1000,$N85)&amp;""))</f>
        <v/>
      </c>
      <c r="C85" s="70">
        <f>IF($N85="","",INDEX('Cronograma R. Operacional'!$D$5:$D$1000,$N85)&amp;"")</f>
        <v/>
      </c>
      <c r="D85" s="76">
        <f>IF($N85="","",IF(INDEX('Cronograma R. Operacional'!$E$5:$E$1000,$N85)="","",INDEX('Cronograma R. Operacional'!$E$5:$E$1000,$N85)))</f>
        <v/>
      </c>
      <c r="E85" s="76">
        <f>IF($N85="","",IF(INDEX('Cronograma R. Operacional'!$F$5:$F$1000,$N85)="","",INDEX('Cronograma R. Operacional'!$F$5:$F$1000,$N85)))</f>
        <v/>
      </c>
      <c r="F85" s="61">
        <f>IF($N85="","",IF(NOT(ISNUMBER($E85)),"",IF($E85&lt;InicioCiclo,"Antes del ciclo",IF($E85&gt;=InicioCiclo+28,"Después del ciclo","Semana "&amp;(INT(($E85-InicioCiclo)/7)+1)))))</f>
        <v/>
      </c>
      <c r="G85" s="67">
        <f>IF($N85="","",IF($P85&gt;0,IF(1&lt;=SemanaActual,INDEX('Cronograma R. Operacional'!$Y$5:$Y$1000,$N85),""),IF(INDEX('Cronograma R. Operacional'!$H$5:$H$1000,$N85)="","",INDEX('Cronograma R. Operacional'!$H$5:$H$1000,$N85))))</f>
        <v/>
      </c>
      <c r="H85" s="67">
        <f>IF($N85="","",IF($P85&gt;0,IF(2&lt;=SemanaActual,INDEX('Cronograma R. Operacional'!$Z$5:$Z$1000,$N85),""),IF(INDEX('Cronograma R. Operacional'!$I$5:$I$1000,$N85)="","",INDEX('Cronograma R. Operacional'!$I$5:$I$1000,$N85))))</f>
        <v/>
      </c>
      <c r="I85" s="67">
        <f>IF($N85="","",IF($P85&gt;0,IF(3&lt;=SemanaActual,INDEX('Cronograma R. Operacional'!$AA$5:$AA$1000,$N85),""),IF(INDEX('Cronograma R. Operacional'!$J$5:$J$1000,$N85)="","",INDEX('Cronograma R. Operacional'!$J$5:$J$1000,$N85))))</f>
        <v/>
      </c>
      <c r="J85" s="67">
        <f>IF($N85="","",IF($P85&gt;0,IF(4&lt;=SemanaActual,INDEX('Cronograma R. Operacional'!$AB$5:$AB$1000,$N85),""),IF(INDEX('Cronograma R. Operacional'!$K$5:$K$1000,$N85)="","",INDEX('Cronograma R. Operacional'!$K$5:$K$1000,$N85))))</f>
        <v/>
      </c>
      <c r="K85" s="67">
        <f>IF($N85="","",INDEX('Cronograma R. Operacional'!$L$5:$L$1000,$N85))</f>
        <v/>
      </c>
      <c r="L85" s="61">
        <f>IF($N85="","",IF(N($K85)&gt;=1,"Completado",IF(AND(ISNUMBER($E85),$E85&lt;FechaRef),"Vencida",IF(N($K85)&gt;0,"En curso","Pendiente"))))</f>
        <v/>
      </c>
      <c r="M85" s="70">
        <f>IF($N85="","",INDEX('Cronograma R. Operacional'!$N$5:$N$1000,$N85)&amp;"")</f>
        <v/>
      </c>
      <c r="N85">
        <f>IFERROR(MATCH(ROW()-4,rOrden_RO,0),"")</f>
        <v/>
      </c>
      <c r="O85">
        <f>IF($N85="","",INDEX('Cronograma R. Operacional'!$S$5:$S$1000,$N85))</f>
        <v/>
      </c>
      <c r="P85">
        <f>IF($N85="","",N(INDEX('Cronograma R. Operacional'!$T$5:$T$1000,$N85)))</f>
        <v/>
      </c>
    </row>
    <row r="86">
      <c r="A86" s="61">
        <f>IF($N86="","",INDEX('Cronograma R. Operacional'!$A$5:$A$1000,$N86))</f>
        <v/>
      </c>
      <c r="B86" s="70">
        <f>IF($N86="","",IF($O86="Sub","     ↳ "&amp;INDEX('Cronograma R. Operacional'!$C$5:$C$1000,$N86),INDEX('Cronograma R. Operacional'!$B$5:$B$1000,$N86)&amp;""))</f>
        <v/>
      </c>
      <c r="C86" s="70">
        <f>IF($N86="","",INDEX('Cronograma R. Operacional'!$D$5:$D$1000,$N86)&amp;"")</f>
        <v/>
      </c>
      <c r="D86" s="76">
        <f>IF($N86="","",IF(INDEX('Cronograma R. Operacional'!$E$5:$E$1000,$N86)="","",INDEX('Cronograma R. Operacional'!$E$5:$E$1000,$N86)))</f>
        <v/>
      </c>
      <c r="E86" s="76">
        <f>IF($N86="","",IF(INDEX('Cronograma R. Operacional'!$F$5:$F$1000,$N86)="","",INDEX('Cronograma R. Operacional'!$F$5:$F$1000,$N86)))</f>
        <v/>
      </c>
      <c r="F86" s="61">
        <f>IF($N86="","",IF(NOT(ISNUMBER($E86)),"",IF($E86&lt;InicioCiclo,"Antes del ciclo",IF($E86&gt;=InicioCiclo+28,"Después del ciclo","Semana "&amp;(INT(($E86-InicioCiclo)/7)+1)))))</f>
        <v/>
      </c>
      <c r="G86" s="67">
        <f>IF($N86="","",IF($P86&gt;0,IF(1&lt;=SemanaActual,INDEX('Cronograma R. Operacional'!$Y$5:$Y$1000,$N86),""),IF(INDEX('Cronograma R. Operacional'!$H$5:$H$1000,$N86)="","",INDEX('Cronograma R. Operacional'!$H$5:$H$1000,$N86))))</f>
        <v/>
      </c>
      <c r="H86" s="67">
        <f>IF($N86="","",IF($P86&gt;0,IF(2&lt;=SemanaActual,INDEX('Cronograma R. Operacional'!$Z$5:$Z$1000,$N86),""),IF(INDEX('Cronograma R. Operacional'!$I$5:$I$1000,$N86)="","",INDEX('Cronograma R. Operacional'!$I$5:$I$1000,$N86))))</f>
        <v/>
      </c>
      <c r="I86" s="67">
        <f>IF($N86="","",IF($P86&gt;0,IF(3&lt;=SemanaActual,INDEX('Cronograma R. Operacional'!$AA$5:$AA$1000,$N86),""),IF(INDEX('Cronograma R. Operacional'!$J$5:$J$1000,$N86)="","",INDEX('Cronograma R. Operacional'!$J$5:$J$1000,$N86))))</f>
        <v/>
      </c>
      <c r="J86" s="67">
        <f>IF($N86="","",IF($P86&gt;0,IF(4&lt;=SemanaActual,INDEX('Cronograma R. Operacional'!$AB$5:$AB$1000,$N86),""),IF(INDEX('Cronograma R. Operacional'!$K$5:$K$1000,$N86)="","",INDEX('Cronograma R. Operacional'!$K$5:$K$1000,$N86))))</f>
        <v/>
      </c>
      <c r="K86" s="67">
        <f>IF($N86="","",INDEX('Cronograma R. Operacional'!$L$5:$L$1000,$N86))</f>
        <v/>
      </c>
      <c r="L86" s="61">
        <f>IF($N86="","",IF(N($K86)&gt;=1,"Completado",IF(AND(ISNUMBER($E86),$E86&lt;FechaRef),"Vencida",IF(N($K86)&gt;0,"En curso","Pendiente"))))</f>
        <v/>
      </c>
      <c r="M86" s="70">
        <f>IF($N86="","",INDEX('Cronograma R. Operacional'!$N$5:$N$1000,$N86)&amp;"")</f>
        <v/>
      </c>
      <c r="N86">
        <f>IFERROR(MATCH(ROW()-4,rOrden_RO,0),"")</f>
        <v/>
      </c>
      <c r="O86">
        <f>IF($N86="","",INDEX('Cronograma R. Operacional'!$S$5:$S$1000,$N86))</f>
        <v/>
      </c>
      <c r="P86">
        <f>IF($N86="","",N(INDEX('Cronograma R. Operacional'!$T$5:$T$1000,$N86)))</f>
        <v/>
      </c>
    </row>
    <row r="87">
      <c r="A87" s="61">
        <f>IF($N87="","",INDEX('Cronograma R. Operacional'!$A$5:$A$1000,$N87))</f>
        <v/>
      </c>
      <c r="B87" s="70">
        <f>IF($N87="","",IF($O87="Sub","     ↳ "&amp;INDEX('Cronograma R. Operacional'!$C$5:$C$1000,$N87),INDEX('Cronograma R. Operacional'!$B$5:$B$1000,$N87)&amp;""))</f>
        <v/>
      </c>
      <c r="C87" s="70">
        <f>IF($N87="","",INDEX('Cronograma R. Operacional'!$D$5:$D$1000,$N87)&amp;"")</f>
        <v/>
      </c>
      <c r="D87" s="76">
        <f>IF($N87="","",IF(INDEX('Cronograma R. Operacional'!$E$5:$E$1000,$N87)="","",INDEX('Cronograma R. Operacional'!$E$5:$E$1000,$N87)))</f>
        <v/>
      </c>
      <c r="E87" s="76">
        <f>IF($N87="","",IF(INDEX('Cronograma R. Operacional'!$F$5:$F$1000,$N87)="","",INDEX('Cronograma R. Operacional'!$F$5:$F$1000,$N87)))</f>
        <v/>
      </c>
      <c r="F87" s="61">
        <f>IF($N87="","",IF(NOT(ISNUMBER($E87)),"",IF($E87&lt;InicioCiclo,"Antes del ciclo",IF($E87&gt;=InicioCiclo+28,"Después del ciclo","Semana "&amp;(INT(($E87-InicioCiclo)/7)+1)))))</f>
        <v/>
      </c>
      <c r="G87" s="67">
        <f>IF($N87="","",IF($P87&gt;0,IF(1&lt;=SemanaActual,INDEX('Cronograma R. Operacional'!$Y$5:$Y$1000,$N87),""),IF(INDEX('Cronograma R. Operacional'!$H$5:$H$1000,$N87)="","",INDEX('Cronograma R. Operacional'!$H$5:$H$1000,$N87))))</f>
        <v/>
      </c>
      <c r="H87" s="67">
        <f>IF($N87="","",IF($P87&gt;0,IF(2&lt;=SemanaActual,INDEX('Cronograma R. Operacional'!$Z$5:$Z$1000,$N87),""),IF(INDEX('Cronograma R. Operacional'!$I$5:$I$1000,$N87)="","",INDEX('Cronograma R. Operacional'!$I$5:$I$1000,$N87))))</f>
        <v/>
      </c>
      <c r="I87" s="67">
        <f>IF($N87="","",IF($P87&gt;0,IF(3&lt;=SemanaActual,INDEX('Cronograma R. Operacional'!$AA$5:$AA$1000,$N87),""),IF(INDEX('Cronograma R. Operacional'!$J$5:$J$1000,$N87)="","",INDEX('Cronograma R. Operacional'!$J$5:$J$1000,$N87))))</f>
        <v/>
      </c>
      <c r="J87" s="67">
        <f>IF($N87="","",IF($P87&gt;0,IF(4&lt;=SemanaActual,INDEX('Cronograma R. Operacional'!$AB$5:$AB$1000,$N87),""),IF(INDEX('Cronograma R. Operacional'!$K$5:$K$1000,$N87)="","",INDEX('Cronograma R. Operacional'!$K$5:$K$1000,$N87))))</f>
        <v/>
      </c>
      <c r="K87" s="67">
        <f>IF($N87="","",INDEX('Cronograma R. Operacional'!$L$5:$L$1000,$N87))</f>
        <v/>
      </c>
      <c r="L87" s="61">
        <f>IF($N87="","",IF(N($K87)&gt;=1,"Completado",IF(AND(ISNUMBER($E87),$E87&lt;FechaRef),"Vencida",IF(N($K87)&gt;0,"En curso","Pendiente"))))</f>
        <v/>
      </c>
      <c r="M87" s="70">
        <f>IF($N87="","",INDEX('Cronograma R. Operacional'!$N$5:$N$1000,$N87)&amp;"")</f>
        <v/>
      </c>
      <c r="N87">
        <f>IFERROR(MATCH(ROW()-4,rOrden_RO,0),"")</f>
        <v/>
      </c>
      <c r="O87">
        <f>IF($N87="","",INDEX('Cronograma R. Operacional'!$S$5:$S$1000,$N87))</f>
        <v/>
      </c>
      <c r="P87">
        <f>IF($N87="","",N(INDEX('Cronograma R. Operacional'!$T$5:$T$1000,$N87)))</f>
        <v/>
      </c>
    </row>
    <row r="88">
      <c r="A88" s="61">
        <f>IF($N88="","",INDEX('Cronograma R. Operacional'!$A$5:$A$1000,$N88))</f>
        <v/>
      </c>
      <c r="B88" s="70">
        <f>IF($N88="","",IF($O88="Sub","     ↳ "&amp;INDEX('Cronograma R. Operacional'!$C$5:$C$1000,$N88),INDEX('Cronograma R. Operacional'!$B$5:$B$1000,$N88)&amp;""))</f>
        <v/>
      </c>
      <c r="C88" s="70">
        <f>IF($N88="","",INDEX('Cronograma R. Operacional'!$D$5:$D$1000,$N88)&amp;"")</f>
        <v/>
      </c>
      <c r="D88" s="76">
        <f>IF($N88="","",IF(INDEX('Cronograma R. Operacional'!$E$5:$E$1000,$N88)="","",INDEX('Cronograma R. Operacional'!$E$5:$E$1000,$N88)))</f>
        <v/>
      </c>
      <c r="E88" s="76">
        <f>IF($N88="","",IF(INDEX('Cronograma R. Operacional'!$F$5:$F$1000,$N88)="","",INDEX('Cronograma R. Operacional'!$F$5:$F$1000,$N88)))</f>
        <v/>
      </c>
      <c r="F88" s="61">
        <f>IF($N88="","",IF(NOT(ISNUMBER($E88)),"",IF($E88&lt;InicioCiclo,"Antes del ciclo",IF($E88&gt;=InicioCiclo+28,"Después del ciclo","Semana "&amp;(INT(($E88-InicioCiclo)/7)+1)))))</f>
        <v/>
      </c>
      <c r="G88" s="67">
        <f>IF($N88="","",IF($P88&gt;0,IF(1&lt;=SemanaActual,INDEX('Cronograma R. Operacional'!$Y$5:$Y$1000,$N88),""),IF(INDEX('Cronograma R. Operacional'!$H$5:$H$1000,$N88)="","",INDEX('Cronograma R. Operacional'!$H$5:$H$1000,$N88))))</f>
        <v/>
      </c>
      <c r="H88" s="67">
        <f>IF($N88="","",IF($P88&gt;0,IF(2&lt;=SemanaActual,INDEX('Cronograma R. Operacional'!$Z$5:$Z$1000,$N88),""),IF(INDEX('Cronograma R. Operacional'!$I$5:$I$1000,$N88)="","",INDEX('Cronograma R. Operacional'!$I$5:$I$1000,$N88))))</f>
        <v/>
      </c>
      <c r="I88" s="67">
        <f>IF($N88="","",IF($P88&gt;0,IF(3&lt;=SemanaActual,INDEX('Cronograma R. Operacional'!$AA$5:$AA$1000,$N88),""),IF(INDEX('Cronograma R. Operacional'!$J$5:$J$1000,$N88)="","",INDEX('Cronograma R. Operacional'!$J$5:$J$1000,$N88))))</f>
        <v/>
      </c>
      <c r="J88" s="67">
        <f>IF($N88="","",IF($P88&gt;0,IF(4&lt;=SemanaActual,INDEX('Cronograma R. Operacional'!$AB$5:$AB$1000,$N88),""),IF(INDEX('Cronograma R. Operacional'!$K$5:$K$1000,$N88)="","",INDEX('Cronograma R. Operacional'!$K$5:$K$1000,$N88))))</f>
        <v/>
      </c>
      <c r="K88" s="67">
        <f>IF($N88="","",INDEX('Cronograma R. Operacional'!$L$5:$L$1000,$N88))</f>
        <v/>
      </c>
      <c r="L88" s="61">
        <f>IF($N88="","",IF(N($K88)&gt;=1,"Completado",IF(AND(ISNUMBER($E88),$E88&lt;FechaRef),"Vencida",IF(N($K88)&gt;0,"En curso","Pendiente"))))</f>
        <v/>
      </c>
      <c r="M88" s="70">
        <f>IF($N88="","",INDEX('Cronograma R. Operacional'!$N$5:$N$1000,$N88)&amp;"")</f>
        <v/>
      </c>
      <c r="N88">
        <f>IFERROR(MATCH(ROW()-4,rOrden_RO,0),"")</f>
        <v/>
      </c>
      <c r="O88">
        <f>IF($N88="","",INDEX('Cronograma R. Operacional'!$S$5:$S$1000,$N88))</f>
        <v/>
      </c>
      <c r="P88">
        <f>IF($N88="","",N(INDEX('Cronograma R. Operacional'!$T$5:$T$1000,$N88)))</f>
        <v/>
      </c>
    </row>
    <row r="89">
      <c r="A89" s="61">
        <f>IF($N89="","",INDEX('Cronograma R. Operacional'!$A$5:$A$1000,$N89))</f>
        <v/>
      </c>
      <c r="B89" s="70">
        <f>IF($N89="","",IF($O89="Sub","     ↳ "&amp;INDEX('Cronograma R. Operacional'!$C$5:$C$1000,$N89),INDEX('Cronograma R. Operacional'!$B$5:$B$1000,$N89)&amp;""))</f>
        <v/>
      </c>
      <c r="C89" s="70">
        <f>IF($N89="","",INDEX('Cronograma R. Operacional'!$D$5:$D$1000,$N89)&amp;"")</f>
        <v/>
      </c>
      <c r="D89" s="76">
        <f>IF($N89="","",IF(INDEX('Cronograma R. Operacional'!$E$5:$E$1000,$N89)="","",INDEX('Cronograma R. Operacional'!$E$5:$E$1000,$N89)))</f>
        <v/>
      </c>
      <c r="E89" s="76">
        <f>IF($N89="","",IF(INDEX('Cronograma R. Operacional'!$F$5:$F$1000,$N89)="","",INDEX('Cronograma R. Operacional'!$F$5:$F$1000,$N89)))</f>
        <v/>
      </c>
      <c r="F89" s="61">
        <f>IF($N89="","",IF(NOT(ISNUMBER($E89)),"",IF($E89&lt;InicioCiclo,"Antes del ciclo",IF($E89&gt;=InicioCiclo+28,"Después del ciclo","Semana "&amp;(INT(($E89-InicioCiclo)/7)+1)))))</f>
        <v/>
      </c>
      <c r="G89" s="67">
        <f>IF($N89="","",IF($P89&gt;0,IF(1&lt;=SemanaActual,INDEX('Cronograma R. Operacional'!$Y$5:$Y$1000,$N89),""),IF(INDEX('Cronograma R. Operacional'!$H$5:$H$1000,$N89)="","",INDEX('Cronograma R. Operacional'!$H$5:$H$1000,$N89))))</f>
        <v/>
      </c>
      <c r="H89" s="67">
        <f>IF($N89="","",IF($P89&gt;0,IF(2&lt;=SemanaActual,INDEX('Cronograma R. Operacional'!$Z$5:$Z$1000,$N89),""),IF(INDEX('Cronograma R. Operacional'!$I$5:$I$1000,$N89)="","",INDEX('Cronograma R. Operacional'!$I$5:$I$1000,$N89))))</f>
        <v/>
      </c>
      <c r="I89" s="67">
        <f>IF($N89="","",IF($P89&gt;0,IF(3&lt;=SemanaActual,INDEX('Cronograma R. Operacional'!$AA$5:$AA$1000,$N89),""),IF(INDEX('Cronograma R. Operacional'!$J$5:$J$1000,$N89)="","",INDEX('Cronograma R. Operacional'!$J$5:$J$1000,$N89))))</f>
        <v/>
      </c>
      <c r="J89" s="67">
        <f>IF($N89="","",IF($P89&gt;0,IF(4&lt;=SemanaActual,INDEX('Cronograma R. Operacional'!$AB$5:$AB$1000,$N89),""),IF(INDEX('Cronograma R. Operacional'!$K$5:$K$1000,$N89)="","",INDEX('Cronograma R. Operacional'!$K$5:$K$1000,$N89))))</f>
        <v/>
      </c>
      <c r="K89" s="67">
        <f>IF($N89="","",INDEX('Cronograma R. Operacional'!$L$5:$L$1000,$N89))</f>
        <v/>
      </c>
      <c r="L89" s="61">
        <f>IF($N89="","",IF(N($K89)&gt;=1,"Completado",IF(AND(ISNUMBER($E89),$E89&lt;FechaRef),"Vencida",IF(N($K89)&gt;0,"En curso","Pendiente"))))</f>
        <v/>
      </c>
      <c r="M89" s="70">
        <f>IF($N89="","",INDEX('Cronograma R. Operacional'!$N$5:$N$1000,$N89)&amp;"")</f>
        <v/>
      </c>
      <c r="N89">
        <f>IFERROR(MATCH(ROW()-4,rOrden_RO,0),"")</f>
        <v/>
      </c>
      <c r="O89">
        <f>IF($N89="","",INDEX('Cronograma R. Operacional'!$S$5:$S$1000,$N89))</f>
        <v/>
      </c>
      <c r="P89">
        <f>IF($N89="","",N(INDEX('Cronograma R. Operacional'!$T$5:$T$1000,$N89)))</f>
        <v/>
      </c>
    </row>
    <row r="90">
      <c r="A90" s="61">
        <f>IF($N90="","",INDEX('Cronograma R. Operacional'!$A$5:$A$1000,$N90))</f>
        <v/>
      </c>
      <c r="B90" s="70">
        <f>IF($N90="","",IF($O90="Sub","     ↳ "&amp;INDEX('Cronograma R. Operacional'!$C$5:$C$1000,$N90),INDEX('Cronograma R. Operacional'!$B$5:$B$1000,$N90)&amp;""))</f>
        <v/>
      </c>
      <c r="C90" s="70">
        <f>IF($N90="","",INDEX('Cronograma R. Operacional'!$D$5:$D$1000,$N90)&amp;"")</f>
        <v/>
      </c>
      <c r="D90" s="76">
        <f>IF($N90="","",IF(INDEX('Cronograma R. Operacional'!$E$5:$E$1000,$N90)="","",INDEX('Cronograma R. Operacional'!$E$5:$E$1000,$N90)))</f>
        <v/>
      </c>
      <c r="E90" s="76">
        <f>IF($N90="","",IF(INDEX('Cronograma R. Operacional'!$F$5:$F$1000,$N90)="","",INDEX('Cronograma R. Operacional'!$F$5:$F$1000,$N90)))</f>
        <v/>
      </c>
      <c r="F90" s="61">
        <f>IF($N90="","",IF(NOT(ISNUMBER($E90)),"",IF($E90&lt;InicioCiclo,"Antes del ciclo",IF($E90&gt;=InicioCiclo+28,"Después del ciclo","Semana "&amp;(INT(($E90-InicioCiclo)/7)+1)))))</f>
        <v/>
      </c>
      <c r="G90" s="67">
        <f>IF($N90="","",IF($P90&gt;0,IF(1&lt;=SemanaActual,INDEX('Cronograma R. Operacional'!$Y$5:$Y$1000,$N90),""),IF(INDEX('Cronograma R. Operacional'!$H$5:$H$1000,$N90)="","",INDEX('Cronograma R. Operacional'!$H$5:$H$1000,$N90))))</f>
        <v/>
      </c>
      <c r="H90" s="67">
        <f>IF($N90="","",IF($P90&gt;0,IF(2&lt;=SemanaActual,INDEX('Cronograma R. Operacional'!$Z$5:$Z$1000,$N90),""),IF(INDEX('Cronograma R. Operacional'!$I$5:$I$1000,$N90)="","",INDEX('Cronograma R. Operacional'!$I$5:$I$1000,$N90))))</f>
        <v/>
      </c>
      <c r="I90" s="67">
        <f>IF($N90="","",IF($P90&gt;0,IF(3&lt;=SemanaActual,INDEX('Cronograma R. Operacional'!$AA$5:$AA$1000,$N90),""),IF(INDEX('Cronograma R. Operacional'!$J$5:$J$1000,$N90)="","",INDEX('Cronograma R. Operacional'!$J$5:$J$1000,$N90))))</f>
        <v/>
      </c>
      <c r="J90" s="67">
        <f>IF($N90="","",IF($P90&gt;0,IF(4&lt;=SemanaActual,INDEX('Cronograma R. Operacional'!$AB$5:$AB$1000,$N90),""),IF(INDEX('Cronograma R. Operacional'!$K$5:$K$1000,$N90)="","",INDEX('Cronograma R. Operacional'!$K$5:$K$1000,$N90))))</f>
        <v/>
      </c>
      <c r="K90" s="67">
        <f>IF($N90="","",INDEX('Cronograma R. Operacional'!$L$5:$L$1000,$N90))</f>
        <v/>
      </c>
      <c r="L90" s="61">
        <f>IF($N90="","",IF(N($K90)&gt;=1,"Completado",IF(AND(ISNUMBER($E90),$E90&lt;FechaRef),"Vencida",IF(N($K90)&gt;0,"En curso","Pendiente"))))</f>
        <v/>
      </c>
      <c r="M90" s="70">
        <f>IF($N90="","",INDEX('Cronograma R. Operacional'!$N$5:$N$1000,$N90)&amp;"")</f>
        <v/>
      </c>
      <c r="N90">
        <f>IFERROR(MATCH(ROW()-4,rOrden_RO,0),"")</f>
        <v/>
      </c>
      <c r="O90">
        <f>IF($N90="","",INDEX('Cronograma R. Operacional'!$S$5:$S$1000,$N90))</f>
        <v/>
      </c>
      <c r="P90">
        <f>IF($N90="","",N(INDEX('Cronograma R. Operacional'!$T$5:$T$1000,$N90)))</f>
        <v/>
      </c>
    </row>
    <row r="91">
      <c r="A91" s="61">
        <f>IF($N91="","",INDEX('Cronograma R. Operacional'!$A$5:$A$1000,$N91))</f>
        <v/>
      </c>
      <c r="B91" s="70">
        <f>IF($N91="","",IF($O91="Sub","     ↳ "&amp;INDEX('Cronograma R. Operacional'!$C$5:$C$1000,$N91),INDEX('Cronograma R. Operacional'!$B$5:$B$1000,$N91)&amp;""))</f>
        <v/>
      </c>
      <c r="C91" s="70">
        <f>IF($N91="","",INDEX('Cronograma R. Operacional'!$D$5:$D$1000,$N91)&amp;"")</f>
        <v/>
      </c>
      <c r="D91" s="76">
        <f>IF($N91="","",IF(INDEX('Cronograma R. Operacional'!$E$5:$E$1000,$N91)="","",INDEX('Cronograma R. Operacional'!$E$5:$E$1000,$N91)))</f>
        <v/>
      </c>
      <c r="E91" s="76">
        <f>IF($N91="","",IF(INDEX('Cronograma R. Operacional'!$F$5:$F$1000,$N91)="","",INDEX('Cronograma R. Operacional'!$F$5:$F$1000,$N91)))</f>
        <v/>
      </c>
      <c r="F91" s="61">
        <f>IF($N91="","",IF(NOT(ISNUMBER($E91)),"",IF($E91&lt;InicioCiclo,"Antes del ciclo",IF($E91&gt;=InicioCiclo+28,"Después del ciclo","Semana "&amp;(INT(($E91-InicioCiclo)/7)+1)))))</f>
        <v/>
      </c>
      <c r="G91" s="67">
        <f>IF($N91="","",IF($P91&gt;0,IF(1&lt;=SemanaActual,INDEX('Cronograma R. Operacional'!$Y$5:$Y$1000,$N91),""),IF(INDEX('Cronograma R. Operacional'!$H$5:$H$1000,$N91)="","",INDEX('Cronograma R. Operacional'!$H$5:$H$1000,$N91))))</f>
        <v/>
      </c>
      <c r="H91" s="67">
        <f>IF($N91="","",IF($P91&gt;0,IF(2&lt;=SemanaActual,INDEX('Cronograma R. Operacional'!$Z$5:$Z$1000,$N91),""),IF(INDEX('Cronograma R. Operacional'!$I$5:$I$1000,$N91)="","",INDEX('Cronograma R. Operacional'!$I$5:$I$1000,$N91))))</f>
        <v/>
      </c>
      <c r="I91" s="67">
        <f>IF($N91="","",IF($P91&gt;0,IF(3&lt;=SemanaActual,INDEX('Cronograma R. Operacional'!$AA$5:$AA$1000,$N91),""),IF(INDEX('Cronograma R. Operacional'!$J$5:$J$1000,$N91)="","",INDEX('Cronograma R. Operacional'!$J$5:$J$1000,$N91))))</f>
        <v/>
      </c>
      <c r="J91" s="67">
        <f>IF($N91="","",IF($P91&gt;0,IF(4&lt;=SemanaActual,INDEX('Cronograma R. Operacional'!$AB$5:$AB$1000,$N91),""),IF(INDEX('Cronograma R. Operacional'!$K$5:$K$1000,$N91)="","",INDEX('Cronograma R. Operacional'!$K$5:$K$1000,$N91))))</f>
        <v/>
      </c>
      <c r="K91" s="67">
        <f>IF($N91="","",INDEX('Cronograma R. Operacional'!$L$5:$L$1000,$N91))</f>
        <v/>
      </c>
      <c r="L91" s="61">
        <f>IF($N91="","",IF(N($K91)&gt;=1,"Completado",IF(AND(ISNUMBER($E91),$E91&lt;FechaRef),"Vencida",IF(N($K91)&gt;0,"En curso","Pendiente"))))</f>
        <v/>
      </c>
      <c r="M91" s="70">
        <f>IF($N91="","",INDEX('Cronograma R. Operacional'!$N$5:$N$1000,$N91)&amp;"")</f>
        <v/>
      </c>
      <c r="N91">
        <f>IFERROR(MATCH(ROW()-4,rOrden_RO,0),"")</f>
        <v/>
      </c>
      <c r="O91">
        <f>IF($N91="","",INDEX('Cronograma R. Operacional'!$S$5:$S$1000,$N91))</f>
        <v/>
      </c>
      <c r="P91">
        <f>IF($N91="","",N(INDEX('Cronograma R. Operacional'!$T$5:$T$1000,$N91)))</f>
        <v/>
      </c>
    </row>
    <row r="92">
      <c r="A92" s="61">
        <f>IF($N92="","",INDEX('Cronograma R. Operacional'!$A$5:$A$1000,$N92))</f>
        <v/>
      </c>
      <c r="B92" s="70">
        <f>IF($N92="","",IF($O92="Sub","     ↳ "&amp;INDEX('Cronograma R. Operacional'!$C$5:$C$1000,$N92),INDEX('Cronograma R. Operacional'!$B$5:$B$1000,$N92)&amp;""))</f>
        <v/>
      </c>
      <c r="C92" s="70">
        <f>IF($N92="","",INDEX('Cronograma R. Operacional'!$D$5:$D$1000,$N92)&amp;"")</f>
        <v/>
      </c>
      <c r="D92" s="76">
        <f>IF($N92="","",IF(INDEX('Cronograma R. Operacional'!$E$5:$E$1000,$N92)="","",INDEX('Cronograma R. Operacional'!$E$5:$E$1000,$N92)))</f>
        <v/>
      </c>
      <c r="E92" s="76">
        <f>IF($N92="","",IF(INDEX('Cronograma R. Operacional'!$F$5:$F$1000,$N92)="","",INDEX('Cronograma R. Operacional'!$F$5:$F$1000,$N92)))</f>
        <v/>
      </c>
      <c r="F92" s="61">
        <f>IF($N92="","",IF(NOT(ISNUMBER($E92)),"",IF($E92&lt;InicioCiclo,"Antes del ciclo",IF($E92&gt;=InicioCiclo+28,"Después del ciclo","Semana "&amp;(INT(($E92-InicioCiclo)/7)+1)))))</f>
        <v/>
      </c>
      <c r="G92" s="67">
        <f>IF($N92="","",IF($P92&gt;0,IF(1&lt;=SemanaActual,INDEX('Cronograma R. Operacional'!$Y$5:$Y$1000,$N92),""),IF(INDEX('Cronograma R. Operacional'!$H$5:$H$1000,$N92)="","",INDEX('Cronograma R. Operacional'!$H$5:$H$1000,$N92))))</f>
        <v/>
      </c>
      <c r="H92" s="67">
        <f>IF($N92="","",IF($P92&gt;0,IF(2&lt;=SemanaActual,INDEX('Cronograma R. Operacional'!$Z$5:$Z$1000,$N92),""),IF(INDEX('Cronograma R. Operacional'!$I$5:$I$1000,$N92)="","",INDEX('Cronograma R. Operacional'!$I$5:$I$1000,$N92))))</f>
        <v/>
      </c>
      <c r="I92" s="67">
        <f>IF($N92="","",IF($P92&gt;0,IF(3&lt;=SemanaActual,INDEX('Cronograma R. Operacional'!$AA$5:$AA$1000,$N92),""),IF(INDEX('Cronograma R. Operacional'!$J$5:$J$1000,$N92)="","",INDEX('Cronograma R. Operacional'!$J$5:$J$1000,$N92))))</f>
        <v/>
      </c>
      <c r="J92" s="67">
        <f>IF($N92="","",IF($P92&gt;0,IF(4&lt;=SemanaActual,INDEX('Cronograma R. Operacional'!$AB$5:$AB$1000,$N92),""),IF(INDEX('Cronograma R. Operacional'!$K$5:$K$1000,$N92)="","",INDEX('Cronograma R. Operacional'!$K$5:$K$1000,$N92))))</f>
        <v/>
      </c>
      <c r="K92" s="67">
        <f>IF($N92="","",INDEX('Cronograma R. Operacional'!$L$5:$L$1000,$N92))</f>
        <v/>
      </c>
      <c r="L92" s="61">
        <f>IF($N92="","",IF(N($K92)&gt;=1,"Completado",IF(AND(ISNUMBER($E92),$E92&lt;FechaRef),"Vencida",IF(N($K92)&gt;0,"En curso","Pendiente"))))</f>
        <v/>
      </c>
      <c r="M92" s="70">
        <f>IF($N92="","",INDEX('Cronograma R. Operacional'!$N$5:$N$1000,$N92)&amp;"")</f>
        <v/>
      </c>
      <c r="N92">
        <f>IFERROR(MATCH(ROW()-4,rOrden_RO,0),"")</f>
        <v/>
      </c>
      <c r="O92">
        <f>IF($N92="","",INDEX('Cronograma R. Operacional'!$S$5:$S$1000,$N92))</f>
        <v/>
      </c>
      <c r="P92">
        <f>IF($N92="","",N(INDEX('Cronograma R. Operacional'!$T$5:$T$1000,$N92)))</f>
        <v/>
      </c>
    </row>
    <row r="93">
      <c r="A93" s="61">
        <f>IF($N93="","",INDEX('Cronograma R. Operacional'!$A$5:$A$1000,$N93))</f>
        <v/>
      </c>
      <c r="B93" s="70">
        <f>IF($N93="","",IF($O93="Sub","     ↳ "&amp;INDEX('Cronograma R. Operacional'!$C$5:$C$1000,$N93),INDEX('Cronograma R. Operacional'!$B$5:$B$1000,$N93)&amp;""))</f>
        <v/>
      </c>
      <c r="C93" s="70">
        <f>IF($N93="","",INDEX('Cronograma R. Operacional'!$D$5:$D$1000,$N93)&amp;"")</f>
        <v/>
      </c>
      <c r="D93" s="76">
        <f>IF($N93="","",IF(INDEX('Cronograma R. Operacional'!$E$5:$E$1000,$N93)="","",INDEX('Cronograma R. Operacional'!$E$5:$E$1000,$N93)))</f>
        <v/>
      </c>
      <c r="E93" s="76">
        <f>IF($N93="","",IF(INDEX('Cronograma R. Operacional'!$F$5:$F$1000,$N93)="","",INDEX('Cronograma R. Operacional'!$F$5:$F$1000,$N93)))</f>
        <v/>
      </c>
      <c r="F93" s="61">
        <f>IF($N93="","",IF(NOT(ISNUMBER($E93)),"",IF($E93&lt;InicioCiclo,"Antes del ciclo",IF($E93&gt;=InicioCiclo+28,"Después del ciclo","Semana "&amp;(INT(($E93-InicioCiclo)/7)+1)))))</f>
        <v/>
      </c>
      <c r="G93" s="67">
        <f>IF($N93="","",IF($P93&gt;0,IF(1&lt;=SemanaActual,INDEX('Cronograma R. Operacional'!$Y$5:$Y$1000,$N93),""),IF(INDEX('Cronograma R. Operacional'!$H$5:$H$1000,$N93)="","",INDEX('Cronograma R. Operacional'!$H$5:$H$1000,$N93))))</f>
        <v/>
      </c>
      <c r="H93" s="67">
        <f>IF($N93="","",IF($P93&gt;0,IF(2&lt;=SemanaActual,INDEX('Cronograma R. Operacional'!$Z$5:$Z$1000,$N93),""),IF(INDEX('Cronograma R. Operacional'!$I$5:$I$1000,$N93)="","",INDEX('Cronograma R. Operacional'!$I$5:$I$1000,$N93))))</f>
        <v/>
      </c>
      <c r="I93" s="67">
        <f>IF($N93="","",IF($P93&gt;0,IF(3&lt;=SemanaActual,INDEX('Cronograma R. Operacional'!$AA$5:$AA$1000,$N93),""),IF(INDEX('Cronograma R. Operacional'!$J$5:$J$1000,$N93)="","",INDEX('Cronograma R. Operacional'!$J$5:$J$1000,$N93))))</f>
        <v/>
      </c>
      <c r="J93" s="67">
        <f>IF($N93="","",IF($P93&gt;0,IF(4&lt;=SemanaActual,INDEX('Cronograma R. Operacional'!$AB$5:$AB$1000,$N93),""),IF(INDEX('Cronograma R. Operacional'!$K$5:$K$1000,$N93)="","",INDEX('Cronograma R. Operacional'!$K$5:$K$1000,$N93))))</f>
        <v/>
      </c>
      <c r="K93" s="67">
        <f>IF($N93="","",INDEX('Cronograma R. Operacional'!$L$5:$L$1000,$N93))</f>
        <v/>
      </c>
      <c r="L93" s="61">
        <f>IF($N93="","",IF(N($K93)&gt;=1,"Completado",IF(AND(ISNUMBER($E93),$E93&lt;FechaRef),"Vencida",IF(N($K93)&gt;0,"En curso","Pendiente"))))</f>
        <v/>
      </c>
      <c r="M93" s="70">
        <f>IF($N93="","",INDEX('Cronograma R. Operacional'!$N$5:$N$1000,$N93)&amp;"")</f>
        <v/>
      </c>
      <c r="N93">
        <f>IFERROR(MATCH(ROW()-4,rOrden_RO,0),"")</f>
        <v/>
      </c>
      <c r="O93">
        <f>IF($N93="","",INDEX('Cronograma R. Operacional'!$S$5:$S$1000,$N93))</f>
        <v/>
      </c>
      <c r="P93">
        <f>IF($N93="","",N(INDEX('Cronograma R. Operacional'!$T$5:$T$1000,$N93)))</f>
        <v/>
      </c>
    </row>
    <row r="94">
      <c r="A94" s="61">
        <f>IF($N94="","",INDEX('Cronograma R. Operacional'!$A$5:$A$1000,$N94))</f>
        <v/>
      </c>
      <c r="B94" s="70">
        <f>IF($N94="","",IF($O94="Sub","     ↳ "&amp;INDEX('Cronograma R. Operacional'!$C$5:$C$1000,$N94),INDEX('Cronograma R. Operacional'!$B$5:$B$1000,$N94)&amp;""))</f>
        <v/>
      </c>
      <c r="C94" s="70">
        <f>IF($N94="","",INDEX('Cronograma R. Operacional'!$D$5:$D$1000,$N94)&amp;"")</f>
        <v/>
      </c>
      <c r="D94" s="76">
        <f>IF($N94="","",IF(INDEX('Cronograma R. Operacional'!$E$5:$E$1000,$N94)="","",INDEX('Cronograma R. Operacional'!$E$5:$E$1000,$N94)))</f>
        <v/>
      </c>
      <c r="E94" s="76">
        <f>IF($N94="","",IF(INDEX('Cronograma R. Operacional'!$F$5:$F$1000,$N94)="","",INDEX('Cronograma R. Operacional'!$F$5:$F$1000,$N94)))</f>
        <v/>
      </c>
      <c r="F94" s="61">
        <f>IF($N94="","",IF(NOT(ISNUMBER($E94)),"",IF($E94&lt;InicioCiclo,"Antes del ciclo",IF($E94&gt;=InicioCiclo+28,"Después del ciclo","Semana "&amp;(INT(($E94-InicioCiclo)/7)+1)))))</f>
        <v/>
      </c>
      <c r="G94" s="67">
        <f>IF($N94="","",IF($P94&gt;0,IF(1&lt;=SemanaActual,INDEX('Cronograma R. Operacional'!$Y$5:$Y$1000,$N94),""),IF(INDEX('Cronograma R. Operacional'!$H$5:$H$1000,$N94)="","",INDEX('Cronograma R. Operacional'!$H$5:$H$1000,$N94))))</f>
        <v/>
      </c>
      <c r="H94" s="67">
        <f>IF($N94="","",IF($P94&gt;0,IF(2&lt;=SemanaActual,INDEX('Cronograma R. Operacional'!$Z$5:$Z$1000,$N94),""),IF(INDEX('Cronograma R. Operacional'!$I$5:$I$1000,$N94)="","",INDEX('Cronograma R. Operacional'!$I$5:$I$1000,$N94))))</f>
        <v/>
      </c>
      <c r="I94" s="67">
        <f>IF($N94="","",IF($P94&gt;0,IF(3&lt;=SemanaActual,INDEX('Cronograma R. Operacional'!$AA$5:$AA$1000,$N94),""),IF(INDEX('Cronograma R. Operacional'!$J$5:$J$1000,$N94)="","",INDEX('Cronograma R. Operacional'!$J$5:$J$1000,$N94))))</f>
        <v/>
      </c>
      <c r="J94" s="67">
        <f>IF($N94="","",IF($P94&gt;0,IF(4&lt;=SemanaActual,INDEX('Cronograma R. Operacional'!$AB$5:$AB$1000,$N94),""),IF(INDEX('Cronograma R. Operacional'!$K$5:$K$1000,$N94)="","",INDEX('Cronograma R. Operacional'!$K$5:$K$1000,$N94))))</f>
        <v/>
      </c>
      <c r="K94" s="67">
        <f>IF($N94="","",INDEX('Cronograma R. Operacional'!$L$5:$L$1000,$N94))</f>
        <v/>
      </c>
      <c r="L94" s="61">
        <f>IF($N94="","",IF(N($K94)&gt;=1,"Completado",IF(AND(ISNUMBER($E94),$E94&lt;FechaRef),"Vencida",IF(N($K94)&gt;0,"En curso","Pendiente"))))</f>
        <v/>
      </c>
      <c r="M94" s="70">
        <f>IF($N94="","",INDEX('Cronograma R. Operacional'!$N$5:$N$1000,$N94)&amp;"")</f>
        <v/>
      </c>
      <c r="N94">
        <f>IFERROR(MATCH(ROW()-4,rOrden_RO,0),"")</f>
        <v/>
      </c>
      <c r="O94">
        <f>IF($N94="","",INDEX('Cronograma R. Operacional'!$S$5:$S$1000,$N94))</f>
        <v/>
      </c>
      <c r="P94">
        <f>IF($N94="","",N(INDEX('Cronograma R. Operacional'!$T$5:$T$1000,$N94)))</f>
        <v/>
      </c>
    </row>
    <row r="95">
      <c r="A95" s="61">
        <f>IF($N95="","",INDEX('Cronograma R. Operacional'!$A$5:$A$1000,$N95))</f>
        <v/>
      </c>
      <c r="B95" s="70">
        <f>IF($N95="","",IF($O95="Sub","     ↳ "&amp;INDEX('Cronograma R. Operacional'!$C$5:$C$1000,$N95),INDEX('Cronograma R. Operacional'!$B$5:$B$1000,$N95)&amp;""))</f>
        <v/>
      </c>
      <c r="C95" s="70">
        <f>IF($N95="","",INDEX('Cronograma R. Operacional'!$D$5:$D$1000,$N95)&amp;"")</f>
        <v/>
      </c>
      <c r="D95" s="76">
        <f>IF($N95="","",IF(INDEX('Cronograma R. Operacional'!$E$5:$E$1000,$N95)="","",INDEX('Cronograma R. Operacional'!$E$5:$E$1000,$N95)))</f>
        <v/>
      </c>
      <c r="E95" s="76">
        <f>IF($N95="","",IF(INDEX('Cronograma R. Operacional'!$F$5:$F$1000,$N95)="","",INDEX('Cronograma R. Operacional'!$F$5:$F$1000,$N95)))</f>
        <v/>
      </c>
      <c r="F95" s="61">
        <f>IF($N95="","",IF(NOT(ISNUMBER($E95)),"",IF($E95&lt;InicioCiclo,"Antes del ciclo",IF($E95&gt;=InicioCiclo+28,"Después del ciclo","Semana "&amp;(INT(($E95-InicioCiclo)/7)+1)))))</f>
        <v/>
      </c>
      <c r="G95" s="67">
        <f>IF($N95="","",IF($P95&gt;0,IF(1&lt;=SemanaActual,INDEX('Cronograma R. Operacional'!$Y$5:$Y$1000,$N95),""),IF(INDEX('Cronograma R. Operacional'!$H$5:$H$1000,$N95)="","",INDEX('Cronograma R. Operacional'!$H$5:$H$1000,$N95))))</f>
        <v/>
      </c>
      <c r="H95" s="67">
        <f>IF($N95="","",IF($P95&gt;0,IF(2&lt;=SemanaActual,INDEX('Cronograma R. Operacional'!$Z$5:$Z$1000,$N95),""),IF(INDEX('Cronograma R. Operacional'!$I$5:$I$1000,$N95)="","",INDEX('Cronograma R. Operacional'!$I$5:$I$1000,$N95))))</f>
        <v/>
      </c>
      <c r="I95" s="67">
        <f>IF($N95="","",IF($P95&gt;0,IF(3&lt;=SemanaActual,INDEX('Cronograma R. Operacional'!$AA$5:$AA$1000,$N95),""),IF(INDEX('Cronograma R. Operacional'!$J$5:$J$1000,$N95)="","",INDEX('Cronograma R. Operacional'!$J$5:$J$1000,$N95))))</f>
        <v/>
      </c>
      <c r="J95" s="67">
        <f>IF($N95="","",IF($P95&gt;0,IF(4&lt;=SemanaActual,INDEX('Cronograma R. Operacional'!$AB$5:$AB$1000,$N95),""),IF(INDEX('Cronograma R. Operacional'!$K$5:$K$1000,$N95)="","",INDEX('Cronograma R. Operacional'!$K$5:$K$1000,$N95))))</f>
        <v/>
      </c>
      <c r="K95" s="67">
        <f>IF($N95="","",INDEX('Cronograma R. Operacional'!$L$5:$L$1000,$N95))</f>
        <v/>
      </c>
      <c r="L95" s="61">
        <f>IF($N95="","",IF(N($K95)&gt;=1,"Completado",IF(AND(ISNUMBER($E95),$E95&lt;FechaRef),"Vencida",IF(N($K95)&gt;0,"En curso","Pendiente"))))</f>
        <v/>
      </c>
      <c r="M95" s="70">
        <f>IF($N95="","",INDEX('Cronograma R. Operacional'!$N$5:$N$1000,$N95)&amp;"")</f>
        <v/>
      </c>
      <c r="N95">
        <f>IFERROR(MATCH(ROW()-4,rOrden_RO,0),"")</f>
        <v/>
      </c>
      <c r="O95">
        <f>IF($N95="","",INDEX('Cronograma R. Operacional'!$S$5:$S$1000,$N95))</f>
        <v/>
      </c>
      <c r="P95">
        <f>IF($N95="","",N(INDEX('Cronograma R. Operacional'!$T$5:$T$1000,$N95)))</f>
        <v/>
      </c>
    </row>
    <row r="96">
      <c r="A96" s="61">
        <f>IF($N96="","",INDEX('Cronograma R. Operacional'!$A$5:$A$1000,$N96))</f>
        <v/>
      </c>
      <c r="B96" s="70">
        <f>IF($N96="","",IF($O96="Sub","     ↳ "&amp;INDEX('Cronograma R. Operacional'!$C$5:$C$1000,$N96),INDEX('Cronograma R. Operacional'!$B$5:$B$1000,$N96)&amp;""))</f>
        <v/>
      </c>
      <c r="C96" s="70">
        <f>IF($N96="","",INDEX('Cronograma R. Operacional'!$D$5:$D$1000,$N96)&amp;"")</f>
        <v/>
      </c>
      <c r="D96" s="76">
        <f>IF($N96="","",IF(INDEX('Cronograma R. Operacional'!$E$5:$E$1000,$N96)="","",INDEX('Cronograma R. Operacional'!$E$5:$E$1000,$N96)))</f>
        <v/>
      </c>
      <c r="E96" s="76">
        <f>IF($N96="","",IF(INDEX('Cronograma R. Operacional'!$F$5:$F$1000,$N96)="","",INDEX('Cronograma R. Operacional'!$F$5:$F$1000,$N96)))</f>
        <v/>
      </c>
      <c r="F96" s="61">
        <f>IF($N96="","",IF(NOT(ISNUMBER($E96)),"",IF($E96&lt;InicioCiclo,"Antes del ciclo",IF($E96&gt;=InicioCiclo+28,"Después del ciclo","Semana "&amp;(INT(($E96-InicioCiclo)/7)+1)))))</f>
        <v/>
      </c>
      <c r="G96" s="67">
        <f>IF($N96="","",IF($P96&gt;0,IF(1&lt;=SemanaActual,INDEX('Cronograma R. Operacional'!$Y$5:$Y$1000,$N96),""),IF(INDEX('Cronograma R. Operacional'!$H$5:$H$1000,$N96)="","",INDEX('Cronograma R. Operacional'!$H$5:$H$1000,$N96))))</f>
        <v/>
      </c>
      <c r="H96" s="67">
        <f>IF($N96="","",IF($P96&gt;0,IF(2&lt;=SemanaActual,INDEX('Cronograma R. Operacional'!$Z$5:$Z$1000,$N96),""),IF(INDEX('Cronograma R. Operacional'!$I$5:$I$1000,$N96)="","",INDEX('Cronograma R. Operacional'!$I$5:$I$1000,$N96))))</f>
        <v/>
      </c>
      <c r="I96" s="67">
        <f>IF($N96="","",IF($P96&gt;0,IF(3&lt;=SemanaActual,INDEX('Cronograma R. Operacional'!$AA$5:$AA$1000,$N96),""),IF(INDEX('Cronograma R. Operacional'!$J$5:$J$1000,$N96)="","",INDEX('Cronograma R. Operacional'!$J$5:$J$1000,$N96))))</f>
        <v/>
      </c>
      <c r="J96" s="67">
        <f>IF($N96="","",IF($P96&gt;0,IF(4&lt;=SemanaActual,INDEX('Cronograma R. Operacional'!$AB$5:$AB$1000,$N96),""),IF(INDEX('Cronograma R. Operacional'!$K$5:$K$1000,$N96)="","",INDEX('Cronograma R. Operacional'!$K$5:$K$1000,$N96))))</f>
        <v/>
      </c>
      <c r="K96" s="67">
        <f>IF($N96="","",INDEX('Cronograma R. Operacional'!$L$5:$L$1000,$N96))</f>
        <v/>
      </c>
      <c r="L96" s="61">
        <f>IF($N96="","",IF(N($K96)&gt;=1,"Completado",IF(AND(ISNUMBER($E96),$E96&lt;FechaRef),"Vencida",IF(N($K96)&gt;0,"En curso","Pendiente"))))</f>
        <v/>
      </c>
      <c r="M96" s="70">
        <f>IF($N96="","",INDEX('Cronograma R. Operacional'!$N$5:$N$1000,$N96)&amp;"")</f>
        <v/>
      </c>
      <c r="N96">
        <f>IFERROR(MATCH(ROW()-4,rOrden_RO,0),"")</f>
        <v/>
      </c>
      <c r="O96">
        <f>IF($N96="","",INDEX('Cronograma R. Operacional'!$S$5:$S$1000,$N96))</f>
        <v/>
      </c>
      <c r="P96">
        <f>IF($N96="","",N(INDEX('Cronograma R. Operacional'!$T$5:$T$1000,$N96)))</f>
        <v/>
      </c>
    </row>
    <row r="97">
      <c r="A97" s="61">
        <f>IF($N97="","",INDEX('Cronograma R. Operacional'!$A$5:$A$1000,$N97))</f>
        <v/>
      </c>
      <c r="B97" s="70">
        <f>IF($N97="","",IF($O97="Sub","     ↳ "&amp;INDEX('Cronograma R. Operacional'!$C$5:$C$1000,$N97),INDEX('Cronograma R. Operacional'!$B$5:$B$1000,$N97)&amp;""))</f>
        <v/>
      </c>
      <c r="C97" s="70">
        <f>IF($N97="","",INDEX('Cronograma R. Operacional'!$D$5:$D$1000,$N97)&amp;"")</f>
        <v/>
      </c>
      <c r="D97" s="76">
        <f>IF($N97="","",IF(INDEX('Cronograma R. Operacional'!$E$5:$E$1000,$N97)="","",INDEX('Cronograma R. Operacional'!$E$5:$E$1000,$N97)))</f>
        <v/>
      </c>
      <c r="E97" s="76">
        <f>IF($N97="","",IF(INDEX('Cronograma R. Operacional'!$F$5:$F$1000,$N97)="","",INDEX('Cronograma R. Operacional'!$F$5:$F$1000,$N97)))</f>
        <v/>
      </c>
      <c r="F97" s="61">
        <f>IF($N97="","",IF(NOT(ISNUMBER($E97)),"",IF($E97&lt;InicioCiclo,"Antes del ciclo",IF($E97&gt;=InicioCiclo+28,"Después del ciclo","Semana "&amp;(INT(($E97-InicioCiclo)/7)+1)))))</f>
        <v/>
      </c>
      <c r="G97" s="67">
        <f>IF($N97="","",IF($P97&gt;0,IF(1&lt;=SemanaActual,INDEX('Cronograma R. Operacional'!$Y$5:$Y$1000,$N97),""),IF(INDEX('Cronograma R. Operacional'!$H$5:$H$1000,$N97)="","",INDEX('Cronograma R. Operacional'!$H$5:$H$1000,$N97))))</f>
        <v/>
      </c>
      <c r="H97" s="67">
        <f>IF($N97="","",IF($P97&gt;0,IF(2&lt;=SemanaActual,INDEX('Cronograma R. Operacional'!$Z$5:$Z$1000,$N97),""),IF(INDEX('Cronograma R. Operacional'!$I$5:$I$1000,$N97)="","",INDEX('Cronograma R. Operacional'!$I$5:$I$1000,$N97))))</f>
        <v/>
      </c>
      <c r="I97" s="67">
        <f>IF($N97="","",IF($P97&gt;0,IF(3&lt;=SemanaActual,INDEX('Cronograma R. Operacional'!$AA$5:$AA$1000,$N97),""),IF(INDEX('Cronograma R. Operacional'!$J$5:$J$1000,$N97)="","",INDEX('Cronograma R. Operacional'!$J$5:$J$1000,$N97))))</f>
        <v/>
      </c>
      <c r="J97" s="67">
        <f>IF($N97="","",IF($P97&gt;0,IF(4&lt;=SemanaActual,INDEX('Cronograma R. Operacional'!$AB$5:$AB$1000,$N97),""),IF(INDEX('Cronograma R. Operacional'!$K$5:$K$1000,$N97)="","",INDEX('Cronograma R. Operacional'!$K$5:$K$1000,$N97))))</f>
        <v/>
      </c>
      <c r="K97" s="67">
        <f>IF($N97="","",INDEX('Cronograma R. Operacional'!$L$5:$L$1000,$N97))</f>
        <v/>
      </c>
      <c r="L97" s="61">
        <f>IF($N97="","",IF(N($K97)&gt;=1,"Completado",IF(AND(ISNUMBER($E97),$E97&lt;FechaRef),"Vencida",IF(N($K97)&gt;0,"En curso","Pendiente"))))</f>
        <v/>
      </c>
      <c r="M97" s="70">
        <f>IF($N97="","",INDEX('Cronograma R. Operacional'!$N$5:$N$1000,$N97)&amp;"")</f>
        <v/>
      </c>
      <c r="N97">
        <f>IFERROR(MATCH(ROW()-4,rOrden_RO,0),"")</f>
        <v/>
      </c>
      <c r="O97">
        <f>IF($N97="","",INDEX('Cronograma R. Operacional'!$S$5:$S$1000,$N97))</f>
        <v/>
      </c>
      <c r="P97">
        <f>IF($N97="","",N(INDEX('Cronograma R. Operacional'!$T$5:$T$1000,$N97)))</f>
        <v/>
      </c>
    </row>
    <row r="98">
      <c r="A98" s="61">
        <f>IF($N98="","",INDEX('Cronograma R. Operacional'!$A$5:$A$1000,$N98))</f>
        <v/>
      </c>
      <c r="B98" s="70">
        <f>IF($N98="","",IF($O98="Sub","     ↳ "&amp;INDEX('Cronograma R. Operacional'!$C$5:$C$1000,$N98),INDEX('Cronograma R. Operacional'!$B$5:$B$1000,$N98)&amp;""))</f>
        <v/>
      </c>
      <c r="C98" s="70">
        <f>IF($N98="","",INDEX('Cronograma R. Operacional'!$D$5:$D$1000,$N98)&amp;"")</f>
        <v/>
      </c>
      <c r="D98" s="76">
        <f>IF($N98="","",IF(INDEX('Cronograma R. Operacional'!$E$5:$E$1000,$N98)="","",INDEX('Cronograma R. Operacional'!$E$5:$E$1000,$N98)))</f>
        <v/>
      </c>
      <c r="E98" s="76">
        <f>IF($N98="","",IF(INDEX('Cronograma R. Operacional'!$F$5:$F$1000,$N98)="","",INDEX('Cronograma R. Operacional'!$F$5:$F$1000,$N98)))</f>
        <v/>
      </c>
      <c r="F98" s="61">
        <f>IF($N98="","",IF(NOT(ISNUMBER($E98)),"",IF($E98&lt;InicioCiclo,"Antes del ciclo",IF($E98&gt;=InicioCiclo+28,"Después del ciclo","Semana "&amp;(INT(($E98-InicioCiclo)/7)+1)))))</f>
        <v/>
      </c>
      <c r="G98" s="67">
        <f>IF($N98="","",IF($P98&gt;0,IF(1&lt;=SemanaActual,INDEX('Cronograma R. Operacional'!$Y$5:$Y$1000,$N98),""),IF(INDEX('Cronograma R. Operacional'!$H$5:$H$1000,$N98)="","",INDEX('Cronograma R. Operacional'!$H$5:$H$1000,$N98))))</f>
        <v/>
      </c>
      <c r="H98" s="67">
        <f>IF($N98="","",IF($P98&gt;0,IF(2&lt;=SemanaActual,INDEX('Cronograma R. Operacional'!$Z$5:$Z$1000,$N98),""),IF(INDEX('Cronograma R. Operacional'!$I$5:$I$1000,$N98)="","",INDEX('Cronograma R. Operacional'!$I$5:$I$1000,$N98))))</f>
        <v/>
      </c>
      <c r="I98" s="67">
        <f>IF($N98="","",IF($P98&gt;0,IF(3&lt;=SemanaActual,INDEX('Cronograma R. Operacional'!$AA$5:$AA$1000,$N98),""),IF(INDEX('Cronograma R. Operacional'!$J$5:$J$1000,$N98)="","",INDEX('Cronograma R. Operacional'!$J$5:$J$1000,$N98))))</f>
        <v/>
      </c>
      <c r="J98" s="67">
        <f>IF($N98="","",IF($P98&gt;0,IF(4&lt;=SemanaActual,INDEX('Cronograma R. Operacional'!$AB$5:$AB$1000,$N98),""),IF(INDEX('Cronograma R. Operacional'!$K$5:$K$1000,$N98)="","",INDEX('Cronograma R. Operacional'!$K$5:$K$1000,$N98))))</f>
        <v/>
      </c>
      <c r="K98" s="67">
        <f>IF($N98="","",INDEX('Cronograma R. Operacional'!$L$5:$L$1000,$N98))</f>
        <v/>
      </c>
      <c r="L98" s="61">
        <f>IF($N98="","",IF(N($K98)&gt;=1,"Completado",IF(AND(ISNUMBER($E98),$E98&lt;FechaRef),"Vencida",IF(N($K98)&gt;0,"En curso","Pendiente"))))</f>
        <v/>
      </c>
      <c r="M98" s="70">
        <f>IF($N98="","",INDEX('Cronograma R. Operacional'!$N$5:$N$1000,$N98)&amp;"")</f>
        <v/>
      </c>
      <c r="N98">
        <f>IFERROR(MATCH(ROW()-4,rOrden_RO,0),"")</f>
        <v/>
      </c>
      <c r="O98">
        <f>IF($N98="","",INDEX('Cronograma R. Operacional'!$S$5:$S$1000,$N98))</f>
        <v/>
      </c>
      <c r="P98">
        <f>IF($N98="","",N(INDEX('Cronograma R. Operacional'!$T$5:$T$1000,$N98)))</f>
        <v/>
      </c>
    </row>
    <row r="99">
      <c r="A99" s="61">
        <f>IF($N99="","",INDEX('Cronograma R. Operacional'!$A$5:$A$1000,$N99))</f>
        <v/>
      </c>
      <c r="B99" s="70">
        <f>IF($N99="","",IF($O99="Sub","     ↳ "&amp;INDEX('Cronograma R. Operacional'!$C$5:$C$1000,$N99),INDEX('Cronograma R. Operacional'!$B$5:$B$1000,$N99)&amp;""))</f>
        <v/>
      </c>
      <c r="C99" s="70">
        <f>IF($N99="","",INDEX('Cronograma R. Operacional'!$D$5:$D$1000,$N99)&amp;"")</f>
        <v/>
      </c>
      <c r="D99" s="76">
        <f>IF($N99="","",IF(INDEX('Cronograma R. Operacional'!$E$5:$E$1000,$N99)="","",INDEX('Cronograma R. Operacional'!$E$5:$E$1000,$N99)))</f>
        <v/>
      </c>
      <c r="E99" s="76">
        <f>IF($N99="","",IF(INDEX('Cronograma R. Operacional'!$F$5:$F$1000,$N99)="","",INDEX('Cronograma R. Operacional'!$F$5:$F$1000,$N99)))</f>
        <v/>
      </c>
      <c r="F99" s="61">
        <f>IF($N99="","",IF(NOT(ISNUMBER($E99)),"",IF($E99&lt;InicioCiclo,"Antes del ciclo",IF($E99&gt;=InicioCiclo+28,"Después del ciclo","Semana "&amp;(INT(($E99-InicioCiclo)/7)+1)))))</f>
        <v/>
      </c>
      <c r="G99" s="67">
        <f>IF($N99="","",IF($P99&gt;0,IF(1&lt;=SemanaActual,INDEX('Cronograma R. Operacional'!$Y$5:$Y$1000,$N99),""),IF(INDEX('Cronograma R. Operacional'!$H$5:$H$1000,$N99)="","",INDEX('Cronograma R. Operacional'!$H$5:$H$1000,$N99))))</f>
        <v/>
      </c>
      <c r="H99" s="67">
        <f>IF($N99="","",IF($P99&gt;0,IF(2&lt;=SemanaActual,INDEX('Cronograma R. Operacional'!$Z$5:$Z$1000,$N99),""),IF(INDEX('Cronograma R. Operacional'!$I$5:$I$1000,$N99)="","",INDEX('Cronograma R. Operacional'!$I$5:$I$1000,$N99))))</f>
        <v/>
      </c>
      <c r="I99" s="67">
        <f>IF($N99="","",IF($P99&gt;0,IF(3&lt;=SemanaActual,INDEX('Cronograma R. Operacional'!$AA$5:$AA$1000,$N99),""),IF(INDEX('Cronograma R. Operacional'!$J$5:$J$1000,$N99)="","",INDEX('Cronograma R. Operacional'!$J$5:$J$1000,$N99))))</f>
        <v/>
      </c>
      <c r="J99" s="67">
        <f>IF($N99="","",IF($P99&gt;0,IF(4&lt;=SemanaActual,INDEX('Cronograma R. Operacional'!$AB$5:$AB$1000,$N99),""),IF(INDEX('Cronograma R. Operacional'!$K$5:$K$1000,$N99)="","",INDEX('Cronograma R. Operacional'!$K$5:$K$1000,$N99))))</f>
        <v/>
      </c>
      <c r="K99" s="67">
        <f>IF($N99="","",INDEX('Cronograma R. Operacional'!$L$5:$L$1000,$N99))</f>
        <v/>
      </c>
      <c r="L99" s="61">
        <f>IF($N99="","",IF(N($K99)&gt;=1,"Completado",IF(AND(ISNUMBER($E99),$E99&lt;FechaRef),"Vencida",IF(N($K99)&gt;0,"En curso","Pendiente"))))</f>
        <v/>
      </c>
      <c r="M99" s="70">
        <f>IF($N99="","",INDEX('Cronograma R. Operacional'!$N$5:$N$1000,$N99)&amp;"")</f>
        <v/>
      </c>
      <c r="N99">
        <f>IFERROR(MATCH(ROW()-4,rOrden_RO,0),"")</f>
        <v/>
      </c>
      <c r="O99">
        <f>IF($N99="","",INDEX('Cronograma R. Operacional'!$S$5:$S$1000,$N99))</f>
        <v/>
      </c>
      <c r="P99">
        <f>IF($N99="","",N(INDEX('Cronograma R. Operacional'!$T$5:$T$1000,$N99)))</f>
        <v/>
      </c>
    </row>
    <row r="100">
      <c r="A100" s="61">
        <f>IF($N100="","",INDEX('Cronograma R. Operacional'!$A$5:$A$1000,$N100))</f>
        <v/>
      </c>
      <c r="B100" s="70">
        <f>IF($N100="","",IF($O100="Sub","     ↳ "&amp;INDEX('Cronograma R. Operacional'!$C$5:$C$1000,$N100),INDEX('Cronograma R. Operacional'!$B$5:$B$1000,$N100)&amp;""))</f>
        <v/>
      </c>
      <c r="C100" s="70">
        <f>IF($N100="","",INDEX('Cronograma R. Operacional'!$D$5:$D$1000,$N100)&amp;"")</f>
        <v/>
      </c>
      <c r="D100" s="76">
        <f>IF($N100="","",IF(INDEX('Cronograma R. Operacional'!$E$5:$E$1000,$N100)="","",INDEX('Cronograma R. Operacional'!$E$5:$E$1000,$N100)))</f>
        <v/>
      </c>
      <c r="E100" s="76">
        <f>IF($N100="","",IF(INDEX('Cronograma R. Operacional'!$F$5:$F$1000,$N100)="","",INDEX('Cronograma R. Operacional'!$F$5:$F$1000,$N100)))</f>
        <v/>
      </c>
      <c r="F100" s="61">
        <f>IF($N100="","",IF(NOT(ISNUMBER($E100)),"",IF($E100&lt;InicioCiclo,"Antes del ciclo",IF($E100&gt;=InicioCiclo+28,"Después del ciclo","Semana "&amp;(INT(($E100-InicioCiclo)/7)+1)))))</f>
        <v/>
      </c>
      <c r="G100" s="67">
        <f>IF($N100="","",IF($P100&gt;0,IF(1&lt;=SemanaActual,INDEX('Cronograma R. Operacional'!$Y$5:$Y$1000,$N100),""),IF(INDEX('Cronograma R. Operacional'!$H$5:$H$1000,$N100)="","",INDEX('Cronograma R. Operacional'!$H$5:$H$1000,$N100))))</f>
        <v/>
      </c>
      <c r="H100" s="67">
        <f>IF($N100="","",IF($P100&gt;0,IF(2&lt;=SemanaActual,INDEX('Cronograma R. Operacional'!$Z$5:$Z$1000,$N100),""),IF(INDEX('Cronograma R. Operacional'!$I$5:$I$1000,$N100)="","",INDEX('Cronograma R. Operacional'!$I$5:$I$1000,$N100))))</f>
        <v/>
      </c>
      <c r="I100" s="67">
        <f>IF($N100="","",IF($P100&gt;0,IF(3&lt;=SemanaActual,INDEX('Cronograma R. Operacional'!$AA$5:$AA$1000,$N100),""),IF(INDEX('Cronograma R. Operacional'!$J$5:$J$1000,$N100)="","",INDEX('Cronograma R. Operacional'!$J$5:$J$1000,$N100))))</f>
        <v/>
      </c>
      <c r="J100" s="67">
        <f>IF($N100="","",IF($P100&gt;0,IF(4&lt;=SemanaActual,INDEX('Cronograma R. Operacional'!$AB$5:$AB$1000,$N100),""),IF(INDEX('Cronograma R. Operacional'!$K$5:$K$1000,$N100)="","",INDEX('Cronograma R. Operacional'!$K$5:$K$1000,$N100))))</f>
        <v/>
      </c>
      <c r="K100" s="67">
        <f>IF($N100="","",INDEX('Cronograma R. Operacional'!$L$5:$L$1000,$N100))</f>
        <v/>
      </c>
      <c r="L100" s="61">
        <f>IF($N100="","",IF(N($K100)&gt;=1,"Completado",IF(AND(ISNUMBER($E100),$E100&lt;FechaRef),"Vencida",IF(N($K100)&gt;0,"En curso","Pendiente"))))</f>
        <v/>
      </c>
      <c r="M100" s="70">
        <f>IF($N100="","",INDEX('Cronograma R. Operacional'!$N$5:$N$1000,$N100)&amp;"")</f>
        <v/>
      </c>
      <c r="N100">
        <f>IFERROR(MATCH(ROW()-4,rOrden_RO,0),"")</f>
        <v/>
      </c>
      <c r="O100">
        <f>IF($N100="","",INDEX('Cronograma R. Operacional'!$S$5:$S$1000,$N100))</f>
        <v/>
      </c>
      <c r="P100">
        <f>IF($N100="","",N(INDEX('Cronograma R. Operacional'!$T$5:$T$1000,$N100)))</f>
        <v/>
      </c>
    </row>
    <row r="101">
      <c r="A101" s="61">
        <f>IF($N101="","",INDEX('Cronograma R. Operacional'!$A$5:$A$1000,$N101))</f>
        <v/>
      </c>
      <c r="B101" s="70">
        <f>IF($N101="","",IF($O101="Sub","     ↳ "&amp;INDEX('Cronograma R. Operacional'!$C$5:$C$1000,$N101),INDEX('Cronograma R. Operacional'!$B$5:$B$1000,$N101)&amp;""))</f>
        <v/>
      </c>
      <c r="C101" s="70">
        <f>IF($N101="","",INDEX('Cronograma R. Operacional'!$D$5:$D$1000,$N101)&amp;"")</f>
        <v/>
      </c>
      <c r="D101" s="76">
        <f>IF($N101="","",IF(INDEX('Cronograma R. Operacional'!$E$5:$E$1000,$N101)="","",INDEX('Cronograma R. Operacional'!$E$5:$E$1000,$N101)))</f>
        <v/>
      </c>
      <c r="E101" s="76">
        <f>IF($N101="","",IF(INDEX('Cronograma R. Operacional'!$F$5:$F$1000,$N101)="","",INDEX('Cronograma R. Operacional'!$F$5:$F$1000,$N101)))</f>
        <v/>
      </c>
      <c r="F101" s="61">
        <f>IF($N101="","",IF(NOT(ISNUMBER($E101)),"",IF($E101&lt;InicioCiclo,"Antes del ciclo",IF($E101&gt;=InicioCiclo+28,"Después del ciclo","Semana "&amp;(INT(($E101-InicioCiclo)/7)+1)))))</f>
        <v/>
      </c>
      <c r="G101" s="67">
        <f>IF($N101="","",IF($P101&gt;0,IF(1&lt;=SemanaActual,INDEX('Cronograma R. Operacional'!$Y$5:$Y$1000,$N101),""),IF(INDEX('Cronograma R. Operacional'!$H$5:$H$1000,$N101)="","",INDEX('Cronograma R. Operacional'!$H$5:$H$1000,$N101))))</f>
        <v/>
      </c>
      <c r="H101" s="67">
        <f>IF($N101="","",IF($P101&gt;0,IF(2&lt;=SemanaActual,INDEX('Cronograma R. Operacional'!$Z$5:$Z$1000,$N101),""),IF(INDEX('Cronograma R. Operacional'!$I$5:$I$1000,$N101)="","",INDEX('Cronograma R. Operacional'!$I$5:$I$1000,$N101))))</f>
        <v/>
      </c>
      <c r="I101" s="67">
        <f>IF($N101="","",IF($P101&gt;0,IF(3&lt;=SemanaActual,INDEX('Cronograma R. Operacional'!$AA$5:$AA$1000,$N101),""),IF(INDEX('Cronograma R. Operacional'!$J$5:$J$1000,$N101)="","",INDEX('Cronograma R. Operacional'!$J$5:$J$1000,$N101))))</f>
        <v/>
      </c>
      <c r="J101" s="67">
        <f>IF($N101="","",IF($P101&gt;0,IF(4&lt;=SemanaActual,INDEX('Cronograma R. Operacional'!$AB$5:$AB$1000,$N101),""),IF(INDEX('Cronograma R. Operacional'!$K$5:$K$1000,$N101)="","",INDEX('Cronograma R. Operacional'!$K$5:$K$1000,$N101))))</f>
        <v/>
      </c>
      <c r="K101" s="67">
        <f>IF($N101="","",INDEX('Cronograma R. Operacional'!$L$5:$L$1000,$N101))</f>
        <v/>
      </c>
      <c r="L101" s="61">
        <f>IF($N101="","",IF(N($K101)&gt;=1,"Completado",IF(AND(ISNUMBER($E101),$E101&lt;FechaRef),"Vencida",IF(N($K101)&gt;0,"En curso","Pendiente"))))</f>
        <v/>
      </c>
      <c r="M101" s="70">
        <f>IF($N101="","",INDEX('Cronograma R. Operacional'!$N$5:$N$1000,$N101)&amp;"")</f>
        <v/>
      </c>
      <c r="N101">
        <f>IFERROR(MATCH(ROW()-4,rOrden_RO,0),"")</f>
        <v/>
      </c>
      <c r="O101">
        <f>IF($N101="","",INDEX('Cronograma R. Operacional'!$S$5:$S$1000,$N101))</f>
        <v/>
      </c>
      <c r="P101">
        <f>IF($N101="","",N(INDEX('Cronograma R. Operacional'!$T$5:$T$1000,$N101)))</f>
        <v/>
      </c>
    </row>
    <row r="102">
      <c r="A102" s="61">
        <f>IF($N102="","",INDEX('Cronograma R. Operacional'!$A$5:$A$1000,$N102))</f>
        <v/>
      </c>
      <c r="B102" s="70">
        <f>IF($N102="","",IF($O102="Sub","     ↳ "&amp;INDEX('Cronograma R. Operacional'!$C$5:$C$1000,$N102),INDEX('Cronograma R. Operacional'!$B$5:$B$1000,$N102)&amp;""))</f>
        <v/>
      </c>
      <c r="C102" s="70">
        <f>IF($N102="","",INDEX('Cronograma R. Operacional'!$D$5:$D$1000,$N102)&amp;"")</f>
        <v/>
      </c>
      <c r="D102" s="76">
        <f>IF($N102="","",IF(INDEX('Cronograma R. Operacional'!$E$5:$E$1000,$N102)="","",INDEX('Cronograma R. Operacional'!$E$5:$E$1000,$N102)))</f>
        <v/>
      </c>
      <c r="E102" s="76">
        <f>IF($N102="","",IF(INDEX('Cronograma R. Operacional'!$F$5:$F$1000,$N102)="","",INDEX('Cronograma R. Operacional'!$F$5:$F$1000,$N102)))</f>
        <v/>
      </c>
      <c r="F102" s="61">
        <f>IF($N102="","",IF(NOT(ISNUMBER($E102)),"",IF($E102&lt;InicioCiclo,"Antes del ciclo",IF($E102&gt;=InicioCiclo+28,"Después del ciclo","Semana "&amp;(INT(($E102-InicioCiclo)/7)+1)))))</f>
        <v/>
      </c>
      <c r="G102" s="67">
        <f>IF($N102="","",IF($P102&gt;0,IF(1&lt;=SemanaActual,INDEX('Cronograma R. Operacional'!$Y$5:$Y$1000,$N102),""),IF(INDEX('Cronograma R. Operacional'!$H$5:$H$1000,$N102)="","",INDEX('Cronograma R. Operacional'!$H$5:$H$1000,$N102))))</f>
        <v/>
      </c>
      <c r="H102" s="67">
        <f>IF($N102="","",IF($P102&gt;0,IF(2&lt;=SemanaActual,INDEX('Cronograma R. Operacional'!$Z$5:$Z$1000,$N102),""),IF(INDEX('Cronograma R. Operacional'!$I$5:$I$1000,$N102)="","",INDEX('Cronograma R. Operacional'!$I$5:$I$1000,$N102))))</f>
        <v/>
      </c>
      <c r="I102" s="67">
        <f>IF($N102="","",IF($P102&gt;0,IF(3&lt;=SemanaActual,INDEX('Cronograma R. Operacional'!$AA$5:$AA$1000,$N102),""),IF(INDEX('Cronograma R. Operacional'!$J$5:$J$1000,$N102)="","",INDEX('Cronograma R. Operacional'!$J$5:$J$1000,$N102))))</f>
        <v/>
      </c>
      <c r="J102" s="67">
        <f>IF($N102="","",IF($P102&gt;0,IF(4&lt;=SemanaActual,INDEX('Cronograma R. Operacional'!$AB$5:$AB$1000,$N102),""),IF(INDEX('Cronograma R. Operacional'!$K$5:$K$1000,$N102)="","",INDEX('Cronograma R. Operacional'!$K$5:$K$1000,$N102))))</f>
        <v/>
      </c>
      <c r="K102" s="67">
        <f>IF($N102="","",INDEX('Cronograma R. Operacional'!$L$5:$L$1000,$N102))</f>
        <v/>
      </c>
      <c r="L102" s="61">
        <f>IF($N102="","",IF(N($K102)&gt;=1,"Completado",IF(AND(ISNUMBER($E102),$E102&lt;FechaRef),"Vencida",IF(N($K102)&gt;0,"En curso","Pendiente"))))</f>
        <v/>
      </c>
      <c r="M102" s="70">
        <f>IF($N102="","",INDEX('Cronograma R. Operacional'!$N$5:$N$1000,$N102)&amp;"")</f>
        <v/>
      </c>
      <c r="N102">
        <f>IFERROR(MATCH(ROW()-4,rOrden_RO,0),"")</f>
        <v/>
      </c>
      <c r="O102">
        <f>IF($N102="","",INDEX('Cronograma R. Operacional'!$S$5:$S$1000,$N102))</f>
        <v/>
      </c>
      <c r="P102">
        <f>IF($N102="","",N(INDEX('Cronograma R. Operacional'!$T$5:$T$1000,$N102)))</f>
        <v/>
      </c>
    </row>
    <row r="103">
      <c r="A103" s="61">
        <f>IF($N103="","",INDEX('Cronograma R. Operacional'!$A$5:$A$1000,$N103))</f>
        <v/>
      </c>
      <c r="B103" s="70">
        <f>IF($N103="","",IF($O103="Sub","     ↳ "&amp;INDEX('Cronograma R. Operacional'!$C$5:$C$1000,$N103),INDEX('Cronograma R. Operacional'!$B$5:$B$1000,$N103)&amp;""))</f>
        <v/>
      </c>
      <c r="C103" s="70">
        <f>IF($N103="","",INDEX('Cronograma R. Operacional'!$D$5:$D$1000,$N103)&amp;"")</f>
        <v/>
      </c>
      <c r="D103" s="76">
        <f>IF($N103="","",IF(INDEX('Cronograma R. Operacional'!$E$5:$E$1000,$N103)="","",INDEX('Cronograma R. Operacional'!$E$5:$E$1000,$N103)))</f>
        <v/>
      </c>
      <c r="E103" s="76">
        <f>IF($N103="","",IF(INDEX('Cronograma R. Operacional'!$F$5:$F$1000,$N103)="","",INDEX('Cronograma R. Operacional'!$F$5:$F$1000,$N103)))</f>
        <v/>
      </c>
      <c r="F103" s="61">
        <f>IF($N103="","",IF(NOT(ISNUMBER($E103)),"",IF($E103&lt;InicioCiclo,"Antes del ciclo",IF($E103&gt;=InicioCiclo+28,"Después del ciclo","Semana "&amp;(INT(($E103-InicioCiclo)/7)+1)))))</f>
        <v/>
      </c>
      <c r="G103" s="67">
        <f>IF($N103="","",IF($P103&gt;0,IF(1&lt;=SemanaActual,INDEX('Cronograma R. Operacional'!$Y$5:$Y$1000,$N103),""),IF(INDEX('Cronograma R. Operacional'!$H$5:$H$1000,$N103)="","",INDEX('Cronograma R. Operacional'!$H$5:$H$1000,$N103))))</f>
        <v/>
      </c>
      <c r="H103" s="67">
        <f>IF($N103="","",IF($P103&gt;0,IF(2&lt;=SemanaActual,INDEX('Cronograma R. Operacional'!$Z$5:$Z$1000,$N103),""),IF(INDEX('Cronograma R. Operacional'!$I$5:$I$1000,$N103)="","",INDEX('Cronograma R. Operacional'!$I$5:$I$1000,$N103))))</f>
        <v/>
      </c>
      <c r="I103" s="67">
        <f>IF($N103="","",IF($P103&gt;0,IF(3&lt;=SemanaActual,INDEX('Cronograma R. Operacional'!$AA$5:$AA$1000,$N103),""),IF(INDEX('Cronograma R. Operacional'!$J$5:$J$1000,$N103)="","",INDEX('Cronograma R. Operacional'!$J$5:$J$1000,$N103))))</f>
        <v/>
      </c>
      <c r="J103" s="67">
        <f>IF($N103="","",IF($P103&gt;0,IF(4&lt;=SemanaActual,INDEX('Cronograma R. Operacional'!$AB$5:$AB$1000,$N103),""),IF(INDEX('Cronograma R. Operacional'!$K$5:$K$1000,$N103)="","",INDEX('Cronograma R. Operacional'!$K$5:$K$1000,$N103))))</f>
        <v/>
      </c>
      <c r="K103" s="67">
        <f>IF($N103="","",INDEX('Cronograma R. Operacional'!$L$5:$L$1000,$N103))</f>
        <v/>
      </c>
      <c r="L103" s="61">
        <f>IF($N103="","",IF(N($K103)&gt;=1,"Completado",IF(AND(ISNUMBER($E103),$E103&lt;FechaRef),"Vencida",IF(N($K103)&gt;0,"En curso","Pendiente"))))</f>
        <v/>
      </c>
      <c r="M103" s="70">
        <f>IF($N103="","",INDEX('Cronograma R. Operacional'!$N$5:$N$1000,$N103)&amp;"")</f>
        <v/>
      </c>
      <c r="N103">
        <f>IFERROR(MATCH(ROW()-4,rOrden_RO,0),"")</f>
        <v/>
      </c>
      <c r="O103">
        <f>IF($N103="","",INDEX('Cronograma R. Operacional'!$S$5:$S$1000,$N103))</f>
        <v/>
      </c>
      <c r="P103">
        <f>IF($N103="","",N(INDEX('Cronograma R. Operacional'!$T$5:$T$1000,$N103)))</f>
        <v/>
      </c>
    </row>
    <row r="104">
      <c r="A104" s="61">
        <f>IF($N104="","",INDEX('Cronograma R. Operacional'!$A$5:$A$1000,$N104))</f>
        <v/>
      </c>
      <c r="B104" s="70">
        <f>IF($N104="","",IF($O104="Sub","     ↳ "&amp;INDEX('Cronograma R. Operacional'!$C$5:$C$1000,$N104),INDEX('Cronograma R. Operacional'!$B$5:$B$1000,$N104)&amp;""))</f>
        <v/>
      </c>
      <c r="C104" s="70">
        <f>IF($N104="","",INDEX('Cronograma R. Operacional'!$D$5:$D$1000,$N104)&amp;"")</f>
        <v/>
      </c>
      <c r="D104" s="76">
        <f>IF($N104="","",IF(INDEX('Cronograma R. Operacional'!$E$5:$E$1000,$N104)="","",INDEX('Cronograma R. Operacional'!$E$5:$E$1000,$N104)))</f>
        <v/>
      </c>
      <c r="E104" s="76">
        <f>IF($N104="","",IF(INDEX('Cronograma R. Operacional'!$F$5:$F$1000,$N104)="","",INDEX('Cronograma R. Operacional'!$F$5:$F$1000,$N104)))</f>
        <v/>
      </c>
      <c r="F104" s="61">
        <f>IF($N104="","",IF(NOT(ISNUMBER($E104)),"",IF($E104&lt;InicioCiclo,"Antes del ciclo",IF($E104&gt;=InicioCiclo+28,"Después del ciclo","Semana "&amp;(INT(($E104-InicioCiclo)/7)+1)))))</f>
        <v/>
      </c>
      <c r="G104" s="67">
        <f>IF($N104="","",IF($P104&gt;0,IF(1&lt;=SemanaActual,INDEX('Cronograma R. Operacional'!$Y$5:$Y$1000,$N104),""),IF(INDEX('Cronograma R. Operacional'!$H$5:$H$1000,$N104)="","",INDEX('Cronograma R. Operacional'!$H$5:$H$1000,$N104))))</f>
        <v/>
      </c>
      <c r="H104" s="67">
        <f>IF($N104="","",IF($P104&gt;0,IF(2&lt;=SemanaActual,INDEX('Cronograma R. Operacional'!$Z$5:$Z$1000,$N104),""),IF(INDEX('Cronograma R. Operacional'!$I$5:$I$1000,$N104)="","",INDEX('Cronograma R. Operacional'!$I$5:$I$1000,$N104))))</f>
        <v/>
      </c>
      <c r="I104" s="67">
        <f>IF($N104="","",IF($P104&gt;0,IF(3&lt;=SemanaActual,INDEX('Cronograma R. Operacional'!$AA$5:$AA$1000,$N104),""),IF(INDEX('Cronograma R. Operacional'!$J$5:$J$1000,$N104)="","",INDEX('Cronograma R. Operacional'!$J$5:$J$1000,$N104))))</f>
        <v/>
      </c>
      <c r="J104" s="67">
        <f>IF($N104="","",IF($P104&gt;0,IF(4&lt;=SemanaActual,INDEX('Cronograma R. Operacional'!$AB$5:$AB$1000,$N104),""),IF(INDEX('Cronograma R. Operacional'!$K$5:$K$1000,$N104)="","",INDEX('Cronograma R. Operacional'!$K$5:$K$1000,$N104))))</f>
        <v/>
      </c>
      <c r="K104" s="67">
        <f>IF($N104="","",INDEX('Cronograma R. Operacional'!$L$5:$L$1000,$N104))</f>
        <v/>
      </c>
      <c r="L104" s="61">
        <f>IF($N104="","",IF(N($K104)&gt;=1,"Completado",IF(AND(ISNUMBER($E104),$E104&lt;FechaRef),"Vencida",IF(N($K104)&gt;0,"En curso","Pendiente"))))</f>
        <v/>
      </c>
      <c r="M104" s="70">
        <f>IF($N104="","",INDEX('Cronograma R. Operacional'!$N$5:$N$1000,$N104)&amp;"")</f>
        <v/>
      </c>
      <c r="N104">
        <f>IFERROR(MATCH(ROW()-4,rOrden_RO,0),"")</f>
        <v/>
      </c>
      <c r="O104">
        <f>IF($N104="","",INDEX('Cronograma R. Operacional'!$S$5:$S$1000,$N104))</f>
        <v/>
      </c>
      <c r="P104">
        <f>IF($N104="","",N(INDEX('Cronograma R. Operacional'!$T$5:$T$1000,$N104)))</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G5:J104">
    <cfRule type="expression" priority="1" dxfId="6" stopIfTrue="1">
      <formula>AND(AND(ISNUMBER($D5),ISNUMBER($E5),$D5&lt;=InicioCiclo+7*(COLUMN(G5)-7)+6,$E5&gt;=InicioCiclo+7*(COLUMN(G5)-7)),$L5="Vencida")</formula>
    </cfRule>
    <cfRule type="expression" priority="2" dxfId="14">
      <formula>AND(ISNUMBER($D5),ISNUMBER($E5),$D5&lt;=InicioCiclo+7*(COLUMN(G5)-7)+6,$E5&gt;=InicioCiclo+7*(COLUMN(G5)-7))</formula>
    </cfRule>
  </conditionalFormatting>
  <conditionalFormatting sqref="A5:B104">
    <cfRule type="expression" priority="3" dxfId="10">
      <formula>$O5="Macro"</formula>
    </cfRule>
  </conditionalFormatting>
  <conditionalFormatting sqref="L5:L104">
    <cfRule type="expression" priority="4" dxfId="0">
      <formula>$L5="Completado"</formula>
    </cfRule>
    <cfRule type="expression" priority="5" dxfId="6">
      <formula>$L5="Vencida"</formula>
    </cfRule>
    <cfRule type="expression" priority="6" dxfId="4">
      <formula>$L5="En curso"</formula>
    </cfRule>
    <cfRule type="expression" priority="7" dxfId="5">
      <formula>$L5="Pendiente"</formula>
    </cfRule>
  </conditionalFormatting>
  <conditionalFormatting sqref="F5:F104">
    <cfRule type="expression" priority="8" dxfId="1">
      <formula>$F5="Semana "&amp;SemanaActual</formula>
    </cfRule>
  </conditionalFormatting>
  <conditionalFormatting sqref="K5:K104">
    <cfRule type="dataBar" priority="9">
      <dataBar showValue="1">
        <cfvo type="num" val="0"/>
        <cfvo type="num" val="1"/>
        <color rgb="005B9BD5"/>
      </dataBar>
    </cfRule>
  </conditionalFormatting>
  <conditionalFormatting sqref="G4:J4">
    <cfRule type="expression" priority="10" dxfId="1">
      <formula>COLUMN(G4)-6=SemanaActual</formula>
    </cfRule>
  </conditionalFormatting>
  <conditionalFormatting sqref="G3:J3">
    <cfRule type="expression" priority="11" dxfId="1">
      <formula>COLUMN(G3)-6=SemanaActual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7030A0"/>
    <outlinePr summaryBelow="1" summaryRight="1"/>
    <pageSetUpPr fitToPage="1"/>
  </sheetPr>
  <dimension ref="A1:AB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36" customWidth="1" min="3" max="3"/>
    <col width="20" customWidth="1" min="4" max="4"/>
    <col width="12" customWidth="1" min="5" max="5"/>
    <col width="12" customWidth="1" min="6" max="6"/>
    <col width="11" customWidth="1" min="7" max="7"/>
    <col width="11" customWidth="1" min="8" max="8"/>
    <col width="11" customWidth="1" min="9" max="9"/>
    <col width="11" customWidth="1" min="10" max="10"/>
    <col width="11" customWidth="1" min="11" max="11"/>
    <col width="12" customWidth="1" min="12" max="12"/>
    <col width="13" customWidth="1" min="13" max="13"/>
    <col width="38" customWidth="1" min="14" max="14"/>
    <col width="50" customWidth="1" min="15" max="15"/>
    <col width="15"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s>
  <sheetData>
    <row r="1" ht="28" customHeight="1">
      <c r="A1" s="77" t="inlineStr">
        <is>
          <t>Cronograma – Riesgo Normativo</t>
        </is>
      </c>
      <c r="B1" s="77" t="n"/>
      <c r="C1" s="77" t="n"/>
      <c r="D1" s="77" t="n"/>
      <c r="E1" s="77" t="n"/>
      <c r="F1" s="77" t="n"/>
      <c r="G1" s="77" t="n"/>
      <c r="H1" s="77" t="n"/>
      <c r="I1" s="77" t="n"/>
      <c r="J1" s="77" t="n"/>
      <c r="K1" s="77" t="n"/>
      <c r="L1" s="77" t="n"/>
      <c r="M1" s="77" t="n"/>
      <c r="N1" s="77" t="n"/>
      <c r="O1" s="77" t="n"/>
      <c r="P1" s="77" t="n"/>
    </row>
    <row r="2" ht="52" customHeight="1">
      <c r="A2" s="46" t="inlineStr">
        <is>
          <t>Llene solo las celdas GRIS SUAVE; las AZUL CLARO son automáticas y están bloqueadas. MACROACTIVIDAD: escriba el nombre en «Macro Actividad» y su peso. SUBACTIVIDADES (todas las que necesite): en las filas de abajo, escríbalas en «Subactividad» dejando vacía «Macro Actividad»; cada una lleva su propio avance semanal y el % de la macroactividad se calcula solo (promedio de sus subactividades). Si no tiene subactividades, escriba su avance directamente. En cada semana escriba el % TOTAL logrado hasta esa semana. Cada mes agregue sus actividades debajo de las anteriores (no borre los meses pasados: quedan como historial).</t>
        </is>
      </c>
      <c r="B2" s="46" t="n"/>
      <c r="C2" s="46" t="n"/>
      <c r="D2" s="46" t="n"/>
      <c r="E2" s="46" t="n"/>
      <c r="F2" s="46" t="n"/>
      <c r="G2" s="46" t="n"/>
      <c r="H2" s="46" t="n"/>
      <c r="I2" s="46" t="n"/>
      <c r="J2" s="46" t="n"/>
      <c r="K2" s="46" t="n"/>
      <c r="L2" s="46" t="n"/>
      <c r="M2" s="46" t="n"/>
      <c r="N2" s="46" t="n"/>
      <c r="O2" s="46" t="n"/>
      <c r="P2" s="46" t="n"/>
    </row>
    <row r="3">
      <c r="A3" s="54" t="inlineStr">
        <is>
          <t>Llenar</t>
        </is>
      </c>
      <c r="B3" s="55" t="inlineStr">
        <is>
          <t>Automático (bloqueado)</t>
        </is>
      </c>
      <c r="C3" s="78" t="inlineStr">
        <is>
          <t>Macroactividad</t>
        </is>
      </c>
      <c r="D3" s="57" t="inlineStr">
        <is>
          <t>Pesos del mes:</t>
        </is>
      </c>
      <c r="E3" s="58">
        <f>SUMIFS($G$5:$G$1000,$P$5:$P$1000,MesCiclo,$S$5:$S$1000,"Macro")</f>
        <v/>
      </c>
      <c r="F3" s="59">
        <f>IF(COUNTIFS($S$5:$S$1000,"Macro",$P$5:$P$1000,MesCiclo)=0,"",IF(ABS(E3-1)&lt;=0.0001,"✔ 100%","⚠ Debe sumar 100%"))</f>
        <v/>
      </c>
      <c r="G3" s="59" t="n"/>
    </row>
    <row r="4" ht="42" customHeight="1">
      <c r="A4" s="60" t="inlineStr">
        <is>
          <t>N°</t>
        </is>
      </c>
      <c r="B4" s="49" t="inlineStr">
        <is>
          <t>Macro Actividad</t>
        </is>
      </c>
      <c r="C4" s="49" t="inlineStr">
        <is>
          <t>Subactividad</t>
        </is>
      </c>
      <c r="D4" s="49" t="inlineStr">
        <is>
          <t>Responsable</t>
        </is>
      </c>
      <c r="E4" s="49" t="inlineStr">
        <is>
          <t>Fecha de inicio</t>
        </is>
      </c>
      <c r="F4" s="49" t="inlineStr">
        <is>
          <t>Fecha límite</t>
        </is>
      </c>
      <c r="G4" s="49" t="inlineStr">
        <is>
          <t>Peso de actividad (%)</t>
        </is>
      </c>
      <c r="H4" s="49" t="inlineStr">
        <is>
          <t>Avance Semana 1 (%)</t>
        </is>
      </c>
      <c r="I4" s="49" t="inlineStr">
        <is>
          <t>Avance Semana 2 (%)</t>
        </is>
      </c>
      <c r="J4" s="49" t="inlineStr">
        <is>
          <t>Avance Semana 3 (%)</t>
        </is>
      </c>
      <c r="K4" s="49" t="inlineStr">
        <is>
          <t>Avance Semana 4 (%)</t>
        </is>
      </c>
      <c r="L4" s="60" t="inlineStr">
        <is>
          <t>% de Avance Total Actual</t>
        </is>
      </c>
      <c r="M4" s="60" t="inlineStr">
        <is>
          <t>Estado</t>
        </is>
      </c>
      <c r="N4" s="49" t="inlineStr">
        <is>
          <t>Observaciones</t>
        </is>
      </c>
      <c r="O4" s="60" t="inlineStr">
        <is>
          <t>Revisión automática (alertas)</t>
        </is>
      </c>
      <c r="P4" s="60" t="inlineStr">
        <is>
          <t>Mes</t>
        </is>
      </c>
      <c r="Q4" s="60" t="inlineStr">
        <is>
          <t>Orden en el mes (aux)</t>
        </is>
      </c>
      <c r="R4" s="60" t="inlineStr">
        <is>
          <t>Grupo (aux)</t>
        </is>
      </c>
      <c r="S4" s="60" t="inlineStr">
        <is>
          <t>Tipo (aux)</t>
        </is>
      </c>
      <c r="T4" s="60" t="inlineStr">
        <is>
          <t>N subactividades (aux)</t>
        </is>
      </c>
      <c r="U4" s="60" t="inlineStr">
        <is>
          <t>Propio S1 (aux)</t>
        </is>
      </c>
      <c r="V4" s="60" t="inlineStr">
        <is>
          <t>Propio S2 (aux)</t>
        </is>
      </c>
      <c r="W4" s="60" t="inlineStr">
        <is>
          <t>Propio S3 (aux)</t>
        </is>
      </c>
      <c r="X4" s="60" t="inlineStr">
        <is>
          <t>Propio S4 (aux)</t>
        </is>
      </c>
      <c r="Y4" s="60" t="inlineStr">
        <is>
          <t>Efectivo S1 (aux)</t>
        </is>
      </c>
      <c r="Z4" s="60" t="inlineStr">
        <is>
          <t>Efectivo S2 (aux)</t>
        </is>
      </c>
      <c r="AA4" s="60" t="inlineStr">
        <is>
          <t>Efectivo S3 (aux)</t>
        </is>
      </c>
      <c r="AB4" s="60" t="inlineStr">
        <is>
          <t>Efectivo S4 (aux)</t>
        </is>
      </c>
    </row>
    <row r="5">
      <c r="A5" s="61">
        <f>IF(NOT((COUNTA($B5:$K5)+COUNTA($N5))&gt;0),"",IF($S5="Macro",COUNTIFS($S$5:$S5,"Macro",$P$5:$P5,$P5),IF(N($R5)=0,"?",COUNTIFS(INDEX($S$5:$S$1000,1):INDEX($S$5:$S$1000,$R5-4),"Macro",INDEX($P$5:$P$1000,1):INDEX($P$5:$P$1000,$R5-4),INDEX($P$5:$P$1000,$R5-4))&amp;"."&amp;COUNTIFS($R$5:$R5,$R5,$S$5:$S5,"Sub"))))</f>
        <v/>
      </c>
      <c r="B5" s="62" t="n"/>
      <c r="C5" s="63" t="n"/>
      <c r="D5" s="62" t="n"/>
      <c r="E5" s="64" t="n"/>
      <c r="F5" s="64" t="n"/>
      <c r="G5" s="65" t="n"/>
      <c r="H5" s="66" t="n"/>
      <c r="I5" s="66" t="n"/>
      <c r="J5" s="66" t="n"/>
      <c r="K5" s="66" t="n"/>
      <c r="L5" s="67">
        <f>IF(NOT((COUNTA($B5:$K5)+COUNTA($N5))&gt;0),"",IF(N($T5)&gt;0,$AB5,IFERROR(LOOKUP(2,1/(H5:K5&lt;&gt;""),H5:K5),0)))</f>
        <v/>
      </c>
      <c r="M5" s="61">
        <f>IF(L5="","",IF(L5&gt;=1,"Completado",IF(L5&gt;0,"En curso","Pendiente")))</f>
        <v/>
      </c>
      <c r="N5" s="62" t="n"/>
      <c r="O5" s="68">
        <f>IF(NOT((COUNTA($B5:$K5)+COUNTA($N5))&gt;0),"",IF((IF(AND($S5="Macro",$B5=""),"Macroactividad vacía"&amp;" · ","")&amp;IF(AND($B5&lt;&gt;"",$C5&lt;&gt;""),"Escriba la subactividad en otra fila, debajo de su macroactividad"&amp;" · ","")&amp;IF(AND($S5="Sub",N($R5)=0),"Subactividad sin macroactividad arriba"&amp;" · ","")&amp;IF($D5="","Sin responsable"&amp;" · ","")&amp;IF($E5="","Sin fecha de inicio"&amp;" · ","")&amp;IF($F5="","Sin fecha límite"&amp;" · ","")&amp;IF(OR(AND($E5&lt;&gt;"",NOT(ISNUMBER($E5))),AND($F5&lt;&gt;"",NOT(ISNUMBER($F5)))),"Fecha no válida"&amp;" · ","")&amp;IF(AND(ISNUMBER($E5),ISNUMBER($F5),$E5&gt;$F5),"Inicio posterior a fecha límite"&amp;" · ","")&amp;IF(AND($S5="Macro",$G5=""),"Peso vacío"&amp;" · ","")&amp;IF(AND($S5="Macro",$G5&lt;&gt;"",OR(NOT(ISNUMBER($G5)),$G5&lt;=0,$G5&gt;1)),"Peso fuera de rango"&amp;" · ","")&amp;IF(AND($S5="Sub",$G5&lt;&gt;""),"Las subactividades no llevan peso"&amp;" · ","")&amp;IF(AND($S5="Macro",ABS(SUMIFS($G$5:$G$1000,$P$5:$P$1000,$P5,$S$5:$S$1000,"Macro")-1)&gt;0.0001),"Pesos del mes suman "&amp;TEXT(SUMIFS($G$5:$G$1000,$P$5:$P$1000,$P5,$S$5:$S$1000,"Macro"),"0%")&amp;" · ","")&amp;IF(AND(N($T5)&gt;0,COUNT($H5:$K5)&gt;0),"Con subactividades: deje vacías las semanas (se calculan solas)"&amp;" · ","")&amp;IF((COUNTIF($H5:$K5,"&gt;1")+COUNTIF($H5:$K5,"&lt;0")+COUNTA($H5:$K5)-COUNT($H5:$K5))&gt;0,"Avance fuera de rango 0-100%"&amp;" · ","")&amp;IF(OR(AND($I5&lt;&gt;"",$I5&lt;$H5),AND($J5&lt;&gt;"",$J5&lt;MAX($H5:$I5)),AND($K5&lt;&gt;"",$K5&lt;MAX($H5:$J5))),"Avance semanal decreciente"&amp;" · ","")&amp;IF(AND(ISNUMBER($F5),$F5&lt;FechaRef,N($L5)&lt;1),"Vencida"&amp;" · ","")&amp;IF(AND(ObsObligatoria="Sí",ISNUMBER($F5),$F5&lt;FechaRef,N($L5)&lt;1,$N5=""),"Vencida sin observación"&amp;" · ",""))="","✔ OK","⚠ "&amp;LEFT(IF(AND($S5="Macro",$B5=""),"Macroactividad vacía"&amp;" · ","")&amp;IF(AND($B5&lt;&gt;"",$C5&lt;&gt;""),"Escriba la subactividad en otra fila, debajo de su macroactividad"&amp;" · ","")&amp;IF(AND($S5="Sub",N($R5)=0),"Subactividad sin macroactividad arriba"&amp;" · ","")&amp;IF($D5="","Sin responsable"&amp;" · ","")&amp;IF($E5="","Sin fecha de inicio"&amp;" · ","")&amp;IF($F5="","Sin fecha límite"&amp;" · ","")&amp;IF(OR(AND($E5&lt;&gt;"",NOT(ISNUMBER($E5))),AND($F5&lt;&gt;"",NOT(ISNUMBER($F5)))),"Fecha no válida"&amp;" · ","")&amp;IF(AND(ISNUMBER($E5),ISNUMBER($F5),$E5&gt;$F5),"Inicio posterior a fecha límite"&amp;" · ","")&amp;IF(AND($S5="Macro",$G5=""),"Peso vacío"&amp;" · ","")&amp;IF(AND($S5="Macro",$G5&lt;&gt;"",OR(NOT(ISNUMBER($G5)),$G5&lt;=0,$G5&gt;1)),"Peso fuera de rango"&amp;" · ","")&amp;IF(AND($S5="Sub",$G5&lt;&gt;""),"Las subactividades no llevan peso"&amp;" · ","")&amp;IF(AND($S5="Macro",ABS(SUMIFS($G$5:$G$1000,$P$5:$P$1000,$P5,$S$5:$S$1000,"Macro")-1)&gt;0.0001),"Pesos del mes suman "&amp;TEXT(SUMIFS($G$5:$G$1000,$P$5:$P$1000,$P5,$S$5:$S$1000,"Macro"),"0%")&amp;" · ","")&amp;IF(AND(N($T5)&gt;0,COUNT($H5:$K5)&gt;0),"Con subactividades: deje vacías las semanas (se calculan solas)"&amp;" · ","")&amp;IF((COUNTIF($H5:$K5,"&gt;1")+COUNTIF($H5:$K5,"&lt;0")+COUNTA($H5:$K5)-COUNT($H5:$K5))&gt;0,"Avance fuera de rango 0-100%"&amp;" · ","")&amp;IF(OR(AND($I5&lt;&gt;"",$I5&lt;$H5),AND($J5&lt;&gt;"",$J5&lt;MAX($H5:$I5)),AND($K5&lt;&gt;"",$K5&lt;MAX($H5:$J5))),"Avance semanal decreciente"&amp;" · ","")&amp;IF(AND(ISNUMBER($F5),$F5&lt;FechaRef,N($L5)&lt;1),"Vencida"&amp;" · ","")&amp;IF(AND(ObsObligatoria="Sí",ISNUMBER($F5),$F5&lt;FechaRef,N($L5)&lt;1,$N5=""),"Vencida sin observación"&amp;" · ",""),LEN(IF(AND($S5="Macro",$B5=""),"Macroactividad vacía"&amp;" · ","")&amp;IF(AND($B5&lt;&gt;"",$C5&lt;&gt;""),"Escriba la subactividad en otra fila, debajo de su macroactividad"&amp;" · ","")&amp;IF(AND($S5="Sub",N($R5)=0),"Subactividad sin macroactividad arriba"&amp;" · ","")&amp;IF($D5="","Sin responsable"&amp;" · ","")&amp;IF($E5="","Sin fecha de inicio"&amp;" · ","")&amp;IF($F5="","Sin fecha límite"&amp;" · ","")&amp;IF(OR(AND($E5&lt;&gt;"",NOT(ISNUMBER($E5))),AND($F5&lt;&gt;"",NOT(ISNUMBER($F5)))),"Fecha no válida"&amp;" · ","")&amp;IF(AND(ISNUMBER($E5),ISNUMBER($F5),$E5&gt;$F5),"Inicio posterior a fecha límite"&amp;" · ","")&amp;IF(AND($S5="Macro",$G5=""),"Peso vacío"&amp;" · ","")&amp;IF(AND($S5="Macro",$G5&lt;&gt;"",OR(NOT(ISNUMBER($G5)),$G5&lt;=0,$G5&gt;1)),"Peso fuera de rango"&amp;" · ","")&amp;IF(AND($S5="Sub",$G5&lt;&gt;""),"Las subactividades no llevan peso"&amp;" · ","")&amp;IF(AND($S5="Macro",ABS(SUMIFS($G$5:$G$1000,$P$5:$P$1000,$P5,$S$5:$S$1000,"Macro")-1)&gt;0.0001),"Pesos del mes suman "&amp;TEXT(SUMIFS($G$5:$G$1000,$P$5:$P$1000,$P5,$S$5:$S$1000,"Macro"),"0%")&amp;" · ","")&amp;IF(AND(N($T5)&gt;0,COUNT($H5:$K5)&gt;0),"Con subactividades: deje vacías las semanas (se calculan solas)"&amp;" · ","")&amp;IF((COUNTIF($H5:$K5,"&gt;1")+COUNTIF($H5:$K5,"&lt;0")+COUNTA($H5:$K5)-COUNT($H5:$K5))&gt;0,"Avance fuera de rango 0-100%"&amp;" · ","")&amp;IF(OR(AND($I5&lt;&gt;"",$I5&lt;$H5),AND($J5&lt;&gt;"",$J5&lt;MAX($H5:$I5)),AND($K5&lt;&gt;"",$K5&lt;MAX($H5:$J5))),"Avance semanal decreciente"&amp;" · ","")&amp;IF(AND(ISNUMBER($F5),$F5&lt;FechaRef,N($L5)&lt;1),"Vencida"&amp;" · ","")&amp;IF(AND(ObsObligatoria="Sí",ISNUMBER($F5),$F5&lt;FechaRef,N($L5)&lt;1,$N5=""),"Vencida sin observación"&amp;" · ",""))-3)))</f>
        <v/>
      </c>
      <c r="P5" s="69">
        <f>IF(NOT((COUNTA($B5:$K5)+COUNTA($N5))&gt;0),"",IF(AND($S5="Sub",N($R5)&gt;0),IF(ISNUMBER(INDEX($E$5:$E$1000,$R5-4)),DATE(YEAR(INDEX($E$5:$E$1000,$R5-4)),MONTH(INDEX($E$5:$E$1000,$R5-4)),1),IF(ISNUMBER(INDEX($F$5:$F$1000,$R5-4)),DATE(YEAR(INDEX($F$5:$F$1000,$R5-4)),MONTH(INDEX($F$5:$F$1000,$R5-4)),1),MesCiclo)),IF(ISNUMBER($E5),DATE(YEAR($E5),MONTH($E5),1),IF(ISNUMBER($F5),DATE(YEAR($F5),MONTH($F5),1),MesCiclo))))</f>
        <v/>
      </c>
      <c r="Q5" s="70">
        <f>IF(OR($P5="",$P5&lt;&gt;MesCiclo),"",COUNTIF($P$5:$P5,MesCiclo))</f>
        <v/>
      </c>
      <c r="R5" s="70">
        <f>IF($S5="","",IF($S5="Macro",ROW(),IFERROR(LOOKUP(2,1/($S$5:$S5="Macro"),ROW($S$5:$S5)),0)))</f>
        <v/>
      </c>
      <c r="S5" s="70">
        <f>IF(NOT((COUNTA($B5:$K5)+COUNTA($N5))&gt;0),"",IF($B5&lt;&gt;"","Macro",IF($C5&lt;&gt;"","Sub","Macro")))</f>
        <v/>
      </c>
      <c r="T5" s="70">
        <f>IF($S5="Macro",COUNTIFS($R$5:$R$1000,ROW(),$S$5:$S$1000,"Sub"),"")</f>
        <v/>
      </c>
      <c r="U5" s="70">
        <f>IF($S5="","",IF(ISNUMBER($H5),$H5,0))</f>
        <v/>
      </c>
      <c r="V5" s="70">
        <f>IF($S5="","",IF(ISNUMBER($I5),$I5,$U5))</f>
        <v/>
      </c>
      <c r="W5" s="70">
        <f>IF($S5="","",IF(ISNUMBER($J5),$J5,$V5))</f>
        <v/>
      </c>
      <c r="X5" s="70">
        <f>IF($S5="","",IF(ISNUMBER($K5),$K5,$W5))</f>
        <v/>
      </c>
      <c r="Y5" s="70">
        <f>IF($S5="","",IF(N($T5)&gt;0,AVERAGEIFS($U$5:$U$1000,$R$5:$R$1000,ROW(),$S$5:$S$1000,"Sub"),$U5))</f>
        <v/>
      </c>
      <c r="Z5" s="70">
        <f>IF($S5="","",IF(N($T5)&gt;0,AVERAGEIFS($V$5:$V$1000,$R$5:$R$1000,ROW(),$S$5:$S$1000,"Sub"),$V5))</f>
        <v/>
      </c>
      <c r="AA5" s="70">
        <f>IF($S5="","",IF(N($T5)&gt;0,AVERAGEIFS($W$5:$W$1000,$R$5:$R$1000,ROW(),$S$5:$S$1000,"Sub"),$W5))</f>
        <v/>
      </c>
      <c r="AB5" s="70">
        <f>IF($S5="","",IF(N($T5)&gt;0,AVERAGEIFS($X$5:$X$1000,$R$5:$R$1000,ROW(),$S$5:$S$1000,"Sub"),$X5))</f>
        <v/>
      </c>
    </row>
    <row r="6">
      <c r="A6" s="61">
        <f>IF(NOT((COUNTA($B6:$K6)+COUNTA($N6))&gt;0),"",IF($S6="Macro",COUNTIFS($S$5:$S6,"Macro",$P$5:$P6,$P6),IF(N($R6)=0,"?",COUNTIFS(INDEX($S$5:$S$1000,1):INDEX($S$5:$S$1000,$R6-4),"Macro",INDEX($P$5:$P$1000,1):INDEX($P$5:$P$1000,$R6-4),INDEX($P$5:$P$1000,$R6-4))&amp;"."&amp;COUNTIFS($R$5:$R6,$R6,$S$5:$S6,"Sub"))))</f>
        <v/>
      </c>
      <c r="B6" s="62" t="n"/>
      <c r="C6" s="63" t="n"/>
      <c r="D6" s="62" t="n"/>
      <c r="E6" s="64" t="n"/>
      <c r="F6" s="64" t="n"/>
      <c r="G6" s="65" t="n"/>
      <c r="H6" s="66" t="n"/>
      <c r="I6" s="66" t="n"/>
      <c r="J6" s="66" t="n"/>
      <c r="K6" s="66" t="n"/>
      <c r="L6" s="67">
        <f>IF(NOT((COUNTA($B6:$K6)+COUNTA($N6))&gt;0),"",IF(N($T6)&gt;0,$AB6,IFERROR(LOOKUP(2,1/(H6:K6&lt;&gt;""),H6:K6),0)))</f>
        <v/>
      </c>
      <c r="M6" s="61">
        <f>IF(L6="","",IF(L6&gt;=1,"Completado",IF(L6&gt;0,"En curso","Pendiente")))</f>
        <v/>
      </c>
      <c r="N6" s="62" t="n"/>
      <c r="O6" s="68">
        <f>IF(NOT((COUNTA($B6:$K6)+COUNTA($N6))&gt;0),"",IF((IF(AND($S6="Macro",$B6=""),"Macroactividad vacía"&amp;" · ","")&amp;IF(AND($B6&lt;&gt;"",$C6&lt;&gt;""),"Escriba la subactividad en otra fila, debajo de su macroactividad"&amp;" · ","")&amp;IF(AND($S6="Sub",N($R6)=0),"Subactividad sin macroactividad arriba"&amp;" · ","")&amp;IF($D6="","Sin responsable"&amp;" · ","")&amp;IF($E6="","Sin fecha de inicio"&amp;" · ","")&amp;IF($F6="","Sin fecha límite"&amp;" · ","")&amp;IF(OR(AND($E6&lt;&gt;"",NOT(ISNUMBER($E6))),AND($F6&lt;&gt;"",NOT(ISNUMBER($F6)))),"Fecha no válida"&amp;" · ","")&amp;IF(AND(ISNUMBER($E6),ISNUMBER($F6),$E6&gt;$F6),"Inicio posterior a fecha límite"&amp;" · ","")&amp;IF(AND($S6="Macro",$G6=""),"Peso vacío"&amp;" · ","")&amp;IF(AND($S6="Macro",$G6&lt;&gt;"",OR(NOT(ISNUMBER($G6)),$G6&lt;=0,$G6&gt;1)),"Peso fuera de rango"&amp;" · ","")&amp;IF(AND($S6="Sub",$G6&lt;&gt;""),"Las subactividades no llevan peso"&amp;" · ","")&amp;IF(AND($S6="Macro",ABS(SUMIFS($G$5:$G$1000,$P$5:$P$1000,$P6,$S$5:$S$1000,"Macro")-1)&gt;0.0001),"Pesos del mes suman "&amp;TEXT(SUMIFS($G$5:$G$1000,$P$5:$P$1000,$P6,$S$5:$S$1000,"Macro"),"0%")&amp;" · ","")&amp;IF(AND(N($T6)&gt;0,COUNT($H6:$K6)&gt;0),"Con subactividades: deje vacías las semanas (se calculan solas)"&amp;" · ","")&amp;IF((COUNTIF($H6:$K6,"&gt;1")+COUNTIF($H6:$K6,"&lt;0")+COUNTA($H6:$K6)-COUNT($H6:$K6))&gt;0,"Avance fuera de rango 0-100%"&amp;" · ","")&amp;IF(OR(AND($I6&lt;&gt;"",$I6&lt;$H6),AND($J6&lt;&gt;"",$J6&lt;MAX($H6:$I6)),AND($K6&lt;&gt;"",$K6&lt;MAX($H6:$J6))),"Avance semanal decreciente"&amp;" · ","")&amp;IF(AND(ISNUMBER($F6),$F6&lt;FechaRef,N($L6)&lt;1),"Vencida"&amp;" · ","")&amp;IF(AND(ObsObligatoria="Sí",ISNUMBER($F6),$F6&lt;FechaRef,N($L6)&lt;1,$N6=""),"Vencida sin observación"&amp;" · ",""))="","✔ OK","⚠ "&amp;LEFT(IF(AND($S6="Macro",$B6=""),"Macroactividad vacía"&amp;" · ","")&amp;IF(AND($B6&lt;&gt;"",$C6&lt;&gt;""),"Escriba la subactividad en otra fila, debajo de su macroactividad"&amp;" · ","")&amp;IF(AND($S6="Sub",N($R6)=0),"Subactividad sin macroactividad arriba"&amp;" · ","")&amp;IF($D6="","Sin responsable"&amp;" · ","")&amp;IF($E6="","Sin fecha de inicio"&amp;" · ","")&amp;IF($F6="","Sin fecha límite"&amp;" · ","")&amp;IF(OR(AND($E6&lt;&gt;"",NOT(ISNUMBER($E6))),AND($F6&lt;&gt;"",NOT(ISNUMBER($F6)))),"Fecha no válida"&amp;" · ","")&amp;IF(AND(ISNUMBER($E6),ISNUMBER($F6),$E6&gt;$F6),"Inicio posterior a fecha límite"&amp;" · ","")&amp;IF(AND($S6="Macro",$G6=""),"Peso vacío"&amp;" · ","")&amp;IF(AND($S6="Macro",$G6&lt;&gt;"",OR(NOT(ISNUMBER($G6)),$G6&lt;=0,$G6&gt;1)),"Peso fuera de rango"&amp;" · ","")&amp;IF(AND($S6="Sub",$G6&lt;&gt;""),"Las subactividades no llevan peso"&amp;" · ","")&amp;IF(AND($S6="Macro",ABS(SUMIFS($G$5:$G$1000,$P$5:$P$1000,$P6,$S$5:$S$1000,"Macro")-1)&gt;0.0001),"Pesos del mes suman "&amp;TEXT(SUMIFS($G$5:$G$1000,$P$5:$P$1000,$P6,$S$5:$S$1000,"Macro"),"0%")&amp;" · ","")&amp;IF(AND(N($T6)&gt;0,COUNT($H6:$K6)&gt;0),"Con subactividades: deje vacías las semanas (se calculan solas)"&amp;" · ","")&amp;IF((COUNTIF($H6:$K6,"&gt;1")+COUNTIF($H6:$K6,"&lt;0")+COUNTA($H6:$K6)-COUNT($H6:$K6))&gt;0,"Avance fuera de rango 0-100%"&amp;" · ","")&amp;IF(OR(AND($I6&lt;&gt;"",$I6&lt;$H6),AND($J6&lt;&gt;"",$J6&lt;MAX($H6:$I6)),AND($K6&lt;&gt;"",$K6&lt;MAX($H6:$J6))),"Avance semanal decreciente"&amp;" · ","")&amp;IF(AND(ISNUMBER($F6),$F6&lt;FechaRef,N($L6)&lt;1),"Vencida"&amp;" · ","")&amp;IF(AND(ObsObligatoria="Sí",ISNUMBER($F6),$F6&lt;FechaRef,N($L6)&lt;1,$N6=""),"Vencida sin observación"&amp;" · ",""),LEN(IF(AND($S6="Macro",$B6=""),"Macroactividad vacía"&amp;" · ","")&amp;IF(AND($B6&lt;&gt;"",$C6&lt;&gt;""),"Escriba la subactividad en otra fila, debajo de su macroactividad"&amp;" · ","")&amp;IF(AND($S6="Sub",N($R6)=0),"Subactividad sin macroactividad arriba"&amp;" · ","")&amp;IF($D6="","Sin responsable"&amp;" · ","")&amp;IF($E6="","Sin fecha de inicio"&amp;" · ","")&amp;IF($F6="","Sin fecha límite"&amp;" · ","")&amp;IF(OR(AND($E6&lt;&gt;"",NOT(ISNUMBER($E6))),AND($F6&lt;&gt;"",NOT(ISNUMBER($F6)))),"Fecha no válida"&amp;" · ","")&amp;IF(AND(ISNUMBER($E6),ISNUMBER($F6),$E6&gt;$F6),"Inicio posterior a fecha límite"&amp;" · ","")&amp;IF(AND($S6="Macro",$G6=""),"Peso vacío"&amp;" · ","")&amp;IF(AND($S6="Macro",$G6&lt;&gt;"",OR(NOT(ISNUMBER($G6)),$G6&lt;=0,$G6&gt;1)),"Peso fuera de rango"&amp;" · ","")&amp;IF(AND($S6="Sub",$G6&lt;&gt;""),"Las subactividades no llevan peso"&amp;" · ","")&amp;IF(AND($S6="Macro",ABS(SUMIFS($G$5:$G$1000,$P$5:$P$1000,$P6,$S$5:$S$1000,"Macro")-1)&gt;0.0001),"Pesos del mes suman "&amp;TEXT(SUMIFS($G$5:$G$1000,$P$5:$P$1000,$P6,$S$5:$S$1000,"Macro"),"0%")&amp;" · ","")&amp;IF(AND(N($T6)&gt;0,COUNT($H6:$K6)&gt;0),"Con subactividades: deje vacías las semanas (se calculan solas)"&amp;" · ","")&amp;IF((COUNTIF($H6:$K6,"&gt;1")+COUNTIF($H6:$K6,"&lt;0")+COUNTA($H6:$K6)-COUNT($H6:$K6))&gt;0,"Avance fuera de rango 0-100%"&amp;" · ","")&amp;IF(OR(AND($I6&lt;&gt;"",$I6&lt;$H6),AND($J6&lt;&gt;"",$J6&lt;MAX($H6:$I6)),AND($K6&lt;&gt;"",$K6&lt;MAX($H6:$J6))),"Avance semanal decreciente"&amp;" · ","")&amp;IF(AND(ISNUMBER($F6),$F6&lt;FechaRef,N($L6)&lt;1),"Vencida"&amp;" · ","")&amp;IF(AND(ObsObligatoria="Sí",ISNUMBER($F6),$F6&lt;FechaRef,N($L6)&lt;1,$N6=""),"Vencida sin observación"&amp;" · ",""))-3)))</f>
        <v/>
      </c>
      <c r="P6" s="69">
        <f>IF(NOT((COUNTA($B6:$K6)+COUNTA($N6))&gt;0),"",IF(AND($S6="Sub",N($R6)&gt;0),IF(ISNUMBER(INDEX($E$5:$E$1000,$R6-4)),DATE(YEAR(INDEX($E$5:$E$1000,$R6-4)),MONTH(INDEX($E$5:$E$1000,$R6-4)),1),IF(ISNUMBER(INDEX($F$5:$F$1000,$R6-4)),DATE(YEAR(INDEX($F$5:$F$1000,$R6-4)),MONTH(INDEX($F$5:$F$1000,$R6-4)),1),MesCiclo)),IF(ISNUMBER($E6),DATE(YEAR($E6),MONTH($E6),1),IF(ISNUMBER($F6),DATE(YEAR($F6),MONTH($F6),1),MesCiclo))))</f>
        <v/>
      </c>
      <c r="Q6" s="70">
        <f>IF(OR($P6="",$P6&lt;&gt;MesCiclo),"",COUNTIF($P$5:$P6,MesCiclo))</f>
        <v/>
      </c>
      <c r="R6" s="70">
        <f>IF($S6="","",IF($S6="Macro",ROW(),IFERROR(LOOKUP(2,1/($S$5:$S6="Macro"),ROW($S$5:$S6)),0)))</f>
        <v/>
      </c>
      <c r="S6" s="70">
        <f>IF(NOT((COUNTA($B6:$K6)+COUNTA($N6))&gt;0),"",IF($B6&lt;&gt;"","Macro",IF($C6&lt;&gt;"","Sub","Macro")))</f>
        <v/>
      </c>
      <c r="T6" s="70">
        <f>IF($S6="Macro",COUNTIFS($R$5:$R$1000,ROW(),$S$5:$S$1000,"Sub"),"")</f>
        <v/>
      </c>
      <c r="U6" s="70">
        <f>IF($S6="","",IF(ISNUMBER($H6),$H6,0))</f>
        <v/>
      </c>
      <c r="V6" s="70">
        <f>IF($S6="","",IF(ISNUMBER($I6),$I6,$U6))</f>
        <v/>
      </c>
      <c r="W6" s="70">
        <f>IF($S6="","",IF(ISNUMBER($J6),$J6,$V6))</f>
        <v/>
      </c>
      <c r="X6" s="70">
        <f>IF($S6="","",IF(ISNUMBER($K6),$K6,$W6))</f>
        <v/>
      </c>
      <c r="Y6" s="70">
        <f>IF($S6="","",IF(N($T6)&gt;0,AVERAGEIFS($U$5:$U$1000,$R$5:$R$1000,ROW(),$S$5:$S$1000,"Sub"),$U6))</f>
        <v/>
      </c>
      <c r="Z6" s="70">
        <f>IF($S6="","",IF(N($T6)&gt;0,AVERAGEIFS($V$5:$V$1000,$R$5:$R$1000,ROW(),$S$5:$S$1000,"Sub"),$V6))</f>
        <v/>
      </c>
      <c r="AA6" s="70">
        <f>IF($S6="","",IF(N($T6)&gt;0,AVERAGEIFS($W$5:$W$1000,$R$5:$R$1000,ROW(),$S$5:$S$1000,"Sub"),$W6))</f>
        <v/>
      </c>
      <c r="AB6" s="70">
        <f>IF($S6="","",IF(N($T6)&gt;0,AVERAGEIFS($X$5:$X$1000,$R$5:$R$1000,ROW(),$S$5:$S$1000,"Sub"),$X6))</f>
        <v/>
      </c>
    </row>
    <row r="7">
      <c r="A7" s="61">
        <f>IF(NOT((COUNTA($B7:$K7)+COUNTA($N7))&gt;0),"",IF($S7="Macro",COUNTIFS($S$5:$S7,"Macro",$P$5:$P7,$P7),IF(N($R7)=0,"?",COUNTIFS(INDEX($S$5:$S$1000,1):INDEX($S$5:$S$1000,$R7-4),"Macro",INDEX($P$5:$P$1000,1):INDEX($P$5:$P$1000,$R7-4),INDEX($P$5:$P$1000,$R7-4))&amp;"."&amp;COUNTIFS($R$5:$R7,$R7,$S$5:$S7,"Sub"))))</f>
        <v/>
      </c>
      <c r="B7" s="62" t="n"/>
      <c r="C7" s="63" t="n"/>
      <c r="D7" s="62" t="n"/>
      <c r="E7" s="64" t="n"/>
      <c r="F7" s="64" t="n"/>
      <c r="G7" s="65" t="n"/>
      <c r="H7" s="66" t="n"/>
      <c r="I7" s="66" t="n"/>
      <c r="J7" s="66" t="n"/>
      <c r="K7" s="66" t="n"/>
      <c r="L7" s="67">
        <f>IF(NOT((COUNTA($B7:$K7)+COUNTA($N7))&gt;0),"",IF(N($T7)&gt;0,$AB7,IFERROR(LOOKUP(2,1/(H7:K7&lt;&gt;""),H7:K7),0)))</f>
        <v/>
      </c>
      <c r="M7" s="61">
        <f>IF(L7="","",IF(L7&gt;=1,"Completado",IF(L7&gt;0,"En curso","Pendiente")))</f>
        <v/>
      </c>
      <c r="N7" s="62" t="n"/>
      <c r="O7" s="68">
        <f>IF(NOT((COUNTA($B7:$K7)+COUNTA($N7))&gt;0),"",IF((IF(AND($S7="Macro",$B7=""),"Macroactividad vacía"&amp;" · ","")&amp;IF(AND($B7&lt;&gt;"",$C7&lt;&gt;""),"Escriba la subactividad en otra fila, debajo de su macroactividad"&amp;" · ","")&amp;IF(AND($S7="Sub",N($R7)=0),"Subactividad sin macroactividad arriba"&amp;" · ","")&amp;IF($D7="","Sin responsable"&amp;" · ","")&amp;IF($E7="","Sin fecha de inicio"&amp;" · ","")&amp;IF($F7="","Sin fecha límite"&amp;" · ","")&amp;IF(OR(AND($E7&lt;&gt;"",NOT(ISNUMBER($E7))),AND($F7&lt;&gt;"",NOT(ISNUMBER($F7)))),"Fecha no válida"&amp;" · ","")&amp;IF(AND(ISNUMBER($E7),ISNUMBER($F7),$E7&gt;$F7),"Inicio posterior a fecha límite"&amp;" · ","")&amp;IF(AND($S7="Macro",$G7=""),"Peso vacío"&amp;" · ","")&amp;IF(AND($S7="Macro",$G7&lt;&gt;"",OR(NOT(ISNUMBER($G7)),$G7&lt;=0,$G7&gt;1)),"Peso fuera de rango"&amp;" · ","")&amp;IF(AND($S7="Sub",$G7&lt;&gt;""),"Las subactividades no llevan peso"&amp;" · ","")&amp;IF(AND($S7="Macro",ABS(SUMIFS($G$5:$G$1000,$P$5:$P$1000,$P7,$S$5:$S$1000,"Macro")-1)&gt;0.0001),"Pesos del mes suman "&amp;TEXT(SUMIFS($G$5:$G$1000,$P$5:$P$1000,$P7,$S$5:$S$1000,"Macro"),"0%")&amp;" · ","")&amp;IF(AND(N($T7)&gt;0,COUNT($H7:$K7)&gt;0),"Con subactividades: deje vacías las semanas (se calculan solas)"&amp;" · ","")&amp;IF((COUNTIF($H7:$K7,"&gt;1")+COUNTIF($H7:$K7,"&lt;0")+COUNTA($H7:$K7)-COUNT($H7:$K7))&gt;0,"Avance fuera de rango 0-100%"&amp;" · ","")&amp;IF(OR(AND($I7&lt;&gt;"",$I7&lt;$H7),AND($J7&lt;&gt;"",$J7&lt;MAX($H7:$I7)),AND($K7&lt;&gt;"",$K7&lt;MAX($H7:$J7))),"Avance semanal decreciente"&amp;" · ","")&amp;IF(AND(ISNUMBER($F7),$F7&lt;FechaRef,N($L7)&lt;1),"Vencida"&amp;" · ","")&amp;IF(AND(ObsObligatoria="Sí",ISNUMBER($F7),$F7&lt;FechaRef,N($L7)&lt;1,$N7=""),"Vencida sin observación"&amp;" · ",""))="","✔ OK","⚠ "&amp;LEFT(IF(AND($S7="Macro",$B7=""),"Macroactividad vacía"&amp;" · ","")&amp;IF(AND($B7&lt;&gt;"",$C7&lt;&gt;""),"Escriba la subactividad en otra fila, debajo de su macroactividad"&amp;" · ","")&amp;IF(AND($S7="Sub",N($R7)=0),"Subactividad sin macroactividad arriba"&amp;" · ","")&amp;IF($D7="","Sin responsable"&amp;" · ","")&amp;IF($E7="","Sin fecha de inicio"&amp;" · ","")&amp;IF($F7="","Sin fecha límite"&amp;" · ","")&amp;IF(OR(AND($E7&lt;&gt;"",NOT(ISNUMBER($E7))),AND($F7&lt;&gt;"",NOT(ISNUMBER($F7)))),"Fecha no válida"&amp;" · ","")&amp;IF(AND(ISNUMBER($E7),ISNUMBER($F7),$E7&gt;$F7),"Inicio posterior a fecha límite"&amp;" · ","")&amp;IF(AND($S7="Macro",$G7=""),"Peso vacío"&amp;" · ","")&amp;IF(AND($S7="Macro",$G7&lt;&gt;"",OR(NOT(ISNUMBER($G7)),$G7&lt;=0,$G7&gt;1)),"Peso fuera de rango"&amp;" · ","")&amp;IF(AND($S7="Sub",$G7&lt;&gt;""),"Las subactividades no llevan peso"&amp;" · ","")&amp;IF(AND($S7="Macro",ABS(SUMIFS($G$5:$G$1000,$P$5:$P$1000,$P7,$S$5:$S$1000,"Macro")-1)&gt;0.0001),"Pesos del mes suman "&amp;TEXT(SUMIFS($G$5:$G$1000,$P$5:$P$1000,$P7,$S$5:$S$1000,"Macro"),"0%")&amp;" · ","")&amp;IF(AND(N($T7)&gt;0,COUNT($H7:$K7)&gt;0),"Con subactividades: deje vacías las semanas (se calculan solas)"&amp;" · ","")&amp;IF((COUNTIF($H7:$K7,"&gt;1")+COUNTIF($H7:$K7,"&lt;0")+COUNTA($H7:$K7)-COUNT($H7:$K7))&gt;0,"Avance fuera de rango 0-100%"&amp;" · ","")&amp;IF(OR(AND($I7&lt;&gt;"",$I7&lt;$H7),AND($J7&lt;&gt;"",$J7&lt;MAX($H7:$I7)),AND($K7&lt;&gt;"",$K7&lt;MAX($H7:$J7))),"Avance semanal decreciente"&amp;" · ","")&amp;IF(AND(ISNUMBER($F7),$F7&lt;FechaRef,N($L7)&lt;1),"Vencida"&amp;" · ","")&amp;IF(AND(ObsObligatoria="Sí",ISNUMBER($F7),$F7&lt;FechaRef,N($L7)&lt;1,$N7=""),"Vencida sin observación"&amp;" · ",""),LEN(IF(AND($S7="Macro",$B7=""),"Macroactividad vacía"&amp;" · ","")&amp;IF(AND($B7&lt;&gt;"",$C7&lt;&gt;""),"Escriba la subactividad en otra fila, debajo de su macroactividad"&amp;" · ","")&amp;IF(AND($S7="Sub",N($R7)=0),"Subactividad sin macroactividad arriba"&amp;" · ","")&amp;IF($D7="","Sin responsable"&amp;" · ","")&amp;IF($E7="","Sin fecha de inicio"&amp;" · ","")&amp;IF($F7="","Sin fecha límite"&amp;" · ","")&amp;IF(OR(AND($E7&lt;&gt;"",NOT(ISNUMBER($E7))),AND($F7&lt;&gt;"",NOT(ISNUMBER($F7)))),"Fecha no válida"&amp;" · ","")&amp;IF(AND(ISNUMBER($E7),ISNUMBER($F7),$E7&gt;$F7),"Inicio posterior a fecha límite"&amp;" · ","")&amp;IF(AND($S7="Macro",$G7=""),"Peso vacío"&amp;" · ","")&amp;IF(AND($S7="Macro",$G7&lt;&gt;"",OR(NOT(ISNUMBER($G7)),$G7&lt;=0,$G7&gt;1)),"Peso fuera de rango"&amp;" · ","")&amp;IF(AND($S7="Sub",$G7&lt;&gt;""),"Las subactividades no llevan peso"&amp;" · ","")&amp;IF(AND($S7="Macro",ABS(SUMIFS($G$5:$G$1000,$P$5:$P$1000,$P7,$S$5:$S$1000,"Macro")-1)&gt;0.0001),"Pesos del mes suman "&amp;TEXT(SUMIFS($G$5:$G$1000,$P$5:$P$1000,$P7,$S$5:$S$1000,"Macro"),"0%")&amp;" · ","")&amp;IF(AND(N($T7)&gt;0,COUNT($H7:$K7)&gt;0),"Con subactividades: deje vacías las semanas (se calculan solas)"&amp;" · ","")&amp;IF((COUNTIF($H7:$K7,"&gt;1")+COUNTIF($H7:$K7,"&lt;0")+COUNTA($H7:$K7)-COUNT($H7:$K7))&gt;0,"Avance fuera de rango 0-100%"&amp;" · ","")&amp;IF(OR(AND($I7&lt;&gt;"",$I7&lt;$H7),AND($J7&lt;&gt;"",$J7&lt;MAX($H7:$I7)),AND($K7&lt;&gt;"",$K7&lt;MAX($H7:$J7))),"Avance semanal decreciente"&amp;" · ","")&amp;IF(AND(ISNUMBER($F7),$F7&lt;FechaRef,N($L7)&lt;1),"Vencida"&amp;" · ","")&amp;IF(AND(ObsObligatoria="Sí",ISNUMBER($F7),$F7&lt;FechaRef,N($L7)&lt;1,$N7=""),"Vencida sin observación"&amp;" · ",""))-3)))</f>
        <v/>
      </c>
      <c r="P7" s="69">
        <f>IF(NOT((COUNTA($B7:$K7)+COUNTA($N7))&gt;0),"",IF(AND($S7="Sub",N($R7)&gt;0),IF(ISNUMBER(INDEX($E$5:$E$1000,$R7-4)),DATE(YEAR(INDEX($E$5:$E$1000,$R7-4)),MONTH(INDEX($E$5:$E$1000,$R7-4)),1),IF(ISNUMBER(INDEX($F$5:$F$1000,$R7-4)),DATE(YEAR(INDEX($F$5:$F$1000,$R7-4)),MONTH(INDEX($F$5:$F$1000,$R7-4)),1),MesCiclo)),IF(ISNUMBER($E7),DATE(YEAR($E7),MONTH($E7),1),IF(ISNUMBER($F7),DATE(YEAR($F7),MONTH($F7),1),MesCiclo))))</f>
        <v/>
      </c>
      <c r="Q7" s="70">
        <f>IF(OR($P7="",$P7&lt;&gt;MesCiclo),"",COUNTIF($P$5:$P7,MesCiclo))</f>
        <v/>
      </c>
      <c r="R7" s="70">
        <f>IF($S7="","",IF($S7="Macro",ROW(),IFERROR(LOOKUP(2,1/($S$5:$S7="Macro"),ROW($S$5:$S7)),0)))</f>
        <v/>
      </c>
      <c r="S7" s="70">
        <f>IF(NOT((COUNTA($B7:$K7)+COUNTA($N7))&gt;0),"",IF($B7&lt;&gt;"","Macro",IF($C7&lt;&gt;"","Sub","Macro")))</f>
        <v/>
      </c>
      <c r="T7" s="70">
        <f>IF($S7="Macro",COUNTIFS($R$5:$R$1000,ROW(),$S$5:$S$1000,"Sub"),"")</f>
        <v/>
      </c>
      <c r="U7" s="70">
        <f>IF($S7="","",IF(ISNUMBER($H7),$H7,0))</f>
        <v/>
      </c>
      <c r="V7" s="70">
        <f>IF($S7="","",IF(ISNUMBER($I7),$I7,$U7))</f>
        <v/>
      </c>
      <c r="W7" s="70">
        <f>IF($S7="","",IF(ISNUMBER($J7),$J7,$V7))</f>
        <v/>
      </c>
      <c r="X7" s="70">
        <f>IF($S7="","",IF(ISNUMBER($K7),$K7,$W7))</f>
        <v/>
      </c>
      <c r="Y7" s="70">
        <f>IF($S7="","",IF(N($T7)&gt;0,AVERAGEIFS($U$5:$U$1000,$R$5:$R$1000,ROW(),$S$5:$S$1000,"Sub"),$U7))</f>
        <v/>
      </c>
      <c r="Z7" s="70">
        <f>IF($S7="","",IF(N($T7)&gt;0,AVERAGEIFS($V$5:$V$1000,$R$5:$R$1000,ROW(),$S$5:$S$1000,"Sub"),$V7))</f>
        <v/>
      </c>
      <c r="AA7" s="70">
        <f>IF($S7="","",IF(N($T7)&gt;0,AVERAGEIFS($W$5:$W$1000,$R$5:$R$1000,ROW(),$S$5:$S$1000,"Sub"),$W7))</f>
        <v/>
      </c>
      <c r="AB7" s="70">
        <f>IF($S7="","",IF(N($T7)&gt;0,AVERAGEIFS($X$5:$X$1000,$R$5:$R$1000,ROW(),$S$5:$S$1000,"Sub"),$X7))</f>
        <v/>
      </c>
    </row>
    <row r="8">
      <c r="A8" s="61">
        <f>IF(NOT((COUNTA($B8:$K8)+COUNTA($N8))&gt;0),"",IF($S8="Macro",COUNTIFS($S$5:$S8,"Macro",$P$5:$P8,$P8),IF(N($R8)=0,"?",COUNTIFS(INDEX($S$5:$S$1000,1):INDEX($S$5:$S$1000,$R8-4),"Macro",INDEX($P$5:$P$1000,1):INDEX($P$5:$P$1000,$R8-4),INDEX($P$5:$P$1000,$R8-4))&amp;"."&amp;COUNTIFS($R$5:$R8,$R8,$S$5:$S8,"Sub"))))</f>
        <v/>
      </c>
      <c r="B8" s="62" t="n"/>
      <c r="C8" s="63" t="n"/>
      <c r="D8" s="62" t="n"/>
      <c r="E8" s="64" t="n"/>
      <c r="F8" s="64" t="n"/>
      <c r="G8" s="65" t="n"/>
      <c r="H8" s="66" t="n"/>
      <c r="I8" s="66" t="n"/>
      <c r="J8" s="66" t="n"/>
      <c r="K8" s="66" t="n"/>
      <c r="L8" s="67">
        <f>IF(NOT((COUNTA($B8:$K8)+COUNTA($N8))&gt;0),"",IF(N($T8)&gt;0,$AB8,IFERROR(LOOKUP(2,1/(H8:K8&lt;&gt;""),H8:K8),0)))</f>
        <v/>
      </c>
      <c r="M8" s="61">
        <f>IF(L8="","",IF(L8&gt;=1,"Completado",IF(L8&gt;0,"En curso","Pendiente")))</f>
        <v/>
      </c>
      <c r="N8" s="62" t="n"/>
      <c r="O8" s="68">
        <f>IF(NOT((COUNTA($B8:$K8)+COUNTA($N8))&gt;0),"",IF((IF(AND($S8="Macro",$B8=""),"Macroactividad vacía"&amp;" · ","")&amp;IF(AND($B8&lt;&gt;"",$C8&lt;&gt;""),"Escriba la subactividad en otra fila, debajo de su macroactividad"&amp;" · ","")&amp;IF(AND($S8="Sub",N($R8)=0),"Subactividad sin macroactividad arriba"&amp;" · ","")&amp;IF($D8="","Sin responsable"&amp;" · ","")&amp;IF($E8="","Sin fecha de inicio"&amp;" · ","")&amp;IF($F8="","Sin fecha límite"&amp;" · ","")&amp;IF(OR(AND($E8&lt;&gt;"",NOT(ISNUMBER($E8))),AND($F8&lt;&gt;"",NOT(ISNUMBER($F8)))),"Fecha no válida"&amp;" · ","")&amp;IF(AND(ISNUMBER($E8),ISNUMBER($F8),$E8&gt;$F8),"Inicio posterior a fecha límite"&amp;" · ","")&amp;IF(AND($S8="Macro",$G8=""),"Peso vacío"&amp;" · ","")&amp;IF(AND($S8="Macro",$G8&lt;&gt;"",OR(NOT(ISNUMBER($G8)),$G8&lt;=0,$G8&gt;1)),"Peso fuera de rango"&amp;" · ","")&amp;IF(AND($S8="Sub",$G8&lt;&gt;""),"Las subactividades no llevan peso"&amp;" · ","")&amp;IF(AND($S8="Macro",ABS(SUMIFS($G$5:$G$1000,$P$5:$P$1000,$P8,$S$5:$S$1000,"Macro")-1)&gt;0.0001),"Pesos del mes suman "&amp;TEXT(SUMIFS($G$5:$G$1000,$P$5:$P$1000,$P8,$S$5:$S$1000,"Macro"),"0%")&amp;" · ","")&amp;IF(AND(N($T8)&gt;0,COUNT($H8:$K8)&gt;0),"Con subactividades: deje vacías las semanas (se calculan solas)"&amp;" · ","")&amp;IF((COUNTIF($H8:$K8,"&gt;1")+COUNTIF($H8:$K8,"&lt;0")+COUNTA($H8:$K8)-COUNT($H8:$K8))&gt;0,"Avance fuera de rango 0-100%"&amp;" · ","")&amp;IF(OR(AND($I8&lt;&gt;"",$I8&lt;$H8),AND($J8&lt;&gt;"",$J8&lt;MAX($H8:$I8)),AND($K8&lt;&gt;"",$K8&lt;MAX($H8:$J8))),"Avance semanal decreciente"&amp;" · ","")&amp;IF(AND(ISNUMBER($F8),$F8&lt;FechaRef,N($L8)&lt;1),"Vencida"&amp;" · ","")&amp;IF(AND(ObsObligatoria="Sí",ISNUMBER($F8),$F8&lt;FechaRef,N($L8)&lt;1,$N8=""),"Vencida sin observación"&amp;" · ",""))="","✔ OK","⚠ "&amp;LEFT(IF(AND($S8="Macro",$B8=""),"Macroactividad vacía"&amp;" · ","")&amp;IF(AND($B8&lt;&gt;"",$C8&lt;&gt;""),"Escriba la subactividad en otra fila, debajo de su macroactividad"&amp;" · ","")&amp;IF(AND($S8="Sub",N($R8)=0),"Subactividad sin macroactividad arriba"&amp;" · ","")&amp;IF($D8="","Sin responsable"&amp;" · ","")&amp;IF($E8="","Sin fecha de inicio"&amp;" · ","")&amp;IF($F8="","Sin fecha límite"&amp;" · ","")&amp;IF(OR(AND($E8&lt;&gt;"",NOT(ISNUMBER($E8))),AND($F8&lt;&gt;"",NOT(ISNUMBER($F8)))),"Fecha no válida"&amp;" · ","")&amp;IF(AND(ISNUMBER($E8),ISNUMBER($F8),$E8&gt;$F8),"Inicio posterior a fecha límite"&amp;" · ","")&amp;IF(AND($S8="Macro",$G8=""),"Peso vacío"&amp;" · ","")&amp;IF(AND($S8="Macro",$G8&lt;&gt;"",OR(NOT(ISNUMBER($G8)),$G8&lt;=0,$G8&gt;1)),"Peso fuera de rango"&amp;" · ","")&amp;IF(AND($S8="Sub",$G8&lt;&gt;""),"Las subactividades no llevan peso"&amp;" · ","")&amp;IF(AND($S8="Macro",ABS(SUMIFS($G$5:$G$1000,$P$5:$P$1000,$P8,$S$5:$S$1000,"Macro")-1)&gt;0.0001),"Pesos del mes suman "&amp;TEXT(SUMIFS($G$5:$G$1000,$P$5:$P$1000,$P8,$S$5:$S$1000,"Macro"),"0%")&amp;" · ","")&amp;IF(AND(N($T8)&gt;0,COUNT($H8:$K8)&gt;0),"Con subactividades: deje vacías las semanas (se calculan solas)"&amp;" · ","")&amp;IF((COUNTIF($H8:$K8,"&gt;1")+COUNTIF($H8:$K8,"&lt;0")+COUNTA($H8:$K8)-COUNT($H8:$K8))&gt;0,"Avance fuera de rango 0-100%"&amp;" · ","")&amp;IF(OR(AND($I8&lt;&gt;"",$I8&lt;$H8),AND($J8&lt;&gt;"",$J8&lt;MAX($H8:$I8)),AND($K8&lt;&gt;"",$K8&lt;MAX($H8:$J8))),"Avance semanal decreciente"&amp;" · ","")&amp;IF(AND(ISNUMBER($F8),$F8&lt;FechaRef,N($L8)&lt;1),"Vencida"&amp;" · ","")&amp;IF(AND(ObsObligatoria="Sí",ISNUMBER($F8),$F8&lt;FechaRef,N($L8)&lt;1,$N8=""),"Vencida sin observación"&amp;" · ",""),LEN(IF(AND($S8="Macro",$B8=""),"Macroactividad vacía"&amp;" · ","")&amp;IF(AND($B8&lt;&gt;"",$C8&lt;&gt;""),"Escriba la subactividad en otra fila, debajo de su macroactividad"&amp;" · ","")&amp;IF(AND($S8="Sub",N($R8)=0),"Subactividad sin macroactividad arriba"&amp;" · ","")&amp;IF($D8="","Sin responsable"&amp;" · ","")&amp;IF($E8="","Sin fecha de inicio"&amp;" · ","")&amp;IF($F8="","Sin fecha límite"&amp;" · ","")&amp;IF(OR(AND($E8&lt;&gt;"",NOT(ISNUMBER($E8))),AND($F8&lt;&gt;"",NOT(ISNUMBER($F8)))),"Fecha no válida"&amp;" · ","")&amp;IF(AND(ISNUMBER($E8),ISNUMBER($F8),$E8&gt;$F8),"Inicio posterior a fecha límite"&amp;" · ","")&amp;IF(AND($S8="Macro",$G8=""),"Peso vacío"&amp;" · ","")&amp;IF(AND($S8="Macro",$G8&lt;&gt;"",OR(NOT(ISNUMBER($G8)),$G8&lt;=0,$G8&gt;1)),"Peso fuera de rango"&amp;" · ","")&amp;IF(AND($S8="Sub",$G8&lt;&gt;""),"Las subactividades no llevan peso"&amp;" · ","")&amp;IF(AND($S8="Macro",ABS(SUMIFS($G$5:$G$1000,$P$5:$P$1000,$P8,$S$5:$S$1000,"Macro")-1)&gt;0.0001),"Pesos del mes suman "&amp;TEXT(SUMIFS($G$5:$G$1000,$P$5:$P$1000,$P8,$S$5:$S$1000,"Macro"),"0%")&amp;" · ","")&amp;IF(AND(N($T8)&gt;0,COUNT($H8:$K8)&gt;0),"Con subactividades: deje vacías las semanas (se calculan solas)"&amp;" · ","")&amp;IF((COUNTIF($H8:$K8,"&gt;1")+COUNTIF($H8:$K8,"&lt;0")+COUNTA($H8:$K8)-COUNT($H8:$K8))&gt;0,"Avance fuera de rango 0-100%"&amp;" · ","")&amp;IF(OR(AND($I8&lt;&gt;"",$I8&lt;$H8),AND($J8&lt;&gt;"",$J8&lt;MAX($H8:$I8)),AND($K8&lt;&gt;"",$K8&lt;MAX($H8:$J8))),"Avance semanal decreciente"&amp;" · ","")&amp;IF(AND(ISNUMBER($F8),$F8&lt;FechaRef,N($L8)&lt;1),"Vencida"&amp;" · ","")&amp;IF(AND(ObsObligatoria="Sí",ISNUMBER($F8),$F8&lt;FechaRef,N($L8)&lt;1,$N8=""),"Vencida sin observación"&amp;" · ",""))-3)))</f>
        <v/>
      </c>
      <c r="P8" s="69">
        <f>IF(NOT((COUNTA($B8:$K8)+COUNTA($N8))&gt;0),"",IF(AND($S8="Sub",N($R8)&gt;0),IF(ISNUMBER(INDEX($E$5:$E$1000,$R8-4)),DATE(YEAR(INDEX($E$5:$E$1000,$R8-4)),MONTH(INDEX($E$5:$E$1000,$R8-4)),1),IF(ISNUMBER(INDEX($F$5:$F$1000,$R8-4)),DATE(YEAR(INDEX($F$5:$F$1000,$R8-4)),MONTH(INDEX($F$5:$F$1000,$R8-4)),1),MesCiclo)),IF(ISNUMBER($E8),DATE(YEAR($E8),MONTH($E8),1),IF(ISNUMBER($F8),DATE(YEAR($F8),MONTH($F8),1),MesCiclo))))</f>
        <v/>
      </c>
      <c r="Q8" s="70">
        <f>IF(OR($P8="",$P8&lt;&gt;MesCiclo),"",COUNTIF($P$5:$P8,MesCiclo))</f>
        <v/>
      </c>
      <c r="R8" s="70">
        <f>IF($S8="","",IF($S8="Macro",ROW(),IFERROR(LOOKUP(2,1/($S$5:$S8="Macro"),ROW($S$5:$S8)),0)))</f>
        <v/>
      </c>
      <c r="S8" s="70">
        <f>IF(NOT((COUNTA($B8:$K8)+COUNTA($N8))&gt;0),"",IF($B8&lt;&gt;"","Macro",IF($C8&lt;&gt;"","Sub","Macro")))</f>
        <v/>
      </c>
      <c r="T8" s="70">
        <f>IF($S8="Macro",COUNTIFS($R$5:$R$1000,ROW(),$S$5:$S$1000,"Sub"),"")</f>
        <v/>
      </c>
      <c r="U8" s="70">
        <f>IF($S8="","",IF(ISNUMBER($H8),$H8,0))</f>
        <v/>
      </c>
      <c r="V8" s="70">
        <f>IF($S8="","",IF(ISNUMBER($I8),$I8,$U8))</f>
        <v/>
      </c>
      <c r="W8" s="70">
        <f>IF($S8="","",IF(ISNUMBER($J8),$J8,$V8))</f>
        <v/>
      </c>
      <c r="X8" s="70">
        <f>IF($S8="","",IF(ISNUMBER($K8),$K8,$W8))</f>
        <v/>
      </c>
      <c r="Y8" s="70">
        <f>IF($S8="","",IF(N($T8)&gt;0,AVERAGEIFS($U$5:$U$1000,$R$5:$R$1000,ROW(),$S$5:$S$1000,"Sub"),$U8))</f>
        <v/>
      </c>
      <c r="Z8" s="70">
        <f>IF($S8="","",IF(N($T8)&gt;0,AVERAGEIFS($V$5:$V$1000,$R$5:$R$1000,ROW(),$S$5:$S$1000,"Sub"),$V8))</f>
        <v/>
      </c>
      <c r="AA8" s="70">
        <f>IF($S8="","",IF(N($T8)&gt;0,AVERAGEIFS($W$5:$W$1000,$R$5:$R$1000,ROW(),$S$5:$S$1000,"Sub"),$W8))</f>
        <v/>
      </c>
      <c r="AB8" s="70">
        <f>IF($S8="","",IF(N($T8)&gt;0,AVERAGEIFS($X$5:$X$1000,$R$5:$R$1000,ROW(),$S$5:$S$1000,"Sub"),$X8))</f>
        <v/>
      </c>
    </row>
    <row r="9">
      <c r="A9" s="61">
        <f>IF(NOT((COUNTA($B9:$K9)+COUNTA($N9))&gt;0),"",IF($S9="Macro",COUNTIFS($S$5:$S9,"Macro",$P$5:$P9,$P9),IF(N($R9)=0,"?",COUNTIFS(INDEX($S$5:$S$1000,1):INDEX($S$5:$S$1000,$R9-4),"Macro",INDEX($P$5:$P$1000,1):INDEX($P$5:$P$1000,$R9-4),INDEX($P$5:$P$1000,$R9-4))&amp;"."&amp;COUNTIFS($R$5:$R9,$R9,$S$5:$S9,"Sub"))))</f>
        <v/>
      </c>
      <c r="B9" s="62" t="n"/>
      <c r="C9" s="63" t="n"/>
      <c r="D9" s="62" t="n"/>
      <c r="E9" s="64" t="n"/>
      <c r="F9" s="64" t="n"/>
      <c r="G9" s="65" t="n"/>
      <c r="H9" s="66" t="n"/>
      <c r="I9" s="66" t="n"/>
      <c r="J9" s="66" t="n"/>
      <c r="K9" s="66" t="n"/>
      <c r="L9" s="67">
        <f>IF(NOT((COUNTA($B9:$K9)+COUNTA($N9))&gt;0),"",IF(N($T9)&gt;0,$AB9,IFERROR(LOOKUP(2,1/(H9:K9&lt;&gt;""),H9:K9),0)))</f>
        <v/>
      </c>
      <c r="M9" s="61">
        <f>IF(L9="","",IF(L9&gt;=1,"Completado",IF(L9&gt;0,"En curso","Pendiente")))</f>
        <v/>
      </c>
      <c r="N9" s="62" t="n"/>
      <c r="O9" s="68">
        <f>IF(NOT((COUNTA($B9:$K9)+COUNTA($N9))&gt;0),"",IF((IF(AND($S9="Macro",$B9=""),"Macroactividad vacía"&amp;" · ","")&amp;IF(AND($B9&lt;&gt;"",$C9&lt;&gt;""),"Escriba la subactividad en otra fila, debajo de su macroactividad"&amp;" · ","")&amp;IF(AND($S9="Sub",N($R9)=0),"Subactividad sin macroactividad arriba"&amp;" · ","")&amp;IF($D9="","Sin responsable"&amp;" · ","")&amp;IF($E9="","Sin fecha de inicio"&amp;" · ","")&amp;IF($F9="","Sin fecha límite"&amp;" · ","")&amp;IF(OR(AND($E9&lt;&gt;"",NOT(ISNUMBER($E9))),AND($F9&lt;&gt;"",NOT(ISNUMBER($F9)))),"Fecha no válida"&amp;" · ","")&amp;IF(AND(ISNUMBER($E9),ISNUMBER($F9),$E9&gt;$F9),"Inicio posterior a fecha límite"&amp;" · ","")&amp;IF(AND($S9="Macro",$G9=""),"Peso vacío"&amp;" · ","")&amp;IF(AND($S9="Macro",$G9&lt;&gt;"",OR(NOT(ISNUMBER($G9)),$G9&lt;=0,$G9&gt;1)),"Peso fuera de rango"&amp;" · ","")&amp;IF(AND($S9="Sub",$G9&lt;&gt;""),"Las subactividades no llevan peso"&amp;" · ","")&amp;IF(AND($S9="Macro",ABS(SUMIFS($G$5:$G$1000,$P$5:$P$1000,$P9,$S$5:$S$1000,"Macro")-1)&gt;0.0001),"Pesos del mes suman "&amp;TEXT(SUMIFS($G$5:$G$1000,$P$5:$P$1000,$P9,$S$5:$S$1000,"Macro"),"0%")&amp;" · ","")&amp;IF(AND(N($T9)&gt;0,COUNT($H9:$K9)&gt;0),"Con subactividades: deje vacías las semanas (se calculan solas)"&amp;" · ","")&amp;IF((COUNTIF($H9:$K9,"&gt;1")+COUNTIF($H9:$K9,"&lt;0")+COUNTA($H9:$K9)-COUNT($H9:$K9))&gt;0,"Avance fuera de rango 0-100%"&amp;" · ","")&amp;IF(OR(AND($I9&lt;&gt;"",$I9&lt;$H9),AND($J9&lt;&gt;"",$J9&lt;MAX($H9:$I9)),AND($K9&lt;&gt;"",$K9&lt;MAX($H9:$J9))),"Avance semanal decreciente"&amp;" · ","")&amp;IF(AND(ISNUMBER($F9),$F9&lt;FechaRef,N($L9)&lt;1),"Vencida"&amp;" · ","")&amp;IF(AND(ObsObligatoria="Sí",ISNUMBER($F9),$F9&lt;FechaRef,N($L9)&lt;1,$N9=""),"Vencida sin observación"&amp;" · ",""))="","✔ OK","⚠ "&amp;LEFT(IF(AND($S9="Macro",$B9=""),"Macroactividad vacía"&amp;" · ","")&amp;IF(AND($B9&lt;&gt;"",$C9&lt;&gt;""),"Escriba la subactividad en otra fila, debajo de su macroactividad"&amp;" · ","")&amp;IF(AND($S9="Sub",N($R9)=0),"Subactividad sin macroactividad arriba"&amp;" · ","")&amp;IF($D9="","Sin responsable"&amp;" · ","")&amp;IF($E9="","Sin fecha de inicio"&amp;" · ","")&amp;IF($F9="","Sin fecha límite"&amp;" · ","")&amp;IF(OR(AND($E9&lt;&gt;"",NOT(ISNUMBER($E9))),AND($F9&lt;&gt;"",NOT(ISNUMBER($F9)))),"Fecha no válida"&amp;" · ","")&amp;IF(AND(ISNUMBER($E9),ISNUMBER($F9),$E9&gt;$F9),"Inicio posterior a fecha límite"&amp;" · ","")&amp;IF(AND($S9="Macro",$G9=""),"Peso vacío"&amp;" · ","")&amp;IF(AND($S9="Macro",$G9&lt;&gt;"",OR(NOT(ISNUMBER($G9)),$G9&lt;=0,$G9&gt;1)),"Peso fuera de rango"&amp;" · ","")&amp;IF(AND($S9="Sub",$G9&lt;&gt;""),"Las subactividades no llevan peso"&amp;" · ","")&amp;IF(AND($S9="Macro",ABS(SUMIFS($G$5:$G$1000,$P$5:$P$1000,$P9,$S$5:$S$1000,"Macro")-1)&gt;0.0001),"Pesos del mes suman "&amp;TEXT(SUMIFS($G$5:$G$1000,$P$5:$P$1000,$P9,$S$5:$S$1000,"Macro"),"0%")&amp;" · ","")&amp;IF(AND(N($T9)&gt;0,COUNT($H9:$K9)&gt;0),"Con subactividades: deje vacías las semanas (se calculan solas)"&amp;" · ","")&amp;IF((COUNTIF($H9:$K9,"&gt;1")+COUNTIF($H9:$K9,"&lt;0")+COUNTA($H9:$K9)-COUNT($H9:$K9))&gt;0,"Avance fuera de rango 0-100%"&amp;" · ","")&amp;IF(OR(AND($I9&lt;&gt;"",$I9&lt;$H9),AND($J9&lt;&gt;"",$J9&lt;MAX($H9:$I9)),AND($K9&lt;&gt;"",$K9&lt;MAX($H9:$J9))),"Avance semanal decreciente"&amp;" · ","")&amp;IF(AND(ISNUMBER($F9),$F9&lt;FechaRef,N($L9)&lt;1),"Vencida"&amp;" · ","")&amp;IF(AND(ObsObligatoria="Sí",ISNUMBER($F9),$F9&lt;FechaRef,N($L9)&lt;1,$N9=""),"Vencida sin observación"&amp;" · ",""),LEN(IF(AND($S9="Macro",$B9=""),"Macroactividad vacía"&amp;" · ","")&amp;IF(AND($B9&lt;&gt;"",$C9&lt;&gt;""),"Escriba la subactividad en otra fila, debajo de su macroactividad"&amp;" · ","")&amp;IF(AND($S9="Sub",N($R9)=0),"Subactividad sin macroactividad arriba"&amp;" · ","")&amp;IF($D9="","Sin responsable"&amp;" · ","")&amp;IF($E9="","Sin fecha de inicio"&amp;" · ","")&amp;IF($F9="","Sin fecha límite"&amp;" · ","")&amp;IF(OR(AND($E9&lt;&gt;"",NOT(ISNUMBER($E9))),AND($F9&lt;&gt;"",NOT(ISNUMBER($F9)))),"Fecha no válida"&amp;" · ","")&amp;IF(AND(ISNUMBER($E9),ISNUMBER($F9),$E9&gt;$F9),"Inicio posterior a fecha límite"&amp;" · ","")&amp;IF(AND($S9="Macro",$G9=""),"Peso vacío"&amp;" · ","")&amp;IF(AND($S9="Macro",$G9&lt;&gt;"",OR(NOT(ISNUMBER($G9)),$G9&lt;=0,$G9&gt;1)),"Peso fuera de rango"&amp;" · ","")&amp;IF(AND($S9="Sub",$G9&lt;&gt;""),"Las subactividades no llevan peso"&amp;" · ","")&amp;IF(AND($S9="Macro",ABS(SUMIFS($G$5:$G$1000,$P$5:$P$1000,$P9,$S$5:$S$1000,"Macro")-1)&gt;0.0001),"Pesos del mes suman "&amp;TEXT(SUMIFS($G$5:$G$1000,$P$5:$P$1000,$P9,$S$5:$S$1000,"Macro"),"0%")&amp;" · ","")&amp;IF(AND(N($T9)&gt;0,COUNT($H9:$K9)&gt;0),"Con subactividades: deje vacías las semanas (se calculan solas)"&amp;" · ","")&amp;IF((COUNTIF($H9:$K9,"&gt;1")+COUNTIF($H9:$K9,"&lt;0")+COUNTA($H9:$K9)-COUNT($H9:$K9))&gt;0,"Avance fuera de rango 0-100%"&amp;" · ","")&amp;IF(OR(AND($I9&lt;&gt;"",$I9&lt;$H9),AND($J9&lt;&gt;"",$J9&lt;MAX($H9:$I9)),AND($K9&lt;&gt;"",$K9&lt;MAX($H9:$J9))),"Avance semanal decreciente"&amp;" · ","")&amp;IF(AND(ISNUMBER($F9),$F9&lt;FechaRef,N($L9)&lt;1),"Vencida"&amp;" · ","")&amp;IF(AND(ObsObligatoria="Sí",ISNUMBER($F9),$F9&lt;FechaRef,N($L9)&lt;1,$N9=""),"Vencida sin observación"&amp;" · ",""))-3)))</f>
        <v/>
      </c>
      <c r="P9" s="69">
        <f>IF(NOT((COUNTA($B9:$K9)+COUNTA($N9))&gt;0),"",IF(AND($S9="Sub",N($R9)&gt;0),IF(ISNUMBER(INDEX($E$5:$E$1000,$R9-4)),DATE(YEAR(INDEX($E$5:$E$1000,$R9-4)),MONTH(INDEX($E$5:$E$1000,$R9-4)),1),IF(ISNUMBER(INDEX($F$5:$F$1000,$R9-4)),DATE(YEAR(INDEX($F$5:$F$1000,$R9-4)),MONTH(INDEX($F$5:$F$1000,$R9-4)),1),MesCiclo)),IF(ISNUMBER($E9),DATE(YEAR($E9),MONTH($E9),1),IF(ISNUMBER($F9),DATE(YEAR($F9),MONTH($F9),1),MesCiclo))))</f>
        <v/>
      </c>
      <c r="Q9" s="70">
        <f>IF(OR($P9="",$P9&lt;&gt;MesCiclo),"",COUNTIF($P$5:$P9,MesCiclo))</f>
        <v/>
      </c>
      <c r="R9" s="70">
        <f>IF($S9="","",IF($S9="Macro",ROW(),IFERROR(LOOKUP(2,1/($S$5:$S9="Macro"),ROW($S$5:$S9)),0)))</f>
        <v/>
      </c>
      <c r="S9" s="70">
        <f>IF(NOT((COUNTA($B9:$K9)+COUNTA($N9))&gt;0),"",IF($B9&lt;&gt;"","Macro",IF($C9&lt;&gt;"","Sub","Macro")))</f>
        <v/>
      </c>
      <c r="T9" s="70">
        <f>IF($S9="Macro",COUNTIFS($R$5:$R$1000,ROW(),$S$5:$S$1000,"Sub"),"")</f>
        <v/>
      </c>
      <c r="U9" s="70">
        <f>IF($S9="","",IF(ISNUMBER($H9),$H9,0))</f>
        <v/>
      </c>
      <c r="V9" s="70">
        <f>IF($S9="","",IF(ISNUMBER($I9),$I9,$U9))</f>
        <v/>
      </c>
      <c r="W9" s="70">
        <f>IF($S9="","",IF(ISNUMBER($J9),$J9,$V9))</f>
        <v/>
      </c>
      <c r="X9" s="70">
        <f>IF($S9="","",IF(ISNUMBER($K9),$K9,$W9))</f>
        <v/>
      </c>
      <c r="Y9" s="70">
        <f>IF($S9="","",IF(N($T9)&gt;0,AVERAGEIFS($U$5:$U$1000,$R$5:$R$1000,ROW(),$S$5:$S$1000,"Sub"),$U9))</f>
        <v/>
      </c>
      <c r="Z9" s="70">
        <f>IF($S9="","",IF(N($T9)&gt;0,AVERAGEIFS($V$5:$V$1000,$R$5:$R$1000,ROW(),$S$5:$S$1000,"Sub"),$V9))</f>
        <v/>
      </c>
      <c r="AA9" s="70">
        <f>IF($S9="","",IF(N($T9)&gt;0,AVERAGEIFS($W$5:$W$1000,$R$5:$R$1000,ROW(),$S$5:$S$1000,"Sub"),$W9))</f>
        <v/>
      </c>
      <c r="AB9" s="70">
        <f>IF($S9="","",IF(N($T9)&gt;0,AVERAGEIFS($X$5:$X$1000,$R$5:$R$1000,ROW(),$S$5:$S$1000,"Sub"),$X9))</f>
        <v/>
      </c>
    </row>
    <row r="10">
      <c r="A10" s="61">
        <f>IF(NOT((COUNTA($B10:$K10)+COUNTA($N10))&gt;0),"",IF($S10="Macro",COUNTIFS($S$5:$S10,"Macro",$P$5:$P10,$P10),IF(N($R10)=0,"?",COUNTIFS(INDEX($S$5:$S$1000,1):INDEX($S$5:$S$1000,$R10-4),"Macro",INDEX($P$5:$P$1000,1):INDEX($P$5:$P$1000,$R10-4),INDEX($P$5:$P$1000,$R10-4))&amp;"."&amp;COUNTIFS($R$5:$R10,$R10,$S$5:$S10,"Sub"))))</f>
        <v/>
      </c>
      <c r="B10" s="62" t="n"/>
      <c r="C10" s="63" t="n"/>
      <c r="D10" s="62" t="n"/>
      <c r="E10" s="64" t="n"/>
      <c r="F10" s="64" t="n"/>
      <c r="G10" s="65" t="n"/>
      <c r="H10" s="66" t="n"/>
      <c r="I10" s="66" t="n"/>
      <c r="J10" s="66" t="n"/>
      <c r="K10" s="66" t="n"/>
      <c r="L10" s="67">
        <f>IF(NOT((COUNTA($B10:$K10)+COUNTA($N10))&gt;0),"",IF(N($T10)&gt;0,$AB10,IFERROR(LOOKUP(2,1/(H10:K10&lt;&gt;""),H10:K10),0)))</f>
        <v/>
      </c>
      <c r="M10" s="61">
        <f>IF(L10="","",IF(L10&gt;=1,"Completado",IF(L10&gt;0,"En curso","Pendiente")))</f>
        <v/>
      </c>
      <c r="N10" s="62" t="n"/>
      <c r="O10" s="68">
        <f>IF(NOT((COUNTA($B10:$K10)+COUNTA($N10))&gt;0),"",IF((IF(AND($S10="Macro",$B10=""),"Macroactividad vacía"&amp;" · ","")&amp;IF(AND($B10&lt;&gt;"",$C10&lt;&gt;""),"Escriba la subactividad en otra fila, debajo de su macroactividad"&amp;" · ","")&amp;IF(AND($S10="Sub",N($R10)=0),"Subactividad sin macroactividad arriba"&amp;" · ","")&amp;IF($D10="","Sin responsable"&amp;" · ","")&amp;IF($E10="","Sin fecha de inicio"&amp;" · ","")&amp;IF($F10="","Sin fecha límite"&amp;" · ","")&amp;IF(OR(AND($E10&lt;&gt;"",NOT(ISNUMBER($E10))),AND($F10&lt;&gt;"",NOT(ISNUMBER($F10)))),"Fecha no válida"&amp;" · ","")&amp;IF(AND(ISNUMBER($E10),ISNUMBER($F10),$E10&gt;$F10),"Inicio posterior a fecha límite"&amp;" · ","")&amp;IF(AND($S10="Macro",$G10=""),"Peso vacío"&amp;" · ","")&amp;IF(AND($S10="Macro",$G10&lt;&gt;"",OR(NOT(ISNUMBER($G10)),$G10&lt;=0,$G10&gt;1)),"Peso fuera de rango"&amp;" · ","")&amp;IF(AND($S10="Sub",$G10&lt;&gt;""),"Las subactividades no llevan peso"&amp;" · ","")&amp;IF(AND($S10="Macro",ABS(SUMIFS($G$5:$G$1000,$P$5:$P$1000,$P10,$S$5:$S$1000,"Macro")-1)&gt;0.0001),"Pesos del mes suman "&amp;TEXT(SUMIFS($G$5:$G$1000,$P$5:$P$1000,$P10,$S$5:$S$1000,"Macro"),"0%")&amp;" · ","")&amp;IF(AND(N($T10)&gt;0,COUNT($H10:$K10)&gt;0),"Con subactividades: deje vacías las semanas (se calculan solas)"&amp;" · ","")&amp;IF((COUNTIF($H10:$K10,"&gt;1")+COUNTIF($H10:$K10,"&lt;0")+COUNTA($H10:$K10)-COUNT($H10:$K10))&gt;0,"Avance fuera de rango 0-100%"&amp;" · ","")&amp;IF(OR(AND($I10&lt;&gt;"",$I10&lt;$H10),AND($J10&lt;&gt;"",$J10&lt;MAX($H10:$I10)),AND($K10&lt;&gt;"",$K10&lt;MAX($H10:$J10))),"Avance semanal decreciente"&amp;" · ","")&amp;IF(AND(ISNUMBER($F10),$F10&lt;FechaRef,N($L10)&lt;1),"Vencida"&amp;" · ","")&amp;IF(AND(ObsObligatoria="Sí",ISNUMBER($F10),$F10&lt;FechaRef,N($L10)&lt;1,$N10=""),"Vencida sin observación"&amp;" · ",""))="","✔ OK","⚠ "&amp;LEFT(IF(AND($S10="Macro",$B10=""),"Macroactividad vacía"&amp;" · ","")&amp;IF(AND($B10&lt;&gt;"",$C10&lt;&gt;""),"Escriba la subactividad en otra fila, debajo de su macroactividad"&amp;" · ","")&amp;IF(AND($S10="Sub",N($R10)=0),"Subactividad sin macroactividad arriba"&amp;" · ","")&amp;IF($D10="","Sin responsable"&amp;" · ","")&amp;IF($E10="","Sin fecha de inicio"&amp;" · ","")&amp;IF($F10="","Sin fecha límite"&amp;" · ","")&amp;IF(OR(AND($E10&lt;&gt;"",NOT(ISNUMBER($E10))),AND($F10&lt;&gt;"",NOT(ISNUMBER($F10)))),"Fecha no válida"&amp;" · ","")&amp;IF(AND(ISNUMBER($E10),ISNUMBER($F10),$E10&gt;$F10),"Inicio posterior a fecha límite"&amp;" · ","")&amp;IF(AND($S10="Macro",$G10=""),"Peso vacío"&amp;" · ","")&amp;IF(AND($S10="Macro",$G10&lt;&gt;"",OR(NOT(ISNUMBER($G10)),$G10&lt;=0,$G10&gt;1)),"Peso fuera de rango"&amp;" · ","")&amp;IF(AND($S10="Sub",$G10&lt;&gt;""),"Las subactividades no llevan peso"&amp;" · ","")&amp;IF(AND($S10="Macro",ABS(SUMIFS($G$5:$G$1000,$P$5:$P$1000,$P10,$S$5:$S$1000,"Macro")-1)&gt;0.0001),"Pesos del mes suman "&amp;TEXT(SUMIFS($G$5:$G$1000,$P$5:$P$1000,$P10,$S$5:$S$1000,"Macro"),"0%")&amp;" · ","")&amp;IF(AND(N($T10)&gt;0,COUNT($H10:$K10)&gt;0),"Con subactividades: deje vacías las semanas (se calculan solas)"&amp;" · ","")&amp;IF((COUNTIF($H10:$K10,"&gt;1")+COUNTIF($H10:$K10,"&lt;0")+COUNTA($H10:$K10)-COUNT($H10:$K10))&gt;0,"Avance fuera de rango 0-100%"&amp;" · ","")&amp;IF(OR(AND($I10&lt;&gt;"",$I10&lt;$H10),AND($J10&lt;&gt;"",$J10&lt;MAX($H10:$I10)),AND($K10&lt;&gt;"",$K10&lt;MAX($H10:$J10))),"Avance semanal decreciente"&amp;" · ","")&amp;IF(AND(ISNUMBER($F10),$F10&lt;FechaRef,N($L10)&lt;1),"Vencida"&amp;" · ","")&amp;IF(AND(ObsObligatoria="Sí",ISNUMBER($F10),$F10&lt;FechaRef,N($L10)&lt;1,$N10=""),"Vencida sin observación"&amp;" · ",""),LEN(IF(AND($S10="Macro",$B10=""),"Macroactividad vacía"&amp;" · ","")&amp;IF(AND($B10&lt;&gt;"",$C10&lt;&gt;""),"Escriba la subactividad en otra fila, debajo de su macroactividad"&amp;" · ","")&amp;IF(AND($S10="Sub",N($R10)=0),"Subactividad sin macroactividad arriba"&amp;" · ","")&amp;IF($D10="","Sin responsable"&amp;" · ","")&amp;IF($E10="","Sin fecha de inicio"&amp;" · ","")&amp;IF($F10="","Sin fecha límite"&amp;" · ","")&amp;IF(OR(AND($E10&lt;&gt;"",NOT(ISNUMBER($E10))),AND($F10&lt;&gt;"",NOT(ISNUMBER($F10)))),"Fecha no válida"&amp;" · ","")&amp;IF(AND(ISNUMBER($E10),ISNUMBER($F10),$E10&gt;$F10),"Inicio posterior a fecha límite"&amp;" · ","")&amp;IF(AND($S10="Macro",$G10=""),"Peso vacío"&amp;" · ","")&amp;IF(AND($S10="Macro",$G10&lt;&gt;"",OR(NOT(ISNUMBER($G10)),$G10&lt;=0,$G10&gt;1)),"Peso fuera de rango"&amp;" · ","")&amp;IF(AND($S10="Sub",$G10&lt;&gt;""),"Las subactividades no llevan peso"&amp;" · ","")&amp;IF(AND($S10="Macro",ABS(SUMIFS($G$5:$G$1000,$P$5:$P$1000,$P10,$S$5:$S$1000,"Macro")-1)&gt;0.0001),"Pesos del mes suman "&amp;TEXT(SUMIFS($G$5:$G$1000,$P$5:$P$1000,$P10,$S$5:$S$1000,"Macro"),"0%")&amp;" · ","")&amp;IF(AND(N($T10)&gt;0,COUNT($H10:$K10)&gt;0),"Con subactividades: deje vacías las semanas (se calculan solas)"&amp;" · ","")&amp;IF((COUNTIF($H10:$K10,"&gt;1")+COUNTIF($H10:$K10,"&lt;0")+COUNTA($H10:$K10)-COUNT($H10:$K10))&gt;0,"Avance fuera de rango 0-100%"&amp;" · ","")&amp;IF(OR(AND($I10&lt;&gt;"",$I10&lt;$H10),AND($J10&lt;&gt;"",$J10&lt;MAX($H10:$I10)),AND($K10&lt;&gt;"",$K10&lt;MAX($H10:$J10))),"Avance semanal decreciente"&amp;" · ","")&amp;IF(AND(ISNUMBER($F10),$F10&lt;FechaRef,N($L10)&lt;1),"Vencida"&amp;" · ","")&amp;IF(AND(ObsObligatoria="Sí",ISNUMBER($F10),$F10&lt;FechaRef,N($L10)&lt;1,$N10=""),"Vencida sin observación"&amp;" · ",""))-3)))</f>
        <v/>
      </c>
      <c r="P10" s="69">
        <f>IF(NOT((COUNTA($B10:$K10)+COUNTA($N10))&gt;0),"",IF(AND($S10="Sub",N($R10)&gt;0),IF(ISNUMBER(INDEX($E$5:$E$1000,$R10-4)),DATE(YEAR(INDEX($E$5:$E$1000,$R10-4)),MONTH(INDEX($E$5:$E$1000,$R10-4)),1),IF(ISNUMBER(INDEX($F$5:$F$1000,$R10-4)),DATE(YEAR(INDEX($F$5:$F$1000,$R10-4)),MONTH(INDEX($F$5:$F$1000,$R10-4)),1),MesCiclo)),IF(ISNUMBER($E10),DATE(YEAR($E10),MONTH($E10),1),IF(ISNUMBER($F10),DATE(YEAR($F10),MONTH($F10),1),MesCiclo))))</f>
        <v/>
      </c>
      <c r="Q10" s="70">
        <f>IF(OR($P10="",$P10&lt;&gt;MesCiclo),"",COUNTIF($P$5:$P10,MesCiclo))</f>
        <v/>
      </c>
      <c r="R10" s="70">
        <f>IF($S10="","",IF($S10="Macro",ROW(),IFERROR(LOOKUP(2,1/($S$5:$S10="Macro"),ROW($S$5:$S10)),0)))</f>
        <v/>
      </c>
      <c r="S10" s="70">
        <f>IF(NOT((COUNTA($B10:$K10)+COUNTA($N10))&gt;0),"",IF($B10&lt;&gt;"","Macro",IF($C10&lt;&gt;"","Sub","Macro")))</f>
        <v/>
      </c>
      <c r="T10" s="70">
        <f>IF($S10="Macro",COUNTIFS($R$5:$R$1000,ROW(),$S$5:$S$1000,"Sub"),"")</f>
        <v/>
      </c>
      <c r="U10" s="70">
        <f>IF($S10="","",IF(ISNUMBER($H10),$H10,0))</f>
        <v/>
      </c>
      <c r="V10" s="70">
        <f>IF($S10="","",IF(ISNUMBER($I10),$I10,$U10))</f>
        <v/>
      </c>
      <c r="W10" s="70">
        <f>IF($S10="","",IF(ISNUMBER($J10),$J10,$V10))</f>
        <v/>
      </c>
      <c r="X10" s="70">
        <f>IF($S10="","",IF(ISNUMBER($K10),$K10,$W10))</f>
        <v/>
      </c>
      <c r="Y10" s="70">
        <f>IF($S10="","",IF(N($T10)&gt;0,AVERAGEIFS($U$5:$U$1000,$R$5:$R$1000,ROW(),$S$5:$S$1000,"Sub"),$U10))</f>
        <v/>
      </c>
      <c r="Z10" s="70">
        <f>IF($S10="","",IF(N($T10)&gt;0,AVERAGEIFS($V$5:$V$1000,$R$5:$R$1000,ROW(),$S$5:$S$1000,"Sub"),$V10))</f>
        <v/>
      </c>
      <c r="AA10" s="70">
        <f>IF($S10="","",IF(N($T10)&gt;0,AVERAGEIFS($W$5:$W$1000,$R$5:$R$1000,ROW(),$S$5:$S$1000,"Sub"),$W10))</f>
        <v/>
      </c>
      <c r="AB10" s="70">
        <f>IF($S10="","",IF(N($T10)&gt;0,AVERAGEIFS($X$5:$X$1000,$R$5:$R$1000,ROW(),$S$5:$S$1000,"Sub"),$X10))</f>
        <v/>
      </c>
    </row>
    <row r="11">
      <c r="A11" s="61">
        <f>IF(NOT((COUNTA($B11:$K11)+COUNTA($N11))&gt;0),"",IF($S11="Macro",COUNTIFS($S$5:$S11,"Macro",$P$5:$P11,$P11),IF(N($R11)=0,"?",COUNTIFS(INDEX($S$5:$S$1000,1):INDEX($S$5:$S$1000,$R11-4),"Macro",INDEX($P$5:$P$1000,1):INDEX($P$5:$P$1000,$R11-4),INDEX($P$5:$P$1000,$R11-4))&amp;"."&amp;COUNTIFS($R$5:$R11,$R11,$S$5:$S11,"Sub"))))</f>
        <v/>
      </c>
      <c r="B11" s="62" t="n"/>
      <c r="C11" s="63" t="n"/>
      <c r="D11" s="62" t="n"/>
      <c r="E11" s="64" t="n"/>
      <c r="F11" s="64" t="n"/>
      <c r="G11" s="65" t="n"/>
      <c r="H11" s="66" t="n"/>
      <c r="I11" s="66" t="n"/>
      <c r="J11" s="66" t="n"/>
      <c r="K11" s="66" t="n"/>
      <c r="L11" s="67">
        <f>IF(NOT((COUNTA($B11:$K11)+COUNTA($N11))&gt;0),"",IF(N($T11)&gt;0,$AB11,IFERROR(LOOKUP(2,1/(H11:K11&lt;&gt;""),H11:K11),0)))</f>
        <v/>
      </c>
      <c r="M11" s="61">
        <f>IF(L11="","",IF(L11&gt;=1,"Completado",IF(L11&gt;0,"En curso","Pendiente")))</f>
        <v/>
      </c>
      <c r="N11" s="62" t="n"/>
      <c r="O11" s="68">
        <f>IF(NOT((COUNTA($B11:$K11)+COUNTA($N11))&gt;0),"",IF((IF(AND($S11="Macro",$B11=""),"Macroactividad vacía"&amp;" · ","")&amp;IF(AND($B11&lt;&gt;"",$C11&lt;&gt;""),"Escriba la subactividad en otra fila, debajo de su macroactividad"&amp;" · ","")&amp;IF(AND($S11="Sub",N($R11)=0),"Subactividad sin macroactividad arriba"&amp;" · ","")&amp;IF($D11="","Sin responsable"&amp;" · ","")&amp;IF($E11="","Sin fecha de inicio"&amp;" · ","")&amp;IF($F11="","Sin fecha límite"&amp;" · ","")&amp;IF(OR(AND($E11&lt;&gt;"",NOT(ISNUMBER($E11))),AND($F11&lt;&gt;"",NOT(ISNUMBER($F11)))),"Fecha no válida"&amp;" · ","")&amp;IF(AND(ISNUMBER($E11),ISNUMBER($F11),$E11&gt;$F11),"Inicio posterior a fecha límite"&amp;" · ","")&amp;IF(AND($S11="Macro",$G11=""),"Peso vacío"&amp;" · ","")&amp;IF(AND($S11="Macro",$G11&lt;&gt;"",OR(NOT(ISNUMBER($G11)),$G11&lt;=0,$G11&gt;1)),"Peso fuera de rango"&amp;" · ","")&amp;IF(AND($S11="Sub",$G11&lt;&gt;""),"Las subactividades no llevan peso"&amp;" · ","")&amp;IF(AND($S11="Macro",ABS(SUMIFS($G$5:$G$1000,$P$5:$P$1000,$P11,$S$5:$S$1000,"Macro")-1)&gt;0.0001),"Pesos del mes suman "&amp;TEXT(SUMIFS($G$5:$G$1000,$P$5:$P$1000,$P11,$S$5:$S$1000,"Macro"),"0%")&amp;" · ","")&amp;IF(AND(N($T11)&gt;0,COUNT($H11:$K11)&gt;0),"Con subactividades: deje vacías las semanas (se calculan solas)"&amp;" · ","")&amp;IF((COUNTIF($H11:$K11,"&gt;1")+COUNTIF($H11:$K11,"&lt;0")+COUNTA($H11:$K11)-COUNT($H11:$K11))&gt;0,"Avance fuera de rango 0-100%"&amp;" · ","")&amp;IF(OR(AND($I11&lt;&gt;"",$I11&lt;$H11),AND($J11&lt;&gt;"",$J11&lt;MAX($H11:$I11)),AND($K11&lt;&gt;"",$K11&lt;MAX($H11:$J11))),"Avance semanal decreciente"&amp;" · ","")&amp;IF(AND(ISNUMBER($F11),$F11&lt;FechaRef,N($L11)&lt;1),"Vencida"&amp;" · ","")&amp;IF(AND(ObsObligatoria="Sí",ISNUMBER($F11),$F11&lt;FechaRef,N($L11)&lt;1,$N11=""),"Vencida sin observación"&amp;" · ",""))="","✔ OK","⚠ "&amp;LEFT(IF(AND($S11="Macro",$B11=""),"Macroactividad vacía"&amp;" · ","")&amp;IF(AND($B11&lt;&gt;"",$C11&lt;&gt;""),"Escriba la subactividad en otra fila, debajo de su macroactividad"&amp;" · ","")&amp;IF(AND($S11="Sub",N($R11)=0),"Subactividad sin macroactividad arriba"&amp;" · ","")&amp;IF($D11="","Sin responsable"&amp;" · ","")&amp;IF($E11="","Sin fecha de inicio"&amp;" · ","")&amp;IF($F11="","Sin fecha límite"&amp;" · ","")&amp;IF(OR(AND($E11&lt;&gt;"",NOT(ISNUMBER($E11))),AND($F11&lt;&gt;"",NOT(ISNUMBER($F11)))),"Fecha no válida"&amp;" · ","")&amp;IF(AND(ISNUMBER($E11),ISNUMBER($F11),$E11&gt;$F11),"Inicio posterior a fecha límite"&amp;" · ","")&amp;IF(AND($S11="Macro",$G11=""),"Peso vacío"&amp;" · ","")&amp;IF(AND($S11="Macro",$G11&lt;&gt;"",OR(NOT(ISNUMBER($G11)),$G11&lt;=0,$G11&gt;1)),"Peso fuera de rango"&amp;" · ","")&amp;IF(AND($S11="Sub",$G11&lt;&gt;""),"Las subactividades no llevan peso"&amp;" · ","")&amp;IF(AND($S11="Macro",ABS(SUMIFS($G$5:$G$1000,$P$5:$P$1000,$P11,$S$5:$S$1000,"Macro")-1)&gt;0.0001),"Pesos del mes suman "&amp;TEXT(SUMIFS($G$5:$G$1000,$P$5:$P$1000,$P11,$S$5:$S$1000,"Macro"),"0%")&amp;" · ","")&amp;IF(AND(N($T11)&gt;0,COUNT($H11:$K11)&gt;0),"Con subactividades: deje vacías las semanas (se calculan solas)"&amp;" · ","")&amp;IF((COUNTIF($H11:$K11,"&gt;1")+COUNTIF($H11:$K11,"&lt;0")+COUNTA($H11:$K11)-COUNT($H11:$K11))&gt;0,"Avance fuera de rango 0-100%"&amp;" · ","")&amp;IF(OR(AND($I11&lt;&gt;"",$I11&lt;$H11),AND($J11&lt;&gt;"",$J11&lt;MAX($H11:$I11)),AND($K11&lt;&gt;"",$K11&lt;MAX($H11:$J11))),"Avance semanal decreciente"&amp;" · ","")&amp;IF(AND(ISNUMBER($F11),$F11&lt;FechaRef,N($L11)&lt;1),"Vencida"&amp;" · ","")&amp;IF(AND(ObsObligatoria="Sí",ISNUMBER($F11),$F11&lt;FechaRef,N($L11)&lt;1,$N11=""),"Vencida sin observación"&amp;" · ",""),LEN(IF(AND($S11="Macro",$B11=""),"Macroactividad vacía"&amp;" · ","")&amp;IF(AND($B11&lt;&gt;"",$C11&lt;&gt;""),"Escriba la subactividad en otra fila, debajo de su macroactividad"&amp;" · ","")&amp;IF(AND($S11="Sub",N($R11)=0),"Subactividad sin macroactividad arriba"&amp;" · ","")&amp;IF($D11="","Sin responsable"&amp;" · ","")&amp;IF($E11="","Sin fecha de inicio"&amp;" · ","")&amp;IF($F11="","Sin fecha límite"&amp;" · ","")&amp;IF(OR(AND($E11&lt;&gt;"",NOT(ISNUMBER($E11))),AND($F11&lt;&gt;"",NOT(ISNUMBER($F11)))),"Fecha no válida"&amp;" · ","")&amp;IF(AND(ISNUMBER($E11),ISNUMBER($F11),$E11&gt;$F11),"Inicio posterior a fecha límite"&amp;" · ","")&amp;IF(AND($S11="Macro",$G11=""),"Peso vacío"&amp;" · ","")&amp;IF(AND($S11="Macro",$G11&lt;&gt;"",OR(NOT(ISNUMBER($G11)),$G11&lt;=0,$G11&gt;1)),"Peso fuera de rango"&amp;" · ","")&amp;IF(AND($S11="Sub",$G11&lt;&gt;""),"Las subactividades no llevan peso"&amp;" · ","")&amp;IF(AND($S11="Macro",ABS(SUMIFS($G$5:$G$1000,$P$5:$P$1000,$P11,$S$5:$S$1000,"Macro")-1)&gt;0.0001),"Pesos del mes suman "&amp;TEXT(SUMIFS($G$5:$G$1000,$P$5:$P$1000,$P11,$S$5:$S$1000,"Macro"),"0%")&amp;" · ","")&amp;IF(AND(N($T11)&gt;0,COUNT($H11:$K11)&gt;0),"Con subactividades: deje vacías las semanas (se calculan solas)"&amp;" · ","")&amp;IF((COUNTIF($H11:$K11,"&gt;1")+COUNTIF($H11:$K11,"&lt;0")+COUNTA($H11:$K11)-COUNT($H11:$K11))&gt;0,"Avance fuera de rango 0-100%"&amp;" · ","")&amp;IF(OR(AND($I11&lt;&gt;"",$I11&lt;$H11),AND($J11&lt;&gt;"",$J11&lt;MAX($H11:$I11)),AND($K11&lt;&gt;"",$K11&lt;MAX($H11:$J11))),"Avance semanal decreciente"&amp;" · ","")&amp;IF(AND(ISNUMBER($F11),$F11&lt;FechaRef,N($L11)&lt;1),"Vencida"&amp;" · ","")&amp;IF(AND(ObsObligatoria="Sí",ISNUMBER($F11),$F11&lt;FechaRef,N($L11)&lt;1,$N11=""),"Vencida sin observación"&amp;" · ",""))-3)))</f>
        <v/>
      </c>
      <c r="P11" s="69">
        <f>IF(NOT((COUNTA($B11:$K11)+COUNTA($N11))&gt;0),"",IF(AND($S11="Sub",N($R11)&gt;0),IF(ISNUMBER(INDEX($E$5:$E$1000,$R11-4)),DATE(YEAR(INDEX($E$5:$E$1000,$R11-4)),MONTH(INDEX($E$5:$E$1000,$R11-4)),1),IF(ISNUMBER(INDEX($F$5:$F$1000,$R11-4)),DATE(YEAR(INDEX($F$5:$F$1000,$R11-4)),MONTH(INDEX($F$5:$F$1000,$R11-4)),1),MesCiclo)),IF(ISNUMBER($E11),DATE(YEAR($E11),MONTH($E11),1),IF(ISNUMBER($F11),DATE(YEAR($F11),MONTH($F11),1),MesCiclo))))</f>
        <v/>
      </c>
      <c r="Q11" s="70">
        <f>IF(OR($P11="",$P11&lt;&gt;MesCiclo),"",COUNTIF($P$5:$P11,MesCiclo))</f>
        <v/>
      </c>
      <c r="R11" s="70">
        <f>IF($S11="","",IF($S11="Macro",ROW(),IFERROR(LOOKUP(2,1/($S$5:$S11="Macro"),ROW($S$5:$S11)),0)))</f>
        <v/>
      </c>
      <c r="S11" s="70">
        <f>IF(NOT((COUNTA($B11:$K11)+COUNTA($N11))&gt;0),"",IF($B11&lt;&gt;"","Macro",IF($C11&lt;&gt;"","Sub","Macro")))</f>
        <v/>
      </c>
      <c r="T11" s="70">
        <f>IF($S11="Macro",COUNTIFS($R$5:$R$1000,ROW(),$S$5:$S$1000,"Sub"),"")</f>
        <v/>
      </c>
      <c r="U11" s="70">
        <f>IF($S11="","",IF(ISNUMBER($H11),$H11,0))</f>
        <v/>
      </c>
      <c r="V11" s="70">
        <f>IF($S11="","",IF(ISNUMBER($I11),$I11,$U11))</f>
        <v/>
      </c>
      <c r="W11" s="70">
        <f>IF($S11="","",IF(ISNUMBER($J11),$J11,$V11))</f>
        <v/>
      </c>
      <c r="X11" s="70">
        <f>IF($S11="","",IF(ISNUMBER($K11),$K11,$W11))</f>
        <v/>
      </c>
      <c r="Y11" s="70">
        <f>IF($S11="","",IF(N($T11)&gt;0,AVERAGEIFS($U$5:$U$1000,$R$5:$R$1000,ROW(),$S$5:$S$1000,"Sub"),$U11))</f>
        <v/>
      </c>
      <c r="Z11" s="70">
        <f>IF($S11="","",IF(N($T11)&gt;0,AVERAGEIFS($V$5:$V$1000,$R$5:$R$1000,ROW(),$S$5:$S$1000,"Sub"),$V11))</f>
        <v/>
      </c>
      <c r="AA11" s="70">
        <f>IF($S11="","",IF(N($T11)&gt;0,AVERAGEIFS($W$5:$W$1000,$R$5:$R$1000,ROW(),$S$5:$S$1000,"Sub"),$W11))</f>
        <v/>
      </c>
      <c r="AB11" s="70">
        <f>IF($S11="","",IF(N($T11)&gt;0,AVERAGEIFS($X$5:$X$1000,$R$5:$R$1000,ROW(),$S$5:$S$1000,"Sub"),$X11))</f>
        <v/>
      </c>
    </row>
    <row r="12">
      <c r="A12" s="61">
        <f>IF(NOT((COUNTA($B12:$K12)+COUNTA($N12))&gt;0),"",IF($S12="Macro",COUNTIFS($S$5:$S12,"Macro",$P$5:$P12,$P12),IF(N($R12)=0,"?",COUNTIFS(INDEX($S$5:$S$1000,1):INDEX($S$5:$S$1000,$R12-4),"Macro",INDEX($P$5:$P$1000,1):INDEX($P$5:$P$1000,$R12-4),INDEX($P$5:$P$1000,$R12-4))&amp;"."&amp;COUNTIFS($R$5:$R12,$R12,$S$5:$S12,"Sub"))))</f>
        <v/>
      </c>
      <c r="B12" s="62" t="n"/>
      <c r="C12" s="63" t="n"/>
      <c r="D12" s="62" t="n"/>
      <c r="E12" s="64" t="n"/>
      <c r="F12" s="64" t="n"/>
      <c r="G12" s="65" t="n"/>
      <c r="H12" s="66" t="n"/>
      <c r="I12" s="66" t="n"/>
      <c r="J12" s="66" t="n"/>
      <c r="K12" s="66" t="n"/>
      <c r="L12" s="67">
        <f>IF(NOT((COUNTA($B12:$K12)+COUNTA($N12))&gt;0),"",IF(N($T12)&gt;0,$AB12,IFERROR(LOOKUP(2,1/(H12:K12&lt;&gt;""),H12:K12),0)))</f>
        <v/>
      </c>
      <c r="M12" s="61">
        <f>IF(L12="","",IF(L12&gt;=1,"Completado",IF(L12&gt;0,"En curso","Pendiente")))</f>
        <v/>
      </c>
      <c r="N12" s="62" t="n"/>
      <c r="O12" s="68">
        <f>IF(NOT((COUNTA($B12:$K12)+COUNTA($N12))&gt;0),"",IF((IF(AND($S12="Macro",$B12=""),"Macroactividad vacía"&amp;" · ","")&amp;IF(AND($B12&lt;&gt;"",$C12&lt;&gt;""),"Escriba la subactividad en otra fila, debajo de su macroactividad"&amp;" · ","")&amp;IF(AND($S12="Sub",N($R12)=0),"Subactividad sin macroactividad arriba"&amp;" · ","")&amp;IF($D12="","Sin responsable"&amp;" · ","")&amp;IF($E12="","Sin fecha de inicio"&amp;" · ","")&amp;IF($F12="","Sin fecha límite"&amp;" · ","")&amp;IF(OR(AND($E12&lt;&gt;"",NOT(ISNUMBER($E12))),AND($F12&lt;&gt;"",NOT(ISNUMBER($F12)))),"Fecha no válida"&amp;" · ","")&amp;IF(AND(ISNUMBER($E12),ISNUMBER($F12),$E12&gt;$F12),"Inicio posterior a fecha límite"&amp;" · ","")&amp;IF(AND($S12="Macro",$G12=""),"Peso vacío"&amp;" · ","")&amp;IF(AND($S12="Macro",$G12&lt;&gt;"",OR(NOT(ISNUMBER($G12)),$G12&lt;=0,$G12&gt;1)),"Peso fuera de rango"&amp;" · ","")&amp;IF(AND($S12="Sub",$G12&lt;&gt;""),"Las subactividades no llevan peso"&amp;" · ","")&amp;IF(AND($S12="Macro",ABS(SUMIFS($G$5:$G$1000,$P$5:$P$1000,$P12,$S$5:$S$1000,"Macro")-1)&gt;0.0001),"Pesos del mes suman "&amp;TEXT(SUMIFS($G$5:$G$1000,$P$5:$P$1000,$P12,$S$5:$S$1000,"Macro"),"0%")&amp;" · ","")&amp;IF(AND(N($T12)&gt;0,COUNT($H12:$K12)&gt;0),"Con subactividades: deje vacías las semanas (se calculan solas)"&amp;" · ","")&amp;IF((COUNTIF($H12:$K12,"&gt;1")+COUNTIF($H12:$K12,"&lt;0")+COUNTA($H12:$K12)-COUNT($H12:$K12))&gt;0,"Avance fuera de rango 0-100%"&amp;" · ","")&amp;IF(OR(AND($I12&lt;&gt;"",$I12&lt;$H12),AND($J12&lt;&gt;"",$J12&lt;MAX($H12:$I12)),AND($K12&lt;&gt;"",$K12&lt;MAX($H12:$J12))),"Avance semanal decreciente"&amp;" · ","")&amp;IF(AND(ISNUMBER($F12),$F12&lt;FechaRef,N($L12)&lt;1),"Vencida"&amp;" · ","")&amp;IF(AND(ObsObligatoria="Sí",ISNUMBER($F12),$F12&lt;FechaRef,N($L12)&lt;1,$N12=""),"Vencida sin observación"&amp;" · ",""))="","✔ OK","⚠ "&amp;LEFT(IF(AND($S12="Macro",$B12=""),"Macroactividad vacía"&amp;" · ","")&amp;IF(AND($B12&lt;&gt;"",$C12&lt;&gt;""),"Escriba la subactividad en otra fila, debajo de su macroactividad"&amp;" · ","")&amp;IF(AND($S12="Sub",N($R12)=0),"Subactividad sin macroactividad arriba"&amp;" · ","")&amp;IF($D12="","Sin responsable"&amp;" · ","")&amp;IF($E12="","Sin fecha de inicio"&amp;" · ","")&amp;IF($F12="","Sin fecha límite"&amp;" · ","")&amp;IF(OR(AND($E12&lt;&gt;"",NOT(ISNUMBER($E12))),AND($F12&lt;&gt;"",NOT(ISNUMBER($F12)))),"Fecha no válida"&amp;" · ","")&amp;IF(AND(ISNUMBER($E12),ISNUMBER($F12),$E12&gt;$F12),"Inicio posterior a fecha límite"&amp;" · ","")&amp;IF(AND($S12="Macro",$G12=""),"Peso vacío"&amp;" · ","")&amp;IF(AND($S12="Macro",$G12&lt;&gt;"",OR(NOT(ISNUMBER($G12)),$G12&lt;=0,$G12&gt;1)),"Peso fuera de rango"&amp;" · ","")&amp;IF(AND($S12="Sub",$G12&lt;&gt;""),"Las subactividades no llevan peso"&amp;" · ","")&amp;IF(AND($S12="Macro",ABS(SUMIFS($G$5:$G$1000,$P$5:$P$1000,$P12,$S$5:$S$1000,"Macro")-1)&gt;0.0001),"Pesos del mes suman "&amp;TEXT(SUMIFS($G$5:$G$1000,$P$5:$P$1000,$P12,$S$5:$S$1000,"Macro"),"0%")&amp;" · ","")&amp;IF(AND(N($T12)&gt;0,COUNT($H12:$K12)&gt;0),"Con subactividades: deje vacías las semanas (se calculan solas)"&amp;" · ","")&amp;IF((COUNTIF($H12:$K12,"&gt;1")+COUNTIF($H12:$K12,"&lt;0")+COUNTA($H12:$K12)-COUNT($H12:$K12))&gt;0,"Avance fuera de rango 0-100%"&amp;" · ","")&amp;IF(OR(AND($I12&lt;&gt;"",$I12&lt;$H12),AND($J12&lt;&gt;"",$J12&lt;MAX($H12:$I12)),AND($K12&lt;&gt;"",$K12&lt;MAX($H12:$J12))),"Avance semanal decreciente"&amp;" · ","")&amp;IF(AND(ISNUMBER($F12),$F12&lt;FechaRef,N($L12)&lt;1),"Vencida"&amp;" · ","")&amp;IF(AND(ObsObligatoria="Sí",ISNUMBER($F12),$F12&lt;FechaRef,N($L12)&lt;1,$N12=""),"Vencida sin observación"&amp;" · ",""),LEN(IF(AND($S12="Macro",$B12=""),"Macroactividad vacía"&amp;" · ","")&amp;IF(AND($B12&lt;&gt;"",$C12&lt;&gt;""),"Escriba la subactividad en otra fila, debajo de su macroactividad"&amp;" · ","")&amp;IF(AND($S12="Sub",N($R12)=0),"Subactividad sin macroactividad arriba"&amp;" · ","")&amp;IF($D12="","Sin responsable"&amp;" · ","")&amp;IF($E12="","Sin fecha de inicio"&amp;" · ","")&amp;IF($F12="","Sin fecha límite"&amp;" · ","")&amp;IF(OR(AND($E12&lt;&gt;"",NOT(ISNUMBER($E12))),AND($F12&lt;&gt;"",NOT(ISNUMBER($F12)))),"Fecha no válida"&amp;" · ","")&amp;IF(AND(ISNUMBER($E12),ISNUMBER($F12),$E12&gt;$F12),"Inicio posterior a fecha límite"&amp;" · ","")&amp;IF(AND($S12="Macro",$G12=""),"Peso vacío"&amp;" · ","")&amp;IF(AND($S12="Macro",$G12&lt;&gt;"",OR(NOT(ISNUMBER($G12)),$G12&lt;=0,$G12&gt;1)),"Peso fuera de rango"&amp;" · ","")&amp;IF(AND($S12="Sub",$G12&lt;&gt;""),"Las subactividades no llevan peso"&amp;" · ","")&amp;IF(AND($S12="Macro",ABS(SUMIFS($G$5:$G$1000,$P$5:$P$1000,$P12,$S$5:$S$1000,"Macro")-1)&gt;0.0001),"Pesos del mes suman "&amp;TEXT(SUMIFS($G$5:$G$1000,$P$5:$P$1000,$P12,$S$5:$S$1000,"Macro"),"0%")&amp;" · ","")&amp;IF(AND(N($T12)&gt;0,COUNT($H12:$K12)&gt;0),"Con subactividades: deje vacías las semanas (se calculan solas)"&amp;" · ","")&amp;IF((COUNTIF($H12:$K12,"&gt;1")+COUNTIF($H12:$K12,"&lt;0")+COUNTA($H12:$K12)-COUNT($H12:$K12))&gt;0,"Avance fuera de rango 0-100%"&amp;" · ","")&amp;IF(OR(AND($I12&lt;&gt;"",$I12&lt;$H12),AND($J12&lt;&gt;"",$J12&lt;MAX($H12:$I12)),AND($K12&lt;&gt;"",$K12&lt;MAX($H12:$J12))),"Avance semanal decreciente"&amp;" · ","")&amp;IF(AND(ISNUMBER($F12),$F12&lt;FechaRef,N($L12)&lt;1),"Vencida"&amp;" · ","")&amp;IF(AND(ObsObligatoria="Sí",ISNUMBER($F12),$F12&lt;FechaRef,N($L12)&lt;1,$N12=""),"Vencida sin observación"&amp;" · ",""))-3)))</f>
        <v/>
      </c>
      <c r="P12" s="69">
        <f>IF(NOT((COUNTA($B12:$K12)+COUNTA($N12))&gt;0),"",IF(AND($S12="Sub",N($R12)&gt;0),IF(ISNUMBER(INDEX($E$5:$E$1000,$R12-4)),DATE(YEAR(INDEX($E$5:$E$1000,$R12-4)),MONTH(INDEX($E$5:$E$1000,$R12-4)),1),IF(ISNUMBER(INDEX($F$5:$F$1000,$R12-4)),DATE(YEAR(INDEX($F$5:$F$1000,$R12-4)),MONTH(INDEX($F$5:$F$1000,$R12-4)),1),MesCiclo)),IF(ISNUMBER($E12),DATE(YEAR($E12),MONTH($E12),1),IF(ISNUMBER($F12),DATE(YEAR($F12),MONTH($F12),1),MesCiclo))))</f>
        <v/>
      </c>
      <c r="Q12" s="70">
        <f>IF(OR($P12="",$P12&lt;&gt;MesCiclo),"",COUNTIF($P$5:$P12,MesCiclo))</f>
        <v/>
      </c>
      <c r="R12" s="70">
        <f>IF($S12="","",IF($S12="Macro",ROW(),IFERROR(LOOKUP(2,1/($S$5:$S12="Macro"),ROW($S$5:$S12)),0)))</f>
        <v/>
      </c>
      <c r="S12" s="70">
        <f>IF(NOT((COUNTA($B12:$K12)+COUNTA($N12))&gt;0),"",IF($B12&lt;&gt;"","Macro",IF($C12&lt;&gt;"","Sub","Macro")))</f>
        <v/>
      </c>
      <c r="T12" s="70">
        <f>IF($S12="Macro",COUNTIFS($R$5:$R$1000,ROW(),$S$5:$S$1000,"Sub"),"")</f>
        <v/>
      </c>
      <c r="U12" s="70">
        <f>IF($S12="","",IF(ISNUMBER($H12),$H12,0))</f>
        <v/>
      </c>
      <c r="V12" s="70">
        <f>IF($S12="","",IF(ISNUMBER($I12),$I12,$U12))</f>
        <v/>
      </c>
      <c r="W12" s="70">
        <f>IF($S12="","",IF(ISNUMBER($J12),$J12,$V12))</f>
        <v/>
      </c>
      <c r="X12" s="70">
        <f>IF($S12="","",IF(ISNUMBER($K12),$K12,$W12))</f>
        <v/>
      </c>
      <c r="Y12" s="70">
        <f>IF($S12="","",IF(N($T12)&gt;0,AVERAGEIFS($U$5:$U$1000,$R$5:$R$1000,ROW(),$S$5:$S$1000,"Sub"),$U12))</f>
        <v/>
      </c>
      <c r="Z12" s="70">
        <f>IF($S12="","",IF(N($T12)&gt;0,AVERAGEIFS($V$5:$V$1000,$R$5:$R$1000,ROW(),$S$5:$S$1000,"Sub"),$V12))</f>
        <v/>
      </c>
      <c r="AA12" s="70">
        <f>IF($S12="","",IF(N($T12)&gt;0,AVERAGEIFS($W$5:$W$1000,$R$5:$R$1000,ROW(),$S$5:$S$1000,"Sub"),$W12))</f>
        <v/>
      </c>
      <c r="AB12" s="70">
        <f>IF($S12="","",IF(N($T12)&gt;0,AVERAGEIFS($X$5:$X$1000,$R$5:$R$1000,ROW(),$S$5:$S$1000,"Sub"),$X12))</f>
        <v/>
      </c>
    </row>
    <row r="13">
      <c r="A13" s="61">
        <f>IF(NOT((COUNTA($B13:$K13)+COUNTA($N13))&gt;0),"",IF($S13="Macro",COUNTIFS($S$5:$S13,"Macro",$P$5:$P13,$P13),IF(N($R13)=0,"?",COUNTIFS(INDEX($S$5:$S$1000,1):INDEX($S$5:$S$1000,$R13-4),"Macro",INDEX($P$5:$P$1000,1):INDEX($P$5:$P$1000,$R13-4),INDEX($P$5:$P$1000,$R13-4))&amp;"."&amp;COUNTIFS($R$5:$R13,$R13,$S$5:$S13,"Sub"))))</f>
        <v/>
      </c>
      <c r="B13" s="62" t="n"/>
      <c r="C13" s="63" t="n"/>
      <c r="D13" s="62" t="n"/>
      <c r="E13" s="64" t="n"/>
      <c r="F13" s="64" t="n"/>
      <c r="G13" s="65" t="n"/>
      <c r="H13" s="66" t="n"/>
      <c r="I13" s="66" t="n"/>
      <c r="J13" s="66" t="n"/>
      <c r="K13" s="66" t="n"/>
      <c r="L13" s="67">
        <f>IF(NOT((COUNTA($B13:$K13)+COUNTA($N13))&gt;0),"",IF(N($T13)&gt;0,$AB13,IFERROR(LOOKUP(2,1/(H13:K13&lt;&gt;""),H13:K13),0)))</f>
        <v/>
      </c>
      <c r="M13" s="61">
        <f>IF(L13="","",IF(L13&gt;=1,"Completado",IF(L13&gt;0,"En curso","Pendiente")))</f>
        <v/>
      </c>
      <c r="N13" s="62" t="n"/>
      <c r="O13" s="68">
        <f>IF(NOT((COUNTA($B13:$K13)+COUNTA($N13))&gt;0),"",IF((IF(AND($S13="Macro",$B13=""),"Macroactividad vacía"&amp;" · ","")&amp;IF(AND($B13&lt;&gt;"",$C13&lt;&gt;""),"Escriba la subactividad en otra fila, debajo de su macroactividad"&amp;" · ","")&amp;IF(AND($S13="Sub",N($R13)=0),"Subactividad sin macroactividad arriba"&amp;" · ","")&amp;IF($D13="","Sin responsable"&amp;" · ","")&amp;IF($E13="","Sin fecha de inicio"&amp;" · ","")&amp;IF($F13="","Sin fecha límite"&amp;" · ","")&amp;IF(OR(AND($E13&lt;&gt;"",NOT(ISNUMBER($E13))),AND($F13&lt;&gt;"",NOT(ISNUMBER($F13)))),"Fecha no válida"&amp;" · ","")&amp;IF(AND(ISNUMBER($E13),ISNUMBER($F13),$E13&gt;$F13),"Inicio posterior a fecha límite"&amp;" · ","")&amp;IF(AND($S13="Macro",$G13=""),"Peso vacío"&amp;" · ","")&amp;IF(AND($S13="Macro",$G13&lt;&gt;"",OR(NOT(ISNUMBER($G13)),$G13&lt;=0,$G13&gt;1)),"Peso fuera de rango"&amp;" · ","")&amp;IF(AND($S13="Sub",$G13&lt;&gt;""),"Las subactividades no llevan peso"&amp;" · ","")&amp;IF(AND($S13="Macro",ABS(SUMIFS($G$5:$G$1000,$P$5:$P$1000,$P13,$S$5:$S$1000,"Macro")-1)&gt;0.0001),"Pesos del mes suman "&amp;TEXT(SUMIFS($G$5:$G$1000,$P$5:$P$1000,$P13,$S$5:$S$1000,"Macro"),"0%")&amp;" · ","")&amp;IF(AND(N($T13)&gt;0,COUNT($H13:$K13)&gt;0),"Con subactividades: deje vacías las semanas (se calculan solas)"&amp;" · ","")&amp;IF((COUNTIF($H13:$K13,"&gt;1")+COUNTIF($H13:$K13,"&lt;0")+COUNTA($H13:$K13)-COUNT($H13:$K13))&gt;0,"Avance fuera de rango 0-100%"&amp;" · ","")&amp;IF(OR(AND($I13&lt;&gt;"",$I13&lt;$H13),AND($J13&lt;&gt;"",$J13&lt;MAX($H13:$I13)),AND($K13&lt;&gt;"",$K13&lt;MAX($H13:$J13))),"Avance semanal decreciente"&amp;" · ","")&amp;IF(AND(ISNUMBER($F13),$F13&lt;FechaRef,N($L13)&lt;1),"Vencida"&amp;" · ","")&amp;IF(AND(ObsObligatoria="Sí",ISNUMBER($F13),$F13&lt;FechaRef,N($L13)&lt;1,$N13=""),"Vencida sin observación"&amp;" · ",""))="","✔ OK","⚠ "&amp;LEFT(IF(AND($S13="Macro",$B13=""),"Macroactividad vacía"&amp;" · ","")&amp;IF(AND($B13&lt;&gt;"",$C13&lt;&gt;""),"Escriba la subactividad en otra fila, debajo de su macroactividad"&amp;" · ","")&amp;IF(AND($S13="Sub",N($R13)=0),"Subactividad sin macroactividad arriba"&amp;" · ","")&amp;IF($D13="","Sin responsable"&amp;" · ","")&amp;IF($E13="","Sin fecha de inicio"&amp;" · ","")&amp;IF($F13="","Sin fecha límite"&amp;" · ","")&amp;IF(OR(AND($E13&lt;&gt;"",NOT(ISNUMBER($E13))),AND($F13&lt;&gt;"",NOT(ISNUMBER($F13)))),"Fecha no válida"&amp;" · ","")&amp;IF(AND(ISNUMBER($E13),ISNUMBER($F13),$E13&gt;$F13),"Inicio posterior a fecha límite"&amp;" · ","")&amp;IF(AND($S13="Macro",$G13=""),"Peso vacío"&amp;" · ","")&amp;IF(AND($S13="Macro",$G13&lt;&gt;"",OR(NOT(ISNUMBER($G13)),$G13&lt;=0,$G13&gt;1)),"Peso fuera de rango"&amp;" · ","")&amp;IF(AND($S13="Sub",$G13&lt;&gt;""),"Las subactividades no llevan peso"&amp;" · ","")&amp;IF(AND($S13="Macro",ABS(SUMIFS($G$5:$G$1000,$P$5:$P$1000,$P13,$S$5:$S$1000,"Macro")-1)&gt;0.0001),"Pesos del mes suman "&amp;TEXT(SUMIFS($G$5:$G$1000,$P$5:$P$1000,$P13,$S$5:$S$1000,"Macro"),"0%")&amp;" · ","")&amp;IF(AND(N($T13)&gt;0,COUNT($H13:$K13)&gt;0),"Con subactividades: deje vacías las semanas (se calculan solas)"&amp;" · ","")&amp;IF((COUNTIF($H13:$K13,"&gt;1")+COUNTIF($H13:$K13,"&lt;0")+COUNTA($H13:$K13)-COUNT($H13:$K13))&gt;0,"Avance fuera de rango 0-100%"&amp;" · ","")&amp;IF(OR(AND($I13&lt;&gt;"",$I13&lt;$H13),AND($J13&lt;&gt;"",$J13&lt;MAX($H13:$I13)),AND($K13&lt;&gt;"",$K13&lt;MAX($H13:$J13))),"Avance semanal decreciente"&amp;" · ","")&amp;IF(AND(ISNUMBER($F13),$F13&lt;FechaRef,N($L13)&lt;1),"Vencida"&amp;" · ","")&amp;IF(AND(ObsObligatoria="Sí",ISNUMBER($F13),$F13&lt;FechaRef,N($L13)&lt;1,$N13=""),"Vencida sin observación"&amp;" · ",""),LEN(IF(AND($S13="Macro",$B13=""),"Macroactividad vacía"&amp;" · ","")&amp;IF(AND($B13&lt;&gt;"",$C13&lt;&gt;""),"Escriba la subactividad en otra fila, debajo de su macroactividad"&amp;" · ","")&amp;IF(AND($S13="Sub",N($R13)=0),"Subactividad sin macroactividad arriba"&amp;" · ","")&amp;IF($D13="","Sin responsable"&amp;" · ","")&amp;IF($E13="","Sin fecha de inicio"&amp;" · ","")&amp;IF($F13="","Sin fecha límite"&amp;" · ","")&amp;IF(OR(AND($E13&lt;&gt;"",NOT(ISNUMBER($E13))),AND($F13&lt;&gt;"",NOT(ISNUMBER($F13)))),"Fecha no válida"&amp;" · ","")&amp;IF(AND(ISNUMBER($E13),ISNUMBER($F13),$E13&gt;$F13),"Inicio posterior a fecha límite"&amp;" · ","")&amp;IF(AND($S13="Macro",$G13=""),"Peso vacío"&amp;" · ","")&amp;IF(AND($S13="Macro",$G13&lt;&gt;"",OR(NOT(ISNUMBER($G13)),$G13&lt;=0,$G13&gt;1)),"Peso fuera de rango"&amp;" · ","")&amp;IF(AND($S13="Sub",$G13&lt;&gt;""),"Las subactividades no llevan peso"&amp;" · ","")&amp;IF(AND($S13="Macro",ABS(SUMIFS($G$5:$G$1000,$P$5:$P$1000,$P13,$S$5:$S$1000,"Macro")-1)&gt;0.0001),"Pesos del mes suman "&amp;TEXT(SUMIFS($G$5:$G$1000,$P$5:$P$1000,$P13,$S$5:$S$1000,"Macro"),"0%")&amp;" · ","")&amp;IF(AND(N($T13)&gt;0,COUNT($H13:$K13)&gt;0),"Con subactividades: deje vacías las semanas (se calculan solas)"&amp;" · ","")&amp;IF((COUNTIF($H13:$K13,"&gt;1")+COUNTIF($H13:$K13,"&lt;0")+COUNTA($H13:$K13)-COUNT($H13:$K13))&gt;0,"Avance fuera de rango 0-100%"&amp;" · ","")&amp;IF(OR(AND($I13&lt;&gt;"",$I13&lt;$H13),AND($J13&lt;&gt;"",$J13&lt;MAX($H13:$I13)),AND($K13&lt;&gt;"",$K13&lt;MAX($H13:$J13))),"Avance semanal decreciente"&amp;" · ","")&amp;IF(AND(ISNUMBER($F13),$F13&lt;FechaRef,N($L13)&lt;1),"Vencida"&amp;" · ","")&amp;IF(AND(ObsObligatoria="Sí",ISNUMBER($F13),$F13&lt;FechaRef,N($L13)&lt;1,$N13=""),"Vencida sin observación"&amp;" · ",""))-3)))</f>
        <v/>
      </c>
      <c r="P13" s="69">
        <f>IF(NOT((COUNTA($B13:$K13)+COUNTA($N13))&gt;0),"",IF(AND($S13="Sub",N($R13)&gt;0),IF(ISNUMBER(INDEX($E$5:$E$1000,$R13-4)),DATE(YEAR(INDEX($E$5:$E$1000,$R13-4)),MONTH(INDEX($E$5:$E$1000,$R13-4)),1),IF(ISNUMBER(INDEX($F$5:$F$1000,$R13-4)),DATE(YEAR(INDEX($F$5:$F$1000,$R13-4)),MONTH(INDEX($F$5:$F$1000,$R13-4)),1),MesCiclo)),IF(ISNUMBER($E13),DATE(YEAR($E13),MONTH($E13),1),IF(ISNUMBER($F13),DATE(YEAR($F13),MONTH($F13),1),MesCiclo))))</f>
        <v/>
      </c>
      <c r="Q13" s="70">
        <f>IF(OR($P13="",$P13&lt;&gt;MesCiclo),"",COUNTIF($P$5:$P13,MesCiclo))</f>
        <v/>
      </c>
      <c r="R13" s="70">
        <f>IF($S13="","",IF($S13="Macro",ROW(),IFERROR(LOOKUP(2,1/($S$5:$S13="Macro"),ROW($S$5:$S13)),0)))</f>
        <v/>
      </c>
      <c r="S13" s="70">
        <f>IF(NOT((COUNTA($B13:$K13)+COUNTA($N13))&gt;0),"",IF($B13&lt;&gt;"","Macro",IF($C13&lt;&gt;"","Sub","Macro")))</f>
        <v/>
      </c>
      <c r="T13" s="70">
        <f>IF($S13="Macro",COUNTIFS($R$5:$R$1000,ROW(),$S$5:$S$1000,"Sub"),"")</f>
        <v/>
      </c>
      <c r="U13" s="70">
        <f>IF($S13="","",IF(ISNUMBER($H13),$H13,0))</f>
        <v/>
      </c>
      <c r="V13" s="70">
        <f>IF($S13="","",IF(ISNUMBER($I13),$I13,$U13))</f>
        <v/>
      </c>
      <c r="W13" s="70">
        <f>IF($S13="","",IF(ISNUMBER($J13),$J13,$V13))</f>
        <v/>
      </c>
      <c r="X13" s="70">
        <f>IF($S13="","",IF(ISNUMBER($K13),$K13,$W13))</f>
        <v/>
      </c>
      <c r="Y13" s="70">
        <f>IF($S13="","",IF(N($T13)&gt;0,AVERAGEIFS($U$5:$U$1000,$R$5:$R$1000,ROW(),$S$5:$S$1000,"Sub"),$U13))</f>
        <v/>
      </c>
      <c r="Z13" s="70">
        <f>IF($S13="","",IF(N($T13)&gt;0,AVERAGEIFS($V$5:$V$1000,$R$5:$R$1000,ROW(),$S$5:$S$1000,"Sub"),$V13))</f>
        <v/>
      </c>
      <c r="AA13" s="70">
        <f>IF($S13="","",IF(N($T13)&gt;0,AVERAGEIFS($W$5:$W$1000,$R$5:$R$1000,ROW(),$S$5:$S$1000,"Sub"),$W13))</f>
        <v/>
      </c>
      <c r="AB13" s="70">
        <f>IF($S13="","",IF(N($T13)&gt;0,AVERAGEIFS($X$5:$X$1000,$R$5:$R$1000,ROW(),$S$5:$S$1000,"Sub"),$X13))</f>
        <v/>
      </c>
    </row>
    <row r="14">
      <c r="A14" s="61">
        <f>IF(NOT((COUNTA($B14:$K14)+COUNTA($N14))&gt;0),"",IF($S14="Macro",COUNTIFS($S$5:$S14,"Macro",$P$5:$P14,$P14),IF(N($R14)=0,"?",COUNTIFS(INDEX($S$5:$S$1000,1):INDEX($S$5:$S$1000,$R14-4),"Macro",INDEX($P$5:$P$1000,1):INDEX($P$5:$P$1000,$R14-4),INDEX($P$5:$P$1000,$R14-4))&amp;"."&amp;COUNTIFS($R$5:$R14,$R14,$S$5:$S14,"Sub"))))</f>
        <v/>
      </c>
      <c r="B14" s="62" t="n"/>
      <c r="C14" s="63" t="n"/>
      <c r="D14" s="62" t="n"/>
      <c r="E14" s="64" t="n"/>
      <c r="F14" s="64" t="n"/>
      <c r="G14" s="65" t="n"/>
      <c r="H14" s="66" t="n"/>
      <c r="I14" s="66" t="n"/>
      <c r="J14" s="66" t="n"/>
      <c r="K14" s="66" t="n"/>
      <c r="L14" s="67">
        <f>IF(NOT((COUNTA($B14:$K14)+COUNTA($N14))&gt;0),"",IF(N($T14)&gt;0,$AB14,IFERROR(LOOKUP(2,1/(H14:K14&lt;&gt;""),H14:K14),0)))</f>
        <v/>
      </c>
      <c r="M14" s="61">
        <f>IF(L14="","",IF(L14&gt;=1,"Completado",IF(L14&gt;0,"En curso","Pendiente")))</f>
        <v/>
      </c>
      <c r="N14" s="62" t="n"/>
      <c r="O14" s="68">
        <f>IF(NOT((COUNTA($B14:$K14)+COUNTA($N14))&gt;0),"",IF((IF(AND($S14="Macro",$B14=""),"Macroactividad vacía"&amp;" · ","")&amp;IF(AND($B14&lt;&gt;"",$C14&lt;&gt;""),"Escriba la subactividad en otra fila, debajo de su macroactividad"&amp;" · ","")&amp;IF(AND($S14="Sub",N($R14)=0),"Subactividad sin macroactividad arriba"&amp;" · ","")&amp;IF($D14="","Sin responsable"&amp;" · ","")&amp;IF($E14="","Sin fecha de inicio"&amp;" · ","")&amp;IF($F14="","Sin fecha límite"&amp;" · ","")&amp;IF(OR(AND($E14&lt;&gt;"",NOT(ISNUMBER($E14))),AND($F14&lt;&gt;"",NOT(ISNUMBER($F14)))),"Fecha no válida"&amp;" · ","")&amp;IF(AND(ISNUMBER($E14),ISNUMBER($F14),$E14&gt;$F14),"Inicio posterior a fecha límite"&amp;" · ","")&amp;IF(AND($S14="Macro",$G14=""),"Peso vacío"&amp;" · ","")&amp;IF(AND($S14="Macro",$G14&lt;&gt;"",OR(NOT(ISNUMBER($G14)),$G14&lt;=0,$G14&gt;1)),"Peso fuera de rango"&amp;" · ","")&amp;IF(AND($S14="Sub",$G14&lt;&gt;""),"Las subactividades no llevan peso"&amp;" · ","")&amp;IF(AND($S14="Macro",ABS(SUMIFS($G$5:$G$1000,$P$5:$P$1000,$P14,$S$5:$S$1000,"Macro")-1)&gt;0.0001),"Pesos del mes suman "&amp;TEXT(SUMIFS($G$5:$G$1000,$P$5:$P$1000,$P14,$S$5:$S$1000,"Macro"),"0%")&amp;" · ","")&amp;IF(AND(N($T14)&gt;0,COUNT($H14:$K14)&gt;0),"Con subactividades: deje vacías las semanas (se calculan solas)"&amp;" · ","")&amp;IF((COUNTIF($H14:$K14,"&gt;1")+COUNTIF($H14:$K14,"&lt;0")+COUNTA($H14:$K14)-COUNT($H14:$K14))&gt;0,"Avance fuera de rango 0-100%"&amp;" · ","")&amp;IF(OR(AND($I14&lt;&gt;"",$I14&lt;$H14),AND($J14&lt;&gt;"",$J14&lt;MAX($H14:$I14)),AND($K14&lt;&gt;"",$K14&lt;MAX($H14:$J14))),"Avance semanal decreciente"&amp;" · ","")&amp;IF(AND(ISNUMBER($F14),$F14&lt;FechaRef,N($L14)&lt;1),"Vencida"&amp;" · ","")&amp;IF(AND(ObsObligatoria="Sí",ISNUMBER($F14),$F14&lt;FechaRef,N($L14)&lt;1,$N14=""),"Vencida sin observación"&amp;" · ",""))="","✔ OK","⚠ "&amp;LEFT(IF(AND($S14="Macro",$B14=""),"Macroactividad vacía"&amp;" · ","")&amp;IF(AND($B14&lt;&gt;"",$C14&lt;&gt;""),"Escriba la subactividad en otra fila, debajo de su macroactividad"&amp;" · ","")&amp;IF(AND($S14="Sub",N($R14)=0),"Subactividad sin macroactividad arriba"&amp;" · ","")&amp;IF($D14="","Sin responsable"&amp;" · ","")&amp;IF($E14="","Sin fecha de inicio"&amp;" · ","")&amp;IF($F14="","Sin fecha límite"&amp;" · ","")&amp;IF(OR(AND($E14&lt;&gt;"",NOT(ISNUMBER($E14))),AND($F14&lt;&gt;"",NOT(ISNUMBER($F14)))),"Fecha no válida"&amp;" · ","")&amp;IF(AND(ISNUMBER($E14),ISNUMBER($F14),$E14&gt;$F14),"Inicio posterior a fecha límite"&amp;" · ","")&amp;IF(AND($S14="Macro",$G14=""),"Peso vacío"&amp;" · ","")&amp;IF(AND($S14="Macro",$G14&lt;&gt;"",OR(NOT(ISNUMBER($G14)),$G14&lt;=0,$G14&gt;1)),"Peso fuera de rango"&amp;" · ","")&amp;IF(AND($S14="Sub",$G14&lt;&gt;""),"Las subactividades no llevan peso"&amp;" · ","")&amp;IF(AND($S14="Macro",ABS(SUMIFS($G$5:$G$1000,$P$5:$P$1000,$P14,$S$5:$S$1000,"Macro")-1)&gt;0.0001),"Pesos del mes suman "&amp;TEXT(SUMIFS($G$5:$G$1000,$P$5:$P$1000,$P14,$S$5:$S$1000,"Macro"),"0%")&amp;" · ","")&amp;IF(AND(N($T14)&gt;0,COUNT($H14:$K14)&gt;0),"Con subactividades: deje vacías las semanas (se calculan solas)"&amp;" · ","")&amp;IF((COUNTIF($H14:$K14,"&gt;1")+COUNTIF($H14:$K14,"&lt;0")+COUNTA($H14:$K14)-COUNT($H14:$K14))&gt;0,"Avance fuera de rango 0-100%"&amp;" · ","")&amp;IF(OR(AND($I14&lt;&gt;"",$I14&lt;$H14),AND($J14&lt;&gt;"",$J14&lt;MAX($H14:$I14)),AND($K14&lt;&gt;"",$K14&lt;MAX($H14:$J14))),"Avance semanal decreciente"&amp;" · ","")&amp;IF(AND(ISNUMBER($F14),$F14&lt;FechaRef,N($L14)&lt;1),"Vencida"&amp;" · ","")&amp;IF(AND(ObsObligatoria="Sí",ISNUMBER($F14),$F14&lt;FechaRef,N($L14)&lt;1,$N14=""),"Vencida sin observación"&amp;" · ",""),LEN(IF(AND($S14="Macro",$B14=""),"Macroactividad vacía"&amp;" · ","")&amp;IF(AND($B14&lt;&gt;"",$C14&lt;&gt;""),"Escriba la subactividad en otra fila, debajo de su macroactividad"&amp;" · ","")&amp;IF(AND($S14="Sub",N($R14)=0),"Subactividad sin macroactividad arriba"&amp;" · ","")&amp;IF($D14="","Sin responsable"&amp;" · ","")&amp;IF($E14="","Sin fecha de inicio"&amp;" · ","")&amp;IF($F14="","Sin fecha límite"&amp;" · ","")&amp;IF(OR(AND($E14&lt;&gt;"",NOT(ISNUMBER($E14))),AND($F14&lt;&gt;"",NOT(ISNUMBER($F14)))),"Fecha no válida"&amp;" · ","")&amp;IF(AND(ISNUMBER($E14),ISNUMBER($F14),$E14&gt;$F14),"Inicio posterior a fecha límite"&amp;" · ","")&amp;IF(AND($S14="Macro",$G14=""),"Peso vacío"&amp;" · ","")&amp;IF(AND($S14="Macro",$G14&lt;&gt;"",OR(NOT(ISNUMBER($G14)),$G14&lt;=0,$G14&gt;1)),"Peso fuera de rango"&amp;" · ","")&amp;IF(AND($S14="Sub",$G14&lt;&gt;""),"Las subactividades no llevan peso"&amp;" · ","")&amp;IF(AND($S14="Macro",ABS(SUMIFS($G$5:$G$1000,$P$5:$P$1000,$P14,$S$5:$S$1000,"Macro")-1)&gt;0.0001),"Pesos del mes suman "&amp;TEXT(SUMIFS($G$5:$G$1000,$P$5:$P$1000,$P14,$S$5:$S$1000,"Macro"),"0%")&amp;" · ","")&amp;IF(AND(N($T14)&gt;0,COUNT($H14:$K14)&gt;0),"Con subactividades: deje vacías las semanas (se calculan solas)"&amp;" · ","")&amp;IF((COUNTIF($H14:$K14,"&gt;1")+COUNTIF($H14:$K14,"&lt;0")+COUNTA($H14:$K14)-COUNT($H14:$K14))&gt;0,"Avance fuera de rango 0-100%"&amp;" · ","")&amp;IF(OR(AND($I14&lt;&gt;"",$I14&lt;$H14),AND($J14&lt;&gt;"",$J14&lt;MAX($H14:$I14)),AND($K14&lt;&gt;"",$K14&lt;MAX($H14:$J14))),"Avance semanal decreciente"&amp;" · ","")&amp;IF(AND(ISNUMBER($F14),$F14&lt;FechaRef,N($L14)&lt;1),"Vencida"&amp;" · ","")&amp;IF(AND(ObsObligatoria="Sí",ISNUMBER($F14),$F14&lt;FechaRef,N($L14)&lt;1,$N14=""),"Vencida sin observación"&amp;" · ",""))-3)))</f>
        <v/>
      </c>
      <c r="P14" s="69">
        <f>IF(NOT((COUNTA($B14:$K14)+COUNTA($N14))&gt;0),"",IF(AND($S14="Sub",N($R14)&gt;0),IF(ISNUMBER(INDEX($E$5:$E$1000,$R14-4)),DATE(YEAR(INDEX($E$5:$E$1000,$R14-4)),MONTH(INDEX($E$5:$E$1000,$R14-4)),1),IF(ISNUMBER(INDEX($F$5:$F$1000,$R14-4)),DATE(YEAR(INDEX($F$5:$F$1000,$R14-4)),MONTH(INDEX($F$5:$F$1000,$R14-4)),1),MesCiclo)),IF(ISNUMBER($E14),DATE(YEAR($E14),MONTH($E14),1),IF(ISNUMBER($F14),DATE(YEAR($F14),MONTH($F14),1),MesCiclo))))</f>
        <v/>
      </c>
      <c r="Q14" s="70">
        <f>IF(OR($P14="",$P14&lt;&gt;MesCiclo),"",COUNTIF($P$5:$P14,MesCiclo))</f>
        <v/>
      </c>
      <c r="R14" s="70">
        <f>IF($S14="","",IF($S14="Macro",ROW(),IFERROR(LOOKUP(2,1/($S$5:$S14="Macro"),ROW($S$5:$S14)),0)))</f>
        <v/>
      </c>
      <c r="S14" s="70">
        <f>IF(NOT((COUNTA($B14:$K14)+COUNTA($N14))&gt;0),"",IF($B14&lt;&gt;"","Macro",IF($C14&lt;&gt;"","Sub","Macro")))</f>
        <v/>
      </c>
      <c r="T14" s="70">
        <f>IF($S14="Macro",COUNTIFS($R$5:$R$1000,ROW(),$S$5:$S$1000,"Sub"),"")</f>
        <v/>
      </c>
      <c r="U14" s="70">
        <f>IF($S14="","",IF(ISNUMBER($H14),$H14,0))</f>
        <v/>
      </c>
      <c r="V14" s="70">
        <f>IF($S14="","",IF(ISNUMBER($I14),$I14,$U14))</f>
        <v/>
      </c>
      <c r="W14" s="70">
        <f>IF($S14="","",IF(ISNUMBER($J14),$J14,$V14))</f>
        <v/>
      </c>
      <c r="X14" s="70">
        <f>IF($S14="","",IF(ISNUMBER($K14),$K14,$W14))</f>
        <v/>
      </c>
      <c r="Y14" s="70">
        <f>IF($S14="","",IF(N($T14)&gt;0,AVERAGEIFS($U$5:$U$1000,$R$5:$R$1000,ROW(),$S$5:$S$1000,"Sub"),$U14))</f>
        <v/>
      </c>
      <c r="Z14" s="70">
        <f>IF($S14="","",IF(N($T14)&gt;0,AVERAGEIFS($V$5:$V$1000,$R$5:$R$1000,ROW(),$S$5:$S$1000,"Sub"),$V14))</f>
        <v/>
      </c>
      <c r="AA14" s="70">
        <f>IF($S14="","",IF(N($T14)&gt;0,AVERAGEIFS($W$5:$W$1000,$R$5:$R$1000,ROW(),$S$5:$S$1000,"Sub"),$W14))</f>
        <v/>
      </c>
      <c r="AB14" s="70">
        <f>IF($S14="","",IF(N($T14)&gt;0,AVERAGEIFS($X$5:$X$1000,$R$5:$R$1000,ROW(),$S$5:$S$1000,"Sub"),$X14))</f>
        <v/>
      </c>
    </row>
    <row r="15">
      <c r="A15" s="61">
        <f>IF(NOT((COUNTA($B15:$K15)+COUNTA($N15))&gt;0),"",IF($S15="Macro",COUNTIFS($S$5:$S15,"Macro",$P$5:$P15,$P15),IF(N($R15)=0,"?",COUNTIFS(INDEX($S$5:$S$1000,1):INDEX($S$5:$S$1000,$R15-4),"Macro",INDEX($P$5:$P$1000,1):INDEX($P$5:$P$1000,$R15-4),INDEX($P$5:$P$1000,$R15-4))&amp;"."&amp;COUNTIFS($R$5:$R15,$R15,$S$5:$S15,"Sub"))))</f>
        <v/>
      </c>
      <c r="B15" s="62" t="n"/>
      <c r="C15" s="63" t="n"/>
      <c r="D15" s="62" t="n"/>
      <c r="E15" s="64" t="n"/>
      <c r="F15" s="64" t="n"/>
      <c r="G15" s="65" t="n"/>
      <c r="H15" s="66" t="n"/>
      <c r="I15" s="66" t="n"/>
      <c r="J15" s="66" t="n"/>
      <c r="K15" s="66" t="n"/>
      <c r="L15" s="67">
        <f>IF(NOT((COUNTA($B15:$K15)+COUNTA($N15))&gt;0),"",IF(N($T15)&gt;0,$AB15,IFERROR(LOOKUP(2,1/(H15:K15&lt;&gt;""),H15:K15),0)))</f>
        <v/>
      </c>
      <c r="M15" s="61">
        <f>IF(L15="","",IF(L15&gt;=1,"Completado",IF(L15&gt;0,"En curso","Pendiente")))</f>
        <v/>
      </c>
      <c r="N15" s="62" t="n"/>
      <c r="O15" s="68">
        <f>IF(NOT((COUNTA($B15:$K15)+COUNTA($N15))&gt;0),"",IF((IF(AND($S15="Macro",$B15=""),"Macroactividad vacía"&amp;" · ","")&amp;IF(AND($B15&lt;&gt;"",$C15&lt;&gt;""),"Escriba la subactividad en otra fila, debajo de su macroactividad"&amp;" · ","")&amp;IF(AND($S15="Sub",N($R15)=0),"Subactividad sin macroactividad arriba"&amp;" · ","")&amp;IF($D15="","Sin responsable"&amp;" · ","")&amp;IF($E15="","Sin fecha de inicio"&amp;" · ","")&amp;IF($F15="","Sin fecha límite"&amp;" · ","")&amp;IF(OR(AND($E15&lt;&gt;"",NOT(ISNUMBER($E15))),AND($F15&lt;&gt;"",NOT(ISNUMBER($F15)))),"Fecha no válida"&amp;" · ","")&amp;IF(AND(ISNUMBER($E15),ISNUMBER($F15),$E15&gt;$F15),"Inicio posterior a fecha límite"&amp;" · ","")&amp;IF(AND($S15="Macro",$G15=""),"Peso vacío"&amp;" · ","")&amp;IF(AND($S15="Macro",$G15&lt;&gt;"",OR(NOT(ISNUMBER($G15)),$G15&lt;=0,$G15&gt;1)),"Peso fuera de rango"&amp;" · ","")&amp;IF(AND($S15="Sub",$G15&lt;&gt;""),"Las subactividades no llevan peso"&amp;" · ","")&amp;IF(AND($S15="Macro",ABS(SUMIFS($G$5:$G$1000,$P$5:$P$1000,$P15,$S$5:$S$1000,"Macro")-1)&gt;0.0001),"Pesos del mes suman "&amp;TEXT(SUMIFS($G$5:$G$1000,$P$5:$P$1000,$P15,$S$5:$S$1000,"Macro"),"0%")&amp;" · ","")&amp;IF(AND(N($T15)&gt;0,COUNT($H15:$K15)&gt;0),"Con subactividades: deje vacías las semanas (se calculan solas)"&amp;" · ","")&amp;IF((COUNTIF($H15:$K15,"&gt;1")+COUNTIF($H15:$K15,"&lt;0")+COUNTA($H15:$K15)-COUNT($H15:$K15))&gt;0,"Avance fuera de rango 0-100%"&amp;" · ","")&amp;IF(OR(AND($I15&lt;&gt;"",$I15&lt;$H15),AND($J15&lt;&gt;"",$J15&lt;MAX($H15:$I15)),AND($K15&lt;&gt;"",$K15&lt;MAX($H15:$J15))),"Avance semanal decreciente"&amp;" · ","")&amp;IF(AND(ISNUMBER($F15),$F15&lt;FechaRef,N($L15)&lt;1),"Vencida"&amp;" · ","")&amp;IF(AND(ObsObligatoria="Sí",ISNUMBER($F15),$F15&lt;FechaRef,N($L15)&lt;1,$N15=""),"Vencida sin observación"&amp;" · ",""))="","✔ OK","⚠ "&amp;LEFT(IF(AND($S15="Macro",$B15=""),"Macroactividad vacía"&amp;" · ","")&amp;IF(AND($B15&lt;&gt;"",$C15&lt;&gt;""),"Escriba la subactividad en otra fila, debajo de su macroactividad"&amp;" · ","")&amp;IF(AND($S15="Sub",N($R15)=0),"Subactividad sin macroactividad arriba"&amp;" · ","")&amp;IF($D15="","Sin responsable"&amp;" · ","")&amp;IF($E15="","Sin fecha de inicio"&amp;" · ","")&amp;IF($F15="","Sin fecha límite"&amp;" · ","")&amp;IF(OR(AND($E15&lt;&gt;"",NOT(ISNUMBER($E15))),AND($F15&lt;&gt;"",NOT(ISNUMBER($F15)))),"Fecha no válida"&amp;" · ","")&amp;IF(AND(ISNUMBER($E15),ISNUMBER($F15),$E15&gt;$F15),"Inicio posterior a fecha límite"&amp;" · ","")&amp;IF(AND($S15="Macro",$G15=""),"Peso vacío"&amp;" · ","")&amp;IF(AND($S15="Macro",$G15&lt;&gt;"",OR(NOT(ISNUMBER($G15)),$G15&lt;=0,$G15&gt;1)),"Peso fuera de rango"&amp;" · ","")&amp;IF(AND($S15="Sub",$G15&lt;&gt;""),"Las subactividades no llevan peso"&amp;" · ","")&amp;IF(AND($S15="Macro",ABS(SUMIFS($G$5:$G$1000,$P$5:$P$1000,$P15,$S$5:$S$1000,"Macro")-1)&gt;0.0001),"Pesos del mes suman "&amp;TEXT(SUMIFS($G$5:$G$1000,$P$5:$P$1000,$P15,$S$5:$S$1000,"Macro"),"0%")&amp;" · ","")&amp;IF(AND(N($T15)&gt;0,COUNT($H15:$K15)&gt;0),"Con subactividades: deje vacías las semanas (se calculan solas)"&amp;" · ","")&amp;IF((COUNTIF($H15:$K15,"&gt;1")+COUNTIF($H15:$K15,"&lt;0")+COUNTA($H15:$K15)-COUNT($H15:$K15))&gt;0,"Avance fuera de rango 0-100%"&amp;" · ","")&amp;IF(OR(AND($I15&lt;&gt;"",$I15&lt;$H15),AND($J15&lt;&gt;"",$J15&lt;MAX($H15:$I15)),AND($K15&lt;&gt;"",$K15&lt;MAX($H15:$J15))),"Avance semanal decreciente"&amp;" · ","")&amp;IF(AND(ISNUMBER($F15),$F15&lt;FechaRef,N($L15)&lt;1),"Vencida"&amp;" · ","")&amp;IF(AND(ObsObligatoria="Sí",ISNUMBER($F15),$F15&lt;FechaRef,N($L15)&lt;1,$N15=""),"Vencida sin observación"&amp;" · ",""),LEN(IF(AND($S15="Macro",$B15=""),"Macroactividad vacía"&amp;" · ","")&amp;IF(AND($B15&lt;&gt;"",$C15&lt;&gt;""),"Escriba la subactividad en otra fila, debajo de su macroactividad"&amp;" · ","")&amp;IF(AND($S15="Sub",N($R15)=0),"Subactividad sin macroactividad arriba"&amp;" · ","")&amp;IF($D15="","Sin responsable"&amp;" · ","")&amp;IF($E15="","Sin fecha de inicio"&amp;" · ","")&amp;IF($F15="","Sin fecha límite"&amp;" · ","")&amp;IF(OR(AND($E15&lt;&gt;"",NOT(ISNUMBER($E15))),AND($F15&lt;&gt;"",NOT(ISNUMBER($F15)))),"Fecha no válida"&amp;" · ","")&amp;IF(AND(ISNUMBER($E15),ISNUMBER($F15),$E15&gt;$F15),"Inicio posterior a fecha límite"&amp;" · ","")&amp;IF(AND($S15="Macro",$G15=""),"Peso vacío"&amp;" · ","")&amp;IF(AND($S15="Macro",$G15&lt;&gt;"",OR(NOT(ISNUMBER($G15)),$G15&lt;=0,$G15&gt;1)),"Peso fuera de rango"&amp;" · ","")&amp;IF(AND($S15="Sub",$G15&lt;&gt;""),"Las subactividades no llevan peso"&amp;" · ","")&amp;IF(AND($S15="Macro",ABS(SUMIFS($G$5:$G$1000,$P$5:$P$1000,$P15,$S$5:$S$1000,"Macro")-1)&gt;0.0001),"Pesos del mes suman "&amp;TEXT(SUMIFS($G$5:$G$1000,$P$5:$P$1000,$P15,$S$5:$S$1000,"Macro"),"0%")&amp;" · ","")&amp;IF(AND(N($T15)&gt;0,COUNT($H15:$K15)&gt;0),"Con subactividades: deje vacías las semanas (se calculan solas)"&amp;" · ","")&amp;IF((COUNTIF($H15:$K15,"&gt;1")+COUNTIF($H15:$K15,"&lt;0")+COUNTA($H15:$K15)-COUNT($H15:$K15))&gt;0,"Avance fuera de rango 0-100%"&amp;" · ","")&amp;IF(OR(AND($I15&lt;&gt;"",$I15&lt;$H15),AND($J15&lt;&gt;"",$J15&lt;MAX($H15:$I15)),AND($K15&lt;&gt;"",$K15&lt;MAX($H15:$J15))),"Avance semanal decreciente"&amp;" · ","")&amp;IF(AND(ISNUMBER($F15),$F15&lt;FechaRef,N($L15)&lt;1),"Vencida"&amp;" · ","")&amp;IF(AND(ObsObligatoria="Sí",ISNUMBER($F15),$F15&lt;FechaRef,N($L15)&lt;1,$N15=""),"Vencida sin observación"&amp;" · ",""))-3)))</f>
        <v/>
      </c>
      <c r="P15" s="69">
        <f>IF(NOT((COUNTA($B15:$K15)+COUNTA($N15))&gt;0),"",IF(AND($S15="Sub",N($R15)&gt;0),IF(ISNUMBER(INDEX($E$5:$E$1000,$R15-4)),DATE(YEAR(INDEX($E$5:$E$1000,$R15-4)),MONTH(INDEX($E$5:$E$1000,$R15-4)),1),IF(ISNUMBER(INDEX($F$5:$F$1000,$R15-4)),DATE(YEAR(INDEX($F$5:$F$1000,$R15-4)),MONTH(INDEX($F$5:$F$1000,$R15-4)),1),MesCiclo)),IF(ISNUMBER($E15),DATE(YEAR($E15),MONTH($E15),1),IF(ISNUMBER($F15),DATE(YEAR($F15),MONTH($F15),1),MesCiclo))))</f>
        <v/>
      </c>
      <c r="Q15" s="70">
        <f>IF(OR($P15="",$P15&lt;&gt;MesCiclo),"",COUNTIF($P$5:$P15,MesCiclo))</f>
        <v/>
      </c>
      <c r="R15" s="70">
        <f>IF($S15="","",IF($S15="Macro",ROW(),IFERROR(LOOKUP(2,1/($S$5:$S15="Macro"),ROW($S$5:$S15)),0)))</f>
        <v/>
      </c>
      <c r="S15" s="70">
        <f>IF(NOT((COUNTA($B15:$K15)+COUNTA($N15))&gt;0),"",IF($B15&lt;&gt;"","Macro",IF($C15&lt;&gt;"","Sub","Macro")))</f>
        <v/>
      </c>
      <c r="T15" s="70">
        <f>IF($S15="Macro",COUNTIFS($R$5:$R$1000,ROW(),$S$5:$S$1000,"Sub"),"")</f>
        <v/>
      </c>
      <c r="U15" s="70">
        <f>IF($S15="","",IF(ISNUMBER($H15),$H15,0))</f>
        <v/>
      </c>
      <c r="V15" s="70">
        <f>IF($S15="","",IF(ISNUMBER($I15),$I15,$U15))</f>
        <v/>
      </c>
      <c r="W15" s="70">
        <f>IF($S15="","",IF(ISNUMBER($J15),$J15,$V15))</f>
        <v/>
      </c>
      <c r="X15" s="70">
        <f>IF($S15="","",IF(ISNUMBER($K15),$K15,$W15))</f>
        <v/>
      </c>
      <c r="Y15" s="70">
        <f>IF($S15="","",IF(N($T15)&gt;0,AVERAGEIFS($U$5:$U$1000,$R$5:$R$1000,ROW(),$S$5:$S$1000,"Sub"),$U15))</f>
        <v/>
      </c>
      <c r="Z15" s="70">
        <f>IF($S15="","",IF(N($T15)&gt;0,AVERAGEIFS($V$5:$V$1000,$R$5:$R$1000,ROW(),$S$5:$S$1000,"Sub"),$V15))</f>
        <v/>
      </c>
      <c r="AA15" s="70">
        <f>IF($S15="","",IF(N($T15)&gt;0,AVERAGEIFS($W$5:$W$1000,$R$5:$R$1000,ROW(),$S$5:$S$1000,"Sub"),$W15))</f>
        <v/>
      </c>
      <c r="AB15" s="70">
        <f>IF($S15="","",IF(N($T15)&gt;0,AVERAGEIFS($X$5:$X$1000,$R$5:$R$1000,ROW(),$S$5:$S$1000,"Sub"),$X15))</f>
        <v/>
      </c>
    </row>
    <row r="16">
      <c r="A16" s="61">
        <f>IF(NOT((COUNTA($B16:$K16)+COUNTA($N16))&gt;0),"",IF($S16="Macro",COUNTIFS($S$5:$S16,"Macro",$P$5:$P16,$P16),IF(N($R16)=0,"?",COUNTIFS(INDEX($S$5:$S$1000,1):INDEX($S$5:$S$1000,$R16-4),"Macro",INDEX($P$5:$P$1000,1):INDEX($P$5:$P$1000,$R16-4),INDEX($P$5:$P$1000,$R16-4))&amp;"."&amp;COUNTIFS($R$5:$R16,$R16,$S$5:$S16,"Sub"))))</f>
        <v/>
      </c>
      <c r="B16" s="62" t="n"/>
      <c r="C16" s="63" t="n"/>
      <c r="D16" s="62" t="n"/>
      <c r="E16" s="64" t="n"/>
      <c r="F16" s="64" t="n"/>
      <c r="G16" s="65" t="n"/>
      <c r="H16" s="66" t="n"/>
      <c r="I16" s="66" t="n"/>
      <c r="J16" s="66" t="n"/>
      <c r="K16" s="66" t="n"/>
      <c r="L16" s="67">
        <f>IF(NOT((COUNTA($B16:$K16)+COUNTA($N16))&gt;0),"",IF(N($T16)&gt;0,$AB16,IFERROR(LOOKUP(2,1/(H16:K16&lt;&gt;""),H16:K16),0)))</f>
        <v/>
      </c>
      <c r="M16" s="61">
        <f>IF(L16="","",IF(L16&gt;=1,"Completado",IF(L16&gt;0,"En curso","Pendiente")))</f>
        <v/>
      </c>
      <c r="N16" s="62" t="n"/>
      <c r="O16" s="68">
        <f>IF(NOT((COUNTA($B16:$K16)+COUNTA($N16))&gt;0),"",IF((IF(AND($S16="Macro",$B16=""),"Macroactividad vacía"&amp;" · ","")&amp;IF(AND($B16&lt;&gt;"",$C16&lt;&gt;""),"Escriba la subactividad en otra fila, debajo de su macroactividad"&amp;" · ","")&amp;IF(AND($S16="Sub",N($R16)=0),"Subactividad sin macroactividad arriba"&amp;" · ","")&amp;IF($D16="","Sin responsable"&amp;" · ","")&amp;IF($E16="","Sin fecha de inicio"&amp;" · ","")&amp;IF($F16="","Sin fecha límite"&amp;" · ","")&amp;IF(OR(AND($E16&lt;&gt;"",NOT(ISNUMBER($E16))),AND($F16&lt;&gt;"",NOT(ISNUMBER($F16)))),"Fecha no válida"&amp;" · ","")&amp;IF(AND(ISNUMBER($E16),ISNUMBER($F16),$E16&gt;$F16),"Inicio posterior a fecha límite"&amp;" · ","")&amp;IF(AND($S16="Macro",$G16=""),"Peso vacío"&amp;" · ","")&amp;IF(AND($S16="Macro",$G16&lt;&gt;"",OR(NOT(ISNUMBER($G16)),$G16&lt;=0,$G16&gt;1)),"Peso fuera de rango"&amp;" · ","")&amp;IF(AND($S16="Sub",$G16&lt;&gt;""),"Las subactividades no llevan peso"&amp;" · ","")&amp;IF(AND($S16="Macro",ABS(SUMIFS($G$5:$G$1000,$P$5:$P$1000,$P16,$S$5:$S$1000,"Macro")-1)&gt;0.0001),"Pesos del mes suman "&amp;TEXT(SUMIFS($G$5:$G$1000,$P$5:$P$1000,$P16,$S$5:$S$1000,"Macro"),"0%")&amp;" · ","")&amp;IF(AND(N($T16)&gt;0,COUNT($H16:$K16)&gt;0),"Con subactividades: deje vacías las semanas (se calculan solas)"&amp;" · ","")&amp;IF((COUNTIF($H16:$K16,"&gt;1")+COUNTIF($H16:$K16,"&lt;0")+COUNTA($H16:$K16)-COUNT($H16:$K16))&gt;0,"Avance fuera de rango 0-100%"&amp;" · ","")&amp;IF(OR(AND($I16&lt;&gt;"",$I16&lt;$H16),AND($J16&lt;&gt;"",$J16&lt;MAX($H16:$I16)),AND($K16&lt;&gt;"",$K16&lt;MAX($H16:$J16))),"Avance semanal decreciente"&amp;" · ","")&amp;IF(AND(ISNUMBER($F16),$F16&lt;FechaRef,N($L16)&lt;1),"Vencida"&amp;" · ","")&amp;IF(AND(ObsObligatoria="Sí",ISNUMBER($F16),$F16&lt;FechaRef,N($L16)&lt;1,$N16=""),"Vencida sin observación"&amp;" · ",""))="","✔ OK","⚠ "&amp;LEFT(IF(AND($S16="Macro",$B16=""),"Macroactividad vacía"&amp;" · ","")&amp;IF(AND($B16&lt;&gt;"",$C16&lt;&gt;""),"Escriba la subactividad en otra fila, debajo de su macroactividad"&amp;" · ","")&amp;IF(AND($S16="Sub",N($R16)=0),"Subactividad sin macroactividad arriba"&amp;" · ","")&amp;IF($D16="","Sin responsable"&amp;" · ","")&amp;IF($E16="","Sin fecha de inicio"&amp;" · ","")&amp;IF($F16="","Sin fecha límite"&amp;" · ","")&amp;IF(OR(AND($E16&lt;&gt;"",NOT(ISNUMBER($E16))),AND($F16&lt;&gt;"",NOT(ISNUMBER($F16)))),"Fecha no válida"&amp;" · ","")&amp;IF(AND(ISNUMBER($E16),ISNUMBER($F16),$E16&gt;$F16),"Inicio posterior a fecha límite"&amp;" · ","")&amp;IF(AND($S16="Macro",$G16=""),"Peso vacío"&amp;" · ","")&amp;IF(AND($S16="Macro",$G16&lt;&gt;"",OR(NOT(ISNUMBER($G16)),$G16&lt;=0,$G16&gt;1)),"Peso fuera de rango"&amp;" · ","")&amp;IF(AND($S16="Sub",$G16&lt;&gt;""),"Las subactividades no llevan peso"&amp;" · ","")&amp;IF(AND($S16="Macro",ABS(SUMIFS($G$5:$G$1000,$P$5:$P$1000,$P16,$S$5:$S$1000,"Macro")-1)&gt;0.0001),"Pesos del mes suman "&amp;TEXT(SUMIFS($G$5:$G$1000,$P$5:$P$1000,$P16,$S$5:$S$1000,"Macro"),"0%")&amp;" · ","")&amp;IF(AND(N($T16)&gt;0,COUNT($H16:$K16)&gt;0),"Con subactividades: deje vacías las semanas (se calculan solas)"&amp;" · ","")&amp;IF((COUNTIF($H16:$K16,"&gt;1")+COUNTIF($H16:$K16,"&lt;0")+COUNTA($H16:$K16)-COUNT($H16:$K16))&gt;0,"Avance fuera de rango 0-100%"&amp;" · ","")&amp;IF(OR(AND($I16&lt;&gt;"",$I16&lt;$H16),AND($J16&lt;&gt;"",$J16&lt;MAX($H16:$I16)),AND($K16&lt;&gt;"",$K16&lt;MAX($H16:$J16))),"Avance semanal decreciente"&amp;" · ","")&amp;IF(AND(ISNUMBER($F16),$F16&lt;FechaRef,N($L16)&lt;1),"Vencida"&amp;" · ","")&amp;IF(AND(ObsObligatoria="Sí",ISNUMBER($F16),$F16&lt;FechaRef,N($L16)&lt;1,$N16=""),"Vencida sin observación"&amp;" · ",""),LEN(IF(AND($S16="Macro",$B16=""),"Macroactividad vacía"&amp;" · ","")&amp;IF(AND($B16&lt;&gt;"",$C16&lt;&gt;""),"Escriba la subactividad en otra fila, debajo de su macroactividad"&amp;" · ","")&amp;IF(AND($S16="Sub",N($R16)=0),"Subactividad sin macroactividad arriba"&amp;" · ","")&amp;IF($D16="","Sin responsable"&amp;" · ","")&amp;IF($E16="","Sin fecha de inicio"&amp;" · ","")&amp;IF($F16="","Sin fecha límite"&amp;" · ","")&amp;IF(OR(AND($E16&lt;&gt;"",NOT(ISNUMBER($E16))),AND($F16&lt;&gt;"",NOT(ISNUMBER($F16)))),"Fecha no válida"&amp;" · ","")&amp;IF(AND(ISNUMBER($E16),ISNUMBER($F16),$E16&gt;$F16),"Inicio posterior a fecha límite"&amp;" · ","")&amp;IF(AND($S16="Macro",$G16=""),"Peso vacío"&amp;" · ","")&amp;IF(AND($S16="Macro",$G16&lt;&gt;"",OR(NOT(ISNUMBER($G16)),$G16&lt;=0,$G16&gt;1)),"Peso fuera de rango"&amp;" · ","")&amp;IF(AND($S16="Sub",$G16&lt;&gt;""),"Las subactividades no llevan peso"&amp;" · ","")&amp;IF(AND($S16="Macro",ABS(SUMIFS($G$5:$G$1000,$P$5:$P$1000,$P16,$S$5:$S$1000,"Macro")-1)&gt;0.0001),"Pesos del mes suman "&amp;TEXT(SUMIFS($G$5:$G$1000,$P$5:$P$1000,$P16,$S$5:$S$1000,"Macro"),"0%")&amp;" · ","")&amp;IF(AND(N($T16)&gt;0,COUNT($H16:$K16)&gt;0),"Con subactividades: deje vacías las semanas (se calculan solas)"&amp;" · ","")&amp;IF((COUNTIF($H16:$K16,"&gt;1")+COUNTIF($H16:$K16,"&lt;0")+COUNTA($H16:$K16)-COUNT($H16:$K16))&gt;0,"Avance fuera de rango 0-100%"&amp;" · ","")&amp;IF(OR(AND($I16&lt;&gt;"",$I16&lt;$H16),AND($J16&lt;&gt;"",$J16&lt;MAX($H16:$I16)),AND($K16&lt;&gt;"",$K16&lt;MAX($H16:$J16))),"Avance semanal decreciente"&amp;" · ","")&amp;IF(AND(ISNUMBER($F16),$F16&lt;FechaRef,N($L16)&lt;1),"Vencida"&amp;" · ","")&amp;IF(AND(ObsObligatoria="Sí",ISNUMBER($F16),$F16&lt;FechaRef,N($L16)&lt;1,$N16=""),"Vencida sin observación"&amp;" · ",""))-3)))</f>
        <v/>
      </c>
      <c r="P16" s="69">
        <f>IF(NOT((COUNTA($B16:$K16)+COUNTA($N16))&gt;0),"",IF(AND($S16="Sub",N($R16)&gt;0),IF(ISNUMBER(INDEX($E$5:$E$1000,$R16-4)),DATE(YEAR(INDEX($E$5:$E$1000,$R16-4)),MONTH(INDEX($E$5:$E$1000,$R16-4)),1),IF(ISNUMBER(INDEX($F$5:$F$1000,$R16-4)),DATE(YEAR(INDEX($F$5:$F$1000,$R16-4)),MONTH(INDEX($F$5:$F$1000,$R16-4)),1),MesCiclo)),IF(ISNUMBER($E16),DATE(YEAR($E16),MONTH($E16),1),IF(ISNUMBER($F16),DATE(YEAR($F16),MONTH($F16),1),MesCiclo))))</f>
        <v/>
      </c>
      <c r="Q16" s="70">
        <f>IF(OR($P16="",$P16&lt;&gt;MesCiclo),"",COUNTIF($P$5:$P16,MesCiclo))</f>
        <v/>
      </c>
      <c r="R16" s="70">
        <f>IF($S16="","",IF($S16="Macro",ROW(),IFERROR(LOOKUP(2,1/($S$5:$S16="Macro"),ROW($S$5:$S16)),0)))</f>
        <v/>
      </c>
      <c r="S16" s="70">
        <f>IF(NOT((COUNTA($B16:$K16)+COUNTA($N16))&gt;0),"",IF($B16&lt;&gt;"","Macro",IF($C16&lt;&gt;"","Sub","Macro")))</f>
        <v/>
      </c>
      <c r="T16" s="70">
        <f>IF($S16="Macro",COUNTIFS($R$5:$R$1000,ROW(),$S$5:$S$1000,"Sub"),"")</f>
        <v/>
      </c>
      <c r="U16" s="70">
        <f>IF($S16="","",IF(ISNUMBER($H16),$H16,0))</f>
        <v/>
      </c>
      <c r="V16" s="70">
        <f>IF($S16="","",IF(ISNUMBER($I16),$I16,$U16))</f>
        <v/>
      </c>
      <c r="W16" s="70">
        <f>IF($S16="","",IF(ISNUMBER($J16),$J16,$V16))</f>
        <v/>
      </c>
      <c r="X16" s="70">
        <f>IF($S16="","",IF(ISNUMBER($K16),$K16,$W16))</f>
        <v/>
      </c>
      <c r="Y16" s="70">
        <f>IF($S16="","",IF(N($T16)&gt;0,AVERAGEIFS($U$5:$U$1000,$R$5:$R$1000,ROW(),$S$5:$S$1000,"Sub"),$U16))</f>
        <v/>
      </c>
      <c r="Z16" s="70">
        <f>IF($S16="","",IF(N($T16)&gt;0,AVERAGEIFS($V$5:$V$1000,$R$5:$R$1000,ROW(),$S$5:$S$1000,"Sub"),$V16))</f>
        <v/>
      </c>
      <c r="AA16" s="70">
        <f>IF($S16="","",IF(N($T16)&gt;0,AVERAGEIFS($W$5:$W$1000,$R$5:$R$1000,ROW(),$S$5:$S$1000,"Sub"),$W16))</f>
        <v/>
      </c>
      <c r="AB16" s="70">
        <f>IF($S16="","",IF(N($T16)&gt;0,AVERAGEIFS($X$5:$X$1000,$R$5:$R$1000,ROW(),$S$5:$S$1000,"Sub"),$X16))</f>
        <v/>
      </c>
    </row>
    <row r="17">
      <c r="A17" s="61">
        <f>IF(NOT((COUNTA($B17:$K17)+COUNTA($N17))&gt;0),"",IF($S17="Macro",COUNTIFS($S$5:$S17,"Macro",$P$5:$P17,$P17),IF(N($R17)=0,"?",COUNTIFS(INDEX($S$5:$S$1000,1):INDEX($S$5:$S$1000,$R17-4),"Macro",INDEX($P$5:$P$1000,1):INDEX($P$5:$P$1000,$R17-4),INDEX($P$5:$P$1000,$R17-4))&amp;"."&amp;COUNTIFS($R$5:$R17,$R17,$S$5:$S17,"Sub"))))</f>
        <v/>
      </c>
      <c r="B17" s="62" t="n"/>
      <c r="C17" s="63" t="n"/>
      <c r="D17" s="62" t="n"/>
      <c r="E17" s="64" t="n"/>
      <c r="F17" s="64" t="n"/>
      <c r="G17" s="65" t="n"/>
      <c r="H17" s="66" t="n"/>
      <c r="I17" s="66" t="n"/>
      <c r="J17" s="66" t="n"/>
      <c r="K17" s="66" t="n"/>
      <c r="L17" s="67">
        <f>IF(NOT((COUNTA($B17:$K17)+COUNTA($N17))&gt;0),"",IF(N($T17)&gt;0,$AB17,IFERROR(LOOKUP(2,1/(H17:K17&lt;&gt;""),H17:K17),0)))</f>
        <v/>
      </c>
      <c r="M17" s="61">
        <f>IF(L17="","",IF(L17&gt;=1,"Completado",IF(L17&gt;0,"En curso","Pendiente")))</f>
        <v/>
      </c>
      <c r="N17" s="62" t="n"/>
      <c r="O17" s="68">
        <f>IF(NOT((COUNTA($B17:$K17)+COUNTA($N17))&gt;0),"",IF((IF(AND($S17="Macro",$B17=""),"Macroactividad vacía"&amp;" · ","")&amp;IF(AND($B17&lt;&gt;"",$C17&lt;&gt;""),"Escriba la subactividad en otra fila, debajo de su macroactividad"&amp;" · ","")&amp;IF(AND($S17="Sub",N($R17)=0),"Subactividad sin macroactividad arriba"&amp;" · ","")&amp;IF($D17="","Sin responsable"&amp;" · ","")&amp;IF($E17="","Sin fecha de inicio"&amp;" · ","")&amp;IF($F17="","Sin fecha límite"&amp;" · ","")&amp;IF(OR(AND($E17&lt;&gt;"",NOT(ISNUMBER($E17))),AND($F17&lt;&gt;"",NOT(ISNUMBER($F17)))),"Fecha no válida"&amp;" · ","")&amp;IF(AND(ISNUMBER($E17),ISNUMBER($F17),$E17&gt;$F17),"Inicio posterior a fecha límite"&amp;" · ","")&amp;IF(AND($S17="Macro",$G17=""),"Peso vacío"&amp;" · ","")&amp;IF(AND($S17="Macro",$G17&lt;&gt;"",OR(NOT(ISNUMBER($G17)),$G17&lt;=0,$G17&gt;1)),"Peso fuera de rango"&amp;" · ","")&amp;IF(AND($S17="Sub",$G17&lt;&gt;""),"Las subactividades no llevan peso"&amp;" · ","")&amp;IF(AND($S17="Macro",ABS(SUMIFS($G$5:$G$1000,$P$5:$P$1000,$P17,$S$5:$S$1000,"Macro")-1)&gt;0.0001),"Pesos del mes suman "&amp;TEXT(SUMIFS($G$5:$G$1000,$P$5:$P$1000,$P17,$S$5:$S$1000,"Macro"),"0%")&amp;" · ","")&amp;IF(AND(N($T17)&gt;0,COUNT($H17:$K17)&gt;0),"Con subactividades: deje vacías las semanas (se calculan solas)"&amp;" · ","")&amp;IF((COUNTIF($H17:$K17,"&gt;1")+COUNTIF($H17:$K17,"&lt;0")+COUNTA($H17:$K17)-COUNT($H17:$K17))&gt;0,"Avance fuera de rango 0-100%"&amp;" · ","")&amp;IF(OR(AND($I17&lt;&gt;"",$I17&lt;$H17),AND($J17&lt;&gt;"",$J17&lt;MAX($H17:$I17)),AND($K17&lt;&gt;"",$K17&lt;MAX($H17:$J17))),"Avance semanal decreciente"&amp;" · ","")&amp;IF(AND(ISNUMBER($F17),$F17&lt;FechaRef,N($L17)&lt;1),"Vencida"&amp;" · ","")&amp;IF(AND(ObsObligatoria="Sí",ISNUMBER($F17),$F17&lt;FechaRef,N($L17)&lt;1,$N17=""),"Vencida sin observación"&amp;" · ",""))="","✔ OK","⚠ "&amp;LEFT(IF(AND($S17="Macro",$B17=""),"Macroactividad vacía"&amp;" · ","")&amp;IF(AND($B17&lt;&gt;"",$C17&lt;&gt;""),"Escriba la subactividad en otra fila, debajo de su macroactividad"&amp;" · ","")&amp;IF(AND($S17="Sub",N($R17)=0),"Subactividad sin macroactividad arriba"&amp;" · ","")&amp;IF($D17="","Sin responsable"&amp;" · ","")&amp;IF($E17="","Sin fecha de inicio"&amp;" · ","")&amp;IF($F17="","Sin fecha límite"&amp;" · ","")&amp;IF(OR(AND($E17&lt;&gt;"",NOT(ISNUMBER($E17))),AND($F17&lt;&gt;"",NOT(ISNUMBER($F17)))),"Fecha no válida"&amp;" · ","")&amp;IF(AND(ISNUMBER($E17),ISNUMBER($F17),$E17&gt;$F17),"Inicio posterior a fecha límite"&amp;" · ","")&amp;IF(AND($S17="Macro",$G17=""),"Peso vacío"&amp;" · ","")&amp;IF(AND($S17="Macro",$G17&lt;&gt;"",OR(NOT(ISNUMBER($G17)),$G17&lt;=0,$G17&gt;1)),"Peso fuera de rango"&amp;" · ","")&amp;IF(AND($S17="Sub",$G17&lt;&gt;""),"Las subactividades no llevan peso"&amp;" · ","")&amp;IF(AND($S17="Macro",ABS(SUMIFS($G$5:$G$1000,$P$5:$P$1000,$P17,$S$5:$S$1000,"Macro")-1)&gt;0.0001),"Pesos del mes suman "&amp;TEXT(SUMIFS($G$5:$G$1000,$P$5:$P$1000,$P17,$S$5:$S$1000,"Macro"),"0%")&amp;" · ","")&amp;IF(AND(N($T17)&gt;0,COUNT($H17:$K17)&gt;0),"Con subactividades: deje vacías las semanas (se calculan solas)"&amp;" · ","")&amp;IF((COUNTIF($H17:$K17,"&gt;1")+COUNTIF($H17:$K17,"&lt;0")+COUNTA($H17:$K17)-COUNT($H17:$K17))&gt;0,"Avance fuera de rango 0-100%"&amp;" · ","")&amp;IF(OR(AND($I17&lt;&gt;"",$I17&lt;$H17),AND($J17&lt;&gt;"",$J17&lt;MAX($H17:$I17)),AND($K17&lt;&gt;"",$K17&lt;MAX($H17:$J17))),"Avance semanal decreciente"&amp;" · ","")&amp;IF(AND(ISNUMBER($F17),$F17&lt;FechaRef,N($L17)&lt;1),"Vencida"&amp;" · ","")&amp;IF(AND(ObsObligatoria="Sí",ISNUMBER($F17),$F17&lt;FechaRef,N($L17)&lt;1,$N17=""),"Vencida sin observación"&amp;" · ",""),LEN(IF(AND($S17="Macro",$B17=""),"Macroactividad vacía"&amp;" · ","")&amp;IF(AND($B17&lt;&gt;"",$C17&lt;&gt;""),"Escriba la subactividad en otra fila, debajo de su macroactividad"&amp;" · ","")&amp;IF(AND($S17="Sub",N($R17)=0),"Subactividad sin macroactividad arriba"&amp;" · ","")&amp;IF($D17="","Sin responsable"&amp;" · ","")&amp;IF($E17="","Sin fecha de inicio"&amp;" · ","")&amp;IF($F17="","Sin fecha límite"&amp;" · ","")&amp;IF(OR(AND($E17&lt;&gt;"",NOT(ISNUMBER($E17))),AND($F17&lt;&gt;"",NOT(ISNUMBER($F17)))),"Fecha no válida"&amp;" · ","")&amp;IF(AND(ISNUMBER($E17),ISNUMBER($F17),$E17&gt;$F17),"Inicio posterior a fecha límite"&amp;" · ","")&amp;IF(AND($S17="Macro",$G17=""),"Peso vacío"&amp;" · ","")&amp;IF(AND($S17="Macro",$G17&lt;&gt;"",OR(NOT(ISNUMBER($G17)),$G17&lt;=0,$G17&gt;1)),"Peso fuera de rango"&amp;" · ","")&amp;IF(AND($S17="Sub",$G17&lt;&gt;""),"Las subactividades no llevan peso"&amp;" · ","")&amp;IF(AND($S17="Macro",ABS(SUMIFS($G$5:$G$1000,$P$5:$P$1000,$P17,$S$5:$S$1000,"Macro")-1)&gt;0.0001),"Pesos del mes suman "&amp;TEXT(SUMIFS($G$5:$G$1000,$P$5:$P$1000,$P17,$S$5:$S$1000,"Macro"),"0%")&amp;" · ","")&amp;IF(AND(N($T17)&gt;0,COUNT($H17:$K17)&gt;0),"Con subactividades: deje vacías las semanas (se calculan solas)"&amp;" · ","")&amp;IF((COUNTIF($H17:$K17,"&gt;1")+COUNTIF($H17:$K17,"&lt;0")+COUNTA($H17:$K17)-COUNT($H17:$K17))&gt;0,"Avance fuera de rango 0-100%"&amp;" · ","")&amp;IF(OR(AND($I17&lt;&gt;"",$I17&lt;$H17),AND($J17&lt;&gt;"",$J17&lt;MAX($H17:$I17)),AND($K17&lt;&gt;"",$K17&lt;MAX($H17:$J17))),"Avance semanal decreciente"&amp;" · ","")&amp;IF(AND(ISNUMBER($F17),$F17&lt;FechaRef,N($L17)&lt;1),"Vencida"&amp;" · ","")&amp;IF(AND(ObsObligatoria="Sí",ISNUMBER($F17),$F17&lt;FechaRef,N($L17)&lt;1,$N17=""),"Vencida sin observación"&amp;" · ",""))-3)))</f>
        <v/>
      </c>
      <c r="P17" s="69">
        <f>IF(NOT((COUNTA($B17:$K17)+COUNTA($N17))&gt;0),"",IF(AND($S17="Sub",N($R17)&gt;0),IF(ISNUMBER(INDEX($E$5:$E$1000,$R17-4)),DATE(YEAR(INDEX($E$5:$E$1000,$R17-4)),MONTH(INDEX($E$5:$E$1000,$R17-4)),1),IF(ISNUMBER(INDEX($F$5:$F$1000,$R17-4)),DATE(YEAR(INDEX($F$5:$F$1000,$R17-4)),MONTH(INDEX($F$5:$F$1000,$R17-4)),1),MesCiclo)),IF(ISNUMBER($E17),DATE(YEAR($E17),MONTH($E17),1),IF(ISNUMBER($F17),DATE(YEAR($F17),MONTH($F17),1),MesCiclo))))</f>
        <v/>
      </c>
      <c r="Q17" s="70">
        <f>IF(OR($P17="",$P17&lt;&gt;MesCiclo),"",COUNTIF($P$5:$P17,MesCiclo))</f>
        <v/>
      </c>
      <c r="R17" s="70">
        <f>IF($S17="","",IF($S17="Macro",ROW(),IFERROR(LOOKUP(2,1/($S$5:$S17="Macro"),ROW($S$5:$S17)),0)))</f>
        <v/>
      </c>
      <c r="S17" s="70">
        <f>IF(NOT((COUNTA($B17:$K17)+COUNTA($N17))&gt;0),"",IF($B17&lt;&gt;"","Macro",IF($C17&lt;&gt;"","Sub","Macro")))</f>
        <v/>
      </c>
      <c r="T17" s="70">
        <f>IF($S17="Macro",COUNTIFS($R$5:$R$1000,ROW(),$S$5:$S$1000,"Sub"),"")</f>
        <v/>
      </c>
      <c r="U17" s="70">
        <f>IF($S17="","",IF(ISNUMBER($H17),$H17,0))</f>
        <v/>
      </c>
      <c r="V17" s="70">
        <f>IF($S17="","",IF(ISNUMBER($I17),$I17,$U17))</f>
        <v/>
      </c>
      <c r="W17" s="70">
        <f>IF($S17="","",IF(ISNUMBER($J17),$J17,$V17))</f>
        <v/>
      </c>
      <c r="X17" s="70">
        <f>IF($S17="","",IF(ISNUMBER($K17),$K17,$W17))</f>
        <v/>
      </c>
      <c r="Y17" s="70">
        <f>IF($S17="","",IF(N($T17)&gt;0,AVERAGEIFS($U$5:$U$1000,$R$5:$R$1000,ROW(),$S$5:$S$1000,"Sub"),$U17))</f>
        <v/>
      </c>
      <c r="Z17" s="70">
        <f>IF($S17="","",IF(N($T17)&gt;0,AVERAGEIFS($V$5:$V$1000,$R$5:$R$1000,ROW(),$S$5:$S$1000,"Sub"),$V17))</f>
        <v/>
      </c>
      <c r="AA17" s="70">
        <f>IF($S17="","",IF(N($T17)&gt;0,AVERAGEIFS($W$5:$W$1000,$R$5:$R$1000,ROW(),$S$5:$S$1000,"Sub"),$W17))</f>
        <v/>
      </c>
      <c r="AB17" s="70">
        <f>IF($S17="","",IF(N($T17)&gt;0,AVERAGEIFS($X$5:$X$1000,$R$5:$R$1000,ROW(),$S$5:$S$1000,"Sub"),$X17))</f>
        <v/>
      </c>
    </row>
    <row r="18">
      <c r="A18" s="61">
        <f>IF(NOT((COUNTA($B18:$K18)+COUNTA($N18))&gt;0),"",IF($S18="Macro",COUNTIFS($S$5:$S18,"Macro",$P$5:$P18,$P18),IF(N($R18)=0,"?",COUNTIFS(INDEX($S$5:$S$1000,1):INDEX($S$5:$S$1000,$R18-4),"Macro",INDEX($P$5:$P$1000,1):INDEX($P$5:$P$1000,$R18-4),INDEX($P$5:$P$1000,$R18-4))&amp;"."&amp;COUNTIFS($R$5:$R18,$R18,$S$5:$S18,"Sub"))))</f>
        <v/>
      </c>
      <c r="B18" s="62" t="n"/>
      <c r="C18" s="63" t="n"/>
      <c r="D18" s="62" t="n"/>
      <c r="E18" s="64" t="n"/>
      <c r="F18" s="64" t="n"/>
      <c r="G18" s="65" t="n"/>
      <c r="H18" s="66" t="n"/>
      <c r="I18" s="66" t="n"/>
      <c r="J18" s="66" t="n"/>
      <c r="K18" s="66" t="n"/>
      <c r="L18" s="67">
        <f>IF(NOT((COUNTA($B18:$K18)+COUNTA($N18))&gt;0),"",IF(N($T18)&gt;0,$AB18,IFERROR(LOOKUP(2,1/(H18:K18&lt;&gt;""),H18:K18),0)))</f>
        <v/>
      </c>
      <c r="M18" s="61">
        <f>IF(L18="","",IF(L18&gt;=1,"Completado",IF(L18&gt;0,"En curso","Pendiente")))</f>
        <v/>
      </c>
      <c r="N18" s="62" t="n"/>
      <c r="O18" s="68">
        <f>IF(NOT((COUNTA($B18:$K18)+COUNTA($N18))&gt;0),"",IF((IF(AND($S18="Macro",$B18=""),"Macroactividad vacía"&amp;" · ","")&amp;IF(AND($B18&lt;&gt;"",$C18&lt;&gt;""),"Escriba la subactividad en otra fila, debajo de su macroactividad"&amp;" · ","")&amp;IF(AND($S18="Sub",N($R18)=0),"Subactividad sin macroactividad arriba"&amp;" · ","")&amp;IF($D18="","Sin responsable"&amp;" · ","")&amp;IF($E18="","Sin fecha de inicio"&amp;" · ","")&amp;IF($F18="","Sin fecha límite"&amp;" · ","")&amp;IF(OR(AND($E18&lt;&gt;"",NOT(ISNUMBER($E18))),AND($F18&lt;&gt;"",NOT(ISNUMBER($F18)))),"Fecha no válida"&amp;" · ","")&amp;IF(AND(ISNUMBER($E18),ISNUMBER($F18),$E18&gt;$F18),"Inicio posterior a fecha límite"&amp;" · ","")&amp;IF(AND($S18="Macro",$G18=""),"Peso vacío"&amp;" · ","")&amp;IF(AND($S18="Macro",$G18&lt;&gt;"",OR(NOT(ISNUMBER($G18)),$G18&lt;=0,$G18&gt;1)),"Peso fuera de rango"&amp;" · ","")&amp;IF(AND($S18="Sub",$G18&lt;&gt;""),"Las subactividades no llevan peso"&amp;" · ","")&amp;IF(AND($S18="Macro",ABS(SUMIFS($G$5:$G$1000,$P$5:$P$1000,$P18,$S$5:$S$1000,"Macro")-1)&gt;0.0001),"Pesos del mes suman "&amp;TEXT(SUMIFS($G$5:$G$1000,$P$5:$P$1000,$P18,$S$5:$S$1000,"Macro"),"0%")&amp;" · ","")&amp;IF(AND(N($T18)&gt;0,COUNT($H18:$K18)&gt;0),"Con subactividades: deje vacías las semanas (se calculan solas)"&amp;" · ","")&amp;IF((COUNTIF($H18:$K18,"&gt;1")+COUNTIF($H18:$K18,"&lt;0")+COUNTA($H18:$K18)-COUNT($H18:$K18))&gt;0,"Avance fuera de rango 0-100%"&amp;" · ","")&amp;IF(OR(AND($I18&lt;&gt;"",$I18&lt;$H18),AND($J18&lt;&gt;"",$J18&lt;MAX($H18:$I18)),AND($K18&lt;&gt;"",$K18&lt;MAX($H18:$J18))),"Avance semanal decreciente"&amp;" · ","")&amp;IF(AND(ISNUMBER($F18),$F18&lt;FechaRef,N($L18)&lt;1),"Vencida"&amp;" · ","")&amp;IF(AND(ObsObligatoria="Sí",ISNUMBER($F18),$F18&lt;FechaRef,N($L18)&lt;1,$N18=""),"Vencida sin observación"&amp;" · ",""))="","✔ OK","⚠ "&amp;LEFT(IF(AND($S18="Macro",$B18=""),"Macroactividad vacía"&amp;" · ","")&amp;IF(AND($B18&lt;&gt;"",$C18&lt;&gt;""),"Escriba la subactividad en otra fila, debajo de su macroactividad"&amp;" · ","")&amp;IF(AND($S18="Sub",N($R18)=0),"Subactividad sin macroactividad arriba"&amp;" · ","")&amp;IF($D18="","Sin responsable"&amp;" · ","")&amp;IF($E18="","Sin fecha de inicio"&amp;" · ","")&amp;IF($F18="","Sin fecha límite"&amp;" · ","")&amp;IF(OR(AND($E18&lt;&gt;"",NOT(ISNUMBER($E18))),AND($F18&lt;&gt;"",NOT(ISNUMBER($F18)))),"Fecha no válida"&amp;" · ","")&amp;IF(AND(ISNUMBER($E18),ISNUMBER($F18),$E18&gt;$F18),"Inicio posterior a fecha límite"&amp;" · ","")&amp;IF(AND($S18="Macro",$G18=""),"Peso vacío"&amp;" · ","")&amp;IF(AND($S18="Macro",$G18&lt;&gt;"",OR(NOT(ISNUMBER($G18)),$G18&lt;=0,$G18&gt;1)),"Peso fuera de rango"&amp;" · ","")&amp;IF(AND($S18="Sub",$G18&lt;&gt;""),"Las subactividades no llevan peso"&amp;" · ","")&amp;IF(AND($S18="Macro",ABS(SUMIFS($G$5:$G$1000,$P$5:$P$1000,$P18,$S$5:$S$1000,"Macro")-1)&gt;0.0001),"Pesos del mes suman "&amp;TEXT(SUMIFS($G$5:$G$1000,$P$5:$P$1000,$P18,$S$5:$S$1000,"Macro"),"0%")&amp;" · ","")&amp;IF(AND(N($T18)&gt;0,COUNT($H18:$K18)&gt;0),"Con subactividades: deje vacías las semanas (se calculan solas)"&amp;" · ","")&amp;IF((COUNTIF($H18:$K18,"&gt;1")+COUNTIF($H18:$K18,"&lt;0")+COUNTA($H18:$K18)-COUNT($H18:$K18))&gt;0,"Avance fuera de rango 0-100%"&amp;" · ","")&amp;IF(OR(AND($I18&lt;&gt;"",$I18&lt;$H18),AND($J18&lt;&gt;"",$J18&lt;MAX($H18:$I18)),AND($K18&lt;&gt;"",$K18&lt;MAX($H18:$J18))),"Avance semanal decreciente"&amp;" · ","")&amp;IF(AND(ISNUMBER($F18),$F18&lt;FechaRef,N($L18)&lt;1),"Vencida"&amp;" · ","")&amp;IF(AND(ObsObligatoria="Sí",ISNUMBER($F18),$F18&lt;FechaRef,N($L18)&lt;1,$N18=""),"Vencida sin observación"&amp;" · ",""),LEN(IF(AND($S18="Macro",$B18=""),"Macroactividad vacía"&amp;" · ","")&amp;IF(AND($B18&lt;&gt;"",$C18&lt;&gt;""),"Escriba la subactividad en otra fila, debajo de su macroactividad"&amp;" · ","")&amp;IF(AND($S18="Sub",N($R18)=0),"Subactividad sin macroactividad arriba"&amp;" · ","")&amp;IF($D18="","Sin responsable"&amp;" · ","")&amp;IF($E18="","Sin fecha de inicio"&amp;" · ","")&amp;IF($F18="","Sin fecha límite"&amp;" · ","")&amp;IF(OR(AND($E18&lt;&gt;"",NOT(ISNUMBER($E18))),AND($F18&lt;&gt;"",NOT(ISNUMBER($F18)))),"Fecha no válida"&amp;" · ","")&amp;IF(AND(ISNUMBER($E18),ISNUMBER($F18),$E18&gt;$F18),"Inicio posterior a fecha límite"&amp;" · ","")&amp;IF(AND($S18="Macro",$G18=""),"Peso vacío"&amp;" · ","")&amp;IF(AND($S18="Macro",$G18&lt;&gt;"",OR(NOT(ISNUMBER($G18)),$G18&lt;=0,$G18&gt;1)),"Peso fuera de rango"&amp;" · ","")&amp;IF(AND($S18="Sub",$G18&lt;&gt;""),"Las subactividades no llevan peso"&amp;" · ","")&amp;IF(AND($S18="Macro",ABS(SUMIFS($G$5:$G$1000,$P$5:$P$1000,$P18,$S$5:$S$1000,"Macro")-1)&gt;0.0001),"Pesos del mes suman "&amp;TEXT(SUMIFS($G$5:$G$1000,$P$5:$P$1000,$P18,$S$5:$S$1000,"Macro"),"0%")&amp;" · ","")&amp;IF(AND(N($T18)&gt;0,COUNT($H18:$K18)&gt;0),"Con subactividades: deje vacías las semanas (se calculan solas)"&amp;" · ","")&amp;IF((COUNTIF($H18:$K18,"&gt;1")+COUNTIF($H18:$K18,"&lt;0")+COUNTA($H18:$K18)-COUNT($H18:$K18))&gt;0,"Avance fuera de rango 0-100%"&amp;" · ","")&amp;IF(OR(AND($I18&lt;&gt;"",$I18&lt;$H18),AND($J18&lt;&gt;"",$J18&lt;MAX($H18:$I18)),AND($K18&lt;&gt;"",$K18&lt;MAX($H18:$J18))),"Avance semanal decreciente"&amp;" · ","")&amp;IF(AND(ISNUMBER($F18),$F18&lt;FechaRef,N($L18)&lt;1),"Vencida"&amp;" · ","")&amp;IF(AND(ObsObligatoria="Sí",ISNUMBER($F18),$F18&lt;FechaRef,N($L18)&lt;1,$N18=""),"Vencida sin observación"&amp;" · ",""))-3)))</f>
        <v/>
      </c>
      <c r="P18" s="69">
        <f>IF(NOT((COUNTA($B18:$K18)+COUNTA($N18))&gt;0),"",IF(AND($S18="Sub",N($R18)&gt;0),IF(ISNUMBER(INDEX($E$5:$E$1000,$R18-4)),DATE(YEAR(INDEX($E$5:$E$1000,$R18-4)),MONTH(INDEX($E$5:$E$1000,$R18-4)),1),IF(ISNUMBER(INDEX($F$5:$F$1000,$R18-4)),DATE(YEAR(INDEX($F$5:$F$1000,$R18-4)),MONTH(INDEX($F$5:$F$1000,$R18-4)),1),MesCiclo)),IF(ISNUMBER($E18),DATE(YEAR($E18),MONTH($E18),1),IF(ISNUMBER($F18),DATE(YEAR($F18),MONTH($F18),1),MesCiclo))))</f>
        <v/>
      </c>
      <c r="Q18" s="70">
        <f>IF(OR($P18="",$P18&lt;&gt;MesCiclo),"",COUNTIF($P$5:$P18,MesCiclo))</f>
        <v/>
      </c>
      <c r="R18" s="70">
        <f>IF($S18="","",IF($S18="Macro",ROW(),IFERROR(LOOKUP(2,1/($S$5:$S18="Macro"),ROW($S$5:$S18)),0)))</f>
        <v/>
      </c>
      <c r="S18" s="70">
        <f>IF(NOT((COUNTA($B18:$K18)+COUNTA($N18))&gt;0),"",IF($B18&lt;&gt;"","Macro",IF($C18&lt;&gt;"","Sub","Macro")))</f>
        <v/>
      </c>
      <c r="T18" s="70">
        <f>IF($S18="Macro",COUNTIFS($R$5:$R$1000,ROW(),$S$5:$S$1000,"Sub"),"")</f>
        <v/>
      </c>
      <c r="U18" s="70">
        <f>IF($S18="","",IF(ISNUMBER($H18),$H18,0))</f>
        <v/>
      </c>
      <c r="V18" s="70">
        <f>IF($S18="","",IF(ISNUMBER($I18),$I18,$U18))</f>
        <v/>
      </c>
      <c r="W18" s="70">
        <f>IF($S18="","",IF(ISNUMBER($J18),$J18,$V18))</f>
        <v/>
      </c>
      <c r="X18" s="70">
        <f>IF($S18="","",IF(ISNUMBER($K18),$K18,$W18))</f>
        <v/>
      </c>
      <c r="Y18" s="70">
        <f>IF($S18="","",IF(N($T18)&gt;0,AVERAGEIFS($U$5:$U$1000,$R$5:$R$1000,ROW(),$S$5:$S$1000,"Sub"),$U18))</f>
        <v/>
      </c>
      <c r="Z18" s="70">
        <f>IF($S18="","",IF(N($T18)&gt;0,AVERAGEIFS($V$5:$V$1000,$R$5:$R$1000,ROW(),$S$5:$S$1000,"Sub"),$V18))</f>
        <v/>
      </c>
      <c r="AA18" s="70">
        <f>IF($S18="","",IF(N($T18)&gt;0,AVERAGEIFS($W$5:$W$1000,$R$5:$R$1000,ROW(),$S$5:$S$1000,"Sub"),$W18))</f>
        <v/>
      </c>
      <c r="AB18" s="70">
        <f>IF($S18="","",IF(N($T18)&gt;0,AVERAGEIFS($X$5:$X$1000,$R$5:$R$1000,ROW(),$S$5:$S$1000,"Sub"),$X18))</f>
        <v/>
      </c>
    </row>
    <row r="19">
      <c r="A19" s="61">
        <f>IF(NOT((COUNTA($B19:$K19)+COUNTA($N19))&gt;0),"",IF($S19="Macro",COUNTIFS($S$5:$S19,"Macro",$P$5:$P19,$P19),IF(N($R19)=0,"?",COUNTIFS(INDEX($S$5:$S$1000,1):INDEX($S$5:$S$1000,$R19-4),"Macro",INDEX($P$5:$P$1000,1):INDEX($P$5:$P$1000,$R19-4),INDEX($P$5:$P$1000,$R19-4))&amp;"."&amp;COUNTIFS($R$5:$R19,$R19,$S$5:$S19,"Sub"))))</f>
        <v/>
      </c>
      <c r="B19" s="62" t="n"/>
      <c r="C19" s="63" t="n"/>
      <c r="D19" s="62" t="n"/>
      <c r="E19" s="64" t="n"/>
      <c r="F19" s="64" t="n"/>
      <c r="G19" s="65" t="n"/>
      <c r="H19" s="66" t="n"/>
      <c r="I19" s="66" t="n"/>
      <c r="J19" s="66" t="n"/>
      <c r="K19" s="66" t="n"/>
      <c r="L19" s="67">
        <f>IF(NOT((COUNTA($B19:$K19)+COUNTA($N19))&gt;0),"",IF(N($T19)&gt;0,$AB19,IFERROR(LOOKUP(2,1/(H19:K19&lt;&gt;""),H19:K19),0)))</f>
        <v/>
      </c>
      <c r="M19" s="61">
        <f>IF(L19="","",IF(L19&gt;=1,"Completado",IF(L19&gt;0,"En curso","Pendiente")))</f>
        <v/>
      </c>
      <c r="N19" s="62" t="n"/>
      <c r="O19" s="68">
        <f>IF(NOT((COUNTA($B19:$K19)+COUNTA($N19))&gt;0),"",IF((IF(AND($S19="Macro",$B19=""),"Macroactividad vacía"&amp;" · ","")&amp;IF(AND($B19&lt;&gt;"",$C19&lt;&gt;""),"Escriba la subactividad en otra fila, debajo de su macroactividad"&amp;" · ","")&amp;IF(AND($S19="Sub",N($R19)=0),"Subactividad sin macroactividad arriba"&amp;" · ","")&amp;IF($D19="","Sin responsable"&amp;" · ","")&amp;IF($E19="","Sin fecha de inicio"&amp;" · ","")&amp;IF($F19="","Sin fecha límite"&amp;" · ","")&amp;IF(OR(AND($E19&lt;&gt;"",NOT(ISNUMBER($E19))),AND($F19&lt;&gt;"",NOT(ISNUMBER($F19)))),"Fecha no válida"&amp;" · ","")&amp;IF(AND(ISNUMBER($E19),ISNUMBER($F19),$E19&gt;$F19),"Inicio posterior a fecha límite"&amp;" · ","")&amp;IF(AND($S19="Macro",$G19=""),"Peso vacío"&amp;" · ","")&amp;IF(AND($S19="Macro",$G19&lt;&gt;"",OR(NOT(ISNUMBER($G19)),$G19&lt;=0,$G19&gt;1)),"Peso fuera de rango"&amp;" · ","")&amp;IF(AND($S19="Sub",$G19&lt;&gt;""),"Las subactividades no llevan peso"&amp;" · ","")&amp;IF(AND($S19="Macro",ABS(SUMIFS($G$5:$G$1000,$P$5:$P$1000,$P19,$S$5:$S$1000,"Macro")-1)&gt;0.0001),"Pesos del mes suman "&amp;TEXT(SUMIFS($G$5:$G$1000,$P$5:$P$1000,$P19,$S$5:$S$1000,"Macro"),"0%")&amp;" · ","")&amp;IF(AND(N($T19)&gt;0,COUNT($H19:$K19)&gt;0),"Con subactividades: deje vacías las semanas (se calculan solas)"&amp;" · ","")&amp;IF((COUNTIF($H19:$K19,"&gt;1")+COUNTIF($H19:$K19,"&lt;0")+COUNTA($H19:$K19)-COUNT($H19:$K19))&gt;0,"Avance fuera de rango 0-100%"&amp;" · ","")&amp;IF(OR(AND($I19&lt;&gt;"",$I19&lt;$H19),AND($J19&lt;&gt;"",$J19&lt;MAX($H19:$I19)),AND($K19&lt;&gt;"",$K19&lt;MAX($H19:$J19))),"Avance semanal decreciente"&amp;" · ","")&amp;IF(AND(ISNUMBER($F19),$F19&lt;FechaRef,N($L19)&lt;1),"Vencida"&amp;" · ","")&amp;IF(AND(ObsObligatoria="Sí",ISNUMBER($F19),$F19&lt;FechaRef,N($L19)&lt;1,$N19=""),"Vencida sin observación"&amp;" · ",""))="","✔ OK","⚠ "&amp;LEFT(IF(AND($S19="Macro",$B19=""),"Macroactividad vacía"&amp;" · ","")&amp;IF(AND($B19&lt;&gt;"",$C19&lt;&gt;""),"Escriba la subactividad en otra fila, debajo de su macroactividad"&amp;" · ","")&amp;IF(AND($S19="Sub",N($R19)=0),"Subactividad sin macroactividad arriba"&amp;" · ","")&amp;IF($D19="","Sin responsable"&amp;" · ","")&amp;IF($E19="","Sin fecha de inicio"&amp;" · ","")&amp;IF($F19="","Sin fecha límite"&amp;" · ","")&amp;IF(OR(AND($E19&lt;&gt;"",NOT(ISNUMBER($E19))),AND($F19&lt;&gt;"",NOT(ISNUMBER($F19)))),"Fecha no válida"&amp;" · ","")&amp;IF(AND(ISNUMBER($E19),ISNUMBER($F19),$E19&gt;$F19),"Inicio posterior a fecha límite"&amp;" · ","")&amp;IF(AND($S19="Macro",$G19=""),"Peso vacío"&amp;" · ","")&amp;IF(AND($S19="Macro",$G19&lt;&gt;"",OR(NOT(ISNUMBER($G19)),$G19&lt;=0,$G19&gt;1)),"Peso fuera de rango"&amp;" · ","")&amp;IF(AND($S19="Sub",$G19&lt;&gt;""),"Las subactividades no llevan peso"&amp;" · ","")&amp;IF(AND($S19="Macro",ABS(SUMIFS($G$5:$G$1000,$P$5:$P$1000,$P19,$S$5:$S$1000,"Macro")-1)&gt;0.0001),"Pesos del mes suman "&amp;TEXT(SUMIFS($G$5:$G$1000,$P$5:$P$1000,$P19,$S$5:$S$1000,"Macro"),"0%")&amp;" · ","")&amp;IF(AND(N($T19)&gt;0,COUNT($H19:$K19)&gt;0),"Con subactividades: deje vacías las semanas (se calculan solas)"&amp;" · ","")&amp;IF((COUNTIF($H19:$K19,"&gt;1")+COUNTIF($H19:$K19,"&lt;0")+COUNTA($H19:$K19)-COUNT($H19:$K19))&gt;0,"Avance fuera de rango 0-100%"&amp;" · ","")&amp;IF(OR(AND($I19&lt;&gt;"",$I19&lt;$H19),AND($J19&lt;&gt;"",$J19&lt;MAX($H19:$I19)),AND($K19&lt;&gt;"",$K19&lt;MAX($H19:$J19))),"Avance semanal decreciente"&amp;" · ","")&amp;IF(AND(ISNUMBER($F19),$F19&lt;FechaRef,N($L19)&lt;1),"Vencida"&amp;" · ","")&amp;IF(AND(ObsObligatoria="Sí",ISNUMBER($F19),$F19&lt;FechaRef,N($L19)&lt;1,$N19=""),"Vencida sin observación"&amp;" · ",""),LEN(IF(AND($S19="Macro",$B19=""),"Macroactividad vacía"&amp;" · ","")&amp;IF(AND($B19&lt;&gt;"",$C19&lt;&gt;""),"Escriba la subactividad en otra fila, debajo de su macroactividad"&amp;" · ","")&amp;IF(AND($S19="Sub",N($R19)=0),"Subactividad sin macroactividad arriba"&amp;" · ","")&amp;IF($D19="","Sin responsable"&amp;" · ","")&amp;IF($E19="","Sin fecha de inicio"&amp;" · ","")&amp;IF($F19="","Sin fecha límite"&amp;" · ","")&amp;IF(OR(AND($E19&lt;&gt;"",NOT(ISNUMBER($E19))),AND($F19&lt;&gt;"",NOT(ISNUMBER($F19)))),"Fecha no válida"&amp;" · ","")&amp;IF(AND(ISNUMBER($E19),ISNUMBER($F19),$E19&gt;$F19),"Inicio posterior a fecha límite"&amp;" · ","")&amp;IF(AND($S19="Macro",$G19=""),"Peso vacío"&amp;" · ","")&amp;IF(AND($S19="Macro",$G19&lt;&gt;"",OR(NOT(ISNUMBER($G19)),$G19&lt;=0,$G19&gt;1)),"Peso fuera de rango"&amp;" · ","")&amp;IF(AND($S19="Sub",$G19&lt;&gt;""),"Las subactividades no llevan peso"&amp;" · ","")&amp;IF(AND($S19="Macro",ABS(SUMIFS($G$5:$G$1000,$P$5:$P$1000,$P19,$S$5:$S$1000,"Macro")-1)&gt;0.0001),"Pesos del mes suman "&amp;TEXT(SUMIFS($G$5:$G$1000,$P$5:$P$1000,$P19,$S$5:$S$1000,"Macro"),"0%")&amp;" · ","")&amp;IF(AND(N($T19)&gt;0,COUNT($H19:$K19)&gt;0),"Con subactividades: deje vacías las semanas (se calculan solas)"&amp;" · ","")&amp;IF((COUNTIF($H19:$K19,"&gt;1")+COUNTIF($H19:$K19,"&lt;0")+COUNTA($H19:$K19)-COUNT($H19:$K19))&gt;0,"Avance fuera de rango 0-100%"&amp;" · ","")&amp;IF(OR(AND($I19&lt;&gt;"",$I19&lt;$H19),AND($J19&lt;&gt;"",$J19&lt;MAX($H19:$I19)),AND($K19&lt;&gt;"",$K19&lt;MAX($H19:$J19))),"Avance semanal decreciente"&amp;" · ","")&amp;IF(AND(ISNUMBER($F19),$F19&lt;FechaRef,N($L19)&lt;1),"Vencida"&amp;" · ","")&amp;IF(AND(ObsObligatoria="Sí",ISNUMBER($F19),$F19&lt;FechaRef,N($L19)&lt;1,$N19=""),"Vencida sin observación"&amp;" · ",""))-3)))</f>
        <v/>
      </c>
      <c r="P19" s="69">
        <f>IF(NOT((COUNTA($B19:$K19)+COUNTA($N19))&gt;0),"",IF(AND($S19="Sub",N($R19)&gt;0),IF(ISNUMBER(INDEX($E$5:$E$1000,$R19-4)),DATE(YEAR(INDEX($E$5:$E$1000,$R19-4)),MONTH(INDEX($E$5:$E$1000,$R19-4)),1),IF(ISNUMBER(INDEX($F$5:$F$1000,$R19-4)),DATE(YEAR(INDEX($F$5:$F$1000,$R19-4)),MONTH(INDEX($F$5:$F$1000,$R19-4)),1),MesCiclo)),IF(ISNUMBER($E19),DATE(YEAR($E19),MONTH($E19),1),IF(ISNUMBER($F19),DATE(YEAR($F19),MONTH($F19),1),MesCiclo))))</f>
        <v/>
      </c>
      <c r="Q19" s="70">
        <f>IF(OR($P19="",$P19&lt;&gt;MesCiclo),"",COUNTIF($P$5:$P19,MesCiclo))</f>
        <v/>
      </c>
      <c r="R19" s="70">
        <f>IF($S19="","",IF($S19="Macro",ROW(),IFERROR(LOOKUP(2,1/($S$5:$S19="Macro"),ROW($S$5:$S19)),0)))</f>
        <v/>
      </c>
      <c r="S19" s="70">
        <f>IF(NOT((COUNTA($B19:$K19)+COUNTA($N19))&gt;0),"",IF($B19&lt;&gt;"","Macro",IF($C19&lt;&gt;"","Sub","Macro")))</f>
        <v/>
      </c>
      <c r="T19" s="70">
        <f>IF($S19="Macro",COUNTIFS($R$5:$R$1000,ROW(),$S$5:$S$1000,"Sub"),"")</f>
        <v/>
      </c>
      <c r="U19" s="70">
        <f>IF($S19="","",IF(ISNUMBER($H19),$H19,0))</f>
        <v/>
      </c>
      <c r="V19" s="70">
        <f>IF($S19="","",IF(ISNUMBER($I19),$I19,$U19))</f>
        <v/>
      </c>
      <c r="W19" s="70">
        <f>IF($S19="","",IF(ISNUMBER($J19),$J19,$V19))</f>
        <v/>
      </c>
      <c r="X19" s="70">
        <f>IF($S19="","",IF(ISNUMBER($K19),$K19,$W19))</f>
        <v/>
      </c>
      <c r="Y19" s="70">
        <f>IF($S19="","",IF(N($T19)&gt;0,AVERAGEIFS($U$5:$U$1000,$R$5:$R$1000,ROW(),$S$5:$S$1000,"Sub"),$U19))</f>
        <v/>
      </c>
      <c r="Z19" s="70">
        <f>IF($S19="","",IF(N($T19)&gt;0,AVERAGEIFS($V$5:$V$1000,$R$5:$R$1000,ROW(),$S$5:$S$1000,"Sub"),$V19))</f>
        <v/>
      </c>
      <c r="AA19" s="70">
        <f>IF($S19="","",IF(N($T19)&gt;0,AVERAGEIFS($W$5:$W$1000,$R$5:$R$1000,ROW(),$S$5:$S$1000,"Sub"),$W19))</f>
        <v/>
      </c>
      <c r="AB19" s="70">
        <f>IF($S19="","",IF(N($T19)&gt;0,AVERAGEIFS($X$5:$X$1000,$R$5:$R$1000,ROW(),$S$5:$S$1000,"Sub"),$X19))</f>
        <v/>
      </c>
    </row>
    <row r="20">
      <c r="A20" s="61">
        <f>IF(NOT((COUNTA($B20:$K20)+COUNTA($N20))&gt;0),"",IF($S20="Macro",COUNTIFS($S$5:$S20,"Macro",$P$5:$P20,$P20),IF(N($R20)=0,"?",COUNTIFS(INDEX($S$5:$S$1000,1):INDEX($S$5:$S$1000,$R20-4),"Macro",INDEX($P$5:$P$1000,1):INDEX($P$5:$P$1000,$R20-4),INDEX($P$5:$P$1000,$R20-4))&amp;"."&amp;COUNTIFS($R$5:$R20,$R20,$S$5:$S20,"Sub"))))</f>
        <v/>
      </c>
      <c r="B20" s="62" t="n"/>
      <c r="C20" s="63" t="n"/>
      <c r="D20" s="62" t="n"/>
      <c r="E20" s="64" t="n"/>
      <c r="F20" s="64" t="n"/>
      <c r="G20" s="65" t="n"/>
      <c r="H20" s="66" t="n"/>
      <c r="I20" s="66" t="n"/>
      <c r="J20" s="66" t="n"/>
      <c r="K20" s="66" t="n"/>
      <c r="L20" s="67">
        <f>IF(NOT((COUNTA($B20:$K20)+COUNTA($N20))&gt;0),"",IF(N($T20)&gt;0,$AB20,IFERROR(LOOKUP(2,1/(H20:K20&lt;&gt;""),H20:K20),0)))</f>
        <v/>
      </c>
      <c r="M20" s="61">
        <f>IF(L20="","",IF(L20&gt;=1,"Completado",IF(L20&gt;0,"En curso","Pendiente")))</f>
        <v/>
      </c>
      <c r="N20" s="62" t="n"/>
      <c r="O20" s="68">
        <f>IF(NOT((COUNTA($B20:$K20)+COUNTA($N20))&gt;0),"",IF((IF(AND($S20="Macro",$B20=""),"Macroactividad vacía"&amp;" · ","")&amp;IF(AND($B20&lt;&gt;"",$C20&lt;&gt;""),"Escriba la subactividad en otra fila, debajo de su macroactividad"&amp;" · ","")&amp;IF(AND($S20="Sub",N($R20)=0),"Subactividad sin macroactividad arriba"&amp;" · ","")&amp;IF($D20="","Sin responsable"&amp;" · ","")&amp;IF($E20="","Sin fecha de inicio"&amp;" · ","")&amp;IF($F20="","Sin fecha límite"&amp;" · ","")&amp;IF(OR(AND($E20&lt;&gt;"",NOT(ISNUMBER($E20))),AND($F20&lt;&gt;"",NOT(ISNUMBER($F20)))),"Fecha no válida"&amp;" · ","")&amp;IF(AND(ISNUMBER($E20),ISNUMBER($F20),$E20&gt;$F20),"Inicio posterior a fecha límite"&amp;" · ","")&amp;IF(AND($S20="Macro",$G20=""),"Peso vacío"&amp;" · ","")&amp;IF(AND($S20="Macro",$G20&lt;&gt;"",OR(NOT(ISNUMBER($G20)),$G20&lt;=0,$G20&gt;1)),"Peso fuera de rango"&amp;" · ","")&amp;IF(AND($S20="Sub",$G20&lt;&gt;""),"Las subactividades no llevan peso"&amp;" · ","")&amp;IF(AND($S20="Macro",ABS(SUMIFS($G$5:$G$1000,$P$5:$P$1000,$P20,$S$5:$S$1000,"Macro")-1)&gt;0.0001),"Pesos del mes suman "&amp;TEXT(SUMIFS($G$5:$G$1000,$P$5:$P$1000,$P20,$S$5:$S$1000,"Macro"),"0%")&amp;" · ","")&amp;IF(AND(N($T20)&gt;0,COUNT($H20:$K20)&gt;0),"Con subactividades: deje vacías las semanas (se calculan solas)"&amp;" · ","")&amp;IF((COUNTIF($H20:$K20,"&gt;1")+COUNTIF($H20:$K20,"&lt;0")+COUNTA($H20:$K20)-COUNT($H20:$K20))&gt;0,"Avance fuera de rango 0-100%"&amp;" · ","")&amp;IF(OR(AND($I20&lt;&gt;"",$I20&lt;$H20),AND($J20&lt;&gt;"",$J20&lt;MAX($H20:$I20)),AND($K20&lt;&gt;"",$K20&lt;MAX($H20:$J20))),"Avance semanal decreciente"&amp;" · ","")&amp;IF(AND(ISNUMBER($F20),$F20&lt;FechaRef,N($L20)&lt;1),"Vencida"&amp;" · ","")&amp;IF(AND(ObsObligatoria="Sí",ISNUMBER($F20),$F20&lt;FechaRef,N($L20)&lt;1,$N20=""),"Vencida sin observación"&amp;" · ",""))="","✔ OK","⚠ "&amp;LEFT(IF(AND($S20="Macro",$B20=""),"Macroactividad vacía"&amp;" · ","")&amp;IF(AND($B20&lt;&gt;"",$C20&lt;&gt;""),"Escriba la subactividad en otra fila, debajo de su macroactividad"&amp;" · ","")&amp;IF(AND($S20="Sub",N($R20)=0),"Subactividad sin macroactividad arriba"&amp;" · ","")&amp;IF($D20="","Sin responsable"&amp;" · ","")&amp;IF($E20="","Sin fecha de inicio"&amp;" · ","")&amp;IF($F20="","Sin fecha límite"&amp;" · ","")&amp;IF(OR(AND($E20&lt;&gt;"",NOT(ISNUMBER($E20))),AND($F20&lt;&gt;"",NOT(ISNUMBER($F20)))),"Fecha no válida"&amp;" · ","")&amp;IF(AND(ISNUMBER($E20),ISNUMBER($F20),$E20&gt;$F20),"Inicio posterior a fecha límite"&amp;" · ","")&amp;IF(AND($S20="Macro",$G20=""),"Peso vacío"&amp;" · ","")&amp;IF(AND($S20="Macro",$G20&lt;&gt;"",OR(NOT(ISNUMBER($G20)),$G20&lt;=0,$G20&gt;1)),"Peso fuera de rango"&amp;" · ","")&amp;IF(AND($S20="Sub",$G20&lt;&gt;""),"Las subactividades no llevan peso"&amp;" · ","")&amp;IF(AND($S20="Macro",ABS(SUMIFS($G$5:$G$1000,$P$5:$P$1000,$P20,$S$5:$S$1000,"Macro")-1)&gt;0.0001),"Pesos del mes suman "&amp;TEXT(SUMIFS($G$5:$G$1000,$P$5:$P$1000,$P20,$S$5:$S$1000,"Macro"),"0%")&amp;" · ","")&amp;IF(AND(N($T20)&gt;0,COUNT($H20:$K20)&gt;0),"Con subactividades: deje vacías las semanas (se calculan solas)"&amp;" · ","")&amp;IF((COUNTIF($H20:$K20,"&gt;1")+COUNTIF($H20:$K20,"&lt;0")+COUNTA($H20:$K20)-COUNT($H20:$K20))&gt;0,"Avance fuera de rango 0-100%"&amp;" · ","")&amp;IF(OR(AND($I20&lt;&gt;"",$I20&lt;$H20),AND($J20&lt;&gt;"",$J20&lt;MAX($H20:$I20)),AND($K20&lt;&gt;"",$K20&lt;MAX($H20:$J20))),"Avance semanal decreciente"&amp;" · ","")&amp;IF(AND(ISNUMBER($F20),$F20&lt;FechaRef,N($L20)&lt;1),"Vencida"&amp;" · ","")&amp;IF(AND(ObsObligatoria="Sí",ISNUMBER($F20),$F20&lt;FechaRef,N($L20)&lt;1,$N20=""),"Vencida sin observación"&amp;" · ",""),LEN(IF(AND($S20="Macro",$B20=""),"Macroactividad vacía"&amp;" · ","")&amp;IF(AND($B20&lt;&gt;"",$C20&lt;&gt;""),"Escriba la subactividad en otra fila, debajo de su macroactividad"&amp;" · ","")&amp;IF(AND($S20="Sub",N($R20)=0),"Subactividad sin macroactividad arriba"&amp;" · ","")&amp;IF($D20="","Sin responsable"&amp;" · ","")&amp;IF($E20="","Sin fecha de inicio"&amp;" · ","")&amp;IF($F20="","Sin fecha límite"&amp;" · ","")&amp;IF(OR(AND($E20&lt;&gt;"",NOT(ISNUMBER($E20))),AND($F20&lt;&gt;"",NOT(ISNUMBER($F20)))),"Fecha no válida"&amp;" · ","")&amp;IF(AND(ISNUMBER($E20),ISNUMBER($F20),$E20&gt;$F20),"Inicio posterior a fecha límite"&amp;" · ","")&amp;IF(AND($S20="Macro",$G20=""),"Peso vacío"&amp;" · ","")&amp;IF(AND($S20="Macro",$G20&lt;&gt;"",OR(NOT(ISNUMBER($G20)),$G20&lt;=0,$G20&gt;1)),"Peso fuera de rango"&amp;" · ","")&amp;IF(AND($S20="Sub",$G20&lt;&gt;""),"Las subactividades no llevan peso"&amp;" · ","")&amp;IF(AND($S20="Macro",ABS(SUMIFS($G$5:$G$1000,$P$5:$P$1000,$P20,$S$5:$S$1000,"Macro")-1)&gt;0.0001),"Pesos del mes suman "&amp;TEXT(SUMIFS($G$5:$G$1000,$P$5:$P$1000,$P20,$S$5:$S$1000,"Macro"),"0%")&amp;" · ","")&amp;IF(AND(N($T20)&gt;0,COUNT($H20:$K20)&gt;0),"Con subactividades: deje vacías las semanas (se calculan solas)"&amp;" · ","")&amp;IF((COUNTIF($H20:$K20,"&gt;1")+COUNTIF($H20:$K20,"&lt;0")+COUNTA($H20:$K20)-COUNT($H20:$K20))&gt;0,"Avance fuera de rango 0-100%"&amp;" · ","")&amp;IF(OR(AND($I20&lt;&gt;"",$I20&lt;$H20),AND($J20&lt;&gt;"",$J20&lt;MAX($H20:$I20)),AND($K20&lt;&gt;"",$K20&lt;MAX($H20:$J20))),"Avance semanal decreciente"&amp;" · ","")&amp;IF(AND(ISNUMBER($F20),$F20&lt;FechaRef,N($L20)&lt;1),"Vencida"&amp;" · ","")&amp;IF(AND(ObsObligatoria="Sí",ISNUMBER($F20),$F20&lt;FechaRef,N($L20)&lt;1,$N20=""),"Vencida sin observación"&amp;" · ",""))-3)))</f>
        <v/>
      </c>
      <c r="P20" s="69">
        <f>IF(NOT((COUNTA($B20:$K20)+COUNTA($N20))&gt;0),"",IF(AND($S20="Sub",N($R20)&gt;0),IF(ISNUMBER(INDEX($E$5:$E$1000,$R20-4)),DATE(YEAR(INDEX($E$5:$E$1000,$R20-4)),MONTH(INDEX($E$5:$E$1000,$R20-4)),1),IF(ISNUMBER(INDEX($F$5:$F$1000,$R20-4)),DATE(YEAR(INDEX($F$5:$F$1000,$R20-4)),MONTH(INDEX($F$5:$F$1000,$R20-4)),1),MesCiclo)),IF(ISNUMBER($E20),DATE(YEAR($E20),MONTH($E20),1),IF(ISNUMBER($F20),DATE(YEAR($F20),MONTH($F20),1),MesCiclo))))</f>
        <v/>
      </c>
      <c r="Q20" s="70">
        <f>IF(OR($P20="",$P20&lt;&gt;MesCiclo),"",COUNTIF($P$5:$P20,MesCiclo))</f>
        <v/>
      </c>
      <c r="R20" s="70">
        <f>IF($S20="","",IF($S20="Macro",ROW(),IFERROR(LOOKUP(2,1/($S$5:$S20="Macro"),ROW($S$5:$S20)),0)))</f>
        <v/>
      </c>
      <c r="S20" s="70">
        <f>IF(NOT((COUNTA($B20:$K20)+COUNTA($N20))&gt;0),"",IF($B20&lt;&gt;"","Macro",IF($C20&lt;&gt;"","Sub","Macro")))</f>
        <v/>
      </c>
      <c r="T20" s="70">
        <f>IF($S20="Macro",COUNTIFS($R$5:$R$1000,ROW(),$S$5:$S$1000,"Sub"),"")</f>
        <v/>
      </c>
      <c r="U20" s="70">
        <f>IF($S20="","",IF(ISNUMBER($H20),$H20,0))</f>
        <v/>
      </c>
      <c r="V20" s="70">
        <f>IF($S20="","",IF(ISNUMBER($I20),$I20,$U20))</f>
        <v/>
      </c>
      <c r="W20" s="70">
        <f>IF($S20="","",IF(ISNUMBER($J20),$J20,$V20))</f>
        <v/>
      </c>
      <c r="X20" s="70">
        <f>IF($S20="","",IF(ISNUMBER($K20),$K20,$W20))</f>
        <v/>
      </c>
      <c r="Y20" s="70">
        <f>IF($S20="","",IF(N($T20)&gt;0,AVERAGEIFS($U$5:$U$1000,$R$5:$R$1000,ROW(),$S$5:$S$1000,"Sub"),$U20))</f>
        <v/>
      </c>
      <c r="Z20" s="70">
        <f>IF($S20="","",IF(N($T20)&gt;0,AVERAGEIFS($V$5:$V$1000,$R$5:$R$1000,ROW(),$S$5:$S$1000,"Sub"),$V20))</f>
        <v/>
      </c>
      <c r="AA20" s="70">
        <f>IF($S20="","",IF(N($T20)&gt;0,AVERAGEIFS($W$5:$W$1000,$R$5:$R$1000,ROW(),$S$5:$S$1000,"Sub"),$W20))</f>
        <v/>
      </c>
      <c r="AB20" s="70">
        <f>IF($S20="","",IF(N($T20)&gt;0,AVERAGEIFS($X$5:$X$1000,$R$5:$R$1000,ROW(),$S$5:$S$1000,"Sub"),$X20))</f>
        <v/>
      </c>
    </row>
    <row r="21">
      <c r="A21" s="61">
        <f>IF(NOT((COUNTA($B21:$K21)+COUNTA($N21))&gt;0),"",IF($S21="Macro",COUNTIFS($S$5:$S21,"Macro",$P$5:$P21,$P21),IF(N($R21)=0,"?",COUNTIFS(INDEX($S$5:$S$1000,1):INDEX($S$5:$S$1000,$R21-4),"Macro",INDEX($P$5:$P$1000,1):INDEX($P$5:$P$1000,$R21-4),INDEX($P$5:$P$1000,$R21-4))&amp;"."&amp;COUNTIFS($R$5:$R21,$R21,$S$5:$S21,"Sub"))))</f>
        <v/>
      </c>
      <c r="B21" s="62" t="n"/>
      <c r="C21" s="63" t="n"/>
      <c r="D21" s="62" t="n"/>
      <c r="E21" s="64" t="n"/>
      <c r="F21" s="64" t="n"/>
      <c r="G21" s="65" t="n"/>
      <c r="H21" s="66" t="n"/>
      <c r="I21" s="66" t="n"/>
      <c r="J21" s="66" t="n"/>
      <c r="K21" s="66" t="n"/>
      <c r="L21" s="67">
        <f>IF(NOT((COUNTA($B21:$K21)+COUNTA($N21))&gt;0),"",IF(N($T21)&gt;0,$AB21,IFERROR(LOOKUP(2,1/(H21:K21&lt;&gt;""),H21:K21),0)))</f>
        <v/>
      </c>
      <c r="M21" s="61">
        <f>IF(L21="","",IF(L21&gt;=1,"Completado",IF(L21&gt;0,"En curso","Pendiente")))</f>
        <v/>
      </c>
      <c r="N21" s="62" t="n"/>
      <c r="O21" s="68">
        <f>IF(NOT((COUNTA($B21:$K21)+COUNTA($N21))&gt;0),"",IF((IF(AND($S21="Macro",$B21=""),"Macroactividad vacía"&amp;" · ","")&amp;IF(AND($B21&lt;&gt;"",$C21&lt;&gt;""),"Escriba la subactividad en otra fila, debajo de su macroactividad"&amp;" · ","")&amp;IF(AND($S21="Sub",N($R21)=0),"Subactividad sin macroactividad arriba"&amp;" · ","")&amp;IF($D21="","Sin responsable"&amp;" · ","")&amp;IF($E21="","Sin fecha de inicio"&amp;" · ","")&amp;IF($F21="","Sin fecha límite"&amp;" · ","")&amp;IF(OR(AND($E21&lt;&gt;"",NOT(ISNUMBER($E21))),AND($F21&lt;&gt;"",NOT(ISNUMBER($F21)))),"Fecha no válida"&amp;" · ","")&amp;IF(AND(ISNUMBER($E21),ISNUMBER($F21),$E21&gt;$F21),"Inicio posterior a fecha límite"&amp;" · ","")&amp;IF(AND($S21="Macro",$G21=""),"Peso vacío"&amp;" · ","")&amp;IF(AND($S21="Macro",$G21&lt;&gt;"",OR(NOT(ISNUMBER($G21)),$G21&lt;=0,$G21&gt;1)),"Peso fuera de rango"&amp;" · ","")&amp;IF(AND($S21="Sub",$G21&lt;&gt;""),"Las subactividades no llevan peso"&amp;" · ","")&amp;IF(AND($S21="Macro",ABS(SUMIFS($G$5:$G$1000,$P$5:$P$1000,$P21,$S$5:$S$1000,"Macro")-1)&gt;0.0001),"Pesos del mes suman "&amp;TEXT(SUMIFS($G$5:$G$1000,$P$5:$P$1000,$P21,$S$5:$S$1000,"Macro"),"0%")&amp;" · ","")&amp;IF(AND(N($T21)&gt;0,COUNT($H21:$K21)&gt;0),"Con subactividades: deje vacías las semanas (se calculan solas)"&amp;" · ","")&amp;IF((COUNTIF($H21:$K21,"&gt;1")+COUNTIF($H21:$K21,"&lt;0")+COUNTA($H21:$K21)-COUNT($H21:$K21))&gt;0,"Avance fuera de rango 0-100%"&amp;" · ","")&amp;IF(OR(AND($I21&lt;&gt;"",$I21&lt;$H21),AND($J21&lt;&gt;"",$J21&lt;MAX($H21:$I21)),AND($K21&lt;&gt;"",$K21&lt;MAX($H21:$J21))),"Avance semanal decreciente"&amp;" · ","")&amp;IF(AND(ISNUMBER($F21),$F21&lt;FechaRef,N($L21)&lt;1),"Vencida"&amp;" · ","")&amp;IF(AND(ObsObligatoria="Sí",ISNUMBER($F21),$F21&lt;FechaRef,N($L21)&lt;1,$N21=""),"Vencida sin observación"&amp;" · ",""))="","✔ OK","⚠ "&amp;LEFT(IF(AND($S21="Macro",$B21=""),"Macroactividad vacía"&amp;" · ","")&amp;IF(AND($B21&lt;&gt;"",$C21&lt;&gt;""),"Escriba la subactividad en otra fila, debajo de su macroactividad"&amp;" · ","")&amp;IF(AND($S21="Sub",N($R21)=0),"Subactividad sin macroactividad arriba"&amp;" · ","")&amp;IF($D21="","Sin responsable"&amp;" · ","")&amp;IF($E21="","Sin fecha de inicio"&amp;" · ","")&amp;IF($F21="","Sin fecha límite"&amp;" · ","")&amp;IF(OR(AND($E21&lt;&gt;"",NOT(ISNUMBER($E21))),AND($F21&lt;&gt;"",NOT(ISNUMBER($F21)))),"Fecha no válida"&amp;" · ","")&amp;IF(AND(ISNUMBER($E21),ISNUMBER($F21),$E21&gt;$F21),"Inicio posterior a fecha límite"&amp;" · ","")&amp;IF(AND($S21="Macro",$G21=""),"Peso vacío"&amp;" · ","")&amp;IF(AND($S21="Macro",$G21&lt;&gt;"",OR(NOT(ISNUMBER($G21)),$G21&lt;=0,$G21&gt;1)),"Peso fuera de rango"&amp;" · ","")&amp;IF(AND($S21="Sub",$G21&lt;&gt;""),"Las subactividades no llevan peso"&amp;" · ","")&amp;IF(AND($S21="Macro",ABS(SUMIFS($G$5:$G$1000,$P$5:$P$1000,$P21,$S$5:$S$1000,"Macro")-1)&gt;0.0001),"Pesos del mes suman "&amp;TEXT(SUMIFS($G$5:$G$1000,$P$5:$P$1000,$P21,$S$5:$S$1000,"Macro"),"0%")&amp;" · ","")&amp;IF(AND(N($T21)&gt;0,COUNT($H21:$K21)&gt;0),"Con subactividades: deje vacías las semanas (se calculan solas)"&amp;" · ","")&amp;IF((COUNTIF($H21:$K21,"&gt;1")+COUNTIF($H21:$K21,"&lt;0")+COUNTA($H21:$K21)-COUNT($H21:$K21))&gt;0,"Avance fuera de rango 0-100%"&amp;" · ","")&amp;IF(OR(AND($I21&lt;&gt;"",$I21&lt;$H21),AND($J21&lt;&gt;"",$J21&lt;MAX($H21:$I21)),AND($K21&lt;&gt;"",$K21&lt;MAX($H21:$J21))),"Avance semanal decreciente"&amp;" · ","")&amp;IF(AND(ISNUMBER($F21),$F21&lt;FechaRef,N($L21)&lt;1),"Vencida"&amp;" · ","")&amp;IF(AND(ObsObligatoria="Sí",ISNUMBER($F21),$F21&lt;FechaRef,N($L21)&lt;1,$N21=""),"Vencida sin observación"&amp;" · ",""),LEN(IF(AND($S21="Macro",$B21=""),"Macroactividad vacía"&amp;" · ","")&amp;IF(AND($B21&lt;&gt;"",$C21&lt;&gt;""),"Escriba la subactividad en otra fila, debajo de su macroactividad"&amp;" · ","")&amp;IF(AND($S21="Sub",N($R21)=0),"Subactividad sin macroactividad arriba"&amp;" · ","")&amp;IF($D21="","Sin responsable"&amp;" · ","")&amp;IF($E21="","Sin fecha de inicio"&amp;" · ","")&amp;IF($F21="","Sin fecha límite"&amp;" · ","")&amp;IF(OR(AND($E21&lt;&gt;"",NOT(ISNUMBER($E21))),AND($F21&lt;&gt;"",NOT(ISNUMBER($F21)))),"Fecha no válida"&amp;" · ","")&amp;IF(AND(ISNUMBER($E21),ISNUMBER($F21),$E21&gt;$F21),"Inicio posterior a fecha límite"&amp;" · ","")&amp;IF(AND($S21="Macro",$G21=""),"Peso vacío"&amp;" · ","")&amp;IF(AND($S21="Macro",$G21&lt;&gt;"",OR(NOT(ISNUMBER($G21)),$G21&lt;=0,$G21&gt;1)),"Peso fuera de rango"&amp;" · ","")&amp;IF(AND($S21="Sub",$G21&lt;&gt;""),"Las subactividades no llevan peso"&amp;" · ","")&amp;IF(AND($S21="Macro",ABS(SUMIFS($G$5:$G$1000,$P$5:$P$1000,$P21,$S$5:$S$1000,"Macro")-1)&gt;0.0001),"Pesos del mes suman "&amp;TEXT(SUMIFS($G$5:$G$1000,$P$5:$P$1000,$P21,$S$5:$S$1000,"Macro"),"0%")&amp;" · ","")&amp;IF(AND(N($T21)&gt;0,COUNT($H21:$K21)&gt;0),"Con subactividades: deje vacías las semanas (se calculan solas)"&amp;" · ","")&amp;IF((COUNTIF($H21:$K21,"&gt;1")+COUNTIF($H21:$K21,"&lt;0")+COUNTA($H21:$K21)-COUNT($H21:$K21))&gt;0,"Avance fuera de rango 0-100%"&amp;" · ","")&amp;IF(OR(AND($I21&lt;&gt;"",$I21&lt;$H21),AND($J21&lt;&gt;"",$J21&lt;MAX($H21:$I21)),AND($K21&lt;&gt;"",$K21&lt;MAX($H21:$J21))),"Avance semanal decreciente"&amp;" · ","")&amp;IF(AND(ISNUMBER($F21),$F21&lt;FechaRef,N($L21)&lt;1),"Vencida"&amp;" · ","")&amp;IF(AND(ObsObligatoria="Sí",ISNUMBER($F21),$F21&lt;FechaRef,N($L21)&lt;1,$N21=""),"Vencida sin observación"&amp;" · ",""))-3)))</f>
        <v/>
      </c>
      <c r="P21" s="69">
        <f>IF(NOT((COUNTA($B21:$K21)+COUNTA($N21))&gt;0),"",IF(AND($S21="Sub",N($R21)&gt;0),IF(ISNUMBER(INDEX($E$5:$E$1000,$R21-4)),DATE(YEAR(INDEX($E$5:$E$1000,$R21-4)),MONTH(INDEX($E$5:$E$1000,$R21-4)),1),IF(ISNUMBER(INDEX($F$5:$F$1000,$R21-4)),DATE(YEAR(INDEX($F$5:$F$1000,$R21-4)),MONTH(INDEX($F$5:$F$1000,$R21-4)),1),MesCiclo)),IF(ISNUMBER($E21),DATE(YEAR($E21),MONTH($E21),1),IF(ISNUMBER($F21),DATE(YEAR($F21),MONTH($F21),1),MesCiclo))))</f>
        <v/>
      </c>
      <c r="Q21" s="70">
        <f>IF(OR($P21="",$P21&lt;&gt;MesCiclo),"",COUNTIF($P$5:$P21,MesCiclo))</f>
        <v/>
      </c>
      <c r="R21" s="70">
        <f>IF($S21="","",IF($S21="Macro",ROW(),IFERROR(LOOKUP(2,1/($S$5:$S21="Macro"),ROW($S$5:$S21)),0)))</f>
        <v/>
      </c>
      <c r="S21" s="70">
        <f>IF(NOT((COUNTA($B21:$K21)+COUNTA($N21))&gt;0),"",IF($B21&lt;&gt;"","Macro",IF($C21&lt;&gt;"","Sub","Macro")))</f>
        <v/>
      </c>
      <c r="T21" s="70">
        <f>IF($S21="Macro",COUNTIFS($R$5:$R$1000,ROW(),$S$5:$S$1000,"Sub"),"")</f>
        <v/>
      </c>
      <c r="U21" s="70">
        <f>IF($S21="","",IF(ISNUMBER($H21),$H21,0))</f>
        <v/>
      </c>
      <c r="V21" s="70">
        <f>IF($S21="","",IF(ISNUMBER($I21),$I21,$U21))</f>
        <v/>
      </c>
      <c r="W21" s="70">
        <f>IF($S21="","",IF(ISNUMBER($J21),$J21,$V21))</f>
        <v/>
      </c>
      <c r="X21" s="70">
        <f>IF($S21="","",IF(ISNUMBER($K21),$K21,$W21))</f>
        <v/>
      </c>
      <c r="Y21" s="70">
        <f>IF($S21="","",IF(N($T21)&gt;0,AVERAGEIFS($U$5:$U$1000,$R$5:$R$1000,ROW(),$S$5:$S$1000,"Sub"),$U21))</f>
        <v/>
      </c>
      <c r="Z21" s="70">
        <f>IF($S21="","",IF(N($T21)&gt;0,AVERAGEIFS($V$5:$V$1000,$R$5:$R$1000,ROW(),$S$5:$S$1000,"Sub"),$V21))</f>
        <v/>
      </c>
      <c r="AA21" s="70">
        <f>IF($S21="","",IF(N($T21)&gt;0,AVERAGEIFS($W$5:$W$1000,$R$5:$R$1000,ROW(),$S$5:$S$1000,"Sub"),$W21))</f>
        <v/>
      </c>
      <c r="AB21" s="70">
        <f>IF($S21="","",IF(N($T21)&gt;0,AVERAGEIFS($X$5:$X$1000,$R$5:$R$1000,ROW(),$S$5:$S$1000,"Sub"),$X21))</f>
        <v/>
      </c>
    </row>
    <row r="22">
      <c r="A22" s="61">
        <f>IF(NOT((COUNTA($B22:$K22)+COUNTA($N22))&gt;0),"",IF($S22="Macro",COUNTIFS($S$5:$S22,"Macro",$P$5:$P22,$P22),IF(N($R22)=0,"?",COUNTIFS(INDEX($S$5:$S$1000,1):INDEX($S$5:$S$1000,$R22-4),"Macro",INDEX($P$5:$P$1000,1):INDEX($P$5:$P$1000,$R22-4),INDEX($P$5:$P$1000,$R22-4))&amp;"."&amp;COUNTIFS($R$5:$R22,$R22,$S$5:$S22,"Sub"))))</f>
        <v/>
      </c>
      <c r="B22" s="62" t="n"/>
      <c r="C22" s="63" t="n"/>
      <c r="D22" s="62" t="n"/>
      <c r="E22" s="64" t="n"/>
      <c r="F22" s="64" t="n"/>
      <c r="G22" s="65" t="n"/>
      <c r="H22" s="66" t="n"/>
      <c r="I22" s="66" t="n"/>
      <c r="J22" s="66" t="n"/>
      <c r="K22" s="66" t="n"/>
      <c r="L22" s="67">
        <f>IF(NOT((COUNTA($B22:$K22)+COUNTA($N22))&gt;0),"",IF(N($T22)&gt;0,$AB22,IFERROR(LOOKUP(2,1/(H22:K22&lt;&gt;""),H22:K22),0)))</f>
        <v/>
      </c>
      <c r="M22" s="61">
        <f>IF(L22="","",IF(L22&gt;=1,"Completado",IF(L22&gt;0,"En curso","Pendiente")))</f>
        <v/>
      </c>
      <c r="N22" s="62" t="n"/>
      <c r="O22" s="68">
        <f>IF(NOT((COUNTA($B22:$K22)+COUNTA($N22))&gt;0),"",IF((IF(AND($S22="Macro",$B22=""),"Macroactividad vacía"&amp;" · ","")&amp;IF(AND($B22&lt;&gt;"",$C22&lt;&gt;""),"Escriba la subactividad en otra fila, debajo de su macroactividad"&amp;" · ","")&amp;IF(AND($S22="Sub",N($R22)=0),"Subactividad sin macroactividad arriba"&amp;" · ","")&amp;IF($D22="","Sin responsable"&amp;" · ","")&amp;IF($E22="","Sin fecha de inicio"&amp;" · ","")&amp;IF($F22="","Sin fecha límite"&amp;" · ","")&amp;IF(OR(AND($E22&lt;&gt;"",NOT(ISNUMBER($E22))),AND($F22&lt;&gt;"",NOT(ISNUMBER($F22)))),"Fecha no válida"&amp;" · ","")&amp;IF(AND(ISNUMBER($E22),ISNUMBER($F22),$E22&gt;$F22),"Inicio posterior a fecha límite"&amp;" · ","")&amp;IF(AND($S22="Macro",$G22=""),"Peso vacío"&amp;" · ","")&amp;IF(AND($S22="Macro",$G22&lt;&gt;"",OR(NOT(ISNUMBER($G22)),$G22&lt;=0,$G22&gt;1)),"Peso fuera de rango"&amp;" · ","")&amp;IF(AND($S22="Sub",$G22&lt;&gt;""),"Las subactividades no llevan peso"&amp;" · ","")&amp;IF(AND($S22="Macro",ABS(SUMIFS($G$5:$G$1000,$P$5:$P$1000,$P22,$S$5:$S$1000,"Macro")-1)&gt;0.0001),"Pesos del mes suman "&amp;TEXT(SUMIFS($G$5:$G$1000,$P$5:$P$1000,$P22,$S$5:$S$1000,"Macro"),"0%")&amp;" · ","")&amp;IF(AND(N($T22)&gt;0,COUNT($H22:$K22)&gt;0),"Con subactividades: deje vacías las semanas (se calculan solas)"&amp;" · ","")&amp;IF((COUNTIF($H22:$K22,"&gt;1")+COUNTIF($H22:$K22,"&lt;0")+COUNTA($H22:$K22)-COUNT($H22:$K22))&gt;0,"Avance fuera de rango 0-100%"&amp;" · ","")&amp;IF(OR(AND($I22&lt;&gt;"",$I22&lt;$H22),AND($J22&lt;&gt;"",$J22&lt;MAX($H22:$I22)),AND($K22&lt;&gt;"",$K22&lt;MAX($H22:$J22))),"Avance semanal decreciente"&amp;" · ","")&amp;IF(AND(ISNUMBER($F22),$F22&lt;FechaRef,N($L22)&lt;1),"Vencida"&amp;" · ","")&amp;IF(AND(ObsObligatoria="Sí",ISNUMBER($F22),$F22&lt;FechaRef,N($L22)&lt;1,$N22=""),"Vencida sin observación"&amp;" · ",""))="","✔ OK","⚠ "&amp;LEFT(IF(AND($S22="Macro",$B22=""),"Macroactividad vacía"&amp;" · ","")&amp;IF(AND($B22&lt;&gt;"",$C22&lt;&gt;""),"Escriba la subactividad en otra fila, debajo de su macroactividad"&amp;" · ","")&amp;IF(AND($S22="Sub",N($R22)=0),"Subactividad sin macroactividad arriba"&amp;" · ","")&amp;IF($D22="","Sin responsable"&amp;" · ","")&amp;IF($E22="","Sin fecha de inicio"&amp;" · ","")&amp;IF($F22="","Sin fecha límite"&amp;" · ","")&amp;IF(OR(AND($E22&lt;&gt;"",NOT(ISNUMBER($E22))),AND($F22&lt;&gt;"",NOT(ISNUMBER($F22)))),"Fecha no válida"&amp;" · ","")&amp;IF(AND(ISNUMBER($E22),ISNUMBER($F22),$E22&gt;$F22),"Inicio posterior a fecha límite"&amp;" · ","")&amp;IF(AND($S22="Macro",$G22=""),"Peso vacío"&amp;" · ","")&amp;IF(AND($S22="Macro",$G22&lt;&gt;"",OR(NOT(ISNUMBER($G22)),$G22&lt;=0,$G22&gt;1)),"Peso fuera de rango"&amp;" · ","")&amp;IF(AND($S22="Sub",$G22&lt;&gt;""),"Las subactividades no llevan peso"&amp;" · ","")&amp;IF(AND($S22="Macro",ABS(SUMIFS($G$5:$G$1000,$P$5:$P$1000,$P22,$S$5:$S$1000,"Macro")-1)&gt;0.0001),"Pesos del mes suman "&amp;TEXT(SUMIFS($G$5:$G$1000,$P$5:$P$1000,$P22,$S$5:$S$1000,"Macro"),"0%")&amp;" · ","")&amp;IF(AND(N($T22)&gt;0,COUNT($H22:$K22)&gt;0),"Con subactividades: deje vacías las semanas (se calculan solas)"&amp;" · ","")&amp;IF((COUNTIF($H22:$K22,"&gt;1")+COUNTIF($H22:$K22,"&lt;0")+COUNTA($H22:$K22)-COUNT($H22:$K22))&gt;0,"Avance fuera de rango 0-100%"&amp;" · ","")&amp;IF(OR(AND($I22&lt;&gt;"",$I22&lt;$H22),AND($J22&lt;&gt;"",$J22&lt;MAX($H22:$I22)),AND($K22&lt;&gt;"",$K22&lt;MAX($H22:$J22))),"Avance semanal decreciente"&amp;" · ","")&amp;IF(AND(ISNUMBER($F22),$F22&lt;FechaRef,N($L22)&lt;1),"Vencida"&amp;" · ","")&amp;IF(AND(ObsObligatoria="Sí",ISNUMBER($F22),$F22&lt;FechaRef,N($L22)&lt;1,$N22=""),"Vencida sin observación"&amp;" · ",""),LEN(IF(AND($S22="Macro",$B22=""),"Macroactividad vacía"&amp;" · ","")&amp;IF(AND($B22&lt;&gt;"",$C22&lt;&gt;""),"Escriba la subactividad en otra fila, debajo de su macroactividad"&amp;" · ","")&amp;IF(AND($S22="Sub",N($R22)=0),"Subactividad sin macroactividad arriba"&amp;" · ","")&amp;IF($D22="","Sin responsable"&amp;" · ","")&amp;IF($E22="","Sin fecha de inicio"&amp;" · ","")&amp;IF($F22="","Sin fecha límite"&amp;" · ","")&amp;IF(OR(AND($E22&lt;&gt;"",NOT(ISNUMBER($E22))),AND($F22&lt;&gt;"",NOT(ISNUMBER($F22)))),"Fecha no válida"&amp;" · ","")&amp;IF(AND(ISNUMBER($E22),ISNUMBER($F22),$E22&gt;$F22),"Inicio posterior a fecha límite"&amp;" · ","")&amp;IF(AND($S22="Macro",$G22=""),"Peso vacío"&amp;" · ","")&amp;IF(AND($S22="Macro",$G22&lt;&gt;"",OR(NOT(ISNUMBER($G22)),$G22&lt;=0,$G22&gt;1)),"Peso fuera de rango"&amp;" · ","")&amp;IF(AND($S22="Sub",$G22&lt;&gt;""),"Las subactividades no llevan peso"&amp;" · ","")&amp;IF(AND($S22="Macro",ABS(SUMIFS($G$5:$G$1000,$P$5:$P$1000,$P22,$S$5:$S$1000,"Macro")-1)&gt;0.0001),"Pesos del mes suman "&amp;TEXT(SUMIFS($G$5:$G$1000,$P$5:$P$1000,$P22,$S$5:$S$1000,"Macro"),"0%")&amp;" · ","")&amp;IF(AND(N($T22)&gt;0,COUNT($H22:$K22)&gt;0),"Con subactividades: deje vacías las semanas (se calculan solas)"&amp;" · ","")&amp;IF((COUNTIF($H22:$K22,"&gt;1")+COUNTIF($H22:$K22,"&lt;0")+COUNTA($H22:$K22)-COUNT($H22:$K22))&gt;0,"Avance fuera de rango 0-100%"&amp;" · ","")&amp;IF(OR(AND($I22&lt;&gt;"",$I22&lt;$H22),AND($J22&lt;&gt;"",$J22&lt;MAX($H22:$I22)),AND($K22&lt;&gt;"",$K22&lt;MAX($H22:$J22))),"Avance semanal decreciente"&amp;" · ","")&amp;IF(AND(ISNUMBER($F22),$F22&lt;FechaRef,N($L22)&lt;1),"Vencida"&amp;" · ","")&amp;IF(AND(ObsObligatoria="Sí",ISNUMBER($F22),$F22&lt;FechaRef,N($L22)&lt;1,$N22=""),"Vencida sin observación"&amp;" · ",""))-3)))</f>
        <v/>
      </c>
      <c r="P22" s="69">
        <f>IF(NOT((COUNTA($B22:$K22)+COUNTA($N22))&gt;0),"",IF(AND($S22="Sub",N($R22)&gt;0),IF(ISNUMBER(INDEX($E$5:$E$1000,$R22-4)),DATE(YEAR(INDEX($E$5:$E$1000,$R22-4)),MONTH(INDEX($E$5:$E$1000,$R22-4)),1),IF(ISNUMBER(INDEX($F$5:$F$1000,$R22-4)),DATE(YEAR(INDEX($F$5:$F$1000,$R22-4)),MONTH(INDEX($F$5:$F$1000,$R22-4)),1),MesCiclo)),IF(ISNUMBER($E22),DATE(YEAR($E22),MONTH($E22),1),IF(ISNUMBER($F22),DATE(YEAR($F22),MONTH($F22),1),MesCiclo))))</f>
        <v/>
      </c>
      <c r="Q22" s="70">
        <f>IF(OR($P22="",$P22&lt;&gt;MesCiclo),"",COUNTIF($P$5:$P22,MesCiclo))</f>
        <v/>
      </c>
      <c r="R22" s="70">
        <f>IF($S22="","",IF($S22="Macro",ROW(),IFERROR(LOOKUP(2,1/($S$5:$S22="Macro"),ROW($S$5:$S22)),0)))</f>
        <v/>
      </c>
      <c r="S22" s="70">
        <f>IF(NOT((COUNTA($B22:$K22)+COUNTA($N22))&gt;0),"",IF($B22&lt;&gt;"","Macro",IF($C22&lt;&gt;"","Sub","Macro")))</f>
        <v/>
      </c>
      <c r="T22" s="70">
        <f>IF($S22="Macro",COUNTIFS($R$5:$R$1000,ROW(),$S$5:$S$1000,"Sub"),"")</f>
        <v/>
      </c>
      <c r="U22" s="70">
        <f>IF($S22="","",IF(ISNUMBER($H22),$H22,0))</f>
        <v/>
      </c>
      <c r="V22" s="70">
        <f>IF($S22="","",IF(ISNUMBER($I22),$I22,$U22))</f>
        <v/>
      </c>
      <c r="W22" s="70">
        <f>IF($S22="","",IF(ISNUMBER($J22),$J22,$V22))</f>
        <v/>
      </c>
      <c r="X22" s="70">
        <f>IF($S22="","",IF(ISNUMBER($K22),$K22,$W22))</f>
        <v/>
      </c>
      <c r="Y22" s="70">
        <f>IF($S22="","",IF(N($T22)&gt;0,AVERAGEIFS($U$5:$U$1000,$R$5:$R$1000,ROW(),$S$5:$S$1000,"Sub"),$U22))</f>
        <v/>
      </c>
      <c r="Z22" s="70">
        <f>IF($S22="","",IF(N($T22)&gt;0,AVERAGEIFS($V$5:$V$1000,$R$5:$R$1000,ROW(),$S$5:$S$1000,"Sub"),$V22))</f>
        <v/>
      </c>
      <c r="AA22" s="70">
        <f>IF($S22="","",IF(N($T22)&gt;0,AVERAGEIFS($W$5:$W$1000,$R$5:$R$1000,ROW(),$S$5:$S$1000,"Sub"),$W22))</f>
        <v/>
      </c>
      <c r="AB22" s="70">
        <f>IF($S22="","",IF(N($T22)&gt;0,AVERAGEIFS($X$5:$X$1000,$R$5:$R$1000,ROW(),$S$5:$S$1000,"Sub"),$X22))</f>
        <v/>
      </c>
    </row>
    <row r="23">
      <c r="A23" s="61">
        <f>IF(NOT((COUNTA($B23:$K23)+COUNTA($N23))&gt;0),"",IF($S23="Macro",COUNTIFS($S$5:$S23,"Macro",$P$5:$P23,$P23),IF(N($R23)=0,"?",COUNTIFS(INDEX($S$5:$S$1000,1):INDEX($S$5:$S$1000,$R23-4),"Macro",INDEX($P$5:$P$1000,1):INDEX($P$5:$P$1000,$R23-4),INDEX($P$5:$P$1000,$R23-4))&amp;"."&amp;COUNTIFS($R$5:$R23,$R23,$S$5:$S23,"Sub"))))</f>
        <v/>
      </c>
      <c r="B23" s="62" t="n"/>
      <c r="C23" s="63" t="n"/>
      <c r="D23" s="62" t="n"/>
      <c r="E23" s="64" t="n"/>
      <c r="F23" s="64" t="n"/>
      <c r="G23" s="65" t="n"/>
      <c r="H23" s="66" t="n"/>
      <c r="I23" s="66" t="n"/>
      <c r="J23" s="66" t="n"/>
      <c r="K23" s="66" t="n"/>
      <c r="L23" s="67">
        <f>IF(NOT((COUNTA($B23:$K23)+COUNTA($N23))&gt;0),"",IF(N($T23)&gt;0,$AB23,IFERROR(LOOKUP(2,1/(H23:K23&lt;&gt;""),H23:K23),0)))</f>
        <v/>
      </c>
      <c r="M23" s="61">
        <f>IF(L23="","",IF(L23&gt;=1,"Completado",IF(L23&gt;0,"En curso","Pendiente")))</f>
        <v/>
      </c>
      <c r="N23" s="62" t="n"/>
      <c r="O23" s="68">
        <f>IF(NOT((COUNTA($B23:$K23)+COUNTA($N23))&gt;0),"",IF((IF(AND($S23="Macro",$B23=""),"Macroactividad vacía"&amp;" · ","")&amp;IF(AND($B23&lt;&gt;"",$C23&lt;&gt;""),"Escriba la subactividad en otra fila, debajo de su macroactividad"&amp;" · ","")&amp;IF(AND($S23="Sub",N($R23)=0),"Subactividad sin macroactividad arriba"&amp;" · ","")&amp;IF($D23="","Sin responsable"&amp;" · ","")&amp;IF($E23="","Sin fecha de inicio"&amp;" · ","")&amp;IF($F23="","Sin fecha límite"&amp;" · ","")&amp;IF(OR(AND($E23&lt;&gt;"",NOT(ISNUMBER($E23))),AND($F23&lt;&gt;"",NOT(ISNUMBER($F23)))),"Fecha no válida"&amp;" · ","")&amp;IF(AND(ISNUMBER($E23),ISNUMBER($F23),$E23&gt;$F23),"Inicio posterior a fecha límite"&amp;" · ","")&amp;IF(AND($S23="Macro",$G23=""),"Peso vacío"&amp;" · ","")&amp;IF(AND($S23="Macro",$G23&lt;&gt;"",OR(NOT(ISNUMBER($G23)),$G23&lt;=0,$G23&gt;1)),"Peso fuera de rango"&amp;" · ","")&amp;IF(AND($S23="Sub",$G23&lt;&gt;""),"Las subactividades no llevan peso"&amp;" · ","")&amp;IF(AND($S23="Macro",ABS(SUMIFS($G$5:$G$1000,$P$5:$P$1000,$P23,$S$5:$S$1000,"Macro")-1)&gt;0.0001),"Pesos del mes suman "&amp;TEXT(SUMIFS($G$5:$G$1000,$P$5:$P$1000,$P23,$S$5:$S$1000,"Macro"),"0%")&amp;" · ","")&amp;IF(AND(N($T23)&gt;0,COUNT($H23:$K23)&gt;0),"Con subactividades: deje vacías las semanas (se calculan solas)"&amp;" · ","")&amp;IF((COUNTIF($H23:$K23,"&gt;1")+COUNTIF($H23:$K23,"&lt;0")+COUNTA($H23:$K23)-COUNT($H23:$K23))&gt;0,"Avance fuera de rango 0-100%"&amp;" · ","")&amp;IF(OR(AND($I23&lt;&gt;"",$I23&lt;$H23),AND($J23&lt;&gt;"",$J23&lt;MAX($H23:$I23)),AND($K23&lt;&gt;"",$K23&lt;MAX($H23:$J23))),"Avance semanal decreciente"&amp;" · ","")&amp;IF(AND(ISNUMBER($F23),$F23&lt;FechaRef,N($L23)&lt;1),"Vencida"&amp;" · ","")&amp;IF(AND(ObsObligatoria="Sí",ISNUMBER($F23),$F23&lt;FechaRef,N($L23)&lt;1,$N23=""),"Vencida sin observación"&amp;" · ",""))="","✔ OK","⚠ "&amp;LEFT(IF(AND($S23="Macro",$B23=""),"Macroactividad vacía"&amp;" · ","")&amp;IF(AND($B23&lt;&gt;"",$C23&lt;&gt;""),"Escriba la subactividad en otra fila, debajo de su macroactividad"&amp;" · ","")&amp;IF(AND($S23="Sub",N($R23)=0),"Subactividad sin macroactividad arriba"&amp;" · ","")&amp;IF($D23="","Sin responsable"&amp;" · ","")&amp;IF($E23="","Sin fecha de inicio"&amp;" · ","")&amp;IF($F23="","Sin fecha límite"&amp;" · ","")&amp;IF(OR(AND($E23&lt;&gt;"",NOT(ISNUMBER($E23))),AND($F23&lt;&gt;"",NOT(ISNUMBER($F23)))),"Fecha no válida"&amp;" · ","")&amp;IF(AND(ISNUMBER($E23),ISNUMBER($F23),$E23&gt;$F23),"Inicio posterior a fecha límite"&amp;" · ","")&amp;IF(AND($S23="Macro",$G23=""),"Peso vacío"&amp;" · ","")&amp;IF(AND($S23="Macro",$G23&lt;&gt;"",OR(NOT(ISNUMBER($G23)),$G23&lt;=0,$G23&gt;1)),"Peso fuera de rango"&amp;" · ","")&amp;IF(AND($S23="Sub",$G23&lt;&gt;""),"Las subactividades no llevan peso"&amp;" · ","")&amp;IF(AND($S23="Macro",ABS(SUMIFS($G$5:$G$1000,$P$5:$P$1000,$P23,$S$5:$S$1000,"Macro")-1)&gt;0.0001),"Pesos del mes suman "&amp;TEXT(SUMIFS($G$5:$G$1000,$P$5:$P$1000,$P23,$S$5:$S$1000,"Macro"),"0%")&amp;" · ","")&amp;IF(AND(N($T23)&gt;0,COUNT($H23:$K23)&gt;0),"Con subactividades: deje vacías las semanas (se calculan solas)"&amp;" · ","")&amp;IF((COUNTIF($H23:$K23,"&gt;1")+COUNTIF($H23:$K23,"&lt;0")+COUNTA($H23:$K23)-COUNT($H23:$K23))&gt;0,"Avance fuera de rango 0-100%"&amp;" · ","")&amp;IF(OR(AND($I23&lt;&gt;"",$I23&lt;$H23),AND($J23&lt;&gt;"",$J23&lt;MAX($H23:$I23)),AND($K23&lt;&gt;"",$K23&lt;MAX($H23:$J23))),"Avance semanal decreciente"&amp;" · ","")&amp;IF(AND(ISNUMBER($F23),$F23&lt;FechaRef,N($L23)&lt;1),"Vencida"&amp;" · ","")&amp;IF(AND(ObsObligatoria="Sí",ISNUMBER($F23),$F23&lt;FechaRef,N($L23)&lt;1,$N23=""),"Vencida sin observación"&amp;" · ",""),LEN(IF(AND($S23="Macro",$B23=""),"Macroactividad vacía"&amp;" · ","")&amp;IF(AND($B23&lt;&gt;"",$C23&lt;&gt;""),"Escriba la subactividad en otra fila, debajo de su macroactividad"&amp;" · ","")&amp;IF(AND($S23="Sub",N($R23)=0),"Subactividad sin macroactividad arriba"&amp;" · ","")&amp;IF($D23="","Sin responsable"&amp;" · ","")&amp;IF($E23="","Sin fecha de inicio"&amp;" · ","")&amp;IF($F23="","Sin fecha límite"&amp;" · ","")&amp;IF(OR(AND($E23&lt;&gt;"",NOT(ISNUMBER($E23))),AND($F23&lt;&gt;"",NOT(ISNUMBER($F23)))),"Fecha no válida"&amp;" · ","")&amp;IF(AND(ISNUMBER($E23),ISNUMBER($F23),$E23&gt;$F23),"Inicio posterior a fecha límite"&amp;" · ","")&amp;IF(AND($S23="Macro",$G23=""),"Peso vacío"&amp;" · ","")&amp;IF(AND($S23="Macro",$G23&lt;&gt;"",OR(NOT(ISNUMBER($G23)),$G23&lt;=0,$G23&gt;1)),"Peso fuera de rango"&amp;" · ","")&amp;IF(AND($S23="Sub",$G23&lt;&gt;""),"Las subactividades no llevan peso"&amp;" · ","")&amp;IF(AND($S23="Macro",ABS(SUMIFS($G$5:$G$1000,$P$5:$P$1000,$P23,$S$5:$S$1000,"Macro")-1)&gt;0.0001),"Pesos del mes suman "&amp;TEXT(SUMIFS($G$5:$G$1000,$P$5:$P$1000,$P23,$S$5:$S$1000,"Macro"),"0%")&amp;" · ","")&amp;IF(AND(N($T23)&gt;0,COUNT($H23:$K23)&gt;0),"Con subactividades: deje vacías las semanas (se calculan solas)"&amp;" · ","")&amp;IF((COUNTIF($H23:$K23,"&gt;1")+COUNTIF($H23:$K23,"&lt;0")+COUNTA($H23:$K23)-COUNT($H23:$K23))&gt;0,"Avance fuera de rango 0-100%"&amp;" · ","")&amp;IF(OR(AND($I23&lt;&gt;"",$I23&lt;$H23),AND($J23&lt;&gt;"",$J23&lt;MAX($H23:$I23)),AND($K23&lt;&gt;"",$K23&lt;MAX($H23:$J23))),"Avance semanal decreciente"&amp;" · ","")&amp;IF(AND(ISNUMBER($F23),$F23&lt;FechaRef,N($L23)&lt;1),"Vencida"&amp;" · ","")&amp;IF(AND(ObsObligatoria="Sí",ISNUMBER($F23),$F23&lt;FechaRef,N($L23)&lt;1,$N23=""),"Vencida sin observación"&amp;" · ",""))-3)))</f>
        <v/>
      </c>
      <c r="P23" s="69">
        <f>IF(NOT((COUNTA($B23:$K23)+COUNTA($N23))&gt;0),"",IF(AND($S23="Sub",N($R23)&gt;0),IF(ISNUMBER(INDEX($E$5:$E$1000,$R23-4)),DATE(YEAR(INDEX($E$5:$E$1000,$R23-4)),MONTH(INDEX($E$5:$E$1000,$R23-4)),1),IF(ISNUMBER(INDEX($F$5:$F$1000,$R23-4)),DATE(YEAR(INDEX($F$5:$F$1000,$R23-4)),MONTH(INDEX($F$5:$F$1000,$R23-4)),1),MesCiclo)),IF(ISNUMBER($E23),DATE(YEAR($E23),MONTH($E23),1),IF(ISNUMBER($F23),DATE(YEAR($F23),MONTH($F23),1),MesCiclo))))</f>
        <v/>
      </c>
      <c r="Q23" s="70">
        <f>IF(OR($P23="",$P23&lt;&gt;MesCiclo),"",COUNTIF($P$5:$P23,MesCiclo))</f>
        <v/>
      </c>
      <c r="R23" s="70">
        <f>IF($S23="","",IF($S23="Macro",ROW(),IFERROR(LOOKUP(2,1/($S$5:$S23="Macro"),ROW($S$5:$S23)),0)))</f>
        <v/>
      </c>
      <c r="S23" s="70">
        <f>IF(NOT((COUNTA($B23:$K23)+COUNTA($N23))&gt;0),"",IF($B23&lt;&gt;"","Macro",IF($C23&lt;&gt;"","Sub","Macro")))</f>
        <v/>
      </c>
      <c r="T23" s="70">
        <f>IF($S23="Macro",COUNTIFS($R$5:$R$1000,ROW(),$S$5:$S$1000,"Sub"),"")</f>
        <v/>
      </c>
      <c r="U23" s="70">
        <f>IF($S23="","",IF(ISNUMBER($H23),$H23,0))</f>
        <v/>
      </c>
      <c r="V23" s="70">
        <f>IF($S23="","",IF(ISNUMBER($I23),$I23,$U23))</f>
        <v/>
      </c>
      <c r="W23" s="70">
        <f>IF($S23="","",IF(ISNUMBER($J23),$J23,$V23))</f>
        <v/>
      </c>
      <c r="X23" s="70">
        <f>IF($S23="","",IF(ISNUMBER($K23),$K23,$W23))</f>
        <v/>
      </c>
      <c r="Y23" s="70">
        <f>IF($S23="","",IF(N($T23)&gt;0,AVERAGEIFS($U$5:$U$1000,$R$5:$R$1000,ROW(),$S$5:$S$1000,"Sub"),$U23))</f>
        <v/>
      </c>
      <c r="Z23" s="70">
        <f>IF($S23="","",IF(N($T23)&gt;0,AVERAGEIFS($V$5:$V$1000,$R$5:$R$1000,ROW(),$S$5:$S$1000,"Sub"),$V23))</f>
        <v/>
      </c>
      <c r="AA23" s="70">
        <f>IF($S23="","",IF(N($T23)&gt;0,AVERAGEIFS($W$5:$W$1000,$R$5:$R$1000,ROW(),$S$5:$S$1000,"Sub"),$W23))</f>
        <v/>
      </c>
      <c r="AB23" s="70">
        <f>IF($S23="","",IF(N($T23)&gt;0,AVERAGEIFS($X$5:$X$1000,$R$5:$R$1000,ROW(),$S$5:$S$1000,"Sub"),$X23))</f>
        <v/>
      </c>
    </row>
    <row r="24">
      <c r="A24" s="61">
        <f>IF(NOT((COUNTA($B24:$K24)+COUNTA($N24))&gt;0),"",IF($S24="Macro",COUNTIFS($S$5:$S24,"Macro",$P$5:$P24,$P24),IF(N($R24)=0,"?",COUNTIFS(INDEX($S$5:$S$1000,1):INDEX($S$5:$S$1000,$R24-4),"Macro",INDEX($P$5:$P$1000,1):INDEX($P$5:$P$1000,$R24-4),INDEX($P$5:$P$1000,$R24-4))&amp;"."&amp;COUNTIFS($R$5:$R24,$R24,$S$5:$S24,"Sub"))))</f>
        <v/>
      </c>
      <c r="B24" s="62" t="n"/>
      <c r="C24" s="63" t="n"/>
      <c r="D24" s="62" t="n"/>
      <c r="E24" s="64" t="n"/>
      <c r="F24" s="64" t="n"/>
      <c r="G24" s="65" t="n"/>
      <c r="H24" s="66" t="n"/>
      <c r="I24" s="66" t="n"/>
      <c r="J24" s="66" t="n"/>
      <c r="K24" s="66" t="n"/>
      <c r="L24" s="67">
        <f>IF(NOT((COUNTA($B24:$K24)+COUNTA($N24))&gt;0),"",IF(N($T24)&gt;0,$AB24,IFERROR(LOOKUP(2,1/(H24:K24&lt;&gt;""),H24:K24),0)))</f>
        <v/>
      </c>
      <c r="M24" s="61">
        <f>IF(L24="","",IF(L24&gt;=1,"Completado",IF(L24&gt;0,"En curso","Pendiente")))</f>
        <v/>
      </c>
      <c r="N24" s="62" t="n"/>
      <c r="O24" s="68">
        <f>IF(NOT((COUNTA($B24:$K24)+COUNTA($N24))&gt;0),"",IF((IF(AND($S24="Macro",$B24=""),"Macroactividad vacía"&amp;" · ","")&amp;IF(AND($B24&lt;&gt;"",$C24&lt;&gt;""),"Escriba la subactividad en otra fila, debajo de su macroactividad"&amp;" · ","")&amp;IF(AND($S24="Sub",N($R24)=0),"Subactividad sin macroactividad arriba"&amp;" · ","")&amp;IF($D24="","Sin responsable"&amp;" · ","")&amp;IF($E24="","Sin fecha de inicio"&amp;" · ","")&amp;IF($F24="","Sin fecha límite"&amp;" · ","")&amp;IF(OR(AND($E24&lt;&gt;"",NOT(ISNUMBER($E24))),AND($F24&lt;&gt;"",NOT(ISNUMBER($F24)))),"Fecha no válida"&amp;" · ","")&amp;IF(AND(ISNUMBER($E24),ISNUMBER($F24),$E24&gt;$F24),"Inicio posterior a fecha límite"&amp;" · ","")&amp;IF(AND($S24="Macro",$G24=""),"Peso vacío"&amp;" · ","")&amp;IF(AND($S24="Macro",$G24&lt;&gt;"",OR(NOT(ISNUMBER($G24)),$G24&lt;=0,$G24&gt;1)),"Peso fuera de rango"&amp;" · ","")&amp;IF(AND($S24="Sub",$G24&lt;&gt;""),"Las subactividades no llevan peso"&amp;" · ","")&amp;IF(AND($S24="Macro",ABS(SUMIFS($G$5:$G$1000,$P$5:$P$1000,$P24,$S$5:$S$1000,"Macro")-1)&gt;0.0001),"Pesos del mes suman "&amp;TEXT(SUMIFS($G$5:$G$1000,$P$5:$P$1000,$P24,$S$5:$S$1000,"Macro"),"0%")&amp;" · ","")&amp;IF(AND(N($T24)&gt;0,COUNT($H24:$K24)&gt;0),"Con subactividades: deje vacías las semanas (se calculan solas)"&amp;" · ","")&amp;IF((COUNTIF($H24:$K24,"&gt;1")+COUNTIF($H24:$K24,"&lt;0")+COUNTA($H24:$K24)-COUNT($H24:$K24))&gt;0,"Avance fuera de rango 0-100%"&amp;" · ","")&amp;IF(OR(AND($I24&lt;&gt;"",$I24&lt;$H24),AND($J24&lt;&gt;"",$J24&lt;MAX($H24:$I24)),AND($K24&lt;&gt;"",$K24&lt;MAX($H24:$J24))),"Avance semanal decreciente"&amp;" · ","")&amp;IF(AND(ISNUMBER($F24),$F24&lt;FechaRef,N($L24)&lt;1),"Vencida"&amp;" · ","")&amp;IF(AND(ObsObligatoria="Sí",ISNUMBER($F24),$F24&lt;FechaRef,N($L24)&lt;1,$N24=""),"Vencida sin observación"&amp;" · ",""))="","✔ OK","⚠ "&amp;LEFT(IF(AND($S24="Macro",$B24=""),"Macroactividad vacía"&amp;" · ","")&amp;IF(AND($B24&lt;&gt;"",$C24&lt;&gt;""),"Escriba la subactividad en otra fila, debajo de su macroactividad"&amp;" · ","")&amp;IF(AND($S24="Sub",N($R24)=0),"Subactividad sin macroactividad arriba"&amp;" · ","")&amp;IF($D24="","Sin responsable"&amp;" · ","")&amp;IF($E24="","Sin fecha de inicio"&amp;" · ","")&amp;IF($F24="","Sin fecha límite"&amp;" · ","")&amp;IF(OR(AND($E24&lt;&gt;"",NOT(ISNUMBER($E24))),AND($F24&lt;&gt;"",NOT(ISNUMBER($F24)))),"Fecha no válida"&amp;" · ","")&amp;IF(AND(ISNUMBER($E24),ISNUMBER($F24),$E24&gt;$F24),"Inicio posterior a fecha límite"&amp;" · ","")&amp;IF(AND($S24="Macro",$G24=""),"Peso vacío"&amp;" · ","")&amp;IF(AND($S24="Macro",$G24&lt;&gt;"",OR(NOT(ISNUMBER($G24)),$G24&lt;=0,$G24&gt;1)),"Peso fuera de rango"&amp;" · ","")&amp;IF(AND($S24="Sub",$G24&lt;&gt;""),"Las subactividades no llevan peso"&amp;" · ","")&amp;IF(AND($S24="Macro",ABS(SUMIFS($G$5:$G$1000,$P$5:$P$1000,$P24,$S$5:$S$1000,"Macro")-1)&gt;0.0001),"Pesos del mes suman "&amp;TEXT(SUMIFS($G$5:$G$1000,$P$5:$P$1000,$P24,$S$5:$S$1000,"Macro"),"0%")&amp;" · ","")&amp;IF(AND(N($T24)&gt;0,COUNT($H24:$K24)&gt;0),"Con subactividades: deje vacías las semanas (se calculan solas)"&amp;" · ","")&amp;IF((COUNTIF($H24:$K24,"&gt;1")+COUNTIF($H24:$K24,"&lt;0")+COUNTA($H24:$K24)-COUNT($H24:$K24))&gt;0,"Avance fuera de rango 0-100%"&amp;" · ","")&amp;IF(OR(AND($I24&lt;&gt;"",$I24&lt;$H24),AND($J24&lt;&gt;"",$J24&lt;MAX($H24:$I24)),AND($K24&lt;&gt;"",$K24&lt;MAX($H24:$J24))),"Avance semanal decreciente"&amp;" · ","")&amp;IF(AND(ISNUMBER($F24),$F24&lt;FechaRef,N($L24)&lt;1),"Vencida"&amp;" · ","")&amp;IF(AND(ObsObligatoria="Sí",ISNUMBER($F24),$F24&lt;FechaRef,N($L24)&lt;1,$N24=""),"Vencida sin observación"&amp;" · ",""),LEN(IF(AND($S24="Macro",$B24=""),"Macroactividad vacía"&amp;" · ","")&amp;IF(AND($B24&lt;&gt;"",$C24&lt;&gt;""),"Escriba la subactividad en otra fila, debajo de su macroactividad"&amp;" · ","")&amp;IF(AND($S24="Sub",N($R24)=0),"Subactividad sin macroactividad arriba"&amp;" · ","")&amp;IF($D24="","Sin responsable"&amp;" · ","")&amp;IF($E24="","Sin fecha de inicio"&amp;" · ","")&amp;IF($F24="","Sin fecha límite"&amp;" · ","")&amp;IF(OR(AND($E24&lt;&gt;"",NOT(ISNUMBER($E24))),AND($F24&lt;&gt;"",NOT(ISNUMBER($F24)))),"Fecha no válida"&amp;" · ","")&amp;IF(AND(ISNUMBER($E24),ISNUMBER($F24),$E24&gt;$F24),"Inicio posterior a fecha límite"&amp;" · ","")&amp;IF(AND($S24="Macro",$G24=""),"Peso vacío"&amp;" · ","")&amp;IF(AND($S24="Macro",$G24&lt;&gt;"",OR(NOT(ISNUMBER($G24)),$G24&lt;=0,$G24&gt;1)),"Peso fuera de rango"&amp;" · ","")&amp;IF(AND($S24="Sub",$G24&lt;&gt;""),"Las subactividades no llevan peso"&amp;" · ","")&amp;IF(AND($S24="Macro",ABS(SUMIFS($G$5:$G$1000,$P$5:$P$1000,$P24,$S$5:$S$1000,"Macro")-1)&gt;0.0001),"Pesos del mes suman "&amp;TEXT(SUMIFS($G$5:$G$1000,$P$5:$P$1000,$P24,$S$5:$S$1000,"Macro"),"0%")&amp;" · ","")&amp;IF(AND(N($T24)&gt;0,COUNT($H24:$K24)&gt;0),"Con subactividades: deje vacías las semanas (se calculan solas)"&amp;" · ","")&amp;IF((COUNTIF($H24:$K24,"&gt;1")+COUNTIF($H24:$K24,"&lt;0")+COUNTA($H24:$K24)-COUNT($H24:$K24))&gt;0,"Avance fuera de rango 0-100%"&amp;" · ","")&amp;IF(OR(AND($I24&lt;&gt;"",$I24&lt;$H24),AND($J24&lt;&gt;"",$J24&lt;MAX($H24:$I24)),AND($K24&lt;&gt;"",$K24&lt;MAX($H24:$J24))),"Avance semanal decreciente"&amp;" · ","")&amp;IF(AND(ISNUMBER($F24),$F24&lt;FechaRef,N($L24)&lt;1),"Vencida"&amp;" · ","")&amp;IF(AND(ObsObligatoria="Sí",ISNUMBER($F24),$F24&lt;FechaRef,N($L24)&lt;1,$N24=""),"Vencida sin observación"&amp;" · ",""))-3)))</f>
        <v/>
      </c>
      <c r="P24" s="69">
        <f>IF(NOT((COUNTA($B24:$K24)+COUNTA($N24))&gt;0),"",IF(AND($S24="Sub",N($R24)&gt;0),IF(ISNUMBER(INDEX($E$5:$E$1000,$R24-4)),DATE(YEAR(INDEX($E$5:$E$1000,$R24-4)),MONTH(INDEX($E$5:$E$1000,$R24-4)),1),IF(ISNUMBER(INDEX($F$5:$F$1000,$R24-4)),DATE(YEAR(INDEX($F$5:$F$1000,$R24-4)),MONTH(INDEX($F$5:$F$1000,$R24-4)),1),MesCiclo)),IF(ISNUMBER($E24),DATE(YEAR($E24),MONTH($E24),1),IF(ISNUMBER($F24),DATE(YEAR($F24),MONTH($F24),1),MesCiclo))))</f>
        <v/>
      </c>
      <c r="Q24" s="70">
        <f>IF(OR($P24="",$P24&lt;&gt;MesCiclo),"",COUNTIF($P$5:$P24,MesCiclo))</f>
        <v/>
      </c>
      <c r="R24" s="70">
        <f>IF($S24="","",IF($S24="Macro",ROW(),IFERROR(LOOKUP(2,1/($S$5:$S24="Macro"),ROW($S$5:$S24)),0)))</f>
        <v/>
      </c>
      <c r="S24" s="70">
        <f>IF(NOT((COUNTA($B24:$K24)+COUNTA($N24))&gt;0),"",IF($B24&lt;&gt;"","Macro",IF($C24&lt;&gt;"","Sub","Macro")))</f>
        <v/>
      </c>
      <c r="T24" s="70">
        <f>IF($S24="Macro",COUNTIFS($R$5:$R$1000,ROW(),$S$5:$S$1000,"Sub"),"")</f>
        <v/>
      </c>
      <c r="U24" s="70">
        <f>IF($S24="","",IF(ISNUMBER($H24),$H24,0))</f>
        <v/>
      </c>
      <c r="V24" s="70">
        <f>IF($S24="","",IF(ISNUMBER($I24),$I24,$U24))</f>
        <v/>
      </c>
      <c r="W24" s="70">
        <f>IF($S24="","",IF(ISNUMBER($J24),$J24,$V24))</f>
        <v/>
      </c>
      <c r="X24" s="70">
        <f>IF($S24="","",IF(ISNUMBER($K24),$K24,$W24))</f>
        <v/>
      </c>
      <c r="Y24" s="70">
        <f>IF($S24="","",IF(N($T24)&gt;0,AVERAGEIFS($U$5:$U$1000,$R$5:$R$1000,ROW(),$S$5:$S$1000,"Sub"),$U24))</f>
        <v/>
      </c>
      <c r="Z24" s="70">
        <f>IF($S24="","",IF(N($T24)&gt;0,AVERAGEIFS($V$5:$V$1000,$R$5:$R$1000,ROW(),$S$5:$S$1000,"Sub"),$V24))</f>
        <v/>
      </c>
      <c r="AA24" s="70">
        <f>IF($S24="","",IF(N($T24)&gt;0,AVERAGEIFS($W$5:$W$1000,$R$5:$R$1000,ROW(),$S$5:$S$1000,"Sub"),$W24))</f>
        <v/>
      </c>
      <c r="AB24" s="70">
        <f>IF($S24="","",IF(N($T24)&gt;0,AVERAGEIFS($X$5:$X$1000,$R$5:$R$1000,ROW(),$S$5:$S$1000,"Sub"),$X24))</f>
        <v/>
      </c>
    </row>
    <row r="25">
      <c r="A25" s="61">
        <f>IF(NOT((COUNTA($B25:$K25)+COUNTA($N25))&gt;0),"",IF($S25="Macro",COUNTIFS($S$5:$S25,"Macro",$P$5:$P25,$P25),IF(N($R25)=0,"?",COUNTIFS(INDEX($S$5:$S$1000,1):INDEX($S$5:$S$1000,$R25-4),"Macro",INDEX($P$5:$P$1000,1):INDEX($P$5:$P$1000,$R25-4),INDEX($P$5:$P$1000,$R25-4))&amp;"."&amp;COUNTIFS($R$5:$R25,$R25,$S$5:$S25,"Sub"))))</f>
        <v/>
      </c>
      <c r="B25" s="62" t="n"/>
      <c r="C25" s="63" t="n"/>
      <c r="D25" s="62" t="n"/>
      <c r="E25" s="64" t="n"/>
      <c r="F25" s="64" t="n"/>
      <c r="G25" s="65" t="n"/>
      <c r="H25" s="66" t="n"/>
      <c r="I25" s="66" t="n"/>
      <c r="J25" s="66" t="n"/>
      <c r="K25" s="66" t="n"/>
      <c r="L25" s="67">
        <f>IF(NOT((COUNTA($B25:$K25)+COUNTA($N25))&gt;0),"",IF(N($T25)&gt;0,$AB25,IFERROR(LOOKUP(2,1/(H25:K25&lt;&gt;""),H25:K25),0)))</f>
        <v/>
      </c>
      <c r="M25" s="61">
        <f>IF(L25="","",IF(L25&gt;=1,"Completado",IF(L25&gt;0,"En curso","Pendiente")))</f>
        <v/>
      </c>
      <c r="N25" s="62" t="n"/>
      <c r="O25" s="68">
        <f>IF(NOT((COUNTA($B25:$K25)+COUNTA($N25))&gt;0),"",IF((IF(AND($S25="Macro",$B25=""),"Macroactividad vacía"&amp;" · ","")&amp;IF(AND($B25&lt;&gt;"",$C25&lt;&gt;""),"Escriba la subactividad en otra fila, debajo de su macroactividad"&amp;" · ","")&amp;IF(AND($S25="Sub",N($R25)=0),"Subactividad sin macroactividad arriba"&amp;" · ","")&amp;IF($D25="","Sin responsable"&amp;" · ","")&amp;IF($E25="","Sin fecha de inicio"&amp;" · ","")&amp;IF($F25="","Sin fecha límite"&amp;" · ","")&amp;IF(OR(AND($E25&lt;&gt;"",NOT(ISNUMBER($E25))),AND($F25&lt;&gt;"",NOT(ISNUMBER($F25)))),"Fecha no válida"&amp;" · ","")&amp;IF(AND(ISNUMBER($E25),ISNUMBER($F25),$E25&gt;$F25),"Inicio posterior a fecha límite"&amp;" · ","")&amp;IF(AND($S25="Macro",$G25=""),"Peso vacío"&amp;" · ","")&amp;IF(AND($S25="Macro",$G25&lt;&gt;"",OR(NOT(ISNUMBER($G25)),$G25&lt;=0,$G25&gt;1)),"Peso fuera de rango"&amp;" · ","")&amp;IF(AND($S25="Sub",$G25&lt;&gt;""),"Las subactividades no llevan peso"&amp;" · ","")&amp;IF(AND($S25="Macro",ABS(SUMIFS($G$5:$G$1000,$P$5:$P$1000,$P25,$S$5:$S$1000,"Macro")-1)&gt;0.0001),"Pesos del mes suman "&amp;TEXT(SUMIFS($G$5:$G$1000,$P$5:$P$1000,$P25,$S$5:$S$1000,"Macro"),"0%")&amp;" · ","")&amp;IF(AND(N($T25)&gt;0,COUNT($H25:$K25)&gt;0),"Con subactividades: deje vacías las semanas (se calculan solas)"&amp;" · ","")&amp;IF((COUNTIF($H25:$K25,"&gt;1")+COUNTIF($H25:$K25,"&lt;0")+COUNTA($H25:$K25)-COUNT($H25:$K25))&gt;0,"Avance fuera de rango 0-100%"&amp;" · ","")&amp;IF(OR(AND($I25&lt;&gt;"",$I25&lt;$H25),AND($J25&lt;&gt;"",$J25&lt;MAX($H25:$I25)),AND($K25&lt;&gt;"",$K25&lt;MAX($H25:$J25))),"Avance semanal decreciente"&amp;" · ","")&amp;IF(AND(ISNUMBER($F25),$F25&lt;FechaRef,N($L25)&lt;1),"Vencida"&amp;" · ","")&amp;IF(AND(ObsObligatoria="Sí",ISNUMBER($F25),$F25&lt;FechaRef,N($L25)&lt;1,$N25=""),"Vencida sin observación"&amp;" · ",""))="","✔ OK","⚠ "&amp;LEFT(IF(AND($S25="Macro",$B25=""),"Macroactividad vacía"&amp;" · ","")&amp;IF(AND($B25&lt;&gt;"",$C25&lt;&gt;""),"Escriba la subactividad en otra fila, debajo de su macroactividad"&amp;" · ","")&amp;IF(AND($S25="Sub",N($R25)=0),"Subactividad sin macroactividad arriba"&amp;" · ","")&amp;IF($D25="","Sin responsable"&amp;" · ","")&amp;IF($E25="","Sin fecha de inicio"&amp;" · ","")&amp;IF($F25="","Sin fecha límite"&amp;" · ","")&amp;IF(OR(AND($E25&lt;&gt;"",NOT(ISNUMBER($E25))),AND($F25&lt;&gt;"",NOT(ISNUMBER($F25)))),"Fecha no válida"&amp;" · ","")&amp;IF(AND(ISNUMBER($E25),ISNUMBER($F25),$E25&gt;$F25),"Inicio posterior a fecha límite"&amp;" · ","")&amp;IF(AND($S25="Macro",$G25=""),"Peso vacío"&amp;" · ","")&amp;IF(AND($S25="Macro",$G25&lt;&gt;"",OR(NOT(ISNUMBER($G25)),$G25&lt;=0,$G25&gt;1)),"Peso fuera de rango"&amp;" · ","")&amp;IF(AND($S25="Sub",$G25&lt;&gt;""),"Las subactividades no llevan peso"&amp;" · ","")&amp;IF(AND($S25="Macro",ABS(SUMIFS($G$5:$G$1000,$P$5:$P$1000,$P25,$S$5:$S$1000,"Macro")-1)&gt;0.0001),"Pesos del mes suman "&amp;TEXT(SUMIFS($G$5:$G$1000,$P$5:$P$1000,$P25,$S$5:$S$1000,"Macro"),"0%")&amp;" · ","")&amp;IF(AND(N($T25)&gt;0,COUNT($H25:$K25)&gt;0),"Con subactividades: deje vacías las semanas (se calculan solas)"&amp;" · ","")&amp;IF((COUNTIF($H25:$K25,"&gt;1")+COUNTIF($H25:$K25,"&lt;0")+COUNTA($H25:$K25)-COUNT($H25:$K25))&gt;0,"Avance fuera de rango 0-100%"&amp;" · ","")&amp;IF(OR(AND($I25&lt;&gt;"",$I25&lt;$H25),AND($J25&lt;&gt;"",$J25&lt;MAX($H25:$I25)),AND($K25&lt;&gt;"",$K25&lt;MAX($H25:$J25))),"Avance semanal decreciente"&amp;" · ","")&amp;IF(AND(ISNUMBER($F25),$F25&lt;FechaRef,N($L25)&lt;1),"Vencida"&amp;" · ","")&amp;IF(AND(ObsObligatoria="Sí",ISNUMBER($F25),$F25&lt;FechaRef,N($L25)&lt;1,$N25=""),"Vencida sin observación"&amp;" · ",""),LEN(IF(AND($S25="Macro",$B25=""),"Macroactividad vacía"&amp;" · ","")&amp;IF(AND($B25&lt;&gt;"",$C25&lt;&gt;""),"Escriba la subactividad en otra fila, debajo de su macroactividad"&amp;" · ","")&amp;IF(AND($S25="Sub",N($R25)=0),"Subactividad sin macroactividad arriba"&amp;" · ","")&amp;IF($D25="","Sin responsable"&amp;" · ","")&amp;IF($E25="","Sin fecha de inicio"&amp;" · ","")&amp;IF($F25="","Sin fecha límite"&amp;" · ","")&amp;IF(OR(AND($E25&lt;&gt;"",NOT(ISNUMBER($E25))),AND($F25&lt;&gt;"",NOT(ISNUMBER($F25)))),"Fecha no válida"&amp;" · ","")&amp;IF(AND(ISNUMBER($E25),ISNUMBER($F25),$E25&gt;$F25),"Inicio posterior a fecha límite"&amp;" · ","")&amp;IF(AND($S25="Macro",$G25=""),"Peso vacío"&amp;" · ","")&amp;IF(AND($S25="Macro",$G25&lt;&gt;"",OR(NOT(ISNUMBER($G25)),$G25&lt;=0,$G25&gt;1)),"Peso fuera de rango"&amp;" · ","")&amp;IF(AND($S25="Sub",$G25&lt;&gt;""),"Las subactividades no llevan peso"&amp;" · ","")&amp;IF(AND($S25="Macro",ABS(SUMIFS($G$5:$G$1000,$P$5:$P$1000,$P25,$S$5:$S$1000,"Macro")-1)&gt;0.0001),"Pesos del mes suman "&amp;TEXT(SUMIFS($G$5:$G$1000,$P$5:$P$1000,$P25,$S$5:$S$1000,"Macro"),"0%")&amp;" · ","")&amp;IF(AND(N($T25)&gt;0,COUNT($H25:$K25)&gt;0),"Con subactividades: deje vacías las semanas (se calculan solas)"&amp;" · ","")&amp;IF((COUNTIF($H25:$K25,"&gt;1")+COUNTIF($H25:$K25,"&lt;0")+COUNTA($H25:$K25)-COUNT($H25:$K25))&gt;0,"Avance fuera de rango 0-100%"&amp;" · ","")&amp;IF(OR(AND($I25&lt;&gt;"",$I25&lt;$H25),AND($J25&lt;&gt;"",$J25&lt;MAX($H25:$I25)),AND($K25&lt;&gt;"",$K25&lt;MAX($H25:$J25))),"Avance semanal decreciente"&amp;" · ","")&amp;IF(AND(ISNUMBER($F25),$F25&lt;FechaRef,N($L25)&lt;1),"Vencida"&amp;" · ","")&amp;IF(AND(ObsObligatoria="Sí",ISNUMBER($F25),$F25&lt;FechaRef,N($L25)&lt;1,$N25=""),"Vencida sin observación"&amp;" · ",""))-3)))</f>
        <v/>
      </c>
      <c r="P25" s="69">
        <f>IF(NOT((COUNTA($B25:$K25)+COUNTA($N25))&gt;0),"",IF(AND($S25="Sub",N($R25)&gt;0),IF(ISNUMBER(INDEX($E$5:$E$1000,$R25-4)),DATE(YEAR(INDEX($E$5:$E$1000,$R25-4)),MONTH(INDEX($E$5:$E$1000,$R25-4)),1),IF(ISNUMBER(INDEX($F$5:$F$1000,$R25-4)),DATE(YEAR(INDEX($F$5:$F$1000,$R25-4)),MONTH(INDEX($F$5:$F$1000,$R25-4)),1),MesCiclo)),IF(ISNUMBER($E25),DATE(YEAR($E25),MONTH($E25),1),IF(ISNUMBER($F25),DATE(YEAR($F25),MONTH($F25),1),MesCiclo))))</f>
        <v/>
      </c>
      <c r="Q25" s="70">
        <f>IF(OR($P25="",$P25&lt;&gt;MesCiclo),"",COUNTIF($P$5:$P25,MesCiclo))</f>
        <v/>
      </c>
      <c r="R25" s="70">
        <f>IF($S25="","",IF($S25="Macro",ROW(),IFERROR(LOOKUP(2,1/($S$5:$S25="Macro"),ROW($S$5:$S25)),0)))</f>
        <v/>
      </c>
      <c r="S25" s="70">
        <f>IF(NOT((COUNTA($B25:$K25)+COUNTA($N25))&gt;0),"",IF($B25&lt;&gt;"","Macro",IF($C25&lt;&gt;"","Sub","Macro")))</f>
        <v/>
      </c>
      <c r="T25" s="70">
        <f>IF($S25="Macro",COUNTIFS($R$5:$R$1000,ROW(),$S$5:$S$1000,"Sub"),"")</f>
        <v/>
      </c>
      <c r="U25" s="70">
        <f>IF($S25="","",IF(ISNUMBER($H25),$H25,0))</f>
        <v/>
      </c>
      <c r="V25" s="70">
        <f>IF($S25="","",IF(ISNUMBER($I25),$I25,$U25))</f>
        <v/>
      </c>
      <c r="W25" s="70">
        <f>IF($S25="","",IF(ISNUMBER($J25),$J25,$V25))</f>
        <v/>
      </c>
      <c r="X25" s="70">
        <f>IF($S25="","",IF(ISNUMBER($K25),$K25,$W25))</f>
        <v/>
      </c>
      <c r="Y25" s="70">
        <f>IF($S25="","",IF(N($T25)&gt;0,AVERAGEIFS($U$5:$U$1000,$R$5:$R$1000,ROW(),$S$5:$S$1000,"Sub"),$U25))</f>
        <v/>
      </c>
      <c r="Z25" s="70">
        <f>IF($S25="","",IF(N($T25)&gt;0,AVERAGEIFS($V$5:$V$1000,$R$5:$R$1000,ROW(),$S$5:$S$1000,"Sub"),$V25))</f>
        <v/>
      </c>
      <c r="AA25" s="70">
        <f>IF($S25="","",IF(N($T25)&gt;0,AVERAGEIFS($W$5:$W$1000,$R$5:$R$1000,ROW(),$S$5:$S$1000,"Sub"),$W25))</f>
        <v/>
      </c>
      <c r="AB25" s="70">
        <f>IF($S25="","",IF(N($T25)&gt;0,AVERAGEIFS($X$5:$X$1000,$R$5:$R$1000,ROW(),$S$5:$S$1000,"Sub"),$X25))</f>
        <v/>
      </c>
    </row>
    <row r="26">
      <c r="A26" s="61">
        <f>IF(NOT((COUNTA($B26:$K26)+COUNTA($N26))&gt;0),"",IF($S26="Macro",COUNTIFS($S$5:$S26,"Macro",$P$5:$P26,$P26),IF(N($R26)=0,"?",COUNTIFS(INDEX($S$5:$S$1000,1):INDEX($S$5:$S$1000,$R26-4),"Macro",INDEX($P$5:$P$1000,1):INDEX($P$5:$P$1000,$R26-4),INDEX($P$5:$P$1000,$R26-4))&amp;"."&amp;COUNTIFS($R$5:$R26,$R26,$S$5:$S26,"Sub"))))</f>
        <v/>
      </c>
      <c r="B26" s="62" t="n"/>
      <c r="C26" s="63" t="n"/>
      <c r="D26" s="62" t="n"/>
      <c r="E26" s="64" t="n"/>
      <c r="F26" s="64" t="n"/>
      <c r="G26" s="65" t="n"/>
      <c r="H26" s="66" t="n"/>
      <c r="I26" s="66" t="n"/>
      <c r="J26" s="66" t="n"/>
      <c r="K26" s="66" t="n"/>
      <c r="L26" s="67">
        <f>IF(NOT((COUNTA($B26:$K26)+COUNTA($N26))&gt;0),"",IF(N($T26)&gt;0,$AB26,IFERROR(LOOKUP(2,1/(H26:K26&lt;&gt;""),H26:K26),0)))</f>
        <v/>
      </c>
      <c r="M26" s="61">
        <f>IF(L26="","",IF(L26&gt;=1,"Completado",IF(L26&gt;0,"En curso","Pendiente")))</f>
        <v/>
      </c>
      <c r="N26" s="62" t="n"/>
      <c r="O26" s="68">
        <f>IF(NOT((COUNTA($B26:$K26)+COUNTA($N26))&gt;0),"",IF((IF(AND($S26="Macro",$B26=""),"Macroactividad vacía"&amp;" · ","")&amp;IF(AND($B26&lt;&gt;"",$C26&lt;&gt;""),"Escriba la subactividad en otra fila, debajo de su macroactividad"&amp;" · ","")&amp;IF(AND($S26="Sub",N($R26)=0),"Subactividad sin macroactividad arriba"&amp;" · ","")&amp;IF($D26="","Sin responsable"&amp;" · ","")&amp;IF($E26="","Sin fecha de inicio"&amp;" · ","")&amp;IF($F26="","Sin fecha límite"&amp;" · ","")&amp;IF(OR(AND($E26&lt;&gt;"",NOT(ISNUMBER($E26))),AND($F26&lt;&gt;"",NOT(ISNUMBER($F26)))),"Fecha no válida"&amp;" · ","")&amp;IF(AND(ISNUMBER($E26),ISNUMBER($F26),$E26&gt;$F26),"Inicio posterior a fecha límite"&amp;" · ","")&amp;IF(AND($S26="Macro",$G26=""),"Peso vacío"&amp;" · ","")&amp;IF(AND($S26="Macro",$G26&lt;&gt;"",OR(NOT(ISNUMBER($G26)),$G26&lt;=0,$G26&gt;1)),"Peso fuera de rango"&amp;" · ","")&amp;IF(AND($S26="Sub",$G26&lt;&gt;""),"Las subactividades no llevan peso"&amp;" · ","")&amp;IF(AND($S26="Macro",ABS(SUMIFS($G$5:$G$1000,$P$5:$P$1000,$P26,$S$5:$S$1000,"Macro")-1)&gt;0.0001),"Pesos del mes suman "&amp;TEXT(SUMIFS($G$5:$G$1000,$P$5:$P$1000,$P26,$S$5:$S$1000,"Macro"),"0%")&amp;" · ","")&amp;IF(AND(N($T26)&gt;0,COUNT($H26:$K26)&gt;0),"Con subactividades: deje vacías las semanas (se calculan solas)"&amp;" · ","")&amp;IF((COUNTIF($H26:$K26,"&gt;1")+COUNTIF($H26:$K26,"&lt;0")+COUNTA($H26:$K26)-COUNT($H26:$K26))&gt;0,"Avance fuera de rango 0-100%"&amp;" · ","")&amp;IF(OR(AND($I26&lt;&gt;"",$I26&lt;$H26),AND($J26&lt;&gt;"",$J26&lt;MAX($H26:$I26)),AND($K26&lt;&gt;"",$K26&lt;MAX($H26:$J26))),"Avance semanal decreciente"&amp;" · ","")&amp;IF(AND(ISNUMBER($F26),$F26&lt;FechaRef,N($L26)&lt;1),"Vencida"&amp;" · ","")&amp;IF(AND(ObsObligatoria="Sí",ISNUMBER($F26),$F26&lt;FechaRef,N($L26)&lt;1,$N26=""),"Vencida sin observación"&amp;" · ",""))="","✔ OK","⚠ "&amp;LEFT(IF(AND($S26="Macro",$B26=""),"Macroactividad vacía"&amp;" · ","")&amp;IF(AND($B26&lt;&gt;"",$C26&lt;&gt;""),"Escriba la subactividad en otra fila, debajo de su macroactividad"&amp;" · ","")&amp;IF(AND($S26="Sub",N($R26)=0),"Subactividad sin macroactividad arriba"&amp;" · ","")&amp;IF($D26="","Sin responsable"&amp;" · ","")&amp;IF($E26="","Sin fecha de inicio"&amp;" · ","")&amp;IF($F26="","Sin fecha límite"&amp;" · ","")&amp;IF(OR(AND($E26&lt;&gt;"",NOT(ISNUMBER($E26))),AND($F26&lt;&gt;"",NOT(ISNUMBER($F26)))),"Fecha no válida"&amp;" · ","")&amp;IF(AND(ISNUMBER($E26),ISNUMBER($F26),$E26&gt;$F26),"Inicio posterior a fecha límite"&amp;" · ","")&amp;IF(AND($S26="Macro",$G26=""),"Peso vacío"&amp;" · ","")&amp;IF(AND($S26="Macro",$G26&lt;&gt;"",OR(NOT(ISNUMBER($G26)),$G26&lt;=0,$G26&gt;1)),"Peso fuera de rango"&amp;" · ","")&amp;IF(AND($S26="Sub",$G26&lt;&gt;""),"Las subactividades no llevan peso"&amp;" · ","")&amp;IF(AND($S26="Macro",ABS(SUMIFS($G$5:$G$1000,$P$5:$P$1000,$P26,$S$5:$S$1000,"Macro")-1)&gt;0.0001),"Pesos del mes suman "&amp;TEXT(SUMIFS($G$5:$G$1000,$P$5:$P$1000,$P26,$S$5:$S$1000,"Macro"),"0%")&amp;" · ","")&amp;IF(AND(N($T26)&gt;0,COUNT($H26:$K26)&gt;0),"Con subactividades: deje vacías las semanas (se calculan solas)"&amp;" · ","")&amp;IF((COUNTIF($H26:$K26,"&gt;1")+COUNTIF($H26:$K26,"&lt;0")+COUNTA($H26:$K26)-COUNT($H26:$K26))&gt;0,"Avance fuera de rango 0-100%"&amp;" · ","")&amp;IF(OR(AND($I26&lt;&gt;"",$I26&lt;$H26),AND($J26&lt;&gt;"",$J26&lt;MAX($H26:$I26)),AND($K26&lt;&gt;"",$K26&lt;MAX($H26:$J26))),"Avance semanal decreciente"&amp;" · ","")&amp;IF(AND(ISNUMBER($F26),$F26&lt;FechaRef,N($L26)&lt;1),"Vencida"&amp;" · ","")&amp;IF(AND(ObsObligatoria="Sí",ISNUMBER($F26),$F26&lt;FechaRef,N($L26)&lt;1,$N26=""),"Vencida sin observación"&amp;" · ",""),LEN(IF(AND($S26="Macro",$B26=""),"Macroactividad vacía"&amp;" · ","")&amp;IF(AND($B26&lt;&gt;"",$C26&lt;&gt;""),"Escriba la subactividad en otra fila, debajo de su macroactividad"&amp;" · ","")&amp;IF(AND($S26="Sub",N($R26)=0),"Subactividad sin macroactividad arriba"&amp;" · ","")&amp;IF($D26="","Sin responsable"&amp;" · ","")&amp;IF($E26="","Sin fecha de inicio"&amp;" · ","")&amp;IF($F26="","Sin fecha límite"&amp;" · ","")&amp;IF(OR(AND($E26&lt;&gt;"",NOT(ISNUMBER($E26))),AND($F26&lt;&gt;"",NOT(ISNUMBER($F26)))),"Fecha no válida"&amp;" · ","")&amp;IF(AND(ISNUMBER($E26),ISNUMBER($F26),$E26&gt;$F26),"Inicio posterior a fecha límite"&amp;" · ","")&amp;IF(AND($S26="Macro",$G26=""),"Peso vacío"&amp;" · ","")&amp;IF(AND($S26="Macro",$G26&lt;&gt;"",OR(NOT(ISNUMBER($G26)),$G26&lt;=0,$G26&gt;1)),"Peso fuera de rango"&amp;" · ","")&amp;IF(AND($S26="Sub",$G26&lt;&gt;""),"Las subactividades no llevan peso"&amp;" · ","")&amp;IF(AND($S26="Macro",ABS(SUMIFS($G$5:$G$1000,$P$5:$P$1000,$P26,$S$5:$S$1000,"Macro")-1)&gt;0.0001),"Pesos del mes suman "&amp;TEXT(SUMIFS($G$5:$G$1000,$P$5:$P$1000,$P26,$S$5:$S$1000,"Macro"),"0%")&amp;" · ","")&amp;IF(AND(N($T26)&gt;0,COUNT($H26:$K26)&gt;0),"Con subactividades: deje vacías las semanas (se calculan solas)"&amp;" · ","")&amp;IF((COUNTIF($H26:$K26,"&gt;1")+COUNTIF($H26:$K26,"&lt;0")+COUNTA($H26:$K26)-COUNT($H26:$K26))&gt;0,"Avance fuera de rango 0-100%"&amp;" · ","")&amp;IF(OR(AND($I26&lt;&gt;"",$I26&lt;$H26),AND($J26&lt;&gt;"",$J26&lt;MAX($H26:$I26)),AND($K26&lt;&gt;"",$K26&lt;MAX($H26:$J26))),"Avance semanal decreciente"&amp;" · ","")&amp;IF(AND(ISNUMBER($F26),$F26&lt;FechaRef,N($L26)&lt;1),"Vencida"&amp;" · ","")&amp;IF(AND(ObsObligatoria="Sí",ISNUMBER($F26),$F26&lt;FechaRef,N($L26)&lt;1,$N26=""),"Vencida sin observación"&amp;" · ",""))-3)))</f>
        <v/>
      </c>
      <c r="P26" s="69">
        <f>IF(NOT((COUNTA($B26:$K26)+COUNTA($N26))&gt;0),"",IF(AND($S26="Sub",N($R26)&gt;0),IF(ISNUMBER(INDEX($E$5:$E$1000,$R26-4)),DATE(YEAR(INDEX($E$5:$E$1000,$R26-4)),MONTH(INDEX($E$5:$E$1000,$R26-4)),1),IF(ISNUMBER(INDEX($F$5:$F$1000,$R26-4)),DATE(YEAR(INDEX($F$5:$F$1000,$R26-4)),MONTH(INDEX($F$5:$F$1000,$R26-4)),1),MesCiclo)),IF(ISNUMBER($E26),DATE(YEAR($E26),MONTH($E26),1),IF(ISNUMBER($F26),DATE(YEAR($F26),MONTH($F26),1),MesCiclo))))</f>
        <v/>
      </c>
      <c r="Q26" s="70">
        <f>IF(OR($P26="",$P26&lt;&gt;MesCiclo),"",COUNTIF($P$5:$P26,MesCiclo))</f>
        <v/>
      </c>
      <c r="R26" s="70">
        <f>IF($S26="","",IF($S26="Macro",ROW(),IFERROR(LOOKUP(2,1/($S$5:$S26="Macro"),ROW($S$5:$S26)),0)))</f>
        <v/>
      </c>
      <c r="S26" s="70">
        <f>IF(NOT((COUNTA($B26:$K26)+COUNTA($N26))&gt;0),"",IF($B26&lt;&gt;"","Macro",IF($C26&lt;&gt;"","Sub","Macro")))</f>
        <v/>
      </c>
      <c r="T26" s="70">
        <f>IF($S26="Macro",COUNTIFS($R$5:$R$1000,ROW(),$S$5:$S$1000,"Sub"),"")</f>
        <v/>
      </c>
      <c r="U26" s="70">
        <f>IF($S26="","",IF(ISNUMBER($H26),$H26,0))</f>
        <v/>
      </c>
      <c r="V26" s="70">
        <f>IF($S26="","",IF(ISNUMBER($I26),$I26,$U26))</f>
        <v/>
      </c>
      <c r="W26" s="70">
        <f>IF($S26="","",IF(ISNUMBER($J26),$J26,$V26))</f>
        <v/>
      </c>
      <c r="X26" s="70">
        <f>IF($S26="","",IF(ISNUMBER($K26),$K26,$W26))</f>
        <v/>
      </c>
      <c r="Y26" s="70">
        <f>IF($S26="","",IF(N($T26)&gt;0,AVERAGEIFS($U$5:$U$1000,$R$5:$R$1000,ROW(),$S$5:$S$1000,"Sub"),$U26))</f>
        <v/>
      </c>
      <c r="Z26" s="70">
        <f>IF($S26="","",IF(N($T26)&gt;0,AVERAGEIFS($V$5:$V$1000,$R$5:$R$1000,ROW(),$S$5:$S$1000,"Sub"),$V26))</f>
        <v/>
      </c>
      <c r="AA26" s="70">
        <f>IF($S26="","",IF(N($T26)&gt;0,AVERAGEIFS($W$5:$W$1000,$R$5:$R$1000,ROW(),$S$5:$S$1000,"Sub"),$W26))</f>
        <v/>
      </c>
      <c r="AB26" s="70">
        <f>IF($S26="","",IF(N($T26)&gt;0,AVERAGEIFS($X$5:$X$1000,$R$5:$R$1000,ROW(),$S$5:$S$1000,"Sub"),$X26))</f>
        <v/>
      </c>
    </row>
    <row r="27">
      <c r="A27" s="61">
        <f>IF(NOT((COUNTA($B27:$K27)+COUNTA($N27))&gt;0),"",IF($S27="Macro",COUNTIFS($S$5:$S27,"Macro",$P$5:$P27,$P27),IF(N($R27)=0,"?",COUNTIFS(INDEX($S$5:$S$1000,1):INDEX($S$5:$S$1000,$R27-4),"Macro",INDEX($P$5:$P$1000,1):INDEX($P$5:$P$1000,$R27-4),INDEX($P$5:$P$1000,$R27-4))&amp;"."&amp;COUNTIFS($R$5:$R27,$R27,$S$5:$S27,"Sub"))))</f>
        <v/>
      </c>
      <c r="B27" s="62" t="n"/>
      <c r="C27" s="63" t="n"/>
      <c r="D27" s="62" t="n"/>
      <c r="E27" s="64" t="n"/>
      <c r="F27" s="64" t="n"/>
      <c r="G27" s="65" t="n"/>
      <c r="H27" s="66" t="n"/>
      <c r="I27" s="66" t="n"/>
      <c r="J27" s="66" t="n"/>
      <c r="K27" s="66" t="n"/>
      <c r="L27" s="67">
        <f>IF(NOT((COUNTA($B27:$K27)+COUNTA($N27))&gt;0),"",IF(N($T27)&gt;0,$AB27,IFERROR(LOOKUP(2,1/(H27:K27&lt;&gt;""),H27:K27),0)))</f>
        <v/>
      </c>
      <c r="M27" s="61">
        <f>IF(L27="","",IF(L27&gt;=1,"Completado",IF(L27&gt;0,"En curso","Pendiente")))</f>
        <v/>
      </c>
      <c r="N27" s="62" t="n"/>
      <c r="O27" s="68">
        <f>IF(NOT((COUNTA($B27:$K27)+COUNTA($N27))&gt;0),"",IF((IF(AND($S27="Macro",$B27=""),"Macroactividad vacía"&amp;" · ","")&amp;IF(AND($B27&lt;&gt;"",$C27&lt;&gt;""),"Escriba la subactividad en otra fila, debajo de su macroactividad"&amp;" · ","")&amp;IF(AND($S27="Sub",N($R27)=0),"Subactividad sin macroactividad arriba"&amp;" · ","")&amp;IF($D27="","Sin responsable"&amp;" · ","")&amp;IF($E27="","Sin fecha de inicio"&amp;" · ","")&amp;IF($F27="","Sin fecha límite"&amp;" · ","")&amp;IF(OR(AND($E27&lt;&gt;"",NOT(ISNUMBER($E27))),AND($F27&lt;&gt;"",NOT(ISNUMBER($F27)))),"Fecha no válida"&amp;" · ","")&amp;IF(AND(ISNUMBER($E27),ISNUMBER($F27),$E27&gt;$F27),"Inicio posterior a fecha límite"&amp;" · ","")&amp;IF(AND($S27="Macro",$G27=""),"Peso vacío"&amp;" · ","")&amp;IF(AND($S27="Macro",$G27&lt;&gt;"",OR(NOT(ISNUMBER($G27)),$G27&lt;=0,$G27&gt;1)),"Peso fuera de rango"&amp;" · ","")&amp;IF(AND($S27="Sub",$G27&lt;&gt;""),"Las subactividades no llevan peso"&amp;" · ","")&amp;IF(AND($S27="Macro",ABS(SUMIFS($G$5:$G$1000,$P$5:$P$1000,$P27,$S$5:$S$1000,"Macro")-1)&gt;0.0001),"Pesos del mes suman "&amp;TEXT(SUMIFS($G$5:$G$1000,$P$5:$P$1000,$P27,$S$5:$S$1000,"Macro"),"0%")&amp;" · ","")&amp;IF(AND(N($T27)&gt;0,COUNT($H27:$K27)&gt;0),"Con subactividades: deje vacías las semanas (se calculan solas)"&amp;" · ","")&amp;IF((COUNTIF($H27:$K27,"&gt;1")+COUNTIF($H27:$K27,"&lt;0")+COUNTA($H27:$K27)-COUNT($H27:$K27))&gt;0,"Avance fuera de rango 0-100%"&amp;" · ","")&amp;IF(OR(AND($I27&lt;&gt;"",$I27&lt;$H27),AND($J27&lt;&gt;"",$J27&lt;MAX($H27:$I27)),AND($K27&lt;&gt;"",$K27&lt;MAX($H27:$J27))),"Avance semanal decreciente"&amp;" · ","")&amp;IF(AND(ISNUMBER($F27),$F27&lt;FechaRef,N($L27)&lt;1),"Vencida"&amp;" · ","")&amp;IF(AND(ObsObligatoria="Sí",ISNUMBER($F27),$F27&lt;FechaRef,N($L27)&lt;1,$N27=""),"Vencida sin observación"&amp;" · ",""))="","✔ OK","⚠ "&amp;LEFT(IF(AND($S27="Macro",$B27=""),"Macroactividad vacía"&amp;" · ","")&amp;IF(AND($B27&lt;&gt;"",$C27&lt;&gt;""),"Escriba la subactividad en otra fila, debajo de su macroactividad"&amp;" · ","")&amp;IF(AND($S27="Sub",N($R27)=0),"Subactividad sin macroactividad arriba"&amp;" · ","")&amp;IF($D27="","Sin responsable"&amp;" · ","")&amp;IF($E27="","Sin fecha de inicio"&amp;" · ","")&amp;IF($F27="","Sin fecha límite"&amp;" · ","")&amp;IF(OR(AND($E27&lt;&gt;"",NOT(ISNUMBER($E27))),AND($F27&lt;&gt;"",NOT(ISNUMBER($F27)))),"Fecha no válida"&amp;" · ","")&amp;IF(AND(ISNUMBER($E27),ISNUMBER($F27),$E27&gt;$F27),"Inicio posterior a fecha límite"&amp;" · ","")&amp;IF(AND($S27="Macro",$G27=""),"Peso vacío"&amp;" · ","")&amp;IF(AND($S27="Macro",$G27&lt;&gt;"",OR(NOT(ISNUMBER($G27)),$G27&lt;=0,$G27&gt;1)),"Peso fuera de rango"&amp;" · ","")&amp;IF(AND($S27="Sub",$G27&lt;&gt;""),"Las subactividades no llevan peso"&amp;" · ","")&amp;IF(AND($S27="Macro",ABS(SUMIFS($G$5:$G$1000,$P$5:$P$1000,$P27,$S$5:$S$1000,"Macro")-1)&gt;0.0001),"Pesos del mes suman "&amp;TEXT(SUMIFS($G$5:$G$1000,$P$5:$P$1000,$P27,$S$5:$S$1000,"Macro"),"0%")&amp;" · ","")&amp;IF(AND(N($T27)&gt;0,COUNT($H27:$K27)&gt;0),"Con subactividades: deje vacías las semanas (se calculan solas)"&amp;" · ","")&amp;IF((COUNTIF($H27:$K27,"&gt;1")+COUNTIF($H27:$K27,"&lt;0")+COUNTA($H27:$K27)-COUNT($H27:$K27))&gt;0,"Avance fuera de rango 0-100%"&amp;" · ","")&amp;IF(OR(AND($I27&lt;&gt;"",$I27&lt;$H27),AND($J27&lt;&gt;"",$J27&lt;MAX($H27:$I27)),AND($K27&lt;&gt;"",$K27&lt;MAX($H27:$J27))),"Avance semanal decreciente"&amp;" · ","")&amp;IF(AND(ISNUMBER($F27),$F27&lt;FechaRef,N($L27)&lt;1),"Vencida"&amp;" · ","")&amp;IF(AND(ObsObligatoria="Sí",ISNUMBER($F27),$F27&lt;FechaRef,N($L27)&lt;1,$N27=""),"Vencida sin observación"&amp;" · ",""),LEN(IF(AND($S27="Macro",$B27=""),"Macroactividad vacía"&amp;" · ","")&amp;IF(AND($B27&lt;&gt;"",$C27&lt;&gt;""),"Escriba la subactividad en otra fila, debajo de su macroactividad"&amp;" · ","")&amp;IF(AND($S27="Sub",N($R27)=0),"Subactividad sin macroactividad arriba"&amp;" · ","")&amp;IF($D27="","Sin responsable"&amp;" · ","")&amp;IF($E27="","Sin fecha de inicio"&amp;" · ","")&amp;IF($F27="","Sin fecha límite"&amp;" · ","")&amp;IF(OR(AND($E27&lt;&gt;"",NOT(ISNUMBER($E27))),AND($F27&lt;&gt;"",NOT(ISNUMBER($F27)))),"Fecha no válida"&amp;" · ","")&amp;IF(AND(ISNUMBER($E27),ISNUMBER($F27),$E27&gt;$F27),"Inicio posterior a fecha límite"&amp;" · ","")&amp;IF(AND($S27="Macro",$G27=""),"Peso vacío"&amp;" · ","")&amp;IF(AND($S27="Macro",$G27&lt;&gt;"",OR(NOT(ISNUMBER($G27)),$G27&lt;=0,$G27&gt;1)),"Peso fuera de rango"&amp;" · ","")&amp;IF(AND($S27="Sub",$G27&lt;&gt;""),"Las subactividades no llevan peso"&amp;" · ","")&amp;IF(AND($S27="Macro",ABS(SUMIFS($G$5:$G$1000,$P$5:$P$1000,$P27,$S$5:$S$1000,"Macro")-1)&gt;0.0001),"Pesos del mes suman "&amp;TEXT(SUMIFS($G$5:$G$1000,$P$5:$P$1000,$P27,$S$5:$S$1000,"Macro"),"0%")&amp;" · ","")&amp;IF(AND(N($T27)&gt;0,COUNT($H27:$K27)&gt;0),"Con subactividades: deje vacías las semanas (se calculan solas)"&amp;" · ","")&amp;IF((COUNTIF($H27:$K27,"&gt;1")+COUNTIF($H27:$K27,"&lt;0")+COUNTA($H27:$K27)-COUNT($H27:$K27))&gt;0,"Avance fuera de rango 0-100%"&amp;" · ","")&amp;IF(OR(AND($I27&lt;&gt;"",$I27&lt;$H27),AND($J27&lt;&gt;"",$J27&lt;MAX($H27:$I27)),AND($K27&lt;&gt;"",$K27&lt;MAX($H27:$J27))),"Avance semanal decreciente"&amp;" · ","")&amp;IF(AND(ISNUMBER($F27),$F27&lt;FechaRef,N($L27)&lt;1),"Vencida"&amp;" · ","")&amp;IF(AND(ObsObligatoria="Sí",ISNUMBER($F27),$F27&lt;FechaRef,N($L27)&lt;1,$N27=""),"Vencida sin observación"&amp;" · ",""))-3)))</f>
        <v/>
      </c>
      <c r="P27" s="69">
        <f>IF(NOT((COUNTA($B27:$K27)+COUNTA($N27))&gt;0),"",IF(AND($S27="Sub",N($R27)&gt;0),IF(ISNUMBER(INDEX($E$5:$E$1000,$R27-4)),DATE(YEAR(INDEX($E$5:$E$1000,$R27-4)),MONTH(INDEX($E$5:$E$1000,$R27-4)),1),IF(ISNUMBER(INDEX($F$5:$F$1000,$R27-4)),DATE(YEAR(INDEX($F$5:$F$1000,$R27-4)),MONTH(INDEX($F$5:$F$1000,$R27-4)),1),MesCiclo)),IF(ISNUMBER($E27),DATE(YEAR($E27),MONTH($E27),1),IF(ISNUMBER($F27),DATE(YEAR($F27),MONTH($F27),1),MesCiclo))))</f>
        <v/>
      </c>
      <c r="Q27" s="70">
        <f>IF(OR($P27="",$P27&lt;&gt;MesCiclo),"",COUNTIF($P$5:$P27,MesCiclo))</f>
        <v/>
      </c>
      <c r="R27" s="70">
        <f>IF($S27="","",IF($S27="Macro",ROW(),IFERROR(LOOKUP(2,1/($S$5:$S27="Macro"),ROW($S$5:$S27)),0)))</f>
        <v/>
      </c>
      <c r="S27" s="70">
        <f>IF(NOT((COUNTA($B27:$K27)+COUNTA($N27))&gt;0),"",IF($B27&lt;&gt;"","Macro",IF($C27&lt;&gt;"","Sub","Macro")))</f>
        <v/>
      </c>
      <c r="T27" s="70">
        <f>IF($S27="Macro",COUNTIFS($R$5:$R$1000,ROW(),$S$5:$S$1000,"Sub"),"")</f>
        <v/>
      </c>
      <c r="U27" s="70">
        <f>IF($S27="","",IF(ISNUMBER($H27),$H27,0))</f>
        <v/>
      </c>
      <c r="V27" s="70">
        <f>IF($S27="","",IF(ISNUMBER($I27),$I27,$U27))</f>
        <v/>
      </c>
      <c r="W27" s="70">
        <f>IF($S27="","",IF(ISNUMBER($J27),$J27,$V27))</f>
        <v/>
      </c>
      <c r="X27" s="70">
        <f>IF($S27="","",IF(ISNUMBER($K27),$K27,$W27))</f>
        <v/>
      </c>
      <c r="Y27" s="70">
        <f>IF($S27="","",IF(N($T27)&gt;0,AVERAGEIFS($U$5:$U$1000,$R$5:$R$1000,ROW(),$S$5:$S$1000,"Sub"),$U27))</f>
        <v/>
      </c>
      <c r="Z27" s="70">
        <f>IF($S27="","",IF(N($T27)&gt;0,AVERAGEIFS($V$5:$V$1000,$R$5:$R$1000,ROW(),$S$5:$S$1000,"Sub"),$V27))</f>
        <v/>
      </c>
      <c r="AA27" s="70">
        <f>IF($S27="","",IF(N($T27)&gt;0,AVERAGEIFS($W$5:$W$1000,$R$5:$R$1000,ROW(),$S$5:$S$1000,"Sub"),$W27))</f>
        <v/>
      </c>
      <c r="AB27" s="70">
        <f>IF($S27="","",IF(N($T27)&gt;0,AVERAGEIFS($X$5:$X$1000,$R$5:$R$1000,ROW(),$S$5:$S$1000,"Sub"),$X27))</f>
        <v/>
      </c>
    </row>
    <row r="28">
      <c r="A28" s="61">
        <f>IF(NOT((COUNTA($B28:$K28)+COUNTA($N28))&gt;0),"",IF($S28="Macro",COUNTIFS($S$5:$S28,"Macro",$P$5:$P28,$P28),IF(N($R28)=0,"?",COUNTIFS(INDEX($S$5:$S$1000,1):INDEX($S$5:$S$1000,$R28-4),"Macro",INDEX($P$5:$P$1000,1):INDEX($P$5:$P$1000,$R28-4),INDEX($P$5:$P$1000,$R28-4))&amp;"."&amp;COUNTIFS($R$5:$R28,$R28,$S$5:$S28,"Sub"))))</f>
        <v/>
      </c>
      <c r="B28" s="62" t="n"/>
      <c r="C28" s="63" t="n"/>
      <c r="D28" s="62" t="n"/>
      <c r="E28" s="64" t="n"/>
      <c r="F28" s="64" t="n"/>
      <c r="G28" s="65" t="n"/>
      <c r="H28" s="66" t="n"/>
      <c r="I28" s="66" t="n"/>
      <c r="J28" s="66" t="n"/>
      <c r="K28" s="66" t="n"/>
      <c r="L28" s="67">
        <f>IF(NOT((COUNTA($B28:$K28)+COUNTA($N28))&gt;0),"",IF(N($T28)&gt;0,$AB28,IFERROR(LOOKUP(2,1/(H28:K28&lt;&gt;""),H28:K28),0)))</f>
        <v/>
      </c>
      <c r="M28" s="61">
        <f>IF(L28="","",IF(L28&gt;=1,"Completado",IF(L28&gt;0,"En curso","Pendiente")))</f>
        <v/>
      </c>
      <c r="N28" s="62" t="n"/>
      <c r="O28" s="68">
        <f>IF(NOT((COUNTA($B28:$K28)+COUNTA($N28))&gt;0),"",IF((IF(AND($S28="Macro",$B28=""),"Macroactividad vacía"&amp;" · ","")&amp;IF(AND($B28&lt;&gt;"",$C28&lt;&gt;""),"Escriba la subactividad en otra fila, debajo de su macroactividad"&amp;" · ","")&amp;IF(AND($S28="Sub",N($R28)=0),"Subactividad sin macroactividad arriba"&amp;" · ","")&amp;IF($D28="","Sin responsable"&amp;" · ","")&amp;IF($E28="","Sin fecha de inicio"&amp;" · ","")&amp;IF($F28="","Sin fecha límite"&amp;" · ","")&amp;IF(OR(AND($E28&lt;&gt;"",NOT(ISNUMBER($E28))),AND($F28&lt;&gt;"",NOT(ISNUMBER($F28)))),"Fecha no válida"&amp;" · ","")&amp;IF(AND(ISNUMBER($E28),ISNUMBER($F28),$E28&gt;$F28),"Inicio posterior a fecha límite"&amp;" · ","")&amp;IF(AND($S28="Macro",$G28=""),"Peso vacío"&amp;" · ","")&amp;IF(AND($S28="Macro",$G28&lt;&gt;"",OR(NOT(ISNUMBER($G28)),$G28&lt;=0,$G28&gt;1)),"Peso fuera de rango"&amp;" · ","")&amp;IF(AND($S28="Sub",$G28&lt;&gt;""),"Las subactividades no llevan peso"&amp;" · ","")&amp;IF(AND($S28="Macro",ABS(SUMIFS($G$5:$G$1000,$P$5:$P$1000,$P28,$S$5:$S$1000,"Macro")-1)&gt;0.0001),"Pesos del mes suman "&amp;TEXT(SUMIFS($G$5:$G$1000,$P$5:$P$1000,$P28,$S$5:$S$1000,"Macro"),"0%")&amp;" · ","")&amp;IF(AND(N($T28)&gt;0,COUNT($H28:$K28)&gt;0),"Con subactividades: deje vacías las semanas (se calculan solas)"&amp;" · ","")&amp;IF((COUNTIF($H28:$K28,"&gt;1")+COUNTIF($H28:$K28,"&lt;0")+COUNTA($H28:$K28)-COUNT($H28:$K28))&gt;0,"Avance fuera de rango 0-100%"&amp;" · ","")&amp;IF(OR(AND($I28&lt;&gt;"",$I28&lt;$H28),AND($J28&lt;&gt;"",$J28&lt;MAX($H28:$I28)),AND($K28&lt;&gt;"",$K28&lt;MAX($H28:$J28))),"Avance semanal decreciente"&amp;" · ","")&amp;IF(AND(ISNUMBER($F28),$F28&lt;FechaRef,N($L28)&lt;1),"Vencida"&amp;" · ","")&amp;IF(AND(ObsObligatoria="Sí",ISNUMBER($F28),$F28&lt;FechaRef,N($L28)&lt;1,$N28=""),"Vencida sin observación"&amp;" · ",""))="","✔ OK","⚠ "&amp;LEFT(IF(AND($S28="Macro",$B28=""),"Macroactividad vacía"&amp;" · ","")&amp;IF(AND($B28&lt;&gt;"",$C28&lt;&gt;""),"Escriba la subactividad en otra fila, debajo de su macroactividad"&amp;" · ","")&amp;IF(AND($S28="Sub",N($R28)=0),"Subactividad sin macroactividad arriba"&amp;" · ","")&amp;IF($D28="","Sin responsable"&amp;" · ","")&amp;IF($E28="","Sin fecha de inicio"&amp;" · ","")&amp;IF($F28="","Sin fecha límite"&amp;" · ","")&amp;IF(OR(AND($E28&lt;&gt;"",NOT(ISNUMBER($E28))),AND($F28&lt;&gt;"",NOT(ISNUMBER($F28)))),"Fecha no válida"&amp;" · ","")&amp;IF(AND(ISNUMBER($E28),ISNUMBER($F28),$E28&gt;$F28),"Inicio posterior a fecha límite"&amp;" · ","")&amp;IF(AND($S28="Macro",$G28=""),"Peso vacío"&amp;" · ","")&amp;IF(AND($S28="Macro",$G28&lt;&gt;"",OR(NOT(ISNUMBER($G28)),$G28&lt;=0,$G28&gt;1)),"Peso fuera de rango"&amp;" · ","")&amp;IF(AND($S28="Sub",$G28&lt;&gt;""),"Las subactividades no llevan peso"&amp;" · ","")&amp;IF(AND($S28="Macro",ABS(SUMIFS($G$5:$G$1000,$P$5:$P$1000,$P28,$S$5:$S$1000,"Macro")-1)&gt;0.0001),"Pesos del mes suman "&amp;TEXT(SUMIFS($G$5:$G$1000,$P$5:$P$1000,$P28,$S$5:$S$1000,"Macro"),"0%")&amp;" · ","")&amp;IF(AND(N($T28)&gt;0,COUNT($H28:$K28)&gt;0),"Con subactividades: deje vacías las semanas (se calculan solas)"&amp;" · ","")&amp;IF((COUNTIF($H28:$K28,"&gt;1")+COUNTIF($H28:$K28,"&lt;0")+COUNTA($H28:$K28)-COUNT($H28:$K28))&gt;0,"Avance fuera de rango 0-100%"&amp;" · ","")&amp;IF(OR(AND($I28&lt;&gt;"",$I28&lt;$H28),AND($J28&lt;&gt;"",$J28&lt;MAX($H28:$I28)),AND($K28&lt;&gt;"",$K28&lt;MAX($H28:$J28))),"Avance semanal decreciente"&amp;" · ","")&amp;IF(AND(ISNUMBER($F28),$F28&lt;FechaRef,N($L28)&lt;1),"Vencida"&amp;" · ","")&amp;IF(AND(ObsObligatoria="Sí",ISNUMBER($F28),$F28&lt;FechaRef,N($L28)&lt;1,$N28=""),"Vencida sin observación"&amp;" · ",""),LEN(IF(AND($S28="Macro",$B28=""),"Macroactividad vacía"&amp;" · ","")&amp;IF(AND($B28&lt;&gt;"",$C28&lt;&gt;""),"Escriba la subactividad en otra fila, debajo de su macroactividad"&amp;" · ","")&amp;IF(AND($S28="Sub",N($R28)=0),"Subactividad sin macroactividad arriba"&amp;" · ","")&amp;IF($D28="","Sin responsable"&amp;" · ","")&amp;IF($E28="","Sin fecha de inicio"&amp;" · ","")&amp;IF($F28="","Sin fecha límite"&amp;" · ","")&amp;IF(OR(AND($E28&lt;&gt;"",NOT(ISNUMBER($E28))),AND($F28&lt;&gt;"",NOT(ISNUMBER($F28)))),"Fecha no válida"&amp;" · ","")&amp;IF(AND(ISNUMBER($E28),ISNUMBER($F28),$E28&gt;$F28),"Inicio posterior a fecha límite"&amp;" · ","")&amp;IF(AND($S28="Macro",$G28=""),"Peso vacío"&amp;" · ","")&amp;IF(AND($S28="Macro",$G28&lt;&gt;"",OR(NOT(ISNUMBER($G28)),$G28&lt;=0,$G28&gt;1)),"Peso fuera de rango"&amp;" · ","")&amp;IF(AND($S28="Sub",$G28&lt;&gt;""),"Las subactividades no llevan peso"&amp;" · ","")&amp;IF(AND($S28="Macro",ABS(SUMIFS($G$5:$G$1000,$P$5:$P$1000,$P28,$S$5:$S$1000,"Macro")-1)&gt;0.0001),"Pesos del mes suman "&amp;TEXT(SUMIFS($G$5:$G$1000,$P$5:$P$1000,$P28,$S$5:$S$1000,"Macro"),"0%")&amp;" · ","")&amp;IF(AND(N($T28)&gt;0,COUNT($H28:$K28)&gt;0),"Con subactividades: deje vacías las semanas (se calculan solas)"&amp;" · ","")&amp;IF((COUNTIF($H28:$K28,"&gt;1")+COUNTIF($H28:$K28,"&lt;0")+COUNTA($H28:$K28)-COUNT($H28:$K28))&gt;0,"Avance fuera de rango 0-100%"&amp;" · ","")&amp;IF(OR(AND($I28&lt;&gt;"",$I28&lt;$H28),AND($J28&lt;&gt;"",$J28&lt;MAX($H28:$I28)),AND($K28&lt;&gt;"",$K28&lt;MAX($H28:$J28))),"Avance semanal decreciente"&amp;" · ","")&amp;IF(AND(ISNUMBER($F28),$F28&lt;FechaRef,N($L28)&lt;1),"Vencida"&amp;" · ","")&amp;IF(AND(ObsObligatoria="Sí",ISNUMBER($F28),$F28&lt;FechaRef,N($L28)&lt;1,$N28=""),"Vencida sin observación"&amp;" · ",""))-3)))</f>
        <v/>
      </c>
      <c r="P28" s="69">
        <f>IF(NOT((COUNTA($B28:$K28)+COUNTA($N28))&gt;0),"",IF(AND($S28="Sub",N($R28)&gt;0),IF(ISNUMBER(INDEX($E$5:$E$1000,$R28-4)),DATE(YEAR(INDEX($E$5:$E$1000,$R28-4)),MONTH(INDEX($E$5:$E$1000,$R28-4)),1),IF(ISNUMBER(INDEX($F$5:$F$1000,$R28-4)),DATE(YEAR(INDEX($F$5:$F$1000,$R28-4)),MONTH(INDEX($F$5:$F$1000,$R28-4)),1),MesCiclo)),IF(ISNUMBER($E28),DATE(YEAR($E28),MONTH($E28),1),IF(ISNUMBER($F28),DATE(YEAR($F28),MONTH($F28),1),MesCiclo))))</f>
        <v/>
      </c>
      <c r="Q28" s="70">
        <f>IF(OR($P28="",$P28&lt;&gt;MesCiclo),"",COUNTIF($P$5:$P28,MesCiclo))</f>
        <v/>
      </c>
      <c r="R28" s="70">
        <f>IF($S28="","",IF($S28="Macro",ROW(),IFERROR(LOOKUP(2,1/($S$5:$S28="Macro"),ROW($S$5:$S28)),0)))</f>
        <v/>
      </c>
      <c r="S28" s="70">
        <f>IF(NOT((COUNTA($B28:$K28)+COUNTA($N28))&gt;0),"",IF($B28&lt;&gt;"","Macro",IF($C28&lt;&gt;"","Sub","Macro")))</f>
        <v/>
      </c>
      <c r="T28" s="70">
        <f>IF($S28="Macro",COUNTIFS($R$5:$R$1000,ROW(),$S$5:$S$1000,"Sub"),"")</f>
        <v/>
      </c>
      <c r="U28" s="70">
        <f>IF($S28="","",IF(ISNUMBER($H28),$H28,0))</f>
        <v/>
      </c>
      <c r="V28" s="70">
        <f>IF($S28="","",IF(ISNUMBER($I28),$I28,$U28))</f>
        <v/>
      </c>
      <c r="W28" s="70">
        <f>IF($S28="","",IF(ISNUMBER($J28),$J28,$V28))</f>
        <v/>
      </c>
      <c r="X28" s="70">
        <f>IF($S28="","",IF(ISNUMBER($K28),$K28,$W28))</f>
        <v/>
      </c>
      <c r="Y28" s="70">
        <f>IF($S28="","",IF(N($T28)&gt;0,AVERAGEIFS($U$5:$U$1000,$R$5:$R$1000,ROW(),$S$5:$S$1000,"Sub"),$U28))</f>
        <v/>
      </c>
      <c r="Z28" s="70">
        <f>IF($S28="","",IF(N($T28)&gt;0,AVERAGEIFS($V$5:$V$1000,$R$5:$R$1000,ROW(),$S$5:$S$1000,"Sub"),$V28))</f>
        <v/>
      </c>
      <c r="AA28" s="70">
        <f>IF($S28="","",IF(N($T28)&gt;0,AVERAGEIFS($W$5:$W$1000,$R$5:$R$1000,ROW(),$S$5:$S$1000,"Sub"),$W28))</f>
        <v/>
      </c>
      <c r="AB28" s="70">
        <f>IF($S28="","",IF(N($T28)&gt;0,AVERAGEIFS($X$5:$X$1000,$R$5:$R$1000,ROW(),$S$5:$S$1000,"Sub"),$X28))</f>
        <v/>
      </c>
    </row>
    <row r="29">
      <c r="A29" s="61">
        <f>IF(NOT((COUNTA($B29:$K29)+COUNTA($N29))&gt;0),"",IF($S29="Macro",COUNTIFS($S$5:$S29,"Macro",$P$5:$P29,$P29),IF(N($R29)=0,"?",COUNTIFS(INDEX($S$5:$S$1000,1):INDEX($S$5:$S$1000,$R29-4),"Macro",INDEX($P$5:$P$1000,1):INDEX($P$5:$P$1000,$R29-4),INDEX($P$5:$P$1000,$R29-4))&amp;"."&amp;COUNTIFS($R$5:$R29,$R29,$S$5:$S29,"Sub"))))</f>
        <v/>
      </c>
      <c r="B29" s="62" t="n"/>
      <c r="C29" s="63" t="n"/>
      <c r="D29" s="62" t="n"/>
      <c r="E29" s="64" t="n"/>
      <c r="F29" s="64" t="n"/>
      <c r="G29" s="65" t="n"/>
      <c r="H29" s="66" t="n"/>
      <c r="I29" s="66" t="n"/>
      <c r="J29" s="66" t="n"/>
      <c r="K29" s="66" t="n"/>
      <c r="L29" s="67">
        <f>IF(NOT((COUNTA($B29:$K29)+COUNTA($N29))&gt;0),"",IF(N($T29)&gt;0,$AB29,IFERROR(LOOKUP(2,1/(H29:K29&lt;&gt;""),H29:K29),0)))</f>
        <v/>
      </c>
      <c r="M29" s="61">
        <f>IF(L29="","",IF(L29&gt;=1,"Completado",IF(L29&gt;0,"En curso","Pendiente")))</f>
        <v/>
      </c>
      <c r="N29" s="62" t="n"/>
      <c r="O29" s="68">
        <f>IF(NOT((COUNTA($B29:$K29)+COUNTA($N29))&gt;0),"",IF((IF(AND($S29="Macro",$B29=""),"Macroactividad vacía"&amp;" · ","")&amp;IF(AND($B29&lt;&gt;"",$C29&lt;&gt;""),"Escriba la subactividad en otra fila, debajo de su macroactividad"&amp;" · ","")&amp;IF(AND($S29="Sub",N($R29)=0),"Subactividad sin macroactividad arriba"&amp;" · ","")&amp;IF($D29="","Sin responsable"&amp;" · ","")&amp;IF($E29="","Sin fecha de inicio"&amp;" · ","")&amp;IF($F29="","Sin fecha límite"&amp;" · ","")&amp;IF(OR(AND($E29&lt;&gt;"",NOT(ISNUMBER($E29))),AND($F29&lt;&gt;"",NOT(ISNUMBER($F29)))),"Fecha no válida"&amp;" · ","")&amp;IF(AND(ISNUMBER($E29),ISNUMBER($F29),$E29&gt;$F29),"Inicio posterior a fecha límite"&amp;" · ","")&amp;IF(AND($S29="Macro",$G29=""),"Peso vacío"&amp;" · ","")&amp;IF(AND($S29="Macro",$G29&lt;&gt;"",OR(NOT(ISNUMBER($G29)),$G29&lt;=0,$G29&gt;1)),"Peso fuera de rango"&amp;" · ","")&amp;IF(AND($S29="Sub",$G29&lt;&gt;""),"Las subactividades no llevan peso"&amp;" · ","")&amp;IF(AND($S29="Macro",ABS(SUMIFS($G$5:$G$1000,$P$5:$P$1000,$P29,$S$5:$S$1000,"Macro")-1)&gt;0.0001),"Pesos del mes suman "&amp;TEXT(SUMIFS($G$5:$G$1000,$P$5:$P$1000,$P29,$S$5:$S$1000,"Macro"),"0%")&amp;" · ","")&amp;IF(AND(N($T29)&gt;0,COUNT($H29:$K29)&gt;0),"Con subactividades: deje vacías las semanas (se calculan solas)"&amp;" · ","")&amp;IF((COUNTIF($H29:$K29,"&gt;1")+COUNTIF($H29:$K29,"&lt;0")+COUNTA($H29:$K29)-COUNT($H29:$K29))&gt;0,"Avance fuera de rango 0-100%"&amp;" · ","")&amp;IF(OR(AND($I29&lt;&gt;"",$I29&lt;$H29),AND($J29&lt;&gt;"",$J29&lt;MAX($H29:$I29)),AND($K29&lt;&gt;"",$K29&lt;MAX($H29:$J29))),"Avance semanal decreciente"&amp;" · ","")&amp;IF(AND(ISNUMBER($F29),$F29&lt;FechaRef,N($L29)&lt;1),"Vencida"&amp;" · ","")&amp;IF(AND(ObsObligatoria="Sí",ISNUMBER($F29),$F29&lt;FechaRef,N($L29)&lt;1,$N29=""),"Vencida sin observación"&amp;" · ",""))="","✔ OK","⚠ "&amp;LEFT(IF(AND($S29="Macro",$B29=""),"Macroactividad vacía"&amp;" · ","")&amp;IF(AND($B29&lt;&gt;"",$C29&lt;&gt;""),"Escriba la subactividad en otra fila, debajo de su macroactividad"&amp;" · ","")&amp;IF(AND($S29="Sub",N($R29)=0),"Subactividad sin macroactividad arriba"&amp;" · ","")&amp;IF($D29="","Sin responsable"&amp;" · ","")&amp;IF($E29="","Sin fecha de inicio"&amp;" · ","")&amp;IF($F29="","Sin fecha límite"&amp;" · ","")&amp;IF(OR(AND($E29&lt;&gt;"",NOT(ISNUMBER($E29))),AND($F29&lt;&gt;"",NOT(ISNUMBER($F29)))),"Fecha no válida"&amp;" · ","")&amp;IF(AND(ISNUMBER($E29),ISNUMBER($F29),$E29&gt;$F29),"Inicio posterior a fecha límite"&amp;" · ","")&amp;IF(AND($S29="Macro",$G29=""),"Peso vacío"&amp;" · ","")&amp;IF(AND($S29="Macro",$G29&lt;&gt;"",OR(NOT(ISNUMBER($G29)),$G29&lt;=0,$G29&gt;1)),"Peso fuera de rango"&amp;" · ","")&amp;IF(AND($S29="Sub",$G29&lt;&gt;""),"Las subactividades no llevan peso"&amp;" · ","")&amp;IF(AND($S29="Macro",ABS(SUMIFS($G$5:$G$1000,$P$5:$P$1000,$P29,$S$5:$S$1000,"Macro")-1)&gt;0.0001),"Pesos del mes suman "&amp;TEXT(SUMIFS($G$5:$G$1000,$P$5:$P$1000,$P29,$S$5:$S$1000,"Macro"),"0%")&amp;" · ","")&amp;IF(AND(N($T29)&gt;0,COUNT($H29:$K29)&gt;0),"Con subactividades: deje vacías las semanas (se calculan solas)"&amp;" · ","")&amp;IF((COUNTIF($H29:$K29,"&gt;1")+COUNTIF($H29:$K29,"&lt;0")+COUNTA($H29:$K29)-COUNT($H29:$K29))&gt;0,"Avance fuera de rango 0-100%"&amp;" · ","")&amp;IF(OR(AND($I29&lt;&gt;"",$I29&lt;$H29),AND($J29&lt;&gt;"",$J29&lt;MAX($H29:$I29)),AND($K29&lt;&gt;"",$K29&lt;MAX($H29:$J29))),"Avance semanal decreciente"&amp;" · ","")&amp;IF(AND(ISNUMBER($F29),$F29&lt;FechaRef,N($L29)&lt;1),"Vencida"&amp;" · ","")&amp;IF(AND(ObsObligatoria="Sí",ISNUMBER($F29),$F29&lt;FechaRef,N($L29)&lt;1,$N29=""),"Vencida sin observación"&amp;" · ",""),LEN(IF(AND($S29="Macro",$B29=""),"Macroactividad vacía"&amp;" · ","")&amp;IF(AND($B29&lt;&gt;"",$C29&lt;&gt;""),"Escriba la subactividad en otra fila, debajo de su macroactividad"&amp;" · ","")&amp;IF(AND($S29="Sub",N($R29)=0),"Subactividad sin macroactividad arriba"&amp;" · ","")&amp;IF($D29="","Sin responsable"&amp;" · ","")&amp;IF($E29="","Sin fecha de inicio"&amp;" · ","")&amp;IF($F29="","Sin fecha límite"&amp;" · ","")&amp;IF(OR(AND($E29&lt;&gt;"",NOT(ISNUMBER($E29))),AND($F29&lt;&gt;"",NOT(ISNUMBER($F29)))),"Fecha no válida"&amp;" · ","")&amp;IF(AND(ISNUMBER($E29),ISNUMBER($F29),$E29&gt;$F29),"Inicio posterior a fecha límite"&amp;" · ","")&amp;IF(AND($S29="Macro",$G29=""),"Peso vacío"&amp;" · ","")&amp;IF(AND($S29="Macro",$G29&lt;&gt;"",OR(NOT(ISNUMBER($G29)),$G29&lt;=0,$G29&gt;1)),"Peso fuera de rango"&amp;" · ","")&amp;IF(AND($S29="Sub",$G29&lt;&gt;""),"Las subactividades no llevan peso"&amp;" · ","")&amp;IF(AND($S29="Macro",ABS(SUMIFS($G$5:$G$1000,$P$5:$P$1000,$P29,$S$5:$S$1000,"Macro")-1)&gt;0.0001),"Pesos del mes suman "&amp;TEXT(SUMIFS($G$5:$G$1000,$P$5:$P$1000,$P29,$S$5:$S$1000,"Macro"),"0%")&amp;" · ","")&amp;IF(AND(N($T29)&gt;0,COUNT($H29:$K29)&gt;0),"Con subactividades: deje vacías las semanas (se calculan solas)"&amp;" · ","")&amp;IF((COUNTIF($H29:$K29,"&gt;1")+COUNTIF($H29:$K29,"&lt;0")+COUNTA($H29:$K29)-COUNT($H29:$K29))&gt;0,"Avance fuera de rango 0-100%"&amp;" · ","")&amp;IF(OR(AND($I29&lt;&gt;"",$I29&lt;$H29),AND($J29&lt;&gt;"",$J29&lt;MAX($H29:$I29)),AND($K29&lt;&gt;"",$K29&lt;MAX($H29:$J29))),"Avance semanal decreciente"&amp;" · ","")&amp;IF(AND(ISNUMBER($F29),$F29&lt;FechaRef,N($L29)&lt;1),"Vencida"&amp;" · ","")&amp;IF(AND(ObsObligatoria="Sí",ISNUMBER($F29),$F29&lt;FechaRef,N($L29)&lt;1,$N29=""),"Vencida sin observación"&amp;" · ",""))-3)))</f>
        <v/>
      </c>
      <c r="P29" s="69">
        <f>IF(NOT((COUNTA($B29:$K29)+COUNTA($N29))&gt;0),"",IF(AND($S29="Sub",N($R29)&gt;0),IF(ISNUMBER(INDEX($E$5:$E$1000,$R29-4)),DATE(YEAR(INDEX($E$5:$E$1000,$R29-4)),MONTH(INDEX($E$5:$E$1000,$R29-4)),1),IF(ISNUMBER(INDEX($F$5:$F$1000,$R29-4)),DATE(YEAR(INDEX($F$5:$F$1000,$R29-4)),MONTH(INDEX($F$5:$F$1000,$R29-4)),1),MesCiclo)),IF(ISNUMBER($E29),DATE(YEAR($E29),MONTH($E29),1),IF(ISNUMBER($F29),DATE(YEAR($F29),MONTH($F29),1),MesCiclo))))</f>
        <v/>
      </c>
      <c r="Q29" s="70">
        <f>IF(OR($P29="",$P29&lt;&gt;MesCiclo),"",COUNTIF($P$5:$P29,MesCiclo))</f>
        <v/>
      </c>
      <c r="R29" s="70">
        <f>IF($S29="","",IF($S29="Macro",ROW(),IFERROR(LOOKUP(2,1/($S$5:$S29="Macro"),ROW($S$5:$S29)),0)))</f>
        <v/>
      </c>
      <c r="S29" s="70">
        <f>IF(NOT((COUNTA($B29:$K29)+COUNTA($N29))&gt;0),"",IF($B29&lt;&gt;"","Macro",IF($C29&lt;&gt;"","Sub","Macro")))</f>
        <v/>
      </c>
      <c r="T29" s="70">
        <f>IF($S29="Macro",COUNTIFS($R$5:$R$1000,ROW(),$S$5:$S$1000,"Sub"),"")</f>
        <v/>
      </c>
      <c r="U29" s="70">
        <f>IF($S29="","",IF(ISNUMBER($H29),$H29,0))</f>
        <v/>
      </c>
      <c r="V29" s="70">
        <f>IF($S29="","",IF(ISNUMBER($I29),$I29,$U29))</f>
        <v/>
      </c>
      <c r="W29" s="70">
        <f>IF($S29="","",IF(ISNUMBER($J29),$J29,$V29))</f>
        <v/>
      </c>
      <c r="X29" s="70">
        <f>IF($S29="","",IF(ISNUMBER($K29),$K29,$W29))</f>
        <v/>
      </c>
      <c r="Y29" s="70">
        <f>IF($S29="","",IF(N($T29)&gt;0,AVERAGEIFS($U$5:$U$1000,$R$5:$R$1000,ROW(),$S$5:$S$1000,"Sub"),$U29))</f>
        <v/>
      </c>
      <c r="Z29" s="70">
        <f>IF($S29="","",IF(N($T29)&gt;0,AVERAGEIFS($V$5:$V$1000,$R$5:$R$1000,ROW(),$S$5:$S$1000,"Sub"),$V29))</f>
        <v/>
      </c>
      <c r="AA29" s="70">
        <f>IF($S29="","",IF(N($T29)&gt;0,AVERAGEIFS($W$5:$W$1000,$R$5:$R$1000,ROW(),$S$5:$S$1000,"Sub"),$W29))</f>
        <v/>
      </c>
      <c r="AB29" s="70">
        <f>IF($S29="","",IF(N($T29)&gt;0,AVERAGEIFS($X$5:$X$1000,$R$5:$R$1000,ROW(),$S$5:$S$1000,"Sub"),$X29))</f>
        <v/>
      </c>
    </row>
    <row r="30">
      <c r="A30" s="61">
        <f>IF(NOT((COUNTA($B30:$K30)+COUNTA($N30))&gt;0),"",IF($S30="Macro",COUNTIFS($S$5:$S30,"Macro",$P$5:$P30,$P30),IF(N($R30)=0,"?",COUNTIFS(INDEX($S$5:$S$1000,1):INDEX($S$5:$S$1000,$R30-4),"Macro",INDEX($P$5:$P$1000,1):INDEX($P$5:$P$1000,$R30-4),INDEX($P$5:$P$1000,$R30-4))&amp;"."&amp;COUNTIFS($R$5:$R30,$R30,$S$5:$S30,"Sub"))))</f>
        <v/>
      </c>
      <c r="B30" s="62" t="n"/>
      <c r="C30" s="63" t="n"/>
      <c r="D30" s="62" t="n"/>
      <c r="E30" s="64" t="n"/>
      <c r="F30" s="64" t="n"/>
      <c r="G30" s="65" t="n"/>
      <c r="H30" s="66" t="n"/>
      <c r="I30" s="66" t="n"/>
      <c r="J30" s="66" t="n"/>
      <c r="K30" s="66" t="n"/>
      <c r="L30" s="67">
        <f>IF(NOT((COUNTA($B30:$K30)+COUNTA($N30))&gt;0),"",IF(N($T30)&gt;0,$AB30,IFERROR(LOOKUP(2,1/(H30:K30&lt;&gt;""),H30:K30),0)))</f>
        <v/>
      </c>
      <c r="M30" s="61">
        <f>IF(L30="","",IF(L30&gt;=1,"Completado",IF(L30&gt;0,"En curso","Pendiente")))</f>
        <v/>
      </c>
      <c r="N30" s="62" t="n"/>
      <c r="O30" s="68">
        <f>IF(NOT((COUNTA($B30:$K30)+COUNTA($N30))&gt;0),"",IF((IF(AND($S30="Macro",$B30=""),"Macroactividad vacía"&amp;" · ","")&amp;IF(AND($B30&lt;&gt;"",$C30&lt;&gt;""),"Escriba la subactividad en otra fila, debajo de su macroactividad"&amp;" · ","")&amp;IF(AND($S30="Sub",N($R30)=0),"Subactividad sin macroactividad arriba"&amp;" · ","")&amp;IF($D30="","Sin responsable"&amp;" · ","")&amp;IF($E30="","Sin fecha de inicio"&amp;" · ","")&amp;IF($F30="","Sin fecha límite"&amp;" · ","")&amp;IF(OR(AND($E30&lt;&gt;"",NOT(ISNUMBER($E30))),AND($F30&lt;&gt;"",NOT(ISNUMBER($F30)))),"Fecha no válida"&amp;" · ","")&amp;IF(AND(ISNUMBER($E30),ISNUMBER($F30),$E30&gt;$F30),"Inicio posterior a fecha límite"&amp;" · ","")&amp;IF(AND($S30="Macro",$G30=""),"Peso vacío"&amp;" · ","")&amp;IF(AND($S30="Macro",$G30&lt;&gt;"",OR(NOT(ISNUMBER($G30)),$G30&lt;=0,$G30&gt;1)),"Peso fuera de rango"&amp;" · ","")&amp;IF(AND($S30="Sub",$G30&lt;&gt;""),"Las subactividades no llevan peso"&amp;" · ","")&amp;IF(AND($S30="Macro",ABS(SUMIFS($G$5:$G$1000,$P$5:$P$1000,$P30,$S$5:$S$1000,"Macro")-1)&gt;0.0001),"Pesos del mes suman "&amp;TEXT(SUMIFS($G$5:$G$1000,$P$5:$P$1000,$P30,$S$5:$S$1000,"Macro"),"0%")&amp;" · ","")&amp;IF(AND(N($T30)&gt;0,COUNT($H30:$K30)&gt;0),"Con subactividades: deje vacías las semanas (se calculan solas)"&amp;" · ","")&amp;IF((COUNTIF($H30:$K30,"&gt;1")+COUNTIF($H30:$K30,"&lt;0")+COUNTA($H30:$K30)-COUNT($H30:$K30))&gt;0,"Avance fuera de rango 0-100%"&amp;" · ","")&amp;IF(OR(AND($I30&lt;&gt;"",$I30&lt;$H30),AND($J30&lt;&gt;"",$J30&lt;MAX($H30:$I30)),AND($K30&lt;&gt;"",$K30&lt;MAX($H30:$J30))),"Avance semanal decreciente"&amp;" · ","")&amp;IF(AND(ISNUMBER($F30),$F30&lt;FechaRef,N($L30)&lt;1),"Vencida"&amp;" · ","")&amp;IF(AND(ObsObligatoria="Sí",ISNUMBER($F30),$F30&lt;FechaRef,N($L30)&lt;1,$N30=""),"Vencida sin observación"&amp;" · ",""))="","✔ OK","⚠ "&amp;LEFT(IF(AND($S30="Macro",$B30=""),"Macroactividad vacía"&amp;" · ","")&amp;IF(AND($B30&lt;&gt;"",$C30&lt;&gt;""),"Escriba la subactividad en otra fila, debajo de su macroactividad"&amp;" · ","")&amp;IF(AND($S30="Sub",N($R30)=0),"Subactividad sin macroactividad arriba"&amp;" · ","")&amp;IF($D30="","Sin responsable"&amp;" · ","")&amp;IF($E30="","Sin fecha de inicio"&amp;" · ","")&amp;IF($F30="","Sin fecha límite"&amp;" · ","")&amp;IF(OR(AND($E30&lt;&gt;"",NOT(ISNUMBER($E30))),AND($F30&lt;&gt;"",NOT(ISNUMBER($F30)))),"Fecha no válida"&amp;" · ","")&amp;IF(AND(ISNUMBER($E30),ISNUMBER($F30),$E30&gt;$F30),"Inicio posterior a fecha límite"&amp;" · ","")&amp;IF(AND($S30="Macro",$G30=""),"Peso vacío"&amp;" · ","")&amp;IF(AND($S30="Macro",$G30&lt;&gt;"",OR(NOT(ISNUMBER($G30)),$G30&lt;=0,$G30&gt;1)),"Peso fuera de rango"&amp;" · ","")&amp;IF(AND($S30="Sub",$G30&lt;&gt;""),"Las subactividades no llevan peso"&amp;" · ","")&amp;IF(AND($S30="Macro",ABS(SUMIFS($G$5:$G$1000,$P$5:$P$1000,$P30,$S$5:$S$1000,"Macro")-1)&gt;0.0001),"Pesos del mes suman "&amp;TEXT(SUMIFS($G$5:$G$1000,$P$5:$P$1000,$P30,$S$5:$S$1000,"Macro"),"0%")&amp;" · ","")&amp;IF(AND(N($T30)&gt;0,COUNT($H30:$K30)&gt;0),"Con subactividades: deje vacías las semanas (se calculan solas)"&amp;" · ","")&amp;IF((COUNTIF($H30:$K30,"&gt;1")+COUNTIF($H30:$K30,"&lt;0")+COUNTA($H30:$K30)-COUNT($H30:$K30))&gt;0,"Avance fuera de rango 0-100%"&amp;" · ","")&amp;IF(OR(AND($I30&lt;&gt;"",$I30&lt;$H30),AND($J30&lt;&gt;"",$J30&lt;MAX($H30:$I30)),AND($K30&lt;&gt;"",$K30&lt;MAX($H30:$J30))),"Avance semanal decreciente"&amp;" · ","")&amp;IF(AND(ISNUMBER($F30),$F30&lt;FechaRef,N($L30)&lt;1),"Vencida"&amp;" · ","")&amp;IF(AND(ObsObligatoria="Sí",ISNUMBER($F30),$F30&lt;FechaRef,N($L30)&lt;1,$N30=""),"Vencida sin observación"&amp;" · ",""),LEN(IF(AND($S30="Macro",$B30=""),"Macroactividad vacía"&amp;" · ","")&amp;IF(AND($B30&lt;&gt;"",$C30&lt;&gt;""),"Escriba la subactividad en otra fila, debajo de su macroactividad"&amp;" · ","")&amp;IF(AND($S30="Sub",N($R30)=0),"Subactividad sin macroactividad arriba"&amp;" · ","")&amp;IF($D30="","Sin responsable"&amp;" · ","")&amp;IF($E30="","Sin fecha de inicio"&amp;" · ","")&amp;IF($F30="","Sin fecha límite"&amp;" · ","")&amp;IF(OR(AND($E30&lt;&gt;"",NOT(ISNUMBER($E30))),AND($F30&lt;&gt;"",NOT(ISNUMBER($F30)))),"Fecha no válida"&amp;" · ","")&amp;IF(AND(ISNUMBER($E30),ISNUMBER($F30),$E30&gt;$F30),"Inicio posterior a fecha límite"&amp;" · ","")&amp;IF(AND($S30="Macro",$G30=""),"Peso vacío"&amp;" · ","")&amp;IF(AND($S30="Macro",$G30&lt;&gt;"",OR(NOT(ISNUMBER($G30)),$G30&lt;=0,$G30&gt;1)),"Peso fuera de rango"&amp;" · ","")&amp;IF(AND($S30="Sub",$G30&lt;&gt;""),"Las subactividades no llevan peso"&amp;" · ","")&amp;IF(AND($S30="Macro",ABS(SUMIFS($G$5:$G$1000,$P$5:$P$1000,$P30,$S$5:$S$1000,"Macro")-1)&gt;0.0001),"Pesos del mes suman "&amp;TEXT(SUMIFS($G$5:$G$1000,$P$5:$P$1000,$P30,$S$5:$S$1000,"Macro"),"0%")&amp;" · ","")&amp;IF(AND(N($T30)&gt;0,COUNT($H30:$K30)&gt;0),"Con subactividades: deje vacías las semanas (se calculan solas)"&amp;" · ","")&amp;IF((COUNTIF($H30:$K30,"&gt;1")+COUNTIF($H30:$K30,"&lt;0")+COUNTA($H30:$K30)-COUNT($H30:$K30))&gt;0,"Avance fuera de rango 0-100%"&amp;" · ","")&amp;IF(OR(AND($I30&lt;&gt;"",$I30&lt;$H30),AND($J30&lt;&gt;"",$J30&lt;MAX($H30:$I30)),AND($K30&lt;&gt;"",$K30&lt;MAX($H30:$J30))),"Avance semanal decreciente"&amp;" · ","")&amp;IF(AND(ISNUMBER($F30),$F30&lt;FechaRef,N($L30)&lt;1),"Vencida"&amp;" · ","")&amp;IF(AND(ObsObligatoria="Sí",ISNUMBER($F30),$F30&lt;FechaRef,N($L30)&lt;1,$N30=""),"Vencida sin observación"&amp;" · ",""))-3)))</f>
        <v/>
      </c>
      <c r="P30" s="69">
        <f>IF(NOT((COUNTA($B30:$K30)+COUNTA($N30))&gt;0),"",IF(AND($S30="Sub",N($R30)&gt;0),IF(ISNUMBER(INDEX($E$5:$E$1000,$R30-4)),DATE(YEAR(INDEX($E$5:$E$1000,$R30-4)),MONTH(INDEX($E$5:$E$1000,$R30-4)),1),IF(ISNUMBER(INDEX($F$5:$F$1000,$R30-4)),DATE(YEAR(INDEX($F$5:$F$1000,$R30-4)),MONTH(INDEX($F$5:$F$1000,$R30-4)),1),MesCiclo)),IF(ISNUMBER($E30),DATE(YEAR($E30),MONTH($E30),1),IF(ISNUMBER($F30),DATE(YEAR($F30),MONTH($F30),1),MesCiclo))))</f>
        <v/>
      </c>
      <c r="Q30" s="70">
        <f>IF(OR($P30="",$P30&lt;&gt;MesCiclo),"",COUNTIF($P$5:$P30,MesCiclo))</f>
        <v/>
      </c>
      <c r="R30" s="70">
        <f>IF($S30="","",IF($S30="Macro",ROW(),IFERROR(LOOKUP(2,1/($S$5:$S30="Macro"),ROW($S$5:$S30)),0)))</f>
        <v/>
      </c>
      <c r="S30" s="70">
        <f>IF(NOT((COUNTA($B30:$K30)+COUNTA($N30))&gt;0),"",IF($B30&lt;&gt;"","Macro",IF($C30&lt;&gt;"","Sub","Macro")))</f>
        <v/>
      </c>
      <c r="T30" s="70">
        <f>IF($S30="Macro",COUNTIFS($R$5:$R$1000,ROW(),$S$5:$S$1000,"Sub"),"")</f>
        <v/>
      </c>
      <c r="U30" s="70">
        <f>IF($S30="","",IF(ISNUMBER($H30),$H30,0))</f>
        <v/>
      </c>
      <c r="V30" s="70">
        <f>IF($S30="","",IF(ISNUMBER($I30),$I30,$U30))</f>
        <v/>
      </c>
      <c r="W30" s="70">
        <f>IF($S30="","",IF(ISNUMBER($J30),$J30,$V30))</f>
        <v/>
      </c>
      <c r="X30" s="70">
        <f>IF($S30="","",IF(ISNUMBER($K30),$K30,$W30))</f>
        <v/>
      </c>
      <c r="Y30" s="70">
        <f>IF($S30="","",IF(N($T30)&gt;0,AVERAGEIFS($U$5:$U$1000,$R$5:$R$1000,ROW(),$S$5:$S$1000,"Sub"),$U30))</f>
        <v/>
      </c>
      <c r="Z30" s="70">
        <f>IF($S30="","",IF(N($T30)&gt;0,AVERAGEIFS($V$5:$V$1000,$R$5:$R$1000,ROW(),$S$5:$S$1000,"Sub"),$V30))</f>
        <v/>
      </c>
      <c r="AA30" s="70">
        <f>IF($S30="","",IF(N($T30)&gt;0,AVERAGEIFS($W$5:$W$1000,$R$5:$R$1000,ROW(),$S$5:$S$1000,"Sub"),$W30))</f>
        <v/>
      </c>
      <c r="AB30" s="70">
        <f>IF($S30="","",IF(N($T30)&gt;0,AVERAGEIFS($X$5:$X$1000,$R$5:$R$1000,ROW(),$S$5:$S$1000,"Sub"),$X30))</f>
        <v/>
      </c>
    </row>
    <row r="31">
      <c r="A31" s="61">
        <f>IF(NOT((COUNTA($B31:$K31)+COUNTA($N31))&gt;0),"",IF($S31="Macro",COUNTIFS($S$5:$S31,"Macro",$P$5:$P31,$P31),IF(N($R31)=0,"?",COUNTIFS(INDEX($S$5:$S$1000,1):INDEX($S$5:$S$1000,$R31-4),"Macro",INDEX($P$5:$P$1000,1):INDEX($P$5:$P$1000,$R31-4),INDEX($P$5:$P$1000,$R31-4))&amp;"."&amp;COUNTIFS($R$5:$R31,$R31,$S$5:$S31,"Sub"))))</f>
        <v/>
      </c>
      <c r="B31" s="62" t="n"/>
      <c r="C31" s="63" t="n"/>
      <c r="D31" s="62" t="n"/>
      <c r="E31" s="64" t="n"/>
      <c r="F31" s="64" t="n"/>
      <c r="G31" s="65" t="n"/>
      <c r="H31" s="66" t="n"/>
      <c r="I31" s="66" t="n"/>
      <c r="J31" s="66" t="n"/>
      <c r="K31" s="66" t="n"/>
      <c r="L31" s="67">
        <f>IF(NOT((COUNTA($B31:$K31)+COUNTA($N31))&gt;0),"",IF(N($T31)&gt;0,$AB31,IFERROR(LOOKUP(2,1/(H31:K31&lt;&gt;""),H31:K31),0)))</f>
        <v/>
      </c>
      <c r="M31" s="61">
        <f>IF(L31="","",IF(L31&gt;=1,"Completado",IF(L31&gt;0,"En curso","Pendiente")))</f>
        <v/>
      </c>
      <c r="N31" s="62" t="n"/>
      <c r="O31" s="68">
        <f>IF(NOT((COUNTA($B31:$K31)+COUNTA($N31))&gt;0),"",IF((IF(AND($S31="Macro",$B31=""),"Macroactividad vacía"&amp;" · ","")&amp;IF(AND($B31&lt;&gt;"",$C31&lt;&gt;""),"Escriba la subactividad en otra fila, debajo de su macroactividad"&amp;" · ","")&amp;IF(AND($S31="Sub",N($R31)=0),"Subactividad sin macroactividad arriba"&amp;" · ","")&amp;IF($D31="","Sin responsable"&amp;" · ","")&amp;IF($E31="","Sin fecha de inicio"&amp;" · ","")&amp;IF($F31="","Sin fecha límite"&amp;" · ","")&amp;IF(OR(AND($E31&lt;&gt;"",NOT(ISNUMBER($E31))),AND($F31&lt;&gt;"",NOT(ISNUMBER($F31)))),"Fecha no válida"&amp;" · ","")&amp;IF(AND(ISNUMBER($E31),ISNUMBER($F31),$E31&gt;$F31),"Inicio posterior a fecha límite"&amp;" · ","")&amp;IF(AND($S31="Macro",$G31=""),"Peso vacío"&amp;" · ","")&amp;IF(AND($S31="Macro",$G31&lt;&gt;"",OR(NOT(ISNUMBER($G31)),$G31&lt;=0,$G31&gt;1)),"Peso fuera de rango"&amp;" · ","")&amp;IF(AND($S31="Sub",$G31&lt;&gt;""),"Las subactividades no llevan peso"&amp;" · ","")&amp;IF(AND($S31="Macro",ABS(SUMIFS($G$5:$G$1000,$P$5:$P$1000,$P31,$S$5:$S$1000,"Macro")-1)&gt;0.0001),"Pesos del mes suman "&amp;TEXT(SUMIFS($G$5:$G$1000,$P$5:$P$1000,$P31,$S$5:$S$1000,"Macro"),"0%")&amp;" · ","")&amp;IF(AND(N($T31)&gt;0,COUNT($H31:$K31)&gt;0),"Con subactividades: deje vacías las semanas (se calculan solas)"&amp;" · ","")&amp;IF((COUNTIF($H31:$K31,"&gt;1")+COUNTIF($H31:$K31,"&lt;0")+COUNTA($H31:$K31)-COUNT($H31:$K31))&gt;0,"Avance fuera de rango 0-100%"&amp;" · ","")&amp;IF(OR(AND($I31&lt;&gt;"",$I31&lt;$H31),AND($J31&lt;&gt;"",$J31&lt;MAX($H31:$I31)),AND($K31&lt;&gt;"",$K31&lt;MAX($H31:$J31))),"Avance semanal decreciente"&amp;" · ","")&amp;IF(AND(ISNUMBER($F31),$F31&lt;FechaRef,N($L31)&lt;1),"Vencida"&amp;" · ","")&amp;IF(AND(ObsObligatoria="Sí",ISNUMBER($F31),$F31&lt;FechaRef,N($L31)&lt;1,$N31=""),"Vencida sin observación"&amp;" · ",""))="","✔ OK","⚠ "&amp;LEFT(IF(AND($S31="Macro",$B31=""),"Macroactividad vacía"&amp;" · ","")&amp;IF(AND($B31&lt;&gt;"",$C31&lt;&gt;""),"Escriba la subactividad en otra fila, debajo de su macroactividad"&amp;" · ","")&amp;IF(AND($S31="Sub",N($R31)=0),"Subactividad sin macroactividad arriba"&amp;" · ","")&amp;IF($D31="","Sin responsable"&amp;" · ","")&amp;IF($E31="","Sin fecha de inicio"&amp;" · ","")&amp;IF($F31="","Sin fecha límite"&amp;" · ","")&amp;IF(OR(AND($E31&lt;&gt;"",NOT(ISNUMBER($E31))),AND($F31&lt;&gt;"",NOT(ISNUMBER($F31)))),"Fecha no válida"&amp;" · ","")&amp;IF(AND(ISNUMBER($E31),ISNUMBER($F31),$E31&gt;$F31),"Inicio posterior a fecha límite"&amp;" · ","")&amp;IF(AND($S31="Macro",$G31=""),"Peso vacío"&amp;" · ","")&amp;IF(AND($S31="Macro",$G31&lt;&gt;"",OR(NOT(ISNUMBER($G31)),$G31&lt;=0,$G31&gt;1)),"Peso fuera de rango"&amp;" · ","")&amp;IF(AND($S31="Sub",$G31&lt;&gt;""),"Las subactividades no llevan peso"&amp;" · ","")&amp;IF(AND($S31="Macro",ABS(SUMIFS($G$5:$G$1000,$P$5:$P$1000,$P31,$S$5:$S$1000,"Macro")-1)&gt;0.0001),"Pesos del mes suman "&amp;TEXT(SUMIFS($G$5:$G$1000,$P$5:$P$1000,$P31,$S$5:$S$1000,"Macro"),"0%")&amp;" · ","")&amp;IF(AND(N($T31)&gt;0,COUNT($H31:$K31)&gt;0),"Con subactividades: deje vacías las semanas (se calculan solas)"&amp;" · ","")&amp;IF((COUNTIF($H31:$K31,"&gt;1")+COUNTIF($H31:$K31,"&lt;0")+COUNTA($H31:$K31)-COUNT($H31:$K31))&gt;0,"Avance fuera de rango 0-100%"&amp;" · ","")&amp;IF(OR(AND($I31&lt;&gt;"",$I31&lt;$H31),AND($J31&lt;&gt;"",$J31&lt;MAX($H31:$I31)),AND($K31&lt;&gt;"",$K31&lt;MAX($H31:$J31))),"Avance semanal decreciente"&amp;" · ","")&amp;IF(AND(ISNUMBER($F31),$F31&lt;FechaRef,N($L31)&lt;1),"Vencida"&amp;" · ","")&amp;IF(AND(ObsObligatoria="Sí",ISNUMBER($F31),$F31&lt;FechaRef,N($L31)&lt;1,$N31=""),"Vencida sin observación"&amp;" · ",""),LEN(IF(AND($S31="Macro",$B31=""),"Macroactividad vacía"&amp;" · ","")&amp;IF(AND($B31&lt;&gt;"",$C31&lt;&gt;""),"Escriba la subactividad en otra fila, debajo de su macroactividad"&amp;" · ","")&amp;IF(AND($S31="Sub",N($R31)=0),"Subactividad sin macroactividad arriba"&amp;" · ","")&amp;IF($D31="","Sin responsable"&amp;" · ","")&amp;IF($E31="","Sin fecha de inicio"&amp;" · ","")&amp;IF($F31="","Sin fecha límite"&amp;" · ","")&amp;IF(OR(AND($E31&lt;&gt;"",NOT(ISNUMBER($E31))),AND($F31&lt;&gt;"",NOT(ISNUMBER($F31)))),"Fecha no válida"&amp;" · ","")&amp;IF(AND(ISNUMBER($E31),ISNUMBER($F31),$E31&gt;$F31),"Inicio posterior a fecha límite"&amp;" · ","")&amp;IF(AND($S31="Macro",$G31=""),"Peso vacío"&amp;" · ","")&amp;IF(AND($S31="Macro",$G31&lt;&gt;"",OR(NOT(ISNUMBER($G31)),$G31&lt;=0,$G31&gt;1)),"Peso fuera de rango"&amp;" · ","")&amp;IF(AND($S31="Sub",$G31&lt;&gt;""),"Las subactividades no llevan peso"&amp;" · ","")&amp;IF(AND($S31="Macro",ABS(SUMIFS($G$5:$G$1000,$P$5:$P$1000,$P31,$S$5:$S$1000,"Macro")-1)&gt;0.0001),"Pesos del mes suman "&amp;TEXT(SUMIFS($G$5:$G$1000,$P$5:$P$1000,$P31,$S$5:$S$1000,"Macro"),"0%")&amp;" · ","")&amp;IF(AND(N($T31)&gt;0,COUNT($H31:$K31)&gt;0),"Con subactividades: deje vacías las semanas (se calculan solas)"&amp;" · ","")&amp;IF((COUNTIF($H31:$K31,"&gt;1")+COUNTIF($H31:$K31,"&lt;0")+COUNTA($H31:$K31)-COUNT($H31:$K31))&gt;0,"Avance fuera de rango 0-100%"&amp;" · ","")&amp;IF(OR(AND($I31&lt;&gt;"",$I31&lt;$H31),AND($J31&lt;&gt;"",$J31&lt;MAX($H31:$I31)),AND($K31&lt;&gt;"",$K31&lt;MAX($H31:$J31))),"Avance semanal decreciente"&amp;" · ","")&amp;IF(AND(ISNUMBER($F31),$F31&lt;FechaRef,N($L31)&lt;1),"Vencida"&amp;" · ","")&amp;IF(AND(ObsObligatoria="Sí",ISNUMBER($F31),$F31&lt;FechaRef,N($L31)&lt;1,$N31=""),"Vencida sin observación"&amp;" · ",""))-3)))</f>
        <v/>
      </c>
      <c r="P31" s="69">
        <f>IF(NOT((COUNTA($B31:$K31)+COUNTA($N31))&gt;0),"",IF(AND($S31="Sub",N($R31)&gt;0),IF(ISNUMBER(INDEX($E$5:$E$1000,$R31-4)),DATE(YEAR(INDEX($E$5:$E$1000,$R31-4)),MONTH(INDEX($E$5:$E$1000,$R31-4)),1),IF(ISNUMBER(INDEX($F$5:$F$1000,$R31-4)),DATE(YEAR(INDEX($F$5:$F$1000,$R31-4)),MONTH(INDEX($F$5:$F$1000,$R31-4)),1),MesCiclo)),IF(ISNUMBER($E31),DATE(YEAR($E31),MONTH($E31),1),IF(ISNUMBER($F31),DATE(YEAR($F31),MONTH($F31),1),MesCiclo))))</f>
        <v/>
      </c>
      <c r="Q31" s="70">
        <f>IF(OR($P31="",$P31&lt;&gt;MesCiclo),"",COUNTIF($P$5:$P31,MesCiclo))</f>
        <v/>
      </c>
      <c r="R31" s="70">
        <f>IF($S31="","",IF($S31="Macro",ROW(),IFERROR(LOOKUP(2,1/($S$5:$S31="Macro"),ROW($S$5:$S31)),0)))</f>
        <v/>
      </c>
      <c r="S31" s="70">
        <f>IF(NOT((COUNTA($B31:$K31)+COUNTA($N31))&gt;0),"",IF($B31&lt;&gt;"","Macro",IF($C31&lt;&gt;"","Sub","Macro")))</f>
        <v/>
      </c>
      <c r="T31" s="70">
        <f>IF($S31="Macro",COUNTIFS($R$5:$R$1000,ROW(),$S$5:$S$1000,"Sub"),"")</f>
        <v/>
      </c>
      <c r="U31" s="70">
        <f>IF($S31="","",IF(ISNUMBER($H31),$H31,0))</f>
        <v/>
      </c>
      <c r="V31" s="70">
        <f>IF($S31="","",IF(ISNUMBER($I31),$I31,$U31))</f>
        <v/>
      </c>
      <c r="W31" s="70">
        <f>IF($S31="","",IF(ISNUMBER($J31),$J31,$V31))</f>
        <v/>
      </c>
      <c r="X31" s="70">
        <f>IF($S31="","",IF(ISNUMBER($K31),$K31,$W31))</f>
        <v/>
      </c>
      <c r="Y31" s="70">
        <f>IF($S31="","",IF(N($T31)&gt;0,AVERAGEIFS($U$5:$U$1000,$R$5:$R$1000,ROW(),$S$5:$S$1000,"Sub"),$U31))</f>
        <v/>
      </c>
      <c r="Z31" s="70">
        <f>IF($S31="","",IF(N($T31)&gt;0,AVERAGEIFS($V$5:$V$1000,$R$5:$R$1000,ROW(),$S$5:$S$1000,"Sub"),$V31))</f>
        <v/>
      </c>
      <c r="AA31" s="70">
        <f>IF($S31="","",IF(N($T31)&gt;0,AVERAGEIFS($W$5:$W$1000,$R$5:$R$1000,ROW(),$S$5:$S$1000,"Sub"),$W31))</f>
        <v/>
      </c>
      <c r="AB31" s="70">
        <f>IF($S31="","",IF(N($T31)&gt;0,AVERAGEIFS($X$5:$X$1000,$R$5:$R$1000,ROW(),$S$5:$S$1000,"Sub"),$X31))</f>
        <v/>
      </c>
    </row>
    <row r="32">
      <c r="A32" s="61">
        <f>IF(NOT((COUNTA($B32:$K32)+COUNTA($N32))&gt;0),"",IF($S32="Macro",COUNTIFS($S$5:$S32,"Macro",$P$5:$P32,$P32),IF(N($R32)=0,"?",COUNTIFS(INDEX($S$5:$S$1000,1):INDEX($S$5:$S$1000,$R32-4),"Macro",INDEX($P$5:$P$1000,1):INDEX($P$5:$P$1000,$R32-4),INDEX($P$5:$P$1000,$R32-4))&amp;"."&amp;COUNTIFS($R$5:$R32,$R32,$S$5:$S32,"Sub"))))</f>
        <v/>
      </c>
      <c r="B32" s="62" t="n"/>
      <c r="C32" s="63" t="n"/>
      <c r="D32" s="62" t="n"/>
      <c r="E32" s="64" t="n"/>
      <c r="F32" s="64" t="n"/>
      <c r="G32" s="65" t="n"/>
      <c r="H32" s="66" t="n"/>
      <c r="I32" s="66" t="n"/>
      <c r="J32" s="66" t="n"/>
      <c r="K32" s="66" t="n"/>
      <c r="L32" s="67">
        <f>IF(NOT((COUNTA($B32:$K32)+COUNTA($N32))&gt;0),"",IF(N($T32)&gt;0,$AB32,IFERROR(LOOKUP(2,1/(H32:K32&lt;&gt;""),H32:K32),0)))</f>
        <v/>
      </c>
      <c r="M32" s="61">
        <f>IF(L32="","",IF(L32&gt;=1,"Completado",IF(L32&gt;0,"En curso","Pendiente")))</f>
        <v/>
      </c>
      <c r="N32" s="62" t="n"/>
      <c r="O32" s="68">
        <f>IF(NOT((COUNTA($B32:$K32)+COUNTA($N32))&gt;0),"",IF((IF(AND($S32="Macro",$B32=""),"Macroactividad vacía"&amp;" · ","")&amp;IF(AND($B32&lt;&gt;"",$C32&lt;&gt;""),"Escriba la subactividad en otra fila, debajo de su macroactividad"&amp;" · ","")&amp;IF(AND($S32="Sub",N($R32)=0),"Subactividad sin macroactividad arriba"&amp;" · ","")&amp;IF($D32="","Sin responsable"&amp;" · ","")&amp;IF($E32="","Sin fecha de inicio"&amp;" · ","")&amp;IF($F32="","Sin fecha límite"&amp;" · ","")&amp;IF(OR(AND($E32&lt;&gt;"",NOT(ISNUMBER($E32))),AND($F32&lt;&gt;"",NOT(ISNUMBER($F32)))),"Fecha no válida"&amp;" · ","")&amp;IF(AND(ISNUMBER($E32),ISNUMBER($F32),$E32&gt;$F32),"Inicio posterior a fecha límite"&amp;" · ","")&amp;IF(AND($S32="Macro",$G32=""),"Peso vacío"&amp;" · ","")&amp;IF(AND($S32="Macro",$G32&lt;&gt;"",OR(NOT(ISNUMBER($G32)),$G32&lt;=0,$G32&gt;1)),"Peso fuera de rango"&amp;" · ","")&amp;IF(AND($S32="Sub",$G32&lt;&gt;""),"Las subactividades no llevan peso"&amp;" · ","")&amp;IF(AND($S32="Macro",ABS(SUMIFS($G$5:$G$1000,$P$5:$P$1000,$P32,$S$5:$S$1000,"Macro")-1)&gt;0.0001),"Pesos del mes suman "&amp;TEXT(SUMIFS($G$5:$G$1000,$P$5:$P$1000,$P32,$S$5:$S$1000,"Macro"),"0%")&amp;" · ","")&amp;IF(AND(N($T32)&gt;0,COUNT($H32:$K32)&gt;0),"Con subactividades: deje vacías las semanas (se calculan solas)"&amp;" · ","")&amp;IF((COUNTIF($H32:$K32,"&gt;1")+COUNTIF($H32:$K32,"&lt;0")+COUNTA($H32:$K32)-COUNT($H32:$K32))&gt;0,"Avance fuera de rango 0-100%"&amp;" · ","")&amp;IF(OR(AND($I32&lt;&gt;"",$I32&lt;$H32),AND($J32&lt;&gt;"",$J32&lt;MAX($H32:$I32)),AND($K32&lt;&gt;"",$K32&lt;MAX($H32:$J32))),"Avance semanal decreciente"&amp;" · ","")&amp;IF(AND(ISNUMBER($F32),$F32&lt;FechaRef,N($L32)&lt;1),"Vencida"&amp;" · ","")&amp;IF(AND(ObsObligatoria="Sí",ISNUMBER($F32),$F32&lt;FechaRef,N($L32)&lt;1,$N32=""),"Vencida sin observación"&amp;" · ",""))="","✔ OK","⚠ "&amp;LEFT(IF(AND($S32="Macro",$B32=""),"Macroactividad vacía"&amp;" · ","")&amp;IF(AND($B32&lt;&gt;"",$C32&lt;&gt;""),"Escriba la subactividad en otra fila, debajo de su macroactividad"&amp;" · ","")&amp;IF(AND($S32="Sub",N($R32)=0),"Subactividad sin macroactividad arriba"&amp;" · ","")&amp;IF($D32="","Sin responsable"&amp;" · ","")&amp;IF($E32="","Sin fecha de inicio"&amp;" · ","")&amp;IF($F32="","Sin fecha límite"&amp;" · ","")&amp;IF(OR(AND($E32&lt;&gt;"",NOT(ISNUMBER($E32))),AND($F32&lt;&gt;"",NOT(ISNUMBER($F32)))),"Fecha no válida"&amp;" · ","")&amp;IF(AND(ISNUMBER($E32),ISNUMBER($F32),$E32&gt;$F32),"Inicio posterior a fecha límite"&amp;" · ","")&amp;IF(AND($S32="Macro",$G32=""),"Peso vacío"&amp;" · ","")&amp;IF(AND($S32="Macro",$G32&lt;&gt;"",OR(NOT(ISNUMBER($G32)),$G32&lt;=0,$G32&gt;1)),"Peso fuera de rango"&amp;" · ","")&amp;IF(AND($S32="Sub",$G32&lt;&gt;""),"Las subactividades no llevan peso"&amp;" · ","")&amp;IF(AND($S32="Macro",ABS(SUMIFS($G$5:$G$1000,$P$5:$P$1000,$P32,$S$5:$S$1000,"Macro")-1)&gt;0.0001),"Pesos del mes suman "&amp;TEXT(SUMIFS($G$5:$G$1000,$P$5:$P$1000,$P32,$S$5:$S$1000,"Macro"),"0%")&amp;" · ","")&amp;IF(AND(N($T32)&gt;0,COUNT($H32:$K32)&gt;0),"Con subactividades: deje vacías las semanas (se calculan solas)"&amp;" · ","")&amp;IF((COUNTIF($H32:$K32,"&gt;1")+COUNTIF($H32:$K32,"&lt;0")+COUNTA($H32:$K32)-COUNT($H32:$K32))&gt;0,"Avance fuera de rango 0-100%"&amp;" · ","")&amp;IF(OR(AND($I32&lt;&gt;"",$I32&lt;$H32),AND($J32&lt;&gt;"",$J32&lt;MAX($H32:$I32)),AND($K32&lt;&gt;"",$K32&lt;MAX($H32:$J32))),"Avance semanal decreciente"&amp;" · ","")&amp;IF(AND(ISNUMBER($F32),$F32&lt;FechaRef,N($L32)&lt;1),"Vencida"&amp;" · ","")&amp;IF(AND(ObsObligatoria="Sí",ISNUMBER($F32),$F32&lt;FechaRef,N($L32)&lt;1,$N32=""),"Vencida sin observación"&amp;" · ",""),LEN(IF(AND($S32="Macro",$B32=""),"Macroactividad vacía"&amp;" · ","")&amp;IF(AND($B32&lt;&gt;"",$C32&lt;&gt;""),"Escriba la subactividad en otra fila, debajo de su macroactividad"&amp;" · ","")&amp;IF(AND($S32="Sub",N($R32)=0),"Subactividad sin macroactividad arriba"&amp;" · ","")&amp;IF($D32="","Sin responsable"&amp;" · ","")&amp;IF($E32="","Sin fecha de inicio"&amp;" · ","")&amp;IF($F32="","Sin fecha límite"&amp;" · ","")&amp;IF(OR(AND($E32&lt;&gt;"",NOT(ISNUMBER($E32))),AND($F32&lt;&gt;"",NOT(ISNUMBER($F32)))),"Fecha no válida"&amp;" · ","")&amp;IF(AND(ISNUMBER($E32),ISNUMBER($F32),$E32&gt;$F32),"Inicio posterior a fecha límite"&amp;" · ","")&amp;IF(AND($S32="Macro",$G32=""),"Peso vacío"&amp;" · ","")&amp;IF(AND($S32="Macro",$G32&lt;&gt;"",OR(NOT(ISNUMBER($G32)),$G32&lt;=0,$G32&gt;1)),"Peso fuera de rango"&amp;" · ","")&amp;IF(AND($S32="Sub",$G32&lt;&gt;""),"Las subactividades no llevan peso"&amp;" · ","")&amp;IF(AND($S32="Macro",ABS(SUMIFS($G$5:$G$1000,$P$5:$P$1000,$P32,$S$5:$S$1000,"Macro")-1)&gt;0.0001),"Pesos del mes suman "&amp;TEXT(SUMIFS($G$5:$G$1000,$P$5:$P$1000,$P32,$S$5:$S$1000,"Macro"),"0%")&amp;" · ","")&amp;IF(AND(N($T32)&gt;0,COUNT($H32:$K32)&gt;0),"Con subactividades: deje vacías las semanas (se calculan solas)"&amp;" · ","")&amp;IF((COUNTIF($H32:$K32,"&gt;1")+COUNTIF($H32:$K32,"&lt;0")+COUNTA($H32:$K32)-COUNT($H32:$K32))&gt;0,"Avance fuera de rango 0-100%"&amp;" · ","")&amp;IF(OR(AND($I32&lt;&gt;"",$I32&lt;$H32),AND($J32&lt;&gt;"",$J32&lt;MAX($H32:$I32)),AND($K32&lt;&gt;"",$K32&lt;MAX($H32:$J32))),"Avance semanal decreciente"&amp;" · ","")&amp;IF(AND(ISNUMBER($F32),$F32&lt;FechaRef,N($L32)&lt;1),"Vencida"&amp;" · ","")&amp;IF(AND(ObsObligatoria="Sí",ISNUMBER($F32),$F32&lt;FechaRef,N($L32)&lt;1,$N32=""),"Vencida sin observación"&amp;" · ",""))-3)))</f>
        <v/>
      </c>
      <c r="P32" s="69">
        <f>IF(NOT((COUNTA($B32:$K32)+COUNTA($N32))&gt;0),"",IF(AND($S32="Sub",N($R32)&gt;0),IF(ISNUMBER(INDEX($E$5:$E$1000,$R32-4)),DATE(YEAR(INDEX($E$5:$E$1000,$R32-4)),MONTH(INDEX($E$5:$E$1000,$R32-4)),1),IF(ISNUMBER(INDEX($F$5:$F$1000,$R32-4)),DATE(YEAR(INDEX($F$5:$F$1000,$R32-4)),MONTH(INDEX($F$5:$F$1000,$R32-4)),1),MesCiclo)),IF(ISNUMBER($E32),DATE(YEAR($E32),MONTH($E32),1),IF(ISNUMBER($F32),DATE(YEAR($F32),MONTH($F32),1),MesCiclo))))</f>
        <v/>
      </c>
      <c r="Q32" s="70">
        <f>IF(OR($P32="",$P32&lt;&gt;MesCiclo),"",COUNTIF($P$5:$P32,MesCiclo))</f>
        <v/>
      </c>
      <c r="R32" s="70">
        <f>IF($S32="","",IF($S32="Macro",ROW(),IFERROR(LOOKUP(2,1/($S$5:$S32="Macro"),ROW($S$5:$S32)),0)))</f>
        <v/>
      </c>
      <c r="S32" s="70">
        <f>IF(NOT((COUNTA($B32:$K32)+COUNTA($N32))&gt;0),"",IF($B32&lt;&gt;"","Macro",IF($C32&lt;&gt;"","Sub","Macro")))</f>
        <v/>
      </c>
      <c r="T32" s="70">
        <f>IF($S32="Macro",COUNTIFS($R$5:$R$1000,ROW(),$S$5:$S$1000,"Sub"),"")</f>
        <v/>
      </c>
      <c r="U32" s="70">
        <f>IF($S32="","",IF(ISNUMBER($H32),$H32,0))</f>
        <v/>
      </c>
      <c r="V32" s="70">
        <f>IF($S32="","",IF(ISNUMBER($I32),$I32,$U32))</f>
        <v/>
      </c>
      <c r="W32" s="70">
        <f>IF($S32="","",IF(ISNUMBER($J32),$J32,$V32))</f>
        <v/>
      </c>
      <c r="X32" s="70">
        <f>IF($S32="","",IF(ISNUMBER($K32),$K32,$W32))</f>
        <v/>
      </c>
      <c r="Y32" s="70">
        <f>IF($S32="","",IF(N($T32)&gt;0,AVERAGEIFS($U$5:$U$1000,$R$5:$R$1000,ROW(),$S$5:$S$1000,"Sub"),$U32))</f>
        <v/>
      </c>
      <c r="Z32" s="70">
        <f>IF($S32="","",IF(N($T32)&gt;0,AVERAGEIFS($V$5:$V$1000,$R$5:$R$1000,ROW(),$S$5:$S$1000,"Sub"),$V32))</f>
        <v/>
      </c>
      <c r="AA32" s="70">
        <f>IF($S32="","",IF(N($T32)&gt;0,AVERAGEIFS($W$5:$W$1000,$R$5:$R$1000,ROW(),$S$5:$S$1000,"Sub"),$W32))</f>
        <v/>
      </c>
      <c r="AB32" s="70">
        <f>IF($S32="","",IF(N($T32)&gt;0,AVERAGEIFS($X$5:$X$1000,$R$5:$R$1000,ROW(),$S$5:$S$1000,"Sub"),$X32))</f>
        <v/>
      </c>
    </row>
    <row r="33">
      <c r="A33" s="61">
        <f>IF(NOT((COUNTA($B33:$K33)+COUNTA($N33))&gt;0),"",IF($S33="Macro",COUNTIFS($S$5:$S33,"Macro",$P$5:$P33,$P33),IF(N($R33)=0,"?",COUNTIFS(INDEX($S$5:$S$1000,1):INDEX($S$5:$S$1000,$R33-4),"Macro",INDEX($P$5:$P$1000,1):INDEX($P$5:$P$1000,$R33-4),INDEX($P$5:$P$1000,$R33-4))&amp;"."&amp;COUNTIFS($R$5:$R33,$R33,$S$5:$S33,"Sub"))))</f>
        <v/>
      </c>
      <c r="B33" s="62" t="n"/>
      <c r="C33" s="63" t="n"/>
      <c r="D33" s="62" t="n"/>
      <c r="E33" s="64" t="n"/>
      <c r="F33" s="64" t="n"/>
      <c r="G33" s="65" t="n"/>
      <c r="H33" s="66" t="n"/>
      <c r="I33" s="66" t="n"/>
      <c r="J33" s="66" t="n"/>
      <c r="K33" s="66" t="n"/>
      <c r="L33" s="67">
        <f>IF(NOT((COUNTA($B33:$K33)+COUNTA($N33))&gt;0),"",IF(N($T33)&gt;0,$AB33,IFERROR(LOOKUP(2,1/(H33:K33&lt;&gt;""),H33:K33),0)))</f>
        <v/>
      </c>
      <c r="M33" s="61">
        <f>IF(L33="","",IF(L33&gt;=1,"Completado",IF(L33&gt;0,"En curso","Pendiente")))</f>
        <v/>
      </c>
      <c r="N33" s="62" t="n"/>
      <c r="O33" s="68">
        <f>IF(NOT((COUNTA($B33:$K33)+COUNTA($N33))&gt;0),"",IF((IF(AND($S33="Macro",$B33=""),"Macroactividad vacía"&amp;" · ","")&amp;IF(AND($B33&lt;&gt;"",$C33&lt;&gt;""),"Escriba la subactividad en otra fila, debajo de su macroactividad"&amp;" · ","")&amp;IF(AND($S33="Sub",N($R33)=0),"Subactividad sin macroactividad arriba"&amp;" · ","")&amp;IF($D33="","Sin responsable"&amp;" · ","")&amp;IF($E33="","Sin fecha de inicio"&amp;" · ","")&amp;IF($F33="","Sin fecha límite"&amp;" · ","")&amp;IF(OR(AND($E33&lt;&gt;"",NOT(ISNUMBER($E33))),AND($F33&lt;&gt;"",NOT(ISNUMBER($F33)))),"Fecha no válida"&amp;" · ","")&amp;IF(AND(ISNUMBER($E33),ISNUMBER($F33),$E33&gt;$F33),"Inicio posterior a fecha límite"&amp;" · ","")&amp;IF(AND($S33="Macro",$G33=""),"Peso vacío"&amp;" · ","")&amp;IF(AND($S33="Macro",$G33&lt;&gt;"",OR(NOT(ISNUMBER($G33)),$G33&lt;=0,$G33&gt;1)),"Peso fuera de rango"&amp;" · ","")&amp;IF(AND($S33="Sub",$G33&lt;&gt;""),"Las subactividades no llevan peso"&amp;" · ","")&amp;IF(AND($S33="Macro",ABS(SUMIFS($G$5:$G$1000,$P$5:$P$1000,$P33,$S$5:$S$1000,"Macro")-1)&gt;0.0001),"Pesos del mes suman "&amp;TEXT(SUMIFS($G$5:$G$1000,$P$5:$P$1000,$P33,$S$5:$S$1000,"Macro"),"0%")&amp;" · ","")&amp;IF(AND(N($T33)&gt;0,COUNT($H33:$K33)&gt;0),"Con subactividades: deje vacías las semanas (se calculan solas)"&amp;" · ","")&amp;IF((COUNTIF($H33:$K33,"&gt;1")+COUNTIF($H33:$K33,"&lt;0")+COUNTA($H33:$K33)-COUNT($H33:$K33))&gt;0,"Avance fuera de rango 0-100%"&amp;" · ","")&amp;IF(OR(AND($I33&lt;&gt;"",$I33&lt;$H33),AND($J33&lt;&gt;"",$J33&lt;MAX($H33:$I33)),AND($K33&lt;&gt;"",$K33&lt;MAX($H33:$J33))),"Avance semanal decreciente"&amp;" · ","")&amp;IF(AND(ISNUMBER($F33),$F33&lt;FechaRef,N($L33)&lt;1),"Vencida"&amp;" · ","")&amp;IF(AND(ObsObligatoria="Sí",ISNUMBER($F33),$F33&lt;FechaRef,N($L33)&lt;1,$N33=""),"Vencida sin observación"&amp;" · ",""))="","✔ OK","⚠ "&amp;LEFT(IF(AND($S33="Macro",$B33=""),"Macroactividad vacía"&amp;" · ","")&amp;IF(AND($B33&lt;&gt;"",$C33&lt;&gt;""),"Escriba la subactividad en otra fila, debajo de su macroactividad"&amp;" · ","")&amp;IF(AND($S33="Sub",N($R33)=0),"Subactividad sin macroactividad arriba"&amp;" · ","")&amp;IF($D33="","Sin responsable"&amp;" · ","")&amp;IF($E33="","Sin fecha de inicio"&amp;" · ","")&amp;IF($F33="","Sin fecha límite"&amp;" · ","")&amp;IF(OR(AND($E33&lt;&gt;"",NOT(ISNUMBER($E33))),AND($F33&lt;&gt;"",NOT(ISNUMBER($F33)))),"Fecha no válida"&amp;" · ","")&amp;IF(AND(ISNUMBER($E33),ISNUMBER($F33),$E33&gt;$F33),"Inicio posterior a fecha límite"&amp;" · ","")&amp;IF(AND($S33="Macro",$G33=""),"Peso vacío"&amp;" · ","")&amp;IF(AND($S33="Macro",$G33&lt;&gt;"",OR(NOT(ISNUMBER($G33)),$G33&lt;=0,$G33&gt;1)),"Peso fuera de rango"&amp;" · ","")&amp;IF(AND($S33="Sub",$G33&lt;&gt;""),"Las subactividades no llevan peso"&amp;" · ","")&amp;IF(AND($S33="Macro",ABS(SUMIFS($G$5:$G$1000,$P$5:$P$1000,$P33,$S$5:$S$1000,"Macro")-1)&gt;0.0001),"Pesos del mes suman "&amp;TEXT(SUMIFS($G$5:$G$1000,$P$5:$P$1000,$P33,$S$5:$S$1000,"Macro"),"0%")&amp;" · ","")&amp;IF(AND(N($T33)&gt;0,COUNT($H33:$K33)&gt;0),"Con subactividades: deje vacías las semanas (se calculan solas)"&amp;" · ","")&amp;IF((COUNTIF($H33:$K33,"&gt;1")+COUNTIF($H33:$K33,"&lt;0")+COUNTA($H33:$K33)-COUNT($H33:$K33))&gt;0,"Avance fuera de rango 0-100%"&amp;" · ","")&amp;IF(OR(AND($I33&lt;&gt;"",$I33&lt;$H33),AND($J33&lt;&gt;"",$J33&lt;MAX($H33:$I33)),AND($K33&lt;&gt;"",$K33&lt;MAX($H33:$J33))),"Avance semanal decreciente"&amp;" · ","")&amp;IF(AND(ISNUMBER($F33),$F33&lt;FechaRef,N($L33)&lt;1),"Vencida"&amp;" · ","")&amp;IF(AND(ObsObligatoria="Sí",ISNUMBER($F33),$F33&lt;FechaRef,N($L33)&lt;1,$N33=""),"Vencida sin observación"&amp;" · ",""),LEN(IF(AND($S33="Macro",$B33=""),"Macroactividad vacía"&amp;" · ","")&amp;IF(AND($B33&lt;&gt;"",$C33&lt;&gt;""),"Escriba la subactividad en otra fila, debajo de su macroactividad"&amp;" · ","")&amp;IF(AND($S33="Sub",N($R33)=0),"Subactividad sin macroactividad arriba"&amp;" · ","")&amp;IF($D33="","Sin responsable"&amp;" · ","")&amp;IF($E33="","Sin fecha de inicio"&amp;" · ","")&amp;IF($F33="","Sin fecha límite"&amp;" · ","")&amp;IF(OR(AND($E33&lt;&gt;"",NOT(ISNUMBER($E33))),AND($F33&lt;&gt;"",NOT(ISNUMBER($F33)))),"Fecha no válida"&amp;" · ","")&amp;IF(AND(ISNUMBER($E33),ISNUMBER($F33),$E33&gt;$F33),"Inicio posterior a fecha límite"&amp;" · ","")&amp;IF(AND($S33="Macro",$G33=""),"Peso vacío"&amp;" · ","")&amp;IF(AND($S33="Macro",$G33&lt;&gt;"",OR(NOT(ISNUMBER($G33)),$G33&lt;=0,$G33&gt;1)),"Peso fuera de rango"&amp;" · ","")&amp;IF(AND($S33="Sub",$G33&lt;&gt;""),"Las subactividades no llevan peso"&amp;" · ","")&amp;IF(AND($S33="Macro",ABS(SUMIFS($G$5:$G$1000,$P$5:$P$1000,$P33,$S$5:$S$1000,"Macro")-1)&gt;0.0001),"Pesos del mes suman "&amp;TEXT(SUMIFS($G$5:$G$1000,$P$5:$P$1000,$P33,$S$5:$S$1000,"Macro"),"0%")&amp;" · ","")&amp;IF(AND(N($T33)&gt;0,COUNT($H33:$K33)&gt;0),"Con subactividades: deje vacías las semanas (se calculan solas)"&amp;" · ","")&amp;IF((COUNTIF($H33:$K33,"&gt;1")+COUNTIF($H33:$K33,"&lt;0")+COUNTA($H33:$K33)-COUNT($H33:$K33))&gt;0,"Avance fuera de rango 0-100%"&amp;" · ","")&amp;IF(OR(AND($I33&lt;&gt;"",$I33&lt;$H33),AND($J33&lt;&gt;"",$J33&lt;MAX($H33:$I33)),AND($K33&lt;&gt;"",$K33&lt;MAX($H33:$J33))),"Avance semanal decreciente"&amp;" · ","")&amp;IF(AND(ISNUMBER($F33),$F33&lt;FechaRef,N($L33)&lt;1),"Vencida"&amp;" · ","")&amp;IF(AND(ObsObligatoria="Sí",ISNUMBER($F33),$F33&lt;FechaRef,N($L33)&lt;1,$N33=""),"Vencida sin observación"&amp;" · ",""))-3)))</f>
        <v/>
      </c>
      <c r="P33" s="69">
        <f>IF(NOT((COUNTA($B33:$K33)+COUNTA($N33))&gt;0),"",IF(AND($S33="Sub",N($R33)&gt;0),IF(ISNUMBER(INDEX($E$5:$E$1000,$R33-4)),DATE(YEAR(INDEX($E$5:$E$1000,$R33-4)),MONTH(INDEX($E$5:$E$1000,$R33-4)),1),IF(ISNUMBER(INDEX($F$5:$F$1000,$R33-4)),DATE(YEAR(INDEX($F$5:$F$1000,$R33-4)),MONTH(INDEX($F$5:$F$1000,$R33-4)),1),MesCiclo)),IF(ISNUMBER($E33),DATE(YEAR($E33),MONTH($E33),1),IF(ISNUMBER($F33),DATE(YEAR($F33),MONTH($F33),1),MesCiclo))))</f>
        <v/>
      </c>
      <c r="Q33" s="70">
        <f>IF(OR($P33="",$P33&lt;&gt;MesCiclo),"",COUNTIF($P$5:$P33,MesCiclo))</f>
        <v/>
      </c>
      <c r="R33" s="70">
        <f>IF($S33="","",IF($S33="Macro",ROW(),IFERROR(LOOKUP(2,1/($S$5:$S33="Macro"),ROW($S$5:$S33)),0)))</f>
        <v/>
      </c>
      <c r="S33" s="70">
        <f>IF(NOT((COUNTA($B33:$K33)+COUNTA($N33))&gt;0),"",IF($B33&lt;&gt;"","Macro",IF($C33&lt;&gt;"","Sub","Macro")))</f>
        <v/>
      </c>
      <c r="T33" s="70">
        <f>IF($S33="Macro",COUNTIFS($R$5:$R$1000,ROW(),$S$5:$S$1000,"Sub"),"")</f>
        <v/>
      </c>
      <c r="U33" s="70">
        <f>IF($S33="","",IF(ISNUMBER($H33),$H33,0))</f>
        <v/>
      </c>
      <c r="V33" s="70">
        <f>IF($S33="","",IF(ISNUMBER($I33),$I33,$U33))</f>
        <v/>
      </c>
      <c r="W33" s="70">
        <f>IF($S33="","",IF(ISNUMBER($J33),$J33,$V33))</f>
        <v/>
      </c>
      <c r="X33" s="70">
        <f>IF($S33="","",IF(ISNUMBER($K33),$K33,$W33))</f>
        <v/>
      </c>
      <c r="Y33" s="70">
        <f>IF($S33="","",IF(N($T33)&gt;0,AVERAGEIFS($U$5:$U$1000,$R$5:$R$1000,ROW(),$S$5:$S$1000,"Sub"),$U33))</f>
        <v/>
      </c>
      <c r="Z33" s="70">
        <f>IF($S33="","",IF(N($T33)&gt;0,AVERAGEIFS($V$5:$V$1000,$R$5:$R$1000,ROW(),$S$5:$S$1000,"Sub"),$V33))</f>
        <v/>
      </c>
      <c r="AA33" s="70">
        <f>IF($S33="","",IF(N($T33)&gt;0,AVERAGEIFS($W$5:$W$1000,$R$5:$R$1000,ROW(),$S$5:$S$1000,"Sub"),$W33))</f>
        <v/>
      </c>
      <c r="AB33" s="70">
        <f>IF($S33="","",IF(N($T33)&gt;0,AVERAGEIFS($X$5:$X$1000,$R$5:$R$1000,ROW(),$S$5:$S$1000,"Sub"),$X33))</f>
        <v/>
      </c>
    </row>
    <row r="34">
      <c r="A34" s="61">
        <f>IF(NOT((COUNTA($B34:$K34)+COUNTA($N34))&gt;0),"",IF($S34="Macro",COUNTIFS($S$5:$S34,"Macro",$P$5:$P34,$P34),IF(N($R34)=0,"?",COUNTIFS(INDEX($S$5:$S$1000,1):INDEX($S$5:$S$1000,$R34-4),"Macro",INDEX($P$5:$P$1000,1):INDEX($P$5:$P$1000,$R34-4),INDEX($P$5:$P$1000,$R34-4))&amp;"."&amp;COUNTIFS($R$5:$R34,$R34,$S$5:$S34,"Sub"))))</f>
        <v/>
      </c>
      <c r="B34" s="62" t="n"/>
      <c r="C34" s="63" t="n"/>
      <c r="D34" s="62" t="n"/>
      <c r="E34" s="64" t="n"/>
      <c r="F34" s="64" t="n"/>
      <c r="G34" s="65" t="n"/>
      <c r="H34" s="66" t="n"/>
      <c r="I34" s="66" t="n"/>
      <c r="J34" s="66" t="n"/>
      <c r="K34" s="66" t="n"/>
      <c r="L34" s="67">
        <f>IF(NOT((COUNTA($B34:$K34)+COUNTA($N34))&gt;0),"",IF(N($T34)&gt;0,$AB34,IFERROR(LOOKUP(2,1/(H34:K34&lt;&gt;""),H34:K34),0)))</f>
        <v/>
      </c>
      <c r="M34" s="61">
        <f>IF(L34="","",IF(L34&gt;=1,"Completado",IF(L34&gt;0,"En curso","Pendiente")))</f>
        <v/>
      </c>
      <c r="N34" s="62" t="n"/>
      <c r="O34" s="68">
        <f>IF(NOT((COUNTA($B34:$K34)+COUNTA($N34))&gt;0),"",IF((IF(AND($S34="Macro",$B34=""),"Macroactividad vacía"&amp;" · ","")&amp;IF(AND($B34&lt;&gt;"",$C34&lt;&gt;""),"Escriba la subactividad en otra fila, debajo de su macroactividad"&amp;" · ","")&amp;IF(AND($S34="Sub",N($R34)=0),"Subactividad sin macroactividad arriba"&amp;" · ","")&amp;IF($D34="","Sin responsable"&amp;" · ","")&amp;IF($E34="","Sin fecha de inicio"&amp;" · ","")&amp;IF($F34="","Sin fecha límite"&amp;" · ","")&amp;IF(OR(AND($E34&lt;&gt;"",NOT(ISNUMBER($E34))),AND($F34&lt;&gt;"",NOT(ISNUMBER($F34)))),"Fecha no válida"&amp;" · ","")&amp;IF(AND(ISNUMBER($E34),ISNUMBER($F34),$E34&gt;$F34),"Inicio posterior a fecha límite"&amp;" · ","")&amp;IF(AND($S34="Macro",$G34=""),"Peso vacío"&amp;" · ","")&amp;IF(AND($S34="Macro",$G34&lt;&gt;"",OR(NOT(ISNUMBER($G34)),$G34&lt;=0,$G34&gt;1)),"Peso fuera de rango"&amp;" · ","")&amp;IF(AND($S34="Sub",$G34&lt;&gt;""),"Las subactividades no llevan peso"&amp;" · ","")&amp;IF(AND($S34="Macro",ABS(SUMIFS($G$5:$G$1000,$P$5:$P$1000,$P34,$S$5:$S$1000,"Macro")-1)&gt;0.0001),"Pesos del mes suman "&amp;TEXT(SUMIFS($G$5:$G$1000,$P$5:$P$1000,$P34,$S$5:$S$1000,"Macro"),"0%")&amp;" · ","")&amp;IF(AND(N($T34)&gt;0,COUNT($H34:$K34)&gt;0),"Con subactividades: deje vacías las semanas (se calculan solas)"&amp;" · ","")&amp;IF((COUNTIF($H34:$K34,"&gt;1")+COUNTIF($H34:$K34,"&lt;0")+COUNTA($H34:$K34)-COUNT($H34:$K34))&gt;0,"Avance fuera de rango 0-100%"&amp;" · ","")&amp;IF(OR(AND($I34&lt;&gt;"",$I34&lt;$H34),AND($J34&lt;&gt;"",$J34&lt;MAX($H34:$I34)),AND($K34&lt;&gt;"",$K34&lt;MAX($H34:$J34))),"Avance semanal decreciente"&amp;" · ","")&amp;IF(AND(ISNUMBER($F34),$F34&lt;FechaRef,N($L34)&lt;1),"Vencida"&amp;" · ","")&amp;IF(AND(ObsObligatoria="Sí",ISNUMBER($F34),$F34&lt;FechaRef,N($L34)&lt;1,$N34=""),"Vencida sin observación"&amp;" · ",""))="","✔ OK","⚠ "&amp;LEFT(IF(AND($S34="Macro",$B34=""),"Macroactividad vacía"&amp;" · ","")&amp;IF(AND($B34&lt;&gt;"",$C34&lt;&gt;""),"Escriba la subactividad en otra fila, debajo de su macroactividad"&amp;" · ","")&amp;IF(AND($S34="Sub",N($R34)=0),"Subactividad sin macroactividad arriba"&amp;" · ","")&amp;IF($D34="","Sin responsable"&amp;" · ","")&amp;IF($E34="","Sin fecha de inicio"&amp;" · ","")&amp;IF($F34="","Sin fecha límite"&amp;" · ","")&amp;IF(OR(AND($E34&lt;&gt;"",NOT(ISNUMBER($E34))),AND($F34&lt;&gt;"",NOT(ISNUMBER($F34)))),"Fecha no válida"&amp;" · ","")&amp;IF(AND(ISNUMBER($E34),ISNUMBER($F34),$E34&gt;$F34),"Inicio posterior a fecha límite"&amp;" · ","")&amp;IF(AND($S34="Macro",$G34=""),"Peso vacío"&amp;" · ","")&amp;IF(AND($S34="Macro",$G34&lt;&gt;"",OR(NOT(ISNUMBER($G34)),$G34&lt;=0,$G34&gt;1)),"Peso fuera de rango"&amp;" · ","")&amp;IF(AND($S34="Sub",$G34&lt;&gt;""),"Las subactividades no llevan peso"&amp;" · ","")&amp;IF(AND($S34="Macro",ABS(SUMIFS($G$5:$G$1000,$P$5:$P$1000,$P34,$S$5:$S$1000,"Macro")-1)&gt;0.0001),"Pesos del mes suman "&amp;TEXT(SUMIFS($G$5:$G$1000,$P$5:$P$1000,$P34,$S$5:$S$1000,"Macro"),"0%")&amp;" · ","")&amp;IF(AND(N($T34)&gt;0,COUNT($H34:$K34)&gt;0),"Con subactividades: deje vacías las semanas (se calculan solas)"&amp;" · ","")&amp;IF((COUNTIF($H34:$K34,"&gt;1")+COUNTIF($H34:$K34,"&lt;0")+COUNTA($H34:$K34)-COUNT($H34:$K34))&gt;0,"Avance fuera de rango 0-100%"&amp;" · ","")&amp;IF(OR(AND($I34&lt;&gt;"",$I34&lt;$H34),AND($J34&lt;&gt;"",$J34&lt;MAX($H34:$I34)),AND($K34&lt;&gt;"",$K34&lt;MAX($H34:$J34))),"Avance semanal decreciente"&amp;" · ","")&amp;IF(AND(ISNUMBER($F34),$F34&lt;FechaRef,N($L34)&lt;1),"Vencida"&amp;" · ","")&amp;IF(AND(ObsObligatoria="Sí",ISNUMBER($F34),$F34&lt;FechaRef,N($L34)&lt;1,$N34=""),"Vencida sin observación"&amp;" · ",""),LEN(IF(AND($S34="Macro",$B34=""),"Macroactividad vacía"&amp;" · ","")&amp;IF(AND($B34&lt;&gt;"",$C34&lt;&gt;""),"Escriba la subactividad en otra fila, debajo de su macroactividad"&amp;" · ","")&amp;IF(AND($S34="Sub",N($R34)=0),"Subactividad sin macroactividad arriba"&amp;" · ","")&amp;IF($D34="","Sin responsable"&amp;" · ","")&amp;IF($E34="","Sin fecha de inicio"&amp;" · ","")&amp;IF($F34="","Sin fecha límite"&amp;" · ","")&amp;IF(OR(AND($E34&lt;&gt;"",NOT(ISNUMBER($E34))),AND($F34&lt;&gt;"",NOT(ISNUMBER($F34)))),"Fecha no válida"&amp;" · ","")&amp;IF(AND(ISNUMBER($E34),ISNUMBER($F34),$E34&gt;$F34),"Inicio posterior a fecha límite"&amp;" · ","")&amp;IF(AND($S34="Macro",$G34=""),"Peso vacío"&amp;" · ","")&amp;IF(AND($S34="Macro",$G34&lt;&gt;"",OR(NOT(ISNUMBER($G34)),$G34&lt;=0,$G34&gt;1)),"Peso fuera de rango"&amp;" · ","")&amp;IF(AND($S34="Sub",$G34&lt;&gt;""),"Las subactividades no llevan peso"&amp;" · ","")&amp;IF(AND($S34="Macro",ABS(SUMIFS($G$5:$G$1000,$P$5:$P$1000,$P34,$S$5:$S$1000,"Macro")-1)&gt;0.0001),"Pesos del mes suman "&amp;TEXT(SUMIFS($G$5:$G$1000,$P$5:$P$1000,$P34,$S$5:$S$1000,"Macro"),"0%")&amp;" · ","")&amp;IF(AND(N($T34)&gt;0,COUNT($H34:$K34)&gt;0),"Con subactividades: deje vacías las semanas (se calculan solas)"&amp;" · ","")&amp;IF((COUNTIF($H34:$K34,"&gt;1")+COUNTIF($H34:$K34,"&lt;0")+COUNTA($H34:$K34)-COUNT($H34:$K34))&gt;0,"Avance fuera de rango 0-100%"&amp;" · ","")&amp;IF(OR(AND($I34&lt;&gt;"",$I34&lt;$H34),AND($J34&lt;&gt;"",$J34&lt;MAX($H34:$I34)),AND($K34&lt;&gt;"",$K34&lt;MAX($H34:$J34))),"Avance semanal decreciente"&amp;" · ","")&amp;IF(AND(ISNUMBER($F34),$F34&lt;FechaRef,N($L34)&lt;1),"Vencida"&amp;" · ","")&amp;IF(AND(ObsObligatoria="Sí",ISNUMBER($F34),$F34&lt;FechaRef,N($L34)&lt;1,$N34=""),"Vencida sin observación"&amp;" · ",""))-3)))</f>
        <v/>
      </c>
      <c r="P34" s="69">
        <f>IF(NOT((COUNTA($B34:$K34)+COUNTA($N34))&gt;0),"",IF(AND($S34="Sub",N($R34)&gt;0),IF(ISNUMBER(INDEX($E$5:$E$1000,$R34-4)),DATE(YEAR(INDEX($E$5:$E$1000,$R34-4)),MONTH(INDEX($E$5:$E$1000,$R34-4)),1),IF(ISNUMBER(INDEX($F$5:$F$1000,$R34-4)),DATE(YEAR(INDEX($F$5:$F$1000,$R34-4)),MONTH(INDEX($F$5:$F$1000,$R34-4)),1),MesCiclo)),IF(ISNUMBER($E34),DATE(YEAR($E34),MONTH($E34),1),IF(ISNUMBER($F34),DATE(YEAR($F34),MONTH($F34),1),MesCiclo))))</f>
        <v/>
      </c>
      <c r="Q34" s="70">
        <f>IF(OR($P34="",$P34&lt;&gt;MesCiclo),"",COUNTIF($P$5:$P34,MesCiclo))</f>
        <v/>
      </c>
      <c r="R34" s="70">
        <f>IF($S34="","",IF($S34="Macro",ROW(),IFERROR(LOOKUP(2,1/($S$5:$S34="Macro"),ROW($S$5:$S34)),0)))</f>
        <v/>
      </c>
      <c r="S34" s="70">
        <f>IF(NOT((COUNTA($B34:$K34)+COUNTA($N34))&gt;0),"",IF($B34&lt;&gt;"","Macro",IF($C34&lt;&gt;"","Sub","Macro")))</f>
        <v/>
      </c>
      <c r="T34" s="70">
        <f>IF($S34="Macro",COUNTIFS($R$5:$R$1000,ROW(),$S$5:$S$1000,"Sub"),"")</f>
        <v/>
      </c>
      <c r="U34" s="70">
        <f>IF($S34="","",IF(ISNUMBER($H34),$H34,0))</f>
        <v/>
      </c>
      <c r="V34" s="70">
        <f>IF($S34="","",IF(ISNUMBER($I34),$I34,$U34))</f>
        <v/>
      </c>
      <c r="W34" s="70">
        <f>IF($S34="","",IF(ISNUMBER($J34),$J34,$V34))</f>
        <v/>
      </c>
      <c r="X34" s="70">
        <f>IF($S34="","",IF(ISNUMBER($K34),$K34,$W34))</f>
        <v/>
      </c>
      <c r="Y34" s="70">
        <f>IF($S34="","",IF(N($T34)&gt;0,AVERAGEIFS($U$5:$U$1000,$R$5:$R$1000,ROW(),$S$5:$S$1000,"Sub"),$U34))</f>
        <v/>
      </c>
      <c r="Z34" s="70">
        <f>IF($S34="","",IF(N($T34)&gt;0,AVERAGEIFS($V$5:$V$1000,$R$5:$R$1000,ROW(),$S$5:$S$1000,"Sub"),$V34))</f>
        <v/>
      </c>
      <c r="AA34" s="70">
        <f>IF($S34="","",IF(N($T34)&gt;0,AVERAGEIFS($W$5:$W$1000,$R$5:$R$1000,ROW(),$S$5:$S$1000,"Sub"),$W34))</f>
        <v/>
      </c>
      <c r="AB34" s="70">
        <f>IF($S34="","",IF(N($T34)&gt;0,AVERAGEIFS($X$5:$X$1000,$R$5:$R$1000,ROW(),$S$5:$S$1000,"Sub"),$X34))</f>
        <v/>
      </c>
    </row>
    <row r="35">
      <c r="A35" s="61">
        <f>IF(NOT((COUNTA($B35:$K35)+COUNTA($N35))&gt;0),"",IF($S35="Macro",COUNTIFS($S$5:$S35,"Macro",$P$5:$P35,$P35),IF(N($R35)=0,"?",COUNTIFS(INDEX($S$5:$S$1000,1):INDEX($S$5:$S$1000,$R35-4),"Macro",INDEX($P$5:$P$1000,1):INDEX($P$5:$P$1000,$R35-4),INDEX($P$5:$P$1000,$R35-4))&amp;"."&amp;COUNTIFS($R$5:$R35,$R35,$S$5:$S35,"Sub"))))</f>
        <v/>
      </c>
      <c r="B35" s="62" t="n"/>
      <c r="C35" s="63" t="n"/>
      <c r="D35" s="62" t="n"/>
      <c r="E35" s="64" t="n"/>
      <c r="F35" s="64" t="n"/>
      <c r="G35" s="65" t="n"/>
      <c r="H35" s="66" t="n"/>
      <c r="I35" s="66" t="n"/>
      <c r="J35" s="66" t="n"/>
      <c r="K35" s="66" t="n"/>
      <c r="L35" s="67">
        <f>IF(NOT((COUNTA($B35:$K35)+COUNTA($N35))&gt;0),"",IF(N($T35)&gt;0,$AB35,IFERROR(LOOKUP(2,1/(H35:K35&lt;&gt;""),H35:K35),0)))</f>
        <v/>
      </c>
      <c r="M35" s="61">
        <f>IF(L35="","",IF(L35&gt;=1,"Completado",IF(L35&gt;0,"En curso","Pendiente")))</f>
        <v/>
      </c>
      <c r="N35" s="62" t="n"/>
      <c r="O35" s="68">
        <f>IF(NOT((COUNTA($B35:$K35)+COUNTA($N35))&gt;0),"",IF((IF(AND($S35="Macro",$B35=""),"Macroactividad vacía"&amp;" · ","")&amp;IF(AND($B35&lt;&gt;"",$C35&lt;&gt;""),"Escriba la subactividad en otra fila, debajo de su macroactividad"&amp;" · ","")&amp;IF(AND($S35="Sub",N($R35)=0),"Subactividad sin macroactividad arriba"&amp;" · ","")&amp;IF($D35="","Sin responsable"&amp;" · ","")&amp;IF($E35="","Sin fecha de inicio"&amp;" · ","")&amp;IF($F35="","Sin fecha límite"&amp;" · ","")&amp;IF(OR(AND($E35&lt;&gt;"",NOT(ISNUMBER($E35))),AND($F35&lt;&gt;"",NOT(ISNUMBER($F35)))),"Fecha no válida"&amp;" · ","")&amp;IF(AND(ISNUMBER($E35),ISNUMBER($F35),$E35&gt;$F35),"Inicio posterior a fecha límite"&amp;" · ","")&amp;IF(AND($S35="Macro",$G35=""),"Peso vacío"&amp;" · ","")&amp;IF(AND($S35="Macro",$G35&lt;&gt;"",OR(NOT(ISNUMBER($G35)),$G35&lt;=0,$G35&gt;1)),"Peso fuera de rango"&amp;" · ","")&amp;IF(AND($S35="Sub",$G35&lt;&gt;""),"Las subactividades no llevan peso"&amp;" · ","")&amp;IF(AND($S35="Macro",ABS(SUMIFS($G$5:$G$1000,$P$5:$P$1000,$P35,$S$5:$S$1000,"Macro")-1)&gt;0.0001),"Pesos del mes suman "&amp;TEXT(SUMIFS($G$5:$G$1000,$P$5:$P$1000,$P35,$S$5:$S$1000,"Macro"),"0%")&amp;" · ","")&amp;IF(AND(N($T35)&gt;0,COUNT($H35:$K35)&gt;0),"Con subactividades: deje vacías las semanas (se calculan solas)"&amp;" · ","")&amp;IF((COUNTIF($H35:$K35,"&gt;1")+COUNTIF($H35:$K35,"&lt;0")+COUNTA($H35:$K35)-COUNT($H35:$K35))&gt;0,"Avance fuera de rango 0-100%"&amp;" · ","")&amp;IF(OR(AND($I35&lt;&gt;"",$I35&lt;$H35),AND($J35&lt;&gt;"",$J35&lt;MAX($H35:$I35)),AND($K35&lt;&gt;"",$K35&lt;MAX($H35:$J35))),"Avance semanal decreciente"&amp;" · ","")&amp;IF(AND(ISNUMBER($F35),$F35&lt;FechaRef,N($L35)&lt;1),"Vencida"&amp;" · ","")&amp;IF(AND(ObsObligatoria="Sí",ISNUMBER($F35),$F35&lt;FechaRef,N($L35)&lt;1,$N35=""),"Vencida sin observación"&amp;" · ",""))="","✔ OK","⚠ "&amp;LEFT(IF(AND($S35="Macro",$B35=""),"Macroactividad vacía"&amp;" · ","")&amp;IF(AND($B35&lt;&gt;"",$C35&lt;&gt;""),"Escriba la subactividad en otra fila, debajo de su macroactividad"&amp;" · ","")&amp;IF(AND($S35="Sub",N($R35)=0),"Subactividad sin macroactividad arriba"&amp;" · ","")&amp;IF($D35="","Sin responsable"&amp;" · ","")&amp;IF($E35="","Sin fecha de inicio"&amp;" · ","")&amp;IF($F35="","Sin fecha límite"&amp;" · ","")&amp;IF(OR(AND($E35&lt;&gt;"",NOT(ISNUMBER($E35))),AND($F35&lt;&gt;"",NOT(ISNUMBER($F35)))),"Fecha no válida"&amp;" · ","")&amp;IF(AND(ISNUMBER($E35),ISNUMBER($F35),$E35&gt;$F35),"Inicio posterior a fecha límite"&amp;" · ","")&amp;IF(AND($S35="Macro",$G35=""),"Peso vacío"&amp;" · ","")&amp;IF(AND($S35="Macro",$G35&lt;&gt;"",OR(NOT(ISNUMBER($G35)),$G35&lt;=0,$G35&gt;1)),"Peso fuera de rango"&amp;" · ","")&amp;IF(AND($S35="Sub",$G35&lt;&gt;""),"Las subactividades no llevan peso"&amp;" · ","")&amp;IF(AND($S35="Macro",ABS(SUMIFS($G$5:$G$1000,$P$5:$P$1000,$P35,$S$5:$S$1000,"Macro")-1)&gt;0.0001),"Pesos del mes suman "&amp;TEXT(SUMIFS($G$5:$G$1000,$P$5:$P$1000,$P35,$S$5:$S$1000,"Macro"),"0%")&amp;" · ","")&amp;IF(AND(N($T35)&gt;0,COUNT($H35:$K35)&gt;0),"Con subactividades: deje vacías las semanas (se calculan solas)"&amp;" · ","")&amp;IF((COUNTIF($H35:$K35,"&gt;1")+COUNTIF($H35:$K35,"&lt;0")+COUNTA($H35:$K35)-COUNT($H35:$K35))&gt;0,"Avance fuera de rango 0-100%"&amp;" · ","")&amp;IF(OR(AND($I35&lt;&gt;"",$I35&lt;$H35),AND($J35&lt;&gt;"",$J35&lt;MAX($H35:$I35)),AND($K35&lt;&gt;"",$K35&lt;MAX($H35:$J35))),"Avance semanal decreciente"&amp;" · ","")&amp;IF(AND(ISNUMBER($F35),$F35&lt;FechaRef,N($L35)&lt;1),"Vencida"&amp;" · ","")&amp;IF(AND(ObsObligatoria="Sí",ISNUMBER($F35),$F35&lt;FechaRef,N($L35)&lt;1,$N35=""),"Vencida sin observación"&amp;" · ",""),LEN(IF(AND($S35="Macro",$B35=""),"Macroactividad vacía"&amp;" · ","")&amp;IF(AND($B35&lt;&gt;"",$C35&lt;&gt;""),"Escriba la subactividad en otra fila, debajo de su macroactividad"&amp;" · ","")&amp;IF(AND($S35="Sub",N($R35)=0),"Subactividad sin macroactividad arriba"&amp;" · ","")&amp;IF($D35="","Sin responsable"&amp;" · ","")&amp;IF($E35="","Sin fecha de inicio"&amp;" · ","")&amp;IF($F35="","Sin fecha límite"&amp;" · ","")&amp;IF(OR(AND($E35&lt;&gt;"",NOT(ISNUMBER($E35))),AND($F35&lt;&gt;"",NOT(ISNUMBER($F35)))),"Fecha no válida"&amp;" · ","")&amp;IF(AND(ISNUMBER($E35),ISNUMBER($F35),$E35&gt;$F35),"Inicio posterior a fecha límite"&amp;" · ","")&amp;IF(AND($S35="Macro",$G35=""),"Peso vacío"&amp;" · ","")&amp;IF(AND($S35="Macro",$G35&lt;&gt;"",OR(NOT(ISNUMBER($G35)),$G35&lt;=0,$G35&gt;1)),"Peso fuera de rango"&amp;" · ","")&amp;IF(AND($S35="Sub",$G35&lt;&gt;""),"Las subactividades no llevan peso"&amp;" · ","")&amp;IF(AND($S35="Macro",ABS(SUMIFS($G$5:$G$1000,$P$5:$P$1000,$P35,$S$5:$S$1000,"Macro")-1)&gt;0.0001),"Pesos del mes suman "&amp;TEXT(SUMIFS($G$5:$G$1000,$P$5:$P$1000,$P35,$S$5:$S$1000,"Macro"),"0%")&amp;" · ","")&amp;IF(AND(N($T35)&gt;0,COUNT($H35:$K35)&gt;0),"Con subactividades: deje vacías las semanas (se calculan solas)"&amp;" · ","")&amp;IF((COUNTIF($H35:$K35,"&gt;1")+COUNTIF($H35:$K35,"&lt;0")+COUNTA($H35:$K35)-COUNT($H35:$K35))&gt;0,"Avance fuera de rango 0-100%"&amp;" · ","")&amp;IF(OR(AND($I35&lt;&gt;"",$I35&lt;$H35),AND($J35&lt;&gt;"",$J35&lt;MAX($H35:$I35)),AND($K35&lt;&gt;"",$K35&lt;MAX($H35:$J35))),"Avance semanal decreciente"&amp;" · ","")&amp;IF(AND(ISNUMBER($F35),$F35&lt;FechaRef,N($L35)&lt;1),"Vencida"&amp;" · ","")&amp;IF(AND(ObsObligatoria="Sí",ISNUMBER($F35),$F35&lt;FechaRef,N($L35)&lt;1,$N35=""),"Vencida sin observación"&amp;" · ",""))-3)))</f>
        <v/>
      </c>
      <c r="P35" s="69">
        <f>IF(NOT((COUNTA($B35:$K35)+COUNTA($N35))&gt;0),"",IF(AND($S35="Sub",N($R35)&gt;0),IF(ISNUMBER(INDEX($E$5:$E$1000,$R35-4)),DATE(YEAR(INDEX($E$5:$E$1000,$R35-4)),MONTH(INDEX($E$5:$E$1000,$R35-4)),1),IF(ISNUMBER(INDEX($F$5:$F$1000,$R35-4)),DATE(YEAR(INDEX($F$5:$F$1000,$R35-4)),MONTH(INDEX($F$5:$F$1000,$R35-4)),1),MesCiclo)),IF(ISNUMBER($E35),DATE(YEAR($E35),MONTH($E35),1),IF(ISNUMBER($F35),DATE(YEAR($F35),MONTH($F35),1),MesCiclo))))</f>
        <v/>
      </c>
      <c r="Q35" s="70">
        <f>IF(OR($P35="",$P35&lt;&gt;MesCiclo),"",COUNTIF($P$5:$P35,MesCiclo))</f>
        <v/>
      </c>
      <c r="R35" s="70">
        <f>IF($S35="","",IF($S35="Macro",ROW(),IFERROR(LOOKUP(2,1/($S$5:$S35="Macro"),ROW($S$5:$S35)),0)))</f>
        <v/>
      </c>
      <c r="S35" s="70">
        <f>IF(NOT((COUNTA($B35:$K35)+COUNTA($N35))&gt;0),"",IF($B35&lt;&gt;"","Macro",IF($C35&lt;&gt;"","Sub","Macro")))</f>
        <v/>
      </c>
      <c r="T35" s="70">
        <f>IF($S35="Macro",COUNTIFS($R$5:$R$1000,ROW(),$S$5:$S$1000,"Sub"),"")</f>
        <v/>
      </c>
      <c r="U35" s="70">
        <f>IF($S35="","",IF(ISNUMBER($H35),$H35,0))</f>
        <v/>
      </c>
      <c r="V35" s="70">
        <f>IF($S35="","",IF(ISNUMBER($I35),$I35,$U35))</f>
        <v/>
      </c>
      <c r="W35" s="70">
        <f>IF($S35="","",IF(ISNUMBER($J35),$J35,$V35))</f>
        <v/>
      </c>
      <c r="X35" s="70">
        <f>IF($S35="","",IF(ISNUMBER($K35),$K35,$W35))</f>
        <v/>
      </c>
      <c r="Y35" s="70">
        <f>IF($S35="","",IF(N($T35)&gt;0,AVERAGEIFS($U$5:$U$1000,$R$5:$R$1000,ROW(),$S$5:$S$1000,"Sub"),$U35))</f>
        <v/>
      </c>
      <c r="Z35" s="70">
        <f>IF($S35="","",IF(N($T35)&gt;0,AVERAGEIFS($V$5:$V$1000,$R$5:$R$1000,ROW(),$S$5:$S$1000,"Sub"),$V35))</f>
        <v/>
      </c>
      <c r="AA35" s="70">
        <f>IF($S35="","",IF(N($T35)&gt;0,AVERAGEIFS($W$5:$W$1000,$R$5:$R$1000,ROW(),$S$5:$S$1000,"Sub"),$W35))</f>
        <v/>
      </c>
      <c r="AB35" s="70">
        <f>IF($S35="","",IF(N($T35)&gt;0,AVERAGEIFS($X$5:$X$1000,$R$5:$R$1000,ROW(),$S$5:$S$1000,"Sub"),$X35))</f>
        <v/>
      </c>
    </row>
    <row r="36">
      <c r="A36" s="61">
        <f>IF(NOT((COUNTA($B36:$K36)+COUNTA($N36))&gt;0),"",IF($S36="Macro",COUNTIFS($S$5:$S36,"Macro",$P$5:$P36,$P36),IF(N($R36)=0,"?",COUNTIFS(INDEX($S$5:$S$1000,1):INDEX($S$5:$S$1000,$R36-4),"Macro",INDEX($P$5:$P$1000,1):INDEX($P$5:$P$1000,$R36-4),INDEX($P$5:$P$1000,$R36-4))&amp;"."&amp;COUNTIFS($R$5:$R36,$R36,$S$5:$S36,"Sub"))))</f>
        <v/>
      </c>
      <c r="B36" s="62" t="n"/>
      <c r="C36" s="63" t="n"/>
      <c r="D36" s="62" t="n"/>
      <c r="E36" s="64" t="n"/>
      <c r="F36" s="64" t="n"/>
      <c r="G36" s="65" t="n"/>
      <c r="H36" s="66" t="n"/>
      <c r="I36" s="66" t="n"/>
      <c r="J36" s="66" t="n"/>
      <c r="K36" s="66" t="n"/>
      <c r="L36" s="67">
        <f>IF(NOT((COUNTA($B36:$K36)+COUNTA($N36))&gt;0),"",IF(N($T36)&gt;0,$AB36,IFERROR(LOOKUP(2,1/(H36:K36&lt;&gt;""),H36:K36),0)))</f>
        <v/>
      </c>
      <c r="M36" s="61">
        <f>IF(L36="","",IF(L36&gt;=1,"Completado",IF(L36&gt;0,"En curso","Pendiente")))</f>
        <v/>
      </c>
      <c r="N36" s="62" t="n"/>
      <c r="O36" s="68">
        <f>IF(NOT((COUNTA($B36:$K36)+COUNTA($N36))&gt;0),"",IF((IF(AND($S36="Macro",$B36=""),"Macroactividad vacía"&amp;" · ","")&amp;IF(AND($B36&lt;&gt;"",$C36&lt;&gt;""),"Escriba la subactividad en otra fila, debajo de su macroactividad"&amp;" · ","")&amp;IF(AND($S36="Sub",N($R36)=0),"Subactividad sin macroactividad arriba"&amp;" · ","")&amp;IF($D36="","Sin responsable"&amp;" · ","")&amp;IF($E36="","Sin fecha de inicio"&amp;" · ","")&amp;IF($F36="","Sin fecha límite"&amp;" · ","")&amp;IF(OR(AND($E36&lt;&gt;"",NOT(ISNUMBER($E36))),AND($F36&lt;&gt;"",NOT(ISNUMBER($F36)))),"Fecha no válida"&amp;" · ","")&amp;IF(AND(ISNUMBER($E36),ISNUMBER($F36),$E36&gt;$F36),"Inicio posterior a fecha límite"&amp;" · ","")&amp;IF(AND($S36="Macro",$G36=""),"Peso vacío"&amp;" · ","")&amp;IF(AND($S36="Macro",$G36&lt;&gt;"",OR(NOT(ISNUMBER($G36)),$G36&lt;=0,$G36&gt;1)),"Peso fuera de rango"&amp;" · ","")&amp;IF(AND($S36="Sub",$G36&lt;&gt;""),"Las subactividades no llevan peso"&amp;" · ","")&amp;IF(AND($S36="Macro",ABS(SUMIFS($G$5:$G$1000,$P$5:$P$1000,$P36,$S$5:$S$1000,"Macro")-1)&gt;0.0001),"Pesos del mes suman "&amp;TEXT(SUMIFS($G$5:$G$1000,$P$5:$P$1000,$P36,$S$5:$S$1000,"Macro"),"0%")&amp;" · ","")&amp;IF(AND(N($T36)&gt;0,COUNT($H36:$K36)&gt;0),"Con subactividades: deje vacías las semanas (se calculan solas)"&amp;" · ","")&amp;IF((COUNTIF($H36:$K36,"&gt;1")+COUNTIF($H36:$K36,"&lt;0")+COUNTA($H36:$K36)-COUNT($H36:$K36))&gt;0,"Avance fuera de rango 0-100%"&amp;" · ","")&amp;IF(OR(AND($I36&lt;&gt;"",$I36&lt;$H36),AND($J36&lt;&gt;"",$J36&lt;MAX($H36:$I36)),AND($K36&lt;&gt;"",$K36&lt;MAX($H36:$J36))),"Avance semanal decreciente"&amp;" · ","")&amp;IF(AND(ISNUMBER($F36),$F36&lt;FechaRef,N($L36)&lt;1),"Vencida"&amp;" · ","")&amp;IF(AND(ObsObligatoria="Sí",ISNUMBER($F36),$F36&lt;FechaRef,N($L36)&lt;1,$N36=""),"Vencida sin observación"&amp;" · ",""))="","✔ OK","⚠ "&amp;LEFT(IF(AND($S36="Macro",$B36=""),"Macroactividad vacía"&amp;" · ","")&amp;IF(AND($B36&lt;&gt;"",$C36&lt;&gt;""),"Escriba la subactividad en otra fila, debajo de su macroactividad"&amp;" · ","")&amp;IF(AND($S36="Sub",N($R36)=0),"Subactividad sin macroactividad arriba"&amp;" · ","")&amp;IF($D36="","Sin responsable"&amp;" · ","")&amp;IF($E36="","Sin fecha de inicio"&amp;" · ","")&amp;IF($F36="","Sin fecha límite"&amp;" · ","")&amp;IF(OR(AND($E36&lt;&gt;"",NOT(ISNUMBER($E36))),AND($F36&lt;&gt;"",NOT(ISNUMBER($F36)))),"Fecha no válida"&amp;" · ","")&amp;IF(AND(ISNUMBER($E36),ISNUMBER($F36),$E36&gt;$F36),"Inicio posterior a fecha límite"&amp;" · ","")&amp;IF(AND($S36="Macro",$G36=""),"Peso vacío"&amp;" · ","")&amp;IF(AND($S36="Macro",$G36&lt;&gt;"",OR(NOT(ISNUMBER($G36)),$G36&lt;=0,$G36&gt;1)),"Peso fuera de rango"&amp;" · ","")&amp;IF(AND($S36="Sub",$G36&lt;&gt;""),"Las subactividades no llevan peso"&amp;" · ","")&amp;IF(AND($S36="Macro",ABS(SUMIFS($G$5:$G$1000,$P$5:$P$1000,$P36,$S$5:$S$1000,"Macro")-1)&gt;0.0001),"Pesos del mes suman "&amp;TEXT(SUMIFS($G$5:$G$1000,$P$5:$P$1000,$P36,$S$5:$S$1000,"Macro"),"0%")&amp;" · ","")&amp;IF(AND(N($T36)&gt;0,COUNT($H36:$K36)&gt;0),"Con subactividades: deje vacías las semanas (se calculan solas)"&amp;" · ","")&amp;IF((COUNTIF($H36:$K36,"&gt;1")+COUNTIF($H36:$K36,"&lt;0")+COUNTA($H36:$K36)-COUNT($H36:$K36))&gt;0,"Avance fuera de rango 0-100%"&amp;" · ","")&amp;IF(OR(AND($I36&lt;&gt;"",$I36&lt;$H36),AND($J36&lt;&gt;"",$J36&lt;MAX($H36:$I36)),AND($K36&lt;&gt;"",$K36&lt;MAX($H36:$J36))),"Avance semanal decreciente"&amp;" · ","")&amp;IF(AND(ISNUMBER($F36),$F36&lt;FechaRef,N($L36)&lt;1),"Vencida"&amp;" · ","")&amp;IF(AND(ObsObligatoria="Sí",ISNUMBER($F36),$F36&lt;FechaRef,N($L36)&lt;1,$N36=""),"Vencida sin observación"&amp;" · ",""),LEN(IF(AND($S36="Macro",$B36=""),"Macroactividad vacía"&amp;" · ","")&amp;IF(AND($B36&lt;&gt;"",$C36&lt;&gt;""),"Escriba la subactividad en otra fila, debajo de su macroactividad"&amp;" · ","")&amp;IF(AND($S36="Sub",N($R36)=0),"Subactividad sin macroactividad arriba"&amp;" · ","")&amp;IF($D36="","Sin responsable"&amp;" · ","")&amp;IF($E36="","Sin fecha de inicio"&amp;" · ","")&amp;IF($F36="","Sin fecha límite"&amp;" · ","")&amp;IF(OR(AND($E36&lt;&gt;"",NOT(ISNUMBER($E36))),AND($F36&lt;&gt;"",NOT(ISNUMBER($F36)))),"Fecha no válida"&amp;" · ","")&amp;IF(AND(ISNUMBER($E36),ISNUMBER($F36),$E36&gt;$F36),"Inicio posterior a fecha límite"&amp;" · ","")&amp;IF(AND($S36="Macro",$G36=""),"Peso vacío"&amp;" · ","")&amp;IF(AND($S36="Macro",$G36&lt;&gt;"",OR(NOT(ISNUMBER($G36)),$G36&lt;=0,$G36&gt;1)),"Peso fuera de rango"&amp;" · ","")&amp;IF(AND($S36="Sub",$G36&lt;&gt;""),"Las subactividades no llevan peso"&amp;" · ","")&amp;IF(AND($S36="Macro",ABS(SUMIFS($G$5:$G$1000,$P$5:$P$1000,$P36,$S$5:$S$1000,"Macro")-1)&gt;0.0001),"Pesos del mes suman "&amp;TEXT(SUMIFS($G$5:$G$1000,$P$5:$P$1000,$P36,$S$5:$S$1000,"Macro"),"0%")&amp;" · ","")&amp;IF(AND(N($T36)&gt;0,COUNT($H36:$K36)&gt;0),"Con subactividades: deje vacías las semanas (se calculan solas)"&amp;" · ","")&amp;IF((COUNTIF($H36:$K36,"&gt;1")+COUNTIF($H36:$K36,"&lt;0")+COUNTA($H36:$K36)-COUNT($H36:$K36))&gt;0,"Avance fuera de rango 0-100%"&amp;" · ","")&amp;IF(OR(AND($I36&lt;&gt;"",$I36&lt;$H36),AND($J36&lt;&gt;"",$J36&lt;MAX($H36:$I36)),AND($K36&lt;&gt;"",$K36&lt;MAX($H36:$J36))),"Avance semanal decreciente"&amp;" · ","")&amp;IF(AND(ISNUMBER($F36),$F36&lt;FechaRef,N($L36)&lt;1),"Vencida"&amp;" · ","")&amp;IF(AND(ObsObligatoria="Sí",ISNUMBER($F36),$F36&lt;FechaRef,N($L36)&lt;1,$N36=""),"Vencida sin observación"&amp;" · ",""))-3)))</f>
        <v/>
      </c>
      <c r="P36" s="69">
        <f>IF(NOT((COUNTA($B36:$K36)+COUNTA($N36))&gt;0),"",IF(AND($S36="Sub",N($R36)&gt;0),IF(ISNUMBER(INDEX($E$5:$E$1000,$R36-4)),DATE(YEAR(INDEX($E$5:$E$1000,$R36-4)),MONTH(INDEX($E$5:$E$1000,$R36-4)),1),IF(ISNUMBER(INDEX($F$5:$F$1000,$R36-4)),DATE(YEAR(INDEX($F$5:$F$1000,$R36-4)),MONTH(INDEX($F$5:$F$1000,$R36-4)),1),MesCiclo)),IF(ISNUMBER($E36),DATE(YEAR($E36),MONTH($E36),1),IF(ISNUMBER($F36),DATE(YEAR($F36),MONTH($F36),1),MesCiclo))))</f>
        <v/>
      </c>
      <c r="Q36" s="70">
        <f>IF(OR($P36="",$P36&lt;&gt;MesCiclo),"",COUNTIF($P$5:$P36,MesCiclo))</f>
        <v/>
      </c>
      <c r="R36" s="70">
        <f>IF($S36="","",IF($S36="Macro",ROW(),IFERROR(LOOKUP(2,1/($S$5:$S36="Macro"),ROW($S$5:$S36)),0)))</f>
        <v/>
      </c>
      <c r="S36" s="70">
        <f>IF(NOT((COUNTA($B36:$K36)+COUNTA($N36))&gt;0),"",IF($B36&lt;&gt;"","Macro",IF($C36&lt;&gt;"","Sub","Macro")))</f>
        <v/>
      </c>
      <c r="T36" s="70">
        <f>IF($S36="Macro",COUNTIFS($R$5:$R$1000,ROW(),$S$5:$S$1000,"Sub"),"")</f>
        <v/>
      </c>
      <c r="U36" s="70">
        <f>IF($S36="","",IF(ISNUMBER($H36),$H36,0))</f>
        <v/>
      </c>
      <c r="V36" s="70">
        <f>IF($S36="","",IF(ISNUMBER($I36),$I36,$U36))</f>
        <v/>
      </c>
      <c r="W36" s="70">
        <f>IF($S36="","",IF(ISNUMBER($J36),$J36,$V36))</f>
        <v/>
      </c>
      <c r="X36" s="70">
        <f>IF($S36="","",IF(ISNUMBER($K36),$K36,$W36))</f>
        <v/>
      </c>
      <c r="Y36" s="70">
        <f>IF($S36="","",IF(N($T36)&gt;0,AVERAGEIFS($U$5:$U$1000,$R$5:$R$1000,ROW(),$S$5:$S$1000,"Sub"),$U36))</f>
        <v/>
      </c>
      <c r="Z36" s="70">
        <f>IF($S36="","",IF(N($T36)&gt;0,AVERAGEIFS($V$5:$V$1000,$R$5:$R$1000,ROW(),$S$5:$S$1000,"Sub"),$V36))</f>
        <v/>
      </c>
      <c r="AA36" s="70">
        <f>IF($S36="","",IF(N($T36)&gt;0,AVERAGEIFS($W$5:$W$1000,$R$5:$R$1000,ROW(),$S$5:$S$1000,"Sub"),$W36))</f>
        <v/>
      </c>
      <c r="AB36" s="70">
        <f>IF($S36="","",IF(N($T36)&gt;0,AVERAGEIFS($X$5:$X$1000,$R$5:$R$1000,ROW(),$S$5:$S$1000,"Sub"),$X36))</f>
        <v/>
      </c>
    </row>
    <row r="37">
      <c r="A37" s="61">
        <f>IF(NOT((COUNTA($B37:$K37)+COUNTA($N37))&gt;0),"",IF($S37="Macro",COUNTIFS($S$5:$S37,"Macro",$P$5:$P37,$P37),IF(N($R37)=0,"?",COUNTIFS(INDEX($S$5:$S$1000,1):INDEX($S$5:$S$1000,$R37-4),"Macro",INDEX($P$5:$P$1000,1):INDEX($P$5:$P$1000,$R37-4),INDEX($P$5:$P$1000,$R37-4))&amp;"."&amp;COUNTIFS($R$5:$R37,$R37,$S$5:$S37,"Sub"))))</f>
        <v/>
      </c>
      <c r="B37" s="62" t="n"/>
      <c r="C37" s="63" t="n"/>
      <c r="D37" s="62" t="n"/>
      <c r="E37" s="64" t="n"/>
      <c r="F37" s="64" t="n"/>
      <c r="G37" s="65" t="n"/>
      <c r="H37" s="66" t="n"/>
      <c r="I37" s="66" t="n"/>
      <c r="J37" s="66" t="n"/>
      <c r="K37" s="66" t="n"/>
      <c r="L37" s="67">
        <f>IF(NOT((COUNTA($B37:$K37)+COUNTA($N37))&gt;0),"",IF(N($T37)&gt;0,$AB37,IFERROR(LOOKUP(2,1/(H37:K37&lt;&gt;""),H37:K37),0)))</f>
        <v/>
      </c>
      <c r="M37" s="61">
        <f>IF(L37="","",IF(L37&gt;=1,"Completado",IF(L37&gt;0,"En curso","Pendiente")))</f>
        <v/>
      </c>
      <c r="N37" s="62" t="n"/>
      <c r="O37" s="68">
        <f>IF(NOT((COUNTA($B37:$K37)+COUNTA($N37))&gt;0),"",IF((IF(AND($S37="Macro",$B37=""),"Macroactividad vacía"&amp;" · ","")&amp;IF(AND($B37&lt;&gt;"",$C37&lt;&gt;""),"Escriba la subactividad en otra fila, debajo de su macroactividad"&amp;" · ","")&amp;IF(AND($S37="Sub",N($R37)=0),"Subactividad sin macroactividad arriba"&amp;" · ","")&amp;IF($D37="","Sin responsable"&amp;" · ","")&amp;IF($E37="","Sin fecha de inicio"&amp;" · ","")&amp;IF($F37="","Sin fecha límite"&amp;" · ","")&amp;IF(OR(AND($E37&lt;&gt;"",NOT(ISNUMBER($E37))),AND($F37&lt;&gt;"",NOT(ISNUMBER($F37)))),"Fecha no válida"&amp;" · ","")&amp;IF(AND(ISNUMBER($E37),ISNUMBER($F37),$E37&gt;$F37),"Inicio posterior a fecha límite"&amp;" · ","")&amp;IF(AND($S37="Macro",$G37=""),"Peso vacío"&amp;" · ","")&amp;IF(AND($S37="Macro",$G37&lt;&gt;"",OR(NOT(ISNUMBER($G37)),$G37&lt;=0,$G37&gt;1)),"Peso fuera de rango"&amp;" · ","")&amp;IF(AND($S37="Sub",$G37&lt;&gt;""),"Las subactividades no llevan peso"&amp;" · ","")&amp;IF(AND($S37="Macro",ABS(SUMIFS($G$5:$G$1000,$P$5:$P$1000,$P37,$S$5:$S$1000,"Macro")-1)&gt;0.0001),"Pesos del mes suman "&amp;TEXT(SUMIFS($G$5:$G$1000,$P$5:$P$1000,$P37,$S$5:$S$1000,"Macro"),"0%")&amp;" · ","")&amp;IF(AND(N($T37)&gt;0,COUNT($H37:$K37)&gt;0),"Con subactividades: deje vacías las semanas (se calculan solas)"&amp;" · ","")&amp;IF((COUNTIF($H37:$K37,"&gt;1")+COUNTIF($H37:$K37,"&lt;0")+COUNTA($H37:$K37)-COUNT($H37:$K37))&gt;0,"Avance fuera de rango 0-100%"&amp;" · ","")&amp;IF(OR(AND($I37&lt;&gt;"",$I37&lt;$H37),AND($J37&lt;&gt;"",$J37&lt;MAX($H37:$I37)),AND($K37&lt;&gt;"",$K37&lt;MAX($H37:$J37))),"Avance semanal decreciente"&amp;" · ","")&amp;IF(AND(ISNUMBER($F37),$F37&lt;FechaRef,N($L37)&lt;1),"Vencida"&amp;" · ","")&amp;IF(AND(ObsObligatoria="Sí",ISNUMBER($F37),$F37&lt;FechaRef,N($L37)&lt;1,$N37=""),"Vencida sin observación"&amp;" · ",""))="","✔ OK","⚠ "&amp;LEFT(IF(AND($S37="Macro",$B37=""),"Macroactividad vacía"&amp;" · ","")&amp;IF(AND($B37&lt;&gt;"",$C37&lt;&gt;""),"Escriba la subactividad en otra fila, debajo de su macroactividad"&amp;" · ","")&amp;IF(AND($S37="Sub",N($R37)=0),"Subactividad sin macroactividad arriba"&amp;" · ","")&amp;IF($D37="","Sin responsable"&amp;" · ","")&amp;IF($E37="","Sin fecha de inicio"&amp;" · ","")&amp;IF($F37="","Sin fecha límite"&amp;" · ","")&amp;IF(OR(AND($E37&lt;&gt;"",NOT(ISNUMBER($E37))),AND($F37&lt;&gt;"",NOT(ISNUMBER($F37)))),"Fecha no válida"&amp;" · ","")&amp;IF(AND(ISNUMBER($E37),ISNUMBER($F37),$E37&gt;$F37),"Inicio posterior a fecha límite"&amp;" · ","")&amp;IF(AND($S37="Macro",$G37=""),"Peso vacío"&amp;" · ","")&amp;IF(AND($S37="Macro",$G37&lt;&gt;"",OR(NOT(ISNUMBER($G37)),$G37&lt;=0,$G37&gt;1)),"Peso fuera de rango"&amp;" · ","")&amp;IF(AND($S37="Sub",$G37&lt;&gt;""),"Las subactividades no llevan peso"&amp;" · ","")&amp;IF(AND($S37="Macro",ABS(SUMIFS($G$5:$G$1000,$P$5:$P$1000,$P37,$S$5:$S$1000,"Macro")-1)&gt;0.0001),"Pesos del mes suman "&amp;TEXT(SUMIFS($G$5:$G$1000,$P$5:$P$1000,$P37,$S$5:$S$1000,"Macro"),"0%")&amp;" · ","")&amp;IF(AND(N($T37)&gt;0,COUNT($H37:$K37)&gt;0),"Con subactividades: deje vacías las semanas (se calculan solas)"&amp;" · ","")&amp;IF((COUNTIF($H37:$K37,"&gt;1")+COUNTIF($H37:$K37,"&lt;0")+COUNTA($H37:$K37)-COUNT($H37:$K37))&gt;0,"Avance fuera de rango 0-100%"&amp;" · ","")&amp;IF(OR(AND($I37&lt;&gt;"",$I37&lt;$H37),AND($J37&lt;&gt;"",$J37&lt;MAX($H37:$I37)),AND($K37&lt;&gt;"",$K37&lt;MAX($H37:$J37))),"Avance semanal decreciente"&amp;" · ","")&amp;IF(AND(ISNUMBER($F37),$F37&lt;FechaRef,N($L37)&lt;1),"Vencida"&amp;" · ","")&amp;IF(AND(ObsObligatoria="Sí",ISNUMBER($F37),$F37&lt;FechaRef,N($L37)&lt;1,$N37=""),"Vencida sin observación"&amp;" · ",""),LEN(IF(AND($S37="Macro",$B37=""),"Macroactividad vacía"&amp;" · ","")&amp;IF(AND($B37&lt;&gt;"",$C37&lt;&gt;""),"Escriba la subactividad en otra fila, debajo de su macroactividad"&amp;" · ","")&amp;IF(AND($S37="Sub",N($R37)=0),"Subactividad sin macroactividad arriba"&amp;" · ","")&amp;IF($D37="","Sin responsable"&amp;" · ","")&amp;IF($E37="","Sin fecha de inicio"&amp;" · ","")&amp;IF($F37="","Sin fecha límite"&amp;" · ","")&amp;IF(OR(AND($E37&lt;&gt;"",NOT(ISNUMBER($E37))),AND($F37&lt;&gt;"",NOT(ISNUMBER($F37)))),"Fecha no válida"&amp;" · ","")&amp;IF(AND(ISNUMBER($E37),ISNUMBER($F37),$E37&gt;$F37),"Inicio posterior a fecha límite"&amp;" · ","")&amp;IF(AND($S37="Macro",$G37=""),"Peso vacío"&amp;" · ","")&amp;IF(AND($S37="Macro",$G37&lt;&gt;"",OR(NOT(ISNUMBER($G37)),$G37&lt;=0,$G37&gt;1)),"Peso fuera de rango"&amp;" · ","")&amp;IF(AND($S37="Sub",$G37&lt;&gt;""),"Las subactividades no llevan peso"&amp;" · ","")&amp;IF(AND($S37="Macro",ABS(SUMIFS($G$5:$G$1000,$P$5:$P$1000,$P37,$S$5:$S$1000,"Macro")-1)&gt;0.0001),"Pesos del mes suman "&amp;TEXT(SUMIFS($G$5:$G$1000,$P$5:$P$1000,$P37,$S$5:$S$1000,"Macro"),"0%")&amp;" · ","")&amp;IF(AND(N($T37)&gt;0,COUNT($H37:$K37)&gt;0),"Con subactividades: deje vacías las semanas (se calculan solas)"&amp;" · ","")&amp;IF((COUNTIF($H37:$K37,"&gt;1")+COUNTIF($H37:$K37,"&lt;0")+COUNTA($H37:$K37)-COUNT($H37:$K37))&gt;0,"Avance fuera de rango 0-100%"&amp;" · ","")&amp;IF(OR(AND($I37&lt;&gt;"",$I37&lt;$H37),AND($J37&lt;&gt;"",$J37&lt;MAX($H37:$I37)),AND($K37&lt;&gt;"",$K37&lt;MAX($H37:$J37))),"Avance semanal decreciente"&amp;" · ","")&amp;IF(AND(ISNUMBER($F37),$F37&lt;FechaRef,N($L37)&lt;1),"Vencida"&amp;" · ","")&amp;IF(AND(ObsObligatoria="Sí",ISNUMBER($F37),$F37&lt;FechaRef,N($L37)&lt;1,$N37=""),"Vencida sin observación"&amp;" · ",""))-3)))</f>
        <v/>
      </c>
      <c r="P37" s="69">
        <f>IF(NOT((COUNTA($B37:$K37)+COUNTA($N37))&gt;0),"",IF(AND($S37="Sub",N($R37)&gt;0),IF(ISNUMBER(INDEX($E$5:$E$1000,$R37-4)),DATE(YEAR(INDEX($E$5:$E$1000,$R37-4)),MONTH(INDEX($E$5:$E$1000,$R37-4)),1),IF(ISNUMBER(INDEX($F$5:$F$1000,$R37-4)),DATE(YEAR(INDEX($F$5:$F$1000,$R37-4)),MONTH(INDEX($F$5:$F$1000,$R37-4)),1),MesCiclo)),IF(ISNUMBER($E37),DATE(YEAR($E37),MONTH($E37),1),IF(ISNUMBER($F37),DATE(YEAR($F37),MONTH($F37),1),MesCiclo))))</f>
        <v/>
      </c>
      <c r="Q37" s="70">
        <f>IF(OR($P37="",$P37&lt;&gt;MesCiclo),"",COUNTIF($P$5:$P37,MesCiclo))</f>
        <v/>
      </c>
      <c r="R37" s="70">
        <f>IF($S37="","",IF($S37="Macro",ROW(),IFERROR(LOOKUP(2,1/($S$5:$S37="Macro"),ROW($S$5:$S37)),0)))</f>
        <v/>
      </c>
      <c r="S37" s="70">
        <f>IF(NOT((COUNTA($B37:$K37)+COUNTA($N37))&gt;0),"",IF($B37&lt;&gt;"","Macro",IF($C37&lt;&gt;"","Sub","Macro")))</f>
        <v/>
      </c>
      <c r="T37" s="70">
        <f>IF($S37="Macro",COUNTIFS($R$5:$R$1000,ROW(),$S$5:$S$1000,"Sub"),"")</f>
        <v/>
      </c>
      <c r="U37" s="70">
        <f>IF($S37="","",IF(ISNUMBER($H37),$H37,0))</f>
        <v/>
      </c>
      <c r="V37" s="70">
        <f>IF($S37="","",IF(ISNUMBER($I37),$I37,$U37))</f>
        <v/>
      </c>
      <c r="W37" s="70">
        <f>IF($S37="","",IF(ISNUMBER($J37),$J37,$V37))</f>
        <v/>
      </c>
      <c r="X37" s="70">
        <f>IF($S37="","",IF(ISNUMBER($K37),$K37,$W37))</f>
        <v/>
      </c>
      <c r="Y37" s="70">
        <f>IF($S37="","",IF(N($T37)&gt;0,AVERAGEIFS($U$5:$U$1000,$R$5:$R$1000,ROW(),$S$5:$S$1000,"Sub"),$U37))</f>
        <v/>
      </c>
      <c r="Z37" s="70">
        <f>IF($S37="","",IF(N($T37)&gt;0,AVERAGEIFS($V$5:$V$1000,$R$5:$R$1000,ROW(),$S$5:$S$1000,"Sub"),$V37))</f>
        <v/>
      </c>
      <c r="AA37" s="70">
        <f>IF($S37="","",IF(N($T37)&gt;0,AVERAGEIFS($W$5:$W$1000,$R$5:$R$1000,ROW(),$S$5:$S$1000,"Sub"),$W37))</f>
        <v/>
      </c>
      <c r="AB37" s="70">
        <f>IF($S37="","",IF(N($T37)&gt;0,AVERAGEIFS($X$5:$X$1000,$R$5:$R$1000,ROW(),$S$5:$S$1000,"Sub"),$X37))</f>
        <v/>
      </c>
    </row>
    <row r="38">
      <c r="A38" s="61">
        <f>IF(NOT((COUNTA($B38:$K38)+COUNTA($N38))&gt;0),"",IF($S38="Macro",COUNTIFS($S$5:$S38,"Macro",$P$5:$P38,$P38),IF(N($R38)=0,"?",COUNTIFS(INDEX($S$5:$S$1000,1):INDEX($S$5:$S$1000,$R38-4),"Macro",INDEX($P$5:$P$1000,1):INDEX($P$5:$P$1000,$R38-4),INDEX($P$5:$P$1000,$R38-4))&amp;"."&amp;COUNTIFS($R$5:$R38,$R38,$S$5:$S38,"Sub"))))</f>
        <v/>
      </c>
      <c r="B38" s="62" t="n"/>
      <c r="C38" s="63" t="n"/>
      <c r="D38" s="62" t="n"/>
      <c r="E38" s="64" t="n"/>
      <c r="F38" s="64" t="n"/>
      <c r="G38" s="65" t="n"/>
      <c r="H38" s="66" t="n"/>
      <c r="I38" s="66" t="n"/>
      <c r="J38" s="66" t="n"/>
      <c r="K38" s="66" t="n"/>
      <c r="L38" s="67">
        <f>IF(NOT((COUNTA($B38:$K38)+COUNTA($N38))&gt;0),"",IF(N($T38)&gt;0,$AB38,IFERROR(LOOKUP(2,1/(H38:K38&lt;&gt;""),H38:K38),0)))</f>
        <v/>
      </c>
      <c r="M38" s="61">
        <f>IF(L38="","",IF(L38&gt;=1,"Completado",IF(L38&gt;0,"En curso","Pendiente")))</f>
        <v/>
      </c>
      <c r="N38" s="62" t="n"/>
      <c r="O38" s="68">
        <f>IF(NOT((COUNTA($B38:$K38)+COUNTA($N38))&gt;0),"",IF((IF(AND($S38="Macro",$B38=""),"Macroactividad vacía"&amp;" · ","")&amp;IF(AND($B38&lt;&gt;"",$C38&lt;&gt;""),"Escriba la subactividad en otra fila, debajo de su macroactividad"&amp;" · ","")&amp;IF(AND($S38="Sub",N($R38)=0),"Subactividad sin macroactividad arriba"&amp;" · ","")&amp;IF($D38="","Sin responsable"&amp;" · ","")&amp;IF($E38="","Sin fecha de inicio"&amp;" · ","")&amp;IF($F38="","Sin fecha límite"&amp;" · ","")&amp;IF(OR(AND($E38&lt;&gt;"",NOT(ISNUMBER($E38))),AND($F38&lt;&gt;"",NOT(ISNUMBER($F38)))),"Fecha no válida"&amp;" · ","")&amp;IF(AND(ISNUMBER($E38),ISNUMBER($F38),$E38&gt;$F38),"Inicio posterior a fecha límite"&amp;" · ","")&amp;IF(AND($S38="Macro",$G38=""),"Peso vacío"&amp;" · ","")&amp;IF(AND($S38="Macro",$G38&lt;&gt;"",OR(NOT(ISNUMBER($G38)),$G38&lt;=0,$G38&gt;1)),"Peso fuera de rango"&amp;" · ","")&amp;IF(AND($S38="Sub",$G38&lt;&gt;""),"Las subactividades no llevan peso"&amp;" · ","")&amp;IF(AND($S38="Macro",ABS(SUMIFS($G$5:$G$1000,$P$5:$P$1000,$P38,$S$5:$S$1000,"Macro")-1)&gt;0.0001),"Pesos del mes suman "&amp;TEXT(SUMIFS($G$5:$G$1000,$P$5:$P$1000,$P38,$S$5:$S$1000,"Macro"),"0%")&amp;" · ","")&amp;IF(AND(N($T38)&gt;0,COUNT($H38:$K38)&gt;0),"Con subactividades: deje vacías las semanas (se calculan solas)"&amp;" · ","")&amp;IF((COUNTIF($H38:$K38,"&gt;1")+COUNTIF($H38:$K38,"&lt;0")+COUNTA($H38:$K38)-COUNT($H38:$K38))&gt;0,"Avance fuera de rango 0-100%"&amp;" · ","")&amp;IF(OR(AND($I38&lt;&gt;"",$I38&lt;$H38),AND($J38&lt;&gt;"",$J38&lt;MAX($H38:$I38)),AND($K38&lt;&gt;"",$K38&lt;MAX($H38:$J38))),"Avance semanal decreciente"&amp;" · ","")&amp;IF(AND(ISNUMBER($F38),$F38&lt;FechaRef,N($L38)&lt;1),"Vencida"&amp;" · ","")&amp;IF(AND(ObsObligatoria="Sí",ISNUMBER($F38),$F38&lt;FechaRef,N($L38)&lt;1,$N38=""),"Vencida sin observación"&amp;" · ",""))="","✔ OK","⚠ "&amp;LEFT(IF(AND($S38="Macro",$B38=""),"Macroactividad vacía"&amp;" · ","")&amp;IF(AND($B38&lt;&gt;"",$C38&lt;&gt;""),"Escriba la subactividad en otra fila, debajo de su macroactividad"&amp;" · ","")&amp;IF(AND($S38="Sub",N($R38)=0),"Subactividad sin macroactividad arriba"&amp;" · ","")&amp;IF($D38="","Sin responsable"&amp;" · ","")&amp;IF($E38="","Sin fecha de inicio"&amp;" · ","")&amp;IF($F38="","Sin fecha límite"&amp;" · ","")&amp;IF(OR(AND($E38&lt;&gt;"",NOT(ISNUMBER($E38))),AND($F38&lt;&gt;"",NOT(ISNUMBER($F38)))),"Fecha no válida"&amp;" · ","")&amp;IF(AND(ISNUMBER($E38),ISNUMBER($F38),$E38&gt;$F38),"Inicio posterior a fecha límite"&amp;" · ","")&amp;IF(AND($S38="Macro",$G38=""),"Peso vacío"&amp;" · ","")&amp;IF(AND($S38="Macro",$G38&lt;&gt;"",OR(NOT(ISNUMBER($G38)),$G38&lt;=0,$G38&gt;1)),"Peso fuera de rango"&amp;" · ","")&amp;IF(AND($S38="Sub",$G38&lt;&gt;""),"Las subactividades no llevan peso"&amp;" · ","")&amp;IF(AND($S38="Macro",ABS(SUMIFS($G$5:$G$1000,$P$5:$P$1000,$P38,$S$5:$S$1000,"Macro")-1)&gt;0.0001),"Pesos del mes suman "&amp;TEXT(SUMIFS($G$5:$G$1000,$P$5:$P$1000,$P38,$S$5:$S$1000,"Macro"),"0%")&amp;" · ","")&amp;IF(AND(N($T38)&gt;0,COUNT($H38:$K38)&gt;0),"Con subactividades: deje vacías las semanas (se calculan solas)"&amp;" · ","")&amp;IF((COUNTIF($H38:$K38,"&gt;1")+COUNTIF($H38:$K38,"&lt;0")+COUNTA($H38:$K38)-COUNT($H38:$K38))&gt;0,"Avance fuera de rango 0-100%"&amp;" · ","")&amp;IF(OR(AND($I38&lt;&gt;"",$I38&lt;$H38),AND($J38&lt;&gt;"",$J38&lt;MAX($H38:$I38)),AND($K38&lt;&gt;"",$K38&lt;MAX($H38:$J38))),"Avance semanal decreciente"&amp;" · ","")&amp;IF(AND(ISNUMBER($F38),$F38&lt;FechaRef,N($L38)&lt;1),"Vencida"&amp;" · ","")&amp;IF(AND(ObsObligatoria="Sí",ISNUMBER($F38),$F38&lt;FechaRef,N($L38)&lt;1,$N38=""),"Vencida sin observación"&amp;" · ",""),LEN(IF(AND($S38="Macro",$B38=""),"Macroactividad vacía"&amp;" · ","")&amp;IF(AND($B38&lt;&gt;"",$C38&lt;&gt;""),"Escriba la subactividad en otra fila, debajo de su macroactividad"&amp;" · ","")&amp;IF(AND($S38="Sub",N($R38)=0),"Subactividad sin macroactividad arriba"&amp;" · ","")&amp;IF($D38="","Sin responsable"&amp;" · ","")&amp;IF($E38="","Sin fecha de inicio"&amp;" · ","")&amp;IF($F38="","Sin fecha límite"&amp;" · ","")&amp;IF(OR(AND($E38&lt;&gt;"",NOT(ISNUMBER($E38))),AND($F38&lt;&gt;"",NOT(ISNUMBER($F38)))),"Fecha no válida"&amp;" · ","")&amp;IF(AND(ISNUMBER($E38),ISNUMBER($F38),$E38&gt;$F38),"Inicio posterior a fecha límite"&amp;" · ","")&amp;IF(AND($S38="Macro",$G38=""),"Peso vacío"&amp;" · ","")&amp;IF(AND($S38="Macro",$G38&lt;&gt;"",OR(NOT(ISNUMBER($G38)),$G38&lt;=0,$G38&gt;1)),"Peso fuera de rango"&amp;" · ","")&amp;IF(AND($S38="Sub",$G38&lt;&gt;""),"Las subactividades no llevan peso"&amp;" · ","")&amp;IF(AND($S38="Macro",ABS(SUMIFS($G$5:$G$1000,$P$5:$P$1000,$P38,$S$5:$S$1000,"Macro")-1)&gt;0.0001),"Pesos del mes suman "&amp;TEXT(SUMIFS($G$5:$G$1000,$P$5:$P$1000,$P38,$S$5:$S$1000,"Macro"),"0%")&amp;" · ","")&amp;IF(AND(N($T38)&gt;0,COUNT($H38:$K38)&gt;0),"Con subactividades: deje vacías las semanas (se calculan solas)"&amp;" · ","")&amp;IF((COUNTIF($H38:$K38,"&gt;1")+COUNTIF($H38:$K38,"&lt;0")+COUNTA($H38:$K38)-COUNT($H38:$K38))&gt;0,"Avance fuera de rango 0-100%"&amp;" · ","")&amp;IF(OR(AND($I38&lt;&gt;"",$I38&lt;$H38),AND($J38&lt;&gt;"",$J38&lt;MAX($H38:$I38)),AND($K38&lt;&gt;"",$K38&lt;MAX($H38:$J38))),"Avance semanal decreciente"&amp;" · ","")&amp;IF(AND(ISNUMBER($F38),$F38&lt;FechaRef,N($L38)&lt;1),"Vencida"&amp;" · ","")&amp;IF(AND(ObsObligatoria="Sí",ISNUMBER($F38),$F38&lt;FechaRef,N($L38)&lt;1,$N38=""),"Vencida sin observación"&amp;" · ",""))-3)))</f>
        <v/>
      </c>
      <c r="P38" s="69">
        <f>IF(NOT((COUNTA($B38:$K38)+COUNTA($N38))&gt;0),"",IF(AND($S38="Sub",N($R38)&gt;0),IF(ISNUMBER(INDEX($E$5:$E$1000,$R38-4)),DATE(YEAR(INDEX($E$5:$E$1000,$R38-4)),MONTH(INDEX($E$5:$E$1000,$R38-4)),1),IF(ISNUMBER(INDEX($F$5:$F$1000,$R38-4)),DATE(YEAR(INDEX($F$5:$F$1000,$R38-4)),MONTH(INDEX($F$5:$F$1000,$R38-4)),1),MesCiclo)),IF(ISNUMBER($E38),DATE(YEAR($E38),MONTH($E38),1),IF(ISNUMBER($F38),DATE(YEAR($F38),MONTH($F38),1),MesCiclo))))</f>
        <v/>
      </c>
      <c r="Q38" s="70">
        <f>IF(OR($P38="",$P38&lt;&gt;MesCiclo),"",COUNTIF($P$5:$P38,MesCiclo))</f>
        <v/>
      </c>
      <c r="R38" s="70">
        <f>IF($S38="","",IF($S38="Macro",ROW(),IFERROR(LOOKUP(2,1/($S$5:$S38="Macro"),ROW($S$5:$S38)),0)))</f>
        <v/>
      </c>
      <c r="S38" s="70">
        <f>IF(NOT((COUNTA($B38:$K38)+COUNTA($N38))&gt;0),"",IF($B38&lt;&gt;"","Macro",IF($C38&lt;&gt;"","Sub","Macro")))</f>
        <v/>
      </c>
      <c r="T38" s="70">
        <f>IF($S38="Macro",COUNTIFS($R$5:$R$1000,ROW(),$S$5:$S$1000,"Sub"),"")</f>
        <v/>
      </c>
      <c r="U38" s="70">
        <f>IF($S38="","",IF(ISNUMBER($H38),$H38,0))</f>
        <v/>
      </c>
      <c r="V38" s="70">
        <f>IF($S38="","",IF(ISNUMBER($I38),$I38,$U38))</f>
        <v/>
      </c>
      <c r="W38" s="70">
        <f>IF($S38="","",IF(ISNUMBER($J38),$J38,$V38))</f>
        <v/>
      </c>
      <c r="X38" s="70">
        <f>IF($S38="","",IF(ISNUMBER($K38),$K38,$W38))</f>
        <v/>
      </c>
      <c r="Y38" s="70">
        <f>IF($S38="","",IF(N($T38)&gt;0,AVERAGEIFS($U$5:$U$1000,$R$5:$R$1000,ROW(),$S$5:$S$1000,"Sub"),$U38))</f>
        <v/>
      </c>
      <c r="Z38" s="70">
        <f>IF($S38="","",IF(N($T38)&gt;0,AVERAGEIFS($V$5:$V$1000,$R$5:$R$1000,ROW(),$S$5:$S$1000,"Sub"),$V38))</f>
        <v/>
      </c>
      <c r="AA38" s="70">
        <f>IF($S38="","",IF(N($T38)&gt;0,AVERAGEIFS($W$5:$W$1000,$R$5:$R$1000,ROW(),$S$5:$S$1000,"Sub"),$W38))</f>
        <v/>
      </c>
      <c r="AB38" s="70">
        <f>IF($S38="","",IF(N($T38)&gt;0,AVERAGEIFS($X$5:$X$1000,$R$5:$R$1000,ROW(),$S$5:$S$1000,"Sub"),$X38))</f>
        <v/>
      </c>
    </row>
    <row r="39">
      <c r="A39" s="61">
        <f>IF(NOT((COUNTA($B39:$K39)+COUNTA($N39))&gt;0),"",IF($S39="Macro",COUNTIFS($S$5:$S39,"Macro",$P$5:$P39,$P39),IF(N($R39)=0,"?",COUNTIFS(INDEX($S$5:$S$1000,1):INDEX($S$5:$S$1000,$R39-4),"Macro",INDEX($P$5:$P$1000,1):INDEX($P$5:$P$1000,$R39-4),INDEX($P$5:$P$1000,$R39-4))&amp;"."&amp;COUNTIFS($R$5:$R39,$R39,$S$5:$S39,"Sub"))))</f>
        <v/>
      </c>
      <c r="B39" s="62" t="n"/>
      <c r="C39" s="63" t="n"/>
      <c r="D39" s="62" t="n"/>
      <c r="E39" s="64" t="n"/>
      <c r="F39" s="64" t="n"/>
      <c r="G39" s="65" t="n"/>
      <c r="H39" s="66" t="n"/>
      <c r="I39" s="66" t="n"/>
      <c r="J39" s="66" t="n"/>
      <c r="K39" s="66" t="n"/>
      <c r="L39" s="67">
        <f>IF(NOT((COUNTA($B39:$K39)+COUNTA($N39))&gt;0),"",IF(N($T39)&gt;0,$AB39,IFERROR(LOOKUP(2,1/(H39:K39&lt;&gt;""),H39:K39),0)))</f>
        <v/>
      </c>
      <c r="M39" s="61">
        <f>IF(L39="","",IF(L39&gt;=1,"Completado",IF(L39&gt;0,"En curso","Pendiente")))</f>
        <v/>
      </c>
      <c r="N39" s="62" t="n"/>
      <c r="O39" s="68">
        <f>IF(NOT((COUNTA($B39:$K39)+COUNTA($N39))&gt;0),"",IF((IF(AND($S39="Macro",$B39=""),"Macroactividad vacía"&amp;" · ","")&amp;IF(AND($B39&lt;&gt;"",$C39&lt;&gt;""),"Escriba la subactividad en otra fila, debajo de su macroactividad"&amp;" · ","")&amp;IF(AND($S39="Sub",N($R39)=0),"Subactividad sin macroactividad arriba"&amp;" · ","")&amp;IF($D39="","Sin responsable"&amp;" · ","")&amp;IF($E39="","Sin fecha de inicio"&amp;" · ","")&amp;IF($F39="","Sin fecha límite"&amp;" · ","")&amp;IF(OR(AND($E39&lt;&gt;"",NOT(ISNUMBER($E39))),AND($F39&lt;&gt;"",NOT(ISNUMBER($F39)))),"Fecha no válida"&amp;" · ","")&amp;IF(AND(ISNUMBER($E39),ISNUMBER($F39),$E39&gt;$F39),"Inicio posterior a fecha límite"&amp;" · ","")&amp;IF(AND($S39="Macro",$G39=""),"Peso vacío"&amp;" · ","")&amp;IF(AND($S39="Macro",$G39&lt;&gt;"",OR(NOT(ISNUMBER($G39)),$G39&lt;=0,$G39&gt;1)),"Peso fuera de rango"&amp;" · ","")&amp;IF(AND($S39="Sub",$G39&lt;&gt;""),"Las subactividades no llevan peso"&amp;" · ","")&amp;IF(AND($S39="Macro",ABS(SUMIFS($G$5:$G$1000,$P$5:$P$1000,$P39,$S$5:$S$1000,"Macro")-1)&gt;0.0001),"Pesos del mes suman "&amp;TEXT(SUMIFS($G$5:$G$1000,$P$5:$P$1000,$P39,$S$5:$S$1000,"Macro"),"0%")&amp;" · ","")&amp;IF(AND(N($T39)&gt;0,COUNT($H39:$K39)&gt;0),"Con subactividades: deje vacías las semanas (se calculan solas)"&amp;" · ","")&amp;IF((COUNTIF($H39:$K39,"&gt;1")+COUNTIF($H39:$K39,"&lt;0")+COUNTA($H39:$K39)-COUNT($H39:$K39))&gt;0,"Avance fuera de rango 0-100%"&amp;" · ","")&amp;IF(OR(AND($I39&lt;&gt;"",$I39&lt;$H39),AND($J39&lt;&gt;"",$J39&lt;MAX($H39:$I39)),AND($K39&lt;&gt;"",$K39&lt;MAX($H39:$J39))),"Avance semanal decreciente"&amp;" · ","")&amp;IF(AND(ISNUMBER($F39),$F39&lt;FechaRef,N($L39)&lt;1),"Vencida"&amp;" · ","")&amp;IF(AND(ObsObligatoria="Sí",ISNUMBER($F39),$F39&lt;FechaRef,N($L39)&lt;1,$N39=""),"Vencida sin observación"&amp;" · ",""))="","✔ OK","⚠ "&amp;LEFT(IF(AND($S39="Macro",$B39=""),"Macroactividad vacía"&amp;" · ","")&amp;IF(AND($B39&lt;&gt;"",$C39&lt;&gt;""),"Escriba la subactividad en otra fila, debajo de su macroactividad"&amp;" · ","")&amp;IF(AND($S39="Sub",N($R39)=0),"Subactividad sin macroactividad arriba"&amp;" · ","")&amp;IF($D39="","Sin responsable"&amp;" · ","")&amp;IF($E39="","Sin fecha de inicio"&amp;" · ","")&amp;IF($F39="","Sin fecha límite"&amp;" · ","")&amp;IF(OR(AND($E39&lt;&gt;"",NOT(ISNUMBER($E39))),AND($F39&lt;&gt;"",NOT(ISNUMBER($F39)))),"Fecha no válida"&amp;" · ","")&amp;IF(AND(ISNUMBER($E39),ISNUMBER($F39),$E39&gt;$F39),"Inicio posterior a fecha límite"&amp;" · ","")&amp;IF(AND($S39="Macro",$G39=""),"Peso vacío"&amp;" · ","")&amp;IF(AND($S39="Macro",$G39&lt;&gt;"",OR(NOT(ISNUMBER($G39)),$G39&lt;=0,$G39&gt;1)),"Peso fuera de rango"&amp;" · ","")&amp;IF(AND($S39="Sub",$G39&lt;&gt;""),"Las subactividades no llevan peso"&amp;" · ","")&amp;IF(AND($S39="Macro",ABS(SUMIFS($G$5:$G$1000,$P$5:$P$1000,$P39,$S$5:$S$1000,"Macro")-1)&gt;0.0001),"Pesos del mes suman "&amp;TEXT(SUMIFS($G$5:$G$1000,$P$5:$P$1000,$P39,$S$5:$S$1000,"Macro"),"0%")&amp;" · ","")&amp;IF(AND(N($T39)&gt;0,COUNT($H39:$K39)&gt;0),"Con subactividades: deje vacías las semanas (se calculan solas)"&amp;" · ","")&amp;IF((COUNTIF($H39:$K39,"&gt;1")+COUNTIF($H39:$K39,"&lt;0")+COUNTA($H39:$K39)-COUNT($H39:$K39))&gt;0,"Avance fuera de rango 0-100%"&amp;" · ","")&amp;IF(OR(AND($I39&lt;&gt;"",$I39&lt;$H39),AND($J39&lt;&gt;"",$J39&lt;MAX($H39:$I39)),AND($K39&lt;&gt;"",$K39&lt;MAX($H39:$J39))),"Avance semanal decreciente"&amp;" · ","")&amp;IF(AND(ISNUMBER($F39),$F39&lt;FechaRef,N($L39)&lt;1),"Vencida"&amp;" · ","")&amp;IF(AND(ObsObligatoria="Sí",ISNUMBER($F39),$F39&lt;FechaRef,N($L39)&lt;1,$N39=""),"Vencida sin observación"&amp;" · ",""),LEN(IF(AND($S39="Macro",$B39=""),"Macroactividad vacía"&amp;" · ","")&amp;IF(AND($B39&lt;&gt;"",$C39&lt;&gt;""),"Escriba la subactividad en otra fila, debajo de su macroactividad"&amp;" · ","")&amp;IF(AND($S39="Sub",N($R39)=0),"Subactividad sin macroactividad arriba"&amp;" · ","")&amp;IF($D39="","Sin responsable"&amp;" · ","")&amp;IF($E39="","Sin fecha de inicio"&amp;" · ","")&amp;IF($F39="","Sin fecha límite"&amp;" · ","")&amp;IF(OR(AND($E39&lt;&gt;"",NOT(ISNUMBER($E39))),AND($F39&lt;&gt;"",NOT(ISNUMBER($F39)))),"Fecha no válida"&amp;" · ","")&amp;IF(AND(ISNUMBER($E39),ISNUMBER($F39),$E39&gt;$F39),"Inicio posterior a fecha límite"&amp;" · ","")&amp;IF(AND($S39="Macro",$G39=""),"Peso vacío"&amp;" · ","")&amp;IF(AND($S39="Macro",$G39&lt;&gt;"",OR(NOT(ISNUMBER($G39)),$G39&lt;=0,$G39&gt;1)),"Peso fuera de rango"&amp;" · ","")&amp;IF(AND($S39="Sub",$G39&lt;&gt;""),"Las subactividades no llevan peso"&amp;" · ","")&amp;IF(AND($S39="Macro",ABS(SUMIFS($G$5:$G$1000,$P$5:$P$1000,$P39,$S$5:$S$1000,"Macro")-1)&gt;0.0001),"Pesos del mes suman "&amp;TEXT(SUMIFS($G$5:$G$1000,$P$5:$P$1000,$P39,$S$5:$S$1000,"Macro"),"0%")&amp;" · ","")&amp;IF(AND(N($T39)&gt;0,COUNT($H39:$K39)&gt;0),"Con subactividades: deje vacías las semanas (se calculan solas)"&amp;" · ","")&amp;IF((COUNTIF($H39:$K39,"&gt;1")+COUNTIF($H39:$K39,"&lt;0")+COUNTA($H39:$K39)-COUNT($H39:$K39))&gt;0,"Avance fuera de rango 0-100%"&amp;" · ","")&amp;IF(OR(AND($I39&lt;&gt;"",$I39&lt;$H39),AND($J39&lt;&gt;"",$J39&lt;MAX($H39:$I39)),AND($K39&lt;&gt;"",$K39&lt;MAX($H39:$J39))),"Avance semanal decreciente"&amp;" · ","")&amp;IF(AND(ISNUMBER($F39),$F39&lt;FechaRef,N($L39)&lt;1),"Vencida"&amp;" · ","")&amp;IF(AND(ObsObligatoria="Sí",ISNUMBER($F39),$F39&lt;FechaRef,N($L39)&lt;1,$N39=""),"Vencida sin observación"&amp;" · ",""))-3)))</f>
        <v/>
      </c>
      <c r="P39" s="69">
        <f>IF(NOT((COUNTA($B39:$K39)+COUNTA($N39))&gt;0),"",IF(AND($S39="Sub",N($R39)&gt;0),IF(ISNUMBER(INDEX($E$5:$E$1000,$R39-4)),DATE(YEAR(INDEX($E$5:$E$1000,$R39-4)),MONTH(INDEX($E$5:$E$1000,$R39-4)),1),IF(ISNUMBER(INDEX($F$5:$F$1000,$R39-4)),DATE(YEAR(INDEX($F$5:$F$1000,$R39-4)),MONTH(INDEX($F$5:$F$1000,$R39-4)),1),MesCiclo)),IF(ISNUMBER($E39),DATE(YEAR($E39),MONTH($E39),1),IF(ISNUMBER($F39),DATE(YEAR($F39),MONTH($F39),1),MesCiclo))))</f>
        <v/>
      </c>
      <c r="Q39" s="70">
        <f>IF(OR($P39="",$P39&lt;&gt;MesCiclo),"",COUNTIF($P$5:$P39,MesCiclo))</f>
        <v/>
      </c>
      <c r="R39" s="70">
        <f>IF($S39="","",IF($S39="Macro",ROW(),IFERROR(LOOKUP(2,1/($S$5:$S39="Macro"),ROW($S$5:$S39)),0)))</f>
        <v/>
      </c>
      <c r="S39" s="70">
        <f>IF(NOT((COUNTA($B39:$K39)+COUNTA($N39))&gt;0),"",IF($B39&lt;&gt;"","Macro",IF($C39&lt;&gt;"","Sub","Macro")))</f>
        <v/>
      </c>
      <c r="T39" s="70">
        <f>IF($S39="Macro",COUNTIFS($R$5:$R$1000,ROW(),$S$5:$S$1000,"Sub"),"")</f>
        <v/>
      </c>
      <c r="U39" s="70">
        <f>IF($S39="","",IF(ISNUMBER($H39),$H39,0))</f>
        <v/>
      </c>
      <c r="V39" s="70">
        <f>IF($S39="","",IF(ISNUMBER($I39),$I39,$U39))</f>
        <v/>
      </c>
      <c r="W39" s="70">
        <f>IF($S39="","",IF(ISNUMBER($J39),$J39,$V39))</f>
        <v/>
      </c>
      <c r="X39" s="70">
        <f>IF($S39="","",IF(ISNUMBER($K39),$K39,$W39))</f>
        <v/>
      </c>
      <c r="Y39" s="70">
        <f>IF($S39="","",IF(N($T39)&gt;0,AVERAGEIFS($U$5:$U$1000,$R$5:$R$1000,ROW(),$S$5:$S$1000,"Sub"),$U39))</f>
        <v/>
      </c>
      <c r="Z39" s="70">
        <f>IF($S39="","",IF(N($T39)&gt;0,AVERAGEIFS($V$5:$V$1000,$R$5:$R$1000,ROW(),$S$5:$S$1000,"Sub"),$V39))</f>
        <v/>
      </c>
      <c r="AA39" s="70">
        <f>IF($S39="","",IF(N($T39)&gt;0,AVERAGEIFS($W$5:$W$1000,$R$5:$R$1000,ROW(),$S$5:$S$1000,"Sub"),$W39))</f>
        <v/>
      </c>
      <c r="AB39" s="70">
        <f>IF($S39="","",IF(N($T39)&gt;0,AVERAGEIFS($X$5:$X$1000,$R$5:$R$1000,ROW(),$S$5:$S$1000,"Sub"),$X39))</f>
        <v/>
      </c>
    </row>
    <row r="40">
      <c r="A40" s="61">
        <f>IF(NOT((COUNTA($B40:$K40)+COUNTA($N40))&gt;0),"",IF($S40="Macro",COUNTIFS($S$5:$S40,"Macro",$P$5:$P40,$P40),IF(N($R40)=0,"?",COUNTIFS(INDEX($S$5:$S$1000,1):INDEX($S$5:$S$1000,$R40-4),"Macro",INDEX($P$5:$P$1000,1):INDEX($P$5:$P$1000,$R40-4),INDEX($P$5:$P$1000,$R40-4))&amp;"."&amp;COUNTIFS($R$5:$R40,$R40,$S$5:$S40,"Sub"))))</f>
        <v/>
      </c>
      <c r="B40" s="62" t="n"/>
      <c r="C40" s="63" t="n"/>
      <c r="D40" s="62" t="n"/>
      <c r="E40" s="64" t="n"/>
      <c r="F40" s="64" t="n"/>
      <c r="G40" s="65" t="n"/>
      <c r="H40" s="66" t="n"/>
      <c r="I40" s="66" t="n"/>
      <c r="J40" s="66" t="n"/>
      <c r="K40" s="66" t="n"/>
      <c r="L40" s="67">
        <f>IF(NOT((COUNTA($B40:$K40)+COUNTA($N40))&gt;0),"",IF(N($T40)&gt;0,$AB40,IFERROR(LOOKUP(2,1/(H40:K40&lt;&gt;""),H40:K40),0)))</f>
        <v/>
      </c>
      <c r="M40" s="61">
        <f>IF(L40="","",IF(L40&gt;=1,"Completado",IF(L40&gt;0,"En curso","Pendiente")))</f>
        <v/>
      </c>
      <c r="N40" s="62" t="n"/>
      <c r="O40" s="68">
        <f>IF(NOT((COUNTA($B40:$K40)+COUNTA($N40))&gt;0),"",IF((IF(AND($S40="Macro",$B40=""),"Macroactividad vacía"&amp;" · ","")&amp;IF(AND($B40&lt;&gt;"",$C40&lt;&gt;""),"Escriba la subactividad en otra fila, debajo de su macroactividad"&amp;" · ","")&amp;IF(AND($S40="Sub",N($R40)=0),"Subactividad sin macroactividad arriba"&amp;" · ","")&amp;IF($D40="","Sin responsable"&amp;" · ","")&amp;IF($E40="","Sin fecha de inicio"&amp;" · ","")&amp;IF($F40="","Sin fecha límite"&amp;" · ","")&amp;IF(OR(AND($E40&lt;&gt;"",NOT(ISNUMBER($E40))),AND($F40&lt;&gt;"",NOT(ISNUMBER($F40)))),"Fecha no válida"&amp;" · ","")&amp;IF(AND(ISNUMBER($E40),ISNUMBER($F40),$E40&gt;$F40),"Inicio posterior a fecha límite"&amp;" · ","")&amp;IF(AND($S40="Macro",$G40=""),"Peso vacío"&amp;" · ","")&amp;IF(AND($S40="Macro",$G40&lt;&gt;"",OR(NOT(ISNUMBER($G40)),$G40&lt;=0,$G40&gt;1)),"Peso fuera de rango"&amp;" · ","")&amp;IF(AND($S40="Sub",$G40&lt;&gt;""),"Las subactividades no llevan peso"&amp;" · ","")&amp;IF(AND($S40="Macro",ABS(SUMIFS($G$5:$G$1000,$P$5:$P$1000,$P40,$S$5:$S$1000,"Macro")-1)&gt;0.0001),"Pesos del mes suman "&amp;TEXT(SUMIFS($G$5:$G$1000,$P$5:$P$1000,$P40,$S$5:$S$1000,"Macro"),"0%")&amp;" · ","")&amp;IF(AND(N($T40)&gt;0,COUNT($H40:$K40)&gt;0),"Con subactividades: deje vacías las semanas (se calculan solas)"&amp;" · ","")&amp;IF((COUNTIF($H40:$K40,"&gt;1")+COUNTIF($H40:$K40,"&lt;0")+COUNTA($H40:$K40)-COUNT($H40:$K40))&gt;0,"Avance fuera de rango 0-100%"&amp;" · ","")&amp;IF(OR(AND($I40&lt;&gt;"",$I40&lt;$H40),AND($J40&lt;&gt;"",$J40&lt;MAX($H40:$I40)),AND($K40&lt;&gt;"",$K40&lt;MAX($H40:$J40))),"Avance semanal decreciente"&amp;" · ","")&amp;IF(AND(ISNUMBER($F40),$F40&lt;FechaRef,N($L40)&lt;1),"Vencida"&amp;" · ","")&amp;IF(AND(ObsObligatoria="Sí",ISNUMBER($F40),$F40&lt;FechaRef,N($L40)&lt;1,$N40=""),"Vencida sin observación"&amp;" · ",""))="","✔ OK","⚠ "&amp;LEFT(IF(AND($S40="Macro",$B40=""),"Macroactividad vacía"&amp;" · ","")&amp;IF(AND($B40&lt;&gt;"",$C40&lt;&gt;""),"Escriba la subactividad en otra fila, debajo de su macroactividad"&amp;" · ","")&amp;IF(AND($S40="Sub",N($R40)=0),"Subactividad sin macroactividad arriba"&amp;" · ","")&amp;IF($D40="","Sin responsable"&amp;" · ","")&amp;IF($E40="","Sin fecha de inicio"&amp;" · ","")&amp;IF($F40="","Sin fecha límite"&amp;" · ","")&amp;IF(OR(AND($E40&lt;&gt;"",NOT(ISNUMBER($E40))),AND($F40&lt;&gt;"",NOT(ISNUMBER($F40)))),"Fecha no válida"&amp;" · ","")&amp;IF(AND(ISNUMBER($E40),ISNUMBER($F40),$E40&gt;$F40),"Inicio posterior a fecha límite"&amp;" · ","")&amp;IF(AND($S40="Macro",$G40=""),"Peso vacío"&amp;" · ","")&amp;IF(AND($S40="Macro",$G40&lt;&gt;"",OR(NOT(ISNUMBER($G40)),$G40&lt;=0,$G40&gt;1)),"Peso fuera de rango"&amp;" · ","")&amp;IF(AND($S40="Sub",$G40&lt;&gt;""),"Las subactividades no llevan peso"&amp;" · ","")&amp;IF(AND($S40="Macro",ABS(SUMIFS($G$5:$G$1000,$P$5:$P$1000,$P40,$S$5:$S$1000,"Macro")-1)&gt;0.0001),"Pesos del mes suman "&amp;TEXT(SUMIFS($G$5:$G$1000,$P$5:$P$1000,$P40,$S$5:$S$1000,"Macro"),"0%")&amp;" · ","")&amp;IF(AND(N($T40)&gt;0,COUNT($H40:$K40)&gt;0),"Con subactividades: deje vacías las semanas (se calculan solas)"&amp;" · ","")&amp;IF((COUNTIF($H40:$K40,"&gt;1")+COUNTIF($H40:$K40,"&lt;0")+COUNTA($H40:$K40)-COUNT($H40:$K40))&gt;0,"Avance fuera de rango 0-100%"&amp;" · ","")&amp;IF(OR(AND($I40&lt;&gt;"",$I40&lt;$H40),AND($J40&lt;&gt;"",$J40&lt;MAX($H40:$I40)),AND($K40&lt;&gt;"",$K40&lt;MAX($H40:$J40))),"Avance semanal decreciente"&amp;" · ","")&amp;IF(AND(ISNUMBER($F40),$F40&lt;FechaRef,N($L40)&lt;1),"Vencida"&amp;" · ","")&amp;IF(AND(ObsObligatoria="Sí",ISNUMBER($F40),$F40&lt;FechaRef,N($L40)&lt;1,$N40=""),"Vencida sin observación"&amp;" · ",""),LEN(IF(AND($S40="Macro",$B40=""),"Macroactividad vacía"&amp;" · ","")&amp;IF(AND($B40&lt;&gt;"",$C40&lt;&gt;""),"Escriba la subactividad en otra fila, debajo de su macroactividad"&amp;" · ","")&amp;IF(AND($S40="Sub",N($R40)=0),"Subactividad sin macroactividad arriba"&amp;" · ","")&amp;IF($D40="","Sin responsable"&amp;" · ","")&amp;IF($E40="","Sin fecha de inicio"&amp;" · ","")&amp;IF($F40="","Sin fecha límite"&amp;" · ","")&amp;IF(OR(AND($E40&lt;&gt;"",NOT(ISNUMBER($E40))),AND($F40&lt;&gt;"",NOT(ISNUMBER($F40)))),"Fecha no válida"&amp;" · ","")&amp;IF(AND(ISNUMBER($E40),ISNUMBER($F40),$E40&gt;$F40),"Inicio posterior a fecha límite"&amp;" · ","")&amp;IF(AND($S40="Macro",$G40=""),"Peso vacío"&amp;" · ","")&amp;IF(AND($S40="Macro",$G40&lt;&gt;"",OR(NOT(ISNUMBER($G40)),$G40&lt;=0,$G40&gt;1)),"Peso fuera de rango"&amp;" · ","")&amp;IF(AND($S40="Sub",$G40&lt;&gt;""),"Las subactividades no llevan peso"&amp;" · ","")&amp;IF(AND($S40="Macro",ABS(SUMIFS($G$5:$G$1000,$P$5:$P$1000,$P40,$S$5:$S$1000,"Macro")-1)&gt;0.0001),"Pesos del mes suman "&amp;TEXT(SUMIFS($G$5:$G$1000,$P$5:$P$1000,$P40,$S$5:$S$1000,"Macro"),"0%")&amp;" · ","")&amp;IF(AND(N($T40)&gt;0,COUNT($H40:$K40)&gt;0),"Con subactividades: deje vacías las semanas (se calculan solas)"&amp;" · ","")&amp;IF((COUNTIF($H40:$K40,"&gt;1")+COUNTIF($H40:$K40,"&lt;0")+COUNTA($H40:$K40)-COUNT($H40:$K40))&gt;0,"Avance fuera de rango 0-100%"&amp;" · ","")&amp;IF(OR(AND($I40&lt;&gt;"",$I40&lt;$H40),AND($J40&lt;&gt;"",$J40&lt;MAX($H40:$I40)),AND($K40&lt;&gt;"",$K40&lt;MAX($H40:$J40))),"Avance semanal decreciente"&amp;" · ","")&amp;IF(AND(ISNUMBER($F40),$F40&lt;FechaRef,N($L40)&lt;1),"Vencida"&amp;" · ","")&amp;IF(AND(ObsObligatoria="Sí",ISNUMBER($F40),$F40&lt;FechaRef,N($L40)&lt;1,$N40=""),"Vencida sin observación"&amp;" · ",""))-3)))</f>
        <v/>
      </c>
      <c r="P40" s="69">
        <f>IF(NOT((COUNTA($B40:$K40)+COUNTA($N40))&gt;0),"",IF(AND($S40="Sub",N($R40)&gt;0),IF(ISNUMBER(INDEX($E$5:$E$1000,$R40-4)),DATE(YEAR(INDEX($E$5:$E$1000,$R40-4)),MONTH(INDEX($E$5:$E$1000,$R40-4)),1),IF(ISNUMBER(INDEX($F$5:$F$1000,$R40-4)),DATE(YEAR(INDEX($F$5:$F$1000,$R40-4)),MONTH(INDEX($F$5:$F$1000,$R40-4)),1),MesCiclo)),IF(ISNUMBER($E40),DATE(YEAR($E40),MONTH($E40),1),IF(ISNUMBER($F40),DATE(YEAR($F40),MONTH($F40),1),MesCiclo))))</f>
        <v/>
      </c>
      <c r="Q40" s="70">
        <f>IF(OR($P40="",$P40&lt;&gt;MesCiclo),"",COUNTIF($P$5:$P40,MesCiclo))</f>
        <v/>
      </c>
      <c r="R40" s="70">
        <f>IF($S40="","",IF($S40="Macro",ROW(),IFERROR(LOOKUP(2,1/($S$5:$S40="Macro"),ROW($S$5:$S40)),0)))</f>
        <v/>
      </c>
      <c r="S40" s="70">
        <f>IF(NOT((COUNTA($B40:$K40)+COUNTA($N40))&gt;0),"",IF($B40&lt;&gt;"","Macro",IF($C40&lt;&gt;"","Sub","Macro")))</f>
        <v/>
      </c>
      <c r="T40" s="70">
        <f>IF($S40="Macro",COUNTIFS($R$5:$R$1000,ROW(),$S$5:$S$1000,"Sub"),"")</f>
        <v/>
      </c>
      <c r="U40" s="70">
        <f>IF($S40="","",IF(ISNUMBER($H40),$H40,0))</f>
        <v/>
      </c>
      <c r="V40" s="70">
        <f>IF($S40="","",IF(ISNUMBER($I40),$I40,$U40))</f>
        <v/>
      </c>
      <c r="W40" s="70">
        <f>IF($S40="","",IF(ISNUMBER($J40),$J40,$V40))</f>
        <v/>
      </c>
      <c r="X40" s="70">
        <f>IF($S40="","",IF(ISNUMBER($K40),$K40,$W40))</f>
        <v/>
      </c>
      <c r="Y40" s="70">
        <f>IF($S40="","",IF(N($T40)&gt;0,AVERAGEIFS($U$5:$U$1000,$R$5:$R$1000,ROW(),$S$5:$S$1000,"Sub"),$U40))</f>
        <v/>
      </c>
      <c r="Z40" s="70">
        <f>IF($S40="","",IF(N($T40)&gt;0,AVERAGEIFS($V$5:$V$1000,$R$5:$R$1000,ROW(),$S$5:$S$1000,"Sub"),$V40))</f>
        <v/>
      </c>
      <c r="AA40" s="70">
        <f>IF($S40="","",IF(N($T40)&gt;0,AVERAGEIFS($W$5:$W$1000,$R$5:$R$1000,ROW(),$S$5:$S$1000,"Sub"),$W40))</f>
        <v/>
      </c>
      <c r="AB40" s="70">
        <f>IF($S40="","",IF(N($T40)&gt;0,AVERAGEIFS($X$5:$X$1000,$R$5:$R$1000,ROW(),$S$5:$S$1000,"Sub"),$X40))</f>
        <v/>
      </c>
    </row>
    <row r="41">
      <c r="A41" s="61">
        <f>IF(NOT((COUNTA($B41:$K41)+COUNTA($N41))&gt;0),"",IF($S41="Macro",COUNTIFS($S$5:$S41,"Macro",$P$5:$P41,$P41),IF(N($R41)=0,"?",COUNTIFS(INDEX($S$5:$S$1000,1):INDEX($S$5:$S$1000,$R41-4),"Macro",INDEX($P$5:$P$1000,1):INDEX($P$5:$P$1000,$R41-4),INDEX($P$5:$P$1000,$R41-4))&amp;"."&amp;COUNTIFS($R$5:$R41,$R41,$S$5:$S41,"Sub"))))</f>
        <v/>
      </c>
      <c r="B41" s="62" t="n"/>
      <c r="C41" s="63" t="n"/>
      <c r="D41" s="62" t="n"/>
      <c r="E41" s="64" t="n"/>
      <c r="F41" s="64" t="n"/>
      <c r="G41" s="65" t="n"/>
      <c r="H41" s="66" t="n"/>
      <c r="I41" s="66" t="n"/>
      <c r="J41" s="66" t="n"/>
      <c r="K41" s="66" t="n"/>
      <c r="L41" s="67">
        <f>IF(NOT((COUNTA($B41:$K41)+COUNTA($N41))&gt;0),"",IF(N($T41)&gt;0,$AB41,IFERROR(LOOKUP(2,1/(H41:K41&lt;&gt;""),H41:K41),0)))</f>
        <v/>
      </c>
      <c r="M41" s="61">
        <f>IF(L41="","",IF(L41&gt;=1,"Completado",IF(L41&gt;0,"En curso","Pendiente")))</f>
        <v/>
      </c>
      <c r="N41" s="62" t="n"/>
      <c r="O41" s="68">
        <f>IF(NOT((COUNTA($B41:$K41)+COUNTA($N41))&gt;0),"",IF((IF(AND($S41="Macro",$B41=""),"Macroactividad vacía"&amp;" · ","")&amp;IF(AND($B41&lt;&gt;"",$C41&lt;&gt;""),"Escriba la subactividad en otra fila, debajo de su macroactividad"&amp;" · ","")&amp;IF(AND($S41="Sub",N($R41)=0),"Subactividad sin macroactividad arriba"&amp;" · ","")&amp;IF($D41="","Sin responsable"&amp;" · ","")&amp;IF($E41="","Sin fecha de inicio"&amp;" · ","")&amp;IF($F41="","Sin fecha límite"&amp;" · ","")&amp;IF(OR(AND($E41&lt;&gt;"",NOT(ISNUMBER($E41))),AND($F41&lt;&gt;"",NOT(ISNUMBER($F41)))),"Fecha no válida"&amp;" · ","")&amp;IF(AND(ISNUMBER($E41),ISNUMBER($F41),$E41&gt;$F41),"Inicio posterior a fecha límite"&amp;" · ","")&amp;IF(AND($S41="Macro",$G41=""),"Peso vacío"&amp;" · ","")&amp;IF(AND($S41="Macro",$G41&lt;&gt;"",OR(NOT(ISNUMBER($G41)),$G41&lt;=0,$G41&gt;1)),"Peso fuera de rango"&amp;" · ","")&amp;IF(AND($S41="Sub",$G41&lt;&gt;""),"Las subactividades no llevan peso"&amp;" · ","")&amp;IF(AND($S41="Macro",ABS(SUMIFS($G$5:$G$1000,$P$5:$P$1000,$P41,$S$5:$S$1000,"Macro")-1)&gt;0.0001),"Pesos del mes suman "&amp;TEXT(SUMIFS($G$5:$G$1000,$P$5:$P$1000,$P41,$S$5:$S$1000,"Macro"),"0%")&amp;" · ","")&amp;IF(AND(N($T41)&gt;0,COUNT($H41:$K41)&gt;0),"Con subactividades: deje vacías las semanas (se calculan solas)"&amp;" · ","")&amp;IF((COUNTIF($H41:$K41,"&gt;1")+COUNTIF($H41:$K41,"&lt;0")+COUNTA($H41:$K41)-COUNT($H41:$K41))&gt;0,"Avance fuera de rango 0-100%"&amp;" · ","")&amp;IF(OR(AND($I41&lt;&gt;"",$I41&lt;$H41),AND($J41&lt;&gt;"",$J41&lt;MAX($H41:$I41)),AND($K41&lt;&gt;"",$K41&lt;MAX($H41:$J41))),"Avance semanal decreciente"&amp;" · ","")&amp;IF(AND(ISNUMBER($F41),$F41&lt;FechaRef,N($L41)&lt;1),"Vencida"&amp;" · ","")&amp;IF(AND(ObsObligatoria="Sí",ISNUMBER($F41),$F41&lt;FechaRef,N($L41)&lt;1,$N41=""),"Vencida sin observación"&amp;" · ",""))="","✔ OK","⚠ "&amp;LEFT(IF(AND($S41="Macro",$B41=""),"Macroactividad vacía"&amp;" · ","")&amp;IF(AND($B41&lt;&gt;"",$C41&lt;&gt;""),"Escriba la subactividad en otra fila, debajo de su macroactividad"&amp;" · ","")&amp;IF(AND($S41="Sub",N($R41)=0),"Subactividad sin macroactividad arriba"&amp;" · ","")&amp;IF($D41="","Sin responsable"&amp;" · ","")&amp;IF($E41="","Sin fecha de inicio"&amp;" · ","")&amp;IF($F41="","Sin fecha límite"&amp;" · ","")&amp;IF(OR(AND($E41&lt;&gt;"",NOT(ISNUMBER($E41))),AND($F41&lt;&gt;"",NOT(ISNUMBER($F41)))),"Fecha no válida"&amp;" · ","")&amp;IF(AND(ISNUMBER($E41),ISNUMBER($F41),$E41&gt;$F41),"Inicio posterior a fecha límite"&amp;" · ","")&amp;IF(AND($S41="Macro",$G41=""),"Peso vacío"&amp;" · ","")&amp;IF(AND($S41="Macro",$G41&lt;&gt;"",OR(NOT(ISNUMBER($G41)),$G41&lt;=0,$G41&gt;1)),"Peso fuera de rango"&amp;" · ","")&amp;IF(AND($S41="Sub",$G41&lt;&gt;""),"Las subactividades no llevan peso"&amp;" · ","")&amp;IF(AND($S41="Macro",ABS(SUMIFS($G$5:$G$1000,$P$5:$P$1000,$P41,$S$5:$S$1000,"Macro")-1)&gt;0.0001),"Pesos del mes suman "&amp;TEXT(SUMIFS($G$5:$G$1000,$P$5:$P$1000,$P41,$S$5:$S$1000,"Macro"),"0%")&amp;" · ","")&amp;IF(AND(N($T41)&gt;0,COUNT($H41:$K41)&gt;0),"Con subactividades: deje vacías las semanas (se calculan solas)"&amp;" · ","")&amp;IF((COUNTIF($H41:$K41,"&gt;1")+COUNTIF($H41:$K41,"&lt;0")+COUNTA($H41:$K41)-COUNT($H41:$K41))&gt;0,"Avance fuera de rango 0-100%"&amp;" · ","")&amp;IF(OR(AND($I41&lt;&gt;"",$I41&lt;$H41),AND($J41&lt;&gt;"",$J41&lt;MAX($H41:$I41)),AND($K41&lt;&gt;"",$K41&lt;MAX($H41:$J41))),"Avance semanal decreciente"&amp;" · ","")&amp;IF(AND(ISNUMBER($F41),$F41&lt;FechaRef,N($L41)&lt;1),"Vencida"&amp;" · ","")&amp;IF(AND(ObsObligatoria="Sí",ISNUMBER($F41),$F41&lt;FechaRef,N($L41)&lt;1,$N41=""),"Vencida sin observación"&amp;" · ",""),LEN(IF(AND($S41="Macro",$B41=""),"Macroactividad vacía"&amp;" · ","")&amp;IF(AND($B41&lt;&gt;"",$C41&lt;&gt;""),"Escriba la subactividad en otra fila, debajo de su macroactividad"&amp;" · ","")&amp;IF(AND($S41="Sub",N($R41)=0),"Subactividad sin macroactividad arriba"&amp;" · ","")&amp;IF($D41="","Sin responsable"&amp;" · ","")&amp;IF($E41="","Sin fecha de inicio"&amp;" · ","")&amp;IF($F41="","Sin fecha límite"&amp;" · ","")&amp;IF(OR(AND($E41&lt;&gt;"",NOT(ISNUMBER($E41))),AND($F41&lt;&gt;"",NOT(ISNUMBER($F41)))),"Fecha no válida"&amp;" · ","")&amp;IF(AND(ISNUMBER($E41),ISNUMBER($F41),$E41&gt;$F41),"Inicio posterior a fecha límite"&amp;" · ","")&amp;IF(AND($S41="Macro",$G41=""),"Peso vacío"&amp;" · ","")&amp;IF(AND($S41="Macro",$G41&lt;&gt;"",OR(NOT(ISNUMBER($G41)),$G41&lt;=0,$G41&gt;1)),"Peso fuera de rango"&amp;" · ","")&amp;IF(AND($S41="Sub",$G41&lt;&gt;""),"Las subactividades no llevan peso"&amp;" · ","")&amp;IF(AND($S41="Macro",ABS(SUMIFS($G$5:$G$1000,$P$5:$P$1000,$P41,$S$5:$S$1000,"Macro")-1)&gt;0.0001),"Pesos del mes suman "&amp;TEXT(SUMIFS($G$5:$G$1000,$P$5:$P$1000,$P41,$S$5:$S$1000,"Macro"),"0%")&amp;" · ","")&amp;IF(AND(N($T41)&gt;0,COUNT($H41:$K41)&gt;0),"Con subactividades: deje vacías las semanas (se calculan solas)"&amp;" · ","")&amp;IF((COUNTIF($H41:$K41,"&gt;1")+COUNTIF($H41:$K41,"&lt;0")+COUNTA($H41:$K41)-COUNT($H41:$K41))&gt;0,"Avance fuera de rango 0-100%"&amp;" · ","")&amp;IF(OR(AND($I41&lt;&gt;"",$I41&lt;$H41),AND($J41&lt;&gt;"",$J41&lt;MAX($H41:$I41)),AND($K41&lt;&gt;"",$K41&lt;MAX($H41:$J41))),"Avance semanal decreciente"&amp;" · ","")&amp;IF(AND(ISNUMBER($F41),$F41&lt;FechaRef,N($L41)&lt;1),"Vencida"&amp;" · ","")&amp;IF(AND(ObsObligatoria="Sí",ISNUMBER($F41),$F41&lt;FechaRef,N($L41)&lt;1,$N41=""),"Vencida sin observación"&amp;" · ",""))-3)))</f>
        <v/>
      </c>
      <c r="P41" s="69">
        <f>IF(NOT((COUNTA($B41:$K41)+COUNTA($N41))&gt;0),"",IF(AND($S41="Sub",N($R41)&gt;0),IF(ISNUMBER(INDEX($E$5:$E$1000,$R41-4)),DATE(YEAR(INDEX($E$5:$E$1000,$R41-4)),MONTH(INDEX($E$5:$E$1000,$R41-4)),1),IF(ISNUMBER(INDEX($F$5:$F$1000,$R41-4)),DATE(YEAR(INDEX($F$5:$F$1000,$R41-4)),MONTH(INDEX($F$5:$F$1000,$R41-4)),1),MesCiclo)),IF(ISNUMBER($E41),DATE(YEAR($E41),MONTH($E41),1),IF(ISNUMBER($F41),DATE(YEAR($F41),MONTH($F41),1),MesCiclo))))</f>
        <v/>
      </c>
      <c r="Q41" s="70">
        <f>IF(OR($P41="",$P41&lt;&gt;MesCiclo),"",COUNTIF($P$5:$P41,MesCiclo))</f>
        <v/>
      </c>
      <c r="R41" s="70">
        <f>IF($S41="","",IF($S41="Macro",ROW(),IFERROR(LOOKUP(2,1/($S$5:$S41="Macro"),ROW($S$5:$S41)),0)))</f>
        <v/>
      </c>
      <c r="S41" s="70">
        <f>IF(NOT((COUNTA($B41:$K41)+COUNTA($N41))&gt;0),"",IF($B41&lt;&gt;"","Macro",IF($C41&lt;&gt;"","Sub","Macro")))</f>
        <v/>
      </c>
      <c r="T41" s="70">
        <f>IF($S41="Macro",COUNTIFS($R$5:$R$1000,ROW(),$S$5:$S$1000,"Sub"),"")</f>
        <v/>
      </c>
      <c r="U41" s="70">
        <f>IF($S41="","",IF(ISNUMBER($H41),$H41,0))</f>
        <v/>
      </c>
      <c r="V41" s="70">
        <f>IF($S41="","",IF(ISNUMBER($I41),$I41,$U41))</f>
        <v/>
      </c>
      <c r="W41" s="70">
        <f>IF($S41="","",IF(ISNUMBER($J41),$J41,$V41))</f>
        <v/>
      </c>
      <c r="X41" s="70">
        <f>IF($S41="","",IF(ISNUMBER($K41),$K41,$W41))</f>
        <v/>
      </c>
      <c r="Y41" s="70">
        <f>IF($S41="","",IF(N($T41)&gt;0,AVERAGEIFS($U$5:$U$1000,$R$5:$R$1000,ROW(),$S$5:$S$1000,"Sub"),$U41))</f>
        <v/>
      </c>
      <c r="Z41" s="70">
        <f>IF($S41="","",IF(N($T41)&gt;0,AVERAGEIFS($V$5:$V$1000,$R$5:$R$1000,ROW(),$S$5:$S$1000,"Sub"),$V41))</f>
        <v/>
      </c>
      <c r="AA41" s="70">
        <f>IF($S41="","",IF(N($T41)&gt;0,AVERAGEIFS($W$5:$W$1000,$R$5:$R$1000,ROW(),$S$5:$S$1000,"Sub"),$W41))</f>
        <v/>
      </c>
      <c r="AB41" s="70">
        <f>IF($S41="","",IF(N($T41)&gt;0,AVERAGEIFS($X$5:$X$1000,$R$5:$R$1000,ROW(),$S$5:$S$1000,"Sub"),$X41))</f>
        <v/>
      </c>
    </row>
    <row r="42">
      <c r="A42" s="61">
        <f>IF(NOT((COUNTA($B42:$K42)+COUNTA($N42))&gt;0),"",IF($S42="Macro",COUNTIFS($S$5:$S42,"Macro",$P$5:$P42,$P42),IF(N($R42)=0,"?",COUNTIFS(INDEX($S$5:$S$1000,1):INDEX($S$5:$S$1000,$R42-4),"Macro",INDEX($P$5:$P$1000,1):INDEX($P$5:$P$1000,$R42-4),INDEX($P$5:$P$1000,$R42-4))&amp;"."&amp;COUNTIFS($R$5:$R42,$R42,$S$5:$S42,"Sub"))))</f>
        <v/>
      </c>
      <c r="B42" s="62" t="n"/>
      <c r="C42" s="63" t="n"/>
      <c r="D42" s="62" t="n"/>
      <c r="E42" s="64" t="n"/>
      <c r="F42" s="64" t="n"/>
      <c r="G42" s="65" t="n"/>
      <c r="H42" s="66" t="n"/>
      <c r="I42" s="66" t="n"/>
      <c r="J42" s="66" t="n"/>
      <c r="K42" s="66" t="n"/>
      <c r="L42" s="67">
        <f>IF(NOT((COUNTA($B42:$K42)+COUNTA($N42))&gt;0),"",IF(N($T42)&gt;0,$AB42,IFERROR(LOOKUP(2,1/(H42:K42&lt;&gt;""),H42:K42),0)))</f>
        <v/>
      </c>
      <c r="M42" s="61">
        <f>IF(L42="","",IF(L42&gt;=1,"Completado",IF(L42&gt;0,"En curso","Pendiente")))</f>
        <v/>
      </c>
      <c r="N42" s="62" t="n"/>
      <c r="O42" s="68">
        <f>IF(NOT((COUNTA($B42:$K42)+COUNTA($N42))&gt;0),"",IF((IF(AND($S42="Macro",$B42=""),"Macroactividad vacía"&amp;" · ","")&amp;IF(AND($B42&lt;&gt;"",$C42&lt;&gt;""),"Escriba la subactividad en otra fila, debajo de su macroactividad"&amp;" · ","")&amp;IF(AND($S42="Sub",N($R42)=0),"Subactividad sin macroactividad arriba"&amp;" · ","")&amp;IF($D42="","Sin responsable"&amp;" · ","")&amp;IF($E42="","Sin fecha de inicio"&amp;" · ","")&amp;IF($F42="","Sin fecha límite"&amp;" · ","")&amp;IF(OR(AND($E42&lt;&gt;"",NOT(ISNUMBER($E42))),AND($F42&lt;&gt;"",NOT(ISNUMBER($F42)))),"Fecha no válida"&amp;" · ","")&amp;IF(AND(ISNUMBER($E42),ISNUMBER($F42),$E42&gt;$F42),"Inicio posterior a fecha límite"&amp;" · ","")&amp;IF(AND($S42="Macro",$G42=""),"Peso vacío"&amp;" · ","")&amp;IF(AND($S42="Macro",$G42&lt;&gt;"",OR(NOT(ISNUMBER($G42)),$G42&lt;=0,$G42&gt;1)),"Peso fuera de rango"&amp;" · ","")&amp;IF(AND($S42="Sub",$G42&lt;&gt;""),"Las subactividades no llevan peso"&amp;" · ","")&amp;IF(AND($S42="Macro",ABS(SUMIFS($G$5:$G$1000,$P$5:$P$1000,$P42,$S$5:$S$1000,"Macro")-1)&gt;0.0001),"Pesos del mes suman "&amp;TEXT(SUMIFS($G$5:$G$1000,$P$5:$P$1000,$P42,$S$5:$S$1000,"Macro"),"0%")&amp;" · ","")&amp;IF(AND(N($T42)&gt;0,COUNT($H42:$K42)&gt;0),"Con subactividades: deje vacías las semanas (se calculan solas)"&amp;" · ","")&amp;IF((COUNTIF($H42:$K42,"&gt;1")+COUNTIF($H42:$K42,"&lt;0")+COUNTA($H42:$K42)-COUNT($H42:$K42))&gt;0,"Avance fuera de rango 0-100%"&amp;" · ","")&amp;IF(OR(AND($I42&lt;&gt;"",$I42&lt;$H42),AND($J42&lt;&gt;"",$J42&lt;MAX($H42:$I42)),AND($K42&lt;&gt;"",$K42&lt;MAX($H42:$J42))),"Avance semanal decreciente"&amp;" · ","")&amp;IF(AND(ISNUMBER($F42),$F42&lt;FechaRef,N($L42)&lt;1),"Vencida"&amp;" · ","")&amp;IF(AND(ObsObligatoria="Sí",ISNUMBER($F42),$F42&lt;FechaRef,N($L42)&lt;1,$N42=""),"Vencida sin observación"&amp;" · ",""))="","✔ OK","⚠ "&amp;LEFT(IF(AND($S42="Macro",$B42=""),"Macroactividad vacía"&amp;" · ","")&amp;IF(AND($B42&lt;&gt;"",$C42&lt;&gt;""),"Escriba la subactividad en otra fila, debajo de su macroactividad"&amp;" · ","")&amp;IF(AND($S42="Sub",N($R42)=0),"Subactividad sin macroactividad arriba"&amp;" · ","")&amp;IF($D42="","Sin responsable"&amp;" · ","")&amp;IF($E42="","Sin fecha de inicio"&amp;" · ","")&amp;IF($F42="","Sin fecha límite"&amp;" · ","")&amp;IF(OR(AND($E42&lt;&gt;"",NOT(ISNUMBER($E42))),AND($F42&lt;&gt;"",NOT(ISNUMBER($F42)))),"Fecha no válida"&amp;" · ","")&amp;IF(AND(ISNUMBER($E42),ISNUMBER($F42),$E42&gt;$F42),"Inicio posterior a fecha límite"&amp;" · ","")&amp;IF(AND($S42="Macro",$G42=""),"Peso vacío"&amp;" · ","")&amp;IF(AND($S42="Macro",$G42&lt;&gt;"",OR(NOT(ISNUMBER($G42)),$G42&lt;=0,$G42&gt;1)),"Peso fuera de rango"&amp;" · ","")&amp;IF(AND($S42="Sub",$G42&lt;&gt;""),"Las subactividades no llevan peso"&amp;" · ","")&amp;IF(AND($S42="Macro",ABS(SUMIFS($G$5:$G$1000,$P$5:$P$1000,$P42,$S$5:$S$1000,"Macro")-1)&gt;0.0001),"Pesos del mes suman "&amp;TEXT(SUMIFS($G$5:$G$1000,$P$5:$P$1000,$P42,$S$5:$S$1000,"Macro"),"0%")&amp;" · ","")&amp;IF(AND(N($T42)&gt;0,COUNT($H42:$K42)&gt;0),"Con subactividades: deje vacías las semanas (se calculan solas)"&amp;" · ","")&amp;IF((COUNTIF($H42:$K42,"&gt;1")+COUNTIF($H42:$K42,"&lt;0")+COUNTA($H42:$K42)-COUNT($H42:$K42))&gt;0,"Avance fuera de rango 0-100%"&amp;" · ","")&amp;IF(OR(AND($I42&lt;&gt;"",$I42&lt;$H42),AND($J42&lt;&gt;"",$J42&lt;MAX($H42:$I42)),AND($K42&lt;&gt;"",$K42&lt;MAX($H42:$J42))),"Avance semanal decreciente"&amp;" · ","")&amp;IF(AND(ISNUMBER($F42),$F42&lt;FechaRef,N($L42)&lt;1),"Vencida"&amp;" · ","")&amp;IF(AND(ObsObligatoria="Sí",ISNUMBER($F42),$F42&lt;FechaRef,N($L42)&lt;1,$N42=""),"Vencida sin observación"&amp;" · ",""),LEN(IF(AND($S42="Macro",$B42=""),"Macroactividad vacía"&amp;" · ","")&amp;IF(AND($B42&lt;&gt;"",$C42&lt;&gt;""),"Escriba la subactividad en otra fila, debajo de su macroactividad"&amp;" · ","")&amp;IF(AND($S42="Sub",N($R42)=0),"Subactividad sin macroactividad arriba"&amp;" · ","")&amp;IF($D42="","Sin responsable"&amp;" · ","")&amp;IF($E42="","Sin fecha de inicio"&amp;" · ","")&amp;IF($F42="","Sin fecha límite"&amp;" · ","")&amp;IF(OR(AND($E42&lt;&gt;"",NOT(ISNUMBER($E42))),AND($F42&lt;&gt;"",NOT(ISNUMBER($F42)))),"Fecha no válida"&amp;" · ","")&amp;IF(AND(ISNUMBER($E42),ISNUMBER($F42),$E42&gt;$F42),"Inicio posterior a fecha límite"&amp;" · ","")&amp;IF(AND($S42="Macro",$G42=""),"Peso vacío"&amp;" · ","")&amp;IF(AND($S42="Macro",$G42&lt;&gt;"",OR(NOT(ISNUMBER($G42)),$G42&lt;=0,$G42&gt;1)),"Peso fuera de rango"&amp;" · ","")&amp;IF(AND($S42="Sub",$G42&lt;&gt;""),"Las subactividades no llevan peso"&amp;" · ","")&amp;IF(AND($S42="Macro",ABS(SUMIFS($G$5:$G$1000,$P$5:$P$1000,$P42,$S$5:$S$1000,"Macro")-1)&gt;0.0001),"Pesos del mes suman "&amp;TEXT(SUMIFS($G$5:$G$1000,$P$5:$P$1000,$P42,$S$5:$S$1000,"Macro"),"0%")&amp;" · ","")&amp;IF(AND(N($T42)&gt;0,COUNT($H42:$K42)&gt;0),"Con subactividades: deje vacías las semanas (se calculan solas)"&amp;" · ","")&amp;IF((COUNTIF($H42:$K42,"&gt;1")+COUNTIF($H42:$K42,"&lt;0")+COUNTA($H42:$K42)-COUNT($H42:$K42))&gt;0,"Avance fuera de rango 0-100%"&amp;" · ","")&amp;IF(OR(AND($I42&lt;&gt;"",$I42&lt;$H42),AND($J42&lt;&gt;"",$J42&lt;MAX($H42:$I42)),AND($K42&lt;&gt;"",$K42&lt;MAX($H42:$J42))),"Avance semanal decreciente"&amp;" · ","")&amp;IF(AND(ISNUMBER($F42),$F42&lt;FechaRef,N($L42)&lt;1),"Vencida"&amp;" · ","")&amp;IF(AND(ObsObligatoria="Sí",ISNUMBER($F42),$F42&lt;FechaRef,N($L42)&lt;1,$N42=""),"Vencida sin observación"&amp;" · ",""))-3)))</f>
        <v/>
      </c>
      <c r="P42" s="69">
        <f>IF(NOT((COUNTA($B42:$K42)+COUNTA($N42))&gt;0),"",IF(AND($S42="Sub",N($R42)&gt;0),IF(ISNUMBER(INDEX($E$5:$E$1000,$R42-4)),DATE(YEAR(INDEX($E$5:$E$1000,$R42-4)),MONTH(INDEX($E$5:$E$1000,$R42-4)),1),IF(ISNUMBER(INDEX($F$5:$F$1000,$R42-4)),DATE(YEAR(INDEX($F$5:$F$1000,$R42-4)),MONTH(INDEX($F$5:$F$1000,$R42-4)),1),MesCiclo)),IF(ISNUMBER($E42),DATE(YEAR($E42),MONTH($E42),1),IF(ISNUMBER($F42),DATE(YEAR($F42),MONTH($F42),1),MesCiclo))))</f>
        <v/>
      </c>
      <c r="Q42" s="70">
        <f>IF(OR($P42="",$P42&lt;&gt;MesCiclo),"",COUNTIF($P$5:$P42,MesCiclo))</f>
        <v/>
      </c>
      <c r="R42" s="70">
        <f>IF($S42="","",IF($S42="Macro",ROW(),IFERROR(LOOKUP(2,1/($S$5:$S42="Macro"),ROW($S$5:$S42)),0)))</f>
        <v/>
      </c>
      <c r="S42" s="70">
        <f>IF(NOT((COUNTA($B42:$K42)+COUNTA($N42))&gt;0),"",IF($B42&lt;&gt;"","Macro",IF($C42&lt;&gt;"","Sub","Macro")))</f>
        <v/>
      </c>
      <c r="T42" s="70">
        <f>IF($S42="Macro",COUNTIFS($R$5:$R$1000,ROW(),$S$5:$S$1000,"Sub"),"")</f>
        <v/>
      </c>
      <c r="U42" s="70">
        <f>IF($S42="","",IF(ISNUMBER($H42),$H42,0))</f>
        <v/>
      </c>
      <c r="V42" s="70">
        <f>IF($S42="","",IF(ISNUMBER($I42),$I42,$U42))</f>
        <v/>
      </c>
      <c r="W42" s="70">
        <f>IF($S42="","",IF(ISNUMBER($J42),$J42,$V42))</f>
        <v/>
      </c>
      <c r="X42" s="70">
        <f>IF($S42="","",IF(ISNUMBER($K42),$K42,$W42))</f>
        <v/>
      </c>
      <c r="Y42" s="70">
        <f>IF($S42="","",IF(N($T42)&gt;0,AVERAGEIFS($U$5:$U$1000,$R$5:$R$1000,ROW(),$S$5:$S$1000,"Sub"),$U42))</f>
        <v/>
      </c>
      <c r="Z42" s="70">
        <f>IF($S42="","",IF(N($T42)&gt;0,AVERAGEIFS($V$5:$V$1000,$R$5:$R$1000,ROW(),$S$5:$S$1000,"Sub"),$V42))</f>
        <v/>
      </c>
      <c r="AA42" s="70">
        <f>IF($S42="","",IF(N($T42)&gt;0,AVERAGEIFS($W$5:$W$1000,$R$5:$R$1000,ROW(),$S$5:$S$1000,"Sub"),$W42))</f>
        <v/>
      </c>
      <c r="AB42" s="70">
        <f>IF($S42="","",IF(N($T42)&gt;0,AVERAGEIFS($X$5:$X$1000,$R$5:$R$1000,ROW(),$S$5:$S$1000,"Sub"),$X42))</f>
        <v/>
      </c>
    </row>
    <row r="43">
      <c r="A43" s="61">
        <f>IF(NOT((COUNTA($B43:$K43)+COUNTA($N43))&gt;0),"",IF($S43="Macro",COUNTIFS($S$5:$S43,"Macro",$P$5:$P43,$P43),IF(N($R43)=0,"?",COUNTIFS(INDEX($S$5:$S$1000,1):INDEX($S$5:$S$1000,$R43-4),"Macro",INDEX($P$5:$P$1000,1):INDEX($P$5:$P$1000,$R43-4),INDEX($P$5:$P$1000,$R43-4))&amp;"."&amp;COUNTIFS($R$5:$R43,$R43,$S$5:$S43,"Sub"))))</f>
        <v/>
      </c>
      <c r="B43" s="62" t="n"/>
      <c r="C43" s="63" t="n"/>
      <c r="D43" s="62" t="n"/>
      <c r="E43" s="64" t="n"/>
      <c r="F43" s="64" t="n"/>
      <c r="G43" s="65" t="n"/>
      <c r="H43" s="66" t="n"/>
      <c r="I43" s="66" t="n"/>
      <c r="J43" s="66" t="n"/>
      <c r="K43" s="66" t="n"/>
      <c r="L43" s="67">
        <f>IF(NOT((COUNTA($B43:$K43)+COUNTA($N43))&gt;0),"",IF(N($T43)&gt;0,$AB43,IFERROR(LOOKUP(2,1/(H43:K43&lt;&gt;""),H43:K43),0)))</f>
        <v/>
      </c>
      <c r="M43" s="61">
        <f>IF(L43="","",IF(L43&gt;=1,"Completado",IF(L43&gt;0,"En curso","Pendiente")))</f>
        <v/>
      </c>
      <c r="N43" s="62" t="n"/>
      <c r="O43" s="68">
        <f>IF(NOT((COUNTA($B43:$K43)+COUNTA($N43))&gt;0),"",IF((IF(AND($S43="Macro",$B43=""),"Macroactividad vacía"&amp;" · ","")&amp;IF(AND($B43&lt;&gt;"",$C43&lt;&gt;""),"Escriba la subactividad en otra fila, debajo de su macroactividad"&amp;" · ","")&amp;IF(AND($S43="Sub",N($R43)=0),"Subactividad sin macroactividad arriba"&amp;" · ","")&amp;IF($D43="","Sin responsable"&amp;" · ","")&amp;IF($E43="","Sin fecha de inicio"&amp;" · ","")&amp;IF($F43="","Sin fecha límite"&amp;" · ","")&amp;IF(OR(AND($E43&lt;&gt;"",NOT(ISNUMBER($E43))),AND($F43&lt;&gt;"",NOT(ISNUMBER($F43)))),"Fecha no válida"&amp;" · ","")&amp;IF(AND(ISNUMBER($E43),ISNUMBER($F43),$E43&gt;$F43),"Inicio posterior a fecha límite"&amp;" · ","")&amp;IF(AND($S43="Macro",$G43=""),"Peso vacío"&amp;" · ","")&amp;IF(AND($S43="Macro",$G43&lt;&gt;"",OR(NOT(ISNUMBER($G43)),$G43&lt;=0,$G43&gt;1)),"Peso fuera de rango"&amp;" · ","")&amp;IF(AND($S43="Sub",$G43&lt;&gt;""),"Las subactividades no llevan peso"&amp;" · ","")&amp;IF(AND($S43="Macro",ABS(SUMIFS($G$5:$G$1000,$P$5:$P$1000,$P43,$S$5:$S$1000,"Macro")-1)&gt;0.0001),"Pesos del mes suman "&amp;TEXT(SUMIFS($G$5:$G$1000,$P$5:$P$1000,$P43,$S$5:$S$1000,"Macro"),"0%")&amp;" · ","")&amp;IF(AND(N($T43)&gt;0,COUNT($H43:$K43)&gt;0),"Con subactividades: deje vacías las semanas (se calculan solas)"&amp;" · ","")&amp;IF((COUNTIF($H43:$K43,"&gt;1")+COUNTIF($H43:$K43,"&lt;0")+COUNTA($H43:$K43)-COUNT($H43:$K43))&gt;0,"Avance fuera de rango 0-100%"&amp;" · ","")&amp;IF(OR(AND($I43&lt;&gt;"",$I43&lt;$H43),AND($J43&lt;&gt;"",$J43&lt;MAX($H43:$I43)),AND($K43&lt;&gt;"",$K43&lt;MAX($H43:$J43))),"Avance semanal decreciente"&amp;" · ","")&amp;IF(AND(ISNUMBER($F43),$F43&lt;FechaRef,N($L43)&lt;1),"Vencida"&amp;" · ","")&amp;IF(AND(ObsObligatoria="Sí",ISNUMBER($F43),$F43&lt;FechaRef,N($L43)&lt;1,$N43=""),"Vencida sin observación"&amp;" · ",""))="","✔ OK","⚠ "&amp;LEFT(IF(AND($S43="Macro",$B43=""),"Macroactividad vacía"&amp;" · ","")&amp;IF(AND($B43&lt;&gt;"",$C43&lt;&gt;""),"Escriba la subactividad en otra fila, debajo de su macroactividad"&amp;" · ","")&amp;IF(AND($S43="Sub",N($R43)=0),"Subactividad sin macroactividad arriba"&amp;" · ","")&amp;IF($D43="","Sin responsable"&amp;" · ","")&amp;IF($E43="","Sin fecha de inicio"&amp;" · ","")&amp;IF($F43="","Sin fecha límite"&amp;" · ","")&amp;IF(OR(AND($E43&lt;&gt;"",NOT(ISNUMBER($E43))),AND($F43&lt;&gt;"",NOT(ISNUMBER($F43)))),"Fecha no válida"&amp;" · ","")&amp;IF(AND(ISNUMBER($E43),ISNUMBER($F43),$E43&gt;$F43),"Inicio posterior a fecha límite"&amp;" · ","")&amp;IF(AND($S43="Macro",$G43=""),"Peso vacío"&amp;" · ","")&amp;IF(AND($S43="Macro",$G43&lt;&gt;"",OR(NOT(ISNUMBER($G43)),$G43&lt;=0,$G43&gt;1)),"Peso fuera de rango"&amp;" · ","")&amp;IF(AND($S43="Sub",$G43&lt;&gt;""),"Las subactividades no llevan peso"&amp;" · ","")&amp;IF(AND($S43="Macro",ABS(SUMIFS($G$5:$G$1000,$P$5:$P$1000,$P43,$S$5:$S$1000,"Macro")-1)&gt;0.0001),"Pesos del mes suman "&amp;TEXT(SUMIFS($G$5:$G$1000,$P$5:$P$1000,$P43,$S$5:$S$1000,"Macro"),"0%")&amp;" · ","")&amp;IF(AND(N($T43)&gt;0,COUNT($H43:$K43)&gt;0),"Con subactividades: deje vacías las semanas (se calculan solas)"&amp;" · ","")&amp;IF((COUNTIF($H43:$K43,"&gt;1")+COUNTIF($H43:$K43,"&lt;0")+COUNTA($H43:$K43)-COUNT($H43:$K43))&gt;0,"Avance fuera de rango 0-100%"&amp;" · ","")&amp;IF(OR(AND($I43&lt;&gt;"",$I43&lt;$H43),AND($J43&lt;&gt;"",$J43&lt;MAX($H43:$I43)),AND($K43&lt;&gt;"",$K43&lt;MAX($H43:$J43))),"Avance semanal decreciente"&amp;" · ","")&amp;IF(AND(ISNUMBER($F43),$F43&lt;FechaRef,N($L43)&lt;1),"Vencida"&amp;" · ","")&amp;IF(AND(ObsObligatoria="Sí",ISNUMBER($F43),$F43&lt;FechaRef,N($L43)&lt;1,$N43=""),"Vencida sin observación"&amp;" · ",""),LEN(IF(AND($S43="Macro",$B43=""),"Macroactividad vacía"&amp;" · ","")&amp;IF(AND($B43&lt;&gt;"",$C43&lt;&gt;""),"Escriba la subactividad en otra fila, debajo de su macroactividad"&amp;" · ","")&amp;IF(AND($S43="Sub",N($R43)=0),"Subactividad sin macroactividad arriba"&amp;" · ","")&amp;IF($D43="","Sin responsable"&amp;" · ","")&amp;IF($E43="","Sin fecha de inicio"&amp;" · ","")&amp;IF($F43="","Sin fecha límite"&amp;" · ","")&amp;IF(OR(AND($E43&lt;&gt;"",NOT(ISNUMBER($E43))),AND($F43&lt;&gt;"",NOT(ISNUMBER($F43)))),"Fecha no válida"&amp;" · ","")&amp;IF(AND(ISNUMBER($E43),ISNUMBER($F43),$E43&gt;$F43),"Inicio posterior a fecha límite"&amp;" · ","")&amp;IF(AND($S43="Macro",$G43=""),"Peso vacío"&amp;" · ","")&amp;IF(AND($S43="Macro",$G43&lt;&gt;"",OR(NOT(ISNUMBER($G43)),$G43&lt;=0,$G43&gt;1)),"Peso fuera de rango"&amp;" · ","")&amp;IF(AND($S43="Sub",$G43&lt;&gt;""),"Las subactividades no llevan peso"&amp;" · ","")&amp;IF(AND($S43="Macro",ABS(SUMIFS($G$5:$G$1000,$P$5:$P$1000,$P43,$S$5:$S$1000,"Macro")-1)&gt;0.0001),"Pesos del mes suman "&amp;TEXT(SUMIFS($G$5:$G$1000,$P$5:$P$1000,$P43,$S$5:$S$1000,"Macro"),"0%")&amp;" · ","")&amp;IF(AND(N($T43)&gt;0,COUNT($H43:$K43)&gt;0),"Con subactividades: deje vacías las semanas (se calculan solas)"&amp;" · ","")&amp;IF((COUNTIF($H43:$K43,"&gt;1")+COUNTIF($H43:$K43,"&lt;0")+COUNTA($H43:$K43)-COUNT($H43:$K43))&gt;0,"Avance fuera de rango 0-100%"&amp;" · ","")&amp;IF(OR(AND($I43&lt;&gt;"",$I43&lt;$H43),AND($J43&lt;&gt;"",$J43&lt;MAX($H43:$I43)),AND($K43&lt;&gt;"",$K43&lt;MAX($H43:$J43))),"Avance semanal decreciente"&amp;" · ","")&amp;IF(AND(ISNUMBER($F43),$F43&lt;FechaRef,N($L43)&lt;1),"Vencida"&amp;" · ","")&amp;IF(AND(ObsObligatoria="Sí",ISNUMBER($F43),$F43&lt;FechaRef,N($L43)&lt;1,$N43=""),"Vencida sin observación"&amp;" · ",""))-3)))</f>
        <v/>
      </c>
      <c r="P43" s="69">
        <f>IF(NOT((COUNTA($B43:$K43)+COUNTA($N43))&gt;0),"",IF(AND($S43="Sub",N($R43)&gt;0),IF(ISNUMBER(INDEX($E$5:$E$1000,$R43-4)),DATE(YEAR(INDEX($E$5:$E$1000,$R43-4)),MONTH(INDEX($E$5:$E$1000,$R43-4)),1),IF(ISNUMBER(INDEX($F$5:$F$1000,$R43-4)),DATE(YEAR(INDEX($F$5:$F$1000,$R43-4)),MONTH(INDEX($F$5:$F$1000,$R43-4)),1),MesCiclo)),IF(ISNUMBER($E43),DATE(YEAR($E43),MONTH($E43),1),IF(ISNUMBER($F43),DATE(YEAR($F43),MONTH($F43),1),MesCiclo))))</f>
        <v/>
      </c>
      <c r="Q43" s="70">
        <f>IF(OR($P43="",$P43&lt;&gt;MesCiclo),"",COUNTIF($P$5:$P43,MesCiclo))</f>
        <v/>
      </c>
      <c r="R43" s="70">
        <f>IF($S43="","",IF($S43="Macro",ROW(),IFERROR(LOOKUP(2,1/($S$5:$S43="Macro"),ROW($S$5:$S43)),0)))</f>
        <v/>
      </c>
      <c r="S43" s="70">
        <f>IF(NOT((COUNTA($B43:$K43)+COUNTA($N43))&gt;0),"",IF($B43&lt;&gt;"","Macro",IF($C43&lt;&gt;"","Sub","Macro")))</f>
        <v/>
      </c>
      <c r="T43" s="70">
        <f>IF($S43="Macro",COUNTIFS($R$5:$R$1000,ROW(),$S$5:$S$1000,"Sub"),"")</f>
        <v/>
      </c>
      <c r="U43" s="70">
        <f>IF($S43="","",IF(ISNUMBER($H43),$H43,0))</f>
        <v/>
      </c>
      <c r="V43" s="70">
        <f>IF($S43="","",IF(ISNUMBER($I43),$I43,$U43))</f>
        <v/>
      </c>
      <c r="W43" s="70">
        <f>IF($S43="","",IF(ISNUMBER($J43),$J43,$V43))</f>
        <v/>
      </c>
      <c r="X43" s="70">
        <f>IF($S43="","",IF(ISNUMBER($K43),$K43,$W43))</f>
        <v/>
      </c>
      <c r="Y43" s="70">
        <f>IF($S43="","",IF(N($T43)&gt;0,AVERAGEIFS($U$5:$U$1000,$R$5:$R$1000,ROW(),$S$5:$S$1000,"Sub"),$U43))</f>
        <v/>
      </c>
      <c r="Z43" s="70">
        <f>IF($S43="","",IF(N($T43)&gt;0,AVERAGEIFS($V$5:$V$1000,$R$5:$R$1000,ROW(),$S$5:$S$1000,"Sub"),$V43))</f>
        <v/>
      </c>
      <c r="AA43" s="70">
        <f>IF($S43="","",IF(N($T43)&gt;0,AVERAGEIFS($W$5:$W$1000,$R$5:$R$1000,ROW(),$S$5:$S$1000,"Sub"),$W43))</f>
        <v/>
      </c>
      <c r="AB43" s="70">
        <f>IF($S43="","",IF(N($T43)&gt;0,AVERAGEIFS($X$5:$X$1000,$R$5:$R$1000,ROW(),$S$5:$S$1000,"Sub"),$X43))</f>
        <v/>
      </c>
    </row>
    <row r="44">
      <c r="A44" s="61">
        <f>IF(NOT((COUNTA($B44:$K44)+COUNTA($N44))&gt;0),"",IF($S44="Macro",COUNTIFS($S$5:$S44,"Macro",$P$5:$P44,$P44),IF(N($R44)=0,"?",COUNTIFS(INDEX($S$5:$S$1000,1):INDEX($S$5:$S$1000,$R44-4),"Macro",INDEX($P$5:$P$1000,1):INDEX($P$5:$P$1000,$R44-4),INDEX($P$5:$P$1000,$R44-4))&amp;"."&amp;COUNTIFS($R$5:$R44,$R44,$S$5:$S44,"Sub"))))</f>
        <v/>
      </c>
      <c r="B44" s="62" t="n"/>
      <c r="C44" s="63" t="n"/>
      <c r="D44" s="62" t="n"/>
      <c r="E44" s="64" t="n"/>
      <c r="F44" s="64" t="n"/>
      <c r="G44" s="65" t="n"/>
      <c r="H44" s="66" t="n"/>
      <c r="I44" s="66" t="n"/>
      <c r="J44" s="66" t="n"/>
      <c r="K44" s="66" t="n"/>
      <c r="L44" s="67">
        <f>IF(NOT((COUNTA($B44:$K44)+COUNTA($N44))&gt;0),"",IF(N($T44)&gt;0,$AB44,IFERROR(LOOKUP(2,1/(H44:K44&lt;&gt;""),H44:K44),0)))</f>
        <v/>
      </c>
      <c r="M44" s="61">
        <f>IF(L44="","",IF(L44&gt;=1,"Completado",IF(L44&gt;0,"En curso","Pendiente")))</f>
        <v/>
      </c>
      <c r="N44" s="62" t="n"/>
      <c r="O44" s="68">
        <f>IF(NOT((COUNTA($B44:$K44)+COUNTA($N44))&gt;0),"",IF((IF(AND($S44="Macro",$B44=""),"Macroactividad vacía"&amp;" · ","")&amp;IF(AND($B44&lt;&gt;"",$C44&lt;&gt;""),"Escriba la subactividad en otra fila, debajo de su macroactividad"&amp;" · ","")&amp;IF(AND($S44="Sub",N($R44)=0),"Subactividad sin macroactividad arriba"&amp;" · ","")&amp;IF($D44="","Sin responsable"&amp;" · ","")&amp;IF($E44="","Sin fecha de inicio"&amp;" · ","")&amp;IF($F44="","Sin fecha límite"&amp;" · ","")&amp;IF(OR(AND($E44&lt;&gt;"",NOT(ISNUMBER($E44))),AND($F44&lt;&gt;"",NOT(ISNUMBER($F44)))),"Fecha no válida"&amp;" · ","")&amp;IF(AND(ISNUMBER($E44),ISNUMBER($F44),$E44&gt;$F44),"Inicio posterior a fecha límite"&amp;" · ","")&amp;IF(AND($S44="Macro",$G44=""),"Peso vacío"&amp;" · ","")&amp;IF(AND($S44="Macro",$G44&lt;&gt;"",OR(NOT(ISNUMBER($G44)),$G44&lt;=0,$G44&gt;1)),"Peso fuera de rango"&amp;" · ","")&amp;IF(AND($S44="Sub",$G44&lt;&gt;""),"Las subactividades no llevan peso"&amp;" · ","")&amp;IF(AND($S44="Macro",ABS(SUMIFS($G$5:$G$1000,$P$5:$P$1000,$P44,$S$5:$S$1000,"Macro")-1)&gt;0.0001),"Pesos del mes suman "&amp;TEXT(SUMIFS($G$5:$G$1000,$P$5:$P$1000,$P44,$S$5:$S$1000,"Macro"),"0%")&amp;" · ","")&amp;IF(AND(N($T44)&gt;0,COUNT($H44:$K44)&gt;0),"Con subactividades: deje vacías las semanas (se calculan solas)"&amp;" · ","")&amp;IF((COUNTIF($H44:$K44,"&gt;1")+COUNTIF($H44:$K44,"&lt;0")+COUNTA($H44:$K44)-COUNT($H44:$K44))&gt;0,"Avance fuera de rango 0-100%"&amp;" · ","")&amp;IF(OR(AND($I44&lt;&gt;"",$I44&lt;$H44),AND($J44&lt;&gt;"",$J44&lt;MAX($H44:$I44)),AND($K44&lt;&gt;"",$K44&lt;MAX($H44:$J44))),"Avance semanal decreciente"&amp;" · ","")&amp;IF(AND(ISNUMBER($F44),$F44&lt;FechaRef,N($L44)&lt;1),"Vencida"&amp;" · ","")&amp;IF(AND(ObsObligatoria="Sí",ISNUMBER($F44),$F44&lt;FechaRef,N($L44)&lt;1,$N44=""),"Vencida sin observación"&amp;" · ",""))="","✔ OK","⚠ "&amp;LEFT(IF(AND($S44="Macro",$B44=""),"Macroactividad vacía"&amp;" · ","")&amp;IF(AND($B44&lt;&gt;"",$C44&lt;&gt;""),"Escriba la subactividad en otra fila, debajo de su macroactividad"&amp;" · ","")&amp;IF(AND($S44="Sub",N($R44)=0),"Subactividad sin macroactividad arriba"&amp;" · ","")&amp;IF($D44="","Sin responsable"&amp;" · ","")&amp;IF($E44="","Sin fecha de inicio"&amp;" · ","")&amp;IF($F44="","Sin fecha límite"&amp;" · ","")&amp;IF(OR(AND($E44&lt;&gt;"",NOT(ISNUMBER($E44))),AND($F44&lt;&gt;"",NOT(ISNUMBER($F44)))),"Fecha no válida"&amp;" · ","")&amp;IF(AND(ISNUMBER($E44),ISNUMBER($F44),$E44&gt;$F44),"Inicio posterior a fecha límite"&amp;" · ","")&amp;IF(AND($S44="Macro",$G44=""),"Peso vacío"&amp;" · ","")&amp;IF(AND($S44="Macro",$G44&lt;&gt;"",OR(NOT(ISNUMBER($G44)),$G44&lt;=0,$G44&gt;1)),"Peso fuera de rango"&amp;" · ","")&amp;IF(AND($S44="Sub",$G44&lt;&gt;""),"Las subactividades no llevan peso"&amp;" · ","")&amp;IF(AND($S44="Macro",ABS(SUMIFS($G$5:$G$1000,$P$5:$P$1000,$P44,$S$5:$S$1000,"Macro")-1)&gt;0.0001),"Pesos del mes suman "&amp;TEXT(SUMIFS($G$5:$G$1000,$P$5:$P$1000,$P44,$S$5:$S$1000,"Macro"),"0%")&amp;" · ","")&amp;IF(AND(N($T44)&gt;0,COUNT($H44:$K44)&gt;0),"Con subactividades: deje vacías las semanas (se calculan solas)"&amp;" · ","")&amp;IF((COUNTIF($H44:$K44,"&gt;1")+COUNTIF($H44:$K44,"&lt;0")+COUNTA($H44:$K44)-COUNT($H44:$K44))&gt;0,"Avance fuera de rango 0-100%"&amp;" · ","")&amp;IF(OR(AND($I44&lt;&gt;"",$I44&lt;$H44),AND($J44&lt;&gt;"",$J44&lt;MAX($H44:$I44)),AND($K44&lt;&gt;"",$K44&lt;MAX($H44:$J44))),"Avance semanal decreciente"&amp;" · ","")&amp;IF(AND(ISNUMBER($F44),$F44&lt;FechaRef,N($L44)&lt;1),"Vencida"&amp;" · ","")&amp;IF(AND(ObsObligatoria="Sí",ISNUMBER($F44),$F44&lt;FechaRef,N($L44)&lt;1,$N44=""),"Vencida sin observación"&amp;" · ",""),LEN(IF(AND($S44="Macro",$B44=""),"Macroactividad vacía"&amp;" · ","")&amp;IF(AND($B44&lt;&gt;"",$C44&lt;&gt;""),"Escriba la subactividad en otra fila, debajo de su macroactividad"&amp;" · ","")&amp;IF(AND($S44="Sub",N($R44)=0),"Subactividad sin macroactividad arriba"&amp;" · ","")&amp;IF($D44="","Sin responsable"&amp;" · ","")&amp;IF($E44="","Sin fecha de inicio"&amp;" · ","")&amp;IF($F44="","Sin fecha límite"&amp;" · ","")&amp;IF(OR(AND($E44&lt;&gt;"",NOT(ISNUMBER($E44))),AND($F44&lt;&gt;"",NOT(ISNUMBER($F44)))),"Fecha no válida"&amp;" · ","")&amp;IF(AND(ISNUMBER($E44),ISNUMBER($F44),$E44&gt;$F44),"Inicio posterior a fecha límite"&amp;" · ","")&amp;IF(AND($S44="Macro",$G44=""),"Peso vacío"&amp;" · ","")&amp;IF(AND($S44="Macro",$G44&lt;&gt;"",OR(NOT(ISNUMBER($G44)),$G44&lt;=0,$G44&gt;1)),"Peso fuera de rango"&amp;" · ","")&amp;IF(AND($S44="Sub",$G44&lt;&gt;""),"Las subactividades no llevan peso"&amp;" · ","")&amp;IF(AND($S44="Macro",ABS(SUMIFS($G$5:$G$1000,$P$5:$P$1000,$P44,$S$5:$S$1000,"Macro")-1)&gt;0.0001),"Pesos del mes suman "&amp;TEXT(SUMIFS($G$5:$G$1000,$P$5:$P$1000,$P44,$S$5:$S$1000,"Macro"),"0%")&amp;" · ","")&amp;IF(AND(N($T44)&gt;0,COUNT($H44:$K44)&gt;0),"Con subactividades: deje vacías las semanas (se calculan solas)"&amp;" · ","")&amp;IF((COUNTIF($H44:$K44,"&gt;1")+COUNTIF($H44:$K44,"&lt;0")+COUNTA($H44:$K44)-COUNT($H44:$K44))&gt;0,"Avance fuera de rango 0-100%"&amp;" · ","")&amp;IF(OR(AND($I44&lt;&gt;"",$I44&lt;$H44),AND($J44&lt;&gt;"",$J44&lt;MAX($H44:$I44)),AND($K44&lt;&gt;"",$K44&lt;MAX($H44:$J44))),"Avance semanal decreciente"&amp;" · ","")&amp;IF(AND(ISNUMBER($F44),$F44&lt;FechaRef,N($L44)&lt;1),"Vencida"&amp;" · ","")&amp;IF(AND(ObsObligatoria="Sí",ISNUMBER($F44),$F44&lt;FechaRef,N($L44)&lt;1,$N44=""),"Vencida sin observación"&amp;" · ",""))-3)))</f>
        <v/>
      </c>
      <c r="P44" s="69">
        <f>IF(NOT((COUNTA($B44:$K44)+COUNTA($N44))&gt;0),"",IF(AND($S44="Sub",N($R44)&gt;0),IF(ISNUMBER(INDEX($E$5:$E$1000,$R44-4)),DATE(YEAR(INDEX($E$5:$E$1000,$R44-4)),MONTH(INDEX($E$5:$E$1000,$R44-4)),1),IF(ISNUMBER(INDEX($F$5:$F$1000,$R44-4)),DATE(YEAR(INDEX($F$5:$F$1000,$R44-4)),MONTH(INDEX($F$5:$F$1000,$R44-4)),1),MesCiclo)),IF(ISNUMBER($E44),DATE(YEAR($E44),MONTH($E44),1),IF(ISNUMBER($F44),DATE(YEAR($F44),MONTH($F44),1),MesCiclo))))</f>
        <v/>
      </c>
      <c r="Q44" s="70">
        <f>IF(OR($P44="",$P44&lt;&gt;MesCiclo),"",COUNTIF($P$5:$P44,MesCiclo))</f>
        <v/>
      </c>
      <c r="R44" s="70">
        <f>IF($S44="","",IF($S44="Macro",ROW(),IFERROR(LOOKUP(2,1/($S$5:$S44="Macro"),ROW($S$5:$S44)),0)))</f>
        <v/>
      </c>
      <c r="S44" s="70">
        <f>IF(NOT((COUNTA($B44:$K44)+COUNTA($N44))&gt;0),"",IF($B44&lt;&gt;"","Macro",IF($C44&lt;&gt;"","Sub","Macro")))</f>
        <v/>
      </c>
      <c r="T44" s="70">
        <f>IF($S44="Macro",COUNTIFS($R$5:$R$1000,ROW(),$S$5:$S$1000,"Sub"),"")</f>
        <v/>
      </c>
      <c r="U44" s="70">
        <f>IF($S44="","",IF(ISNUMBER($H44),$H44,0))</f>
        <v/>
      </c>
      <c r="V44" s="70">
        <f>IF($S44="","",IF(ISNUMBER($I44),$I44,$U44))</f>
        <v/>
      </c>
      <c r="W44" s="70">
        <f>IF($S44="","",IF(ISNUMBER($J44),$J44,$V44))</f>
        <v/>
      </c>
      <c r="X44" s="70">
        <f>IF($S44="","",IF(ISNUMBER($K44),$K44,$W44))</f>
        <v/>
      </c>
      <c r="Y44" s="70">
        <f>IF($S44="","",IF(N($T44)&gt;0,AVERAGEIFS($U$5:$U$1000,$R$5:$R$1000,ROW(),$S$5:$S$1000,"Sub"),$U44))</f>
        <v/>
      </c>
      <c r="Z44" s="70">
        <f>IF($S44="","",IF(N($T44)&gt;0,AVERAGEIFS($V$5:$V$1000,$R$5:$R$1000,ROW(),$S$5:$S$1000,"Sub"),$V44))</f>
        <v/>
      </c>
      <c r="AA44" s="70">
        <f>IF($S44="","",IF(N($T44)&gt;0,AVERAGEIFS($W$5:$W$1000,$R$5:$R$1000,ROW(),$S$5:$S$1000,"Sub"),$W44))</f>
        <v/>
      </c>
      <c r="AB44" s="70">
        <f>IF($S44="","",IF(N($T44)&gt;0,AVERAGEIFS($X$5:$X$1000,$R$5:$R$1000,ROW(),$S$5:$S$1000,"Sub"),$X44))</f>
        <v/>
      </c>
    </row>
    <row r="45">
      <c r="A45" s="61">
        <f>IF(NOT((COUNTA($B45:$K45)+COUNTA($N45))&gt;0),"",IF($S45="Macro",COUNTIFS($S$5:$S45,"Macro",$P$5:$P45,$P45),IF(N($R45)=0,"?",COUNTIFS(INDEX($S$5:$S$1000,1):INDEX($S$5:$S$1000,$R45-4),"Macro",INDEX($P$5:$P$1000,1):INDEX($P$5:$P$1000,$R45-4),INDEX($P$5:$P$1000,$R45-4))&amp;"."&amp;COUNTIFS($R$5:$R45,$R45,$S$5:$S45,"Sub"))))</f>
        <v/>
      </c>
      <c r="B45" s="62" t="n"/>
      <c r="C45" s="63" t="n"/>
      <c r="D45" s="62" t="n"/>
      <c r="E45" s="64" t="n"/>
      <c r="F45" s="64" t="n"/>
      <c r="G45" s="65" t="n"/>
      <c r="H45" s="66" t="n"/>
      <c r="I45" s="66" t="n"/>
      <c r="J45" s="66" t="n"/>
      <c r="K45" s="66" t="n"/>
      <c r="L45" s="67">
        <f>IF(NOT((COUNTA($B45:$K45)+COUNTA($N45))&gt;0),"",IF(N($T45)&gt;0,$AB45,IFERROR(LOOKUP(2,1/(H45:K45&lt;&gt;""),H45:K45),0)))</f>
        <v/>
      </c>
      <c r="M45" s="61">
        <f>IF(L45="","",IF(L45&gt;=1,"Completado",IF(L45&gt;0,"En curso","Pendiente")))</f>
        <v/>
      </c>
      <c r="N45" s="62" t="n"/>
      <c r="O45" s="68">
        <f>IF(NOT((COUNTA($B45:$K45)+COUNTA($N45))&gt;0),"",IF((IF(AND($S45="Macro",$B45=""),"Macroactividad vacía"&amp;" · ","")&amp;IF(AND($B45&lt;&gt;"",$C45&lt;&gt;""),"Escriba la subactividad en otra fila, debajo de su macroactividad"&amp;" · ","")&amp;IF(AND($S45="Sub",N($R45)=0),"Subactividad sin macroactividad arriba"&amp;" · ","")&amp;IF($D45="","Sin responsable"&amp;" · ","")&amp;IF($E45="","Sin fecha de inicio"&amp;" · ","")&amp;IF($F45="","Sin fecha límite"&amp;" · ","")&amp;IF(OR(AND($E45&lt;&gt;"",NOT(ISNUMBER($E45))),AND($F45&lt;&gt;"",NOT(ISNUMBER($F45)))),"Fecha no válida"&amp;" · ","")&amp;IF(AND(ISNUMBER($E45),ISNUMBER($F45),$E45&gt;$F45),"Inicio posterior a fecha límite"&amp;" · ","")&amp;IF(AND($S45="Macro",$G45=""),"Peso vacío"&amp;" · ","")&amp;IF(AND($S45="Macro",$G45&lt;&gt;"",OR(NOT(ISNUMBER($G45)),$G45&lt;=0,$G45&gt;1)),"Peso fuera de rango"&amp;" · ","")&amp;IF(AND($S45="Sub",$G45&lt;&gt;""),"Las subactividades no llevan peso"&amp;" · ","")&amp;IF(AND($S45="Macro",ABS(SUMIFS($G$5:$G$1000,$P$5:$P$1000,$P45,$S$5:$S$1000,"Macro")-1)&gt;0.0001),"Pesos del mes suman "&amp;TEXT(SUMIFS($G$5:$G$1000,$P$5:$P$1000,$P45,$S$5:$S$1000,"Macro"),"0%")&amp;" · ","")&amp;IF(AND(N($T45)&gt;0,COUNT($H45:$K45)&gt;0),"Con subactividades: deje vacías las semanas (se calculan solas)"&amp;" · ","")&amp;IF((COUNTIF($H45:$K45,"&gt;1")+COUNTIF($H45:$K45,"&lt;0")+COUNTA($H45:$K45)-COUNT($H45:$K45))&gt;0,"Avance fuera de rango 0-100%"&amp;" · ","")&amp;IF(OR(AND($I45&lt;&gt;"",$I45&lt;$H45),AND($J45&lt;&gt;"",$J45&lt;MAX($H45:$I45)),AND($K45&lt;&gt;"",$K45&lt;MAX($H45:$J45))),"Avance semanal decreciente"&amp;" · ","")&amp;IF(AND(ISNUMBER($F45),$F45&lt;FechaRef,N($L45)&lt;1),"Vencida"&amp;" · ","")&amp;IF(AND(ObsObligatoria="Sí",ISNUMBER($F45),$F45&lt;FechaRef,N($L45)&lt;1,$N45=""),"Vencida sin observación"&amp;" · ",""))="","✔ OK","⚠ "&amp;LEFT(IF(AND($S45="Macro",$B45=""),"Macroactividad vacía"&amp;" · ","")&amp;IF(AND($B45&lt;&gt;"",$C45&lt;&gt;""),"Escriba la subactividad en otra fila, debajo de su macroactividad"&amp;" · ","")&amp;IF(AND($S45="Sub",N($R45)=0),"Subactividad sin macroactividad arriba"&amp;" · ","")&amp;IF($D45="","Sin responsable"&amp;" · ","")&amp;IF($E45="","Sin fecha de inicio"&amp;" · ","")&amp;IF($F45="","Sin fecha límite"&amp;" · ","")&amp;IF(OR(AND($E45&lt;&gt;"",NOT(ISNUMBER($E45))),AND($F45&lt;&gt;"",NOT(ISNUMBER($F45)))),"Fecha no válida"&amp;" · ","")&amp;IF(AND(ISNUMBER($E45),ISNUMBER($F45),$E45&gt;$F45),"Inicio posterior a fecha límite"&amp;" · ","")&amp;IF(AND($S45="Macro",$G45=""),"Peso vacío"&amp;" · ","")&amp;IF(AND($S45="Macro",$G45&lt;&gt;"",OR(NOT(ISNUMBER($G45)),$G45&lt;=0,$G45&gt;1)),"Peso fuera de rango"&amp;" · ","")&amp;IF(AND($S45="Sub",$G45&lt;&gt;""),"Las subactividades no llevan peso"&amp;" · ","")&amp;IF(AND($S45="Macro",ABS(SUMIFS($G$5:$G$1000,$P$5:$P$1000,$P45,$S$5:$S$1000,"Macro")-1)&gt;0.0001),"Pesos del mes suman "&amp;TEXT(SUMIFS($G$5:$G$1000,$P$5:$P$1000,$P45,$S$5:$S$1000,"Macro"),"0%")&amp;" · ","")&amp;IF(AND(N($T45)&gt;0,COUNT($H45:$K45)&gt;0),"Con subactividades: deje vacías las semanas (se calculan solas)"&amp;" · ","")&amp;IF((COUNTIF($H45:$K45,"&gt;1")+COUNTIF($H45:$K45,"&lt;0")+COUNTA($H45:$K45)-COUNT($H45:$K45))&gt;0,"Avance fuera de rango 0-100%"&amp;" · ","")&amp;IF(OR(AND($I45&lt;&gt;"",$I45&lt;$H45),AND($J45&lt;&gt;"",$J45&lt;MAX($H45:$I45)),AND($K45&lt;&gt;"",$K45&lt;MAX($H45:$J45))),"Avance semanal decreciente"&amp;" · ","")&amp;IF(AND(ISNUMBER($F45),$F45&lt;FechaRef,N($L45)&lt;1),"Vencida"&amp;" · ","")&amp;IF(AND(ObsObligatoria="Sí",ISNUMBER($F45),$F45&lt;FechaRef,N($L45)&lt;1,$N45=""),"Vencida sin observación"&amp;" · ",""),LEN(IF(AND($S45="Macro",$B45=""),"Macroactividad vacía"&amp;" · ","")&amp;IF(AND($B45&lt;&gt;"",$C45&lt;&gt;""),"Escriba la subactividad en otra fila, debajo de su macroactividad"&amp;" · ","")&amp;IF(AND($S45="Sub",N($R45)=0),"Subactividad sin macroactividad arriba"&amp;" · ","")&amp;IF($D45="","Sin responsable"&amp;" · ","")&amp;IF($E45="","Sin fecha de inicio"&amp;" · ","")&amp;IF($F45="","Sin fecha límite"&amp;" · ","")&amp;IF(OR(AND($E45&lt;&gt;"",NOT(ISNUMBER($E45))),AND($F45&lt;&gt;"",NOT(ISNUMBER($F45)))),"Fecha no válida"&amp;" · ","")&amp;IF(AND(ISNUMBER($E45),ISNUMBER($F45),$E45&gt;$F45),"Inicio posterior a fecha límite"&amp;" · ","")&amp;IF(AND($S45="Macro",$G45=""),"Peso vacío"&amp;" · ","")&amp;IF(AND($S45="Macro",$G45&lt;&gt;"",OR(NOT(ISNUMBER($G45)),$G45&lt;=0,$G45&gt;1)),"Peso fuera de rango"&amp;" · ","")&amp;IF(AND($S45="Sub",$G45&lt;&gt;""),"Las subactividades no llevan peso"&amp;" · ","")&amp;IF(AND($S45="Macro",ABS(SUMIFS($G$5:$G$1000,$P$5:$P$1000,$P45,$S$5:$S$1000,"Macro")-1)&gt;0.0001),"Pesos del mes suman "&amp;TEXT(SUMIFS($G$5:$G$1000,$P$5:$P$1000,$P45,$S$5:$S$1000,"Macro"),"0%")&amp;" · ","")&amp;IF(AND(N($T45)&gt;0,COUNT($H45:$K45)&gt;0),"Con subactividades: deje vacías las semanas (se calculan solas)"&amp;" · ","")&amp;IF((COUNTIF($H45:$K45,"&gt;1")+COUNTIF($H45:$K45,"&lt;0")+COUNTA($H45:$K45)-COUNT($H45:$K45))&gt;0,"Avance fuera de rango 0-100%"&amp;" · ","")&amp;IF(OR(AND($I45&lt;&gt;"",$I45&lt;$H45),AND($J45&lt;&gt;"",$J45&lt;MAX($H45:$I45)),AND($K45&lt;&gt;"",$K45&lt;MAX($H45:$J45))),"Avance semanal decreciente"&amp;" · ","")&amp;IF(AND(ISNUMBER($F45),$F45&lt;FechaRef,N($L45)&lt;1),"Vencida"&amp;" · ","")&amp;IF(AND(ObsObligatoria="Sí",ISNUMBER($F45),$F45&lt;FechaRef,N($L45)&lt;1,$N45=""),"Vencida sin observación"&amp;" · ",""))-3)))</f>
        <v/>
      </c>
      <c r="P45" s="69">
        <f>IF(NOT((COUNTA($B45:$K45)+COUNTA($N45))&gt;0),"",IF(AND($S45="Sub",N($R45)&gt;0),IF(ISNUMBER(INDEX($E$5:$E$1000,$R45-4)),DATE(YEAR(INDEX($E$5:$E$1000,$R45-4)),MONTH(INDEX($E$5:$E$1000,$R45-4)),1),IF(ISNUMBER(INDEX($F$5:$F$1000,$R45-4)),DATE(YEAR(INDEX($F$5:$F$1000,$R45-4)),MONTH(INDEX($F$5:$F$1000,$R45-4)),1),MesCiclo)),IF(ISNUMBER($E45),DATE(YEAR($E45),MONTH($E45),1),IF(ISNUMBER($F45),DATE(YEAR($F45),MONTH($F45),1),MesCiclo))))</f>
        <v/>
      </c>
      <c r="Q45" s="70">
        <f>IF(OR($P45="",$P45&lt;&gt;MesCiclo),"",COUNTIF($P$5:$P45,MesCiclo))</f>
        <v/>
      </c>
      <c r="R45" s="70">
        <f>IF($S45="","",IF($S45="Macro",ROW(),IFERROR(LOOKUP(2,1/($S$5:$S45="Macro"),ROW($S$5:$S45)),0)))</f>
        <v/>
      </c>
      <c r="S45" s="70">
        <f>IF(NOT((COUNTA($B45:$K45)+COUNTA($N45))&gt;0),"",IF($B45&lt;&gt;"","Macro",IF($C45&lt;&gt;"","Sub","Macro")))</f>
        <v/>
      </c>
      <c r="T45" s="70">
        <f>IF($S45="Macro",COUNTIFS($R$5:$R$1000,ROW(),$S$5:$S$1000,"Sub"),"")</f>
        <v/>
      </c>
      <c r="U45" s="70">
        <f>IF($S45="","",IF(ISNUMBER($H45),$H45,0))</f>
        <v/>
      </c>
      <c r="V45" s="70">
        <f>IF($S45="","",IF(ISNUMBER($I45),$I45,$U45))</f>
        <v/>
      </c>
      <c r="W45" s="70">
        <f>IF($S45="","",IF(ISNUMBER($J45),$J45,$V45))</f>
        <v/>
      </c>
      <c r="X45" s="70">
        <f>IF($S45="","",IF(ISNUMBER($K45),$K45,$W45))</f>
        <v/>
      </c>
      <c r="Y45" s="70">
        <f>IF($S45="","",IF(N($T45)&gt;0,AVERAGEIFS($U$5:$U$1000,$R$5:$R$1000,ROW(),$S$5:$S$1000,"Sub"),$U45))</f>
        <v/>
      </c>
      <c r="Z45" s="70">
        <f>IF($S45="","",IF(N($T45)&gt;0,AVERAGEIFS($V$5:$V$1000,$R$5:$R$1000,ROW(),$S$5:$S$1000,"Sub"),$V45))</f>
        <v/>
      </c>
      <c r="AA45" s="70">
        <f>IF($S45="","",IF(N($T45)&gt;0,AVERAGEIFS($W$5:$W$1000,$R$5:$R$1000,ROW(),$S$5:$S$1000,"Sub"),$W45))</f>
        <v/>
      </c>
      <c r="AB45" s="70">
        <f>IF($S45="","",IF(N($T45)&gt;0,AVERAGEIFS($X$5:$X$1000,$R$5:$R$1000,ROW(),$S$5:$S$1000,"Sub"),$X45))</f>
        <v/>
      </c>
    </row>
    <row r="46">
      <c r="A46" s="61">
        <f>IF(NOT((COUNTA($B46:$K46)+COUNTA($N46))&gt;0),"",IF($S46="Macro",COUNTIFS($S$5:$S46,"Macro",$P$5:$P46,$P46),IF(N($R46)=0,"?",COUNTIFS(INDEX($S$5:$S$1000,1):INDEX($S$5:$S$1000,$R46-4),"Macro",INDEX($P$5:$P$1000,1):INDEX($P$5:$P$1000,$R46-4),INDEX($P$5:$P$1000,$R46-4))&amp;"."&amp;COUNTIFS($R$5:$R46,$R46,$S$5:$S46,"Sub"))))</f>
        <v/>
      </c>
      <c r="B46" s="62" t="n"/>
      <c r="C46" s="63" t="n"/>
      <c r="D46" s="62" t="n"/>
      <c r="E46" s="64" t="n"/>
      <c r="F46" s="64" t="n"/>
      <c r="G46" s="65" t="n"/>
      <c r="H46" s="66" t="n"/>
      <c r="I46" s="66" t="n"/>
      <c r="J46" s="66" t="n"/>
      <c r="K46" s="66" t="n"/>
      <c r="L46" s="67">
        <f>IF(NOT((COUNTA($B46:$K46)+COUNTA($N46))&gt;0),"",IF(N($T46)&gt;0,$AB46,IFERROR(LOOKUP(2,1/(H46:K46&lt;&gt;""),H46:K46),0)))</f>
        <v/>
      </c>
      <c r="M46" s="61">
        <f>IF(L46="","",IF(L46&gt;=1,"Completado",IF(L46&gt;0,"En curso","Pendiente")))</f>
        <v/>
      </c>
      <c r="N46" s="62" t="n"/>
      <c r="O46" s="68">
        <f>IF(NOT((COUNTA($B46:$K46)+COUNTA($N46))&gt;0),"",IF((IF(AND($S46="Macro",$B46=""),"Macroactividad vacía"&amp;" · ","")&amp;IF(AND($B46&lt;&gt;"",$C46&lt;&gt;""),"Escriba la subactividad en otra fila, debajo de su macroactividad"&amp;" · ","")&amp;IF(AND($S46="Sub",N($R46)=0),"Subactividad sin macroactividad arriba"&amp;" · ","")&amp;IF($D46="","Sin responsable"&amp;" · ","")&amp;IF($E46="","Sin fecha de inicio"&amp;" · ","")&amp;IF($F46="","Sin fecha límite"&amp;" · ","")&amp;IF(OR(AND($E46&lt;&gt;"",NOT(ISNUMBER($E46))),AND($F46&lt;&gt;"",NOT(ISNUMBER($F46)))),"Fecha no válida"&amp;" · ","")&amp;IF(AND(ISNUMBER($E46),ISNUMBER($F46),$E46&gt;$F46),"Inicio posterior a fecha límite"&amp;" · ","")&amp;IF(AND($S46="Macro",$G46=""),"Peso vacío"&amp;" · ","")&amp;IF(AND($S46="Macro",$G46&lt;&gt;"",OR(NOT(ISNUMBER($G46)),$G46&lt;=0,$G46&gt;1)),"Peso fuera de rango"&amp;" · ","")&amp;IF(AND($S46="Sub",$G46&lt;&gt;""),"Las subactividades no llevan peso"&amp;" · ","")&amp;IF(AND($S46="Macro",ABS(SUMIFS($G$5:$G$1000,$P$5:$P$1000,$P46,$S$5:$S$1000,"Macro")-1)&gt;0.0001),"Pesos del mes suman "&amp;TEXT(SUMIFS($G$5:$G$1000,$P$5:$P$1000,$P46,$S$5:$S$1000,"Macro"),"0%")&amp;" · ","")&amp;IF(AND(N($T46)&gt;0,COUNT($H46:$K46)&gt;0),"Con subactividades: deje vacías las semanas (se calculan solas)"&amp;" · ","")&amp;IF((COUNTIF($H46:$K46,"&gt;1")+COUNTIF($H46:$K46,"&lt;0")+COUNTA($H46:$K46)-COUNT($H46:$K46))&gt;0,"Avance fuera de rango 0-100%"&amp;" · ","")&amp;IF(OR(AND($I46&lt;&gt;"",$I46&lt;$H46),AND($J46&lt;&gt;"",$J46&lt;MAX($H46:$I46)),AND($K46&lt;&gt;"",$K46&lt;MAX($H46:$J46))),"Avance semanal decreciente"&amp;" · ","")&amp;IF(AND(ISNUMBER($F46),$F46&lt;FechaRef,N($L46)&lt;1),"Vencida"&amp;" · ","")&amp;IF(AND(ObsObligatoria="Sí",ISNUMBER($F46),$F46&lt;FechaRef,N($L46)&lt;1,$N46=""),"Vencida sin observación"&amp;" · ",""))="","✔ OK","⚠ "&amp;LEFT(IF(AND($S46="Macro",$B46=""),"Macroactividad vacía"&amp;" · ","")&amp;IF(AND($B46&lt;&gt;"",$C46&lt;&gt;""),"Escriba la subactividad en otra fila, debajo de su macroactividad"&amp;" · ","")&amp;IF(AND($S46="Sub",N($R46)=0),"Subactividad sin macroactividad arriba"&amp;" · ","")&amp;IF($D46="","Sin responsable"&amp;" · ","")&amp;IF($E46="","Sin fecha de inicio"&amp;" · ","")&amp;IF($F46="","Sin fecha límite"&amp;" · ","")&amp;IF(OR(AND($E46&lt;&gt;"",NOT(ISNUMBER($E46))),AND($F46&lt;&gt;"",NOT(ISNUMBER($F46)))),"Fecha no válida"&amp;" · ","")&amp;IF(AND(ISNUMBER($E46),ISNUMBER($F46),$E46&gt;$F46),"Inicio posterior a fecha límite"&amp;" · ","")&amp;IF(AND($S46="Macro",$G46=""),"Peso vacío"&amp;" · ","")&amp;IF(AND($S46="Macro",$G46&lt;&gt;"",OR(NOT(ISNUMBER($G46)),$G46&lt;=0,$G46&gt;1)),"Peso fuera de rango"&amp;" · ","")&amp;IF(AND($S46="Sub",$G46&lt;&gt;""),"Las subactividades no llevan peso"&amp;" · ","")&amp;IF(AND($S46="Macro",ABS(SUMIFS($G$5:$G$1000,$P$5:$P$1000,$P46,$S$5:$S$1000,"Macro")-1)&gt;0.0001),"Pesos del mes suman "&amp;TEXT(SUMIFS($G$5:$G$1000,$P$5:$P$1000,$P46,$S$5:$S$1000,"Macro"),"0%")&amp;" · ","")&amp;IF(AND(N($T46)&gt;0,COUNT($H46:$K46)&gt;0),"Con subactividades: deje vacías las semanas (se calculan solas)"&amp;" · ","")&amp;IF((COUNTIF($H46:$K46,"&gt;1")+COUNTIF($H46:$K46,"&lt;0")+COUNTA($H46:$K46)-COUNT($H46:$K46))&gt;0,"Avance fuera de rango 0-100%"&amp;" · ","")&amp;IF(OR(AND($I46&lt;&gt;"",$I46&lt;$H46),AND($J46&lt;&gt;"",$J46&lt;MAX($H46:$I46)),AND($K46&lt;&gt;"",$K46&lt;MAX($H46:$J46))),"Avance semanal decreciente"&amp;" · ","")&amp;IF(AND(ISNUMBER($F46),$F46&lt;FechaRef,N($L46)&lt;1),"Vencida"&amp;" · ","")&amp;IF(AND(ObsObligatoria="Sí",ISNUMBER($F46),$F46&lt;FechaRef,N($L46)&lt;1,$N46=""),"Vencida sin observación"&amp;" · ",""),LEN(IF(AND($S46="Macro",$B46=""),"Macroactividad vacía"&amp;" · ","")&amp;IF(AND($B46&lt;&gt;"",$C46&lt;&gt;""),"Escriba la subactividad en otra fila, debajo de su macroactividad"&amp;" · ","")&amp;IF(AND($S46="Sub",N($R46)=0),"Subactividad sin macroactividad arriba"&amp;" · ","")&amp;IF($D46="","Sin responsable"&amp;" · ","")&amp;IF($E46="","Sin fecha de inicio"&amp;" · ","")&amp;IF($F46="","Sin fecha límite"&amp;" · ","")&amp;IF(OR(AND($E46&lt;&gt;"",NOT(ISNUMBER($E46))),AND($F46&lt;&gt;"",NOT(ISNUMBER($F46)))),"Fecha no válida"&amp;" · ","")&amp;IF(AND(ISNUMBER($E46),ISNUMBER($F46),$E46&gt;$F46),"Inicio posterior a fecha límite"&amp;" · ","")&amp;IF(AND($S46="Macro",$G46=""),"Peso vacío"&amp;" · ","")&amp;IF(AND($S46="Macro",$G46&lt;&gt;"",OR(NOT(ISNUMBER($G46)),$G46&lt;=0,$G46&gt;1)),"Peso fuera de rango"&amp;" · ","")&amp;IF(AND($S46="Sub",$G46&lt;&gt;""),"Las subactividades no llevan peso"&amp;" · ","")&amp;IF(AND($S46="Macro",ABS(SUMIFS($G$5:$G$1000,$P$5:$P$1000,$P46,$S$5:$S$1000,"Macro")-1)&gt;0.0001),"Pesos del mes suman "&amp;TEXT(SUMIFS($G$5:$G$1000,$P$5:$P$1000,$P46,$S$5:$S$1000,"Macro"),"0%")&amp;" · ","")&amp;IF(AND(N($T46)&gt;0,COUNT($H46:$K46)&gt;0),"Con subactividades: deje vacías las semanas (se calculan solas)"&amp;" · ","")&amp;IF((COUNTIF($H46:$K46,"&gt;1")+COUNTIF($H46:$K46,"&lt;0")+COUNTA($H46:$K46)-COUNT($H46:$K46))&gt;0,"Avance fuera de rango 0-100%"&amp;" · ","")&amp;IF(OR(AND($I46&lt;&gt;"",$I46&lt;$H46),AND($J46&lt;&gt;"",$J46&lt;MAX($H46:$I46)),AND($K46&lt;&gt;"",$K46&lt;MAX($H46:$J46))),"Avance semanal decreciente"&amp;" · ","")&amp;IF(AND(ISNUMBER($F46),$F46&lt;FechaRef,N($L46)&lt;1),"Vencida"&amp;" · ","")&amp;IF(AND(ObsObligatoria="Sí",ISNUMBER($F46),$F46&lt;FechaRef,N($L46)&lt;1,$N46=""),"Vencida sin observación"&amp;" · ",""))-3)))</f>
        <v/>
      </c>
      <c r="P46" s="69">
        <f>IF(NOT((COUNTA($B46:$K46)+COUNTA($N46))&gt;0),"",IF(AND($S46="Sub",N($R46)&gt;0),IF(ISNUMBER(INDEX($E$5:$E$1000,$R46-4)),DATE(YEAR(INDEX($E$5:$E$1000,$R46-4)),MONTH(INDEX($E$5:$E$1000,$R46-4)),1),IF(ISNUMBER(INDEX($F$5:$F$1000,$R46-4)),DATE(YEAR(INDEX($F$5:$F$1000,$R46-4)),MONTH(INDEX($F$5:$F$1000,$R46-4)),1),MesCiclo)),IF(ISNUMBER($E46),DATE(YEAR($E46),MONTH($E46),1),IF(ISNUMBER($F46),DATE(YEAR($F46),MONTH($F46),1),MesCiclo))))</f>
        <v/>
      </c>
      <c r="Q46" s="70">
        <f>IF(OR($P46="",$P46&lt;&gt;MesCiclo),"",COUNTIF($P$5:$P46,MesCiclo))</f>
        <v/>
      </c>
      <c r="R46" s="70">
        <f>IF($S46="","",IF($S46="Macro",ROW(),IFERROR(LOOKUP(2,1/($S$5:$S46="Macro"),ROW($S$5:$S46)),0)))</f>
        <v/>
      </c>
      <c r="S46" s="70">
        <f>IF(NOT((COUNTA($B46:$K46)+COUNTA($N46))&gt;0),"",IF($B46&lt;&gt;"","Macro",IF($C46&lt;&gt;"","Sub","Macro")))</f>
        <v/>
      </c>
      <c r="T46" s="70">
        <f>IF($S46="Macro",COUNTIFS($R$5:$R$1000,ROW(),$S$5:$S$1000,"Sub"),"")</f>
        <v/>
      </c>
      <c r="U46" s="70">
        <f>IF($S46="","",IF(ISNUMBER($H46),$H46,0))</f>
        <v/>
      </c>
      <c r="V46" s="70">
        <f>IF($S46="","",IF(ISNUMBER($I46),$I46,$U46))</f>
        <v/>
      </c>
      <c r="W46" s="70">
        <f>IF($S46="","",IF(ISNUMBER($J46),$J46,$V46))</f>
        <v/>
      </c>
      <c r="X46" s="70">
        <f>IF($S46="","",IF(ISNUMBER($K46),$K46,$W46))</f>
        <v/>
      </c>
      <c r="Y46" s="70">
        <f>IF($S46="","",IF(N($T46)&gt;0,AVERAGEIFS($U$5:$U$1000,$R$5:$R$1000,ROW(),$S$5:$S$1000,"Sub"),$U46))</f>
        <v/>
      </c>
      <c r="Z46" s="70">
        <f>IF($S46="","",IF(N($T46)&gt;0,AVERAGEIFS($V$5:$V$1000,$R$5:$R$1000,ROW(),$S$5:$S$1000,"Sub"),$V46))</f>
        <v/>
      </c>
      <c r="AA46" s="70">
        <f>IF($S46="","",IF(N($T46)&gt;0,AVERAGEIFS($W$5:$W$1000,$R$5:$R$1000,ROW(),$S$5:$S$1000,"Sub"),$W46))</f>
        <v/>
      </c>
      <c r="AB46" s="70">
        <f>IF($S46="","",IF(N($T46)&gt;0,AVERAGEIFS($X$5:$X$1000,$R$5:$R$1000,ROW(),$S$5:$S$1000,"Sub"),$X46))</f>
        <v/>
      </c>
    </row>
    <row r="47">
      <c r="A47" s="61">
        <f>IF(NOT((COUNTA($B47:$K47)+COUNTA($N47))&gt;0),"",IF($S47="Macro",COUNTIFS($S$5:$S47,"Macro",$P$5:$P47,$P47),IF(N($R47)=0,"?",COUNTIFS(INDEX($S$5:$S$1000,1):INDEX($S$5:$S$1000,$R47-4),"Macro",INDEX($P$5:$P$1000,1):INDEX($P$5:$P$1000,$R47-4),INDEX($P$5:$P$1000,$R47-4))&amp;"."&amp;COUNTIFS($R$5:$R47,$R47,$S$5:$S47,"Sub"))))</f>
        <v/>
      </c>
      <c r="B47" s="62" t="n"/>
      <c r="C47" s="63" t="n"/>
      <c r="D47" s="62" t="n"/>
      <c r="E47" s="64" t="n"/>
      <c r="F47" s="64" t="n"/>
      <c r="G47" s="65" t="n"/>
      <c r="H47" s="66" t="n"/>
      <c r="I47" s="66" t="n"/>
      <c r="J47" s="66" t="n"/>
      <c r="K47" s="66" t="n"/>
      <c r="L47" s="67">
        <f>IF(NOT((COUNTA($B47:$K47)+COUNTA($N47))&gt;0),"",IF(N($T47)&gt;0,$AB47,IFERROR(LOOKUP(2,1/(H47:K47&lt;&gt;""),H47:K47),0)))</f>
        <v/>
      </c>
      <c r="M47" s="61">
        <f>IF(L47="","",IF(L47&gt;=1,"Completado",IF(L47&gt;0,"En curso","Pendiente")))</f>
        <v/>
      </c>
      <c r="N47" s="62" t="n"/>
      <c r="O47" s="68">
        <f>IF(NOT((COUNTA($B47:$K47)+COUNTA($N47))&gt;0),"",IF((IF(AND($S47="Macro",$B47=""),"Macroactividad vacía"&amp;" · ","")&amp;IF(AND($B47&lt;&gt;"",$C47&lt;&gt;""),"Escriba la subactividad en otra fila, debajo de su macroactividad"&amp;" · ","")&amp;IF(AND($S47="Sub",N($R47)=0),"Subactividad sin macroactividad arriba"&amp;" · ","")&amp;IF($D47="","Sin responsable"&amp;" · ","")&amp;IF($E47="","Sin fecha de inicio"&amp;" · ","")&amp;IF($F47="","Sin fecha límite"&amp;" · ","")&amp;IF(OR(AND($E47&lt;&gt;"",NOT(ISNUMBER($E47))),AND($F47&lt;&gt;"",NOT(ISNUMBER($F47)))),"Fecha no válida"&amp;" · ","")&amp;IF(AND(ISNUMBER($E47),ISNUMBER($F47),$E47&gt;$F47),"Inicio posterior a fecha límite"&amp;" · ","")&amp;IF(AND($S47="Macro",$G47=""),"Peso vacío"&amp;" · ","")&amp;IF(AND($S47="Macro",$G47&lt;&gt;"",OR(NOT(ISNUMBER($G47)),$G47&lt;=0,$G47&gt;1)),"Peso fuera de rango"&amp;" · ","")&amp;IF(AND($S47="Sub",$G47&lt;&gt;""),"Las subactividades no llevan peso"&amp;" · ","")&amp;IF(AND($S47="Macro",ABS(SUMIFS($G$5:$G$1000,$P$5:$P$1000,$P47,$S$5:$S$1000,"Macro")-1)&gt;0.0001),"Pesos del mes suman "&amp;TEXT(SUMIFS($G$5:$G$1000,$P$5:$P$1000,$P47,$S$5:$S$1000,"Macro"),"0%")&amp;" · ","")&amp;IF(AND(N($T47)&gt;0,COUNT($H47:$K47)&gt;0),"Con subactividades: deje vacías las semanas (se calculan solas)"&amp;" · ","")&amp;IF((COUNTIF($H47:$K47,"&gt;1")+COUNTIF($H47:$K47,"&lt;0")+COUNTA($H47:$K47)-COUNT($H47:$K47))&gt;0,"Avance fuera de rango 0-100%"&amp;" · ","")&amp;IF(OR(AND($I47&lt;&gt;"",$I47&lt;$H47),AND($J47&lt;&gt;"",$J47&lt;MAX($H47:$I47)),AND($K47&lt;&gt;"",$K47&lt;MAX($H47:$J47))),"Avance semanal decreciente"&amp;" · ","")&amp;IF(AND(ISNUMBER($F47),$F47&lt;FechaRef,N($L47)&lt;1),"Vencida"&amp;" · ","")&amp;IF(AND(ObsObligatoria="Sí",ISNUMBER($F47),$F47&lt;FechaRef,N($L47)&lt;1,$N47=""),"Vencida sin observación"&amp;" · ",""))="","✔ OK","⚠ "&amp;LEFT(IF(AND($S47="Macro",$B47=""),"Macroactividad vacía"&amp;" · ","")&amp;IF(AND($B47&lt;&gt;"",$C47&lt;&gt;""),"Escriba la subactividad en otra fila, debajo de su macroactividad"&amp;" · ","")&amp;IF(AND($S47="Sub",N($R47)=0),"Subactividad sin macroactividad arriba"&amp;" · ","")&amp;IF($D47="","Sin responsable"&amp;" · ","")&amp;IF($E47="","Sin fecha de inicio"&amp;" · ","")&amp;IF($F47="","Sin fecha límite"&amp;" · ","")&amp;IF(OR(AND($E47&lt;&gt;"",NOT(ISNUMBER($E47))),AND($F47&lt;&gt;"",NOT(ISNUMBER($F47)))),"Fecha no válida"&amp;" · ","")&amp;IF(AND(ISNUMBER($E47),ISNUMBER($F47),$E47&gt;$F47),"Inicio posterior a fecha límite"&amp;" · ","")&amp;IF(AND($S47="Macro",$G47=""),"Peso vacío"&amp;" · ","")&amp;IF(AND($S47="Macro",$G47&lt;&gt;"",OR(NOT(ISNUMBER($G47)),$G47&lt;=0,$G47&gt;1)),"Peso fuera de rango"&amp;" · ","")&amp;IF(AND($S47="Sub",$G47&lt;&gt;""),"Las subactividades no llevan peso"&amp;" · ","")&amp;IF(AND($S47="Macro",ABS(SUMIFS($G$5:$G$1000,$P$5:$P$1000,$P47,$S$5:$S$1000,"Macro")-1)&gt;0.0001),"Pesos del mes suman "&amp;TEXT(SUMIFS($G$5:$G$1000,$P$5:$P$1000,$P47,$S$5:$S$1000,"Macro"),"0%")&amp;" · ","")&amp;IF(AND(N($T47)&gt;0,COUNT($H47:$K47)&gt;0),"Con subactividades: deje vacías las semanas (se calculan solas)"&amp;" · ","")&amp;IF((COUNTIF($H47:$K47,"&gt;1")+COUNTIF($H47:$K47,"&lt;0")+COUNTA($H47:$K47)-COUNT($H47:$K47))&gt;0,"Avance fuera de rango 0-100%"&amp;" · ","")&amp;IF(OR(AND($I47&lt;&gt;"",$I47&lt;$H47),AND($J47&lt;&gt;"",$J47&lt;MAX($H47:$I47)),AND($K47&lt;&gt;"",$K47&lt;MAX($H47:$J47))),"Avance semanal decreciente"&amp;" · ","")&amp;IF(AND(ISNUMBER($F47),$F47&lt;FechaRef,N($L47)&lt;1),"Vencida"&amp;" · ","")&amp;IF(AND(ObsObligatoria="Sí",ISNUMBER($F47),$F47&lt;FechaRef,N($L47)&lt;1,$N47=""),"Vencida sin observación"&amp;" · ",""),LEN(IF(AND($S47="Macro",$B47=""),"Macroactividad vacía"&amp;" · ","")&amp;IF(AND($B47&lt;&gt;"",$C47&lt;&gt;""),"Escriba la subactividad en otra fila, debajo de su macroactividad"&amp;" · ","")&amp;IF(AND($S47="Sub",N($R47)=0),"Subactividad sin macroactividad arriba"&amp;" · ","")&amp;IF($D47="","Sin responsable"&amp;" · ","")&amp;IF($E47="","Sin fecha de inicio"&amp;" · ","")&amp;IF($F47="","Sin fecha límite"&amp;" · ","")&amp;IF(OR(AND($E47&lt;&gt;"",NOT(ISNUMBER($E47))),AND($F47&lt;&gt;"",NOT(ISNUMBER($F47)))),"Fecha no válida"&amp;" · ","")&amp;IF(AND(ISNUMBER($E47),ISNUMBER($F47),$E47&gt;$F47),"Inicio posterior a fecha límite"&amp;" · ","")&amp;IF(AND($S47="Macro",$G47=""),"Peso vacío"&amp;" · ","")&amp;IF(AND($S47="Macro",$G47&lt;&gt;"",OR(NOT(ISNUMBER($G47)),$G47&lt;=0,$G47&gt;1)),"Peso fuera de rango"&amp;" · ","")&amp;IF(AND($S47="Sub",$G47&lt;&gt;""),"Las subactividades no llevan peso"&amp;" · ","")&amp;IF(AND($S47="Macro",ABS(SUMIFS($G$5:$G$1000,$P$5:$P$1000,$P47,$S$5:$S$1000,"Macro")-1)&gt;0.0001),"Pesos del mes suman "&amp;TEXT(SUMIFS($G$5:$G$1000,$P$5:$P$1000,$P47,$S$5:$S$1000,"Macro"),"0%")&amp;" · ","")&amp;IF(AND(N($T47)&gt;0,COUNT($H47:$K47)&gt;0),"Con subactividades: deje vacías las semanas (se calculan solas)"&amp;" · ","")&amp;IF((COUNTIF($H47:$K47,"&gt;1")+COUNTIF($H47:$K47,"&lt;0")+COUNTA($H47:$K47)-COUNT($H47:$K47))&gt;0,"Avance fuera de rango 0-100%"&amp;" · ","")&amp;IF(OR(AND($I47&lt;&gt;"",$I47&lt;$H47),AND($J47&lt;&gt;"",$J47&lt;MAX($H47:$I47)),AND($K47&lt;&gt;"",$K47&lt;MAX($H47:$J47))),"Avance semanal decreciente"&amp;" · ","")&amp;IF(AND(ISNUMBER($F47),$F47&lt;FechaRef,N($L47)&lt;1),"Vencida"&amp;" · ","")&amp;IF(AND(ObsObligatoria="Sí",ISNUMBER($F47),$F47&lt;FechaRef,N($L47)&lt;1,$N47=""),"Vencida sin observación"&amp;" · ",""))-3)))</f>
        <v/>
      </c>
      <c r="P47" s="69">
        <f>IF(NOT((COUNTA($B47:$K47)+COUNTA($N47))&gt;0),"",IF(AND($S47="Sub",N($R47)&gt;0),IF(ISNUMBER(INDEX($E$5:$E$1000,$R47-4)),DATE(YEAR(INDEX($E$5:$E$1000,$R47-4)),MONTH(INDEX($E$5:$E$1000,$R47-4)),1),IF(ISNUMBER(INDEX($F$5:$F$1000,$R47-4)),DATE(YEAR(INDEX($F$5:$F$1000,$R47-4)),MONTH(INDEX($F$5:$F$1000,$R47-4)),1),MesCiclo)),IF(ISNUMBER($E47),DATE(YEAR($E47),MONTH($E47),1),IF(ISNUMBER($F47),DATE(YEAR($F47),MONTH($F47),1),MesCiclo))))</f>
        <v/>
      </c>
      <c r="Q47" s="70">
        <f>IF(OR($P47="",$P47&lt;&gt;MesCiclo),"",COUNTIF($P$5:$P47,MesCiclo))</f>
        <v/>
      </c>
      <c r="R47" s="70">
        <f>IF($S47="","",IF($S47="Macro",ROW(),IFERROR(LOOKUP(2,1/($S$5:$S47="Macro"),ROW($S$5:$S47)),0)))</f>
        <v/>
      </c>
      <c r="S47" s="70">
        <f>IF(NOT((COUNTA($B47:$K47)+COUNTA($N47))&gt;0),"",IF($B47&lt;&gt;"","Macro",IF($C47&lt;&gt;"","Sub","Macro")))</f>
        <v/>
      </c>
      <c r="T47" s="70">
        <f>IF($S47="Macro",COUNTIFS($R$5:$R$1000,ROW(),$S$5:$S$1000,"Sub"),"")</f>
        <v/>
      </c>
      <c r="U47" s="70">
        <f>IF($S47="","",IF(ISNUMBER($H47),$H47,0))</f>
        <v/>
      </c>
      <c r="V47" s="70">
        <f>IF($S47="","",IF(ISNUMBER($I47),$I47,$U47))</f>
        <v/>
      </c>
      <c r="W47" s="70">
        <f>IF($S47="","",IF(ISNUMBER($J47),$J47,$V47))</f>
        <v/>
      </c>
      <c r="X47" s="70">
        <f>IF($S47="","",IF(ISNUMBER($K47),$K47,$W47))</f>
        <v/>
      </c>
      <c r="Y47" s="70">
        <f>IF($S47="","",IF(N($T47)&gt;0,AVERAGEIFS($U$5:$U$1000,$R$5:$R$1000,ROW(),$S$5:$S$1000,"Sub"),$U47))</f>
        <v/>
      </c>
      <c r="Z47" s="70">
        <f>IF($S47="","",IF(N($T47)&gt;0,AVERAGEIFS($V$5:$V$1000,$R$5:$R$1000,ROW(),$S$5:$S$1000,"Sub"),$V47))</f>
        <v/>
      </c>
      <c r="AA47" s="70">
        <f>IF($S47="","",IF(N($T47)&gt;0,AVERAGEIFS($W$5:$W$1000,$R$5:$R$1000,ROW(),$S$5:$S$1000,"Sub"),$W47))</f>
        <v/>
      </c>
      <c r="AB47" s="70">
        <f>IF($S47="","",IF(N($T47)&gt;0,AVERAGEIFS($X$5:$X$1000,$R$5:$R$1000,ROW(),$S$5:$S$1000,"Sub"),$X47))</f>
        <v/>
      </c>
    </row>
    <row r="48">
      <c r="A48" s="61">
        <f>IF(NOT((COUNTA($B48:$K48)+COUNTA($N48))&gt;0),"",IF($S48="Macro",COUNTIFS($S$5:$S48,"Macro",$P$5:$P48,$P48),IF(N($R48)=0,"?",COUNTIFS(INDEX($S$5:$S$1000,1):INDEX($S$5:$S$1000,$R48-4),"Macro",INDEX($P$5:$P$1000,1):INDEX($P$5:$P$1000,$R48-4),INDEX($P$5:$P$1000,$R48-4))&amp;"."&amp;COUNTIFS($R$5:$R48,$R48,$S$5:$S48,"Sub"))))</f>
        <v/>
      </c>
      <c r="B48" s="62" t="n"/>
      <c r="C48" s="63" t="n"/>
      <c r="D48" s="62" t="n"/>
      <c r="E48" s="64" t="n"/>
      <c r="F48" s="64" t="n"/>
      <c r="G48" s="65" t="n"/>
      <c r="H48" s="66" t="n"/>
      <c r="I48" s="66" t="n"/>
      <c r="J48" s="66" t="n"/>
      <c r="K48" s="66" t="n"/>
      <c r="L48" s="67">
        <f>IF(NOT((COUNTA($B48:$K48)+COUNTA($N48))&gt;0),"",IF(N($T48)&gt;0,$AB48,IFERROR(LOOKUP(2,1/(H48:K48&lt;&gt;""),H48:K48),0)))</f>
        <v/>
      </c>
      <c r="M48" s="61">
        <f>IF(L48="","",IF(L48&gt;=1,"Completado",IF(L48&gt;0,"En curso","Pendiente")))</f>
        <v/>
      </c>
      <c r="N48" s="62" t="n"/>
      <c r="O48" s="68">
        <f>IF(NOT((COUNTA($B48:$K48)+COUNTA($N48))&gt;0),"",IF((IF(AND($S48="Macro",$B48=""),"Macroactividad vacía"&amp;" · ","")&amp;IF(AND($B48&lt;&gt;"",$C48&lt;&gt;""),"Escriba la subactividad en otra fila, debajo de su macroactividad"&amp;" · ","")&amp;IF(AND($S48="Sub",N($R48)=0),"Subactividad sin macroactividad arriba"&amp;" · ","")&amp;IF($D48="","Sin responsable"&amp;" · ","")&amp;IF($E48="","Sin fecha de inicio"&amp;" · ","")&amp;IF($F48="","Sin fecha límite"&amp;" · ","")&amp;IF(OR(AND($E48&lt;&gt;"",NOT(ISNUMBER($E48))),AND($F48&lt;&gt;"",NOT(ISNUMBER($F48)))),"Fecha no válida"&amp;" · ","")&amp;IF(AND(ISNUMBER($E48),ISNUMBER($F48),$E48&gt;$F48),"Inicio posterior a fecha límite"&amp;" · ","")&amp;IF(AND($S48="Macro",$G48=""),"Peso vacío"&amp;" · ","")&amp;IF(AND($S48="Macro",$G48&lt;&gt;"",OR(NOT(ISNUMBER($G48)),$G48&lt;=0,$G48&gt;1)),"Peso fuera de rango"&amp;" · ","")&amp;IF(AND($S48="Sub",$G48&lt;&gt;""),"Las subactividades no llevan peso"&amp;" · ","")&amp;IF(AND($S48="Macro",ABS(SUMIFS($G$5:$G$1000,$P$5:$P$1000,$P48,$S$5:$S$1000,"Macro")-1)&gt;0.0001),"Pesos del mes suman "&amp;TEXT(SUMIFS($G$5:$G$1000,$P$5:$P$1000,$P48,$S$5:$S$1000,"Macro"),"0%")&amp;" · ","")&amp;IF(AND(N($T48)&gt;0,COUNT($H48:$K48)&gt;0),"Con subactividades: deje vacías las semanas (se calculan solas)"&amp;" · ","")&amp;IF((COUNTIF($H48:$K48,"&gt;1")+COUNTIF($H48:$K48,"&lt;0")+COUNTA($H48:$K48)-COUNT($H48:$K48))&gt;0,"Avance fuera de rango 0-100%"&amp;" · ","")&amp;IF(OR(AND($I48&lt;&gt;"",$I48&lt;$H48),AND($J48&lt;&gt;"",$J48&lt;MAX($H48:$I48)),AND($K48&lt;&gt;"",$K48&lt;MAX($H48:$J48))),"Avance semanal decreciente"&amp;" · ","")&amp;IF(AND(ISNUMBER($F48),$F48&lt;FechaRef,N($L48)&lt;1),"Vencida"&amp;" · ","")&amp;IF(AND(ObsObligatoria="Sí",ISNUMBER($F48),$F48&lt;FechaRef,N($L48)&lt;1,$N48=""),"Vencida sin observación"&amp;" · ",""))="","✔ OK","⚠ "&amp;LEFT(IF(AND($S48="Macro",$B48=""),"Macroactividad vacía"&amp;" · ","")&amp;IF(AND($B48&lt;&gt;"",$C48&lt;&gt;""),"Escriba la subactividad en otra fila, debajo de su macroactividad"&amp;" · ","")&amp;IF(AND($S48="Sub",N($R48)=0),"Subactividad sin macroactividad arriba"&amp;" · ","")&amp;IF($D48="","Sin responsable"&amp;" · ","")&amp;IF($E48="","Sin fecha de inicio"&amp;" · ","")&amp;IF($F48="","Sin fecha límite"&amp;" · ","")&amp;IF(OR(AND($E48&lt;&gt;"",NOT(ISNUMBER($E48))),AND($F48&lt;&gt;"",NOT(ISNUMBER($F48)))),"Fecha no válida"&amp;" · ","")&amp;IF(AND(ISNUMBER($E48),ISNUMBER($F48),$E48&gt;$F48),"Inicio posterior a fecha límite"&amp;" · ","")&amp;IF(AND($S48="Macro",$G48=""),"Peso vacío"&amp;" · ","")&amp;IF(AND($S48="Macro",$G48&lt;&gt;"",OR(NOT(ISNUMBER($G48)),$G48&lt;=0,$G48&gt;1)),"Peso fuera de rango"&amp;" · ","")&amp;IF(AND($S48="Sub",$G48&lt;&gt;""),"Las subactividades no llevan peso"&amp;" · ","")&amp;IF(AND($S48="Macro",ABS(SUMIFS($G$5:$G$1000,$P$5:$P$1000,$P48,$S$5:$S$1000,"Macro")-1)&gt;0.0001),"Pesos del mes suman "&amp;TEXT(SUMIFS($G$5:$G$1000,$P$5:$P$1000,$P48,$S$5:$S$1000,"Macro"),"0%")&amp;" · ","")&amp;IF(AND(N($T48)&gt;0,COUNT($H48:$K48)&gt;0),"Con subactividades: deje vacías las semanas (se calculan solas)"&amp;" · ","")&amp;IF((COUNTIF($H48:$K48,"&gt;1")+COUNTIF($H48:$K48,"&lt;0")+COUNTA($H48:$K48)-COUNT($H48:$K48))&gt;0,"Avance fuera de rango 0-100%"&amp;" · ","")&amp;IF(OR(AND($I48&lt;&gt;"",$I48&lt;$H48),AND($J48&lt;&gt;"",$J48&lt;MAX($H48:$I48)),AND($K48&lt;&gt;"",$K48&lt;MAX($H48:$J48))),"Avance semanal decreciente"&amp;" · ","")&amp;IF(AND(ISNUMBER($F48),$F48&lt;FechaRef,N($L48)&lt;1),"Vencida"&amp;" · ","")&amp;IF(AND(ObsObligatoria="Sí",ISNUMBER($F48),$F48&lt;FechaRef,N($L48)&lt;1,$N48=""),"Vencida sin observación"&amp;" · ",""),LEN(IF(AND($S48="Macro",$B48=""),"Macroactividad vacía"&amp;" · ","")&amp;IF(AND($B48&lt;&gt;"",$C48&lt;&gt;""),"Escriba la subactividad en otra fila, debajo de su macroactividad"&amp;" · ","")&amp;IF(AND($S48="Sub",N($R48)=0),"Subactividad sin macroactividad arriba"&amp;" · ","")&amp;IF($D48="","Sin responsable"&amp;" · ","")&amp;IF($E48="","Sin fecha de inicio"&amp;" · ","")&amp;IF($F48="","Sin fecha límite"&amp;" · ","")&amp;IF(OR(AND($E48&lt;&gt;"",NOT(ISNUMBER($E48))),AND($F48&lt;&gt;"",NOT(ISNUMBER($F48)))),"Fecha no válida"&amp;" · ","")&amp;IF(AND(ISNUMBER($E48),ISNUMBER($F48),$E48&gt;$F48),"Inicio posterior a fecha límite"&amp;" · ","")&amp;IF(AND($S48="Macro",$G48=""),"Peso vacío"&amp;" · ","")&amp;IF(AND($S48="Macro",$G48&lt;&gt;"",OR(NOT(ISNUMBER($G48)),$G48&lt;=0,$G48&gt;1)),"Peso fuera de rango"&amp;" · ","")&amp;IF(AND($S48="Sub",$G48&lt;&gt;""),"Las subactividades no llevan peso"&amp;" · ","")&amp;IF(AND($S48="Macro",ABS(SUMIFS($G$5:$G$1000,$P$5:$P$1000,$P48,$S$5:$S$1000,"Macro")-1)&gt;0.0001),"Pesos del mes suman "&amp;TEXT(SUMIFS($G$5:$G$1000,$P$5:$P$1000,$P48,$S$5:$S$1000,"Macro"),"0%")&amp;" · ","")&amp;IF(AND(N($T48)&gt;0,COUNT($H48:$K48)&gt;0),"Con subactividades: deje vacías las semanas (se calculan solas)"&amp;" · ","")&amp;IF((COUNTIF($H48:$K48,"&gt;1")+COUNTIF($H48:$K48,"&lt;0")+COUNTA($H48:$K48)-COUNT($H48:$K48))&gt;0,"Avance fuera de rango 0-100%"&amp;" · ","")&amp;IF(OR(AND($I48&lt;&gt;"",$I48&lt;$H48),AND($J48&lt;&gt;"",$J48&lt;MAX($H48:$I48)),AND($K48&lt;&gt;"",$K48&lt;MAX($H48:$J48))),"Avance semanal decreciente"&amp;" · ","")&amp;IF(AND(ISNUMBER($F48),$F48&lt;FechaRef,N($L48)&lt;1),"Vencida"&amp;" · ","")&amp;IF(AND(ObsObligatoria="Sí",ISNUMBER($F48),$F48&lt;FechaRef,N($L48)&lt;1,$N48=""),"Vencida sin observación"&amp;" · ",""))-3)))</f>
        <v/>
      </c>
      <c r="P48" s="69">
        <f>IF(NOT((COUNTA($B48:$K48)+COUNTA($N48))&gt;0),"",IF(AND($S48="Sub",N($R48)&gt;0),IF(ISNUMBER(INDEX($E$5:$E$1000,$R48-4)),DATE(YEAR(INDEX($E$5:$E$1000,$R48-4)),MONTH(INDEX($E$5:$E$1000,$R48-4)),1),IF(ISNUMBER(INDEX($F$5:$F$1000,$R48-4)),DATE(YEAR(INDEX($F$5:$F$1000,$R48-4)),MONTH(INDEX($F$5:$F$1000,$R48-4)),1),MesCiclo)),IF(ISNUMBER($E48),DATE(YEAR($E48),MONTH($E48),1),IF(ISNUMBER($F48),DATE(YEAR($F48),MONTH($F48),1),MesCiclo))))</f>
        <v/>
      </c>
      <c r="Q48" s="70">
        <f>IF(OR($P48="",$P48&lt;&gt;MesCiclo),"",COUNTIF($P$5:$P48,MesCiclo))</f>
        <v/>
      </c>
      <c r="R48" s="70">
        <f>IF($S48="","",IF($S48="Macro",ROW(),IFERROR(LOOKUP(2,1/($S$5:$S48="Macro"),ROW($S$5:$S48)),0)))</f>
        <v/>
      </c>
      <c r="S48" s="70">
        <f>IF(NOT((COUNTA($B48:$K48)+COUNTA($N48))&gt;0),"",IF($B48&lt;&gt;"","Macro",IF($C48&lt;&gt;"","Sub","Macro")))</f>
        <v/>
      </c>
      <c r="T48" s="70">
        <f>IF($S48="Macro",COUNTIFS($R$5:$R$1000,ROW(),$S$5:$S$1000,"Sub"),"")</f>
        <v/>
      </c>
      <c r="U48" s="70">
        <f>IF($S48="","",IF(ISNUMBER($H48),$H48,0))</f>
        <v/>
      </c>
      <c r="V48" s="70">
        <f>IF($S48="","",IF(ISNUMBER($I48),$I48,$U48))</f>
        <v/>
      </c>
      <c r="W48" s="70">
        <f>IF($S48="","",IF(ISNUMBER($J48),$J48,$V48))</f>
        <v/>
      </c>
      <c r="X48" s="70">
        <f>IF($S48="","",IF(ISNUMBER($K48),$K48,$W48))</f>
        <v/>
      </c>
      <c r="Y48" s="70">
        <f>IF($S48="","",IF(N($T48)&gt;0,AVERAGEIFS($U$5:$U$1000,$R$5:$R$1000,ROW(),$S$5:$S$1000,"Sub"),$U48))</f>
        <v/>
      </c>
      <c r="Z48" s="70">
        <f>IF($S48="","",IF(N($T48)&gt;0,AVERAGEIFS($V$5:$V$1000,$R$5:$R$1000,ROW(),$S$5:$S$1000,"Sub"),$V48))</f>
        <v/>
      </c>
      <c r="AA48" s="70">
        <f>IF($S48="","",IF(N($T48)&gt;0,AVERAGEIFS($W$5:$W$1000,$R$5:$R$1000,ROW(),$S$5:$S$1000,"Sub"),$W48))</f>
        <v/>
      </c>
      <c r="AB48" s="70">
        <f>IF($S48="","",IF(N($T48)&gt;0,AVERAGEIFS($X$5:$X$1000,$R$5:$R$1000,ROW(),$S$5:$S$1000,"Sub"),$X48))</f>
        <v/>
      </c>
    </row>
    <row r="49">
      <c r="A49" s="61">
        <f>IF(NOT((COUNTA($B49:$K49)+COUNTA($N49))&gt;0),"",IF($S49="Macro",COUNTIFS($S$5:$S49,"Macro",$P$5:$P49,$P49),IF(N($R49)=0,"?",COUNTIFS(INDEX($S$5:$S$1000,1):INDEX($S$5:$S$1000,$R49-4),"Macro",INDEX($P$5:$P$1000,1):INDEX($P$5:$P$1000,$R49-4),INDEX($P$5:$P$1000,$R49-4))&amp;"."&amp;COUNTIFS($R$5:$R49,$R49,$S$5:$S49,"Sub"))))</f>
        <v/>
      </c>
      <c r="B49" s="62" t="n"/>
      <c r="C49" s="63" t="n"/>
      <c r="D49" s="62" t="n"/>
      <c r="E49" s="64" t="n"/>
      <c r="F49" s="64" t="n"/>
      <c r="G49" s="65" t="n"/>
      <c r="H49" s="66" t="n"/>
      <c r="I49" s="66" t="n"/>
      <c r="J49" s="66" t="n"/>
      <c r="K49" s="66" t="n"/>
      <c r="L49" s="67">
        <f>IF(NOT((COUNTA($B49:$K49)+COUNTA($N49))&gt;0),"",IF(N($T49)&gt;0,$AB49,IFERROR(LOOKUP(2,1/(H49:K49&lt;&gt;""),H49:K49),0)))</f>
        <v/>
      </c>
      <c r="M49" s="61">
        <f>IF(L49="","",IF(L49&gt;=1,"Completado",IF(L49&gt;0,"En curso","Pendiente")))</f>
        <v/>
      </c>
      <c r="N49" s="62" t="n"/>
      <c r="O49" s="68">
        <f>IF(NOT((COUNTA($B49:$K49)+COUNTA($N49))&gt;0),"",IF((IF(AND($S49="Macro",$B49=""),"Macroactividad vacía"&amp;" · ","")&amp;IF(AND($B49&lt;&gt;"",$C49&lt;&gt;""),"Escriba la subactividad en otra fila, debajo de su macroactividad"&amp;" · ","")&amp;IF(AND($S49="Sub",N($R49)=0),"Subactividad sin macroactividad arriba"&amp;" · ","")&amp;IF($D49="","Sin responsable"&amp;" · ","")&amp;IF($E49="","Sin fecha de inicio"&amp;" · ","")&amp;IF($F49="","Sin fecha límite"&amp;" · ","")&amp;IF(OR(AND($E49&lt;&gt;"",NOT(ISNUMBER($E49))),AND($F49&lt;&gt;"",NOT(ISNUMBER($F49)))),"Fecha no válida"&amp;" · ","")&amp;IF(AND(ISNUMBER($E49),ISNUMBER($F49),$E49&gt;$F49),"Inicio posterior a fecha límite"&amp;" · ","")&amp;IF(AND($S49="Macro",$G49=""),"Peso vacío"&amp;" · ","")&amp;IF(AND($S49="Macro",$G49&lt;&gt;"",OR(NOT(ISNUMBER($G49)),$G49&lt;=0,$G49&gt;1)),"Peso fuera de rango"&amp;" · ","")&amp;IF(AND($S49="Sub",$G49&lt;&gt;""),"Las subactividades no llevan peso"&amp;" · ","")&amp;IF(AND($S49="Macro",ABS(SUMIFS($G$5:$G$1000,$P$5:$P$1000,$P49,$S$5:$S$1000,"Macro")-1)&gt;0.0001),"Pesos del mes suman "&amp;TEXT(SUMIFS($G$5:$G$1000,$P$5:$P$1000,$P49,$S$5:$S$1000,"Macro"),"0%")&amp;" · ","")&amp;IF(AND(N($T49)&gt;0,COUNT($H49:$K49)&gt;0),"Con subactividades: deje vacías las semanas (se calculan solas)"&amp;" · ","")&amp;IF((COUNTIF($H49:$K49,"&gt;1")+COUNTIF($H49:$K49,"&lt;0")+COUNTA($H49:$K49)-COUNT($H49:$K49))&gt;0,"Avance fuera de rango 0-100%"&amp;" · ","")&amp;IF(OR(AND($I49&lt;&gt;"",$I49&lt;$H49),AND($J49&lt;&gt;"",$J49&lt;MAX($H49:$I49)),AND($K49&lt;&gt;"",$K49&lt;MAX($H49:$J49))),"Avance semanal decreciente"&amp;" · ","")&amp;IF(AND(ISNUMBER($F49),$F49&lt;FechaRef,N($L49)&lt;1),"Vencida"&amp;" · ","")&amp;IF(AND(ObsObligatoria="Sí",ISNUMBER($F49),$F49&lt;FechaRef,N($L49)&lt;1,$N49=""),"Vencida sin observación"&amp;" · ",""))="","✔ OK","⚠ "&amp;LEFT(IF(AND($S49="Macro",$B49=""),"Macroactividad vacía"&amp;" · ","")&amp;IF(AND($B49&lt;&gt;"",$C49&lt;&gt;""),"Escriba la subactividad en otra fila, debajo de su macroactividad"&amp;" · ","")&amp;IF(AND($S49="Sub",N($R49)=0),"Subactividad sin macroactividad arriba"&amp;" · ","")&amp;IF($D49="","Sin responsable"&amp;" · ","")&amp;IF($E49="","Sin fecha de inicio"&amp;" · ","")&amp;IF($F49="","Sin fecha límite"&amp;" · ","")&amp;IF(OR(AND($E49&lt;&gt;"",NOT(ISNUMBER($E49))),AND($F49&lt;&gt;"",NOT(ISNUMBER($F49)))),"Fecha no válida"&amp;" · ","")&amp;IF(AND(ISNUMBER($E49),ISNUMBER($F49),$E49&gt;$F49),"Inicio posterior a fecha límite"&amp;" · ","")&amp;IF(AND($S49="Macro",$G49=""),"Peso vacío"&amp;" · ","")&amp;IF(AND($S49="Macro",$G49&lt;&gt;"",OR(NOT(ISNUMBER($G49)),$G49&lt;=0,$G49&gt;1)),"Peso fuera de rango"&amp;" · ","")&amp;IF(AND($S49="Sub",$G49&lt;&gt;""),"Las subactividades no llevan peso"&amp;" · ","")&amp;IF(AND($S49="Macro",ABS(SUMIFS($G$5:$G$1000,$P$5:$P$1000,$P49,$S$5:$S$1000,"Macro")-1)&gt;0.0001),"Pesos del mes suman "&amp;TEXT(SUMIFS($G$5:$G$1000,$P$5:$P$1000,$P49,$S$5:$S$1000,"Macro"),"0%")&amp;" · ","")&amp;IF(AND(N($T49)&gt;0,COUNT($H49:$K49)&gt;0),"Con subactividades: deje vacías las semanas (se calculan solas)"&amp;" · ","")&amp;IF((COUNTIF($H49:$K49,"&gt;1")+COUNTIF($H49:$K49,"&lt;0")+COUNTA($H49:$K49)-COUNT($H49:$K49))&gt;0,"Avance fuera de rango 0-100%"&amp;" · ","")&amp;IF(OR(AND($I49&lt;&gt;"",$I49&lt;$H49),AND($J49&lt;&gt;"",$J49&lt;MAX($H49:$I49)),AND($K49&lt;&gt;"",$K49&lt;MAX($H49:$J49))),"Avance semanal decreciente"&amp;" · ","")&amp;IF(AND(ISNUMBER($F49),$F49&lt;FechaRef,N($L49)&lt;1),"Vencida"&amp;" · ","")&amp;IF(AND(ObsObligatoria="Sí",ISNUMBER($F49),$F49&lt;FechaRef,N($L49)&lt;1,$N49=""),"Vencida sin observación"&amp;" · ",""),LEN(IF(AND($S49="Macro",$B49=""),"Macroactividad vacía"&amp;" · ","")&amp;IF(AND($B49&lt;&gt;"",$C49&lt;&gt;""),"Escriba la subactividad en otra fila, debajo de su macroactividad"&amp;" · ","")&amp;IF(AND($S49="Sub",N($R49)=0),"Subactividad sin macroactividad arriba"&amp;" · ","")&amp;IF($D49="","Sin responsable"&amp;" · ","")&amp;IF($E49="","Sin fecha de inicio"&amp;" · ","")&amp;IF($F49="","Sin fecha límite"&amp;" · ","")&amp;IF(OR(AND($E49&lt;&gt;"",NOT(ISNUMBER($E49))),AND($F49&lt;&gt;"",NOT(ISNUMBER($F49)))),"Fecha no válida"&amp;" · ","")&amp;IF(AND(ISNUMBER($E49),ISNUMBER($F49),$E49&gt;$F49),"Inicio posterior a fecha límite"&amp;" · ","")&amp;IF(AND($S49="Macro",$G49=""),"Peso vacío"&amp;" · ","")&amp;IF(AND($S49="Macro",$G49&lt;&gt;"",OR(NOT(ISNUMBER($G49)),$G49&lt;=0,$G49&gt;1)),"Peso fuera de rango"&amp;" · ","")&amp;IF(AND($S49="Sub",$G49&lt;&gt;""),"Las subactividades no llevan peso"&amp;" · ","")&amp;IF(AND($S49="Macro",ABS(SUMIFS($G$5:$G$1000,$P$5:$P$1000,$P49,$S$5:$S$1000,"Macro")-1)&gt;0.0001),"Pesos del mes suman "&amp;TEXT(SUMIFS($G$5:$G$1000,$P$5:$P$1000,$P49,$S$5:$S$1000,"Macro"),"0%")&amp;" · ","")&amp;IF(AND(N($T49)&gt;0,COUNT($H49:$K49)&gt;0),"Con subactividades: deje vacías las semanas (se calculan solas)"&amp;" · ","")&amp;IF((COUNTIF($H49:$K49,"&gt;1")+COUNTIF($H49:$K49,"&lt;0")+COUNTA($H49:$K49)-COUNT($H49:$K49))&gt;0,"Avance fuera de rango 0-100%"&amp;" · ","")&amp;IF(OR(AND($I49&lt;&gt;"",$I49&lt;$H49),AND($J49&lt;&gt;"",$J49&lt;MAX($H49:$I49)),AND($K49&lt;&gt;"",$K49&lt;MAX($H49:$J49))),"Avance semanal decreciente"&amp;" · ","")&amp;IF(AND(ISNUMBER($F49),$F49&lt;FechaRef,N($L49)&lt;1),"Vencida"&amp;" · ","")&amp;IF(AND(ObsObligatoria="Sí",ISNUMBER($F49),$F49&lt;FechaRef,N($L49)&lt;1,$N49=""),"Vencida sin observación"&amp;" · ",""))-3)))</f>
        <v/>
      </c>
      <c r="P49" s="69">
        <f>IF(NOT((COUNTA($B49:$K49)+COUNTA($N49))&gt;0),"",IF(AND($S49="Sub",N($R49)&gt;0),IF(ISNUMBER(INDEX($E$5:$E$1000,$R49-4)),DATE(YEAR(INDEX($E$5:$E$1000,$R49-4)),MONTH(INDEX($E$5:$E$1000,$R49-4)),1),IF(ISNUMBER(INDEX($F$5:$F$1000,$R49-4)),DATE(YEAR(INDEX($F$5:$F$1000,$R49-4)),MONTH(INDEX($F$5:$F$1000,$R49-4)),1),MesCiclo)),IF(ISNUMBER($E49),DATE(YEAR($E49),MONTH($E49),1),IF(ISNUMBER($F49),DATE(YEAR($F49),MONTH($F49),1),MesCiclo))))</f>
        <v/>
      </c>
      <c r="Q49" s="70">
        <f>IF(OR($P49="",$P49&lt;&gt;MesCiclo),"",COUNTIF($P$5:$P49,MesCiclo))</f>
        <v/>
      </c>
      <c r="R49" s="70">
        <f>IF($S49="","",IF($S49="Macro",ROW(),IFERROR(LOOKUP(2,1/($S$5:$S49="Macro"),ROW($S$5:$S49)),0)))</f>
        <v/>
      </c>
      <c r="S49" s="70">
        <f>IF(NOT((COUNTA($B49:$K49)+COUNTA($N49))&gt;0),"",IF($B49&lt;&gt;"","Macro",IF($C49&lt;&gt;"","Sub","Macro")))</f>
        <v/>
      </c>
      <c r="T49" s="70">
        <f>IF($S49="Macro",COUNTIFS($R$5:$R$1000,ROW(),$S$5:$S$1000,"Sub"),"")</f>
        <v/>
      </c>
      <c r="U49" s="70">
        <f>IF($S49="","",IF(ISNUMBER($H49),$H49,0))</f>
        <v/>
      </c>
      <c r="V49" s="70">
        <f>IF($S49="","",IF(ISNUMBER($I49),$I49,$U49))</f>
        <v/>
      </c>
      <c r="W49" s="70">
        <f>IF($S49="","",IF(ISNUMBER($J49),$J49,$V49))</f>
        <v/>
      </c>
      <c r="X49" s="70">
        <f>IF($S49="","",IF(ISNUMBER($K49),$K49,$W49))</f>
        <v/>
      </c>
      <c r="Y49" s="70">
        <f>IF($S49="","",IF(N($T49)&gt;0,AVERAGEIFS($U$5:$U$1000,$R$5:$R$1000,ROW(),$S$5:$S$1000,"Sub"),$U49))</f>
        <v/>
      </c>
      <c r="Z49" s="70">
        <f>IF($S49="","",IF(N($T49)&gt;0,AVERAGEIFS($V$5:$V$1000,$R$5:$R$1000,ROW(),$S$5:$S$1000,"Sub"),$V49))</f>
        <v/>
      </c>
      <c r="AA49" s="70">
        <f>IF($S49="","",IF(N($T49)&gt;0,AVERAGEIFS($W$5:$W$1000,$R$5:$R$1000,ROW(),$S$5:$S$1000,"Sub"),$W49))</f>
        <v/>
      </c>
      <c r="AB49" s="70">
        <f>IF($S49="","",IF(N($T49)&gt;0,AVERAGEIFS($X$5:$X$1000,$R$5:$R$1000,ROW(),$S$5:$S$1000,"Sub"),$X49))</f>
        <v/>
      </c>
    </row>
    <row r="50">
      <c r="A50" s="61">
        <f>IF(NOT((COUNTA($B50:$K50)+COUNTA($N50))&gt;0),"",IF($S50="Macro",COUNTIFS($S$5:$S50,"Macro",$P$5:$P50,$P50),IF(N($R50)=0,"?",COUNTIFS(INDEX($S$5:$S$1000,1):INDEX($S$5:$S$1000,$R50-4),"Macro",INDEX($P$5:$P$1000,1):INDEX($P$5:$P$1000,$R50-4),INDEX($P$5:$P$1000,$R50-4))&amp;"."&amp;COUNTIFS($R$5:$R50,$R50,$S$5:$S50,"Sub"))))</f>
        <v/>
      </c>
      <c r="B50" s="62" t="n"/>
      <c r="C50" s="63" t="n"/>
      <c r="D50" s="62" t="n"/>
      <c r="E50" s="64" t="n"/>
      <c r="F50" s="64" t="n"/>
      <c r="G50" s="65" t="n"/>
      <c r="H50" s="66" t="n"/>
      <c r="I50" s="66" t="n"/>
      <c r="J50" s="66" t="n"/>
      <c r="K50" s="66" t="n"/>
      <c r="L50" s="67">
        <f>IF(NOT((COUNTA($B50:$K50)+COUNTA($N50))&gt;0),"",IF(N($T50)&gt;0,$AB50,IFERROR(LOOKUP(2,1/(H50:K50&lt;&gt;""),H50:K50),0)))</f>
        <v/>
      </c>
      <c r="M50" s="61">
        <f>IF(L50="","",IF(L50&gt;=1,"Completado",IF(L50&gt;0,"En curso","Pendiente")))</f>
        <v/>
      </c>
      <c r="N50" s="62" t="n"/>
      <c r="O50" s="68">
        <f>IF(NOT((COUNTA($B50:$K50)+COUNTA($N50))&gt;0),"",IF((IF(AND($S50="Macro",$B50=""),"Macroactividad vacía"&amp;" · ","")&amp;IF(AND($B50&lt;&gt;"",$C50&lt;&gt;""),"Escriba la subactividad en otra fila, debajo de su macroactividad"&amp;" · ","")&amp;IF(AND($S50="Sub",N($R50)=0),"Subactividad sin macroactividad arriba"&amp;" · ","")&amp;IF($D50="","Sin responsable"&amp;" · ","")&amp;IF($E50="","Sin fecha de inicio"&amp;" · ","")&amp;IF($F50="","Sin fecha límite"&amp;" · ","")&amp;IF(OR(AND($E50&lt;&gt;"",NOT(ISNUMBER($E50))),AND($F50&lt;&gt;"",NOT(ISNUMBER($F50)))),"Fecha no válida"&amp;" · ","")&amp;IF(AND(ISNUMBER($E50),ISNUMBER($F50),$E50&gt;$F50),"Inicio posterior a fecha límite"&amp;" · ","")&amp;IF(AND($S50="Macro",$G50=""),"Peso vacío"&amp;" · ","")&amp;IF(AND($S50="Macro",$G50&lt;&gt;"",OR(NOT(ISNUMBER($G50)),$G50&lt;=0,$G50&gt;1)),"Peso fuera de rango"&amp;" · ","")&amp;IF(AND($S50="Sub",$G50&lt;&gt;""),"Las subactividades no llevan peso"&amp;" · ","")&amp;IF(AND($S50="Macro",ABS(SUMIFS($G$5:$G$1000,$P$5:$P$1000,$P50,$S$5:$S$1000,"Macro")-1)&gt;0.0001),"Pesos del mes suman "&amp;TEXT(SUMIFS($G$5:$G$1000,$P$5:$P$1000,$P50,$S$5:$S$1000,"Macro"),"0%")&amp;" · ","")&amp;IF(AND(N($T50)&gt;0,COUNT($H50:$K50)&gt;0),"Con subactividades: deje vacías las semanas (se calculan solas)"&amp;" · ","")&amp;IF((COUNTIF($H50:$K50,"&gt;1")+COUNTIF($H50:$K50,"&lt;0")+COUNTA($H50:$K50)-COUNT($H50:$K50))&gt;0,"Avance fuera de rango 0-100%"&amp;" · ","")&amp;IF(OR(AND($I50&lt;&gt;"",$I50&lt;$H50),AND($J50&lt;&gt;"",$J50&lt;MAX($H50:$I50)),AND($K50&lt;&gt;"",$K50&lt;MAX($H50:$J50))),"Avance semanal decreciente"&amp;" · ","")&amp;IF(AND(ISNUMBER($F50),$F50&lt;FechaRef,N($L50)&lt;1),"Vencida"&amp;" · ","")&amp;IF(AND(ObsObligatoria="Sí",ISNUMBER($F50),$F50&lt;FechaRef,N($L50)&lt;1,$N50=""),"Vencida sin observación"&amp;" · ",""))="","✔ OK","⚠ "&amp;LEFT(IF(AND($S50="Macro",$B50=""),"Macroactividad vacía"&amp;" · ","")&amp;IF(AND($B50&lt;&gt;"",$C50&lt;&gt;""),"Escriba la subactividad en otra fila, debajo de su macroactividad"&amp;" · ","")&amp;IF(AND($S50="Sub",N($R50)=0),"Subactividad sin macroactividad arriba"&amp;" · ","")&amp;IF($D50="","Sin responsable"&amp;" · ","")&amp;IF($E50="","Sin fecha de inicio"&amp;" · ","")&amp;IF($F50="","Sin fecha límite"&amp;" · ","")&amp;IF(OR(AND($E50&lt;&gt;"",NOT(ISNUMBER($E50))),AND($F50&lt;&gt;"",NOT(ISNUMBER($F50)))),"Fecha no válida"&amp;" · ","")&amp;IF(AND(ISNUMBER($E50),ISNUMBER($F50),$E50&gt;$F50),"Inicio posterior a fecha límite"&amp;" · ","")&amp;IF(AND($S50="Macro",$G50=""),"Peso vacío"&amp;" · ","")&amp;IF(AND($S50="Macro",$G50&lt;&gt;"",OR(NOT(ISNUMBER($G50)),$G50&lt;=0,$G50&gt;1)),"Peso fuera de rango"&amp;" · ","")&amp;IF(AND($S50="Sub",$G50&lt;&gt;""),"Las subactividades no llevan peso"&amp;" · ","")&amp;IF(AND($S50="Macro",ABS(SUMIFS($G$5:$G$1000,$P$5:$P$1000,$P50,$S$5:$S$1000,"Macro")-1)&gt;0.0001),"Pesos del mes suman "&amp;TEXT(SUMIFS($G$5:$G$1000,$P$5:$P$1000,$P50,$S$5:$S$1000,"Macro"),"0%")&amp;" · ","")&amp;IF(AND(N($T50)&gt;0,COUNT($H50:$K50)&gt;0),"Con subactividades: deje vacías las semanas (se calculan solas)"&amp;" · ","")&amp;IF((COUNTIF($H50:$K50,"&gt;1")+COUNTIF($H50:$K50,"&lt;0")+COUNTA($H50:$K50)-COUNT($H50:$K50))&gt;0,"Avance fuera de rango 0-100%"&amp;" · ","")&amp;IF(OR(AND($I50&lt;&gt;"",$I50&lt;$H50),AND($J50&lt;&gt;"",$J50&lt;MAX($H50:$I50)),AND($K50&lt;&gt;"",$K50&lt;MAX($H50:$J50))),"Avance semanal decreciente"&amp;" · ","")&amp;IF(AND(ISNUMBER($F50),$F50&lt;FechaRef,N($L50)&lt;1),"Vencida"&amp;" · ","")&amp;IF(AND(ObsObligatoria="Sí",ISNUMBER($F50),$F50&lt;FechaRef,N($L50)&lt;1,$N50=""),"Vencida sin observación"&amp;" · ",""),LEN(IF(AND($S50="Macro",$B50=""),"Macroactividad vacía"&amp;" · ","")&amp;IF(AND($B50&lt;&gt;"",$C50&lt;&gt;""),"Escriba la subactividad en otra fila, debajo de su macroactividad"&amp;" · ","")&amp;IF(AND($S50="Sub",N($R50)=0),"Subactividad sin macroactividad arriba"&amp;" · ","")&amp;IF($D50="","Sin responsable"&amp;" · ","")&amp;IF($E50="","Sin fecha de inicio"&amp;" · ","")&amp;IF($F50="","Sin fecha límite"&amp;" · ","")&amp;IF(OR(AND($E50&lt;&gt;"",NOT(ISNUMBER($E50))),AND($F50&lt;&gt;"",NOT(ISNUMBER($F50)))),"Fecha no válida"&amp;" · ","")&amp;IF(AND(ISNUMBER($E50),ISNUMBER($F50),$E50&gt;$F50),"Inicio posterior a fecha límite"&amp;" · ","")&amp;IF(AND($S50="Macro",$G50=""),"Peso vacío"&amp;" · ","")&amp;IF(AND($S50="Macro",$G50&lt;&gt;"",OR(NOT(ISNUMBER($G50)),$G50&lt;=0,$G50&gt;1)),"Peso fuera de rango"&amp;" · ","")&amp;IF(AND($S50="Sub",$G50&lt;&gt;""),"Las subactividades no llevan peso"&amp;" · ","")&amp;IF(AND($S50="Macro",ABS(SUMIFS($G$5:$G$1000,$P$5:$P$1000,$P50,$S$5:$S$1000,"Macro")-1)&gt;0.0001),"Pesos del mes suman "&amp;TEXT(SUMIFS($G$5:$G$1000,$P$5:$P$1000,$P50,$S$5:$S$1000,"Macro"),"0%")&amp;" · ","")&amp;IF(AND(N($T50)&gt;0,COUNT($H50:$K50)&gt;0),"Con subactividades: deje vacías las semanas (se calculan solas)"&amp;" · ","")&amp;IF((COUNTIF($H50:$K50,"&gt;1")+COUNTIF($H50:$K50,"&lt;0")+COUNTA($H50:$K50)-COUNT($H50:$K50))&gt;0,"Avance fuera de rango 0-100%"&amp;" · ","")&amp;IF(OR(AND($I50&lt;&gt;"",$I50&lt;$H50),AND($J50&lt;&gt;"",$J50&lt;MAX($H50:$I50)),AND($K50&lt;&gt;"",$K50&lt;MAX($H50:$J50))),"Avance semanal decreciente"&amp;" · ","")&amp;IF(AND(ISNUMBER($F50),$F50&lt;FechaRef,N($L50)&lt;1),"Vencida"&amp;" · ","")&amp;IF(AND(ObsObligatoria="Sí",ISNUMBER($F50),$F50&lt;FechaRef,N($L50)&lt;1,$N50=""),"Vencida sin observación"&amp;" · ",""))-3)))</f>
        <v/>
      </c>
      <c r="P50" s="69">
        <f>IF(NOT((COUNTA($B50:$K50)+COUNTA($N50))&gt;0),"",IF(AND($S50="Sub",N($R50)&gt;0),IF(ISNUMBER(INDEX($E$5:$E$1000,$R50-4)),DATE(YEAR(INDEX($E$5:$E$1000,$R50-4)),MONTH(INDEX($E$5:$E$1000,$R50-4)),1),IF(ISNUMBER(INDEX($F$5:$F$1000,$R50-4)),DATE(YEAR(INDEX($F$5:$F$1000,$R50-4)),MONTH(INDEX($F$5:$F$1000,$R50-4)),1),MesCiclo)),IF(ISNUMBER($E50),DATE(YEAR($E50),MONTH($E50),1),IF(ISNUMBER($F50),DATE(YEAR($F50),MONTH($F50),1),MesCiclo))))</f>
        <v/>
      </c>
      <c r="Q50" s="70">
        <f>IF(OR($P50="",$P50&lt;&gt;MesCiclo),"",COUNTIF($P$5:$P50,MesCiclo))</f>
        <v/>
      </c>
      <c r="R50" s="70">
        <f>IF($S50="","",IF($S50="Macro",ROW(),IFERROR(LOOKUP(2,1/($S$5:$S50="Macro"),ROW($S$5:$S50)),0)))</f>
        <v/>
      </c>
      <c r="S50" s="70">
        <f>IF(NOT((COUNTA($B50:$K50)+COUNTA($N50))&gt;0),"",IF($B50&lt;&gt;"","Macro",IF($C50&lt;&gt;"","Sub","Macro")))</f>
        <v/>
      </c>
      <c r="T50" s="70">
        <f>IF($S50="Macro",COUNTIFS($R$5:$R$1000,ROW(),$S$5:$S$1000,"Sub"),"")</f>
        <v/>
      </c>
      <c r="U50" s="70">
        <f>IF($S50="","",IF(ISNUMBER($H50),$H50,0))</f>
        <v/>
      </c>
      <c r="V50" s="70">
        <f>IF($S50="","",IF(ISNUMBER($I50),$I50,$U50))</f>
        <v/>
      </c>
      <c r="W50" s="70">
        <f>IF($S50="","",IF(ISNUMBER($J50),$J50,$V50))</f>
        <v/>
      </c>
      <c r="X50" s="70">
        <f>IF($S50="","",IF(ISNUMBER($K50),$K50,$W50))</f>
        <v/>
      </c>
      <c r="Y50" s="70">
        <f>IF($S50="","",IF(N($T50)&gt;0,AVERAGEIFS($U$5:$U$1000,$R$5:$R$1000,ROW(),$S$5:$S$1000,"Sub"),$U50))</f>
        <v/>
      </c>
      <c r="Z50" s="70">
        <f>IF($S50="","",IF(N($T50)&gt;0,AVERAGEIFS($V$5:$V$1000,$R$5:$R$1000,ROW(),$S$5:$S$1000,"Sub"),$V50))</f>
        <v/>
      </c>
      <c r="AA50" s="70">
        <f>IF($S50="","",IF(N($T50)&gt;0,AVERAGEIFS($W$5:$W$1000,$R$5:$R$1000,ROW(),$S$5:$S$1000,"Sub"),$W50))</f>
        <v/>
      </c>
      <c r="AB50" s="70">
        <f>IF($S50="","",IF(N($T50)&gt;0,AVERAGEIFS($X$5:$X$1000,$R$5:$R$1000,ROW(),$S$5:$S$1000,"Sub"),$X50))</f>
        <v/>
      </c>
    </row>
    <row r="51">
      <c r="A51" s="61">
        <f>IF(NOT((COUNTA($B51:$K51)+COUNTA($N51))&gt;0),"",IF($S51="Macro",COUNTIFS($S$5:$S51,"Macro",$P$5:$P51,$P51),IF(N($R51)=0,"?",COUNTIFS(INDEX($S$5:$S$1000,1):INDEX($S$5:$S$1000,$R51-4),"Macro",INDEX($P$5:$P$1000,1):INDEX($P$5:$P$1000,$R51-4),INDEX($P$5:$P$1000,$R51-4))&amp;"."&amp;COUNTIFS($R$5:$R51,$R51,$S$5:$S51,"Sub"))))</f>
        <v/>
      </c>
      <c r="B51" s="62" t="n"/>
      <c r="C51" s="63" t="n"/>
      <c r="D51" s="62" t="n"/>
      <c r="E51" s="64" t="n"/>
      <c r="F51" s="64" t="n"/>
      <c r="G51" s="65" t="n"/>
      <c r="H51" s="66" t="n"/>
      <c r="I51" s="66" t="n"/>
      <c r="J51" s="66" t="n"/>
      <c r="K51" s="66" t="n"/>
      <c r="L51" s="67">
        <f>IF(NOT((COUNTA($B51:$K51)+COUNTA($N51))&gt;0),"",IF(N($T51)&gt;0,$AB51,IFERROR(LOOKUP(2,1/(H51:K51&lt;&gt;""),H51:K51),0)))</f>
        <v/>
      </c>
      <c r="M51" s="61">
        <f>IF(L51="","",IF(L51&gt;=1,"Completado",IF(L51&gt;0,"En curso","Pendiente")))</f>
        <v/>
      </c>
      <c r="N51" s="62" t="n"/>
      <c r="O51" s="68">
        <f>IF(NOT((COUNTA($B51:$K51)+COUNTA($N51))&gt;0),"",IF((IF(AND($S51="Macro",$B51=""),"Macroactividad vacía"&amp;" · ","")&amp;IF(AND($B51&lt;&gt;"",$C51&lt;&gt;""),"Escriba la subactividad en otra fila, debajo de su macroactividad"&amp;" · ","")&amp;IF(AND($S51="Sub",N($R51)=0),"Subactividad sin macroactividad arriba"&amp;" · ","")&amp;IF($D51="","Sin responsable"&amp;" · ","")&amp;IF($E51="","Sin fecha de inicio"&amp;" · ","")&amp;IF($F51="","Sin fecha límite"&amp;" · ","")&amp;IF(OR(AND($E51&lt;&gt;"",NOT(ISNUMBER($E51))),AND($F51&lt;&gt;"",NOT(ISNUMBER($F51)))),"Fecha no válida"&amp;" · ","")&amp;IF(AND(ISNUMBER($E51),ISNUMBER($F51),$E51&gt;$F51),"Inicio posterior a fecha límite"&amp;" · ","")&amp;IF(AND($S51="Macro",$G51=""),"Peso vacío"&amp;" · ","")&amp;IF(AND($S51="Macro",$G51&lt;&gt;"",OR(NOT(ISNUMBER($G51)),$G51&lt;=0,$G51&gt;1)),"Peso fuera de rango"&amp;" · ","")&amp;IF(AND($S51="Sub",$G51&lt;&gt;""),"Las subactividades no llevan peso"&amp;" · ","")&amp;IF(AND($S51="Macro",ABS(SUMIFS($G$5:$G$1000,$P$5:$P$1000,$P51,$S$5:$S$1000,"Macro")-1)&gt;0.0001),"Pesos del mes suman "&amp;TEXT(SUMIFS($G$5:$G$1000,$P$5:$P$1000,$P51,$S$5:$S$1000,"Macro"),"0%")&amp;" · ","")&amp;IF(AND(N($T51)&gt;0,COUNT($H51:$K51)&gt;0),"Con subactividades: deje vacías las semanas (se calculan solas)"&amp;" · ","")&amp;IF((COUNTIF($H51:$K51,"&gt;1")+COUNTIF($H51:$K51,"&lt;0")+COUNTA($H51:$K51)-COUNT($H51:$K51))&gt;0,"Avance fuera de rango 0-100%"&amp;" · ","")&amp;IF(OR(AND($I51&lt;&gt;"",$I51&lt;$H51),AND($J51&lt;&gt;"",$J51&lt;MAX($H51:$I51)),AND($K51&lt;&gt;"",$K51&lt;MAX($H51:$J51))),"Avance semanal decreciente"&amp;" · ","")&amp;IF(AND(ISNUMBER($F51),$F51&lt;FechaRef,N($L51)&lt;1),"Vencida"&amp;" · ","")&amp;IF(AND(ObsObligatoria="Sí",ISNUMBER($F51),$F51&lt;FechaRef,N($L51)&lt;1,$N51=""),"Vencida sin observación"&amp;" · ",""))="","✔ OK","⚠ "&amp;LEFT(IF(AND($S51="Macro",$B51=""),"Macroactividad vacía"&amp;" · ","")&amp;IF(AND($B51&lt;&gt;"",$C51&lt;&gt;""),"Escriba la subactividad en otra fila, debajo de su macroactividad"&amp;" · ","")&amp;IF(AND($S51="Sub",N($R51)=0),"Subactividad sin macroactividad arriba"&amp;" · ","")&amp;IF($D51="","Sin responsable"&amp;" · ","")&amp;IF($E51="","Sin fecha de inicio"&amp;" · ","")&amp;IF($F51="","Sin fecha límite"&amp;" · ","")&amp;IF(OR(AND($E51&lt;&gt;"",NOT(ISNUMBER($E51))),AND($F51&lt;&gt;"",NOT(ISNUMBER($F51)))),"Fecha no válida"&amp;" · ","")&amp;IF(AND(ISNUMBER($E51),ISNUMBER($F51),$E51&gt;$F51),"Inicio posterior a fecha límite"&amp;" · ","")&amp;IF(AND($S51="Macro",$G51=""),"Peso vacío"&amp;" · ","")&amp;IF(AND($S51="Macro",$G51&lt;&gt;"",OR(NOT(ISNUMBER($G51)),$G51&lt;=0,$G51&gt;1)),"Peso fuera de rango"&amp;" · ","")&amp;IF(AND($S51="Sub",$G51&lt;&gt;""),"Las subactividades no llevan peso"&amp;" · ","")&amp;IF(AND($S51="Macro",ABS(SUMIFS($G$5:$G$1000,$P$5:$P$1000,$P51,$S$5:$S$1000,"Macro")-1)&gt;0.0001),"Pesos del mes suman "&amp;TEXT(SUMIFS($G$5:$G$1000,$P$5:$P$1000,$P51,$S$5:$S$1000,"Macro"),"0%")&amp;" · ","")&amp;IF(AND(N($T51)&gt;0,COUNT($H51:$K51)&gt;0),"Con subactividades: deje vacías las semanas (se calculan solas)"&amp;" · ","")&amp;IF((COUNTIF($H51:$K51,"&gt;1")+COUNTIF($H51:$K51,"&lt;0")+COUNTA($H51:$K51)-COUNT($H51:$K51))&gt;0,"Avance fuera de rango 0-100%"&amp;" · ","")&amp;IF(OR(AND($I51&lt;&gt;"",$I51&lt;$H51),AND($J51&lt;&gt;"",$J51&lt;MAX($H51:$I51)),AND($K51&lt;&gt;"",$K51&lt;MAX($H51:$J51))),"Avance semanal decreciente"&amp;" · ","")&amp;IF(AND(ISNUMBER($F51),$F51&lt;FechaRef,N($L51)&lt;1),"Vencida"&amp;" · ","")&amp;IF(AND(ObsObligatoria="Sí",ISNUMBER($F51),$F51&lt;FechaRef,N($L51)&lt;1,$N51=""),"Vencida sin observación"&amp;" · ",""),LEN(IF(AND($S51="Macro",$B51=""),"Macroactividad vacía"&amp;" · ","")&amp;IF(AND($B51&lt;&gt;"",$C51&lt;&gt;""),"Escriba la subactividad en otra fila, debajo de su macroactividad"&amp;" · ","")&amp;IF(AND($S51="Sub",N($R51)=0),"Subactividad sin macroactividad arriba"&amp;" · ","")&amp;IF($D51="","Sin responsable"&amp;" · ","")&amp;IF($E51="","Sin fecha de inicio"&amp;" · ","")&amp;IF($F51="","Sin fecha límite"&amp;" · ","")&amp;IF(OR(AND($E51&lt;&gt;"",NOT(ISNUMBER($E51))),AND($F51&lt;&gt;"",NOT(ISNUMBER($F51)))),"Fecha no válida"&amp;" · ","")&amp;IF(AND(ISNUMBER($E51),ISNUMBER($F51),$E51&gt;$F51),"Inicio posterior a fecha límite"&amp;" · ","")&amp;IF(AND($S51="Macro",$G51=""),"Peso vacío"&amp;" · ","")&amp;IF(AND($S51="Macro",$G51&lt;&gt;"",OR(NOT(ISNUMBER($G51)),$G51&lt;=0,$G51&gt;1)),"Peso fuera de rango"&amp;" · ","")&amp;IF(AND($S51="Sub",$G51&lt;&gt;""),"Las subactividades no llevan peso"&amp;" · ","")&amp;IF(AND($S51="Macro",ABS(SUMIFS($G$5:$G$1000,$P$5:$P$1000,$P51,$S$5:$S$1000,"Macro")-1)&gt;0.0001),"Pesos del mes suman "&amp;TEXT(SUMIFS($G$5:$G$1000,$P$5:$P$1000,$P51,$S$5:$S$1000,"Macro"),"0%")&amp;" · ","")&amp;IF(AND(N($T51)&gt;0,COUNT($H51:$K51)&gt;0),"Con subactividades: deje vacías las semanas (se calculan solas)"&amp;" · ","")&amp;IF((COUNTIF($H51:$K51,"&gt;1")+COUNTIF($H51:$K51,"&lt;0")+COUNTA($H51:$K51)-COUNT($H51:$K51))&gt;0,"Avance fuera de rango 0-100%"&amp;" · ","")&amp;IF(OR(AND($I51&lt;&gt;"",$I51&lt;$H51),AND($J51&lt;&gt;"",$J51&lt;MAX($H51:$I51)),AND($K51&lt;&gt;"",$K51&lt;MAX($H51:$J51))),"Avance semanal decreciente"&amp;" · ","")&amp;IF(AND(ISNUMBER($F51),$F51&lt;FechaRef,N($L51)&lt;1),"Vencida"&amp;" · ","")&amp;IF(AND(ObsObligatoria="Sí",ISNUMBER($F51),$F51&lt;FechaRef,N($L51)&lt;1,$N51=""),"Vencida sin observación"&amp;" · ",""))-3)))</f>
        <v/>
      </c>
      <c r="P51" s="69">
        <f>IF(NOT((COUNTA($B51:$K51)+COUNTA($N51))&gt;0),"",IF(AND($S51="Sub",N($R51)&gt;0),IF(ISNUMBER(INDEX($E$5:$E$1000,$R51-4)),DATE(YEAR(INDEX($E$5:$E$1000,$R51-4)),MONTH(INDEX($E$5:$E$1000,$R51-4)),1),IF(ISNUMBER(INDEX($F$5:$F$1000,$R51-4)),DATE(YEAR(INDEX($F$5:$F$1000,$R51-4)),MONTH(INDEX($F$5:$F$1000,$R51-4)),1),MesCiclo)),IF(ISNUMBER($E51),DATE(YEAR($E51),MONTH($E51),1),IF(ISNUMBER($F51),DATE(YEAR($F51),MONTH($F51),1),MesCiclo))))</f>
        <v/>
      </c>
      <c r="Q51" s="70">
        <f>IF(OR($P51="",$P51&lt;&gt;MesCiclo),"",COUNTIF($P$5:$P51,MesCiclo))</f>
        <v/>
      </c>
      <c r="R51" s="70">
        <f>IF($S51="","",IF($S51="Macro",ROW(),IFERROR(LOOKUP(2,1/($S$5:$S51="Macro"),ROW($S$5:$S51)),0)))</f>
        <v/>
      </c>
      <c r="S51" s="70">
        <f>IF(NOT((COUNTA($B51:$K51)+COUNTA($N51))&gt;0),"",IF($B51&lt;&gt;"","Macro",IF($C51&lt;&gt;"","Sub","Macro")))</f>
        <v/>
      </c>
      <c r="T51" s="70">
        <f>IF($S51="Macro",COUNTIFS($R$5:$R$1000,ROW(),$S$5:$S$1000,"Sub"),"")</f>
        <v/>
      </c>
      <c r="U51" s="70">
        <f>IF($S51="","",IF(ISNUMBER($H51),$H51,0))</f>
        <v/>
      </c>
      <c r="V51" s="70">
        <f>IF($S51="","",IF(ISNUMBER($I51),$I51,$U51))</f>
        <v/>
      </c>
      <c r="W51" s="70">
        <f>IF($S51="","",IF(ISNUMBER($J51),$J51,$V51))</f>
        <v/>
      </c>
      <c r="X51" s="70">
        <f>IF($S51="","",IF(ISNUMBER($K51),$K51,$W51))</f>
        <v/>
      </c>
      <c r="Y51" s="70">
        <f>IF($S51="","",IF(N($T51)&gt;0,AVERAGEIFS($U$5:$U$1000,$R$5:$R$1000,ROW(),$S$5:$S$1000,"Sub"),$U51))</f>
        <v/>
      </c>
      <c r="Z51" s="70">
        <f>IF($S51="","",IF(N($T51)&gt;0,AVERAGEIFS($V$5:$V$1000,$R$5:$R$1000,ROW(),$S$5:$S$1000,"Sub"),$V51))</f>
        <v/>
      </c>
      <c r="AA51" s="70">
        <f>IF($S51="","",IF(N($T51)&gt;0,AVERAGEIFS($W$5:$W$1000,$R$5:$R$1000,ROW(),$S$5:$S$1000,"Sub"),$W51))</f>
        <v/>
      </c>
      <c r="AB51" s="70">
        <f>IF($S51="","",IF(N($T51)&gt;0,AVERAGEIFS($X$5:$X$1000,$R$5:$R$1000,ROW(),$S$5:$S$1000,"Sub"),$X51))</f>
        <v/>
      </c>
    </row>
    <row r="52">
      <c r="A52" s="61">
        <f>IF(NOT((COUNTA($B52:$K52)+COUNTA($N52))&gt;0),"",IF($S52="Macro",COUNTIFS($S$5:$S52,"Macro",$P$5:$P52,$P52),IF(N($R52)=0,"?",COUNTIFS(INDEX($S$5:$S$1000,1):INDEX($S$5:$S$1000,$R52-4),"Macro",INDEX($P$5:$P$1000,1):INDEX($P$5:$P$1000,$R52-4),INDEX($P$5:$P$1000,$R52-4))&amp;"."&amp;COUNTIFS($R$5:$R52,$R52,$S$5:$S52,"Sub"))))</f>
        <v/>
      </c>
      <c r="B52" s="62" t="n"/>
      <c r="C52" s="63" t="n"/>
      <c r="D52" s="62" t="n"/>
      <c r="E52" s="64" t="n"/>
      <c r="F52" s="64" t="n"/>
      <c r="G52" s="65" t="n"/>
      <c r="H52" s="66" t="n"/>
      <c r="I52" s="66" t="n"/>
      <c r="J52" s="66" t="n"/>
      <c r="K52" s="66" t="n"/>
      <c r="L52" s="67">
        <f>IF(NOT((COUNTA($B52:$K52)+COUNTA($N52))&gt;0),"",IF(N($T52)&gt;0,$AB52,IFERROR(LOOKUP(2,1/(H52:K52&lt;&gt;""),H52:K52),0)))</f>
        <v/>
      </c>
      <c r="M52" s="61">
        <f>IF(L52="","",IF(L52&gt;=1,"Completado",IF(L52&gt;0,"En curso","Pendiente")))</f>
        <v/>
      </c>
      <c r="N52" s="62" t="n"/>
      <c r="O52" s="68">
        <f>IF(NOT((COUNTA($B52:$K52)+COUNTA($N52))&gt;0),"",IF((IF(AND($S52="Macro",$B52=""),"Macroactividad vacía"&amp;" · ","")&amp;IF(AND($B52&lt;&gt;"",$C52&lt;&gt;""),"Escriba la subactividad en otra fila, debajo de su macroactividad"&amp;" · ","")&amp;IF(AND($S52="Sub",N($R52)=0),"Subactividad sin macroactividad arriba"&amp;" · ","")&amp;IF($D52="","Sin responsable"&amp;" · ","")&amp;IF($E52="","Sin fecha de inicio"&amp;" · ","")&amp;IF($F52="","Sin fecha límite"&amp;" · ","")&amp;IF(OR(AND($E52&lt;&gt;"",NOT(ISNUMBER($E52))),AND($F52&lt;&gt;"",NOT(ISNUMBER($F52)))),"Fecha no válida"&amp;" · ","")&amp;IF(AND(ISNUMBER($E52),ISNUMBER($F52),$E52&gt;$F52),"Inicio posterior a fecha límite"&amp;" · ","")&amp;IF(AND($S52="Macro",$G52=""),"Peso vacío"&amp;" · ","")&amp;IF(AND($S52="Macro",$G52&lt;&gt;"",OR(NOT(ISNUMBER($G52)),$G52&lt;=0,$G52&gt;1)),"Peso fuera de rango"&amp;" · ","")&amp;IF(AND($S52="Sub",$G52&lt;&gt;""),"Las subactividades no llevan peso"&amp;" · ","")&amp;IF(AND($S52="Macro",ABS(SUMIFS($G$5:$G$1000,$P$5:$P$1000,$P52,$S$5:$S$1000,"Macro")-1)&gt;0.0001),"Pesos del mes suman "&amp;TEXT(SUMIFS($G$5:$G$1000,$P$5:$P$1000,$P52,$S$5:$S$1000,"Macro"),"0%")&amp;" · ","")&amp;IF(AND(N($T52)&gt;0,COUNT($H52:$K52)&gt;0),"Con subactividades: deje vacías las semanas (se calculan solas)"&amp;" · ","")&amp;IF((COUNTIF($H52:$K52,"&gt;1")+COUNTIF($H52:$K52,"&lt;0")+COUNTA($H52:$K52)-COUNT($H52:$K52))&gt;0,"Avance fuera de rango 0-100%"&amp;" · ","")&amp;IF(OR(AND($I52&lt;&gt;"",$I52&lt;$H52),AND($J52&lt;&gt;"",$J52&lt;MAX($H52:$I52)),AND($K52&lt;&gt;"",$K52&lt;MAX($H52:$J52))),"Avance semanal decreciente"&amp;" · ","")&amp;IF(AND(ISNUMBER($F52),$F52&lt;FechaRef,N($L52)&lt;1),"Vencida"&amp;" · ","")&amp;IF(AND(ObsObligatoria="Sí",ISNUMBER($F52),$F52&lt;FechaRef,N($L52)&lt;1,$N52=""),"Vencida sin observación"&amp;" · ",""))="","✔ OK","⚠ "&amp;LEFT(IF(AND($S52="Macro",$B52=""),"Macroactividad vacía"&amp;" · ","")&amp;IF(AND($B52&lt;&gt;"",$C52&lt;&gt;""),"Escriba la subactividad en otra fila, debajo de su macroactividad"&amp;" · ","")&amp;IF(AND($S52="Sub",N($R52)=0),"Subactividad sin macroactividad arriba"&amp;" · ","")&amp;IF($D52="","Sin responsable"&amp;" · ","")&amp;IF($E52="","Sin fecha de inicio"&amp;" · ","")&amp;IF($F52="","Sin fecha límite"&amp;" · ","")&amp;IF(OR(AND($E52&lt;&gt;"",NOT(ISNUMBER($E52))),AND($F52&lt;&gt;"",NOT(ISNUMBER($F52)))),"Fecha no válida"&amp;" · ","")&amp;IF(AND(ISNUMBER($E52),ISNUMBER($F52),$E52&gt;$F52),"Inicio posterior a fecha límite"&amp;" · ","")&amp;IF(AND($S52="Macro",$G52=""),"Peso vacío"&amp;" · ","")&amp;IF(AND($S52="Macro",$G52&lt;&gt;"",OR(NOT(ISNUMBER($G52)),$G52&lt;=0,$G52&gt;1)),"Peso fuera de rango"&amp;" · ","")&amp;IF(AND($S52="Sub",$G52&lt;&gt;""),"Las subactividades no llevan peso"&amp;" · ","")&amp;IF(AND($S52="Macro",ABS(SUMIFS($G$5:$G$1000,$P$5:$P$1000,$P52,$S$5:$S$1000,"Macro")-1)&gt;0.0001),"Pesos del mes suman "&amp;TEXT(SUMIFS($G$5:$G$1000,$P$5:$P$1000,$P52,$S$5:$S$1000,"Macro"),"0%")&amp;" · ","")&amp;IF(AND(N($T52)&gt;0,COUNT($H52:$K52)&gt;0),"Con subactividades: deje vacías las semanas (se calculan solas)"&amp;" · ","")&amp;IF((COUNTIF($H52:$K52,"&gt;1")+COUNTIF($H52:$K52,"&lt;0")+COUNTA($H52:$K52)-COUNT($H52:$K52))&gt;0,"Avance fuera de rango 0-100%"&amp;" · ","")&amp;IF(OR(AND($I52&lt;&gt;"",$I52&lt;$H52),AND($J52&lt;&gt;"",$J52&lt;MAX($H52:$I52)),AND($K52&lt;&gt;"",$K52&lt;MAX($H52:$J52))),"Avance semanal decreciente"&amp;" · ","")&amp;IF(AND(ISNUMBER($F52),$F52&lt;FechaRef,N($L52)&lt;1),"Vencida"&amp;" · ","")&amp;IF(AND(ObsObligatoria="Sí",ISNUMBER($F52),$F52&lt;FechaRef,N($L52)&lt;1,$N52=""),"Vencida sin observación"&amp;" · ",""),LEN(IF(AND($S52="Macro",$B52=""),"Macroactividad vacía"&amp;" · ","")&amp;IF(AND($B52&lt;&gt;"",$C52&lt;&gt;""),"Escriba la subactividad en otra fila, debajo de su macroactividad"&amp;" · ","")&amp;IF(AND($S52="Sub",N($R52)=0),"Subactividad sin macroactividad arriba"&amp;" · ","")&amp;IF($D52="","Sin responsable"&amp;" · ","")&amp;IF($E52="","Sin fecha de inicio"&amp;" · ","")&amp;IF($F52="","Sin fecha límite"&amp;" · ","")&amp;IF(OR(AND($E52&lt;&gt;"",NOT(ISNUMBER($E52))),AND($F52&lt;&gt;"",NOT(ISNUMBER($F52)))),"Fecha no válida"&amp;" · ","")&amp;IF(AND(ISNUMBER($E52),ISNUMBER($F52),$E52&gt;$F52),"Inicio posterior a fecha límite"&amp;" · ","")&amp;IF(AND($S52="Macro",$G52=""),"Peso vacío"&amp;" · ","")&amp;IF(AND($S52="Macro",$G52&lt;&gt;"",OR(NOT(ISNUMBER($G52)),$G52&lt;=0,$G52&gt;1)),"Peso fuera de rango"&amp;" · ","")&amp;IF(AND($S52="Sub",$G52&lt;&gt;""),"Las subactividades no llevan peso"&amp;" · ","")&amp;IF(AND($S52="Macro",ABS(SUMIFS($G$5:$G$1000,$P$5:$P$1000,$P52,$S$5:$S$1000,"Macro")-1)&gt;0.0001),"Pesos del mes suman "&amp;TEXT(SUMIFS($G$5:$G$1000,$P$5:$P$1000,$P52,$S$5:$S$1000,"Macro"),"0%")&amp;" · ","")&amp;IF(AND(N($T52)&gt;0,COUNT($H52:$K52)&gt;0),"Con subactividades: deje vacías las semanas (se calculan solas)"&amp;" · ","")&amp;IF((COUNTIF($H52:$K52,"&gt;1")+COUNTIF($H52:$K52,"&lt;0")+COUNTA($H52:$K52)-COUNT($H52:$K52))&gt;0,"Avance fuera de rango 0-100%"&amp;" · ","")&amp;IF(OR(AND($I52&lt;&gt;"",$I52&lt;$H52),AND($J52&lt;&gt;"",$J52&lt;MAX($H52:$I52)),AND($K52&lt;&gt;"",$K52&lt;MAX($H52:$J52))),"Avance semanal decreciente"&amp;" · ","")&amp;IF(AND(ISNUMBER($F52),$F52&lt;FechaRef,N($L52)&lt;1),"Vencida"&amp;" · ","")&amp;IF(AND(ObsObligatoria="Sí",ISNUMBER($F52),$F52&lt;FechaRef,N($L52)&lt;1,$N52=""),"Vencida sin observación"&amp;" · ",""))-3)))</f>
        <v/>
      </c>
      <c r="P52" s="69">
        <f>IF(NOT((COUNTA($B52:$K52)+COUNTA($N52))&gt;0),"",IF(AND($S52="Sub",N($R52)&gt;0),IF(ISNUMBER(INDEX($E$5:$E$1000,$R52-4)),DATE(YEAR(INDEX($E$5:$E$1000,$R52-4)),MONTH(INDEX($E$5:$E$1000,$R52-4)),1),IF(ISNUMBER(INDEX($F$5:$F$1000,$R52-4)),DATE(YEAR(INDEX($F$5:$F$1000,$R52-4)),MONTH(INDEX($F$5:$F$1000,$R52-4)),1),MesCiclo)),IF(ISNUMBER($E52),DATE(YEAR($E52),MONTH($E52),1),IF(ISNUMBER($F52),DATE(YEAR($F52),MONTH($F52),1),MesCiclo))))</f>
        <v/>
      </c>
      <c r="Q52" s="70">
        <f>IF(OR($P52="",$P52&lt;&gt;MesCiclo),"",COUNTIF($P$5:$P52,MesCiclo))</f>
        <v/>
      </c>
      <c r="R52" s="70">
        <f>IF($S52="","",IF($S52="Macro",ROW(),IFERROR(LOOKUP(2,1/($S$5:$S52="Macro"),ROW($S$5:$S52)),0)))</f>
        <v/>
      </c>
      <c r="S52" s="70">
        <f>IF(NOT((COUNTA($B52:$K52)+COUNTA($N52))&gt;0),"",IF($B52&lt;&gt;"","Macro",IF($C52&lt;&gt;"","Sub","Macro")))</f>
        <v/>
      </c>
      <c r="T52" s="70">
        <f>IF($S52="Macro",COUNTIFS($R$5:$R$1000,ROW(),$S$5:$S$1000,"Sub"),"")</f>
        <v/>
      </c>
      <c r="U52" s="70">
        <f>IF($S52="","",IF(ISNUMBER($H52),$H52,0))</f>
        <v/>
      </c>
      <c r="V52" s="70">
        <f>IF($S52="","",IF(ISNUMBER($I52),$I52,$U52))</f>
        <v/>
      </c>
      <c r="W52" s="70">
        <f>IF($S52="","",IF(ISNUMBER($J52),$J52,$V52))</f>
        <v/>
      </c>
      <c r="X52" s="70">
        <f>IF($S52="","",IF(ISNUMBER($K52),$K52,$W52))</f>
        <v/>
      </c>
      <c r="Y52" s="70">
        <f>IF($S52="","",IF(N($T52)&gt;0,AVERAGEIFS($U$5:$U$1000,$R$5:$R$1000,ROW(),$S$5:$S$1000,"Sub"),$U52))</f>
        <v/>
      </c>
      <c r="Z52" s="70">
        <f>IF($S52="","",IF(N($T52)&gt;0,AVERAGEIFS($V$5:$V$1000,$R$5:$R$1000,ROW(),$S$5:$S$1000,"Sub"),$V52))</f>
        <v/>
      </c>
      <c r="AA52" s="70">
        <f>IF($S52="","",IF(N($T52)&gt;0,AVERAGEIFS($W$5:$W$1000,$R$5:$R$1000,ROW(),$S$5:$S$1000,"Sub"),$W52))</f>
        <v/>
      </c>
      <c r="AB52" s="70">
        <f>IF($S52="","",IF(N($T52)&gt;0,AVERAGEIFS($X$5:$X$1000,$R$5:$R$1000,ROW(),$S$5:$S$1000,"Sub"),$X52))</f>
        <v/>
      </c>
    </row>
    <row r="53">
      <c r="A53" s="61">
        <f>IF(NOT((COUNTA($B53:$K53)+COUNTA($N53))&gt;0),"",IF($S53="Macro",COUNTIFS($S$5:$S53,"Macro",$P$5:$P53,$P53),IF(N($R53)=0,"?",COUNTIFS(INDEX($S$5:$S$1000,1):INDEX($S$5:$S$1000,$R53-4),"Macro",INDEX($P$5:$P$1000,1):INDEX($P$5:$P$1000,$R53-4),INDEX($P$5:$P$1000,$R53-4))&amp;"."&amp;COUNTIFS($R$5:$R53,$R53,$S$5:$S53,"Sub"))))</f>
        <v/>
      </c>
      <c r="B53" s="62" t="n"/>
      <c r="C53" s="63" t="n"/>
      <c r="D53" s="62" t="n"/>
      <c r="E53" s="64" t="n"/>
      <c r="F53" s="64" t="n"/>
      <c r="G53" s="65" t="n"/>
      <c r="H53" s="66" t="n"/>
      <c r="I53" s="66" t="n"/>
      <c r="J53" s="66" t="n"/>
      <c r="K53" s="66" t="n"/>
      <c r="L53" s="67">
        <f>IF(NOT((COUNTA($B53:$K53)+COUNTA($N53))&gt;0),"",IF(N($T53)&gt;0,$AB53,IFERROR(LOOKUP(2,1/(H53:K53&lt;&gt;""),H53:K53),0)))</f>
        <v/>
      </c>
      <c r="M53" s="61">
        <f>IF(L53="","",IF(L53&gt;=1,"Completado",IF(L53&gt;0,"En curso","Pendiente")))</f>
        <v/>
      </c>
      <c r="N53" s="62" t="n"/>
      <c r="O53" s="68">
        <f>IF(NOT((COUNTA($B53:$K53)+COUNTA($N53))&gt;0),"",IF((IF(AND($S53="Macro",$B53=""),"Macroactividad vacía"&amp;" · ","")&amp;IF(AND($B53&lt;&gt;"",$C53&lt;&gt;""),"Escriba la subactividad en otra fila, debajo de su macroactividad"&amp;" · ","")&amp;IF(AND($S53="Sub",N($R53)=0),"Subactividad sin macroactividad arriba"&amp;" · ","")&amp;IF($D53="","Sin responsable"&amp;" · ","")&amp;IF($E53="","Sin fecha de inicio"&amp;" · ","")&amp;IF($F53="","Sin fecha límite"&amp;" · ","")&amp;IF(OR(AND($E53&lt;&gt;"",NOT(ISNUMBER($E53))),AND($F53&lt;&gt;"",NOT(ISNUMBER($F53)))),"Fecha no válida"&amp;" · ","")&amp;IF(AND(ISNUMBER($E53),ISNUMBER($F53),$E53&gt;$F53),"Inicio posterior a fecha límite"&amp;" · ","")&amp;IF(AND($S53="Macro",$G53=""),"Peso vacío"&amp;" · ","")&amp;IF(AND($S53="Macro",$G53&lt;&gt;"",OR(NOT(ISNUMBER($G53)),$G53&lt;=0,$G53&gt;1)),"Peso fuera de rango"&amp;" · ","")&amp;IF(AND($S53="Sub",$G53&lt;&gt;""),"Las subactividades no llevan peso"&amp;" · ","")&amp;IF(AND($S53="Macro",ABS(SUMIFS($G$5:$G$1000,$P$5:$P$1000,$P53,$S$5:$S$1000,"Macro")-1)&gt;0.0001),"Pesos del mes suman "&amp;TEXT(SUMIFS($G$5:$G$1000,$P$5:$P$1000,$P53,$S$5:$S$1000,"Macro"),"0%")&amp;" · ","")&amp;IF(AND(N($T53)&gt;0,COUNT($H53:$K53)&gt;0),"Con subactividades: deje vacías las semanas (se calculan solas)"&amp;" · ","")&amp;IF((COUNTIF($H53:$K53,"&gt;1")+COUNTIF($H53:$K53,"&lt;0")+COUNTA($H53:$K53)-COUNT($H53:$K53))&gt;0,"Avance fuera de rango 0-100%"&amp;" · ","")&amp;IF(OR(AND($I53&lt;&gt;"",$I53&lt;$H53),AND($J53&lt;&gt;"",$J53&lt;MAX($H53:$I53)),AND($K53&lt;&gt;"",$K53&lt;MAX($H53:$J53))),"Avance semanal decreciente"&amp;" · ","")&amp;IF(AND(ISNUMBER($F53),$F53&lt;FechaRef,N($L53)&lt;1),"Vencida"&amp;" · ","")&amp;IF(AND(ObsObligatoria="Sí",ISNUMBER($F53),$F53&lt;FechaRef,N($L53)&lt;1,$N53=""),"Vencida sin observación"&amp;" · ",""))="","✔ OK","⚠ "&amp;LEFT(IF(AND($S53="Macro",$B53=""),"Macroactividad vacía"&amp;" · ","")&amp;IF(AND($B53&lt;&gt;"",$C53&lt;&gt;""),"Escriba la subactividad en otra fila, debajo de su macroactividad"&amp;" · ","")&amp;IF(AND($S53="Sub",N($R53)=0),"Subactividad sin macroactividad arriba"&amp;" · ","")&amp;IF($D53="","Sin responsable"&amp;" · ","")&amp;IF($E53="","Sin fecha de inicio"&amp;" · ","")&amp;IF($F53="","Sin fecha límite"&amp;" · ","")&amp;IF(OR(AND($E53&lt;&gt;"",NOT(ISNUMBER($E53))),AND($F53&lt;&gt;"",NOT(ISNUMBER($F53)))),"Fecha no válida"&amp;" · ","")&amp;IF(AND(ISNUMBER($E53),ISNUMBER($F53),$E53&gt;$F53),"Inicio posterior a fecha límite"&amp;" · ","")&amp;IF(AND($S53="Macro",$G53=""),"Peso vacío"&amp;" · ","")&amp;IF(AND($S53="Macro",$G53&lt;&gt;"",OR(NOT(ISNUMBER($G53)),$G53&lt;=0,$G53&gt;1)),"Peso fuera de rango"&amp;" · ","")&amp;IF(AND($S53="Sub",$G53&lt;&gt;""),"Las subactividades no llevan peso"&amp;" · ","")&amp;IF(AND($S53="Macro",ABS(SUMIFS($G$5:$G$1000,$P$5:$P$1000,$P53,$S$5:$S$1000,"Macro")-1)&gt;0.0001),"Pesos del mes suman "&amp;TEXT(SUMIFS($G$5:$G$1000,$P$5:$P$1000,$P53,$S$5:$S$1000,"Macro"),"0%")&amp;" · ","")&amp;IF(AND(N($T53)&gt;0,COUNT($H53:$K53)&gt;0),"Con subactividades: deje vacías las semanas (se calculan solas)"&amp;" · ","")&amp;IF((COUNTIF($H53:$K53,"&gt;1")+COUNTIF($H53:$K53,"&lt;0")+COUNTA($H53:$K53)-COUNT($H53:$K53))&gt;0,"Avance fuera de rango 0-100%"&amp;" · ","")&amp;IF(OR(AND($I53&lt;&gt;"",$I53&lt;$H53),AND($J53&lt;&gt;"",$J53&lt;MAX($H53:$I53)),AND($K53&lt;&gt;"",$K53&lt;MAX($H53:$J53))),"Avance semanal decreciente"&amp;" · ","")&amp;IF(AND(ISNUMBER($F53),$F53&lt;FechaRef,N($L53)&lt;1),"Vencida"&amp;" · ","")&amp;IF(AND(ObsObligatoria="Sí",ISNUMBER($F53),$F53&lt;FechaRef,N($L53)&lt;1,$N53=""),"Vencida sin observación"&amp;" · ",""),LEN(IF(AND($S53="Macro",$B53=""),"Macroactividad vacía"&amp;" · ","")&amp;IF(AND($B53&lt;&gt;"",$C53&lt;&gt;""),"Escriba la subactividad en otra fila, debajo de su macroactividad"&amp;" · ","")&amp;IF(AND($S53="Sub",N($R53)=0),"Subactividad sin macroactividad arriba"&amp;" · ","")&amp;IF($D53="","Sin responsable"&amp;" · ","")&amp;IF($E53="","Sin fecha de inicio"&amp;" · ","")&amp;IF($F53="","Sin fecha límite"&amp;" · ","")&amp;IF(OR(AND($E53&lt;&gt;"",NOT(ISNUMBER($E53))),AND($F53&lt;&gt;"",NOT(ISNUMBER($F53)))),"Fecha no válida"&amp;" · ","")&amp;IF(AND(ISNUMBER($E53),ISNUMBER($F53),$E53&gt;$F53),"Inicio posterior a fecha límite"&amp;" · ","")&amp;IF(AND($S53="Macro",$G53=""),"Peso vacío"&amp;" · ","")&amp;IF(AND($S53="Macro",$G53&lt;&gt;"",OR(NOT(ISNUMBER($G53)),$G53&lt;=0,$G53&gt;1)),"Peso fuera de rango"&amp;" · ","")&amp;IF(AND($S53="Sub",$G53&lt;&gt;""),"Las subactividades no llevan peso"&amp;" · ","")&amp;IF(AND($S53="Macro",ABS(SUMIFS($G$5:$G$1000,$P$5:$P$1000,$P53,$S$5:$S$1000,"Macro")-1)&gt;0.0001),"Pesos del mes suman "&amp;TEXT(SUMIFS($G$5:$G$1000,$P$5:$P$1000,$P53,$S$5:$S$1000,"Macro"),"0%")&amp;" · ","")&amp;IF(AND(N($T53)&gt;0,COUNT($H53:$K53)&gt;0),"Con subactividades: deje vacías las semanas (se calculan solas)"&amp;" · ","")&amp;IF((COUNTIF($H53:$K53,"&gt;1")+COUNTIF($H53:$K53,"&lt;0")+COUNTA($H53:$K53)-COUNT($H53:$K53))&gt;0,"Avance fuera de rango 0-100%"&amp;" · ","")&amp;IF(OR(AND($I53&lt;&gt;"",$I53&lt;$H53),AND($J53&lt;&gt;"",$J53&lt;MAX($H53:$I53)),AND($K53&lt;&gt;"",$K53&lt;MAX($H53:$J53))),"Avance semanal decreciente"&amp;" · ","")&amp;IF(AND(ISNUMBER($F53),$F53&lt;FechaRef,N($L53)&lt;1),"Vencida"&amp;" · ","")&amp;IF(AND(ObsObligatoria="Sí",ISNUMBER($F53),$F53&lt;FechaRef,N($L53)&lt;1,$N53=""),"Vencida sin observación"&amp;" · ",""))-3)))</f>
        <v/>
      </c>
      <c r="P53" s="69">
        <f>IF(NOT((COUNTA($B53:$K53)+COUNTA($N53))&gt;0),"",IF(AND($S53="Sub",N($R53)&gt;0),IF(ISNUMBER(INDEX($E$5:$E$1000,$R53-4)),DATE(YEAR(INDEX($E$5:$E$1000,$R53-4)),MONTH(INDEX($E$5:$E$1000,$R53-4)),1),IF(ISNUMBER(INDEX($F$5:$F$1000,$R53-4)),DATE(YEAR(INDEX($F$5:$F$1000,$R53-4)),MONTH(INDEX($F$5:$F$1000,$R53-4)),1),MesCiclo)),IF(ISNUMBER($E53),DATE(YEAR($E53),MONTH($E53),1),IF(ISNUMBER($F53),DATE(YEAR($F53),MONTH($F53),1),MesCiclo))))</f>
        <v/>
      </c>
      <c r="Q53" s="70">
        <f>IF(OR($P53="",$P53&lt;&gt;MesCiclo),"",COUNTIF($P$5:$P53,MesCiclo))</f>
        <v/>
      </c>
      <c r="R53" s="70">
        <f>IF($S53="","",IF($S53="Macro",ROW(),IFERROR(LOOKUP(2,1/($S$5:$S53="Macro"),ROW($S$5:$S53)),0)))</f>
        <v/>
      </c>
      <c r="S53" s="70">
        <f>IF(NOT((COUNTA($B53:$K53)+COUNTA($N53))&gt;0),"",IF($B53&lt;&gt;"","Macro",IF($C53&lt;&gt;"","Sub","Macro")))</f>
        <v/>
      </c>
      <c r="T53" s="70">
        <f>IF($S53="Macro",COUNTIFS($R$5:$R$1000,ROW(),$S$5:$S$1000,"Sub"),"")</f>
        <v/>
      </c>
      <c r="U53" s="70">
        <f>IF($S53="","",IF(ISNUMBER($H53),$H53,0))</f>
        <v/>
      </c>
      <c r="V53" s="70">
        <f>IF($S53="","",IF(ISNUMBER($I53),$I53,$U53))</f>
        <v/>
      </c>
      <c r="W53" s="70">
        <f>IF($S53="","",IF(ISNUMBER($J53),$J53,$V53))</f>
        <v/>
      </c>
      <c r="X53" s="70">
        <f>IF($S53="","",IF(ISNUMBER($K53),$K53,$W53))</f>
        <v/>
      </c>
      <c r="Y53" s="70">
        <f>IF($S53="","",IF(N($T53)&gt;0,AVERAGEIFS($U$5:$U$1000,$R$5:$R$1000,ROW(),$S$5:$S$1000,"Sub"),$U53))</f>
        <v/>
      </c>
      <c r="Z53" s="70">
        <f>IF($S53="","",IF(N($T53)&gt;0,AVERAGEIFS($V$5:$V$1000,$R$5:$R$1000,ROW(),$S$5:$S$1000,"Sub"),$V53))</f>
        <v/>
      </c>
      <c r="AA53" s="70">
        <f>IF($S53="","",IF(N($T53)&gt;0,AVERAGEIFS($W$5:$W$1000,$R$5:$R$1000,ROW(),$S$5:$S$1000,"Sub"),$W53))</f>
        <v/>
      </c>
      <c r="AB53" s="70">
        <f>IF($S53="","",IF(N($T53)&gt;0,AVERAGEIFS($X$5:$X$1000,$R$5:$R$1000,ROW(),$S$5:$S$1000,"Sub"),$X53))</f>
        <v/>
      </c>
    </row>
    <row r="54">
      <c r="A54" s="61">
        <f>IF(NOT((COUNTA($B54:$K54)+COUNTA($N54))&gt;0),"",IF($S54="Macro",COUNTIFS($S$5:$S54,"Macro",$P$5:$P54,$P54),IF(N($R54)=0,"?",COUNTIFS(INDEX($S$5:$S$1000,1):INDEX($S$5:$S$1000,$R54-4),"Macro",INDEX($P$5:$P$1000,1):INDEX($P$5:$P$1000,$R54-4),INDEX($P$5:$P$1000,$R54-4))&amp;"."&amp;COUNTIFS($R$5:$R54,$R54,$S$5:$S54,"Sub"))))</f>
        <v/>
      </c>
      <c r="B54" s="62" t="n"/>
      <c r="C54" s="63" t="n"/>
      <c r="D54" s="62" t="n"/>
      <c r="E54" s="64" t="n"/>
      <c r="F54" s="64" t="n"/>
      <c r="G54" s="65" t="n"/>
      <c r="H54" s="66" t="n"/>
      <c r="I54" s="66" t="n"/>
      <c r="J54" s="66" t="n"/>
      <c r="K54" s="66" t="n"/>
      <c r="L54" s="67">
        <f>IF(NOT((COUNTA($B54:$K54)+COUNTA($N54))&gt;0),"",IF(N($T54)&gt;0,$AB54,IFERROR(LOOKUP(2,1/(H54:K54&lt;&gt;""),H54:K54),0)))</f>
        <v/>
      </c>
      <c r="M54" s="61">
        <f>IF(L54="","",IF(L54&gt;=1,"Completado",IF(L54&gt;0,"En curso","Pendiente")))</f>
        <v/>
      </c>
      <c r="N54" s="62" t="n"/>
      <c r="O54" s="68">
        <f>IF(NOT((COUNTA($B54:$K54)+COUNTA($N54))&gt;0),"",IF((IF(AND($S54="Macro",$B54=""),"Macroactividad vacía"&amp;" · ","")&amp;IF(AND($B54&lt;&gt;"",$C54&lt;&gt;""),"Escriba la subactividad en otra fila, debajo de su macroactividad"&amp;" · ","")&amp;IF(AND($S54="Sub",N($R54)=0),"Subactividad sin macroactividad arriba"&amp;" · ","")&amp;IF($D54="","Sin responsable"&amp;" · ","")&amp;IF($E54="","Sin fecha de inicio"&amp;" · ","")&amp;IF($F54="","Sin fecha límite"&amp;" · ","")&amp;IF(OR(AND($E54&lt;&gt;"",NOT(ISNUMBER($E54))),AND($F54&lt;&gt;"",NOT(ISNUMBER($F54)))),"Fecha no válida"&amp;" · ","")&amp;IF(AND(ISNUMBER($E54),ISNUMBER($F54),$E54&gt;$F54),"Inicio posterior a fecha límite"&amp;" · ","")&amp;IF(AND($S54="Macro",$G54=""),"Peso vacío"&amp;" · ","")&amp;IF(AND($S54="Macro",$G54&lt;&gt;"",OR(NOT(ISNUMBER($G54)),$G54&lt;=0,$G54&gt;1)),"Peso fuera de rango"&amp;" · ","")&amp;IF(AND($S54="Sub",$G54&lt;&gt;""),"Las subactividades no llevan peso"&amp;" · ","")&amp;IF(AND($S54="Macro",ABS(SUMIFS($G$5:$G$1000,$P$5:$P$1000,$P54,$S$5:$S$1000,"Macro")-1)&gt;0.0001),"Pesos del mes suman "&amp;TEXT(SUMIFS($G$5:$G$1000,$P$5:$P$1000,$P54,$S$5:$S$1000,"Macro"),"0%")&amp;" · ","")&amp;IF(AND(N($T54)&gt;0,COUNT($H54:$K54)&gt;0),"Con subactividades: deje vacías las semanas (se calculan solas)"&amp;" · ","")&amp;IF((COUNTIF($H54:$K54,"&gt;1")+COUNTIF($H54:$K54,"&lt;0")+COUNTA($H54:$K54)-COUNT($H54:$K54))&gt;0,"Avance fuera de rango 0-100%"&amp;" · ","")&amp;IF(OR(AND($I54&lt;&gt;"",$I54&lt;$H54),AND($J54&lt;&gt;"",$J54&lt;MAX($H54:$I54)),AND($K54&lt;&gt;"",$K54&lt;MAX($H54:$J54))),"Avance semanal decreciente"&amp;" · ","")&amp;IF(AND(ISNUMBER($F54),$F54&lt;FechaRef,N($L54)&lt;1),"Vencida"&amp;" · ","")&amp;IF(AND(ObsObligatoria="Sí",ISNUMBER($F54),$F54&lt;FechaRef,N($L54)&lt;1,$N54=""),"Vencida sin observación"&amp;" · ",""))="","✔ OK","⚠ "&amp;LEFT(IF(AND($S54="Macro",$B54=""),"Macroactividad vacía"&amp;" · ","")&amp;IF(AND($B54&lt;&gt;"",$C54&lt;&gt;""),"Escriba la subactividad en otra fila, debajo de su macroactividad"&amp;" · ","")&amp;IF(AND($S54="Sub",N($R54)=0),"Subactividad sin macroactividad arriba"&amp;" · ","")&amp;IF($D54="","Sin responsable"&amp;" · ","")&amp;IF($E54="","Sin fecha de inicio"&amp;" · ","")&amp;IF($F54="","Sin fecha límite"&amp;" · ","")&amp;IF(OR(AND($E54&lt;&gt;"",NOT(ISNUMBER($E54))),AND($F54&lt;&gt;"",NOT(ISNUMBER($F54)))),"Fecha no válida"&amp;" · ","")&amp;IF(AND(ISNUMBER($E54),ISNUMBER($F54),$E54&gt;$F54),"Inicio posterior a fecha límite"&amp;" · ","")&amp;IF(AND($S54="Macro",$G54=""),"Peso vacío"&amp;" · ","")&amp;IF(AND($S54="Macro",$G54&lt;&gt;"",OR(NOT(ISNUMBER($G54)),$G54&lt;=0,$G54&gt;1)),"Peso fuera de rango"&amp;" · ","")&amp;IF(AND($S54="Sub",$G54&lt;&gt;""),"Las subactividades no llevan peso"&amp;" · ","")&amp;IF(AND($S54="Macro",ABS(SUMIFS($G$5:$G$1000,$P$5:$P$1000,$P54,$S$5:$S$1000,"Macro")-1)&gt;0.0001),"Pesos del mes suman "&amp;TEXT(SUMIFS($G$5:$G$1000,$P$5:$P$1000,$P54,$S$5:$S$1000,"Macro"),"0%")&amp;" · ","")&amp;IF(AND(N($T54)&gt;0,COUNT($H54:$K54)&gt;0),"Con subactividades: deje vacías las semanas (se calculan solas)"&amp;" · ","")&amp;IF((COUNTIF($H54:$K54,"&gt;1")+COUNTIF($H54:$K54,"&lt;0")+COUNTA($H54:$K54)-COUNT($H54:$K54))&gt;0,"Avance fuera de rango 0-100%"&amp;" · ","")&amp;IF(OR(AND($I54&lt;&gt;"",$I54&lt;$H54),AND($J54&lt;&gt;"",$J54&lt;MAX($H54:$I54)),AND($K54&lt;&gt;"",$K54&lt;MAX($H54:$J54))),"Avance semanal decreciente"&amp;" · ","")&amp;IF(AND(ISNUMBER($F54),$F54&lt;FechaRef,N($L54)&lt;1),"Vencida"&amp;" · ","")&amp;IF(AND(ObsObligatoria="Sí",ISNUMBER($F54),$F54&lt;FechaRef,N($L54)&lt;1,$N54=""),"Vencida sin observación"&amp;" · ",""),LEN(IF(AND($S54="Macro",$B54=""),"Macroactividad vacía"&amp;" · ","")&amp;IF(AND($B54&lt;&gt;"",$C54&lt;&gt;""),"Escriba la subactividad en otra fila, debajo de su macroactividad"&amp;" · ","")&amp;IF(AND($S54="Sub",N($R54)=0),"Subactividad sin macroactividad arriba"&amp;" · ","")&amp;IF($D54="","Sin responsable"&amp;" · ","")&amp;IF($E54="","Sin fecha de inicio"&amp;" · ","")&amp;IF($F54="","Sin fecha límite"&amp;" · ","")&amp;IF(OR(AND($E54&lt;&gt;"",NOT(ISNUMBER($E54))),AND($F54&lt;&gt;"",NOT(ISNUMBER($F54)))),"Fecha no válida"&amp;" · ","")&amp;IF(AND(ISNUMBER($E54),ISNUMBER($F54),$E54&gt;$F54),"Inicio posterior a fecha límite"&amp;" · ","")&amp;IF(AND($S54="Macro",$G54=""),"Peso vacío"&amp;" · ","")&amp;IF(AND($S54="Macro",$G54&lt;&gt;"",OR(NOT(ISNUMBER($G54)),$G54&lt;=0,$G54&gt;1)),"Peso fuera de rango"&amp;" · ","")&amp;IF(AND($S54="Sub",$G54&lt;&gt;""),"Las subactividades no llevan peso"&amp;" · ","")&amp;IF(AND($S54="Macro",ABS(SUMIFS($G$5:$G$1000,$P$5:$P$1000,$P54,$S$5:$S$1000,"Macro")-1)&gt;0.0001),"Pesos del mes suman "&amp;TEXT(SUMIFS($G$5:$G$1000,$P$5:$P$1000,$P54,$S$5:$S$1000,"Macro"),"0%")&amp;" · ","")&amp;IF(AND(N($T54)&gt;0,COUNT($H54:$K54)&gt;0),"Con subactividades: deje vacías las semanas (se calculan solas)"&amp;" · ","")&amp;IF((COUNTIF($H54:$K54,"&gt;1")+COUNTIF($H54:$K54,"&lt;0")+COUNTA($H54:$K54)-COUNT($H54:$K54))&gt;0,"Avance fuera de rango 0-100%"&amp;" · ","")&amp;IF(OR(AND($I54&lt;&gt;"",$I54&lt;$H54),AND($J54&lt;&gt;"",$J54&lt;MAX($H54:$I54)),AND($K54&lt;&gt;"",$K54&lt;MAX($H54:$J54))),"Avance semanal decreciente"&amp;" · ","")&amp;IF(AND(ISNUMBER($F54),$F54&lt;FechaRef,N($L54)&lt;1),"Vencida"&amp;" · ","")&amp;IF(AND(ObsObligatoria="Sí",ISNUMBER($F54),$F54&lt;FechaRef,N($L54)&lt;1,$N54=""),"Vencida sin observación"&amp;" · ",""))-3)))</f>
        <v/>
      </c>
      <c r="P54" s="69">
        <f>IF(NOT((COUNTA($B54:$K54)+COUNTA($N54))&gt;0),"",IF(AND($S54="Sub",N($R54)&gt;0),IF(ISNUMBER(INDEX($E$5:$E$1000,$R54-4)),DATE(YEAR(INDEX($E$5:$E$1000,$R54-4)),MONTH(INDEX($E$5:$E$1000,$R54-4)),1),IF(ISNUMBER(INDEX($F$5:$F$1000,$R54-4)),DATE(YEAR(INDEX($F$5:$F$1000,$R54-4)),MONTH(INDEX($F$5:$F$1000,$R54-4)),1),MesCiclo)),IF(ISNUMBER($E54),DATE(YEAR($E54),MONTH($E54),1),IF(ISNUMBER($F54),DATE(YEAR($F54),MONTH($F54),1),MesCiclo))))</f>
        <v/>
      </c>
      <c r="Q54" s="70">
        <f>IF(OR($P54="",$P54&lt;&gt;MesCiclo),"",COUNTIF($P$5:$P54,MesCiclo))</f>
        <v/>
      </c>
      <c r="R54" s="70">
        <f>IF($S54="","",IF($S54="Macro",ROW(),IFERROR(LOOKUP(2,1/($S$5:$S54="Macro"),ROW($S$5:$S54)),0)))</f>
        <v/>
      </c>
      <c r="S54" s="70">
        <f>IF(NOT((COUNTA($B54:$K54)+COUNTA($N54))&gt;0),"",IF($B54&lt;&gt;"","Macro",IF($C54&lt;&gt;"","Sub","Macro")))</f>
        <v/>
      </c>
      <c r="T54" s="70">
        <f>IF($S54="Macro",COUNTIFS($R$5:$R$1000,ROW(),$S$5:$S$1000,"Sub"),"")</f>
        <v/>
      </c>
      <c r="U54" s="70">
        <f>IF($S54="","",IF(ISNUMBER($H54),$H54,0))</f>
        <v/>
      </c>
      <c r="V54" s="70">
        <f>IF($S54="","",IF(ISNUMBER($I54),$I54,$U54))</f>
        <v/>
      </c>
      <c r="W54" s="70">
        <f>IF($S54="","",IF(ISNUMBER($J54),$J54,$V54))</f>
        <v/>
      </c>
      <c r="X54" s="70">
        <f>IF($S54="","",IF(ISNUMBER($K54),$K54,$W54))</f>
        <v/>
      </c>
      <c r="Y54" s="70">
        <f>IF($S54="","",IF(N($T54)&gt;0,AVERAGEIFS($U$5:$U$1000,$R$5:$R$1000,ROW(),$S$5:$S$1000,"Sub"),$U54))</f>
        <v/>
      </c>
      <c r="Z54" s="70">
        <f>IF($S54="","",IF(N($T54)&gt;0,AVERAGEIFS($V$5:$V$1000,$R$5:$R$1000,ROW(),$S$5:$S$1000,"Sub"),$V54))</f>
        <v/>
      </c>
      <c r="AA54" s="70">
        <f>IF($S54="","",IF(N($T54)&gt;0,AVERAGEIFS($W$5:$W$1000,$R$5:$R$1000,ROW(),$S$5:$S$1000,"Sub"),$W54))</f>
        <v/>
      </c>
      <c r="AB54" s="70">
        <f>IF($S54="","",IF(N($T54)&gt;0,AVERAGEIFS($X$5:$X$1000,$R$5:$R$1000,ROW(),$S$5:$S$1000,"Sub"),$X54))</f>
        <v/>
      </c>
    </row>
    <row r="55">
      <c r="A55" s="61">
        <f>IF(NOT((COUNTA($B55:$K55)+COUNTA($N55))&gt;0),"",IF($S55="Macro",COUNTIFS($S$5:$S55,"Macro",$P$5:$P55,$P55),IF(N($R55)=0,"?",COUNTIFS(INDEX($S$5:$S$1000,1):INDEX($S$5:$S$1000,$R55-4),"Macro",INDEX($P$5:$P$1000,1):INDEX($P$5:$P$1000,$R55-4),INDEX($P$5:$P$1000,$R55-4))&amp;"."&amp;COUNTIFS($R$5:$R55,$R55,$S$5:$S55,"Sub"))))</f>
        <v/>
      </c>
      <c r="B55" s="62" t="n"/>
      <c r="C55" s="63" t="n"/>
      <c r="D55" s="62" t="n"/>
      <c r="E55" s="64" t="n"/>
      <c r="F55" s="64" t="n"/>
      <c r="G55" s="65" t="n"/>
      <c r="H55" s="66" t="n"/>
      <c r="I55" s="66" t="n"/>
      <c r="J55" s="66" t="n"/>
      <c r="K55" s="66" t="n"/>
      <c r="L55" s="67">
        <f>IF(NOT((COUNTA($B55:$K55)+COUNTA($N55))&gt;0),"",IF(N($T55)&gt;0,$AB55,IFERROR(LOOKUP(2,1/(H55:K55&lt;&gt;""),H55:K55),0)))</f>
        <v/>
      </c>
      <c r="M55" s="61">
        <f>IF(L55="","",IF(L55&gt;=1,"Completado",IF(L55&gt;0,"En curso","Pendiente")))</f>
        <v/>
      </c>
      <c r="N55" s="62" t="n"/>
      <c r="O55" s="68">
        <f>IF(NOT((COUNTA($B55:$K55)+COUNTA($N55))&gt;0),"",IF((IF(AND($S55="Macro",$B55=""),"Macroactividad vacía"&amp;" · ","")&amp;IF(AND($B55&lt;&gt;"",$C55&lt;&gt;""),"Escriba la subactividad en otra fila, debajo de su macroactividad"&amp;" · ","")&amp;IF(AND($S55="Sub",N($R55)=0),"Subactividad sin macroactividad arriba"&amp;" · ","")&amp;IF($D55="","Sin responsable"&amp;" · ","")&amp;IF($E55="","Sin fecha de inicio"&amp;" · ","")&amp;IF($F55="","Sin fecha límite"&amp;" · ","")&amp;IF(OR(AND($E55&lt;&gt;"",NOT(ISNUMBER($E55))),AND($F55&lt;&gt;"",NOT(ISNUMBER($F55)))),"Fecha no válida"&amp;" · ","")&amp;IF(AND(ISNUMBER($E55),ISNUMBER($F55),$E55&gt;$F55),"Inicio posterior a fecha límite"&amp;" · ","")&amp;IF(AND($S55="Macro",$G55=""),"Peso vacío"&amp;" · ","")&amp;IF(AND($S55="Macro",$G55&lt;&gt;"",OR(NOT(ISNUMBER($G55)),$G55&lt;=0,$G55&gt;1)),"Peso fuera de rango"&amp;" · ","")&amp;IF(AND($S55="Sub",$G55&lt;&gt;""),"Las subactividades no llevan peso"&amp;" · ","")&amp;IF(AND($S55="Macro",ABS(SUMIFS($G$5:$G$1000,$P$5:$P$1000,$P55,$S$5:$S$1000,"Macro")-1)&gt;0.0001),"Pesos del mes suman "&amp;TEXT(SUMIFS($G$5:$G$1000,$P$5:$P$1000,$P55,$S$5:$S$1000,"Macro"),"0%")&amp;" · ","")&amp;IF(AND(N($T55)&gt;0,COUNT($H55:$K55)&gt;0),"Con subactividades: deje vacías las semanas (se calculan solas)"&amp;" · ","")&amp;IF((COUNTIF($H55:$K55,"&gt;1")+COUNTIF($H55:$K55,"&lt;0")+COUNTA($H55:$K55)-COUNT($H55:$K55))&gt;0,"Avance fuera de rango 0-100%"&amp;" · ","")&amp;IF(OR(AND($I55&lt;&gt;"",$I55&lt;$H55),AND($J55&lt;&gt;"",$J55&lt;MAX($H55:$I55)),AND($K55&lt;&gt;"",$K55&lt;MAX($H55:$J55))),"Avance semanal decreciente"&amp;" · ","")&amp;IF(AND(ISNUMBER($F55),$F55&lt;FechaRef,N($L55)&lt;1),"Vencida"&amp;" · ","")&amp;IF(AND(ObsObligatoria="Sí",ISNUMBER($F55),$F55&lt;FechaRef,N($L55)&lt;1,$N55=""),"Vencida sin observación"&amp;" · ",""))="","✔ OK","⚠ "&amp;LEFT(IF(AND($S55="Macro",$B55=""),"Macroactividad vacía"&amp;" · ","")&amp;IF(AND($B55&lt;&gt;"",$C55&lt;&gt;""),"Escriba la subactividad en otra fila, debajo de su macroactividad"&amp;" · ","")&amp;IF(AND($S55="Sub",N($R55)=0),"Subactividad sin macroactividad arriba"&amp;" · ","")&amp;IF($D55="","Sin responsable"&amp;" · ","")&amp;IF($E55="","Sin fecha de inicio"&amp;" · ","")&amp;IF($F55="","Sin fecha límite"&amp;" · ","")&amp;IF(OR(AND($E55&lt;&gt;"",NOT(ISNUMBER($E55))),AND($F55&lt;&gt;"",NOT(ISNUMBER($F55)))),"Fecha no válida"&amp;" · ","")&amp;IF(AND(ISNUMBER($E55),ISNUMBER($F55),$E55&gt;$F55),"Inicio posterior a fecha límite"&amp;" · ","")&amp;IF(AND($S55="Macro",$G55=""),"Peso vacío"&amp;" · ","")&amp;IF(AND($S55="Macro",$G55&lt;&gt;"",OR(NOT(ISNUMBER($G55)),$G55&lt;=0,$G55&gt;1)),"Peso fuera de rango"&amp;" · ","")&amp;IF(AND($S55="Sub",$G55&lt;&gt;""),"Las subactividades no llevan peso"&amp;" · ","")&amp;IF(AND($S55="Macro",ABS(SUMIFS($G$5:$G$1000,$P$5:$P$1000,$P55,$S$5:$S$1000,"Macro")-1)&gt;0.0001),"Pesos del mes suman "&amp;TEXT(SUMIFS($G$5:$G$1000,$P$5:$P$1000,$P55,$S$5:$S$1000,"Macro"),"0%")&amp;" · ","")&amp;IF(AND(N($T55)&gt;0,COUNT($H55:$K55)&gt;0),"Con subactividades: deje vacías las semanas (se calculan solas)"&amp;" · ","")&amp;IF((COUNTIF($H55:$K55,"&gt;1")+COUNTIF($H55:$K55,"&lt;0")+COUNTA($H55:$K55)-COUNT($H55:$K55))&gt;0,"Avance fuera de rango 0-100%"&amp;" · ","")&amp;IF(OR(AND($I55&lt;&gt;"",$I55&lt;$H55),AND($J55&lt;&gt;"",$J55&lt;MAX($H55:$I55)),AND($K55&lt;&gt;"",$K55&lt;MAX($H55:$J55))),"Avance semanal decreciente"&amp;" · ","")&amp;IF(AND(ISNUMBER($F55),$F55&lt;FechaRef,N($L55)&lt;1),"Vencida"&amp;" · ","")&amp;IF(AND(ObsObligatoria="Sí",ISNUMBER($F55),$F55&lt;FechaRef,N($L55)&lt;1,$N55=""),"Vencida sin observación"&amp;" · ",""),LEN(IF(AND($S55="Macro",$B55=""),"Macroactividad vacía"&amp;" · ","")&amp;IF(AND($B55&lt;&gt;"",$C55&lt;&gt;""),"Escriba la subactividad en otra fila, debajo de su macroactividad"&amp;" · ","")&amp;IF(AND($S55="Sub",N($R55)=0),"Subactividad sin macroactividad arriba"&amp;" · ","")&amp;IF($D55="","Sin responsable"&amp;" · ","")&amp;IF($E55="","Sin fecha de inicio"&amp;" · ","")&amp;IF($F55="","Sin fecha límite"&amp;" · ","")&amp;IF(OR(AND($E55&lt;&gt;"",NOT(ISNUMBER($E55))),AND($F55&lt;&gt;"",NOT(ISNUMBER($F55)))),"Fecha no válida"&amp;" · ","")&amp;IF(AND(ISNUMBER($E55),ISNUMBER($F55),$E55&gt;$F55),"Inicio posterior a fecha límite"&amp;" · ","")&amp;IF(AND($S55="Macro",$G55=""),"Peso vacío"&amp;" · ","")&amp;IF(AND($S55="Macro",$G55&lt;&gt;"",OR(NOT(ISNUMBER($G55)),$G55&lt;=0,$G55&gt;1)),"Peso fuera de rango"&amp;" · ","")&amp;IF(AND($S55="Sub",$G55&lt;&gt;""),"Las subactividades no llevan peso"&amp;" · ","")&amp;IF(AND($S55="Macro",ABS(SUMIFS($G$5:$G$1000,$P$5:$P$1000,$P55,$S$5:$S$1000,"Macro")-1)&gt;0.0001),"Pesos del mes suman "&amp;TEXT(SUMIFS($G$5:$G$1000,$P$5:$P$1000,$P55,$S$5:$S$1000,"Macro"),"0%")&amp;" · ","")&amp;IF(AND(N($T55)&gt;0,COUNT($H55:$K55)&gt;0),"Con subactividades: deje vacías las semanas (se calculan solas)"&amp;" · ","")&amp;IF((COUNTIF($H55:$K55,"&gt;1")+COUNTIF($H55:$K55,"&lt;0")+COUNTA($H55:$K55)-COUNT($H55:$K55))&gt;0,"Avance fuera de rango 0-100%"&amp;" · ","")&amp;IF(OR(AND($I55&lt;&gt;"",$I55&lt;$H55),AND($J55&lt;&gt;"",$J55&lt;MAX($H55:$I55)),AND($K55&lt;&gt;"",$K55&lt;MAX($H55:$J55))),"Avance semanal decreciente"&amp;" · ","")&amp;IF(AND(ISNUMBER($F55),$F55&lt;FechaRef,N($L55)&lt;1),"Vencida"&amp;" · ","")&amp;IF(AND(ObsObligatoria="Sí",ISNUMBER($F55),$F55&lt;FechaRef,N($L55)&lt;1,$N55=""),"Vencida sin observación"&amp;" · ",""))-3)))</f>
        <v/>
      </c>
      <c r="P55" s="69">
        <f>IF(NOT((COUNTA($B55:$K55)+COUNTA($N55))&gt;0),"",IF(AND($S55="Sub",N($R55)&gt;0),IF(ISNUMBER(INDEX($E$5:$E$1000,$R55-4)),DATE(YEAR(INDEX($E$5:$E$1000,$R55-4)),MONTH(INDEX($E$5:$E$1000,$R55-4)),1),IF(ISNUMBER(INDEX($F$5:$F$1000,$R55-4)),DATE(YEAR(INDEX($F$5:$F$1000,$R55-4)),MONTH(INDEX($F$5:$F$1000,$R55-4)),1),MesCiclo)),IF(ISNUMBER($E55),DATE(YEAR($E55),MONTH($E55),1),IF(ISNUMBER($F55),DATE(YEAR($F55),MONTH($F55),1),MesCiclo))))</f>
        <v/>
      </c>
      <c r="Q55" s="70">
        <f>IF(OR($P55="",$P55&lt;&gt;MesCiclo),"",COUNTIF($P$5:$P55,MesCiclo))</f>
        <v/>
      </c>
      <c r="R55" s="70">
        <f>IF($S55="","",IF($S55="Macro",ROW(),IFERROR(LOOKUP(2,1/($S$5:$S55="Macro"),ROW($S$5:$S55)),0)))</f>
        <v/>
      </c>
      <c r="S55" s="70">
        <f>IF(NOT((COUNTA($B55:$K55)+COUNTA($N55))&gt;0),"",IF($B55&lt;&gt;"","Macro",IF($C55&lt;&gt;"","Sub","Macro")))</f>
        <v/>
      </c>
      <c r="T55" s="70">
        <f>IF($S55="Macro",COUNTIFS($R$5:$R$1000,ROW(),$S$5:$S$1000,"Sub"),"")</f>
        <v/>
      </c>
      <c r="U55" s="70">
        <f>IF($S55="","",IF(ISNUMBER($H55),$H55,0))</f>
        <v/>
      </c>
      <c r="V55" s="70">
        <f>IF($S55="","",IF(ISNUMBER($I55),$I55,$U55))</f>
        <v/>
      </c>
      <c r="W55" s="70">
        <f>IF($S55="","",IF(ISNUMBER($J55),$J55,$V55))</f>
        <v/>
      </c>
      <c r="X55" s="70">
        <f>IF($S55="","",IF(ISNUMBER($K55),$K55,$W55))</f>
        <v/>
      </c>
      <c r="Y55" s="70">
        <f>IF($S55="","",IF(N($T55)&gt;0,AVERAGEIFS($U$5:$U$1000,$R$5:$R$1000,ROW(),$S$5:$S$1000,"Sub"),$U55))</f>
        <v/>
      </c>
      <c r="Z55" s="70">
        <f>IF($S55="","",IF(N($T55)&gt;0,AVERAGEIFS($V$5:$V$1000,$R$5:$R$1000,ROW(),$S$5:$S$1000,"Sub"),$V55))</f>
        <v/>
      </c>
      <c r="AA55" s="70">
        <f>IF($S55="","",IF(N($T55)&gt;0,AVERAGEIFS($W$5:$W$1000,$R$5:$R$1000,ROW(),$S$5:$S$1000,"Sub"),$W55))</f>
        <v/>
      </c>
      <c r="AB55" s="70">
        <f>IF($S55="","",IF(N($T55)&gt;0,AVERAGEIFS($X$5:$X$1000,$R$5:$R$1000,ROW(),$S$5:$S$1000,"Sub"),$X55))</f>
        <v/>
      </c>
    </row>
    <row r="56">
      <c r="A56" s="61">
        <f>IF(NOT((COUNTA($B56:$K56)+COUNTA($N56))&gt;0),"",IF($S56="Macro",COUNTIFS($S$5:$S56,"Macro",$P$5:$P56,$P56),IF(N($R56)=0,"?",COUNTIFS(INDEX($S$5:$S$1000,1):INDEX($S$5:$S$1000,$R56-4),"Macro",INDEX($P$5:$P$1000,1):INDEX($P$5:$P$1000,$R56-4),INDEX($P$5:$P$1000,$R56-4))&amp;"."&amp;COUNTIFS($R$5:$R56,$R56,$S$5:$S56,"Sub"))))</f>
        <v/>
      </c>
      <c r="B56" s="62" t="n"/>
      <c r="C56" s="63" t="n"/>
      <c r="D56" s="62" t="n"/>
      <c r="E56" s="64" t="n"/>
      <c r="F56" s="64" t="n"/>
      <c r="G56" s="65" t="n"/>
      <c r="H56" s="66" t="n"/>
      <c r="I56" s="66" t="n"/>
      <c r="J56" s="66" t="n"/>
      <c r="K56" s="66" t="n"/>
      <c r="L56" s="67">
        <f>IF(NOT((COUNTA($B56:$K56)+COUNTA($N56))&gt;0),"",IF(N($T56)&gt;0,$AB56,IFERROR(LOOKUP(2,1/(H56:K56&lt;&gt;""),H56:K56),0)))</f>
        <v/>
      </c>
      <c r="M56" s="61">
        <f>IF(L56="","",IF(L56&gt;=1,"Completado",IF(L56&gt;0,"En curso","Pendiente")))</f>
        <v/>
      </c>
      <c r="N56" s="62" t="n"/>
      <c r="O56" s="68">
        <f>IF(NOT((COUNTA($B56:$K56)+COUNTA($N56))&gt;0),"",IF((IF(AND($S56="Macro",$B56=""),"Macroactividad vacía"&amp;" · ","")&amp;IF(AND($B56&lt;&gt;"",$C56&lt;&gt;""),"Escriba la subactividad en otra fila, debajo de su macroactividad"&amp;" · ","")&amp;IF(AND($S56="Sub",N($R56)=0),"Subactividad sin macroactividad arriba"&amp;" · ","")&amp;IF($D56="","Sin responsable"&amp;" · ","")&amp;IF($E56="","Sin fecha de inicio"&amp;" · ","")&amp;IF($F56="","Sin fecha límite"&amp;" · ","")&amp;IF(OR(AND($E56&lt;&gt;"",NOT(ISNUMBER($E56))),AND($F56&lt;&gt;"",NOT(ISNUMBER($F56)))),"Fecha no válida"&amp;" · ","")&amp;IF(AND(ISNUMBER($E56),ISNUMBER($F56),$E56&gt;$F56),"Inicio posterior a fecha límite"&amp;" · ","")&amp;IF(AND($S56="Macro",$G56=""),"Peso vacío"&amp;" · ","")&amp;IF(AND($S56="Macro",$G56&lt;&gt;"",OR(NOT(ISNUMBER($G56)),$G56&lt;=0,$G56&gt;1)),"Peso fuera de rango"&amp;" · ","")&amp;IF(AND($S56="Sub",$G56&lt;&gt;""),"Las subactividades no llevan peso"&amp;" · ","")&amp;IF(AND($S56="Macro",ABS(SUMIFS($G$5:$G$1000,$P$5:$P$1000,$P56,$S$5:$S$1000,"Macro")-1)&gt;0.0001),"Pesos del mes suman "&amp;TEXT(SUMIFS($G$5:$G$1000,$P$5:$P$1000,$P56,$S$5:$S$1000,"Macro"),"0%")&amp;" · ","")&amp;IF(AND(N($T56)&gt;0,COUNT($H56:$K56)&gt;0),"Con subactividades: deje vacías las semanas (se calculan solas)"&amp;" · ","")&amp;IF((COUNTIF($H56:$K56,"&gt;1")+COUNTIF($H56:$K56,"&lt;0")+COUNTA($H56:$K56)-COUNT($H56:$K56))&gt;0,"Avance fuera de rango 0-100%"&amp;" · ","")&amp;IF(OR(AND($I56&lt;&gt;"",$I56&lt;$H56),AND($J56&lt;&gt;"",$J56&lt;MAX($H56:$I56)),AND($K56&lt;&gt;"",$K56&lt;MAX($H56:$J56))),"Avance semanal decreciente"&amp;" · ","")&amp;IF(AND(ISNUMBER($F56),$F56&lt;FechaRef,N($L56)&lt;1),"Vencida"&amp;" · ","")&amp;IF(AND(ObsObligatoria="Sí",ISNUMBER($F56),$F56&lt;FechaRef,N($L56)&lt;1,$N56=""),"Vencida sin observación"&amp;" · ",""))="","✔ OK","⚠ "&amp;LEFT(IF(AND($S56="Macro",$B56=""),"Macroactividad vacía"&amp;" · ","")&amp;IF(AND($B56&lt;&gt;"",$C56&lt;&gt;""),"Escriba la subactividad en otra fila, debajo de su macroactividad"&amp;" · ","")&amp;IF(AND($S56="Sub",N($R56)=0),"Subactividad sin macroactividad arriba"&amp;" · ","")&amp;IF($D56="","Sin responsable"&amp;" · ","")&amp;IF($E56="","Sin fecha de inicio"&amp;" · ","")&amp;IF($F56="","Sin fecha límite"&amp;" · ","")&amp;IF(OR(AND($E56&lt;&gt;"",NOT(ISNUMBER($E56))),AND($F56&lt;&gt;"",NOT(ISNUMBER($F56)))),"Fecha no válida"&amp;" · ","")&amp;IF(AND(ISNUMBER($E56),ISNUMBER($F56),$E56&gt;$F56),"Inicio posterior a fecha límite"&amp;" · ","")&amp;IF(AND($S56="Macro",$G56=""),"Peso vacío"&amp;" · ","")&amp;IF(AND($S56="Macro",$G56&lt;&gt;"",OR(NOT(ISNUMBER($G56)),$G56&lt;=0,$G56&gt;1)),"Peso fuera de rango"&amp;" · ","")&amp;IF(AND($S56="Sub",$G56&lt;&gt;""),"Las subactividades no llevan peso"&amp;" · ","")&amp;IF(AND($S56="Macro",ABS(SUMIFS($G$5:$G$1000,$P$5:$P$1000,$P56,$S$5:$S$1000,"Macro")-1)&gt;0.0001),"Pesos del mes suman "&amp;TEXT(SUMIFS($G$5:$G$1000,$P$5:$P$1000,$P56,$S$5:$S$1000,"Macro"),"0%")&amp;" · ","")&amp;IF(AND(N($T56)&gt;0,COUNT($H56:$K56)&gt;0),"Con subactividades: deje vacías las semanas (se calculan solas)"&amp;" · ","")&amp;IF((COUNTIF($H56:$K56,"&gt;1")+COUNTIF($H56:$K56,"&lt;0")+COUNTA($H56:$K56)-COUNT($H56:$K56))&gt;0,"Avance fuera de rango 0-100%"&amp;" · ","")&amp;IF(OR(AND($I56&lt;&gt;"",$I56&lt;$H56),AND($J56&lt;&gt;"",$J56&lt;MAX($H56:$I56)),AND($K56&lt;&gt;"",$K56&lt;MAX($H56:$J56))),"Avance semanal decreciente"&amp;" · ","")&amp;IF(AND(ISNUMBER($F56),$F56&lt;FechaRef,N($L56)&lt;1),"Vencida"&amp;" · ","")&amp;IF(AND(ObsObligatoria="Sí",ISNUMBER($F56),$F56&lt;FechaRef,N($L56)&lt;1,$N56=""),"Vencida sin observación"&amp;" · ",""),LEN(IF(AND($S56="Macro",$B56=""),"Macroactividad vacía"&amp;" · ","")&amp;IF(AND($B56&lt;&gt;"",$C56&lt;&gt;""),"Escriba la subactividad en otra fila, debajo de su macroactividad"&amp;" · ","")&amp;IF(AND($S56="Sub",N($R56)=0),"Subactividad sin macroactividad arriba"&amp;" · ","")&amp;IF($D56="","Sin responsable"&amp;" · ","")&amp;IF($E56="","Sin fecha de inicio"&amp;" · ","")&amp;IF($F56="","Sin fecha límite"&amp;" · ","")&amp;IF(OR(AND($E56&lt;&gt;"",NOT(ISNUMBER($E56))),AND($F56&lt;&gt;"",NOT(ISNUMBER($F56)))),"Fecha no válida"&amp;" · ","")&amp;IF(AND(ISNUMBER($E56),ISNUMBER($F56),$E56&gt;$F56),"Inicio posterior a fecha límite"&amp;" · ","")&amp;IF(AND($S56="Macro",$G56=""),"Peso vacío"&amp;" · ","")&amp;IF(AND($S56="Macro",$G56&lt;&gt;"",OR(NOT(ISNUMBER($G56)),$G56&lt;=0,$G56&gt;1)),"Peso fuera de rango"&amp;" · ","")&amp;IF(AND($S56="Sub",$G56&lt;&gt;""),"Las subactividades no llevan peso"&amp;" · ","")&amp;IF(AND($S56="Macro",ABS(SUMIFS($G$5:$G$1000,$P$5:$P$1000,$P56,$S$5:$S$1000,"Macro")-1)&gt;0.0001),"Pesos del mes suman "&amp;TEXT(SUMIFS($G$5:$G$1000,$P$5:$P$1000,$P56,$S$5:$S$1000,"Macro"),"0%")&amp;" · ","")&amp;IF(AND(N($T56)&gt;0,COUNT($H56:$K56)&gt;0),"Con subactividades: deje vacías las semanas (se calculan solas)"&amp;" · ","")&amp;IF((COUNTIF($H56:$K56,"&gt;1")+COUNTIF($H56:$K56,"&lt;0")+COUNTA($H56:$K56)-COUNT($H56:$K56))&gt;0,"Avance fuera de rango 0-100%"&amp;" · ","")&amp;IF(OR(AND($I56&lt;&gt;"",$I56&lt;$H56),AND($J56&lt;&gt;"",$J56&lt;MAX($H56:$I56)),AND($K56&lt;&gt;"",$K56&lt;MAX($H56:$J56))),"Avance semanal decreciente"&amp;" · ","")&amp;IF(AND(ISNUMBER($F56),$F56&lt;FechaRef,N($L56)&lt;1),"Vencida"&amp;" · ","")&amp;IF(AND(ObsObligatoria="Sí",ISNUMBER($F56),$F56&lt;FechaRef,N($L56)&lt;1,$N56=""),"Vencida sin observación"&amp;" · ",""))-3)))</f>
        <v/>
      </c>
      <c r="P56" s="69">
        <f>IF(NOT((COUNTA($B56:$K56)+COUNTA($N56))&gt;0),"",IF(AND($S56="Sub",N($R56)&gt;0),IF(ISNUMBER(INDEX($E$5:$E$1000,$R56-4)),DATE(YEAR(INDEX($E$5:$E$1000,$R56-4)),MONTH(INDEX($E$5:$E$1000,$R56-4)),1),IF(ISNUMBER(INDEX($F$5:$F$1000,$R56-4)),DATE(YEAR(INDEX($F$5:$F$1000,$R56-4)),MONTH(INDEX($F$5:$F$1000,$R56-4)),1),MesCiclo)),IF(ISNUMBER($E56),DATE(YEAR($E56),MONTH($E56),1),IF(ISNUMBER($F56),DATE(YEAR($F56),MONTH($F56),1),MesCiclo))))</f>
        <v/>
      </c>
      <c r="Q56" s="70">
        <f>IF(OR($P56="",$P56&lt;&gt;MesCiclo),"",COUNTIF($P$5:$P56,MesCiclo))</f>
        <v/>
      </c>
      <c r="R56" s="70">
        <f>IF($S56="","",IF($S56="Macro",ROW(),IFERROR(LOOKUP(2,1/($S$5:$S56="Macro"),ROW($S$5:$S56)),0)))</f>
        <v/>
      </c>
      <c r="S56" s="70">
        <f>IF(NOT((COUNTA($B56:$K56)+COUNTA($N56))&gt;0),"",IF($B56&lt;&gt;"","Macro",IF($C56&lt;&gt;"","Sub","Macro")))</f>
        <v/>
      </c>
      <c r="T56" s="70">
        <f>IF($S56="Macro",COUNTIFS($R$5:$R$1000,ROW(),$S$5:$S$1000,"Sub"),"")</f>
        <v/>
      </c>
      <c r="U56" s="70">
        <f>IF($S56="","",IF(ISNUMBER($H56),$H56,0))</f>
        <v/>
      </c>
      <c r="V56" s="70">
        <f>IF($S56="","",IF(ISNUMBER($I56),$I56,$U56))</f>
        <v/>
      </c>
      <c r="W56" s="70">
        <f>IF($S56="","",IF(ISNUMBER($J56),$J56,$V56))</f>
        <v/>
      </c>
      <c r="X56" s="70">
        <f>IF($S56="","",IF(ISNUMBER($K56),$K56,$W56))</f>
        <v/>
      </c>
      <c r="Y56" s="70">
        <f>IF($S56="","",IF(N($T56)&gt;0,AVERAGEIFS($U$5:$U$1000,$R$5:$R$1000,ROW(),$S$5:$S$1000,"Sub"),$U56))</f>
        <v/>
      </c>
      <c r="Z56" s="70">
        <f>IF($S56="","",IF(N($T56)&gt;0,AVERAGEIFS($V$5:$V$1000,$R$5:$R$1000,ROW(),$S$5:$S$1000,"Sub"),$V56))</f>
        <v/>
      </c>
      <c r="AA56" s="70">
        <f>IF($S56="","",IF(N($T56)&gt;0,AVERAGEIFS($W$5:$W$1000,$R$5:$R$1000,ROW(),$S$5:$S$1000,"Sub"),$W56))</f>
        <v/>
      </c>
      <c r="AB56" s="70">
        <f>IF($S56="","",IF(N($T56)&gt;0,AVERAGEIFS($X$5:$X$1000,$R$5:$R$1000,ROW(),$S$5:$S$1000,"Sub"),$X56))</f>
        <v/>
      </c>
    </row>
    <row r="57">
      <c r="A57" s="61">
        <f>IF(NOT((COUNTA($B57:$K57)+COUNTA($N57))&gt;0),"",IF($S57="Macro",COUNTIFS($S$5:$S57,"Macro",$P$5:$P57,$P57),IF(N($R57)=0,"?",COUNTIFS(INDEX($S$5:$S$1000,1):INDEX($S$5:$S$1000,$R57-4),"Macro",INDEX($P$5:$P$1000,1):INDEX($P$5:$P$1000,$R57-4),INDEX($P$5:$P$1000,$R57-4))&amp;"."&amp;COUNTIFS($R$5:$R57,$R57,$S$5:$S57,"Sub"))))</f>
        <v/>
      </c>
      <c r="B57" s="62" t="n"/>
      <c r="C57" s="63" t="n"/>
      <c r="D57" s="62" t="n"/>
      <c r="E57" s="64" t="n"/>
      <c r="F57" s="64" t="n"/>
      <c r="G57" s="65" t="n"/>
      <c r="H57" s="66" t="n"/>
      <c r="I57" s="66" t="n"/>
      <c r="J57" s="66" t="n"/>
      <c r="K57" s="66" t="n"/>
      <c r="L57" s="67">
        <f>IF(NOT((COUNTA($B57:$K57)+COUNTA($N57))&gt;0),"",IF(N($T57)&gt;0,$AB57,IFERROR(LOOKUP(2,1/(H57:K57&lt;&gt;""),H57:K57),0)))</f>
        <v/>
      </c>
      <c r="M57" s="61">
        <f>IF(L57="","",IF(L57&gt;=1,"Completado",IF(L57&gt;0,"En curso","Pendiente")))</f>
        <v/>
      </c>
      <c r="N57" s="62" t="n"/>
      <c r="O57" s="68">
        <f>IF(NOT((COUNTA($B57:$K57)+COUNTA($N57))&gt;0),"",IF((IF(AND($S57="Macro",$B57=""),"Macroactividad vacía"&amp;" · ","")&amp;IF(AND($B57&lt;&gt;"",$C57&lt;&gt;""),"Escriba la subactividad en otra fila, debajo de su macroactividad"&amp;" · ","")&amp;IF(AND($S57="Sub",N($R57)=0),"Subactividad sin macroactividad arriba"&amp;" · ","")&amp;IF($D57="","Sin responsable"&amp;" · ","")&amp;IF($E57="","Sin fecha de inicio"&amp;" · ","")&amp;IF($F57="","Sin fecha límite"&amp;" · ","")&amp;IF(OR(AND($E57&lt;&gt;"",NOT(ISNUMBER($E57))),AND($F57&lt;&gt;"",NOT(ISNUMBER($F57)))),"Fecha no válida"&amp;" · ","")&amp;IF(AND(ISNUMBER($E57),ISNUMBER($F57),$E57&gt;$F57),"Inicio posterior a fecha límite"&amp;" · ","")&amp;IF(AND($S57="Macro",$G57=""),"Peso vacío"&amp;" · ","")&amp;IF(AND($S57="Macro",$G57&lt;&gt;"",OR(NOT(ISNUMBER($G57)),$G57&lt;=0,$G57&gt;1)),"Peso fuera de rango"&amp;" · ","")&amp;IF(AND($S57="Sub",$G57&lt;&gt;""),"Las subactividades no llevan peso"&amp;" · ","")&amp;IF(AND($S57="Macro",ABS(SUMIFS($G$5:$G$1000,$P$5:$P$1000,$P57,$S$5:$S$1000,"Macro")-1)&gt;0.0001),"Pesos del mes suman "&amp;TEXT(SUMIFS($G$5:$G$1000,$P$5:$P$1000,$P57,$S$5:$S$1000,"Macro"),"0%")&amp;" · ","")&amp;IF(AND(N($T57)&gt;0,COUNT($H57:$K57)&gt;0),"Con subactividades: deje vacías las semanas (se calculan solas)"&amp;" · ","")&amp;IF((COUNTIF($H57:$K57,"&gt;1")+COUNTIF($H57:$K57,"&lt;0")+COUNTA($H57:$K57)-COUNT($H57:$K57))&gt;0,"Avance fuera de rango 0-100%"&amp;" · ","")&amp;IF(OR(AND($I57&lt;&gt;"",$I57&lt;$H57),AND($J57&lt;&gt;"",$J57&lt;MAX($H57:$I57)),AND($K57&lt;&gt;"",$K57&lt;MAX($H57:$J57))),"Avance semanal decreciente"&amp;" · ","")&amp;IF(AND(ISNUMBER($F57),$F57&lt;FechaRef,N($L57)&lt;1),"Vencida"&amp;" · ","")&amp;IF(AND(ObsObligatoria="Sí",ISNUMBER($F57),$F57&lt;FechaRef,N($L57)&lt;1,$N57=""),"Vencida sin observación"&amp;" · ",""))="","✔ OK","⚠ "&amp;LEFT(IF(AND($S57="Macro",$B57=""),"Macroactividad vacía"&amp;" · ","")&amp;IF(AND($B57&lt;&gt;"",$C57&lt;&gt;""),"Escriba la subactividad en otra fila, debajo de su macroactividad"&amp;" · ","")&amp;IF(AND($S57="Sub",N($R57)=0),"Subactividad sin macroactividad arriba"&amp;" · ","")&amp;IF($D57="","Sin responsable"&amp;" · ","")&amp;IF($E57="","Sin fecha de inicio"&amp;" · ","")&amp;IF($F57="","Sin fecha límite"&amp;" · ","")&amp;IF(OR(AND($E57&lt;&gt;"",NOT(ISNUMBER($E57))),AND($F57&lt;&gt;"",NOT(ISNUMBER($F57)))),"Fecha no válida"&amp;" · ","")&amp;IF(AND(ISNUMBER($E57),ISNUMBER($F57),$E57&gt;$F57),"Inicio posterior a fecha límite"&amp;" · ","")&amp;IF(AND($S57="Macro",$G57=""),"Peso vacío"&amp;" · ","")&amp;IF(AND($S57="Macro",$G57&lt;&gt;"",OR(NOT(ISNUMBER($G57)),$G57&lt;=0,$G57&gt;1)),"Peso fuera de rango"&amp;" · ","")&amp;IF(AND($S57="Sub",$G57&lt;&gt;""),"Las subactividades no llevan peso"&amp;" · ","")&amp;IF(AND($S57="Macro",ABS(SUMIFS($G$5:$G$1000,$P$5:$P$1000,$P57,$S$5:$S$1000,"Macro")-1)&gt;0.0001),"Pesos del mes suman "&amp;TEXT(SUMIFS($G$5:$G$1000,$P$5:$P$1000,$P57,$S$5:$S$1000,"Macro"),"0%")&amp;" · ","")&amp;IF(AND(N($T57)&gt;0,COUNT($H57:$K57)&gt;0),"Con subactividades: deje vacías las semanas (se calculan solas)"&amp;" · ","")&amp;IF((COUNTIF($H57:$K57,"&gt;1")+COUNTIF($H57:$K57,"&lt;0")+COUNTA($H57:$K57)-COUNT($H57:$K57))&gt;0,"Avance fuera de rango 0-100%"&amp;" · ","")&amp;IF(OR(AND($I57&lt;&gt;"",$I57&lt;$H57),AND($J57&lt;&gt;"",$J57&lt;MAX($H57:$I57)),AND($K57&lt;&gt;"",$K57&lt;MAX($H57:$J57))),"Avance semanal decreciente"&amp;" · ","")&amp;IF(AND(ISNUMBER($F57),$F57&lt;FechaRef,N($L57)&lt;1),"Vencida"&amp;" · ","")&amp;IF(AND(ObsObligatoria="Sí",ISNUMBER($F57),$F57&lt;FechaRef,N($L57)&lt;1,$N57=""),"Vencida sin observación"&amp;" · ",""),LEN(IF(AND($S57="Macro",$B57=""),"Macroactividad vacía"&amp;" · ","")&amp;IF(AND($B57&lt;&gt;"",$C57&lt;&gt;""),"Escriba la subactividad en otra fila, debajo de su macroactividad"&amp;" · ","")&amp;IF(AND($S57="Sub",N($R57)=0),"Subactividad sin macroactividad arriba"&amp;" · ","")&amp;IF($D57="","Sin responsable"&amp;" · ","")&amp;IF($E57="","Sin fecha de inicio"&amp;" · ","")&amp;IF($F57="","Sin fecha límite"&amp;" · ","")&amp;IF(OR(AND($E57&lt;&gt;"",NOT(ISNUMBER($E57))),AND($F57&lt;&gt;"",NOT(ISNUMBER($F57)))),"Fecha no válida"&amp;" · ","")&amp;IF(AND(ISNUMBER($E57),ISNUMBER($F57),$E57&gt;$F57),"Inicio posterior a fecha límite"&amp;" · ","")&amp;IF(AND($S57="Macro",$G57=""),"Peso vacío"&amp;" · ","")&amp;IF(AND($S57="Macro",$G57&lt;&gt;"",OR(NOT(ISNUMBER($G57)),$G57&lt;=0,$G57&gt;1)),"Peso fuera de rango"&amp;" · ","")&amp;IF(AND($S57="Sub",$G57&lt;&gt;""),"Las subactividades no llevan peso"&amp;" · ","")&amp;IF(AND($S57="Macro",ABS(SUMIFS($G$5:$G$1000,$P$5:$P$1000,$P57,$S$5:$S$1000,"Macro")-1)&gt;0.0001),"Pesos del mes suman "&amp;TEXT(SUMIFS($G$5:$G$1000,$P$5:$P$1000,$P57,$S$5:$S$1000,"Macro"),"0%")&amp;" · ","")&amp;IF(AND(N($T57)&gt;0,COUNT($H57:$K57)&gt;0),"Con subactividades: deje vacías las semanas (se calculan solas)"&amp;" · ","")&amp;IF((COUNTIF($H57:$K57,"&gt;1")+COUNTIF($H57:$K57,"&lt;0")+COUNTA($H57:$K57)-COUNT($H57:$K57))&gt;0,"Avance fuera de rango 0-100%"&amp;" · ","")&amp;IF(OR(AND($I57&lt;&gt;"",$I57&lt;$H57),AND($J57&lt;&gt;"",$J57&lt;MAX($H57:$I57)),AND($K57&lt;&gt;"",$K57&lt;MAX($H57:$J57))),"Avance semanal decreciente"&amp;" · ","")&amp;IF(AND(ISNUMBER($F57),$F57&lt;FechaRef,N($L57)&lt;1),"Vencida"&amp;" · ","")&amp;IF(AND(ObsObligatoria="Sí",ISNUMBER($F57),$F57&lt;FechaRef,N($L57)&lt;1,$N57=""),"Vencida sin observación"&amp;" · ",""))-3)))</f>
        <v/>
      </c>
      <c r="P57" s="69">
        <f>IF(NOT((COUNTA($B57:$K57)+COUNTA($N57))&gt;0),"",IF(AND($S57="Sub",N($R57)&gt;0),IF(ISNUMBER(INDEX($E$5:$E$1000,$R57-4)),DATE(YEAR(INDEX($E$5:$E$1000,$R57-4)),MONTH(INDEX($E$5:$E$1000,$R57-4)),1),IF(ISNUMBER(INDEX($F$5:$F$1000,$R57-4)),DATE(YEAR(INDEX($F$5:$F$1000,$R57-4)),MONTH(INDEX($F$5:$F$1000,$R57-4)),1),MesCiclo)),IF(ISNUMBER($E57),DATE(YEAR($E57),MONTH($E57),1),IF(ISNUMBER($F57),DATE(YEAR($F57),MONTH($F57),1),MesCiclo))))</f>
        <v/>
      </c>
      <c r="Q57" s="70">
        <f>IF(OR($P57="",$P57&lt;&gt;MesCiclo),"",COUNTIF($P$5:$P57,MesCiclo))</f>
        <v/>
      </c>
      <c r="R57" s="70">
        <f>IF($S57="","",IF($S57="Macro",ROW(),IFERROR(LOOKUP(2,1/($S$5:$S57="Macro"),ROW($S$5:$S57)),0)))</f>
        <v/>
      </c>
      <c r="S57" s="70">
        <f>IF(NOT((COUNTA($B57:$K57)+COUNTA($N57))&gt;0),"",IF($B57&lt;&gt;"","Macro",IF($C57&lt;&gt;"","Sub","Macro")))</f>
        <v/>
      </c>
      <c r="T57" s="70">
        <f>IF($S57="Macro",COUNTIFS($R$5:$R$1000,ROW(),$S$5:$S$1000,"Sub"),"")</f>
        <v/>
      </c>
      <c r="U57" s="70">
        <f>IF($S57="","",IF(ISNUMBER($H57),$H57,0))</f>
        <v/>
      </c>
      <c r="V57" s="70">
        <f>IF($S57="","",IF(ISNUMBER($I57),$I57,$U57))</f>
        <v/>
      </c>
      <c r="W57" s="70">
        <f>IF($S57="","",IF(ISNUMBER($J57),$J57,$V57))</f>
        <v/>
      </c>
      <c r="X57" s="70">
        <f>IF($S57="","",IF(ISNUMBER($K57),$K57,$W57))</f>
        <v/>
      </c>
      <c r="Y57" s="70">
        <f>IF($S57="","",IF(N($T57)&gt;0,AVERAGEIFS($U$5:$U$1000,$R$5:$R$1000,ROW(),$S$5:$S$1000,"Sub"),$U57))</f>
        <v/>
      </c>
      <c r="Z57" s="70">
        <f>IF($S57="","",IF(N($T57)&gt;0,AVERAGEIFS($V$5:$V$1000,$R$5:$R$1000,ROW(),$S$5:$S$1000,"Sub"),$V57))</f>
        <v/>
      </c>
      <c r="AA57" s="70">
        <f>IF($S57="","",IF(N($T57)&gt;0,AVERAGEIFS($W$5:$W$1000,$R$5:$R$1000,ROW(),$S$5:$S$1000,"Sub"),$W57))</f>
        <v/>
      </c>
      <c r="AB57" s="70">
        <f>IF($S57="","",IF(N($T57)&gt;0,AVERAGEIFS($X$5:$X$1000,$R$5:$R$1000,ROW(),$S$5:$S$1000,"Sub"),$X57))</f>
        <v/>
      </c>
    </row>
    <row r="58">
      <c r="A58" s="61">
        <f>IF(NOT((COUNTA($B58:$K58)+COUNTA($N58))&gt;0),"",IF($S58="Macro",COUNTIFS($S$5:$S58,"Macro",$P$5:$P58,$P58),IF(N($R58)=0,"?",COUNTIFS(INDEX($S$5:$S$1000,1):INDEX($S$5:$S$1000,$R58-4),"Macro",INDEX($P$5:$P$1000,1):INDEX($P$5:$P$1000,$R58-4),INDEX($P$5:$P$1000,$R58-4))&amp;"."&amp;COUNTIFS($R$5:$R58,$R58,$S$5:$S58,"Sub"))))</f>
        <v/>
      </c>
      <c r="B58" s="62" t="n"/>
      <c r="C58" s="63" t="n"/>
      <c r="D58" s="62" t="n"/>
      <c r="E58" s="64" t="n"/>
      <c r="F58" s="64" t="n"/>
      <c r="G58" s="65" t="n"/>
      <c r="H58" s="66" t="n"/>
      <c r="I58" s="66" t="n"/>
      <c r="J58" s="66" t="n"/>
      <c r="K58" s="66" t="n"/>
      <c r="L58" s="67">
        <f>IF(NOT((COUNTA($B58:$K58)+COUNTA($N58))&gt;0),"",IF(N($T58)&gt;0,$AB58,IFERROR(LOOKUP(2,1/(H58:K58&lt;&gt;""),H58:K58),0)))</f>
        <v/>
      </c>
      <c r="M58" s="61">
        <f>IF(L58="","",IF(L58&gt;=1,"Completado",IF(L58&gt;0,"En curso","Pendiente")))</f>
        <v/>
      </c>
      <c r="N58" s="62" t="n"/>
      <c r="O58" s="68">
        <f>IF(NOT((COUNTA($B58:$K58)+COUNTA($N58))&gt;0),"",IF((IF(AND($S58="Macro",$B58=""),"Macroactividad vacía"&amp;" · ","")&amp;IF(AND($B58&lt;&gt;"",$C58&lt;&gt;""),"Escriba la subactividad en otra fila, debajo de su macroactividad"&amp;" · ","")&amp;IF(AND($S58="Sub",N($R58)=0),"Subactividad sin macroactividad arriba"&amp;" · ","")&amp;IF($D58="","Sin responsable"&amp;" · ","")&amp;IF($E58="","Sin fecha de inicio"&amp;" · ","")&amp;IF($F58="","Sin fecha límite"&amp;" · ","")&amp;IF(OR(AND($E58&lt;&gt;"",NOT(ISNUMBER($E58))),AND($F58&lt;&gt;"",NOT(ISNUMBER($F58)))),"Fecha no válida"&amp;" · ","")&amp;IF(AND(ISNUMBER($E58),ISNUMBER($F58),$E58&gt;$F58),"Inicio posterior a fecha límite"&amp;" · ","")&amp;IF(AND($S58="Macro",$G58=""),"Peso vacío"&amp;" · ","")&amp;IF(AND($S58="Macro",$G58&lt;&gt;"",OR(NOT(ISNUMBER($G58)),$G58&lt;=0,$G58&gt;1)),"Peso fuera de rango"&amp;" · ","")&amp;IF(AND($S58="Sub",$G58&lt;&gt;""),"Las subactividades no llevan peso"&amp;" · ","")&amp;IF(AND($S58="Macro",ABS(SUMIFS($G$5:$G$1000,$P$5:$P$1000,$P58,$S$5:$S$1000,"Macro")-1)&gt;0.0001),"Pesos del mes suman "&amp;TEXT(SUMIFS($G$5:$G$1000,$P$5:$P$1000,$P58,$S$5:$S$1000,"Macro"),"0%")&amp;" · ","")&amp;IF(AND(N($T58)&gt;0,COUNT($H58:$K58)&gt;0),"Con subactividades: deje vacías las semanas (se calculan solas)"&amp;" · ","")&amp;IF((COUNTIF($H58:$K58,"&gt;1")+COUNTIF($H58:$K58,"&lt;0")+COUNTA($H58:$K58)-COUNT($H58:$K58))&gt;0,"Avance fuera de rango 0-100%"&amp;" · ","")&amp;IF(OR(AND($I58&lt;&gt;"",$I58&lt;$H58),AND($J58&lt;&gt;"",$J58&lt;MAX($H58:$I58)),AND($K58&lt;&gt;"",$K58&lt;MAX($H58:$J58))),"Avance semanal decreciente"&amp;" · ","")&amp;IF(AND(ISNUMBER($F58),$F58&lt;FechaRef,N($L58)&lt;1),"Vencida"&amp;" · ","")&amp;IF(AND(ObsObligatoria="Sí",ISNUMBER($F58),$F58&lt;FechaRef,N($L58)&lt;1,$N58=""),"Vencida sin observación"&amp;" · ",""))="","✔ OK","⚠ "&amp;LEFT(IF(AND($S58="Macro",$B58=""),"Macroactividad vacía"&amp;" · ","")&amp;IF(AND($B58&lt;&gt;"",$C58&lt;&gt;""),"Escriba la subactividad en otra fila, debajo de su macroactividad"&amp;" · ","")&amp;IF(AND($S58="Sub",N($R58)=0),"Subactividad sin macroactividad arriba"&amp;" · ","")&amp;IF($D58="","Sin responsable"&amp;" · ","")&amp;IF($E58="","Sin fecha de inicio"&amp;" · ","")&amp;IF($F58="","Sin fecha límite"&amp;" · ","")&amp;IF(OR(AND($E58&lt;&gt;"",NOT(ISNUMBER($E58))),AND($F58&lt;&gt;"",NOT(ISNUMBER($F58)))),"Fecha no válida"&amp;" · ","")&amp;IF(AND(ISNUMBER($E58),ISNUMBER($F58),$E58&gt;$F58),"Inicio posterior a fecha límite"&amp;" · ","")&amp;IF(AND($S58="Macro",$G58=""),"Peso vacío"&amp;" · ","")&amp;IF(AND($S58="Macro",$G58&lt;&gt;"",OR(NOT(ISNUMBER($G58)),$G58&lt;=0,$G58&gt;1)),"Peso fuera de rango"&amp;" · ","")&amp;IF(AND($S58="Sub",$G58&lt;&gt;""),"Las subactividades no llevan peso"&amp;" · ","")&amp;IF(AND($S58="Macro",ABS(SUMIFS($G$5:$G$1000,$P$5:$P$1000,$P58,$S$5:$S$1000,"Macro")-1)&gt;0.0001),"Pesos del mes suman "&amp;TEXT(SUMIFS($G$5:$G$1000,$P$5:$P$1000,$P58,$S$5:$S$1000,"Macro"),"0%")&amp;" · ","")&amp;IF(AND(N($T58)&gt;0,COUNT($H58:$K58)&gt;0),"Con subactividades: deje vacías las semanas (se calculan solas)"&amp;" · ","")&amp;IF((COUNTIF($H58:$K58,"&gt;1")+COUNTIF($H58:$K58,"&lt;0")+COUNTA($H58:$K58)-COUNT($H58:$K58))&gt;0,"Avance fuera de rango 0-100%"&amp;" · ","")&amp;IF(OR(AND($I58&lt;&gt;"",$I58&lt;$H58),AND($J58&lt;&gt;"",$J58&lt;MAX($H58:$I58)),AND($K58&lt;&gt;"",$K58&lt;MAX($H58:$J58))),"Avance semanal decreciente"&amp;" · ","")&amp;IF(AND(ISNUMBER($F58),$F58&lt;FechaRef,N($L58)&lt;1),"Vencida"&amp;" · ","")&amp;IF(AND(ObsObligatoria="Sí",ISNUMBER($F58),$F58&lt;FechaRef,N($L58)&lt;1,$N58=""),"Vencida sin observación"&amp;" · ",""),LEN(IF(AND($S58="Macro",$B58=""),"Macroactividad vacía"&amp;" · ","")&amp;IF(AND($B58&lt;&gt;"",$C58&lt;&gt;""),"Escriba la subactividad en otra fila, debajo de su macroactividad"&amp;" · ","")&amp;IF(AND($S58="Sub",N($R58)=0),"Subactividad sin macroactividad arriba"&amp;" · ","")&amp;IF($D58="","Sin responsable"&amp;" · ","")&amp;IF($E58="","Sin fecha de inicio"&amp;" · ","")&amp;IF($F58="","Sin fecha límite"&amp;" · ","")&amp;IF(OR(AND($E58&lt;&gt;"",NOT(ISNUMBER($E58))),AND($F58&lt;&gt;"",NOT(ISNUMBER($F58)))),"Fecha no válida"&amp;" · ","")&amp;IF(AND(ISNUMBER($E58),ISNUMBER($F58),$E58&gt;$F58),"Inicio posterior a fecha límite"&amp;" · ","")&amp;IF(AND($S58="Macro",$G58=""),"Peso vacío"&amp;" · ","")&amp;IF(AND($S58="Macro",$G58&lt;&gt;"",OR(NOT(ISNUMBER($G58)),$G58&lt;=0,$G58&gt;1)),"Peso fuera de rango"&amp;" · ","")&amp;IF(AND($S58="Sub",$G58&lt;&gt;""),"Las subactividades no llevan peso"&amp;" · ","")&amp;IF(AND($S58="Macro",ABS(SUMIFS($G$5:$G$1000,$P$5:$P$1000,$P58,$S$5:$S$1000,"Macro")-1)&gt;0.0001),"Pesos del mes suman "&amp;TEXT(SUMIFS($G$5:$G$1000,$P$5:$P$1000,$P58,$S$5:$S$1000,"Macro"),"0%")&amp;" · ","")&amp;IF(AND(N($T58)&gt;0,COUNT($H58:$K58)&gt;0),"Con subactividades: deje vacías las semanas (se calculan solas)"&amp;" · ","")&amp;IF((COUNTIF($H58:$K58,"&gt;1")+COUNTIF($H58:$K58,"&lt;0")+COUNTA($H58:$K58)-COUNT($H58:$K58))&gt;0,"Avance fuera de rango 0-100%"&amp;" · ","")&amp;IF(OR(AND($I58&lt;&gt;"",$I58&lt;$H58),AND($J58&lt;&gt;"",$J58&lt;MAX($H58:$I58)),AND($K58&lt;&gt;"",$K58&lt;MAX($H58:$J58))),"Avance semanal decreciente"&amp;" · ","")&amp;IF(AND(ISNUMBER($F58),$F58&lt;FechaRef,N($L58)&lt;1),"Vencida"&amp;" · ","")&amp;IF(AND(ObsObligatoria="Sí",ISNUMBER($F58),$F58&lt;FechaRef,N($L58)&lt;1,$N58=""),"Vencida sin observación"&amp;" · ",""))-3)))</f>
        <v/>
      </c>
      <c r="P58" s="69">
        <f>IF(NOT((COUNTA($B58:$K58)+COUNTA($N58))&gt;0),"",IF(AND($S58="Sub",N($R58)&gt;0),IF(ISNUMBER(INDEX($E$5:$E$1000,$R58-4)),DATE(YEAR(INDEX($E$5:$E$1000,$R58-4)),MONTH(INDEX($E$5:$E$1000,$R58-4)),1),IF(ISNUMBER(INDEX($F$5:$F$1000,$R58-4)),DATE(YEAR(INDEX($F$5:$F$1000,$R58-4)),MONTH(INDEX($F$5:$F$1000,$R58-4)),1),MesCiclo)),IF(ISNUMBER($E58),DATE(YEAR($E58),MONTH($E58),1),IF(ISNUMBER($F58),DATE(YEAR($F58),MONTH($F58),1),MesCiclo))))</f>
        <v/>
      </c>
      <c r="Q58" s="70">
        <f>IF(OR($P58="",$P58&lt;&gt;MesCiclo),"",COUNTIF($P$5:$P58,MesCiclo))</f>
        <v/>
      </c>
      <c r="R58" s="70">
        <f>IF($S58="","",IF($S58="Macro",ROW(),IFERROR(LOOKUP(2,1/($S$5:$S58="Macro"),ROW($S$5:$S58)),0)))</f>
        <v/>
      </c>
      <c r="S58" s="70">
        <f>IF(NOT((COUNTA($B58:$K58)+COUNTA($N58))&gt;0),"",IF($B58&lt;&gt;"","Macro",IF($C58&lt;&gt;"","Sub","Macro")))</f>
        <v/>
      </c>
      <c r="T58" s="70">
        <f>IF($S58="Macro",COUNTIFS($R$5:$R$1000,ROW(),$S$5:$S$1000,"Sub"),"")</f>
        <v/>
      </c>
      <c r="U58" s="70">
        <f>IF($S58="","",IF(ISNUMBER($H58),$H58,0))</f>
        <v/>
      </c>
      <c r="V58" s="70">
        <f>IF($S58="","",IF(ISNUMBER($I58),$I58,$U58))</f>
        <v/>
      </c>
      <c r="W58" s="70">
        <f>IF($S58="","",IF(ISNUMBER($J58),$J58,$V58))</f>
        <v/>
      </c>
      <c r="X58" s="70">
        <f>IF($S58="","",IF(ISNUMBER($K58),$K58,$W58))</f>
        <v/>
      </c>
      <c r="Y58" s="70">
        <f>IF($S58="","",IF(N($T58)&gt;0,AVERAGEIFS($U$5:$U$1000,$R$5:$R$1000,ROW(),$S$5:$S$1000,"Sub"),$U58))</f>
        <v/>
      </c>
      <c r="Z58" s="70">
        <f>IF($S58="","",IF(N($T58)&gt;0,AVERAGEIFS($V$5:$V$1000,$R$5:$R$1000,ROW(),$S$5:$S$1000,"Sub"),$V58))</f>
        <v/>
      </c>
      <c r="AA58" s="70">
        <f>IF($S58="","",IF(N($T58)&gt;0,AVERAGEIFS($W$5:$W$1000,$R$5:$R$1000,ROW(),$S$5:$S$1000,"Sub"),$W58))</f>
        <v/>
      </c>
      <c r="AB58" s="70">
        <f>IF($S58="","",IF(N($T58)&gt;0,AVERAGEIFS($X$5:$X$1000,$R$5:$R$1000,ROW(),$S$5:$S$1000,"Sub"),$X58))</f>
        <v/>
      </c>
    </row>
    <row r="59">
      <c r="A59" s="61">
        <f>IF(NOT((COUNTA($B59:$K59)+COUNTA($N59))&gt;0),"",IF($S59="Macro",COUNTIFS($S$5:$S59,"Macro",$P$5:$P59,$P59),IF(N($R59)=0,"?",COUNTIFS(INDEX($S$5:$S$1000,1):INDEX($S$5:$S$1000,$R59-4),"Macro",INDEX($P$5:$P$1000,1):INDEX($P$5:$P$1000,$R59-4),INDEX($P$5:$P$1000,$R59-4))&amp;"."&amp;COUNTIFS($R$5:$R59,$R59,$S$5:$S59,"Sub"))))</f>
        <v/>
      </c>
      <c r="B59" s="62" t="n"/>
      <c r="C59" s="63" t="n"/>
      <c r="D59" s="62" t="n"/>
      <c r="E59" s="64" t="n"/>
      <c r="F59" s="64" t="n"/>
      <c r="G59" s="65" t="n"/>
      <c r="H59" s="66" t="n"/>
      <c r="I59" s="66" t="n"/>
      <c r="J59" s="66" t="n"/>
      <c r="K59" s="66" t="n"/>
      <c r="L59" s="67">
        <f>IF(NOT((COUNTA($B59:$K59)+COUNTA($N59))&gt;0),"",IF(N($T59)&gt;0,$AB59,IFERROR(LOOKUP(2,1/(H59:K59&lt;&gt;""),H59:K59),0)))</f>
        <v/>
      </c>
      <c r="M59" s="61">
        <f>IF(L59="","",IF(L59&gt;=1,"Completado",IF(L59&gt;0,"En curso","Pendiente")))</f>
        <v/>
      </c>
      <c r="N59" s="62" t="n"/>
      <c r="O59" s="68">
        <f>IF(NOT((COUNTA($B59:$K59)+COUNTA($N59))&gt;0),"",IF((IF(AND($S59="Macro",$B59=""),"Macroactividad vacía"&amp;" · ","")&amp;IF(AND($B59&lt;&gt;"",$C59&lt;&gt;""),"Escriba la subactividad en otra fila, debajo de su macroactividad"&amp;" · ","")&amp;IF(AND($S59="Sub",N($R59)=0),"Subactividad sin macroactividad arriba"&amp;" · ","")&amp;IF($D59="","Sin responsable"&amp;" · ","")&amp;IF($E59="","Sin fecha de inicio"&amp;" · ","")&amp;IF($F59="","Sin fecha límite"&amp;" · ","")&amp;IF(OR(AND($E59&lt;&gt;"",NOT(ISNUMBER($E59))),AND($F59&lt;&gt;"",NOT(ISNUMBER($F59)))),"Fecha no válida"&amp;" · ","")&amp;IF(AND(ISNUMBER($E59),ISNUMBER($F59),$E59&gt;$F59),"Inicio posterior a fecha límite"&amp;" · ","")&amp;IF(AND($S59="Macro",$G59=""),"Peso vacío"&amp;" · ","")&amp;IF(AND($S59="Macro",$G59&lt;&gt;"",OR(NOT(ISNUMBER($G59)),$G59&lt;=0,$G59&gt;1)),"Peso fuera de rango"&amp;" · ","")&amp;IF(AND($S59="Sub",$G59&lt;&gt;""),"Las subactividades no llevan peso"&amp;" · ","")&amp;IF(AND($S59="Macro",ABS(SUMIFS($G$5:$G$1000,$P$5:$P$1000,$P59,$S$5:$S$1000,"Macro")-1)&gt;0.0001),"Pesos del mes suman "&amp;TEXT(SUMIFS($G$5:$G$1000,$P$5:$P$1000,$P59,$S$5:$S$1000,"Macro"),"0%")&amp;" · ","")&amp;IF(AND(N($T59)&gt;0,COUNT($H59:$K59)&gt;0),"Con subactividades: deje vacías las semanas (se calculan solas)"&amp;" · ","")&amp;IF((COUNTIF($H59:$K59,"&gt;1")+COUNTIF($H59:$K59,"&lt;0")+COUNTA($H59:$K59)-COUNT($H59:$K59))&gt;0,"Avance fuera de rango 0-100%"&amp;" · ","")&amp;IF(OR(AND($I59&lt;&gt;"",$I59&lt;$H59),AND($J59&lt;&gt;"",$J59&lt;MAX($H59:$I59)),AND($K59&lt;&gt;"",$K59&lt;MAX($H59:$J59))),"Avance semanal decreciente"&amp;" · ","")&amp;IF(AND(ISNUMBER($F59),$F59&lt;FechaRef,N($L59)&lt;1),"Vencida"&amp;" · ","")&amp;IF(AND(ObsObligatoria="Sí",ISNUMBER($F59),$F59&lt;FechaRef,N($L59)&lt;1,$N59=""),"Vencida sin observación"&amp;" · ",""))="","✔ OK","⚠ "&amp;LEFT(IF(AND($S59="Macro",$B59=""),"Macroactividad vacía"&amp;" · ","")&amp;IF(AND($B59&lt;&gt;"",$C59&lt;&gt;""),"Escriba la subactividad en otra fila, debajo de su macroactividad"&amp;" · ","")&amp;IF(AND($S59="Sub",N($R59)=0),"Subactividad sin macroactividad arriba"&amp;" · ","")&amp;IF($D59="","Sin responsable"&amp;" · ","")&amp;IF($E59="","Sin fecha de inicio"&amp;" · ","")&amp;IF($F59="","Sin fecha límite"&amp;" · ","")&amp;IF(OR(AND($E59&lt;&gt;"",NOT(ISNUMBER($E59))),AND($F59&lt;&gt;"",NOT(ISNUMBER($F59)))),"Fecha no válida"&amp;" · ","")&amp;IF(AND(ISNUMBER($E59),ISNUMBER($F59),$E59&gt;$F59),"Inicio posterior a fecha límite"&amp;" · ","")&amp;IF(AND($S59="Macro",$G59=""),"Peso vacío"&amp;" · ","")&amp;IF(AND($S59="Macro",$G59&lt;&gt;"",OR(NOT(ISNUMBER($G59)),$G59&lt;=0,$G59&gt;1)),"Peso fuera de rango"&amp;" · ","")&amp;IF(AND($S59="Sub",$G59&lt;&gt;""),"Las subactividades no llevan peso"&amp;" · ","")&amp;IF(AND($S59="Macro",ABS(SUMIFS($G$5:$G$1000,$P$5:$P$1000,$P59,$S$5:$S$1000,"Macro")-1)&gt;0.0001),"Pesos del mes suman "&amp;TEXT(SUMIFS($G$5:$G$1000,$P$5:$P$1000,$P59,$S$5:$S$1000,"Macro"),"0%")&amp;" · ","")&amp;IF(AND(N($T59)&gt;0,COUNT($H59:$K59)&gt;0),"Con subactividades: deje vacías las semanas (se calculan solas)"&amp;" · ","")&amp;IF((COUNTIF($H59:$K59,"&gt;1")+COUNTIF($H59:$K59,"&lt;0")+COUNTA($H59:$K59)-COUNT($H59:$K59))&gt;0,"Avance fuera de rango 0-100%"&amp;" · ","")&amp;IF(OR(AND($I59&lt;&gt;"",$I59&lt;$H59),AND($J59&lt;&gt;"",$J59&lt;MAX($H59:$I59)),AND($K59&lt;&gt;"",$K59&lt;MAX($H59:$J59))),"Avance semanal decreciente"&amp;" · ","")&amp;IF(AND(ISNUMBER($F59),$F59&lt;FechaRef,N($L59)&lt;1),"Vencida"&amp;" · ","")&amp;IF(AND(ObsObligatoria="Sí",ISNUMBER($F59),$F59&lt;FechaRef,N($L59)&lt;1,$N59=""),"Vencida sin observación"&amp;" · ",""),LEN(IF(AND($S59="Macro",$B59=""),"Macroactividad vacía"&amp;" · ","")&amp;IF(AND($B59&lt;&gt;"",$C59&lt;&gt;""),"Escriba la subactividad en otra fila, debajo de su macroactividad"&amp;" · ","")&amp;IF(AND($S59="Sub",N($R59)=0),"Subactividad sin macroactividad arriba"&amp;" · ","")&amp;IF($D59="","Sin responsable"&amp;" · ","")&amp;IF($E59="","Sin fecha de inicio"&amp;" · ","")&amp;IF($F59="","Sin fecha límite"&amp;" · ","")&amp;IF(OR(AND($E59&lt;&gt;"",NOT(ISNUMBER($E59))),AND($F59&lt;&gt;"",NOT(ISNUMBER($F59)))),"Fecha no válida"&amp;" · ","")&amp;IF(AND(ISNUMBER($E59),ISNUMBER($F59),$E59&gt;$F59),"Inicio posterior a fecha límite"&amp;" · ","")&amp;IF(AND($S59="Macro",$G59=""),"Peso vacío"&amp;" · ","")&amp;IF(AND($S59="Macro",$G59&lt;&gt;"",OR(NOT(ISNUMBER($G59)),$G59&lt;=0,$G59&gt;1)),"Peso fuera de rango"&amp;" · ","")&amp;IF(AND($S59="Sub",$G59&lt;&gt;""),"Las subactividades no llevan peso"&amp;" · ","")&amp;IF(AND($S59="Macro",ABS(SUMIFS($G$5:$G$1000,$P$5:$P$1000,$P59,$S$5:$S$1000,"Macro")-1)&gt;0.0001),"Pesos del mes suman "&amp;TEXT(SUMIFS($G$5:$G$1000,$P$5:$P$1000,$P59,$S$5:$S$1000,"Macro"),"0%")&amp;" · ","")&amp;IF(AND(N($T59)&gt;0,COUNT($H59:$K59)&gt;0),"Con subactividades: deje vacías las semanas (se calculan solas)"&amp;" · ","")&amp;IF((COUNTIF($H59:$K59,"&gt;1")+COUNTIF($H59:$K59,"&lt;0")+COUNTA($H59:$K59)-COUNT($H59:$K59))&gt;0,"Avance fuera de rango 0-100%"&amp;" · ","")&amp;IF(OR(AND($I59&lt;&gt;"",$I59&lt;$H59),AND($J59&lt;&gt;"",$J59&lt;MAX($H59:$I59)),AND($K59&lt;&gt;"",$K59&lt;MAX($H59:$J59))),"Avance semanal decreciente"&amp;" · ","")&amp;IF(AND(ISNUMBER($F59),$F59&lt;FechaRef,N($L59)&lt;1),"Vencida"&amp;" · ","")&amp;IF(AND(ObsObligatoria="Sí",ISNUMBER($F59),$F59&lt;FechaRef,N($L59)&lt;1,$N59=""),"Vencida sin observación"&amp;" · ",""))-3)))</f>
        <v/>
      </c>
      <c r="P59" s="69">
        <f>IF(NOT((COUNTA($B59:$K59)+COUNTA($N59))&gt;0),"",IF(AND($S59="Sub",N($R59)&gt;0),IF(ISNUMBER(INDEX($E$5:$E$1000,$R59-4)),DATE(YEAR(INDEX($E$5:$E$1000,$R59-4)),MONTH(INDEX($E$5:$E$1000,$R59-4)),1),IF(ISNUMBER(INDEX($F$5:$F$1000,$R59-4)),DATE(YEAR(INDEX($F$5:$F$1000,$R59-4)),MONTH(INDEX($F$5:$F$1000,$R59-4)),1),MesCiclo)),IF(ISNUMBER($E59),DATE(YEAR($E59),MONTH($E59),1),IF(ISNUMBER($F59),DATE(YEAR($F59),MONTH($F59),1),MesCiclo))))</f>
        <v/>
      </c>
      <c r="Q59" s="70">
        <f>IF(OR($P59="",$P59&lt;&gt;MesCiclo),"",COUNTIF($P$5:$P59,MesCiclo))</f>
        <v/>
      </c>
      <c r="R59" s="70">
        <f>IF($S59="","",IF($S59="Macro",ROW(),IFERROR(LOOKUP(2,1/($S$5:$S59="Macro"),ROW($S$5:$S59)),0)))</f>
        <v/>
      </c>
      <c r="S59" s="70">
        <f>IF(NOT((COUNTA($B59:$K59)+COUNTA($N59))&gt;0),"",IF($B59&lt;&gt;"","Macro",IF($C59&lt;&gt;"","Sub","Macro")))</f>
        <v/>
      </c>
      <c r="T59" s="70">
        <f>IF($S59="Macro",COUNTIFS($R$5:$R$1000,ROW(),$S$5:$S$1000,"Sub"),"")</f>
        <v/>
      </c>
      <c r="U59" s="70">
        <f>IF($S59="","",IF(ISNUMBER($H59),$H59,0))</f>
        <v/>
      </c>
      <c r="V59" s="70">
        <f>IF($S59="","",IF(ISNUMBER($I59),$I59,$U59))</f>
        <v/>
      </c>
      <c r="W59" s="70">
        <f>IF($S59="","",IF(ISNUMBER($J59),$J59,$V59))</f>
        <v/>
      </c>
      <c r="X59" s="70">
        <f>IF($S59="","",IF(ISNUMBER($K59),$K59,$W59))</f>
        <v/>
      </c>
      <c r="Y59" s="70">
        <f>IF($S59="","",IF(N($T59)&gt;0,AVERAGEIFS($U$5:$U$1000,$R$5:$R$1000,ROW(),$S$5:$S$1000,"Sub"),$U59))</f>
        <v/>
      </c>
      <c r="Z59" s="70">
        <f>IF($S59="","",IF(N($T59)&gt;0,AVERAGEIFS($V$5:$V$1000,$R$5:$R$1000,ROW(),$S$5:$S$1000,"Sub"),$V59))</f>
        <v/>
      </c>
      <c r="AA59" s="70">
        <f>IF($S59="","",IF(N($T59)&gt;0,AVERAGEIFS($W$5:$W$1000,$R$5:$R$1000,ROW(),$S$5:$S$1000,"Sub"),$W59))</f>
        <v/>
      </c>
      <c r="AB59" s="70">
        <f>IF($S59="","",IF(N($T59)&gt;0,AVERAGEIFS($X$5:$X$1000,$R$5:$R$1000,ROW(),$S$5:$S$1000,"Sub"),$X59))</f>
        <v/>
      </c>
    </row>
    <row r="60">
      <c r="A60" s="61">
        <f>IF(NOT((COUNTA($B60:$K60)+COUNTA($N60))&gt;0),"",IF($S60="Macro",COUNTIFS($S$5:$S60,"Macro",$P$5:$P60,$P60),IF(N($R60)=0,"?",COUNTIFS(INDEX($S$5:$S$1000,1):INDEX($S$5:$S$1000,$R60-4),"Macro",INDEX($P$5:$P$1000,1):INDEX($P$5:$P$1000,$R60-4),INDEX($P$5:$P$1000,$R60-4))&amp;"."&amp;COUNTIFS($R$5:$R60,$R60,$S$5:$S60,"Sub"))))</f>
        <v/>
      </c>
      <c r="B60" s="62" t="n"/>
      <c r="C60" s="63" t="n"/>
      <c r="D60" s="62" t="n"/>
      <c r="E60" s="64" t="n"/>
      <c r="F60" s="64" t="n"/>
      <c r="G60" s="65" t="n"/>
      <c r="H60" s="66" t="n"/>
      <c r="I60" s="66" t="n"/>
      <c r="J60" s="66" t="n"/>
      <c r="K60" s="66" t="n"/>
      <c r="L60" s="67">
        <f>IF(NOT((COUNTA($B60:$K60)+COUNTA($N60))&gt;0),"",IF(N($T60)&gt;0,$AB60,IFERROR(LOOKUP(2,1/(H60:K60&lt;&gt;""),H60:K60),0)))</f>
        <v/>
      </c>
      <c r="M60" s="61">
        <f>IF(L60="","",IF(L60&gt;=1,"Completado",IF(L60&gt;0,"En curso","Pendiente")))</f>
        <v/>
      </c>
      <c r="N60" s="62" t="n"/>
      <c r="O60" s="68">
        <f>IF(NOT((COUNTA($B60:$K60)+COUNTA($N60))&gt;0),"",IF((IF(AND($S60="Macro",$B60=""),"Macroactividad vacía"&amp;" · ","")&amp;IF(AND($B60&lt;&gt;"",$C60&lt;&gt;""),"Escriba la subactividad en otra fila, debajo de su macroactividad"&amp;" · ","")&amp;IF(AND($S60="Sub",N($R60)=0),"Subactividad sin macroactividad arriba"&amp;" · ","")&amp;IF($D60="","Sin responsable"&amp;" · ","")&amp;IF($E60="","Sin fecha de inicio"&amp;" · ","")&amp;IF($F60="","Sin fecha límite"&amp;" · ","")&amp;IF(OR(AND($E60&lt;&gt;"",NOT(ISNUMBER($E60))),AND($F60&lt;&gt;"",NOT(ISNUMBER($F60)))),"Fecha no válida"&amp;" · ","")&amp;IF(AND(ISNUMBER($E60),ISNUMBER($F60),$E60&gt;$F60),"Inicio posterior a fecha límite"&amp;" · ","")&amp;IF(AND($S60="Macro",$G60=""),"Peso vacío"&amp;" · ","")&amp;IF(AND($S60="Macro",$G60&lt;&gt;"",OR(NOT(ISNUMBER($G60)),$G60&lt;=0,$G60&gt;1)),"Peso fuera de rango"&amp;" · ","")&amp;IF(AND($S60="Sub",$G60&lt;&gt;""),"Las subactividades no llevan peso"&amp;" · ","")&amp;IF(AND($S60="Macro",ABS(SUMIFS($G$5:$G$1000,$P$5:$P$1000,$P60,$S$5:$S$1000,"Macro")-1)&gt;0.0001),"Pesos del mes suman "&amp;TEXT(SUMIFS($G$5:$G$1000,$P$5:$P$1000,$P60,$S$5:$S$1000,"Macro"),"0%")&amp;" · ","")&amp;IF(AND(N($T60)&gt;0,COUNT($H60:$K60)&gt;0),"Con subactividades: deje vacías las semanas (se calculan solas)"&amp;" · ","")&amp;IF((COUNTIF($H60:$K60,"&gt;1")+COUNTIF($H60:$K60,"&lt;0")+COUNTA($H60:$K60)-COUNT($H60:$K60))&gt;0,"Avance fuera de rango 0-100%"&amp;" · ","")&amp;IF(OR(AND($I60&lt;&gt;"",$I60&lt;$H60),AND($J60&lt;&gt;"",$J60&lt;MAX($H60:$I60)),AND($K60&lt;&gt;"",$K60&lt;MAX($H60:$J60))),"Avance semanal decreciente"&amp;" · ","")&amp;IF(AND(ISNUMBER($F60),$F60&lt;FechaRef,N($L60)&lt;1),"Vencida"&amp;" · ","")&amp;IF(AND(ObsObligatoria="Sí",ISNUMBER($F60),$F60&lt;FechaRef,N($L60)&lt;1,$N60=""),"Vencida sin observación"&amp;" · ",""))="","✔ OK","⚠ "&amp;LEFT(IF(AND($S60="Macro",$B60=""),"Macroactividad vacía"&amp;" · ","")&amp;IF(AND($B60&lt;&gt;"",$C60&lt;&gt;""),"Escriba la subactividad en otra fila, debajo de su macroactividad"&amp;" · ","")&amp;IF(AND($S60="Sub",N($R60)=0),"Subactividad sin macroactividad arriba"&amp;" · ","")&amp;IF($D60="","Sin responsable"&amp;" · ","")&amp;IF($E60="","Sin fecha de inicio"&amp;" · ","")&amp;IF($F60="","Sin fecha límite"&amp;" · ","")&amp;IF(OR(AND($E60&lt;&gt;"",NOT(ISNUMBER($E60))),AND($F60&lt;&gt;"",NOT(ISNUMBER($F60)))),"Fecha no válida"&amp;" · ","")&amp;IF(AND(ISNUMBER($E60),ISNUMBER($F60),$E60&gt;$F60),"Inicio posterior a fecha límite"&amp;" · ","")&amp;IF(AND($S60="Macro",$G60=""),"Peso vacío"&amp;" · ","")&amp;IF(AND($S60="Macro",$G60&lt;&gt;"",OR(NOT(ISNUMBER($G60)),$G60&lt;=0,$G60&gt;1)),"Peso fuera de rango"&amp;" · ","")&amp;IF(AND($S60="Sub",$G60&lt;&gt;""),"Las subactividades no llevan peso"&amp;" · ","")&amp;IF(AND($S60="Macro",ABS(SUMIFS($G$5:$G$1000,$P$5:$P$1000,$P60,$S$5:$S$1000,"Macro")-1)&gt;0.0001),"Pesos del mes suman "&amp;TEXT(SUMIFS($G$5:$G$1000,$P$5:$P$1000,$P60,$S$5:$S$1000,"Macro"),"0%")&amp;" · ","")&amp;IF(AND(N($T60)&gt;0,COUNT($H60:$K60)&gt;0),"Con subactividades: deje vacías las semanas (se calculan solas)"&amp;" · ","")&amp;IF((COUNTIF($H60:$K60,"&gt;1")+COUNTIF($H60:$K60,"&lt;0")+COUNTA($H60:$K60)-COUNT($H60:$K60))&gt;0,"Avance fuera de rango 0-100%"&amp;" · ","")&amp;IF(OR(AND($I60&lt;&gt;"",$I60&lt;$H60),AND($J60&lt;&gt;"",$J60&lt;MAX($H60:$I60)),AND($K60&lt;&gt;"",$K60&lt;MAX($H60:$J60))),"Avance semanal decreciente"&amp;" · ","")&amp;IF(AND(ISNUMBER($F60),$F60&lt;FechaRef,N($L60)&lt;1),"Vencida"&amp;" · ","")&amp;IF(AND(ObsObligatoria="Sí",ISNUMBER($F60),$F60&lt;FechaRef,N($L60)&lt;1,$N60=""),"Vencida sin observación"&amp;" · ",""),LEN(IF(AND($S60="Macro",$B60=""),"Macroactividad vacía"&amp;" · ","")&amp;IF(AND($B60&lt;&gt;"",$C60&lt;&gt;""),"Escriba la subactividad en otra fila, debajo de su macroactividad"&amp;" · ","")&amp;IF(AND($S60="Sub",N($R60)=0),"Subactividad sin macroactividad arriba"&amp;" · ","")&amp;IF($D60="","Sin responsable"&amp;" · ","")&amp;IF($E60="","Sin fecha de inicio"&amp;" · ","")&amp;IF($F60="","Sin fecha límite"&amp;" · ","")&amp;IF(OR(AND($E60&lt;&gt;"",NOT(ISNUMBER($E60))),AND($F60&lt;&gt;"",NOT(ISNUMBER($F60)))),"Fecha no válida"&amp;" · ","")&amp;IF(AND(ISNUMBER($E60),ISNUMBER($F60),$E60&gt;$F60),"Inicio posterior a fecha límite"&amp;" · ","")&amp;IF(AND($S60="Macro",$G60=""),"Peso vacío"&amp;" · ","")&amp;IF(AND($S60="Macro",$G60&lt;&gt;"",OR(NOT(ISNUMBER($G60)),$G60&lt;=0,$G60&gt;1)),"Peso fuera de rango"&amp;" · ","")&amp;IF(AND($S60="Sub",$G60&lt;&gt;""),"Las subactividades no llevan peso"&amp;" · ","")&amp;IF(AND($S60="Macro",ABS(SUMIFS($G$5:$G$1000,$P$5:$P$1000,$P60,$S$5:$S$1000,"Macro")-1)&gt;0.0001),"Pesos del mes suman "&amp;TEXT(SUMIFS($G$5:$G$1000,$P$5:$P$1000,$P60,$S$5:$S$1000,"Macro"),"0%")&amp;" · ","")&amp;IF(AND(N($T60)&gt;0,COUNT($H60:$K60)&gt;0),"Con subactividades: deje vacías las semanas (se calculan solas)"&amp;" · ","")&amp;IF((COUNTIF($H60:$K60,"&gt;1")+COUNTIF($H60:$K60,"&lt;0")+COUNTA($H60:$K60)-COUNT($H60:$K60))&gt;0,"Avance fuera de rango 0-100%"&amp;" · ","")&amp;IF(OR(AND($I60&lt;&gt;"",$I60&lt;$H60),AND($J60&lt;&gt;"",$J60&lt;MAX($H60:$I60)),AND($K60&lt;&gt;"",$K60&lt;MAX($H60:$J60))),"Avance semanal decreciente"&amp;" · ","")&amp;IF(AND(ISNUMBER($F60),$F60&lt;FechaRef,N($L60)&lt;1),"Vencida"&amp;" · ","")&amp;IF(AND(ObsObligatoria="Sí",ISNUMBER($F60),$F60&lt;FechaRef,N($L60)&lt;1,$N60=""),"Vencida sin observación"&amp;" · ",""))-3)))</f>
        <v/>
      </c>
      <c r="P60" s="69">
        <f>IF(NOT((COUNTA($B60:$K60)+COUNTA($N60))&gt;0),"",IF(AND($S60="Sub",N($R60)&gt;0),IF(ISNUMBER(INDEX($E$5:$E$1000,$R60-4)),DATE(YEAR(INDEX($E$5:$E$1000,$R60-4)),MONTH(INDEX($E$5:$E$1000,$R60-4)),1),IF(ISNUMBER(INDEX($F$5:$F$1000,$R60-4)),DATE(YEAR(INDEX($F$5:$F$1000,$R60-4)),MONTH(INDEX($F$5:$F$1000,$R60-4)),1),MesCiclo)),IF(ISNUMBER($E60),DATE(YEAR($E60),MONTH($E60),1),IF(ISNUMBER($F60),DATE(YEAR($F60),MONTH($F60),1),MesCiclo))))</f>
        <v/>
      </c>
      <c r="Q60" s="70">
        <f>IF(OR($P60="",$P60&lt;&gt;MesCiclo),"",COUNTIF($P$5:$P60,MesCiclo))</f>
        <v/>
      </c>
      <c r="R60" s="70">
        <f>IF($S60="","",IF($S60="Macro",ROW(),IFERROR(LOOKUP(2,1/($S$5:$S60="Macro"),ROW($S$5:$S60)),0)))</f>
        <v/>
      </c>
      <c r="S60" s="70">
        <f>IF(NOT((COUNTA($B60:$K60)+COUNTA($N60))&gt;0),"",IF($B60&lt;&gt;"","Macro",IF($C60&lt;&gt;"","Sub","Macro")))</f>
        <v/>
      </c>
      <c r="T60" s="70">
        <f>IF($S60="Macro",COUNTIFS($R$5:$R$1000,ROW(),$S$5:$S$1000,"Sub"),"")</f>
        <v/>
      </c>
      <c r="U60" s="70">
        <f>IF($S60="","",IF(ISNUMBER($H60),$H60,0))</f>
        <v/>
      </c>
      <c r="V60" s="70">
        <f>IF($S60="","",IF(ISNUMBER($I60),$I60,$U60))</f>
        <v/>
      </c>
      <c r="W60" s="70">
        <f>IF($S60="","",IF(ISNUMBER($J60),$J60,$V60))</f>
        <v/>
      </c>
      <c r="X60" s="70">
        <f>IF($S60="","",IF(ISNUMBER($K60),$K60,$W60))</f>
        <v/>
      </c>
      <c r="Y60" s="70">
        <f>IF($S60="","",IF(N($T60)&gt;0,AVERAGEIFS($U$5:$U$1000,$R$5:$R$1000,ROW(),$S$5:$S$1000,"Sub"),$U60))</f>
        <v/>
      </c>
      <c r="Z60" s="70">
        <f>IF($S60="","",IF(N($T60)&gt;0,AVERAGEIFS($V$5:$V$1000,$R$5:$R$1000,ROW(),$S$5:$S$1000,"Sub"),$V60))</f>
        <v/>
      </c>
      <c r="AA60" s="70">
        <f>IF($S60="","",IF(N($T60)&gt;0,AVERAGEIFS($W$5:$W$1000,$R$5:$R$1000,ROW(),$S$5:$S$1000,"Sub"),$W60))</f>
        <v/>
      </c>
      <c r="AB60" s="70">
        <f>IF($S60="","",IF(N($T60)&gt;0,AVERAGEIFS($X$5:$X$1000,$R$5:$R$1000,ROW(),$S$5:$S$1000,"Sub"),$X60))</f>
        <v/>
      </c>
    </row>
    <row r="61">
      <c r="A61" s="61">
        <f>IF(NOT((COUNTA($B61:$K61)+COUNTA($N61))&gt;0),"",IF($S61="Macro",COUNTIFS($S$5:$S61,"Macro",$P$5:$P61,$P61),IF(N($R61)=0,"?",COUNTIFS(INDEX($S$5:$S$1000,1):INDEX($S$5:$S$1000,$R61-4),"Macro",INDEX($P$5:$P$1000,1):INDEX($P$5:$P$1000,$R61-4),INDEX($P$5:$P$1000,$R61-4))&amp;"."&amp;COUNTIFS($R$5:$R61,$R61,$S$5:$S61,"Sub"))))</f>
        <v/>
      </c>
      <c r="B61" s="62" t="n"/>
      <c r="C61" s="63" t="n"/>
      <c r="D61" s="62" t="n"/>
      <c r="E61" s="64" t="n"/>
      <c r="F61" s="64" t="n"/>
      <c r="G61" s="65" t="n"/>
      <c r="H61" s="66" t="n"/>
      <c r="I61" s="66" t="n"/>
      <c r="J61" s="66" t="n"/>
      <c r="K61" s="66" t="n"/>
      <c r="L61" s="67">
        <f>IF(NOT((COUNTA($B61:$K61)+COUNTA($N61))&gt;0),"",IF(N($T61)&gt;0,$AB61,IFERROR(LOOKUP(2,1/(H61:K61&lt;&gt;""),H61:K61),0)))</f>
        <v/>
      </c>
      <c r="M61" s="61">
        <f>IF(L61="","",IF(L61&gt;=1,"Completado",IF(L61&gt;0,"En curso","Pendiente")))</f>
        <v/>
      </c>
      <c r="N61" s="62" t="n"/>
      <c r="O61" s="68">
        <f>IF(NOT((COUNTA($B61:$K61)+COUNTA($N61))&gt;0),"",IF((IF(AND($S61="Macro",$B61=""),"Macroactividad vacía"&amp;" · ","")&amp;IF(AND($B61&lt;&gt;"",$C61&lt;&gt;""),"Escriba la subactividad en otra fila, debajo de su macroactividad"&amp;" · ","")&amp;IF(AND($S61="Sub",N($R61)=0),"Subactividad sin macroactividad arriba"&amp;" · ","")&amp;IF($D61="","Sin responsable"&amp;" · ","")&amp;IF($E61="","Sin fecha de inicio"&amp;" · ","")&amp;IF($F61="","Sin fecha límite"&amp;" · ","")&amp;IF(OR(AND($E61&lt;&gt;"",NOT(ISNUMBER($E61))),AND($F61&lt;&gt;"",NOT(ISNUMBER($F61)))),"Fecha no válida"&amp;" · ","")&amp;IF(AND(ISNUMBER($E61),ISNUMBER($F61),$E61&gt;$F61),"Inicio posterior a fecha límite"&amp;" · ","")&amp;IF(AND($S61="Macro",$G61=""),"Peso vacío"&amp;" · ","")&amp;IF(AND($S61="Macro",$G61&lt;&gt;"",OR(NOT(ISNUMBER($G61)),$G61&lt;=0,$G61&gt;1)),"Peso fuera de rango"&amp;" · ","")&amp;IF(AND($S61="Sub",$G61&lt;&gt;""),"Las subactividades no llevan peso"&amp;" · ","")&amp;IF(AND($S61="Macro",ABS(SUMIFS($G$5:$G$1000,$P$5:$P$1000,$P61,$S$5:$S$1000,"Macro")-1)&gt;0.0001),"Pesos del mes suman "&amp;TEXT(SUMIFS($G$5:$G$1000,$P$5:$P$1000,$P61,$S$5:$S$1000,"Macro"),"0%")&amp;" · ","")&amp;IF(AND(N($T61)&gt;0,COUNT($H61:$K61)&gt;0),"Con subactividades: deje vacías las semanas (se calculan solas)"&amp;" · ","")&amp;IF((COUNTIF($H61:$K61,"&gt;1")+COUNTIF($H61:$K61,"&lt;0")+COUNTA($H61:$K61)-COUNT($H61:$K61))&gt;0,"Avance fuera de rango 0-100%"&amp;" · ","")&amp;IF(OR(AND($I61&lt;&gt;"",$I61&lt;$H61),AND($J61&lt;&gt;"",$J61&lt;MAX($H61:$I61)),AND($K61&lt;&gt;"",$K61&lt;MAX($H61:$J61))),"Avance semanal decreciente"&amp;" · ","")&amp;IF(AND(ISNUMBER($F61),$F61&lt;FechaRef,N($L61)&lt;1),"Vencida"&amp;" · ","")&amp;IF(AND(ObsObligatoria="Sí",ISNUMBER($F61),$F61&lt;FechaRef,N($L61)&lt;1,$N61=""),"Vencida sin observación"&amp;" · ",""))="","✔ OK","⚠ "&amp;LEFT(IF(AND($S61="Macro",$B61=""),"Macroactividad vacía"&amp;" · ","")&amp;IF(AND($B61&lt;&gt;"",$C61&lt;&gt;""),"Escriba la subactividad en otra fila, debajo de su macroactividad"&amp;" · ","")&amp;IF(AND($S61="Sub",N($R61)=0),"Subactividad sin macroactividad arriba"&amp;" · ","")&amp;IF($D61="","Sin responsable"&amp;" · ","")&amp;IF($E61="","Sin fecha de inicio"&amp;" · ","")&amp;IF($F61="","Sin fecha límite"&amp;" · ","")&amp;IF(OR(AND($E61&lt;&gt;"",NOT(ISNUMBER($E61))),AND($F61&lt;&gt;"",NOT(ISNUMBER($F61)))),"Fecha no válida"&amp;" · ","")&amp;IF(AND(ISNUMBER($E61),ISNUMBER($F61),$E61&gt;$F61),"Inicio posterior a fecha límite"&amp;" · ","")&amp;IF(AND($S61="Macro",$G61=""),"Peso vacío"&amp;" · ","")&amp;IF(AND($S61="Macro",$G61&lt;&gt;"",OR(NOT(ISNUMBER($G61)),$G61&lt;=0,$G61&gt;1)),"Peso fuera de rango"&amp;" · ","")&amp;IF(AND($S61="Sub",$G61&lt;&gt;""),"Las subactividades no llevan peso"&amp;" · ","")&amp;IF(AND($S61="Macro",ABS(SUMIFS($G$5:$G$1000,$P$5:$P$1000,$P61,$S$5:$S$1000,"Macro")-1)&gt;0.0001),"Pesos del mes suman "&amp;TEXT(SUMIFS($G$5:$G$1000,$P$5:$P$1000,$P61,$S$5:$S$1000,"Macro"),"0%")&amp;" · ","")&amp;IF(AND(N($T61)&gt;0,COUNT($H61:$K61)&gt;0),"Con subactividades: deje vacías las semanas (se calculan solas)"&amp;" · ","")&amp;IF((COUNTIF($H61:$K61,"&gt;1")+COUNTIF($H61:$K61,"&lt;0")+COUNTA($H61:$K61)-COUNT($H61:$K61))&gt;0,"Avance fuera de rango 0-100%"&amp;" · ","")&amp;IF(OR(AND($I61&lt;&gt;"",$I61&lt;$H61),AND($J61&lt;&gt;"",$J61&lt;MAX($H61:$I61)),AND($K61&lt;&gt;"",$K61&lt;MAX($H61:$J61))),"Avance semanal decreciente"&amp;" · ","")&amp;IF(AND(ISNUMBER($F61),$F61&lt;FechaRef,N($L61)&lt;1),"Vencida"&amp;" · ","")&amp;IF(AND(ObsObligatoria="Sí",ISNUMBER($F61),$F61&lt;FechaRef,N($L61)&lt;1,$N61=""),"Vencida sin observación"&amp;" · ",""),LEN(IF(AND($S61="Macro",$B61=""),"Macroactividad vacía"&amp;" · ","")&amp;IF(AND($B61&lt;&gt;"",$C61&lt;&gt;""),"Escriba la subactividad en otra fila, debajo de su macroactividad"&amp;" · ","")&amp;IF(AND($S61="Sub",N($R61)=0),"Subactividad sin macroactividad arriba"&amp;" · ","")&amp;IF($D61="","Sin responsable"&amp;" · ","")&amp;IF($E61="","Sin fecha de inicio"&amp;" · ","")&amp;IF($F61="","Sin fecha límite"&amp;" · ","")&amp;IF(OR(AND($E61&lt;&gt;"",NOT(ISNUMBER($E61))),AND($F61&lt;&gt;"",NOT(ISNUMBER($F61)))),"Fecha no válida"&amp;" · ","")&amp;IF(AND(ISNUMBER($E61),ISNUMBER($F61),$E61&gt;$F61),"Inicio posterior a fecha límite"&amp;" · ","")&amp;IF(AND($S61="Macro",$G61=""),"Peso vacío"&amp;" · ","")&amp;IF(AND($S61="Macro",$G61&lt;&gt;"",OR(NOT(ISNUMBER($G61)),$G61&lt;=0,$G61&gt;1)),"Peso fuera de rango"&amp;" · ","")&amp;IF(AND($S61="Sub",$G61&lt;&gt;""),"Las subactividades no llevan peso"&amp;" · ","")&amp;IF(AND($S61="Macro",ABS(SUMIFS($G$5:$G$1000,$P$5:$P$1000,$P61,$S$5:$S$1000,"Macro")-1)&gt;0.0001),"Pesos del mes suman "&amp;TEXT(SUMIFS($G$5:$G$1000,$P$5:$P$1000,$P61,$S$5:$S$1000,"Macro"),"0%")&amp;" · ","")&amp;IF(AND(N($T61)&gt;0,COUNT($H61:$K61)&gt;0),"Con subactividades: deje vacías las semanas (se calculan solas)"&amp;" · ","")&amp;IF((COUNTIF($H61:$K61,"&gt;1")+COUNTIF($H61:$K61,"&lt;0")+COUNTA($H61:$K61)-COUNT($H61:$K61))&gt;0,"Avance fuera de rango 0-100%"&amp;" · ","")&amp;IF(OR(AND($I61&lt;&gt;"",$I61&lt;$H61),AND($J61&lt;&gt;"",$J61&lt;MAX($H61:$I61)),AND($K61&lt;&gt;"",$K61&lt;MAX($H61:$J61))),"Avance semanal decreciente"&amp;" · ","")&amp;IF(AND(ISNUMBER($F61),$F61&lt;FechaRef,N($L61)&lt;1),"Vencida"&amp;" · ","")&amp;IF(AND(ObsObligatoria="Sí",ISNUMBER($F61),$F61&lt;FechaRef,N($L61)&lt;1,$N61=""),"Vencida sin observación"&amp;" · ",""))-3)))</f>
        <v/>
      </c>
      <c r="P61" s="69">
        <f>IF(NOT((COUNTA($B61:$K61)+COUNTA($N61))&gt;0),"",IF(AND($S61="Sub",N($R61)&gt;0),IF(ISNUMBER(INDEX($E$5:$E$1000,$R61-4)),DATE(YEAR(INDEX($E$5:$E$1000,$R61-4)),MONTH(INDEX($E$5:$E$1000,$R61-4)),1),IF(ISNUMBER(INDEX($F$5:$F$1000,$R61-4)),DATE(YEAR(INDEX($F$5:$F$1000,$R61-4)),MONTH(INDEX($F$5:$F$1000,$R61-4)),1),MesCiclo)),IF(ISNUMBER($E61),DATE(YEAR($E61),MONTH($E61),1),IF(ISNUMBER($F61),DATE(YEAR($F61),MONTH($F61),1),MesCiclo))))</f>
        <v/>
      </c>
      <c r="Q61" s="70">
        <f>IF(OR($P61="",$P61&lt;&gt;MesCiclo),"",COUNTIF($P$5:$P61,MesCiclo))</f>
        <v/>
      </c>
      <c r="R61" s="70">
        <f>IF($S61="","",IF($S61="Macro",ROW(),IFERROR(LOOKUP(2,1/($S$5:$S61="Macro"),ROW($S$5:$S61)),0)))</f>
        <v/>
      </c>
      <c r="S61" s="70">
        <f>IF(NOT((COUNTA($B61:$K61)+COUNTA($N61))&gt;0),"",IF($B61&lt;&gt;"","Macro",IF($C61&lt;&gt;"","Sub","Macro")))</f>
        <v/>
      </c>
      <c r="T61" s="70">
        <f>IF($S61="Macro",COUNTIFS($R$5:$R$1000,ROW(),$S$5:$S$1000,"Sub"),"")</f>
        <v/>
      </c>
      <c r="U61" s="70">
        <f>IF($S61="","",IF(ISNUMBER($H61),$H61,0))</f>
        <v/>
      </c>
      <c r="V61" s="70">
        <f>IF($S61="","",IF(ISNUMBER($I61),$I61,$U61))</f>
        <v/>
      </c>
      <c r="W61" s="70">
        <f>IF($S61="","",IF(ISNUMBER($J61),$J61,$V61))</f>
        <v/>
      </c>
      <c r="X61" s="70">
        <f>IF($S61="","",IF(ISNUMBER($K61),$K61,$W61))</f>
        <v/>
      </c>
      <c r="Y61" s="70">
        <f>IF($S61="","",IF(N($T61)&gt;0,AVERAGEIFS($U$5:$U$1000,$R$5:$R$1000,ROW(),$S$5:$S$1000,"Sub"),$U61))</f>
        <v/>
      </c>
      <c r="Z61" s="70">
        <f>IF($S61="","",IF(N($T61)&gt;0,AVERAGEIFS($V$5:$V$1000,$R$5:$R$1000,ROW(),$S$5:$S$1000,"Sub"),$V61))</f>
        <v/>
      </c>
      <c r="AA61" s="70">
        <f>IF($S61="","",IF(N($T61)&gt;0,AVERAGEIFS($W$5:$W$1000,$R$5:$R$1000,ROW(),$S$5:$S$1000,"Sub"),$W61))</f>
        <v/>
      </c>
      <c r="AB61" s="70">
        <f>IF($S61="","",IF(N($T61)&gt;0,AVERAGEIFS($X$5:$X$1000,$R$5:$R$1000,ROW(),$S$5:$S$1000,"Sub"),$X61))</f>
        <v/>
      </c>
    </row>
    <row r="62">
      <c r="A62" s="61">
        <f>IF(NOT((COUNTA($B62:$K62)+COUNTA($N62))&gt;0),"",IF($S62="Macro",COUNTIFS($S$5:$S62,"Macro",$P$5:$P62,$P62),IF(N($R62)=0,"?",COUNTIFS(INDEX($S$5:$S$1000,1):INDEX($S$5:$S$1000,$R62-4),"Macro",INDEX($P$5:$P$1000,1):INDEX($P$5:$P$1000,$R62-4),INDEX($P$5:$P$1000,$R62-4))&amp;"."&amp;COUNTIFS($R$5:$R62,$R62,$S$5:$S62,"Sub"))))</f>
        <v/>
      </c>
      <c r="B62" s="62" t="n"/>
      <c r="C62" s="63" t="n"/>
      <c r="D62" s="62" t="n"/>
      <c r="E62" s="64" t="n"/>
      <c r="F62" s="64" t="n"/>
      <c r="G62" s="65" t="n"/>
      <c r="H62" s="66" t="n"/>
      <c r="I62" s="66" t="n"/>
      <c r="J62" s="66" t="n"/>
      <c r="K62" s="66" t="n"/>
      <c r="L62" s="67">
        <f>IF(NOT((COUNTA($B62:$K62)+COUNTA($N62))&gt;0),"",IF(N($T62)&gt;0,$AB62,IFERROR(LOOKUP(2,1/(H62:K62&lt;&gt;""),H62:K62),0)))</f>
        <v/>
      </c>
      <c r="M62" s="61">
        <f>IF(L62="","",IF(L62&gt;=1,"Completado",IF(L62&gt;0,"En curso","Pendiente")))</f>
        <v/>
      </c>
      <c r="N62" s="62" t="n"/>
      <c r="O62" s="68">
        <f>IF(NOT((COUNTA($B62:$K62)+COUNTA($N62))&gt;0),"",IF((IF(AND($S62="Macro",$B62=""),"Macroactividad vacía"&amp;" · ","")&amp;IF(AND($B62&lt;&gt;"",$C62&lt;&gt;""),"Escriba la subactividad en otra fila, debajo de su macroactividad"&amp;" · ","")&amp;IF(AND($S62="Sub",N($R62)=0),"Subactividad sin macroactividad arriba"&amp;" · ","")&amp;IF($D62="","Sin responsable"&amp;" · ","")&amp;IF($E62="","Sin fecha de inicio"&amp;" · ","")&amp;IF($F62="","Sin fecha límite"&amp;" · ","")&amp;IF(OR(AND($E62&lt;&gt;"",NOT(ISNUMBER($E62))),AND($F62&lt;&gt;"",NOT(ISNUMBER($F62)))),"Fecha no válida"&amp;" · ","")&amp;IF(AND(ISNUMBER($E62),ISNUMBER($F62),$E62&gt;$F62),"Inicio posterior a fecha límite"&amp;" · ","")&amp;IF(AND($S62="Macro",$G62=""),"Peso vacío"&amp;" · ","")&amp;IF(AND($S62="Macro",$G62&lt;&gt;"",OR(NOT(ISNUMBER($G62)),$G62&lt;=0,$G62&gt;1)),"Peso fuera de rango"&amp;" · ","")&amp;IF(AND($S62="Sub",$G62&lt;&gt;""),"Las subactividades no llevan peso"&amp;" · ","")&amp;IF(AND($S62="Macro",ABS(SUMIFS($G$5:$G$1000,$P$5:$P$1000,$P62,$S$5:$S$1000,"Macro")-1)&gt;0.0001),"Pesos del mes suman "&amp;TEXT(SUMIFS($G$5:$G$1000,$P$5:$P$1000,$P62,$S$5:$S$1000,"Macro"),"0%")&amp;" · ","")&amp;IF(AND(N($T62)&gt;0,COUNT($H62:$K62)&gt;0),"Con subactividades: deje vacías las semanas (se calculan solas)"&amp;" · ","")&amp;IF((COUNTIF($H62:$K62,"&gt;1")+COUNTIF($H62:$K62,"&lt;0")+COUNTA($H62:$K62)-COUNT($H62:$K62))&gt;0,"Avance fuera de rango 0-100%"&amp;" · ","")&amp;IF(OR(AND($I62&lt;&gt;"",$I62&lt;$H62),AND($J62&lt;&gt;"",$J62&lt;MAX($H62:$I62)),AND($K62&lt;&gt;"",$K62&lt;MAX($H62:$J62))),"Avance semanal decreciente"&amp;" · ","")&amp;IF(AND(ISNUMBER($F62),$F62&lt;FechaRef,N($L62)&lt;1),"Vencida"&amp;" · ","")&amp;IF(AND(ObsObligatoria="Sí",ISNUMBER($F62),$F62&lt;FechaRef,N($L62)&lt;1,$N62=""),"Vencida sin observación"&amp;" · ",""))="","✔ OK","⚠ "&amp;LEFT(IF(AND($S62="Macro",$B62=""),"Macroactividad vacía"&amp;" · ","")&amp;IF(AND($B62&lt;&gt;"",$C62&lt;&gt;""),"Escriba la subactividad en otra fila, debajo de su macroactividad"&amp;" · ","")&amp;IF(AND($S62="Sub",N($R62)=0),"Subactividad sin macroactividad arriba"&amp;" · ","")&amp;IF($D62="","Sin responsable"&amp;" · ","")&amp;IF($E62="","Sin fecha de inicio"&amp;" · ","")&amp;IF($F62="","Sin fecha límite"&amp;" · ","")&amp;IF(OR(AND($E62&lt;&gt;"",NOT(ISNUMBER($E62))),AND($F62&lt;&gt;"",NOT(ISNUMBER($F62)))),"Fecha no válida"&amp;" · ","")&amp;IF(AND(ISNUMBER($E62),ISNUMBER($F62),$E62&gt;$F62),"Inicio posterior a fecha límite"&amp;" · ","")&amp;IF(AND($S62="Macro",$G62=""),"Peso vacío"&amp;" · ","")&amp;IF(AND($S62="Macro",$G62&lt;&gt;"",OR(NOT(ISNUMBER($G62)),$G62&lt;=0,$G62&gt;1)),"Peso fuera de rango"&amp;" · ","")&amp;IF(AND($S62="Sub",$G62&lt;&gt;""),"Las subactividades no llevan peso"&amp;" · ","")&amp;IF(AND($S62="Macro",ABS(SUMIFS($G$5:$G$1000,$P$5:$P$1000,$P62,$S$5:$S$1000,"Macro")-1)&gt;0.0001),"Pesos del mes suman "&amp;TEXT(SUMIFS($G$5:$G$1000,$P$5:$P$1000,$P62,$S$5:$S$1000,"Macro"),"0%")&amp;" · ","")&amp;IF(AND(N($T62)&gt;0,COUNT($H62:$K62)&gt;0),"Con subactividades: deje vacías las semanas (se calculan solas)"&amp;" · ","")&amp;IF((COUNTIF($H62:$K62,"&gt;1")+COUNTIF($H62:$K62,"&lt;0")+COUNTA($H62:$K62)-COUNT($H62:$K62))&gt;0,"Avance fuera de rango 0-100%"&amp;" · ","")&amp;IF(OR(AND($I62&lt;&gt;"",$I62&lt;$H62),AND($J62&lt;&gt;"",$J62&lt;MAX($H62:$I62)),AND($K62&lt;&gt;"",$K62&lt;MAX($H62:$J62))),"Avance semanal decreciente"&amp;" · ","")&amp;IF(AND(ISNUMBER($F62),$F62&lt;FechaRef,N($L62)&lt;1),"Vencida"&amp;" · ","")&amp;IF(AND(ObsObligatoria="Sí",ISNUMBER($F62),$F62&lt;FechaRef,N($L62)&lt;1,$N62=""),"Vencida sin observación"&amp;" · ",""),LEN(IF(AND($S62="Macro",$B62=""),"Macroactividad vacía"&amp;" · ","")&amp;IF(AND($B62&lt;&gt;"",$C62&lt;&gt;""),"Escriba la subactividad en otra fila, debajo de su macroactividad"&amp;" · ","")&amp;IF(AND($S62="Sub",N($R62)=0),"Subactividad sin macroactividad arriba"&amp;" · ","")&amp;IF($D62="","Sin responsable"&amp;" · ","")&amp;IF($E62="","Sin fecha de inicio"&amp;" · ","")&amp;IF($F62="","Sin fecha límite"&amp;" · ","")&amp;IF(OR(AND($E62&lt;&gt;"",NOT(ISNUMBER($E62))),AND($F62&lt;&gt;"",NOT(ISNUMBER($F62)))),"Fecha no válida"&amp;" · ","")&amp;IF(AND(ISNUMBER($E62),ISNUMBER($F62),$E62&gt;$F62),"Inicio posterior a fecha límite"&amp;" · ","")&amp;IF(AND($S62="Macro",$G62=""),"Peso vacío"&amp;" · ","")&amp;IF(AND($S62="Macro",$G62&lt;&gt;"",OR(NOT(ISNUMBER($G62)),$G62&lt;=0,$G62&gt;1)),"Peso fuera de rango"&amp;" · ","")&amp;IF(AND($S62="Sub",$G62&lt;&gt;""),"Las subactividades no llevan peso"&amp;" · ","")&amp;IF(AND($S62="Macro",ABS(SUMIFS($G$5:$G$1000,$P$5:$P$1000,$P62,$S$5:$S$1000,"Macro")-1)&gt;0.0001),"Pesos del mes suman "&amp;TEXT(SUMIFS($G$5:$G$1000,$P$5:$P$1000,$P62,$S$5:$S$1000,"Macro"),"0%")&amp;" · ","")&amp;IF(AND(N($T62)&gt;0,COUNT($H62:$K62)&gt;0),"Con subactividades: deje vacías las semanas (se calculan solas)"&amp;" · ","")&amp;IF((COUNTIF($H62:$K62,"&gt;1")+COUNTIF($H62:$K62,"&lt;0")+COUNTA($H62:$K62)-COUNT($H62:$K62))&gt;0,"Avance fuera de rango 0-100%"&amp;" · ","")&amp;IF(OR(AND($I62&lt;&gt;"",$I62&lt;$H62),AND($J62&lt;&gt;"",$J62&lt;MAX($H62:$I62)),AND($K62&lt;&gt;"",$K62&lt;MAX($H62:$J62))),"Avance semanal decreciente"&amp;" · ","")&amp;IF(AND(ISNUMBER($F62),$F62&lt;FechaRef,N($L62)&lt;1),"Vencida"&amp;" · ","")&amp;IF(AND(ObsObligatoria="Sí",ISNUMBER($F62),$F62&lt;FechaRef,N($L62)&lt;1,$N62=""),"Vencida sin observación"&amp;" · ",""))-3)))</f>
        <v/>
      </c>
      <c r="P62" s="69">
        <f>IF(NOT((COUNTA($B62:$K62)+COUNTA($N62))&gt;0),"",IF(AND($S62="Sub",N($R62)&gt;0),IF(ISNUMBER(INDEX($E$5:$E$1000,$R62-4)),DATE(YEAR(INDEX($E$5:$E$1000,$R62-4)),MONTH(INDEX($E$5:$E$1000,$R62-4)),1),IF(ISNUMBER(INDEX($F$5:$F$1000,$R62-4)),DATE(YEAR(INDEX($F$5:$F$1000,$R62-4)),MONTH(INDEX($F$5:$F$1000,$R62-4)),1),MesCiclo)),IF(ISNUMBER($E62),DATE(YEAR($E62),MONTH($E62),1),IF(ISNUMBER($F62),DATE(YEAR($F62),MONTH($F62),1),MesCiclo))))</f>
        <v/>
      </c>
      <c r="Q62" s="70">
        <f>IF(OR($P62="",$P62&lt;&gt;MesCiclo),"",COUNTIF($P$5:$P62,MesCiclo))</f>
        <v/>
      </c>
      <c r="R62" s="70">
        <f>IF($S62="","",IF($S62="Macro",ROW(),IFERROR(LOOKUP(2,1/($S$5:$S62="Macro"),ROW($S$5:$S62)),0)))</f>
        <v/>
      </c>
      <c r="S62" s="70">
        <f>IF(NOT((COUNTA($B62:$K62)+COUNTA($N62))&gt;0),"",IF($B62&lt;&gt;"","Macro",IF($C62&lt;&gt;"","Sub","Macro")))</f>
        <v/>
      </c>
      <c r="T62" s="70">
        <f>IF($S62="Macro",COUNTIFS($R$5:$R$1000,ROW(),$S$5:$S$1000,"Sub"),"")</f>
        <v/>
      </c>
      <c r="U62" s="70">
        <f>IF($S62="","",IF(ISNUMBER($H62),$H62,0))</f>
        <v/>
      </c>
      <c r="V62" s="70">
        <f>IF($S62="","",IF(ISNUMBER($I62),$I62,$U62))</f>
        <v/>
      </c>
      <c r="W62" s="70">
        <f>IF($S62="","",IF(ISNUMBER($J62),$J62,$V62))</f>
        <v/>
      </c>
      <c r="X62" s="70">
        <f>IF($S62="","",IF(ISNUMBER($K62),$K62,$W62))</f>
        <v/>
      </c>
      <c r="Y62" s="70">
        <f>IF($S62="","",IF(N($T62)&gt;0,AVERAGEIFS($U$5:$U$1000,$R$5:$R$1000,ROW(),$S$5:$S$1000,"Sub"),$U62))</f>
        <v/>
      </c>
      <c r="Z62" s="70">
        <f>IF($S62="","",IF(N($T62)&gt;0,AVERAGEIFS($V$5:$V$1000,$R$5:$R$1000,ROW(),$S$5:$S$1000,"Sub"),$V62))</f>
        <v/>
      </c>
      <c r="AA62" s="70">
        <f>IF($S62="","",IF(N($T62)&gt;0,AVERAGEIFS($W$5:$W$1000,$R$5:$R$1000,ROW(),$S$5:$S$1000,"Sub"),$W62))</f>
        <v/>
      </c>
      <c r="AB62" s="70">
        <f>IF($S62="","",IF(N($T62)&gt;0,AVERAGEIFS($X$5:$X$1000,$R$5:$R$1000,ROW(),$S$5:$S$1000,"Sub"),$X62))</f>
        <v/>
      </c>
    </row>
    <row r="63">
      <c r="A63" s="61">
        <f>IF(NOT((COUNTA($B63:$K63)+COUNTA($N63))&gt;0),"",IF($S63="Macro",COUNTIFS($S$5:$S63,"Macro",$P$5:$P63,$P63),IF(N($R63)=0,"?",COUNTIFS(INDEX($S$5:$S$1000,1):INDEX($S$5:$S$1000,$R63-4),"Macro",INDEX($P$5:$P$1000,1):INDEX($P$5:$P$1000,$R63-4),INDEX($P$5:$P$1000,$R63-4))&amp;"."&amp;COUNTIFS($R$5:$R63,$R63,$S$5:$S63,"Sub"))))</f>
        <v/>
      </c>
      <c r="B63" s="62" t="n"/>
      <c r="C63" s="63" t="n"/>
      <c r="D63" s="62" t="n"/>
      <c r="E63" s="64" t="n"/>
      <c r="F63" s="64" t="n"/>
      <c r="G63" s="65" t="n"/>
      <c r="H63" s="66" t="n"/>
      <c r="I63" s="66" t="n"/>
      <c r="J63" s="66" t="n"/>
      <c r="K63" s="66" t="n"/>
      <c r="L63" s="67">
        <f>IF(NOT((COUNTA($B63:$K63)+COUNTA($N63))&gt;0),"",IF(N($T63)&gt;0,$AB63,IFERROR(LOOKUP(2,1/(H63:K63&lt;&gt;""),H63:K63),0)))</f>
        <v/>
      </c>
      <c r="M63" s="61">
        <f>IF(L63="","",IF(L63&gt;=1,"Completado",IF(L63&gt;0,"En curso","Pendiente")))</f>
        <v/>
      </c>
      <c r="N63" s="62" t="n"/>
      <c r="O63" s="68">
        <f>IF(NOT((COUNTA($B63:$K63)+COUNTA($N63))&gt;0),"",IF((IF(AND($S63="Macro",$B63=""),"Macroactividad vacía"&amp;" · ","")&amp;IF(AND($B63&lt;&gt;"",$C63&lt;&gt;""),"Escriba la subactividad en otra fila, debajo de su macroactividad"&amp;" · ","")&amp;IF(AND($S63="Sub",N($R63)=0),"Subactividad sin macroactividad arriba"&amp;" · ","")&amp;IF($D63="","Sin responsable"&amp;" · ","")&amp;IF($E63="","Sin fecha de inicio"&amp;" · ","")&amp;IF($F63="","Sin fecha límite"&amp;" · ","")&amp;IF(OR(AND($E63&lt;&gt;"",NOT(ISNUMBER($E63))),AND($F63&lt;&gt;"",NOT(ISNUMBER($F63)))),"Fecha no válida"&amp;" · ","")&amp;IF(AND(ISNUMBER($E63),ISNUMBER($F63),$E63&gt;$F63),"Inicio posterior a fecha límite"&amp;" · ","")&amp;IF(AND($S63="Macro",$G63=""),"Peso vacío"&amp;" · ","")&amp;IF(AND($S63="Macro",$G63&lt;&gt;"",OR(NOT(ISNUMBER($G63)),$G63&lt;=0,$G63&gt;1)),"Peso fuera de rango"&amp;" · ","")&amp;IF(AND($S63="Sub",$G63&lt;&gt;""),"Las subactividades no llevan peso"&amp;" · ","")&amp;IF(AND($S63="Macro",ABS(SUMIFS($G$5:$G$1000,$P$5:$P$1000,$P63,$S$5:$S$1000,"Macro")-1)&gt;0.0001),"Pesos del mes suman "&amp;TEXT(SUMIFS($G$5:$G$1000,$P$5:$P$1000,$P63,$S$5:$S$1000,"Macro"),"0%")&amp;" · ","")&amp;IF(AND(N($T63)&gt;0,COUNT($H63:$K63)&gt;0),"Con subactividades: deje vacías las semanas (se calculan solas)"&amp;" · ","")&amp;IF((COUNTIF($H63:$K63,"&gt;1")+COUNTIF($H63:$K63,"&lt;0")+COUNTA($H63:$K63)-COUNT($H63:$K63))&gt;0,"Avance fuera de rango 0-100%"&amp;" · ","")&amp;IF(OR(AND($I63&lt;&gt;"",$I63&lt;$H63),AND($J63&lt;&gt;"",$J63&lt;MAX($H63:$I63)),AND($K63&lt;&gt;"",$K63&lt;MAX($H63:$J63))),"Avance semanal decreciente"&amp;" · ","")&amp;IF(AND(ISNUMBER($F63),$F63&lt;FechaRef,N($L63)&lt;1),"Vencida"&amp;" · ","")&amp;IF(AND(ObsObligatoria="Sí",ISNUMBER($F63),$F63&lt;FechaRef,N($L63)&lt;1,$N63=""),"Vencida sin observación"&amp;" · ",""))="","✔ OK","⚠ "&amp;LEFT(IF(AND($S63="Macro",$B63=""),"Macroactividad vacía"&amp;" · ","")&amp;IF(AND($B63&lt;&gt;"",$C63&lt;&gt;""),"Escriba la subactividad en otra fila, debajo de su macroactividad"&amp;" · ","")&amp;IF(AND($S63="Sub",N($R63)=0),"Subactividad sin macroactividad arriba"&amp;" · ","")&amp;IF($D63="","Sin responsable"&amp;" · ","")&amp;IF($E63="","Sin fecha de inicio"&amp;" · ","")&amp;IF($F63="","Sin fecha límite"&amp;" · ","")&amp;IF(OR(AND($E63&lt;&gt;"",NOT(ISNUMBER($E63))),AND($F63&lt;&gt;"",NOT(ISNUMBER($F63)))),"Fecha no válida"&amp;" · ","")&amp;IF(AND(ISNUMBER($E63),ISNUMBER($F63),$E63&gt;$F63),"Inicio posterior a fecha límite"&amp;" · ","")&amp;IF(AND($S63="Macro",$G63=""),"Peso vacío"&amp;" · ","")&amp;IF(AND($S63="Macro",$G63&lt;&gt;"",OR(NOT(ISNUMBER($G63)),$G63&lt;=0,$G63&gt;1)),"Peso fuera de rango"&amp;" · ","")&amp;IF(AND($S63="Sub",$G63&lt;&gt;""),"Las subactividades no llevan peso"&amp;" · ","")&amp;IF(AND($S63="Macro",ABS(SUMIFS($G$5:$G$1000,$P$5:$P$1000,$P63,$S$5:$S$1000,"Macro")-1)&gt;0.0001),"Pesos del mes suman "&amp;TEXT(SUMIFS($G$5:$G$1000,$P$5:$P$1000,$P63,$S$5:$S$1000,"Macro"),"0%")&amp;" · ","")&amp;IF(AND(N($T63)&gt;0,COUNT($H63:$K63)&gt;0),"Con subactividades: deje vacías las semanas (se calculan solas)"&amp;" · ","")&amp;IF((COUNTIF($H63:$K63,"&gt;1")+COUNTIF($H63:$K63,"&lt;0")+COUNTA($H63:$K63)-COUNT($H63:$K63))&gt;0,"Avance fuera de rango 0-100%"&amp;" · ","")&amp;IF(OR(AND($I63&lt;&gt;"",$I63&lt;$H63),AND($J63&lt;&gt;"",$J63&lt;MAX($H63:$I63)),AND($K63&lt;&gt;"",$K63&lt;MAX($H63:$J63))),"Avance semanal decreciente"&amp;" · ","")&amp;IF(AND(ISNUMBER($F63),$F63&lt;FechaRef,N($L63)&lt;1),"Vencida"&amp;" · ","")&amp;IF(AND(ObsObligatoria="Sí",ISNUMBER($F63),$F63&lt;FechaRef,N($L63)&lt;1,$N63=""),"Vencida sin observación"&amp;" · ",""),LEN(IF(AND($S63="Macro",$B63=""),"Macroactividad vacía"&amp;" · ","")&amp;IF(AND($B63&lt;&gt;"",$C63&lt;&gt;""),"Escriba la subactividad en otra fila, debajo de su macroactividad"&amp;" · ","")&amp;IF(AND($S63="Sub",N($R63)=0),"Subactividad sin macroactividad arriba"&amp;" · ","")&amp;IF($D63="","Sin responsable"&amp;" · ","")&amp;IF($E63="","Sin fecha de inicio"&amp;" · ","")&amp;IF($F63="","Sin fecha límite"&amp;" · ","")&amp;IF(OR(AND($E63&lt;&gt;"",NOT(ISNUMBER($E63))),AND($F63&lt;&gt;"",NOT(ISNUMBER($F63)))),"Fecha no válida"&amp;" · ","")&amp;IF(AND(ISNUMBER($E63),ISNUMBER($F63),$E63&gt;$F63),"Inicio posterior a fecha límite"&amp;" · ","")&amp;IF(AND($S63="Macro",$G63=""),"Peso vacío"&amp;" · ","")&amp;IF(AND($S63="Macro",$G63&lt;&gt;"",OR(NOT(ISNUMBER($G63)),$G63&lt;=0,$G63&gt;1)),"Peso fuera de rango"&amp;" · ","")&amp;IF(AND($S63="Sub",$G63&lt;&gt;""),"Las subactividades no llevan peso"&amp;" · ","")&amp;IF(AND($S63="Macro",ABS(SUMIFS($G$5:$G$1000,$P$5:$P$1000,$P63,$S$5:$S$1000,"Macro")-1)&gt;0.0001),"Pesos del mes suman "&amp;TEXT(SUMIFS($G$5:$G$1000,$P$5:$P$1000,$P63,$S$5:$S$1000,"Macro"),"0%")&amp;" · ","")&amp;IF(AND(N($T63)&gt;0,COUNT($H63:$K63)&gt;0),"Con subactividades: deje vacías las semanas (se calculan solas)"&amp;" · ","")&amp;IF((COUNTIF($H63:$K63,"&gt;1")+COUNTIF($H63:$K63,"&lt;0")+COUNTA($H63:$K63)-COUNT($H63:$K63))&gt;0,"Avance fuera de rango 0-100%"&amp;" · ","")&amp;IF(OR(AND($I63&lt;&gt;"",$I63&lt;$H63),AND($J63&lt;&gt;"",$J63&lt;MAX($H63:$I63)),AND($K63&lt;&gt;"",$K63&lt;MAX($H63:$J63))),"Avance semanal decreciente"&amp;" · ","")&amp;IF(AND(ISNUMBER($F63),$F63&lt;FechaRef,N($L63)&lt;1),"Vencida"&amp;" · ","")&amp;IF(AND(ObsObligatoria="Sí",ISNUMBER($F63),$F63&lt;FechaRef,N($L63)&lt;1,$N63=""),"Vencida sin observación"&amp;" · ",""))-3)))</f>
        <v/>
      </c>
      <c r="P63" s="69">
        <f>IF(NOT((COUNTA($B63:$K63)+COUNTA($N63))&gt;0),"",IF(AND($S63="Sub",N($R63)&gt;0),IF(ISNUMBER(INDEX($E$5:$E$1000,$R63-4)),DATE(YEAR(INDEX($E$5:$E$1000,$R63-4)),MONTH(INDEX($E$5:$E$1000,$R63-4)),1),IF(ISNUMBER(INDEX($F$5:$F$1000,$R63-4)),DATE(YEAR(INDEX($F$5:$F$1000,$R63-4)),MONTH(INDEX($F$5:$F$1000,$R63-4)),1),MesCiclo)),IF(ISNUMBER($E63),DATE(YEAR($E63),MONTH($E63),1),IF(ISNUMBER($F63),DATE(YEAR($F63),MONTH($F63),1),MesCiclo))))</f>
        <v/>
      </c>
      <c r="Q63" s="70">
        <f>IF(OR($P63="",$P63&lt;&gt;MesCiclo),"",COUNTIF($P$5:$P63,MesCiclo))</f>
        <v/>
      </c>
      <c r="R63" s="70">
        <f>IF($S63="","",IF($S63="Macro",ROW(),IFERROR(LOOKUP(2,1/($S$5:$S63="Macro"),ROW($S$5:$S63)),0)))</f>
        <v/>
      </c>
      <c r="S63" s="70">
        <f>IF(NOT((COUNTA($B63:$K63)+COUNTA($N63))&gt;0),"",IF($B63&lt;&gt;"","Macro",IF($C63&lt;&gt;"","Sub","Macro")))</f>
        <v/>
      </c>
      <c r="T63" s="70">
        <f>IF($S63="Macro",COUNTIFS($R$5:$R$1000,ROW(),$S$5:$S$1000,"Sub"),"")</f>
        <v/>
      </c>
      <c r="U63" s="70">
        <f>IF($S63="","",IF(ISNUMBER($H63),$H63,0))</f>
        <v/>
      </c>
      <c r="V63" s="70">
        <f>IF($S63="","",IF(ISNUMBER($I63),$I63,$U63))</f>
        <v/>
      </c>
      <c r="W63" s="70">
        <f>IF($S63="","",IF(ISNUMBER($J63),$J63,$V63))</f>
        <v/>
      </c>
      <c r="X63" s="70">
        <f>IF($S63="","",IF(ISNUMBER($K63),$K63,$W63))</f>
        <v/>
      </c>
      <c r="Y63" s="70">
        <f>IF($S63="","",IF(N($T63)&gt;0,AVERAGEIFS($U$5:$U$1000,$R$5:$R$1000,ROW(),$S$5:$S$1000,"Sub"),$U63))</f>
        <v/>
      </c>
      <c r="Z63" s="70">
        <f>IF($S63="","",IF(N($T63)&gt;0,AVERAGEIFS($V$5:$V$1000,$R$5:$R$1000,ROW(),$S$5:$S$1000,"Sub"),$V63))</f>
        <v/>
      </c>
      <c r="AA63" s="70">
        <f>IF($S63="","",IF(N($T63)&gt;0,AVERAGEIFS($W$5:$W$1000,$R$5:$R$1000,ROW(),$S$5:$S$1000,"Sub"),$W63))</f>
        <v/>
      </c>
      <c r="AB63" s="70">
        <f>IF($S63="","",IF(N($T63)&gt;0,AVERAGEIFS($X$5:$X$1000,$R$5:$R$1000,ROW(),$S$5:$S$1000,"Sub"),$X63))</f>
        <v/>
      </c>
    </row>
    <row r="64">
      <c r="A64" s="61">
        <f>IF(NOT((COUNTA($B64:$K64)+COUNTA($N64))&gt;0),"",IF($S64="Macro",COUNTIFS($S$5:$S64,"Macro",$P$5:$P64,$P64),IF(N($R64)=0,"?",COUNTIFS(INDEX($S$5:$S$1000,1):INDEX($S$5:$S$1000,$R64-4),"Macro",INDEX($P$5:$P$1000,1):INDEX($P$5:$P$1000,$R64-4),INDEX($P$5:$P$1000,$R64-4))&amp;"."&amp;COUNTIFS($R$5:$R64,$R64,$S$5:$S64,"Sub"))))</f>
        <v/>
      </c>
      <c r="B64" s="62" t="n"/>
      <c r="C64" s="63" t="n"/>
      <c r="D64" s="62" t="n"/>
      <c r="E64" s="64" t="n"/>
      <c r="F64" s="64" t="n"/>
      <c r="G64" s="65" t="n"/>
      <c r="H64" s="66" t="n"/>
      <c r="I64" s="66" t="n"/>
      <c r="J64" s="66" t="n"/>
      <c r="K64" s="66" t="n"/>
      <c r="L64" s="67">
        <f>IF(NOT((COUNTA($B64:$K64)+COUNTA($N64))&gt;0),"",IF(N($T64)&gt;0,$AB64,IFERROR(LOOKUP(2,1/(H64:K64&lt;&gt;""),H64:K64),0)))</f>
        <v/>
      </c>
      <c r="M64" s="61">
        <f>IF(L64="","",IF(L64&gt;=1,"Completado",IF(L64&gt;0,"En curso","Pendiente")))</f>
        <v/>
      </c>
      <c r="N64" s="62" t="n"/>
      <c r="O64" s="68">
        <f>IF(NOT((COUNTA($B64:$K64)+COUNTA($N64))&gt;0),"",IF((IF(AND($S64="Macro",$B64=""),"Macroactividad vacía"&amp;" · ","")&amp;IF(AND($B64&lt;&gt;"",$C64&lt;&gt;""),"Escriba la subactividad en otra fila, debajo de su macroactividad"&amp;" · ","")&amp;IF(AND($S64="Sub",N($R64)=0),"Subactividad sin macroactividad arriba"&amp;" · ","")&amp;IF($D64="","Sin responsable"&amp;" · ","")&amp;IF($E64="","Sin fecha de inicio"&amp;" · ","")&amp;IF($F64="","Sin fecha límite"&amp;" · ","")&amp;IF(OR(AND($E64&lt;&gt;"",NOT(ISNUMBER($E64))),AND($F64&lt;&gt;"",NOT(ISNUMBER($F64)))),"Fecha no válida"&amp;" · ","")&amp;IF(AND(ISNUMBER($E64),ISNUMBER($F64),$E64&gt;$F64),"Inicio posterior a fecha límite"&amp;" · ","")&amp;IF(AND($S64="Macro",$G64=""),"Peso vacío"&amp;" · ","")&amp;IF(AND($S64="Macro",$G64&lt;&gt;"",OR(NOT(ISNUMBER($G64)),$G64&lt;=0,$G64&gt;1)),"Peso fuera de rango"&amp;" · ","")&amp;IF(AND($S64="Sub",$G64&lt;&gt;""),"Las subactividades no llevan peso"&amp;" · ","")&amp;IF(AND($S64="Macro",ABS(SUMIFS($G$5:$G$1000,$P$5:$P$1000,$P64,$S$5:$S$1000,"Macro")-1)&gt;0.0001),"Pesos del mes suman "&amp;TEXT(SUMIFS($G$5:$G$1000,$P$5:$P$1000,$P64,$S$5:$S$1000,"Macro"),"0%")&amp;" · ","")&amp;IF(AND(N($T64)&gt;0,COUNT($H64:$K64)&gt;0),"Con subactividades: deje vacías las semanas (se calculan solas)"&amp;" · ","")&amp;IF((COUNTIF($H64:$K64,"&gt;1")+COUNTIF($H64:$K64,"&lt;0")+COUNTA($H64:$K64)-COUNT($H64:$K64))&gt;0,"Avance fuera de rango 0-100%"&amp;" · ","")&amp;IF(OR(AND($I64&lt;&gt;"",$I64&lt;$H64),AND($J64&lt;&gt;"",$J64&lt;MAX($H64:$I64)),AND($K64&lt;&gt;"",$K64&lt;MAX($H64:$J64))),"Avance semanal decreciente"&amp;" · ","")&amp;IF(AND(ISNUMBER($F64),$F64&lt;FechaRef,N($L64)&lt;1),"Vencida"&amp;" · ","")&amp;IF(AND(ObsObligatoria="Sí",ISNUMBER($F64),$F64&lt;FechaRef,N($L64)&lt;1,$N64=""),"Vencida sin observación"&amp;" · ",""))="","✔ OK","⚠ "&amp;LEFT(IF(AND($S64="Macro",$B64=""),"Macroactividad vacía"&amp;" · ","")&amp;IF(AND($B64&lt;&gt;"",$C64&lt;&gt;""),"Escriba la subactividad en otra fila, debajo de su macroactividad"&amp;" · ","")&amp;IF(AND($S64="Sub",N($R64)=0),"Subactividad sin macroactividad arriba"&amp;" · ","")&amp;IF($D64="","Sin responsable"&amp;" · ","")&amp;IF($E64="","Sin fecha de inicio"&amp;" · ","")&amp;IF($F64="","Sin fecha límite"&amp;" · ","")&amp;IF(OR(AND($E64&lt;&gt;"",NOT(ISNUMBER($E64))),AND($F64&lt;&gt;"",NOT(ISNUMBER($F64)))),"Fecha no válida"&amp;" · ","")&amp;IF(AND(ISNUMBER($E64),ISNUMBER($F64),$E64&gt;$F64),"Inicio posterior a fecha límite"&amp;" · ","")&amp;IF(AND($S64="Macro",$G64=""),"Peso vacío"&amp;" · ","")&amp;IF(AND($S64="Macro",$G64&lt;&gt;"",OR(NOT(ISNUMBER($G64)),$G64&lt;=0,$G64&gt;1)),"Peso fuera de rango"&amp;" · ","")&amp;IF(AND($S64="Sub",$G64&lt;&gt;""),"Las subactividades no llevan peso"&amp;" · ","")&amp;IF(AND($S64="Macro",ABS(SUMIFS($G$5:$G$1000,$P$5:$P$1000,$P64,$S$5:$S$1000,"Macro")-1)&gt;0.0001),"Pesos del mes suman "&amp;TEXT(SUMIFS($G$5:$G$1000,$P$5:$P$1000,$P64,$S$5:$S$1000,"Macro"),"0%")&amp;" · ","")&amp;IF(AND(N($T64)&gt;0,COUNT($H64:$K64)&gt;0),"Con subactividades: deje vacías las semanas (se calculan solas)"&amp;" · ","")&amp;IF((COUNTIF($H64:$K64,"&gt;1")+COUNTIF($H64:$K64,"&lt;0")+COUNTA($H64:$K64)-COUNT($H64:$K64))&gt;0,"Avance fuera de rango 0-100%"&amp;" · ","")&amp;IF(OR(AND($I64&lt;&gt;"",$I64&lt;$H64),AND($J64&lt;&gt;"",$J64&lt;MAX($H64:$I64)),AND($K64&lt;&gt;"",$K64&lt;MAX($H64:$J64))),"Avance semanal decreciente"&amp;" · ","")&amp;IF(AND(ISNUMBER($F64),$F64&lt;FechaRef,N($L64)&lt;1),"Vencida"&amp;" · ","")&amp;IF(AND(ObsObligatoria="Sí",ISNUMBER($F64),$F64&lt;FechaRef,N($L64)&lt;1,$N64=""),"Vencida sin observación"&amp;" · ",""),LEN(IF(AND($S64="Macro",$B64=""),"Macroactividad vacía"&amp;" · ","")&amp;IF(AND($B64&lt;&gt;"",$C64&lt;&gt;""),"Escriba la subactividad en otra fila, debajo de su macroactividad"&amp;" · ","")&amp;IF(AND($S64="Sub",N($R64)=0),"Subactividad sin macroactividad arriba"&amp;" · ","")&amp;IF($D64="","Sin responsable"&amp;" · ","")&amp;IF($E64="","Sin fecha de inicio"&amp;" · ","")&amp;IF($F64="","Sin fecha límite"&amp;" · ","")&amp;IF(OR(AND($E64&lt;&gt;"",NOT(ISNUMBER($E64))),AND($F64&lt;&gt;"",NOT(ISNUMBER($F64)))),"Fecha no válida"&amp;" · ","")&amp;IF(AND(ISNUMBER($E64),ISNUMBER($F64),$E64&gt;$F64),"Inicio posterior a fecha límite"&amp;" · ","")&amp;IF(AND($S64="Macro",$G64=""),"Peso vacío"&amp;" · ","")&amp;IF(AND($S64="Macro",$G64&lt;&gt;"",OR(NOT(ISNUMBER($G64)),$G64&lt;=0,$G64&gt;1)),"Peso fuera de rango"&amp;" · ","")&amp;IF(AND($S64="Sub",$G64&lt;&gt;""),"Las subactividades no llevan peso"&amp;" · ","")&amp;IF(AND($S64="Macro",ABS(SUMIFS($G$5:$G$1000,$P$5:$P$1000,$P64,$S$5:$S$1000,"Macro")-1)&gt;0.0001),"Pesos del mes suman "&amp;TEXT(SUMIFS($G$5:$G$1000,$P$5:$P$1000,$P64,$S$5:$S$1000,"Macro"),"0%")&amp;" · ","")&amp;IF(AND(N($T64)&gt;0,COUNT($H64:$K64)&gt;0),"Con subactividades: deje vacías las semanas (se calculan solas)"&amp;" · ","")&amp;IF((COUNTIF($H64:$K64,"&gt;1")+COUNTIF($H64:$K64,"&lt;0")+COUNTA($H64:$K64)-COUNT($H64:$K64))&gt;0,"Avance fuera de rango 0-100%"&amp;" · ","")&amp;IF(OR(AND($I64&lt;&gt;"",$I64&lt;$H64),AND($J64&lt;&gt;"",$J64&lt;MAX($H64:$I64)),AND($K64&lt;&gt;"",$K64&lt;MAX($H64:$J64))),"Avance semanal decreciente"&amp;" · ","")&amp;IF(AND(ISNUMBER($F64),$F64&lt;FechaRef,N($L64)&lt;1),"Vencida"&amp;" · ","")&amp;IF(AND(ObsObligatoria="Sí",ISNUMBER($F64),$F64&lt;FechaRef,N($L64)&lt;1,$N64=""),"Vencida sin observación"&amp;" · ",""))-3)))</f>
        <v/>
      </c>
      <c r="P64" s="69">
        <f>IF(NOT((COUNTA($B64:$K64)+COUNTA($N64))&gt;0),"",IF(AND($S64="Sub",N($R64)&gt;0),IF(ISNUMBER(INDEX($E$5:$E$1000,$R64-4)),DATE(YEAR(INDEX($E$5:$E$1000,$R64-4)),MONTH(INDEX($E$5:$E$1000,$R64-4)),1),IF(ISNUMBER(INDEX($F$5:$F$1000,$R64-4)),DATE(YEAR(INDEX($F$5:$F$1000,$R64-4)),MONTH(INDEX($F$5:$F$1000,$R64-4)),1),MesCiclo)),IF(ISNUMBER($E64),DATE(YEAR($E64),MONTH($E64),1),IF(ISNUMBER($F64),DATE(YEAR($F64),MONTH($F64),1),MesCiclo))))</f>
        <v/>
      </c>
      <c r="Q64" s="70">
        <f>IF(OR($P64="",$P64&lt;&gt;MesCiclo),"",COUNTIF($P$5:$P64,MesCiclo))</f>
        <v/>
      </c>
      <c r="R64" s="70">
        <f>IF($S64="","",IF($S64="Macro",ROW(),IFERROR(LOOKUP(2,1/($S$5:$S64="Macro"),ROW($S$5:$S64)),0)))</f>
        <v/>
      </c>
      <c r="S64" s="70">
        <f>IF(NOT((COUNTA($B64:$K64)+COUNTA($N64))&gt;0),"",IF($B64&lt;&gt;"","Macro",IF($C64&lt;&gt;"","Sub","Macro")))</f>
        <v/>
      </c>
      <c r="T64" s="70">
        <f>IF($S64="Macro",COUNTIFS($R$5:$R$1000,ROW(),$S$5:$S$1000,"Sub"),"")</f>
        <v/>
      </c>
      <c r="U64" s="70">
        <f>IF($S64="","",IF(ISNUMBER($H64),$H64,0))</f>
        <v/>
      </c>
      <c r="V64" s="70">
        <f>IF($S64="","",IF(ISNUMBER($I64),$I64,$U64))</f>
        <v/>
      </c>
      <c r="W64" s="70">
        <f>IF($S64="","",IF(ISNUMBER($J64),$J64,$V64))</f>
        <v/>
      </c>
      <c r="X64" s="70">
        <f>IF($S64="","",IF(ISNUMBER($K64),$K64,$W64))</f>
        <v/>
      </c>
      <c r="Y64" s="70">
        <f>IF($S64="","",IF(N($T64)&gt;0,AVERAGEIFS($U$5:$U$1000,$R$5:$R$1000,ROW(),$S$5:$S$1000,"Sub"),$U64))</f>
        <v/>
      </c>
      <c r="Z64" s="70">
        <f>IF($S64="","",IF(N($T64)&gt;0,AVERAGEIFS($V$5:$V$1000,$R$5:$R$1000,ROW(),$S$5:$S$1000,"Sub"),$V64))</f>
        <v/>
      </c>
      <c r="AA64" s="70">
        <f>IF($S64="","",IF(N($T64)&gt;0,AVERAGEIFS($W$5:$W$1000,$R$5:$R$1000,ROW(),$S$5:$S$1000,"Sub"),$W64))</f>
        <v/>
      </c>
      <c r="AB64" s="70">
        <f>IF($S64="","",IF(N($T64)&gt;0,AVERAGEIFS($X$5:$X$1000,$R$5:$R$1000,ROW(),$S$5:$S$1000,"Sub"),$X64))</f>
        <v/>
      </c>
    </row>
    <row r="65">
      <c r="A65" s="61">
        <f>IF(NOT((COUNTA($B65:$K65)+COUNTA($N65))&gt;0),"",IF($S65="Macro",COUNTIFS($S$5:$S65,"Macro",$P$5:$P65,$P65),IF(N($R65)=0,"?",COUNTIFS(INDEX($S$5:$S$1000,1):INDEX($S$5:$S$1000,$R65-4),"Macro",INDEX($P$5:$P$1000,1):INDEX($P$5:$P$1000,$R65-4),INDEX($P$5:$P$1000,$R65-4))&amp;"."&amp;COUNTIFS($R$5:$R65,$R65,$S$5:$S65,"Sub"))))</f>
        <v/>
      </c>
      <c r="B65" s="62" t="n"/>
      <c r="C65" s="63" t="n"/>
      <c r="D65" s="62" t="n"/>
      <c r="E65" s="64" t="n"/>
      <c r="F65" s="64" t="n"/>
      <c r="G65" s="65" t="n"/>
      <c r="H65" s="66" t="n"/>
      <c r="I65" s="66" t="n"/>
      <c r="J65" s="66" t="n"/>
      <c r="K65" s="66" t="n"/>
      <c r="L65" s="67">
        <f>IF(NOT((COUNTA($B65:$K65)+COUNTA($N65))&gt;0),"",IF(N($T65)&gt;0,$AB65,IFERROR(LOOKUP(2,1/(H65:K65&lt;&gt;""),H65:K65),0)))</f>
        <v/>
      </c>
      <c r="M65" s="61">
        <f>IF(L65="","",IF(L65&gt;=1,"Completado",IF(L65&gt;0,"En curso","Pendiente")))</f>
        <v/>
      </c>
      <c r="N65" s="62" t="n"/>
      <c r="O65" s="68">
        <f>IF(NOT((COUNTA($B65:$K65)+COUNTA($N65))&gt;0),"",IF((IF(AND($S65="Macro",$B65=""),"Macroactividad vacía"&amp;" · ","")&amp;IF(AND($B65&lt;&gt;"",$C65&lt;&gt;""),"Escriba la subactividad en otra fila, debajo de su macroactividad"&amp;" · ","")&amp;IF(AND($S65="Sub",N($R65)=0),"Subactividad sin macroactividad arriba"&amp;" · ","")&amp;IF($D65="","Sin responsable"&amp;" · ","")&amp;IF($E65="","Sin fecha de inicio"&amp;" · ","")&amp;IF($F65="","Sin fecha límite"&amp;" · ","")&amp;IF(OR(AND($E65&lt;&gt;"",NOT(ISNUMBER($E65))),AND($F65&lt;&gt;"",NOT(ISNUMBER($F65)))),"Fecha no válida"&amp;" · ","")&amp;IF(AND(ISNUMBER($E65),ISNUMBER($F65),$E65&gt;$F65),"Inicio posterior a fecha límite"&amp;" · ","")&amp;IF(AND($S65="Macro",$G65=""),"Peso vacío"&amp;" · ","")&amp;IF(AND($S65="Macro",$G65&lt;&gt;"",OR(NOT(ISNUMBER($G65)),$G65&lt;=0,$G65&gt;1)),"Peso fuera de rango"&amp;" · ","")&amp;IF(AND($S65="Sub",$G65&lt;&gt;""),"Las subactividades no llevan peso"&amp;" · ","")&amp;IF(AND($S65="Macro",ABS(SUMIFS($G$5:$G$1000,$P$5:$P$1000,$P65,$S$5:$S$1000,"Macro")-1)&gt;0.0001),"Pesos del mes suman "&amp;TEXT(SUMIFS($G$5:$G$1000,$P$5:$P$1000,$P65,$S$5:$S$1000,"Macro"),"0%")&amp;" · ","")&amp;IF(AND(N($T65)&gt;0,COUNT($H65:$K65)&gt;0),"Con subactividades: deje vacías las semanas (se calculan solas)"&amp;" · ","")&amp;IF((COUNTIF($H65:$K65,"&gt;1")+COUNTIF($H65:$K65,"&lt;0")+COUNTA($H65:$K65)-COUNT($H65:$K65))&gt;0,"Avance fuera de rango 0-100%"&amp;" · ","")&amp;IF(OR(AND($I65&lt;&gt;"",$I65&lt;$H65),AND($J65&lt;&gt;"",$J65&lt;MAX($H65:$I65)),AND($K65&lt;&gt;"",$K65&lt;MAX($H65:$J65))),"Avance semanal decreciente"&amp;" · ","")&amp;IF(AND(ISNUMBER($F65),$F65&lt;FechaRef,N($L65)&lt;1),"Vencida"&amp;" · ","")&amp;IF(AND(ObsObligatoria="Sí",ISNUMBER($F65),$F65&lt;FechaRef,N($L65)&lt;1,$N65=""),"Vencida sin observación"&amp;" · ",""))="","✔ OK","⚠ "&amp;LEFT(IF(AND($S65="Macro",$B65=""),"Macroactividad vacía"&amp;" · ","")&amp;IF(AND($B65&lt;&gt;"",$C65&lt;&gt;""),"Escriba la subactividad en otra fila, debajo de su macroactividad"&amp;" · ","")&amp;IF(AND($S65="Sub",N($R65)=0),"Subactividad sin macroactividad arriba"&amp;" · ","")&amp;IF($D65="","Sin responsable"&amp;" · ","")&amp;IF($E65="","Sin fecha de inicio"&amp;" · ","")&amp;IF($F65="","Sin fecha límite"&amp;" · ","")&amp;IF(OR(AND($E65&lt;&gt;"",NOT(ISNUMBER($E65))),AND($F65&lt;&gt;"",NOT(ISNUMBER($F65)))),"Fecha no válida"&amp;" · ","")&amp;IF(AND(ISNUMBER($E65),ISNUMBER($F65),$E65&gt;$F65),"Inicio posterior a fecha límite"&amp;" · ","")&amp;IF(AND($S65="Macro",$G65=""),"Peso vacío"&amp;" · ","")&amp;IF(AND($S65="Macro",$G65&lt;&gt;"",OR(NOT(ISNUMBER($G65)),$G65&lt;=0,$G65&gt;1)),"Peso fuera de rango"&amp;" · ","")&amp;IF(AND($S65="Sub",$G65&lt;&gt;""),"Las subactividades no llevan peso"&amp;" · ","")&amp;IF(AND($S65="Macro",ABS(SUMIFS($G$5:$G$1000,$P$5:$P$1000,$P65,$S$5:$S$1000,"Macro")-1)&gt;0.0001),"Pesos del mes suman "&amp;TEXT(SUMIFS($G$5:$G$1000,$P$5:$P$1000,$P65,$S$5:$S$1000,"Macro"),"0%")&amp;" · ","")&amp;IF(AND(N($T65)&gt;0,COUNT($H65:$K65)&gt;0),"Con subactividades: deje vacías las semanas (se calculan solas)"&amp;" · ","")&amp;IF((COUNTIF($H65:$K65,"&gt;1")+COUNTIF($H65:$K65,"&lt;0")+COUNTA($H65:$K65)-COUNT($H65:$K65))&gt;0,"Avance fuera de rango 0-100%"&amp;" · ","")&amp;IF(OR(AND($I65&lt;&gt;"",$I65&lt;$H65),AND($J65&lt;&gt;"",$J65&lt;MAX($H65:$I65)),AND($K65&lt;&gt;"",$K65&lt;MAX($H65:$J65))),"Avance semanal decreciente"&amp;" · ","")&amp;IF(AND(ISNUMBER($F65),$F65&lt;FechaRef,N($L65)&lt;1),"Vencida"&amp;" · ","")&amp;IF(AND(ObsObligatoria="Sí",ISNUMBER($F65),$F65&lt;FechaRef,N($L65)&lt;1,$N65=""),"Vencida sin observación"&amp;" · ",""),LEN(IF(AND($S65="Macro",$B65=""),"Macroactividad vacía"&amp;" · ","")&amp;IF(AND($B65&lt;&gt;"",$C65&lt;&gt;""),"Escriba la subactividad en otra fila, debajo de su macroactividad"&amp;" · ","")&amp;IF(AND($S65="Sub",N($R65)=0),"Subactividad sin macroactividad arriba"&amp;" · ","")&amp;IF($D65="","Sin responsable"&amp;" · ","")&amp;IF($E65="","Sin fecha de inicio"&amp;" · ","")&amp;IF($F65="","Sin fecha límite"&amp;" · ","")&amp;IF(OR(AND($E65&lt;&gt;"",NOT(ISNUMBER($E65))),AND($F65&lt;&gt;"",NOT(ISNUMBER($F65)))),"Fecha no válida"&amp;" · ","")&amp;IF(AND(ISNUMBER($E65),ISNUMBER($F65),$E65&gt;$F65),"Inicio posterior a fecha límite"&amp;" · ","")&amp;IF(AND($S65="Macro",$G65=""),"Peso vacío"&amp;" · ","")&amp;IF(AND($S65="Macro",$G65&lt;&gt;"",OR(NOT(ISNUMBER($G65)),$G65&lt;=0,$G65&gt;1)),"Peso fuera de rango"&amp;" · ","")&amp;IF(AND($S65="Sub",$G65&lt;&gt;""),"Las subactividades no llevan peso"&amp;" · ","")&amp;IF(AND($S65="Macro",ABS(SUMIFS($G$5:$G$1000,$P$5:$P$1000,$P65,$S$5:$S$1000,"Macro")-1)&gt;0.0001),"Pesos del mes suman "&amp;TEXT(SUMIFS($G$5:$G$1000,$P$5:$P$1000,$P65,$S$5:$S$1000,"Macro"),"0%")&amp;" · ","")&amp;IF(AND(N($T65)&gt;0,COUNT($H65:$K65)&gt;0),"Con subactividades: deje vacías las semanas (se calculan solas)"&amp;" · ","")&amp;IF((COUNTIF($H65:$K65,"&gt;1")+COUNTIF($H65:$K65,"&lt;0")+COUNTA($H65:$K65)-COUNT($H65:$K65))&gt;0,"Avance fuera de rango 0-100%"&amp;" · ","")&amp;IF(OR(AND($I65&lt;&gt;"",$I65&lt;$H65),AND($J65&lt;&gt;"",$J65&lt;MAX($H65:$I65)),AND($K65&lt;&gt;"",$K65&lt;MAX($H65:$J65))),"Avance semanal decreciente"&amp;" · ","")&amp;IF(AND(ISNUMBER($F65),$F65&lt;FechaRef,N($L65)&lt;1),"Vencida"&amp;" · ","")&amp;IF(AND(ObsObligatoria="Sí",ISNUMBER($F65),$F65&lt;FechaRef,N($L65)&lt;1,$N65=""),"Vencida sin observación"&amp;" · ",""))-3)))</f>
        <v/>
      </c>
      <c r="P65" s="69">
        <f>IF(NOT((COUNTA($B65:$K65)+COUNTA($N65))&gt;0),"",IF(AND($S65="Sub",N($R65)&gt;0),IF(ISNUMBER(INDEX($E$5:$E$1000,$R65-4)),DATE(YEAR(INDEX($E$5:$E$1000,$R65-4)),MONTH(INDEX($E$5:$E$1000,$R65-4)),1),IF(ISNUMBER(INDEX($F$5:$F$1000,$R65-4)),DATE(YEAR(INDEX($F$5:$F$1000,$R65-4)),MONTH(INDEX($F$5:$F$1000,$R65-4)),1),MesCiclo)),IF(ISNUMBER($E65),DATE(YEAR($E65),MONTH($E65),1),IF(ISNUMBER($F65),DATE(YEAR($F65),MONTH($F65),1),MesCiclo))))</f>
        <v/>
      </c>
      <c r="Q65" s="70">
        <f>IF(OR($P65="",$P65&lt;&gt;MesCiclo),"",COUNTIF($P$5:$P65,MesCiclo))</f>
        <v/>
      </c>
      <c r="R65" s="70">
        <f>IF($S65="","",IF($S65="Macro",ROW(),IFERROR(LOOKUP(2,1/($S$5:$S65="Macro"),ROW($S$5:$S65)),0)))</f>
        <v/>
      </c>
      <c r="S65" s="70">
        <f>IF(NOT((COUNTA($B65:$K65)+COUNTA($N65))&gt;0),"",IF($B65&lt;&gt;"","Macro",IF($C65&lt;&gt;"","Sub","Macro")))</f>
        <v/>
      </c>
      <c r="T65" s="70">
        <f>IF($S65="Macro",COUNTIFS($R$5:$R$1000,ROW(),$S$5:$S$1000,"Sub"),"")</f>
        <v/>
      </c>
      <c r="U65" s="70">
        <f>IF($S65="","",IF(ISNUMBER($H65),$H65,0))</f>
        <v/>
      </c>
      <c r="V65" s="70">
        <f>IF($S65="","",IF(ISNUMBER($I65),$I65,$U65))</f>
        <v/>
      </c>
      <c r="W65" s="70">
        <f>IF($S65="","",IF(ISNUMBER($J65),$J65,$V65))</f>
        <v/>
      </c>
      <c r="X65" s="70">
        <f>IF($S65="","",IF(ISNUMBER($K65),$K65,$W65))</f>
        <v/>
      </c>
      <c r="Y65" s="70">
        <f>IF($S65="","",IF(N($T65)&gt;0,AVERAGEIFS($U$5:$U$1000,$R$5:$R$1000,ROW(),$S$5:$S$1000,"Sub"),$U65))</f>
        <v/>
      </c>
      <c r="Z65" s="70">
        <f>IF($S65="","",IF(N($T65)&gt;0,AVERAGEIFS($V$5:$V$1000,$R$5:$R$1000,ROW(),$S$5:$S$1000,"Sub"),$V65))</f>
        <v/>
      </c>
      <c r="AA65" s="70">
        <f>IF($S65="","",IF(N($T65)&gt;0,AVERAGEIFS($W$5:$W$1000,$R$5:$R$1000,ROW(),$S$5:$S$1000,"Sub"),$W65))</f>
        <v/>
      </c>
      <c r="AB65" s="70">
        <f>IF($S65="","",IF(N($T65)&gt;0,AVERAGEIFS($X$5:$X$1000,$R$5:$R$1000,ROW(),$S$5:$S$1000,"Sub"),$X65))</f>
        <v/>
      </c>
    </row>
    <row r="66">
      <c r="A66" s="61">
        <f>IF(NOT((COUNTA($B66:$K66)+COUNTA($N66))&gt;0),"",IF($S66="Macro",COUNTIFS($S$5:$S66,"Macro",$P$5:$P66,$P66),IF(N($R66)=0,"?",COUNTIFS(INDEX($S$5:$S$1000,1):INDEX($S$5:$S$1000,$R66-4),"Macro",INDEX($P$5:$P$1000,1):INDEX($P$5:$P$1000,$R66-4),INDEX($P$5:$P$1000,$R66-4))&amp;"."&amp;COUNTIFS($R$5:$R66,$R66,$S$5:$S66,"Sub"))))</f>
        <v/>
      </c>
      <c r="B66" s="62" t="n"/>
      <c r="C66" s="63" t="n"/>
      <c r="D66" s="62" t="n"/>
      <c r="E66" s="64" t="n"/>
      <c r="F66" s="64" t="n"/>
      <c r="G66" s="65" t="n"/>
      <c r="H66" s="66" t="n"/>
      <c r="I66" s="66" t="n"/>
      <c r="J66" s="66" t="n"/>
      <c r="K66" s="66" t="n"/>
      <c r="L66" s="67">
        <f>IF(NOT((COUNTA($B66:$K66)+COUNTA($N66))&gt;0),"",IF(N($T66)&gt;0,$AB66,IFERROR(LOOKUP(2,1/(H66:K66&lt;&gt;""),H66:K66),0)))</f>
        <v/>
      </c>
      <c r="M66" s="61">
        <f>IF(L66="","",IF(L66&gt;=1,"Completado",IF(L66&gt;0,"En curso","Pendiente")))</f>
        <v/>
      </c>
      <c r="N66" s="62" t="n"/>
      <c r="O66" s="68">
        <f>IF(NOT((COUNTA($B66:$K66)+COUNTA($N66))&gt;0),"",IF((IF(AND($S66="Macro",$B66=""),"Macroactividad vacía"&amp;" · ","")&amp;IF(AND($B66&lt;&gt;"",$C66&lt;&gt;""),"Escriba la subactividad en otra fila, debajo de su macroactividad"&amp;" · ","")&amp;IF(AND($S66="Sub",N($R66)=0),"Subactividad sin macroactividad arriba"&amp;" · ","")&amp;IF($D66="","Sin responsable"&amp;" · ","")&amp;IF($E66="","Sin fecha de inicio"&amp;" · ","")&amp;IF($F66="","Sin fecha límite"&amp;" · ","")&amp;IF(OR(AND($E66&lt;&gt;"",NOT(ISNUMBER($E66))),AND($F66&lt;&gt;"",NOT(ISNUMBER($F66)))),"Fecha no válida"&amp;" · ","")&amp;IF(AND(ISNUMBER($E66),ISNUMBER($F66),$E66&gt;$F66),"Inicio posterior a fecha límite"&amp;" · ","")&amp;IF(AND($S66="Macro",$G66=""),"Peso vacío"&amp;" · ","")&amp;IF(AND($S66="Macro",$G66&lt;&gt;"",OR(NOT(ISNUMBER($G66)),$G66&lt;=0,$G66&gt;1)),"Peso fuera de rango"&amp;" · ","")&amp;IF(AND($S66="Sub",$G66&lt;&gt;""),"Las subactividades no llevan peso"&amp;" · ","")&amp;IF(AND($S66="Macro",ABS(SUMIFS($G$5:$G$1000,$P$5:$P$1000,$P66,$S$5:$S$1000,"Macro")-1)&gt;0.0001),"Pesos del mes suman "&amp;TEXT(SUMIFS($G$5:$G$1000,$P$5:$P$1000,$P66,$S$5:$S$1000,"Macro"),"0%")&amp;" · ","")&amp;IF(AND(N($T66)&gt;0,COUNT($H66:$K66)&gt;0),"Con subactividades: deje vacías las semanas (se calculan solas)"&amp;" · ","")&amp;IF((COUNTIF($H66:$K66,"&gt;1")+COUNTIF($H66:$K66,"&lt;0")+COUNTA($H66:$K66)-COUNT($H66:$K66))&gt;0,"Avance fuera de rango 0-100%"&amp;" · ","")&amp;IF(OR(AND($I66&lt;&gt;"",$I66&lt;$H66),AND($J66&lt;&gt;"",$J66&lt;MAX($H66:$I66)),AND($K66&lt;&gt;"",$K66&lt;MAX($H66:$J66))),"Avance semanal decreciente"&amp;" · ","")&amp;IF(AND(ISNUMBER($F66),$F66&lt;FechaRef,N($L66)&lt;1),"Vencida"&amp;" · ","")&amp;IF(AND(ObsObligatoria="Sí",ISNUMBER($F66),$F66&lt;FechaRef,N($L66)&lt;1,$N66=""),"Vencida sin observación"&amp;" · ",""))="","✔ OK","⚠ "&amp;LEFT(IF(AND($S66="Macro",$B66=""),"Macroactividad vacía"&amp;" · ","")&amp;IF(AND($B66&lt;&gt;"",$C66&lt;&gt;""),"Escriba la subactividad en otra fila, debajo de su macroactividad"&amp;" · ","")&amp;IF(AND($S66="Sub",N($R66)=0),"Subactividad sin macroactividad arriba"&amp;" · ","")&amp;IF($D66="","Sin responsable"&amp;" · ","")&amp;IF($E66="","Sin fecha de inicio"&amp;" · ","")&amp;IF($F66="","Sin fecha límite"&amp;" · ","")&amp;IF(OR(AND($E66&lt;&gt;"",NOT(ISNUMBER($E66))),AND($F66&lt;&gt;"",NOT(ISNUMBER($F66)))),"Fecha no válida"&amp;" · ","")&amp;IF(AND(ISNUMBER($E66),ISNUMBER($F66),$E66&gt;$F66),"Inicio posterior a fecha límite"&amp;" · ","")&amp;IF(AND($S66="Macro",$G66=""),"Peso vacío"&amp;" · ","")&amp;IF(AND($S66="Macro",$G66&lt;&gt;"",OR(NOT(ISNUMBER($G66)),$G66&lt;=0,$G66&gt;1)),"Peso fuera de rango"&amp;" · ","")&amp;IF(AND($S66="Sub",$G66&lt;&gt;""),"Las subactividades no llevan peso"&amp;" · ","")&amp;IF(AND($S66="Macro",ABS(SUMIFS($G$5:$G$1000,$P$5:$P$1000,$P66,$S$5:$S$1000,"Macro")-1)&gt;0.0001),"Pesos del mes suman "&amp;TEXT(SUMIFS($G$5:$G$1000,$P$5:$P$1000,$P66,$S$5:$S$1000,"Macro"),"0%")&amp;" · ","")&amp;IF(AND(N($T66)&gt;0,COUNT($H66:$K66)&gt;0),"Con subactividades: deje vacías las semanas (se calculan solas)"&amp;" · ","")&amp;IF((COUNTIF($H66:$K66,"&gt;1")+COUNTIF($H66:$K66,"&lt;0")+COUNTA($H66:$K66)-COUNT($H66:$K66))&gt;0,"Avance fuera de rango 0-100%"&amp;" · ","")&amp;IF(OR(AND($I66&lt;&gt;"",$I66&lt;$H66),AND($J66&lt;&gt;"",$J66&lt;MAX($H66:$I66)),AND($K66&lt;&gt;"",$K66&lt;MAX($H66:$J66))),"Avance semanal decreciente"&amp;" · ","")&amp;IF(AND(ISNUMBER($F66),$F66&lt;FechaRef,N($L66)&lt;1),"Vencida"&amp;" · ","")&amp;IF(AND(ObsObligatoria="Sí",ISNUMBER($F66),$F66&lt;FechaRef,N($L66)&lt;1,$N66=""),"Vencida sin observación"&amp;" · ",""),LEN(IF(AND($S66="Macro",$B66=""),"Macroactividad vacía"&amp;" · ","")&amp;IF(AND($B66&lt;&gt;"",$C66&lt;&gt;""),"Escriba la subactividad en otra fila, debajo de su macroactividad"&amp;" · ","")&amp;IF(AND($S66="Sub",N($R66)=0),"Subactividad sin macroactividad arriba"&amp;" · ","")&amp;IF($D66="","Sin responsable"&amp;" · ","")&amp;IF($E66="","Sin fecha de inicio"&amp;" · ","")&amp;IF($F66="","Sin fecha límite"&amp;" · ","")&amp;IF(OR(AND($E66&lt;&gt;"",NOT(ISNUMBER($E66))),AND($F66&lt;&gt;"",NOT(ISNUMBER($F66)))),"Fecha no válida"&amp;" · ","")&amp;IF(AND(ISNUMBER($E66),ISNUMBER($F66),$E66&gt;$F66),"Inicio posterior a fecha límite"&amp;" · ","")&amp;IF(AND($S66="Macro",$G66=""),"Peso vacío"&amp;" · ","")&amp;IF(AND($S66="Macro",$G66&lt;&gt;"",OR(NOT(ISNUMBER($G66)),$G66&lt;=0,$G66&gt;1)),"Peso fuera de rango"&amp;" · ","")&amp;IF(AND($S66="Sub",$G66&lt;&gt;""),"Las subactividades no llevan peso"&amp;" · ","")&amp;IF(AND($S66="Macro",ABS(SUMIFS($G$5:$G$1000,$P$5:$P$1000,$P66,$S$5:$S$1000,"Macro")-1)&gt;0.0001),"Pesos del mes suman "&amp;TEXT(SUMIFS($G$5:$G$1000,$P$5:$P$1000,$P66,$S$5:$S$1000,"Macro"),"0%")&amp;" · ","")&amp;IF(AND(N($T66)&gt;0,COUNT($H66:$K66)&gt;0),"Con subactividades: deje vacías las semanas (se calculan solas)"&amp;" · ","")&amp;IF((COUNTIF($H66:$K66,"&gt;1")+COUNTIF($H66:$K66,"&lt;0")+COUNTA($H66:$K66)-COUNT($H66:$K66))&gt;0,"Avance fuera de rango 0-100%"&amp;" · ","")&amp;IF(OR(AND($I66&lt;&gt;"",$I66&lt;$H66),AND($J66&lt;&gt;"",$J66&lt;MAX($H66:$I66)),AND($K66&lt;&gt;"",$K66&lt;MAX($H66:$J66))),"Avance semanal decreciente"&amp;" · ","")&amp;IF(AND(ISNUMBER($F66),$F66&lt;FechaRef,N($L66)&lt;1),"Vencida"&amp;" · ","")&amp;IF(AND(ObsObligatoria="Sí",ISNUMBER($F66),$F66&lt;FechaRef,N($L66)&lt;1,$N66=""),"Vencida sin observación"&amp;" · ",""))-3)))</f>
        <v/>
      </c>
      <c r="P66" s="69">
        <f>IF(NOT((COUNTA($B66:$K66)+COUNTA($N66))&gt;0),"",IF(AND($S66="Sub",N($R66)&gt;0),IF(ISNUMBER(INDEX($E$5:$E$1000,$R66-4)),DATE(YEAR(INDEX($E$5:$E$1000,$R66-4)),MONTH(INDEX($E$5:$E$1000,$R66-4)),1),IF(ISNUMBER(INDEX($F$5:$F$1000,$R66-4)),DATE(YEAR(INDEX($F$5:$F$1000,$R66-4)),MONTH(INDEX($F$5:$F$1000,$R66-4)),1),MesCiclo)),IF(ISNUMBER($E66),DATE(YEAR($E66),MONTH($E66),1),IF(ISNUMBER($F66),DATE(YEAR($F66),MONTH($F66),1),MesCiclo))))</f>
        <v/>
      </c>
      <c r="Q66" s="70">
        <f>IF(OR($P66="",$P66&lt;&gt;MesCiclo),"",COUNTIF($P$5:$P66,MesCiclo))</f>
        <v/>
      </c>
      <c r="R66" s="70">
        <f>IF($S66="","",IF($S66="Macro",ROW(),IFERROR(LOOKUP(2,1/($S$5:$S66="Macro"),ROW($S$5:$S66)),0)))</f>
        <v/>
      </c>
      <c r="S66" s="70">
        <f>IF(NOT((COUNTA($B66:$K66)+COUNTA($N66))&gt;0),"",IF($B66&lt;&gt;"","Macro",IF($C66&lt;&gt;"","Sub","Macro")))</f>
        <v/>
      </c>
      <c r="T66" s="70">
        <f>IF($S66="Macro",COUNTIFS($R$5:$R$1000,ROW(),$S$5:$S$1000,"Sub"),"")</f>
        <v/>
      </c>
      <c r="U66" s="70">
        <f>IF($S66="","",IF(ISNUMBER($H66),$H66,0))</f>
        <v/>
      </c>
      <c r="V66" s="70">
        <f>IF($S66="","",IF(ISNUMBER($I66),$I66,$U66))</f>
        <v/>
      </c>
      <c r="W66" s="70">
        <f>IF($S66="","",IF(ISNUMBER($J66),$J66,$V66))</f>
        <v/>
      </c>
      <c r="X66" s="70">
        <f>IF($S66="","",IF(ISNUMBER($K66),$K66,$W66))</f>
        <v/>
      </c>
      <c r="Y66" s="70">
        <f>IF($S66="","",IF(N($T66)&gt;0,AVERAGEIFS($U$5:$U$1000,$R$5:$R$1000,ROW(),$S$5:$S$1000,"Sub"),$U66))</f>
        <v/>
      </c>
      <c r="Z66" s="70">
        <f>IF($S66="","",IF(N($T66)&gt;0,AVERAGEIFS($V$5:$V$1000,$R$5:$R$1000,ROW(),$S$5:$S$1000,"Sub"),$V66))</f>
        <v/>
      </c>
      <c r="AA66" s="70">
        <f>IF($S66="","",IF(N($T66)&gt;0,AVERAGEIFS($W$5:$W$1000,$R$5:$R$1000,ROW(),$S$5:$S$1000,"Sub"),$W66))</f>
        <v/>
      </c>
      <c r="AB66" s="70">
        <f>IF($S66="","",IF(N($T66)&gt;0,AVERAGEIFS($X$5:$X$1000,$R$5:$R$1000,ROW(),$S$5:$S$1000,"Sub"),$X66))</f>
        <v/>
      </c>
    </row>
    <row r="67">
      <c r="A67" s="61">
        <f>IF(NOT((COUNTA($B67:$K67)+COUNTA($N67))&gt;0),"",IF($S67="Macro",COUNTIFS($S$5:$S67,"Macro",$P$5:$P67,$P67),IF(N($R67)=0,"?",COUNTIFS(INDEX($S$5:$S$1000,1):INDEX($S$5:$S$1000,$R67-4),"Macro",INDEX($P$5:$P$1000,1):INDEX($P$5:$P$1000,$R67-4),INDEX($P$5:$P$1000,$R67-4))&amp;"."&amp;COUNTIFS($R$5:$R67,$R67,$S$5:$S67,"Sub"))))</f>
        <v/>
      </c>
      <c r="B67" s="62" t="n"/>
      <c r="C67" s="63" t="n"/>
      <c r="D67" s="62" t="n"/>
      <c r="E67" s="64" t="n"/>
      <c r="F67" s="64" t="n"/>
      <c r="G67" s="65" t="n"/>
      <c r="H67" s="66" t="n"/>
      <c r="I67" s="66" t="n"/>
      <c r="J67" s="66" t="n"/>
      <c r="K67" s="66" t="n"/>
      <c r="L67" s="67">
        <f>IF(NOT((COUNTA($B67:$K67)+COUNTA($N67))&gt;0),"",IF(N($T67)&gt;0,$AB67,IFERROR(LOOKUP(2,1/(H67:K67&lt;&gt;""),H67:K67),0)))</f>
        <v/>
      </c>
      <c r="M67" s="61">
        <f>IF(L67="","",IF(L67&gt;=1,"Completado",IF(L67&gt;0,"En curso","Pendiente")))</f>
        <v/>
      </c>
      <c r="N67" s="62" t="n"/>
      <c r="O67" s="68">
        <f>IF(NOT((COUNTA($B67:$K67)+COUNTA($N67))&gt;0),"",IF((IF(AND($S67="Macro",$B67=""),"Macroactividad vacía"&amp;" · ","")&amp;IF(AND($B67&lt;&gt;"",$C67&lt;&gt;""),"Escriba la subactividad en otra fila, debajo de su macroactividad"&amp;" · ","")&amp;IF(AND($S67="Sub",N($R67)=0),"Subactividad sin macroactividad arriba"&amp;" · ","")&amp;IF($D67="","Sin responsable"&amp;" · ","")&amp;IF($E67="","Sin fecha de inicio"&amp;" · ","")&amp;IF($F67="","Sin fecha límite"&amp;" · ","")&amp;IF(OR(AND($E67&lt;&gt;"",NOT(ISNUMBER($E67))),AND($F67&lt;&gt;"",NOT(ISNUMBER($F67)))),"Fecha no válida"&amp;" · ","")&amp;IF(AND(ISNUMBER($E67),ISNUMBER($F67),$E67&gt;$F67),"Inicio posterior a fecha límite"&amp;" · ","")&amp;IF(AND($S67="Macro",$G67=""),"Peso vacío"&amp;" · ","")&amp;IF(AND($S67="Macro",$G67&lt;&gt;"",OR(NOT(ISNUMBER($G67)),$G67&lt;=0,$G67&gt;1)),"Peso fuera de rango"&amp;" · ","")&amp;IF(AND($S67="Sub",$G67&lt;&gt;""),"Las subactividades no llevan peso"&amp;" · ","")&amp;IF(AND($S67="Macro",ABS(SUMIFS($G$5:$G$1000,$P$5:$P$1000,$P67,$S$5:$S$1000,"Macro")-1)&gt;0.0001),"Pesos del mes suman "&amp;TEXT(SUMIFS($G$5:$G$1000,$P$5:$P$1000,$P67,$S$5:$S$1000,"Macro"),"0%")&amp;" · ","")&amp;IF(AND(N($T67)&gt;0,COUNT($H67:$K67)&gt;0),"Con subactividades: deje vacías las semanas (se calculan solas)"&amp;" · ","")&amp;IF((COUNTIF($H67:$K67,"&gt;1")+COUNTIF($H67:$K67,"&lt;0")+COUNTA($H67:$K67)-COUNT($H67:$K67))&gt;0,"Avance fuera de rango 0-100%"&amp;" · ","")&amp;IF(OR(AND($I67&lt;&gt;"",$I67&lt;$H67),AND($J67&lt;&gt;"",$J67&lt;MAX($H67:$I67)),AND($K67&lt;&gt;"",$K67&lt;MAX($H67:$J67))),"Avance semanal decreciente"&amp;" · ","")&amp;IF(AND(ISNUMBER($F67),$F67&lt;FechaRef,N($L67)&lt;1),"Vencida"&amp;" · ","")&amp;IF(AND(ObsObligatoria="Sí",ISNUMBER($F67),$F67&lt;FechaRef,N($L67)&lt;1,$N67=""),"Vencida sin observación"&amp;" · ",""))="","✔ OK","⚠ "&amp;LEFT(IF(AND($S67="Macro",$B67=""),"Macroactividad vacía"&amp;" · ","")&amp;IF(AND($B67&lt;&gt;"",$C67&lt;&gt;""),"Escriba la subactividad en otra fila, debajo de su macroactividad"&amp;" · ","")&amp;IF(AND($S67="Sub",N($R67)=0),"Subactividad sin macroactividad arriba"&amp;" · ","")&amp;IF($D67="","Sin responsable"&amp;" · ","")&amp;IF($E67="","Sin fecha de inicio"&amp;" · ","")&amp;IF($F67="","Sin fecha límite"&amp;" · ","")&amp;IF(OR(AND($E67&lt;&gt;"",NOT(ISNUMBER($E67))),AND($F67&lt;&gt;"",NOT(ISNUMBER($F67)))),"Fecha no válida"&amp;" · ","")&amp;IF(AND(ISNUMBER($E67),ISNUMBER($F67),$E67&gt;$F67),"Inicio posterior a fecha límite"&amp;" · ","")&amp;IF(AND($S67="Macro",$G67=""),"Peso vacío"&amp;" · ","")&amp;IF(AND($S67="Macro",$G67&lt;&gt;"",OR(NOT(ISNUMBER($G67)),$G67&lt;=0,$G67&gt;1)),"Peso fuera de rango"&amp;" · ","")&amp;IF(AND($S67="Sub",$G67&lt;&gt;""),"Las subactividades no llevan peso"&amp;" · ","")&amp;IF(AND($S67="Macro",ABS(SUMIFS($G$5:$G$1000,$P$5:$P$1000,$P67,$S$5:$S$1000,"Macro")-1)&gt;0.0001),"Pesos del mes suman "&amp;TEXT(SUMIFS($G$5:$G$1000,$P$5:$P$1000,$P67,$S$5:$S$1000,"Macro"),"0%")&amp;" · ","")&amp;IF(AND(N($T67)&gt;0,COUNT($H67:$K67)&gt;0),"Con subactividades: deje vacías las semanas (se calculan solas)"&amp;" · ","")&amp;IF((COUNTIF($H67:$K67,"&gt;1")+COUNTIF($H67:$K67,"&lt;0")+COUNTA($H67:$K67)-COUNT($H67:$K67))&gt;0,"Avance fuera de rango 0-100%"&amp;" · ","")&amp;IF(OR(AND($I67&lt;&gt;"",$I67&lt;$H67),AND($J67&lt;&gt;"",$J67&lt;MAX($H67:$I67)),AND($K67&lt;&gt;"",$K67&lt;MAX($H67:$J67))),"Avance semanal decreciente"&amp;" · ","")&amp;IF(AND(ISNUMBER($F67),$F67&lt;FechaRef,N($L67)&lt;1),"Vencida"&amp;" · ","")&amp;IF(AND(ObsObligatoria="Sí",ISNUMBER($F67),$F67&lt;FechaRef,N($L67)&lt;1,$N67=""),"Vencida sin observación"&amp;" · ",""),LEN(IF(AND($S67="Macro",$B67=""),"Macroactividad vacía"&amp;" · ","")&amp;IF(AND($B67&lt;&gt;"",$C67&lt;&gt;""),"Escriba la subactividad en otra fila, debajo de su macroactividad"&amp;" · ","")&amp;IF(AND($S67="Sub",N($R67)=0),"Subactividad sin macroactividad arriba"&amp;" · ","")&amp;IF($D67="","Sin responsable"&amp;" · ","")&amp;IF($E67="","Sin fecha de inicio"&amp;" · ","")&amp;IF($F67="","Sin fecha límite"&amp;" · ","")&amp;IF(OR(AND($E67&lt;&gt;"",NOT(ISNUMBER($E67))),AND($F67&lt;&gt;"",NOT(ISNUMBER($F67)))),"Fecha no válida"&amp;" · ","")&amp;IF(AND(ISNUMBER($E67),ISNUMBER($F67),$E67&gt;$F67),"Inicio posterior a fecha límite"&amp;" · ","")&amp;IF(AND($S67="Macro",$G67=""),"Peso vacío"&amp;" · ","")&amp;IF(AND($S67="Macro",$G67&lt;&gt;"",OR(NOT(ISNUMBER($G67)),$G67&lt;=0,$G67&gt;1)),"Peso fuera de rango"&amp;" · ","")&amp;IF(AND($S67="Sub",$G67&lt;&gt;""),"Las subactividades no llevan peso"&amp;" · ","")&amp;IF(AND($S67="Macro",ABS(SUMIFS($G$5:$G$1000,$P$5:$P$1000,$P67,$S$5:$S$1000,"Macro")-1)&gt;0.0001),"Pesos del mes suman "&amp;TEXT(SUMIFS($G$5:$G$1000,$P$5:$P$1000,$P67,$S$5:$S$1000,"Macro"),"0%")&amp;" · ","")&amp;IF(AND(N($T67)&gt;0,COUNT($H67:$K67)&gt;0),"Con subactividades: deje vacías las semanas (se calculan solas)"&amp;" · ","")&amp;IF((COUNTIF($H67:$K67,"&gt;1")+COUNTIF($H67:$K67,"&lt;0")+COUNTA($H67:$K67)-COUNT($H67:$K67))&gt;0,"Avance fuera de rango 0-100%"&amp;" · ","")&amp;IF(OR(AND($I67&lt;&gt;"",$I67&lt;$H67),AND($J67&lt;&gt;"",$J67&lt;MAX($H67:$I67)),AND($K67&lt;&gt;"",$K67&lt;MAX($H67:$J67))),"Avance semanal decreciente"&amp;" · ","")&amp;IF(AND(ISNUMBER($F67),$F67&lt;FechaRef,N($L67)&lt;1),"Vencida"&amp;" · ","")&amp;IF(AND(ObsObligatoria="Sí",ISNUMBER($F67),$F67&lt;FechaRef,N($L67)&lt;1,$N67=""),"Vencida sin observación"&amp;" · ",""))-3)))</f>
        <v/>
      </c>
      <c r="P67" s="69">
        <f>IF(NOT((COUNTA($B67:$K67)+COUNTA($N67))&gt;0),"",IF(AND($S67="Sub",N($R67)&gt;0),IF(ISNUMBER(INDEX($E$5:$E$1000,$R67-4)),DATE(YEAR(INDEX($E$5:$E$1000,$R67-4)),MONTH(INDEX($E$5:$E$1000,$R67-4)),1),IF(ISNUMBER(INDEX($F$5:$F$1000,$R67-4)),DATE(YEAR(INDEX($F$5:$F$1000,$R67-4)),MONTH(INDEX($F$5:$F$1000,$R67-4)),1),MesCiclo)),IF(ISNUMBER($E67),DATE(YEAR($E67),MONTH($E67),1),IF(ISNUMBER($F67),DATE(YEAR($F67),MONTH($F67),1),MesCiclo))))</f>
        <v/>
      </c>
      <c r="Q67" s="70">
        <f>IF(OR($P67="",$P67&lt;&gt;MesCiclo),"",COUNTIF($P$5:$P67,MesCiclo))</f>
        <v/>
      </c>
      <c r="R67" s="70">
        <f>IF($S67="","",IF($S67="Macro",ROW(),IFERROR(LOOKUP(2,1/($S$5:$S67="Macro"),ROW($S$5:$S67)),0)))</f>
        <v/>
      </c>
      <c r="S67" s="70">
        <f>IF(NOT((COUNTA($B67:$K67)+COUNTA($N67))&gt;0),"",IF($B67&lt;&gt;"","Macro",IF($C67&lt;&gt;"","Sub","Macro")))</f>
        <v/>
      </c>
      <c r="T67" s="70">
        <f>IF($S67="Macro",COUNTIFS($R$5:$R$1000,ROW(),$S$5:$S$1000,"Sub"),"")</f>
        <v/>
      </c>
      <c r="U67" s="70">
        <f>IF($S67="","",IF(ISNUMBER($H67),$H67,0))</f>
        <v/>
      </c>
      <c r="V67" s="70">
        <f>IF($S67="","",IF(ISNUMBER($I67),$I67,$U67))</f>
        <v/>
      </c>
      <c r="W67" s="70">
        <f>IF($S67="","",IF(ISNUMBER($J67),$J67,$V67))</f>
        <v/>
      </c>
      <c r="X67" s="70">
        <f>IF($S67="","",IF(ISNUMBER($K67),$K67,$W67))</f>
        <v/>
      </c>
      <c r="Y67" s="70">
        <f>IF($S67="","",IF(N($T67)&gt;0,AVERAGEIFS($U$5:$U$1000,$R$5:$R$1000,ROW(),$S$5:$S$1000,"Sub"),$U67))</f>
        <v/>
      </c>
      <c r="Z67" s="70">
        <f>IF($S67="","",IF(N($T67)&gt;0,AVERAGEIFS($V$5:$V$1000,$R$5:$R$1000,ROW(),$S$5:$S$1000,"Sub"),$V67))</f>
        <v/>
      </c>
      <c r="AA67" s="70">
        <f>IF($S67="","",IF(N($T67)&gt;0,AVERAGEIFS($W$5:$W$1000,$R$5:$R$1000,ROW(),$S$5:$S$1000,"Sub"),$W67))</f>
        <v/>
      </c>
      <c r="AB67" s="70">
        <f>IF($S67="","",IF(N($T67)&gt;0,AVERAGEIFS($X$5:$X$1000,$R$5:$R$1000,ROW(),$S$5:$S$1000,"Sub"),$X67))</f>
        <v/>
      </c>
    </row>
    <row r="68">
      <c r="A68" s="61">
        <f>IF(NOT((COUNTA($B68:$K68)+COUNTA($N68))&gt;0),"",IF($S68="Macro",COUNTIFS($S$5:$S68,"Macro",$P$5:$P68,$P68),IF(N($R68)=0,"?",COUNTIFS(INDEX($S$5:$S$1000,1):INDEX($S$5:$S$1000,$R68-4),"Macro",INDEX($P$5:$P$1000,1):INDEX($P$5:$P$1000,$R68-4),INDEX($P$5:$P$1000,$R68-4))&amp;"."&amp;COUNTIFS($R$5:$R68,$R68,$S$5:$S68,"Sub"))))</f>
        <v/>
      </c>
      <c r="B68" s="62" t="n"/>
      <c r="C68" s="63" t="n"/>
      <c r="D68" s="62" t="n"/>
      <c r="E68" s="64" t="n"/>
      <c r="F68" s="64" t="n"/>
      <c r="G68" s="65" t="n"/>
      <c r="H68" s="66" t="n"/>
      <c r="I68" s="66" t="n"/>
      <c r="J68" s="66" t="n"/>
      <c r="K68" s="66" t="n"/>
      <c r="L68" s="67">
        <f>IF(NOT((COUNTA($B68:$K68)+COUNTA($N68))&gt;0),"",IF(N($T68)&gt;0,$AB68,IFERROR(LOOKUP(2,1/(H68:K68&lt;&gt;""),H68:K68),0)))</f>
        <v/>
      </c>
      <c r="M68" s="61">
        <f>IF(L68="","",IF(L68&gt;=1,"Completado",IF(L68&gt;0,"En curso","Pendiente")))</f>
        <v/>
      </c>
      <c r="N68" s="62" t="n"/>
      <c r="O68" s="68">
        <f>IF(NOT((COUNTA($B68:$K68)+COUNTA($N68))&gt;0),"",IF((IF(AND($S68="Macro",$B68=""),"Macroactividad vacía"&amp;" · ","")&amp;IF(AND($B68&lt;&gt;"",$C68&lt;&gt;""),"Escriba la subactividad en otra fila, debajo de su macroactividad"&amp;" · ","")&amp;IF(AND($S68="Sub",N($R68)=0),"Subactividad sin macroactividad arriba"&amp;" · ","")&amp;IF($D68="","Sin responsable"&amp;" · ","")&amp;IF($E68="","Sin fecha de inicio"&amp;" · ","")&amp;IF($F68="","Sin fecha límite"&amp;" · ","")&amp;IF(OR(AND($E68&lt;&gt;"",NOT(ISNUMBER($E68))),AND($F68&lt;&gt;"",NOT(ISNUMBER($F68)))),"Fecha no válida"&amp;" · ","")&amp;IF(AND(ISNUMBER($E68),ISNUMBER($F68),$E68&gt;$F68),"Inicio posterior a fecha límite"&amp;" · ","")&amp;IF(AND($S68="Macro",$G68=""),"Peso vacío"&amp;" · ","")&amp;IF(AND($S68="Macro",$G68&lt;&gt;"",OR(NOT(ISNUMBER($G68)),$G68&lt;=0,$G68&gt;1)),"Peso fuera de rango"&amp;" · ","")&amp;IF(AND($S68="Sub",$G68&lt;&gt;""),"Las subactividades no llevan peso"&amp;" · ","")&amp;IF(AND($S68="Macro",ABS(SUMIFS($G$5:$G$1000,$P$5:$P$1000,$P68,$S$5:$S$1000,"Macro")-1)&gt;0.0001),"Pesos del mes suman "&amp;TEXT(SUMIFS($G$5:$G$1000,$P$5:$P$1000,$P68,$S$5:$S$1000,"Macro"),"0%")&amp;" · ","")&amp;IF(AND(N($T68)&gt;0,COUNT($H68:$K68)&gt;0),"Con subactividades: deje vacías las semanas (se calculan solas)"&amp;" · ","")&amp;IF((COUNTIF($H68:$K68,"&gt;1")+COUNTIF($H68:$K68,"&lt;0")+COUNTA($H68:$K68)-COUNT($H68:$K68))&gt;0,"Avance fuera de rango 0-100%"&amp;" · ","")&amp;IF(OR(AND($I68&lt;&gt;"",$I68&lt;$H68),AND($J68&lt;&gt;"",$J68&lt;MAX($H68:$I68)),AND($K68&lt;&gt;"",$K68&lt;MAX($H68:$J68))),"Avance semanal decreciente"&amp;" · ","")&amp;IF(AND(ISNUMBER($F68),$F68&lt;FechaRef,N($L68)&lt;1),"Vencida"&amp;" · ","")&amp;IF(AND(ObsObligatoria="Sí",ISNUMBER($F68),$F68&lt;FechaRef,N($L68)&lt;1,$N68=""),"Vencida sin observación"&amp;" · ",""))="","✔ OK","⚠ "&amp;LEFT(IF(AND($S68="Macro",$B68=""),"Macroactividad vacía"&amp;" · ","")&amp;IF(AND($B68&lt;&gt;"",$C68&lt;&gt;""),"Escriba la subactividad en otra fila, debajo de su macroactividad"&amp;" · ","")&amp;IF(AND($S68="Sub",N($R68)=0),"Subactividad sin macroactividad arriba"&amp;" · ","")&amp;IF($D68="","Sin responsable"&amp;" · ","")&amp;IF($E68="","Sin fecha de inicio"&amp;" · ","")&amp;IF($F68="","Sin fecha límite"&amp;" · ","")&amp;IF(OR(AND($E68&lt;&gt;"",NOT(ISNUMBER($E68))),AND($F68&lt;&gt;"",NOT(ISNUMBER($F68)))),"Fecha no válida"&amp;" · ","")&amp;IF(AND(ISNUMBER($E68),ISNUMBER($F68),$E68&gt;$F68),"Inicio posterior a fecha límite"&amp;" · ","")&amp;IF(AND($S68="Macro",$G68=""),"Peso vacío"&amp;" · ","")&amp;IF(AND($S68="Macro",$G68&lt;&gt;"",OR(NOT(ISNUMBER($G68)),$G68&lt;=0,$G68&gt;1)),"Peso fuera de rango"&amp;" · ","")&amp;IF(AND($S68="Sub",$G68&lt;&gt;""),"Las subactividades no llevan peso"&amp;" · ","")&amp;IF(AND($S68="Macro",ABS(SUMIFS($G$5:$G$1000,$P$5:$P$1000,$P68,$S$5:$S$1000,"Macro")-1)&gt;0.0001),"Pesos del mes suman "&amp;TEXT(SUMIFS($G$5:$G$1000,$P$5:$P$1000,$P68,$S$5:$S$1000,"Macro"),"0%")&amp;" · ","")&amp;IF(AND(N($T68)&gt;0,COUNT($H68:$K68)&gt;0),"Con subactividades: deje vacías las semanas (se calculan solas)"&amp;" · ","")&amp;IF((COUNTIF($H68:$K68,"&gt;1")+COUNTIF($H68:$K68,"&lt;0")+COUNTA($H68:$K68)-COUNT($H68:$K68))&gt;0,"Avance fuera de rango 0-100%"&amp;" · ","")&amp;IF(OR(AND($I68&lt;&gt;"",$I68&lt;$H68),AND($J68&lt;&gt;"",$J68&lt;MAX($H68:$I68)),AND($K68&lt;&gt;"",$K68&lt;MAX($H68:$J68))),"Avance semanal decreciente"&amp;" · ","")&amp;IF(AND(ISNUMBER($F68),$F68&lt;FechaRef,N($L68)&lt;1),"Vencida"&amp;" · ","")&amp;IF(AND(ObsObligatoria="Sí",ISNUMBER($F68),$F68&lt;FechaRef,N($L68)&lt;1,$N68=""),"Vencida sin observación"&amp;" · ",""),LEN(IF(AND($S68="Macro",$B68=""),"Macroactividad vacía"&amp;" · ","")&amp;IF(AND($B68&lt;&gt;"",$C68&lt;&gt;""),"Escriba la subactividad en otra fila, debajo de su macroactividad"&amp;" · ","")&amp;IF(AND($S68="Sub",N($R68)=0),"Subactividad sin macroactividad arriba"&amp;" · ","")&amp;IF($D68="","Sin responsable"&amp;" · ","")&amp;IF($E68="","Sin fecha de inicio"&amp;" · ","")&amp;IF($F68="","Sin fecha límite"&amp;" · ","")&amp;IF(OR(AND($E68&lt;&gt;"",NOT(ISNUMBER($E68))),AND($F68&lt;&gt;"",NOT(ISNUMBER($F68)))),"Fecha no válida"&amp;" · ","")&amp;IF(AND(ISNUMBER($E68),ISNUMBER($F68),$E68&gt;$F68),"Inicio posterior a fecha límite"&amp;" · ","")&amp;IF(AND($S68="Macro",$G68=""),"Peso vacío"&amp;" · ","")&amp;IF(AND($S68="Macro",$G68&lt;&gt;"",OR(NOT(ISNUMBER($G68)),$G68&lt;=0,$G68&gt;1)),"Peso fuera de rango"&amp;" · ","")&amp;IF(AND($S68="Sub",$G68&lt;&gt;""),"Las subactividades no llevan peso"&amp;" · ","")&amp;IF(AND($S68="Macro",ABS(SUMIFS($G$5:$G$1000,$P$5:$P$1000,$P68,$S$5:$S$1000,"Macro")-1)&gt;0.0001),"Pesos del mes suman "&amp;TEXT(SUMIFS($G$5:$G$1000,$P$5:$P$1000,$P68,$S$5:$S$1000,"Macro"),"0%")&amp;" · ","")&amp;IF(AND(N($T68)&gt;0,COUNT($H68:$K68)&gt;0),"Con subactividades: deje vacías las semanas (se calculan solas)"&amp;" · ","")&amp;IF((COUNTIF($H68:$K68,"&gt;1")+COUNTIF($H68:$K68,"&lt;0")+COUNTA($H68:$K68)-COUNT($H68:$K68))&gt;0,"Avance fuera de rango 0-100%"&amp;" · ","")&amp;IF(OR(AND($I68&lt;&gt;"",$I68&lt;$H68),AND($J68&lt;&gt;"",$J68&lt;MAX($H68:$I68)),AND($K68&lt;&gt;"",$K68&lt;MAX($H68:$J68))),"Avance semanal decreciente"&amp;" · ","")&amp;IF(AND(ISNUMBER($F68),$F68&lt;FechaRef,N($L68)&lt;1),"Vencida"&amp;" · ","")&amp;IF(AND(ObsObligatoria="Sí",ISNUMBER($F68),$F68&lt;FechaRef,N($L68)&lt;1,$N68=""),"Vencida sin observación"&amp;" · ",""))-3)))</f>
        <v/>
      </c>
      <c r="P68" s="69">
        <f>IF(NOT((COUNTA($B68:$K68)+COUNTA($N68))&gt;0),"",IF(AND($S68="Sub",N($R68)&gt;0),IF(ISNUMBER(INDEX($E$5:$E$1000,$R68-4)),DATE(YEAR(INDEX($E$5:$E$1000,$R68-4)),MONTH(INDEX($E$5:$E$1000,$R68-4)),1),IF(ISNUMBER(INDEX($F$5:$F$1000,$R68-4)),DATE(YEAR(INDEX($F$5:$F$1000,$R68-4)),MONTH(INDEX($F$5:$F$1000,$R68-4)),1),MesCiclo)),IF(ISNUMBER($E68),DATE(YEAR($E68),MONTH($E68),1),IF(ISNUMBER($F68),DATE(YEAR($F68),MONTH($F68),1),MesCiclo))))</f>
        <v/>
      </c>
      <c r="Q68" s="70">
        <f>IF(OR($P68="",$P68&lt;&gt;MesCiclo),"",COUNTIF($P$5:$P68,MesCiclo))</f>
        <v/>
      </c>
      <c r="R68" s="70">
        <f>IF($S68="","",IF($S68="Macro",ROW(),IFERROR(LOOKUP(2,1/($S$5:$S68="Macro"),ROW($S$5:$S68)),0)))</f>
        <v/>
      </c>
      <c r="S68" s="70">
        <f>IF(NOT((COUNTA($B68:$K68)+COUNTA($N68))&gt;0),"",IF($B68&lt;&gt;"","Macro",IF($C68&lt;&gt;"","Sub","Macro")))</f>
        <v/>
      </c>
      <c r="T68" s="70">
        <f>IF($S68="Macro",COUNTIFS($R$5:$R$1000,ROW(),$S$5:$S$1000,"Sub"),"")</f>
        <v/>
      </c>
      <c r="U68" s="70">
        <f>IF($S68="","",IF(ISNUMBER($H68),$H68,0))</f>
        <v/>
      </c>
      <c r="V68" s="70">
        <f>IF($S68="","",IF(ISNUMBER($I68),$I68,$U68))</f>
        <v/>
      </c>
      <c r="W68" s="70">
        <f>IF($S68="","",IF(ISNUMBER($J68),$J68,$V68))</f>
        <v/>
      </c>
      <c r="X68" s="70">
        <f>IF($S68="","",IF(ISNUMBER($K68),$K68,$W68))</f>
        <v/>
      </c>
      <c r="Y68" s="70">
        <f>IF($S68="","",IF(N($T68)&gt;0,AVERAGEIFS($U$5:$U$1000,$R$5:$R$1000,ROW(),$S$5:$S$1000,"Sub"),$U68))</f>
        <v/>
      </c>
      <c r="Z68" s="70">
        <f>IF($S68="","",IF(N($T68)&gt;0,AVERAGEIFS($V$5:$V$1000,$R$5:$R$1000,ROW(),$S$5:$S$1000,"Sub"),$V68))</f>
        <v/>
      </c>
      <c r="AA68" s="70">
        <f>IF($S68="","",IF(N($T68)&gt;0,AVERAGEIFS($W$5:$W$1000,$R$5:$R$1000,ROW(),$S$5:$S$1000,"Sub"),$W68))</f>
        <v/>
      </c>
      <c r="AB68" s="70">
        <f>IF($S68="","",IF(N($T68)&gt;0,AVERAGEIFS($X$5:$X$1000,$R$5:$R$1000,ROW(),$S$5:$S$1000,"Sub"),$X68))</f>
        <v/>
      </c>
    </row>
    <row r="69">
      <c r="A69" s="61">
        <f>IF(NOT((COUNTA($B69:$K69)+COUNTA($N69))&gt;0),"",IF($S69="Macro",COUNTIFS($S$5:$S69,"Macro",$P$5:$P69,$P69),IF(N($R69)=0,"?",COUNTIFS(INDEX($S$5:$S$1000,1):INDEX($S$5:$S$1000,$R69-4),"Macro",INDEX($P$5:$P$1000,1):INDEX($P$5:$P$1000,$R69-4),INDEX($P$5:$P$1000,$R69-4))&amp;"."&amp;COUNTIFS($R$5:$R69,$R69,$S$5:$S69,"Sub"))))</f>
        <v/>
      </c>
      <c r="B69" s="62" t="n"/>
      <c r="C69" s="63" t="n"/>
      <c r="D69" s="62" t="n"/>
      <c r="E69" s="64" t="n"/>
      <c r="F69" s="64" t="n"/>
      <c r="G69" s="65" t="n"/>
      <c r="H69" s="66" t="n"/>
      <c r="I69" s="66" t="n"/>
      <c r="J69" s="66" t="n"/>
      <c r="K69" s="66" t="n"/>
      <c r="L69" s="67">
        <f>IF(NOT((COUNTA($B69:$K69)+COUNTA($N69))&gt;0),"",IF(N($T69)&gt;0,$AB69,IFERROR(LOOKUP(2,1/(H69:K69&lt;&gt;""),H69:K69),0)))</f>
        <v/>
      </c>
      <c r="M69" s="61">
        <f>IF(L69="","",IF(L69&gt;=1,"Completado",IF(L69&gt;0,"En curso","Pendiente")))</f>
        <v/>
      </c>
      <c r="N69" s="62" t="n"/>
      <c r="O69" s="68">
        <f>IF(NOT((COUNTA($B69:$K69)+COUNTA($N69))&gt;0),"",IF((IF(AND($S69="Macro",$B69=""),"Macroactividad vacía"&amp;" · ","")&amp;IF(AND($B69&lt;&gt;"",$C69&lt;&gt;""),"Escriba la subactividad en otra fila, debajo de su macroactividad"&amp;" · ","")&amp;IF(AND($S69="Sub",N($R69)=0),"Subactividad sin macroactividad arriba"&amp;" · ","")&amp;IF($D69="","Sin responsable"&amp;" · ","")&amp;IF($E69="","Sin fecha de inicio"&amp;" · ","")&amp;IF($F69="","Sin fecha límite"&amp;" · ","")&amp;IF(OR(AND($E69&lt;&gt;"",NOT(ISNUMBER($E69))),AND($F69&lt;&gt;"",NOT(ISNUMBER($F69)))),"Fecha no válida"&amp;" · ","")&amp;IF(AND(ISNUMBER($E69),ISNUMBER($F69),$E69&gt;$F69),"Inicio posterior a fecha límite"&amp;" · ","")&amp;IF(AND($S69="Macro",$G69=""),"Peso vacío"&amp;" · ","")&amp;IF(AND($S69="Macro",$G69&lt;&gt;"",OR(NOT(ISNUMBER($G69)),$G69&lt;=0,$G69&gt;1)),"Peso fuera de rango"&amp;" · ","")&amp;IF(AND($S69="Sub",$G69&lt;&gt;""),"Las subactividades no llevan peso"&amp;" · ","")&amp;IF(AND($S69="Macro",ABS(SUMIFS($G$5:$G$1000,$P$5:$P$1000,$P69,$S$5:$S$1000,"Macro")-1)&gt;0.0001),"Pesos del mes suman "&amp;TEXT(SUMIFS($G$5:$G$1000,$P$5:$P$1000,$P69,$S$5:$S$1000,"Macro"),"0%")&amp;" · ","")&amp;IF(AND(N($T69)&gt;0,COUNT($H69:$K69)&gt;0),"Con subactividades: deje vacías las semanas (se calculan solas)"&amp;" · ","")&amp;IF((COUNTIF($H69:$K69,"&gt;1")+COUNTIF($H69:$K69,"&lt;0")+COUNTA($H69:$K69)-COUNT($H69:$K69))&gt;0,"Avance fuera de rango 0-100%"&amp;" · ","")&amp;IF(OR(AND($I69&lt;&gt;"",$I69&lt;$H69),AND($J69&lt;&gt;"",$J69&lt;MAX($H69:$I69)),AND($K69&lt;&gt;"",$K69&lt;MAX($H69:$J69))),"Avance semanal decreciente"&amp;" · ","")&amp;IF(AND(ISNUMBER($F69),$F69&lt;FechaRef,N($L69)&lt;1),"Vencida"&amp;" · ","")&amp;IF(AND(ObsObligatoria="Sí",ISNUMBER($F69),$F69&lt;FechaRef,N($L69)&lt;1,$N69=""),"Vencida sin observación"&amp;" · ",""))="","✔ OK","⚠ "&amp;LEFT(IF(AND($S69="Macro",$B69=""),"Macroactividad vacía"&amp;" · ","")&amp;IF(AND($B69&lt;&gt;"",$C69&lt;&gt;""),"Escriba la subactividad en otra fila, debajo de su macroactividad"&amp;" · ","")&amp;IF(AND($S69="Sub",N($R69)=0),"Subactividad sin macroactividad arriba"&amp;" · ","")&amp;IF($D69="","Sin responsable"&amp;" · ","")&amp;IF($E69="","Sin fecha de inicio"&amp;" · ","")&amp;IF($F69="","Sin fecha límite"&amp;" · ","")&amp;IF(OR(AND($E69&lt;&gt;"",NOT(ISNUMBER($E69))),AND($F69&lt;&gt;"",NOT(ISNUMBER($F69)))),"Fecha no válida"&amp;" · ","")&amp;IF(AND(ISNUMBER($E69),ISNUMBER($F69),$E69&gt;$F69),"Inicio posterior a fecha límite"&amp;" · ","")&amp;IF(AND($S69="Macro",$G69=""),"Peso vacío"&amp;" · ","")&amp;IF(AND($S69="Macro",$G69&lt;&gt;"",OR(NOT(ISNUMBER($G69)),$G69&lt;=0,$G69&gt;1)),"Peso fuera de rango"&amp;" · ","")&amp;IF(AND($S69="Sub",$G69&lt;&gt;""),"Las subactividades no llevan peso"&amp;" · ","")&amp;IF(AND($S69="Macro",ABS(SUMIFS($G$5:$G$1000,$P$5:$P$1000,$P69,$S$5:$S$1000,"Macro")-1)&gt;0.0001),"Pesos del mes suman "&amp;TEXT(SUMIFS($G$5:$G$1000,$P$5:$P$1000,$P69,$S$5:$S$1000,"Macro"),"0%")&amp;" · ","")&amp;IF(AND(N($T69)&gt;0,COUNT($H69:$K69)&gt;0),"Con subactividades: deje vacías las semanas (se calculan solas)"&amp;" · ","")&amp;IF((COUNTIF($H69:$K69,"&gt;1")+COUNTIF($H69:$K69,"&lt;0")+COUNTA($H69:$K69)-COUNT($H69:$K69))&gt;0,"Avance fuera de rango 0-100%"&amp;" · ","")&amp;IF(OR(AND($I69&lt;&gt;"",$I69&lt;$H69),AND($J69&lt;&gt;"",$J69&lt;MAX($H69:$I69)),AND($K69&lt;&gt;"",$K69&lt;MAX($H69:$J69))),"Avance semanal decreciente"&amp;" · ","")&amp;IF(AND(ISNUMBER($F69),$F69&lt;FechaRef,N($L69)&lt;1),"Vencida"&amp;" · ","")&amp;IF(AND(ObsObligatoria="Sí",ISNUMBER($F69),$F69&lt;FechaRef,N($L69)&lt;1,$N69=""),"Vencida sin observación"&amp;" · ",""),LEN(IF(AND($S69="Macro",$B69=""),"Macroactividad vacía"&amp;" · ","")&amp;IF(AND($B69&lt;&gt;"",$C69&lt;&gt;""),"Escriba la subactividad en otra fila, debajo de su macroactividad"&amp;" · ","")&amp;IF(AND($S69="Sub",N($R69)=0),"Subactividad sin macroactividad arriba"&amp;" · ","")&amp;IF($D69="","Sin responsable"&amp;" · ","")&amp;IF($E69="","Sin fecha de inicio"&amp;" · ","")&amp;IF($F69="","Sin fecha límite"&amp;" · ","")&amp;IF(OR(AND($E69&lt;&gt;"",NOT(ISNUMBER($E69))),AND($F69&lt;&gt;"",NOT(ISNUMBER($F69)))),"Fecha no válida"&amp;" · ","")&amp;IF(AND(ISNUMBER($E69),ISNUMBER($F69),$E69&gt;$F69),"Inicio posterior a fecha límite"&amp;" · ","")&amp;IF(AND($S69="Macro",$G69=""),"Peso vacío"&amp;" · ","")&amp;IF(AND($S69="Macro",$G69&lt;&gt;"",OR(NOT(ISNUMBER($G69)),$G69&lt;=0,$G69&gt;1)),"Peso fuera de rango"&amp;" · ","")&amp;IF(AND($S69="Sub",$G69&lt;&gt;""),"Las subactividades no llevan peso"&amp;" · ","")&amp;IF(AND($S69="Macro",ABS(SUMIFS($G$5:$G$1000,$P$5:$P$1000,$P69,$S$5:$S$1000,"Macro")-1)&gt;0.0001),"Pesos del mes suman "&amp;TEXT(SUMIFS($G$5:$G$1000,$P$5:$P$1000,$P69,$S$5:$S$1000,"Macro"),"0%")&amp;" · ","")&amp;IF(AND(N($T69)&gt;0,COUNT($H69:$K69)&gt;0),"Con subactividades: deje vacías las semanas (se calculan solas)"&amp;" · ","")&amp;IF((COUNTIF($H69:$K69,"&gt;1")+COUNTIF($H69:$K69,"&lt;0")+COUNTA($H69:$K69)-COUNT($H69:$K69))&gt;0,"Avance fuera de rango 0-100%"&amp;" · ","")&amp;IF(OR(AND($I69&lt;&gt;"",$I69&lt;$H69),AND($J69&lt;&gt;"",$J69&lt;MAX($H69:$I69)),AND($K69&lt;&gt;"",$K69&lt;MAX($H69:$J69))),"Avance semanal decreciente"&amp;" · ","")&amp;IF(AND(ISNUMBER($F69),$F69&lt;FechaRef,N($L69)&lt;1),"Vencida"&amp;" · ","")&amp;IF(AND(ObsObligatoria="Sí",ISNUMBER($F69),$F69&lt;FechaRef,N($L69)&lt;1,$N69=""),"Vencida sin observación"&amp;" · ",""))-3)))</f>
        <v/>
      </c>
      <c r="P69" s="69">
        <f>IF(NOT((COUNTA($B69:$K69)+COUNTA($N69))&gt;0),"",IF(AND($S69="Sub",N($R69)&gt;0),IF(ISNUMBER(INDEX($E$5:$E$1000,$R69-4)),DATE(YEAR(INDEX($E$5:$E$1000,$R69-4)),MONTH(INDEX($E$5:$E$1000,$R69-4)),1),IF(ISNUMBER(INDEX($F$5:$F$1000,$R69-4)),DATE(YEAR(INDEX($F$5:$F$1000,$R69-4)),MONTH(INDEX($F$5:$F$1000,$R69-4)),1),MesCiclo)),IF(ISNUMBER($E69),DATE(YEAR($E69),MONTH($E69),1),IF(ISNUMBER($F69),DATE(YEAR($F69),MONTH($F69),1),MesCiclo))))</f>
        <v/>
      </c>
      <c r="Q69" s="70">
        <f>IF(OR($P69="",$P69&lt;&gt;MesCiclo),"",COUNTIF($P$5:$P69,MesCiclo))</f>
        <v/>
      </c>
      <c r="R69" s="70">
        <f>IF($S69="","",IF($S69="Macro",ROW(),IFERROR(LOOKUP(2,1/($S$5:$S69="Macro"),ROW($S$5:$S69)),0)))</f>
        <v/>
      </c>
      <c r="S69" s="70">
        <f>IF(NOT((COUNTA($B69:$K69)+COUNTA($N69))&gt;0),"",IF($B69&lt;&gt;"","Macro",IF($C69&lt;&gt;"","Sub","Macro")))</f>
        <v/>
      </c>
      <c r="T69" s="70">
        <f>IF($S69="Macro",COUNTIFS($R$5:$R$1000,ROW(),$S$5:$S$1000,"Sub"),"")</f>
        <v/>
      </c>
      <c r="U69" s="70">
        <f>IF($S69="","",IF(ISNUMBER($H69),$H69,0))</f>
        <v/>
      </c>
      <c r="V69" s="70">
        <f>IF($S69="","",IF(ISNUMBER($I69),$I69,$U69))</f>
        <v/>
      </c>
      <c r="W69" s="70">
        <f>IF($S69="","",IF(ISNUMBER($J69),$J69,$V69))</f>
        <v/>
      </c>
      <c r="X69" s="70">
        <f>IF($S69="","",IF(ISNUMBER($K69),$K69,$W69))</f>
        <v/>
      </c>
      <c r="Y69" s="70">
        <f>IF($S69="","",IF(N($T69)&gt;0,AVERAGEIFS($U$5:$U$1000,$R$5:$R$1000,ROW(),$S$5:$S$1000,"Sub"),$U69))</f>
        <v/>
      </c>
      <c r="Z69" s="70">
        <f>IF($S69="","",IF(N($T69)&gt;0,AVERAGEIFS($V$5:$V$1000,$R$5:$R$1000,ROW(),$S$5:$S$1000,"Sub"),$V69))</f>
        <v/>
      </c>
      <c r="AA69" s="70">
        <f>IF($S69="","",IF(N($T69)&gt;0,AVERAGEIFS($W$5:$W$1000,$R$5:$R$1000,ROW(),$S$5:$S$1000,"Sub"),$W69))</f>
        <v/>
      </c>
      <c r="AB69" s="70">
        <f>IF($S69="","",IF(N($T69)&gt;0,AVERAGEIFS($X$5:$X$1000,$R$5:$R$1000,ROW(),$S$5:$S$1000,"Sub"),$X69))</f>
        <v/>
      </c>
    </row>
    <row r="70">
      <c r="A70" s="61">
        <f>IF(NOT((COUNTA($B70:$K70)+COUNTA($N70))&gt;0),"",IF($S70="Macro",COUNTIFS($S$5:$S70,"Macro",$P$5:$P70,$P70),IF(N($R70)=0,"?",COUNTIFS(INDEX($S$5:$S$1000,1):INDEX($S$5:$S$1000,$R70-4),"Macro",INDEX($P$5:$P$1000,1):INDEX($P$5:$P$1000,$R70-4),INDEX($P$5:$P$1000,$R70-4))&amp;"."&amp;COUNTIFS($R$5:$R70,$R70,$S$5:$S70,"Sub"))))</f>
        <v/>
      </c>
      <c r="B70" s="62" t="n"/>
      <c r="C70" s="63" t="n"/>
      <c r="D70" s="62" t="n"/>
      <c r="E70" s="64" t="n"/>
      <c r="F70" s="64" t="n"/>
      <c r="G70" s="65" t="n"/>
      <c r="H70" s="66" t="n"/>
      <c r="I70" s="66" t="n"/>
      <c r="J70" s="66" t="n"/>
      <c r="K70" s="66" t="n"/>
      <c r="L70" s="67">
        <f>IF(NOT((COUNTA($B70:$K70)+COUNTA($N70))&gt;0),"",IF(N($T70)&gt;0,$AB70,IFERROR(LOOKUP(2,1/(H70:K70&lt;&gt;""),H70:K70),0)))</f>
        <v/>
      </c>
      <c r="M70" s="61">
        <f>IF(L70="","",IF(L70&gt;=1,"Completado",IF(L70&gt;0,"En curso","Pendiente")))</f>
        <v/>
      </c>
      <c r="N70" s="62" t="n"/>
      <c r="O70" s="68">
        <f>IF(NOT((COUNTA($B70:$K70)+COUNTA($N70))&gt;0),"",IF((IF(AND($S70="Macro",$B70=""),"Macroactividad vacía"&amp;" · ","")&amp;IF(AND($B70&lt;&gt;"",$C70&lt;&gt;""),"Escriba la subactividad en otra fila, debajo de su macroactividad"&amp;" · ","")&amp;IF(AND($S70="Sub",N($R70)=0),"Subactividad sin macroactividad arriba"&amp;" · ","")&amp;IF($D70="","Sin responsable"&amp;" · ","")&amp;IF($E70="","Sin fecha de inicio"&amp;" · ","")&amp;IF($F70="","Sin fecha límite"&amp;" · ","")&amp;IF(OR(AND($E70&lt;&gt;"",NOT(ISNUMBER($E70))),AND($F70&lt;&gt;"",NOT(ISNUMBER($F70)))),"Fecha no válida"&amp;" · ","")&amp;IF(AND(ISNUMBER($E70),ISNUMBER($F70),$E70&gt;$F70),"Inicio posterior a fecha límite"&amp;" · ","")&amp;IF(AND($S70="Macro",$G70=""),"Peso vacío"&amp;" · ","")&amp;IF(AND($S70="Macro",$G70&lt;&gt;"",OR(NOT(ISNUMBER($G70)),$G70&lt;=0,$G70&gt;1)),"Peso fuera de rango"&amp;" · ","")&amp;IF(AND($S70="Sub",$G70&lt;&gt;""),"Las subactividades no llevan peso"&amp;" · ","")&amp;IF(AND($S70="Macro",ABS(SUMIFS($G$5:$G$1000,$P$5:$P$1000,$P70,$S$5:$S$1000,"Macro")-1)&gt;0.0001),"Pesos del mes suman "&amp;TEXT(SUMIFS($G$5:$G$1000,$P$5:$P$1000,$P70,$S$5:$S$1000,"Macro"),"0%")&amp;" · ","")&amp;IF(AND(N($T70)&gt;0,COUNT($H70:$K70)&gt;0),"Con subactividades: deje vacías las semanas (se calculan solas)"&amp;" · ","")&amp;IF((COUNTIF($H70:$K70,"&gt;1")+COUNTIF($H70:$K70,"&lt;0")+COUNTA($H70:$K70)-COUNT($H70:$K70))&gt;0,"Avance fuera de rango 0-100%"&amp;" · ","")&amp;IF(OR(AND($I70&lt;&gt;"",$I70&lt;$H70),AND($J70&lt;&gt;"",$J70&lt;MAX($H70:$I70)),AND($K70&lt;&gt;"",$K70&lt;MAX($H70:$J70))),"Avance semanal decreciente"&amp;" · ","")&amp;IF(AND(ISNUMBER($F70),$F70&lt;FechaRef,N($L70)&lt;1),"Vencida"&amp;" · ","")&amp;IF(AND(ObsObligatoria="Sí",ISNUMBER($F70),$F70&lt;FechaRef,N($L70)&lt;1,$N70=""),"Vencida sin observación"&amp;" · ",""))="","✔ OK","⚠ "&amp;LEFT(IF(AND($S70="Macro",$B70=""),"Macroactividad vacía"&amp;" · ","")&amp;IF(AND($B70&lt;&gt;"",$C70&lt;&gt;""),"Escriba la subactividad en otra fila, debajo de su macroactividad"&amp;" · ","")&amp;IF(AND($S70="Sub",N($R70)=0),"Subactividad sin macroactividad arriba"&amp;" · ","")&amp;IF($D70="","Sin responsable"&amp;" · ","")&amp;IF($E70="","Sin fecha de inicio"&amp;" · ","")&amp;IF($F70="","Sin fecha límite"&amp;" · ","")&amp;IF(OR(AND($E70&lt;&gt;"",NOT(ISNUMBER($E70))),AND($F70&lt;&gt;"",NOT(ISNUMBER($F70)))),"Fecha no válida"&amp;" · ","")&amp;IF(AND(ISNUMBER($E70),ISNUMBER($F70),$E70&gt;$F70),"Inicio posterior a fecha límite"&amp;" · ","")&amp;IF(AND($S70="Macro",$G70=""),"Peso vacío"&amp;" · ","")&amp;IF(AND($S70="Macro",$G70&lt;&gt;"",OR(NOT(ISNUMBER($G70)),$G70&lt;=0,$G70&gt;1)),"Peso fuera de rango"&amp;" · ","")&amp;IF(AND($S70="Sub",$G70&lt;&gt;""),"Las subactividades no llevan peso"&amp;" · ","")&amp;IF(AND($S70="Macro",ABS(SUMIFS($G$5:$G$1000,$P$5:$P$1000,$P70,$S$5:$S$1000,"Macro")-1)&gt;0.0001),"Pesos del mes suman "&amp;TEXT(SUMIFS($G$5:$G$1000,$P$5:$P$1000,$P70,$S$5:$S$1000,"Macro"),"0%")&amp;" · ","")&amp;IF(AND(N($T70)&gt;0,COUNT($H70:$K70)&gt;0),"Con subactividades: deje vacías las semanas (se calculan solas)"&amp;" · ","")&amp;IF((COUNTIF($H70:$K70,"&gt;1")+COUNTIF($H70:$K70,"&lt;0")+COUNTA($H70:$K70)-COUNT($H70:$K70))&gt;0,"Avance fuera de rango 0-100%"&amp;" · ","")&amp;IF(OR(AND($I70&lt;&gt;"",$I70&lt;$H70),AND($J70&lt;&gt;"",$J70&lt;MAX($H70:$I70)),AND($K70&lt;&gt;"",$K70&lt;MAX($H70:$J70))),"Avance semanal decreciente"&amp;" · ","")&amp;IF(AND(ISNUMBER($F70),$F70&lt;FechaRef,N($L70)&lt;1),"Vencida"&amp;" · ","")&amp;IF(AND(ObsObligatoria="Sí",ISNUMBER($F70),$F70&lt;FechaRef,N($L70)&lt;1,$N70=""),"Vencida sin observación"&amp;" · ",""),LEN(IF(AND($S70="Macro",$B70=""),"Macroactividad vacía"&amp;" · ","")&amp;IF(AND($B70&lt;&gt;"",$C70&lt;&gt;""),"Escriba la subactividad en otra fila, debajo de su macroactividad"&amp;" · ","")&amp;IF(AND($S70="Sub",N($R70)=0),"Subactividad sin macroactividad arriba"&amp;" · ","")&amp;IF($D70="","Sin responsable"&amp;" · ","")&amp;IF($E70="","Sin fecha de inicio"&amp;" · ","")&amp;IF($F70="","Sin fecha límite"&amp;" · ","")&amp;IF(OR(AND($E70&lt;&gt;"",NOT(ISNUMBER($E70))),AND($F70&lt;&gt;"",NOT(ISNUMBER($F70)))),"Fecha no válida"&amp;" · ","")&amp;IF(AND(ISNUMBER($E70),ISNUMBER($F70),$E70&gt;$F70),"Inicio posterior a fecha límite"&amp;" · ","")&amp;IF(AND($S70="Macro",$G70=""),"Peso vacío"&amp;" · ","")&amp;IF(AND($S70="Macro",$G70&lt;&gt;"",OR(NOT(ISNUMBER($G70)),$G70&lt;=0,$G70&gt;1)),"Peso fuera de rango"&amp;" · ","")&amp;IF(AND($S70="Sub",$G70&lt;&gt;""),"Las subactividades no llevan peso"&amp;" · ","")&amp;IF(AND($S70="Macro",ABS(SUMIFS($G$5:$G$1000,$P$5:$P$1000,$P70,$S$5:$S$1000,"Macro")-1)&gt;0.0001),"Pesos del mes suman "&amp;TEXT(SUMIFS($G$5:$G$1000,$P$5:$P$1000,$P70,$S$5:$S$1000,"Macro"),"0%")&amp;" · ","")&amp;IF(AND(N($T70)&gt;0,COUNT($H70:$K70)&gt;0),"Con subactividades: deje vacías las semanas (se calculan solas)"&amp;" · ","")&amp;IF((COUNTIF($H70:$K70,"&gt;1")+COUNTIF($H70:$K70,"&lt;0")+COUNTA($H70:$K70)-COUNT($H70:$K70))&gt;0,"Avance fuera de rango 0-100%"&amp;" · ","")&amp;IF(OR(AND($I70&lt;&gt;"",$I70&lt;$H70),AND($J70&lt;&gt;"",$J70&lt;MAX($H70:$I70)),AND($K70&lt;&gt;"",$K70&lt;MAX($H70:$J70))),"Avance semanal decreciente"&amp;" · ","")&amp;IF(AND(ISNUMBER($F70),$F70&lt;FechaRef,N($L70)&lt;1),"Vencida"&amp;" · ","")&amp;IF(AND(ObsObligatoria="Sí",ISNUMBER($F70),$F70&lt;FechaRef,N($L70)&lt;1,$N70=""),"Vencida sin observación"&amp;" · ",""))-3)))</f>
        <v/>
      </c>
      <c r="P70" s="69">
        <f>IF(NOT((COUNTA($B70:$K70)+COUNTA($N70))&gt;0),"",IF(AND($S70="Sub",N($R70)&gt;0),IF(ISNUMBER(INDEX($E$5:$E$1000,$R70-4)),DATE(YEAR(INDEX($E$5:$E$1000,$R70-4)),MONTH(INDEX($E$5:$E$1000,$R70-4)),1),IF(ISNUMBER(INDEX($F$5:$F$1000,$R70-4)),DATE(YEAR(INDEX($F$5:$F$1000,$R70-4)),MONTH(INDEX($F$5:$F$1000,$R70-4)),1),MesCiclo)),IF(ISNUMBER($E70),DATE(YEAR($E70),MONTH($E70),1),IF(ISNUMBER($F70),DATE(YEAR($F70),MONTH($F70),1),MesCiclo))))</f>
        <v/>
      </c>
      <c r="Q70" s="70">
        <f>IF(OR($P70="",$P70&lt;&gt;MesCiclo),"",COUNTIF($P$5:$P70,MesCiclo))</f>
        <v/>
      </c>
      <c r="R70" s="70">
        <f>IF($S70="","",IF($S70="Macro",ROW(),IFERROR(LOOKUP(2,1/($S$5:$S70="Macro"),ROW($S$5:$S70)),0)))</f>
        <v/>
      </c>
      <c r="S70" s="70">
        <f>IF(NOT((COUNTA($B70:$K70)+COUNTA($N70))&gt;0),"",IF($B70&lt;&gt;"","Macro",IF($C70&lt;&gt;"","Sub","Macro")))</f>
        <v/>
      </c>
      <c r="T70" s="70">
        <f>IF($S70="Macro",COUNTIFS($R$5:$R$1000,ROW(),$S$5:$S$1000,"Sub"),"")</f>
        <v/>
      </c>
      <c r="U70" s="70">
        <f>IF($S70="","",IF(ISNUMBER($H70),$H70,0))</f>
        <v/>
      </c>
      <c r="V70" s="70">
        <f>IF($S70="","",IF(ISNUMBER($I70),$I70,$U70))</f>
        <v/>
      </c>
      <c r="W70" s="70">
        <f>IF($S70="","",IF(ISNUMBER($J70),$J70,$V70))</f>
        <v/>
      </c>
      <c r="X70" s="70">
        <f>IF($S70="","",IF(ISNUMBER($K70),$K70,$W70))</f>
        <v/>
      </c>
      <c r="Y70" s="70">
        <f>IF($S70="","",IF(N($T70)&gt;0,AVERAGEIFS($U$5:$U$1000,$R$5:$R$1000,ROW(),$S$5:$S$1000,"Sub"),$U70))</f>
        <v/>
      </c>
      <c r="Z70" s="70">
        <f>IF($S70="","",IF(N($T70)&gt;0,AVERAGEIFS($V$5:$V$1000,$R$5:$R$1000,ROW(),$S$5:$S$1000,"Sub"),$V70))</f>
        <v/>
      </c>
      <c r="AA70" s="70">
        <f>IF($S70="","",IF(N($T70)&gt;0,AVERAGEIFS($W$5:$W$1000,$R$5:$R$1000,ROW(),$S$5:$S$1000,"Sub"),$W70))</f>
        <v/>
      </c>
      <c r="AB70" s="70">
        <f>IF($S70="","",IF(N($T70)&gt;0,AVERAGEIFS($X$5:$X$1000,$R$5:$R$1000,ROW(),$S$5:$S$1000,"Sub"),$X70))</f>
        <v/>
      </c>
    </row>
    <row r="71">
      <c r="A71" s="61">
        <f>IF(NOT((COUNTA($B71:$K71)+COUNTA($N71))&gt;0),"",IF($S71="Macro",COUNTIFS($S$5:$S71,"Macro",$P$5:$P71,$P71),IF(N($R71)=0,"?",COUNTIFS(INDEX($S$5:$S$1000,1):INDEX($S$5:$S$1000,$R71-4),"Macro",INDEX($P$5:$P$1000,1):INDEX($P$5:$P$1000,$R71-4),INDEX($P$5:$P$1000,$R71-4))&amp;"."&amp;COUNTIFS($R$5:$R71,$R71,$S$5:$S71,"Sub"))))</f>
        <v/>
      </c>
      <c r="B71" s="62" t="n"/>
      <c r="C71" s="63" t="n"/>
      <c r="D71" s="62" t="n"/>
      <c r="E71" s="64" t="n"/>
      <c r="F71" s="64" t="n"/>
      <c r="G71" s="65" t="n"/>
      <c r="H71" s="66" t="n"/>
      <c r="I71" s="66" t="n"/>
      <c r="J71" s="66" t="n"/>
      <c r="K71" s="66" t="n"/>
      <c r="L71" s="67">
        <f>IF(NOT((COUNTA($B71:$K71)+COUNTA($N71))&gt;0),"",IF(N($T71)&gt;0,$AB71,IFERROR(LOOKUP(2,1/(H71:K71&lt;&gt;""),H71:K71),0)))</f>
        <v/>
      </c>
      <c r="M71" s="61">
        <f>IF(L71="","",IF(L71&gt;=1,"Completado",IF(L71&gt;0,"En curso","Pendiente")))</f>
        <v/>
      </c>
      <c r="N71" s="62" t="n"/>
      <c r="O71" s="68">
        <f>IF(NOT((COUNTA($B71:$K71)+COUNTA($N71))&gt;0),"",IF((IF(AND($S71="Macro",$B71=""),"Macroactividad vacía"&amp;" · ","")&amp;IF(AND($B71&lt;&gt;"",$C71&lt;&gt;""),"Escriba la subactividad en otra fila, debajo de su macroactividad"&amp;" · ","")&amp;IF(AND($S71="Sub",N($R71)=0),"Subactividad sin macroactividad arriba"&amp;" · ","")&amp;IF($D71="","Sin responsable"&amp;" · ","")&amp;IF($E71="","Sin fecha de inicio"&amp;" · ","")&amp;IF($F71="","Sin fecha límite"&amp;" · ","")&amp;IF(OR(AND($E71&lt;&gt;"",NOT(ISNUMBER($E71))),AND($F71&lt;&gt;"",NOT(ISNUMBER($F71)))),"Fecha no válida"&amp;" · ","")&amp;IF(AND(ISNUMBER($E71),ISNUMBER($F71),$E71&gt;$F71),"Inicio posterior a fecha límite"&amp;" · ","")&amp;IF(AND($S71="Macro",$G71=""),"Peso vacío"&amp;" · ","")&amp;IF(AND($S71="Macro",$G71&lt;&gt;"",OR(NOT(ISNUMBER($G71)),$G71&lt;=0,$G71&gt;1)),"Peso fuera de rango"&amp;" · ","")&amp;IF(AND($S71="Sub",$G71&lt;&gt;""),"Las subactividades no llevan peso"&amp;" · ","")&amp;IF(AND($S71="Macro",ABS(SUMIFS($G$5:$G$1000,$P$5:$P$1000,$P71,$S$5:$S$1000,"Macro")-1)&gt;0.0001),"Pesos del mes suman "&amp;TEXT(SUMIFS($G$5:$G$1000,$P$5:$P$1000,$P71,$S$5:$S$1000,"Macro"),"0%")&amp;" · ","")&amp;IF(AND(N($T71)&gt;0,COUNT($H71:$K71)&gt;0),"Con subactividades: deje vacías las semanas (se calculan solas)"&amp;" · ","")&amp;IF((COUNTIF($H71:$K71,"&gt;1")+COUNTIF($H71:$K71,"&lt;0")+COUNTA($H71:$K71)-COUNT($H71:$K71))&gt;0,"Avance fuera de rango 0-100%"&amp;" · ","")&amp;IF(OR(AND($I71&lt;&gt;"",$I71&lt;$H71),AND($J71&lt;&gt;"",$J71&lt;MAX($H71:$I71)),AND($K71&lt;&gt;"",$K71&lt;MAX($H71:$J71))),"Avance semanal decreciente"&amp;" · ","")&amp;IF(AND(ISNUMBER($F71),$F71&lt;FechaRef,N($L71)&lt;1),"Vencida"&amp;" · ","")&amp;IF(AND(ObsObligatoria="Sí",ISNUMBER($F71),$F71&lt;FechaRef,N($L71)&lt;1,$N71=""),"Vencida sin observación"&amp;" · ",""))="","✔ OK","⚠ "&amp;LEFT(IF(AND($S71="Macro",$B71=""),"Macroactividad vacía"&amp;" · ","")&amp;IF(AND($B71&lt;&gt;"",$C71&lt;&gt;""),"Escriba la subactividad en otra fila, debajo de su macroactividad"&amp;" · ","")&amp;IF(AND($S71="Sub",N($R71)=0),"Subactividad sin macroactividad arriba"&amp;" · ","")&amp;IF($D71="","Sin responsable"&amp;" · ","")&amp;IF($E71="","Sin fecha de inicio"&amp;" · ","")&amp;IF($F71="","Sin fecha límite"&amp;" · ","")&amp;IF(OR(AND($E71&lt;&gt;"",NOT(ISNUMBER($E71))),AND($F71&lt;&gt;"",NOT(ISNUMBER($F71)))),"Fecha no válida"&amp;" · ","")&amp;IF(AND(ISNUMBER($E71),ISNUMBER($F71),$E71&gt;$F71),"Inicio posterior a fecha límite"&amp;" · ","")&amp;IF(AND($S71="Macro",$G71=""),"Peso vacío"&amp;" · ","")&amp;IF(AND($S71="Macro",$G71&lt;&gt;"",OR(NOT(ISNUMBER($G71)),$G71&lt;=0,$G71&gt;1)),"Peso fuera de rango"&amp;" · ","")&amp;IF(AND($S71="Sub",$G71&lt;&gt;""),"Las subactividades no llevan peso"&amp;" · ","")&amp;IF(AND($S71="Macro",ABS(SUMIFS($G$5:$G$1000,$P$5:$P$1000,$P71,$S$5:$S$1000,"Macro")-1)&gt;0.0001),"Pesos del mes suman "&amp;TEXT(SUMIFS($G$5:$G$1000,$P$5:$P$1000,$P71,$S$5:$S$1000,"Macro"),"0%")&amp;" · ","")&amp;IF(AND(N($T71)&gt;0,COUNT($H71:$K71)&gt;0),"Con subactividades: deje vacías las semanas (se calculan solas)"&amp;" · ","")&amp;IF((COUNTIF($H71:$K71,"&gt;1")+COUNTIF($H71:$K71,"&lt;0")+COUNTA($H71:$K71)-COUNT($H71:$K71))&gt;0,"Avance fuera de rango 0-100%"&amp;" · ","")&amp;IF(OR(AND($I71&lt;&gt;"",$I71&lt;$H71),AND($J71&lt;&gt;"",$J71&lt;MAX($H71:$I71)),AND($K71&lt;&gt;"",$K71&lt;MAX($H71:$J71))),"Avance semanal decreciente"&amp;" · ","")&amp;IF(AND(ISNUMBER($F71),$F71&lt;FechaRef,N($L71)&lt;1),"Vencida"&amp;" · ","")&amp;IF(AND(ObsObligatoria="Sí",ISNUMBER($F71),$F71&lt;FechaRef,N($L71)&lt;1,$N71=""),"Vencida sin observación"&amp;" · ",""),LEN(IF(AND($S71="Macro",$B71=""),"Macroactividad vacía"&amp;" · ","")&amp;IF(AND($B71&lt;&gt;"",$C71&lt;&gt;""),"Escriba la subactividad en otra fila, debajo de su macroactividad"&amp;" · ","")&amp;IF(AND($S71="Sub",N($R71)=0),"Subactividad sin macroactividad arriba"&amp;" · ","")&amp;IF($D71="","Sin responsable"&amp;" · ","")&amp;IF($E71="","Sin fecha de inicio"&amp;" · ","")&amp;IF($F71="","Sin fecha límite"&amp;" · ","")&amp;IF(OR(AND($E71&lt;&gt;"",NOT(ISNUMBER($E71))),AND($F71&lt;&gt;"",NOT(ISNUMBER($F71)))),"Fecha no válida"&amp;" · ","")&amp;IF(AND(ISNUMBER($E71),ISNUMBER($F71),$E71&gt;$F71),"Inicio posterior a fecha límite"&amp;" · ","")&amp;IF(AND($S71="Macro",$G71=""),"Peso vacío"&amp;" · ","")&amp;IF(AND($S71="Macro",$G71&lt;&gt;"",OR(NOT(ISNUMBER($G71)),$G71&lt;=0,$G71&gt;1)),"Peso fuera de rango"&amp;" · ","")&amp;IF(AND($S71="Sub",$G71&lt;&gt;""),"Las subactividades no llevan peso"&amp;" · ","")&amp;IF(AND($S71="Macro",ABS(SUMIFS($G$5:$G$1000,$P$5:$P$1000,$P71,$S$5:$S$1000,"Macro")-1)&gt;0.0001),"Pesos del mes suman "&amp;TEXT(SUMIFS($G$5:$G$1000,$P$5:$P$1000,$P71,$S$5:$S$1000,"Macro"),"0%")&amp;" · ","")&amp;IF(AND(N($T71)&gt;0,COUNT($H71:$K71)&gt;0),"Con subactividades: deje vacías las semanas (se calculan solas)"&amp;" · ","")&amp;IF((COUNTIF($H71:$K71,"&gt;1")+COUNTIF($H71:$K71,"&lt;0")+COUNTA($H71:$K71)-COUNT($H71:$K71))&gt;0,"Avance fuera de rango 0-100%"&amp;" · ","")&amp;IF(OR(AND($I71&lt;&gt;"",$I71&lt;$H71),AND($J71&lt;&gt;"",$J71&lt;MAX($H71:$I71)),AND($K71&lt;&gt;"",$K71&lt;MAX($H71:$J71))),"Avance semanal decreciente"&amp;" · ","")&amp;IF(AND(ISNUMBER($F71),$F71&lt;FechaRef,N($L71)&lt;1),"Vencida"&amp;" · ","")&amp;IF(AND(ObsObligatoria="Sí",ISNUMBER($F71),$F71&lt;FechaRef,N($L71)&lt;1,$N71=""),"Vencida sin observación"&amp;" · ",""))-3)))</f>
        <v/>
      </c>
      <c r="P71" s="69">
        <f>IF(NOT((COUNTA($B71:$K71)+COUNTA($N71))&gt;0),"",IF(AND($S71="Sub",N($R71)&gt;0),IF(ISNUMBER(INDEX($E$5:$E$1000,$R71-4)),DATE(YEAR(INDEX($E$5:$E$1000,$R71-4)),MONTH(INDEX($E$5:$E$1000,$R71-4)),1),IF(ISNUMBER(INDEX($F$5:$F$1000,$R71-4)),DATE(YEAR(INDEX($F$5:$F$1000,$R71-4)),MONTH(INDEX($F$5:$F$1000,$R71-4)),1),MesCiclo)),IF(ISNUMBER($E71),DATE(YEAR($E71),MONTH($E71),1),IF(ISNUMBER($F71),DATE(YEAR($F71),MONTH($F71),1),MesCiclo))))</f>
        <v/>
      </c>
      <c r="Q71" s="70">
        <f>IF(OR($P71="",$P71&lt;&gt;MesCiclo),"",COUNTIF($P$5:$P71,MesCiclo))</f>
        <v/>
      </c>
      <c r="R71" s="70">
        <f>IF($S71="","",IF($S71="Macro",ROW(),IFERROR(LOOKUP(2,1/($S$5:$S71="Macro"),ROW($S$5:$S71)),0)))</f>
        <v/>
      </c>
      <c r="S71" s="70">
        <f>IF(NOT((COUNTA($B71:$K71)+COUNTA($N71))&gt;0),"",IF($B71&lt;&gt;"","Macro",IF($C71&lt;&gt;"","Sub","Macro")))</f>
        <v/>
      </c>
      <c r="T71" s="70">
        <f>IF($S71="Macro",COUNTIFS($R$5:$R$1000,ROW(),$S$5:$S$1000,"Sub"),"")</f>
        <v/>
      </c>
      <c r="U71" s="70">
        <f>IF($S71="","",IF(ISNUMBER($H71),$H71,0))</f>
        <v/>
      </c>
      <c r="V71" s="70">
        <f>IF($S71="","",IF(ISNUMBER($I71),$I71,$U71))</f>
        <v/>
      </c>
      <c r="W71" s="70">
        <f>IF($S71="","",IF(ISNUMBER($J71),$J71,$V71))</f>
        <v/>
      </c>
      <c r="X71" s="70">
        <f>IF($S71="","",IF(ISNUMBER($K71),$K71,$W71))</f>
        <v/>
      </c>
      <c r="Y71" s="70">
        <f>IF($S71="","",IF(N($T71)&gt;0,AVERAGEIFS($U$5:$U$1000,$R$5:$R$1000,ROW(),$S$5:$S$1000,"Sub"),$U71))</f>
        <v/>
      </c>
      <c r="Z71" s="70">
        <f>IF($S71="","",IF(N($T71)&gt;0,AVERAGEIFS($V$5:$V$1000,$R$5:$R$1000,ROW(),$S$5:$S$1000,"Sub"),$V71))</f>
        <v/>
      </c>
      <c r="AA71" s="70">
        <f>IF($S71="","",IF(N($T71)&gt;0,AVERAGEIFS($W$5:$W$1000,$R$5:$R$1000,ROW(),$S$5:$S$1000,"Sub"),$W71))</f>
        <v/>
      </c>
      <c r="AB71" s="70">
        <f>IF($S71="","",IF(N($T71)&gt;0,AVERAGEIFS($X$5:$X$1000,$R$5:$R$1000,ROW(),$S$5:$S$1000,"Sub"),$X71))</f>
        <v/>
      </c>
    </row>
    <row r="72">
      <c r="A72" s="61">
        <f>IF(NOT((COUNTA($B72:$K72)+COUNTA($N72))&gt;0),"",IF($S72="Macro",COUNTIFS($S$5:$S72,"Macro",$P$5:$P72,$P72),IF(N($R72)=0,"?",COUNTIFS(INDEX($S$5:$S$1000,1):INDEX($S$5:$S$1000,$R72-4),"Macro",INDEX($P$5:$P$1000,1):INDEX($P$5:$P$1000,$R72-4),INDEX($P$5:$P$1000,$R72-4))&amp;"."&amp;COUNTIFS($R$5:$R72,$R72,$S$5:$S72,"Sub"))))</f>
        <v/>
      </c>
      <c r="B72" s="62" t="n"/>
      <c r="C72" s="63" t="n"/>
      <c r="D72" s="62" t="n"/>
      <c r="E72" s="64" t="n"/>
      <c r="F72" s="64" t="n"/>
      <c r="G72" s="65" t="n"/>
      <c r="H72" s="66" t="n"/>
      <c r="I72" s="66" t="n"/>
      <c r="J72" s="66" t="n"/>
      <c r="K72" s="66" t="n"/>
      <c r="L72" s="67">
        <f>IF(NOT((COUNTA($B72:$K72)+COUNTA($N72))&gt;0),"",IF(N($T72)&gt;0,$AB72,IFERROR(LOOKUP(2,1/(H72:K72&lt;&gt;""),H72:K72),0)))</f>
        <v/>
      </c>
      <c r="M72" s="61">
        <f>IF(L72="","",IF(L72&gt;=1,"Completado",IF(L72&gt;0,"En curso","Pendiente")))</f>
        <v/>
      </c>
      <c r="N72" s="62" t="n"/>
      <c r="O72" s="68">
        <f>IF(NOT((COUNTA($B72:$K72)+COUNTA($N72))&gt;0),"",IF((IF(AND($S72="Macro",$B72=""),"Macroactividad vacía"&amp;" · ","")&amp;IF(AND($B72&lt;&gt;"",$C72&lt;&gt;""),"Escriba la subactividad en otra fila, debajo de su macroactividad"&amp;" · ","")&amp;IF(AND($S72="Sub",N($R72)=0),"Subactividad sin macroactividad arriba"&amp;" · ","")&amp;IF($D72="","Sin responsable"&amp;" · ","")&amp;IF($E72="","Sin fecha de inicio"&amp;" · ","")&amp;IF($F72="","Sin fecha límite"&amp;" · ","")&amp;IF(OR(AND($E72&lt;&gt;"",NOT(ISNUMBER($E72))),AND($F72&lt;&gt;"",NOT(ISNUMBER($F72)))),"Fecha no válida"&amp;" · ","")&amp;IF(AND(ISNUMBER($E72),ISNUMBER($F72),$E72&gt;$F72),"Inicio posterior a fecha límite"&amp;" · ","")&amp;IF(AND($S72="Macro",$G72=""),"Peso vacío"&amp;" · ","")&amp;IF(AND($S72="Macro",$G72&lt;&gt;"",OR(NOT(ISNUMBER($G72)),$G72&lt;=0,$G72&gt;1)),"Peso fuera de rango"&amp;" · ","")&amp;IF(AND($S72="Sub",$G72&lt;&gt;""),"Las subactividades no llevan peso"&amp;" · ","")&amp;IF(AND($S72="Macro",ABS(SUMIFS($G$5:$G$1000,$P$5:$P$1000,$P72,$S$5:$S$1000,"Macro")-1)&gt;0.0001),"Pesos del mes suman "&amp;TEXT(SUMIFS($G$5:$G$1000,$P$5:$P$1000,$P72,$S$5:$S$1000,"Macro"),"0%")&amp;" · ","")&amp;IF(AND(N($T72)&gt;0,COUNT($H72:$K72)&gt;0),"Con subactividades: deje vacías las semanas (se calculan solas)"&amp;" · ","")&amp;IF((COUNTIF($H72:$K72,"&gt;1")+COUNTIF($H72:$K72,"&lt;0")+COUNTA($H72:$K72)-COUNT($H72:$K72))&gt;0,"Avance fuera de rango 0-100%"&amp;" · ","")&amp;IF(OR(AND($I72&lt;&gt;"",$I72&lt;$H72),AND($J72&lt;&gt;"",$J72&lt;MAX($H72:$I72)),AND($K72&lt;&gt;"",$K72&lt;MAX($H72:$J72))),"Avance semanal decreciente"&amp;" · ","")&amp;IF(AND(ISNUMBER($F72),$F72&lt;FechaRef,N($L72)&lt;1),"Vencida"&amp;" · ","")&amp;IF(AND(ObsObligatoria="Sí",ISNUMBER($F72),$F72&lt;FechaRef,N($L72)&lt;1,$N72=""),"Vencida sin observación"&amp;" · ",""))="","✔ OK","⚠ "&amp;LEFT(IF(AND($S72="Macro",$B72=""),"Macroactividad vacía"&amp;" · ","")&amp;IF(AND($B72&lt;&gt;"",$C72&lt;&gt;""),"Escriba la subactividad en otra fila, debajo de su macroactividad"&amp;" · ","")&amp;IF(AND($S72="Sub",N($R72)=0),"Subactividad sin macroactividad arriba"&amp;" · ","")&amp;IF($D72="","Sin responsable"&amp;" · ","")&amp;IF($E72="","Sin fecha de inicio"&amp;" · ","")&amp;IF($F72="","Sin fecha límite"&amp;" · ","")&amp;IF(OR(AND($E72&lt;&gt;"",NOT(ISNUMBER($E72))),AND($F72&lt;&gt;"",NOT(ISNUMBER($F72)))),"Fecha no válida"&amp;" · ","")&amp;IF(AND(ISNUMBER($E72),ISNUMBER($F72),$E72&gt;$F72),"Inicio posterior a fecha límite"&amp;" · ","")&amp;IF(AND($S72="Macro",$G72=""),"Peso vacío"&amp;" · ","")&amp;IF(AND($S72="Macro",$G72&lt;&gt;"",OR(NOT(ISNUMBER($G72)),$G72&lt;=0,$G72&gt;1)),"Peso fuera de rango"&amp;" · ","")&amp;IF(AND($S72="Sub",$G72&lt;&gt;""),"Las subactividades no llevan peso"&amp;" · ","")&amp;IF(AND($S72="Macro",ABS(SUMIFS($G$5:$G$1000,$P$5:$P$1000,$P72,$S$5:$S$1000,"Macro")-1)&gt;0.0001),"Pesos del mes suman "&amp;TEXT(SUMIFS($G$5:$G$1000,$P$5:$P$1000,$P72,$S$5:$S$1000,"Macro"),"0%")&amp;" · ","")&amp;IF(AND(N($T72)&gt;0,COUNT($H72:$K72)&gt;0),"Con subactividades: deje vacías las semanas (se calculan solas)"&amp;" · ","")&amp;IF((COUNTIF($H72:$K72,"&gt;1")+COUNTIF($H72:$K72,"&lt;0")+COUNTA($H72:$K72)-COUNT($H72:$K72))&gt;0,"Avance fuera de rango 0-100%"&amp;" · ","")&amp;IF(OR(AND($I72&lt;&gt;"",$I72&lt;$H72),AND($J72&lt;&gt;"",$J72&lt;MAX($H72:$I72)),AND($K72&lt;&gt;"",$K72&lt;MAX($H72:$J72))),"Avance semanal decreciente"&amp;" · ","")&amp;IF(AND(ISNUMBER($F72),$F72&lt;FechaRef,N($L72)&lt;1),"Vencida"&amp;" · ","")&amp;IF(AND(ObsObligatoria="Sí",ISNUMBER($F72),$F72&lt;FechaRef,N($L72)&lt;1,$N72=""),"Vencida sin observación"&amp;" · ",""),LEN(IF(AND($S72="Macro",$B72=""),"Macroactividad vacía"&amp;" · ","")&amp;IF(AND($B72&lt;&gt;"",$C72&lt;&gt;""),"Escriba la subactividad en otra fila, debajo de su macroactividad"&amp;" · ","")&amp;IF(AND($S72="Sub",N($R72)=0),"Subactividad sin macroactividad arriba"&amp;" · ","")&amp;IF($D72="","Sin responsable"&amp;" · ","")&amp;IF($E72="","Sin fecha de inicio"&amp;" · ","")&amp;IF($F72="","Sin fecha límite"&amp;" · ","")&amp;IF(OR(AND($E72&lt;&gt;"",NOT(ISNUMBER($E72))),AND($F72&lt;&gt;"",NOT(ISNUMBER($F72)))),"Fecha no válida"&amp;" · ","")&amp;IF(AND(ISNUMBER($E72),ISNUMBER($F72),$E72&gt;$F72),"Inicio posterior a fecha límite"&amp;" · ","")&amp;IF(AND($S72="Macro",$G72=""),"Peso vacío"&amp;" · ","")&amp;IF(AND($S72="Macro",$G72&lt;&gt;"",OR(NOT(ISNUMBER($G72)),$G72&lt;=0,$G72&gt;1)),"Peso fuera de rango"&amp;" · ","")&amp;IF(AND($S72="Sub",$G72&lt;&gt;""),"Las subactividades no llevan peso"&amp;" · ","")&amp;IF(AND($S72="Macro",ABS(SUMIFS($G$5:$G$1000,$P$5:$P$1000,$P72,$S$5:$S$1000,"Macro")-1)&gt;0.0001),"Pesos del mes suman "&amp;TEXT(SUMIFS($G$5:$G$1000,$P$5:$P$1000,$P72,$S$5:$S$1000,"Macro"),"0%")&amp;" · ","")&amp;IF(AND(N($T72)&gt;0,COUNT($H72:$K72)&gt;0),"Con subactividades: deje vacías las semanas (se calculan solas)"&amp;" · ","")&amp;IF((COUNTIF($H72:$K72,"&gt;1")+COUNTIF($H72:$K72,"&lt;0")+COUNTA($H72:$K72)-COUNT($H72:$K72))&gt;0,"Avance fuera de rango 0-100%"&amp;" · ","")&amp;IF(OR(AND($I72&lt;&gt;"",$I72&lt;$H72),AND($J72&lt;&gt;"",$J72&lt;MAX($H72:$I72)),AND($K72&lt;&gt;"",$K72&lt;MAX($H72:$J72))),"Avance semanal decreciente"&amp;" · ","")&amp;IF(AND(ISNUMBER($F72),$F72&lt;FechaRef,N($L72)&lt;1),"Vencida"&amp;" · ","")&amp;IF(AND(ObsObligatoria="Sí",ISNUMBER($F72),$F72&lt;FechaRef,N($L72)&lt;1,$N72=""),"Vencida sin observación"&amp;" · ",""))-3)))</f>
        <v/>
      </c>
      <c r="P72" s="69">
        <f>IF(NOT((COUNTA($B72:$K72)+COUNTA($N72))&gt;0),"",IF(AND($S72="Sub",N($R72)&gt;0),IF(ISNUMBER(INDEX($E$5:$E$1000,$R72-4)),DATE(YEAR(INDEX($E$5:$E$1000,$R72-4)),MONTH(INDEX($E$5:$E$1000,$R72-4)),1),IF(ISNUMBER(INDEX($F$5:$F$1000,$R72-4)),DATE(YEAR(INDEX($F$5:$F$1000,$R72-4)),MONTH(INDEX($F$5:$F$1000,$R72-4)),1),MesCiclo)),IF(ISNUMBER($E72),DATE(YEAR($E72),MONTH($E72),1),IF(ISNUMBER($F72),DATE(YEAR($F72),MONTH($F72),1),MesCiclo))))</f>
        <v/>
      </c>
      <c r="Q72" s="70">
        <f>IF(OR($P72="",$P72&lt;&gt;MesCiclo),"",COUNTIF($P$5:$P72,MesCiclo))</f>
        <v/>
      </c>
      <c r="R72" s="70">
        <f>IF($S72="","",IF($S72="Macro",ROW(),IFERROR(LOOKUP(2,1/($S$5:$S72="Macro"),ROW($S$5:$S72)),0)))</f>
        <v/>
      </c>
      <c r="S72" s="70">
        <f>IF(NOT((COUNTA($B72:$K72)+COUNTA($N72))&gt;0),"",IF($B72&lt;&gt;"","Macro",IF($C72&lt;&gt;"","Sub","Macro")))</f>
        <v/>
      </c>
      <c r="T72" s="70">
        <f>IF($S72="Macro",COUNTIFS($R$5:$R$1000,ROW(),$S$5:$S$1000,"Sub"),"")</f>
        <v/>
      </c>
      <c r="U72" s="70">
        <f>IF($S72="","",IF(ISNUMBER($H72),$H72,0))</f>
        <v/>
      </c>
      <c r="V72" s="70">
        <f>IF($S72="","",IF(ISNUMBER($I72),$I72,$U72))</f>
        <v/>
      </c>
      <c r="W72" s="70">
        <f>IF($S72="","",IF(ISNUMBER($J72),$J72,$V72))</f>
        <v/>
      </c>
      <c r="X72" s="70">
        <f>IF($S72="","",IF(ISNUMBER($K72),$K72,$W72))</f>
        <v/>
      </c>
      <c r="Y72" s="70">
        <f>IF($S72="","",IF(N($T72)&gt;0,AVERAGEIFS($U$5:$U$1000,$R$5:$R$1000,ROW(),$S$5:$S$1000,"Sub"),$U72))</f>
        <v/>
      </c>
      <c r="Z72" s="70">
        <f>IF($S72="","",IF(N($T72)&gt;0,AVERAGEIFS($V$5:$V$1000,$R$5:$R$1000,ROW(),$S$5:$S$1000,"Sub"),$V72))</f>
        <v/>
      </c>
      <c r="AA72" s="70">
        <f>IF($S72="","",IF(N($T72)&gt;0,AVERAGEIFS($W$5:$W$1000,$R$5:$R$1000,ROW(),$S$5:$S$1000,"Sub"),$W72))</f>
        <v/>
      </c>
      <c r="AB72" s="70">
        <f>IF($S72="","",IF(N($T72)&gt;0,AVERAGEIFS($X$5:$X$1000,$R$5:$R$1000,ROW(),$S$5:$S$1000,"Sub"),$X72))</f>
        <v/>
      </c>
    </row>
    <row r="73">
      <c r="A73" s="61">
        <f>IF(NOT((COUNTA($B73:$K73)+COUNTA($N73))&gt;0),"",IF($S73="Macro",COUNTIFS($S$5:$S73,"Macro",$P$5:$P73,$P73),IF(N($R73)=0,"?",COUNTIFS(INDEX($S$5:$S$1000,1):INDEX($S$5:$S$1000,$R73-4),"Macro",INDEX($P$5:$P$1000,1):INDEX($P$5:$P$1000,$R73-4),INDEX($P$5:$P$1000,$R73-4))&amp;"."&amp;COUNTIFS($R$5:$R73,$R73,$S$5:$S73,"Sub"))))</f>
        <v/>
      </c>
      <c r="B73" s="62" t="n"/>
      <c r="C73" s="63" t="n"/>
      <c r="D73" s="62" t="n"/>
      <c r="E73" s="64" t="n"/>
      <c r="F73" s="64" t="n"/>
      <c r="G73" s="65" t="n"/>
      <c r="H73" s="66" t="n"/>
      <c r="I73" s="66" t="n"/>
      <c r="J73" s="66" t="n"/>
      <c r="K73" s="66" t="n"/>
      <c r="L73" s="67">
        <f>IF(NOT((COUNTA($B73:$K73)+COUNTA($N73))&gt;0),"",IF(N($T73)&gt;0,$AB73,IFERROR(LOOKUP(2,1/(H73:K73&lt;&gt;""),H73:K73),0)))</f>
        <v/>
      </c>
      <c r="M73" s="61">
        <f>IF(L73="","",IF(L73&gt;=1,"Completado",IF(L73&gt;0,"En curso","Pendiente")))</f>
        <v/>
      </c>
      <c r="N73" s="62" t="n"/>
      <c r="O73" s="68">
        <f>IF(NOT((COUNTA($B73:$K73)+COUNTA($N73))&gt;0),"",IF((IF(AND($S73="Macro",$B73=""),"Macroactividad vacía"&amp;" · ","")&amp;IF(AND($B73&lt;&gt;"",$C73&lt;&gt;""),"Escriba la subactividad en otra fila, debajo de su macroactividad"&amp;" · ","")&amp;IF(AND($S73="Sub",N($R73)=0),"Subactividad sin macroactividad arriba"&amp;" · ","")&amp;IF($D73="","Sin responsable"&amp;" · ","")&amp;IF($E73="","Sin fecha de inicio"&amp;" · ","")&amp;IF($F73="","Sin fecha límite"&amp;" · ","")&amp;IF(OR(AND($E73&lt;&gt;"",NOT(ISNUMBER($E73))),AND($F73&lt;&gt;"",NOT(ISNUMBER($F73)))),"Fecha no válida"&amp;" · ","")&amp;IF(AND(ISNUMBER($E73),ISNUMBER($F73),$E73&gt;$F73),"Inicio posterior a fecha límite"&amp;" · ","")&amp;IF(AND($S73="Macro",$G73=""),"Peso vacío"&amp;" · ","")&amp;IF(AND($S73="Macro",$G73&lt;&gt;"",OR(NOT(ISNUMBER($G73)),$G73&lt;=0,$G73&gt;1)),"Peso fuera de rango"&amp;" · ","")&amp;IF(AND($S73="Sub",$G73&lt;&gt;""),"Las subactividades no llevan peso"&amp;" · ","")&amp;IF(AND($S73="Macro",ABS(SUMIFS($G$5:$G$1000,$P$5:$P$1000,$P73,$S$5:$S$1000,"Macro")-1)&gt;0.0001),"Pesos del mes suman "&amp;TEXT(SUMIFS($G$5:$G$1000,$P$5:$P$1000,$P73,$S$5:$S$1000,"Macro"),"0%")&amp;" · ","")&amp;IF(AND(N($T73)&gt;0,COUNT($H73:$K73)&gt;0),"Con subactividades: deje vacías las semanas (se calculan solas)"&amp;" · ","")&amp;IF((COUNTIF($H73:$K73,"&gt;1")+COUNTIF($H73:$K73,"&lt;0")+COUNTA($H73:$K73)-COUNT($H73:$K73))&gt;0,"Avance fuera de rango 0-100%"&amp;" · ","")&amp;IF(OR(AND($I73&lt;&gt;"",$I73&lt;$H73),AND($J73&lt;&gt;"",$J73&lt;MAX($H73:$I73)),AND($K73&lt;&gt;"",$K73&lt;MAX($H73:$J73))),"Avance semanal decreciente"&amp;" · ","")&amp;IF(AND(ISNUMBER($F73),$F73&lt;FechaRef,N($L73)&lt;1),"Vencida"&amp;" · ","")&amp;IF(AND(ObsObligatoria="Sí",ISNUMBER($F73),$F73&lt;FechaRef,N($L73)&lt;1,$N73=""),"Vencida sin observación"&amp;" · ",""))="","✔ OK","⚠ "&amp;LEFT(IF(AND($S73="Macro",$B73=""),"Macroactividad vacía"&amp;" · ","")&amp;IF(AND($B73&lt;&gt;"",$C73&lt;&gt;""),"Escriba la subactividad en otra fila, debajo de su macroactividad"&amp;" · ","")&amp;IF(AND($S73="Sub",N($R73)=0),"Subactividad sin macroactividad arriba"&amp;" · ","")&amp;IF($D73="","Sin responsable"&amp;" · ","")&amp;IF($E73="","Sin fecha de inicio"&amp;" · ","")&amp;IF($F73="","Sin fecha límite"&amp;" · ","")&amp;IF(OR(AND($E73&lt;&gt;"",NOT(ISNUMBER($E73))),AND($F73&lt;&gt;"",NOT(ISNUMBER($F73)))),"Fecha no válida"&amp;" · ","")&amp;IF(AND(ISNUMBER($E73),ISNUMBER($F73),$E73&gt;$F73),"Inicio posterior a fecha límite"&amp;" · ","")&amp;IF(AND($S73="Macro",$G73=""),"Peso vacío"&amp;" · ","")&amp;IF(AND($S73="Macro",$G73&lt;&gt;"",OR(NOT(ISNUMBER($G73)),$G73&lt;=0,$G73&gt;1)),"Peso fuera de rango"&amp;" · ","")&amp;IF(AND($S73="Sub",$G73&lt;&gt;""),"Las subactividades no llevan peso"&amp;" · ","")&amp;IF(AND($S73="Macro",ABS(SUMIFS($G$5:$G$1000,$P$5:$P$1000,$P73,$S$5:$S$1000,"Macro")-1)&gt;0.0001),"Pesos del mes suman "&amp;TEXT(SUMIFS($G$5:$G$1000,$P$5:$P$1000,$P73,$S$5:$S$1000,"Macro"),"0%")&amp;" · ","")&amp;IF(AND(N($T73)&gt;0,COUNT($H73:$K73)&gt;0),"Con subactividades: deje vacías las semanas (se calculan solas)"&amp;" · ","")&amp;IF((COUNTIF($H73:$K73,"&gt;1")+COUNTIF($H73:$K73,"&lt;0")+COUNTA($H73:$K73)-COUNT($H73:$K73))&gt;0,"Avance fuera de rango 0-100%"&amp;" · ","")&amp;IF(OR(AND($I73&lt;&gt;"",$I73&lt;$H73),AND($J73&lt;&gt;"",$J73&lt;MAX($H73:$I73)),AND($K73&lt;&gt;"",$K73&lt;MAX($H73:$J73))),"Avance semanal decreciente"&amp;" · ","")&amp;IF(AND(ISNUMBER($F73),$F73&lt;FechaRef,N($L73)&lt;1),"Vencida"&amp;" · ","")&amp;IF(AND(ObsObligatoria="Sí",ISNUMBER($F73),$F73&lt;FechaRef,N($L73)&lt;1,$N73=""),"Vencida sin observación"&amp;" · ",""),LEN(IF(AND($S73="Macro",$B73=""),"Macroactividad vacía"&amp;" · ","")&amp;IF(AND($B73&lt;&gt;"",$C73&lt;&gt;""),"Escriba la subactividad en otra fila, debajo de su macroactividad"&amp;" · ","")&amp;IF(AND($S73="Sub",N($R73)=0),"Subactividad sin macroactividad arriba"&amp;" · ","")&amp;IF($D73="","Sin responsable"&amp;" · ","")&amp;IF($E73="","Sin fecha de inicio"&amp;" · ","")&amp;IF($F73="","Sin fecha límite"&amp;" · ","")&amp;IF(OR(AND($E73&lt;&gt;"",NOT(ISNUMBER($E73))),AND($F73&lt;&gt;"",NOT(ISNUMBER($F73)))),"Fecha no válida"&amp;" · ","")&amp;IF(AND(ISNUMBER($E73),ISNUMBER($F73),$E73&gt;$F73),"Inicio posterior a fecha límite"&amp;" · ","")&amp;IF(AND($S73="Macro",$G73=""),"Peso vacío"&amp;" · ","")&amp;IF(AND($S73="Macro",$G73&lt;&gt;"",OR(NOT(ISNUMBER($G73)),$G73&lt;=0,$G73&gt;1)),"Peso fuera de rango"&amp;" · ","")&amp;IF(AND($S73="Sub",$G73&lt;&gt;""),"Las subactividades no llevan peso"&amp;" · ","")&amp;IF(AND($S73="Macro",ABS(SUMIFS($G$5:$G$1000,$P$5:$P$1000,$P73,$S$5:$S$1000,"Macro")-1)&gt;0.0001),"Pesos del mes suman "&amp;TEXT(SUMIFS($G$5:$G$1000,$P$5:$P$1000,$P73,$S$5:$S$1000,"Macro"),"0%")&amp;" · ","")&amp;IF(AND(N($T73)&gt;0,COUNT($H73:$K73)&gt;0),"Con subactividades: deje vacías las semanas (se calculan solas)"&amp;" · ","")&amp;IF((COUNTIF($H73:$K73,"&gt;1")+COUNTIF($H73:$K73,"&lt;0")+COUNTA($H73:$K73)-COUNT($H73:$K73))&gt;0,"Avance fuera de rango 0-100%"&amp;" · ","")&amp;IF(OR(AND($I73&lt;&gt;"",$I73&lt;$H73),AND($J73&lt;&gt;"",$J73&lt;MAX($H73:$I73)),AND($K73&lt;&gt;"",$K73&lt;MAX($H73:$J73))),"Avance semanal decreciente"&amp;" · ","")&amp;IF(AND(ISNUMBER($F73),$F73&lt;FechaRef,N($L73)&lt;1),"Vencida"&amp;" · ","")&amp;IF(AND(ObsObligatoria="Sí",ISNUMBER($F73),$F73&lt;FechaRef,N($L73)&lt;1,$N73=""),"Vencida sin observación"&amp;" · ",""))-3)))</f>
        <v/>
      </c>
      <c r="P73" s="69">
        <f>IF(NOT((COUNTA($B73:$K73)+COUNTA($N73))&gt;0),"",IF(AND($S73="Sub",N($R73)&gt;0),IF(ISNUMBER(INDEX($E$5:$E$1000,$R73-4)),DATE(YEAR(INDEX($E$5:$E$1000,$R73-4)),MONTH(INDEX($E$5:$E$1000,$R73-4)),1),IF(ISNUMBER(INDEX($F$5:$F$1000,$R73-4)),DATE(YEAR(INDEX($F$5:$F$1000,$R73-4)),MONTH(INDEX($F$5:$F$1000,$R73-4)),1),MesCiclo)),IF(ISNUMBER($E73),DATE(YEAR($E73),MONTH($E73),1),IF(ISNUMBER($F73),DATE(YEAR($F73),MONTH($F73),1),MesCiclo))))</f>
        <v/>
      </c>
      <c r="Q73" s="70">
        <f>IF(OR($P73="",$P73&lt;&gt;MesCiclo),"",COUNTIF($P$5:$P73,MesCiclo))</f>
        <v/>
      </c>
      <c r="R73" s="70">
        <f>IF($S73="","",IF($S73="Macro",ROW(),IFERROR(LOOKUP(2,1/($S$5:$S73="Macro"),ROW($S$5:$S73)),0)))</f>
        <v/>
      </c>
      <c r="S73" s="70">
        <f>IF(NOT((COUNTA($B73:$K73)+COUNTA($N73))&gt;0),"",IF($B73&lt;&gt;"","Macro",IF($C73&lt;&gt;"","Sub","Macro")))</f>
        <v/>
      </c>
      <c r="T73" s="70">
        <f>IF($S73="Macro",COUNTIFS($R$5:$R$1000,ROW(),$S$5:$S$1000,"Sub"),"")</f>
        <v/>
      </c>
      <c r="U73" s="70">
        <f>IF($S73="","",IF(ISNUMBER($H73),$H73,0))</f>
        <v/>
      </c>
      <c r="V73" s="70">
        <f>IF($S73="","",IF(ISNUMBER($I73),$I73,$U73))</f>
        <v/>
      </c>
      <c r="W73" s="70">
        <f>IF($S73="","",IF(ISNUMBER($J73),$J73,$V73))</f>
        <v/>
      </c>
      <c r="X73" s="70">
        <f>IF($S73="","",IF(ISNUMBER($K73),$K73,$W73))</f>
        <v/>
      </c>
      <c r="Y73" s="70">
        <f>IF($S73="","",IF(N($T73)&gt;0,AVERAGEIFS($U$5:$U$1000,$R$5:$R$1000,ROW(),$S$5:$S$1000,"Sub"),$U73))</f>
        <v/>
      </c>
      <c r="Z73" s="70">
        <f>IF($S73="","",IF(N($T73)&gt;0,AVERAGEIFS($V$5:$V$1000,$R$5:$R$1000,ROW(),$S$5:$S$1000,"Sub"),$V73))</f>
        <v/>
      </c>
      <c r="AA73" s="70">
        <f>IF($S73="","",IF(N($T73)&gt;0,AVERAGEIFS($W$5:$W$1000,$R$5:$R$1000,ROW(),$S$5:$S$1000,"Sub"),$W73))</f>
        <v/>
      </c>
      <c r="AB73" s="70">
        <f>IF($S73="","",IF(N($T73)&gt;0,AVERAGEIFS($X$5:$X$1000,$R$5:$R$1000,ROW(),$S$5:$S$1000,"Sub"),$X73))</f>
        <v/>
      </c>
    </row>
    <row r="74">
      <c r="A74" s="61">
        <f>IF(NOT((COUNTA($B74:$K74)+COUNTA($N74))&gt;0),"",IF($S74="Macro",COUNTIFS($S$5:$S74,"Macro",$P$5:$P74,$P74),IF(N($R74)=0,"?",COUNTIFS(INDEX($S$5:$S$1000,1):INDEX($S$5:$S$1000,$R74-4),"Macro",INDEX($P$5:$P$1000,1):INDEX($P$5:$P$1000,$R74-4),INDEX($P$5:$P$1000,$R74-4))&amp;"."&amp;COUNTIFS($R$5:$R74,$R74,$S$5:$S74,"Sub"))))</f>
        <v/>
      </c>
      <c r="B74" s="62" t="n"/>
      <c r="C74" s="63" t="n"/>
      <c r="D74" s="62" t="n"/>
      <c r="E74" s="64" t="n"/>
      <c r="F74" s="64" t="n"/>
      <c r="G74" s="65" t="n"/>
      <c r="H74" s="66" t="n"/>
      <c r="I74" s="66" t="n"/>
      <c r="J74" s="66" t="n"/>
      <c r="K74" s="66" t="n"/>
      <c r="L74" s="67">
        <f>IF(NOT((COUNTA($B74:$K74)+COUNTA($N74))&gt;0),"",IF(N($T74)&gt;0,$AB74,IFERROR(LOOKUP(2,1/(H74:K74&lt;&gt;""),H74:K74),0)))</f>
        <v/>
      </c>
      <c r="M74" s="61">
        <f>IF(L74="","",IF(L74&gt;=1,"Completado",IF(L74&gt;0,"En curso","Pendiente")))</f>
        <v/>
      </c>
      <c r="N74" s="62" t="n"/>
      <c r="O74" s="68">
        <f>IF(NOT((COUNTA($B74:$K74)+COUNTA($N74))&gt;0),"",IF((IF(AND($S74="Macro",$B74=""),"Macroactividad vacía"&amp;" · ","")&amp;IF(AND($B74&lt;&gt;"",$C74&lt;&gt;""),"Escriba la subactividad en otra fila, debajo de su macroactividad"&amp;" · ","")&amp;IF(AND($S74="Sub",N($R74)=0),"Subactividad sin macroactividad arriba"&amp;" · ","")&amp;IF($D74="","Sin responsable"&amp;" · ","")&amp;IF($E74="","Sin fecha de inicio"&amp;" · ","")&amp;IF($F74="","Sin fecha límite"&amp;" · ","")&amp;IF(OR(AND($E74&lt;&gt;"",NOT(ISNUMBER($E74))),AND($F74&lt;&gt;"",NOT(ISNUMBER($F74)))),"Fecha no válida"&amp;" · ","")&amp;IF(AND(ISNUMBER($E74),ISNUMBER($F74),$E74&gt;$F74),"Inicio posterior a fecha límite"&amp;" · ","")&amp;IF(AND($S74="Macro",$G74=""),"Peso vacío"&amp;" · ","")&amp;IF(AND($S74="Macro",$G74&lt;&gt;"",OR(NOT(ISNUMBER($G74)),$G74&lt;=0,$G74&gt;1)),"Peso fuera de rango"&amp;" · ","")&amp;IF(AND($S74="Sub",$G74&lt;&gt;""),"Las subactividades no llevan peso"&amp;" · ","")&amp;IF(AND($S74="Macro",ABS(SUMIFS($G$5:$G$1000,$P$5:$P$1000,$P74,$S$5:$S$1000,"Macro")-1)&gt;0.0001),"Pesos del mes suman "&amp;TEXT(SUMIFS($G$5:$G$1000,$P$5:$P$1000,$P74,$S$5:$S$1000,"Macro"),"0%")&amp;" · ","")&amp;IF(AND(N($T74)&gt;0,COUNT($H74:$K74)&gt;0),"Con subactividades: deje vacías las semanas (se calculan solas)"&amp;" · ","")&amp;IF((COUNTIF($H74:$K74,"&gt;1")+COUNTIF($H74:$K74,"&lt;0")+COUNTA($H74:$K74)-COUNT($H74:$K74))&gt;0,"Avance fuera de rango 0-100%"&amp;" · ","")&amp;IF(OR(AND($I74&lt;&gt;"",$I74&lt;$H74),AND($J74&lt;&gt;"",$J74&lt;MAX($H74:$I74)),AND($K74&lt;&gt;"",$K74&lt;MAX($H74:$J74))),"Avance semanal decreciente"&amp;" · ","")&amp;IF(AND(ISNUMBER($F74),$F74&lt;FechaRef,N($L74)&lt;1),"Vencida"&amp;" · ","")&amp;IF(AND(ObsObligatoria="Sí",ISNUMBER($F74),$F74&lt;FechaRef,N($L74)&lt;1,$N74=""),"Vencida sin observación"&amp;" · ",""))="","✔ OK","⚠ "&amp;LEFT(IF(AND($S74="Macro",$B74=""),"Macroactividad vacía"&amp;" · ","")&amp;IF(AND($B74&lt;&gt;"",$C74&lt;&gt;""),"Escriba la subactividad en otra fila, debajo de su macroactividad"&amp;" · ","")&amp;IF(AND($S74="Sub",N($R74)=0),"Subactividad sin macroactividad arriba"&amp;" · ","")&amp;IF($D74="","Sin responsable"&amp;" · ","")&amp;IF($E74="","Sin fecha de inicio"&amp;" · ","")&amp;IF($F74="","Sin fecha límite"&amp;" · ","")&amp;IF(OR(AND($E74&lt;&gt;"",NOT(ISNUMBER($E74))),AND($F74&lt;&gt;"",NOT(ISNUMBER($F74)))),"Fecha no válida"&amp;" · ","")&amp;IF(AND(ISNUMBER($E74),ISNUMBER($F74),$E74&gt;$F74),"Inicio posterior a fecha límite"&amp;" · ","")&amp;IF(AND($S74="Macro",$G74=""),"Peso vacío"&amp;" · ","")&amp;IF(AND($S74="Macro",$G74&lt;&gt;"",OR(NOT(ISNUMBER($G74)),$G74&lt;=0,$G74&gt;1)),"Peso fuera de rango"&amp;" · ","")&amp;IF(AND($S74="Sub",$G74&lt;&gt;""),"Las subactividades no llevan peso"&amp;" · ","")&amp;IF(AND($S74="Macro",ABS(SUMIFS($G$5:$G$1000,$P$5:$P$1000,$P74,$S$5:$S$1000,"Macro")-1)&gt;0.0001),"Pesos del mes suman "&amp;TEXT(SUMIFS($G$5:$G$1000,$P$5:$P$1000,$P74,$S$5:$S$1000,"Macro"),"0%")&amp;" · ","")&amp;IF(AND(N($T74)&gt;0,COUNT($H74:$K74)&gt;0),"Con subactividades: deje vacías las semanas (se calculan solas)"&amp;" · ","")&amp;IF((COUNTIF($H74:$K74,"&gt;1")+COUNTIF($H74:$K74,"&lt;0")+COUNTA($H74:$K74)-COUNT($H74:$K74))&gt;0,"Avance fuera de rango 0-100%"&amp;" · ","")&amp;IF(OR(AND($I74&lt;&gt;"",$I74&lt;$H74),AND($J74&lt;&gt;"",$J74&lt;MAX($H74:$I74)),AND($K74&lt;&gt;"",$K74&lt;MAX($H74:$J74))),"Avance semanal decreciente"&amp;" · ","")&amp;IF(AND(ISNUMBER($F74),$F74&lt;FechaRef,N($L74)&lt;1),"Vencida"&amp;" · ","")&amp;IF(AND(ObsObligatoria="Sí",ISNUMBER($F74),$F74&lt;FechaRef,N($L74)&lt;1,$N74=""),"Vencida sin observación"&amp;" · ",""),LEN(IF(AND($S74="Macro",$B74=""),"Macroactividad vacía"&amp;" · ","")&amp;IF(AND($B74&lt;&gt;"",$C74&lt;&gt;""),"Escriba la subactividad en otra fila, debajo de su macroactividad"&amp;" · ","")&amp;IF(AND($S74="Sub",N($R74)=0),"Subactividad sin macroactividad arriba"&amp;" · ","")&amp;IF($D74="","Sin responsable"&amp;" · ","")&amp;IF($E74="","Sin fecha de inicio"&amp;" · ","")&amp;IF($F74="","Sin fecha límite"&amp;" · ","")&amp;IF(OR(AND($E74&lt;&gt;"",NOT(ISNUMBER($E74))),AND($F74&lt;&gt;"",NOT(ISNUMBER($F74)))),"Fecha no válida"&amp;" · ","")&amp;IF(AND(ISNUMBER($E74),ISNUMBER($F74),$E74&gt;$F74),"Inicio posterior a fecha límite"&amp;" · ","")&amp;IF(AND($S74="Macro",$G74=""),"Peso vacío"&amp;" · ","")&amp;IF(AND($S74="Macro",$G74&lt;&gt;"",OR(NOT(ISNUMBER($G74)),$G74&lt;=0,$G74&gt;1)),"Peso fuera de rango"&amp;" · ","")&amp;IF(AND($S74="Sub",$G74&lt;&gt;""),"Las subactividades no llevan peso"&amp;" · ","")&amp;IF(AND($S74="Macro",ABS(SUMIFS($G$5:$G$1000,$P$5:$P$1000,$P74,$S$5:$S$1000,"Macro")-1)&gt;0.0001),"Pesos del mes suman "&amp;TEXT(SUMIFS($G$5:$G$1000,$P$5:$P$1000,$P74,$S$5:$S$1000,"Macro"),"0%")&amp;" · ","")&amp;IF(AND(N($T74)&gt;0,COUNT($H74:$K74)&gt;0),"Con subactividades: deje vacías las semanas (se calculan solas)"&amp;" · ","")&amp;IF((COUNTIF($H74:$K74,"&gt;1")+COUNTIF($H74:$K74,"&lt;0")+COUNTA($H74:$K74)-COUNT($H74:$K74))&gt;0,"Avance fuera de rango 0-100%"&amp;" · ","")&amp;IF(OR(AND($I74&lt;&gt;"",$I74&lt;$H74),AND($J74&lt;&gt;"",$J74&lt;MAX($H74:$I74)),AND($K74&lt;&gt;"",$K74&lt;MAX($H74:$J74))),"Avance semanal decreciente"&amp;" · ","")&amp;IF(AND(ISNUMBER($F74),$F74&lt;FechaRef,N($L74)&lt;1),"Vencida"&amp;" · ","")&amp;IF(AND(ObsObligatoria="Sí",ISNUMBER($F74),$F74&lt;FechaRef,N($L74)&lt;1,$N74=""),"Vencida sin observación"&amp;" · ",""))-3)))</f>
        <v/>
      </c>
      <c r="P74" s="69">
        <f>IF(NOT((COUNTA($B74:$K74)+COUNTA($N74))&gt;0),"",IF(AND($S74="Sub",N($R74)&gt;0),IF(ISNUMBER(INDEX($E$5:$E$1000,$R74-4)),DATE(YEAR(INDEX($E$5:$E$1000,$R74-4)),MONTH(INDEX($E$5:$E$1000,$R74-4)),1),IF(ISNUMBER(INDEX($F$5:$F$1000,$R74-4)),DATE(YEAR(INDEX($F$5:$F$1000,$R74-4)),MONTH(INDEX($F$5:$F$1000,$R74-4)),1),MesCiclo)),IF(ISNUMBER($E74),DATE(YEAR($E74),MONTH($E74),1),IF(ISNUMBER($F74),DATE(YEAR($F74),MONTH($F74),1),MesCiclo))))</f>
        <v/>
      </c>
      <c r="Q74" s="70">
        <f>IF(OR($P74="",$P74&lt;&gt;MesCiclo),"",COUNTIF($P$5:$P74,MesCiclo))</f>
        <v/>
      </c>
      <c r="R74" s="70">
        <f>IF($S74="","",IF($S74="Macro",ROW(),IFERROR(LOOKUP(2,1/($S$5:$S74="Macro"),ROW($S$5:$S74)),0)))</f>
        <v/>
      </c>
      <c r="S74" s="70">
        <f>IF(NOT((COUNTA($B74:$K74)+COUNTA($N74))&gt;0),"",IF($B74&lt;&gt;"","Macro",IF($C74&lt;&gt;"","Sub","Macro")))</f>
        <v/>
      </c>
      <c r="T74" s="70">
        <f>IF($S74="Macro",COUNTIFS($R$5:$R$1000,ROW(),$S$5:$S$1000,"Sub"),"")</f>
        <v/>
      </c>
      <c r="U74" s="70">
        <f>IF($S74="","",IF(ISNUMBER($H74),$H74,0))</f>
        <v/>
      </c>
      <c r="V74" s="70">
        <f>IF($S74="","",IF(ISNUMBER($I74),$I74,$U74))</f>
        <v/>
      </c>
      <c r="W74" s="70">
        <f>IF($S74="","",IF(ISNUMBER($J74),$J74,$V74))</f>
        <v/>
      </c>
      <c r="X74" s="70">
        <f>IF($S74="","",IF(ISNUMBER($K74),$K74,$W74))</f>
        <v/>
      </c>
      <c r="Y74" s="70">
        <f>IF($S74="","",IF(N($T74)&gt;0,AVERAGEIFS($U$5:$U$1000,$R$5:$R$1000,ROW(),$S$5:$S$1000,"Sub"),$U74))</f>
        <v/>
      </c>
      <c r="Z74" s="70">
        <f>IF($S74="","",IF(N($T74)&gt;0,AVERAGEIFS($V$5:$V$1000,$R$5:$R$1000,ROW(),$S$5:$S$1000,"Sub"),$V74))</f>
        <v/>
      </c>
      <c r="AA74" s="70">
        <f>IF($S74="","",IF(N($T74)&gt;0,AVERAGEIFS($W$5:$W$1000,$R$5:$R$1000,ROW(),$S$5:$S$1000,"Sub"),$W74))</f>
        <v/>
      </c>
      <c r="AB74" s="70">
        <f>IF($S74="","",IF(N($T74)&gt;0,AVERAGEIFS($X$5:$X$1000,$R$5:$R$1000,ROW(),$S$5:$S$1000,"Sub"),$X74))</f>
        <v/>
      </c>
    </row>
    <row r="75">
      <c r="A75" s="61">
        <f>IF(NOT((COUNTA($B75:$K75)+COUNTA($N75))&gt;0),"",IF($S75="Macro",COUNTIFS($S$5:$S75,"Macro",$P$5:$P75,$P75),IF(N($R75)=0,"?",COUNTIFS(INDEX($S$5:$S$1000,1):INDEX($S$5:$S$1000,$R75-4),"Macro",INDEX($P$5:$P$1000,1):INDEX($P$5:$P$1000,$R75-4),INDEX($P$5:$P$1000,$R75-4))&amp;"."&amp;COUNTIFS($R$5:$R75,$R75,$S$5:$S75,"Sub"))))</f>
        <v/>
      </c>
      <c r="B75" s="62" t="n"/>
      <c r="C75" s="63" t="n"/>
      <c r="D75" s="62" t="n"/>
      <c r="E75" s="64" t="n"/>
      <c r="F75" s="64" t="n"/>
      <c r="G75" s="65" t="n"/>
      <c r="H75" s="66" t="n"/>
      <c r="I75" s="66" t="n"/>
      <c r="J75" s="66" t="n"/>
      <c r="K75" s="66" t="n"/>
      <c r="L75" s="67">
        <f>IF(NOT((COUNTA($B75:$K75)+COUNTA($N75))&gt;0),"",IF(N($T75)&gt;0,$AB75,IFERROR(LOOKUP(2,1/(H75:K75&lt;&gt;""),H75:K75),0)))</f>
        <v/>
      </c>
      <c r="M75" s="61">
        <f>IF(L75="","",IF(L75&gt;=1,"Completado",IF(L75&gt;0,"En curso","Pendiente")))</f>
        <v/>
      </c>
      <c r="N75" s="62" t="n"/>
      <c r="O75" s="68">
        <f>IF(NOT((COUNTA($B75:$K75)+COUNTA($N75))&gt;0),"",IF((IF(AND($S75="Macro",$B75=""),"Macroactividad vacía"&amp;" · ","")&amp;IF(AND($B75&lt;&gt;"",$C75&lt;&gt;""),"Escriba la subactividad en otra fila, debajo de su macroactividad"&amp;" · ","")&amp;IF(AND($S75="Sub",N($R75)=0),"Subactividad sin macroactividad arriba"&amp;" · ","")&amp;IF($D75="","Sin responsable"&amp;" · ","")&amp;IF($E75="","Sin fecha de inicio"&amp;" · ","")&amp;IF($F75="","Sin fecha límite"&amp;" · ","")&amp;IF(OR(AND($E75&lt;&gt;"",NOT(ISNUMBER($E75))),AND($F75&lt;&gt;"",NOT(ISNUMBER($F75)))),"Fecha no válida"&amp;" · ","")&amp;IF(AND(ISNUMBER($E75),ISNUMBER($F75),$E75&gt;$F75),"Inicio posterior a fecha límite"&amp;" · ","")&amp;IF(AND($S75="Macro",$G75=""),"Peso vacío"&amp;" · ","")&amp;IF(AND($S75="Macro",$G75&lt;&gt;"",OR(NOT(ISNUMBER($G75)),$G75&lt;=0,$G75&gt;1)),"Peso fuera de rango"&amp;" · ","")&amp;IF(AND($S75="Sub",$G75&lt;&gt;""),"Las subactividades no llevan peso"&amp;" · ","")&amp;IF(AND($S75="Macro",ABS(SUMIFS($G$5:$G$1000,$P$5:$P$1000,$P75,$S$5:$S$1000,"Macro")-1)&gt;0.0001),"Pesos del mes suman "&amp;TEXT(SUMIFS($G$5:$G$1000,$P$5:$P$1000,$P75,$S$5:$S$1000,"Macro"),"0%")&amp;" · ","")&amp;IF(AND(N($T75)&gt;0,COUNT($H75:$K75)&gt;0),"Con subactividades: deje vacías las semanas (se calculan solas)"&amp;" · ","")&amp;IF((COUNTIF($H75:$K75,"&gt;1")+COUNTIF($H75:$K75,"&lt;0")+COUNTA($H75:$K75)-COUNT($H75:$K75))&gt;0,"Avance fuera de rango 0-100%"&amp;" · ","")&amp;IF(OR(AND($I75&lt;&gt;"",$I75&lt;$H75),AND($J75&lt;&gt;"",$J75&lt;MAX($H75:$I75)),AND($K75&lt;&gt;"",$K75&lt;MAX($H75:$J75))),"Avance semanal decreciente"&amp;" · ","")&amp;IF(AND(ISNUMBER($F75),$F75&lt;FechaRef,N($L75)&lt;1),"Vencida"&amp;" · ","")&amp;IF(AND(ObsObligatoria="Sí",ISNUMBER($F75),$F75&lt;FechaRef,N($L75)&lt;1,$N75=""),"Vencida sin observación"&amp;" · ",""))="","✔ OK","⚠ "&amp;LEFT(IF(AND($S75="Macro",$B75=""),"Macroactividad vacía"&amp;" · ","")&amp;IF(AND($B75&lt;&gt;"",$C75&lt;&gt;""),"Escriba la subactividad en otra fila, debajo de su macroactividad"&amp;" · ","")&amp;IF(AND($S75="Sub",N($R75)=0),"Subactividad sin macroactividad arriba"&amp;" · ","")&amp;IF($D75="","Sin responsable"&amp;" · ","")&amp;IF($E75="","Sin fecha de inicio"&amp;" · ","")&amp;IF($F75="","Sin fecha límite"&amp;" · ","")&amp;IF(OR(AND($E75&lt;&gt;"",NOT(ISNUMBER($E75))),AND($F75&lt;&gt;"",NOT(ISNUMBER($F75)))),"Fecha no válida"&amp;" · ","")&amp;IF(AND(ISNUMBER($E75),ISNUMBER($F75),$E75&gt;$F75),"Inicio posterior a fecha límite"&amp;" · ","")&amp;IF(AND($S75="Macro",$G75=""),"Peso vacío"&amp;" · ","")&amp;IF(AND($S75="Macro",$G75&lt;&gt;"",OR(NOT(ISNUMBER($G75)),$G75&lt;=0,$G75&gt;1)),"Peso fuera de rango"&amp;" · ","")&amp;IF(AND($S75="Sub",$G75&lt;&gt;""),"Las subactividades no llevan peso"&amp;" · ","")&amp;IF(AND($S75="Macro",ABS(SUMIFS($G$5:$G$1000,$P$5:$P$1000,$P75,$S$5:$S$1000,"Macro")-1)&gt;0.0001),"Pesos del mes suman "&amp;TEXT(SUMIFS($G$5:$G$1000,$P$5:$P$1000,$P75,$S$5:$S$1000,"Macro"),"0%")&amp;" · ","")&amp;IF(AND(N($T75)&gt;0,COUNT($H75:$K75)&gt;0),"Con subactividades: deje vacías las semanas (se calculan solas)"&amp;" · ","")&amp;IF((COUNTIF($H75:$K75,"&gt;1")+COUNTIF($H75:$K75,"&lt;0")+COUNTA($H75:$K75)-COUNT($H75:$K75))&gt;0,"Avance fuera de rango 0-100%"&amp;" · ","")&amp;IF(OR(AND($I75&lt;&gt;"",$I75&lt;$H75),AND($J75&lt;&gt;"",$J75&lt;MAX($H75:$I75)),AND($K75&lt;&gt;"",$K75&lt;MAX($H75:$J75))),"Avance semanal decreciente"&amp;" · ","")&amp;IF(AND(ISNUMBER($F75),$F75&lt;FechaRef,N($L75)&lt;1),"Vencida"&amp;" · ","")&amp;IF(AND(ObsObligatoria="Sí",ISNUMBER($F75),$F75&lt;FechaRef,N($L75)&lt;1,$N75=""),"Vencida sin observación"&amp;" · ",""),LEN(IF(AND($S75="Macro",$B75=""),"Macroactividad vacía"&amp;" · ","")&amp;IF(AND($B75&lt;&gt;"",$C75&lt;&gt;""),"Escriba la subactividad en otra fila, debajo de su macroactividad"&amp;" · ","")&amp;IF(AND($S75="Sub",N($R75)=0),"Subactividad sin macroactividad arriba"&amp;" · ","")&amp;IF($D75="","Sin responsable"&amp;" · ","")&amp;IF($E75="","Sin fecha de inicio"&amp;" · ","")&amp;IF($F75="","Sin fecha límite"&amp;" · ","")&amp;IF(OR(AND($E75&lt;&gt;"",NOT(ISNUMBER($E75))),AND($F75&lt;&gt;"",NOT(ISNUMBER($F75)))),"Fecha no válida"&amp;" · ","")&amp;IF(AND(ISNUMBER($E75),ISNUMBER($F75),$E75&gt;$F75),"Inicio posterior a fecha límite"&amp;" · ","")&amp;IF(AND($S75="Macro",$G75=""),"Peso vacío"&amp;" · ","")&amp;IF(AND($S75="Macro",$G75&lt;&gt;"",OR(NOT(ISNUMBER($G75)),$G75&lt;=0,$G75&gt;1)),"Peso fuera de rango"&amp;" · ","")&amp;IF(AND($S75="Sub",$G75&lt;&gt;""),"Las subactividades no llevan peso"&amp;" · ","")&amp;IF(AND($S75="Macro",ABS(SUMIFS($G$5:$G$1000,$P$5:$P$1000,$P75,$S$5:$S$1000,"Macro")-1)&gt;0.0001),"Pesos del mes suman "&amp;TEXT(SUMIFS($G$5:$G$1000,$P$5:$P$1000,$P75,$S$5:$S$1000,"Macro"),"0%")&amp;" · ","")&amp;IF(AND(N($T75)&gt;0,COUNT($H75:$K75)&gt;0),"Con subactividades: deje vacías las semanas (se calculan solas)"&amp;" · ","")&amp;IF((COUNTIF($H75:$K75,"&gt;1")+COUNTIF($H75:$K75,"&lt;0")+COUNTA($H75:$K75)-COUNT($H75:$K75))&gt;0,"Avance fuera de rango 0-100%"&amp;" · ","")&amp;IF(OR(AND($I75&lt;&gt;"",$I75&lt;$H75),AND($J75&lt;&gt;"",$J75&lt;MAX($H75:$I75)),AND($K75&lt;&gt;"",$K75&lt;MAX($H75:$J75))),"Avance semanal decreciente"&amp;" · ","")&amp;IF(AND(ISNUMBER($F75),$F75&lt;FechaRef,N($L75)&lt;1),"Vencida"&amp;" · ","")&amp;IF(AND(ObsObligatoria="Sí",ISNUMBER($F75),$F75&lt;FechaRef,N($L75)&lt;1,$N75=""),"Vencida sin observación"&amp;" · ",""))-3)))</f>
        <v/>
      </c>
      <c r="P75" s="69">
        <f>IF(NOT((COUNTA($B75:$K75)+COUNTA($N75))&gt;0),"",IF(AND($S75="Sub",N($R75)&gt;0),IF(ISNUMBER(INDEX($E$5:$E$1000,$R75-4)),DATE(YEAR(INDEX($E$5:$E$1000,$R75-4)),MONTH(INDEX($E$5:$E$1000,$R75-4)),1),IF(ISNUMBER(INDEX($F$5:$F$1000,$R75-4)),DATE(YEAR(INDEX($F$5:$F$1000,$R75-4)),MONTH(INDEX($F$5:$F$1000,$R75-4)),1),MesCiclo)),IF(ISNUMBER($E75),DATE(YEAR($E75),MONTH($E75),1),IF(ISNUMBER($F75),DATE(YEAR($F75),MONTH($F75),1),MesCiclo))))</f>
        <v/>
      </c>
      <c r="Q75" s="70">
        <f>IF(OR($P75="",$P75&lt;&gt;MesCiclo),"",COUNTIF($P$5:$P75,MesCiclo))</f>
        <v/>
      </c>
      <c r="R75" s="70">
        <f>IF($S75="","",IF($S75="Macro",ROW(),IFERROR(LOOKUP(2,1/($S$5:$S75="Macro"),ROW($S$5:$S75)),0)))</f>
        <v/>
      </c>
      <c r="S75" s="70">
        <f>IF(NOT((COUNTA($B75:$K75)+COUNTA($N75))&gt;0),"",IF($B75&lt;&gt;"","Macro",IF($C75&lt;&gt;"","Sub","Macro")))</f>
        <v/>
      </c>
      <c r="T75" s="70">
        <f>IF($S75="Macro",COUNTIFS($R$5:$R$1000,ROW(),$S$5:$S$1000,"Sub"),"")</f>
        <v/>
      </c>
      <c r="U75" s="70">
        <f>IF($S75="","",IF(ISNUMBER($H75),$H75,0))</f>
        <v/>
      </c>
      <c r="V75" s="70">
        <f>IF($S75="","",IF(ISNUMBER($I75),$I75,$U75))</f>
        <v/>
      </c>
      <c r="W75" s="70">
        <f>IF($S75="","",IF(ISNUMBER($J75),$J75,$V75))</f>
        <v/>
      </c>
      <c r="X75" s="70">
        <f>IF($S75="","",IF(ISNUMBER($K75),$K75,$W75))</f>
        <v/>
      </c>
      <c r="Y75" s="70">
        <f>IF($S75="","",IF(N($T75)&gt;0,AVERAGEIFS($U$5:$U$1000,$R$5:$R$1000,ROW(),$S$5:$S$1000,"Sub"),$U75))</f>
        <v/>
      </c>
      <c r="Z75" s="70">
        <f>IF($S75="","",IF(N($T75)&gt;0,AVERAGEIFS($V$5:$V$1000,$R$5:$R$1000,ROW(),$S$5:$S$1000,"Sub"),$V75))</f>
        <v/>
      </c>
      <c r="AA75" s="70">
        <f>IF($S75="","",IF(N($T75)&gt;0,AVERAGEIFS($W$5:$W$1000,$R$5:$R$1000,ROW(),$S$5:$S$1000,"Sub"),$W75))</f>
        <v/>
      </c>
      <c r="AB75" s="70">
        <f>IF($S75="","",IF(N($T75)&gt;0,AVERAGEIFS($X$5:$X$1000,$R$5:$R$1000,ROW(),$S$5:$S$1000,"Sub"),$X75))</f>
        <v/>
      </c>
    </row>
    <row r="76">
      <c r="A76" s="61">
        <f>IF(NOT((COUNTA($B76:$K76)+COUNTA($N76))&gt;0),"",IF($S76="Macro",COUNTIFS($S$5:$S76,"Macro",$P$5:$P76,$P76),IF(N($R76)=0,"?",COUNTIFS(INDEX($S$5:$S$1000,1):INDEX($S$5:$S$1000,$R76-4),"Macro",INDEX($P$5:$P$1000,1):INDEX($P$5:$P$1000,$R76-4),INDEX($P$5:$P$1000,$R76-4))&amp;"."&amp;COUNTIFS($R$5:$R76,$R76,$S$5:$S76,"Sub"))))</f>
        <v/>
      </c>
      <c r="B76" s="62" t="n"/>
      <c r="C76" s="63" t="n"/>
      <c r="D76" s="62" t="n"/>
      <c r="E76" s="64" t="n"/>
      <c r="F76" s="64" t="n"/>
      <c r="G76" s="65" t="n"/>
      <c r="H76" s="66" t="n"/>
      <c r="I76" s="66" t="n"/>
      <c r="J76" s="66" t="n"/>
      <c r="K76" s="66" t="n"/>
      <c r="L76" s="67">
        <f>IF(NOT((COUNTA($B76:$K76)+COUNTA($N76))&gt;0),"",IF(N($T76)&gt;0,$AB76,IFERROR(LOOKUP(2,1/(H76:K76&lt;&gt;""),H76:K76),0)))</f>
        <v/>
      </c>
      <c r="M76" s="61">
        <f>IF(L76="","",IF(L76&gt;=1,"Completado",IF(L76&gt;0,"En curso","Pendiente")))</f>
        <v/>
      </c>
      <c r="N76" s="62" t="n"/>
      <c r="O76" s="68">
        <f>IF(NOT((COUNTA($B76:$K76)+COUNTA($N76))&gt;0),"",IF((IF(AND($S76="Macro",$B76=""),"Macroactividad vacía"&amp;" · ","")&amp;IF(AND($B76&lt;&gt;"",$C76&lt;&gt;""),"Escriba la subactividad en otra fila, debajo de su macroactividad"&amp;" · ","")&amp;IF(AND($S76="Sub",N($R76)=0),"Subactividad sin macroactividad arriba"&amp;" · ","")&amp;IF($D76="","Sin responsable"&amp;" · ","")&amp;IF($E76="","Sin fecha de inicio"&amp;" · ","")&amp;IF($F76="","Sin fecha límite"&amp;" · ","")&amp;IF(OR(AND($E76&lt;&gt;"",NOT(ISNUMBER($E76))),AND($F76&lt;&gt;"",NOT(ISNUMBER($F76)))),"Fecha no válida"&amp;" · ","")&amp;IF(AND(ISNUMBER($E76),ISNUMBER($F76),$E76&gt;$F76),"Inicio posterior a fecha límite"&amp;" · ","")&amp;IF(AND($S76="Macro",$G76=""),"Peso vacío"&amp;" · ","")&amp;IF(AND($S76="Macro",$G76&lt;&gt;"",OR(NOT(ISNUMBER($G76)),$G76&lt;=0,$G76&gt;1)),"Peso fuera de rango"&amp;" · ","")&amp;IF(AND($S76="Sub",$G76&lt;&gt;""),"Las subactividades no llevan peso"&amp;" · ","")&amp;IF(AND($S76="Macro",ABS(SUMIFS($G$5:$G$1000,$P$5:$P$1000,$P76,$S$5:$S$1000,"Macro")-1)&gt;0.0001),"Pesos del mes suman "&amp;TEXT(SUMIFS($G$5:$G$1000,$P$5:$P$1000,$P76,$S$5:$S$1000,"Macro"),"0%")&amp;" · ","")&amp;IF(AND(N($T76)&gt;0,COUNT($H76:$K76)&gt;0),"Con subactividades: deje vacías las semanas (se calculan solas)"&amp;" · ","")&amp;IF((COUNTIF($H76:$K76,"&gt;1")+COUNTIF($H76:$K76,"&lt;0")+COUNTA($H76:$K76)-COUNT($H76:$K76))&gt;0,"Avance fuera de rango 0-100%"&amp;" · ","")&amp;IF(OR(AND($I76&lt;&gt;"",$I76&lt;$H76),AND($J76&lt;&gt;"",$J76&lt;MAX($H76:$I76)),AND($K76&lt;&gt;"",$K76&lt;MAX($H76:$J76))),"Avance semanal decreciente"&amp;" · ","")&amp;IF(AND(ISNUMBER($F76),$F76&lt;FechaRef,N($L76)&lt;1),"Vencida"&amp;" · ","")&amp;IF(AND(ObsObligatoria="Sí",ISNUMBER($F76),$F76&lt;FechaRef,N($L76)&lt;1,$N76=""),"Vencida sin observación"&amp;" · ",""))="","✔ OK","⚠ "&amp;LEFT(IF(AND($S76="Macro",$B76=""),"Macroactividad vacía"&amp;" · ","")&amp;IF(AND($B76&lt;&gt;"",$C76&lt;&gt;""),"Escriba la subactividad en otra fila, debajo de su macroactividad"&amp;" · ","")&amp;IF(AND($S76="Sub",N($R76)=0),"Subactividad sin macroactividad arriba"&amp;" · ","")&amp;IF($D76="","Sin responsable"&amp;" · ","")&amp;IF($E76="","Sin fecha de inicio"&amp;" · ","")&amp;IF($F76="","Sin fecha límite"&amp;" · ","")&amp;IF(OR(AND($E76&lt;&gt;"",NOT(ISNUMBER($E76))),AND($F76&lt;&gt;"",NOT(ISNUMBER($F76)))),"Fecha no válida"&amp;" · ","")&amp;IF(AND(ISNUMBER($E76),ISNUMBER($F76),$E76&gt;$F76),"Inicio posterior a fecha límite"&amp;" · ","")&amp;IF(AND($S76="Macro",$G76=""),"Peso vacío"&amp;" · ","")&amp;IF(AND($S76="Macro",$G76&lt;&gt;"",OR(NOT(ISNUMBER($G76)),$G76&lt;=0,$G76&gt;1)),"Peso fuera de rango"&amp;" · ","")&amp;IF(AND($S76="Sub",$G76&lt;&gt;""),"Las subactividades no llevan peso"&amp;" · ","")&amp;IF(AND($S76="Macro",ABS(SUMIFS($G$5:$G$1000,$P$5:$P$1000,$P76,$S$5:$S$1000,"Macro")-1)&gt;0.0001),"Pesos del mes suman "&amp;TEXT(SUMIFS($G$5:$G$1000,$P$5:$P$1000,$P76,$S$5:$S$1000,"Macro"),"0%")&amp;" · ","")&amp;IF(AND(N($T76)&gt;0,COUNT($H76:$K76)&gt;0),"Con subactividades: deje vacías las semanas (se calculan solas)"&amp;" · ","")&amp;IF((COUNTIF($H76:$K76,"&gt;1")+COUNTIF($H76:$K76,"&lt;0")+COUNTA($H76:$K76)-COUNT($H76:$K76))&gt;0,"Avance fuera de rango 0-100%"&amp;" · ","")&amp;IF(OR(AND($I76&lt;&gt;"",$I76&lt;$H76),AND($J76&lt;&gt;"",$J76&lt;MAX($H76:$I76)),AND($K76&lt;&gt;"",$K76&lt;MAX($H76:$J76))),"Avance semanal decreciente"&amp;" · ","")&amp;IF(AND(ISNUMBER($F76),$F76&lt;FechaRef,N($L76)&lt;1),"Vencida"&amp;" · ","")&amp;IF(AND(ObsObligatoria="Sí",ISNUMBER($F76),$F76&lt;FechaRef,N($L76)&lt;1,$N76=""),"Vencida sin observación"&amp;" · ",""),LEN(IF(AND($S76="Macro",$B76=""),"Macroactividad vacía"&amp;" · ","")&amp;IF(AND($B76&lt;&gt;"",$C76&lt;&gt;""),"Escriba la subactividad en otra fila, debajo de su macroactividad"&amp;" · ","")&amp;IF(AND($S76="Sub",N($R76)=0),"Subactividad sin macroactividad arriba"&amp;" · ","")&amp;IF($D76="","Sin responsable"&amp;" · ","")&amp;IF($E76="","Sin fecha de inicio"&amp;" · ","")&amp;IF($F76="","Sin fecha límite"&amp;" · ","")&amp;IF(OR(AND($E76&lt;&gt;"",NOT(ISNUMBER($E76))),AND($F76&lt;&gt;"",NOT(ISNUMBER($F76)))),"Fecha no válida"&amp;" · ","")&amp;IF(AND(ISNUMBER($E76),ISNUMBER($F76),$E76&gt;$F76),"Inicio posterior a fecha límite"&amp;" · ","")&amp;IF(AND($S76="Macro",$G76=""),"Peso vacío"&amp;" · ","")&amp;IF(AND($S76="Macro",$G76&lt;&gt;"",OR(NOT(ISNUMBER($G76)),$G76&lt;=0,$G76&gt;1)),"Peso fuera de rango"&amp;" · ","")&amp;IF(AND($S76="Sub",$G76&lt;&gt;""),"Las subactividades no llevan peso"&amp;" · ","")&amp;IF(AND($S76="Macro",ABS(SUMIFS($G$5:$G$1000,$P$5:$P$1000,$P76,$S$5:$S$1000,"Macro")-1)&gt;0.0001),"Pesos del mes suman "&amp;TEXT(SUMIFS($G$5:$G$1000,$P$5:$P$1000,$P76,$S$5:$S$1000,"Macro"),"0%")&amp;" · ","")&amp;IF(AND(N($T76)&gt;0,COUNT($H76:$K76)&gt;0),"Con subactividades: deje vacías las semanas (se calculan solas)"&amp;" · ","")&amp;IF((COUNTIF($H76:$K76,"&gt;1")+COUNTIF($H76:$K76,"&lt;0")+COUNTA($H76:$K76)-COUNT($H76:$K76))&gt;0,"Avance fuera de rango 0-100%"&amp;" · ","")&amp;IF(OR(AND($I76&lt;&gt;"",$I76&lt;$H76),AND($J76&lt;&gt;"",$J76&lt;MAX($H76:$I76)),AND($K76&lt;&gt;"",$K76&lt;MAX($H76:$J76))),"Avance semanal decreciente"&amp;" · ","")&amp;IF(AND(ISNUMBER($F76),$F76&lt;FechaRef,N($L76)&lt;1),"Vencida"&amp;" · ","")&amp;IF(AND(ObsObligatoria="Sí",ISNUMBER($F76),$F76&lt;FechaRef,N($L76)&lt;1,$N76=""),"Vencida sin observación"&amp;" · ",""))-3)))</f>
        <v/>
      </c>
      <c r="P76" s="69">
        <f>IF(NOT((COUNTA($B76:$K76)+COUNTA($N76))&gt;0),"",IF(AND($S76="Sub",N($R76)&gt;0),IF(ISNUMBER(INDEX($E$5:$E$1000,$R76-4)),DATE(YEAR(INDEX($E$5:$E$1000,$R76-4)),MONTH(INDEX($E$5:$E$1000,$R76-4)),1),IF(ISNUMBER(INDEX($F$5:$F$1000,$R76-4)),DATE(YEAR(INDEX($F$5:$F$1000,$R76-4)),MONTH(INDEX($F$5:$F$1000,$R76-4)),1),MesCiclo)),IF(ISNUMBER($E76),DATE(YEAR($E76),MONTH($E76),1),IF(ISNUMBER($F76),DATE(YEAR($F76),MONTH($F76),1),MesCiclo))))</f>
        <v/>
      </c>
      <c r="Q76" s="70">
        <f>IF(OR($P76="",$P76&lt;&gt;MesCiclo),"",COUNTIF($P$5:$P76,MesCiclo))</f>
        <v/>
      </c>
      <c r="R76" s="70">
        <f>IF($S76="","",IF($S76="Macro",ROW(),IFERROR(LOOKUP(2,1/($S$5:$S76="Macro"),ROW($S$5:$S76)),0)))</f>
        <v/>
      </c>
      <c r="S76" s="70">
        <f>IF(NOT((COUNTA($B76:$K76)+COUNTA($N76))&gt;0),"",IF($B76&lt;&gt;"","Macro",IF($C76&lt;&gt;"","Sub","Macro")))</f>
        <v/>
      </c>
      <c r="T76" s="70">
        <f>IF($S76="Macro",COUNTIFS($R$5:$R$1000,ROW(),$S$5:$S$1000,"Sub"),"")</f>
        <v/>
      </c>
      <c r="U76" s="70">
        <f>IF($S76="","",IF(ISNUMBER($H76),$H76,0))</f>
        <v/>
      </c>
      <c r="V76" s="70">
        <f>IF($S76="","",IF(ISNUMBER($I76),$I76,$U76))</f>
        <v/>
      </c>
      <c r="W76" s="70">
        <f>IF($S76="","",IF(ISNUMBER($J76),$J76,$V76))</f>
        <v/>
      </c>
      <c r="X76" s="70">
        <f>IF($S76="","",IF(ISNUMBER($K76),$K76,$W76))</f>
        <v/>
      </c>
      <c r="Y76" s="70">
        <f>IF($S76="","",IF(N($T76)&gt;0,AVERAGEIFS($U$5:$U$1000,$R$5:$R$1000,ROW(),$S$5:$S$1000,"Sub"),$U76))</f>
        <v/>
      </c>
      <c r="Z76" s="70">
        <f>IF($S76="","",IF(N($T76)&gt;0,AVERAGEIFS($V$5:$V$1000,$R$5:$R$1000,ROW(),$S$5:$S$1000,"Sub"),$V76))</f>
        <v/>
      </c>
      <c r="AA76" s="70">
        <f>IF($S76="","",IF(N($T76)&gt;0,AVERAGEIFS($W$5:$W$1000,$R$5:$R$1000,ROW(),$S$5:$S$1000,"Sub"),$W76))</f>
        <v/>
      </c>
      <c r="AB76" s="70">
        <f>IF($S76="","",IF(N($T76)&gt;0,AVERAGEIFS($X$5:$X$1000,$R$5:$R$1000,ROW(),$S$5:$S$1000,"Sub"),$X76))</f>
        <v/>
      </c>
    </row>
    <row r="77">
      <c r="A77" s="61">
        <f>IF(NOT((COUNTA($B77:$K77)+COUNTA($N77))&gt;0),"",IF($S77="Macro",COUNTIFS($S$5:$S77,"Macro",$P$5:$P77,$P77),IF(N($R77)=0,"?",COUNTIFS(INDEX($S$5:$S$1000,1):INDEX($S$5:$S$1000,$R77-4),"Macro",INDEX($P$5:$P$1000,1):INDEX($P$5:$P$1000,$R77-4),INDEX($P$5:$P$1000,$R77-4))&amp;"."&amp;COUNTIFS($R$5:$R77,$R77,$S$5:$S77,"Sub"))))</f>
        <v/>
      </c>
      <c r="B77" s="62" t="n"/>
      <c r="C77" s="63" t="n"/>
      <c r="D77" s="62" t="n"/>
      <c r="E77" s="64" t="n"/>
      <c r="F77" s="64" t="n"/>
      <c r="G77" s="65" t="n"/>
      <c r="H77" s="66" t="n"/>
      <c r="I77" s="66" t="n"/>
      <c r="J77" s="66" t="n"/>
      <c r="K77" s="66" t="n"/>
      <c r="L77" s="67">
        <f>IF(NOT((COUNTA($B77:$K77)+COUNTA($N77))&gt;0),"",IF(N($T77)&gt;0,$AB77,IFERROR(LOOKUP(2,1/(H77:K77&lt;&gt;""),H77:K77),0)))</f>
        <v/>
      </c>
      <c r="M77" s="61">
        <f>IF(L77="","",IF(L77&gt;=1,"Completado",IF(L77&gt;0,"En curso","Pendiente")))</f>
        <v/>
      </c>
      <c r="N77" s="62" t="n"/>
      <c r="O77" s="68">
        <f>IF(NOT((COUNTA($B77:$K77)+COUNTA($N77))&gt;0),"",IF((IF(AND($S77="Macro",$B77=""),"Macroactividad vacía"&amp;" · ","")&amp;IF(AND($B77&lt;&gt;"",$C77&lt;&gt;""),"Escriba la subactividad en otra fila, debajo de su macroactividad"&amp;" · ","")&amp;IF(AND($S77="Sub",N($R77)=0),"Subactividad sin macroactividad arriba"&amp;" · ","")&amp;IF($D77="","Sin responsable"&amp;" · ","")&amp;IF($E77="","Sin fecha de inicio"&amp;" · ","")&amp;IF($F77="","Sin fecha límite"&amp;" · ","")&amp;IF(OR(AND($E77&lt;&gt;"",NOT(ISNUMBER($E77))),AND($F77&lt;&gt;"",NOT(ISNUMBER($F77)))),"Fecha no válida"&amp;" · ","")&amp;IF(AND(ISNUMBER($E77),ISNUMBER($F77),$E77&gt;$F77),"Inicio posterior a fecha límite"&amp;" · ","")&amp;IF(AND($S77="Macro",$G77=""),"Peso vacío"&amp;" · ","")&amp;IF(AND($S77="Macro",$G77&lt;&gt;"",OR(NOT(ISNUMBER($G77)),$G77&lt;=0,$G77&gt;1)),"Peso fuera de rango"&amp;" · ","")&amp;IF(AND($S77="Sub",$G77&lt;&gt;""),"Las subactividades no llevan peso"&amp;" · ","")&amp;IF(AND($S77="Macro",ABS(SUMIFS($G$5:$G$1000,$P$5:$P$1000,$P77,$S$5:$S$1000,"Macro")-1)&gt;0.0001),"Pesos del mes suman "&amp;TEXT(SUMIFS($G$5:$G$1000,$P$5:$P$1000,$P77,$S$5:$S$1000,"Macro"),"0%")&amp;" · ","")&amp;IF(AND(N($T77)&gt;0,COUNT($H77:$K77)&gt;0),"Con subactividades: deje vacías las semanas (se calculan solas)"&amp;" · ","")&amp;IF((COUNTIF($H77:$K77,"&gt;1")+COUNTIF($H77:$K77,"&lt;0")+COUNTA($H77:$K77)-COUNT($H77:$K77))&gt;0,"Avance fuera de rango 0-100%"&amp;" · ","")&amp;IF(OR(AND($I77&lt;&gt;"",$I77&lt;$H77),AND($J77&lt;&gt;"",$J77&lt;MAX($H77:$I77)),AND($K77&lt;&gt;"",$K77&lt;MAX($H77:$J77))),"Avance semanal decreciente"&amp;" · ","")&amp;IF(AND(ISNUMBER($F77),$F77&lt;FechaRef,N($L77)&lt;1),"Vencida"&amp;" · ","")&amp;IF(AND(ObsObligatoria="Sí",ISNUMBER($F77),$F77&lt;FechaRef,N($L77)&lt;1,$N77=""),"Vencida sin observación"&amp;" · ",""))="","✔ OK","⚠ "&amp;LEFT(IF(AND($S77="Macro",$B77=""),"Macroactividad vacía"&amp;" · ","")&amp;IF(AND($B77&lt;&gt;"",$C77&lt;&gt;""),"Escriba la subactividad en otra fila, debajo de su macroactividad"&amp;" · ","")&amp;IF(AND($S77="Sub",N($R77)=0),"Subactividad sin macroactividad arriba"&amp;" · ","")&amp;IF($D77="","Sin responsable"&amp;" · ","")&amp;IF($E77="","Sin fecha de inicio"&amp;" · ","")&amp;IF($F77="","Sin fecha límite"&amp;" · ","")&amp;IF(OR(AND($E77&lt;&gt;"",NOT(ISNUMBER($E77))),AND($F77&lt;&gt;"",NOT(ISNUMBER($F77)))),"Fecha no válida"&amp;" · ","")&amp;IF(AND(ISNUMBER($E77),ISNUMBER($F77),$E77&gt;$F77),"Inicio posterior a fecha límite"&amp;" · ","")&amp;IF(AND($S77="Macro",$G77=""),"Peso vacío"&amp;" · ","")&amp;IF(AND($S77="Macro",$G77&lt;&gt;"",OR(NOT(ISNUMBER($G77)),$G77&lt;=0,$G77&gt;1)),"Peso fuera de rango"&amp;" · ","")&amp;IF(AND($S77="Sub",$G77&lt;&gt;""),"Las subactividades no llevan peso"&amp;" · ","")&amp;IF(AND($S77="Macro",ABS(SUMIFS($G$5:$G$1000,$P$5:$P$1000,$P77,$S$5:$S$1000,"Macro")-1)&gt;0.0001),"Pesos del mes suman "&amp;TEXT(SUMIFS($G$5:$G$1000,$P$5:$P$1000,$P77,$S$5:$S$1000,"Macro"),"0%")&amp;" · ","")&amp;IF(AND(N($T77)&gt;0,COUNT($H77:$K77)&gt;0),"Con subactividades: deje vacías las semanas (se calculan solas)"&amp;" · ","")&amp;IF((COUNTIF($H77:$K77,"&gt;1")+COUNTIF($H77:$K77,"&lt;0")+COUNTA($H77:$K77)-COUNT($H77:$K77))&gt;0,"Avance fuera de rango 0-100%"&amp;" · ","")&amp;IF(OR(AND($I77&lt;&gt;"",$I77&lt;$H77),AND($J77&lt;&gt;"",$J77&lt;MAX($H77:$I77)),AND($K77&lt;&gt;"",$K77&lt;MAX($H77:$J77))),"Avance semanal decreciente"&amp;" · ","")&amp;IF(AND(ISNUMBER($F77),$F77&lt;FechaRef,N($L77)&lt;1),"Vencida"&amp;" · ","")&amp;IF(AND(ObsObligatoria="Sí",ISNUMBER($F77),$F77&lt;FechaRef,N($L77)&lt;1,$N77=""),"Vencida sin observación"&amp;" · ",""),LEN(IF(AND($S77="Macro",$B77=""),"Macroactividad vacía"&amp;" · ","")&amp;IF(AND($B77&lt;&gt;"",$C77&lt;&gt;""),"Escriba la subactividad en otra fila, debajo de su macroactividad"&amp;" · ","")&amp;IF(AND($S77="Sub",N($R77)=0),"Subactividad sin macroactividad arriba"&amp;" · ","")&amp;IF($D77="","Sin responsable"&amp;" · ","")&amp;IF($E77="","Sin fecha de inicio"&amp;" · ","")&amp;IF($F77="","Sin fecha límite"&amp;" · ","")&amp;IF(OR(AND($E77&lt;&gt;"",NOT(ISNUMBER($E77))),AND($F77&lt;&gt;"",NOT(ISNUMBER($F77)))),"Fecha no válida"&amp;" · ","")&amp;IF(AND(ISNUMBER($E77),ISNUMBER($F77),$E77&gt;$F77),"Inicio posterior a fecha límite"&amp;" · ","")&amp;IF(AND($S77="Macro",$G77=""),"Peso vacío"&amp;" · ","")&amp;IF(AND($S77="Macro",$G77&lt;&gt;"",OR(NOT(ISNUMBER($G77)),$G77&lt;=0,$G77&gt;1)),"Peso fuera de rango"&amp;" · ","")&amp;IF(AND($S77="Sub",$G77&lt;&gt;""),"Las subactividades no llevan peso"&amp;" · ","")&amp;IF(AND($S77="Macro",ABS(SUMIFS($G$5:$G$1000,$P$5:$P$1000,$P77,$S$5:$S$1000,"Macro")-1)&gt;0.0001),"Pesos del mes suman "&amp;TEXT(SUMIFS($G$5:$G$1000,$P$5:$P$1000,$P77,$S$5:$S$1000,"Macro"),"0%")&amp;" · ","")&amp;IF(AND(N($T77)&gt;0,COUNT($H77:$K77)&gt;0),"Con subactividades: deje vacías las semanas (se calculan solas)"&amp;" · ","")&amp;IF((COUNTIF($H77:$K77,"&gt;1")+COUNTIF($H77:$K77,"&lt;0")+COUNTA($H77:$K77)-COUNT($H77:$K77))&gt;0,"Avance fuera de rango 0-100%"&amp;" · ","")&amp;IF(OR(AND($I77&lt;&gt;"",$I77&lt;$H77),AND($J77&lt;&gt;"",$J77&lt;MAX($H77:$I77)),AND($K77&lt;&gt;"",$K77&lt;MAX($H77:$J77))),"Avance semanal decreciente"&amp;" · ","")&amp;IF(AND(ISNUMBER($F77),$F77&lt;FechaRef,N($L77)&lt;1),"Vencida"&amp;" · ","")&amp;IF(AND(ObsObligatoria="Sí",ISNUMBER($F77),$F77&lt;FechaRef,N($L77)&lt;1,$N77=""),"Vencida sin observación"&amp;" · ",""))-3)))</f>
        <v/>
      </c>
      <c r="P77" s="69">
        <f>IF(NOT((COUNTA($B77:$K77)+COUNTA($N77))&gt;0),"",IF(AND($S77="Sub",N($R77)&gt;0),IF(ISNUMBER(INDEX($E$5:$E$1000,$R77-4)),DATE(YEAR(INDEX($E$5:$E$1000,$R77-4)),MONTH(INDEX($E$5:$E$1000,$R77-4)),1),IF(ISNUMBER(INDEX($F$5:$F$1000,$R77-4)),DATE(YEAR(INDEX($F$5:$F$1000,$R77-4)),MONTH(INDEX($F$5:$F$1000,$R77-4)),1),MesCiclo)),IF(ISNUMBER($E77),DATE(YEAR($E77),MONTH($E77),1),IF(ISNUMBER($F77),DATE(YEAR($F77),MONTH($F77),1),MesCiclo))))</f>
        <v/>
      </c>
      <c r="Q77" s="70">
        <f>IF(OR($P77="",$P77&lt;&gt;MesCiclo),"",COUNTIF($P$5:$P77,MesCiclo))</f>
        <v/>
      </c>
      <c r="R77" s="70">
        <f>IF($S77="","",IF($S77="Macro",ROW(),IFERROR(LOOKUP(2,1/($S$5:$S77="Macro"),ROW($S$5:$S77)),0)))</f>
        <v/>
      </c>
      <c r="S77" s="70">
        <f>IF(NOT((COUNTA($B77:$K77)+COUNTA($N77))&gt;0),"",IF($B77&lt;&gt;"","Macro",IF($C77&lt;&gt;"","Sub","Macro")))</f>
        <v/>
      </c>
      <c r="T77" s="70">
        <f>IF($S77="Macro",COUNTIFS($R$5:$R$1000,ROW(),$S$5:$S$1000,"Sub"),"")</f>
        <v/>
      </c>
      <c r="U77" s="70">
        <f>IF($S77="","",IF(ISNUMBER($H77),$H77,0))</f>
        <v/>
      </c>
      <c r="V77" s="70">
        <f>IF($S77="","",IF(ISNUMBER($I77),$I77,$U77))</f>
        <v/>
      </c>
      <c r="W77" s="70">
        <f>IF($S77="","",IF(ISNUMBER($J77),$J77,$V77))</f>
        <v/>
      </c>
      <c r="X77" s="70">
        <f>IF($S77="","",IF(ISNUMBER($K77),$K77,$W77))</f>
        <v/>
      </c>
      <c r="Y77" s="70">
        <f>IF($S77="","",IF(N($T77)&gt;0,AVERAGEIFS($U$5:$U$1000,$R$5:$R$1000,ROW(),$S$5:$S$1000,"Sub"),$U77))</f>
        <v/>
      </c>
      <c r="Z77" s="70">
        <f>IF($S77="","",IF(N($T77)&gt;0,AVERAGEIFS($V$5:$V$1000,$R$5:$R$1000,ROW(),$S$5:$S$1000,"Sub"),$V77))</f>
        <v/>
      </c>
      <c r="AA77" s="70">
        <f>IF($S77="","",IF(N($T77)&gt;0,AVERAGEIFS($W$5:$W$1000,$R$5:$R$1000,ROW(),$S$5:$S$1000,"Sub"),$W77))</f>
        <v/>
      </c>
      <c r="AB77" s="70">
        <f>IF($S77="","",IF(N($T77)&gt;0,AVERAGEIFS($X$5:$X$1000,$R$5:$R$1000,ROW(),$S$5:$S$1000,"Sub"),$X77))</f>
        <v/>
      </c>
    </row>
    <row r="78">
      <c r="A78" s="61">
        <f>IF(NOT((COUNTA($B78:$K78)+COUNTA($N78))&gt;0),"",IF($S78="Macro",COUNTIFS($S$5:$S78,"Macro",$P$5:$P78,$P78),IF(N($R78)=0,"?",COUNTIFS(INDEX($S$5:$S$1000,1):INDEX($S$5:$S$1000,$R78-4),"Macro",INDEX($P$5:$P$1000,1):INDEX($P$5:$P$1000,$R78-4),INDEX($P$5:$P$1000,$R78-4))&amp;"."&amp;COUNTIFS($R$5:$R78,$R78,$S$5:$S78,"Sub"))))</f>
        <v/>
      </c>
      <c r="B78" s="62" t="n"/>
      <c r="C78" s="63" t="n"/>
      <c r="D78" s="62" t="n"/>
      <c r="E78" s="64" t="n"/>
      <c r="F78" s="64" t="n"/>
      <c r="G78" s="65" t="n"/>
      <c r="H78" s="66" t="n"/>
      <c r="I78" s="66" t="n"/>
      <c r="J78" s="66" t="n"/>
      <c r="K78" s="66" t="n"/>
      <c r="L78" s="67">
        <f>IF(NOT((COUNTA($B78:$K78)+COUNTA($N78))&gt;0),"",IF(N($T78)&gt;0,$AB78,IFERROR(LOOKUP(2,1/(H78:K78&lt;&gt;""),H78:K78),0)))</f>
        <v/>
      </c>
      <c r="M78" s="61">
        <f>IF(L78="","",IF(L78&gt;=1,"Completado",IF(L78&gt;0,"En curso","Pendiente")))</f>
        <v/>
      </c>
      <c r="N78" s="62" t="n"/>
      <c r="O78" s="68">
        <f>IF(NOT((COUNTA($B78:$K78)+COUNTA($N78))&gt;0),"",IF((IF(AND($S78="Macro",$B78=""),"Macroactividad vacía"&amp;" · ","")&amp;IF(AND($B78&lt;&gt;"",$C78&lt;&gt;""),"Escriba la subactividad en otra fila, debajo de su macroactividad"&amp;" · ","")&amp;IF(AND($S78="Sub",N($R78)=0),"Subactividad sin macroactividad arriba"&amp;" · ","")&amp;IF($D78="","Sin responsable"&amp;" · ","")&amp;IF($E78="","Sin fecha de inicio"&amp;" · ","")&amp;IF($F78="","Sin fecha límite"&amp;" · ","")&amp;IF(OR(AND($E78&lt;&gt;"",NOT(ISNUMBER($E78))),AND($F78&lt;&gt;"",NOT(ISNUMBER($F78)))),"Fecha no válida"&amp;" · ","")&amp;IF(AND(ISNUMBER($E78),ISNUMBER($F78),$E78&gt;$F78),"Inicio posterior a fecha límite"&amp;" · ","")&amp;IF(AND($S78="Macro",$G78=""),"Peso vacío"&amp;" · ","")&amp;IF(AND($S78="Macro",$G78&lt;&gt;"",OR(NOT(ISNUMBER($G78)),$G78&lt;=0,$G78&gt;1)),"Peso fuera de rango"&amp;" · ","")&amp;IF(AND($S78="Sub",$G78&lt;&gt;""),"Las subactividades no llevan peso"&amp;" · ","")&amp;IF(AND($S78="Macro",ABS(SUMIFS($G$5:$G$1000,$P$5:$P$1000,$P78,$S$5:$S$1000,"Macro")-1)&gt;0.0001),"Pesos del mes suman "&amp;TEXT(SUMIFS($G$5:$G$1000,$P$5:$P$1000,$P78,$S$5:$S$1000,"Macro"),"0%")&amp;" · ","")&amp;IF(AND(N($T78)&gt;0,COUNT($H78:$K78)&gt;0),"Con subactividades: deje vacías las semanas (se calculan solas)"&amp;" · ","")&amp;IF((COUNTIF($H78:$K78,"&gt;1")+COUNTIF($H78:$K78,"&lt;0")+COUNTA($H78:$K78)-COUNT($H78:$K78))&gt;0,"Avance fuera de rango 0-100%"&amp;" · ","")&amp;IF(OR(AND($I78&lt;&gt;"",$I78&lt;$H78),AND($J78&lt;&gt;"",$J78&lt;MAX($H78:$I78)),AND($K78&lt;&gt;"",$K78&lt;MAX($H78:$J78))),"Avance semanal decreciente"&amp;" · ","")&amp;IF(AND(ISNUMBER($F78),$F78&lt;FechaRef,N($L78)&lt;1),"Vencida"&amp;" · ","")&amp;IF(AND(ObsObligatoria="Sí",ISNUMBER($F78),$F78&lt;FechaRef,N($L78)&lt;1,$N78=""),"Vencida sin observación"&amp;" · ",""))="","✔ OK","⚠ "&amp;LEFT(IF(AND($S78="Macro",$B78=""),"Macroactividad vacía"&amp;" · ","")&amp;IF(AND($B78&lt;&gt;"",$C78&lt;&gt;""),"Escriba la subactividad en otra fila, debajo de su macroactividad"&amp;" · ","")&amp;IF(AND($S78="Sub",N($R78)=0),"Subactividad sin macroactividad arriba"&amp;" · ","")&amp;IF($D78="","Sin responsable"&amp;" · ","")&amp;IF($E78="","Sin fecha de inicio"&amp;" · ","")&amp;IF($F78="","Sin fecha límite"&amp;" · ","")&amp;IF(OR(AND($E78&lt;&gt;"",NOT(ISNUMBER($E78))),AND($F78&lt;&gt;"",NOT(ISNUMBER($F78)))),"Fecha no válida"&amp;" · ","")&amp;IF(AND(ISNUMBER($E78),ISNUMBER($F78),$E78&gt;$F78),"Inicio posterior a fecha límite"&amp;" · ","")&amp;IF(AND($S78="Macro",$G78=""),"Peso vacío"&amp;" · ","")&amp;IF(AND($S78="Macro",$G78&lt;&gt;"",OR(NOT(ISNUMBER($G78)),$G78&lt;=0,$G78&gt;1)),"Peso fuera de rango"&amp;" · ","")&amp;IF(AND($S78="Sub",$G78&lt;&gt;""),"Las subactividades no llevan peso"&amp;" · ","")&amp;IF(AND($S78="Macro",ABS(SUMIFS($G$5:$G$1000,$P$5:$P$1000,$P78,$S$5:$S$1000,"Macro")-1)&gt;0.0001),"Pesos del mes suman "&amp;TEXT(SUMIFS($G$5:$G$1000,$P$5:$P$1000,$P78,$S$5:$S$1000,"Macro"),"0%")&amp;" · ","")&amp;IF(AND(N($T78)&gt;0,COUNT($H78:$K78)&gt;0),"Con subactividades: deje vacías las semanas (se calculan solas)"&amp;" · ","")&amp;IF((COUNTIF($H78:$K78,"&gt;1")+COUNTIF($H78:$K78,"&lt;0")+COUNTA($H78:$K78)-COUNT($H78:$K78))&gt;0,"Avance fuera de rango 0-100%"&amp;" · ","")&amp;IF(OR(AND($I78&lt;&gt;"",$I78&lt;$H78),AND($J78&lt;&gt;"",$J78&lt;MAX($H78:$I78)),AND($K78&lt;&gt;"",$K78&lt;MAX($H78:$J78))),"Avance semanal decreciente"&amp;" · ","")&amp;IF(AND(ISNUMBER($F78),$F78&lt;FechaRef,N($L78)&lt;1),"Vencida"&amp;" · ","")&amp;IF(AND(ObsObligatoria="Sí",ISNUMBER($F78),$F78&lt;FechaRef,N($L78)&lt;1,$N78=""),"Vencida sin observación"&amp;" · ",""),LEN(IF(AND($S78="Macro",$B78=""),"Macroactividad vacía"&amp;" · ","")&amp;IF(AND($B78&lt;&gt;"",$C78&lt;&gt;""),"Escriba la subactividad en otra fila, debajo de su macroactividad"&amp;" · ","")&amp;IF(AND($S78="Sub",N($R78)=0),"Subactividad sin macroactividad arriba"&amp;" · ","")&amp;IF($D78="","Sin responsable"&amp;" · ","")&amp;IF($E78="","Sin fecha de inicio"&amp;" · ","")&amp;IF($F78="","Sin fecha límite"&amp;" · ","")&amp;IF(OR(AND($E78&lt;&gt;"",NOT(ISNUMBER($E78))),AND($F78&lt;&gt;"",NOT(ISNUMBER($F78)))),"Fecha no válida"&amp;" · ","")&amp;IF(AND(ISNUMBER($E78),ISNUMBER($F78),$E78&gt;$F78),"Inicio posterior a fecha límite"&amp;" · ","")&amp;IF(AND($S78="Macro",$G78=""),"Peso vacío"&amp;" · ","")&amp;IF(AND($S78="Macro",$G78&lt;&gt;"",OR(NOT(ISNUMBER($G78)),$G78&lt;=0,$G78&gt;1)),"Peso fuera de rango"&amp;" · ","")&amp;IF(AND($S78="Sub",$G78&lt;&gt;""),"Las subactividades no llevan peso"&amp;" · ","")&amp;IF(AND($S78="Macro",ABS(SUMIFS($G$5:$G$1000,$P$5:$P$1000,$P78,$S$5:$S$1000,"Macro")-1)&gt;0.0001),"Pesos del mes suman "&amp;TEXT(SUMIFS($G$5:$G$1000,$P$5:$P$1000,$P78,$S$5:$S$1000,"Macro"),"0%")&amp;" · ","")&amp;IF(AND(N($T78)&gt;0,COUNT($H78:$K78)&gt;0),"Con subactividades: deje vacías las semanas (se calculan solas)"&amp;" · ","")&amp;IF((COUNTIF($H78:$K78,"&gt;1")+COUNTIF($H78:$K78,"&lt;0")+COUNTA($H78:$K78)-COUNT($H78:$K78))&gt;0,"Avance fuera de rango 0-100%"&amp;" · ","")&amp;IF(OR(AND($I78&lt;&gt;"",$I78&lt;$H78),AND($J78&lt;&gt;"",$J78&lt;MAX($H78:$I78)),AND($K78&lt;&gt;"",$K78&lt;MAX($H78:$J78))),"Avance semanal decreciente"&amp;" · ","")&amp;IF(AND(ISNUMBER($F78),$F78&lt;FechaRef,N($L78)&lt;1),"Vencida"&amp;" · ","")&amp;IF(AND(ObsObligatoria="Sí",ISNUMBER($F78),$F78&lt;FechaRef,N($L78)&lt;1,$N78=""),"Vencida sin observación"&amp;" · ",""))-3)))</f>
        <v/>
      </c>
      <c r="P78" s="69">
        <f>IF(NOT((COUNTA($B78:$K78)+COUNTA($N78))&gt;0),"",IF(AND($S78="Sub",N($R78)&gt;0),IF(ISNUMBER(INDEX($E$5:$E$1000,$R78-4)),DATE(YEAR(INDEX($E$5:$E$1000,$R78-4)),MONTH(INDEX($E$5:$E$1000,$R78-4)),1),IF(ISNUMBER(INDEX($F$5:$F$1000,$R78-4)),DATE(YEAR(INDEX($F$5:$F$1000,$R78-4)),MONTH(INDEX($F$5:$F$1000,$R78-4)),1),MesCiclo)),IF(ISNUMBER($E78),DATE(YEAR($E78),MONTH($E78),1),IF(ISNUMBER($F78),DATE(YEAR($F78),MONTH($F78),1),MesCiclo))))</f>
        <v/>
      </c>
      <c r="Q78" s="70">
        <f>IF(OR($P78="",$P78&lt;&gt;MesCiclo),"",COUNTIF($P$5:$P78,MesCiclo))</f>
        <v/>
      </c>
      <c r="R78" s="70">
        <f>IF($S78="","",IF($S78="Macro",ROW(),IFERROR(LOOKUP(2,1/($S$5:$S78="Macro"),ROW($S$5:$S78)),0)))</f>
        <v/>
      </c>
      <c r="S78" s="70">
        <f>IF(NOT((COUNTA($B78:$K78)+COUNTA($N78))&gt;0),"",IF($B78&lt;&gt;"","Macro",IF($C78&lt;&gt;"","Sub","Macro")))</f>
        <v/>
      </c>
      <c r="T78" s="70">
        <f>IF($S78="Macro",COUNTIFS($R$5:$R$1000,ROW(),$S$5:$S$1000,"Sub"),"")</f>
        <v/>
      </c>
      <c r="U78" s="70">
        <f>IF($S78="","",IF(ISNUMBER($H78),$H78,0))</f>
        <v/>
      </c>
      <c r="V78" s="70">
        <f>IF($S78="","",IF(ISNUMBER($I78),$I78,$U78))</f>
        <v/>
      </c>
      <c r="W78" s="70">
        <f>IF($S78="","",IF(ISNUMBER($J78),$J78,$V78))</f>
        <v/>
      </c>
      <c r="X78" s="70">
        <f>IF($S78="","",IF(ISNUMBER($K78),$K78,$W78))</f>
        <v/>
      </c>
      <c r="Y78" s="70">
        <f>IF($S78="","",IF(N($T78)&gt;0,AVERAGEIFS($U$5:$U$1000,$R$5:$R$1000,ROW(),$S$5:$S$1000,"Sub"),$U78))</f>
        <v/>
      </c>
      <c r="Z78" s="70">
        <f>IF($S78="","",IF(N($T78)&gt;0,AVERAGEIFS($V$5:$V$1000,$R$5:$R$1000,ROW(),$S$5:$S$1000,"Sub"),$V78))</f>
        <v/>
      </c>
      <c r="AA78" s="70">
        <f>IF($S78="","",IF(N($T78)&gt;0,AVERAGEIFS($W$5:$W$1000,$R$5:$R$1000,ROW(),$S$5:$S$1000,"Sub"),$W78))</f>
        <v/>
      </c>
      <c r="AB78" s="70">
        <f>IF($S78="","",IF(N($T78)&gt;0,AVERAGEIFS($X$5:$X$1000,$R$5:$R$1000,ROW(),$S$5:$S$1000,"Sub"),$X78))</f>
        <v/>
      </c>
    </row>
    <row r="79">
      <c r="A79" s="61">
        <f>IF(NOT((COUNTA($B79:$K79)+COUNTA($N79))&gt;0),"",IF($S79="Macro",COUNTIFS($S$5:$S79,"Macro",$P$5:$P79,$P79),IF(N($R79)=0,"?",COUNTIFS(INDEX($S$5:$S$1000,1):INDEX($S$5:$S$1000,$R79-4),"Macro",INDEX($P$5:$P$1000,1):INDEX($P$5:$P$1000,$R79-4),INDEX($P$5:$P$1000,$R79-4))&amp;"."&amp;COUNTIFS($R$5:$R79,$R79,$S$5:$S79,"Sub"))))</f>
        <v/>
      </c>
      <c r="B79" s="62" t="n"/>
      <c r="C79" s="63" t="n"/>
      <c r="D79" s="62" t="n"/>
      <c r="E79" s="64" t="n"/>
      <c r="F79" s="64" t="n"/>
      <c r="G79" s="65" t="n"/>
      <c r="H79" s="66" t="n"/>
      <c r="I79" s="66" t="n"/>
      <c r="J79" s="66" t="n"/>
      <c r="K79" s="66" t="n"/>
      <c r="L79" s="67">
        <f>IF(NOT((COUNTA($B79:$K79)+COUNTA($N79))&gt;0),"",IF(N($T79)&gt;0,$AB79,IFERROR(LOOKUP(2,1/(H79:K79&lt;&gt;""),H79:K79),0)))</f>
        <v/>
      </c>
      <c r="M79" s="61">
        <f>IF(L79="","",IF(L79&gt;=1,"Completado",IF(L79&gt;0,"En curso","Pendiente")))</f>
        <v/>
      </c>
      <c r="N79" s="62" t="n"/>
      <c r="O79" s="68">
        <f>IF(NOT((COUNTA($B79:$K79)+COUNTA($N79))&gt;0),"",IF((IF(AND($S79="Macro",$B79=""),"Macroactividad vacía"&amp;" · ","")&amp;IF(AND($B79&lt;&gt;"",$C79&lt;&gt;""),"Escriba la subactividad en otra fila, debajo de su macroactividad"&amp;" · ","")&amp;IF(AND($S79="Sub",N($R79)=0),"Subactividad sin macroactividad arriba"&amp;" · ","")&amp;IF($D79="","Sin responsable"&amp;" · ","")&amp;IF($E79="","Sin fecha de inicio"&amp;" · ","")&amp;IF($F79="","Sin fecha límite"&amp;" · ","")&amp;IF(OR(AND($E79&lt;&gt;"",NOT(ISNUMBER($E79))),AND($F79&lt;&gt;"",NOT(ISNUMBER($F79)))),"Fecha no válida"&amp;" · ","")&amp;IF(AND(ISNUMBER($E79),ISNUMBER($F79),$E79&gt;$F79),"Inicio posterior a fecha límite"&amp;" · ","")&amp;IF(AND($S79="Macro",$G79=""),"Peso vacío"&amp;" · ","")&amp;IF(AND($S79="Macro",$G79&lt;&gt;"",OR(NOT(ISNUMBER($G79)),$G79&lt;=0,$G79&gt;1)),"Peso fuera de rango"&amp;" · ","")&amp;IF(AND($S79="Sub",$G79&lt;&gt;""),"Las subactividades no llevan peso"&amp;" · ","")&amp;IF(AND($S79="Macro",ABS(SUMIFS($G$5:$G$1000,$P$5:$P$1000,$P79,$S$5:$S$1000,"Macro")-1)&gt;0.0001),"Pesos del mes suman "&amp;TEXT(SUMIFS($G$5:$G$1000,$P$5:$P$1000,$P79,$S$5:$S$1000,"Macro"),"0%")&amp;" · ","")&amp;IF(AND(N($T79)&gt;0,COUNT($H79:$K79)&gt;0),"Con subactividades: deje vacías las semanas (se calculan solas)"&amp;" · ","")&amp;IF((COUNTIF($H79:$K79,"&gt;1")+COUNTIF($H79:$K79,"&lt;0")+COUNTA($H79:$K79)-COUNT($H79:$K79))&gt;0,"Avance fuera de rango 0-100%"&amp;" · ","")&amp;IF(OR(AND($I79&lt;&gt;"",$I79&lt;$H79),AND($J79&lt;&gt;"",$J79&lt;MAX($H79:$I79)),AND($K79&lt;&gt;"",$K79&lt;MAX($H79:$J79))),"Avance semanal decreciente"&amp;" · ","")&amp;IF(AND(ISNUMBER($F79),$F79&lt;FechaRef,N($L79)&lt;1),"Vencida"&amp;" · ","")&amp;IF(AND(ObsObligatoria="Sí",ISNUMBER($F79),$F79&lt;FechaRef,N($L79)&lt;1,$N79=""),"Vencida sin observación"&amp;" · ",""))="","✔ OK","⚠ "&amp;LEFT(IF(AND($S79="Macro",$B79=""),"Macroactividad vacía"&amp;" · ","")&amp;IF(AND($B79&lt;&gt;"",$C79&lt;&gt;""),"Escriba la subactividad en otra fila, debajo de su macroactividad"&amp;" · ","")&amp;IF(AND($S79="Sub",N($R79)=0),"Subactividad sin macroactividad arriba"&amp;" · ","")&amp;IF($D79="","Sin responsable"&amp;" · ","")&amp;IF($E79="","Sin fecha de inicio"&amp;" · ","")&amp;IF($F79="","Sin fecha límite"&amp;" · ","")&amp;IF(OR(AND($E79&lt;&gt;"",NOT(ISNUMBER($E79))),AND($F79&lt;&gt;"",NOT(ISNUMBER($F79)))),"Fecha no válida"&amp;" · ","")&amp;IF(AND(ISNUMBER($E79),ISNUMBER($F79),$E79&gt;$F79),"Inicio posterior a fecha límite"&amp;" · ","")&amp;IF(AND($S79="Macro",$G79=""),"Peso vacío"&amp;" · ","")&amp;IF(AND($S79="Macro",$G79&lt;&gt;"",OR(NOT(ISNUMBER($G79)),$G79&lt;=0,$G79&gt;1)),"Peso fuera de rango"&amp;" · ","")&amp;IF(AND($S79="Sub",$G79&lt;&gt;""),"Las subactividades no llevan peso"&amp;" · ","")&amp;IF(AND($S79="Macro",ABS(SUMIFS($G$5:$G$1000,$P$5:$P$1000,$P79,$S$5:$S$1000,"Macro")-1)&gt;0.0001),"Pesos del mes suman "&amp;TEXT(SUMIFS($G$5:$G$1000,$P$5:$P$1000,$P79,$S$5:$S$1000,"Macro"),"0%")&amp;" · ","")&amp;IF(AND(N($T79)&gt;0,COUNT($H79:$K79)&gt;0),"Con subactividades: deje vacías las semanas (se calculan solas)"&amp;" · ","")&amp;IF((COUNTIF($H79:$K79,"&gt;1")+COUNTIF($H79:$K79,"&lt;0")+COUNTA($H79:$K79)-COUNT($H79:$K79))&gt;0,"Avance fuera de rango 0-100%"&amp;" · ","")&amp;IF(OR(AND($I79&lt;&gt;"",$I79&lt;$H79),AND($J79&lt;&gt;"",$J79&lt;MAX($H79:$I79)),AND($K79&lt;&gt;"",$K79&lt;MAX($H79:$J79))),"Avance semanal decreciente"&amp;" · ","")&amp;IF(AND(ISNUMBER($F79),$F79&lt;FechaRef,N($L79)&lt;1),"Vencida"&amp;" · ","")&amp;IF(AND(ObsObligatoria="Sí",ISNUMBER($F79),$F79&lt;FechaRef,N($L79)&lt;1,$N79=""),"Vencida sin observación"&amp;" · ",""),LEN(IF(AND($S79="Macro",$B79=""),"Macroactividad vacía"&amp;" · ","")&amp;IF(AND($B79&lt;&gt;"",$C79&lt;&gt;""),"Escriba la subactividad en otra fila, debajo de su macroactividad"&amp;" · ","")&amp;IF(AND($S79="Sub",N($R79)=0),"Subactividad sin macroactividad arriba"&amp;" · ","")&amp;IF($D79="","Sin responsable"&amp;" · ","")&amp;IF($E79="","Sin fecha de inicio"&amp;" · ","")&amp;IF($F79="","Sin fecha límite"&amp;" · ","")&amp;IF(OR(AND($E79&lt;&gt;"",NOT(ISNUMBER($E79))),AND($F79&lt;&gt;"",NOT(ISNUMBER($F79)))),"Fecha no válida"&amp;" · ","")&amp;IF(AND(ISNUMBER($E79),ISNUMBER($F79),$E79&gt;$F79),"Inicio posterior a fecha límite"&amp;" · ","")&amp;IF(AND($S79="Macro",$G79=""),"Peso vacío"&amp;" · ","")&amp;IF(AND($S79="Macro",$G79&lt;&gt;"",OR(NOT(ISNUMBER($G79)),$G79&lt;=0,$G79&gt;1)),"Peso fuera de rango"&amp;" · ","")&amp;IF(AND($S79="Sub",$G79&lt;&gt;""),"Las subactividades no llevan peso"&amp;" · ","")&amp;IF(AND($S79="Macro",ABS(SUMIFS($G$5:$G$1000,$P$5:$P$1000,$P79,$S$5:$S$1000,"Macro")-1)&gt;0.0001),"Pesos del mes suman "&amp;TEXT(SUMIFS($G$5:$G$1000,$P$5:$P$1000,$P79,$S$5:$S$1000,"Macro"),"0%")&amp;" · ","")&amp;IF(AND(N($T79)&gt;0,COUNT($H79:$K79)&gt;0),"Con subactividades: deje vacías las semanas (se calculan solas)"&amp;" · ","")&amp;IF((COUNTIF($H79:$K79,"&gt;1")+COUNTIF($H79:$K79,"&lt;0")+COUNTA($H79:$K79)-COUNT($H79:$K79))&gt;0,"Avance fuera de rango 0-100%"&amp;" · ","")&amp;IF(OR(AND($I79&lt;&gt;"",$I79&lt;$H79),AND($J79&lt;&gt;"",$J79&lt;MAX($H79:$I79)),AND($K79&lt;&gt;"",$K79&lt;MAX($H79:$J79))),"Avance semanal decreciente"&amp;" · ","")&amp;IF(AND(ISNUMBER($F79),$F79&lt;FechaRef,N($L79)&lt;1),"Vencida"&amp;" · ","")&amp;IF(AND(ObsObligatoria="Sí",ISNUMBER($F79),$F79&lt;FechaRef,N($L79)&lt;1,$N79=""),"Vencida sin observación"&amp;" · ",""))-3)))</f>
        <v/>
      </c>
      <c r="P79" s="69">
        <f>IF(NOT((COUNTA($B79:$K79)+COUNTA($N79))&gt;0),"",IF(AND($S79="Sub",N($R79)&gt;0),IF(ISNUMBER(INDEX($E$5:$E$1000,$R79-4)),DATE(YEAR(INDEX($E$5:$E$1000,$R79-4)),MONTH(INDEX($E$5:$E$1000,$R79-4)),1),IF(ISNUMBER(INDEX($F$5:$F$1000,$R79-4)),DATE(YEAR(INDEX($F$5:$F$1000,$R79-4)),MONTH(INDEX($F$5:$F$1000,$R79-4)),1),MesCiclo)),IF(ISNUMBER($E79),DATE(YEAR($E79),MONTH($E79),1),IF(ISNUMBER($F79),DATE(YEAR($F79),MONTH($F79),1),MesCiclo))))</f>
        <v/>
      </c>
      <c r="Q79" s="70">
        <f>IF(OR($P79="",$P79&lt;&gt;MesCiclo),"",COUNTIF($P$5:$P79,MesCiclo))</f>
        <v/>
      </c>
      <c r="R79" s="70">
        <f>IF($S79="","",IF($S79="Macro",ROW(),IFERROR(LOOKUP(2,1/($S$5:$S79="Macro"),ROW($S$5:$S79)),0)))</f>
        <v/>
      </c>
      <c r="S79" s="70">
        <f>IF(NOT((COUNTA($B79:$K79)+COUNTA($N79))&gt;0),"",IF($B79&lt;&gt;"","Macro",IF($C79&lt;&gt;"","Sub","Macro")))</f>
        <v/>
      </c>
      <c r="T79" s="70">
        <f>IF($S79="Macro",COUNTIFS($R$5:$R$1000,ROW(),$S$5:$S$1000,"Sub"),"")</f>
        <v/>
      </c>
      <c r="U79" s="70">
        <f>IF($S79="","",IF(ISNUMBER($H79),$H79,0))</f>
        <v/>
      </c>
      <c r="V79" s="70">
        <f>IF($S79="","",IF(ISNUMBER($I79),$I79,$U79))</f>
        <v/>
      </c>
      <c r="W79" s="70">
        <f>IF($S79="","",IF(ISNUMBER($J79),$J79,$V79))</f>
        <v/>
      </c>
      <c r="X79" s="70">
        <f>IF($S79="","",IF(ISNUMBER($K79),$K79,$W79))</f>
        <v/>
      </c>
      <c r="Y79" s="70">
        <f>IF($S79="","",IF(N($T79)&gt;0,AVERAGEIFS($U$5:$U$1000,$R$5:$R$1000,ROW(),$S$5:$S$1000,"Sub"),$U79))</f>
        <v/>
      </c>
      <c r="Z79" s="70">
        <f>IF($S79="","",IF(N($T79)&gt;0,AVERAGEIFS($V$5:$V$1000,$R$5:$R$1000,ROW(),$S$5:$S$1000,"Sub"),$V79))</f>
        <v/>
      </c>
      <c r="AA79" s="70">
        <f>IF($S79="","",IF(N($T79)&gt;0,AVERAGEIFS($W$5:$W$1000,$R$5:$R$1000,ROW(),$S$5:$S$1000,"Sub"),$W79))</f>
        <v/>
      </c>
      <c r="AB79" s="70">
        <f>IF($S79="","",IF(N($T79)&gt;0,AVERAGEIFS($X$5:$X$1000,$R$5:$R$1000,ROW(),$S$5:$S$1000,"Sub"),$X79))</f>
        <v/>
      </c>
    </row>
    <row r="80">
      <c r="A80" s="61">
        <f>IF(NOT((COUNTA($B80:$K80)+COUNTA($N80))&gt;0),"",IF($S80="Macro",COUNTIFS($S$5:$S80,"Macro",$P$5:$P80,$P80),IF(N($R80)=0,"?",COUNTIFS(INDEX($S$5:$S$1000,1):INDEX($S$5:$S$1000,$R80-4),"Macro",INDEX($P$5:$P$1000,1):INDEX($P$5:$P$1000,$R80-4),INDEX($P$5:$P$1000,$R80-4))&amp;"."&amp;COUNTIFS($R$5:$R80,$R80,$S$5:$S80,"Sub"))))</f>
        <v/>
      </c>
      <c r="B80" s="62" t="n"/>
      <c r="C80" s="63" t="n"/>
      <c r="D80" s="62" t="n"/>
      <c r="E80" s="64" t="n"/>
      <c r="F80" s="64" t="n"/>
      <c r="G80" s="65" t="n"/>
      <c r="H80" s="66" t="n"/>
      <c r="I80" s="66" t="n"/>
      <c r="J80" s="66" t="n"/>
      <c r="K80" s="66" t="n"/>
      <c r="L80" s="67">
        <f>IF(NOT((COUNTA($B80:$K80)+COUNTA($N80))&gt;0),"",IF(N($T80)&gt;0,$AB80,IFERROR(LOOKUP(2,1/(H80:K80&lt;&gt;""),H80:K80),0)))</f>
        <v/>
      </c>
      <c r="M80" s="61">
        <f>IF(L80="","",IF(L80&gt;=1,"Completado",IF(L80&gt;0,"En curso","Pendiente")))</f>
        <v/>
      </c>
      <c r="N80" s="62" t="n"/>
      <c r="O80" s="68">
        <f>IF(NOT((COUNTA($B80:$K80)+COUNTA($N80))&gt;0),"",IF((IF(AND($S80="Macro",$B80=""),"Macroactividad vacía"&amp;" · ","")&amp;IF(AND($B80&lt;&gt;"",$C80&lt;&gt;""),"Escriba la subactividad en otra fila, debajo de su macroactividad"&amp;" · ","")&amp;IF(AND($S80="Sub",N($R80)=0),"Subactividad sin macroactividad arriba"&amp;" · ","")&amp;IF($D80="","Sin responsable"&amp;" · ","")&amp;IF($E80="","Sin fecha de inicio"&amp;" · ","")&amp;IF($F80="","Sin fecha límite"&amp;" · ","")&amp;IF(OR(AND($E80&lt;&gt;"",NOT(ISNUMBER($E80))),AND($F80&lt;&gt;"",NOT(ISNUMBER($F80)))),"Fecha no válida"&amp;" · ","")&amp;IF(AND(ISNUMBER($E80),ISNUMBER($F80),$E80&gt;$F80),"Inicio posterior a fecha límite"&amp;" · ","")&amp;IF(AND($S80="Macro",$G80=""),"Peso vacío"&amp;" · ","")&amp;IF(AND($S80="Macro",$G80&lt;&gt;"",OR(NOT(ISNUMBER($G80)),$G80&lt;=0,$G80&gt;1)),"Peso fuera de rango"&amp;" · ","")&amp;IF(AND($S80="Sub",$G80&lt;&gt;""),"Las subactividades no llevan peso"&amp;" · ","")&amp;IF(AND($S80="Macro",ABS(SUMIFS($G$5:$G$1000,$P$5:$P$1000,$P80,$S$5:$S$1000,"Macro")-1)&gt;0.0001),"Pesos del mes suman "&amp;TEXT(SUMIFS($G$5:$G$1000,$P$5:$P$1000,$P80,$S$5:$S$1000,"Macro"),"0%")&amp;" · ","")&amp;IF(AND(N($T80)&gt;0,COUNT($H80:$K80)&gt;0),"Con subactividades: deje vacías las semanas (se calculan solas)"&amp;" · ","")&amp;IF((COUNTIF($H80:$K80,"&gt;1")+COUNTIF($H80:$K80,"&lt;0")+COUNTA($H80:$K80)-COUNT($H80:$K80))&gt;0,"Avance fuera de rango 0-100%"&amp;" · ","")&amp;IF(OR(AND($I80&lt;&gt;"",$I80&lt;$H80),AND($J80&lt;&gt;"",$J80&lt;MAX($H80:$I80)),AND($K80&lt;&gt;"",$K80&lt;MAX($H80:$J80))),"Avance semanal decreciente"&amp;" · ","")&amp;IF(AND(ISNUMBER($F80),$F80&lt;FechaRef,N($L80)&lt;1),"Vencida"&amp;" · ","")&amp;IF(AND(ObsObligatoria="Sí",ISNUMBER($F80),$F80&lt;FechaRef,N($L80)&lt;1,$N80=""),"Vencida sin observación"&amp;" · ",""))="","✔ OK","⚠ "&amp;LEFT(IF(AND($S80="Macro",$B80=""),"Macroactividad vacía"&amp;" · ","")&amp;IF(AND($B80&lt;&gt;"",$C80&lt;&gt;""),"Escriba la subactividad en otra fila, debajo de su macroactividad"&amp;" · ","")&amp;IF(AND($S80="Sub",N($R80)=0),"Subactividad sin macroactividad arriba"&amp;" · ","")&amp;IF($D80="","Sin responsable"&amp;" · ","")&amp;IF($E80="","Sin fecha de inicio"&amp;" · ","")&amp;IF($F80="","Sin fecha límite"&amp;" · ","")&amp;IF(OR(AND($E80&lt;&gt;"",NOT(ISNUMBER($E80))),AND($F80&lt;&gt;"",NOT(ISNUMBER($F80)))),"Fecha no válida"&amp;" · ","")&amp;IF(AND(ISNUMBER($E80),ISNUMBER($F80),$E80&gt;$F80),"Inicio posterior a fecha límite"&amp;" · ","")&amp;IF(AND($S80="Macro",$G80=""),"Peso vacío"&amp;" · ","")&amp;IF(AND($S80="Macro",$G80&lt;&gt;"",OR(NOT(ISNUMBER($G80)),$G80&lt;=0,$G80&gt;1)),"Peso fuera de rango"&amp;" · ","")&amp;IF(AND($S80="Sub",$G80&lt;&gt;""),"Las subactividades no llevan peso"&amp;" · ","")&amp;IF(AND($S80="Macro",ABS(SUMIFS($G$5:$G$1000,$P$5:$P$1000,$P80,$S$5:$S$1000,"Macro")-1)&gt;0.0001),"Pesos del mes suman "&amp;TEXT(SUMIFS($G$5:$G$1000,$P$5:$P$1000,$P80,$S$5:$S$1000,"Macro"),"0%")&amp;" · ","")&amp;IF(AND(N($T80)&gt;0,COUNT($H80:$K80)&gt;0),"Con subactividades: deje vacías las semanas (se calculan solas)"&amp;" · ","")&amp;IF((COUNTIF($H80:$K80,"&gt;1")+COUNTIF($H80:$K80,"&lt;0")+COUNTA($H80:$K80)-COUNT($H80:$K80))&gt;0,"Avance fuera de rango 0-100%"&amp;" · ","")&amp;IF(OR(AND($I80&lt;&gt;"",$I80&lt;$H80),AND($J80&lt;&gt;"",$J80&lt;MAX($H80:$I80)),AND($K80&lt;&gt;"",$K80&lt;MAX($H80:$J80))),"Avance semanal decreciente"&amp;" · ","")&amp;IF(AND(ISNUMBER($F80),$F80&lt;FechaRef,N($L80)&lt;1),"Vencida"&amp;" · ","")&amp;IF(AND(ObsObligatoria="Sí",ISNUMBER($F80),$F80&lt;FechaRef,N($L80)&lt;1,$N80=""),"Vencida sin observación"&amp;" · ",""),LEN(IF(AND($S80="Macro",$B80=""),"Macroactividad vacía"&amp;" · ","")&amp;IF(AND($B80&lt;&gt;"",$C80&lt;&gt;""),"Escriba la subactividad en otra fila, debajo de su macroactividad"&amp;" · ","")&amp;IF(AND($S80="Sub",N($R80)=0),"Subactividad sin macroactividad arriba"&amp;" · ","")&amp;IF($D80="","Sin responsable"&amp;" · ","")&amp;IF($E80="","Sin fecha de inicio"&amp;" · ","")&amp;IF($F80="","Sin fecha límite"&amp;" · ","")&amp;IF(OR(AND($E80&lt;&gt;"",NOT(ISNUMBER($E80))),AND($F80&lt;&gt;"",NOT(ISNUMBER($F80)))),"Fecha no válida"&amp;" · ","")&amp;IF(AND(ISNUMBER($E80),ISNUMBER($F80),$E80&gt;$F80),"Inicio posterior a fecha límite"&amp;" · ","")&amp;IF(AND($S80="Macro",$G80=""),"Peso vacío"&amp;" · ","")&amp;IF(AND($S80="Macro",$G80&lt;&gt;"",OR(NOT(ISNUMBER($G80)),$G80&lt;=0,$G80&gt;1)),"Peso fuera de rango"&amp;" · ","")&amp;IF(AND($S80="Sub",$G80&lt;&gt;""),"Las subactividades no llevan peso"&amp;" · ","")&amp;IF(AND($S80="Macro",ABS(SUMIFS($G$5:$G$1000,$P$5:$P$1000,$P80,$S$5:$S$1000,"Macro")-1)&gt;0.0001),"Pesos del mes suman "&amp;TEXT(SUMIFS($G$5:$G$1000,$P$5:$P$1000,$P80,$S$5:$S$1000,"Macro"),"0%")&amp;" · ","")&amp;IF(AND(N($T80)&gt;0,COUNT($H80:$K80)&gt;0),"Con subactividades: deje vacías las semanas (se calculan solas)"&amp;" · ","")&amp;IF((COUNTIF($H80:$K80,"&gt;1")+COUNTIF($H80:$K80,"&lt;0")+COUNTA($H80:$K80)-COUNT($H80:$K80))&gt;0,"Avance fuera de rango 0-100%"&amp;" · ","")&amp;IF(OR(AND($I80&lt;&gt;"",$I80&lt;$H80),AND($J80&lt;&gt;"",$J80&lt;MAX($H80:$I80)),AND($K80&lt;&gt;"",$K80&lt;MAX($H80:$J80))),"Avance semanal decreciente"&amp;" · ","")&amp;IF(AND(ISNUMBER($F80),$F80&lt;FechaRef,N($L80)&lt;1),"Vencida"&amp;" · ","")&amp;IF(AND(ObsObligatoria="Sí",ISNUMBER($F80),$F80&lt;FechaRef,N($L80)&lt;1,$N80=""),"Vencida sin observación"&amp;" · ",""))-3)))</f>
        <v/>
      </c>
      <c r="P80" s="69">
        <f>IF(NOT((COUNTA($B80:$K80)+COUNTA($N80))&gt;0),"",IF(AND($S80="Sub",N($R80)&gt;0),IF(ISNUMBER(INDEX($E$5:$E$1000,$R80-4)),DATE(YEAR(INDEX($E$5:$E$1000,$R80-4)),MONTH(INDEX($E$5:$E$1000,$R80-4)),1),IF(ISNUMBER(INDEX($F$5:$F$1000,$R80-4)),DATE(YEAR(INDEX($F$5:$F$1000,$R80-4)),MONTH(INDEX($F$5:$F$1000,$R80-4)),1),MesCiclo)),IF(ISNUMBER($E80),DATE(YEAR($E80),MONTH($E80),1),IF(ISNUMBER($F80),DATE(YEAR($F80),MONTH($F80),1),MesCiclo))))</f>
        <v/>
      </c>
      <c r="Q80" s="70">
        <f>IF(OR($P80="",$P80&lt;&gt;MesCiclo),"",COUNTIF($P$5:$P80,MesCiclo))</f>
        <v/>
      </c>
      <c r="R80" s="70">
        <f>IF($S80="","",IF($S80="Macro",ROW(),IFERROR(LOOKUP(2,1/($S$5:$S80="Macro"),ROW($S$5:$S80)),0)))</f>
        <v/>
      </c>
      <c r="S80" s="70">
        <f>IF(NOT((COUNTA($B80:$K80)+COUNTA($N80))&gt;0),"",IF($B80&lt;&gt;"","Macro",IF($C80&lt;&gt;"","Sub","Macro")))</f>
        <v/>
      </c>
      <c r="T80" s="70">
        <f>IF($S80="Macro",COUNTIFS($R$5:$R$1000,ROW(),$S$5:$S$1000,"Sub"),"")</f>
        <v/>
      </c>
      <c r="U80" s="70">
        <f>IF($S80="","",IF(ISNUMBER($H80),$H80,0))</f>
        <v/>
      </c>
      <c r="V80" s="70">
        <f>IF($S80="","",IF(ISNUMBER($I80),$I80,$U80))</f>
        <v/>
      </c>
      <c r="W80" s="70">
        <f>IF($S80="","",IF(ISNUMBER($J80),$J80,$V80))</f>
        <v/>
      </c>
      <c r="X80" s="70">
        <f>IF($S80="","",IF(ISNUMBER($K80),$K80,$W80))</f>
        <v/>
      </c>
      <c r="Y80" s="70">
        <f>IF($S80="","",IF(N($T80)&gt;0,AVERAGEIFS($U$5:$U$1000,$R$5:$R$1000,ROW(),$S$5:$S$1000,"Sub"),$U80))</f>
        <v/>
      </c>
      <c r="Z80" s="70">
        <f>IF($S80="","",IF(N($T80)&gt;0,AVERAGEIFS($V$5:$V$1000,$R$5:$R$1000,ROW(),$S$5:$S$1000,"Sub"),$V80))</f>
        <v/>
      </c>
      <c r="AA80" s="70">
        <f>IF($S80="","",IF(N($T80)&gt;0,AVERAGEIFS($W$5:$W$1000,$R$5:$R$1000,ROW(),$S$5:$S$1000,"Sub"),$W80))</f>
        <v/>
      </c>
      <c r="AB80" s="70">
        <f>IF($S80="","",IF(N($T80)&gt;0,AVERAGEIFS($X$5:$X$1000,$R$5:$R$1000,ROW(),$S$5:$S$1000,"Sub"),$X80))</f>
        <v/>
      </c>
    </row>
    <row r="81">
      <c r="A81" s="61">
        <f>IF(NOT((COUNTA($B81:$K81)+COUNTA($N81))&gt;0),"",IF($S81="Macro",COUNTIFS($S$5:$S81,"Macro",$P$5:$P81,$P81),IF(N($R81)=0,"?",COUNTIFS(INDEX($S$5:$S$1000,1):INDEX($S$5:$S$1000,$R81-4),"Macro",INDEX($P$5:$P$1000,1):INDEX($P$5:$P$1000,$R81-4),INDEX($P$5:$P$1000,$R81-4))&amp;"."&amp;COUNTIFS($R$5:$R81,$R81,$S$5:$S81,"Sub"))))</f>
        <v/>
      </c>
      <c r="B81" s="62" t="n"/>
      <c r="C81" s="63" t="n"/>
      <c r="D81" s="62" t="n"/>
      <c r="E81" s="64" t="n"/>
      <c r="F81" s="64" t="n"/>
      <c r="G81" s="65" t="n"/>
      <c r="H81" s="66" t="n"/>
      <c r="I81" s="66" t="n"/>
      <c r="J81" s="66" t="n"/>
      <c r="K81" s="66" t="n"/>
      <c r="L81" s="67">
        <f>IF(NOT((COUNTA($B81:$K81)+COUNTA($N81))&gt;0),"",IF(N($T81)&gt;0,$AB81,IFERROR(LOOKUP(2,1/(H81:K81&lt;&gt;""),H81:K81),0)))</f>
        <v/>
      </c>
      <c r="M81" s="61">
        <f>IF(L81="","",IF(L81&gt;=1,"Completado",IF(L81&gt;0,"En curso","Pendiente")))</f>
        <v/>
      </c>
      <c r="N81" s="62" t="n"/>
      <c r="O81" s="68">
        <f>IF(NOT((COUNTA($B81:$K81)+COUNTA($N81))&gt;0),"",IF((IF(AND($S81="Macro",$B81=""),"Macroactividad vacía"&amp;" · ","")&amp;IF(AND($B81&lt;&gt;"",$C81&lt;&gt;""),"Escriba la subactividad en otra fila, debajo de su macroactividad"&amp;" · ","")&amp;IF(AND($S81="Sub",N($R81)=0),"Subactividad sin macroactividad arriba"&amp;" · ","")&amp;IF($D81="","Sin responsable"&amp;" · ","")&amp;IF($E81="","Sin fecha de inicio"&amp;" · ","")&amp;IF($F81="","Sin fecha límite"&amp;" · ","")&amp;IF(OR(AND($E81&lt;&gt;"",NOT(ISNUMBER($E81))),AND($F81&lt;&gt;"",NOT(ISNUMBER($F81)))),"Fecha no válida"&amp;" · ","")&amp;IF(AND(ISNUMBER($E81),ISNUMBER($F81),$E81&gt;$F81),"Inicio posterior a fecha límite"&amp;" · ","")&amp;IF(AND($S81="Macro",$G81=""),"Peso vacío"&amp;" · ","")&amp;IF(AND($S81="Macro",$G81&lt;&gt;"",OR(NOT(ISNUMBER($G81)),$G81&lt;=0,$G81&gt;1)),"Peso fuera de rango"&amp;" · ","")&amp;IF(AND($S81="Sub",$G81&lt;&gt;""),"Las subactividades no llevan peso"&amp;" · ","")&amp;IF(AND($S81="Macro",ABS(SUMIFS($G$5:$G$1000,$P$5:$P$1000,$P81,$S$5:$S$1000,"Macro")-1)&gt;0.0001),"Pesos del mes suman "&amp;TEXT(SUMIFS($G$5:$G$1000,$P$5:$P$1000,$P81,$S$5:$S$1000,"Macro"),"0%")&amp;" · ","")&amp;IF(AND(N($T81)&gt;0,COUNT($H81:$K81)&gt;0),"Con subactividades: deje vacías las semanas (se calculan solas)"&amp;" · ","")&amp;IF((COUNTIF($H81:$K81,"&gt;1")+COUNTIF($H81:$K81,"&lt;0")+COUNTA($H81:$K81)-COUNT($H81:$K81))&gt;0,"Avance fuera de rango 0-100%"&amp;" · ","")&amp;IF(OR(AND($I81&lt;&gt;"",$I81&lt;$H81),AND($J81&lt;&gt;"",$J81&lt;MAX($H81:$I81)),AND($K81&lt;&gt;"",$K81&lt;MAX($H81:$J81))),"Avance semanal decreciente"&amp;" · ","")&amp;IF(AND(ISNUMBER($F81),$F81&lt;FechaRef,N($L81)&lt;1),"Vencida"&amp;" · ","")&amp;IF(AND(ObsObligatoria="Sí",ISNUMBER($F81),$F81&lt;FechaRef,N($L81)&lt;1,$N81=""),"Vencida sin observación"&amp;" · ",""))="","✔ OK","⚠ "&amp;LEFT(IF(AND($S81="Macro",$B81=""),"Macroactividad vacía"&amp;" · ","")&amp;IF(AND($B81&lt;&gt;"",$C81&lt;&gt;""),"Escriba la subactividad en otra fila, debajo de su macroactividad"&amp;" · ","")&amp;IF(AND($S81="Sub",N($R81)=0),"Subactividad sin macroactividad arriba"&amp;" · ","")&amp;IF($D81="","Sin responsable"&amp;" · ","")&amp;IF($E81="","Sin fecha de inicio"&amp;" · ","")&amp;IF($F81="","Sin fecha límite"&amp;" · ","")&amp;IF(OR(AND($E81&lt;&gt;"",NOT(ISNUMBER($E81))),AND($F81&lt;&gt;"",NOT(ISNUMBER($F81)))),"Fecha no válida"&amp;" · ","")&amp;IF(AND(ISNUMBER($E81),ISNUMBER($F81),$E81&gt;$F81),"Inicio posterior a fecha límite"&amp;" · ","")&amp;IF(AND($S81="Macro",$G81=""),"Peso vacío"&amp;" · ","")&amp;IF(AND($S81="Macro",$G81&lt;&gt;"",OR(NOT(ISNUMBER($G81)),$G81&lt;=0,$G81&gt;1)),"Peso fuera de rango"&amp;" · ","")&amp;IF(AND($S81="Sub",$G81&lt;&gt;""),"Las subactividades no llevan peso"&amp;" · ","")&amp;IF(AND($S81="Macro",ABS(SUMIFS($G$5:$G$1000,$P$5:$P$1000,$P81,$S$5:$S$1000,"Macro")-1)&gt;0.0001),"Pesos del mes suman "&amp;TEXT(SUMIFS($G$5:$G$1000,$P$5:$P$1000,$P81,$S$5:$S$1000,"Macro"),"0%")&amp;" · ","")&amp;IF(AND(N($T81)&gt;0,COUNT($H81:$K81)&gt;0),"Con subactividades: deje vacías las semanas (se calculan solas)"&amp;" · ","")&amp;IF((COUNTIF($H81:$K81,"&gt;1")+COUNTIF($H81:$K81,"&lt;0")+COUNTA($H81:$K81)-COUNT($H81:$K81))&gt;0,"Avance fuera de rango 0-100%"&amp;" · ","")&amp;IF(OR(AND($I81&lt;&gt;"",$I81&lt;$H81),AND($J81&lt;&gt;"",$J81&lt;MAX($H81:$I81)),AND($K81&lt;&gt;"",$K81&lt;MAX($H81:$J81))),"Avance semanal decreciente"&amp;" · ","")&amp;IF(AND(ISNUMBER($F81),$F81&lt;FechaRef,N($L81)&lt;1),"Vencida"&amp;" · ","")&amp;IF(AND(ObsObligatoria="Sí",ISNUMBER($F81),$F81&lt;FechaRef,N($L81)&lt;1,$N81=""),"Vencida sin observación"&amp;" · ",""),LEN(IF(AND($S81="Macro",$B81=""),"Macroactividad vacía"&amp;" · ","")&amp;IF(AND($B81&lt;&gt;"",$C81&lt;&gt;""),"Escriba la subactividad en otra fila, debajo de su macroactividad"&amp;" · ","")&amp;IF(AND($S81="Sub",N($R81)=0),"Subactividad sin macroactividad arriba"&amp;" · ","")&amp;IF($D81="","Sin responsable"&amp;" · ","")&amp;IF($E81="","Sin fecha de inicio"&amp;" · ","")&amp;IF($F81="","Sin fecha límite"&amp;" · ","")&amp;IF(OR(AND($E81&lt;&gt;"",NOT(ISNUMBER($E81))),AND($F81&lt;&gt;"",NOT(ISNUMBER($F81)))),"Fecha no válida"&amp;" · ","")&amp;IF(AND(ISNUMBER($E81),ISNUMBER($F81),$E81&gt;$F81),"Inicio posterior a fecha límite"&amp;" · ","")&amp;IF(AND($S81="Macro",$G81=""),"Peso vacío"&amp;" · ","")&amp;IF(AND($S81="Macro",$G81&lt;&gt;"",OR(NOT(ISNUMBER($G81)),$G81&lt;=0,$G81&gt;1)),"Peso fuera de rango"&amp;" · ","")&amp;IF(AND($S81="Sub",$G81&lt;&gt;""),"Las subactividades no llevan peso"&amp;" · ","")&amp;IF(AND($S81="Macro",ABS(SUMIFS($G$5:$G$1000,$P$5:$P$1000,$P81,$S$5:$S$1000,"Macro")-1)&gt;0.0001),"Pesos del mes suman "&amp;TEXT(SUMIFS($G$5:$G$1000,$P$5:$P$1000,$P81,$S$5:$S$1000,"Macro"),"0%")&amp;" · ","")&amp;IF(AND(N($T81)&gt;0,COUNT($H81:$K81)&gt;0),"Con subactividades: deje vacías las semanas (se calculan solas)"&amp;" · ","")&amp;IF((COUNTIF($H81:$K81,"&gt;1")+COUNTIF($H81:$K81,"&lt;0")+COUNTA($H81:$K81)-COUNT($H81:$K81))&gt;0,"Avance fuera de rango 0-100%"&amp;" · ","")&amp;IF(OR(AND($I81&lt;&gt;"",$I81&lt;$H81),AND($J81&lt;&gt;"",$J81&lt;MAX($H81:$I81)),AND($K81&lt;&gt;"",$K81&lt;MAX($H81:$J81))),"Avance semanal decreciente"&amp;" · ","")&amp;IF(AND(ISNUMBER($F81),$F81&lt;FechaRef,N($L81)&lt;1),"Vencida"&amp;" · ","")&amp;IF(AND(ObsObligatoria="Sí",ISNUMBER($F81),$F81&lt;FechaRef,N($L81)&lt;1,$N81=""),"Vencida sin observación"&amp;" · ",""))-3)))</f>
        <v/>
      </c>
      <c r="P81" s="69">
        <f>IF(NOT((COUNTA($B81:$K81)+COUNTA($N81))&gt;0),"",IF(AND($S81="Sub",N($R81)&gt;0),IF(ISNUMBER(INDEX($E$5:$E$1000,$R81-4)),DATE(YEAR(INDEX($E$5:$E$1000,$R81-4)),MONTH(INDEX($E$5:$E$1000,$R81-4)),1),IF(ISNUMBER(INDEX($F$5:$F$1000,$R81-4)),DATE(YEAR(INDEX($F$5:$F$1000,$R81-4)),MONTH(INDEX($F$5:$F$1000,$R81-4)),1),MesCiclo)),IF(ISNUMBER($E81),DATE(YEAR($E81),MONTH($E81),1),IF(ISNUMBER($F81),DATE(YEAR($F81),MONTH($F81),1),MesCiclo))))</f>
        <v/>
      </c>
      <c r="Q81" s="70">
        <f>IF(OR($P81="",$P81&lt;&gt;MesCiclo),"",COUNTIF($P$5:$P81,MesCiclo))</f>
        <v/>
      </c>
      <c r="R81" s="70">
        <f>IF($S81="","",IF($S81="Macro",ROW(),IFERROR(LOOKUP(2,1/($S$5:$S81="Macro"),ROW($S$5:$S81)),0)))</f>
        <v/>
      </c>
      <c r="S81" s="70">
        <f>IF(NOT((COUNTA($B81:$K81)+COUNTA($N81))&gt;0),"",IF($B81&lt;&gt;"","Macro",IF($C81&lt;&gt;"","Sub","Macro")))</f>
        <v/>
      </c>
      <c r="T81" s="70">
        <f>IF($S81="Macro",COUNTIFS($R$5:$R$1000,ROW(),$S$5:$S$1000,"Sub"),"")</f>
        <v/>
      </c>
      <c r="U81" s="70">
        <f>IF($S81="","",IF(ISNUMBER($H81),$H81,0))</f>
        <v/>
      </c>
      <c r="V81" s="70">
        <f>IF($S81="","",IF(ISNUMBER($I81),$I81,$U81))</f>
        <v/>
      </c>
      <c r="W81" s="70">
        <f>IF($S81="","",IF(ISNUMBER($J81),$J81,$V81))</f>
        <v/>
      </c>
      <c r="X81" s="70">
        <f>IF($S81="","",IF(ISNUMBER($K81),$K81,$W81))</f>
        <v/>
      </c>
      <c r="Y81" s="70">
        <f>IF($S81="","",IF(N($T81)&gt;0,AVERAGEIFS($U$5:$U$1000,$R$5:$R$1000,ROW(),$S$5:$S$1000,"Sub"),$U81))</f>
        <v/>
      </c>
      <c r="Z81" s="70">
        <f>IF($S81="","",IF(N($T81)&gt;0,AVERAGEIFS($V$5:$V$1000,$R$5:$R$1000,ROW(),$S$5:$S$1000,"Sub"),$V81))</f>
        <v/>
      </c>
      <c r="AA81" s="70">
        <f>IF($S81="","",IF(N($T81)&gt;0,AVERAGEIFS($W$5:$W$1000,$R$5:$R$1000,ROW(),$S$5:$S$1000,"Sub"),$W81))</f>
        <v/>
      </c>
      <c r="AB81" s="70">
        <f>IF($S81="","",IF(N($T81)&gt;0,AVERAGEIFS($X$5:$X$1000,$R$5:$R$1000,ROW(),$S$5:$S$1000,"Sub"),$X81))</f>
        <v/>
      </c>
    </row>
    <row r="82">
      <c r="A82" s="61">
        <f>IF(NOT((COUNTA($B82:$K82)+COUNTA($N82))&gt;0),"",IF($S82="Macro",COUNTIFS($S$5:$S82,"Macro",$P$5:$P82,$P82),IF(N($R82)=0,"?",COUNTIFS(INDEX($S$5:$S$1000,1):INDEX($S$5:$S$1000,$R82-4),"Macro",INDEX($P$5:$P$1000,1):INDEX($P$5:$P$1000,$R82-4),INDEX($P$5:$P$1000,$R82-4))&amp;"."&amp;COUNTIFS($R$5:$R82,$R82,$S$5:$S82,"Sub"))))</f>
        <v/>
      </c>
      <c r="B82" s="62" t="n"/>
      <c r="C82" s="63" t="n"/>
      <c r="D82" s="62" t="n"/>
      <c r="E82" s="64" t="n"/>
      <c r="F82" s="64" t="n"/>
      <c r="G82" s="65" t="n"/>
      <c r="H82" s="66" t="n"/>
      <c r="I82" s="66" t="n"/>
      <c r="J82" s="66" t="n"/>
      <c r="K82" s="66" t="n"/>
      <c r="L82" s="67">
        <f>IF(NOT((COUNTA($B82:$K82)+COUNTA($N82))&gt;0),"",IF(N($T82)&gt;0,$AB82,IFERROR(LOOKUP(2,1/(H82:K82&lt;&gt;""),H82:K82),0)))</f>
        <v/>
      </c>
      <c r="M82" s="61">
        <f>IF(L82="","",IF(L82&gt;=1,"Completado",IF(L82&gt;0,"En curso","Pendiente")))</f>
        <v/>
      </c>
      <c r="N82" s="62" t="n"/>
      <c r="O82" s="68">
        <f>IF(NOT((COUNTA($B82:$K82)+COUNTA($N82))&gt;0),"",IF((IF(AND($S82="Macro",$B82=""),"Macroactividad vacía"&amp;" · ","")&amp;IF(AND($B82&lt;&gt;"",$C82&lt;&gt;""),"Escriba la subactividad en otra fila, debajo de su macroactividad"&amp;" · ","")&amp;IF(AND($S82="Sub",N($R82)=0),"Subactividad sin macroactividad arriba"&amp;" · ","")&amp;IF($D82="","Sin responsable"&amp;" · ","")&amp;IF($E82="","Sin fecha de inicio"&amp;" · ","")&amp;IF($F82="","Sin fecha límite"&amp;" · ","")&amp;IF(OR(AND($E82&lt;&gt;"",NOT(ISNUMBER($E82))),AND($F82&lt;&gt;"",NOT(ISNUMBER($F82)))),"Fecha no válida"&amp;" · ","")&amp;IF(AND(ISNUMBER($E82),ISNUMBER($F82),$E82&gt;$F82),"Inicio posterior a fecha límite"&amp;" · ","")&amp;IF(AND($S82="Macro",$G82=""),"Peso vacío"&amp;" · ","")&amp;IF(AND($S82="Macro",$G82&lt;&gt;"",OR(NOT(ISNUMBER($G82)),$G82&lt;=0,$G82&gt;1)),"Peso fuera de rango"&amp;" · ","")&amp;IF(AND($S82="Sub",$G82&lt;&gt;""),"Las subactividades no llevan peso"&amp;" · ","")&amp;IF(AND($S82="Macro",ABS(SUMIFS($G$5:$G$1000,$P$5:$P$1000,$P82,$S$5:$S$1000,"Macro")-1)&gt;0.0001),"Pesos del mes suman "&amp;TEXT(SUMIFS($G$5:$G$1000,$P$5:$P$1000,$P82,$S$5:$S$1000,"Macro"),"0%")&amp;" · ","")&amp;IF(AND(N($T82)&gt;0,COUNT($H82:$K82)&gt;0),"Con subactividades: deje vacías las semanas (se calculan solas)"&amp;" · ","")&amp;IF((COUNTIF($H82:$K82,"&gt;1")+COUNTIF($H82:$K82,"&lt;0")+COUNTA($H82:$K82)-COUNT($H82:$K82))&gt;0,"Avance fuera de rango 0-100%"&amp;" · ","")&amp;IF(OR(AND($I82&lt;&gt;"",$I82&lt;$H82),AND($J82&lt;&gt;"",$J82&lt;MAX($H82:$I82)),AND($K82&lt;&gt;"",$K82&lt;MAX($H82:$J82))),"Avance semanal decreciente"&amp;" · ","")&amp;IF(AND(ISNUMBER($F82),$F82&lt;FechaRef,N($L82)&lt;1),"Vencida"&amp;" · ","")&amp;IF(AND(ObsObligatoria="Sí",ISNUMBER($F82),$F82&lt;FechaRef,N($L82)&lt;1,$N82=""),"Vencida sin observación"&amp;" · ",""))="","✔ OK","⚠ "&amp;LEFT(IF(AND($S82="Macro",$B82=""),"Macroactividad vacía"&amp;" · ","")&amp;IF(AND($B82&lt;&gt;"",$C82&lt;&gt;""),"Escriba la subactividad en otra fila, debajo de su macroactividad"&amp;" · ","")&amp;IF(AND($S82="Sub",N($R82)=0),"Subactividad sin macroactividad arriba"&amp;" · ","")&amp;IF($D82="","Sin responsable"&amp;" · ","")&amp;IF($E82="","Sin fecha de inicio"&amp;" · ","")&amp;IF($F82="","Sin fecha límite"&amp;" · ","")&amp;IF(OR(AND($E82&lt;&gt;"",NOT(ISNUMBER($E82))),AND($F82&lt;&gt;"",NOT(ISNUMBER($F82)))),"Fecha no válida"&amp;" · ","")&amp;IF(AND(ISNUMBER($E82),ISNUMBER($F82),$E82&gt;$F82),"Inicio posterior a fecha límite"&amp;" · ","")&amp;IF(AND($S82="Macro",$G82=""),"Peso vacío"&amp;" · ","")&amp;IF(AND($S82="Macro",$G82&lt;&gt;"",OR(NOT(ISNUMBER($G82)),$G82&lt;=0,$G82&gt;1)),"Peso fuera de rango"&amp;" · ","")&amp;IF(AND($S82="Sub",$G82&lt;&gt;""),"Las subactividades no llevan peso"&amp;" · ","")&amp;IF(AND($S82="Macro",ABS(SUMIFS($G$5:$G$1000,$P$5:$P$1000,$P82,$S$5:$S$1000,"Macro")-1)&gt;0.0001),"Pesos del mes suman "&amp;TEXT(SUMIFS($G$5:$G$1000,$P$5:$P$1000,$P82,$S$5:$S$1000,"Macro"),"0%")&amp;" · ","")&amp;IF(AND(N($T82)&gt;0,COUNT($H82:$K82)&gt;0),"Con subactividades: deje vacías las semanas (se calculan solas)"&amp;" · ","")&amp;IF((COUNTIF($H82:$K82,"&gt;1")+COUNTIF($H82:$K82,"&lt;0")+COUNTA($H82:$K82)-COUNT($H82:$K82))&gt;0,"Avance fuera de rango 0-100%"&amp;" · ","")&amp;IF(OR(AND($I82&lt;&gt;"",$I82&lt;$H82),AND($J82&lt;&gt;"",$J82&lt;MAX($H82:$I82)),AND($K82&lt;&gt;"",$K82&lt;MAX($H82:$J82))),"Avance semanal decreciente"&amp;" · ","")&amp;IF(AND(ISNUMBER($F82),$F82&lt;FechaRef,N($L82)&lt;1),"Vencida"&amp;" · ","")&amp;IF(AND(ObsObligatoria="Sí",ISNUMBER($F82),$F82&lt;FechaRef,N($L82)&lt;1,$N82=""),"Vencida sin observación"&amp;" · ",""),LEN(IF(AND($S82="Macro",$B82=""),"Macroactividad vacía"&amp;" · ","")&amp;IF(AND($B82&lt;&gt;"",$C82&lt;&gt;""),"Escriba la subactividad en otra fila, debajo de su macroactividad"&amp;" · ","")&amp;IF(AND($S82="Sub",N($R82)=0),"Subactividad sin macroactividad arriba"&amp;" · ","")&amp;IF($D82="","Sin responsable"&amp;" · ","")&amp;IF($E82="","Sin fecha de inicio"&amp;" · ","")&amp;IF($F82="","Sin fecha límite"&amp;" · ","")&amp;IF(OR(AND($E82&lt;&gt;"",NOT(ISNUMBER($E82))),AND($F82&lt;&gt;"",NOT(ISNUMBER($F82)))),"Fecha no válida"&amp;" · ","")&amp;IF(AND(ISNUMBER($E82),ISNUMBER($F82),$E82&gt;$F82),"Inicio posterior a fecha límite"&amp;" · ","")&amp;IF(AND($S82="Macro",$G82=""),"Peso vacío"&amp;" · ","")&amp;IF(AND($S82="Macro",$G82&lt;&gt;"",OR(NOT(ISNUMBER($G82)),$G82&lt;=0,$G82&gt;1)),"Peso fuera de rango"&amp;" · ","")&amp;IF(AND($S82="Sub",$G82&lt;&gt;""),"Las subactividades no llevan peso"&amp;" · ","")&amp;IF(AND($S82="Macro",ABS(SUMIFS($G$5:$G$1000,$P$5:$P$1000,$P82,$S$5:$S$1000,"Macro")-1)&gt;0.0001),"Pesos del mes suman "&amp;TEXT(SUMIFS($G$5:$G$1000,$P$5:$P$1000,$P82,$S$5:$S$1000,"Macro"),"0%")&amp;" · ","")&amp;IF(AND(N($T82)&gt;0,COUNT($H82:$K82)&gt;0),"Con subactividades: deje vacías las semanas (se calculan solas)"&amp;" · ","")&amp;IF((COUNTIF($H82:$K82,"&gt;1")+COUNTIF($H82:$K82,"&lt;0")+COUNTA($H82:$K82)-COUNT($H82:$K82))&gt;0,"Avance fuera de rango 0-100%"&amp;" · ","")&amp;IF(OR(AND($I82&lt;&gt;"",$I82&lt;$H82),AND($J82&lt;&gt;"",$J82&lt;MAX($H82:$I82)),AND($K82&lt;&gt;"",$K82&lt;MAX($H82:$J82))),"Avance semanal decreciente"&amp;" · ","")&amp;IF(AND(ISNUMBER($F82),$F82&lt;FechaRef,N($L82)&lt;1),"Vencida"&amp;" · ","")&amp;IF(AND(ObsObligatoria="Sí",ISNUMBER($F82),$F82&lt;FechaRef,N($L82)&lt;1,$N82=""),"Vencida sin observación"&amp;" · ",""))-3)))</f>
        <v/>
      </c>
      <c r="P82" s="69">
        <f>IF(NOT((COUNTA($B82:$K82)+COUNTA($N82))&gt;0),"",IF(AND($S82="Sub",N($R82)&gt;0),IF(ISNUMBER(INDEX($E$5:$E$1000,$R82-4)),DATE(YEAR(INDEX($E$5:$E$1000,$R82-4)),MONTH(INDEX($E$5:$E$1000,$R82-4)),1),IF(ISNUMBER(INDEX($F$5:$F$1000,$R82-4)),DATE(YEAR(INDEX($F$5:$F$1000,$R82-4)),MONTH(INDEX($F$5:$F$1000,$R82-4)),1),MesCiclo)),IF(ISNUMBER($E82),DATE(YEAR($E82),MONTH($E82),1),IF(ISNUMBER($F82),DATE(YEAR($F82),MONTH($F82),1),MesCiclo))))</f>
        <v/>
      </c>
      <c r="Q82" s="70">
        <f>IF(OR($P82="",$P82&lt;&gt;MesCiclo),"",COUNTIF($P$5:$P82,MesCiclo))</f>
        <v/>
      </c>
      <c r="R82" s="70">
        <f>IF($S82="","",IF($S82="Macro",ROW(),IFERROR(LOOKUP(2,1/($S$5:$S82="Macro"),ROW($S$5:$S82)),0)))</f>
        <v/>
      </c>
      <c r="S82" s="70">
        <f>IF(NOT((COUNTA($B82:$K82)+COUNTA($N82))&gt;0),"",IF($B82&lt;&gt;"","Macro",IF($C82&lt;&gt;"","Sub","Macro")))</f>
        <v/>
      </c>
      <c r="T82" s="70">
        <f>IF($S82="Macro",COUNTIFS($R$5:$R$1000,ROW(),$S$5:$S$1000,"Sub"),"")</f>
        <v/>
      </c>
      <c r="U82" s="70">
        <f>IF($S82="","",IF(ISNUMBER($H82),$H82,0))</f>
        <v/>
      </c>
      <c r="V82" s="70">
        <f>IF($S82="","",IF(ISNUMBER($I82),$I82,$U82))</f>
        <v/>
      </c>
      <c r="W82" s="70">
        <f>IF($S82="","",IF(ISNUMBER($J82),$J82,$V82))</f>
        <v/>
      </c>
      <c r="X82" s="70">
        <f>IF($S82="","",IF(ISNUMBER($K82),$K82,$W82))</f>
        <v/>
      </c>
      <c r="Y82" s="70">
        <f>IF($S82="","",IF(N($T82)&gt;0,AVERAGEIFS($U$5:$U$1000,$R$5:$R$1000,ROW(),$S$5:$S$1000,"Sub"),$U82))</f>
        <v/>
      </c>
      <c r="Z82" s="70">
        <f>IF($S82="","",IF(N($T82)&gt;0,AVERAGEIFS($V$5:$V$1000,$R$5:$R$1000,ROW(),$S$5:$S$1000,"Sub"),$V82))</f>
        <v/>
      </c>
      <c r="AA82" s="70">
        <f>IF($S82="","",IF(N($T82)&gt;0,AVERAGEIFS($W$5:$W$1000,$R$5:$R$1000,ROW(),$S$5:$S$1000,"Sub"),$W82))</f>
        <v/>
      </c>
      <c r="AB82" s="70">
        <f>IF($S82="","",IF(N($T82)&gt;0,AVERAGEIFS($X$5:$X$1000,$R$5:$R$1000,ROW(),$S$5:$S$1000,"Sub"),$X82))</f>
        <v/>
      </c>
    </row>
    <row r="83">
      <c r="A83" s="61">
        <f>IF(NOT((COUNTA($B83:$K83)+COUNTA($N83))&gt;0),"",IF($S83="Macro",COUNTIFS($S$5:$S83,"Macro",$P$5:$P83,$P83),IF(N($R83)=0,"?",COUNTIFS(INDEX($S$5:$S$1000,1):INDEX($S$5:$S$1000,$R83-4),"Macro",INDEX($P$5:$P$1000,1):INDEX($P$5:$P$1000,$R83-4),INDEX($P$5:$P$1000,$R83-4))&amp;"."&amp;COUNTIFS($R$5:$R83,$R83,$S$5:$S83,"Sub"))))</f>
        <v/>
      </c>
      <c r="B83" s="62" t="n"/>
      <c r="C83" s="63" t="n"/>
      <c r="D83" s="62" t="n"/>
      <c r="E83" s="64" t="n"/>
      <c r="F83" s="64" t="n"/>
      <c r="G83" s="65" t="n"/>
      <c r="H83" s="66" t="n"/>
      <c r="I83" s="66" t="n"/>
      <c r="J83" s="66" t="n"/>
      <c r="K83" s="66" t="n"/>
      <c r="L83" s="67">
        <f>IF(NOT((COUNTA($B83:$K83)+COUNTA($N83))&gt;0),"",IF(N($T83)&gt;0,$AB83,IFERROR(LOOKUP(2,1/(H83:K83&lt;&gt;""),H83:K83),0)))</f>
        <v/>
      </c>
      <c r="M83" s="61">
        <f>IF(L83="","",IF(L83&gt;=1,"Completado",IF(L83&gt;0,"En curso","Pendiente")))</f>
        <v/>
      </c>
      <c r="N83" s="62" t="n"/>
      <c r="O83" s="68">
        <f>IF(NOT((COUNTA($B83:$K83)+COUNTA($N83))&gt;0),"",IF((IF(AND($S83="Macro",$B83=""),"Macroactividad vacía"&amp;" · ","")&amp;IF(AND($B83&lt;&gt;"",$C83&lt;&gt;""),"Escriba la subactividad en otra fila, debajo de su macroactividad"&amp;" · ","")&amp;IF(AND($S83="Sub",N($R83)=0),"Subactividad sin macroactividad arriba"&amp;" · ","")&amp;IF($D83="","Sin responsable"&amp;" · ","")&amp;IF($E83="","Sin fecha de inicio"&amp;" · ","")&amp;IF($F83="","Sin fecha límite"&amp;" · ","")&amp;IF(OR(AND($E83&lt;&gt;"",NOT(ISNUMBER($E83))),AND($F83&lt;&gt;"",NOT(ISNUMBER($F83)))),"Fecha no válida"&amp;" · ","")&amp;IF(AND(ISNUMBER($E83),ISNUMBER($F83),$E83&gt;$F83),"Inicio posterior a fecha límite"&amp;" · ","")&amp;IF(AND($S83="Macro",$G83=""),"Peso vacío"&amp;" · ","")&amp;IF(AND($S83="Macro",$G83&lt;&gt;"",OR(NOT(ISNUMBER($G83)),$G83&lt;=0,$G83&gt;1)),"Peso fuera de rango"&amp;" · ","")&amp;IF(AND($S83="Sub",$G83&lt;&gt;""),"Las subactividades no llevan peso"&amp;" · ","")&amp;IF(AND($S83="Macro",ABS(SUMIFS($G$5:$G$1000,$P$5:$P$1000,$P83,$S$5:$S$1000,"Macro")-1)&gt;0.0001),"Pesos del mes suman "&amp;TEXT(SUMIFS($G$5:$G$1000,$P$5:$P$1000,$P83,$S$5:$S$1000,"Macro"),"0%")&amp;" · ","")&amp;IF(AND(N($T83)&gt;0,COUNT($H83:$K83)&gt;0),"Con subactividades: deje vacías las semanas (se calculan solas)"&amp;" · ","")&amp;IF((COUNTIF($H83:$K83,"&gt;1")+COUNTIF($H83:$K83,"&lt;0")+COUNTA($H83:$K83)-COUNT($H83:$K83))&gt;0,"Avance fuera de rango 0-100%"&amp;" · ","")&amp;IF(OR(AND($I83&lt;&gt;"",$I83&lt;$H83),AND($J83&lt;&gt;"",$J83&lt;MAX($H83:$I83)),AND($K83&lt;&gt;"",$K83&lt;MAX($H83:$J83))),"Avance semanal decreciente"&amp;" · ","")&amp;IF(AND(ISNUMBER($F83),$F83&lt;FechaRef,N($L83)&lt;1),"Vencida"&amp;" · ","")&amp;IF(AND(ObsObligatoria="Sí",ISNUMBER($F83),$F83&lt;FechaRef,N($L83)&lt;1,$N83=""),"Vencida sin observación"&amp;" · ",""))="","✔ OK","⚠ "&amp;LEFT(IF(AND($S83="Macro",$B83=""),"Macroactividad vacía"&amp;" · ","")&amp;IF(AND($B83&lt;&gt;"",$C83&lt;&gt;""),"Escriba la subactividad en otra fila, debajo de su macroactividad"&amp;" · ","")&amp;IF(AND($S83="Sub",N($R83)=0),"Subactividad sin macroactividad arriba"&amp;" · ","")&amp;IF($D83="","Sin responsable"&amp;" · ","")&amp;IF($E83="","Sin fecha de inicio"&amp;" · ","")&amp;IF($F83="","Sin fecha límite"&amp;" · ","")&amp;IF(OR(AND($E83&lt;&gt;"",NOT(ISNUMBER($E83))),AND($F83&lt;&gt;"",NOT(ISNUMBER($F83)))),"Fecha no válida"&amp;" · ","")&amp;IF(AND(ISNUMBER($E83),ISNUMBER($F83),$E83&gt;$F83),"Inicio posterior a fecha límite"&amp;" · ","")&amp;IF(AND($S83="Macro",$G83=""),"Peso vacío"&amp;" · ","")&amp;IF(AND($S83="Macro",$G83&lt;&gt;"",OR(NOT(ISNUMBER($G83)),$G83&lt;=0,$G83&gt;1)),"Peso fuera de rango"&amp;" · ","")&amp;IF(AND($S83="Sub",$G83&lt;&gt;""),"Las subactividades no llevan peso"&amp;" · ","")&amp;IF(AND($S83="Macro",ABS(SUMIFS($G$5:$G$1000,$P$5:$P$1000,$P83,$S$5:$S$1000,"Macro")-1)&gt;0.0001),"Pesos del mes suman "&amp;TEXT(SUMIFS($G$5:$G$1000,$P$5:$P$1000,$P83,$S$5:$S$1000,"Macro"),"0%")&amp;" · ","")&amp;IF(AND(N($T83)&gt;0,COUNT($H83:$K83)&gt;0),"Con subactividades: deje vacías las semanas (se calculan solas)"&amp;" · ","")&amp;IF((COUNTIF($H83:$K83,"&gt;1")+COUNTIF($H83:$K83,"&lt;0")+COUNTA($H83:$K83)-COUNT($H83:$K83))&gt;0,"Avance fuera de rango 0-100%"&amp;" · ","")&amp;IF(OR(AND($I83&lt;&gt;"",$I83&lt;$H83),AND($J83&lt;&gt;"",$J83&lt;MAX($H83:$I83)),AND($K83&lt;&gt;"",$K83&lt;MAX($H83:$J83))),"Avance semanal decreciente"&amp;" · ","")&amp;IF(AND(ISNUMBER($F83),$F83&lt;FechaRef,N($L83)&lt;1),"Vencida"&amp;" · ","")&amp;IF(AND(ObsObligatoria="Sí",ISNUMBER($F83),$F83&lt;FechaRef,N($L83)&lt;1,$N83=""),"Vencida sin observación"&amp;" · ",""),LEN(IF(AND($S83="Macro",$B83=""),"Macroactividad vacía"&amp;" · ","")&amp;IF(AND($B83&lt;&gt;"",$C83&lt;&gt;""),"Escriba la subactividad en otra fila, debajo de su macroactividad"&amp;" · ","")&amp;IF(AND($S83="Sub",N($R83)=0),"Subactividad sin macroactividad arriba"&amp;" · ","")&amp;IF($D83="","Sin responsable"&amp;" · ","")&amp;IF($E83="","Sin fecha de inicio"&amp;" · ","")&amp;IF($F83="","Sin fecha límite"&amp;" · ","")&amp;IF(OR(AND($E83&lt;&gt;"",NOT(ISNUMBER($E83))),AND($F83&lt;&gt;"",NOT(ISNUMBER($F83)))),"Fecha no válida"&amp;" · ","")&amp;IF(AND(ISNUMBER($E83),ISNUMBER($F83),$E83&gt;$F83),"Inicio posterior a fecha límite"&amp;" · ","")&amp;IF(AND($S83="Macro",$G83=""),"Peso vacío"&amp;" · ","")&amp;IF(AND($S83="Macro",$G83&lt;&gt;"",OR(NOT(ISNUMBER($G83)),$G83&lt;=0,$G83&gt;1)),"Peso fuera de rango"&amp;" · ","")&amp;IF(AND($S83="Sub",$G83&lt;&gt;""),"Las subactividades no llevan peso"&amp;" · ","")&amp;IF(AND($S83="Macro",ABS(SUMIFS($G$5:$G$1000,$P$5:$P$1000,$P83,$S$5:$S$1000,"Macro")-1)&gt;0.0001),"Pesos del mes suman "&amp;TEXT(SUMIFS($G$5:$G$1000,$P$5:$P$1000,$P83,$S$5:$S$1000,"Macro"),"0%")&amp;" · ","")&amp;IF(AND(N($T83)&gt;0,COUNT($H83:$K83)&gt;0),"Con subactividades: deje vacías las semanas (se calculan solas)"&amp;" · ","")&amp;IF((COUNTIF($H83:$K83,"&gt;1")+COUNTIF($H83:$K83,"&lt;0")+COUNTA($H83:$K83)-COUNT($H83:$K83))&gt;0,"Avance fuera de rango 0-100%"&amp;" · ","")&amp;IF(OR(AND($I83&lt;&gt;"",$I83&lt;$H83),AND($J83&lt;&gt;"",$J83&lt;MAX($H83:$I83)),AND($K83&lt;&gt;"",$K83&lt;MAX($H83:$J83))),"Avance semanal decreciente"&amp;" · ","")&amp;IF(AND(ISNUMBER($F83),$F83&lt;FechaRef,N($L83)&lt;1),"Vencida"&amp;" · ","")&amp;IF(AND(ObsObligatoria="Sí",ISNUMBER($F83),$F83&lt;FechaRef,N($L83)&lt;1,$N83=""),"Vencida sin observación"&amp;" · ",""))-3)))</f>
        <v/>
      </c>
      <c r="P83" s="69">
        <f>IF(NOT((COUNTA($B83:$K83)+COUNTA($N83))&gt;0),"",IF(AND($S83="Sub",N($R83)&gt;0),IF(ISNUMBER(INDEX($E$5:$E$1000,$R83-4)),DATE(YEAR(INDEX($E$5:$E$1000,$R83-4)),MONTH(INDEX($E$5:$E$1000,$R83-4)),1),IF(ISNUMBER(INDEX($F$5:$F$1000,$R83-4)),DATE(YEAR(INDEX($F$5:$F$1000,$R83-4)),MONTH(INDEX($F$5:$F$1000,$R83-4)),1),MesCiclo)),IF(ISNUMBER($E83),DATE(YEAR($E83),MONTH($E83),1),IF(ISNUMBER($F83),DATE(YEAR($F83),MONTH($F83),1),MesCiclo))))</f>
        <v/>
      </c>
      <c r="Q83" s="70">
        <f>IF(OR($P83="",$P83&lt;&gt;MesCiclo),"",COUNTIF($P$5:$P83,MesCiclo))</f>
        <v/>
      </c>
      <c r="R83" s="70">
        <f>IF($S83="","",IF($S83="Macro",ROW(),IFERROR(LOOKUP(2,1/($S$5:$S83="Macro"),ROW($S$5:$S83)),0)))</f>
        <v/>
      </c>
      <c r="S83" s="70">
        <f>IF(NOT((COUNTA($B83:$K83)+COUNTA($N83))&gt;0),"",IF($B83&lt;&gt;"","Macro",IF($C83&lt;&gt;"","Sub","Macro")))</f>
        <v/>
      </c>
      <c r="T83" s="70">
        <f>IF($S83="Macro",COUNTIFS($R$5:$R$1000,ROW(),$S$5:$S$1000,"Sub"),"")</f>
        <v/>
      </c>
      <c r="U83" s="70">
        <f>IF($S83="","",IF(ISNUMBER($H83),$H83,0))</f>
        <v/>
      </c>
      <c r="V83" s="70">
        <f>IF($S83="","",IF(ISNUMBER($I83),$I83,$U83))</f>
        <v/>
      </c>
      <c r="W83" s="70">
        <f>IF($S83="","",IF(ISNUMBER($J83),$J83,$V83))</f>
        <v/>
      </c>
      <c r="X83" s="70">
        <f>IF($S83="","",IF(ISNUMBER($K83),$K83,$W83))</f>
        <v/>
      </c>
      <c r="Y83" s="70">
        <f>IF($S83="","",IF(N($T83)&gt;0,AVERAGEIFS($U$5:$U$1000,$R$5:$R$1000,ROW(),$S$5:$S$1000,"Sub"),$U83))</f>
        <v/>
      </c>
      <c r="Z83" s="70">
        <f>IF($S83="","",IF(N($T83)&gt;0,AVERAGEIFS($V$5:$V$1000,$R$5:$R$1000,ROW(),$S$5:$S$1000,"Sub"),$V83))</f>
        <v/>
      </c>
      <c r="AA83" s="70">
        <f>IF($S83="","",IF(N($T83)&gt;0,AVERAGEIFS($W$5:$W$1000,$R$5:$R$1000,ROW(),$S$5:$S$1000,"Sub"),$W83))</f>
        <v/>
      </c>
      <c r="AB83" s="70">
        <f>IF($S83="","",IF(N($T83)&gt;0,AVERAGEIFS($X$5:$X$1000,$R$5:$R$1000,ROW(),$S$5:$S$1000,"Sub"),$X83))</f>
        <v/>
      </c>
    </row>
    <row r="84">
      <c r="A84" s="61">
        <f>IF(NOT((COUNTA($B84:$K84)+COUNTA($N84))&gt;0),"",IF($S84="Macro",COUNTIFS($S$5:$S84,"Macro",$P$5:$P84,$P84),IF(N($R84)=0,"?",COUNTIFS(INDEX($S$5:$S$1000,1):INDEX($S$5:$S$1000,$R84-4),"Macro",INDEX($P$5:$P$1000,1):INDEX($P$5:$P$1000,$R84-4),INDEX($P$5:$P$1000,$R84-4))&amp;"."&amp;COUNTIFS($R$5:$R84,$R84,$S$5:$S84,"Sub"))))</f>
        <v/>
      </c>
      <c r="B84" s="62" t="n"/>
      <c r="C84" s="63" t="n"/>
      <c r="D84" s="62" t="n"/>
      <c r="E84" s="64" t="n"/>
      <c r="F84" s="64" t="n"/>
      <c r="G84" s="65" t="n"/>
      <c r="H84" s="66" t="n"/>
      <c r="I84" s="66" t="n"/>
      <c r="J84" s="66" t="n"/>
      <c r="K84" s="66" t="n"/>
      <c r="L84" s="67">
        <f>IF(NOT((COUNTA($B84:$K84)+COUNTA($N84))&gt;0),"",IF(N($T84)&gt;0,$AB84,IFERROR(LOOKUP(2,1/(H84:K84&lt;&gt;""),H84:K84),0)))</f>
        <v/>
      </c>
      <c r="M84" s="61">
        <f>IF(L84="","",IF(L84&gt;=1,"Completado",IF(L84&gt;0,"En curso","Pendiente")))</f>
        <v/>
      </c>
      <c r="N84" s="62" t="n"/>
      <c r="O84" s="68">
        <f>IF(NOT((COUNTA($B84:$K84)+COUNTA($N84))&gt;0),"",IF((IF(AND($S84="Macro",$B84=""),"Macroactividad vacía"&amp;" · ","")&amp;IF(AND($B84&lt;&gt;"",$C84&lt;&gt;""),"Escriba la subactividad en otra fila, debajo de su macroactividad"&amp;" · ","")&amp;IF(AND($S84="Sub",N($R84)=0),"Subactividad sin macroactividad arriba"&amp;" · ","")&amp;IF($D84="","Sin responsable"&amp;" · ","")&amp;IF($E84="","Sin fecha de inicio"&amp;" · ","")&amp;IF($F84="","Sin fecha límite"&amp;" · ","")&amp;IF(OR(AND($E84&lt;&gt;"",NOT(ISNUMBER($E84))),AND($F84&lt;&gt;"",NOT(ISNUMBER($F84)))),"Fecha no válida"&amp;" · ","")&amp;IF(AND(ISNUMBER($E84),ISNUMBER($F84),$E84&gt;$F84),"Inicio posterior a fecha límite"&amp;" · ","")&amp;IF(AND($S84="Macro",$G84=""),"Peso vacío"&amp;" · ","")&amp;IF(AND($S84="Macro",$G84&lt;&gt;"",OR(NOT(ISNUMBER($G84)),$G84&lt;=0,$G84&gt;1)),"Peso fuera de rango"&amp;" · ","")&amp;IF(AND($S84="Sub",$G84&lt;&gt;""),"Las subactividades no llevan peso"&amp;" · ","")&amp;IF(AND($S84="Macro",ABS(SUMIFS($G$5:$G$1000,$P$5:$P$1000,$P84,$S$5:$S$1000,"Macro")-1)&gt;0.0001),"Pesos del mes suman "&amp;TEXT(SUMIFS($G$5:$G$1000,$P$5:$P$1000,$P84,$S$5:$S$1000,"Macro"),"0%")&amp;" · ","")&amp;IF(AND(N($T84)&gt;0,COUNT($H84:$K84)&gt;0),"Con subactividades: deje vacías las semanas (se calculan solas)"&amp;" · ","")&amp;IF((COUNTIF($H84:$K84,"&gt;1")+COUNTIF($H84:$K84,"&lt;0")+COUNTA($H84:$K84)-COUNT($H84:$K84))&gt;0,"Avance fuera de rango 0-100%"&amp;" · ","")&amp;IF(OR(AND($I84&lt;&gt;"",$I84&lt;$H84),AND($J84&lt;&gt;"",$J84&lt;MAX($H84:$I84)),AND($K84&lt;&gt;"",$K84&lt;MAX($H84:$J84))),"Avance semanal decreciente"&amp;" · ","")&amp;IF(AND(ISNUMBER($F84),$F84&lt;FechaRef,N($L84)&lt;1),"Vencida"&amp;" · ","")&amp;IF(AND(ObsObligatoria="Sí",ISNUMBER($F84),$F84&lt;FechaRef,N($L84)&lt;1,$N84=""),"Vencida sin observación"&amp;" · ",""))="","✔ OK","⚠ "&amp;LEFT(IF(AND($S84="Macro",$B84=""),"Macroactividad vacía"&amp;" · ","")&amp;IF(AND($B84&lt;&gt;"",$C84&lt;&gt;""),"Escriba la subactividad en otra fila, debajo de su macroactividad"&amp;" · ","")&amp;IF(AND($S84="Sub",N($R84)=0),"Subactividad sin macroactividad arriba"&amp;" · ","")&amp;IF($D84="","Sin responsable"&amp;" · ","")&amp;IF($E84="","Sin fecha de inicio"&amp;" · ","")&amp;IF($F84="","Sin fecha límite"&amp;" · ","")&amp;IF(OR(AND($E84&lt;&gt;"",NOT(ISNUMBER($E84))),AND($F84&lt;&gt;"",NOT(ISNUMBER($F84)))),"Fecha no válida"&amp;" · ","")&amp;IF(AND(ISNUMBER($E84),ISNUMBER($F84),$E84&gt;$F84),"Inicio posterior a fecha límite"&amp;" · ","")&amp;IF(AND($S84="Macro",$G84=""),"Peso vacío"&amp;" · ","")&amp;IF(AND($S84="Macro",$G84&lt;&gt;"",OR(NOT(ISNUMBER($G84)),$G84&lt;=0,$G84&gt;1)),"Peso fuera de rango"&amp;" · ","")&amp;IF(AND($S84="Sub",$G84&lt;&gt;""),"Las subactividades no llevan peso"&amp;" · ","")&amp;IF(AND($S84="Macro",ABS(SUMIFS($G$5:$G$1000,$P$5:$P$1000,$P84,$S$5:$S$1000,"Macro")-1)&gt;0.0001),"Pesos del mes suman "&amp;TEXT(SUMIFS($G$5:$G$1000,$P$5:$P$1000,$P84,$S$5:$S$1000,"Macro"),"0%")&amp;" · ","")&amp;IF(AND(N($T84)&gt;0,COUNT($H84:$K84)&gt;0),"Con subactividades: deje vacías las semanas (se calculan solas)"&amp;" · ","")&amp;IF((COUNTIF($H84:$K84,"&gt;1")+COUNTIF($H84:$K84,"&lt;0")+COUNTA($H84:$K84)-COUNT($H84:$K84))&gt;0,"Avance fuera de rango 0-100%"&amp;" · ","")&amp;IF(OR(AND($I84&lt;&gt;"",$I84&lt;$H84),AND($J84&lt;&gt;"",$J84&lt;MAX($H84:$I84)),AND($K84&lt;&gt;"",$K84&lt;MAX($H84:$J84))),"Avance semanal decreciente"&amp;" · ","")&amp;IF(AND(ISNUMBER($F84),$F84&lt;FechaRef,N($L84)&lt;1),"Vencida"&amp;" · ","")&amp;IF(AND(ObsObligatoria="Sí",ISNUMBER($F84),$F84&lt;FechaRef,N($L84)&lt;1,$N84=""),"Vencida sin observación"&amp;" · ",""),LEN(IF(AND($S84="Macro",$B84=""),"Macroactividad vacía"&amp;" · ","")&amp;IF(AND($B84&lt;&gt;"",$C84&lt;&gt;""),"Escriba la subactividad en otra fila, debajo de su macroactividad"&amp;" · ","")&amp;IF(AND($S84="Sub",N($R84)=0),"Subactividad sin macroactividad arriba"&amp;" · ","")&amp;IF($D84="","Sin responsable"&amp;" · ","")&amp;IF($E84="","Sin fecha de inicio"&amp;" · ","")&amp;IF($F84="","Sin fecha límite"&amp;" · ","")&amp;IF(OR(AND($E84&lt;&gt;"",NOT(ISNUMBER($E84))),AND($F84&lt;&gt;"",NOT(ISNUMBER($F84)))),"Fecha no válida"&amp;" · ","")&amp;IF(AND(ISNUMBER($E84),ISNUMBER($F84),$E84&gt;$F84),"Inicio posterior a fecha límite"&amp;" · ","")&amp;IF(AND($S84="Macro",$G84=""),"Peso vacío"&amp;" · ","")&amp;IF(AND($S84="Macro",$G84&lt;&gt;"",OR(NOT(ISNUMBER($G84)),$G84&lt;=0,$G84&gt;1)),"Peso fuera de rango"&amp;" · ","")&amp;IF(AND($S84="Sub",$G84&lt;&gt;""),"Las subactividades no llevan peso"&amp;" · ","")&amp;IF(AND($S84="Macro",ABS(SUMIFS($G$5:$G$1000,$P$5:$P$1000,$P84,$S$5:$S$1000,"Macro")-1)&gt;0.0001),"Pesos del mes suman "&amp;TEXT(SUMIFS($G$5:$G$1000,$P$5:$P$1000,$P84,$S$5:$S$1000,"Macro"),"0%")&amp;" · ","")&amp;IF(AND(N($T84)&gt;0,COUNT($H84:$K84)&gt;0),"Con subactividades: deje vacías las semanas (se calculan solas)"&amp;" · ","")&amp;IF((COUNTIF($H84:$K84,"&gt;1")+COUNTIF($H84:$K84,"&lt;0")+COUNTA($H84:$K84)-COUNT($H84:$K84))&gt;0,"Avance fuera de rango 0-100%"&amp;" · ","")&amp;IF(OR(AND($I84&lt;&gt;"",$I84&lt;$H84),AND($J84&lt;&gt;"",$J84&lt;MAX($H84:$I84)),AND($K84&lt;&gt;"",$K84&lt;MAX($H84:$J84))),"Avance semanal decreciente"&amp;" · ","")&amp;IF(AND(ISNUMBER($F84),$F84&lt;FechaRef,N($L84)&lt;1),"Vencida"&amp;" · ","")&amp;IF(AND(ObsObligatoria="Sí",ISNUMBER($F84),$F84&lt;FechaRef,N($L84)&lt;1,$N84=""),"Vencida sin observación"&amp;" · ",""))-3)))</f>
        <v/>
      </c>
      <c r="P84" s="69">
        <f>IF(NOT((COUNTA($B84:$K84)+COUNTA($N84))&gt;0),"",IF(AND($S84="Sub",N($R84)&gt;0),IF(ISNUMBER(INDEX($E$5:$E$1000,$R84-4)),DATE(YEAR(INDEX($E$5:$E$1000,$R84-4)),MONTH(INDEX($E$5:$E$1000,$R84-4)),1),IF(ISNUMBER(INDEX($F$5:$F$1000,$R84-4)),DATE(YEAR(INDEX($F$5:$F$1000,$R84-4)),MONTH(INDEX($F$5:$F$1000,$R84-4)),1),MesCiclo)),IF(ISNUMBER($E84),DATE(YEAR($E84),MONTH($E84),1),IF(ISNUMBER($F84),DATE(YEAR($F84),MONTH($F84),1),MesCiclo))))</f>
        <v/>
      </c>
      <c r="Q84" s="70">
        <f>IF(OR($P84="",$P84&lt;&gt;MesCiclo),"",COUNTIF($P$5:$P84,MesCiclo))</f>
        <v/>
      </c>
      <c r="R84" s="70">
        <f>IF($S84="","",IF($S84="Macro",ROW(),IFERROR(LOOKUP(2,1/($S$5:$S84="Macro"),ROW($S$5:$S84)),0)))</f>
        <v/>
      </c>
      <c r="S84" s="70">
        <f>IF(NOT((COUNTA($B84:$K84)+COUNTA($N84))&gt;0),"",IF($B84&lt;&gt;"","Macro",IF($C84&lt;&gt;"","Sub","Macro")))</f>
        <v/>
      </c>
      <c r="T84" s="70">
        <f>IF($S84="Macro",COUNTIFS($R$5:$R$1000,ROW(),$S$5:$S$1000,"Sub"),"")</f>
        <v/>
      </c>
      <c r="U84" s="70">
        <f>IF($S84="","",IF(ISNUMBER($H84),$H84,0))</f>
        <v/>
      </c>
      <c r="V84" s="70">
        <f>IF($S84="","",IF(ISNUMBER($I84),$I84,$U84))</f>
        <v/>
      </c>
      <c r="W84" s="70">
        <f>IF($S84="","",IF(ISNUMBER($J84),$J84,$V84))</f>
        <v/>
      </c>
      <c r="X84" s="70">
        <f>IF($S84="","",IF(ISNUMBER($K84),$K84,$W84))</f>
        <v/>
      </c>
      <c r="Y84" s="70">
        <f>IF($S84="","",IF(N($T84)&gt;0,AVERAGEIFS($U$5:$U$1000,$R$5:$R$1000,ROW(),$S$5:$S$1000,"Sub"),$U84))</f>
        <v/>
      </c>
      <c r="Z84" s="70">
        <f>IF($S84="","",IF(N($T84)&gt;0,AVERAGEIFS($V$5:$V$1000,$R$5:$R$1000,ROW(),$S$5:$S$1000,"Sub"),$V84))</f>
        <v/>
      </c>
      <c r="AA84" s="70">
        <f>IF($S84="","",IF(N($T84)&gt;0,AVERAGEIFS($W$5:$W$1000,$R$5:$R$1000,ROW(),$S$5:$S$1000,"Sub"),$W84))</f>
        <v/>
      </c>
      <c r="AB84" s="70">
        <f>IF($S84="","",IF(N($T84)&gt;0,AVERAGEIFS($X$5:$X$1000,$R$5:$R$1000,ROW(),$S$5:$S$1000,"Sub"),$X84))</f>
        <v/>
      </c>
    </row>
    <row r="85">
      <c r="A85" s="61">
        <f>IF(NOT((COUNTA($B85:$K85)+COUNTA($N85))&gt;0),"",IF($S85="Macro",COUNTIFS($S$5:$S85,"Macro",$P$5:$P85,$P85),IF(N($R85)=0,"?",COUNTIFS(INDEX($S$5:$S$1000,1):INDEX($S$5:$S$1000,$R85-4),"Macro",INDEX($P$5:$P$1000,1):INDEX($P$5:$P$1000,$R85-4),INDEX($P$5:$P$1000,$R85-4))&amp;"."&amp;COUNTIFS($R$5:$R85,$R85,$S$5:$S85,"Sub"))))</f>
        <v/>
      </c>
      <c r="B85" s="62" t="n"/>
      <c r="C85" s="63" t="n"/>
      <c r="D85" s="62" t="n"/>
      <c r="E85" s="64" t="n"/>
      <c r="F85" s="64" t="n"/>
      <c r="G85" s="65" t="n"/>
      <c r="H85" s="66" t="n"/>
      <c r="I85" s="66" t="n"/>
      <c r="J85" s="66" t="n"/>
      <c r="K85" s="66" t="n"/>
      <c r="L85" s="67">
        <f>IF(NOT((COUNTA($B85:$K85)+COUNTA($N85))&gt;0),"",IF(N($T85)&gt;0,$AB85,IFERROR(LOOKUP(2,1/(H85:K85&lt;&gt;""),H85:K85),0)))</f>
        <v/>
      </c>
      <c r="M85" s="61">
        <f>IF(L85="","",IF(L85&gt;=1,"Completado",IF(L85&gt;0,"En curso","Pendiente")))</f>
        <v/>
      </c>
      <c r="N85" s="62" t="n"/>
      <c r="O85" s="68">
        <f>IF(NOT((COUNTA($B85:$K85)+COUNTA($N85))&gt;0),"",IF((IF(AND($S85="Macro",$B85=""),"Macroactividad vacía"&amp;" · ","")&amp;IF(AND($B85&lt;&gt;"",$C85&lt;&gt;""),"Escriba la subactividad en otra fila, debajo de su macroactividad"&amp;" · ","")&amp;IF(AND($S85="Sub",N($R85)=0),"Subactividad sin macroactividad arriba"&amp;" · ","")&amp;IF($D85="","Sin responsable"&amp;" · ","")&amp;IF($E85="","Sin fecha de inicio"&amp;" · ","")&amp;IF($F85="","Sin fecha límite"&amp;" · ","")&amp;IF(OR(AND($E85&lt;&gt;"",NOT(ISNUMBER($E85))),AND($F85&lt;&gt;"",NOT(ISNUMBER($F85)))),"Fecha no válida"&amp;" · ","")&amp;IF(AND(ISNUMBER($E85),ISNUMBER($F85),$E85&gt;$F85),"Inicio posterior a fecha límite"&amp;" · ","")&amp;IF(AND($S85="Macro",$G85=""),"Peso vacío"&amp;" · ","")&amp;IF(AND($S85="Macro",$G85&lt;&gt;"",OR(NOT(ISNUMBER($G85)),$G85&lt;=0,$G85&gt;1)),"Peso fuera de rango"&amp;" · ","")&amp;IF(AND($S85="Sub",$G85&lt;&gt;""),"Las subactividades no llevan peso"&amp;" · ","")&amp;IF(AND($S85="Macro",ABS(SUMIFS($G$5:$G$1000,$P$5:$P$1000,$P85,$S$5:$S$1000,"Macro")-1)&gt;0.0001),"Pesos del mes suman "&amp;TEXT(SUMIFS($G$5:$G$1000,$P$5:$P$1000,$P85,$S$5:$S$1000,"Macro"),"0%")&amp;" · ","")&amp;IF(AND(N($T85)&gt;0,COUNT($H85:$K85)&gt;0),"Con subactividades: deje vacías las semanas (se calculan solas)"&amp;" · ","")&amp;IF((COUNTIF($H85:$K85,"&gt;1")+COUNTIF($H85:$K85,"&lt;0")+COUNTA($H85:$K85)-COUNT($H85:$K85))&gt;0,"Avance fuera de rango 0-100%"&amp;" · ","")&amp;IF(OR(AND($I85&lt;&gt;"",$I85&lt;$H85),AND($J85&lt;&gt;"",$J85&lt;MAX($H85:$I85)),AND($K85&lt;&gt;"",$K85&lt;MAX($H85:$J85))),"Avance semanal decreciente"&amp;" · ","")&amp;IF(AND(ISNUMBER($F85),$F85&lt;FechaRef,N($L85)&lt;1),"Vencida"&amp;" · ","")&amp;IF(AND(ObsObligatoria="Sí",ISNUMBER($F85),$F85&lt;FechaRef,N($L85)&lt;1,$N85=""),"Vencida sin observación"&amp;" · ",""))="","✔ OK","⚠ "&amp;LEFT(IF(AND($S85="Macro",$B85=""),"Macroactividad vacía"&amp;" · ","")&amp;IF(AND($B85&lt;&gt;"",$C85&lt;&gt;""),"Escriba la subactividad en otra fila, debajo de su macroactividad"&amp;" · ","")&amp;IF(AND($S85="Sub",N($R85)=0),"Subactividad sin macroactividad arriba"&amp;" · ","")&amp;IF($D85="","Sin responsable"&amp;" · ","")&amp;IF($E85="","Sin fecha de inicio"&amp;" · ","")&amp;IF($F85="","Sin fecha límite"&amp;" · ","")&amp;IF(OR(AND($E85&lt;&gt;"",NOT(ISNUMBER($E85))),AND($F85&lt;&gt;"",NOT(ISNUMBER($F85)))),"Fecha no válida"&amp;" · ","")&amp;IF(AND(ISNUMBER($E85),ISNUMBER($F85),$E85&gt;$F85),"Inicio posterior a fecha límite"&amp;" · ","")&amp;IF(AND($S85="Macro",$G85=""),"Peso vacío"&amp;" · ","")&amp;IF(AND($S85="Macro",$G85&lt;&gt;"",OR(NOT(ISNUMBER($G85)),$G85&lt;=0,$G85&gt;1)),"Peso fuera de rango"&amp;" · ","")&amp;IF(AND($S85="Sub",$G85&lt;&gt;""),"Las subactividades no llevan peso"&amp;" · ","")&amp;IF(AND($S85="Macro",ABS(SUMIFS($G$5:$G$1000,$P$5:$P$1000,$P85,$S$5:$S$1000,"Macro")-1)&gt;0.0001),"Pesos del mes suman "&amp;TEXT(SUMIFS($G$5:$G$1000,$P$5:$P$1000,$P85,$S$5:$S$1000,"Macro"),"0%")&amp;" · ","")&amp;IF(AND(N($T85)&gt;0,COUNT($H85:$K85)&gt;0),"Con subactividades: deje vacías las semanas (se calculan solas)"&amp;" · ","")&amp;IF((COUNTIF($H85:$K85,"&gt;1")+COUNTIF($H85:$K85,"&lt;0")+COUNTA($H85:$K85)-COUNT($H85:$K85))&gt;0,"Avance fuera de rango 0-100%"&amp;" · ","")&amp;IF(OR(AND($I85&lt;&gt;"",$I85&lt;$H85),AND($J85&lt;&gt;"",$J85&lt;MAX($H85:$I85)),AND($K85&lt;&gt;"",$K85&lt;MAX($H85:$J85))),"Avance semanal decreciente"&amp;" · ","")&amp;IF(AND(ISNUMBER($F85),$F85&lt;FechaRef,N($L85)&lt;1),"Vencida"&amp;" · ","")&amp;IF(AND(ObsObligatoria="Sí",ISNUMBER($F85),$F85&lt;FechaRef,N($L85)&lt;1,$N85=""),"Vencida sin observación"&amp;" · ",""),LEN(IF(AND($S85="Macro",$B85=""),"Macroactividad vacía"&amp;" · ","")&amp;IF(AND($B85&lt;&gt;"",$C85&lt;&gt;""),"Escriba la subactividad en otra fila, debajo de su macroactividad"&amp;" · ","")&amp;IF(AND($S85="Sub",N($R85)=0),"Subactividad sin macroactividad arriba"&amp;" · ","")&amp;IF($D85="","Sin responsable"&amp;" · ","")&amp;IF($E85="","Sin fecha de inicio"&amp;" · ","")&amp;IF($F85="","Sin fecha límite"&amp;" · ","")&amp;IF(OR(AND($E85&lt;&gt;"",NOT(ISNUMBER($E85))),AND($F85&lt;&gt;"",NOT(ISNUMBER($F85)))),"Fecha no válida"&amp;" · ","")&amp;IF(AND(ISNUMBER($E85),ISNUMBER($F85),$E85&gt;$F85),"Inicio posterior a fecha límite"&amp;" · ","")&amp;IF(AND($S85="Macro",$G85=""),"Peso vacío"&amp;" · ","")&amp;IF(AND($S85="Macro",$G85&lt;&gt;"",OR(NOT(ISNUMBER($G85)),$G85&lt;=0,$G85&gt;1)),"Peso fuera de rango"&amp;" · ","")&amp;IF(AND($S85="Sub",$G85&lt;&gt;""),"Las subactividades no llevan peso"&amp;" · ","")&amp;IF(AND($S85="Macro",ABS(SUMIFS($G$5:$G$1000,$P$5:$P$1000,$P85,$S$5:$S$1000,"Macro")-1)&gt;0.0001),"Pesos del mes suman "&amp;TEXT(SUMIFS($G$5:$G$1000,$P$5:$P$1000,$P85,$S$5:$S$1000,"Macro"),"0%")&amp;" · ","")&amp;IF(AND(N($T85)&gt;0,COUNT($H85:$K85)&gt;0),"Con subactividades: deje vacías las semanas (se calculan solas)"&amp;" · ","")&amp;IF((COUNTIF($H85:$K85,"&gt;1")+COUNTIF($H85:$K85,"&lt;0")+COUNTA($H85:$K85)-COUNT($H85:$K85))&gt;0,"Avance fuera de rango 0-100%"&amp;" · ","")&amp;IF(OR(AND($I85&lt;&gt;"",$I85&lt;$H85),AND($J85&lt;&gt;"",$J85&lt;MAX($H85:$I85)),AND($K85&lt;&gt;"",$K85&lt;MAX($H85:$J85))),"Avance semanal decreciente"&amp;" · ","")&amp;IF(AND(ISNUMBER($F85),$F85&lt;FechaRef,N($L85)&lt;1),"Vencida"&amp;" · ","")&amp;IF(AND(ObsObligatoria="Sí",ISNUMBER($F85),$F85&lt;FechaRef,N($L85)&lt;1,$N85=""),"Vencida sin observación"&amp;" · ",""))-3)))</f>
        <v/>
      </c>
      <c r="P85" s="69">
        <f>IF(NOT((COUNTA($B85:$K85)+COUNTA($N85))&gt;0),"",IF(AND($S85="Sub",N($R85)&gt;0),IF(ISNUMBER(INDEX($E$5:$E$1000,$R85-4)),DATE(YEAR(INDEX($E$5:$E$1000,$R85-4)),MONTH(INDEX($E$5:$E$1000,$R85-4)),1),IF(ISNUMBER(INDEX($F$5:$F$1000,$R85-4)),DATE(YEAR(INDEX($F$5:$F$1000,$R85-4)),MONTH(INDEX($F$5:$F$1000,$R85-4)),1),MesCiclo)),IF(ISNUMBER($E85),DATE(YEAR($E85),MONTH($E85),1),IF(ISNUMBER($F85),DATE(YEAR($F85),MONTH($F85),1),MesCiclo))))</f>
        <v/>
      </c>
      <c r="Q85" s="70">
        <f>IF(OR($P85="",$P85&lt;&gt;MesCiclo),"",COUNTIF($P$5:$P85,MesCiclo))</f>
        <v/>
      </c>
      <c r="R85" s="70">
        <f>IF($S85="","",IF($S85="Macro",ROW(),IFERROR(LOOKUP(2,1/($S$5:$S85="Macro"),ROW($S$5:$S85)),0)))</f>
        <v/>
      </c>
      <c r="S85" s="70">
        <f>IF(NOT((COUNTA($B85:$K85)+COUNTA($N85))&gt;0),"",IF($B85&lt;&gt;"","Macro",IF($C85&lt;&gt;"","Sub","Macro")))</f>
        <v/>
      </c>
      <c r="T85" s="70">
        <f>IF($S85="Macro",COUNTIFS($R$5:$R$1000,ROW(),$S$5:$S$1000,"Sub"),"")</f>
        <v/>
      </c>
      <c r="U85" s="70">
        <f>IF($S85="","",IF(ISNUMBER($H85),$H85,0))</f>
        <v/>
      </c>
      <c r="V85" s="70">
        <f>IF($S85="","",IF(ISNUMBER($I85),$I85,$U85))</f>
        <v/>
      </c>
      <c r="W85" s="70">
        <f>IF($S85="","",IF(ISNUMBER($J85),$J85,$V85))</f>
        <v/>
      </c>
      <c r="X85" s="70">
        <f>IF($S85="","",IF(ISNUMBER($K85),$K85,$W85))</f>
        <v/>
      </c>
      <c r="Y85" s="70">
        <f>IF($S85="","",IF(N($T85)&gt;0,AVERAGEIFS($U$5:$U$1000,$R$5:$R$1000,ROW(),$S$5:$S$1000,"Sub"),$U85))</f>
        <v/>
      </c>
      <c r="Z85" s="70">
        <f>IF($S85="","",IF(N($T85)&gt;0,AVERAGEIFS($V$5:$V$1000,$R$5:$R$1000,ROW(),$S$5:$S$1000,"Sub"),$V85))</f>
        <v/>
      </c>
      <c r="AA85" s="70">
        <f>IF($S85="","",IF(N($T85)&gt;0,AVERAGEIFS($W$5:$W$1000,$R$5:$R$1000,ROW(),$S$5:$S$1000,"Sub"),$W85))</f>
        <v/>
      </c>
      <c r="AB85" s="70">
        <f>IF($S85="","",IF(N($T85)&gt;0,AVERAGEIFS($X$5:$X$1000,$R$5:$R$1000,ROW(),$S$5:$S$1000,"Sub"),$X85))</f>
        <v/>
      </c>
    </row>
    <row r="86">
      <c r="A86" s="61">
        <f>IF(NOT((COUNTA($B86:$K86)+COUNTA($N86))&gt;0),"",IF($S86="Macro",COUNTIFS($S$5:$S86,"Macro",$P$5:$P86,$P86),IF(N($R86)=0,"?",COUNTIFS(INDEX($S$5:$S$1000,1):INDEX($S$5:$S$1000,$R86-4),"Macro",INDEX($P$5:$P$1000,1):INDEX($P$5:$P$1000,$R86-4),INDEX($P$5:$P$1000,$R86-4))&amp;"."&amp;COUNTIFS($R$5:$R86,$R86,$S$5:$S86,"Sub"))))</f>
        <v/>
      </c>
      <c r="B86" s="62" t="n"/>
      <c r="C86" s="63" t="n"/>
      <c r="D86" s="62" t="n"/>
      <c r="E86" s="64" t="n"/>
      <c r="F86" s="64" t="n"/>
      <c r="G86" s="65" t="n"/>
      <c r="H86" s="66" t="n"/>
      <c r="I86" s="66" t="n"/>
      <c r="J86" s="66" t="n"/>
      <c r="K86" s="66" t="n"/>
      <c r="L86" s="67">
        <f>IF(NOT((COUNTA($B86:$K86)+COUNTA($N86))&gt;0),"",IF(N($T86)&gt;0,$AB86,IFERROR(LOOKUP(2,1/(H86:K86&lt;&gt;""),H86:K86),0)))</f>
        <v/>
      </c>
      <c r="M86" s="61">
        <f>IF(L86="","",IF(L86&gt;=1,"Completado",IF(L86&gt;0,"En curso","Pendiente")))</f>
        <v/>
      </c>
      <c r="N86" s="62" t="n"/>
      <c r="O86" s="68">
        <f>IF(NOT((COUNTA($B86:$K86)+COUNTA($N86))&gt;0),"",IF((IF(AND($S86="Macro",$B86=""),"Macroactividad vacía"&amp;" · ","")&amp;IF(AND($B86&lt;&gt;"",$C86&lt;&gt;""),"Escriba la subactividad en otra fila, debajo de su macroactividad"&amp;" · ","")&amp;IF(AND($S86="Sub",N($R86)=0),"Subactividad sin macroactividad arriba"&amp;" · ","")&amp;IF($D86="","Sin responsable"&amp;" · ","")&amp;IF($E86="","Sin fecha de inicio"&amp;" · ","")&amp;IF($F86="","Sin fecha límite"&amp;" · ","")&amp;IF(OR(AND($E86&lt;&gt;"",NOT(ISNUMBER($E86))),AND($F86&lt;&gt;"",NOT(ISNUMBER($F86)))),"Fecha no válida"&amp;" · ","")&amp;IF(AND(ISNUMBER($E86),ISNUMBER($F86),$E86&gt;$F86),"Inicio posterior a fecha límite"&amp;" · ","")&amp;IF(AND($S86="Macro",$G86=""),"Peso vacío"&amp;" · ","")&amp;IF(AND($S86="Macro",$G86&lt;&gt;"",OR(NOT(ISNUMBER($G86)),$G86&lt;=0,$G86&gt;1)),"Peso fuera de rango"&amp;" · ","")&amp;IF(AND($S86="Sub",$G86&lt;&gt;""),"Las subactividades no llevan peso"&amp;" · ","")&amp;IF(AND($S86="Macro",ABS(SUMIFS($G$5:$G$1000,$P$5:$P$1000,$P86,$S$5:$S$1000,"Macro")-1)&gt;0.0001),"Pesos del mes suman "&amp;TEXT(SUMIFS($G$5:$G$1000,$P$5:$P$1000,$P86,$S$5:$S$1000,"Macro"),"0%")&amp;" · ","")&amp;IF(AND(N($T86)&gt;0,COUNT($H86:$K86)&gt;0),"Con subactividades: deje vacías las semanas (se calculan solas)"&amp;" · ","")&amp;IF((COUNTIF($H86:$K86,"&gt;1")+COUNTIF($H86:$K86,"&lt;0")+COUNTA($H86:$K86)-COUNT($H86:$K86))&gt;0,"Avance fuera de rango 0-100%"&amp;" · ","")&amp;IF(OR(AND($I86&lt;&gt;"",$I86&lt;$H86),AND($J86&lt;&gt;"",$J86&lt;MAX($H86:$I86)),AND($K86&lt;&gt;"",$K86&lt;MAX($H86:$J86))),"Avance semanal decreciente"&amp;" · ","")&amp;IF(AND(ISNUMBER($F86),$F86&lt;FechaRef,N($L86)&lt;1),"Vencida"&amp;" · ","")&amp;IF(AND(ObsObligatoria="Sí",ISNUMBER($F86),$F86&lt;FechaRef,N($L86)&lt;1,$N86=""),"Vencida sin observación"&amp;" · ",""))="","✔ OK","⚠ "&amp;LEFT(IF(AND($S86="Macro",$B86=""),"Macroactividad vacía"&amp;" · ","")&amp;IF(AND($B86&lt;&gt;"",$C86&lt;&gt;""),"Escriba la subactividad en otra fila, debajo de su macroactividad"&amp;" · ","")&amp;IF(AND($S86="Sub",N($R86)=0),"Subactividad sin macroactividad arriba"&amp;" · ","")&amp;IF($D86="","Sin responsable"&amp;" · ","")&amp;IF($E86="","Sin fecha de inicio"&amp;" · ","")&amp;IF($F86="","Sin fecha límite"&amp;" · ","")&amp;IF(OR(AND($E86&lt;&gt;"",NOT(ISNUMBER($E86))),AND($F86&lt;&gt;"",NOT(ISNUMBER($F86)))),"Fecha no válida"&amp;" · ","")&amp;IF(AND(ISNUMBER($E86),ISNUMBER($F86),$E86&gt;$F86),"Inicio posterior a fecha límite"&amp;" · ","")&amp;IF(AND($S86="Macro",$G86=""),"Peso vacío"&amp;" · ","")&amp;IF(AND($S86="Macro",$G86&lt;&gt;"",OR(NOT(ISNUMBER($G86)),$G86&lt;=0,$G86&gt;1)),"Peso fuera de rango"&amp;" · ","")&amp;IF(AND($S86="Sub",$G86&lt;&gt;""),"Las subactividades no llevan peso"&amp;" · ","")&amp;IF(AND($S86="Macro",ABS(SUMIFS($G$5:$G$1000,$P$5:$P$1000,$P86,$S$5:$S$1000,"Macro")-1)&gt;0.0001),"Pesos del mes suman "&amp;TEXT(SUMIFS($G$5:$G$1000,$P$5:$P$1000,$P86,$S$5:$S$1000,"Macro"),"0%")&amp;" · ","")&amp;IF(AND(N($T86)&gt;0,COUNT($H86:$K86)&gt;0),"Con subactividades: deje vacías las semanas (se calculan solas)"&amp;" · ","")&amp;IF((COUNTIF($H86:$K86,"&gt;1")+COUNTIF($H86:$K86,"&lt;0")+COUNTA($H86:$K86)-COUNT($H86:$K86))&gt;0,"Avance fuera de rango 0-100%"&amp;" · ","")&amp;IF(OR(AND($I86&lt;&gt;"",$I86&lt;$H86),AND($J86&lt;&gt;"",$J86&lt;MAX($H86:$I86)),AND($K86&lt;&gt;"",$K86&lt;MAX($H86:$J86))),"Avance semanal decreciente"&amp;" · ","")&amp;IF(AND(ISNUMBER($F86),$F86&lt;FechaRef,N($L86)&lt;1),"Vencida"&amp;" · ","")&amp;IF(AND(ObsObligatoria="Sí",ISNUMBER($F86),$F86&lt;FechaRef,N($L86)&lt;1,$N86=""),"Vencida sin observación"&amp;" · ",""),LEN(IF(AND($S86="Macro",$B86=""),"Macroactividad vacía"&amp;" · ","")&amp;IF(AND($B86&lt;&gt;"",$C86&lt;&gt;""),"Escriba la subactividad en otra fila, debajo de su macroactividad"&amp;" · ","")&amp;IF(AND($S86="Sub",N($R86)=0),"Subactividad sin macroactividad arriba"&amp;" · ","")&amp;IF($D86="","Sin responsable"&amp;" · ","")&amp;IF($E86="","Sin fecha de inicio"&amp;" · ","")&amp;IF($F86="","Sin fecha límite"&amp;" · ","")&amp;IF(OR(AND($E86&lt;&gt;"",NOT(ISNUMBER($E86))),AND($F86&lt;&gt;"",NOT(ISNUMBER($F86)))),"Fecha no válida"&amp;" · ","")&amp;IF(AND(ISNUMBER($E86),ISNUMBER($F86),$E86&gt;$F86),"Inicio posterior a fecha límite"&amp;" · ","")&amp;IF(AND($S86="Macro",$G86=""),"Peso vacío"&amp;" · ","")&amp;IF(AND($S86="Macro",$G86&lt;&gt;"",OR(NOT(ISNUMBER($G86)),$G86&lt;=0,$G86&gt;1)),"Peso fuera de rango"&amp;" · ","")&amp;IF(AND($S86="Sub",$G86&lt;&gt;""),"Las subactividades no llevan peso"&amp;" · ","")&amp;IF(AND($S86="Macro",ABS(SUMIFS($G$5:$G$1000,$P$5:$P$1000,$P86,$S$5:$S$1000,"Macro")-1)&gt;0.0001),"Pesos del mes suman "&amp;TEXT(SUMIFS($G$5:$G$1000,$P$5:$P$1000,$P86,$S$5:$S$1000,"Macro"),"0%")&amp;" · ","")&amp;IF(AND(N($T86)&gt;0,COUNT($H86:$K86)&gt;0),"Con subactividades: deje vacías las semanas (se calculan solas)"&amp;" · ","")&amp;IF((COUNTIF($H86:$K86,"&gt;1")+COUNTIF($H86:$K86,"&lt;0")+COUNTA($H86:$K86)-COUNT($H86:$K86))&gt;0,"Avance fuera de rango 0-100%"&amp;" · ","")&amp;IF(OR(AND($I86&lt;&gt;"",$I86&lt;$H86),AND($J86&lt;&gt;"",$J86&lt;MAX($H86:$I86)),AND($K86&lt;&gt;"",$K86&lt;MAX($H86:$J86))),"Avance semanal decreciente"&amp;" · ","")&amp;IF(AND(ISNUMBER($F86),$F86&lt;FechaRef,N($L86)&lt;1),"Vencida"&amp;" · ","")&amp;IF(AND(ObsObligatoria="Sí",ISNUMBER($F86),$F86&lt;FechaRef,N($L86)&lt;1,$N86=""),"Vencida sin observación"&amp;" · ",""))-3)))</f>
        <v/>
      </c>
      <c r="P86" s="69">
        <f>IF(NOT((COUNTA($B86:$K86)+COUNTA($N86))&gt;0),"",IF(AND($S86="Sub",N($R86)&gt;0),IF(ISNUMBER(INDEX($E$5:$E$1000,$R86-4)),DATE(YEAR(INDEX($E$5:$E$1000,$R86-4)),MONTH(INDEX($E$5:$E$1000,$R86-4)),1),IF(ISNUMBER(INDEX($F$5:$F$1000,$R86-4)),DATE(YEAR(INDEX($F$5:$F$1000,$R86-4)),MONTH(INDEX($F$5:$F$1000,$R86-4)),1),MesCiclo)),IF(ISNUMBER($E86),DATE(YEAR($E86),MONTH($E86),1),IF(ISNUMBER($F86),DATE(YEAR($F86),MONTH($F86),1),MesCiclo))))</f>
        <v/>
      </c>
      <c r="Q86" s="70">
        <f>IF(OR($P86="",$P86&lt;&gt;MesCiclo),"",COUNTIF($P$5:$P86,MesCiclo))</f>
        <v/>
      </c>
      <c r="R86" s="70">
        <f>IF($S86="","",IF($S86="Macro",ROW(),IFERROR(LOOKUP(2,1/($S$5:$S86="Macro"),ROW($S$5:$S86)),0)))</f>
        <v/>
      </c>
      <c r="S86" s="70">
        <f>IF(NOT((COUNTA($B86:$K86)+COUNTA($N86))&gt;0),"",IF($B86&lt;&gt;"","Macro",IF($C86&lt;&gt;"","Sub","Macro")))</f>
        <v/>
      </c>
      <c r="T86" s="70">
        <f>IF($S86="Macro",COUNTIFS($R$5:$R$1000,ROW(),$S$5:$S$1000,"Sub"),"")</f>
        <v/>
      </c>
      <c r="U86" s="70">
        <f>IF($S86="","",IF(ISNUMBER($H86),$H86,0))</f>
        <v/>
      </c>
      <c r="V86" s="70">
        <f>IF($S86="","",IF(ISNUMBER($I86),$I86,$U86))</f>
        <v/>
      </c>
      <c r="W86" s="70">
        <f>IF($S86="","",IF(ISNUMBER($J86),$J86,$V86))</f>
        <v/>
      </c>
      <c r="X86" s="70">
        <f>IF($S86="","",IF(ISNUMBER($K86),$K86,$W86))</f>
        <v/>
      </c>
      <c r="Y86" s="70">
        <f>IF($S86="","",IF(N($T86)&gt;0,AVERAGEIFS($U$5:$U$1000,$R$5:$R$1000,ROW(),$S$5:$S$1000,"Sub"),$U86))</f>
        <v/>
      </c>
      <c r="Z86" s="70">
        <f>IF($S86="","",IF(N($T86)&gt;0,AVERAGEIFS($V$5:$V$1000,$R$5:$R$1000,ROW(),$S$5:$S$1000,"Sub"),$V86))</f>
        <v/>
      </c>
      <c r="AA86" s="70">
        <f>IF($S86="","",IF(N($T86)&gt;0,AVERAGEIFS($W$5:$W$1000,$R$5:$R$1000,ROW(),$S$5:$S$1000,"Sub"),$W86))</f>
        <v/>
      </c>
      <c r="AB86" s="70">
        <f>IF($S86="","",IF(N($T86)&gt;0,AVERAGEIFS($X$5:$X$1000,$R$5:$R$1000,ROW(),$S$5:$S$1000,"Sub"),$X86))</f>
        <v/>
      </c>
    </row>
    <row r="87">
      <c r="A87" s="61">
        <f>IF(NOT((COUNTA($B87:$K87)+COUNTA($N87))&gt;0),"",IF($S87="Macro",COUNTIFS($S$5:$S87,"Macro",$P$5:$P87,$P87),IF(N($R87)=0,"?",COUNTIFS(INDEX($S$5:$S$1000,1):INDEX($S$5:$S$1000,$R87-4),"Macro",INDEX($P$5:$P$1000,1):INDEX($P$5:$P$1000,$R87-4),INDEX($P$5:$P$1000,$R87-4))&amp;"."&amp;COUNTIFS($R$5:$R87,$R87,$S$5:$S87,"Sub"))))</f>
        <v/>
      </c>
      <c r="B87" s="62" t="n"/>
      <c r="C87" s="63" t="n"/>
      <c r="D87" s="62" t="n"/>
      <c r="E87" s="64" t="n"/>
      <c r="F87" s="64" t="n"/>
      <c r="G87" s="65" t="n"/>
      <c r="H87" s="66" t="n"/>
      <c r="I87" s="66" t="n"/>
      <c r="J87" s="66" t="n"/>
      <c r="K87" s="66" t="n"/>
      <c r="L87" s="67">
        <f>IF(NOT((COUNTA($B87:$K87)+COUNTA($N87))&gt;0),"",IF(N($T87)&gt;0,$AB87,IFERROR(LOOKUP(2,1/(H87:K87&lt;&gt;""),H87:K87),0)))</f>
        <v/>
      </c>
      <c r="M87" s="61">
        <f>IF(L87="","",IF(L87&gt;=1,"Completado",IF(L87&gt;0,"En curso","Pendiente")))</f>
        <v/>
      </c>
      <c r="N87" s="62" t="n"/>
      <c r="O87" s="68">
        <f>IF(NOT((COUNTA($B87:$K87)+COUNTA($N87))&gt;0),"",IF((IF(AND($S87="Macro",$B87=""),"Macroactividad vacía"&amp;" · ","")&amp;IF(AND($B87&lt;&gt;"",$C87&lt;&gt;""),"Escriba la subactividad en otra fila, debajo de su macroactividad"&amp;" · ","")&amp;IF(AND($S87="Sub",N($R87)=0),"Subactividad sin macroactividad arriba"&amp;" · ","")&amp;IF($D87="","Sin responsable"&amp;" · ","")&amp;IF($E87="","Sin fecha de inicio"&amp;" · ","")&amp;IF($F87="","Sin fecha límite"&amp;" · ","")&amp;IF(OR(AND($E87&lt;&gt;"",NOT(ISNUMBER($E87))),AND($F87&lt;&gt;"",NOT(ISNUMBER($F87)))),"Fecha no válida"&amp;" · ","")&amp;IF(AND(ISNUMBER($E87),ISNUMBER($F87),$E87&gt;$F87),"Inicio posterior a fecha límite"&amp;" · ","")&amp;IF(AND($S87="Macro",$G87=""),"Peso vacío"&amp;" · ","")&amp;IF(AND($S87="Macro",$G87&lt;&gt;"",OR(NOT(ISNUMBER($G87)),$G87&lt;=0,$G87&gt;1)),"Peso fuera de rango"&amp;" · ","")&amp;IF(AND($S87="Sub",$G87&lt;&gt;""),"Las subactividades no llevan peso"&amp;" · ","")&amp;IF(AND($S87="Macro",ABS(SUMIFS($G$5:$G$1000,$P$5:$P$1000,$P87,$S$5:$S$1000,"Macro")-1)&gt;0.0001),"Pesos del mes suman "&amp;TEXT(SUMIFS($G$5:$G$1000,$P$5:$P$1000,$P87,$S$5:$S$1000,"Macro"),"0%")&amp;" · ","")&amp;IF(AND(N($T87)&gt;0,COUNT($H87:$K87)&gt;0),"Con subactividades: deje vacías las semanas (se calculan solas)"&amp;" · ","")&amp;IF((COUNTIF($H87:$K87,"&gt;1")+COUNTIF($H87:$K87,"&lt;0")+COUNTA($H87:$K87)-COUNT($H87:$K87))&gt;0,"Avance fuera de rango 0-100%"&amp;" · ","")&amp;IF(OR(AND($I87&lt;&gt;"",$I87&lt;$H87),AND($J87&lt;&gt;"",$J87&lt;MAX($H87:$I87)),AND($K87&lt;&gt;"",$K87&lt;MAX($H87:$J87))),"Avance semanal decreciente"&amp;" · ","")&amp;IF(AND(ISNUMBER($F87),$F87&lt;FechaRef,N($L87)&lt;1),"Vencida"&amp;" · ","")&amp;IF(AND(ObsObligatoria="Sí",ISNUMBER($F87),$F87&lt;FechaRef,N($L87)&lt;1,$N87=""),"Vencida sin observación"&amp;" · ",""))="","✔ OK","⚠ "&amp;LEFT(IF(AND($S87="Macro",$B87=""),"Macroactividad vacía"&amp;" · ","")&amp;IF(AND($B87&lt;&gt;"",$C87&lt;&gt;""),"Escriba la subactividad en otra fila, debajo de su macroactividad"&amp;" · ","")&amp;IF(AND($S87="Sub",N($R87)=0),"Subactividad sin macroactividad arriba"&amp;" · ","")&amp;IF($D87="","Sin responsable"&amp;" · ","")&amp;IF($E87="","Sin fecha de inicio"&amp;" · ","")&amp;IF($F87="","Sin fecha límite"&amp;" · ","")&amp;IF(OR(AND($E87&lt;&gt;"",NOT(ISNUMBER($E87))),AND($F87&lt;&gt;"",NOT(ISNUMBER($F87)))),"Fecha no válida"&amp;" · ","")&amp;IF(AND(ISNUMBER($E87),ISNUMBER($F87),$E87&gt;$F87),"Inicio posterior a fecha límite"&amp;" · ","")&amp;IF(AND($S87="Macro",$G87=""),"Peso vacío"&amp;" · ","")&amp;IF(AND($S87="Macro",$G87&lt;&gt;"",OR(NOT(ISNUMBER($G87)),$G87&lt;=0,$G87&gt;1)),"Peso fuera de rango"&amp;" · ","")&amp;IF(AND($S87="Sub",$G87&lt;&gt;""),"Las subactividades no llevan peso"&amp;" · ","")&amp;IF(AND($S87="Macro",ABS(SUMIFS($G$5:$G$1000,$P$5:$P$1000,$P87,$S$5:$S$1000,"Macro")-1)&gt;0.0001),"Pesos del mes suman "&amp;TEXT(SUMIFS($G$5:$G$1000,$P$5:$P$1000,$P87,$S$5:$S$1000,"Macro"),"0%")&amp;" · ","")&amp;IF(AND(N($T87)&gt;0,COUNT($H87:$K87)&gt;0),"Con subactividades: deje vacías las semanas (se calculan solas)"&amp;" · ","")&amp;IF((COUNTIF($H87:$K87,"&gt;1")+COUNTIF($H87:$K87,"&lt;0")+COUNTA($H87:$K87)-COUNT($H87:$K87))&gt;0,"Avance fuera de rango 0-100%"&amp;" · ","")&amp;IF(OR(AND($I87&lt;&gt;"",$I87&lt;$H87),AND($J87&lt;&gt;"",$J87&lt;MAX($H87:$I87)),AND($K87&lt;&gt;"",$K87&lt;MAX($H87:$J87))),"Avance semanal decreciente"&amp;" · ","")&amp;IF(AND(ISNUMBER($F87),$F87&lt;FechaRef,N($L87)&lt;1),"Vencida"&amp;" · ","")&amp;IF(AND(ObsObligatoria="Sí",ISNUMBER($F87),$F87&lt;FechaRef,N($L87)&lt;1,$N87=""),"Vencida sin observación"&amp;" · ",""),LEN(IF(AND($S87="Macro",$B87=""),"Macroactividad vacía"&amp;" · ","")&amp;IF(AND($B87&lt;&gt;"",$C87&lt;&gt;""),"Escriba la subactividad en otra fila, debajo de su macroactividad"&amp;" · ","")&amp;IF(AND($S87="Sub",N($R87)=0),"Subactividad sin macroactividad arriba"&amp;" · ","")&amp;IF($D87="","Sin responsable"&amp;" · ","")&amp;IF($E87="","Sin fecha de inicio"&amp;" · ","")&amp;IF($F87="","Sin fecha límite"&amp;" · ","")&amp;IF(OR(AND($E87&lt;&gt;"",NOT(ISNUMBER($E87))),AND($F87&lt;&gt;"",NOT(ISNUMBER($F87)))),"Fecha no válida"&amp;" · ","")&amp;IF(AND(ISNUMBER($E87),ISNUMBER($F87),$E87&gt;$F87),"Inicio posterior a fecha límite"&amp;" · ","")&amp;IF(AND($S87="Macro",$G87=""),"Peso vacío"&amp;" · ","")&amp;IF(AND($S87="Macro",$G87&lt;&gt;"",OR(NOT(ISNUMBER($G87)),$G87&lt;=0,$G87&gt;1)),"Peso fuera de rango"&amp;" · ","")&amp;IF(AND($S87="Sub",$G87&lt;&gt;""),"Las subactividades no llevan peso"&amp;" · ","")&amp;IF(AND($S87="Macro",ABS(SUMIFS($G$5:$G$1000,$P$5:$P$1000,$P87,$S$5:$S$1000,"Macro")-1)&gt;0.0001),"Pesos del mes suman "&amp;TEXT(SUMIFS($G$5:$G$1000,$P$5:$P$1000,$P87,$S$5:$S$1000,"Macro"),"0%")&amp;" · ","")&amp;IF(AND(N($T87)&gt;0,COUNT($H87:$K87)&gt;0),"Con subactividades: deje vacías las semanas (se calculan solas)"&amp;" · ","")&amp;IF((COUNTIF($H87:$K87,"&gt;1")+COUNTIF($H87:$K87,"&lt;0")+COUNTA($H87:$K87)-COUNT($H87:$K87))&gt;0,"Avance fuera de rango 0-100%"&amp;" · ","")&amp;IF(OR(AND($I87&lt;&gt;"",$I87&lt;$H87),AND($J87&lt;&gt;"",$J87&lt;MAX($H87:$I87)),AND($K87&lt;&gt;"",$K87&lt;MAX($H87:$J87))),"Avance semanal decreciente"&amp;" · ","")&amp;IF(AND(ISNUMBER($F87),$F87&lt;FechaRef,N($L87)&lt;1),"Vencida"&amp;" · ","")&amp;IF(AND(ObsObligatoria="Sí",ISNUMBER($F87),$F87&lt;FechaRef,N($L87)&lt;1,$N87=""),"Vencida sin observación"&amp;" · ",""))-3)))</f>
        <v/>
      </c>
      <c r="P87" s="69">
        <f>IF(NOT((COUNTA($B87:$K87)+COUNTA($N87))&gt;0),"",IF(AND($S87="Sub",N($R87)&gt;0),IF(ISNUMBER(INDEX($E$5:$E$1000,$R87-4)),DATE(YEAR(INDEX($E$5:$E$1000,$R87-4)),MONTH(INDEX($E$5:$E$1000,$R87-4)),1),IF(ISNUMBER(INDEX($F$5:$F$1000,$R87-4)),DATE(YEAR(INDEX($F$5:$F$1000,$R87-4)),MONTH(INDEX($F$5:$F$1000,$R87-4)),1),MesCiclo)),IF(ISNUMBER($E87),DATE(YEAR($E87),MONTH($E87),1),IF(ISNUMBER($F87),DATE(YEAR($F87),MONTH($F87),1),MesCiclo))))</f>
        <v/>
      </c>
      <c r="Q87" s="70">
        <f>IF(OR($P87="",$P87&lt;&gt;MesCiclo),"",COUNTIF($P$5:$P87,MesCiclo))</f>
        <v/>
      </c>
      <c r="R87" s="70">
        <f>IF($S87="","",IF($S87="Macro",ROW(),IFERROR(LOOKUP(2,1/($S$5:$S87="Macro"),ROW($S$5:$S87)),0)))</f>
        <v/>
      </c>
      <c r="S87" s="70">
        <f>IF(NOT((COUNTA($B87:$K87)+COUNTA($N87))&gt;0),"",IF($B87&lt;&gt;"","Macro",IF($C87&lt;&gt;"","Sub","Macro")))</f>
        <v/>
      </c>
      <c r="T87" s="70">
        <f>IF($S87="Macro",COUNTIFS($R$5:$R$1000,ROW(),$S$5:$S$1000,"Sub"),"")</f>
        <v/>
      </c>
      <c r="U87" s="70">
        <f>IF($S87="","",IF(ISNUMBER($H87),$H87,0))</f>
        <v/>
      </c>
      <c r="V87" s="70">
        <f>IF($S87="","",IF(ISNUMBER($I87),$I87,$U87))</f>
        <v/>
      </c>
      <c r="W87" s="70">
        <f>IF($S87="","",IF(ISNUMBER($J87),$J87,$V87))</f>
        <v/>
      </c>
      <c r="X87" s="70">
        <f>IF($S87="","",IF(ISNUMBER($K87),$K87,$W87))</f>
        <v/>
      </c>
      <c r="Y87" s="70">
        <f>IF($S87="","",IF(N($T87)&gt;0,AVERAGEIFS($U$5:$U$1000,$R$5:$R$1000,ROW(),$S$5:$S$1000,"Sub"),$U87))</f>
        <v/>
      </c>
      <c r="Z87" s="70">
        <f>IF($S87="","",IF(N($T87)&gt;0,AVERAGEIFS($V$5:$V$1000,$R$5:$R$1000,ROW(),$S$5:$S$1000,"Sub"),$V87))</f>
        <v/>
      </c>
      <c r="AA87" s="70">
        <f>IF($S87="","",IF(N($T87)&gt;0,AVERAGEIFS($W$5:$W$1000,$R$5:$R$1000,ROW(),$S$5:$S$1000,"Sub"),$W87))</f>
        <v/>
      </c>
      <c r="AB87" s="70">
        <f>IF($S87="","",IF(N($T87)&gt;0,AVERAGEIFS($X$5:$X$1000,$R$5:$R$1000,ROW(),$S$5:$S$1000,"Sub"),$X87))</f>
        <v/>
      </c>
    </row>
    <row r="88">
      <c r="A88" s="61">
        <f>IF(NOT((COUNTA($B88:$K88)+COUNTA($N88))&gt;0),"",IF($S88="Macro",COUNTIFS($S$5:$S88,"Macro",$P$5:$P88,$P88),IF(N($R88)=0,"?",COUNTIFS(INDEX($S$5:$S$1000,1):INDEX($S$5:$S$1000,$R88-4),"Macro",INDEX($P$5:$P$1000,1):INDEX($P$5:$P$1000,$R88-4),INDEX($P$5:$P$1000,$R88-4))&amp;"."&amp;COUNTIFS($R$5:$R88,$R88,$S$5:$S88,"Sub"))))</f>
        <v/>
      </c>
      <c r="B88" s="62" t="n"/>
      <c r="C88" s="63" t="n"/>
      <c r="D88" s="62" t="n"/>
      <c r="E88" s="64" t="n"/>
      <c r="F88" s="64" t="n"/>
      <c r="G88" s="65" t="n"/>
      <c r="H88" s="66" t="n"/>
      <c r="I88" s="66" t="n"/>
      <c r="J88" s="66" t="n"/>
      <c r="K88" s="66" t="n"/>
      <c r="L88" s="67">
        <f>IF(NOT((COUNTA($B88:$K88)+COUNTA($N88))&gt;0),"",IF(N($T88)&gt;0,$AB88,IFERROR(LOOKUP(2,1/(H88:K88&lt;&gt;""),H88:K88),0)))</f>
        <v/>
      </c>
      <c r="M88" s="61">
        <f>IF(L88="","",IF(L88&gt;=1,"Completado",IF(L88&gt;0,"En curso","Pendiente")))</f>
        <v/>
      </c>
      <c r="N88" s="62" t="n"/>
      <c r="O88" s="68">
        <f>IF(NOT((COUNTA($B88:$K88)+COUNTA($N88))&gt;0),"",IF((IF(AND($S88="Macro",$B88=""),"Macroactividad vacía"&amp;" · ","")&amp;IF(AND($B88&lt;&gt;"",$C88&lt;&gt;""),"Escriba la subactividad en otra fila, debajo de su macroactividad"&amp;" · ","")&amp;IF(AND($S88="Sub",N($R88)=0),"Subactividad sin macroactividad arriba"&amp;" · ","")&amp;IF($D88="","Sin responsable"&amp;" · ","")&amp;IF($E88="","Sin fecha de inicio"&amp;" · ","")&amp;IF($F88="","Sin fecha límite"&amp;" · ","")&amp;IF(OR(AND($E88&lt;&gt;"",NOT(ISNUMBER($E88))),AND($F88&lt;&gt;"",NOT(ISNUMBER($F88)))),"Fecha no válida"&amp;" · ","")&amp;IF(AND(ISNUMBER($E88),ISNUMBER($F88),$E88&gt;$F88),"Inicio posterior a fecha límite"&amp;" · ","")&amp;IF(AND($S88="Macro",$G88=""),"Peso vacío"&amp;" · ","")&amp;IF(AND($S88="Macro",$G88&lt;&gt;"",OR(NOT(ISNUMBER($G88)),$G88&lt;=0,$G88&gt;1)),"Peso fuera de rango"&amp;" · ","")&amp;IF(AND($S88="Sub",$G88&lt;&gt;""),"Las subactividades no llevan peso"&amp;" · ","")&amp;IF(AND($S88="Macro",ABS(SUMIFS($G$5:$G$1000,$P$5:$P$1000,$P88,$S$5:$S$1000,"Macro")-1)&gt;0.0001),"Pesos del mes suman "&amp;TEXT(SUMIFS($G$5:$G$1000,$P$5:$P$1000,$P88,$S$5:$S$1000,"Macro"),"0%")&amp;" · ","")&amp;IF(AND(N($T88)&gt;0,COUNT($H88:$K88)&gt;0),"Con subactividades: deje vacías las semanas (se calculan solas)"&amp;" · ","")&amp;IF((COUNTIF($H88:$K88,"&gt;1")+COUNTIF($H88:$K88,"&lt;0")+COUNTA($H88:$K88)-COUNT($H88:$K88))&gt;0,"Avance fuera de rango 0-100%"&amp;" · ","")&amp;IF(OR(AND($I88&lt;&gt;"",$I88&lt;$H88),AND($J88&lt;&gt;"",$J88&lt;MAX($H88:$I88)),AND($K88&lt;&gt;"",$K88&lt;MAX($H88:$J88))),"Avance semanal decreciente"&amp;" · ","")&amp;IF(AND(ISNUMBER($F88),$F88&lt;FechaRef,N($L88)&lt;1),"Vencida"&amp;" · ","")&amp;IF(AND(ObsObligatoria="Sí",ISNUMBER($F88),$F88&lt;FechaRef,N($L88)&lt;1,$N88=""),"Vencida sin observación"&amp;" · ",""))="","✔ OK","⚠ "&amp;LEFT(IF(AND($S88="Macro",$B88=""),"Macroactividad vacía"&amp;" · ","")&amp;IF(AND($B88&lt;&gt;"",$C88&lt;&gt;""),"Escriba la subactividad en otra fila, debajo de su macroactividad"&amp;" · ","")&amp;IF(AND($S88="Sub",N($R88)=0),"Subactividad sin macroactividad arriba"&amp;" · ","")&amp;IF($D88="","Sin responsable"&amp;" · ","")&amp;IF($E88="","Sin fecha de inicio"&amp;" · ","")&amp;IF($F88="","Sin fecha límite"&amp;" · ","")&amp;IF(OR(AND($E88&lt;&gt;"",NOT(ISNUMBER($E88))),AND($F88&lt;&gt;"",NOT(ISNUMBER($F88)))),"Fecha no válida"&amp;" · ","")&amp;IF(AND(ISNUMBER($E88),ISNUMBER($F88),$E88&gt;$F88),"Inicio posterior a fecha límite"&amp;" · ","")&amp;IF(AND($S88="Macro",$G88=""),"Peso vacío"&amp;" · ","")&amp;IF(AND($S88="Macro",$G88&lt;&gt;"",OR(NOT(ISNUMBER($G88)),$G88&lt;=0,$G88&gt;1)),"Peso fuera de rango"&amp;" · ","")&amp;IF(AND($S88="Sub",$G88&lt;&gt;""),"Las subactividades no llevan peso"&amp;" · ","")&amp;IF(AND($S88="Macro",ABS(SUMIFS($G$5:$G$1000,$P$5:$P$1000,$P88,$S$5:$S$1000,"Macro")-1)&gt;0.0001),"Pesos del mes suman "&amp;TEXT(SUMIFS($G$5:$G$1000,$P$5:$P$1000,$P88,$S$5:$S$1000,"Macro"),"0%")&amp;" · ","")&amp;IF(AND(N($T88)&gt;0,COUNT($H88:$K88)&gt;0),"Con subactividades: deje vacías las semanas (se calculan solas)"&amp;" · ","")&amp;IF((COUNTIF($H88:$K88,"&gt;1")+COUNTIF($H88:$K88,"&lt;0")+COUNTA($H88:$K88)-COUNT($H88:$K88))&gt;0,"Avance fuera de rango 0-100%"&amp;" · ","")&amp;IF(OR(AND($I88&lt;&gt;"",$I88&lt;$H88),AND($J88&lt;&gt;"",$J88&lt;MAX($H88:$I88)),AND($K88&lt;&gt;"",$K88&lt;MAX($H88:$J88))),"Avance semanal decreciente"&amp;" · ","")&amp;IF(AND(ISNUMBER($F88),$F88&lt;FechaRef,N($L88)&lt;1),"Vencida"&amp;" · ","")&amp;IF(AND(ObsObligatoria="Sí",ISNUMBER($F88),$F88&lt;FechaRef,N($L88)&lt;1,$N88=""),"Vencida sin observación"&amp;" · ",""),LEN(IF(AND($S88="Macro",$B88=""),"Macroactividad vacía"&amp;" · ","")&amp;IF(AND($B88&lt;&gt;"",$C88&lt;&gt;""),"Escriba la subactividad en otra fila, debajo de su macroactividad"&amp;" · ","")&amp;IF(AND($S88="Sub",N($R88)=0),"Subactividad sin macroactividad arriba"&amp;" · ","")&amp;IF($D88="","Sin responsable"&amp;" · ","")&amp;IF($E88="","Sin fecha de inicio"&amp;" · ","")&amp;IF($F88="","Sin fecha límite"&amp;" · ","")&amp;IF(OR(AND($E88&lt;&gt;"",NOT(ISNUMBER($E88))),AND($F88&lt;&gt;"",NOT(ISNUMBER($F88)))),"Fecha no válida"&amp;" · ","")&amp;IF(AND(ISNUMBER($E88),ISNUMBER($F88),$E88&gt;$F88),"Inicio posterior a fecha límite"&amp;" · ","")&amp;IF(AND($S88="Macro",$G88=""),"Peso vacío"&amp;" · ","")&amp;IF(AND($S88="Macro",$G88&lt;&gt;"",OR(NOT(ISNUMBER($G88)),$G88&lt;=0,$G88&gt;1)),"Peso fuera de rango"&amp;" · ","")&amp;IF(AND($S88="Sub",$G88&lt;&gt;""),"Las subactividades no llevan peso"&amp;" · ","")&amp;IF(AND($S88="Macro",ABS(SUMIFS($G$5:$G$1000,$P$5:$P$1000,$P88,$S$5:$S$1000,"Macro")-1)&gt;0.0001),"Pesos del mes suman "&amp;TEXT(SUMIFS($G$5:$G$1000,$P$5:$P$1000,$P88,$S$5:$S$1000,"Macro"),"0%")&amp;" · ","")&amp;IF(AND(N($T88)&gt;0,COUNT($H88:$K88)&gt;0),"Con subactividades: deje vacías las semanas (se calculan solas)"&amp;" · ","")&amp;IF((COUNTIF($H88:$K88,"&gt;1")+COUNTIF($H88:$K88,"&lt;0")+COUNTA($H88:$K88)-COUNT($H88:$K88))&gt;0,"Avance fuera de rango 0-100%"&amp;" · ","")&amp;IF(OR(AND($I88&lt;&gt;"",$I88&lt;$H88),AND($J88&lt;&gt;"",$J88&lt;MAX($H88:$I88)),AND($K88&lt;&gt;"",$K88&lt;MAX($H88:$J88))),"Avance semanal decreciente"&amp;" · ","")&amp;IF(AND(ISNUMBER($F88),$F88&lt;FechaRef,N($L88)&lt;1),"Vencida"&amp;" · ","")&amp;IF(AND(ObsObligatoria="Sí",ISNUMBER($F88),$F88&lt;FechaRef,N($L88)&lt;1,$N88=""),"Vencida sin observación"&amp;" · ",""))-3)))</f>
        <v/>
      </c>
      <c r="P88" s="69">
        <f>IF(NOT((COUNTA($B88:$K88)+COUNTA($N88))&gt;0),"",IF(AND($S88="Sub",N($R88)&gt;0),IF(ISNUMBER(INDEX($E$5:$E$1000,$R88-4)),DATE(YEAR(INDEX($E$5:$E$1000,$R88-4)),MONTH(INDEX($E$5:$E$1000,$R88-4)),1),IF(ISNUMBER(INDEX($F$5:$F$1000,$R88-4)),DATE(YEAR(INDEX($F$5:$F$1000,$R88-4)),MONTH(INDEX($F$5:$F$1000,$R88-4)),1),MesCiclo)),IF(ISNUMBER($E88),DATE(YEAR($E88),MONTH($E88),1),IF(ISNUMBER($F88),DATE(YEAR($F88),MONTH($F88),1),MesCiclo))))</f>
        <v/>
      </c>
      <c r="Q88" s="70">
        <f>IF(OR($P88="",$P88&lt;&gt;MesCiclo),"",COUNTIF($P$5:$P88,MesCiclo))</f>
        <v/>
      </c>
      <c r="R88" s="70">
        <f>IF($S88="","",IF($S88="Macro",ROW(),IFERROR(LOOKUP(2,1/($S$5:$S88="Macro"),ROW($S$5:$S88)),0)))</f>
        <v/>
      </c>
      <c r="S88" s="70">
        <f>IF(NOT((COUNTA($B88:$K88)+COUNTA($N88))&gt;0),"",IF($B88&lt;&gt;"","Macro",IF($C88&lt;&gt;"","Sub","Macro")))</f>
        <v/>
      </c>
      <c r="T88" s="70">
        <f>IF($S88="Macro",COUNTIFS($R$5:$R$1000,ROW(),$S$5:$S$1000,"Sub"),"")</f>
        <v/>
      </c>
      <c r="U88" s="70">
        <f>IF($S88="","",IF(ISNUMBER($H88),$H88,0))</f>
        <v/>
      </c>
      <c r="V88" s="70">
        <f>IF($S88="","",IF(ISNUMBER($I88),$I88,$U88))</f>
        <v/>
      </c>
      <c r="W88" s="70">
        <f>IF($S88="","",IF(ISNUMBER($J88),$J88,$V88))</f>
        <v/>
      </c>
      <c r="X88" s="70">
        <f>IF($S88="","",IF(ISNUMBER($K88),$K88,$W88))</f>
        <v/>
      </c>
      <c r="Y88" s="70">
        <f>IF($S88="","",IF(N($T88)&gt;0,AVERAGEIFS($U$5:$U$1000,$R$5:$R$1000,ROW(),$S$5:$S$1000,"Sub"),$U88))</f>
        <v/>
      </c>
      <c r="Z88" s="70">
        <f>IF($S88="","",IF(N($T88)&gt;0,AVERAGEIFS($V$5:$V$1000,$R$5:$R$1000,ROW(),$S$5:$S$1000,"Sub"),$V88))</f>
        <v/>
      </c>
      <c r="AA88" s="70">
        <f>IF($S88="","",IF(N($T88)&gt;0,AVERAGEIFS($W$5:$W$1000,$R$5:$R$1000,ROW(),$S$5:$S$1000,"Sub"),$W88))</f>
        <v/>
      </c>
      <c r="AB88" s="70">
        <f>IF($S88="","",IF(N($T88)&gt;0,AVERAGEIFS($X$5:$X$1000,$R$5:$R$1000,ROW(),$S$5:$S$1000,"Sub"),$X88))</f>
        <v/>
      </c>
    </row>
    <row r="89">
      <c r="A89" s="61">
        <f>IF(NOT((COUNTA($B89:$K89)+COUNTA($N89))&gt;0),"",IF($S89="Macro",COUNTIFS($S$5:$S89,"Macro",$P$5:$P89,$P89),IF(N($R89)=0,"?",COUNTIFS(INDEX($S$5:$S$1000,1):INDEX($S$5:$S$1000,$R89-4),"Macro",INDEX($P$5:$P$1000,1):INDEX($P$5:$P$1000,$R89-4),INDEX($P$5:$P$1000,$R89-4))&amp;"."&amp;COUNTIFS($R$5:$R89,$R89,$S$5:$S89,"Sub"))))</f>
        <v/>
      </c>
      <c r="B89" s="62" t="n"/>
      <c r="C89" s="63" t="n"/>
      <c r="D89" s="62" t="n"/>
      <c r="E89" s="64" t="n"/>
      <c r="F89" s="64" t="n"/>
      <c r="G89" s="65" t="n"/>
      <c r="H89" s="66" t="n"/>
      <c r="I89" s="66" t="n"/>
      <c r="J89" s="66" t="n"/>
      <c r="K89" s="66" t="n"/>
      <c r="L89" s="67">
        <f>IF(NOT((COUNTA($B89:$K89)+COUNTA($N89))&gt;0),"",IF(N($T89)&gt;0,$AB89,IFERROR(LOOKUP(2,1/(H89:K89&lt;&gt;""),H89:K89),0)))</f>
        <v/>
      </c>
      <c r="M89" s="61">
        <f>IF(L89="","",IF(L89&gt;=1,"Completado",IF(L89&gt;0,"En curso","Pendiente")))</f>
        <v/>
      </c>
      <c r="N89" s="62" t="n"/>
      <c r="O89" s="68">
        <f>IF(NOT((COUNTA($B89:$K89)+COUNTA($N89))&gt;0),"",IF((IF(AND($S89="Macro",$B89=""),"Macroactividad vacía"&amp;" · ","")&amp;IF(AND($B89&lt;&gt;"",$C89&lt;&gt;""),"Escriba la subactividad en otra fila, debajo de su macroactividad"&amp;" · ","")&amp;IF(AND($S89="Sub",N($R89)=0),"Subactividad sin macroactividad arriba"&amp;" · ","")&amp;IF($D89="","Sin responsable"&amp;" · ","")&amp;IF($E89="","Sin fecha de inicio"&amp;" · ","")&amp;IF($F89="","Sin fecha límite"&amp;" · ","")&amp;IF(OR(AND($E89&lt;&gt;"",NOT(ISNUMBER($E89))),AND($F89&lt;&gt;"",NOT(ISNUMBER($F89)))),"Fecha no válida"&amp;" · ","")&amp;IF(AND(ISNUMBER($E89),ISNUMBER($F89),$E89&gt;$F89),"Inicio posterior a fecha límite"&amp;" · ","")&amp;IF(AND($S89="Macro",$G89=""),"Peso vacío"&amp;" · ","")&amp;IF(AND($S89="Macro",$G89&lt;&gt;"",OR(NOT(ISNUMBER($G89)),$G89&lt;=0,$G89&gt;1)),"Peso fuera de rango"&amp;" · ","")&amp;IF(AND($S89="Sub",$G89&lt;&gt;""),"Las subactividades no llevan peso"&amp;" · ","")&amp;IF(AND($S89="Macro",ABS(SUMIFS($G$5:$G$1000,$P$5:$P$1000,$P89,$S$5:$S$1000,"Macro")-1)&gt;0.0001),"Pesos del mes suman "&amp;TEXT(SUMIFS($G$5:$G$1000,$P$5:$P$1000,$P89,$S$5:$S$1000,"Macro"),"0%")&amp;" · ","")&amp;IF(AND(N($T89)&gt;0,COUNT($H89:$K89)&gt;0),"Con subactividades: deje vacías las semanas (se calculan solas)"&amp;" · ","")&amp;IF((COUNTIF($H89:$K89,"&gt;1")+COUNTIF($H89:$K89,"&lt;0")+COUNTA($H89:$K89)-COUNT($H89:$K89))&gt;0,"Avance fuera de rango 0-100%"&amp;" · ","")&amp;IF(OR(AND($I89&lt;&gt;"",$I89&lt;$H89),AND($J89&lt;&gt;"",$J89&lt;MAX($H89:$I89)),AND($K89&lt;&gt;"",$K89&lt;MAX($H89:$J89))),"Avance semanal decreciente"&amp;" · ","")&amp;IF(AND(ISNUMBER($F89),$F89&lt;FechaRef,N($L89)&lt;1),"Vencida"&amp;" · ","")&amp;IF(AND(ObsObligatoria="Sí",ISNUMBER($F89),$F89&lt;FechaRef,N($L89)&lt;1,$N89=""),"Vencida sin observación"&amp;" · ",""))="","✔ OK","⚠ "&amp;LEFT(IF(AND($S89="Macro",$B89=""),"Macroactividad vacía"&amp;" · ","")&amp;IF(AND($B89&lt;&gt;"",$C89&lt;&gt;""),"Escriba la subactividad en otra fila, debajo de su macroactividad"&amp;" · ","")&amp;IF(AND($S89="Sub",N($R89)=0),"Subactividad sin macroactividad arriba"&amp;" · ","")&amp;IF($D89="","Sin responsable"&amp;" · ","")&amp;IF($E89="","Sin fecha de inicio"&amp;" · ","")&amp;IF($F89="","Sin fecha límite"&amp;" · ","")&amp;IF(OR(AND($E89&lt;&gt;"",NOT(ISNUMBER($E89))),AND($F89&lt;&gt;"",NOT(ISNUMBER($F89)))),"Fecha no válida"&amp;" · ","")&amp;IF(AND(ISNUMBER($E89),ISNUMBER($F89),$E89&gt;$F89),"Inicio posterior a fecha límite"&amp;" · ","")&amp;IF(AND($S89="Macro",$G89=""),"Peso vacío"&amp;" · ","")&amp;IF(AND($S89="Macro",$G89&lt;&gt;"",OR(NOT(ISNUMBER($G89)),$G89&lt;=0,$G89&gt;1)),"Peso fuera de rango"&amp;" · ","")&amp;IF(AND($S89="Sub",$G89&lt;&gt;""),"Las subactividades no llevan peso"&amp;" · ","")&amp;IF(AND($S89="Macro",ABS(SUMIFS($G$5:$G$1000,$P$5:$P$1000,$P89,$S$5:$S$1000,"Macro")-1)&gt;0.0001),"Pesos del mes suman "&amp;TEXT(SUMIFS($G$5:$G$1000,$P$5:$P$1000,$P89,$S$5:$S$1000,"Macro"),"0%")&amp;" · ","")&amp;IF(AND(N($T89)&gt;0,COUNT($H89:$K89)&gt;0),"Con subactividades: deje vacías las semanas (se calculan solas)"&amp;" · ","")&amp;IF((COUNTIF($H89:$K89,"&gt;1")+COUNTIF($H89:$K89,"&lt;0")+COUNTA($H89:$K89)-COUNT($H89:$K89))&gt;0,"Avance fuera de rango 0-100%"&amp;" · ","")&amp;IF(OR(AND($I89&lt;&gt;"",$I89&lt;$H89),AND($J89&lt;&gt;"",$J89&lt;MAX($H89:$I89)),AND($K89&lt;&gt;"",$K89&lt;MAX($H89:$J89))),"Avance semanal decreciente"&amp;" · ","")&amp;IF(AND(ISNUMBER($F89),$F89&lt;FechaRef,N($L89)&lt;1),"Vencida"&amp;" · ","")&amp;IF(AND(ObsObligatoria="Sí",ISNUMBER($F89),$F89&lt;FechaRef,N($L89)&lt;1,$N89=""),"Vencida sin observación"&amp;" · ",""),LEN(IF(AND($S89="Macro",$B89=""),"Macroactividad vacía"&amp;" · ","")&amp;IF(AND($B89&lt;&gt;"",$C89&lt;&gt;""),"Escriba la subactividad en otra fila, debajo de su macroactividad"&amp;" · ","")&amp;IF(AND($S89="Sub",N($R89)=0),"Subactividad sin macroactividad arriba"&amp;" · ","")&amp;IF($D89="","Sin responsable"&amp;" · ","")&amp;IF($E89="","Sin fecha de inicio"&amp;" · ","")&amp;IF($F89="","Sin fecha límite"&amp;" · ","")&amp;IF(OR(AND($E89&lt;&gt;"",NOT(ISNUMBER($E89))),AND($F89&lt;&gt;"",NOT(ISNUMBER($F89)))),"Fecha no válida"&amp;" · ","")&amp;IF(AND(ISNUMBER($E89),ISNUMBER($F89),$E89&gt;$F89),"Inicio posterior a fecha límite"&amp;" · ","")&amp;IF(AND($S89="Macro",$G89=""),"Peso vacío"&amp;" · ","")&amp;IF(AND($S89="Macro",$G89&lt;&gt;"",OR(NOT(ISNUMBER($G89)),$G89&lt;=0,$G89&gt;1)),"Peso fuera de rango"&amp;" · ","")&amp;IF(AND($S89="Sub",$G89&lt;&gt;""),"Las subactividades no llevan peso"&amp;" · ","")&amp;IF(AND($S89="Macro",ABS(SUMIFS($G$5:$G$1000,$P$5:$P$1000,$P89,$S$5:$S$1000,"Macro")-1)&gt;0.0001),"Pesos del mes suman "&amp;TEXT(SUMIFS($G$5:$G$1000,$P$5:$P$1000,$P89,$S$5:$S$1000,"Macro"),"0%")&amp;" · ","")&amp;IF(AND(N($T89)&gt;0,COUNT($H89:$K89)&gt;0),"Con subactividades: deje vacías las semanas (se calculan solas)"&amp;" · ","")&amp;IF((COUNTIF($H89:$K89,"&gt;1")+COUNTIF($H89:$K89,"&lt;0")+COUNTA($H89:$K89)-COUNT($H89:$K89))&gt;0,"Avance fuera de rango 0-100%"&amp;" · ","")&amp;IF(OR(AND($I89&lt;&gt;"",$I89&lt;$H89),AND($J89&lt;&gt;"",$J89&lt;MAX($H89:$I89)),AND($K89&lt;&gt;"",$K89&lt;MAX($H89:$J89))),"Avance semanal decreciente"&amp;" · ","")&amp;IF(AND(ISNUMBER($F89),$F89&lt;FechaRef,N($L89)&lt;1),"Vencida"&amp;" · ","")&amp;IF(AND(ObsObligatoria="Sí",ISNUMBER($F89),$F89&lt;FechaRef,N($L89)&lt;1,$N89=""),"Vencida sin observación"&amp;" · ",""))-3)))</f>
        <v/>
      </c>
      <c r="P89" s="69">
        <f>IF(NOT((COUNTA($B89:$K89)+COUNTA($N89))&gt;0),"",IF(AND($S89="Sub",N($R89)&gt;0),IF(ISNUMBER(INDEX($E$5:$E$1000,$R89-4)),DATE(YEAR(INDEX($E$5:$E$1000,$R89-4)),MONTH(INDEX($E$5:$E$1000,$R89-4)),1),IF(ISNUMBER(INDEX($F$5:$F$1000,$R89-4)),DATE(YEAR(INDEX($F$5:$F$1000,$R89-4)),MONTH(INDEX($F$5:$F$1000,$R89-4)),1),MesCiclo)),IF(ISNUMBER($E89),DATE(YEAR($E89),MONTH($E89),1),IF(ISNUMBER($F89),DATE(YEAR($F89),MONTH($F89),1),MesCiclo))))</f>
        <v/>
      </c>
      <c r="Q89" s="70">
        <f>IF(OR($P89="",$P89&lt;&gt;MesCiclo),"",COUNTIF($P$5:$P89,MesCiclo))</f>
        <v/>
      </c>
      <c r="R89" s="70">
        <f>IF($S89="","",IF($S89="Macro",ROW(),IFERROR(LOOKUP(2,1/($S$5:$S89="Macro"),ROW($S$5:$S89)),0)))</f>
        <v/>
      </c>
      <c r="S89" s="70">
        <f>IF(NOT((COUNTA($B89:$K89)+COUNTA($N89))&gt;0),"",IF($B89&lt;&gt;"","Macro",IF($C89&lt;&gt;"","Sub","Macro")))</f>
        <v/>
      </c>
      <c r="T89" s="70">
        <f>IF($S89="Macro",COUNTIFS($R$5:$R$1000,ROW(),$S$5:$S$1000,"Sub"),"")</f>
        <v/>
      </c>
      <c r="U89" s="70">
        <f>IF($S89="","",IF(ISNUMBER($H89),$H89,0))</f>
        <v/>
      </c>
      <c r="V89" s="70">
        <f>IF($S89="","",IF(ISNUMBER($I89),$I89,$U89))</f>
        <v/>
      </c>
      <c r="W89" s="70">
        <f>IF($S89="","",IF(ISNUMBER($J89),$J89,$V89))</f>
        <v/>
      </c>
      <c r="X89" s="70">
        <f>IF($S89="","",IF(ISNUMBER($K89),$K89,$W89))</f>
        <v/>
      </c>
      <c r="Y89" s="70">
        <f>IF($S89="","",IF(N($T89)&gt;0,AVERAGEIFS($U$5:$U$1000,$R$5:$R$1000,ROW(),$S$5:$S$1000,"Sub"),$U89))</f>
        <v/>
      </c>
      <c r="Z89" s="70">
        <f>IF($S89="","",IF(N($T89)&gt;0,AVERAGEIFS($V$5:$V$1000,$R$5:$R$1000,ROW(),$S$5:$S$1000,"Sub"),$V89))</f>
        <v/>
      </c>
      <c r="AA89" s="70">
        <f>IF($S89="","",IF(N($T89)&gt;0,AVERAGEIFS($W$5:$W$1000,$R$5:$R$1000,ROW(),$S$5:$S$1000,"Sub"),$W89))</f>
        <v/>
      </c>
      <c r="AB89" s="70">
        <f>IF($S89="","",IF(N($T89)&gt;0,AVERAGEIFS($X$5:$X$1000,$R$5:$R$1000,ROW(),$S$5:$S$1000,"Sub"),$X89))</f>
        <v/>
      </c>
    </row>
    <row r="90">
      <c r="A90" s="61">
        <f>IF(NOT((COUNTA($B90:$K90)+COUNTA($N90))&gt;0),"",IF($S90="Macro",COUNTIFS($S$5:$S90,"Macro",$P$5:$P90,$P90),IF(N($R90)=0,"?",COUNTIFS(INDEX($S$5:$S$1000,1):INDEX($S$5:$S$1000,$R90-4),"Macro",INDEX($P$5:$P$1000,1):INDEX($P$5:$P$1000,$R90-4),INDEX($P$5:$P$1000,$R90-4))&amp;"."&amp;COUNTIFS($R$5:$R90,$R90,$S$5:$S90,"Sub"))))</f>
        <v/>
      </c>
      <c r="B90" s="62" t="n"/>
      <c r="C90" s="63" t="n"/>
      <c r="D90" s="62" t="n"/>
      <c r="E90" s="64" t="n"/>
      <c r="F90" s="64" t="n"/>
      <c r="G90" s="65" t="n"/>
      <c r="H90" s="66" t="n"/>
      <c r="I90" s="66" t="n"/>
      <c r="J90" s="66" t="n"/>
      <c r="K90" s="66" t="n"/>
      <c r="L90" s="67">
        <f>IF(NOT((COUNTA($B90:$K90)+COUNTA($N90))&gt;0),"",IF(N($T90)&gt;0,$AB90,IFERROR(LOOKUP(2,1/(H90:K90&lt;&gt;""),H90:K90),0)))</f>
        <v/>
      </c>
      <c r="M90" s="61">
        <f>IF(L90="","",IF(L90&gt;=1,"Completado",IF(L90&gt;0,"En curso","Pendiente")))</f>
        <v/>
      </c>
      <c r="N90" s="62" t="n"/>
      <c r="O90" s="68">
        <f>IF(NOT((COUNTA($B90:$K90)+COUNTA($N90))&gt;0),"",IF((IF(AND($S90="Macro",$B90=""),"Macroactividad vacía"&amp;" · ","")&amp;IF(AND($B90&lt;&gt;"",$C90&lt;&gt;""),"Escriba la subactividad en otra fila, debajo de su macroactividad"&amp;" · ","")&amp;IF(AND($S90="Sub",N($R90)=0),"Subactividad sin macroactividad arriba"&amp;" · ","")&amp;IF($D90="","Sin responsable"&amp;" · ","")&amp;IF($E90="","Sin fecha de inicio"&amp;" · ","")&amp;IF($F90="","Sin fecha límite"&amp;" · ","")&amp;IF(OR(AND($E90&lt;&gt;"",NOT(ISNUMBER($E90))),AND($F90&lt;&gt;"",NOT(ISNUMBER($F90)))),"Fecha no válida"&amp;" · ","")&amp;IF(AND(ISNUMBER($E90),ISNUMBER($F90),$E90&gt;$F90),"Inicio posterior a fecha límite"&amp;" · ","")&amp;IF(AND($S90="Macro",$G90=""),"Peso vacío"&amp;" · ","")&amp;IF(AND($S90="Macro",$G90&lt;&gt;"",OR(NOT(ISNUMBER($G90)),$G90&lt;=0,$G90&gt;1)),"Peso fuera de rango"&amp;" · ","")&amp;IF(AND($S90="Sub",$G90&lt;&gt;""),"Las subactividades no llevan peso"&amp;" · ","")&amp;IF(AND($S90="Macro",ABS(SUMIFS($G$5:$G$1000,$P$5:$P$1000,$P90,$S$5:$S$1000,"Macro")-1)&gt;0.0001),"Pesos del mes suman "&amp;TEXT(SUMIFS($G$5:$G$1000,$P$5:$P$1000,$P90,$S$5:$S$1000,"Macro"),"0%")&amp;" · ","")&amp;IF(AND(N($T90)&gt;0,COUNT($H90:$K90)&gt;0),"Con subactividades: deje vacías las semanas (se calculan solas)"&amp;" · ","")&amp;IF((COUNTIF($H90:$K90,"&gt;1")+COUNTIF($H90:$K90,"&lt;0")+COUNTA($H90:$K90)-COUNT($H90:$K90))&gt;0,"Avance fuera de rango 0-100%"&amp;" · ","")&amp;IF(OR(AND($I90&lt;&gt;"",$I90&lt;$H90),AND($J90&lt;&gt;"",$J90&lt;MAX($H90:$I90)),AND($K90&lt;&gt;"",$K90&lt;MAX($H90:$J90))),"Avance semanal decreciente"&amp;" · ","")&amp;IF(AND(ISNUMBER($F90),$F90&lt;FechaRef,N($L90)&lt;1),"Vencida"&amp;" · ","")&amp;IF(AND(ObsObligatoria="Sí",ISNUMBER($F90),$F90&lt;FechaRef,N($L90)&lt;1,$N90=""),"Vencida sin observación"&amp;" · ",""))="","✔ OK","⚠ "&amp;LEFT(IF(AND($S90="Macro",$B90=""),"Macroactividad vacía"&amp;" · ","")&amp;IF(AND($B90&lt;&gt;"",$C90&lt;&gt;""),"Escriba la subactividad en otra fila, debajo de su macroactividad"&amp;" · ","")&amp;IF(AND($S90="Sub",N($R90)=0),"Subactividad sin macroactividad arriba"&amp;" · ","")&amp;IF($D90="","Sin responsable"&amp;" · ","")&amp;IF($E90="","Sin fecha de inicio"&amp;" · ","")&amp;IF($F90="","Sin fecha límite"&amp;" · ","")&amp;IF(OR(AND($E90&lt;&gt;"",NOT(ISNUMBER($E90))),AND($F90&lt;&gt;"",NOT(ISNUMBER($F90)))),"Fecha no válida"&amp;" · ","")&amp;IF(AND(ISNUMBER($E90),ISNUMBER($F90),$E90&gt;$F90),"Inicio posterior a fecha límite"&amp;" · ","")&amp;IF(AND($S90="Macro",$G90=""),"Peso vacío"&amp;" · ","")&amp;IF(AND($S90="Macro",$G90&lt;&gt;"",OR(NOT(ISNUMBER($G90)),$G90&lt;=0,$G90&gt;1)),"Peso fuera de rango"&amp;" · ","")&amp;IF(AND($S90="Sub",$G90&lt;&gt;""),"Las subactividades no llevan peso"&amp;" · ","")&amp;IF(AND($S90="Macro",ABS(SUMIFS($G$5:$G$1000,$P$5:$P$1000,$P90,$S$5:$S$1000,"Macro")-1)&gt;0.0001),"Pesos del mes suman "&amp;TEXT(SUMIFS($G$5:$G$1000,$P$5:$P$1000,$P90,$S$5:$S$1000,"Macro"),"0%")&amp;" · ","")&amp;IF(AND(N($T90)&gt;0,COUNT($H90:$K90)&gt;0),"Con subactividades: deje vacías las semanas (se calculan solas)"&amp;" · ","")&amp;IF((COUNTIF($H90:$K90,"&gt;1")+COUNTIF($H90:$K90,"&lt;0")+COUNTA($H90:$K90)-COUNT($H90:$K90))&gt;0,"Avance fuera de rango 0-100%"&amp;" · ","")&amp;IF(OR(AND($I90&lt;&gt;"",$I90&lt;$H90),AND($J90&lt;&gt;"",$J90&lt;MAX($H90:$I90)),AND($K90&lt;&gt;"",$K90&lt;MAX($H90:$J90))),"Avance semanal decreciente"&amp;" · ","")&amp;IF(AND(ISNUMBER($F90),$F90&lt;FechaRef,N($L90)&lt;1),"Vencida"&amp;" · ","")&amp;IF(AND(ObsObligatoria="Sí",ISNUMBER($F90),$F90&lt;FechaRef,N($L90)&lt;1,$N90=""),"Vencida sin observación"&amp;" · ",""),LEN(IF(AND($S90="Macro",$B90=""),"Macroactividad vacía"&amp;" · ","")&amp;IF(AND($B90&lt;&gt;"",$C90&lt;&gt;""),"Escriba la subactividad en otra fila, debajo de su macroactividad"&amp;" · ","")&amp;IF(AND($S90="Sub",N($R90)=0),"Subactividad sin macroactividad arriba"&amp;" · ","")&amp;IF($D90="","Sin responsable"&amp;" · ","")&amp;IF($E90="","Sin fecha de inicio"&amp;" · ","")&amp;IF($F90="","Sin fecha límite"&amp;" · ","")&amp;IF(OR(AND($E90&lt;&gt;"",NOT(ISNUMBER($E90))),AND($F90&lt;&gt;"",NOT(ISNUMBER($F90)))),"Fecha no válida"&amp;" · ","")&amp;IF(AND(ISNUMBER($E90),ISNUMBER($F90),$E90&gt;$F90),"Inicio posterior a fecha límite"&amp;" · ","")&amp;IF(AND($S90="Macro",$G90=""),"Peso vacío"&amp;" · ","")&amp;IF(AND($S90="Macro",$G90&lt;&gt;"",OR(NOT(ISNUMBER($G90)),$G90&lt;=0,$G90&gt;1)),"Peso fuera de rango"&amp;" · ","")&amp;IF(AND($S90="Sub",$G90&lt;&gt;""),"Las subactividades no llevan peso"&amp;" · ","")&amp;IF(AND($S90="Macro",ABS(SUMIFS($G$5:$G$1000,$P$5:$P$1000,$P90,$S$5:$S$1000,"Macro")-1)&gt;0.0001),"Pesos del mes suman "&amp;TEXT(SUMIFS($G$5:$G$1000,$P$5:$P$1000,$P90,$S$5:$S$1000,"Macro"),"0%")&amp;" · ","")&amp;IF(AND(N($T90)&gt;0,COUNT($H90:$K90)&gt;0),"Con subactividades: deje vacías las semanas (se calculan solas)"&amp;" · ","")&amp;IF((COUNTIF($H90:$K90,"&gt;1")+COUNTIF($H90:$K90,"&lt;0")+COUNTA($H90:$K90)-COUNT($H90:$K90))&gt;0,"Avance fuera de rango 0-100%"&amp;" · ","")&amp;IF(OR(AND($I90&lt;&gt;"",$I90&lt;$H90),AND($J90&lt;&gt;"",$J90&lt;MAX($H90:$I90)),AND($K90&lt;&gt;"",$K90&lt;MAX($H90:$J90))),"Avance semanal decreciente"&amp;" · ","")&amp;IF(AND(ISNUMBER($F90),$F90&lt;FechaRef,N($L90)&lt;1),"Vencida"&amp;" · ","")&amp;IF(AND(ObsObligatoria="Sí",ISNUMBER($F90),$F90&lt;FechaRef,N($L90)&lt;1,$N90=""),"Vencida sin observación"&amp;" · ",""))-3)))</f>
        <v/>
      </c>
      <c r="P90" s="69">
        <f>IF(NOT((COUNTA($B90:$K90)+COUNTA($N90))&gt;0),"",IF(AND($S90="Sub",N($R90)&gt;0),IF(ISNUMBER(INDEX($E$5:$E$1000,$R90-4)),DATE(YEAR(INDEX($E$5:$E$1000,$R90-4)),MONTH(INDEX($E$5:$E$1000,$R90-4)),1),IF(ISNUMBER(INDEX($F$5:$F$1000,$R90-4)),DATE(YEAR(INDEX($F$5:$F$1000,$R90-4)),MONTH(INDEX($F$5:$F$1000,$R90-4)),1),MesCiclo)),IF(ISNUMBER($E90),DATE(YEAR($E90),MONTH($E90),1),IF(ISNUMBER($F90),DATE(YEAR($F90),MONTH($F90),1),MesCiclo))))</f>
        <v/>
      </c>
      <c r="Q90" s="70">
        <f>IF(OR($P90="",$P90&lt;&gt;MesCiclo),"",COUNTIF($P$5:$P90,MesCiclo))</f>
        <v/>
      </c>
      <c r="R90" s="70">
        <f>IF($S90="","",IF($S90="Macro",ROW(),IFERROR(LOOKUP(2,1/($S$5:$S90="Macro"),ROW($S$5:$S90)),0)))</f>
        <v/>
      </c>
      <c r="S90" s="70">
        <f>IF(NOT((COUNTA($B90:$K90)+COUNTA($N90))&gt;0),"",IF($B90&lt;&gt;"","Macro",IF($C90&lt;&gt;"","Sub","Macro")))</f>
        <v/>
      </c>
      <c r="T90" s="70">
        <f>IF($S90="Macro",COUNTIFS($R$5:$R$1000,ROW(),$S$5:$S$1000,"Sub"),"")</f>
        <v/>
      </c>
      <c r="U90" s="70">
        <f>IF($S90="","",IF(ISNUMBER($H90),$H90,0))</f>
        <v/>
      </c>
      <c r="V90" s="70">
        <f>IF($S90="","",IF(ISNUMBER($I90),$I90,$U90))</f>
        <v/>
      </c>
      <c r="W90" s="70">
        <f>IF($S90="","",IF(ISNUMBER($J90),$J90,$V90))</f>
        <v/>
      </c>
      <c r="X90" s="70">
        <f>IF($S90="","",IF(ISNUMBER($K90),$K90,$W90))</f>
        <v/>
      </c>
      <c r="Y90" s="70">
        <f>IF($S90="","",IF(N($T90)&gt;0,AVERAGEIFS($U$5:$U$1000,$R$5:$R$1000,ROW(),$S$5:$S$1000,"Sub"),$U90))</f>
        <v/>
      </c>
      <c r="Z90" s="70">
        <f>IF($S90="","",IF(N($T90)&gt;0,AVERAGEIFS($V$5:$V$1000,$R$5:$R$1000,ROW(),$S$5:$S$1000,"Sub"),$V90))</f>
        <v/>
      </c>
      <c r="AA90" s="70">
        <f>IF($S90="","",IF(N($T90)&gt;0,AVERAGEIFS($W$5:$W$1000,$R$5:$R$1000,ROW(),$S$5:$S$1000,"Sub"),$W90))</f>
        <v/>
      </c>
      <c r="AB90" s="70">
        <f>IF($S90="","",IF(N($T90)&gt;0,AVERAGEIFS($X$5:$X$1000,$R$5:$R$1000,ROW(),$S$5:$S$1000,"Sub"),$X90))</f>
        <v/>
      </c>
    </row>
    <row r="91">
      <c r="A91" s="61">
        <f>IF(NOT((COUNTA($B91:$K91)+COUNTA($N91))&gt;0),"",IF($S91="Macro",COUNTIFS($S$5:$S91,"Macro",$P$5:$P91,$P91),IF(N($R91)=0,"?",COUNTIFS(INDEX($S$5:$S$1000,1):INDEX($S$5:$S$1000,$R91-4),"Macro",INDEX($P$5:$P$1000,1):INDEX($P$5:$P$1000,$R91-4),INDEX($P$5:$P$1000,$R91-4))&amp;"."&amp;COUNTIFS($R$5:$R91,$R91,$S$5:$S91,"Sub"))))</f>
        <v/>
      </c>
      <c r="B91" s="62" t="n"/>
      <c r="C91" s="63" t="n"/>
      <c r="D91" s="62" t="n"/>
      <c r="E91" s="64" t="n"/>
      <c r="F91" s="64" t="n"/>
      <c r="G91" s="65" t="n"/>
      <c r="H91" s="66" t="n"/>
      <c r="I91" s="66" t="n"/>
      <c r="J91" s="66" t="n"/>
      <c r="K91" s="66" t="n"/>
      <c r="L91" s="67">
        <f>IF(NOT((COUNTA($B91:$K91)+COUNTA($N91))&gt;0),"",IF(N($T91)&gt;0,$AB91,IFERROR(LOOKUP(2,1/(H91:K91&lt;&gt;""),H91:K91),0)))</f>
        <v/>
      </c>
      <c r="M91" s="61">
        <f>IF(L91="","",IF(L91&gt;=1,"Completado",IF(L91&gt;0,"En curso","Pendiente")))</f>
        <v/>
      </c>
      <c r="N91" s="62" t="n"/>
      <c r="O91" s="68">
        <f>IF(NOT((COUNTA($B91:$K91)+COUNTA($N91))&gt;0),"",IF((IF(AND($S91="Macro",$B91=""),"Macroactividad vacía"&amp;" · ","")&amp;IF(AND($B91&lt;&gt;"",$C91&lt;&gt;""),"Escriba la subactividad en otra fila, debajo de su macroactividad"&amp;" · ","")&amp;IF(AND($S91="Sub",N($R91)=0),"Subactividad sin macroactividad arriba"&amp;" · ","")&amp;IF($D91="","Sin responsable"&amp;" · ","")&amp;IF($E91="","Sin fecha de inicio"&amp;" · ","")&amp;IF($F91="","Sin fecha límite"&amp;" · ","")&amp;IF(OR(AND($E91&lt;&gt;"",NOT(ISNUMBER($E91))),AND($F91&lt;&gt;"",NOT(ISNUMBER($F91)))),"Fecha no válida"&amp;" · ","")&amp;IF(AND(ISNUMBER($E91),ISNUMBER($F91),$E91&gt;$F91),"Inicio posterior a fecha límite"&amp;" · ","")&amp;IF(AND($S91="Macro",$G91=""),"Peso vacío"&amp;" · ","")&amp;IF(AND($S91="Macro",$G91&lt;&gt;"",OR(NOT(ISNUMBER($G91)),$G91&lt;=0,$G91&gt;1)),"Peso fuera de rango"&amp;" · ","")&amp;IF(AND($S91="Sub",$G91&lt;&gt;""),"Las subactividades no llevan peso"&amp;" · ","")&amp;IF(AND($S91="Macro",ABS(SUMIFS($G$5:$G$1000,$P$5:$P$1000,$P91,$S$5:$S$1000,"Macro")-1)&gt;0.0001),"Pesos del mes suman "&amp;TEXT(SUMIFS($G$5:$G$1000,$P$5:$P$1000,$P91,$S$5:$S$1000,"Macro"),"0%")&amp;" · ","")&amp;IF(AND(N($T91)&gt;0,COUNT($H91:$K91)&gt;0),"Con subactividades: deje vacías las semanas (se calculan solas)"&amp;" · ","")&amp;IF((COUNTIF($H91:$K91,"&gt;1")+COUNTIF($H91:$K91,"&lt;0")+COUNTA($H91:$K91)-COUNT($H91:$K91))&gt;0,"Avance fuera de rango 0-100%"&amp;" · ","")&amp;IF(OR(AND($I91&lt;&gt;"",$I91&lt;$H91),AND($J91&lt;&gt;"",$J91&lt;MAX($H91:$I91)),AND($K91&lt;&gt;"",$K91&lt;MAX($H91:$J91))),"Avance semanal decreciente"&amp;" · ","")&amp;IF(AND(ISNUMBER($F91),$F91&lt;FechaRef,N($L91)&lt;1),"Vencida"&amp;" · ","")&amp;IF(AND(ObsObligatoria="Sí",ISNUMBER($F91),$F91&lt;FechaRef,N($L91)&lt;1,$N91=""),"Vencida sin observación"&amp;" · ",""))="","✔ OK","⚠ "&amp;LEFT(IF(AND($S91="Macro",$B91=""),"Macroactividad vacía"&amp;" · ","")&amp;IF(AND($B91&lt;&gt;"",$C91&lt;&gt;""),"Escriba la subactividad en otra fila, debajo de su macroactividad"&amp;" · ","")&amp;IF(AND($S91="Sub",N($R91)=0),"Subactividad sin macroactividad arriba"&amp;" · ","")&amp;IF($D91="","Sin responsable"&amp;" · ","")&amp;IF($E91="","Sin fecha de inicio"&amp;" · ","")&amp;IF($F91="","Sin fecha límite"&amp;" · ","")&amp;IF(OR(AND($E91&lt;&gt;"",NOT(ISNUMBER($E91))),AND($F91&lt;&gt;"",NOT(ISNUMBER($F91)))),"Fecha no válida"&amp;" · ","")&amp;IF(AND(ISNUMBER($E91),ISNUMBER($F91),$E91&gt;$F91),"Inicio posterior a fecha límite"&amp;" · ","")&amp;IF(AND($S91="Macro",$G91=""),"Peso vacío"&amp;" · ","")&amp;IF(AND($S91="Macro",$G91&lt;&gt;"",OR(NOT(ISNUMBER($G91)),$G91&lt;=0,$G91&gt;1)),"Peso fuera de rango"&amp;" · ","")&amp;IF(AND($S91="Sub",$G91&lt;&gt;""),"Las subactividades no llevan peso"&amp;" · ","")&amp;IF(AND($S91="Macro",ABS(SUMIFS($G$5:$G$1000,$P$5:$P$1000,$P91,$S$5:$S$1000,"Macro")-1)&gt;0.0001),"Pesos del mes suman "&amp;TEXT(SUMIFS($G$5:$G$1000,$P$5:$P$1000,$P91,$S$5:$S$1000,"Macro"),"0%")&amp;" · ","")&amp;IF(AND(N($T91)&gt;0,COUNT($H91:$K91)&gt;0),"Con subactividades: deje vacías las semanas (se calculan solas)"&amp;" · ","")&amp;IF((COUNTIF($H91:$K91,"&gt;1")+COUNTIF($H91:$K91,"&lt;0")+COUNTA($H91:$K91)-COUNT($H91:$K91))&gt;0,"Avance fuera de rango 0-100%"&amp;" · ","")&amp;IF(OR(AND($I91&lt;&gt;"",$I91&lt;$H91),AND($J91&lt;&gt;"",$J91&lt;MAX($H91:$I91)),AND($K91&lt;&gt;"",$K91&lt;MAX($H91:$J91))),"Avance semanal decreciente"&amp;" · ","")&amp;IF(AND(ISNUMBER($F91),$F91&lt;FechaRef,N($L91)&lt;1),"Vencida"&amp;" · ","")&amp;IF(AND(ObsObligatoria="Sí",ISNUMBER($F91),$F91&lt;FechaRef,N($L91)&lt;1,$N91=""),"Vencida sin observación"&amp;" · ",""),LEN(IF(AND($S91="Macro",$B91=""),"Macroactividad vacía"&amp;" · ","")&amp;IF(AND($B91&lt;&gt;"",$C91&lt;&gt;""),"Escriba la subactividad en otra fila, debajo de su macroactividad"&amp;" · ","")&amp;IF(AND($S91="Sub",N($R91)=0),"Subactividad sin macroactividad arriba"&amp;" · ","")&amp;IF($D91="","Sin responsable"&amp;" · ","")&amp;IF($E91="","Sin fecha de inicio"&amp;" · ","")&amp;IF($F91="","Sin fecha límite"&amp;" · ","")&amp;IF(OR(AND($E91&lt;&gt;"",NOT(ISNUMBER($E91))),AND($F91&lt;&gt;"",NOT(ISNUMBER($F91)))),"Fecha no válida"&amp;" · ","")&amp;IF(AND(ISNUMBER($E91),ISNUMBER($F91),$E91&gt;$F91),"Inicio posterior a fecha límite"&amp;" · ","")&amp;IF(AND($S91="Macro",$G91=""),"Peso vacío"&amp;" · ","")&amp;IF(AND($S91="Macro",$G91&lt;&gt;"",OR(NOT(ISNUMBER($G91)),$G91&lt;=0,$G91&gt;1)),"Peso fuera de rango"&amp;" · ","")&amp;IF(AND($S91="Sub",$G91&lt;&gt;""),"Las subactividades no llevan peso"&amp;" · ","")&amp;IF(AND($S91="Macro",ABS(SUMIFS($G$5:$G$1000,$P$5:$P$1000,$P91,$S$5:$S$1000,"Macro")-1)&gt;0.0001),"Pesos del mes suman "&amp;TEXT(SUMIFS($G$5:$G$1000,$P$5:$P$1000,$P91,$S$5:$S$1000,"Macro"),"0%")&amp;" · ","")&amp;IF(AND(N($T91)&gt;0,COUNT($H91:$K91)&gt;0),"Con subactividades: deje vacías las semanas (se calculan solas)"&amp;" · ","")&amp;IF((COUNTIF($H91:$K91,"&gt;1")+COUNTIF($H91:$K91,"&lt;0")+COUNTA($H91:$K91)-COUNT($H91:$K91))&gt;0,"Avance fuera de rango 0-100%"&amp;" · ","")&amp;IF(OR(AND($I91&lt;&gt;"",$I91&lt;$H91),AND($J91&lt;&gt;"",$J91&lt;MAX($H91:$I91)),AND($K91&lt;&gt;"",$K91&lt;MAX($H91:$J91))),"Avance semanal decreciente"&amp;" · ","")&amp;IF(AND(ISNUMBER($F91),$F91&lt;FechaRef,N($L91)&lt;1),"Vencida"&amp;" · ","")&amp;IF(AND(ObsObligatoria="Sí",ISNUMBER($F91),$F91&lt;FechaRef,N($L91)&lt;1,$N91=""),"Vencida sin observación"&amp;" · ",""))-3)))</f>
        <v/>
      </c>
      <c r="P91" s="69">
        <f>IF(NOT((COUNTA($B91:$K91)+COUNTA($N91))&gt;0),"",IF(AND($S91="Sub",N($R91)&gt;0),IF(ISNUMBER(INDEX($E$5:$E$1000,$R91-4)),DATE(YEAR(INDEX($E$5:$E$1000,$R91-4)),MONTH(INDEX($E$5:$E$1000,$R91-4)),1),IF(ISNUMBER(INDEX($F$5:$F$1000,$R91-4)),DATE(YEAR(INDEX($F$5:$F$1000,$R91-4)),MONTH(INDEX($F$5:$F$1000,$R91-4)),1),MesCiclo)),IF(ISNUMBER($E91),DATE(YEAR($E91),MONTH($E91),1),IF(ISNUMBER($F91),DATE(YEAR($F91),MONTH($F91),1),MesCiclo))))</f>
        <v/>
      </c>
      <c r="Q91" s="70">
        <f>IF(OR($P91="",$P91&lt;&gt;MesCiclo),"",COUNTIF($P$5:$P91,MesCiclo))</f>
        <v/>
      </c>
      <c r="R91" s="70">
        <f>IF($S91="","",IF($S91="Macro",ROW(),IFERROR(LOOKUP(2,1/($S$5:$S91="Macro"),ROW($S$5:$S91)),0)))</f>
        <v/>
      </c>
      <c r="S91" s="70">
        <f>IF(NOT((COUNTA($B91:$K91)+COUNTA($N91))&gt;0),"",IF($B91&lt;&gt;"","Macro",IF($C91&lt;&gt;"","Sub","Macro")))</f>
        <v/>
      </c>
      <c r="T91" s="70">
        <f>IF($S91="Macro",COUNTIFS($R$5:$R$1000,ROW(),$S$5:$S$1000,"Sub"),"")</f>
        <v/>
      </c>
      <c r="U91" s="70">
        <f>IF($S91="","",IF(ISNUMBER($H91),$H91,0))</f>
        <v/>
      </c>
      <c r="V91" s="70">
        <f>IF($S91="","",IF(ISNUMBER($I91),$I91,$U91))</f>
        <v/>
      </c>
      <c r="W91" s="70">
        <f>IF($S91="","",IF(ISNUMBER($J91),$J91,$V91))</f>
        <v/>
      </c>
      <c r="X91" s="70">
        <f>IF($S91="","",IF(ISNUMBER($K91),$K91,$W91))</f>
        <v/>
      </c>
      <c r="Y91" s="70">
        <f>IF($S91="","",IF(N($T91)&gt;0,AVERAGEIFS($U$5:$U$1000,$R$5:$R$1000,ROW(),$S$5:$S$1000,"Sub"),$U91))</f>
        <v/>
      </c>
      <c r="Z91" s="70">
        <f>IF($S91="","",IF(N($T91)&gt;0,AVERAGEIFS($V$5:$V$1000,$R$5:$R$1000,ROW(),$S$5:$S$1000,"Sub"),$V91))</f>
        <v/>
      </c>
      <c r="AA91" s="70">
        <f>IF($S91="","",IF(N($T91)&gt;0,AVERAGEIFS($W$5:$W$1000,$R$5:$R$1000,ROW(),$S$5:$S$1000,"Sub"),$W91))</f>
        <v/>
      </c>
      <c r="AB91" s="70">
        <f>IF($S91="","",IF(N($T91)&gt;0,AVERAGEIFS($X$5:$X$1000,$R$5:$R$1000,ROW(),$S$5:$S$1000,"Sub"),$X91))</f>
        <v/>
      </c>
    </row>
    <row r="92">
      <c r="A92" s="61">
        <f>IF(NOT((COUNTA($B92:$K92)+COUNTA($N92))&gt;0),"",IF($S92="Macro",COUNTIFS($S$5:$S92,"Macro",$P$5:$P92,$P92),IF(N($R92)=0,"?",COUNTIFS(INDEX($S$5:$S$1000,1):INDEX($S$5:$S$1000,$R92-4),"Macro",INDEX($P$5:$P$1000,1):INDEX($P$5:$P$1000,$R92-4),INDEX($P$5:$P$1000,$R92-4))&amp;"."&amp;COUNTIFS($R$5:$R92,$R92,$S$5:$S92,"Sub"))))</f>
        <v/>
      </c>
      <c r="B92" s="62" t="n"/>
      <c r="C92" s="63" t="n"/>
      <c r="D92" s="62" t="n"/>
      <c r="E92" s="64" t="n"/>
      <c r="F92" s="64" t="n"/>
      <c r="G92" s="65" t="n"/>
      <c r="H92" s="66" t="n"/>
      <c r="I92" s="66" t="n"/>
      <c r="J92" s="66" t="n"/>
      <c r="K92" s="66" t="n"/>
      <c r="L92" s="67">
        <f>IF(NOT((COUNTA($B92:$K92)+COUNTA($N92))&gt;0),"",IF(N($T92)&gt;0,$AB92,IFERROR(LOOKUP(2,1/(H92:K92&lt;&gt;""),H92:K92),0)))</f>
        <v/>
      </c>
      <c r="M92" s="61">
        <f>IF(L92="","",IF(L92&gt;=1,"Completado",IF(L92&gt;0,"En curso","Pendiente")))</f>
        <v/>
      </c>
      <c r="N92" s="62" t="n"/>
      <c r="O92" s="68">
        <f>IF(NOT((COUNTA($B92:$K92)+COUNTA($N92))&gt;0),"",IF((IF(AND($S92="Macro",$B92=""),"Macroactividad vacía"&amp;" · ","")&amp;IF(AND($B92&lt;&gt;"",$C92&lt;&gt;""),"Escriba la subactividad en otra fila, debajo de su macroactividad"&amp;" · ","")&amp;IF(AND($S92="Sub",N($R92)=0),"Subactividad sin macroactividad arriba"&amp;" · ","")&amp;IF($D92="","Sin responsable"&amp;" · ","")&amp;IF($E92="","Sin fecha de inicio"&amp;" · ","")&amp;IF($F92="","Sin fecha límite"&amp;" · ","")&amp;IF(OR(AND($E92&lt;&gt;"",NOT(ISNUMBER($E92))),AND($F92&lt;&gt;"",NOT(ISNUMBER($F92)))),"Fecha no válida"&amp;" · ","")&amp;IF(AND(ISNUMBER($E92),ISNUMBER($F92),$E92&gt;$F92),"Inicio posterior a fecha límite"&amp;" · ","")&amp;IF(AND($S92="Macro",$G92=""),"Peso vacío"&amp;" · ","")&amp;IF(AND($S92="Macro",$G92&lt;&gt;"",OR(NOT(ISNUMBER($G92)),$G92&lt;=0,$G92&gt;1)),"Peso fuera de rango"&amp;" · ","")&amp;IF(AND($S92="Sub",$G92&lt;&gt;""),"Las subactividades no llevan peso"&amp;" · ","")&amp;IF(AND($S92="Macro",ABS(SUMIFS($G$5:$G$1000,$P$5:$P$1000,$P92,$S$5:$S$1000,"Macro")-1)&gt;0.0001),"Pesos del mes suman "&amp;TEXT(SUMIFS($G$5:$G$1000,$P$5:$P$1000,$P92,$S$5:$S$1000,"Macro"),"0%")&amp;" · ","")&amp;IF(AND(N($T92)&gt;0,COUNT($H92:$K92)&gt;0),"Con subactividades: deje vacías las semanas (se calculan solas)"&amp;" · ","")&amp;IF((COUNTIF($H92:$K92,"&gt;1")+COUNTIF($H92:$K92,"&lt;0")+COUNTA($H92:$K92)-COUNT($H92:$K92))&gt;0,"Avance fuera de rango 0-100%"&amp;" · ","")&amp;IF(OR(AND($I92&lt;&gt;"",$I92&lt;$H92),AND($J92&lt;&gt;"",$J92&lt;MAX($H92:$I92)),AND($K92&lt;&gt;"",$K92&lt;MAX($H92:$J92))),"Avance semanal decreciente"&amp;" · ","")&amp;IF(AND(ISNUMBER($F92),$F92&lt;FechaRef,N($L92)&lt;1),"Vencida"&amp;" · ","")&amp;IF(AND(ObsObligatoria="Sí",ISNUMBER($F92),$F92&lt;FechaRef,N($L92)&lt;1,$N92=""),"Vencida sin observación"&amp;" · ",""))="","✔ OK","⚠ "&amp;LEFT(IF(AND($S92="Macro",$B92=""),"Macroactividad vacía"&amp;" · ","")&amp;IF(AND($B92&lt;&gt;"",$C92&lt;&gt;""),"Escriba la subactividad en otra fila, debajo de su macroactividad"&amp;" · ","")&amp;IF(AND($S92="Sub",N($R92)=0),"Subactividad sin macroactividad arriba"&amp;" · ","")&amp;IF($D92="","Sin responsable"&amp;" · ","")&amp;IF($E92="","Sin fecha de inicio"&amp;" · ","")&amp;IF($F92="","Sin fecha límite"&amp;" · ","")&amp;IF(OR(AND($E92&lt;&gt;"",NOT(ISNUMBER($E92))),AND($F92&lt;&gt;"",NOT(ISNUMBER($F92)))),"Fecha no válida"&amp;" · ","")&amp;IF(AND(ISNUMBER($E92),ISNUMBER($F92),$E92&gt;$F92),"Inicio posterior a fecha límite"&amp;" · ","")&amp;IF(AND($S92="Macro",$G92=""),"Peso vacío"&amp;" · ","")&amp;IF(AND($S92="Macro",$G92&lt;&gt;"",OR(NOT(ISNUMBER($G92)),$G92&lt;=0,$G92&gt;1)),"Peso fuera de rango"&amp;" · ","")&amp;IF(AND($S92="Sub",$G92&lt;&gt;""),"Las subactividades no llevan peso"&amp;" · ","")&amp;IF(AND($S92="Macro",ABS(SUMIFS($G$5:$G$1000,$P$5:$P$1000,$P92,$S$5:$S$1000,"Macro")-1)&gt;0.0001),"Pesos del mes suman "&amp;TEXT(SUMIFS($G$5:$G$1000,$P$5:$P$1000,$P92,$S$5:$S$1000,"Macro"),"0%")&amp;" · ","")&amp;IF(AND(N($T92)&gt;0,COUNT($H92:$K92)&gt;0),"Con subactividades: deje vacías las semanas (se calculan solas)"&amp;" · ","")&amp;IF((COUNTIF($H92:$K92,"&gt;1")+COUNTIF($H92:$K92,"&lt;0")+COUNTA($H92:$K92)-COUNT($H92:$K92))&gt;0,"Avance fuera de rango 0-100%"&amp;" · ","")&amp;IF(OR(AND($I92&lt;&gt;"",$I92&lt;$H92),AND($J92&lt;&gt;"",$J92&lt;MAX($H92:$I92)),AND($K92&lt;&gt;"",$K92&lt;MAX($H92:$J92))),"Avance semanal decreciente"&amp;" · ","")&amp;IF(AND(ISNUMBER($F92),$F92&lt;FechaRef,N($L92)&lt;1),"Vencida"&amp;" · ","")&amp;IF(AND(ObsObligatoria="Sí",ISNUMBER($F92),$F92&lt;FechaRef,N($L92)&lt;1,$N92=""),"Vencida sin observación"&amp;" · ",""),LEN(IF(AND($S92="Macro",$B92=""),"Macroactividad vacía"&amp;" · ","")&amp;IF(AND($B92&lt;&gt;"",$C92&lt;&gt;""),"Escriba la subactividad en otra fila, debajo de su macroactividad"&amp;" · ","")&amp;IF(AND($S92="Sub",N($R92)=0),"Subactividad sin macroactividad arriba"&amp;" · ","")&amp;IF($D92="","Sin responsable"&amp;" · ","")&amp;IF($E92="","Sin fecha de inicio"&amp;" · ","")&amp;IF($F92="","Sin fecha límite"&amp;" · ","")&amp;IF(OR(AND($E92&lt;&gt;"",NOT(ISNUMBER($E92))),AND($F92&lt;&gt;"",NOT(ISNUMBER($F92)))),"Fecha no válida"&amp;" · ","")&amp;IF(AND(ISNUMBER($E92),ISNUMBER($F92),$E92&gt;$F92),"Inicio posterior a fecha límite"&amp;" · ","")&amp;IF(AND($S92="Macro",$G92=""),"Peso vacío"&amp;" · ","")&amp;IF(AND($S92="Macro",$G92&lt;&gt;"",OR(NOT(ISNUMBER($G92)),$G92&lt;=0,$G92&gt;1)),"Peso fuera de rango"&amp;" · ","")&amp;IF(AND($S92="Sub",$G92&lt;&gt;""),"Las subactividades no llevan peso"&amp;" · ","")&amp;IF(AND($S92="Macro",ABS(SUMIFS($G$5:$G$1000,$P$5:$P$1000,$P92,$S$5:$S$1000,"Macro")-1)&gt;0.0001),"Pesos del mes suman "&amp;TEXT(SUMIFS($G$5:$G$1000,$P$5:$P$1000,$P92,$S$5:$S$1000,"Macro"),"0%")&amp;" · ","")&amp;IF(AND(N($T92)&gt;0,COUNT($H92:$K92)&gt;0),"Con subactividades: deje vacías las semanas (se calculan solas)"&amp;" · ","")&amp;IF((COUNTIF($H92:$K92,"&gt;1")+COUNTIF($H92:$K92,"&lt;0")+COUNTA($H92:$K92)-COUNT($H92:$K92))&gt;0,"Avance fuera de rango 0-100%"&amp;" · ","")&amp;IF(OR(AND($I92&lt;&gt;"",$I92&lt;$H92),AND($J92&lt;&gt;"",$J92&lt;MAX($H92:$I92)),AND($K92&lt;&gt;"",$K92&lt;MAX($H92:$J92))),"Avance semanal decreciente"&amp;" · ","")&amp;IF(AND(ISNUMBER($F92),$F92&lt;FechaRef,N($L92)&lt;1),"Vencida"&amp;" · ","")&amp;IF(AND(ObsObligatoria="Sí",ISNUMBER($F92),$F92&lt;FechaRef,N($L92)&lt;1,$N92=""),"Vencida sin observación"&amp;" · ",""))-3)))</f>
        <v/>
      </c>
      <c r="P92" s="69">
        <f>IF(NOT((COUNTA($B92:$K92)+COUNTA($N92))&gt;0),"",IF(AND($S92="Sub",N($R92)&gt;0),IF(ISNUMBER(INDEX($E$5:$E$1000,$R92-4)),DATE(YEAR(INDEX($E$5:$E$1000,$R92-4)),MONTH(INDEX($E$5:$E$1000,$R92-4)),1),IF(ISNUMBER(INDEX($F$5:$F$1000,$R92-4)),DATE(YEAR(INDEX($F$5:$F$1000,$R92-4)),MONTH(INDEX($F$5:$F$1000,$R92-4)),1),MesCiclo)),IF(ISNUMBER($E92),DATE(YEAR($E92),MONTH($E92),1),IF(ISNUMBER($F92),DATE(YEAR($F92),MONTH($F92),1),MesCiclo))))</f>
        <v/>
      </c>
      <c r="Q92" s="70">
        <f>IF(OR($P92="",$P92&lt;&gt;MesCiclo),"",COUNTIF($P$5:$P92,MesCiclo))</f>
        <v/>
      </c>
      <c r="R92" s="70">
        <f>IF($S92="","",IF($S92="Macro",ROW(),IFERROR(LOOKUP(2,1/($S$5:$S92="Macro"),ROW($S$5:$S92)),0)))</f>
        <v/>
      </c>
      <c r="S92" s="70">
        <f>IF(NOT((COUNTA($B92:$K92)+COUNTA($N92))&gt;0),"",IF($B92&lt;&gt;"","Macro",IF($C92&lt;&gt;"","Sub","Macro")))</f>
        <v/>
      </c>
      <c r="T92" s="70">
        <f>IF($S92="Macro",COUNTIFS($R$5:$R$1000,ROW(),$S$5:$S$1000,"Sub"),"")</f>
        <v/>
      </c>
      <c r="U92" s="70">
        <f>IF($S92="","",IF(ISNUMBER($H92),$H92,0))</f>
        <v/>
      </c>
      <c r="V92" s="70">
        <f>IF($S92="","",IF(ISNUMBER($I92),$I92,$U92))</f>
        <v/>
      </c>
      <c r="W92" s="70">
        <f>IF($S92="","",IF(ISNUMBER($J92),$J92,$V92))</f>
        <v/>
      </c>
      <c r="X92" s="70">
        <f>IF($S92="","",IF(ISNUMBER($K92),$K92,$W92))</f>
        <v/>
      </c>
      <c r="Y92" s="70">
        <f>IF($S92="","",IF(N($T92)&gt;0,AVERAGEIFS($U$5:$U$1000,$R$5:$R$1000,ROW(),$S$5:$S$1000,"Sub"),$U92))</f>
        <v/>
      </c>
      <c r="Z92" s="70">
        <f>IF($S92="","",IF(N($T92)&gt;0,AVERAGEIFS($V$5:$V$1000,$R$5:$R$1000,ROW(),$S$5:$S$1000,"Sub"),$V92))</f>
        <v/>
      </c>
      <c r="AA92" s="70">
        <f>IF($S92="","",IF(N($T92)&gt;0,AVERAGEIFS($W$5:$W$1000,$R$5:$R$1000,ROW(),$S$5:$S$1000,"Sub"),$W92))</f>
        <v/>
      </c>
      <c r="AB92" s="70">
        <f>IF($S92="","",IF(N($T92)&gt;0,AVERAGEIFS($X$5:$X$1000,$R$5:$R$1000,ROW(),$S$5:$S$1000,"Sub"),$X92))</f>
        <v/>
      </c>
    </row>
    <row r="93">
      <c r="A93" s="61">
        <f>IF(NOT((COUNTA($B93:$K93)+COUNTA($N93))&gt;0),"",IF($S93="Macro",COUNTIFS($S$5:$S93,"Macro",$P$5:$P93,$P93),IF(N($R93)=0,"?",COUNTIFS(INDEX($S$5:$S$1000,1):INDEX($S$5:$S$1000,$R93-4),"Macro",INDEX($P$5:$P$1000,1):INDEX($P$5:$P$1000,$R93-4),INDEX($P$5:$P$1000,$R93-4))&amp;"."&amp;COUNTIFS($R$5:$R93,$R93,$S$5:$S93,"Sub"))))</f>
        <v/>
      </c>
      <c r="B93" s="62" t="n"/>
      <c r="C93" s="63" t="n"/>
      <c r="D93" s="62" t="n"/>
      <c r="E93" s="64" t="n"/>
      <c r="F93" s="64" t="n"/>
      <c r="G93" s="65" t="n"/>
      <c r="H93" s="66" t="n"/>
      <c r="I93" s="66" t="n"/>
      <c r="J93" s="66" t="n"/>
      <c r="K93" s="66" t="n"/>
      <c r="L93" s="67">
        <f>IF(NOT((COUNTA($B93:$K93)+COUNTA($N93))&gt;0),"",IF(N($T93)&gt;0,$AB93,IFERROR(LOOKUP(2,1/(H93:K93&lt;&gt;""),H93:K93),0)))</f>
        <v/>
      </c>
      <c r="M93" s="61">
        <f>IF(L93="","",IF(L93&gt;=1,"Completado",IF(L93&gt;0,"En curso","Pendiente")))</f>
        <v/>
      </c>
      <c r="N93" s="62" t="n"/>
      <c r="O93" s="68">
        <f>IF(NOT((COUNTA($B93:$K93)+COUNTA($N93))&gt;0),"",IF((IF(AND($S93="Macro",$B93=""),"Macroactividad vacía"&amp;" · ","")&amp;IF(AND($B93&lt;&gt;"",$C93&lt;&gt;""),"Escriba la subactividad en otra fila, debajo de su macroactividad"&amp;" · ","")&amp;IF(AND($S93="Sub",N($R93)=0),"Subactividad sin macroactividad arriba"&amp;" · ","")&amp;IF($D93="","Sin responsable"&amp;" · ","")&amp;IF($E93="","Sin fecha de inicio"&amp;" · ","")&amp;IF($F93="","Sin fecha límite"&amp;" · ","")&amp;IF(OR(AND($E93&lt;&gt;"",NOT(ISNUMBER($E93))),AND($F93&lt;&gt;"",NOT(ISNUMBER($F93)))),"Fecha no válida"&amp;" · ","")&amp;IF(AND(ISNUMBER($E93),ISNUMBER($F93),$E93&gt;$F93),"Inicio posterior a fecha límite"&amp;" · ","")&amp;IF(AND($S93="Macro",$G93=""),"Peso vacío"&amp;" · ","")&amp;IF(AND($S93="Macro",$G93&lt;&gt;"",OR(NOT(ISNUMBER($G93)),$G93&lt;=0,$G93&gt;1)),"Peso fuera de rango"&amp;" · ","")&amp;IF(AND($S93="Sub",$G93&lt;&gt;""),"Las subactividades no llevan peso"&amp;" · ","")&amp;IF(AND($S93="Macro",ABS(SUMIFS($G$5:$G$1000,$P$5:$P$1000,$P93,$S$5:$S$1000,"Macro")-1)&gt;0.0001),"Pesos del mes suman "&amp;TEXT(SUMIFS($G$5:$G$1000,$P$5:$P$1000,$P93,$S$5:$S$1000,"Macro"),"0%")&amp;" · ","")&amp;IF(AND(N($T93)&gt;0,COUNT($H93:$K93)&gt;0),"Con subactividades: deje vacías las semanas (se calculan solas)"&amp;" · ","")&amp;IF((COUNTIF($H93:$K93,"&gt;1")+COUNTIF($H93:$K93,"&lt;0")+COUNTA($H93:$K93)-COUNT($H93:$K93))&gt;0,"Avance fuera de rango 0-100%"&amp;" · ","")&amp;IF(OR(AND($I93&lt;&gt;"",$I93&lt;$H93),AND($J93&lt;&gt;"",$J93&lt;MAX($H93:$I93)),AND($K93&lt;&gt;"",$K93&lt;MAX($H93:$J93))),"Avance semanal decreciente"&amp;" · ","")&amp;IF(AND(ISNUMBER($F93),$F93&lt;FechaRef,N($L93)&lt;1),"Vencida"&amp;" · ","")&amp;IF(AND(ObsObligatoria="Sí",ISNUMBER($F93),$F93&lt;FechaRef,N($L93)&lt;1,$N93=""),"Vencida sin observación"&amp;" · ",""))="","✔ OK","⚠ "&amp;LEFT(IF(AND($S93="Macro",$B93=""),"Macroactividad vacía"&amp;" · ","")&amp;IF(AND($B93&lt;&gt;"",$C93&lt;&gt;""),"Escriba la subactividad en otra fila, debajo de su macroactividad"&amp;" · ","")&amp;IF(AND($S93="Sub",N($R93)=0),"Subactividad sin macroactividad arriba"&amp;" · ","")&amp;IF($D93="","Sin responsable"&amp;" · ","")&amp;IF($E93="","Sin fecha de inicio"&amp;" · ","")&amp;IF($F93="","Sin fecha límite"&amp;" · ","")&amp;IF(OR(AND($E93&lt;&gt;"",NOT(ISNUMBER($E93))),AND($F93&lt;&gt;"",NOT(ISNUMBER($F93)))),"Fecha no válida"&amp;" · ","")&amp;IF(AND(ISNUMBER($E93),ISNUMBER($F93),$E93&gt;$F93),"Inicio posterior a fecha límite"&amp;" · ","")&amp;IF(AND($S93="Macro",$G93=""),"Peso vacío"&amp;" · ","")&amp;IF(AND($S93="Macro",$G93&lt;&gt;"",OR(NOT(ISNUMBER($G93)),$G93&lt;=0,$G93&gt;1)),"Peso fuera de rango"&amp;" · ","")&amp;IF(AND($S93="Sub",$G93&lt;&gt;""),"Las subactividades no llevan peso"&amp;" · ","")&amp;IF(AND($S93="Macro",ABS(SUMIFS($G$5:$G$1000,$P$5:$P$1000,$P93,$S$5:$S$1000,"Macro")-1)&gt;0.0001),"Pesos del mes suman "&amp;TEXT(SUMIFS($G$5:$G$1000,$P$5:$P$1000,$P93,$S$5:$S$1000,"Macro"),"0%")&amp;" · ","")&amp;IF(AND(N($T93)&gt;0,COUNT($H93:$K93)&gt;0),"Con subactividades: deje vacías las semanas (se calculan solas)"&amp;" · ","")&amp;IF((COUNTIF($H93:$K93,"&gt;1")+COUNTIF($H93:$K93,"&lt;0")+COUNTA($H93:$K93)-COUNT($H93:$K93))&gt;0,"Avance fuera de rango 0-100%"&amp;" · ","")&amp;IF(OR(AND($I93&lt;&gt;"",$I93&lt;$H93),AND($J93&lt;&gt;"",$J93&lt;MAX($H93:$I93)),AND($K93&lt;&gt;"",$K93&lt;MAX($H93:$J93))),"Avance semanal decreciente"&amp;" · ","")&amp;IF(AND(ISNUMBER($F93),$F93&lt;FechaRef,N($L93)&lt;1),"Vencida"&amp;" · ","")&amp;IF(AND(ObsObligatoria="Sí",ISNUMBER($F93),$F93&lt;FechaRef,N($L93)&lt;1,$N93=""),"Vencida sin observación"&amp;" · ",""),LEN(IF(AND($S93="Macro",$B93=""),"Macroactividad vacía"&amp;" · ","")&amp;IF(AND($B93&lt;&gt;"",$C93&lt;&gt;""),"Escriba la subactividad en otra fila, debajo de su macroactividad"&amp;" · ","")&amp;IF(AND($S93="Sub",N($R93)=0),"Subactividad sin macroactividad arriba"&amp;" · ","")&amp;IF($D93="","Sin responsable"&amp;" · ","")&amp;IF($E93="","Sin fecha de inicio"&amp;" · ","")&amp;IF($F93="","Sin fecha límite"&amp;" · ","")&amp;IF(OR(AND($E93&lt;&gt;"",NOT(ISNUMBER($E93))),AND($F93&lt;&gt;"",NOT(ISNUMBER($F93)))),"Fecha no válida"&amp;" · ","")&amp;IF(AND(ISNUMBER($E93),ISNUMBER($F93),$E93&gt;$F93),"Inicio posterior a fecha límite"&amp;" · ","")&amp;IF(AND($S93="Macro",$G93=""),"Peso vacío"&amp;" · ","")&amp;IF(AND($S93="Macro",$G93&lt;&gt;"",OR(NOT(ISNUMBER($G93)),$G93&lt;=0,$G93&gt;1)),"Peso fuera de rango"&amp;" · ","")&amp;IF(AND($S93="Sub",$G93&lt;&gt;""),"Las subactividades no llevan peso"&amp;" · ","")&amp;IF(AND($S93="Macro",ABS(SUMIFS($G$5:$G$1000,$P$5:$P$1000,$P93,$S$5:$S$1000,"Macro")-1)&gt;0.0001),"Pesos del mes suman "&amp;TEXT(SUMIFS($G$5:$G$1000,$P$5:$P$1000,$P93,$S$5:$S$1000,"Macro"),"0%")&amp;" · ","")&amp;IF(AND(N($T93)&gt;0,COUNT($H93:$K93)&gt;0),"Con subactividades: deje vacías las semanas (se calculan solas)"&amp;" · ","")&amp;IF((COUNTIF($H93:$K93,"&gt;1")+COUNTIF($H93:$K93,"&lt;0")+COUNTA($H93:$K93)-COUNT($H93:$K93))&gt;0,"Avance fuera de rango 0-100%"&amp;" · ","")&amp;IF(OR(AND($I93&lt;&gt;"",$I93&lt;$H93),AND($J93&lt;&gt;"",$J93&lt;MAX($H93:$I93)),AND($K93&lt;&gt;"",$K93&lt;MAX($H93:$J93))),"Avance semanal decreciente"&amp;" · ","")&amp;IF(AND(ISNUMBER($F93),$F93&lt;FechaRef,N($L93)&lt;1),"Vencida"&amp;" · ","")&amp;IF(AND(ObsObligatoria="Sí",ISNUMBER($F93),$F93&lt;FechaRef,N($L93)&lt;1,$N93=""),"Vencida sin observación"&amp;" · ",""))-3)))</f>
        <v/>
      </c>
      <c r="P93" s="69">
        <f>IF(NOT((COUNTA($B93:$K93)+COUNTA($N93))&gt;0),"",IF(AND($S93="Sub",N($R93)&gt;0),IF(ISNUMBER(INDEX($E$5:$E$1000,$R93-4)),DATE(YEAR(INDEX($E$5:$E$1000,$R93-4)),MONTH(INDEX($E$5:$E$1000,$R93-4)),1),IF(ISNUMBER(INDEX($F$5:$F$1000,$R93-4)),DATE(YEAR(INDEX($F$5:$F$1000,$R93-4)),MONTH(INDEX($F$5:$F$1000,$R93-4)),1),MesCiclo)),IF(ISNUMBER($E93),DATE(YEAR($E93),MONTH($E93),1),IF(ISNUMBER($F93),DATE(YEAR($F93),MONTH($F93),1),MesCiclo))))</f>
        <v/>
      </c>
      <c r="Q93" s="70">
        <f>IF(OR($P93="",$P93&lt;&gt;MesCiclo),"",COUNTIF($P$5:$P93,MesCiclo))</f>
        <v/>
      </c>
      <c r="R93" s="70">
        <f>IF($S93="","",IF($S93="Macro",ROW(),IFERROR(LOOKUP(2,1/($S$5:$S93="Macro"),ROW($S$5:$S93)),0)))</f>
        <v/>
      </c>
      <c r="S93" s="70">
        <f>IF(NOT((COUNTA($B93:$K93)+COUNTA($N93))&gt;0),"",IF($B93&lt;&gt;"","Macro",IF($C93&lt;&gt;"","Sub","Macro")))</f>
        <v/>
      </c>
      <c r="T93" s="70">
        <f>IF($S93="Macro",COUNTIFS($R$5:$R$1000,ROW(),$S$5:$S$1000,"Sub"),"")</f>
        <v/>
      </c>
      <c r="U93" s="70">
        <f>IF($S93="","",IF(ISNUMBER($H93),$H93,0))</f>
        <v/>
      </c>
      <c r="V93" s="70">
        <f>IF($S93="","",IF(ISNUMBER($I93),$I93,$U93))</f>
        <v/>
      </c>
      <c r="W93" s="70">
        <f>IF($S93="","",IF(ISNUMBER($J93),$J93,$V93))</f>
        <v/>
      </c>
      <c r="X93" s="70">
        <f>IF($S93="","",IF(ISNUMBER($K93),$K93,$W93))</f>
        <v/>
      </c>
      <c r="Y93" s="70">
        <f>IF($S93="","",IF(N($T93)&gt;0,AVERAGEIFS($U$5:$U$1000,$R$5:$R$1000,ROW(),$S$5:$S$1000,"Sub"),$U93))</f>
        <v/>
      </c>
      <c r="Z93" s="70">
        <f>IF($S93="","",IF(N($T93)&gt;0,AVERAGEIFS($V$5:$V$1000,$R$5:$R$1000,ROW(),$S$5:$S$1000,"Sub"),$V93))</f>
        <v/>
      </c>
      <c r="AA93" s="70">
        <f>IF($S93="","",IF(N($T93)&gt;0,AVERAGEIFS($W$5:$W$1000,$R$5:$R$1000,ROW(),$S$5:$S$1000,"Sub"),$W93))</f>
        <v/>
      </c>
      <c r="AB93" s="70">
        <f>IF($S93="","",IF(N($T93)&gt;0,AVERAGEIFS($X$5:$X$1000,$R$5:$R$1000,ROW(),$S$5:$S$1000,"Sub"),$X93))</f>
        <v/>
      </c>
    </row>
    <row r="94">
      <c r="A94" s="61">
        <f>IF(NOT((COUNTA($B94:$K94)+COUNTA($N94))&gt;0),"",IF($S94="Macro",COUNTIFS($S$5:$S94,"Macro",$P$5:$P94,$P94),IF(N($R94)=0,"?",COUNTIFS(INDEX($S$5:$S$1000,1):INDEX($S$5:$S$1000,$R94-4),"Macro",INDEX($P$5:$P$1000,1):INDEX($P$5:$P$1000,$R94-4),INDEX($P$5:$P$1000,$R94-4))&amp;"."&amp;COUNTIFS($R$5:$R94,$R94,$S$5:$S94,"Sub"))))</f>
        <v/>
      </c>
      <c r="B94" s="62" t="n"/>
      <c r="C94" s="63" t="n"/>
      <c r="D94" s="62" t="n"/>
      <c r="E94" s="64" t="n"/>
      <c r="F94" s="64" t="n"/>
      <c r="G94" s="65" t="n"/>
      <c r="H94" s="66" t="n"/>
      <c r="I94" s="66" t="n"/>
      <c r="J94" s="66" t="n"/>
      <c r="K94" s="66" t="n"/>
      <c r="L94" s="67">
        <f>IF(NOT((COUNTA($B94:$K94)+COUNTA($N94))&gt;0),"",IF(N($T94)&gt;0,$AB94,IFERROR(LOOKUP(2,1/(H94:K94&lt;&gt;""),H94:K94),0)))</f>
        <v/>
      </c>
      <c r="M94" s="61">
        <f>IF(L94="","",IF(L94&gt;=1,"Completado",IF(L94&gt;0,"En curso","Pendiente")))</f>
        <v/>
      </c>
      <c r="N94" s="62" t="n"/>
      <c r="O94" s="68">
        <f>IF(NOT((COUNTA($B94:$K94)+COUNTA($N94))&gt;0),"",IF((IF(AND($S94="Macro",$B94=""),"Macroactividad vacía"&amp;" · ","")&amp;IF(AND($B94&lt;&gt;"",$C94&lt;&gt;""),"Escriba la subactividad en otra fila, debajo de su macroactividad"&amp;" · ","")&amp;IF(AND($S94="Sub",N($R94)=0),"Subactividad sin macroactividad arriba"&amp;" · ","")&amp;IF($D94="","Sin responsable"&amp;" · ","")&amp;IF($E94="","Sin fecha de inicio"&amp;" · ","")&amp;IF($F94="","Sin fecha límite"&amp;" · ","")&amp;IF(OR(AND($E94&lt;&gt;"",NOT(ISNUMBER($E94))),AND($F94&lt;&gt;"",NOT(ISNUMBER($F94)))),"Fecha no válida"&amp;" · ","")&amp;IF(AND(ISNUMBER($E94),ISNUMBER($F94),$E94&gt;$F94),"Inicio posterior a fecha límite"&amp;" · ","")&amp;IF(AND($S94="Macro",$G94=""),"Peso vacío"&amp;" · ","")&amp;IF(AND($S94="Macro",$G94&lt;&gt;"",OR(NOT(ISNUMBER($G94)),$G94&lt;=0,$G94&gt;1)),"Peso fuera de rango"&amp;" · ","")&amp;IF(AND($S94="Sub",$G94&lt;&gt;""),"Las subactividades no llevan peso"&amp;" · ","")&amp;IF(AND($S94="Macro",ABS(SUMIFS($G$5:$G$1000,$P$5:$P$1000,$P94,$S$5:$S$1000,"Macro")-1)&gt;0.0001),"Pesos del mes suman "&amp;TEXT(SUMIFS($G$5:$G$1000,$P$5:$P$1000,$P94,$S$5:$S$1000,"Macro"),"0%")&amp;" · ","")&amp;IF(AND(N($T94)&gt;0,COUNT($H94:$K94)&gt;0),"Con subactividades: deje vacías las semanas (se calculan solas)"&amp;" · ","")&amp;IF((COUNTIF($H94:$K94,"&gt;1")+COUNTIF($H94:$K94,"&lt;0")+COUNTA($H94:$K94)-COUNT($H94:$K94))&gt;0,"Avance fuera de rango 0-100%"&amp;" · ","")&amp;IF(OR(AND($I94&lt;&gt;"",$I94&lt;$H94),AND($J94&lt;&gt;"",$J94&lt;MAX($H94:$I94)),AND($K94&lt;&gt;"",$K94&lt;MAX($H94:$J94))),"Avance semanal decreciente"&amp;" · ","")&amp;IF(AND(ISNUMBER($F94),$F94&lt;FechaRef,N($L94)&lt;1),"Vencida"&amp;" · ","")&amp;IF(AND(ObsObligatoria="Sí",ISNUMBER($F94),$F94&lt;FechaRef,N($L94)&lt;1,$N94=""),"Vencida sin observación"&amp;" · ",""))="","✔ OK","⚠ "&amp;LEFT(IF(AND($S94="Macro",$B94=""),"Macroactividad vacía"&amp;" · ","")&amp;IF(AND($B94&lt;&gt;"",$C94&lt;&gt;""),"Escriba la subactividad en otra fila, debajo de su macroactividad"&amp;" · ","")&amp;IF(AND($S94="Sub",N($R94)=0),"Subactividad sin macroactividad arriba"&amp;" · ","")&amp;IF($D94="","Sin responsable"&amp;" · ","")&amp;IF($E94="","Sin fecha de inicio"&amp;" · ","")&amp;IF($F94="","Sin fecha límite"&amp;" · ","")&amp;IF(OR(AND($E94&lt;&gt;"",NOT(ISNUMBER($E94))),AND($F94&lt;&gt;"",NOT(ISNUMBER($F94)))),"Fecha no válida"&amp;" · ","")&amp;IF(AND(ISNUMBER($E94),ISNUMBER($F94),$E94&gt;$F94),"Inicio posterior a fecha límite"&amp;" · ","")&amp;IF(AND($S94="Macro",$G94=""),"Peso vacío"&amp;" · ","")&amp;IF(AND($S94="Macro",$G94&lt;&gt;"",OR(NOT(ISNUMBER($G94)),$G94&lt;=0,$G94&gt;1)),"Peso fuera de rango"&amp;" · ","")&amp;IF(AND($S94="Sub",$G94&lt;&gt;""),"Las subactividades no llevan peso"&amp;" · ","")&amp;IF(AND($S94="Macro",ABS(SUMIFS($G$5:$G$1000,$P$5:$P$1000,$P94,$S$5:$S$1000,"Macro")-1)&gt;0.0001),"Pesos del mes suman "&amp;TEXT(SUMIFS($G$5:$G$1000,$P$5:$P$1000,$P94,$S$5:$S$1000,"Macro"),"0%")&amp;" · ","")&amp;IF(AND(N($T94)&gt;0,COUNT($H94:$K94)&gt;0),"Con subactividades: deje vacías las semanas (se calculan solas)"&amp;" · ","")&amp;IF((COUNTIF($H94:$K94,"&gt;1")+COUNTIF($H94:$K94,"&lt;0")+COUNTA($H94:$K94)-COUNT($H94:$K94))&gt;0,"Avance fuera de rango 0-100%"&amp;" · ","")&amp;IF(OR(AND($I94&lt;&gt;"",$I94&lt;$H94),AND($J94&lt;&gt;"",$J94&lt;MAX($H94:$I94)),AND($K94&lt;&gt;"",$K94&lt;MAX($H94:$J94))),"Avance semanal decreciente"&amp;" · ","")&amp;IF(AND(ISNUMBER($F94),$F94&lt;FechaRef,N($L94)&lt;1),"Vencida"&amp;" · ","")&amp;IF(AND(ObsObligatoria="Sí",ISNUMBER($F94),$F94&lt;FechaRef,N($L94)&lt;1,$N94=""),"Vencida sin observación"&amp;" · ",""),LEN(IF(AND($S94="Macro",$B94=""),"Macroactividad vacía"&amp;" · ","")&amp;IF(AND($B94&lt;&gt;"",$C94&lt;&gt;""),"Escriba la subactividad en otra fila, debajo de su macroactividad"&amp;" · ","")&amp;IF(AND($S94="Sub",N($R94)=0),"Subactividad sin macroactividad arriba"&amp;" · ","")&amp;IF($D94="","Sin responsable"&amp;" · ","")&amp;IF($E94="","Sin fecha de inicio"&amp;" · ","")&amp;IF($F94="","Sin fecha límite"&amp;" · ","")&amp;IF(OR(AND($E94&lt;&gt;"",NOT(ISNUMBER($E94))),AND($F94&lt;&gt;"",NOT(ISNUMBER($F94)))),"Fecha no válida"&amp;" · ","")&amp;IF(AND(ISNUMBER($E94),ISNUMBER($F94),$E94&gt;$F94),"Inicio posterior a fecha límite"&amp;" · ","")&amp;IF(AND($S94="Macro",$G94=""),"Peso vacío"&amp;" · ","")&amp;IF(AND($S94="Macro",$G94&lt;&gt;"",OR(NOT(ISNUMBER($G94)),$G94&lt;=0,$G94&gt;1)),"Peso fuera de rango"&amp;" · ","")&amp;IF(AND($S94="Sub",$G94&lt;&gt;""),"Las subactividades no llevan peso"&amp;" · ","")&amp;IF(AND($S94="Macro",ABS(SUMIFS($G$5:$G$1000,$P$5:$P$1000,$P94,$S$5:$S$1000,"Macro")-1)&gt;0.0001),"Pesos del mes suman "&amp;TEXT(SUMIFS($G$5:$G$1000,$P$5:$P$1000,$P94,$S$5:$S$1000,"Macro"),"0%")&amp;" · ","")&amp;IF(AND(N($T94)&gt;0,COUNT($H94:$K94)&gt;0),"Con subactividades: deje vacías las semanas (se calculan solas)"&amp;" · ","")&amp;IF((COUNTIF($H94:$K94,"&gt;1")+COUNTIF($H94:$K94,"&lt;0")+COUNTA($H94:$K94)-COUNT($H94:$K94))&gt;0,"Avance fuera de rango 0-100%"&amp;" · ","")&amp;IF(OR(AND($I94&lt;&gt;"",$I94&lt;$H94),AND($J94&lt;&gt;"",$J94&lt;MAX($H94:$I94)),AND($K94&lt;&gt;"",$K94&lt;MAX($H94:$J94))),"Avance semanal decreciente"&amp;" · ","")&amp;IF(AND(ISNUMBER($F94),$F94&lt;FechaRef,N($L94)&lt;1),"Vencida"&amp;" · ","")&amp;IF(AND(ObsObligatoria="Sí",ISNUMBER($F94),$F94&lt;FechaRef,N($L94)&lt;1,$N94=""),"Vencida sin observación"&amp;" · ",""))-3)))</f>
        <v/>
      </c>
      <c r="P94" s="69">
        <f>IF(NOT((COUNTA($B94:$K94)+COUNTA($N94))&gt;0),"",IF(AND($S94="Sub",N($R94)&gt;0),IF(ISNUMBER(INDEX($E$5:$E$1000,$R94-4)),DATE(YEAR(INDEX($E$5:$E$1000,$R94-4)),MONTH(INDEX($E$5:$E$1000,$R94-4)),1),IF(ISNUMBER(INDEX($F$5:$F$1000,$R94-4)),DATE(YEAR(INDEX($F$5:$F$1000,$R94-4)),MONTH(INDEX($F$5:$F$1000,$R94-4)),1),MesCiclo)),IF(ISNUMBER($E94),DATE(YEAR($E94),MONTH($E94),1),IF(ISNUMBER($F94),DATE(YEAR($F94),MONTH($F94),1),MesCiclo))))</f>
        <v/>
      </c>
      <c r="Q94" s="70">
        <f>IF(OR($P94="",$P94&lt;&gt;MesCiclo),"",COUNTIF($P$5:$P94,MesCiclo))</f>
        <v/>
      </c>
      <c r="R94" s="70">
        <f>IF($S94="","",IF($S94="Macro",ROW(),IFERROR(LOOKUP(2,1/($S$5:$S94="Macro"),ROW($S$5:$S94)),0)))</f>
        <v/>
      </c>
      <c r="S94" s="70">
        <f>IF(NOT((COUNTA($B94:$K94)+COUNTA($N94))&gt;0),"",IF($B94&lt;&gt;"","Macro",IF($C94&lt;&gt;"","Sub","Macro")))</f>
        <v/>
      </c>
      <c r="T94" s="70">
        <f>IF($S94="Macro",COUNTIFS($R$5:$R$1000,ROW(),$S$5:$S$1000,"Sub"),"")</f>
        <v/>
      </c>
      <c r="U94" s="70">
        <f>IF($S94="","",IF(ISNUMBER($H94),$H94,0))</f>
        <v/>
      </c>
      <c r="V94" s="70">
        <f>IF($S94="","",IF(ISNUMBER($I94),$I94,$U94))</f>
        <v/>
      </c>
      <c r="W94" s="70">
        <f>IF($S94="","",IF(ISNUMBER($J94),$J94,$V94))</f>
        <v/>
      </c>
      <c r="X94" s="70">
        <f>IF($S94="","",IF(ISNUMBER($K94),$K94,$W94))</f>
        <v/>
      </c>
      <c r="Y94" s="70">
        <f>IF($S94="","",IF(N($T94)&gt;0,AVERAGEIFS($U$5:$U$1000,$R$5:$R$1000,ROW(),$S$5:$S$1000,"Sub"),$U94))</f>
        <v/>
      </c>
      <c r="Z94" s="70">
        <f>IF($S94="","",IF(N($T94)&gt;0,AVERAGEIFS($V$5:$V$1000,$R$5:$R$1000,ROW(),$S$5:$S$1000,"Sub"),$V94))</f>
        <v/>
      </c>
      <c r="AA94" s="70">
        <f>IF($S94="","",IF(N($T94)&gt;0,AVERAGEIFS($W$5:$W$1000,$R$5:$R$1000,ROW(),$S$5:$S$1000,"Sub"),$W94))</f>
        <v/>
      </c>
      <c r="AB94" s="70">
        <f>IF($S94="","",IF(N($T94)&gt;0,AVERAGEIFS($X$5:$X$1000,$R$5:$R$1000,ROW(),$S$5:$S$1000,"Sub"),$X94))</f>
        <v/>
      </c>
    </row>
    <row r="95">
      <c r="A95" s="61">
        <f>IF(NOT((COUNTA($B95:$K95)+COUNTA($N95))&gt;0),"",IF($S95="Macro",COUNTIFS($S$5:$S95,"Macro",$P$5:$P95,$P95),IF(N($R95)=0,"?",COUNTIFS(INDEX($S$5:$S$1000,1):INDEX($S$5:$S$1000,$R95-4),"Macro",INDEX($P$5:$P$1000,1):INDEX($P$5:$P$1000,$R95-4),INDEX($P$5:$P$1000,$R95-4))&amp;"."&amp;COUNTIFS($R$5:$R95,$R95,$S$5:$S95,"Sub"))))</f>
        <v/>
      </c>
      <c r="B95" s="62" t="n"/>
      <c r="C95" s="63" t="n"/>
      <c r="D95" s="62" t="n"/>
      <c r="E95" s="64" t="n"/>
      <c r="F95" s="64" t="n"/>
      <c r="G95" s="65" t="n"/>
      <c r="H95" s="66" t="n"/>
      <c r="I95" s="66" t="n"/>
      <c r="J95" s="66" t="n"/>
      <c r="K95" s="66" t="n"/>
      <c r="L95" s="67">
        <f>IF(NOT((COUNTA($B95:$K95)+COUNTA($N95))&gt;0),"",IF(N($T95)&gt;0,$AB95,IFERROR(LOOKUP(2,1/(H95:K95&lt;&gt;""),H95:K95),0)))</f>
        <v/>
      </c>
      <c r="M95" s="61">
        <f>IF(L95="","",IF(L95&gt;=1,"Completado",IF(L95&gt;0,"En curso","Pendiente")))</f>
        <v/>
      </c>
      <c r="N95" s="62" t="n"/>
      <c r="O95" s="68">
        <f>IF(NOT((COUNTA($B95:$K95)+COUNTA($N95))&gt;0),"",IF((IF(AND($S95="Macro",$B95=""),"Macroactividad vacía"&amp;" · ","")&amp;IF(AND($B95&lt;&gt;"",$C95&lt;&gt;""),"Escriba la subactividad en otra fila, debajo de su macroactividad"&amp;" · ","")&amp;IF(AND($S95="Sub",N($R95)=0),"Subactividad sin macroactividad arriba"&amp;" · ","")&amp;IF($D95="","Sin responsable"&amp;" · ","")&amp;IF($E95="","Sin fecha de inicio"&amp;" · ","")&amp;IF($F95="","Sin fecha límite"&amp;" · ","")&amp;IF(OR(AND($E95&lt;&gt;"",NOT(ISNUMBER($E95))),AND($F95&lt;&gt;"",NOT(ISNUMBER($F95)))),"Fecha no válida"&amp;" · ","")&amp;IF(AND(ISNUMBER($E95),ISNUMBER($F95),$E95&gt;$F95),"Inicio posterior a fecha límite"&amp;" · ","")&amp;IF(AND($S95="Macro",$G95=""),"Peso vacío"&amp;" · ","")&amp;IF(AND($S95="Macro",$G95&lt;&gt;"",OR(NOT(ISNUMBER($G95)),$G95&lt;=0,$G95&gt;1)),"Peso fuera de rango"&amp;" · ","")&amp;IF(AND($S95="Sub",$G95&lt;&gt;""),"Las subactividades no llevan peso"&amp;" · ","")&amp;IF(AND($S95="Macro",ABS(SUMIFS($G$5:$G$1000,$P$5:$P$1000,$P95,$S$5:$S$1000,"Macro")-1)&gt;0.0001),"Pesos del mes suman "&amp;TEXT(SUMIFS($G$5:$G$1000,$P$5:$P$1000,$P95,$S$5:$S$1000,"Macro"),"0%")&amp;" · ","")&amp;IF(AND(N($T95)&gt;0,COUNT($H95:$K95)&gt;0),"Con subactividades: deje vacías las semanas (se calculan solas)"&amp;" · ","")&amp;IF((COUNTIF($H95:$K95,"&gt;1")+COUNTIF($H95:$K95,"&lt;0")+COUNTA($H95:$K95)-COUNT($H95:$K95))&gt;0,"Avance fuera de rango 0-100%"&amp;" · ","")&amp;IF(OR(AND($I95&lt;&gt;"",$I95&lt;$H95),AND($J95&lt;&gt;"",$J95&lt;MAX($H95:$I95)),AND($K95&lt;&gt;"",$K95&lt;MAX($H95:$J95))),"Avance semanal decreciente"&amp;" · ","")&amp;IF(AND(ISNUMBER($F95),$F95&lt;FechaRef,N($L95)&lt;1),"Vencida"&amp;" · ","")&amp;IF(AND(ObsObligatoria="Sí",ISNUMBER($F95),$F95&lt;FechaRef,N($L95)&lt;1,$N95=""),"Vencida sin observación"&amp;" · ",""))="","✔ OK","⚠ "&amp;LEFT(IF(AND($S95="Macro",$B95=""),"Macroactividad vacía"&amp;" · ","")&amp;IF(AND($B95&lt;&gt;"",$C95&lt;&gt;""),"Escriba la subactividad en otra fila, debajo de su macroactividad"&amp;" · ","")&amp;IF(AND($S95="Sub",N($R95)=0),"Subactividad sin macroactividad arriba"&amp;" · ","")&amp;IF($D95="","Sin responsable"&amp;" · ","")&amp;IF($E95="","Sin fecha de inicio"&amp;" · ","")&amp;IF($F95="","Sin fecha límite"&amp;" · ","")&amp;IF(OR(AND($E95&lt;&gt;"",NOT(ISNUMBER($E95))),AND($F95&lt;&gt;"",NOT(ISNUMBER($F95)))),"Fecha no válida"&amp;" · ","")&amp;IF(AND(ISNUMBER($E95),ISNUMBER($F95),$E95&gt;$F95),"Inicio posterior a fecha límite"&amp;" · ","")&amp;IF(AND($S95="Macro",$G95=""),"Peso vacío"&amp;" · ","")&amp;IF(AND($S95="Macro",$G95&lt;&gt;"",OR(NOT(ISNUMBER($G95)),$G95&lt;=0,$G95&gt;1)),"Peso fuera de rango"&amp;" · ","")&amp;IF(AND($S95="Sub",$G95&lt;&gt;""),"Las subactividades no llevan peso"&amp;" · ","")&amp;IF(AND($S95="Macro",ABS(SUMIFS($G$5:$G$1000,$P$5:$P$1000,$P95,$S$5:$S$1000,"Macro")-1)&gt;0.0001),"Pesos del mes suman "&amp;TEXT(SUMIFS($G$5:$G$1000,$P$5:$P$1000,$P95,$S$5:$S$1000,"Macro"),"0%")&amp;" · ","")&amp;IF(AND(N($T95)&gt;0,COUNT($H95:$K95)&gt;0),"Con subactividades: deje vacías las semanas (se calculan solas)"&amp;" · ","")&amp;IF((COUNTIF($H95:$K95,"&gt;1")+COUNTIF($H95:$K95,"&lt;0")+COUNTA($H95:$K95)-COUNT($H95:$K95))&gt;0,"Avance fuera de rango 0-100%"&amp;" · ","")&amp;IF(OR(AND($I95&lt;&gt;"",$I95&lt;$H95),AND($J95&lt;&gt;"",$J95&lt;MAX($H95:$I95)),AND($K95&lt;&gt;"",$K95&lt;MAX($H95:$J95))),"Avance semanal decreciente"&amp;" · ","")&amp;IF(AND(ISNUMBER($F95),$F95&lt;FechaRef,N($L95)&lt;1),"Vencida"&amp;" · ","")&amp;IF(AND(ObsObligatoria="Sí",ISNUMBER($F95),$F95&lt;FechaRef,N($L95)&lt;1,$N95=""),"Vencida sin observación"&amp;" · ",""),LEN(IF(AND($S95="Macro",$B95=""),"Macroactividad vacía"&amp;" · ","")&amp;IF(AND($B95&lt;&gt;"",$C95&lt;&gt;""),"Escriba la subactividad en otra fila, debajo de su macroactividad"&amp;" · ","")&amp;IF(AND($S95="Sub",N($R95)=0),"Subactividad sin macroactividad arriba"&amp;" · ","")&amp;IF($D95="","Sin responsable"&amp;" · ","")&amp;IF($E95="","Sin fecha de inicio"&amp;" · ","")&amp;IF($F95="","Sin fecha límite"&amp;" · ","")&amp;IF(OR(AND($E95&lt;&gt;"",NOT(ISNUMBER($E95))),AND($F95&lt;&gt;"",NOT(ISNUMBER($F95)))),"Fecha no válida"&amp;" · ","")&amp;IF(AND(ISNUMBER($E95),ISNUMBER($F95),$E95&gt;$F95),"Inicio posterior a fecha límite"&amp;" · ","")&amp;IF(AND($S95="Macro",$G95=""),"Peso vacío"&amp;" · ","")&amp;IF(AND($S95="Macro",$G95&lt;&gt;"",OR(NOT(ISNUMBER($G95)),$G95&lt;=0,$G95&gt;1)),"Peso fuera de rango"&amp;" · ","")&amp;IF(AND($S95="Sub",$G95&lt;&gt;""),"Las subactividades no llevan peso"&amp;" · ","")&amp;IF(AND($S95="Macro",ABS(SUMIFS($G$5:$G$1000,$P$5:$P$1000,$P95,$S$5:$S$1000,"Macro")-1)&gt;0.0001),"Pesos del mes suman "&amp;TEXT(SUMIFS($G$5:$G$1000,$P$5:$P$1000,$P95,$S$5:$S$1000,"Macro"),"0%")&amp;" · ","")&amp;IF(AND(N($T95)&gt;0,COUNT($H95:$K95)&gt;0),"Con subactividades: deje vacías las semanas (se calculan solas)"&amp;" · ","")&amp;IF((COUNTIF($H95:$K95,"&gt;1")+COUNTIF($H95:$K95,"&lt;0")+COUNTA($H95:$K95)-COUNT($H95:$K95))&gt;0,"Avance fuera de rango 0-100%"&amp;" · ","")&amp;IF(OR(AND($I95&lt;&gt;"",$I95&lt;$H95),AND($J95&lt;&gt;"",$J95&lt;MAX($H95:$I95)),AND($K95&lt;&gt;"",$K95&lt;MAX($H95:$J95))),"Avance semanal decreciente"&amp;" · ","")&amp;IF(AND(ISNUMBER($F95),$F95&lt;FechaRef,N($L95)&lt;1),"Vencida"&amp;" · ","")&amp;IF(AND(ObsObligatoria="Sí",ISNUMBER($F95),$F95&lt;FechaRef,N($L95)&lt;1,$N95=""),"Vencida sin observación"&amp;" · ",""))-3)))</f>
        <v/>
      </c>
      <c r="P95" s="69">
        <f>IF(NOT((COUNTA($B95:$K95)+COUNTA($N95))&gt;0),"",IF(AND($S95="Sub",N($R95)&gt;0),IF(ISNUMBER(INDEX($E$5:$E$1000,$R95-4)),DATE(YEAR(INDEX($E$5:$E$1000,$R95-4)),MONTH(INDEX($E$5:$E$1000,$R95-4)),1),IF(ISNUMBER(INDEX($F$5:$F$1000,$R95-4)),DATE(YEAR(INDEX($F$5:$F$1000,$R95-4)),MONTH(INDEX($F$5:$F$1000,$R95-4)),1),MesCiclo)),IF(ISNUMBER($E95),DATE(YEAR($E95),MONTH($E95),1),IF(ISNUMBER($F95),DATE(YEAR($F95),MONTH($F95),1),MesCiclo))))</f>
        <v/>
      </c>
      <c r="Q95" s="70">
        <f>IF(OR($P95="",$P95&lt;&gt;MesCiclo),"",COUNTIF($P$5:$P95,MesCiclo))</f>
        <v/>
      </c>
      <c r="R95" s="70">
        <f>IF($S95="","",IF($S95="Macro",ROW(),IFERROR(LOOKUP(2,1/($S$5:$S95="Macro"),ROW($S$5:$S95)),0)))</f>
        <v/>
      </c>
      <c r="S95" s="70">
        <f>IF(NOT((COUNTA($B95:$K95)+COUNTA($N95))&gt;0),"",IF($B95&lt;&gt;"","Macro",IF($C95&lt;&gt;"","Sub","Macro")))</f>
        <v/>
      </c>
      <c r="T95" s="70">
        <f>IF($S95="Macro",COUNTIFS($R$5:$R$1000,ROW(),$S$5:$S$1000,"Sub"),"")</f>
        <v/>
      </c>
      <c r="U95" s="70">
        <f>IF($S95="","",IF(ISNUMBER($H95),$H95,0))</f>
        <v/>
      </c>
      <c r="V95" s="70">
        <f>IF($S95="","",IF(ISNUMBER($I95),$I95,$U95))</f>
        <v/>
      </c>
      <c r="W95" s="70">
        <f>IF($S95="","",IF(ISNUMBER($J95),$J95,$V95))</f>
        <v/>
      </c>
      <c r="X95" s="70">
        <f>IF($S95="","",IF(ISNUMBER($K95),$K95,$W95))</f>
        <v/>
      </c>
      <c r="Y95" s="70">
        <f>IF($S95="","",IF(N($T95)&gt;0,AVERAGEIFS($U$5:$U$1000,$R$5:$R$1000,ROW(),$S$5:$S$1000,"Sub"),$U95))</f>
        <v/>
      </c>
      <c r="Z95" s="70">
        <f>IF($S95="","",IF(N($T95)&gt;0,AVERAGEIFS($V$5:$V$1000,$R$5:$R$1000,ROW(),$S$5:$S$1000,"Sub"),$V95))</f>
        <v/>
      </c>
      <c r="AA95" s="70">
        <f>IF($S95="","",IF(N($T95)&gt;0,AVERAGEIFS($W$5:$W$1000,$R$5:$R$1000,ROW(),$S$5:$S$1000,"Sub"),$W95))</f>
        <v/>
      </c>
      <c r="AB95" s="70">
        <f>IF($S95="","",IF(N($T95)&gt;0,AVERAGEIFS($X$5:$X$1000,$R$5:$R$1000,ROW(),$S$5:$S$1000,"Sub"),$X95))</f>
        <v/>
      </c>
    </row>
    <row r="96">
      <c r="A96" s="61">
        <f>IF(NOT((COUNTA($B96:$K96)+COUNTA($N96))&gt;0),"",IF($S96="Macro",COUNTIFS($S$5:$S96,"Macro",$P$5:$P96,$P96),IF(N($R96)=0,"?",COUNTIFS(INDEX($S$5:$S$1000,1):INDEX($S$5:$S$1000,$R96-4),"Macro",INDEX($P$5:$P$1000,1):INDEX($P$5:$P$1000,$R96-4),INDEX($P$5:$P$1000,$R96-4))&amp;"."&amp;COUNTIFS($R$5:$R96,$R96,$S$5:$S96,"Sub"))))</f>
        <v/>
      </c>
      <c r="B96" s="62" t="n"/>
      <c r="C96" s="63" t="n"/>
      <c r="D96" s="62" t="n"/>
      <c r="E96" s="64" t="n"/>
      <c r="F96" s="64" t="n"/>
      <c r="G96" s="65" t="n"/>
      <c r="H96" s="66" t="n"/>
      <c r="I96" s="66" t="n"/>
      <c r="J96" s="66" t="n"/>
      <c r="K96" s="66" t="n"/>
      <c r="L96" s="67">
        <f>IF(NOT((COUNTA($B96:$K96)+COUNTA($N96))&gt;0),"",IF(N($T96)&gt;0,$AB96,IFERROR(LOOKUP(2,1/(H96:K96&lt;&gt;""),H96:K96),0)))</f>
        <v/>
      </c>
      <c r="M96" s="61">
        <f>IF(L96="","",IF(L96&gt;=1,"Completado",IF(L96&gt;0,"En curso","Pendiente")))</f>
        <v/>
      </c>
      <c r="N96" s="62" t="n"/>
      <c r="O96" s="68">
        <f>IF(NOT((COUNTA($B96:$K96)+COUNTA($N96))&gt;0),"",IF((IF(AND($S96="Macro",$B96=""),"Macroactividad vacía"&amp;" · ","")&amp;IF(AND($B96&lt;&gt;"",$C96&lt;&gt;""),"Escriba la subactividad en otra fila, debajo de su macroactividad"&amp;" · ","")&amp;IF(AND($S96="Sub",N($R96)=0),"Subactividad sin macroactividad arriba"&amp;" · ","")&amp;IF($D96="","Sin responsable"&amp;" · ","")&amp;IF($E96="","Sin fecha de inicio"&amp;" · ","")&amp;IF($F96="","Sin fecha límite"&amp;" · ","")&amp;IF(OR(AND($E96&lt;&gt;"",NOT(ISNUMBER($E96))),AND($F96&lt;&gt;"",NOT(ISNUMBER($F96)))),"Fecha no válida"&amp;" · ","")&amp;IF(AND(ISNUMBER($E96),ISNUMBER($F96),$E96&gt;$F96),"Inicio posterior a fecha límite"&amp;" · ","")&amp;IF(AND($S96="Macro",$G96=""),"Peso vacío"&amp;" · ","")&amp;IF(AND($S96="Macro",$G96&lt;&gt;"",OR(NOT(ISNUMBER($G96)),$G96&lt;=0,$G96&gt;1)),"Peso fuera de rango"&amp;" · ","")&amp;IF(AND($S96="Sub",$G96&lt;&gt;""),"Las subactividades no llevan peso"&amp;" · ","")&amp;IF(AND($S96="Macro",ABS(SUMIFS($G$5:$G$1000,$P$5:$P$1000,$P96,$S$5:$S$1000,"Macro")-1)&gt;0.0001),"Pesos del mes suman "&amp;TEXT(SUMIFS($G$5:$G$1000,$P$5:$P$1000,$P96,$S$5:$S$1000,"Macro"),"0%")&amp;" · ","")&amp;IF(AND(N($T96)&gt;0,COUNT($H96:$K96)&gt;0),"Con subactividades: deje vacías las semanas (se calculan solas)"&amp;" · ","")&amp;IF((COUNTIF($H96:$K96,"&gt;1")+COUNTIF($H96:$K96,"&lt;0")+COUNTA($H96:$K96)-COUNT($H96:$K96))&gt;0,"Avance fuera de rango 0-100%"&amp;" · ","")&amp;IF(OR(AND($I96&lt;&gt;"",$I96&lt;$H96),AND($J96&lt;&gt;"",$J96&lt;MAX($H96:$I96)),AND($K96&lt;&gt;"",$K96&lt;MAX($H96:$J96))),"Avance semanal decreciente"&amp;" · ","")&amp;IF(AND(ISNUMBER($F96),$F96&lt;FechaRef,N($L96)&lt;1),"Vencida"&amp;" · ","")&amp;IF(AND(ObsObligatoria="Sí",ISNUMBER($F96),$F96&lt;FechaRef,N($L96)&lt;1,$N96=""),"Vencida sin observación"&amp;" · ",""))="","✔ OK","⚠ "&amp;LEFT(IF(AND($S96="Macro",$B96=""),"Macroactividad vacía"&amp;" · ","")&amp;IF(AND($B96&lt;&gt;"",$C96&lt;&gt;""),"Escriba la subactividad en otra fila, debajo de su macroactividad"&amp;" · ","")&amp;IF(AND($S96="Sub",N($R96)=0),"Subactividad sin macroactividad arriba"&amp;" · ","")&amp;IF($D96="","Sin responsable"&amp;" · ","")&amp;IF($E96="","Sin fecha de inicio"&amp;" · ","")&amp;IF($F96="","Sin fecha límite"&amp;" · ","")&amp;IF(OR(AND($E96&lt;&gt;"",NOT(ISNUMBER($E96))),AND($F96&lt;&gt;"",NOT(ISNUMBER($F96)))),"Fecha no válida"&amp;" · ","")&amp;IF(AND(ISNUMBER($E96),ISNUMBER($F96),$E96&gt;$F96),"Inicio posterior a fecha límite"&amp;" · ","")&amp;IF(AND($S96="Macro",$G96=""),"Peso vacío"&amp;" · ","")&amp;IF(AND($S96="Macro",$G96&lt;&gt;"",OR(NOT(ISNUMBER($G96)),$G96&lt;=0,$G96&gt;1)),"Peso fuera de rango"&amp;" · ","")&amp;IF(AND($S96="Sub",$G96&lt;&gt;""),"Las subactividades no llevan peso"&amp;" · ","")&amp;IF(AND($S96="Macro",ABS(SUMIFS($G$5:$G$1000,$P$5:$P$1000,$P96,$S$5:$S$1000,"Macro")-1)&gt;0.0001),"Pesos del mes suman "&amp;TEXT(SUMIFS($G$5:$G$1000,$P$5:$P$1000,$P96,$S$5:$S$1000,"Macro"),"0%")&amp;" · ","")&amp;IF(AND(N($T96)&gt;0,COUNT($H96:$K96)&gt;0),"Con subactividades: deje vacías las semanas (se calculan solas)"&amp;" · ","")&amp;IF((COUNTIF($H96:$K96,"&gt;1")+COUNTIF($H96:$K96,"&lt;0")+COUNTA($H96:$K96)-COUNT($H96:$K96))&gt;0,"Avance fuera de rango 0-100%"&amp;" · ","")&amp;IF(OR(AND($I96&lt;&gt;"",$I96&lt;$H96),AND($J96&lt;&gt;"",$J96&lt;MAX($H96:$I96)),AND($K96&lt;&gt;"",$K96&lt;MAX($H96:$J96))),"Avance semanal decreciente"&amp;" · ","")&amp;IF(AND(ISNUMBER($F96),$F96&lt;FechaRef,N($L96)&lt;1),"Vencida"&amp;" · ","")&amp;IF(AND(ObsObligatoria="Sí",ISNUMBER($F96),$F96&lt;FechaRef,N($L96)&lt;1,$N96=""),"Vencida sin observación"&amp;" · ",""),LEN(IF(AND($S96="Macro",$B96=""),"Macroactividad vacía"&amp;" · ","")&amp;IF(AND($B96&lt;&gt;"",$C96&lt;&gt;""),"Escriba la subactividad en otra fila, debajo de su macroactividad"&amp;" · ","")&amp;IF(AND($S96="Sub",N($R96)=0),"Subactividad sin macroactividad arriba"&amp;" · ","")&amp;IF($D96="","Sin responsable"&amp;" · ","")&amp;IF($E96="","Sin fecha de inicio"&amp;" · ","")&amp;IF($F96="","Sin fecha límite"&amp;" · ","")&amp;IF(OR(AND($E96&lt;&gt;"",NOT(ISNUMBER($E96))),AND($F96&lt;&gt;"",NOT(ISNUMBER($F96)))),"Fecha no válida"&amp;" · ","")&amp;IF(AND(ISNUMBER($E96),ISNUMBER($F96),$E96&gt;$F96),"Inicio posterior a fecha límite"&amp;" · ","")&amp;IF(AND($S96="Macro",$G96=""),"Peso vacío"&amp;" · ","")&amp;IF(AND($S96="Macro",$G96&lt;&gt;"",OR(NOT(ISNUMBER($G96)),$G96&lt;=0,$G96&gt;1)),"Peso fuera de rango"&amp;" · ","")&amp;IF(AND($S96="Sub",$G96&lt;&gt;""),"Las subactividades no llevan peso"&amp;" · ","")&amp;IF(AND($S96="Macro",ABS(SUMIFS($G$5:$G$1000,$P$5:$P$1000,$P96,$S$5:$S$1000,"Macro")-1)&gt;0.0001),"Pesos del mes suman "&amp;TEXT(SUMIFS($G$5:$G$1000,$P$5:$P$1000,$P96,$S$5:$S$1000,"Macro"),"0%")&amp;" · ","")&amp;IF(AND(N($T96)&gt;0,COUNT($H96:$K96)&gt;0),"Con subactividades: deje vacías las semanas (se calculan solas)"&amp;" · ","")&amp;IF((COUNTIF($H96:$K96,"&gt;1")+COUNTIF($H96:$K96,"&lt;0")+COUNTA($H96:$K96)-COUNT($H96:$K96))&gt;0,"Avance fuera de rango 0-100%"&amp;" · ","")&amp;IF(OR(AND($I96&lt;&gt;"",$I96&lt;$H96),AND($J96&lt;&gt;"",$J96&lt;MAX($H96:$I96)),AND($K96&lt;&gt;"",$K96&lt;MAX($H96:$J96))),"Avance semanal decreciente"&amp;" · ","")&amp;IF(AND(ISNUMBER($F96),$F96&lt;FechaRef,N($L96)&lt;1),"Vencida"&amp;" · ","")&amp;IF(AND(ObsObligatoria="Sí",ISNUMBER($F96),$F96&lt;FechaRef,N($L96)&lt;1,$N96=""),"Vencida sin observación"&amp;" · ",""))-3)))</f>
        <v/>
      </c>
      <c r="P96" s="69">
        <f>IF(NOT((COUNTA($B96:$K96)+COUNTA($N96))&gt;0),"",IF(AND($S96="Sub",N($R96)&gt;0),IF(ISNUMBER(INDEX($E$5:$E$1000,$R96-4)),DATE(YEAR(INDEX($E$5:$E$1000,$R96-4)),MONTH(INDEX($E$5:$E$1000,$R96-4)),1),IF(ISNUMBER(INDEX($F$5:$F$1000,$R96-4)),DATE(YEAR(INDEX($F$5:$F$1000,$R96-4)),MONTH(INDEX($F$5:$F$1000,$R96-4)),1),MesCiclo)),IF(ISNUMBER($E96),DATE(YEAR($E96),MONTH($E96),1),IF(ISNUMBER($F96),DATE(YEAR($F96),MONTH($F96),1),MesCiclo))))</f>
        <v/>
      </c>
      <c r="Q96" s="70">
        <f>IF(OR($P96="",$P96&lt;&gt;MesCiclo),"",COUNTIF($P$5:$P96,MesCiclo))</f>
        <v/>
      </c>
      <c r="R96" s="70">
        <f>IF($S96="","",IF($S96="Macro",ROW(),IFERROR(LOOKUP(2,1/($S$5:$S96="Macro"),ROW($S$5:$S96)),0)))</f>
        <v/>
      </c>
      <c r="S96" s="70">
        <f>IF(NOT((COUNTA($B96:$K96)+COUNTA($N96))&gt;0),"",IF($B96&lt;&gt;"","Macro",IF($C96&lt;&gt;"","Sub","Macro")))</f>
        <v/>
      </c>
      <c r="T96" s="70">
        <f>IF($S96="Macro",COUNTIFS($R$5:$R$1000,ROW(),$S$5:$S$1000,"Sub"),"")</f>
        <v/>
      </c>
      <c r="U96" s="70">
        <f>IF($S96="","",IF(ISNUMBER($H96),$H96,0))</f>
        <v/>
      </c>
      <c r="V96" s="70">
        <f>IF($S96="","",IF(ISNUMBER($I96),$I96,$U96))</f>
        <v/>
      </c>
      <c r="W96" s="70">
        <f>IF($S96="","",IF(ISNUMBER($J96),$J96,$V96))</f>
        <v/>
      </c>
      <c r="X96" s="70">
        <f>IF($S96="","",IF(ISNUMBER($K96),$K96,$W96))</f>
        <v/>
      </c>
      <c r="Y96" s="70">
        <f>IF($S96="","",IF(N($T96)&gt;0,AVERAGEIFS($U$5:$U$1000,$R$5:$R$1000,ROW(),$S$5:$S$1000,"Sub"),$U96))</f>
        <v/>
      </c>
      <c r="Z96" s="70">
        <f>IF($S96="","",IF(N($T96)&gt;0,AVERAGEIFS($V$5:$V$1000,$R$5:$R$1000,ROW(),$S$5:$S$1000,"Sub"),$V96))</f>
        <v/>
      </c>
      <c r="AA96" s="70">
        <f>IF($S96="","",IF(N($T96)&gt;0,AVERAGEIFS($W$5:$W$1000,$R$5:$R$1000,ROW(),$S$5:$S$1000,"Sub"),$W96))</f>
        <v/>
      </c>
      <c r="AB96" s="70">
        <f>IF($S96="","",IF(N($T96)&gt;0,AVERAGEIFS($X$5:$X$1000,$R$5:$R$1000,ROW(),$S$5:$S$1000,"Sub"),$X96))</f>
        <v/>
      </c>
    </row>
    <row r="97">
      <c r="A97" s="61">
        <f>IF(NOT((COUNTA($B97:$K97)+COUNTA($N97))&gt;0),"",IF($S97="Macro",COUNTIFS($S$5:$S97,"Macro",$P$5:$P97,$P97),IF(N($R97)=0,"?",COUNTIFS(INDEX($S$5:$S$1000,1):INDEX($S$5:$S$1000,$R97-4),"Macro",INDEX($P$5:$P$1000,1):INDEX($P$5:$P$1000,$R97-4),INDEX($P$5:$P$1000,$R97-4))&amp;"."&amp;COUNTIFS($R$5:$R97,$R97,$S$5:$S97,"Sub"))))</f>
        <v/>
      </c>
      <c r="B97" s="62" t="n"/>
      <c r="C97" s="63" t="n"/>
      <c r="D97" s="62" t="n"/>
      <c r="E97" s="64" t="n"/>
      <c r="F97" s="64" t="n"/>
      <c r="G97" s="65" t="n"/>
      <c r="H97" s="66" t="n"/>
      <c r="I97" s="66" t="n"/>
      <c r="J97" s="66" t="n"/>
      <c r="K97" s="66" t="n"/>
      <c r="L97" s="67">
        <f>IF(NOT((COUNTA($B97:$K97)+COUNTA($N97))&gt;0),"",IF(N($T97)&gt;0,$AB97,IFERROR(LOOKUP(2,1/(H97:K97&lt;&gt;""),H97:K97),0)))</f>
        <v/>
      </c>
      <c r="M97" s="61">
        <f>IF(L97="","",IF(L97&gt;=1,"Completado",IF(L97&gt;0,"En curso","Pendiente")))</f>
        <v/>
      </c>
      <c r="N97" s="62" t="n"/>
      <c r="O97" s="68">
        <f>IF(NOT((COUNTA($B97:$K97)+COUNTA($N97))&gt;0),"",IF((IF(AND($S97="Macro",$B97=""),"Macroactividad vacía"&amp;" · ","")&amp;IF(AND($B97&lt;&gt;"",$C97&lt;&gt;""),"Escriba la subactividad en otra fila, debajo de su macroactividad"&amp;" · ","")&amp;IF(AND($S97="Sub",N($R97)=0),"Subactividad sin macroactividad arriba"&amp;" · ","")&amp;IF($D97="","Sin responsable"&amp;" · ","")&amp;IF($E97="","Sin fecha de inicio"&amp;" · ","")&amp;IF($F97="","Sin fecha límite"&amp;" · ","")&amp;IF(OR(AND($E97&lt;&gt;"",NOT(ISNUMBER($E97))),AND($F97&lt;&gt;"",NOT(ISNUMBER($F97)))),"Fecha no válida"&amp;" · ","")&amp;IF(AND(ISNUMBER($E97),ISNUMBER($F97),$E97&gt;$F97),"Inicio posterior a fecha límite"&amp;" · ","")&amp;IF(AND($S97="Macro",$G97=""),"Peso vacío"&amp;" · ","")&amp;IF(AND($S97="Macro",$G97&lt;&gt;"",OR(NOT(ISNUMBER($G97)),$G97&lt;=0,$G97&gt;1)),"Peso fuera de rango"&amp;" · ","")&amp;IF(AND($S97="Sub",$G97&lt;&gt;""),"Las subactividades no llevan peso"&amp;" · ","")&amp;IF(AND($S97="Macro",ABS(SUMIFS($G$5:$G$1000,$P$5:$P$1000,$P97,$S$5:$S$1000,"Macro")-1)&gt;0.0001),"Pesos del mes suman "&amp;TEXT(SUMIFS($G$5:$G$1000,$P$5:$P$1000,$P97,$S$5:$S$1000,"Macro"),"0%")&amp;" · ","")&amp;IF(AND(N($T97)&gt;0,COUNT($H97:$K97)&gt;0),"Con subactividades: deje vacías las semanas (se calculan solas)"&amp;" · ","")&amp;IF((COUNTIF($H97:$K97,"&gt;1")+COUNTIF($H97:$K97,"&lt;0")+COUNTA($H97:$K97)-COUNT($H97:$K97))&gt;0,"Avance fuera de rango 0-100%"&amp;" · ","")&amp;IF(OR(AND($I97&lt;&gt;"",$I97&lt;$H97),AND($J97&lt;&gt;"",$J97&lt;MAX($H97:$I97)),AND($K97&lt;&gt;"",$K97&lt;MAX($H97:$J97))),"Avance semanal decreciente"&amp;" · ","")&amp;IF(AND(ISNUMBER($F97),$F97&lt;FechaRef,N($L97)&lt;1),"Vencida"&amp;" · ","")&amp;IF(AND(ObsObligatoria="Sí",ISNUMBER($F97),$F97&lt;FechaRef,N($L97)&lt;1,$N97=""),"Vencida sin observación"&amp;" · ",""))="","✔ OK","⚠ "&amp;LEFT(IF(AND($S97="Macro",$B97=""),"Macroactividad vacía"&amp;" · ","")&amp;IF(AND($B97&lt;&gt;"",$C97&lt;&gt;""),"Escriba la subactividad en otra fila, debajo de su macroactividad"&amp;" · ","")&amp;IF(AND($S97="Sub",N($R97)=0),"Subactividad sin macroactividad arriba"&amp;" · ","")&amp;IF($D97="","Sin responsable"&amp;" · ","")&amp;IF($E97="","Sin fecha de inicio"&amp;" · ","")&amp;IF($F97="","Sin fecha límite"&amp;" · ","")&amp;IF(OR(AND($E97&lt;&gt;"",NOT(ISNUMBER($E97))),AND($F97&lt;&gt;"",NOT(ISNUMBER($F97)))),"Fecha no válida"&amp;" · ","")&amp;IF(AND(ISNUMBER($E97),ISNUMBER($F97),$E97&gt;$F97),"Inicio posterior a fecha límite"&amp;" · ","")&amp;IF(AND($S97="Macro",$G97=""),"Peso vacío"&amp;" · ","")&amp;IF(AND($S97="Macro",$G97&lt;&gt;"",OR(NOT(ISNUMBER($G97)),$G97&lt;=0,$G97&gt;1)),"Peso fuera de rango"&amp;" · ","")&amp;IF(AND($S97="Sub",$G97&lt;&gt;""),"Las subactividades no llevan peso"&amp;" · ","")&amp;IF(AND($S97="Macro",ABS(SUMIFS($G$5:$G$1000,$P$5:$P$1000,$P97,$S$5:$S$1000,"Macro")-1)&gt;0.0001),"Pesos del mes suman "&amp;TEXT(SUMIFS($G$5:$G$1000,$P$5:$P$1000,$P97,$S$5:$S$1000,"Macro"),"0%")&amp;" · ","")&amp;IF(AND(N($T97)&gt;0,COUNT($H97:$K97)&gt;0),"Con subactividades: deje vacías las semanas (se calculan solas)"&amp;" · ","")&amp;IF((COUNTIF($H97:$K97,"&gt;1")+COUNTIF($H97:$K97,"&lt;0")+COUNTA($H97:$K97)-COUNT($H97:$K97))&gt;0,"Avance fuera de rango 0-100%"&amp;" · ","")&amp;IF(OR(AND($I97&lt;&gt;"",$I97&lt;$H97),AND($J97&lt;&gt;"",$J97&lt;MAX($H97:$I97)),AND($K97&lt;&gt;"",$K97&lt;MAX($H97:$J97))),"Avance semanal decreciente"&amp;" · ","")&amp;IF(AND(ISNUMBER($F97),$F97&lt;FechaRef,N($L97)&lt;1),"Vencida"&amp;" · ","")&amp;IF(AND(ObsObligatoria="Sí",ISNUMBER($F97),$F97&lt;FechaRef,N($L97)&lt;1,$N97=""),"Vencida sin observación"&amp;" · ",""),LEN(IF(AND($S97="Macro",$B97=""),"Macroactividad vacía"&amp;" · ","")&amp;IF(AND($B97&lt;&gt;"",$C97&lt;&gt;""),"Escriba la subactividad en otra fila, debajo de su macroactividad"&amp;" · ","")&amp;IF(AND($S97="Sub",N($R97)=0),"Subactividad sin macroactividad arriba"&amp;" · ","")&amp;IF($D97="","Sin responsable"&amp;" · ","")&amp;IF($E97="","Sin fecha de inicio"&amp;" · ","")&amp;IF($F97="","Sin fecha límite"&amp;" · ","")&amp;IF(OR(AND($E97&lt;&gt;"",NOT(ISNUMBER($E97))),AND($F97&lt;&gt;"",NOT(ISNUMBER($F97)))),"Fecha no válida"&amp;" · ","")&amp;IF(AND(ISNUMBER($E97),ISNUMBER($F97),$E97&gt;$F97),"Inicio posterior a fecha límite"&amp;" · ","")&amp;IF(AND($S97="Macro",$G97=""),"Peso vacío"&amp;" · ","")&amp;IF(AND($S97="Macro",$G97&lt;&gt;"",OR(NOT(ISNUMBER($G97)),$G97&lt;=0,$G97&gt;1)),"Peso fuera de rango"&amp;" · ","")&amp;IF(AND($S97="Sub",$G97&lt;&gt;""),"Las subactividades no llevan peso"&amp;" · ","")&amp;IF(AND($S97="Macro",ABS(SUMIFS($G$5:$G$1000,$P$5:$P$1000,$P97,$S$5:$S$1000,"Macro")-1)&gt;0.0001),"Pesos del mes suman "&amp;TEXT(SUMIFS($G$5:$G$1000,$P$5:$P$1000,$P97,$S$5:$S$1000,"Macro"),"0%")&amp;" · ","")&amp;IF(AND(N($T97)&gt;0,COUNT($H97:$K97)&gt;0),"Con subactividades: deje vacías las semanas (se calculan solas)"&amp;" · ","")&amp;IF((COUNTIF($H97:$K97,"&gt;1")+COUNTIF($H97:$K97,"&lt;0")+COUNTA($H97:$K97)-COUNT($H97:$K97))&gt;0,"Avance fuera de rango 0-100%"&amp;" · ","")&amp;IF(OR(AND($I97&lt;&gt;"",$I97&lt;$H97),AND($J97&lt;&gt;"",$J97&lt;MAX($H97:$I97)),AND($K97&lt;&gt;"",$K97&lt;MAX($H97:$J97))),"Avance semanal decreciente"&amp;" · ","")&amp;IF(AND(ISNUMBER($F97),$F97&lt;FechaRef,N($L97)&lt;1),"Vencida"&amp;" · ","")&amp;IF(AND(ObsObligatoria="Sí",ISNUMBER($F97),$F97&lt;FechaRef,N($L97)&lt;1,$N97=""),"Vencida sin observación"&amp;" · ",""))-3)))</f>
        <v/>
      </c>
      <c r="P97" s="69">
        <f>IF(NOT((COUNTA($B97:$K97)+COUNTA($N97))&gt;0),"",IF(AND($S97="Sub",N($R97)&gt;0),IF(ISNUMBER(INDEX($E$5:$E$1000,$R97-4)),DATE(YEAR(INDEX($E$5:$E$1000,$R97-4)),MONTH(INDEX($E$5:$E$1000,$R97-4)),1),IF(ISNUMBER(INDEX($F$5:$F$1000,$R97-4)),DATE(YEAR(INDEX($F$5:$F$1000,$R97-4)),MONTH(INDEX($F$5:$F$1000,$R97-4)),1),MesCiclo)),IF(ISNUMBER($E97),DATE(YEAR($E97),MONTH($E97),1),IF(ISNUMBER($F97),DATE(YEAR($F97),MONTH($F97),1),MesCiclo))))</f>
        <v/>
      </c>
      <c r="Q97" s="70">
        <f>IF(OR($P97="",$P97&lt;&gt;MesCiclo),"",COUNTIF($P$5:$P97,MesCiclo))</f>
        <v/>
      </c>
      <c r="R97" s="70">
        <f>IF($S97="","",IF($S97="Macro",ROW(),IFERROR(LOOKUP(2,1/($S$5:$S97="Macro"),ROW($S$5:$S97)),0)))</f>
        <v/>
      </c>
      <c r="S97" s="70">
        <f>IF(NOT((COUNTA($B97:$K97)+COUNTA($N97))&gt;0),"",IF($B97&lt;&gt;"","Macro",IF($C97&lt;&gt;"","Sub","Macro")))</f>
        <v/>
      </c>
      <c r="T97" s="70">
        <f>IF($S97="Macro",COUNTIFS($R$5:$R$1000,ROW(),$S$5:$S$1000,"Sub"),"")</f>
        <v/>
      </c>
      <c r="U97" s="70">
        <f>IF($S97="","",IF(ISNUMBER($H97),$H97,0))</f>
        <v/>
      </c>
      <c r="V97" s="70">
        <f>IF($S97="","",IF(ISNUMBER($I97),$I97,$U97))</f>
        <v/>
      </c>
      <c r="W97" s="70">
        <f>IF($S97="","",IF(ISNUMBER($J97),$J97,$V97))</f>
        <v/>
      </c>
      <c r="X97" s="70">
        <f>IF($S97="","",IF(ISNUMBER($K97),$K97,$W97))</f>
        <v/>
      </c>
      <c r="Y97" s="70">
        <f>IF($S97="","",IF(N($T97)&gt;0,AVERAGEIFS($U$5:$U$1000,$R$5:$R$1000,ROW(),$S$5:$S$1000,"Sub"),$U97))</f>
        <v/>
      </c>
      <c r="Z97" s="70">
        <f>IF($S97="","",IF(N($T97)&gt;0,AVERAGEIFS($V$5:$V$1000,$R$5:$R$1000,ROW(),$S$5:$S$1000,"Sub"),$V97))</f>
        <v/>
      </c>
      <c r="AA97" s="70">
        <f>IF($S97="","",IF(N($T97)&gt;0,AVERAGEIFS($W$5:$W$1000,$R$5:$R$1000,ROW(),$S$5:$S$1000,"Sub"),$W97))</f>
        <v/>
      </c>
      <c r="AB97" s="70">
        <f>IF($S97="","",IF(N($T97)&gt;0,AVERAGEIFS($X$5:$X$1000,$R$5:$R$1000,ROW(),$S$5:$S$1000,"Sub"),$X97))</f>
        <v/>
      </c>
    </row>
    <row r="98">
      <c r="A98" s="61">
        <f>IF(NOT((COUNTA($B98:$K98)+COUNTA($N98))&gt;0),"",IF($S98="Macro",COUNTIFS($S$5:$S98,"Macro",$P$5:$P98,$P98),IF(N($R98)=0,"?",COUNTIFS(INDEX($S$5:$S$1000,1):INDEX($S$5:$S$1000,$R98-4),"Macro",INDEX($P$5:$P$1000,1):INDEX($P$5:$P$1000,$R98-4),INDEX($P$5:$P$1000,$R98-4))&amp;"."&amp;COUNTIFS($R$5:$R98,$R98,$S$5:$S98,"Sub"))))</f>
        <v/>
      </c>
      <c r="B98" s="62" t="n"/>
      <c r="C98" s="63" t="n"/>
      <c r="D98" s="62" t="n"/>
      <c r="E98" s="64" t="n"/>
      <c r="F98" s="64" t="n"/>
      <c r="G98" s="65" t="n"/>
      <c r="H98" s="66" t="n"/>
      <c r="I98" s="66" t="n"/>
      <c r="J98" s="66" t="n"/>
      <c r="K98" s="66" t="n"/>
      <c r="L98" s="67">
        <f>IF(NOT((COUNTA($B98:$K98)+COUNTA($N98))&gt;0),"",IF(N($T98)&gt;0,$AB98,IFERROR(LOOKUP(2,1/(H98:K98&lt;&gt;""),H98:K98),0)))</f>
        <v/>
      </c>
      <c r="M98" s="61">
        <f>IF(L98="","",IF(L98&gt;=1,"Completado",IF(L98&gt;0,"En curso","Pendiente")))</f>
        <v/>
      </c>
      <c r="N98" s="62" t="n"/>
      <c r="O98" s="68">
        <f>IF(NOT((COUNTA($B98:$K98)+COUNTA($N98))&gt;0),"",IF((IF(AND($S98="Macro",$B98=""),"Macroactividad vacía"&amp;" · ","")&amp;IF(AND($B98&lt;&gt;"",$C98&lt;&gt;""),"Escriba la subactividad en otra fila, debajo de su macroactividad"&amp;" · ","")&amp;IF(AND($S98="Sub",N($R98)=0),"Subactividad sin macroactividad arriba"&amp;" · ","")&amp;IF($D98="","Sin responsable"&amp;" · ","")&amp;IF($E98="","Sin fecha de inicio"&amp;" · ","")&amp;IF($F98="","Sin fecha límite"&amp;" · ","")&amp;IF(OR(AND($E98&lt;&gt;"",NOT(ISNUMBER($E98))),AND($F98&lt;&gt;"",NOT(ISNUMBER($F98)))),"Fecha no válida"&amp;" · ","")&amp;IF(AND(ISNUMBER($E98),ISNUMBER($F98),$E98&gt;$F98),"Inicio posterior a fecha límite"&amp;" · ","")&amp;IF(AND($S98="Macro",$G98=""),"Peso vacío"&amp;" · ","")&amp;IF(AND($S98="Macro",$G98&lt;&gt;"",OR(NOT(ISNUMBER($G98)),$G98&lt;=0,$G98&gt;1)),"Peso fuera de rango"&amp;" · ","")&amp;IF(AND($S98="Sub",$G98&lt;&gt;""),"Las subactividades no llevan peso"&amp;" · ","")&amp;IF(AND($S98="Macro",ABS(SUMIFS($G$5:$G$1000,$P$5:$P$1000,$P98,$S$5:$S$1000,"Macro")-1)&gt;0.0001),"Pesos del mes suman "&amp;TEXT(SUMIFS($G$5:$G$1000,$P$5:$P$1000,$P98,$S$5:$S$1000,"Macro"),"0%")&amp;" · ","")&amp;IF(AND(N($T98)&gt;0,COUNT($H98:$K98)&gt;0),"Con subactividades: deje vacías las semanas (se calculan solas)"&amp;" · ","")&amp;IF((COUNTIF($H98:$K98,"&gt;1")+COUNTIF($H98:$K98,"&lt;0")+COUNTA($H98:$K98)-COUNT($H98:$K98))&gt;0,"Avance fuera de rango 0-100%"&amp;" · ","")&amp;IF(OR(AND($I98&lt;&gt;"",$I98&lt;$H98),AND($J98&lt;&gt;"",$J98&lt;MAX($H98:$I98)),AND($K98&lt;&gt;"",$K98&lt;MAX($H98:$J98))),"Avance semanal decreciente"&amp;" · ","")&amp;IF(AND(ISNUMBER($F98),$F98&lt;FechaRef,N($L98)&lt;1),"Vencida"&amp;" · ","")&amp;IF(AND(ObsObligatoria="Sí",ISNUMBER($F98),$F98&lt;FechaRef,N($L98)&lt;1,$N98=""),"Vencida sin observación"&amp;" · ",""))="","✔ OK","⚠ "&amp;LEFT(IF(AND($S98="Macro",$B98=""),"Macroactividad vacía"&amp;" · ","")&amp;IF(AND($B98&lt;&gt;"",$C98&lt;&gt;""),"Escriba la subactividad en otra fila, debajo de su macroactividad"&amp;" · ","")&amp;IF(AND($S98="Sub",N($R98)=0),"Subactividad sin macroactividad arriba"&amp;" · ","")&amp;IF($D98="","Sin responsable"&amp;" · ","")&amp;IF($E98="","Sin fecha de inicio"&amp;" · ","")&amp;IF($F98="","Sin fecha límite"&amp;" · ","")&amp;IF(OR(AND($E98&lt;&gt;"",NOT(ISNUMBER($E98))),AND($F98&lt;&gt;"",NOT(ISNUMBER($F98)))),"Fecha no válida"&amp;" · ","")&amp;IF(AND(ISNUMBER($E98),ISNUMBER($F98),$E98&gt;$F98),"Inicio posterior a fecha límite"&amp;" · ","")&amp;IF(AND($S98="Macro",$G98=""),"Peso vacío"&amp;" · ","")&amp;IF(AND($S98="Macro",$G98&lt;&gt;"",OR(NOT(ISNUMBER($G98)),$G98&lt;=0,$G98&gt;1)),"Peso fuera de rango"&amp;" · ","")&amp;IF(AND($S98="Sub",$G98&lt;&gt;""),"Las subactividades no llevan peso"&amp;" · ","")&amp;IF(AND($S98="Macro",ABS(SUMIFS($G$5:$G$1000,$P$5:$P$1000,$P98,$S$5:$S$1000,"Macro")-1)&gt;0.0001),"Pesos del mes suman "&amp;TEXT(SUMIFS($G$5:$G$1000,$P$5:$P$1000,$P98,$S$5:$S$1000,"Macro"),"0%")&amp;" · ","")&amp;IF(AND(N($T98)&gt;0,COUNT($H98:$K98)&gt;0),"Con subactividades: deje vacías las semanas (se calculan solas)"&amp;" · ","")&amp;IF((COUNTIF($H98:$K98,"&gt;1")+COUNTIF($H98:$K98,"&lt;0")+COUNTA($H98:$K98)-COUNT($H98:$K98))&gt;0,"Avance fuera de rango 0-100%"&amp;" · ","")&amp;IF(OR(AND($I98&lt;&gt;"",$I98&lt;$H98),AND($J98&lt;&gt;"",$J98&lt;MAX($H98:$I98)),AND($K98&lt;&gt;"",$K98&lt;MAX($H98:$J98))),"Avance semanal decreciente"&amp;" · ","")&amp;IF(AND(ISNUMBER($F98),$F98&lt;FechaRef,N($L98)&lt;1),"Vencida"&amp;" · ","")&amp;IF(AND(ObsObligatoria="Sí",ISNUMBER($F98),$F98&lt;FechaRef,N($L98)&lt;1,$N98=""),"Vencida sin observación"&amp;" · ",""),LEN(IF(AND($S98="Macro",$B98=""),"Macroactividad vacía"&amp;" · ","")&amp;IF(AND($B98&lt;&gt;"",$C98&lt;&gt;""),"Escriba la subactividad en otra fila, debajo de su macroactividad"&amp;" · ","")&amp;IF(AND($S98="Sub",N($R98)=0),"Subactividad sin macroactividad arriba"&amp;" · ","")&amp;IF($D98="","Sin responsable"&amp;" · ","")&amp;IF($E98="","Sin fecha de inicio"&amp;" · ","")&amp;IF($F98="","Sin fecha límite"&amp;" · ","")&amp;IF(OR(AND($E98&lt;&gt;"",NOT(ISNUMBER($E98))),AND($F98&lt;&gt;"",NOT(ISNUMBER($F98)))),"Fecha no válida"&amp;" · ","")&amp;IF(AND(ISNUMBER($E98),ISNUMBER($F98),$E98&gt;$F98),"Inicio posterior a fecha límite"&amp;" · ","")&amp;IF(AND($S98="Macro",$G98=""),"Peso vacío"&amp;" · ","")&amp;IF(AND($S98="Macro",$G98&lt;&gt;"",OR(NOT(ISNUMBER($G98)),$G98&lt;=0,$G98&gt;1)),"Peso fuera de rango"&amp;" · ","")&amp;IF(AND($S98="Sub",$G98&lt;&gt;""),"Las subactividades no llevan peso"&amp;" · ","")&amp;IF(AND($S98="Macro",ABS(SUMIFS($G$5:$G$1000,$P$5:$P$1000,$P98,$S$5:$S$1000,"Macro")-1)&gt;0.0001),"Pesos del mes suman "&amp;TEXT(SUMIFS($G$5:$G$1000,$P$5:$P$1000,$P98,$S$5:$S$1000,"Macro"),"0%")&amp;" · ","")&amp;IF(AND(N($T98)&gt;0,COUNT($H98:$K98)&gt;0),"Con subactividades: deje vacías las semanas (se calculan solas)"&amp;" · ","")&amp;IF((COUNTIF($H98:$K98,"&gt;1")+COUNTIF($H98:$K98,"&lt;0")+COUNTA($H98:$K98)-COUNT($H98:$K98))&gt;0,"Avance fuera de rango 0-100%"&amp;" · ","")&amp;IF(OR(AND($I98&lt;&gt;"",$I98&lt;$H98),AND($J98&lt;&gt;"",$J98&lt;MAX($H98:$I98)),AND($K98&lt;&gt;"",$K98&lt;MAX($H98:$J98))),"Avance semanal decreciente"&amp;" · ","")&amp;IF(AND(ISNUMBER($F98),$F98&lt;FechaRef,N($L98)&lt;1),"Vencida"&amp;" · ","")&amp;IF(AND(ObsObligatoria="Sí",ISNUMBER($F98),$F98&lt;FechaRef,N($L98)&lt;1,$N98=""),"Vencida sin observación"&amp;" · ",""))-3)))</f>
        <v/>
      </c>
      <c r="P98" s="69">
        <f>IF(NOT((COUNTA($B98:$K98)+COUNTA($N98))&gt;0),"",IF(AND($S98="Sub",N($R98)&gt;0),IF(ISNUMBER(INDEX($E$5:$E$1000,$R98-4)),DATE(YEAR(INDEX($E$5:$E$1000,$R98-4)),MONTH(INDEX($E$5:$E$1000,$R98-4)),1),IF(ISNUMBER(INDEX($F$5:$F$1000,$R98-4)),DATE(YEAR(INDEX($F$5:$F$1000,$R98-4)),MONTH(INDEX($F$5:$F$1000,$R98-4)),1),MesCiclo)),IF(ISNUMBER($E98),DATE(YEAR($E98),MONTH($E98),1),IF(ISNUMBER($F98),DATE(YEAR($F98),MONTH($F98),1),MesCiclo))))</f>
        <v/>
      </c>
      <c r="Q98" s="70">
        <f>IF(OR($P98="",$P98&lt;&gt;MesCiclo),"",COUNTIF($P$5:$P98,MesCiclo))</f>
        <v/>
      </c>
      <c r="R98" s="70">
        <f>IF($S98="","",IF($S98="Macro",ROW(),IFERROR(LOOKUP(2,1/($S$5:$S98="Macro"),ROW($S$5:$S98)),0)))</f>
        <v/>
      </c>
      <c r="S98" s="70">
        <f>IF(NOT((COUNTA($B98:$K98)+COUNTA($N98))&gt;0),"",IF($B98&lt;&gt;"","Macro",IF($C98&lt;&gt;"","Sub","Macro")))</f>
        <v/>
      </c>
      <c r="T98" s="70">
        <f>IF($S98="Macro",COUNTIFS($R$5:$R$1000,ROW(),$S$5:$S$1000,"Sub"),"")</f>
        <v/>
      </c>
      <c r="U98" s="70">
        <f>IF($S98="","",IF(ISNUMBER($H98),$H98,0))</f>
        <v/>
      </c>
      <c r="V98" s="70">
        <f>IF($S98="","",IF(ISNUMBER($I98),$I98,$U98))</f>
        <v/>
      </c>
      <c r="W98" s="70">
        <f>IF($S98="","",IF(ISNUMBER($J98),$J98,$V98))</f>
        <v/>
      </c>
      <c r="X98" s="70">
        <f>IF($S98="","",IF(ISNUMBER($K98),$K98,$W98))</f>
        <v/>
      </c>
      <c r="Y98" s="70">
        <f>IF($S98="","",IF(N($T98)&gt;0,AVERAGEIFS($U$5:$U$1000,$R$5:$R$1000,ROW(),$S$5:$S$1000,"Sub"),$U98))</f>
        <v/>
      </c>
      <c r="Z98" s="70">
        <f>IF($S98="","",IF(N($T98)&gt;0,AVERAGEIFS($V$5:$V$1000,$R$5:$R$1000,ROW(),$S$5:$S$1000,"Sub"),$V98))</f>
        <v/>
      </c>
      <c r="AA98" s="70">
        <f>IF($S98="","",IF(N($T98)&gt;0,AVERAGEIFS($W$5:$W$1000,$R$5:$R$1000,ROW(),$S$5:$S$1000,"Sub"),$W98))</f>
        <v/>
      </c>
      <c r="AB98" s="70">
        <f>IF($S98="","",IF(N($T98)&gt;0,AVERAGEIFS($X$5:$X$1000,$R$5:$R$1000,ROW(),$S$5:$S$1000,"Sub"),$X98))</f>
        <v/>
      </c>
    </row>
    <row r="99">
      <c r="A99" s="61">
        <f>IF(NOT((COUNTA($B99:$K99)+COUNTA($N99))&gt;0),"",IF($S99="Macro",COUNTIFS($S$5:$S99,"Macro",$P$5:$P99,$P99),IF(N($R99)=0,"?",COUNTIFS(INDEX($S$5:$S$1000,1):INDEX($S$5:$S$1000,$R99-4),"Macro",INDEX($P$5:$P$1000,1):INDEX($P$5:$P$1000,$R99-4),INDEX($P$5:$P$1000,$R99-4))&amp;"."&amp;COUNTIFS($R$5:$R99,$R99,$S$5:$S99,"Sub"))))</f>
        <v/>
      </c>
      <c r="B99" s="62" t="n"/>
      <c r="C99" s="63" t="n"/>
      <c r="D99" s="62" t="n"/>
      <c r="E99" s="64" t="n"/>
      <c r="F99" s="64" t="n"/>
      <c r="G99" s="65" t="n"/>
      <c r="H99" s="66" t="n"/>
      <c r="I99" s="66" t="n"/>
      <c r="J99" s="66" t="n"/>
      <c r="K99" s="66" t="n"/>
      <c r="L99" s="67">
        <f>IF(NOT((COUNTA($B99:$K99)+COUNTA($N99))&gt;0),"",IF(N($T99)&gt;0,$AB99,IFERROR(LOOKUP(2,1/(H99:K99&lt;&gt;""),H99:K99),0)))</f>
        <v/>
      </c>
      <c r="M99" s="61">
        <f>IF(L99="","",IF(L99&gt;=1,"Completado",IF(L99&gt;0,"En curso","Pendiente")))</f>
        <v/>
      </c>
      <c r="N99" s="62" t="n"/>
      <c r="O99" s="68">
        <f>IF(NOT((COUNTA($B99:$K99)+COUNTA($N99))&gt;0),"",IF((IF(AND($S99="Macro",$B99=""),"Macroactividad vacía"&amp;" · ","")&amp;IF(AND($B99&lt;&gt;"",$C99&lt;&gt;""),"Escriba la subactividad en otra fila, debajo de su macroactividad"&amp;" · ","")&amp;IF(AND($S99="Sub",N($R99)=0),"Subactividad sin macroactividad arriba"&amp;" · ","")&amp;IF($D99="","Sin responsable"&amp;" · ","")&amp;IF($E99="","Sin fecha de inicio"&amp;" · ","")&amp;IF($F99="","Sin fecha límite"&amp;" · ","")&amp;IF(OR(AND($E99&lt;&gt;"",NOT(ISNUMBER($E99))),AND($F99&lt;&gt;"",NOT(ISNUMBER($F99)))),"Fecha no válida"&amp;" · ","")&amp;IF(AND(ISNUMBER($E99),ISNUMBER($F99),$E99&gt;$F99),"Inicio posterior a fecha límite"&amp;" · ","")&amp;IF(AND($S99="Macro",$G99=""),"Peso vacío"&amp;" · ","")&amp;IF(AND($S99="Macro",$G99&lt;&gt;"",OR(NOT(ISNUMBER($G99)),$G99&lt;=0,$G99&gt;1)),"Peso fuera de rango"&amp;" · ","")&amp;IF(AND($S99="Sub",$G99&lt;&gt;""),"Las subactividades no llevan peso"&amp;" · ","")&amp;IF(AND($S99="Macro",ABS(SUMIFS($G$5:$G$1000,$P$5:$P$1000,$P99,$S$5:$S$1000,"Macro")-1)&gt;0.0001),"Pesos del mes suman "&amp;TEXT(SUMIFS($G$5:$G$1000,$P$5:$P$1000,$P99,$S$5:$S$1000,"Macro"),"0%")&amp;" · ","")&amp;IF(AND(N($T99)&gt;0,COUNT($H99:$K99)&gt;0),"Con subactividades: deje vacías las semanas (se calculan solas)"&amp;" · ","")&amp;IF((COUNTIF($H99:$K99,"&gt;1")+COUNTIF($H99:$K99,"&lt;0")+COUNTA($H99:$K99)-COUNT($H99:$K99))&gt;0,"Avance fuera de rango 0-100%"&amp;" · ","")&amp;IF(OR(AND($I99&lt;&gt;"",$I99&lt;$H99),AND($J99&lt;&gt;"",$J99&lt;MAX($H99:$I99)),AND($K99&lt;&gt;"",$K99&lt;MAX($H99:$J99))),"Avance semanal decreciente"&amp;" · ","")&amp;IF(AND(ISNUMBER($F99),$F99&lt;FechaRef,N($L99)&lt;1),"Vencida"&amp;" · ","")&amp;IF(AND(ObsObligatoria="Sí",ISNUMBER($F99),$F99&lt;FechaRef,N($L99)&lt;1,$N99=""),"Vencida sin observación"&amp;" · ",""))="","✔ OK","⚠ "&amp;LEFT(IF(AND($S99="Macro",$B99=""),"Macroactividad vacía"&amp;" · ","")&amp;IF(AND($B99&lt;&gt;"",$C99&lt;&gt;""),"Escriba la subactividad en otra fila, debajo de su macroactividad"&amp;" · ","")&amp;IF(AND($S99="Sub",N($R99)=0),"Subactividad sin macroactividad arriba"&amp;" · ","")&amp;IF($D99="","Sin responsable"&amp;" · ","")&amp;IF($E99="","Sin fecha de inicio"&amp;" · ","")&amp;IF($F99="","Sin fecha límite"&amp;" · ","")&amp;IF(OR(AND($E99&lt;&gt;"",NOT(ISNUMBER($E99))),AND($F99&lt;&gt;"",NOT(ISNUMBER($F99)))),"Fecha no válida"&amp;" · ","")&amp;IF(AND(ISNUMBER($E99),ISNUMBER($F99),$E99&gt;$F99),"Inicio posterior a fecha límite"&amp;" · ","")&amp;IF(AND($S99="Macro",$G99=""),"Peso vacío"&amp;" · ","")&amp;IF(AND($S99="Macro",$G99&lt;&gt;"",OR(NOT(ISNUMBER($G99)),$G99&lt;=0,$G99&gt;1)),"Peso fuera de rango"&amp;" · ","")&amp;IF(AND($S99="Sub",$G99&lt;&gt;""),"Las subactividades no llevan peso"&amp;" · ","")&amp;IF(AND($S99="Macro",ABS(SUMIFS($G$5:$G$1000,$P$5:$P$1000,$P99,$S$5:$S$1000,"Macro")-1)&gt;0.0001),"Pesos del mes suman "&amp;TEXT(SUMIFS($G$5:$G$1000,$P$5:$P$1000,$P99,$S$5:$S$1000,"Macro"),"0%")&amp;" · ","")&amp;IF(AND(N($T99)&gt;0,COUNT($H99:$K99)&gt;0),"Con subactividades: deje vacías las semanas (se calculan solas)"&amp;" · ","")&amp;IF((COUNTIF($H99:$K99,"&gt;1")+COUNTIF($H99:$K99,"&lt;0")+COUNTA($H99:$K99)-COUNT($H99:$K99))&gt;0,"Avance fuera de rango 0-100%"&amp;" · ","")&amp;IF(OR(AND($I99&lt;&gt;"",$I99&lt;$H99),AND($J99&lt;&gt;"",$J99&lt;MAX($H99:$I99)),AND($K99&lt;&gt;"",$K99&lt;MAX($H99:$J99))),"Avance semanal decreciente"&amp;" · ","")&amp;IF(AND(ISNUMBER($F99),$F99&lt;FechaRef,N($L99)&lt;1),"Vencida"&amp;" · ","")&amp;IF(AND(ObsObligatoria="Sí",ISNUMBER($F99),$F99&lt;FechaRef,N($L99)&lt;1,$N99=""),"Vencida sin observación"&amp;" · ",""),LEN(IF(AND($S99="Macro",$B99=""),"Macroactividad vacía"&amp;" · ","")&amp;IF(AND($B99&lt;&gt;"",$C99&lt;&gt;""),"Escriba la subactividad en otra fila, debajo de su macroactividad"&amp;" · ","")&amp;IF(AND($S99="Sub",N($R99)=0),"Subactividad sin macroactividad arriba"&amp;" · ","")&amp;IF($D99="","Sin responsable"&amp;" · ","")&amp;IF($E99="","Sin fecha de inicio"&amp;" · ","")&amp;IF($F99="","Sin fecha límite"&amp;" · ","")&amp;IF(OR(AND($E99&lt;&gt;"",NOT(ISNUMBER($E99))),AND($F99&lt;&gt;"",NOT(ISNUMBER($F99)))),"Fecha no válida"&amp;" · ","")&amp;IF(AND(ISNUMBER($E99),ISNUMBER($F99),$E99&gt;$F99),"Inicio posterior a fecha límite"&amp;" · ","")&amp;IF(AND($S99="Macro",$G99=""),"Peso vacío"&amp;" · ","")&amp;IF(AND($S99="Macro",$G99&lt;&gt;"",OR(NOT(ISNUMBER($G99)),$G99&lt;=0,$G99&gt;1)),"Peso fuera de rango"&amp;" · ","")&amp;IF(AND($S99="Sub",$G99&lt;&gt;""),"Las subactividades no llevan peso"&amp;" · ","")&amp;IF(AND($S99="Macro",ABS(SUMIFS($G$5:$G$1000,$P$5:$P$1000,$P99,$S$5:$S$1000,"Macro")-1)&gt;0.0001),"Pesos del mes suman "&amp;TEXT(SUMIFS($G$5:$G$1000,$P$5:$P$1000,$P99,$S$5:$S$1000,"Macro"),"0%")&amp;" · ","")&amp;IF(AND(N($T99)&gt;0,COUNT($H99:$K99)&gt;0),"Con subactividades: deje vacías las semanas (se calculan solas)"&amp;" · ","")&amp;IF((COUNTIF($H99:$K99,"&gt;1")+COUNTIF($H99:$K99,"&lt;0")+COUNTA($H99:$K99)-COUNT($H99:$K99))&gt;0,"Avance fuera de rango 0-100%"&amp;" · ","")&amp;IF(OR(AND($I99&lt;&gt;"",$I99&lt;$H99),AND($J99&lt;&gt;"",$J99&lt;MAX($H99:$I99)),AND($K99&lt;&gt;"",$K99&lt;MAX($H99:$J99))),"Avance semanal decreciente"&amp;" · ","")&amp;IF(AND(ISNUMBER($F99),$F99&lt;FechaRef,N($L99)&lt;1),"Vencida"&amp;" · ","")&amp;IF(AND(ObsObligatoria="Sí",ISNUMBER($F99),$F99&lt;FechaRef,N($L99)&lt;1,$N99=""),"Vencida sin observación"&amp;" · ",""))-3)))</f>
        <v/>
      </c>
      <c r="P99" s="69">
        <f>IF(NOT((COUNTA($B99:$K99)+COUNTA($N99))&gt;0),"",IF(AND($S99="Sub",N($R99)&gt;0),IF(ISNUMBER(INDEX($E$5:$E$1000,$R99-4)),DATE(YEAR(INDEX($E$5:$E$1000,$R99-4)),MONTH(INDEX($E$5:$E$1000,$R99-4)),1),IF(ISNUMBER(INDEX($F$5:$F$1000,$R99-4)),DATE(YEAR(INDEX($F$5:$F$1000,$R99-4)),MONTH(INDEX($F$5:$F$1000,$R99-4)),1),MesCiclo)),IF(ISNUMBER($E99),DATE(YEAR($E99),MONTH($E99),1),IF(ISNUMBER($F99),DATE(YEAR($F99),MONTH($F99),1),MesCiclo))))</f>
        <v/>
      </c>
      <c r="Q99" s="70">
        <f>IF(OR($P99="",$P99&lt;&gt;MesCiclo),"",COUNTIF($P$5:$P99,MesCiclo))</f>
        <v/>
      </c>
      <c r="R99" s="70">
        <f>IF($S99="","",IF($S99="Macro",ROW(),IFERROR(LOOKUP(2,1/($S$5:$S99="Macro"),ROW($S$5:$S99)),0)))</f>
        <v/>
      </c>
      <c r="S99" s="70">
        <f>IF(NOT((COUNTA($B99:$K99)+COUNTA($N99))&gt;0),"",IF($B99&lt;&gt;"","Macro",IF($C99&lt;&gt;"","Sub","Macro")))</f>
        <v/>
      </c>
      <c r="T99" s="70">
        <f>IF($S99="Macro",COUNTIFS($R$5:$R$1000,ROW(),$S$5:$S$1000,"Sub"),"")</f>
        <v/>
      </c>
      <c r="U99" s="70">
        <f>IF($S99="","",IF(ISNUMBER($H99),$H99,0))</f>
        <v/>
      </c>
      <c r="V99" s="70">
        <f>IF($S99="","",IF(ISNUMBER($I99),$I99,$U99))</f>
        <v/>
      </c>
      <c r="W99" s="70">
        <f>IF($S99="","",IF(ISNUMBER($J99),$J99,$V99))</f>
        <v/>
      </c>
      <c r="X99" s="70">
        <f>IF($S99="","",IF(ISNUMBER($K99),$K99,$W99))</f>
        <v/>
      </c>
      <c r="Y99" s="70">
        <f>IF($S99="","",IF(N($T99)&gt;0,AVERAGEIFS($U$5:$U$1000,$R$5:$R$1000,ROW(),$S$5:$S$1000,"Sub"),$U99))</f>
        <v/>
      </c>
      <c r="Z99" s="70">
        <f>IF($S99="","",IF(N($T99)&gt;0,AVERAGEIFS($V$5:$V$1000,$R$5:$R$1000,ROW(),$S$5:$S$1000,"Sub"),$V99))</f>
        <v/>
      </c>
      <c r="AA99" s="70">
        <f>IF($S99="","",IF(N($T99)&gt;0,AVERAGEIFS($W$5:$W$1000,$R$5:$R$1000,ROW(),$S$5:$S$1000,"Sub"),$W99))</f>
        <v/>
      </c>
      <c r="AB99" s="70">
        <f>IF($S99="","",IF(N($T99)&gt;0,AVERAGEIFS($X$5:$X$1000,$R$5:$R$1000,ROW(),$S$5:$S$1000,"Sub"),$X99))</f>
        <v/>
      </c>
    </row>
    <row r="100">
      <c r="A100" s="61">
        <f>IF(NOT((COUNTA($B100:$K100)+COUNTA($N100))&gt;0),"",IF($S100="Macro",COUNTIFS($S$5:$S100,"Macro",$P$5:$P100,$P100),IF(N($R100)=0,"?",COUNTIFS(INDEX($S$5:$S$1000,1):INDEX($S$5:$S$1000,$R100-4),"Macro",INDEX($P$5:$P$1000,1):INDEX($P$5:$P$1000,$R100-4),INDEX($P$5:$P$1000,$R100-4))&amp;"."&amp;COUNTIFS($R$5:$R100,$R100,$S$5:$S100,"Sub"))))</f>
        <v/>
      </c>
      <c r="B100" s="62" t="n"/>
      <c r="C100" s="63" t="n"/>
      <c r="D100" s="62" t="n"/>
      <c r="E100" s="64" t="n"/>
      <c r="F100" s="64" t="n"/>
      <c r="G100" s="65" t="n"/>
      <c r="H100" s="66" t="n"/>
      <c r="I100" s="66" t="n"/>
      <c r="J100" s="66" t="n"/>
      <c r="K100" s="66" t="n"/>
      <c r="L100" s="67">
        <f>IF(NOT((COUNTA($B100:$K100)+COUNTA($N100))&gt;0),"",IF(N($T100)&gt;0,$AB100,IFERROR(LOOKUP(2,1/(H100:K100&lt;&gt;""),H100:K100),0)))</f>
        <v/>
      </c>
      <c r="M100" s="61">
        <f>IF(L100="","",IF(L100&gt;=1,"Completado",IF(L100&gt;0,"En curso","Pendiente")))</f>
        <v/>
      </c>
      <c r="N100" s="62" t="n"/>
      <c r="O100" s="68">
        <f>IF(NOT((COUNTA($B100:$K100)+COUNTA($N100))&gt;0),"",IF((IF(AND($S100="Macro",$B100=""),"Macroactividad vacía"&amp;" · ","")&amp;IF(AND($B100&lt;&gt;"",$C100&lt;&gt;""),"Escriba la subactividad en otra fila, debajo de su macroactividad"&amp;" · ","")&amp;IF(AND($S100="Sub",N($R100)=0),"Subactividad sin macroactividad arriba"&amp;" · ","")&amp;IF($D100="","Sin responsable"&amp;" · ","")&amp;IF($E100="","Sin fecha de inicio"&amp;" · ","")&amp;IF($F100="","Sin fecha límite"&amp;" · ","")&amp;IF(OR(AND($E100&lt;&gt;"",NOT(ISNUMBER($E100))),AND($F100&lt;&gt;"",NOT(ISNUMBER($F100)))),"Fecha no válida"&amp;" · ","")&amp;IF(AND(ISNUMBER($E100),ISNUMBER($F100),$E100&gt;$F100),"Inicio posterior a fecha límite"&amp;" · ","")&amp;IF(AND($S100="Macro",$G100=""),"Peso vacío"&amp;" · ","")&amp;IF(AND($S100="Macro",$G100&lt;&gt;"",OR(NOT(ISNUMBER($G100)),$G100&lt;=0,$G100&gt;1)),"Peso fuera de rango"&amp;" · ","")&amp;IF(AND($S100="Sub",$G100&lt;&gt;""),"Las subactividades no llevan peso"&amp;" · ","")&amp;IF(AND($S100="Macro",ABS(SUMIFS($G$5:$G$1000,$P$5:$P$1000,$P100,$S$5:$S$1000,"Macro")-1)&gt;0.0001),"Pesos del mes suman "&amp;TEXT(SUMIFS($G$5:$G$1000,$P$5:$P$1000,$P100,$S$5:$S$1000,"Macro"),"0%")&amp;" · ","")&amp;IF(AND(N($T100)&gt;0,COUNT($H100:$K100)&gt;0),"Con subactividades: deje vacías las semanas (se calculan solas)"&amp;"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","")&amp;IF(AND(ObsObligatoria="Sí",ISNUMBER($F100),$F100&lt;FechaRef,N($L100)&lt;1,$N100=""),"Vencida sin observación"&amp;" · ",""))="","✔ OK","⚠ "&amp;LEFT(IF(AND($S100="Macro",$B100=""),"Macroactividad vacía"&amp;" · ","")&amp;IF(AND($B100&lt;&gt;"",$C100&lt;&gt;""),"Escriba la subactividad en otra fila, debajo de su macroactividad"&amp;" · ","")&amp;IF(AND($S100="Sub",N($R100)=0),"Subactividad sin macroactividad arriba"&amp;" · ","")&amp;IF($D100="","Sin responsable"&amp;" · ","")&amp;IF($E100="","Sin fecha de inicio"&amp;" · ","")&amp;IF($F100="","Sin fecha límite"&amp;" · ","")&amp;IF(OR(AND($E100&lt;&gt;"",NOT(ISNUMBER($E100))),AND($F100&lt;&gt;"",NOT(ISNUMBER($F100)))),"Fecha no válida"&amp;" · ","")&amp;IF(AND(ISNUMBER($E100),ISNUMBER($F100),$E100&gt;$F100),"Inicio posterior a fecha límite"&amp;" · ","")&amp;IF(AND($S100="Macro",$G100=""),"Peso vacío"&amp;" · ","")&amp;IF(AND($S100="Macro",$G100&lt;&gt;"",OR(NOT(ISNUMBER($G100)),$G100&lt;=0,$G100&gt;1)),"Peso fuera de rango"&amp;" · ","")&amp;IF(AND($S100="Sub",$G100&lt;&gt;""),"Las subactividades no llevan peso"&amp;" · ","")&amp;IF(AND($S100="Macro",ABS(SUMIFS($G$5:$G$1000,$P$5:$P$1000,$P100,$S$5:$S$1000,"Macro")-1)&gt;0.0001),"Pesos del mes suman "&amp;TEXT(SUMIFS($G$5:$G$1000,$P$5:$P$1000,$P100,$S$5:$S$1000,"Macro"),"0%")&amp;" · ","")&amp;IF(AND(N($T100)&gt;0,COUNT($H100:$K100)&gt;0),"Con subactividades: deje vacías las semanas (se calculan solas)"&amp;"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","")&amp;IF(AND(ObsObligatoria="Sí",ISNUMBER($F100),$F100&lt;FechaRef,N($L100)&lt;1,$N100=""),"Vencida sin observación"&amp;" · ",""),LEN(IF(AND($S100="Macro",$B100=""),"Macroactividad vacía"&amp;" · ","")&amp;IF(AND($B100&lt;&gt;"",$C100&lt;&gt;""),"Escriba la subactividad en otra fila, debajo de su macroactividad"&amp;" · ","")&amp;IF(AND($S100="Sub",N($R100)=0),"Subactividad sin macroactividad arriba"&amp;" · ","")&amp;IF($D100="","Sin responsable"&amp;" · ","")&amp;IF($E100="","Sin fecha de inicio"&amp;" · ","")&amp;IF($F100="","Sin fecha límite"&amp;" · ","")&amp;IF(OR(AND($E100&lt;&gt;"",NOT(ISNUMBER($E100))),AND($F100&lt;&gt;"",NOT(ISNUMBER($F100)))),"Fecha no válida"&amp;" · ","")&amp;IF(AND(ISNUMBER($E100),ISNUMBER($F100),$E100&gt;$F100),"Inicio posterior a fecha límite"&amp;" · ","")&amp;IF(AND($S100="Macro",$G100=""),"Peso vacío"&amp;" · ","")&amp;IF(AND($S100="Macro",$G100&lt;&gt;"",OR(NOT(ISNUMBER($G100)),$G100&lt;=0,$G100&gt;1)),"Peso fuera de rango"&amp;" · ","")&amp;IF(AND($S100="Sub",$G100&lt;&gt;""),"Las subactividades no llevan peso"&amp;" · ","")&amp;IF(AND($S100="Macro",ABS(SUMIFS($G$5:$G$1000,$P$5:$P$1000,$P100,$S$5:$S$1000,"Macro")-1)&gt;0.0001),"Pesos del mes suman "&amp;TEXT(SUMIFS($G$5:$G$1000,$P$5:$P$1000,$P100,$S$5:$S$1000,"Macro"),"0%")&amp;" · ","")&amp;IF(AND(N($T100)&gt;0,COUNT($H100:$K100)&gt;0),"Con subactividades: deje vacías las semanas (se calculan solas)"&amp;"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","")&amp;IF(AND(ObsObligatoria="Sí",ISNUMBER($F100),$F100&lt;FechaRef,N($L100)&lt;1,$N100=""),"Vencida sin observación"&amp;" · ",""))-3)))</f>
        <v/>
      </c>
      <c r="P100" s="69">
        <f>IF(NOT((COUNTA($B100:$K100)+COUNTA($N100))&gt;0),"",IF(AND($S100="Sub",N($R100)&gt;0),IF(ISNUMBER(INDEX($E$5:$E$1000,$R100-4)),DATE(YEAR(INDEX($E$5:$E$1000,$R100-4)),MONTH(INDEX($E$5:$E$1000,$R100-4)),1),IF(ISNUMBER(INDEX($F$5:$F$1000,$R100-4)),DATE(YEAR(INDEX($F$5:$F$1000,$R100-4)),MONTH(INDEX($F$5:$F$1000,$R100-4)),1),MesCiclo)),IF(ISNUMBER($E100),DATE(YEAR($E100),MONTH($E100),1),IF(ISNUMBER($F100),DATE(YEAR($F100),MONTH($F100),1),MesCiclo))))</f>
        <v/>
      </c>
      <c r="Q100" s="70">
        <f>IF(OR($P100="",$P100&lt;&gt;MesCiclo),"",COUNTIF($P$5:$P100,MesCiclo))</f>
        <v/>
      </c>
      <c r="R100" s="70">
        <f>IF($S100="","",IF($S100="Macro",ROW(),IFERROR(LOOKUP(2,1/($S$5:$S100="Macro"),ROW($S$5:$S100)),0)))</f>
        <v/>
      </c>
      <c r="S100" s="70">
        <f>IF(NOT((COUNTA($B100:$K100)+COUNTA($N100))&gt;0),"",IF($B100&lt;&gt;"","Macro",IF($C100&lt;&gt;"","Sub","Macro")))</f>
        <v/>
      </c>
      <c r="T100" s="70">
        <f>IF($S100="Macro",COUNTIFS($R$5:$R$1000,ROW(),$S$5:$S$1000,"Sub"),"")</f>
        <v/>
      </c>
      <c r="U100" s="70">
        <f>IF($S100="","",IF(ISNUMBER($H100),$H100,0))</f>
        <v/>
      </c>
      <c r="V100" s="70">
        <f>IF($S100="","",IF(ISNUMBER($I100),$I100,$U100))</f>
        <v/>
      </c>
      <c r="W100" s="70">
        <f>IF($S100="","",IF(ISNUMBER($J100),$J100,$V100))</f>
        <v/>
      </c>
      <c r="X100" s="70">
        <f>IF($S100="","",IF(ISNUMBER($K100),$K100,$W100))</f>
        <v/>
      </c>
      <c r="Y100" s="70">
        <f>IF($S100="","",IF(N($T100)&gt;0,AVERAGEIFS($U$5:$U$1000,$R$5:$R$1000,ROW(),$S$5:$S$1000,"Sub"),$U100))</f>
        <v/>
      </c>
      <c r="Z100" s="70">
        <f>IF($S100="","",IF(N($T100)&gt;0,AVERAGEIFS($V$5:$V$1000,$R$5:$R$1000,ROW(),$S$5:$S$1000,"Sub"),$V100))</f>
        <v/>
      </c>
      <c r="AA100" s="70">
        <f>IF($S100="","",IF(N($T100)&gt;0,AVERAGEIFS($W$5:$W$1000,$R$5:$R$1000,ROW(),$S$5:$S$1000,"Sub"),$W100))</f>
        <v/>
      </c>
      <c r="AB100" s="70">
        <f>IF($S100="","",IF(N($T100)&gt;0,AVERAGEIFS($X$5:$X$1000,$R$5:$R$1000,ROW(),$S$5:$S$1000,"Sub"),$X100))</f>
        <v/>
      </c>
    </row>
    <row r="101">
      <c r="A101" s="61">
        <f>IF(NOT((COUNTA($B101:$K101)+COUNTA($N101))&gt;0),"",IF($S101="Macro",COUNTIFS($S$5:$S101,"Macro",$P$5:$P101,$P101),IF(N($R101)=0,"?",COUNTIFS(INDEX($S$5:$S$1000,1):INDEX($S$5:$S$1000,$R101-4),"Macro",INDEX($P$5:$P$1000,1):INDEX($P$5:$P$1000,$R101-4),INDEX($P$5:$P$1000,$R101-4))&amp;"."&amp;COUNTIFS($R$5:$R101,$R101,$S$5:$S101,"Sub"))))</f>
        <v/>
      </c>
      <c r="B101" s="62" t="n"/>
      <c r="C101" s="63" t="n"/>
      <c r="D101" s="62" t="n"/>
      <c r="E101" s="64" t="n"/>
      <c r="F101" s="64" t="n"/>
      <c r="G101" s="65" t="n"/>
      <c r="H101" s="66" t="n"/>
      <c r="I101" s="66" t="n"/>
      <c r="J101" s="66" t="n"/>
      <c r="K101" s="66" t="n"/>
      <c r="L101" s="67">
        <f>IF(NOT((COUNTA($B101:$K101)+COUNTA($N101))&gt;0),"",IF(N($T101)&gt;0,$AB101,IFERROR(LOOKUP(2,1/(H101:K101&lt;&gt;""),H101:K101),0)))</f>
        <v/>
      </c>
      <c r="M101" s="61">
        <f>IF(L101="","",IF(L101&gt;=1,"Completado",IF(L101&gt;0,"En curso","Pendiente")))</f>
        <v/>
      </c>
      <c r="N101" s="62" t="n"/>
      <c r="O101" s="68">
        <f>IF(NOT((COUNTA($B101:$K101)+COUNTA($N101))&gt;0),"",IF((IF(AND($S101="Macro",$B101=""),"Macroactividad vacía"&amp;" · ","")&amp;IF(AND($B101&lt;&gt;"",$C101&lt;&gt;""),"Escriba la subactividad en otra fila, debajo de su macroactividad"&amp;" · ","")&amp;IF(AND($S101="Sub",N($R101)=0),"Subactividad sin macroactividad arriba"&amp;" · ","")&amp;IF($D101="","Sin responsable"&amp;" · ","")&amp;IF($E101="","Sin fecha de inicio"&amp;" · ","")&amp;IF($F101="","Sin fecha límite"&amp;" · ","")&amp;IF(OR(AND($E101&lt;&gt;"",NOT(ISNUMBER($E101))),AND($F101&lt;&gt;"",NOT(ISNUMBER($F101)))),"Fecha no válida"&amp;" · ","")&amp;IF(AND(ISNUMBER($E101),ISNUMBER($F101),$E101&gt;$F101),"Inicio posterior a fecha límite"&amp;" · ","")&amp;IF(AND($S101="Macro",$G101=""),"Peso vacío"&amp;" · ","")&amp;IF(AND($S101="Macro",$G101&lt;&gt;"",OR(NOT(ISNUMBER($G101)),$G101&lt;=0,$G101&gt;1)),"Peso fuera de rango"&amp;" · ","")&amp;IF(AND($S101="Sub",$G101&lt;&gt;""),"Las subactividades no llevan peso"&amp;" · ","")&amp;IF(AND($S101="Macro",ABS(SUMIFS($G$5:$G$1000,$P$5:$P$1000,$P101,$S$5:$S$1000,"Macro")-1)&gt;0.0001),"Pesos del mes suman "&amp;TEXT(SUMIFS($G$5:$G$1000,$P$5:$P$1000,$P101,$S$5:$S$1000,"Macro"),"0%")&amp;" · ","")&amp;IF(AND(N($T101)&gt;0,COUNT($H101:$K101)&gt;0),"Con subactividades: deje vacías las semanas (se calculan solas)"&amp;"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","")&amp;IF(AND(ObsObligatoria="Sí",ISNUMBER($F101),$F101&lt;FechaRef,N($L101)&lt;1,$N101=""),"Vencida sin observación"&amp;" · ",""))="","✔ OK","⚠ "&amp;LEFT(IF(AND($S101="Macro",$B101=""),"Macroactividad vacía"&amp;" · ","")&amp;IF(AND($B101&lt;&gt;"",$C101&lt;&gt;""),"Escriba la subactividad en otra fila, debajo de su macroactividad"&amp;" · ","")&amp;IF(AND($S101="Sub",N($R101)=0),"Subactividad sin macroactividad arriba"&amp;" · ","")&amp;IF($D101="","Sin responsable"&amp;" · ","")&amp;IF($E101="","Sin fecha de inicio"&amp;" · ","")&amp;IF($F101="","Sin fecha límite"&amp;" · ","")&amp;IF(OR(AND($E101&lt;&gt;"",NOT(ISNUMBER($E101))),AND($F101&lt;&gt;"",NOT(ISNUMBER($F101)))),"Fecha no válida"&amp;" · ","")&amp;IF(AND(ISNUMBER($E101),ISNUMBER($F101),$E101&gt;$F101),"Inicio posterior a fecha límite"&amp;" · ","")&amp;IF(AND($S101="Macro",$G101=""),"Peso vacío"&amp;" · ","")&amp;IF(AND($S101="Macro",$G101&lt;&gt;"",OR(NOT(ISNUMBER($G101)),$G101&lt;=0,$G101&gt;1)),"Peso fuera de rango"&amp;" · ","")&amp;IF(AND($S101="Sub",$G101&lt;&gt;""),"Las subactividades no llevan peso"&amp;" · ","")&amp;IF(AND($S101="Macro",ABS(SUMIFS($G$5:$G$1000,$P$5:$P$1000,$P101,$S$5:$S$1000,"Macro")-1)&gt;0.0001),"Pesos del mes suman "&amp;TEXT(SUMIFS($G$5:$G$1000,$P$5:$P$1000,$P101,$S$5:$S$1000,"Macro"),"0%")&amp;" · ","")&amp;IF(AND(N($T101)&gt;0,COUNT($H101:$K101)&gt;0),"Con subactividades: deje vacías las semanas (se calculan solas)"&amp;"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","")&amp;IF(AND(ObsObligatoria="Sí",ISNUMBER($F101),$F101&lt;FechaRef,N($L101)&lt;1,$N101=""),"Vencida sin observación"&amp;" · ",""),LEN(IF(AND($S101="Macro",$B101=""),"Macroactividad vacía"&amp;" · ","")&amp;IF(AND($B101&lt;&gt;"",$C101&lt;&gt;""),"Escriba la subactividad en otra fila, debajo de su macroactividad"&amp;" · ","")&amp;IF(AND($S101="Sub",N($R101)=0),"Subactividad sin macroactividad arriba"&amp;" · ","")&amp;IF($D101="","Sin responsable"&amp;" · ","")&amp;IF($E101="","Sin fecha de inicio"&amp;" · ","")&amp;IF($F101="","Sin fecha límite"&amp;" · ","")&amp;IF(OR(AND($E101&lt;&gt;"",NOT(ISNUMBER($E101))),AND($F101&lt;&gt;"",NOT(ISNUMBER($F101)))),"Fecha no válida"&amp;" · ","")&amp;IF(AND(ISNUMBER($E101),ISNUMBER($F101),$E101&gt;$F101),"Inicio posterior a fecha límite"&amp;" · ","")&amp;IF(AND($S101="Macro",$G101=""),"Peso vacío"&amp;" · ","")&amp;IF(AND($S101="Macro",$G101&lt;&gt;"",OR(NOT(ISNUMBER($G101)),$G101&lt;=0,$G101&gt;1)),"Peso fuera de rango"&amp;" · ","")&amp;IF(AND($S101="Sub",$G101&lt;&gt;""),"Las subactividades no llevan peso"&amp;" · ","")&amp;IF(AND($S101="Macro",ABS(SUMIFS($G$5:$G$1000,$P$5:$P$1000,$P101,$S$5:$S$1000,"Macro")-1)&gt;0.0001),"Pesos del mes suman "&amp;TEXT(SUMIFS($G$5:$G$1000,$P$5:$P$1000,$P101,$S$5:$S$1000,"Macro"),"0%")&amp;" · ","")&amp;IF(AND(N($T101)&gt;0,COUNT($H101:$K101)&gt;0),"Con subactividades: deje vacías las semanas (se calculan solas)"&amp;"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","")&amp;IF(AND(ObsObligatoria="Sí",ISNUMBER($F101),$F101&lt;FechaRef,N($L101)&lt;1,$N101=""),"Vencida sin observación"&amp;" · ",""))-3)))</f>
        <v/>
      </c>
      <c r="P101" s="69">
        <f>IF(NOT((COUNTA($B101:$K101)+COUNTA($N101))&gt;0),"",IF(AND($S101="Sub",N($R101)&gt;0),IF(ISNUMBER(INDEX($E$5:$E$1000,$R101-4)),DATE(YEAR(INDEX($E$5:$E$1000,$R101-4)),MONTH(INDEX($E$5:$E$1000,$R101-4)),1),IF(ISNUMBER(INDEX($F$5:$F$1000,$R101-4)),DATE(YEAR(INDEX($F$5:$F$1000,$R101-4)),MONTH(INDEX($F$5:$F$1000,$R101-4)),1),MesCiclo)),IF(ISNUMBER($E101),DATE(YEAR($E101),MONTH($E101),1),IF(ISNUMBER($F101),DATE(YEAR($F101),MONTH($F101),1),MesCiclo))))</f>
        <v/>
      </c>
      <c r="Q101" s="70">
        <f>IF(OR($P101="",$P101&lt;&gt;MesCiclo),"",COUNTIF($P$5:$P101,MesCiclo))</f>
        <v/>
      </c>
      <c r="R101" s="70">
        <f>IF($S101="","",IF($S101="Macro",ROW(),IFERROR(LOOKUP(2,1/($S$5:$S101="Macro"),ROW($S$5:$S101)),0)))</f>
        <v/>
      </c>
      <c r="S101" s="70">
        <f>IF(NOT((COUNTA($B101:$K101)+COUNTA($N101))&gt;0),"",IF($B101&lt;&gt;"","Macro",IF($C101&lt;&gt;"","Sub","Macro")))</f>
        <v/>
      </c>
      <c r="T101" s="70">
        <f>IF($S101="Macro",COUNTIFS($R$5:$R$1000,ROW(),$S$5:$S$1000,"Sub"),"")</f>
        <v/>
      </c>
      <c r="U101" s="70">
        <f>IF($S101="","",IF(ISNUMBER($H101),$H101,0))</f>
        <v/>
      </c>
      <c r="V101" s="70">
        <f>IF($S101="","",IF(ISNUMBER($I101),$I101,$U101))</f>
        <v/>
      </c>
      <c r="W101" s="70">
        <f>IF($S101="","",IF(ISNUMBER($J101),$J101,$V101))</f>
        <v/>
      </c>
      <c r="X101" s="70">
        <f>IF($S101="","",IF(ISNUMBER($K101),$K101,$W101))</f>
        <v/>
      </c>
      <c r="Y101" s="70">
        <f>IF($S101="","",IF(N($T101)&gt;0,AVERAGEIFS($U$5:$U$1000,$R$5:$R$1000,ROW(),$S$5:$S$1000,"Sub"),$U101))</f>
        <v/>
      </c>
      <c r="Z101" s="70">
        <f>IF($S101="","",IF(N($T101)&gt;0,AVERAGEIFS($V$5:$V$1000,$R$5:$R$1000,ROW(),$S$5:$S$1000,"Sub"),$V101))</f>
        <v/>
      </c>
      <c r="AA101" s="70">
        <f>IF($S101="","",IF(N($T101)&gt;0,AVERAGEIFS($W$5:$W$1000,$R$5:$R$1000,ROW(),$S$5:$S$1000,"Sub"),$W101))</f>
        <v/>
      </c>
      <c r="AB101" s="70">
        <f>IF($S101="","",IF(N($T101)&gt;0,AVERAGEIFS($X$5:$X$1000,$R$5:$R$1000,ROW(),$S$5:$S$1000,"Sub"),$X101))</f>
        <v/>
      </c>
    </row>
    <row r="102">
      <c r="A102" s="61">
        <f>IF(NOT((COUNTA($B102:$K102)+COUNTA($N102))&gt;0),"",IF($S102="Macro",COUNTIFS($S$5:$S102,"Macro",$P$5:$P102,$P102),IF(N($R102)=0,"?",COUNTIFS(INDEX($S$5:$S$1000,1):INDEX($S$5:$S$1000,$R102-4),"Macro",INDEX($P$5:$P$1000,1):INDEX($P$5:$P$1000,$R102-4),INDEX($P$5:$P$1000,$R102-4))&amp;"."&amp;COUNTIFS($R$5:$R102,$R102,$S$5:$S102,"Sub"))))</f>
        <v/>
      </c>
      <c r="B102" s="62" t="n"/>
      <c r="C102" s="63" t="n"/>
      <c r="D102" s="62" t="n"/>
      <c r="E102" s="64" t="n"/>
      <c r="F102" s="64" t="n"/>
      <c r="G102" s="65" t="n"/>
      <c r="H102" s="66" t="n"/>
      <c r="I102" s="66" t="n"/>
      <c r="J102" s="66" t="n"/>
      <c r="K102" s="66" t="n"/>
      <c r="L102" s="67">
        <f>IF(NOT((COUNTA($B102:$K102)+COUNTA($N102))&gt;0),"",IF(N($T102)&gt;0,$AB102,IFERROR(LOOKUP(2,1/(H102:K102&lt;&gt;""),H102:K102),0)))</f>
        <v/>
      </c>
      <c r="M102" s="61">
        <f>IF(L102="","",IF(L102&gt;=1,"Completado",IF(L102&gt;0,"En curso","Pendiente")))</f>
        <v/>
      </c>
      <c r="N102" s="62" t="n"/>
      <c r="O102" s="68">
        <f>IF(NOT((COUNTA($B102:$K102)+COUNTA($N102))&gt;0),"",IF((IF(AND($S102="Macro",$B102=""),"Macroactividad vacía"&amp;" · ","")&amp;IF(AND($B102&lt;&gt;"",$C102&lt;&gt;""),"Escriba la subactividad en otra fila, debajo de su macroactividad"&amp;" · ","")&amp;IF(AND($S102="Sub",N($R102)=0),"Subactividad sin macroactividad arriba"&amp;" · ","")&amp;IF($D102="","Sin responsable"&amp;" · ","")&amp;IF($E102="","Sin fecha de inicio"&amp;" · ","")&amp;IF($F102="","Sin fecha límite"&amp;" · ","")&amp;IF(OR(AND($E102&lt;&gt;"",NOT(ISNUMBER($E102))),AND($F102&lt;&gt;"",NOT(ISNUMBER($F102)))),"Fecha no válida"&amp;" · ","")&amp;IF(AND(ISNUMBER($E102),ISNUMBER($F102),$E102&gt;$F102),"Inicio posterior a fecha límite"&amp;" · ","")&amp;IF(AND($S102="Macro",$G102=""),"Peso vacío"&amp;" · ","")&amp;IF(AND($S102="Macro",$G102&lt;&gt;"",OR(NOT(ISNUMBER($G102)),$G102&lt;=0,$G102&gt;1)),"Peso fuera de rango"&amp;" · ","")&amp;IF(AND($S102="Sub",$G102&lt;&gt;""),"Las subactividades no llevan peso"&amp;" · ","")&amp;IF(AND($S102="Macro",ABS(SUMIFS($G$5:$G$1000,$P$5:$P$1000,$P102,$S$5:$S$1000,"Macro")-1)&gt;0.0001),"Pesos del mes suman "&amp;TEXT(SUMIFS($G$5:$G$1000,$P$5:$P$1000,$P102,$S$5:$S$1000,"Macro"),"0%")&amp;" · ","")&amp;IF(AND(N($T102)&gt;0,COUNT($H102:$K102)&gt;0),"Con subactividades: deje vacías las semanas (se calculan solas)"&amp;"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","")&amp;IF(AND(ObsObligatoria="Sí",ISNUMBER($F102),$F102&lt;FechaRef,N($L102)&lt;1,$N102=""),"Vencida sin observación"&amp;" · ",""))="","✔ OK","⚠ "&amp;LEFT(IF(AND($S102="Macro",$B102=""),"Macroactividad vacía"&amp;" · ","")&amp;IF(AND($B102&lt;&gt;"",$C102&lt;&gt;""),"Escriba la subactividad en otra fila, debajo de su macroactividad"&amp;" · ","")&amp;IF(AND($S102="Sub",N($R102)=0),"Subactividad sin macroactividad arriba"&amp;" · ","")&amp;IF($D102="","Sin responsable"&amp;" · ","")&amp;IF($E102="","Sin fecha de inicio"&amp;" · ","")&amp;IF($F102="","Sin fecha límite"&amp;" · ","")&amp;IF(OR(AND($E102&lt;&gt;"",NOT(ISNUMBER($E102))),AND($F102&lt;&gt;"",NOT(ISNUMBER($F102)))),"Fecha no válida"&amp;" · ","")&amp;IF(AND(ISNUMBER($E102),ISNUMBER($F102),$E102&gt;$F102),"Inicio posterior a fecha límite"&amp;" · ","")&amp;IF(AND($S102="Macro",$G102=""),"Peso vacío"&amp;" · ","")&amp;IF(AND($S102="Macro",$G102&lt;&gt;"",OR(NOT(ISNUMBER($G102)),$G102&lt;=0,$G102&gt;1)),"Peso fuera de rango"&amp;" · ","")&amp;IF(AND($S102="Sub",$G102&lt;&gt;""),"Las subactividades no llevan peso"&amp;" · ","")&amp;IF(AND($S102="Macro",ABS(SUMIFS($G$5:$G$1000,$P$5:$P$1000,$P102,$S$5:$S$1000,"Macro")-1)&gt;0.0001),"Pesos del mes suman "&amp;TEXT(SUMIFS($G$5:$G$1000,$P$5:$P$1000,$P102,$S$5:$S$1000,"Macro"),"0%")&amp;" · ","")&amp;IF(AND(N($T102)&gt;0,COUNT($H102:$K102)&gt;0),"Con subactividades: deje vacías las semanas (se calculan solas)"&amp;"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","")&amp;IF(AND(ObsObligatoria="Sí",ISNUMBER($F102),$F102&lt;FechaRef,N($L102)&lt;1,$N102=""),"Vencida sin observación"&amp;" · ",""),LEN(IF(AND($S102="Macro",$B102=""),"Macroactividad vacía"&amp;" · ","")&amp;IF(AND($B102&lt;&gt;"",$C102&lt;&gt;""),"Escriba la subactividad en otra fila, debajo de su macroactividad"&amp;" · ","")&amp;IF(AND($S102="Sub",N($R102)=0),"Subactividad sin macroactividad arriba"&amp;" · ","")&amp;IF($D102="","Sin responsable"&amp;" · ","")&amp;IF($E102="","Sin fecha de inicio"&amp;" · ","")&amp;IF($F102="","Sin fecha límite"&amp;" · ","")&amp;IF(OR(AND($E102&lt;&gt;"",NOT(ISNUMBER($E102))),AND($F102&lt;&gt;"",NOT(ISNUMBER($F102)))),"Fecha no válida"&amp;" · ","")&amp;IF(AND(ISNUMBER($E102),ISNUMBER($F102),$E102&gt;$F102),"Inicio posterior a fecha límite"&amp;" · ","")&amp;IF(AND($S102="Macro",$G102=""),"Peso vacío"&amp;" · ","")&amp;IF(AND($S102="Macro",$G102&lt;&gt;"",OR(NOT(ISNUMBER($G102)),$G102&lt;=0,$G102&gt;1)),"Peso fuera de rango"&amp;" · ","")&amp;IF(AND($S102="Sub",$G102&lt;&gt;""),"Las subactividades no llevan peso"&amp;" · ","")&amp;IF(AND($S102="Macro",ABS(SUMIFS($G$5:$G$1000,$P$5:$P$1000,$P102,$S$5:$S$1000,"Macro")-1)&gt;0.0001),"Pesos del mes suman "&amp;TEXT(SUMIFS($G$5:$G$1000,$P$5:$P$1000,$P102,$S$5:$S$1000,"Macro"),"0%")&amp;" · ","")&amp;IF(AND(N($T102)&gt;0,COUNT($H102:$K102)&gt;0),"Con subactividades: deje vacías las semanas (se calculan solas)"&amp;"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","")&amp;IF(AND(ObsObligatoria="Sí",ISNUMBER($F102),$F102&lt;FechaRef,N($L102)&lt;1,$N102=""),"Vencida sin observación"&amp;" · ",""))-3)))</f>
        <v/>
      </c>
      <c r="P102" s="69">
        <f>IF(NOT((COUNTA($B102:$K102)+COUNTA($N102))&gt;0),"",IF(AND($S102="Sub",N($R102)&gt;0),IF(ISNUMBER(INDEX($E$5:$E$1000,$R102-4)),DATE(YEAR(INDEX($E$5:$E$1000,$R102-4)),MONTH(INDEX($E$5:$E$1000,$R102-4)),1),IF(ISNUMBER(INDEX($F$5:$F$1000,$R102-4)),DATE(YEAR(INDEX($F$5:$F$1000,$R102-4)),MONTH(INDEX($F$5:$F$1000,$R102-4)),1),MesCiclo)),IF(ISNUMBER($E102),DATE(YEAR($E102),MONTH($E102),1),IF(ISNUMBER($F102),DATE(YEAR($F102),MONTH($F102),1),MesCiclo))))</f>
        <v/>
      </c>
      <c r="Q102" s="70">
        <f>IF(OR($P102="",$P102&lt;&gt;MesCiclo),"",COUNTIF($P$5:$P102,MesCiclo))</f>
        <v/>
      </c>
      <c r="R102" s="70">
        <f>IF($S102="","",IF($S102="Macro",ROW(),IFERROR(LOOKUP(2,1/($S$5:$S102="Macro"),ROW($S$5:$S102)),0)))</f>
        <v/>
      </c>
      <c r="S102" s="70">
        <f>IF(NOT((COUNTA($B102:$K102)+COUNTA($N102))&gt;0),"",IF($B102&lt;&gt;"","Macro",IF($C102&lt;&gt;"","Sub","Macro")))</f>
        <v/>
      </c>
      <c r="T102" s="70">
        <f>IF($S102="Macro",COUNTIFS($R$5:$R$1000,ROW(),$S$5:$S$1000,"Sub"),"")</f>
        <v/>
      </c>
      <c r="U102" s="70">
        <f>IF($S102="","",IF(ISNUMBER($H102),$H102,0))</f>
        <v/>
      </c>
      <c r="V102" s="70">
        <f>IF($S102="","",IF(ISNUMBER($I102),$I102,$U102))</f>
        <v/>
      </c>
      <c r="W102" s="70">
        <f>IF($S102="","",IF(ISNUMBER($J102),$J102,$V102))</f>
        <v/>
      </c>
      <c r="X102" s="70">
        <f>IF($S102="","",IF(ISNUMBER($K102),$K102,$W102))</f>
        <v/>
      </c>
      <c r="Y102" s="70">
        <f>IF($S102="","",IF(N($T102)&gt;0,AVERAGEIFS($U$5:$U$1000,$R$5:$R$1000,ROW(),$S$5:$S$1000,"Sub"),$U102))</f>
        <v/>
      </c>
      <c r="Z102" s="70">
        <f>IF($S102="","",IF(N($T102)&gt;0,AVERAGEIFS($V$5:$V$1000,$R$5:$R$1000,ROW(),$S$5:$S$1000,"Sub"),$V102))</f>
        <v/>
      </c>
      <c r="AA102" s="70">
        <f>IF($S102="","",IF(N($T102)&gt;0,AVERAGEIFS($W$5:$W$1000,$R$5:$R$1000,ROW(),$S$5:$S$1000,"Sub"),$W102))</f>
        <v/>
      </c>
      <c r="AB102" s="70">
        <f>IF($S102="","",IF(N($T102)&gt;0,AVERAGEIFS($X$5:$X$1000,$R$5:$R$1000,ROW(),$S$5:$S$1000,"Sub"),$X102))</f>
        <v/>
      </c>
    </row>
    <row r="103">
      <c r="A103" s="61">
        <f>IF(NOT((COUNTA($B103:$K103)+COUNTA($N103))&gt;0),"",IF($S103="Macro",COUNTIFS($S$5:$S103,"Macro",$P$5:$P103,$P103),IF(N($R103)=0,"?",COUNTIFS(INDEX($S$5:$S$1000,1):INDEX($S$5:$S$1000,$R103-4),"Macro",INDEX($P$5:$P$1000,1):INDEX($P$5:$P$1000,$R103-4),INDEX($P$5:$P$1000,$R103-4))&amp;"."&amp;COUNTIFS($R$5:$R103,$R103,$S$5:$S103,"Sub"))))</f>
        <v/>
      </c>
      <c r="B103" s="62" t="n"/>
      <c r="C103" s="63" t="n"/>
      <c r="D103" s="62" t="n"/>
      <c r="E103" s="64" t="n"/>
      <c r="F103" s="64" t="n"/>
      <c r="G103" s="65" t="n"/>
      <c r="H103" s="66" t="n"/>
      <c r="I103" s="66" t="n"/>
      <c r="J103" s="66" t="n"/>
      <c r="K103" s="66" t="n"/>
      <c r="L103" s="67">
        <f>IF(NOT((COUNTA($B103:$K103)+COUNTA($N103))&gt;0),"",IF(N($T103)&gt;0,$AB103,IFERROR(LOOKUP(2,1/(H103:K103&lt;&gt;""),H103:K103),0)))</f>
        <v/>
      </c>
      <c r="M103" s="61">
        <f>IF(L103="","",IF(L103&gt;=1,"Completado",IF(L103&gt;0,"En curso","Pendiente")))</f>
        <v/>
      </c>
      <c r="N103" s="62" t="n"/>
      <c r="O103" s="68">
        <f>IF(NOT((COUNTA($B103:$K103)+COUNTA($N103))&gt;0),"",IF((IF(AND($S103="Macro",$B103=""),"Macroactividad vacía"&amp;" · ","")&amp;IF(AND($B103&lt;&gt;"",$C103&lt;&gt;""),"Escriba la subactividad en otra fila, debajo de su macroactividad"&amp;" · ","")&amp;IF(AND($S103="Sub",N($R103)=0),"Subactividad sin macroactividad arriba"&amp;" · ","")&amp;IF($D103="","Sin responsable"&amp;" · ","")&amp;IF($E103="","Sin fecha de inicio"&amp;" · ","")&amp;IF($F103="","Sin fecha límite"&amp;" · ","")&amp;IF(OR(AND($E103&lt;&gt;"",NOT(ISNUMBER($E103))),AND($F103&lt;&gt;"",NOT(ISNUMBER($F103)))),"Fecha no válida"&amp;" · ","")&amp;IF(AND(ISNUMBER($E103),ISNUMBER($F103),$E103&gt;$F103),"Inicio posterior a fecha límite"&amp;" · ","")&amp;IF(AND($S103="Macro",$G103=""),"Peso vacío"&amp;" · ","")&amp;IF(AND($S103="Macro",$G103&lt;&gt;"",OR(NOT(ISNUMBER($G103)),$G103&lt;=0,$G103&gt;1)),"Peso fuera de rango"&amp;" · ","")&amp;IF(AND($S103="Sub",$G103&lt;&gt;""),"Las subactividades no llevan peso"&amp;" · ","")&amp;IF(AND($S103="Macro",ABS(SUMIFS($G$5:$G$1000,$P$5:$P$1000,$P103,$S$5:$S$1000,"Macro")-1)&gt;0.0001),"Pesos del mes suman "&amp;TEXT(SUMIFS($G$5:$G$1000,$P$5:$P$1000,$P103,$S$5:$S$1000,"Macro"),"0%")&amp;" · ","")&amp;IF(AND(N($T103)&gt;0,COUNT($H103:$K103)&gt;0),"Con subactividades: deje vacías las semanas (se calculan solas)"&amp;"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","")&amp;IF(AND(ObsObligatoria="Sí",ISNUMBER($F103),$F103&lt;FechaRef,N($L103)&lt;1,$N103=""),"Vencida sin observación"&amp;" · ",""))="","✔ OK","⚠ "&amp;LEFT(IF(AND($S103="Macro",$B103=""),"Macroactividad vacía"&amp;" · ","")&amp;IF(AND($B103&lt;&gt;"",$C103&lt;&gt;""),"Escriba la subactividad en otra fila, debajo de su macroactividad"&amp;" · ","")&amp;IF(AND($S103="Sub",N($R103)=0),"Subactividad sin macroactividad arriba"&amp;" · ","")&amp;IF($D103="","Sin responsable"&amp;" · ","")&amp;IF($E103="","Sin fecha de inicio"&amp;" · ","")&amp;IF($F103="","Sin fecha límite"&amp;" · ","")&amp;IF(OR(AND($E103&lt;&gt;"",NOT(ISNUMBER($E103))),AND($F103&lt;&gt;"",NOT(ISNUMBER($F103)))),"Fecha no válida"&amp;" · ","")&amp;IF(AND(ISNUMBER($E103),ISNUMBER($F103),$E103&gt;$F103),"Inicio posterior a fecha límite"&amp;" · ","")&amp;IF(AND($S103="Macro",$G103=""),"Peso vacío"&amp;" · ","")&amp;IF(AND($S103="Macro",$G103&lt;&gt;"",OR(NOT(ISNUMBER($G103)),$G103&lt;=0,$G103&gt;1)),"Peso fuera de rango"&amp;" · ","")&amp;IF(AND($S103="Sub",$G103&lt;&gt;""),"Las subactividades no llevan peso"&amp;" · ","")&amp;IF(AND($S103="Macro",ABS(SUMIFS($G$5:$G$1000,$P$5:$P$1000,$P103,$S$5:$S$1000,"Macro")-1)&gt;0.0001),"Pesos del mes suman "&amp;TEXT(SUMIFS($G$5:$G$1000,$P$5:$P$1000,$P103,$S$5:$S$1000,"Macro"),"0%")&amp;" · ","")&amp;IF(AND(N($T103)&gt;0,COUNT($H103:$K103)&gt;0),"Con subactividades: deje vacías las semanas (se calculan solas)"&amp;"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","")&amp;IF(AND(ObsObligatoria="Sí",ISNUMBER($F103),$F103&lt;FechaRef,N($L103)&lt;1,$N103=""),"Vencida sin observación"&amp;" · ",""),LEN(IF(AND($S103="Macro",$B103=""),"Macroactividad vacía"&amp;" · ","")&amp;IF(AND($B103&lt;&gt;"",$C103&lt;&gt;""),"Escriba la subactividad en otra fila, debajo de su macroactividad"&amp;" · ","")&amp;IF(AND($S103="Sub",N($R103)=0),"Subactividad sin macroactividad arriba"&amp;" · ","")&amp;IF($D103="","Sin responsable"&amp;" · ","")&amp;IF($E103="","Sin fecha de inicio"&amp;" · ","")&amp;IF($F103="","Sin fecha límite"&amp;" · ","")&amp;IF(OR(AND($E103&lt;&gt;"",NOT(ISNUMBER($E103))),AND($F103&lt;&gt;"",NOT(ISNUMBER($F103)))),"Fecha no válida"&amp;" · ","")&amp;IF(AND(ISNUMBER($E103),ISNUMBER($F103),$E103&gt;$F103),"Inicio posterior a fecha límite"&amp;" · ","")&amp;IF(AND($S103="Macro",$G103=""),"Peso vacío"&amp;" · ","")&amp;IF(AND($S103="Macro",$G103&lt;&gt;"",OR(NOT(ISNUMBER($G103)),$G103&lt;=0,$G103&gt;1)),"Peso fuera de rango"&amp;" · ","")&amp;IF(AND($S103="Sub",$G103&lt;&gt;""),"Las subactividades no llevan peso"&amp;" · ","")&amp;IF(AND($S103="Macro",ABS(SUMIFS($G$5:$G$1000,$P$5:$P$1000,$P103,$S$5:$S$1000,"Macro")-1)&gt;0.0001),"Pesos del mes suman "&amp;TEXT(SUMIFS($G$5:$G$1000,$P$5:$P$1000,$P103,$S$5:$S$1000,"Macro"),"0%")&amp;" · ","")&amp;IF(AND(N($T103)&gt;0,COUNT($H103:$K103)&gt;0),"Con subactividades: deje vacías las semanas (se calculan solas)"&amp;"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","")&amp;IF(AND(ObsObligatoria="Sí",ISNUMBER($F103),$F103&lt;FechaRef,N($L103)&lt;1,$N103=""),"Vencida sin observación"&amp;" · ",""))-3)))</f>
        <v/>
      </c>
      <c r="P103" s="69">
        <f>IF(NOT((COUNTA($B103:$K103)+COUNTA($N103))&gt;0),"",IF(AND($S103="Sub",N($R103)&gt;0),IF(ISNUMBER(INDEX($E$5:$E$1000,$R103-4)),DATE(YEAR(INDEX($E$5:$E$1000,$R103-4)),MONTH(INDEX($E$5:$E$1000,$R103-4)),1),IF(ISNUMBER(INDEX($F$5:$F$1000,$R103-4)),DATE(YEAR(INDEX($F$5:$F$1000,$R103-4)),MONTH(INDEX($F$5:$F$1000,$R103-4)),1),MesCiclo)),IF(ISNUMBER($E103),DATE(YEAR($E103),MONTH($E103),1),IF(ISNUMBER($F103),DATE(YEAR($F103),MONTH($F103),1),MesCiclo))))</f>
        <v/>
      </c>
      <c r="Q103" s="70">
        <f>IF(OR($P103="",$P103&lt;&gt;MesCiclo),"",COUNTIF($P$5:$P103,MesCiclo))</f>
        <v/>
      </c>
      <c r="R103" s="70">
        <f>IF($S103="","",IF($S103="Macro",ROW(),IFERROR(LOOKUP(2,1/($S$5:$S103="Macro"),ROW($S$5:$S103)),0)))</f>
        <v/>
      </c>
      <c r="S103" s="70">
        <f>IF(NOT((COUNTA($B103:$K103)+COUNTA($N103))&gt;0),"",IF($B103&lt;&gt;"","Macro",IF($C103&lt;&gt;"","Sub","Macro")))</f>
        <v/>
      </c>
      <c r="T103" s="70">
        <f>IF($S103="Macro",COUNTIFS($R$5:$R$1000,ROW(),$S$5:$S$1000,"Sub"),"")</f>
        <v/>
      </c>
      <c r="U103" s="70">
        <f>IF($S103="","",IF(ISNUMBER($H103),$H103,0))</f>
        <v/>
      </c>
      <c r="V103" s="70">
        <f>IF($S103="","",IF(ISNUMBER($I103),$I103,$U103))</f>
        <v/>
      </c>
      <c r="W103" s="70">
        <f>IF($S103="","",IF(ISNUMBER($J103),$J103,$V103))</f>
        <v/>
      </c>
      <c r="X103" s="70">
        <f>IF($S103="","",IF(ISNUMBER($K103),$K103,$W103))</f>
        <v/>
      </c>
      <c r="Y103" s="70">
        <f>IF($S103="","",IF(N($T103)&gt;0,AVERAGEIFS($U$5:$U$1000,$R$5:$R$1000,ROW(),$S$5:$S$1000,"Sub"),$U103))</f>
        <v/>
      </c>
      <c r="Z103" s="70">
        <f>IF($S103="","",IF(N($T103)&gt;0,AVERAGEIFS($V$5:$V$1000,$R$5:$R$1000,ROW(),$S$5:$S$1000,"Sub"),$V103))</f>
        <v/>
      </c>
      <c r="AA103" s="70">
        <f>IF($S103="","",IF(N($T103)&gt;0,AVERAGEIFS($W$5:$W$1000,$R$5:$R$1000,ROW(),$S$5:$S$1000,"Sub"),$W103))</f>
        <v/>
      </c>
      <c r="AB103" s="70">
        <f>IF($S103="","",IF(N($T103)&gt;0,AVERAGEIFS($X$5:$X$1000,$R$5:$R$1000,ROW(),$S$5:$S$1000,"Sub"),$X103))</f>
        <v/>
      </c>
    </row>
    <row r="104">
      <c r="A104" s="61">
        <f>IF(NOT((COUNTA($B104:$K104)+COUNTA($N104))&gt;0),"",IF($S104="Macro",COUNTIFS($S$5:$S104,"Macro",$P$5:$P104,$P104),IF(N($R104)=0,"?",COUNTIFS(INDEX($S$5:$S$1000,1):INDEX($S$5:$S$1000,$R104-4),"Macro",INDEX($P$5:$P$1000,1):INDEX($P$5:$P$1000,$R104-4),INDEX($P$5:$P$1000,$R104-4))&amp;"."&amp;COUNTIFS($R$5:$R104,$R104,$S$5:$S104,"Sub"))))</f>
        <v/>
      </c>
      <c r="B104" s="62" t="n"/>
      <c r="C104" s="63" t="n"/>
      <c r="D104" s="62" t="n"/>
      <c r="E104" s="64" t="n"/>
      <c r="F104" s="64" t="n"/>
      <c r="G104" s="65" t="n"/>
      <c r="H104" s="66" t="n"/>
      <c r="I104" s="66" t="n"/>
      <c r="J104" s="66" t="n"/>
      <c r="K104" s="66" t="n"/>
      <c r="L104" s="67">
        <f>IF(NOT((COUNTA($B104:$K104)+COUNTA($N104))&gt;0),"",IF(N($T104)&gt;0,$AB104,IFERROR(LOOKUP(2,1/(H104:K104&lt;&gt;""),H104:K104),0)))</f>
        <v/>
      </c>
      <c r="M104" s="61">
        <f>IF(L104="","",IF(L104&gt;=1,"Completado",IF(L104&gt;0,"En curso","Pendiente")))</f>
        <v/>
      </c>
      <c r="N104" s="62" t="n"/>
      <c r="O104" s="68">
        <f>IF(NOT((COUNTA($B104:$K104)+COUNTA($N104))&gt;0),"",IF((IF(AND($S104="Macro",$B104=""),"Macroactividad vacía"&amp;" · ","")&amp;IF(AND($B104&lt;&gt;"",$C104&lt;&gt;""),"Escriba la subactividad en otra fila, debajo de su macroactividad"&amp;" · ","")&amp;IF(AND($S104="Sub",N($R104)=0),"Subactividad sin macroactividad arriba"&amp;" · ","")&amp;IF($D104="","Sin responsable"&amp;" · ","")&amp;IF($E104="","Sin fecha de inicio"&amp;" · ","")&amp;IF($F104="","Sin fecha límite"&amp;" · ","")&amp;IF(OR(AND($E104&lt;&gt;"",NOT(ISNUMBER($E104))),AND($F104&lt;&gt;"",NOT(ISNUMBER($F104)))),"Fecha no válida"&amp;" · ","")&amp;IF(AND(ISNUMBER($E104),ISNUMBER($F104),$E104&gt;$F104),"Inicio posterior a fecha límite"&amp;" · ","")&amp;IF(AND($S104="Macro",$G104=""),"Peso vacío"&amp;" · ","")&amp;IF(AND($S104="Macro",$G104&lt;&gt;"",OR(NOT(ISNUMBER($G104)),$G104&lt;=0,$G104&gt;1)),"Peso fuera de rango"&amp;" · ","")&amp;IF(AND($S104="Sub",$G104&lt;&gt;""),"Las subactividades no llevan peso"&amp;" · ","")&amp;IF(AND($S104="Macro",ABS(SUMIFS($G$5:$G$1000,$P$5:$P$1000,$P104,$S$5:$S$1000,"Macro")-1)&gt;0.0001),"Pesos del mes suman "&amp;TEXT(SUMIFS($G$5:$G$1000,$P$5:$P$1000,$P104,$S$5:$S$1000,"Macro"),"0%")&amp;" · ","")&amp;IF(AND(N($T104)&gt;0,COUNT($H104:$K104)&gt;0),"Con subactividades: deje vacías las semanas (se calculan solas)"&amp;"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","")&amp;IF(AND(ObsObligatoria="Sí",ISNUMBER($F104),$F104&lt;FechaRef,N($L104)&lt;1,$N104=""),"Vencida sin observación"&amp;" · ",""))="","✔ OK","⚠ "&amp;LEFT(IF(AND($S104="Macro",$B104=""),"Macroactividad vacía"&amp;" · ","")&amp;IF(AND($B104&lt;&gt;"",$C104&lt;&gt;""),"Escriba la subactividad en otra fila, debajo de su macroactividad"&amp;" · ","")&amp;IF(AND($S104="Sub",N($R104)=0),"Subactividad sin macroactividad arriba"&amp;" · ","")&amp;IF($D104="","Sin responsable"&amp;" · ","")&amp;IF($E104="","Sin fecha de inicio"&amp;" · ","")&amp;IF($F104="","Sin fecha límite"&amp;" · ","")&amp;IF(OR(AND($E104&lt;&gt;"",NOT(ISNUMBER($E104))),AND($F104&lt;&gt;"",NOT(ISNUMBER($F104)))),"Fecha no válida"&amp;" · ","")&amp;IF(AND(ISNUMBER($E104),ISNUMBER($F104),$E104&gt;$F104),"Inicio posterior a fecha límite"&amp;" · ","")&amp;IF(AND($S104="Macro",$G104=""),"Peso vacío"&amp;" · ","")&amp;IF(AND($S104="Macro",$G104&lt;&gt;"",OR(NOT(ISNUMBER($G104)),$G104&lt;=0,$G104&gt;1)),"Peso fuera de rango"&amp;" · ","")&amp;IF(AND($S104="Sub",$G104&lt;&gt;""),"Las subactividades no llevan peso"&amp;" · ","")&amp;IF(AND($S104="Macro",ABS(SUMIFS($G$5:$G$1000,$P$5:$P$1000,$P104,$S$5:$S$1000,"Macro")-1)&gt;0.0001),"Pesos del mes suman "&amp;TEXT(SUMIFS($G$5:$G$1000,$P$5:$P$1000,$P104,$S$5:$S$1000,"Macro"),"0%")&amp;" · ","")&amp;IF(AND(N($T104)&gt;0,COUNT($H104:$K104)&gt;0),"Con subactividades: deje vacías las semanas (se calculan solas)"&amp;"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","")&amp;IF(AND(ObsObligatoria="Sí",ISNUMBER($F104),$F104&lt;FechaRef,N($L104)&lt;1,$N104=""),"Vencida sin observación"&amp;" · ",""),LEN(IF(AND($S104="Macro",$B104=""),"Macroactividad vacía"&amp;" · ","")&amp;IF(AND($B104&lt;&gt;"",$C104&lt;&gt;""),"Escriba la subactividad en otra fila, debajo de su macroactividad"&amp;" · ","")&amp;IF(AND($S104="Sub",N($R104)=0),"Subactividad sin macroactividad arriba"&amp;" · ","")&amp;IF($D104="","Sin responsable"&amp;" · ","")&amp;IF($E104="","Sin fecha de inicio"&amp;" · ","")&amp;IF($F104="","Sin fecha límite"&amp;" · ","")&amp;IF(OR(AND($E104&lt;&gt;"",NOT(ISNUMBER($E104))),AND($F104&lt;&gt;"",NOT(ISNUMBER($F104)))),"Fecha no válida"&amp;" · ","")&amp;IF(AND(ISNUMBER($E104),ISNUMBER($F104),$E104&gt;$F104),"Inicio posterior a fecha límite"&amp;" · ","")&amp;IF(AND($S104="Macro",$G104=""),"Peso vacío"&amp;" · ","")&amp;IF(AND($S104="Macro",$G104&lt;&gt;"",OR(NOT(ISNUMBER($G104)),$G104&lt;=0,$G104&gt;1)),"Peso fuera de rango"&amp;" · ","")&amp;IF(AND($S104="Sub",$G104&lt;&gt;""),"Las subactividades no llevan peso"&amp;" · ","")&amp;IF(AND($S104="Macro",ABS(SUMIFS($G$5:$G$1000,$P$5:$P$1000,$P104,$S$5:$S$1000,"Macro")-1)&gt;0.0001),"Pesos del mes suman "&amp;TEXT(SUMIFS($G$5:$G$1000,$P$5:$P$1000,$P104,$S$5:$S$1000,"Macro"),"0%")&amp;" · ","")&amp;IF(AND(N($T104)&gt;0,COUNT($H104:$K104)&gt;0),"Con subactividades: deje vacías las semanas (se calculan solas)"&amp;"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","")&amp;IF(AND(ObsObligatoria="Sí",ISNUMBER($F104),$F104&lt;FechaRef,N($L104)&lt;1,$N104=""),"Vencida sin observación"&amp;" · ",""))-3)))</f>
        <v/>
      </c>
      <c r="P104" s="69">
        <f>IF(NOT((COUNTA($B104:$K104)+COUNTA($N104))&gt;0),"",IF(AND($S104="Sub",N($R104)&gt;0),IF(ISNUMBER(INDEX($E$5:$E$1000,$R104-4)),DATE(YEAR(INDEX($E$5:$E$1000,$R104-4)),MONTH(INDEX($E$5:$E$1000,$R104-4)),1),IF(ISNUMBER(INDEX($F$5:$F$1000,$R104-4)),DATE(YEAR(INDEX($F$5:$F$1000,$R104-4)),MONTH(INDEX($F$5:$F$1000,$R104-4)),1),MesCiclo)),IF(ISNUMBER($E104),DATE(YEAR($E104),MONTH($E104),1),IF(ISNUMBER($F104),DATE(YEAR($F104),MONTH($F104),1),MesCiclo))))</f>
        <v/>
      </c>
      <c r="Q104" s="70">
        <f>IF(OR($P104="",$P104&lt;&gt;MesCiclo),"",COUNTIF($P$5:$P104,MesCiclo))</f>
        <v/>
      </c>
      <c r="R104" s="70">
        <f>IF($S104="","",IF($S104="Macro",ROW(),IFERROR(LOOKUP(2,1/($S$5:$S104="Macro"),ROW($S$5:$S104)),0)))</f>
        <v/>
      </c>
      <c r="S104" s="70">
        <f>IF(NOT((COUNTA($B104:$K104)+COUNTA($N104))&gt;0),"",IF($B104&lt;&gt;"","Macro",IF($C104&lt;&gt;"","Sub","Macro")))</f>
        <v/>
      </c>
      <c r="T104" s="70">
        <f>IF($S104="Macro",COUNTIFS($R$5:$R$1000,ROW(),$S$5:$S$1000,"Sub"),"")</f>
        <v/>
      </c>
      <c r="U104" s="70">
        <f>IF($S104="","",IF(ISNUMBER($H104),$H104,0))</f>
        <v/>
      </c>
      <c r="V104" s="70">
        <f>IF($S104="","",IF(ISNUMBER($I104),$I104,$U104))</f>
        <v/>
      </c>
      <c r="W104" s="70">
        <f>IF($S104="","",IF(ISNUMBER($J104),$J104,$V104))</f>
        <v/>
      </c>
      <c r="X104" s="70">
        <f>IF($S104="","",IF(ISNUMBER($K104),$K104,$W104))</f>
        <v/>
      </c>
      <c r="Y104" s="70">
        <f>IF($S104="","",IF(N($T104)&gt;0,AVERAGEIFS($U$5:$U$1000,$R$5:$R$1000,ROW(),$S$5:$S$1000,"Sub"),$U104))</f>
        <v/>
      </c>
      <c r="Z104" s="70">
        <f>IF($S104="","",IF(N($T104)&gt;0,AVERAGEIFS($V$5:$V$1000,$R$5:$R$1000,ROW(),$S$5:$S$1000,"Sub"),$V104))</f>
        <v/>
      </c>
      <c r="AA104" s="70">
        <f>IF($S104="","",IF(N($T104)&gt;0,AVERAGEIFS($W$5:$W$1000,$R$5:$R$1000,ROW(),$S$5:$S$1000,"Sub"),$W104))</f>
        <v/>
      </c>
      <c r="AB104" s="70">
        <f>IF($S104="","",IF(N($T104)&gt;0,AVERAGEIFS($X$5:$X$1000,$R$5:$R$1000,ROW(),$S$5:$S$1000,"Sub"),$X104))</f>
        <v/>
      </c>
    </row>
    <row r="105">
      <c r="A105" s="61">
        <f>IF(NOT((COUNTA($B105:$K105)+COUNTA($N105))&gt;0),"",IF($S105="Macro",COUNTIFS($S$5:$S105,"Macro",$P$5:$P105,$P105),IF(N($R105)=0,"?",COUNTIFS(INDEX($S$5:$S$1000,1):INDEX($S$5:$S$1000,$R105-4),"Macro",INDEX($P$5:$P$1000,1):INDEX($P$5:$P$1000,$R105-4),INDEX($P$5:$P$1000,$R105-4))&amp;"."&amp;COUNTIFS($R$5:$R105,$R105,$S$5:$S105,"Sub"))))</f>
        <v/>
      </c>
      <c r="B105" s="62" t="n"/>
      <c r="C105" s="63" t="n"/>
      <c r="D105" s="62" t="n"/>
      <c r="E105" s="64" t="n"/>
      <c r="F105" s="64" t="n"/>
      <c r="G105" s="65" t="n"/>
      <c r="H105" s="66" t="n"/>
      <c r="I105" s="66" t="n"/>
      <c r="J105" s="66" t="n"/>
      <c r="K105" s="66" t="n"/>
      <c r="L105" s="67">
        <f>IF(NOT((COUNTA($B105:$K105)+COUNTA($N105))&gt;0),"",IF(N($T105)&gt;0,$AB105,IFERROR(LOOKUP(2,1/(H105:K105&lt;&gt;""),H105:K105),0)))</f>
        <v/>
      </c>
      <c r="M105" s="61">
        <f>IF(L105="","",IF(L105&gt;=1,"Completado",IF(L105&gt;0,"En curso","Pendiente")))</f>
        <v/>
      </c>
      <c r="N105" s="62" t="n"/>
      <c r="O105" s="68">
        <f>IF(NOT((COUNTA($B105:$K105)+COUNTA($N105))&gt;0),"",IF((IF(AND($S105="Macro",$B105=""),"Macroactividad vacía"&amp;" · ","")&amp;IF(AND($B105&lt;&gt;"",$C105&lt;&gt;""),"Escriba la subactividad en otra fila, debajo de su macroactividad"&amp;" · ","")&amp;IF(AND($S105="Sub",N($R105)=0),"Subactividad sin macroactividad arriba"&amp;" · ","")&amp;IF($D105="","Sin responsable"&amp;" · ","")&amp;IF($E105="","Sin fecha de inicio"&amp;" · ","")&amp;IF($F105="","Sin fecha límite"&amp;" · ","")&amp;IF(OR(AND($E105&lt;&gt;"",NOT(ISNUMBER($E105))),AND($F105&lt;&gt;"",NOT(ISNUMBER($F105)))),"Fecha no válida"&amp;" · ","")&amp;IF(AND(ISNUMBER($E105),ISNUMBER($F105),$E105&gt;$F105),"Inicio posterior a fecha límite"&amp;" · ","")&amp;IF(AND($S105="Macro",$G105=""),"Peso vacío"&amp;" · ","")&amp;IF(AND($S105="Macro",$G105&lt;&gt;"",OR(NOT(ISNUMBER($G105)),$G105&lt;=0,$G105&gt;1)),"Peso fuera de rango"&amp;" · ","")&amp;IF(AND($S105="Sub",$G105&lt;&gt;""),"Las subactividades no llevan peso"&amp;" · ","")&amp;IF(AND($S105="Macro",ABS(SUMIFS($G$5:$G$1000,$P$5:$P$1000,$P105,$S$5:$S$1000,"Macro")-1)&gt;0.0001),"Pesos del mes suman "&amp;TEXT(SUMIFS($G$5:$G$1000,$P$5:$P$1000,$P105,$S$5:$S$1000,"Macro"),"0%")&amp;" · ","")&amp;IF(AND(N($T105)&gt;0,COUNT($H105:$K105)&gt;0),"Con subactividades: deje vacías las semanas (se calculan solas)"&amp;" · ","")&amp;IF((COUNTIF($H105:$K105,"&gt;1")+COUNTIF($H105:$K105,"&lt;0")+COUNTA($H105:$K105)-COUNT($H105:$K105))&gt;0,"Avance fuera de rango 0-100%"&amp;" · ","")&amp;IF(OR(AND($I105&lt;&gt;"",$I105&lt;$H105),AND($J105&lt;&gt;"",$J105&lt;MAX($H105:$I105)),AND($K105&lt;&gt;"",$K105&lt;MAX($H105:$J105))),"Avance semanal decreciente"&amp;" · ","")&amp;IF(AND(ISNUMBER($F105),$F105&lt;FechaRef,N($L105)&lt;1),"Vencida"&amp;" · ","")&amp;IF(AND(ObsObligatoria="Sí",ISNUMBER($F105),$F105&lt;FechaRef,N($L105)&lt;1,$N105=""),"Vencida sin observación"&amp;" · ",""))="","✔ OK","⚠ "&amp;LEFT(IF(AND($S105="Macro",$B105=""),"Macroactividad vacía"&amp;" · ","")&amp;IF(AND($B105&lt;&gt;"",$C105&lt;&gt;""),"Escriba la subactividad en otra fila, debajo de su macroactividad"&amp;" · ","")&amp;IF(AND($S105="Sub",N($R105)=0),"Subactividad sin macroactividad arriba"&amp;" · ","")&amp;IF($D105="","Sin responsable"&amp;" · ","")&amp;IF($E105="","Sin fecha de inicio"&amp;" · ","")&amp;IF($F105="","Sin fecha límite"&amp;" · ","")&amp;IF(OR(AND($E105&lt;&gt;"",NOT(ISNUMBER($E105))),AND($F105&lt;&gt;"",NOT(ISNUMBER($F105)))),"Fecha no válida"&amp;" · ","")&amp;IF(AND(ISNUMBER($E105),ISNUMBER($F105),$E105&gt;$F105),"Inicio posterior a fecha límite"&amp;" · ","")&amp;IF(AND($S105="Macro",$G105=""),"Peso vacío"&amp;" · ","")&amp;IF(AND($S105="Macro",$G105&lt;&gt;"",OR(NOT(ISNUMBER($G105)),$G105&lt;=0,$G105&gt;1)),"Peso fuera de rango"&amp;" · ","")&amp;IF(AND($S105="Sub",$G105&lt;&gt;""),"Las subactividades no llevan peso"&amp;" · ","")&amp;IF(AND($S105="Macro",ABS(SUMIFS($G$5:$G$1000,$P$5:$P$1000,$P105,$S$5:$S$1000,"Macro")-1)&gt;0.0001),"Pesos del mes suman "&amp;TEXT(SUMIFS($G$5:$G$1000,$P$5:$P$1000,$P105,$S$5:$S$1000,"Macro"),"0%")&amp;" · ","")&amp;IF(AND(N($T105)&gt;0,COUNT($H105:$K105)&gt;0),"Con subactividades: deje vacías las semanas (se calculan solas)"&amp;" · ","")&amp;IF((COUNTIF($H105:$K105,"&gt;1")+COUNTIF($H105:$K105,"&lt;0")+COUNTA($H105:$K105)-COUNT($H105:$K105))&gt;0,"Avance fuera de rango 0-100%"&amp;" · ","")&amp;IF(OR(AND($I105&lt;&gt;"",$I105&lt;$H105),AND($J105&lt;&gt;"",$J105&lt;MAX($H105:$I105)),AND($K105&lt;&gt;"",$K105&lt;MAX($H105:$J105))),"Avance semanal decreciente"&amp;" · ","")&amp;IF(AND(ISNUMBER($F105),$F105&lt;FechaRef,N($L105)&lt;1),"Vencida"&amp;" · ","")&amp;IF(AND(ObsObligatoria="Sí",ISNUMBER($F105),$F105&lt;FechaRef,N($L105)&lt;1,$N105=""),"Vencida sin observación"&amp;" · ",""),LEN(IF(AND($S105="Macro",$B105=""),"Macroactividad vacía"&amp;" · ","")&amp;IF(AND($B105&lt;&gt;"",$C105&lt;&gt;""),"Escriba la subactividad en otra fila, debajo de su macroactividad"&amp;" · ","")&amp;IF(AND($S105="Sub",N($R105)=0),"Subactividad sin macroactividad arriba"&amp;" · ","")&amp;IF($D105="","Sin responsable"&amp;" · ","")&amp;IF($E105="","Sin fecha de inicio"&amp;" · ","")&amp;IF($F105="","Sin fecha límite"&amp;" · ","")&amp;IF(OR(AND($E105&lt;&gt;"",NOT(ISNUMBER($E105))),AND($F105&lt;&gt;"",NOT(ISNUMBER($F105)))),"Fecha no válida"&amp;" · ","")&amp;IF(AND(ISNUMBER($E105),ISNUMBER($F105),$E105&gt;$F105),"Inicio posterior a fecha límite"&amp;" · ","")&amp;IF(AND($S105="Macro",$G105=""),"Peso vacío"&amp;" · ","")&amp;IF(AND($S105="Macro",$G105&lt;&gt;"",OR(NOT(ISNUMBER($G105)),$G105&lt;=0,$G105&gt;1)),"Peso fuera de rango"&amp;" · ","")&amp;IF(AND($S105="Sub",$G105&lt;&gt;""),"Las subactividades no llevan peso"&amp;" · ","")&amp;IF(AND($S105="Macro",ABS(SUMIFS($G$5:$G$1000,$P$5:$P$1000,$P105,$S$5:$S$1000,"Macro")-1)&gt;0.0001),"Pesos del mes suman "&amp;TEXT(SUMIFS($G$5:$G$1000,$P$5:$P$1000,$P105,$S$5:$S$1000,"Macro"),"0%")&amp;" · ","")&amp;IF(AND(N($T105)&gt;0,COUNT($H105:$K105)&gt;0),"Con subactividades: deje vacías las semanas (se calculan solas)"&amp;" · ","")&amp;IF((COUNTIF($H105:$K105,"&gt;1")+COUNTIF($H105:$K105,"&lt;0")+COUNTA($H105:$K105)-COUNT($H105:$K105))&gt;0,"Avance fuera de rango 0-100%"&amp;" · ","")&amp;IF(OR(AND($I105&lt;&gt;"",$I105&lt;$H105),AND($J105&lt;&gt;"",$J105&lt;MAX($H105:$I105)),AND($K105&lt;&gt;"",$K105&lt;MAX($H105:$J105))),"Avance semanal decreciente"&amp;" · ","")&amp;IF(AND(ISNUMBER($F105),$F105&lt;FechaRef,N($L105)&lt;1),"Vencida"&amp;" · ","")&amp;IF(AND(ObsObligatoria="Sí",ISNUMBER($F105),$F105&lt;FechaRef,N($L105)&lt;1,$N105=""),"Vencida sin observación"&amp;" · ",""))-3)))</f>
        <v/>
      </c>
      <c r="P105" s="69">
        <f>IF(NOT((COUNTA($B105:$K105)+COUNTA($N105))&gt;0),"",IF(AND($S105="Sub",N($R105)&gt;0),IF(ISNUMBER(INDEX($E$5:$E$1000,$R105-4)),DATE(YEAR(INDEX($E$5:$E$1000,$R105-4)),MONTH(INDEX($E$5:$E$1000,$R105-4)),1),IF(ISNUMBER(INDEX($F$5:$F$1000,$R105-4)),DATE(YEAR(INDEX($F$5:$F$1000,$R105-4)),MONTH(INDEX($F$5:$F$1000,$R105-4)),1),MesCiclo)),IF(ISNUMBER($E105),DATE(YEAR($E105),MONTH($E105),1),IF(ISNUMBER($F105),DATE(YEAR($F105),MONTH($F105),1),MesCiclo))))</f>
        <v/>
      </c>
      <c r="Q105" s="70">
        <f>IF(OR($P105="",$P105&lt;&gt;MesCiclo),"",COUNTIF($P$5:$P105,MesCiclo))</f>
        <v/>
      </c>
      <c r="R105" s="70">
        <f>IF($S105="","",IF($S105="Macro",ROW(),IFERROR(LOOKUP(2,1/($S$5:$S105="Macro"),ROW($S$5:$S105)),0)))</f>
        <v/>
      </c>
      <c r="S105" s="70">
        <f>IF(NOT((COUNTA($B105:$K105)+COUNTA($N105))&gt;0),"",IF($B105&lt;&gt;"","Macro",IF($C105&lt;&gt;"","Sub","Macro")))</f>
        <v/>
      </c>
      <c r="T105" s="70">
        <f>IF($S105="Macro",COUNTIFS($R$5:$R$1000,ROW(),$S$5:$S$1000,"Sub"),"")</f>
        <v/>
      </c>
      <c r="U105" s="70">
        <f>IF($S105="","",IF(ISNUMBER($H105),$H105,0))</f>
        <v/>
      </c>
      <c r="V105" s="70">
        <f>IF($S105="","",IF(ISNUMBER($I105),$I105,$U105))</f>
        <v/>
      </c>
      <c r="W105" s="70">
        <f>IF($S105="","",IF(ISNUMBER($J105),$J105,$V105))</f>
        <v/>
      </c>
      <c r="X105" s="70">
        <f>IF($S105="","",IF(ISNUMBER($K105),$K105,$W105))</f>
        <v/>
      </c>
      <c r="Y105" s="70">
        <f>IF($S105="","",IF(N($T105)&gt;0,AVERAGEIFS($U$5:$U$1000,$R$5:$R$1000,ROW(),$S$5:$S$1000,"Sub"),$U105))</f>
        <v/>
      </c>
      <c r="Z105" s="70">
        <f>IF($S105="","",IF(N($T105)&gt;0,AVERAGEIFS($V$5:$V$1000,$R$5:$R$1000,ROW(),$S$5:$S$1000,"Sub"),$V105))</f>
        <v/>
      </c>
      <c r="AA105" s="70">
        <f>IF($S105="","",IF(N($T105)&gt;0,AVERAGEIFS($W$5:$W$1000,$R$5:$R$1000,ROW(),$S$5:$S$1000,"Sub"),$W105))</f>
        <v/>
      </c>
      <c r="AB105" s="70">
        <f>IF($S105="","",IF(N($T105)&gt;0,AVERAGEIFS($X$5:$X$1000,$R$5:$R$1000,ROW(),$S$5:$S$1000,"Sub"),$X105))</f>
        <v/>
      </c>
    </row>
    <row r="106">
      <c r="A106" s="61">
        <f>IF(NOT((COUNTA($B106:$K106)+COUNTA($N106))&gt;0),"",IF($S106="Macro",COUNTIFS($S$5:$S106,"Macro",$P$5:$P106,$P106),IF(N($R106)=0,"?",COUNTIFS(INDEX($S$5:$S$1000,1):INDEX($S$5:$S$1000,$R106-4),"Macro",INDEX($P$5:$P$1000,1):INDEX($P$5:$P$1000,$R106-4),INDEX($P$5:$P$1000,$R106-4))&amp;"."&amp;COUNTIFS($R$5:$R106,$R106,$S$5:$S106,"Sub"))))</f>
        <v/>
      </c>
      <c r="B106" s="62" t="n"/>
      <c r="C106" s="63" t="n"/>
      <c r="D106" s="62" t="n"/>
      <c r="E106" s="64" t="n"/>
      <c r="F106" s="64" t="n"/>
      <c r="G106" s="65" t="n"/>
      <c r="H106" s="66" t="n"/>
      <c r="I106" s="66" t="n"/>
      <c r="J106" s="66" t="n"/>
      <c r="K106" s="66" t="n"/>
      <c r="L106" s="67">
        <f>IF(NOT((COUNTA($B106:$K106)+COUNTA($N106))&gt;0),"",IF(N($T106)&gt;0,$AB106,IFERROR(LOOKUP(2,1/(H106:K106&lt;&gt;""),H106:K106),0)))</f>
        <v/>
      </c>
      <c r="M106" s="61">
        <f>IF(L106="","",IF(L106&gt;=1,"Completado",IF(L106&gt;0,"En curso","Pendiente")))</f>
        <v/>
      </c>
      <c r="N106" s="62" t="n"/>
      <c r="O106" s="68">
        <f>IF(NOT((COUNTA($B106:$K106)+COUNTA($N106))&gt;0),"",IF((IF(AND($S106="Macro",$B106=""),"Macroactividad vacía"&amp;" · ","")&amp;IF(AND($B106&lt;&gt;"",$C106&lt;&gt;""),"Escriba la subactividad en otra fila, debajo de su macroactividad"&amp;" · ","")&amp;IF(AND($S106="Sub",N($R106)=0),"Subactividad sin macroactividad arriba"&amp;" · ","")&amp;IF($D106="","Sin responsable"&amp;" · ","")&amp;IF($E106="","Sin fecha de inicio"&amp;" · ","")&amp;IF($F106="","Sin fecha límite"&amp;" · ","")&amp;IF(OR(AND($E106&lt;&gt;"",NOT(ISNUMBER($E106))),AND($F106&lt;&gt;"",NOT(ISNUMBER($F106)))),"Fecha no válida"&amp;" · ","")&amp;IF(AND(ISNUMBER($E106),ISNUMBER($F106),$E106&gt;$F106),"Inicio posterior a fecha límite"&amp;" · ","")&amp;IF(AND($S106="Macro",$G106=""),"Peso vacío"&amp;" · ","")&amp;IF(AND($S106="Macro",$G106&lt;&gt;"",OR(NOT(ISNUMBER($G106)),$G106&lt;=0,$G106&gt;1)),"Peso fuera de rango"&amp;" · ","")&amp;IF(AND($S106="Sub",$G106&lt;&gt;""),"Las subactividades no llevan peso"&amp;" · ","")&amp;IF(AND($S106="Macro",ABS(SUMIFS($G$5:$G$1000,$P$5:$P$1000,$P106,$S$5:$S$1000,"Macro")-1)&gt;0.0001),"Pesos del mes suman "&amp;TEXT(SUMIFS($G$5:$G$1000,$P$5:$P$1000,$P106,$S$5:$S$1000,"Macro"),"0%")&amp;" · ","")&amp;IF(AND(N($T106)&gt;0,COUNT($H106:$K106)&gt;0),"Con subactividades: deje vacías las semanas (se calculan solas)"&amp;" · ","")&amp;IF((COUNTIF($H106:$K106,"&gt;1")+COUNTIF($H106:$K106,"&lt;0")+COUNTA($H106:$K106)-COUNT($H106:$K106))&gt;0,"Avance fuera de rango 0-100%"&amp;" · ","")&amp;IF(OR(AND($I106&lt;&gt;"",$I106&lt;$H106),AND($J106&lt;&gt;"",$J106&lt;MAX($H106:$I106)),AND($K106&lt;&gt;"",$K106&lt;MAX($H106:$J106))),"Avance semanal decreciente"&amp;" · ","")&amp;IF(AND(ISNUMBER($F106),$F106&lt;FechaRef,N($L106)&lt;1),"Vencida"&amp;" · ","")&amp;IF(AND(ObsObligatoria="Sí",ISNUMBER($F106),$F106&lt;FechaRef,N($L106)&lt;1,$N106=""),"Vencida sin observación"&amp;" · ",""))="","✔ OK","⚠ "&amp;LEFT(IF(AND($S106="Macro",$B106=""),"Macroactividad vacía"&amp;" · ","")&amp;IF(AND($B106&lt;&gt;"",$C106&lt;&gt;""),"Escriba la subactividad en otra fila, debajo de su macroactividad"&amp;" · ","")&amp;IF(AND($S106="Sub",N($R106)=0),"Subactividad sin macroactividad arriba"&amp;" · ","")&amp;IF($D106="","Sin responsable"&amp;" · ","")&amp;IF($E106="","Sin fecha de inicio"&amp;" · ","")&amp;IF($F106="","Sin fecha límite"&amp;" · ","")&amp;IF(OR(AND($E106&lt;&gt;"",NOT(ISNUMBER($E106))),AND($F106&lt;&gt;"",NOT(ISNUMBER($F106)))),"Fecha no válida"&amp;" · ","")&amp;IF(AND(ISNUMBER($E106),ISNUMBER($F106),$E106&gt;$F106),"Inicio posterior a fecha límite"&amp;" · ","")&amp;IF(AND($S106="Macro",$G106=""),"Peso vacío"&amp;" · ","")&amp;IF(AND($S106="Macro",$G106&lt;&gt;"",OR(NOT(ISNUMBER($G106)),$G106&lt;=0,$G106&gt;1)),"Peso fuera de rango"&amp;" · ","")&amp;IF(AND($S106="Sub",$G106&lt;&gt;""),"Las subactividades no llevan peso"&amp;" · ","")&amp;IF(AND($S106="Macro",ABS(SUMIFS($G$5:$G$1000,$P$5:$P$1000,$P106,$S$5:$S$1000,"Macro")-1)&gt;0.0001),"Pesos del mes suman "&amp;TEXT(SUMIFS($G$5:$G$1000,$P$5:$P$1000,$P106,$S$5:$S$1000,"Macro"),"0%")&amp;" · ","")&amp;IF(AND(N($T106)&gt;0,COUNT($H106:$K106)&gt;0),"Con subactividades: deje vacías las semanas (se calculan solas)"&amp;" · ","")&amp;IF((COUNTIF($H106:$K106,"&gt;1")+COUNTIF($H106:$K106,"&lt;0")+COUNTA($H106:$K106)-COUNT($H106:$K106))&gt;0,"Avance fuera de rango 0-100%"&amp;" · ","")&amp;IF(OR(AND($I106&lt;&gt;"",$I106&lt;$H106),AND($J106&lt;&gt;"",$J106&lt;MAX($H106:$I106)),AND($K106&lt;&gt;"",$K106&lt;MAX($H106:$J106))),"Avance semanal decreciente"&amp;" · ","")&amp;IF(AND(ISNUMBER($F106),$F106&lt;FechaRef,N($L106)&lt;1),"Vencida"&amp;" · ","")&amp;IF(AND(ObsObligatoria="Sí",ISNUMBER($F106),$F106&lt;FechaRef,N($L106)&lt;1,$N106=""),"Vencida sin observación"&amp;" · ",""),LEN(IF(AND($S106="Macro",$B106=""),"Macroactividad vacía"&amp;" · ","")&amp;IF(AND($B106&lt;&gt;"",$C106&lt;&gt;""),"Escriba la subactividad en otra fila, debajo de su macroactividad"&amp;" · ","")&amp;IF(AND($S106="Sub",N($R106)=0),"Subactividad sin macroactividad arriba"&amp;" · ","")&amp;IF($D106="","Sin responsable"&amp;" · ","")&amp;IF($E106="","Sin fecha de inicio"&amp;" · ","")&amp;IF($F106="","Sin fecha límite"&amp;" · ","")&amp;IF(OR(AND($E106&lt;&gt;"",NOT(ISNUMBER($E106))),AND($F106&lt;&gt;"",NOT(ISNUMBER($F106)))),"Fecha no válida"&amp;" · ","")&amp;IF(AND(ISNUMBER($E106),ISNUMBER($F106),$E106&gt;$F106),"Inicio posterior a fecha límite"&amp;" · ","")&amp;IF(AND($S106="Macro",$G106=""),"Peso vacío"&amp;" · ","")&amp;IF(AND($S106="Macro",$G106&lt;&gt;"",OR(NOT(ISNUMBER($G106)),$G106&lt;=0,$G106&gt;1)),"Peso fuera de rango"&amp;" · ","")&amp;IF(AND($S106="Sub",$G106&lt;&gt;""),"Las subactividades no llevan peso"&amp;" · ","")&amp;IF(AND($S106="Macro",ABS(SUMIFS($G$5:$G$1000,$P$5:$P$1000,$P106,$S$5:$S$1000,"Macro")-1)&gt;0.0001),"Pesos del mes suman "&amp;TEXT(SUMIFS($G$5:$G$1000,$P$5:$P$1000,$P106,$S$5:$S$1000,"Macro"),"0%")&amp;" · ","")&amp;IF(AND(N($T106)&gt;0,COUNT($H106:$K106)&gt;0),"Con subactividades: deje vacías las semanas (se calculan solas)"&amp;" · ","")&amp;IF((COUNTIF($H106:$K106,"&gt;1")+COUNTIF($H106:$K106,"&lt;0")+COUNTA($H106:$K106)-COUNT($H106:$K106))&gt;0,"Avance fuera de rango 0-100%"&amp;" · ","")&amp;IF(OR(AND($I106&lt;&gt;"",$I106&lt;$H106),AND($J106&lt;&gt;"",$J106&lt;MAX($H106:$I106)),AND($K106&lt;&gt;"",$K106&lt;MAX($H106:$J106))),"Avance semanal decreciente"&amp;" · ","")&amp;IF(AND(ISNUMBER($F106),$F106&lt;FechaRef,N($L106)&lt;1),"Vencida"&amp;" · ","")&amp;IF(AND(ObsObligatoria="Sí",ISNUMBER($F106),$F106&lt;FechaRef,N($L106)&lt;1,$N106=""),"Vencida sin observación"&amp;" · ",""))-3)))</f>
        <v/>
      </c>
      <c r="P106" s="69">
        <f>IF(NOT((COUNTA($B106:$K106)+COUNTA($N106))&gt;0),"",IF(AND($S106="Sub",N($R106)&gt;0),IF(ISNUMBER(INDEX($E$5:$E$1000,$R106-4)),DATE(YEAR(INDEX($E$5:$E$1000,$R106-4)),MONTH(INDEX($E$5:$E$1000,$R106-4)),1),IF(ISNUMBER(INDEX($F$5:$F$1000,$R106-4)),DATE(YEAR(INDEX($F$5:$F$1000,$R106-4)),MONTH(INDEX($F$5:$F$1000,$R106-4)),1),MesCiclo)),IF(ISNUMBER($E106),DATE(YEAR($E106),MONTH($E106),1),IF(ISNUMBER($F106),DATE(YEAR($F106),MONTH($F106),1),MesCiclo))))</f>
        <v/>
      </c>
      <c r="Q106" s="70">
        <f>IF(OR($P106="",$P106&lt;&gt;MesCiclo),"",COUNTIF($P$5:$P106,MesCiclo))</f>
        <v/>
      </c>
      <c r="R106" s="70">
        <f>IF($S106="","",IF($S106="Macro",ROW(),IFERROR(LOOKUP(2,1/($S$5:$S106="Macro"),ROW($S$5:$S106)),0)))</f>
        <v/>
      </c>
      <c r="S106" s="70">
        <f>IF(NOT((COUNTA($B106:$K106)+COUNTA($N106))&gt;0),"",IF($B106&lt;&gt;"","Macro",IF($C106&lt;&gt;"","Sub","Macro")))</f>
        <v/>
      </c>
      <c r="T106" s="70">
        <f>IF($S106="Macro",COUNTIFS($R$5:$R$1000,ROW(),$S$5:$S$1000,"Sub"),"")</f>
        <v/>
      </c>
      <c r="U106" s="70">
        <f>IF($S106="","",IF(ISNUMBER($H106),$H106,0))</f>
        <v/>
      </c>
      <c r="V106" s="70">
        <f>IF($S106="","",IF(ISNUMBER($I106),$I106,$U106))</f>
        <v/>
      </c>
      <c r="W106" s="70">
        <f>IF($S106="","",IF(ISNUMBER($J106),$J106,$V106))</f>
        <v/>
      </c>
      <c r="X106" s="70">
        <f>IF($S106="","",IF(ISNUMBER($K106),$K106,$W106))</f>
        <v/>
      </c>
      <c r="Y106" s="70">
        <f>IF($S106="","",IF(N($T106)&gt;0,AVERAGEIFS($U$5:$U$1000,$R$5:$R$1000,ROW(),$S$5:$S$1000,"Sub"),$U106))</f>
        <v/>
      </c>
      <c r="Z106" s="70">
        <f>IF($S106="","",IF(N($T106)&gt;0,AVERAGEIFS($V$5:$V$1000,$R$5:$R$1000,ROW(),$S$5:$S$1000,"Sub"),$V106))</f>
        <v/>
      </c>
      <c r="AA106" s="70">
        <f>IF($S106="","",IF(N($T106)&gt;0,AVERAGEIFS($W$5:$W$1000,$R$5:$R$1000,ROW(),$S$5:$S$1000,"Sub"),$W106))</f>
        <v/>
      </c>
      <c r="AB106" s="70">
        <f>IF($S106="","",IF(N($T106)&gt;0,AVERAGEIFS($X$5:$X$1000,$R$5:$R$1000,ROW(),$S$5:$S$1000,"Sub"),$X106))</f>
        <v/>
      </c>
    </row>
    <row r="107">
      <c r="A107" s="61">
        <f>IF(NOT((COUNTA($B107:$K107)+COUNTA($N107))&gt;0),"",IF($S107="Macro",COUNTIFS($S$5:$S107,"Macro",$P$5:$P107,$P107),IF(N($R107)=0,"?",COUNTIFS(INDEX($S$5:$S$1000,1):INDEX($S$5:$S$1000,$R107-4),"Macro",INDEX($P$5:$P$1000,1):INDEX($P$5:$P$1000,$R107-4),INDEX($P$5:$P$1000,$R107-4))&amp;"."&amp;COUNTIFS($R$5:$R107,$R107,$S$5:$S107,"Sub"))))</f>
        <v/>
      </c>
      <c r="B107" s="62" t="n"/>
      <c r="C107" s="63" t="n"/>
      <c r="D107" s="62" t="n"/>
      <c r="E107" s="64" t="n"/>
      <c r="F107" s="64" t="n"/>
      <c r="G107" s="65" t="n"/>
      <c r="H107" s="66" t="n"/>
      <c r="I107" s="66" t="n"/>
      <c r="J107" s="66" t="n"/>
      <c r="K107" s="66" t="n"/>
      <c r="L107" s="67">
        <f>IF(NOT((COUNTA($B107:$K107)+COUNTA($N107))&gt;0),"",IF(N($T107)&gt;0,$AB107,IFERROR(LOOKUP(2,1/(H107:K107&lt;&gt;""),H107:K107),0)))</f>
        <v/>
      </c>
      <c r="M107" s="61">
        <f>IF(L107="","",IF(L107&gt;=1,"Completado",IF(L107&gt;0,"En curso","Pendiente")))</f>
        <v/>
      </c>
      <c r="N107" s="62" t="n"/>
      <c r="O107" s="68">
        <f>IF(NOT((COUNTA($B107:$K107)+COUNTA($N107))&gt;0),"",IF((IF(AND($S107="Macro",$B107=""),"Macroactividad vacía"&amp;" · ","")&amp;IF(AND($B107&lt;&gt;"",$C107&lt;&gt;""),"Escriba la subactividad en otra fila, debajo de su macroactividad"&amp;" · ","")&amp;IF(AND($S107="Sub",N($R107)=0),"Subactividad sin macroactividad arriba"&amp;" · ","")&amp;IF($D107="","Sin responsable"&amp;" · ","")&amp;IF($E107="","Sin fecha de inicio"&amp;" · ","")&amp;IF($F107="","Sin fecha límite"&amp;" · ","")&amp;IF(OR(AND($E107&lt;&gt;"",NOT(ISNUMBER($E107))),AND($F107&lt;&gt;"",NOT(ISNUMBER($F107)))),"Fecha no válida"&amp;" · ","")&amp;IF(AND(ISNUMBER($E107),ISNUMBER($F107),$E107&gt;$F107),"Inicio posterior a fecha límite"&amp;" · ","")&amp;IF(AND($S107="Macro",$G107=""),"Peso vacío"&amp;" · ","")&amp;IF(AND($S107="Macro",$G107&lt;&gt;"",OR(NOT(ISNUMBER($G107)),$G107&lt;=0,$G107&gt;1)),"Peso fuera de rango"&amp;" · ","")&amp;IF(AND($S107="Sub",$G107&lt;&gt;""),"Las subactividades no llevan peso"&amp;" · ","")&amp;IF(AND($S107="Macro",ABS(SUMIFS($G$5:$G$1000,$P$5:$P$1000,$P107,$S$5:$S$1000,"Macro")-1)&gt;0.0001),"Pesos del mes suman "&amp;TEXT(SUMIFS($G$5:$G$1000,$P$5:$P$1000,$P107,$S$5:$S$1000,"Macro"),"0%")&amp;" · ","")&amp;IF(AND(N($T107)&gt;0,COUNT($H107:$K107)&gt;0),"Con subactividades: deje vacías las semanas (se calculan solas)"&amp;" · ","")&amp;IF((COUNTIF($H107:$K107,"&gt;1")+COUNTIF($H107:$K107,"&lt;0")+COUNTA($H107:$K107)-COUNT($H107:$K107))&gt;0,"Avance fuera de rango 0-100%"&amp;" · ","")&amp;IF(OR(AND($I107&lt;&gt;"",$I107&lt;$H107),AND($J107&lt;&gt;"",$J107&lt;MAX($H107:$I107)),AND($K107&lt;&gt;"",$K107&lt;MAX($H107:$J107))),"Avance semanal decreciente"&amp;" · ","")&amp;IF(AND(ISNUMBER($F107),$F107&lt;FechaRef,N($L107)&lt;1),"Vencida"&amp;" · ","")&amp;IF(AND(ObsObligatoria="Sí",ISNUMBER($F107),$F107&lt;FechaRef,N($L107)&lt;1,$N107=""),"Vencida sin observación"&amp;" · ",""))="","✔ OK","⚠ "&amp;LEFT(IF(AND($S107="Macro",$B107=""),"Macroactividad vacía"&amp;" · ","")&amp;IF(AND($B107&lt;&gt;"",$C107&lt;&gt;""),"Escriba la subactividad en otra fila, debajo de su macroactividad"&amp;" · ","")&amp;IF(AND($S107="Sub",N($R107)=0),"Subactividad sin macroactividad arriba"&amp;" · ","")&amp;IF($D107="","Sin responsable"&amp;" · ","")&amp;IF($E107="","Sin fecha de inicio"&amp;" · ","")&amp;IF($F107="","Sin fecha límite"&amp;" · ","")&amp;IF(OR(AND($E107&lt;&gt;"",NOT(ISNUMBER($E107))),AND($F107&lt;&gt;"",NOT(ISNUMBER($F107)))),"Fecha no válida"&amp;" · ","")&amp;IF(AND(ISNUMBER($E107),ISNUMBER($F107),$E107&gt;$F107),"Inicio posterior a fecha límite"&amp;" · ","")&amp;IF(AND($S107="Macro",$G107=""),"Peso vacío"&amp;" · ","")&amp;IF(AND($S107="Macro",$G107&lt;&gt;"",OR(NOT(ISNUMBER($G107)),$G107&lt;=0,$G107&gt;1)),"Peso fuera de rango"&amp;" · ","")&amp;IF(AND($S107="Sub",$G107&lt;&gt;""),"Las subactividades no llevan peso"&amp;" · ","")&amp;IF(AND($S107="Macro",ABS(SUMIFS($G$5:$G$1000,$P$5:$P$1000,$P107,$S$5:$S$1000,"Macro")-1)&gt;0.0001),"Pesos del mes suman "&amp;TEXT(SUMIFS($G$5:$G$1000,$P$5:$P$1000,$P107,$S$5:$S$1000,"Macro"),"0%")&amp;" · ","")&amp;IF(AND(N($T107)&gt;0,COUNT($H107:$K107)&gt;0),"Con subactividades: deje vacías las semanas (se calculan solas)"&amp;" · ","")&amp;IF((COUNTIF($H107:$K107,"&gt;1")+COUNTIF($H107:$K107,"&lt;0")+COUNTA($H107:$K107)-COUNT($H107:$K107))&gt;0,"Avance fuera de rango 0-100%"&amp;" · ","")&amp;IF(OR(AND($I107&lt;&gt;"",$I107&lt;$H107),AND($J107&lt;&gt;"",$J107&lt;MAX($H107:$I107)),AND($K107&lt;&gt;"",$K107&lt;MAX($H107:$J107))),"Avance semanal decreciente"&amp;" · ","")&amp;IF(AND(ISNUMBER($F107),$F107&lt;FechaRef,N($L107)&lt;1),"Vencida"&amp;" · ","")&amp;IF(AND(ObsObligatoria="Sí",ISNUMBER($F107),$F107&lt;FechaRef,N($L107)&lt;1,$N107=""),"Vencida sin observación"&amp;" · ",""),LEN(IF(AND($S107="Macro",$B107=""),"Macroactividad vacía"&amp;" · ","")&amp;IF(AND($B107&lt;&gt;"",$C107&lt;&gt;""),"Escriba la subactividad en otra fila, debajo de su macroactividad"&amp;" · ","")&amp;IF(AND($S107="Sub",N($R107)=0),"Subactividad sin macroactividad arriba"&amp;" · ","")&amp;IF($D107="","Sin responsable"&amp;" · ","")&amp;IF($E107="","Sin fecha de inicio"&amp;" · ","")&amp;IF($F107="","Sin fecha límite"&amp;" · ","")&amp;IF(OR(AND($E107&lt;&gt;"",NOT(ISNUMBER($E107))),AND($F107&lt;&gt;"",NOT(ISNUMBER($F107)))),"Fecha no válida"&amp;" · ","")&amp;IF(AND(ISNUMBER($E107),ISNUMBER($F107),$E107&gt;$F107),"Inicio posterior a fecha límite"&amp;" · ","")&amp;IF(AND($S107="Macro",$G107=""),"Peso vacío"&amp;" · ","")&amp;IF(AND($S107="Macro",$G107&lt;&gt;"",OR(NOT(ISNUMBER($G107)),$G107&lt;=0,$G107&gt;1)),"Peso fuera de rango"&amp;" · ","")&amp;IF(AND($S107="Sub",$G107&lt;&gt;""),"Las subactividades no llevan peso"&amp;" · ","")&amp;IF(AND($S107="Macro",ABS(SUMIFS($G$5:$G$1000,$P$5:$P$1000,$P107,$S$5:$S$1000,"Macro")-1)&gt;0.0001),"Pesos del mes suman "&amp;TEXT(SUMIFS($G$5:$G$1000,$P$5:$P$1000,$P107,$S$5:$S$1000,"Macro"),"0%")&amp;" · ","")&amp;IF(AND(N($T107)&gt;0,COUNT($H107:$K107)&gt;0),"Con subactividades: deje vacías las semanas (se calculan solas)"&amp;" · ","")&amp;IF((COUNTIF($H107:$K107,"&gt;1")+COUNTIF($H107:$K107,"&lt;0")+COUNTA($H107:$K107)-COUNT($H107:$K107))&gt;0,"Avance fuera de rango 0-100%"&amp;" · ","")&amp;IF(OR(AND($I107&lt;&gt;"",$I107&lt;$H107),AND($J107&lt;&gt;"",$J107&lt;MAX($H107:$I107)),AND($K107&lt;&gt;"",$K107&lt;MAX($H107:$J107))),"Avance semanal decreciente"&amp;" · ","")&amp;IF(AND(ISNUMBER($F107),$F107&lt;FechaRef,N($L107)&lt;1),"Vencida"&amp;" · ","")&amp;IF(AND(ObsObligatoria="Sí",ISNUMBER($F107),$F107&lt;FechaRef,N($L107)&lt;1,$N107=""),"Vencida sin observación"&amp;" · ",""))-3)))</f>
        <v/>
      </c>
      <c r="P107" s="69">
        <f>IF(NOT((COUNTA($B107:$K107)+COUNTA($N107))&gt;0),"",IF(AND($S107="Sub",N($R107)&gt;0),IF(ISNUMBER(INDEX($E$5:$E$1000,$R107-4)),DATE(YEAR(INDEX($E$5:$E$1000,$R107-4)),MONTH(INDEX($E$5:$E$1000,$R107-4)),1),IF(ISNUMBER(INDEX($F$5:$F$1000,$R107-4)),DATE(YEAR(INDEX($F$5:$F$1000,$R107-4)),MONTH(INDEX($F$5:$F$1000,$R107-4)),1),MesCiclo)),IF(ISNUMBER($E107),DATE(YEAR($E107),MONTH($E107),1),IF(ISNUMBER($F107),DATE(YEAR($F107),MONTH($F107),1),MesCiclo))))</f>
        <v/>
      </c>
      <c r="Q107" s="70">
        <f>IF(OR($P107="",$P107&lt;&gt;MesCiclo),"",COUNTIF($P$5:$P107,MesCiclo))</f>
        <v/>
      </c>
      <c r="R107" s="70">
        <f>IF($S107="","",IF($S107="Macro",ROW(),IFERROR(LOOKUP(2,1/($S$5:$S107="Macro"),ROW($S$5:$S107)),0)))</f>
        <v/>
      </c>
      <c r="S107" s="70">
        <f>IF(NOT((COUNTA($B107:$K107)+COUNTA($N107))&gt;0),"",IF($B107&lt;&gt;"","Macro",IF($C107&lt;&gt;"","Sub","Macro")))</f>
        <v/>
      </c>
      <c r="T107" s="70">
        <f>IF($S107="Macro",COUNTIFS($R$5:$R$1000,ROW(),$S$5:$S$1000,"Sub"),"")</f>
        <v/>
      </c>
      <c r="U107" s="70">
        <f>IF($S107="","",IF(ISNUMBER($H107),$H107,0))</f>
        <v/>
      </c>
      <c r="V107" s="70">
        <f>IF($S107="","",IF(ISNUMBER($I107),$I107,$U107))</f>
        <v/>
      </c>
      <c r="W107" s="70">
        <f>IF($S107="","",IF(ISNUMBER($J107),$J107,$V107))</f>
        <v/>
      </c>
      <c r="X107" s="70">
        <f>IF($S107="","",IF(ISNUMBER($K107),$K107,$W107))</f>
        <v/>
      </c>
      <c r="Y107" s="70">
        <f>IF($S107="","",IF(N($T107)&gt;0,AVERAGEIFS($U$5:$U$1000,$R$5:$R$1000,ROW(),$S$5:$S$1000,"Sub"),$U107))</f>
        <v/>
      </c>
      <c r="Z107" s="70">
        <f>IF($S107="","",IF(N($T107)&gt;0,AVERAGEIFS($V$5:$V$1000,$R$5:$R$1000,ROW(),$S$5:$S$1000,"Sub"),$V107))</f>
        <v/>
      </c>
      <c r="AA107" s="70">
        <f>IF($S107="","",IF(N($T107)&gt;0,AVERAGEIFS($W$5:$W$1000,$R$5:$R$1000,ROW(),$S$5:$S$1000,"Sub"),$W107))</f>
        <v/>
      </c>
      <c r="AB107" s="70">
        <f>IF($S107="","",IF(N($T107)&gt;0,AVERAGEIFS($X$5:$X$1000,$R$5:$R$1000,ROW(),$S$5:$S$1000,"Sub"),$X107))</f>
        <v/>
      </c>
    </row>
    <row r="108">
      <c r="A108" s="61">
        <f>IF(NOT((COUNTA($B108:$K108)+COUNTA($N108))&gt;0),"",IF($S108="Macro",COUNTIFS($S$5:$S108,"Macro",$P$5:$P108,$P108),IF(N($R108)=0,"?",COUNTIFS(INDEX($S$5:$S$1000,1):INDEX($S$5:$S$1000,$R108-4),"Macro",INDEX($P$5:$P$1000,1):INDEX($P$5:$P$1000,$R108-4),INDEX($P$5:$P$1000,$R108-4))&amp;"."&amp;COUNTIFS($R$5:$R108,$R108,$S$5:$S108,"Sub"))))</f>
        <v/>
      </c>
      <c r="B108" s="62" t="n"/>
      <c r="C108" s="63" t="n"/>
      <c r="D108" s="62" t="n"/>
      <c r="E108" s="64" t="n"/>
      <c r="F108" s="64" t="n"/>
      <c r="G108" s="65" t="n"/>
      <c r="H108" s="66" t="n"/>
      <c r="I108" s="66" t="n"/>
      <c r="J108" s="66" t="n"/>
      <c r="K108" s="66" t="n"/>
      <c r="L108" s="67">
        <f>IF(NOT((COUNTA($B108:$K108)+COUNTA($N108))&gt;0),"",IF(N($T108)&gt;0,$AB108,IFERROR(LOOKUP(2,1/(H108:K108&lt;&gt;""),H108:K108),0)))</f>
        <v/>
      </c>
      <c r="M108" s="61">
        <f>IF(L108="","",IF(L108&gt;=1,"Completado",IF(L108&gt;0,"En curso","Pendiente")))</f>
        <v/>
      </c>
      <c r="N108" s="62" t="n"/>
      <c r="O108" s="68">
        <f>IF(NOT((COUNTA($B108:$K108)+COUNTA($N108))&gt;0),"",IF((IF(AND($S108="Macro",$B108=""),"Macroactividad vacía"&amp;" · ","")&amp;IF(AND($B108&lt;&gt;"",$C108&lt;&gt;""),"Escriba la subactividad en otra fila, debajo de su macroactividad"&amp;" · ","")&amp;IF(AND($S108="Sub",N($R108)=0),"Subactividad sin macroactividad arriba"&amp;" · ","")&amp;IF($D108="","Sin responsable"&amp;" · ","")&amp;IF($E108="","Sin fecha de inicio"&amp;" · ","")&amp;IF($F108="","Sin fecha límite"&amp;" · ","")&amp;IF(OR(AND($E108&lt;&gt;"",NOT(ISNUMBER($E108))),AND($F108&lt;&gt;"",NOT(ISNUMBER($F108)))),"Fecha no válida"&amp;" · ","")&amp;IF(AND(ISNUMBER($E108),ISNUMBER($F108),$E108&gt;$F108),"Inicio posterior a fecha límite"&amp;" · ","")&amp;IF(AND($S108="Macro",$G108=""),"Peso vacío"&amp;" · ","")&amp;IF(AND($S108="Macro",$G108&lt;&gt;"",OR(NOT(ISNUMBER($G108)),$G108&lt;=0,$G108&gt;1)),"Peso fuera de rango"&amp;" · ","")&amp;IF(AND($S108="Sub",$G108&lt;&gt;""),"Las subactividades no llevan peso"&amp;" · ","")&amp;IF(AND($S108="Macro",ABS(SUMIFS($G$5:$G$1000,$P$5:$P$1000,$P108,$S$5:$S$1000,"Macro")-1)&gt;0.0001),"Pesos del mes suman "&amp;TEXT(SUMIFS($G$5:$G$1000,$P$5:$P$1000,$P108,$S$5:$S$1000,"Macro"),"0%")&amp;" · ","")&amp;IF(AND(N($T108)&gt;0,COUNT($H108:$K108)&gt;0),"Con subactividades: deje vacías las semanas (se calculan solas)"&amp;" · ","")&amp;IF((COUNTIF($H108:$K108,"&gt;1")+COUNTIF($H108:$K108,"&lt;0")+COUNTA($H108:$K108)-COUNT($H108:$K108))&gt;0,"Avance fuera de rango 0-100%"&amp;" · ","")&amp;IF(OR(AND($I108&lt;&gt;"",$I108&lt;$H108),AND($J108&lt;&gt;"",$J108&lt;MAX($H108:$I108)),AND($K108&lt;&gt;"",$K108&lt;MAX($H108:$J108))),"Avance semanal decreciente"&amp;" · ","")&amp;IF(AND(ISNUMBER($F108),$F108&lt;FechaRef,N($L108)&lt;1),"Vencida"&amp;" · ","")&amp;IF(AND(ObsObligatoria="Sí",ISNUMBER($F108),$F108&lt;FechaRef,N($L108)&lt;1,$N108=""),"Vencida sin observación"&amp;" · ",""))="","✔ OK","⚠ "&amp;LEFT(IF(AND($S108="Macro",$B108=""),"Macroactividad vacía"&amp;" · ","")&amp;IF(AND($B108&lt;&gt;"",$C108&lt;&gt;""),"Escriba la subactividad en otra fila, debajo de su macroactividad"&amp;" · ","")&amp;IF(AND($S108="Sub",N($R108)=0),"Subactividad sin macroactividad arriba"&amp;" · ","")&amp;IF($D108="","Sin responsable"&amp;" · ","")&amp;IF($E108="","Sin fecha de inicio"&amp;" · ","")&amp;IF($F108="","Sin fecha límite"&amp;" · ","")&amp;IF(OR(AND($E108&lt;&gt;"",NOT(ISNUMBER($E108))),AND($F108&lt;&gt;"",NOT(ISNUMBER($F108)))),"Fecha no válida"&amp;" · ","")&amp;IF(AND(ISNUMBER($E108),ISNUMBER($F108),$E108&gt;$F108),"Inicio posterior a fecha límite"&amp;" · ","")&amp;IF(AND($S108="Macro",$G108=""),"Peso vacío"&amp;" · ","")&amp;IF(AND($S108="Macro",$G108&lt;&gt;"",OR(NOT(ISNUMBER($G108)),$G108&lt;=0,$G108&gt;1)),"Peso fuera de rango"&amp;" · ","")&amp;IF(AND($S108="Sub",$G108&lt;&gt;""),"Las subactividades no llevan peso"&amp;" · ","")&amp;IF(AND($S108="Macro",ABS(SUMIFS($G$5:$G$1000,$P$5:$P$1000,$P108,$S$5:$S$1000,"Macro")-1)&gt;0.0001),"Pesos del mes suman "&amp;TEXT(SUMIFS($G$5:$G$1000,$P$5:$P$1000,$P108,$S$5:$S$1000,"Macro"),"0%")&amp;" · ","")&amp;IF(AND(N($T108)&gt;0,COUNT($H108:$K108)&gt;0),"Con subactividades: deje vacías las semanas (se calculan solas)"&amp;" · ","")&amp;IF((COUNTIF($H108:$K108,"&gt;1")+COUNTIF($H108:$K108,"&lt;0")+COUNTA($H108:$K108)-COUNT($H108:$K108))&gt;0,"Avance fuera de rango 0-100%"&amp;" · ","")&amp;IF(OR(AND($I108&lt;&gt;"",$I108&lt;$H108),AND($J108&lt;&gt;"",$J108&lt;MAX($H108:$I108)),AND($K108&lt;&gt;"",$K108&lt;MAX($H108:$J108))),"Avance semanal decreciente"&amp;" · ","")&amp;IF(AND(ISNUMBER($F108),$F108&lt;FechaRef,N($L108)&lt;1),"Vencida"&amp;" · ","")&amp;IF(AND(ObsObligatoria="Sí",ISNUMBER($F108),$F108&lt;FechaRef,N($L108)&lt;1,$N108=""),"Vencida sin observación"&amp;" · ",""),LEN(IF(AND($S108="Macro",$B108=""),"Macroactividad vacía"&amp;" · ","")&amp;IF(AND($B108&lt;&gt;"",$C108&lt;&gt;""),"Escriba la subactividad en otra fila, debajo de su macroactividad"&amp;" · ","")&amp;IF(AND($S108="Sub",N($R108)=0),"Subactividad sin macroactividad arriba"&amp;" · ","")&amp;IF($D108="","Sin responsable"&amp;" · ","")&amp;IF($E108="","Sin fecha de inicio"&amp;" · ","")&amp;IF($F108="","Sin fecha límite"&amp;" · ","")&amp;IF(OR(AND($E108&lt;&gt;"",NOT(ISNUMBER($E108))),AND($F108&lt;&gt;"",NOT(ISNUMBER($F108)))),"Fecha no válida"&amp;" · ","")&amp;IF(AND(ISNUMBER($E108),ISNUMBER($F108),$E108&gt;$F108),"Inicio posterior a fecha límite"&amp;" · ","")&amp;IF(AND($S108="Macro",$G108=""),"Peso vacío"&amp;" · ","")&amp;IF(AND($S108="Macro",$G108&lt;&gt;"",OR(NOT(ISNUMBER($G108)),$G108&lt;=0,$G108&gt;1)),"Peso fuera de rango"&amp;" · ","")&amp;IF(AND($S108="Sub",$G108&lt;&gt;""),"Las subactividades no llevan peso"&amp;" · ","")&amp;IF(AND($S108="Macro",ABS(SUMIFS($G$5:$G$1000,$P$5:$P$1000,$P108,$S$5:$S$1000,"Macro")-1)&gt;0.0001),"Pesos del mes suman "&amp;TEXT(SUMIFS($G$5:$G$1000,$P$5:$P$1000,$P108,$S$5:$S$1000,"Macro"),"0%")&amp;" · ","")&amp;IF(AND(N($T108)&gt;0,COUNT($H108:$K108)&gt;0),"Con subactividades: deje vacías las semanas (se calculan solas)"&amp;" · ","")&amp;IF((COUNTIF($H108:$K108,"&gt;1")+COUNTIF($H108:$K108,"&lt;0")+COUNTA($H108:$K108)-COUNT($H108:$K108))&gt;0,"Avance fuera de rango 0-100%"&amp;" · ","")&amp;IF(OR(AND($I108&lt;&gt;"",$I108&lt;$H108),AND($J108&lt;&gt;"",$J108&lt;MAX($H108:$I108)),AND($K108&lt;&gt;"",$K108&lt;MAX($H108:$J108))),"Avance semanal decreciente"&amp;" · ","")&amp;IF(AND(ISNUMBER($F108),$F108&lt;FechaRef,N($L108)&lt;1),"Vencida"&amp;" · ","")&amp;IF(AND(ObsObligatoria="Sí",ISNUMBER($F108),$F108&lt;FechaRef,N($L108)&lt;1,$N108=""),"Vencida sin observación"&amp;" · ",""))-3)))</f>
        <v/>
      </c>
      <c r="P108" s="69">
        <f>IF(NOT((COUNTA($B108:$K108)+COUNTA($N108))&gt;0),"",IF(AND($S108="Sub",N($R108)&gt;0),IF(ISNUMBER(INDEX($E$5:$E$1000,$R108-4)),DATE(YEAR(INDEX($E$5:$E$1000,$R108-4)),MONTH(INDEX($E$5:$E$1000,$R108-4)),1),IF(ISNUMBER(INDEX($F$5:$F$1000,$R108-4)),DATE(YEAR(INDEX($F$5:$F$1000,$R108-4)),MONTH(INDEX($F$5:$F$1000,$R108-4)),1),MesCiclo)),IF(ISNUMBER($E108),DATE(YEAR($E108),MONTH($E108),1),IF(ISNUMBER($F108),DATE(YEAR($F108),MONTH($F108),1),MesCiclo))))</f>
        <v/>
      </c>
      <c r="Q108" s="70">
        <f>IF(OR($P108="",$P108&lt;&gt;MesCiclo),"",COUNTIF($P$5:$P108,MesCiclo))</f>
        <v/>
      </c>
      <c r="R108" s="70">
        <f>IF($S108="","",IF($S108="Macro",ROW(),IFERROR(LOOKUP(2,1/($S$5:$S108="Macro"),ROW($S$5:$S108)),0)))</f>
        <v/>
      </c>
      <c r="S108" s="70">
        <f>IF(NOT((COUNTA($B108:$K108)+COUNTA($N108))&gt;0),"",IF($B108&lt;&gt;"","Macro",IF($C108&lt;&gt;"","Sub","Macro")))</f>
        <v/>
      </c>
      <c r="T108" s="70">
        <f>IF($S108="Macro",COUNTIFS($R$5:$R$1000,ROW(),$S$5:$S$1000,"Sub"),"")</f>
        <v/>
      </c>
      <c r="U108" s="70">
        <f>IF($S108="","",IF(ISNUMBER($H108),$H108,0))</f>
        <v/>
      </c>
      <c r="V108" s="70">
        <f>IF($S108="","",IF(ISNUMBER($I108),$I108,$U108))</f>
        <v/>
      </c>
      <c r="W108" s="70">
        <f>IF($S108="","",IF(ISNUMBER($J108),$J108,$V108))</f>
        <v/>
      </c>
      <c r="X108" s="70">
        <f>IF($S108="","",IF(ISNUMBER($K108),$K108,$W108))</f>
        <v/>
      </c>
      <c r="Y108" s="70">
        <f>IF($S108="","",IF(N($T108)&gt;0,AVERAGEIFS($U$5:$U$1000,$R$5:$R$1000,ROW(),$S$5:$S$1000,"Sub"),$U108))</f>
        <v/>
      </c>
      <c r="Z108" s="70">
        <f>IF($S108="","",IF(N($T108)&gt;0,AVERAGEIFS($V$5:$V$1000,$R$5:$R$1000,ROW(),$S$5:$S$1000,"Sub"),$V108))</f>
        <v/>
      </c>
      <c r="AA108" s="70">
        <f>IF($S108="","",IF(N($T108)&gt;0,AVERAGEIFS($W$5:$W$1000,$R$5:$R$1000,ROW(),$S$5:$S$1000,"Sub"),$W108))</f>
        <v/>
      </c>
      <c r="AB108" s="70">
        <f>IF($S108="","",IF(N($T108)&gt;0,AVERAGEIFS($X$5:$X$1000,$R$5:$R$1000,ROW(),$S$5:$S$1000,"Sub"),$X108))</f>
        <v/>
      </c>
    </row>
    <row r="109">
      <c r="A109" s="61">
        <f>IF(NOT((COUNTA($B109:$K109)+COUNTA($N109))&gt;0),"",IF($S109="Macro",COUNTIFS($S$5:$S109,"Macro",$P$5:$P109,$P109),IF(N($R109)=0,"?",COUNTIFS(INDEX($S$5:$S$1000,1):INDEX($S$5:$S$1000,$R109-4),"Macro",INDEX($P$5:$P$1000,1):INDEX($P$5:$P$1000,$R109-4),INDEX($P$5:$P$1000,$R109-4))&amp;"."&amp;COUNTIFS($R$5:$R109,$R109,$S$5:$S109,"Sub"))))</f>
        <v/>
      </c>
      <c r="B109" s="62" t="n"/>
      <c r="C109" s="63" t="n"/>
      <c r="D109" s="62" t="n"/>
      <c r="E109" s="64" t="n"/>
      <c r="F109" s="64" t="n"/>
      <c r="G109" s="65" t="n"/>
      <c r="H109" s="66" t="n"/>
      <c r="I109" s="66" t="n"/>
      <c r="J109" s="66" t="n"/>
      <c r="K109" s="66" t="n"/>
      <c r="L109" s="67">
        <f>IF(NOT((COUNTA($B109:$K109)+COUNTA($N109))&gt;0),"",IF(N($T109)&gt;0,$AB109,IFERROR(LOOKUP(2,1/(H109:K109&lt;&gt;""),H109:K109),0)))</f>
        <v/>
      </c>
      <c r="M109" s="61">
        <f>IF(L109="","",IF(L109&gt;=1,"Completado",IF(L109&gt;0,"En curso","Pendiente")))</f>
        <v/>
      </c>
      <c r="N109" s="62" t="n"/>
      <c r="O109" s="68">
        <f>IF(NOT((COUNTA($B109:$K109)+COUNTA($N109))&gt;0),"",IF((IF(AND($S109="Macro",$B109=""),"Macroactividad vacía"&amp;" · ","")&amp;IF(AND($B109&lt;&gt;"",$C109&lt;&gt;""),"Escriba la subactividad en otra fila, debajo de su macroactividad"&amp;" · ","")&amp;IF(AND($S109="Sub",N($R109)=0),"Subactividad sin macroactividad arriba"&amp;" · ","")&amp;IF($D109="","Sin responsable"&amp;" · ","")&amp;IF($E109="","Sin fecha de inicio"&amp;" · ","")&amp;IF($F109="","Sin fecha límite"&amp;" · ","")&amp;IF(OR(AND($E109&lt;&gt;"",NOT(ISNUMBER($E109))),AND($F109&lt;&gt;"",NOT(ISNUMBER($F109)))),"Fecha no válida"&amp;" · ","")&amp;IF(AND(ISNUMBER($E109),ISNUMBER($F109),$E109&gt;$F109),"Inicio posterior a fecha límite"&amp;" · ","")&amp;IF(AND($S109="Macro",$G109=""),"Peso vacío"&amp;" · ","")&amp;IF(AND($S109="Macro",$G109&lt;&gt;"",OR(NOT(ISNUMBER($G109)),$G109&lt;=0,$G109&gt;1)),"Peso fuera de rango"&amp;" · ","")&amp;IF(AND($S109="Sub",$G109&lt;&gt;""),"Las subactividades no llevan peso"&amp;" · ","")&amp;IF(AND($S109="Macro",ABS(SUMIFS($G$5:$G$1000,$P$5:$P$1000,$P109,$S$5:$S$1000,"Macro")-1)&gt;0.0001),"Pesos del mes suman "&amp;TEXT(SUMIFS($G$5:$G$1000,$P$5:$P$1000,$P109,$S$5:$S$1000,"Macro"),"0%")&amp;" · ","")&amp;IF(AND(N($T109)&gt;0,COUNT($H109:$K109)&gt;0),"Con subactividades: deje vacías las semanas (se calculan solas)"&amp;" · ","")&amp;IF((COUNTIF($H109:$K109,"&gt;1")+COUNTIF($H109:$K109,"&lt;0")+COUNTA($H109:$K109)-COUNT($H109:$K109))&gt;0,"Avance fuera de rango 0-100%"&amp;" · ","")&amp;IF(OR(AND($I109&lt;&gt;"",$I109&lt;$H109),AND($J109&lt;&gt;"",$J109&lt;MAX($H109:$I109)),AND($K109&lt;&gt;"",$K109&lt;MAX($H109:$J109))),"Avance semanal decreciente"&amp;" · ","")&amp;IF(AND(ISNUMBER($F109),$F109&lt;FechaRef,N($L109)&lt;1),"Vencida"&amp;" · ","")&amp;IF(AND(ObsObligatoria="Sí",ISNUMBER($F109),$F109&lt;FechaRef,N($L109)&lt;1,$N109=""),"Vencida sin observación"&amp;" · ",""))="","✔ OK","⚠ "&amp;LEFT(IF(AND($S109="Macro",$B109=""),"Macroactividad vacía"&amp;" · ","")&amp;IF(AND($B109&lt;&gt;"",$C109&lt;&gt;""),"Escriba la subactividad en otra fila, debajo de su macroactividad"&amp;" · ","")&amp;IF(AND($S109="Sub",N($R109)=0),"Subactividad sin macroactividad arriba"&amp;" · ","")&amp;IF($D109="","Sin responsable"&amp;" · ","")&amp;IF($E109="","Sin fecha de inicio"&amp;" · ","")&amp;IF($F109="","Sin fecha límite"&amp;" · ","")&amp;IF(OR(AND($E109&lt;&gt;"",NOT(ISNUMBER($E109))),AND($F109&lt;&gt;"",NOT(ISNUMBER($F109)))),"Fecha no válida"&amp;" · ","")&amp;IF(AND(ISNUMBER($E109),ISNUMBER($F109),$E109&gt;$F109),"Inicio posterior a fecha límite"&amp;" · ","")&amp;IF(AND($S109="Macro",$G109=""),"Peso vacío"&amp;" · ","")&amp;IF(AND($S109="Macro",$G109&lt;&gt;"",OR(NOT(ISNUMBER($G109)),$G109&lt;=0,$G109&gt;1)),"Peso fuera de rango"&amp;" · ","")&amp;IF(AND($S109="Sub",$G109&lt;&gt;""),"Las subactividades no llevan peso"&amp;" · ","")&amp;IF(AND($S109="Macro",ABS(SUMIFS($G$5:$G$1000,$P$5:$P$1000,$P109,$S$5:$S$1000,"Macro")-1)&gt;0.0001),"Pesos del mes suman "&amp;TEXT(SUMIFS($G$5:$G$1000,$P$5:$P$1000,$P109,$S$5:$S$1000,"Macro"),"0%")&amp;" · ","")&amp;IF(AND(N($T109)&gt;0,COUNT($H109:$K109)&gt;0),"Con subactividades: deje vacías las semanas (se calculan solas)"&amp;" · ","")&amp;IF((COUNTIF($H109:$K109,"&gt;1")+COUNTIF($H109:$K109,"&lt;0")+COUNTA($H109:$K109)-COUNT($H109:$K109))&gt;0,"Avance fuera de rango 0-100%"&amp;" · ","")&amp;IF(OR(AND($I109&lt;&gt;"",$I109&lt;$H109),AND($J109&lt;&gt;"",$J109&lt;MAX($H109:$I109)),AND($K109&lt;&gt;"",$K109&lt;MAX($H109:$J109))),"Avance semanal decreciente"&amp;" · ","")&amp;IF(AND(ISNUMBER($F109),$F109&lt;FechaRef,N($L109)&lt;1),"Vencida"&amp;" · ","")&amp;IF(AND(ObsObligatoria="Sí",ISNUMBER($F109),$F109&lt;FechaRef,N($L109)&lt;1,$N109=""),"Vencida sin observación"&amp;" · ",""),LEN(IF(AND($S109="Macro",$B109=""),"Macroactividad vacía"&amp;" · ","")&amp;IF(AND($B109&lt;&gt;"",$C109&lt;&gt;""),"Escriba la subactividad en otra fila, debajo de su macroactividad"&amp;" · ","")&amp;IF(AND($S109="Sub",N($R109)=0),"Subactividad sin macroactividad arriba"&amp;" · ","")&amp;IF($D109="","Sin responsable"&amp;" · ","")&amp;IF($E109="","Sin fecha de inicio"&amp;" · ","")&amp;IF($F109="","Sin fecha límite"&amp;" · ","")&amp;IF(OR(AND($E109&lt;&gt;"",NOT(ISNUMBER($E109))),AND($F109&lt;&gt;"",NOT(ISNUMBER($F109)))),"Fecha no válida"&amp;" · ","")&amp;IF(AND(ISNUMBER($E109),ISNUMBER($F109),$E109&gt;$F109),"Inicio posterior a fecha límite"&amp;" · ","")&amp;IF(AND($S109="Macro",$G109=""),"Peso vacío"&amp;" · ","")&amp;IF(AND($S109="Macro",$G109&lt;&gt;"",OR(NOT(ISNUMBER($G109)),$G109&lt;=0,$G109&gt;1)),"Peso fuera de rango"&amp;" · ","")&amp;IF(AND($S109="Sub",$G109&lt;&gt;""),"Las subactividades no llevan peso"&amp;" · ","")&amp;IF(AND($S109="Macro",ABS(SUMIFS($G$5:$G$1000,$P$5:$P$1000,$P109,$S$5:$S$1000,"Macro")-1)&gt;0.0001),"Pesos del mes suman "&amp;TEXT(SUMIFS($G$5:$G$1000,$P$5:$P$1000,$P109,$S$5:$S$1000,"Macro"),"0%")&amp;" · ","")&amp;IF(AND(N($T109)&gt;0,COUNT($H109:$K109)&gt;0),"Con subactividades: deje vacías las semanas (se calculan solas)"&amp;" · ","")&amp;IF((COUNTIF($H109:$K109,"&gt;1")+COUNTIF($H109:$K109,"&lt;0")+COUNTA($H109:$K109)-COUNT($H109:$K109))&gt;0,"Avance fuera de rango 0-100%"&amp;" · ","")&amp;IF(OR(AND($I109&lt;&gt;"",$I109&lt;$H109),AND($J109&lt;&gt;"",$J109&lt;MAX($H109:$I109)),AND($K109&lt;&gt;"",$K109&lt;MAX($H109:$J109))),"Avance semanal decreciente"&amp;" · ","")&amp;IF(AND(ISNUMBER($F109),$F109&lt;FechaRef,N($L109)&lt;1),"Vencida"&amp;" · ","")&amp;IF(AND(ObsObligatoria="Sí",ISNUMBER($F109),$F109&lt;FechaRef,N($L109)&lt;1,$N109=""),"Vencida sin observación"&amp;" · ",""))-3)))</f>
        <v/>
      </c>
      <c r="P109" s="69">
        <f>IF(NOT((COUNTA($B109:$K109)+COUNTA($N109))&gt;0),"",IF(AND($S109="Sub",N($R109)&gt;0),IF(ISNUMBER(INDEX($E$5:$E$1000,$R109-4)),DATE(YEAR(INDEX($E$5:$E$1000,$R109-4)),MONTH(INDEX($E$5:$E$1000,$R109-4)),1),IF(ISNUMBER(INDEX($F$5:$F$1000,$R109-4)),DATE(YEAR(INDEX($F$5:$F$1000,$R109-4)),MONTH(INDEX($F$5:$F$1000,$R109-4)),1),MesCiclo)),IF(ISNUMBER($E109),DATE(YEAR($E109),MONTH($E109),1),IF(ISNUMBER($F109),DATE(YEAR($F109),MONTH($F109),1),MesCiclo))))</f>
        <v/>
      </c>
      <c r="Q109" s="70">
        <f>IF(OR($P109="",$P109&lt;&gt;MesCiclo),"",COUNTIF($P$5:$P109,MesCiclo))</f>
        <v/>
      </c>
      <c r="R109" s="70">
        <f>IF($S109="","",IF($S109="Macro",ROW(),IFERROR(LOOKUP(2,1/($S$5:$S109="Macro"),ROW($S$5:$S109)),0)))</f>
        <v/>
      </c>
      <c r="S109" s="70">
        <f>IF(NOT((COUNTA($B109:$K109)+COUNTA($N109))&gt;0),"",IF($B109&lt;&gt;"","Macro",IF($C109&lt;&gt;"","Sub","Macro")))</f>
        <v/>
      </c>
      <c r="T109" s="70">
        <f>IF($S109="Macro",COUNTIFS($R$5:$R$1000,ROW(),$S$5:$S$1000,"Sub"),"")</f>
        <v/>
      </c>
      <c r="U109" s="70">
        <f>IF($S109="","",IF(ISNUMBER($H109),$H109,0))</f>
        <v/>
      </c>
      <c r="V109" s="70">
        <f>IF($S109="","",IF(ISNUMBER($I109),$I109,$U109))</f>
        <v/>
      </c>
      <c r="W109" s="70">
        <f>IF($S109="","",IF(ISNUMBER($J109),$J109,$V109))</f>
        <v/>
      </c>
      <c r="X109" s="70">
        <f>IF($S109="","",IF(ISNUMBER($K109),$K109,$W109))</f>
        <v/>
      </c>
      <c r="Y109" s="70">
        <f>IF($S109="","",IF(N($T109)&gt;0,AVERAGEIFS($U$5:$U$1000,$R$5:$R$1000,ROW(),$S$5:$S$1000,"Sub"),$U109))</f>
        <v/>
      </c>
      <c r="Z109" s="70">
        <f>IF($S109="","",IF(N($T109)&gt;0,AVERAGEIFS($V$5:$V$1000,$R$5:$R$1000,ROW(),$S$5:$S$1000,"Sub"),$V109))</f>
        <v/>
      </c>
      <c r="AA109" s="70">
        <f>IF($S109="","",IF(N($T109)&gt;0,AVERAGEIFS($W$5:$W$1000,$R$5:$R$1000,ROW(),$S$5:$S$1000,"Sub"),$W109))</f>
        <v/>
      </c>
      <c r="AB109" s="70">
        <f>IF($S109="","",IF(N($T109)&gt;0,AVERAGEIFS($X$5:$X$1000,$R$5:$R$1000,ROW(),$S$5:$S$1000,"Sub"),$X109))</f>
        <v/>
      </c>
    </row>
    <row r="110">
      <c r="A110" s="61">
        <f>IF(NOT((COUNTA($B110:$K110)+COUNTA($N110))&gt;0),"",IF($S110="Macro",COUNTIFS($S$5:$S110,"Macro",$P$5:$P110,$P110),IF(N($R110)=0,"?",COUNTIFS(INDEX($S$5:$S$1000,1):INDEX($S$5:$S$1000,$R110-4),"Macro",INDEX($P$5:$P$1000,1):INDEX($P$5:$P$1000,$R110-4),INDEX($P$5:$P$1000,$R110-4))&amp;"."&amp;COUNTIFS($R$5:$R110,$R110,$S$5:$S110,"Sub"))))</f>
        <v/>
      </c>
      <c r="B110" s="62" t="n"/>
      <c r="C110" s="63" t="n"/>
      <c r="D110" s="62" t="n"/>
      <c r="E110" s="64" t="n"/>
      <c r="F110" s="64" t="n"/>
      <c r="G110" s="65" t="n"/>
      <c r="H110" s="66" t="n"/>
      <c r="I110" s="66" t="n"/>
      <c r="J110" s="66" t="n"/>
      <c r="K110" s="66" t="n"/>
      <c r="L110" s="67">
        <f>IF(NOT((COUNTA($B110:$K110)+COUNTA($N110))&gt;0),"",IF(N($T110)&gt;0,$AB110,IFERROR(LOOKUP(2,1/(H110:K110&lt;&gt;""),H110:K110),0)))</f>
        <v/>
      </c>
      <c r="M110" s="61">
        <f>IF(L110="","",IF(L110&gt;=1,"Completado",IF(L110&gt;0,"En curso","Pendiente")))</f>
        <v/>
      </c>
      <c r="N110" s="62" t="n"/>
      <c r="O110" s="68">
        <f>IF(NOT((COUNTA($B110:$K110)+COUNTA($N110))&gt;0),"",IF((IF(AND($S110="Macro",$B110=""),"Macroactividad vacía"&amp;" · ","")&amp;IF(AND($B110&lt;&gt;"",$C110&lt;&gt;""),"Escriba la subactividad en otra fila, debajo de su macroactividad"&amp;" · ","")&amp;IF(AND($S110="Sub",N($R110)=0),"Subactividad sin macroactividad arriba"&amp;" · ","")&amp;IF($D110="","Sin responsable"&amp;" · ","")&amp;IF($E110="","Sin fecha de inicio"&amp;" · ","")&amp;IF($F110="","Sin fecha límite"&amp;" · ","")&amp;IF(OR(AND($E110&lt;&gt;"",NOT(ISNUMBER($E110))),AND($F110&lt;&gt;"",NOT(ISNUMBER($F110)))),"Fecha no válida"&amp;" · ","")&amp;IF(AND(ISNUMBER($E110),ISNUMBER($F110),$E110&gt;$F110),"Inicio posterior a fecha límite"&amp;" · ","")&amp;IF(AND($S110="Macro",$G110=""),"Peso vacío"&amp;" · ","")&amp;IF(AND($S110="Macro",$G110&lt;&gt;"",OR(NOT(ISNUMBER($G110)),$G110&lt;=0,$G110&gt;1)),"Peso fuera de rango"&amp;" · ","")&amp;IF(AND($S110="Sub",$G110&lt;&gt;""),"Las subactividades no llevan peso"&amp;" · ","")&amp;IF(AND($S110="Macro",ABS(SUMIFS($G$5:$G$1000,$P$5:$P$1000,$P110,$S$5:$S$1000,"Macro")-1)&gt;0.0001),"Pesos del mes suman "&amp;TEXT(SUMIFS($G$5:$G$1000,$P$5:$P$1000,$P110,$S$5:$S$1000,"Macro"),"0%")&amp;" · ","")&amp;IF(AND(N($T110)&gt;0,COUNT($H110:$K110)&gt;0),"Con subactividades: deje vacías las semanas (se calculan solas)"&amp;" · ","")&amp;IF((COUNTIF($H110:$K110,"&gt;1")+COUNTIF($H110:$K110,"&lt;0")+COUNTA($H110:$K110)-COUNT($H110:$K110))&gt;0,"Avance fuera de rango 0-100%"&amp;" · ","")&amp;IF(OR(AND($I110&lt;&gt;"",$I110&lt;$H110),AND($J110&lt;&gt;"",$J110&lt;MAX($H110:$I110)),AND($K110&lt;&gt;"",$K110&lt;MAX($H110:$J110))),"Avance semanal decreciente"&amp;" · ","")&amp;IF(AND(ISNUMBER($F110),$F110&lt;FechaRef,N($L110)&lt;1),"Vencida"&amp;" · ","")&amp;IF(AND(ObsObligatoria="Sí",ISNUMBER($F110),$F110&lt;FechaRef,N($L110)&lt;1,$N110=""),"Vencida sin observación"&amp;" · ",""))="","✔ OK","⚠ "&amp;LEFT(IF(AND($S110="Macro",$B110=""),"Macroactividad vacía"&amp;" · ","")&amp;IF(AND($B110&lt;&gt;"",$C110&lt;&gt;""),"Escriba la subactividad en otra fila, debajo de su macroactividad"&amp;" · ","")&amp;IF(AND($S110="Sub",N($R110)=0),"Subactividad sin macroactividad arriba"&amp;" · ","")&amp;IF($D110="","Sin responsable"&amp;" · ","")&amp;IF($E110="","Sin fecha de inicio"&amp;" · ","")&amp;IF($F110="","Sin fecha límite"&amp;" · ","")&amp;IF(OR(AND($E110&lt;&gt;"",NOT(ISNUMBER($E110))),AND($F110&lt;&gt;"",NOT(ISNUMBER($F110)))),"Fecha no válida"&amp;" · ","")&amp;IF(AND(ISNUMBER($E110),ISNUMBER($F110),$E110&gt;$F110),"Inicio posterior a fecha límite"&amp;" · ","")&amp;IF(AND($S110="Macro",$G110=""),"Peso vacío"&amp;" · ","")&amp;IF(AND($S110="Macro",$G110&lt;&gt;"",OR(NOT(ISNUMBER($G110)),$G110&lt;=0,$G110&gt;1)),"Peso fuera de rango"&amp;" · ","")&amp;IF(AND($S110="Sub",$G110&lt;&gt;""),"Las subactividades no llevan peso"&amp;" · ","")&amp;IF(AND($S110="Macro",ABS(SUMIFS($G$5:$G$1000,$P$5:$P$1000,$P110,$S$5:$S$1000,"Macro")-1)&gt;0.0001),"Pesos del mes suman "&amp;TEXT(SUMIFS($G$5:$G$1000,$P$5:$P$1000,$P110,$S$5:$S$1000,"Macro"),"0%")&amp;" · ","")&amp;IF(AND(N($T110)&gt;0,COUNT($H110:$K110)&gt;0),"Con subactividades: deje vacías las semanas (se calculan solas)"&amp;" · ","")&amp;IF((COUNTIF($H110:$K110,"&gt;1")+COUNTIF($H110:$K110,"&lt;0")+COUNTA($H110:$K110)-COUNT($H110:$K110))&gt;0,"Avance fuera de rango 0-100%"&amp;" · ","")&amp;IF(OR(AND($I110&lt;&gt;"",$I110&lt;$H110),AND($J110&lt;&gt;"",$J110&lt;MAX($H110:$I110)),AND($K110&lt;&gt;"",$K110&lt;MAX($H110:$J110))),"Avance semanal decreciente"&amp;" · ","")&amp;IF(AND(ISNUMBER($F110),$F110&lt;FechaRef,N($L110)&lt;1),"Vencida"&amp;" · ","")&amp;IF(AND(ObsObligatoria="Sí",ISNUMBER($F110),$F110&lt;FechaRef,N($L110)&lt;1,$N110=""),"Vencida sin observación"&amp;" · ",""),LEN(IF(AND($S110="Macro",$B110=""),"Macroactividad vacía"&amp;" · ","")&amp;IF(AND($B110&lt;&gt;"",$C110&lt;&gt;""),"Escriba la subactividad en otra fila, debajo de su macroactividad"&amp;" · ","")&amp;IF(AND($S110="Sub",N($R110)=0),"Subactividad sin macroactividad arriba"&amp;" · ","")&amp;IF($D110="","Sin responsable"&amp;" · ","")&amp;IF($E110="","Sin fecha de inicio"&amp;" · ","")&amp;IF($F110="","Sin fecha límite"&amp;" · ","")&amp;IF(OR(AND($E110&lt;&gt;"",NOT(ISNUMBER($E110))),AND($F110&lt;&gt;"",NOT(ISNUMBER($F110)))),"Fecha no válida"&amp;" · ","")&amp;IF(AND(ISNUMBER($E110),ISNUMBER($F110),$E110&gt;$F110),"Inicio posterior a fecha límite"&amp;" · ","")&amp;IF(AND($S110="Macro",$G110=""),"Peso vacío"&amp;" · ","")&amp;IF(AND($S110="Macro",$G110&lt;&gt;"",OR(NOT(ISNUMBER($G110)),$G110&lt;=0,$G110&gt;1)),"Peso fuera de rango"&amp;" · ","")&amp;IF(AND($S110="Sub",$G110&lt;&gt;""),"Las subactividades no llevan peso"&amp;" · ","")&amp;IF(AND($S110="Macro",ABS(SUMIFS($G$5:$G$1000,$P$5:$P$1000,$P110,$S$5:$S$1000,"Macro")-1)&gt;0.0001),"Pesos del mes suman "&amp;TEXT(SUMIFS($G$5:$G$1000,$P$5:$P$1000,$P110,$S$5:$S$1000,"Macro"),"0%")&amp;" · ","")&amp;IF(AND(N($T110)&gt;0,COUNT($H110:$K110)&gt;0),"Con subactividades: deje vacías las semanas (se calculan solas)"&amp;" · ","")&amp;IF((COUNTIF($H110:$K110,"&gt;1")+COUNTIF($H110:$K110,"&lt;0")+COUNTA($H110:$K110)-COUNT($H110:$K110))&gt;0,"Avance fuera de rango 0-100%"&amp;" · ","")&amp;IF(OR(AND($I110&lt;&gt;"",$I110&lt;$H110),AND($J110&lt;&gt;"",$J110&lt;MAX($H110:$I110)),AND($K110&lt;&gt;"",$K110&lt;MAX($H110:$J110))),"Avance semanal decreciente"&amp;" · ","")&amp;IF(AND(ISNUMBER($F110),$F110&lt;FechaRef,N($L110)&lt;1),"Vencida"&amp;" · ","")&amp;IF(AND(ObsObligatoria="Sí",ISNUMBER($F110),$F110&lt;FechaRef,N($L110)&lt;1,$N110=""),"Vencida sin observación"&amp;" · ",""))-3)))</f>
        <v/>
      </c>
      <c r="P110" s="69">
        <f>IF(NOT((COUNTA($B110:$K110)+COUNTA($N110))&gt;0),"",IF(AND($S110="Sub",N($R110)&gt;0),IF(ISNUMBER(INDEX($E$5:$E$1000,$R110-4)),DATE(YEAR(INDEX($E$5:$E$1000,$R110-4)),MONTH(INDEX($E$5:$E$1000,$R110-4)),1),IF(ISNUMBER(INDEX($F$5:$F$1000,$R110-4)),DATE(YEAR(INDEX($F$5:$F$1000,$R110-4)),MONTH(INDEX($F$5:$F$1000,$R110-4)),1),MesCiclo)),IF(ISNUMBER($E110),DATE(YEAR($E110),MONTH($E110),1),IF(ISNUMBER($F110),DATE(YEAR($F110),MONTH($F110),1),MesCiclo))))</f>
        <v/>
      </c>
      <c r="Q110" s="70">
        <f>IF(OR($P110="",$P110&lt;&gt;MesCiclo),"",COUNTIF($P$5:$P110,MesCiclo))</f>
        <v/>
      </c>
      <c r="R110" s="70">
        <f>IF($S110="","",IF($S110="Macro",ROW(),IFERROR(LOOKUP(2,1/($S$5:$S110="Macro"),ROW($S$5:$S110)),0)))</f>
        <v/>
      </c>
      <c r="S110" s="70">
        <f>IF(NOT((COUNTA($B110:$K110)+COUNTA($N110))&gt;0),"",IF($B110&lt;&gt;"","Macro",IF($C110&lt;&gt;"","Sub","Macro")))</f>
        <v/>
      </c>
      <c r="T110" s="70">
        <f>IF($S110="Macro",COUNTIFS($R$5:$R$1000,ROW(),$S$5:$S$1000,"Sub"),"")</f>
        <v/>
      </c>
      <c r="U110" s="70">
        <f>IF($S110="","",IF(ISNUMBER($H110),$H110,0))</f>
        <v/>
      </c>
      <c r="V110" s="70">
        <f>IF($S110="","",IF(ISNUMBER($I110),$I110,$U110))</f>
        <v/>
      </c>
      <c r="W110" s="70">
        <f>IF($S110="","",IF(ISNUMBER($J110),$J110,$V110))</f>
        <v/>
      </c>
      <c r="X110" s="70">
        <f>IF($S110="","",IF(ISNUMBER($K110),$K110,$W110))</f>
        <v/>
      </c>
      <c r="Y110" s="70">
        <f>IF($S110="","",IF(N($T110)&gt;0,AVERAGEIFS($U$5:$U$1000,$R$5:$R$1000,ROW(),$S$5:$S$1000,"Sub"),$U110))</f>
        <v/>
      </c>
      <c r="Z110" s="70">
        <f>IF($S110="","",IF(N($T110)&gt;0,AVERAGEIFS($V$5:$V$1000,$R$5:$R$1000,ROW(),$S$5:$S$1000,"Sub"),$V110))</f>
        <v/>
      </c>
      <c r="AA110" s="70">
        <f>IF($S110="","",IF(N($T110)&gt;0,AVERAGEIFS($W$5:$W$1000,$R$5:$R$1000,ROW(),$S$5:$S$1000,"Sub"),$W110))</f>
        <v/>
      </c>
      <c r="AB110" s="70">
        <f>IF($S110="","",IF(N($T110)&gt;0,AVERAGEIFS($X$5:$X$1000,$R$5:$R$1000,ROW(),$S$5:$S$1000,"Sub"),$X110))</f>
        <v/>
      </c>
    </row>
    <row r="111">
      <c r="A111" s="61">
        <f>IF(NOT((COUNTA($B111:$K111)+COUNTA($N111))&gt;0),"",IF($S111="Macro",COUNTIFS($S$5:$S111,"Macro",$P$5:$P111,$P111),IF(N($R111)=0,"?",COUNTIFS(INDEX($S$5:$S$1000,1):INDEX($S$5:$S$1000,$R111-4),"Macro",INDEX($P$5:$P$1000,1):INDEX($P$5:$P$1000,$R111-4),INDEX($P$5:$P$1000,$R111-4))&amp;"."&amp;COUNTIFS($R$5:$R111,$R111,$S$5:$S111,"Sub"))))</f>
        <v/>
      </c>
      <c r="B111" s="62" t="n"/>
      <c r="C111" s="63" t="n"/>
      <c r="D111" s="62" t="n"/>
      <c r="E111" s="64" t="n"/>
      <c r="F111" s="64" t="n"/>
      <c r="G111" s="65" t="n"/>
      <c r="H111" s="66" t="n"/>
      <c r="I111" s="66" t="n"/>
      <c r="J111" s="66" t="n"/>
      <c r="K111" s="66" t="n"/>
      <c r="L111" s="67">
        <f>IF(NOT((COUNTA($B111:$K111)+COUNTA($N111))&gt;0),"",IF(N($T111)&gt;0,$AB111,IFERROR(LOOKUP(2,1/(H111:K111&lt;&gt;""),H111:K111),0)))</f>
        <v/>
      </c>
      <c r="M111" s="61">
        <f>IF(L111="","",IF(L111&gt;=1,"Completado",IF(L111&gt;0,"En curso","Pendiente")))</f>
        <v/>
      </c>
      <c r="N111" s="62" t="n"/>
      <c r="O111" s="68">
        <f>IF(NOT((COUNTA($B111:$K111)+COUNTA($N111))&gt;0),"",IF((IF(AND($S111="Macro",$B111=""),"Macroactividad vacía"&amp;" · ","")&amp;IF(AND($B111&lt;&gt;"",$C111&lt;&gt;""),"Escriba la subactividad en otra fila, debajo de su macroactividad"&amp;" · ","")&amp;IF(AND($S111="Sub",N($R111)=0),"Subactividad sin macroactividad arriba"&amp;" · ","")&amp;IF($D111="","Sin responsable"&amp;" · ","")&amp;IF($E111="","Sin fecha de inicio"&amp;" · ","")&amp;IF($F111="","Sin fecha límite"&amp;" · ","")&amp;IF(OR(AND($E111&lt;&gt;"",NOT(ISNUMBER($E111))),AND($F111&lt;&gt;"",NOT(ISNUMBER($F111)))),"Fecha no válida"&amp;" · ","")&amp;IF(AND(ISNUMBER($E111),ISNUMBER($F111),$E111&gt;$F111),"Inicio posterior a fecha límite"&amp;" · ","")&amp;IF(AND($S111="Macro",$G111=""),"Peso vacío"&amp;" · ","")&amp;IF(AND($S111="Macro",$G111&lt;&gt;"",OR(NOT(ISNUMBER($G111)),$G111&lt;=0,$G111&gt;1)),"Peso fuera de rango"&amp;" · ","")&amp;IF(AND($S111="Sub",$G111&lt;&gt;""),"Las subactividades no llevan peso"&amp;" · ","")&amp;IF(AND($S111="Macro",ABS(SUMIFS($G$5:$G$1000,$P$5:$P$1000,$P111,$S$5:$S$1000,"Macro")-1)&gt;0.0001),"Pesos del mes suman "&amp;TEXT(SUMIFS($G$5:$G$1000,$P$5:$P$1000,$P111,$S$5:$S$1000,"Macro"),"0%")&amp;" · ","")&amp;IF(AND(N($T111)&gt;0,COUNT($H111:$K111)&gt;0),"Con subactividades: deje vacías las semanas (se calculan solas)"&amp;" · ","")&amp;IF((COUNTIF($H111:$K111,"&gt;1")+COUNTIF($H111:$K111,"&lt;0")+COUNTA($H111:$K111)-COUNT($H111:$K111))&gt;0,"Avance fuera de rango 0-100%"&amp;" · ","")&amp;IF(OR(AND($I111&lt;&gt;"",$I111&lt;$H111),AND($J111&lt;&gt;"",$J111&lt;MAX($H111:$I111)),AND($K111&lt;&gt;"",$K111&lt;MAX($H111:$J111))),"Avance semanal decreciente"&amp;" · ","")&amp;IF(AND(ISNUMBER($F111),$F111&lt;FechaRef,N($L111)&lt;1),"Vencida"&amp;" · ","")&amp;IF(AND(ObsObligatoria="Sí",ISNUMBER($F111),$F111&lt;FechaRef,N($L111)&lt;1,$N111=""),"Vencida sin observación"&amp;" · ",""))="","✔ OK","⚠ "&amp;LEFT(IF(AND($S111="Macro",$B111=""),"Macroactividad vacía"&amp;" · ","")&amp;IF(AND($B111&lt;&gt;"",$C111&lt;&gt;""),"Escriba la subactividad en otra fila, debajo de su macroactividad"&amp;" · ","")&amp;IF(AND($S111="Sub",N($R111)=0),"Subactividad sin macroactividad arriba"&amp;" · ","")&amp;IF($D111="","Sin responsable"&amp;" · ","")&amp;IF($E111="","Sin fecha de inicio"&amp;" · ","")&amp;IF($F111="","Sin fecha límite"&amp;" · ","")&amp;IF(OR(AND($E111&lt;&gt;"",NOT(ISNUMBER($E111))),AND($F111&lt;&gt;"",NOT(ISNUMBER($F111)))),"Fecha no válida"&amp;" · ","")&amp;IF(AND(ISNUMBER($E111),ISNUMBER($F111),$E111&gt;$F111),"Inicio posterior a fecha límite"&amp;" · ","")&amp;IF(AND($S111="Macro",$G111=""),"Peso vacío"&amp;" · ","")&amp;IF(AND($S111="Macro",$G111&lt;&gt;"",OR(NOT(ISNUMBER($G111)),$G111&lt;=0,$G111&gt;1)),"Peso fuera de rango"&amp;" · ","")&amp;IF(AND($S111="Sub",$G111&lt;&gt;""),"Las subactividades no llevan peso"&amp;" · ","")&amp;IF(AND($S111="Macro",ABS(SUMIFS($G$5:$G$1000,$P$5:$P$1000,$P111,$S$5:$S$1000,"Macro")-1)&gt;0.0001),"Pesos del mes suman "&amp;TEXT(SUMIFS($G$5:$G$1000,$P$5:$P$1000,$P111,$S$5:$S$1000,"Macro"),"0%")&amp;" · ","")&amp;IF(AND(N($T111)&gt;0,COUNT($H111:$K111)&gt;0),"Con subactividades: deje vacías las semanas (se calculan solas)"&amp;" · ","")&amp;IF((COUNTIF($H111:$K111,"&gt;1")+COUNTIF($H111:$K111,"&lt;0")+COUNTA($H111:$K111)-COUNT($H111:$K111))&gt;0,"Avance fuera de rango 0-100%"&amp;" · ","")&amp;IF(OR(AND($I111&lt;&gt;"",$I111&lt;$H111),AND($J111&lt;&gt;"",$J111&lt;MAX($H111:$I111)),AND($K111&lt;&gt;"",$K111&lt;MAX($H111:$J111))),"Avance semanal decreciente"&amp;" · ","")&amp;IF(AND(ISNUMBER($F111),$F111&lt;FechaRef,N($L111)&lt;1),"Vencida"&amp;" · ","")&amp;IF(AND(ObsObligatoria="Sí",ISNUMBER($F111),$F111&lt;FechaRef,N($L111)&lt;1,$N111=""),"Vencida sin observación"&amp;" · ",""),LEN(IF(AND($S111="Macro",$B111=""),"Macroactividad vacía"&amp;" · ","")&amp;IF(AND($B111&lt;&gt;"",$C111&lt;&gt;""),"Escriba la subactividad en otra fila, debajo de su macroactividad"&amp;" · ","")&amp;IF(AND($S111="Sub",N($R111)=0),"Subactividad sin macroactividad arriba"&amp;" · ","")&amp;IF($D111="","Sin responsable"&amp;" · ","")&amp;IF($E111="","Sin fecha de inicio"&amp;" · ","")&amp;IF($F111="","Sin fecha límite"&amp;" · ","")&amp;IF(OR(AND($E111&lt;&gt;"",NOT(ISNUMBER($E111))),AND($F111&lt;&gt;"",NOT(ISNUMBER($F111)))),"Fecha no válida"&amp;" · ","")&amp;IF(AND(ISNUMBER($E111),ISNUMBER($F111),$E111&gt;$F111),"Inicio posterior a fecha límite"&amp;" · ","")&amp;IF(AND($S111="Macro",$G111=""),"Peso vacío"&amp;" · ","")&amp;IF(AND($S111="Macro",$G111&lt;&gt;"",OR(NOT(ISNUMBER($G111)),$G111&lt;=0,$G111&gt;1)),"Peso fuera de rango"&amp;" · ","")&amp;IF(AND($S111="Sub",$G111&lt;&gt;""),"Las subactividades no llevan peso"&amp;" · ","")&amp;IF(AND($S111="Macro",ABS(SUMIFS($G$5:$G$1000,$P$5:$P$1000,$P111,$S$5:$S$1000,"Macro")-1)&gt;0.0001),"Pesos del mes suman "&amp;TEXT(SUMIFS($G$5:$G$1000,$P$5:$P$1000,$P111,$S$5:$S$1000,"Macro"),"0%")&amp;" · ","")&amp;IF(AND(N($T111)&gt;0,COUNT($H111:$K111)&gt;0),"Con subactividades: deje vacías las semanas (se calculan solas)"&amp;" · ","")&amp;IF((COUNTIF($H111:$K111,"&gt;1")+COUNTIF($H111:$K111,"&lt;0")+COUNTA($H111:$K111)-COUNT($H111:$K111))&gt;0,"Avance fuera de rango 0-100%"&amp;" · ","")&amp;IF(OR(AND($I111&lt;&gt;"",$I111&lt;$H111),AND($J111&lt;&gt;"",$J111&lt;MAX($H111:$I111)),AND($K111&lt;&gt;"",$K111&lt;MAX($H111:$J111))),"Avance semanal decreciente"&amp;" · ","")&amp;IF(AND(ISNUMBER($F111),$F111&lt;FechaRef,N($L111)&lt;1),"Vencida"&amp;" · ","")&amp;IF(AND(ObsObligatoria="Sí",ISNUMBER($F111),$F111&lt;FechaRef,N($L111)&lt;1,$N111=""),"Vencida sin observación"&amp;" · ",""))-3)))</f>
        <v/>
      </c>
      <c r="P111" s="69">
        <f>IF(NOT((COUNTA($B111:$K111)+COUNTA($N111))&gt;0),"",IF(AND($S111="Sub",N($R111)&gt;0),IF(ISNUMBER(INDEX($E$5:$E$1000,$R111-4)),DATE(YEAR(INDEX($E$5:$E$1000,$R111-4)),MONTH(INDEX($E$5:$E$1000,$R111-4)),1),IF(ISNUMBER(INDEX($F$5:$F$1000,$R111-4)),DATE(YEAR(INDEX($F$5:$F$1000,$R111-4)),MONTH(INDEX($F$5:$F$1000,$R111-4)),1),MesCiclo)),IF(ISNUMBER($E111),DATE(YEAR($E111),MONTH($E111),1),IF(ISNUMBER($F111),DATE(YEAR($F111),MONTH($F111),1),MesCiclo))))</f>
        <v/>
      </c>
      <c r="Q111" s="70">
        <f>IF(OR($P111="",$P111&lt;&gt;MesCiclo),"",COUNTIF($P$5:$P111,MesCiclo))</f>
        <v/>
      </c>
      <c r="R111" s="70">
        <f>IF($S111="","",IF($S111="Macro",ROW(),IFERROR(LOOKUP(2,1/($S$5:$S111="Macro"),ROW($S$5:$S111)),0)))</f>
        <v/>
      </c>
      <c r="S111" s="70">
        <f>IF(NOT((COUNTA($B111:$K111)+COUNTA($N111))&gt;0),"",IF($B111&lt;&gt;"","Macro",IF($C111&lt;&gt;"","Sub","Macro")))</f>
        <v/>
      </c>
      <c r="T111" s="70">
        <f>IF($S111="Macro",COUNTIFS($R$5:$R$1000,ROW(),$S$5:$S$1000,"Sub"),"")</f>
        <v/>
      </c>
      <c r="U111" s="70">
        <f>IF($S111="","",IF(ISNUMBER($H111),$H111,0))</f>
        <v/>
      </c>
      <c r="V111" s="70">
        <f>IF($S111="","",IF(ISNUMBER($I111),$I111,$U111))</f>
        <v/>
      </c>
      <c r="W111" s="70">
        <f>IF($S111="","",IF(ISNUMBER($J111),$J111,$V111))</f>
        <v/>
      </c>
      <c r="X111" s="70">
        <f>IF($S111="","",IF(ISNUMBER($K111),$K111,$W111))</f>
        <v/>
      </c>
      <c r="Y111" s="70">
        <f>IF($S111="","",IF(N($T111)&gt;0,AVERAGEIFS($U$5:$U$1000,$R$5:$R$1000,ROW(),$S$5:$S$1000,"Sub"),$U111))</f>
        <v/>
      </c>
      <c r="Z111" s="70">
        <f>IF($S111="","",IF(N($T111)&gt;0,AVERAGEIFS($V$5:$V$1000,$R$5:$R$1000,ROW(),$S$5:$S$1000,"Sub"),$V111))</f>
        <v/>
      </c>
      <c r="AA111" s="70">
        <f>IF($S111="","",IF(N($T111)&gt;0,AVERAGEIFS($W$5:$W$1000,$R$5:$R$1000,ROW(),$S$5:$S$1000,"Sub"),$W111))</f>
        <v/>
      </c>
      <c r="AB111" s="70">
        <f>IF($S111="","",IF(N($T111)&gt;0,AVERAGEIFS($X$5:$X$1000,$R$5:$R$1000,ROW(),$S$5:$S$1000,"Sub"),$X111))</f>
        <v/>
      </c>
    </row>
    <row r="112">
      <c r="A112" s="61">
        <f>IF(NOT((COUNTA($B112:$K112)+COUNTA($N112))&gt;0),"",IF($S112="Macro",COUNTIFS($S$5:$S112,"Macro",$P$5:$P112,$P112),IF(N($R112)=0,"?",COUNTIFS(INDEX($S$5:$S$1000,1):INDEX($S$5:$S$1000,$R112-4),"Macro",INDEX($P$5:$P$1000,1):INDEX($P$5:$P$1000,$R112-4),INDEX($P$5:$P$1000,$R112-4))&amp;"."&amp;COUNTIFS($R$5:$R112,$R112,$S$5:$S112,"Sub"))))</f>
        <v/>
      </c>
      <c r="B112" s="62" t="n"/>
      <c r="C112" s="63" t="n"/>
      <c r="D112" s="62" t="n"/>
      <c r="E112" s="64" t="n"/>
      <c r="F112" s="64" t="n"/>
      <c r="G112" s="65" t="n"/>
      <c r="H112" s="66" t="n"/>
      <c r="I112" s="66" t="n"/>
      <c r="J112" s="66" t="n"/>
      <c r="K112" s="66" t="n"/>
      <c r="L112" s="67">
        <f>IF(NOT((COUNTA($B112:$K112)+COUNTA($N112))&gt;0),"",IF(N($T112)&gt;0,$AB112,IFERROR(LOOKUP(2,1/(H112:K112&lt;&gt;""),H112:K112),0)))</f>
        <v/>
      </c>
      <c r="M112" s="61">
        <f>IF(L112="","",IF(L112&gt;=1,"Completado",IF(L112&gt;0,"En curso","Pendiente")))</f>
        <v/>
      </c>
      <c r="N112" s="62" t="n"/>
      <c r="O112" s="68">
        <f>IF(NOT((COUNTA($B112:$K112)+COUNTA($N112))&gt;0),"",IF((IF(AND($S112="Macro",$B112=""),"Macroactividad vacía"&amp;" · ","")&amp;IF(AND($B112&lt;&gt;"",$C112&lt;&gt;""),"Escriba la subactividad en otra fila, debajo de su macroactividad"&amp;" · ","")&amp;IF(AND($S112="Sub",N($R112)=0),"Subactividad sin macroactividad arriba"&amp;" · ","")&amp;IF($D112="","Sin responsable"&amp;" · ","")&amp;IF($E112="","Sin fecha de inicio"&amp;" · ","")&amp;IF($F112="","Sin fecha límite"&amp;" · ","")&amp;IF(OR(AND($E112&lt;&gt;"",NOT(ISNUMBER($E112))),AND($F112&lt;&gt;"",NOT(ISNUMBER($F112)))),"Fecha no válida"&amp;" · ","")&amp;IF(AND(ISNUMBER($E112),ISNUMBER($F112),$E112&gt;$F112),"Inicio posterior a fecha límite"&amp;" · ","")&amp;IF(AND($S112="Macro",$G112=""),"Peso vacío"&amp;" · ","")&amp;IF(AND($S112="Macro",$G112&lt;&gt;"",OR(NOT(ISNUMBER($G112)),$G112&lt;=0,$G112&gt;1)),"Peso fuera de rango"&amp;" · ","")&amp;IF(AND($S112="Sub",$G112&lt;&gt;""),"Las subactividades no llevan peso"&amp;" · ","")&amp;IF(AND($S112="Macro",ABS(SUMIFS($G$5:$G$1000,$P$5:$P$1000,$P112,$S$5:$S$1000,"Macro")-1)&gt;0.0001),"Pesos del mes suman "&amp;TEXT(SUMIFS($G$5:$G$1000,$P$5:$P$1000,$P112,$S$5:$S$1000,"Macro"),"0%")&amp;" · ","")&amp;IF(AND(N($T112)&gt;0,COUNT($H112:$K112)&gt;0),"Con subactividades: deje vacías las semanas (se calculan solas)"&amp;" · ","")&amp;IF((COUNTIF($H112:$K112,"&gt;1")+COUNTIF($H112:$K112,"&lt;0")+COUNTA($H112:$K112)-COUNT($H112:$K112))&gt;0,"Avance fuera de rango 0-100%"&amp;" · ","")&amp;IF(OR(AND($I112&lt;&gt;"",$I112&lt;$H112),AND($J112&lt;&gt;"",$J112&lt;MAX($H112:$I112)),AND($K112&lt;&gt;"",$K112&lt;MAX($H112:$J112))),"Avance semanal decreciente"&amp;" · ","")&amp;IF(AND(ISNUMBER($F112),$F112&lt;FechaRef,N($L112)&lt;1),"Vencida"&amp;" · ","")&amp;IF(AND(ObsObligatoria="Sí",ISNUMBER($F112),$F112&lt;FechaRef,N($L112)&lt;1,$N112=""),"Vencida sin observación"&amp;" · ",""))="","✔ OK","⚠ "&amp;LEFT(IF(AND($S112="Macro",$B112=""),"Macroactividad vacía"&amp;" · ","")&amp;IF(AND($B112&lt;&gt;"",$C112&lt;&gt;""),"Escriba la subactividad en otra fila, debajo de su macroactividad"&amp;" · ","")&amp;IF(AND($S112="Sub",N($R112)=0),"Subactividad sin macroactividad arriba"&amp;" · ","")&amp;IF($D112="","Sin responsable"&amp;" · ","")&amp;IF($E112="","Sin fecha de inicio"&amp;" · ","")&amp;IF($F112="","Sin fecha límite"&amp;" · ","")&amp;IF(OR(AND($E112&lt;&gt;"",NOT(ISNUMBER($E112))),AND($F112&lt;&gt;"",NOT(ISNUMBER($F112)))),"Fecha no válida"&amp;" · ","")&amp;IF(AND(ISNUMBER($E112),ISNUMBER($F112),$E112&gt;$F112),"Inicio posterior a fecha límite"&amp;" · ","")&amp;IF(AND($S112="Macro",$G112=""),"Peso vacío"&amp;" · ","")&amp;IF(AND($S112="Macro",$G112&lt;&gt;"",OR(NOT(ISNUMBER($G112)),$G112&lt;=0,$G112&gt;1)),"Peso fuera de rango"&amp;" · ","")&amp;IF(AND($S112="Sub",$G112&lt;&gt;""),"Las subactividades no llevan peso"&amp;" · ","")&amp;IF(AND($S112="Macro",ABS(SUMIFS($G$5:$G$1000,$P$5:$P$1000,$P112,$S$5:$S$1000,"Macro")-1)&gt;0.0001),"Pesos del mes suman "&amp;TEXT(SUMIFS($G$5:$G$1000,$P$5:$P$1000,$P112,$S$5:$S$1000,"Macro"),"0%")&amp;" · ","")&amp;IF(AND(N($T112)&gt;0,COUNT($H112:$K112)&gt;0),"Con subactividades: deje vacías las semanas (se calculan solas)"&amp;" · ","")&amp;IF((COUNTIF($H112:$K112,"&gt;1")+COUNTIF($H112:$K112,"&lt;0")+COUNTA($H112:$K112)-COUNT($H112:$K112))&gt;0,"Avance fuera de rango 0-100%"&amp;" · ","")&amp;IF(OR(AND($I112&lt;&gt;"",$I112&lt;$H112),AND($J112&lt;&gt;"",$J112&lt;MAX($H112:$I112)),AND($K112&lt;&gt;"",$K112&lt;MAX($H112:$J112))),"Avance semanal decreciente"&amp;" · ","")&amp;IF(AND(ISNUMBER($F112),$F112&lt;FechaRef,N($L112)&lt;1),"Vencida"&amp;" · ","")&amp;IF(AND(ObsObligatoria="Sí",ISNUMBER($F112),$F112&lt;FechaRef,N($L112)&lt;1,$N112=""),"Vencida sin observación"&amp;" · ",""),LEN(IF(AND($S112="Macro",$B112=""),"Macroactividad vacía"&amp;" · ","")&amp;IF(AND($B112&lt;&gt;"",$C112&lt;&gt;""),"Escriba la subactividad en otra fila, debajo de su macroactividad"&amp;" · ","")&amp;IF(AND($S112="Sub",N($R112)=0),"Subactividad sin macroactividad arriba"&amp;" · ","")&amp;IF($D112="","Sin responsable"&amp;" · ","")&amp;IF($E112="","Sin fecha de inicio"&amp;" · ","")&amp;IF($F112="","Sin fecha límite"&amp;" · ","")&amp;IF(OR(AND($E112&lt;&gt;"",NOT(ISNUMBER($E112))),AND($F112&lt;&gt;"",NOT(ISNUMBER($F112)))),"Fecha no válida"&amp;" · ","")&amp;IF(AND(ISNUMBER($E112),ISNUMBER($F112),$E112&gt;$F112),"Inicio posterior a fecha límite"&amp;" · ","")&amp;IF(AND($S112="Macro",$G112=""),"Peso vacío"&amp;" · ","")&amp;IF(AND($S112="Macro",$G112&lt;&gt;"",OR(NOT(ISNUMBER($G112)),$G112&lt;=0,$G112&gt;1)),"Peso fuera de rango"&amp;" · ","")&amp;IF(AND($S112="Sub",$G112&lt;&gt;""),"Las subactividades no llevan peso"&amp;" · ","")&amp;IF(AND($S112="Macro",ABS(SUMIFS($G$5:$G$1000,$P$5:$P$1000,$P112,$S$5:$S$1000,"Macro")-1)&gt;0.0001),"Pesos del mes suman "&amp;TEXT(SUMIFS($G$5:$G$1000,$P$5:$P$1000,$P112,$S$5:$S$1000,"Macro"),"0%")&amp;" · ","")&amp;IF(AND(N($T112)&gt;0,COUNT($H112:$K112)&gt;0),"Con subactividades: deje vacías las semanas (se calculan solas)"&amp;" · ","")&amp;IF((COUNTIF($H112:$K112,"&gt;1")+COUNTIF($H112:$K112,"&lt;0")+COUNTA($H112:$K112)-COUNT($H112:$K112))&gt;0,"Avance fuera de rango 0-100%"&amp;" · ","")&amp;IF(OR(AND($I112&lt;&gt;"",$I112&lt;$H112),AND($J112&lt;&gt;"",$J112&lt;MAX($H112:$I112)),AND($K112&lt;&gt;"",$K112&lt;MAX($H112:$J112))),"Avance semanal decreciente"&amp;" · ","")&amp;IF(AND(ISNUMBER($F112),$F112&lt;FechaRef,N($L112)&lt;1),"Vencida"&amp;" · ","")&amp;IF(AND(ObsObligatoria="Sí",ISNUMBER($F112),$F112&lt;FechaRef,N($L112)&lt;1,$N112=""),"Vencida sin observación"&amp;" · ",""))-3)))</f>
        <v/>
      </c>
      <c r="P112" s="69">
        <f>IF(NOT((COUNTA($B112:$K112)+COUNTA($N112))&gt;0),"",IF(AND($S112="Sub",N($R112)&gt;0),IF(ISNUMBER(INDEX($E$5:$E$1000,$R112-4)),DATE(YEAR(INDEX($E$5:$E$1000,$R112-4)),MONTH(INDEX($E$5:$E$1000,$R112-4)),1),IF(ISNUMBER(INDEX($F$5:$F$1000,$R112-4)),DATE(YEAR(INDEX($F$5:$F$1000,$R112-4)),MONTH(INDEX($F$5:$F$1000,$R112-4)),1),MesCiclo)),IF(ISNUMBER($E112),DATE(YEAR($E112),MONTH($E112),1),IF(ISNUMBER($F112),DATE(YEAR($F112),MONTH($F112),1),MesCiclo))))</f>
        <v/>
      </c>
      <c r="Q112" s="70">
        <f>IF(OR($P112="",$P112&lt;&gt;MesCiclo),"",COUNTIF($P$5:$P112,MesCiclo))</f>
        <v/>
      </c>
      <c r="R112" s="70">
        <f>IF($S112="","",IF($S112="Macro",ROW(),IFERROR(LOOKUP(2,1/($S$5:$S112="Macro"),ROW($S$5:$S112)),0)))</f>
        <v/>
      </c>
      <c r="S112" s="70">
        <f>IF(NOT((COUNTA($B112:$K112)+COUNTA($N112))&gt;0),"",IF($B112&lt;&gt;"","Macro",IF($C112&lt;&gt;"","Sub","Macro")))</f>
        <v/>
      </c>
      <c r="T112" s="70">
        <f>IF($S112="Macro",COUNTIFS($R$5:$R$1000,ROW(),$S$5:$S$1000,"Sub"),"")</f>
        <v/>
      </c>
      <c r="U112" s="70">
        <f>IF($S112="","",IF(ISNUMBER($H112),$H112,0))</f>
        <v/>
      </c>
      <c r="V112" s="70">
        <f>IF($S112="","",IF(ISNUMBER($I112),$I112,$U112))</f>
        <v/>
      </c>
      <c r="W112" s="70">
        <f>IF($S112="","",IF(ISNUMBER($J112),$J112,$V112))</f>
        <v/>
      </c>
      <c r="X112" s="70">
        <f>IF($S112="","",IF(ISNUMBER($K112),$K112,$W112))</f>
        <v/>
      </c>
      <c r="Y112" s="70">
        <f>IF($S112="","",IF(N($T112)&gt;0,AVERAGEIFS($U$5:$U$1000,$R$5:$R$1000,ROW(),$S$5:$S$1000,"Sub"),$U112))</f>
        <v/>
      </c>
      <c r="Z112" s="70">
        <f>IF($S112="","",IF(N($T112)&gt;0,AVERAGEIFS($V$5:$V$1000,$R$5:$R$1000,ROW(),$S$5:$S$1000,"Sub"),$V112))</f>
        <v/>
      </c>
      <c r="AA112" s="70">
        <f>IF($S112="","",IF(N($T112)&gt;0,AVERAGEIFS($W$5:$W$1000,$R$5:$R$1000,ROW(),$S$5:$S$1000,"Sub"),$W112))</f>
        <v/>
      </c>
      <c r="AB112" s="70">
        <f>IF($S112="","",IF(N($T112)&gt;0,AVERAGEIFS($X$5:$X$1000,$R$5:$R$1000,ROW(),$S$5:$S$1000,"Sub"),$X112))</f>
        <v/>
      </c>
    </row>
    <row r="113">
      <c r="A113" s="61">
        <f>IF(NOT((COUNTA($B113:$K113)+COUNTA($N113))&gt;0),"",IF($S113="Macro",COUNTIFS($S$5:$S113,"Macro",$P$5:$P113,$P113),IF(N($R113)=0,"?",COUNTIFS(INDEX($S$5:$S$1000,1):INDEX($S$5:$S$1000,$R113-4),"Macro",INDEX($P$5:$P$1000,1):INDEX($P$5:$P$1000,$R113-4),INDEX($P$5:$P$1000,$R113-4))&amp;"."&amp;COUNTIFS($R$5:$R113,$R113,$S$5:$S113,"Sub"))))</f>
        <v/>
      </c>
      <c r="B113" s="62" t="n"/>
      <c r="C113" s="63" t="n"/>
      <c r="D113" s="62" t="n"/>
      <c r="E113" s="64" t="n"/>
      <c r="F113" s="64" t="n"/>
      <c r="G113" s="65" t="n"/>
      <c r="H113" s="66" t="n"/>
      <c r="I113" s="66" t="n"/>
      <c r="J113" s="66" t="n"/>
      <c r="K113" s="66" t="n"/>
      <c r="L113" s="67">
        <f>IF(NOT((COUNTA($B113:$K113)+COUNTA($N113))&gt;0),"",IF(N($T113)&gt;0,$AB113,IFERROR(LOOKUP(2,1/(H113:K113&lt;&gt;""),H113:K113),0)))</f>
        <v/>
      </c>
      <c r="M113" s="61">
        <f>IF(L113="","",IF(L113&gt;=1,"Completado",IF(L113&gt;0,"En curso","Pendiente")))</f>
        <v/>
      </c>
      <c r="N113" s="62" t="n"/>
      <c r="O113" s="68">
        <f>IF(NOT((COUNTA($B113:$K113)+COUNTA($N113))&gt;0),"",IF((IF(AND($S113="Macro",$B113=""),"Macroactividad vacía"&amp;" · ","")&amp;IF(AND($B113&lt;&gt;"",$C113&lt;&gt;""),"Escriba la subactividad en otra fila, debajo de su macroactividad"&amp;" · ","")&amp;IF(AND($S113="Sub",N($R113)=0),"Subactividad sin macroactividad arriba"&amp;" · ","")&amp;IF($D113="","Sin responsable"&amp;" · ","")&amp;IF($E113="","Sin fecha de inicio"&amp;" · ","")&amp;IF($F113="","Sin fecha límite"&amp;" · ","")&amp;IF(OR(AND($E113&lt;&gt;"",NOT(ISNUMBER($E113))),AND($F113&lt;&gt;"",NOT(ISNUMBER($F113)))),"Fecha no válida"&amp;" · ","")&amp;IF(AND(ISNUMBER($E113),ISNUMBER($F113),$E113&gt;$F113),"Inicio posterior a fecha límite"&amp;" · ","")&amp;IF(AND($S113="Macro",$G113=""),"Peso vacío"&amp;" · ","")&amp;IF(AND($S113="Macro",$G113&lt;&gt;"",OR(NOT(ISNUMBER($G113)),$G113&lt;=0,$G113&gt;1)),"Peso fuera de rango"&amp;" · ","")&amp;IF(AND($S113="Sub",$G113&lt;&gt;""),"Las subactividades no llevan peso"&amp;" · ","")&amp;IF(AND($S113="Macro",ABS(SUMIFS($G$5:$G$1000,$P$5:$P$1000,$P113,$S$5:$S$1000,"Macro")-1)&gt;0.0001),"Pesos del mes suman "&amp;TEXT(SUMIFS($G$5:$G$1000,$P$5:$P$1000,$P113,$S$5:$S$1000,"Macro"),"0%")&amp;" · ","")&amp;IF(AND(N($T113)&gt;0,COUNT($H113:$K113)&gt;0),"Con subactividades: deje vacías las semanas (se calculan solas)"&amp;" · ","")&amp;IF((COUNTIF($H113:$K113,"&gt;1")+COUNTIF($H113:$K113,"&lt;0")+COUNTA($H113:$K113)-COUNT($H113:$K113))&gt;0,"Avance fuera de rango 0-100%"&amp;" · ","")&amp;IF(OR(AND($I113&lt;&gt;"",$I113&lt;$H113),AND($J113&lt;&gt;"",$J113&lt;MAX($H113:$I113)),AND($K113&lt;&gt;"",$K113&lt;MAX($H113:$J113))),"Avance semanal decreciente"&amp;" · ","")&amp;IF(AND(ISNUMBER($F113),$F113&lt;FechaRef,N($L113)&lt;1),"Vencida"&amp;" · ","")&amp;IF(AND(ObsObligatoria="Sí",ISNUMBER($F113),$F113&lt;FechaRef,N($L113)&lt;1,$N113=""),"Vencida sin observación"&amp;" · ",""))="","✔ OK","⚠ "&amp;LEFT(IF(AND($S113="Macro",$B113=""),"Macroactividad vacía"&amp;" · ","")&amp;IF(AND($B113&lt;&gt;"",$C113&lt;&gt;""),"Escriba la subactividad en otra fila, debajo de su macroactividad"&amp;" · ","")&amp;IF(AND($S113="Sub",N($R113)=0),"Subactividad sin macroactividad arriba"&amp;" · ","")&amp;IF($D113="","Sin responsable"&amp;" · ","")&amp;IF($E113="","Sin fecha de inicio"&amp;" · ","")&amp;IF($F113="","Sin fecha límite"&amp;" · ","")&amp;IF(OR(AND($E113&lt;&gt;"",NOT(ISNUMBER($E113))),AND($F113&lt;&gt;"",NOT(ISNUMBER($F113)))),"Fecha no válida"&amp;" · ","")&amp;IF(AND(ISNUMBER($E113),ISNUMBER($F113),$E113&gt;$F113),"Inicio posterior a fecha límite"&amp;" · ","")&amp;IF(AND($S113="Macro",$G113=""),"Peso vacío"&amp;" · ","")&amp;IF(AND($S113="Macro",$G113&lt;&gt;"",OR(NOT(ISNUMBER($G113)),$G113&lt;=0,$G113&gt;1)),"Peso fuera de rango"&amp;" · ","")&amp;IF(AND($S113="Sub",$G113&lt;&gt;""),"Las subactividades no llevan peso"&amp;" · ","")&amp;IF(AND($S113="Macro",ABS(SUMIFS($G$5:$G$1000,$P$5:$P$1000,$P113,$S$5:$S$1000,"Macro")-1)&gt;0.0001),"Pesos del mes suman "&amp;TEXT(SUMIFS($G$5:$G$1000,$P$5:$P$1000,$P113,$S$5:$S$1000,"Macro"),"0%")&amp;" · ","")&amp;IF(AND(N($T113)&gt;0,COUNT($H113:$K113)&gt;0),"Con subactividades: deje vacías las semanas (se calculan solas)"&amp;" · ","")&amp;IF((COUNTIF($H113:$K113,"&gt;1")+COUNTIF($H113:$K113,"&lt;0")+COUNTA($H113:$K113)-COUNT($H113:$K113))&gt;0,"Avance fuera de rango 0-100%"&amp;" · ","")&amp;IF(OR(AND($I113&lt;&gt;"",$I113&lt;$H113),AND($J113&lt;&gt;"",$J113&lt;MAX($H113:$I113)),AND($K113&lt;&gt;"",$K113&lt;MAX($H113:$J113))),"Avance semanal decreciente"&amp;" · ","")&amp;IF(AND(ISNUMBER($F113),$F113&lt;FechaRef,N($L113)&lt;1),"Vencida"&amp;" · ","")&amp;IF(AND(ObsObligatoria="Sí",ISNUMBER($F113),$F113&lt;FechaRef,N($L113)&lt;1,$N113=""),"Vencida sin observación"&amp;" · ",""),LEN(IF(AND($S113="Macro",$B113=""),"Macroactividad vacía"&amp;" · ","")&amp;IF(AND($B113&lt;&gt;"",$C113&lt;&gt;""),"Escriba la subactividad en otra fila, debajo de su macroactividad"&amp;" · ","")&amp;IF(AND($S113="Sub",N($R113)=0),"Subactividad sin macroactividad arriba"&amp;" · ","")&amp;IF($D113="","Sin responsable"&amp;" · ","")&amp;IF($E113="","Sin fecha de inicio"&amp;" · ","")&amp;IF($F113="","Sin fecha límite"&amp;" · ","")&amp;IF(OR(AND($E113&lt;&gt;"",NOT(ISNUMBER($E113))),AND($F113&lt;&gt;"",NOT(ISNUMBER($F113)))),"Fecha no válida"&amp;" · ","")&amp;IF(AND(ISNUMBER($E113),ISNUMBER($F113),$E113&gt;$F113),"Inicio posterior a fecha límite"&amp;" · ","")&amp;IF(AND($S113="Macro",$G113=""),"Peso vacío"&amp;" · ","")&amp;IF(AND($S113="Macro",$G113&lt;&gt;"",OR(NOT(ISNUMBER($G113)),$G113&lt;=0,$G113&gt;1)),"Peso fuera de rango"&amp;" · ","")&amp;IF(AND($S113="Sub",$G113&lt;&gt;""),"Las subactividades no llevan peso"&amp;" · ","")&amp;IF(AND($S113="Macro",ABS(SUMIFS($G$5:$G$1000,$P$5:$P$1000,$P113,$S$5:$S$1000,"Macro")-1)&gt;0.0001),"Pesos del mes suman "&amp;TEXT(SUMIFS($G$5:$G$1000,$P$5:$P$1000,$P113,$S$5:$S$1000,"Macro"),"0%")&amp;" · ","")&amp;IF(AND(N($T113)&gt;0,COUNT($H113:$K113)&gt;0),"Con subactividades: deje vacías las semanas (se calculan solas)"&amp;" · ","")&amp;IF((COUNTIF($H113:$K113,"&gt;1")+COUNTIF($H113:$K113,"&lt;0")+COUNTA($H113:$K113)-COUNT($H113:$K113))&gt;0,"Avance fuera de rango 0-100%"&amp;" · ","")&amp;IF(OR(AND($I113&lt;&gt;"",$I113&lt;$H113),AND($J113&lt;&gt;"",$J113&lt;MAX($H113:$I113)),AND($K113&lt;&gt;"",$K113&lt;MAX($H113:$J113))),"Avance semanal decreciente"&amp;" · ","")&amp;IF(AND(ISNUMBER($F113),$F113&lt;FechaRef,N($L113)&lt;1),"Vencida"&amp;" · ","")&amp;IF(AND(ObsObligatoria="Sí",ISNUMBER($F113),$F113&lt;FechaRef,N($L113)&lt;1,$N113=""),"Vencida sin observación"&amp;" · ",""))-3)))</f>
        <v/>
      </c>
      <c r="P113" s="69">
        <f>IF(NOT((COUNTA($B113:$K113)+COUNTA($N113))&gt;0),"",IF(AND($S113="Sub",N($R113)&gt;0),IF(ISNUMBER(INDEX($E$5:$E$1000,$R113-4)),DATE(YEAR(INDEX($E$5:$E$1000,$R113-4)),MONTH(INDEX($E$5:$E$1000,$R113-4)),1),IF(ISNUMBER(INDEX($F$5:$F$1000,$R113-4)),DATE(YEAR(INDEX($F$5:$F$1000,$R113-4)),MONTH(INDEX($F$5:$F$1000,$R113-4)),1),MesCiclo)),IF(ISNUMBER($E113),DATE(YEAR($E113),MONTH($E113),1),IF(ISNUMBER($F113),DATE(YEAR($F113),MONTH($F113),1),MesCiclo))))</f>
        <v/>
      </c>
      <c r="Q113" s="70">
        <f>IF(OR($P113="",$P113&lt;&gt;MesCiclo),"",COUNTIF($P$5:$P113,MesCiclo))</f>
        <v/>
      </c>
      <c r="R113" s="70">
        <f>IF($S113="","",IF($S113="Macro",ROW(),IFERROR(LOOKUP(2,1/($S$5:$S113="Macro"),ROW($S$5:$S113)),0)))</f>
        <v/>
      </c>
      <c r="S113" s="70">
        <f>IF(NOT((COUNTA($B113:$K113)+COUNTA($N113))&gt;0),"",IF($B113&lt;&gt;"","Macro",IF($C113&lt;&gt;"","Sub","Macro")))</f>
        <v/>
      </c>
      <c r="T113" s="70">
        <f>IF($S113="Macro",COUNTIFS($R$5:$R$1000,ROW(),$S$5:$S$1000,"Sub"),"")</f>
        <v/>
      </c>
      <c r="U113" s="70">
        <f>IF($S113="","",IF(ISNUMBER($H113),$H113,0))</f>
        <v/>
      </c>
      <c r="V113" s="70">
        <f>IF($S113="","",IF(ISNUMBER($I113),$I113,$U113))</f>
        <v/>
      </c>
      <c r="W113" s="70">
        <f>IF($S113="","",IF(ISNUMBER($J113),$J113,$V113))</f>
        <v/>
      </c>
      <c r="X113" s="70">
        <f>IF($S113="","",IF(ISNUMBER($K113),$K113,$W113))</f>
        <v/>
      </c>
      <c r="Y113" s="70">
        <f>IF($S113="","",IF(N($T113)&gt;0,AVERAGEIFS($U$5:$U$1000,$R$5:$R$1000,ROW(),$S$5:$S$1000,"Sub"),$U113))</f>
        <v/>
      </c>
      <c r="Z113" s="70">
        <f>IF($S113="","",IF(N($T113)&gt;0,AVERAGEIFS($V$5:$V$1000,$R$5:$R$1000,ROW(),$S$5:$S$1000,"Sub"),$V113))</f>
        <v/>
      </c>
      <c r="AA113" s="70">
        <f>IF($S113="","",IF(N($T113)&gt;0,AVERAGEIFS($W$5:$W$1000,$R$5:$R$1000,ROW(),$S$5:$S$1000,"Sub"),$W113))</f>
        <v/>
      </c>
      <c r="AB113" s="70">
        <f>IF($S113="","",IF(N($T113)&gt;0,AVERAGEIFS($X$5:$X$1000,$R$5:$R$1000,ROW(),$S$5:$S$1000,"Sub"),$X113))</f>
        <v/>
      </c>
    </row>
    <row r="114">
      <c r="A114" s="61">
        <f>IF(NOT((COUNTA($B114:$K114)+COUNTA($N114))&gt;0),"",IF($S114="Macro",COUNTIFS($S$5:$S114,"Macro",$P$5:$P114,$P114),IF(N($R114)=0,"?",COUNTIFS(INDEX($S$5:$S$1000,1):INDEX($S$5:$S$1000,$R114-4),"Macro",INDEX($P$5:$P$1000,1):INDEX($P$5:$P$1000,$R114-4),INDEX($P$5:$P$1000,$R114-4))&amp;"."&amp;COUNTIFS($R$5:$R114,$R114,$S$5:$S114,"Sub"))))</f>
        <v/>
      </c>
      <c r="B114" s="62" t="n"/>
      <c r="C114" s="63" t="n"/>
      <c r="D114" s="62" t="n"/>
      <c r="E114" s="64" t="n"/>
      <c r="F114" s="64" t="n"/>
      <c r="G114" s="65" t="n"/>
      <c r="H114" s="66" t="n"/>
      <c r="I114" s="66" t="n"/>
      <c r="J114" s="66" t="n"/>
      <c r="K114" s="66" t="n"/>
      <c r="L114" s="67">
        <f>IF(NOT((COUNTA($B114:$K114)+COUNTA($N114))&gt;0),"",IF(N($T114)&gt;0,$AB114,IFERROR(LOOKUP(2,1/(H114:K114&lt;&gt;""),H114:K114),0)))</f>
        <v/>
      </c>
      <c r="M114" s="61">
        <f>IF(L114="","",IF(L114&gt;=1,"Completado",IF(L114&gt;0,"En curso","Pendiente")))</f>
        <v/>
      </c>
      <c r="N114" s="62" t="n"/>
      <c r="O114" s="68">
        <f>IF(NOT((COUNTA($B114:$K114)+COUNTA($N114))&gt;0),"",IF((IF(AND($S114="Macro",$B114=""),"Macroactividad vacía"&amp;" · ","")&amp;IF(AND($B114&lt;&gt;"",$C114&lt;&gt;""),"Escriba la subactividad en otra fila, debajo de su macroactividad"&amp;" · ","")&amp;IF(AND($S114="Sub",N($R114)=0),"Subactividad sin macroactividad arriba"&amp;" · ","")&amp;IF($D114="","Sin responsable"&amp;" · ","")&amp;IF($E114="","Sin fecha de inicio"&amp;" · ","")&amp;IF($F114="","Sin fecha límite"&amp;" · ","")&amp;IF(OR(AND($E114&lt;&gt;"",NOT(ISNUMBER($E114))),AND($F114&lt;&gt;"",NOT(ISNUMBER($F114)))),"Fecha no válida"&amp;" · ","")&amp;IF(AND(ISNUMBER($E114),ISNUMBER($F114),$E114&gt;$F114),"Inicio posterior a fecha límite"&amp;" · ","")&amp;IF(AND($S114="Macro",$G114=""),"Peso vacío"&amp;" · ","")&amp;IF(AND($S114="Macro",$G114&lt;&gt;"",OR(NOT(ISNUMBER($G114)),$G114&lt;=0,$G114&gt;1)),"Peso fuera de rango"&amp;" · ","")&amp;IF(AND($S114="Sub",$G114&lt;&gt;""),"Las subactividades no llevan peso"&amp;" · ","")&amp;IF(AND($S114="Macro",ABS(SUMIFS($G$5:$G$1000,$P$5:$P$1000,$P114,$S$5:$S$1000,"Macro")-1)&gt;0.0001),"Pesos del mes suman "&amp;TEXT(SUMIFS($G$5:$G$1000,$P$5:$P$1000,$P114,$S$5:$S$1000,"Macro"),"0%")&amp;" · ","")&amp;IF(AND(N($T114)&gt;0,COUNT($H114:$K114)&gt;0),"Con subactividades: deje vacías las semanas (se calculan solas)"&amp;" · ","")&amp;IF((COUNTIF($H114:$K114,"&gt;1")+COUNTIF($H114:$K114,"&lt;0")+COUNTA($H114:$K114)-COUNT($H114:$K114))&gt;0,"Avance fuera de rango 0-100%"&amp;" · ","")&amp;IF(OR(AND($I114&lt;&gt;"",$I114&lt;$H114),AND($J114&lt;&gt;"",$J114&lt;MAX($H114:$I114)),AND($K114&lt;&gt;"",$K114&lt;MAX($H114:$J114))),"Avance semanal decreciente"&amp;" · ","")&amp;IF(AND(ISNUMBER($F114),$F114&lt;FechaRef,N($L114)&lt;1),"Vencida"&amp;" · ","")&amp;IF(AND(ObsObligatoria="Sí",ISNUMBER($F114),$F114&lt;FechaRef,N($L114)&lt;1,$N114=""),"Vencida sin observación"&amp;" · ",""))="","✔ OK","⚠ "&amp;LEFT(IF(AND($S114="Macro",$B114=""),"Macroactividad vacía"&amp;" · ","")&amp;IF(AND($B114&lt;&gt;"",$C114&lt;&gt;""),"Escriba la subactividad en otra fila, debajo de su macroactividad"&amp;" · ","")&amp;IF(AND($S114="Sub",N($R114)=0),"Subactividad sin macroactividad arriba"&amp;" · ","")&amp;IF($D114="","Sin responsable"&amp;" · ","")&amp;IF($E114="","Sin fecha de inicio"&amp;" · ","")&amp;IF($F114="","Sin fecha límite"&amp;" · ","")&amp;IF(OR(AND($E114&lt;&gt;"",NOT(ISNUMBER($E114))),AND($F114&lt;&gt;"",NOT(ISNUMBER($F114)))),"Fecha no válida"&amp;" · ","")&amp;IF(AND(ISNUMBER($E114),ISNUMBER($F114),$E114&gt;$F114),"Inicio posterior a fecha límite"&amp;" · ","")&amp;IF(AND($S114="Macro",$G114=""),"Peso vacío"&amp;" · ","")&amp;IF(AND($S114="Macro",$G114&lt;&gt;"",OR(NOT(ISNUMBER($G114)),$G114&lt;=0,$G114&gt;1)),"Peso fuera de rango"&amp;" · ","")&amp;IF(AND($S114="Sub",$G114&lt;&gt;""),"Las subactividades no llevan peso"&amp;" · ","")&amp;IF(AND($S114="Macro",ABS(SUMIFS($G$5:$G$1000,$P$5:$P$1000,$P114,$S$5:$S$1000,"Macro")-1)&gt;0.0001),"Pesos del mes suman "&amp;TEXT(SUMIFS($G$5:$G$1000,$P$5:$P$1000,$P114,$S$5:$S$1000,"Macro"),"0%")&amp;" · ","")&amp;IF(AND(N($T114)&gt;0,COUNT($H114:$K114)&gt;0),"Con subactividades: deje vacías las semanas (se calculan solas)"&amp;" · ","")&amp;IF((COUNTIF($H114:$K114,"&gt;1")+COUNTIF($H114:$K114,"&lt;0")+COUNTA($H114:$K114)-COUNT($H114:$K114))&gt;0,"Avance fuera de rango 0-100%"&amp;" · ","")&amp;IF(OR(AND($I114&lt;&gt;"",$I114&lt;$H114),AND($J114&lt;&gt;"",$J114&lt;MAX($H114:$I114)),AND($K114&lt;&gt;"",$K114&lt;MAX($H114:$J114))),"Avance semanal decreciente"&amp;" · ","")&amp;IF(AND(ISNUMBER($F114),$F114&lt;FechaRef,N($L114)&lt;1),"Vencida"&amp;" · ","")&amp;IF(AND(ObsObligatoria="Sí",ISNUMBER($F114),$F114&lt;FechaRef,N($L114)&lt;1,$N114=""),"Vencida sin observación"&amp;" · ",""),LEN(IF(AND($S114="Macro",$B114=""),"Macroactividad vacía"&amp;" · ","")&amp;IF(AND($B114&lt;&gt;"",$C114&lt;&gt;""),"Escriba la subactividad en otra fila, debajo de su macroactividad"&amp;" · ","")&amp;IF(AND($S114="Sub",N($R114)=0),"Subactividad sin macroactividad arriba"&amp;" · ","")&amp;IF($D114="","Sin responsable"&amp;" · ","")&amp;IF($E114="","Sin fecha de inicio"&amp;" · ","")&amp;IF($F114="","Sin fecha límite"&amp;" · ","")&amp;IF(OR(AND($E114&lt;&gt;"",NOT(ISNUMBER($E114))),AND($F114&lt;&gt;"",NOT(ISNUMBER($F114)))),"Fecha no válida"&amp;" · ","")&amp;IF(AND(ISNUMBER($E114),ISNUMBER($F114),$E114&gt;$F114),"Inicio posterior a fecha límite"&amp;" · ","")&amp;IF(AND($S114="Macro",$G114=""),"Peso vacío"&amp;" · ","")&amp;IF(AND($S114="Macro",$G114&lt;&gt;"",OR(NOT(ISNUMBER($G114)),$G114&lt;=0,$G114&gt;1)),"Peso fuera de rango"&amp;" · ","")&amp;IF(AND($S114="Sub",$G114&lt;&gt;""),"Las subactividades no llevan peso"&amp;" · ","")&amp;IF(AND($S114="Macro",ABS(SUMIFS($G$5:$G$1000,$P$5:$P$1000,$P114,$S$5:$S$1000,"Macro")-1)&gt;0.0001),"Pesos del mes suman "&amp;TEXT(SUMIFS($G$5:$G$1000,$P$5:$P$1000,$P114,$S$5:$S$1000,"Macro"),"0%")&amp;" · ","")&amp;IF(AND(N($T114)&gt;0,COUNT($H114:$K114)&gt;0),"Con subactividades: deje vacías las semanas (se calculan solas)"&amp;" · ","")&amp;IF((COUNTIF($H114:$K114,"&gt;1")+COUNTIF($H114:$K114,"&lt;0")+COUNTA($H114:$K114)-COUNT($H114:$K114))&gt;0,"Avance fuera de rango 0-100%"&amp;" · ","")&amp;IF(OR(AND($I114&lt;&gt;"",$I114&lt;$H114),AND($J114&lt;&gt;"",$J114&lt;MAX($H114:$I114)),AND($K114&lt;&gt;"",$K114&lt;MAX($H114:$J114))),"Avance semanal decreciente"&amp;" · ","")&amp;IF(AND(ISNUMBER($F114),$F114&lt;FechaRef,N($L114)&lt;1),"Vencida"&amp;" · ","")&amp;IF(AND(ObsObligatoria="Sí",ISNUMBER($F114),$F114&lt;FechaRef,N($L114)&lt;1,$N114=""),"Vencida sin observación"&amp;" · ",""))-3)))</f>
        <v/>
      </c>
      <c r="P114" s="69">
        <f>IF(NOT((COUNTA($B114:$K114)+COUNTA($N114))&gt;0),"",IF(AND($S114="Sub",N($R114)&gt;0),IF(ISNUMBER(INDEX($E$5:$E$1000,$R114-4)),DATE(YEAR(INDEX($E$5:$E$1000,$R114-4)),MONTH(INDEX($E$5:$E$1000,$R114-4)),1),IF(ISNUMBER(INDEX($F$5:$F$1000,$R114-4)),DATE(YEAR(INDEX($F$5:$F$1000,$R114-4)),MONTH(INDEX($F$5:$F$1000,$R114-4)),1),MesCiclo)),IF(ISNUMBER($E114),DATE(YEAR($E114),MONTH($E114),1),IF(ISNUMBER($F114),DATE(YEAR($F114),MONTH($F114),1),MesCiclo))))</f>
        <v/>
      </c>
      <c r="Q114" s="70">
        <f>IF(OR($P114="",$P114&lt;&gt;MesCiclo),"",COUNTIF($P$5:$P114,MesCiclo))</f>
        <v/>
      </c>
      <c r="R114" s="70">
        <f>IF($S114="","",IF($S114="Macro",ROW(),IFERROR(LOOKUP(2,1/($S$5:$S114="Macro"),ROW($S$5:$S114)),0)))</f>
        <v/>
      </c>
      <c r="S114" s="70">
        <f>IF(NOT((COUNTA($B114:$K114)+COUNTA($N114))&gt;0),"",IF($B114&lt;&gt;"","Macro",IF($C114&lt;&gt;"","Sub","Macro")))</f>
        <v/>
      </c>
      <c r="T114" s="70">
        <f>IF($S114="Macro",COUNTIFS($R$5:$R$1000,ROW(),$S$5:$S$1000,"Sub"),"")</f>
        <v/>
      </c>
      <c r="U114" s="70">
        <f>IF($S114="","",IF(ISNUMBER($H114),$H114,0))</f>
        <v/>
      </c>
      <c r="V114" s="70">
        <f>IF($S114="","",IF(ISNUMBER($I114),$I114,$U114))</f>
        <v/>
      </c>
      <c r="W114" s="70">
        <f>IF($S114="","",IF(ISNUMBER($J114),$J114,$V114))</f>
        <v/>
      </c>
      <c r="X114" s="70">
        <f>IF($S114="","",IF(ISNUMBER($K114),$K114,$W114))</f>
        <v/>
      </c>
      <c r="Y114" s="70">
        <f>IF($S114="","",IF(N($T114)&gt;0,AVERAGEIFS($U$5:$U$1000,$R$5:$R$1000,ROW(),$S$5:$S$1000,"Sub"),$U114))</f>
        <v/>
      </c>
      <c r="Z114" s="70">
        <f>IF($S114="","",IF(N($T114)&gt;0,AVERAGEIFS($V$5:$V$1000,$R$5:$R$1000,ROW(),$S$5:$S$1000,"Sub"),$V114))</f>
        <v/>
      </c>
      <c r="AA114" s="70">
        <f>IF($S114="","",IF(N($T114)&gt;0,AVERAGEIFS($W$5:$W$1000,$R$5:$R$1000,ROW(),$S$5:$S$1000,"Sub"),$W114))</f>
        <v/>
      </c>
      <c r="AB114" s="70">
        <f>IF($S114="","",IF(N($T114)&gt;0,AVERAGEIFS($X$5:$X$1000,$R$5:$R$1000,ROW(),$S$5:$S$1000,"Sub"),$X114))</f>
        <v/>
      </c>
    </row>
    <row r="115">
      <c r="A115" s="61">
        <f>IF(NOT((COUNTA($B115:$K115)+COUNTA($N115))&gt;0),"",IF($S115="Macro",COUNTIFS($S$5:$S115,"Macro",$P$5:$P115,$P115),IF(N($R115)=0,"?",COUNTIFS(INDEX($S$5:$S$1000,1):INDEX($S$5:$S$1000,$R115-4),"Macro",INDEX($P$5:$P$1000,1):INDEX($P$5:$P$1000,$R115-4),INDEX($P$5:$P$1000,$R115-4))&amp;"."&amp;COUNTIFS($R$5:$R115,$R115,$S$5:$S115,"Sub"))))</f>
        <v/>
      </c>
      <c r="B115" s="62" t="n"/>
      <c r="C115" s="63" t="n"/>
      <c r="D115" s="62" t="n"/>
      <c r="E115" s="64" t="n"/>
      <c r="F115" s="64" t="n"/>
      <c r="G115" s="65" t="n"/>
      <c r="H115" s="66" t="n"/>
      <c r="I115" s="66" t="n"/>
      <c r="J115" s="66" t="n"/>
      <c r="K115" s="66" t="n"/>
      <c r="L115" s="67">
        <f>IF(NOT((COUNTA($B115:$K115)+COUNTA($N115))&gt;0),"",IF(N($T115)&gt;0,$AB115,IFERROR(LOOKUP(2,1/(H115:K115&lt;&gt;""),H115:K115),0)))</f>
        <v/>
      </c>
      <c r="M115" s="61">
        <f>IF(L115="","",IF(L115&gt;=1,"Completado",IF(L115&gt;0,"En curso","Pendiente")))</f>
        <v/>
      </c>
      <c r="N115" s="62" t="n"/>
      <c r="O115" s="68">
        <f>IF(NOT((COUNTA($B115:$K115)+COUNTA($N115))&gt;0),"",IF((IF(AND($S115="Macro",$B115=""),"Macroactividad vacía"&amp;" · ","")&amp;IF(AND($B115&lt;&gt;"",$C115&lt;&gt;""),"Escriba la subactividad en otra fila, debajo de su macroactividad"&amp;" · ","")&amp;IF(AND($S115="Sub",N($R115)=0),"Subactividad sin macroactividad arriba"&amp;" · ","")&amp;IF($D115="","Sin responsable"&amp;" · ","")&amp;IF($E115="","Sin fecha de inicio"&amp;" · ","")&amp;IF($F115="","Sin fecha límite"&amp;" · ","")&amp;IF(OR(AND($E115&lt;&gt;"",NOT(ISNUMBER($E115))),AND($F115&lt;&gt;"",NOT(ISNUMBER($F115)))),"Fecha no válida"&amp;" · ","")&amp;IF(AND(ISNUMBER($E115),ISNUMBER($F115),$E115&gt;$F115),"Inicio posterior a fecha límite"&amp;" · ","")&amp;IF(AND($S115="Macro",$G115=""),"Peso vacío"&amp;" · ","")&amp;IF(AND($S115="Macro",$G115&lt;&gt;"",OR(NOT(ISNUMBER($G115)),$G115&lt;=0,$G115&gt;1)),"Peso fuera de rango"&amp;" · ","")&amp;IF(AND($S115="Sub",$G115&lt;&gt;""),"Las subactividades no llevan peso"&amp;" · ","")&amp;IF(AND($S115="Macro",ABS(SUMIFS($G$5:$G$1000,$P$5:$P$1000,$P115,$S$5:$S$1000,"Macro")-1)&gt;0.0001),"Pesos del mes suman "&amp;TEXT(SUMIFS($G$5:$G$1000,$P$5:$P$1000,$P115,$S$5:$S$1000,"Macro"),"0%")&amp;" · ","")&amp;IF(AND(N($T115)&gt;0,COUNT($H115:$K115)&gt;0),"Con subactividades: deje vacías las semanas (se calculan solas)"&amp;" · ","")&amp;IF((COUNTIF($H115:$K115,"&gt;1")+COUNTIF($H115:$K115,"&lt;0")+COUNTA($H115:$K115)-COUNT($H115:$K115))&gt;0,"Avance fuera de rango 0-100%"&amp;" · ","")&amp;IF(OR(AND($I115&lt;&gt;"",$I115&lt;$H115),AND($J115&lt;&gt;"",$J115&lt;MAX($H115:$I115)),AND($K115&lt;&gt;"",$K115&lt;MAX($H115:$J115))),"Avance semanal decreciente"&amp;" · ","")&amp;IF(AND(ISNUMBER($F115),$F115&lt;FechaRef,N($L115)&lt;1),"Vencida"&amp;" · ","")&amp;IF(AND(ObsObligatoria="Sí",ISNUMBER($F115),$F115&lt;FechaRef,N($L115)&lt;1,$N115=""),"Vencida sin observación"&amp;" · ",""))="","✔ OK","⚠ "&amp;LEFT(IF(AND($S115="Macro",$B115=""),"Macroactividad vacía"&amp;" · ","")&amp;IF(AND($B115&lt;&gt;"",$C115&lt;&gt;""),"Escriba la subactividad en otra fila, debajo de su macroactividad"&amp;" · ","")&amp;IF(AND($S115="Sub",N($R115)=0),"Subactividad sin macroactividad arriba"&amp;" · ","")&amp;IF($D115="","Sin responsable"&amp;" · ","")&amp;IF($E115="","Sin fecha de inicio"&amp;" · ","")&amp;IF($F115="","Sin fecha límite"&amp;" · ","")&amp;IF(OR(AND($E115&lt;&gt;"",NOT(ISNUMBER($E115))),AND($F115&lt;&gt;"",NOT(ISNUMBER($F115)))),"Fecha no válida"&amp;" · ","")&amp;IF(AND(ISNUMBER($E115),ISNUMBER($F115),$E115&gt;$F115),"Inicio posterior a fecha límite"&amp;" · ","")&amp;IF(AND($S115="Macro",$G115=""),"Peso vacío"&amp;" · ","")&amp;IF(AND($S115="Macro",$G115&lt;&gt;"",OR(NOT(ISNUMBER($G115)),$G115&lt;=0,$G115&gt;1)),"Peso fuera de rango"&amp;" · ","")&amp;IF(AND($S115="Sub",$G115&lt;&gt;""),"Las subactividades no llevan peso"&amp;" · ","")&amp;IF(AND($S115="Macro",ABS(SUMIFS($G$5:$G$1000,$P$5:$P$1000,$P115,$S$5:$S$1000,"Macro")-1)&gt;0.0001),"Pesos del mes suman "&amp;TEXT(SUMIFS($G$5:$G$1000,$P$5:$P$1000,$P115,$S$5:$S$1000,"Macro"),"0%")&amp;" · ","")&amp;IF(AND(N($T115)&gt;0,COUNT($H115:$K115)&gt;0),"Con subactividades: deje vacías las semanas (se calculan solas)"&amp;" · ","")&amp;IF((COUNTIF($H115:$K115,"&gt;1")+COUNTIF($H115:$K115,"&lt;0")+COUNTA($H115:$K115)-COUNT($H115:$K115))&gt;0,"Avance fuera de rango 0-100%"&amp;" · ","")&amp;IF(OR(AND($I115&lt;&gt;"",$I115&lt;$H115),AND($J115&lt;&gt;"",$J115&lt;MAX($H115:$I115)),AND($K115&lt;&gt;"",$K115&lt;MAX($H115:$J115))),"Avance semanal decreciente"&amp;" · ","")&amp;IF(AND(ISNUMBER($F115),$F115&lt;FechaRef,N($L115)&lt;1),"Vencida"&amp;" · ","")&amp;IF(AND(ObsObligatoria="Sí",ISNUMBER($F115),$F115&lt;FechaRef,N($L115)&lt;1,$N115=""),"Vencida sin observación"&amp;" · ",""),LEN(IF(AND($S115="Macro",$B115=""),"Macroactividad vacía"&amp;" · ","")&amp;IF(AND($B115&lt;&gt;"",$C115&lt;&gt;""),"Escriba la subactividad en otra fila, debajo de su macroactividad"&amp;" · ","")&amp;IF(AND($S115="Sub",N($R115)=0),"Subactividad sin macroactividad arriba"&amp;" · ","")&amp;IF($D115="","Sin responsable"&amp;" · ","")&amp;IF($E115="","Sin fecha de inicio"&amp;" · ","")&amp;IF($F115="","Sin fecha límite"&amp;" · ","")&amp;IF(OR(AND($E115&lt;&gt;"",NOT(ISNUMBER($E115))),AND($F115&lt;&gt;"",NOT(ISNUMBER($F115)))),"Fecha no válida"&amp;" · ","")&amp;IF(AND(ISNUMBER($E115),ISNUMBER($F115),$E115&gt;$F115),"Inicio posterior a fecha límite"&amp;" · ","")&amp;IF(AND($S115="Macro",$G115=""),"Peso vacío"&amp;" · ","")&amp;IF(AND($S115="Macro",$G115&lt;&gt;"",OR(NOT(ISNUMBER($G115)),$G115&lt;=0,$G115&gt;1)),"Peso fuera de rango"&amp;" · ","")&amp;IF(AND($S115="Sub",$G115&lt;&gt;""),"Las subactividades no llevan peso"&amp;" · ","")&amp;IF(AND($S115="Macro",ABS(SUMIFS($G$5:$G$1000,$P$5:$P$1000,$P115,$S$5:$S$1000,"Macro")-1)&gt;0.0001),"Pesos del mes suman "&amp;TEXT(SUMIFS($G$5:$G$1000,$P$5:$P$1000,$P115,$S$5:$S$1000,"Macro"),"0%")&amp;" · ","")&amp;IF(AND(N($T115)&gt;0,COUNT($H115:$K115)&gt;0),"Con subactividades: deje vacías las semanas (se calculan solas)"&amp;" · ","")&amp;IF((COUNTIF($H115:$K115,"&gt;1")+COUNTIF($H115:$K115,"&lt;0")+COUNTA($H115:$K115)-COUNT($H115:$K115))&gt;0,"Avance fuera de rango 0-100%"&amp;" · ","")&amp;IF(OR(AND($I115&lt;&gt;"",$I115&lt;$H115),AND($J115&lt;&gt;"",$J115&lt;MAX($H115:$I115)),AND($K115&lt;&gt;"",$K115&lt;MAX($H115:$J115))),"Avance semanal decreciente"&amp;" · ","")&amp;IF(AND(ISNUMBER($F115),$F115&lt;FechaRef,N($L115)&lt;1),"Vencida"&amp;" · ","")&amp;IF(AND(ObsObligatoria="Sí",ISNUMBER($F115),$F115&lt;FechaRef,N($L115)&lt;1,$N115=""),"Vencida sin observación"&amp;" · ",""))-3)))</f>
        <v/>
      </c>
      <c r="P115" s="69">
        <f>IF(NOT((COUNTA($B115:$K115)+COUNTA($N115))&gt;0),"",IF(AND($S115="Sub",N($R115)&gt;0),IF(ISNUMBER(INDEX($E$5:$E$1000,$R115-4)),DATE(YEAR(INDEX($E$5:$E$1000,$R115-4)),MONTH(INDEX($E$5:$E$1000,$R115-4)),1),IF(ISNUMBER(INDEX($F$5:$F$1000,$R115-4)),DATE(YEAR(INDEX($F$5:$F$1000,$R115-4)),MONTH(INDEX($F$5:$F$1000,$R115-4)),1),MesCiclo)),IF(ISNUMBER($E115),DATE(YEAR($E115),MONTH($E115),1),IF(ISNUMBER($F115),DATE(YEAR($F115),MONTH($F115),1),MesCiclo))))</f>
        <v/>
      </c>
      <c r="Q115" s="70">
        <f>IF(OR($P115="",$P115&lt;&gt;MesCiclo),"",COUNTIF($P$5:$P115,MesCiclo))</f>
        <v/>
      </c>
      <c r="R115" s="70">
        <f>IF($S115="","",IF($S115="Macro",ROW(),IFERROR(LOOKUP(2,1/($S$5:$S115="Macro"),ROW($S$5:$S115)),0)))</f>
        <v/>
      </c>
      <c r="S115" s="70">
        <f>IF(NOT((COUNTA($B115:$K115)+COUNTA($N115))&gt;0),"",IF($B115&lt;&gt;"","Macro",IF($C115&lt;&gt;"","Sub","Macro")))</f>
        <v/>
      </c>
      <c r="T115" s="70">
        <f>IF($S115="Macro",COUNTIFS($R$5:$R$1000,ROW(),$S$5:$S$1000,"Sub"),"")</f>
        <v/>
      </c>
      <c r="U115" s="70">
        <f>IF($S115="","",IF(ISNUMBER($H115),$H115,0))</f>
        <v/>
      </c>
      <c r="V115" s="70">
        <f>IF($S115="","",IF(ISNUMBER($I115),$I115,$U115))</f>
        <v/>
      </c>
      <c r="W115" s="70">
        <f>IF($S115="","",IF(ISNUMBER($J115),$J115,$V115))</f>
        <v/>
      </c>
      <c r="X115" s="70">
        <f>IF($S115="","",IF(ISNUMBER($K115),$K115,$W115))</f>
        <v/>
      </c>
      <c r="Y115" s="70">
        <f>IF($S115="","",IF(N($T115)&gt;0,AVERAGEIFS($U$5:$U$1000,$R$5:$R$1000,ROW(),$S$5:$S$1000,"Sub"),$U115))</f>
        <v/>
      </c>
      <c r="Z115" s="70">
        <f>IF($S115="","",IF(N($T115)&gt;0,AVERAGEIFS($V$5:$V$1000,$R$5:$R$1000,ROW(),$S$5:$S$1000,"Sub"),$V115))</f>
        <v/>
      </c>
      <c r="AA115" s="70">
        <f>IF($S115="","",IF(N($T115)&gt;0,AVERAGEIFS($W$5:$W$1000,$R$5:$R$1000,ROW(),$S$5:$S$1000,"Sub"),$W115))</f>
        <v/>
      </c>
      <c r="AB115" s="70">
        <f>IF($S115="","",IF(N($T115)&gt;0,AVERAGEIFS($X$5:$X$1000,$R$5:$R$1000,ROW(),$S$5:$S$1000,"Sub"),$X115))</f>
        <v/>
      </c>
    </row>
    <row r="116">
      <c r="A116" s="61">
        <f>IF(NOT((COUNTA($B116:$K116)+COUNTA($N116))&gt;0),"",IF($S116="Macro",COUNTIFS($S$5:$S116,"Macro",$P$5:$P116,$P116),IF(N($R116)=0,"?",COUNTIFS(INDEX($S$5:$S$1000,1):INDEX($S$5:$S$1000,$R116-4),"Macro",INDEX($P$5:$P$1000,1):INDEX($P$5:$P$1000,$R116-4),INDEX($P$5:$P$1000,$R116-4))&amp;"."&amp;COUNTIFS($R$5:$R116,$R116,$S$5:$S116,"Sub"))))</f>
        <v/>
      </c>
      <c r="B116" s="62" t="n"/>
      <c r="C116" s="63" t="n"/>
      <c r="D116" s="62" t="n"/>
      <c r="E116" s="64" t="n"/>
      <c r="F116" s="64" t="n"/>
      <c r="G116" s="65" t="n"/>
      <c r="H116" s="66" t="n"/>
      <c r="I116" s="66" t="n"/>
      <c r="J116" s="66" t="n"/>
      <c r="K116" s="66" t="n"/>
      <c r="L116" s="67">
        <f>IF(NOT((COUNTA($B116:$K116)+COUNTA($N116))&gt;0),"",IF(N($T116)&gt;0,$AB116,IFERROR(LOOKUP(2,1/(H116:K116&lt;&gt;""),H116:K116),0)))</f>
        <v/>
      </c>
      <c r="M116" s="61">
        <f>IF(L116="","",IF(L116&gt;=1,"Completado",IF(L116&gt;0,"En curso","Pendiente")))</f>
        <v/>
      </c>
      <c r="N116" s="62" t="n"/>
      <c r="O116" s="68">
        <f>IF(NOT((COUNTA($B116:$K116)+COUNTA($N116))&gt;0),"",IF((IF(AND($S116="Macro",$B116=""),"Macroactividad vacía"&amp;" · ","")&amp;IF(AND($B116&lt;&gt;"",$C116&lt;&gt;""),"Escriba la subactividad en otra fila, debajo de su macroactividad"&amp;" · ","")&amp;IF(AND($S116="Sub",N($R116)=0),"Subactividad sin macroactividad arriba"&amp;" · ","")&amp;IF($D116="","Sin responsable"&amp;" · ","")&amp;IF($E116="","Sin fecha de inicio"&amp;" · ","")&amp;IF($F116="","Sin fecha límite"&amp;" · ","")&amp;IF(OR(AND($E116&lt;&gt;"",NOT(ISNUMBER($E116))),AND($F116&lt;&gt;"",NOT(ISNUMBER($F116)))),"Fecha no válida"&amp;" · ","")&amp;IF(AND(ISNUMBER($E116),ISNUMBER($F116),$E116&gt;$F116),"Inicio posterior a fecha límite"&amp;" · ","")&amp;IF(AND($S116="Macro",$G116=""),"Peso vacío"&amp;" · ","")&amp;IF(AND($S116="Macro",$G116&lt;&gt;"",OR(NOT(ISNUMBER($G116)),$G116&lt;=0,$G116&gt;1)),"Peso fuera de rango"&amp;" · ","")&amp;IF(AND($S116="Sub",$G116&lt;&gt;""),"Las subactividades no llevan peso"&amp;" · ","")&amp;IF(AND($S116="Macro",ABS(SUMIFS($G$5:$G$1000,$P$5:$P$1000,$P116,$S$5:$S$1000,"Macro")-1)&gt;0.0001),"Pesos del mes suman "&amp;TEXT(SUMIFS($G$5:$G$1000,$P$5:$P$1000,$P116,$S$5:$S$1000,"Macro"),"0%")&amp;" · ","")&amp;IF(AND(N($T116)&gt;0,COUNT($H116:$K116)&gt;0),"Con subactividades: deje vacías las semanas (se calculan solas)"&amp;" · ","")&amp;IF((COUNTIF($H116:$K116,"&gt;1")+COUNTIF($H116:$K116,"&lt;0")+COUNTA($H116:$K116)-COUNT($H116:$K116))&gt;0,"Avance fuera de rango 0-100%"&amp;" · ","")&amp;IF(OR(AND($I116&lt;&gt;"",$I116&lt;$H116),AND($J116&lt;&gt;"",$J116&lt;MAX($H116:$I116)),AND($K116&lt;&gt;"",$K116&lt;MAX($H116:$J116))),"Avance semanal decreciente"&amp;" · ","")&amp;IF(AND(ISNUMBER($F116),$F116&lt;FechaRef,N($L116)&lt;1),"Vencida"&amp;" · ","")&amp;IF(AND(ObsObligatoria="Sí",ISNUMBER($F116),$F116&lt;FechaRef,N($L116)&lt;1,$N116=""),"Vencida sin observación"&amp;" · ",""))="","✔ OK","⚠ "&amp;LEFT(IF(AND($S116="Macro",$B116=""),"Macroactividad vacía"&amp;" · ","")&amp;IF(AND($B116&lt;&gt;"",$C116&lt;&gt;""),"Escriba la subactividad en otra fila, debajo de su macroactividad"&amp;" · ","")&amp;IF(AND($S116="Sub",N($R116)=0),"Subactividad sin macroactividad arriba"&amp;" · ","")&amp;IF($D116="","Sin responsable"&amp;" · ","")&amp;IF($E116="","Sin fecha de inicio"&amp;" · ","")&amp;IF($F116="","Sin fecha límite"&amp;" · ","")&amp;IF(OR(AND($E116&lt;&gt;"",NOT(ISNUMBER($E116))),AND($F116&lt;&gt;"",NOT(ISNUMBER($F116)))),"Fecha no válida"&amp;" · ","")&amp;IF(AND(ISNUMBER($E116),ISNUMBER($F116),$E116&gt;$F116),"Inicio posterior a fecha límite"&amp;" · ","")&amp;IF(AND($S116="Macro",$G116=""),"Peso vacío"&amp;" · ","")&amp;IF(AND($S116="Macro",$G116&lt;&gt;"",OR(NOT(ISNUMBER($G116)),$G116&lt;=0,$G116&gt;1)),"Peso fuera de rango"&amp;" · ","")&amp;IF(AND($S116="Sub",$G116&lt;&gt;""),"Las subactividades no llevan peso"&amp;" · ","")&amp;IF(AND($S116="Macro",ABS(SUMIFS($G$5:$G$1000,$P$5:$P$1000,$P116,$S$5:$S$1000,"Macro")-1)&gt;0.0001),"Pesos del mes suman "&amp;TEXT(SUMIFS($G$5:$G$1000,$P$5:$P$1000,$P116,$S$5:$S$1000,"Macro"),"0%")&amp;" · ","")&amp;IF(AND(N($T116)&gt;0,COUNT($H116:$K116)&gt;0),"Con subactividades: deje vacías las semanas (se calculan solas)"&amp;" · ","")&amp;IF((COUNTIF($H116:$K116,"&gt;1")+COUNTIF($H116:$K116,"&lt;0")+COUNTA($H116:$K116)-COUNT($H116:$K116))&gt;0,"Avance fuera de rango 0-100%"&amp;" · ","")&amp;IF(OR(AND($I116&lt;&gt;"",$I116&lt;$H116),AND($J116&lt;&gt;"",$J116&lt;MAX($H116:$I116)),AND($K116&lt;&gt;"",$K116&lt;MAX($H116:$J116))),"Avance semanal decreciente"&amp;" · ","")&amp;IF(AND(ISNUMBER($F116),$F116&lt;FechaRef,N($L116)&lt;1),"Vencida"&amp;" · ","")&amp;IF(AND(ObsObligatoria="Sí",ISNUMBER($F116),$F116&lt;FechaRef,N($L116)&lt;1,$N116=""),"Vencida sin observación"&amp;" · ",""),LEN(IF(AND($S116="Macro",$B116=""),"Macroactividad vacía"&amp;" · ","")&amp;IF(AND($B116&lt;&gt;"",$C116&lt;&gt;""),"Escriba la subactividad en otra fila, debajo de su macroactividad"&amp;" · ","")&amp;IF(AND($S116="Sub",N($R116)=0),"Subactividad sin macroactividad arriba"&amp;" · ","")&amp;IF($D116="","Sin responsable"&amp;" · ","")&amp;IF($E116="","Sin fecha de inicio"&amp;" · ","")&amp;IF($F116="","Sin fecha límite"&amp;" · ","")&amp;IF(OR(AND($E116&lt;&gt;"",NOT(ISNUMBER($E116))),AND($F116&lt;&gt;"",NOT(ISNUMBER($F116)))),"Fecha no válida"&amp;" · ","")&amp;IF(AND(ISNUMBER($E116),ISNUMBER($F116),$E116&gt;$F116),"Inicio posterior a fecha límite"&amp;" · ","")&amp;IF(AND($S116="Macro",$G116=""),"Peso vacío"&amp;" · ","")&amp;IF(AND($S116="Macro",$G116&lt;&gt;"",OR(NOT(ISNUMBER($G116)),$G116&lt;=0,$G116&gt;1)),"Peso fuera de rango"&amp;" · ","")&amp;IF(AND($S116="Sub",$G116&lt;&gt;""),"Las subactividades no llevan peso"&amp;" · ","")&amp;IF(AND($S116="Macro",ABS(SUMIFS($G$5:$G$1000,$P$5:$P$1000,$P116,$S$5:$S$1000,"Macro")-1)&gt;0.0001),"Pesos del mes suman "&amp;TEXT(SUMIFS($G$5:$G$1000,$P$5:$P$1000,$P116,$S$5:$S$1000,"Macro"),"0%")&amp;" · ","")&amp;IF(AND(N($T116)&gt;0,COUNT($H116:$K116)&gt;0),"Con subactividades: deje vacías las semanas (se calculan solas)"&amp;" · ","")&amp;IF((COUNTIF($H116:$K116,"&gt;1")+COUNTIF($H116:$K116,"&lt;0")+COUNTA($H116:$K116)-COUNT($H116:$K116))&gt;0,"Avance fuera de rango 0-100%"&amp;" · ","")&amp;IF(OR(AND($I116&lt;&gt;"",$I116&lt;$H116),AND($J116&lt;&gt;"",$J116&lt;MAX($H116:$I116)),AND($K116&lt;&gt;"",$K116&lt;MAX($H116:$J116))),"Avance semanal decreciente"&amp;" · ","")&amp;IF(AND(ISNUMBER($F116),$F116&lt;FechaRef,N($L116)&lt;1),"Vencida"&amp;" · ","")&amp;IF(AND(ObsObligatoria="Sí",ISNUMBER($F116),$F116&lt;FechaRef,N($L116)&lt;1,$N116=""),"Vencida sin observación"&amp;" · ",""))-3)))</f>
        <v/>
      </c>
      <c r="P116" s="69">
        <f>IF(NOT((COUNTA($B116:$K116)+COUNTA($N116))&gt;0),"",IF(AND($S116="Sub",N($R116)&gt;0),IF(ISNUMBER(INDEX($E$5:$E$1000,$R116-4)),DATE(YEAR(INDEX($E$5:$E$1000,$R116-4)),MONTH(INDEX($E$5:$E$1000,$R116-4)),1),IF(ISNUMBER(INDEX($F$5:$F$1000,$R116-4)),DATE(YEAR(INDEX($F$5:$F$1000,$R116-4)),MONTH(INDEX($F$5:$F$1000,$R116-4)),1),MesCiclo)),IF(ISNUMBER($E116),DATE(YEAR($E116),MONTH($E116),1),IF(ISNUMBER($F116),DATE(YEAR($F116),MONTH($F116),1),MesCiclo))))</f>
        <v/>
      </c>
      <c r="Q116" s="70">
        <f>IF(OR($P116="",$P116&lt;&gt;MesCiclo),"",COUNTIF($P$5:$P116,MesCiclo))</f>
        <v/>
      </c>
      <c r="R116" s="70">
        <f>IF($S116="","",IF($S116="Macro",ROW(),IFERROR(LOOKUP(2,1/($S$5:$S116="Macro"),ROW($S$5:$S116)),0)))</f>
        <v/>
      </c>
      <c r="S116" s="70">
        <f>IF(NOT((COUNTA($B116:$K116)+COUNTA($N116))&gt;0),"",IF($B116&lt;&gt;"","Macro",IF($C116&lt;&gt;"","Sub","Macro")))</f>
        <v/>
      </c>
      <c r="T116" s="70">
        <f>IF($S116="Macro",COUNTIFS($R$5:$R$1000,ROW(),$S$5:$S$1000,"Sub"),"")</f>
        <v/>
      </c>
      <c r="U116" s="70">
        <f>IF($S116="","",IF(ISNUMBER($H116),$H116,0))</f>
        <v/>
      </c>
      <c r="V116" s="70">
        <f>IF($S116="","",IF(ISNUMBER($I116),$I116,$U116))</f>
        <v/>
      </c>
      <c r="W116" s="70">
        <f>IF($S116="","",IF(ISNUMBER($J116),$J116,$V116))</f>
        <v/>
      </c>
      <c r="X116" s="70">
        <f>IF($S116="","",IF(ISNUMBER($K116),$K116,$W116))</f>
        <v/>
      </c>
      <c r="Y116" s="70">
        <f>IF($S116="","",IF(N($T116)&gt;0,AVERAGEIFS($U$5:$U$1000,$R$5:$R$1000,ROW(),$S$5:$S$1000,"Sub"),$U116))</f>
        <v/>
      </c>
      <c r="Z116" s="70">
        <f>IF($S116="","",IF(N($T116)&gt;0,AVERAGEIFS($V$5:$V$1000,$R$5:$R$1000,ROW(),$S$5:$S$1000,"Sub"),$V116))</f>
        <v/>
      </c>
      <c r="AA116" s="70">
        <f>IF($S116="","",IF(N($T116)&gt;0,AVERAGEIFS($W$5:$W$1000,$R$5:$R$1000,ROW(),$S$5:$S$1000,"Sub"),$W116))</f>
        <v/>
      </c>
      <c r="AB116" s="70">
        <f>IF($S116="","",IF(N($T116)&gt;0,AVERAGEIFS($X$5:$X$1000,$R$5:$R$1000,ROW(),$S$5:$S$1000,"Sub"),$X116))</f>
        <v/>
      </c>
    </row>
    <row r="117">
      <c r="A117" s="61">
        <f>IF(NOT((COUNTA($B117:$K117)+COUNTA($N117))&gt;0),"",IF($S117="Macro",COUNTIFS($S$5:$S117,"Macro",$P$5:$P117,$P117),IF(N($R117)=0,"?",COUNTIFS(INDEX($S$5:$S$1000,1):INDEX($S$5:$S$1000,$R117-4),"Macro",INDEX($P$5:$P$1000,1):INDEX($P$5:$P$1000,$R117-4),INDEX($P$5:$P$1000,$R117-4))&amp;"."&amp;COUNTIFS($R$5:$R117,$R117,$S$5:$S117,"Sub"))))</f>
        <v/>
      </c>
      <c r="B117" s="62" t="n"/>
      <c r="C117" s="63" t="n"/>
      <c r="D117" s="62" t="n"/>
      <c r="E117" s="64" t="n"/>
      <c r="F117" s="64" t="n"/>
      <c r="G117" s="65" t="n"/>
      <c r="H117" s="66" t="n"/>
      <c r="I117" s="66" t="n"/>
      <c r="J117" s="66" t="n"/>
      <c r="K117" s="66" t="n"/>
      <c r="L117" s="67">
        <f>IF(NOT((COUNTA($B117:$K117)+COUNTA($N117))&gt;0),"",IF(N($T117)&gt;0,$AB117,IFERROR(LOOKUP(2,1/(H117:K117&lt;&gt;""),H117:K117),0)))</f>
        <v/>
      </c>
      <c r="M117" s="61">
        <f>IF(L117="","",IF(L117&gt;=1,"Completado",IF(L117&gt;0,"En curso","Pendiente")))</f>
        <v/>
      </c>
      <c r="N117" s="62" t="n"/>
      <c r="O117" s="68">
        <f>IF(NOT((COUNTA($B117:$K117)+COUNTA($N117))&gt;0),"",IF((IF(AND($S117="Macro",$B117=""),"Macroactividad vacía"&amp;" · ","")&amp;IF(AND($B117&lt;&gt;"",$C117&lt;&gt;""),"Escriba la subactividad en otra fila, debajo de su macroactividad"&amp;" · ","")&amp;IF(AND($S117="Sub",N($R117)=0),"Subactividad sin macroactividad arriba"&amp;" · ","")&amp;IF($D117="","Sin responsable"&amp;" · ","")&amp;IF($E117="","Sin fecha de inicio"&amp;" · ","")&amp;IF($F117="","Sin fecha límite"&amp;" · ","")&amp;IF(OR(AND($E117&lt;&gt;"",NOT(ISNUMBER($E117))),AND($F117&lt;&gt;"",NOT(ISNUMBER($F117)))),"Fecha no válida"&amp;" · ","")&amp;IF(AND(ISNUMBER($E117),ISNUMBER($F117),$E117&gt;$F117),"Inicio posterior a fecha límite"&amp;" · ","")&amp;IF(AND($S117="Macro",$G117=""),"Peso vacío"&amp;" · ","")&amp;IF(AND($S117="Macro",$G117&lt;&gt;"",OR(NOT(ISNUMBER($G117)),$G117&lt;=0,$G117&gt;1)),"Peso fuera de rango"&amp;" · ","")&amp;IF(AND($S117="Sub",$G117&lt;&gt;""),"Las subactividades no llevan peso"&amp;" · ","")&amp;IF(AND($S117="Macro",ABS(SUMIFS($G$5:$G$1000,$P$5:$P$1000,$P117,$S$5:$S$1000,"Macro")-1)&gt;0.0001),"Pesos del mes suman "&amp;TEXT(SUMIFS($G$5:$G$1000,$P$5:$P$1000,$P117,$S$5:$S$1000,"Macro"),"0%")&amp;" · ","")&amp;IF(AND(N($T117)&gt;0,COUNT($H117:$K117)&gt;0),"Con subactividades: deje vacías las semanas (se calculan solas)"&amp;" · ","")&amp;IF((COUNTIF($H117:$K117,"&gt;1")+COUNTIF($H117:$K117,"&lt;0")+COUNTA($H117:$K117)-COUNT($H117:$K117))&gt;0,"Avance fuera de rango 0-100%"&amp;" · ","")&amp;IF(OR(AND($I117&lt;&gt;"",$I117&lt;$H117),AND($J117&lt;&gt;"",$J117&lt;MAX($H117:$I117)),AND($K117&lt;&gt;"",$K117&lt;MAX($H117:$J117))),"Avance semanal decreciente"&amp;" · ","")&amp;IF(AND(ISNUMBER($F117),$F117&lt;FechaRef,N($L117)&lt;1),"Vencida"&amp;" · ","")&amp;IF(AND(ObsObligatoria="Sí",ISNUMBER($F117),$F117&lt;FechaRef,N($L117)&lt;1,$N117=""),"Vencida sin observación"&amp;" · ",""))="","✔ OK","⚠ "&amp;LEFT(IF(AND($S117="Macro",$B117=""),"Macroactividad vacía"&amp;" · ","")&amp;IF(AND($B117&lt;&gt;"",$C117&lt;&gt;""),"Escriba la subactividad en otra fila, debajo de su macroactividad"&amp;" · ","")&amp;IF(AND($S117="Sub",N($R117)=0),"Subactividad sin macroactividad arriba"&amp;" · ","")&amp;IF($D117="","Sin responsable"&amp;" · ","")&amp;IF($E117="","Sin fecha de inicio"&amp;" · ","")&amp;IF($F117="","Sin fecha límite"&amp;" · ","")&amp;IF(OR(AND($E117&lt;&gt;"",NOT(ISNUMBER($E117))),AND($F117&lt;&gt;"",NOT(ISNUMBER($F117)))),"Fecha no válida"&amp;" · ","")&amp;IF(AND(ISNUMBER($E117),ISNUMBER($F117),$E117&gt;$F117),"Inicio posterior a fecha límite"&amp;" · ","")&amp;IF(AND($S117="Macro",$G117=""),"Peso vacío"&amp;" · ","")&amp;IF(AND($S117="Macro",$G117&lt;&gt;"",OR(NOT(ISNUMBER($G117)),$G117&lt;=0,$G117&gt;1)),"Peso fuera de rango"&amp;" · ","")&amp;IF(AND($S117="Sub",$G117&lt;&gt;""),"Las subactividades no llevan peso"&amp;" · ","")&amp;IF(AND($S117="Macro",ABS(SUMIFS($G$5:$G$1000,$P$5:$P$1000,$P117,$S$5:$S$1000,"Macro")-1)&gt;0.0001),"Pesos del mes suman "&amp;TEXT(SUMIFS($G$5:$G$1000,$P$5:$P$1000,$P117,$S$5:$S$1000,"Macro"),"0%")&amp;" · ","")&amp;IF(AND(N($T117)&gt;0,COUNT($H117:$K117)&gt;0),"Con subactividades: deje vacías las semanas (se calculan solas)"&amp;" · ","")&amp;IF((COUNTIF($H117:$K117,"&gt;1")+COUNTIF($H117:$K117,"&lt;0")+COUNTA($H117:$K117)-COUNT($H117:$K117))&gt;0,"Avance fuera de rango 0-100%"&amp;" · ","")&amp;IF(OR(AND($I117&lt;&gt;"",$I117&lt;$H117),AND($J117&lt;&gt;"",$J117&lt;MAX($H117:$I117)),AND($K117&lt;&gt;"",$K117&lt;MAX($H117:$J117))),"Avance semanal decreciente"&amp;" · ","")&amp;IF(AND(ISNUMBER($F117),$F117&lt;FechaRef,N($L117)&lt;1),"Vencida"&amp;" · ","")&amp;IF(AND(ObsObligatoria="Sí",ISNUMBER($F117),$F117&lt;FechaRef,N($L117)&lt;1,$N117=""),"Vencida sin observación"&amp;" · ",""),LEN(IF(AND($S117="Macro",$B117=""),"Macroactividad vacía"&amp;" · ","")&amp;IF(AND($B117&lt;&gt;"",$C117&lt;&gt;""),"Escriba la subactividad en otra fila, debajo de su macroactividad"&amp;" · ","")&amp;IF(AND($S117="Sub",N($R117)=0),"Subactividad sin macroactividad arriba"&amp;" · ","")&amp;IF($D117="","Sin responsable"&amp;" · ","")&amp;IF($E117="","Sin fecha de inicio"&amp;" · ","")&amp;IF($F117="","Sin fecha límite"&amp;" · ","")&amp;IF(OR(AND($E117&lt;&gt;"",NOT(ISNUMBER($E117))),AND($F117&lt;&gt;"",NOT(ISNUMBER($F117)))),"Fecha no válida"&amp;" · ","")&amp;IF(AND(ISNUMBER($E117),ISNUMBER($F117),$E117&gt;$F117),"Inicio posterior a fecha límite"&amp;" · ","")&amp;IF(AND($S117="Macro",$G117=""),"Peso vacío"&amp;" · ","")&amp;IF(AND($S117="Macro",$G117&lt;&gt;"",OR(NOT(ISNUMBER($G117)),$G117&lt;=0,$G117&gt;1)),"Peso fuera de rango"&amp;" · ","")&amp;IF(AND($S117="Sub",$G117&lt;&gt;""),"Las subactividades no llevan peso"&amp;" · ","")&amp;IF(AND($S117="Macro",ABS(SUMIFS($G$5:$G$1000,$P$5:$P$1000,$P117,$S$5:$S$1000,"Macro")-1)&gt;0.0001),"Pesos del mes suman "&amp;TEXT(SUMIFS($G$5:$G$1000,$P$5:$P$1000,$P117,$S$5:$S$1000,"Macro"),"0%")&amp;" · ","")&amp;IF(AND(N($T117)&gt;0,COUNT($H117:$K117)&gt;0),"Con subactividades: deje vacías las semanas (se calculan solas)"&amp;" · ","")&amp;IF((COUNTIF($H117:$K117,"&gt;1")+COUNTIF($H117:$K117,"&lt;0")+COUNTA($H117:$K117)-COUNT($H117:$K117))&gt;0,"Avance fuera de rango 0-100%"&amp;" · ","")&amp;IF(OR(AND($I117&lt;&gt;"",$I117&lt;$H117),AND($J117&lt;&gt;"",$J117&lt;MAX($H117:$I117)),AND($K117&lt;&gt;"",$K117&lt;MAX($H117:$J117))),"Avance semanal decreciente"&amp;" · ","")&amp;IF(AND(ISNUMBER($F117),$F117&lt;FechaRef,N($L117)&lt;1),"Vencida"&amp;" · ","")&amp;IF(AND(ObsObligatoria="Sí",ISNUMBER($F117),$F117&lt;FechaRef,N($L117)&lt;1,$N117=""),"Vencida sin observación"&amp;" · ",""))-3)))</f>
        <v/>
      </c>
      <c r="P117" s="69">
        <f>IF(NOT((COUNTA($B117:$K117)+COUNTA($N117))&gt;0),"",IF(AND($S117="Sub",N($R117)&gt;0),IF(ISNUMBER(INDEX($E$5:$E$1000,$R117-4)),DATE(YEAR(INDEX($E$5:$E$1000,$R117-4)),MONTH(INDEX($E$5:$E$1000,$R117-4)),1),IF(ISNUMBER(INDEX($F$5:$F$1000,$R117-4)),DATE(YEAR(INDEX($F$5:$F$1000,$R117-4)),MONTH(INDEX($F$5:$F$1000,$R117-4)),1),MesCiclo)),IF(ISNUMBER($E117),DATE(YEAR($E117),MONTH($E117),1),IF(ISNUMBER($F117),DATE(YEAR($F117),MONTH($F117),1),MesCiclo))))</f>
        <v/>
      </c>
      <c r="Q117" s="70">
        <f>IF(OR($P117="",$P117&lt;&gt;MesCiclo),"",COUNTIF($P$5:$P117,MesCiclo))</f>
        <v/>
      </c>
      <c r="R117" s="70">
        <f>IF($S117="","",IF($S117="Macro",ROW(),IFERROR(LOOKUP(2,1/($S$5:$S117="Macro"),ROW($S$5:$S117)),0)))</f>
        <v/>
      </c>
      <c r="S117" s="70">
        <f>IF(NOT((COUNTA($B117:$K117)+COUNTA($N117))&gt;0),"",IF($B117&lt;&gt;"","Macro",IF($C117&lt;&gt;"","Sub","Macro")))</f>
        <v/>
      </c>
      <c r="T117" s="70">
        <f>IF($S117="Macro",COUNTIFS($R$5:$R$1000,ROW(),$S$5:$S$1000,"Sub"),"")</f>
        <v/>
      </c>
      <c r="U117" s="70">
        <f>IF($S117="","",IF(ISNUMBER($H117),$H117,0))</f>
        <v/>
      </c>
      <c r="V117" s="70">
        <f>IF($S117="","",IF(ISNUMBER($I117),$I117,$U117))</f>
        <v/>
      </c>
      <c r="W117" s="70">
        <f>IF($S117="","",IF(ISNUMBER($J117),$J117,$V117))</f>
        <v/>
      </c>
      <c r="X117" s="70">
        <f>IF($S117="","",IF(ISNUMBER($K117),$K117,$W117))</f>
        <v/>
      </c>
      <c r="Y117" s="70">
        <f>IF($S117="","",IF(N($T117)&gt;0,AVERAGEIFS($U$5:$U$1000,$R$5:$R$1000,ROW(),$S$5:$S$1000,"Sub"),$U117))</f>
        <v/>
      </c>
      <c r="Z117" s="70">
        <f>IF($S117="","",IF(N($T117)&gt;0,AVERAGEIFS($V$5:$V$1000,$R$5:$R$1000,ROW(),$S$5:$S$1000,"Sub"),$V117))</f>
        <v/>
      </c>
      <c r="AA117" s="70">
        <f>IF($S117="","",IF(N($T117)&gt;0,AVERAGEIFS($W$5:$W$1000,$R$5:$R$1000,ROW(),$S$5:$S$1000,"Sub"),$W117))</f>
        <v/>
      </c>
      <c r="AB117" s="70">
        <f>IF($S117="","",IF(N($T117)&gt;0,AVERAGEIFS($X$5:$X$1000,$R$5:$R$1000,ROW(),$S$5:$S$1000,"Sub"),$X117))</f>
        <v/>
      </c>
    </row>
    <row r="118">
      <c r="A118" s="61">
        <f>IF(NOT((COUNTA($B118:$K118)+COUNTA($N118))&gt;0),"",IF($S118="Macro",COUNTIFS($S$5:$S118,"Macro",$P$5:$P118,$P118),IF(N($R118)=0,"?",COUNTIFS(INDEX($S$5:$S$1000,1):INDEX($S$5:$S$1000,$R118-4),"Macro",INDEX($P$5:$P$1000,1):INDEX($P$5:$P$1000,$R118-4),INDEX($P$5:$P$1000,$R118-4))&amp;"."&amp;COUNTIFS($R$5:$R118,$R118,$S$5:$S118,"Sub"))))</f>
        <v/>
      </c>
      <c r="B118" s="62" t="n"/>
      <c r="C118" s="63" t="n"/>
      <c r="D118" s="62" t="n"/>
      <c r="E118" s="64" t="n"/>
      <c r="F118" s="64" t="n"/>
      <c r="G118" s="65" t="n"/>
      <c r="H118" s="66" t="n"/>
      <c r="I118" s="66" t="n"/>
      <c r="J118" s="66" t="n"/>
      <c r="K118" s="66" t="n"/>
      <c r="L118" s="67">
        <f>IF(NOT((COUNTA($B118:$K118)+COUNTA($N118))&gt;0),"",IF(N($T118)&gt;0,$AB118,IFERROR(LOOKUP(2,1/(H118:K118&lt;&gt;""),H118:K118),0)))</f>
        <v/>
      </c>
      <c r="M118" s="61">
        <f>IF(L118="","",IF(L118&gt;=1,"Completado",IF(L118&gt;0,"En curso","Pendiente")))</f>
        <v/>
      </c>
      <c r="N118" s="62" t="n"/>
      <c r="O118" s="68">
        <f>IF(NOT((COUNTA($B118:$K118)+COUNTA($N118))&gt;0),"",IF((IF(AND($S118="Macro",$B118=""),"Macroactividad vacía"&amp;" · ","")&amp;IF(AND($B118&lt;&gt;"",$C118&lt;&gt;""),"Escriba la subactividad en otra fila, debajo de su macroactividad"&amp;" · ","")&amp;IF(AND($S118="Sub",N($R118)=0),"Subactividad sin macroactividad arriba"&amp;" · ","")&amp;IF($D118="","Sin responsable"&amp;" · ","")&amp;IF($E118="","Sin fecha de inicio"&amp;" · ","")&amp;IF($F118="","Sin fecha límite"&amp;" · ","")&amp;IF(OR(AND($E118&lt;&gt;"",NOT(ISNUMBER($E118))),AND($F118&lt;&gt;"",NOT(ISNUMBER($F118)))),"Fecha no válida"&amp;" · ","")&amp;IF(AND(ISNUMBER($E118),ISNUMBER($F118),$E118&gt;$F118),"Inicio posterior a fecha límite"&amp;" · ","")&amp;IF(AND($S118="Macro",$G118=""),"Peso vacío"&amp;" · ","")&amp;IF(AND($S118="Macro",$G118&lt;&gt;"",OR(NOT(ISNUMBER($G118)),$G118&lt;=0,$G118&gt;1)),"Peso fuera de rango"&amp;" · ","")&amp;IF(AND($S118="Sub",$G118&lt;&gt;""),"Las subactividades no llevan peso"&amp;" · ","")&amp;IF(AND($S118="Macro",ABS(SUMIFS($G$5:$G$1000,$P$5:$P$1000,$P118,$S$5:$S$1000,"Macro")-1)&gt;0.0001),"Pesos del mes suman "&amp;TEXT(SUMIFS($G$5:$G$1000,$P$5:$P$1000,$P118,$S$5:$S$1000,"Macro"),"0%")&amp;" · ","")&amp;IF(AND(N($T118)&gt;0,COUNT($H118:$K118)&gt;0),"Con subactividades: deje vacías las semanas (se calculan solas)"&amp;" · ","")&amp;IF((COUNTIF($H118:$K118,"&gt;1")+COUNTIF($H118:$K118,"&lt;0")+COUNTA($H118:$K118)-COUNT($H118:$K118))&gt;0,"Avance fuera de rango 0-100%"&amp;" · ","")&amp;IF(OR(AND($I118&lt;&gt;"",$I118&lt;$H118),AND($J118&lt;&gt;"",$J118&lt;MAX($H118:$I118)),AND($K118&lt;&gt;"",$K118&lt;MAX($H118:$J118))),"Avance semanal decreciente"&amp;" · ","")&amp;IF(AND(ISNUMBER($F118),$F118&lt;FechaRef,N($L118)&lt;1),"Vencida"&amp;" · ","")&amp;IF(AND(ObsObligatoria="Sí",ISNUMBER($F118),$F118&lt;FechaRef,N($L118)&lt;1,$N118=""),"Vencida sin observación"&amp;" · ",""))="","✔ OK","⚠ "&amp;LEFT(IF(AND($S118="Macro",$B118=""),"Macroactividad vacía"&amp;" · ","")&amp;IF(AND($B118&lt;&gt;"",$C118&lt;&gt;""),"Escriba la subactividad en otra fila, debajo de su macroactividad"&amp;" · ","")&amp;IF(AND($S118="Sub",N($R118)=0),"Subactividad sin macroactividad arriba"&amp;" · ","")&amp;IF($D118="","Sin responsable"&amp;" · ","")&amp;IF($E118="","Sin fecha de inicio"&amp;" · ","")&amp;IF($F118="","Sin fecha límite"&amp;" · ","")&amp;IF(OR(AND($E118&lt;&gt;"",NOT(ISNUMBER($E118))),AND($F118&lt;&gt;"",NOT(ISNUMBER($F118)))),"Fecha no válida"&amp;" · ","")&amp;IF(AND(ISNUMBER($E118),ISNUMBER($F118),$E118&gt;$F118),"Inicio posterior a fecha límite"&amp;" · ","")&amp;IF(AND($S118="Macro",$G118=""),"Peso vacío"&amp;" · ","")&amp;IF(AND($S118="Macro",$G118&lt;&gt;"",OR(NOT(ISNUMBER($G118)),$G118&lt;=0,$G118&gt;1)),"Peso fuera de rango"&amp;" · ","")&amp;IF(AND($S118="Sub",$G118&lt;&gt;""),"Las subactividades no llevan peso"&amp;" · ","")&amp;IF(AND($S118="Macro",ABS(SUMIFS($G$5:$G$1000,$P$5:$P$1000,$P118,$S$5:$S$1000,"Macro")-1)&gt;0.0001),"Pesos del mes suman "&amp;TEXT(SUMIFS($G$5:$G$1000,$P$5:$P$1000,$P118,$S$5:$S$1000,"Macro"),"0%")&amp;" · ","")&amp;IF(AND(N($T118)&gt;0,COUNT($H118:$K118)&gt;0),"Con subactividades: deje vacías las semanas (se calculan solas)"&amp;" · ","")&amp;IF((COUNTIF($H118:$K118,"&gt;1")+COUNTIF($H118:$K118,"&lt;0")+COUNTA($H118:$K118)-COUNT($H118:$K118))&gt;0,"Avance fuera de rango 0-100%"&amp;" · ","")&amp;IF(OR(AND($I118&lt;&gt;"",$I118&lt;$H118),AND($J118&lt;&gt;"",$J118&lt;MAX($H118:$I118)),AND($K118&lt;&gt;"",$K118&lt;MAX($H118:$J118))),"Avance semanal decreciente"&amp;" · ","")&amp;IF(AND(ISNUMBER($F118),$F118&lt;FechaRef,N($L118)&lt;1),"Vencida"&amp;" · ","")&amp;IF(AND(ObsObligatoria="Sí",ISNUMBER($F118),$F118&lt;FechaRef,N($L118)&lt;1,$N118=""),"Vencida sin observación"&amp;" · ",""),LEN(IF(AND($S118="Macro",$B118=""),"Macroactividad vacía"&amp;" · ","")&amp;IF(AND($B118&lt;&gt;"",$C118&lt;&gt;""),"Escriba la subactividad en otra fila, debajo de su macroactividad"&amp;" · ","")&amp;IF(AND($S118="Sub",N($R118)=0),"Subactividad sin macroactividad arriba"&amp;" · ","")&amp;IF($D118="","Sin responsable"&amp;" · ","")&amp;IF($E118="","Sin fecha de inicio"&amp;" · ","")&amp;IF($F118="","Sin fecha límite"&amp;" · ","")&amp;IF(OR(AND($E118&lt;&gt;"",NOT(ISNUMBER($E118))),AND($F118&lt;&gt;"",NOT(ISNUMBER($F118)))),"Fecha no válida"&amp;" · ","")&amp;IF(AND(ISNUMBER($E118),ISNUMBER($F118),$E118&gt;$F118),"Inicio posterior a fecha límite"&amp;" · ","")&amp;IF(AND($S118="Macro",$G118=""),"Peso vacío"&amp;" · ","")&amp;IF(AND($S118="Macro",$G118&lt;&gt;"",OR(NOT(ISNUMBER($G118)),$G118&lt;=0,$G118&gt;1)),"Peso fuera de rango"&amp;" · ","")&amp;IF(AND($S118="Sub",$G118&lt;&gt;""),"Las subactividades no llevan peso"&amp;" · ","")&amp;IF(AND($S118="Macro",ABS(SUMIFS($G$5:$G$1000,$P$5:$P$1000,$P118,$S$5:$S$1000,"Macro")-1)&gt;0.0001),"Pesos del mes suman "&amp;TEXT(SUMIFS($G$5:$G$1000,$P$5:$P$1000,$P118,$S$5:$S$1000,"Macro"),"0%")&amp;" · ","")&amp;IF(AND(N($T118)&gt;0,COUNT($H118:$K118)&gt;0),"Con subactividades: deje vacías las semanas (se calculan solas)"&amp;" · ","")&amp;IF((COUNTIF($H118:$K118,"&gt;1")+COUNTIF($H118:$K118,"&lt;0")+COUNTA($H118:$K118)-COUNT($H118:$K118))&gt;0,"Avance fuera de rango 0-100%"&amp;" · ","")&amp;IF(OR(AND($I118&lt;&gt;"",$I118&lt;$H118),AND($J118&lt;&gt;"",$J118&lt;MAX($H118:$I118)),AND($K118&lt;&gt;"",$K118&lt;MAX($H118:$J118))),"Avance semanal decreciente"&amp;" · ","")&amp;IF(AND(ISNUMBER($F118),$F118&lt;FechaRef,N($L118)&lt;1),"Vencida"&amp;" · ","")&amp;IF(AND(ObsObligatoria="Sí",ISNUMBER($F118),$F118&lt;FechaRef,N($L118)&lt;1,$N118=""),"Vencida sin observación"&amp;" · ",""))-3)))</f>
        <v/>
      </c>
      <c r="P118" s="69">
        <f>IF(NOT((COUNTA($B118:$K118)+COUNTA($N118))&gt;0),"",IF(AND($S118="Sub",N($R118)&gt;0),IF(ISNUMBER(INDEX($E$5:$E$1000,$R118-4)),DATE(YEAR(INDEX($E$5:$E$1000,$R118-4)),MONTH(INDEX($E$5:$E$1000,$R118-4)),1),IF(ISNUMBER(INDEX($F$5:$F$1000,$R118-4)),DATE(YEAR(INDEX($F$5:$F$1000,$R118-4)),MONTH(INDEX($F$5:$F$1000,$R118-4)),1),MesCiclo)),IF(ISNUMBER($E118),DATE(YEAR($E118),MONTH($E118),1),IF(ISNUMBER($F118),DATE(YEAR($F118),MONTH($F118),1),MesCiclo))))</f>
        <v/>
      </c>
      <c r="Q118" s="70">
        <f>IF(OR($P118="",$P118&lt;&gt;MesCiclo),"",COUNTIF($P$5:$P118,MesCiclo))</f>
        <v/>
      </c>
      <c r="R118" s="70">
        <f>IF($S118="","",IF($S118="Macro",ROW(),IFERROR(LOOKUP(2,1/($S$5:$S118="Macro"),ROW($S$5:$S118)),0)))</f>
        <v/>
      </c>
      <c r="S118" s="70">
        <f>IF(NOT((COUNTA($B118:$K118)+COUNTA($N118))&gt;0),"",IF($B118&lt;&gt;"","Macro",IF($C118&lt;&gt;"","Sub","Macro")))</f>
        <v/>
      </c>
      <c r="T118" s="70">
        <f>IF($S118="Macro",COUNTIFS($R$5:$R$1000,ROW(),$S$5:$S$1000,"Sub"),"")</f>
        <v/>
      </c>
      <c r="U118" s="70">
        <f>IF($S118="","",IF(ISNUMBER($H118),$H118,0))</f>
        <v/>
      </c>
      <c r="V118" s="70">
        <f>IF($S118="","",IF(ISNUMBER($I118),$I118,$U118))</f>
        <v/>
      </c>
      <c r="W118" s="70">
        <f>IF($S118="","",IF(ISNUMBER($J118),$J118,$V118))</f>
        <v/>
      </c>
      <c r="X118" s="70">
        <f>IF($S118="","",IF(ISNUMBER($K118),$K118,$W118))</f>
        <v/>
      </c>
      <c r="Y118" s="70">
        <f>IF($S118="","",IF(N($T118)&gt;0,AVERAGEIFS($U$5:$U$1000,$R$5:$R$1000,ROW(),$S$5:$S$1000,"Sub"),$U118))</f>
        <v/>
      </c>
      <c r="Z118" s="70">
        <f>IF($S118="","",IF(N($T118)&gt;0,AVERAGEIFS($V$5:$V$1000,$R$5:$R$1000,ROW(),$S$5:$S$1000,"Sub"),$V118))</f>
        <v/>
      </c>
      <c r="AA118" s="70">
        <f>IF($S118="","",IF(N($T118)&gt;0,AVERAGEIFS($W$5:$W$1000,$R$5:$R$1000,ROW(),$S$5:$S$1000,"Sub"),$W118))</f>
        <v/>
      </c>
      <c r="AB118" s="70">
        <f>IF($S118="","",IF(N($T118)&gt;0,AVERAGEIFS($X$5:$X$1000,$R$5:$R$1000,ROW(),$S$5:$S$1000,"Sub"),$X118))</f>
        <v/>
      </c>
    </row>
    <row r="119">
      <c r="A119" s="61">
        <f>IF(NOT((COUNTA($B119:$K119)+COUNTA($N119))&gt;0),"",IF($S119="Macro",COUNTIFS($S$5:$S119,"Macro",$P$5:$P119,$P119),IF(N($R119)=0,"?",COUNTIFS(INDEX($S$5:$S$1000,1):INDEX($S$5:$S$1000,$R119-4),"Macro",INDEX($P$5:$P$1000,1):INDEX($P$5:$P$1000,$R119-4),INDEX($P$5:$P$1000,$R119-4))&amp;"."&amp;COUNTIFS($R$5:$R119,$R119,$S$5:$S119,"Sub"))))</f>
        <v/>
      </c>
      <c r="B119" s="62" t="n"/>
      <c r="C119" s="63" t="n"/>
      <c r="D119" s="62" t="n"/>
      <c r="E119" s="64" t="n"/>
      <c r="F119" s="64" t="n"/>
      <c r="G119" s="65" t="n"/>
      <c r="H119" s="66" t="n"/>
      <c r="I119" s="66" t="n"/>
      <c r="J119" s="66" t="n"/>
      <c r="K119" s="66" t="n"/>
      <c r="L119" s="67">
        <f>IF(NOT((COUNTA($B119:$K119)+COUNTA($N119))&gt;0),"",IF(N($T119)&gt;0,$AB119,IFERROR(LOOKUP(2,1/(H119:K119&lt;&gt;""),H119:K119),0)))</f>
        <v/>
      </c>
      <c r="M119" s="61">
        <f>IF(L119="","",IF(L119&gt;=1,"Completado",IF(L119&gt;0,"En curso","Pendiente")))</f>
        <v/>
      </c>
      <c r="N119" s="62" t="n"/>
      <c r="O119" s="68">
        <f>IF(NOT((COUNTA($B119:$K119)+COUNTA($N119))&gt;0),"",IF((IF(AND($S119="Macro",$B119=""),"Macroactividad vacía"&amp;" · ","")&amp;IF(AND($B119&lt;&gt;"",$C119&lt;&gt;""),"Escriba la subactividad en otra fila, debajo de su macroactividad"&amp;" · ","")&amp;IF(AND($S119="Sub",N($R119)=0),"Subactividad sin macroactividad arriba"&amp;" · ","")&amp;IF($D119="","Sin responsable"&amp;" · ","")&amp;IF($E119="","Sin fecha de inicio"&amp;" · ","")&amp;IF($F119="","Sin fecha límite"&amp;" · ","")&amp;IF(OR(AND($E119&lt;&gt;"",NOT(ISNUMBER($E119))),AND($F119&lt;&gt;"",NOT(ISNUMBER($F119)))),"Fecha no válida"&amp;" · ","")&amp;IF(AND(ISNUMBER($E119),ISNUMBER($F119),$E119&gt;$F119),"Inicio posterior a fecha límite"&amp;" · ","")&amp;IF(AND($S119="Macro",$G119=""),"Peso vacío"&amp;" · ","")&amp;IF(AND($S119="Macro",$G119&lt;&gt;"",OR(NOT(ISNUMBER($G119)),$G119&lt;=0,$G119&gt;1)),"Peso fuera de rango"&amp;" · ","")&amp;IF(AND($S119="Sub",$G119&lt;&gt;""),"Las subactividades no llevan peso"&amp;" · ","")&amp;IF(AND($S119="Macro",ABS(SUMIFS($G$5:$G$1000,$P$5:$P$1000,$P119,$S$5:$S$1000,"Macro")-1)&gt;0.0001),"Pesos del mes suman "&amp;TEXT(SUMIFS($G$5:$G$1000,$P$5:$P$1000,$P119,$S$5:$S$1000,"Macro"),"0%")&amp;" · ","")&amp;IF(AND(N($T119)&gt;0,COUNT($H119:$K119)&gt;0),"Con subactividades: deje vacías las semanas (se calculan solas)"&amp;" · ","")&amp;IF((COUNTIF($H119:$K119,"&gt;1")+COUNTIF($H119:$K119,"&lt;0")+COUNTA($H119:$K119)-COUNT($H119:$K119))&gt;0,"Avance fuera de rango 0-100%"&amp;" · ","")&amp;IF(OR(AND($I119&lt;&gt;"",$I119&lt;$H119),AND($J119&lt;&gt;"",$J119&lt;MAX($H119:$I119)),AND($K119&lt;&gt;"",$K119&lt;MAX($H119:$J119))),"Avance semanal decreciente"&amp;" · ","")&amp;IF(AND(ISNUMBER($F119),$F119&lt;FechaRef,N($L119)&lt;1),"Vencida"&amp;" · ","")&amp;IF(AND(ObsObligatoria="Sí",ISNUMBER($F119),$F119&lt;FechaRef,N($L119)&lt;1,$N119=""),"Vencida sin observación"&amp;" · ",""))="","✔ OK","⚠ "&amp;LEFT(IF(AND($S119="Macro",$B119=""),"Macroactividad vacía"&amp;" · ","")&amp;IF(AND($B119&lt;&gt;"",$C119&lt;&gt;""),"Escriba la subactividad en otra fila, debajo de su macroactividad"&amp;" · ","")&amp;IF(AND($S119="Sub",N($R119)=0),"Subactividad sin macroactividad arriba"&amp;" · ","")&amp;IF($D119="","Sin responsable"&amp;" · ","")&amp;IF($E119="","Sin fecha de inicio"&amp;" · ","")&amp;IF($F119="","Sin fecha límite"&amp;" · ","")&amp;IF(OR(AND($E119&lt;&gt;"",NOT(ISNUMBER($E119))),AND($F119&lt;&gt;"",NOT(ISNUMBER($F119)))),"Fecha no válida"&amp;" · ","")&amp;IF(AND(ISNUMBER($E119),ISNUMBER($F119),$E119&gt;$F119),"Inicio posterior a fecha límite"&amp;" · ","")&amp;IF(AND($S119="Macro",$G119=""),"Peso vacío"&amp;" · ","")&amp;IF(AND($S119="Macro",$G119&lt;&gt;"",OR(NOT(ISNUMBER($G119)),$G119&lt;=0,$G119&gt;1)),"Peso fuera de rango"&amp;" · ","")&amp;IF(AND($S119="Sub",$G119&lt;&gt;""),"Las subactividades no llevan peso"&amp;" · ","")&amp;IF(AND($S119="Macro",ABS(SUMIFS($G$5:$G$1000,$P$5:$P$1000,$P119,$S$5:$S$1000,"Macro")-1)&gt;0.0001),"Pesos del mes suman "&amp;TEXT(SUMIFS($G$5:$G$1000,$P$5:$P$1000,$P119,$S$5:$S$1000,"Macro"),"0%")&amp;" · ","")&amp;IF(AND(N($T119)&gt;0,COUNT($H119:$K119)&gt;0),"Con subactividades: deje vacías las semanas (se calculan solas)"&amp;" · ","")&amp;IF((COUNTIF($H119:$K119,"&gt;1")+COUNTIF($H119:$K119,"&lt;0")+COUNTA($H119:$K119)-COUNT($H119:$K119))&gt;0,"Avance fuera de rango 0-100%"&amp;" · ","")&amp;IF(OR(AND($I119&lt;&gt;"",$I119&lt;$H119),AND($J119&lt;&gt;"",$J119&lt;MAX($H119:$I119)),AND($K119&lt;&gt;"",$K119&lt;MAX($H119:$J119))),"Avance semanal decreciente"&amp;" · ","")&amp;IF(AND(ISNUMBER($F119),$F119&lt;FechaRef,N($L119)&lt;1),"Vencida"&amp;" · ","")&amp;IF(AND(ObsObligatoria="Sí",ISNUMBER($F119),$F119&lt;FechaRef,N($L119)&lt;1,$N119=""),"Vencida sin observación"&amp;" · ",""),LEN(IF(AND($S119="Macro",$B119=""),"Macroactividad vacía"&amp;" · ","")&amp;IF(AND($B119&lt;&gt;"",$C119&lt;&gt;""),"Escriba la subactividad en otra fila, debajo de su macroactividad"&amp;" · ","")&amp;IF(AND($S119="Sub",N($R119)=0),"Subactividad sin macroactividad arriba"&amp;" · ","")&amp;IF($D119="","Sin responsable"&amp;" · ","")&amp;IF($E119="","Sin fecha de inicio"&amp;" · ","")&amp;IF($F119="","Sin fecha límite"&amp;" · ","")&amp;IF(OR(AND($E119&lt;&gt;"",NOT(ISNUMBER($E119))),AND($F119&lt;&gt;"",NOT(ISNUMBER($F119)))),"Fecha no válida"&amp;" · ","")&amp;IF(AND(ISNUMBER($E119),ISNUMBER($F119),$E119&gt;$F119),"Inicio posterior a fecha límite"&amp;" · ","")&amp;IF(AND($S119="Macro",$G119=""),"Peso vacío"&amp;" · ","")&amp;IF(AND($S119="Macro",$G119&lt;&gt;"",OR(NOT(ISNUMBER($G119)),$G119&lt;=0,$G119&gt;1)),"Peso fuera de rango"&amp;" · ","")&amp;IF(AND($S119="Sub",$G119&lt;&gt;""),"Las subactividades no llevan peso"&amp;" · ","")&amp;IF(AND($S119="Macro",ABS(SUMIFS($G$5:$G$1000,$P$5:$P$1000,$P119,$S$5:$S$1000,"Macro")-1)&gt;0.0001),"Pesos del mes suman "&amp;TEXT(SUMIFS($G$5:$G$1000,$P$5:$P$1000,$P119,$S$5:$S$1000,"Macro"),"0%")&amp;" · ","")&amp;IF(AND(N($T119)&gt;0,COUNT($H119:$K119)&gt;0),"Con subactividades: deje vacías las semanas (se calculan solas)"&amp;" · ","")&amp;IF((COUNTIF($H119:$K119,"&gt;1")+COUNTIF($H119:$K119,"&lt;0")+COUNTA($H119:$K119)-COUNT($H119:$K119))&gt;0,"Avance fuera de rango 0-100%"&amp;" · ","")&amp;IF(OR(AND($I119&lt;&gt;"",$I119&lt;$H119),AND($J119&lt;&gt;"",$J119&lt;MAX($H119:$I119)),AND($K119&lt;&gt;"",$K119&lt;MAX($H119:$J119))),"Avance semanal decreciente"&amp;" · ","")&amp;IF(AND(ISNUMBER($F119),$F119&lt;FechaRef,N($L119)&lt;1),"Vencida"&amp;" · ","")&amp;IF(AND(ObsObligatoria="Sí",ISNUMBER($F119),$F119&lt;FechaRef,N($L119)&lt;1,$N119=""),"Vencida sin observación"&amp;" · ",""))-3)))</f>
        <v/>
      </c>
      <c r="P119" s="69">
        <f>IF(NOT((COUNTA($B119:$K119)+COUNTA($N119))&gt;0),"",IF(AND($S119="Sub",N($R119)&gt;0),IF(ISNUMBER(INDEX($E$5:$E$1000,$R119-4)),DATE(YEAR(INDEX($E$5:$E$1000,$R119-4)),MONTH(INDEX($E$5:$E$1000,$R119-4)),1),IF(ISNUMBER(INDEX($F$5:$F$1000,$R119-4)),DATE(YEAR(INDEX($F$5:$F$1000,$R119-4)),MONTH(INDEX($F$5:$F$1000,$R119-4)),1),MesCiclo)),IF(ISNUMBER($E119),DATE(YEAR($E119),MONTH($E119),1),IF(ISNUMBER($F119),DATE(YEAR($F119),MONTH($F119),1),MesCiclo))))</f>
        <v/>
      </c>
      <c r="Q119" s="70">
        <f>IF(OR($P119="",$P119&lt;&gt;MesCiclo),"",COUNTIF($P$5:$P119,MesCiclo))</f>
        <v/>
      </c>
      <c r="R119" s="70">
        <f>IF($S119="","",IF($S119="Macro",ROW(),IFERROR(LOOKUP(2,1/($S$5:$S119="Macro"),ROW($S$5:$S119)),0)))</f>
        <v/>
      </c>
      <c r="S119" s="70">
        <f>IF(NOT((COUNTA($B119:$K119)+COUNTA($N119))&gt;0),"",IF($B119&lt;&gt;"","Macro",IF($C119&lt;&gt;"","Sub","Macro")))</f>
        <v/>
      </c>
      <c r="T119" s="70">
        <f>IF($S119="Macro",COUNTIFS($R$5:$R$1000,ROW(),$S$5:$S$1000,"Sub"),"")</f>
        <v/>
      </c>
      <c r="U119" s="70">
        <f>IF($S119="","",IF(ISNUMBER($H119),$H119,0))</f>
        <v/>
      </c>
      <c r="V119" s="70">
        <f>IF($S119="","",IF(ISNUMBER($I119),$I119,$U119))</f>
        <v/>
      </c>
      <c r="W119" s="70">
        <f>IF($S119="","",IF(ISNUMBER($J119),$J119,$V119))</f>
        <v/>
      </c>
      <c r="X119" s="70">
        <f>IF($S119="","",IF(ISNUMBER($K119),$K119,$W119))</f>
        <v/>
      </c>
      <c r="Y119" s="70">
        <f>IF($S119="","",IF(N($T119)&gt;0,AVERAGEIFS($U$5:$U$1000,$R$5:$R$1000,ROW(),$S$5:$S$1000,"Sub"),$U119))</f>
        <v/>
      </c>
      <c r="Z119" s="70">
        <f>IF($S119="","",IF(N($T119)&gt;0,AVERAGEIFS($V$5:$V$1000,$R$5:$R$1000,ROW(),$S$5:$S$1000,"Sub"),$V119))</f>
        <v/>
      </c>
      <c r="AA119" s="70">
        <f>IF($S119="","",IF(N($T119)&gt;0,AVERAGEIFS($W$5:$W$1000,$R$5:$R$1000,ROW(),$S$5:$S$1000,"Sub"),$W119))</f>
        <v/>
      </c>
      <c r="AB119" s="70">
        <f>IF($S119="","",IF(N($T119)&gt;0,AVERAGEIFS($X$5:$X$1000,$R$5:$R$1000,ROW(),$S$5:$S$1000,"Sub"),$X119))</f>
        <v/>
      </c>
    </row>
    <row r="120">
      <c r="A120" s="61">
        <f>IF(NOT((COUNTA($B120:$K120)+COUNTA($N120))&gt;0),"",IF($S120="Macro",COUNTIFS($S$5:$S120,"Macro",$P$5:$P120,$P120),IF(N($R120)=0,"?",COUNTIFS(INDEX($S$5:$S$1000,1):INDEX($S$5:$S$1000,$R120-4),"Macro",INDEX($P$5:$P$1000,1):INDEX($P$5:$P$1000,$R120-4),INDEX($P$5:$P$1000,$R120-4))&amp;"."&amp;COUNTIFS($R$5:$R120,$R120,$S$5:$S120,"Sub"))))</f>
        <v/>
      </c>
      <c r="B120" s="62" t="n"/>
      <c r="C120" s="63" t="n"/>
      <c r="D120" s="62" t="n"/>
      <c r="E120" s="64" t="n"/>
      <c r="F120" s="64" t="n"/>
      <c r="G120" s="65" t="n"/>
      <c r="H120" s="66" t="n"/>
      <c r="I120" s="66" t="n"/>
      <c r="J120" s="66" t="n"/>
      <c r="K120" s="66" t="n"/>
      <c r="L120" s="67">
        <f>IF(NOT((COUNTA($B120:$K120)+COUNTA($N120))&gt;0),"",IF(N($T120)&gt;0,$AB120,IFERROR(LOOKUP(2,1/(H120:K120&lt;&gt;""),H120:K120),0)))</f>
        <v/>
      </c>
      <c r="M120" s="61">
        <f>IF(L120="","",IF(L120&gt;=1,"Completado",IF(L120&gt;0,"En curso","Pendiente")))</f>
        <v/>
      </c>
      <c r="N120" s="62" t="n"/>
      <c r="O120" s="68">
        <f>IF(NOT((COUNTA($B120:$K120)+COUNTA($N120))&gt;0),"",IF((IF(AND($S120="Macro",$B120=""),"Macroactividad vacía"&amp;" · ","")&amp;IF(AND($B120&lt;&gt;"",$C120&lt;&gt;""),"Escriba la subactividad en otra fila, debajo de su macroactividad"&amp;" · ","")&amp;IF(AND($S120="Sub",N($R120)=0),"Subactividad sin macroactividad arriba"&amp;" · ","")&amp;IF($D120="","Sin responsable"&amp;" · ","")&amp;IF($E120="","Sin fecha de inicio"&amp;" · ","")&amp;IF($F120="","Sin fecha límite"&amp;" · ","")&amp;IF(OR(AND($E120&lt;&gt;"",NOT(ISNUMBER($E120))),AND($F120&lt;&gt;"",NOT(ISNUMBER($F120)))),"Fecha no válida"&amp;" · ","")&amp;IF(AND(ISNUMBER($E120),ISNUMBER($F120),$E120&gt;$F120),"Inicio posterior a fecha límite"&amp;" · ","")&amp;IF(AND($S120="Macro",$G120=""),"Peso vacío"&amp;" · ","")&amp;IF(AND($S120="Macro",$G120&lt;&gt;"",OR(NOT(ISNUMBER($G120)),$G120&lt;=0,$G120&gt;1)),"Peso fuera de rango"&amp;" · ","")&amp;IF(AND($S120="Sub",$G120&lt;&gt;""),"Las subactividades no llevan peso"&amp;" · ","")&amp;IF(AND($S120="Macro",ABS(SUMIFS($G$5:$G$1000,$P$5:$P$1000,$P120,$S$5:$S$1000,"Macro")-1)&gt;0.0001),"Pesos del mes suman "&amp;TEXT(SUMIFS($G$5:$G$1000,$P$5:$P$1000,$P120,$S$5:$S$1000,"Macro"),"0%")&amp;" · ","")&amp;IF(AND(N($T120)&gt;0,COUNT($H120:$K120)&gt;0),"Con subactividades: deje vacías las semanas (se calculan solas)"&amp;" · ","")&amp;IF((COUNTIF($H120:$K120,"&gt;1")+COUNTIF($H120:$K120,"&lt;0")+COUNTA($H120:$K120)-COUNT($H120:$K120))&gt;0,"Avance fuera de rango 0-100%"&amp;" · ","")&amp;IF(OR(AND($I120&lt;&gt;"",$I120&lt;$H120),AND($J120&lt;&gt;"",$J120&lt;MAX($H120:$I120)),AND($K120&lt;&gt;"",$K120&lt;MAX($H120:$J120))),"Avance semanal decreciente"&amp;" · ","")&amp;IF(AND(ISNUMBER($F120),$F120&lt;FechaRef,N($L120)&lt;1),"Vencida"&amp;" · ","")&amp;IF(AND(ObsObligatoria="Sí",ISNUMBER($F120),$F120&lt;FechaRef,N($L120)&lt;1,$N120=""),"Vencida sin observación"&amp;" · ",""))="","✔ OK","⚠ "&amp;LEFT(IF(AND($S120="Macro",$B120=""),"Macroactividad vacía"&amp;" · ","")&amp;IF(AND($B120&lt;&gt;"",$C120&lt;&gt;""),"Escriba la subactividad en otra fila, debajo de su macroactividad"&amp;" · ","")&amp;IF(AND($S120="Sub",N($R120)=0),"Subactividad sin macroactividad arriba"&amp;" · ","")&amp;IF($D120="","Sin responsable"&amp;" · ","")&amp;IF($E120="","Sin fecha de inicio"&amp;" · ","")&amp;IF($F120="","Sin fecha límite"&amp;" · ","")&amp;IF(OR(AND($E120&lt;&gt;"",NOT(ISNUMBER($E120))),AND($F120&lt;&gt;"",NOT(ISNUMBER($F120)))),"Fecha no válida"&amp;" · ","")&amp;IF(AND(ISNUMBER($E120),ISNUMBER($F120),$E120&gt;$F120),"Inicio posterior a fecha límite"&amp;" · ","")&amp;IF(AND($S120="Macro",$G120=""),"Peso vacío"&amp;" · ","")&amp;IF(AND($S120="Macro",$G120&lt;&gt;"",OR(NOT(ISNUMBER($G120)),$G120&lt;=0,$G120&gt;1)),"Peso fuera de rango"&amp;" · ","")&amp;IF(AND($S120="Sub",$G120&lt;&gt;""),"Las subactividades no llevan peso"&amp;" · ","")&amp;IF(AND($S120="Macro",ABS(SUMIFS($G$5:$G$1000,$P$5:$P$1000,$P120,$S$5:$S$1000,"Macro")-1)&gt;0.0001),"Pesos del mes suman "&amp;TEXT(SUMIFS($G$5:$G$1000,$P$5:$P$1000,$P120,$S$5:$S$1000,"Macro"),"0%")&amp;" · ","")&amp;IF(AND(N($T120)&gt;0,COUNT($H120:$K120)&gt;0),"Con subactividades: deje vacías las semanas (se calculan solas)"&amp;" · ","")&amp;IF((COUNTIF($H120:$K120,"&gt;1")+COUNTIF($H120:$K120,"&lt;0")+COUNTA($H120:$K120)-COUNT($H120:$K120))&gt;0,"Avance fuera de rango 0-100%"&amp;" · ","")&amp;IF(OR(AND($I120&lt;&gt;"",$I120&lt;$H120),AND($J120&lt;&gt;"",$J120&lt;MAX($H120:$I120)),AND($K120&lt;&gt;"",$K120&lt;MAX($H120:$J120))),"Avance semanal decreciente"&amp;" · ","")&amp;IF(AND(ISNUMBER($F120),$F120&lt;FechaRef,N($L120)&lt;1),"Vencida"&amp;" · ","")&amp;IF(AND(ObsObligatoria="Sí",ISNUMBER($F120),$F120&lt;FechaRef,N($L120)&lt;1,$N120=""),"Vencida sin observación"&amp;" · ",""),LEN(IF(AND($S120="Macro",$B120=""),"Macroactividad vacía"&amp;" · ","")&amp;IF(AND($B120&lt;&gt;"",$C120&lt;&gt;""),"Escriba la subactividad en otra fila, debajo de su macroactividad"&amp;" · ","")&amp;IF(AND($S120="Sub",N($R120)=0),"Subactividad sin macroactividad arriba"&amp;" · ","")&amp;IF($D120="","Sin responsable"&amp;" · ","")&amp;IF($E120="","Sin fecha de inicio"&amp;" · ","")&amp;IF($F120="","Sin fecha límite"&amp;" · ","")&amp;IF(OR(AND($E120&lt;&gt;"",NOT(ISNUMBER($E120))),AND($F120&lt;&gt;"",NOT(ISNUMBER($F120)))),"Fecha no válida"&amp;" · ","")&amp;IF(AND(ISNUMBER($E120),ISNUMBER($F120),$E120&gt;$F120),"Inicio posterior a fecha límite"&amp;" · ","")&amp;IF(AND($S120="Macro",$G120=""),"Peso vacío"&amp;" · ","")&amp;IF(AND($S120="Macro",$G120&lt;&gt;"",OR(NOT(ISNUMBER($G120)),$G120&lt;=0,$G120&gt;1)),"Peso fuera de rango"&amp;" · ","")&amp;IF(AND($S120="Sub",$G120&lt;&gt;""),"Las subactividades no llevan peso"&amp;" · ","")&amp;IF(AND($S120="Macro",ABS(SUMIFS($G$5:$G$1000,$P$5:$P$1000,$P120,$S$5:$S$1000,"Macro")-1)&gt;0.0001),"Pesos del mes suman "&amp;TEXT(SUMIFS($G$5:$G$1000,$P$5:$P$1000,$P120,$S$5:$S$1000,"Macro"),"0%")&amp;" · ","")&amp;IF(AND(N($T120)&gt;0,COUNT($H120:$K120)&gt;0),"Con subactividades: deje vacías las semanas (se calculan solas)"&amp;" · ","")&amp;IF((COUNTIF($H120:$K120,"&gt;1")+COUNTIF($H120:$K120,"&lt;0")+COUNTA($H120:$K120)-COUNT($H120:$K120))&gt;0,"Avance fuera de rango 0-100%"&amp;" · ","")&amp;IF(OR(AND($I120&lt;&gt;"",$I120&lt;$H120),AND($J120&lt;&gt;"",$J120&lt;MAX($H120:$I120)),AND($K120&lt;&gt;"",$K120&lt;MAX($H120:$J120))),"Avance semanal decreciente"&amp;" · ","")&amp;IF(AND(ISNUMBER($F120),$F120&lt;FechaRef,N($L120)&lt;1),"Vencida"&amp;" · ","")&amp;IF(AND(ObsObligatoria="Sí",ISNUMBER($F120),$F120&lt;FechaRef,N($L120)&lt;1,$N120=""),"Vencida sin observación"&amp;" · ",""))-3)))</f>
        <v/>
      </c>
      <c r="P120" s="69">
        <f>IF(NOT((COUNTA($B120:$K120)+COUNTA($N120))&gt;0),"",IF(AND($S120="Sub",N($R120)&gt;0),IF(ISNUMBER(INDEX($E$5:$E$1000,$R120-4)),DATE(YEAR(INDEX($E$5:$E$1000,$R120-4)),MONTH(INDEX($E$5:$E$1000,$R120-4)),1),IF(ISNUMBER(INDEX($F$5:$F$1000,$R120-4)),DATE(YEAR(INDEX($F$5:$F$1000,$R120-4)),MONTH(INDEX($F$5:$F$1000,$R120-4)),1),MesCiclo)),IF(ISNUMBER($E120),DATE(YEAR($E120),MONTH($E120),1),IF(ISNUMBER($F120),DATE(YEAR($F120),MONTH($F120),1),MesCiclo))))</f>
        <v/>
      </c>
      <c r="Q120" s="70">
        <f>IF(OR($P120="",$P120&lt;&gt;MesCiclo),"",COUNTIF($P$5:$P120,MesCiclo))</f>
        <v/>
      </c>
      <c r="R120" s="70">
        <f>IF($S120="","",IF($S120="Macro",ROW(),IFERROR(LOOKUP(2,1/($S$5:$S120="Macro"),ROW($S$5:$S120)),0)))</f>
        <v/>
      </c>
      <c r="S120" s="70">
        <f>IF(NOT((COUNTA($B120:$K120)+COUNTA($N120))&gt;0),"",IF($B120&lt;&gt;"","Macro",IF($C120&lt;&gt;"","Sub","Macro")))</f>
        <v/>
      </c>
      <c r="T120" s="70">
        <f>IF($S120="Macro",COUNTIFS($R$5:$R$1000,ROW(),$S$5:$S$1000,"Sub"),"")</f>
        <v/>
      </c>
      <c r="U120" s="70">
        <f>IF($S120="","",IF(ISNUMBER($H120),$H120,0))</f>
        <v/>
      </c>
      <c r="V120" s="70">
        <f>IF($S120="","",IF(ISNUMBER($I120),$I120,$U120))</f>
        <v/>
      </c>
      <c r="W120" s="70">
        <f>IF($S120="","",IF(ISNUMBER($J120),$J120,$V120))</f>
        <v/>
      </c>
      <c r="X120" s="70">
        <f>IF($S120="","",IF(ISNUMBER($K120),$K120,$W120))</f>
        <v/>
      </c>
      <c r="Y120" s="70">
        <f>IF($S120="","",IF(N($T120)&gt;0,AVERAGEIFS($U$5:$U$1000,$R$5:$R$1000,ROW(),$S$5:$S$1000,"Sub"),$U120))</f>
        <v/>
      </c>
      <c r="Z120" s="70">
        <f>IF($S120="","",IF(N($T120)&gt;0,AVERAGEIFS($V$5:$V$1000,$R$5:$R$1000,ROW(),$S$5:$S$1000,"Sub"),$V120))</f>
        <v/>
      </c>
      <c r="AA120" s="70">
        <f>IF($S120="","",IF(N($T120)&gt;0,AVERAGEIFS($W$5:$W$1000,$R$5:$R$1000,ROW(),$S$5:$S$1000,"Sub"),$W120))</f>
        <v/>
      </c>
      <c r="AB120" s="70">
        <f>IF($S120="","",IF(N($T120)&gt;0,AVERAGEIFS($X$5:$X$1000,$R$5:$R$1000,ROW(),$S$5:$S$1000,"Sub"),$X120))</f>
        <v/>
      </c>
    </row>
    <row r="121">
      <c r="A121" s="61">
        <f>IF(NOT((COUNTA($B121:$K121)+COUNTA($N121))&gt;0),"",IF($S121="Macro",COUNTIFS($S$5:$S121,"Macro",$P$5:$P121,$P121),IF(N($R121)=0,"?",COUNTIFS(INDEX($S$5:$S$1000,1):INDEX($S$5:$S$1000,$R121-4),"Macro",INDEX($P$5:$P$1000,1):INDEX($P$5:$P$1000,$R121-4),INDEX($P$5:$P$1000,$R121-4))&amp;"."&amp;COUNTIFS($R$5:$R121,$R121,$S$5:$S121,"Sub"))))</f>
        <v/>
      </c>
      <c r="B121" s="62" t="n"/>
      <c r="C121" s="63" t="n"/>
      <c r="D121" s="62" t="n"/>
      <c r="E121" s="64" t="n"/>
      <c r="F121" s="64" t="n"/>
      <c r="G121" s="65" t="n"/>
      <c r="H121" s="66" t="n"/>
      <c r="I121" s="66" t="n"/>
      <c r="J121" s="66" t="n"/>
      <c r="K121" s="66" t="n"/>
      <c r="L121" s="67">
        <f>IF(NOT((COUNTA($B121:$K121)+COUNTA($N121))&gt;0),"",IF(N($T121)&gt;0,$AB121,IFERROR(LOOKUP(2,1/(H121:K121&lt;&gt;""),H121:K121),0)))</f>
        <v/>
      </c>
      <c r="M121" s="61">
        <f>IF(L121="","",IF(L121&gt;=1,"Completado",IF(L121&gt;0,"En curso","Pendiente")))</f>
        <v/>
      </c>
      <c r="N121" s="62" t="n"/>
      <c r="O121" s="68">
        <f>IF(NOT((COUNTA($B121:$K121)+COUNTA($N121))&gt;0),"",IF((IF(AND($S121="Macro",$B121=""),"Macroactividad vacía"&amp;" · ","")&amp;IF(AND($B121&lt;&gt;"",$C121&lt;&gt;""),"Escriba la subactividad en otra fila, debajo de su macroactividad"&amp;" · ","")&amp;IF(AND($S121="Sub",N($R121)=0),"Subactividad sin macroactividad arriba"&amp;" · ","")&amp;IF($D121="","Sin responsable"&amp;" · ","")&amp;IF($E121="","Sin fecha de inicio"&amp;" · ","")&amp;IF($F121="","Sin fecha límite"&amp;" · ","")&amp;IF(OR(AND($E121&lt;&gt;"",NOT(ISNUMBER($E121))),AND($F121&lt;&gt;"",NOT(ISNUMBER($F121)))),"Fecha no válida"&amp;" · ","")&amp;IF(AND(ISNUMBER($E121),ISNUMBER($F121),$E121&gt;$F121),"Inicio posterior a fecha límite"&amp;" · ","")&amp;IF(AND($S121="Macro",$G121=""),"Peso vacío"&amp;" · ","")&amp;IF(AND($S121="Macro",$G121&lt;&gt;"",OR(NOT(ISNUMBER($G121)),$G121&lt;=0,$G121&gt;1)),"Peso fuera de rango"&amp;" · ","")&amp;IF(AND($S121="Sub",$G121&lt;&gt;""),"Las subactividades no llevan peso"&amp;" · ","")&amp;IF(AND($S121="Macro",ABS(SUMIFS($G$5:$G$1000,$P$5:$P$1000,$P121,$S$5:$S$1000,"Macro")-1)&gt;0.0001),"Pesos del mes suman "&amp;TEXT(SUMIFS($G$5:$G$1000,$P$5:$P$1000,$P121,$S$5:$S$1000,"Macro"),"0%")&amp;" · ","")&amp;IF(AND(N($T121)&gt;0,COUNT($H121:$K121)&gt;0),"Con subactividades: deje vacías las semanas (se calculan solas)"&amp;" · ","")&amp;IF((COUNTIF($H121:$K121,"&gt;1")+COUNTIF($H121:$K121,"&lt;0")+COUNTA($H121:$K121)-COUNT($H121:$K121))&gt;0,"Avance fuera de rango 0-100%"&amp;" · ","")&amp;IF(OR(AND($I121&lt;&gt;"",$I121&lt;$H121),AND($J121&lt;&gt;"",$J121&lt;MAX($H121:$I121)),AND($K121&lt;&gt;"",$K121&lt;MAX($H121:$J121))),"Avance semanal decreciente"&amp;" · ","")&amp;IF(AND(ISNUMBER($F121),$F121&lt;FechaRef,N($L121)&lt;1),"Vencida"&amp;" · ","")&amp;IF(AND(ObsObligatoria="Sí",ISNUMBER($F121),$F121&lt;FechaRef,N($L121)&lt;1,$N121=""),"Vencida sin observación"&amp;" · ",""))="","✔ OK","⚠ "&amp;LEFT(IF(AND($S121="Macro",$B121=""),"Macroactividad vacía"&amp;" · ","")&amp;IF(AND($B121&lt;&gt;"",$C121&lt;&gt;""),"Escriba la subactividad en otra fila, debajo de su macroactividad"&amp;" · ","")&amp;IF(AND($S121="Sub",N($R121)=0),"Subactividad sin macroactividad arriba"&amp;" · ","")&amp;IF($D121="","Sin responsable"&amp;" · ","")&amp;IF($E121="","Sin fecha de inicio"&amp;" · ","")&amp;IF($F121="","Sin fecha límite"&amp;" · ","")&amp;IF(OR(AND($E121&lt;&gt;"",NOT(ISNUMBER($E121))),AND($F121&lt;&gt;"",NOT(ISNUMBER($F121)))),"Fecha no válida"&amp;" · ","")&amp;IF(AND(ISNUMBER($E121),ISNUMBER($F121),$E121&gt;$F121),"Inicio posterior a fecha límite"&amp;" · ","")&amp;IF(AND($S121="Macro",$G121=""),"Peso vacío"&amp;" · ","")&amp;IF(AND($S121="Macro",$G121&lt;&gt;"",OR(NOT(ISNUMBER($G121)),$G121&lt;=0,$G121&gt;1)),"Peso fuera de rango"&amp;" · ","")&amp;IF(AND($S121="Sub",$G121&lt;&gt;""),"Las subactividades no llevan peso"&amp;" · ","")&amp;IF(AND($S121="Macro",ABS(SUMIFS($G$5:$G$1000,$P$5:$P$1000,$P121,$S$5:$S$1000,"Macro")-1)&gt;0.0001),"Pesos del mes suman "&amp;TEXT(SUMIFS($G$5:$G$1000,$P$5:$P$1000,$P121,$S$5:$S$1000,"Macro"),"0%")&amp;" · ","")&amp;IF(AND(N($T121)&gt;0,COUNT($H121:$K121)&gt;0),"Con subactividades: deje vacías las semanas (se calculan solas)"&amp;" · ","")&amp;IF((COUNTIF($H121:$K121,"&gt;1")+COUNTIF($H121:$K121,"&lt;0")+COUNTA($H121:$K121)-COUNT($H121:$K121))&gt;0,"Avance fuera de rango 0-100%"&amp;" · ","")&amp;IF(OR(AND($I121&lt;&gt;"",$I121&lt;$H121),AND($J121&lt;&gt;"",$J121&lt;MAX($H121:$I121)),AND($K121&lt;&gt;"",$K121&lt;MAX($H121:$J121))),"Avance semanal decreciente"&amp;" · ","")&amp;IF(AND(ISNUMBER($F121),$F121&lt;FechaRef,N($L121)&lt;1),"Vencida"&amp;" · ","")&amp;IF(AND(ObsObligatoria="Sí",ISNUMBER($F121),$F121&lt;FechaRef,N($L121)&lt;1,$N121=""),"Vencida sin observación"&amp;" · ",""),LEN(IF(AND($S121="Macro",$B121=""),"Macroactividad vacía"&amp;" · ","")&amp;IF(AND($B121&lt;&gt;"",$C121&lt;&gt;""),"Escriba la subactividad en otra fila, debajo de su macroactividad"&amp;" · ","")&amp;IF(AND($S121="Sub",N($R121)=0),"Subactividad sin macroactividad arriba"&amp;" · ","")&amp;IF($D121="","Sin responsable"&amp;" · ","")&amp;IF($E121="","Sin fecha de inicio"&amp;" · ","")&amp;IF($F121="","Sin fecha límite"&amp;" · ","")&amp;IF(OR(AND($E121&lt;&gt;"",NOT(ISNUMBER($E121))),AND($F121&lt;&gt;"",NOT(ISNUMBER($F121)))),"Fecha no válida"&amp;" · ","")&amp;IF(AND(ISNUMBER($E121),ISNUMBER($F121),$E121&gt;$F121),"Inicio posterior a fecha límite"&amp;" · ","")&amp;IF(AND($S121="Macro",$G121=""),"Peso vacío"&amp;" · ","")&amp;IF(AND($S121="Macro",$G121&lt;&gt;"",OR(NOT(ISNUMBER($G121)),$G121&lt;=0,$G121&gt;1)),"Peso fuera de rango"&amp;" · ","")&amp;IF(AND($S121="Sub",$G121&lt;&gt;""),"Las subactividades no llevan peso"&amp;" · ","")&amp;IF(AND($S121="Macro",ABS(SUMIFS($G$5:$G$1000,$P$5:$P$1000,$P121,$S$5:$S$1000,"Macro")-1)&gt;0.0001),"Pesos del mes suman "&amp;TEXT(SUMIFS($G$5:$G$1000,$P$5:$P$1000,$P121,$S$5:$S$1000,"Macro"),"0%")&amp;" · ","")&amp;IF(AND(N($T121)&gt;0,COUNT($H121:$K121)&gt;0),"Con subactividades: deje vacías las semanas (se calculan solas)"&amp;" · ","")&amp;IF((COUNTIF($H121:$K121,"&gt;1")+COUNTIF($H121:$K121,"&lt;0")+COUNTA($H121:$K121)-COUNT($H121:$K121))&gt;0,"Avance fuera de rango 0-100%"&amp;" · ","")&amp;IF(OR(AND($I121&lt;&gt;"",$I121&lt;$H121),AND($J121&lt;&gt;"",$J121&lt;MAX($H121:$I121)),AND($K121&lt;&gt;"",$K121&lt;MAX($H121:$J121))),"Avance semanal decreciente"&amp;" · ","")&amp;IF(AND(ISNUMBER($F121),$F121&lt;FechaRef,N($L121)&lt;1),"Vencida"&amp;" · ","")&amp;IF(AND(ObsObligatoria="Sí",ISNUMBER($F121),$F121&lt;FechaRef,N($L121)&lt;1,$N121=""),"Vencida sin observación"&amp;" · ",""))-3)))</f>
        <v/>
      </c>
      <c r="P121" s="69">
        <f>IF(NOT((COUNTA($B121:$K121)+COUNTA($N121))&gt;0),"",IF(AND($S121="Sub",N($R121)&gt;0),IF(ISNUMBER(INDEX($E$5:$E$1000,$R121-4)),DATE(YEAR(INDEX($E$5:$E$1000,$R121-4)),MONTH(INDEX($E$5:$E$1000,$R121-4)),1),IF(ISNUMBER(INDEX($F$5:$F$1000,$R121-4)),DATE(YEAR(INDEX($F$5:$F$1000,$R121-4)),MONTH(INDEX($F$5:$F$1000,$R121-4)),1),MesCiclo)),IF(ISNUMBER($E121),DATE(YEAR($E121),MONTH($E121),1),IF(ISNUMBER($F121),DATE(YEAR($F121),MONTH($F121),1),MesCiclo))))</f>
        <v/>
      </c>
      <c r="Q121" s="70">
        <f>IF(OR($P121="",$P121&lt;&gt;MesCiclo),"",COUNTIF($P$5:$P121,MesCiclo))</f>
        <v/>
      </c>
      <c r="R121" s="70">
        <f>IF($S121="","",IF($S121="Macro",ROW(),IFERROR(LOOKUP(2,1/($S$5:$S121="Macro"),ROW($S$5:$S121)),0)))</f>
        <v/>
      </c>
      <c r="S121" s="70">
        <f>IF(NOT((COUNTA($B121:$K121)+COUNTA($N121))&gt;0),"",IF($B121&lt;&gt;"","Macro",IF($C121&lt;&gt;"","Sub","Macro")))</f>
        <v/>
      </c>
      <c r="T121" s="70">
        <f>IF($S121="Macro",COUNTIFS($R$5:$R$1000,ROW(),$S$5:$S$1000,"Sub"),"")</f>
        <v/>
      </c>
      <c r="U121" s="70">
        <f>IF($S121="","",IF(ISNUMBER($H121),$H121,0))</f>
        <v/>
      </c>
      <c r="V121" s="70">
        <f>IF($S121="","",IF(ISNUMBER($I121),$I121,$U121))</f>
        <v/>
      </c>
      <c r="W121" s="70">
        <f>IF($S121="","",IF(ISNUMBER($J121),$J121,$V121))</f>
        <v/>
      </c>
      <c r="X121" s="70">
        <f>IF($S121="","",IF(ISNUMBER($K121),$K121,$W121))</f>
        <v/>
      </c>
      <c r="Y121" s="70">
        <f>IF($S121="","",IF(N($T121)&gt;0,AVERAGEIFS($U$5:$U$1000,$R$5:$R$1000,ROW(),$S$5:$S$1000,"Sub"),$U121))</f>
        <v/>
      </c>
      <c r="Z121" s="70">
        <f>IF($S121="","",IF(N($T121)&gt;0,AVERAGEIFS($V$5:$V$1000,$R$5:$R$1000,ROW(),$S$5:$S$1000,"Sub"),$V121))</f>
        <v/>
      </c>
      <c r="AA121" s="70">
        <f>IF($S121="","",IF(N($T121)&gt;0,AVERAGEIFS($W$5:$W$1000,$R$5:$R$1000,ROW(),$S$5:$S$1000,"Sub"),$W121))</f>
        <v/>
      </c>
      <c r="AB121" s="70">
        <f>IF($S121="","",IF(N($T121)&gt;0,AVERAGEIFS($X$5:$X$1000,$R$5:$R$1000,ROW(),$S$5:$S$1000,"Sub"),$X121))</f>
        <v/>
      </c>
    </row>
    <row r="122">
      <c r="A122" s="61">
        <f>IF(NOT((COUNTA($B122:$K122)+COUNTA($N122))&gt;0),"",IF($S122="Macro",COUNTIFS($S$5:$S122,"Macro",$P$5:$P122,$P122),IF(N($R122)=0,"?",COUNTIFS(INDEX($S$5:$S$1000,1):INDEX($S$5:$S$1000,$R122-4),"Macro",INDEX($P$5:$P$1000,1):INDEX($P$5:$P$1000,$R122-4),INDEX($P$5:$P$1000,$R122-4))&amp;"."&amp;COUNTIFS($R$5:$R122,$R122,$S$5:$S122,"Sub"))))</f>
        <v/>
      </c>
      <c r="B122" s="62" t="n"/>
      <c r="C122" s="63" t="n"/>
      <c r="D122" s="62" t="n"/>
      <c r="E122" s="64" t="n"/>
      <c r="F122" s="64" t="n"/>
      <c r="G122" s="65" t="n"/>
      <c r="H122" s="66" t="n"/>
      <c r="I122" s="66" t="n"/>
      <c r="J122" s="66" t="n"/>
      <c r="K122" s="66" t="n"/>
      <c r="L122" s="67">
        <f>IF(NOT((COUNTA($B122:$K122)+COUNTA($N122))&gt;0),"",IF(N($T122)&gt;0,$AB122,IFERROR(LOOKUP(2,1/(H122:K122&lt;&gt;""),H122:K122),0)))</f>
        <v/>
      </c>
      <c r="M122" s="61">
        <f>IF(L122="","",IF(L122&gt;=1,"Completado",IF(L122&gt;0,"En curso","Pendiente")))</f>
        <v/>
      </c>
      <c r="N122" s="62" t="n"/>
      <c r="O122" s="68">
        <f>IF(NOT((COUNTA($B122:$K122)+COUNTA($N122))&gt;0),"",IF((IF(AND($S122="Macro",$B122=""),"Macroactividad vacía"&amp;" · ","")&amp;IF(AND($B122&lt;&gt;"",$C122&lt;&gt;""),"Escriba la subactividad en otra fila, debajo de su macroactividad"&amp;" · ","")&amp;IF(AND($S122="Sub",N($R122)=0),"Subactividad sin macroactividad arriba"&amp;" · ","")&amp;IF($D122="","Sin responsable"&amp;" · ","")&amp;IF($E122="","Sin fecha de inicio"&amp;" · ","")&amp;IF($F122="","Sin fecha límite"&amp;" · ","")&amp;IF(OR(AND($E122&lt;&gt;"",NOT(ISNUMBER($E122))),AND($F122&lt;&gt;"",NOT(ISNUMBER($F122)))),"Fecha no válida"&amp;" · ","")&amp;IF(AND(ISNUMBER($E122),ISNUMBER($F122),$E122&gt;$F122),"Inicio posterior a fecha límite"&amp;" · ","")&amp;IF(AND($S122="Macro",$G122=""),"Peso vacío"&amp;" · ","")&amp;IF(AND($S122="Macro",$G122&lt;&gt;"",OR(NOT(ISNUMBER($G122)),$G122&lt;=0,$G122&gt;1)),"Peso fuera de rango"&amp;" · ","")&amp;IF(AND($S122="Sub",$G122&lt;&gt;""),"Las subactividades no llevan peso"&amp;" · ","")&amp;IF(AND($S122="Macro",ABS(SUMIFS($G$5:$G$1000,$P$5:$P$1000,$P122,$S$5:$S$1000,"Macro")-1)&gt;0.0001),"Pesos del mes suman "&amp;TEXT(SUMIFS($G$5:$G$1000,$P$5:$P$1000,$P122,$S$5:$S$1000,"Macro"),"0%")&amp;" · ","")&amp;IF(AND(N($T122)&gt;0,COUNT($H122:$K122)&gt;0),"Con subactividades: deje vacías las semanas (se calculan solas)"&amp;" · ","")&amp;IF((COUNTIF($H122:$K122,"&gt;1")+COUNTIF($H122:$K122,"&lt;0")+COUNTA($H122:$K122)-COUNT($H122:$K122))&gt;0,"Avance fuera de rango 0-100%"&amp;" · ","")&amp;IF(OR(AND($I122&lt;&gt;"",$I122&lt;$H122),AND($J122&lt;&gt;"",$J122&lt;MAX($H122:$I122)),AND($K122&lt;&gt;"",$K122&lt;MAX($H122:$J122))),"Avance semanal decreciente"&amp;" · ","")&amp;IF(AND(ISNUMBER($F122),$F122&lt;FechaRef,N($L122)&lt;1),"Vencida"&amp;" · ","")&amp;IF(AND(ObsObligatoria="Sí",ISNUMBER($F122),$F122&lt;FechaRef,N($L122)&lt;1,$N122=""),"Vencida sin observación"&amp;" · ",""))="","✔ OK","⚠ "&amp;LEFT(IF(AND($S122="Macro",$B122=""),"Macroactividad vacía"&amp;" · ","")&amp;IF(AND($B122&lt;&gt;"",$C122&lt;&gt;""),"Escriba la subactividad en otra fila, debajo de su macroactividad"&amp;" · ","")&amp;IF(AND($S122="Sub",N($R122)=0),"Subactividad sin macroactividad arriba"&amp;" · ","")&amp;IF($D122="","Sin responsable"&amp;" · ","")&amp;IF($E122="","Sin fecha de inicio"&amp;" · ","")&amp;IF($F122="","Sin fecha límite"&amp;" · ","")&amp;IF(OR(AND($E122&lt;&gt;"",NOT(ISNUMBER($E122))),AND($F122&lt;&gt;"",NOT(ISNUMBER($F122)))),"Fecha no válida"&amp;" · ","")&amp;IF(AND(ISNUMBER($E122),ISNUMBER($F122),$E122&gt;$F122),"Inicio posterior a fecha límite"&amp;" · ","")&amp;IF(AND($S122="Macro",$G122=""),"Peso vacío"&amp;" · ","")&amp;IF(AND($S122="Macro",$G122&lt;&gt;"",OR(NOT(ISNUMBER($G122)),$G122&lt;=0,$G122&gt;1)),"Peso fuera de rango"&amp;" · ","")&amp;IF(AND($S122="Sub",$G122&lt;&gt;""),"Las subactividades no llevan peso"&amp;" · ","")&amp;IF(AND($S122="Macro",ABS(SUMIFS($G$5:$G$1000,$P$5:$P$1000,$P122,$S$5:$S$1000,"Macro")-1)&gt;0.0001),"Pesos del mes suman "&amp;TEXT(SUMIFS($G$5:$G$1000,$P$5:$P$1000,$P122,$S$5:$S$1000,"Macro"),"0%")&amp;" · ","")&amp;IF(AND(N($T122)&gt;0,COUNT($H122:$K122)&gt;0),"Con subactividades: deje vacías las semanas (se calculan solas)"&amp;" · ","")&amp;IF((COUNTIF($H122:$K122,"&gt;1")+COUNTIF($H122:$K122,"&lt;0")+COUNTA($H122:$K122)-COUNT($H122:$K122))&gt;0,"Avance fuera de rango 0-100%"&amp;" · ","")&amp;IF(OR(AND($I122&lt;&gt;"",$I122&lt;$H122),AND($J122&lt;&gt;"",$J122&lt;MAX($H122:$I122)),AND($K122&lt;&gt;"",$K122&lt;MAX($H122:$J122))),"Avance semanal decreciente"&amp;" · ","")&amp;IF(AND(ISNUMBER($F122),$F122&lt;FechaRef,N($L122)&lt;1),"Vencida"&amp;" · ","")&amp;IF(AND(ObsObligatoria="Sí",ISNUMBER($F122),$F122&lt;FechaRef,N($L122)&lt;1,$N122=""),"Vencida sin observación"&amp;" · ",""),LEN(IF(AND($S122="Macro",$B122=""),"Macroactividad vacía"&amp;" · ","")&amp;IF(AND($B122&lt;&gt;"",$C122&lt;&gt;""),"Escriba la subactividad en otra fila, debajo de su macroactividad"&amp;" · ","")&amp;IF(AND($S122="Sub",N($R122)=0),"Subactividad sin macroactividad arriba"&amp;" · ","")&amp;IF($D122="","Sin responsable"&amp;" · ","")&amp;IF($E122="","Sin fecha de inicio"&amp;" · ","")&amp;IF($F122="","Sin fecha límite"&amp;" · ","")&amp;IF(OR(AND($E122&lt;&gt;"",NOT(ISNUMBER($E122))),AND($F122&lt;&gt;"",NOT(ISNUMBER($F122)))),"Fecha no válida"&amp;" · ","")&amp;IF(AND(ISNUMBER($E122),ISNUMBER($F122),$E122&gt;$F122),"Inicio posterior a fecha límite"&amp;" · ","")&amp;IF(AND($S122="Macro",$G122=""),"Peso vacío"&amp;" · ","")&amp;IF(AND($S122="Macro",$G122&lt;&gt;"",OR(NOT(ISNUMBER($G122)),$G122&lt;=0,$G122&gt;1)),"Peso fuera de rango"&amp;" · ","")&amp;IF(AND($S122="Sub",$G122&lt;&gt;""),"Las subactividades no llevan peso"&amp;" · ","")&amp;IF(AND($S122="Macro",ABS(SUMIFS($G$5:$G$1000,$P$5:$P$1000,$P122,$S$5:$S$1000,"Macro")-1)&gt;0.0001),"Pesos del mes suman "&amp;TEXT(SUMIFS($G$5:$G$1000,$P$5:$P$1000,$P122,$S$5:$S$1000,"Macro"),"0%")&amp;" · ","")&amp;IF(AND(N($T122)&gt;0,COUNT($H122:$K122)&gt;0),"Con subactividades: deje vacías las semanas (se calculan solas)"&amp;" · ","")&amp;IF((COUNTIF($H122:$K122,"&gt;1")+COUNTIF($H122:$K122,"&lt;0")+COUNTA($H122:$K122)-COUNT($H122:$K122))&gt;0,"Avance fuera de rango 0-100%"&amp;" · ","")&amp;IF(OR(AND($I122&lt;&gt;"",$I122&lt;$H122),AND($J122&lt;&gt;"",$J122&lt;MAX($H122:$I122)),AND($K122&lt;&gt;"",$K122&lt;MAX($H122:$J122))),"Avance semanal decreciente"&amp;" · ","")&amp;IF(AND(ISNUMBER($F122),$F122&lt;FechaRef,N($L122)&lt;1),"Vencida"&amp;" · ","")&amp;IF(AND(ObsObligatoria="Sí",ISNUMBER($F122),$F122&lt;FechaRef,N($L122)&lt;1,$N122=""),"Vencida sin observación"&amp;" · ",""))-3)))</f>
        <v/>
      </c>
      <c r="P122" s="69">
        <f>IF(NOT((COUNTA($B122:$K122)+COUNTA($N122))&gt;0),"",IF(AND($S122="Sub",N($R122)&gt;0),IF(ISNUMBER(INDEX($E$5:$E$1000,$R122-4)),DATE(YEAR(INDEX($E$5:$E$1000,$R122-4)),MONTH(INDEX($E$5:$E$1000,$R122-4)),1),IF(ISNUMBER(INDEX($F$5:$F$1000,$R122-4)),DATE(YEAR(INDEX($F$5:$F$1000,$R122-4)),MONTH(INDEX($F$5:$F$1000,$R122-4)),1),MesCiclo)),IF(ISNUMBER($E122),DATE(YEAR($E122),MONTH($E122),1),IF(ISNUMBER($F122),DATE(YEAR($F122),MONTH($F122),1),MesCiclo))))</f>
        <v/>
      </c>
      <c r="Q122" s="70">
        <f>IF(OR($P122="",$P122&lt;&gt;MesCiclo),"",COUNTIF($P$5:$P122,MesCiclo))</f>
        <v/>
      </c>
      <c r="R122" s="70">
        <f>IF($S122="","",IF($S122="Macro",ROW(),IFERROR(LOOKUP(2,1/($S$5:$S122="Macro"),ROW($S$5:$S122)),0)))</f>
        <v/>
      </c>
      <c r="S122" s="70">
        <f>IF(NOT((COUNTA($B122:$K122)+COUNTA($N122))&gt;0),"",IF($B122&lt;&gt;"","Macro",IF($C122&lt;&gt;"","Sub","Macro")))</f>
        <v/>
      </c>
      <c r="T122" s="70">
        <f>IF($S122="Macro",COUNTIFS($R$5:$R$1000,ROW(),$S$5:$S$1000,"Sub"),"")</f>
        <v/>
      </c>
      <c r="U122" s="70">
        <f>IF($S122="","",IF(ISNUMBER($H122),$H122,0))</f>
        <v/>
      </c>
      <c r="V122" s="70">
        <f>IF($S122="","",IF(ISNUMBER($I122),$I122,$U122))</f>
        <v/>
      </c>
      <c r="W122" s="70">
        <f>IF($S122="","",IF(ISNUMBER($J122),$J122,$V122))</f>
        <v/>
      </c>
      <c r="X122" s="70">
        <f>IF($S122="","",IF(ISNUMBER($K122),$K122,$W122))</f>
        <v/>
      </c>
      <c r="Y122" s="70">
        <f>IF($S122="","",IF(N($T122)&gt;0,AVERAGEIFS($U$5:$U$1000,$R$5:$R$1000,ROW(),$S$5:$S$1000,"Sub"),$U122))</f>
        <v/>
      </c>
      <c r="Z122" s="70">
        <f>IF($S122="","",IF(N($T122)&gt;0,AVERAGEIFS($V$5:$V$1000,$R$5:$R$1000,ROW(),$S$5:$S$1000,"Sub"),$V122))</f>
        <v/>
      </c>
      <c r="AA122" s="70">
        <f>IF($S122="","",IF(N($T122)&gt;0,AVERAGEIFS($W$5:$W$1000,$R$5:$R$1000,ROW(),$S$5:$S$1000,"Sub"),$W122))</f>
        <v/>
      </c>
      <c r="AB122" s="70">
        <f>IF($S122="","",IF(N($T122)&gt;0,AVERAGEIFS($X$5:$X$1000,$R$5:$R$1000,ROW(),$S$5:$S$1000,"Sub"),$X122))</f>
        <v/>
      </c>
    </row>
    <row r="123">
      <c r="A123" s="61">
        <f>IF(NOT((COUNTA($B123:$K123)+COUNTA($N123))&gt;0),"",IF($S123="Macro",COUNTIFS($S$5:$S123,"Macro",$P$5:$P123,$P123),IF(N($R123)=0,"?",COUNTIFS(INDEX($S$5:$S$1000,1):INDEX($S$5:$S$1000,$R123-4),"Macro",INDEX($P$5:$P$1000,1):INDEX($P$5:$P$1000,$R123-4),INDEX($P$5:$P$1000,$R123-4))&amp;"."&amp;COUNTIFS($R$5:$R123,$R123,$S$5:$S123,"Sub"))))</f>
        <v/>
      </c>
      <c r="B123" s="62" t="n"/>
      <c r="C123" s="63" t="n"/>
      <c r="D123" s="62" t="n"/>
      <c r="E123" s="64" t="n"/>
      <c r="F123" s="64" t="n"/>
      <c r="G123" s="65" t="n"/>
      <c r="H123" s="66" t="n"/>
      <c r="I123" s="66" t="n"/>
      <c r="J123" s="66" t="n"/>
      <c r="K123" s="66" t="n"/>
      <c r="L123" s="67">
        <f>IF(NOT((COUNTA($B123:$K123)+COUNTA($N123))&gt;0),"",IF(N($T123)&gt;0,$AB123,IFERROR(LOOKUP(2,1/(H123:K123&lt;&gt;""),H123:K123),0)))</f>
        <v/>
      </c>
      <c r="M123" s="61">
        <f>IF(L123="","",IF(L123&gt;=1,"Completado",IF(L123&gt;0,"En curso","Pendiente")))</f>
        <v/>
      </c>
      <c r="N123" s="62" t="n"/>
      <c r="O123" s="68">
        <f>IF(NOT((COUNTA($B123:$K123)+COUNTA($N123))&gt;0),"",IF((IF(AND($S123="Macro",$B123=""),"Macroactividad vacía"&amp;" · ","")&amp;IF(AND($B123&lt;&gt;"",$C123&lt;&gt;""),"Escriba la subactividad en otra fila, debajo de su macroactividad"&amp;" · ","")&amp;IF(AND($S123="Sub",N($R123)=0),"Subactividad sin macroactividad arriba"&amp;" · ","")&amp;IF($D123="","Sin responsable"&amp;" · ","")&amp;IF($E123="","Sin fecha de inicio"&amp;" · ","")&amp;IF($F123="","Sin fecha límite"&amp;" · ","")&amp;IF(OR(AND($E123&lt;&gt;"",NOT(ISNUMBER($E123))),AND($F123&lt;&gt;"",NOT(ISNUMBER($F123)))),"Fecha no válida"&amp;" · ","")&amp;IF(AND(ISNUMBER($E123),ISNUMBER($F123),$E123&gt;$F123),"Inicio posterior a fecha límite"&amp;" · ","")&amp;IF(AND($S123="Macro",$G123=""),"Peso vacío"&amp;" · ","")&amp;IF(AND($S123="Macro",$G123&lt;&gt;"",OR(NOT(ISNUMBER($G123)),$G123&lt;=0,$G123&gt;1)),"Peso fuera de rango"&amp;" · ","")&amp;IF(AND($S123="Sub",$G123&lt;&gt;""),"Las subactividades no llevan peso"&amp;" · ","")&amp;IF(AND($S123="Macro",ABS(SUMIFS($G$5:$G$1000,$P$5:$P$1000,$P123,$S$5:$S$1000,"Macro")-1)&gt;0.0001),"Pesos del mes suman "&amp;TEXT(SUMIFS($G$5:$G$1000,$P$5:$P$1000,$P123,$S$5:$S$1000,"Macro"),"0%")&amp;" · ","")&amp;IF(AND(N($T123)&gt;0,COUNT($H123:$K123)&gt;0),"Con subactividades: deje vacías las semanas (se calculan solas)"&amp;" · ","")&amp;IF((COUNTIF($H123:$K123,"&gt;1")+COUNTIF($H123:$K123,"&lt;0")+COUNTA($H123:$K123)-COUNT($H123:$K123))&gt;0,"Avance fuera de rango 0-100%"&amp;" · ","")&amp;IF(OR(AND($I123&lt;&gt;"",$I123&lt;$H123),AND($J123&lt;&gt;"",$J123&lt;MAX($H123:$I123)),AND($K123&lt;&gt;"",$K123&lt;MAX($H123:$J123))),"Avance semanal decreciente"&amp;" · ","")&amp;IF(AND(ISNUMBER($F123),$F123&lt;FechaRef,N($L123)&lt;1),"Vencida"&amp;" · ","")&amp;IF(AND(ObsObligatoria="Sí",ISNUMBER($F123),$F123&lt;FechaRef,N($L123)&lt;1,$N123=""),"Vencida sin observación"&amp;" · ",""))="","✔ OK","⚠ "&amp;LEFT(IF(AND($S123="Macro",$B123=""),"Macroactividad vacía"&amp;" · ","")&amp;IF(AND($B123&lt;&gt;"",$C123&lt;&gt;""),"Escriba la subactividad en otra fila, debajo de su macroactividad"&amp;" · ","")&amp;IF(AND($S123="Sub",N($R123)=0),"Subactividad sin macroactividad arriba"&amp;" · ","")&amp;IF($D123="","Sin responsable"&amp;" · ","")&amp;IF($E123="","Sin fecha de inicio"&amp;" · ","")&amp;IF($F123="","Sin fecha límite"&amp;" · ","")&amp;IF(OR(AND($E123&lt;&gt;"",NOT(ISNUMBER($E123))),AND($F123&lt;&gt;"",NOT(ISNUMBER($F123)))),"Fecha no válida"&amp;" · ","")&amp;IF(AND(ISNUMBER($E123),ISNUMBER($F123),$E123&gt;$F123),"Inicio posterior a fecha límite"&amp;" · ","")&amp;IF(AND($S123="Macro",$G123=""),"Peso vacío"&amp;" · ","")&amp;IF(AND($S123="Macro",$G123&lt;&gt;"",OR(NOT(ISNUMBER($G123)),$G123&lt;=0,$G123&gt;1)),"Peso fuera de rango"&amp;" · ","")&amp;IF(AND($S123="Sub",$G123&lt;&gt;""),"Las subactividades no llevan peso"&amp;" · ","")&amp;IF(AND($S123="Macro",ABS(SUMIFS($G$5:$G$1000,$P$5:$P$1000,$P123,$S$5:$S$1000,"Macro")-1)&gt;0.0001),"Pesos del mes suman "&amp;TEXT(SUMIFS($G$5:$G$1000,$P$5:$P$1000,$P123,$S$5:$S$1000,"Macro"),"0%")&amp;" · ","")&amp;IF(AND(N($T123)&gt;0,COUNT($H123:$K123)&gt;0),"Con subactividades: deje vacías las semanas (se calculan solas)"&amp;" · ","")&amp;IF((COUNTIF($H123:$K123,"&gt;1")+COUNTIF($H123:$K123,"&lt;0")+COUNTA($H123:$K123)-COUNT($H123:$K123))&gt;0,"Avance fuera de rango 0-100%"&amp;" · ","")&amp;IF(OR(AND($I123&lt;&gt;"",$I123&lt;$H123),AND($J123&lt;&gt;"",$J123&lt;MAX($H123:$I123)),AND($K123&lt;&gt;"",$K123&lt;MAX($H123:$J123))),"Avance semanal decreciente"&amp;" · ","")&amp;IF(AND(ISNUMBER($F123),$F123&lt;FechaRef,N($L123)&lt;1),"Vencida"&amp;" · ","")&amp;IF(AND(ObsObligatoria="Sí",ISNUMBER($F123),$F123&lt;FechaRef,N($L123)&lt;1,$N123=""),"Vencida sin observación"&amp;" · ",""),LEN(IF(AND($S123="Macro",$B123=""),"Macroactividad vacía"&amp;" · ","")&amp;IF(AND($B123&lt;&gt;"",$C123&lt;&gt;""),"Escriba la subactividad en otra fila, debajo de su macroactividad"&amp;" · ","")&amp;IF(AND($S123="Sub",N($R123)=0),"Subactividad sin macroactividad arriba"&amp;" · ","")&amp;IF($D123="","Sin responsable"&amp;" · ","")&amp;IF($E123="","Sin fecha de inicio"&amp;" · ","")&amp;IF($F123="","Sin fecha límite"&amp;" · ","")&amp;IF(OR(AND($E123&lt;&gt;"",NOT(ISNUMBER($E123))),AND($F123&lt;&gt;"",NOT(ISNUMBER($F123)))),"Fecha no válida"&amp;" · ","")&amp;IF(AND(ISNUMBER($E123),ISNUMBER($F123),$E123&gt;$F123),"Inicio posterior a fecha límite"&amp;" · ","")&amp;IF(AND($S123="Macro",$G123=""),"Peso vacío"&amp;" · ","")&amp;IF(AND($S123="Macro",$G123&lt;&gt;"",OR(NOT(ISNUMBER($G123)),$G123&lt;=0,$G123&gt;1)),"Peso fuera de rango"&amp;" · ","")&amp;IF(AND($S123="Sub",$G123&lt;&gt;""),"Las subactividades no llevan peso"&amp;" · ","")&amp;IF(AND($S123="Macro",ABS(SUMIFS($G$5:$G$1000,$P$5:$P$1000,$P123,$S$5:$S$1000,"Macro")-1)&gt;0.0001),"Pesos del mes suman "&amp;TEXT(SUMIFS($G$5:$G$1000,$P$5:$P$1000,$P123,$S$5:$S$1000,"Macro"),"0%")&amp;" · ","")&amp;IF(AND(N($T123)&gt;0,COUNT($H123:$K123)&gt;0),"Con subactividades: deje vacías las semanas (se calculan solas)"&amp;" · ","")&amp;IF((COUNTIF($H123:$K123,"&gt;1")+COUNTIF($H123:$K123,"&lt;0")+COUNTA($H123:$K123)-COUNT($H123:$K123))&gt;0,"Avance fuera de rango 0-100%"&amp;" · ","")&amp;IF(OR(AND($I123&lt;&gt;"",$I123&lt;$H123),AND($J123&lt;&gt;"",$J123&lt;MAX($H123:$I123)),AND($K123&lt;&gt;"",$K123&lt;MAX($H123:$J123))),"Avance semanal decreciente"&amp;" · ","")&amp;IF(AND(ISNUMBER($F123),$F123&lt;FechaRef,N($L123)&lt;1),"Vencida"&amp;" · ","")&amp;IF(AND(ObsObligatoria="Sí",ISNUMBER($F123),$F123&lt;FechaRef,N($L123)&lt;1,$N123=""),"Vencida sin observación"&amp;" · ",""))-3)))</f>
        <v/>
      </c>
      <c r="P123" s="69">
        <f>IF(NOT((COUNTA($B123:$K123)+COUNTA($N123))&gt;0),"",IF(AND($S123="Sub",N($R123)&gt;0),IF(ISNUMBER(INDEX($E$5:$E$1000,$R123-4)),DATE(YEAR(INDEX($E$5:$E$1000,$R123-4)),MONTH(INDEX($E$5:$E$1000,$R123-4)),1),IF(ISNUMBER(INDEX($F$5:$F$1000,$R123-4)),DATE(YEAR(INDEX($F$5:$F$1000,$R123-4)),MONTH(INDEX($F$5:$F$1000,$R123-4)),1),MesCiclo)),IF(ISNUMBER($E123),DATE(YEAR($E123),MONTH($E123),1),IF(ISNUMBER($F123),DATE(YEAR($F123),MONTH($F123),1),MesCiclo))))</f>
        <v/>
      </c>
      <c r="Q123" s="70">
        <f>IF(OR($P123="",$P123&lt;&gt;MesCiclo),"",COUNTIF($P$5:$P123,MesCiclo))</f>
        <v/>
      </c>
      <c r="R123" s="70">
        <f>IF($S123="","",IF($S123="Macro",ROW(),IFERROR(LOOKUP(2,1/($S$5:$S123="Macro"),ROW($S$5:$S123)),0)))</f>
        <v/>
      </c>
      <c r="S123" s="70">
        <f>IF(NOT((COUNTA($B123:$K123)+COUNTA($N123))&gt;0),"",IF($B123&lt;&gt;"","Macro",IF($C123&lt;&gt;"","Sub","Macro")))</f>
        <v/>
      </c>
      <c r="T123" s="70">
        <f>IF($S123="Macro",COUNTIFS($R$5:$R$1000,ROW(),$S$5:$S$1000,"Sub"),"")</f>
        <v/>
      </c>
      <c r="U123" s="70">
        <f>IF($S123="","",IF(ISNUMBER($H123),$H123,0))</f>
        <v/>
      </c>
      <c r="V123" s="70">
        <f>IF($S123="","",IF(ISNUMBER($I123),$I123,$U123))</f>
        <v/>
      </c>
      <c r="W123" s="70">
        <f>IF($S123="","",IF(ISNUMBER($J123),$J123,$V123))</f>
        <v/>
      </c>
      <c r="X123" s="70">
        <f>IF($S123="","",IF(ISNUMBER($K123),$K123,$W123))</f>
        <v/>
      </c>
      <c r="Y123" s="70">
        <f>IF($S123="","",IF(N($T123)&gt;0,AVERAGEIFS($U$5:$U$1000,$R$5:$R$1000,ROW(),$S$5:$S$1000,"Sub"),$U123))</f>
        <v/>
      </c>
      <c r="Z123" s="70">
        <f>IF($S123="","",IF(N($T123)&gt;0,AVERAGEIFS($V$5:$V$1000,$R$5:$R$1000,ROW(),$S$5:$S$1000,"Sub"),$V123))</f>
        <v/>
      </c>
      <c r="AA123" s="70">
        <f>IF($S123="","",IF(N($T123)&gt;0,AVERAGEIFS($W$5:$W$1000,$R$5:$R$1000,ROW(),$S$5:$S$1000,"Sub"),$W123))</f>
        <v/>
      </c>
      <c r="AB123" s="70">
        <f>IF($S123="","",IF(N($T123)&gt;0,AVERAGEIFS($X$5:$X$1000,$R$5:$R$1000,ROW(),$S$5:$S$1000,"Sub"),$X123))</f>
        <v/>
      </c>
    </row>
    <row r="124">
      <c r="A124" s="61">
        <f>IF(NOT((COUNTA($B124:$K124)+COUNTA($N124))&gt;0),"",IF($S124="Macro",COUNTIFS($S$5:$S124,"Macro",$P$5:$P124,$P124),IF(N($R124)=0,"?",COUNTIFS(INDEX($S$5:$S$1000,1):INDEX($S$5:$S$1000,$R124-4),"Macro",INDEX($P$5:$P$1000,1):INDEX($P$5:$P$1000,$R124-4),INDEX($P$5:$P$1000,$R124-4))&amp;"."&amp;COUNTIFS($R$5:$R124,$R124,$S$5:$S124,"Sub"))))</f>
        <v/>
      </c>
      <c r="B124" s="62" t="n"/>
      <c r="C124" s="63" t="n"/>
      <c r="D124" s="62" t="n"/>
      <c r="E124" s="64" t="n"/>
      <c r="F124" s="64" t="n"/>
      <c r="G124" s="65" t="n"/>
      <c r="H124" s="66" t="n"/>
      <c r="I124" s="66" t="n"/>
      <c r="J124" s="66" t="n"/>
      <c r="K124" s="66" t="n"/>
      <c r="L124" s="67">
        <f>IF(NOT((COUNTA($B124:$K124)+COUNTA($N124))&gt;0),"",IF(N($T124)&gt;0,$AB124,IFERROR(LOOKUP(2,1/(H124:K124&lt;&gt;""),H124:K124),0)))</f>
        <v/>
      </c>
      <c r="M124" s="61">
        <f>IF(L124="","",IF(L124&gt;=1,"Completado",IF(L124&gt;0,"En curso","Pendiente")))</f>
        <v/>
      </c>
      <c r="N124" s="62" t="n"/>
      <c r="O124" s="68">
        <f>IF(NOT((COUNTA($B124:$K124)+COUNTA($N124))&gt;0),"",IF((IF(AND($S124="Macro",$B124=""),"Macroactividad vacía"&amp;" · ","")&amp;IF(AND($B124&lt;&gt;"",$C124&lt;&gt;""),"Escriba la subactividad en otra fila, debajo de su macroactividad"&amp;" · ","")&amp;IF(AND($S124="Sub",N($R124)=0),"Subactividad sin macroactividad arriba"&amp;" · ","")&amp;IF($D124="","Sin responsable"&amp;" · ","")&amp;IF($E124="","Sin fecha de inicio"&amp;" · ","")&amp;IF($F124="","Sin fecha límite"&amp;" · ","")&amp;IF(OR(AND($E124&lt;&gt;"",NOT(ISNUMBER($E124))),AND($F124&lt;&gt;"",NOT(ISNUMBER($F124)))),"Fecha no válida"&amp;" · ","")&amp;IF(AND(ISNUMBER($E124),ISNUMBER($F124),$E124&gt;$F124),"Inicio posterior a fecha límite"&amp;" · ","")&amp;IF(AND($S124="Macro",$G124=""),"Peso vacío"&amp;" · ","")&amp;IF(AND($S124="Macro",$G124&lt;&gt;"",OR(NOT(ISNUMBER($G124)),$G124&lt;=0,$G124&gt;1)),"Peso fuera de rango"&amp;" · ","")&amp;IF(AND($S124="Sub",$G124&lt;&gt;""),"Las subactividades no llevan peso"&amp;" · ","")&amp;IF(AND($S124="Macro",ABS(SUMIFS($G$5:$G$1000,$P$5:$P$1000,$P124,$S$5:$S$1000,"Macro")-1)&gt;0.0001),"Pesos del mes suman "&amp;TEXT(SUMIFS($G$5:$G$1000,$P$5:$P$1000,$P124,$S$5:$S$1000,"Macro"),"0%")&amp;" · ","")&amp;IF(AND(N($T124)&gt;0,COUNT($H124:$K124)&gt;0),"Con subactividades: deje vacías las semanas (se calculan solas)"&amp;" · ","")&amp;IF((COUNTIF($H124:$K124,"&gt;1")+COUNTIF($H124:$K124,"&lt;0")+COUNTA($H124:$K124)-COUNT($H124:$K124))&gt;0,"Avance fuera de rango 0-100%"&amp;" · ","")&amp;IF(OR(AND($I124&lt;&gt;"",$I124&lt;$H124),AND($J124&lt;&gt;"",$J124&lt;MAX($H124:$I124)),AND($K124&lt;&gt;"",$K124&lt;MAX($H124:$J124))),"Avance semanal decreciente"&amp;" · ","")&amp;IF(AND(ISNUMBER($F124),$F124&lt;FechaRef,N($L124)&lt;1),"Vencida"&amp;" · ","")&amp;IF(AND(ObsObligatoria="Sí",ISNUMBER($F124),$F124&lt;FechaRef,N($L124)&lt;1,$N124=""),"Vencida sin observación"&amp;" · ",""))="","✔ OK","⚠ "&amp;LEFT(IF(AND($S124="Macro",$B124=""),"Macroactividad vacía"&amp;" · ","")&amp;IF(AND($B124&lt;&gt;"",$C124&lt;&gt;""),"Escriba la subactividad en otra fila, debajo de su macroactividad"&amp;" · ","")&amp;IF(AND($S124="Sub",N($R124)=0),"Subactividad sin macroactividad arriba"&amp;" · ","")&amp;IF($D124="","Sin responsable"&amp;" · ","")&amp;IF($E124="","Sin fecha de inicio"&amp;" · ","")&amp;IF($F124="","Sin fecha límite"&amp;" · ","")&amp;IF(OR(AND($E124&lt;&gt;"",NOT(ISNUMBER($E124))),AND($F124&lt;&gt;"",NOT(ISNUMBER($F124)))),"Fecha no válida"&amp;" · ","")&amp;IF(AND(ISNUMBER($E124),ISNUMBER($F124),$E124&gt;$F124),"Inicio posterior a fecha límite"&amp;" · ","")&amp;IF(AND($S124="Macro",$G124=""),"Peso vacío"&amp;" · ","")&amp;IF(AND($S124="Macro",$G124&lt;&gt;"",OR(NOT(ISNUMBER($G124)),$G124&lt;=0,$G124&gt;1)),"Peso fuera de rango"&amp;" · ","")&amp;IF(AND($S124="Sub",$G124&lt;&gt;""),"Las subactividades no llevan peso"&amp;" · ","")&amp;IF(AND($S124="Macro",ABS(SUMIFS($G$5:$G$1000,$P$5:$P$1000,$P124,$S$5:$S$1000,"Macro")-1)&gt;0.0001),"Pesos del mes suman "&amp;TEXT(SUMIFS($G$5:$G$1000,$P$5:$P$1000,$P124,$S$5:$S$1000,"Macro"),"0%")&amp;" · ","")&amp;IF(AND(N($T124)&gt;0,COUNT($H124:$K124)&gt;0),"Con subactividades: deje vacías las semanas (se calculan solas)"&amp;" · ","")&amp;IF((COUNTIF($H124:$K124,"&gt;1")+COUNTIF($H124:$K124,"&lt;0")+COUNTA($H124:$K124)-COUNT($H124:$K124))&gt;0,"Avance fuera de rango 0-100%"&amp;" · ","")&amp;IF(OR(AND($I124&lt;&gt;"",$I124&lt;$H124),AND($J124&lt;&gt;"",$J124&lt;MAX($H124:$I124)),AND($K124&lt;&gt;"",$K124&lt;MAX($H124:$J124))),"Avance semanal decreciente"&amp;" · ","")&amp;IF(AND(ISNUMBER($F124),$F124&lt;FechaRef,N($L124)&lt;1),"Vencida"&amp;" · ","")&amp;IF(AND(ObsObligatoria="Sí",ISNUMBER($F124),$F124&lt;FechaRef,N($L124)&lt;1,$N124=""),"Vencida sin observación"&amp;" · ",""),LEN(IF(AND($S124="Macro",$B124=""),"Macroactividad vacía"&amp;" · ","")&amp;IF(AND($B124&lt;&gt;"",$C124&lt;&gt;""),"Escriba la subactividad en otra fila, debajo de su macroactividad"&amp;" · ","")&amp;IF(AND($S124="Sub",N($R124)=0),"Subactividad sin macroactividad arriba"&amp;" · ","")&amp;IF($D124="","Sin responsable"&amp;" · ","")&amp;IF($E124="","Sin fecha de inicio"&amp;" · ","")&amp;IF($F124="","Sin fecha límite"&amp;" · ","")&amp;IF(OR(AND($E124&lt;&gt;"",NOT(ISNUMBER($E124))),AND($F124&lt;&gt;"",NOT(ISNUMBER($F124)))),"Fecha no válida"&amp;" · ","")&amp;IF(AND(ISNUMBER($E124),ISNUMBER($F124),$E124&gt;$F124),"Inicio posterior a fecha límite"&amp;" · ","")&amp;IF(AND($S124="Macro",$G124=""),"Peso vacío"&amp;" · ","")&amp;IF(AND($S124="Macro",$G124&lt;&gt;"",OR(NOT(ISNUMBER($G124)),$G124&lt;=0,$G124&gt;1)),"Peso fuera de rango"&amp;" · ","")&amp;IF(AND($S124="Sub",$G124&lt;&gt;""),"Las subactividades no llevan peso"&amp;" · ","")&amp;IF(AND($S124="Macro",ABS(SUMIFS($G$5:$G$1000,$P$5:$P$1000,$P124,$S$5:$S$1000,"Macro")-1)&gt;0.0001),"Pesos del mes suman "&amp;TEXT(SUMIFS($G$5:$G$1000,$P$5:$P$1000,$P124,$S$5:$S$1000,"Macro"),"0%")&amp;" · ","")&amp;IF(AND(N($T124)&gt;0,COUNT($H124:$K124)&gt;0),"Con subactividades: deje vacías las semanas (se calculan solas)"&amp;" · ","")&amp;IF((COUNTIF($H124:$K124,"&gt;1")+COUNTIF($H124:$K124,"&lt;0")+COUNTA($H124:$K124)-COUNT($H124:$K124))&gt;0,"Avance fuera de rango 0-100%"&amp;" · ","")&amp;IF(OR(AND($I124&lt;&gt;"",$I124&lt;$H124),AND($J124&lt;&gt;"",$J124&lt;MAX($H124:$I124)),AND($K124&lt;&gt;"",$K124&lt;MAX($H124:$J124))),"Avance semanal decreciente"&amp;" · ","")&amp;IF(AND(ISNUMBER($F124),$F124&lt;FechaRef,N($L124)&lt;1),"Vencida"&amp;" · ","")&amp;IF(AND(ObsObligatoria="Sí",ISNUMBER($F124),$F124&lt;FechaRef,N($L124)&lt;1,$N124=""),"Vencida sin observación"&amp;" · ",""))-3)))</f>
        <v/>
      </c>
      <c r="P124" s="69">
        <f>IF(NOT((COUNTA($B124:$K124)+COUNTA($N124))&gt;0),"",IF(AND($S124="Sub",N($R124)&gt;0),IF(ISNUMBER(INDEX($E$5:$E$1000,$R124-4)),DATE(YEAR(INDEX($E$5:$E$1000,$R124-4)),MONTH(INDEX($E$5:$E$1000,$R124-4)),1),IF(ISNUMBER(INDEX($F$5:$F$1000,$R124-4)),DATE(YEAR(INDEX($F$5:$F$1000,$R124-4)),MONTH(INDEX($F$5:$F$1000,$R124-4)),1),MesCiclo)),IF(ISNUMBER($E124),DATE(YEAR($E124),MONTH($E124),1),IF(ISNUMBER($F124),DATE(YEAR($F124),MONTH($F124),1),MesCiclo))))</f>
        <v/>
      </c>
      <c r="Q124" s="70">
        <f>IF(OR($P124="",$P124&lt;&gt;MesCiclo),"",COUNTIF($P$5:$P124,MesCiclo))</f>
        <v/>
      </c>
      <c r="R124" s="70">
        <f>IF($S124="","",IF($S124="Macro",ROW(),IFERROR(LOOKUP(2,1/($S$5:$S124="Macro"),ROW($S$5:$S124)),0)))</f>
        <v/>
      </c>
      <c r="S124" s="70">
        <f>IF(NOT((COUNTA($B124:$K124)+COUNTA($N124))&gt;0),"",IF($B124&lt;&gt;"","Macro",IF($C124&lt;&gt;"","Sub","Macro")))</f>
        <v/>
      </c>
      <c r="T124" s="70">
        <f>IF($S124="Macro",COUNTIFS($R$5:$R$1000,ROW(),$S$5:$S$1000,"Sub"),"")</f>
        <v/>
      </c>
      <c r="U124" s="70">
        <f>IF($S124="","",IF(ISNUMBER($H124),$H124,0))</f>
        <v/>
      </c>
      <c r="V124" s="70">
        <f>IF($S124="","",IF(ISNUMBER($I124),$I124,$U124))</f>
        <v/>
      </c>
      <c r="W124" s="70">
        <f>IF($S124="","",IF(ISNUMBER($J124),$J124,$V124))</f>
        <v/>
      </c>
      <c r="X124" s="70">
        <f>IF($S124="","",IF(ISNUMBER($K124),$K124,$W124))</f>
        <v/>
      </c>
      <c r="Y124" s="70">
        <f>IF($S124="","",IF(N($T124)&gt;0,AVERAGEIFS($U$5:$U$1000,$R$5:$R$1000,ROW(),$S$5:$S$1000,"Sub"),$U124))</f>
        <v/>
      </c>
      <c r="Z124" s="70">
        <f>IF($S124="","",IF(N($T124)&gt;0,AVERAGEIFS($V$5:$V$1000,$R$5:$R$1000,ROW(),$S$5:$S$1000,"Sub"),$V124))</f>
        <v/>
      </c>
      <c r="AA124" s="70">
        <f>IF($S124="","",IF(N($T124)&gt;0,AVERAGEIFS($W$5:$W$1000,$R$5:$R$1000,ROW(),$S$5:$S$1000,"Sub"),$W124))</f>
        <v/>
      </c>
      <c r="AB124" s="70">
        <f>IF($S124="","",IF(N($T124)&gt;0,AVERAGEIFS($X$5:$X$1000,$R$5:$R$1000,ROW(),$S$5:$S$1000,"Sub"),$X124))</f>
        <v/>
      </c>
    </row>
    <row r="125">
      <c r="A125" s="61">
        <f>IF(NOT((COUNTA($B125:$K125)+COUNTA($N125))&gt;0),"",IF($S125="Macro",COUNTIFS($S$5:$S125,"Macro",$P$5:$P125,$P125),IF(N($R125)=0,"?",COUNTIFS(INDEX($S$5:$S$1000,1):INDEX($S$5:$S$1000,$R125-4),"Macro",INDEX($P$5:$P$1000,1):INDEX($P$5:$P$1000,$R125-4),INDEX($P$5:$P$1000,$R125-4))&amp;"."&amp;COUNTIFS($R$5:$R125,$R125,$S$5:$S125,"Sub"))))</f>
        <v/>
      </c>
      <c r="B125" s="62" t="n"/>
      <c r="C125" s="63" t="n"/>
      <c r="D125" s="62" t="n"/>
      <c r="E125" s="64" t="n"/>
      <c r="F125" s="64" t="n"/>
      <c r="G125" s="65" t="n"/>
      <c r="H125" s="66" t="n"/>
      <c r="I125" s="66" t="n"/>
      <c r="J125" s="66" t="n"/>
      <c r="K125" s="66" t="n"/>
      <c r="L125" s="67">
        <f>IF(NOT((COUNTA($B125:$K125)+COUNTA($N125))&gt;0),"",IF(N($T125)&gt;0,$AB125,IFERROR(LOOKUP(2,1/(H125:K125&lt;&gt;""),H125:K125),0)))</f>
        <v/>
      </c>
      <c r="M125" s="61">
        <f>IF(L125="","",IF(L125&gt;=1,"Completado",IF(L125&gt;0,"En curso","Pendiente")))</f>
        <v/>
      </c>
      <c r="N125" s="62" t="n"/>
      <c r="O125" s="68">
        <f>IF(NOT((COUNTA($B125:$K125)+COUNTA($N125))&gt;0),"",IF((IF(AND($S125="Macro",$B125=""),"Macroactividad vacía"&amp;" · ","")&amp;IF(AND($B125&lt;&gt;"",$C125&lt;&gt;""),"Escriba la subactividad en otra fila, debajo de su macroactividad"&amp;" · ","")&amp;IF(AND($S125="Sub",N($R125)=0),"Subactividad sin macroactividad arriba"&amp;" · ","")&amp;IF($D125="","Sin responsable"&amp;" · ","")&amp;IF($E125="","Sin fecha de inicio"&amp;" · ","")&amp;IF($F125="","Sin fecha límite"&amp;" · ","")&amp;IF(OR(AND($E125&lt;&gt;"",NOT(ISNUMBER($E125))),AND($F125&lt;&gt;"",NOT(ISNUMBER($F125)))),"Fecha no válida"&amp;" · ","")&amp;IF(AND(ISNUMBER($E125),ISNUMBER($F125),$E125&gt;$F125),"Inicio posterior a fecha límite"&amp;" · ","")&amp;IF(AND($S125="Macro",$G125=""),"Peso vacío"&amp;" · ","")&amp;IF(AND($S125="Macro",$G125&lt;&gt;"",OR(NOT(ISNUMBER($G125)),$G125&lt;=0,$G125&gt;1)),"Peso fuera de rango"&amp;" · ","")&amp;IF(AND($S125="Sub",$G125&lt;&gt;""),"Las subactividades no llevan peso"&amp;" · ","")&amp;IF(AND($S125="Macro",ABS(SUMIFS($G$5:$G$1000,$P$5:$P$1000,$P125,$S$5:$S$1000,"Macro")-1)&gt;0.0001),"Pesos del mes suman "&amp;TEXT(SUMIFS($G$5:$G$1000,$P$5:$P$1000,$P125,$S$5:$S$1000,"Macro"),"0%")&amp;" · ","")&amp;IF(AND(N($T125)&gt;0,COUNT($H125:$K125)&gt;0),"Con subactividades: deje vacías las semanas (se calculan solas)"&amp;" · ","")&amp;IF((COUNTIF($H125:$K125,"&gt;1")+COUNTIF($H125:$K125,"&lt;0")+COUNTA($H125:$K125)-COUNT($H125:$K125))&gt;0,"Avance fuera de rango 0-100%"&amp;" · ","")&amp;IF(OR(AND($I125&lt;&gt;"",$I125&lt;$H125),AND($J125&lt;&gt;"",$J125&lt;MAX($H125:$I125)),AND($K125&lt;&gt;"",$K125&lt;MAX($H125:$J125))),"Avance semanal decreciente"&amp;" · ","")&amp;IF(AND(ISNUMBER($F125),$F125&lt;FechaRef,N($L125)&lt;1),"Vencida"&amp;" · ","")&amp;IF(AND(ObsObligatoria="Sí",ISNUMBER($F125),$F125&lt;FechaRef,N($L125)&lt;1,$N125=""),"Vencida sin observación"&amp;" · ",""))="","✔ OK","⚠ "&amp;LEFT(IF(AND($S125="Macro",$B125=""),"Macroactividad vacía"&amp;" · ","")&amp;IF(AND($B125&lt;&gt;"",$C125&lt;&gt;""),"Escriba la subactividad en otra fila, debajo de su macroactividad"&amp;" · ","")&amp;IF(AND($S125="Sub",N($R125)=0),"Subactividad sin macroactividad arriba"&amp;" · ","")&amp;IF($D125="","Sin responsable"&amp;" · ","")&amp;IF($E125="","Sin fecha de inicio"&amp;" · ","")&amp;IF($F125="","Sin fecha límite"&amp;" · ","")&amp;IF(OR(AND($E125&lt;&gt;"",NOT(ISNUMBER($E125))),AND($F125&lt;&gt;"",NOT(ISNUMBER($F125)))),"Fecha no válida"&amp;" · ","")&amp;IF(AND(ISNUMBER($E125),ISNUMBER($F125),$E125&gt;$F125),"Inicio posterior a fecha límite"&amp;" · ","")&amp;IF(AND($S125="Macro",$G125=""),"Peso vacío"&amp;" · ","")&amp;IF(AND($S125="Macro",$G125&lt;&gt;"",OR(NOT(ISNUMBER($G125)),$G125&lt;=0,$G125&gt;1)),"Peso fuera de rango"&amp;" · ","")&amp;IF(AND($S125="Sub",$G125&lt;&gt;""),"Las subactividades no llevan peso"&amp;" · ","")&amp;IF(AND($S125="Macro",ABS(SUMIFS($G$5:$G$1000,$P$5:$P$1000,$P125,$S$5:$S$1000,"Macro")-1)&gt;0.0001),"Pesos del mes suman "&amp;TEXT(SUMIFS($G$5:$G$1000,$P$5:$P$1000,$P125,$S$5:$S$1000,"Macro"),"0%")&amp;" · ","")&amp;IF(AND(N($T125)&gt;0,COUNT($H125:$K125)&gt;0),"Con subactividades: deje vacías las semanas (se calculan solas)"&amp;" · ","")&amp;IF((COUNTIF($H125:$K125,"&gt;1")+COUNTIF($H125:$K125,"&lt;0")+COUNTA($H125:$K125)-COUNT($H125:$K125))&gt;0,"Avance fuera de rango 0-100%"&amp;" · ","")&amp;IF(OR(AND($I125&lt;&gt;"",$I125&lt;$H125),AND($J125&lt;&gt;"",$J125&lt;MAX($H125:$I125)),AND($K125&lt;&gt;"",$K125&lt;MAX($H125:$J125))),"Avance semanal decreciente"&amp;" · ","")&amp;IF(AND(ISNUMBER($F125),$F125&lt;FechaRef,N($L125)&lt;1),"Vencida"&amp;" · ","")&amp;IF(AND(ObsObligatoria="Sí",ISNUMBER($F125),$F125&lt;FechaRef,N($L125)&lt;1,$N125=""),"Vencida sin observación"&amp;" · ",""),LEN(IF(AND($S125="Macro",$B125=""),"Macroactividad vacía"&amp;" · ","")&amp;IF(AND($B125&lt;&gt;"",$C125&lt;&gt;""),"Escriba la subactividad en otra fila, debajo de su macroactividad"&amp;" · ","")&amp;IF(AND($S125="Sub",N($R125)=0),"Subactividad sin macroactividad arriba"&amp;" · ","")&amp;IF($D125="","Sin responsable"&amp;" · ","")&amp;IF($E125="","Sin fecha de inicio"&amp;" · ","")&amp;IF($F125="","Sin fecha límite"&amp;" · ","")&amp;IF(OR(AND($E125&lt;&gt;"",NOT(ISNUMBER($E125))),AND($F125&lt;&gt;"",NOT(ISNUMBER($F125)))),"Fecha no válida"&amp;" · ","")&amp;IF(AND(ISNUMBER($E125),ISNUMBER($F125),$E125&gt;$F125),"Inicio posterior a fecha límite"&amp;" · ","")&amp;IF(AND($S125="Macro",$G125=""),"Peso vacío"&amp;" · ","")&amp;IF(AND($S125="Macro",$G125&lt;&gt;"",OR(NOT(ISNUMBER($G125)),$G125&lt;=0,$G125&gt;1)),"Peso fuera de rango"&amp;" · ","")&amp;IF(AND($S125="Sub",$G125&lt;&gt;""),"Las subactividades no llevan peso"&amp;" · ","")&amp;IF(AND($S125="Macro",ABS(SUMIFS($G$5:$G$1000,$P$5:$P$1000,$P125,$S$5:$S$1000,"Macro")-1)&gt;0.0001),"Pesos del mes suman "&amp;TEXT(SUMIFS($G$5:$G$1000,$P$5:$P$1000,$P125,$S$5:$S$1000,"Macro"),"0%")&amp;" · ","")&amp;IF(AND(N($T125)&gt;0,COUNT($H125:$K125)&gt;0),"Con subactividades: deje vacías las semanas (se calculan solas)"&amp;" · ","")&amp;IF((COUNTIF($H125:$K125,"&gt;1")+COUNTIF($H125:$K125,"&lt;0")+COUNTA($H125:$K125)-COUNT($H125:$K125))&gt;0,"Avance fuera de rango 0-100%"&amp;" · ","")&amp;IF(OR(AND($I125&lt;&gt;"",$I125&lt;$H125),AND($J125&lt;&gt;"",$J125&lt;MAX($H125:$I125)),AND($K125&lt;&gt;"",$K125&lt;MAX($H125:$J125))),"Avance semanal decreciente"&amp;" · ","")&amp;IF(AND(ISNUMBER($F125),$F125&lt;FechaRef,N($L125)&lt;1),"Vencida"&amp;" · ","")&amp;IF(AND(ObsObligatoria="Sí",ISNUMBER($F125),$F125&lt;FechaRef,N($L125)&lt;1,$N125=""),"Vencida sin observación"&amp;" · ",""))-3)))</f>
        <v/>
      </c>
      <c r="P125" s="69">
        <f>IF(NOT((COUNTA($B125:$K125)+COUNTA($N125))&gt;0),"",IF(AND($S125="Sub",N($R125)&gt;0),IF(ISNUMBER(INDEX($E$5:$E$1000,$R125-4)),DATE(YEAR(INDEX($E$5:$E$1000,$R125-4)),MONTH(INDEX($E$5:$E$1000,$R125-4)),1),IF(ISNUMBER(INDEX($F$5:$F$1000,$R125-4)),DATE(YEAR(INDEX($F$5:$F$1000,$R125-4)),MONTH(INDEX($F$5:$F$1000,$R125-4)),1),MesCiclo)),IF(ISNUMBER($E125),DATE(YEAR($E125),MONTH($E125),1),IF(ISNUMBER($F125),DATE(YEAR($F125),MONTH($F125),1),MesCiclo))))</f>
        <v/>
      </c>
      <c r="Q125" s="70">
        <f>IF(OR($P125="",$P125&lt;&gt;MesCiclo),"",COUNTIF($P$5:$P125,MesCiclo))</f>
        <v/>
      </c>
      <c r="R125" s="70">
        <f>IF($S125="","",IF($S125="Macro",ROW(),IFERROR(LOOKUP(2,1/($S$5:$S125="Macro"),ROW($S$5:$S125)),0)))</f>
        <v/>
      </c>
      <c r="S125" s="70">
        <f>IF(NOT((COUNTA($B125:$K125)+COUNTA($N125))&gt;0),"",IF($B125&lt;&gt;"","Macro",IF($C125&lt;&gt;"","Sub","Macro")))</f>
        <v/>
      </c>
      <c r="T125" s="70">
        <f>IF($S125="Macro",COUNTIFS($R$5:$R$1000,ROW(),$S$5:$S$1000,"Sub"),"")</f>
        <v/>
      </c>
      <c r="U125" s="70">
        <f>IF($S125="","",IF(ISNUMBER($H125),$H125,0))</f>
        <v/>
      </c>
      <c r="V125" s="70">
        <f>IF($S125="","",IF(ISNUMBER($I125),$I125,$U125))</f>
        <v/>
      </c>
      <c r="W125" s="70">
        <f>IF($S125="","",IF(ISNUMBER($J125),$J125,$V125))</f>
        <v/>
      </c>
      <c r="X125" s="70">
        <f>IF($S125="","",IF(ISNUMBER($K125),$K125,$W125))</f>
        <v/>
      </c>
      <c r="Y125" s="70">
        <f>IF($S125="","",IF(N($T125)&gt;0,AVERAGEIFS($U$5:$U$1000,$R$5:$R$1000,ROW(),$S$5:$S$1000,"Sub"),$U125))</f>
        <v/>
      </c>
      <c r="Z125" s="70">
        <f>IF($S125="","",IF(N($T125)&gt;0,AVERAGEIFS($V$5:$V$1000,$R$5:$R$1000,ROW(),$S$5:$S$1000,"Sub"),$V125))</f>
        <v/>
      </c>
      <c r="AA125" s="70">
        <f>IF($S125="","",IF(N($T125)&gt;0,AVERAGEIFS($W$5:$W$1000,$R$5:$R$1000,ROW(),$S$5:$S$1000,"Sub"),$W125))</f>
        <v/>
      </c>
      <c r="AB125" s="70">
        <f>IF($S125="","",IF(N($T125)&gt;0,AVERAGEIFS($X$5:$X$1000,$R$5:$R$1000,ROW(),$S$5:$S$1000,"Sub"),$X125))</f>
        <v/>
      </c>
    </row>
    <row r="126">
      <c r="A126" s="61">
        <f>IF(NOT((COUNTA($B126:$K126)+COUNTA($N126))&gt;0),"",IF($S126="Macro",COUNTIFS($S$5:$S126,"Macro",$P$5:$P126,$P126),IF(N($R126)=0,"?",COUNTIFS(INDEX($S$5:$S$1000,1):INDEX($S$5:$S$1000,$R126-4),"Macro",INDEX($P$5:$P$1000,1):INDEX($P$5:$P$1000,$R126-4),INDEX($P$5:$P$1000,$R126-4))&amp;"."&amp;COUNTIFS($R$5:$R126,$R126,$S$5:$S126,"Sub"))))</f>
        <v/>
      </c>
      <c r="B126" s="62" t="n"/>
      <c r="C126" s="63" t="n"/>
      <c r="D126" s="62" t="n"/>
      <c r="E126" s="64" t="n"/>
      <c r="F126" s="64" t="n"/>
      <c r="G126" s="65" t="n"/>
      <c r="H126" s="66" t="n"/>
      <c r="I126" s="66" t="n"/>
      <c r="J126" s="66" t="n"/>
      <c r="K126" s="66" t="n"/>
      <c r="L126" s="67">
        <f>IF(NOT((COUNTA($B126:$K126)+COUNTA($N126))&gt;0),"",IF(N($T126)&gt;0,$AB126,IFERROR(LOOKUP(2,1/(H126:K126&lt;&gt;""),H126:K126),0)))</f>
        <v/>
      </c>
      <c r="M126" s="61">
        <f>IF(L126="","",IF(L126&gt;=1,"Completado",IF(L126&gt;0,"En curso","Pendiente")))</f>
        <v/>
      </c>
      <c r="N126" s="62" t="n"/>
      <c r="O126" s="68">
        <f>IF(NOT((COUNTA($B126:$K126)+COUNTA($N126))&gt;0),"",IF((IF(AND($S126="Macro",$B126=""),"Macroactividad vacía"&amp;" · ","")&amp;IF(AND($B126&lt;&gt;"",$C126&lt;&gt;""),"Escriba la subactividad en otra fila, debajo de su macroactividad"&amp;" · ","")&amp;IF(AND($S126="Sub",N($R126)=0),"Subactividad sin macroactividad arriba"&amp;" · ","")&amp;IF($D126="","Sin responsable"&amp;" · ","")&amp;IF($E126="","Sin fecha de inicio"&amp;" · ","")&amp;IF($F126="","Sin fecha límite"&amp;" · ","")&amp;IF(OR(AND($E126&lt;&gt;"",NOT(ISNUMBER($E126))),AND($F126&lt;&gt;"",NOT(ISNUMBER($F126)))),"Fecha no válida"&amp;" · ","")&amp;IF(AND(ISNUMBER($E126),ISNUMBER($F126),$E126&gt;$F126),"Inicio posterior a fecha límite"&amp;" · ","")&amp;IF(AND($S126="Macro",$G126=""),"Peso vacío"&amp;" · ","")&amp;IF(AND($S126="Macro",$G126&lt;&gt;"",OR(NOT(ISNUMBER($G126)),$G126&lt;=0,$G126&gt;1)),"Peso fuera de rango"&amp;" · ","")&amp;IF(AND($S126="Sub",$G126&lt;&gt;""),"Las subactividades no llevan peso"&amp;" · ","")&amp;IF(AND($S126="Macro",ABS(SUMIFS($G$5:$G$1000,$P$5:$P$1000,$P126,$S$5:$S$1000,"Macro")-1)&gt;0.0001),"Pesos del mes suman "&amp;TEXT(SUMIFS($G$5:$G$1000,$P$5:$P$1000,$P126,$S$5:$S$1000,"Macro"),"0%")&amp;" · ","")&amp;IF(AND(N($T126)&gt;0,COUNT($H126:$K126)&gt;0),"Con subactividades: deje vacías las semanas (se calculan solas)"&amp;" · ","")&amp;IF((COUNTIF($H126:$K126,"&gt;1")+COUNTIF($H126:$K126,"&lt;0")+COUNTA($H126:$K126)-COUNT($H126:$K126))&gt;0,"Avance fuera de rango 0-100%"&amp;" · ","")&amp;IF(OR(AND($I126&lt;&gt;"",$I126&lt;$H126),AND($J126&lt;&gt;"",$J126&lt;MAX($H126:$I126)),AND($K126&lt;&gt;"",$K126&lt;MAX($H126:$J126))),"Avance semanal decreciente"&amp;" · ","")&amp;IF(AND(ISNUMBER($F126),$F126&lt;FechaRef,N($L126)&lt;1),"Vencida"&amp;" · ","")&amp;IF(AND(ObsObligatoria="Sí",ISNUMBER($F126),$F126&lt;FechaRef,N($L126)&lt;1,$N126=""),"Vencida sin observación"&amp;" · ",""))="","✔ OK","⚠ "&amp;LEFT(IF(AND($S126="Macro",$B126=""),"Macroactividad vacía"&amp;" · ","")&amp;IF(AND($B126&lt;&gt;"",$C126&lt;&gt;""),"Escriba la subactividad en otra fila, debajo de su macroactividad"&amp;" · ","")&amp;IF(AND($S126="Sub",N($R126)=0),"Subactividad sin macroactividad arriba"&amp;" · ","")&amp;IF($D126="","Sin responsable"&amp;" · ","")&amp;IF($E126="","Sin fecha de inicio"&amp;" · ","")&amp;IF($F126="","Sin fecha límite"&amp;" · ","")&amp;IF(OR(AND($E126&lt;&gt;"",NOT(ISNUMBER($E126))),AND($F126&lt;&gt;"",NOT(ISNUMBER($F126)))),"Fecha no válida"&amp;" · ","")&amp;IF(AND(ISNUMBER($E126),ISNUMBER($F126),$E126&gt;$F126),"Inicio posterior a fecha límite"&amp;" · ","")&amp;IF(AND($S126="Macro",$G126=""),"Peso vacío"&amp;" · ","")&amp;IF(AND($S126="Macro",$G126&lt;&gt;"",OR(NOT(ISNUMBER($G126)),$G126&lt;=0,$G126&gt;1)),"Peso fuera de rango"&amp;" · ","")&amp;IF(AND($S126="Sub",$G126&lt;&gt;""),"Las subactividades no llevan peso"&amp;" · ","")&amp;IF(AND($S126="Macro",ABS(SUMIFS($G$5:$G$1000,$P$5:$P$1000,$P126,$S$5:$S$1000,"Macro")-1)&gt;0.0001),"Pesos del mes suman "&amp;TEXT(SUMIFS($G$5:$G$1000,$P$5:$P$1000,$P126,$S$5:$S$1000,"Macro"),"0%")&amp;" · ","")&amp;IF(AND(N($T126)&gt;0,COUNT($H126:$K126)&gt;0),"Con subactividades: deje vacías las semanas (se calculan solas)"&amp;" · ","")&amp;IF((COUNTIF($H126:$K126,"&gt;1")+COUNTIF($H126:$K126,"&lt;0")+COUNTA($H126:$K126)-COUNT($H126:$K126))&gt;0,"Avance fuera de rango 0-100%"&amp;" · ","")&amp;IF(OR(AND($I126&lt;&gt;"",$I126&lt;$H126),AND($J126&lt;&gt;"",$J126&lt;MAX($H126:$I126)),AND($K126&lt;&gt;"",$K126&lt;MAX($H126:$J126))),"Avance semanal decreciente"&amp;" · ","")&amp;IF(AND(ISNUMBER($F126),$F126&lt;FechaRef,N($L126)&lt;1),"Vencida"&amp;" · ","")&amp;IF(AND(ObsObligatoria="Sí",ISNUMBER($F126),$F126&lt;FechaRef,N($L126)&lt;1,$N126=""),"Vencida sin observación"&amp;" · ",""),LEN(IF(AND($S126="Macro",$B126=""),"Macroactividad vacía"&amp;" · ","")&amp;IF(AND($B126&lt;&gt;"",$C126&lt;&gt;""),"Escriba la subactividad en otra fila, debajo de su macroactividad"&amp;" · ","")&amp;IF(AND($S126="Sub",N($R126)=0),"Subactividad sin macroactividad arriba"&amp;" · ","")&amp;IF($D126="","Sin responsable"&amp;" · ","")&amp;IF($E126="","Sin fecha de inicio"&amp;" · ","")&amp;IF($F126="","Sin fecha límite"&amp;" · ","")&amp;IF(OR(AND($E126&lt;&gt;"",NOT(ISNUMBER($E126))),AND($F126&lt;&gt;"",NOT(ISNUMBER($F126)))),"Fecha no válida"&amp;" · ","")&amp;IF(AND(ISNUMBER($E126),ISNUMBER($F126),$E126&gt;$F126),"Inicio posterior a fecha límite"&amp;" · ","")&amp;IF(AND($S126="Macro",$G126=""),"Peso vacío"&amp;" · ","")&amp;IF(AND($S126="Macro",$G126&lt;&gt;"",OR(NOT(ISNUMBER($G126)),$G126&lt;=0,$G126&gt;1)),"Peso fuera de rango"&amp;" · ","")&amp;IF(AND($S126="Sub",$G126&lt;&gt;""),"Las subactividades no llevan peso"&amp;" · ","")&amp;IF(AND($S126="Macro",ABS(SUMIFS($G$5:$G$1000,$P$5:$P$1000,$P126,$S$5:$S$1000,"Macro")-1)&gt;0.0001),"Pesos del mes suman "&amp;TEXT(SUMIFS($G$5:$G$1000,$P$5:$P$1000,$P126,$S$5:$S$1000,"Macro"),"0%")&amp;" · ","")&amp;IF(AND(N($T126)&gt;0,COUNT($H126:$K126)&gt;0),"Con subactividades: deje vacías las semanas (se calculan solas)"&amp;" · ","")&amp;IF((COUNTIF($H126:$K126,"&gt;1")+COUNTIF($H126:$K126,"&lt;0")+COUNTA($H126:$K126)-COUNT($H126:$K126))&gt;0,"Avance fuera de rango 0-100%"&amp;" · ","")&amp;IF(OR(AND($I126&lt;&gt;"",$I126&lt;$H126),AND($J126&lt;&gt;"",$J126&lt;MAX($H126:$I126)),AND($K126&lt;&gt;"",$K126&lt;MAX($H126:$J126))),"Avance semanal decreciente"&amp;" · ","")&amp;IF(AND(ISNUMBER($F126),$F126&lt;FechaRef,N($L126)&lt;1),"Vencida"&amp;" · ","")&amp;IF(AND(ObsObligatoria="Sí",ISNUMBER($F126),$F126&lt;FechaRef,N($L126)&lt;1,$N126=""),"Vencida sin observación"&amp;" · ",""))-3)))</f>
        <v/>
      </c>
      <c r="P126" s="69">
        <f>IF(NOT((COUNTA($B126:$K126)+COUNTA($N126))&gt;0),"",IF(AND($S126="Sub",N($R126)&gt;0),IF(ISNUMBER(INDEX($E$5:$E$1000,$R126-4)),DATE(YEAR(INDEX($E$5:$E$1000,$R126-4)),MONTH(INDEX($E$5:$E$1000,$R126-4)),1),IF(ISNUMBER(INDEX($F$5:$F$1000,$R126-4)),DATE(YEAR(INDEX($F$5:$F$1000,$R126-4)),MONTH(INDEX($F$5:$F$1000,$R126-4)),1),MesCiclo)),IF(ISNUMBER($E126),DATE(YEAR($E126),MONTH($E126),1),IF(ISNUMBER($F126),DATE(YEAR($F126),MONTH($F126),1),MesCiclo))))</f>
        <v/>
      </c>
      <c r="Q126" s="70">
        <f>IF(OR($P126="",$P126&lt;&gt;MesCiclo),"",COUNTIF($P$5:$P126,MesCiclo))</f>
        <v/>
      </c>
      <c r="R126" s="70">
        <f>IF($S126="","",IF($S126="Macro",ROW(),IFERROR(LOOKUP(2,1/($S$5:$S126="Macro"),ROW($S$5:$S126)),0)))</f>
        <v/>
      </c>
      <c r="S126" s="70">
        <f>IF(NOT((COUNTA($B126:$K126)+COUNTA($N126))&gt;0),"",IF($B126&lt;&gt;"","Macro",IF($C126&lt;&gt;"","Sub","Macro")))</f>
        <v/>
      </c>
      <c r="T126" s="70">
        <f>IF($S126="Macro",COUNTIFS($R$5:$R$1000,ROW(),$S$5:$S$1000,"Sub"),"")</f>
        <v/>
      </c>
      <c r="U126" s="70">
        <f>IF($S126="","",IF(ISNUMBER($H126),$H126,0))</f>
        <v/>
      </c>
      <c r="V126" s="70">
        <f>IF($S126="","",IF(ISNUMBER($I126),$I126,$U126))</f>
        <v/>
      </c>
      <c r="W126" s="70">
        <f>IF($S126="","",IF(ISNUMBER($J126),$J126,$V126))</f>
        <v/>
      </c>
      <c r="X126" s="70">
        <f>IF($S126="","",IF(ISNUMBER($K126),$K126,$W126))</f>
        <v/>
      </c>
      <c r="Y126" s="70">
        <f>IF($S126="","",IF(N($T126)&gt;0,AVERAGEIFS($U$5:$U$1000,$R$5:$R$1000,ROW(),$S$5:$S$1000,"Sub"),$U126))</f>
        <v/>
      </c>
      <c r="Z126" s="70">
        <f>IF($S126="","",IF(N($T126)&gt;0,AVERAGEIFS($V$5:$V$1000,$R$5:$R$1000,ROW(),$S$5:$S$1000,"Sub"),$V126))</f>
        <v/>
      </c>
      <c r="AA126" s="70">
        <f>IF($S126="","",IF(N($T126)&gt;0,AVERAGEIFS($W$5:$W$1000,$R$5:$R$1000,ROW(),$S$5:$S$1000,"Sub"),$W126))</f>
        <v/>
      </c>
      <c r="AB126" s="70">
        <f>IF($S126="","",IF(N($T126)&gt;0,AVERAGEIFS($X$5:$X$1000,$R$5:$R$1000,ROW(),$S$5:$S$1000,"Sub"),$X126))</f>
        <v/>
      </c>
    </row>
    <row r="127">
      <c r="A127" s="61">
        <f>IF(NOT((COUNTA($B127:$K127)+COUNTA($N127))&gt;0),"",IF($S127="Macro",COUNTIFS($S$5:$S127,"Macro",$P$5:$P127,$P127),IF(N($R127)=0,"?",COUNTIFS(INDEX($S$5:$S$1000,1):INDEX($S$5:$S$1000,$R127-4),"Macro",INDEX($P$5:$P$1000,1):INDEX($P$5:$P$1000,$R127-4),INDEX($P$5:$P$1000,$R127-4))&amp;"."&amp;COUNTIFS($R$5:$R127,$R127,$S$5:$S127,"Sub"))))</f>
        <v/>
      </c>
      <c r="B127" s="62" t="n"/>
      <c r="C127" s="63" t="n"/>
      <c r="D127" s="62" t="n"/>
      <c r="E127" s="64" t="n"/>
      <c r="F127" s="64" t="n"/>
      <c r="G127" s="65" t="n"/>
      <c r="H127" s="66" t="n"/>
      <c r="I127" s="66" t="n"/>
      <c r="J127" s="66" t="n"/>
      <c r="K127" s="66" t="n"/>
      <c r="L127" s="67">
        <f>IF(NOT((COUNTA($B127:$K127)+COUNTA($N127))&gt;0),"",IF(N($T127)&gt;0,$AB127,IFERROR(LOOKUP(2,1/(H127:K127&lt;&gt;""),H127:K127),0)))</f>
        <v/>
      </c>
      <c r="M127" s="61">
        <f>IF(L127="","",IF(L127&gt;=1,"Completado",IF(L127&gt;0,"En curso","Pendiente")))</f>
        <v/>
      </c>
      <c r="N127" s="62" t="n"/>
      <c r="O127" s="68">
        <f>IF(NOT((COUNTA($B127:$K127)+COUNTA($N127))&gt;0),"",IF((IF(AND($S127="Macro",$B127=""),"Macroactividad vacía"&amp;" · ","")&amp;IF(AND($B127&lt;&gt;"",$C127&lt;&gt;""),"Escriba la subactividad en otra fila, debajo de su macroactividad"&amp;" · ","")&amp;IF(AND($S127="Sub",N($R127)=0),"Subactividad sin macroactividad arriba"&amp;" · ","")&amp;IF($D127="","Sin responsable"&amp;" · ","")&amp;IF($E127="","Sin fecha de inicio"&amp;" · ","")&amp;IF($F127="","Sin fecha límite"&amp;" · ","")&amp;IF(OR(AND($E127&lt;&gt;"",NOT(ISNUMBER($E127))),AND($F127&lt;&gt;"",NOT(ISNUMBER($F127)))),"Fecha no válida"&amp;" · ","")&amp;IF(AND(ISNUMBER($E127),ISNUMBER($F127),$E127&gt;$F127),"Inicio posterior a fecha límite"&amp;" · ","")&amp;IF(AND($S127="Macro",$G127=""),"Peso vacío"&amp;" · ","")&amp;IF(AND($S127="Macro",$G127&lt;&gt;"",OR(NOT(ISNUMBER($G127)),$G127&lt;=0,$G127&gt;1)),"Peso fuera de rango"&amp;" · ","")&amp;IF(AND($S127="Sub",$G127&lt;&gt;""),"Las subactividades no llevan peso"&amp;" · ","")&amp;IF(AND($S127="Macro",ABS(SUMIFS($G$5:$G$1000,$P$5:$P$1000,$P127,$S$5:$S$1000,"Macro")-1)&gt;0.0001),"Pesos del mes suman "&amp;TEXT(SUMIFS($G$5:$G$1000,$P$5:$P$1000,$P127,$S$5:$S$1000,"Macro"),"0%")&amp;" · ","")&amp;IF(AND(N($T127)&gt;0,COUNT($H127:$K127)&gt;0),"Con subactividades: deje vacías las semanas (se calculan solas)"&amp;" · ","")&amp;IF((COUNTIF($H127:$K127,"&gt;1")+COUNTIF($H127:$K127,"&lt;0")+COUNTA($H127:$K127)-COUNT($H127:$K127))&gt;0,"Avance fuera de rango 0-100%"&amp;" · ","")&amp;IF(OR(AND($I127&lt;&gt;"",$I127&lt;$H127),AND($J127&lt;&gt;"",$J127&lt;MAX($H127:$I127)),AND($K127&lt;&gt;"",$K127&lt;MAX($H127:$J127))),"Avance semanal decreciente"&amp;" · ","")&amp;IF(AND(ISNUMBER($F127),$F127&lt;FechaRef,N($L127)&lt;1),"Vencida"&amp;" · ","")&amp;IF(AND(ObsObligatoria="Sí",ISNUMBER($F127),$F127&lt;FechaRef,N($L127)&lt;1,$N127=""),"Vencida sin observación"&amp;" · ",""))="","✔ OK","⚠ "&amp;LEFT(IF(AND($S127="Macro",$B127=""),"Macroactividad vacía"&amp;" · ","")&amp;IF(AND($B127&lt;&gt;"",$C127&lt;&gt;""),"Escriba la subactividad en otra fila, debajo de su macroactividad"&amp;" · ","")&amp;IF(AND($S127="Sub",N($R127)=0),"Subactividad sin macroactividad arriba"&amp;" · ","")&amp;IF($D127="","Sin responsable"&amp;" · ","")&amp;IF($E127="","Sin fecha de inicio"&amp;" · ","")&amp;IF($F127="","Sin fecha límite"&amp;" · ","")&amp;IF(OR(AND($E127&lt;&gt;"",NOT(ISNUMBER($E127))),AND($F127&lt;&gt;"",NOT(ISNUMBER($F127)))),"Fecha no válida"&amp;" · ","")&amp;IF(AND(ISNUMBER($E127),ISNUMBER($F127),$E127&gt;$F127),"Inicio posterior a fecha límite"&amp;" · ","")&amp;IF(AND($S127="Macro",$G127=""),"Peso vacío"&amp;" · ","")&amp;IF(AND($S127="Macro",$G127&lt;&gt;"",OR(NOT(ISNUMBER($G127)),$G127&lt;=0,$G127&gt;1)),"Peso fuera de rango"&amp;" · ","")&amp;IF(AND($S127="Sub",$G127&lt;&gt;""),"Las subactividades no llevan peso"&amp;" · ","")&amp;IF(AND($S127="Macro",ABS(SUMIFS($G$5:$G$1000,$P$5:$P$1000,$P127,$S$5:$S$1000,"Macro")-1)&gt;0.0001),"Pesos del mes suman "&amp;TEXT(SUMIFS($G$5:$G$1000,$P$5:$P$1000,$P127,$S$5:$S$1000,"Macro"),"0%")&amp;" · ","")&amp;IF(AND(N($T127)&gt;0,COUNT($H127:$K127)&gt;0),"Con subactividades: deje vacías las semanas (se calculan solas)"&amp;" · ","")&amp;IF((COUNTIF($H127:$K127,"&gt;1")+COUNTIF($H127:$K127,"&lt;0")+COUNTA($H127:$K127)-COUNT($H127:$K127))&gt;0,"Avance fuera de rango 0-100%"&amp;" · ","")&amp;IF(OR(AND($I127&lt;&gt;"",$I127&lt;$H127),AND($J127&lt;&gt;"",$J127&lt;MAX($H127:$I127)),AND($K127&lt;&gt;"",$K127&lt;MAX($H127:$J127))),"Avance semanal decreciente"&amp;" · ","")&amp;IF(AND(ISNUMBER($F127),$F127&lt;FechaRef,N($L127)&lt;1),"Vencida"&amp;" · ","")&amp;IF(AND(ObsObligatoria="Sí",ISNUMBER($F127),$F127&lt;FechaRef,N($L127)&lt;1,$N127=""),"Vencida sin observación"&amp;" · ",""),LEN(IF(AND($S127="Macro",$B127=""),"Macroactividad vacía"&amp;" · ","")&amp;IF(AND($B127&lt;&gt;"",$C127&lt;&gt;""),"Escriba la subactividad en otra fila, debajo de su macroactividad"&amp;" · ","")&amp;IF(AND($S127="Sub",N($R127)=0),"Subactividad sin macroactividad arriba"&amp;" · ","")&amp;IF($D127="","Sin responsable"&amp;" · ","")&amp;IF($E127="","Sin fecha de inicio"&amp;" · ","")&amp;IF($F127="","Sin fecha límite"&amp;" · ","")&amp;IF(OR(AND($E127&lt;&gt;"",NOT(ISNUMBER($E127))),AND($F127&lt;&gt;"",NOT(ISNUMBER($F127)))),"Fecha no válida"&amp;" · ","")&amp;IF(AND(ISNUMBER($E127),ISNUMBER($F127),$E127&gt;$F127),"Inicio posterior a fecha límite"&amp;" · ","")&amp;IF(AND($S127="Macro",$G127=""),"Peso vacío"&amp;" · ","")&amp;IF(AND($S127="Macro",$G127&lt;&gt;"",OR(NOT(ISNUMBER($G127)),$G127&lt;=0,$G127&gt;1)),"Peso fuera de rango"&amp;" · ","")&amp;IF(AND($S127="Sub",$G127&lt;&gt;""),"Las subactividades no llevan peso"&amp;" · ","")&amp;IF(AND($S127="Macro",ABS(SUMIFS($G$5:$G$1000,$P$5:$P$1000,$P127,$S$5:$S$1000,"Macro")-1)&gt;0.0001),"Pesos del mes suman "&amp;TEXT(SUMIFS($G$5:$G$1000,$P$5:$P$1000,$P127,$S$5:$S$1000,"Macro"),"0%")&amp;" · ","")&amp;IF(AND(N($T127)&gt;0,COUNT($H127:$K127)&gt;0),"Con subactividades: deje vacías las semanas (se calculan solas)"&amp;" · ","")&amp;IF((COUNTIF($H127:$K127,"&gt;1")+COUNTIF($H127:$K127,"&lt;0")+COUNTA($H127:$K127)-COUNT($H127:$K127))&gt;0,"Avance fuera de rango 0-100%"&amp;" · ","")&amp;IF(OR(AND($I127&lt;&gt;"",$I127&lt;$H127),AND($J127&lt;&gt;"",$J127&lt;MAX($H127:$I127)),AND($K127&lt;&gt;"",$K127&lt;MAX($H127:$J127))),"Avance semanal decreciente"&amp;" · ","")&amp;IF(AND(ISNUMBER($F127),$F127&lt;FechaRef,N($L127)&lt;1),"Vencida"&amp;" · ","")&amp;IF(AND(ObsObligatoria="Sí",ISNUMBER($F127),$F127&lt;FechaRef,N($L127)&lt;1,$N127=""),"Vencida sin observación"&amp;" · ",""))-3)))</f>
        <v/>
      </c>
      <c r="P127" s="69">
        <f>IF(NOT((COUNTA($B127:$K127)+COUNTA($N127))&gt;0),"",IF(AND($S127="Sub",N($R127)&gt;0),IF(ISNUMBER(INDEX($E$5:$E$1000,$R127-4)),DATE(YEAR(INDEX($E$5:$E$1000,$R127-4)),MONTH(INDEX($E$5:$E$1000,$R127-4)),1),IF(ISNUMBER(INDEX($F$5:$F$1000,$R127-4)),DATE(YEAR(INDEX($F$5:$F$1000,$R127-4)),MONTH(INDEX($F$5:$F$1000,$R127-4)),1),MesCiclo)),IF(ISNUMBER($E127),DATE(YEAR($E127),MONTH($E127),1),IF(ISNUMBER($F127),DATE(YEAR($F127),MONTH($F127),1),MesCiclo))))</f>
        <v/>
      </c>
      <c r="Q127" s="70">
        <f>IF(OR($P127="",$P127&lt;&gt;MesCiclo),"",COUNTIF($P$5:$P127,MesCiclo))</f>
        <v/>
      </c>
      <c r="R127" s="70">
        <f>IF($S127="","",IF($S127="Macro",ROW(),IFERROR(LOOKUP(2,1/($S$5:$S127="Macro"),ROW($S$5:$S127)),0)))</f>
        <v/>
      </c>
      <c r="S127" s="70">
        <f>IF(NOT((COUNTA($B127:$K127)+COUNTA($N127))&gt;0),"",IF($B127&lt;&gt;"","Macro",IF($C127&lt;&gt;"","Sub","Macro")))</f>
        <v/>
      </c>
      <c r="T127" s="70">
        <f>IF($S127="Macro",COUNTIFS($R$5:$R$1000,ROW(),$S$5:$S$1000,"Sub"),"")</f>
        <v/>
      </c>
      <c r="U127" s="70">
        <f>IF($S127="","",IF(ISNUMBER($H127),$H127,0))</f>
        <v/>
      </c>
      <c r="V127" s="70">
        <f>IF($S127="","",IF(ISNUMBER($I127),$I127,$U127))</f>
        <v/>
      </c>
      <c r="W127" s="70">
        <f>IF($S127="","",IF(ISNUMBER($J127),$J127,$V127))</f>
        <v/>
      </c>
      <c r="X127" s="70">
        <f>IF($S127="","",IF(ISNUMBER($K127),$K127,$W127))</f>
        <v/>
      </c>
      <c r="Y127" s="70">
        <f>IF($S127="","",IF(N($T127)&gt;0,AVERAGEIFS($U$5:$U$1000,$R$5:$R$1000,ROW(),$S$5:$S$1000,"Sub"),$U127))</f>
        <v/>
      </c>
      <c r="Z127" s="70">
        <f>IF($S127="","",IF(N($T127)&gt;0,AVERAGEIFS($V$5:$V$1000,$R$5:$R$1000,ROW(),$S$5:$S$1000,"Sub"),$V127))</f>
        <v/>
      </c>
      <c r="AA127" s="70">
        <f>IF($S127="","",IF(N($T127)&gt;0,AVERAGEIFS($W$5:$W$1000,$R$5:$R$1000,ROW(),$S$5:$S$1000,"Sub"),$W127))</f>
        <v/>
      </c>
      <c r="AB127" s="70">
        <f>IF($S127="","",IF(N($T127)&gt;0,AVERAGEIFS($X$5:$X$1000,$R$5:$R$1000,ROW(),$S$5:$S$1000,"Sub"),$X127))</f>
        <v/>
      </c>
    </row>
    <row r="128">
      <c r="A128" s="61">
        <f>IF(NOT((COUNTA($B128:$K128)+COUNTA($N128))&gt;0),"",IF($S128="Macro",COUNTIFS($S$5:$S128,"Macro",$P$5:$P128,$P128),IF(N($R128)=0,"?",COUNTIFS(INDEX($S$5:$S$1000,1):INDEX($S$5:$S$1000,$R128-4),"Macro",INDEX($P$5:$P$1000,1):INDEX($P$5:$P$1000,$R128-4),INDEX($P$5:$P$1000,$R128-4))&amp;"."&amp;COUNTIFS($R$5:$R128,$R128,$S$5:$S128,"Sub"))))</f>
        <v/>
      </c>
      <c r="B128" s="62" t="n"/>
      <c r="C128" s="63" t="n"/>
      <c r="D128" s="62" t="n"/>
      <c r="E128" s="64" t="n"/>
      <c r="F128" s="64" t="n"/>
      <c r="G128" s="65" t="n"/>
      <c r="H128" s="66" t="n"/>
      <c r="I128" s="66" t="n"/>
      <c r="J128" s="66" t="n"/>
      <c r="K128" s="66" t="n"/>
      <c r="L128" s="67">
        <f>IF(NOT((COUNTA($B128:$K128)+COUNTA($N128))&gt;0),"",IF(N($T128)&gt;0,$AB128,IFERROR(LOOKUP(2,1/(H128:K128&lt;&gt;""),H128:K128),0)))</f>
        <v/>
      </c>
      <c r="M128" s="61">
        <f>IF(L128="","",IF(L128&gt;=1,"Completado",IF(L128&gt;0,"En curso","Pendiente")))</f>
        <v/>
      </c>
      <c r="N128" s="62" t="n"/>
      <c r="O128" s="68">
        <f>IF(NOT((COUNTA($B128:$K128)+COUNTA($N128))&gt;0),"",IF((IF(AND($S128="Macro",$B128=""),"Macroactividad vacía"&amp;" · ","")&amp;IF(AND($B128&lt;&gt;"",$C128&lt;&gt;""),"Escriba la subactividad en otra fila, debajo de su macroactividad"&amp;" · ","")&amp;IF(AND($S128="Sub",N($R128)=0),"Subactividad sin macroactividad arriba"&amp;" · ","")&amp;IF($D128="","Sin responsable"&amp;" · ","")&amp;IF($E128="","Sin fecha de inicio"&amp;" · ","")&amp;IF($F128="","Sin fecha límite"&amp;" · ","")&amp;IF(OR(AND($E128&lt;&gt;"",NOT(ISNUMBER($E128))),AND($F128&lt;&gt;"",NOT(ISNUMBER($F128)))),"Fecha no válida"&amp;" · ","")&amp;IF(AND(ISNUMBER($E128),ISNUMBER($F128),$E128&gt;$F128),"Inicio posterior a fecha límite"&amp;" · ","")&amp;IF(AND($S128="Macro",$G128=""),"Peso vacío"&amp;" · ","")&amp;IF(AND($S128="Macro",$G128&lt;&gt;"",OR(NOT(ISNUMBER($G128)),$G128&lt;=0,$G128&gt;1)),"Peso fuera de rango"&amp;" · ","")&amp;IF(AND($S128="Sub",$G128&lt;&gt;""),"Las subactividades no llevan peso"&amp;" · ","")&amp;IF(AND($S128="Macro",ABS(SUMIFS($G$5:$G$1000,$P$5:$P$1000,$P128,$S$5:$S$1000,"Macro")-1)&gt;0.0001),"Pesos del mes suman "&amp;TEXT(SUMIFS($G$5:$G$1000,$P$5:$P$1000,$P128,$S$5:$S$1000,"Macro"),"0%")&amp;" · ","")&amp;IF(AND(N($T128)&gt;0,COUNT($H128:$K128)&gt;0),"Con subactividades: deje vacías las semanas (se calculan solas)"&amp;" · ","")&amp;IF((COUNTIF($H128:$K128,"&gt;1")+COUNTIF($H128:$K128,"&lt;0")+COUNTA($H128:$K128)-COUNT($H128:$K128))&gt;0,"Avance fuera de rango 0-100%"&amp;" · ","")&amp;IF(OR(AND($I128&lt;&gt;"",$I128&lt;$H128),AND($J128&lt;&gt;"",$J128&lt;MAX($H128:$I128)),AND($K128&lt;&gt;"",$K128&lt;MAX($H128:$J128))),"Avance semanal decreciente"&amp;" · ","")&amp;IF(AND(ISNUMBER($F128),$F128&lt;FechaRef,N($L128)&lt;1),"Vencida"&amp;" · ","")&amp;IF(AND(ObsObligatoria="Sí",ISNUMBER($F128),$F128&lt;FechaRef,N($L128)&lt;1,$N128=""),"Vencida sin observación"&amp;" · ",""))="","✔ OK","⚠ "&amp;LEFT(IF(AND($S128="Macro",$B128=""),"Macroactividad vacía"&amp;" · ","")&amp;IF(AND($B128&lt;&gt;"",$C128&lt;&gt;""),"Escriba la subactividad en otra fila, debajo de su macroactividad"&amp;" · ","")&amp;IF(AND($S128="Sub",N($R128)=0),"Subactividad sin macroactividad arriba"&amp;" · ","")&amp;IF($D128="","Sin responsable"&amp;" · ","")&amp;IF($E128="","Sin fecha de inicio"&amp;" · ","")&amp;IF($F128="","Sin fecha límite"&amp;" · ","")&amp;IF(OR(AND($E128&lt;&gt;"",NOT(ISNUMBER($E128))),AND($F128&lt;&gt;"",NOT(ISNUMBER($F128)))),"Fecha no válida"&amp;" · ","")&amp;IF(AND(ISNUMBER($E128),ISNUMBER($F128),$E128&gt;$F128),"Inicio posterior a fecha límite"&amp;" · ","")&amp;IF(AND($S128="Macro",$G128=""),"Peso vacío"&amp;" · ","")&amp;IF(AND($S128="Macro",$G128&lt;&gt;"",OR(NOT(ISNUMBER($G128)),$G128&lt;=0,$G128&gt;1)),"Peso fuera de rango"&amp;" · ","")&amp;IF(AND($S128="Sub",$G128&lt;&gt;""),"Las subactividades no llevan peso"&amp;" · ","")&amp;IF(AND($S128="Macro",ABS(SUMIFS($G$5:$G$1000,$P$5:$P$1000,$P128,$S$5:$S$1000,"Macro")-1)&gt;0.0001),"Pesos del mes suman "&amp;TEXT(SUMIFS($G$5:$G$1000,$P$5:$P$1000,$P128,$S$5:$S$1000,"Macro"),"0%")&amp;" · ","")&amp;IF(AND(N($T128)&gt;0,COUNT($H128:$K128)&gt;0),"Con subactividades: deje vacías las semanas (se calculan solas)"&amp;" · ","")&amp;IF((COUNTIF($H128:$K128,"&gt;1")+COUNTIF($H128:$K128,"&lt;0")+COUNTA($H128:$K128)-COUNT($H128:$K128))&gt;0,"Avance fuera de rango 0-100%"&amp;" · ","")&amp;IF(OR(AND($I128&lt;&gt;"",$I128&lt;$H128),AND($J128&lt;&gt;"",$J128&lt;MAX($H128:$I128)),AND($K128&lt;&gt;"",$K128&lt;MAX($H128:$J128))),"Avance semanal decreciente"&amp;" · ","")&amp;IF(AND(ISNUMBER($F128),$F128&lt;FechaRef,N($L128)&lt;1),"Vencida"&amp;" · ","")&amp;IF(AND(ObsObligatoria="Sí",ISNUMBER($F128),$F128&lt;FechaRef,N($L128)&lt;1,$N128=""),"Vencida sin observación"&amp;" · ",""),LEN(IF(AND($S128="Macro",$B128=""),"Macroactividad vacía"&amp;" · ","")&amp;IF(AND($B128&lt;&gt;"",$C128&lt;&gt;""),"Escriba la subactividad en otra fila, debajo de su macroactividad"&amp;" · ","")&amp;IF(AND($S128="Sub",N($R128)=0),"Subactividad sin macroactividad arriba"&amp;" · ","")&amp;IF($D128="","Sin responsable"&amp;" · ","")&amp;IF($E128="","Sin fecha de inicio"&amp;" · ","")&amp;IF($F128="","Sin fecha límite"&amp;" · ","")&amp;IF(OR(AND($E128&lt;&gt;"",NOT(ISNUMBER($E128))),AND($F128&lt;&gt;"",NOT(ISNUMBER($F128)))),"Fecha no válida"&amp;" · ","")&amp;IF(AND(ISNUMBER($E128),ISNUMBER($F128),$E128&gt;$F128),"Inicio posterior a fecha límite"&amp;" · ","")&amp;IF(AND($S128="Macro",$G128=""),"Peso vacío"&amp;" · ","")&amp;IF(AND($S128="Macro",$G128&lt;&gt;"",OR(NOT(ISNUMBER($G128)),$G128&lt;=0,$G128&gt;1)),"Peso fuera de rango"&amp;" · ","")&amp;IF(AND($S128="Sub",$G128&lt;&gt;""),"Las subactividades no llevan peso"&amp;" · ","")&amp;IF(AND($S128="Macro",ABS(SUMIFS($G$5:$G$1000,$P$5:$P$1000,$P128,$S$5:$S$1000,"Macro")-1)&gt;0.0001),"Pesos del mes suman "&amp;TEXT(SUMIFS($G$5:$G$1000,$P$5:$P$1000,$P128,$S$5:$S$1000,"Macro"),"0%")&amp;" · ","")&amp;IF(AND(N($T128)&gt;0,COUNT($H128:$K128)&gt;0),"Con subactividades: deje vacías las semanas (se calculan solas)"&amp;" · ","")&amp;IF((COUNTIF($H128:$K128,"&gt;1")+COUNTIF($H128:$K128,"&lt;0")+COUNTA($H128:$K128)-COUNT($H128:$K128))&gt;0,"Avance fuera de rango 0-100%"&amp;" · ","")&amp;IF(OR(AND($I128&lt;&gt;"",$I128&lt;$H128),AND($J128&lt;&gt;"",$J128&lt;MAX($H128:$I128)),AND($K128&lt;&gt;"",$K128&lt;MAX($H128:$J128))),"Avance semanal decreciente"&amp;" · ","")&amp;IF(AND(ISNUMBER($F128),$F128&lt;FechaRef,N($L128)&lt;1),"Vencida"&amp;" · ","")&amp;IF(AND(ObsObligatoria="Sí",ISNUMBER($F128),$F128&lt;FechaRef,N($L128)&lt;1,$N128=""),"Vencida sin observación"&amp;" · ",""))-3)))</f>
        <v/>
      </c>
      <c r="P128" s="69">
        <f>IF(NOT((COUNTA($B128:$K128)+COUNTA($N128))&gt;0),"",IF(AND($S128="Sub",N($R128)&gt;0),IF(ISNUMBER(INDEX($E$5:$E$1000,$R128-4)),DATE(YEAR(INDEX($E$5:$E$1000,$R128-4)),MONTH(INDEX($E$5:$E$1000,$R128-4)),1),IF(ISNUMBER(INDEX($F$5:$F$1000,$R128-4)),DATE(YEAR(INDEX($F$5:$F$1000,$R128-4)),MONTH(INDEX($F$5:$F$1000,$R128-4)),1),MesCiclo)),IF(ISNUMBER($E128),DATE(YEAR($E128),MONTH($E128),1),IF(ISNUMBER($F128),DATE(YEAR($F128),MONTH($F128),1),MesCiclo))))</f>
        <v/>
      </c>
      <c r="Q128" s="70">
        <f>IF(OR($P128="",$P128&lt;&gt;MesCiclo),"",COUNTIF($P$5:$P128,MesCiclo))</f>
        <v/>
      </c>
      <c r="R128" s="70">
        <f>IF($S128="","",IF($S128="Macro",ROW(),IFERROR(LOOKUP(2,1/($S$5:$S128="Macro"),ROW($S$5:$S128)),0)))</f>
        <v/>
      </c>
      <c r="S128" s="70">
        <f>IF(NOT((COUNTA($B128:$K128)+COUNTA($N128))&gt;0),"",IF($B128&lt;&gt;"","Macro",IF($C128&lt;&gt;"","Sub","Macro")))</f>
        <v/>
      </c>
      <c r="T128" s="70">
        <f>IF($S128="Macro",COUNTIFS($R$5:$R$1000,ROW(),$S$5:$S$1000,"Sub"),"")</f>
        <v/>
      </c>
      <c r="U128" s="70">
        <f>IF($S128="","",IF(ISNUMBER($H128),$H128,0))</f>
        <v/>
      </c>
      <c r="V128" s="70">
        <f>IF($S128="","",IF(ISNUMBER($I128),$I128,$U128))</f>
        <v/>
      </c>
      <c r="W128" s="70">
        <f>IF($S128="","",IF(ISNUMBER($J128),$J128,$V128))</f>
        <v/>
      </c>
      <c r="X128" s="70">
        <f>IF($S128="","",IF(ISNUMBER($K128),$K128,$W128))</f>
        <v/>
      </c>
      <c r="Y128" s="70">
        <f>IF($S128="","",IF(N($T128)&gt;0,AVERAGEIFS($U$5:$U$1000,$R$5:$R$1000,ROW(),$S$5:$S$1000,"Sub"),$U128))</f>
        <v/>
      </c>
      <c r="Z128" s="70">
        <f>IF($S128="","",IF(N($T128)&gt;0,AVERAGEIFS($V$5:$V$1000,$R$5:$R$1000,ROW(),$S$5:$S$1000,"Sub"),$V128))</f>
        <v/>
      </c>
      <c r="AA128" s="70">
        <f>IF($S128="","",IF(N($T128)&gt;0,AVERAGEIFS($W$5:$W$1000,$R$5:$R$1000,ROW(),$S$5:$S$1000,"Sub"),$W128))</f>
        <v/>
      </c>
      <c r="AB128" s="70">
        <f>IF($S128="","",IF(N($T128)&gt;0,AVERAGEIFS($X$5:$X$1000,$R$5:$R$1000,ROW(),$S$5:$S$1000,"Sub"),$X128))</f>
        <v/>
      </c>
    </row>
    <row r="129">
      <c r="A129" s="61">
        <f>IF(NOT((COUNTA($B129:$K129)+COUNTA($N129))&gt;0),"",IF($S129="Macro",COUNTIFS($S$5:$S129,"Macro",$P$5:$P129,$P129),IF(N($R129)=0,"?",COUNTIFS(INDEX($S$5:$S$1000,1):INDEX($S$5:$S$1000,$R129-4),"Macro",INDEX($P$5:$P$1000,1):INDEX($P$5:$P$1000,$R129-4),INDEX($P$5:$P$1000,$R129-4))&amp;"."&amp;COUNTIFS($R$5:$R129,$R129,$S$5:$S129,"Sub"))))</f>
        <v/>
      </c>
      <c r="B129" s="62" t="n"/>
      <c r="C129" s="63" t="n"/>
      <c r="D129" s="62" t="n"/>
      <c r="E129" s="64" t="n"/>
      <c r="F129" s="64" t="n"/>
      <c r="G129" s="65" t="n"/>
      <c r="H129" s="66" t="n"/>
      <c r="I129" s="66" t="n"/>
      <c r="J129" s="66" t="n"/>
      <c r="K129" s="66" t="n"/>
      <c r="L129" s="67">
        <f>IF(NOT((COUNTA($B129:$K129)+COUNTA($N129))&gt;0),"",IF(N($T129)&gt;0,$AB129,IFERROR(LOOKUP(2,1/(H129:K129&lt;&gt;""),H129:K129),0)))</f>
        <v/>
      </c>
      <c r="M129" s="61">
        <f>IF(L129="","",IF(L129&gt;=1,"Completado",IF(L129&gt;0,"En curso","Pendiente")))</f>
        <v/>
      </c>
      <c r="N129" s="62" t="n"/>
      <c r="O129" s="68">
        <f>IF(NOT((COUNTA($B129:$K129)+COUNTA($N129))&gt;0),"",IF((IF(AND($S129="Macro",$B129=""),"Macroactividad vacía"&amp;" · ","")&amp;IF(AND($B129&lt;&gt;"",$C129&lt;&gt;""),"Escriba la subactividad en otra fila, debajo de su macroactividad"&amp;" · ","")&amp;IF(AND($S129="Sub",N($R129)=0),"Subactividad sin macroactividad arriba"&amp;" · ","")&amp;IF($D129="","Sin responsable"&amp;" · ","")&amp;IF($E129="","Sin fecha de inicio"&amp;" · ","")&amp;IF($F129="","Sin fecha límite"&amp;" · ","")&amp;IF(OR(AND($E129&lt;&gt;"",NOT(ISNUMBER($E129))),AND($F129&lt;&gt;"",NOT(ISNUMBER($F129)))),"Fecha no válida"&amp;" · ","")&amp;IF(AND(ISNUMBER($E129),ISNUMBER($F129),$E129&gt;$F129),"Inicio posterior a fecha límite"&amp;" · ","")&amp;IF(AND($S129="Macro",$G129=""),"Peso vacío"&amp;" · ","")&amp;IF(AND($S129="Macro",$G129&lt;&gt;"",OR(NOT(ISNUMBER($G129)),$G129&lt;=0,$G129&gt;1)),"Peso fuera de rango"&amp;" · ","")&amp;IF(AND($S129="Sub",$G129&lt;&gt;""),"Las subactividades no llevan peso"&amp;" · ","")&amp;IF(AND($S129="Macro",ABS(SUMIFS($G$5:$G$1000,$P$5:$P$1000,$P129,$S$5:$S$1000,"Macro")-1)&gt;0.0001),"Pesos del mes suman "&amp;TEXT(SUMIFS($G$5:$G$1000,$P$5:$P$1000,$P129,$S$5:$S$1000,"Macro"),"0%")&amp;" · ","")&amp;IF(AND(N($T129)&gt;0,COUNT($H129:$K129)&gt;0),"Con subactividades: deje vacías las semanas (se calculan solas)"&amp;" · ","")&amp;IF((COUNTIF($H129:$K129,"&gt;1")+COUNTIF($H129:$K129,"&lt;0")+COUNTA($H129:$K129)-COUNT($H129:$K129))&gt;0,"Avance fuera de rango 0-100%"&amp;" · ","")&amp;IF(OR(AND($I129&lt;&gt;"",$I129&lt;$H129),AND($J129&lt;&gt;"",$J129&lt;MAX($H129:$I129)),AND($K129&lt;&gt;"",$K129&lt;MAX($H129:$J129))),"Avance semanal decreciente"&amp;" · ","")&amp;IF(AND(ISNUMBER($F129),$F129&lt;FechaRef,N($L129)&lt;1),"Vencida"&amp;" · ","")&amp;IF(AND(ObsObligatoria="Sí",ISNUMBER($F129),$F129&lt;FechaRef,N($L129)&lt;1,$N129=""),"Vencida sin observación"&amp;" · ",""))="","✔ OK","⚠ "&amp;LEFT(IF(AND($S129="Macro",$B129=""),"Macroactividad vacía"&amp;" · ","")&amp;IF(AND($B129&lt;&gt;"",$C129&lt;&gt;""),"Escriba la subactividad en otra fila, debajo de su macroactividad"&amp;" · ","")&amp;IF(AND($S129="Sub",N($R129)=0),"Subactividad sin macroactividad arriba"&amp;" · ","")&amp;IF($D129="","Sin responsable"&amp;" · ","")&amp;IF($E129="","Sin fecha de inicio"&amp;" · ","")&amp;IF($F129="","Sin fecha límite"&amp;" · ","")&amp;IF(OR(AND($E129&lt;&gt;"",NOT(ISNUMBER($E129))),AND($F129&lt;&gt;"",NOT(ISNUMBER($F129)))),"Fecha no válida"&amp;" · ","")&amp;IF(AND(ISNUMBER($E129),ISNUMBER($F129),$E129&gt;$F129),"Inicio posterior a fecha límite"&amp;" · ","")&amp;IF(AND($S129="Macro",$G129=""),"Peso vacío"&amp;" · ","")&amp;IF(AND($S129="Macro",$G129&lt;&gt;"",OR(NOT(ISNUMBER($G129)),$G129&lt;=0,$G129&gt;1)),"Peso fuera de rango"&amp;" · ","")&amp;IF(AND($S129="Sub",$G129&lt;&gt;""),"Las subactividades no llevan peso"&amp;" · ","")&amp;IF(AND($S129="Macro",ABS(SUMIFS($G$5:$G$1000,$P$5:$P$1000,$P129,$S$5:$S$1000,"Macro")-1)&gt;0.0001),"Pesos del mes suman "&amp;TEXT(SUMIFS($G$5:$G$1000,$P$5:$P$1000,$P129,$S$5:$S$1000,"Macro"),"0%")&amp;" · ","")&amp;IF(AND(N($T129)&gt;0,COUNT($H129:$K129)&gt;0),"Con subactividades: deje vacías las semanas (se calculan solas)"&amp;" · ","")&amp;IF((COUNTIF($H129:$K129,"&gt;1")+COUNTIF($H129:$K129,"&lt;0")+COUNTA($H129:$K129)-COUNT($H129:$K129))&gt;0,"Avance fuera de rango 0-100%"&amp;" · ","")&amp;IF(OR(AND($I129&lt;&gt;"",$I129&lt;$H129),AND($J129&lt;&gt;"",$J129&lt;MAX($H129:$I129)),AND($K129&lt;&gt;"",$K129&lt;MAX($H129:$J129))),"Avance semanal decreciente"&amp;" · ","")&amp;IF(AND(ISNUMBER($F129),$F129&lt;FechaRef,N($L129)&lt;1),"Vencida"&amp;" · ","")&amp;IF(AND(ObsObligatoria="Sí",ISNUMBER($F129),$F129&lt;FechaRef,N($L129)&lt;1,$N129=""),"Vencida sin observación"&amp;" · ",""),LEN(IF(AND($S129="Macro",$B129=""),"Macroactividad vacía"&amp;" · ","")&amp;IF(AND($B129&lt;&gt;"",$C129&lt;&gt;""),"Escriba la subactividad en otra fila, debajo de su macroactividad"&amp;" · ","")&amp;IF(AND($S129="Sub",N($R129)=0),"Subactividad sin macroactividad arriba"&amp;" · ","")&amp;IF($D129="","Sin responsable"&amp;" · ","")&amp;IF($E129="","Sin fecha de inicio"&amp;" · ","")&amp;IF($F129="","Sin fecha límite"&amp;" · ","")&amp;IF(OR(AND($E129&lt;&gt;"",NOT(ISNUMBER($E129))),AND($F129&lt;&gt;"",NOT(ISNUMBER($F129)))),"Fecha no válida"&amp;" · ","")&amp;IF(AND(ISNUMBER($E129),ISNUMBER($F129),$E129&gt;$F129),"Inicio posterior a fecha límite"&amp;" · ","")&amp;IF(AND($S129="Macro",$G129=""),"Peso vacío"&amp;" · ","")&amp;IF(AND($S129="Macro",$G129&lt;&gt;"",OR(NOT(ISNUMBER($G129)),$G129&lt;=0,$G129&gt;1)),"Peso fuera de rango"&amp;" · ","")&amp;IF(AND($S129="Sub",$G129&lt;&gt;""),"Las subactividades no llevan peso"&amp;" · ","")&amp;IF(AND($S129="Macro",ABS(SUMIFS($G$5:$G$1000,$P$5:$P$1000,$P129,$S$5:$S$1000,"Macro")-1)&gt;0.0001),"Pesos del mes suman "&amp;TEXT(SUMIFS($G$5:$G$1000,$P$5:$P$1000,$P129,$S$5:$S$1000,"Macro"),"0%")&amp;" · ","")&amp;IF(AND(N($T129)&gt;0,COUNT($H129:$K129)&gt;0),"Con subactividades: deje vacías las semanas (se calculan solas)"&amp;" · ","")&amp;IF((COUNTIF($H129:$K129,"&gt;1")+COUNTIF($H129:$K129,"&lt;0")+COUNTA($H129:$K129)-COUNT($H129:$K129))&gt;0,"Avance fuera de rango 0-100%"&amp;" · ","")&amp;IF(OR(AND($I129&lt;&gt;"",$I129&lt;$H129),AND($J129&lt;&gt;"",$J129&lt;MAX($H129:$I129)),AND($K129&lt;&gt;"",$K129&lt;MAX($H129:$J129))),"Avance semanal decreciente"&amp;" · ","")&amp;IF(AND(ISNUMBER($F129),$F129&lt;FechaRef,N($L129)&lt;1),"Vencida"&amp;" · ","")&amp;IF(AND(ObsObligatoria="Sí",ISNUMBER($F129),$F129&lt;FechaRef,N($L129)&lt;1,$N129=""),"Vencida sin observación"&amp;" · ",""))-3)))</f>
        <v/>
      </c>
      <c r="P129" s="69">
        <f>IF(NOT((COUNTA($B129:$K129)+COUNTA($N129))&gt;0),"",IF(AND($S129="Sub",N($R129)&gt;0),IF(ISNUMBER(INDEX($E$5:$E$1000,$R129-4)),DATE(YEAR(INDEX($E$5:$E$1000,$R129-4)),MONTH(INDEX($E$5:$E$1000,$R129-4)),1),IF(ISNUMBER(INDEX($F$5:$F$1000,$R129-4)),DATE(YEAR(INDEX($F$5:$F$1000,$R129-4)),MONTH(INDEX($F$5:$F$1000,$R129-4)),1),MesCiclo)),IF(ISNUMBER($E129),DATE(YEAR($E129),MONTH($E129),1),IF(ISNUMBER($F129),DATE(YEAR($F129),MONTH($F129),1),MesCiclo))))</f>
        <v/>
      </c>
      <c r="Q129" s="70">
        <f>IF(OR($P129="",$P129&lt;&gt;MesCiclo),"",COUNTIF($P$5:$P129,MesCiclo))</f>
        <v/>
      </c>
      <c r="R129" s="70">
        <f>IF($S129="","",IF($S129="Macro",ROW(),IFERROR(LOOKUP(2,1/($S$5:$S129="Macro"),ROW($S$5:$S129)),0)))</f>
        <v/>
      </c>
      <c r="S129" s="70">
        <f>IF(NOT((COUNTA($B129:$K129)+COUNTA($N129))&gt;0),"",IF($B129&lt;&gt;"","Macro",IF($C129&lt;&gt;"","Sub","Macro")))</f>
        <v/>
      </c>
      <c r="T129" s="70">
        <f>IF($S129="Macro",COUNTIFS($R$5:$R$1000,ROW(),$S$5:$S$1000,"Sub"),"")</f>
        <v/>
      </c>
      <c r="U129" s="70">
        <f>IF($S129="","",IF(ISNUMBER($H129),$H129,0))</f>
        <v/>
      </c>
      <c r="V129" s="70">
        <f>IF($S129="","",IF(ISNUMBER($I129),$I129,$U129))</f>
        <v/>
      </c>
      <c r="W129" s="70">
        <f>IF($S129="","",IF(ISNUMBER($J129),$J129,$V129))</f>
        <v/>
      </c>
      <c r="X129" s="70">
        <f>IF($S129="","",IF(ISNUMBER($K129),$K129,$W129))</f>
        <v/>
      </c>
      <c r="Y129" s="70">
        <f>IF($S129="","",IF(N($T129)&gt;0,AVERAGEIFS($U$5:$U$1000,$R$5:$R$1000,ROW(),$S$5:$S$1000,"Sub"),$U129))</f>
        <v/>
      </c>
      <c r="Z129" s="70">
        <f>IF($S129="","",IF(N($T129)&gt;0,AVERAGEIFS($V$5:$V$1000,$R$5:$R$1000,ROW(),$S$5:$S$1000,"Sub"),$V129))</f>
        <v/>
      </c>
      <c r="AA129" s="70">
        <f>IF($S129="","",IF(N($T129)&gt;0,AVERAGEIFS($W$5:$W$1000,$R$5:$R$1000,ROW(),$S$5:$S$1000,"Sub"),$W129))</f>
        <v/>
      </c>
      <c r="AB129" s="70">
        <f>IF($S129="","",IF(N($T129)&gt;0,AVERAGEIFS($X$5:$X$1000,$R$5:$R$1000,ROW(),$S$5:$S$1000,"Sub"),$X129))</f>
        <v/>
      </c>
    </row>
    <row r="130">
      <c r="A130" s="61">
        <f>IF(NOT((COUNTA($B130:$K130)+COUNTA($N130))&gt;0),"",IF($S130="Macro",COUNTIFS($S$5:$S130,"Macro",$P$5:$P130,$P130),IF(N($R130)=0,"?",COUNTIFS(INDEX($S$5:$S$1000,1):INDEX($S$5:$S$1000,$R130-4),"Macro",INDEX($P$5:$P$1000,1):INDEX($P$5:$P$1000,$R130-4),INDEX($P$5:$P$1000,$R130-4))&amp;"."&amp;COUNTIFS($R$5:$R130,$R130,$S$5:$S130,"Sub"))))</f>
        <v/>
      </c>
      <c r="B130" s="62" t="n"/>
      <c r="C130" s="63" t="n"/>
      <c r="D130" s="62" t="n"/>
      <c r="E130" s="64" t="n"/>
      <c r="F130" s="64" t="n"/>
      <c r="G130" s="65" t="n"/>
      <c r="H130" s="66" t="n"/>
      <c r="I130" s="66" t="n"/>
      <c r="J130" s="66" t="n"/>
      <c r="K130" s="66" t="n"/>
      <c r="L130" s="67">
        <f>IF(NOT((COUNTA($B130:$K130)+COUNTA($N130))&gt;0),"",IF(N($T130)&gt;0,$AB130,IFERROR(LOOKUP(2,1/(H130:K130&lt;&gt;""),H130:K130),0)))</f>
        <v/>
      </c>
      <c r="M130" s="61">
        <f>IF(L130="","",IF(L130&gt;=1,"Completado",IF(L130&gt;0,"En curso","Pendiente")))</f>
        <v/>
      </c>
      <c r="N130" s="62" t="n"/>
      <c r="O130" s="68">
        <f>IF(NOT((COUNTA($B130:$K130)+COUNTA($N130))&gt;0),"",IF((IF(AND($S130="Macro",$B130=""),"Macroactividad vacía"&amp;" · ","")&amp;IF(AND($B130&lt;&gt;"",$C130&lt;&gt;""),"Escriba la subactividad en otra fila, debajo de su macroactividad"&amp;" · ","")&amp;IF(AND($S130="Sub",N($R130)=0),"Subactividad sin macroactividad arriba"&amp;" · ","")&amp;IF($D130="","Sin responsable"&amp;" · ","")&amp;IF($E130="","Sin fecha de inicio"&amp;" · ","")&amp;IF($F130="","Sin fecha límite"&amp;" · ","")&amp;IF(OR(AND($E130&lt;&gt;"",NOT(ISNUMBER($E130))),AND($F130&lt;&gt;"",NOT(ISNUMBER($F130)))),"Fecha no válida"&amp;" · ","")&amp;IF(AND(ISNUMBER($E130),ISNUMBER($F130),$E130&gt;$F130),"Inicio posterior a fecha límite"&amp;" · ","")&amp;IF(AND($S130="Macro",$G130=""),"Peso vacío"&amp;" · ","")&amp;IF(AND($S130="Macro",$G130&lt;&gt;"",OR(NOT(ISNUMBER($G130)),$G130&lt;=0,$G130&gt;1)),"Peso fuera de rango"&amp;" · ","")&amp;IF(AND($S130="Sub",$G130&lt;&gt;""),"Las subactividades no llevan peso"&amp;" · ","")&amp;IF(AND($S130="Macro",ABS(SUMIFS($G$5:$G$1000,$P$5:$P$1000,$P130,$S$5:$S$1000,"Macro")-1)&gt;0.0001),"Pesos del mes suman "&amp;TEXT(SUMIFS($G$5:$G$1000,$P$5:$P$1000,$P130,$S$5:$S$1000,"Macro"),"0%")&amp;" · ","")&amp;IF(AND(N($T130)&gt;0,COUNT($H130:$K130)&gt;0),"Con subactividades: deje vacías las semanas (se calculan solas)"&amp;" · ","")&amp;IF((COUNTIF($H130:$K130,"&gt;1")+COUNTIF($H130:$K130,"&lt;0")+COUNTA($H130:$K130)-COUNT($H130:$K130))&gt;0,"Avance fuera de rango 0-100%"&amp;" · ","")&amp;IF(OR(AND($I130&lt;&gt;"",$I130&lt;$H130),AND($J130&lt;&gt;"",$J130&lt;MAX($H130:$I130)),AND($K130&lt;&gt;"",$K130&lt;MAX($H130:$J130))),"Avance semanal decreciente"&amp;" · ","")&amp;IF(AND(ISNUMBER($F130),$F130&lt;FechaRef,N($L130)&lt;1),"Vencida"&amp;" · ","")&amp;IF(AND(ObsObligatoria="Sí",ISNUMBER($F130),$F130&lt;FechaRef,N($L130)&lt;1,$N130=""),"Vencida sin observación"&amp;" · ",""))="","✔ OK","⚠ "&amp;LEFT(IF(AND($S130="Macro",$B130=""),"Macroactividad vacía"&amp;" · ","")&amp;IF(AND($B130&lt;&gt;"",$C130&lt;&gt;""),"Escriba la subactividad en otra fila, debajo de su macroactividad"&amp;" · ","")&amp;IF(AND($S130="Sub",N($R130)=0),"Subactividad sin macroactividad arriba"&amp;" · ","")&amp;IF($D130="","Sin responsable"&amp;" · ","")&amp;IF($E130="","Sin fecha de inicio"&amp;" · ","")&amp;IF($F130="","Sin fecha límite"&amp;" · ","")&amp;IF(OR(AND($E130&lt;&gt;"",NOT(ISNUMBER($E130))),AND($F130&lt;&gt;"",NOT(ISNUMBER($F130)))),"Fecha no válida"&amp;" · ","")&amp;IF(AND(ISNUMBER($E130),ISNUMBER($F130),$E130&gt;$F130),"Inicio posterior a fecha límite"&amp;" · ","")&amp;IF(AND($S130="Macro",$G130=""),"Peso vacío"&amp;" · ","")&amp;IF(AND($S130="Macro",$G130&lt;&gt;"",OR(NOT(ISNUMBER($G130)),$G130&lt;=0,$G130&gt;1)),"Peso fuera de rango"&amp;" · ","")&amp;IF(AND($S130="Sub",$G130&lt;&gt;""),"Las subactividades no llevan peso"&amp;" · ","")&amp;IF(AND($S130="Macro",ABS(SUMIFS($G$5:$G$1000,$P$5:$P$1000,$P130,$S$5:$S$1000,"Macro")-1)&gt;0.0001),"Pesos del mes suman "&amp;TEXT(SUMIFS($G$5:$G$1000,$P$5:$P$1000,$P130,$S$5:$S$1000,"Macro"),"0%")&amp;" · ","")&amp;IF(AND(N($T130)&gt;0,COUNT($H130:$K130)&gt;0),"Con subactividades: deje vacías las semanas (se calculan solas)"&amp;" · ","")&amp;IF((COUNTIF($H130:$K130,"&gt;1")+COUNTIF($H130:$K130,"&lt;0")+COUNTA($H130:$K130)-COUNT($H130:$K130))&gt;0,"Avance fuera de rango 0-100%"&amp;" · ","")&amp;IF(OR(AND($I130&lt;&gt;"",$I130&lt;$H130),AND($J130&lt;&gt;"",$J130&lt;MAX($H130:$I130)),AND($K130&lt;&gt;"",$K130&lt;MAX($H130:$J130))),"Avance semanal decreciente"&amp;" · ","")&amp;IF(AND(ISNUMBER($F130),$F130&lt;FechaRef,N($L130)&lt;1),"Vencida"&amp;" · ","")&amp;IF(AND(ObsObligatoria="Sí",ISNUMBER($F130),$F130&lt;FechaRef,N($L130)&lt;1,$N130=""),"Vencida sin observación"&amp;" · ",""),LEN(IF(AND($S130="Macro",$B130=""),"Macroactividad vacía"&amp;" · ","")&amp;IF(AND($B130&lt;&gt;"",$C130&lt;&gt;""),"Escriba la subactividad en otra fila, debajo de su macroactividad"&amp;" · ","")&amp;IF(AND($S130="Sub",N($R130)=0),"Subactividad sin macroactividad arriba"&amp;" · ","")&amp;IF($D130="","Sin responsable"&amp;" · ","")&amp;IF($E130="","Sin fecha de inicio"&amp;" · ","")&amp;IF($F130="","Sin fecha límite"&amp;" · ","")&amp;IF(OR(AND($E130&lt;&gt;"",NOT(ISNUMBER($E130))),AND($F130&lt;&gt;"",NOT(ISNUMBER($F130)))),"Fecha no válida"&amp;" · ","")&amp;IF(AND(ISNUMBER($E130),ISNUMBER($F130),$E130&gt;$F130),"Inicio posterior a fecha límite"&amp;" · ","")&amp;IF(AND($S130="Macro",$G130=""),"Peso vacío"&amp;" · ","")&amp;IF(AND($S130="Macro",$G130&lt;&gt;"",OR(NOT(ISNUMBER($G130)),$G130&lt;=0,$G130&gt;1)),"Peso fuera de rango"&amp;" · ","")&amp;IF(AND($S130="Sub",$G130&lt;&gt;""),"Las subactividades no llevan peso"&amp;" · ","")&amp;IF(AND($S130="Macro",ABS(SUMIFS($G$5:$G$1000,$P$5:$P$1000,$P130,$S$5:$S$1000,"Macro")-1)&gt;0.0001),"Pesos del mes suman "&amp;TEXT(SUMIFS($G$5:$G$1000,$P$5:$P$1000,$P130,$S$5:$S$1000,"Macro"),"0%")&amp;" · ","")&amp;IF(AND(N($T130)&gt;0,COUNT($H130:$K130)&gt;0),"Con subactividades: deje vacías las semanas (se calculan solas)"&amp;" · ","")&amp;IF((COUNTIF($H130:$K130,"&gt;1")+COUNTIF($H130:$K130,"&lt;0")+COUNTA($H130:$K130)-COUNT($H130:$K130))&gt;0,"Avance fuera de rango 0-100%"&amp;" · ","")&amp;IF(OR(AND($I130&lt;&gt;"",$I130&lt;$H130),AND($J130&lt;&gt;"",$J130&lt;MAX($H130:$I130)),AND($K130&lt;&gt;"",$K130&lt;MAX($H130:$J130))),"Avance semanal decreciente"&amp;" · ","")&amp;IF(AND(ISNUMBER($F130),$F130&lt;FechaRef,N($L130)&lt;1),"Vencida"&amp;" · ","")&amp;IF(AND(ObsObligatoria="Sí",ISNUMBER($F130),$F130&lt;FechaRef,N($L130)&lt;1,$N130=""),"Vencida sin observación"&amp;" · ",""))-3)))</f>
        <v/>
      </c>
      <c r="P130" s="69">
        <f>IF(NOT((COUNTA($B130:$K130)+COUNTA($N130))&gt;0),"",IF(AND($S130="Sub",N($R130)&gt;0),IF(ISNUMBER(INDEX($E$5:$E$1000,$R130-4)),DATE(YEAR(INDEX($E$5:$E$1000,$R130-4)),MONTH(INDEX($E$5:$E$1000,$R130-4)),1),IF(ISNUMBER(INDEX($F$5:$F$1000,$R130-4)),DATE(YEAR(INDEX($F$5:$F$1000,$R130-4)),MONTH(INDEX($F$5:$F$1000,$R130-4)),1),MesCiclo)),IF(ISNUMBER($E130),DATE(YEAR($E130),MONTH($E130),1),IF(ISNUMBER($F130),DATE(YEAR($F130),MONTH($F130),1),MesCiclo))))</f>
        <v/>
      </c>
      <c r="Q130" s="70">
        <f>IF(OR($P130="",$P130&lt;&gt;MesCiclo),"",COUNTIF($P$5:$P130,MesCiclo))</f>
        <v/>
      </c>
      <c r="R130" s="70">
        <f>IF($S130="","",IF($S130="Macro",ROW(),IFERROR(LOOKUP(2,1/($S$5:$S130="Macro"),ROW($S$5:$S130)),0)))</f>
        <v/>
      </c>
      <c r="S130" s="70">
        <f>IF(NOT((COUNTA($B130:$K130)+COUNTA($N130))&gt;0),"",IF($B130&lt;&gt;"","Macro",IF($C130&lt;&gt;"","Sub","Macro")))</f>
        <v/>
      </c>
      <c r="T130" s="70">
        <f>IF($S130="Macro",COUNTIFS($R$5:$R$1000,ROW(),$S$5:$S$1000,"Sub"),"")</f>
        <v/>
      </c>
      <c r="U130" s="70">
        <f>IF($S130="","",IF(ISNUMBER($H130),$H130,0))</f>
        <v/>
      </c>
      <c r="V130" s="70">
        <f>IF($S130="","",IF(ISNUMBER($I130),$I130,$U130))</f>
        <v/>
      </c>
      <c r="W130" s="70">
        <f>IF($S130="","",IF(ISNUMBER($J130),$J130,$V130))</f>
        <v/>
      </c>
      <c r="X130" s="70">
        <f>IF($S130="","",IF(ISNUMBER($K130),$K130,$W130))</f>
        <v/>
      </c>
      <c r="Y130" s="70">
        <f>IF($S130="","",IF(N($T130)&gt;0,AVERAGEIFS($U$5:$U$1000,$R$5:$R$1000,ROW(),$S$5:$S$1000,"Sub"),$U130))</f>
        <v/>
      </c>
      <c r="Z130" s="70">
        <f>IF($S130="","",IF(N($T130)&gt;0,AVERAGEIFS($V$5:$V$1000,$R$5:$R$1000,ROW(),$S$5:$S$1000,"Sub"),$V130))</f>
        <v/>
      </c>
      <c r="AA130" s="70">
        <f>IF($S130="","",IF(N($T130)&gt;0,AVERAGEIFS($W$5:$W$1000,$R$5:$R$1000,ROW(),$S$5:$S$1000,"Sub"),$W130))</f>
        <v/>
      </c>
      <c r="AB130" s="70">
        <f>IF($S130="","",IF(N($T130)&gt;0,AVERAGEIFS($X$5:$X$1000,$R$5:$R$1000,ROW(),$S$5:$S$1000,"Sub"),$X130))</f>
        <v/>
      </c>
    </row>
    <row r="131">
      <c r="A131" s="61">
        <f>IF(NOT((COUNTA($B131:$K131)+COUNTA($N131))&gt;0),"",IF($S131="Macro",COUNTIFS($S$5:$S131,"Macro",$P$5:$P131,$P131),IF(N($R131)=0,"?",COUNTIFS(INDEX($S$5:$S$1000,1):INDEX($S$5:$S$1000,$R131-4),"Macro",INDEX($P$5:$P$1000,1):INDEX($P$5:$P$1000,$R131-4),INDEX($P$5:$P$1000,$R131-4))&amp;"."&amp;COUNTIFS($R$5:$R131,$R131,$S$5:$S131,"Sub"))))</f>
        <v/>
      </c>
      <c r="B131" s="62" t="n"/>
      <c r="C131" s="63" t="n"/>
      <c r="D131" s="62" t="n"/>
      <c r="E131" s="64" t="n"/>
      <c r="F131" s="64" t="n"/>
      <c r="G131" s="65" t="n"/>
      <c r="H131" s="66" t="n"/>
      <c r="I131" s="66" t="n"/>
      <c r="J131" s="66" t="n"/>
      <c r="K131" s="66" t="n"/>
      <c r="L131" s="67">
        <f>IF(NOT((COUNTA($B131:$K131)+COUNTA($N131))&gt;0),"",IF(N($T131)&gt;0,$AB131,IFERROR(LOOKUP(2,1/(H131:K131&lt;&gt;""),H131:K131),0)))</f>
        <v/>
      </c>
      <c r="M131" s="61">
        <f>IF(L131="","",IF(L131&gt;=1,"Completado",IF(L131&gt;0,"En curso","Pendiente")))</f>
        <v/>
      </c>
      <c r="N131" s="62" t="n"/>
      <c r="O131" s="68">
        <f>IF(NOT((COUNTA($B131:$K131)+COUNTA($N131))&gt;0),"",IF((IF(AND($S131="Macro",$B131=""),"Macroactividad vacía"&amp;" · ","")&amp;IF(AND($B131&lt;&gt;"",$C131&lt;&gt;""),"Escriba la subactividad en otra fila, debajo de su macroactividad"&amp;" · ","")&amp;IF(AND($S131="Sub",N($R131)=0),"Subactividad sin macroactividad arriba"&amp;" · ","")&amp;IF($D131="","Sin responsable"&amp;" · ","")&amp;IF($E131="","Sin fecha de inicio"&amp;" · ","")&amp;IF($F131="","Sin fecha límite"&amp;" · ","")&amp;IF(OR(AND($E131&lt;&gt;"",NOT(ISNUMBER($E131))),AND($F131&lt;&gt;"",NOT(ISNUMBER($F131)))),"Fecha no válida"&amp;" · ","")&amp;IF(AND(ISNUMBER($E131),ISNUMBER($F131),$E131&gt;$F131),"Inicio posterior a fecha límite"&amp;" · ","")&amp;IF(AND($S131="Macro",$G131=""),"Peso vacío"&amp;" · ","")&amp;IF(AND($S131="Macro",$G131&lt;&gt;"",OR(NOT(ISNUMBER($G131)),$G131&lt;=0,$G131&gt;1)),"Peso fuera de rango"&amp;" · ","")&amp;IF(AND($S131="Sub",$G131&lt;&gt;""),"Las subactividades no llevan peso"&amp;" · ","")&amp;IF(AND($S131="Macro",ABS(SUMIFS($G$5:$G$1000,$P$5:$P$1000,$P131,$S$5:$S$1000,"Macro")-1)&gt;0.0001),"Pesos del mes suman "&amp;TEXT(SUMIFS($G$5:$G$1000,$P$5:$P$1000,$P131,$S$5:$S$1000,"Macro"),"0%")&amp;" · ","")&amp;IF(AND(N($T131)&gt;0,COUNT($H131:$K131)&gt;0),"Con subactividades: deje vacías las semanas (se calculan solas)"&amp;" · ","")&amp;IF((COUNTIF($H131:$K131,"&gt;1")+COUNTIF($H131:$K131,"&lt;0")+COUNTA($H131:$K131)-COUNT($H131:$K131))&gt;0,"Avance fuera de rango 0-100%"&amp;" · ","")&amp;IF(OR(AND($I131&lt;&gt;"",$I131&lt;$H131),AND($J131&lt;&gt;"",$J131&lt;MAX($H131:$I131)),AND($K131&lt;&gt;"",$K131&lt;MAX($H131:$J131))),"Avance semanal decreciente"&amp;" · ","")&amp;IF(AND(ISNUMBER($F131),$F131&lt;FechaRef,N($L131)&lt;1),"Vencida"&amp;" · ","")&amp;IF(AND(ObsObligatoria="Sí",ISNUMBER($F131),$F131&lt;FechaRef,N($L131)&lt;1,$N131=""),"Vencida sin observación"&amp;" · ",""))="","✔ OK","⚠ "&amp;LEFT(IF(AND($S131="Macro",$B131=""),"Macroactividad vacía"&amp;" · ","")&amp;IF(AND($B131&lt;&gt;"",$C131&lt;&gt;""),"Escriba la subactividad en otra fila, debajo de su macroactividad"&amp;" · ","")&amp;IF(AND($S131="Sub",N($R131)=0),"Subactividad sin macroactividad arriba"&amp;" · ","")&amp;IF($D131="","Sin responsable"&amp;" · ","")&amp;IF($E131="","Sin fecha de inicio"&amp;" · ","")&amp;IF($F131="","Sin fecha límite"&amp;" · ","")&amp;IF(OR(AND($E131&lt;&gt;"",NOT(ISNUMBER($E131))),AND($F131&lt;&gt;"",NOT(ISNUMBER($F131)))),"Fecha no válida"&amp;" · ","")&amp;IF(AND(ISNUMBER($E131),ISNUMBER($F131),$E131&gt;$F131),"Inicio posterior a fecha límite"&amp;" · ","")&amp;IF(AND($S131="Macro",$G131=""),"Peso vacío"&amp;" · ","")&amp;IF(AND($S131="Macro",$G131&lt;&gt;"",OR(NOT(ISNUMBER($G131)),$G131&lt;=0,$G131&gt;1)),"Peso fuera de rango"&amp;" · ","")&amp;IF(AND($S131="Sub",$G131&lt;&gt;""),"Las subactividades no llevan peso"&amp;" · ","")&amp;IF(AND($S131="Macro",ABS(SUMIFS($G$5:$G$1000,$P$5:$P$1000,$P131,$S$5:$S$1000,"Macro")-1)&gt;0.0001),"Pesos del mes suman "&amp;TEXT(SUMIFS($G$5:$G$1000,$P$5:$P$1000,$P131,$S$5:$S$1000,"Macro"),"0%")&amp;" · ","")&amp;IF(AND(N($T131)&gt;0,COUNT($H131:$K131)&gt;0),"Con subactividades: deje vacías las semanas (se calculan solas)"&amp;" · ","")&amp;IF((COUNTIF($H131:$K131,"&gt;1")+COUNTIF($H131:$K131,"&lt;0")+COUNTA($H131:$K131)-COUNT($H131:$K131))&gt;0,"Avance fuera de rango 0-100%"&amp;" · ","")&amp;IF(OR(AND($I131&lt;&gt;"",$I131&lt;$H131),AND($J131&lt;&gt;"",$J131&lt;MAX($H131:$I131)),AND($K131&lt;&gt;"",$K131&lt;MAX($H131:$J131))),"Avance semanal decreciente"&amp;" · ","")&amp;IF(AND(ISNUMBER($F131),$F131&lt;FechaRef,N($L131)&lt;1),"Vencida"&amp;" · ","")&amp;IF(AND(ObsObligatoria="Sí",ISNUMBER($F131),$F131&lt;FechaRef,N($L131)&lt;1,$N131=""),"Vencida sin observación"&amp;" · ",""),LEN(IF(AND($S131="Macro",$B131=""),"Macroactividad vacía"&amp;" · ","")&amp;IF(AND($B131&lt;&gt;"",$C131&lt;&gt;""),"Escriba la subactividad en otra fila, debajo de su macroactividad"&amp;" · ","")&amp;IF(AND($S131="Sub",N($R131)=0),"Subactividad sin macroactividad arriba"&amp;" · ","")&amp;IF($D131="","Sin responsable"&amp;" · ","")&amp;IF($E131="","Sin fecha de inicio"&amp;" · ","")&amp;IF($F131="","Sin fecha límite"&amp;" · ","")&amp;IF(OR(AND($E131&lt;&gt;"",NOT(ISNUMBER($E131))),AND($F131&lt;&gt;"",NOT(ISNUMBER($F131)))),"Fecha no válida"&amp;" · ","")&amp;IF(AND(ISNUMBER($E131),ISNUMBER($F131),$E131&gt;$F131),"Inicio posterior a fecha límite"&amp;" · ","")&amp;IF(AND($S131="Macro",$G131=""),"Peso vacío"&amp;" · ","")&amp;IF(AND($S131="Macro",$G131&lt;&gt;"",OR(NOT(ISNUMBER($G131)),$G131&lt;=0,$G131&gt;1)),"Peso fuera de rango"&amp;" · ","")&amp;IF(AND($S131="Sub",$G131&lt;&gt;""),"Las subactividades no llevan peso"&amp;" · ","")&amp;IF(AND($S131="Macro",ABS(SUMIFS($G$5:$G$1000,$P$5:$P$1000,$P131,$S$5:$S$1000,"Macro")-1)&gt;0.0001),"Pesos del mes suman "&amp;TEXT(SUMIFS($G$5:$G$1000,$P$5:$P$1000,$P131,$S$5:$S$1000,"Macro"),"0%")&amp;" · ","")&amp;IF(AND(N($T131)&gt;0,COUNT($H131:$K131)&gt;0),"Con subactividades: deje vacías las semanas (se calculan solas)"&amp;" · ","")&amp;IF((COUNTIF($H131:$K131,"&gt;1")+COUNTIF($H131:$K131,"&lt;0")+COUNTA($H131:$K131)-COUNT($H131:$K131))&gt;0,"Avance fuera de rango 0-100%"&amp;" · ","")&amp;IF(OR(AND($I131&lt;&gt;"",$I131&lt;$H131),AND($J131&lt;&gt;"",$J131&lt;MAX($H131:$I131)),AND($K131&lt;&gt;"",$K131&lt;MAX($H131:$J131))),"Avance semanal decreciente"&amp;" · ","")&amp;IF(AND(ISNUMBER($F131),$F131&lt;FechaRef,N($L131)&lt;1),"Vencida"&amp;" · ","")&amp;IF(AND(ObsObligatoria="Sí",ISNUMBER($F131),$F131&lt;FechaRef,N($L131)&lt;1,$N131=""),"Vencida sin observación"&amp;" · ",""))-3)))</f>
        <v/>
      </c>
      <c r="P131" s="69">
        <f>IF(NOT((COUNTA($B131:$K131)+COUNTA($N131))&gt;0),"",IF(AND($S131="Sub",N($R131)&gt;0),IF(ISNUMBER(INDEX($E$5:$E$1000,$R131-4)),DATE(YEAR(INDEX($E$5:$E$1000,$R131-4)),MONTH(INDEX($E$5:$E$1000,$R131-4)),1),IF(ISNUMBER(INDEX($F$5:$F$1000,$R131-4)),DATE(YEAR(INDEX($F$5:$F$1000,$R131-4)),MONTH(INDEX($F$5:$F$1000,$R131-4)),1),MesCiclo)),IF(ISNUMBER($E131),DATE(YEAR($E131),MONTH($E131),1),IF(ISNUMBER($F131),DATE(YEAR($F131),MONTH($F131),1),MesCiclo))))</f>
        <v/>
      </c>
      <c r="Q131" s="70">
        <f>IF(OR($P131="",$P131&lt;&gt;MesCiclo),"",COUNTIF($P$5:$P131,MesCiclo))</f>
        <v/>
      </c>
      <c r="R131" s="70">
        <f>IF($S131="","",IF($S131="Macro",ROW(),IFERROR(LOOKUP(2,1/($S$5:$S131="Macro"),ROW($S$5:$S131)),0)))</f>
        <v/>
      </c>
      <c r="S131" s="70">
        <f>IF(NOT((COUNTA($B131:$K131)+COUNTA($N131))&gt;0),"",IF($B131&lt;&gt;"","Macro",IF($C131&lt;&gt;"","Sub","Macro")))</f>
        <v/>
      </c>
      <c r="T131" s="70">
        <f>IF($S131="Macro",COUNTIFS($R$5:$R$1000,ROW(),$S$5:$S$1000,"Sub"),"")</f>
        <v/>
      </c>
      <c r="U131" s="70">
        <f>IF($S131="","",IF(ISNUMBER($H131),$H131,0))</f>
        <v/>
      </c>
      <c r="V131" s="70">
        <f>IF($S131="","",IF(ISNUMBER($I131),$I131,$U131))</f>
        <v/>
      </c>
      <c r="W131" s="70">
        <f>IF($S131="","",IF(ISNUMBER($J131),$J131,$V131))</f>
        <v/>
      </c>
      <c r="X131" s="70">
        <f>IF($S131="","",IF(ISNUMBER($K131),$K131,$W131))</f>
        <v/>
      </c>
      <c r="Y131" s="70">
        <f>IF($S131="","",IF(N($T131)&gt;0,AVERAGEIFS($U$5:$U$1000,$R$5:$R$1000,ROW(),$S$5:$S$1000,"Sub"),$U131))</f>
        <v/>
      </c>
      <c r="Z131" s="70">
        <f>IF($S131="","",IF(N($T131)&gt;0,AVERAGEIFS($V$5:$V$1000,$R$5:$R$1000,ROW(),$S$5:$S$1000,"Sub"),$V131))</f>
        <v/>
      </c>
      <c r="AA131" s="70">
        <f>IF($S131="","",IF(N($T131)&gt;0,AVERAGEIFS($W$5:$W$1000,$R$5:$R$1000,ROW(),$S$5:$S$1000,"Sub"),$W131))</f>
        <v/>
      </c>
      <c r="AB131" s="70">
        <f>IF($S131="","",IF(N($T131)&gt;0,AVERAGEIFS($X$5:$X$1000,$R$5:$R$1000,ROW(),$S$5:$S$1000,"Sub"),$X131))</f>
        <v/>
      </c>
    </row>
    <row r="132">
      <c r="A132" s="61">
        <f>IF(NOT((COUNTA($B132:$K132)+COUNTA($N132))&gt;0),"",IF($S132="Macro",COUNTIFS($S$5:$S132,"Macro",$P$5:$P132,$P132),IF(N($R132)=0,"?",COUNTIFS(INDEX($S$5:$S$1000,1):INDEX($S$5:$S$1000,$R132-4),"Macro",INDEX($P$5:$P$1000,1):INDEX($P$5:$P$1000,$R132-4),INDEX($P$5:$P$1000,$R132-4))&amp;"."&amp;COUNTIFS($R$5:$R132,$R132,$S$5:$S132,"Sub"))))</f>
        <v/>
      </c>
      <c r="B132" s="62" t="n"/>
      <c r="C132" s="63" t="n"/>
      <c r="D132" s="62" t="n"/>
      <c r="E132" s="64" t="n"/>
      <c r="F132" s="64" t="n"/>
      <c r="G132" s="65" t="n"/>
      <c r="H132" s="66" t="n"/>
      <c r="I132" s="66" t="n"/>
      <c r="J132" s="66" t="n"/>
      <c r="K132" s="66" t="n"/>
      <c r="L132" s="67">
        <f>IF(NOT((COUNTA($B132:$K132)+COUNTA($N132))&gt;0),"",IF(N($T132)&gt;0,$AB132,IFERROR(LOOKUP(2,1/(H132:K132&lt;&gt;""),H132:K132),0)))</f>
        <v/>
      </c>
      <c r="M132" s="61">
        <f>IF(L132="","",IF(L132&gt;=1,"Completado",IF(L132&gt;0,"En curso","Pendiente")))</f>
        <v/>
      </c>
      <c r="N132" s="62" t="n"/>
      <c r="O132" s="68">
        <f>IF(NOT((COUNTA($B132:$K132)+COUNTA($N132))&gt;0),"",IF((IF(AND($S132="Macro",$B132=""),"Macroactividad vacía"&amp;" · ","")&amp;IF(AND($B132&lt;&gt;"",$C132&lt;&gt;""),"Escriba la subactividad en otra fila, debajo de su macroactividad"&amp;" · ","")&amp;IF(AND($S132="Sub",N($R132)=0),"Subactividad sin macroactividad arriba"&amp;" · ","")&amp;IF($D132="","Sin responsable"&amp;" · ","")&amp;IF($E132="","Sin fecha de inicio"&amp;" · ","")&amp;IF($F132="","Sin fecha límite"&amp;" · ","")&amp;IF(OR(AND($E132&lt;&gt;"",NOT(ISNUMBER($E132))),AND($F132&lt;&gt;"",NOT(ISNUMBER($F132)))),"Fecha no válida"&amp;" · ","")&amp;IF(AND(ISNUMBER($E132),ISNUMBER($F132),$E132&gt;$F132),"Inicio posterior a fecha límite"&amp;" · ","")&amp;IF(AND($S132="Macro",$G132=""),"Peso vacío"&amp;" · ","")&amp;IF(AND($S132="Macro",$G132&lt;&gt;"",OR(NOT(ISNUMBER($G132)),$G132&lt;=0,$G132&gt;1)),"Peso fuera de rango"&amp;" · ","")&amp;IF(AND($S132="Sub",$G132&lt;&gt;""),"Las subactividades no llevan peso"&amp;" · ","")&amp;IF(AND($S132="Macro",ABS(SUMIFS($G$5:$G$1000,$P$5:$P$1000,$P132,$S$5:$S$1000,"Macro")-1)&gt;0.0001),"Pesos del mes suman "&amp;TEXT(SUMIFS($G$5:$G$1000,$P$5:$P$1000,$P132,$S$5:$S$1000,"Macro"),"0%")&amp;" · ","")&amp;IF(AND(N($T132)&gt;0,COUNT($H132:$K132)&gt;0),"Con subactividades: deje vacías las semanas (se calculan solas)"&amp;" · ","")&amp;IF((COUNTIF($H132:$K132,"&gt;1")+COUNTIF($H132:$K132,"&lt;0")+COUNTA($H132:$K132)-COUNT($H132:$K132))&gt;0,"Avance fuera de rango 0-100%"&amp;" · ","")&amp;IF(OR(AND($I132&lt;&gt;"",$I132&lt;$H132),AND($J132&lt;&gt;"",$J132&lt;MAX($H132:$I132)),AND($K132&lt;&gt;"",$K132&lt;MAX($H132:$J132))),"Avance semanal decreciente"&amp;" · ","")&amp;IF(AND(ISNUMBER($F132),$F132&lt;FechaRef,N($L132)&lt;1),"Vencida"&amp;" · ","")&amp;IF(AND(ObsObligatoria="Sí",ISNUMBER($F132),$F132&lt;FechaRef,N($L132)&lt;1,$N132=""),"Vencida sin observación"&amp;" · ",""))="","✔ OK","⚠ "&amp;LEFT(IF(AND($S132="Macro",$B132=""),"Macroactividad vacía"&amp;" · ","")&amp;IF(AND($B132&lt;&gt;"",$C132&lt;&gt;""),"Escriba la subactividad en otra fila, debajo de su macroactividad"&amp;" · ","")&amp;IF(AND($S132="Sub",N($R132)=0),"Subactividad sin macroactividad arriba"&amp;" · ","")&amp;IF($D132="","Sin responsable"&amp;" · ","")&amp;IF($E132="","Sin fecha de inicio"&amp;" · ","")&amp;IF($F132="","Sin fecha límite"&amp;" · ","")&amp;IF(OR(AND($E132&lt;&gt;"",NOT(ISNUMBER($E132))),AND($F132&lt;&gt;"",NOT(ISNUMBER($F132)))),"Fecha no válida"&amp;" · ","")&amp;IF(AND(ISNUMBER($E132),ISNUMBER($F132),$E132&gt;$F132),"Inicio posterior a fecha límite"&amp;" · ","")&amp;IF(AND($S132="Macro",$G132=""),"Peso vacío"&amp;" · ","")&amp;IF(AND($S132="Macro",$G132&lt;&gt;"",OR(NOT(ISNUMBER($G132)),$G132&lt;=0,$G132&gt;1)),"Peso fuera de rango"&amp;" · ","")&amp;IF(AND($S132="Sub",$G132&lt;&gt;""),"Las subactividades no llevan peso"&amp;" · ","")&amp;IF(AND($S132="Macro",ABS(SUMIFS($G$5:$G$1000,$P$5:$P$1000,$P132,$S$5:$S$1000,"Macro")-1)&gt;0.0001),"Pesos del mes suman "&amp;TEXT(SUMIFS($G$5:$G$1000,$P$5:$P$1000,$P132,$S$5:$S$1000,"Macro"),"0%")&amp;" · ","")&amp;IF(AND(N($T132)&gt;0,COUNT($H132:$K132)&gt;0),"Con subactividades: deje vacías las semanas (se calculan solas)"&amp;" · ","")&amp;IF((COUNTIF($H132:$K132,"&gt;1")+COUNTIF($H132:$K132,"&lt;0")+COUNTA($H132:$K132)-COUNT($H132:$K132))&gt;0,"Avance fuera de rango 0-100%"&amp;" · ","")&amp;IF(OR(AND($I132&lt;&gt;"",$I132&lt;$H132),AND($J132&lt;&gt;"",$J132&lt;MAX($H132:$I132)),AND($K132&lt;&gt;"",$K132&lt;MAX($H132:$J132))),"Avance semanal decreciente"&amp;" · ","")&amp;IF(AND(ISNUMBER($F132),$F132&lt;FechaRef,N($L132)&lt;1),"Vencida"&amp;" · ","")&amp;IF(AND(ObsObligatoria="Sí",ISNUMBER($F132),$F132&lt;FechaRef,N($L132)&lt;1,$N132=""),"Vencida sin observación"&amp;" · ",""),LEN(IF(AND($S132="Macro",$B132=""),"Macroactividad vacía"&amp;" · ","")&amp;IF(AND($B132&lt;&gt;"",$C132&lt;&gt;""),"Escriba la subactividad en otra fila, debajo de su macroactividad"&amp;" · ","")&amp;IF(AND($S132="Sub",N($R132)=0),"Subactividad sin macroactividad arriba"&amp;" · ","")&amp;IF($D132="","Sin responsable"&amp;" · ","")&amp;IF($E132="","Sin fecha de inicio"&amp;" · ","")&amp;IF($F132="","Sin fecha límite"&amp;" · ","")&amp;IF(OR(AND($E132&lt;&gt;"",NOT(ISNUMBER($E132))),AND($F132&lt;&gt;"",NOT(ISNUMBER($F132)))),"Fecha no válida"&amp;" · ","")&amp;IF(AND(ISNUMBER($E132),ISNUMBER($F132),$E132&gt;$F132),"Inicio posterior a fecha límite"&amp;" · ","")&amp;IF(AND($S132="Macro",$G132=""),"Peso vacío"&amp;" · ","")&amp;IF(AND($S132="Macro",$G132&lt;&gt;"",OR(NOT(ISNUMBER($G132)),$G132&lt;=0,$G132&gt;1)),"Peso fuera de rango"&amp;" · ","")&amp;IF(AND($S132="Sub",$G132&lt;&gt;""),"Las subactividades no llevan peso"&amp;" · ","")&amp;IF(AND($S132="Macro",ABS(SUMIFS($G$5:$G$1000,$P$5:$P$1000,$P132,$S$5:$S$1000,"Macro")-1)&gt;0.0001),"Pesos del mes suman "&amp;TEXT(SUMIFS($G$5:$G$1000,$P$5:$P$1000,$P132,$S$5:$S$1000,"Macro"),"0%")&amp;" · ","")&amp;IF(AND(N($T132)&gt;0,COUNT($H132:$K132)&gt;0),"Con subactividades: deje vacías las semanas (se calculan solas)"&amp;" · ","")&amp;IF((COUNTIF($H132:$K132,"&gt;1")+COUNTIF($H132:$K132,"&lt;0")+COUNTA($H132:$K132)-COUNT($H132:$K132))&gt;0,"Avance fuera de rango 0-100%"&amp;" · ","")&amp;IF(OR(AND($I132&lt;&gt;"",$I132&lt;$H132),AND($J132&lt;&gt;"",$J132&lt;MAX($H132:$I132)),AND($K132&lt;&gt;"",$K132&lt;MAX($H132:$J132))),"Avance semanal decreciente"&amp;" · ","")&amp;IF(AND(ISNUMBER($F132),$F132&lt;FechaRef,N($L132)&lt;1),"Vencida"&amp;" · ","")&amp;IF(AND(ObsObligatoria="Sí",ISNUMBER($F132),$F132&lt;FechaRef,N($L132)&lt;1,$N132=""),"Vencida sin observación"&amp;" · ",""))-3)))</f>
        <v/>
      </c>
      <c r="P132" s="69">
        <f>IF(NOT((COUNTA($B132:$K132)+COUNTA($N132))&gt;0),"",IF(AND($S132="Sub",N($R132)&gt;0),IF(ISNUMBER(INDEX($E$5:$E$1000,$R132-4)),DATE(YEAR(INDEX($E$5:$E$1000,$R132-4)),MONTH(INDEX($E$5:$E$1000,$R132-4)),1),IF(ISNUMBER(INDEX($F$5:$F$1000,$R132-4)),DATE(YEAR(INDEX($F$5:$F$1000,$R132-4)),MONTH(INDEX($F$5:$F$1000,$R132-4)),1),MesCiclo)),IF(ISNUMBER($E132),DATE(YEAR($E132),MONTH($E132),1),IF(ISNUMBER($F132),DATE(YEAR($F132),MONTH($F132),1),MesCiclo))))</f>
        <v/>
      </c>
      <c r="Q132" s="70">
        <f>IF(OR($P132="",$P132&lt;&gt;MesCiclo),"",COUNTIF($P$5:$P132,MesCiclo))</f>
        <v/>
      </c>
      <c r="R132" s="70">
        <f>IF($S132="","",IF($S132="Macro",ROW(),IFERROR(LOOKUP(2,1/($S$5:$S132="Macro"),ROW($S$5:$S132)),0)))</f>
        <v/>
      </c>
      <c r="S132" s="70">
        <f>IF(NOT((COUNTA($B132:$K132)+COUNTA($N132))&gt;0),"",IF($B132&lt;&gt;"","Macro",IF($C132&lt;&gt;"","Sub","Macro")))</f>
        <v/>
      </c>
      <c r="T132" s="70">
        <f>IF($S132="Macro",COUNTIFS($R$5:$R$1000,ROW(),$S$5:$S$1000,"Sub"),"")</f>
        <v/>
      </c>
      <c r="U132" s="70">
        <f>IF($S132="","",IF(ISNUMBER($H132),$H132,0))</f>
        <v/>
      </c>
      <c r="V132" s="70">
        <f>IF($S132="","",IF(ISNUMBER($I132),$I132,$U132))</f>
        <v/>
      </c>
      <c r="W132" s="70">
        <f>IF($S132="","",IF(ISNUMBER($J132),$J132,$V132))</f>
        <v/>
      </c>
      <c r="X132" s="70">
        <f>IF($S132="","",IF(ISNUMBER($K132),$K132,$W132))</f>
        <v/>
      </c>
      <c r="Y132" s="70">
        <f>IF($S132="","",IF(N($T132)&gt;0,AVERAGEIFS($U$5:$U$1000,$R$5:$R$1000,ROW(),$S$5:$S$1000,"Sub"),$U132))</f>
        <v/>
      </c>
      <c r="Z132" s="70">
        <f>IF($S132="","",IF(N($T132)&gt;0,AVERAGEIFS($V$5:$V$1000,$R$5:$R$1000,ROW(),$S$5:$S$1000,"Sub"),$V132))</f>
        <v/>
      </c>
      <c r="AA132" s="70">
        <f>IF($S132="","",IF(N($T132)&gt;0,AVERAGEIFS($W$5:$W$1000,$R$5:$R$1000,ROW(),$S$5:$S$1000,"Sub"),$W132))</f>
        <v/>
      </c>
      <c r="AB132" s="70">
        <f>IF($S132="","",IF(N($T132)&gt;0,AVERAGEIFS($X$5:$X$1000,$R$5:$R$1000,ROW(),$S$5:$S$1000,"Sub"),$X132))</f>
        <v/>
      </c>
    </row>
    <row r="133">
      <c r="A133" s="61">
        <f>IF(NOT((COUNTA($B133:$K133)+COUNTA($N133))&gt;0),"",IF($S133="Macro",COUNTIFS($S$5:$S133,"Macro",$P$5:$P133,$P133),IF(N($R133)=0,"?",COUNTIFS(INDEX($S$5:$S$1000,1):INDEX($S$5:$S$1000,$R133-4),"Macro",INDEX($P$5:$P$1000,1):INDEX($P$5:$P$1000,$R133-4),INDEX($P$5:$P$1000,$R133-4))&amp;"."&amp;COUNTIFS($R$5:$R133,$R133,$S$5:$S133,"Sub"))))</f>
        <v/>
      </c>
      <c r="B133" s="62" t="n"/>
      <c r="C133" s="63" t="n"/>
      <c r="D133" s="62" t="n"/>
      <c r="E133" s="64" t="n"/>
      <c r="F133" s="64" t="n"/>
      <c r="G133" s="65" t="n"/>
      <c r="H133" s="66" t="n"/>
      <c r="I133" s="66" t="n"/>
      <c r="J133" s="66" t="n"/>
      <c r="K133" s="66" t="n"/>
      <c r="L133" s="67">
        <f>IF(NOT((COUNTA($B133:$K133)+COUNTA($N133))&gt;0),"",IF(N($T133)&gt;0,$AB133,IFERROR(LOOKUP(2,1/(H133:K133&lt;&gt;""),H133:K133),0)))</f>
        <v/>
      </c>
      <c r="M133" s="61">
        <f>IF(L133="","",IF(L133&gt;=1,"Completado",IF(L133&gt;0,"En curso","Pendiente")))</f>
        <v/>
      </c>
      <c r="N133" s="62" t="n"/>
      <c r="O133" s="68">
        <f>IF(NOT((COUNTA($B133:$K133)+COUNTA($N133))&gt;0),"",IF((IF(AND($S133="Macro",$B133=""),"Macroactividad vacía"&amp;" · ","")&amp;IF(AND($B133&lt;&gt;"",$C133&lt;&gt;""),"Escriba la subactividad en otra fila, debajo de su macroactividad"&amp;" · ","")&amp;IF(AND($S133="Sub",N($R133)=0),"Subactividad sin macroactividad arriba"&amp;" · ","")&amp;IF($D133="","Sin responsable"&amp;" · ","")&amp;IF($E133="","Sin fecha de inicio"&amp;" · ","")&amp;IF($F133="","Sin fecha límite"&amp;" · ","")&amp;IF(OR(AND($E133&lt;&gt;"",NOT(ISNUMBER($E133))),AND($F133&lt;&gt;"",NOT(ISNUMBER($F133)))),"Fecha no válida"&amp;" · ","")&amp;IF(AND(ISNUMBER($E133),ISNUMBER($F133),$E133&gt;$F133),"Inicio posterior a fecha límite"&amp;" · ","")&amp;IF(AND($S133="Macro",$G133=""),"Peso vacío"&amp;" · ","")&amp;IF(AND($S133="Macro",$G133&lt;&gt;"",OR(NOT(ISNUMBER($G133)),$G133&lt;=0,$G133&gt;1)),"Peso fuera de rango"&amp;" · ","")&amp;IF(AND($S133="Sub",$G133&lt;&gt;""),"Las subactividades no llevan peso"&amp;" · ","")&amp;IF(AND($S133="Macro",ABS(SUMIFS($G$5:$G$1000,$P$5:$P$1000,$P133,$S$5:$S$1000,"Macro")-1)&gt;0.0001),"Pesos del mes suman "&amp;TEXT(SUMIFS($G$5:$G$1000,$P$5:$P$1000,$P133,$S$5:$S$1000,"Macro"),"0%")&amp;" · ","")&amp;IF(AND(N($T133)&gt;0,COUNT($H133:$K133)&gt;0),"Con subactividades: deje vacías las semanas (se calculan solas)"&amp;" · ","")&amp;IF((COUNTIF($H133:$K133,"&gt;1")+COUNTIF($H133:$K133,"&lt;0")+COUNTA($H133:$K133)-COUNT($H133:$K133))&gt;0,"Avance fuera de rango 0-100%"&amp;" · ","")&amp;IF(OR(AND($I133&lt;&gt;"",$I133&lt;$H133),AND($J133&lt;&gt;"",$J133&lt;MAX($H133:$I133)),AND($K133&lt;&gt;"",$K133&lt;MAX($H133:$J133))),"Avance semanal decreciente"&amp;" · ","")&amp;IF(AND(ISNUMBER($F133),$F133&lt;FechaRef,N($L133)&lt;1),"Vencida"&amp;" · ","")&amp;IF(AND(ObsObligatoria="Sí",ISNUMBER($F133),$F133&lt;FechaRef,N($L133)&lt;1,$N133=""),"Vencida sin observación"&amp;" · ",""))="","✔ OK","⚠ "&amp;LEFT(IF(AND($S133="Macro",$B133=""),"Macroactividad vacía"&amp;" · ","")&amp;IF(AND($B133&lt;&gt;"",$C133&lt;&gt;""),"Escriba la subactividad en otra fila, debajo de su macroactividad"&amp;" · ","")&amp;IF(AND($S133="Sub",N($R133)=0),"Subactividad sin macroactividad arriba"&amp;" · ","")&amp;IF($D133="","Sin responsable"&amp;" · ","")&amp;IF($E133="","Sin fecha de inicio"&amp;" · ","")&amp;IF($F133="","Sin fecha límite"&amp;" · ","")&amp;IF(OR(AND($E133&lt;&gt;"",NOT(ISNUMBER($E133))),AND($F133&lt;&gt;"",NOT(ISNUMBER($F133)))),"Fecha no válida"&amp;" · ","")&amp;IF(AND(ISNUMBER($E133),ISNUMBER($F133),$E133&gt;$F133),"Inicio posterior a fecha límite"&amp;" · ","")&amp;IF(AND($S133="Macro",$G133=""),"Peso vacío"&amp;" · ","")&amp;IF(AND($S133="Macro",$G133&lt;&gt;"",OR(NOT(ISNUMBER($G133)),$G133&lt;=0,$G133&gt;1)),"Peso fuera de rango"&amp;" · ","")&amp;IF(AND($S133="Sub",$G133&lt;&gt;""),"Las subactividades no llevan peso"&amp;" · ","")&amp;IF(AND($S133="Macro",ABS(SUMIFS($G$5:$G$1000,$P$5:$P$1000,$P133,$S$5:$S$1000,"Macro")-1)&gt;0.0001),"Pesos del mes suman "&amp;TEXT(SUMIFS($G$5:$G$1000,$P$5:$P$1000,$P133,$S$5:$S$1000,"Macro"),"0%")&amp;" · ","")&amp;IF(AND(N($T133)&gt;0,COUNT($H133:$K133)&gt;0),"Con subactividades: deje vacías las semanas (se calculan solas)"&amp;" · ","")&amp;IF((COUNTIF($H133:$K133,"&gt;1")+COUNTIF($H133:$K133,"&lt;0")+COUNTA($H133:$K133)-COUNT($H133:$K133))&gt;0,"Avance fuera de rango 0-100%"&amp;" · ","")&amp;IF(OR(AND($I133&lt;&gt;"",$I133&lt;$H133),AND($J133&lt;&gt;"",$J133&lt;MAX($H133:$I133)),AND($K133&lt;&gt;"",$K133&lt;MAX($H133:$J133))),"Avance semanal decreciente"&amp;" · ","")&amp;IF(AND(ISNUMBER($F133),$F133&lt;FechaRef,N($L133)&lt;1),"Vencida"&amp;" · ","")&amp;IF(AND(ObsObligatoria="Sí",ISNUMBER($F133),$F133&lt;FechaRef,N($L133)&lt;1,$N133=""),"Vencida sin observación"&amp;" · ",""),LEN(IF(AND($S133="Macro",$B133=""),"Macroactividad vacía"&amp;" · ","")&amp;IF(AND($B133&lt;&gt;"",$C133&lt;&gt;""),"Escriba la subactividad en otra fila, debajo de su macroactividad"&amp;" · ","")&amp;IF(AND($S133="Sub",N($R133)=0),"Subactividad sin macroactividad arriba"&amp;" · ","")&amp;IF($D133="","Sin responsable"&amp;" · ","")&amp;IF($E133="","Sin fecha de inicio"&amp;" · ","")&amp;IF($F133="","Sin fecha límite"&amp;" · ","")&amp;IF(OR(AND($E133&lt;&gt;"",NOT(ISNUMBER($E133))),AND($F133&lt;&gt;"",NOT(ISNUMBER($F133)))),"Fecha no válida"&amp;" · ","")&amp;IF(AND(ISNUMBER($E133),ISNUMBER($F133),$E133&gt;$F133),"Inicio posterior a fecha límite"&amp;" · ","")&amp;IF(AND($S133="Macro",$G133=""),"Peso vacío"&amp;" · ","")&amp;IF(AND($S133="Macro",$G133&lt;&gt;"",OR(NOT(ISNUMBER($G133)),$G133&lt;=0,$G133&gt;1)),"Peso fuera de rango"&amp;" · ","")&amp;IF(AND($S133="Sub",$G133&lt;&gt;""),"Las subactividades no llevan peso"&amp;" · ","")&amp;IF(AND($S133="Macro",ABS(SUMIFS($G$5:$G$1000,$P$5:$P$1000,$P133,$S$5:$S$1000,"Macro")-1)&gt;0.0001),"Pesos del mes suman "&amp;TEXT(SUMIFS($G$5:$G$1000,$P$5:$P$1000,$P133,$S$5:$S$1000,"Macro"),"0%")&amp;" · ","")&amp;IF(AND(N($T133)&gt;0,COUNT($H133:$K133)&gt;0),"Con subactividades: deje vacías las semanas (se calculan solas)"&amp;" · ","")&amp;IF((COUNTIF($H133:$K133,"&gt;1")+COUNTIF($H133:$K133,"&lt;0")+COUNTA($H133:$K133)-COUNT($H133:$K133))&gt;0,"Avance fuera de rango 0-100%"&amp;" · ","")&amp;IF(OR(AND($I133&lt;&gt;"",$I133&lt;$H133),AND($J133&lt;&gt;"",$J133&lt;MAX($H133:$I133)),AND($K133&lt;&gt;"",$K133&lt;MAX($H133:$J133))),"Avance semanal decreciente"&amp;" · ","")&amp;IF(AND(ISNUMBER($F133),$F133&lt;FechaRef,N($L133)&lt;1),"Vencida"&amp;" · ","")&amp;IF(AND(ObsObligatoria="Sí",ISNUMBER($F133),$F133&lt;FechaRef,N($L133)&lt;1,$N133=""),"Vencida sin observación"&amp;" · ",""))-3)))</f>
        <v/>
      </c>
      <c r="P133" s="69">
        <f>IF(NOT((COUNTA($B133:$K133)+COUNTA($N133))&gt;0),"",IF(AND($S133="Sub",N($R133)&gt;0),IF(ISNUMBER(INDEX($E$5:$E$1000,$R133-4)),DATE(YEAR(INDEX($E$5:$E$1000,$R133-4)),MONTH(INDEX($E$5:$E$1000,$R133-4)),1),IF(ISNUMBER(INDEX($F$5:$F$1000,$R133-4)),DATE(YEAR(INDEX($F$5:$F$1000,$R133-4)),MONTH(INDEX($F$5:$F$1000,$R133-4)),1),MesCiclo)),IF(ISNUMBER($E133),DATE(YEAR($E133),MONTH($E133),1),IF(ISNUMBER($F133),DATE(YEAR($F133),MONTH($F133),1),MesCiclo))))</f>
        <v/>
      </c>
      <c r="Q133" s="70">
        <f>IF(OR($P133="",$P133&lt;&gt;MesCiclo),"",COUNTIF($P$5:$P133,MesCiclo))</f>
        <v/>
      </c>
      <c r="R133" s="70">
        <f>IF($S133="","",IF($S133="Macro",ROW(),IFERROR(LOOKUP(2,1/($S$5:$S133="Macro"),ROW($S$5:$S133)),0)))</f>
        <v/>
      </c>
      <c r="S133" s="70">
        <f>IF(NOT((COUNTA($B133:$K133)+COUNTA($N133))&gt;0),"",IF($B133&lt;&gt;"","Macro",IF($C133&lt;&gt;"","Sub","Macro")))</f>
        <v/>
      </c>
      <c r="T133" s="70">
        <f>IF($S133="Macro",COUNTIFS($R$5:$R$1000,ROW(),$S$5:$S$1000,"Sub"),"")</f>
        <v/>
      </c>
      <c r="U133" s="70">
        <f>IF($S133="","",IF(ISNUMBER($H133),$H133,0))</f>
        <v/>
      </c>
      <c r="V133" s="70">
        <f>IF($S133="","",IF(ISNUMBER($I133),$I133,$U133))</f>
        <v/>
      </c>
      <c r="W133" s="70">
        <f>IF($S133="","",IF(ISNUMBER($J133),$J133,$V133))</f>
        <v/>
      </c>
      <c r="X133" s="70">
        <f>IF($S133="","",IF(ISNUMBER($K133),$K133,$W133))</f>
        <v/>
      </c>
      <c r="Y133" s="70">
        <f>IF($S133="","",IF(N($T133)&gt;0,AVERAGEIFS($U$5:$U$1000,$R$5:$R$1000,ROW(),$S$5:$S$1000,"Sub"),$U133))</f>
        <v/>
      </c>
      <c r="Z133" s="70">
        <f>IF($S133="","",IF(N($T133)&gt;0,AVERAGEIFS($V$5:$V$1000,$R$5:$R$1000,ROW(),$S$5:$S$1000,"Sub"),$V133))</f>
        <v/>
      </c>
      <c r="AA133" s="70">
        <f>IF($S133="","",IF(N($T133)&gt;0,AVERAGEIFS($W$5:$W$1000,$R$5:$R$1000,ROW(),$S$5:$S$1000,"Sub"),$W133))</f>
        <v/>
      </c>
      <c r="AB133" s="70">
        <f>IF($S133="","",IF(N($T133)&gt;0,AVERAGEIFS($X$5:$X$1000,$R$5:$R$1000,ROW(),$S$5:$S$1000,"Sub"),$X133))</f>
        <v/>
      </c>
    </row>
    <row r="134">
      <c r="A134" s="61">
        <f>IF(NOT((COUNTA($B134:$K134)+COUNTA($N134))&gt;0),"",IF($S134="Macro",COUNTIFS($S$5:$S134,"Macro",$P$5:$P134,$P134),IF(N($R134)=0,"?",COUNTIFS(INDEX($S$5:$S$1000,1):INDEX($S$5:$S$1000,$R134-4),"Macro",INDEX($P$5:$P$1000,1):INDEX($P$5:$P$1000,$R134-4),INDEX($P$5:$P$1000,$R134-4))&amp;"."&amp;COUNTIFS($R$5:$R134,$R134,$S$5:$S134,"Sub"))))</f>
        <v/>
      </c>
      <c r="B134" s="62" t="n"/>
      <c r="C134" s="63" t="n"/>
      <c r="D134" s="62" t="n"/>
      <c r="E134" s="64" t="n"/>
      <c r="F134" s="64" t="n"/>
      <c r="G134" s="65" t="n"/>
      <c r="H134" s="66" t="n"/>
      <c r="I134" s="66" t="n"/>
      <c r="J134" s="66" t="n"/>
      <c r="K134" s="66" t="n"/>
      <c r="L134" s="67">
        <f>IF(NOT((COUNTA($B134:$K134)+COUNTA($N134))&gt;0),"",IF(N($T134)&gt;0,$AB134,IFERROR(LOOKUP(2,1/(H134:K134&lt;&gt;""),H134:K134),0)))</f>
        <v/>
      </c>
      <c r="M134" s="61">
        <f>IF(L134="","",IF(L134&gt;=1,"Completado",IF(L134&gt;0,"En curso","Pendiente")))</f>
        <v/>
      </c>
      <c r="N134" s="62" t="n"/>
      <c r="O134" s="68">
        <f>IF(NOT((COUNTA($B134:$K134)+COUNTA($N134))&gt;0),"",IF((IF(AND($S134="Macro",$B134=""),"Macroactividad vacía"&amp;" · ","")&amp;IF(AND($B134&lt;&gt;"",$C134&lt;&gt;""),"Escriba la subactividad en otra fila, debajo de su macroactividad"&amp;" · ","")&amp;IF(AND($S134="Sub",N($R134)=0),"Subactividad sin macroactividad arriba"&amp;" · ","")&amp;IF($D134="","Sin responsable"&amp;" · ","")&amp;IF($E134="","Sin fecha de inicio"&amp;" · ","")&amp;IF($F134="","Sin fecha límite"&amp;" · ","")&amp;IF(OR(AND($E134&lt;&gt;"",NOT(ISNUMBER($E134))),AND($F134&lt;&gt;"",NOT(ISNUMBER($F134)))),"Fecha no válida"&amp;" · ","")&amp;IF(AND(ISNUMBER($E134),ISNUMBER($F134),$E134&gt;$F134),"Inicio posterior a fecha límite"&amp;" · ","")&amp;IF(AND($S134="Macro",$G134=""),"Peso vacío"&amp;" · ","")&amp;IF(AND($S134="Macro",$G134&lt;&gt;"",OR(NOT(ISNUMBER($G134)),$G134&lt;=0,$G134&gt;1)),"Peso fuera de rango"&amp;" · ","")&amp;IF(AND($S134="Sub",$G134&lt;&gt;""),"Las subactividades no llevan peso"&amp;" · ","")&amp;IF(AND($S134="Macro",ABS(SUMIFS($G$5:$G$1000,$P$5:$P$1000,$P134,$S$5:$S$1000,"Macro")-1)&gt;0.0001),"Pesos del mes suman "&amp;TEXT(SUMIFS($G$5:$G$1000,$P$5:$P$1000,$P134,$S$5:$S$1000,"Macro"),"0%")&amp;" · ","")&amp;IF(AND(N($T134)&gt;0,COUNT($H134:$K134)&gt;0),"Con subactividades: deje vacías las semanas (se calculan solas)"&amp;" · ","")&amp;IF((COUNTIF($H134:$K134,"&gt;1")+COUNTIF($H134:$K134,"&lt;0")+COUNTA($H134:$K134)-COUNT($H134:$K134))&gt;0,"Avance fuera de rango 0-100%"&amp;" · ","")&amp;IF(OR(AND($I134&lt;&gt;"",$I134&lt;$H134),AND($J134&lt;&gt;"",$J134&lt;MAX($H134:$I134)),AND($K134&lt;&gt;"",$K134&lt;MAX($H134:$J134))),"Avance semanal decreciente"&amp;" · ","")&amp;IF(AND(ISNUMBER($F134),$F134&lt;FechaRef,N($L134)&lt;1),"Vencida"&amp;" · ","")&amp;IF(AND(ObsObligatoria="Sí",ISNUMBER($F134),$F134&lt;FechaRef,N($L134)&lt;1,$N134=""),"Vencida sin observación"&amp;" · ",""))="","✔ OK","⚠ "&amp;LEFT(IF(AND($S134="Macro",$B134=""),"Macroactividad vacía"&amp;" · ","")&amp;IF(AND($B134&lt;&gt;"",$C134&lt;&gt;""),"Escriba la subactividad en otra fila, debajo de su macroactividad"&amp;" · ","")&amp;IF(AND($S134="Sub",N($R134)=0),"Subactividad sin macroactividad arriba"&amp;" · ","")&amp;IF($D134="","Sin responsable"&amp;" · ","")&amp;IF($E134="","Sin fecha de inicio"&amp;" · ","")&amp;IF($F134="","Sin fecha límite"&amp;" · ","")&amp;IF(OR(AND($E134&lt;&gt;"",NOT(ISNUMBER($E134))),AND($F134&lt;&gt;"",NOT(ISNUMBER($F134)))),"Fecha no válida"&amp;" · ","")&amp;IF(AND(ISNUMBER($E134),ISNUMBER($F134),$E134&gt;$F134),"Inicio posterior a fecha límite"&amp;" · ","")&amp;IF(AND($S134="Macro",$G134=""),"Peso vacío"&amp;" · ","")&amp;IF(AND($S134="Macro",$G134&lt;&gt;"",OR(NOT(ISNUMBER($G134)),$G134&lt;=0,$G134&gt;1)),"Peso fuera de rango"&amp;" · ","")&amp;IF(AND($S134="Sub",$G134&lt;&gt;""),"Las subactividades no llevan peso"&amp;" · ","")&amp;IF(AND($S134="Macro",ABS(SUMIFS($G$5:$G$1000,$P$5:$P$1000,$P134,$S$5:$S$1000,"Macro")-1)&gt;0.0001),"Pesos del mes suman "&amp;TEXT(SUMIFS($G$5:$G$1000,$P$5:$P$1000,$P134,$S$5:$S$1000,"Macro"),"0%")&amp;" · ","")&amp;IF(AND(N($T134)&gt;0,COUNT($H134:$K134)&gt;0),"Con subactividades: deje vacías las semanas (se calculan solas)"&amp;" · ","")&amp;IF((COUNTIF($H134:$K134,"&gt;1")+COUNTIF($H134:$K134,"&lt;0")+COUNTA($H134:$K134)-COUNT($H134:$K134))&gt;0,"Avance fuera de rango 0-100%"&amp;" · ","")&amp;IF(OR(AND($I134&lt;&gt;"",$I134&lt;$H134),AND($J134&lt;&gt;"",$J134&lt;MAX($H134:$I134)),AND($K134&lt;&gt;"",$K134&lt;MAX($H134:$J134))),"Avance semanal decreciente"&amp;" · ","")&amp;IF(AND(ISNUMBER($F134),$F134&lt;FechaRef,N($L134)&lt;1),"Vencida"&amp;" · ","")&amp;IF(AND(ObsObligatoria="Sí",ISNUMBER($F134),$F134&lt;FechaRef,N($L134)&lt;1,$N134=""),"Vencida sin observación"&amp;" · ",""),LEN(IF(AND($S134="Macro",$B134=""),"Macroactividad vacía"&amp;" · ","")&amp;IF(AND($B134&lt;&gt;"",$C134&lt;&gt;""),"Escriba la subactividad en otra fila, debajo de su macroactividad"&amp;" · ","")&amp;IF(AND($S134="Sub",N($R134)=0),"Subactividad sin macroactividad arriba"&amp;" · ","")&amp;IF($D134="","Sin responsable"&amp;" · ","")&amp;IF($E134="","Sin fecha de inicio"&amp;" · ","")&amp;IF($F134="","Sin fecha límite"&amp;" · ","")&amp;IF(OR(AND($E134&lt;&gt;"",NOT(ISNUMBER($E134))),AND($F134&lt;&gt;"",NOT(ISNUMBER($F134)))),"Fecha no válida"&amp;" · ","")&amp;IF(AND(ISNUMBER($E134),ISNUMBER($F134),$E134&gt;$F134),"Inicio posterior a fecha límite"&amp;" · ","")&amp;IF(AND($S134="Macro",$G134=""),"Peso vacío"&amp;" · ","")&amp;IF(AND($S134="Macro",$G134&lt;&gt;"",OR(NOT(ISNUMBER($G134)),$G134&lt;=0,$G134&gt;1)),"Peso fuera de rango"&amp;" · ","")&amp;IF(AND($S134="Sub",$G134&lt;&gt;""),"Las subactividades no llevan peso"&amp;" · ","")&amp;IF(AND($S134="Macro",ABS(SUMIFS($G$5:$G$1000,$P$5:$P$1000,$P134,$S$5:$S$1000,"Macro")-1)&gt;0.0001),"Pesos del mes suman "&amp;TEXT(SUMIFS($G$5:$G$1000,$P$5:$P$1000,$P134,$S$5:$S$1000,"Macro"),"0%")&amp;" · ","")&amp;IF(AND(N($T134)&gt;0,COUNT($H134:$K134)&gt;0),"Con subactividades: deje vacías las semanas (se calculan solas)"&amp;" · ","")&amp;IF((COUNTIF($H134:$K134,"&gt;1")+COUNTIF($H134:$K134,"&lt;0")+COUNTA($H134:$K134)-COUNT($H134:$K134))&gt;0,"Avance fuera de rango 0-100%"&amp;" · ","")&amp;IF(OR(AND($I134&lt;&gt;"",$I134&lt;$H134),AND($J134&lt;&gt;"",$J134&lt;MAX($H134:$I134)),AND($K134&lt;&gt;"",$K134&lt;MAX($H134:$J134))),"Avance semanal decreciente"&amp;" · ","")&amp;IF(AND(ISNUMBER($F134),$F134&lt;FechaRef,N($L134)&lt;1),"Vencida"&amp;" · ","")&amp;IF(AND(ObsObligatoria="Sí",ISNUMBER($F134),$F134&lt;FechaRef,N($L134)&lt;1,$N134=""),"Vencida sin observación"&amp;" · ",""))-3)))</f>
        <v/>
      </c>
      <c r="P134" s="69">
        <f>IF(NOT((COUNTA($B134:$K134)+COUNTA($N134))&gt;0),"",IF(AND($S134="Sub",N($R134)&gt;0),IF(ISNUMBER(INDEX($E$5:$E$1000,$R134-4)),DATE(YEAR(INDEX($E$5:$E$1000,$R134-4)),MONTH(INDEX($E$5:$E$1000,$R134-4)),1),IF(ISNUMBER(INDEX($F$5:$F$1000,$R134-4)),DATE(YEAR(INDEX($F$5:$F$1000,$R134-4)),MONTH(INDEX($F$5:$F$1000,$R134-4)),1),MesCiclo)),IF(ISNUMBER($E134),DATE(YEAR($E134),MONTH($E134),1),IF(ISNUMBER($F134),DATE(YEAR($F134),MONTH($F134),1),MesCiclo))))</f>
        <v/>
      </c>
      <c r="Q134" s="70">
        <f>IF(OR($P134="",$P134&lt;&gt;MesCiclo),"",COUNTIF($P$5:$P134,MesCiclo))</f>
        <v/>
      </c>
      <c r="R134" s="70">
        <f>IF($S134="","",IF($S134="Macro",ROW(),IFERROR(LOOKUP(2,1/($S$5:$S134="Macro"),ROW($S$5:$S134)),0)))</f>
        <v/>
      </c>
      <c r="S134" s="70">
        <f>IF(NOT((COUNTA($B134:$K134)+COUNTA($N134))&gt;0),"",IF($B134&lt;&gt;"","Macro",IF($C134&lt;&gt;"","Sub","Macro")))</f>
        <v/>
      </c>
      <c r="T134" s="70">
        <f>IF($S134="Macro",COUNTIFS($R$5:$R$1000,ROW(),$S$5:$S$1000,"Sub"),"")</f>
        <v/>
      </c>
      <c r="U134" s="70">
        <f>IF($S134="","",IF(ISNUMBER($H134),$H134,0))</f>
        <v/>
      </c>
      <c r="V134" s="70">
        <f>IF($S134="","",IF(ISNUMBER($I134),$I134,$U134))</f>
        <v/>
      </c>
      <c r="W134" s="70">
        <f>IF($S134="","",IF(ISNUMBER($J134),$J134,$V134))</f>
        <v/>
      </c>
      <c r="X134" s="70">
        <f>IF($S134="","",IF(ISNUMBER($K134),$K134,$W134))</f>
        <v/>
      </c>
      <c r="Y134" s="70">
        <f>IF($S134="","",IF(N($T134)&gt;0,AVERAGEIFS($U$5:$U$1000,$R$5:$R$1000,ROW(),$S$5:$S$1000,"Sub"),$U134))</f>
        <v/>
      </c>
      <c r="Z134" s="70">
        <f>IF($S134="","",IF(N($T134)&gt;0,AVERAGEIFS($V$5:$V$1000,$R$5:$R$1000,ROW(),$S$5:$S$1000,"Sub"),$V134))</f>
        <v/>
      </c>
      <c r="AA134" s="70">
        <f>IF($S134="","",IF(N($T134)&gt;0,AVERAGEIFS($W$5:$W$1000,$R$5:$R$1000,ROW(),$S$5:$S$1000,"Sub"),$W134))</f>
        <v/>
      </c>
      <c r="AB134" s="70">
        <f>IF($S134="","",IF(N($T134)&gt;0,AVERAGEIFS($X$5:$X$1000,$R$5:$R$1000,ROW(),$S$5:$S$1000,"Sub"),$X134))</f>
        <v/>
      </c>
    </row>
    <row r="135">
      <c r="A135" s="61">
        <f>IF(NOT((COUNTA($B135:$K135)+COUNTA($N135))&gt;0),"",IF($S135="Macro",COUNTIFS($S$5:$S135,"Macro",$P$5:$P135,$P135),IF(N($R135)=0,"?",COUNTIFS(INDEX($S$5:$S$1000,1):INDEX($S$5:$S$1000,$R135-4),"Macro",INDEX($P$5:$P$1000,1):INDEX($P$5:$P$1000,$R135-4),INDEX($P$5:$P$1000,$R135-4))&amp;"."&amp;COUNTIFS($R$5:$R135,$R135,$S$5:$S135,"Sub"))))</f>
        <v/>
      </c>
      <c r="B135" s="62" t="n"/>
      <c r="C135" s="63" t="n"/>
      <c r="D135" s="62" t="n"/>
      <c r="E135" s="64" t="n"/>
      <c r="F135" s="64" t="n"/>
      <c r="G135" s="65" t="n"/>
      <c r="H135" s="66" t="n"/>
      <c r="I135" s="66" t="n"/>
      <c r="J135" s="66" t="n"/>
      <c r="K135" s="66" t="n"/>
      <c r="L135" s="67">
        <f>IF(NOT((COUNTA($B135:$K135)+COUNTA($N135))&gt;0),"",IF(N($T135)&gt;0,$AB135,IFERROR(LOOKUP(2,1/(H135:K135&lt;&gt;""),H135:K135),0)))</f>
        <v/>
      </c>
      <c r="M135" s="61">
        <f>IF(L135="","",IF(L135&gt;=1,"Completado",IF(L135&gt;0,"En curso","Pendiente")))</f>
        <v/>
      </c>
      <c r="N135" s="62" t="n"/>
      <c r="O135" s="68">
        <f>IF(NOT((COUNTA($B135:$K135)+COUNTA($N135))&gt;0),"",IF((IF(AND($S135="Macro",$B135=""),"Macroactividad vacía"&amp;" · ","")&amp;IF(AND($B135&lt;&gt;"",$C135&lt;&gt;""),"Escriba la subactividad en otra fila, debajo de su macroactividad"&amp;" · ","")&amp;IF(AND($S135="Sub",N($R135)=0),"Subactividad sin macroactividad arriba"&amp;" · ","")&amp;IF($D135="","Sin responsable"&amp;" · ","")&amp;IF($E135="","Sin fecha de inicio"&amp;" · ","")&amp;IF($F135="","Sin fecha límite"&amp;" · ","")&amp;IF(OR(AND($E135&lt;&gt;"",NOT(ISNUMBER($E135))),AND($F135&lt;&gt;"",NOT(ISNUMBER($F135)))),"Fecha no válida"&amp;" · ","")&amp;IF(AND(ISNUMBER($E135),ISNUMBER($F135),$E135&gt;$F135),"Inicio posterior a fecha límite"&amp;" · ","")&amp;IF(AND($S135="Macro",$G135=""),"Peso vacío"&amp;" · ","")&amp;IF(AND($S135="Macro",$G135&lt;&gt;"",OR(NOT(ISNUMBER($G135)),$G135&lt;=0,$G135&gt;1)),"Peso fuera de rango"&amp;" · ","")&amp;IF(AND($S135="Sub",$G135&lt;&gt;""),"Las subactividades no llevan peso"&amp;" · ","")&amp;IF(AND($S135="Macro",ABS(SUMIFS($G$5:$G$1000,$P$5:$P$1000,$P135,$S$5:$S$1000,"Macro")-1)&gt;0.0001),"Pesos del mes suman "&amp;TEXT(SUMIFS($G$5:$G$1000,$P$5:$P$1000,$P135,$S$5:$S$1000,"Macro"),"0%")&amp;" · ","")&amp;IF(AND(N($T135)&gt;0,COUNT($H135:$K135)&gt;0),"Con subactividades: deje vacías las semanas (se calculan solas)"&amp;" · ","")&amp;IF((COUNTIF($H135:$K135,"&gt;1")+COUNTIF($H135:$K135,"&lt;0")+COUNTA($H135:$K135)-COUNT($H135:$K135))&gt;0,"Avance fuera de rango 0-100%"&amp;" · ","")&amp;IF(OR(AND($I135&lt;&gt;"",$I135&lt;$H135),AND($J135&lt;&gt;"",$J135&lt;MAX($H135:$I135)),AND($K135&lt;&gt;"",$K135&lt;MAX($H135:$J135))),"Avance semanal decreciente"&amp;" · ","")&amp;IF(AND(ISNUMBER($F135),$F135&lt;FechaRef,N($L135)&lt;1),"Vencida"&amp;" · ","")&amp;IF(AND(ObsObligatoria="Sí",ISNUMBER($F135),$F135&lt;FechaRef,N($L135)&lt;1,$N135=""),"Vencida sin observación"&amp;" · ",""))="","✔ OK","⚠ "&amp;LEFT(IF(AND($S135="Macro",$B135=""),"Macroactividad vacía"&amp;" · ","")&amp;IF(AND($B135&lt;&gt;"",$C135&lt;&gt;""),"Escriba la subactividad en otra fila, debajo de su macroactividad"&amp;" · ","")&amp;IF(AND($S135="Sub",N($R135)=0),"Subactividad sin macroactividad arriba"&amp;" · ","")&amp;IF($D135="","Sin responsable"&amp;" · ","")&amp;IF($E135="","Sin fecha de inicio"&amp;" · ","")&amp;IF($F135="","Sin fecha límite"&amp;" · ","")&amp;IF(OR(AND($E135&lt;&gt;"",NOT(ISNUMBER($E135))),AND($F135&lt;&gt;"",NOT(ISNUMBER($F135)))),"Fecha no válida"&amp;" · ","")&amp;IF(AND(ISNUMBER($E135),ISNUMBER($F135),$E135&gt;$F135),"Inicio posterior a fecha límite"&amp;" · ","")&amp;IF(AND($S135="Macro",$G135=""),"Peso vacío"&amp;" · ","")&amp;IF(AND($S135="Macro",$G135&lt;&gt;"",OR(NOT(ISNUMBER($G135)),$G135&lt;=0,$G135&gt;1)),"Peso fuera de rango"&amp;" · ","")&amp;IF(AND($S135="Sub",$G135&lt;&gt;""),"Las subactividades no llevan peso"&amp;" · ","")&amp;IF(AND($S135="Macro",ABS(SUMIFS($G$5:$G$1000,$P$5:$P$1000,$P135,$S$5:$S$1000,"Macro")-1)&gt;0.0001),"Pesos del mes suman "&amp;TEXT(SUMIFS($G$5:$G$1000,$P$5:$P$1000,$P135,$S$5:$S$1000,"Macro"),"0%")&amp;" · ","")&amp;IF(AND(N($T135)&gt;0,COUNT($H135:$K135)&gt;0),"Con subactividades: deje vacías las semanas (se calculan solas)"&amp;" · ","")&amp;IF((COUNTIF($H135:$K135,"&gt;1")+COUNTIF($H135:$K135,"&lt;0")+COUNTA($H135:$K135)-COUNT($H135:$K135))&gt;0,"Avance fuera de rango 0-100%"&amp;" · ","")&amp;IF(OR(AND($I135&lt;&gt;"",$I135&lt;$H135),AND($J135&lt;&gt;"",$J135&lt;MAX($H135:$I135)),AND($K135&lt;&gt;"",$K135&lt;MAX($H135:$J135))),"Avance semanal decreciente"&amp;" · ","")&amp;IF(AND(ISNUMBER($F135),$F135&lt;FechaRef,N($L135)&lt;1),"Vencida"&amp;" · ","")&amp;IF(AND(ObsObligatoria="Sí",ISNUMBER($F135),$F135&lt;FechaRef,N($L135)&lt;1,$N135=""),"Vencida sin observación"&amp;" · ",""),LEN(IF(AND($S135="Macro",$B135=""),"Macroactividad vacía"&amp;" · ","")&amp;IF(AND($B135&lt;&gt;"",$C135&lt;&gt;""),"Escriba la subactividad en otra fila, debajo de su macroactividad"&amp;" · ","")&amp;IF(AND($S135="Sub",N($R135)=0),"Subactividad sin macroactividad arriba"&amp;" · ","")&amp;IF($D135="","Sin responsable"&amp;" · ","")&amp;IF($E135="","Sin fecha de inicio"&amp;" · ","")&amp;IF($F135="","Sin fecha límite"&amp;" · ","")&amp;IF(OR(AND($E135&lt;&gt;"",NOT(ISNUMBER($E135))),AND($F135&lt;&gt;"",NOT(ISNUMBER($F135)))),"Fecha no válida"&amp;" · ","")&amp;IF(AND(ISNUMBER($E135),ISNUMBER($F135),$E135&gt;$F135),"Inicio posterior a fecha límite"&amp;" · ","")&amp;IF(AND($S135="Macro",$G135=""),"Peso vacío"&amp;" · ","")&amp;IF(AND($S135="Macro",$G135&lt;&gt;"",OR(NOT(ISNUMBER($G135)),$G135&lt;=0,$G135&gt;1)),"Peso fuera de rango"&amp;" · ","")&amp;IF(AND($S135="Sub",$G135&lt;&gt;""),"Las subactividades no llevan peso"&amp;" · ","")&amp;IF(AND($S135="Macro",ABS(SUMIFS($G$5:$G$1000,$P$5:$P$1000,$P135,$S$5:$S$1000,"Macro")-1)&gt;0.0001),"Pesos del mes suman "&amp;TEXT(SUMIFS($G$5:$G$1000,$P$5:$P$1000,$P135,$S$5:$S$1000,"Macro"),"0%")&amp;" · ","")&amp;IF(AND(N($T135)&gt;0,COUNT($H135:$K135)&gt;0),"Con subactividades: deje vacías las semanas (se calculan solas)"&amp;" · ","")&amp;IF((COUNTIF($H135:$K135,"&gt;1")+COUNTIF($H135:$K135,"&lt;0")+COUNTA($H135:$K135)-COUNT($H135:$K135))&gt;0,"Avance fuera de rango 0-100%"&amp;" · ","")&amp;IF(OR(AND($I135&lt;&gt;"",$I135&lt;$H135),AND($J135&lt;&gt;"",$J135&lt;MAX($H135:$I135)),AND($K135&lt;&gt;"",$K135&lt;MAX($H135:$J135))),"Avance semanal decreciente"&amp;" · ","")&amp;IF(AND(ISNUMBER($F135),$F135&lt;FechaRef,N($L135)&lt;1),"Vencida"&amp;" · ","")&amp;IF(AND(ObsObligatoria="Sí",ISNUMBER($F135),$F135&lt;FechaRef,N($L135)&lt;1,$N135=""),"Vencida sin observación"&amp;" · ",""))-3)))</f>
        <v/>
      </c>
      <c r="P135" s="69">
        <f>IF(NOT((COUNTA($B135:$K135)+COUNTA($N135))&gt;0),"",IF(AND($S135="Sub",N($R135)&gt;0),IF(ISNUMBER(INDEX($E$5:$E$1000,$R135-4)),DATE(YEAR(INDEX($E$5:$E$1000,$R135-4)),MONTH(INDEX($E$5:$E$1000,$R135-4)),1),IF(ISNUMBER(INDEX($F$5:$F$1000,$R135-4)),DATE(YEAR(INDEX($F$5:$F$1000,$R135-4)),MONTH(INDEX($F$5:$F$1000,$R135-4)),1),MesCiclo)),IF(ISNUMBER($E135),DATE(YEAR($E135),MONTH($E135),1),IF(ISNUMBER($F135),DATE(YEAR($F135),MONTH($F135),1),MesCiclo))))</f>
        <v/>
      </c>
      <c r="Q135" s="70">
        <f>IF(OR($P135="",$P135&lt;&gt;MesCiclo),"",COUNTIF($P$5:$P135,MesCiclo))</f>
        <v/>
      </c>
      <c r="R135" s="70">
        <f>IF($S135="","",IF($S135="Macro",ROW(),IFERROR(LOOKUP(2,1/($S$5:$S135="Macro"),ROW($S$5:$S135)),0)))</f>
        <v/>
      </c>
      <c r="S135" s="70">
        <f>IF(NOT((COUNTA($B135:$K135)+COUNTA($N135))&gt;0),"",IF($B135&lt;&gt;"","Macro",IF($C135&lt;&gt;"","Sub","Macro")))</f>
        <v/>
      </c>
      <c r="T135" s="70">
        <f>IF($S135="Macro",COUNTIFS($R$5:$R$1000,ROW(),$S$5:$S$1000,"Sub"),"")</f>
        <v/>
      </c>
      <c r="U135" s="70">
        <f>IF($S135="","",IF(ISNUMBER($H135),$H135,0))</f>
        <v/>
      </c>
      <c r="V135" s="70">
        <f>IF($S135="","",IF(ISNUMBER($I135),$I135,$U135))</f>
        <v/>
      </c>
      <c r="W135" s="70">
        <f>IF($S135="","",IF(ISNUMBER($J135),$J135,$V135))</f>
        <v/>
      </c>
      <c r="X135" s="70">
        <f>IF($S135="","",IF(ISNUMBER($K135),$K135,$W135))</f>
        <v/>
      </c>
      <c r="Y135" s="70">
        <f>IF($S135="","",IF(N($T135)&gt;0,AVERAGEIFS($U$5:$U$1000,$R$5:$R$1000,ROW(),$S$5:$S$1000,"Sub"),$U135))</f>
        <v/>
      </c>
      <c r="Z135" s="70">
        <f>IF($S135="","",IF(N($T135)&gt;0,AVERAGEIFS($V$5:$V$1000,$R$5:$R$1000,ROW(),$S$5:$S$1000,"Sub"),$V135))</f>
        <v/>
      </c>
      <c r="AA135" s="70">
        <f>IF($S135="","",IF(N($T135)&gt;0,AVERAGEIFS($W$5:$W$1000,$R$5:$R$1000,ROW(),$S$5:$S$1000,"Sub"),$W135))</f>
        <v/>
      </c>
      <c r="AB135" s="70">
        <f>IF($S135="","",IF(N($T135)&gt;0,AVERAGEIFS($X$5:$X$1000,$R$5:$R$1000,ROW(),$S$5:$S$1000,"Sub"),$X135))</f>
        <v/>
      </c>
    </row>
    <row r="136">
      <c r="A136" s="61">
        <f>IF(NOT((COUNTA($B136:$K136)+COUNTA($N136))&gt;0),"",IF($S136="Macro",COUNTIFS($S$5:$S136,"Macro",$P$5:$P136,$P136),IF(N($R136)=0,"?",COUNTIFS(INDEX($S$5:$S$1000,1):INDEX($S$5:$S$1000,$R136-4),"Macro",INDEX($P$5:$P$1000,1):INDEX($P$5:$P$1000,$R136-4),INDEX($P$5:$P$1000,$R136-4))&amp;"."&amp;COUNTIFS($R$5:$R136,$R136,$S$5:$S136,"Sub"))))</f>
        <v/>
      </c>
      <c r="B136" s="62" t="n"/>
      <c r="C136" s="63" t="n"/>
      <c r="D136" s="62" t="n"/>
      <c r="E136" s="64" t="n"/>
      <c r="F136" s="64" t="n"/>
      <c r="G136" s="65" t="n"/>
      <c r="H136" s="66" t="n"/>
      <c r="I136" s="66" t="n"/>
      <c r="J136" s="66" t="n"/>
      <c r="K136" s="66" t="n"/>
      <c r="L136" s="67">
        <f>IF(NOT((COUNTA($B136:$K136)+COUNTA($N136))&gt;0),"",IF(N($T136)&gt;0,$AB136,IFERROR(LOOKUP(2,1/(H136:K136&lt;&gt;""),H136:K136),0)))</f>
        <v/>
      </c>
      <c r="M136" s="61">
        <f>IF(L136="","",IF(L136&gt;=1,"Completado",IF(L136&gt;0,"En curso","Pendiente")))</f>
        <v/>
      </c>
      <c r="N136" s="62" t="n"/>
      <c r="O136" s="68">
        <f>IF(NOT((COUNTA($B136:$K136)+COUNTA($N136))&gt;0),"",IF((IF(AND($S136="Macro",$B136=""),"Macroactividad vacía"&amp;" · ","")&amp;IF(AND($B136&lt;&gt;"",$C136&lt;&gt;""),"Escriba la subactividad en otra fila, debajo de su macroactividad"&amp;" · ","")&amp;IF(AND($S136="Sub",N($R136)=0),"Subactividad sin macroactividad arriba"&amp;" · ","")&amp;IF($D136="","Sin responsable"&amp;" · ","")&amp;IF($E136="","Sin fecha de inicio"&amp;" · ","")&amp;IF($F136="","Sin fecha límite"&amp;" · ","")&amp;IF(OR(AND($E136&lt;&gt;"",NOT(ISNUMBER($E136))),AND($F136&lt;&gt;"",NOT(ISNUMBER($F136)))),"Fecha no válida"&amp;" · ","")&amp;IF(AND(ISNUMBER($E136),ISNUMBER($F136),$E136&gt;$F136),"Inicio posterior a fecha límite"&amp;" · ","")&amp;IF(AND($S136="Macro",$G136=""),"Peso vacío"&amp;" · ","")&amp;IF(AND($S136="Macro",$G136&lt;&gt;"",OR(NOT(ISNUMBER($G136)),$G136&lt;=0,$G136&gt;1)),"Peso fuera de rango"&amp;" · ","")&amp;IF(AND($S136="Sub",$G136&lt;&gt;""),"Las subactividades no llevan peso"&amp;" · ","")&amp;IF(AND($S136="Macro",ABS(SUMIFS($G$5:$G$1000,$P$5:$P$1000,$P136,$S$5:$S$1000,"Macro")-1)&gt;0.0001),"Pesos del mes suman "&amp;TEXT(SUMIFS($G$5:$G$1000,$P$5:$P$1000,$P136,$S$5:$S$1000,"Macro"),"0%")&amp;" · ","")&amp;IF(AND(N($T136)&gt;0,COUNT($H136:$K136)&gt;0),"Con subactividades: deje vacías las semanas (se calculan solas)"&amp;" · ","")&amp;IF((COUNTIF($H136:$K136,"&gt;1")+COUNTIF($H136:$K136,"&lt;0")+COUNTA($H136:$K136)-COUNT($H136:$K136))&gt;0,"Avance fuera de rango 0-100%"&amp;" · ","")&amp;IF(OR(AND($I136&lt;&gt;"",$I136&lt;$H136),AND($J136&lt;&gt;"",$J136&lt;MAX($H136:$I136)),AND($K136&lt;&gt;"",$K136&lt;MAX($H136:$J136))),"Avance semanal decreciente"&amp;" · ","")&amp;IF(AND(ISNUMBER($F136),$F136&lt;FechaRef,N($L136)&lt;1),"Vencida"&amp;" · ","")&amp;IF(AND(ObsObligatoria="Sí",ISNUMBER($F136),$F136&lt;FechaRef,N($L136)&lt;1,$N136=""),"Vencida sin observación"&amp;" · ",""))="","✔ OK","⚠ "&amp;LEFT(IF(AND($S136="Macro",$B136=""),"Macroactividad vacía"&amp;" · ","")&amp;IF(AND($B136&lt;&gt;"",$C136&lt;&gt;""),"Escriba la subactividad en otra fila, debajo de su macroactividad"&amp;" · ","")&amp;IF(AND($S136="Sub",N($R136)=0),"Subactividad sin macroactividad arriba"&amp;" · ","")&amp;IF($D136="","Sin responsable"&amp;" · ","")&amp;IF($E136="","Sin fecha de inicio"&amp;" · ","")&amp;IF($F136="","Sin fecha límite"&amp;" · ","")&amp;IF(OR(AND($E136&lt;&gt;"",NOT(ISNUMBER($E136))),AND($F136&lt;&gt;"",NOT(ISNUMBER($F136)))),"Fecha no válida"&amp;" · ","")&amp;IF(AND(ISNUMBER($E136),ISNUMBER($F136),$E136&gt;$F136),"Inicio posterior a fecha límite"&amp;" · ","")&amp;IF(AND($S136="Macro",$G136=""),"Peso vacío"&amp;" · ","")&amp;IF(AND($S136="Macro",$G136&lt;&gt;"",OR(NOT(ISNUMBER($G136)),$G136&lt;=0,$G136&gt;1)),"Peso fuera de rango"&amp;" · ","")&amp;IF(AND($S136="Sub",$G136&lt;&gt;""),"Las subactividades no llevan peso"&amp;" · ","")&amp;IF(AND($S136="Macro",ABS(SUMIFS($G$5:$G$1000,$P$5:$P$1000,$P136,$S$5:$S$1000,"Macro")-1)&gt;0.0001),"Pesos del mes suman "&amp;TEXT(SUMIFS($G$5:$G$1000,$P$5:$P$1000,$P136,$S$5:$S$1000,"Macro"),"0%")&amp;" · ","")&amp;IF(AND(N($T136)&gt;0,COUNT($H136:$K136)&gt;0),"Con subactividades: deje vacías las semanas (se calculan solas)"&amp;" · ","")&amp;IF((COUNTIF($H136:$K136,"&gt;1")+COUNTIF($H136:$K136,"&lt;0")+COUNTA($H136:$K136)-COUNT($H136:$K136))&gt;0,"Avance fuera de rango 0-100%"&amp;" · ","")&amp;IF(OR(AND($I136&lt;&gt;"",$I136&lt;$H136),AND($J136&lt;&gt;"",$J136&lt;MAX($H136:$I136)),AND($K136&lt;&gt;"",$K136&lt;MAX($H136:$J136))),"Avance semanal decreciente"&amp;" · ","")&amp;IF(AND(ISNUMBER($F136),$F136&lt;FechaRef,N($L136)&lt;1),"Vencida"&amp;" · ","")&amp;IF(AND(ObsObligatoria="Sí",ISNUMBER($F136),$F136&lt;FechaRef,N($L136)&lt;1,$N136=""),"Vencida sin observación"&amp;" · ",""),LEN(IF(AND($S136="Macro",$B136=""),"Macroactividad vacía"&amp;" · ","")&amp;IF(AND($B136&lt;&gt;"",$C136&lt;&gt;""),"Escriba la subactividad en otra fila, debajo de su macroactividad"&amp;" · ","")&amp;IF(AND($S136="Sub",N($R136)=0),"Subactividad sin macroactividad arriba"&amp;" · ","")&amp;IF($D136="","Sin responsable"&amp;" · ","")&amp;IF($E136="","Sin fecha de inicio"&amp;" · ","")&amp;IF($F136="","Sin fecha límite"&amp;" · ","")&amp;IF(OR(AND($E136&lt;&gt;"",NOT(ISNUMBER($E136))),AND($F136&lt;&gt;"",NOT(ISNUMBER($F136)))),"Fecha no válida"&amp;" · ","")&amp;IF(AND(ISNUMBER($E136),ISNUMBER($F136),$E136&gt;$F136),"Inicio posterior a fecha límite"&amp;" · ","")&amp;IF(AND($S136="Macro",$G136=""),"Peso vacío"&amp;" · ","")&amp;IF(AND($S136="Macro",$G136&lt;&gt;"",OR(NOT(ISNUMBER($G136)),$G136&lt;=0,$G136&gt;1)),"Peso fuera de rango"&amp;" · ","")&amp;IF(AND($S136="Sub",$G136&lt;&gt;""),"Las subactividades no llevan peso"&amp;" · ","")&amp;IF(AND($S136="Macro",ABS(SUMIFS($G$5:$G$1000,$P$5:$P$1000,$P136,$S$5:$S$1000,"Macro")-1)&gt;0.0001),"Pesos del mes suman "&amp;TEXT(SUMIFS($G$5:$G$1000,$P$5:$P$1000,$P136,$S$5:$S$1000,"Macro"),"0%")&amp;" · ","")&amp;IF(AND(N($T136)&gt;0,COUNT($H136:$K136)&gt;0),"Con subactividades: deje vacías las semanas (se calculan solas)"&amp;" · ","")&amp;IF((COUNTIF($H136:$K136,"&gt;1")+COUNTIF($H136:$K136,"&lt;0")+COUNTA($H136:$K136)-COUNT($H136:$K136))&gt;0,"Avance fuera de rango 0-100%"&amp;" · ","")&amp;IF(OR(AND($I136&lt;&gt;"",$I136&lt;$H136),AND($J136&lt;&gt;"",$J136&lt;MAX($H136:$I136)),AND($K136&lt;&gt;"",$K136&lt;MAX($H136:$J136))),"Avance semanal decreciente"&amp;" · ","")&amp;IF(AND(ISNUMBER($F136),$F136&lt;FechaRef,N($L136)&lt;1),"Vencida"&amp;" · ","")&amp;IF(AND(ObsObligatoria="Sí",ISNUMBER($F136),$F136&lt;FechaRef,N($L136)&lt;1,$N136=""),"Vencida sin observación"&amp;" · ",""))-3)))</f>
        <v/>
      </c>
      <c r="P136" s="69">
        <f>IF(NOT((COUNTA($B136:$K136)+COUNTA($N136))&gt;0),"",IF(AND($S136="Sub",N($R136)&gt;0),IF(ISNUMBER(INDEX($E$5:$E$1000,$R136-4)),DATE(YEAR(INDEX($E$5:$E$1000,$R136-4)),MONTH(INDEX($E$5:$E$1000,$R136-4)),1),IF(ISNUMBER(INDEX($F$5:$F$1000,$R136-4)),DATE(YEAR(INDEX($F$5:$F$1000,$R136-4)),MONTH(INDEX($F$5:$F$1000,$R136-4)),1),MesCiclo)),IF(ISNUMBER($E136),DATE(YEAR($E136),MONTH($E136),1),IF(ISNUMBER($F136),DATE(YEAR($F136),MONTH($F136),1),MesCiclo))))</f>
        <v/>
      </c>
      <c r="Q136" s="70">
        <f>IF(OR($P136="",$P136&lt;&gt;MesCiclo),"",COUNTIF($P$5:$P136,MesCiclo))</f>
        <v/>
      </c>
      <c r="R136" s="70">
        <f>IF($S136="","",IF($S136="Macro",ROW(),IFERROR(LOOKUP(2,1/($S$5:$S136="Macro"),ROW($S$5:$S136)),0)))</f>
        <v/>
      </c>
      <c r="S136" s="70">
        <f>IF(NOT((COUNTA($B136:$K136)+COUNTA($N136))&gt;0),"",IF($B136&lt;&gt;"","Macro",IF($C136&lt;&gt;"","Sub","Macro")))</f>
        <v/>
      </c>
      <c r="T136" s="70">
        <f>IF($S136="Macro",COUNTIFS($R$5:$R$1000,ROW(),$S$5:$S$1000,"Sub"),"")</f>
        <v/>
      </c>
      <c r="U136" s="70">
        <f>IF($S136="","",IF(ISNUMBER($H136),$H136,0))</f>
        <v/>
      </c>
      <c r="V136" s="70">
        <f>IF($S136="","",IF(ISNUMBER($I136),$I136,$U136))</f>
        <v/>
      </c>
      <c r="W136" s="70">
        <f>IF($S136="","",IF(ISNUMBER($J136),$J136,$V136))</f>
        <v/>
      </c>
      <c r="X136" s="70">
        <f>IF($S136="","",IF(ISNUMBER($K136),$K136,$W136))</f>
        <v/>
      </c>
      <c r="Y136" s="70">
        <f>IF($S136="","",IF(N($T136)&gt;0,AVERAGEIFS($U$5:$U$1000,$R$5:$R$1000,ROW(),$S$5:$S$1000,"Sub"),$U136))</f>
        <v/>
      </c>
      <c r="Z136" s="70">
        <f>IF($S136="","",IF(N($T136)&gt;0,AVERAGEIFS($V$5:$V$1000,$R$5:$R$1000,ROW(),$S$5:$S$1000,"Sub"),$V136))</f>
        <v/>
      </c>
      <c r="AA136" s="70">
        <f>IF($S136="","",IF(N($T136)&gt;0,AVERAGEIFS($W$5:$W$1000,$R$5:$R$1000,ROW(),$S$5:$S$1000,"Sub"),$W136))</f>
        <v/>
      </c>
      <c r="AB136" s="70">
        <f>IF($S136="","",IF(N($T136)&gt;0,AVERAGEIFS($X$5:$X$1000,$R$5:$R$1000,ROW(),$S$5:$S$1000,"Sub"),$X136))</f>
        <v/>
      </c>
    </row>
    <row r="137">
      <c r="A137" s="61">
        <f>IF(NOT((COUNTA($B137:$K137)+COUNTA($N137))&gt;0),"",IF($S137="Macro",COUNTIFS($S$5:$S137,"Macro",$P$5:$P137,$P137),IF(N($R137)=0,"?",COUNTIFS(INDEX($S$5:$S$1000,1):INDEX($S$5:$S$1000,$R137-4),"Macro",INDEX($P$5:$P$1000,1):INDEX($P$5:$P$1000,$R137-4),INDEX($P$5:$P$1000,$R137-4))&amp;"."&amp;COUNTIFS($R$5:$R137,$R137,$S$5:$S137,"Sub"))))</f>
        <v/>
      </c>
      <c r="B137" s="62" t="n"/>
      <c r="C137" s="63" t="n"/>
      <c r="D137" s="62" t="n"/>
      <c r="E137" s="64" t="n"/>
      <c r="F137" s="64" t="n"/>
      <c r="G137" s="65" t="n"/>
      <c r="H137" s="66" t="n"/>
      <c r="I137" s="66" t="n"/>
      <c r="J137" s="66" t="n"/>
      <c r="K137" s="66" t="n"/>
      <c r="L137" s="67">
        <f>IF(NOT((COUNTA($B137:$K137)+COUNTA($N137))&gt;0),"",IF(N($T137)&gt;0,$AB137,IFERROR(LOOKUP(2,1/(H137:K137&lt;&gt;""),H137:K137),0)))</f>
        <v/>
      </c>
      <c r="M137" s="61">
        <f>IF(L137="","",IF(L137&gt;=1,"Completado",IF(L137&gt;0,"En curso","Pendiente")))</f>
        <v/>
      </c>
      <c r="N137" s="62" t="n"/>
      <c r="O137" s="68">
        <f>IF(NOT((COUNTA($B137:$K137)+COUNTA($N137))&gt;0),"",IF((IF(AND($S137="Macro",$B137=""),"Macroactividad vacía"&amp;" · ","")&amp;IF(AND($B137&lt;&gt;"",$C137&lt;&gt;""),"Escriba la subactividad en otra fila, debajo de su macroactividad"&amp;" · ","")&amp;IF(AND($S137="Sub",N($R137)=0),"Subactividad sin macroactividad arriba"&amp;" · ","")&amp;IF($D137="","Sin responsable"&amp;" · ","")&amp;IF($E137="","Sin fecha de inicio"&amp;" · ","")&amp;IF($F137="","Sin fecha límite"&amp;" · ","")&amp;IF(OR(AND($E137&lt;&gt;"",NOT(ISNUMBER($E137))),AND($F137&lt;&gt;"",NOT(ISNUMBER($F137)))),"Fecha no válida"&amp;" · ","")&amp;IF(AND(ISNUMBER($E137),ISNUMBER($F137),$E137&gt;$F137),"Inicio posterior a fecha límite"&amp;" · ","")&amp;IF(AND($S137="Macro",$G137=""),"Peso vacío"&amp;" · ","")&amp;IF(AND($S137="Macro",$G137&lt;&gt;"",OR(NOT(ISNUMBER($G137)),$G137&lt;=0,$G137&gt;1)),"Peso fuera de rango"&amp;" · ","")&amp;IF(AND($S137="Sub",$G137&lt;&gt;""),"Las subactividades no llevan peso"&amp;" · ","")&amp;IF(AND($S137="Macro",ABS(SUMIFS($G$5:$G$1000,$P$5:$P$1000,$P137,$S$5:$S$1000,"Macro")-1)&gt;0.0001),"Pesos del mes suman "&amp;TEXT(SUMIFS($G$5:$G$1000,$P$5:$P$1000,$P137,$S$5:$S$1000,"Macro"),"0%")&amp;" · ","")&amp;IF(AND(N($T137)&gt;0,COUNT($H137:$K137)&gt;0),"Con subactividades: deje vacías las semanas (se calculan solas)"&amp;" · ","")&amp;IF((COUNTIF($H137:$K137,"&gt;1")+COUNTIF($H137:$K137,"&lt;0")+COUNTA($H137:$K137)-COUNT($H137:$K137))&gt;0,"Avance fuera de rango 0-100%"&amp;" · ","")&amp;IF(OR(AND($I137&lt;&gt;"",$I137&lt;$H137),AND($J137&lt;&gt;"",$J137&lt;MAX($H137:$I137)),AND($K137&lt;&gt;"",$K137&lt;MAX($H137:$J137))),"Avance semanal decreciente"&amp;" · ","")&amp;IF(AND(ISNUMBER($F137),$F137&lt;FechaRef,N($L137)&lt;1),"Vencida"&amp;" · ","")&amp;IF(AND(ObsObligatoria="Sí",ISNUMBER($F137),$F137&lt;FechaRef,N($L137)&lt;1,$N137=""),"Vencida sin observación"&amp;" · ",""))="","✔ OK","⚠ "&amp;LEFT(IF(AND($S137="Macro",$B137=""),"Macroactividad vacía"&amp;" · ","")&amp;IF(AND($B137&lt;&gt;"",$C137&lt;&gt;""),"Escriba la subactividad en otra fila, debajo de su macroactividad"&amp;" · ","")&amp;IF(AND($S137="Sub",N($R137)=0),"Subactividad sin macroactividad arriba"&amp;" · ","")&amp;IF($D137="","Sin responsable"&amp;" · ","")&amp;IF($E137="","Sin fecha de inicio"&amp;" · ","")&amp;IF($F137="","Sin fecha límite"&amp;" · ","")&amp;IF(OR(AND($E137&lt;&gt;"",NOT(ISNUMBER($E137))),AND($F137&lt;&gt;"",NOT(ISNUMBER($F137)))),"Fecha no válida"&amp;" · ","")&amp;IF(AND(ISNUMBER($E137),ISNUMBER($F137),$E137&gt;$F137),"Inicio posterior a fecha límite"&amp;" · ","")&amp;IF(AND($S137="Macro",$G137=""),"Peso vacío"&amp;" · ","")&amp;IF(AND($S137="Macro",$G137&lt;&gt;"",OR(NOT(ISNUMBER($G137)),$G137&lt;=0,$G137&gt;1)),"Peso fuera de rango"&amp;" · ","")&amp;IF(AND($S137="Sub",$G137&lt;&gt;""),"Las subactividades no llevan peso"&amp;" · ","")&amp;IF(AND($S137="Macro",ABS(SUMIFS($G$5:$G$1000,$P$5:$P$1000,$P137,$S$5:$S$1000,"Macro")-1)&gt;0.0001),"Pesos del mes suman "&amp;TEXT(SUMIFS($G$5:$G$1000,$P$5:$P$1000,$P137,$S$5:$S$1000,"Macro"),"0%")&amp;" · ","")&amp;IF(AND(N($T137)&gt;0,COUNT($H137:$K137)&gt;0),"Con subactividades: deje vacías las semanas (se calculan solas)"&amp;" · ","")&amp;IF((COUNTIF($H137:$K137,"&gt;1")+COUNTIF($H137:$K137,"&lt;0")+COUNTA($H137:$K137)-COUNT($H137:$K137))&gt;0,"Avance fuera de rango 0-100%"&amp;" · ","")&amp;IF(OR(AND($I137&lt;&gt;"",$I137&lt;$H137),AND($J137&lt;&gt;"",$J137&lt;MAX($H137:$I137)),AND($K137&lt;&gt;"",$K137&lt;MAX($H137:$J137))),"Avance semanal decreciente"&amp;" · ","")&amp;IF(AND(ISNUMBER($F137),$F137&lt;FechaRef,N($L137)&lt;1),"Vencida"&amp;" · ","")&amp;IF(AND(ObsObligatoria="Sí",ISNUMBER($F137),$F137&lt;FechaRef,N($L137)&lt;1,$N137=""),"Vencida sin observación"&amp;" · ",""),LEN(IF(AND($S137="Macro",$B137=""),"Macroactividad vacía"&amp;" · ","")&amp;IF(AND($B137&lt;&gt;"",$C137&lt;&gt;""),"Escriba la subactividad en otra fila, debajo de su macroactividad"&amp;" · ","")&amp;IF(AND($S137="Sub",N($R137)=0),"Subactividad sin macroactividad arriba"&amp;" · ","")&amp;IF($D137="","Sin responsable"&amp;" · ","")&amp;IF($E137="","Sin fecha de inicio"&amp;" · ","")&amp;IF($F137="","Sin fecha límite"&amp;" · ","")&amp;IF(OR(AND($E137&lt;&gt;"",NOT(ISNUMBER($E137))),AND($F137&lt;&gt;"",NOT(ISNUMBER($F137)))),"Fecha no válida"&amp;" · ","")&amp;IF(AND(ISNUMBER($E137),ISNUMBER($F137),$E137&gt;$F137),"Inicio posterior a fecha límite"&amp;" · ","")&amp;IF(AND($S137="Macro",$G137=""),"Peso vacío"&amp;" · ","")&amp;IF(AND($S137="Macro",$G137&lt;&gt;"",OR(NOT(ISNUMBER($G137)),$G137&lt;=0,$G137&gt;1)),"Peso fuera de rango"&amp;" · ","")&amp;IF(AND($S137="Sub",$G137&lt;&gt;""),"Las subactividades no llevan peso"&amp;" · ","")&amp;IF(AND($S137="Macro",ABS(SUMIFS($G$5:$G$1000,$P$5:$P$1000,$P137,$S$5:$S$1000,"Macro")-1)&gt;0.0001),"Pesos del mes suman "&amp;TEXT(SUMIFS($G$5:$G$1000,$P$5:$P$1000,$P137,$S$5:$S$1000,"Macro"),"0%")&amp;" · ","")&amp;IF(AND(N($T137)&gt;0,COUNT($H137:$K137)&gt;0),"Con subactividades: deje vacías las semanas (se calculan solas)"&amp;" · ","")&amp;IF((COUNTIF($H137:$K137,"&gt;1")+COUNTIF($H137:$K137,"&lt;0")+COUNTA($H137:$K137)-COUNT($H137:$K137))&gt;0,"Avance fuera de rango 0-100%"&amp;" · ","")&amp;IF(OR(AND($I137&lt;&gt;"",$I137&lt;$H137),AND($J137&lt;&gt;"",$J137&lt;MAX($H137:$I137)),AND($K137&lt;&gt;"",$K137&lt;MAX($H137:$J137))),"Avance semanal decreciente"&amp;" · ","")&amp;IF(AND(ISNUMBER($F137),$F137&lt;FechaRef,N($L137)&lt;1),"Vencida"&amp;" · ","")&amp;IF(AND(ObsObligatoria="Sí",ISNUMBER($F137),$F137&lt;FechaRef,N($L137)&lt;1,$N137=""),"Vencida sin observación"&amp;" · ",""))-3)))</f>
        <v/>
      </c>
      <c r="P137" s="69">
        <f>IF(NOT((COUNTA($B137:$K137)+COUNTA($N137))&gt;0),"",IF(AND($S137="Sub",N($R137)&gt;0),IF(ISNUMBER(INDEX($E$5:$E$1000,$R137-4)),DATE(YEAR(INDEX($E$5:$E$1000,$R137-4)),MONTH(INDEX($E$5:$E$1000,$R137-4)),1),IF(ISNUMBER(INDEX($F$5:$F$1000,$R137-4)),DATE(YEAR(INDEX($F$5:$F$1000,$R137-4)),MONTH(INDEX($F$5:$F$1000,$R137-4)),1),MesCiclo)),IF(ISNUMBER($E137),DATE(YEAR($E137),MONTH($E137),1),IF(ISNUMBER($F137),DATE(YEAR($F137),MONTH($F137),1),MesCiclo))))</f>
        <v/>
      </c>
      <c r="Q137" s="70">
        <f>IF(OR($P137="",$P137&lt;&gt;MesCiclo),"",COUNTIF($P$5:$P137,MesCiclo))</f>
        <v/>
      </c>
      <c r="R137" s="70">
        <f>IF($S137="","",IF($S137="Macro",ROW(),IFERROR(LOOKUP(2,1/($S$5:$S137="Macro"),ROW($S$5:$S137)),0)))</f>
        <v/>
      </c>
      <c r="S137" s="70">
        <f>IF(NOT((COUNTA($B137:$K137)+COUNTA($N137))&gt;0),"",IF($B137&lt;&gt;"","Macro",IF($C137&lt;&gt;"","Sub","Macro")))</f>
        <v/>
      </c>
      <c r="T137" s="70">
        <f>IF($S137="Macro",COUNTIFS($R$5:$R$1000,ROW(),$S$5:$S$1000,"Sub"),"")</f>
        <v/>
      </c>
      <c r="U137" s="70">
        <f>IF($S137="","",IF(ISNUMBER($H137),$H137,0))</f>
        <v/>
      </c>
      <c r="V137" s="70">
        <f>IF($S137="","",IF(ISNUMBER($I137),$I137,$U137))</f>
        <v/>
      </c>
      <c r="W137" s="70">
        <f>IF($S137="","",IF(ISNUMBER($J137),$J137,$V137))</f>
        <v/>
      </c>
      <c r="X137" s="70">
        <f>IF($S137="","",IF(ISNUMBER($K137),$K137,$W137))</f>
        <v/>
      </c>
      <c r="Y137" s="70">
        <f>IF($S137="","",IF(N($T137)&gt;0,AVERAGEIFS($U$5:$U$1000,$R$5:$R$1000,ROW(),$S$5:$S$1000,"Sub"),$U137))</f>
        <v/>
      </c>
      <c r="Z137" s="70">
        <f>IF($S137="","",IF(N($T137)&gt;0,AVERAGEIFS($V$5:$V$1000,$R$5:$R$1000,ROW(),$S$5:$S$1000,"Sub"),$V137))</f>
        <v/>
      </c>
      <c r="AA137" s="70">
        <f>IF($S137="","",IF(N($T137)&gt;0,AVERAGEIFS($W$5:$W$1000,$R$5:$R$1000,ROW(),$S$5:$S$1000,"Sub"),$W137))</f>
        <v/>
      </c>
      <c r="AB137" s="70">
        <f>IF($S137="","",IF(N($T137)&gt;0,AVERAGEIFS($X$5:$X$1000,$R$5:$R$1000,ROW(),$S$5:$S$1000,"Sub"),$X137))</f>
        <v/>
      </c>
    </row>
    <row r="138">
      <c r="A138" s="61">
        <f>IF(NOT((COUNTA($B138:$K138)+COUNTA($N138))&gt;0),"",IF($S138="Macro",COUNTIFS($S$5:$S138,"Macro",$P$5:$P138,$P138),IF(N($R138)=0,"?",COUNTIFS(INDEX($S$5:$S$1000,1):INDEX($S$5:$S$1000,$R138-4),"Macro",INDEX($P$5:$P$1000,1):INDEX($P$5:$P$1000,$R138-4),INDEX($P$5:$P$1000,$R138-4))&amp;"."&amp;COUNTIFS($R$5:$R138,$R138,$S$5:$S138,"Sub"))))</f>
        <v/>
      </c>
      <c r="B138" s="62" t="n"/>
      <c r="C138" s="63" t="n"/>
      <c r="D138" s="62" t="n"/>
      <c r="E138" s="64" t="n"/>
      <c r="F138" s="64" t="n"/>
      <c r="G138" s="65" t="n"/>
      <c r="H138" s="66" t="n"/>
      <c r="I138" s="66" t="n"/>
      <c r="J138" s="66" t="n"/>
      <c r="K138" s="66" t="n"/>
      <c r="L138" s="67">
        <f>IF(NOT((COUNTA($B138:$K138)+COUNTA($N138))&gt;0),"",IF(N($T138)&gt;0,$AB138,IFERROR(LOOKUP(2,1/(H138:K138&lt;&gt;""),H138:K138),0)))</f>
        <v/>
      </c>
      <c r="M138" s="61">
        <f>IF(L138="","",IF(L138&gt;=1,"Completado",IF(L138&gt;0,"En curso","Pendiente")))</f>
        <v/>
      </c>
      <c r="N138" s="62" t="n"/>
      <c r="O138" s="68">
        <f>IF(NOT((COUNTA($B138:$K138)+COUNTA($N138))&gt;0),"",IF((IF(AND($S138="Macro",$B138=""),"Macroactividad vacía"&amp;" · ","")&amp;IF(AND($B138&lt;&gt;"",$C138&lt;&gt;""),"Escriba la subactividad en otra fila, debajo de su macroactividad"&amp;" · ","")&amp;IF(AND($S138="Sub",N($R138)=0),"Subactividad sin macroactividad arriba"&amp;" · ","")&amp;IF($D138="","Sin responsable"&amp;" · ","")&amp;IF($E138="","Sin fecha de inicio"&amp;" · ","")&amp;IF($F138="","Sin fecha límite"&amp;" · ","")&amp;IF(OR(AND($E138&lt;&gt;"",NOT(ISNUMBER($E138))),AND($F138&lt;&gt;"",NOT(ISNUMBER($F138)))),"Fecha no válida"&amp;" · ","")&amp;IF(AND(ISNUMBER($E138),ISNUMBER($F138),$E138&gt;$F138),"Inicio posterior a fecha límite"&amp;" · ","")&amp;IF(AND($S138="Macro",$G138=""),"Peso vacío"&amp;" · ","")&amp;IF(AND($S138="Macro",$G138&lt;&gt;"",OR(NOT(ISNUMBER($G138)),$G138&lt;=0,$G138&gt;1)),"Peso fuera de rango"&amp;" · ","")&amp;IF(AND($S138="Sub",$G138&lt;&gt;""),"Las subactividades no llevan peso"&amp;" · ","")&amp;IF(AND($S138="Macro",ABS(SUMIFS($G$5:$G$1000,$P$5:$P$1000,$P138,$S$5:$S$1000,"Macro")-1)&gt;0.0001),"Pesos del mes suman "&amp;TEXT(SUMIFS($G$5:$G$1000,$P$5:$P$1000,$P138,$S$5:$S$1000,"Macro"),"0%")&amp;" · ","")&amp;IF(AND(N($T138)&gt;0,COUNT($H138:$K138)&gt;0),"Con subactividades: deje vacías las semanas (se calculan solas)"&amp;" · ","")&amp;IF((COUNTIF($H138:$K138,"&gt;1")+COUNTIF($H138:$K138,"&lt;0")+COUNTA($H138:$K138)-COUNT($H138:$K138))&gt;0,"Avance fuera de rango 0-100%"&amp;" · ","")&amp;IF(OR(AND($I138&lt;&gt;"",$I138&lt;$H138),AND($J138&lt;&gt;"",$J138&lt;MAX($H138:$I138)),AND($K138&lt;&gt;"",$K138&lt;MAX($H138:$J138))),"Avance semanal decreciente"&amp;" · ","")&amp;IF(AND(ISNUMBER($F138),$F138&lt;FechaRef,N($L138)&lt;1),"Vencida"&amp;" · ","")&amp;IF(AND(ObsObligatoria="Sí",ISNUMBER($F138),$F138&lt;FechaRef,N($L138)&lt;1,$N138=""),"Vencida sin observación"&amp;" · ",""))="","✔ OK","⚠ "&amp;LEFT(IF(AND($S138="Macro",$B138=""),"Macroactividad vacía"&amp;" · ","")&amp;IF(AND($B138&lt;&gt;"",$C138&lt;&gt;""),"Escriba la subactividad en otra fila, debajo de su macroactividad"&amp;" · ","")&amp;IF(AND($S138="Sub",N($R138)=0),"Subactividad sin macroactividad arriba"&amp;" · ","")&amp;IF($D138="","Sin responsable"&amp;" · ","")&amp;IF($E138="","Sin fecha de inicio"&amp;" · ","")&amp;IF($F138="","Sin fecha límite"&amp;" · ","")&amp;IF(OR(AND($E138&lt;&gt;"",NOT(ISNUMBER($E138))),AND($F138&lt;&gt;"",NOT(ISNUMBER($F138)))),"Fecha no válida"&amp;" · ","")&amp;IF(AND(ISNUMBER($E138),ISNUMBER($F138),$E138&gt;$F138),"Inicio posterior a fecha límite"&amp;" · ","")&amp;IF(AND($S138="Macro",$G138=""),"Peso vacío"&amp;" · ","")&amp;IF(AND($S138="Macro",$G138&lt;&gt;"",OR(NOT(ISNUMBER($G138)),$G138&lt;=0,$G138&gt;1)),"Peso fuera de rango"&amp;" · ","")&amp;IF(AND($S138="Sub",$G138&lt;&gt;""),"Las subactividades no llevan peso"&amp;" · ","")&amp;IF(AND($S138="Macro",ABS(SUMIFS($G$5:$G$1000,$P$5:$P$1000,$P138,$S$5:$S$1000,"Macro")-1)&gt;0.0001),"Pesos del mes suman "&amp;TEXT(SUMIFS($G$5:$G$1000,$P$5:$P$1000,$P138,$S$5:$S$1000,"Macro"),"0%")&amp;" · ","")&amp;IF(AND(N($T138)&gt;0,COUNT($H138:$K138)&gt;0),"Con subactividades: deje vacías las semanas (se calculan solas)"&amp;" · ","")&amp;IF((COUNTIF($H138:$K138,"&gt;1")+COUNTIF($H138:$K138,"&lt;0")+COUNTA($H138:$K138)-COUNT($H138:$K138))&gt;0,"Avance fuera de rango 0-100%"&amp;" · ","")&amp;IF(OR(AND($I138&lt;&gt;"",$I138&lt;$H138),AND($J138&lt;&gt;"",$J138&lt;MAX($H138:$I138)),AND($K138&lt;&gt;"",$K138&lt;MAX($H138:$J138))),"Avance semanal decreciente"&amp;" · ","")&amp;IF(AND(ISNUMBER($F138),$F138&lt;FechaRef,N($L138)&lt;1),"Vencida"&amp;" · ","")&amp;IF(AND(ObsObligatoria="Sí",ISNUMBER($F138),$F138&lt;FechaRef,N($L138)&lt;1,$N138=""),"Vencida sin observación"&amp;" · ",""),LEN(IF(AND($S138="Macro",$B138=""),"Macroactividad vacía"&amp;" · ","")&amp;IF(AND($B138&lt;&gt;"",$C138&lt;&gt;""),"Escriba la subactividad en otra fila, debajo de su macroactividad"&amp;" · ","")&amp;IF(AND($S138="Sub",N($R138)=0),"Subactividad sin macroactividad arriba"&amp;" · ","")&amp;IF($D138="","Sin responsable"&amp;" · ","")&amp;IF($E138="","Sin fecha de inicio"&amp;" · ","")&amp;IF($F138="","Sin fecha límite"&amp;" · ","")&amp;IF(OR(AND($E138&lt;&gt;"",NOT(ISNUMBER($E138))),AND($F138&lt;&gt;"",NOT(ISNUMBER($F138)))),"Fecha no válida"&amp;" · ","")&amp;IF(AND(ISNUMBER($E138),ISNUMBER($F138),$E138&gt;$F138),"Inicio posterior a fecha límite"&amp;" · ","")&amp;IF(AND($S138="Macro",$G138=""),"Peso vacío"&amp;" · ","")&amp;IF(AND($S138="Macro",$G138&lt;&gt;"",OR(NOT(ISNUMBER($G138)),$G138&lt;=0,$G138&gt;1)),"Peso fuera de rango"&amp;" · ","")&amp;IF(AND($S138="Sub",$G138&lt;&gt;""),"Las subactividades no llevan peso"&amp;" · ","")&amp;IF(AND($S138="Macro",ABS(SUMIFS($G$5:$G$1000,$P$5:$P$1000,$P138,$S$5:$S$1000,"Macro")-1)&gt;0.0001),"Pesos del mes suman "&amp;TEXT(SUMIFS($G$5:$G$1000,$P$5:$P$1000,$P138,$S$5:$S$1000,"Macro"),"0%")&amp;" · ","")&amp;IF(AND(N($T138)&gt;0,COUNT($H138:$K138)&gt;0),"Con subactividades: deje vacías las semanas (se calculan solas)"&amp;" · ","")&amp;IF((COUNTIF($H138:$K138,"&gt;1")+COUNTIF($H138:$K138,"&lt;0")+COUNTA($H138:$K138)-COUNT($H138:$K138))&gt;0,"Avance fuera de rango 0-100%"&amp;" · ","")&amp;IF(OR(AND($I138&lt;&gt;"",$I138&lt;$H138),AND($J138&lt;&gt;"",$J138&lt;MAX($H138:$I138)),AND($K138&lt;&gt;"",$K138&lt;MAX($H138:$J138))),"Avance semanal decreciente"&amp;" · ","")&amp;IF(AND(ISNUMBER($F138),$F138&lt;FechaRef,N($L138)&lt;1),"Vencida"&amp;" · ","")&amp;IF(AND(ObsObligatoria="Sí",ISNUMBER($F138),$F138&lt;FechaRef,N($L138)&lt;1,$N138=""),"Vencida sin observación"&amp;" · ",""))-3)))</f>
        <v/>
      </c>
      <c r="P138" s="69">
        <f>IF(NOT((COUNTA($B138:$K138)+COUNTA($N138))&gt;0),"",IF(AND($S138="Sub",N($R138)&gt;0),IF(ISNUMBER(INDEX($E$5:$E$1000,$R138-4)),DATE(YEAR(INDEX($E$5:$E$1000,$R138-4)),MONTH(INDEX($E$5:$E$1000,$R138-4)),1),IF(ISNUMBER(INDEX($F$5:$F$1000,$R138-4)),DATE(YEAR(INDEX($F$5:$F$1000,$R138-4)),MONTH(INDEX($F$5:$F$1000,$R138-4)),1),MesCiclo)),IF(ISNUMBER($E138),DATE(YEAR($E138),MONTH($E138),1),IF(ISNUMBER($F138),DATE(YEAR($F138),MONTH($F138),1),MesCiclo))))</f>
        <v/>
      </c>
      <c r="Q138" s="70">
        <f>IF(OR($P138="",$P138&lt;&gt;MesCiclo),"",COUNTIF($P$5:$P138,MesCiclo))</f>
        <v/>
      </c>
      <c r="R138" s="70">
        <f>IF($S138="","",IF($S138="Macro",ROW(),IFERROR(LOOKUP(2,1/($S$5:$S138="Macro"),ROW($S$5:$S138)),0)))</f>
        <v/>
      </c>
      <c r="S138" s="70">
        <f>IF(NOT((COUNTA($B138:$K138)+COUNTA($N138))&gt;0),"",IF($B138&lt;&gt;"","Macro",IF($C138&lt;&gt;"","Sub","Macro")))</f>
        <v/>
      </c>
      <c r="T138" s="70">
        <f>IF($S138="Macro",COUNTIFS($R$5:$R$1000,ROW(),$S$5:$S$1000,"Sub"),"")</f>
        <v/>
      </c>
      <c r="U138" s="70">
        <f>IF($S138="","",IF(ISNUMBER($H138),$H138,0))</f>
        <v/>
      </c>
      <c r="V138" s="70">
        <f>IF($S138="","",IF(ISNUMBER($I138),$I138,$U138))</f>
        <v/>
      </c>
      <c r="W138" s="70">
        <f>IF($S138="","",IF(ISNUMBER($J138),$J138,$V138))</f>
        <v/>
      </c>
      <c r="X138" s="70">
        <f>IF($S138="","",IF(ISNUMBER($K138),$K138,$W138))</f>
        <v/>
      </c>
      <c r="Y138" s="70">
        <f>IF($S138="","",IF(N($T138)&gt;0,AVERAGEIFS($U$5:$U$1000,$R$5:$R$1000,ROW(),$S$5:$S$1000,"Sub"),$U138))</f>
        <v/>
      </c>
      <c r="Z138" s="70">
        <f>IF($S138="","",IF(N($T138)&gt;0,AVERAGEIFS($V$5:$V$1000,$R$5:$R$1000,ROW(),$S$5:$S$1000,"Sub"),$V138))</f>
        <v/>
      </c>
      <c r="AA138" s="70">
        <f>IF($S138="","",IF(N($T138)&gt;0,AVERAGEIFS($W$5:$W$1000,$R$5:$R$1000,ROW(),$S$5:$S$1000,"Sub"),$W138))</f>
        <v/>
      </c>
      <c r="AB138" s="70">
        <f>IF($S138="","",IF(N($T138)&gt;0,AVERAGEIFS($X$5:$X$1000,$R$5:$R$1000,ROW(),$S$5:$S$1000,"Sub"),$X138))</f>
        <v/>
      </c>
    </row>
    <row r="139">
      <c r="A139" s="61">
        <f>IF(NOT((COUNTA($B139:$K139)+COUNTA($N139))&gt;0),"",IF($S139="Macro",COUNTIFS($S$5:$S139,"Macro",$P$5:$P139,$P139),IF(N($R139)=0,"?",COUNTIFS(INDEX($S$5:$S$1000,1):INDEX($S$5:$S$1000,$R139-4),"Macro",INDEX($P$5:$P$1000,1):INDEX($P$5:$P$1000,$R139-4),INDEX($P$5:$P$1000,$R139-4))&amp;"."&amp;COUNTIFS($R$5:$R139,$R139,$S$5:$S139,"Sub"))))</f>
        <v/>
      </c>
      <c r="B139" s="62" t="n"/>
      <c r="C139" s="63" t="n"/>
      <c r="D139" s="62" t="n"/>
      <c r="E139" s="64" t="n"/>
      <c r="F139" s="64" t="n"/>
      <c r="G139" s="65" t="n"/>
      <c r="H139" s="66" t="n"/>
      <c r="I139" s="66" t="n"/>
      <c r="J139" s="66" t="n"/>
      <c r="K139" s="66" t="n"/>
      <c r="L139" s="67">
        <f>IF(NOT((COUNTA($B139:$K139)+COUNTA($N139))&gt;0),"",IF(N($T139)&gt;0,$AB139,IFERROR(LOOKUP(2,1/(H139:K139&lt;&gt;""),H139:K139),0)))</f>
        <v/>
      </c>
      <c r="M139" s="61">
        <f>IF(L139="","",IF(L139&gt;=1,"Completado",IF(L139&gt;0,"En curso","Pendiente")))</f>
        <v/>
      </c>
      <c r="N139" s="62" t="n"/>
      <c r="O139" s="68">
        <f>IF(NOT((COUNTA($B139:$K139)+COUNTA($N139))&gt;0),"",IF((IF(AND($S139="Macro",$B139=""),"Macroactividad vacía"&amp;" · ","")&amp;IF(AND($B139&lt;&gt;"",$C139&lt;&gt;""),"Escriba la subactividad en otra fila, debajo de su macroactividad"&amp;" · ","")&amp;IF(AND($S139="Sub",N($R139)=0),"Subactividad sin macroactividad arriba"&amp;" · ","")&amp;IF($D139="","Sin responsable"&amp;" · ","")&amp;IF($E139="","Sin fecha de inicio"&amp;" · ","")&amp;IF($F139="","Sin fecha límite"&amp;" · ","")&amp;IF(OR(AND($E139&lt;&gt;"",NOT(ISNUMBER($E139))),AND($F139&lt;&gt;"",NOT(ISNUMBER($F139)))),"Fecha no válida"&amp;" · ","")&amp;IF(AND(ISNUMBER($E139),ISNUMBER($F139),$E139&gt;$F139),"Inicio posterior a fecha límite"&amp;" · ","")&amp;IF(AND($S139="Macro",$G139=""),"Peso vacío"&amp;" · ","")&amp;IF(AND($S139="Macro",$G139&lt;&gt;"",OR(NOT(ISNUMBER($G139)),$G139&lt;=0,$G139&gt;1)),"Peso fuera de rango"&amp;" · ","")&amp;IF(AND($S139="Sub",$G139&lt;&gt;""),"Las subactividades no llevan peso"&amp;" · ","")&amp;IF(AND($S139="Macro",ABS(SUMIFS($G$5:$G$1000,$P$5:$P$1000,$P139,$S$5:$S$1000,"Macro")-1)&gt;0.0001),"Pesos del mes suman "&amp;TEXT(SUMIFS($G$5:$G$1000,$P$5:$P$1000,$P139,$S$5:$S$1000,"Macro"),"0%")&amp;" · ","")&amp;IF(AND(N($T139)&gt;0,COUNT($H139:$K139)&gt;0),"Con subactividades: deje vacías las semanas (se calculan solas)"&amp;" · ","")&amp;IF((COUNTIF($H139:$K139,"&gt;1")+COUNTIF($H139:$K139,"&lt;0")+COUNTA($H139:$K139)-COUNT($H139:$K139))&gt;0,"Avance fuera de rango 0-100%"&amp;" · ","")&amp;IF(OR(AND($I139&lt;&gt;"",$I139&lt;$H139),AND($J139&lt;&gt;"",$J139&lt;MAX($H139:$I139)),AND($K139&lt;&gt;"",$K139&lt;MAX($H139:$J139))),"Avance semanal decreciente"&amp;" · ","")&amp;IF(AND(ISNUMBER($F139),$F139&lt;FechaRef,N($L139)&lt;1),"Vencida"&amp;" · ","")&amp;IF(AND(ObsObligatoria="Sí",ISNUMBER($F139),$F139&lt;FechaRef,N($L139)&lt;1,$N139=""),"Vencida sin observación"&amp;" · ",""))="","✔ OK","⚠ "&amp;LEFT(IF(AND($S139="Macro",$B139=""),"Macroactividad vacía"&amp;" · ","")&amp;IF(AND($B139&lt;&gt;"",$C139&lt;&gt;""),"Escriba la subactividad en otra fila, debajo de su macroactividad"&amp;" · ","")&amp;IF(AND($S139="Sub",N($R139)=0),"Subactividad sin macroactividad arriba"&amp;" · ","")&amp;IF($D139="","Sin responsable"&amp;" · ","")&amp;IF($E139="","Sin fecha de inicio"&amp;" · ","")&amp;IF($F139="","Sin fecha límite"&amp;" · ","")&amp;IF(OR(AND($E139&lt;&gt;"",NOT(ISNUMBER($E139))),AND($F139&lt;&gt;"",NOT(ISNUMBER($F139)))),"Fecha no válida"&amp;" · ","")&amp;IF(AND(ISNUMBER($E139),ISNUMBER($F139),$E139&gt;$F139),"Inicio posterior a fecha límite"&amp;" · ","")&amp;IF(AND($S139="Macro",$G139=""),"Peso vacío"&amp;" · ","")&amp;IF(AND($S139="Macro",$G139&lt;&gt;"",OR(NOT(ISNUMBER($G139)),$G139&lt;=0,$G139&gt;1)),"Peso fuera de rango"&amp;" · ","")&amp;IF(AND($S139="Sub",$G139&lt;&gt;""),"Las subactividades no llevan peso"&amp;" · ","")&amp;IF(AND($S139="Macro",ABS(SUMIFS($G$5:$G$1000,$P$5:$P$1000,$P139,$S$5:$S$1000,"Macro")-1)&gt;0.0001),"Pesos del mes suman "&amp;TEXT(SUMIFS($G$5:$G$1000,$P$5:$P$1000,$P139,$S$5:$S$1000,"Macro"),"0%")&amp;" · ","")&amp;IF(AND(N($T139)&gt;0,COUNT($H139:$K139)&gt;0),"Con subactividades: deje vacías las semanas (se calculan solas)"&amp;" · ","")&amp;IF((COUNTIF($H139:$K139,"&gt;1")+COUNTIF($H139:$K139,"&lt;0")+COUNTA($H139:$K139)-COUNT($H139:$K139))&gt;0,"Avance fuera de rango 0-100%"&amp;" · ","")&amp;IF(OR(AND($I139&lt;&gt;"",$I139&lt;$H139),AND($J139&lt;&gt;"",$J139&lt;MAX($H139:$I139)),AND($K139&lt;&gt;"",$K139&lt;MAX($H139:$J139))),"Avance semanal decreciente"&amp;" · ","")&amp;IF(AND(ISNUMBER($F139),$F139&lt;FechaRef,N($L139)&lt;1),"Vencida"&amp;" · ","")&amp;IF(AND(ObsObligatoria="Sí",ISNUMBER($F139),$F139&lt;FechaRef,N($L139)&lt;1,$N139=""),"Vencida sin observación"&amp;" · ",""),LEN(IF(AND($S139="Macro",$B139=""),"Macroactividad vacía"&amp;" · ","")&amp;IF(AND($B139&lt;&gt;"",$C139&lt;&gt;""),"Escriba la subactividad en otra fila, debajo de su macroactividad"&amp;" · ","")&amp;IF(AND($S139="Sub",N($R139)=0),"Subactividad sin macroactividad arriba"&amp;" · ","")&amp;IF($D139="","Sin responsable"&amp;" · ","")&amp;IF($E139="","Sin fecha de inicio"&amp;" · ","")&amp;IF($F139="","Sin fecha límite"&amp;" · ","")&amp;IF(OR(AND($E139&lt;&gt;"",NOT(ISNUMBER($E139))),AND($F139&lt;&gt;"",NOT(ISNUMBER($F139)))),"Fecha no válida"&amp;" · ","")&amp;IF(AND(ISNUMBER($E139),ISNUMBER($F139),$E139&gt;$F139),"Inicio posterior a fecha límite"&amp;" · ","")&amp;IF(AND($S139="Macro",$G139=""),"Peso vacío"&amp;" · ","")&amp;IF(AND($S139="Macro",$G139&lt;&gt;"",OR(NOT(ISNUMBER($G139)),$G139&lt;=0,$G139&gt;1)),"Peso fuera de rango"&amp;" · ","")&amp;IF(AND($S139="Sub",$G139&lt;&gt;""),"Las subactividades no llevan peso"&amp;" · ","")&amp;IF(AND($S139="Macro",ABS(SUMIFS($G$5:$G$1000,$P$5:$P$1000,$P139,$S$5:$S$1000,"Macro")-1)&gt;0.0001),"Pesos del mes suman "&amp;TEXT(SUMIFS($G$5:$G$1000,$P$5:$P$1000,$P139,$S$5:$S$1000,"Macro"),"0%")&amp;" · ","")&amp;IF(AND(N($T139)&gt;0,COUNT($H139:$K139)&gt;0),"Con subactividades: deje vacías las semanas (se calculan solas)"&amp;" · ","")&amp;IF((COUNTIF($H139:$K139,"&gt;1")+COUNTIF($H139:$K139,"&lt;0")+COUNTA($H139:$K139)-COUNT($H139:$K139))&gt;0,"Avance fuera de rango 0-100%"&amp;" · ","")&amp;IF(OR(AND($I139&lt;&gt;"",$I139&lt;$H139),AND($J139&lt;&gt;"",$J139&lt;MAX($H139:$I139)),AND($K139&lt;&gt;"",$K139&lt;MAX($H139:$J139))),"Avance semanal decreciente"&amp;" · ","")&amp;IF(AND(ISNUMBER($F139),$F139&lt;FechaRef,N($L139)&lt;1),"Vencida"&amp;" · ","")&amp;IF(AND(ObsObligatoria="Sí",ISNUMBER($F139),$F139&lt;FechaRef,N($L139)&lt;1,$N139=""),"Vencida sin observación"&amp;" · ",""))-3)))</f>
        <v/>
      </c>
      <c r="P139" s="69">
        <f>IF(NOT((COUNTA($B139:$K139)+COUNTA($N139))&gt;0),"",IF(AND($S139="Sub",N($R139)&gt;0),IF(ISNUMBER(INDEX($E$5:$E$1000,$R139-4)),DATE(YEAR(INDEX($E$5:$E$1000,$R139-4)),MONTH(INDEX($E$5:$E$1000,$R139-4)),1),IF(ISNUMBER(INDEX($F$5:$F$1000,$R139-4)),DATE(YEAR(INDEX($F$5:$F$1000,$R139-4)),MONTH(INDEX($F$5:$F$1000,$R139-4)),1),MesCiclo)),IF(ISNUMBER($E139),DATE(YEAR($E139),MONTH($E139),1),IF(ISNUMBER($F139),DATE(YEAR($F139),MONTH($F139),1),MesCiclo))))</f>
        <v/>
      </c>
      <c r="Q139" s="70">
        <f>IF(OR($P139="",$P139&lt;&gt;MesCiclo),"",COUNTIF($P$5:$P139,MesCiclo))</f>
        <v/>
      </c>
      <c r="R139" s="70">
        <f>IF($S139="","",IF($S139="Macro",ROW(),IFERROR(LOOKUP(2,1/($S$5:$S139="Macro"),ROW($S$5:$S139)),0)))</f>
        <v/>
      </c>
      <c r="S139" s="70">
        <f>IF(NOT((COUNTA($B139:$K139)+COUNTA($N139))&gt;0),"",IF($B139&lt;&gt;"","Macro",IF($C139&lt;&gt;"","Sub","Macro")))</f>
        <v/>
      </c>
      <c r="T139" s="70">
        <f>IF($S139="Macro",COUNTIFS($R$5:$R$1000,ROW(),$S$5:$S$1000,"Sub"),"")</f>
        <v/>
      </c>
      <c r="U139" s="70">
        <f>IF($S139="","",IF(ISNUMBER($H139),$H139,0))</f>
        <v/>
      </c>
      <c r="V139" s="70">
        <f>IF($S139="","",IF(ISNUMBER($I139),$I139,$U139))</f>
        <v/>
      </c>
      <c r="W139" s="70">
        <f>IF($S139="","",IF(ISNUMBER($J139),$J139,$V139))</f>
        <v/>
      </c>
      <c r="X139" s="70">
        <f>IF($S139="","",IF(ISNUMBER($K139),$K139,$W139))</f>
        <v/>
      </c>
      <c r="Y139" s="70">
        <f>IF($S139="","",IF(N($T139)&gt;0,AVERAGEIFS($U$5:$U$1000,$R$5:$R$1000,ROW(),$S$5:$S$1000,"Sub"),$U139))</f>
        <v/>
      </c>
      <c r="Z139" s="70">
        <f>IF($S139="","",IF(N($T139)&gt;0,AVERAGEIFS($V$5:$V$1000,$R$5:$R$1000,ROW(),$S$5:$S$1000,"Sub"),$V139))</f>
        <v/>
      </c>
      <c r="AA139" s="70">
        <f>IF($S139="","",IF(N($T139)&gt;0,AVERAGEIFS($W$5:$W$1000,$R$5:$R$1000,ROW(),$S$5:$S$1000,"Sub"),$W139))</f>
        <v/>
      </c>
      <c r="AB139" s="70">
        <f>IF($S139="","",IF(N($T139)&gt;0,AVERAGEIFS($X$5:$X$1000,$R$5:$R$1000,ROW(),$S$5:$S$1000,"Sub"),$X139))</f>
        <v/>
      </c>
    </row>
    <row r="140">
      <c r="A140" s="61">
        <f>IF(NOT((COUNTA($B140:$K140)+COUNTA($N140))&gt;0),"",IF($S140="Macro",COUNTIFS($S$5:$S140,"Macro",$P$5:$P140,$P140),IF(N($R140)=0,"?",COUNTIFS(INDEX($S$5:$S$1000,1):INDEX($S$5:$S$1000,$R140-4),"Macro",INDEX($P$5:$P$1000,1):INDEX($P$5:$P$1000,$R140-4),INDEX($P$5:$P$1000,$R140-4))&amp;"."&amp;COUNTIFS($R$5:$R140,$R140,$S$5:$S140,"Sub"))))</f>
        <v/>
      </c>
      <c r="B140" s="62" t="n"/>
      <c r="C140" s="63" t="n"/>
      <c r="D140" s="62" t="n"/>
      <c r="E140" s="64" t="n"/>
      <c r="F140" s="64" t="n"/>
      <c r="G140" s="65" t="n"/>
      <c r="H140" s="66" t="n"/>
      <c r="I140" s="66" t="n"/>
      <c r="J140" s="66" t="n"/>
      <c r="K140" s="66" t="n"/>
      <c r="L140" s="67">
        <f>IF(NOT((COUNTA($B140:$K140)+COUNTA($N140))&gt;0),"",IF(N($T140)&gt;0,$AB140,IFERROR(LOOKUP(2,1/(H140:K140&lt;&gt;""),H140:K140),0)))</f>
        <v/>
      </c>
      <c r="M140" s="61">
        <f>IF(L140="","",IF(L140&gt;=1,"Completado",IF(L140&gt;0,"En curso","Pendiente")))</f>
        <v/>
      </c>
      <c r="N140" s="62" t="n"/>
      <c r="O140" s="68">
        <f>IF(NOT((COUNTA($B140:$K140)+COUNTA($N140))&gt;0),"",IF((IF(AND($S140="Macro",$B140=""),"Macroactividad vacía"&amp;" · ","")&amp;IF(AND($B140&lt;&gt;"",$C140&lt;&gt;""),"Escriba la subactividad en otra fila, debajo de su macroactividad"&amp;" · ","")&amp;IF(AND($S140="Sub",N($R140)=0),"Subactividad sin macroactividad arriba"&amp;" · ","")&amp;IF($D140="","Sin responsable"&amp;" · ","")&amp;IF($E140="","Sin fecha de inicio"&amp;" · ","")&amp;IF($F140="","Sin fecha límite"&amp;" · ","")&amp;IF(OR(AND($E140&lt;&gt;"",NOT(ISNUMBER($E140))),AND($F140&lt;&gt;"",NOT(ISNUMBER($F140)))),"Fecha no válida"&amp;" · ","")&amp;IF(AND(ISNUMBER($E140),ISNUMBER($F140),$E140&gt;$F140),"Inicio posterior a fecha límite"&amp;" · ","")&amp;IF(AND($S140="Macro",$G140=""),"Peso vacío"&amp;" · ","")&amp;IF(AND($S140="Macro",$G140&lt;&gt;"",OR(NOT(ISNUMBER($G140)),$G140&lt;=0,$G140&gt;1)),"Peso fuera de rango"&amp;" · ","")&amp;IF(AND($S140="Sub",$G140&lt;&gt;""),"Las subactividades no llevan peso"&amp;" · ","")&amp;IF(AND($S140="Macro",ABS(SUMIFS($G$5:$G$1000,$P$5:$P$1000,$P140,$S$5:$S$1000,"Macro")-1)&gt;0.0001),"Pesos del mes suman "&amp;TEXT(SUMIFS($G$5:$G$1000,$P$5:$P$1000,$P140,$S$5:$S$1000,"Macro"),"0%")&amp;" · ","")&amp;IF(AND(N($T140)&gt;0,COUNT($H140:$K140)&gt;0),"Con subactividades: deje vacías las semanas (se calculan solas)"&amp;" · ","")&amp;IF((COUNTIF($H140:$K140,"&gt;1")+COUNTIF($H140:$K140,"&lt;0")+COUNTA($H140:$K140)-COUNT($H140:$K140))&gt;0,"Avance fuera de rango 0-100%"&amp;" · ","")&amp;IF(OR(AND($I140&lt;&gt;"",$I140&lt;$H140),AND($J140&lt;&gt;"",$J140&lt;MAX($H140:$I140)),AND($K140&lt;&gt;"",$K140&lt;MAX($H140:$J140))),"Avance semanal decreciente"&amp;" · ","")&amp;IF(AND(ISNUMBER($F140),$F140&lt;FechaRef,N($L140)&lt;1),"Vencida"&amp;" · ","")&amp;IF(AND(ObsObligatoria="Sí",ISNUMBER($F140),$F140&lt;FechaRef,N($L140)&lt;1,$N140=""),"Vencida sin observación"&amp;" · ",""))="","✔ OK","⚠ "&amp;LEFT(IF(AND($S140="Macro",$B140=""),"Macroactividad vacía"&amp;" · ","")&amp;IF(AND($B140&lt;&gt;"",$C140&lt;&gt;""),"Escriba la subactividad en otra fila, debajo de su macroactividad"&amp;" · ","")&amp;IF(AND($S140="Sub",N($R140)=0),"Subactividad sin macroactividad arriba"&amp;" · ","")&amp;IF($D140="","Sin responsable"&amp;" · ","")&amp;IF($E140="","Sin fecha de inicio"&amp;" · ","")&amp;IF($F140="","Sin fecha límite"&amp;" · ","")&amp;IF(OR(AND($E140&lt;&gt;"",NOT(ISNUMBER($E140))),AND($F140&lt;&gt;"",NOT(ISNUMBER($F140)))),"Fecha no válida"&amp;" · ","")&amp;IF(AND(ISNUMBER($E140),ISNUMBER($F140),$E140&gt;$F140),"Inicio posterior a fecha límite"&amp;" · ","")&amp;IF(AND($S140="Macro",$G140=""),"Peso vacío"&amp;" · ","")&amp;IF(AND($S140="Macro",$G140&lt;&gt;"",OR(NOT(ISNUMBER($G140)),$G140&lt;=0,$G140&gt;1)),"Peso fuera de rango"&amp;" · ","")&amp;IF(AND($S140="Sub",$G140&lt;&gt;""),"Las subactividades no llevan peso"&amp;" · ","")&amp;IF(AND($S140="Macro",ABS(SUMIFS($G$5:$G$1000,$P$5:$P$1000,$P140,$S$5:$S$1000,"Macro")-1)&gt;0.0001),"Pesos del mes suman "&amp;TEXT(SUMIFS($G$5:$G$1000,$P$5:$P$1000,$P140,$S$5:$S$1000,"Macro"),"0%")&amp;" · ","")&amp;IF(AND(N($T140)&gt;0,COUNT($H140:$K140)&gt;0),"Con subactividades: deje vacías las semanas (se calculan solas)"&amp;" · ","")&amp;IF((COUNTIF($H140:$K140,"&gt;1")+COUNTIF($H140:$K140,"&lt;0")+COUNTA($H140:$K140)-COUNT($H140:$K140))&gt;0,"Avance fuera de rango 0-100%"&amp;" · ","")&amp;IF(OR(AND($I140&lt;&gt;"",$I140&lt;$H140),AND($J140&lt;&gt;"",$J140&lt;MAX($H140:$I140)),AND($K140&lt;&gt;"",$K140&lt;MAX($H140:$J140))),"Avance semanal decreciente"&amp;" · ","")&amp;IF(AND(ISNUMBER($F140),$F140&lt;FechaRef,N($L140)&lt;1),"Vencida"&amp;" · ","")&amp;IF(AND(ObsObligatoria="Sí",ISNUMBER($F140),$F140&lt;FechaRef,N($L140)&lt;1,$N140=""),"Vencida sin observación"&amp;" · ",""),LEN(IF(AND($S140="Macro",$B140=""),"Macroactividad vacía"&amp;" · ","")&amp;IF(AND($B140&lt;&gt;"",$C140&lt;&gt;""),"Escriba la subactividad en otra fila, debajo de su macroactividad"&amp;" · ","")&amp;IF(AND($S140="Sub",N($R140)=0),"Subactividad sin macroactividad arriba"&amp;" · ","")&amp;IF($D140="","Sin responsable"&amp;" · ","")&amp;IF($E140="","Sin fecha de inicio"&amp;" · ","")&amp;IF($F140="","Sin fecha límite"&amp;" · ","")&amp;IF(OR(AND($E140&lt;&gt;"",NOT(ISNUMBER($E140))),AND($F140&lt;&gt;"",NOT(ISNUMBER($F140)))),"Fecha no válida"&amp;" · ","")&amp;IF(AND(ISNUMBER($E140),ISNUMBER($F140),$E140&gt;$F140),"Inicio posterior a fecha límite"&amp;" · ","")&amp;IF(AND($S140="Macro",$G140=""),"Peso vacío"&amp;" · ","")&amp;IF(AND($S140="Macro",$G140&lt;&gt;"",OR(NOT(ISNUMBER($G140)),$G140&lt;=0,$G140&gt;1)),"Peso fuera de rango"&amp;" · ","")&amp;IF(AND($S140="Sub",$G140&lt;&gt;""),"Las subactividades no llevan peso"&amp;" · ","")&amp;IF(AND($S140="Macro",ABS(SUMIFS($G$5:$G$1000,$P$5:$P$1000,$P140,$S$5:$S$1000,"Macro")-1)&gt;0.0001),"Pesos del mes suman "&amp;TEXT(SUMIFS($G$5:$G$1000,$P$5:$P$1000,$P140,$S$5:$S$1000,"Macro"),"0%")&amp;" · ","")&amp;IF(AND(N($T140)&gt;0,COUNT($H140:$K140)&gt;0),"Con subactividades: deje vacías las semanas (se calculan solas)"&amp;" · ","")&amp;IF((COUNTIF($H140:$K140,"&gt;1")+COUNTIF($H140:$K140,"&lt;0")+COUNTA($H140:$K140)-COUNT($H140:$K140))&gt;0,"Avance fuera de rango 0-100%"&amp;" · ","")&amp;IF(OR(AND($I140&lt;&gt;"",$I140&lt;$H140),AND($J140&lt;&gt;"",$J140&lt;MAX($H140:$I140)),AND($K140&lt;&gt;"",$K140&lt;MAX($H140:$J140))),"Avance semanal decreciente"&amp;" · ","")&amp;IF(AND(ISNUMBER($F140),$F140&lt;FechaRef,N($L140)&lt;1),"Vencida"&amp;" · ","")&amp;IF(AND(ObsObligatoria="Sí",ISNUMBER($F140),$F140&lt;FechaRef,N($L140)&lt;1,$N140=""),"Vencida sin observación"&amp;" · ",""))-3)))</f>
        <v/>
      </c>
      <c r="P140" s="69">
        <f>IF(NOT((COUNTA($B140:$K140)+COUNTA($N140))&gt;0),"",IF(AND($S140="Sub",N($R140)&gt;0),IF(ISNUMBER(INDEX($E$5:$E$1000,$R140-4)),DATE(YEAR(INDEX($E$5:$E$1000,$R140-4)),MONTH(INDEX($E$5:$E$1000,$R140-4)),1),IF(ISNUMBER(INDEX($F$5:$F$1000,$R140-4)),DATE(YEAR(INDEX($F$5:$F$1000,$R140-4)),MONTH(INDEX($F$5:$F$1000,$R140-4)),1),MesCiclo)),IF(ISNUMBER($E140),DATE(YEAR($E140),MONTH($E140),1),IF(ISNUMBER($F140),DATE(YEAR($F140),MONTH($F140),1),MesCiclo))))</f>
        <v/>
      </c>
      <c r="Q140" s="70">
        <f>IF(OR($P140="",$P140&lt;&gt;MesCiclo),"",COUNTIF($P$5:$P140,MesCiclo))</f>
        <v/>
      </c>
      <c r="R140" s="70">
        <f>IF($S140="","",IF($S140="Macro",ROW(),IFERROR(LOOKUP(2,1/($S$5:$S140="Macro"),ROW($S$5:$S140)),0)))</f>
        <v/>
      </c>
      <c r="S140" s="70">
        <f>IF(NOT((COUNTA($B140:$K140)+COUNTA($N140))&gt;0),"",IF($B140&lt;&gt;"","Macro",IF($C140&lt;&gt;"","Sub","Macro")))</f>
        <v/>
      </c>
      <c r="T140" s="70">
        <f>IF($S140="Macro",COUNTIFS($R$5:$R$1000,ROW(),$S$5:$S$1000,"Sub"),"")</f>
        <v/>
      </c>
      <c r="U140" s="70">
        <f>IF($S140="","",IF(ISNUMBER($H140),$H140,0))</f>
        <v/>
      </c>
      <c r="V140" s="70">
        <f>IF($S140="","",IF(ISNUMBER($I140),$I140,$U140))</f>
        <v/>
      </c>
      <c r="W140" s="70">
        <f>IF($S140="","",IF(ISNUMBER($J140),$J140,$V140))</f>
        <v/>
      </c>
      <c r="X140" s="70">
        <f>IF($S140="","",IF(ISNUMBER($K140),$K140,$W140))</f>
        <v/>
      </c>
      <c r="Y140" s="70">
        <f>IF($S140="","",IF(N($T140)&gt;0,AVERAGEIFS($U$5:$U$1000,$R$5:$R$1000,ROW(),$S$5:$S$1000,"Sub"),$U140))</f>
        <v/>
      </c>
      <c r="Z140" s="70">
        <f>IF($S140="","",IF(N($T140)&gt;0,AVERAGEIFS($V$5:$V$1000,$R$5:$R$1000,ROW(),$S$5:$S$1000,"Sub"),$V140))</f>
        <v/>
      </c>
      <c r="AA140" s="70">
        <f>IF($S140="","",IF(N($T140)&gt;0,AVERAGEIFS($W$5:$W$1000,$R$5:$R$1000,ROW(),$S$5:$S$1000,"Sub"),$W140))</f>
        <v/>
      </c>
      <c r="AB140" s="70">
        <f>IF($S140="","",IF(N($T140)&gt;0,AVERAGEIFS($X$5:$X$1000,$R$5:$R$1000,ROW(),$S$5:$S$1000,"Sub"),$X140))</f>
        <v/>
      </c>
    </row>
    <row r="141">
      <c r="A141" s="61">
        <f>IF(NOT((COUNTA($B141:$K141)+COUNTA($N141))&gt;0),"",IF($S141="Macro",COUNTIFS($S$5:$S141,"Macro",$P$5:$P141,$P141),IF(N($R141)=0,"?",COUNTIFS(INDEX($S$5:$S$1000,1):INDEX($S$5:$S$1000,$R141-4),"Macro",INDEX($P$5:$P$1000,1):INDEX($P$5:$P$1000,$R141-4),INDEX($P$5:$P$1000,$R141-4))&amp;"."&amp;COUNTIFS($R$5:$R141,$R141,$S$5:$S141,"Sub"))))</f>
        <v/>
      </c>
      <c r="B141" s="62" t="n"/>
      <c r="C141" s="63" t="n"/>
      <c r="D141" s="62" t="n"/>
      <c r="E141" s="64" t="n"/>
      <c r="F141" s="64" t="n"/>
      <c r="G141" s="65" t="n"/>
      <c r="H141" s="66" t="n"/>
      <c r="I141" s="66" t="n"/>
      <c r="J141" s="66" t="n"/>
      <c r="K141" s="66" t="n"/>
      <c r="L141" s="67">
        <f>IF(NOT((COUNTA($B141:$K141)+COUNTA($N141))&gt;0),"",IF(N($T141)&gt;0,$AB141,IFERROR(LOOKUP(2,1/(H141:K141&lt;&gt;""),H141:K141),0)))</f>
        <v/>
      </c>
      <c r="M141" s="61">
        <f>IF(L141="","",IF(L141&gt;=1,"Completado",IF(L141&gt;0,"En curso","Pendiente")))</f>
        <v/>
      </c>
      <c r="N141" s="62" t="n"/>
      <c r="O141" s="68">
        <f>IF(NOT((COUNTA($B141:$K141)+COUNTA($N141))&gt;0),"",IF((IF(AND($S141="Macro",$B141=""),"Macroactividad vacía"&amp;" · ","")&amp;IF(AND($B141&lt;&gt;"",$C141&lt;&gt;""),"Escriba la subactividad en otra fila, debajo de su macroactividad"&amp;" · ","")&amp;IF(AND($S141="Sub",N($R141)=0),"Subactividad sin macroactividad arriba"&amp;" · ","")&amp;IF($D141="","Sin responsable"&amp;" · ","")&amp;IF($E141="","Sin fecha de inicio"&amp;" · ","")&amp;IF($F141="","Sin fecha límite"&amp;" · ","")&amp;IF(OR(AND($E141&lt;&gt;"",NOT(ISNUMBER($E141))),AND($F141&lt;&gt;"",NOT(ISNUMBER($F141)))),"Fecha no válida"&amp;" · ","")&amp;IF(AND(ISNUMBER($E141),ISNUMBER($F141),$E141&gt;$F141),"Inicio posterior a fecha límite"&amp;" · ","")&amp;IF(AND($S141="Macro",$G141=""),"Peso vacío"&amp;" · ","")&amp;IF(AND($S141="Macro",$G141&lt;&gt;"",OR(NOT(ISNUMBER($G141)),$G141&lt;=0,$G141&gt;1)),"Peso fuera de rango"&amp;" · ","")&amp;IF(AND($S141="Sub",$G141&lt;&gt;""),"Las subactividades no llevan peso"&amp;" · ","")&amp;IF(AND($S141="Macro",ABS(SUMIFS($G$5:$G$1000,$P$5:$P$1000,$P141,$S$5:$S$1000,"Macro")-1)&gt;0.0001),"Pesos del mes suman "&amp;TEXT(SUMIFS($G$5:$G$1000,$P$5:$P$1000,$P141,$S$5:$S$1000,"Macro"),"0%")&amp;" · ","")&amp;IF(AND(N($T141)&gt;0,COUNT($H141:$K141)&gt;0),"Con subactividades: deje vacías las semanas (se calculan solas)"&amp;" · ","")&amp;IF((COUNTIF($H141:$K141,"&gt;1")+COUNTIF($H141:$K141,"&lt;0")+COUNTA($H141:$K141)-COUNT($H141:$K141))&gt;0,"Avance fuera de rango 0-100%"&amp;" · ","")&amp;IF(OR(AND($I141&lt;&gt;"",$I141&lt;$H141),AND($J141&lt;&gt;"",$J141&lt;MAX($H141:$I141)),AND($K141&lt;&gt;"",$K141&lt;MAX($H141:$J141))),"Avance semanal decreciente"&amp;" · ","")&amp;IF(AND(ISNUMBER($F141),$F141&lt;FechaRef,N($L141)&lt;1),"Vencida"&amp;" · ","")&amp;IF(AND(ObsObligatoria="Sí",ISNUMBER($F141),$F141&lt;FechaRef,N($L141)&lt;1,$N141=""),"Vencida sin observación"&amp;" · ",""))="","✔ OK","⚠ "&amp;LEFT(IF(AND($S141="Macro",$B141=""),"Macroactividad vacía"&amp;" · ","")&amp;IF(AND($B141&lt;&gt;"",$C141&lt;&gt;""),"Escriba la subactividad en otra fila, debajo de su macroactividad"&amp;" · ","")&amp;IF(AND($S141="Sub",N($R141)=0),"Subactividad sin macroactividad arriba"&amp;" · ","")&amp;IF($D141="","Sin responsable"&amp;" · ","")&amp;IF($E141="","Sin fecha de inicio"&amp;" · ","")&amp;IF($F141="","Sin fecha límite"&amp;" · ","")&amp;IF(OR(AND($E141&lt;&gt;"",NOT(ISNUMBER($E141))),AND($F141&lt;&gt;"",NOT(ISNUMBER($F141)))),"Fecha no válida"&amp;" · ","")&amp;IF(AND(ISNUMBER($E141),ISNUMBER($F141),$E141&gt;$F141),"Inicio posterior a fecha límite"&amp;" · ","")&amp;IF(AND($S141="Macro",$G141=""),"Peso vacío"&amp;" · ","")&amp;IF(AND($S141="Macro",$G141&lt;&gt;"",OR(NOT(ISNUMBER($G141)),$G141&lt;=0,$G141&gt;1)),"Peso fuera de rango"&amp;" · ","")&amp;IF(AND($S141="Sub",$G141&lt;&gt;""),"Las subactividades no llevan peso"&amp;" · ","")&amp;IF(AND($S141="Macro",ABS(SUMIFS($G$5:$G$1000,$P$5:$P$1000,$P141,$S$5:$S$1000,"Macro")-1)&gt;0.0001),"Pesos del mes suman "&amp;TEXT(SUMIFS($G$5:$G$1000,$P$5:$P$1000,$P141,$S$5:$S$1000,"Macro"),"0%")&amp;" · ","")&amp;IF(AND(N($T141)&gt;0,COUNT($H141:$K141)&gt;0),"Con subactividades: deje vacías las semanas (se calculan solas)"&amp;" · ","")&amp;IF((COUNTIF($H141:$K141,"&gt;1")+COUNTIF($H141:$K141,"&lt;0")+COUNTA($H141:$K141)-COUNT($H141:$K141))&gt;0,"Avance fuera de rango 0-100%"&amp;" · ","")&amp;IF(OR(AND($I141&lt;&gt;"",$I141&lt;$H141),AND($J141&lt;&gt;"",$J141&lt;MAX($H141:$I141)),AND($K141&lt;&gt;"",$K141&lt;MAX($H141:$J141))),"Avance semanal decreciente"&amp;" · ","")&amp;IF(AND(ISNUMBER($F141),$F141&lt;FechaRef,N($L141)&lt;1),"Vencida"&amp;" · ","")&amp;IF(AND(ObsObligatoria="Sí",ISNUMBER($F141),$F141&lt;FechaRef,N($L141)&lt;1,$N141=""),"Vencida sin observación"&amp;" · ",""),LEN(IF(AND($S141="Macro",$B141=""),"Macroactividad vacía"&amp;" · ","")&amp;IF(AND($B141&lt;&gt;"",$C141&lt;&gt;""),"Escriba la subactividad en otra fila, debajo de su macroactividad"&amp;" · ","")&amp;IF(AND($S141="Sub",N($R141)=0),"Subactividad sin macroactividad arriba"&amp;" · ","")&amp;IF($D141="","Sin responsable"&amp;" · ","")&amp;IF($E141="","Sin fecha de inicio"&amp;" · ","")&amp;IF($F141="","Sin fecha límite"&amp;" · ","")&amp;IF(OR(AND($E141&lt;&gt;"",NOT(ISNUMBER($E141))),AND($F141&lt;&gt;"",NOT(ISNUMBER($F141)))),"Fecha no válida"&amp;" · ","")&amp;IF(AND(ISNUMBER($E141),ISNUMBER($F141),$E141&gt;$F141),"Inicio posterior a fecha límite"&amp;" · ","")&amp;IF(AND($S141="Macro",$G141=""),"Peso vacío"&amp;" · ","")&amp;IF(AND($S141="Macro",$G141&lt;&gt;"",OR(NOT(ISNUMBER($G141)),$G141&lt;=0,$G141&gt;1)),"Peso fuera de rango"&amp;" · ","")&amp;IF(AND($S141="Sub",$G141&lt;&gt;""),"Las subactividades no llevan peso"&amp;" · ","")&amp;IF(AND($S141="Macro",ABS(SUMIFS($G$5:$G$1000,$P$5:$P$1000,$P141,$S$5:$S$1000,"Macro")-1)&gt;0.0001),"Pesos del mes suman "&amp;TEXT(SUMIFS($G$5:$G$1000,$P$5:$P$1000,$P141,$S$5:$S$1000,"Macro"),"0%")&amp;" · ","")&amp;IF(AND(N($T141)&gt;0,COUNT($H141:$K141)&gt;0),"Con subactividades: deje vacías las semanas (se calculan solas)"&amp;" · ","")&amp;IF((COUNTIF($H141:$K141,"&gt;1")+COUNTIF($H141:$K141,"&lt;0")+COUNTA($H141:$K141)-COUNT($H141:$K141))&gt;0,"Avance fuera de rango 0-100%"&amp;" · ","")&amp;IF(OR(AND($I141&lt;&gt;"",$I141&lt;$H141),AND($J141&lt;&gt;"",$J141&lt;MAX($H141:$I141)),AND($K141&lt;&gt;"",$K141&lt;MAX($H141:$J141))),"Avance semanal decreciente"&amp;" · ","")&amp;IF(AND(ISNUMBER($F141),$F141&lt;FechaRef,N($L141)&lt;1),"Vencida"&amp;" · ","")&amp;IF(AND(ObsObligatoria="Sí",ISNUMBER($F141),$F141&lt;FechaRef,N($L141)&lt;1,$N141=""),"Vencida sin observación"&amp;" · ",""))-3)))</f>
        <v/>
      </c>
      <c r="P141" s="69">
        <f>IF(NOT((COUNTA($B141:$K141)+COUNTA($N141))&gt;0),"",IF(AND($S141="Sub",N($R141)&gt;0),IF(ISNUMBER(INDEX($E$5:$E$1000,$R141-4)),DATE(YEAR(INDEX($E$5:$E$1000,$R141-4)),MONTH(INDEX($E$5:$E$1000,$R141-4)),1),IF(ISNUMBER(INDEX($F$5:$F$1000,$R141-4)),DATE(YEAR(INDEX($F$5:$F$1000,$R141-4)),MONTH(INDEX($F$5:$F$1000,$R141-4)),1),MesCiclo)),IF(ISNUMBER($E141),DATE(YEAR($E141),MONTH($E141),1),IF(ISNUMBER($F141),DATE(YEAR($F141),MONTH($F141),1),MesCiclo))))</f>
        <v/>
      </c>
      <c r="Q141" s="70">
        <f>IF(OR($P141="",$P141&lt;&gt;MesCiclo),"",COUNTIF($P$5:$P141,MesCiclo))</f>
        <v/>
      </c>
      <c r="R141" s="70">
        <f>IF($S141="","",IF($S141="Macro",ROW(),IFERROR(LOOKUP(2,1/($S$5:$S141="Macro"),ROW($S$5:$S141)),0)))</f>
        <v/>
      </c>
      <c r="S141" s="70">
        <f>IF(NOT((COUNTA($B141:$K141)+COUNTA($N141))&gt;0),"",IF($B141&lt;&gt;"","Macro",IF($C141&lt;&gt;"","Sub","Macro")))</f>
        <v/>
      </c>
      <c r="T141" s="70">
        <f>IF($S141="Macro",COUNTIFS($R$5:$R$1000,ROW(),$S$5:$S$1000,"Sub"),"")</f>
        <v/>
      </c>
      <c r="U141" s="70">
        <f>IF($S141="","",IF(ISNUMBER($H141),$H141,0))</f>
        <v/>
      </c>
      <c r="V141" s="70">
        <f>IF($S141="","",IF(ISNUMBER($I141),$I141,$U141))</f>
        <v/>
      </c>
      <c r="W141" s="70">
        <f>IF($S141="","",IF(ISNUMBER($J141),$J141,$V141))</f>
        <v/>
      </c>
      <c r="X141" s="70">
        <f>IF($S141="","",IF(ISNUMBER($K141),$K141,$W141))</f>
        <v/>
      </c>
      <c r="Y141" s="70">
        <f>IF($S141="","",IF(N($T141)&gt;0,AVERAGEIFS($U$5:$U$1000,$R$5:$R$1000,ROW(),$S$5:$S$1000,"Sub"),$U141))</f>
        <v/>
      </c>
      <c r="Z141" s="70">
        <f>IF($S141="","",IF(N($T141)&gt;0,AVERAGEIFS($V$5:$V$1000,$R$5:$R$1000,ROW(),$S$5:$S$1000,"Sub"),$V141))</f>
        <v/>
      </c>
      <c r="AA141" s="70">
        <f>IF($S141="","",IF(N($T141)&gt;0,AVERAGEIFS($W$5:$W$1000,$R$5:$R$1000,ROW(),$S$5:$S$1000,"Sub"),$W141))</f>
        <v/>
      </c>
      <c r="AB141" s="70">
        <f>IF($S141="","",IF(N($T141)&gt;0,AVERAGEIFS($X$5:$X$1000,$R$5:$R$1000,ROW(),$S$5:$S$1000,"Sub"),$X141))</f>
        <v/>
      </c>
    </row>
    <row r="142">
      <c r="A142" s="61">
        <f>IF(NOT((COUNTA($B142:$K142)+COUNTA($N142))&gt;0),"",IF($S142="Macro",COUNTIFS($S$5:$S142,"Macro",$P$5:$P142,$P142),IF(N($R142)=0,"?",COUNTIFS(INDEX($S$5:$S$1000,1):INDEX($S$5:$S$1000,$R142-4),"Macro",INDEX($P$5:$P$1000,1):INDEX($P$5:$P$1000,$R142-4),INDEX($P$5:$P$1000,$R142-4))&amp;"."&amp;COUNTIFS($R$5:$R142,$R142,$S$5:$S142,"Sub"))))</f>
        <v/>
      </c>
      <c r="B142" s="62" t="n"/>
      <c r="C142" s="63" t="n"/>
      <c r="D142" s="62" t="n"/>
      <c r="E142" s="64" t="n"/>
      <c r="F142" s="64" t="n"/>
      <c r="G142" s="65" t="n"/>
      <c r="H142" s="66" t="n"/>
      <c r="I142" s="66" t="n"/>
      <c r="J142" s="66" t="n"/>
      <c r="K142" s="66" t="n"/>
      <c r="L142" s="67">
        <f>IF(NOT((COUNTA($B142:$K142)+COUNTA($N142))&gt;0),"",IF(N($T142)&gt;0,$AB142,IFERROR(LOOKUP(2,1/(H142:K142&lt;&gt;""),H142:K142),0)))</f>
        <v/>
      </c>
      <c r="M142" s="61">
        <f>IF(L142="","",IF(L142&gt;=1,"Completado",IF(L142&gt;0,"En curso","Pendiente")))</f>
        <v/>
      </c>
      <c r="N142" s="62" t="n"/>
      <c r="O142" s="68">
        <f>IF(NOT((COUNTA($B142:$K142)+COUNTA($N142))&gt;0),"",IF((IF(AND($S142="Macro",$B142=""),"Macroactividad vacía"&amp;" · ","")&amp;IF(AND($B142&lt;&gt;"",$C142&lt;&gt;""),"Escriba la subactividad en otra fila, debajo de su macroactividad"&amp;" · ","")&amp;IF(AND($S142="Sub",N($R142)=0),"Subactividad sin macroactividad arriba"&amp;" · ","")&amp;IF($D142="","Sin responsable"&amp;" · ","")&amp;IF($E142="","Sin fecha de inicio"&amp;" · ","")&amp;IF($F142="","Sin fecha límite"&amp;" · ","")&amp;IF(OR(AND($E142&lt;&gt;"",NOT(ISNUMBER($E142))),AND($F142&lt;&gt;"",NOT(ISNUMBER($F142)))),"Fecha no válida"&amp;" · ","")&amp;IF(AND(ISNUMBER($E142),ISNUMBER($F142),$E142&gt;$F142),"Inicio posterior a fecha límite"&amp;" · ","")&amp;IF(AND($S142="Macro",$G142=""),"Peso vacío"&amp;" · ","")&amp;IF(AND($S142="Macro",$G142&lt;&gt;"",OR(NOT(ISNUMBER($G142)),$G142&lt;=0,$G142&gt;1)),"Peso fuera de rango"&amp;" · ","")&amp;IF(AND($S142="Sub",$G142&lt;&gt;""),"Las subactividades no llevan peso"&amp;" · ","")&amp;IF(AND($S142="Macro",ABS(SUMIFS($G$5:$G$1000,$P$5:$P$1000,$P142,$S$5:$S$1000,"Macro")-1)&gt;0.0001),"Pesos del mes suman "&amp;TEXT(SUMIFS($G$5:$G$1000,$P$5:$P$1000,$P142,$S$5:$S$1000,"Macro"),"0%")&amp;" · ","")&amp;IF(AND(N($T142)&gt;0,COUNT($H142:$K142)&gt;0),"Con subactividades: deje vacías las semanas (se calculan solas)"&amp;" · ","")&amp;IF((COUNTIF($H142:$K142,"&gt;1")+COUNTIF($H142:$K142,"&lt;0")+COUNTA($H142:$K142)-COUNT($H142:$K142))&gt;0,"Avance fuera de rango 0-100%"&amp;" · ","")&amp;IF(OR(AND($I142&lt;&gt;"",$I142&lt;$H142),AND($J142&lt;&gt;"",$J142&lt;MAX($H142:$I142)),AND($K142&lt;&gt;"",$K142&lt;MAX($H142:$J142))),"Avance semanal decreciente"&amp;" · ","")&amp;IF(AND(ISNUMBER($F142),$F142&lt;FechaRef,N($L142)&lt;1),"Vencida"&amp;" · ","")&amp;IF(AND(ObsObligatoria="Sí",ISNUMBER($F142),$F142&lt;FechaRef,N($L142)&lt;1,$N142=""),"Vencida sin observación"&amp;" · ",""))="","✔ OK","⚠ "&amp;LEFT(IF(AND($S142="Macro",$B142=""),"Macroactividad vacía"&amp;" · ","")&amp;IF(AND($B142&lt;&gt;"",$C142&lt;&gt;""),"Escriba la subactividad en otra fila, debajo de su macroactividad"&amp;" · ","")&amp;IF(AND($S142="Sub",N($R142)=0),"Subactividad sin macroactividad arriba"&amp;" · ","")&amp;IF($D142="","Sin responsable"&amp;" · ","")&amp;IF($E142="","Sin fecha de inicio"&amp;" · ","")&amp;IF($F142="","Sin fecha límite"&amp;" · ","")&amp;IF(OR(AND($E142&lt;&gt;"",NOT(ISNUMBER($E142))),AND($F142&lt;&gt;"",NOT(ISNUMBER($F142)))),"Fecha no válida"&amp;" · ","")&amp;IF(AND(ISNUMBER($E142),ISNUMBER($F142),$E142&gt;$F142),"Inicio posterior a fecha límite"&amp;" · ","")&amp;IF(AND($S142="Macro",$G142=""),"Peso vacío"&amp;" · ","")&amp;IF(AND($S142="Macro",$G142&lt;&gt;"",OR(NOT(ISNUMBER($G142)),$G142&lt;=0,$G142&gt;1)),"Peso fuera de rango"&amp;" · ","")&amp;IF(AND($S142="Sub",$G142&lt;&gt;""),"Las subactividades no llevan peso"&amp;" · ","")&amp;IF(AND($S142="Macro",ABS(SUMIFS($G$5:$G$1000,$P$5:$P$1000,$P142,$S$5:$S$1000,"Macro")-1)&gt;0.0001),"Pesos del mes suman "&amp;TEXT(SUMIFS($G$5:$G$1000,$P$5:$P$1000,$P142,$S$5:$S$1000,"Macro"),"0%")&amp;" · ","")&amp;IF(AND(N($T142)&gt;0,COUNT($H142:$K142)&gt;0),"Con subactividades: deje vacías las semanas (se calculan solas)"&amp;" · ","")&amp;IF((COUNTIF($H142:$K142,"&gt;1")+COUNTIF($H142:$K142,"&lt;0")+COUNTA($H142:$K142)-COUNT($H142:$K142))&gt;0,"Avance fuera de rango 0-100%"&amp;" · ","")&amp;IF(OR(AND($I142&lt;&gt;"",$I142&lt;$H142),AND($J142&lt;&gt;"",$J142&lt;MAX($H142:$I142)),AND($K142&lt;&gt;"",$K142&lt;MAX($H142:$J142))),"Avance semanal decreciente"&amp;" · ","")&amp;IF(AND(ISNUMBER($F142),$F142&lt;FechaRef,N($L142)&lt;1),"Vencida"&amp;" · ","")&amp;IF(AND(ObsObligatoria="Sí",ISNUMBER($F142),$F142&lt;FechaRef,N($L142)&lt;1,$N142=""),"Vencida sin observación"&amp;" · ",""),LEN(IF(AND($S142="Macro",$B142=""),"Macroactividad vacía"&amp;" · ","")&amp;IF(AND($B142&lt;&gt;"",$C142&lt;&gt;""),"Escriba la subactividad en otra fila, debajo de su macroactividad"&amp;" · ","")&amp;IF(AND($S142="Sub",N($R142)=0),"Subactividad sin macroactividad arriba"&amp;" · ","")&amp;IF($D142="","Sin responsable"&amp;" · ","")&amp;IF($E142="","Sin fecha de inicio"&amp;" · ","")&amp;IF($F142="","Sin fecha límite"&amp;" · ","")&amp;IF(OR(AND($E142&lt;&gt;"",NOT(ISNUMBER($E142))),AND($F142&lt;&gt;"",NOT(ISNUMBER($F142)))),"Fecha no válida"&amp;" · ","")&amp;IF(AND(ISNUMBER($E142),ISNUMBER($F142),$E142&gt;$F142),"Inicio posterior a fecha límite"&amp;" · ","")&amp;IF(AND($S142="Macro",$G142=""),"Peso vacío"&amp;" · ","")&amp;IF(AND($S142="Macro",$G142&lt;&gt;"",OR(NOT(ISNUMBER($G142)),$G142&lt;=0,$G142&gt;1)),"Peso fuera de rango"&amp;" · ","")&amp;IF(AND($S142="Sub",$G142&lt;&gt;""),"Las subactividades no llevan peso"&amp;" · ","")&amp;IF(AND($S142="Macro",ABS(SUMIFS($G$5:$G$1000,$P$5:$P$1000,$P142,$S$5:$S$1000,"Macro")-1)&gt;0.0001),"Pesos del mes suman "&amp;TEXT(SUMIFS($G$5:$G$1000,$P$5:$P$1000,$P142,$S$5:$S$1000,"Macro"),"0%")&amp;" · ","")&amp;IF(AND(N($T142)&gt;0,COUNT($H142:$K142)&gt;0),"Con subactividades: deje vacías las semanas (se calculan solas)"&amp;" · ","")&amp;IF((COUNTIF($H142:$K142,"&gt;1")+COUNTIF($H142:$K142,"&lt;0")+COUNTA($H142:$K142)-COUNT($H142:$K142))&gt;0,"Avance fuera de rango 0-100%"&amp;" · ","")&amp;IF(OR(AND($I142&lt;&gt;"",$I142&lt;$H142),AND($J142&lt;&gt;"",$J142&lt;MAX($H142:$I142)),AND($K142&lt;&gt;"",$K142&lt;MAX($H142:$J142))),"Avance semanal decreciente"&amp;" · ","")&amp;IF(AND(ISNUMBER($F142),$F142&lt;FechaRef,N($L142)&lt;1),"Vencida"&amp;" · ","")&amp;IF(AND(ObsObligatoria="Sí",ISNUMBER($F142),$F142&lt;FechaRef,N($L142)&lt;1,$N142=""),"Vencida sin observación"&amp;" · ",""))-3)))</f>
        <v/>
      </c>
      <c r="P142" s="69">
        <f>IF(NOT((COUNTA($B142:$K142)+COUNTA($N142))&gt;0),"",IF(AND($S142="Sub",N($R142)&gt;0),IF(ISNUMBER(INDEX($E$5:$E$1000,$R142-4)),DATE(YEAR(INDEX($E$5:$E$1000,$R142-4)),MONTH(INDEX($E$5:$E$1000,$R142-4)),1),IF(ISNUMBER(INDEX($F$5:$F$1000,$R142-4)),DATE(YEAR(INDEX($F$5:$F$1000,$R142-4)),MONTH(INDEX($F$5:$F$1000,$R142-4)),1),MesCiclo)),IF(ISNUMBER($E142),DATE(YEAR($E142),MONTH($E142),1),IF(ISNUMBER($F142),DATE(YEAR($F142),MONTH($F142),1),MesCiclo))))</f>
        <v/>
      </c>
      <c r="Q142" s="70">
        <f>IF(OR($P142="",$P142&lt;&gt;MesCiclo),"",COUNTIF($P$5:$P142,MesCiclo))</f>
        <v/>
      </c>
      <c r="R142" s="70">
        <f>IF($S142="","",IF($S142="Macro",ROW(),IFERROR(LOOKUP(2,1/($S$5:$S142="Macro"),ROW($S$5:$S142)),0)))</f>
        <v/>
      </c>
      <c r="S142" s="70">
        <f>IF(NOT((COUNTA($B142:$K142)+COUNTA($N142))&gt;0),"",IF($B142&lt;&gt;"","Macro",IF($C142&lt;&gt;"","Sub","Macro")))</f>
        <v/>
      </c>
      <c r="T142" s="70">
        <f>IF($S142="Macro",COUNTIFS($R$5:$R$1000,ROW(),$S$5:$S$1000,"Sub"),"")</f>
        <v/>
      </c>
      <c r="U142" s="70">
        <f>IF($S142="","",IF(ISNUMBER($H142),$H142,0))</f>
        <v/>
      </c>
      <c r="V142" s="70">
        <f>IF($S142="","",IF(ISNUMBER($I142),$I142,$U142))</f>
        <v/>
      </c>
      <c r="W142" s="70">
        <f>IF($S142="","",IF(ISNUMBER($J142),$J142,$V142))</f>
        <v/>
      </c>
      <c r="X142" s="70">
        <f>IF($S142="","",IF(ISNUMBER($K142),$K142,$W142))</f>
        <v/>
      </c>
      <c r="Y142" s="70">
        <f>IF($S142="","",IF(N($T142)&gt;0,AVERAGEIFS($U$5:$U$1000,$R$5:$R$1000,ROW(),$S$5:$S$1000,"Sub"),$U142))</f>
        <v/>
      </c>
      <c r="Z142" s="70">
        <f>IF($S142="","",IF(N($T142)&gt;0,AVERAGEIFS($V$5:$V$1000,$R$5:$R$1000,ROW(),$S$5:$S$1000,"Sub"),$V142))</f>
        <v/>
      </c>
      <c r="AA142" s="70">
        <f>IF($S142="","",IF(N($T142)&gt;0,AVERAGEIFS($W$5:$W$1000,$R$5:$R$1000,ROW(),$S$5:$S$1000,"Sub"),$W142))</f>
        <v/>
      </c>
      <c r="AB142" s="70">
        <f>IF($S142="","",IF(N($T142)&gt;0,AVERAGEIFS($X$5:$X$1000,$R$5:$R$1000,ROW(),$S$5:$S$1000,"Sub"),$X142))</f>
        <v/>
      </c>
    </row>
    <row r="143">
      <c r="A143" s="61">
        <f>IF(NOT((COUNTA($B143:$K143)+COUNTA($N143))&gt;0),"",IF($S143="Macro",COUNTIFS($S$5:$S143,"Macro",$P$5:$P143,$P143),IF(N($R143)=0,"?",COUNTIFS(INDEX($S$5:$S$1000,1):INDEX($S$5:$S$1000,$R143-4),"Macro",INDEX($P$5:$P$1000,1):INDEX($P$5:$P$1000,$R143-4),INDEX($P$5:$P$1000,$R143-4))&amp;"."&amp;COUNTIFS($R$5:$R143,$R143,$S$5:$S143,"Sub"))))</f>
        <v/>
      </c>
      <c r="B143" s="62" t="n"/>
      <c r="C143" s="63" t="n"/>
      <c r="D143" s="62" t="n"/>
      <c r="E143" s="64" t="n"/>
      <c r="F143" s="64" t="n"/>
      <c r="G143" s="65" t="n"/>
      <c r="H143" s="66" t="n"/>
      <c r="I143" s="66" t="n"/>
      <c r="J143" s="66" t="n"/>
      <c r="K143" s="66" t="n"/>
      <c r="L143" s="67">
        <f>IF(NOT((COUNTA($B143:$K143)+COUNTA($N143))&gt;0),"",IF(N($T143)&gt;0,$AB143,IFERROR(LOOKUP(2,1/(H143:K143&lt;&gt;""),H143:K143),0)))</f>
        <v/>
      </c>
      <c r="M143" s="61">
        <f>IF(L143="","",IF(L143&gt;=1,"Completado",IF(L143&gt;0,"En curso","Pendiente")))</f>
        <v/>
      </c>
      <c r="N143" s="62" t="n"/>
      <c r="O143" s="68">
        <f>IF(NOT((COUNTA($B143:$K143)+COUNTA($N143))&gt;0),"",IF((IF(AND($S143="Macro",$B143=""),"Macroactividad vacía"&amp;" · ","")&amp;IF(AND($B143&lt;&gt;"",$C143&lt;&gt;""),"Escriba la subactividad en otra fila, debajo de su macroactividad"&amp;" · ","")&amp;IF(AND($S143="Sub",N($R143)=0),"Subactividad sin macroactividad arriba"&amp;" · ","")&amp;IF($D143="","Sin responsable"&amp;" · ","")&amp;IF($E143="","Sin fecha de inicio"&amp;" · ","")&amp;IF($F143="","Sin fecha límite"&amp;" · ","")&amp;IF(OR(AND($E143&lt;&gt;"",NOT(ISNUMBER($E143))),AND($F143&lt;&gt;"",NOT(ISNUMBER($F143)))),"Fecha no válida"&amp;" · ","")&amp;IF(AND(ISNUMBER($E143),ISNUMBER($F143),$E143&gt;$F143),"Inicio posterior a fecha límite"&amp;" · ","")&amp;IF(AND($S143="Macro",$G143=""),"Peso vacío"&amp;" · ","")&amp;IF(AND($S143="Macro",$G143&lt;&gt;"",OR(NOT(ISNUMBER($G143)),$G143&lt;=0,$G143&gt;1)),"Peso fuera de rango"&amp;" · ","")&amp;IF(AND($S143="Sub",$G143&lt;&gt;""),"Las subactividades no llevan peso"&amp;" · ","")&amp;IF(AND($S143="Macro",ABS(SUMIFS($G$5:$G$1000,$P$5:$P$1000,$P143,$S$5:$S$1000,"Macro")-1)&gt;0.0001),"Pesos del mes suman "&amp;TEXT(SUMIFS($G$5:$G$1000,$P$5:$P$1000,$P143,$S$5:$S$1000,"Macro"),"0%")&amp;" · ","")&amp;IF(AND(N($T143)&gt;0,COUNT($H143:$K143)&gt;0),"Con subactividades: deje vacías las semanas (se calculan solas)"&amp;" · ","")&amp;IF((COUNTIF($H143:$K143,"&gt;1")+COUNTIF($H143:$K143,"&lt;0")+COUNTA($H143:$K143)-COUNT($H143:$K143))&gt;0,"Avance fuera de rango 0-100%"&amp;" · ","")&amp;IF(OR(AND($I143&lt;&gt;"",$I143&lt;$H143),AND($J143&lt;&gt;"",$J143&lt;MAX($H143:$I143)),AND($K143&lt;&gt;"",$K143&lt;MAX($H143:$J143))),"Avance semanal decreciente"&amp;" · ","")&amp;IF(AND(ISNUMBER($F143),$F143&lt;FechaRef,N($L143)&lt;1),"Vencida"&amp;" · ","")&amp;IF(AND(ObsObligatoria="Sí",ISNUMBER($F143),$F143&lt;FechaRef,N($L143)&lt;1,$N143=""),"Vencida sin observación"&amp;" · ",""))="","✔ OK","⚠ "&amp;LEFT(IF(AND($S143="Macro",$B143=""),"Macroactividad vacía"&amp;" · ","")&amp;IF(AND($B143&lt;&gt;"",$C143&lt;&gt;""),"Escriba la subactividad en otra fila, debajo de su macroactividad"&amp;" · ","")&amp;IF(AND($S143="Sub",N($R143)=0),"Subactividad sin macroactividad arriba"&amp;" · ","")&amp;IF($D143="","Sin responsable"&amp;" · ","")&amp;IF($E143="","Sin fecha de inicio"&amp;" · ","")&amp;IF($F143="","Sin fecha límite"&amp;" · ","")&amp;IF(OR(AND($E143&lt;&gt;"",NOT(ISNUMBER($E143))),AND($F143&lt;&gt;"",NOT(ISNUMBER($F143)))),"Fecha no válida"&amp;" · ","")&amp;IF(AND(ISNUMBER($E143),ISNUMBER($F143),$E143&gt;$F143),"Inicio posterior a fecha límite"&amp;" · ","")&amp;IF(AND($S143="Macro",$G143=""),"Peso vacío"&amp;" · ","")&amp;IF(AND($S143="Macro",$G143&lt;&gt;"",OR(NOT(ISNUMBER($G143)),$G143&lt;=0,$G143&gt;1)),"Peso fuera de rango"&amp;" · ","")&amp;IF(AND($S143="Sub",$G143&lt;&gt;""),"Las subactividades no llevan peso"&amp;" · ","")&amp;IF(AND($S143="Macro",ABS(SUMIFS($G$5:$G$1000,$P$5:$P$1000,$P143,$S$5:$S$1000,"Macro")-1)&gt;0.0001),"Pesos del mes suman "&amp;TEXT(SUMIFS($G$5:$G$1000,$P$5:$P$1000,$P143,$S$5:$S$1000,"Macro"),"0%")&amp;" · ","")&amp;IF(AND(N($T143)&gt;0,COUNT($H143:$K143)&gt;0),"Con subactividades: deje vacías las semanas (se calculan solas)"&amp;" · ","")&amp;IF((COUNTIF($H143:$K143,"&gt;1")+COUNTIF($H143:$K143,"&lt;0")+COUNTA($H143:$K143)-COUNT($H143:$K143))&gt;0,"Avance fuera de rango 0-100%"&amp;" · ","")&amp;IF(OR(AND($I143&lt;&gt;"",$I143&lt;$H143),AND($J143&lt;&gt;"",$J143&lt;MAX($H143:$I143)),AND($K143&lt;&gt;"",$K143&lt;MAX($H143:$J143))),"Avance semanal decreciente"&amp;" · ","")&amp;IF(AND(ISNUMBER($F143),$F143&lt;FechaRef,N($L143)&lt;1),"Vencida"&amp;" · ","")&amp;IF(AND(ObsObligatoria="Sí",ISNUMBER($F143),$F143&lt;FechaRef,N($L143)&lt;1,$N143=""),"Vencida sin observación"&amp;" · ",""),LEN(IF(AND($S143="Macro",$B143=""),"Macroactividad vacía"&amp;" · ","")&amp;IF(AND($B143&lt;&gt;"",$C143&lt;&gt;""),"Escriba la subactividad en otra fila, debajo de su macroactividad"&amp;" · ","")&amp;IF(AND($S143="Sub",N($R143)=0),"Subactividad sin macroactividad arriba"&amp;" · ","")&amp;IF($D143="","Sin responsable"&amp;" · ","")&amp;IF($E143="","Sin fecha de inicio"&amp;" · ","")&amp;IF($F143="","Sin fecha límite"&amp;" · ","")&amp;IF(OR(AND($E143&lt;&gt;"",NOT(ISNUMBER($E143))),AND($F143&lt;&gt;"",NOT(ISNUMBER($F143)))),"Fecha no válida"&amp;" · ","")&amp;IF(AND(ISNUMBER($E143),ISNUMBER($F143),$E143&gt;$F143),"Inicio posterior a fecha límite"&amp;" · ","")&amp;IF(AND($S143="Macro",$G143=""),"Peso vacío"&amp;" · ","")&amp;IF(AND($S143="Macro",$G143&lt;&gt;"",OR(NOT(ISNUMBER($G143)),$G143&lt;=0,$G143&gt;1)),"Peso fuera de rango"&amp;" · ","")&amp;IF(AND($S143="Sub",$G143&lt;&gt;""),"Las subactividades no llevan peso"&amp;" · ","")&amp;IF(AND($S143="Macro",ABS(SUMIFS($G$5:$G$1000,$P$5:$P$1000,$P143,$S$5:$S$1000,"Macro")-1)&gt;0.0001),"Pesos del mes suman "&amp;TEXT(SUMIFS($G$5:$G$1000,$P$5:$P$1000,$P143,$S$5:$S$1000,"Macro"),"0%")&amp;" · ","")&amp;IF(AND(N($T143)&gt;0,COUNT($H143:$K143)&gt;0),"Con subactividades: deje vacías las semanas (se calculan solas)"&amp;" · ","")&amp;IF((COUNTIF($H143:$K143,"&gt;1")+COUNTIF($H143:$K143,"&lt;0")+COUNTA($H143:$K143)-COUNT($H143:$K143))&gt;0,"Avance fuera de rango 0-100%"&amp;" · ","")&amp;IF(OR(AND($I143&lt;&gt;"",$I143&lt;$H143),AND($J143&lt;&gt;"",$J143&lt;MAX($H143:$I143)),AND($K143&lt;&gt;"",$K143&lt;MAX($H143:$J143))),"Avance semanal decreciente"&amp;" · ","")&amp;IF(AND(ISNUMBER($F143),$F143&lt;FechaRef,N($L143)&lt;1),"Vencida"&amp;" · ","")&amp;IF(AND(ObsObligatoria="Sí",ISNUMBER($F143),$F143&lt;FechaRef,N($L143)&lt;1,$N143=""),"Vencida sin observación"&amp;" · ",""))-3)))</f>
        <v/>
      </c>
      <c r="P143" s="69">
        <f>IF(NOT((COUNTA($B143:$K143)+COUNTA($N143))&gt;0),"",IF(AND($S143="Sub",N($R143)&gt;0),IF(ISNUMBER(INDEX($E$5:$E$1000,$R143-4)),DATE(YEAR(INDEX($E$5:$E$1000,$R143-4)),MONTH(INDEX($E$5:$E$1000,$R143-4)),1),IF(ISNUMBER(INDEX($F$5:$F$1000,$R143-4)),DATE(YEAR(INDEX($F$5:$F$1000,$R143-4)),MONTH(INDEX($F$5:$F$1000,$R143-4)),1),MesCiclo)),IF(ISNUMBER($E143),DATE(YEAR($E143),MONTH($E143),1),IF(ISNUMBER($F143),DATE(YEAR($F143),MONTH($F143),1),MesCiclo))))</f>
        <v/>
      </c>
      <c r="Q143" s="70">
        <f>IF(OR($P143="",$P143&lt;&gt;MesCiclo),"",COUNTIF($P$5:$P143,MesCiclo))</f>
        <v/>
      </c>
      <c r="R143" s="70">
        <f>IF($S143="","",IF($S143="Macro",ROW(),IFERROR(LOOKUP(2,1/($S$5:$S143="Macro"),ROW($S$5:$S143)),0)))</f>
        <v/>
      </c>
      <c r="S143" s="70">
        <f>IF(NOT((COUNTA($B143:$K143)+COUNTA($N143))&gt;0),"",IF($B143&lt;&gt;"","Macro",IF($C143&lt;&gt;"","Sub","Macro")))</f>
        <v/>
      </c>
      <c r="T143" s="70">
        <f>IF($S143="Macro",COUNTIFS($R$5:$R$1000,ROW(),$S$5:$S$1000,"Sub"),"")</f>
        <v/>
      </c>
      <c r="U143" s="70">
        <f>IF($S143="","",IF(ISNUMBER($H143),$H143,0))</f>
        <v/>
      </c>
      <c r="V143" s="70">
        <f>IF($S143="","",IF(ISNUMBER($I143),$I143,$U143))</f>
        <v/>
      </c>
      <c r="W143" s="70">
        <f>IF($S143="","",IF(ISNUMBER($J143),$J143,$V143))</f>
        <v/>
      </c>
      <c r="X143" s="70">
        <f>IF($S143="","",IF(ISNUMBER($K143),$K143,$W143))</f>
        <v/>
      </c>
      <c r="Y143" s="70">
        <f>IF($S143="","",IF(N($T143)&gt;0,AVERAGEIFS($U$5:$U$1000,$R$5:$R$1000,ROW(),$S$5:$S$1000,"Sub"),$U143))</f>
        <v/>
      </c>
      <c r="Z143" s="70">
        <f>IF($S143="","",IF(N($T143)&gt;0,AVERAGEIFS($V$5:$V$1000,$R$5:$R$1000,ROW(),$S$5:$S$1000,"Sub"),$V143))</f>
        <v/>
      </c>
      <c r="AA143" s="70">
        <f>IF($S143="","",IF(N($T143)&gt;0,AVERAGEIFS($W$5:$W$1000,$R$5:$R$1000,ROW(),$S$5:$S$1000,"Sub"),$W143))</f>
        <v/>
      </c>
      <c r="AB143" s="70">
        <f>IF($S143="","",IF(N($T143)&gt;0,AVERAGEIFS($X$5:$X$1000,$R$5:$R$1000,ROW(),$S$5:$S$1000,"Sub"),$X143))</f>
        <v/>
      </c>
    </row>
    <row r="144">
      <c r="A144" s="61">
        <f>IF(NOT((COUNTA($B144:$K144)+COUNTA($N144))&gt;0),"",IF($S144="Macro",COUNTIFS($S$5:$S144,"Macro",$P$5:$P144,$P144),IF(N($R144)=0,"?",COUNTIFS(INDEX($S$5:$S$1000,1):INDEX($S$5:$S$1000,$R144-4),"Macro",INDEX($P$5:$P$1000,1):INDEX($P$5:$P$1000,$R144-4),INDEX($P$5:$P$1000,$R144-4))&amp;"."&amp;COUNTIFS($R$5:$R144,$R144,$S$5:$S144,"Sub"))))</f>
        <v/>
      </c>
      <c r="B144" s="62" t="n"/>
      <c r="C144" s="63" t="n"/>
      <c r="D144" s="62" t="n"/>
      <c r="E144" s="64" t="n"/>
      <c r="F144" s="64" t="n"/>
      <c r="G144" s="65" t="n"/>
      <c r="H144" s="66" t="n"/>
      <c r="I144" s="66" t="n"/>
      <c r="J144" s="66" t="n"/>
      <c r="K144" s="66" t="n"/>
      <c r="L144" s="67">
        <f>IF(NOT((COUNTA($B144:$K144)+COUNTA($N144))&gt;0),"",IF(N($T144)&gt;0,$AB144,IFERROR(LOOKUP(2,1/(H144:K144&lt;&gt;""),H144:K144),0)))</f>
        <v/>
      </c>
      <c r="M144" s="61">
        <f>IF(L144="","",IF(L144&gt;=1,"Completado",IF(L144&gt;0,"En curso","Pendiente")))</f>
        <v/>
      </c>
      <c r="N144" s="62" t="n"/>
      <c r="O144" s="68">
        <f>IF(NOT((COUNTA($B144:$K144)+COUNTA($N144))&gt;0),"",IF((IF(AND($S144="Macro",$B144=""),"Macroactividad vacía"&amp;" · ","")&amp;IF(AND($B144&lt;&gt;"",$C144&lt;&gt;""),"Escriba la subactividad en otra fila, debajo de su macroactividad"&amp;" · ","")&amp;IF(AND($S144="Sub",N($R144)=0),"Subactividad sin macroactividad arriba"&amp;" · ","")&amp;IF($D144="","Sin responsable"&amp;" · ","")&amp;IF($E144="","Sin fecha de inicio"&amp;" · ","")&amp;IF($F144="","Sin fecha límite"&amp;" · ","")&amp;IF(OR(AND($E144&lt;&gt;"",NOT(ISNUMBER($E144))),AND($F144&lt;&gt;"",NOT(ISNUMBER($F144)))),"Fecha no válida"&amp;" · ","")&amp;IF(AND(ISNUMBER($E144),ISNUMBER($F144),$E144&gt;$F144),"Inicio posterior a fecha límite"&amp;" · ","")&amp;IF(AND($S144="Macro",$G144=""),"Peso vacío"&amp;" · ","")&amp;IF(AND($S144="Macro",$G144&lt;&gt;"",OR(NOT(ISNUMBER($G144)),$G144&lt;=0,$G144&gt;1)),"Peso fuera de rango"&amp;" · ","")&amp;IF(AND($S144="Sub",$G144&lt;&gt;""),"Las subactividades no llevan peso"&amp;" · ","")&amp;IF(AND($S144="Macro",ABS(SUMIFS($G$5:$G$1000,$P$5:$P$1000,$P144,$S$5:$S$1000,"Macro")-1)&gt;0.0001),"Pesos del mes suman "&amp;TEXT(SUMIFS($G$5:$G$1000,$P$5:$P$1000,$P144,$S$5:$S$1000,"Macro"),"0%")&amp;" · ","")&amp;IF(AND(N($T144)&gt;0,COUNT($H144:$K144)&gt;0),"Con subactividades: deje vacías las semanas (se calculan solas)"&amp;" · ","")&amp;IF((COUNTIF($H144:$K144,"&gt;1")+COUNTIF($H144:$K144,"&lt;0")+COUNTA($H144:$K144)-COUNT($H144:$K144))&gt;0,"Avance fuera de rango 0-100%"&amp;" · ","")&amp;IF(OR(AND($I144&lt;&gt;"",$I144&lt;$H144),AND($J144&lt;&gt;"",$J144&lt;MAX($H144:$I144)),AND($K144&lt;&gt;"",$K144&lt;MAX($H144:$J144))),"Avance semanal decreciente"&amp;" · ","")&amp;IF(AND(ISNUMBER($F144),$F144&lt;FechaRef,N($L144)&lt;1),"Vencida"&amp;" · ","")&amp;IF(AND(ObsObligatoria="Sí",ISNUMBER($F144),$F144&lt;FechaRef,N($L144)&lt;1,$N144=""),"Vencida sin observación"&amp;" · ",""))="","✔ OK","⚠ "&amp;LEFT(IF(AND($S144="Macro",$B144=""),"Macroactividad vacía"&amp;" · ","")&amp;IF(AND($B144&lt;&gt;"",$C144&lt;&gt;""),"Escriba la subactividad en otra fila, debajo de su macroactividad"&amp;" · ","")&amp;IF(AND($S144="Sub",N($R144)=0),"Subactividad sin macroactividad arriba"&amp;" · ","")&amp;IF($D144="","Sin responsable"&amp;" · ","")&amp;IF($E144="","Sin fecha de inicio"&amp;" · ","")&amp;IF($F144="","Sin fecha límite"&amp;" · ","")&amp;IF(OR(AND($E144&lt;&gt;"",NOT(ISNUMBER($E144))),AND($F144&lt;&gt;"",NOT(ISNUMBER($F144)))),"Fecha no válida"&amp;" · ","")&amp;IF(AND(ISNUMBER($E144),ISNUMBER($F144),$E144&gt;$F144),"Inicio posterior a fecha límite"&amp;" · ","")&amp;IF(AND($S144="Macro",$G144=""),"Peso vacío"&amp;" · ","")&amp;IF(AND($S144="Macro",$G144&lt;&gt;"",OR(NOT(ISNUMBER($G144)),$G144&lt;=0,$G144&gt;1)),"Peso fuera de rango"&amp;" · ","")&amp;IF(AND($S144="Sub",$G144&lt;&gt;""),"Las subactividades no llevan peso"&amp;" · ","")&amp;IF(AND($S144="Macro",ABS(SUMIFS($G$5:$G$1000,$P$5:$P$1000,$P144,$S$5:$S$1000,"Macro")-1)&gt;0.0001),"Pesos del mes suman "&amp;TEXT(SUMIFS($G$5:$G$1000,$P$5:$P$1000,$P144,$S$5:$S$1000,"Macro"),"0%")&amp;" · ","")&amp;IF(AND(N($T144)&gt;0,COUNT($H144:$K144)&gt;0),"Con subactividades: deje vacías las semanas (se calculan solas)"&amp;" · ","")&amp;IF((COUNTIF($H144:$K144,"&gt;1")+COUNTIF($H144:$K144,"&lt;0")+COUNTA($H144:$K144)-COUNT($H144:$K144))&gt;0,"Avance fuera de rango 0-100%"&amp;" · ","")&amp;IF(OR(AND($I144&lt;&gt;"",$I144&lt;$H144),AND($J144&lt;&gt;"",$J144&lt;MAX($H144:$I144)),AND($K144&lt;&gt;"",$K144&lt;MAX($H144:$J144))),"Avance semanal decreciente"&amp;" · ","")&amp;IF(AND(ISNUMBER($F144),$F144&lt;FechaRef,N($L144)&lt;1),"Vencida"&amp;" · ","")&amp;IF(AND(ObsObligatoria="Sí",ISNUMBER($F144),$F144&lt;FechaRef,N($L144)&lt;1,$N144=""),"Vencida sin observación"&amp;" · ",""),LEN(IF(AND($S144="Macro",$B144=""),"Macroactividad vacía"&amp;" · ","")&amp;IF(AND($B144&lt;&gt;"",$C144&lt;&gt;""),"Escriba la subactividad en otra fila, debajo de su macroactividad"&amp;" · ","")&amp;IF(AND($S144="Sub",N($R144)=0),"Subactividad sin macroactividad arriba"&amp;" · ","")&amp;IF($D144="","Sin responsable"&amp;" · ","")&amp;IF($E144="","Sin fecha de inicio"&amp;" · ","")&amp;IF($F144="","Sin fecha límite"&amp;" · ","")&amp;IF(OR(AND($E144&lt;&gt;"",NOT(ISNUMBER($E144))),AND($F144&lt;&gt;"",NOT(ISNUMBER($F144)))),"Fecha no válida"&amp;" · ","")&amp;IF(AND(ISNUMBER($E144),ISNUMBER($F144),$E144&gt;$F144),"Inicio posterior a fecha límite"&amp;" · ","")&amp;IF(AND($S144="Macro",$G144=""),"Peso vacío"&amp;" · ","")&amp;IF(AND($S144="Macro",$G144&lt;&gt;"",OR(NOT(ISNUMBER($G144)),$G144&lt;=0,$G144&gt;1)),"Peso fuera de rango"&amp;" · ","")&amp;IF(AND($S144="Sub",$G144&lt;&gt;""),"Las subactividades no llevan peso"&amp;" · ","")&amp;IF(AND($S144="Macro",ABS(SUMIFS($G$5:$G$1000,$P$5:$P$1000,$P144,$S$5:$S$1000,"Macro")-1)&gt;0.0001),"Pesos del mes suman "&amp;TEXT(SUMIFS($G$5:$G$1000,$P$5:$P$1000,$P144,$S$5:$S$1000,"Macro"),"0%")&amp;" · ","")&amp;IF(AND(N($T144)&gt;0,COUNT($H144:$K144)&gt;0),"Con subactividades: deje vacías las semanas (se calculan solas)"&amp;" · ","")&amp;IF((COUNTIF($H144:$K144,"&gt;1")+COUNTIF($H144:$K144,"&lt;0")+COUNTA($H144:$K144)-COUNT($H144:$K144))&gt;0,"Avance fuera de rango 0-100%"&amp;" · ","")&amp;IF(OR(AND($I144&lt;&gt;"",$I144&lt;$H144),AND($J144&lt;&gt;"",$J144&lt;MAX($H144:$I144)),AND($K144&lt;&gt;"",$K144&lt;MAX($H144:$J144))),"Avance semanal decreciente"&amp;" · ","")&amp;IF(AND(ISNUMBER($F144),$F144&lt;FechaRef,N($L144)&lt;1),"Vencida"&amp;" · ","")&amp;IF(AND(ObsObligatoria="Sí",ISNUMBER($F144),$F144&lt;FechaRef,N($L144)&lt;1,$N144=""),"Vencida sin observación"&amp;" · ",""))-3)))</f>
        <v/>
      </c>
      <c r="P144" s="69">
        <f>IF(NOT((COUNTA($B144:$K144)+COUNTA($N144))&gt;0),"",IF(AND($S144="Sub",N($R144)&gt;0),IF(ISNUMBER(INDEX($E$5:$E$1000,$R144-4)),DATE(YEAR(INDEX($E$5:$E$1000,$R144-4)),MONTH(INDEX($E$5:$E$1000,$R144-4)),1),IF(ISNUMBER(INDEX($F$5:$F$1000,$R144-4)),DATE(YEAR(INDEX($F$5:$F$1000,$R144-4)),MONTH(INDEX($F$5:$F$1000,$R144-4)),1),MesCiclo)),IF(ISNUMBER($E144),DATE(YEAR($E144),MONTH($E144),1),IF(ISNUMBER($F144),DATE(YEAR($F144),MONTH($F144),1),MesCiclo))))</f>
        <v/>
      </c>
      <c r="Q144" s="70">
        <f>IF(OR($P144="",$P144&lt;&gt;MesCiclo),"",COUNTIF($P$5:$P144,MesCiclo))</f>
        <v/>
      </c>
      <c r="R144" s="70">
        <f>IF($S144="","",IF($S144="Macro",ROW(),IFERROR(LOOKUP(2,1/($S$5:$S144="Macro"),ROW($S$5:$S144)),0)))</f>
        <v/>
      </c>
      <c r="S144" s="70">
        <f>IF(NOT((COUNTA($B144:$K144)+COUNTA($N144))&gt;0),"",IF($B144&lt;&gt;"","Macro",IF($C144&lt;&gt;"","Sub","Macro")))</f>
        <v/>
      </c>
      <c r="T144" s="70">
        <f>IF($S144="Macro",COUNTIFS($R$5:$R$1000,ROW(),$S$5:$S$1000,"Sub"),"")</f>
        <v/>
      </c>
      <c r="U144" s="70">
        <f>IF($S144="","",IF(ISNUMBER($H144),$H144,0))</f>
        <v/>
      </c>
      <c r="V144" s="70">
        <f>IF($S144="","",IF(ISNUMBER($I144),$I144,$U144))</f>
        <v/>
      </c>
      <c r="W144" s="70">
        <f>IF($S144="","",IF(ISNUMBER($J144),$J144,$V144))</f>
        <v/>
      </c>
      <c r="X144" s="70">
        <f>IF($S144="","",IF(ISNUMBER($K144),$K144,$W144))</f>
        <v/>
      </c>
      <c r="Y144" s="70">
        <f>IF($S144="","",IF(N($T144)&gt;0,AVERAGEIFS($U$5:$U$1000,$R$5:$R$1000,ROW(),$S$5:$S$1000,"Sub"),$U144))</f>
        <v/>
      </c>
      <c r="Z144" s="70">
        <f>IF($S144="","",IF(N($T144)&gt;0,AVERAGEIFS($V$5:$V$1000,$R$5:$R$1000,ROW(),$S$5:$S$1000,"Sub"),$V144))</f>
        <v/>
      </c>
      <c r="AA144" s="70">
        <f>IF($S144="","",IF(N($T144)&gt;0,AVERAGEIFS($W$5:$W$1000,$R$5:$R$1000,ROW(),$S$5:$S$1000,"Sub"),$W144))</f>
        <v/>
      </c>
      <c r="AB144" s="70">
        <f>IF($S144="","",IF(N($T144)&gt;0,AVERAGEIFS($X$5:$X$1000,$R$5:$R$1000,ROW(),$S$5:$S$1000,"Sub"),$X144))</f>
        <v/>
      </c>
    </row>
    <row r="145">
      <c r="A145" s="61">
        <f>IF(NOT((COUNTA($B145:$K145)+COUNTA($N145))&gt;0),"",IF($S145="Macro",COUNTIFS($S$5:$S145,"Macro",$P$5:$P145,$P145),IF(N($R145)=0,"?",COUNTIFS(INDEX($S$5:$S$1000,1):INDEX($S$5:$S$1000,$R145-4),"Macro",INDEX($P$5:$P$1000,1):INDEX($P$5:$P$1000,$R145-4),INDEX($P$5:$P$1000,$R145-4))&amp;"."&amp;COUNTIFS($R$5:$R145,$R145,$S$5:$S145,"Sub"))))</f>
        <v/>
      </c>
      <c r="B145" s="62" t="n"/>
      <c r="C145" s="63" t="n"/>
      <c r="D145" s="62" t="n"/>
      <c r="E145" s="64" t="n"/>
      <c r="F145" s="64" t="n"/>
      <c r="G145" s="65" t="n"/>
      <c r="H145" s="66" t="n"/>
      <c r="I145" s="66" t="n"/>
      <c r="J145" s="66" t="n"/>
      <c r="K145" s="66" t="n"/>
      <c r="L145" s="67">
        <f>IF(NOT((COUNTA($B145:$K145)+COUNTA($N145))&gt;0),"",IF(N($T145)&gt;0,$AB145,IFERROR(LOOKUP(2,1/(H145:K145&lt;&gt;""),H145:K145),0)))</f>
        <v/>
      </c>
      <c r="M145" s="61">
        <f>IF(L145="","",IF(L145&gt;=1,"Completado",IF(L145&gt;0,"En curso","Pendiente")))</f>
        <v/>
      </c>
      <c r="N145" s="62" t="n"/>
      <c r="O145" s="68">
        <f>IF(NOT((COUNTA($B145:$K145)+COUNTA($N145))&gt;0),"",IF((IF(AND($S145="Macro",$B145=""),"Macroactividad vacía"&amp;" · ","")&amp;IF(AND($B145&lt;&gt;"",$C145&lt;&gt;""),"Escriba la subactividad en otra fila, debajo de su macroactividad"&amp;" · ","")&amp;IF(AND($S145="Sub",N($R145)=0),"Subactividad sin macroactividad arriba"&amp;" · ","")&amp;IF($D145="","Sin responsable"&amp;" · ","")&amp;IF($E145="","Sin fecha de inicio"&amp;" · ","")&amp;IF($F145="","Sin fecha límite"&amp;" · ","")&amp;IF(OR(AND($E145&lt;&gt;"",NOT(ISNUMBER($E145))),AND($F145&lt;&gt;"",NOT(ISNUMBER($F145)))),"Fecha no válida"&amp;" · ","")&amp;IF(AND(ISNUMBER($E145),ISNUMBER($F145),$E145&gt;$F145),"Inicio posterior a fecha límite"&amp;" · ","")&amp;IF(AND($S145="Macro",$G145=""),"Peso vacío"&amp;" · ","")&amp;IF(AND($S145="Macro",$G145&lt;&gt;"",OR(NOT(ISNUMBER($G145)),$G145&lt;=0,$G145&gt;1)),"Peso fuera de rango"&amp;" · ","")&amp;IF(AND($S145="Sub",$G145&lt;&gt;""),"Las subactividades no llevan peso"&amp;" · ","")&amp;IF(AND($S145="Macro",ABS(SUMIFS($G$5:$G$1000,$P$5:$P$1000,$P145,$S$5:$S$1000,"Macro")-1)&gt;0.0001),"Pesos del mes suman "&amp;TEXT(SUMIFS($G$5:$G$1000,$P$5:$P$1000,$P145,$S$5:$S$1000,"Macro"),"0%")&amp;" · ","")&amp;IF(AND(N($T145)&gt;0,COUNT($H145:$K145)&gt;0),"Con subactividades: deje vacías las semanas (se calculan solas)"&amp;" · ","")&amp;IF((COUNTIF($H145:$K145,"&gt;1")+COUNTIF($H145:$K145,"&lt;0")+COUNTA($H145:$K145)-COUNT($H145:$K145))&gt;0,"Avance fuera de rango 0-100%"&amp;" · ","")&amp;IF(OR(AND($I145&lt;&gt;"",$I145&lt;$H145),AND($J145&lt;&gt;"",$J145&lt;MAX($H145:$I145)),AND($K145&lt;&gt;"",$K145&lt;MAX($H145:$J145))),"Avance semanal decreciente"&amp;" · ","")&amp;IF(AND(ISNUMBER($F145),$F145&lt;FechaRef,N($L145)&lt;1),"Vencida"&amp;" · ","")&amp;IF(AND(ObsObligatoria="Sí",ISNUMBER($F145),$F145&lt;FechaRef,N($L145)&lt;1,$N145=""),"Vencida sin observación"&amp;" · ",""))="","✔ OK","⚠ "&amp;LEFT(IF(AND($S145="Macro",$B145=""),"Macroactividad vacía"&amp;" · ","")&amp;IF(AND($B145&lt;&gt;"",$C145&lt;&gt;""),"Escriba la subactividad en otra fila, debajo de su macroactividad"&amp;" · ","")&amp;IF(AND($S145="Sub",N($R145)=0),"Subactividad sin macroactividad arriba"&amp;" · ","")&amp;IF($D145="","Sin responsable"&amp;" · ","")&amp;IF($E145="","Sin fecha de inicio"&amp;" · ","")&amp;IF($F145="","Sin fecha límite"&amp;" · ","")&amp;IF(OR(AND($E145&lt;&gt;"",NOT(ISNUMBER($E145))),AND($F145&lt;&gt;"",NOT(ISNUMBER($F145)))),"Fecha no válida"&amp;" · ","")&amp;IF(AND(ISNUMBER($E145),ISNUMBER($F145),$E145&gt;$F145),"Inicio posterior a fecha límite"&amp;" · ","")&amp;IF(AND($S145="Macro",$G145=""),"Peso vacío"&amp;" · ","")&amp;IF(AND($S145="Macro",$G145&lt;&gt;"",OR(NOT(ISNUMBER($G145)),$G145&lt;=0,$G145&gt;1)),"Peso fuera de rango"&amp;" · ","")&amp;IF(AND($S145="Sub",$G145&lt;&gt;""),"Las subactividades no llevan peso"&amp;" · ","")&amp;IF(AND($S145="Macro",ABS(SUMIFS($G$5:$G$1000,$P$5:$P$1000,$P145,$S$5:$S$1000,"Macro")-1)&gt;0.0001),"Pesos del mes suman "&amp;TEXT(SUMIFS($G$5:$G$1000,$P$5:$P$1000,$P145,$S$5:$S$1000,"Macro"),"0%")&amp;" · ","")&amp;IF(AND(N($T145)&gt;0,COUNT($H145:$K145)&gt;0),"Con subactividades: deje vacías las semanas (se calculan solas)"&amp;" · ","")&amp;IF((COUNTIF($H145:$K145,"&gt;1")+COUNTIF($H145:$K145,"&lt;0")+COUNTA($H145:$K145)-COUNT($H145:$K145))&gt;0,"Avance fuera de rango 0-100%"&amp;" · ","")&amp;IF(OR(AND($I145&lt;&gt;"",$I145&lt;$H145),AND($J145&lt;&gt;"",$J145&lt;MAX($H145:$I145)),AND($K145&lt;&gt;"",$K145&lt;MAX($H145:$J145))),"Avance semanal decreciente"&amp;" · ","")&amp;IF(AND(ISNUMBER($F145),$F145&lt;FechaRef,N($L145)&lt;1),"Vencida"&amp;" · ","")&amp;IF(AND(ObsObligatoria="Sí",ISNUMBER($F145),$F145&lt;FechaRef,N($L145)&lt;1,$N145=""),"Vencida sin observación"&amp;" · ",""),LEN(IF(AND($S145="Macro",$B145=""),"Macroactividad vacía"&amp;" · ","")&amp;IF(AND($B145&lt;&gt;"",$C145&lt;&gt;""),"Escriba la subactividad en otra fila, debajo de su macroactividad"&amp;" · ","")&amp;IF(AND($S145="Sub",N($R145)=0),"Subactividad sin macroactividad arriba"&amp;" · ","")&amp;IF($D145="","Sin responsable"&amp;" · ","")&amp;IF($E145="","Sin fecha de inicio"&amp;" · ","")&amp;IF($F145="","Sin fecha límite"&amp;" · ","")&amp;IF(OR(AND($E145&lt;&gt;"",NOT(ISNUMBER($E145))),AND($F145&lt;&gt;"",NOT(ISNUMBER($F145)))),"Fecha no válida"&amp;" · ","")&amp;IF(AND(ISNUMBER($E145),ISNUMBER($F145),$E145&gt;$F145),"Inicio posterior a fecha límite"&amp;" · ","")&amp;IF(AND($S145="Macro",$G145=""),"Peso vacío"&amp;" · ","")&amp;IF(AND($S145="Macro",$G145&lt;&gt;"",OR(NOT(ISNUMBER($G145)),$G145&lt;=0,$G145&gt;1)),"Peso fuera de rango"&amp;" · ","")&amp;IF(AND($S145="Sub",$G145&lt;&gt;""),"Las subactividades no llevan peso"&amp;" · ","")&amp;IF(AND($S145="Macro",ABS(SUMIFS($G$5:$G$1000,$P$5:$P$1000,$P145,$S$5:$S$1000,"Macro")-1)&gt;0.0001),"Pesos del mes suman "&amp;TEXT(SUMIFS($G$5:$G$1000,$P$5:$P$1000,$P145,$S$5:$S$1000,"Macro"),"0%")&amp;" · ","")&amp;IF(AND(N($T145)&gt;0,COUNT($H145:$K145)&gt;0),"Con subactividades: deje vacías las semanas (se calculan solas)"&amp;" · ","")&amp;IF((COUNTIF($H145:$K145,"&gt;1")+COUNTIF($H145:$K145,"&lt;0")+COUNTA($H145:$K145)-COUNT($H145:$K145))&gt;0,"Avance fuera de rango 0-100%"&amp;" · ","")&amp;IF(OR(AND($I145&lt;&gt;"",$I145&lt;$H145),AND($J145&lt;&gt;"",$J145&lt;MAX($H145:$I145)),AND($K145&lt;&gt;"",$K145&lt;MAX($H145:$J145))),"Avance semanal decreciente"&amp;" · ","")&amp;IF(AND(ISNUMBER($F145),$F145&lt;FechaRef,N($L145)&lt;1),"Vencida"&amp;" · ","")&amp;IF(AND(ObsObligatoria="Sí",ISNUMBER($F145),$F145&lt;FechaRef,N($L145)&lt;1,$N145=""),"Vencida sin observación"&amp;" · ",""))-3)))</f>
        <v/>
      </c>
      <c r="P145" s="69">
        <f>IF(NOT((COUNTA($B145:$K145)+COUNTA($N145))&gt;0),"",IF(AND($S145="Sub",N($R145)&gt;0),IF(ISNUMBER(INDEX($E$5:$E$1000,$R145-4)),DATE(YEAR(INDEX($E$5:$E$1000,$R145-4)),MONTH(INDEX($E$5:$E$1000,$R145-4)),1),IF(ISNUMBER(INDEX($F$5:$F$1000,$R145-4)),DATE(YEAR(INDEX($F$5:$F$1000,$R145-4)),MONTH(INDEX($F$5:$F$1000,$R145-4)),1),MesCiclo)),IF(ISNUMBER($E145),DATE(YEAR($E145),MONTH($E145),1),IF(ISNUMBER($F145),DATE(YEAR($F145),MONTH($F145),1),MesCiclo))))</f>
        <v/>
      </c>
      <c r="Q145" s="70">
        <f>IF(OR($P145="",$P145&lt;&gt;MesCiclo),"",COUNTIF($P$5:$P145,MesCiclo))</f>
        <v/>
      </c>
      <c r="R145" s="70">
        <f>IF($S145="","",IF($S145="Macro",ROW(),IFERROR(LOOKUP(2,1/($S$5:$S145="Macro"),ROW($S$5:$S145)),0)))</f>
        <v/>
      </c>
      <c r="S145" s="70">
        <f>IF(NOT((COUNTA($B145:$K145)+COUNTA($N145))&gt;0),"",IF($B145&lt;&gt;"","Macro",IF($C145&lt;&gt;"","Sub","Macro")))</f>
        <v/>
      </c>
      <c r="T145" s="70">
        <f>IF($S145="Macro",COUNTIFS($R$5:$R$1000,ROW(),$S$5:$S$1000,"Sub"),"")</f>
        <v/>
      </c>
      <c r="U145" s="70">
        <f>IF($S145="","",IF(ISNUMBER($H145),$H145,0))</f>
        <v/>
      </c>
      <c r="V145" s="70">
        <f>IF($S145="","",IF(ISNUMBER($I145),$I145,$U145))</f>
        <v/>
      </c>
      <c r="W145" s="70">
        <f>IF($S145="","",IF(ISNUMBER($J145),$J145,$V145))</f>
        <v/>
      </c>
      <c r="X145" s="70">
        <f>IF($S145="","",IF(ISNUMBER($K145),$K145,$W145))</f>
        <v/>
      </c>
      <c r="Y145" s="70">
        <f>IF($S145="","",IF(N($T145)&gt;0,AVERAGEIFS($U$5:$U$1000,$R$5:$R$1000,ROW(),$S$5:$S$1000,"Sub"),$U145))</f>
        <v/>
      </c>
      <c r="Z145" s="70">
        <f>IF($S145="","",IF(N($T145)&gt;0,AVERAGEIFS($V$5:$V$1000,$R$5:$R$1000,ROW(),$S$5:$S$1000,"Sub"),$V145))</f>
        <v/>
      </c>
      <c r="AA145" s="70">
        <f>IF($S145="","",IF(N($T145)&gt;0,AVERAGEIFS($W$5:$W$1000,$R$5:$R$1000,ROW(),$S$5:$S$1000,"Sub"),$W145))</f>
        <v/>
      </c>
      <c r="AB145" s="70">
        <f>IF($S145="","",IF(N($T145)&gt;0,AVERAGEIFS($X$5:$X$1000,$R$5:$R$1000,ROW(),$S$5:$S$1000,"Sub"),$X145))</f>
        <v/>
      </c>
    </row>
    <row r="146">
      <c r="A146" s="61">
        <f>IF(NOT((COUNTA($B146:$K146)+COUNTA($N146))&gt;0),"",IF($S146="Macro",COUNTIFS($S$5:$S146,"Macro",$P$5:$P146,$P146),IF(N($R146)=0,"?",COUNTIFS(INDEX($S$5:$S$1000,1):INDEX($S$5:$S$1000,$R146-4),"Macro",INDEX($P$5:$P$1000,1):INDEX($P$5:$P$1000,$R146-4),INDEX($P$5:$P$1000,$R146-4))&amp;"."&amp;COUNTIFS($R$5:$R146,$R146,$S$5:$S146,"Sub"))))</f>
        <v/>
      </c>
      <c r="B146" s="62" t="n"/>
      <c r="C146" s="63" t="n"/>
      <c r="D146" s="62" t="n"/>
      <c r="E146" s="64" t="n"/>
      <c r="F146" s="64" t="n"/>
      <c r="G146" s="65" t="n"/>
      <c r="H146" s="66" t="n"/>
      <c r="I146" s="66" t="n"/>
      <c r="J146" s="66" t="n"/>
      <c r="K146" s="66" t="n"/>
      <c r="L146" s="67">
        <f>IF(NOT((COUNTA($B146:$K146)+COUNTA($N146))&gt;0),"",IF(N($T146)&gt;0,$AB146,IFERROR(LOOKUP(2,1/(H146:K146&lt;&gt;""),H146:K146),0)))</f>
        <v/>
      </c>
      <c r="M146" s="61">
        <f>IF(L146="","",IF(L146&gt;=1,"Completado",IF(L146&gt;0,"En curso","Pendiente")))</f>
        <v/>
      </c>
      <c r="N146" s="62" t="n"/>
      <c r="O146" s="68">
        <f>IF(NOT((COUNTA($B146:$K146)+COUNTA($N146))&gt;0),"",IF((IF(AND($S146="Macro",$B146=""),"Macroactividad vacía"&amp;" · ","")&amp;IF(AND($B146&lt;&gt;"",$C146&lt;&gt;""),"Escriba la subactividad en otra fila, debajo de su macroactividad"&amp;" · ","")&amp;IF(AND($S146="Sub",N($R146)=0),"Subactividad sin macroactividad arriba"&amp;" · ","")&amp;IF($D146="","Sin responsable"&amp;" · ","")&amp;IF($E146="","Sin fecha de inicio"&amp;" · ","")&amp;IF($F146="","Sin fecha límite"&amp;" · ","")&amp;IF(OR(AND($E146&lt;&gt;"",NOT(ISNUMBER($E146))),AND($F146&lt;&gt;"",NOT(ISNUMBER($F146)))),"Fecha no válida"&amp;" · ","")&amp;IF(AND(ISNUMBER($E146),ISNUMBER($F146),$E146&gt;$F146),"Inicio posterior a fecha límite"&amp;" · ","")&amp;IF(AND($S146="Macro",$G146=""),"Peso vacío"&amp;" · ","")&amp;IF(AND($S146="Macro",$G146&lt;&gt;"",OR(NOT(ISNUMBER($G146)),$G146&lt;=0,$G146&gt;1)),"Peso fuera de rango"&amp;" · ","")&amp;IF(AND($S146="Sub",$G146&lt;&gt;""),"Las subactividades no llevan peso"&amp;" · ","")&amp;IF(AND($S146="Macro",ABS(SUMIFS($G$5:$G$1000,$P$5:$P$1000,$P146,$S$5:$S$1000,"Macro")-1)&gt;0.0001),"Pesos del mes suman "&amp;TEXT(SUMIFS($G$5:$G$1000,$P$5:$P$1000,$P146,$S$5:$S$1000,"Macro"),"0%")&amp;" · ","")&amp;IF(AND(N($T146)&gt;0,COUNT($H146:$K146)&gt;0),"Con subactividades: deje vacías las semanas (se calculan solas)"&amp;" · ","")&amp;IF((COUNTIF($H146:$K146,"&gt;1")+COUNTIF($H146:$K146,"&lt;0")+COUNTA($H146:$K146)-COUNT($H146:$K146))&gt;0,"Avance fuera de rango 0-100%"&amp;" · ","")&amp;IF(OR(AND($I146&lt;&gt;"",$I146&lt;$H146),AND($J146&lt;&gt;"",$J146&lt;MAX($H146:$I146)),AND($K146&lt;&gt;"",$K146&lt;MAX($H146:$J146))),"Avance semanal decreciente"&amp;" · ","")&amp;IF(AND(ISNUMBER($F146),$F146&lt;FechaRef,N($L146)&lt;1),"Vencida"&amp;" · ","")&amp;IF(AND(ObsObligatoria="Sí",ISNUMBER($F146),$F146&lt;FechaRef,N($L146)&lt;1,$N146=""),"Vencida sin observación"&amp;" · ",""))="","✔ OK","⚠ "&amp;LEFT(IF(AND($S146="Macro",$B146=""),"Macroactividad vacía"&amp;" · ","")&amp;IF(AND($B146&lt;&gt;"",$C146&lt;&gt;""),"Escriba la subactividad en otra fila, debajo de su macroactividad"&amp;" · ","")&amp;IF(AND($S146="Sub",N($R146)=0),"Subactividad sin macroactividad arriba"&amp;" · ","")&amp;IF($D146="","Sin responsable"&amp;" · ","")&amp;IF($E146="","Sin fecha de inicio"&amp;" · ","")&amp;IF($F146="","Sin fecha límite"&amp;" · ","")&amp;IF(OR(AND($E146&lt;&gt;"",NOT(ISNUMBER($E146))),AND($F146&lt;&gt;"",NOT(ISNUMBER($F146)))),"Fecha no válida"&amp;" · ","")&amp;IF(AND(ISNUMBER($E146),ISNUMBER($F146),$E146&gt;$F146),"Inicio posterior a fecha límite"&amp;" · ","")&amp;IF(AND($S146="Macro",$G146=""),"Peso vacío"&amp;" · ","")&amp;IF(AND($S146="Macro",$G146&lt;&gt;"",OR(NOT(ISNUMBER($G146)),$G146&lt;=0,$G146&gt;1)),"Peso fuera de rango"&amp;" · ","")&amp;IF(AND($S146="Sub",$G146&lt;&gt;""),"Las subactividades no llevan peso"&amp;" · ","")&amp;IF(AND($S146="Macro",ABS(SUMIFS($G$5:$G$1000,$P$5:$P$1000,$P146,$S$5:$S$1000,"Macro")-1)&gt;0.0001),"Pesos del mes suman "&amp;TEXT(SUMIFS($G$5:$G$1000,$P$5:$P$1000,$P146,$S$5:$S$1000,"Macro"),"0%")&amp;" · ","")&amp;IF(AND(N($T146)&gt;0,COUNT($H146:$K146)&gt;0),"Con subactividades: deje vacías las semanas (se calculan solas)"&amp;" · ","")&amp;IF((COUNTIF($H146:$K146,"&gt;1")+COUNTIF($H146:$K146,"&lt;0")+COUNTA($H146:$K146)-COUNT($H146:$K146))&gt;0,"Avance fuera de rango 0-100%"&amp;" · ","")&amp;IF(OR(AND($I146&lt;&gt;"",$I146&lt;$H146),AND($J146&lt;&gt;"",$J146&lt;MAX($H146:$I146)),AND($K146&lt;&gt;"",$K146&lt;MAX($H146:$J146))),"Avance semanal decreciente"&amp;" · ","")&amp;IF(AND(ISNUMBER($F146),$F146&lt;FechaRef,N($L146)&lt;1),"Vencida"&amp;" · ","")&amp;IF(AND(ObsObligatoria="Sí",ISNUMBER($F146),$F146&lt;FechaRef,N($L146)&lt;1,$N146=""),"Vencida sin observación"&amp;" · ",""),LEN(IF(AND($S146="Macro",$B146=""),"Macroactividad vacía"&amp;" · ","")&amp;IF(AND($B146&lt;&gt;"",$C146&lt;&gt;""),"Escriba la subactividad en otra fila, debajo de su macroactividad"&amp;" · ","")&amp;IF(AND($S146="Sub",N($R146)=0),"Subactividad sin macroactividad arriba"&amp;" · ","")&amp;IF($D146="","Sin responsable"&amp;" · ","")&amp;IF($E146="","Sin fecha de inicio"&amp;" · ","")&amp;IF($F146="","Sin fecha límite"&amp;" · ","")&amp;IF(OR(AND($E146&lt;&gt;"",NOT(ISNUMBER($E146))),AND($F146&lt;&gt;"",NOT(ISNUMBER($F146)))),"Fecha no válida"&amp;" · ","")&amp;IF(AND(ISNUMBER($E146),ISNUMBER($F146),$E146&gt;$F146),"Inicio posterior a fecha límite"&amp;" · ","")&amp;IF(AND($S146="Macro",$G146=""),"Peso vacío"&amp;" · ","")&amp;IF(AND($S146="Macro",$G146&lt;&gt;"",OR(NOT(ISNUMBER($G146)),$G146&lt;=0,$G146&gt;1)),"Peso fuera de rango"&amp;" · ","")&amp;IF(AND($S146="Sub",$G146&lt;&gt;""),"Las subactividades no llevan peso"&amp;" · ","")&amp;IF(AND($S146="Macro",ABS(SUMIFS($G$5:$G$1000,$P$5:$P$1000,$P146,$S$5:$S$1000,"Macro")-1)&gt;0.0001),"Pesos del mes suman "&amp;TEXT(SUMIFS($G$5:$G$1000,$P$5:$P$1000,$P146,$S$5:$S$1000,"Macro"),"0%")&amp;" · ","")&amp;IF(AND(N($T146)&gt;0,COUNT($H146:$K146)&gt;0),"Con subactividades: deje vacías las semanas (se calculan solas)"&amp;" · ","")&amp;IF((COUNTIF($H146:$K146,"&gt;1")+COUNTIF($H146:$K146,"&lt;0")+COUNTA($H146:$K146)-COUNT($H146:$K146))&gt;0,"Avance fuera de rango 0-100%"&amp;" · ","")&amp;IF(OR(AND($I146&lt;&gt;"",$I146&lt;$H146),AND($J146&lt;&gt;"",$J146&lt;MAX($H146:$I146)),AND($K146&lt;&gt;"",$K146&lt;MAX($H146:$J146))),"Avance semanal decreciente"&amp;" · ","")&amp;IF(AND(ISNUMBER($F146),$F146&lt;FechaRef,N($L146)&lt;1),"Vencida"&amp;" · ","")&amp;IF(AND(ObsObligatoria="Sí",ISNUMBER($F146),$F146&lt;FechaRef,N($L146)&lt;1,$N146=""),"Vencida sin observación"&amp;" · ",""))-3)))</f>
        <v/>
      </c>
      <c r="P146" s="69">
        <f>IF(NOT((COUNTA($B146:$K146)+COUNTA($N146))&gt;0),"",IF(AND($S146="Sub",N($R146)&gt;0),IF(ISNUMBER(INDEX($E$5:$E$1000,$R146-4)),DATE(YEAR(INDEX($E$5:$E$1000,$R146-4)),MONTH(INDEX($E$5:$E$1000,$R146-4)),1),IF(ISNUMBER(INDEX($F$5:$F$1000,$R146-4)),DATE(YEAR(INDEX($F$5:$F$1000,$R146-4)),MONTH(INDEX($F$5:$F$1000,$R146-4)),1),MesCiclo)),IF(ISNUMBER($E146),DATE(YEAR($E146),MONTH($E146),1),IF(ISNUMBER($F146),DATE(YEAR($F146),MONTH($F146),1),MesCiclo))))</f>
        <v/>
      </c>
      <c r="Q146" s="70">
        <f>IF(OR($P146="",$P146&lt;&gt;MesCiclo),"",COUNTIF($P$5:$P146,MesCiclo))</f>
        <v/>
      </c>
      <c r="R146" s="70">
        <f>IF($S146="","",IF($S146="Macro",ROW(),IFERROR(LOOKUP(2,1/($S$5:$S146="Macro"),ROW($S$5:$S146)),0)))</f>
        <v/>
      </c>
      <c r="S146" s="70">
        <f>IF(NOT((COUNTA($B146:$K146)+COUNTA($N146))&gt;0),"",IF($B146&lt;&gt;"","Macro",IF($C146&lt;&gt;"","Sub","Macro")))</f>
        <v/>
      </c>
      <c r="T146" s="70">
        <f>IF($S146="Macro",COUNTIFS($R$5:$R$1000,ROW(),$S$5:$S$1000,"Sub"),"")</f>
        <v/>
      </c>
      <c r="U146" s="70">
        <f>IF($S146="","",IF(ISNUMBER($H146),$H146,0))</f>
        <v/>
      </c>
      <c r="V146" s="70">
        <f>IF($S146="","",IF(ISNUMBER($I146),$I146,$U146))</f>
        <v/>
      </c>
      <c r="W146" s="70">
        <f>IF($S146="","",IF(ISNUMBER($J146),$J146,$V146))</f>
        <v/>
      </c>
      <c r="X146" s="70">
        <f>IF($S146="","",IF(ISNUMBER($K146),$K146,$W146))</f>
        <v/>
      </c>
      <c r="Y146" s="70">
        <f>IF($S146="","",IF(N($T146)&gt;0,AVERAGEIFS($U$5:$U$1000,$R$5:$R$1000,ROW(),$S$5:$S$1000,"Sub"),$U146))</f>
        <v/>
      </c>
      <c r="Z146" s="70">
        <f>IF($S146="","",IF(N($T146)&gt;0,AVERAGEIFS($V$5:$V$1000,$R$5:$R$1000,ROW(),$S$5:$S$1000,"Sub"),$V146))</f>
        <v/>
      </c>
      <c r="AA146" s="70">
        <f>IF($S146="","",IF(N($T146)&gt;0,AVERAGEIFS($W$5:$W$1000,$R$5:$R$1000,ROW(),$S$5:$S$1000,"Sub"),$W146))</f>
        <v/>
      </c>
      <c r="AB146" s="70">
        <f>IF($S146="","",IF(N($T146)&gt;0,AVERAGEIFS($X$5:$X$1000,$R$5:$R$1000,ROW(),$S$5:$S$1000,"Sub"),$X146))</f>
        <v/>
      </c>
    </row>
    <row r="147">
      <c r="A147" s="61">
        <f>IF(NOT((COUNTA($B147:$K147)+COUNTA($N147))&gt;0),"",IF($S147="Macro",COUNTIFS($S$5:$S147,"Macro",$P$5:$P147,$P147),IF(N($R147)=0,"?",COUNTIFS(INDEX($S$5:$S$1000,1):INDEX($S$5:$S$1000,$R147-4),"Macro",INDEX($P$5:$P$1000,1):INDEX($P$5:$P$1000,$R147-4),INDEX($P$5:$P$1000,$R147-4))&amp;"."&amp;COUNTIFS($R$5:$R147,$R147,$S$5:$S147,"Sub"))))</f>
        <v/>
      </c>
      <c r="B147" s="62" t="n"/>
      <c r="C147" s="63" t="n"/>
      <c r="D147" s="62" t="n"/>
      <c r="E147" s="64" t="n"/>
      <c r="F147" s="64" t="n"/>
      <c r="G147" s="65" t="n"/>
      <c r="H147" s="66" t="n"/>
      <c r="I147" s="66" t="n"/>
      <c r="J147" s="66" t="n"/>
      <c r="K147" s="66" t="n"/>
      <c r="L147" s="67">
        <f>IF(NOT((COUNTA($B147:$K147)+COUNTA($N147))&gt;0),"",IF(N($T147)&gt;0,$AB147,IFERROR(LOOKUP(2,1/(H147:K147&lt;&gt;""),H147:K147),0)))</f>
        <v/>
      </c>
      <c r="M147" s="61">
        <f>IF(L147="","",IF(L147&gt;=1,"Completado",IF(L147&gt;0,"En curso","Pendiente")))</f>
        <v/>
      </c>
      <c r="N147" s="62" t="n"/>
      <c r="O147" s="68">
        <f>IF(NOT((COUNTA($B147:$K147)+COUNTA($N147))&gt;0),"",IF((IF(AND($S147="Macro",$B147=""),"Macroactividad vacía"&amp;" · ","")&amp;IF(AND($B147&lt;&gt;"",$C147&lt;&gt;""),"Escriba la subactividad en otra fila, debajo de su macroactividad"&amp;" · ","")&amp;IF(AND($S147="Sub",N($R147)=0),"Subactividad sin macroactividad arriba"&amp;" · ","")&amp;IF($D147="","Sin responsable"&amp;" · ","")&amp;IF($E147="","Sin fecha de inicio"&amp;" · ","")&amp;IF($F147="","Sin fecha límite"&amp;" · ","")&amp;IF(OR(AND($E147&lt;&gt;"",NOT(ISNUMBER($E147))),AND($F147&lt;&gt;"",NOT(ISNUMBER($F147)))),"Fecha no válida"&amp;" · ","")&amp;IF(AND(ISNUMBER($E147),ISNUMBER($F147),$E147&gt;$F147),"Inicio posterior a fecha límite"&amp;" · ","")&amp;IF(AND($S147="Macro",$G147=""),"Peso vacío"&amp;" · ","")&amp;IF(AND($S147="Macro",$G147&lt;&gt;"",OR(NOT(ISNUMBER($G147)),$G147&lt;=0,$G147&gt;1)),"Peso fuera de rango"&amp;" · ","")&amp;IF(AND($S147="Sub",$G147&lt;&gt;""),"Las subactividades no llevan peso"&amp;" · ","")&amp;IF(AND($S147="Macro",ABS(SUMIFS($G$5:$G$1000,$P$5:$P$1000,$P147,$S$5:$S$1000,"Macro")-1)&gt;0.0001),"Pesos del mes suman "&amp;TEXT(SUMIFS($G$5:$G$1000,$P$5:$P$1000,$P147,$S$5:$S$1000,"Macro"),"0%")&amp;" · ","")&amp;IF(AND(N($T147)&gt;0,COUNT($H147:$K147)&gt;0),"Con subactividades: deje vacías las semanas (se calculan solas)"&amp;" · ","")&amp;IF((COUNTIF($H147:$K147,"&gt;1")+COUNTIF($H147:$K147,"&lt;0")+COUNTA($H147:$K147)-COUNT($H147:$K147))&gt;0,"Avance fuera de rango 0-100%"&amp;" · ","")&amp;IF(OR(AND($I147&lt;&gt;"",$I147&lt;$H147),AND($J147&lt;&gt;"",$J147&lt;MAX($H147:$I147)),AND($K147&lt;&gt;"",$K147&lt;MAX($H147:$J147))),"Avance semanal decreciente"&amp;" · ","")&amp;IF(AND(ISNUMBER($F147),$F147&lt;FechaRef,N($L147)&lt;1),"Vencida"&amp;" · ","")&amp;IF(AND(ObsObligatoria="Sí",ISNUMBER($F147),$F147&lt;FechaRef,N($L147)&lt;1,$N147=""),"Vencida sin observación"&amp;" · ",""))="","✔ OK","⚠ "&amp;LEFT(IF(AND($S147="Macro",$B147=""),"Macroactividad vacía"&amp;" · ","")&amp;IF(AND($B147&lt;&gt;"",$C147&lt;&gt;""),"Escriba la subactividad en otra fila, debajo de su macroactividad"&amp;" · ","")&amp;IF(AND($S147="Sub",N($R147)=0),"Subactividad sin macroactividad arriba"&amp;" · ","")&amp;IF($D147="","Sin responsable"&amp;" · ","")&amp;IF($E147="","Sin fecha de inicio"&amp;" · ","")&amp;IF($F147="","Sin fecha límite"&amp;" · ","")&amp;IF(OR(AND($E147&lt;&gt;"",NOT(ISNUMBER($E147))),AND($F147&lt;&gt;"",NOT(ISNUMBER($F147)))),"Fecha no válida"&amp;" · ","")&amp;IF(AND(ISNUMBER($E147),ISNUMBER($F147),$E147&gt;$F147),"Inicio posterior a fecha límite"&amp;" · ","")&amp;IF(AND($S147="Macro",$G147=""),"Peso vacío"&amp;" · ","")&amp;IF(AND($S147="Macro",$G147&lt;&gt;"",OR(NOT(ISNUMBER($G147)),$G147&lt;=0,$G147&gt;1)),"Peso fuera de rango"&amp;" · ","")&amp;IF(AND($S147="Sub",$G147&lt;&gt;""),"Las subactividades no llevan peso"&amp;" · ","")&amp;IF(AND($S147="Macro",ABS(SUMIFS($G$5:$G$1000,$P$5:$P$1000,$P147,$S$5:$S$1000,"Macro")-1)&gt;0.0001),"Pesos del mes suman "&amp;TEXT(SUMIFS($G$5:$G$1000,$P$5:$P$1000,$P147,$S$5:$S$1000,"Macro"),"0%")&amp;" · ","")&amp;IF(AND(N($T147)&gt;0,COUNT($H147:$K147)&gt;0),"Con subactividades: deje vacías las semanas (se calculan solas)"&amp;" · ","")&amp;IF((COUNTIF($H147:$K147,"&gt;1")+COUNTIF($H147:$K147,"&lt;0")+COUNTA($H147:$K147)-COUNT($H147:$K147))&gt;0,"Avance fuera de rango 0-100%"&amp;" · ","")&amp;IF(OR(AND($I147&lt;&gt;"",$I147&lt;$H147),AND($J147&lt;&gt;"",$J147&lt;MAX($H147:$I147)),AND($K147&lt;&gt;"",$K147&lt;MAX($H147:$J147))),"Avance semanal decreciente"&amp;" · ","")&amp;IF(AND(ISNUMBER($F147),$F147&lt;FechaRef,N($L147)&lt;1),"Vencida"&amp;" · ","")&amp;IF(AND(ObsObligatoria="Sí",ISNUMBER($F147),$F147&lt;FechaRef,N($L147)&lt;1,$N147=""),"Vencida sin observación"&amp;" · ",""),LEN(IF(AND($S147="Macro",$B147=""),"Macroactividad vacía"&amp;" · ","")&amp;IF(AND($B147&lt;&gt;"",$C147&lt;&gt;""),"Escriba la subactividad en otra fila, debajo de su macroactividad"&amp;" · ","")&amp;IF(AND($S147="Sub",N($R147)=0),"Subactividad sin macroactividad arriba"&amp;" · ","")&amp;IF($D147="","Sin responsable"&amp;" · ","")&amp;IF($E147="","Sin fecha de inicio"&amp;" · ","")&amp;IF($F147="","Sin fecha límite"&amp;" · ","")&amp;IF(OR(AND($E147&lt;&gt;"",NOT(ISNUMBER($E147))),AND($F147&lt;&gt;"",NOT(ISNUMBER($F147)))),"Fecha no válida"&amp;" · ","")&amp;IF(AND(ISNUMBER($E147),ISNUMBER($F147),$E147&gt;$F147),"Inicio posterior a fecha límite"&amp;" · ","")&amp;IF(AND($S147="Macro",$G147=""),"Peso vacío"&amp;" · ","")&amp;IF(AND($S147="Macro",$G147&lt;&gt;"",OR(NOT(ISNUMBER($G147)),$G147&lt;=0,$G147&gt;1)),"Peso fuera de rango"&amp;" · ","")&amp;IF(AND($S147="Sub",$G147&lt;&gt;""),"Las subactividades no llevan peso"&amp;" · ","")&amp;IF(AND($S147="Macro",ABS(SUMIFS($G$5:$G$1000,$P$5:$P$1000,$P147,$S$5:$S$1000,"Macro")-1)&gt;0.0001),"Pesos del mes suman "&amp;TEXT(SUMIFS($G$5:$G$1000,$P$5:$P$1000,$P147,$S$5:$S$1000,"Macro"),"0%")&amp;" · ","")&amp;IF(AND(N($T147)&gt;0,COUNT($H147:$K147)&gt;0),"Con subactividades: deje vacías las semanas (se calculan solas)"&amp;" · ","")&amp;IF((COUNTIF($H147:$K147,"&gt;1")+COUNTIF($H147:$K147,"&lt;0")+COUNTA($H147:$K147)-COUNT($H147:$K147))&gt;0,"Avance fuera de rango 0-100%"&amp;" · ","")&amp;IF(OR(AND($I147&lt;&gt;"",$I147&lt;$H147),AND($J147&lt;&gt;"",$J147&lt;MAX($H147:$I147)),AND($K147&lt;&gt;"",$K147&lt;MAX($H147:$J147))),"Avance semanal decreciente"&amp;" · ","")&amp;IF(AND(ISNUMBER($F147),$F147&lt;FechaRef,N($L147)&lt;1),"Vencida"&amp;" · ","")&amp;IF(AND(ObsObligatoria="Sí",ISNUMBER($F147),$F147&lt;FechaRef,N($L147)&lt;1,$N147=""),"Vencida sin observación"&amp;" · ",""))-3)))</f>
        <v/>
      </c>
      <c r="P147" s="69">
        <f>IF(NOT((COUNTA($B147:$K147)+COUNTA($N147))&gt;0),"",IF(AND($S147="Sub",N($R147)&gt;0),IF(ISNUMBER(INDEX($E$5:$E$1000,$R147-4)),DATE(YEAR(INDEX($E$5:$E$1000,$R147-4)),MONTH(INDEX($E$5:$E$1000,$R147-4)),1),IF(ISNUMBER(INDEX($F$5:$F$1000,$R147-4)),DATE(YEAR(INDEX($F$5:$F$1000,$R147-4)),MONTH(INDEX($F$5:$F$1000,$R147-4)),1),MesCiclo)),IF(ISNUMBER($E147),DATE(YEAR($E147),MONTH($E147),1),IF(ISNUMBER($F147),DATE(YEAR($F147),MONTH($F147),1),MesCiclo))))</f>
        <v/>
      </c>
      <c r="Q147" s="70">
        <f>IF(OR($P147="",$P147&lt;&gt;MesCiclo),"",COUNTIF($P$5:$P147,MesCiclo))</f>
        <v/>
      </c>
      <c r="R147" s="70">
        <f>IF($S147="","",IF($S147="Macro",ROW(),IFERROR(LOOKUP(2,1/($S$5:$S147="Macro"),ROW($S$5:$S147)),0)))</f>
        <v/>
      </c>
      <c r="S147" s="70">
        <f>IF(NOT((COUNTA($B147:$K147)+COUNTA($N147))&gt;0),"",IF($B147&lt;&gt;"","Macro",IF($C147&lt;&gt;"","Sub","Macro")))</f>
        <v/>
      </c>
      <c r="T147" s="70">
        <f>IF($S147="Macro",COUNTIFS($R$5:$R$1000,ROW(),$S$5:$S$1000,"Sub"),"")</f>
        <v/>
      </c>
      <c r="U147" s="70">
        <f>IF($S147="","",IF(ISNUMBER($H147),$H147,0))</f>
        <v/>
      </c>
      <c r="V147" s="70">
        <f>IF($S147="","",IF(ISNUMBER($I147),$I147,$U147))</f>
        <v/>
      </c>
      <c r="W147" s="70">
        <f>IF($S147="","",IF(ISNUMBER($J147),$J147,$V147))</f>
        <v/>
      </c>
      <c r="X147" s="70">
        <f>IF($S147="","",IF(ISNUMBER($K147),$K147,$W147))</f>
        <v/>
      </c>
      <c r="Y147" s="70">
        <f>IF($S147="","",IF(N($T147)&gt;0,AVERAGEIFS($U$5:$U$1000,$R$5:$R$1000,ROW(),$S$5:$S$1000,"Sub"),$U147))</f>
        <v/>
      </c>
      <c r="Z147" s="70">
        <f>IF($S147="","",IF(N($T147)&gt;0,AVERAGEIFS($V$5:$V$1000,$R$5:$R$1000,ROW(),$S$5:$S$1000,"Sub"),$V147))</f>
        <v/>
      </c>
      <c r="AA147" s="70">
        <f>IF($S147="","",IF(N($T147)&gt;0,AVERAGEIFS($W$5:$W$1000,$R$5:$R$1000,ROW(),$S$5:$S$1000,"Sub"),$W147))</f>
        <v/>
      </c>
      <c r="AB147" s="70">
        <f>IF($S147="","",IF(N($T147)&gt;0,AVERAGEIFS($X$5:$X$1000,$R$5:$R$1000,ROW(),$S$5:$S$1000,"Sub"),$X147))</f>
        <v/>
      </c>
    </row>
    <row r="148">
      <c r="A148" s="61">
        <f>IF(NOT((COUNTA($B148:$K148)+COUNTA($N148))&gt;0),"",IF($S148="Macro",COUNTIFS($S$5:$S148,"Macro",$P$5:$P148,$P148),IF(N($R148)=0,"?",COUNTIFS(INDEX($S$5:$S$1000,1):INDEX($S$5:$S$1000,$R148-4),"Macro",INDEX($P$5:$P$1000,1):INDEX($P$5:$P$1000,$R148-4),INDEX($P$5:$P$1000,$R148-4))&amp;"."&amp;COUNTIFS($R$5:$R148,$R148,$S$5:$S148,"Sub"))))</f>
        <v/>
      </c>
      <c r="B148" s="62" t="n"/>
      <c r="C148" s="63" t="n"/>
      <c r="D148" s="62" t="n"/>
      <c r="E148" s="64" t="n"/>
      <c r="F148" s="64" t="n"/>
      <c r="G148" s="65" t="n"/>
      <c r="H148" s="66" t="n"/>
      <c r="I148" s="66" t="n"/>
      <c r="J148" s="66" t="n"/>
      <c r="K148" s="66" t="n"/>
      <c r="L148" s="67">
        <f>IF(NOT((COUNTA($B148:$K148)+COUNTA($N148))&gt;0),"",IF(N($T148)&gt;0,$AB148,IFERROR(LOOKUP(2,1/(H148:K148&lt;&gt;""),H148:K148),0)))</f>
        <v/>
      </c>
      <c r="M148" s="61">
        <f>IF(L148="","",IF(L148&gt;=1,"Completado",IF(L148&gt;0,"En curso","Pendiente")))</f>
        <v/>
      </c>
      <c r="N148" s="62" t="n"/>
      <c r="O148" s="68">
        <f>IF(NOT((COUNTA($B148:$K148)+COUNTA($N148))&gt;0),"",IF((IF(AND($S148="Macro",$B148=""),"Macroactividad vacía"&amp;" · ","")&amp;IF(AND($B148&lt;&gt;"",$C148&lt;&gt;""),"Escriba la subactividad en otra fila, debajo de su macroactividad"&amp;" · ","")&amp;IF(AND($S148="Sub",N($R148)=0),"Subactividad sin macroactividad arriba"&amp;" · ","")&amp;IF($D148="","Sin responsable"&amp;" · ","")&amp;IF($E148="","Sin fecha de inicio"&amp;" · ","")&amp;IF($F148="","Sin fecha límite"&amp;" · ","")&amp;IF(OR(AND($E148&lt;&gt;"",NOT(ISNUMBER($E148))),AND($F148&lt;&gt;"",NOT(ISNUMBER($F148)))),"Fecha no válida"&amp;" · ","")&amp;IF(AND(ISNUMBER($E148),ISNUMBER($F148),$E148&gt;$F148),"Inicio posterior a fecha límite"&amp;" · ","")&amp;IF(AND($S148="Macro",$G148=""),"Peso vacío"&amp;" · ","")&amp;IF(AND($S148="Macro",$G148&lt;&gt;"",OR(NOT(ISNUMBER($G148)),$G148&lt;=0,$G148&gt;1)),"Peso fuera de rango"&amp;" · ","")&amp;IF(AND($S148="Sub",$G148&lt;&gt;""),"Las subactividades no llevan peso"&amp;" · ","")&amp;IF(AND($S148="Macro",ABS(SUMIFS($G$5:$G$1000,$P$5:$P$1000,$P148,$S$5:$S$1000,"Macro")-1)&gt;0.0001),"Pesos del mes suman "&amp;TEXT(SUMIFS($G$5:$G$1000,$P$5:$P$1000,$P148,$S$5:$S$1000,"Macro"),"0%")&amp;" · ","")&amp;IF(AND(N($T148)&gt;0,COUNT($H148:$K148)&gt;0),"Con subactividades: deje vacías las semanas (se calculan solas)"&amp;" · ","")&amp;IF((COUNTIF($H148:$K148,"&gt;1")+COUNTIF($H148:$K148,"&lt;0")+COUNTA($H148:$K148)-COUNT($H148:$K148))&gt;0,"Avance fuera de rango 0-100%"&amp;" · ","")&amp;IF(OR(AND($I148&lt;&gt;"",$I148&lt;$H148),AND($J148&lt;&gt;"",$J148&lt;MAX($H148:$I148)),AND($K148&lt;&gt;"",$K148&lt;MAX($H148:$J148))),"Avance semanal decreciente"&amp;" · ","")&amp;IF(AND(ISNUMBER($F148),$F148&lt;FechaRef,N($L148)&lt;1),"Vencida"&amp;" · ","")&amp;IF(AND(ObsObligatoria="Sí",ISNUMBER($F148),$F148&lt;FechaRef,N($L148)&lt;1,$N148=""),"Vencida sin observación"&amp;" · ",""))="","✔ OK","⚠ "&amp;LEFT(IF(AND($S148="Macro",$B148=""),"Macroactividad vacía"&amp;" · ","")&amp;IF(AND($B148&lt;&gt;"",$C148&lt;&gt;""),"Escriba la subactividad en otra fila, debajo de su macroactividad"&amp;" · ","")&amp;IF(AND($S148="Sub",N($R148)=0),"Subactividad sin macroactividad arriba"&amp;" · ","")&amp;IF($D148="","Sin responsable"&amp;" · ","")&amp;IF($E148="","Sin fecha de inicio"&amp;" · ","")&amp;IF($F148="","Sin fecha límite"&amp;" · ","")&amp;IF(OR(AND($E148&lt;&gt;"",NOT(ISNUMBER($E148))),AND($F148&lt;&gt;"",NOT(ISNUMBER($F148)))),"Fecha no válida"&amp;" · ","")&amp;IF(AND(ISNUMBER($E148),ISNUMBER($F148),$E148&gt;$F148),"Inicio posterior a fecha límite"&amp;" · ","")&amp;IF(AND($S148="Macro",$G148=""),"Peso vacío"&amp;" · ","")&amp;IF(AND($S148="Macro",$G148&lt;&gt;"",OR(NOT(ISNUMBER($G148)),$G148&lt;=0,$G148&gt;1)),"Peso fuera de rango"&amp;" · ","")&amp;IF(AND($S148="Sub",$G148&lt;&gt;""),"Las subactividades no llevan peso"&amp;" · ","")&amp;IF(AND($S148="Macro",ABS(SUMIFS($G$5:$G$1000,$P$5:$P$1000,$P148,$S$5:$S$1000,"Macro")-1)&gt;0.0001),"Pesos del mes suman "&amp;TEXT(SUMIFS($G$5:$G$1000,$P$5:$P$1000,$P148,$S$5:$S$1000,"Macro"),"0%")&amp;" · ","")&amp;IF(AND(N($T148)&gt;0,COUNT($H148:$K148)&gt;0),"Con subactividades: deje vacías las semanas (se calculan solas)"&amp;" · ","")&amp;IF((COUNTIF($H148:$K148,"&gt;1")+COUNTIF($H148:$K148,"&lt;0")+COUNTA($H148:$K148)-COUNT($H148:$K148))&gt;0,"Avance fuera de rango 0-100%"&amp;" · ","")&amp;IF(OR(AND($I148&lt;&gt;"",$I148&lt;$H148),AND($J148&lt;&gt;"",$J148&lt;MAX($H148:$I148)),AND($K148&lt;&gt;"",$K148&lt;MAX($H148:$J148))),"Avance semanal decreciente"&amp;" · ","")&amp;IF(AND(ISNUMBER($F148),$F148&lt;FechaRef,N($L148)&lt;1),"Vencida"&amp;" · ","")&amp;IF(AND(ObsObligatoria="Sí",ISNUMBER($F148),$F148&lt;FechaRef,N($L148)&lt;1,$N148=""),"Vencida sin observación"&amp;" · ",""),LEN(IF(AND($S148="Macro",$B148=""),"Macroactividad vacía"&amp;" · ","")&amp;IF(AND($B148&lt;&gt;"",$C148&lt;&gt;""),"Escriba la subactividad en otra fila, debajo de su macroactividad"&amp;" · ","")&amp;IF(AND($S148="Sub",N($R148)=0),"Subactividad sin macroactividad arriba"&amp;" · ","")&amp;IF($D148="","Sin responsable"&amp;" · ","")&amp;IF($E148="","Sin fecha de inicio"&amp;" · ","")&amp;IF($F148="","Sin fecha límite"&amp;" · ","")&amp;IF(OR(AND($E148&lt;&gt;"",NOT(ISNUMBER($E148))),AND($F148&lt;&gt;"",NOT(ISNUMBER($F148)))),"Fecha no válida"&amp;" · ","")&amp;IF(AND(ISNUMBER($E148),ISNUMBER($F148),$E148&gt;$F148),"Inicio posterior a fecha límite"&amp;" · ","")&amp;IF(AND($S148="Macro",$G148=""),"Peso vacío"&amp;" · ","")&amp;IF(AND($S148="Macro",$G148&lt;&gt;"",OR(NOT(ISNUMBER($G148)),$G148&lt;=0,$G148&gt;1)),"Peso fuera de rango"&amp;" · ","")&amp;IF(AND($S148="Sub",$G148&lt;&gt;""),"Las subactividades no llevan peso"&amp;" · ","")&amp;IF(AND($S148="Macro",ABS(SUMIFS($G$5:$G$1000,$P$5:$P$1000,$P148,$S$5:$S$1000,"Macro")-1)&gt;0.0001),"Pesos del mes suman "&amp;TEXT(SUMIFS($G$5:$G$1000,$P$5:$P$1000,$P148,$S$5:$S$1000,"Macro"),"0%")&amp;" · ","")&amp;IF(AND(N($T148)&gt;0,COUNT($H148:$K148)&gt;0),"Con subactividades: deje vacías las semanas (se calculan solas)"&amp;" · ","")&amp;IF((COUNTIF($H148:$K148,"&gt;1")+COUNTIF($H148:$K148,"&lt;0")+COUNTA($H148:$K148)-COUNT($H148:$K148))&gt;0,"Avance fuera de rango 0-100%"&amp;" · ","")&amp;IF(OR(AND($I148&lt;&gt;"",$I148&lt;$H148),AND($J148&lt;&gt;"",$J148&lt;MAX($H148:$I148)),AND($K148&lt;&gt;"",$K148&lt;MAX($H148:$J148))),"Avance semanal decreciente"&amp;" · ","")&amp;IF(AND(ISNUMBER($F148),$F148&lt;FechaRef,N($L148)&lt;1),"Vencida"&amp;" · ","")&amp;IF(AND(ObsObligatoria="Sí",ISNUMBER($F148),$F148&lt;FechaRef,N($L148)&lt;1,$N148=""),"Vencida sin observación"&amp;" · ",""))-3)))</f>
        <v/>
      </c>
      <c r="P148" s="69">
        <f>IF(NOT((COUNTA($B148:$K148)+COUNTA($N148))&gt;0),"",IF(AND($S148="Sub",N($R148)&gt;0),IF(ISNUMBER(INDEX($E$5:$E$1000,$R148-4)),DATE(YEAR(INDEX($E$5:$E$1000,$R148-4)),MONTH(INDEX($E$5:$E$1000,$R148-4)),1),IF(ISNUMBER(INDEX($F$5:$F$1000,$R148-4)),DATE(YEAR(INDEX($F$5:$F$1000,$R148-4)),MONTH(INDEX($F$5:$F$1000,$R148-4)),1),MesCiclo)),IF(ISNUMBER($E148),DATE(YEAR($E148),MONTH($E148),1),IF(ISNUMBER($F148),DATE(YEAR($F148),MONTH($F148),1),MesCiclo))))</f>
        <v/>
      </c>
      <c r="Q148" s="70">
        <f>IF(OR($P148="",$P148&lt;&gt;MesCiclo),"",COUNTIF($P$5:$P148,MesCiclo))</f>
        <v/>
      </c>
      <c r="R148" s="70">
        <f>IF($S148="","",IF($S148="Macro",ROW(),IFERROR(LOOKUP(2,1/($S$5:$S148="Macro"),ROW($S$5:$S148)),0)))</f>
        <v/>
      </c>
      <c r="S148" s="70">
        <f>IF(NOT((COUNTA($B148:$K148)+COUNTA($N148))&gt;0),"",IF($B148&lt;&gt;"","Macro",IF($C148&lt;&gt;"","Sub","Macro")))</f>
        <v/>
      </c>
      <c r="T148" s="70">
        <f>IF($S148="Macro",COUNTIFS($R$5:$R$1000,ROW(),$S$5:$S$1000,"Sub"),"")</f>
        <v/>
      </c>
      <c r="U148" s="70">
        <f>IF($S148="","",IF(ISNUMBER($H148),$H148,0))</f>
        <v/>
      </c>
      <c r="V148" s="70">
        <f>IF($S148="","",IF(ISNUMBER($I148),$I148,$U148))</f>
        <v/>
      </c>
      <c r="W148" s="70">
        <f>IF($S148="","",IF(ISNUMBER($J148),$J148,$V148))</f>
        <v/>
      </c>
      <c r="X148" s="70">
        <f>IF($S148="","",IF(ISNUMBER($K148),$K148,$W148))</f>
        <v/>
      </c>
      <c r="Y148" s="70">
        <f>IF($S148="","",IF(N($T148)&gt;0,AVERAGEIFS($U$5:$U$1000,$R$5:$R$1000,ROW(),$S$5:$S$1000,"Sub"),$U148))</f>
        <v/>
      </c>
      <c r="Z148" s="70">
        <f>IF($S148="","",IF(N($T148)&gt;0,AVERAGEIFS($V$5:$V$1000,$R$5:$R$1000,ROW(),$S$5:$S$1000,"Sub"),$V148))</f>
        <v/>
      </c>
      <c r="AA148" s="70">
        <f>IF($S148="","",IF(N($T148)&gt;0,AVERAGEIFS($W$5:$W$1000,$R$5:$R$1000,ROW(),$S$5:$S$1000,"Sub"),$W148))</f>
        <v/>
      </c>
      <c r="AB148" s="70">
        <f>IF($S148="","",IF(N($T148)&gt;0,AVERAGEIFS($X$5:$X$1000,$R$5:$R$1000,ROW(),$S$5:$S$1000,"Sub"),$X148))</f>
        <v/>
      </c>
    </row>
    <row r="149">
      <c r="A149" s="61">
        <f>IF(NOT((COUNTA($B149:$K149)+COUNTA($N149))&gt;0),"",IF($S149="Macro",COUNTIFS($S$5:$S149,"Macro",$P$5:$P149,$P149),IF(N($R149)=0,"?",COUNTIFS(INDEX($S$5:$S$1000,1):INDEX($S$5:$S$1000,$R149-4),"Macro",INDEX($P$5:$P$1000,1):INDEX($P$5:$P$1000,$R149-4),INDEX($P$5:$P$1000,$R149-4))&amp;"."&amp;COUNTIFS($R$5:$R149,$R149,$S$5:$S149,"Sub"))))</f>
        <v/>
      </c>
      <c r="B149" s="62" t="n"/>
      <c r="C149" s="63" t="n"/>
      <c r="D149" s="62" t="n"/>
      <c r="E149" s="64" t="n"/>
      <c r="F149" s="64" t="n"/>
      <c r="G149" s="65" t="n"/>
      <c r="H149" s="66" t="n"/>
      <c r="I149" s="66" t="n"/>
      <c r="J149" s="66" t="n"/>
      <c r="K149" s="66" t="n"/>
      <c r="L149" s="67">
        <f>IF(NOT((COUNTA($B149:$K149)+COUNTA($N149))&gt;0),"",IF(N($T149)&gt;0,$AB149,IFERROR(LOOKUP(2,1/(H149:K149&lt;&gt;""),H149:K149),0)))</f>
        <v/>
      </c>
      <c r="M149" s="61">
        <f>IF(L149="","",IF(L149&gt;=1,"Completado",IF(L149&gt;0,"En curso","Pendiente")))</f>
        <v/>
      </c>
      <c r="N149" s="62" t="n"/>
      <c r="O149" s="68">
        <f>IF(NOT((COUNTA($B149:$K149)+COUNTA($N149))&gt;0),"",IF((IF(AND($S149="Macro",$B149=""),"Macroactividad vacía"&amp;" · ","")&amp;IF(AND($B149&lt;&gt;"",$C149&lt;&gt;""),"Escriba la subactividad en otra fila, debajo de su macroactividad"&amp;" · ","")&amp;IF(AND($S149="Sub",N($R149)=0),"Subactividad sin macroactividad arriba"&amp;" · ","")&amp;IF($D149="","Sin responsable"&amp;" · ","")&amp;IF($E149="","Sin fecha de inicio"&amp;" · ","")&amp;IF($F149="","Sin fecha límite"&amp;" · ","")&amp;IF(OR(AND($E149&lt;&gt;"",NOT(ISNUMBER($E149))),AND($F149&lt;&gt;"",NOT(ISNUMBER($F149)))),"Fecha no válida"&amp;" · ","")&amp;IF(AND(ISNUMBER($E149),ISNUMBER($F149),$E149&gt;$F149),"Inicio posterior a fecha límite"&amp;" · ","")&amp;IF(AND($S149="Macro",$G149=""),"Peso vacío"&amp;" · ","")&amp;IF(AND($S149="Macro",$G149&lt;&gt;"",OR(NOT(ISNUMBER($G149)),$G149&lt;=0,$G149&gt;1)),"Peso fuera de rango"&amp;" · ","")&amp;IF(AND($S149="Sub",$G149&lt;&gt;""),"Las subactividades no llevan peso"&amp;" · ","")&amp;IF(AND($S149="Macro",ABS(SUMIFS($G$5:$G$1000,$P$5:$P$1000,$P149,$S$5:$S$1000,"Macro")-1)&gt;0.0001),"Pesos del mes suman "&amp;TEXT(SUMIFS($G$5:$G$1000,$P$5:$P$1000,$P149,$S$5:$S$1000,"Macro"),"0%")&amp;" · ","")&amp;IF(AND(N($T149)&gt;0,COUNT($H149:$K149)&gt;0),"Con subactividades: deje vacías las semanas (se calculan solas)"&amp;" · ","")&amp;IF((COUNTIF($H149:$K149,"&gt;1")+COUNTIF($H149:$K149,"&lt;0")+COUNTA($H149:$K149)-COUNT($H149:$K149))&gt;0,"Avance fuera de rango 0-100%"&amp;" · ","")&amp;IF(OR(AND($I149&lt;&gt;"",$I149&lt;$H149),AND($J149&lt;&gt;"",$J149&lt;MAX($H149:$I149)),AND($K149&lt;&gt;"",$K149&lt;MAX($H149:$J149))),"Avance semanal decreciente"&amp;" · ","")&amp;IF(AND(ISNUMBER($F149),$F149&lt;FechaRef,N($L149)&lt;1),"Vencida"&amp;" · ","")&amp;IF(AND(ObsObligatoria="Sí",ISNUMBER($F149),$F149&lt;FechaRef,N($L149)&lt;1,$N149=""),"Vencida sin observación"&amp;" · ",""))="","✔ OK","⚠ "&amp;LEFT(IF(AND($S149="Macro",$B149=""),"Macroactividad vacía"&amp;" · ","")&amp;IF(AND($B149&lt;&gt;"",$C149&lt;&gt;""),"Escriba la subactividad en otra fila, debajo de su macroactividad"&amp;" · ","")&amp;IF(AND($S149="Sub",N($R149)=0),"Subactividad sin macroactividad arriba"&amp;" · ","")&amp;IF($D149="","Sin responsable"&amp;" · ","")&amp;IF($E149="","Sin fecha de inicio"&amp;" · ","")&amp;IF($F149="","Sin fecha límite"&amp;" · ","")&amp;IF(OR(AND($E149&lt;&gt;"",NOT(ISNUMBER($E149))),AND($F149&lt;&gt;"",NOT(ISNUMBER($F149)))),"Fecha no válida"&amp;" · ","")&amp;IF(AND(ISNUMBER($E149),ISNUMBER($F149),$E149&gt;$F149),"Inicio posterior a fecha límite"&amp;" · ","")&amp;IF(AND($S149="Macro",$G149=""),"Peso vacío"&amp;" · ","")&amp;IF(AND($S149="Macro",$G149&lt;&gt;"",OR(NOT(ISNUMBER($G149)),$G149&lt;=0,$G149&gt;1)),"Peso fuera de rango"&amp;" · ","")&amp;IF(AND($S149="Sub",$G149&lt;&gt;""),"Las subactividades no llevan peso"&amp;" · ","")&amp;IF(AND($S149="Macro",ABS(SUMIFS($G$5:$G$1000,$P$5:$P$1000,$P149,$S$5:$S$1000,"Macro")-1)&gt;0.0001),"Pesos del mes suman "&amp;TEXT(SUMIFS($G$5:$G$1000,$P$5:$P$1000,$P149,$S$5:$S$1000,"Macro"),"0%")&amp;" · ","")&amp;IF(AND(N($T149)&gt;0,COUNT($H149:$K149)&gt;0),"Con subactividades: deje vacías las semanas (se calculan solas)"&amp;" · ","")&amp;IF((COUNTIF($H149:$K149,"&gt;1")+COUNTIF($H149:$K149,"&lt;0")+COUNTA($H149:$K149)-COUNT($H149:$K149))&gt;0,"Avance fuera de rango 0-100%"&amp;" · ","")&amp;IF(OR(AND($I149&lt;&gt;"",$I149&lt;$H149),AND($J149&lt;&gt;"",$J149&lt;MAX($H149:$I149)),AND($K149&lt;&gt;"",$K149&lt;MAX($H149:$J149))),"Avance semanal decreciente"&amp;" · ","")&amp;IF(AND(ISNUMBER($F149),$F149&lt;FechaRef,N($L149)&lt;1),"Vencida"&amp;" · ","")&amp;IF(AND(ObsObligatoria="Sí",ISNUMBER($F149),$F149&lt;FechaRef,N($L149)&lt;1,$N149=""),"Vencida sin observación"&amp;" · ",""),LEN(IF(AND($S149="Macro",$B149=""),"Macroactividad vacía"&amp;" · ","")&amp;IF(AND($B149&lt;&gt;"",$C149&lt;&gt;""),"Escriba la subactividad en otra fila, debajo de su macroactividad"&amp;" · ","")&amp;IF(AND($S149="Sub",N($R149)=0),"Subactividad sin macroactividad arriba"&amp;" · ","")&amp;IF($D149="","Sin responsable"&amp;" · ","")&amp;IF($E149="","Sin fecha de inicio"&amp;" · ","")&amp;IF($F149="","Sin fecha límite"&amp;" · ","")&amp;IF(OR(AND($E149&lt;&gt;"",NOT(ISNUMBER($E149))),AND($F149&lt;&gt;"",NOT(ISNUMBER($F149)))),"Fecha no válida"&amp;" · ","")&amp;IF(AND(ISNUMBER($E149),ISNUMBER($F149),$E149&gt;$F149),"Inicio posterior a fecha límite"&amp;" · ","")&amp;IF(AND($S149="Macro",$G149=""),"Peso vacío"&amp;" · ","")&amp;IF(AND($S149="Macro",$G149&lt;&gt;"",OR(NOT(ISNUMBER($G149)),$G149&lt;=0,$G149&gt;1)),"Peso fuera de rango"&amp;" · ","")&amp;IF(AND($S149="Sub",$G149&lt;&gt;""),"Las subactividades no llevan peso"&amp;" · ","")&amp;IF(AND($S149="Macro",ABS(SUMIFS($G$5:$G$1000,$P$5:$P$1000,$P149,$S$5:$S$1000,"Macro")-1)&gt;0.0001),"Pesos del mes suman "&amp;TEXT(SUMIFS($G$5:$G$1000,$P$5:$P$1000,$P149,$S$5:$S$1000,"Macro"),"0%")&amp;" · ","")&amp;IF(AND(N($T149)&gt;0,COUNT($H149:$K149)&gt;0),"Con subactividades: deje vacías las semanas (se calculan solas)"&amp;" · ","")&amp;IF((COUNTIF($H149:$K149,"&gt;1")+COUNTIF($H149:$K149,"&lt;0")+COUNTA($H149:$K149)-COUNT($H149:$K149))&gt;0,"Avance fuera de rango 0-100%"&amp;" · ","")&amp;IF(OR(AND($I149&lt;&gt;"",$I149&lt;$H149),AND($J149&lt;&gt;"",$J149&lt;MAX($H149:$I149)),AND($K149&lt;&gt;"",$K149&lt;MAX($H149:$J149))),"Avance semanal decreciente"&amp;" · ","")&amp;IF(AND(ISNUMBER($F149),$F149&lt;FechaRef,N($L149)&lt;1),"Vencida"&amp;" · ","")&amp;IF(AND(ObsObligatoria="Sí",ISNUMBER($F149),$F149&lt;FechaRef,N($L149)&lt;1,$N149=""),"Vencida sin observación"&amp;" · ",""))-3)))</f>
        <v/>
      </c>
      <c r="P149" s="69">
        <f>IF(NOT((COUNTA($B149:$K149)+COUNTA($N149))&gt;0),"",IF(AND($S149="Sub",N($R149)&gt;0),IF(ISNUMBER(INDEX($E$5:$E$1000,$R149-4)),DATE(YEAR(INDEX($E$5:$E$1000,$R149-4)),MONTH(INDEX($E$5:$E$1000,$R149-4)),1),IF(ISNUMBER(INDEX($F$5:$F$1000,$R149-4)),DATE(YEAR(INDEX($F$5:$F$1000,$R149-4)),MONTH(INDEX($F$5:$F$1000,$R149-4)),1),MesCiclo)),IF(ISNUMBER($E149),DATE(YEAR($E149),MONTH($E149),1),IF(ISNUMBER($F149),DATE(YEAR($F149),MONTH($F149),1),MesCiclo))))</f>
        <v/>
      </c>
      <c r="Q149" s="70">
        <f>IF(OR($P149="",$P149&lt;&gt;MesCiclo),"",COUNTIF($P$5:$P149,MesCiclo))</f>
        <v/>
      </c>
      <c r="R149" s="70">
        <f>IF($S149="","",IF($S149="Macro",ROW(),IFERROR(LOOKUP(2,1/($S$5:$S149="Macro"),ROW($S$5:$S149)),0)))</f>
        <v/>
      </c>
      <c r="S149" s="70">
        <f>IF(NOT((COUNTA($B149:$K149)+COUNTA($N149))&gt;0),"",IF($B149&lt;&gt;"","Macro",IF($C149&lt;&gt;"","Sub","Macro")))</f>
        <v/>
      </c>
      <c r="T149" s="70">
        <f>IF($S149="Macro",COUNTIFS($R$5:$R$1000,ROW(),$S$5:$S$1000,"Sub"),"")</f>
        <v/>
      </c>
      <c r="U149" s="70">
        <f>IF($S149="","",IF(ISNUMBER($H149),$H149,0))</f>
        <v/>
      </c>
      <c r="V149" s="70">
        <f>IF($S149="","",IF(ISNUMBER($I149),$I149,$U149))</f>
        <v/>
      </c>
      <c r="W149" s="70">
        <f>IF($S149="","",IF(ISNUMBER($J149),$J149,$V149))</f>
        <v/>
      </c>
      <c r="X149" s="70">
        <f>IF($S149="","",IF(ISNUMBER($K149),$K149,$W149))</f>
        <v/>
      </c>
      <c r="Y149" s="70">
        <f>IF($S149="","",IF(N($T149)&gt;0,AVERAGEIFS($U$5:$U$1000,$R$5:$R$1000,ROW(),$S$5:$S$1000,"Sub"),$U149))</f>
        <v/>
      </c>
      <c r="Z149" s="70">
        <f>IF($S149="","",IF(N($T149)&gt;0,AVERAGEIFS($V$5:$V$1000,$R$5:$R$1000,ROW(),$S$5:$S$1000,"Sub"),$V149))</f>
        <v/>
      </c>
      <c r="AA149" s="70">
        <f>IF($S149="","",IF(N($T149)&gt;0,AVERAGEIFS($W$5:$W$1000,$R$5:$R$1000,ROW(),$S$5:$S$1000,"Sub"),$W149))</f>
        <v/>
      </c>
      <c r="AB149" s="70">
        <f>IF($S149="","",IF(N($T149)&gt;0,AVERAGEIFS($X$5:$X$1000,$R$5:$R$1000,ROW(),$S$5:$S$1000,"Sub"),$X149))</f>
        <v/>
      </c>
    </row>
    <row r="150">
      <c r="A150" s="61">
        <f>IF(NOT((COUNTA($B150:$K150)+COUNTA($N150))&gt;0),"",IF($S150="Macro",COUNTIFS($S$5:$S150,"Macro",$P$5:$P150,$P150),IF(N($R150)=0,"?",COUNTIFS(INDEX($S$5:$S$1000,1):INDEX($S$5:$S$1000,$R150-4),"Macro",INDEX($P$5:$P$1000,1):INDEX($P$5:$P$1000,$R150-4),INDEX($P$5:$P$1000,$R150-4))&amp;"."&amp;COUNTIFS($R$5:$R150,$R150,$S$5:$S150,"Sub"))))</f>
        <v/>
      </c>
      <c r="B150" s="62" t="n"/>
      <c r="C150" s="63" t="n"/>
      <c r="D150" s="62" t="n"/>
      <c r="E150" s="64" t="n"/>
      <c r="F150" s="64" t="n"/>
      <c r="G150" s="65" t="n"/>
      <c r="H150" s="66" t="n"/>
      <c r="I150" s="66" t="n"/>
      <c r="J150" s="66" t="n"/>
      <c r="K150" s="66" t="n"/>
      <c r="L150" s="67">
        <f>IF(NOT((COUNTA($B150:$K150)+COUNTA($N150))&gt;0),"",IF(N($T150)&gt;0,$AB150,IFERROR(LOOKUP(2,1/(H150:K150&lt;&gt;""),H150:K150),0)))</f>
        <v/>
      </c>
      <c r="M150" s="61">
        <f>IF(L150="","",IF(L150&gt;=1,"Completado",IF(L150&gt;0,"En curso","Pendiente")))</f>
        <v/>
      </c>
      <c r="N150" s="62" t="n"/>
      <c r="O150" s="68">
        <f>IF(NOT((COUNTA($B150:$K150)+COUNTA($N150))&gt;0),"",IF((IF(AND($S150="Macro",$B150=""),"Macroactividad vacía"&amp;" · ","")&amp;IF(AND($B150&lt;&gt;"",$C150&lt;&gt;""),"Escriba la subactividad en otra fila, debajo de su macroactividad"&amp;" · ","")&amp;IF(AND($S150="Sub",N($R150)=0),"Subactividad sin macroactividad arriba"&amp;" · ","")&amp;IF($D150="","Sin responsable"&amp;" · ","")&amp;IF($E150="","Sin fecha de inicio"&amp;" · ","")&amp;IF($F150="","Sin fecha límite"&amp;" · ","")&amp;IF(OR(AND($E150&lt;&gt;"",NOT(ISNUMBER($E150))),AND($F150&lt;&gt;"",NOT(ISNUMBER($F150)))),"Fecha no válida"&amp;" · ","")&amp;IF(AND(ISNUMBER($E150),ISNUMBER($F150),$E150&gt;$F150),"Inicio posterior a fecha límite"&amp;" · ","")&amp;IF(AND($S150="Macro",$G150=""),"Peso vacío"&amp;" · ","")&amp;IF(AND($S150="Macro",$G150&lt;&gt;"",OR(NOT(ISNUMBER($G150)),$G150&lt;=0,$G150&gt;1)),"Peso fuera de rango"&amp;" · ","")&amp;IF(AND($S150="Sub",$G150&lt;&gt;""),"Las subactividades no llevan peso"&amp;" · ","")&amp;IF(AND($S150="Macro",ABS(SUMIFS($G$5:$G$1000,$P$5:$P$1000,$P150,$S$5:$S$1000,"Macro")-1)&gt;0.0001),"Pesos del mes suman "&amp;TEXT(SUMIFS($G$5:$G$1000,$P$5:$P$1000,$P150,$S$5:$S$1000,"Macro"),"0%")&amp;" · ","")&amp;IF(AND(N($T150)&gt;0,COUNT($H150:$K150)&gt;0),"Con subactividades: deje vacías las semanas (se calculan solas)"&amp;" · ","")&amp;IF((COUNTIF($H150:$K150,"&gt;1")+COUNTIF($H150:$K150,"&lt;0")+COUNTA($H150:$K150)-COUNT($H150:$K150))&gt;0,"Avance fuera de rango 0-100%"&amp;" · ","")&amp;IF(OR(AND($I150&lt;&gt;"",$I150&lt;$H150),AND($J150&lt;&gt;"",$J150&lt;MAX($H150:$I150)),AND($K150&lt;&gt;"",$K150&lt;MAX($H150:$J150))),"Avance semanal decreciente"&amp;" · ","")&amp;IF(AND(ISNUMBER($F150),$F150&lt;FechaRef,N($L150)&lt;1),"Vencida"&amp;" · ","")&amp;IF(AND(ObsObligatoria="Sí",ISNUMBER($F150),$F150&lt;FechaRef,N($L150)&lt;1,$N150=""),"Vencida sin observación"&amp;" · ",""))="","✔ OK","⚠ "&amp;LEFT(IF(AND($S150="Macro",$B150=""),"Macroactividad vacía"&amp;" · ","")&amp;IF(AND($B150&lt;&gt;"",$C150&lt;&gt;""),"Escriba la subactividad en otra fila, debajo de su macroactividad"&amp;" · ","")&amp;IF(AND($S150="Sub",N($R150)=0),"Subactividad sin macroactividad arriba"&amp;" · ","")&amp;IF($D150="","Sin responsable"&amp;" · ","")&amp;IF($E150="","Sin fecha de inicio"&amp;" · ","")&amp;IF($F150="","Sin fecha límite"&amp;" · ","")&amp;IF(OR(AND($E150&lt;&gt;"",NOT(ISNUMBER($E150))),AND($F150&lt;&gt;"",NOT(ISNUMBER($F150)))),"Fecha no válida"&amp;" · ","")&amp;IF(AND(ISNUMBER($E150),ISNUMBER($F150),$E150&gt;$F150),"Inicio posterior a fecha límite"&amp;" · ","")&amp;IF(AND($S150="Macro",$G150=""),"Peso vacío"&amp;" · ","")&amp;IF(AND($S150="Macro",$G150&lt;&gt;"",OR(NOT(ISNUMBER($G150)),$G150&lt;=0,$G150&gt;1)),"Peso fuera de rango"&amp;" · ","")&amp;IF(AND($S150="Sub",$G150&lt;&gt;""),"Las subactividades no llevan peso"&amp;" · ","")&amp;IF(AND($S150="Macro",ABS(SUMIFS($G$5:$G$1000,$P$5:$P$1000,$P150,$S$5:$S$1000,"Macro")-1)&gt;0.0001),"Pesos del mes suman "&amp;TEXT(SUMIFS($G$5:$G$1000,$P$5:$P$1000,$P150,$S$5:$S$1000,"Macro"),"0%")&amp;" · ","")&amp;IF(AND(N($T150)&gt;0,COUNT($H150:$K150)&gt;0),"Con subactividades: deje vacías las semanas (se calculan solas)"&amp;" · ","")&amp;IF((COUNTIF($H150:$K150,"&gt;1")+COUNTIF($H150:$K150,"&lt;0")+COUNTA($H150:$K150)-COUNT($H150:$K150))&gt;0,"Avance fuera de rango 0-100%"&amp;" · ","")&amp;IF(OR(AND($I150&lt;&gt;"",$I150&lt;$H150),AND($J150&lt;&gt;"",$J150&lt;MAX($H150:$I150)),AND($K150&lt;&gt;"",$K150&lt;MAX($H150:$J150))),"Avance semanal decreciente"&amp;" · ","")&amp;IF(AND(ISNUMBER($F150),$F150&lt;FechaRef,N($L150)&lt;1),"Vencida"&amp;" · ","")&amp;IF(AND(ObsObligatoria="Sí",ISNUMBER($F150),$F150&lt;FechaRef,N($L150)&lt;1,$N150=""),"Vencida sin observación"&amp;" · ",""),LEN(IF(AND($S150="Macro",$B150=""),"Macroactividad vacía"&amp;" · ","")&amp;IF(AND($B150&lt;&gt;"",$C150&lt;&gt;""),"Escriba la subactividad en otra fila, debajo de su macroactividad"&amp;" · ","")&amp;IF(AND($S150="Sub",N($R150)=0),"Subactividad sin macroactividad arriba"&amp;" · ","")&amp;IF($D150="","Sin responsable"&amp;" · ","")&amp;IF($E150="","Sin fecha de inicio"&amp;" · ","")&amp;IF($F150="","Sin fecha límite"&amp;" · ","")&amp;IF(OR(AND($E150&lt;&gt;"",NOT(ISNUMBER($E150))),AND($F150&lt;&gt;"",NOT(ISNUMBER($F150)))),"Fecha no válida"&amp;" · ","")&amp;IF(AND(ISNUMBER($E150),ISNUMBER($F150),$E150&gt;$F150),"Inicio posterior a fecha límite"&amp;" · ","")&amp;IF(AND($S150="Macro",$G150=""),"Peso vacío"&amp;" · ","")&amp;IF(AND($S150="Macro",$G150&lt;&gt;"",OR(NOT(ISNUMBER($G150)),$G150&lt;=0,$G150&gt;1)),"Peso fuera de rango"&amp;" · ","")&amp;IF(AND($S150="Sub",$G150&lt;&gt;""),"Las subactividades no llevan peso"&amp;" · ","")&amp;IF(AND($S150="Macro",ABS(SUMIFS($G$5:$G$1000,$P$5:$P$1000,$P150,$S$5:$S$1000,"Macro")-1)&gt;0.0001),"Pesos del mes suman "&amp;TEXT(SUMIFS($G$5:$G$1000,$P$5:$P$1000,$P150,$S$5:$S$1000,"Macro"),"0%")&amp;" · ","")&amp;IF(AND(N($T150)&gt;0,COUNT($H150:$K150)&gt;0),"Con subactividades: deje vacías las semanas (se calculan solas)"&amp;" · ","")&amp;IF((COUNTIF($H150:$K150,"&gt;1")+COUNTIF($H150:$K150,"&lt;0")+COUNTA($H150:$K150)-COUNT($H150:$K150))&gt;0,"Avance fuera de rango 0-100%"&amp;" · ","")&amp;IF(OR(AND($I150&lt;&gt;"",$I150&lt;$H150),AND($J150&lt;&gt;"",$J150&lt;MAX($H150:$I150)),AND($K150&lt;&gt;"",$K150&lt;MAX($H150:$J150))),"Avance semanal decreciente"&amp;" · ","")&amp;IF(AND(ISNUMBER($F150),$F150&lt;FechaRef,N($L150)&lt;1),"Vencida"&amp;" · ","")&amp;IF(AND(ObsObligatoria="Sí",ISNUMBER($F150),$F150&lt;FechaRef,N($L150)&lt;1,$N150=""),"Vencida sin observación"&amp;" · ",""))-3)))</f>
        <v/>
      </c>
      <c r="P150" s="69">
        <f>IF(NOT((COUNTA($B150:$K150)+COUNTA($N150))&gt;0),"",IF(AND($S150="Sub",N($R150)&gt;0),IF(ISNUMBER(INDEX($E$5:$E$1000,$R150-4)),DATE(YEAR(INDEX($E$5:$E$1000,$R150-4)),MONTH(INDEX($E$5:$E$1000,$R150-4)),1),IF(ISNUMBER(INDEX($F$5:$F$1000,$R150-4)),DATE(YEAR(INDEX($F$5:$F$1000,$R150-4)),MONTH(INDEX($F$5:$F$1000,$R150-4)),1),MesCiclo)),IF(ISNUMBER($E150),DATE(YEAR($E150),MONTH($E150),1),IF(ISNUMBER($F150),DATE(YEAR($F150),MONTH($F150),1),MesCiclo))))</f>
        <v/>
      </c>
      <c r="Q150" s="70">
        <f>IF(OR($P150="",$P150&lt;&gt;MesCiclo),"",COUNTIF($P$5:$P150,MesCiclo))</f>
        <v/>
      </c>
      <c r="R150" s="70">
        <f>IF($S150="","",IF($S150="Macro",ROW(),IFERROR(LOOKUP(2,1/($S$5:$S150="Macro"),ROW($S$5:$S150)),0)))</f>
        <v/>
      </c>
      <c r="S150" s="70">
        <f>IF(NOT((COUNTA($B150:$K150)+COUNTA($N150))&gt;0),"",IF($B150&lt;&gt;"","Macro",IF($C150&lt;&gt;"","Sub","Macro")))</f>
        <v/>
      </c>
      <c r="T150" s="70">
        <f>IF($S150="Macro",COUNTIFS($R$5:$R$1000,ROW(),$S$5:$S$1000,"Sub"),"")</f>
        <v/>
      </c>
      <c r="U150" s="70">
        <f>IF($S150="","",IF(ISNUMBER($H150),$H150,0))</f>
        <v/>
      </c>
      <c r="V150" s="70">
        <f>IF($S150="","",IF(ISNUMBER($I150),$I150,$U150))</f>
        <v/>
      </c>
      <c r="W150" s="70">
        <f>IF($S150="","",IF(ISNUMBER($J150),$J150,$V150))</f>
        <v/>
      </c>
      <c r="X150" s="70">
        <f>IF($S150="","",IF(ISNUMBER($K150),$K150,$W150))</f>
        <v/>
      </c>
      <c r="Y150" s="70">
        <f>IF($S150="","",IF(N($T150)&gt;0,AVERAGEIFS($U$5:$U$1000,$R$5:$R$1000,ROW(),$S$5:$S$1000,"Sub"),$U150))</f>
        <v/>
      </c>
      <c r="Z150" s="70">
        <f>IF($S150="","",IF(N($T150)&gt;0,AVERAGEIFS($V$5:$V$1000,$R$5:$R$1000,ROW(),$S$5:$S$1000,"Sub"),$V150))</f>
        <v/>
      </c>
      <c r="AA150" s="70">
        <f>IF($S150="","",IF(N($T150)&gt;0,AVERAGEIFS($W$5:$W$1000,$R$5:$R$1000,ROW(),$S$5:$S$1000,"Sub"),$W150))</f>
        <v/>
      </c>
      <c r="AB150" s="70">
        <f>IF($S150="","",IF(N($T150)&gt;0,AVERAGEIFS($X$5:$X$1000,$R$5:$R$1000,ROW(),$S$5:$S$1000,"Sub"),$X150))</f>
        <v/>
      </c>
    </row>
    <row r="151">
      <c r="A151" s="61">
        <f>IF(NOT((COUNTA($B151:$K151)+COUNTA($N151))&gt;0),"",IF($S151="Macro",COUNTIFS($S$5:$S151,"Macro",$P$5:$P151,$P151),IF(N($R151)=0,"?",COUNTIFS(INDEX($S$5:$S$1000,1):INDEX($S$5:$S$1000,$R151-4),"Macro",INDEX($P$5:$P$1000,1):INDEX($P$5:$P$1000,$R151-4),INDEX($P$5:$P$1000,$R151-4))&amp;"."&amp;COUNTIFS($R$5:$R151,$R151,$S$5:$S151,"Sub"))))</f>
        <v/>
      </c>
      <c r="B151" s="62" t="n"/>
      <c r="C151" s="63" t="n"/>
      <c r="D151" s="62" t="n"/>
      <c r="E151" s="64" t="n"/>
      <c r="F151" s="64" t="n"/>
      <c r="G151" s="65" t="n"/>
      <c r="H151" s="66" t="n"/>
      <c r="I151" s="66" t="n"/>
      <c r="J151" s="66" t="n"/>
      <c r="K151" s="66" t="n"/>
      <c r="L151" s="67">
        <f>IF(NOT((COUNTA($B151:$K151)+COUNTA($N151))&gt;0),"",IF(N($T151)&gt;0,$AB151,IFERROR(LOOKUP(2,1/(H151:K151&lt;&gt;""),H151:K151),0)))</f>
        <v/>
      </c>
      <c r="M151" s="61">
        <f>IF(L151="","",IF(L151&gt;=1,"Completado",IF(L151&gt;0,"En curso","Pendiente")))</f>
        <v/>
      </c>
      <c r="N151" s="62" t="n"/>
      <c r="O151" s="68">
        <f>IF(NOT((COUNTA($B151:$K151)+COUNTA($N151))&gt;0),"",IF((IF(AND($S151="Macro",$B151=""),"Macroactividad vacía"&amp;" · ","")&amp;IF(AND($B151&lt;&gt;"",$C151&lt;&gt;""),"Escriba la subactividad en otra fila, debajo de su macroactividad"&amp;" · ","")&amp;IF(AND($S151="Sub",N($R151)=0),"Subactividad sin macroactividad arriba"&amp;" · ","")&amp;IF($D151="","Sin responsable"&amp;" · ","")&amp;IF($E151="","Sin fecha de inicio"&amp;" · ","")&amp;IF($F151="","Sin fecha límite"&amp;" · ","")&amp;IF(OR(AND($E151&lt;&gt;"",NOT(ISNUMBER($E151))),AND($F151&lt;&gt;"",NOT(ISNUMBER($F151)))),"Fecha no válida"&amp;" · ","")&amp;IF(AND(ISNUMBER($E151),ISNUMBER($F151),$E151&gt;$F151),"Inicio posterior a fecha límite"&amp;" · ","")&amp;IF(AND($S151="Macro",$G151=""),"Peso vacío"&amp;" · ","")&amp;IF(AND($S151="Macro",$G151&lt;&gt;"",OR(NOT(ISNUMBER($G151)),$G151&lt;=0,$G151&gt;1)),"Peso fuera de rango"&amp;" · ","")&amp;IF(AND($S151="Sub",$G151&lt;&gt;""),"Las subactividades no llevan peso"&amp;" · ","")&amp;IF(AND($S151="Macro",ABS(SUMIFS($G$5:$G$1000,$P$5:$P$1000,$P151,$S$5:$S$1000,"Macro")-1)&gt;0.0001),"Pesos del mes suman "&amp;TEXT(SUMIFS($G$5:$G$1000,$P$5:$P$1000,$P151,$S$5:$S$1000,"Macro"),"0%")&amp;" · ","")&amp;IF(AND(N($T151)&gt;0,COUNT($H151:$K151)&gt;0),"Con subactividades: deje vacías las semanas (se calculan solas)"&amp;" · ","")&amp;IF((COUNTIF($H151:$K151,"&gt;1")+COUNTIF($H151:$K151,"&lt;0")+COUNTA($H151:$K151)-COUNT($H151:$K151))&gt;0,"Avance fuera de rango 0-100%"&amp;" · ","")&amp;IF(OR(AND($I151&lt;&gt;"",$I151&lt;$H151),AND($J151&lt;&gt;"",$J151&lt;MAX($H151:$I151)),AND($K151&lt;&gt;"",$K151&lt;MAX($H151:$J151))),"Avance semanal decreciente"&amp;" · ","")&amp;IF(AND(ISNUMBER($F151),$F151&lt;FechaRef,N($L151)&lt;1),"Vencida"&amp;" · ","")&amp;IF(AND(ObsObligatoria="Sí",ISNUMBER($F151),$F151&lt;FechaRef,N($L151)&lt;1,$N151=""),"Vencida sin observación"&amp;" · ",""))="","✔ OK","⚠ "&amp;LEFT(IF(AND($S151="Macro",$B151=""),"Macroactividad vacía"&amp;" · ","")&amp;IF(AND($B151&lt;&gt;"",$C151&lt;&gt;""),"Escriba la subactividad en otra fila, debajo de su macroactividad"&amp;" · ","")&amp;IF(AND($S151="Sub",N($R151)=0),"Subactividad sin macroactividad arriba"&amp;" · ","")&amp;IF($D151="","Sin responsable"&amp;" · ","")&amp;IF($E151="","Sin fecha de inicio"&amp;" · ","")&amp;IF($F151="","Sin fecha límite"&amp;" · ","")&amp;IF(OR(AND($E151&lt;&gt;"",NOT(ISNUMBER($E151))),AND($F151&lt;&gt;"",NOT(ISNUMBER($F151)))),"Fecha no válida"&amp;" · ","")&amp;IF(AND(ISNUMBER($E151),ISNUMBER($F151),$E151&gt;$F151),"Inicio posterior a fecha límite"&amp;" · ","")&amp;IF(AND($S151="Macro",$G151=""),"Peso vacío"&amp;" · ","")&amp;IF(AND($S151="Macro",$G151&lt;&gt;"",OR(NOT(ISNUMBER($G151)),$G151&lt;=0,$G151&gt;1)),"Peso fuera de rango"&amp;" · ","")&amp;IF(AND($S151="Sub",$G151&lt;&gt;""),"Las subactividades no llevan peso"&amp;" · ","")&amp;IF(AND($S151="Macro",ABS(SUMIFS($G$5:$G$1000,$P$5:$P$1000,$P151,$S$5:$S$1000,"Macro")-1)&gt;0.0001),"Pesos del mes suman "&amp;TEXT(SUMIFS($G$5:$G$1000,$P$5:$P$1000,$P151,$S$5:$S$1000,"Macro"),"0%")&amp;" · ","")&amp;IF(AND(N($T151)&gt;0,COUNT($H151:$K151)&gt;0),"Con subactividades: deje vacías las semanas (se calculan solas)"&amp;" · ","")&amp;IF((COUNTIF($H151:$K151,"&gt;1")+COUNTIF($H151:$K151,"&lt;0")+COUNTA($H151:$K151)-COUNT($H151:$K151))&gt;0,"Avance fuera de rango 0-100%"&amp;" · ","")&amp;IF(OR(AND($I151&lt;&gt;"",$I151&lt;$H151),AND($J151&lt;&gt;"",$J151&lt;MAX($H151:$I151)),AND($K151&lt;&gt;"",$K151&lt;MAX($H151:$J151))),"Avance semanal decreciente"&amp;" · ","")&amp;IF(AND(ISNUMBER($F151),$F151&lt;FechaRef,N($L151)&lt;1),"Vencida"&amp;" · ","")&amp;IF(AND(ObsObligatoria="Sí",ISNUMBER($F151),$F151&lt;FechaRef,N($L151)&lt;1,$N151=""),"Vencida sin observación"&amp;" · ",""),LEN(IF(AND($S151="Macro",$B151=""),"Macroactividad vacía"&amp;" · ","")&amp;IF(AND($B151&lt;&gt;"",$C151&lt;&gt;""),"Escriba la subactividad en otra fila, debajo de su macroactividad"&amp;" · ","")&amp;IF(AND($S151="Sub",N($R151)=0),"Subactividad sin macroactividad arriba"&amp;" · ","")&amp;IF($D151="","Sin responsable"&amp;" · ","")&amp;IF($E151="","Sin fecha de inicio"&amp;" · ","")&amp;IF($F151="","Sin fecha límite"&amp;" · ","")&amp;IF(OR(AND($E151&lt;&gt;"",NOT(ISNUMBER($E151))),AND($F151&lt;&gt;"",NOT(ISNUMBER($F151)))),"Fecha no válida"&amp;" · ","")&amp;IF(AND(ISNUMBER($E151),ISNUMBER($F151),$E151&gt;$F151),"Inicio posterior a fecha límite"&amp;" · ","")&amp;IF(AND($S151="Macro",$G151=""),"Peso vacío"&amp;" · ","")&amp;IF(AND($S151="Macro",$G151&lt;&gt;"",OR(NOT(ISNUMBER($G151)),$G151&lt;=0,$G151&gt;1)),"Peso fuera de rango"&amp;" · ","")&amp;IF(AND($S151="Sub",$G151&lt;&gt;""),"Las subactividades no llevan peso"&amp;" · ","")&amp;IF(AND($S151="Macro",ABS(SUMIFS($G$5:$G$1000,$P$5:$P$1000,$P151,$S$5:$S$1000,"Macro")-1)&gt;0.0001),"Pesos del mes suman "&amp;TEXT(SUMIFS($G$5:$G$1000,$P$5:$P$1000,$P151,$S$5:$S$1000,"Macro"),"0%")&amp;" · ","")&amp;IF(AND(N($T151)&gt;0,COUNT($H151:$K151)&gt;0),"Con subactividades: deje vacías las semanas (se calculan solas)"&amp;" · ","")&amp;IF((COUNTIF($H151:$K151,"&gt;1")+COUNTIF($H151:$K151,"&lt;0")+COUNTA($H151:$K151)-COUNT($H151:$K151))&gt;0,"Avance fuera de rango 0-100%"&amp;" · ","")&amp;IF(OR(AND($I151&lt;&gt;"",$I151&lt;$H151),AND($J151&lt;&gt;"",$J151&lt;MAX($H151:$I151)),AND($K151&lt;&gt;"",$K151&lt;MAX($H151:$J151))),"Avance semanal decreciente"&amp;" · ","")&amp;IF(AND(ISNUMBER($F151),$F151&lt;FechaRef,N($L151)&lt;1),"Vencida"&amp;" · ","")&amp;IF(AND(ObsObligatoria="Sí",ISNUMBER($F151),$F151&lt;FechaRef,N($L151)&lt;1,$N151=""),"Vencida sin observación"&amp;" · ",""))-3)))</f>
        <v/>
      </c>
      <c r="P151" s="69">
        <f>IF(NOT((COUNTA($B151:$K151)+COUNTA($N151))&gt;0),"",IF(AND($S151="Sub",N($R151)&gt;0),IF(ISNUMBER(INDEX($E$5:$E$1000,$R151-4)),DATE(YEAR(INDEX($E$5:$E$1000,$R151-4)),MONTH(INDEX($E$5:$E$1000,$R151-4)),1),IF(ISNUMBER(INDEX($F$5:$F$1000,$R151-4)),DATE(YEAR(INDEX($F$5:$F$1000,$R151-4)),MONTH(INDEX($F$5:$F$1000,$R151-4)),1),MesCiclo)),IF(ISNUMBER($E151),DATE(YEAR($E151),MONTH($E151),1),IF(ISNUMBER($F151),DATE(YEAR($F151),MONTH($F151),1),MesCiclo))))</f>
        <v/>
      </c>
      <c r="Q151" s="70">
        <f>IF(OR($P151="",$P151&lt;&gt;MesCiclo),"",COUNTIF($P$5:$P151,MesCiclo))</f>
        <v/>
      </c>
      <c r="R151" s="70">
        <f>IF($S151="","",IF($S151="Macro",ROW(),IFERROR(LOOKUP(2,1/($S$5:$S151="Macro"),ROW($S$5:$S151)),0)))</f>
        <v/>
      </c>
      <c r="S151" s="70">
        <f>IF(NOT((COUNTA($B151:$K151)+COUNTA($N151))&gt;0),"",IF($B151&lt;&gt;"","Macro",IF($C151&lt;&gt;"","Sub","Macro")))</f>
        <v/>
      </c>
      <c r="T151" s="70">
        <f>IF($S151="Macro",COUNTIFS($R$5:$R$1000,ROW(),$S$5:$S$1000,"Sub"),"")</f>
        <v/>
      </c>
      <c r="U151" s="70">
        <f>IF($S151="","",IF(ISNUMBER($H151),$H151,0))</f>
        <v/>
      </c>
      <c r="V151" s="70">
        <f>IF($S151="","",IF(ISNUMBER($I151),$I151,$U151))</f>
        <v/>
      </c>
      <c r="W151" s="70">
        <f>IF($S151="","",IF(ISNUMBER($J151),$J151,$V151))</f>
        <v/>
      </c>
      <c r="X151" s="70">
        <f>IF($S151="","",IF(ISNUMBER($K151),$K151,$W151))</f>
        <v/>
      </c>
      <c r="Y151" s="70">
        <f>IF($S151="","",IF(N($T151)&gt;0,AVERAGEIFS($U$5:$U$1000,$R$5:$R$1000,ROW(),$S$5:$S$1000,"Sub"),$U151))</f>
        <v/>
      </c>
      <c r="Z151" s="70">
        <f>IF($S151="","",IF(N($T151)&gt;0,AVERAGEIFS($V$5:$V$1000,$R$5:$R$1000,ROW(),$S$5:$S$1000,"Sub"),$V151))</f>
        <v/>
      </c>
      <c r="AA151" s="70">
        <f>IF($S151="","",IF(N($T151)&gt;0,AVERAGEIFS($W$5:$W$1000,$R$5:$R$1000,ROW(),$S$5:$S$1000,"Sub"),$W151))</f>
        <v/>
      </c>
      <c r="AB151" s="70">
        <f>IF($S151="","",IF(N($T151)&gt;0,AVERAGEIFS($X$5:$X$1000,$R$5:$R$1000,ROW(),$S$5:$S$1000,"Sub"),$X151))</f>
        <v/>
      </c>
    </row>
    <row r="152">
      <c r="A152" s="61">
        <f>IF(NOT((COUNTA($B152:$K152)+COUNTA($N152))&gt;0),"",IF($S152="Macro",COUNTIFS($S$5:$S152,"Macro",$P$5:$P152,$P152),IF(N($R152)=0,"?",COUNTIFS(INDEX($S$5:$S$1000,1):INDEX($S$5:$S$1000,$R152-4),"Macro",INDEX($P$5:$P$1000,1):INDEX($P$5:$P$1000,$R152-4),INDEX($P$5:$P$1000,$R152-4))&amp;"."&amp;COUNTIFS($R$5:$R152,$R152,$S$5:$S152,"Sub"))))</f>
        <v/>
      </c>
      <c r="B152" s="62" t="n"/>
      <c r="C152" s="63" t="n"/>
      <c r="D152" s="62" t="n"/>
      <c r="E152" s="64" t="n"/>
      <c r="F152" s="64" t="n"/>
      <c r="G152" s="65" t="n"/>
      <c r="H152" s="66" t="n"/>
      <c r="I152" s="66" t="n"/>
      <c r="J152" s="66" t="n"/>
      <c r="K152" s="66" t="n"/>
      <c r="L152" s="67">
        <f>IF(NOT((COUNTA($B152:$K152)+COUNTA($N152))&gt;0),"",IF(N($T152)&gt;0,$AB152,IFERROR(LOOKUP(2,1/(H152:K152&lt;&gt;""),H152:K152),0)))</f>
        <v/>
      </c>
      <c r="M152" s="61">
        <f>IF(L152="","",IF(L152&gt;=1,"Completado",IF(L152&gt;0,"En curso","Pendiente")))</f>
        <v/>
      </c>
      <c r="N152" s="62" t="n"/>
      <c r="O152" s="68">
        <f>IF(NOT((COUNTA($B152:$K152)+COUNTA($N152))&gt;0),"",IF((IF(AND($S152="Macro",$B152=""),"Macroactividad vacía"&amp;" · ","")&amp;IF(AND($B152&lt;&gt;"",$C152&lt;&gt;""),"Escriba la subactividad en otra fila, debajo de su macroactividad"&amp;" · ","")&amp;IF(AND($S152="Sub",N($R152)=0),"Subactividad sin macroactividad arriba"&amp;" · ","")&amp;IF($D152="","Sin responsable"&amp;" · ","")&amp;IF($E152="","Sin fecha de inicio"&amp;" · ","")&amp;IF($F152="","Sin fecha límite"&amp;" · ","")&amp;IF(OR(AND($E152&lt;&gt;"",NOT(ISNUMBER($E152))),AND($F152&lt;&gt;"",NOT(ISNUMBER($F152)))),"Fecha no válida"&amp;" · ","")&amp;IF(AND(ISNUMBER($E152),ISNUMBER($F152),$E152&gt;$F152),"Inicio posterior a fecha límite"&amp;" · ","")&amp;IF(AND($S152="Macro",$G152=""),"Peso vacío"&amp;" · ","")&amp;IF(AND($S152="Macro",$G152&lt;&gt;"",OR(NOT(ISNUMBER($G152)),$G152&lt;=0,$G152&gt;1)),"Peso fuera de rango"&amp;" · ","")&amp;IF(AND($S152="Sub",$G152&lt;&gt;""),"Las subactividades no llevan peso"&amp;" · ","")&amp;IF(AND($S152="Macro",ABS(SUMIFS($G$5:$G$1000,$P$5:$P$1000,$P152,$S$5:$S$1000,"Macro")-1)&gt;0.0001),"Pesos del mes suman "&amp;TEXT(SUMIFS($G$5:$G$1000,$P$5:$P$1000,$P152,$S$5:$S$1000,"Macro"),"0%")&amp;" · ","")&amp;IF(AND(N($T152)&gt;0,COUNT($H152:$K152)&gt;0),"Con subactividades: deje vacías las semanas (se calculan solas)"&amp;" · ","")&amp;IF((COUNTIF($H152:$K152,"&gt;1")+COUNTIF($H152:$K152,"&lt;0")+COUNTA($H152:$K152)-COUNT($H152:$K152))&gt;0,"Avance fuera de rango 0-100%"&amp;" · ","")&amp;IF(OR(AND($I152&lt;&gt;"",$I152&lt;$H152),AND($J152&lt;&gt;"",$J152&lt;MAX($H152:$I152)),AND($K152&lt;&gt;"",$K152&lt;MAX($H152:$J152))),"Avance semanal decreciente"&amp;" · ","")&amp;IF(AND(ISNUMBER($F152),$F152&lt;FechaRef,N($L152)&lt;1),"Vencida"&amp;" · ","")&amp;IF(AND(ObsObligatoria="Sí",ISNUMBER($F152),$F152&lt;FechaRef,N($L152)&lt;1,$N152=""),"Vencida sin observación"&amp;" · ",""))="","✔ OK","⚠ "&amp;LEFT(IF(AND($S152="Macro",$B152=""),"Macroactividad vacía"&amp;" · ","")&amp;IF(AND($B152&lt;&gt;"",$C152&lt;&gt;""),"Escriba la subactividad en otra fila, debajo de su macroactividad"&amp;" · ","")&amp;IF(AND($S152="Sub",N($R152)=0),"Subactividad sin macroactividad arriba"&amp;" · ","")&amp;IF($D152="","Sin responsable"&amp;" · ","")&amp;IF($E152="","Sin fecha de inicio"&amp;" · ","")&amp;IF($F152="","Sin fecha límite"&amp;" · ","")&amp;IF(OR(AND($E152&lt;&gt;"",NOT(ISNUMBER($E152))),AND($F152&lt;&gt;"",NOT(ISNUMBER($F152)))),"Fecha no válida"&amp;" · ","")&amp;IF(AND(ISNUMBER($E152),ISNUMBER($F152),$E152&gt;$F152),"Inicio posterior a fecha límite"&amp;" · ","")&amp;IF(AND($S152="Macro",$G152=""),"Peso vacío"&amp;" · ","")&amp;IF(AND($S152="Macro",$G152&lt;&gt;"",OR(NOT(ISNUMBER($G152)),$G152&lt;=0,$G152&gt;1)),"Peso fuera de rango"&amp;" · ","")&amp;IF(AND($S152="Sub",$G152&lt;&gt;""),"Las subactividades no llevan peso"&amp;" · ","")&amp;IF(AND($S152="Macro",ABS(SUMIFS($G$5:$G$1000,$P$5:$P$1000,$P152,$S$5:$S$1000,"Macro")-1)&gt;0.0001),"Pesos del mes suman "&amp;TEXT(SUMIFS($G$5:$G$1000,$P$5:$P$1000,$P152,$S$5:$S$1000,"Macro"),"0%")&amp;" · ","")&amp;IF(AND(N($T152)&gt;0,COUNT($H152:$K152)&gt;0),"Con subactividades: deje vacías las semanas (se calculan solas)"&amp;" · ","")&amp;IF((COUNTIF($H152:$K152,"&gt;1")+COUNTIF($H152:$K152,"&lt;0")+COUNTA($H152:$K152)-COUNT($H152:$K152))&gt;0,"Avance fuera de rango 0-100%"&amp;" · ","")&amp;IF(OR(AND($I152&lt;&gt;"",$I152&lt;$H152),AND($J152&lt;&gt;"",$J152&lt;MAX($H152:$I152)),AND($K152&lt;&gt;"",$K152&lt;MAX($H152:$J152))),"Avance semanal decreciente"&amp;" · ","")&amp;IF(AND(ISNUMBER($F152),$F152&lt;FechaRef,N($L152)&lt;1),"Vencida"&amp;" · ","")&amp;IF(AND(ObsObligatoria="Sí",ISNUMBER($F152),$F152&lt;FechaRef,N($L152)&lt;1,$N152=""),"Vencida sin observación"&amp;" · ",""),LEN(IF(AND($S152="Macro",$B152=""),"Macroactividad vacía"&amp;" · ","")&amp;IF(AND($B152&lt;&gt;"",$C152&lt;&gt;""),"Escriba la subactividad en otra fila, debajo de su macroactividad"&amp;" · ","")&amp;IF(AND($S152="Sub",N($R152)=0),"Subactividad sin macroactividad arriba"&amp;" · ","")&amp;IF($D152="","Sin responsable"&amp;" · ","")&amp;IF($E152="","Sin fecha de inicio"&amp;" · ","")&amp;IF($F152="","Sin fecha límite"&amp;" · ","")&amp;IF(OR(AND($E152&lt;&gt;"",NOT(ISNUMBER($E152))),AND($F152&lt;&gt;"",NOT(ISNUMBER($F152)))),"Fecha no válida"&amp;" · ","")&amp;IF(AND(ISNUMBER($E152),ISNUMBER($F152),$E152&gt;$F152),"Inicio posterior a fecha límite"&amp;" · ","")&amp;IF(AND($S152="Macro",$G152=""),"Peso vacío"&amp;" · ","")&amp;IF(AND($S152="Macro",$G152&lt;&gt;"",OR(NOT(ISNUMBER($G152)),$G152&lt;=0,$G152&gt;1)),"Peso fuera de rango"&amp;" · ","")&amp;IF(AND($S152="Sub",$G152&lt;&gt;""),"Las subactividades no llevan peso"&amp;" · ","")&amp;IF(AND($S152="Macro",ABS(SUMIFS($G$5:$G$1000,$P$5:$P$1000,$P152,$S$5:$S$1000,"Macro")-1)&gt;0.0001),"Pesos del mes suman "&amp;TEXT(SUMIFS($G$5:$G$1000,$P$5:$P$1000,$P152,$S$5:$S$1000,"Macro"),"0%")&amp;" · ","")&amp;IF(AND(N($T152)&gt;0,COUNT($H152:$K152)&gt;0),"Con subactividades: deje vacías las semanas (se calculan solas)"&amp;" · ","")&amp;IF((COUNTIF($H152:$K152,"&gt;1")+COUNTIF($H152:$K152,"&lt;0")+COUNTA($H152:$K152)-COUNT($H152:$K152))&gt;0,"Avance fuera de rango 0-100%"&amp;" · ","")&amp;IF(OR(AND($I152&lt;&gt;"",$I152&lt;$H152),AND($J152&lt;&gt;"",$J152&lt;MAX($H152:$I152)),AND($K152&lt;&gt;"",$K152&lt;MAX($H152:$J152))),"Avance semanal decreciente"&amp;" · ","")&amp;IF(AND(ISNUMBER($F152),$F152&lt;FechaRef,N($L152)&lt;1),"Vencida"&amp;" · ","")&amp;IF(AND(ObsObligatoria="Sí",ISNUMBER($F152),$F152&lt;FechaRef,N($L152)&lt;1,$N152=""),"Vencida sin observación"&amp;" · ",""))-3)))</f>
        <v/>
      </c>
      <c r="P152" s="69">
        <f>IF(NOT((COUNTA($B152:$K152)+COUNTA($N152))&gt;0),"",IF(AND($S152="Sub",N($R152)&gt;0),IF(ISNUMBER(INDEX($E$5:$E$1000,$R152-4)),DATE(YEAR(INDEX($E$5:$E$1000,$R152-4)),MONTH(INDEX($E$5:$E$1000,$R152-4)),1),IF(ISNUMBER(INDEX($F$5:$F$1000,$R152-4)),DATE(YEAR(INDEX($F$5:$F$1000,$R152-4)),MONTH(INDEX($F$5:$F$1000,$R152-4)),1),MesCiclo)),IF(ISNUMBER($E152),DATE(YEAR($E152),MONTH($E152),1),IF(ISNUMBER($F152),DATE(YEAR($F152),MONTH($F152),1),MesCiclo))))</f>
        <v/>
      </c>
      <c r="Q152" s="70">
        <f>IF(OR($P152="",$P152&lt;&gt;MesCiclo),"",COUNTIF($P$5:$P152,MesCiclo))</f>
        <v/>
      </c>
      <c r="R152" s="70">
        <f>IF($S152="","",IF($S152="Macro",ROW(),IFERROR(LOOKUP(2,1/($S$5:$S152="Macro"),ROW($S$5:$S152)),0)))</f>
        <v/>
      </c>
      <c r="S152" s="70">
        <f>IF(NOT((COUNTA($B152:$K152)+COUNTA($N152))&gt;0),"",IF($B152&lt;&gt;"","Macro",IF($C152&lt;&gt;"","Sub","Macro")))</f>
        <v/>
      </c>
      <c r="T152" s="70">
        <f>IF($S152="Macro",COUNTIFS($R$5:$R$1000,ROW(),$S$5:$S$1000,"Sub"),"")</f>
        <v/>
      </c>
      <c r="U152" s="70">
        <f>IF($S152="","",IF(ISNUMBER($H152),$H152,0))</f>
        <v/>
      </c>
      <c r="V152" s="70">
        <f>IF($S152="","",IF(ISNUMBER($I152),$I152,$U152))</f>
        <v/>
      </c>
      <c r="W152" s="70">
        <f>IF($S152="","",IF(ISNUMBER($J152),$J152,$V152))</f>
        <v/>
      </c>
      <c r="X152" s="70">
        <f>IF($S152="","",IF(ISNUMBER($K152),$K152,$W152))</f>
        <v/>
      </c>
      <c r="Y152" s="70">
        <f>IF($S152="","",IF(N($T152)&gt;0,AVERAGEIFS($U$5:$U$1000,$R$5:$R$1000,ROW(),$S$5:$S$1000,"Sub"),$U152))</f>
        <v/>
      </c>
      <c r="Z152" s="70">
        <f>IF($S152="","",IF(N($T152)&gt;0,AVERAGEIFS($V$5:$V$1000,$R$5:$R$1000,ROW(),$S$5:$S$1000,"Sub"),$V152))</f>
        <v/>
      </c>
      <c r="AA152" s="70">
        <f>IF($S152="","",IF(N($T152)&gt;0,AVERAGEIFS($W$5:$W$1000,$R$5:$R$1000,ROW(),$S$5:$S$1000,"Sub"),$W152))</f>
        <v/>
      </c>
      <c r="AB152" s="70">
        <f>IF($S152="","",IF(N($T152)&gt;0,AVERAGEIFS($X$5:$X$1000,$R$5:$R$1000,ROW(),$S$5:$S$1000,"Sub"),$X152))</f>
        <v/>
      </c>
    </row>
    <row r="153">
      <c r="A153" s="61">
        <f>IF(NOT((COUNTA($B153:$K153)+COUNTA($N153))&gt;0),"",IF($S153="Macro",COUNTIFS($S$5:$S153,"Macro",$P$5:$P153,$P153),IF(N($R153)=0,"?",COUNTIFS(INDEX($S$5:$S$1000,1):INDEX($S$5:$S$1000,$R153-4),"Macro",INDEX($P$5:$P$1000,1):INDEX($P$5:$P$1000,$R153-4),INDEX($P$5:$P$1000,$R153-4))&amp;"."&amp;COUNTIFS($R$5:$R153,$R153,$S$5:$S153,"Sub"))))</f>
        <v/>
      </c>
      <c r="B153" s="62" t="n"/>
      <c r="C153" s="63" t="n"/>
      <c r="D153" s="62" t="n"/>
      <c r="E153" s="64" t="n"/>
      <c r="F153" s="64" t="n"/>
      <c r="G153" s="65" t="n"/>
      <c r="H153" s="66" t="n"/>
      <c r="I153" s="66" t="n"/>
      <c r="J153" s="66" t="n"/>
      <c r="K153" s="66" t="n"/>
      <c r="L153" s="67">
        <f>IF(NOT((COUNTA($B153:$K153)+COUNTA($N153))&gt;0),"",IF(N($T153)&gt;0,$AB153,IFERROR(LOOKUP(2,1/(H153:K153&lt;&gt;""),H153:K153),0)))</f>
        <v/>
      </c>
      <c r="M153" s="61">
        <f>IF(L153="","",IF(L153&gt;=1,"Completado",IF(L153&gt;0,"En curso","Pendiente")))</f>
        <v/>
      </c>
      <c r="N153" s="62" t="n"/>
      <c r="O153" s="68">
        <f>IF(NOT((COUNTA($B153:$K153)+COUNTA($N153))&gt;0),"",IF((IF(AND($S153="Macro",$B153=""),"Macroactividad vacía"&amp;" · ","")&amp;IF(AND($B153&lt;&gt;"",$C153&lt;&gt;""),"Escriba la subactividad en otra fila, debajo de su macroactividad"&amp;" · ","")&amp;IF(AND($S153="Sub",N($R153)=0),"Subactividad sin macroactividad arriba"&amp;" · ","")&amp;IF($D153="","Sin responsable"&amp;" · ","")&amp;IF($E153="","Sin fecha de inicio"&amp;" · ","")&amp;IF($F153="","Sin fecha límite"&amp;" · ","")&amp;IF(OR(AND($E153&lt;&gt;"",NOT(ISNUMBER($E153))),AND($F153&lt;&gt;"",NOT(ISNUMBER($F153)))),"Fecha no válida"&amp;" · ","")&amp;IF(AND(ISNUMBER($E153),ISNUMBER($F153),$E153&gt;$F153),"Inicio posterior a fecha límite"&amp;" · ","")&amp;IF(AND($S153="Macro",$G153=""),"Peso vacío"&amp;" · ","")&amp;IF(AND($S153="Macro",$G153&lt;&gt;"",OR(NOT(ISNUMBER($G153)),$G153&lt;=0,$G153&gt;1)),"Peso fuera de rango"&amp;" · ","")&amp;IF(AND($S153="Sub",$G153&lt;&gt;""),"Las subactividades no llevan peso"&amp;" · ","")&amp;IF(AND($S153="Macro",ABS(SUMIFS($G$5:$G$1000,$P$5:$P$1000,$P153,$S$5:$S$1000,"Macro")-1)&gt;0.0001),"Pesos del mes suman "&amp;TEXT(SUMIFS($G$5:$G$1000,$P$5:$P$1000,$P153,$S$5:$S$1000,"Macro"),"0%")&amp;" · ","")&amp;IF(AND(N($T153)&gt;0,COUNT($H153:$K153)&gt;0),"Con subactividades: deje vacías las semanas (se calculan solas)"&amp;" · ","")&amp;IF((COUNTIF($H153:$K153,"&gt;1")+COUNTIF($H153:$K153,"&lt;0")+COUNTA($H153:$K153)-COUNT($H153:$K153))&gt;0,"Avance fuera de rango 0-100%"&amp;" · ","")&amp;IF(OR(AND($I153&lt;&gt;"",$I153&lt;$H153),AND($J153&lt;&gt;"",$J153&lt;MAX($H153:$I153)),AND($K153&lt;&gt;"",$K153&lt;MAX($H153:$J153))),"Avance semanal decreciente"&amp;" · ","")&amp;IF(AND(ISNUMBER($F153),$F153&lt;FechaRef,N($L153)&lt;1),"Vencida"&amp;" · ","")&amp;IF(AND(ObsObligatoria="Sí",ISNUMBER($F153),$F153&lt;FechaRef,N($L153)&lt;1,$N153=""),"Vencida sin observación"&amp;" · ",""))="","✔ OK","⚠ "&amp;LEFT(IF(AND($S153="Macro",$B153=""),"Macroactividad vacía"&amp;" · ","")&amp;IF(AND($B153&lt;&gt;"",$C153&lt;&gt;""),"Escriba la subactividad en otra fila, debajo de su macroactividad"&amp;" · ","")&amp;IF(AND($S153="Sub",N($R153)=0),"Subactividad sin macroactividad arriba"&amp;" · ","")&amp;IF($D153="","Sin responsable"&amp;" · ","")&amp;IF($E153="","Sin fecha de inicio"&amp;" · ","")&amp;IF($F153="","Sin fecha límite"&amp;" · ","")&amp;IF(OR(AND($E153&lt;&gt;"",NOT(ISNUMBER($E153))),AND($F153&lt;&gt;"",NOT(ISNUMBER($F153)))),"Fecha no válida"&amp;" · ","")&amp;IF(AND(ISNUMBER($E153),ISNUMBER($F153),$E153&gt;$F153),"Inicio posterior a fecha límite"&amp;" · ","")&amp;IF(AND($S153="Macro",$G153=""),"Peso vacío"&amp;" · ","")&amp;IF(AND($S153="Macro",$G153&lt;&gt;"",OR(NOT(ISNUMBER($G153)),$G153&lt;=0,$G153&gt;1)),"Peso fuera de rango"&amp;" · ","")&amp;IF(AND($S153="Sub",$G153&lt;&gt;""),"Las subactividades no llevan peso"&amp;" · ","")&amp;IF(AND($S153="Macro",ABS(SUMIFS($G$5:$G$1000,$P$5:$P$1000,$P153,$S$5:$S$1000,"Macro")-1)&gt;0.0001),"Pesos del mes suman "&amp;TEXT(SUMIFS($G$5:$G$1000,$P$5:$P$1000,$P153,$S$5:$S$1000,"Macro"),"0%")&amp;" · ","")&amp;IF(AND(N($T153)&gt;0,COUNT($H153:$K153)&gt;0),"Con subactividades: deje vacías las semanas (se calculan solas)"&amp;" · ","")&amp;IF((COUNTIF($H153:$K153,"&gt;1")+COUNTIF($H153:$K153,"&lt;0")+COUNTA($H153:$K153)-COUNT($H153:$K153))&gt;0,"Avance fuera de rango 0-100%"&amp;" · ","")&amp;IF(OR(AND($I153&lt;&gt;"",$I153&lt;$H153),AND($J153&lt;&gt;"",$J153&lt;MAX($H153:$I153)),AND($K153&lt;&gt;"",$K153&lt;MAX($H153:$J153))),"Avance semanal decreciente"&amp;" · ","")&amp;IF(AND(ISNUMBER($F153),$F153&lt;FechaRef,N($L153)&lt;1),"Vencida"&amp;" · ","")&amp;IF(AND(ObsObligatoria="Sí",ISNUMBER($F153),$F153&lt;FechaRef,N($L153)&lt;1,$N153=""),"Vencida sin observación"&amp;" · ",""),LEN(IF(AND($S153="Macro",$B153=""),"Macroactividad vacía"&amp;" · ","")&amp;IF(AND($B153&lt;&gt;"",$C153&lt;&gt;""),"Escriba la subactividad en otra fila, debajo de su macroactividad"&amp;" · ","")&amp;IF(AND($S153="Sub",N($R153)=0),"Subactividad sin macroactividad arriba"&amp;" · ","")&amp;IF($D153="","Sin responsable"&amp;" · ","")&amp;IF($E153="","Sin fecha de inicio"&amp;" · ","")&amp;IF($F153="","Sin fecha límite"&amp;" · ","")&amp;IF(OR(AND($E153&lt;&gt;"",NOT(ISNUMBER($E153))),AND($F153&lt;&gt;"",NOT(ISNUMBER($F153)))),"Fecha no válida"&amp;" · ","")&amp;IF(AND(ISNUMBER($E153),ISNUMBER($F153),$E153&gt;$F153),"Inicio posterior a fecha límite"&amp;" · ","")&amp;IF(AND($S153="Macro",$G153=""),"Peso vacío"&amp;" · ","")&amp;IF(AND($S153="Macro",$G153&lt;&gt;"",OR(NOT(ISNUMBER($G153)),$G153&lt;=0,$G153&gt;1)),"Peso fuera de rango"&amp;" · ","")&amp;IF(AND($S153="Sub",$G153&lt;&gt;""),"Las subactividades no llevan peso"&amp;" · ","")&amp;IF(AND($S153="Macro",ABS(SUMIFS($G$5:$G$1000,$P$5:$P$1000,$P153,$S$5:$S$1000,"Macro")-1)&gt;0.0001),"Pesos del mes suman "&amp;TEXT(SUMIFS($G$5:$G$1000,$P$5:$P$1000,$P153,$S$5:$S$1000,"Macro"),"0%")&amp;" · ","")&amp;IF(AND(N($T153)&gt;0,COUNT($H153:$K153)&gt;0),"Con subactividades: deje vacías las semanas (se calculan solas)"&amp;" · ","")&amp;IF((COUNTIF($H153:$K153,"&gt;1")+COUNTIF($H153:$K153,"&lt;0")+COUNTA($H153:$K153)-COUNT($H153:$K153))&gt;0,"Avance fuera de rango 0-100%"&amp;" · ","")&amp;IF(OR(AND($I153&lt;&gt;"",$I153&lt;$H153),AND($J153&lt;&gt;"",$J153&lt;MAX($H153:$I153)),AND($K153&lt;&gt;"",$K153&lt;MAX($H153:$J153))),"Avance semanal decreciente"&amp;" · ","")&amp;IF(AND(ISNUMBER($F153),$F153&lt;FechaRef,N($L153)&lt;1),"Vencida"&amp;" · ","")&amp;IF(AND(ObsObligatoria="Sí",ISNUMBER($F153),$F153&lt;FechaRef,N($L153)&lt;1,$N153=""),"Vencida sin observación"&amp;" · ",""))-3)))</f>
        <v/>
      </c>
      <c r="P153" s="69">
        <f>IF(NOT((COUNTA($B153:$K153)+COUNTA($N153))&gt;0),"",IF(AND($S153="Sub",N($R153)&gt;0),IF(ISNUMBER(INDEX($E$5:$E$1000,$R153-4)),DATE(YEAR(INDEX($E$5:$E$1000,$R153-4)),MONTH(INDEX($E$5:$E$1000,$R153-4)),1),IF(ISNUMBER(INDEX($F$5:$F$1000,$R153-4)),DATE(YEAR(INDEX($F$5:$F$1000,$R153-4)),MONTH(INDEX($F$5:$F$1000,$R153-4)),1),MesCiclo)),IF(ISNUMBER($E153),DATE(YEAR($E153),MONTH($E153),1),IF(ISNUMBER($F153),DATE(YEAR($F153),MONTH($F153),1),MesCiclo))))</f>
        <v/>
      </c>
      <c r="Q153" s="70">
        <f>IF(OR($P153="",$P153&lt;&gt;MesCiclo),"",COUNTIF($P$5:$P153,MesCiclo))</f>
        <v/>
      </c>
      <c r="R153" s="70">
        <f>IF($S153="","",IF($S153="Macro",ROW(),IFERROR(LOOKUP(2,1/($S$5:$S153="Macro"),ROW($S$5:$S153)),0)))</f>
        <v/>
      </c>
      <c r="S153" s="70">
        <f>IF(NOT((COUNTA($B153:$K153)+COUNTA($N153))&gt;0),"",IF($B153&lt;&gt;"","Macro",IF($C153&lt;&gt;"","Sub","Macro")))</f>
        <v/>
      </c>
      <c r="T153" s="70">
        <f>IF($S153="Macro",COUNTIFS($R$5:$R$1000,ROW(),$S$5:$S$1000,"Sub"),"")</f>
        <v/>
      </c>
      <c r="U153" s="70">
        <f>IF($S153="","",IF(ISNUMBER($H153),$H153,0))</f>
        <v/>
      </c>
      <c r="V153" s="70">
        <f>IF($S153="","",IF(ISNUMBER($I153),$I153,$U153))</f>
        <v/>
      </c>
      <c r="W153" s="70">
        <f>IF($S153="","",IF(ISNUMBER($J153),$J153,$V153))</f>
        <v/>
      </c>
      <c r="X153" s="70">
        <f>IF($S153="","",IF(ISNUMBER($K153),$K153,$W153))</f>
        <v/>
      </c>
      <c r="Y153" s="70">
        <f>IF($S153="","",IF(N($T153)&gt;0,AVERAGEIFS($U$5:$U$1000,$R$5:$R$1000,ROW(),$S$5:$S$1000,"Sub"),$U153))</f>
        <v/>
      </c>
      <c r="Z153" s="70">
        <f>IF($S153="","",IF(N($T153)&gt;0,AVERAGEIFS($V$5:$V$1000,$R$5:$R$1000,ROW(),$S$5:$S$1000,"Sub"),$V153))</f>
        <v/>
      </c>
      <c r="AA153" s="70">
        <f>IF($S153="","",IF(N($T153)&gt;0,AVERAGEIFS($W$5:$W$1000,$R$5:$R$1000,ROW(),$S$5:$S$1000,"Sub"),$W153))</f>
        <v/>
      </c>
      <c r="AB153" s="70">
        <f>IF($S153="","",IF(N($T153)&gt;0,AVERAGEIFS($X$5:$X$1000,$R$5:$R$1000,ROW(),$S$5:$S$1000,"Sub"),$X153))</f>
        <v/>
      </c>
    </row>
    <row r="154">
      <c r="A154" s="61">
        <f>IF(NOT((COUNTA($B154:$K154)+COUNTA($N154))&gt;0),"",IF($S154="Macro",COUNTIFS($S$5:$S154,"Macro",$P$5:$P154,$P154),IF(N($R154)=0,"?",COUNTIFS(INDEX($S$5:$S$1000,1):INDEX($S$5:$S$1000,$R154-4),"Macro",INDEX($P$5:$P$1000,1):INDEX($P$5:$P$1000,$R154-4),INDEX($P$5:$P$1000,$R154-4))&amp;"."&amp;COUNTIFS($R$5:$R154,$R154,$S$5:$S154,"Sub"))))</f>
        <v/>
      </c>
      <c r="B154" s="62" t="n"/>
      <c r="C154" s="63" t="n"/>
      <c r="D154" s="62" t="n"/>
      <c r="E154" s="64" t="n"/>
      <c r="F154" s="64" t="n"/>
      <c r="G154" s="65" t="n"/>
      <c r="H154" s="66" t="n"/>
      <c r="I154" s="66" t="n"/>
      <c r="J154" s="66" t="n"/>
      <c r="K154" s="66" t="n"/>
      <c r="L154" s="67">
        <f>IF(NOT((COUNTA($B154:$K154)+COUNTA($N154))&gt;0),"",IF(N($T154)&gt;0,$AB154,IFERROR(LOOKUP(2,1/(H154:K154&lt;&gt;""),H154:K154),0)))</f>
        <v/>
      </c>
      <c r="M154" s="61">
        <f>IF(L154="","",IF(L154&gt;=1,"Completado",IF(L154&gt;0,"En curso","Pendiente")))</f>
        <v/>
      </c>
      <c r="N154" s="62" t="n"/>
      <c r="O154" s="68">
        <f>IF(NOT((COUNTA($B154:$K154)+COUNTA($N154))&gt;0),"",IF((IF(AND($S154="Macro",$B154=""),"Macroactividad vacía"&amp;" · ","")&amp;IF(AND($B154&lt;&gt;"",$C154&lt;&gt;""),"Escriba la subactividad en otra fila, debajo de su macroactividad"&amp;" · ","")&amp;IF(AND($S154="Sub",N($R154)=0),"Subactividad sin macroactividad arriba"&amp;" · ","")&amp;IF($D154="","Sin responsable"&amp;" · ","")&amp;IF($E154="","Sin fecha de inicio"&amp;" · ","")&amp;IF($F154="","Sin fecha límite"&amp;" · ","")&amp;IF(OR(AND($E154&lt;&gt;"",NOT(ISNUMBER($E154))),AND($F154&lt;&gt;"",NOT(ISNUMBER($F154)))),"Fecha no válida"&amp;" · ","")&amp;IF(AND(ISNUMBER($E154),ISNUMBER($F154),$E154&gt;$F154),"Inicio posterior a fecha límite"&amp;" · ","")&amp;IF(AND($S154="Macro",$G154=""),"Peso vacío"&amp;" · ","")&amp;IF(AND($S154="Macro",$G154&lt;&gt;"",OR(NOT(ISNUMBER($G154)),$G154&lt;=0,$G154&gt;1)),"Peso fuera de rango"&amp;" · ","")&amp;IF(AND($S154="Sub",$G154&lt;&gt;""),"Las subactividades no llevan peso"&amp;" · ","")&amp;IF(AND($S154="Macro",ABS(SUMIFS($G$5:$G$1000,$P$5:$P$1000,$P154,$S$5:$S$1000,"Macro")-1)&gt;0.0001),"Pesos del mes suman "&amp;TEXT(SUMIFS($G$5:$G$1000,$P$5:$P$1000,$P154,$S$5:$S$1000,"Macro"),"0%")&amp;" · ","")&amp;IF(AND(N($T154)&gt;0,COUNT($H154:$K154)&gt;0),"Con subactividades: deje vacías las semanas (se calculan solas)"&amp;" · ","")&amp;IF((COUNTIF($H154:$K154,"&gt;1")+COUNTIF($H154:$K154,"&lt;0")+COUNTA($H154:$K154)-COUNT($H154:$K154))&gt;0,"Avance fuera de rango 0-100%"&amp;" · ","")&amp;IF(OR(AND($I154&lt;&gt;"",$I154&lt;$H154),AND($J154&lt;&gt;"",$J154&lt;MAX($H154:$I154)),AND($K154&lt;&gt;"",$K154&lt;MAX($H154:$J154))),"Avance semanal decreciente"&amp;" · ","")&amp;IF(AND(ISNUMBER($F154),$F154&lt;FechaRef,N($L154)&lt;1),"Vencida"&amp;" · ","")&amp;IF(AND(ObsObligatoria="Sí",ISNUMBER($F154),$F154&lt;FechaRef,N($L154)&lt;1,$N154=""),"Vencida sin observación"&amp;" · ",""))="","✔ OK","⚠ "&amp;LEFT(IF(AND($S154="Macro",$B154=""),"Macroactividad vacía"&amp;" · ","")&amp;IF(AND($B154&lt;&gt;"",$C154&lt;&gt;""),"Escriba la subactividad en otra fila, debajo de su macroactividad"&amp;" · ","")&amp;IF(AND($S154="Sub",N($R154)=0),"Subactividad sin macroactividad arriba"&amp;" · ","")&amp;IF($D154="","Sin responsable"&amp;" · ","")&amp;IF($E154="","Sin fecha de inicio"&amp;" · ","")&amp;IF($F154="","Sin fecha límite"&amp;" · ","")&amp;IF(OR(AND($E154&lt;&gt;"",NOT(ISNUMBER($E154))),AND($F154&lt;&gt;"",NOT(ISNUMBER($F154)))),"Fecha no válida"&amp;" · ","")&amp;IF(AND(ISNUMBER($E154),ISNUMBER($F154),$E154&gt;$F154),"Inicio posterior a fecha límite"&amp;" · ","")&amp;IF(AND($S154="Macro",$G154=""),"Peso vacío"&amp;" · ","")&amp;IF(AND($S154="Macro",$G154&lt;&gt;"",OR(NOT(ISNUMBER($G154)),$G154&lt;=0,$G154&gt;1)),"Peso fuera de rango"&amp;" · ","")&amp;IF(AND($S154="Sub",$G154&lt;&gt;""),"Las subactividades no llevan peso"&amp;" · ","")&amp;IF(AND($S154="Macro",ABS(SUMIFS($G$5:$G$1000,$P$5:$P$1000,$P154,$S$5:$S$1000,"Macro")-1)&gt;0.0001),"Pesos del mes suman "&amp;TEXT(SUMIFS($G$5:$G$1000,$P$5:$P$1000,$P154,$S$5:$S$1000,"Macro"),"0%")&amp;" · ","")&amp;IF(AND(N($T154)&gt;0,COUNT($H154:$K154)&gt;0),"Con subactividades: deje vacías las semanas (se calculan solas)"&amp;" · ","")&amp;IF((COUNTIF($H154:$K154,"&gt;1")+COUNTIF($H154:$K154,"&lt;0")+COUNTA($H154:$K154)-COUNT($H154:$K154))&gt;0,"Avance fuera de rango 0-100%"&amp;" · ","")&amp;IF(OR(AND($I154&lt;&gt;"",$I154&lt;$H154),AND($J154&lt;&gt;"",$J154&lt;MAX($H154:$I154)),AND($K154&lt;&gt;"",$K154&lt;MAX($H154:$J154))),"Avance semanal decreciente"&amp;" · ","")&amp;IF(AND(ISNUMBER($F154),$F154&lt;FechaRef,N($L154)&lt;1),"Vencida"&amp;" · ","")&amp;IF(AND(ObsObligatoria="Sí",ISNUMBER($F154),$F154&lt;FechaRef,N($L154)&lt;1,$N154=""),"Vencida sin observación"&amp;" · ",""),LEN(IF(AND($S154="Macro",$B154=""),"Macroactividad vacía"&amp;" · ","")&amp;IF(AND($B154&lt;&gt;"",$C154&lt;&gt;""),"Escriba la subactividad en otra fila, debajo de su macroactividad"&amp;" · ","")&amp;IF(AND($S154="Sub",N($R154)=0),"Subactividad sin macroactividad arriba"&amp;" · ","")&amp;IF($D154="","Sin responsable"&amp;" · ","")&amp;IF($E154="","Sin fecha de inicio"&amp;" · ","")&amp;IF($F154="","Sin fecha límite"&amp;" · ","")&amp;IF(OR(AND($E154&lt;&gt;"",NOT(ISNUMBER($E154))),AND($F154&lt;&gt;"",NOT(ISNUMBER($F154)))),"Fecha no válida"&amp;" · ","")&amp;IF(AND(ISNUMBER($E154),ISNUMBER($F154),$E154&gt;$F154),"Inicio posterior a fecha límite"&amp;" · ","")&amp;IF(AND($S154="Macro",$G154=""),"Peso vacío"&amp;" · ","")&amp;IF(AND($S154="Macro",$G154&lt;&gt;"",OR(NOT(ISNUMBER($G154)),$G154&lt;=0,$G154&gt;1)),"Peso fuera de rango"&amp;" · ","")&amp;IF(AND($S154="Sub",$G154&lt;&gt;""),"Las subactividades no llevan peso"&amp;" · ","")&amp;IF(AND($S154="Macro",ABS(SUMIFS($G$5:$G$1000,$P$5:$P$1000,$P154,$S$5:$S$1000,"Macro")-1)&gt;0.0001),"Pesos del mes suman "&amp;TEXT(SUMIFS($G$5:$G$1000,$P$5:$P$1000,$P154,$S$5:$S$1000,"Macro"),"0%")&amp;" · ","")&amp;IF(AND(N($T154)&gt;0,COUNT($H154:$K154)&gt;0),"Con subactividades: deje vacías las semanas (se calculan solas)"&amp;" · ","")&amp;IF((COUNTIF($H154:$K154,"&gt;1")+COUNTIF($H154:$K154,"&lt;0")+COUNTA($H154:$K154)-COUNT($H154:$K154))&gt;0,"Avance fuera de rango 0-100%"&amp;" · ","")&amp;IF(OR(AND($I154&lt;&gt;"",$I154&lt;$H154),AND($J154&lt;&gt;"",$J154&lt;MAX($H154:$I154)),AND($K154&lt;&gt;"",$K154&lt;MAX($H154:$J154))),"Avance semanal decreciente"&amp;" · ","")&amp;IF(AND(ISNUMBER($F154),$F154&lt;FechaRef,N($L154)&lt;1),"Vencida"&amp;" · ","")&amp;IF(AND(ObsObligatoria="Sí",ISNUMBER($F154),$F154&lt;FechaRef,N($L154)&lt;1,$N154=""),"Vencida sin observación"&amp;" · ",""))-3)))</f>
        <v/>
      </c>
      <c r="P154" s="69">
        <f>IF(NOT((COUNTA($B154:$K154)+COUNTA($N154))&gt;0),"",IF(AND($S154="Sub",N($R154)&gt;0),IF(ISNUMBER(INDEX($E$5:$E$1000,$R154-4)),DATE(YEAR(INDEX($E$5:$E$1000,$R154-4)),MONTH(INDEX($E$5:$E$1000,$R154-4)),1),IF(ISNUMBER(INDEX($F$5:$F$1000,$R154-4)),DATE(YEAR(INDEX($F$5:$F$1000,$R154-4)),MONTH(INDEX($F$5:$F$1000,$R154-4)),1),MesCiclo)),IF(ISNUMBER($E154),DATE(YEAR($E154),MONTH($E154),1),IF(ISNUMBER($F154),DATE(YEAR($F154),MONTH($F154),1),MesCiclo))))</f>
        <v/>
      </c>
      <c r="Q154" s="70">
        <f>IF(OR($P154="",$P154&lt;&gt;MesCiclo),"",COUNTIF($P$5:$P154,MesCiclo))</f>
        <v/>
      </c>
      <c r="R154" s="70">
        <f>IF($S154="","",IF($S154="Macro",ROW(),IFERROR(LOOKUP(2,1/($S$5:$S154="Macro"),ROW($S$5:$S154)),0)))</f>
        <v/>
      </c>
      <c r="S154" s="70">
        <f>IF(NOT((COUNTA($B154:$K154)+COUNTA($N154))&gt;0),"",IF($B154&lt;&gt;"","Macro",IF($C154&lt;&gt;"","Sub","Macro")))</f>
        <v/>
      </c>
      <c r="T154" s="70">
        <f>IF($S154="Macro",COUNTIFS($R$5:$R$1000,ROW(),$S$5:$S$1000,"Sub"),"")</f>
        <v/>
      </c>
      <c r="U154" s="70">
        <f>IF($S154="","",IF(ISNUMBER($H154),$H154,0))</f>
        <v/>
      </c>
      <c r="V154" s="70">
        <f>IF($S154="","",IF(ISNUMBER($I154),$I154,$U154))</f>
        <v/>
      </c>
      <c r="W154" s="70">
        <f>IF($S154="","",IF(ISNUMBER($J154),$J154,$V154))</f>
        <v/>
      </c>
      <c r="X154" s="70">
        <f>IF($S154="","",IF(ISNUMBER($K154),$K154,$W154))</f>
        <v/>
      </c>
      <c r="Y154" s="70">
        <f>IF($S154="","",IF(N($T154)&gt;0,AVERAGEIFS($U$5:$U$1000,$R$5:$R$1000,ROW(),$S$5:$S$1000,"Sub"),$U154))</f>
        <v/>
      </c>
      <c r="Z154" s="70">
        <f>IF($S154="","",IF(N($T154)&gt;0,AVERAGEIFS($V$5:$V$1000,$R$5:$R$1000,ROW(),$S$5:$S$1000,"Sub"),$V154))</f>
        <v/>
      </c>
      <c r="AA154" s="70">
        <f>IF($S154="","",IF(N($T154)&gt;0,AVERAGEIFS($W$5:$W$1000,$R$5:$R$1000,ROW(),$S$5:$S$1000,"Sub"),$W154))</f>
        <v/>
      </c>
      <c r="AB154" s="70">
        <f>IF($S154="","",IF(N($T154)&gt;0,AVERAGEIFS($X$5:$X$1000,$R$5:$R$1000,ROW(),$S$5:$S$1000,"Sub"),$X154))</f>
        <v/>
      </c>
    </row>
    <row r="155">
      <c r="A155" s="61">
        <f>IF(NOT((COUNTA($B155:$K155)+COUNTA($N155))&gt;0),"",IF($S155="Macro",COUNTIFS($S$5:$S155,"Macro",$P$5:$P155,$P155),IF(N($R155)=0,"?",COUNTIFS(INDEX($S$5:$S$1000,1):INDEX($S$5:$S$1000,$R155-4),"Macro",INDEX($P$5:$P$1000,1):INDEX($P$5:$P$1000,$R155-4),INDEX($P$5:$P$1000,$R155-4))&amp;"."&amp;COUNTIFS($R$5:$R155,$R155,$S$5:$S155,"Sub"))))</f>
        <v/>
      </c>
      <c r="B155" s="62" t="n"/>
      <c r="C155" s="63" t="n"/>
      <c r="D155" s="62" t="n"/>
      <c r="E155" s="64" t="n"/>
      <c r="F155" s="64" t="n"/>
      <c r="G155" s="65" t="n"/>
      <c r="H155" s="66" t="n"/>
      <c r="I155" s="66" t="n"/>
      <c r="J155" s="66" t="n"/>
      <c r="K155" s="66" t="n"/>
      <c r="L155" s="67">
        <f>IF(NOT((COUNTA($B155:$K155)+COUNTA($N155))&gt;0),"",IF(N($T155)&gt;0,$AB155,IFERROR(LOOKUP(2,1/(H155:K155&lt;&gt;""),H155:K155),0)))</f>
        <v/>
      </c>
      <c r="M155" s="61">
        <f>IF(L155="","",IF(L155&gt;=1,"Completado",IF(L155&gt;0,"En curso","Pendiente")))</f>
        <v/>
      </c>
      <c r="N155" s="62" t="n"/>
      <c r="O155" s="68">
        <f>IF(NOT((COUNTA($B155:$K155)+COUNTA($N155))&gt;0),"",IF((IF(AND($S155="Macro",$B155=""),"Macroactividad vacía"&amp;" · ","")&amp;IF(AND($B155&lt;&gt;"",$C155&lt;&gt;""),"Escriba la subactividad en otra fila, debajo de su macroactividad"&amp;" · ","")&amp;IF(AND($S155="Sub",N($R155)=0),"Subactividad sin macroactividad arriba"&amp;" · ","")&amp;IF($D155="","Sin responsable"&amp;" · ","")&amp;IF($E155="","Sin fecha de inicio"&amp;" · ","")&amp;IF($F155="","Sin fecha límite"&amp;" · ","")&amp;IF(OR(AND($E155&lt;&gt;"",NOT(ISNUMBER($E155))),AND($F155&lt;&gt;"",NOT(ISNUMBER($F155)))),"Fecha no válida"&amp;" · ","")&amp;IF(AND(ISNUMBER($E155),ISNUMBER($F155),$E155&gt;$F155),"Inicio posterior a fecha límite"&amp;" · ","")&amp;IF(AND($S155="Macro",$G155=""),"Peso vacío"&amp;" · ","")&amp;IF(AND($S155="Macro",$G155&lt;&gt;"",OR(NOT(ISNUMBER($G155)),$G155&lt;=0,$G155&gt;1)),"Peso fuera de rango"&amp;" · ","")&amp;IF(AND($S155="Sub",$G155&lt;&gt;""),"Las subactividades no llevan peso"&amp;" · ","")&amp;IF(AND($S155="Macro",ABS(SUMIFS($G$5:$G$1000,$P$5:$P$1000,$P155,$S$5:$S$1000,"Macro")-1)&gt;0.0001),"Pesos del mes suman "&amp;TEXT(SUMIFS($G$5:$G$1000,$P$5:$P$1000,$P155,$S$5:$S$1000,"Macro"),"0%")&amp;" · ","")&amp;IF(AND(N($T155)&gt;0,COUNT($H155:$K155)&gt;0),"Con subactividades: deje vacías las semanas (se calculan solas)"&amp;" · ","")&amp;IF((COUNTIF($H155:$K155,"&gt;1")+COUNTIF($H155:$K155,"&lt;0")+COUNTA($H155:$K155)-COUNT($H155:$K155))&gt;0,"Avance fuera de rango 0-100%"&amp;" · ","")&amp;IF(OR(AND($I155&lt;&gt;"",$I155&lt;$H155),AND($J155&lt;&gt;"",$J155&lt;MAX($H155:$I155)),AND($K155&lt;&gt;"",$K155&lt;MAX($H155:$J155))),"Avance semanal decreciente"&amp;" · ","")&amp;IF(AND(ISNUMBER($F155),$F155&lt;FechaRef,N($L155)&lt;1),"Vencida"&amp;" · ","")&amp;IF(AND(ObsObligatoria="Sí",ISNUMBER($F155),$F155&lt;FechaRef,N($L155)&lt;1,$N155=""),"Vencida sin observación"&amp;" · ",""))="","✔ OK","⚠ "&amp;LEFT(IF(AND($S155="Macro",$B155=""),"Macroactividad vacía"&amp;" · ","")&amp;IF(AND($B155&lt;&gt;"",$C155&lt;&gt;""),"Escriba la subactividad en otra fila, debajo de su macroactividad"&amp;" · ","")&amp;IF(AND($S155="Sub",N($R155)=0),"Subactividad sin macroactividad arriba"&amp;" · ","")&amp;IF($D155="","Sin responsable"&amp;" · ","")&amp;IF($E155="","Sin fecha de inicio"&amp;" · ","")&amp;IF($F155="","Sin fecha límite"&amp;" · ","")&amp;IF(OR(AND($E155&lt;&gt;"",NOT(ISNUMBER($E155))),AND($F155&lt;&gt;"",NOT(ISNUMBER($F155)))),"Fecha no válida"&amp;" · ","")&amp;IF(AND(ISNUMBER($E155),ISNUMBER($F155),$E155&gt;$F155),"Inicio posterior a fecha límite"&amp;" · ","")&amp;IF(AND($S155="Macro",$G155=""),"Peso vacío"&amp;" · ","")&amp;IF(AND($S155="Macro",$G155&lt;&gt;"",OR(NOT(ISNUMBER($G155)),$G155&lt;=0,$G155&gt;1)),"Peso fuera de rango"&amp;" · ","")&amp;IF(AND($S155="Sub",$G155&lt;&gt;""),"Las subactividades no llevan peso"&amp;" · ","")&amp;IF(AND($S155="Macro",ABS(SUMIFS($G$5:$G$1000,$P$5:$P$1000,$P155,$S$5:$S$1000,"Macro")-1)&gt;0.0001),"Pesos del mes suman "&amp;TEXT(SUMIFS($G$5:$G$1000,$P$5:$P$1000,$P155,$S$5:$S$1000,"Macro"),"0%")&amp;" · ","")&amp;IF(AND(N($T155)&gt;0,COUNT($H155:$K155)&gt;0),"Con subactividades: deje vacías las semanas (se calculan solas)"&amp;" · ","")&amp;IF((COUNTIF($H155:$K155,"&gt;1")+COUNTIF($H155:$K155,"&lt;0")+COUNTA($H155:$K155)-COUNT($H155:$K155))&gt;0,"Avance fuera de rango 0-100%"&amp;" · ","")&amp;IF(OR(AND($I155&lt;&gt;"",$I155&lt;$H155),AND($J155&lt;&gt;"",$J155&lt;MAX($H155:$I155)),AND($K155&lt;&gt;"",$K155&lt;MAX($H155:$J155))),"Avance semanal decreciente"&amp;" · ","")&amp;IF(AND(ISNUMBER($F155),$F155&lt;FechaRef,N($L155)&lt;1),"Vencida"&amp;" · ","")&amp;IF(AND(ObsObligatoria="Sí",ISNUMBER($F155),$F155&lt;FechaRef,N($L155)&lt;1,$N155=""),"Vencida sin observación"&amp;" · ",""),LEN(IF(AND($S155="Macro",$B155=""),"Macroactividad vacía"&amp;" · ","")&amp;IF(AND($B155&lt;&gt;"",$C155&lt;&gt;""),"Escriba la subactividad en otra fila, debajo de su macroactividad"&amp;" · ","")&amp;IF(AND($S155="Sub",N($R155)=0),"Subactividad sin macroactividad arriba"&amp;" · ","")&amp;IF($D155="","Sin responsable"&amp;" · ","")&amp;IF($E155="","Sin fecha de inicio"&amp;" · ","")&amp;IF($F155="","Sin fecha límite"&amp;" · ","")&amp;IF(OR(AND($E155&lt;&gt;"",NOT(ISNUMBER($E155))),AND($F155&lt;&gt;"",NOT(ISNUMBER($F155)))),"Fecha no válida"&amp;" · ","")&amp;IF(AND(ISNUMBER($E155),ISNUMBER($F155),$E155&gt;$F155),"Inicio posterior a fecha límite"&amp;" · ","")&amp;IF(AND($S155="Macro",$G155=""),"Peso vacío"&amp;" · ","")&amp;IF(AND($S155="Macro",$G155&lt;&gt;"",OR(NOT(ISNUMBER($G155)),$G155&lt;=0,$G155&gt;1)),"Peso fuera de rango"&amp;" · ","")&amp;IF(AND($S155="Sub",$G155&lt;&gt;""),"Las subactividades no llevan peso"&amp;" · ","")&amp;IF(AND($S155="Macro",ABS(SUMIFS($G$5:$G$1000,$P$5:$P$1000,$P155,$S$5:$S$1000,"Macro")-1)&gt;0.0001),"Pesos del mes suman "&amp;TEXT(SUMIFS($G$5:$G$1000,$P$5:$P$1000,$P155,$S$5:$S$1000,"Macro"),"0%")&amp;" · ","")&amp;IF(AND(N($T155)&gt;0,COUNT($H155:$K155)&gt;0),"Con subactividades: deje vacías las semanas (se calculan solas)"&amp;" · ","")&amp;IF((COUNTIF($H155:$K155,"&gt;1")+COUNTIF($H155:$K155,"&lt;0")+COUNTA($H155:$K155)-COUNT($H155:$K155))&gt;0,"Avance fuera de rango 0-100%"&amp;" · ","")&amp;IF(OR(AND($I155&lt;&gt;"",$I155&lt;$H155),AND($J155&lt;&gt;"",$J155&lt;MAX($H155:$I155)),AND($K155&lt;&gt;"",$K155&lt;MAX($H155:$J155))),"Avance semanal decreciente"&amp;" · ","")&amp;IF(AND(ISNUMBER($F155),$F155&lt;FechaRef,N($L155)&lt;1),"Vencida"&amp;" · ","")&amp;IF(AND(ObsObligatoria="Sí",ISNUMBER($F155),$F155&lt;FechaRef,N($L155)&lt;1,$N155=""),"Vencida sin observación"&amp;" · ",""))-3)))</f>
        <v/>
      </c>
      <c r="P155" s="69">
        <f>IF(NOT((COUNTA($B155:$K155)+COUNTA($N155))&gt;0),"",IF(AND($S155="Sub",N($R155)&gt;0),IF(ISNUMBER(INDEX($E$5:$E$1000,$R155-4)),DATE(YEAR(INDEX($E$5:$E$1000,$R155-4)),MONTH(INDEX($E$5:$E$1000,$R155-4)),1),IF(ISNUMBER(INDEX($F$5:$F$1000,$R155-4)),DATE(YEAR(INDEX($F$5:$F$1000,$R155-4)),MONTH(INDEX($F$5:$F$1000,$R155-4)),1),MesCiclo)),IF(ISNUMBER($E155),DATE(YEAR($E155),MONTH($E155),1),IF(ISNUMBER($F155),DATE(YEAR($F155),MONTH($F155),1),MesCiclo))))</f>
        <v/>
      </c>
      <c r="Q155" s="70">
        <f>IF(OR($P155="",$P155&lt;&gt;MesCiclo),"",COUNTIF($P$5:$P155,MesCiclo))</f>
        <v/>
      </c>
      <c r="R155" s="70">
        <f>IF($S155="","",IF($S155="Macro",ROW(),IFERROR(LOOKUP(2,1/($S$5:$S155="Macro"),ROW($S$5:$S155)),0)))</f>
        <v/>
      </c>
      <c r="S155" s="70">
        <f>IF(NOT((COUNTA($B155:$K155)+COUNTA($N155))&gt;0),"",IF($B155&lt;&gt;"","Macro",IF($C155&lt;&gt;"","Sub","Macro")))</f>
        <v/>
      </c>
      <c r="T155" s="70">
        <f>IF($S155="Macro",COUNTIFS($R$5:$R$1000,ROW(),$S$5:$S$1000,"Sub"),"")</f>
        <v/>
      </c>
      <c r="U155" s="70">
        <f>IF($S155="","",IF(ISNUMBER($H155),$H155,0))</f>
        <v/>
      </c>
      <c r="V155" s="70">
        <f>IF($S155="","",IF(ISNUMBER($I155),$I155,$U155))</f>
        <v/>
      </c>
      <c r="W155" s="70">
        <f>IF($S155="","",IF(ISNUMBER($J155),$J155,$V155))</f>
        <v/>
      </c>
      <c r="X155" s="70">
        <f>IF($S155="","",IF(ISNUMBER($K155),$K155,$W155))</f>
        <v/>
      </c>
      <c r="Y155" s="70">
        <f>IF($S155="","",IF(N($T155)&gt;0,AVERAGEIFS($U$5:$U$1000,$R$5:$R$1000,ROW(),$S$5:$S$1000,"Sub"),$U155))</f>
        <v/>
      </c>
      <c r="Z155" s="70">
        <f>IF($S155="","",IF(N($T155)&gt;0,AVERAGEIFS($V$5:$V$1000,$R$5:$R$1000,ROW(),$S$5:$S$1000,"Sub"),$V155))</f>
        <v/>
      </c>
      <c r="AA155" s="70">
        <f>IF($S155="","",IF(N($T155)&gt;0,AVERAGEIFS($W$5:$W$1000,$R$5:$R$1000,ROW(),$S$5:$S$1000,"Sub"),$W155))</f>
        <v/>
      </c>
      <c r="AB155" s="70">
        <f>IF($S155="","",IF(N($T155)&gt;0,AVERAGEIFS($X$5:$X$1000,$R$5:$R$1000,ROW(),$S$5:$S$1000,"Sub"),$X155))</f>
        <v/>
      </c>
    </row>
    <row r="156">
      <c r="A156" s="61">
        <f>IF(NOT((COUNTA($B156:$K156)+COUNTA($N156))&gt;0),"",IF($S156="Macro",COUNTIFS($S$5:$S156,"Macro",$P$5:$P156,$P156),IF(N($R156)=0,"?",COUNTIFS(INDEX($S$5:$S$1000,1):INDEX($S$5:$S$1000,$R156-4),"Macro",INDEX($P$5:$P$1000,1):INDEX($P$5:$P$1000,$R156-4),INDEX($P$5:$P$1000,$R156-4))&amp;"."&amp;COUNTIFS($R$5:$R156,$R156,$S$5:$S156,"Sub"))))</f>
        <v/>
      </c>
      <c r="B156" s="62" t="n"/>
      <c r="C156" s="63" t="n"/>
      <c r="D156" s="62" t="n"/>
      <c r="E156" s="64" t="n"/>
      <c r="F156" s="64" t="n"/>
      <c r="G156" s="65" t="n"/>
      <c r="H156" s="66" t="n"/>
      <c r="I156" s="66" t="n"/>
      <c r="J156" s="66" t="n"/>
      <c r="K156" s="66" t="n"/>
      <c r="L156" s="67">
        <f>IF(NOT((COUNTA($B156:$K156)+COUNTA($N156))&gt;0),"",IF(N($T156)&gt;0,$AB156,IFERROR(LOOKUP(2,1/(H156:K156&lt;&gt;""),H156:K156),0)))</f>
        <v/>
      </c>
      <c r="M156" s="61">
        <f>IF(L156="","",IF(L156&gt;=1,"Completado",IF(L156&gt;0,"En curso","Pendiente")))</f>
        <v/>
      </c>
      <c r="N156" s="62" t="n"/>
      <c r="O156" s="68">
        <f>IF(NOT((COUNTA($B156:$K156)+COUNTA($N156))&gt;0),"",IF((IF(AND($S156="Macro",$B156=""),"Macroactividad vacía"&amp;" · ","")&amp;IF(AND($B156&lt;&gt;"",$C156&lt;&gt;""),"Escriba la subactividad en otra fila, debajo de su macroactividad"&amp;" · ","")&amp;IF(AND($S156="Sub",N($R156)=0),"Subactividad sin macroactividad arriba"&amp;" · ","")&amp;IF($D156="","Sin responsable"&amp;" · ","")&amp;IF($E156="","Sin fecha de inicio"&amp;" · ","")&amp;IF($F156="","Sin fecha límite"&amp;" · ","")&amp;IF(OR(AND($E156&lt;&gt;"",NOT(ISNUMBER($E156))),AND($F156&lt;&gt;"",NOT(ISNUMBER($F156)))),"Fecha no válida"&amp;" · ","")&amp;IF(AND(ISNUMBER($E156),ISNUMBER($F156),$E156&gt;$F156),"Inicio posterior a fecha límite"&amp;" · ","")&amp;IF(AND($S156="Macro",$G156=""),"Peso vacío"&amp;" · ","")&amp;IF(AND($S156="Macro",$G156&lt;&gt;"",OR(NOT(ISNUMBER($G156)),$G156&lt;=0,$G156&gt;1)),"Peso fuera de rango"&amp;" · ","")&amp;IF(AND($S156="Sub",$G156&lt;&gt;""),"Las subactividades no llevan peso"&amp;" · ","")&amp;IF(AND($S156="Macro",ABS(SUMIFS($G$5:$G$1000,$P$5:$P$1000,$P156,$S$5:$S$1000,"Macro")-1)&gt;0.0001),"Pesos del mes suman "&amp;TEXT(SUMIFS($G$5:$G$1000,$P$5:$P$1000,$P156,$S$5:$S$1000,"Macro"),"0%")&amp;" · ","")&amp;IF(AND(N($T156)&gt;0,COUNT($H156:$K156)&gt;0),"Con subactividades: deje vacías las semanas (se calculan solas)"&amp;" · ","")&amp;IF((COUNTIF($H156:$K156,"&gt;1")+COUNTIF($H156:$K156,"&lt;0")+COUNTA($H156:$K156)-COUNT($H156:$K156))&gt;0,"Avance fuera de rango 0-100%"&amp;" · ","")&amp;IF(OR(AND($I156&lt;&gt;"",$I156&lt;$H156),AND($J156&lt;&gt;"",$J156&lt;MAX($H156:$I156)),AND($K156&lt;&gt;"",$K156&lt;MAX($H156:$J156))),"Avance semanal decreciente"&amp;" · ","")&amp;IF(AND(ISNUMBER($F156),$F156&lt;FechaRef,N($L156)&lt;1),"Vencida"&amp;" · ","")&amp;IF(AND(ObsObligatoria="Sí",ISNUMBER($F156),$F156&lt;FechaRef,N($L156)&lt;1,$N156=""),"Vencida sin observación"&amp;" · ",""))="","✔ OK","⚠ "&amp;LEFT(IF(AND($S156="Macro",$B156=""),"Macroactividad vacía"&amp;" · ","")&amp;IF(AND($B156&lt;&gt;"",$C156&lt;&gt;""),"Escriba la subactividad en otra fila, debajo de su macroactividad"&amp;" · ","")&amp;IF(AND($S156="Sub",N($R156)=0),"Subactividad sin macroactividad arriba"&amp;" · ","")&amp;IF($D156="","Sin responsable"&amp;" · ","")&amp;IF($E156="","Sin fecha de inicio"&amp;" · ","")&amp;IF($F156="","Sin fecha límite"&amp;" · ","")&amp;IF(OR(AND($E156&lt;&gt;"",NOT(ISNUMBER($E156))),AND($F156&lt;&gt;"",NOT(ISNUMBER($F156)))),"Fecha no válida"&amp;" · ","")&amp;IF(AND(ISNUMBER($E156),ISNUMBER($F156),$E156&gt;$F156),"Inicio posterior a fecha límite"&amp;" · ","")&amp;IF(AND($S156="Macro",$G156=""),"Peso vacío"&amp;" · ","")&amp;IF(AND($S156="Macro",$G156&lt;&gt;"",OR(NOT(ISNUMBER($G156)),$G156&lt;=0,$G156&gt;1)),"Peso fuera de rango"&amp;" · ","")&amp;IF(AND($S156="Sub",$G156&lt;&gt;""),"Las subactividades no llevan peso"&amp;" · ","")&amp;IF(AND($S156="Macro",ABS(SUMIFS($G$5:$G$1000,$P$5:$P$1000,$P156,$S$5:$S$1000,"Macro")-1)&gt;0.0001),"Pesos del mes suman "&amp;TEXT(SUMIFS($G$5:$G$1000,$P$5:$P$1000,$P156,$S$5:$S$1000,"Macro"),"0%")&amp;" · ","")&amp;IF(AND(N($T156)&gt;0,COUNT($H156:$K156)&gt;0),"Con subactividades: deje vacías las semanas (se calculan solas)"&amp;" · ","")&amp;IF((COUNTIF($H156:$K156,"&gt;1")+COUNTIF($H156:$K156,"&lt;0")+COUNTA($H156:$K156)-COUNT($H156:$K156))&gt;0,"Avance fuera de rango 0-100%"&amp;" · ","")&amp;IF(OR(AND($I156&lt;&gt;"",$I156&lt;$H156),AND($J156&lt;&gt;"",$J156&lt;MAX($H156:$I156)),AND($K156&lt;&gt;"",$K156&lt;MAX($H156:$J156))),"Avance semanal decreciente"&amp;" · ","")&amp;IF(AND(ISNUMBER($F156),$F156&lt;FechaRef,N($L156)&lt;1),"Vencida"&amp;" · ","")&amp;IF(AND(ObsObligatoria="Sí",ISNUMBER($F156),$F156&lt;FechaRef,N($L156)&lt;1,$N156=""),"Vencida sin observación"&amp;" · ",""),LEN(IF(AND($S156="Macro",$B156=""),"Macroactividad vacía"&amp;" · ","")&amp;IF(AND($B156&lt;&gt;"",$C156&lt;&gt;""),"Escriba la subactividad en otra fila, debajo de su macroactividad"&amp;" · ","")&amp;IF(AND($S156="Sub",N($R156)=0),"Subactividad sin macroactividad arriba"&amp;" · ","")&amp;IF($D156="","Sin responsable"&amp;" · ","")&amp;IF($E156="","Sin fecha de inicio"&amp;" · ","")&amp;IF($F156="","Sin fecha límite"&amp;" · ","")&amp;IF(OR(AND($E156&lt;&gt;"",NOT(ISNUMBER($E156))),AND($F156&lt;&gt;"",NOT(ISNUMBER($F156)))),"Fecha no válida"&amp;" · ","")&amp;IF(AND(ISNUMBER($E156),ISNUMBER($F156),$E156&gt;$F156),"Inicio posterior a fecha límite"&amp;" · ","")&amp;IF(AND($S156="Macro",$G156=""),"Peso vacío"&amp;" · ","")&amp;IF(AND($S156="Macro",$G156&lt;&gt;"",OR(NOT(ISNUMBER($G156)),$G156&lt;=0,$G156&gt;1)),"Peso fuera de rango"&amp;" · ","")&amp;IF(AND($S156="Sub",$G156&lt;&gt;""),"Las subactividades no llevan peso"&amp;" · ","")&amp;IF(AND($S156="Macro",ABS(SUMIFS($G$5:$G$1000,$P$5:$P$1000,$P156,$S$5:$S$1000,"Macro")-1)&gt;0.0001),"Pesos del mes suman "&amp;TEXT(SUMIFS($G$5:$G$1000,$P$5:$P$1000,$P156,$S$5:$S$1000,"Macro"),"0%")&amp;" · ","")&amp;IF(AND(N($T156)&gt;0,COUNT($H156:$K156)&gt;0),"Con subactividades: deje vacías las semanas (se calculan solas)"&amp;" · ","")&amp;IF((COUNTIF($H156:$K156,"&gt;1")+COUNTIF($H156:$K156,"&lt;0")+COUNTA($H156:$K156)-COUNT($H156:$K156))&gt;0,"Avance fuera de rango 0-100%"&amp;" · ","")&amp;IF(OR(AND($I156&lt;&gt;"",$I156&lt;$H156),AND($J156&lt;&gt;"",$J156&lt;MAX($H156:$I156)),AND($K156&lt;&gt;"",$K156&lt;MAX($H156:$J156))),"Avance semanal decreciente"&amp;" · ","")&amp;IF(AND(ISNUMBER($F156),$F156&lt;FechaRef,N($L156)&lt;1),"Vencida"&amp;" · ","")&amp;IF(AND(ObsObligatoria="Sí",ISNUMBER($F156),$F156&lt;FechaRef,N($L156)&lt;1,$N156=""),"Vencida sin observación"&amp;" · ",""))-3)))</f>
        <v/>
      </c>
      <c r="P156" s="69">
        <f>IF(NOT((COUNTA($B156:$K156)+COUNTA($N156))&gt;0),"",IF(AND($S156="Sub",N($R156)&gt;0),IF(ISNUMBER(INDEX($E$5:$E$1000,$R156-4)),DATE(YEAR(INDEX($E$5:$E$1000,$R156-4)),MONTH(INDEX($E$5:$E$1000,$R156-4)),1),IF(ISNUMBER(INDEX($F$5:$F$1000,$R156-4)),DATE(YEAR(INDEX($F$5:$F$1000,$R156-4)),MONTH(INDEX($F$5:$F$1000,$R156-4)),1),MesCiclo)),IF(ISNUMBER($E156),DATE(YEAR($E156),MONTH($E156),1),IF(ISNUMBER($F156),DATE(YEAR($F156),MONTH($F156),1),MesCiclo))))</f>
        <v/>
      </c>
      <c r="Q156" s="70">
        <f>IF(OR($P156="",$P156&lt;&gt;MesCiclo),"",COUNTIF($P$5:$P156,MesCiclo))</f>
        <v/>
      </c>
      <c r="R156" s="70">
        <f>IF($S156="","",IF($S156="Macro",ROW(),IFERROR(LOOKUP(2,1/($S$5:$S156="Macro"),ROW($S$5:$S156)),0)))</f>
        <v/>
      </c>
      <c r="S156" s="70">
        <f>IF(NOT((COUNTA($B156:$K156)+COUNTA($N156))&gt;0),"",IF($B156&lt;&gt;"","Macro",IF($C156&lt;&gt;"","Sub","Macro")))</f>
        <v/>
      </c>
      <c r="T156" s="70">
        <f>IF($S156="Macro",COUNTIFS($R$5:$R$1000,ROW(),$S$5:$S$1000,"Sub"),"")</f>
        <v/>
      </c>
      <c r="U156" s="70">
        <f>IF($S156="","",IF(ISNUMBER($H156),$H156,0))</f>
        <v/>
      </c>
      <c r="V156" s="70">
        <f>IF($S156="","",IF(ISNUMBER($I156),$I156,$U156))</f>
        <v/>
      </c>
      <c r="W156" s="70">
        <f>IF($S156="","",IF(ISNUMBER($J156),$J156,$V156))</f>
        <v/>
      </c>
      <c r="X156" s="70">
        <f>IF($S156="","",IF(ISNUMBER($K156),$K156,$W156))</f>
        <v/>
      </c>
      <c r="Y156" s="70">
        <f>IF($S156="","",IF(N($T156)&gt;0,AVERAGEIFS($U$5:$U$1000,$R$5:$R$1000,ROW(),$S$5:$S$1000,"Sub"),$U156))</f>
        <v/>
      </c>
      <c r="Z156" s="70">
        <f>IF($S156="","",IF(N($T156)&gt;0,AVERAGEIFS($V$5:$V$1000,$R$5:$R$1000,ROW(),$S$5:$S$1000,"Sub"),$V156))</f>
        <v/>
      </c>
      <c r="AA156" s="70">
        <f>IF($S156="","",IF(N($T156)&gt;0,AVERAGEIFS($W$5:$W$1000,$R$5:$R$1000,ROW(),$S$5:$S$1000,"Sub"),$W156))</f>
        <v/>
      </c>
      <c r="AB156" s="70">
        <f>IF($S156="","",IF(N($T156)&gt;0,AVERAGEIFS($X$5:$X$1000,$R$5:$R$1000,ROW(),$S$5:$S$1000,"Sub"),$X156))</f>
        <v/>
      </c>
    </row>
    <row r="157">
      <c r="A157" s="61">
        <f>IF(NOT((COUNTA($B157:$K157)+COUNTA($N157))&gt;0),"",IF($S157="Macro",COUNTIFS($S$5:$S157,"Macro",$P$5:$P157,$P157),IF(N($R157)=0,"?",COUNTIFS(INDEX($S$5:$S$1000,1):INDEX($S$5:$S$1000,$R157-4),"Macro",INDEX($P$5:$P$1000,1):INDEX($P$5:$P$1000,$R157-4),INDEX($P$5:$P$1000,$R157-4))&amp;"."&amp;COUNTIFS($R$5:$R157,$R157,$S$5:$S157,"Sub"))))</f>
        <v/>
      </c>
      <c r="B157" s="62" t="n"/>
      <c r="C157" s="63" t="n"/>
      <c r="D157" s="62" t="n"/>
      <c r="E157" s="64" t="n"/>
      <c r="F157" s="64" t="n"/>
      <c r="G157" s="65" t="n"/>
      <c r="H157" s="66" t="n"/>
      <c r="I157" s="66" t="n"/>
      <c r="J157" s="66" t="n"/>
      <c r="K157" s="66" t="n"/>
      <c r="L157" s="67">
        <f>IF(NOT((COUNTA($B157:$K157)+COUNTA($N157))&gt;0),"",IF(N($T157)&gt;0,$AB157,IFERROR(LOOKUP(2,1/(H157:K157&lt;&gt;""),H157:K157),0)))</f>
        <v/>
      </c>
      <c r="M157" s="61">
        <f>IF(L157="","",IF(L157&gt;=1,"Completado",IF(L157&gt;0,"En curso","Pendiente")))</f>
        <v/>
      </c>
      <c r="N157" s="62" t="n"/>
      <c r="O157" s="68">
        <f>IF(NOT((COUNTA($B157:$K157)+COUNTA($N157))&gt;0),"",IF((IF(AND($S157="Macro",$B157=""),"Macroactividad vacía"&amp;" · ","")&amp;IF(AND($B157&lt;&gt;"",$C157&lt;&gt;""),"Escriba la subactividad en otra fila, debajo de su macroactividad"&amp;" · ","")&amp;IF(AND($S157="Sub",N($R157)=0),"Subactividad sin macroactividad arriba"&amp;" · ","")&amp;IF($D157="","Sin responsable"&amp;" · ","")&amp;IF($E157="","Sin fecha de inicio"&amp;" · ","")&amp;IF($F157="","Sin fecha límite"&amp;" · ","")&amp;IF(OR(AND($E157&lt;&gt;"",NOT(ISNUMBER($E157))),AND($F157&lt;&gt;"",NOT(ISNUMBER($F157)))),"Fecha no válida"&amp;" · ","")&amp;IF(AND(ISNUMBER($E157),ISNUMBER($F157),$E157&gt;$F157),"Inicio posterior a fecha límite"&amp;" · ","")&amp;IF(AND($S157="Macro",$G157=""),"Peso vacío"&amp;" · ","")&amp;IF(AND($S157="Macro",$G157&lt;&gt;"",OR(NOT(ISNUMBER($G157)),$G157&lt;=0,$G157&gt;1)),"Peso fuera de rango"&amp;" · ","")&amp;IF(AND($S157="Sub",$G157&lt;&gt;""),"Las subactividades no llevan peso"&amp;" · ","")&amp;IF(AND($S157="Macro",ABS(SUMIFS($G$5:$G$1000,$P$5:$P$1000,$P157,$S$5:$S$1000,"Macro")-1)&gt;0.0001),"Pesos del mes suman "&amp;TEXT(SUMIFS($G$5:$G$1000,$P$5:$P$1000,$P157,$S$5:$S$1000,"Macro"),"0%")&amp;" · ","")&amp;IF(AND(N($T157)&gt;0,COUNT($H157:$K157)&gt;0),"Con subactividades: deje vacías las semanas (se calculan solas)"&amp;" · ","")&amp;IF((COUNTIF($H157:$K157,"&gt;1")+COUNTIF($H157:$K157,"&lt;0")+COUNTA($H157:$K157)-COUNT($H157:$K157))&gt;0,"Avance fuera de rango 0-100%"&amp;" · ","")&amp;IF(OR(AND($I157&lt;&gt;"",$I157&lt;$H157),AND($J157&lt;&gt;"",$J157&lt;MAX($H157:$I157)),AND($K157&lt;&gt;"",$K157&lt;MAX($H157:$J157))),"Avance semanal decreciente"&amp;" · ","")&amp;IF(AND(ISNUMBER($F157),$F157&lt;FechaRef,N($L157)&lt;1),"Vencida"&amp;" · ","")&amp;IF(AND(ObsObligatoria="Sí",ISNUMBER($F157),$F157&lt;FechaRef,N($L157)&lt;1,$N157=""),"Vencida sin observación"&amp;" · ",""))="","✔ OK","⚠ "&amp;LEFT(IF(AND($S157="Macro",$B157=""),"Macroactividad vacía"&amp;" · ","")&amp;IF(AND($B157&lt;&gt;"",$C157&lt;&gt;""),"Escriba la subactividad en otra fila, debajo de su macroactividad"&amp;" · ","")&amp;IF(AND($S157="Sub",N($R157)=0),"Subactividad sin macroactividad arriba"&amp;" · ","")&amp;IF($D157="","Sin responsable"&amp;" · ","")&amp;IF($E157="","Sin fecha de inicio"&amp;" · ","")&amp;IF($F157="","Sin fecha límite"&amp;" · ","")&amp;IF(OR(AND($E157&lt;&gt;"",NOT(ISNUMBER($E157))),AND($F157&lt;&gt;"",NOT(ISNUMBER($F157)))),"Fecha no válida"&amp;" · ","")&amp;IF(AND(ISNUMBER($E157),ISNUMBER($F157),$E157&gt;$F157),"Inicio posterior a fecha límite"&amp;" · ","")&amp;IF(AND($S157="Macro",$G157=""),"Peso vacío"&amp;" · ","")&amp;IF(AND($S157="Macro",$G157&lt;&gt;"",OR(NOT(ISNUMBER($G157)),$G157&lt;=0,$G157&gt;1)),"Peso fuera de rango"&amp;" · ","")&amp;IF(AND($S157="Sub",$G157&lt;&gt;""),"Las subactividades no llevan peso"&amp;" · ","")&amp;IF(AND($S157="Macro",ABS(SUMIFS($G$5:$G$1000,$P$5:$P$1000,$P157,$S$5:$S$1000,"Macro")-1)&gt;0.0001),"Pesos del mes suman "&amp;TEXT(SUMIFS($G$5:$G$1000,$P$5:$P$1000,$P157,$S$5:$S$1000,"Macro"),"0%")&amp;" · ","")&amp;IF(AND(N($T157)&gt;0,COUNT($H157:$K157)&gt;0),"Con subactividades: deje vacías las semanas (se calculan solas)"&amp;" · ","")&amp;IF((COUNTIF($H157:$K157,"&gt;1")+COUNTIF($H157:$K157,"&lt;0")+COUNTA($H157:$K157)-COUNT($H157:$K157))&gt;0,"Avance fuera de rango 0-100%"&amp;" · ","")&amp;IF(OR(AND($I157&lt;&gt;"",$I157&lt;$H157),AND($J157&lt;&gt;"",$J157&lt;MAX($H157:$I157)),AND($K157&lt;&gt;"",$K157&lt;MAX($H157:$J157))),"Avance semanal decreciente"&amp;" · ","")&amp;IF(AND(ISNUMBER($F157),$F157&lt;FechaRef,N($L157)&lt;1),"Vencida"&amp;" · ","")&amp;IF(AND(ObsObligatoria="Sí",ISNUMBER($F157),$F157&lt;FechaRef,N($L157)&lt;1,$N157=""),"Vencida sin observación"&amp;" · ",""),LEN(IF(AND($S157="Macro",$B157=""),"Macroactividad vacía"&amp;" · ","")&amp;IF(AND($B157&lt;&gt;"",$C157&lt;&gt;""),"Escriba la subactividad en otra fila, debajo de su macroactividad"&amp;" · ","")&amp;IF(AND($S157="Sub",N($R157)=0),"Subactividad sin macroactividad arriba"&amp;" · ","")&amp;IF($D157="","Sin responsable"&amp;" · ","")&amp;IF($E157="","Sin fecha de inicio"&amp;" · ","")&amp;IF($F157="","Sin fecha límite"&amp;" · ","")&amp;IF(OR(AND($E157&lt;&gt;"",NOT(ISNUMBER($E157))),AND($F157&lt;&gt;"",NOT(ISNUMBER($F157)))),"Fecha no válida"&amp;" · ","")&amp;IF(AND(ISNUMBER($E157),ISNUMBER($F157),$E157&gt;$F157),"Inicio posterior a fecha límite"&amp;" · ","")&amp;IF(AND($S157="Macro",$G157=""),"Peso vacío"&amp;" · ","")&amp;IF(AND($S157="Macro",$G157&lt;&gt;"",OR(NOT(ISNUMBER($G157)),$G157&lt;=0,$G157&gt;1)),"Peso fuera de rango"&amp;" · ","")&amp;IF(AND($S157="Sub",$G157&lt;&gt;""),"Las subactividades no llevan peso"&amp;" · ","")&amp;IF(AND($S157="Macro",ABS(SUMIFS($G$5:$G$1000,$P$5:$P$1000,$P157,$S$5:$S$1000,"Macro")-1)&gt;0.0001),"Pesos del mes suman "&amp;TEXT(SUMIFS($G$5:$G$1000,$P$5:$P$1000,$P157,$S$5:$S$1000,"Macro"),"0%")&amp;" · ","")&amp;IF(AND(N($T157)&gt;0,COUNT($H157:$K157)&gt;0),"Con subactividades: deje vacías las semanas (se calculan solas)"&amp;" · ","")&amp;IF((COUNTIF($H157:$K157,"&gt;1")+COUNTIF($H157:$K157,"&lt;0")+COUNTA($H157:$K157)-COUNT($H157:$K157))&gt;0,"Avance fuera de rango 0-100%"&amp;" · ","")&amp;IF(OR(AND($I157&lt;&gt;"",$I157&lt;$H157),AND($J157&lt;&gt;"",$J157&lt;MAX($H157:$I157)),AND($K157&lt;&gt;"",$K157&lt;MAX($H157:$J157))),"Avance semanal decreciente"&amp;" · ","")&amp;IF(AND(ISNUMBER($F157),$F157&lt;FechaRef,N($L157)&lt;1),"Vencida"&amp;" · ","")&amp;IF(AND(ObsObligatoria="Sí",ISNUMBER($F157),$F157&lt;FechaRef,N($L157)&lt;1,$N157=""),"Vencida sin observación"&amp;" · ",""))-3)))</f>
        <v/>
      </c>
      <c r="P157" s="69">
        <f>IF(NOT((COUNTA($B157:$K157)+COUNTA($N157))&gt;0),"",IF(AND($S157="Sub",N($R157)&gt;0),IF(ISNUMBER(INDEX($E$5:$E$1000,$R157-4)),DATE(YEAR(INDEX($E$5:$E$1000,$R157-4)),MONTH(INDEX($E$5:$E$1000,$R157-4)),1),IF(ISNUMBER(INDEX($F$5:$F$1000,$R157-4)),DATE(YEAR(INDEX($F$5:$F$1000,$R157-4)),MONTH(INDEX($F$5:$F$1000,$R157-4)),1),MesCiclo)),IF(ISNUMBER($E157),DATE(YEAR($E157),MONTH($E157),1),IF(ISNUMBER($F157),DATE(YEAR($F157),MONTH($F157),1),MesCiclo))))</f>
        <v/>
      </c>
      <c r="Q157" s="70">
        <f>IF(OR($P157="",$P157&lt;&gt;MesCiclo),"",COUNTIF($P$5:$P157,MesCiclo))</f>
        <v/>
      </c>
      <c r="R157" s="70">
        <f>IF($S157="","",IF($S157="Macro",ROW(),IFERROR(LOOKUP(2,1/($S$5:$S157="Macro"),ROW($S$5:$S157)),0)))</f>
        <v/>
      </c>
      <c r="S157" s="70">
        <f>IF(NOT((COUNTA($B157:$K157)+COUNTA($N157))&gt;0),"",IF($B157&lt;&gt;"","Macro",IF($C157&lt;&gt;"","Sub","Macro")))</f>
        <v/>
      </c>
      <c r="T157" s="70">
        <f>IF($S157="Macro",COUNTIFS($R$5:$R$1000,ROW(),$S$5:$S$1000,"Sub"),"")</f>
        <v/>
      </c>
      <c r="U157" s="70">
        <f>IF($S157="","",IF(ISNUMBER($H157),$H157,0))</f>
        <v/>
      </c>
      <c r="V157" s="70">
        <f>IF($S157="","",IF(ISNUMBER($I157),$I157,$U157))</f>
        <v/>
      </c>
      <c r="W157" s="70">
        <f>IF($S157="","",IF(ISNUMBER($J157),$J157,$V157))</f>
        <v/>
      </c>
      <c r="X157" s="70">
        <f>IF($S157="","",IF(ISNUMBER($K157),$K157,$W157))</f>
        <v/>
      </c>
      <c r="Y157" s="70">
        <f>IF($S157="","",IF(N($T157)&gt;0,AVERAGEIFS($U$5:$U$1000,$R$5:$R$1000,ROW(),$S$5:$S$1000,"Sub"),$U157))</f>
        <v/>
      </c>
      <c r="Z157" s="70">
        <f>IF($S157="","",IF(N($T157)&gt;0,AVERAGEIFS($V$5:$V$1000,$R$5:$R$1000,ROW(),$S$5:$S$1000,"Sub"),$V157))</f>
        <v/>
      </c>
      <c r="AA157" s="70">
        <f>IF($S157="","",IF(N($T157)&gt;0,AVERAGEIFS($W$5:$W$1000,$R$5:$R$1000,ROW(),$S$5:$S$1000,"Sub"),$W157))</f>
        <v/>
      </c>
      <c r="AB157" s="70">
        <f>IF($S157="","",IF(N($T157)&gt;0,AVERAGEIFS($X$5:$X$1000,$R$5:$R$1000,ROW(),$S$5:$S$1000,"Sub"),$X157))</f>
        <v/>
      </c>
    </row>
    <row r="158">
      <c r="A158" s="61">
        <f>IF(NOT((COUNTA($B158:$K158)+COUNTA($N158))&gt;0),"",IF($S158="Macro",COUNTIFS($S$5:$S158,"Macro",$P$5:$P158,$P158),IF(N($R158)=0,"?",COUNTIFS(INDEX($S$5:$S$1000,1):INDEX($S$5:$S$1000,$R158-4),"Macro",INDEX($P$5:$P$1000,1):INDEX($P$5:$P$1000,$R158-4),INDEX($P$5:$P$1000,$R158-4))&amp;"."&amp;COUNTIFS($R$5:$R158,$R158,$S$5:$S158,"Sub"))))</f>
        <v/>
      </c>
      <c r="B158" s="62" t="n"/>
      <c r="C158" s="63" t="n"/>
      <c r="D158" s="62" t="n"/>
      <c r="E158" s="64" t="n"/>
      <c r="F158" s="64" t="n"/>
      <c r="G158" s="65" t="n"/>
      <c r="H158" s="66" t="n"/>
      <c r="I158" s="66" t="n"/>
      <c r="J158" s="66" t="n"/>
      <c r="K158" s="66" t="n"/>
      <c r="L158" s="67">
        <f>IF(NOT((COUNTA($B158:$K158)+COUNTA($N158))&gt;0),"",IF(N($T158)&gt;0,$AB158,IFERROR(LOOKUP(2,1/(H158:K158&lt;&gt;""),H158:K158),0)))</f>
        <v/>
      </c>
      <c r="M158" s="61">
        <f>IF(L158="","",IF(L158&gt;=1,"Completado",IF(L158&gt;0,"En curso","Pendiente")))</f>
        <v/>
      </c>
      <c r="N158" s="62" t="n"/>
      <c r="O158" s="68">
        <f>IF(NOT((COUNTA($B158:$K158)+COUNTA($N158))&gt;0),"",IF((IF(AND($S158="Macro",$B158=""),"Macroactividad vacía"&amp;" · ","")&amp;IF(AND($B158&lt;&gt;"",$C158&lt;&gt;""),"Escriba la subactividad en otra fila, debajo de su macroactividad"&amp;" · ","")&amp;IF(AND($S158="Sub",N($R158)=0),"Subactividad sin macroactividad arriba"&amp;" · ","")&amp;IF($D158="","Sin responsable"&amp;" · ","")&amp;IF($E158="","Sin fecha de inicio"&amp;" · ","")&amp;IF($F158="","Sin fecha límite"&amp;" · ","")&amp;IF(OR(AND($E158&lt;&gt;"",NOT(ISNUMBER($E158))),AND($F158&lt;&gt;"",NOT(ISNUMBER($F158)))),"Fecha no válida"&amp;" · ","")&amp;IF(AND(ISNUMBER($E158),ISNUMBER($F158),$E158&gt;$F158),"Inicio posterior a fecha límite"&amp;" · ","")&amp;IF(AND($S158="Macro",$G158=""),"Peso vacío"&amp;" · ","")&amp;IF(AND($S158="Macro",$G158&lt;&gt;"",OR(NOT(ISNUMBER($G158)),$G158&lt;=0,$G158&gt;1)),"Peso fuera de rango"&amp;" · ","")&amp;IF(AND($S158="Sub",$G158&lt;&gt;""),"Las subactividades no llevan peso"&amp;" · ","")&amp;IF(AND($S158="Macro",ABS(SUMIFS($G$5:$G$1000,$P$5:$P$1000,$P158,$S$5:$S$1000,"Macro")-1)&gt;0.0001),"Pesos del mes suman "&amp;TEXT(SUMIFS($G$5:$G$1000,$P$5:$P$1000,$P158,$S$5:$S$1000,"Macro"),"0%")&amp;" · ","")&amp;IF(AND(N($T158)&gt;0,COUNT($H158:$K158)&gt;0),"Con subactividades: deje vacías las semanas (se calculan solas)"&amp;" · ","")&amp;IF((COUNTIF($H158:$K158,"&gt;1")+COUNTIF($H158:$K158,"&lt;0")+COUNTA($H158:$K158)-COUNT($H158:$K158))&gt;0,"Avance fuera de rango 0-100%"&amp;" · ","")&amp;IF(OR(AND($I158&lt;&gt;"",$I158&lt;$H158),AND($J158&lt;&gt;"",$J158&lt;MAX($H158:$I158)),AND($K158&lt;&gt;"",$K158&lt;MAX($H158:$J158))),"Avance semanal decreciente"&amp;" · ","")&amp;IF(AND(ISNUMBER($F158),$F158&lt;FechaRef,N($L158)&lt;1),"Vencida"&amp;" · ","")&amp;IF(AND(ObsObligatoria="Sí",ISNUMBER($F158),$F158&lt;FechaRef,N($L158)&lt;1,$N158=""),"Vencida sin observación"&amp;" · ",""))="","✔ OK","⚠ "&amp;LEFT(IF(AND($S158="Macro",$B158=""),"Macroactividad vacía"&amp;" · ","")&amp;IF(AND($B158&lt;&gt;"",$C158&lt;&gt;""),"Escriba la subactividad en otra fila, debajo de su macroactividad"&amp;" · ","")&amp;IF(AND($S158="Sub",N($R158)=0),"Subactividad sin macroactividad arriba"&amp;" · ","")&amp;IF($D158="","Sin responsable"&amp;" · ","")&amp;IF($E158="","Sin fecha de inicio"&amp;" · ","")&amp;IF($F158="","Sin fecha límite"&amp;" · ","")&amp;IF(OR(AND($E158&lt;&gt;"",NOT(ISNUMBER($E158))),AND($F158&lt;&gt;"",NOT(ISNUMBER($F158)))),"Fecha no válida"&amp;" · ","")&amp;IF(AND(ISNUMBER($E158),ISNUMBER($F158),$E158&gt;$F158),"Inicio posterior a fecha límite"&amp;" · ","")&amp;IF(AND($S158="Macro",$G158=""),"Peso vacío"&amp;" · ","")&amp;IF(AND($S158="Macro",$G158&lt;&gt;"",OR(NOT(ISNUMBER($G158)),$G158&lt;=0,$G158&gt;1)),"Peso fuera de rango"&amp;" · ","")&amp;IF(AND($S158="Sub",$G158&lt;&gt;""),"Las subactividades no llevan peso"&amp;" · ","")&amp;IF(AND($S158="Macro",ABS(SUMIFS($G$5:$G$1000,$P$5:$P$1000,$P158,$S$5:$S$1000,"Macro")-1)&gt;0.0001),"Pesos del mes suman "&amp;TEXT(SUMIFS($G$5:$G$1000,$P$5:$P$1000,$P158,$S$5:$S$1000,"Macro"),"0%")&amp;" · ","")&amp;IF(AND(N($T158)&gt;0,COUNT($H158:$K158)&gt;0),"Con subactividades: deje vacías las semanas (se calculan solas)"&amp;" · ","")&amp;IF((COUNTIF($H158:$K158,"&gt;1")+COUNTIF($H158:$K158,"&lt;0")+COUNTA($H158:$K158)-COUNT($H158:$K158))&gt;0,"Avance fuera de rango 0-100%"&amp;" · ","")&amp;IF(OR(AND($I158&lt;&gt;"",$I158&lt;$H158),AND($J158&lt;&gt;"",$J158&lt;MAX($H158:$I158)),AND($K158&lt;&gt;"",$K158&lt;MAX($H158:$J158))),"Avance semanal decreciente"&amp;" · ","")&amp;IF(AND(ISNUMBER($F158),$F158&lt;FechaRef,N($L158)&lt;1),"Vencida"&amp;" · ","")&amp;IF(AND(ObsObligatoria="Sí",ISNUMBER($F158),$F158&lt;FechaRef,N($L158)&lt;1,$N158=""),"Vencida sin observación"&amp;" · ",""),LEN(IF(AND($S158="Macro",$B158=""),"Macroactividad vacía"&amp;" · ","")&amp;IF(AND($B158&lt;&gt;"",$C158&lt;&gt;""),"Escriba la subactividad en otra fila, debajo de su macroactividad"&amp;" · ","")&amp;IF(AND($S158="Sub",N($R158)=0),"Subactividad sin macroactividad arriba"&amp;" · ","")&amp;IF($D158="","Sin responsable"&amp;" · ","")&amp;IF($E158="","Sin fecha de inicio"&amp;" · ","")&amp;IF($F158="","Sin fecha límite"&amp;" · ","")&amp;IF(OR(AND($E158&lt;&gt;"",NOT(ISNUMBER($E158))),AND($F158&lt;&gt;"",NOT(ISNUMBER($F158)))),"Fecha no válida"&amp;" · ","")&amp;IF(AND(ISNUMBER($E158),ISNUMBER($F158),$E158&gt;$F158),"Inicio posterior a fecha límite"&amp;" · ","")&amp;IF(AND($S158="Macro",$G158=""),"Peso vacío"&amp;" · ","")&amp;IF(AND($S158="Macro",$G158&lt;&gt;"",OR(NOT(ISNUMBER($G158)),$G158&lt;=0,$G158&gt;1)),"Peso fuera de rango"&amp;" · ","")&amp;IF(AND($S158="Sub",$G158&lt;&gt;""),"Las subactividades no llevan peso"&amp;" · ","")&amp;IF(AND($S158="Macro",ABS(SUMIFS($G$5:$G$1000,$P$5:$P$1000,$P158,$S$5:$S$1000,"Macro")-1)&gt;0.0001),"Pesos del mes suman "&amp;TEXT(SUMIFS($G$5:$G$1000,$P$5:$P$1000,$P158,$S$5:$S$1000,"Macro"),"0%")&amp;" · ","")&amp;IF(AND(N($T158)&gt;0,COUNT($H158:$K158)&gt;0),"Con subactividades: deje vacías las semanas (se calculan solas)"&amp;" · ","")&amp;IF((COUNTIF($H158:$K158,"&gt;1")+COUNTIF($H158:$K158,"&lt;0")+COUNTA($H158:$K158)-COUNT($H158:$K158))&gt;0,"Avance fuera de rango 0-100%"&amp;" · ","")&amp;IF(OR(AND($I158&lt;&gt;"",$I158&lt;$H158),AND($J158&lt;&gt;"",$J158&lt;MAX($H158:$I158)),AND($K158&lt;&gt;"",$K158&lt;MAX($H158:$J158))),"Avance semanal decreciente"&amp;" · ","")&amp;IF(AND(ISNUMBER($F158),$F158&lt;FechaRef,N($L158)&lt;1),"Vencida"&amp;" · ","")&amp;IF(AND(ObsObligatoria="Sí",ISNUMBER($F158),$F158&lt;FechaRef,N($L158)&lt;1,$N158=""),"Vencida sin observación"&amp;" · ",""))-3)))</f>
        <v/>
      </c>
      <c r="P158" s="69">
        <f>IF(NOT((COUNTA($B158:$K158)+COUNTA($N158))&gt;0),"",IF(AND($S158="Sub",N($R158)&gt;0),IF(ISNUMBER(INDEX($E$5:$E$1000,$R158-4)),DATE(YEAR(INDEX($E$5:$E$1000,$R158-4)),MONTH(INDEX($E$5:$E$1000,$R158-4)),1),IF(ISNUMBER(INDEX($F$5:$F$1000,$R158-4)),DATE(YEAR(INDEX($F$5:$F$1000,$R158-4)),MONTH(INDEX($F$5:$F$1000,$R158-4)),1),MesCiclo)),IF(ISNUMBER($E158),DATE(YEAR($E158),MONTH($E158),1),IF(ISNUMBER($F158),DATE(YEAR($F158),MONTH($F158),1),MesCiclo))))</f>
        <v/>
      </c>
      <c r="Q158" s="70">
        <f>IF(OR($P158="",$P158&lt;&gt;MesCiclo),"",COUNTIF($P$5:$P158,MesCiclo))</f>
        <v/>
      </c>
      <c r="R158" s="70">
        <f>IF($S158="","",IF($S158="Macro",ROW(),IFERROR(LOOKUP(2,1/($S$5:$S158="Macro"),ROW($S$5:$S158)),0)))</f>
        <v/>
      </c>
      <c r="S158" s="70">
        <f>IF(NOT((COUNTA($B158:$K158)+COUNTA($N158))&gt;0),"",IF($B158&lt;&gt;"","Macro",IF($C158&lt;&gt;"","Sub","Macro")))</f>
        <v/>
      </c>
      <c r="T158" s="70">
        <f>IF($S158="Macro",COUNTIFS($R$5:$R$1000,ROW(),$S$5:$S$1000,"Sub"),"")</f>
        <v/>
      </c>
      <c r="U158" s="70">
        <f>IF($S158="","",IF(ISNUMBER($H158),$H158,0))</f>
        <v/>
      </c>
      <c r="V158" s="70">
        <f>IF($S158="","",IF(ISNUMBER($I158),$I158,$U158))</f>
        <v/>
      </c>
      <c r="W158" s="70">
        <f>IF($S158="","",IF(ISNUMBER($J158),$J158,$V158))</f>
        <v/>
      </c>
      <c r="X158" s="70">
        <f>IF($S158="","",IF(ISNUMBER($K158),$K158,$W158))</f>
        <v/>
      </c>
      <c r="Y158" s="70">
        <f>IF($S158="","",IF(N($T158)&gt;0,AVERAGEIFS($U$5:$U$1000,$R$5:$R$1000,ROW(),$S$5:$S$1000,"Sub"),$U158))</f>
        <v/>
      </c>
      <c r="Z158" s="70">
        <f>IF($S158="","",IF(N($T158)&gt;0,AVERAGEIFS($V$5:$V$1000,$R$5:$R$1000,ROW(),$S$5:$S$1000,"Sub"),$V158))</f>
        <v/>
      </c>
      <c r="AA158" s="70">
        <f>IF($S158="","",IF(N($T158)&gt;0,AVERAGEIFS($W$5:$W$1000,$R$5:$R$1000,ROW(),$S$5:$S$1000,"Sub"),$W158))</f>
        <v/>
      </c>
      <c r="AB158" s="70">
        <f>IF($S158="","",IF(N($T158)&gt;0,AVERAGEIFS($X$5:$X$1000,$R$5:$R$1000,ROW(),$S$5:$S$1000,"Sub"),$X158))</f>
        <v/>
      </c>
    </row>
    <row r="159">
      <c r="A159" s="61">
        <f>IF(NOT((COUNTA($B159:$K159)+COUNTA($N159))&gt;0),"",IF($S159="Macro",COUNTIFS($S$5:$S159,"Macro",$P$5:$P159,$P159),IF(N($R159)=0,"?",COUNTIFS(INDEX($S$5:$S$1000,1):INDEX($S$5:$S$1000,$R159-4),"Macro",INDEX($P$5:$P$1000,1):INDEX($P$5:$P$1000,$R159-4),INDEX($P$5:$P$1000,$R159-4))&amp;"."&amp;COUNTIFS($R$5:$R159,$R159,$S$5:$S159,"Sub"))))</f>
        <v/>
      </c>
      <c r="B159" s="62" t="n"/>
      <c r="C159" s="63" t="n"/>
      <c r="D159" s="62" t="n"/>
      <c r="E159" s="64" t="n"/>
      <c r="F159" s="64" t="n"/>
      <c r="G159" s="65" t="n"/>
      <c r="H159" s="66" t="n"/>
      <c r="I159" s="66" t="n"/>
      <c r="J159" s="66" t="n"/>
      <c r="K159" s="66" t="n"/>
      <c r="L159" s="67">
        <f>IF(NOT((COUNTA($B159:$K159)+COUNTA($N159))&gt;0),"",IF(N($T159)&gt;0,$AB159,IFERROR(LOOKUP(2,1/(H159:K159&lt;&gt;""),H159:K159),0)))</f>
        <v/>
      </c>
      <c r="M159" s="61">
        <f>IF(L159="","",IF(L159&gt;=1,"Completado",IF(L159&gt;0,"En curso","Pendiente")))</f>
        <v/>
      </c>
      <c r="N159" s="62" t="n"/>
      <c r="O159" s="68">
        <f>IF(NOT((COUNTA($B159:$K159)+COUNTA($N159))&gt;0),"",IF((IF(AND($S159="Macro",$B159=""),"Macroactividad vacía"&amp;" · ","")&amp;IF(AND($B159&lt;&gt;"",$C159&lt;&gt;""),"Escriba la subactividad en otra fila, debajo de su macroactividad"&amp;" · ","")&amp;IF(AND($S159="Sub",N($R159)=0),"Subactividad sin macroactividad arriba"&amp;" · ","")&amp;IF($D159="","Sin responsable"&amp;" · ","")&amp;IF($E159="","Sin fecha de inicio"&amp;" · ","")&amp;IF($F159="","Sin fecha límite"&amp;" · ","")&amp;IF(OR(AND($E159&lt;&gt;"",NOT(ISNUMBER($E159))),AND($F159&lt;&gt;"",NOT(ISNUMBER($F159)))),"Fecha no válida"&amp;" · ","")&amp;IF(AND(ISNUMBER($E159),ISNUMBER($F159),$E159&gt;$F159),"Inicio posterior a fecha límite"&amp;" · ","")&amp;IF(AND($S159="Macro",$G159=""),"Peso vacío"&amp;" · ","")&amp;IF(AND($S159="Macro",$G159&lt;&gt;"",OR(NOT(ISNUMBER($G159)),$G159&lt;=0,$G159&gt;1)),"Peso fuera de rango"&amp;" · ","")&amp;IF(AND($S159="Sub",$G159&lt;&gt;""),"Las subactividades no llevan peso"&amp;" · ","")&amp;IF(AND($S159="Macro",ABS(SUMIFS($G$5:$G$1000,$P$5:$P$1000,$P159,$S$5:$S$1000,"Macro")-1)&gt;0.0001),"Pesos del mes suman "&amp;TEXT(SUMIFS($G$5:$G$1000,$P$5:$P$1000,$P159,$S$5:$S$1000,"Macro"),"0%")&amp;" · ","")&amp;IF(AND(N($T159)&gt;0,COUNT($H159:$K159)&gt;0),"Con subactividades: deje vacías las semanas (se calculan solas)"&amp;" · ","")&amp;IF((COUNTIF($H159:$K159,"&gt;1")+COUNTIF($H159:$K159,"&lt;0")+COUNTA($H159:$K159)-COUNT($H159:$K159))&gt;0,"Avance fuera de rango 0-100%"&amp;" · ","")&amp;IF(OR(AND($I159&lt;&gt;"",$I159&lt;$H159),AND($J159&lt;&gt;"",$J159&lt;MAX($H159:$I159)),AND($K159&lt;&gt;"",$K159&lt;MAX($H159:$J159))),"Avance semanal decreciente"&amp;" · ","")&amp;IF(AND(ISNUMBER($F159),$F159&lt;FechaRef,N($L159)&lt;1),"Vencida"&amp;" · ","")&amp;IF(AND(ObsObligatoria="Sí",ISNUMBER($F159),$F159&lt;FechaRef,N($L159)&lt;1,$N159=""),"Vencida sin observación"&amp;" · ",""))="","✔ OK","⚠ "&amp;LEFT(IF(AND($S159="Macro",$B159=""),"Macroactividad vacía"&amp;" · ","")&amp;IF(AND($B159&lt;&gt;"",$C159&lt;&gt;""),"Escriba la subactividad en otra fila, debajo de su macroactividad"&amp;" · ","")&amp;IF(AND($S159="Sub",N($R159)=0),"Subactividad sin macroactividad arriba"&amp;" · ","")&amp;IF($D159="","Sin responsable"&amp;" · ","")&amp;IF($E159="","Sin fecha de inicio"&amp;" · ","")&amp;IF($F159="","Sin fecha límite"&amp;" · ","")&amp;IF(OR(AND($E159&lt;&gt;"",NOT(ISNUMBER($E159))),AND($F159&lt;&gt;"",NOT(ISNUMBER($F159)))),"Fecha no válida"&amp;" · ","")&amp;IF(AND(ISNUMBER($E159),ISNUMBER($F159),$E159&gt;$F159),"Inicio posterior a fecha límite"&amp;" · ","")&amp;IF(AND($S159="Macro",$G159=""),"Peso vacío"&amp;" · ","")&amp;IF(AND($S159="Macro",$G159&lt;&gt;"",OR(NOT(ISNUMBER($G159)),$G159&lt;=0,$G159&gt;1)),"Peso fuera de rango"&amp;" · ","")&amp;IF(AND($S159="Sub",$G159&lt;&gt;""),"Las subactividades no llevan peso"&amp;" · ","")&amp;IF(AND($S159="Macro",ABS(SUMIFS($G$5:$G$1000,$P$5:$P$1000,$P159,$S$5:$S$1000,"Macro")-1)&gt;0.0001),"Pesos del mes suman "&amp;TEXT(SUMIFS($G$5:$G$1000,$P$5:$P$1000,$P159,$S$5:$S$1000,"Macro"),"0%")&amp;" · ","")&amp;IF(AND(N($T159)&gt;0,COUNT($H159:$K159)&gt;0),"Con subactividades: deje vacías las semanas (se calculan solas)"&amp;" · ","")&amp;IF((COUNTIF($H159:$K159,"&gt;1")+COUNTIF($H159:$K159,"&lt;0")+COUNTA($H159:$K159)-COUNT($H159:$K159))&gt;0,"Avance fuera de rango 0-100%"&amp;" · ","")&amp;IF(OR(AND($I159&lt;&gt;"",$I159&lt;$H159),AND($J159&lt;&gt;"",$J159&lt;MAX($H159:$I159)),AND($K159&lt;&gt;"",$K159&lt;MAX($H159:$J159))),"Avance semanal decreciente"&amp;" · ","")&amp;IF(AND(ISNUMBER($F159),$F159&lt;FechaRef,N($L159)&lt;1),"Vencida"&amp;" · ","")&amp;IF(AND(ObsObligatoria="Sí",ISNUMBER($F159),$F159&lt;FechaRef,N($L159)&lt;1,$N159=""),"Vencida sin observación"&amp;" · ",""),LEN(IF(AND($S159="Macro",$B159=""),"Macroactividad vacía"&amp;" · ","")&amp;IF(AND($B159&lt;&gt;"",$C159&lt;&gt;""),"Escriba la subactividad en otra fila, debajo de su macroactividad"&amp;" · ","")&amp;IF(AND($S159="Sub",N($R159)=0),"Subactividad sin macroactividad arriba"&amp;" · ","")&amp;IF($D159="","Sin responsable"&amp;" · ","")&amp;IF($E159="","Sin fecha de inicio"&amp;" · ","")&amp;IF($F159="","Sin fecha límite"&amp;" · ","")&amp;IF(OR(AND($E159&lt;&gt;"",NOT(ISNUMBER($E159))),AND($F159&lt;&gt;"",NOT(ISNUMBER($F159)))),"Fecha no válida"&amp;" · ","")&amp;IF(AND(ISNUMBER($E159),ISNUMBER($F159),$E159&gt;$F159),"Inicio posterior a fecha límite"&amp;" · ","")&amp;IF(AND($S159="Macro",$G159=""),"Peso vacío"&amp;" · ","")&amp;IF(AND($S159="Macro",$G159&lt;&gt;"",OR(NOT(ISNUMBER($G159)),$G159&lt;=0,$G159&gt;1)),"Peso fuera de rango"&amp;" · ","")&amp;IF(AND($S159="Sub",$G159&lt;&gt;""),"Las subactividades no llevan peso"&amp;" · ","")&amp;IF(AND($S159="Macro",ABS(SUMIFS($G$5:$G$1000,$P$5:$P$1000,$P159,$S$5:$S$1000,"Macro")-1)&gt;0.0001),"Pesos del mes suman "&amp;TEXT(SUMIFS($G$5:$G$1000,$P$5:$P$1000,$P159,$S$5:$S$1000,"Macro"),"0%")&amp;" · ","")&amp;IF(AND(N($T159)&gt;0,COUNT($H159:$K159)&gt;0),"Con subactividades: deje vacías las semanas (se calculan solas)"&amp;" · ","")&amp;IF((COUNTIF($H159:$K159,"&gt;1")+COUNTIF($H159:$K159,"&lt;0")+COUNTA($H159:$K159)-COUNT($H159:$K159))&gt;0,"Avance fuera de rango 0-100%"&amp;" · ","")&amp;IF(OR(AND($I159&lt;&gt;"",$I159&lt;$H159),AND($J159&lt;&gt;"",$J159&lt;MAX($H159:$I159)),AND($K159&lt;&gt;"",$K159&lt;MAX($H159:$J159))),"Avance semanal decreciente"&amp;" · ","")&amp;IF(AND(ISNUMBER($F159),$F159&lt;FechaRef,N($L159)&lt;1),"Vencida"&amp;" · ","")&amp;IF(AND(ObsObligatoria="Sí",ISNUMBER($F159),$F159&lt;FechaRef,N($L159)&lt;1,$N159=""),"Vencida sin observación"&amp;" · ",""))-3)))</f>
        <v/>
      </c>
      <c r="P159" s="69">
        <f>IF(NOT((COUNTA($B159:$K159)+COUNTA($N159))&gt;0),"",IF(AND($S159="Sub",N($R159)&gt;0),IF(ISNUMBER(INDEX($E$5:$E$1000,$R159-4)),DATE(YEAR(INDEX($E$5:$E$1000,$R159-4)),MONTH(INDEX($E$5:$E$1000,$R159-4)),1),IF(ISNUMBER(INDEX($F$5:$F$1000,$R159-4)),DATE(YEAR(INDEX($F$5:$F$1000,$R159-4)),MONTH(INDEX($F$5:$F$1000,$R159-4)),1),MesCiclo)),IF(ISNUMBER($E159),DATE(YEAR($E159),MONTH($E159),1),IF(ISNUMBER($F159),DATE(YEAR($F159),MONTH($F159),1),MesCiclo))))</f>
        <v/>
      </c>
      <c r="Q159" s="70">
        <f>IF(OR($P159="",$P159&lt;&gt;MesCiclo),"",COUNTIF($P$5:$P159,MesCiclo))</f>
        <v/>
      </c>
      <c r="R159" s="70">
        <f>IF($S159="","",IF($S159="Macro",ROW(),IFERROR(LOOKUP(2,1/($S$5:$S159="Macro"),ROW($S$5:$S159)),0)))</f>
        <v/>
      </c>
      <c r="S159" s="70">
        <f>IF(NOT((COUNTA($B159:$K159)+COUNTA($N159))&gt;0),"",IF($B159&lt;&gt;"","Macro",IF($C159&lt;&gt;"","Sub","Macro")))</f>
        <v/>
      </c>
      <c r="T159" s="70">
        <f>IF($S159="Macro",COUNTIFS($R$5:$R$1000,ROW(),$S$5:$S$1000,"Sub"),"")</f>
        <v/>
      </c>
      <c r="U159" s="70">
        <f>IF($S159="","",IF(ISNUMBER($H159),$H159,0))</f>
        <v/>
      </c>
      <c r="V159" s="70">
        <f>IF($S159="","",IF(ISNUMBER($I159),$I159,$U159))</f>
        <v/>
      </c>
      <c r="W159" s="70">
        <f>IF($S159="","",IF(ISNUMBER($J159),$J159,$V159))</f>
        <v/>
      </c>
      <c r="X159" s="70">
        <f>IF($S159="","",IF(ISNUMBER($K159),$K159,$W159))</f>
        <v/>
      </c>
      <c r="Y159" s="70">
        <f>IF($S159="","",IF(N($T159)&gt;0,AVERAGEIFS($U$5:$U$1000,$R$5:$R$1000,ROW(),$S$5:$S$1000,"Sub"),$U159))</f>
        <v/>
      </c>
      <c r="Z159" s="70">
        <f>IF($S159="","",IF(N($T159)&gt;0,AVERAGEIFS($V$5:$V$1000,$R$5:$R$1000,ROW(),$S$5:$S$1000,"Sub"),$V159))</f>
        <v/>
      </c>
      <c r="AA159" s="70">
        <f>IF($S159="","",IF(N($T159)&gt;0,AVERAGEIFS($W$5:$W$1000,$R$5:$R$1000,ROW(),$S$5:$S$1000,"Sub"),$W159))</f>
        <v/>
      </c>
      <c r="AB159" s="70">
        <f>IF($S159="","",IF(N($T159)&gt;0,AVERAGEIFS($X$5:$X$1000,$R$5:$R$1000,ROW(),$S$5:$S$1000,"Sub"),$X159))</f>
        <v/>
      </c>
    </row>
    <row r="160">
      <c r="A160" s="61">
        <f>IF(NOT((COUNTA($B160:$K160)+COUNTA($N160))&gt;0),"",IF($S160="Macro",COUNTIFS($S$5:$S160,"Macro",$P$5:$P160,$P160),IF(N($R160)=0,"?",COUNTIFS(INDEX($S$5:$S$1000,1):INDEX($S$5:$S$1000,$R160-4),"Macro",INDEX($P$5:$P$1000,1):INDEX($P$5:$P$1000,$R160-4),INDEX($P$5:$P$1000,$R160-4))&amp;"."&amp;COUNTIFS($R$5:$R160,$R160,$S$5:$S160,"Sub"))))</f>
        <v/>
      </c>
      <c r="B160" s="62" t="n"/>
      <c r="C160" s="63" t="n"/>
      <c r="D160" s="62" t="n"/>
      <c r="E160" s="64" t="n"/>
      <c r="F160" s="64" t="n"/>
      <c r="G160" s="65" t="n"/>
      <c r="H160" s="66" t="n"/>
      <c r="I160" s="66" t="n"/>
      <c r="J160" s="66" t="n"/>
      <c r="K160" s="66" t="n"/>
      <c r="L160" s="67">
        <f>IF(NOT((COUNTA($B160:$K160)+COUNTA($N160))&gt;0),"",IF(N($T160)&gt;0,$AB160,IFERROR(LOOKUP(2,1/(H160:K160&lt;&gt;""),H160:K160),0)))</f>
        <v/>
      </c>
      <c r="M160" s="61">
        <f>IF(L160="","",IF(L160&gt;=1,"Completado",IF(L160&gt;0,"En curso","Pendiente")))</f>
        <v/>
      </c>
      <c r="N160" s="62" t="n"/>
      <c r="O160" s="68">
        <f>IF(NOT((COUNTA($B160:$K160)+COUNTA($N160))&gt;0),"",IF((IF(AND($S160="Macro",$B160=""),"Macroactividad vacía"&amp;" · ","")&amp;IF(AND($B160&lt;&gt;"",$C160&lt;&gt;""),"Escriba la subactividad en otra fila, debajo de su macroactividad"&amp;" · ","")&amp;IF(AND($S160="Sub",N($R160)=0),"Subactividad sin macroactividad arriba"&amp;" · ","")&amp;IF($D160="","Sin responsable"&amp;" · ","")&amp;IF($E160="","Sin fecha de inicio"&amp;" · ","")&amp;IF($F160="","Sin fecha límite"&amp;" · ","")&amp;IF(OR(AND($E160&lt;&gt;"",NOT(ISNUMBER($E160))),AND($F160&lt;&gt;"",NOT(ISNUMBER($F160)))),"Fecha no válida"&amp;" · ","")&amp;IF(AND(ISNUMBER($E160),ISNUMBER($F160),$E160&gt;$F160),"Inicio posterior a fecha límite"&amp;" · ","")&amp;IF(AND($S160="Macro",$G160=""),"Peso vacío"&amp;" · ","")&amp;IF(AND($S160="Macro",$G160&lt;&gt;"",OR(NOT(ISNUMBER($G160)),$G160&lt;=0,$G160&gt;1)),"Peso fuera de rango"&amp;" · ","")&amp;IF(AND($S160="Sub",$G160&lt;&gt;""),"Las subactividades no llevan peso"&amp;" · ","")&amp;IF(AND($S160="Macro",ABS(SUMIFS($G$5:$G$1000,$P$5:$P$1000,$P160,$S$5:$S$1000,"Macro")-1)&gt;0.0001),"Pesos del mes suman "&amp;TEXT(SUMIFS($G$5:$G$1000,$P$5:$P$1000,$P160,$S$5:$S$1000,"Macro"),"0%")&amp;" · ","")&amp;IF(AND(N($T160)&gt;0,COUNT($H160:$K160)&gt;0),"Con subactividades: deje vacías las semanas (se calculan solas)"&amp;" · ","")&amp;IF((COUNTIF($H160:$K160,"&gt;1")+COUNTIF($H160:$K160,"&lt;0")+COUNTA($H160:$K160)-COUNT($H160:$K160))&gt;0,"Avance fuera de rango 0-100%"&amp;" · ","")&amp;IF(OR(AND($I160&lt;&gt;"",$I160&lt;$H160),AND($J160&lt;&gt;"",$J160&lt;MAX($H160:$I160)),AND($K160&lt;&gt;"",$K160&lt;MAX($H160:$J160))),"Avance semanal decreciente"&amp;" · ","")&amp;IF(AND(ISNUMBER($F160),$F160&lt;FechaRef,N($L160)&lt;1),"Vencida"&amp;" · ","")&amp;IF(AND(ObsObligatoria="Sí",ISNUMBER($F160),$F160&lt;FechaRef,N($L160)&lt;1,$N160=""),"Vencida sin observación"&amp;" · ",""))="","✔ OK","⚠ "&amp;LEFT(IF(AND($S160="Macro",$B160=""),"Macroactividad vacía"&amp;" · ","")&amp;IF(AND($B160&lt;&gt;"",$C160&lt;&gt;""),"Escriba la subactividad en otra fila, debajo de su macroactividad"&amp;" · ","")&amp;IF(AND($S160="Sub",N($R160)=0),"Subactividad sin macroactividad arriba"&amp;" · ","")&amp;IF($D160="","Sin responsable"&amp;" · ","")&amp;IF($E160="","Sin fecha de inicio"&amp;" · ","")&amp;IF($F160="","Sin fecha límite"&amp;" · ","")&amp;IF(OR(AND($E160&lt;&gt;"",NOT(ISNUMBER($E160))),AND($F160&lt;&gt;"",NOT(ISNUMBER($F160)))),"Fecha no válida"&amp;" · ","")&amp;IF(AND(ISNUMBER($E160),ISNUMBER($F160),$E160&gt;$F160),"Inicio posterior a fecha límite"&amp;" · ","")&amp;IF(AND($S160="Macro",$G160=""),"Peso vacío"&amp;" · ","")&amp;IF(AND($S160="Macro",$G160&lt;&gt;"",OR(NOT(ISNUMBER($G160)),$G160&lt;=0,$G160&gt;1)),"Peso fuera de rango"&amp;" · ","")&amp;IF(AND($S160="Sub",$G160&lt;&gt;""),"Las subactividades no llevan peso"&amp;" · ","")&amp;IF(AND($S160="Macro",ABS(SUMIFS($G$5:$G$1000,$P$5:$P$1000,$P160,$S$5:$S$1000,"Macro")-1)&gt;0.0001),"Pesos del mes suman "&amp;TEXT(SUMIFS($G$5:$G$1000,$P$5:$P$1000,$P160,$S$5:$S$1000,"Macro"),"0%")&amp;" · ","")&amp;IF(AND(N($T160)&gt;0,COUNT($H160:$K160)&gt;0),"Con subactividades: deje vacías las semanas (se calculan solas)"&amp;" · ","")&amp;IF((COUNTIF($H160:$K160,"&gt;1")+COUNTIF($H160:$K160,"&lt;0")+COUNTA($H160:$K160)-COUNT($H160:$K160))&gt;0,"Avance fuera de rango 0-100%"&amp;" · ","")&amp;IF(OR(AND($I160&lt;&gt;"",$I160&lt;$H160),AND($J160&lt;&gt;"",$J160&lt;MAX($H160:$I160)),AND($K160&lt;&gt;"",$K160&lt;MAX($H160:$J160))),"Avance semanal decreciente"&amp;" · ","")&amp;IF(AND(ISNUMBER($F160),$F160&lt;FechaRef,N($L160)&lt;1),"Vencida"&amp;" · ","")&amp;IF(AND(ObsObligatoria="Sí",ISNUMBER($F160),$F160&lt;FechaRef,N($L160)&lt;1,$N160=""),"Vencida sin observación"&amp;" · ",""),LEN(IF(AND($S160="Macro",$B160=""),"Macroactividad vacía"&amp;" · ","")&amp;IF(AND($B160&lt;&gt;"",$C160&lt;&gt;""),"Escriba la subactividad en otra fila, debajo de su macroactividad"&amp;" · ","")&amp;IF(AND($S160="Sub",N($R160)=0),"Subactividad sin macroactividad arriba"&amp;" · ","")&amp;IF($D160="","Sin responsable"&amp;" · ","")&amp;IF($E160="","Sin fecha de inicio"&amp;" · ","")&amp;IF($F160="","Sin fecha límite"&amp;" · ","")&amp;IF(OR(AND($E160&lt;&gt;"",NOT(ISNUMBER($E160))),AND($F160&lt;&gt;"",NOT(ISNUMBER($F160)))),"Fecha no válida"&amp;" · ","")&amp;IF(AND(ISNUMBER($E160),ISNUMBER($F160),$E160&gt;$F160),"Inicio posterior a fecha límite"&amp;" · ","")&amp;IF(AND($S160="Macro",$G160=""),"Peso vacío"&amp;" · ","")&amp;IF(AND($S160="Macro",$G160&lt;&gt;"",OR(NOT(ISNUMBER($G160)),$G160&lt;=0,$G160&gt;1)),"Peso fuera de rango"&amp;" · ","")&amp;IF(AND($S160="Sub",$G160&lt;&gt;""),"Las subactividades no llevan peso"&amp;" · ","")&amp;IF(AND($S160="Macro",ABS(SUMIFS($G$5:$G$1000,$P$5:$P$1000,$P160,$S$5:$S$1000,"Macro")-1)&gt;0.0001),"Pesos del mes suman "&amp;TEXT(SUMIFS($G$5:$G$1000,$P$5:$P$1000,$P160,$S$5:$S$1000,"Macro"),"0%")&amp;" · ","")&amp;IF(AND(N($T160)&gt;0,COUNT($H160:$K160)&gt;0),"Con subactividades: deje vacías las semanas (se calculan solas)"&amp;" · ","")&amp;IF((COUNTIF($H160:$K160,"&gt;1")+COUNTIF($H160:$K160,"&lt;0")+COUNTA($H160:$K160)-COUNT($H160:$K160))&gt;0,"Avance fuera de rango 0-100%"&amp;" · ","")&amp;IF(OR(AND($I160&lt;&gt;"",$I160&lt;$H160),AND($J160&lt;&gt;"",$J160&lt;MAX($H160:$I160)),AND($K160&lt;&gt;"",$K160&lt;MAX($H160:$J160))),"Avance semanal decreciente"&amp;" · ","")&amp;IF(AND(ISNUMBER($F160),$F160&lt;FechaRef,N($L160)&lt;1),"Vencida"&amp;" · ","")&amp;IF(AND(ObsObligatoria="Sí",ISNUMBER($F160),$F160&lt;FechaRef,N($L160)&lt;1,$N160=""),"Vencida sin observación"&amp;" · ",""))-3)))</f>
        <v/>
      </c>
      <c r="P160" s="69">
        <f>IF(NOT((COUNTA($B160:$K160)+COUNTA($N160))&gt;0),"",IF(AND($S160="Sub",N($R160)&gt;0),IF(ISNUMBER(INDEX($E$5:$E$1000,$R160-4)),DATE(YEAR(INDEX($E$5:$E$1000,$R160-4)),MONTH(INDEX($E$5:$E$1000,$R160-4)),1),IF(ISNUMBER(INDEX($F$5:$F$1000,$R160-4)),DATE(YEAR(INDEX($F$5:$F$1000,$R160-4)),MONTH(INDEX($F$5:$F$1000,$R160-4)),1),MesCiclo)),IF(ISNUMBER($E160),DATE(YEAR($E160),MONTH($E160),1),IF(ISNUMBER($F160),DATE(YEAR($F160),MONTH($F160),1),MesCiclo))))</f>
        <v/>
      </c>
      <c r="Q160" s="70">
        <f>IF(OR($P160="",$P160&lt;&gt;MesCiclo),"",COUNTIF($P$5:$P160,MesCiclo))</f>
        <v/>
      </c>
      <c r="R160" s="70">
        <f>IF($S160="","",IF($S160="Macro",ROW(),IFERROR(LOOKUP(2,1/($S$5:$S160="Macro"),ROW($S$5:$S160)),0)))</f>
        <v/>
      </c>
      <c r="S160" s="70">
        <f>IF(NOT((COUNTA($B160:$K160)+COUNTA($N160))&gt;0),"",IF($B160&lt;&gt;"","Macro",IF($C160&lt;&gt;"","Sub","Macro")))</f>
        <v/>
      </c>
      <c r="T160" s="70">
        <f>IF($S160="Macro",COUNTIFS($R$5:$R$1000,ROW(),$S$5:$S$1000,"Sub"),"")</f>
        <v/>
      </c>
      <c r="U160" s="70">
        <f>IF($S160="","",IF(ISNUMBER($H160),$H160,0))</f>
        <v/>
      </c>
      <c r="V160" s="70">
        <f>IF($S160="","",IF(ISNUMBER($I160),$I160,$U160))</f>
        <v/>
      </c>
      <c r="W160" s="70">
        <f>IF($S160="","",IF(ISNUMBER($J160),$J160,$V160))</f>
        <v/>
      </c>
      <c r="X160" s="70">
        <f>IF($S160="","",IF(ISNUMBER($K160),$K160,$W160))</f>
        <v/>
      </c>
      <c r="Y160" s="70">
        <f>IF($S160="","",IF(N($T160)&gt;0,AVERAGEIFS($U$5:$U$1000,$R$5:$R$1000,ROW(),$S$5:$S$1000,"Sub"),$U160))</f>
        <v/>
      </c>
      <c r="Z160" s="70">
        <f>IF($S160="","",IF(N($T160)&gt;0,AVERAGEIFS($V$5:$V$1000,$R$5:$R$1000,ROW(),$S$5:$S$1000,"Sub"),$V160))</f>
        <v/>
      </c>
      <c r="AA160" s="70">
        <f>IF($S160="","",IF(N($T160)&gt;0,AVERAGEIFS($W$5:$W$1000,$R$5:$R$1000,ROW(),$S$5:$S$1000,"Sub"),$W160))</f>
        <v/>
      </c>
      <c r="AB160" s="70">
        <f>IF($S160="","",IF(N($T160)&gt;0,AVERAGEIFS($X$5:$X$1000,$R$5:$R$1000,ROW(),$S$5:$S$1000,"Sub"),$X160))</f>
        <v/>
      </c>
    </row>
    <row r="161">
      <c r="A161" s="61">
        <f>IF(NOT((COUNTA($B161:$K161)+COUNTA($N161))&gt;0),"",IF($S161="Macro",COUNTIFS($S$5:$S161,"Macro",$P$5:$P161,$P161),IF(N($R161)=0,"?",COUNTIFS(INDEX($S$5:$S$1000,1):INDEX($S$5:$S$1000,$R161-4),"Macro",INDEX($P$5:$P$1000,1):INDEX($P$5:$P$1000,$R161-4),INDEX($P$5:$P$1000,$R161-4))&amp;"."&amp;COUNTIFS($R$5:$R161,$R161,$S$5:$S161,"Sub"))))</f>
        <v/>
      </c>
      <c r="B161" s="62" t="n"/>
      <c r="C161" s="63" t="n"/>
      <c r="D161" s="62" t="n"/>
      <c r="E161" s="64" t="n"/>
      <c r="F161" s="64" t="n"/>
      <c r="G161" s="65" t="n"/>
      <c r="H161" s="66" t="n"/>
      <c r="I161" s="66" t="n"/>
      <c r="J161" s="66" t="n"/>
      <c r="K161" s="66" t="n"/>
      <c r="L161" s="67">
        <f>IF(NOT((COUNTA($B161:$K161)+COUNTA($N161))&gt;0),"",IF(N($T161)&gt;0,$AB161,IFERROR(LOOKUP(2,1/(H161:K161&lt;&gt;""),H161:K161),0)))</f>
        <v/>
      </c>
      <c r="M161" s="61">
        <f>IF(L161="","",IF(L161&gt;=1,"Completado",IF(L161&gt;0,"En curso","Pendiente")))</f>
        <v/>
      </c>
      <c r="N161" s="62" t="n"/>
      <c r="O161" s="68">
        <f>IF(NOT((COUNTA($B161:$K161)+COUNTA($N161))&gt;0),"",IF((IF(AND($S161="Macro",$B161=""),"Macroactividad vacía"&amp;" · ","")&amp;IF(AND($B161&lt;&gt;"",$C161&lt;&gt;""),"Escriba la subactividad en otra fila, debajo de su macroactividad"&amp;" · ","")&amp;IF(AND($S161="Sub",N($R161)=0),"Subactividad sin macroactividad arriba"&amp;" · ","")&amp;IF($D161="","Sin responsable"&amp;" · ","")&amp;IF($E161="","Sin fecha de inicio"&amp;" · ","")&amp;IF($F161="","Sin fecha límite"&amp;" · ","")&amp;IF(OR(AND($E161&lt;&gt;"",NOT(ISNUMBER($E161))),AND($F161&lt;&gt;"",NOT(ISNUMBER($F161)))),"Fecha no válida"&amp;" · ","")&amp;IF(AND(ISNUMBER($E161),ISNUMBER($F161),$E161&gt;$F161),"Inicio posterior a fecha límite"&amp;" · ","")&amp;IF(AND($S161="Macro",$G161=""),"Peso vacío"&amp;" · ","")&amp;IF(AND($S161="Macro",$G161&lt;&gt;"",OR(NOT(ISNUMBER($G161)),$G161&lt;=0,$G161&gt;1)),"Peso fuera de rango"&amp;" · ","")&amp;IF(AND($S161="Sub",$G161&lt;&gt;""),"Las subactividades no llevan peso"&amp;" · ","")&amp;IF(AND($S161="Macro",ABS(SUMIFS($G$5:$G$1000,$P$5:$P$1000,$P161,$S$5:$S$1000,"Macro")-1)&gt;0.0001),"Pesos del mes suman "&amp;TEXT(SUMIFS($G$5:$G$1000,$P$5:$P$1000,$P161,$S$5:$S$1000,"Macro"),"0%")&amp;" · ","")&amp;IF(AND(N($T161)&gt;0,COUNT($H161:$K161)&gt;0),"Con subactividades: deje vacías las semanas (se calculan solas)"&amp;" · ","")&amp;IF((COUNTIF($H161:$K161,"&gt;1")+COUNTIF($H161:$K161,"&lt;0")+COUNTA($H161:$K161)-COUNT($H161:$K161))&gt;0,"Avance fuera de rango 0-100%"&amp;" · ","")&amp;IF(OR(AND($I161&lt;&gt;"",$I161&lt;$H161),AND($J161&lt;&gt;"",$J161&lt;MAX($H161:$I161)),AND($K161&lt;&gt;"",$K161&lt;MAX($H161:$J161))),"Avance semanal decreciente"&amp;" · ","")&amp;IF(AND(ISNUMBER($F161),$F161&lt;FechaRef,N($L161)&lt;1),"Vencida"&amp;" · ","")&amp;IF(AND(ObsObligatoria="Sí",ISNUMBER($F161),$F161&lt;FechaRef,N($L161)&lt;1,$N161=""),"Vencida sin observación"&amp;" · ",""))="","✔ OK","⚠ "&amp;LEFT(IF(AND($S161="Macro",$B161=""),"Macroactividad vacía"&amp;" · ","")&amp;IF(AND($B161&lt;&gt;"",$C161&lt;&gt;""),"Escriba la subactividad en otra fila, debajo de su macroactividad"&amp;" · ","")&amp;IF(AND($S161="Sub",N($R161)=0),"Subactividad sin macroactividad arriba"&amp;" · ","")&amp;IF($D161="","Sin responsable"&amp;" · ","")&amp;IF($E161="","Sin fecha de inicio"&amp;" · ","")&amp;IF($F161="","Sin fecha límite"&amp;" · ","")&amp;IF(OR(AND($E161&lt;&gt;"",NOT(ISNUMBER($E161))),AND($F161&lt;&gt;"",NOT(ISNUMBER($F161)))),"Fecha no válida"&amp;" · ","")&amp;IF(AND(ISNUMBER($E161),ISNUMBER($F161),$E161&gt;$F161),"Inicio posterior a fecha límite"&amp;" · ","")&amp;IF(AND($S161="Macro",$G161=""),"Peso vacío"&amp;" · ","")&amp;IF(AND($S161="Macro",$G161&lt;&gt;"",OR(NOT(ISNUMBER($G161)),$G161&lt;=0,$G161&gt;1)),"Peso fuera de rango"&amp;" · ","")&amp;IF(AND($S161="Sub",$G161&lt;&gt;""),"Las subactividades no llevan peso"&amp;" · ","")&amp;IF(AND($S161="Macro",ABS(SUMIFS($G$5:$G$1000,$P$5:$P$1000,$P161,$S$5:$S$1000,"Macro")-1)&gt;0.0001),"Pesos del mes suman "&amp;TEXT(SUMIFS($G$5:$G$1000,$P$5:$P$1000,$P161,$S$5:$S$1000,"Macro"),"0%")&amp;" · ","")&amp;IF(AND(N($T161)&gt;0,COUNT($H161:$K161)&gt;0),"Con subactividades: deje vacías las semanas (se calculan solas)"&amp;" · ","")&amp;IF((COUNTIF($H161:$K161,"&gt;1")+COUNTIF($H161:$K161,"&lt;0")+COUNTA($H161:$K161)-COUNT($H161:$K161))&gt;0,"Avance fuera de rango 0-100%"&amp;" · ","")&amp;IF(OR(AND($I161&lt;&gt;"",$I161&lt;$H161),AND($J161&lt;&gt;"",$J161&lt;MAX($H161:$I161)),AND($K161&lt;&gt;"",$K161&lt;MAX($H161:$J161))),"Avance semanal decreciente"&amp;" · ","")&amp;IF(AND(ISNUMBER($F161),$F161&lt;FechaRef,N($L161)&lt;1),"Vencida"&amp;" · ","")&amp;IF(AND(ObsObligatoria="Sí",ISNUMBER($F161),$F161&lt;FechaRef,N($L161)&lt;1,$N161=""),"Vencida sin observación"&amp;" · ",""),LEN(IF(AND($S161="Macro",$B161=""),"Macroactividad vacía"&amp;" · ","")&amp;IF(AND($B161&lt;&gt;"",$C161&lt;&gt;""),"Escriba la subactividad en otra fila, debajo de su macroactividad"&amp;" · ","")&amp;IF(AND($S161="Sub",N($R161)=0),"Subactividad sin macroactividad arriba"&amp;" · ","")&amp;IF($D161="","Sin responsable"&amp;" · ","")&amp;IF($E161="","Sin fecha de inicio"&amp;" · ","")&amp;IF($F161="","Sin fecha límite"&amp;" · ","")&amp;IF(OR(AND($E161&lt;&gt;"",NOT(ISNUMBER($E161))),AND($F161&lt;&gt;"",NOT(ISNUMBER($F161)))),"Fecha no válida"&amp;" · ","")&amp;IF(AND(ISNUMBER($E161),ISNUMBER($F161),$E161&gt;$F161),"Inicio posterior a fecha límite"&amp;" · ","")&amp;IF(AND($S161="Macro",$G161=""),"Peso vacío"&amp;" · ","")&amp;IF(AND($S161="Macro",$G161&lt;&gt;"",OR(NOT(ISNUMBER($G161)),$G161&lt;=0,$G161&gt;1)),"Peso fuera de rango"&amp;" · ","")&amp;IF(AND($S161="Sub",$G161&lt;&gt;""),"Las subactividades no llevan peso"&amp;" · ","")&amp;IF(AND($S161="Macro",ABS(SUMIFS($G$5:$G$1000,$P$5:$P$1000,$P161,$S$5:$S$1000,"Macro")-1)&gt;0.0001),"Pesos del mes suman "&amp;TEXT(SUMIFS($G$5:$G$1000,$P$5:$P$1000,$P161,$S$5:$S$1000,"Macro"),"0%")&amp;" · ","")&amp;IF(AND(N($T161)&gt;0,COUNT($H161:$K161)&gt;0),"Con subactividades: deje vacías las semanas (se calculan solas)"&amp;" · ","")&amp;IF((COUNTIF($H161:$K161,"&gt;1")+COUNTIF($H161:$K161,"&lt;0")+COUNTA($H161:$K161)-COUNT($H161:$K161))&gt;0,"Avance fuera de rango 0-100%"&amp;" · ","")&amp;IF(OR(AND($I161&lt;&gt;"",$I161&lt;$H161),AND($J161&lt;&gt;"",$J161&lt;MAX($H161:$I161)),AND($K161&lt;&gt;"",$K161&lt;MAX($H161:$J161))),"Avance semanal decreciente"&amp;" · ","")&amp;IF(AND(ISNUMBER($F161),$F161&lt;FechaRef,N($L161)&lt;1),"Vencida"&amp;" · ","")&amp;IF(AND(ObsObligatoria="Sí",ISNUMBER($F161),$F161&lt;FechaRef,N($L161)&lt;1,$N161=""),"Vencida sin observación"&amp;" · ",""))-3)))</f>
        <v/>
      </c>
      <c r="P161" s="69">
        <f>IF(NOT((COUNTA($B161:$K161)+COUNTA($N161))&gt;0),"",IF(AND($S161="Sub",N($R161)&gt;0),IF(ISNUMBER(INDEX($E$5:$E$1000,$R161-4)),DATE(YEAR(INDEX($E$5:$E$1000,$R161-4)),MONTH(INDEX($E$5:$E$1000,$R161-4)),1),IF(ISNUMBER(INDEX($F$5:$F$1000,$R161-4)),DATE(YEAR(INDEX($F$5:$F$1000,$R161-4)),MONTH(INDEX($F$5:$F$1000,$R161-4)),1),MesCiclo)),IF(ISNUMBER($E161),DATE(YEAR($E161),MONTH($E161),1),IF(ISNUMBER($F161),DATE(YEAR($F161),MONTH($F161),1),MesCiclo))))</f>
        <v/>
      </c>
      <c r="Q161" s="70">
        <f>IF(OR($P161="",$P161&lt;&gt;MesCiclo),"",COUNTIF($P$5:$P161,MesCiclo))</f>
        <v/>
      </c>
      <c r="R161" s="70">
        <f>IF($S161="","",IF($S161="Macro",ROW(),IFERROR(LOOKUP(2,1/($S$5:$S161="Macro"),ROW($S$5:$S161)),0)))</f>
        <v/>
      </c>
      <c r="S161" s="70">
        <f>IF(NOT((COUNTA($B161:$K161)+COUNTA($N161))&gt;0),"",IF($B161&lt;&gt;"","Macro",IF($C161&lt;&gt;"","Sub","Macro")))</f>
        <v/>
      </c>
      <c r="T161" s="70">
        <f>IF($S161="Macro",COUNTIFS($R$5:$R$1000,ROW(),$S$5:$S$1000,"Sub"),"")</f>
        <v/>
      </c>
      <c r="U161" s="70">
        <f>IF($S161="","",IF(ISNUMBER($H161),$H161,0))</f>
        <v/>
      </c>
      <c r="V161" s="70">
        <f>IF($S161="","",IF(ISNUMBER($I161),$I161,$U161))</f>
        <v/>
      </c>
      <c r="W161" s="70">
        <f>IF($S161="","",IF(ISNUMBER($J161),$J161,$V161))</f>
        <v/>
      </c>
      <c r="X161" s="70">
        <f>IF($S161="","",IF(ISNUMBER($K161),$K161,$W161))</f>
        <v/>
      </c>
      <c r="Y161" s="70">
        <f>IF($S161="","",IF(N($T161)&gt;0,AVERAGEIFS($U$5:$U$1000,$R$5:$R$1000,ROW(),$S$5:$S$1000,"Sub"),$U161))</f>
        <v/>
      </c>
      <c r="Z161" s="70">
        <f>IF($S161="","",IF(N($T161)&gt;0,AVERAGEIFS($V$5:$V$1000,$R$5:$R$1000,ROW(),$S$5:$S$1000,"Sub"),$V161))</f>
        <v/>
      </c>
      <c r="AA161" s="70">
        <f>IF($S161="","",IF(N($T161)&gt;0,AVERAGEIFS($W$5:$W$1000,$R$5:$R$1000,ROW(),$S$5:$S$1000,"Sub"),$W161))</f>
        <v/>
      </c>
      <c r="AB161" s="70">
        <f>IF($S161="","",IF(N($T161)&gt;0,AVERAGEIFS($X$5:$X$1000,$R$5:$R$1000,ROW(),$S$5:$S$1000,"Sub"),$X161))</f>
        <v/>
      </c>
    </row>
    <row r="162">
      <c r="A162" s="61">
        <f>IF(NOT((COUNTA($B162:$K162)+COUNTA($N162))&gt;0),"",IF($S162="Macro",COUNTIFS($S$5:$S162,"Macro",$P$5:$P162,$P162),IF(N($R162)=0,"?",COUNTIFS(INDEX($S$5:$S$1000,1):INDEX($S$5:$S$1000,$R162-4),"Macro",INDEX($P$5:$P$1000,1):INDEX($P$5:$P$1000,$R162-4),INDEX($P$5:$P$1000,$R162-4))&amp;"."&amp;COUNTIFS($R$5:$R162,$R162,$S$5:$S162,"Sub"))))</f>
        <v/>
      </c>
      <c r="B162" s="62" t="n"/>
      <c r="C162" s="63" t="n"/>
      <c r="D162" s="62" t="n"/>
      <c r="E162" s="64" t="n"/>
      <c r="F162" s="64" t="n"/>
      <c r="G162" s="65" t="n"/>
      <c r="H162" s="66" t="n"/>
      <c r="I162" s="66" t="n"/>
      <c r="J162" s="66" t="n"/>
      <c r="K162" s="66" t="n"/>
      <c r="L162" s="67">
        <f>IF(NOT((COUNTA($B162:$K162)+COUNTA($N162))&gt;0),"",IF(N($T162)&gt;0,$AB162,IFERROR(LOOKUP(2,1/(H162:K162&lt;&gt;""),H162:K162),0)))</f>
        <v/>
      </c>
      <c r="M162" s="61">
        <f>IF(L162="","",IF(L162&gt;=1,"Completado",IF(L162&gt;0,"En curso","Pendiente")))</f>
        <v/>
      </c>
      <c r="N162" s="62" t="n"/>
      <c r="O162" s="68">
        <f>IF(NOT((COUNTA($B162:$K162)+COUNTA($N162))&gt;0),"",IF((IF(AND($S162="Macro",$B162=""),"Macroactividad vacía"&amp;" · ","")&amp;IF(AND($B162&lt;&gt;"",$C162&lt;&gt;""),"Escriba la subactividad en otra fila, debajo de su macroactividad"&amp;" · ","")&amp;IF(AND($S162="Sub",N($R162)=0),"Subactividad sin macroactividad arriba"&amp;" · ","")&amp;IF($D162="","Sin responsable"&amp;" · ","")&amp;IF($E162="","Sin fecha de inicio"&amp;" · ","")&amp;IF($F162="","Sin fecha límite"&amp;" · ","")&amp;IF(OR(AND($E162&lt;&gt;"",NOT(ISNUMBER($E162))),AND($F162&lt;&gt;"",NOT(ISNUMBER($F162)))),"Fecha no válida"&amp;" · ","")&amp;IF(AND(ISNUMBER($E162),ISNUMBER($F162),$E162&gt;$F162),"Inicio posterior a fecha límite"&amp;" · ","")&amp;IF(AND($S162="Macro",$G162=""),"Peso vacío"&amp;" · ","")&amp;IF(AND($S162="Macro",$G162&lt;&gt;"",OR(NOT(ISNUMBER($G162)),$G162&lt;=0,$G162&gt;1)),"Peso fuera de rango"&amp;" · ","")&amp;IF(AND($S162="Sub",$G162&lt;&gt;""),"Las subactividades no llevan peso"&amp;" · ","")&amp;IF(AND($S162="Macro",ABS(SUMIFS($G$5:$G$1000,$P$5:$P$1000,$P162,$S$5:$S$1000,"Macro")-1)&gt;0.0001),"Pesos del mes suman "&amp;TEXT(SUMIFS($G$5:$G$1000,$P$5:$P$1000,$P162,$S$5:$S$1000,"Macro"),"0%")&amp;" · ","")&amp;IF(AND(N($T162)&gt;0,COUNT($H162:$K162)&gt;0),"Con subactividades: deje vacías las semanas (se calculan solas)"&amp;" · ","")&amp;IF((COUNTIF($H162:$K162,"&gt;1")+COUNTIF($H162:$K162,"&lt;0")+COUNTA($H162:$K162)-COUNT($H162:$K162))&gt;0,"Avance fuera de rango 0-100%"&amp;" · ","")&amp;IF(OR(AND($I162&lt;&gt;"",$I162&lt;$H162),AND($J162&lt;&gt;"",$J162&lt;MAX($H162:$I162)),AND($K162&lt;&gt;"",$K162&lt;MAX($H162:$J162))),"Avance semanal decreciente"&amp;" · ","")&amp;IF(AND(ISNUMBER($F162),$F162&lt;FechaRef,N($L162)&lt;1),"Vencida"&amp;" · ","")&amp;IF(AND(ObsObligatoria="Sí",ISNUMBER($F162),$F162&lt;FechaRef,N($L162)&lt;1,$N162=""),"Vencida sin observación"&amp;" · ",""))="","✔ OK","⚠ "&amp;LEFT(IF(AND($S162="Macro",$B162=""),"Macroactividad vacía"&amp;" · ","")&amp;IF(AND($B162&lt;&gt;"",$C162&lt;&gt;""),"Escriba la subactividad en otra fila, debajo de su macroactividad"&amp;" · ","")&amp;IF(AND($S162="Sub",N($R162)=0),"Subactividad sin macroactividad arriba"&amp;" · ","")&amp;IF($D162="","Sin responsable"&amp;" · ","")&amp;IF($E162="","Sin fecha de inicio"&amp;" · ","")&amp;IF($F162="","Sin fecha límite"&amp;" · ","")&amp;IF(OR(AND($E162&lt;&gt;"",NOT(ISNUMBER($E162))),AND($F162&lt;&gt;"",NOT(ISNUMBER($F162)))),"Fecha no válida"&amp;" · ","")&amp;IF(AND(ISNUMBER($E162),ISNUMBER($F162),$E162&gt;$F162),"Inicio posterior a fecha límite"&amp;" · ","")&amp;IF(AND($S162="Macro",$G162=""),"Peso vacío"&amp;" · ","")&amp;IF(AND($S162="Macro",$G162&lt;&gt;"",OR(NOT(ISNUMBER($G162)),$G162&lt;=0,$G162&gt;1)),"Peso fuera de rango"&amp;" · ","")&amp;IF(AND($S162="Sub",$G162&lt;&gt;""),"Las subactividades no llevan peso"&amp;" · ","")&amp;IF(AND($S162="Macro",ABS(SUMIFS($G$5:$G$1000,$P$5:$P$1000,$P162,$S$5:$S$1000,"Macro")-1)&gt;0.0001),"Pesos del mes suman "&amp;TEXT(SUMIFS($G$5:$G$1000,$P$5:$P$1000,$P162,$S$5:$S$1000,"Macro"),"0%")&amp;" · ","")&amp;IF(AND(N($T162)&gt;0,COUNT($H162:$K162)&gt;0),"Con subactividades: deje vacías las semanas (se calculan solas)"&amp;" · ","")&amp;IF((COUNTIF($H162:$K162,"&gt;1")+COUNTIF($H162:$K162,"&lt;0")+COUNTA($H162:$K162)-COUNT($H162:$K162))&gt;0,"Avance fuera de rango 0-100%"&amp;" · ","")&amp;IF(OR(AND($I162&lt;&gt;"",$I162&lt;$H162),AND($J162&lt;&gt;"",$J162&lt;MAX($H162:$I162)),AND($K162&lt;&gt;"",$K162&lt;MAX($H162:$J162))),"Avance semanal decreciente"&amp;" · ","")&amp;IF(AND(ISNUMBER($F162),$F162&lt;FechaRef,N($L162)&lt;1),"Vencida"&amp;" · ","")&amp;IF(AND(ObsObligatoria="Sí",ISNUMBER($F162),$F162&lt;FechaRef,N($L162)&lt;1,$N162=""),"Vencida sin observación"&amp;" · ",""),LEN(IF(AND($S162="Macro",$B162=""),"Macroactividad vacía"&amp;" · ","")&amp;IF(AND($B162&lt;&gt;"",$C162&lt;&gt;""),"Escriba la subactividad en otra fila, debajo de su macroactividad"&amp;" · ","")&amp;IF(AND($S162="Sub",N($R162)=0),"Subactividad sin macroactividad arriba"&amp;" · ","")&amp;IF($D162="","Sin responsable"&amp;" · ","")&amp;IF($E162="","Sin fecha de inicio"&amp;" · ","")&amp;IF($F162="","Sin fecha límite"&amp;" · ","")&amp;IF(OR(AND($E162&lt;&gt;"",NOT(ISNUMBER($E162))),AND($F162&lt;&gt;"",NOT(ISNUMBER($F162)))),"Fecha no válida"&amp;" · ","")&amp;IF(AND(ISNUMBER($E162),ISNUMBER($F162),$E162&gt;$F162),"Inicio posterior a fecha límite"&amp;" · ","")&amp;IF(AND($S162="Macro",$G162=""),"Peso vacío"&amp;" · ","")&amp;IF(AND($S162="Macro",$G162&lt;&gt;"",OR(NOT(ISNUMBER($G162)),$G162&lt;=0,$G162&gt;1)),"Peso fuera de rango"&amp;" · ","")&amp;IF(AND($S162="Sub",$G162&lt;&gt;""),"Las subactividades no llevan peso"&amp;" · ","")&amp;IF(AND($S162="Macro",ABS(SUMIFS($G$5:$G$1000,$P$5:$P$1000,$P162,$S$5:$S$1000,"Macro")-1)&gt;0.0001),"Pesos del mes suman "&amp;TEXT(SUMIFS($G$5:$G$1000,$P$5:$P$1000,$P162,$S$5:$S$1000,"Macro"),"0%")&amp;" · ","")&amp;IF(AND(N($T162)&gt;0,COUNT($H162:$K162)&gt;0),"Con subactividades: deje vacías las semanas (se calculan solas)"&amp;" · ","")&amp;IF((COUNTIF($H162:$K162,"&gt;1")+COUNTIF($H162:$K162,"&lt;0")+COUNTA($H162:$K162)-COUNT($H162:$K162))&gt;0,"Avance fuera de rango 0-100%"&amp;" · ","")&amp;IF(OR(AND($I162&lt;&gt;"",$I162&lt;$H162),AND($J162&lt;&gt;"",$J162&lt;MAX($H162:$I162)),AND($K162&lt;&gt;"",$K162&lt;MAX($H162:$J162))),"Avance semanal decreciente"&amp;" · ","")&amp;IF(AND(ISNUMBER($F162),$F162&lt;FechaRef,N($L162)&lt;1),"Vencida"&amp;" · ","")&amp;IF(AND(ObsObligatoria="Sí",ISNUMBER($F162),$F162&lt;FechaRef,N($L162)&lt;1,$N162=""),"Vencida sin observación"&amp;" · ",""))-3)))</f>
        <v/>
      </c>
      <c r="P162" s="69">
        <f>IF(NOT((COUNTA($B162:$K162)+COUNTA($N162))&gt;0),"",IF(AND($S162="Sub",N($R162)&gt;0),IF(ISNUMBER(INDEX($E$5:$E$1000,$R162-4)),DATE(YEAR(INDEX($E$5:$E$1000,$R162-4)),MONTH(INDEX($E$5:$E$1000,$R162-4)),1),IF(ISNUMBER(INDEX($F$5:$F$1000,$R162-4)),DATE(YEAR(INDEX($F$5:$F$1000,$R162-4)),MONTH(INDEX($F$5:$F$1000,$R162-4)),1),MesCiclo)),IF(ISNUMBER($E162),DATE(YEAR($E162),MONTH($E162),1),IF(ISNUMBER($F162),DATE(YEAR($F162),MONTH($F162),1),MesCiclo))))</f>
        <v/>
      </c>
      <c r="Q162" s="70">
        <f>IF(OR($P162="",$P162&lt;&gt;MesCiclo),"",COUNTIF($P$5:$P162,MesCiclo))</f>
        <v/>
      </c>
      <c r="R162" s="70">
        <f>IF($S162="","",IF($S162="Macro",ROW(),IFERROR(LOOKUP(2,1/($S$5:$S162="Macro"),ROW($S$5:$S162)),0)))</f>
        <v/>
      </c>
      <c r="S162" s="70">
        <f>IF(NOT((COUNTA($B162:$K162)+COUNTA($N162))&gt;0),"",IF($B162&lt;&gt;"","Macro",IF($C162&lt;&gt;"","Sub","Macro")))</f>
        <v/>
      </c>
      <c r="T162" s="70">
        <f>IF($S162="Macro",COUNTIFS($R$5:$R$1000,ROW(),$S$5:$S$1000,"Sub"),"")</f>
        <v/>
      </c>
      <c r="U162" s="70">
        <f>IF($S162="","",IF(ISNUMBER($H162),$H162,0))</f>
        <v/>
      </c>
      <c r="V162" s="70">
        <f>IF($S162="","",IF(ISNUMBER($I162),$I162,$U162))</f>
        <v/>
      </c>
      <c r="W162" s="70">
        <f>IF($S162="","",IF(ISNUMBER($J162),$J162,$V162))</f>
        <v/>
      </c>
      <c r="X162" s="70">
        <f>IF($S162="","",IF(ISNUMBER($K162),$K162,$W162))</f>
        <v/>
      </c>
      <c r="Y162" s="70">
        <f>IF($S162="","",IF(N($T162)&gt;0,AVERAGEIFS($U$5:$U$1000,$R$5:$R$1000,ROW(),$S$5:$S$1000,"Sub"),$U162))</f>
        <v/>
      </c>
      <c r="Z162" s="70">
        <f>IF($S162="","",IF(N($T162)&gt;0,AVERAGEIFS($V$5:$V$1000,$R$5:$R$1000,ROW(),$S$5:$S$1000,"Sub"),$V162))</f>
        <v/>
      </c>
      <c r="AA162" s="70">
        <f>IF($S162="","",IF(N($T162)&gt;0,AVERAGEIFS($W$5:$W$1000,$R$5:$R$1000,ROW(),$S$5:$S$1000,"Sub"),$W162))</f>
        <v/>
      </c>
      <c r="AB162" s="70">
        <f>IF($S162="","",IF(N($T162)&gt;0,AVERAGEIFS($X$5:$X$1000,$R$5:$R$1000,ROW(),$S$5:$S$1000,"Sub"),$X162))</f>
        <v/>
      </c>
    </row>
    <row r="163">
      <c r="A163" s="61">
        <f>IF(NOT((COUNTA($B163:$K163)+COUNTA($N163))&gt;0),"",IF($S163="Macro",COUNTIFS($S$5:$S163,"Macro",$P$5:$P163,$P163),IF(N($R163)=0,"?",COUNTIFS(INDEX($S$5:$S$1000,1):INDEX($S$5:$S$1000,$R163-4),"Macro",INDEX($P$5:$P$1000,1):INDEX($P$5:$P$1000,$R163-4),INDEX($P$5:$P$1000,$R163-4))&amp;"."&amp;COUNTIFS($R$5:$R163,$R163,$S$5:$S163,"Sub"))))</f>
        <v/>
      </c>
      <c r="B163" s="62" t="n"/>
      <c r="C163" s="63" t="n"/>
      <c r="D163" s="62" t="n"/>
      <c r="E163" s="64" t="n"/>
      <c r="F163" s="64" t="n"/>
      <c r="G163" s="65" t="n"/>
      <c r="H163" s="66" t="n"/>
      <c r="I163" s="66" t="n"/>
      <c r="J163" s="66" t="n"/>
      <c r="K163" s="66" t="n"/>
      <c r="L163" s="67">
        <f>IF(NOT((COUNTA($B163:$K163)+COUNTA($N163))&gt;0),"",IF(N($T163)&gt;0,$AB163,IFERROR(LOOKUP(2,1/(H163:K163&lt;&gt;""),H163:K163),0)))</f>
        <v/>
      </c>
      <c r="M163" s="61">
        <f>IF(L163="","",IF(L163&gt;=1,"Completado",IF(L163&gt;0,"En curso","Pendiente")))</f>
        <v/>
      </c>
      <c r="N163" s="62" t="n"/>
      <c r="O163" s="68">
        <f>IF(NOT((COUNTA($B163:$K163)+COUNTA($N163))&gt;0),"",IF((IF(AND($S163="Macro",$B163=""),"Macroactividad vacía"&amp;" · ","")&amp;IF(AND($B163&lt;&gt;"",$C163&lt;&gt;""),"Escriba la subactividad en otra fila, debajo de su macroactividad"&amp;" · ","")&amp;IF(AND($S163="Sub",N($R163)=0),"Subactividad sin macroactividad arriba"&amp;" · ","")&amp;IF($D163="","Sin responsable"&amp;" · ","")&amp;IF($E163="","Sin fecha de inicio"&amp;" · ","")&amp;IF($F163="","Sin fecha límite"&amp;" · ","")&amp;IF(OR(AND($E163&lt;&gt;"",NOT(ISNUMBER($E163))),AND($F163&lt;&gt;"",NOT(ISNUMBER($F163)))),"Fecha no válida"&amp;" · ","")&amp;IF(AND(ISNUMBER($E163),ISNUMBER($F163),$E163&gt;$F163),"Inicio posterior a fecha límite"&amp;" · ","")&amp;IF(AND($S163="Macro",$G163=""),"Peso vacío"&amp;" · ","")&amp;IF(AND($S163="Macro",$G163&lt;&gt;"",OR(NOT(ISNUMBER($G163)),$G163&lt;=0,$G163&gt;1)),"Peso fuera de rango"&amp;" · ","")&amp;IF(AND($S163="Sub",$G163&lt;&gt;""),"Las subactividades no llevan peso"&amp;" · ","")&amp;IF(AND($S163="Macro",ABS(SUMIFS($G$5:$G$1000,$P$5:$P$1000,$P163,$S$5:$S$1000,"Macro")-1)&gt;0.0001),"Pesos del mes suman "&amp;TEXT(SUMIFS($G$5:$G$1000,$P$5:$P$1000,$P163,$S$5:$S$1000,"Macro"),"0%")&amp;" · ","")&amp;IF(AND(N($T163)&gt;0,COUNT($H163:$K163)&gt;0),"Con subactividades: deje vacías las semanas (se calculan solas)"&amp;" · ","")&amp;IF((COUNTIF($H163:$K163,"&gt;1")+COUNTIF($H163:$K163,"&lt;0")+COUNTA($H163:$K163)-COUNT($H163:$K163))&gt;0,"Avance fuera de rango 0-100%"&amp;" · ","")&amp;IF(OR(AND($I163&lt;&gt;"",$I163&lt;$H163),AND($J163&lt;&gt;"",$J163&lt;MAX($H163:$I163)),AND($K163&lt;&gt;"",$K163&lt;MAX($H163:$J163))),"Avance semanal decreciente"&amp;" · ","")&amp;IF(AND(ISNUMBER($F163),$F163&lt;FechaRef,N($L163)&lt;1),"Vencida"&amp;" · ","")&amp;IF(AND(ObsObligatoria="Sí",ISNUMBER($F163),$F163&lt;FechaRef,N($L163)&lt;1,$N163=""),"Vencida sin observación"&amp;" · ",""))="","✔ OK","⚠ "&amp;LEFT(IF(AND($S163="Macro",$B163=""),"Macroactividad vacía"&amp;" · ","")&amp;IF(AND($B163&lt;&gt;"",$C163&lt;&gt;""),"Escriba la subactividad en otra fila, debajo de su macroactividad"&amp;" · ","")&amp;IF(AND($S163="Sub",N($R163)=0),"Subactividad sin macroactividad arriba"&amp;" · ","")&amp;IF($D163="","Sin responsable"&amp;" · ","")&amp;IF($E163="","Sin fecha de inicio"&amp;" · ","")&amp;IF($F163="","Sin fecha límite"&amp;" · ","")&amp;IF(OR(AND($E163&lt;&gt;"",NOT(ISNUMBER($E163))),AND($F163&lt;&gt;"",NOT(ISNUMBER($F163)))),"Fecha no válida"&amp;" · ","")&amp;IF(AND(ISNUMBER($E163),ISNUMBER($F163),$E163&gt;$F163),"Inicio posterior a fecha límite"&amp;" · ","")&amp;IF(AND($S163="Macro",$G163=""),"Peso vacío"&amp;" · ","")&amp;IF(AND($S163="Macro",$G163&lt;&gt;"",OR(NOT(ISNUMBER($G163)),$G163&lt;=0,$G163&gt;1)),"Peso fuera de rango"&amp;" · ","")&amp;IF(AND($S163="Sub",$G163&lt;&gt;""),"Las subactividades no llevan peso"&amp;" · ","")&amp;IF(AND($S163="Macro",ABS(SUMIFS($G$5:$G$1000,$P$5:$P$1000,$P163,$S$5:$S$1000,"Macro")-1)&gt;0.0001),"Pesos del mes suman "&amp;TEXT(SUMIFS($G$5:$G$1000,$P$5:$P$1000,$P163,$S$5:$S$1000,"Macro"),"0%")&amp;" · ","")&amp;IF(AND(N($T163)&gt;0,COUNT($H163:$K163)&gt;0),"Con subactividades: deje vacías las semanas (se calculan solas)"&amp;" · ","")&amp;IF((COUNTIF($H163:$K163,"&gt;1")+COUNTIF($H163:$K163,"&lt;0")+COUNTA($H163:$K163)-COUNT($H163:$K163))&gt;0,"Avance fuera de rango 0-100%"&amp;" · ","")&amp;IF(OR(AND($I163&lt;&gt;"",$I163&lt;$H163),AND($J163&lt;&gt;"",$J163&lt;MAX($H163:$I163)),AND($K163&lt;&gt;"",$K163&lt;MAX($H163:$J163))),"Avance semanal decreciente"&amp;" · ","")&amp;IF(AND(ISNUMBER($F163),$F163&lt;FechaRef,N($L163)&lt;1),"Vencida"&amp;" · ","")&amp;IF(AND(ObsObligatoria="Sí",ISNUMBER($F163),$F163&lt;FechaRef,N($L163)&lt;1,$N163=""),"Vencida sin observación"&amp;" · ",""),LEN(IF(AND($S163="Macro",$B163=""),"Macroactividad vacía"&amp;" · ","")&amp;IF(AND($B163&lt;&gt;"",$C163&lt;&gt;""),"Escriba la subactividad en otra fila, debajo de su macroactividad"&amp;" · ","")&amp;IF(AND($S163="Sub",N($R163)=0),"Subactividad sin macroactividad arriba"&amp;" · ","")&amp;IF($D163="","Sin responsable"&amp;" · ","")&amp;IF($E163="","Sin fecha de inicio"&amp;" · ","")&amp;IF($F163="","Sin fecha límite"&amp;" · ","")&amp;IF(OR(AND($E163&lt;&gt;"",NOT(ISNUMBER($E163))),AND($F163&lt;&gt;"",NOT(ISNUMBER($F163)))),"Fecha no válida"&amp;" · ","")&amp;IF(AND(ISNUMBER($E163),ISNUMBER($F163),$E163&gt;$F163),"Inicio posterior a fecha límite"&amp;" · ","")&amp;IF(AND($S163="Macro",$G163=""),"Peso vacío"&amp;" · ","")&amp;IF(AND($S163="Macro",$G163&lt;&gt;"",OR(NOT(ISNUMBER($G163)),$G163&lt;=0,$G163&gt;1)),"Peso fuera de rango"&amp;" · ","")&amp;IF(AND($S163="Sub",$G163&lt;&gt;""),"Las subactividades no llevan peso"&amp;" · ","")&amp;IF(AND($S163="Macro",ABS(SUMIFS($G$5:$G$1000,$P$5:$P$1000,$P163,$S$5:$S$1000,"Macro")-1)&gt;0.0001),"Pesos del mes suman "&amp;TEXT(SUMIFS($G$5:$G$1000,$P$5:$P$1000,$P163,$S$5:$S$1000,"Macro"),"0%")&amp;" · ","")&amp;IF(AND(N($T163)&gt;0,COUNT($H163:$K163)&gt;0),"Con subactividades: deje vacías las semanas (se calculan solas)"&amp;" · ","")&amp;IF((COUNTIF($H163:$K163,"&gt;1")+COUNTIF($H163:$K163,"&lt;0")+COUNTA($H163:$K163)-COUNT($H163:$K163))&gt;0,"Avance fuera de rango 0-100%"&amp;" · ","")&amp;IF(OR(AND($I163&lt;&gt;"",$I163&lt;$H163),AND($J163&lt;&gt;"",$J163&lt;MAX($H163:$I163)),AND($K163&lt;&gt;"",$K163&lt;MAX($H163:$J163))),"Avance semanal decreciente"&amp;" · ","")&amp;IF(AND(ISNUMBER($F163),$F163&lt;FechaRef,N($L163)&lt;1),"Vencida"&amp;" · ","")&amp;IF(AND(ObsObligatoria="Sí",ISNUMBER($F163),$F163&lt;FechaRef,N($L163)&lt;1,$N163=""),"Vencida sin observación"&amp;" · ",""))-3)))</f>
        <v/>
      </c>
      <c r="P163" s="69">
        <f>IF(NOT((COUNTA($B163:$K163)+COUNTA($N163))&gt;0),"",IF(AND($S163="Sub",N($R163)&gt;0),IF(ISNUMBER(INDEX($E$5:$E$1000,$R163-4)),DATE(YEAR(INDEX($E$5:$E$1000,$R163-4)),MONTH(INDEX($E$5:$E$1000,$R163-4)),1),IF(ISNUMBER(INDEX($F$5:$F$1000,$R163-4)),DATE(YEAR(INDEX($F$5:$F$1000,$R163-4)),MONTH(INDEX($F$5:$F$1000,$R163-4)),1),MesCiclo)),IF(ISNUMBER($E163),DATE(YEAR($E163),MONTH($E163),1),IF(ISNUMBER($F163),DATE(YEAR($F163),MONTH($F163),1),MesCiclo))))</f>
        <v/>
      </c>
      <c r="Q163" s="70">
        <f>IF(OR($P163="",$P163&lt;&gt;MesCiclo),"",COUNTIF($P$5:$P163,MesCiclo))</f>
        <v/>
      </c>
      <c r="R163" s="70">
        <f>IF($S163="","",IF($S163="Macro",ROW(),IFERROR(LOOKUP(2,1/($S$5:$S163="Macro"),ROW($S$5:$S163)),0)))</f>
        <v/>
      </c>
      <c r="S163" s="70">
        <f>IF(NOT((COUNTA($B163:$K163)+COUNTA($N163))&gt;0),"",IF($B163&lt;&gt;"","Macro",IF($C163&lt;&gt;"","Sub","Macro")))</f>
        <v/>
      </c>
      <c r="T163" s="70">
        <f>IF($S163="Macro",COUNTIFS($R$5:$R$1000,ROW(),$S$5:$S$1000,"Sub"),"")</f>
        <v/>
      </c>
      <c r="U163" s="70">
        <f>IF($S163="","",IF(ISNUMBER($H163),$H163,0))</f>
        <v/>
      </c>
      <c r="V163" s="70">
        <f>IF($S163="","",IF(ISNUMBER($I163),$I163,$U163))</f>
        <v/>
      </c>
      <c r="W163" s="70">
        <f>IF($S163="","",IF(ISNUMBER($J163),$J163,$V163))</f>
        <v/>
      </c>
      <c r="X163" s="70">
        <f>IF($S163="","",IF(ISNUMBER($K163),$K163,$W163))</f>
        <v/>
      </c>
      <c r="Y163" s="70">
        <f>IF($S163="","",IF(N($T163)&gt;0,AVERAGEIFS($U$5:$U$1000,$R$5:$R$1000,ROW(),$S$5:$S$1000,"Sub"),$U163))</f>
        <v/>
      </c>
      <c r="Z163" s="70">
        <f>IF($S163="","",IF(N($T163)&gt;0,AVERAGEIFS($V$5:$V$1000,$R$5:$R$1000,ROW(),$S$5:$S$1000,"Sub"),$V163))</f>
        <v/>
      </c>
      <c r="AA163" s="70">
        <f>IF($S163="","",IF(N($T163)&gt;0,AVERAGEIFS($W$5:$W$1000,$R$5:$R$1000,ROW(),$S$5:$S$1000,"Sub"),$W163))</f>
        <v/>
      </c>
      <c r="AB163" s="70">
        <f>IF($S163="","",IF(N($T163)&gt;0,AVERAGEIFS($X$5:$X$1000,$R$5:$R$1000,ROW(),$S$5:$S$1000,"Sub"),$X163))</f>
        <v/>
      </c>
    </row>
    <row r="164">
      <c r="A164" s="61">
        <f>IF(NOT((COUNTA($B164:$K164)+COUNTA($N164))&gt;0),"",IF($S164="Macro",COUNTIFS($S$5:$S164,"Macro",$P$5:$P164,$P164),IF(N($R164)=0,"?",COUNTIFS(INDEX($S$5:$S$1000,1):INDEX($S$5:$S$1000,$R164-4),"Macro",INDEX($P$5:$P$1000,1):INDEX($P$5:$P$1000,$R164-4),INDEX($P$5:$P$1000,$R164-4))&amp;"."&amp;COUNTIFS($R$5:$R164,$R164,$S$5:$S164,"Sub"))))</f>
        <v/>
      </c>
      <c r="B164" s="62" t="n"/>
      <c r="C164" s="63" t="n"/>
      <c r="D164" s="62" t="n"/>
      <c r="E164" s="64" t="n"/>
      <c r="F164" s="64" t="n"/>
      <c r="G164" s="65" t="n"/>
      <c r="H164" s="66" t="n"/>
      <c r="I164" s="66" t="n"/>
      <c r="J164" s="66" t="n"/>
      <c r="K164" s="66" t="n"/>
      <c r="L164" s="67">
        <f>IF(NOT((COUNTA($B164:$K164)+COUNTA($N164))&gt;0),"",IF(N($T164)&gt;0,$AB164,IFERROR(LOOKUP(2,1/(H164:K164&lt;&gt;""),H164:K164),0)))</f>
        <v/>
      </c>
      <c r="M164" s="61">
        <f>IF(L164="","",IF(L164&gt;=1,"Completado",IF(L164&gt;0,"En curso","Pendiente")))</f>
        <v/>
      </c>
      <c r="N164" s="62" t="n"/>
      <c r="O164" s="68">
        <f>IF(NOT((COUNTA($B164:$K164)+COUNTA($N164))&gt;0),"",IF((IF(AND($S164="Macro",$B164=""),"Macroactividad vacía"&amp;" · ","")&amp;IF(AND($B164&lt;&gt;"",$C164&lt;&gt;""),"Escriba la subactividad en otra fila, debajo de su macroactividad"&amp;" · ","")&amp;IF(AND($S164="Sub",N($R164)=0),"Subactividad sin macroactividad arriba"&amp;" · ","")&amp;IF($D164="","Sin responsable"&amp;" · ","")&amp;IF($E164="","Sin fecha de inicio"&amp;" · ","")&amp;IF($F164="","Sin fecha límite"&amp;" · ","")&amp;IF(OR(AND($E164&lt;&gt;"",NOT(ISNUMBER($E164))),AND($F164&lt;&gt;"",NOT(ISNUMBER($F164)))),"Fecha no válida"&amp;" · ","")&amp;IF(AND(ISNUMBER($E164),ISNUMBER($F164),$E164&gt;$F164),"Inicio posterior a fecha límite"&amp;" · ","")&amp;IF(AND($S164="Macro",$G164=""),"Peso vacío"&amp;" · ","")&amp;IF(AND($S164="Macro",$G164&lt;&gt;"",OR(NOT(ISNUMBER($G164)),$G164&lt;=0,$G164&gt;1)),"Peso fuera de rango"&amp;" · ","")&amp;IF(AND($S164="Sub",$G164&lt;&gt;""),"Las subactividades no llevan peso"&amp;" · ","")&amp;IF(AND($S164="Macro",ABS(SUMIFS($G$5:$G$1000,$P$5:$P$1000,$P164,$S$5:$S$1000,"Macro")-1)&gt;0.0001),"Pesos del mes suman "&amp;TEXT(SUMIFS($G$5:$G$1000,$P$5:$P$1000,$P164,$S$5:$S$1000,"Macro"),"0%")&amp;" · ","")&amp;IF(AND(N($T164)&gt;0,COUNT($H164:$K164)&gt;0),"Con subactividades: deje vacías las semanas (se calculan solas)"&amp;" · ","")&amp;IF((COUNTIF($H164:$K164,"&gt;1")+COUNTIF($H164:$K164,"&lt;0")+COUNTA($H164:$K164)-COUNT($H164:$K164))&gt;0,"Avance fuera de rango 0-100%"&amp;" · ","")&amp;IF(OR(AND($I164&lt;&gt;"",$I164&lt;$H164),AND($J164&lt;&gt;"",$J164&lt;MAX($H164:$I164)),AND($K164&lt;&gt;"",$K164&lt;MAX($H164:$J164))),"Avance semanal decreciente"&amp;" · ","")&amp;IF(AND(ISNUMBER($F164),$F164&lt;FechaRef,N($L164)&lt;1),"Vencida"&amp;" · ","")&amp;IF(AND(ObsObligatoria="Sí",ISNUMBER($F164),$F164&lt;FechaRef,N($L164)&lt;1,$N164=""),"Vencida sin observación"&amp;" · ",""))="","✔ OK","⚠ "&amp;LEFT(IF(AND($S164="Macro",$B164=""),"Macroactividad vacía"&amp;" · ","")&amp;IF(AND($B164&lt;&gt;"",$C164&lt;&gt;""),"Escriba la subactividad en otra fila, debajo de su macroactividad"&amp;" · ","")&amp;IF(AND($S164="Sub",N($R164)=0),"Subactividad sin macroactividad arriba"&amp;" · ","")&amp;IF($D164="","Sin responsable"&amp;" · ","")&amp;IF($E164="","Sin fecha de inicio"&amp;" · ","")&amp;IF($F164="","Sin fecha límite"&amp;" · ","")&amp;IF(OR(AND($E164&lt;&gt;"",NOT(ISNUMBER($E164))),AND($F164&lt;&gt;"",NOT(ISNUMBER($F164)))),"Fecha no válida"&amp;" · ","")&amp;IF(AND(ISNUMBER($E164),ISNUMBER($F164),$E164&gt;$F164),"Inicio posterior a fecha límite"&amp;" · ","")&amp;IF(AND($S164="Macro",$G164=""),"Peso vacío"&amp;" · ","")&amp;IF(AND($S164="Macro",$G164&lt;&gt;"",OR(NOT(ISNUMBER($G164)),$G164&lt;=0,$G164&gt;1)),"Peso fuera de rango"&amp;" · ","")&amp;IF(AND($S164="Sub",$G164&lt;&gt;""),"Las subactividades no llevan peso"&amp;" · ","")&amp;IF(AND($S164="Macro",ABS(SUMIFS($G$5:$G$1000,$P$5:$P$1000,$P164,$S$5:$S$1000,"Macro")-1)&gt;0.0001),"Pesos del mes suman "&amp;TEXT(SUMIFS($G$5:$G$1000,$P$5:$P$1000,$P164,$S$5:$S$1000,"Macro"),"0%")&amp;" · ","")&amp;IF(AND(N($T164)&gt;0,COUNT($H164:$K164)&gt;0),"Con subactividades: deje vacías las semanas (se calculan solas)"&amp;" · ","")&amp;IF((COUNTIF($H164:$K164,"&gt;1")+COUNTIF($H164:$K164,"&lt;0")+COUNTA($H164:$K164)-COUNT($H164:$K164))&gt;0,"Avance fuera de rango 0-100%"&amp;" · ","")&amp;IF(OR(AND($I164&lt;&gt;"",$I164&lt;$H164),AND($J164&lt;&gt;"",$J164&lt;MAX($H164:$I164)),AND($K164&lt;&gt;"",$K164&lt;MAX($H164:$J164))),"Avance semanal decreciente"&amp;" · ","")&amp;IF(AND(ISNUMBER($F164),$F164&lt;FechaRef,N($L164)&lt;1),"Vencida"&amp;" · ","")&amp;IF(AND(ObsObligatoria="Sí",ISNUMBER($F164),$F164&lt;FechaRef,N($L164)&lt;1,$N164=""),"Vencida sin observación"&amp;" · ",""),LEN(IF(AND($S164="Macro",$B164=""),"Macroactividad vacía"&amp;" · ","")&amp;IF(AND($B164&lt;&gt;"",$C164&lt;&gt;""),"Escriba la subactividad en otra fila, debajo de su macroactividad"&amp;" · ","")&amp;IF(AND($S164="Sub",N($R164)=0),"Subactividad sin macroactividad arriba"&amp;" · ","")&amp;IF($D164="","Sin responsable"&amp;" · ","")&amp;IF($E164="","Sin fecha de inicio"&amp;" · ","")&amp;IF($F164="","Sin fecha límite"&amp;" · ","")&amp;IF(OR(AND($E164&lt;&gt;"",NOT(ISNUMBER($E164))),AND($F164&lt;&gt;"",NOT(ISNUMBER($F164)))),"Fecha no válida"&amp;" · ","")&amp;IF(AND(ISNUMBER($E164),ISNUMBER($F164),$E164&gt;$F164),"Inicio posterior a fecha límite"&amp;" · ","")&amp;IF(AND($S164="Macro",$G164=""),"Peso vacío"&amp;" · ","")&amp;IF(AND($S164="Macro",$G164&lt;&gt;"",OR(NOT(ISNUMBER($G164)),$G164&lt;=0,$G164&gt;1)),"Peso fuera de rango"&amp;" · ","")&amp;IF(AND($S164="Sub",$G164&lt;&gt;""),"Las subactividades no llevan peso"&amp;" · ","")&amp;IF(AND($S164="Macro",ABS(SUMIFS($G$5:$G$1000,$P$5:$P$1000,$P164,$S$5:$S$1000,"Macro")-1)&gt;0.0001),"Pesos del mes suman "&amp;TEXT(SUMIFS($G$5:$G$1000,$P$5:$P$1000,$P164,$S$5:$S$1000,"Macro"),"0%")&amp;" · ","")&amp;IF(AND(N($T164)&gt;0,COUNT($H164:$K164)&gt;0),"Con subactividades: deje vacías las semanas (se calculan solas)"&amp;" · ","")&amp;IF((COUNTIF($H164:$K164,"&gt;1")+COUNTIF($H164:$K164,"&lt;0")+COUNTA($H164:$K164)-COUNT($H164:$K164))&gt;0,"Avance fuera de rango 0-100%"&amp;" · ","")&amp;IF(OR(AND($I164&lt;&gt;"",$I164&lt;$H164),AND($J164&lt;&gt;"",$J164&lt;MAX($H164:$I164)),AND($K164&lt;&gt;"",$K164&lt;MAX($H164:$J164))),"Avance semanal decreciente"&amp;" · ","")&amp;IF(AND(ISNUMBER($F164),$F164&lt;FechaRef,N($L164)&lt;1),"Vencida"&amp;" · ","")&amp;IF(AND(ObsObligatoria="Sí",ISNUMBER($F164),$F164&lt;FechaRef,N($L164)&lt;1,$N164=""),"Vencida sin observación"&amp;" · ",""))-3)))</f>
        <v/>
      </c>
      <c r="P164" s="69">
        <f>IF(NOT((COUNTA($B164:$K164)+COUNTA($N164))&gt;0),"",IF(AND($S164="Sub",N($R164)&gt;0),IF(ISNUMBER(INDEX($E$5:$E$1000,$R164-4)),DATE(YEAR(INDEX($E$5:$E$1000,$R164-4)),MONTH(INDEX($E$5:$E$1000,$R164-4)),1),IF(ISNUMBER(INDEX($F$5:$F$1000,$R164-4)),DATE(YEAR(INDEX($F$5:$F$1000,$R164-4)),MONTH(INDEX($F$5:$F$1000,$R164-4)),1),MesCiclo)),IF(ISNUMBER($E164),DATE(YEAR($E164),MONTH($E164),1),IF(ISNUMBER($F164),DATE(YEAR($F164),MONTH($F164),1),MesCiclo))))</f>
        <v/>
      </c>
      <c r="Q164" s="70">
        <f>IF(OR($P164="",$P164&lt;&gt;MesCiclo),"",COUNTIF($P$5:$P164,MesCiclo))</f>
        <v/>
      </c>
      <c r="R164" s="70">
        <f>IF($S164="","",IF($S164="Macro",ROW(),IFERROR(LOOKUP(2,1/($S$5:$S164="Macro"),ROW($S$5:$S164)),0)))</f>
        <v/>
      </c>
      <c r="S164" s="70">
        <f>IF(NOT((COUNTA($B164:$K164)+COUNTA($N164))&gt;0),"",IF($B164&lt;&gt;"","Macro",IF($C164&lt;&gt;"","Sub","Macro")))</f>
        <v/>
      </c>
      <c r="T164" s="70">
        <f>IF($S164="Macro",COUNTIFS($R$5:$R$1000,ROW(),$S$5:$S$1000,"Sub"),"")</f>
        <v/>
      </c>
      <c r="U164" s="70">
        <f>IF($S164="","",IF(ISNUMBER($H164),$H164,0))</f>
        <v/>
      </c>
      <c r="V164" s="70">
        <f>IF($S164="","",IF(ISNUMBER($I164),$I164,$U164))</f>
        <v/>
      </c>
      <c r="W164" s="70">
        <f>IF($S164="","",IF(ISNUMBER($J164),$J164,$V164))</f>
        <v/>
      </c>
      <c r="X164" s="70">
        <f>IF($S164="","",IF(ISNUMBER($K164),$K164,$W164))</f>
        <v/>
      </c>
      <c r="Y164" s="70">
        <f>IF($S164="","",IF(N($T164)&gt;0,AVERAGEIFS($U$5:$U$1000,$R$5:$R$1000,ROW(),$S$5:$S$1000,"Sub"),$U164))</f>
        <v/>
      </c>
      <c r="Z164" s="70">
        <f>IF($S164="","",IF(N($T164)&gt;0,AVERAGEIFS($V$5:$V$1000,$R$5:$R$1000,ROW(),$S$5:$S$1000,"Sub"),$V164))</f>
        <v/>
      </c>
      <c r="AA164" s="70">
        <f>IF($S164="","",IF(N($T164)&gt;0,AVERAGEIFS($W$5:$W$1000,$R$5:$R$1000,ROW(),$S$5:$S$1000,"Sub"),$W164))</f>
        <v/>
      </c>
      <c r="AB164" s="70">
        <f>IF($S164="","",IF(N($T164)&gt;0,AVERAGEIFS($X$5:$X$1000,$R$5:$R$1000,ROW(),$S$5:$S$1000,"Sub"),$X164))</f>
        <v/>
      </c>
    </row>
    <row r="165">
      <c r="A165" s="61">
        <f>IF(NOT((COUNTA($B165:$K165)+COUNTA($N165))&gt;0),"",IF($S165="Macro",COUNTIFS($S$5:$S165,"Macro",$P$5:$P165,$P165),IF(N($R165)=0,"?",COUNTIFS(INDEX($S$5:$S$1000,1):INDEX($S$5:$S$1000,$R165-4),"Macro",INDEX($P$5:$P$1000,1):INDEX($P$5:$P$1000,$R165-4),INDEX($P$5:$P$1000,$R165-4))&amp;"."&amp;COUNTIFS($R$5:$R165,$R165,$S$5:$S165,"Sub"))))</f>
        <v/>
      </c>
      <c r="B165" s="62" t="n"/>
      <c r="C165" s="63" t="n"/>
      <c r="D165" s="62" t="n"/>
      <c r="E165" s="64" t="n"/>
      <c r="F165" s="64" t="n"/>
      <c r="G165" s="65" t="n"/>
      <c r="H165" s="66" t="n"/>
      <c r="I165" s="66" t="n"/>
      <c r="J165" s="66" t="n"/>
      <c r="K165" s="66" t="n"/>
      <c r="L165" s="67">
        <f>IF(NOT((COUNTA($B165:$K165)+COUNTA($N165))&gt;0),"",IF(N($T165)&gt;0,$AB165,IFERROR(LOOKUP(2,1/(H165:K165&lt;&gt;""),H165:K165),0)))</f>
        <v/>
      </c>
      <c r="M165" s="61">
        <f>IF(L165="","",IF(L165&gt;=1,"Completado",IF(L165&gt;0,"En curso","Pendiente")))</f>
        <v/>
      </c>
      <c r="N165" s="62" t="n"/>
      <c r="O165" s="68">
        <f>IF(NOT((COUNTA($B165:$K165)+COUNTA($N165))&gt;0),"",IF((IF(AND($S165="Macro",$B165=""),"Macroactividad vacía"&amp;" · ","")&amp;IF(AND($B165&lt;&gt;"",$C165&lt;&gt;""),"Escriba la subactividad en otra fila, debajo de su macroactividad"&amp;" · ","")&amp;IF(AND($S165="Sub",N($R165)=0),"Subactividad sin macroactividad arriba"&amp;" · ","")&amp;IF($D165="","Sin responsable"&amp;" · ","")&amp;IF($E165="","Sin fecha de inicio"&amp;" · ","")&amp;IF($F165="","Sin fecha límite"&amp;" · ","")&amp;IF(OR(AND($E165&lt;&gt;"",NOT(ISNUMBER($E165))),AND($F165&lt;&gt;"",NOT(ISNUMBER($F165)))),"Fecha no válida"&amp;" · ","")&amp;IF(AND(ISNUMBER($E165),ISNUMBER($F165),$E165&gt;$F165),"Inicio posterior a fecha límite"&amp;" · ","")&amp;IF(AND($S165="Macro",$G165=""),"Peso vacío"&amp;" · ","")&amp;IF(AND($S165="Macro",$G165&lt;&gt;"",OR(NOT(ISNUMBER($G165)),$G165&lt;=0,$G165&gt;1)),"Peso fuera de rango"&amp;" · ","")&amp;IF(AND($S165="Sub",$G165&lt;&gt;""),"Las subactividades no llevan peso"&amp;" · ","")&amp;IF(AND($S165="Macro",ABS(SUMIFS($G$5:$G$1000,$P$5:$P$1000,$P165,$S$5:$S$1000,"Macro")-1)&gt;0.0001),"Pesos del mes suman "&amp;TEXT(SUMIFS($G$5:$G$1000,$P$5:$P$1000,$P165,$S$5:$S$1000,"Macro"),"0%")&amp;" · ","")&amp;IF(AND(N($T165)&gt;0,COUNT($H165:$K165)&gt;0),"Con subactividades: deje vacías las semanas (se calculan solas)"&amp;" · ","")&amp;IF((COUNTIF($H165:$K165,"&gt;1")+COUNTIF($H165:$K165,"&lt;0")+COUNTA($H165:$K165)-COUNT($H165:$K165))&gt;0,"Avance fuera de rango 0-100%"&amp;" · ","")&amp;IF(OR(AND($I165&lt;&gt;"",$I165&lt;$H165),AND($J165&lt;&gt;"",$J165&lt;MAX($H165:$I165)),AND($K165&lt;&gt;"",$K165&lt;MAX($H165:$J165))),"Avance semanal decreciente"&amp;" · ","")&amp;IF(AND(ISNUMBER($F165),$F165&lt;FechaRef,N($L165)&lt;1),"Vencida"&amp;" · ","")&amp;IF(AND(ObsObligatoria="Sí",ISNUMBER($F165),$F165&lt;FechaRef,N($L165)&lt;1,$N165=""),"Vencida sin observación"&amp;" · ",""))="","✔ OK","⚠ "&amp;LEFT(IF(AND($S165="Macro",$B165=""),"Macroactividad vacía"&amp;" · ","")&amp;IF(AND($B165&lt;&gt;"",$C165&lt;&gt;""),"Escriba la subactividad en otra fila, debajo de su macroactividad"&amp;" · ","")&amp;IF(AND($S165="Sub",N($R165)=0),"Subactividad sin macroactividad arriba"&amp;" · ","")&amp;IF($D165="","Sin responsable"&amp;" · ","")&amp;IF($E165="","Sin fecha de inicio"&amp;" · ","")&amp;IF($F165="","Sin fecha límite"&amp;" · ","")&amp;IF(OR(AND($E165&lt;&gt;"",NOT(ISNUMBER($E165))),AND($F165&lt;&gt;"",NOT(ISNUMBER($F165)))),"Fecha no válida"&amp;" · ","")&amp;IF(AND(ISNUMBER($E165),ISNUMBER($F165),$E165&gt;$F165),"Inicio posterior a fecha límite"&amp;" · ","")&amp;IF(AND($S165="Macro",$G165=""),"Peso vacío"&amp;" · ","")&amp;IF(AND($S165="Macro",$G165&lt;&gt;"",OR(NOT(ISNUMBER($G165)),$G165&lt;=0,$G165&gt;1)),"Peso fuera de rango"&amp;" · ","")&amp;IF(AND($S165="Sub",$G165&lt;&gt;""),"Las subactividades no llevan peso"&amp;" · ","")&amp;IF(AND($S165="Macro",ABS(SUMIFS($G$5:$G$1000,$P$5:$P$1000,$P165,$S$5:$S$1000,"Macro")-1)&gt;0.0001),"Pesos del mes suman "&amp;TEXT(SUMIFS($G$5:$G$1000,$P$5:$P$1000,$P165,$S$5:$S$1000,"Macro"),"0%")&amp;" · ","")&amp;IF(AND(N($T165)&gt;0,COUNT($H165:$K165)&gt;0),"Con subactividades: deje vacías las semanas (se calculan solas)"&amp;" · ","")&amp;IF((COUNTIF($H165:$K165,"&gt;1")+COUNTIF($H165:$K165,"&lt;0")+COUNTA($H165:$K165)-COUNT($H165:$K165))&gt;0,"Avance fuera de rango 0-100%"&amp;" · ","")&amp;IF(OR(AND($I165&lt;&gt;"",$I165&lt;$H165),AND($J165&lt;&gt;"",$J165&lt;MAX($H165:$I165)),AND($K165&lt;&gt;"",$K165&lt;MAX($H165:$J165))),"Avance semanal decreciente"&amp;" · ","")&amp;IF(AND(ISNUMBER($F165),$F165&lt;FechaRef,N($L165)&lt;1),"Vencida"&amp;" · ","")&amp;IF(AND(ObsObligatoria="Sí",ISNUMBER($F165),$F165&lt;FechaRef,N($L165)&lt;1,$N165=""),"Vencida sin observación"&amp;" · ",""),LEN(IF(AND($S165="Macro",$B165=""),"Macroactividad vacía"&amp;" · ","")&amp;IF(AND($B165&lt;&gt;"",$C165&lt;&gt;""),"Escriba la subactividad en otra fila, debajo de su macroactividad"&amp;" · ","")&amp;IF(AND($S165="Sub",N($R165)=0),"Subactividad sin macroactividad arriba"&amp;" · ","")&amp;IF($D165="","Sin responsable"&amp;" · ","")&amp;IF($E165="","Sin fecha de inicio"&amp;" · ","")&amp;IF($F165="","Sin fecha límite"&amp;" · ","")&amp;IF(OR(AND($E165&lt;&gt;"",NOT(ISNUMBER($E165))),AND($F165&lt;&gt;"",NOT(ISNUMBER($F165)))),"Fecha no válida"&amp;" · ","")&amp;IF(AND(ISNUMBER($E165),ISNUMBER($F165),$E165&gt;$F165),"Inicio posterior a fecha límite"&amp;" · ","")&amp;IF(AND($S165="Macro",$G165=""),"Peso vacío"&amp;" · ","")&amp;IF(AND($S165="Macro",$G165&lt;&gt;"",OR(NOT(ISNUMBER($G165)),$G165&lt;=0,$G165&gt;1)),"Peso fuera de rango"&amp;" · ","")&amp;IF(AND($S165="Sub",$G165&lt;&gt;""),"Las subactividades no llevan peso"&amp;" · ","")&amp;IF(AND($S165="Macro",ABS(SUMIFS($G$5:$G$1000,$P$5:$P$1000,$P165,$S$5:$S$1000,"Macro")-1)&gt;0.0001),"Pesos del mes suman "&amp;TEXT(SUMIFS($G$5:$G$1000,$P$5:$P$1000,$P165,$S$5:$S$1000,"Macro"),"0%")&amp;" · ","")&amp;IF(AND(N($T165)&gt;0,COUNT($H165:$K165)&gt;0),"Con subactividades: deje vacías las semanas (se calculan solas)"&amp;" · ","")&amp;IF((COUNTIF($H165:$K165,"&gt;1")+COUNTIF($H165:$K165,"&lt;0")+COUNTA($H165:$K165)-COUNT($H165:$K165))&gt;0,"Avance fuera de rango 0-100%"&amp;" · ","")&amp;IF(OR(AND($I165&lt;&gt;"",$I165&lt;$H165),AND($J165&lt;&gt;"",$J165&lt;MAX($H165:$I165)),AND($K165&lt;&gt;"",$K165&lt;MAX($H165:$J165))),"Avance semanal decreciente"&amp;" · ","")&amp;IF(AND(ISNUMBER($F165),$F165&lt;FechaRef,N($L165)&lt;1),"Vencida"&amp;" · ","")&amp;IF(AND(ObsObligatoria="Sí",ISNUMBER($F165),$F165&lt;FechaRef,N($L165)&lt;1,$N165=""),"Vencida sin observación"&amp;" · ",""))-3)))</f>
        <v/>
      </c>
      <c r="P165" s="69">
        <f>IF(NOT((COUNTA($B165:$K165)+COUNTA($N165))&gt;0),"",IF(AND($S165="Sub",N($R165)&gt;0),IF(ISNUMBER(INDEX($E$5:$E$1000,$R165-4)),DATE(YEAR(INDEX($E$5:$E$1000,$R165-4)),MONTH(INDEX($E$5:$E$1000,$R165-4)),1),IF(ISNUMBER(INDEX($F$5:$F$1000,$R165-4)),DATE(YEAR(INDEX($F$5:$F$1000,$R165-4)),MONTH(INDEX($F$5:$F$1000,$R165-4)),1),MesCiclo)),IF(ISNUMBER($E165),DATE(YEAR($E165),MONTH($E165),1),IF(ISNUMBER($F165),DATE(YEAR($F165),MONTH($F165),1),MesCiclo))))</f>
        <v/>
      </c>
      <c r="Q165" s="70">
        <f>IF(OR($P165="",$P165&lt;&gt;MesCiclo),"",COUNTIF($P$5:$P165,MesCiclo))</f>
        <v/>
      </c>
      <c r="R165" s="70">
        <f>IF($S165="","",IF($S165="Macro",ROW(),IFERROR(LOOKUP(2,1/($S$5:$S165="Macro"),ROW($S$5:$S165)),0)))</f>
        <v/>
      </c>
      <c r="S165" s="70">
        <f>IF(NOT((COUNTA($B165:$K165)+COUNTA($N165))&gt;0),"",IF($B165&lt;&gt;"","Macro",IF($C165&lt;&gt;"","Sub","Macro")))</f>
        <v/>
      </c>
      <c r="T165" s="70">
        <f>IF($S165="Macro",COUNTIFS($R$5:$R$1000,ROW(),$S$5:$S$1000,"Sub"),"")</f>
        <v/>
      </c>
      <c r="U165" s="70">
        <f>IF($S165="","",IF(ISNUMBER($H165),$H165,0))</f>
        <v/>
      </c>
      <c r="V165" s="70">
        <f>IF($S165="","",IF(ISNUMBER($I165),$I165,$U165))</f>
        <v/>
      </c>
      <c r="W165" s="70">
        <f>IF($S165="","",IF(ISNUMBER($J165),$J165,$V165))</f>
        <v/>
      </c>
      <c r="X165" s="70">
        <f>IF($S165="","",IF(ISNUMBER($K165),$K165,$W165))</f>
        <v/>
      </c>
      <c r="Y165" s="70">
        <f>IF($S165="","",IF(N($T165)&gt;0,AVERAGEIFS($U$5:$U$1000,$R$5:$R$1000,ROW(),$S$5:$S$1000,"Sub"),$U165))</f>
        <v/>
      </c>
      <c r="Z165" s="70">
        <f>IF($S165="","",IF(N($T165)&gt;0,AVERAGEIFS($V$5:$V$1000,$R$5:$R$1000,ROW(),$S$5:$S$1000,"Sub"),$V165))</f>
        <v/>
      </c>
      <c r="AA165" s="70">
        <f>IF($S165="","",IF(N($T165)&gt;0,AVERAGEIFS($W$5:$W$1000,$R$5:$R$1000,ROW(),$S$5:$S$1000,"Sub"),$W165))</f>
        <v/>
      </c>
      <c r="AB165" s="70">
        <f>IF($S165="","",IF(N($T165)&gt;0,AVERAGEIFS($X$5:$X$1000,$R$5:$R$1000,ROW(),$S$5:$S$1000,"Sub"),$X165))</f>
        <v/>
      </c>
    </row>
    <row r="166">
      <c r="A166" s="61">
        <f>IF(NOT((COUNTA($B166:$K166)+COUNTA($N166))&gt;0),"",IF($S166="Macro",COUNTIFS($S$5:$S166,"Macro",$P$5:$P166,$P166),IF(N($R166)=0,"?",COUNTIFS(INDEX($S$5:$S$1000,1):INDEX($S$5:$S$1000,$R166-4),"Macro",INDEX($P$5:$P$1000,1):INDEX($P$5:$P$1000,$R166-4),INDEX($P$5:$P$1000,$R166-4))&amp;"."&amp;COUNTIFS($R$5:$R166,$R166,$S$5:$S166,"Sub"))))</f>
        <v/>
      </c>
      <c r="B166" s="62" t="n"/>
      <c r="C166" s="63" t="n"/>
      <c r="D166" s="62" t="n"/>
      <c r="E166" s="64" t="n"/>
      <c r="F166" s="64" t="n"/>
      <c r="G166" s="65" t="n"/>
      <c r="H166" s="66" t="n"/>
      <c r="I166" s="66" t="n"/>
      <c r="J166" s="66" t="n"/>
      <c r="K166" s="66" t="n"/>
      <c r="L166" s="67">
        <f>IF(NOT((COUNTA($B166:$K166)+COUNTA($N166))&gt;0),"",IF(N($T166)&gt;0,$AB166,IFERROR(LOOKUP(2,1/(H166:K166&lt;&gt;""),H166:K166),0)))</f>
        <v/>
      </c>
      <c r="M166" s="61">
        <f>IF(L166="","",IF(L166&gt;=1,"Completado",IF(L166&gt;0,"En curso","Pendiente")))</f>
        <v/>
      </c>
      <c r="N166" s="62" t="n"/>
      <c r="O166" s="68">
        <f>IF(NOT((COUNTA($B166:$K166)+COUNTA($N166))&gt;0),"",IF((IF(AND($S166="Macro",$B166=""),"Macroactividad vacía"&amp;" · ","")&amp;IF(AND($B166&lt;&gt;"",$C166&lt;&gt;""),"Escriba la subactividad en otra fila, debajo de su macroactividad"&amp;" · ","")&amp;IF(AND($S166="Sub",N($R166)=0),"Subactividad sin macroactividad arriba"&amp;" · ","")&amp;IF($D166="","Sin responsable"&amp;" · ","")&amp;IF($E166="","Sin fecha de inicio"&amp;" · ","")&amp;IF($F166="","Sin fecha límite"&amp;" · ","")&amp;IF(OR(AND($E166&lt;&gt;"",NOT(ISNUMBER($E166))),AND($F166&lt;&gt;"",NOT(ISNUMBER($F166)))),"Fecha no válida"&amp;" · ","")&amp;IF(AND(ISNUMBER($E166),ISNUMBER($F166),$E166&gt;$F166),"Inicio posterior a fecha límite"&amp;" · ","")&amp;IF(AND($S166="Macro",$G166=""),"Peso vacío"&amp;" · ","")&amp;IF(AND($S166="Macro",$G166&lt;&gt;"",OR(NOT(ISNUMBER($G166)),$G166&lt;=0,$G166&gt;1)),"Peso fuera de rango"&amp;" · ","")&amp;IF(AND($S166="Sub",$G166&lt;&gt;""),"Las subactividades no llevan peso"&amp;" · ","")&amp;IF(AND($S166="Macro",ABS(SUMIFS($G$5:$G$1000,$P$5:$P$1000,$P166,$S$5:$S$1000,"Macro")-1)&gt;0.0001),"Pesos del mes suman "&amp;TEXT(SUMIFS($G$5:$G$1000,$P$5:$P$1000,$P166,$S$5:$S$1000,"Macro"),"0%")&amp;" · ","")&amp;IF(AND(N($T166)&gt;0,COUNT($H166:$K166)&gt;0),"Con subactividades: deje vacías las semanas (se calculan solas)"&amp;" · ","")&amp;IF((COUNTIF($H166:$K166,"&gt;1")+COUNTIF($H166:$K166,"&lt;0")+COUNTA($H166:$K166)-COUNT($H166:$K166))&gt;0,"Avance fuera de rango 0-100%"&amp;" · ","")&amp;IF(OR(AND($I166&lt;&gt;"",$I166&lt;$H166),AND($J166&lt;&gt;"",$J166&lt;MAX($H166:$I166)),AND($K166&lt;&gt;"",$K166&lt;MAX($H166:$J166))),"Avance semanal decreciente"&amp;" · ","")&amp;IF(AND(ISNUMBER($F166),$F166&lt;FechaRef,N($L166)&lt;1),"Vencida"&amp;" · ","")&amp;IF(AND(ObsObligatoria="Sí",ISNUMBER($F166),$F166&lt;FechaRef,N($L166)&lt;1,$N166=""),"Vencida sin observación"&amp;" · ",""))="","✔ OK","⚠ "&amp;LEFT(IF(AND($S166="Macro",$B166=""),"Macroactividad vacía"&amp;" · ","")&amp;IF(AND($B166&lt;&gt;"",$C166&lt;&gt;""),"Escriba la subactividad en otra fila, debajo de su macroactividad"&amp;" · ","")&amp;IF(AND($S166="Sub",N($R166)=0),"Subactividad sin macroactividad arriba"&amp;" · ","")&amp;IF($D166="","Sin responsable"&amp;" · ","")&amp;IF($E166="","Sin fecha de inicio"&amp;" · ","")&amp;IF($F166="","Sin fecha límite"&amp;" · ","")&amp;IF(OR(AND($E166&lt;&gt;"",NOT(ISNUMBER($E166))),AND($F166&lt;&gt;"",NOT(ISNUMBER($F166)))),"Fecha no válida"&amp;" · ","")&amp;IF(AND(ISNUMBER($E166),ISNUMBER($F166),$E166&gt;$F166),"Inicio posterior a fecha límite"&amp;" · ","")&amp;IF(AND($S166="Macro",$G166=""),"Peso vacío"&amp;" · ","")&amp;IF(AND($S166="Macro",$G166&lt;&gt;"",OR(NOT(ISNUMBER($G166)),$G166&lt;=0,$G166&gt;1)),"Peso fuera de rango"&amp;" · ","")&amp;IF(AND($S166="Sub",$G166&lt;&gt;""),"Las subactividades no llevan peso"&amp;" · ","")&amp;IF(AND($S166="Macro",ABS(SUMIFS($G$5:$G$1000,$P$5:$P$1000,$P166,$S$5:$S$1000,"Macro")-1)&gt;0.0001),"Pesos del mes suman "&amp;TEXT(SUMIFS($G$5:$G$1000,$P$5:$P$1000,$P166,$S$5:$S$1000,"Macro"),"0%")&amp;" · ","")&amp;IF(AND(N($T166)&gt;0,COUNT($H166:$K166)&gt;0),"Con subactividades: deje vacías las semanas (se calculan solas)"&amp;" · ","")&amp;IF((COUNTIF($H166:$K166,"&gt;1")+COUNTIF($H166:$K166,"&lt;0")+COUNTA($H166:$K166)-COUNT($H166:$K166))&gt;0,"Avance fuera de rango 0-100%"&amp;" · ","")&amp;IF(OR(AND($I166&lt;&gt;"",$I166&lt;$H166),AND($J166&lt;&gt;"",$J166&lt;MAX($H166:$I166)),AND($K166&lt;&gt;"",$K166&lt;MAX($H166:$J166))),"Avance semanal decreciente"&amp;" · ","")&amp;IF(AND(ISNUMBER($F166),$F166&lt;FechaRef,N($L166)&lt;1),"Vencida"&amp;" · ","")&amp;IF(AND(ObsObligatoria="Sí",ISNUMBER($F166),$F166&lt;FechaRef,N($L166)&lt;1,$N166=""),"Vencida sin observación"&amp;" · ",""),LEN(IF(AND($S166="Macro",$B166=""),"Macroactividad vacía"&amp;" · ","")&amp;IF(AND($B166&lt;&gt;"",$C166&lt;&gt;""),"Escriba la subactividad en otra fila, debajo de su macroactividad"&amp;" · ","")&amp;IF(AND($S166="Sub",N($R166)=0),"Subactividad sin macroactividad arriba"&amp;" · ","")&amp;IF($D166="","Sin responsable"&amp;" · ","")&amp;IF($E166="","Sin fecha de inicio"&amp;" · ","")&amp;IF($F166="","Sin fecha límite"&amp;" · ","")&amp;IF(OR(AND($E166&lt;&gt;"",NOT(ISNUMBER($E166))),AND($F166&lt;&gt;"",NOT(ISNUMBER($F166)))),"Fecha no válida"&amp;" · ","")&amp;IF(AND(ISNUMBER($E166),ISNUMBER($F166),$E166&gt;$F166),"Inicio posterior a fecha límite"&amp;" · ","")&amp;IF(AND($S166="Macro",$G166=""),"Peso vacío"&amp;" · ","")&amp;IF(AND($S166="Macro",$G166&lt;&gt;"",OR(NOT(ISNUMBER($G166)),$G166&lt;=0,$G166&gt;1)),"Peso fuera de rango"&amp;" · ","")&amp;IF(AND($S166="Sub",$G166&lt;&gt;""),"Las subactividades no llevan peso"&amp;" · ","")&amp;IF(AND($S166="Macro",ABS(SUMIFS($G$5:$G$1000,$P$5:$P$1000,$P166,$S$5:$S$1000,"Macro")-1)&gt;0.0001),"Pesos del mes suman "&amp;TEXT(SUMIFS($G$5:$G$1000,$P$5:$P$1000,$P166,$S$5:$S$1000,"Macro"),"0%")&amp;" · ","")&amp;IF(AND(N($T166)&gt;0,COUNT($H166:$K166)&gt;0),"Con subactividades: deje vacías las semanas (se calculan solas)"&amp;" · ","")&amp;IF((COUNTIF($H166:$K166,"&gt;1")+COUNTIF($H166:$K166,"&lt;0")+COUNTA($H166:$K166)-COUNT($H166:$K166))&gt;0,"Avance fuera de rango 0-100%"&amp;" · ","")&amp;IF(OR(AND($I166&lt;&gt;"",$I166&lt;$H166),AND($J166&lt;&gt;"",$J166&lt;MAX($H166:$I166)),AND($K166&lt;&gt;"",$K166&lt;MAX($H166:$J166))),"Avance semanal decreciente"&amp;" · ","")&amp;IF(AND(ISNUMBER($F166),$F166&lt;FechaRef,N($L166)&lt;1),"Vencida"&amp;" · ","")&amp;IF(AND(ObsObligatoria="Sí",ISNUMBER($F166),$F166&lt;FechaRef,N($L166)&lt;1,$N166=""),"Vencida sin observación"&amp;" · ",""))-3)))</f>
        <v/>
      </c>
      <c r="P166" s="69">
        <f>IF(NOT((COUNTA($B166:$K166)+COUNTA($N166))&gt;0),"",IF(AND($S166="Sub",N($R166)&gt;0),IF(ISNUMBER(INDEX($E$5:$E$1000,$R166-4)),DATE(YEAR(INDEX($E$5:$E$1000,$R166-4)),MONTH(INDEX($E$5:$E$1000,$R166-4)),1),IF(ISNUMBER(INDEX($F$5:$F$1000,$R166-4)),DATE(YEAR(INDEX($F$5:$F$1000,$R166-4)),MONTH(INDEX($F$5:$F$1000,$R166-4)),1),MesCiclo)),IF(ISNUMBER($E166),DATE(YEAR($E166),MONTH($E166),1),IF(ISNUMBER($F166),DATE(YEAR($F166),MONTH($F166),1),MesCiclo))))</f>
        <v/>
      </c>
      <c r="Q166" s="70">
        <f>IF(OR($P166="",$P166&lt;&gt;MesCiclo),"",COUNTIF($P$5:$P166,MesCiclo))</f>
        <v/>
      </c>
      <c r="R166" s="70">
        <f>IF($S166="","",IF($S166="Macro",ROW(),IFERROR(LOOKUP(2,1/($S$5:$S166="Macro"),ROW($S$5:$S166)),0)))</f>
        <v/>
      </c>
      <c r="S166" s="70">
        <f>IF(NOT((COUNTA($B166:$K166)+COUNTA($N166))&gt;0),"",IF($B166&lt;&gt;"","Macro",IF($C166&lt;&gt;"","Sub","Macro")))</f>
        <v/>
      </c>
      <c r="T166" s="70">
        <f>IF($S166="Macro",COUNTIFS($R$5:$R$1000,ROW(),$S$5:$S$1000,"Sub"),"")</f>
        <v/>
      </c>
      <c r="U166" s="70">
        <f>IF($S166="","",IF(ISNUMBER($H166),$H166,0))</f>
        <v/>
      </c>
      <c r="V166" s="70">
        <f>IF($S166="","",IF(ISNUMBER($I166),$I166,$U166))</f>
        <v/>
      </c>
      <c r="W166" s="70">
        <f>IF($S166="","",IF(ISNUMBER($J166),$J166,$V166))</f>
        <v/>
      </c>
      <c r="X166" s="70">
        <f>IF($S166="","",IF(ISNUMBER($K166),$K166,$W166))</f>
        <v/>
      </c>
      <c r="Y166" s="70">
        <f>IF($S166="","",IF(N($T166)&gt;0,AVERAGEIFS($U$5:$U$1000,$R$5:$R$1000,ROW(),$S$5:$S$1000,"Sub"),$U166))</f>
        <v/>
      </c>
      <c r="Z166" s="70">
        <f>IF($S166="","",IF(N($T166)&gt;0,AVERAGEIFS($V$5:$V$1000,$R$5:$R$1000,ROW(),$S$5:$S$1000,"Sub"),$V166))</f>
        <v/>
      </c>
      <c r="AA166" s="70">
        <f>IF($S166="","",IF(N($T166)&gt;0,AVERAGEIFS($W$5:$W$1000,$R$5:$R$1000,ROW(),$S$5:$S$1000,"Sub"),$W166))</f>
        <v/>
      </c>
      <c r="AB166" s="70">
        <f>IF($S166="","",IF(N($T166)&gt;0,AVERAGEIFS($X$5:$X$1000,$R$5:$R$1000,ROW(),$S$5:$S$1000,"Sub"),$X166))</f>
        <v/>
      </c>
    </row>
    <row r="167">
      <c r="A167" s="61">
        <f>IF(NOT((COUNTA($B167:$K167)+COUNTA($N167))&gt;0),"",IF($S167="Macro",COUNTIFS($S$5:$S167,"Macro",$P$5:$P167,$P167),IF(N($R167)=0,"?",COUNTIFS(INDEX($S$5:$S$1000,1):INDEX($S$5:$S$1000,$R167-4),"Macro",INDEX($P$5:$P$1000,1):INDEX($P$5:$P$1000,$R167-4),INDEX($P$5:$P$1000,$R167-4))&amp;"."&amp;COUNTIFS($R$5:$R167,$R167,$S$5:$S167,"Sub"))))</f>
        <v/>
      </c>
      <c r="B167" s="62" t="n"/>
      <c r="C167" s="63" t="n"/>
      <c r="D167" s="62" t="n"/>
      <c r="E167" s="64" t="n"/>
      <c r="F167" s="64" t="n"/>
      <c r="G167" s="65" t="n"/>
      <c r="H167" s="66" t="n"/>
      <c r="I167" s="66" t="n"/>
      <c r="J167" s="66" t="n"/>
      <c r="K167" s="66" t="n"/>
      <c r="L167" s="67">
        <f>IF(NOT((COUNTA($B167:$K167)+COUNTA($N167))&gt;0),"",IF(N($T167)&gt;0,$AB167,IFERROR(LOOKUP(2,1/(H167:K167&lt;&gt;""),H167:K167),0)))</f>
        <v/>
      </c>
      <c r="M167" s="61">
        <f>IF(L167="","",IF(L167&gt;=1,"Completado",IF(L167&gt;0,"En curso","Pendiente")))</f>
        <v/>
      </c>
      <c r="N167" s="62" t="n"/>
      <c r="O167" s="68">
        <f>IF(NOT((COUNTA($B167:$K167)+COUNTA($N167))&gt;0),"",IF((IF(AND($S167="Macro",$B167=""),"Macroactividad vacía"&amp;" · ","")&amp;IF(AND($B167&lt;&gt;"",$C167&lt;&gt;""),"Escriba la subactividad en otra fila, debajo de su macroactividad"&amp;" · ","")&amp;IF(AND($S167="Sub",N($R167)=0),"Subactividad sin macroactividad arriba"&amp;" · ","")&amp;IF($D167="","Sin responsable"&amp;" · ","")&amp;IF($E167="","Sin fecha de inicio"&amp;" · ","")&amp;IF($F167="","Sin fecha límite"&amp;" · ","")&amp;IF(OR(AND($E167&lt;&gt;"",NOT(ISNUMBER($E167))),AND($F167&lt;&gt;"",NOT(ISNUMBER($F167)))),"Fecha no válida"&amp;" · ","")&amp;IF(AND(ISNUMBER($E167),ISNUMBER($F167),$E167&gt;$F167),"Inicio posterior a fecha límite"&amp;" · ","")&amp;IF(AND($S167="Macro",$G167=""),"Peso vacío"&amp;" · ","")&amp;IF(AND($S167="Macro",$G167&lt;&gt;"",OR(NOT(ISNUMBER($G167)),$G167&lt;=0,$G167&gt;1)),"Peso fuera de rango"&amp;" · ","")&amp;IF(AND($S167="Sub",$G167&lt;&gt;""),"Las subactividades no llevan peso"&amp;" · ","")&amp;IF(AND($S167="Macro",ABS(SUMIFS($G$5:$G$1000,$P$5:$P$1000,$P167,$S$5:$S$1000,"Macro")-1)&gt;0.0001),"Pesos del mes suman "&amp;TEXT(SUMIFS($G$5:$G$1000,$P$5:$P$1000,$P167,$S$5:$S$1000,"Macro"),"0%")&amp;" · ","")&amp;IF(AND(N($T167)&gt;0,COUNT($H167:$K167)&gt;0),"Con subactividades: deje vacías las semanas (se calculan solas)"&amp;" · ","")&amp;IF((COUNTIF($H167:$K167,"&gt;1")+COUNTIF($H167:$K167,"&lt;0")+COUNTA($H167:$K167)-COUNT($H167:$K167))&gt;0,"Avance fuera de rango 0-100%"&amp;" · ","")&amp;IF(OR(AND($I167&lt;&gt;"",$I167&lt;$H167),AND($J167&lt;&gt;"",$J167&lt;MAX($H167:$I167)),AND($K167&lt;&gt;"",$K167&lt;MAX($H167:$J167))),"Avance semanal decreciente"&amp;" · ","")&amp;IF(AND(ISNUMBER($F167),$F167&lt;FechaRef,N($L167)&lt;1),"Vencida"&amp;" · ","")&amp;IF(AND(ObsObligatoria="Sí",ISNUMBER($F167),$F167&lt;FechaRef,N($L167)&lt;1,$N167=""),"Vencida sin observación"&amp;" · ",""))="","✔ OK","⚠ "&amp;LEFT(IF(AND($S167="Macro",$B167=""),"Macroactividad vacía"&amp;" · ","")&amp;IF(AND($B167&lt;&gt;"",$C167&lt;&gt;""),"Escriba la subactividad en otra fila, debajo de su macroactividad"&amp;" · ","")&amp;IF(AND($S167="Sub",N($R167)=0),"Subactividad sin macroactividad arriba"&amp;" · ","")&amp;IF($D167="","Sin responsable"&amp;" · ","")&amp;IF($E167="","Sin fecha de inicio"&amp;" · ","")&amp;IF($F167="","Sin fecha límite"&amp;" · ","")&amp;IF(OR(AND($E167&lt;&gt;"",NOT(ISNUMBER($E167))),AND($F167&lt;&gt;"",NOT(ISNUMBER($F167)))),"Fecha no válida"&amp;" · ","")&amp;IF(AND(ISNUMBER($E167),ISNUMBER($F167),$E167&gt;$F167),"Inicio posterior a fecha límite"&amp;" · ","")&amp;IF(AND($S167="Macro",$G167=""),"Peso vacío"&amp;" · ","")&amp;IF(AND($S167="Macro",$G167&lt;&gt;"",OR(NOT(ISNUMBER($G167)),$G167&lt;=0,$G167&gt;1)),"Peso fuera de rango"&amp;" · ","")&amp;IF(AND($S167="Sub",$G167&lt;&gt;""),"Las subactividades no llevan peso"&amp;" · ","")&amp;IF(AND($S167="Macro",ABS(SUMIFS($G$5:$G$1000,$P$5:$P$1000,$P167,$S$5:$S$1000,"Macro")-1)&gt;0.0001),"Pesos del mes suman "&amp;TEXT(SUMIFS($G$5:$G$1000,$P$5:$P$1000,$P167,$S$5:$S$1000,"Macro"),"0%")&amp;" · ","")&amp;IF(AND(N($T167)&gt;0,COUNT($H167:$K167)&gt;0),"Con subactividades: deje vacías las semanas (se calculan solas)"&amp;" · ","")&amp;IF((COUNTIF($H167:$K167,"&gt;1")+COUNTIF($H167:$K167,"&lt;0")+COUNTA($H167:$K167)-COUNT($H167:$K167))&gt;0,"Avance fuera de rango 0-100%"&amp;" · ","")&amp;IF(OR(AND($I167&lt;&gt;"",$I167&lt;$H167),AND($J167&lt;&gt;"",$J167&lt;MAX($H167:$I167)),AND($K167&lt;&gt;"",$K167&lt;MAX($H167:$J167))),"Avance semanal decreciente"&amp;" · ","")&amp;IF(AND(ISNUMBER($F167),$F167&lt;FechaRef,N($L167)&lt;1),"Vencida"&amp;" · ","")&amp;IF(AND(ObsObligatoria="Sí",ISNUMBER($F167),$F167&lt;FechaRef,N($L167)&lt;1,$N167=""),"Vencida sin observación"&amp;" · ",""),LEN(IF(AND($S167="Macro",$B167=""),"Macroactividad vacía"&amp;" · ","")&amp;IF(AND($B167&lt;&gt;"",$C167&lt;&gt;""),"Escriba la subactividad en otra fila, debajo de su macroactividad"&amp;" · ","")&amp;IF(AND($S167="Sub",N($R167)=0),"Subactividad sin macroactividad arriba"&amp;" · ","")&amp;IF($D167="","Sin responsable"&amp;" · ","")&amp;IF($E167="","Sin fecha de inicio"&amp;" · ","")&amp;IF($F167="","Sin fecha límite"&amp;" · ","")&amp;IF(OR(AND($E167&lt;&gt;"",NOT(ISNUMBER($E167))),AND($F167&lt;&gt;"",NOT(ISNUMBER($F167)))),"Fecha no válida"&amp;" · ","")&amp;IF(AND(ISNUMBER($E167),ISNUMBER($F167),$E167&gt;$F167),"Inicio posterior a fecha límite"&amp;" · ","")&amp;IF(AND($S167="Macro",$G167=""),"Peso vacío"&amp;" · ","")&amp;IF(AND($S167="Macro",$G167&lt;&gt;"",OR(NOT(ISNUMBER($G167)),$G167&lt;=0,$G167&gt;1)),"Peso fuera de rango"&amp;" · ","")&amp;IF(AND($S167="Sub",$G167&lt;&gt;""),"Las subactividades no llevan peso"&amp;" · ","")&amp;IF(AND($S167="Macro",ABS(SUMIFS($G$5:$G$1000,$P$5:$P$1000,$P167,$S$5:$S$1000,"Macro")-1)&gt;0.0001),"Pesos del mes suman "&amp;TEXT(SUMIFS($G$5:$G$1000,$P$5:$P$1000,$P167,$S$5:$S$1000,"Macro"),"0%")&amp;" · ","")&amp;IF(AND(N($T167)&gt;0,COUNT($H167:$K167)&gt;0),"Con subactividades: deje vacías las semanas (se calculan solas)"&amp;" · ","")&amp;IF((COUNTIF($H167:$K167,"&gt;1")+COUNTIF($H167:$K167,"&lt;0")+COUNTA($H167:$K167)-COUNT($H167:$K167))&gt;0,"Avance fuera de rango 0-100%"&amp;" · ","")&amp;IF(OR(AND($I167&lt;&gt;"",$I167&lt;$H167),AND($J167&lt;&gt;"",$J167&lt;MAX($H167:$I167)),AND($K167&lt;&gt;"",$K167&lt;MAX($H167:$J167))),"Avance semanal decreciente"&amp;" · ","")&amp;IF(AND(ISNUMBER($F167),$F167&lt;FechaRef,N($L167)&lt;1),"Vencida"&amp;" · ","")&amp;IF(AND(ObsObligatoria="Sí",ISNUMBER($F167),$F167&lt;FechaRef,N($L167)&lt;1,$N167=""),"Vencida sin observación"&amp;" · ",""))-3)))</f>
        <v/>
      </c>
      <c r="P167" s="69">
        <f>IF(NOT((COUNTA($B167:$K167)+COUNTA($N167))&gt;0),"",IF(AND($S167="Sub",N($R167)&gt;0),IF(ISNUMBER(INDEX($E$5:$E$1000,$R167-4)),DATE(YEAR(INDEX($E$5:$E$1000,$R167-4)),MONTH(INDEX($E$5:$E$1000,$R167-4)),1),IF(ISNUMBER(INDEX($F$5:$F$1000,$R167-4)),DATE(YEAR(INDEX($F$5:$F$1000,$R167-4)),MONTH(INDEX($F$5:$F$1000,$R167-4)),1),MesCiclo)),IF(ISNUMBER($E167),DATE(YEAR($E167),MONTH($E167),1),IF(ISNUMBER($F167),DATE(YEAR($F167),MONTH($F167),1),MesCiclo))))</f>
        <v/>
      </c>
      <c r="Q167" s="70">
        <f>IF(OR($P167="",$P167&lt;&gt;MesCiclo),"",COUNTIF($P$5:$P167,MesCiclo))</f>
        <v/>
      </c>
      <c r="R167" s="70">
        <f>IF($S167="","",IF($S167="Macro",ROW(),IFERROR(LOOKUP(2,1/($S$5:$S167="Macro"),ROW($S$5:$S167)),0)))</f>
        <v/>
      </c>
      <c r="S167" s="70">
        <f>IF(NOT((COUNTA($B167:$K167)+COUNTA($N167))&gt;0),"",IF($B167&lt;&gt;"","Macro",IF($C167&lt;&gt;"","Sub","Macro")))</f>
        <v/>
      </c>
      <c r="T167" s="70">
        <f>IF($S167="Macro",COUNTIFS($R$5:$R$1000,ROW(),$S$5:$S$1000,"Sub"),"")</f>
        <v/>
      </c>
      <c r="U167" s="70">
        <f>IF($S167="","",IF(ISNUMBER($H167),$H167,0))</f>
        <v/>
      </c>
      <c r="V167" s="70">
        <f>IF($S167="","",IF(ISNUMBER($I167),$I167,$U167))</f>
        <v/>
      </c>
      <c r="W167" s="70">
        <f>IF($S167="","",IF(ISNUMBER($J167),$J167,$V167))</f>
        <v/>
      </c>
      <c r="X167" s="70">
        <f>IF($S167="","",IF(ISNUMBER($K167),$K167,$W167))</f>
        <v/>
      </c>
      <c r="Y167" s="70">
        <f>IF($S167="","",IF(N($T167)&gt;0,AVERAGEIFS($U$5:$U$1000,$R$5:$R$1000,ROW(),$S$5:$S$1000,"Sub"),$U167))</f>
        <v/>
      </c>
      <c r="Z167" s="70">
        <f>IF($S167="","",IF(N($T167)&gt;0,AVERAGEIFS($V$5:$V$1000,$R$5:$R$1000,ROW(),$S$5:$S$1000,"Sub"),$V167))</f>
        <v/>
      </c>
      <c r="AA167" s="70">
        <f>IF($S167="","",IF(N($T167)&gt;0,AVERAGEIFS($W$5:$W$1000,$R$5:$R$1000,ROW(),$S$5:$S$1000,"Sub"),$W167))</f>
        <v/>
      </c>
      <c r="AB167" s="70">
        <f>IF($S167="","",IF(N($T167)&gt;0,AVERAGEIFS($X$5:$X$1000,$R$5:$R$1000,ROW(),$S$5:$S$1000,"Sub"),$X167))</f>
        <v/>
      </c>
    </row>
    <row r="168">
      <c r="A168" s="61">
        <f>IF(NOT((COUNTA($B168:$K168)+COUNTA($N168))&gt;0),"",IF($S168="Macro",COUNTIFS($S$5:$S168,"Macro",$P$5:$P168,$P168),IF(N($R168)=0,"?",COUNTIFS(INDEX($S$5:$S$1000,1):INDEX($S$5:$S$1000,$R168-4),"Macro",INDEX($P$5:$P$1000,1):INDEX($P$5:$P$1000,$R168-4),INDEX($P$5:$P$1000,$R168-4))&amp;"."&amp;COUNTIFS($R$5:$R168,$R168,$S$5:$S168,"Sub"))))</f>
        <v/>
      </c>
      <c r="B168" s="62" t="n"/>
      <c r="C168" s="63" t="n"/>
      <c r="D168" s="62" t="n"/>
      <c r="E168" s="64" t="n"/>
      <c r="F168" s="64" t="n"/>
      <c r="G168" s="65" t="n"/>
      <c r="H168" s="66" t="n"/>
      <c r="I168" s="66" t="n"/>
      <c r="J168" s="66" t="n"/>
      <c r="K168" s="66" t="n"/>
      <c r="L168" s="67">
        <f>IF(NOT((COUNTA($B168:$K168)+COUNTA($N168))&gt;0),"",IF(N($T168)&gt;0,$AB168,IFERROR(LOOKUP(2,1/(H168:K168&lt;&gt;""),H168:K168),0)))</f>
        <v/>
      </c>
      <c r="M168" s="61">
        <f>IF(L168="","",IF(L168&gt;=1,"Completado",IF(L168&gt;0,"En curso","Pendiente")))</f>
        <v/>
      </c>
      <c r="N168" s="62" t="n"/>
      <c r="O168" s="68">
        <f>IF(NOT((COUNTA($B168:$K168)+COUNTA($N168))&gt;0),"",IF((IF(AND($S168="Macro",$B168=""),"Macroactividad vacía"&amp;" · ","")&amp;IF(AND($B168&lt;&gt;"",$C168&lt;&gt;""),"Escriba la subactividad en otra fila, debajo de su macroactividad"&amp;" · ","")&amp;IF(AND($S168="Sub",N($R168)=0),"Subactividad sin macroactividad arriba"&amp;" · ","")&amp;IF($D168="","Sin responsable"&amp;" · ","")&amp;IF($E168="","Sin fecha de inicio"&amp;" · ","")&amp;IF($F168="","Sin fecha límite"&amp;" · ","")&amp;IF(OR(AND($E168&lt;&gt;"",NOT(ISNUMBER($E168))),AND($F168&lt;&gt;"",NOT(ISNUMBER($F168)))),"Fecha no válida"&amp;" · ","")&amp;IF(AND(ISNUMBER($E168),ISNUMBER($F168),$E168&gt;$F168),"Inicio posterior a fecha límite"&amp;" · ","")&amp;IF(AND($S168="Macro",$G168=""),"Peso vacío"&amp;" · ","")&amp;IF(AND($S168="Macro",$G168&lt;&gt;"",OR(NOT(ISNUMBER($G168)),$G168&lt;=0,$G168&gt;1)),"Peso fuera de rango"&amp;" · ","")&amp;IF(AND($S168="Sub",$G168&lt;&gt;""),"Las subactividades no llevan peso"&amp;" · ","")&amp;IF(AND($S168="Macro",ABS(SUMIFS($G$5:$G$1000,$P$5:$P$1000,$P168,$S$5:$S$1000,"Macro")-1)&gt;0.0001),"Pesos del mes suman "&amp;TEXT(SUMIFS($G$5:$G$1000,$P$5:$P$1000,$P168,$S$5:$S$1000,"Macro"),"0%")&amp;" · ","")&amp;IF(AND(N($T168)&gt;0,COUNT($H168:$K168)&gt;0),"Con subactividades: deje vacías las semanas (se calculan solas)"&amp;" · ","")&amp;IF((COUNTIF($H168:$K168,"&gt;1")+COUNTIF($H168:$K168,"&lt;0")+COUNTA($H168:$K168)-COUNT($H168:$K168))&gt;0,"Avance fuera de rango 0-100%"&amp;" · ","")&amp;IF(OR(AND($I168&lt;&gt;"",$I168&lt;$H168),AND($J168&lt;&gt;"",$J168&lt;MAX($H168:$I168)),AND($K168&lt;&gt;"",$K168&lt;MAX($H168:$J168))),"Avance semanal decreciente"&amp;" · ","")&amp;IF(AND(ISNUMBER($F168),$F168&lt;FechaRef,N($L168)&lt;1),"Vencida"&amp;" · ","")&amp;IF(AND(ObsObligatoria="Sí",ISNUMBER($F168),$F168&lt;FechaRef,N($L168)&lt;1,$N168=""),"Vencida sin observación"&amp;" · ",""))="","✔ OK","⚠ "&amp;LEFT(IF(AND($S168="Macro",$B168=""),"Macroactividad vacía"&amp;" · ","")&amp;IF(AND($B168&lt;&gt;"",$C168&lt;&gt;""),"Escriba la subactividad en otra fila, debajo de su macroactividad"&amp;" · ","")&amp;IF(AND($S168="Sub",N($R168)=0),"Subactividad sin macroactividad arriba"&amp;" · ","")&amp;IF($D168="","Sin responsable"&amp;" · ","")&amp;IF($E168="","Sin fecha de inicio"&amp;" · ","")&amp;IF($F168="","Sin fecha límite"&amp;" · ","")&amp;IF(OR(AND($E168&lt;&gt;"",NOT(ISNUMBER($E168))),AND($F168&lt;&gt;"",NOT(ISNUMBER($F168)))),"Fecha no válida"&amp;" · ","")&amp;IF(AND(ISNUMBER($E168),ISNUMBER($F168),$E168&gt;$F168),"Inicio posterior a fecha límite"&amp;" · ","")&amp;IF(AND($S168="Macro",$G168=""),"Peso vacío"&amp;" · ","")&amp;IF(AND($S168="Macro",$G168&lt;&gt;"",OR(NOT(ISNUMBER($G168)),$G168&lt;=0,$G168&gt;1)),"Peso fuera de rango"&amp;" · ","")&amp;IF(AND($S168="Sub",$G168&lt;&gt;""),"Las subactividades no llevan peso"&amp;" · ","")&amp;IF(AND($S168="Macro",ABS(SUMIFS($G$5:$G$1000,$P$5:$P$1000,$P168,$S$5:$S$1000,"Macro")-1)&gt;0.0001),"Pesos del mes suman "&amp;TEXT(SUMIFS($G$5:$G$1000,$P$5:$P$1000,$P168,$S$5:$S$1000,"Macro"),"0%")&amp;" · ","")&amp;IF(AND(N($T168)&gt;0,COUNT($H168:$K168)&gt;0),"Con subactividades: deje vacías las semanas (se calculan solas)"&amp;" · ","")&amp;IF((COUNTIF($H168:$K168,"&gt;1")+COUNTIF($H168:$K168,"&lt;0")+COUNTA($H168:$K168)-COUNT($H168:$K168))&gt;0,"Avance fuera de rango 0-100%"&amp;" · ","")&amp;IF(OR(AND($I168&lt;&gt;"",$I168&lt;$H168),AND($J168&lt;&gt;"",$J168&lt;MAX($H168:$I168)),AND($K168&lt;&gt;"",$K168&lt;MAX($H168:$J168))),"Avance semanal decreciente"&amp;" · ","")&amp;IF(AND(ISNUMBER($F168),$F168&lt;FechaRef,N($L168)&lt;1),"Vencida"&amp;" · ","")&amp;IF(AND(ObsObligatoria="Sí",ISNUMBER($F168),$F168&lt;FechaRef,N($L168)&lt;1,$N168=""),"Vencida sin observación"&amp;" · ",""),LEN(IF(AND($S168="Macro",$B168=""),"Macroactividad vacía"&amp;" · ","")&amp;IF(AND($B168&lt;&gt;"",$C168&lt;&gt;""),"Escriba la subactividad en otra fila, debajo de su macroactividad"&amp;" · ","")&amp;IF(AND($S168="Sub",N($R168)=0),"Subactividad sin macroactividad arriba"&amp;" · ","")&amp;IF($D168="","Sin responsable"&amp;" · ","")&amp;IF($E168="","Sin fecha de inicio"&amp;" · ","")&amp;IF($F168="","Sin fecha límite"&amp;" · ","")&amp;IF(OR(AND($E168&lt;&gt;"",NOT(ISNUMBER($E168))),AND($F168&lt;&gt;"",NOT(ISNUMBER($F168)))),"Fecha no válida"&amp;" · ","")&amp;IF(AND(ISNUMBER($E168),ISNUMBER($F168),$E168&gt;$F168),"Inicio posterior a fecha límite"&amp;" · ","")&amp;IF(AND($S168="Macro",$G168=""),"Peso vacío"&amp;" · ","")&amp;IF(AND($S168="Macro",$G168&lt;&gt;"",OR(NOT(ISNUMBER($G168)),$G168&lt;=0,$G168&gt;1)),"Peso fuera de rango"&amp;" · ","")&amp;IF(AND($S168="Sub",$G168&lt;&gt;""),"Las subactividades no llevan peso"&amp;" · ","")&amp;IF(AND($S168="Macro",ABS(SUMIFS($G$5:$G$1000,$P$5:$P$1000,$P168,$S$5:$S$1000,"Macro")-1)&gt;0.0001),"Pesos del mes suman "&amp;TEXT(SUMIFS($G$5:$G$1000,$P$5:$P$1000,$P168,$S$5:$S$1000,"Macro"),"0%")&amp;" · ","")&amp;IF(AND(N($T168)&gt;0,COUNT($H168:$K168)&gt;0),"Con subactividades: deje vacías las semanas (se calculan solas)"&amp;" · ","")&amp;IF((COUNTIF($H168:$K168,"&gt;1")+COUNTIF($H168:$K168,"&lt;0")+COUNTA($H168:$K168)-COUNT($H168:$K168))&gt;0,"Avance fuera de rango 0-100%"&amp;" · ","")&amp;IF(OR(AND($I168&lt;&gt;"",$I168&lt;$H168),AND($J168&lt;&gt;"",$J168&lt;MAX($H168:$I168)),AND($K168&lt;&gt;"",$K168&lt;MAX($H168:$J168))),"Avance semanal decreciente"&amp;" · ","")&amp;IF(AND(ISNUMBER($F168),$F168&lt;FechaRef,N($L168)&lt;1),"Vencida"&amp;" · ","")&amp;IF(AND(ObsObligatoria="Sí",ISNUMBER($F168),$F168&lt;FechaRef,N($L168)&lt;1,$N168=""),"Vencida sin observación"&amp;" · ",""))-3)))</f>
        <v/>
      </c>
      <c r="P168" s="69">
        <f>IF(NOT((COUNTA($B168:$K168)+COUNTA($N168))&gt;0),"",IF(AND($S168="Sub",N($R168)&gt;0),IF(ISNUMBER(INDEX($E$5:$E$1000,$R168-4)),DATE(YEAR(INDEX($E$5:$E$1000,$R168-4)),MONTH(INDEX($E$5:$E$1000,$R168-4)),1),IF(ISNUMBER(INDEX($F$5:$F$1000,$R168-4)),DATE(YEAR(INDEX($F$5:$F$1000,$R168-4)),MONTH(INDEX($F$5:$F$1000,$R168-4)),1),MesCiclo)),IF(ISNUMBER($E168),DATE(YEAR($E168),MONTH($E168),1),IF(ISNUMBER($F168),DATE(YEAR($F168),MONTH($F168),1),MesCiclo))))</f>
        <v/>
      </c>
      <c r="Q168" s="70">
        <f>IF(OR($P168="",$P168&lt;&gt;MesCiclo),"",COUNTIF($P$5:$P168,MesCiclo))</f>
        <v/>
      </c>
      <c r="R168" s="70">
        <f>IF($S168="","",IF($S168="Macro",ROW(),IFERROR(LOOKUP(2,1/($S$5:$S168="Macro"),ROW($S$5:$S168)),0)))</f>
        <v/>
      </c>
      <c r="S168" s="70">
        <f>IF(NOT((COUNTA($B168:$K168)+COUNTA($N168))&gt;0),"",IF($B168&lt;&gt;"","Macro",IF($C168&lt;&gt;"","Sub","Macro")))</f>
        <v/>
      </c>
      <c r="T168" s="70">
        <f>IF($S168="Macro",COUNTIFS($R$5:$R$1000,ROW(),$S$5:$S$1000,"Sub"),"")</f>
        <v/>
      </c>
      <c r="U168" s="70">
        <f>IF($S168="","",IF(ISNUMBER($H168),$H168,0))</f>
        <v/>
      </c>
      <c r="V168" s="70">
        <f>IF($S168="","",IF(ISNUMBER($I168),$I168,$U168))</f>
        <v/>
      </c>
      <c r="W168" s="70">
        <f>IF($S168="","",IF(ISNUMBER($J168),$J168,$V168))</f>
        <v/>
      </c>
      <c r="X168" s="70">
        <f>IF($S168="","",IF(ISNUMBER($K168),$K168,$W168))</f>
        <v/>
      </c>
      <c r="Y168" s="70">
        <f>IF($S168="","",IF(N($T168)&gt;0,AVERAGEIFS($U$5:$U$1000,$R$5:$R$1000,ROW(),$S$5:$S$1000,"Sub"),$U168))</f>
        <v/>
      </c>
      <c r="Z168" s="70">
        <f>IF($S168="","",IF(N($T168)&gt;0,AVERAGEIFS($V$5:$V$1000,$R$5:$R$1000,ROW(),$S$5:$S$1000,"Sub"),$V168))</f>
        <v/>
      </c>
      <c r="AA168" s="70">
        <f>IF($S168="","",IF(N($T168)&gt;0,AVERAGEIFS($W$5:$W$1000,$R$5:$R$1000,ROW(),$S$5:$S$1000,"Sub"),$W168))</f>
        <v/>
      </c>
      <c r="AB168" s="70">
        <f>IF($S168="","",IF(N($T168)&gt;0,AVERAGEIFS($X$5:$X$1000,$R$5:$R$1000,ROW(),$S$5:$S$1000,"Sub"),$X168))</f>
        <v/>
      </c>
    </row>
    <row r="169">
      <c r="A169" s="61">
        <f>IF(NOT((COUNTA($B169:$K169)+COUNTA($N169))&gt;0),"",IF($S169="Macro",COUNTIFS($S$5:$S169,"Macro",$P$5:$P169,$P169),IF(N($R169)=0,"?",COUNTIFS(INDEX($S$5:$S$1000,1):INDEX($S$5:$S$1000,$R169-4),"Macro",INDEX($P$5:$P$1000,1):INDEX($P$5:$P$1000,$R169-4),INDEX($P$5:$P$1000,$R169-4))&amp;"."&amp;COUNTIFS($R$5:$R169,$R169,$S$5:$S169,"Sub"))))</f>
        <v/>
      </c>
      <c r="B169" s="62" t="n"/>
      <c r="C169" s="63" t="n"/>
      <c r="D169" s="62" t="n"/>
      <c r="E169" s="64" t="n"/>
      <c r="F169" s="64" t="n"/>
      <c r="G169" s="65" t="n"/>
      <c r="H169" s="66" t="n"/>
      <c r="I169" s="66" t="n"/>
      <c r="J169" s="66" t="n"/>
      <c r="K169" s="66" t="n"/>
      <c r="L169" s="67">
        <f>IF(NOT((COUNTA($B169:$K169)+COUNTA($N169))&gt;0),"",IF(N($T169)&gt;0,$AB169,IFERROR(LOOKUP(2,1/(H169:K169&lt;&gt;""),H169:K169),0)))</f>
        <v/>
      </c>
      <c r="M169" s="61">
        <f>IF(L169="","",IF(L169&gt;=1,"Completado",IF(L169&gt;0,"En curso","Pendiente")))</f>
        <v/>
      </c>
      <c r="N169" s="62" t="n"/>
      <c r="O169" s="68">
        <f>IF(NOT((COUNTA($B169:$K169)+COUNTA($N169))&gt;0),"",IF((IF(AND($S169="Macro",$B169=""),"Macroactividad vacía"&amp;" · ","")&amp;IF(AND($B169&lt;&gt;"",$C169&lt;&gt;""),"Escriba la subactividad en otra fila, debajo de su macroactividad"&amp;" · ","")&amp;IF(AND($S169="Sub",N($R169)=0),"Subactividad sin macroactividad arriba"&amp;" · ","")&amp;IF($D169="","Sin responsable"&amp;" · ","")&amp;IF($E169="","Sin fecha de inicio"&amp;" · ","")&amp;IF($F169="","Sin fecha límite"&amp;" · ","")&amp;IF(OR(AND($E169&lt;&gt;"",NOT(ISNUMBER($E169))),AND($F169&lt;&gt;"",NOT(ISNUMBER($F169)))),"Fecha no válida"&amp;" · ","")&amp;IF(AND(ISNUMBER($E169),ISNUMBER($F169),$E169&gt;$F169),"Inicio posterior a fecha límite"&amp;" · ","")&amp;IF(AND($S169="Macro",$G169=""),"Peso vacío"&amp;" · ","")&amp;IF(AND($S169="Macro",$G169&lt;&gt;"",OR(NOT(ISNUMBER($G169)),$G169&lt;=0,$G169&gt;1)),"Peso fuera de rango"&amp;" · ","")&amp;IF(AND($S169="Sub",$G169&lt;&gt;""),"Las subactividades no llevan peso"&amp;" · ","")&amp;IF(AND($S169="Macro",ABS(SUMIFS($G$5:$G$1000,$P$5:$P$1000,$P169,$S$5:$S$1000,"Macro")-1)&gt;0.0001),"Pesos del mes suman "&amp;TEXT(SUMIFS($G$5:$G$1000,$P$5:$P$1000,$P169,$S$5:$S$1000,"Macro"),"0%")&amp;" · ","")&amp;IF(AND(N($T169)&gt;0,COUNT($H169:$K169)&gt;0),"Con subactividades: deje vacías las semanas (se calculan solas)"&amp;" · ","")&amp;IF((COUNTIF($H169:$K169,"&gt;1")+COUNTIF($H169:$K169,"&lt;0")+COUNTA($H169:$K169)-COUNT($H169:$K169))&gt;0,"Avance fuera de rango 0-100%"&amp;" · ","")&amp;IF(OR(AND($I169&lt;&gt;"",$I169&lt;$H169),AND($J169&lt;&gt;"",$J169&lt;MAX($H169:$I169)),AND($K169&lt;&gt;"",$K169&lt;MAX($H169:$J169))),"Avance semanal decreciente"&amp;" · ","")&amp;IF(AND(ISNUMBER($F169),$F169&lt;FechaRef,N($L169)&lt;1),"Vencida"&amp;" · ","")&amp;IF(AND(ObsObligatoria="Sí",ISNUMBER($F169),$F169&lt;FechaRef,N($L169)&lt;1,$N169=""),"Vencida sin observación"&amp;" · ",""))="","✔ OK","⚠ "&amp;LEFT(IF(AND($S169="Macro",$B169=""),"Macroactividad vacía"&amp;" · ","")&amp;IF(AND($B169&lt;&gt;"",$C169&lt;&gt;""),"Escriba la subactividad en otra fila, debajo de su macroactividad"&amp;" · ","")&amp;IF(AND($S169="Sub",N($R169)=0),"Subactividad sin macroactividad arriba"&amp;" · ","")&amp;IF($D169="","Sin responsable"&amp;" · ","")&amp;IF($E169="","Sin fecha de inicio"&amp;" · ","")&amp;IF($F169="","Sin fecha límite"&amp;" · ","")&amp;IF(OR(AND($E169&lt;&gt;"",NOT(ISNUMBER($E169))),AND($F169&lt;&gt;"",NOT(ISNUMBER($F169)))),"Fecha no válida"&amp;" · ","")&amp;IF(AND(ISNUMBER($E169),ISNUMBER($F169),$E169&gt;$F169),"Inicio posterior a fecha límite"&amp;" · ","")&amp;IF(AND($S169="Macro",$G169=""),"Peso vacío"&amp;" · ","")&amp;IF(AND($S169="Macro",$G169&lt;&gt;"",OR(NOT(ISNUMBER($G169)),$G169&lt;=0,$G169&gt;1)),"Peso fuera de rango"&amp;" · ","")&amp;IF(AND($S169="Sub",$G169&lt;&gt;""),"Las subactividades no llevan peso"&amp;" · ","")&amp;IF(AND($S169="Macro",ABS(SUMIFS($G$5:$G$1000,$P$5:$P$1000,$P169,$S$5:$S$1000,"Macro")-1)&gt;0.0001),"Pesos del mes suman "&amp;TEXT(SUMIFS($G$5:$G$1000,$P$5:$P$1000,$P169,$S$5:$S$1000,"Macro"),"0%")&amp;" · ","")&amp;IF(AND(N($T169)&gt;0,COUNT($H169:$K169)&gt;0),"Con subactividades: deje vacías las semanas (se calculan solas)"&amp;" · ","")&amp;IF((COUNTIF($H169:$K169,"&gt;1")+COUNTIF($H169:$K169,"&lt;0")+COUNTA($H169:$K169)-COUNT($H169:$K169))&gt;0,"Avance fuera de rango 0-100%"&amp;" · ","")&amp;IF(OR(AND($I169&lt;&gt;"",$I169&lt;$H169),AND($J169&lt;&gt;"",$J169&lt;MAX($H169:$I169)),AND($K169&lt;&gt;"",$K169&lt;MAX($H169:$J169))),"Avance semanal decreciente"&amp;" · ","")&amp;IF(AND(ISNUMBER($F169),$F169&lt;FechaRef,N($L169)&lt;1),"Vencida"&amp;" · ","")&amp;IF(AND(ObsObligatoria="Sí",ISNUMBER($F169),$F169&lt;FechaRef,N($L169)&lt;1,$N169=""),"Vencida sin observación"&amp;" · ",""),LEN(IF(AND($S169="Macro",$B169=""),"Macroactividad vacía"&amp;" · ","")&amp;IF(AND($B169&lt;&gt;"",$C169&lt;&gt;""),"Escriba la subactividad en otra fila, debajo de su macroactividad"&amp;" · ","")&amp;IF(AND($S169="Sub",N($R169)=0),"Subactividad sin macroactividad arriba"&amp;" · ","")&amp;IF($D169="","Sin responsable"&amp;" · ","")&amp;IF($E169="","Sin fecha de inicio"&amp;" · ","")&amp;IF($F169="","Sin fecha límite"&amp;" · ","")&amp;IF(OR(AND($E169&lt;&gt;"",NOT(ISNUMBER($E169))),AND($F169&lt;&gt;"",NOT(ISNUMBER($F169)))),"Fecha no válida"&amp;" · ","")&amp;IF(AND(ISNUMBER($E169),ISNUMBER($F169),$E169&gt;$F169),"Inicio posterior a fecha límite"&amp;" · ","")&amp;IF(AND($S169="Macro",$G169=""),"Peso vacío"&amp;" · ","")&amp;IF(AND($S169="Macro",$G169&lt;&gt;"",OR(NOT(ISNUMBER($G169)),$G169&lt;=0,$G169&gt;1)),"Peso fuera de rango"&amp;" · ","")&amp;IF(AND($S169="Sub",$G169&lt;&gt;""),"Las subactividades no llevan peso"&amp;" · ","")&amp;IF(AND($S169="Macro",ABS(SUMIFS($G$5:$G$1000,$P$5:$P$1000,$P169,$S$5:$S$1000,"Macro")-1)&gt;0.0001),"Pesos del mes suman "&amp;TEXT(SUMIFS($G$5:$G$1000,$P$5:$P$1000,$P169,$S$5:$S$1000,"Macro"),"0%")&amp;" · ","")&amp;IF(AND(N($T169)&gt;0,COUNT($H169:$K169)&gt;0),"Con subactividades: deje vacías las semanas (se calculan solas)"&amp;" · ","")&amp;IF((COUNTIF($H169:$K169,"&gt;1")+COUNTIF($H169:$K169,"&lt;0")+COUNTA($H169:$K169)-COUNT($H169:$K169))&gt;0,"Avance fuera de rango 0-100%"&amp;" · ","")&amp;IF(OR(AND($I169&lt;&gt;"",$I169&lt;$H169),AND($J169&lt;&gt;"",$J169&lt;MAX($H169:$I169)),AND($K169&lt;&gt;"",$K169&lt;MAX($H169:$J169))),"Avance semanal decreciente"&amp;" · ","")&amp;IF(AND(ISNUMBER($F169),$F169&lt;FechaRef,N($L169)&lt;1),"Vencida"&amp;" · ","")&amp;IF(AND(ObsObligatoria="Sí",ISNUMBER($F169),$F169&lt;FechaRef,N($L169)&lt;1,$N169=""),"Vencida sin observación"&amp;" · ",""))-3)))</f>
        <v/>
      </c>
      <c r="P169" s="69">
        <f>IF(NOT((COUNTA($B169:$K169)+COUNTA($N169))&gt;0),"",IF(AND($S169="Sub",N($R169)&gt;0),IF(ISNUMBER(INDEX($E$5:$E$1000,$R169-4)),DATE(YEAR(INDEX($E$5:$E$1000,$R169-4)),MONTH(INDEX($E$5:$E$1000,$R169-4)),1),IF(ISNUMBER(INDEX($F$5:$F$1000,$R169-4)),DATE(YEAR(INDEX($F$5:$F$1000,$R169-4)),MONTH(INDEX($F$5:$F$1000,$R169-4)),1),MesCiclo)),IF(ISNUMBER($E169),DATE(YEAR($E169),MONTH($E169),1),IF(ISNUMBER($F169),DATE(YEAR($F169),MONTH($F169),1),MesCiclo))))</f>
        <v/>
      </c>
      <c r="Q169" s="70">
        <f>IF(OR($P169="",$P169&lt;&gt;MesCiclo),"",COUNTIF($P$5:$P169,MesCiclo))</f>
        <v/>
      </c>
      <c r="R169" s="70">
        <f>IF($S169="","",IF($S169="Macro",ROW(),IFERROR(LOOKUP(2,1/($S$5:$S169="Macro"),ROW($S$5:$S169)),0)))</f>
        <v/>
      </c>
      <c r="S169" s="70">
        <f>IF(NOT((COUNTA($B169:$K169)+COUNTA($N169))&gt;0),"",IF($B169&lt;&gt;"","Macro",IF($C169&lt;&gt;"","Sub","Macro")))</f>
        <v/>
      </c>
      <c r="T169" s="70">
        <f>IF($S169="Macro",COUNTIFS($R$5:$R$1000,ROW(),$S$5:$S$1000,"Sub"),"")</f>
        <v/>
      </c>
      <c r="U169" s="70">
        <f>IF($S169="","",IF(ISNUMBER($H169),$H169,0))</f>
        <v/>
      </c>
      <c r="V169" s="70">
        <f>IF($S169="","",IF(ISNUMBER($I169),$I169,$U169))</f>
        <v/>
      </c>
      <c r="W169" s="70">
        <f>IF($S169="","",IF(ISNUMBER($J169),$J169,$V169))</f>
        <v/>
      </c>
      <c r="X169" s="70">
        <f>IF($S169="","",IF(ISNUMBER($K169),$K169,$W169))</f>
        <v/>
      </c>
      <c r="Y169" s="70">
        <f>IF($S169="","",IF(N($T169)&gt;0,AVERAGEIFS($U$5:$U$1000,$R$5:$R$1000,ROW(),$S$5:$S$1000,"Sub"),$U169))</f>
        <v/>
      </c>
      <c r="Z169" s="70">
        <f>IF($S169="","",IF(N($T169)&gt;0,AVERAGEIFS($V$5:$V$1000,$R$5:$R$1000,ROW(),$S$5:$S$1000,"Sub"),$V169))</f>
        <v/>
      </c>
      <c r="AA169" s="70">
        <f>IF($S169="","",IF(N($T169)&gt;0,AVERAGEIFS($W$5:$W$1000,$R$5:$R$1000,ROW(),$S$5:$S$1000,"Sub"),$W169))</f>
        <v/>
      </c>
      <c r="AB169" s="70">
        <f>IF($S169="","",IF(N($T169)&gt;0,AVERAGEIFS($X$5:$X$1000,$R$5:$R$1000,ROW(),$S$5:$S$1000,"Sub"),$X169))</f>
        <v/>
      </c>
    </row>
    <row r="170">
      <c r="A170" s="61">
        <f>IF(NOT((COUNTA($B170:$K170)+COUNTA($N170))&gt;0),"",IF($S170="Macro",COUNTIFS($S$5:$S170,"Macro",$P$5:$P170,$P170),IF(N($R170)=0,"?",COUNTIFS(INDEX($S$5:$S$1000,1):INDEX($S$5:$S$1000,$R170-4),"Macro",INDEX($P$5:$P$1000,1):INDEX($P$5:$P$1000,$R170-4),INDEX($P$5:$P$1000,$R170-4))&amp;"."&amp;COUNTIFS($R$5:$R170,$R170,$S$5:$S170,"Sub"))))</f>
        <v/>
      </c>
      <c r="B170" s="62" t="n"/>
      <c r="C170" s="63" t="n"/>
      <c r="D170" s="62" t="n"/>
      <c r="E170" s="64" t="n"/>
      <c r="F170" s="64" t="n"/>
      <c r="G170" s="65" t="n"/>
      <c r="H170" s="66" t="n"/>
      <c r="I170" s="66" t="n"/>
      <c r="J170" s="66" t="n"/>
      <c r="K170" s="66" t="n"/>
      <c r="L170" s="67">
        <f>IF(NOT((COUNTA($B170:$K170)+COUNTA($N170))&gt;0),"",IF(N($T170)&gt;0,$AB170,IFERROR(LOOKUP(2,1/(H170:K170&lt;&gt;""),H170:K170),0)))</f>
        <v/>
      </c>
      <c r="M170" s="61">
        <f>IF(L170="","",IF(L170&gt;=1,"Completado",IF(L170&gt;0,"En curso","Pendiente")))</f>
        <v/>
      </c>
      <c r="N170" s="62" t="n"/>
      <c r="O170" s="68">
        <f>IF(NOT((COUNTA($B170:$K170)+COUNTA($N170))&gt;0),"",IF((IF(AND($S170="Macro",$B170=""),"Macroactividad vacía"&amp;" · ","")&amp;IF(AND($B170&lt;&gt;"",$C170&lt;&gt;""),"Escriba la subactividad en otra fila, debajo de su macroactividad"&amp;" · ","")&amp;IF(AND($S170="Sub",N($R170)=0),"Subactividad sin macroactividad arriba"&amp;" · ","")&amp;IF($D170="","Sin responsable"&amp;" · ","")&amp;IF($E170="","Sin fecha de inicio"&amp;" · ","")&amp;IF($F170="","Sin fecha límite"&amp;" · ","")&amp;IF(OR(AND($E170&lt;&gt;"",NOT(ISNUMBER($E170))),AND($F170&lt;&gt;"",NOT(ISNUMBER($F170)))),"Fecha no válida"&amp;" · ","")&amp;IF(AND(ISNUMBER($E170),ISNUMBER($F170),$E170&gt;$F170),"Inicio posterior a fecha límite"&amp;" · ","")&amp;IF(AND($S170="Macro",$G170=""),"Peso vacío"&amp;" · ","")&amp;IF(AND($S170="Macro",$G170&lt;&gt;"",OR(NOT(ISNUMBER($G170)),$G170&lt;=0,$G170&gt;1)),"Peso fuera de rango"&amp;" · ","")&amp;IF(AND($S170="Sub",$G170&lt;&gt;""),"Las subactividades no llevan peso"&amp;" · ","")&amp;IF(AND($S170="Macro",ABS(SUMIFS($G$5:$G$1000,$P$5:$P$1000,$P170,$S$5:$S$1000,"Macro")-1)&gt;0.0001),"Pesos del mes suman "&amp;TEXT(SUMIFS($G$5:$G$1000,$P$5:$P$1000,$P170,$S$5:$S$1000,"Macro"),"0%")&amp;" · ","")&amp;IF(AND(N($T170)&gt;0,COUNT($H170:$K170)&gt;0),"Con subactividades: deje vacías las semanas (se calculan solas)"&amp;" · ","")&amp;IF((COUNTIF($H170:$K170,"&gt;1")+COUNTIF($H170:$K170,"&lt;0")+COUNTA($H170:$K170)-COUNT($H170:$K170))&gt;0,"Avance fuera de rango 0-100%"&amp;" · ","")&amp;IF(OR(AND($I170&lt;&gt;"",$I170&lt;$H170),AND($J170&lt;&gt;"",$J170&lt;MAX($H170:$I170)),AND($K170&lt;&gt;"",$K170&lt;MAX($H170:$J170))),"Avance semanal decreciente"&amp;" · ","")&amp;IF(AND(ISNUMBER($F170),$F170&lt;FechaRef,N($L170)&lt;1),"Vencida"&amp;" · ","")&amp;IF(AND(ObsObligatoria="Sí",ISNUMBER($F170),$F170&lt;FechaRef,N($L170)&lt;1,$N170=""),"Vencida sin observación"&amp;" · ",""))="","✔ OK","⚠ "&amp;LEFT(IF(AND($S170="Macro",$B170=""),"Macroactividad vacía"&amp;" · ","")&amp;IF(AND($B170&lt;&gt;"",$C170&lt;&gt;""),"Escriba la subactividad en otra fila, debajo de su macroactividad"&amp;" · ","")&amp;IF(AND($S170="Sub",N($R170)=0),"Subactividad sin macroactividad arriba"&amp;" · ","")&amp;IF($D170="","Sin responsable"&amp;" · ","")&amp;IF($E170="","Sin fecha de inicio"&amp;" · ","")&amp;IF($F170="","Sin fecha límite"&amp;" · ","")&amp;IF(OR(AND($E170&lt;&gt;"",NOT(ISNUMBER($E170))),AND($F170&lt;&gt;"",NOT(ISNUMBER($F170)))),"Fecha no válida"&amp;" · ","")&amp;IF(AND(ISNUMBER($E170),ISNUMBER($F170),$E170&gt;$F170),"Inicio posterior a fecha límite"&amp;" · ","")&amp;IF(AND($S170="Macro",$G170=""),"Peso vacío"&amp;" · ","")&amp;IF(AND($S170="Macro",$G170&lt;&gt;"",OR(NOT(ISNUMBER($G170)),$G170&lt;=0,$G170&gt;1)),"Peso fuera de rango"&amp;" · ","")&amp;IF(AND($S170="Sub",$G170&lt;&gt;""),"Las subactividades no llevan peso"&amp;" · ","")&amp;IF(AND($S170="Macro",ABS(SUMIFS($G$5:$G$1000,$P$5:$P$1000,$P170,$S$5:$S$1000,"Macro")-1)&gt;0.0001),"Pesos del mes suman "&amp;TEXT(SUMIFS($G$5:$G$1000,$P$5:$P$1000,$P170,$S$5:$S$1000,"Macro"),"0%")&amp;" · ","")&amp;IF(AND(N($T170)&gt;0,COUNT($H170:$K170)&gt;0),"Con subactividades: deje vacías las semanas (se calculan solas)"&amp;" · ","")&amp;IF((COUNTIF($H170:$K170,"&gt;1")+COUNTIF($H170:$K170,"&lt;0")+COUNTA($H170:$K170)-COUNT($H170:$K170))&gt;0,"Avance fuera de rango 0-100%"&amp;" · ","")&amp;IF(OR(AND($I170&lt;&gt;"",$I170&lt;$H170),AND($J170&lt;&gt;"",$J170&lt;MAX($H170:$I170)),AND($K170&lt;&gt;"",$K170&lt;MAX($H170:$J170))),"Avance semanal decreciente"&amp;" · ","")&amp;IF(AND(ISNUMBER($F170),$F170&lt;FechaRef,N($L170)&lt;1),"Vencida"&amp;" · ","")&amp;IF(AND(ObsObligatoria="Sí",ISNUMBER($F170),$F170&lt;FechaRef,N($L170)&lt;1,$N170=""),"Vencida sin observación"&amp;" · ",""),LEN(IF(AND($S170="Macro",$B170=""),"Macroactividad vacía"&amp;" · ","")&amp;IF(AND($B170&lt;&gt;"",$C170&lt;&gt;""),"Escriba la subactividad en otra fila, debajo de su macroactividad"&amp;" · ","")&amp;IF(AND($S170="Sub",N($R170)=0),"Subactividad sin macroactividad arriba"&amp;" · ","")&amp;IF($D170="","Sin responsable"&amp;" · ","")&amp;IF($E170="","Sin fecha de inicio"&amp;" · ","")&amp;IF($F170="","Sin fecha límite"&amp;" · ","")&amp;IF(OR(AND($E170&lt;&gt;"",NOT(ISNUMBER($E170))),AND($F170&lt;&gt;"",NOT(ISNUMBER($F170)))),"Fecha no válida"&amp;" · ","")&amp;IF(AND(ISNUMBER($E170),ISNUMBER($F170),$E170&gt;$F170),"Inicio posterior a fecha límite"&amp;" · ","")&amp;IF(AND($S170="Macro",$G170=""),"Peso vacío"&amp;" · ","")&amp;IF(AND($S170="Macro",$G170&lt;&gt;"",OR(NOT(ISNUMBER($G170)),$G170&lt;=0,$G170&gt;1)),"Peso fuera de rango"&amp;" · ","")&amp;IF(AND($S170="Sub",$G170&lt;&gt;""),"Las subactividades no llevan peso"&amp;" · ","")&amp;IF(AND($S170="Macro",ABS(SUMIFS($G$5:$G$1000,$P$5:$P$1000,$P170,$S$5:$S$1000,"Macro")-1)&gt;0.0001),"Pesos del mes suman "&amp;TEXT(SUMIFS($G$5:$G$1000,$P$5:$P$1000,$P170,$S$5:$S$1000,"Macro"),"0%")&amp;" · ","")&amp;IF(AND(N($T170)&gt;0,COUNT($H170:$K170)&gt;0),"Con subactividades: deje vacías las semanas (se calculan solas)"&amp;" · ","")&amp;IF((COUNTIF($H170:$K170,"&gt;1")+COUNTIF($H170:$K170,"&lt;0")+COUNTA($H170:$K170)-COUNT($H170:$K170))&gt;0,"Avance fuera de rango 0-100%"&amp;" · ","")&amp;IF(OR(AND($I170&lt;&gt;"",$I170&lt;$H170),AND($J170&lt;&gt;"",$J170&lt;MAX($H170:$I170)),AND($K170&lt;&gt;"",$K170&lt;MAX($H170:$J170))),"Avance semanal decreciente"&amp;" · ","")&amp;IF(AND(ISNUMBER($F170),$F170&lt;FechaRef,N($L170)&lt;1),"Vencida"&amp;" · ","")&amp;IF(AND(ObsObligatoria="Sí",ISNUMBER($F170),$F170&lt;FechaRef,N($L170)&lt;1,$N170=""),"Vencida sin observación"&amp;" · ",""))-3)))</f>
        <v/>
      </c>
      <c r="P170" s="69">
        <f>IF(NOT((COUNTA($B170:$K170)+COUNTA($N170))&gt;0),"",IF(AND($S170="Sub",N($R170)&gt;0),IF(ISNUMBER(INDEX($E$5:$E$1000,$R170-4)),DATE(YEAR(INDEX($E$5:$E$1000,$R170-4)),MONTH(INDEX($E$5:$E$1000,$R170-4)),1),IF(ISNUMBER(INDEX($F$5:$F$1000,$R170-4)),DATE(YEAR(INDEX($F$5:$F$1000,$R170-4)),MONTH(INDEX($F$5:$F$1000,$R170-4)),1),MesCiclo)),IF(ISNUMBER($E170),DATE(YEAR($E170),MONTH($E170),1),IF(ISNUMBER($F170),DATE(YEAR($F170),MONTH($F170),1),MesCiclo))))</f>
        <v/>
      </c>
      <c r="Q170" s="70">
        <f>IF(OR($P170="",$P170&lt;&gt;MesCiclo),"",COUNTIF($P$5:$P170,MesCiclo))</f>
        <v/>
      </c>
      <c r="R170" s="70">
        <f>IF($S170="","",IF($S170="Macro",ROW(),IFERROR(LOOKUP(2,1/($S$5:$S170="Macro"),ROW($S$5:$S170)),0)))</f>
        <v/>
      </c>
      <c r="S170" s="70">
        <f>IF(NOT((COUNTA($B170:$K170)+COUNTA($N170))&gt;0),"",IF($B170&lt;&gt;"","Macro",IF($C170&lt;&gt;"","Sub","Macro")))</f>
        <v/>
      </c>
      <c r="T170" s="70">
        <f>IF($S170="Macro",COUNTIFS($R$5:$R$1000,ROW(),$S$5:$S$1000,"Sub"),"")</f>
        <v/>
      </c>
      <c r="U170" s="70">
        <f>IF($S170="","",IF(ISNUMBER($H170),$H170,0))</f>
        <v/>
      </c>
      <c r="V170" s="70">
        <f>IF($S170="","",IF(ISNUMBER($I170),$I170,$U170))</f>
        <v/>
      </c>
      <c r="W170" s="70">
        <f>IF($S170="","",IF(ISNUMBER($J170),$J170,$V170))</f>
        <v/>
      </c>
      <c r="X170" s="70">
        <f>IF($S170="","",IF(ISNUMBER($K170),$K170,$W170))</f>
        <v/>
      </c>
      <c r="Y170" s="70">
        <f>IF($S170="","",IF(N($T170)&gt;0,AVERAGEIFS($U$5:$U$1000,$R$5:$R$1000,ROW(),$S$5:$S$1000,"Sub"),$U170))</f>
        <v/>
      </c>
      <c r="Z170" s="70">
        <f>IF($S170="","",IF(N($T170)&gt;0,AVERAGEIFS($V$5:$V$1000,$R$5:$R$1000,ROW(),$S$5:$S$1000,"Sub"),$V170))</f>
        <v/>
      </c>
      <c r="AA170" s="70">
        <f>IF($S170="","",IF(N($T170)&gt;0,AVERAGEIFS($W$5:$W$1000,$R$5:$R$1000,ROW(),$S$5:$S$1000,"Sub"),$W170))</f>
        <v/>
      </c>
      <c r="AB170" s="70">
        <f>IF($S170="","",IF(N($T170)&gt;0,AVERAGEIFS($X$5:$X$1000,$R$5:$R$1000,ROW(),$S$5:$S$1000,"Sub"),$X170))</f>
        <v/>
      </c>
    </row>
    <row r="171">
      <c r="A171" s="61">
        <f>IF(NOT((COUNTA($B171:$K171)+COUNTA($N171))&gt;0),"",IF($S171="Macro",COUNTIFS($S$5:$S171,"Macro",$P$5:$P171,$P171),IF(N($R171)=0,"?",COUNTIFS(INDEX($S$5:$S$1000,1):INDEX($S$5:$S$1000,$R171-4),"Macro",INDEX($P$5:$P$1000,1):INDEX($P$5:$P$1000,$R171-4),INDEX($P$5:$P$1000,$R171-4))&amp;"."&amp;COUNTIFS($R$5:$R171,$R171,$S$5:$S171,"Sub"))))</f>
        <v/>
      </c>
      <c r="B171" s="62" t="n"/>
      <c r="C171" s="63" t="n"/>
      <c r="D171" s="62" t="n"/>
      <c r="E171" s="64" t="n"/>
      <c r="F171" s="64" t="n"/>
      <c r="G171" s="65" t="n"/>
      <c r="H171" s="66" t="n"/>
      <c r="I171" s="66" t="n"/>
      <c r="J171" s="66" t="n"/>
      <c r="K171" s="66" t="n"/>
      <c r="L171" s="67">
        <f>IF(NOT((COUNTA($B171:$K171)+COUNTA($N171))&gt;0),"",IF(N($T171)&gt;0,$AB171,IFERROR(LOOKUP(2,1/(H171:K171&lt;&gt;""),H171:K171),0)))</f>
        <v/>
      </c>
      <c r="M171" s="61">
        <f>IF(L171="","",IF(L171&gt;=1,"Completado",IF(L171&gt;0,"En curso","Pendiente")))</f>
        <v/>
      </c>
      <c r="N171" s="62" t="n"/>
      <c r="O171" s="68">
        <f>IF(NOT((COUNTA($B171:$K171)+COUNTA($N171))&gt;0),"",IF((IF(AND($S171="Macro",$B171=""),"Macroactividad vacía"&amp;" · ","")&amp;IF(AND($B171&lt;&gt;"",$C171&lt;&gt;""),"Escriba la subactividad en otra fila, debajo de su macroactividad"&amp;" · ","")&amp;IF(AND($S171="Sub",N($R171)=0),"Subactividad sin macroactividad arriba"&amp;" · ","")&amp;IF($D171="","Sin responsable"&amp;" · ","")&amp;IF($E171="","Sin fecha de inicio"&amp;" · ","")&amp;IF($F171="","Sin fecha límite"&amp;" · ","")&amp;IF(OR(AND($E171&lt;&gt;"",NOT(ISNUMBER($E171))),AND($F171&lt;&gt;"",NOT(ISNUMBER($F171)))),"Fecha no válida"&amp;" · ","")&amp;IF(AND(ISNUMBER($E171),ISNUMBER($F171),$E171&gt;$F171),"Inicio posterior a fecha límite"&amp;" · ","")&amp;IF(AND($S171="Macro",$G171=""),"Peso vacío"&amp;" · ","")&amp;IF(AND($S171="Macro",$G171&lt;&gt;"",OR(NOT(ISNUMBER($G171)),$G171&lt;=0,$G171&gt;1)),"Peso fuera de rango"&amp;" · ","")&amp;IF(AND($S171="Sub",$G171&lt;&gt;""),"Las subactividades no llevan peso"&amp;" · ","")&amp;IF(AND($S171="Macro",ABS(SUMIFS($G$5:$G$1000,$P$5:$P$1000,$P171,$S$5:$S$1000,"Macro")-1)&gt;0.0001),"Pesos del mes suman "&amp;TEXT(SUMIFS($G$5:$G$1000,$P$5:$P$1000,$P171,$S$5:$S$1000,"Macro"),"0%")&amp;" · ","")&amp;IF(AND(N($T171)&gt;0,COUNT($H171:$K171)&gt;0),"Con subactividades: deje vacías las semanas (se calculan solas)"&amp;" · ","")&amp;IF((COUNTIF($H171:$K171,"&gt;1")+COUNTIF($H171:$K171,"&lt;0")+COUNTA($H171:$K171)-COUNT($H171:$K171))&gt;0,"Avance fuera de rango 0-100%"&amp;" · ","")&amp;IF(OR(AND($I171&lt;&gt;"",$I171&lt;$H171),AND($J171&lt;&gt;"",$J171&lt;MAX($H171:$I171)),AND($K171&lt;&gt;"",$K171&lt;MAX($H171:$J171))),"Avance semanal decreciente"&amp;" · ","")&amp;IF(AND(ISNUMBER($F171),$F171&lt;FechaRef,N($L171)&lt;1),"Vencida"&amp;" · ","")&amp;IF(AND(ObsObligatoria="Sí",ISNUMBER($F171),$F171&lt;FechaRef,N($L171)&lt;1,$N171=""),"Vencida sin observación"&amp;" · ",""))="","✔ OK","⚠ "&amp;LEFT(IF(AND($S171="Macro",$B171=""),"Macroactividad vacía"&amp;" · ","")&amp;IF(AND($B171&lt;&gt;"",$C171&lt;&gt;""),"Escriba la subactividad en otra fila, debajo de su macroactividad"&amp;" · ","")&amp;IF(AND($S171="Sub",N($R171)=0),"Subactividad sin macroactividad arriba"&amp;" · ","")&amp;IF($D171="","Sin responsable"&amp;" · ","")&amp;IF($E171="","Sin fecha de inicio"&amp;" · ","")&amp;IF($F171="","Sin fecha límite"&amp;" · ","")&amp;IF(OR(AND($E171&lt;&gt;"",NOT(ISNUMBER($E171))),AND($F171&lt;&gt;"",NOT(ISNUMBER($F171)))),"Fecha no válida"&amp;" · ","")&amp;IF(AND(ISNUMBER($E171),ISNUMBER($F171),$E171&gt;$F171),"Inicio posterior a fecha límite"&amp;" · ","")&amp;IF(AND($S171="Macro",$G171=""),"Peso vacío"&amp;" · ","")&amp;IF(AND($S171="Macro",$G171&lt;&gt;"",OR(NOT(ISNUMBER($G171)),$G171&lt;=0,$G171&gt;1)),"Peso fuera de rango"&amp;" · ","")&amp;IF(AND($S171="Sub",$G171&lt;&gt;""),"Las subactividades no llevan peso"&amp;" · ","")&amp;IF(AND($S171="Macro",ABS(SUMIFS($G$5:$G$1000,$P$5:$P$1000,$P171,$S$5:$S$1000,"Macro")-1)&gt;0.0001),"Pesos del mes suman "&amp;TEXT(SUMIFS($G$5:$G$1000,$P$5:$P$1000,$P171,$S$5:$S$1000,"Macro"),"0%")&amp;" · ","")&amp;IF(AND(N($T171)&gt;0,COUNT($H171:$K171)&gt;0),"Con subactividades: deje vacías las semanas (se calculan solas)"&amp;" · ","")&amp;IF((COUNTIF($H171:$K171,"&gt;1")+COUNTIF($H171:$K171,"&lt;0")+COUNTA($H171:$K171)-COUNT($H171:$K171))&gt;0,"Avance fuera de rango 0-100%"&amp;" · ","")&amp;IF(OR(AND($I171&lt;&gt;"",$I171&lt;$H171),AND($J171&lt;&gt;"",$J171&lt;MAX($H171:$I171)),AND($K171&lt;&gt;"",$K171&lt;MAX($H171:$J171))),"Avance semanal decreciente"&amp;" · ","")&amp;IF(AND(ISNUMBER($F171),$F171&lt;FechaRef,N($L171)&lt;1),"Vencida"&amp;" · ","")&amp;IF(AND(ObsObligatoria="Sí",ISNUMBER($F171),$F171&lt;FechaRef,N($L171)&lt;1,$N171=""),"Vencida sin observación"&amp;" · ",""),LEN(IF(AND($S171="Macro",$B171=""),"Macroactividad vacía"&amp;" · ","")&amp;IF(AND($B171&lt;&gt;"",$C171&lt;&gt;""),"Escriba la subactividad en otra fila, debajo de su macroactividad"&amp;" · ","")&amp;IF(AND($S171="Sub",N($R171)=0),"Subactividad sin macroactividad arriba"&amp;" · ","")&amp;IF($D171="","Sin responsable"&amp;" · ","")&amp;IF($E171="","Sin fecha de inicio"&amp;" · ","")&amp;IF($F171="","Sin fecha límite"&amp;" · ","")&amp;IF(OR(AND($E171&lt;&gt;"",NOT(ISNUMBER($E171))),AND($F171&lt;&gt;"",NOT(ISNUMBER($F171)))),"Fecha no válida"&amp;" · ","")&amp;IF(AND(ISNUMBER($E171),ISNUMBER($F171),$E171&gt;$F171),"Inicio posterior a fecha límite"&amp;" · ","")&amp;IF(AND($S171="Macro",$G171=""),"Peso vacío"&amp;" · ","")&amp;IF(AND($S171="Macro",$G171&lt;&gt;"",OR(NOT(ISNUMBER($G171)),$G171&lt;=0,$G171&gt;1)),"Peso fuera de rango"&amp;" · ","")&amp;IF(AND($S171="Sub",$G171&lt;&gt;""),"Las subactividades no llevan peso"&amp;" · ","")&amp;IF(AND($S171="Macro",ABS(SUMIFS($G$5:$G$1000,$P$5:$P$1000,$P171,$S$5:$S$1000,"Macro")-1)&gt;0.0001),"Pesos del mes suman "&amp;TEXT(SUMIFS($G$5:$G$1000,$P$5:$P$1000,$P171,$S$5:$S$1000,"Macro"),"0%")&amp;" · ","")&amp;IF(AND(N($T171)&gt;0,COUNT($H171:$K171)&gt;0),"Con subactividades: deje vacías las semanas (se calculan solas)"&amp;" · ","")&amp;IF((COUNTIF($H171:$K171,"&gt;1")+COUNTIF($H171:$K171,"&lt;0")+COUNTA($H171:$K171)-COUNT($H171:$K171))&gt;0,"Avance fuera de rango 0-100%"&amp;" · ","")&amp;IF(OR(AND($I171&lt;&gt;"",$I171&lt;$H171),AND($J171&lt;&gt;"",$J171&lt;MAX($H171:$I171)),AND($K171&lt;&gt;"",$K171&lt;MAX($H171:$J171))),"Avance semanal decreciente"&amp;" · ","")&amp;IF(AND(ISNUMBER($F171),$F171&lt;FechaRef,N($L171)&lt;1),"Vencida"&amp;" · ","")&amp;IF(AND(ObsObligatoria="Sí",ISNUMBER($F171),$F171&lt;FechaRef,N($L171)&lt;1,$N171=""),"Vencida sin observación"&amp;" · ",""))-3)))</f>
        <v/>
      </c>
      <c r="P171" s="69">
        <f>IF(NOT((COUNTA($B171:$K171)+COUNTA($N171))&gt;0),"",IF(AND($S171="Sub",N($R171)&gt;0),IF(ISNUMBER(INDEX($E$5:$E$1000,$R171-4)),DATE(YEAR(INDEX($E$5:$E$1000,$R171-4)),MONTH(INDEX($E$5:$E$1000,$R171-4)),1),IF(ISNUMBER(INDEX($F$5:$F$1000,$R171-4)),DATE(YEAR(INDEX($F$5:$F$1000,$R171-4)),MONTH(INDEX($F$5:$F$1000,$R171-4)),1),MesCiclo)),IF(ISNUMBER($E171),DATE(YEAR($E171),MONTH($E171),1),IF(ISNUMBER($F171),DATE(YEAR($F171),MONTH($F171),1),MesCiclo))))</f>
        <v/>
      </c>
      <c r="Q171" s="70">
        <f>IF(OR($P171="",$P171&lt;&gt;MesCiclo),"",COUNTIF($P$5:$P171,MesCiclo))</f>
        <v/>
      </c>
      <c r="R171" s="70">
        <f>IF($S171="","",IF($S171="Macro",ROW(),IFERROR(LOOKUP(2,1/($S$5:$S171="Macro"),ROW($S$5:$S171)),0)))</f>
        <v/>
      </c>
      <c r="S171" s="70">
        <f>IF(NOT((COUNTA($B171:$K171)+COUNTA($N171))&gt;0),"",IF($B171&lt;&gt;"","Macro",IF($C171&lt;&gt;"","Sub","Macro")))</f>
        <v/>
      </c>
      <c r="T171" s="70">
        <f>IF($S171="Macro",COUNTIFS($R$5:$R$1000,ROW(),$S$5:$S$1000,"Sub"),"")</f>
        <v/>
      </c>
      <c r="U171" s="70">
        <f>IF($S171="","",IF(ISNUMBER($H171),$H171,0))</f>
        <v/>
      </c>
      <c r="V171" s="70">
        <f>IF($S171="","",IF(ISNUMBER($I171),$I171,$U171))</f>
        <v/>
      </c>
      <c r="W171" s="70">
        <f>IF($S171="","",IF(ISNUMBER($J171),$J171,$V171))</f>
        <v/>
      </c>
      <c r="X171" s="70">
        <f>IF($S171="","",IF(ISNUMBER($K171),$K171,$W171))</f>
        <v/>
      </c>
      <c r="Y171" s="70">
        <f>IF($S171="","",IF(N($T171)&gt;0,AVERAGEIFS($U$5:$U$1000,$R$5:$R$1000,ROW(),$S$5:$S$1000,"Sub"),$U171))</f>
        <v/>
      </c>
      <c r="Z171" s="70">
        <f>IF($S171="","",IF(N($T171)&gt;0,AVERAGEIFS($V$5:$V$1000,$R$5:$R$1000,ROW(),$S$5:$S$1000,"Sub"),$V171))</f>
        <v/>
      </c>
      <c r="AA171" s="70">
        <f>IF($S171="","",IF(N($T171)&gt;0,AVERAGEIFS($W$5:$W$1000,$R$5:$R$1000,ROW(),$S$5:$S$1000,"Sub"),$W171))</f>
        <v/>
      </c>
      <c r="AB171" s="70">
        <f>IF($S171="","",IF(N($T171)&gt;0,AVERAGEIFS($X$5:$X$1000,$R$5:$R$1000,ROW(),$S$5:$S$1000,"Sub"),$X171))</f>
        <v/>
      </c>
    </row>
    <row r="172">
      <c r="A172" s="61">
        <f>IF(NOT((COUNTA($B172:$K172)+COUNTA($N172))&gt;0),"",IF($S172="Macro",COUNTIFS($S$5:$S172,"Macro",$P$5:$P172,$P172),IF(N($R172)=0,"?",COUNTIFS(INDEX($S$5:$S$1000,1):INDEX($S$5:$S$1000,$R172-4),"Macro",INDEX($P$5:$P$1000,1):INDEX($P$5:$P$1000,$R172-4),INDEX($P$5:$P$1000,$R172-4))&amp;"."&amp;COUNTIFS($R$5:$R172,$R172,$S$5:$S172,"Sub"))))</f>
        <v/>
      </c>
      <c r="B172" s="62" t="n"/>
      <c r="C172" s="63" t="n"/>
      <c r="D172" s="62" t="n"/>
      <c r="E172" s="64" t="n"/>
      <c r="F172" s="64" t="n"/>
      <c r="G172" s="65" t="n"/>
      <c r="H172" s="66" t="n"/>
      <c r="I172" s="66" t="n"/>
      <c r="J172" s="66" t="n"/>
      <c r="K172" s="66" t="n"/>
      <c r="L172" s="67">
        <f>IF(NOT((COUNTA($B172:$K172)+COUNTA($N172))&gt;0),"",IF(N($T172)&gt;0,$AB172,IFERROR(LOOKUP(2,1/(H172:K172&lt;&gt;""),H172:K172),0)))</f>
        <v/>
      </c>
      <c r="M172" s="61">
        <f>IF(L172="","",IF(L172&gt;=1,"Completado",IF(L172&gt;0,"En curso","Pendiente")))</f>
        <v/>
      </c>
      <c r="N172" s="62" t="n"/>
      <c r="O172" s="68">
        <f>IF(NOT((COUNTA($B172:$K172)+COUNTA($N172))&gt;0),"",IF((IF(AND($S172="Macro",$B172=""),"Macroactividad vacía"&amp;" · ","")&amp;IF(AND($B172&lt;&gt;"",$C172&lt;&gt;""),"Escriba la subactividad en otra fila, debajo de su macroactividad"&amp;" · ","")&amp;IF(AND($S172="Sub",N($R172)=0),"Subactividad sin macroactividad arriba"&amp;" · ","")&amp;IF($D172="","Sin responsable"&amp;" · ","")&amp;IF($E172="","Sin fecha de inicio"&amp;" · ","")&amp;IF($F172="","Sin fecha límite"&amp;" · ","")&amp;IF(OR(AND($E172&lt;&gt;"",NOT(ISNUMBER($E172))),AND($F172&lt;&gt;"",NOT(ISNUMBER($F172)))),"Fecha no válida"&amp;" · ","")&amp;IF(AND(ISNUMBER($E172),ISNUMBER($F172),$E172&gt;$F172),"Inicio posterior a fecha límite"&amp;" · ","")&amp;IF(AND($S172="Macro",$G172=""),"Peso vacío"&amp;" · ","")&amp;IF(AND($S172="Macro",$G172&lt;&gt;"",OR(NOT(ISNUMBER($G172)),$G172&lt;=0,$G172&gt;1)),"Peso fuera de rango"&amp;" · ","")&amp;IF(AND($S172="Sub",$G172&lt;&gt;""),"Las subactividades no llevan peso"&amp;" · ","")&amp;IF(AND($S172="Macro",ABS(SUMIFS($G$5:$G$1000,$P$5:$P$1000,$P172,$S$5:$S$1000,"Macro")-1)&gt;0.0001),"Pesos del mes suman "&amp;TEXT(SUMIFS($G$5:$G$1000,$P$5:$P$1000,$P172,$S$5:$S$1000,"Macro"),"0%")&amp;" · ","")&amp;IF(AND(N($T172)&gt;0,COUNT($H172:$K172)&gt;0),"Con subactividades: deje vacías las semanas (se calculan solas)"&amp;" · ","")&amp;IF((COUNTIF($H172:$K172,"&gt;1")+COUNTIF($H172:$K172,"&lt;0")+COUNTA($H172:$K172)-COUNT($H172:$K172))&gt;0,"Avance fuera de rango 0-100%"&amp;" · ","")&amp;IF(OR(AND($I172&lt;&gt;"",$I172&lt;$H172),AND($J172&lt;&gt;"",$J172&lt;MAX($H172:$I172)),AND($K172&lt;&gt;"",$K172&lt;MAX($H172:$J172))),"Avance semanal decreciente"&amp;" · ","")&amp;IF(AND(ISNUMBER($F172),$F172&lt;FechaRef,N($L172)&lt;1),"Vencida"&amp;" · ","")&amp;IF(AND(ObsObligatoria="Sí",ISNUMBER($F172),$F172&lt;FechaRef,N($L172)&lt;1,$N172=""),"Vencida sin observación"&amp;" · ",""))="","✔ OK","⚠ "&amp;LEFT(IF(AND($S172="Macro",$B172=""),"Macroactividad vacía"&amp;" · ","")&amp;IF(AND($B172&lt;&gt;"",$C172&lt;&gt;""),"Escriba la subactividad en otra fila, debajo de su macroactividad"&amp;" · ","")&amp;IF(AND($S172="Sub",N($R172)=0),"Subactividad sin macroactividad arriba"&amp;" · ","")&amp;IF($D172="","Sin responsable"&amp;" · ","")&amp;IF($E172="","Sin fecha de inicio"&amp;" · ","")&amp;IF($F172="","Sin fecha límite"&amp;" · ","")&amp;IF(OR(AND($E172&lt;&gt;"",NOT(ISNUMBER($E172))),AND($F172&lt;&gt;"",NOT(ISNUMBER($F172)))),"Fecha no válida"&amp;" · ","")&amp;IF(AND(ISNUMBER($E172),ISNUMBER($F172),$E172&gt;$F172),"Inicio posterior a fecha límite"&amp;" · ","")&amp;IF(AND($S172="Macro",$G172=""),"Peso vacío"&amp;" · ","")&amp;IF(AND($S172="Macro",$G172&lt;&gt;"",OR(NOT(ISNUMBER($G172)),$G172&lt;=0,$G172&gt;1)),"Peso fuera de rango"&amp;" · ","")&amp;IF(AND($S172="Sub",$G172&lt;&gt;""),"Las subactividades no llevan peso"&amp;" · ","")&amp;IF(AND($S172="Macro",ABS(SUMIFS($G$5:$G$1000,$P$5:$P$1000,$P172,$S$5:$S$1000,"Macro")-1)&gt;0.0001),"Pesos del mes suman "&amp;TEXT(SUMIFS($G$5:$G$1000,$P$5:$P$1000,$P172,$S$5:$S$1000,"Macro"),"0%")&amp;" · ","")&amp;IF(AND(N($T172)&gt;0,COUNT($H172:$K172)&gt;0),"Con subactividades: deje vacías las semanas (se calculan solas)"&amp;" · ","")&amp;IF((COUNTIF($H172:$K172,"&gt;1")+COUNTIF($H172:$K172,"&lt;0")+COUNTA($H172:$K172)-COUNT($H172:$K172))&gt;0,"Avance fuera de rango 0-100%"&amp;" · ","")&amp;IF(OR(AND($I172&lt;&gt;"",$I172&lt;$H172),AND($J172&lt;&gt;"",$J172&lt;MAX($H172:$I172)),AND($K172&lt;&gt;"",$K172&lt;MAX($H172:$J172))),"Avance semanal decreciente"&amp;" · ","")&amp;IF(AND(ISNUMBER($F172),$F172&lt;FechaRef,N($L172)&lt;1),"Vencida"&amp;" · ","")&amp;IF(AND(ObsObligatoria="Sí",ISNUMBER($F172),$F172&lt;FechaRef,N($L172)&lt;1,$N172=""),"Vencida sin observación"&amp;" · ",""),LEN(IF(AND($S172="Macro",$B172=""),"Macroactividad vacía"&amp;" · ","")&amp;IF(AND($B172&lt;&gt;"",$C172&lt;&gt;""),"Escriba la subactividad en otra fila, debajo de su macroactividad"&amp;" · ","")&amp;IF(AND($S172="Sub",N($R172)=0),"Subactividad sin macroactividad arriba"&amp;" · ","")&amp;IF($D172="","Sin responsable"&amp;" · ","")&amp;IF($E172="","Sin fecha de inicio"&amp;" · ","")&amp;IF($F172="","Sin fecha límite"&amp;" · ","")&amp;IF(OR(AND($E172&lt;&gt;"",NOT(ISNUMBER($E172))),AND($F172&lt;&gt;"",NOT(ISNUMBER($F172)))),"Fecha no válida"&amp;" · ","")&amp;IF(AND(ISNUMBER($E172),ISNUMBER($F172),$E172&gt;$F172),"Inicio posterior a fecha límite"&amp;" · ","")&amp;IF(AND($S172="Macro",$G172=""),"Peso vacío"&amp;" · ","")&amp;IF(AND($S172="Macro",$G172&lt;&gt;"",OR(NOT(ISNUMBER($G172)),$G172&lt;=0,$G172&gt;1)),"Peso fuera de rango"&amp;" · ","")&amp;IF(AND($S172="Sub",$G172&lt;&gt;""),"Las subactividades no llevan peso"&amp;" · ","")&amp;IF(AND($S172="Macro",ABS(SUMIFS($G$5:$G$1000,$P$5:$P$1000,$P172,$S$5:$S$1000,"Macro")-1)&gt;0.0001),"Pesos del mes suman "&amp;TEXT(SUMIFS($G$5:$G$1000,$P$5:$P$1000,$P172,$S$5:$S$1000,"Macro"),"0%")&amp;" · ","")&amp;IF(AND(N($T172)&gt;0,COUNT($H172:$K172)&gt;0),"Con subactividades: deje vacías las semanas (se calculan solas)"&amp;" · ","")&amp;IF((COUNTIF($H172:$K172,"&gt;1")+COUNTIF($H172:$K172,"&lt;0")+COUNTA($H172:$K172)-COUNT($H172:$K172))&gt;0,"Avance fuera de rango 0-100%"&amp;" · ","")&amp;IF(OR(AND($I172&lt;&gt;"",$I172&lt;$H172),AND($J172&lt;&gt;"",$J172&lt;MAX($H172:$I172)),AND($K172&lt;&gt;"",$K172&lt;MAX($H172:$J172))),"Avance semanal decreciente"&amp;" · ","")&amp;IF(AND(ISNUMBER($F172),$F172&lt;FechaRef,N($L172)&lt;1),"Vencida"&amp;" · ","")&amp;IF(AND(ObsObligatoria="Sí",ISNUMBER($F172),$F172&lt;FechaRef,N($L172)&lt;1,$N172=""),"Vencida sin observación"&amp;" · ",""))-3)))</f>
        <v/>
      </c>
      <c r="P172" s="69">
        <f>IF(NOT((COUNTA($B172:$K172)+COUNTA($N172))&gt;0),"",IF(AND($S172="Sub",N($R172)&gt;0),IF(ISNUMBER(INDEX($E$5:$E$1000,$R172-4)),DATE(YEAR(INDEX($E$5:$E$1000,$R172-4)),MONTH(INDEX($E$5:$E$1000,$R172-4)),1),IF(ISNUMBER(INDEX($F$5:$F$1000,$R172-4)),DATE(YEAR(INDEX($F$5:$F$1000,$R172-4)),MONTH(INDEX($F$5:$F$1000,$R172-4)),1),MesCiclo)),IF(ISNUMBER($E172),DATE(YEAR($E172),MONTH($E172),1),IF(ISNUMBER($F172),DATE(YEAR($F172),MONTH($F172),1),MesCiclo))))</f>
        <v/>
      </c>
      <c r="Q172" s="70">
        <f>IF(OR($P172="",$P172&lt;&gt;MesCiclo),"",COUNTIF($P$5:$P172,MesCiclo))</f>
        <v/>
      </c>
      <c r="R172" s="70">
        <f>IF($S172="","",IF($S172="Macro",ROW(),IFERROR(LOOKUP(2,1/($S$5:$S172="Macro"),ROW($S$5:$S172)),0)))</f>
        <v/>
      </c>
      <c r="S172" s="70">
        <f>IF(NOT((COUNTA($B172:$K172)+COUNTA($N172))&gt;0),"",IF($B172&lt;&gt;"","Macro",IF($C172&lt;&gt;"","Sub","Macro")))</f>
        <v/>
      </c>
      <c r="T172" s="70">
        <f>IF($S172="Macro",COUNTIFS($R$5:$R$1000,ROW(),$S$5:$S$1000,"Sub"),"")</f>
        <v/>
      </c>
      <c r="U172" s="70">
        <f>IF($S172="","",IF(ISNUMBER($H172),$H172,0))</f>
        <v/>
      </c>
      <c r="V172" s="70">
        <f>IF($S172="","",IF(ISNUMBER($I172),$I172,$U172))</f>
        <v/>
      </c>
      <c r="W172" s="70">
        <f>IF($S172="","",IF(ISNUMBER($J172),$J172,$V172))</f>
        <v/>
      </c>
      <c r="X172" s="70">
        <f>IF($S172="","",IF(ISNUMBER($K172),$K172,$W172))</f>
        <v/>
      </c>
      <c r="Y172" s="70">
        <f>IF($S172="","",IF(N($T172)&gt;0,AVERAGEIFS($U$5:$U$1000,$R$5:$R$1000,ROW(),$S$5:$S$1000,"Sub"),$U172))</f>
        <v/>
      </c>
      <c r="Z172" s="70">
        <f>IF($S172="","",IF(N($T172)&gt;0,AVERAGEIFS($V$5:$V$1000,$R$5:$R$1000,ROW(),$S$5:$S$1000,"Sub"),$V172))</f>
        <v/>
      </c>
      <c r="AA172" s="70">
        <f>IF($S172="","",IF(N($T172)&gt;0,AVERAGEIFS($W$5:$W$1000,$R$5:$R$1000,ROW(),$S$5:$S$1000,"Sub"),$W172))</f>
        <v/>
      </c>
      <c r="AB172" s="70">
        <f>IF($S172="","",IF(N($T172)&gt;0,AVERAGEIFS($X$5:$X$1000,$R$5:$R$1000,ROW(),$S$5:$S$1000,"Sub"),$X172))</f>
        <v/>
      </c>
    </row>
    <row r="173">
      <c r="A173" s="61">
        <f>IF(NOT((COUNTA($B173:$K173)+COUNTA($N173))&gt;0),"",IF($S173="Macro",COUNTIFS($S$5:$S173,"Macro",$P$5:$P173,$P173),IF(N($R173)=0,"?",COUNTIFS(INDEX($S$5:$S$1000,1):INDEX($S$5:$S$1000,$R173-4),"Macro",INDEX($P$5:$P$1000,1):INDEX($P$5:$P$1000,$R173-4),INDEX($P$5:$P$1000,$R173-4))&amp;"."&amp;COUNTIFS($R$5:$R173,$R173,$S$5:$S173,"Sub"))))</f>
        <v/>
      </c>
      <c r="B173" s="62" t="n"/>
      <c r="C173" s="63" t="n"/>
      <c r="D173" s="62" t="n"/>
      <c r="E173" s="64" t="n"/>
      <c r="F173" s="64" t="n"/>
      <c r="G173" s="65" t="n"/>
      <c r="H173" s="66" t="n"/>
      <c r="I173" s="66" t="n"/>
      <c r="J173" s="66" t="n"/>
      <c r="K173" s="66" t="n"/>
      <c r="L173" s="67">
        <f>IF(NOT((COUNTA($B173:$K173)+COUNTA($N173))&gt;0),"",IF(N($T173)&gt;0,$AB173,IFERROR(LOOKUP(2,1/(H173:K173&lt;&gt;""),H173:K173),0)))</f>
        <v/>
      </c>
      <c r="M173" s="61">
        <f>IF(L173="","",IF(L173&gt;=1,"Completado",IF(L173&gt;0,"En curso","Pendiente")))</f>
        <v/>
      </c>
      <c r="N173" s="62" t="n"/>
      <c r="O173" s="68">
        <f>IF(NOT((COUNTA($B173:$K173)+COUNTA($N173))&gt;0),"",IF((IF(AND($S173="Macro",$B173=""),"Macroactividad vacía"&amp;" · ","")&amp;IF(AND($B173&lt;&gt;"",$C173&lt;&gt;""),"Escriba la subactividad en otra fila, debajo de su macroactividad"&amp;" · ","")&amp;IF(AND($S173="Sub",N($R173)=0),"Subactividad sin macroactividad arriba"&amp;" · ","")&amp;IF($D173="","Sin responsable"&amp;" · ","")&amp;IF($E173="","Sin fecha de inicio"&amp;" · ","")&amp;IF($F173="","Sin fecha límite"&amp;" · ","")&amp;IF(OR(AND($E173&lt;&gt;"",NOT(ISNUMBER($E173))),AND($F173&lt;&gt;"",NOT(ISNUMBER($F173)))),"Fecha no válida"&amp;" · ","")&amp;IF(AND(ISNUMBER($E173),ISNUMBER($F173),$E173&gt;$F173),"Inicio posterior a fecha límite"&amp;" · ","")&amp;IF(AND($S173="Macro",$G173=""),"Peso vacío"&amp;" · ","")&amp;IF(AND($S173="Macro",$G173&lt;&gt;"",OR(NOT(ISNUMBER($G173)),$G173&lt;=0,$G173&gt;1)),"Peso fuera de rango"&amp;" · ","")&amp;IF(AND($S173="Sub",$G173&lt;&gt;""),"Las subactividades no llevan peso"&amp;" · ","")&amp;IF(AND($S173="Macro",ABS(SUMIFS($G$5:$G$1000,$P$5:$P$1000,$P173,$S$5:$S$1000,"Macro")-1)&gt;0.0001),"Pesos del mes suman "&amp;TEXT(SUMIFS($G$5:$G$1000,$P$5:$P$1000,$P173,$S$5:$S$1000,"Macro"),"0%")&amp;" · ","")&amp;IF(AND(N($T173)&gt;0,COUNT($H173:$K173)&gt;0),"Con subactividades: deje vacías las semanas (se calculan solas)"&amp;" · ","")&amp;IF((COUNTIF($H173:$K173,"&gt;1")+COUNTIF($H173:$K173,"&lt;0")+COUNTA($H173:$K173)-COUNT($H173:$K173))&gt;0,"Avance fuera de rango 0-100%"&amp;" · ","")&amp;IF(OR(AND($I173&lt;&gt;"",$I173&lt;$H173),AND($J173&lt;&gt;"",$J173&lt;MAX($H173:$I173)),AND($K173&lt;&gt;"",$K173&lt;MAX($H173:$J173))),"Avance semanal decreciente"&amp;" · ","")&amp;IF(AND(ISNUMBER($F173),$F173&lt;FechaRef,N($L173)&lt;1),"Vencida"&amp;" · ","")&amp;IF(AND(ObsObligatoria="Sí",ISNUMBER($F173),$F173&lt;FechaRef,N($L173)&lt;1,$N173=""),"Vencida sin observación"&amp;" · ",""))="","✔ OK","⚠ "&amp;LEFT(IF(AND($S173="Macro",$B173=""),"Macroactividad vacía"&amp;" · ","")&amp;IF(AND($B173&lt;&gt;"",$C173&lt;&gt;""),"Escriba la subactividad en otra fila, debajo de su macroactividad"&amp;" · ","")&amp;IF(AND($S173="Sub",N($R173)=0),"Subactividad sin macroactividad arriba"&amp;" · ","")&amp;IF($D173="","Sin responsable"&amp;" · ","")&amp;IF($E173="","Sin fecha de inicio"&amp;" · ","")&amp;IF($F173="","Sin fecha límite"&amp;" · ","")&amp;IF(OR(AND($E173&lt;&gt;"",NOT(ISNUMBER($E173))),AND($F173&lt;&gt;"",NOT(ISNUMBER($F173)))),"Fecha no válida"&amp;" · ","")&amp;IF(AND(ISNUMBER($E173),ISNUMBER($F173),$E173&gt;$F173),"Inicio posterior a fecha límite"&amp;" · ","")&amp;IF(AND($S173="Macro",$G173=""),"Peso vacío"&amp;" · ","")&amp;IF(AND($S173="Macro",$G173&lt;&gt;"",OR(NOT(ISNUMBER($G173)),$G173&lt;=0,$G173&gt;1)),"Peso fuera de rango"&amp;" · ","")&amp;IF(AND($S173="Sub",$G173&lt;&gt;""),"Las subactividades no llevan peso"&amp;" · ","")&amp;IF(AND($S173="Macro",ABS(SUMIFS($G$5:$G$1000,$P$5:$P$1000,$P173,$S$5:$S$1000,"Macro")-1)&gt;0.0001),"Pesos del mes suman "&amp;TEXT(SUMIFS($G$5:$G$1000,$P$5:$P$1000,$P173,$S$5:$S$1000,"Macro"),"0%")&amp;" · ","")&amp;IF(AND(N($T173)&gt;0,COUNT($H173:$K173)&gt;0),"Con subactividades: deje vacías las semanas (se calculan solas)"&amp;" · ","")&amp;IF((COUNTIF($H173:$K173,"&gt;1")+COUNTIF($H173:$K173,"&lt;0")+COUNTA($H173:$K173)-COUNT($H173:$K173))&gt;0,"Avance fuera de rango 0-100%"&amp;" · ","")&amp;IF(OR(AND($I173&lt;&gt;"",$I173&lt;$H173),AND($J173&lt;&gt;"",$J173&lt;MAX($H173:$I173)),AND($K173&lt;&gt;"",$K173&lt;MAX($H173:$J173))),"Avance semanal decreciente"&amp;" · ","")&amp;IF(AND(ISNUMBER($F173),$F173&lt;FechaRef,N($L173)&lt;1),"Vencida"&amp;" · ","")&amp;IF(AND(ObsObligatoria="Sí",ISNUMBER($F173),$F173&lt;FechaRef,N($L173)&lt;1,$N173=""),"Vencida sin observación"&amp;" · ",""),LEN(IF(AND($S173="Macro",$B173=""),"Macroactividad vacía"&amp;" · ","")&amp;IF(AND($B173&lt;&gt;"",$C173&lt;&gt;""),"Escriba la subactividad en otra fila, debajo de su macroactividad"&amp;" · ","")&amp;IF(AND($S173="Sub",N($R173)=0),"Subactividad sin macroactividad arriba"&amp;" · ","")&amp;IF($D173="","Sin responsable"&amp;" · ","")&amp;IF($E173="","Sin fecha de inicio"&amp;" · ","")&amp;IF($F173="","Sin fecha límite"&amp;" · ","")&amp;IF(OR(AND($E173&lt;&gt;"",NOT(ISNUMBER($E173))),AND($F173&lt;&gt;"",NOT(ISNUMBER($F173)))),"Fecha no válida"&amp;" · ","")&amp;IF(AND(ISNUMBER($E173),ISNUMBER($F173),$E173&gt;$F173),"Inicio posterior a fecha límite"&amp;" · ","")&amp;IF(AND($S173="Macro",$G173=""),"Peso vacío"&amp;" · ","")&amp;IF(AND($S173="Macro",$G173&lt;&gt;"",OR(NOT(ISNUMBER($G173)),$G173&lt;=0,$G173&gt;1)),"Peso fuera de rango"&amp;" · ","")&amp;IF(AND($S173="Sub",$G173&lt;&gt;""),"Las subactividades no llevan peso"&amp;" · ","")&amp;IF(AND($S173="Macro",ABS(SUMIFS($G$5:$G$1000,$P$5:$P$1000,$P173,$S$5:$S$1000,"Macro")-1)&gt;0.0001),"Pesos del mes suman "&amp;TEXT(SUMIFS($G$5:$G$1000,$P$5:$P$1000,$P173,$S$5:$S$1000,"Macro"),"0%")&amp;" · ","")&amp;IF(AND(N($T173)&gt;0,COUNT($H173:$K173)&gt;0),"Con subactividades: deje vacías las semanas (se calculan solas)"&amp;" · ","")&amp;IF((COUNTIF($H173:$K173,"&gt;1")+COUNTIF($H173:$K173,"&lt;0")+COUNTA($H173:$K173)-COUNT($H173:$K173))&gt;0,"Avance fuera de rango 0-100%"&amp;" · ","")&amp;IF(OR(AND($I173&lt;&gt;"",$I173&lt;$H173),AND($J173&lt;&gt;"",$J173&lt;MAX($H173:$I173)),AND($K173&lt;&gt;"",$K173&lt;MAX($H173:$J173))),"Avance semanal decreciente"&amp;" · ","")&amp;IF(AND(ISNUMBER($F173),$F173&lt;FechaRef,N($L173)&lt;1),"Vencida"&amp;" · ","")&amp;IF(AND(ObsObligatoria="Sí",ISNUMBER($F173),$F173&lt;FechaRef,N($L173)&lt;1,$N173=""),"Vencida sin observación"&amp;" · ",""))-3)))</f>
        <v/>
      </c>
      <c r="P173" s="69">
        <f>IF(NOT((COUNTA($B173:$K173)+COUNTA($N173))&gt;0),"",IF(AND($S173="Sub",N($R173)&gt;0),IF(ISNUMBER(INDEX($E$5:$E$1000,$R173-4)),DATE(YEAR(INDEX($E$5:$E$1000,$R173-4)),MONTH(INDEX($E$5:$E$1000,$R173-4)),1),IF(ISNUMBER(INDEX($F$5:$F$1000,$R173-4)),DATE(YEAR(INDEX($F$5:$F$1000,$R173-4)),MONTH(INDEX($F$5:$F$1000,$R173-4)),1),MesCiclo)),IF(ISNUMBER($E173),DATE(YEAR($E173),MONTH($E173),1),IF(ISNUMBER($F173),DATE(YEAR($F173),MONTH($F173),1),MesCiclo))))</f>
        <v/>
      </c>
      <c r="Q173" s="70">
        <f>IF(OR($P173="",$P173&lt;&gt;MesCiclo),"",COUNTIF($P$5:$P173,MesCiclo))</f>
        <v/>
      </c>
      <c r="R173" s="70">
        <f>IF($S173="","",IF($S173="Macro",ROW(),IFERROR(LOOKUP(2,1/($S$5:$S173="Macro"),ROW($S$5:$S173)),0)))</f>
        <v/>
      </c>
      <c r="S173" s="70">
        <f>IF(NOT((COUNTA($B173:$K173)+COUNTA($N173))&gt;0),"",IF($B173&lt;&gt;"","Macro",IF($C173&lt;&gt;"","Sub","Macro")))</f>
        <v/>
      </c>
      <c r="T173" s="70">
        <f>IF($S173="Macro",COUNTIFS($R$5:$R$1000,ROW(),$S$5:$S$1000,"Sub"),"")</f>
        <v/>
      </c>
      <c r="U173" s="70">
        <f>IF($S173="","",IF(ISNUMBER($H173),$H173,0))</f>
        <v/>
      </c>
      <c r="V173" s="70">
        <f>IF($S173="","",IF(ISNUMBER($I173),$I173,$U173))</f>
        <v/>
      </c>
      <c r="W173" s="70">
        <f>IF($S173="","",IF(ISNUMBER($J173),$J173,$V173))</f>
        <v/>
      </c>
      <c r="X173" s="70">
        <f>IF($S173="","",IF(ISNUMBER($K173),$K173,$W173))</f>
        <v/>
      </c>
      <c r="Y173" s="70">
        <f>IF($S173="","",IF(N($T173)&gt;0,AVERAGEIFS($U$5:$U$1000,$R$5:$R$1000,ROW(),$S$5:$S$1000,"Sub"),$U173))</f>
        <v/>
      </c>
      <c r="Z173" s="70">
        <f>IF($S173="","",IF(N($T173)&gt;0,AVERAGEIFS($V$5:$V$1000,$R$5:$R$1000,ROW(),$S$5:$S$1000,"Sub"),$V173))</f>
        <v/>
      </c>
      <c r="AA173" s="70">
        <f>IF($S173="","",IF(N($T173)&gt;0,AVERAGEIFS($W$5:$W$1000,$R$5:$R$1000,ROW(),$S$5:$S$1000,"Sub"),$W173))</f>
        <v/>
      </c>
      <c r="AB173" s="70">
        <f>IF($S173="","",IF(N($T173)&gt;0,AVERAGEIFS($X$5:$X$1000,$R$5:$R$1000,ROW(),$S$5:$S$1000,"Sub"),$X173))</f>
        <v/>
      </c>
    </row>
    <row r="174">
      <c r="A174" s="61">
        <f>IF(NOT((COUNTA($B174:$K174)+COUNTA($N174))&gt;0),"",IF($S174="Macro",COUNTIFS($S$5:$S174,"Macro",$P$5:$P174,$P174),IF(N($R174)=0,"?",COUNTIFS(INDEX($S$5:$S$1000,1):INDEX($S$5:$S$1000,$R174-4),"Macro",INDEX($P$5:$P$1000,1):INDEX($P$5:$P$1000,$R174-4),INDEX($P$5:$P$1000,$R174-4))&amp;"."&amp;COUNTIFS($R$5:$R174,$R174,$S$5:$S174,"Sub"))))</f>
        <v/>
      </c>
      <c r="B174" s="62" t="n"/>
      <c r="C174" s="63" t="n"/>
      <c r="D174" s="62" t="n"/>
      <c r="E174" s="64" t="n"/>
      <c r="F174" s="64" t="n"/>
      <c r="G174" s="65" t="n"/>
      <c r="H174" s="66" t="n"/>
      <c r="I174" s="66" t="n"/>
      <c r="J174" s="66" t="n"/>
      <c r="K174" s="66" t="n"/>
      <c r="L174" s="67">
        <f>IF(NOT((COUNTA($B174:$K174)+COUNTA($N174))&gt;0),"",IF(N($T174)&gt;0,$AB174,IFERROR(LOOKUP(2,1/(H174:K174&lt;&gt;""),H174:K174),0)))</f>
        <v/>
      </c>
      <c r="M174" s="61">
        <f>IF(L174="","",IF(L174&gt;=1,"Completado",IF(L174&gt;0,"En curso","Pendiente")))</f>
        <v/>
      </c>
      <c r="N174" s="62" t="n"/>
      <c r="O174" s="68">
        <f>IF(NOT((COUNTA($B174:$K174)+COUNTA($N174))&gt;0),"",IF((IF(AND($S174="Macro",$B174=""),"Macroactividad vacía"&amp;" · ","")&amp;IF(AND($B174&lt;&gt;"",$C174&lt;&gt;""),"Escriba la subactividad en otra fila, debajo de su macroactividad"&amp;" · ","")&amp;IF(AND($S174="Sub",N($R174)=0),"Subactividad sin macroactividad arriba"&amp;" · ","")&amp;IF($D174="","Sin responsable"&amp;" · ","")&amp;IF($E174="","Sin fecha de inicio"&amp;" · ","")&amp;IF($F174="","Sin fecha límite"&amp;" · ","")&amp;IF(OR(AND($E174&lt;&gt;"",NOT(ISNUMBER($E174))),AND($F174&lt;&gt;"",NOT(ISNUMBER($F174)))),"Fecha no válida"&amp;" · ","")&amp;IF(AND(ISNUMBER($E174),ISNUMBER($F174),$E174&gt;$F174),"Inicio posterior a fecha límite"&amp;" · ","")&amp;IF(AND($S174="Macro",$G174=""),"Peso vacío"&amp;" · ","")&amp;IF(AND($S174="Macro",$G174&lt;&gt;"",OR(NOT(ISNUMBER($G174)),$G174&lt;=0,$G174&gt;1)),"Peso fuera de rango"&amp;" · ","")&amp;IF(AND($S174="Sub",$G174&lt;&gt;""),"Las subactividades no llevan peso"&amp;" · ","")&amp;IF(AND($S174="Macro",ABS(SUMIFS($G$5:$G$1000,$P$5:$P$1000,$P174,$S$5:$S$1000,"Macro")-1)&gt;0.0001),"Pesos del mes suman "&amp;TEXT(SUMIFS($G$5:$G$1000,$P$5:$P$1000,$P174,$S$5:$S$1000,"Macro"),"0%")&amp;" · ","")&amp;IF(AND(N($T174)&gt;0,COUNT($H174:$K174)&gt;0),"Con subactividades: deje vacías las semanas (se calculan solas)"&amp;" · ","")&amp;IF((COUNTIF($H174:$K174,"&gt;1")+COUNTIF($H174:$K174,"&lt;0")+COUNTA($H174:$K174)-COUNT($H174:$K174))&gt;0,"Avance fuera de rango 0-100%"&amp;" · ","")&amp;IF(OR(AND($I174&lt;&gt;"",$I174&lt;$H174),AND($J174&lt;&gt;"",$J174&lt;MAX($H174:$I174)),AND($K174&lt;&gt;"",$K174&lt;MAX($H174:$J174))),"Avance semanal decreciente"&amp;" · ","")&amp;IF(AND(ISNUMBER($F174),$F174&lt;FechaRef,N($L174)&lt;1),"Vencida"&amp;" · ","")&amp;IF(AND(ObsObligatoria="Sí",ISNUMBER($F174),$F174&lt;FechaRef,N($L174)&lt;1,$N174=""),"Vencida sin observación"&amp;" · ",""))="","✔ OK","⚠ "&amp;LEFT(IF(AND($S174="Macro",$B174=""),"Macroactividad vacía"&amp;" · ","")&amp;IF(AND($B174&lt;&gt;"",$C174&lt;&gt;""),"Escriba la subactividad en otra fila, debajo de su macroactividad"&amp;" · ","")&amp;IF(AND($S174="Sub",N($R174)=0),"Subactividad sin macroactividad arriba"&amp;" · ","")&amp;IF($D174="","Sin responsable"&amp;" · ","")&amp;IF($E174="","Sin fecha de inicio"&amp;" · ","")&amp;IF($F174="","Sin fecha límite"&amp;" · ","")&amp;IF(OR(AND($E174&lt;&gt;"",NOT(ISNUMBER($E174))),AND($F174&lt;&gt;"",NOT(ISNUMBER($F174)))),"Fecha no válida"&amp;" · ","")&amp;IF(AND(ISNUMBER($E174),ISNUMBER($F174),$E174&gt;$F174),"Inicio posterior a fecha límite"&amp;" · ","")&amp;IF(AND($S174="Macro",$G174=""),"Peso vacío"&amp;" · ","")&amp;IF(AND($S174="Macro",$G174&lt;&gt;"",OR(NOT(ISNUMBER($G174)),$G174&lt;=0,$G174&gt;1)),"Peso fuera de rango"&amp;" · ","")&amp;IF(AND($S174="Sub",$G174&lt;&gt;""),"Las subactividades no llevan peso"&amp;" · ","")&amp;IF(AND($S174="Macro",ABS(SUMIFS($G$5:$G$1000,$P$5:$P$1000,$P174,$S$5:$S$1000,"Macro")-1)&gt;0.0001),"Pesos del mes suman "&amp;TEXT(SUMIFS($G$5:$G$1000,$P$5:$P$1000,$P174,$S$5:$S$1000,"Macro"),"0%")&amp;" · ","")&amp;IF(AND(N($T174)&gt;0,COUNT($H174:$K174)&gt;0),"Con subactividades: deje vacías las semanas (se calculan solas)"&amp;" · ","")&amp;IF((COUNTIF($H174:$K174,"&gt;1")+COUNTIF($H174:$K174,"&lt;0")+COUNTA($H174:$K174)-COUNT($H174:$K174))&gt;0,"Avance fuera de rango 0-100%"&amp;" · ","")&amp;IF(OR(AND($I174&lt;&gt;"",$I174&lt;$H174),AND($J174&lt;&gt;"",$J174&lt;MAX($H174:$I174)),AND($K174&lt;&gt;"",$K174&lt;MAX($H174:$J174))),"Avance semanal decreciente"&amp;" · ","")&amp;IF(AND(ISNUMBER($F174),$F174&lt;FechaRef,N($L174)&lt;1),"Vencida"&amp;" · ","")&amp;IF(AND(ObsObligatoria="Sí",ISNUMBER($F174),$F174&lt;FechaRef,N($L174)&lt;1,$N174=""),"Vencida sin observación"&amp;" · ",""),LEN(IF(AND($S174="Macro",$B174=""),"Macroactividad vacía"&amp;" · ","")&amp;IF(AND($B174&lt;&gt;"",$C174&lt;&gt;""),"Escriba la subactividad en otra fila, debajo de su macroactividad"&amp;" · ","")&amp;IF(AND($S174="Sub",N($R174)=0),"Subactividad sin macroactividad arriba"&amp;" · ","")&amp;IF($D174="","Sin responsable"&amp;" · ","")&amp;IF($E174="","Sin fecha de inicio"&amp;" · ","")&amp;IF($F174="","Sin fecha límite"&amp;" · ","")&amp;IF(OR(AND($E174&lt;&gt;"",NOT(ISNUMBER($E174))),AND($F174&lt;&gt;"",NOT(ISNUMBER($F174)))),"Fecha no válida"&amp;" · ","")&amp;IF(AND(ISNUMBER($E174),ISNUMBER($F174),$E174&gt;$F174),"Inicio posterior a fecha límite"&amp;" · ","")&amp;IF(AND($S174="Macro",$G174=""),"Peso vacío"&amp;" · ","")&amp;IF(AND($S174="Macro",$G174&lt;&gt;"",OR(NOT(ISNUMBER($G174)),$G174&lt;=0,$G174&gt;1)),"Peso fuera de rango"&amp;" · ","")&amp;IF(AND($S174="Sub",$G174&lt;&gt;""),"Las subactividades no llevan peso"&amp;" · ","")&amp;IF(AND($S174="Macro",ABS(SUMIFS($G$5:$G$1000,$P$5:$P$1000,$P174,$S$5:$S$1000,"Macro")-1)&gt;0.0001),"Pesos del mes suman "&amp;TEXT(SUMIFS($G$5:$G$1000,$P$5:$P$1000,$P174,$S$5:$S$1000,"Macro"),"0%")&amp;" · ","")&amp;IF(AND(N($T174)&gt;0,COUNT($H174:$K174)&gt;0),"Con subactividades: deje vacías las semanas (se calculan solas)"&amp;" · ","")&amp;IF((COUNTIF($H174:$K174,"&gt;1")+COUNTIF($H174:$K174,"&lt;0")+COUNTA($H174:$K174)-COUNT($H174:$K174))&gt;0,"Avance fuera de rango 0-100%"&amp;" · ","")&amp;IF(OR(AND($I174&lt;&gt;"",$I174&lt;$H174),AND($J174&lt;&gt;"",$J174&lt;MAX($H174:$I174)),AND($K174&lt;&gt;"",$K174&lt;MAX($H174:$J174))),"Avance semanal decreciente"&amp;" · ","")&amp;IF(AND(ISNUMBER($F174),$F174&lt;FechaRef,N($L174)&lt;1),"Vencida"&amp;" · ","")&amp;IF(AND(ObsObligatoria="Sí",ISNUMBER($F174),$F174&lt;FechaRef,N($L174)&lt;1,$N174=""),"Vencida sin observación"&amp;" · ",""))-3)))</f>
        <v/>
      </c>
      <c r="P174" s="69">
        <f>IF(NOT((COUNTA($B174:$K174)+COUNTA($N174))&gt;0),"",IF(AND($S174="Sub",N($R174)&gt;0),IF(ISNUMBER(INDEX($E$5:$E$1000,$R174-4)),DATE(YEAR(INDEX($E$5:$E$1000,$R174-4)),MONTH(INDEX($E$5:$E$1000,$R174-4)),1),IF(ISNUMBER(INDEX($F$5:$F$1000,$R174-4)),DATE(YEAR(INDEX($F$5:$F$1000,$R174-4)),MONTH(INDEX($F$5:$F$1000,$R174-4)),1),MesCiclo)),IF(ISNUMBER($E174),DATE(YEAR($E174),MONTH($E174),1),IF(ISNUMBER($F174),DATE(YEAR($F174),MONTH($F174),1),MesCiclo))))</f>
        <v/>
      </c>
      <c r="Q174" s="70">
        <f>IF(OR($P174="",$P174&lt;&gt;MesCiclo),"",COUNTIF($P$5:$P174,MesCiclo))</f>
        <v/>
      </c>
      <c r="R174" s="70">
        <f>IF($S174="","",IF($S174="Macro",ROW(),IFERROR(LOOKUP(2,1/($S$5:$S174="Macro"),ROW($S$5:$S174)),0)))</f>
        <v/>
      </c>
      <c r="S174" s="70">
        <f>IF(NOT((COUNTA($B174:$K174)+COUNTA($N174))&gt;0),"",IF($B174&lt;&gt;"","Macro",IF($C174&lt;&gt;"","Sub","Macro")))</f>
        <v/>
      </c>
      <c r="T174" s="70">
        <f>IF($S174="Macro",COUNTIFS($R$5:$R$1000,ROW(),$S$5:$S$1000,"Sub"),"")</f>
        <v/>
      </c>
      <c r="U174" s="70">
        <f>IF($S174="","",IF(ISNUMBER($H174),$H174,0))</f>
        <v/>
      </c>
      <c r="V174" s="70">
        <f>IF($S174="","",IF(ISNUMBER($I174),$I174,$U174))</f>
        <v/>
      </c>
      <c r="W174" s="70">
        <f>IF($S174="","",IF(ISNUMBER($J174),$J174,$V174))</f>
        <v/>
      </c>
      <c r="X174" s="70">
        <f>IF($S174="","",IF(ISNUMBER($K174),$K174,$W174))</f>
        <v/>
      </c>
      <c r="Y174" s="70">
        <f>IF($S174="","",IF(N($T174)&gt;0,AVERAGEIFS($U$5:$U$1000,$R$5:$R$1000,ROW(),$S$5:$S$1000,"Sub"),$U174))</f>
        <v/>
      </c>
      <c r="Z174" s="70">
        <f>IF($S174="","",IF(N($T174)&gt;0,AVERAGEIFS($V$5:$V$1000,$R$5:$R$1000,ROW(),$S$5:$S$1000,"Sub"),$V174))</f>
        <v/>
      </c>
      <c r="AA174" s="70">
        <f>IF($S174="","",IF(N($T174)&gt;0,AVERAGEIFS($W$5:$W$1000,$R$5:$R$1000,ROW(),$S$5:$S$1000,"Sub"),$W174))</f>
        <v/>
      </c>
      <c r="AB174" s="70">
        <f>IF($S174="","",IF(N($T174)&gt;0,AVERAGEIFS($X$5:$X$1000,$R$5:$R$1000,ROW(),$S$5:$S$1000,"Sub"),$X174))</f>
        <v/>
      </c>
    </row>
    <row r="175">
      <c r="A175" s="61">
        <f>IF(NOT((COUNTA($B175:$K175)+COUNTA($N175))&gt;0),"",IF($S175="Macro",COUNTIFS($S$5:$S175,"Macro",$P$5:$P175,$P175),IF(N($R175)=0,"?",COUNTIFS(INDEX($S$5:$S$1000,1):INDEX($S$5:$S$1000,$R175-4),"Macro",INDEX($P$5:$P$1000,1):INDEX($P$5:$P$1000,$R175-4),INDEX($P$5:$P$1000,$R175-4))&amp;"."&amp;COUNTIFS($R$5:$R175,$R175,$S$5:$S175,"Sub"))))</f>
        <v/>
      </c>
      <c r="B175" s="62" t="n"/>
      <c r="C175" s="63" t="n"/>
      <c r="D175" s="62" t="n"/>
      <c r="E175" s="64" t="n"/>
      <c r="F175" s="64" t="n"/>
      <c r="G175" s="65" t="n"/>
      <c r="H175" s="66" t="n"/>
      <c r="I175" s="66" t="n"/>
      <c r="J175" s="66" t="n"/>
      <c r="K175" s="66" t="n"/>
      <c r="L175" s="67">
        <f>IF(NOT((COUNTA($B175:$K175)+COUNTA($N175))&gt;0),"",IF(N($T175)&gt;0,$AB175,IFERROR(LOOKUP(2,1/(H175:K175&lt;&gt;""),H175:K175),0)))</f>
        <v/>
      </c>
      <c r="M175" s="61">
        <f>IF(L175="","",IF(L175&gt;=1,"Completado",IF(L175&gt;0,"En curso","Pendiente")))</f>
        <v/>
      </c>
      <c r="N175" s="62" t="n"/>
      <c r="O175" s="68">
        <f>IF(NOT((COUNTA($B175:$K175)+COUNTA($N175))&gt;0),"",IF((IF(AND($S175="Macro",$B175=""),"Macroactividad vacía"&amp;" · ","")&amp;IF(AND($B175&lt;&gt;"",$C175&lt;&gt;""),"Escriba la subactividad en otra fila, debajo de su macroactividad"&amp;" · ","")&amp;IF(AND($S175="Sub",N($R175)=0),"Subactividad sin macroactividad arriba"&amp;" · ","")&amp;IF($D175="","Sin responsable"&amp;" · ","")&amp;IF($E175="","Sin fecha de inicio"&amp;" · ","")&amp;IF($F175="","Sin fecha límite"&amp;" · ","")&amp;IF(OR(AND($E175&lt;&gt;"",NOT(ISNUMBER($E175))),AND($F175&lt;&gt;"",NOT(ISNUMBER($F175)))),"Fecha no válida"&amp;" · ","")&amp;IF(AND(ISNUMBER($E175),ISNUMBER($F175),$E175&gt;$F175),"Inicio posterior a fecha límite"&amp;" · ","")&amp;IF(AND($S175="Macro",$G175=""),"Peso vacío"&amp;" · ","")&amp;IF(AND($S175="Macro",$G175&lt;&gt;"",OR(NOT(ISNUMBER($G175)),$G175&lt;=0,$G175&gt;1)),"Peso fuera de rango"&amp;" · ","")&amp;IF(AND($S175="Sub",$G175&lt;&gt;""),"Las subactividades no llevan peso"&amp;" · ","")&amp;IF(AND($S175="Macro",ABS(SUMIFS($G$5:$G$1000,$P$5:$P$1000,$P175,$S$5:$S$1000,"Macro")-1)&gt;0.0001),"Pesos del mes suman "&amp;TEXT(SUMIFS($G$5:$G$1000,$P$5:$P$1000,$P175,$S$5:$S$1000,"Macro"),"0%")&amp;" · ","")&amp;IF(AND(N($T175)&gt;0,COUNT($H175:$K175)&gt;0),"Con subactividades: deje vacías las semanas (se calculan solas)"&amp;" · ","")&amp;IF((COUNTIF($H175:$K175,"&gt;1")+COUNTIF($H175:$K175,"&lt;0")+COUNTA($H175:$K175)-COUNT($H175:$K175))&gt;0,"Avance fuera de rango 0-100%"&amp;" · ","")&amp;IF(OR(AND($I175&lt;&gt;"",$I175&lt;$H175),AND($J175&lt;&gt;"",$J175&lt;MAX($H175:$I175)),AND($K175&lt;&gt;"",$K175&lt;MAX($H175:$J175))),"Avance semanal decreciente"&amp;" · ","")&amp;IF(AND(ISNUMBER($F175),$F175&lt;FechaRef,N($L175)&lt;1),"Vencida"&amp;" · ","")&amp;IF(AND(ObsObligatoria="Sí",ISNUMBER($F175),$F175&lt;FechaRef,N($L175)&lt;1,$N175=""),"Vencida sin observación"&amp;" · ",""))="","✔ OK","⚠ "&amp;LEFT(IF(AND($S175="Macro",$B175=""),"Macroactividad vacía"&amp;" · ","")&amp;IF(AND($B175&lt;&gt;"",$C175&lt;&gt;""),"Escriba la subactividad en otra fila, debajo de su macroactividad"&amp;" · ","")&amp;IF(AND($S175="Sub",N($R175)=0),"Subactividad sin macroactividad arriba"&amp;" · ","")&amp;IF($D175="","Sin responsable"&amp;" · ","")&amp;IF($E175="","Sin fecha de inicio"&amp;" · ","")&amp;IF($F175="","Sin fecha límite"&amp;" · ","")&amp;IF(OR(AND($E175&lt;&gt;"",NOT(ISNUMBER($E175))),AND($F175&lt;&gt;"",NOT(ISNUMBER($F175)))),"Fecha no válida"&amp;" · ","")&amp;IF(AND(ISNUMBER($E175),ISNUMBER($F175),$E175&gt;$F175),"Inicio posterior a fecha límite"&amp;" · ","")&amp;IF(AND($S175="Macro",$G175=""),"Peso vacío"&amp;" · ","")&amp;IF(AND($S175="Macro",$G175&lt;&gt;"",OR(NOT(ISNUMBER($G175)),$G175&lt;=0,$G175&gt;1)),"Peso fuera de rango"&amp;" · ","")&amp;IF(AND($S175="Sub",$G175&lt;&gt;""),"Las subactividades no llevan peso"&amp;" · ","")&amp;IF(AND($S175="Macro",ABS(SUMIFS($G$5:$G$1000,$P$5:$P$1000,$P175,$S$5:$S$1000,"Macro")-1)&gt;0.0001),"Pesos del mes suman "&amp;TEXT(SUMIFS($G$5:$G$1000,$P$5:$P$1000,$P175,$S$5:$S$1000,"Macro"),"0%")&amp;" · ","")&amp;IF(AND(N($T175)&gt;0,COUNT($H175:$K175)&gt;0),"Con subactividades: deje vacías las semanas (se calculan solas)"&amp;" · ","")&amp;IF((COUNTIF($H175:$K175,"&gt;1")+COUNTIF($H175:$K175,"&lt;0")+COUNTA($H175:$K175)-COUNT($H175:$K175))&gt;0,"Avance fuera de rango 0-100%"&amp;" · ","")&amp;IF(OR(AND($I175&lt;&gt;"",$I175&lt;$H175),AND($J175&lt;&gt;"",$J175&lt;MAX($H175:$I175)),AND($K175&lt;&gt;"",$K175&lt;MAX($H175:$J175))),"Avance semanal decreciente"&amp;" · ","")&amp;IF(AND(ISNUMBER($F175),$F175&lt;FechaRef,N($L175)&lt;1),"Vencida"&amp;" · ","")&amp;IF(AND(ObsObligatoria="Sí",ISNUMBER($F175),$F175&lt;FechaRef,N($L175)&lt;1,$N175=""),"Vencida sin observación"&amp;" · ",""),LEN(IF(AND($S175="Macro",$B175=""),"Macroactividad vacía"&amp;" · ","")&amp;IF(AND($B175&lt;&gt;"",$C175&lt;&gt;""),"Escriba la subactividad en otra fila, debajo de su macroactividad"&amp;" · ","")&amp;IF(AND($S175="Sub",N($R175)=0),"Subactividad sin macroactividad arriba"&amp;" · ","")&amp;IF($D175="","Sin responsable"&amp;" · ","")&amp;IF($E175="","Sin fecha de inicio"&amp;" · ","")&amp;IF($F175="","Sin fecha límite"&amp;" · ","")&amp;IF(OR(AND($E175&lt;&gt;"",NOT(ISNUMBER($E175))),AND($F175&lt;&gt;"",NOT(ISNUMBER($F175)))),"Fecha no válida"&amp;" · ","")&amp;IF(AND(ISNUMBER($E175),ISNUMBER($F175),$E175&gt;$F175),"Inicio posterior a fecha límite"&amp;" · ","")&amp;IF(AND($S175="Macro",$G175=""),"Peso vacío"&amp;" · ","")&amp;IF(AND($S175="Macro",$G175&lt;&gt;"",OR(NOT(ISNUMBER($G175)),$G175&lt;=0,$G175&gt;1)),"Peso fuera de rango"&amp;" · ","")&amp;IF(AND($S175="Sub",$G175&lt;&gt;""),"Las subactividades no llevan peso"&amp;" · ","")&amp;IF(AND($S175="Macro",ABS(SUMIFS($G$5:$G$1000,$P$5:$P$1000,$P175,$S$5:$S$1000,"Macro")-1)&gt;0.0001),"Pesos del mes suman "&amp;TEXT(SUMIFS($G$5:$G$1000,$P$5:$P$1000,$P175,$S$5:$S$1000,"Macro"),"0%")&amp;" · ","")&amp;IF(AND(N($T175)&gt;0,COUNT($H175:$K175)&gt;0),"Con subactividades: deje vacías las semanas (se calculan solas)"&amp;" · ","")&amp;IF((COUNTIF($H175:$K175,"&gt;1")+COUNTIF($H175:$K175,"&lt;0")+COUNTA($H175:$K175)-COUNT($H175:$K175))&gt;0,"Avance fuera de rango 0-100%"&amp;" · ","")&amp;IF(OR(AND($I175&lt;&gt;"",$I175&lt;$H175),AND($J175&lt;&gt;"",$J175&lt;MAX($H175:$I175)),AND($K175&lt;&gt;"",$K175&lt;MAX($H175:$J175))),"Avance semanal decreciente"&amp;" · ","")&amp;IF(AND(ISNUMBER($F175),$F175&lt;FechaRef,N($L175)&lt;1),"Vencida"&amp;" · ","")&amp;IF(AND(ObsObligatoria="Sí",ISNUMBER($F175),$F175&lt;FechaRef,N($L175)&lt;1,$N175=""),"Vencida sin observación"&amp;" · ",""))-3)))</f>
        <v/>
      </c>
      <c r="P175" s="69">
        <f>IF(NOT((COUNTA($B175:$K175)+COUNTA($N175))&gt;0),"",IF(AND($S175="Sub",N($R175)&gt;0),IF(ISNUMBER(INDEX($E$5:$E$1000,$R175-4)),DATE(YEAR(INDEX($E$5:$E$1000,$R175-4)),MONTH(INDEX($E$5:$E$1000,$R175-4)),1),IF(ISNUMBER(INDEX($F$5:$F$1000,$R175-4)),DATE(YEAR(INDEX($F$5:$F$1000,$R175-4)),MONTH(INDEX($F$5:$F$1000,$R175-4)),1),MesCiclo)),IF(ISNUMBER($E175),DATE(YEAR($E175),MONTH($E175),1),IF(ISNUMBER($F175),DATE(YEAR($F175),MONTH($F175),1),MesCiclo))))</f>
        <v/>
      </c>
      <c r="Q175" s="70">
        <f>IF(OR($P175="",$P175&lt;&gt;MesCiclo),"",COUNTIF($P$5:$P175,MesCiclo))</f>
        <v/>
      </c>
      <c r="R175" s="70">
        <f>IF($S175="","",IF($S175="Macro",ROW(),IFERROR(LOOKUP(2,1/($S$5:$S175="Macro"),ROW($S$5:$S175)),0)))</f>
        <v/>
      </c>
      <c r="S175" s="70">
        <f>IF(NOT((COUNTA($B175:$K175)+COUNTA($N175))&gt;0),"",IF($B175&lt;&gt;"","Macro",IF($C175&lt;&gt;"","Sub","Macro")))</f>
        <v/>
      </c>
      <c r="T175" s="70">
        <f>IF($S175="Macro",COUNTIFS($R$5:$R$1000,ROW(),$S$5:$S$1000,"Sub"),"")</f>
        <v/>
      </c>
      <c r="U175" s="70">
        <f>IF($S175="","",IF(ISNUMBER($H175),$H175,0))</f>
        <v/>
      </c>
      <c r="V175" s="70">
        <f>IF($S175="","",IF(ISNUMBER($I175),$I175,$U175))</f>
        <v/>
      </c>
      <c r="W175" s="70">
        <f>IF($S175="","",IF(ISNUMBER($J175),$J175,$V175))</f>
        <v/>
      </c>
      <c r="X175" s="70">
        <f>IF($S175="","",IF(ISNUMBER($K175),$K175,$W175))</f>
        <v/>
      </c>
      <c r="Y175" s="70">
        <f>IF($S175="","",IF(N($T175)&gt;0,AVERAGEIFS($U$5:$U$1000,$R$5:$R$1000,ROW(),$S$5:$S$1000,"Sub"),$U175))</f>
        <v/>
      </c>
      <c r="Z175" s="70">
        <f>IF($S175="","",IF(N($T175)&gt;0,AVERAGEIFS($V$5:$V$1000,$R$5:$R$1000,ROW(),$S$5:$S$1000,"Sub"),$V175))</f>
        <v/>
      </c>
      <c r="AA175" s="70">
        <f>IF($S175="","",IF(N($T175)&gt;0,AVERAGEIFS($W$5:$W$1000,$R$5:$R$1000,ROW(),$S$5:$S$1000,"Sub"),$W175))</f>
        <v/>
      </c>
      <c r="AB175" s="70">
        <f>IF($S175="","",IF(N($T175)&gt;0,AVERAGEIFS($X$5:$X$1000,$R$5:$R$1000,ROW(),$S$5:$S$1000,"Sub"),$X175))</f>
        <v/>
      </c>
    </row>
    <row r="176">
      <c r="A176" s="61">
        <f>IF(NOT((COUNTA($B176:$K176)+COUNTA($N176))&gt;0),"",IF($S176="Macro",COUNTIFS($S$5:$S176,"Macro",$P$5:$P176,$P176),IF(N($R176)=0,"?",COUNTIFS(INDEX($S$5:$S$1000,1):INDEX($S$5:$S$1000,$R176-4),"Macro",INDEX($P$5:$P$1000,1):INDEX($P$5:$P$1000,$R176-4),INDEX($P$5:$P$1000,$R176-4))&amp;"."&amp;COUNTIFS($R$5:$R176,$R176,$S$5:$S176,"Sub"))))</f>
        <v/>
      </c>
      <c r="B176" s="62" t="n"/>
      <c r="C176" s="63" t="n"/>
      <c r="D176" s="62" t="n"/>
      <c r="E176" s="64" t="n"/>
      <c r="F176" s="64" t="n"/>
      <c r="G176" s="65" t="n"/>
      <c r="H176" s="66" t="n"/>
      <c r="I176" s="66" t="n"/>
      <c r="J176" s="66" t="n"/>
      <c r="K176" s="66" t="n"/>
      <c r="L176" s="67">
        <f>IF(NOT((COUNTA($B176:$K176)+COUNTA($N176))&gt;0),"",IF(N($T176)&gt;0,$AB176,IFERROR(LOOKUP(2,1/(H176:K176&lt;&gt;""),H176:K176),0)))</f>
        <v/>
      </c>
      <c r="M176" s="61">
        <f>IF(L176="","",IF(L176&gt;=1,"Completado",IF(L176&gt;0,"En curso","Pendiente")))</f>
        <v/>
      </c>
      <c r="N176" s="62" t="n"/>
      <c r="O176" s="68">
        <f>IF(NOT((COUNTA($B176:$K176)+COUNTA($N176))&gt;0),"",IF((IF(AND($S176="Macro",$B176=""),"Macroactividad vacía"&amp;" · ","")&amp;IF(AND($B176&lt;&gt;"",$C176&lt;&gt;""),"Escriba la subactividad en otra fila, debajo de su macroactividad"&amp;" · ","")&amp;IF(AND($S176="Sub",N($R176)=0),"Subactividad sin macroactividad arriba"&amp;" · ","")&amp;IF($D176="","Sin responsable"&amp;" · ","")&amp;IF($E176="","Sin fecha de inicio"&amp;" · ","")&amp;IF($F176="","Sin fecha límite"&amp;" · ","")&amp;IF(OR(AND($E176&lt;&gt;"",NOT(ISNUMBER($E176))),AND($F176&lt;&gt;"",NOT(ISNUMBER($F176)))),"Fecha no válida"&amp;" · ","")&amp;IF(AND(ISNUMBER($E176),ISNUMBER($F176),$E176&gt;$F176),"Inicio posterior a fecha límite"&amp;" · ","")&amp;IF(AND($S176="Macro",$G176=""),"Peso vacío"&amp;" · ","")&amp;IF(AND($S176="Macro",$G176&lt;&gt;"",OR(NOT(ISNUMBER($G176)),$G176&lt;=0,$G176&gt;1)),"Peso fuera de rango"&amp;" · ","")&amp;IF(AND($S176="Sub",$G176&lt;&gt;""),"Las subactividades no llevan peso"&amp;" · ","")&amp;IF(AND($S176="Macro",ABS(SUMIFS($G$5:$G$1000,$P$5:$P$1000,$P176,$S$5:$S$1000,"Macro")-1)&gt;0.0001),"Pesos del mes suman "&amp;TEXT(SUMIFS($G$5:$G$1000,$P$5:$P$1000,$P176,$S$5:$S$1000,"Macro"),"0%")&amp;" · ","")&amp;IF(AND(N($T176)&gt;0,COUNT($H176:$K176)&gt;0),"Con subactividades: deje vacías las semanas (se calculan solas)"&amp;" · ","")&amp;IF((COUNTIF($H176:$K176,"&gt;1")+COUNTIF($H176:$K176,"&lt;0")+COUNTA($H176:$K176)-COUNT($H176:$K176))&gt;0,"Avance fuera de rango 0-100%"&amp;" · ","")&amp;IF(OR(AND($I176&lt;&gt;"",$I176&lt;$H176),AND($J176&lt;&gt;"",$J176&lt;MAX($H176:$I176)),AND($K176&lt;&gt;"",$K176&lt;MAX($H176:$J176))),"Avance semanal decreciente"&amp;" · ","")&amp;IF(AND(ISNUMBER($F176),$F176&lt;FechaRef,N($L176)&lt;1),"Vencida"&amp;" · ","")&amp;IF(AND(ObsObligatoria="Sí",ISNUMBER($F176),$F176&lt;FechaRef,N($L176)&lt;1,$N176=""),"Vencida sin observación"&amp;" · ",""))="","✔ OK","⚠ "&amp;LEFT(IF(AND($S176="Macro",$B176=""),"Macroactividad vacía"&amp;" · ","")&amp;IF(AND($B176&lt;&gt;"",$C176&lt;&gt;""),"Escriba la subactividad en otra fila, debajo de su macroactividad"&amp;" · ","")&amp;IF(AND($S176="Sub",N($R176)=0),"Subactividad sin macroactividad arriba"&amp;" · ","")&amp;IF($D176="","Sin responsable"&amp;" · ","")&amp;IF($E176="","Sin fecha de inicio"&amp;" · ","")&amp;IF($F176="","Sin fecha límite"&amp;" · ","")&amp;IF(OR(AND($E176&lt;&gt;"",NOT(ISNUMBER($E176))),AND($F176&lt;&gt;"",NOT(ISNUMBER($F176)))),"Fecha no válida"&amp;" · ","")&amp;IF(AND(ISNUMBER($E176),ISNUMBER($F176),$E176&gt;$F176),"Inicio posterior a fecha límite"&amp;" · ","")&amp;IF(AND($S176="Macro",$G176=""),"Peso vacío"&amp;" · ","")&amp;IF(AND($S176="Macro",$G176&lt;&gt;"",OR(NOT(ISNUMBER($G176)),$G176&lt;=0,$G176&gt;1)),"Peso fuera de rango"&amp;" · ","")&amp;IF(AND($S176="Sub",$G176&lt;&gt;""),"Las subactividades no llevan peso"&amp;" · ","")&amp;IF(AND($S176="Macro",ABS(SUMIFS($G$5:$G$1000,$P$5:$P$1000,$P176,$S$5:$S$1000,"Macro")-1)&gt;0.0001),"Pesos del mes suman "&amp;TEXT(SUMIFS($G$5:$G$1000,$P$5:$P$1000,$P176,$S$5:$S$1000,"Macro"),"0%")&amp;" · ","")&amp;IF(AND(N($T176)&gt;0,COUNT($H176:$K176)&gt;0),"Con subactividades: deje vacías las semanas (se calculan solas)"&amp;" · ","")&amp;IF((COUNTIF($H176:$K176,"&gt;1")+COUNTIF($H176:$K176,"&lt;0")+COUNTA($H176:$K176)-COUNT($H176:$K176))&gt;0,"Avance fuera de rango 0-100%"&amp;" · ","")&amp;IF(OR(AND($I176&lt;&gt;"",$I176&lt;$H176),AND($J176&lt;&gt;"",$J176&lt;MAX($H176:$I176)),AND($K176&lt;&gt;"",$K176&lt;MAX($H176:$J176))),"Avance semanal decreciente"&amp;" · ","")&amp;IF(AND(ISNUMBER($F176),$F176&lt;FechaRef,N($L176)&lt;1),"Vencida"&amp;" · ","")&amp;IF(AND(ObsObligatoria="Sí",ISNUMBER($F176),$F176&lt;FechaRef,N($L176)&lt;1,$N176=""),"Vencida sin observación"&amp;" · ",""),LEN(IF(AND($S176="Macro",$B176=""),"Macroactividad vacía"&amp;" · ","")&amp;IF(AND($B176&lt;&gt;"",$C176&lt;&gt;""),"Escriba la subactividad en otra fila, debajo de su macroactividad"&amp;" · ","")&amp;IF(AND($S176="Sub",N($R176)=0),"Subactividad sin macroactividad arriba"&amp;" · ","")&amp;IF($D176="","Sin responsable"&amp;" · ","")&amp;IF($E176="","Sin fecha de inicio"&amp;" · ","")&amp;IF($F176="","Sin fecha límite"&amp;" · ","")&amp;IF(OR(AND($E176&lt;&gt;"",NOT(ISNUMBER($E176))),AND($F176&lt;&gt;"",NOT(ISNUMBER($F176)))),"Fecha no válida"&amp;" · ","")&amp;IF(AND(ISNUMBER($E176),ISNUMBER($F176),$E176&gt;$F176),"Inicio posterior a fecha límite"&amp;" · ","")&amp;IF(AND($S176="Macro",$G176=""),"Peso vacío"&amp;" · ","")&amp;IF(AND($S176="Macro",$G176&lt;&gt;"",OR(NOT(ISNUMBER($G176)),$G176&lt;=0,$G176&gt;1)),"Peso fuera de rango"&amp;" · ","")&amp;IF(AND($S176="Sub",$G176&lt;&gt;""),"Las subactividades no llevan peso"&amp;" · ","")&amp;IF(AND($S176="Macro",ABS(SUMIFS($G$5:$G$1000,$P$5:$P$1000,$P176,$S$5:$S$1000,"Macro")-1)&gt;0.0001),"Pesos del mes suman "&amp;TEXT(SUMIFS($G$5:$G$1000,$P$5:$P$1000,$P176,$S$5:$S$1000,"Macro"),"0%")&amp;" · ","")&amp;IF(AND(N($T176)&gt;0,COUNT($H176:$K176)&gt;0),"Con subactividades: deje vacías las semanas (se calculan solas)"&amp;" · ","")&amp;IF((COUNTIF($H176:$K176,"&gt;1")+COUNTIF($H176:$K176,"&lt;0")+COUNTA($H176:$K176)-COUNT($H176:$K176))&gt;0,"Avance fuera de rango 0-100%"&amp;" · ","")&amp;IF(OR(AND($I176&lt;&gt;"",$I176&lt;$H176),AND($J176&lt;&gt;"",$J176&lt;MAX($H176:$I176)),AND($K176&lt;&gt;"",$K176&lt;MAX($H176:$J176))),"Avance semanal decreciente"&amp;" · ","")&amp;IF(AND(ISNUMBER($F176),$F176&lt;FechaRef,N($L176)&lt;1),"Vencida"&amp;" · ","")&amp;IF(AND(ObsObligatoria="Sí",ISNUMBER($F176),$F176&lt;FechaRef,N($L176)&lt;1,$N176=""),"Vencida sin observación"&amp;" · ",""))-3)))</f>
        <v/>
      </c>
      <c r="P176" s="69">
        <f>IF(NOT((COUNTA($B176:$K176)+COUNTA($N176))&gt;0),"",IF(AND($S176="Sub",N($R176)&gt;0),IF(ISNUMBER(INDEX($E$5:$E$1000,$R176-4)),DATE(YEAR(INDEX($E$5:$E$1000,$R176-4)),MONTH(INDEX($E$5:$E$1000,$R176-4)),1),IF(ISNUMBER(INDEX($F$5:$F$1000,$R176-4)),DATE(YEAR(INDEX($F$5:$F$1000,$R176-4)),MONTH(INDEX($F$5:$F$1000,$R176-4)),1),MesCiclo)),IF(ISNUMBER($E176),DATE(YEAR($E176),MONTH($E176),1),IF(ISNUMBER($F176),DATE(YEAR($F176),MONTH($F176),1),MesCiclo))))</f>
        <v/>
      </c>
      <c r="Q176" s="70">
        <f>IF(OR($P176="",$P176&lt;&gt;MesCiclo),"",COUNTIF($P$5:$P176,MesCiclo))</f>
        <v/>
      </c>
      <c r="R176" s="70">
        <f>IF($S176="","",IF($S176="Macro",ROW(),IFERROR(LOOKUP(2,1/($S$5:$S176="Macro"),ROW($S$5:$S176)),0)))</f>
        <v/>
      </c>
      <c r="S176" s="70">
        <f>IF(NOT((COUNTA($B176:$K176)+COUNTA($N176))&gt;0),"",IF($B176&lt;&gt;"","Macro",IF($C176&lt;&gt;"","Sub","Macro")))</f>
        <v/>
      </c>
      <c r="T176" s="70">
        <f>IF($S176="Macro",COUNTIFS($R$5:$R$1000,ROW(),$S$5:$S$1000,"Sub"),"")</f>
        <v/>
      </c>
      <c r="U176" s="70">
        <f>IF($S176="","",IF(ISNUMBER($H176),$H176,0))</f>
        <v/>
      </c>
      <c r="V176" s="70">
        <f>IF($S176="","",IF(ISNUMBER($I176),$I176,$U176))</f>
        <v/>
      </c>
      <c r="W176" s="70">
        <f>IF($S176="","",IF(ISNUMBER($J176),$J176,$V176))</f>
        <v/>
      </c>
      <c r="X176" s="70">
        <f>IF($S176="","",IF(ISNUMBER($K176),$K176,$W176))</f>
        <v/>
      </c>
      <c r="Y176" s="70">
        <f>IF($S176="","",IF(N($T176)&gt;0,AVERAGEIFS($U$5:$U$1000,$R$5:$R$1000,ROW(),$S$5:$S$1000,"Sub"),$U176))</f>
        <v/>
      </c>
      <c r="Z176" s="70">
        <f>IF($S176="","",IF(N($T176)&gt;0,AVERAGEIFS($V$5:$V$1000,$R$5:$R$1000,ROW(),$S$5:$S$1000,"Sub"),$V176))</f>
        <v/>
      </c>
      <c r="AA176" s="70">
        <f>IF($S176="","",IF(N($T176)&gt;0,AVERAGEIFS($W$5:$W$1000,$R$5:$R$1000,ROW(),$S$5:$S$1000,"Sub"),$W176))</f>
        <v/>
      </c>
      <c r="AB176" s="70">
        <f>IF($S176="","",IF(N($T176)&gt;0,AVERAGEIFS($X$5:$X$1000,$R$5:$R$1000,ROW(),$S$5:$S$1000,"Sub"),$X176))</f>
        <v/>
      </c>
    </row>
    <row r="177">
      <c r="A177" s="61">
        <f>IF(NOT((COUNTA($B177:$K177)+COUNTA($N177))&gt;0),"",IF($S177="Macro",COUNTIFS($S$5:$S177,"Macro",$P$5:$P177,$P177),IF(N($R177)=0,"?",COUNTIFS(INDEX($S$5:$S$1000,1):INDEX($S$5:$S$1000,$R177-4),"Macro",INDEX($P$5:$P$1000,1):INDEX($P$5:$P$1000,$R177-4),INDEX($P$5:$P$1000,$R177-4))&amp;"."&amp;COUNTIFS($R$5:$R177,$R177,$S$5:$S177,"Sub"))))</f>
        <v/>
      </c>
      <c r="B177" s="62" t="n"/>
      <c r="C177" s="63" t="n"/>
      <c r="D177" s="62" t="n"/>
      <c r="E177" s="64" t="n"/>
      <c r="F177" s="64" t="n"/>
      <c r="G177" s="65" t="n"/>
      <c r="H177" s="66" t="n"/>
      <c r="I177" s="66" t="n"/>
      <c r="J177" s="66" t="n"/>
      <c r="K177" s="66" t="n"/>
      <c r="L177" s="67">
        <f>IF(NOT((COUNTA($B177:$K177)+COUNTA($N177))&gt;0),"",IF(N($T177)&gt;0,$AB177,IFERROR(LOOKUP(2,1/(H177:K177&lt;&gt;""),H177:K177),0)))</f>
        <v/>
      </c>
      <c r="M177" s="61">
        <f>IF(L177="","",IF(L177&gt;=1,"Completado",IF(L177&gt;0,"En curso","Pendiente")))</f>
        <v/>
      </c>
      <c r="N177" s="62" t="n"/>
      <c r="O177" s="68">
        <f>IF(NOT((COUNTA($B177:$K177)+COUNTA($N177))&gt;0),"",IF((IF(AND($S177="Macro",$B177=""),"Macroactividad vacía"&amp;" · ","")&amp;IF(AND($B177&lt;&gt;"",$C177&lt;&gt;""),"Escriba la subactividad en otra fila, debajo de su macroactividad"&amp;" · ","")&amp;IF(AND($S177="Sub",N($R177)=0),"Subactividad sin macroactividad arriba"&amp;" · ","")&amp;IF($D177="","Sin responsable"&amp;" · ","")&amp;IF($E177="","Sin fecha de inicio"&amp;" · ","")&amp;IF($F177="","Sin fecha límite"&amp;" · ","")&amp;IF(OR(AND($E177&lt;&gt;"",NOT(ISNUMBER($E177))),AND($F177&lt;&gt;"",NOT(ISNUMBER($F177)))),"Fecha no válida"&amp;" · ","")&amp;IF(AND(ISNUMBER($E177),ISNUMBER($F177),$E177&gt;$F177),"Inicio posterior a fecha límite"&amp;" · ","")&amp;IF(AND($S177="Macro",$G177=""),"Peso vacío"&amp;" · ","")&amp;IF(AND($S177="Macro",$G177&lt;&gt;"",OR(NOT(ISNUMBER($G177)),$G177&lt;=0,$G177&gt;1)),"Peso fuera de rango"&amp;" · ","")&amp;IF(AND($S177="Sub",$G177&lt;&gt;""),"Las subactividades no llevan peso"&amp;" · ","")&amp;IF(AND($S177="Macro",ABS(SUMIFS($G$5:$G$1000,$P$5:$P$1000,$P177,$S$5:$S$1000,"Macro")-1)&gt;0.0001),"Pesos del mes suman "&amp;TEXT(SUMIFS($G$5:$G$1000,$P$5:$P$1000,$P177,$S$5:$S$1000,"Macro"),"0%")&amp;" · ","")&amp;IF(AND(N($T177)&gt;0,COUNT($H177:$K177)&gt;0),"Con subactividades: deje vacías las semanas (se calculan solas)"&amp;" · ","")&amp;IF((COUNTIF($H177:$K177,"&gt;1")+COUNTIF($H177:$K177,"&lt;0")+COUNTA($H177:$K177)-COUNT($H177:$K177))&gt;0,"Avance fuera de rango 0-100%"&amp;" · ","")&amp;IF(OR(AND($I177&lt;&gt;"",$I177&lt;$H177),AND($J177&lt;&gt;"",$J177&lt;MAX($H177:$I177)),AND($K177&lt;&gt;"",$K177&lt;MAX($H177:$J177))),"Avance semanal decreciente"&amp;" · ","")&amp;IF(AND(ISNUMBER($F177),$F177&lt;FechaRef,N($L177)&lt;1),"Vencida"&amp;" · ","")&amp;IF(AND(ObsObligatoria="Sí",ISNUMBER($F177),$F177&lt;FechaRef,N($L177)&lt;1,$N177=""),"Vencida sin observación"&amp;" · ",""))="","✔ OK","⚠ "&amp;LEFT(IF(AND($S177="Macro",$B177=""),"Macroactividad vacía"&amp;" · ","")&amp;IF(AND($B177&lt;&gt;"",$C177&lt;&gt;""),"Escriba la subactividad en otra fila, debajo de su macroactividad"&amp;" · ","")&amp;IF(AND($S177="Sub",N($R177)=0),"Subactividad sin macroactividad arriba"&amp;" · ","")&amp;IF($D177="","Sin responsable"&amp;" · ","")&amp;IF($E177="","Sin fecha de inicio"&amp;" · ","")&amp;IF($F177="","Sin fecha límite"&amp;" · ","")&amp;IF(OR(AND($E177&lt;&gt;"",NOT(ISNUMBER($E177))),AND($F177&lt;&gt;"",NOT(ISNUMBER($F177)))),"Fecha no válida"&amp;" · ","")&amp;IF(AND(ISNUMBER($E177),ISNUMBER($F177),$E177&gt;$F177),"Inicio posterior a fecha límite"&amp;" · ","")&amp;IF(AND($S177="Macro",$G177=""),"Peso vacío"&amp;" · ","")&amp;IF(AND($S177="Macro",$G177&lt;&gt;"",OR(NOT(ISNUMBER($G177)),$G177&lt;=0,$G177&gt;1)),"Peso fuera de rango"&amp;" · ","")&amp;IF(AND($S177="Sub",$G177&lt;&gt;""),"Las subactividades no llevan peso"&amp;" · ","")&amp;IF(AND($S177="Macro",ABS(SUMIFS($G$5:$G$1000,$P$5:$P$1000,$P177,$S$5:$S$1000,"Macro")-1)&gt;0.0001),"Pesos del mes suman "&amp;TEXT(SUMIFS($G$5:$G$1000,$P$5:$P$1000,$P177,$S$5:$S$1000,"Macro"),"0%")&amp;" · ","")&amp;IF(AND(N($T177)&gt;0,COUNT($H177:$K177)&gt;0),"Con subactividades: deje vacías las semanas (se calculan solas)"&amp;" · ","")&amp;IF((COUNTIF($H177:$K177,"&gt;1")+COUNTIF($H177:$K177,"&lt;0")+COUNTA($H177:$K177)-COUNT($H177:$K177))&gt;0,"Avance fuera de rango 0-100%"&amp;" · ","")&amp;IF(OR(AND($I177&lt;&gt;"",$I177&lt;$H177),AND($J177&lt;&gt;"",$J177&lt;MAX($H177:$I177)),AND($K177&lt;&gt;"",$K177&lt;MAX($H177:$J177))),"Avance semanal decreciente"&amp;" · ","")&amp;IF(AND(ISNUMBER($F177),$F177&lt;FechaRef,N($L177)&lt;1),"Vencida"&amp;" · ","")&amp;IF(AND(ObsObligatoria="Sí",ISNUMBER($F177),$F177&lt;FechaRef,N($L177)&lt;1,$N177=""),"Vencida sin observación"&amp;" · ",""),LEN(IF(AND($S177="Macro",$B177=""),"Macroactividad vacía"&amp;" · ","")&amp;IF(AND($B177&lt;&gt;"",$C177&lt;&gt;""),"Escriba la subactividad en otra fila, debajo de su macroactividad"&amp;" · ","")&amp;IF(AND($S177="Sub",N($R177)=0),"Subactividad sin macroactividad arriba"&amp;" · ","")&amp;IF($D177="","Sin responsable"&amp;" · ","")&amp;IF($E177="","Sin fecha de inicio"&amp;" · ","")&amp;IF($F177="","Sin fecha límite"&amp;" · ","")&amp;IF(OR(AND($E177&lt;&gt;"",NOT(ISNUMBER($E177))),AND($F177&lt;&gt;"",NOT(ISNUMBER($F177)))),"Fecha no válida"&amp;" · ","")&amp;IF(AND(ISNUMBER($E177),ISNUMBER($F177),$E177&gt;$F177),"Inicio posterior a fecha límite"&amp;" · ","")&amp;IF(AND($S177="Macro",$G177=""),"Peso vacío"&amp;" · ","")&amp;IF(AND($S177="Macro",$G177&lt;&gt;"",OR(NOT(ISNUMBER($G177)),$G177&lt;=0,$G177&gt;1)),"Peso fuera de rango"&amp;" · ","")&amp;IF(AND($S177="Sub",$G177&lt;&gt;""),"Las subactividades no llevan peso"&amp;" · ","")&amp;IF(AND($S177="Macro",ABS(SUMIFS($G$5:$G$1000,$P$5:$P$1000,$P177,$S$5:$S$1000,"Macro")-1)&gt;0.0001),"Pesos del mes suman "&amp;TEXT(SUMIFS($G$5:$G$1000,$P$5:$P$1000,$P177,$S$5:$S$1000,"Macro"),"0%")&amp;" · ","")&amp;IF(AND(N($T177)&gt;0,COUNT($H177:$K177)&gt;0),"Con subactividades: deje vacías las semanas (se calculan solas)"&amp;" · ","")&amp;IF((COUNTIF($H177:$K177,"&gt;1")+COUNTIF($H177:$K177,"&lt;0")+COUNTA($H177:$K177)-COUNT($H177:$K177))&gt;0,"Avance fuera de rango 0-100%"&amp;" · ","")&amp;IF(OR(AND($I177&lt;&gt;"",$I177&lt;$H177),AND($J177&lt;&gt;"",$J177&lt;MAX($H177:$I177)),AND($K177&lt;&gt;"",$K177&lt;MAX($H177:$J177))),"Avance semanal decreciente"&amp;" · ","")&amp;IF(AND(ISNUMBER($F177),$F177&lt;FechaRef,N($L177)&lt;1),"Vencida"&amp;" · ","")&amp;IF(AND(ObsObligatoria="Sí",ISNUMBER($F177),$F177&lt;FechaRef,N($L177)&lt;1,$N177=""),"Vencida sin observación"&amp;" · ",""))-3)))</f>
        <v/>
      </c>
      <c r="P177" s="69">
        <f>IF(NOT((COUNTA($B177:$K177)+COUNTA($N177))&gt;0),"",IF(AND($S177="Sub",N($R177)&gt;0),IF(ISNUMBER(INDEX($E$5:$E$1000,$R177-4)),DATE(YEAR(INDEX($E$5:$E$1000,$R177-4)),MONTH(INDEX($E$5:$E$1000,$R177-4)),1),IF(ISNUMBER(INDEX($F$5:$F$1000,$R177-4)),DATE(YEAR(INDEX($F$5:$F$1000,$R177-4)),MONTH(INDEX($F$5:$F$1000,$R177-4)),1),MesCiclo)),IF(ISNUMBER($E177),DATE(YEAR($E177),MONTH($E177),1),IF(ISNUMBER($F177),DATE(YEAR($F177),MONTH($F177),1),MesCiclo))))</f>
        <v/>
      </c>
      <c r="Q177" s="70">
        <f>IF(OR($P177="",$P177&lt;&gt;MesCiclo),"",COUNTIF($P$5:$P177,MesCiclo))</f>
        <v/>
      </c>
      <c r="R177" s="70">
        <f>IF($S177="","",IF($S177="Macro",ROW(),IFERROR(LOOKUP(2,1/($S$5:$S177="Macro"),ROW($S$5:$S177)),0)))</f>
        <v/>
      </c>
      <c r="S177" s="70">
        <f>IF(NOT((COUNTA($B177:$K177)+COUNTA($N177))&gt;0),"",IF($B177&lt;&gt;"","Macro",IF($C177&lt;&gt;"","Sub","Macro")))</f>
        <v/>
      </c>
      <c r="T177" s="70">
        <f>IF($S177="Macro",COUNTIFS($R$5:$R$1000,ROW(),$S$5:$S$1000,"Sub"),"")</f>
        <v/>
      </c>
      <c r="U177" s="70">
        <f>IF($S177="","",IF(ISNUMBER($H177),$H177,0))</f>
        <v/>
      </c>
      <c r="V177" s="70">
        <f>IF($S177="","",IF(ISNUMBER($I177),$I177,$U177))</f>
        <v/>
      </c>
      <c r="W177" s="70">
        <f>IF($S177="","",IF(ISNUMBER($J177),$J177,$V177))</f>
        <v/>
      </c>
      <c r="X177" s="70">
        <f>IF($S177="","",IF(ISNUMBER($K177),$K177,$W177))</f>
        <v/>
      </c>
      <c r="Y177" s="70">
        <f>IF($S177="","",IF(N($T177)&gt;0,AVERAGEIFS($U$5:$U$1000,$R$5:$R$1000,ROW(),$S$5:$S$1000,"Sub"),$U177))</f>
        <v/>
      </c>
      <c r="Z177" s="70">
        <f>IF($S177="","",IF(N($T177)&gt;0,AVERAGEIFS($V$5:$V$1000,$R$5:$R$1000,ROW(),$S$5:$S$1000,"Sub"),$V177))</f>
        <v/>
      </c>
      <c r="AA177" s="70">
        <f>IF($S177="","",IF(N($T177)&gt;0,AVERAGEIFS($W$5:$W$1000,$R$5:$R$1000,ROW(),$S$5:$S$1000,"Sub"),$W177))</f>
        <v/>
      </c>
      <c r="AB177" s="70">
        <f>IF($S177="","",IF(N($T177)&gt;0,AVERAGEIFS($X$5:$X$1000,$R$5:$R$1000,ROW(),$S$5:$S$1000,"Sub"),$X177))</f>
        <v/>
      </c>
    </row>
    <row r="178">
      <c r="A178" s="61">
        <f>IF(NOT((COUNTA($B178:$K178)+COUNTA($N178))&gt;0),"",IF($S178="Macro",COUNTIFS($S$5:$S178,"Macro",$P$5:$P178,$P178),IF(N($R178)=0,"?",COUNTIFS(INDEX($S$5:$S$1000,1):INDEX($S$5:$S$1000,$R178-4),"Macro",INDEX($P$5:$P$1000,1):INDEX($P$5:$P$1000,$R178-4),INDEX($P$5:$P$1000,$R178-4))&amp;"."&amp;COUNTIFS($R$5:$R178,$R178,$S$5:$S178,"Sub"))))</f>
        <v/>
      </c>
      <c r="B178" s="62" t="n"/>
      <c r="C178" s="63" t="n"/>
      <c r="D178" s="62" t="n"/>
      <c r="E178" s="64" t="n"/>
      <c r="F178" s="64" t="n"/>
      <c r="G178" s="65" t="n"/>
      <c r="H178" s="66" t="n"/>
      <c r="I178" s="66" t="n"/>
      <c r="J178" s="66" t="n"/>
      <c r="K178" s="66" t="n"/>
      <c r="L178" s="67">
        <f>IF(NOT((COUNTA($B178:$K178)+COUNTA($N178))&gt;0),"",IF(N($T178)&gt;0,$AB178,IFERROR(LOOKUP(2,1/(H178:K178&lt;&gt;""),H178:K178),0)))</f>
        <v/>
      </c>
      <c r="M178" s="61">
        <f>IF(L178="","",IF(L178&gt;=1,"Completado",IF(L178&gt;0,"En curso","Pendiente")))</f>
        <v/>
      </c>
      <c r="N178" s="62" t="n"/>
      <c r="O178" s="68">
        <f>IF(NOT((COUNTA($B178:$K178)+COUNTA($N178))&gt;0),"",IF((IF(AND($S178="Macro",$B178=""),"Macroactividad vacía"&amp;" · ","")&amp;IF(AND($B178&lt;&gt;"",$C178&lt;&gt;""),"Escriba la subactividad en otra fila, debajo de su macroactividad"&amp;" · ","")&amp;IF(AND($S178="Sub",N($R178)=0),"Subactividad sin macroactividad arriba"&amp;" · ","")&amp;IF($D178="","Sin responsable"&amp;" · ","")&amp;IF($E178="","Sin fecha de inicio"&amp;" · ","")&amp;IF($F178="","Sin fecha límite"&amp;" · ","")&amp;IF(OR(AND($E178&lt;&gt;"",NOT(ISNUMBER($E178))),AND($F178&lt;&gt;"",NOT(ISNUMBER($F178)))),"Fecha no válida"&amp;" · ","")&amp;IF(AND(ISNUMBER($E178),ISNUMBER($F178),$E178&gt;$F178),"Inicio posterior a fecha límite"&amp;" · ","")&amp;IF(AND($S178="Macro",$G178=""),"Peso vacío"&amp;" · ","")&amp;IF(AND($S178="Macro",$G178&lt;&gt;"",OR(NOT(ISNUMBER($G178)),$G178&lt;=0,$G178&gt;1)),"Peso fuera de rango"&amp;" · ","")&amp;IF(AND($S178="Sub",$G178&lt;&gt;""),"Las subactividades no llevan peso"&amp;" · ","")&amp;IF(AND($S178="Macro",ABS(SUMIFS($G$5:$G$1000,$P$5:$P$1000,$P178,$S$5:$S$1000,"Macro")-1)&gt;0.0001),"Pesos del mes suman "&amp;TEXT(SUMIFS($G$5:$G$1000,$P$5:$P$1000,$P178,$S$5:$S$1000,"Macro"),"0%")&amp;" · ","")&amp;IF(AND(N($T178)&gt;0,COUNT($H178:$K178)&gt;0),"Con subactividades: deje vacías las semanas (se calculan solas)"&amp;" · ","")&amp;IF((COUNTIF($H178:$K178,"&gt;1")+COUNTIF($H178:$K178,"&lt;0")+COUNTA($H178:$K178)-COUNT($H178:$K178))&gt;0,"Avance fuera de rango 0-100%"&amp;" · ","")&amp;IF(OR(AND($I178&lt;&gt;"",$I178&lt;$H178),AND($J178&lt;&gt;"",$J178&lt;MAX($H178:$I178)),AND($K178&lt;&gt;"",$K178&lt;MAX($H178:$J178))),"Avance semanal decreciente"&amp;" · ","")&amp;IF(AND(ISNUMBER($F178),$F178&lt;FechaRef,N($L178)&lt;1),"Vencida"&amp;" · ","")&amp;IF(AND(ObsObligatoria="Sí",ISNUMBER($F178),$F178&lt;FechaRef,N($L178)&lt;1,$N178=""),"Vencida sin observación"&amp;" · ",""))="","✔ OK","⚠ "&amp;LEFT(IF(AND($S178="Macro",$B178=""),"Macroactividad vacía"&amp;" · ","")&amp;IF(AND($B178&lt;&gt;"",$C178&lt;&gt;""),"Escriba la subactividad en otra fila, debajo de su macroactividad"&amp;" · ","")&amp;IF(AND($S178="Sub",N($R178)=0),"Subactividad sin macroactividad arriba"&amp;" · ","")&amp;IF($D178="","Sin responsable"&amp;" · ","")&amp;IF($E178="","Sin fecha de inicio"&amp;" · ","")&amp;IF($F178="","Sin fecha límite"&amp;" · ","")&amp;IF(OR(AND($E178&lt;&gt;"",NOT(ISNUMBER($E178))),AND($F178&lt;&gt;"",NOT(ISNUMBER($F178)))),"Fecha no válida"&amp;" · ","")&amp;IF(AND(ISNUMBER($E178),ISNUMBER($F178),$E178&gt;$F178),"Inicio posterior a fecha límite"&amp;" · ","")&amp;IF(AND($S178="Macro",$G178=""),"Peso vacío"&amp;" · ","")&amp;IF(AND($S178="Macro",$G178&lt;&gt;"",OR(NOT(ISNUMBER($G178)),$G178&lt;=0,$G178&gt;1)),"Peso fuera de rango"&amp;" · ","")&amp;IF(AND($S178="Sub",$G178&lt;&gt;""),"Las subactividades no llevan peso"&amp;" · ","")&amp;IF(AND($S178="Macro",ABS(SUMIFS($G$5:$G$1000,$P$5:$P$1000,$P178,$S$5:$S$1000,"Macro")-1)&gt;0.0001),"Pesos del mes suman "&amp;TEXT(SUMIFS($G$5:$G$1000,$P$5:$P$1000,$P178,$S$5:$S$1000,"Macro"),"0%")&amp;" · ","")&amp;IF(AND(N($T178)&gt;0,COUNT($H178:$K178)&gt;0),"Con subactividades: deje vacías las semanas (se calculan solas)"&amp;" · ","")&amp;IF((COUNTIF($H178:$K178,"&gt;1")+COUNTIF($H178:$K178,"&lt;0")+COUNTA($H178:$K178)-COUNT($H178:$K178))&gt;0,"Avance fuera de rango 0-100%"&amp;" · ","")&amp;IF(OR(AND($I178&lt;&gt;"",$I178&lt;$H178),AND($J178&lt;&gt;"",$J178&lt;MAX($H178:$I178)),AND($K178&lt;&gt;"",$K178&lt;MAX($H178:$J178))),"Avance semanal decreciente"&amp;" · ","")&amp;IF(AND(ISNUMBER($F178),$F178&lt;FechaRef,N($L178)&lt;1),"Vencida"&amp;" · ","")&amp;IF(AND(ObsObligatoria="Sí",ISNUMBER($F178),$F178&lt;FechaRef,N($L178)&lt;1,$N178=""),"Vencida sin observación"&amp;" · ",""),LEN(IF(AND($S178="Macro",$B178=""),"Macroactividad vacía"&amp;" · ","")&amp;IF(AND($B178&lt;&gt;"",$C178&lt;&gt;""),"Escriba la subactividad en otra fila, debajo de su macroactividad"&amp;" · ","")&amp;IF(AND($S178="Sub",N($R178)=0),"Subactividad sin macroactividad arriba"&amp;" · ","")&amp;IF($D178="","Sin responsable"&amp;" · ","")&amp;IF($E178="","Sin fecha de inicio"&amp;" · ","")&amp;IF($F178="","Sin fecha límite"&amp;" · ","")&amp;IF(OR(AND($E178&lt;&gt;"",NOT(ISNUMBER($E178))),AND($F178&lt;&gt;"",NOT(ISNUMBER($F178)))),"Fecha no válida"&amp;" · ","")&amp;IF(AND(ISNUMBER($E178),ISNUMBER($F178),$E178&gt;$F178),"Inicio posterior a fecha límite"&amp;" · ","")&amp;IF(AND($S178="Macro",$G178=""),"Peso vacío"&amp;" · ","")&amp;IF(AND($S178="Macro",$G178&lt;&gt;"",OR(NOT(ISNUMBER($G178)),$G178&lt;=0,$G178&gt;1)),"Peso fuera de rango"&amp;" · ","")&amp;IF(AND($S178="Sub",$G178&lt;&gt;""),"Las subactividades no llevan peso"&amp;" · ","")&amp;IF(AND($S178="Macro",ABS(SUMIFS($G$5:$G$1000,$P$5:$P$1000,$P178,$S$5:$S$1000,"Macro")-1)&gt;0.0001),"Pesos del mes suman "&amp;TEXT(SUMIFS($G$5:$G$1000,$P$5:$P$1000,$P178,$S$5:$S$1000,"Macro"),"0%")&amp;" · ","")&amp;IF(AND(N($T178)&gt;0,COUNT($H178:$K178)&gt;0),"Con subactividades: deje vacías las semanas (se calculan solas)"&amp;" · ","")&amp;IF((COUNTIF($H178:$K178,"&gt;1")+COUNTIF($H178:$K178,"&lt;0")+COUNTA($H178:$K178)-COUNT($H178:$K178))&gt;0,"Avance fuera de rango 0-100%"&amp;" · ","")&amp;IF(OR(AND($I178&lt;&gt;"",$I178&lt;$H178),AND($J178&lt;&gt;"",$J178&lt;MAX($H178:$I178)),AND($K178&lt;&gt;"",$K178&lt;MAX($H178:$J178))),"Avance semanal decreciente"&amp;" · ","")&amp;IF(AND(ISNUMBER($F178),$F178&lt;FechaRef,N($L178)&lt;1),"Vencida"&amp;" · ","")&amp;IF(AND(ObsObligatoria="Sí",ISNUMBER($F178),$F178&lt;FechaRef,N($L178)&lt;1,$N178=""),"Vencida sin observación"&amp;" · ",""))-3)))</f>
        <v/>
      </c>
      <c r="P178" s="69">
        <f>IF(NOT((COUNTA($B178:$K178)+COUNTA($N178))&gt;0),"",IF(AND($S178="Sub",N($R178)&gt;0),IF(ISNUMBER(INDEX($E$5:$E$1000,$R178-4)),DATE(YEAR(INDEX($E$5:$E$1000,$R178-4)),MONTH(INDEX($E$5:$E$1000,$R178-4)),1),IF(ISNUMBER(INDEX($F$5:$F$1000,$R178-4)),DATE(YEAR(INDEX($F$5:$F$1000,$R178-4)),MONTH(INDEX($F$5:$F$1000,$R178-4)),1),MesCiclo)),IF(ISNUMBER($E178),DATE(YEAR($E178),MONTH($E178),1),IF(ISNUMBER($F178),DATE(YEAR($F178),MONTH($F178),1),MesCiclo))))</f>
        <v/>
      </c>
      <c r="Q178" s="70">
        <f>IF(OR($P178="",$P178&lt;&gt;MesCiclo),"",COUNTIF($P$5:$P178,MesCiclo))</f>
        <v/>
      </c>
      <c r="R178" s="70">
        <f>IF($S178="","",IF($S178="Macro",ROW(),IFERROR(LOOKUP(2,1/($S$5:$S178="Macro"),ROW($S$5:$S178)),0)))</f>
        <v/>
      </c>
      <c r="S178" s="70">
        <f>IF(NOT((COUNTA($B178:$K178)+COUNTA($N178))&gt;0),"",IF($B178&lt;&gt;"","Macro",IF($C178&lt;&gt;"","Sub","Macro")))</f>
        <v/>
      </c>
      <c r="T178" s="70">
        <f>IF($S178="Macro",COUNTIFS($R$5:$R$1000,ROW(),$S$5:$S$1000,"Sub"),"")</f>
        <v/>
      </c>
      <c r="U178" s="70">
        <f>IF($S178="","",IF(ISNUMBER($H178),$H178,0))</f>
        <v/>
      </c>
      <c r="V178" s="70">
        <f>IF($S178="","",IF(ISNUMBER($I178),$I178,$U178))</f>
        <v/>
      </c>
      <c r="W178" s="70">
        <f>IF($S178="","",IF(ISNUMBER($J178),$J178,$V178))</f>
        <v/>
      </c>
      <c r="X178" s="70">
        <f>IF($S178="","",IF(ISNUMBER($K178),$K178,$W178))</f>
        <v/>
      </c>
      <c r="Y178" s="70">
        <f>IF($S178="","",IF(N($T178)&gt;0,AVERAGEIFS($U$5:$U$1000,$R$5:$R$1000,ROW(),$S$5:$S$1000,"Sub"),$U178))</f>
        <v/>
      </c>
      <c r="Z178" s="70">
        <f>IF($S178="","",IF(N($T178)&gt;0,AVERAGEIFS($V$5:$V$1000,$R$5:$R$1000,ROW(),$S$5:$S$1000,"Sub"),$V178))</f>
        <v/>
      </c>
      <c r="AA178" s="70">
        <f>IF($S178="","",IF(N($T178)&gt;0,AVERAGEIFS($W$5:$W$1000,$R$5:$R$1000,ROW(),$S$5:$S$1000,"Sub"),$W178))</f>
        <v/>
      </c>
      <c r="AB178" s="70">
        <f>IF($S178="","",IF(N($T178)&gt;0,AVERAGEIFS($X$5:$X$1000,$R$5:$R$1000,ROW(),$S$5:$S$1000,"Sub"),$X178))</f>
        <v/>
      </c>
    </row>
    <row r="179">
      <c r="A179" s="61">
        <f>IF(NOT((COUNTA($B179:$K179)+COUNTA($N179))&gt;0),"",IF($S179="Macro",COUNTIFS($S$5:$S179,"Macro",$P$5:$P179,$P179),IF(N($R179)=0,"?",COUNTIFS(INDEX($S$5:$S$1000,1):INDEX($S$5:$S$1000,$R179-4),"Macro",INDEX($P$5:$P$1000,1):INDEX($P$5:$P$1000,$R179-4),INDEX($P$5:$P$1000,$R179-4))&amp;"."&amp;COUNTIFS($R$5:$R179,$R179,$S$5:$S179,"Sub"))))</f>
        <v/>
      </c>
      <c r="B179" s="62" t="n"/>
      <c r="C179" s="63" t="n"/>
      <c r="D179" s="62" t="n"/>
      <c r="E179" s="64" t="n"/>
      <c r="F179" s="64" t="n"/>
      <c r="G179" s="65" t="n"/>
      <c r="H179" s="66" t="n"/>
      <c r="I179" s="66" t="n"/>
      <c r="J179" s="66" t="n"/>
      <c r="K179" s="66" t="n"/>
      <c r="L179" s="67">
        <f>IF(NOT((COUNTA($B179:$K179)+COUNTA($N179))&gt;0),"",IF(N($T179)&gt;0,$AB179,IFERROR(LOOKUP(2,1/(H179:K179&lt;&gt;""),H179:K179),0)))</f>
        <v/>
      </c>
      <c r="M179" s="61">
        <f>IF(L179="","",IF(L179&gt;=1,"Completado",IF(L179&gt;0,"En curso","Pendiente")))</f>
        <v/>
      </c>
      <c r="N179" s="62" t="n"/>
      <c r="O179" s="68">
        <f>IF(NOT((COUNTA($B179:$K179)+COUNTA($N179))&gt;0),"",IF((IF(AND($S179="Macro",$B179=""),"Macroactividad vacía"&amp;" · ","")&amp;IF(AND($B179&lt;&gt;"",$C179&lt;&gt;""),"Escriba la subactividad en otra fila, debajo de su macroactividad"&amp;" · ","")&amp;IF(AND($S179="Sub",N($R179)=0),"Subactividad sin macroactividad arriba"&amp;" · ","")&amp;IF($D179="","Sin responsable"&amp;" · ","")&amp;IF($E179="","Sin fecha de inicio"&amp;" · ","")&amp;IF($F179="","Sin fecha límite"&amp;" · ","")&amp;IF(OR(AND($E179&lt;&gt;"",NOT(ISNUMBER($E179))),AND($F179&lt;&gt;"",NOT(ISNUMBER($F179)))),"Fecha no válida"&amp;" · ","")&amp;IF(AND(ISNUMBER($E179),ISNUMBER($F179),$E179&gt;$F179),"Inicio posterior a fecha límite"&amp;" · ","")&amp;IF(AND($S179="Macro",$G179=""),"Peso vacío"&amp;" · ","")&amp;IF(AND($S179="Macro",$G179&lt;&gt;"",OR(NOT(ISNUMBER($G179)),$G179&lt;=0,$G179&gt;1)),"Peso fuera de rango"&amp;" · ","")&amp;IF(AND($S179="Sub",$G179&lt;&gt;""),"Las subactividades no llevan peso"&amp;" · ","")&amp;IF(AND($S179="Macro",ABS(SUMIFS($G$5:$G$1000,$P$5:$P$1000,$P179,$S$5:$S$1000,"Macro")-1)&gt;0.0001),"Pesos del mes suman "&amp;TEXT(SUMIFS($G$5:$G$1000,$P$5:$P$1000,$P179,$S$5:$S$1000,"Macro"),"0%")&amp;" · ","")&amp;IF(AND(N($T179)&gt;0,COUNT($H179:$K179)&gt;0),"Con subactividades: deje vacías las semanas (se calculan solas)"&amp;" · ","")&amp;IF((COUNTIF($H179:$K179,"&gt;1")+COUNTIF($H179:$K179,"&lt;0")+COUNTA($H179:$K179)-COUNT($H179:$K179))&gt;0,"Avance fuera de rango 0-100%"&amp;" · ","")&amp;IF(OR(AND($I179&lt;&gt;"",$I179&lt;$H179),AND($J179&lt;&gt;"",$J179&lt;MAX($H179:$I179)),AND($K179&lt;&gt;"",$K179&lt;MAX($H179:$J179))),"Avance semanal decreciente"&amp;" · ","")&amp;IF(AND(ISNUMBER($F179),$F179&lt;FechaRef,N($L179)&lt;1),"Vencida"&amp;" · ","")&amp;IF(AND(ObsObligatoria="Sí",ISNUMBER($F179),$F179&lt;FechaRef,N($L179)&lt;1,$N179=""),"Vencida sin observación"&amp;" · ",""))="","✔ OK","⚠ "&amp;LEFT(IF(AND($S179="Macro",$B179=""),"Macroactividad vacía"&amp;" · ","")&amp;IF(AND($B179&lt;&gt;"",$C179&lt;&gt;""),"Escriba la subactividad en otra fila, debajo de su macroactividad"&amp;" · ","")&amp;IF(AND($S179="Sub",N($R179)=0),"Subactividad sin macroactividad arriba"&amp;" · ","")&amp;IF($D179="","Sin responsable"&amp;" · ","")&amp;IF($E179="","Sin fecha de inicio"&amp;" · ","")&amp;IF($F179="","Sin fecha límite"&amp;" · ","")&amp;IF(OR(AND($E179&lt;&gt;"",NOT(ISNUMBER($E179))),AND($F179&lt;&gt;"",NOT(ISNUMBER($F179)))),"Fecha no válida"&amp;" · ","")&amp;IF(AND(ISNUMBER($E179),ISNUMBER($F179),$E179&gt;$F179),"Inicio posterior a fecha límite"&amp;" · ","")&amp;IF(AND($S179="Macro",$G179=""),"Peso vacío"&amp;" · ","")&amp;IF(AND($S179="Macro",$G179&lt;&gt;"",OR(NOT(ISNUMBER($G179)),$G179&lt;=0,$G179&gt;1)),"Peso fuera de rango"&amp;" · ","")&amp;IF(AND($S179="Sub",$G179&lt;&gt;""),"Las subactividades no llevan peso"&amp;" · ","")&amp;IF(AND($S179="Macro",ABS(SUMIFS($G$5:$G$1000,$P$5:$P$1000,$P179,$S$5:$S$1000,"Macro")-1)&gt;0.0001),"Pesos del mes suman "&amp;TEXT(SUMIFS($G$5:$G$1000,$P$5:$P$1000,$P179,$S$5:$S$1000,"Macro"),"0%")&amp;" · ","")&amp;IF(AND(N($T179)&gt;0,COUNT($H179:$K179)&gt;0),"Con subactividades: deje vacías las semanas (se calculan solas)"&amp;" · ","")&amp;IF((COUNTIF($H179:$K179,"&gt;1")+COUNTIF($H179:$K179,"&lt;0")+COUNTA($H179:$K179)-COUNT($H179:$K179))&gt;0,"Avance fuera de rango 0-100%"&amp;" · ","")&amp;IF(OR(AND($I179&lt;&gt;"",$I179&lt;$H179),AND($J179&lt;&gt;"",$J179&lt;MAX($H179:$I179)),AND($K179&lt;&gt;"",$K179&lt;MAX($H179:$J179))),"Avance semanal decreciente"&amp;" · ","")&amp;IF(AND(ISNUMBER($F179),$F179&lt;FechaRef,N($L179)&lt;1),"Vencida"&amp;" · ","")&amp;IF(AND(ObsObligatoria="Sí",ISNUMBER($F179),$F179&lt;FechaRef,N($L179)&lt;1,$N179=""),"Vencida sin observación"&amp;" · ",""),LEN(IF(AND($S179="Macro",$B179=""),"Macroactividad vacía"&amp;" · ","")&amp;IF(AND($B179&lt;&gt;"",$C179&lt;&gt;""),"Escriba la subactividad en otra fila, debajo de su macroactividad"&amp;" · ","")&amp;IF(AND($S179="Sub",N($R179)=0),"Subactividad sin macroactividad arriba"&amp;" · ","")&amp;IF($D179="","Sin responsable"&amp;" · ","")&amp;IF($E179="","Sin fecha de inicio"&amp;" · ","")&amp;IF($F179="","Sin fecha límite"&amp;" · ","")&amp;IF(OR(AND($E179&lt;&gt;"",NOT(ISNUMBER($E179))),AND($F179&lt;&gt;"",NOT(ISNUMBER($F179)))),"Fecha no válida"&amp;" · ","")&amp;IF(AND(ISNUMBER($E179),ISNUMBER($F179),$E179&gt;$F179),"Inicio posterior a fecha límite"&amp;" · ","")&amp;IF(AND($S179="Macro",$G179=""),"Peso vacío"&amp;" · ","")&amp;IF(AND($S179="Macro",$G179&lt;&gt;"",OR(NOT(ISNUMBER($G179)),$G179&lt;=0,$G179&gt;1)),"Peso fuera de rango"&amp;" · ","")&amp;IF(AND($S179="Sub",$G179&lt;&gt;""),"Las subactividades no llevan peso"&amp;" · ","")&amp;IF(AND($S179="Macro",ABS(SUMIFS($G$5:$G$1000,$P$5:$P$1000,$P179,$S$5:$S$1000,"Macro")-1)&gt;0.0001),"Pesos del mes suman "&amp;TEXT(SUMIFS($G$5:$G$1000,$P$5:$P$1000,$P179,$S$5:$S$1000,"Macro"),"0%")&amp;" · ","")&amp;IF(AND(N($T179)&gt;0,COUNT($H179:$K179)&gt;0),"Con subactividades: deje vacías las semanas (se calculan solas)"&amp;" · ","")&amp;IF((COUNTIF($H179:$K179,"&gt;1")+COUNTIF($H179:$K179,"&lt;0")+COUNTA($H179:$K179)-COUNT($H179:$K179))&gt;0,"Avance fuera de rango 0-100%"&amp;" · ","")&amp;IF(OR(AND($I179&lt;&gt;"",$I179&lt;$H179),AND($J179&lt;&gt;"",$J179&lt;MAX($H179:$I179)),AND($K179&lt;&gt;"",$K179&lt;MAX($H179:$J179))),"Avance semanal decreciente"&amp;" · ","")&amp;IF(AND(ISNUMBER($F179),$F179&lt;FechaRef,N($L179)&lt;1),"Vencida"&amp;" · ","")&amp;IF(AND(ObsObligatoria="Sí",ISNUMBER($F179),$F179&lt;FechaRef,N($L179)&lt;1,$N179=""),"Vencida sin observación"&amp;" · ",""))-3)))</f>
        <v/>
      </c>
      <c r="P179" s="69">
        <f>IF(NOT((COUNTA($B179:$K179)+COUNTA($N179))&gt;0),"",IF(AND($S179="Sub",N($R179)&gt;0),IF(ISNUMBER(INDEX($E$5:$E$1000,$R179-4)),DATE(YEAR(INDEX($E$5:$E$1000,$R179-4)),MONTH(INDEX($E$5:$E$1000,$R179-4)),1),IF(ISNUMBER(INDEX($F$5:$F$1000,$R179-4)),DATE(YEAR(INDEX($F$5:$F$1000,$R179-4)),MONTH(INDEX($F$5:$F$1000,$R179-4)),1),MesCiclo)),IF(ISNUMBER($E179),DATE(YEAR($E179),MONTH($E179),1),IF(ISNUMBER($F179),DATE(YEAR($F179),MONTH($F179),1),MesCiclo))))</f>
        <v/>
      </c>
      <c r="Q179" s="70">
        <f>IF(OR($P179="",$P179&lt;&gt;MesCiclo),"",COUNTIF($P$5:$P179,MesCiclo))</f>
        <v/>
      </c>
      <c r="R179" s="70">
        <f>IF($S179="","",IF($S179="Macro",ROW(),IFERROR(LOOKUP(2,1/($S$5:$S179="Macro"),ROW($S$5:$S179)),0)))</f>
        <v/>
      </c>
      <c r="S179" s="70">
        <f>IF(NOT((COUNTA($B179:$K179)+COUNTA($N179))&gt;0),"",IF($B179&lt;&gt;"","Macro",IF($C179&lt;&gt;"","Sub","Macro")))</f>
        <v/>
      </c>
      <c r="T179" s="70">
        <f>IF($S179="Macro",COUNTIFS($R$5:$R$1000,ROW(),$S$5:$S$1000,"Sub"),"")</f>
        <v/>
      </c>
      <c r="U179" s="70">
        <f>IF($S179="","",IF(ISNUMBER($H179),$H179,0))</f>
        <v/>
      </c>
      <c r="V179" s="70">
        <f>IF($S179="","",IF(ISNUMBER($I179),$I179,$U179))</f>
        <v/>
      </c>
      <c r="W179" s="70">
        <f>IF($S179="","",IF(ISNUMBER($J179),$J179,$V179))</f>
        <v/>
      </c>
      <c r="X179" s="70">
        <f>IF($S179="","",IF(ISNUMBER($K179),$K179,$W179))</f>
        <v/>
      </c>
      <c r="Y179" s="70">
        <f>IF($S179="","",IF(N($T179)&gt;0,AVERAGEIFS($U$5:$U$1000,$R$5:$R$1000,ROW(),$S$5:$S$1000,"Sub"),$U179))</f>
        <v/>
      </c>
      <c r="Z179" s="70">
        <f>IF($S179="","",IF(N($T179)&gt;0,AVERAGEIFS($V$5:$V$1000,$R$5:$R$1000,ROW(),$S$5:$S$1000,"Sub"),$V179))</f>
        <v/>
      </c>
      <c r="AA179" s="70">
        <f>IF($S179="","",IF(N($T179)&gt;0,AVERAGEIFS($W$5:$W$1000,$R$5:$R$1000,ROW(),$S$5:$S$1000,"Sub"),$W179))</f>
        <v/>
      </c>
      <c r="AB179" s="70">
        <f>IF($S179="","",IF(N($T179)&gt;0,AVERAGEIFS($X$5:$X$1000,$R$5:$R$1000,ROW(),$S$5:$S$1000,"Sub"),$X179))</f>
        <v/>
      </c>
    </row>
    <row r="180">
      <c r="A180" s="61">
        <f>IF(NOT((COUNTA($B180:$K180)+COUNTA($N180))&gt;0),"",IF($S180="Macro",COUNTIFS($S$5:$S180,"Macro",$P$5:$P180,$P180),IF(N($R180)=0,"?",COUNTIFS(INDEX($S$5:$S$1000,1):INDEX($S$5:$S$1000,$R180-4),"Macro",INDEX($P$5:$P$1000,1):INDEX($P$5:$P$1000,$R180-4),INDEX($P$5:$P$1000,$R180-4))&amp;"."&amp;COUNTIFS($R$5:$R180,$R180,$S$5:$S180,"Sub"))))</f>
        <v/>
      </c>
      <c r="B180" s="62" t="n"/>
      <c r="C180" s="63" t="n"/>
      <c r="D180" s="62" t="n"/>
      <c r="E180" s="64" t="n"/>
      <c r="F180" s="64" t="n"/>
      <c r="G180" s="65" t="n"/>
      <c r="H180" s="66" t="n"/>
      <c r="I180" s="66" t="n"/>
      <c r="J180" s="66" t="n"/>
      <c r="K180" s="66" t="n"/>
      <c r="L180" s="67">
        <f>IF(NOT((COUNTA($B180:$K180)+COUNTA($N180))&gt;0),"",IF(N($T180)&gt;0,$AB180,IFERROR(LOOKUP(2,1/(H180:K180&lt;&gt;""),H180:K180),0)))</f>
        <v/>
      </c>
      <c r="M180" s="61">
        <f>IF(L180="","",IF(L180&gt;=1,"Completado",IF(L180&gt;0,"En curso","Pendiente")))</f>
        <v/>
      </c>
      <c r="N180" s="62" t="n"/>
      <c r="O180" s="68">
        <f>IF(NOT((COUNTA($B180:$K180)+COUNTA($N180))&gt;0),"",IF((IF(AND($S180="Macro",$B180=""),"Macroactividad vacía"&amp;" · ","")&amp;IF(AND($B180&lt;&gt;"",$C180&lt;&gt;""),"Escriba la subactividad en otra fila, debajo de su macroactividad"&amp;" · ","")&amp;IF(AND($S180="Sub",N($R180)=0),"Subactividad sin macroactividad arriba"&amp;" · ","")&amp;IF($D180="","Sin responsable"&amp;" · ","")&amp;IF($E180="","Sin fecha de inicio"&amp;" · ","")&amp;IF($F180="","Sin fecha límite"&amp;" · ","")&amp;IF(OR(AND($E180&lt;&gt;"",NOT(ISNUMBER($E180))),AND($F180&lt;&gt;"",NOT(ISNUMBER($F180)))),"Fecha no válida"&amp;" · ","")&amp;IF(AND(ISNUMBER($E180),ISNUMBER($F180),$E180&gt;$F180),"Inicio posterior a fecha límite"&amp;" · ","")&amp;IF(AND($S180="Macro",$G180=""),"Peso vacío"&amp;" · ","")&amp;IF(AND($S180="Macro",$G180&lt;&gt;"",OR(NOT(ISNUMBER($G180)),$G180&lt;=0,$G180&gt;1)),"Peso fuera de rango"&amp;" · ","")&amp;IF(AND($S180="Sub",$G180&lt;&gt;""),"Las subactividades no llevan peso"&amp;" · ","")&amp;IF(AND($S180="Macro",ABS(SUMIFS($G$5:$G$1000,$P$5:$P$1000,$P180,$S$5:$S$1000,"Macro")-1)&gt;0.0001),"Pesos del mes suman "&amp;TEXT(SUMIFS($G$5:$G$1000,$P$5:$P$1000,$P180,$S$5:$S$1000,"Macro"),"0%")&amp;" · ","")&amp;IF(AND(N($T180)&gt;0,COUNT($H180:$K180)&gt;0),"Con subactividades: deje vacías las semanas (se calculan solas)"&amp;" · ","")&amp;IF((COUNTIF($H180:$K180,"&gt;1")+COUNTIF($H180:$K180,"&lt;0")+COUNTA($H180:$K180)-COUNT($H180:$K180))&gt;0,"Avance fuera de rango 0-100%"&amp;" · ","")&amp;IF(OR(AND($I180&lt;&gt;"",$I180&lt;$H180),AND($J180&lt;&gt;"",$J180&lt;MAX($H180:$I180)),AND($K180&lt;&gt;"",$K180&lt;MAX($H180:$J180))),"Avance semanal decreciente"&amp;" · ","")&amp;IF(AND(ISNUMBER($F180),$F180&lt;FechaRef,N($L180)&lt;1),"Vencida"&amp;" · ","")&amp;IF(AND(ObsObligatoria="Sí",ISNUMBER($F180),$F180&lt;FechaRef,N($L180)&lt;1,$N180=""),"Vencida sin observación"&amp;" · ",""))="","✔ OK","⚠ "&amp;LEFT(IF(AND($S180="Macro",$B180=""),"Macroactividad vacía"&amp;" · ","")&amp;IF(AND($B180&lt;&gt;"",$C180&lt;&gt;""),"Escriba la subactividad en otra fila, debajo de su macroactividad"&amp;" · ","")&amp;IF(AND($S180="Sub",N($R180)=0),"Subactividad sin macroactividad arriba"&amp;" · ","")&amp;IF($D180="","Sin responsable"&amp;" · ","")&amp;IF($E180="","Sin fecha de inicio"&amp;" · ","")&amp;IF($F180="","Sin fecha límite"&amp;" · ","")&amp;IF(OR(AND($E180&lt;&gt;"",NOT(ISNUMBER($E180))),AND($F180&lt;&gt;"",NOT(ISNUMBER($F180)))),"Fecha no válida"&amp;" · ","")&amp;IF(AND(ISNUMBER($E180),ISNUMBER($F180),$E180&gt;$F180),"Inicio posterior a fecha límite"&amp;" · ","")&amp;IF(AND($S180="Macro",$G180=""),"Peso vacío"&amp;" · ","")&amp;IF(AND($S180="Macro",$G180&lt;&gt;"",OR(NOT(ISNUMBER($G180)),$G180&lt;=0,$G180&gt;1)),"Peso fuera de rango"&amp;" · ","")&amp;IF(AND($S180="Sub",$G180&lt;&gt;""),"Las subactividades no llevan peso"&amp;" · ","")&amp;IF(AND($S180="Macro",ABS(SUMIFS($G$5:$G$1000,$P$5:$P$1000,$P180,$S$5:$S$1000,"Macro")-1)&gt;0.0001),"Pesos del mes suman "&amp;TEXT(SUMIFS($G$5:$G$1000,$P$5:$P$1000,$P180,$S$5:$S$1000,"Macro"),"0%")&amp;" · ","")&amp;IF(AND(N($T180)&gt;0,COUNT($H180:$K180)&gt;0),"Con subactividades: deje vacías las semanas (se calculan solas)"&amp;" · ","")&amp;IF((COUNTIF($H180:$K180,"&gt;1")+COUNTIF($H180:$K180,"&lt;0")+COUNTA($H180:$K180)-COUNT($H180:$K180))&gt;0,"Avance fuera de rango 0-100%"&amp;" · ","")&amp;IF(OR(AND($I180&lt;&gt;"",$I180&lt;$H180),AND($J180&lt;&gt;"",$J180&lt;MAX($H180:$I180)),AND($K180&lt;&gt;"",$K180&lt;MAX($H180:$J180))),"Avance semanal decreciente"&amp;" · ","")&amp;IF(AND(ISNUMBER($F180),$F180&lt;FechaRef,N($L180)&lt;1),"Vencida"&amp;" · ","")&amp;IF(AND(ObsObligatoria="Sí",ISNUMBER($F180),$F180&lt;FechaRef,N($L180)&lt;1,$N180=""),"Vencida sin observación"&amp;" · ",""),LEN(IF(AND($S180="Macro",$B180=""),"Macroactividad vacía"&amp;" · ","")&amp;IF(AND($B180&lt;&gt;"",$C180&lt;&gt;""),"Escriba la subactividad en otra fila, debajo de su macroactividad"&amp;" · ","")&amp;IF(AND($S180="Sub",N($R180)=0),"Subactividad sin macroactividad arriba"&amp;" · ","")&amp;IF($D180="","Sin responsable"&amp;" · ","")&amp;IF($E180="","Sin fecha de inicio"&amp;" · ","")&amp;IF($F180="","Sin fecha límite"&amp;" · ","")&amp;IF(OR(AND($E180&lt;&gt;"",NOT(ISNUMBER($E180))),AND($F180&lt;&gt;"",NOT(ISNUMBER($F180)))),"Fecha no válida"&amp;" · ","")&amp;IF(AND(ISNUMBER($E180),ISNUMBER($F180),$E180&gt;$F180),"Inicio posterior a fecha límite"&amp;" · ","")&amp;IF(AND($S180="Macro",$G180=""),"Peso vacío"&amp;" · ","")&amp;IF(AND($S180="Macro",$G180&lt;&gt;"",OR(NOT(ISNUMBER($G180)),$G180&lt;=0,$G180&gt;1)),"Peso fuera de rango"&amp;" · ","")&amp;IF(AND($S180="Sub",$G180&lt;&gt;""),"Las subactividades no llevan peso"&amp;" · ","")&amp;IF(AND($S180="Macro",ABS(SUMIFS($G$5:$G$1000,$P$5:$P$1000,$P180,$S$5:$S$1000,"Macro")-1)&gt;0.0001),"Pesos del mes suman "&amp;TEXT(SUMIFS($G$5:$G$1000,$P$5:$P$1000,$P180,$S$5:$S$1000,"Macro"),"0%")&amp;" · ","")&amp;IF(AND(N($T180)&gt;0,COUNT($H180:$K180)&gt;0),"Con subactividades: deje vacías las semanas (se calculan solas)"&amp;" · ","")&amp;IF((COUNTIF($H180:$K180,"&gt;1")+COUNTIF($H180:$K180,"&lt;0")+COUNTA($H180:$K180)-COUNT($H180:$K180))&gt;0,"Avance fuera de rango 0-100%"&amp;" · ","")&amp;IF(OR(AND($I180&lt;&gt;"",$I180&lt;$H180),AND($J180&lt;&gt;"",$J180&lt;MAX($H180:$I180)),AND($K180&lt;&gt;"",$K180&lt;MAX($H180:$J180))),"Avance semanal decreciente"&amp;" · ","")&amp;IF(AND(ISNUMBER($F180),$F180&lt;FechaRef,N($L180)&lt;1),"Vencida"&amp;" · ","")&amp;IF(AND(ObsObligatoria="Sí",ISNUMBER($F180),$F180&lt;FechaRef,N($L180)&lt;1,$N180=""),"Vencida sin observación"&amp;" · ",""))-3)))</f>
        <v/>
      </c>
      <c r="P180" s="69">
        <f>IF(NOT((COUNTA($B180:$K180)+COUNTA($N180))&gt;0),"",IF(AND($S180="Sub",N($R180)&gt;0),IF(ISNUMBER(INDEX($E$5:$E$1000,$R180-4)),DATE(YEAR(INDEX($E$5:$E$1000,$R180-4)),MONTH(INDEX($E$5:$E$1000,$R180-4)),1),IF(ISNUMBER(INDEX($F$5:$F$1000,$R180-4)),DATE(YEAR(INDEX($F$5:$F$1000,$R180-4)),MONTH(INDEX($F$5:$F$1000,$R180-4)),1),MesCiclo)),IF(ISNUMBER($E180),DATE(YEAR($E180),MONTH($E180),1),IF(ISNUMBER($F180),DATE(YEAR($F180),MONTH($F180),1),MesCiclo))))</f>
        <v/>
      </c>
      <c r="Q180" s="70">
        <f>IF(OR($P180="",$P180&lt;&gt;MesCiclo),"",COUNTIF($P$5:$P180,MesCiclo))</f>
        <v/>
      </c>
      <c r="R180" s="70">
        <f>IF($S180="","",IF($S180="Macro",ROW(),IFERROR(LOOKUP(2,1/($S$5:$S180="Macro"),ROW($S$5:$S180)),0)))</f>
        <v/>
      </c>
      <c r="S180" s="70">
        <f>IF(NOT((COUNTA($B180:$K180)+COUNTA($N180))&gt;0),"",IF($B180&lt;&gt;"","Macro",IF($C180&lt;&gt;"","Sub","Macro")))</f>
        <v/>
      </c>
      <c r="T180" s="70">
        <f>IF($S180="Macro",COUNTIFS($R$5:$R$1000,ROW(),$S$5:$S$1000,"Sub"),"")</f>
        <v/>
      </c>
      <c r="U180" s="70">
        <f>IF($S180="","",IF(ISNUMBER($H180),$H180,0))</f>
        <v/>
      </c>
      <c r="V180" s="70">
        <f>IF($S180="","",IF(ISNUMBER($I180),$I180,$U180))</f>
        <v/>
      </c>
      <c r="W180" s="70">
        <f>IF($S180="","",IF(ISNUMBER($J180),$J180,$V180))</f>
        <v/>
      </c>
      <c r="X180" s="70">
        <f>IF($S180="","",IF(ISNUMBER($K180),$K180,$W180))</f>
        <v/>
      </c>
      <c r="Y180" s="70">
        <f>IF($S180="","",IF(N($T180)&gt;0,AVERAGEIFS($U$5:$U$1000,$R$5:$R$1000,ROW(),$S$5:$S$1000,"Sub"),$U180))</f>
        <v/>
      </c>
      <c r="Z180" s="70">
        <f>IF($S180="","",IF(N($T180)&gt;0,AVERAGEIFS($V$5:$V$1000,$R$5:$R$1000,ROW(),$S$5:$S$1000,"Sub"),$V180))</f>
        <v/>
      </c>
      <c r="AA180" s="70">
        <f>IF($S180="","",IF(N($T180)&gt;0,AVERAGEIFS($W$5:$W$1000,$R$5:$R$1000,ROW(),$S$5:$S$1000,"Sub"),$W180))</f>
        <v/>
      </c>
      <c r="AB180" s="70">
        <f>IF($S180="","",IF(N($T180)&gt;0,AVERAGEIFS($X$5:$X$1000,$R$5:$R$1000,ROW(),$S$5:$S$1000,"Sub"),$X180))</f>
        <v/>
      </c>
    </row>
    <row r="181">
      <c r="A181" s="61">
        <f>IF(NOT((COUNTA($B181:$K181)+COUNTA($N181))&gt;0),"",IF($S181="Macro",COUNTIFS($S$5:$S181,"Macro",$P$5:$P181,$P181),IF(N($R181)=0,"?",COUNTIFS(INDEX($S$5:$S$1000,1):INDEX($S$5:$S$1000,$R181-4),"Macro",INDEX($P$5:$P$1000,1):INDEX($P$5:$P$1000,$R181-4),INDEX($P$5:$P$1000,$R181-4))&amp;"."&amp;COUNTIFS($R$5:$R181,$R181,$S$5:$S181,"Sub"))))</f>
        <v/>
      </c>
      <c r="B181" s="62" t="n"/>
      <c r="C181" s="63" t="n"/>
      <c r="D181" s="62" t="n"/>
      <c r="E181" s="64" t="n"/>
      <c r="F181" s="64" t="n"/>
      <c r="G181" s="65" t="n"/>
      <c r="H181" s="66" t="n"/>
      <c r="I181" s="66" t="n"/>
      <c r="J181" s="66" t="n"/>
      <c r="K181" s="66" t="n"/>
      <c r="L181" s="67">
        <f>IF(NOT((COUNTA($B181:$K181)+COUNTA($N181))&gt;0),"",IF(N($T181)&gt;0,$AB181,IFERROR(LOOKUP(2,1/(H181:K181&lt;&gt;""),H181:K181),0)))</f>
        <v/>
      </c>
      <c r="M181" s="61">
        <f>IF(L181="","",IF(L181&gt;=1,"Completado",IF(L181&gt;0,"En curso","Pendiente")))</f>
        <v/>
      </c>
      <c r="N181" s="62" t="n"/>
      <c r="O181" s="68">
        <f>IF(NOT((COUNTA($B181:$K181)+COUNTA($N181))&gt;0),"",IF((IF(AND($S181="Macro",$B181=""),"Macroactividad vacía"&amp;" · ","")&amp;IF(AND($B181&lt;&gt;"",$C181&lt;&gt;""),"Escriba la subactividad en otra fila, debajo de su macroactividad"&amp;" · ","")&amp;IF(AND($S181="Sub",N($R181)=0),"Subactividad sin macroactividad arriba"&amp;" · ","")&amp;IF($D181="","Sin responsable"&amp;" · ","")&amp;IF($E181="","Sin fecha de inicio"&amp;" · ","")&amp;IF($F181="","Sin fecha límite"&amp;" · ","")&amp;IF(OR(AND($E181&lt;&gt;"",NOT(ISNUMBER($E181))),AND($F181&lt;&gt;"",NOT(ISNUMBER($F181)))),"Fecha no válida"&amp;" · ","")&amp;IF(AND(ISNUMBER($E181),ISNUMBER($F181),$E181&gt;$F181),"Inicio posterior a fecha límite"&amp;" · ","")&amp;IF(AND($S181="Macro",$G181=""),"Peso vacío"&amp;" · ","")&amp;IF(AND($S181="Macro",$G181&lt;&gt;"",OR(NOT(ISNUMBER($G181)),$G181&lt;=0,$G181&gt;1)),"Peso fuera de rango"&amp;" · ","")&amp;IF(AND($S181="Sub",$G181&lt;&gt;""),"Las subactividades no llevan peso"&amp;" · ","")&amp;IF(AND($S181="Macro",ABS(SUMIFS($G$5:$G$1000,$P$5:$P$1000,$P181,$S$5:$S$1000,"Macro")-1)&gt;0.0001),"Pesos del mes suman "&amp;TEXT(SUMIFS($G$5:$G$1000,$P$5:$P$1000,$P181,$S$5:$S$1000,"Macro"),"0%")&amp;" · ","")&amp;IF(AND(N($T181)&gt;0,COUNT($H181:$K181)&gt;0),"Con subactividades: deje vacías las semanas (se calculan solas)"&amp;" · ","")&amp;IF((COUNTIF($H181:$K181,"&gt;1")+COUNTIF($H181:$K181,"&lt;0")+COUNTA($H181:$K181)-COUNT($H181:$K181))&gt;0,"Avance fuera de rango 0-100%"&amp;" · ","")&amp;IF(OR(AND($I181&lt;&gt;"",$I181&lt;$H181),AND($J181&lt;&gt;"",$J181&lt;MAX($H181:$I181)),AND($K181&lt;&gt;"",$K181&lt;MAX($H181:$J181))),"Avance semanal decreciente"&amp;" · ","")&amp;IF(AND(ISNUMBER($F181),$F181&lt;FechaRef,N($L181)&lt;1),"Vencida"&amp;" · ","")&amp;IF(AND(ObsObligatoria="Sí",ISNUMBER($F181),$F181&lt;FechaRef,N($L181)&lt;1,$N181=""),"Vencida sin observación"&amp;" · ",""))="","✔ OK","⚠ "&amp;LEFT(IF(AND($S181="Macro",$B181=""),"Macroactividad vacía"&amp;" · ","")&amp;IF(AND($B181&lt;&gt;"",$C181&lt;&gt;""),"Escriba la subactividad en otra fila, debajo de su macroactividad"&amp;" · ","")&amp;IF(AND($S181="Sub",N($R181)=0),"Subactividad sin macroactividad arriba"&amp;" · ","")&amp;IF($D181="","Sin responsable"&amp;" · ","")&amp;IF($E181="","Sin fecha de inicio"&amp;" · ","")&amp;IF($F181="","Sin fecha límite"&amp;" · ","")&amp;IF(OR(AND($E181&lt;&gt;"",NOT(ISNUMBER($E181))),AND($F181&lt;&gt;"",NOT(ISNUMBER($F181)))),"Fecha no válida"&amp;" · ","")&amp;IF(AND(ISNUMBER($E181),ISNUMBER($F181),$E181&gt;$F181),"Inicio posterior a fecha límite"&amp;" · ","")&amp;IF(AND($S181="Macro",$G181=""),"Peso vacío"&amp;" · ","")&amp;IF(AND($S181="Macro",$G181&lt;&gt;"",OR(NOT(ISNUMBER($G181)),$G181&lt;=0,$G181&gt;1)),"Peso fuera de rango"&amp;" · ","")&amp;IF(AND($S181="Sub",$G181&lt;&gt;""),"Las subactividades no llevan peso"&amp;" · ","")&amp;IF(AND($S181="Macro",ABS(SUMIFS($G$5:$G$1000,$P$5:$P$1000,$P181,$S$5:$S$1000,"Macro")-1)&gt;0.0001),"Pesos del mes suman "&amp;TEXT(SUMIFS($G$5:$G$1000,$P$5:$P$1000,$P181,$S$5:$S$1000,"Macro"),"0%")&amp;" · ","")&amp;IF(AND(N($T181)&gt;0,COUNT($H181:$K181)&gt;0),"Con subactividades: deje vacías las semanas (se calculan solas)"&amp;" · ","")&amp;IF((COUNTIF($H181:$K181,"&gt;1")+COUNTIF($H181:$K181,"&lt;0")+COUNTA($H181:$K181)-COUNT($H181:$K181))&gt;0,"Avance fuera de rango 0-100%"&amp;" · ","")&amp;IF(OR(AND($I181&lt;&gt;"",$I181&lt;$H181),AND($J181&lt;&gt;"",$J181&lt;MAX($H181:$I181)),AND($K181&lt;&gt;"",$K181&lt;MAX($H181:$J181))),"Avance semanal decreciente"&amp;" · ","")&amp;IF(AND(ISNUMBER($F181),$F181&lt;FechaRef,N($L181)&lt;1),"Vencida"&amp;" · ","")&amp;IF(AND(ObsObligatoria="Sí",ISNUMBER($F181),$F181&lt;FechaRef,N($L181)&lt;1,$N181=""),"Vencida sin observación"&amp;" · ",""),LEN(IF(AND($S181="Macro",$B181=""),"Macroactividad vacía"&amp;" · ","")&amp;IF(AND($B181&lt;&gt;"",$C181&lt;&gt;""),"Escriba la subactividad en otra fila, debajo de su macroactividad"&amp;" · ","")&amp;IF(AND($S181="Sub",N($R181)=0),"Subactividad sin macroactividad arriba"&amp;" · ","")&amp;IF($D181="","Sin responsable"&amp;" · ","")&amp;IF($E181="","Sin fecha de inicio"&amp;" · ","")&amp;IF($F181="","Sin fecha límite"&amp;" · ","")&amp;IF(OR(AND($E181&lt;&gt;"",NOT(ISNUMBER($E181))),AND($F181&lt;&gt;"",NOT(ISNUMBER($F181)))),"Fecha no válida"&amp;" · ","")&amp;IF(AND(ISNUMBER($E181),ISNUMBER($F181),$E181&gt;$F181),"Inicio posterior a fecha límite"&amp;" · ","")&amp;IF(AND($S181="Macro",$G181=""),"Peso vacío"&amp;" · ","")&amp;IF(AND($S181="Macro",$G181&lt;&gt;"",OR(NOT(ISNUMBER($G181)),$G181&lt;=0,$G181&gt;1)),"Peso fuera de rango"&amp;" · ","")&amp;IF(AND($S181="Sub",$G181&lt;&gt;""),"Las subactividades no llevan peso"&amp;" · ","")&amp;IF(AND($S181="Macro",ABS(SUMIFS($G$5:$G$1000,$P$5:$P$1000,$P181,$S$5:$S$1000,"Macro")-1)&gt;0.0001),"Pesos del mes suman "&amp;TEXT(SUMIFS($G$5:$G$1000,$P$5:$P$1000,$P181,$S$5:$S$1000,"Macro"),"0%")&amp;" · ","")&amp;IF(AND(N($T181)&gt;0,COUNT($H181:$K181)&gt;0),"Con subactividades: deje vacías las semanas (se calculan solas)"&amp;" · ","")&amp;IF((COUNTIF($H181:$K181,"&gt;1")+COUNTIF($H181:$K181,"&lt;0")+COUNTA($H181:$K181)-COUNT($H181:$K181))&gt;0,"Avance fuera de rango 0-100%"&amp;" · ","")&amp;IF(OR(AND($I181&lt;&gt;"",$I181&lt;$H181),AND($J181&lt;&gt;"",$J181&lt;MAX($H181:$I181)),AND($K181&lt;&gt;"",$K181&lt;MAX($H181:$J181))),"Avance semanal decreciente"&amp;" · ","")&amp;IF(AND(ISNUMBER($F181),$F181&lt;FechaRef,N($L181)&lt;1),"Vencida"&amp;" · ","")&amp;IF(AND(ObsObligatoria="Sí",ISNUMBER($F181),$F181&lt;FechaRef,N($L181)&lt;1,$N181=""),"Vencida sin observación"&amp;" · ",""))-3)))</f>
        <v/>
      </c>
      <c r="P181" s="69">
        <f>IF(NOT((COUNTA($B181:$K181)+COUNTA($N181))&gt;0),"",IF(AND($S181="Sub",N($R181)&gt;0),IF(ISNUMBER(INDEX($E$5:$E$1000,$R181-4)),DATE(YEAR(INDEX($E$5:$E$1000,$R181-4)),MONTH(INDEX($E$5:$E$1000,$R181-4)),1),IF(ISNUMBER(INDEX($F$5:$F$1000,$R181-4)),DATE(YEAR(INDEX($F$5:$F$1000,$R181-4)),MONTH(INDEX($F$5:$F$1000,$R181-4)),1),MesCiclo)),IF(ISNUMBER($E181),DATE(YEAR($E181),MONTH($E181),1),IF(ISNUMBER($F181),DATE(YEAR($F181),MONTH($F181),1),MesCiclo))))</f>
        <v/>
      </c>
      <c r="Q181" s="70">
        <f>IF(OR($P181="",$P181&lt;&gt;MesCiclo),"",COUNTIF($P$5:$P181,MesCiclo))</f>
        <v/>
      </c>
      <c r="R181" s="70">
        <f>IF($S181="","",IF($S181="Macro",ROW(),IFERROR(LOOKUP(2,1/($S$5:$S181="Macro"),ROW($S$5:$S181)),0)))</f>
        <v/>
      </c>
      <c r="S181" s="70">
        <f>IF(NOT((COUNTA($B181:$K181)+COUNTA($N181))&gt;0),"",IF($B181&lt;&gt;"","Macro",IF($C181&lt;&gt;"","Sub","Macro")))</f>
        <v/>
      </c>
      <c r="T181" s="70">
        <f>IF($S181="Macro",COUNTIFS($R$5:$R$1000,ROW(),$S$5:$S$1000,"Sub"),"")</f>
        <v/>
      </c>
      <c r="U181" s="70">
        <f>IF($S181="","",IF(ISNUMBER($H181),$H181,0))</f>
        <v/>
      </c>
      <c r="V181" s="70">
        <f>IF($S181="","",IF(ISNUMBER($I181),$I181,$U181))</f>
        <v/>
      </c>
      <c r="W181" s="70">
        <f>IF($S181="","",IF(ISNUMBER($J181),$J181,$V181))</f>
        <v/>
      </c>
      <c r="X181" s="70">
        <f>IF($S181="","",IF(ISNUMBER($K181),$K181,$W181))</f>
        <v/>
      </c>
      <c r="Y181" s="70">
        <f>IF($S181="","",IF(N($T181)&gt;0,AVERAGEIFS($U$5:$U$1000,$R$5:$R$1000,ROW(),$S$5:$S$1000,"Sub"),$U181))</f>
        <v/>
      </c>
      <c r="Z181" s="70">
        <f>IF($S181="","",IF(N($T181)&gt;0,AVERAGEIFS($V$5:$V$1000,$R$5:$R$1000,ROW(),$S$5:$S$1000,"Sub"),$V181))</f>
        <v/>
      </c>
      <c r="AA181" s="70">
        <f>IF($S181="","",IF(N($T181)&gt;0,AVERAGEIFS($W$5:$W$1000,$R$5:$R$1000,ROW(),$S$5:$S$1000,"Sub"),$W181))</f>
        <v/>
      </c>
      <c r="AB181" s="70">
        <f>IF($S181="","",IF(N($T181)&gt;0,AVERAGEIFS($X$5:$X$1000,$R$5:$R$1000,ROW(),$S$5:$S$1000,"Sub"),$X181))</f>
        <v/>
      </c>
    </row>
    <row r="182">
      <c r="A182" s="61">
        <f>IF(NOT((COUNTA($B182:$K182)+COUNTA($N182))&gt;0),"",IF($S182="Macro",COUNTIFS($S$5:$S182,"Macro",$P$5:$P182,$P182),IF(N($R182)=0,"?",COUNTIFS(INDEX($S$5:$S$1000,1):INDEX($S$5:$S$1000,$R182-4),"Macro",INDEX($P$5:$P$1000,1):INDEX($P$5:$P$1000,$R182-4),INDEX($P$5:$P$1000,$R182-4))&amp;"."&amp;COUNTIFS($R$5:$R182,$R182,$S$5:$S182,"Sub"))))</f>
        <v/>
      </c>
      <c r="B182" s="62" t="n"/>
      <c r="C182" s="63" t="n"/>
      <c r="D182" s="62" t="n"/>
      <c r="E182" s="64" t="n"/>
      <c r="F182" s="64" t="n"/>
      <c r="G182" s="65" t="n"/>
      <c r="H182" s="66" t="n"/>
      <c r="I182" s="66" t="n"/>
      <c r="J182" s="66" t="n"/>
      <c r="K182" s="66" t="n"/>
      <c r="L182" s="67">
        <f>IF(NOT((COUNTA($B182:$K182)+COUNTA($N182))&gt;0),"",IF(N($T182)&gt;0,$AB182,IFERROR(LOOKUP(2,1/(H182:K182&lt;&gt;""),H182:K182),0)))</f>
        <v/>
      </c>
      <c r="M182" s="61">
        <f>IF(L182="","",IF(L182&gt;=1,"Completado",IF(L182&gt;0,"En curso","Pendiente")))</f>
        <v/>
      </c>
      <c r="N182" s="62" t="n"/>
      <c r="O182" s="68">
        <f>IF(NOT((COUNTA($B182:$K182)+COUNTA($N182))&gt;0),"",IF((IF(AND($S182="Macro",$B182=""),"Macroactividad vacía"&amp;" · ","")&amp;IF(AND($B182&lt;&gt;"",$C182&lt;&gt;""),"Escriba la subactividad en otra fila, debajo de su macroactividad"&amp;" · ","")&amp;IF(AND($S182="Sub",N($R182)=0),"Subactividad sin macroactividad arriba"&amp;" · ","")&amp;IF($D182="","Sin responsable"&amp;" · ","")&amp;IF($E182="","Sin fecha de inicio"&amp;" · ","")&amp;IF($F182="","Sin fecha límite"&amp;" · ","")&amp;IF(OR(AND($E182&lt;&gt;"",NOT(ISNUMBER($E182))),AND($F182&lt;&gt;"",NOT(ISNUMBER($F182)))),"Fecha no válida"&amp;" · ","")&amp;IF(AND(ISNUMBER($E182),ISNUMBER($F182),$E182&gt;$F182),"Inicio posterior a fecha límite"&amp;" · ","")&amp;IF(AND($S182="Macro",$G182=""),"Peso vacío"&amp;" · ","")&amp;IF(AND($S182="Macro",$G182&lt;&gt;"",OR(NOT(ISNUMBER($G182)),$G182&lt;=0,$G182&gt;1)),"Peso fuera de rango"&amp;" · ","")&amp;IF(AND($S182="Sub",$G182&lt;&gt;""),"Las subactividades no llevan peso"&amp;" · ","")&amp;IF(AND($S182="Macro",ABS(SUMIFS($G$5:$G$1000,$P$5:$P$1000,$P182,$S$5:$S$1000,"Macro")-1)&gt;0.0001),"Pesos del mes suman "&amp;TEXT(SUMIFS($G$5:$G$1000,$P$5:$P$1000,$P182,$S$5:$S$1000,"Macro"),"0%")&amp;" · ","")&amp;IF(AND(N($T182)&gt;0,COUNT($H182:$K182)&gt;0),"Con subactividades: deje vacías las semanas (se calculan solas)"&amp;" · ","")&amp;IF((COUNTIF($H182:$K182,"&gt;1")+COUNTIF($H182:$K182,"&lt;0")+COUNTA($H182:$K182)-COUNT($H182:$K182))&gt;0,"Avance fuera de rango 0-100%"&amp;" · ","")&amp;IF(OR(AND($I182&lt;&gt;"",$I182&lt;$H182),AND($J182&lt;&gt;"",$J182&lt;MAX($H182:$I182)),AND($K182&lt;&gt;"",$K182&lt;MAX($H182:$J182))),"Avance semanal decreciente"&amp;" · ","")&amp;IF(AND(ISNUMBER($F182),$F182&lt;FechaRef,N($L182)&lt;1),"Vencida"&amp;" · ","")&amp;IF(AND(ObsObligatoria="Sí",ISNUMBER($F182),$F182&lt;FechaRef,N($L182)&lt;1,$N182=""),"Vencida sin observación"&amp;" · ",""))="","✔ OK","⚠ "&amp;LEFT(IF(AND($S182="Macro",$B182=""),"Macroactividad vacía"&amp;" · ","")&amp;IF(AND($B182&lt;&gt;"",$C182&lt;&gt;""),"Escriba la subactividad en otra fila, debajo de su macroactividad"&amp;" · ","")&amp;IF(AND($S182="Sub",N($R182)=0),"Subactividad sin macroactividad arriba"&amp;" · ","")&amp;IF($D182="","Sin responsable"&amp;" · ","")&amp;IF($E182="","Sin fecha de inicio"&amp;" · ","")&amp;IF($F182="","Sin fecha límite"&amp;" · ","")&amp;IF(OR(AND($E182&lt;&gt;"",NOT(ISNUMBER($E182))),AND($F182&lt;&gt;"",NOT(ISNUMBER($F182)))),"Fecha no válida"&amp;" · ","")&amp;IF(AND(ISNUMBER($E182),ISNUMBER($F182),$E182&gt;$F182),"Inicio posterior a fecha límite"&amp;" · ","")&amp;IF(AND($S182="Macro",$G182=""),"Peso vacío"&amp;" · ","")&amp;IF(AND($S182="Macro",$G182&lt;&gt;"",OR(NOT(ISNUMBER($G182)),$G182&lt;=0,$G182&gt;1)),"Peso fuera de rango"&amp;" · ","")&amp;IF(AND($S182="Sub",$G182&lt;&gt;""),"Las subactividades no llevan peso"&amp;" · ","")&amp;IF(AND($S182="Macro",ABS(SUMIFS($G$5:$G$1000,$P$5:$P$1000,$P182,$S$5:$S$1000,"Macro")-1)&gt;0.0001),"Pesos del mes suman "&amp;TEXT(SUMIFS($G$5:$G$1000,$P$5:$P$1000,$P182,$S$5:$S$1000,"Macro"),"0%")&amp;" · ","")&amp;IF(AND(N($T182)&gt;0,COUNT($H182:$K182)&gt;0),"Con subactividades: deje vacías las semanas (se calculan solas)"&amp;" · ","")&amp;IF((COUNTIF($H182:$K182,"&gt;1")+COUNTIF($H182:$K182,"&lt;0")+COUNTA($H182:$K182)-COUNT($H182:$K182))&gt;0,"Avance fuera de rango 0-100%"&amp;" · ","")&amp;IF(OR(AND($I182&lt;&gt;"",$I182&lt;$H182),AND($J182&lt;&gt;"",$J182&lt;MAX($H182:$I182)),AND($K182&lt;&gt;"",$K182&lt;MAX($H182:$J182))),"Avance semanal decreciente"&amp;" · ","")&amp;IF(AND(ISNUMBER($F182),$F182&lt;FechaRef,N($L182)&lt;1),"Vencida"&amp;" · ","")&amp;IF(AND(ObsObligatoria="Sí",ISNUMBER($F182),$F182&lt;FechaRef,N($L182)&lt;1,$N182=""),"Vencida sin observación"&amp;" · ",""),LEN(IF(AND($S182="Macro",$B182=""),"Macroactividad vacía"&amp;" · ","")&amp;IF(AND($B182&lt;&gt;"",$C182&lt;&gt;""),"Escriba la subactividad en otra fila, debajo de su macroactividad"&amp;" · ","")&amp;IF(AND($S182="Sub",N($R182)=0),"Subactividad sin macroactividad arriba"&amp;" · ","")&amp;IF($D182="","Sin responsable"&amp;" · ","")&amp;IF($E182="","Sin fecha de inicio"&amp;" · ","")&amp;IF($F182="","Sin fecha límite"&amp;" · ","")&amp;IF(OR(AND($E182&lt;&gt;"",NOT(ISNUMBER($E182))),AND($F182&lt;&gt;"",NOT(ISNUMBER($F182)))),"Fecha no válida"&amp;" · ","")&amp;IF(AND(ISNUMBER($E182),ISNUMBER($F182),$E182&gt;$F182),"Inicio posterior a fecha límite"&amp;" · ","")&amp;IF(AND($S182="Macro",$G182=""),"Peso vacío"&amp;" · ","")&amp;IF(AND($S182="Macro",$G182&lt;&gt;"",OR(NOT(ISNUMBER($G182)),$G182&lt;=0,$G182&gt;1)),"Peso fuera de rango"&amp;" · ","")&amp;IF(AND($S182="Sub",$G182&lt;&gt;""),"Las subactividades no llevan peso"&amp;" · ","")&amp;IF(AND($S182="Macro",ABS(SUMIFS($G$5:$G$1000,$P$5:$P$1000,$P182,$S$5:$S$1000,"Macro")-1)&gt;0.0001),"Pesos del mes suman "&amp;TEXT(SUMIFS($G$5:$G$1000,$P$5:$P$1000,$P182,$S$5:$S$1000,"Macro"),"0%")&amp;" · ","")&amp;IF(AND(N($T182)&gt;0,COUNT($H182:$K182)&gt;0),"Con subactividades: deje vacías las semanas (se calculan solas)"&amp;" · ","")&amp;IF((COUNTIF($H182:$K182,"&gt;1")+COUNTIF($H182:$K182,"&lt;0")+COUNTA($H182:$K182)-COUNT($H182:$K182))&gt;0,"Avance fuera de rango 0-100%"&amp;" · ","")&amp;IF(OR(AND($I182&lt;&gt;"",$I182&lt;$H182),AND($J182&lt;&gt;"",$J182&lt;MAX($H182:$I182)),AND($K182&lt;&gt;"",$K182&lt;MAX($H182:$J182))),"Avance semanal decreciente"&amp;" · ","")&amp;IF(AND(ISNUMBER($F182),$F182&lt;FechaRef,N($L182)&lt;1),"Vencida"&amp;" · ","")&amp;IF(AND(ObsObligatoria="Sí",ISNUMBER($F182),$F182&lt;FechaRef,N($L182)&lt;1,$N182=""),"Vencida sin observación"&amp;" · ",""))-3)))</f>
        <v/>
      </c>
      <c r="P182" s="69">
        <f>IF(NOT((COUNTA($B182:$K182)+COUNTA($N182))&gt;0),"",IF(AND($S182="Sub",N($R182)&gt;0),IF(ISNUMBER(INDEX($E$5:$E$1000,$R182-4)),DATE(YEAR(INDEX($E$5:$E$1000,$R182-4)),MONTH(INDEX($E$5:$E$1000,$R182-4)),1),IF(ISNUMBER(INDEX($F$5:$F$1000,$R182-4)),DATE(YEAR(INDEX($F$5:$F$1000,$R182-4)),MONTH(INDEX($F$5:$F$1000,$R182-4)),1),MesCiclo)),IF(ISNUMBER($E182),DATE(YEAR($E182),MONTH($E182),1),IF(ISNUMBER($F182),DATE(YEAR($F182),MONTH($F182),1),MesCiclo))))</f>
        <v/>
      </c>
      <c r="Q182" s="70">
        <f>IF(OR($P182="",$P182&lt;&gt;MesCiclo),"",COUNTIF($P$5:$P182,MesCiclo))</f>
        <v/>
      </c>
      <c r="R182" s="70">
        <f>IF($S182="","",IF($S182="Macro",ROW(),IFERROR(LOOKUP(2,1/($S$5:$S182="Macro"),ROW($S$5:$S182)),0)))</f>
        <v/>
      </c>
      <c r="S182" s="70">
        <f>IF(NOT((COUNTA($B182:$K182)+COUNTA($N182))&gt;0),"",IF($B182&lt;&gt;"","Macro",IF($C182&lt;&gt;"","Sub","Macro")))</f>
        <v/>
      </c>
      <c r="T182" s="70">
        <f>IF($S182="Macro",COUNTIFS($R$5:$R$1000,ROW(),$S$5:$S$1000,"Sub"),"")</f>
        <v/>
      </c>
      <c r="U182" s="70">
        <f>IF($S182="","",IF(ISNUMBER($H182),$H182,0))</f>
        <v/>
      </c>
      <c r="V182" s="70">
        <f>IF($S182="","",IF(ISNUMBER($I182),$I182,$U182))</f>
        <v/>
      </c>
      <c r="W182" s="70">
        <f>IF($S182="","",IF(ISNUMBER($J182),$J182,$V182))</f>
        <v/>
      </c>
      <c r="X182" s="70">
        <f>IF($S182="","",IF(ISNUMBER($K182),$K182,$W182))</f>
        <v/>
      </c>
      <c r="Y182" s="70">
        <f>IF($S182="","",IF(N($T182)&gt;0,AVERAGEIFS($U$5:$U$1000,$R$5:$R$1000,ROW(),$S$5:$S$1000,"Sub"),$U182))</f>
        <v/>
      </c>
      <c r="Z182" s="70">
        <f>IF($S182="","",IF(N($T182)&gt;0,AVERAGEIFS($V$5:$V$1000,$R$5:$R$1000,ROW(),$S$5:$S$1000,"Sub"),$V182))</f>
        <v/>
      </c>
      <c r="AA182" s="70">
        <f>IF($S182="","",IF(N($T182)&gt;0,AVERAGEIFS($W$5:$W$1000,$R$5:$R$1000,ROW(),$S$5:$S$1000,"Sub"),$W182))</f>
        <v/>
      </c>
      <c r="AB182" s="70">
        <f>IF($S182="","",IF(N($T182)&gt;0,AVERAGEIFS($X$5:$X$1000,$R$5:$R$1000,ROW(),$S$5:$S$1000,"Sub"),$X182))</f>
        <v/>
      </c>
    </row>
    <row r="183">
      <c r="A183" s="61">
        <f>IF(NOT((COUNTA($B183:$K183)+COUNTA($N183))&gt;0),"",IF($S183="Macro",COUNTIFS($S$5:$S183,"Macro",$P$5:$P183,$P183),IF(N($R183)=0,"?",COUNTIFS(INDEX($S$5:$S$1000,1):INDEX($S$5:$S$1000,$R183-4),"Macro",INDEX($P$5:$P$1000,1):INDEX($P$5:$P$1000,$R183-4),INDEX($P$5:$P$1000,$R183-4))&amp;"."&amp;COUNTIFS($R$5:$R183,$R183,$S$5:$S183,"Sub"))))</f>
        <v/>
      </c>
      <c r="B183" s="62" t="n"/>
      <c r="C183" s="63" t="n"/>
      <c r="D183" s="62" t="n"/>
      <c r="E183" s="64" t="n"/>
      <c r="F183" s="64" t="n"/>
      <c r="G183" s="65" t="n"/>
      <c r="H183" s="66" t="n"/>
      <c r="I183" s="66" t="n"/>
      <c r="J183" s="66" t="n"/>
      <c r="K183" s="66" t="n"/>
      <c r="L183" s="67">
        <f>IF(NOT((COUNTA($B183:$K183)+COUNTA($N183))&gt;0),"",IF(N($T183)&gt;0,$AB183,IFERROR(LOOKUP(2,1/(H183:K183&lt;&gt;""),H183:K183),0)))</f>
        <v/>
      </c>
      <c r="M183" s="61">
        <f>IF(L183="","",IF(L183&gt;=1,"Completado",IF(L183&gt;0,"En curso","Pendiente")))</f>
        <v/>
      </c>
      <c r="N183" s="62" t="n"/>
      <c r="O183" s="68">
        <f>IF(NOT((COUNTA($B183:$K183)+COUNTA($N183))&gt;0),"",IF((IF(AND($S183="Macro",$B183=""),"Macroactividad vacía"&amp;" · ","")&amp;IF(AND($B183&lt;&gt;"",$C183&lt;&gt;""),"Escriba la subactividad en otra fila, debajo de su macroactividad"&amp;" · ","")&amp;IF(AND($S183="Sub",N($R183)=0),"Subactividad sin macroactividad arriba"&amp;" · ","")&amp;IF($D183="","Sin responsable"&amp;" · ","")&amp;IF($E183="","Sin fecha de inicio"&amp;" · ","")&amp;IF($F183="","Sin fecha límite"&amp;" · ","")&amp;IF(OR(AND($E183&lt;&gt;"",NOT(ISNUMBER($E183))),AND($F183&lt;&gt;"",NOT(ISNUMBER($F183)))),"Fecha no válida"&amp;" · ","")&amp;IF(AND(ISNUMBER($E183),ISNUMBER($F183),$E183&gt;$F183),"Inicio posterior a fecha límite"&amp;" · ","")&amp;IF(AND($S183="Macro",$G183=""),"Peso vacío"&amp;" · ","")&amp;IF(AND($S183="Macro",$G183&lt;&gt;"",OR(NOT(ISNUMBER($G183)),$G183&lt;=0,$G183&gt;1)),"Peso fuera de rango"&amp;" · ","")&amp;IF(AND($S183="Sub",$G183&lt;&gt;""),"Las subactividades no llevan peso"&amp;" · ","")&amp;IF(AND($S183="Macro",ABS(SUMIFS($G$5:$G$1000,$P$5:$P$1000,$P183,$S$5:$S$1000,"Macro")-1)&gt;0.0001),"Pesos del mes suman "&amp;TEXT(SUMIFS($G$5:$G$1000,$P$5:$P$1000,$P183,$S$5:$S$1000,"Macro"),"0%")&amp;" · ","")&amp;IF(AND(N($T183)&gt;0,COUNT($H183:$K183)&gt;0),"Con subactividades: deje vacías las semanas (se calculan solas)"&amp;" · ","")&amp;IF((COUNTIF($H183:$K183,"&gt;1")+COUNTIF($H183:$K183,"&lt;0")+COUNTA($H183:$K183)-COUNT($H183:$K183))&gt;0,"Avance fuera de rango 0-100%"&amp;" · ","")&amp;IF(OR(AND($I183&lt;&gt;"",$I183&lt;$H183),AND($J183&lt;&gt;"",$J183&lt;MAX($H183:$I183)),AND($K183&lt;&gt;"",$K183&lt;MAX($H183:$J183))),"Avance semanal decreciente"&amp;" · ","")&amp;IF(AND(ISNUMBER($F183),$F183&lt;FechaRef,N($L183)&lt;1),"Vencida"&amp;" · ","")&amp;IF(AND(ObsObligatoria="Sí",ISNUMBER($F183),$F183&lt;FechaRef,N($L183)&lt;1,$N183=""),"Vencida sin observación"&amp;" · ",""))="","✔ OK","⚠ "&amp;LEFT(IF(AND($S183="Macro",$B183=""),"Macroactividad vacía"&amp;" · ","")&amp;IF(AND($B183&lt;&gt;"",$C183&lt;&gt;""),"Escriba la subactividad en otra fila, debajo de su macroactividad"&amp;" · ","")&amp;IF(AND($S183="Sub",N($R183)=0),"Subactividad sin macroactividad arriba"&amp;" · ","")&amp;IF($D183="","Sin responsable"&amp;" · ","")&amp;IF($E183="","Sin fecha de inicio"&amp;" · ","")&amp;IF($F183="","Sin fecha límite"&amp;" · ","")&amp;IF(OR(AND($E183&lt;&gt;"",NOT(ISNUMBER($E183))),AND($F183&lt;&gt;"",NOT(ISNUMBER($F183)))),"Fecha no válida"&amp;" · ","")&amp;IF(AND(ISNUMBER($E183),ISNUMBER($F183),$E183&gt;$F183),"Inicio posterior a fecha límite"&amp;" · ","")&amp;IF(AND($S183="Macro",$G183=""),"Peso vacío"&amp;" · ","")&amp;IF(AND($S183="Macro",$G183&lt;&gt;"",OR(NOT(ISNUMBER($G183)),$G183&lt;=0,$G183&gt;1)),"Peso fuera de rango"&amp;" · ","")&amp;IF(AND($S183="Sub",$G183&lt;&gt;""),"Las subactividades no llevan peso"&amp;" · ","")&amp;IF(AND($S183="Macro",ABS(SUMIFS($G$5:$G$1000,$P$5:$P$1000,$P183,$S$5:$S$1000,"Macro")-1)&gt;0.0001),"Pesos del mes suman "&amp;TEXT(SUMIFS($G$5:$G$1000,$P$5:$P$1000,$P183,$S$5:$S$1000,"Macro"),"0%")&amp;" · ","")&amp;IF(AND(N($T183)&gt;0,COUNT($H183:$K183)&gt;0),"Con subactividades: deje vacías las semanas (se calculan solas)"&amp;" · ","")&amp;IF((COUNTIF($H183:$K183,"&gt;1")+COUNTIF($H183:$K183,"&lt;0")+COUNTA($H183:$K183)-COUNT($H183:$K183))&gt;0,"Avance fuera de rango 0-100%"&amp;" · ","")&amp;IF(OR(AND($I183&lt;&gt;"",$I183&lt;$H183),AND($J183&lt;&gt;"",$J183&lt;MAX($H183:$I183)),AND($K183&lt;&gt;"",$K183&lt;MAX($H183:$J183))),"Avance semanal decreciente"&amp;" · ","")&amp;IF(AND(ISNUMBER($F183),$F183&lt;FechaRef,N($L183)&lt;1),"Vencida"&amp;" · ","")&amp;IF(AND(ObsObligatoria="Sí",ISNUMBER($F183),$F183&lt;FechaRef,N($L183)&lt;1,$N183=""),"Vencida sin observación"&amp;" · ",""),LEN(IF(AND($S183="Macro",$B183=""),"Macroactividad vacía"&amp;" · ","")&amp;IF(AND($B183&lt;&gt;"",$C183&lt;&gt;""),"Escriba la subactividad en otra fila, debajo de su macroactividad"&amp;" · ","")&amp;IF(AND($S183="Sub",N($R183)=0),"Subactividad sin macroactividad arriba"&amp;" · ","")&amp;IF($D183="","Sin responsable"&amp;" · ","")&amp;IF($E183="","Sin fecha de inicio"&amp;" · ","")&amp;IF($F183="","Sin fecha límite"&amp;" · ","")&amp;IF(OR(AND($E183&lt;&gt;"",NOT(ISNUMBER($E183))),AND($F183&lt;&gt;"",NOT(ISNUMBER($F183)))),"Fecha no válida"&amp;" · ","")&amp;IF(AND(ISNUMBER($E183),ISNUMBER($F183),$E183&gt;$F183),"Inicio posterior a fecha límite"&amp;" · ","")&amp;IF(AND($S183="Macro",$G183=""),"Peso vacío"&amp;" · ","")&amp;IF(AND($S183="Macro",$G183&lt;&gt;"",OR(NOT(ISNUMBER($G183)),$G183&lt;=0,$G183&gt;1)),"Peso fuera de rango"&amp;" · ","")&amp;IF(AND($S183="Sub",$G183&lt;&gt;""),"Las subactividades no llevan peso"&amp;" · ","")&amp;IF(AND($S183="Macro",ABS(SUMIFS($G$5:$G$1000,$P$5:$P$1000,$P183,$S$5:$S$1000,"Macro")-1)&gt;0.0001),"Pesos del mes suman "&amp;TEXT(SUMIFS($G$5:$G$1000,$P$5:$P$1000,$P183,$S$5:$S$1000,"Macro"),"0%")&amp;" · ","")&amp;IF(AND(N($T183)&gt;0,COUNT($H183:$K183)&gt;0),"Con subactividades: deje vacías las semanas (se calculan solas)"&amp;" · ","")&amp;IF((COUNTIF($H183:$K183,"&gt;1")+COUNTIF($H183:$K183,"&lt;0")+COUNTA($H183:$K183)-COUNT($H183:$K183))&gt;0,"Avance fuera de rango 0-100%"&amp;" · ","")&amp;IF(OR(AND($I183&lt;&gt;"",$I183&lt;$H183),AND($J183&lt;&gt;"",$J183&lt;MAX($H183:$I183)),AND($K183&lt;&gt;"",$K183&lt;MAX($H183:$J183))),"Avance semanal decreciente"&amp;" · ","")&amp;IF(AND(ISNUMBER($F183),$F183&lt;FechaRef,N($L183)&lt;1),"Vencida"&amp;" · ","")&amp;IF(AND(ObsObligatoria="Sí",ISNUMBER($F183),$F183&lt;FechaRef,N($L183)&lt;1,$N183=""),"Vencida sin observación"&amp;" · ",""))-3)))</f>
        <v/>
      </c>
      <c r="P183" s="69">
        <f>IF(NOT((COUNTA($B183:$K183)+COUNTA($N183))&gt;0),"",IF(AND($S183="Sub",N($R183)&gt;0),IF(ISNUMBER(INDEX($E$5:$E$1000,$R183-4)),DATE(YEAR(INDEX($E$5:$E$1000,$R183-4)),MONTH(INDEX($E$5:$E$1000,$R183-4)),1),IF(ISNUMBER(INDEX($F$5:$F$1000,$R183-4)),DATE(YEAR(INDEX($F$5:$F$1000,$R183-4)),MONTH(INDEX($F$5:$F$1000,$R183-4)),1),MesCiclo)),IF(ISNUMBER($E183),DATE(YEAR($E183),MONTH($E183),1),IF(ISNUMBER($F183),DATE(YEAR($F183),MONTH($F183),1),MesCiclo))))</f>
        <v/>
      </c>
      <c r="Q183" s="70">
        <f>IF(OR($P183="",$P183&lt;&gt;MesCiclo),"",COUNTIF($P$5:$P183,MesCiclo))</f>
        <v/>
      </c>
      <c r="R183" s="70">
        <f>IF($S183="","",IF($S183="Macro",ROW(),IFERROR(LOOKUP(2,1/($S$5:$S183="Macro"),ROW($S$5:$S183)),0)))</f>
        <v/>
      </c>
      <c r="S183" s="70">
        <f>IF(NOT((COUNTA($B183:$K183)+COUNTA($N183))&gt;0),"",IF($B183&lt;&gt;"","Macro",IF($C183&lt;&gt;"","Sub","Macro")))</f>
        <v/>
      </c>
      <c r="T183" s="70">
        <f>IF($S183="Macro",COUNTIFS($R$5:$R$1000,ROW(),$S$5:$S$1000,"Sub"),"")</f>
        <v/>
      </c>
      <c r="U183" s="70">
        <f>IF($S183="","",IF(ISNUMBER($H183),$H183,0))</f>
        <v/>
      </c>
      <c r="V183" s="70">
        <f>IF($S183="","",IF(ISNUMBER($I183),$I183,$U183))</f>
        <v/>
      </c>
      <c r="W183" s="70">
        <f>IF($S183="","",IF(ISNUMBER($J183),$J183,$V183))</f>
        <v/>
      </c>
      <c r="X183" s="70">
        <f>IF($S183="","",IF(ISNUMBER($K183),$K183,$W183))</f>
        <v/>
      </c>
      <c r="Y183" s="70">
        <f>IF($S183="","",IF(N($T183)&gt;0,AVERAGEIFS($U$5:$U$1000,$R$5:$R$1000,ROW(),$S$5:$S$1000,"Sub"),$U183))</f>
        <v/>
      </c>
      <c r="Z183" s="70">
        <f>IF($S183="","",IF(N($T183)&gt;0,AVERAGEIFS($V$5:$V$1000,$R$5:$R$1000,ROW(),$S$5:$S$1000,"Sub"),$V183))</f>
        <v/>
      </c>
      <c r="AA183" s="70">
        <f>IF($S183="","",IF(N($T183)&gt;0,AVERAGEIFS($W$5:$W$1000,$R$5:$R$1000,ROW(),$S$5:$S$1000,"Sub"),$W183))</f>
        <v/>
      </c>
      <c r="AB183" s="70">
        <f>IF($S183="","",IF(N($T183)&gt;0,AVERAGEIFS($X$5:$X$1000,$R$5:$R$1000,ROW(),$S$5:$S$1000,"Sub"),$X183))</f>
        <v/>
      </c>
    </row>
    <row r="184">
      <c r="A184" s="61">
        <f>IF(NOT((COUNTA($B184:$K184)+COUNTA($N184))&gt;0),"",IF($S184="Macro",COUNTIFS($S$5:$S184,"Macro",$P$5:$P184,$P184),IF(N($R184)=0,"?",COUNTIFS(INDEX($S$5:$S$1000,1):INDEX($S$5:$S$1000,$R184-4),"Macro",INDEX($P$5:$P$1000,1):INDEX($P$5:$P$1000,$R184-4),INDEX($P$5:$P$1000,$R184-4))&amp;"."&amp;COUNTIFS($R$5:$R184,$R184,$S$5:$S184,"Sub"))))</f>
        <v/>
      </c>
      <c r="B184" s="62" t="n"/>
      <c r="C184" s="63" t="n"/>
      <c r="D184" s="62" t="n"/>
      <c r="E184" s="64" t="n"/>
      <c r="F184" s="64" t="n"/>
      <c r="G184" s="65" t="n"/>
      <c r="H184" s="66" t="n"/>
      <c r="I184" s="66" t="n"/>
      <c r="J184" s="66" t="n"/>
      <c r="K184" s="66" t="n"/>
      <c r="L184" s="67">
        <f>IF(NOT((COUNTA($B184:$K184)+COUNTA($N184))&gt;0),"",IF(N($T184)&gt;0,$AB184,IFERROR(LOOKUP(2,1/(H184:K184&lt;&gt;""),H184:K184),0)))</f>
        <v/>
      </c>
      <c r="M184" s="61">
        <f>IF(L184="","",IF(L184&gt;=1,"Completado",IF(L184&gt;0,"En curso","Pendiente")))</f>
        <v/>
      </c>
      <c r="N184" s="62" t="n"/>
      <c r="O184" s="68">
        <f>IF(NOT((COUNTA($B184:$K184)+COUNTA($N184))&gt;0),"",IF((IF(AND($S184="Macro",$B184=""),"Macroactividad vacía"&amp;" · ","")&amp;IF(AND($B184&lt;&gt;"",$C184&lt;&gt;""),"Escriba la subactividad en otra fila, debajo de su macroactividad"&amp;" · ","")&amp;IF(AND($S184="Sub",N($R184)=0),"Subactividad sin macroactividad arriba"&amp;" · ","")&amp;IF($D184="","Sin responsable"&amp;" · ","")&amp;IF($E184="","Sin fecha de inicio"&amp;" · ","")&amp;IF($F184="","Sin fecha límite"&amp;" · ","")&amp;IF(OR(AND($E184&lt;&gt;"",NOT(ISNUMBER($E184))),AND($F184&lt;&gt;"",NOT(ISNUMBER($F184)))),"Fecha no válida"&amp;" · ","")&amp;IF(AND(ISNUMBER($E184),ISNUMBER($F184),$E184&gt;$F184),"Inicio posterior a fecha límite"&amp;" · ","")&amp;IF(AND($S184="Macro",$G184=""),"Peso vacío"&amp;" · ","")&amp;IF(AND($S184="Macro",$G184&lt;&gt;"",OR(NOT(ISNUMBER($G184)),$G184&lt;=0,$G184&gt;1)),"Peso fuera de rango"&amp;" · ","")&amp;IF(AND($S184="Sub",$G184&lt;&gt;""),"Las subactividades no llevan peso"&amp;" · ","")&amp;IF(AND($S184="Macro",ABS(SUMIFS($G$5:$G$1000,$P$5:$P$1000,$P184,$S$5:$S$1000,"Macro")-1)&gt;0.0001),"Pesos del mes suman "&amp;TEXT(SUMIFS($G$5:$G$1000,$P$5:$P$1000,$P184,$S$5:$S$1000,"Macro"),"0%")&amp;" · ","")&amp;IF(AND(N($T184)&gt;0,COUNT($H184:$K184)&gt;0),"Con subactividades: deje vacías las semanas (se calculan solas)"&amp;" · ","")&amp;IF((COUNTIF($H184:$K184,"&gt;1")+COUNTIF($H184:$K184,"&lt;0")+COUNTA($H184:$K184)-COUNT($H184:$K184))&gt;0,"Avance fuera de rango 0-100%"&amp;" · ","")&amp;IF(OR(AND($I184&lt;&gt;"",$I184&lt;$H184),AND($J184&lt;&gt;"",$J184&lt;MAX($H184:$I184)),AND($K184&lt;&gt;"",$K184&lt;MAX($H184:$J184))),"Avance semanal decreciente"&amp;" · ","")&amp;IF(AND(ISNUMBER($F184),$F184&lt;FechaRef,N($L184)&lt;1),"Vencida"&amp;" · ","")&amp;IF(AND(ObsObligatoria="Sí",ISNUMBER($F184),$F184&lt;FechaRef,N($L184)&lt;1,$N184=""),"Vencida sin observación"&amp;" · ",""))="","✔ OK","⚠ "&amp;LEFT(IF(AND($S184="Macro",$B184=""),"Macroactividad vacía"&amp;" · ","")&amp;IF(AND($B184&lt;&gt;"",$C184&lt;&gt;""),"Escriba la subactividad en otra fila, debajo de su macroactividad"&amp;" · ","")&amp;IF(AND($S184="Sub",N($R184)=0),"Subactividad sin macroactividad arriba"&amp;" · ","")&amp;IF($D184="","Sin responsable"&amp;" · ","")&amp;IF($E184="","Sin fecha de inicio"&amp;" · ","")&amp;IF($F184="","Sin fecha límite"&amp;" · ","")&amp;IF(OR(AND($E184&lt;&gt;"",NOT(ISNUMBER($E184))),AND($F184&lt;&gt;"",NOT(ISNUMBER($F184)))),"Fecha no válida"&amp;" · ","")&amp;IF(AND(ISNUMBER($E184),ISNUMBER($F184),$E184&gt;$F184),"Inicio posterior a fecha límite"&amp;" · ","")&amp;IF(AND($S184="Macro",$G184=""),"Peso vacío"&amp;" · ","")&amp;IF(AND($S184="Macro",$G184&lt;&gt;"",OR(NOT(ISNUMBER($G184)),$G184&lt;=0,$G184&gt;1)),"Peso fuera de rango"&amp;" · ","")&amp;IF(AND($S184="Sub",$G184&lt;&gt;""),"Las subactividades no llevan peso"&amp;" · ","")&amp;IF(AND($S184="Macro",ABS(SUMIFS($G$5:$G$1000,$P$5:$P$1000,$P184,$S$5:$S$1000,"Macro")-1)&gt;0.0001),"Pesos del mes suman "&amp;TEXT(SUMIFS($G$5:$G$1000,$P$5:$P$1000,$P184,$S$5:$S$1000,"Macro"),"0%")&amp;" · ","")&amp;IF(AND(N($T184)&gt;0,COUNT($H184:$K184)&gt;0),"Con subactividades: deje vacías las semanas (se calculan solas)"&amp;" · ","")&amp;IF((COUNTIF($H184:$K184,"&gt;1")+COUNTIF($H184:$K184,"&lt;0")+COUNTA($H184:$K184)-COUNT($H184:$K184))&gt;0,"Avance fuera de rango 0-100%"&amp;" · ","")&amp;IF(OR(AND($I184&lt;&gt;"",$I184&lt;$H184),AND($J184&lt;&gt;"",$J184&lt;MAX($H184:$I184)),AND($K184&lt;&gt;"",$K184&lt;MAX($H184:$J184))),"Avance semanal decreciente"&amp;" · ","")&amp;IF(AND(ISNUMBER($F184),$F184&lt;FechaRef,N($L184)&lt;1),"Vencida"&amp;" · ","")&amp;IF(AND(ObsObligatoria="Sí",ISNUMBER($F184),$F184&lt;FechaRef,N($L184)&lt;1,$N184=""),"Vencida sin observación"&amp;" · ",""),LEN(IF(AND($S184="Macro",$B184=""),"Macroactividad vacía"&amp;" · ","")&amp;IF(AND($B184&lt;&gt;"",$C184&lt;&gt;""),"Escriba la subactividad en otra fila, debajo de su macroactividad"&amp;" · ","")&amp;IF(AND($S184="Sub",N($R184)=0),"Subactividad sin macroactividad arriba"&amp;" · ","")&amp;IF($D184="","Sin responsable"&amp;" · ","")&amp;IF($E184="","Sin fecha de inicio"&amp;" · ","")&amp;IF($F184="","Sin fecha límite"&amp;" · ","")&amp;IF(OR(AND($E184&lt;&gt;"",NOT(ISNUMBER($E184))),AND($F184&lt;&gt;"",NOT(ISNUMBER($F184)))),"Fecha no válida"&amp;" · ","")&amp;IF(AND(ISNUMBER($E184),ISNUMBER($F184),$E184&gt;$F184),"Inicio posterior a fecha límite"&amp;" · ","")&amp;IF(AND($S184="Macro",$G184=""),"Peso vacío"&amp;" · ","")&amp;IF(AND($S184="Macro",$G184&lt;&gt;"",OR(NOT(ISNUMBER($G184)),$G184&lt;=0,$G184&gt;1)),"Peso fuera de rango"&amp;" · ","")&amp;IF(AND($S184="Sub",$G184&lt;&gt;""),"Las subactividades no llevan peso"&amp;" · ","")&amp;IF(AND($S184="Macro",ABS(SUMIFS($G$5:$G$1000,$P$5:$P$1000,$P184,$S$5:$S$1000,"Macro")-1)&gt;0.0001),"Pesos del mes suman "&amp;TEXT(SUMIFS($G$5:$G$1000,$P$5:$P$1000,$P184,$S$5:$S$1000,"Macro"),"0%")&amp;" · ","")&amp;IF(AND(N($T184)&gt;0,COUNT($H184:$K184)&gt;0),"Con subactividades: deje vacías las semanas (se calculan solas)"&amp;" · ","")&amp;IF((COUNTIF($H184:$K184,"&gt;1")+COUNTIF($H184:$K184,"&lt;0")+COUNTA($H184:$K184)-COUNT($H184:$K184))&gt;0,"Avance fuera de rango 0-100%"&amp;" · ","")&amp;IF(OR(AND($I184&lt;&gt;"",$I184&lt;$H184),AND($J184&lt;&gt;"",$J184&lt;MAX($H184:$I184)),AND($K184&lt;&gt;"",$K184&lt;MAX($H184:$J184))),"Avance semanal decreciente"&amp;" · ","")&amp;IF(AND(ISNUMBER($F184),$F184&lt;FechaRef,N($L184)&lt;1),"Vencida"&amp;" · ","")&amp;IF(AND(ObsObligatoria="Sí",ISNUMBER($F184),$F184&lt;FechaRef,N($L184)&lt;1,$N184=""),"Vencida sin observación"&amp;" · ",""))-3)))</f>
        <v/>
      </c>
      <c r="P184" s="69">
        <f>IF(NOT((COUNTA($B184:$K184)+COUNTA($N184))&gt;0),"",IF(AND($S184="Sub",N($R184)&gt;0),IF(ISNUMBER(INDEX($E$5:$E$1000,$R184-4)),DATE(YEAR(INDEX($E$5:$E$1000,$R184-4)),MONTH(INDEX($E$5:$E$1000,$R184-4)),1),IF(ISNUMBER(INDEX($F$5:$F$1000,$R184-4)),DATE(YEAR(INDEX($F$5:$F$1000,$R184-4)),MONTH(INDEX($F$5:$F$1000,$R184-4)),1),MesCiclo)),IF(ISNUMBER($E184),DATE(YEAR($E184),MONTH($E184),1),IF(ISNUMBER($F184),DATE(YEAR($F184),MONTH($F184),1),MesCiclo))))</f>
        <v/>
      </c>
      <c r="Q184" s="70">
        <f>IF(OR($P184="",$P184&lt;&gt;MesCiclo),"",COUNTIF($P$5:$P184,MesCiclo))</f>
        <v/>
      </c>
      <c r="R184" s="70">
        <f>IF($S184="","",IF($S184="Macro",ROW(),IFERROR(LOOKUP(2,1/($S$5:$S184="Macro"),ROW($S$5:$S184)),0)))</f>
        <v/>
      </c>
      <c r="S184" s="70">
        <f>IF(NOT((COUNTA($B184:$K184)+COUNTA($N184))&gt;0),"",IF($B184&lt;&gt;"","Macro",IF($C184&lt;&gt;"","Sub","Macro")))</f>
        <v/>
      </c>
      <c r="T184" s="70">
        <f>IF($S184="Macro",COUNTIFS($R$5:$R$1000,ROW(),$S$5:$S$1000,"Sub"),"")</f>
        <v/>
      </c>
      <c r="U184" s="70">
        <f>IF($S184="","",IF(ISNUMBER($H184),$H184,0))</f>
        <v/>
      </c>
      <c r="V184" s="70">
        <f>IF($S184="","",IF(ISNUMBER($I184),$I184,$U184))</f>
        <v/>
      </c>
      <c r="W184" s="70">
        <f>IF($S184="","",IF(ISNUMBER($J184),$J184,$V184))</f>
        <v/>
      </c>
      <c r="X184" s="70">
        <f>IF($S184="","",IF(ISNUMBER($K184),$K184,$W184))</f>
        <v/>
      </c>
      <c r="Y184" s="70">
        <f>IF($S184="","",IF(N($T184)&gt;0,AVERAGEIFS($U$5:$U$1000,$R$5:$R$1000,ROW(),$S$5:$S$1000,"Sub"),$U184))</f>
        <v/>
      </c>
      <c r="Z184" s="70">
        <f>IF($S184="","",IF(N($T184)&gt;0,AVERAGEIFS($V$5:$V$1000,$R$5:$R$1000,ROW(),$S$5:$S$1000,"Sub"),$V184))</f>
        <v/>
      </c>
      <c r="AA184" s="70">
        <f>IF($S184="","",IF(N($T184)&gt;0,AVERAGEIFS($W$5:$W$1000,$R$5:$R$1000,ROW(),$S$5:$S$1000,"Sub"),$W184))</f>
        <v/>
      </c>
      <c r="AB184" s="70">
        <f>IF($S184="","",IF(N($T184)&gt;0,AVERAGEIFS($X$5:$X$1000,$R$5:$R$1000,ROW(),$S$5:$S$1000,"Sub"),$X184))</f>
        <v/>
      </c>
    </row>
    <row r="185">
      <c r="A185" s="61">
        <f>IF(NOT((COUNTA($B185:$K185)+COUNTA($N185))&gt;0),"",IF($S185="Macro",COUNTIFS($S$5:$S185,"Macro",$P$5:$P185,$P185),IF(N($R185)=0,"?",COUNTIFS(INDEX($S$5:$S$1000,1):INDEX($S$5:$S$1000,$R185-4),"Macro",INDEX($P$5:$P$1000,1):INDEX($P$5:$P$1000,$R185-4),INDEX($P$5:$P$1000,$R185-4))&amp;"."&amp;COUNTIFS($R$5:$R185,$R185,$S$5:$S185,"Sub"))))</f>
        <v/>
      </c>
      <c r="B185" s="62" t="n"/>
      <c r="C185" s="63" t="n"/>
      <c r="D185" s="62" t="n"/>
      <c r="E185" s="64" t="n"/>
      <c r="F185" s="64" t="n"/>
      <c r="G185" s="65" t="n"/>
      <c r="H185" s="66" t="n"/>
      <c r="I185" s="66" t="n"/>
      <c r="J185" s="66" t="n"/>
      <c r="K185" s="66" t="n"/>
      <c r="L185" s="67">
        <f>IF(NOT((COUNTA($B185:$K185)+COUNTA($N185))&gt;0),"",IF(N($T185)&gt;0,$AB185,IFERROR(LOOKUP(2,1/(H185:K185&lt;&gt;""),H185:K185),0)))</f>
        <v/>
      </c>
      <c r="M185" s="61">
        <f>IF(L185="","",IF(L185&gt;=1,"Completado",IF(L185&gt;0,"En curso","Pendiente")))</f>
        <v/>
      </c>
      <c r="N185" s="62" t="n"/>
      <c r="O185" s="68">
        <f>IF(NOT((COUNTA($B185:$K185)+COUNTA($N185))&gt;0),"",IF((IF(AND($S185="Macro",$B185=""),"Macroactividad vacía"&amp;" · ","")&amp;IF(AND($B185&lt;&gt;"",$C185&lt;&gt;""),"Escriba la subactividad en otra fila, debajo de su macroactividad"&amp;" · ","")&amp;IF(AND($S185="Sub",N($R185)=0),"Subactividad sin macroactividad arriba"&amp;" · ","")&amp;IF($D185="","Sin responsable"&amp;" · ","")&amp;IF($E185="","Sin fecha de inicio"&amp;" · ","")&amp;IF($F185="","Sin fecha límite"&amp;" · ","")&amp;IF(OR(AND($E185&lt;&gt;"",NOT(ISNUMBER($E185))),AND($F185&lt;&gt;"",NOT(ISNUMBER($F185)))),"Fecha no válida"&amp;" · ","")&amp;IF(AND(ISNUMBER($E185),ISNUMBER($F185),$E185&gt;$F185),"Inicio posterior a fecha límite"&amp;" · ","")&amp;IF(AND($S185="Macro",$G185=""),"Peso vacío"&amp;" · ","")&amp;IF(AND($S185="Macro",$G185&lt;&gt;"",OR(NOT(ISNUMBER($G185)),$G185&lt;=0,$G185&gt;1)),"Peso fuera de rango"&amp;" · ","")&amp;IF(AND($S185="Sub",$G185&lt;&gt;""),"Las subactividades no llevan peso"&amp;" · ","")&amp;IF(AND($S185="Macro",ABS(SUMIFS($G$5:$G$1000,$P$5:$P$1000,$P185,$S$5:$S$1000,"Macro")-1)&gt;0.0001),"Pesos del mes suman "&amp;TEXT(SUMIFS($G$5:$G$1000,$P$5:$P$1000,$P185,$S$5:$S$1000,"Macro"),"0%")&amp;" · ","")&amp;IF(AND(N($T185)&gt;0,COUNT($H185:$K185)&gt;0),"Con subactividades: deje vacías las semanas (se calculan solas)"&amp;" · ","")&amp;IF((COUNTIF($H185:$K185,"&gt;1")+COUNTIF($H185:$K185,"&lt;0")+COUNTA($H185:$K185)-COUNT($H185:$K185))&gt;0,"Avance fuera de rango 0-100%"&amp;" · ","")&amp;IF(OR(AND($I185&lt;&gt;"",$I185&lt;$H185),AND($J185&lt;&gt;"",$J185&lt;MAX($H185:$I185)),AND($K185&lt;&gt;"",$K185&lt;MAX($H185:$J185))),"Avance semanal decreciente"&amp;" · ","")&amp;IF(AND(ISNUMBER($F185),$F185&lt;FechaRef,N($L185)&lt;1),"Vencida"&amp;" · ","")&amp;IF(AND(ObsObligatoria="Sí",ISNUMBER($F185),$F185&lt;FechaRef,N($L185)&lt;1,$N185=""),"Vencida sin observación"&amp;" · ",""))="","✔ OK","⚠ "&amp;LEFT(IF(AND($S185="Macro",$B185=""),"Macroactividad vacía"&amp;" · ","")&amp;IF(AND($B185&lt;&gt;"",$C185&lt;&gt;""),"Escriba la subactividad en otra fila, debajo de su macroactividad"&amp;" · ","")&amp;IF(AND($S185="Sub",N($R185)=0),"Subactividad sin macroactividad arriba"&amp;" · ","")&amp;IF($D185="","Sin responsable"&amp;" · ","")&amp;IF($E185="","Sin fecha de inicio"&amp;" · ","")&amp;IF($F185="","Sin fecha límite"&amp;" · ","")&amp;IF(OR(AND($E185&lt;&gt;"",NOT(ISNUMBER($E185))),AND($F185&lt;&gt;"",NOT(ISNUMBER($F185)))),"Fecha no válida"&amp;" · ","")&amp;IF(AND(ISNUMBER($E185),ISNUMBER($F185),$E185&gt;$F185),"Inicio posterior a fecha límite"&amp;" · ","")&amp;IF(AND($S185="Macro",$G185=""),"Peso vacío"&amp;" · ","")&amp;IF(AND($S185="Macro",$G185&lt;&gt;"",OR(NOT(ISNUMBER($G185)),$G185&lt;=0,$G185&gt;1)),"Peso fuera de rango"&amp;" · ","")&amp;IF(AND($S185="Sub",$G185&lt;&gt;""),"Las subactividades no llevan peso"&amp;" · ","")&amp;IF(AND($S185="Macro",ABS(SUMIFS($G$5:$G$1000,$P$5:$P$1000,$P185,$S$5:$S$1000,"Macro")-1)&gt;0.0001),"Pesos del mes suman "&amp;TEXT(SUMIFS($G$5:$G$1000,$P$5:$P$1000,$P185,$S$5:$S$1000,"Macro"),"0%")&amp;" · ","")&amp;IF(AND(N($T185)&gt;0,COUNT($H185:$K185)&gt;0),"Con subactividades: deje vacías las semanas (se calculan solas)"&amp;" · ","")&amp;IF((COUNTIF($H185:$K185,"&gt;1")+COUNTIF($H185:$K185,"&lt;0")+COUNTA($H185:$K185)-COUNT($H185:$K185))&gt;0,"Avance fuera de rango 0-100%"&amp;" · ","")&amp;IF(OR(AND($I185&lt;&gt;"",$I185&lt;$H185),AND($J185&lt;&gt;"",$J185&lt;MAX($H185:$I185)),AND($K185&lt;&gt;"",$K185&lt;MAX($H185:$J185))),"Avance semanal decreciente"&amp;" · ","")&amp;IF(AND(ISNUMBER($F185),$F185&lt;FechaRef,N($L185)&lt;1),"Vencida"&amp;" · ","")&amp;IF(AND(ObsObligatoria="Sí",ISNUMBER($F185),$F185&lt;FechaRef,N($L185)&lt;1,$N185=""),"Vencida sin observación"&amp;" · ",""),LEN(IF(AND($S185="Macro",$B185=""),"Macroactividad vacía"&amp;" · ","")&amp;IF(AND($B185&lt;&gt;"",$C185&lt;&gt;""),"Escriba la subactividad en otra fila, debajo de su macroactividad"&amp;" · ","")&amp;IF(AND($S185="Sub",N($R185)=0),"Subactividad sin macroactividad arriba"&amp;" · ","")&amp;IF($D185="","Sin responsable"&amp;" · ","")&amp;IF($E185="","Sin fecha de inicio"&amp;" · ","")&amp;IF($F185="","Sin fecha límite"&amp;" · ","")&amp;IF(OR(AND($E185&lt;&gt;"",NOT(ISNUMBER($E185))),AND($F185&lt;&gt;"",NOT(ISNUMBER($F185)))),"Fecha no válida"&amp;" · ","")&amp;IF(AND(ISNUMBER($E185),ISNUMBER($F185),$E185&gt;$F185),"Inicio posterior a fecha límite"&amp;" · ","")&amp;IF(AND($S185="Macro",$G185=""),"Peso vacío"&amp;" · ","")&amp;IF(AND($S185="Macro",$G185&lt;&gt;"",OR(NOT(ISNUMBER($G185)),$G185&lt;=0,$G185&gt;1)),"Peso fuera de rango"&amp;" · ","")&amp;IF(AND($S185="Sub",$G185&lt;&gt;""),"Las subactividades no llevan peso"&amp;" · ","")&amp;IF(AND($S185="Macro",ABS(SUMIFS($G$5:$G$1000,$P$5:$P$1000,$P185,$S$5:$S$1000,"Macro")-1)&gt;0.0001),"Pesos del mes suman "&amp;TEXT(SUMIFS($G$5:$G$1000,$P$5:$P$1000,$P185,$S$5:$S$1000,"Macro"),"0%")&amp;" · ","")&amp;IF(AND(N($T185)&gt;0,COUNT($H185:$K185)&gt;0),"Con subactividades: deje vacías las semanas (se calculan solas)"&amp;" · ","")&amp;IF((COUNTIF($H185:$K185,"&gt;1")+COUNTIF($H185:$K185,"&lt;0")+COUNTA($H185:$K185)-COUNT($H185:$K185))&gt;0,"Avance fuera de rango 0-100%"&amp;" · ","")&amp;IF(OR(AND($I185&lt;&gt;"",$I185&lt;$H185),AND($J185&lt;&gt;"",$J185&lt;MAX($H185:$I185)),AND($K185&lt;&gt;"",$K185&lt;MAX($H185:$J185))),"Avance semanal decreciente"&amp;" · ","")&amp;IF(AND(ISNUMBER($F185),$F185&lt;FechaRef,N($L185)&lt;1),"Vencida"&amp;" · ","")&amp;IF(AND(ObsObligatoria="Sí",ISNUMBER($F185),$F185&lt;FechaRef,N($L185)&lt;1,$N185=""),"Vencida sin observación"&amp;" · ",""))-3)))</f>
        <v/>
      </c>
      <c r="P185" s="69">
        <f>IF(NOT((COUNTA($B185:$K185)+COUNTA($N185))&gt;0),"",IF(AND($S185="Sub",N($R185)&gt;0),IF(ISNUMBER(INDEX($E$5:$E$1000,$R185-4)),DATE(YEAR(INDEX($E$5:$E$1000,$R185-4)),MONTH(INDEX($E$5:$E$1000,$R185-4)),1),IF(ISNUMBER(INDEX($F$5:$F$1000,$R185-4)),DATE(YEAR(INDEX($F$5:$F$1000,$R185-4)),MONTH(INDEX($F$5:$F$1000,$R185-4)),1),MesCiclo)),IF(ISNUMBER($E185),DATE(YEAR($E185),MONTH($E185),1),IF(ISNUMBER($F185),DATE(YEAR($F185),MONTH($F185),1),MesCiclo))))</f>
        <v/>
      </c>
      <c r="Q185" s="70">
        <f>IF(OR($P185="",$P185&lt;&gt;MesCiclo),"",COUNTIF($P$5:$P185,MesCiclo))</f>
        <v/>
      </c>
      <c r="R185" s="70">
        <f>IF($S185="","",IF($S185="Macro",ROW(),IFERROR(LOOKUP(2,1/($S$5:$S185="Macro"),ROW($S$5:$S185)),0)))</f>
        <v/>
      </c>
      <c r="S185" s="70">
        <f>IF(NOT((COUNTA($B185:$K185)+COUNTA($N185))&gt;0),"",IF($B185&lt;&gt;"","Macro",IF($C185&lt;&gt;"","Sub","Macro")))</f>
        <v/>
      </c>
      <c r="T185" s="70">
        <f>IF($S185="Macro",COUNTIFS($R$5:$R$1000,ROW(),$S$5:$S$1000,"Sub"),"")</f>
        <v/>
      </c>
      <c r="U185" s="70">
        <f>IF($S185="","",IF(ISNUMBER($H185),$H185,0))</f>
        <v/>
      </c>
      <c r="V185" s="70">
        <f>IF($S185="","",IF(ISNUMBER($I185),$I185,$U185))</f>
        <v/>
      </c>
      <c r="W185" s="70">
        <f>IF($S185="","",IF(ISNUMBER($J185),$J185,$V185))</f>
        <v/>
      </c>
      <c r="X185" s="70">
        <f>IF($S185="","",IF(ISNUMBER($K185),$K185,$W185))</f>
        <v/>
      </c>
      <c r="Y185" s="70">
        <f>IF($S185="","",IF(N($T185)&gt;0,AVERAGEIFS($U$5:$U$1000,$R$5:$R$1000,ROW(),$S$5:$S$1000,"Sub"),$U185))</f>
        <v/>
      </c>
      <c r="Z185" s="70">
        <f>IF($S185="","",IF(N($T185)&gt;0,AVERAGEIFS($V$5:$V$1000,$R$5:$R$1000,ROW(),$S$5:$S$1000,"Sub"),$V185))</f>
        <v/>
      </c>
      <c r="AA185" s="70">
        <f>IF($S185="","",IF(N($T185)&gt;0,AVERAGEIFS($W$5:$W$1000,$R$5:$R$1000,ROW(),$S$5:$S$1000,"Sub"),$W185))</f>
        <v/>
      </c>
      <c r="AB185" s="70">
        <f>IF($S185="","",IF(N($T185)&gt;0,AVERAGEIFS($X$5:$X$1000,$R$5:$R$1000,ROW(),$S$5:$S$1000,"Sub"),$X185))</f>
        <v/>
      </c>
    </row>
    <row r="186">
      <c r="A186" s="61">
        <f>IF(NOT((COUNTA($B186:$K186)+COUNTA($N186))&gt;0),"",IF($S186="Macro",COUNTIFS($S$5:$S186,"Macro",$P$5:$P186,$P186),IF(N($R186)=0,"?",COUNTIFS(INDEX($S$5:$S$1000,1):INDEX($S$5:$S$1000,$R186-4),"Macro",INDEX($P$5:$P$1000,1):INDEX($P$5:$P$1000,$R186-4),INDEX($P$5:$P$1000,$R186-4))&amp;"."&amp;COUNTIFS($R$5:$R186,$R186,$S$5:$S186,"Sub"))))</f>
        <v/>
      </c>
      <c r="B186" s="62" t="n"/>
      <c r="C186" s="63" t="n"/>
      <c r="D186" s="62" t="n"/>
      <c r="E186" s="64" t="n"/>
      <c r="F186" s="64" t="n"/>
      <c r="G186" s="65" t="n"/>
      <c r="H186" s="66" t="n"/>
      <c r="I186" s="66" t="n"/>
      <c r="J186" s="66" t="n"/>
      <c r="K186" s="66" t="n"/>
      <c r="L186" s="67">
        <f>IF(NOT((COUNTA($B186:$K186)+COUNTA($N186))&gt;0),"",IF(N($T186)&gt;0,$AB186,IFERROR(LOOKUP(2,1/(H186:K186&lt;&gt;""),H186:K186),0)))</f>
        <v/>
      </c>
      <c r="M186" s="61">
        <f>IF(L186="","",IF(L186&gt;=1,"Completado",IF(L186&gt;0,"En curso","Pendiente")))</f>
        <v/>
      </c>
      <c r="N186" s="62" t="n"/>
      <c r="O186" s="68">
        <f>IF(NOT((COUNTA($B186:$K186)+COUNTA($N186))&gt;0),"",IF((IF(AND($S186="Macro",$B186=""),"Macroactividad vacía"&amp;" · ","")&amp;IF(AND($B186&lt;&gt;"",$C186&lt;&gt;""),"Escriba la subactividad en otra fila, debajo de su macroactividad"&amp;" · ","")&amp;IF(AND($S186="Sub",N($R186)=0),"Subactividad sin macroactividad arriba"&amp;" · ","")&amp;IF($D186="","Sin responsable"&amp;" · ","")&amp;IF($E186="","Sin fecha de inicio"&amp;" · ","")&amp;IF($F186="","Sin fecha límite"&amp;" · ","")&amp;IF(OR(AND($E186&lt;&gt;"",NOT(ISNUMBER($E186))),AND($F186&lt;&gt;"",NOT(ISNUMBER($F186)))),"Fecha no válida"&amp;" · ","")&amp;IF(AND(ISNUMBER($E186),ISNUMBER($F186),$E186&gt;$F186),"Inicio posterior a fecha límite"&amp;" · ","")&amp;IF(AND($S186="Macro",$G186=""),"Peso vacío"&amp;" · ","")&amp;IF(AND($S186="Macro",$G186&lt;&gt;"",OR(NOT(ISNUMBER($G186)),$G186&lt;=0,$G186&gt;1)),"Peso fuera de rango"&amp;" · ","")&amp;IF(AND($S186="Sub",$G186&lt;&gt;""),"Las subactividades no llevan peso"&amp;" · ","")&amp;IF(AND($S186="Macro",ABS(SUMIFS($G$5:$G$1000,$P$5:$P$1000,$P186,$S$5:$S$1000,"Macro")-1)&gt;0.0001),"Pesos del mes suman "&amp;TEXT(SUMIFS($G$5:$G$1000,$P$5:$P$1000,$P186,$S$5:$S$1000,"Macro"),"0%")&amp;" · ","")&amp;IF(AND(N($T186)&gt;0,COUNT($H186:$K186)&gt;0),"Con subactividades: deje vacías las semanas (se calculan solas)"&amp;" · ","")&amp;IF((COUNTIF($H186:$K186,"&gt;1")+COUNTIF($H186:$K186,"&lt;0")+COUNTA($H186:$K186)-COUNT($H186:$K186))&gt;0,"Avance fuera de rango 0-100%"&amp;" · ","")&amp;IF(OR(AND($I186&lt;&gt;"",$I186&lt;$H186),AND($J186&lt;&gt;"",$J186&lt;MAX($H186:$I186)),AND($K186&lt;&gt;"",$K186&lt;MAX($H186:$J186))),"Avance semanal decreciente"&amp;" · ","")&amp;IF(AND(ISNUMBER($F186),$F186&lt;FechaRef,N($L186)&lt;1),"Vencida"&amp;" · ","")&amp;IF(AND(ObsObligatoria="Sí",ISNUMBER($F186),$F186&lt;FechaRef,N($L186)&lt;1,$N186=""),"Vencida sin observación"&amp;" · ",""))="","✔ OK","⚠ "&amp;LEFT(IF(AND($S186="Macro",$B186=""),"Macroactividad vacía"&amp;" · ","")&amp;IF(AND($B186&lt;&gt;"",$C186&lt;&gt;""),"Escriba la subactividad en otra fila, debajo de su macroactividad"&amp;" · ","")&amp;IF(AND($S186="Sub",N($R186)=0),"Subactividad sin macroactividad arriba"&amp;" · ","")&amp;IF($D186="","Sin responsable"&amp;" · ","")&amp;IF($E186="","Sin fecha de inicio"&amp;" · ","")&amp;IF($F186="","Sin fecha límite"&amp;" · ","")&amp;IF(OR(AND($E186&lt;&gt;"",NOT(ISNUMBER($E186))),AND($F186&lt;&gt;"",NOT(ISNUMBER($F186)))),"Fecha no válida"&amp;" · ","")&amp;IF(AND(ISNUMBER($E186),ISNUMBER($F186),$E186&gt;$F186),"Inicio posterior a fecha límite"&amp;" · ","")&amp;IF(AND($S186="Macro",$G186=""),"Peso vacío"&amp;" · ","")&amp;IF(AND($S186="Macro",$G186&lt;&gt;"",OR(NOT(ISNUMBER($G186)),$G186&lt;=0,$G186&gt;1)),"Peso fuera de rango"&amp;" · ","")&amp;IF(AND($S186="Sub",$G186&lt;&gt;""),"Las subactividades no llevan peso"&amp;" · ","")&amp;IF(AND($S186="Macro",ABS(SUMIFS($G$5:$G$1000,$P$5:$P$1000,$P186,$S$5:$S$1000,"Macro")-1)&gt;0.0001),"Pesos del mes suman "&amp;TEXT(SUMIFS($G$5:$G$1000,$P$5:$P$1000,$P186,$S$5:$S$1000,"Macro"),"0%")&amp;" · ","")&amp;IF(AND(N($T186)&gt;0,COUNT($H186:$K186)&gt;0),"Con subactividades: deje vacías las semanas (se calculan solas)"&amp;" · ","")&amp;IF((COUNTIF($H186:$K186,"&gt;1")+COUNTIF($H186:$K186,"&lt;0")+COUNTA($H186:$K186)-COUNT($H186:$K186))&gt;0,"Avance fuera de rango 0-100%"&amp;" · ","")&amp;IF(OR(AND($I186&lt;&gt;"",$I186&lt;$H186),AND($J186&lt;&gt;"",$J186&lt;MAX($H186:$I186)),AND($K186&lt;&gt;"",$K186&lt;MAX($H186:$J186))),"Avance semanal decreciente"&amp;" · ","")&amp;IF(AND(ISNUMBER($F186),$F186&lt;FechaRef,N($L186)&lt;1),"Vencida"&amp;" · ","")&amp;IF(AND(ObsObligatoria="Sí",ISNUMBER($F186),$F186&lt;FechaRef,N($L186)&lt;1,$N186=""),"Vencida sin observación"&amp;" · ",""),LEN(IF(AND($S186="Macro",$B186=""),"Macroactividad vacía"&amp;" · ","")&amp;IF(AND($B186&lt;&gt;"",$C186&lt;&gt;""),"Escriba la subactividad en otra fila, debajo de su macroactividad"&amp;" · ","")&amp;IF(AND($S186="Sub",N($R186)=0),"Subactividad sin macroactividad arriba"&amp;" · ","")&amp;IF($D186="","Sin responsable"&amp;" · ","")&amp;IF($E186="","Sin fecha de inicio"&amp;" · ","")&amp;IF($F186="","Sin fecha límite"&amp;" · ","")&amp;IF(OR(AND($E186&lt;&gt;"",NOT(ISNUMBER($E186))),AND($F186&lt;&gt;"",NOT(ISNUMBER($F186)))),"Fecha no válida"&amp;" · ","")&amp;IF(AND(ISNUMBER($E186),ISNUMBER($F186),$E186&gt;$F186),"Inicio posterior a fecha límite"&amp;" · ","")&amp;IF(AND($S186="Macro",$G186=""),"Peso vacío"&amp;" · ","")&amp;IF(AND($S186="Macro",$G186&lt;&gt;"",OR(NOT(ISNUMBER($G186)),$G186&lt;=0,$G186&gt;1)),"Peso fuera de rango"&amp;" · ","")&amp;IF(AND($S186="Sub",$G186&lt;&gt;""),"Las subactividades no llevan peso"&amp;" · ","")&amp;IF(AND($S186="Macro",ABS(SUMIFS($G$5:$G$1000,$P$5:$P$1000,$P186,$S$5:$S$1000,"Macro")-1)&gt;0.0001),"Pesos del mes suman "&amp;TEXT(SUMIFS($G$5:$G$1000,$P$5:$P$1000,$P186,$S$5:$S$1000,"Macro"),"0%")&amp;" · ","")&amp;IF(AND(N($T186)&gt;0,COUNT($H186:$K186)&gt;0),"Con subactividades: deje vacías las semanas (se calculan solas)"&amp;" · ","")&amp;IF((COUNTIF($H186:$K186,"&gt;1")+COUNTIF($H186:$K186,"&lt;0")+COUNTA($H186:$K186)-COUNT($H186:$K186))&gt;0,"Avance fuera de rango 0-100%"&amp;" · ","")&amp;IF(OR(AND($I186&lt;&gt;"",$I186&lt;$H186),AND($J186&lt;&gt;"",$J186&lt;MAX($H186:$I186)),AND($K186&lt;&gt;"",$K186&lt;MAX($H186:$J186))),"Avance semanal decreciente"&amp;" · ","")&amp;IF(AND(ISNUMBER($F186),$F186&lt;FechaRef,N($L186)&lt;1),"Vencida"&amp;" · ","")&amp;IF(AND(ObsObligatoria="Sí",ISNUMBER($F186),$F186&lt;FechaRef,N($L186)&lt;1,$N186=""),"Vencida sin observación"&amp;" · ",""))-3)))</f>
        <v/>
      </c>
      <c r="P186" s="69">
        <f>IF(NOT((COUNTA($B186:$K186)+COUNTA($N186))&gt;0),"",IF(AND($S186="Sub",N($R186)&gt;0),IF(ISNUMBER(INDEX($E$5:$E$1000,$R186-4)),DATE(YEAR(INDEX($E$5:$E$1000,$R186-4)),MONTH(INDEX($E$5:$E$1000,$R186-4)),1),IF(ISNUMBER(INDEX($F$5:$F$1000,$R186-4)),DATE(YEAR(INDEX($F$5:$F$1000,$R186-4)),MONTH(INDEX($F$5:$F$1000,$R186-4)),1),MesCiclo)),IF(ISNUMBER($E186),DATE(YEAR($E186),MONTH($E186),1),IF(ISNUMBER($F186),DATE(YEAR($F186),MONTH($F186),1),MesCiclo))))</f>
        <v/>
      </c>
      <c r="Q186" s="70">
        <f>IF(OR($P186="",$P186&lt;&gt;MesCiclo),"",COUNTIF($P$5:$P186,MesCiclo))</f>
        <v/>
      </c>
      <c r="R186" s="70">
        <f>IF($S186="","",IF($S186="Macro",ROW(),IFERROR(LOOKUP(2,1/($S$5:$S186="Macro"),ROW($S$5:$S186)),0)))</f>
        <v/>
      </c>
      <c r="S186" s="70">
        <f>IF(NOT((COUNTA($B186:$K186)+COUNTA($N186))&gt;0),"",IF($B186&lt;&gt;"","Macro",IF($C186&lt;&gt;"","Sub","Macro")))</f>
        <v/>
      </c>
      <c r="T186" s="70">
        <f>IF($S186="Macro",COUNTIFS($R$5:$R$1000,ROW(),$S$5:$S$1000,"Sub"),"")</f>
        <v/>
      </c>
      <c r="U186" s="70">
        <f>IF($S186="","",IF(ISNUMBER($H186),$H186,0))</f>
        <v/>
      </c>
      <c r="V186" s="70">
        <f>IF($S186="","",IF(ISNUMBER($I186),$I186,$U186))</f>
        <v/>
      </c>
      <c r="W186" s="70">
        <f>IF($S186="","",IF(ISNUMBER($J186),$J186,$V186))</f>
        <v/>
      </c>
      <c r="X186" s="70">
        <f>IF($S186="","",IF(ISNUMBER($K186),$K186,$W186))</f>
        <v/>
      </c>
      <c r="Y186" s="70">
        <f>IF($S186="","",IF(N($T186)&gt;0,AVERAGEIFS($U$5:$U$1000,$R$5:$R$1000,ROW(),$S$5:$S$1000,"Sub"),$U186))</f>
        <v/>
      </c>
      <c r="Z186" s="70">
        <f>IF($S186="","",IF(N($T186)&gt;0,AVERAGEIFS($V$5:$V$1000,$R$5:$R$1000,ROW(),$S$5:$S$1000,"Sub"),$V186))</f>
        <v/>
      </c>
      <c r="AA186" s="70">
        <f>IF($S186="","",IF(N($T186)&gt;0,AVERAGEIFS($W$5:$W$1000,$R$5:$R$1000,ROW(),$S$5:$S$1000,"Sub"),$W186))</f>
        <v/>
      </c>
      <c r="AB186" s="70">
        <f>IF($S186="","",IF(N($T186)&gt;0,AVERAGEIFS($X$5:$X$1000,$R$5:$R$1000,ROW(),$S$5:$S$1000,"Sub"),$X186))</f>
        <v/>
      </c>
    </row>
    <row r="187">
      <c r="A187" s="61">
        <f>IF(NOT((COUNTA($B187:$K187)+COUNTA($N187))&gt;0),"",IF($S187="Macro",COUNTIFS($S$5:$S187,"Macro",$P$5:$P187,$P187),IF(N($R187)=0,"?",COUNTIFS(INDEX($S$5:$S$1000,1):INDEX($S$5:$S$1000,$R187-4),"Macro",INDEX($P$5:$P$1000,1):INDEX($P$5:$P$1000,$R187-4),INDEX($P$5:$P$1000,$R187-4))&amp;"."&amp;COUNTIFS($R$5:$R187,$R187,$S$5:$S187,"Sub"))))</f>
        <v/>
      </c>
      <c r="B187" s="62" t="n"/>
      <c r="C187" s="63" t="n"/>
      <c r="D187" s="62" t="n"/>
      <c r="E187" s="64" t="n"/>
      <c r="F187" s="64" t="n"/>
      <c r="G187" s="65" t="n"/>
      <c r="H187" s="66" t="n"/>
      <c r="I187" s="66" t="n"/>
      <c r="J187" s="66" t="n"/>
      <c r="K187" s="66" t="n"/>
      <c r="L187" s="67">
        <f>IF(NOT((COUNTA($B187:$K187)+COUNTA($N187))&gt;0),"",IF(N($T187)&gt;0,$AB187,IFERROR(LOOKUP(2,1/(H187:K187&lt;&gt;""),H187:K187),0)))</f>
        <v/>
      </c>
      <c r="M187" s="61">
        <f>IF(L187="","",IF(L187&gt;=1,"Completado",IF(L187&gt;0,"En curso","Pendiente")))</f>
        <v/>
      </c>
      <c r="N187" s="62" t="n"/>
      <c r="O187" s="68">
        <f>IF(NOT((COUNTA($B187:$K187)+COUNTA($N187))&gt;0),"",IF((IF(AND($S187="Macro",$B187=""),"Macroactividad vacía"&amp;" · ","")&amp;IF(AND($B187&lt;&gt;"",$C187&lt;&gt;""),"Escriba la subactividad en otra fila, debajo de su macroactividad"&amp;" · ","")&amp;IF(AND($S187="Sub",N($R187)=0),"Subactividad sin macroactividad arriba"&amp;" · ","")&amp;IF($D187="","Sin responsable"&amp;" · ","")&amp;IF($E187="","Sin fecha de inicio"&amp;" · ","")&amp;IF($F187="","Sin fecha límite"&amp;" · ","")&amp;IF(OR(AND($E187&lt;&gt;"",NOT(ISNUMBER($E187))),AND($F187&lt;&gt;"",NOT(ISNUMBER($F187)))),"Fecha no válida"&amp;" · ","")&amp;IF(AND(ISNUMBER($E187),ISNUMBER($F187),$E187&gt;$F187),"Inicio posterior a fecha límite"&amp;" · ","")&amp;IF(AND($S187="Macro",$G187=""),"Peso vacío"&amp;" · ","")&amp;IF(AND($S187="Macro",$G187&lt;&gt;"",OR(NOT(ISNUMBER($G187)),$G187&lt;=0,$G187&gt;1)),"Peso fuera de rango"&amp;" · ","")&amp;IF(AND($S187="Sub",$G187&lt;&gt;""),"Las subactividades no llevan peso"&amp;" · ","")&amp;IF(AND($S187="Macro",ABS(SUMIFS($G$5:$G$1000,$P$5:$P$1000,$P187,$S$5:$S$1000,"Macro")-1)&gt;0.0001),"Pesos del mes suman "&amp;TEXT(SUMIFS($G$5:$G$1000,$P$5:$P$1000,$P187,$S$5:$S$1000,"Macro"),"0%")&amp;" · ","")&amp;IF(AND(N($T187)&gt;0,COUNT($H187:$K187)&gt;0),"Con subactividades: deje vacías las semanas (se calculan solas)"&amp;" · ","")&amp;IF((COUNTIF($H187:$K187,"&gt;1")+COUNTIF($H187:$K187,"&lt;0")+COUNTA($H187:$K187)-COUNT($H187:$K187))&gt;0,"Avance fuera de rango 0-100%"&amp;" · ","")&amp;IF(OR(AND($I187&lt;&gt;"",$I187&lt;$H187),AND($J187&lt;&gt;"",$J187&lt;MAX($H187:$I187)),AND($K187&lt;&gt;"",$K187&lt;MAX($H187:$J187))),"Avance semanal decreciente"&amp;" · ","")&amp;IF(AND(ISNUMBER($F187),$F187&lt;FechaRef,N($L187)&lt;1),"Vencida"&amp;" · ","")&amp;IF(AND(ObsObligatoria="Sí",ISNUMBER($F187),$F187&lt;FechaRef,N($L187)&lt;1,$N187=""),"Vencida sin observación"&amp;" · ",""))="","✔ OK","⚠ "&amp;LEFT(IF(AND($S187="Macro",$B187=""),"Macroactividad vacía"&amp;" · ","")&amp;IF(AND($B187&lt;&gt;"",$C187&lt;&gt;""),"Escriba la subactividad en otra fila, debajo de su macroactividad"&amp;" · ","")&amp;IF(AND($S187="Sub",N($R187)=0),"Subactividad sin macroactividad arriba"&amp;" · ","")&amp;IF($D187="","Sin responsable"&amp;" · ","")&amp;IF($E187="","Sin fecha de inicio"&amp;" · ","")&amp;IF($F187="","Sin fecha límite"&amp;" · ","")&amp;IF(OR(AND($E187&lt;&gt;"",NOT(ISNUMBER($E187))),AND($F187&lt;&gt;"",NOT(ISNUMBER($F187)))),"Fecha no válida"&amp;" · ","")&amp;IF(AND(ISNUMBER($E187),ISNUMBER($F187),$E187&gt;$F187),"Inicio posterior a fecha límite"&amp;" · ","")&amp;IF(AND($S187="Macro",$G187=""),"Peso vacío"&amp;" · ","")&amp;IF(AND($S187="Macro",$G187&lt;&gt;"",OR(NOT(ISNUMBER($G187)),$G187&lt;=0,$G187&gt;1)),"Peso fuera de rango"&amp;" · ","")&amp;IF(AND($S187="Sub",$G187&lt;&gt;""),"Las subactividades no llevan peso"&amp;" · ","")&amp;IF(AND($S187="Macro",ABS(SUMIFS($G$5:$G$1000,$P$5:$P$1000,$P187,$S$5:$S$1000,"Macro")-1)&gt;0.0001),"Pesos del mes suman "&amp;TEXT(SUMIFS($G$5:$G$1000,$P$5:$P$1000,$P187,$S$5:$S$1000,"Macro"),"0%")&amp;" · ","")&amp;IF(AND(N($T187)&gt;0,COUNT($H187:$K187)&gt;0),"Con subactividades: deje vacías las semanas (se calculan solas)"&amp;" · ","")&amp;IF((COUNTIF($H187:$K187,"&gt;1")+COUNTIF($H187:$K187,"&lt;0")+COUNTA($H187:$K187)-COUNT($H187:$K187))&gt;0,"Avance fuera de rango 0-100%"&amp;" · ","")&amp;IF(OR(AND($I187&lt;&gt;"",$I187&lt;$H187),AND($J187&lt;&gt;"",$J187&lt;MAX($H187:$I187)),AND($K187&lt;&gt;"",$K187&lt;MAX($H187:$J187))),"Avance semanal decreciente"&amp;" · ","")&amp;IF(AND(ISNUMBER($F187),$F187&lt;FechaRef,N($L187)&lt;1),"Vencida"&amp;" · ","")&amp;IF(AND(ObsObligatoria="Sí",ISNUMBER($F187),$F187&lt;FechaRef,N($L187)&lt;1,$N187=""),"Vencida sin observación"&amp;" · ",""),LEN(IF(AND($S187="Macro",$B187=""),"Macroactividad vacía"&amp;" · ","")&amp;IF(AND($B187&lt;&gt;"",$C187&lt;&gt;""),"Escriba la subactividad en otra fila, debajo de su macroactividad"&amp;" · ","")&amp;IF(AND($S187="Sub",N($R187)=0),"Subactividad sin macroactividad arriba"&amp;" · ","")&amp;IF($D187="","Sin responsable"&amp;" · ","")&amp;IF($E187="","Sin fecha de inicio"&amp;" · ","")&amp;IF($F187="","Sin fecha límite"&amp;" · ","")&amp;IF(OR(AND($E187&lt;&gt;"",NOT(ISNUMBER($E187))),AND($F187&lt;&gt;"",NOT(ISNUMBER($F187)))),"Fecha no válida"&amp;" · ","")&amp;IF(AND(ISNUMBER($E187),ISNUMBER($F187),$E187&gt;$F187),"Inicio posterior a fecha límite"&amp;" · ","")&amp;IF(AND($S187="Macro",$G187=""),"Peso vacío"&amp;" · ","")&amp;IF(AND($S187="Macro",$G187&lt;&gt;"",OR(NOT(ISNUMBER($G187)),$G187&lt;=0,$G187&gt;1)),"Peso fuera de rango"&amp;" · ","")&amp;IF(AND($S187="Sub",$G187&lt;&gt;""),"Las subactividades no llevan peso"&amp;" · ","")&amp;IF(AND($S187="Macro",ABS(SUMIFS($G$5:$G$1000,$P$5:$P$1000,$P187,$S$5:$S$1000,"Macro")-1)&gt;0.0001),"Pesos del mes suman "&amp;TEXT(SUMIFS($G$5:$G$1000,$P$5:$P$1000,$P187,$S$5:$S$1000,"Macro"),"0%")&amp;" · ","")&amp;IF(AND(N($T187)&gt;0,COUNT($H187:$K187)&gt;0),"Con subactividades: deje vacías las semanas (se calculan solas)"&amp;" · ","")&amp;IF((COUNTIF($H187:$K187,"&gt;1")+COUNTIF($H187:$K187,"&lt;0")+COUNTA($H187:$K187)-COUNT($H187:$K187))&gt;0,"Avance fuera de rango 0-100%"&amp;" · ","")&amp;IF(OR(AND($I187&lt;&gt;"",$I187&lt;$H187),AND($J187&lt;&gt;"",$J187&lt;MAX($H187:$I187)),AND($K187&lt;&gt;"",$K187&lt;MAX($H187:$J187))),"Avance semanal decreciente"&amp;" · ","")&amp;IF(AND(ISNUMBER($F187),$F187&lt;FechaRef,N($L187)&lt;1),"Vencida"&amp;" · ","")&amp;IF(AND(ObsObligatoria="Sí",ISNUMBER($F187),$F187&lt;FechaRef,N($L187)&lt;1,$N187=""),"Vencida sin observación"&amp;" · ",""))-3)))</f>
        <v/>
      </c>
      <c r="P187" s="69">
        <f>IF(NOT((COUNTA($B187:$K187)+COUNTA($N187))&gt;0),"",IF(AND($S187="Sub",N($R187)&gt;0),IF(ISNUMBER(INDEX($E$5:$E$1000,$R187-4)),DATE(YEAR(INDEX($E$5:$E$1000,$R187-4)),MONTH(INDEX($E$5:$E$1000,$R187-4)),1),IF(ISNUMBER(INDEX($F$5:$F$1000,$R187-4)),DATE(YEAR(INDEX($F$5:$F$1000,$R187-4)),MONTH(INDEX($F$5:$F$1000,$R187-4)),1),MesCiclo)),IF(ISNUMBER($E187),DATE(YEAR($E187),MONTH($E187),1),IF(ISNUMBER($F187),DATE(YEAR($F187),MONTH($F187),1),MesCiclo))))</f>
        <v/>
      </c>
      <c r="Q187" s="70">
        <f>IF(OR($P187="",$P187&lt;&gt;MesCiclo),"",COUNTIF($P$5:$P187,MesCiclo))</f>
        <v/>
      </c>
      <c r="R187" s="70">
        <f>IF($S187="","",IF($S187="Macro",ROW(),IFERROR(LOOKUP(2,1/($S$5:$S187="Macro"),ROW($S$5:$S187)),0)))</f>
        <v/>
      </c>
      <c r="S187" s="70">
        <f>IF(NOT((COUNTA($B187:$K187)+COUNTA($N187))&gt;0),"",IF($B187&lt;&gt;"","Macro",IF($C187&lt;&gt;"","Sub","Macro")))</f>
        <v/>
      </c>
      <c r="T187" s="70">
        <f>IF($S187="Macro",COUNTIFS($R$5:$R$1000,ROW(),$S$5:$S$1000,"Sub"),"")</f>
        <v/>
      </c>
      <c r="U187" s="70">
        <f>IF($S187="","",IF(ISNUMBER($H187),$H187,0))</f>
        <v/>
      </c>
      <c r="V187" s="70">
        <f>IF($S187="","",IF(ISNUMBER($I187),$I187,$U187))</f>
        <v/>
      </c>
      <c r="W187" s="70">
        <f>IF($S187="","",IF(ISNUMBER($J187),$J187,$V187))</f>
        <v/>
      </c>
      <c r="X187" s="70">
        <f>IF($S187="","",IF(ISNUMBER($K187),$K187,$W187))</f>
        <v/>
      </c>
      <c r="Y187" s="70">
        <f>IF($S187="","",IF(N($T187)&gt;0,AVERAGEIFS($U$5:$U$1000,$R$5:$R$1000,ROW(),$S$5:$S$1000,"Sub"),$U187))</f>
        <v/>
      </c>
      <c r="Z187" s="70">
        <f>IF($S187="","",IF(N($T187)&gt;0,AVERAGEIFS($V$5:$V$1000,$R$5:$R$1000,ROW(),$S$5:$S$1000,"Sub"),$V187))</f>
        <v/>
      </c>
      <c r="AA187" s="70">
        <f>IF($S187="","",IF(N($T187)&gt;0,AVERAGEIFS($W$5:$W$1000,$R$5:$R$1000,ROW(),$S$5:$S$1000,"Sub"),$W187))</f>
        <v/>
      </c>
      <c r="AB187" s="70">
        <f>IF($S187="","",IF(N($T187)&gt;0,AVERAGEIFS($X$5:$X$1000,$R$5:$R$1000,ROW(),$S$5:$S$1000,"Sub"),$X187))</f>
        <v/>
      </c>
    </row>
    <row r="188">
      <c r="A188" s="61">
        <f>IF(NOT((COUNTA($B188:$K188)+COUNTA($N188))&gt;0),"",IF($S188="Macro",COUNTIFS($S$5:$S188,"Macro",$P$5:$P188,$P188),IF(N($R188)=0,"?",COUNTIFS(INDEX($S$5:$S$1000,1):INDEX($S$5:$S$1000,$R188-4),"Macro",INDEX($P$5:$P$1000,1):INDEX($P$5:$P$1000,$R188-4),INDEX($P$5:$P$1000,$R188-4))&amp;"."&amp;COUNTIFS($R$5:$R188,$R188,$S$5:$S188,"Sub"))))</f>
        <v/>
      </c>
      <c r="B188" s="62" t="n"/>
      <c r="C188" s="63" t="n"/>
      <c r="D188" s="62" t="n"/>
      <c r="E188" s="64" t="n"/>
      <c r="F188" s="64" t="n"/>
      <c r="G188" s="65" t="n"/>
      <c r="H188" s="66" t="n"/>
      <c r="I188" s="66" t="n"/>
      <c r="J188" s="66" t="n"/>
      <c r="K188" s="66" t="n"/>
      <c r="L188" s="67">
        <f>IF(NOT((COUNTA($B188:$K188)+COUNTA($N188))&gt;0),"",IF(N($T188)&gt;0,$AB188,IFERROR(LOOKUP(2,1/(H188:K188&lt;&gt;""),H188:K188),0)))</f>
        <v/>
      </c>
      <c r="M188" s="61">
        <f>IF(L188="","",IF(L188&gt;=1,"Completado",IF(L188&gt;0,"En curso","Pendiente")))</f>
        <v/>
      </c>
      <c r="N188" s="62" t="n"/>
      <c r="O188" s="68">
        <f>IF(NOT((COUNTA($B188:$K188)+COUNTA($N188))&gt;0),"",IF((IF(AND($S188="Macro",$B188=""),"Macroactividad vacía"&amp;" · ","")&amp;IF(AND($B188&lt;&gt;"",$C188&lt;&gt;""),"Escriba la subactividad en otra fila, debajo de su macroactividad"&amp;" · ","")&amp;IF(AND($S188="Sub",N($R188)=0),"Subactividad sin macroactividad arriba"&amp;" · ","")&amp;IF($D188="","Sin responsable"&amp;" · ","")&amp;IF($E188="","Sin fecha de inicio"&amp;" · ","")&amp;IF($F188="","Sin fecha límite"&amp;" · ","")&amp;IF(OR(AND($E188&lt;&gt;"",NOT(ISNUMBER($E188))),AND($F188&lt;&gt;"",NOT(ISNUMBER($F188)))),"Fecha no válida"&amp;" · ","")&amp;IF(AND(ISNUMBER($E188),ISNUMBER($F188),$E188&gt;$F188),"Inicio posterior a fecha límite"&amp;" · ","")&amp;IF(AND($S188="Macro",$G188=""),"Peso vacío"&amp;" · ","")&amp;IF(AND($S188="Macro",$G188&lt;&gt;"",OR(NOT(ISNUMBER($G188)),$G188&lt;=0,$G188&gt;1)),"Peso fuera de rango"&amp;" · ","")&amp;IF(AND($S188="Sub",$G188&lt;&gt;""),"Las subactividades no llevan peso"&amp;" · ","")&amp;IF(AND($S188="Macro",ABS(SUMIFS($G$5:$G$1000,$P$5:$P$1000,$P188,$S$5:$S$1000,"Macro")-1)&gt;0.0001),"Pesos del mes suman "&amp;TEXT(SUMIFS($G$5:$G$1000,$P$5:$P$1000,$P188,$S$5:$S$1000,"Macro"),"0%")&amp;" · ","")&amp;IF(AND(N($T188)&gt;0,COUNT($H188:$K188)&gt;0),"Con subactividades: deje vacías las semanas (se calculan solas)"&amp;" · ","")&amp;IF((COUNTIF($H188:$K188,"&gt;1")+COUNTIF($H188:$K188,"&lt;0")+COUNTA($H188:$K188)-COUNT($H188:$K188))&gt;0,"Avance fuera de rango 0-100%"&amp;" · ","")&amp;IF(OR(AND($I188&lt;&gt;"",$I188&lt;$H188),AND($J188&lt;&gt;"",$J188&lt;MAX($H188:$I188)),AND($K188&lt;&gt;"",$K188&lt;MAX($H188:$J188))),"Avance semanal decreciente"&amp;" · ","")&amp;IF(AND(ISNUMBER($F188),$F188&lt;FechaRef,N($L188)&lt;1),"Vencida"&amp;" · ","")&amp;IF(AND(ObsObligatoria="Sí",ISNUMBER($F188),$F188&lt;FechaRef,N($L188)&lt;1,$N188=""),"Vencida sin observación"&amp;" · ",""))="","✔ OK","⚠ "&amp;LEFT(IF(AND($S188="Macro",$B188=""),"Macroactividad vacía"&amp;" · ","")&amp;IF(AND($B188&lt;&gt;"",$C188&lt;&gt;""),"Escriba la subactividad en otra fila, debajo de su macroactividad"&amp;" · ","")&amp;IF(AND($S188="Sub",N($R188)=0),"Subactividad sin macroactividad arriba"&amp;" · ","")&amp;IF($D188="","Sin responsable"&amp;" · ","")&amp;IF($E188="","Sin fecha de inicio"&amp;" · ","")&amp;IF($F188="","Sin fecha límite"&amp;" · ","")&amp;IF(OR(AND($E188&lt;&gt;"",NOT(ISNUMBER($E188))),AND($F188&lt;&gt;"",NOT(ISNUMBER($F188)))),"Fecha no válida"&amp;" · ","")&amp;IF(AND(ISNUMBER($E188),ISNUMBER($F188),$E188&gt;$F188),"Inicio posterior a fecha límite"&amp;" · ","")&amp;IF(AND($S188="Macro",$G188=""),"Peso vacío"&amp;" · ","")&amp;IF(AND($S188="Macro",$G188&lt;&gt;"",OR(NOT(ISNUMBER($G188)),$G188&lt;=0,$G188&gt;1)),"Peso fuera de rango"&amp;" · ","")&amp;IF(AND($S188="Sub",$G188&lt;&gt;""),"Las subactividades no llevan peso"&amp;" · ","")&amp;IF(AND($S188="Macro",ABS(SUMIFS($G$5:$G$1000,$P$5:$P$1000,$P188,$S$5:$S$1000,"Macro")-1)&gt;0.0001),"Pesos del mes suman "&amp;TEXT(SUMIFS($G$5:$G$1000,$P$5:$P$1000,$P188,$S$5:$S$1000,"Macro"),"0%")&amp;" · ","")&amp;IF(AND(N($T188)&gt;0,COUNT($H188:$K188)&gt;0),"Con subactividades: deje vacías las semanas (se calculan solas)"&amp;" · ","")&amp;IF((COUNTIF($H188:$K188,"&gt;1")+COUNTIF($H188:$K188,"&lt;0")+COUNTA($H188:$K188)-COUNT($H188:$K188))&gt;0,"Avance fuera de rango 0-100%"&amp;" · ","")&amp;IF(OR(AND($I188&lt;&gt;"",$I188&lt;$H188),AND($J188&lt;&gt;"",$J188&lt;MAX($H188:$I188)),AND($K188&lt;&gt;"",$K188&lt;MAX($H188:$J188))),"Avance semanal decreciente"&amp;" · ","")&amp;IF(AND(ISNUMBER($F188),$F188&lt;FechaRef,N($L188)&lt;1),"Vencida"&amp;" · ","")&amp;IF(AND(ObsObligatoria="Sí",ISNUMBER($F188),$F188&lt;FechaRef,N($L188)&lt;1,$N188=""),"Vencida sin observación"&amp;" · ",""),LEN(IF(AND($S188="Macro",$B188=""),"Macroactividad vacía"&amp;" · ","")&amp;IF(AND($B188&lt;&gt;"",$C188&lt;&gt;""),"Escriba la subactividad en otra fila, debajo de su macroactividad"&amp;" · ","")&amp;IF(AND($S188="Sub",N($R188)=0),"Subactividad sin macroactividad arriba"&amp;" · ","")&amp;IF($D188="","Sin responsable"&amp;" · ","")&amp;IF($E188="","Sin fecha de inicio"&amp;" · ","")&amp;IF($F188="","Sin fecha límite"&amp;" · ","")&amp;IF(OR(AND($E188&lt;&gt;"",NOT(ISNUMBER($E188))),AND($F188&lt;&gt;"",NOT(ISNUMBER($F188)))),"Fecha no válida"&amp;" · ","")&amp;IF(AND(ISNUMBER($E188),ISNUMBER($F188),$E188&gt;$F188),"Inicio posterior a fecha límite"&amp;" · ","")&amp;IF(AND($S188="Macro",$G188=""),"Peso vacío"&amp;" · ","")&amp;IF(AND($S188="Macro",$G188&lt;&gt;"",OR(NOT(ISNUMBER($G188)),$G188&lt;=0,$G188&gt;1)),"Peso fuera de rango"&amp;" · ","")&amp;IF(AND($S188="Sub",$G188&lt;&gt;""),"Las subactividades no llevan peso"&amp;" · ","")&amp;IF(AND($S188="Macro",ABS(SUMIFS($G$5:$G$1000,$P$5:$P$1000,$P188,$S$5:$S$1000,"Macro")-1)&gt;0.0001),"Pesos del mes suman "&amp;TEXT(SUMIFS($G$5:$G$1000,$P$5:$P$1000,$P188,$S$5:$S$1000,"Macro"),"0%")&amp;" · ","")&amp;IF(AND(N($T188)&gt;0,COUNT($H188:$K188)&gt;0),"Con subactividades: deje vacías las semanas (se calculan solas)"&amp;" · ","")&amp;IF((COUNTIF($H188:$K188,"&gt;1")+COUNTIF($H188:$K188,"&lt;0")+COUNTA($H188:$K188)-COUNT($H188:$K188))&gt;0,"Avance fuera de rango 0-100%"&amp;" · ","")&amp;IF(OR(AND($I188&lt;&gt;"",$I188&lt;$H188),AND($J188&lt;&gt;"",$J188&lt;MAX($H188:$I188)),AND($K188&lt;&gt;"",$K188&lt;MAX($H188:$J188))),"Avance semanal decreciente"&amp;" · ","")&amp;IF(AND(ISNUMBER($F188),$F188&lt;FechaRef,N($L188)&lt;1),"Vencida"&amp;" · ","")&amp;IF(AND(ObsObligatoria="Sí",ISNUMBER($F188),$F188&lt;FechaRef,N($L188)&lt;1,$N188=""),"Vencida sin observación"&amp;" · ",""))-3)))</f>
        <v/>
      </c>
      <c r="P188" s="69">
        <f>IF(NOT((COUNTA($B188:$K188)+COUNTA($N188))&gt;0),"",IF(AND($S188="Sub",N($R188)&gt;0),IF(ISNUMBER(INDEX($E$5:$E$1000,$R188-4)),DATE(YEAR(INDEX($E$5:$E$1000,$R188-4)),MONTH(INDEX($E$5:$E$1000,$R188-4)),1),IF(ISNUMBER(INDEX($F$5:$F$1000,$R188-4)),DATE(YEAR(INDEX($F$5:$F$1000,$R188-4)),MONTH(INDEX($F$5:$F$1000,$R188-4)),1),MesCiclo)),IF(ISNUMBER($E188),DATE(YEAR($E188),MONTH($E188),1),IF(ISNUMBER($F188),DATE(YEAR($F188),MONTH($F188),1),MesCiclo))))</f>
        <v/>
      </c>
      <c r="Q188" s="70">
        <f>IF(OR($P188="",$P188&lt;&gt;MesCiclo),"",COUNTIF($P$5:$P188,MesCiclo))</f>
        <v/>
      </c>
      <c r="R188" s="70">
        <f>IF($S188="","",IF($S188="Macro",ROW(),IFERROR(LOOKUP(2,1/($S$5:$S188="Macro"),ROW($S$5:$S188)),0)))</f>
        <v/>
      </c>
      <c r="S188" s="70">
        <f>IF(NOT((COUNTA($B188:$K188)+COUNTA($N188))&gt;0),"",IF($B188&lt;&gt;"","Macro",IF($C188&lt;&gt;"","Sub","Macro")))</f>
        <v/>
      </c>
      <c r="T188" s="70">
        <f>IF($S188="Macro",COUNTIFS($R$5:$R$1000,ROW(),$S$5:$S$1000,"Sub"),"")</f>
        <v/>
      </c>
      <c r="U188" s="70">
        <f>IF($S188="","",IF(ISNUMBER($H188),$H188,0))</f>
        <v/>
      </c>
      <c r="V188" s="70">
        <f>IF($S188="","",IF(ISNUMBER($I188),$I188,$U188))</f>
        <v/>
      </c>
      <c r="W188" s="70">
        <f>IF($S188="","",IF(ISNUMBER($J188),$J188,$V188))</f>
        <v/>
      </c>
      <c r="X188" s="70">
        <f>IF($S188="","",IF(ISNUMBER($K188),$K188,$W188))</f>
        <v/>
      </c>
      <c r="Y188" s="70">
        <f>IF($S188="","",IF(N($T188)&gt;0,AVERAGEIFS($U$5:$U$1000,$R$5:$R$1000,ROW(),$S$5:$S$1000,"Sub"),$U188))</f>
        <v/>
      </c>
      <c r="Z188" s="70">
        <f>IF($S188="","",IF(N($T188)&gt;0,AVERAGEIFS($V$5:$V$1000,$R$5:$R$1000,ROW(),$S$5:$S$1000,"Sub"),$V188))</f>
        <v/>
      </c>
      <c r="AA188" s="70">
        <f>IF($S188="","",IF(N($T188)&gt;0,AVERAGEIFS($W$5:$W$1000,$R$5:$R$1000,ROW(),$S$5:$S$1000,"Sub"),$W188))</f>
        <v/>
      </c>
      <c r="AB188" s="70">
        <f>IF($S188="","",IF(N($T188)&gt;0,AVERAGEIFS($X$5:$X$1000,$R$5:$R$1000,ROW(),$S$5:$S$1000,"Sub"),$X188))</f>
        <v/>
      </c>
    </row>
    <row r="189">
      <c r="A189" s="61">
        <f>IF(NOT((COUNTA($B189:$K189)+COUNTA($N189))&gt;0),"",IF($S189="Macro",COUNTIFS($S$5:$S189,"Macro",$P$5:$P189,$P189),IF(N($R189)=0,"?",COUNTIFS(INDEX($S$5:$S$1000,1):INDEX($S$5:$S$1000,$R189-4),"Macro",INDEX($P$5:$P$1000,1):INDEX($P$5:$P$1000,$R189-4),INDEX($P$5:$P$1000,$R189-4))&amp;"."&amp;COUNTIFS($R$5:$R189,$R189,$S$5:$S189,"Sub"))))</f>
        <v/>
      </c>
      <c r="B189" s="62" t="n"/>
      <c r="C189" s="63" t="n"/>
      <c r="D189" s="62" t="n"/>
      <c r="E189" s="64" t="n"/>
      <c r="F189" s="64" t="n"/>
      <c r="G189" s="65" t="n"/>
      <c r="H189" s="66" t="n"/>
      <c r="I189" s="66" t="n"/>
      <c r="J189" s="66" t="n"/>
      <c r="K189" s="66" t="n"/>
      <c r="L189" s="67">
        <f>IF(NOT((COUNTA($B189:$K189)+COUNTA($N189))&gt;0),"",IF(N($T189)&gt;0,$AB189,IFERROR(LOOKUP(2,1/(H189:K189&lt;&gt;""),H189:K189),0)))</f>
        <v/>
      </c>
      <c r="M189" s="61">
        <f>IF(L189="","",IF(L189&gt;=1,"Completado",IF(L189&gt;0,"En curso","Pendiente")))</f>
        <v/>
      </c>
      <c r="N189" s="62" t="n"/>
      <c r="O189" s="68">
        <f>IF(NOT((COUNTA($B189:$K189)+COUNTA($N189))&gt;0),"",IF((IF(AND($S189="Macro",$B189=""),"Macroactividad vacía"&amp;" · ","")&amp;IF(AND($B189&lt;&gt;"",$C189&lt;&gt;""),"Escriba la subactividad en otra fila, debajo de su macroactividad"&amp;" · ","")&amp;IF(AND($S189="Sub",N($R189)=0),"Subactividad sin macroactividad arriba"&amp;" · ","")&amp;IF($D189="","Sin responsable"&amp;" · ","")&amp;IF($E189="","Sin fecha de inicio"&amp;" · ","")&amp;IF($F189="","Sin fecha límite"&amp;" · ","")&amp;IF(OR(AND($E189&lt;&gt;"",NOT(ISNUMBER($E189))),AND($F189&lt;&gt;"",NOT(ISNUMBER($F189)))),"Fecha no válida"&amp;" · ","")&amp;IF(AND(ISNUMBER($E189),ISNUMBER($F189),$E189&gt;$F189),"Inicio posterior a fecha límite"&amp;" · ","")&amp;IF(AND($S189="Macro",$G189=""),"Peso vacío"&amp;" · ","")&amp;IF(AND($S189="Macro",$G189&lt;&gt;"",OR(NOT(ISNUMBER($G189)),$G189&lt;=0,$G189&gt;1)),"Peso fuera de rango"&amp;" · ","")&amp;IF(AND($S189="Sub",$G189&lt;&gt;""),"Las subactividades no llevan peso"&amp;" · ","")&amp;IF(AND($S189="Macro",ABS(SUMIFS($G$5:$G$1000,$P$5:$P$1000,$P189,$S$5:$S$1000,"Macro")-1)&gt;0.0001),"Pesos del mes suman "&amp;TEXT(SUMIFS($G$5:$G$1000,$P$5:$P$1000,$P189,$S$5:$S$1000,"Macro"),"0%")&amp;" · ","")&amp;IF(AND(N($T189)&gt;0,COUNT($H189:$K189)&gt;0),"Con subactividades: deje vacías las semanas (se calculan solas)"&amp;" · ","")&amp;IF((COUNTIF($H189:$K189,"&gt;1")+COUNTIF($H189:$K189,"&lt;0")+COUNTA($H189:$K189)-COUNT($H189:$K189))&gt;0,"Avance fuera de rango 0-100%"&amp;" · ","")&amp;IF(OR(AND($I189&lt;&gt;"",$I189&lt;$H189),AND($J189&lt;&gt;"",$J189&lt;MAX($H189:$I189)),AND($K189&lt;&gt;"",$K189&lt;MAX($H189:$J189))),"Avance semanal decreciente"&amp;" · ","")&amp;IF(AND(ISNUMBER($F189),$F189&lt;FechaRef,N($L189)&lt;1),"Vencida"&amp;" · ","")&amp;IF(AND(ObsObligatoria="Sí",ISNUMBER($F189),$F189&lt;FechaRef,N($L189)&lt;1,$N189=""),"Vencida sin observación"&amp;" · ",""))="","✔ OK","⚠ "&amp;LEFT(IF(AND($S189="Macro",$B189=""),"Macroactividad vacía"&amp;" · ","")&amp;IF(AND($B189&lt;&gt;"",$C189&lt;&gt;""),"Escriba la subactividad en otra fila, debajo de su macroactividad"&amp;" · ","")&amp;IF(AND($S189="Sub",N($R189)=0),"Subactividad sin macroactividad arriba"&amp;" · ","")&amp;IF($D189="","Sin responsable"&amp;" · ","")&amp;IF($E189="","Sin fecha de inicio"&amp;" · ","")&amp;IF($F189="","Sin fecha límite"&amp;" · ","")&amp;IF(OR(AND($E189&lt;&gt;"",NOT(ISNUMBER($E189))),AND($F189&lt;&gt;"",NOT(ISNUMBER($F189)))),"Fecha no válida"&amp;" · ","")&amp;IF(AND(ISNUMBER($E189),ISNUMBER($F189),$E189&gt;$F189),"Inicio posterior a fecha límite"&amp;" · ","")&amp;IF(AND($S189="Macro",$G189=""),"Peso vacío"&amp;" · ","")&amp;IF(AND($S189="Macro",$G189&lt;&gt;"",OR(NOT(ISNUMBER($G189)),$G189&lt;=0,$G189&gt;1)),"Peso fuera de rango"&amp;" · ","")&amp;IF(AND($S189="Sub",$G189&lt;&gt;""),"Las subactividades no llevan peso"&amp;" · ","")&amp;IF(AND($S189="Macro",ABS(SUMIFS($G$5:$G$1000,$P$5:$P$1000,$P189,$S$5:$S$1000,"Macro")-1)&gt;0.0001),"Pesos del mes suman "&amp;TEXT(SUMIFS($G$5:$G$1000,$P$5:$P$1000,$P189,$S$5:$S$1000,"Macro"),"0%")&amp;" · ","")&amp;IF(AND(N($T189)&gt;0,COUNT($H189:$K189)&gt;0),"Con subactividades: deje vacías las semanas (se calculan solas)"&amp;" · ","")&amp;IF((COUNTIF($H189:$K189,"&gt;1")+COUNTIF($H189:$K189,"&lt;0")+COUNTA($H189:$K189)-COUNT($H189:$K189))&gt;0,"Avance fuera de rango 0-100%"&amp;" · ","")&amp;IF(OR(AND($I189&lt;&gt;"",$I189&lt;$H189),AND($J189&lt;&gt;"",$J189&lt;MAX($H189:$I189)),AND($K189&lt;&gt;"",$K189&lt;MAX($H189:$J189))),"Avance semanal decreciente"&amp;" · ","")&amp;IF(AND(ISNUMBER($F189),$F189&lt;FechaRef,N($L189)&lt;1),"Vencida"&amp;" · ","")&amp;IF(AND(ObsObligatoria="Sí",ISNUMBER($F189),$F189&lt;FechaRef,N($L189)&lt;1,$N189=""),"Vencida sin observación"&amp;" · ",""),LEN(IF(AND($S189="Macro",$B189=""),"Macroactividad vacía"&amp;" · ","")&amp;IF(AND($B189&lt;&gt;"",$C189&lt;&gt;""),"Escriba la subactividad en otra fila, debajo de su macroactividad"&amp;" · ","")&amp;IF(AND($S189="Sub",N($R189)=0),"Subactividad sin macroactividad arriba"&amp;" · ","")&amp;IF($D189="","Sin responsable"&amp;" · ","")&amp;IF($E189="","Sin fecha de inicio"&amp;" · ","")&amp;IF($F189="","Sin fecha límite"&amp;" · ","")&amp;IF(OR(AND($E189&lt;&gt;"",NOT(ISNUMBER($E189))),AND($F189&lt;&gt;"",NOT(ISNUMBER($F189)))),"Fecha no válida"&amp;" · ","")&amp;IF(AND(ISNUMBER($E189),ISNUMBER($F189),$E189&gt;$F189),"Inicio posterior a fecha límite"&amp;" · ","")&amp;IF(AND($S189="Macro",$G189=""),"Peso vacío"&amp;" · ","")&amp;IF(AND($S189="Macro",$G189&lt;&gt;"",OR(NOT(ISNUMBER($G189)),$G189&lt;=0,$G189&gt;1)),"Peso fuera de rango"&amp;" · ","")&amp;IF(AND($S189="Sub",$G189&lt;&gt;""),"Las subactividades no llevan peso"&amp;" · ","")&amp;IF(AND($S189="Macro",ABS(SUMIFS($G$5:$G$1000,$P$5:$P$1000,$P189,$S$5:$S$1000,"Macro")-1)&gt;0.0001),"Pesos del mes suman "&amp;TEXT(SUMIFS($G$5:$G$1000,$P$5:$P$1000,$P189,$S$5:$S$1000,"Macro"),"0%")&amp;" · ","")&amp;IF(AND(N($T189)&gt;0,COUNT($H189:$K189)&gt;0),"Con subactividades: deje vacías las semanas (se calculan solas)"&amp;" · ","")&amp;IF((COUNTIF($H189:$K189,"&gt;1")+COUNTIF($H189:$K189,"&lt;0")+COUNTA($H189:$K189)-COUNT($H189:$K189))&gt;0,"Avance fuera de rango 0-100%"&amp;" · ","")&amp;IF(OR(AND($I189&lt;&gt;"",$I189&lt;$H189),AND($J189&lt;&gt;"",$J189&lt;MAX($H189:$I189)),AND($K189&lt;&gt;"",$K189&lt;MAX($H189:$J189))),"Avance semanal decreciente"&amp;" · ","")&amp;IF(AND(ISNUMBER($F189),$F189&lt;FechaRef,N($L189)&lt;1),"Vencida"&amp;" · ","")&amp;IF(AND(ObsObligatoria="Sí",ISNUMBER($F189),$F189&lt;FechaRef,N($L189)&lt;1,$N189=""),"Vencida sin observación"&amp;" · ",""))-3)))</f>
        <v/>
      </c>
      <c r="P189" s="69">
        <f>IF(NOT((COUNTA($B189:$K189)+COUNTA($N189))&gt;0),"",IF(AND($S189="Sub",N($R189)&gt;0),IF(ISNUMBER(INDEX($E$5:$E$1000,$R189-4)),DATE(YEAR(INDEX($E$5:$E$1000,$R189-4)),MONTH(INDEX($E$5:$E$1000,$R189-4)),1),IF(ISNUMBER(INDEX($F$5:$F$1000,$R189-4)),DATE(YEAR(INDEX($F$5:$F$1000,$R189-4)),MONTH(INDEX($F$5:$F$1000,$R189-4)),1),MesCiclo)),IF(ISNUMBER($E189),DATE(YEAR($E189),MONTH($E189),1),IF(ISNUMBER($F189),DATE(YEAR($F189),MONTH($F189),1),MesCiclo))))</f>
        <v/>
      </c>
      <c r="Q189" s="70">
        <f>IF(OR($P189="",$P189&lt;&gt;MesCiclo),"",COUNTIF($P$5:$P189,MesCiclo))</f>
        <v/>
      </c>
      <c r="R189" s="70">
        <f>IF($S189="","",IF($S189="Macro",ROW(),IFERROR(LOOKUP(2,1/($S$5:$S189="Macro"),ROW($S$5:$S189)),0)))</f>
        <v/>
      </c>
      <c r="S189" s="70">
        <f>IF(NOT((COUNTA($B189:$K189)+COUNTA($N189))&gt;0),"",IF($B189&lt;&gt;"","Macro",IF($C189&lt;&gt;"","Sub","Macro")))</f>
        <v/>
      </c>
      <c r="T189" s="70">
        <f>IF($S189="Macro",COUNTIFS($R$5:$R$1000,ROW(),$S$5:$S$1000,"Sub"),"")</f>
        <v/>
      </c>
      <c r="U189" s="70">
        <f>IF($S189="","",IF(ISNUMBER($H189),$H189,0))</f>
        <v/>
      </c>
      <c r="V189" s="70">
        <f>IF($S189="","",IF(ISNUMBER($I189),$I189,$U189))</f>
        <v/>
      </c>
      <c r="W189" s="70">
        <f>IF($S189="","",IF(ISNUMBER($J189),$J189,$V189))</f>
        <v/>
      </c>
      <c r="X189" s="70">
        <f>IF($S189="","",IF(ISNUMBER($K189),$K189,$W189))</f>
        <v/>
      </c>
      <c r="Y189" s="70">
        <f>IF($S189="","",IF(N($T189)&gt;0,AVERAGEIFS($U$5:$U$1000,$R$5:$R$1000,ROW(),$S$5:$S$1000,"Sub"),$U189))</f>
        <v/>
      </c>
      <c r="Z189" s="70">
        <f>IF($S189="","",IF(N($T189)&gt;0,AVERAGEIFS($V$5:$V$1000,$R$5:$R$1000,ROW(),$S$5:$S$1000,"Sub"),$V189))</f>
        <v/>
      </c>
      <c r="AA189" s="70">
        <f>IF($S189="","",IF(N($T189)&gt;0,AVERAGEIFS($W$5:$W$1000,$R$5:$R$1000,ROW(),$S$5:$S$1000,"Sub"),$W189))</f>
        <v/>
      </c>
      <c r="AB189" s="70">
        <f>IF($S189="","",IF(N($T189)&gt;0,AVERAGEIFS($X$5:$X$1000,$R$5:$R$1000,ROW(),$S$5:$S$1000,"Sub"),$X189))</f>
        <v/>
      </c>
    </row>
    <row r="190">
      <c r="A190" s="61">
        <f>IF(NOT((COUNTA($B190:$K190)+COUNTA($N190))&gt;0),"",IF($S190="Macro",COUNTIFS($S$5:$S190,"Macro",$P$5:$P190,$P190),IF(N($R190)=0,"?",COUNTIFS(INDEX($S$5:$S$1000,1):INDEX($S$5:$S$1000,$R190-4),"Macro",INDEX($P$5:$P$1000,1):INDEX($P$5:$P$1000,$R190-4),INDEX($P$5:$P$1000,$R190-4))&amp;"."&amp;COUNTIFS($R$5:$R190,$R190,$S$5:$S190,"Sub"))))</f>
        <v/>
      </c>
      <c r="B190" s="62" t="n"/>
      <c r="C190" s="63" t="n"/>
      <c r="D190" s="62" t="n"/>
      <c r="E190" s="64" t="n"/>
      <c r="F190" s="64" t="n"/>
      <c r="G190" s="65" t="n"/>
      <c r="H190" s="66" t="n"/>
      <c r="I190" s="66" t="n"/>
      <c r="J190" s="66" t="n"/>
      <c r="K190" s="66" t="n"/>
      <c r="L190" s="67">
        <f>IF(NOT((COUNTA($B190:$K190)+COUNTA($N190))&gt;0),"",IF(N($T190)&gt;0,$AB190,IFERROR(LOOKUP(2,1/(H190:K190&lt;&gt;""),H190:K190),0)))</f>
        <v/>
      </c>
      <c r="M190" s="61">
        <f>IF(L190="","",IF(L190&gt;=1,"Completado",IF(L190&gt;0,"En curso","Pendiente")))</f>
        <v/>
      </c>
      <c r="N190" s="62" t="n"/>
      <c r="O190" s="68">
        <f>IF(NOT((COUNTA($B190:$K190)+COUNTA($N190))&gt;0),"",IF((IF(AND($S190="Macro",$B190=""),"Macroactividad vacía"&amp;" · ","")&amp;IF(AND($B190&lt;&gt;"",$C190&lt;&gt;""),"Escriba la subactividad en otra fila, debajo de su macroactividad"&amp;" · ","")&amp;IF(AND($S190="Sub",N($R190)=0),"Subactividad sin macroactividad arriba"&amp;" · ","")&amp;IF($D190="","Sin responsable"&amp;" · ","")&amp;IF($E190="","Sin fecha de inicio"&amp;" · ","")&amp;IF($F190="","Sin fecha límite"&amp;" · ","")&amp;IF(OR(AND($E190&lt;&gt;"",NOT(ISNUMBER($E190))),AND($F190&lt;&gt;"",NOT(ISNUMBER($F190)))),"Fecha no válida"&amp;" · ","")&amp;IF(AND(ISNUMBER($E190),ISNUMBER($F190),$E190&gt;$F190),"Inicio posterior a fecha límite"&amp;" · ","")&amp;IF(AND($S190="Macro",$G190=""),"Peso vacío"&amp;" · ","")&amp;IF(AND($S190="Macro",$G190&lt;&gt;"",OR(NOT(ISNUMBER($G190)),$G190&lt;=0,$G190&gt;1)),"Peso fuera de rango"&amp;" · ","")&amp;IF(AND($S190="Sub",$G190&lt;&gt;""),"Las subactividades no llevan peso"&amp;" · ","")&amp;IF(AND($S190="Macro",ABS(SUMIFS($G$5:$G$1000,$P$5:$P$1000,$P190,$S$5:$S$1000,"Macro")-1)&gt;0.0001),"Pesos del mes suman "&amp;TEXT(SUMIFS($G$5:$G$1000,$P$5:$P$1000,$P190,$S$5:$S$1000,"Macro"),"0%")&amp;" · ","")&amp;IF(AND(N($T190)&gt;0,COUNT($H190:$K190)&gt;0),"Con subactividades: deje vacías las semanas (se calculan solas)"&amp;" · ","")&amp;IF((COUNTIF($H190:$K190,"&gt;1")+COUNTIF($H190:$K190,"&lt;0")+COUNTA($H190:$K190)-COUNT($H190:$K190))&gt;0,"Avance fuera de rango 0-100%"&amp;" · ","")&amp;IF(OR(AND($I190&lt;&gt;"",$I190&lt;$H190),AND($J190&lt;&gt;"",$J190&lt;MAX($H190:$I190)),AND($K190&lt;&gt;"",$K190&lt;MAX($H190:$J190))),"Avance semanal decreciente"&amp;" · ","")&amp;IF(AND(ISNUMBER($F190),$F190&lt;FechaRef,N($L190)&lt;1),"Vencida"&amp;" · ","")&amp;IF(AND(ObsObligatoria="Sí",ISNUMBER($F190),$F190&lt;FechaRef,N($L190)&lt;1,$N190=""),"Vencida sin observación"&amp;" · ",""))="","✔ OK","⚠ "&amp;LEFT(IF(AND($S190="Macro",$B190=""),"Macroactividad vacía"&amp;" · ","")&amp;IF(AND($B190&lt;&gt;"",$C190&lt;&gt;""),"Escriba la subactividad en otra fila, debajo de su macroactividad"&amp;" · ","")&amp;IF(AND($S190="Sub",N($R190)=0),"Subactividad sin macroactividad arriba"&amp;" · ","")&amp;IF($D190="","Sin responsable"&amp;" · ","")&amp;IF($E190="","Sin fecha de inicio"&amp;" · ","")&amp;IF($F190="","Sin fecha límite"&amp;" · ","")&amp;IF(OR(AND($E190&lt;&gt;"",NOT(ISNUMBER($E190))),AND($F190&lt;&gt;"",NOT(ISNUMBER($F190)))),"Fecha no válida"&amp;" · ","")&amp;IF(AND(ISNUMBER($E190),ISNUMBER($F190),$E190&gt;$F190),"Inicio posterior a fecha límite"&amp;" · ","")&amp;IF(AND($S190="Macro",$G190=""),"Peso vacío"&amp;" · ","")&amp;IF(AND($S190="Macro",$G190&lt;&gt;"",OR(NOT(ISNUMBER($G190)),$G190&lt;=0,$G190&gt;1)),"Peso fuera de rango"&amp;" · ","")&amp;IF(AND($S190="Sub",$G190&lt;&gt;""),"Las subactividades no llevan peso"&amp;" · ","")&amp;IF(AND($S190="Macro",ABS(SUMIFS($G$5:$G$1000,$P$5:$P$1000,$P190,$S$5:$S$1000,"Macro")-1)&gt;0.0001),"Pesos del mes suman "&amp;TEXT(SUMIFS($G$5:$G$1000,$P$5:$P$1000,$P190,$S$5:$S$1000,"Macro"),"0%")&amp;" · ","")&amp;IF(AND(N($T190)&gt;0,COUNT($H190:$K190)&gt;0),"Con subactividades: deje vacías las semanas (se calculan solas)"&amp;" · ","")&amp;IF((COUNTIF($H190:$K190,"&gt;1")+COUNTIF($H190:$K190,"&lt;0")+COUNTA($H190:$K190)-COUNT($H190:$K190))&gt;0,"Avance fuera de rango 0-100%"&amp;" · ","")&amp;IF(OR(AND($I190&lt;&gt;"",$I190&lt;$H190),AND($J190&lt;&gt;"",$J190&lt;MAX($H190:$I190)),AND($K190&lt;&gt;"",$K190&lt;MAX($H190:$J190))),"Avance semanal decreciente"&amp;" · ","")&amp;IF(AND(ISNUMBER($F190),$F190&lt;FechaRef,N($L190)&lt;1),"Vencida"&amp;" · ","")&amp;IF(AND(ObsObligatoria="Sí",ISNUMBER($F190),$F190&lt;FechaRef,N($L190)&lt;1,$N190=""),"Vencida sin observación"&amp;" · ",""),LEN(IF(AND($S190="Macro",$B190=""),"Macroactividad vacía"&amp;" · ","")&amp;IF(AND($B190&lt;&gt;"",$C190&lt;&gt;""),"Escriba la subactividad en otra fila, debajo de su macroactividad"&amp;" · ","")&amp;IF(AND($S190="Sub",N($R190)=0),"Subactividad sin macroactividad arriba"&amp;" · ","")&amp;IF($D190="","Sin responsable"&amp;" · ","")&amp;IF($E190="","Sin fecha de inicio"&amp;" · ","")&amp;IF($F190="","Sin fecha límite"&amp;" · ","")&amp;IF(OR(AND($E190&lt;&gt;"",NOT(ISNUMBER($E190))),AND($F190&lt;&gt;"",NOT(ISNUMBER($F190)))),"Fecha no válida"&amp;" · ","")&amp;IF(AND(ISNUMBER($E190),ISNUMBER($F190),$E190&gt;$F190),"Inicio posterior a fecha límite"&amp;" · ","")&amp;IF(AND($S190="Macro",$G190=""),"Peso vacío"&amp;" · ","")&amp;IF(AND($S190="Macro",$G190&lt;&gt;"",OR(NOT(ISNUMBER($G190)),$G190&lt;=0,$G190&gt;1)),"Peso fuera de rango"&amp;" · ","")&amp;IF(AND($S190="Sub",$G190&lt;&gt;""),"Las subactividades no llevan peso"&amp;" · ","")&amp;IF(AND($S190="Macro",ABS(SUMIFS($G$5:$G$1000,$P$5:$P$1000,$P190,$S$5:$S$1000,"Macro")-1)&gt;0.0001),"Pesos del mes suman "&amp;TEXT(SUMIFS($G$5:$G$1000,$P$5:$P$1000,$P190,$S$5:$S$1000,"Macro"),"0%")&amp;" · ","")&amp;IF(AND(N($T190)&gt;0,COUNT($H190:$K190)&gt;0),"Con subactividades: deje vacías las semanas (se calculan solas)"&amp;" · ","")&amp;IF((COUNTIF($H190:$K190,"&gt;1")+COUNTIF($H190:$K190,"&lt;0")+COUNTA($H190:$K190)-COUNT($H190:$K190))&gt;0,"Avance fuera de rango 0-100%"&amp;" · ","")&amp;IF(OR(AND($I190&lt;&gt;"",$I190&lt;$H190),AND($J190&lt;&gt;"",$J190&lt;MAX($H190:$I190)),AND($K190&lt;&gt;"",$K190&lt;MAX($H190:$J190))),"Avance semanal decreciente"&amp;" · ","")&amp;IF(AND(ISNUMBER($F190),$F190&lt;FechaRef,N($L190)&lt;1),"Vencida"&amp;" · ","")&amp;IF(AND(ObsObligatoria="Sí",ISNUMBER($F190),$F190&lt;FechaRef,N($L190)&lt;1,$N190=""),"Vencida sin observación"&amp;" · ",""))-3)))</f>
        <v/>
      </c>
      <c r="P190" s="69">
        <f>IF(NOT((COUNTA($B190:$K190)+COUNTA($N190))&gt;0),"",IF(AND($S190="Sub",N($R190)&gt;0),IF(ISNUMBER(INDEX($E$5:$E$1000,$R190-4)),DATE(YEAR(INDEX($E$5:$E$1000,$R190-4)),MONTH(INDEX($E$5:$E$1000,$R190-4)),1),IF(ISNUMBER(INDEX($F$5:$F$1000,$R190-4)),DATE(YEAR(INDEX($F$5:$F$1000,$R190-4)),MONTH(INDEX($F$5:$F$1000,$R190-4)),1),MesCiclo)),IF(ISNUMBER($E190),DATE(YEAR($E190),MONTH($E190),1),IF(ISNUMBER($F190),DATE(YEAR($F190),MONTH($F190),1),MesCiclo))))</f>
        <v/>
      </c>
      <c r="Q190" s="70">
        <f>IF(OR($P190="",$P190&lt;&gt;MesCiclo),"",COUNTIF($P$5:$P190,MesCiclo))</f>
        <v/>
      </c>
      <c r="R190" s="70">
        <f>IF($S190="","",IF($S190="Macro",ROW(),IFERROR(LOOKUP(2,1/($S$5:$S190="Macro"),ROW($S$5:$S190)),0)))</f>
        <v/>
      </c>
      <c r="S190" s="70">
        <f>IF(NOT((COUNTA($B190:$K190)+COUNTA($N190))&gt;0),"",IF($B190&lt;&gt;"","Macro",IF($C190&lt;&gt;"","Sub","Macro")))</f>
        <v/>
      </c>
      <c r="T190" s="70">
        <f>IF($S190="Macro",COUNTIFS($R$5:$R$1000,ROW(),$S$5:$S$1000,"Sub"),"")</f>
        <v/>
      </c>
      <c r="U190" s="70">
        <f>IF($S190="","",IF(ISNUMBER($H190),$H190,0))</f>
        <v/>
      </c>
      <c r="V190" s="70">
        <f>IF($S190="","",IF(ISNUMBER($I190),$I190,$U190))</f>
        <v/>
      </c>
      <c r="W190" s="70">
        <f>IF($S190="","",IF(ISNUMBER($J190),$J190,$V190))</f>
        <v/>
      </c>
      <c r="X190" s="70">
        <f>IF($S190="","",IF(ISNUMBER($K190),$K190,$W190))</f>
        <v/>
      </c>
      <c r="Y190" s="70">
        <f>IF($S190="","",IF(N($T190)&gt;0,AVERAGEIFS($U$5:$U$1000,$R$5:$R$1000,ROW(),$S$5:$S$1000,"Sub"),$U190))</f>
        <v/>
      </c>
      <c r="Z190" s="70">
        <f>IF($S190="","",IF(N($T190)&gt;0,AVERAGEIFS($V$5:$V$1000,$R$5:$R$1000,ROW(),$S$5:$S$1000,"Sub"),$V190))</f>
        <v/>
      </c>
      <c r="AA190" s="70">
        <f>IF($S190="","",IF(N($T190)&gt;0,AVERAGEIFS($W$5:$W$1000,$R$5:$R$1000,ROW(),$S$5:$S$1000,"Sub"),$W190))</f>
        <v/>
      </c>
      <c r="AB190" s="70">
        <f>IF($S190="","",IF(N($T190)&gt;0,AVERAGEIFS($X$5:$X$1000,$R$5:$R$1000,ROW(),$S$5:$S$1000,"Sub"),$X190))</f>
        <v/>
      </c>
    </row>
    <row r="191">
      <c r="A191" s="61">
        <f>IF(NOT((COUNTA($B191:$K191)+COUNTA($N191))&gt;0),"",IF($S191="Macro",COUNTIFS($S$5:$S191,"Macro",$P$5:$P191,$P191),IF(N($R191)=0,"?",COUNTIFS(INDEX($S$5:$S$1000,1):INDEX($S$5:$S$1000,$R191-4),"Macro",INDEX($P$5:$P$1000,1):INDEX($P$5:$P$1000,$R191-4),INDEX($P$5:$P$1000,$R191-4))&amp;"."&amp;COUNTIFS($R$5:$R191,$R191,$S$5:$S191,"Sub"))))</f>
        <v/>
      </c>
      <c r="B191" s="62" t="n"/>
      <c r="C191" s="63" t="n"/>
      <c r="D191" s="62" t="n"/>
      <c r="E191" s="64" t="n"/>
      <c r="F191" s="64" t="n"/>
      <c r="G191" s="65" t="n"/>
      <c r="H191" s="66" t="n"/>
      <c r="I191" s="66" t="n"/>
      <c r="J191" s="66" t="n"/>
      <c r="K191" s="66" t="n"/>
      <c r="L191" s="67">
        <f>IF(NOT((COUNTA($B191:$K191)+COUNTA($N191))&gt;0),"",IF(N($T191)&gt;0,$AB191,IFERROR(LOOKUP(2,1/(H191:K191&lt;&gt;""),H191:K191),0)))</f>
        <v/>
      </c>
      <c r="M191" s="61">
        <f>IF(L191="","",IF(L191&gt;=1,"Completado",IF(L191&gt;0,"En curso","Pendiente")))</f>
        <v/>
      </c>
      <c r="N191" s="62" t="n"/>
      <c r="O191" s="68">
        <f>IF(NOT((COUNTA($B191:$K191)+COUNTA($N191))&gt;0),"",IF((IF(AND($S191="Macro",$B191=""),"Macroactividad vacía"&amp;" · ","")&amp;IF(AND($B191&lt;&gt;"",$C191&lt;&gt;""),"Escriba la subactividad en otra fila, debajo de su macroactividad"&amp;" · ","")&amp;IF(AND($S191="Sub",N($R191)=0),"Subactividad sin macroactividad arriba"&amp;" · ","")&amp;IF($D191="","Sin responsable"&amp;" · ","")&amp;IF($E191="","Sin fecha de inicio"&amp;" · ","")&amp;IF($F191="","Sin fecha límite"&amp;" · ","")&amp;IF(OR(AND($E191&lt;&gt;"",NOT(ISNUMBER($E191))),AND($F191&lt;&gt;"",NOT(ISNUMBER($F191)))),"Fecha no válida"&amp;" · ","")&amp;IF(AND(ISNUMBER($E191),ISNUMBER($F191),$E191&gt;$F191),"Inicio posterior a fecha límite"&amp;" · ","")&amp;IF(AND($S191="Macro",$G191=""),"Peso vacío"&amp;" · ","")&amp;IF(AND($S191="Macro",$G191&lt;&gt;"",OR(NOT(ISNUMBER($G191)),$G191&lt;=0,$G191&gt;1)),"Peso fuera de rango"&amp;" · ","")&amp;IF(AND($S191="Sub",$G191&lt;&gt;""),"Las subactividades no llevan peso"&amp;" · ","")&amp;IF(AND($S191="Macro",ABS(SUMIFS($G$5:$G$1000,$P$5:$P$1000,$P191,$S$5:$S$1000,"Macro")-1)&gt;0.0001),"Pesos del mes suman "&amp;TEXT(SUMIFS($G$5:$G$1000,$P$5:$P$1000,$P191,$S$5:$S$1000,"Macro"),"0%")&amp;" · ","")&amp;IF(AND(N($T191)&gt;0,COUNT($H191:$K191)&gt;0),"Con subactividades: deje vacías las semanas (se calculan solas)"&amp;" · ","")&amp;IF((COUNTIF($H191:$K191,"&gt;1")+COUNTIF($H191:$K191,"&lt;0")+COUNTA($H191:$K191)-COUNT($H191:$K191))&gt;0,"Avance fuera de rango 0-100%"&amp;" · ","")&amp;IF(OR(AND($I191&lt;&gt;"",$I191&lt;$H191),AND($J191&lt;&gt;"",$J191&lt;MAX($H191:$I191)),AND($K191&lt;&gt;"",$K191&lt;MAX($H191:$J191))),"Avance semanal decreciente"&amp;" · ","")&amp;IF(AND(ISNUMBER($F191),$F191&lt;FechaRef,N($L191)&lt;1),"Vencida"&amp;" · ","")&amp;IF(AND(ObsObligatoria="Sí",ISNUMBER($F191),$F191&lt;FechaRef,N($L191)&lt;1,$N191=""),"Vencida sin observación"&amp;" · ",""))="","✔ OK","⚠ "&amp;LEFT(IF(AND($S191="Macro",$B191=""),"Macroactividad vacía"&amp;" · ","")&amp;IF(AND($B191&lt;&gt;"",$C191&lt;&gt;""),"Escriba la subactividad en otra fila, debajo de su macroactividad"&amp;" · ","")&amp;IF(AND($S191="Sub",N($R191)=0),"Subactividad sin macroactividad arriba"&amp;" · ","")&amp;IF($D191="","Sin responsable"&amp;" · ","")&amp;IF($E191="","Sin fecha de inicio"&amp;" · ","")&amp;IF($F191="","Sin fecha límite"&amp;" · ","")&amp;IF(OR(AND($E191&lt;&gt;"",NOT(ISNUMBER($E191))),AND($F191&lt;&gt;"",NOT(ISNUMBER($F191)))),"Fecha no válida"&amp;" · ","")&amp;IF(AND(ISNUMBER($E191),ISNUMBER($F191),$E191&gt;$F191),"Inicio posterior a fecha límite"&amp;" · ","")&amp;IF(AND($S191="Macro",$G191=""),"Peso vacío"&amp;" · ","")&amp;IF(AND($S191="Macro",$G191&lt;&gt;"",OR(NOT(ISNUMBER($G191)),$G191&lt;=0,$G191&gt;1)),"Peso fuera de rango"&amp;" · ","")&amp;IF(AND($S191="Sub",$G191&lt;&gt;""),"Las subactividades no llevan peso"&amp;" · ","")&amp;IF(AND($S191="Macro",ABS(SUMIFS($G$5:$G$1000,$P$5:$P$1000,$P191,$S$5:$S$1000,"Macro")-1)&gt;0.0001),"Pesos del mes suman "&amp;TEXT(SUMIFS($G$5:$G$1000,$P$5:$P$1000,$P191,$S$5:$S$1000,"Macro"),"0%")&amp;" · ","")&amp;IF(AND(N($T191)&gt;0,COUNT($H191:$K191)&gt;0),"Con subactividades: deje vacías las semanas (se calculan solas)"&amp;" · ","")&amp;IF((COUNTIF($H191:$K191,"&gt;1")+COUNTIF($H191:$K191,"&lt;0")+COUNTA($H191:$K191)-COUNT($H191:$K191))&gt;0,"Avance fuera de rango 0-100%"&amp;" · ","")&amp;IF(OR(AND($I191&lt;&gt;"",$I191&lt;$H191),AND($J191&lt;&gt;"",$J191&lt;MAX($H191:$I191)),AND($K191&lt;&gt;"",$K191&lt;MAX($H191:$J191))),"Avance semanal decreciente"&amp;" · ","")&amp;IF(AND(ISNUMBER($F191),$F191&lt;FechaRef,N($L191)&lt;1),"Vencida"&amp;" · ","")&amp;IF(AND(ObsObligatoria="Sí",ISNUMBER($F191),$F191&lt;FechaRef,N($L191)&lt;1,$N191=""),"Vencida sin observación"&amp;" · ",""),LEN(IF(AND($S191="Macro",$B191=""),"Macroactividad vacía"&amp;" · ","")&amp;IF(AND($B191&lt;&gt;"",$C191&lt;&gt;""),"Escriba la subactividad en otra fila, debajo de su macroactividad"&amp;" · ","")&amp;IF(AND($S191="Sub",N($R191)=0),"Subactividad sin macroactividad arriba"&amp;" · ","")&amp;IF($D191="","Sin responsable"&amp;" · ","")&amp;IF($E191="","Sin fecha de inicio"&amp;" · ","")&amp;IF($F191="","Sin fecha límite"&amp;" · ","")&amp;IF(OR(AND($E191&lt;&gt;"",NOT(ISNUMBER($E191))),AND($F191&lt;&gt;"",NOT(ISNUMBER($F191)))),"Fecha no válida"&amp;" · ","")&amp;IF(AND(ISNUMBER($E191),ISNUMBER($F191),$E191&gt;$F191),"Inicio posterior a fecha límite"&amp;" · ","")&amp;IF(AND($S191="Macro",$G191=""),"Peso vacío"&amp;" · ","")&amp;IF(AND($S191="Macro",$G191&lt;&gt;"",OR(NOT(ISNUMBER($G191)),$G191&lt;=0,$G191&gt;1)),"Peso fuera de rango"&amp;" · ","")&amp;IF(AND($S191="Sub",$G191&lt;&gt;""),"Las subactividades no llevan peso"&amp;" · ","")&amp;IF(AND($S191="Macro",ABS(SUMIFS($G$5:$G$1000,$P$5:$P$1000,$P191,$S$5:$S$1000,"Macro")-1)&gt;0.0001),"Pesos del mes suman "&amp;TEXT(SUMIFS($G$5:$G$1000,$P$5:$P$1000,$P191,$S$5:$S$1000,"Macro"),"0%")&amp;" · ","")&amp;IF(AND(N($T191)&gt;0,COUNT($H191:$K191)&gt;0),"Con subactividades: deje vacías las semanas (se calculan solas)"&amp;" · ","")&amp;IF((COUNTIF($H191:$K191,"&gt;1")+COUNTIF($H191:$K191,"&lt;0")+COUNTA($H191:$K191)-COUNT($H191:$K191))&gt;0,"Avance fuera de rango 0-100%"&amp;" · ","")&amp;IF(OR(AND($I191&lt;&gt;"",$I191&lt;$H191),AND($J191&lt;&gt;"",$J191&lt;MAX($H191:$I191)),AND($K191&lt;&gt;"",$K191&lt;MAX($H191:$J191))),"Avance semanal decreciente"&amp;" · ","")&amp;IF(AND(ISNUMBER($F191),$F191&lt;FechaRef,N($L191)&lt;1),"Vencida"&amp;" · ","")&amp;IF(AND(ObsObligatoria="Sí",ISNUMBER($F191),$F191&lt;FechaRef,N($L191)&lt;1,$N191=""),"Vencida sin observación"&amp;" · ",""))-3)))</f>
        <v/>
      </c>
      <c r="P191" s="69">
        <f>IF(NOT((COUNTA($B191:$K191)+COUNTA($N191))&gt;0),"",IF(AND($S191="Sub",N($R191)&gt;0),IF(ISNUMBER(INDEX($E$5:$E$1000,$R191-4)),DATE(YEAR(INDEX($E$5:$E$1000,$R191-4)),MONTH(INDEX($E$5:$E$1000,$R191-4)),1),IF(ISNUMBER(INDEX($F$5:$F$1000,$R191-4)),DATE(YEAR(INDEX($F$5:$F$1000,$R191-4)),MONTH(INDEX($F$5:$F$1000,$R191-4)),1),MesCiclo)),IF(ISNUMBER($E191),DATE(YEAR($E191),MONTH($E191),1),IF(ISNUMBER($F191),DATE(YEAR($F191),MONTH($F191),1),MesCiclo))))</f>
        <v/>
      </c>
      <c r="Q191" s="70">
        <f>IF(OR($P191="",$P191&lt;&gt;MesCiclo),"",COUNTIF($P$5:$P191,MesCiclo))</f>
        <v/>
      </c>
      <c r="R191" s="70">
        <f>IF($S191="","",IF($S191="Macro",ROW(),IFERROR(LOOKUP(2,1/($S$5:$S191="Macro"),ROW($S$5:$S191)),0)))</f>
        <v/>
      </c>
      <c r="S191" s="70">
        <f>IF(NOT((COUNTA($B191:$K191)+COUNTA($N191))&gt;0),"",IF($B191&lt;&gt;"","Macro",IF($C191&lt;&gt;"","Sub","Macro")))</f>
        <v/>
      </c>
      <c r="T191" s="70">
        <f>IF($S191="Macro",COUNTIFS($R$5:$R$1000,ROW(),$S$5:$S$1000,"Sub"),"")</f>
        <v/>
      </c>
      <c r="U191" s="70">
        <f>IF($S191="","",IF(ISNUMBER($H191),$H191,0))</f>
        <v/>
      </c>
      <c r="V191" s="70">
        <f>IF($S191="","",IF(ISNUMBER($I191),$I191,$U191))</f>
        <v/>
      </c>
      <c r="W191" s="70">
        <f>IF($S191="","",IF(ISNUMBER($J191),$J191,$V191))</f>
        <v/>
      </c>
      <c r="X191" s="70">
        <f>IF($S191="","",IF(ISNUMBER($K191),$K191,$W191))</f>
        <v/>
      </c>
      <c r="Y191" s="70">
        <f>IF($S191="","",IF(N($T191)&gt;0,AVERAGEIFS($U$5:$U$1000,$R$5:$R$1000,ROW(),$S$5:$S$1000,"Sub"),$U191))</f>
        <v/>
      </c>
      <c r="Z191" s="70">
        <f>IF($S191="","",IF(N($T191)&gt;0,AVERAGEIFS($V$5:$V$1000,$R$5:$R$1000,ROW(),$S$5:$S$1000,"Sub"),$V191))</f>
        <v/>
      </c>
      <c r="AA191" s="70">
        <f>IF($S191="","",IF(N($T191)&gt;0,AVERAGEIFS($W$5:$W$1000,$R$5:$R$1000,ROW(),$S$5:$S$1000,"Sub"),$W191))</f>
        <v/>
      </c>
      <c r="AB191" s="70">
        <f>IF($S191="","",IF(N($T191)&gt;0,AVERAGEIFS($X$5:$X$1000,$R$5:$R$1000,ROW(),$S$5:$S$1000,"Sub"),$X191))</f>
        <v/>
      </c>
    </row>
    <row r="192">
      <c r="A192" s="61">
        <f>IF(NOT((COUNTA($B192:$K192)+COUNTA($N192))&gt;0),"",IF($S192="Macro",COUNTIFS($S$5:$S192,"Macro",$P$5:$P192,$P192),IF(N($R192)=0,"?",COUNTIFS(INDEX($S$5:$S$1000,1):INDEX($S$5:$S$1000,$R192-4),"Macro",INDEX($P$5:$P$1000,1):INDEX($P$5:$P$1000,$R192-4),INDEX($P$5:$P$1000,$R192-4))&amp;"."&amp;COUNTIFS($R$5:$R192,$R192,$S$5:$S192,"Sub"))))</f>
        <v/>
      </c>
      <c r="B192" s="62" t="n"/>
      <c r="C192" s="63" t="n"/>
      <c r="D192" s="62" t="n"/>
      <c r="E192" s="64" t="n"/>
      <c r="F192" s="64" t="n"/>
      <c r="G192" s="65" t="n"/>
      <c r="H192" s="66" t="n"/>
      <c r="I192" s="66" t="n"/>
      <c r="J192" s="66" t="n"/>
      <c r="K192" s="66" t="n"/>
      <c r="L192" s="67">
        <f>IF(NOT((COUNTA($B192:$K192)+COUNTA($N192))&gt;0),"",IF(N($T192)&gt;0,$AB192,IFERROR(LOOKUP(2,1/(H192:K192&lt;&gt;""),H192:K192),0)))</f>
        <v/>
      </c>
      <c r="M192" s="61">
        <f>IF(L192="","",IF(L192&gt;=1,"Completado",IF(L192&gt;0,"En curso","Pendiente")))</f>
        <v/>
      </c>
      <c r="N192" s="62" t="n"/>
      <c r="O192" s="68">
        <f>IF(NOT((COUNTA($B192:$K192)+COUNTA($N192))&gt;0),"",IF((IF(AND($S192="Macro",$B192=""),"Macroactividad vacía"&amp;" · ","")&amp;IF(AND($B192&lt;&gt;"",$C192&lt;&gt;""),"Escriba la subactividad en otra fila, debajo de su macroactividad"&amp;" · ","")&amp;IF(AND($S192="Sub",N($R192)=0),"Subactividad sin macroactividad arriba"&amp;" · ","")&amp;IF($D192="","Sin responsable"&amp;" · ","")&amp;IF($E192="","Sin fecha de inicio"&amp;" · ","")&amp;IF($F192="","Sin fecha límite"&amp;" · ","")&amp;IF(OR(AND($E192&lt;&gt;"",NOT(ISNUMBER($E192))),AND($F192&lt;&gt;"",NOT(ISNUMBER($F192)))),"Fecha no válida"&amp;" · ","")&amp;IF(AND(ISNUMBER($E192),ISNUMBER($F192),$E192&gt;$F192),"Inicio posterior a fecha límite"&amp;" · ","")&amp;IF(AND($S192="Macro",$G192=""),"Peso vacío"&amp;" · ","")&amp;IF(AND($S192="Macro",$G192&lt;&gt;"",OR(NOT(ISNUMBER($G192)),$G192&lt;=0,$G192&gt;1)),"Peso fuera de rango"&amp;" · ","")&amp;IF(AND($S192="Sub",$G192&lt;&gt;""),"Las subactividades no llevan peso"&amp;" · ","")&amp;IF(AND($S192="Macro",ABS(SUMIFS($G$5:$G$1000,$P$5:$P$1000,$P192,$S$5:$S$1000,"Macro")-1)&gt;0.0001),"Pesos del mes suman "&amp;TEXT(SUMIFS($G$5:$G$1000,$P$5:$P$1000,$P192,$S$5:$S$1000,"Macro"),"0%")&amp;" · ","")&amp;IF(AND(N($T192)&gt;0,COUNT($H192:$K192)&gt;0),"Con subactividades: deje vacías las semanas (se calculan solas)"&amp;" · ","")&amp;IF((COUNTIF($H192:$K192,"&gt;1")+COUNTIF($H192:$K192,"&lt;0")+COUNTA($H192:$K192)-COUNT($H192:$K192))&gt;0,"Avance fuera de rango 0-100%"&amp;" · ","")&amp;IF(OR(AND($I192&lt;&gt;"",$I192&lt;$H192),AND($J192&lt;&gt;"",$J192&lt;MAX($H192:$I192)),AND($K192&lt;&gt;"",$K192&lt;MAX($H192:$J192))),"Avance semanal decreciente"&amp;" · ","")&amp;IF(AND(ISNUMBER($F192),$F192&lt;FechaRef,N($L192)&lt;1),"Vencida"&amp;" · ","")&amp;IF(AND(ObsObligatoria="Sí",ISNUMBER($F192),$F192&lt;FechaRef,N($L192)&lt;1,$N192=""),"Vencida sin observación"&amp;" · ",""))="","✔ OK","⚠ "&amp;LEFT(IF(AND($S192="Macro",$B192=""),"Macroactividad vacía"&amp;" · ","")&amp;IF(AND($B192&lt;&gt;"",$C192&lt;&gt;""),"Escriba la subactividad en otra fila, debajo de su macroactividad"&amp;" · ","")&amp;IF(AND($S192="Sub",N($R192)=0),"Subactividad sin macroactividad arriba"&amp;" · ","")&amp;IF($D192="","Sin responsable"&amp;" · ","")&amp;IF($E192="","Sin fecha de inicio"&amp;" · ","")&amp;IF($F192="","Sin fecha límite"&amp;" · ","")&amp;IF(OR(AND($E192&lt;&gt;"",NOT(ISNUMBER($E192))),AND($F192&lt;&gt;"",NOT(ISNUMBER($F192)))),"Fecha no válida"&amp;" · ","")&amp;IF(AND(ISNUMBER($E192),ISNUMBER($F192),$E192&gt;$F192),"Inicio posterior a fecha límite"&amp;" · ","")&amp;IF(AND($S192="Macro",$G192=""),"Peso vacío"&amp;" · ","")&amp;IF(AND($S192="Macro",$G192&lt;&gt;"",OR(NOT(ISNUMBER($G192)),$G192&lt;=0,$G192&gt;1)),"Peso fuera de rango"&amp;" · ","")&amp;IF(AND($S192="Sub",$G192&lt;&gt;""),"Las subactividades no llevan peso"&amp;" · ","")&amp;IF(AND($S192="Macro",ABS(SUMIFS($G$5:$G$1000,$P$5:$P$1000,$P192,$S$5:$S$1000,"Macro")-1)&gt;0.0001),"Pesos del mes suman "&amp;TEXT(SUMIFS($G$5:$G$1000,$P$5:$P$1000,$P192,$S$5:$S$1000,"Macro"),"0%")&amp;" · ","")&amp;IF(AND(N($T192)&gt;0,COUNT($H192:$K192)&gt;0),"Con subactividades: deje vacías las semanas (se calculan solas)"&amp;" · ","")&amp;IF((COUNTIF($H192:$K192,"&gt;1")+COUNTIF($H192:$K192,"&lt;0")+COUNTA($H192:$K192)-COUNT($H192:$K192))&gt;0,"Avance fuera de rango 0-100%"&amp;" · ","")&amp;IF(OR(AND($I192&lt;&gt;"",$I192&lt;$H192),AND($J192&lt;&gt;"",$J192&lt;MAX($H192:$I192)),AND($K192&lt;&gt;"",$K192&lt;MAX($H192:$J192))),"Avance semanal decreciente"&amp;" · ","")&amp;IF(AND(ISNUMBER($F192),$F192&lt;FechaRef,N($L192)&lt;1),"Vencida"&amp;" · ","")&amp;IF(AND(ObsObligatoria="Sí",ISNUMBER($F192),$F192&lt;FechaRef,N($L192)&lt;1,$N192=""),"Vencida sin observación"&amp;" · ",""),LEN(IF(AND($S192="Macro",$B192=""),"Macroactividad vacía"&amp;" · ","")&amp;IF(AND($B192&lt;&gt;"",$C192&lt;&gt;""),"Escriba la subactividad en otra fila, debajo de su macroactividad"&amp;" · ","")&amp;IF(AND($S192="Sub",N($R192)=0),"Subactividad sin macroactividad arriba"&amp;" · ","")&amp;IF($D192="","Sin responsable"&amp;" · ","")&amp;IF($E192="","Sin fecha de inicio"&amp;" · ","")&amp;IF($F192="","Sin fecha límite"&amp;" · ","")&amp;IF(OR(AND($E192&lt;&gt;"",NOT(ISNUMBER($E192))),AND($F192&lt;&gt;"",NOT(ISNUMBER($F192)))),"Fecha no válida"&amp;" · ","")&amp;IF(AND(ISNUMBER($E192),ISNUMBER($F192),$E192&gt;$F192),"Inicio posterior a fecha límite"&amp;" · ","")&amp;IF(AND($S192="Macro",$G192=""),"Peso vacío"&amp;" · ","")&amp;IF(AND($S192="Macro",$G192&lt;&gt;"",OR(NOT(ISNUMBER($G192)),$G192&lt;=0,$G192&gt;1)),"Peso fuera de rango"&amp;" · ","")&amp;IF(AND($S192="Sub",$G192&lt;&gt;""),"Las subactividades no llevan peso"&amp;" · ","")&amp;IF(AND($S192="Macro",ABS(SUMIFS($G$5:$G$1000,$P$5:$P$1000,$P192,$S$5:$S$1000,"Macro")-1)&gt;0.0001),"Pesos del mes suman "&amp;TEXT(SUMIFS($G$5:$G$1000,$P$5:$P$1000,$P192,$S$5:$S$1000,"Macro"),"0%")&amp;" · ","")&amp;IF(AND(N($T192)&gt;0,COUNT($H192:$K192)&gt;0),"Con subactividades: deje vacías las semanas (se calculan solas)"&amp;" · ","")&amp;IF((COUNTIF($H192:$K192,"&gt;1")+COUNTIF($H192:$K192,"&lt;0")+COUNTA($H192:$K192)-COUNT($H192:$K192))&gt;0,"Avance fuera de rango 0-100%"&amp;" · ","")&amp;IF(OR(AND($I192&lt;&gt;"",$I192&lt;$H192),AND($J192&lt;&gt;"",$J192&lt;MAX($H192:$I192)),AND($K192&lt;&gt;"",$K192&lt;MAX($H192:$J192))),"Avance semanal decreciente"&amp;" · ","")&amp;IF(AND(ISNUMBER($F192),$F192&lt;FechaRef,N($L192)&lt;1),"Vencida"&amp;" · ","")&amp;IF(AND(ObsObligatoria="Sí",ISNUMBER($F192),$F192&lt;FechaRef,N($L192)&lt;1,$N192=""),"Vencida sin observación"&amp;" · ",""))-3)))</f>
        <v/>
      </c>
      <c r="P192" s="69">
        <f>IF(NOT((COUNTA($B192:$K192)+COUNTA($N192))&gt;0),"",IF(AND($S192="Sub",N($R192)&gt;0),IF(ISNUMBER(INDEX($E$5:$E$1000,$R192-4)),DATE(YEAR(INDEX($E$5:$E$1000,$R192-4)),MONTH(INDEX($E$5:$E$1000,$R192-4)),1),IF(ISNUMBER(INDEX($F$5:$F$1000,$R192-4)),DATE(YEAR(INDEX($F$5:$F$1000,$R192-4)),MONTH(INDEX($F$5:$F$1000,$R192-4)),1),MesCiclo)),IF(ISNUMBER($E192),DATE(YEAR($E192),MONTH($E192),1),IF(ISNUMBER($F192),DATE(YEAR($F192),MONTH($F192),1),MesCiclo))))</f>
        <v/>
      </c>
      <c r="Q192" s="70">
        <f>IF(OR($P192="",$P192&lt;&gt;MesCiclo),"",COUNTIF($P$5:$P192,MesCiclo))</f>
        <v/>
      </c>
      <c r="R192" s="70">
        <f>IF($S192="","",IF($S192="Macro",ROW(),IFERROR(LOOKUP(2,1/($S$5:$S192="Macro"),ROW($S$5:$S192)),0)))</f>
        <v/>
      </c>
      <c r="S192" s="70">
        <f>IF(NOT((COUNTA($B192:$K192)+COUNTA($N192))&gt;0),"",IF($B192&lt;&gt;"","Macro",IF($C192&lt;&gt;"","Sub","Macro")))</f>
        <v/>
      </c>
      <c r="T192" s="70">
        <f>IF($S192="Macro",COUNTIFS($R$5:$R$1000,ROW(),$S$5:$S$1000,"Sub"),"")</f>
        <v/>
      </c>
      <c r="U192" s="70">
        <f>IF($S192="","",IF(ISNUMBER($H192),$H192,0))</f>
        <v/>
      </c>
      <c r="V192" s="70">
        <f>IF($S192="","",IF(ISNUMBER($I192),$I192,$U192))</f>
        <v/>
      </c>
      <c r="W192" s="70">
        <f>IF($S192="","",IF(ISNUMBER($J192),$J192,$V192))</f>
        <v/>
      </c>
      <c r="X192" s="70">
        <f>IF($S192="","",IF(ISNUMBER($K192),$K192,$W192))</f>
        <v/>
      </c>
      <c r="Y192" s="70">
        <f>IF($S192="","",IF(N($T192)&gt;0,AVERAGEIFS($U$5:$U$1000,$R$5:$R$1000,ROW(),$S$5:$S$1000,"Sub"),$U192))</f>
        <v/>
      </c>
      <c r="Z192" s="70">
        <f>IF($S192="","",IF(N($T192)&gt;0,AVERAGEIFS($V$5:$V$1000,$R$5:$R$1000,ROW(),$S$5:$S$1000,"Sub"),$V192))</f>
        <v/>
      </c>
      <c r="AA192" s="70">
        <f>IF($S192="","",IF(N($T192)&gt;0,AVERAGEIFS($W$5:$W$1000,$R$5:$R$1000,ROW(),$S$5:$S$1000,"Sub"),$W192))</f>
        <v/>
      </c>
      <c r="AB192" s="70">
        <f>IF($S192="","",IF(N($T192)&gt;0,AVERAGEIFS($X$5:$X$1000,$R$5:$R$1000,ROW(),$S$5:$S$1000,"Sub"),$X192))</f>
        <v/>
      </c>
    </row>
    <row r="193">
      <c r="A193" s="61">
        <f>IF(NOT((COUNTA($B193:$K193)+COUNTA($N193))&gt;0),"",IF($S193="Macro",COUNTIFS($S$5:$S193,"Macro",$P$5:$P193,$P193),IF(N($R193)=0,"?",COUNTIFS(INDEX($S$5:$S$1000,1):INDEX($S$5:$S$1000,$R193-4),"Macro",INDEX($P$5:$P$1000,1):INDEX($P$5:$P$1000,$R193-4),INDEX($P$5:$P$1000,$R193-4))&amp;"."&amp;COUNTIFS($R$5:$R193,$R193,$S$5:$S193,"Sub"))))</f>
        <v/>
      </c>
      <c r="B193" s="62" t="n"/>
      <c r="C193" s="63" t="n"/>
      <c r="D193" s="62" t="n"/>
      <c r="E193" s="64" t="n"/>
      <c r="F193" s="64" t="n"/>
      <c r="G193" s="65" t="n"/>
      <c r="H193" s="66" t="n"/>
      <c r="I193" s="66" t="n"/>
      <c r="J193" s="66" t="n"/>
      <c r="K193" s="66" t="n"/>
      <c r="L193" s="67">
        <f>IF(NOT((COUNTA($B193:$K193)+COUNTA($N193))&gt;0),"",IF(N($T193)&gt;0,$AB193,IFERROR(LOOKUP(2,1/(H193:K193&lt;&gt;""),H193:K193),0)))</f>
        <v/>
      </c>
      <c r="M193" s="61">
        <f>IF(L193="","",IF(L193&gt;=1,"Completado",IF(L193&gt;0,"En curso","Pendiente")))</f>
        <v/>
      </c>
      <c r="N193" s="62" t="n"/>
      <c r="O193" s="68">
        <f>IF(NOT((COUNTA($B193:$K193)+COUNTA($N193))&gt;0),"",IF((IF(AND($S193="Macro",$B193=""),"Macroactividad vacía"&amp;" · ","")&amp;IF(AND($B193&lt;&gt;"",$C193&lt;&gt;""),"Escriba la subactividad en otra fila, debajo de su macroactividad"&amp;" · ","")&amp;IF(AND($S193="Sub",N($R193)=0),"Subactividad sin macroactividad arriba"&amp;" · ","")&amp;IF($D193="","Sin responsable"&amp;" · ","")&amp;IF($E193="","Sin fecha de inicio"&amp;" · ","")&amp;IF($F193="","Sin fecha límite"&amp;" · ","")&amp;IF(OR(AND($E193&lt;&gt;"",NOT(ISNUMBER($E193))),AND($F193&lt;&gt;"",NOT(ISNUMBER($F193)))),"Fecha no válida"&amp;" · ","")&amp;IF(AND(ISNUMBER($E193),ISNUMBER($F193),$E193&gt;$F193),"Inicio posterior a fecha límite"&amp;" · ","")&amp;IF(AND($S193="Macro",$G193=""),"Peso vacío"&amp;" · ","")&amp;IF(AND($S193="Macro",$G193&lt;&gt;"",OR(NOT(ISNUMBER($G193)),$G193&lt;=0,$G193&gt;1)),"Peso fuera de rango"&amp;" · ","")&amp;IF(AND($S193="Sub",$G193&lt;&gt;""),"Las subactividades no llevan peso"&amp;" · ","")&amp;IF(AND($S193="Macro",ABS(SUMIFS($G$5:$G$1000,$P$5:$P$1000,$P193,$S$5:$S$1000,"Macro")-1)&gt;0.0001),"Pesos del mes suman "&amp;TEXT(SUMIFS($G$5:$G$1000,$P$5:$P$1000,$P193,$S$5:$S$1000,"Macro"),"0%")&amp;" · ","")&amp;IF(AND(N($T193)&gt;0,COUNT($H193:$K193)&gt;0),"Con subactividades: deje vacías las semanas (se calculan solas)"&amp;" · ","")&amp;IF((COUNTIF($H193:$K193,"&gt;1")+COUNTIF($H193:$K193,"&lt;0")+COUNTA($H193:$K193)-COUNT($H193:$K193))&gt;0,"Avance fuera de rango 0-100%"&amp;" · ","")&amp;IF(OR(AND($I193&lt;&gt;"",$I193&lt;$H193),AND($J193&lt;&gt;"",$J193&lt;MAX($H193:$I193)),AND($K193&lt;&gt;"",$K193&lt;MAX($H193:$J193))),"Avance semanal decreciente"&amp;" · ","")&amp;IF(AND(ISNUMBER($F193),$F193&lt;FechaRef,N($L193)&lt;1),"Vencida"&amp;" · ","")&amp;IF(AND(ObsObligatoria="Sí",ISNUMBER($F193),$F193&lt;FechaRef,N($L193)&lt;1,$N193=""),"Vencida sin observación"&amp;" · ",""))="","✔ OK","⚠ "&amp;LEFT(IF(AND($S193="Macro",$B193=""),"Macroactividad vacía"&amp;" · ","")&amp;IF(AND($B193&lt;&gt;"",$C193&lt;&gt;""),"Escriba la subactividad en otra fila, debajo de su macroactividad"&amp;" · ","")&amp;IF(AND($S193="Sub",N($R193)=0),"Subactividad sin macroactividad arriba"&amp;" · ","")&amp;IF($D193="","Sin responsable"&amp;" · ","")&amp;IF($E193="","Sin fecha de inicio"&amp;" · ","")&amp;IF($F193="","Sin fecha límite"&amp;" · ","")&amp;IF(OR(AND($E193&lt;&gt;"",NOT(ISNUMBER($E193))),AND($F193&lt;&gt;"",NOT(ISNUMBER($F193)))),"Fecha no válida"&amp;" · ","")&amp;IF(AND(ISNUMBER($E193),ISNUMBER($F193),$E193&gt;$F193),"Inicio posterior a fecha límite"&amp;" · ","")&amp;IF(AND($S193="Macro",$G193=""),"Peso vacío"&amp;" · ","")&amp;IF(AND($S193="Macro",$G193&lt;&gt;"",OR(NOT(ISNUMBER($G193)),$G193&lt;=0,$G193&gt;1)),"Peso fuera de rango"&amp;" · ","")&amp;IF(AND($S193="Sub",$G193&lt;&gt;""),"Las subactividades no llevan peso"&amp;" · ","")&amp;IF(AND($S193="Macro",ABS(SUMIFS($G$5:$G$1000,$P$5:$P$1000,$P193,$S$5:$S$1000,"Macro")-1)&gt;0.0001),"Pesos del mes suman "&amp;TEXT(SUMIFS($G$5:$G$1000,$P$5:$P$1000,$P193,$S$5:$S$1000,"Macro"),"0%")&amp;" · ","")&amp;IF(AND(N($T193)&gt;0,COUNT($H193:$K193)&gt;0),"Con subactividades: deje vacías las semanas (se calculan solas)"&amp;" · ","")&amp;IF((COUNTIF($H193:$K193,"&gt;1")+COUNTIF($H193:$K193,"&lt;0")+COUNTA($H193:$K193)-COUNT($H193:$K193))&gt;0,"Avance fuera de rango 0-100%"&amp;" · ","")&amp;IF(OR(AND($I193&lt;&gt;"",$I193&lt;$H193),AND($J193&lt;&gt;"",$J193&lt;MAX($H193:$I193)),AND($K193&lt;&gt;"",$K193&lt;MAX($H193:$J193))),"Avance semanal decreciente"&amp;" · ","")&amp;IF(AND(ISNUMBER($F193),$F193&lt;FechaRef,N($L193)&lt;1),"Vencida"&amp;" · ","")&amp;IF(AND(ObsObligatoria="Sí",ISNUMBER($F193),$F193&lt;FechaRef,N($L193)&lt;1,$N193=""),"Vencida sin observación"&amp;" · ",""),LEN(IF(AND($S193="Macro",$B193=""),"Macroactividad vacía"&amp;" · ","")&amp;IF(AND($B193&lt;&gt;"",$C193&lt;&gt;""),"Escriba la subactividad en otra fila, debajo de su macroactividad"&amp;" · ","")&amp;IF(AND($S193="Sub",N($R193)=0),"Subactividad sin macroactividad arriba"&amp;" · ","")&amp;IF($D193="","Sin responsable"&amp;" · ","")&amp;IF($E193="","Sin fecha de inicio"&amp;" · ","")&amp;IF($F193="","Sin fecha límite"&amp;" · ","")&amp;IF(OR(AND($E193&lt;&gt;"",NOT(ISNUMBER($E193))),AND($F193&lt;&gt;"",NOT(ISNUMBER($F193)))),"Fecha no válida"&amp;" · ","")&amp;IF(AND(ISNUMBER($E193),ISNUMBER($F193),$E193&gt;$F193),"Inicio posterior a fecha límite"&amp;" · ","")&amp;IF(AND($S193="Macro",$G193=""),"Peso vacío"&amp;" · ","")&amp;IF(AND($S193="Macro",$G193&lt;&gt;"",OR(NOT(ISNUMBER($G193)),$G193&lt;=0,$G193&gt;1)),"Peso fuera de rango"&amp;" · ","")&amp;IF(AND($S193="Sub",$G193&lt;&gt;""),"Las subactividades no llevan peso"&amp;" · ","")&amp;IF(AND($S193="Macro",ABS(SUMIFS($G$5:$G$1000,$P$5:$P$1000,$P193,$S$5:$S$1000,"Macro")-1)&gt;0.0001),"Pesos del mes suman "&amp;TEXT(SUMIFS($G$5:$G$1000,$P$5:$P$1000,$P193,$S$5:$S$1000,"Macro"),"0%")&amp;" · ","")&amp;IF(AND(N($T193)&gt;0,COUNT($H193:$K193)&gt;0),"Con subactividades: deje vacías las semanas (se calculan solas)"&amp;" · ","")&amp;IF((COUNTIF($H193:$K193,"&gt;1")+COUNTIF($H193:$K193,"&lt;0")+COUNTA($H193:$K193)-COUNT($H193:$K193))&gt;0,"Avance fuera de rango 0-100%"&amp;" · ","")&amp;IF(OR(AND($I193&lt;&gt;"",$I193&lt;$H193),AND($J193&lt;&gt;"",$J193&lt;MAX($H193:$I193)),AND($K193&lt;&gt;"",$K193&lt;MAX($H193:$J193))),"Avance semanal decreciente"&amp;" · ","")&amp;IF(AND(ISNUMBER($F193),$F193&lt;FechaRef,N($L193)&lt;1),"Vencida"&amp;" · ","")&amp;IF(AND(ObsObligatoria="Sí",ISNUMBER($F193),$F193&lt;FechaRef,N($L193)&lt;1,$N193=""),"Vencida sin observación"&amp;" · ",""))-3)))</f>
        <v/>
      </c>
      <c r="P193" s="69">
        <f>IF(NOT((COUNTA($B193:$K193)+COUNTA($N193))&gt;0),"",IF(AND($S193="Sub",N($R193)&gt;0),IF(ISNUMBER(INDEX($E$5:$E$1000,$R193-4)),DATE(YEAR(INDEX($E$5:$E$1000,$R193-4)),MONTH(INDEX($E$5:$E$1000,$R193-4)),1),IF(ISNUMBER(INDEX($F$5:$F$1000,$R193-4)),DATE(YEAR(INDEX($F$5:$F$1000,$R193-4)),MONTH(INDEX($F$5:$F$1000,$R193-4)),1),MesCiclo)),IF(ISNUMBER($E193),DATE(YEAR($E193),MONTH($E193),1),IF(ISNUMBER($F193),DATE(YEAR($F193),MONTH($F193),1),MesCiclo))))</f>
        <v/>
      </c>
      <c r="Q193" s="70">
        <f>IF(OR($P193="",$P193&lt;&gt;MesCiclo),"",COUNTIF($P$5:$P193,MesCiclo))</f>
        <v/>
      </c>
      <c r="R193" s="70">
        <f>IF($S193="","",IF($S193="Macro",ROW(),IFERROR(LOOKUP(2,1/($S$5:$S193="Macro"),ROW($S$5:$S193)),0)))</f>
        <v/>
      </c>
      <c r="S193" s="70">
        <f>IF(NOT((COUNTA($B193:$K193)+COUNTA($N193))&gt;0),"",IF($B193&lt;&gt;"","Macro",IF($C193&lt;&gt;"","Sub","Macro")))</f>
        <v/>
      </c>
      <c r="T193" s="70">
        <f>IF($S193="Macro",COUNTIFS($R$5:$R$1000,ROW(),$S$5:$S$1000,"Sub"),"")</f>
        <v/>
      </c>
      <c r="U193" s="70">
        <f>IF($S193="","",IF(ISNUMBER($H193),$H193,0))</f>
        <v/>
      </c>
      <c r="V193" s="70">
        <f>IF($S193="","",IF(ISNUMBER($I193),$I193,$U193))</f>
        <v/>
      </c>
      <c r="W193" s="70">
        <f>IF($S193="","",IF(ISNUMBER($J193),$J193,$V193))</f>
        <v/>
      </c>
      <c r="X193" s="70">
        <f>IF($S193="","",IF(ISNUMBER($K193),$K193,$W193))</f>
        <v/>
      </c>
      <c r="Y193" s="70">
        <f>IF($S193="","",IF(N($T193)&gt;0,AVERAGEIFS($U$5:$U$1000,$R$5:$R$1000,ROW(),$S$5:$S$1000,"Sub"),$U193))</f>
        <v/>
      </c>
      <c r="Z193" s="70">
        <f>IF($S193="","",IF(N($T193)&gt;0,AVERAGEIFS($V$5:$V$1000,$R$5:$R$1000,ROW(),$S$5:$S$1000,"Sub"),$V193))</f>
        <v/>
      </c>
      <c r="AA193" s="70">
        <f>IF($S193="","",IF(N($T193)&gt;0,AVERAGEIFS($W$5:$W$1000,$R$5:$R$1000,ROW(),$S$5:$S$1000,"Sub"),$W193))</f>
        <v/>
      </c>
      <c r="AB193" s="70">
        <f>IF($S193="","",IF(N($T193)&gt;0,AVERAGEIFS($X$5:$X$1000,$R$5:$R$1000,ROW(),$S$5:$S$1000,"Sub"),$X193))</f>
        <v/>
      </c>
    </row>
    <row r="194">
      <c r="A194" s="61">
        <f>IF(NOT((COUNTA($B194:$K194)+COUNTA($N194))&gt;0),"",IF($S194="Macro",COUNTIFS($S$5:$S194,"Macro",$P$5:$P194,$P194),IF(N($R194)=0,"?",COUNTIFS(INDEX($S$5:$S$1000,1):INDEX($S$5:$S$1000,$R194-4),"Macro",INDEX($P$5:$P$1000,1):INDEX($P$5:$P$1000,$R194-4),INDEX($P$5:$P$1000,$R194-4))&amp;"."&amp;COUNTIFS($R$5:$R194,$R194,$S$5:$S194,"Sub"))))</f>
        <v/>
      </c>
      <c r="B194" s="62" t="n"/>
      <c r="C194" s="63" t="n"/>
      <c r="D194" s="62" t="n"/>
      <c r="E194" s="64" t="n"/>
      <c r="F194" s="64" t="n"/>
      <c r="G194" s="65" t="n"/>
      <c r="H194" s="66" t="n"/>
      <c r="I194" s="66" t="n"/>
      <c r="J194" s="66" t="n"/>
      <c r="K194" s="66" t="n"/>
      <c r="L194" s="67">
        <f>IF(NOT((COUNTA($B194:$K194)+COUNTA($N194))&gt;0),"",IF(N($T194)&gt;0,$AB194,IFERROR(LOOKUP(2,1/(H194:K194&lt;&gt;""),H194:K194),0)))</f>
        <v/>
      </c>
      <c r="M194" s="61">
        <f>IF(L194="","",IF(L194&gt;=1,"Completado",IF(L194&gt;0,"En curso","Pendiente")))</f>
        <v/>
      </c>
      <c r="N194" s="62" t="n"/>
      <c r="O194" s="68">
        <f>IF(NOT((COUNTA($B194:$K194)+COUNTA($N194))&gt;0),"",IF((IF(AND($S194="Macro",$B194=""),"Macroactividad vacía"&amp;" · ","")&amp;IF(AND($B194&lt;&gt;"",$C194&lt;&gt;""),"Escriba la subactividad en otra fila, debajo de su macroactividad"&amp;" · ","")&amp;IF(AND($S194="Sub",N($R194)=0),"Subactividad sin macroactividad arriba"&amp;" · ","")&amp;IF($D194="","Sin responsable"&amp;" · ","")&amp;IF($E194="","Sin fecha de inicio"&amp;" · ","")&amp;IF($F194="","Sin fecha límite"&amp;" · ","")&amp;IF(OR(AND($E194&lt;&gt;"",NOT(ISNUMBER($E194))),AND($F194&lt;&gt;"",NOT(ISNUMBER($F194)))),"Fecha no válida"&amp;" · ","")&amp;IF(AND(ISNUMBER($E194),ISNUMBER($F194),$E194&gt;$F194),"Inicio posterior a fecha límite"&amp;" · ","")&amp;IF(AND($S194="Macro",$G194=""),"Peso vacío"&amp;" · ","")&amp;IF(AND($S194="Macro",$G194&lt;&gt;"",OR(NOT(ISNUMBER($G194)),$G194&lt;=0,$G194&gt;1)),"Peso fuera de rango"&amp;" · ","")&amp;IF(AND($S194="Sub",$G194&lt;&gt;""),"Las subactividades no llevan peso"&amp;" · ","")&amp;IF(AND($S194="Macro",ABS(SUMIFS($G$5:$G$1000,$P$5:$P$1000,$P194,$S$5:$S$1000,"Macro")-1)&gt;0.0001),"Pesos del mes suman "&amp;TEXT(SUMIFS($G$5:$G$1000,$P$5:$P$1000,$P194,$S$5:$S$1000,"Macro"),"0%")&amp;" · ","")&amp;IF(AND(N($T194)&gt;0,COUNT($H194:$K194)&gt;0),"Con subactividades: deje vacías las semanas (se calculan solas)"&amp;" · ","")&amp;IF((COUNTIF($H194:$K194,"&gt;1")+COUNTIF($H194:$K194,"&lt;0")+COUNTA($H194:$K194)-COUNT($H194:$K194))&gt;0,"Avance fuera de rango 0-100%"&amp;" · ","")&amp;IF(OR(AND($I194&lt;&gt;"",$I194&lt;$H194),AND($J194&lt;&gt;"",$J194&lt;MAX($H194:$I194)),AND($K194&lt;&gt;"",$K194&lt;MAX($H194:$J194))),"Avance semanal decreciente"&amp;" · ","")&amp;IF(AND(ISNUMBER($F194),$F194&lt;FechaRef,N($L194)&lt;1),"Vencida"&amp;" · ","")&amp;IF(AND(ObsObligatoria="Sí",ISNUMBER($F194),$F194&lt;FechaRef,N($L194)&lt;1,$N194=""),"Vencida sin observación"&amp;" · ",""))="","✔ OK","⚠ "&amp;LEFT(IF(AND($S194="Macro",$B194=""),"Macroactividad vacía"&amp;" · ","")&amp;IF(AND($B194&lt;&gt;"",$C194&lt;&gt;""),"Escriba la subactividad en otra fila, debajo de su macroactividad"&amp;" · ","")&amp;IF(AND($S194="Sub",N($R194)=0),"Subactividad sin macroactividad arriba"&amp;" · ","")&amp;IF($D194="","Sin responsable"&amp;" · ","")&amp;IF($E194="","Sin fecha de inicio"&amp;" · ","")&amp;IF($F194="","Sin fecha límite"&amp;" · ","")&amp;IF(OR(AND($E194&lt;&gt;"",NOT(ISNUMBER($E194))),AND($F194&lt;&gt;"",NOT(ISNUMBER($F194)))),"Fecha no válida"&amp;" · ","")&amp;IF(AND(ISNUMBER($E194),ISNUMBER($F194),$E194&gt;$F194),"Inicio posterior a fecha límite"&amp;" · ","")&amp;IF(AND($S194="Macro",$G194=""),"Peso vacío"&amp;" · ","")&amp;IF(AND($S194="Macro",$G194&lt;&gt;"",OR(NOT(ISNUMBER($G194)),$G194&lt;=0,$G194&gt;1)),"Peso fuera de rango"&amp;" · ","")&amp;IF(AND($S194="Sub",$G194&lt;&gt;""),"Las subactividades no llevan peso"&amp;" · ","")&amp;IF(AND($S194="Macro",ABS(SUMIFS($G$5:$G$1000,$P$5:$P$1000,$P194,$S$5:$S$1000,"Macro")-1)&gt;0.0001),"Pesos del mes suman "&amp;TEXT(SUMIFS($G$5:$G$1000,$P$5:$P$1000,$P194,$S$5:$S$1000,"Macro"),"0%")&amp;" · ","")&amp;IF(AND(N($T194)&gt;0,COUNT($H194:$K194)&gt;0),"Con subactividades: deje vacías las semanas (se calculan solas)"&amp;" · ","")&amp;IF((COUNTIF($H194:$K194,"&gt;1")+COUNTIF($H194:$K194,"&lt;0")+COUNTA($H194:$K194)-COUNT($H194:$K194))&gt;0,"Avance fuera de rango 0-100%"&amp;" · ","")&amp;IF(OR(AND($I194&lt;&gt;"",$I194&lt;$H194),AND($J194&lt;&gt;"",$J194&lt;MAX($H194:$I194)),AND($K194&lt;&gt;"",$K194&lt;MAX($H194:$J194))),"Avance semanal decreciente"&amp;" · ","")&amp;IF(AND(ISNUMBER($F194),$F194&lt;FechaRef,N($L194)&lt;1),"Vencida"&amp;" · ","")&amp;IF(AND(ObsObligatoria="Sí",ISNUMBER($F194),$F194&lt;FechaRef,N($L194)&lt;1,$N194=""),"Vencida sin observación"&amp;" · ",""),LEN(IF(AND($S194="Macro",$B194=""),"Macroactividad vacía"&amp;" · ","")&amp;IF(AND($B194&lt;&gt;"",$C194&lt;&gt;""),"Escriba la subactividad en otra fila, debajo de su macroactividad"&amp;" · ","")&amp;IF(AND($S194="Sub",N($R194)=0),"Subactividad sin macroactividad arriba"&amp;" · ","")&amp;IF($D194="","Sin responsable"&amp;" · ","")&amp;IF($E194="","Sin fecha de inicio"&amp;" · ","")&amp;IF($F194="","Sin fecha límite"&amp;" · ","")&amp;IF(OR(AND($E194&lt;&gt;"",NOT(ISNUMBER($E194))),AND($F194&lt;&gt;"",NOT(ISNUMBER($F194)))),"Fecha no válida"&amp;" · ","")&amp;IF(AND(ISNUMBER($E194),ISNUMBER($F194),$E194&gt;$F194),"Inicio posterior a fecha límite"&amp;" · ","")&amp;IF(AND($S194="Macro",$G194=""),"Peso vacío"&amp;" · ","")&amp;IF(AND($S194="Macro",$G194&lt;&gt;"",OR(NOT(ISNUMBER($G194)),$G194&lt;=0,$G194&gt;1)),"Peso fuera de rango"&amp;" · ","")&amp;IF(AND($S194="Sub",$G194&lt;&gt;""),"Las subactividades no llevan peso"&amp;" · ","")&amp;IF(AND($S194="Macro",ABS(SUMIFS($G$5:$G$1000,$P$5:$P$1000,$P194,$S$5:$S$1000,"Macro")-1)&gt;0.0001),"Pesos del mes suman "&amp;TEXT(SUMIFS($G$5:$G$1000,$P$5:$P$1000,$P194,$S$5:$S$1000,"Macro"),"0%")&amp;" · ","")&amp;IF(AND(N($T194)&gt;0,COUNT($H194:$K194)&gt;0),"Con subactividades: deje vacías las semanas (se calculan solas)"&amp;" · ","")&amp;IF((COUNTIF($H194:$K194,"&gt;1")+COUNTIF($H194:$K194,"&lt;0")+COUNTA($H194:$K194)-COUNT($H194:$K194))&gt;0,"Avance fuera de rango 0-100%"&amp;" · ","")&amp;IF(OR(AND($I194&lt;&gt;"",$I194&lt;$H194),AND($J194&lt;&gt;"",$J194&lt;MAX($H194:$I194)),AND($K194&lt;&gt;"",$K194&lt;MAX($H194:$J194))),"Avance semanal decreciente"&amp;" · ","")&amp;IF(AND(ISNUMBER($F194),$F194&lt;FechaRef,N($L194)&lt;1),"Vencida"&amp;" · ","")&amp;IF(AND(ObsObligatoria="Sí",ISNUMBER($F194),$F194&lt;FechaRef,N($L194)&lt;1,$N194=""),"Vencida sin observación"&amp;" · ",""))-3)))</f>
        <v/>
      </c>
      <c r="P194" s="69">
        <f>IF(NOT((COUNTA($B194:$K194)+COUNTA($N194))&gt;0),"",IF(AND($S194="Sub",N($R194)&gt;0),IF(ISNUMBER(INDEX($E$5:$E$1000,$R194-4)),DATE(YEAR(INDEX($E$5:$E$1000,$R194-4)),MONTH(INDEX($E$5:$E$1000,$R194-4)),1),IF(ISNUMBER(INDEX($F$5:$F$1000,$R194-4)),DATE(YEAR(INDEX($F$5:$F$1000,$R194-4)),MONTH(INDEX($F$5:$F$1000,$R194-4)),1),MesCiclo)),IF(ISNUMBER($E194),DATE(YEAR($E194),MONTH($E194),1),IF(ISNUMBER($F194),DATE(YEAR($F194),MONTH($F194),1),MesCiclo))))</f>
        <v/>
      </c>
      <c r="Q194" s="70">
        <f>IF(OR($P194="",$P194&lt;&gt;MesCiclo),"",COUNTIF($P$5:$P194,MesCiclo))</f>
        <v/>
      </c>
      <c r="R194" s="70">
        <f>IF($S194="","",IF($S194="Macro",ROW(),IFERROR(LOOKUP(2,1/($S$5:$S194="Macro"),ROW($S$5:$S194)),0)))</f>
        <v/>
      </c>
      <c r="S194" s="70">
        <f>IF(NOT((COUNTA($B194:$K194)+COUNTA($N194))&gt;0),"",IF($B194&lt;&gt;"","Macro",IF($C194&lt;&gt;"","Sub","Macro")))</f>
        <v/>
      </c>
      <c r="T194" s="70">
        <f>IF($S194="Macro",COUNTIFS($R$5:$R$1000,ROW(),$S$5:$S$1000,"Sub"),"")</f>
        <v/>
      </c>
      <c r="U194" s="70">
        <f>IF($S194="","",IF(ISNUMBER($H194),$H194,0))</f>
        <v/>
      </c>
      <c r="V194" s="70">
        <f>IF($S194="","",IF(ISNUMBER($I194),$I194,$U194))</f>
        <v/>
      </c>
      <c r="W194" s="70">
        <f>IF($S194="","",IF(ISNUMBER($J194),$J194,$V194))</f>
        <v/>
      </c>
      <c r="X194" s="70">
        <f>IF($S194="","",IF(ISNUMBER($K194),$K194,$W194))</f>
        <v/>
      </c>
      <c r="Y194" s="70">
        <f>IF($S194="","",IF(N($T194)&gt;0,AVERAGEIFS($U$5:$U$1000,$R$5:$R$1000,ROW(),$S$5:$S$1000,"Sub"),$U194))</f>
        <v/>
      </c>
      <c r="Z194" s="70">
        <f>IF($S194="","",IF(N($T194)&gt;0,AVERAGEIFS($V$5:$V$1000,$R$5:$R$1000,ROW(),$S$5:$S$1000,"Sub"),$V194))</f>
        <v/>
      </c>
      <c r="AA194" s="70">
        <f>IF($S194="","",IF(N($T194)&gt;0,AVERAGEIFS($W$5:$W$1000,$R$5:$R$1000,ROW(),$S$5:$S$1000,"Sub"),$W194))</f>
        <v/>
      </c>
      <c r="AB194" s="70">
        <f>IF($S194="","",IF(N($T194)&gt;0,AVERAGEIFS($X$5:$X$1000,$R$5:$R$1000,ROW(),$S$5:$S$1000,"Sub"),$X194))</f>
        <v/>
      </c>
    </row>
    <row r="195">
      <c r="A195" s="61">
        <f>IF(NOT((COUNTA($B195:$K195)+COUNTA($N195))&gt;0),"",IF($S195="Macro",COUNTIFS($S$5:$S195,"Macro",$P$5:$P195,$P195),IF(N($R195)=0,"?",COUNTIFS(INDEX($S$5:$S$1000,1):INDEX($S$5:$S$1000,$R195-4),"Macro",INDEX($P$5:$P$1000,1):INDEX($P$5:$P$1000,$R195-4),INDEX($P$5:$P$1000,$R195-4))&amp;"."&amp;COUNTIFS($R$5:$R195,$R195,$S$5:$S195,"Sub"))))</f>
        <v/>
      </c>
      <c r="B195" s="62" t="n"/>
      <c r="C195" s="63" t="n"/>
      <c r="D195" s="62" t="n"/>
      <c r="E195" s="64" t="n"/>
      <c r="F195" s="64" t="n"/>
      <c r="G195" s="65" t="n"/>
      <c r="H195" s="66" t="n"/>
      <c r="I195" s="66" t="n"/>
      <c r="J195" s="66" t="n"/>
      <c r="K195" s="66" t="n"/>
      <c r="L195" s="67">
        <f>IF(NOT((COUNTA($B195:$K195)+COUNTA($N195))&gt;0),"",IF(N($T195)&gt;0,$AB195,IFERROR(LOOKUP(2,1/(H195:K195&lt;&gt;""),H195:K195),0)))</f>
        <v/>
      </c>
      <c r="M195" s="61">
        <f>IF(L195="","",IF(L195&gt;=1,"Completado",IF(L195&gt;0,"En curso","Pendiente")))</f>
        <v/>
      </c>
      <c r="N195" s="62" t="n"/>
      <c r="O195" s="68">
        <f>IF(NOT((COUNTA($B195:$K195)+COUNTA($N195))&gt;0),"",IF((IF(AND($S195="Macro",$B195=""),"Macroactividad vacía"&amp;" · ","")&amp;IF(AND($B195&lt;&gt;"",$C195&lt;&gt;""),"Escriba la subactividad en otra fila, debajo de su macroactividad"&amp;" · ","")&amp;IF(AND($S195="Sub",N($R195)=0),"Subactividad sin macroactividad arriba"&amp;" · ","")&amp;IF($D195="","Sin responsable"&amp;" · ","")&amp;IF($E195="","Sin fecha de inicio"&amp;" · ","")&amp;IF($F195="","Sin fecha límite"&amp;" · ","")&amp;IF(OR(AND($E195&lt;&gt;"",NOT(ISNUMBER($E195))),AND($F195&lt;&gt;"",NOT(ISNUMBER($F195)))),"Fecha no válida"&amp;" · ","")&amp;IF(AND(ISNUMBER($E195),ISNUMBER($F195),$E195&gt;$F195),"Inicio posterior a fecha límite"&amp;" · ","")&amp;IF(AND($S195="Macro",$G195=""),"Peso vacío"&amp;" · ","")&amp;IF(AND($S195="Macro",$G195&lt;&gt;"",OR(NOT(ISNUMBER($G195)),$G195&lt;=0,$G195&gt;1)),"Peso fuera de rango"&amp;" · ","")&amp;IF(AND($S195="Sub",$G195&lt;&gt;""),"Las subactividades no llevan peso"&amp;" · ","")&amp;IF(AND($S195="Macro",ABS(SUMIFS($G$5:$G$1000,$P$5:$P$1000,$P195,$S$5:$S$1000,"Macro")-1)&gt;0.0001),"Pesos del mes suman "&amp;TEXT(SUMIFS($G$5:$G$1000,$P$5:$P$1000,$P195,$S$5:$S$1000,"Macro"),"0%")&amp;" · ","")&amp;IF(AND(N($T195)&gt;0,COUNT($H195:$K195)&gt;0),"Con subactividades: deje vacías las semanas (se calculan solas)"&amp;" · ","")&amp;IF((COUNTIF($H195:$K195,"&gt;1")+COUNTIF($H195:$K195,"&lt;0")+COUNTA($H195:$K195)-COUNT($H195:$K195))&gt;0,"Avance fuera de rango 0-100%"&amp;" · ","")&amp;IF(OR(AND($I195&lt;&gt;"",$I195&lt;$H195),AND($J195&lt;&gt;"",$J195&lt;MAX($H195:$I195)),AND($K195&lt;&gt;"",$K195&lt;MAX($H195:$J195))),"Avance semanal decreciente"&amp;" · ","")&amp;IF(AND(ISNUMBER($F195),$F195&lt;FechaRef,N($L195)&lt;1),"Vencida"&amp;" · ","")&amp;IF(AND(ObsObligatoria="Sí",ISNUMBER($F195),$F195&lt;FechaRef,N($L195)&lt;1,$N195=""),"Vencida sin observación"&amp;" · ",""))="","✔ OK","⚠ "&amp;LEFT(IF(AND($S195="Macro",$B195=""),"Macroactividad vacía"&amp;" · ","")&amp;IF(AND($B195&lt;&gt;"",$C195&lt;&gt;""),"Escriba la subactividad en otra fila, debajo de su macroactividad"&amp;" · ","")&amp;IF(AND($S195="Sub",N($R195)=0),"Subactividad sin macroactividad arriba"&amp;" · ","")&amp;IF($D195="","Sin responsable"&amp;" · ","")&amp;IF($E195="","Sin fecha de inicio"&amp;" · ","")&amp;IF($F195="","Sin fecha límite"&amp;" · ","")&amp;IF(OR(AND($E195&lt;&gt;"",NOT(ISNUMBER($E195))),AND($F195&lt;&gt;"",NOT(ISNUMBER($F195)))),"Fecha no válida"&amp;" · ","")&amp;IF(AND(ISNUMBER($E195),ISNUMBER($F195),$E195&gt;$F195),"Inicio posterior a fecha límite"&amp;" · ","")&amp;IF(AND($S195="Macro",$G195=""),"Peso vacío"&amp;" · ","")&amp;IF(AND($S195="Macro",$G195&lt;&gt;"",OR(NOT(ISNUMBER($G195)),$G195&lt;=0,$G195&gt;1)),"Peso fuera de rango"&amp;" · ","")&amp;IF(AND($S195="Sub",$G195&lt;&gt;""),"Las subactividades no llevan peso"&amp;" · ","")&amp;IF(AND($S195="Macro",ABS(SUMIFS($G$5:$G$1000,$P$5:$P$1000,$P195,$S$5:$S$1000,"Macro")-1)&gt;0.0001),"Pesos del mes suman "&amp;TEXT(SUMIFS($G$5:$G$1000,$P$5:$P$1000,$P195,$S$5:$S$1000,"Macro"),"0%")&amp;" · ","")&amp;IF(AND(N($T195)&gt;0,COUNT($H195:$K195)&gt;0),"Con subactividades: deje vacías las semanas (se calculan solas)"&amp;" · ","")&amp;IF((COUNTIF($H195:$K195,"&gt;1")+COUNTIF($H195:$K195,"&lt;0")+COUNTA($H195:$K195)-COUNT($H195:$K195))&gt;0,"Avance fuera de rango 0-100%"&amp;" · ","")&amp;IF(OR(AND($I195&lt;&gt;"",$I195&lt;$H195),AND($J195&lt;&gt;"",$J195&lt;MAX($H195:$I195)),AND($K195&lt;&gt;"",$K195&lt;MAX($H195:$J195))),"Avance semanal decreciente"&amp;" · ","")&amp;IF(AND(ISNUMBER($F195),$F195&lt;FechaRef,N($L195)&lt;1),"Vencida"&amp;" · ","")&amp;IF(AND(ObsObligatoria="Sí",ISNUMBER($F195),$F195&lt;FechaRef,N($L195)&lt;1,$N195=""),"Vencida sin observación"&amp;" · ",""),LEN(IF(AND($S195="Macro",$B195=""),"Macroactividad vacía"&amp;" · ","")&amp;IF(AND($B195&lt;&gt;"",$C195&lt;&gt;""),"Escriba la subactividad en otra fila, debajo de su macroactividad"&amp;" · ","")&amp;IF(AND($S195="Sub",N($R195)=0),"Subactividad sin macroactividad arriba"&amp;" · ","")&amp;IF($D195="","Sin responsable"&amp;" · ","")&amp;IF($E195="","Sin fecha de inicio"&amp;" · ","")&amp;IF($F195="","Sin fecha límite"&amp;" · ","")&amp;IF(OR(AND($E195&lt;&gt;"",NOT(ISNUMBER($E195))),AND($F195&lt;&gt;"",NOT(ISNUMBER($F195)))),"Fecha no válida"&amp;" · ","")&amp;IF(AND(ISNUMBER($E195),ISNUMBER($F195),$E195&gt;$F195),"Inicio posterior a fecha límite"&amp;" · ","")&amp;IF(AND($S195="Macro",$G195=""),"Peso vacío"&amp;" · ","")&amp;IF(AND($S195="Macro",$G195&lt;&gt;"",OR(NOT(ISNUMBER($G195)),$G195&lt;=0,$G195&gt;1)),"Peso fuera de rango"&amp;" · ","")&amp;IF(AND($S195="Sub",$G195&lt;&gt;""),"Las subactividades no llevan peso"&amp;" · ","")&amp;IF(AND($S195="Macro",ABS(SUMIFS($G$5:$G$1000,$P$5:$P$1000,$P195,$S$5:$S$1000,"Macro")-1)&gt;0.0001),"Pesos del mes suman "&amp;TEXT(SUMIFS($G$5:$G$1000,$P$5:$P$1000,$P195,$S$5:$S$1000,"Macro"),"0%")&amp;" · ","")&amp;IF(AND(N($T195)&gt;0,COUNT($H195:$K195)&gt;0),"Con subactividades: deje vacías las semanas (se calculan solas)"&amp;" · ","")&amp;IF((COUNTIF($H195:$K195,"&gt;1")+COUNTIF($H195:$K195,"&lt;0")+COUNTA($H195:$K195)-COUNT($H195:$K195))&gt;0,"Avance fuera de rango 0-100%"&amp;" · ","")&amp;IF(OR(AND($I195&lt;&gt;"",$I195&lt;$H195),AND($J195&lt;&gt;"",$J195&lt;MAX($H195:$I195)),AND($K195&lt;&gt;"",$K195&lt;MAX($H195:$J195))),"Avance semanal decreciente"&amp;" · ","")&amp;IF(AND(ISNUMBER($F195),$F195&lt;FechaRef,N($L195)&lt;1),"Vencida"&amp;" · ","")&amp;IF(AND(ObsObligatoria="Sí",ISNUMBER($F195),$F195&lt;FechaRef,N($L195)&lt;1,$N195=""),"Vencida sin observación"&amp;" · ",""))-3)))</f>
        <v/>
      </c>
      <c r="P195" s="69">
        <f>IF(NOT((COUNTA($B195:$K195)+COUNTA($N195))&gt;0),"",IF(AND($S195="Sub",N($R195)&gt;0),IF(ISNUMBER(INDEX($E$5:$E$1000,$R195-4)),DATE(YEAR(INDEX($E$5:$E$1000,$R195-4)),MONTH(INDEX($E$5:$E$1000,$R195-4)),1),IF(ISNUMBER(INDEX($F$5:$F$1000,$R195-4)),DATE(YEAR(INDEX($F$5:$F$1000,$R195-4)),MONTH(INDEX($F$5:$F$1000,$R195-4)),1),MesCiclo)),IF(ISNUMBER($E195),DATE(YEAR($E195),MONTH($E195),1),IF(ISNUMBER($F195),DATE(YEAR($F195),MONTH($F195),1),MesCiclo))))</f>
        <v/>
      </c>
      <c r="Q195" s="70">
        <f>IF(OR($P195="",$P195&lt;&gt;MesCiclo),"",COUNTIF($P$5:$P195,MesCiclo))</f>
        <v/>
      </c>
      <c r="R195" s="70">
        <f>IF($S195="","",IF($S195="Macro",ROW(),IFERROR(LOOKUP(2,1/($S$5:$S195="Macro"),ROW($S$5:$S195)),0)))</f>
        <v/>
      </c>
      <c r="S195" s="70">
        <f>IF(NOT((COUNTA($B195:$K195)+COUNTA($N195))&gt;0),"",IF($B195&lt;&gt;"","Macro",IF($C195&lt;&gt;"","Sub","Macro")))</f>
        <v/>
      </c>
      <c r="T195" s="70">
        <f>IF($S195="Macro",COUNTIFS($R$5:$R$1000,ROW(),$S$5:$S$1000,"Sub"),"")</f>
        <v/>
      </c>
      <c r="U195" s="70">
        <f>IF($S195="","",IF(ISNUMBER($H195),$H195,0))</f>
        <v/>
      </c>
      <c r="V195" s="70">
        <f>IF($S195="","",IF(ISNUMBER($I195),$I195,$U195))</f>
        <v/>
      </c>
      <c r="W195" s="70">
        <f>IF($S195="","",IF(ISNUMBER($J195),$J195,$V195))</f>
        <v/>
      </c>
      <c r="X195" s="70">
        <f>IF($S195="","",IF(ISNUMBER($K195),$K195,$W195))</f>
        <v/>
      </c>
      <c r="Y195" s="70">
        <f>IF($S195="","",IF(N($T195)&gt;0,AVERAGEIFS($U$5:$U$1000,$R$5:$R$1000,ROW(),$S$5:$S$1000,"Sub"),$U195))</f>
        <v/>
      </c>
      <c r="Z195" s="70">
        <f>IF($S195="","",IF(N($T195)&gt;0,AVERAGEIFS($V$5:$V$1000,$R$5:$R$1000,ROW(),$S$5:$S$1000,"Sub"),$V195))</f>
        <v/>
      </c>
      <c r="AA195" s="70">
        <f>IF($S195="","",IF(N($T195)&gt;0,AVERAGEIFS($W$5:$W$1000,$R$5:$R$1000,ROW(),$S$5:$S$1000,"Sub"),$W195))</f>
        <v/>
      </c>
      <c r="AB195" s="70">
        <f>IF($S195="","",IF(N($T195)&gt;0,AVERAGEIFS($X$5:$X$1000,$R$5:$R$1000,ROW(),$S$5:$S$1000,"Sub"),$X195))</f>
        <v/>
      </c>
    </row>
    <row r="196">
      <c r="A196" s="61">
        <f>IF(NOT((COUNTA($B196:$K196)+COUNTA($N196))&gt;0),"",IF($S196="Macro",COUNTIFS($S$5:$S196,"Macro",$P$5:$P196,$P196),IF(N($R196)=0,"?",COUNTIFS(INDEX($S$5:$S$1000,1):INDEX($S$5:$S$1000,$R196-4),"Macro",INDEX($P$5:$P$1000,1):INDEX($P$5:$P$1000,$R196-4),INDEX($P$5:$P$1000,$R196-4))&amp;"."&amp;COUNTIFS($R$5:$R196,$R196,$S$5:$S196,"Sub"))))</f>
        <v/>
      </c>
      <c r="B196" s="62" t="n"/>
      <c r="C196" s="63" t="n"/>
      <c r="D196" s="62" t="n"/>
      <c r="E196" s="64" t="n"/>
      <c r="F196" s="64" t="n"/>
      <c r="G196" s="65" t="n"/>
      <c r="H196" s="66" t="n"/>
      <c r="I196" s="66" t="n"/>
      <c r="J196" s="66" t="n"/>
      <c r="K196" s="66" t="n"/>
      <c r="L196" s="67">
        <f>IF(NOT((COUNTA($B196:$K196)+COUNTA($N196))&gt;0),"",IF(N($T196)&gt;0,$AB196,IFERROR(LOOKUP(2,1/(H196:K196&lt;&gt;""),H196:K196),0)))</f>
        <v/>
      </c>
      <c r="M196" s="61">
        <f>IF(L196="","",IF(L196&gt;=1,"Completado",IF(L196&gt;0,"En curso","Pendiente")))</f>
        <v/>
      </c>
      <c r="N196" s="62" t="n"/>
      <c r="O196" s="68">
        <f>IF(NOT((COUNTA($B196:$K196)+COUNTA($N196))&gt;0),"",IF((IF(AND($S196="Macro",$B196=""),"Macroactividad vacía"&amp;" · ","")&amp;IF(AND($B196&lt;&gt;"",$C196&lt;&gt;""),"Escriba la subactividad en otra fila, debajo de su macroactividad"&amp;" · ","")&amp;IF(AND($S196="Sub",N($R196)=0),"Subactividad sin macroactividad arriba"&amp;" · ","")&amp;IF($D196="","Sin responsable"&amp;" · ","")&amp;IF($E196="","Sin fecha de inicio"&amp;" · ","")&amp;IF($F196="","Sin fecha límite"&amp;" · ","")&amp;IF(OR(AND($E196&lt;&gt;"",NOT(ISNUMBER($E196))),AND($F196&lt;&gt;"",NOT(ISNUMBER($F196)))),"Fecha no válida"&amp;" · ","")&amp;IF(AND(ISNUMBER($E196),ISNUMBER($F196),$E196&gt;$F196),"Inicio posterior a fecha límite"&amp;" · ","")&amp;IF(AND($S196="Macro",$G196=""),"Peso vacío"&amp;" · ","")&amp;IF(AND($S196="Macro",$G196&lt;&gt;"",OR(NOT(ISNUMBER($G196)),$G196&lt;=0,$G196&gt;1)),"Peso fuera de rango"&amp;" · ","")&amp;IF(AND($S196="Sub",$G196&lt;&gt;""),"Las subactividades no llevan peso"&amp;" · ","")&amp;IF(AND($S196="Macro",ABS(SUMIFS($G$5:$G$1000,$P$5:$P$1000,$P196,$S$5:$S$1000,"Macro")-1)&gt;0.0001),"Pesos del mes suman "&amp;TEXT(SUMIFS($G$5:$G$1000,$P$5:$P$1000,$P196,$S$5:$S$1000,"Macro"),"0%")&amp;" · ","")&amp;IF(AND(N($T196)&gt;0,COUNT($H196:$K196)&gt;0),"Con subactividades: deje vacías las semanas (se calculan solas)"&amp;" · ","")&amp;IF((COUNTIF($H196:$K196,"&gt;1")+COUNTIF($H196:$K196,"&lt;0")+COUNTA($H196:$K196)-COUNT($H196:$K196))&gt;0,"Avance fuera de rango 0-100%"&amp;" · ","")&amp;IF(OR(AND($I196&lt;&gt;"",$I196&lt;$H196),AND($J196&lt;&gt;"",$J196&lt;MAX($H196:$I196)),AND($K196&lt;&gt;"",$K196&lt;MAX($H196:$J196))),"Avance semanal decreciente"&amp;" · ","")&amp;IF(AND(ISNUMBER($F196),$F196&lt;FechaRef,N($L196)&lt;1),"Vencida"&amp;" · ","")&amp;IF(AND(ObsObligatoria="Sí",ISNUMBER($F196),$F196&lt;FechaRef,N($L196)&lt;1,$N196=""),"Vencida sin observación"&amp;" · ",""))="","✔ OK","⚠ "&amp;LEFT(IF(AND($S196="Macro",$B196=""),"Macroactividad vacía"&amp;" · ","")&amp;IF(AND($B196&lt;&gt;"",$C196&lt;&gt;""),"Escriba la subactividad en otra fila, debajo de su macroactividad"&amp;" · ","")&amp;IF(AND($S196="Sub",N($R196)=0),"Subactividad sin macroactividad arriba"&amp;" · ","")&amp;IF($D196="","Sin responsable"&amp;" · ","")&amp;IF($E196="","Sin fecha de inicio"&amp;" · ","")&amp;IF($F196="","Sin fecha límite"&amp;" · ","")&amp;IF(OR(AND($E196&lt;&gt;"",NOT(ISNUMBER($E196))),AND($F196&lt;&gt;"",NOT(ISNUMBER($F196)))),"Fecha no válida"&amp;" · ","")&amp;IF(AND(ISNUMBER($E196),ISNUMBER($F196),$E196&gt;$F196),"Inicio posterior a fecha límite"&amp;" · ","")&amp;IF(AND($S196="Macro",$G196=""),"Peso vacío"&amp;" · ","")&amp;IF(AND($S196="Macro",$G196&lt;&gt;"",OR(NOT(ISNUMBER($G196)),$G196&lt;=0,$G196&gt;1)),"Peso fuera de rango"&amp;" · ","")&amp;IF(AND($S196="Sub",$G196&lt;&gt;""),"Las subactividades no llevan peso"&amp;" · ","")&amp;IF(AND($S196="Macro",ABS(SUMIFS($G$5:$G$1000,$P$5:$P$1000,$P196,$S$5:$S$1000,"Macro")-1)&gt;0.0001),"Pesos del mes suman "&amp;TEXT(SUMIFS($G$5:$G$1000,$P$5:$P$1000,$P196,$S$5:$S$1000,"Macro"),"0%")&amp;" · ","")&amp;IF(AND(N($T196)&gt;0,COUNT($H196:$K196)&gt;0),"Con subactividades: deje vacías las semanas (se calculan solas)"&amp;" · ","")&amp;IF((COUNTIF($H196:$K196,"&gt;1")+COUNTIF($H196:$K196,"&lt;0")+COUNTA($H196:$K196)-COUNT($H196:$K196))&gt;0,"Avance fuera de rango 0-100%"&amp;" · ","")&amp;IF(OR(AND($I196&lt;&gt;"",$I196&lt;$H196),AND($J196&lt;&gt;"",$J196&lt;MAX($H196:$I196)),AND($K196&lt;&gt;"",$K196&lt;MAX($H196:$J196))),"Avance semanal decreciente"&amp;" · ","")&amp;IF(AND(ISNUMBER($F196),$F196&lt;FechaRef,N($L196)&lt;1),"Vencida"&amp;" · ","")&amp;IF(AND(ObsObligatoria="Sí",ISNUMBER($F196),$F196&lt;FechaRef,N($L196)&lt;1,$N196=""),"Vencida sin observación"&amp;" · ",""),LEN(IF(AND($S196="Macro",$B196=""),"Macroactividad vacía"&amp;" · ","")&amp;IF(AND($B196&lt;&gt;"",$C196&lt;&gt;""),"Escriba la subactividad en otra fila, debajo de su macroactividad"&amp;" · ","")&amp;IF(AND($S196="Sub",N($R196)=0),"Subactividad sin macroactividad arriba"&amp;" · ","")&amp;IF($D196="","Sin responsable"&amp;" · ","")&amp;IF($E196="","Sin fecha de inicio"&amp;" · ","")&amp;IF($F196="","Sin fecha límite"&amp;" · ","")&amp;IF(OR(AND($E196&lt;&gt;"",NOT(ISNUMBER($E196))),AND($F196&lt;&gt;"",NOT(ISNUMBER($F196)))),"Fecha no válida"&amp;" · ","")&amp;IF(AND(ISNUMBER($E196),ISNUMBER($F196),$E196&gt;$F196),"Inicio posterior a fecha límite"&amp;" · ","")&amp;IF(AND($S196="Macro",$G196=""),"Peso vacío"&amp;" · ","")&amp;IF(AND($S196="Macro",$G196&lt;&gt;"",OR(NOT(ISNUMBER($G196)),$G196&lt;=0,$G196&gt;1)),"Peso fuera de rango"&amp;" · ","")&amp;IF(AND($S196="Sub",$G196&lt;&gt;""),"Las subactividades no llevan peso"&amp;" · ","")&amp;IF(AND($S196="Macro",ABS(SUMIFS($G$5:$G$1000,$P$5:$P$1000,$P196,$S$5:$S$1000,"Macro")-1)&gt;0.0001),"Pesos del mes suman "&amp;TEXT(SUMIFS($G$5:$G$1000,$P$5:$P$1000,$P196,$S$5:$S$1000,"Macro"),"0%")&amp;" · ","")&amp;IF(AND(N($T196)&gt;0,COUNT($H196:$K196)&gt;0),"Con subactividades: deje vacías las semanas (se calculan solas)"&amp;" · ","")&amp;IF((COUNTIF($H196:$K196,"&gt;1")+COUNTIF($H196:$K196,"&lt;0")+COUNTA($H196:$K196)-COUNT($H196:$K196))&gt;0,"Avance fuera de rango 0-100%"&amp;" · ","")&amp;IF(OR(AND($I196&lt;&gt;"",$I196&lt;$H196),AND($J196&lt;&gt;"",$J196&lt;MAX($H196:$I196)),AND($K196&lt;&gt;"",$K196&lt;MAX($H196:$J196))),"Avance semanal decreciente"&amp;" · ","")&amp;IF(AND(ISNUMBER($F196),$F196&lt;FechaRef,N($L196)&lt;1),"Vencida"&amp;" · ","")&amp;IF(AND(ObsObligatoria="Sí",ISNUMBER($F196),$F196&lt;FechaRef,N($L196)&lt;1,$N196=""),"Vencida sin observación"&amp;" · ",""))-3)))</f>
        <v/>
      </c>
      <c r="P196" s="69">
        <f>IF(NOT((COUNTA($B196:$K196)+COUNTA($N196))&gt;0),"",IF(AND($S196="Sub",N($R196)&gt;0),IF(ISNUMBER(INDEX($E$5:$E$1000,$R196-4)),DATE(YEAR(INDEX($E$5:$E$1000,$R196-4)),MONTH(INDEX($E$5:$E$1000,$R196-4)),1),IF(ISNUMBER(INDEX($F$5:$F$1000,$R196-4)),DATE(YEAR(INDEX($F$5:$F$1000,$R196-4)),MONTH(INDEX($F$5:$F$1000,$R196-4)),1),MesCiclo)),IF(ISNUMBER($E196),DATE(YEAR($E196),MONTH($E196),1),IF(ISNUMBER($F196),DATE(YEAR($F196),MONTH($F196),1),MesCiclo))))</f>
        <v/>
      </c>
      <c r="Q196" s="70">
        <f>IF(OR($P196="",$P196&lt;&gt;MesCiclo),"",COUNTIF($P$5:$P196,MesCiclo))</f>
        <v/>
      </c>
      <c r="R196" s="70">
        <f>IF($S196="","",IF($S196="Macro",ROW(),IFERROR(LOOKUP(2,1/($S$5:$S196="Macro"),ROW($S$5:$S196)),0)))</f>
        <v/>
      </c>
      <c r="S196" s="70">
        <f>IF(NOT((COUNTA($B196:$K196)+COUNTA($N196))&gt;0),"",IF($B196&lt;&gt;"","Macro",IF($C196&lt;&gt;"","Sub","Macro")))</f>
        <v/>
      </c>
      <c r="T196" s="70">
        <f>IF($S196="Macro",COUNTIFS($R$5:$R$1000,ROW(),$S$5:$S$1000,"Sub"),"")</f>
        <v/>
      </c>
      <c r="U196" s="70">
        <f>IF($S196="","",IF(ISNUMBER($H196),$H196,0))</f>
        <v/>
      </c>
      <c r="V196" s="70">
        <f>IF($S196="","",IF(ISNUMBER($I196),$I196,$U196))</f>
        <v/>
      </c>
      <c r="W196" s="70">
        <f>IF($S196="","",IF(ISNUMBER($J196),$J196,$V196))</f>
        <v/>
      </c>
      <c r="X196" s="70">
        <f>IF($S196="","",IF(ISNUMBER($K196),$K196,$W196))</f>
        <v/>
      </c>
      <c r="Y196" s="70">
        <f>IF($S196="","",IF(N($T196)&gt;0,AVERAGEIFS($U$5:$U$1000,$R$5:$R$1000,ROW(),$S$5:$S$1000,"Sub"),$U196))</f>
        <v/>
      </c>
      <c r="Z196" s="70">
        <f>IF($S196="","",IF(N($T196)&gt;0,AVERAGEIFS($V$5:$V$1000,$R$5:$R$1000,ROW(),$S$5:$S$1000,"Sub"),$V196))</f>
        <v/>
      </c>
      <c r="AA196" s="70">
        <f>IF($S196="","",IF(N($T196)&gt;0,AVERAGEIFS($W$5:$W$1000,$R$5:$R$1000,ROW(),$S$5:$S$1000,"Sub"),$W196))</f>
        <v/>
      </c>
      <c r="AB196" s="70">
        <f>IF($S196="","",IF(N($T196)&gt;0,AVERAGEIFS($X$5:$X$1000,$R$5:$R$1000,ROW(),$S$5:$S$1000,"Sub"),$X196))</f>
        <v/>
      </c>
    </row>
    <row r="197">
      <c r="A197" s="61">
        <f>IF(NOT((COUNTA($B197:$K197)+COUNTA($N197))&gt;0),"",IF($S197="Macro",COUNTIFS($S$5:$S197,"Macro",$P$5:$P197,$P197),IF(N($R197)=0,"?",COUNTIFS(INDEX($S$5:$S$1000,1):INDEX($S$5:$S$1000,$R197-4),"Macro",INDEX($P$5:$P$1000,1):INDEX($P$5:$P$1000,$R197-4),INDEX($P$5:$P$1000,$R197-4))&amp;"."&amp;COUNTIFS($R$5:$R197,$R197,$S$5:$S197,"Sub"))))</f>
        <v/>
      </c>
      <c r="B197" s="62" t="n"/>
      <c r="C197" s="63" t="n"/>
      <c r="D197" s="62" t="n"/>
      <c r="E197" s="64" t="n"/>
      <c r="F197" s="64" t="n"/>
      <c r="G197" s="65" t="n"/>
      <c r="H197" s="66" t="n"/>
      <c r="I197" s="66" t="n"/>
      <c r="J197" s="66" t="n"/>
      <c r="K197" s="66" t="n"/>
      <c r="L197" s="67">
        <f>IF(NOT((COUNTA($B197:$K197)+COUNTA($N197))&gt;0),"",IF(N($T197)&gt;0,$AB197,IFERROR(LOOKUP(2,1/(H197:K197&lt;&gt;""),H197:K197),0)))</f>
        <v/>
      </c>
      <c r="M197" s="61">
        <f>IF(L197="","",IF(L197&gt;=1,"Completado",IF(L197&gt;0,"En curso","Pendiente")))</f>
        <v/>
      </c>
      <c r="N197" s="62" t="n"/>
      <c r="O197" s="68">
        <f>IF(NOT((COUNTA($B197:$K197)+COUNTA($N197))&gt;0),"",IF((IF(AND($S197="Macro",$B197=""),"Macroactividad vacía"&amp;" · ","")&amp;IF(AND($B197&lt;&gt;"",$C197&lt;&gt;""),"Escriba la subactividad en otra fila, debajo de su macroactividad"&amp;" · ","")&amp;IF(AND($S197="Sub",N($R197)=0),"Subactividad sin macroactividad arriba"&amp;" · ","")&amp;IF($D197="","Sin responsable"&amp;" · ","")&amp;IF($E197="","Sin fecha de inicio"&amp;" · ","")&amp;IF($F197="","Sin fecha límite"&amp;" · ","")&amp;IF(OR(AND($E197&lt;&gt;"",NOT(ISNUMBER($E197))),AND($F197&lt;&gt;"",NOT(ISNUMBER($F197)))),"Fecha no válida"&amp;" · ","")&amp;IF(AND(ISNUMBER($E197),ISNUMBER($F197),$E197&gt;$F197),"Inicio posterior a fecha límite"&amp;" · ","")&amp;IF(AND($S197="Macro",$G197=""),"Peso vacío"&amp;" · ","")&amp;IF(AND($S197="Macro",$G197&lt;&gt;"",OR(NOT(ISNUMBER($G197)),$G197&lt;=0,$G197&gt;1)),"Peso fuera de rango"&amp;" · ","")&amp;IF(AND($S197="Sub",$G197&lt;&gt;""),"Las subactividades no llevan peso"&amp;" · ","")&amp;IF(AND($S197="Macro",ABS(SUMIFS($G$5:$G$1000,$P$5:$P$1000,$P197,$S$5:$S$1000,"Macro")-1)&gt;0.0001),"Pesos del mes suman "&amp;TEXT(SUMIFS($G$5:$G$1000,$P$5:$P$1000,$P197,$S$5:$S$1000,"Macro"),"0%")&amp;" · ","")&amp;IF(AND(N($T197)&gt;0,COUNT($H197:$K197)&gt;0),"Con subactividades: deje vacías las semanas (se calculan solas)"&amp;" · ","")&amp;IF((COUNTIF($H197:$K197,"&gt;1")+COUNTIF($H197:$K197,"&lt;0")+COUNTA($H197:$K197)-COUNT($H197:$K197))&gt;0,"Avance fuera de rango 0-100%"&amp;" · ","")&amp;IF(OR(AND($I197&lt;&gt;"",$I197&lt;$H197),AND($J197&lt;&gt;"",$J197&lt;MAX($H197:$I197)),AND($K197&lt;&gt;"",$K197&lt;MAX($H197:$J197))),"Avance semanal decreciente"&amp;" · ","")&amp;IF(AND(ISNUMBER($F197),$F197&lt;FechaRef,N($L197)&lt;1),"Vencida"&amp;" · ","")&amp;IF(AND(ObsObligatoria="Sí",ISNUMBER($F197),$F197&lt;FechaRef,N($L197)&lt;1,$N197=""),"Vencida sin observación"&amp;" · ",""))="","✔ OK","⚠ "&amp;LEFT(IF(AND($S197="Macro",$B197=""),"Macroactividad vacía"&amp;" · ","")&amp;IF(AND($B197&lt;&gt;"",$C197&lt;&gt;""),"Escriba la subactividad en otra fila, debajo de su macroactividad"&amp;" · ","")&amp;IF(AND($S197="Sub",N($R197)=0),"Subactividad sin macroactividad arriba"&amp;" · ","")&amp;IF($D197="","Sin responsable"&amp;" · ","")&amp;IF($E197="","Sin fecha de inicio"&amp;" · ","")&amp;IF($F197="","Sin fecha límite"&amp;" · ","")&amp;IF(OR(AND($E197&lt;&gt;"",NOT(ISNUMBER($E197))),AND($F197&lt;&gt;"",NOT(ISNUMBER($F197)))),"Fecha no válida"&amp;" · ","")&amp;IF(AND(ISNUMBER($E197),ISNUMBER($F197),$E197&gt;$F197),"Inicio posterior a fecha límite"&amp;" · ","")&amp;IF(AND($S197="Macro",$G197=""),"Peso vacío"&amp;" · ","")&amp;IF(AND($S197="Macro",$G197&lt;&gt;"",OR(NOT(ISNUMBER($G197)),$G197&lt;=0,$G197&gt;1)),"Peso fuera de rango"&amp;" · ","")&amp;IF(AND($S197="Sub",$G197&lt;&gt;""),"Las subactividades no llevan peso"&amp;" · ","")&amp;IF(AND($S197="Macro",ABS(SUMIFS($G$5:$G$1000,$P$5:$P$1000,$P197,$S$5:$S$1000,"Macro")-1)&gt;0.0001),"Pesos del mes suman "&amp;TEXT(SUMIFS($G$5:$G$1000,$P$5:$P$1000,$P197,$S$5:$S$1000,"Macro"),"0%")&amp;" · ","")&amp;IF(AND(N($T197)&gt;0,COUNT($H197:$K197)&gt;0),"Con subactividades: deje vacías las semanas (se calculan solas)"&amp;" · ","")&amp;IF((COUNTIF($H197:$K197,"&gt;1")+COUNTIF($H197:$K197,"&lt;0")+COUNTA($H197:$K197)-COUNT($H197:$K197))&gt;0,"Avance fuera de rango 0-100%"&amp;" · ","")&amp;IF(OR(AND($I197&lt;&gt;"",$I197&lt;$H197),AND($J197&lt;&gt;"",$J197&lt;MAX($H197:$I197)),AND($K197&lt;&gt;"",$K197&lt;MAX($H197:$J197))),"Avance semanal decreciente"&amp;" · ","")&amp;IF(AND(ISNUMBER($F197),$F197&lt;FechaRef,N($L197)&lt;1),"Vencida"&amp;" · ","")&amp;IF(AND(ObsObligatoria="Sí",ISNUMBER($F197),$F197&lt;FechaRef,N($L197)&lt;1,$N197=""),"Vencida sin observación"&amp;" · ",""),LEN(IF(AND($S197="Macro",$B197=""),"Macroactividad vacía"&amp;" · ","")&amp;IF(AND($B197&lt;&gt;"",$C197&lt;&gt;""),"Escriba la subactividad en otra fila, debajo de su macroactividad"&amp;" · ","")&amp;IF(AND($S197="Sub",N($R197)=0),"Subactividad sin macroactividad arriba"&amp;" · ","")&amp;IF($D197="","Sin responsable"&amp;" · ","")&amp;IF($E197="","Sin fecha de inicio"&amp;" · ","")&amp;IF($F197="","Sin fecha límite"&amp;" · ","")&amp;IF(OR(AND($E197&lt;&gt;"",NOT(ISNUMBER($E197))),AND($F197&lt;&gt;"",NOT(ISNUMBER($F197)))),"Fecha no válida"&amp;" · ","")&amp;IF(AND(ISNUMBER($E197),ISNUMBER($F197),$E197&gt;$F197),"Inicio posterior a fecha límite"&amp;" · ","")&amp;IF(AND($S197="Macro",$G197=""),"Peso vacío"&amp;" · ","")&amp;IF(AND($S197="Macro",$G197&lt;&gt;"",OR(NOT(ISNUMBER($G197)),$G197&lt;=0,$G197&gt;1)),"Peso fuera de rango"&amp;" · ","")&amp;IF(AND($S197="Sub",$G197&lt;&gt;""),"Las subactividades no llevan peso"&amp;" · ","")&amp;IF(AND($S197="Macro",ABS(SUMIFS($G$5:$G$1000,$P$5:$P$1000,$P197,$S$5:$S$1000,"Macro")-1)&gt;0.0001),"Pesos del mes suman "&amp;TEXT(SUMIFS($G$5:$G$1000,$P$5:$P$1000,$P197,$S$5:$S$1000,"Macro"),"0%")&amp;" · ","")&amp;IF(AND(N($T197)&gt;0,COUNT($H197:$K197)&gt;0),"Con subactividades: deje vacías las semanas (se calculan solas)"&amp;" · ","")&amp;IF((COUNTIF($H197:$K197,"&gt;1")+COUNTIF($H197:$K197,"&lt;0")+COUNTA($H197:$K197)-COUNT($H197:$K197))&gt;0,"Avance fuera de rango 0-100%"&amp;" · ","")&amp;IF(OR(AND($I197&lt;&gt;"",$I197&lt;$H197),AND($J197&lt;&gt;"",$J197&lt;MAX($H197:$I197)),AND($K197&lt;&gt;"",$K197&lt;MAX($H197:$J197))),"Avance semanal decreciente"&amp;" · ","")&amp;IF(AND(ISNUMBER($F197),$F197&lt;FechaRef,N($L197)&lt;1),"Vencida"&amp;" · ","")&amp;IF(AND(ObsObligatoria="Sí",ISNUMBER($F197),$F197&lt;FechaRef,N($L197)&lt;1,$N197=""),"Vencida sin observación"&amp;" · ",""))-3)))</f>
        <v/>
      </c>
      <c r="P197" s="69">
        <f>IF(NOT((COUNTA($B197:$K197)+COUNTA($N197))&gt;0),"",IF(AND($S197="Sub",N($R197)&gt;0),IF(ISNUMBER(INDEX($E$5:$E$1000,$R197-4)),DATE(YEAR(INDEX($E$5:$E$1000,$R197-4)),MONTH(INDEX($E$5:$E$1000,$R197-4)),1),IF(ISNUMBER(INDEX($F$5:$F$1000,$R197-4)),DATE(YEAR(INDEX($F$5:$F$1000,$R197-4)),MONTH(INDEX($F$5:$F$1000,$R197-4)),1),MesCiclo)),IF(ISNUMBER($E197),DATE(YEAR($E197),MONTH($E197),1),IF(ISNUMBER($F197),DATE(YEAR($F197),MONTH($F197),1),MesCiclo))))</f>
        <v/>
      </c>
      <c r="Q197" s="70">
        <f>IF(OR($P197="",$P197&lt;&gt;MesCiclo),"",COUNTIF($P$5:$P197,MesCiclo))</f>
        <v/>
      </c>
      <c r="R197" s="70">
        <f>IF($S197="","",IF($S197="Macro",ROW(),IFERROR(LOOKUP(2,1/($S$5:$S197="Macro"),ROW($S$5:$S197)),0)))</f>
        <v/>
      </c>
      <c r="S197" s="70">
        <f>IF(NOT((COUNTA($B197:$K197)+COUNTA($N197))&gt;0),"",IF($B197&lt;&gt;"","Macro",IF($C197&lt;&gt;"","Sub","Macro")))</f>
        <v/>
      </c>
      <c r="T197" s="70">
        <f>IF($S197="Macro",COUNTIFS($R$5:$R$1000,ROW(),$S$5:$S$1000,"Sub"),"")</f>
        <v/>
      </c>
      <c r="U197" s="70">
        <f>IF($S197="","",IF(ISNUMBER($H197),$H197,0))</f>
        <v/>
      </c>
      <c r="V197" s="70">
        <f>IF($S197="","",IF(ISNUMBER($I197),$I197,$U197))</f>
        <v/>
      </c>
      <c r="W197" s="70">
        <f>IF($S197="","",IF(ISNUMBER($J197),$J197,$V197))</f>
        <v/>
      </c>
      <c r="X197" s="70">
        <f>IF($S197="","",IF(ISNUMBER($K197),$K197,$W197))</f>
        <v/>
      </c>
      <c r="Y197" s="70">
        <f>IF($S197="","",IF(N($T197)&gt;0,AVERAGEIFS($U$5:$U$1000,$R$5:$R$1000,ROW(),$S$5:$S$1000,"Sub"),$U197))</f>
        <v/>
      </c>
      <c r="Z197" s="70">
        <f>IF($S197="","",IF(N($T197)&gt;0,AVERAGEIFS($V$5:$V$1000,$R$5:$R$1000,ROW(),$S$5:$S$1000,"Sub"),$V197))</f>
        <v/>
      </c>
      <c r="AA197" s="70">
        <f>IF($S197="","",IF(N($T197)&gt;0,AVERAGEIFS($W$5:$W$1000,$R$5:$R$1000,ROW(),$S$5:$S$1000,"Sub"),$W197))</f>
        <v/>
      </c>
      <c r="AB197" s="70">
        <f>IF($S197="","",IF(N($T197)&gt;0,AVERAGEIFS($X$5:$X$1000,$R$5:$R$1000,ROW(),$S$5:$S$1000,"Sub"),$X197))</f>
        <v/>
      </c>
    </row>
    <row r="198">
      <c r="A198" s="61">
        <f>IF(NOT((COUNTA($B198:$K198)+COUNTA($N198))&gt;0),"",IF($S198="Macro",COUNTIFS($S$5:$S198,"Macro",$P$5:$P198,$P198),IF(N($R198)=0,"?",COUNTIFS(INDEX($S$5:$S$1000,1):INDEX($S$5:$S$1000,$R198-4),"Macro",INDEX($P$5:$P$1000,1):INDEX($P$5:$P$1000,$R198-4),INDEX($P$5:$P$1000,$R198-4))&amp;"."&amp;COUNTIFS($R$5:$R198,$R198,$S$5:$S198,"Sub"))))</f>
        <v/>
      </c>
      <c r="B198" s="62" t="n"/>
      <c r="C198" s="63" t="n"/>
      <c r="D198" s="62" t="n"/>
      <c r="E198" s="64" t="n"/>
      <c r="F198" s="64" t="n"/>
      <c r="G198" s="65" t="n"/>
      <c r="H198" s="66" t="n"/>
      <c r="I198" s="66" t="n"/>
      <c r="J198" s="66" t="n"/>
      <c r="K198" s="66" t="n"/>
      <c r="L198" s="67">
        <f>IF(NOT((COUNTA($B198:$K198)+COUNTA($N198))&gt;0),"",IF(N($T198)&gt;0,$AB198,IFERROR(LOOKUP(2,1/(H198:K198&lt;&gt;""),H198:K198),0)))</f>
        <v/>
      </c>
      <c r="M198" s="61">
        <f>IF(L198="","",IF(L198&gt;=1,"Completado",IF(L198&gt;0,"En curso","Pendiente")))</f>
        <v/>
      </c>
      <c r="N198" s="62" t="n"/>
      <c r="O198" s="68">
        <f>IF(NOT((COUNTA($B198:$K198)+COUNTA($N198))&gt;0),"",IF((IF(AND($S198="Macro",$B198=""),"Macroactividad vacía"&amp;" · ","")&amp;IF(AND($B198&lt;&gt;"",$C198&lt;&gt;""),"Escriba la subactividad en otra fila, debajo de su macroactividad"&amp;" · ","")&amp;IF(AND($S198="Sub",N($R198)=0),"Subactividad sin macroactividad arriba"&amp;" · ","")&amp;IF($D198="","Sin responsable"&amp;" · ","")&amp;IF($E198="","Sin fecha de inicio"&amp;" · ","")&amp;IF($F198="","Sin fecha límite"&amp;" · ","")&amp;IF(OR(AND($E198&lt;&gt;"",NOT(ISNUMBER($E198))),AND($F198&lt;&gt;"",NOT(ISNUMBER($F198)))),"Fecha no válida"&amp;" · ","")&amp;IF(AND(ISNUMBER($E198),ISNUMBER($F198),$E198&gt;$F198),"Inicio posterior a fecha límite"&amp;" · ","")&amp;IF(AND($S198="Macro",$G198=""),"Peso vacío"&amp;" · ","")&amp;IF(AND($S198="Macro",$G198&lt;&gt;"",OR(NOT(ISNUMBER($G198)),$G198&lt;=0,$G198&gt;1)),"Peso fuera de rango"&amp;" · ","")&amp;IF(AND($S198="Sub",$G198&lt;&gt;""),"Las subactividades no llevan peso"&amp;" · ","")&amp;IF(AND($S198="Macro",ABS(SUMIFS($G$5:$G$1000,$P$5:$P$1000,$P198,$S$5:$S$1000,"Macro")-1)&gt;0.0001),"Pesos del mes suman "&amp;TEXT(SUMIFS($G$5:$G$1000,$P$5:$P$1000,$P198,$S$5:$S$1000,"Macro"),"0%")&amp;" · ","")&amp;IF(AND(N($T198)&gt;0,COUNT($H198:$K198)&gt;0),"Con subactividades: deje vacías las semanas (se calculan solas)"&amp;" · ","")&amp;IF((COUNTIF($H198:$K198,"&gt;1")+COUNTIF($H198:$K198,"&lt;0")+COUNTA($H198:$K198)-COUNT($H198:$K198))&gt;0,"Avance fuera de rango 0-100%"&amp;" · ","")&amp;IF(OR(AND($I198&lt;&gt;"",$I198&lt;$H198),AND($J198&lt;&gt;"",$J198&lt;MAX($H198:$I198)),AND($K198&lt;&gt;"",$K198&lt;MAX($H198:$J198))),"Avance semanal decreciente"&amp;" · ","")&amp;IF(AND(ISNUMBER($F198),$F198&lt;FechaRef,N($L198)&lt;1),"Vencida"&amp;" · ","")&amp;IF(AND(ObsObligatoria="Sí",ISNUMBER($F198),$F198&lt;FechaRef,N($L198)&lt;1,$N198=""),"Vencida sin observación"&amp;" · ",""))="","✔ OK","⚠ "&amp;LEFT(IF(AND($S198="Macro",$B198=""),"Macroactividad vacía"&amp;" · ","")&amp;IF(AND($B198&lt;&gt;"",$C198&lt;&gt;""),"Escriba la subactividad en otra fila, debajo de su macroactividad"&amp;" · ","")&amp;IF(AND($S198="Sub",N($R198)=0),"Subactividad sin macroactividad arriba"&amp;" · ","")&amp;IF($D198="","Sin responsable"&amp;" · ","")&amp;IF($E198="","Sin fecha de inicio"&amp;" · ","")&amp;IF($F198="","Sin fecha límite"&amp;" · ","")&amp;IF(OR(AND($E198&lt;&gt;"",NOT(ISNUMBER($E198))),AND($F198&lt;&gt;"",NOT(ISNUMBER($F198)))),"Fecha no válida"&amp;" · ","")&amp;IF(AND(ISNUMBER($E198),ISNUMBER($F198),$E198&gt;$F198),"Inicio posterior a fecha límite"&amp;" · ","")&amp;IF(AND($S198="Macro",$G198=""),"Peso vacío"&amp;" · ","")&amp;IF(AND($S198="Macro",$G198&lt;&gt;"",OR(NOT(ISNUMBER($G198)),$G198&lt;=0,$G198&gt;1)),"Peso fuera de rango"&amp;" · ","")&amp;IF(AND($S198="Sub",$G198&lt;&gt;""),"Las subactividades no llevan peso"&amp;" · ","")&amp;IF(AND($S198="Macro",ABS(SUMIFS($G$5:$G$1000,$P$5:$P$1000,$P198,$S$5:$S$1000,"Macro")-1)&gt;0.0001),"Pesos del mes suman "&amp;TEXT(SUMIFS($G$5:$G$1000,$P$5:$P$1000,$P198,$S$5:$S$1000,"Macro"),"0%")&amp;" · ","")&amp;IF(AND(N($T198)&gt;0,COUNT($H198:$K198)&gt;0),"Con subactividades: deje vacías las semanas (se calculan solas)"&amp;" · ","")&amp;IF((COUNTIF($H198:$K198,"&gt;1")+COUNTIF($H198:$K198,"&lt;0")+COUNTA($H198:$K198)-COUNT($H198:$K198))&gt;0,"Avance fuera de rango 0-100%"&amp;" · ","")&amp;IF(OR(AND($I198&lt;&gt;"",$I198&lt;$H198),AND($J198&lt;&gt;"",$J198&lt;MAX($H198:$I198)),AND($K198&lt;&gt;"",$K198&lt;MAX($H198:$J198))),"Avance semanal decreciente"&amp;" · ","")&amp;IF(AND(ISNUMBER($F198),$F198&lt;FechaRef,N($L198)&lt;1),"Vencida"&amp;" · ","")&amp;IF(AND(ObsObligatoria="Sí",ISNUMBER($F198),$F198&lt;FechaRef,N($L198)&lt;1,$N198=""),"Vencida sin observación"&amp;" · ",""),LEN(IF(AND($S198="Macro",$B198=""),"Macroactividad vacía"&amp;" · ","")&amp;IF(AND($B198&lt;&gt;"",$C198&lt;&gt;""),"Escriba la subactividad en otra fila, debajo de su macroactividad"&amp;" · ","")&amp;IF(AND($S198="Sub",N($R198)=0),"Subactividad sin macroactividad arriba"&amp;" · ","")&amp;IF($D198="","Sin responsable"&amp;" · ","")&amp;IF($E198="","Sin fecha de inicio"&amp;" · ","")&amp;IF($F198="","Sin fecha límite"&amp;" · ","")&amp;IF(OR(AND($E198&lt;&gt;"",NOT(ISNUMBER($E198))),AND($F198&lt;&gt;"",NOT(ISNUMBER($F198)))),"Fecha no válida"&amp;" · ","")&amp;IF(AND(ISNUMBER($E198),ISNUMBER($F198),$E198&gt;$F198),"Inicio posterior a fecha límite"&amp;" · ","")&amp;IF(AND($S198="Macro",$G198=""),"Peso vacío"&amp;" · ","")&amp;IF(AND($S198="Macro",$G198&lt;&gt;"",OR(NOT(ISNUMBER($G198)),$G198&lt;=0,$G198&gt;1)),"Peso fuera de rango"&amp;" · ","")&amp;IF(AND($S198="Sub",$G198&lt;&gt;""),"Las subactividades no llevan peso"&amp;" · ","")&amp;IF(AND($S198="Macro",ABS(SUMIFS($G$5:$G$1000,$P$5:$P$1000,$P198,$S$5:$S$1000,"Macro")-1)&gt;0.0001),"Pesos del mes suman "&amp;TEXT(SUMIFS($G$5:$G$1000,$P$5:$P$1000,$P198,$S$5:$S$1000,"Macro"),"0%")&amp;" · ","")&amp;IF(AND(N($T198)&gt;0,COUNT($H198:$K198)&gt;0),"Con subactividades: deje vacías las semanas (se calculan solas)"&amp;" · ","")&amp;IF((COUNTIF($H198:$K198,"&gt;1")+COUNTIF($H198:$K198,"&lt;0")+COUNTA($H198:$K198)-COUNT($H198:$K198))&gt;0,"Avance fuera de rango 0-100%"&amp;" · ","")&amp;IF(OR(AND($I198&lt;&gt;"",$I198&lt;$H198),AND($J198&lt;&gt;"",$J198&lt;MAX($H198:$I198)),AND($K198&lt;&gt;"",$K198&lt;MAX($H198:$J198))),"Avance semanal decreciente"&amp;" · ","")&amp;IF(AND(ISNUMBER($F198),$F198&lt;FechaRef,N($L198)&lt;1),"Vencida"&amp;" · ","")&amp;IF(AND(ObsObligatoria="Sí",ISNUMBER($F198),$F198&lt;FechaRef,N($L198)&lt;1,$N198=""),"Vencida sin observación"&amp;" · ",""))-3)))</f>
        <v/>
      </c>
      <c r="P198" s="69">
        <f>IF(NOT((COUNTA($B198:$K198)+COUNTA($N198))&gt;0),"",IF(AND($S198="Sub",N($R198)&gt;0),IF(ISNUMBER(INDEX($E$5:$E$1000,$R198-4)),DATE(YEAR(INDEX($E$5:$E$1000,$R198-4)),MONTH(INDEX($E$5:$E$1000,$R198-4)),1),IF(ISNUMBER(INDEX($F$5:$F$1000,$R198-4)),DATE(YEAR(INDEX($F$5:$F$1000,$R198-4)),MONTH(INDEX($F$5:$F$1000,$R198-4)),1),MesCiclo)),IF(ISNUMBER($E198),DATE(YEAR($E198),MONTH($E198),1),IF(ISNUMBER($F198),DATE(YEAR($F198),MONTH($F198),1),MesCiclo))))</f>
        <v/>
      </c>
      <c r="Q198" s="70">
        <f>IF(OR($P198="",$P198&lt;&gt;MesCiclo),"",COUNTIF($P$5:$P198,MesCiclo))</f>
        <v/>
      </c>
      <c r="R198" s="70">
        <f>IF($S198="","",IF($S198="Macro",ROW(),IFERROR(LOOKUP(2,1/($S$5:$S198="Macro"),ROW($S$5:$S198)),0)))</f>
        <v/>
      </c>
      <c r="S198" s="70">
        <f>IF(NOT((COUNTA($B198:$K198)+COUNTA($N198))&gt;0),"",IF($B198&lt;&gt;"","Macro",IF($C198&lt;&gt;"","Sub","Macro")))</f>
        <v/>
      </c>
      <c r="T198" s="70">
        <f>IF($S198="Macro",COUNTIFS($R$5:$R$1000,ROW(),$S$5:$S$1000,"Sub"),"")</f>
        <v/>
      </c>
      <c r="U198" s="70">
        <f>IF($S198="","",IF(ISNUMBER($H198),$H198,0))</f>
        <v/>
      </c>
      <c r="V198" s="70">
        <f>IF($S198="","",IF(ISNUMBER($I198),$I198,$U198))</f>
        <v/>
      </c>
      <c r="W198" s="70">
        <f>IF($S198="","",IF(ISNUMBER($J198),$J198,$V198))</f>
        <v/>
      </c>
      <c r="X198" s="70">
        <f>IF($S198="","",IF(ISNUMBER($K198),$K198,$W198))</f>
        <v/>
      </c>
      <c r="Y198" s="70">
        <f>IF($S198="","",IF(N($T198)&gt;0,AVERAGEIFS($U$5:$U$1000,$R$5:$R$1000,ROW(),$S$5:$S$1000,"Sub"),$U198))</f>
        <v/>
      </c>
      <c r="Z198" s="70">
        <f>IF($S198="","",IF(N($T198)&gt;0,AVERAGEIFS($V$5:$V$1000,$R$5:$R$1000,ROW(),$S$5:$S$1000,"Sub"),$V198))</f>
        <v/>
      </c>
      <c r="AA198" s="70">
        <f>IF($S198="","",IF(N($T198)&gt;0,AVERAGEIFS($W$5:$W$1000,$R$5:$R$1000,ROW(),$S$5:$S$1000,"Sub"),$W198))</f>
        <v/>
      </c>
      <c r="AB198" s="70">
        <f>IF($S198="","",IF(N($T198)&gt;0,AVERAGEIFS($X$5:$X$1000,$R$5:$R$1000,ROW(),$S$5:$S$1000,"Sub"),$X198))</f>
        <v/>
      </c>
    </row>
    <row r="199">
      <c r="A199" s="61">
        <f>IF(NOT((COUNTA($B199:$K199)+COUNTA($N199))&gt;0),"",IF($S199="Macro",COUNTIFS($S$5:$S199,"Macro",$P$5:$P199,$P199),IF(N($R199)=0,"?",COUNTIFS(INDEX($S$5:$S$1000,1):INDEX($S$5:$S$1000,$R199-4),"Macro",INDEX($P$5:$P$1000,1):INDEX($P$5:$P$1000,$R199-4),INDEX($P$5:$P$1000,$R199-4))&amp;"."&amp;COUNTIFS($R$5:$R199,$R199,$S$5:$S199,"Sub"))))</f>
        <v/>
      </c>
      <c r="B199" s="62" t="n"/>
      <c r="C199" s="63" t="n"/>
      <c r="D199" s="62" t="n"/>
      <c r="E199" s="64" t="n"/>
      <c r="F199" s="64" t="n"/>
      <c r="G199" s="65" t="n"/>
      <c r="H199" s="66" t="n"/>
      <c r="I199" s="66" t="n"/>
      <c r="J199" s="66" t="n"/>
      <c r="K199" s="66" t="n"/>
      <c r="L199" s="67">
        <f>IF(NOT((COUNTA($B199:$K199)+COUNTA($N199))&gt;0),"",IF(N($T199)&gt;0,$AB199,IFERROR(LOOKUP(2,1/(H199:K199&lt;&gt;""),H199:K199),0)))</f>
        <v/>
      </c>
      <c r="M199" s="61">
        <f>IF(L199="","",IF(L199&gt;=1,"Completado",IF(L199&gt;0,"En curso","Pendiente")))</f>
        <v/>
      </c>
      <c r="N199" s="62" t="n"/>
      <c r="O199" s="68">
        <f>IF(NOT((COUNTA($B199:$K199)+COUNTA($N199))&gt;0),"",IF((IF(AND($S199="Macro",$B199=""),"Macroactividad vacía"&amp;" · ","")&amp;IF(AND($B199&lt;&gt;"",$C199&lt;&gt;""),"Escriba la subactividad en otra fila, debajo de su macroactividad"&amp;" · ","")&amp;IF(AND($S199="Sub",N($R199)=0),"Subactividad sin macroactividad arriba"&amp;" · ","")&amp;IF($D199="","Sin responsable"&amp;" · ","")&amp;IF($E199="","Sin fecha de inicio"&amp;" · ","")&amp;IF($F199="","Sin fecha límite"&amp;" · ","")&amp;IF(OR(AND($E199&lt;&gt;"",NOT(ISNUMBER($E199))),AND($F199&lt;&gt;"",NOT(ISNUMBER($F199)))),"Fecha no válida"&amp;" · ","")&amp;IF(AND(ISNUMBER($E199),ISNUMBER($F199),$E199&gt;$F199),"Inicio posterior a fecha límite"&amp;" · ","")&amp;IF(AND($S199="Macro",$G199=""),"Peso vacío"&amp;" · ","")&amp;IF(AND($S199="Macro",$G199&lt;&gt;"",OR(NOT(ISNUMBER($G199)),$G199&lt;=0,$G199&gt;1)),"Peso fuera de rango"&amp;" · ","")&amp;IF(AND($S199="Sub",$G199&lt;&gt;""),"Las subactividades no llevan peso"&amp;" · ","")&amp;IF(AND($S199="Macro",ABS(SUMIFS($G$5:$G$1000,$P$5:$P$1000,$P199,$S$5:$S$1000,"Macro")-1)&gt;0.0001),"Pesos del mes suman "&amp;TEXT(SUMIFS($G$5:$G$1000,$P$5:$P$1000,$P199,$S$5:$S$1000,"Macro"),"0%")&amp;" · ","")&amp;IF(AND(N($T199)&gt;0,COUNT($H199:$K199)&gt;0),"Con subactividades: deje vacías las semanas (se calculan solas)"&amp;" · ","")&amp;IF((COUNTIF($H199:$K199,"&gt;1")+COUNTIF($H199:$K199,"&lt;0")+COUNTA($H199:$K199)-COUNT($H199:$K199))&gt;0,"Avance fuera de rango 0-100%"&amp;" · ","")&amp;IF(OR(AND($I199&lt;&gt;"",$I199&lt;$H199),AND($J199&lt;&gt;"",$J199&lt;MAX($H199:$I199)),AND($K199&lt;&gt;"",$K199&lt;MAX($H199:$J199))),"Avance semanal decreciente"&amp;" · ","")&amp;IF(AND(ISNUMBER($F199),$F199&lt;FechaRef,N($L199)&lt;1),"Vencida"&amp;" · ","")&amp;IF(AND(ObsObligatoria="Sí",ISNUMBER($F199),$F199&lt;FechaRef,N($L199)&lt;1,$N199=""),"Vencida sin observación"&amp;" · ",""))="","✔ OK","⚠ "&amp;LEFT(IF(AND($S199="Macro",$B199=""),"Macroactividad vacía"&amp;" · ","")&amp;IF(AND($B199&lt;&gt;"",$C199&lt;&gt;""),"Escriba la subactividad en otra fila, debajo de su macroactividad"&amp;" · ","")&amp;IF(AND($S199="Sub",N($R199)=0),"Subactividad sin macroactividad arriba"&amp;" · ","")&amp;IF($D199="","Sin responsable"&amp;" · ","")&amp;IF($E199="","Sin fecha de inicio"&amp;" · ","")&amp;IF($F199="","Sin fecha límite"&amp;" · ","")&amp;IF(OR(AND($E199&lt;&gt;"",NOT(ISNUMBER($E199))),AND($F199&lt;&gt;"",NOT(ISNUMBER($F199)))),"Fecha no válida"&amp;" · ","")&amp;IF(AND(ISNUMBER($E199),ISNUMBER($F199),$E199&gt;$F199),"Inicio posterior a fecha límite"&amp;" · ","")&amp;IF(AND($S199="Macro",$G199=""),"Peso vacío"&amp;" · ","")&amp;IF(AND($S199="Macro",$G199&lt;&gt;"",OR(NOT(ISNUMBER($G199)),$G199&lt;=0,$G199&gt;1)),"Peso fuera de rango"&amp;" · ","")&amp;IF(AND($S199="Sub",$G199&lt;&gt;""),"Las subactividades no llevan peso"&amp;" · ","")&amp;IF(AND($S199="Macro",ABS(SUMIFS($G$5:$G$1000,$P$5:$P$1000,$P199,$S$5:$S$1000,"Macro")-1)&gt;0.0001),"Pesos del mes suman "&amp;TEXT(SUMIFS($G$5:$G$1000,$P$5:$P$1000,$P199,$S$5:$S$1000,"Macro"),"0%")&amp;" · ","")&amp;IF(AND(N($T199)&gt;0,COUNT($H199:$K199)&gt;0),"Con subactividades: deje vacías las semanas (se calculan solas)"&amp;" · ","")&amp;IF((COUNTIF($H199:$K199,"&gt;1")+COUNTIF($H199:$K199,"&lt;0")+COUNTA($H199:$K199)-COUNT($H199:$K199))&gt;0,"Avance fuera de rango 0-100%"&amp;" · ","")&amp;IF(OR(AND($I199&lt;&gt;"",$I199&lt;$H199),AND($J199&lt;&gt;"",$J199&lt;MAX($H199:$I199)),AND($K199&lt;&gt;"",$K199&lt;MAX($H199:$J199))),"Avance semanal decreciente"&amp;" · ","")&amp;IF(AND(ISNUMBER($F199),$F199&lt;FechaRef,N($L199)&lt;1),"Vencida"&amp;" · ","")&amp;IF(AND(ObsObligatoria="Sí",ISNUMBER($F199),$F199&lt;FechaRef,N($L199)&lt;1,$N199=""),"Vencida sin observación"&amp;" · ",""),LEN(IF(AND($S199="Macro",$B199=""),"Macroactividad vacía"&amp;" · ","")&amp;IF(AND($B199&lt;&gt;"",$C199&lt;&gt;""),"Escriba la subactividad en otra fila, debajo de su macroactividad"&amp;" · ","")&amp;IF(AND($S199="Sub",N($R199)=0),"Subactividad sin macroactividad arriba"&amp;" · ","")&amp;IF($D199="","Sin responsable"&amp;" · ","")&amp;IF($E199="","Sin fecha de inicio"&amp;" · ","")&amp;IF($F199="","Sin fecha límite"&amp;" · ","")&amp;IF(OR(AND($E199&lt;&gt;"",NOT(ISNUMBER($E199))),AND($F199&lt;&gt;"",NOT(ISNUMBER($F199)))),"Fecha no válida"&amp;" · ","")&amp;IF(AND(ISNUMBER($E199),ISNUMBER($F199),$E199&gt;$F199),"Inicio posterior a fecha límite"&amp;" · ","")&amp;IF(AND($S199="Macro",$G199=""),"Peso vacío"&amp;" · ","")&amp;IF(AND($S199="Macro",$G199&lt;&gt;"",OR(NOT(ISNUMBER($G199)),$G199&lt;=0,$G199&gt;1)),"Peso fuera de rango"&amp;" · ","")&amp;IF(AND($S199="Sub",$G199&lt;&gt;""),"Las subactividades no llevan peso"&amp;" · ","")&amp;IF(AND($S199="Macro",ABS(SUMIFS($G$5:$G$1000,$P$5:$P$1000,$P199,$S$5:$S$1000,"Macro")-1)&gt;0.0001),"Pesos del mes suman "&amp;TEXT(SUMIFS($G$5:$G$1000,$P$5:$P$1000,$P199,$S$5:$S$1000,"Macro"),"0%")&amp;" · ","")&amp;IF(AND(N($T199)&gt;0,COUNT($H199:$K199)&gt;0),"Con subactividades: deje vacías las semanas (se calculan solas)"&amp;" · ","")&amp;IF((COUNTIF($H199:$K199,"&gt;1")+COUNTIF($H199:$K199,"&lt;0")+COUNTA($H199:$K199)-COUNT($H199:$K199))&gt;0,"Avance fuera de rango 0-100%"&amp;" · ","")&amp;IF(OR(AND($I199&lt;&gt;"",$I199&lt;$H199),AND($J199&lt;&gt;"",$J199&lt;MAX($H199:$I199)),AND($K199&lt;&gt;"",$K199&lt;MAX($H199:$J199))),"Avance semanal decreciente"&amp;" · ","")&amp;IF(AND(ISNUMBER($F199),$F199&lt;FechaRef,N($L199)&lt;1),"Vencida"&amp;" · ","")&amp;IF(AND(ObsObligatoria="Sí",ISNUMBER($F199),$F199&lt;FechaRef,N($L199)&lt;1,$N199=""),"Vencida sin observación"&amp;" · ",""))-3)))</f>
        <v/>
      </c>
      <c r="P199" s="69">
        <f>IF(NOT((COUNTA($B199:$K199)+COUNTA($N199))&gt;0),"",IF(AND($S199="Sub",N($R199)&gt;0),IF(ISNUMBER(INDEX($E$5:$E$1000,$R199-4)),DATE(YEAR(INDEX($E$5:$E$1000,$R199-4)),MONTH(INDEX($E$5:$E$1000,$R199-4)),1),IF(ISNUMBER(INDEX($F$5:$F$1000,$R199-4)),DATE(YEAR(INDEX($F$5:$F$1000,$R199-4)),MONTH(INDEX($F$5:$F$1000,$R199-4)),1),MesCiclo)),IF(ISNUMBER($E199),DATE(YEAR($E199),MONTH($E199),1),IF(ISNUMBER($F199),DATE(YEAR($F199),MONTH($F199),1),MesCiclo))))</f>
        <v/>
      </c>
      <c r="Q199" s="70">
        <f>IF(OR($P199="",$P199&lt;&gt;MesCiclo),"",COUNTIF($P$5:$P199,MesCiclo))</f>
        <v/>
      </c>
      <c r="R199" s="70">
        <f>IF($S199="","",IF($S199="Macro",ROW(),IFERROR(LOOKUP(2,1/($S$5:$S199="Macro"),ROW($S$5:$S199)),0)))</f>
        <v/>
      </c>
      <c r="S199" s="70">
        <f>IF(NOT((COUNTA($B199:$K199)+COUNTA($N199))&gt;0),"",IF($B199&lt;&gt;"","Macro",IF($C199&lt;&gt;"","Sub","Macro")))</f>
        <v/>
      </c>
      <c r="T199" s="70">
        <f>IF($S199="Macro",COUNTIFS($R$5:$R$1000,ROW(),$S$5:$S$1000,"Sub"),"")</f>
        <v/>
      </c>
      <c r="U199" s="70">
        <f>IF($S199="","",IF(ISNUMBER($H199),$H199,0))</f>
        <v/>
      </c>
      <c r="V199" s="70">
        <f>IF($S199="","",IF(ISNUMBER($I199),$I199,$U199))</f>
        <v/>
      </c>
      <c r="W199" s="70">
        <f>IF($S199="","",IF(ISNUMBER($J199),$J199,$V199))</f>
        <v/>
      </c>
      <c r="X199" s="70">
        <f>IF($S199="","",IF(ISNUMBER($K199),$K199,$W199))</f>
        <v/>
      </c>
      <c r="Y199" s="70">
        <f>IF($S199="","",IF(N($T199)&gt;0,AVERAGEIFS($U$5:$U$1000,$R$5:$R$1000,ROW(),$S$5:$S$1000,"Sub"),$U199))</f>
        <v/>
      </c>
      <c r="Z199" s="70">
        <f>IF($S199="","",IF(N($T199)&gt;0,AVERAGEIFS($V$5:$V$1000,$R$5:$R$1000,ROW(),$S$5:$S$1000,"Sub"),$V199))</f>
        <v/>
      </c>
      <c r="AA199" s="70">
        <f>IF($S199="","",IF(N($T199)&gt;0,AVERAGEIFS($W$5:$W$1000,$R$5:$R$1000,ROW(),$S$5:$S$1000,"Sub"),$W199))</f>
        <v/>
      </c>
      <c r="AB199" s="70">
        <f>IF($S199="","",IF(N($T199)&gt;0,AVERAGEIFS($X$5:$X$1000,$R$5:$R$1000,ROW(),$S$5:$S$1000,"Sub"),$X199))</f>
        <v/>
      </c>
    </row>
    <row r="200">
      <c r="A200" s="61">
        <f>IF(NOT((COUNTA($B200:$K200)+COUNTA($N200))&gt;0),"",IF($S200="Macro",COUNTIFS($S$5:$S200,"Macro",$P$5:$P200,$P200),IF(N($R200)=0,"?",COUNTIFS(INDEX($S$5:$S$1000,1):INDEX($S$5:$S$1000,$R200-4),"Macro",INDEX($P$5:$P$1000,1):INDEX($P$5:$P$1000,$R200-4),INDEX($P$5:$P$1000,$R200-4))&amp;"."&amp;COUNTIFS($R$5:$R200,$R200,$S$5:$S200,"Sub"))))</f>
        <v/>
      </c>
      <c r="B200" s="62" t="n"/>
      <c r="C200" s="63" t="n"/>
      <c r="D200" s="62" t="n"/>
      <c r="E200" s="64" t="n"/>
      <c r="F200" s="64" t="n"/>
      <c r="G200" s="65" t="n"/>
      <c r="H200" s="66" t="n"/>
      <c r="I200" s="66" t="n"/>
      <c r="J200" s="66" t="n"/>
      <c r="K200" s="66" t="n"/>
      <c r="L200" s="67">
        <f>IF(NOT((COUNTA($B200:$K200)+COUNTA($N200))&gt;0),"",IF(N($T200)&gt;0,$AB200,IFERROR(LOOKUP(2,1/(H200:K200&lt;&gt;""),H200:K200),0)))</f>
        <v/>
      </c>
      <c r="M200" s="61">
        <f>IF(L200="","",IF(L200&gt;=1,"Completado",IF(L200&gt;0,"En curso","Pendiente")))</f>
        <v/>
      </c>
      <c r="N200" s="62" t="n"/>
      <c r="O200" s="68">
        <f>IF(NOT((COUNTA($B200:$K200)+COUNTA($N200))&gt;0),"",IF((IF(AND($S200="Macro",$B200=""),"Macroactividad vacía"&amp;" · ","")&amp;IF(AND($B200&lt;&gt;"",$C200&lt;&gt;""),"Escriba la subactividad en otra fila, debajo de su macroactividad"&amp;" · ","")&amp;IF(AND($S200="Sub",N($R200)=0),"Subactividad sin macroactividad arriba"&amp;" · ","")&amp;IF($D200="","Sin responsable"&amp;" · ","")&amp;IF($E200="","Sin fecha de inicio"&amp;" · ","")&amp;IF($F200="","Sin fecha límite"&amp;" · ","")&amp;IF(OR(AND($E200&lt;&gt;"",NOT(ISNUMBER($E200))),AND($F200&lt;&gt;"",NOT(ISNUMBER($F200)))),"Fecha no válida"&amp;" · ","")&amp;IF(AND(ISNUMBER($E200),ISNUMBER($F200),$E200&gt;$F200),"Inicio posterior a fecha límite"&amp;" · ","")&amp;IF(AND($S200="Macro",$G200=""),"Peso vacío"&amp;" · ","")&amp;IF(AND($S200="Macro",$G200&lt;&gt;"",OR(NOT(ISNUMBER($G200)),$G200&lt;=0,$G200&gt;1)),"Peso fuera de rango"&amp;" · ","")&amp;IF(AND($S200="Sub",$G200&lt;&gt;""),"Las subactividades no llevan peso"&amp;" · ","")&amp;IF(AND($S200="Macro",ABS(SUMIFS($G$5:$G$1000,$P$5:$P$1000,$P200,$S$5:$S$1000,"Macro")-1)&gt;0.0001),"Pesos del mes suman "&amp;TEXT(SUMIFS($G$5:$G$1000,$P$5:$P$1000,$P200,$S$5:$S$1000,"Macro"),"0%")&amp;" · ","")&amp;IF(AND(N($T200)&gt;0,COUNT($H200:$K200)&gt;0),"Con subactividades: deje vacías las semanas (se calculan solas)"&amp;" · ","")&amp;IF((COUNTIF($H200:$K200,"&gt;1")+COUNTIF($H200:$K200,"&lt;0")+COUNTA($H200:$K200)-COUNT($H200:$K200))&gt;0,"Avance fuera de rango 0-100%"&amp;" · ","")&amp;IF(OR(AND($I200&lt;&gt;"",$I200&lt;$H200),AND($J200&lt;&gt;"",$J200&lt;MAX($H200:$I200)),AND($K200&lt;&gt;"",$K200&lt;MAX($H200:$J200))),"Avance semanal decreciente"&amp;" · ","")&amp;IF(AND(ISNUMBER($F200),$F200&lt;FechaRef,N($L200)&lt;1),"Vencida"&amp;" · ","")&amp;IF(AND(ObsObligatoria="Sí",ISNUMBER($F200),$F200&lt;FechaRef,N($L200)&lt;1,$N200=""),"Vencida sin observación"&amp;" · ",""))="","✔ OK","⚠ "&amp;LEFT(IF(AND($S200="Macro",$B200=""),"Macroactividad vacía"&amp;" · ","")&amp;IF(AND($B200&lt;&gt;"",$C200&lt;&gt;""),"Escriba la subactividad en otra fila, debajo de su macroactividad"&amp;" · ","")&amp;IF(AND($S200="Sub",N($R200)=0),"Subactividad sin macroactividad arriba"&amp;" · ","")&amp;IF($D200="","Sin responsable"&amp;" · ","")&amp;IF($E200="","Sin fecha de inicio"&amp;" · ","")&amp;IF($F200="","Sin fecha límite"&amp;" · ","")&amp;IF(OR(AND($E200&lt;&gt;"",NOT(ISNUMBER($E200))),AND($F200&lt;&gt;"",NOT(ISNUMBER($F200)))),"Fecha no válida"&amp;" · ","")&amp;IF(AND(ISNUMBER($E200),ISNUMBER($F200),$E200&gt;$F200),"Inicio posterior a fecha límite"&amp;" · ","")&amp;IF(AND($S200="Macro",$G200=""),"Peso vacío"&amp;" · ","")&amp;IF(AND($S200="Macro",$G200&lt;&gt;"",OR(NOT(ISNUMBER($G200)),$G200&lt;=0,$G200&gt;1)),"Peso fuera de rango"&amp;" · ","")&amp;IF(AND($S200="Sub",$G200&lt;&gt;""),"Las subactividades no llevan peso"&amp;" · ","")&amp;IF(AND($S200="Macro",ABS(SUMIFS($G$5:$G$1000,$P$5:$P$1000,$P200,$S$5:$S$1000,"Macro")-1)&gt;0.0001),"Pesos del mes suman "&amp;TEXT(SUMIFS($G$5:$G$1000,$P$5:$P$1000,$P200,$S$5:$S$1000,"Macro"),"0%")&amp;" · ","")&amp;IF(AND(N($T200)&gt;0,COUNT($H200:$K200)&gt;0),"Con subactividades: deje vacías las semanas (se calculan solas)"&amp;" · ","")&amp;IF((COUNTIF($H200:$K200,"&gt;1")+COUNTIF($H200:$K200,"&lt;0")+COUNTA($H200:$K200)-COUNT($H200:$K200))&gt;0,"Avance fuera de rango 0-100%"&amp;" · ","")&amp;IF(OR(AND($I200&lt;&gt;"",$I200&lt;$H200),AND($J200&lt;&gt;"",$J200&lt;MAX($H200:$I200)),AND($K200&lt;&gt;"",$K200&lt;MAX($H200:$J200))),"Avance semanal decreciente"&amp;" · ","")&amp;IF(AND(ISNUMBER($F200),$F200&lt;FechaRef,N($L200)&lt;1),"Vencida"&amp;" · ","")&amp;IF(AND(ObsObligatoria="Sí",ISNUMBER($F200),$F200&lt;FechaRef,N($L200)&lt;1,$N200=""),"Vencida sin observación"&amp;" · ",""),LEN(IF(AND($S200="Macro",$B200=""),"Macroactividad vacía"&amp;" · ","")&amp;IF(AND($B200&lt;&gt;"",$C200&lt;&gt;""),"Escriba la subactividad en otra fila, debajo de su macroactividad"&amp;" · ","")&amp;IF(AND($S200="Sub",N($R200)=0),"Subactividad sin macroactividad arriba"&amp;" · ","")&amp;IF($D200="","Sin responsable"&amp;" · ","")&amp;IF($E200="","Sin fecha de inicio"&amp;" · ","")&amp;IF($F200="","Sin fecha límite"&amp;" · ","")&amp;IF(OR(AND($E200&lt;&gt;"",NOT(ISNUMBER($E200))),AND($F200&lt;&gt;"",NOT(ISNUMBER($F200)))),"Fecha no válida"&amp;" · ","")&amp;IF(AND(ISNUMBER($E200),ISNUMBER($F200),$E200&gt;$F200),"Inicio posterior a fecha límite"&amp;" · ","")&amp;IF(AND($S200="Macro",$G200=""),"Peso vacío"&amp;" · ","")&amp;IF(AND($S200="Macro",$G200&lt;&gt;"",OR(NOT(ISNUMBER($G200)),$G200&lt;=0,$G200&gt;1)),"Peso fuera de rango"&amp;" · ","")&amp;IF(AND($S200="Sub",$G200&lt;&gt;""),"Las subactividades no llevan peso"&amp;" · ","")&amp;IF(AND($S200="Macro",ABS(SUMIFS($G$5:$G$1000,$P$5:$P$1000,$P200,$S$5:$S$1000,"Macro")-1)&gt;0.0001),"Pesos del mes suman "&amp;TEXT(SUMIFS($G$5:$G$1000,$P$5:$P$1000,$P200,$S$5:$S$1000,"Macro"),"0%")&amp;" · ","")&amp;IF(AND(N($T200)&gt;0,COUNT($H200:$K200)&gt;0),"Con subactividades: deje vacías las semanas (se calculan solas)"&amp;" · ","")&amp;IF((COUNTIF($H200:$K200,"&gt;1")+COUNTIF($H200:$K200,"&lt;0")+COUNTA($H200:$K200)-COUNT($H200:$K200))&gt;0,"Avance fuera de rango 0-100%"&amp;" · ","")&amp;IF(OR(AND($I200&lt;&gt;"",$I200&lt;$H200),AND($J200&lt;&gt;"",$J200&lt;MAX($H200:$I200)),AND($K200&lt;&gt;"",$K200&lt;MAX($H200:$J200))),"Avance semanal decreciente"&amp;" · ","")&amp;IF(AND(ISNUMBER($F200),$F200&lt;FechaRef,N($L200)&lt;1),"Vencida"&amp;" · ","")&amp;IF(AND(ObsObligatoria="Sí",ISNUMBER($F200),$F200&lt;FechaRef,N($L200)&lt;1,$N200=""),"Vencida sin observación"&amp;" · ",""))-3)))</f>
        <v/>
      </c>
      <c r="P200" s="69">
        <f>IF(NOT((COUNTA($B200:$K200)+COUNTA($N200))&gt;0),"",IF(AND($S200="Sub",N($R200)&gt;0),IF(ISNUMBER(INDEX($E$5:$E$1000,$R200-4)),DATE(YEAR(INDEX($E$5:$E$1000,$R200-4)),MONTH(INDEX($E$5:$E$1000,$R200-4)),1),IF(ISNUMBER(INDEX($F$5:$F$1000,$R200-4)),DATE(YEAR(INDEX($F$5:$F$1000,$R200-4)),MONTH(INDEX($F$5:$F$1000,$R200-4)),1),MesCiclo)),IF(ISNUMBER($E200),DATE(YEAR($E200),MONTH($E200),1),IF(ISNUMBER($F200),DATE(YEAR($F200),MONTH($F200),1),MesCiclo))))</f>
        <v/>
      </c>
      <c r="Q200" s="70">
        <f>IF(OR($P200="",$P200&lt;&gt;MesCiclo),"",COUNTIF($P$5:$P200,MesCiclo))</f>
        <v/>
      </c>
      <c r="R200" s="70">
        <f>IF($S200="","",IF($S200="Macro",ROW(),IFERROR(LOOKUP(2,1/($S$5:$S200="Macro"),ROW($S$5:$S200)),0)))</f>
        <v/>
      </c>
      <c r="S200" s="70">
        <f>IF(NOT((COUNTA($B200:$K200)+COUNTA($N200))&gt;0),"",IF($B200&lt;&gt;"","Macro",IF($C200&lt;&gt;"","Sub","Macro")))</f>
        <v/>
      </c>
      <c r="T200" s="70">
        <f>IF($S200="Macro",COUNTIFS($R$5:$R$1000,ROW(),$S$5:$S$1000,"Sub"),"")</f>
        <v/>
      </c>
      <c r="U200" s="70">
        <f>IF($S200="","",IF(ISNUMBER($H200),$H200,0))</f>
        <v/>
      </c>
      <c r="V200" s="70">
        <f>IF($S200="","",IF(ISNUMBER($I200),$I200,$U200))</f>
        <v/>
      </c>
      <c r="W200" s="70">
        <f>IF($S200="","",IF(ISNUMBER($J200),$J200,$V200))</f>
        <v/>
      </c>
      <c r="X200" s="70">
        <f>IF($S200="","",IF(ISNUMBER($K200),$K200,$W200))</f>
        <v/>
      </c>
      <c r="Y200" s="70">
        <f>IF($S200="","",IF(N($T200)&gt;0,AVERAGEIFS($U$5:$U$1000,$R$5:$R$1000,ROW(),$S$5:$S$1000,"Sub"),$U200))</f>
        <v/>
      </c>
      <c r="Z200" s="70">
        <f>IF($S200="","",IF(N($T200)&gt;0,AVERAGEIFS($V$5:$V$1000,$R$5:$R$1000,ROW(),$S$5:$S$1000,"Sub"),$V200))</f>
        <v/>
      </c>
      <c r="AA200" s="70">
        <f>IF($S200="","",IF(N($T200)&gt;0,AVERAGEIFS($W$5:$W$1000,$R$5:$R$1000,ROW(),$S$5:$S$1000,"Sub"),$W200))</f>
        <v/>
      </c>
      <c r="AB200" s="70">
        <f>IF($S200="","",IF(N($T200)&gt;0,AVERAGEIFS($X$5:$X$1000,$R$5:$R$1000,ROW(),$S$5:$S$1000,"Sub"),$X200))</f>
        <v/>
      </c>
    </row>
    <row r="201">
      <c r="A201" s="61">
        <f>IF(NOT((COUNTA($B201:$K201)+COUNTA($N201))&gt;0),"",IF($S201="Macro",COUNTIFS($S$5:$S201,"Macro",$P$5:$P201,$P201),IF(N($R201)=0,"?",COUNTIFS(INDEX($S$5:$S$1000,1):INDEX($S$5:$S$1000,$R201-4),"Macro",INDEX($P$5:$P$1000,1):INDEX($P$5:$P$1000,$R201-4),INDEX($P$5:$P$1000,$R201-4))&amp;"."&amp;COUNTIFS($R$5:$R201,$R201,$S$5:$S201,"Sub"))))</f>
        <v/>
      </c>
      <c r="B201" s="62" t="n"/>
      <c r="C201" s="63" t="n"/>
      <c r="D201" s="62" t="n"/>
      <c r="E201" s="64" t="n"/>
      <c r="F201" s="64" t="n"/>
      <c r="G201" s="65" t="n"/>
      <c r="H201" s="66" t="n"/>
      <c r="I201" s="66" t="n"/>
      <c r="J201" s="66" t="n"/>
      <c r="K201" s="66" t="n"/>
      <c r="L201" s="67">
        <f>IF(NOT((COUNTA($B201:$K201)+COUNTA($N201))&gt;0),"",IF(N($T201)&gt;0,$AB201,IFERROR(LOOKUP(2,1/(H201:K201&lt;&gt;""),H201:K201),0)))</f>
        <v/>
      </c>
      <c r="M201" s="61">
        <f>IF(L201="","",IF(L201&gt;=1,"Completado",IF(L201&gt;0,"En curso","Pendiente")))</f>
        <v/>
      </c>
      <c r="N201" s="62" t="n"/>
      <c r="O201" s="68">
        <f>IF(NOT((COUNTA($B201:$K201)+COUNTA($N201))&gt;0),"",IF((IF(AND($S201="Macro",$B201=""),"Macroactividad vacía"&amp;" · ","")&amp;IF(AND($B201&lt;&gt;"",$C201&lt;&gt;""),"Escriba la subactividad en otra fila, debajo de su macroactividad"&amp;" · ","")&amp;IF(AND($S201="Sub",N($R201)=0),"Subactividad sin macroactividad arriba"&amp;" · ","")&amp;IF($D201="","Sin responsable"&amp;" · ","")&amp;IF($E201="","Sin fecha de inicio"&amp;" · ","")&amp;IF($F201="","Sin fecha límite"&amp;" · ","")&amp;IF(OR(AND($E201&lt;&gt;"",NOT(ISNUMBER($E201))),AND($F201&lt;&gt;"",NOT(ISNUMBER($F201)))),"Fecha no válida"&amp;" · ","")&amp;IF(AND(ISNUMBER($E201),ISNUMBER($F201),$E201&gt;$F201),"Inicio posterior a fecha límite"&amp;" · ","")&amp;IF(AND($S201="Macro",$G201=""),"Peso vacío"&amp;" · ","")&amp;IF(AND($S201="Macro",$G201&lt;&gt;"",OR(NOT(ISNUMBER($G201)),$G201&lt;=0,$G201&gt;1)),"Peso fuera de rango"&amp;" · ","")&amp;IF(AND($S201="Sub",$G201&lt;&gt;""),"Las subactividades no llevan peso"&amp;" · ","")&amp;IF(AND($S201="Macro",ABS(SUMIFS($G$5:$G$1000,$P$5:$P$1000,$P201,$S$5:$S$1000,"Macro")-1)&gt;0.0001),"Pesos del mes suman "&amp;TEXT(SUMIFS($G$5:$G$1000,$P$5:$P$1000,$P201,$S$5:$S$1000,"Macro"),"0%")&amp;" · ","")&amp;IF(AND(N($T201)&gt;0,COUNT($H201:$K201)&gt;0),"Con subactividades: deje vacías las semanas (se calculan solas)"&amp;" · ","")&amp;IF((COUNTIF($H201:$K201,"&gt;1")+COUNTIF($H201:$K201,"&lt;0")+COUNTA($H201:$K201)-COUNT($H201:$K201))&gt;0,"Avance fuera de rango 0-100%"&amp;" · ","")&amp;IF(OR(AND($I201&lt;&gt;"",$I201&lt;$H201),AND($J201&lt;&gt;"",$J201&lt;MAX($H201:$I201)),AND($K201&lt;&gt;"",$K201&lt;MAX($H201:$J201))),"Avance semanal decreciente"&amp;" · ","")&amp;IF(AND(ISNUMBER($F201),$F201&lt;FechaRef,N($L201)&lt;1),"Vencida"&amp;" · ","")&amp;IF(AND(ObsObligatoria="Sí",ISNUMBER($F201),$F201&lt;FechaRef,N($L201)&lt;1,$N201=""),"Vencida sin observación"&amp;" · ",""))="","✔ OK","⚠ "&amp;LEFT(IF(AND($S201="Macro",$B201=""),"Macroactividad vacía"&amp;" · ","")&amp;IF(AND($B201&lt;&gt;"",$C201&lt;&gt;""),"Escriba la subactividad en otra fila, debajo de su macroactividad"&amp;" · ","")&amp;IF(AND($S201="Sub",N($R201)=0),"Subactividad sin macroactividad arriba"&amp;" · ","")&amp;IF($D201="","Sin responsable"&amp;" · ","")&amp;IF($E201="","Sin fecha de inicio"&amp;" · ","")&amp;IF($F201="","Sin fecha límite"&amp;" · ","")&amp;IF(OR(AND($E201&lt;&gt;"",NOT(ISNUMBER($E201))),AND($F201&lt;&gt;"",NOT(ISNUMBER($F201)))),"Fecha no válida"&amp;" · ","")&amp;IF(AND(ISNUMBER($E201),ISNUMBER($F201),$E201&gt;$F201),"Inicio posterior a fecha límite"&amp;" · ","")&amp;IF(AND($S201="Macro",$G201=""),"Peso vacío"&amp;" · ","")&amp;IF(AND($S201="Macro",$G201&lt;&gt;"",OR(NOT(ISNUMBER($G201)),$G201&lt;=0,$G201&gt;1)),"Peso fuera de rango"&amp;" · ","")&amp;IF(AND($S201="Sub",$G201&lt;&gt;""),"Las subactividades no llevan peso"&amp;" · ","")&amp;IF(AND($S201="Macro",ABS(SUMIFS($G$5:$G$1000,$P$5:$P$1000,$P201,$S$5:$S$1000,"Macro")-1)&gt;0.0001),"Pesos del mes suman "&amp;TEXT(SUMIFS($G$5:$G$1000,$P$5:$P$1000,$P201,$S$5:$S$1000,"Macro"),"0%")&amp;" · ","")&amp;IF(AND(N($T201)&gt;0,COUNT($H201:$K201)&gt;0),"Con subactividades: deje vacías las semanas (se calculan solas)"&amp;" · ","")&amp;IF((COUNTIF($H201:$K201,"&gt;1")+COUNTIF($H201:$K201,"&lt;0")+COUNTA($H201:$K201)-COUNT($H201:$K201))&gt;0,"Avance fuera de rango 0-100%"&amp;" · ","")&amp;IF(OR(AND($I201&lt;&gt;"",$I201&lt;$H201),AND($J201&lt;&gt;"",$J201&lt;MAX($H201:$I201)),AND($K201&lt;&gt;"",$K201&lt;MAX($H201:$J201))),"Avance semanal decreciente"&amp;" · ","")&amp;IF(AND(ISNUMBER($F201),$F201&lt;FechaRef,N($L201)&lt;1),"Vencida"&amp;" · ","")&amp;IF(AND(ObsObligatoria="Sí",ISNUMBER($F201),$F201&lt;FechaRef,N($L201)&lt;1,$N201=""),"Vencida sin observación"&amp;" · ",""),LEN(IF(AND($S201="Macro",$B201=""),"Macroactividad vacía"&amp;" · ","")&amp;IF(AND($B201&lt;&gt;"",$C201&lt;&gt;""),"Escriba la subactividad en otra fila, debajo de su macroactividad"&amp;" · ","")&amp;IF(AND($S201="Sub",N($R201)=0),"Subactividad sin macroactividad arriba"&amp;" · ","")&amp;IF($D201="","Sin responsable"&amp;" · ","")&amp;IF($E201="","Sin fecha de inicio"&amp;" · ","")&amp;IF($F201="","Sin fecha límite"&amp;" · ","")&amp;IF(OR(AND($E201&lt;&gt;"",NOT(ISNUMBER($E201))),AND($F201&lt;&gt;"",NOT(ISNUMBER($F201)))),"Fecha no válida"&amp;" · ","")&amp;IF(AND(ISNUMBER($E201),ISNUMBER($F201),$E201&gt;$F201),"Inicio posterior a fecha límite"&amp;" · ","")&amp;IF(AND($S201="Macro",$G201=""),"Peso vacío"&amp;" · ","")&amp;IF(AND($S201="Macro",$G201&lt;&gt;"",OR(NOT(ISNUMBER($G201)),$G201&lt;=0,$G201&gt;1)),"Peso fuera de rango"&amp;" · ","")&amp;IF(AND($S201="Sub",$G201&lt;&gt;""),"Las subactividades no llevan peso"&amp;" · ","")&amp;IF(AND($S201="Macro",ABS(SUMIFS($G$5:$G$1000,$P$5:$P$1000,$P201,$S$5:$S$1000,"Macro")-1)&gt;0.0001),"Pesos del mes suman "&amp;TEXT(SUMIFS($G$5:$G$1000,$P$5:$P$1000,$P201,$S$5:$S$1000,"Macro"),"0%")&amp;" · ","")&amp;IF(AND(N($T201)&gt;0,COUNT($H201:$K201)&gt;0),"Con subactividades: deje vacías las semanas (se calculan solas)"&amp;" · ","")&amp;IF((COUNTIF($H201:$K201,"&gt;1")+COUNTIF($H201:$K201,"&lt;0")+COUNTA($H201:$K201)-COUNT($H201:$K201))&gt;0,"Avance fuera de rango 0-100%"&amp;" · ","")&amp;IF(OR(AND($I201&lt;&gt;"",$I201&lt;$H201),AND($J201&lt;&gt;"",$J201&lt;MAX($H201:$I201)),AND($K201&lt;&gt;"",$K201&lt;MAX($H201:$J201))),"Avance semanal decreciente"&amp;" · ","")&amp;IF(AND(ISNUMBER($F201),$F201&lt;FechaRef,N($L201)&lt;1),"Vencida"&amp;" · ","")&amp;IF(AND(ObsObligatoria="Sí",ISNUMBER($F201),$F201&lt;FechaRef,N($L201)&lt;1,$N201=""),"Vencida sin observación"&amp;" · ",""))-3)))</f>
        <v/>
      </c>
      <c r="P201" s="69">
        <f>IF(NOT((COUNTA($B201:$K201)+COUNTA($N201))&gt;0),"",IF(AND($S201="Sub",N($R201)&gt;0),IF(ISNUMBER(INDEX($E$5:$E$1000,$R201-4)),DATE(YEAR(INDEX($E$5:$E$1000,$R201-4)),MONTH(INDEX($E$5:$E$1000,$R201-4)),1),IF(ISNUMBER(INDEX($F$5:$F$1000,$R201-4)),DATE(YEAR(INDEX($F$5:$F$1000,$R201-4)),MONTH(INDEX($F$5:$F$1000,$R201-4)),1),MesCiclo)),IF(ISNUMBER($E201),DATE(YEAR($E201),MONTH($E201),1),IF(ISNUMBER($F201),DATE(YEAR($F201),MONTH($F201),1),MesCiclo))))</f>
        <v/>
      </c>
      <c r="Q201" s="70">
        <f>IF(OR($P201="",$P201&lt;&gt;MesCiclo),"",COUNTIF($P$5:$P201,MesCiclo))</f>
        <v/>
      </c>
      <c r="R201" s="70">
        <f>IF($S201="","",IF($S201="Macro",ROW(),IFERROR(LOOKUP(2,1/($S$5:$S201="Macro"),ROW($S$5:$S201)),0)))</f>
        <v/>
      </c>
      <c r="S201" s="70">
        <f>IF(NOT((COUNTA($B201:$K201)+COUNTA($N201))&gt;0),"",IF($B201&lt;&gt;"","Macro",IF($C201&lt;&gt;"","Sub","Macro")))</f>
        <v/>
      </c>
      <c r="T201" s="70">
        <f>IF($S201="Macro",COUNTIFS($R$5:$R$1000,ROW(),$S$5:$S$1000,"Sub"),"")</f>
        <v/>
      </c>
      <c r="U201" s="70">
        <f>IF($S201="","",IF(ISNUMBER($H201),$H201,0))</f>
        <v/>
      </c>
      <c r="V201" s="70">
        <f>IF($S201="","",IF(ISNUMBER($I201),$I201,$U201))</f>
        <v/>
      </c>
      <c r="W201" s="70">
        <f>IF($S201="","",IF(ISNUMBER($J201),$J201,$V201))</f>
        <v/>
      </c>
      <c r="X201" s="70">
        <f>IF($S201="","",IF(ISNUMBER($K201),$K201,$W201))</f>
        <v/>
      </c>
      <c r="Y201" s="70">
        <f>IF($S201="","",IF(N($T201)&gt;0,AVERAGEIFS($U$5:$U$1000,$R$5:$R$1000,ROW(),$S$5:$S$1000,"Sub"),$U201))</f>
        <v/>
      </c>
      <c r="Z201" s="70">
        <f>IF($S201="","",IF(N($T201)&gt;0,AVERAGEIFS($V$5:$V$1000,$R$5:$R$1000,ROW(),$S$5:$S$1000,"Sub"),$V201))</f>
        <v/>
      </c>
      <c r="AA201" s="70">
        <f>IF($S201="","",IF(N($T201)&gt;0,AVERAGEIFS($W$5:$W$1000,$R$5:$R$1000,ROW(),$S$5:$S$1000,"Sub"),$W201))</f>
        <v/>
      </c>
      <c r="AB201" s="70">
        <f>IF($S201="","",IF(N($T201)&gt;0,AVERAGEIFS($X$5:$X$1000,$R$5:$R$1000,ROW(),$S$5:$S$1000,"Sub"),$X201))</f>
        <v/>
      </c>
    </row>
    <row r="202">
      <c r="A202" s="61">
        <f>IF(NOT((COUNTA($B202:$K202)+COUNTA($N202))&gt;0),"",IF($S202="Macro",COUNTIFS($S$5:$S202,"Macro",$P$5:$P202,$P202),IF(N($R202)=0,"?",COUNTIFS(INDEX($S$5:$S$1000,1):INDEX($S$5:$S$1000,$R202-4),"Macro",INDEX($P$5:$P$1000,1):INDEX($P$5:$P$1000,$R202-4),INDEX($P$5:$P$1000,$R202-4))&amp;"."&amp;COUNTIFS($R$5:$R202,$R202,$S$5:$S202,"Sub"))))</f>
        <v/>
      </c>
      <c r="B202" s="62" t="n"/>
      <c r="C202" s="63" t="n"/>
      <c r="D202" s="62" t="n"/>
      <c r="E202" s="64" t="n"/>
      <c r="F202" s="64" t="n"/>
      <c r="G202" s="65" t="n"/>
      <c r="H202" s="66" t="n"/>
      <c r="I202" s="66" t="n"/>
      <c r="J202" s="66" t="n"/>
      <c r="K202" s="66" t="n"/>
      <c r="L202" s="67">
        <f>IF(NOT((COUNTA($B202:$K202)+COUNTA($N202))&gt;0),"",IF(N($T202)&gt;0,$AB202,IFERROR(LOOKUP(2,1/(H202:K202&lt;&gt;""),H202:K202),0)))</f>
        <v/>
      </c>
      <c r="M202" s="61">
        <f>IF(L202="","",IF(L202&gt;=1,"Completado",IF(L202&gt;0,"En curso","Pendiente")))</f>
        <v/>
      </c>
      <c r="N202" s="62" t="n"/>
      <c r="O202" s="68">
        <f>IF(NOT((COUNTA($B202:$K202)+COUNTA($N202))&gt;0),"",IF((IF(AND($S202="Macro",$B202=""),"Macroactividad vacía"&amp;" · ","")&amp;IF(AND($B202&lt;&gt;"",$C202&lt;&gt;""),"Escriba la subactividad en otra fila, debajo de su macroactividad"&amp;" · ","")&amp;IF(AND($S202="Sub",N($R202)=0),"Subactividad sin macroactividad arriba"&amp;" · ","")&amp;IF($D202="","Sin responsable"&amp;" · ","")&amp;IF($E202="","Sin fecha de inicio"&amp;" · ","")&amp;IF($F202="","Sin fecha límite"&amp;" · ","")&amp;IF(OR(AND($E202&lt;&gt;"",NOT(ISNUMBER($E202))),AND($F202&lt;&gt;"",NOT(ISNUMBER($F202)))),"Fecha no válida"&amp;" · ","")&amp;IF(AND(ISNUMBER($E202),ISNUMBER($F202),$E202&gt;$F202),"Inicio posterior a fecha límite"&amp;" · ","")&amp;IF(AND($S202="Macro",$G202=""),"Peso vacío"&amp;" · ","")&amp;IF(AND($S202="Macro",$G202&lt;&gt;"",OR(NOT(ISNUMBER($G202)),$G202&lt;=0,$G202&gt;1)),"Peso fuera de rango"&amp;" · ","")&amp;IF(AND($S202="Sub",$G202&lt;&gt;""),"Las subactividades no llevan peso"&amp;" · ","")&amp;IF(AND($S202="Macro",ABS(SUMIFS($G$5:$G$1000,$P$5:$P$1000,$P202,$S$5:$S$1000,"Macro")-1)&gt;0.0001),"Pesos del mes suman "&amp;TEXT(SUMIFS($G$5:$G$1000,$P$5:$P$1000,$P202,$S$5:$S$1000,"Macro"),"0%")&amp;" · ","")&amp;IF(AND(N($T202)&gt;0,COUNT($H202:$K202)&gt;0),"Con subactividades: deje vacías las semanas (se calculan solas)"&amp;" · ","")&amp;IF((COUNTIF($H202:$K202,"&gt;1")+COUNTIF($H202:$K202,"&lt;0")+COUNTA($H202:$K202)-COUNT($H202:$K202))&gt;0,"Avance fuera de rango 0-100%"&amp;" · ","")&amp;IF(OR(AND($I202&lt;&gt;"",$I202&lt;$H202),AND($J202&lt;&gt;"",$J202&lt;MAX($H202:$I202)),AND($K202&lt;&gt;"",$K202&lt;MAX($H202:$J202))),"Avance semanal decreciente"&amp;" · ","")&amp;IF(AND(ISNUMBER($F202),$F202&lt;FechaRef,N($L202)&lt;1),"Vencida"&amp;" · ","")&amp;IF(AND(ObsObligatoria="Sí",ISNUMBER($F202),$F202&lt;FechaRef,N($L202)&lt;1,$N202=""),"Vencida sin observación"&amp;" · ",""))="","✔ OK","⚠ "&amp;LEFT(IF(AND($S202="Macro",$B202=""),"Macroactividad vacía"&amp;" · ","")&amp;IF(AND($B202&lt;&gt;"",$C202&lt;&gt;""),"Escriba la subactividad en otra fila, debajo de su macroactividad"&amp;" · ","")&amp;IF(AND($S202="Sub",N($R202)=0),"Subactividad sin macroactividad arriba"&amp;" · ","")&amp;IF($D202="","Sin responsable"&amp;" · ","")&amp;IF($E202="","Sin fecha de inicio"&amp;" · ","")&amp;IF($F202="","Sin fecha límite"&amp;" · ","")&amp;IF(OR(AND($E202&lt;&gt;"",NOT(ISNUMBER($E202))),AND($F202&lt;&gt;"",NOT(ISNUMBER($F202)))),"Fecha no válida"&amp;" · ","")&amp;IF(AND(ISNUMBER($E202),ISNUMBER($F202),$E202&gt;$F202),"Inicio posterior a fecha límite"&amp;" · ","")&amp;IF(AND($S202="Macro",$G202=""),"Peso vacío"&amp;" · ","")&amp;IF(AND($S202="Macro",$G202&lt;&gt;"",OR(NOT(ISNUMBER($G202)),$G202&lt;=0,$G202&gt;1)),"Peso fuera de rango"&amp;" · ","")&amp;IF(AND($S202="Sub",$G202&lt;&gt;""),"Las subactividades no llevan peso"&amp;" · ","")&amp;IF(AND($S202="Macro",ABS(SUMIFS($G$5:$G$1000,$P$5:$P$1000,$P202,$S$5:$S$1000,"Macro")-1)&gt;0.0001),"Pesos del mes suman "&amp;TEXT(SUMIFS($G$5:$G$1000,$P$5:$P$1000,$P202,$S$5:$S$1000,"Macro"),"0%")&amp;" · ","")&amp;IF(AND(N($T202)&gt;0,COUNT($H202:$K202)&gt;0),"Con subactividades: deje vacías las semanas (se calculan solas)"&amp;" · ","")&amp;IF((COUNTIF($H202:$K202,"&gt;1")+COUNTIF($H202:$K202,"&lt;0")+COUNTA($H202:$K202)-COUNT($H202:$K202))&gt;0,"Avance fuera de rango 0-100%"&amp;" · ","")&amp;IF(OR(AND($I202&lt;&gt;"",$I202&lt;$H202),AND($J202&lt;&gt;"",$J202&lt;MAX($H202:$I202)),AND($K202&lt;&gt;"",$K202&lt;MAX($H202:$J202))),"Avance semanal decreciente"&amp;" · ","")&amp;IF(AND(ISNUMBER($F202),$F202&lt;FechaRef,N($L202)&lt;1),"Vencida"&amp;" · ","")&amp;IF(AND(ObsObligatoria="Sí",ISNUMBER($F202),$F202&lt;FechaRef,N($L202)&lt;1,$N202=""),"Vencida sin observación"&amp;" · ",""),LEN(IF(AND($S202="Macro",$B202=""),"Macroactividad vacía"&amp;" · ","")&amp;IF(AND($B202&lt;&gt;"",$C202&lt;&gt;""),"Escriba la subactividad en otra fila, debajo de su macroactividad"&amp;" · ","")&amp;IF(AND($S202="Sub",N($R202)=0),"Subactividad sin macroactividad arriba"&amp;" · ","")&amp;IF($D202="","Sin responsable"&amp;" · ","")&amp;IF($E202="","Sin fecha de inicio"&amp;" · ","")&amp;IF($F202="","Sin fecha límite"&amp;" · ","")&amp;IF(OR(AND($E202&lt;&gt;"",NOT(ISNUMBER($E202))),AND($F202&lt;&gt;"",NOT(ISNUMBER($F202)))),"Fecha no válida"&amp;" · ","")&amp;IF(AND(ISNUMBER($E202),ISNUMBER($F202),$E202&gt;$F202),"Inicio posterior a fecha límite"&amp;" · ","")&amp;IF(AND($S202="Macro",$G202=""),"Peso vacío"&amp;" · ","")&amp;IF(AND($S202="Macro",$G202&lt;&gt;"",OR(NOT(ISNUMBER($G202)),$G202&lt;=0,$G202&gt;1)),"Peso fuera de rango"&amp;" · ","")&amp;IF(AND($S202="Sub",$G202&lt;&gt;""),"Las subactividades no llevan peso"&amp;" · ","")&amp;IF(AND($S202="Macro",ABS(SUMIFS($G$5:$G$1000,$P$5:$P$1000,$P202,$S$5:$S$1000,"Macro")-1)&gt;0.0001),"Pesos del mes suman "&amp;TEXT(SUMIFS($G$5:$G$1000,$P$5:$P$1000,$P202,$S$5:$S$1000,"Macro"),"0%")&amp;" · ","")&amp;IF(AND(N($T202)&gt;0,COUNT($H202:$K202)&gt;0),"Con subactividades: deje vacías las semanas (se calculan solas)"&amp;" · ","")&amp;IF((COUNTIF($H202:$K202,"&gt;1")+COUNTIF($H202:$K202,"&lt;0")+COUNTA($H202:$K202)-COUNT($H202:$K202))&gt;0,"Avance fuera de rango 0-100%"&amp;" · ","")&amp;IF(OR(AND($I202&lt;&gt;"",$I202&lt;$H202),AND($J202&lt;&gt;"",$J202&lt;MAX($H202:$I202)),AND($K202&lt;&gt;"",$K202&lt;MAX($H202:$J202))),"Avance semanal decreciente"&amp;" · ","")&amp;IF(AND(ISNUMBER($F202),$F202&lt;FechaRef,N($L202)&lt;1),"Vencida"&amp;" · ","")&amp;IF(AND(ObsObligatoria="Sí",ISNUMBER($F202),$F202&lt;FechaRef,N($L202)&lt;1,$N202=""),"Vencida sin observación"&amp;" · ",""))-3)))</f>
        <v/>
      </c>
      <c r="P202" s="69">
        <f>IF(NOT((COUNTA($B202:$K202)+COUNTA($N202))&gt;0),"",IF(AND($S202="Sub",N($R202)&gt;0),IF(ISNUMBER(INDEX($E$5:$E$1000,$R202-4)),DATE(YEAR(INDEX($E$5:$E$1000,$R202-4)),MONTH(INDEX($E$5:$E$1000,$R202-4)),1),IF(ISNUMBER(INDEX($F$5:$F$1000,$R202-4)),DATE(YEAR(INDEX($F$5:$F$1000,$R202-4)),MONTH(INDEX($F$5:$F$1000,$R202-4)),1),MesCiclo)),IF(ISNUMBER($E202),DATE(YEAR($E202),MONTH($E202),1),IF(ISNUMBER($F202),DATE(YEAR($F202),MONTH($F202),1),MesCiclo))))</f>
        <v/>
      </c>
      <c r="Q202" s="70">
        <f>IF(OR($P202="",$P202&lt;&gt;MesCiclo),"",COUNTIF($P$5:$P202,MesCiclo))</f>
        <v/>
      </c>
      <c r="R202" s="70">
        <f>IF($S202="","",IF($S202="Macro",ROW(),IFERROR(LOOKUP(2,1/($S$5:$S202="Macro"),ROW($S$5:$S202)),0)))</f>
        <v/>
      </c>
      <c r="S202" s="70">
        <f>IF(NOT((COUNTA($B202:$K202)+COUNTA($N202))&gt;0),"",IF($B202&lt;&gt;"","Macro",IF($C202&lt;&gt;"","Sub","Macro")))</f>
        <v/>
      </c>
      <c r="T202" s="70">
        <f>IF($S202="Macro",COUNTIFS($R$5:$R$1000,ROW(),$S$5:$S$1000,"Sub"),"")</f>
        <v/>
      </c>
      <c r="U202" s="70">
        <f>IF($S202="","",IF(ISNUMBER($H202),$H202,0))</f>
        <v/>
      </c>
      <c r="V202" s="70">
        <f>IF($S202="","",IF(ISNUMBER($I202),$I202,$U202))</f>
        <v/>
      </c>
      <c r="W202" s="70">
        <f>IF($S202="","",IF(ISNUMBER($J202),$J202,$V202))</f>
        <v/>
      </c>
      <c r="X202" s="70">
        <f>IF($S202="","",IF(ISNUMBER($K202),$K202,$W202))</f>
        <v/>
      </c>
      <c r="Y202" s="70">
        <f>IF($S202="","",IF(N($T202)&gt;0,AVERAGEIFS($U$5:$U$1000,$R$5:$R$1000,ROW(),$S$5:$S$1000,"Sub"),$U202))</f>
        <v/>
      </c>
      <c r="Z202" s="70">
        <f>IF($S202="","",IF(N($T202)&gt;0,AVERAGEIFS($V$5:$V$1000,$R$5:$R$1000,ROW(),$S$5:$S$1000,"Sub"),$V202))</f>
        <v/>
      </c>
      <c r="AA202" s="70">
        <f>IF($S202="","",IF(N($T202)&gt;0,AVERAGEIFS($W$5:$W$1000,$R$5:$R$1000,ROW(),$S$5:$S$1000,"Sub"),$W202))</f>
        <v/>
      </c>
      <c r="AB202" s="70">
        <f>IF($S202="","",IF(N($T202)&gt;0,AVERAGEIFS($X$5:$X$1000,$R$5:$R$1000,ROW(),$S$5:$S$1000,"Sub"),$X202))</f>
        <v/>
      </c>
    </row>
    <row r="203">
      <c r="A203" s="61">
        <f>IF(NOT((COUNTA($B203:$K203)+COUNTA($N203))&gt;0),"",IF($S203="Macro",COUNTIFS($S$5:$S203,"Macro",$P$5:$P203,$P203),IF(N($R203)=0,"?",COUNTIFS(INDEX($S$5:$S$1000,1):INDEX($S$5:$S$1000,$R203-4),"Macro",INDEX($P$5:$P$1000,1):INDEX($P$5:$P$1000,$R203-4),INDEX($P$5:$P$1000,$R203-4))&amp;"."&amp;COUNTIFS($R$5:$R203,$R203,$S$5:$S203,"Sub"))))</f>
        <v/>
      </c>
      <c r="B203" s="62" t="n"/>
      <c r="C203" s="63" t="n"/>
      <c r="D203" s="62" t="n"/>
      <c r="E203" s="64" t="n"/>
      <c r="F203" s="64" t="n"/>
      <c r="G203" s="65" t="n"/>
      <c r="H203" s="66" t="n"/>
      <c r="I203" s="66" t="n"/>
      <c r="J203" s="66" t="n"/>
      <c r="K203" s="66" t="n"/>
      <c r="L203" s="67">
        <f>IF(NOT((COUNTA($B203:$K203)+COUNTA($N203))&gt;0),"",IF(N($T203)&gt;0,$AB203,IFERROR(LOOKUP(2,1/(H203:K203&lt;&gt;""),H203:K203),0)))</f>
        <v/>
      </c>
      <c r="M203" s="61">
        <f>IF(L203="","",IF(L203&gt;=1,"Completado",IF(L203&gt;0,"En curso","Pendiente")))</f>
        <v/>
      </c>
      <c r="N203" s="62" t="n"/>
      <c r="O203" s="68">
        <f>IF(NOT((COUNTA($B203:$K203)+COUNTA($N203))&gt;0),"",IF((IF(AND($S203="Macro",$B203=""),"Macroactividad vacía"&amp;" · ","")&amp;IF(AND($B203&lt;&gt;"",$C203&lt;&gt;""),"Escriba la subactividad en otra fila, debajo de su macroactividad"&amp;" · ","")&amp;IF(AND($S203="Sub",N($R203)=0),"Subactividad sin macroactividad arriba"&amp;" · ","")&amp;IF($D203="","Sin responsable"&amp;" · ","")&amp;IF($E203="","Sin fecha de inicio"&amp;" · ","")&amp;IF($F203="","Sin fecha límite"&amp;" · ","")&amp;IF(OR(AND($E203&lt;&gt;"",NOT(ISNUMBER($E203))),AND($F203&lt;&gt;"",NOT(ISNUMBER($F203)))),"Fecha no válida"&amp;" · ","")&amp;IF(AND(ISNUMBER($E203),ISNUMBER($F203),$E203&gt;$F203),"Inicio posterior a fecha límite"&amp;" · ","")&amp;IF(AND($S203="Macro",$G203=""),"Peso vacío"&amp;" · ","")&amp;IF(AND($S203="Macro",$G203&lt;&gt;"",OR(NOT(ISNUMBER($G203)),$G203&lt;=0,$G203&gt;1)),"Peso fuera de rango"&amp;" · ","")&amp;IF(AND($S203="Sub",$G203&lt;&gt;""),"Las subactividades no llevan peso"&amp;" · ","")&amp;IF(AND($S203="Macro",ABS(SUMIFS($G$5:$G$1000,$P$5:$P$1000,$P203,$S$5:$S$1000,"Macro")-1)&gt;0.0001),"Pesos del mes suman "&amp;TEXT(SUMIFS($G$5:$G$1000,$P$5:$P$1000,$P203,$S$5:$S$1000,"Macro"),"0%")&amp;" · ","")&amp;IF(AND(N($T203)&gt;0,COUNT($H203:$K203)&gt;0),"Con subactividades: deje vacías las semanas (se calculan solas)"&amp;" · ","")&amp;IF((COUNTIF($H203:$K203,"&gt;1")+COUNTIF($H203:$K203,"&lt;0")+COUNTA($H203:$K203)-COUNT($H203:$K203))&gt;0,"Avance fuera de rango 0-100%"&amp;" · ","")&amp;IF(OR(AND($I203&lt;&gt;"",$I203&lt;$H203),AND($J203&lt;&gt;"",$J203&lt;MAX($H203:$I203)),AND($K203&lt;&gt;"",$K203&lt;MAX($H203:$J203))),"Avance semanal decreciente"&amp;" · ","")&amp;IF(AND(ISNUMBER($F203),$F203&lt;FechaRef,N($L203)&lt;1),"Vencida"&amp;" · ","")&amp;IF(AND(ObsObligatoria="Sí",ISNUMBER($F203),$F203&lt;FechaRef,N($L203)&lt;1,$N203=""),"Vencida sin observación"&amp;" · ",""))="","✔ OK","⚠ "&amp;LEFT(IF(AND($S203="Macro",$B203=""),"Macroactividad vacía"&amp;" · ","")&amp;IF(AND($B203&lt;&gt;"",$C203&lt;&gt;""),"Escriba la subactividad en otra fila, debajo de su macroactividad"&amp;" · ","")&amp;IF(AND($S203="Sub",N($R203)=0),"Subactividad sin macroactividad arriba"&amp;" · ","")&amp;IF($D203="","Sin responsable"&amp;" · ","")&amp;IF($E203="","Sin fecha de inicio"&amp;" · ","")&amp;IF($F203="","Sin fecha límite"&amp;" · ","")&amp;IF(OR(AND($E203&lt;&gt;"",NOT(ISNUMBER($E203))),AND($F203&lt;&gt;"",NOT(ISNUMBER($F203)))),"Fecha no válida"&amp;" · ","")&amp;IF(AND(ISNUMBER($E203),ISNUMBER($F203),$E203&gt;$F203),"Inicio posterior a fecha límite"&amp;" · ","")&amp;IF(AND($S203="Macro",$G203=""),"Peso vacío"&amp;" · ","")&amp;IF(AND($S203="Macro",$G203&lt;&gt;"",OR(NOT(ISNUMBER($G203)),$G203&lt;=0,$G203&gt;1)),"Peso fuera de rango"&amp;" · ","")&amp;IF(AND($S203="Sub",$G203&lt;&gt;""),"Las subactividades no llevan peso"&amp;" · ","")&amp;IF(AND($S203="Macro",ABS(SUMIFS($G$5:$G$1000,$P$5:$P$1000,$P203,$S$5:$S$1000,"Macro")-1)&gt;0.0001),"Pesos del mes suman "&amp;TEXT(SUMIFS($G$5:$G$1000,$P$5:$P$1000,$P203,$S$5:$S$1000,"Macro"),"0%")&amp;" · ","")&amp;IF(AND(N($T203)&gt;0,COUNT($H203:$K203)&gt;0),"Con subactividades: deje vacías las semanas (se calculan solas)"&amp;" · ","")&amp;IF((COUNTIF($H203:$K203,"&gt;1")+COUNTIF($H203:$K203,"&lt;0")+COUNTA($H203:$K203)-COUNT($H203:$K203))&gt;0,"Avance fuera de rango 0-100%"&amp;" · ","")&amp;IF(OR(AND($I203&lt;&gt;"",$I203&lt;$H203),AND($J203&lt;&gt;"",$J203&lt;MAX($H203:$I203)),AND($K203&lt;&gt;"",$K203&lt;MAX($H203:$J203))),"Avance semanal decreciente"&amp;" · ","")&amp;IF(AND(ISNUMBER($F203),$F203&lt;FechaRef,N($L203)&lt;1),"Vencida"&amp;" · ","")&amp;IF(AND(ObsObligatoria="Sí",ISNUMBER($F203),$F203&lt;FechaRef,N($L203)&lt;1,$N203=""),"Vencida sin observación"&amp;" · ",""),LEN(IF(AND($S203="Macro",$B203=""),"Macroactividad vacía"&amp;" · ","")&amp;IF(AND($B203&lt;&gt;"",$C203&lt;&gt;""),"Escriba la subactividad en otra fila, debajo de su macroactividad"&amp;" · ","")&amp;IF(AND($S203="Sub",N($R203)=0),"Subactividad sin macroactividad arriba"&amp;" · ","")&amp;IF($D203="","Sin responsable"&amp;" · ","")&amp;IF($E203="","Sin fecha de inicio"&amp;" · ","")&amp;IF($F203="","Sin fecha límite"&amp;" · ","")&amp;IF(OR(AND($E203&lt;&gt;"",NOT(ISNUMBER($E203))),AND($F203&lt;&gt;"",NOT(ISNUMBER($F203)))),"Fecha no válida"&amp;" · ","")&amp;IF(AND(ISNUMBER($E203),ISNUMBER($F203),$E203&gt;$F203),"Inicio posterior a fecha límite"&amp;" · ","")&amp;IF(AND($S203="Macro",$G203=""),"Peso vacío"&amp;" · ","")&amp;IF(AND($S203="Macro",$G203&lt;&gt;"",OR(NOT(ISNUMBER($G203)),$G203&lt;=0,$G203&gt;1)),"Peso fuera de rango"&amp;" · ","")&amp;IF(AND($S203="Sub",$G203&lt;&gt;""),"Las subactividades no llevan peso"&amp;" · ","")&amp;IF(AND($S203="Macro",ABS(SUMIFS($G$5:$G$1000,$P$5:$P$1000,$P203,$S$5:$S$1000,"Macro")-1)&gt;0.0001),"Pesos del mes suman "&amp;TEXT(SUMIFS($G$5:$G$1000,$P$5:$P$1000,$P203,$S$5:$S$1000,"Macro"),"0%")&amp;" · ","")&amp;IF(AND(N($T203)&gt;0,COUNT($H203:$K203)&gt;0),"Con subactividades: deje vacías las semanas (se calculan solas)"&amp;" · ","")&amp;IF((COUNTIF($H203:$K203,"&gt;1")+COUNTIF($H203:$K203,"&lt;0")+COUNTA($H203:$K203)-COUNT($H203:$K203))&gt;0,"Avance fuera de rango 0-100%"&amp;" · ","")&amp;IF(OR(AND($I203&lt;&gt;"",$I203&lt;$H203),AND($J203&lt;&gt;"",$J203&lt;MAX($H203:$I203)),AND($K203&lt;&gt;"",$K203&lt;MAX($H203:$J203))),"Avance semanal decreciente"&amp;" · ","")&amp;IF(AND(ISNUMBER($F203),$F203&lt;FechaRef,N($L203)&lt;1),"Vencida"&amp;" · ","")&amp;IF(AND(ObsObligatoria="Sí",ISNUMBER($F203),$F203&lt;FechaRef,N($L203)&lt;1,$N203=""),"Vencida sin observación"&amp;" · ",""))-3)))</f>
        <v/>
      </c>
      <c r="P203" s="69">
        <f>IF(NOT((COUNTA($B203:$K203)+COUNTA($N203))&gt;0),"",IF(AND($S203="Sub",N($R203)&gt;0),IF(ISNUMBER(INDEX($E$5:$E$1000,$R203-4)),DATE(YEAR(INDEX($E$5:$E$1000,$R203-4)),MONTH(INDEX($E$5:$E$1000,$R203-4)),1),IF(ISNUMBER(INDEX($F$5:$F$1000,$R203-4)),DATE(YEAR(INDEX($F$5:$F$1000,$R203-4)),MONTH(INDEX($F$5:$F$1000,$R203-4)),1),MesCiclo)),IF(ISNUMBER($E203),DATE(YEAR($E203),MONTH($E203),1),IF(ISNUMBER($F203),DATE(YEAR($F203),MONTH($F203),1),MesCiclo))))</f>
        <v/>
      </c>
      <c r="Q203" s="70">
        <f>IF(OR($P203="",$P203&lt;&gt;MesCiclo),"",COUNTIF($P$5:$P203,MesCiclo))</f>
        <v/>
      </c>
      <c r="R203" s="70">
        <f>IF($S203="","",IF($S203="Macro",ROW(),IFERROR(LOOKUP(2,1/($S$5:$S203="Macro"),ROW($S$5:$S203)),0)))</f>
        <v/>
      </c>
      <c r="S203" s="70">
        <f>IF(NOT((COUNTA($B203:$K203)+COUNTA($N203))&gt;0),"",IF($B203&lt;&gt;"","Macro",IF($C203&lt;&gt;"","Sub","Macro")))</f>
        <v/>
      </c>
      <c r="T203" s="70">
        <f>IF($S203="Macro",COUNTIFS($R$5:$R$1000,ROW(),$S$5:$S$1000,"Sub"),"")</f>
        <v/>
      </c>
      <c r="U203" s="70">
        <f>IF($S203="","",IF(ISNUMBER($H203),$H203,0))</f>
        <v/>
      </c>
      <c r="V203" s="70">
        <f>IF($S203="","",IF(ISNUMBER($I203),$I203,$U203))</f>
        <v/>
      </c>
      <c r="W203" s="70">
        <f>IF($S203="","",IF(ISNUMBER($J203),$J203,$V203))</f>
        <v/>
      </c>
      <c r="X203" s="70">
        <f>IF($S203="","",IF(ISNUMBER($K203),$K203,$W203))</f>
        <v/>
      </c>
      <c r="Y203" s="70">
        <f>IF($S203="","",IF(N($T203)&gt;0,AVERAGEIFS($U$5:$U$1000,$R$5:$R$1000,ROW(),$S$5:$S$1000,"Sub"),$U203))</f>
        <v/>
      </c>
      <c r="Z203" s="70">
        <f>IF($S203="","",IF(N($T203)&gt;0,AVERAGEIFS($V$5:$V$1000,$R$5:$R$1000,ROW(),$S$5:$S$1000,"Sub"),$V203))</f>
        <v/>
      </c>
      <c r="AA203" s="70">
        <f>IF($S203="","",IF(N($T203)&gt;0,AVERAGEIFS($W$5:$W$1000,$R$5:$R$1000,ROW(),$S$5:$S$1000,"Sub"),$W203))</f>
        <v/>
      </c>
      <c r="AB203" s="70">
        <f>IF($S203="","",IF(N($T203)&gt;0,AVERAGEIFS($X$5:$X$1000,$R$5:$R$1000,ROW(),$S$5:$S$1000,"Sub"),$X203))</f>
        <v/>
      </c>
    </row>
    <row r="204">
      <c r="A204" s="61">
        <f>IF(NOT((COUNTA($B204:$K204)+COUNTA($N204))&gt;0),"",IF($S204="Macro",COUNTIFS($S$5:$S204,"Macro",$P$5:$P204,$P204),IF(N($R204)=0,"?",COUNTIFS(INDEX($S$5:$S$1000,1):INDEX($S$5:$S$1000,$R204-4),"Macro",INDEX($P$5:$P$1000,1):INDEX($P$5:$P$1000,$R204-4),INDEX($P$5:$P$1000,$R204-4))&amp;"."&amp;COUNTIFS($R$5:$R204,$R204,$S$5:$S204,"Sub"))))</f>
        <v/>
      </c>
      <c r="B204" s="62" t="n"/>
      <c r="C204" s="63" t="n"/>
      <c r="D204" s="62" t="n"/>
      <c r="E204" s="64" t="n"/>
      <c r="F204" s="64" t="n"/>
      <c r="G204" s="65" t="n"/>
      <c r="H204" s="66" t="n"/>
      <c r="I204" s="66" t="n"/>
      <c r="J204" s="66" t="n"/>
      <c r="K204" s="66" t="n"/>
      <c r="L204" s="67">
        <f>IF(NOT((COUNTA($B204:$K204)+COUNTA($N204))&gt;0),"",IF(N($T204)&gt;0,$AB204,IFERROR(LOOKUP(2,1/(H204:K204&lt;&gt;""),H204:K204),0)))</f>
        <v/>
      </c>
      <c r="M204" s="61">
        <f>IF(L204="","",IF(L204&gt;=1,"Completado",IF(L204&gt;0,"En curso","Pendiente")))</f>
        <v/>
      </c>
      <c r="N204" s="62" t="n"/>
      <c r="O204" s="68">
        <f>IF(NOT((COUNTA($B204:$K204)+COUNTA($N204))&gt;0),"",IF((IF(AND($S204="Macro",$B204=""),"Macroactividad vacía"&amp;" · ","")&amp;IF(AND($B204&lt;&gt;"",$C204&lt;&gt;""),"Escriba la subactividad en otra fila, debajo de su macroactividad"&amp;" · ","")&amp;IF(AND($S204="Sub",N($R204)=0),"Subactividad sin macroactividad arriba"&amp;" · ","")&amp;IF($D204="","Sin responsable"&amp;" · ","")&amp;IF($E204="","Sin fecha de inicio"&amp;" · ","")&amp;IF($F204="","Sin fecha límite"&amp;" · ","")&amp;IF(OR(AND($E204&lt;&gt;"",NOT(ISNUMBER($E204))),AND($F204&lt;&gt;"",NOT(ISNUMBER($F204)))),"Fecha no válida"&amp;" · ","")&amp;IF(AND(ISNUMBER($E204),ISNUMBER($F204),$E204&gt;$F204),"Inicio posterior a fecha límite"&amp;" · ","")&amp;IF(AND($S204="Macro",$G204=""),"Peso vacío"&amp;" · ","")&amp;IF(AND($S204="Macro",$G204&lt;&gt;"",OR(NOT(ISNUMBER($G204)),$G204&lt;=0,$G204&gt;1)),"Peso fuera de rango"&amp;" · ","")&amp;IF(AND($S204="Sub",$G204&lt;&gt;""),"Las subactividades no llevan peso"&amp;" · ","")&amp;IF(AND($S204="Macro",ABS(SUMIFS($G$5:$G$1000,$P$5:$P$1000,$P204,$S$5:$S$1000,"Macro")-1)&gt;0.0001),"Pesos del mes suman "&amp;TEXT(SUMIFS($G$5:$G$1000,$P$5:$P$1000,$P204,$S$5:$S$1000,"Macro"),"0%")&amp;" · ","")&amp;IF(AND(N($T204)&gt;0,COUNT($H204:$K204)&gt;0),"Con subactividades: deje vacías las semanas (se calculan solas)"&amp;" · ","")&amp;IF((COUNTIF($H204:$K204,"&gt;1")+COUNTIF($H204:$K204,"&lt;0")+COUNTA($H204:$K204)-COUNT($H204:$K204))&gt;0,"Avance fuera de rango 0-100%"&amp;" · ","")&amp;IF(OR(AND($I204&lt;&gt;"",$I204&lt;$H204),AND($J204&lt;&gt;"",$J204&lt;MAX($H204:$I204)),AND($K204&lt;&gt;"",$K204&lt;MAX($H204:$J204))),"Avance semanal decreciente"&amp;" · ","")&amp;IF(AND(ISNUMBER($F204),$F204&lt;FechaRef,N($L204)&lt;1),"Vencida"&amp;" · ","")&amp;IF(AND(ObsObligatoria="Sí",ISNUMBER($F204),$F204&lt;FechaRef,N($L204)&lt;1,$N204=""),"Vencida sin observación"&amp;" · ",""))="","✔ OK","⚠ "&amp;LEFT(IF(AND($S204="Macro",$B204=""),"Macroactividad vacía"&amp;" · ","")&amp;IF(AND($B204&lt;&gt;"",$C204&lt;&gt;""),"Escriba la subactividad en otra fila, debajo de su macroactividad"&amp;" · ","")&amp;IF(AND($S204="Sub",N($R204)=0),"Subactividad sin macroactividad arriba"&amp;" · ","")&amp;IF($D204="","Sin responsable"&amp;" · ","")&amp;IF($E204="","Sin fecha de inicio"&amp;" · ","")&amp;IF($F204="","Sin fecha límite"&amp;" · ","")&amp;IF(OR(AND($E204&lt;&gt;"",NOT(ISNUMBER($E204))),AND($F204&lt;&gt;"",NOT(ISNUMBER($F204)))),"Fecha no válida"&amp;" · ","")&amp;IF(AND(ISNUMBER($E204),ISNUMBER($F204),$E204&gt;$F204),"Inicio posterior a fecha límite"&amp;" · ","")&amp;IF(AND($S204="Macro",$G204=""),"Peso vacío"&amp;" · ","")&amp;IF(AND($S204="Macro",$G204&lt;&gt;"",OR(NOT(ISNUMBER($G204)),$G204&lt;=0,$G204&gt;1)),"Peso fuera de rango"&amp;" · ","")&amp;IF(AND($S204="Sub",$G204&lt;&gt;""),"Las subactividades no llevan peso"&amp;" · ","")&amp;IF(AND($S204="Macro",ABS(SUMIFS($G$5:$G$1000,$P$5:$P$1000,$P204,$S$5:$S$1000,"Macro")-1)&gt;0.0001),"Pesos del mes suman "&amp;TEXT(SUMIFS($G$5:$G$1000,$P$5:$P$1000,$P204,$S$5:$S$1000,"Macro"),"0%")&amp;" · ","")&amp;IF(AND(N($T204)&gt;0,COUNT($H204:$K204)&gt;0),"Con subactividades: deje vacías las semanas (se calculan solas)"&amp;" · ","")&amp;IF((COUNTIF($H204:$K204,"&gt;1")+COUNTIF($H204:$K204,"&lt;0")+COUNTA($H204:$K204)-COUNT($H204:$K204))&gt;0,"Avance fuera de rango 0-100%"&amp;" · ","")&amp;IF(OR(AND($I204&lt;&gt;"",$I204&lt;$H204),AND($J204&lt;&gt;"",$J204&lt;MAX($H204:$I204)),AND($K204&lt;&gt;"",$K204&lt;MAX($H204:$J204))),"Avance semanal decreciente"&amp;" · ","")&amp;IF(AND(ISNUMBER($F204),$F204&lt;FechaRef,N($L204)&lt;1),"Vencida"&amp;" · ","")&amp;IF(AND(ObsObligatoria="Sí",ISNUMBER($F204),$F204&lt;FechaRef,N($L204)&lt;1,$N204=""),"Vencida sin observación"&amp;" · ",""),LEN(IF(AND($S204="Macro",$B204=""),"Macroactividad vacía"&amp;" · ","")&amp;IF(AND($B204&lt;&gt;"",$C204&lt;&gt;""),"Escriba la subactividad en otra fila, debajo de su macroactividad"&amp;" · ","")&amp;IF(AND($S204="Sub",N($R204)=0),"Subactividad sin macroactividad arriba"&amp;" · ","")&amp;IF($D204="","Sin responsable"&amp;" · ","")&amp;IF($E204="","Sin fecha de inicio"&amp;" · ","")&amp;IF($F204="","Sin fecha límite"&amp;" · ","")&amp;IF(OR(AND($E204&lt;&gt;"",NOT(ISNUMBER($E204))),AND($F204&lt;&gt;"",NOT(ISNUMBER($F204)))),"Fecha no válida"&amp;" · ","")&amp;IF(AND(ISNUMBER($E204),ISNUMBER($F204),$E204&gt;$F204),"Inicio posterior a fecha límite"&amp;" · ","")&amp;IF(AND($S204="Macro",$G204=""),"Peso vacío"&amp;" · ","")&amp;IF(AND($S204="Macro",$G204&lt;&gt;"",OR(NOT(ISNUMBER($G204)),$G204&lt;=0,$G204&gt;1)),"Peso fuera de rango"&amp;" · ","")&amp;IF(AND($S204="Sub",$G204&lt;&gt;""),"Las subactividades no llevan peso"&amp;" · ","")&amp;IF(AND($S204="Macro",ABS(SUMIFS($G$5:$G$1000,$P$5:$P$1000,$P204,$S$5:$S$1000,"Macro")-1)&gt;0.0001),"Pesos del mes suman "&amp;TEXT(SUMIFS($G$5:$G$1000,$P$5:$P$1000,$P204,$S$5:$S$1000,"Macro"),"0%")&amp;" · ","")&amp;IF(AND(N($T204)&gt;0,COUNT($H204:$K204)&gt;0),"Con subactividades: deje vacías las semanas (se calculan solas)"&amp;" · ","")&amp;IF((COUNTIF($H204:$K204,"&gt;1")+COUNTIF($H204:$K204,"&lt;0")+COUNTA($H204:$K204)-COUNT($H204:$K204))&gt;0,"Avance fuera de rango 0-100%"&amp;" · ","")&amp;IF(OR(AND($I204&lt;&gt;"",$I204&lt;$H204),AND($J204&lt;&gt;"",$J204&lt;MAX($H204:$I204)),AND($K204&lt;&gt;"",$K204&lt;MAX($H204:$J204))),"Avance semanal decreciente"&amp;" · ","")&amp;IF(AND(ISNUMBER($F204),$F204&lt;FechaRef,N($L204)&lt;1),"Vencida"&amp;" · ","")&amp;IF(AND(ObsObligatoria="Sí",ISNUMBER($F204),$F204&lt;FechaRef,N($L204)&lt;1,$N204=""),"Vencida sin observación"&amp;" · ",""))-3)))</f>
        <v/>
      </c>
      <c r="P204" s="69">
        <f>IF(NOT((COUNTA($B204:$K204)+COUNTA($N204))&gt;0),"",IF(AND($S204="Sub",N($R204)&gt;0),IF(ISNUMBER(INDEX($E$5:$E$1000,$R204-4)),DATE(YEAR(INDEX($E$5:$E$1000,$R204-4)),MONTH(INDEX($E$5:$E$1000,$R204-4)),1),IF(ISNUMBER(INDEX($F$5:$F$1000,$R204-4)),DATE(YEAR(INDEX($F$5:$F$1000,$R204-4)),MONTH(INDEX($F$5:$F$1000,$R204-4)),1),MesCiclo)),IF(ISNUMBER($E204),DATE(YEAR($E204),MONTH($E204),1),IF(ISNUMBER($F204),DATE(YEAR($F204),MONTH($F204),1),MesCiclo))))</f>
        <v/>
      </c>
      <c r="Q204" s="70">
        <f>IF(OR($P204="",$P204&lt;&gt;MesCiclo),"",COUNTIF($P$5:$P204,MesCiclo))</f>
        <v/>
      </c>
      <c r="R204" s="70">
        <f>IF($S204="","",IF($S204="Macro",ROW(),IFERROR(LOOKUP(2,1/($S$5:$S204="Macro"),ROW($S$5:$S204)),0)))</f>
        <v/>
      </c>
      <c r="S204" s="70">
        <f>IF(NOT((COUNTA($B204:$K204)+COUNTA($N204))&gt;0),"",IF($B204&lt;&gt;"","Macro",IF($C204&lt;&gt;"","Sub","Macro")))</f>
        <v/>
      </c>
      <c r="T204" s="70">
        <f>IF($S204="Macro",COUNTIFS($R$5:$R$1000,ROW(),$S$5:$S$1000,"Sub"),"")</f>
        <v/>
      </c>
      <c r="U204" s="70">
        <f>IF($S204="","",IF(ISNUMBER($H204),$H204,0))</f>
        <v/>
      </c>
      <c r="V204" s="70">
        <f>IF($S204="","",IF(ISNUMBER($I204),$I204,$U204))</f>
        <v/>
      </c>
      <c r="W204" s="70">
        <f>IF($S204="","",IF(ISNUMBER($J204),$J204,$V204))</f>
        <v/>
      </c>
      <c r="X204" s="70">
        <f>IF($S204="","",IF(ISNUMBER($K204),$K204,$W204))</f>
        <v/>
      </c>
      <c r="Y204" s="70">
        <f>IF($S204="","",IF(N($T204)&gt;0,AVERAGEIFS($U$5:$U$1000,$R$5:$R$1000,ROW(),$S$5:$S$1000,"Sub"),$U204))</f>
        <v/>
      </c>
      <c r="Z204" s="70">
        <f>IF($S204="","",IF(N($T204)&gt;0,AVERAGEIFS($V$5:$V$1000,$R$5:$R$1000,ROW(),$S$5:$S$1000,"Sub"),$V204))</f>
        <v/>
      </c>
      <c r="AA204" s="70">
        <f>IF($S204="","",IF(N($T204)&gt;0,AVERAGEIFS($W$5:$W$1000,$R$5:$R$1000,ROW(),$S$5:$S$1000,"Sub"),$W204))</f>
        <v/>
      </c>
      <c r="AB204" s="70">
        <f>IF($S204="","",IF(N($T204)&gt;0,AVERAGEIFS($X$5:$X$1000,$R$5:$R$1000,ROW(),$S$5:$S$1000,"Sub"),$X204))</f>
        <v/>
      </c>
    </row>
    <row r="205">
      <c r="A205" s="61">
        <f>IF(NOT((COUNTA($B205:$K205)+COUNTA($N205))&gt;0),"",IF($S205="Macro",COUNTIFS($S$5:$S205,"Macro",$P$5:$P205,$P205),IF(N($R205)=0,"?",COUNTIFS(INDEX($S$5:$S$1000,1):INDEX($S$5:$S$1000,$R205-4),"Macro",INDEX($P$5:$P$1000,1):INDEX($P$5:$P$1000,$R205-4),INDEX($P$5:$P$1000,$R205-4))&amp;"."&amp;COUNTIFS($R$5:$R205,$R205,$S$5:$S205,"Sub"))))</f>
        <v/>
      </c>
      <c r="B205" s="62" t="n"/>
      <c r="C205" s="63" t="n"/>
      <c r="D205" s="62" t="n"/>
      <c r="E205" s="64" t="n"/>
      <c r="F205" s="64" t="n"/>
      <c r="G205" s="65" t="n"/>
      <c r="H205" s="66" t="n"/>
      <c r="I205" s="66" t="n"/>
      <c r="J205" s="66" t="n"/>
      <c r="K205" s="66" t="n"/>
      <c r="L205" s="67">
        <f>IF(NOT((COUNTA($B205:$K205)+COUNTA($N205))&gt;0),"",IF(N($T205)&gt;0,$AB205,IFERROR(LOOKUP(2,1/(H205:K205&lt;&gt;""),H205:K205),0)))</f>
        <v/>
      </c>
      <c r="M205" s="61">
        <f>IF(L205="","",IF(L205&gt;=1,"Completado",IF(L205&gt;0,"En curso","Pendiente")))</f>
        <v/>
      </c>
      <c r="N205" s="62" t="n"/>
      <c r="O205" s="68">
        <f>IF(NOT((COUNTA($B205:$K205)+COUNTA($N205))&gt;0),"",IF((IF(AND($S205="Macro",$B205=""),"Macroactividad vacía"&amp;" · ","")&amp;IF(AND($B205&lt;&gt;"",$C205&lt;&gt;""),"Escriba la subactividad en otra fila, debajo de su macroactividad"&amp;" · ","")&amp;IF(AND($S205="Sub",N($R205)=0),"Subactividad sin macroactividad arriba"&amp;" · ","")&amp;IF($D205="","Sin responsable"&amp;" · ","")&amp;IF($E205="","Sin fecha de inicio"&amp;" · ","")&amp;IF($F205="","Sin fecha límite"&amp;" · ","")&amp;IF(OR(AND($E205&lt;&gt;"",NOT(ISNUMBER($E205))),AND($F205&lt;&gt;"",NOT(ISNUMBER($F205)))),"Fecha no válida"&amp;" · ","")&amp;IF(AND(ISNUMBER($E205),ISNUMBER($F205),$E205&gt;$F205),"Inicio posterior a fecha límite"&amp;" · ","")&amp;IF(AND($S205="Macro",$G205=""),"Peso vacío"&amp;" · ","")&amp;IF(AND($S205="Macro",$G205&lt;&gt;"",OR(NOT(ISNUMBER($G205)),$G205&lt;=0,$G205&gt;1)),"Peso fuera de rango"&amp;" · ","")&amp;IF(AND($S205="Sub",$G205&lt;&gt;""),"Las subactividades no llevan peso"&amp;" · ","")&amp;IF(AND($S205="Macro",ABS(SUMIFS($G$5:$G$1000,$P$5:$P$1000,$P205,$S$5:$S$1000,"Macro")-1)&gt;0.0001),"Pesos del mes suman "&amp;TEXT(SUMIFS($G$5:$G$1000,$P$5:$P$1000,$P205,$S$5:$S$1000,"Macro"),"0%")&amp;" · ","")&amp;IF(AND(N($T205)&gt;0,COUNT($H205:$K205)&gt;0),"Con subactividades: deje vacías las semanas (se calculan solas)"&amp;" · ","")&amp;IF((COUNTIF($H205:$K205,"&gt;1")+COUNTIF($H205:$K205,"&lt;0")+COUNTA($H205:$K205)-COUNT($H205:$K205))&gt;0,"Avance fuera de rango 0-100%"&amp;" · ","")&amp;IF(OR(AND($I205&lt;&gt;"",$I205&lt;$H205),AND($J205&lt;&gt;"",$J205&lt;MAX($H205:$I205)),AND($K205&lt;&gt;"",$K205&lt;MAX($H205:$J205))),"Avance semanal decreciente"&amp;" · ","")&amp;IF(AND(ISNUMBER($F205),$F205&lt;FechaRef,N($L205)&lt;1),"Vencida"&amp;" · ","")&amp;IF(AND(ObsObligatoria="Sí",ISNUMBER($F205),$F205&lt;FechaRef,N($L205)&lt;1,$N205=""),"Vencida sin observación"&amp;" · ",""))="","✔ OK","⚠ "&amp;LEFT(IF(AND($S205="Macro",$B205=""),"Macroactividad vacía"&amp;" · ","")&amp;IF(AND($B205&lt;&gt;"",$C205&lt;&gt;""),"Escriba la subactividad en otra fila, debajo de su macroactividad"&amp;" · ","")&amp;IF(AND($S205="Sub",N($R205)=0),"Subactividad sin macroactividad arriba"&amp;" · ","")&amp;IF($D205="","Sin responsable"&amp;" · ","")&amp;IF($E205="","Sin fecha de inicio"&amp;" · ","")&amp;IF($F205="","Sin fecha límite"&amp;" · ","")&amp;IF(OR(AND($E205&lt;&gt;"",NOT(ISNUMBER($E205))),AND($F205&lt;&gt;"",NOT(ISNUMBER($F205)))),"Fecha no válida"&amp;" · ","")&amp;IF(AND(ISNUMBER($E205),ISNUMBER($F205),$E205&gt;$F205),"Inicio posterior a fecha límite"&amp;" · ","")&amp;IF(AND($S205="Macro",$G205=""),"Peso vacío"&amp;" · ","")&amp;IF(AND($S205="Macro",$G205&lt;&gt;"",OR(NOT(ISNUMBER($G205)),$G205&lt;=0,$G205&gt;1)),"Peso fuera de rango"&amp;" · ","")&amp;IF(AND($S205="Sub",$G205&lt;&gt;""),"Las subactividades no llevan peso"&amp;" · ","")&amp;IF(AND($S205="Macro",ABS(SUMIFS($G$5:$G$1000,$P$5:$P$1000,$P205,$S$5:$S$1000,"Macro")-1)&gt;0.0001),"Pesos del mes suman "&amp;TEXT(SUMIFS($G$5:$G$1000,$P$5:$P$1000,$P205,$S$5:$S$1000,"Macro"),"0%")&amp;" · ","")&amp;IF(AND(N($T205)&gt;0,COUNT($H205:$K205)&gt;0),"Con subactividades: deje vacías las semanas (se calculan solas)"&amp;" · ","")&amp;IF((COUNTIF($H205:$K205,"&gt;1")+COUNTIF($H205:$K205,"&lt;0")+COUNTA($H205:$K205)-COUNT($H205:$K205))&gt;0,"Avance fuera de rango 0-100%"&amp;" · ","")&amp;IF(OR(AND($I205&lt;&gt;"",$I205&lt;$H205),AND($J205&lt;&gt;"",$J205&lt;MAX($H205:$I205)),AND($K205&lt;&gt;"",$K205&lt;MAX($H205:$J205))),"Avance semanal decreciente"&amp;" · ","")&amp;IF(AND(ISNUMBER($F205),$F205&lt;FechaRef,N($L205)&lt;1),"Vencida"&amp;" · ","")&amp;IF(AND(ObsObligatoria="Sí",ISNUMBER($F205),$F205&lt;FechaRef,N($L205)&lt;1,$N205=""),"Vencida sin observación"&amp;" · ",""),LEN(IF(AND($S205="Macro",$B205=""),"Macroactividad vacía"&amp;" · ","")&amp;IF(AND($B205&lt;&gt;"",$C205&lt;&gt;""),"Escriba la subactividad en otra fila, debajo de su macroactividad"&amp;" · ","")&amp;IF(AND($S205="Sub",N($R205)=0),"Subactividad sin macroactividad arriba"&amp;" · ","")&amp;IF($D205="","Sin responsable"&amp;" · ","")&amp;IF($E205="","Sin fecha de inicio"&amp;" · ","")&amp;IF($F205="","Sin fecha límite"&amp;" · ","")&amp;IF(OR(AND($E205&lt;&gt;"",NOT(ISNUMBER($E205))),AND($F205&lt;&gt;"",NOT(ISNUMBER($F205)))),"Fecha no válida"&amp;" · ","")&amp;IF(AND(ISNUMBER($E205),ISNUMBER($F205),$E205&gt;$F205),"Inicio posterior a fecha límite"&amp;" · ","")&amp;IF(AND($S205="Macro",$G205=""),"Peso vacío"&amp;" · ","")&amp;IF(AND($S205="Macro",$G205&lt;&gt;"",OR(NOT(ISNUMBER($G205)),$G205&lt;=0,$G205&gt;1)),"Peso fuera de rango"&amp;" · ","")&amp;IF(AND($S205="Sub",$G205&lt;&gt;""),"Las subactividades no llevan peso"&amp;" · ","")&amp;IF(AND($S205="Macro",ABS(SUMIFS($G$5:$G$1000,$P$5:$P$1000,$P205,$S$5:$S$1000,"Macro")-1)&gt;0.0001),"Pesos del mes suman "&amp;TEXT(SUMIFS($G$5:$G$1000,$P$5:$P$1000,$P205,$S$5:$S$1000,"Macro"),"0%")&amp;" · ","")&amp;IF(AND(N($T205)&gt;0,COUNT($H205:$K205)&gt;0),"Con subactividades: deje vacías las semanas (se calculan solas)"&amp;" · ","")&amp;IF((COUNTIF($H205:$K205,"&gt;1")+COUNTIF($H205:$K205,"&lt;0")+COUNTA($H205:$K205)-COUNT($H205:$K205))&gt;0,"Avance fuera de rango 0-100%"&amp;" · ","")&amp;IF(OR(AND($I205&lt;&gt;"",$I205&lt;$H205),AND($J205&lt;&gt;"",$J205&lt;MAX($H205:$I205)),AND($K205&lt;&gt;"",$K205&lt;MAX($H205:$J205))),"Avance semanal decreciente"&amp;" · ","")&amp;IF(AND(ISNUMBER($F205),$F205&lt;FechaRef,N($L205)&lt;1),"Vencida"&amp;" · ","")&amp;IF(AND(ObsObligatoria="Sí",ISNUMBER($F205),$F205&lt;FechaRef,N($L205)&lt;1,$N205=""),"Vencida sin observación"&amp;" · ",""))-3)))</f>
        <v/>
      </c>
      <c r="P205" s="69">
        <f>IF(NOT((COUNTA($B205:$K205)+COUNTA($N205))&gt;0),"",IF(AND($S205="Sub",N($R205)&gt;0),IF(ISNUMBER(INDEX($E$5:$E$1000,$R205-4)),DATE(YEAR(INDEX($E$5:$E$1000,$R205-4)),MONTH(INDEX($E$5:$E$1000,$R205-4)),1),IF(ISNUMBER(INDEX($F$5:$F$1000,$R205-4)),DATE(YEAR(INDEX($F$5:$F$1000,$R205-4)),MONTH(INDEX($F$5:$F$1000,$R205-4)),1),MesCiclo)),IF(ISNUMBER($E205),DATE(YEAR($E205),MONTH($E205),1),IF(ISNUMBER($F205),DATE(YEAR($F205),MONTH($F205),1),MesCiclo))))</f>
        <v/>
      </c>
      <c r="Q205" s="70">
        <f>IF(OR($P205="",$P205&lt;&gt;MesCiclo),"",COUNTIF($P$5:$P205,MesCiclo))</f>
        <v/>
      </c>
      <c r="R205" s="70">
        <f>IF($S205="","",IF($S205="Macro",ROW(),IFERROR(LOOKUP(2,1/($S$5:$S205="Macro"),ROW($S$5:$S205)),0)))</f>
        <v/>
      </c>
      <c r="S205" s="70">
        <f>IF(NOT((COUNTA($B205:$K205)+COUNTA($N205))&gt;0),"",IF($B205&lt;&gt;"","Macro",IF($C205&lt;&gt;"","Sub","Macro")))</f>
        <v/>
      </c>
      <c r="T205" s="70">
        <f>IF($S205="Macro",COUNTIFS($R$5:$R$1000,ROW(),$S$5:$S$1000,"Sub"),"")</f>
        <v/>
      </c>
      <c r="U205" s="70">
        <f>IF($S205="","",IF(ISNUMBER($H205),$H205,0))</f>
        <v/>
      </c>
      <c r="V205" s="70">
        <f>IF($S205="","",IF(ISNUMBER($I205),$I205,$U205))</f>
        <v/>
      </c>
      <c r="W205" s="70">
        <f>IF($S205="","",IF(ISNUMBER($J205),$J205,$V205))</f>
        <v/>
      </c>
      <c r="X205" s="70">
        <f>IF($S205="","",IF(ISNUMBER($K205),$K205,$W205))</f>
        <v/>
      </c>
      <c r="Y205" s="70">
        <f>IF($S205="","",IF(N($T205)&gt;0,AVERAGEIFS($U$5:$U$1000,$R$5:$R$1000,ROW(),$S$5:$S$1000,"Sub"),$U205))</f>
        <v/>
      </c>
      <c r="Z205" s="70">
        <f>IF($S205="","",IF(N($T205)&gt;0,AVERAGEIFS($V$5:$V$1000,$R$5:$R$1000,ROW(),$S$5:$S$1000,"Sub"),$V205))</f>
        <v/>
      </c>
      <c r="AA205" s="70">
        <f>IF($S205="","",IF(N($T205)&gt;0,AVERAGEIFS($W$5:$W$1000,$R$5:$R$1000,ROW(),$S$5:$S$1000,"Sub"),$W205))</f>
        <v/>
      </c>
      <c r="AB205" s="70">
        <f>IF($S205="","",IF(N($T205)&gt;0,AVERAGEIFS($X$5:$X$1000,$R$5:$R$1000,ROW(),$S$5:$S$1000,"Sub"),$X205))</f>
        <v/>
      </c>
    </row>
    <row r="206">
      <c r="A206" s="61">
        <f>IF(NOT((COUNTA($B206:$K206)+COUNTA($N206))&gt;0),"",IF($S206="Macro",COUNTIFS($S$5:$S206,"Macro",$P$5:$P206,$P206),IF(N($R206)=0,"?",COUNTIFS(INDEX($S$5:$S$1000,1):INDEX($S$5:$S$1000,$R206-4),"Macro",INDEX($P$5:$P$1000,1):INDEX($P$5:$P$1000,$R206-4),INDEX($P$5:$P$1000,$R206-4))&amp;"."&amp;COUNTIFS($R$5:$R206,$R206,$S$5:$S206,"Sub"))))</f>
        <v/>
      </c>
      <c r="B206" s="62" t="n"/>
      <c r="C206" s="63" t="n"/>
      <c r="D206" s="62" t="n"/>
      <c r="E206" s="64" t="n"/>
      <c r="F206" s="64" t="n"/>
      <c r="G206" s="65" t="n"/>
      <c r="H206" s="66" t="n"/>
      <c r="I206" s="66" t="n"/>
      <c r="J206" s="66" t="n"/>
      <c r="K206" s="66" t="n"/>
      <c r="L206" s="67">
        <f>IF(NOT((COUNTA($B206:$K206)+COUNTA($N206))&gt;0),"",IF(N($T206)&gt;0,$AB206,IFERROR(LOOKUP(2,1/(H206:K206&lt;&gt;""),H206:K206),0)))</f>
        <v/>
      </c>
      <c r="M206" s="61">
        <f>IF(L206="","",IF(L206&gt;=1,"Completado",IF(L206&gt;0,"En curso","Pendiente")))</f>
        <v/>
      </c>
      <c r="N206" s="62" t="n"/>
      <c r="O206" s="68">
        <f>IF(NOT((COUNTA($B206:$K206)+COUNTA($N206))&gt;0),"",IF((IF(AND($S206="Macro",$B206=""),"Macroactividad vacía"&amp;" · ","")&amp;IF(AND($B206&lt;&gt;"",$C206&lt;&gt;""),"Escriba la subactividad en otra fila, debajo de su macroactividad"&amp;" · ","")&amp;IF(AND($S206="Sub",N($R206)=0),"Subactividad sin macroactividad arriba"&amp;" · ","")&amp;IF($D206="","Sin responsable"&amp;" · ","")&amp;IF($E206="","Sin fecha de inicio"&amp;" · ","")&amp;IF($F206="","Sin fecha límite"&amp;" · ","")&amp;IF(OR(AND($E206&lt;&gt;"",NOT(ISNUMBER($E206))),AND($F206&lt;&gt;"",NOT(ISNUMBER($F206)))),"Fecha no válida"&amp;" · ","")&amp;IF(AND(ISNUMBER($E206),ISNUMBER($F206),$E206&gt;$F206),"Inicio posterior a fecha límite"&amp;" · ","")&amp;IF(AND($S206="Macro",$G206=""),"Peso vacío"&amp;" · ","")&amp;IF(AND($S206="Macro",$G206&lt;&gt;"",OR(NOT(ISNUMBER($G206)),$G206&lt;=0,$G206&gt;1)),"Peso fuera de rango"&amp;" · ","")&amp;IF(AND($S206="Sub",$G206&lt;&gt;""),"Las subactividades no llevan peso"&amp;" · ","")&amp;IF(AND($S206="Macro",ABS(SUMIFS($G$5:$G$1000,$P$5:$P$1000,$P206,$S$5:$S$1000,"Macro")-1)&gt;0.0001),"Pesos del mes suman "&amp;TEXT(SUMIFS($G$5:$G$1000,$P$5:$P$1000,$P206,$S$5:$S$1000,"Macro"),"0%")&amp;" · ","")&amp;IF(AND(N($T206)&gt;0,COUNT($H206:$K206)&gt;0),"Con subactividades: deje vacías las semanas (se calculan solas)"&amp;" · ","")&amp;IF((COUNTIF($H206:$K206,"&gt;1")+COUNTIF($H206:$K206,"&lt;0")+COUNTA($H206:$K206)-COUNT($H206:$K206))&gt;0,"Avance fuera de rango 0-100%"&amp;" · ","")&amp;IF(OR(AND($I206&lt;&gt;"",$I206&lt;$H206),AND($J206&lt;&gt;"",$J206&lt;MAX($H206:$I206)),AND($K206&lt;&gt;"",$K206&lt;MAX($H206:$J206))),"Avance semanal decreciente"&amp;" · ","")&amp;IF(AND(ISNUMBER($F206),$F206&lt;FechaRef,N($L206)&lt;1),"Vencida"&amp;" · ","")&amp;IF(AND(ObsObligatoria="Sí",ISNUMBER($F206),$F206&lt;FechaRef,N($L206)&lt;1,$N206=""),"Vencida sin observación"&amp;" · ",""))="","✔ OK","⚠ "&amp;LEFT(IF(AND($S206="Macro",$B206=""),"Macroactividad vacía"&amp;" · ","")&amp;IF(AND($B206&lt;&gt;"",$C206&lt;&gt;""),"Escriba la subactividad en otra fila, debajo de su macroactividad"&amp;" · ","")&amp;IF(AND($S206="Sub",N($R206)=0),"Subactividad sin macroactividad arriba"&amp;" · ","")&amp;IF($D206="","Sin responsable"&amp;" · ","")&amp;IF($E206="","Sin fecha de inicio"&amp;" · ","")&amp;IF($F206="","Sin fecha límite"&amp;" · ","")&amp;IF(OR(AND($E206&lt;&gt;"",NOT(ISNUMBER($E206))),AND($F206&lt;&gt;"",NOT(ISNUMBER($F206)))),"Fecha no válida"&amp;" · ","")&amp;IF(AND(ISNUMBER($E206),ISNUMBER($F206),$E206&gt;$F206),"Inicio posterior a fecha límite"&amp;" · ","")&amp;IF(AND($S206="Macro",$G206=""),"Peso vacío"&amp;" · ","")&amp;IF(AND($S206="Macro",$G206&lt;&gt;"",OR(NOT(ISNUMBER($G206)),$G206&lt;=0,$G206&gt;1)),"Peso fuera de rango"&amp;" · ","")&amp;IF(AND($S206="Sub",$G206&lt;&gt;""),"Las subactividades no llevan peso"&amp;" · ","")&amp;IF(AND($S206="Macro",ABS(SUMIFS($G$5:$G$1000,$P$5:$P$1000,$P206,$S$5:$S$1000,"Macro")-1)&gt;0.0001),"Pesos del mes suman "&amp;TEXT(SUMIFS($G$5:$G$1000,$P$5:$P$1000,$P206,$S$5:$S$1000,"Macro"),"0%")&amp;" · ","")&amp;IF(AND(N($T206)&gt;0,COUNT($H206:$K206)&gt;0),"Con subactividades: deje vacías las semanas (se calculan solas)"&amp;" · ","")&amp;IF((COUNTIF($H206:$K206,"&gt;1")+COUNTIF($H206:$K206,"&lt;0")+COUNTA($H206:$K206)-COUNT($H206:$K206))&gt;0,"Avance fuera de rango 0-100%"&amp;" · ","")&amp;IF(OR(AND($I206&lt;&gt;"",$I206&lt;$H206),AND($J206&lt;&gt;"",$J206&lt;MAX($H206:$I206)),AND($K206&lt;&gt;"",$K206&lt;MAX($H206:$J206))),"Avance semanal decreciente"&amp;" · ","")&amp;IF(AND(ISNUMBER($F206),$F206&lt;FechaRef,N($L206)&lt;1),"Vencida"&amp;" · ","")&amp;IF(AND(ObsObligatoria="Sí",ISNUMBER($F206),$F206&lt;FechaRef,N($L206)&lt;1,$N206=""),"Vencida sin observación"&amp;" · ",""),LEN(IF(AND($S206="Macro",$B206=""),"Macroactividad vacía"&amp;" · ","")&amp;IF(AND($B206&lt;&gt;"",$C206&lt;&gt;""),"Escriba la subactividad en otra fila, debajo de su macroactividad"&amp;" · ","")&amp;IF(AND($S206="Sub",N($R206)=0),"Subactividad sin macroactividad arriba"&amp;" · ","")&amp;IF($D206="","Sin responsable"&amp;" · ","")&amp;IF($E206="","Sin fecha de inicio"&amp;" · ","")&amp;IF($F206="","Sin fecha límite"&amp;" · ","")&amp;IF(OR(AND($E206&lt;&gt;"",NOT(ISNUMBER($E206))),AND($F206&lt;&gt;"",NOT(ISNUMBER($F206)))),"Fecha no válida"&amp;" · ","")&amp;IF(AND(ISNUMBER($E206),ISNUMBER($F206),$E206&gt;$F206),"Inicio posterior a fecha límite"&amp;" · ","")&amp;IF(AND($S206="Macro",$G206=""),"Peso vacío"&amp;" · ","")&amp;IF(AND($S206="Macro",$G206&lt;&gt;"",OR(NOT(ISNUMBER($G206)),$G206&lt;=0,$G206&gt;1)),"Peso fuera de rango"&amp;" · ","")&amp;IF(AND($S206="Sub",$G206&lt;&gt;""),"Las subactividades no llevan peso"&amp;" · ","")&amp;IF(AND($S206="Macro",ABS(SUMIFS($G$5:$G$1000,$P$5:$P$1000,$P206,$S$5:$S$1000,"Macro")-1)&gt;0.0001),"Pesos del mes suman "&amp;TEXT(SUMIFS($G$5:$G$1000,$P$5:$P$1000,$P206,$S$5:$S$1000,"Macro"),"0%")&amp;" · ","")&amp;IF(AND(N($T206)&gt;0,COUNT($H206:$K206)&gt;0),"Con subactividades: deje vacías las semanas (se calculan solas)"&amp;" · ","")&amp;IF((COUNTIF($H206:$K206,"&gt;1")+COUNTIF($H206:$K206,"&lt;0")+COUNTA($H206:$K206)-COUNT($H206:$K206))&gt;0,"Avance fuera de rango 0-100%"&amp;" · ","")&amp;IF(OR(AND($I206&lt;&gt;"",$I206&lt;$H206),AND($J206&lt;&gt;"",$J206&lt;MAX($H206:$I206)),AND($K206&lt;&gt;"",$K206&lt;MAX($H206:$J206))),"Avance semanal decreciente"&amp;" · ","")&amp;IF(AND(ISNUMBER($F206),$F206&lt;FechaRef,N($L206)&lt;1),"Vencida"&amp;" · ","")&amp;IF(AND(ObsObligatoria="Sí",ISNUMBER($F206),$F206&lt;FechaRef,N($L206)&lt;1,$N206=""),"Vencida sin observación"&amp;" · ",""))-3)))</f>
        <v/>
      </c>
      <c r="P206" s="69">
        <f>IF(NOT((COUNTA($B206:$K206)+COUNTA($N206))&gt;0),"",IF(AND($S206="Sub",N($R206)&gt;0),IF(ISNUMBER(INDEX($E$5:$E$1000,$R206-4)),DATE(YEAR(INDEX($E$5:$E$1000,$R206-4)),MONTH(INDEX($E$5:$E$1000,$R206-4)),1),IF(ISNUMBER(INDEX($F$5:$F$1000,$R206-4)),DATE(YEAR(INDEX($F$5:$F$1000,$R206-4)),MONTH(INDEX($F$5:$F$1000,$R206-4)),1),MesCiclo)),IF(ISNUMBER($E206),DATE(YEAR($E206),MONTH($E206),1),IF(ISNUMBER($F206),DATE(YEAR($F206),MONTH($F206),1),MesCiclo))))</f>
        <v/>
      </c>
      <c r="Q206" s="70">
        <f>IF(OR($P206="",$P206&lt;&gt;MesCiclo),"",COUNTIF($P$5:$P206,MesCiclo))</f>
        <v/>
      </c>
      <c r="R206" s="70">
        <f>IF($S206="","",IF($S206="Macro",ROW(),IFERROR(LOOKUP(2,1/($S$5:$S206="Macro"),ROW($S$5:$S206)),0)))</f>
        <v/>
      </c>
      <c r="S206" s="70">
        <f>IF(NOT((COUNTA($B206:$K206)+COUNTA($N206))&gt;0),"",IF($B206&lt;&gt;"","Macro",IF($C206&lt;&gt;"","Sub","Macro")))</f>
        <v/>
      </c>
      <c r="T206" s="70">
        <f>IF($S206="Macro",COUNTIFS($R$5:$R$1000,ROW(),$S$5:$S$1000,"Sub"),"")</f>
        <v/>
      </c>
      <c r="U206" s="70">
        <f>IF($S206="","",IF(ISNUMBER($H206),$H206,0))</f>
        <v/>
      </c>
      <c r="V206" s="70">
        <f>IF($S206="","",IF(ISNUMBER($I206),$I206,$U206))</f>
        <v/>
      </c>
      <c r="W206" s="70">
        <f>IF($S206="","",IF(ISNUMBER($J206),$J206,$V206))</f>
        <v/>
      </c>
      <c r="X206" s="70">
        <f>IF($S206="","",IF(ISNUMBER($K206),$K206,$W206))</f>
        <v/>
      </c>
      <c r="Y206" s="70">
        <f>IF($S206="","",IF(N($T206)&gt;0,AVERAGEIFS($U$5:$U$1000,$R$5:$R$1000,ROW(),$S$5:$S$1000,"Sub"),$U206))</f>
        <v/>
      </c>
      <c r="Z206" s="70">
        <f>IF($S206="","",IF(N($T206)&gt;0,AVERAGEIFS($V$5:$V$1000,$R$5:$R$1000,ROW(),$S$5:$S$1000,"Sub"),$V206))</f>
        <v/>
      </c>
      <c r="AA206" s="70">
        <f>IF($S206="","",IF(N($T206)&gt;0,AVERAGEIFS($W$5:$W$1000,$R$5:$R$1000,ROW(),$S$5:$S$1000,"Sub"),$W206))</f>
        <v/>
      </c>
      <c r="AB206" s="70">
        <f>IF($S206="","",IF(N($T206)&gt;0,AVERAGEIFS($X$5:$X$1000,$R$5:$R$1000,ROW(),$S$5:$S$1000,"Sub"),$X206))</f>
        <v/>
      </c>
    </row>
    <row r="207">
      <c r="A207" s="61">
        <f>IF(NOT((COUNTA($B207:$K207)+COUNTA($N207))&gt;0),"",IF($S207="Macro",COUNTIFS($S$5:$S207,"Macro",$P$5:$P207,$P207),IF(N($R207)=0,"?",COUNTIFS(INDEX($S$5:$S$1000,1):INDEX($S$5:$S$1000,$R207-4),"Macro",INDEX($P$5:$P$1000,1):INDEX($P$5:$P$1000,$R207-4),INDEX($P$5:$P$1000,$R207-4))&amp;"."&amp;COUNTIFS($R$5:$R207,$R207,$S$5:$S207,"Sub"))))</f>
        <v/>
      </c>
      <c r="B207" s="62" t="n"/>
      <c r="C207" s="63" t="n"/>
      <c r="D207" s="62" t="n"/>
      <c r="E207" s="64" t="n"/>
      <c r="F207" s="64" t="n"/>
      <c r="G207" s="65" t="n"/>
      <c r="H207" s="66" t="n"/>
      <c r="I207" s="66" t="n"/>
      <c r="J207" s="66" t="n"/>
      <c r="K207" s="66" t="n"/>
      <c r="L207" s="67">
        <f>IF(NOT((COUNTA($B207:$K207)+COUNTA($N207))&gt;0),"",IF(N($T207)&gt;0,$AB207,IFERROR(LOOKUP(2,1/(H207:K207&lt;&gt;""),H207:K207),0)))</f>
        <v/>
      </c>
      <c r="M207" s="61">
        <f>IF(L207="","",IF(L207&gt;=1,"Completado",IF(L207&gt;0,"En curso","Pendiente")))</f>
        <v/>
      </c>
      <c r="N207" s="62" t="n"/>
      <c r="O207" s="68">
        <f>IF(NOT((COUNTA($B207:$K207)+COUNTA($N207))&gt;0),"",IF((IF(AND($S207="Macro",$B207=""),"Macroactividad vacía"&amp;" · ","")&amp;IF(AND($B207&lt;&gt;"",$C207&lt;&gt;""),"Escriba la subactividad en otra fila, debajo de su macroactividad"&amp;" · ","")&amp;IF(AND($S207="Sub",N($R207)=0),"Subactividad sin macroactividad arriba"&amp;" · ","")&amp;IF($D207="","Sin responsable"&amp;" · ","")&amp;IF($E207="","Sin fecha de inicio"&amp;" · ","")&amp;IF($F207="","Sin fecha límite"&amp;" · ","")&amp;IF(OR(AND($E207&lt;&gt;"",NOT(ISNUMBER($E207))),AND($F207&lt;&gt;"",NOT(ISNUMBER($F207)))),"Fecha no válida"&amp;" · ","")&amp;IF(AND(ISNUMBER($E207),ISNUMBER($F207),$E207&gt;$F207),"Inicio posterior a fecha límite"&amp;" · ","")&amp;IF(AND($S207="Macro",$G207=""),"Peso vacío"&amp;" · ","")&amp;IF(AND($S207="Macro",$G207&lt;&gt;"",OR(NOT(ISNUMBER($G207)),$G207&lt;=0,$G207&gt;1)),"Peso fuera de rango"&amp;" · ","")&amp;IF(AND($S207="Sub",$G207&lt;&gt;""),"Las subactividades no llevan peso"&amp;" · ","")&amp;IF(AND($S207="Macro",ABS(SUMIFS($G$5:$G$1000,$P$5:$P$1000,$P207,$S$5:$S$1000,"Macro")-1)&gt;0.0001),"Pesos del mes suman "&amp;TEXT(SUMIFS($G$5:$G$1000,$P$5:$P$1000,$P207,$S$5:$S$1000,"Macro"),"0%")&amp;" · ","")&amp;IF(AND(N($T207)&gt;0,COUNT($H207:$K207)&gt;0),"Con subactividades: deje vacías las semanas (se calculan solas)"&amp;" · ","")&amp;IF((COUNTIF($H207:$K207,"&gt;1")+COUNTIF($H207:$K207,"&lt;0")+COUNTA($H207:$K207)-COUNT($H207:$K207))&gt;0,"Avance fuera de rango 0-100%"&amp;" · ","")&amp;IF(OR(AND($I207&lt;&gt;"",$I207&lt;$H207),AND($J207&lt;&gt;"",$J207&lt;MAX($H207:$I207)),AND($K207&lt;&gt;"",$K207&lt;MAX($H207:$J207))),"Avance semanal decreciente"&amp;" · ","")&amp;IF(AND(ISNUMBER($F207),$F207&lt;FechaRef,N($L207)&lt;1),"Vencida"&amp;" · ","")&amp;IF(AND(ObsObligatoria="Sí",ISNUMBER($F207),$F207&lt;FechaRef,N($L207)&lt;1,$N207=""),"Vencida sin observación"&amp;" · ",""))="","✔ OK","⚠ "&amp;LEFT(IF(AND($S207="Macro",$B207=""),"Macroactividad vacía"&amp;" · ","")&amp;IF(AND($B207&lt;&gt;"",$C207&lt;&gt;""),"Escriba la subactividad en otra fila, debajo de su macroactividad"&amp;" · ","")&amp;IF(AND($S207="Sub",N($R207)=0),"Subactividad sin macroactividad arriba"&amp;" · ","")&amp;IF($D207="","Sin responsable"&amp;" · ","")&amp;IF($E207="","Sin fecha de inicio"&amp;" · ","")&amp;IF($F207="","Sin fecha límite"&amp;" · ","")&amp;IF(OR(AND($E207&lt;&gt;"",NOT(ISNUMBER($E207))),AND($F207&lt;&gt;"",NOT(ISNUMBER($F207)))),"Fecha no válida"&amp;" · ","")&amp;IF(AND(ISNUMBER($E207),ISNUMBER($F207),$E207&gt;$F207),"Inicio posterior a fecha límite"&amp;" · ","")&amp;IF(AND($S207="Macro",$G207=""),"Peso vacío"&amp;" · ","")&amp;IF(AND($S207="Macro",$G207&lt;&gt;"",OR(NOT(ISNUMBER($G207)),$G207&lt;=0,$G207&gt;1)),"Peso fuera de rango"&amp;" · ","")&amp;IF(AND($S207="Sub",$G207&lt;&gt;""),"Las subactividades no llevan peso"&amp;" · ","")&amp;IF(AND($S207="Macro",ABS(SUMIFS($G$5:$G$1000,$P$5:$P$1000,$P207,$S$5:$S$1000,"Macro")-1)&gt;0.0001),"Pesos del mes suman "&amp;TEXT(SUMIFS($G$5:$G$1000,$P$5:$P$1000,$P207,$S$5:$S$1000,"Macro"),"0%")&amp;" · ","")&amp;IF(AND(N($T207)&gt;0,COUNT($H207:$K207)&gt;0),"Con subactividades: deje vacías las semanas (se calculan solas)"&amp;" · ","")&amp;IF((COUNTIF($H207:$K207,"&gt;1")+COUNTIF($H207:$K207,"&lt;0")+COUNTA($H207:$K207)-COUNT($H207:$K207))&gt;0,"Avance fuera de rango 0-100%"&amp;" · ","")&amp;IF(OR(AND($I207&lt;&gt;"",$I207&lt;$H207),AND($J207&lt;&gt;"",$J207&lt;MAX($H207:$I207)),AND($K207&lt;&gt;"",$K207&lt;MAX($H207:$J207))),"Avance semanal decreciente"&amp;" · ","")&amp;IF(AND(ISNUMBER($F207),$F207&lt;FechaRef,N($L207)&lt;1),"Vencida"&amp;" · ","")&amp;IF(AND(ObsObligatoria="Sí",ISNUMBER($F207),$F207&lt;FechaRef,N($L207)&lt;1,$N207=""),"Vencida sin observación"&amp;" · ",""),LEN(IF(AND($S207="Macro",$B207=""),"Macroactividad vacía"&amp;" · ","")&amp;IF(AND($B207&lt;&gt;"",$C207&lt;&gt;""),"Escriba la subactividad en otra fila, debajo de su macroactividad"&amp;" · ","")&amp;IF(AND($S207="Sub",N($R207)=0),"Subactividad sin macroactividad arriba"&amp;" · ","")&amp;IF($D207="","Sin responsable"&amp;" · ","")&amp;IF($E207="","Sin fecha de inicio"&amp;" · ","")&amp;IF($F207="","Sin fecha límite"&amp;" · ","")&amp;IF(OR(AND($E207&lt;&gt;"",NOT(ISNUMBER($E207))),AND($F207&lt;&gt;"",NOT(ISNUMBER($F207)))),"Fecha no válida"&amp;" · ","")&amp;IF(AND(ISNUMBER($E207),ISNUMBER($F207),$E207&gt;$F207),"Inicio posterior a fecha límite"&amp;" · ","")&amp;IF(AND($S207="Macro",$G207=""),"Peso vacío"&amp;" · ","")&amp;IF(AND($S207="Macro",$G207&lt;&gt;"",OR(NOT(ISNUMBER($G207)),$G207&lt;=0,$G207&gt;1)),"Peso fuera de rango"&amp;" · ","")&amp;IF(AND($S207="Sub",$G207&lt;&gt;""),"Las subactividades no llevan peso"&amp;" · ","")&amp;IF(AND($S207="Macro",ABS(SUMIFS($G$5:$G$1000,$P$5:$P$1000,$P207,$S$5:$S$1000,"Macro")-1)&gt;0.0001),"Pesos del mes suman "&amp;TEXT(SUMIFS($G$5:$G$1000,$P$5:$P$1000,$P207,$S$5:$S$1000,"Macro"),"0%")&amp;" · ","")&amp;IF(AND(N($T207)&gt;0,COUNT($H207:$K207)&gt;0),"Con subactividades: deje vacías las semanas (se calculan solas)"&amp;" · ","")&amp;IF((COUNTIF($H207:$K207,"&gt;1")+COUNTIF($H207:$K207,"&lt;0")+COUNTA($H207:$K207)-COUNT($H207:$K207))&gt;0,"Avance fuera de rango 0-100%"&amp;" · ","")&amp;IF(OR(AND($I207&lt;&gt;"",$I207&lt;$H207),AND($J207&lt;&gt;"",$J207&lt;MAX($H207:$I207)),AND($K207&lt;&gt;"",$K207&lt;MAX($H207:$J207))),"Avance semanal decreciente"&amp;" · ","")&amp;IF(AND(ISNUMBER($F207),$F207&lt;FechaRef,N($L207)&lt;1),"Vencida"&amp;" · ","")&amp;IF(AND(ObsObligatoria="Sí",ISNUMBER($F207),$F207&lt;FechaRef,N($L207)&lt;1,$N207=""),"Vencida sin observación"&amp;" · ",""))-3)))</f>
        <v/>
      </c>
      <c r="P207" s="69">
        <f>IF(NOT((COUNTA($B207:$K207)+COUNTA($N207))&gt;0),"",IF(AND($S207="Sub",N($R207)&gt;0),IF(ISNUMBER(INDEX($E$5:$E$1000,$R207-4)),DATE(YEAR(INDEX($E$5:$E$1000,$R207-4)),MONTH(INDEX($E$5:$E$1000,$R207-4)),1),IF(ISNUMBER(INDEX($F$5:$F$1000,$R207-4)),DATE(YEAR(INDEX($F$5:$F$1000,$R207-4)),MONTH(INDEX($F$5:$F$1000,$R207-4)),1),MesCiclo)),IF(ISNUMBER($E207),DATE(YEAR($E207),MONTH($E207),1),IF(ISNUMBER($F207),DATE(YEAR($F207),MONTH($F207),1),MesCiclo))))</f>
        <v/>
      </c>
      <c r="Q207" s="70">
        <f>IF(OR($P207="",$P207&lt;&gt;MesCiclo),"",COUNTIF($P$5:$P207,MesCiclo))</f>
        <v/>
      </c>
      <c r="R207" s="70">
        <f>IF($S207="","",IF($S207="Macro",ROW(),IFERROR(LOOKUP(2,1/($S$5:$S207="Macro"),ROW($S$5:$S207)),0)))</f>
        <v/>
      </c>
      <c r="S207" s="70">
        <f>IF(NOT((COUNTA($B207:$K207)+COUNTA($N207))&gt;0),"",IF($B207&lt;&gt;"","Macro",IF($C207&lt;&gt;"","Sub","Macro")))</f>
        <v/>
      </c>
      <c r="T207" s="70">
        <f>IF($S207="Macro",COUNTIFS($R$5:$R$1000,ROW(),$S$5:$S$1000,"Sub"),"")</f>
        <v/>
      </c>
      <c r="U207" s="70">
        <f>IF($S207="","",IF(ISNUMBER($H207),$H207,0))</f>
        <v/>
      </c>
      <c r="V207" s="70">
        <f>IF($S207="","",IF(ISNUMBER($I207),$I207,$U207))</f>
        <v/>
      </c>
      <c r="W207" s="70">
        <f>IF($S207="","",IF(ISNUMBER($J207),$J207,$V207))</f>
        <v/>
      </c>
      <c r="X207" s="70">
        <f>IF($S207="","",IF(ISNUMBER($K207),$K207,$W207))</f>
        <v/>
      </c>
      <c r="Y207" s="70">
        <f>IF($S207="","",IF(N($T207)&gt;0,AVERAGEIFS($U$5:$U$1000,$R$5:$R$1000,ROW(),$S$5:$S$1000,"Sub"),$U207))</f>
        <v/>
      </c>
      <c r="Z207" s="70">
        <f>IF($S207="","",IF(N($T207)&gt;0,AVERAGEIFS($V$5:$V$1000,$R$5:$R$1000,ROW(),$S$5:$S$1000,"Sub"),$V207))</f>
        <v/>
      </c>
      <c r="AA207" s="70">
        <f>IF($S207="","",IF(N($T207)&gt;0,AVERAGEIFS($W$5:$W$1000,$R$5:$R$1000,ROW(),$S$5:$S$1000,"Sub"),$W207))</f>
        <v/>
      </c>
      <c r="AB207" s="70">
        <f>IF($S207="","",IF(N($T207)&gt;0,AVERAGEIFS($X$5:$X$1000,$R$5:$R$1000,ROW(),$S$5:$S$1000,"Sub"),$X207))</f>
        <v/>
      </c>
    </row>
    <row r="208">
      <c r="A208" s="61">
        <f>IF(NOT((COUNTA($B208:$K208)+COUNTA($N208))&gt;0),"",IF($S208="Macro",COUNTIFS($S$5:$S208,"Macro",$P$5:$P208,$P208),IF(N($R208)=0,"?",COUNTIFS(INDEX($S$5:$S$1000,1):INDEX($S$5:$S$1000,$R208-4),"Macro",INDEX($P$5:$P$1000,1):INDEX($P$5:$P$1000,$R208-4),INDEX($P$5:$P$1000,$R208-4))&amp;"."&amp;COUNTIFS($R$5:$R208,$R208,$S$5:$S208,"Sub"))))</f>
        <v/>
      </c>
      <c r="B208" s="62" t="n"/>
      <c r="C208" s="63" t="n"/>
      <c r="D208" s="62" t="n"/>
      <c r="E208" s="64" t="n"/>
      <c r="F208" s="64" t="n"/>
      <c r="G208" s="65" t="n"/>
      <c r="H208" s="66" t="n"/>
      <c r="I208" s="66" t="n"/>
      <c r="J208" s="66" t="n"/>
      <c r="K208" s="66" t="n"/>
      <c r="L208" s="67">
        <f>IF(NOT((COUNTA($B208:$K208)+COUNTA($N208))&gt;0),"",IF(N($T208)&gt;0,$AB208,IFERROR(LOOKUP(2,1/(H208:K208&lt;&gt;""),H208:K208),0)))</f>
        <v/>
      </c>
      <c r="M208" s="61">
        <f>IF(L208="","",IF(L208&gt;=1,"Completado",IF(L208&gt;0,"En curso","Pendiente")))</f>
        <v/>
      </c>
      <c r="N208" s="62" t="n"/>
      <c r="O208" s="68">
        <f>IF(NOT((COUNTA($B208:$K208)+COUNTA($N208))&gt;0),"",IF((IF(AND($S208="Macro",$B208=""),"Macroactividad vacía"&amp;" · ","")&amp;IF(AND($B208&lt;&gt;"",$C208&lt;&gt;""),"Escriba la subactividad en otra fila, debajo de su macroactividad"&amp;" · ","")&amp;IF(AND($S208="Sub",N($R208)=0),"Subactividad sin macroactividad arriba"&amp;" · ","")&amp;IF($D208="","Sin responsable"&amp;" · ","")&amp;IF($E208="","Sin fecha de inicio"&amp;" · ","")&amp;IF($F208="","Sin fecha límite"&amp;" · ","")&amp;IF(OR(AND($E208&lt;&gt;"",NOT(ISNUMBER($E208))),AND($F208&lt;&gt;"",NOT(ISNUMBER($F208)))),"Fecha no válida"&amp;" · ","")&amp;IF(AND(ISNUMBER($E208),ISNUMBER($F208),$E208&gt;$F208),"Inicio posterior a fecha límite"&amp;" · ","")&amp;IF(AND($S208="Macro",$G208=""),"Peso vacío"&amp;" · ","")&amp;IF(AND($S208="Macro",$G208&lt;&gt;"",OR(NOT(ISNUMBER($G208)),$G208&lt;=0,$G208&gt;1)),"Peso fuera de rango"&amp;" · ","")&amp;IF(AND($S208="Sub",$G208&lt;&gt;""),"Las subactividades no llevan peso"&amp;" · ","")&amp;IF(AND($S208="Macro",ABS(SUMIFS($G$5:$G$1000,$P$5:$P$1000,$P208,$S$5:$S$1000,"Macro")-1)&gt;0.0001),"Pesos del mes suman "&amp;TEXT(SUMIFS($G$5:$G$1000,$P$5:$P$1000,$P208,$S$5:$S$1000,"Macro"),"0%")&amp;" · ","")&amp;IF(AND(N($T208)&gt;0,COUNT($H208:$K208)&gt;0),"Con subactividades: deje vacías las semanas (se calculan solas)"&amp;" · ","")&amp;IF((COUNTIF($H208:$K208,"&gt;1")+COUNTIF($H208:$K208,"&lt;0")+COUNTA($H208:$K208)-COUNT($H208:$K208))&gt;0,"Avance fuera de rango 0-100%"&amp;" · ","")&amp;IF(OR(AND($I208&lt;&gt;"",$I208&lt;$H208),AND($J208&lt;&gt;"",$J208&lt;MAX($H208:$I208)),AND($K208&lt;&gt;"",$K208&lt;MAX($H208:$J208))),"Avance semanal decreciente"&amp;" · ","")&amp;IF(AND(ISNUMBER($F208),$F208&lt;FechaRef,N($L208)&lt;1),"Vencida"&amp;" · ","")&amp;IF(AND(ObsObligatoria="Sí",ISNUMBER($F208),$F208&lt;FechaRef,N($L208)&lt;1,$N208=""),"Vencida sin observación"&amp;" · ",""))="","✔ OK","⚠ "&amp;LEFT(IF(AND($S208="Macro",$B208=""),"Macroactividad vacía"&amp;" · ","")&amp;IF(AND($B208&lt;&gt;"",$C208&lt;&gt;""),"Escriba la subactividad en otra fila, debajo de su macroactividad"&amp;" · ","")&amp;IF(AND($S208="Sub",N($R208)=0),"Subactividad sin macroactividad arriba"&amp;" · ","")&amp;IF($D208="","Sin responsable"&amp;" · ","")&amp;IF($E208="","Sin fecha de inicio"&amp;" · ","")&amp;IF($F208="","Sin fecha límite"&amp;" · ","")&amp;IF(OR(AND($E208&lt;&gt;"",NOT(ISNUMBER($E208))),AND($F208&lt;&gt;"",NOT(ISNUMBER($F208)))),"Fecha no válida"&amp;" · ","")&amp;IF(AND(ISNUMBER($E208),ISNUMBER($F208),$E208&gt;$F208),"Inicio posterior a fecha límite"&amp;" · ","")&amp;IF(AND($S208="Macro",$G208=""),"Peso vacío"&amp;" · ","")&amp;IF(AND($S208="Macro",$G208&lt;&gt;"",OR(NOT(ISNUMBER($G208)),$G208&lt;=0,$G208&gt;1)),"Peso fuera de rango"&amp;" · ","")&amp;IF(AND($S208="Sub",$G208&lt;&gt;""),"Las subactividades no llevan peso"&amp;" · ","")&amp;IF(AND($S208="Macro",ABS(SUMIFS($G$5:$G$1000,$P$5:$P$1000,$P208,$S$5:$S$1000,"Macro")-1)&gt;0.0001),"Pesos del mes suman "&amp;TEXT(SUMIFS($G$5:$G$1000,$P$5:$P$1000,$P208,$S$5:$S$1000,"Macro"),"0%")&amp;" · ","")&amp;IF(AND(N($T208)&gt;0,COUNT($H208:$K208)&gt;0),"Con subactividades: deje vacías las semanas (se calculan solas)"&amp;" · ","")&amp;IF((COUNTIF($H208:$K208,"&gt;1")+COUNTIF($H208:$K208,"&lt;0")+COUNTA($H208:$K208)-COUNT($H208:$K208))&gt;0,"Avance fuera de rango 0-100%"&amp;" · ","")&amp;IF(OR(AND($I208&lt;&gt;"",$I208&lt;$H208),AND($J208&lt;&gt;"",$J208&lt;MAX($H208:$I208)),AND($K208&lt;&gt;"",$K208&lt;MAX($H208:$J208))),"Avance semanal decreciente"&amp;" · ","")&amp;IF(AND(ISNUMBER($F208),$F208&lt;FechaRef,N($L208)&lt;1),"Vencida"&amp;" · ","")&amp;IF(AND(ObsObligatoria="Sí",ISNUMBER($F208),$F208&lt;FechaRef,N($L208)&lt;1,$N208=""),"Vencida sin observación"&amp;" · ",""),LEN(IF(AND($S208="Macro",$B208=""),"Macroactividad vacía"&amp;" · ","")&amp;IF(AND($B208&lt;&gt;"",$C208&lt;&gt;""),"Escriba la subactividad en otra fila, debajo de su macroactividad"&amp;" · ","")&amp;IF(AND($S208="Sub",N($R208)=0),"Subactividad sin macroactividad arriba"&amp;" · ","")&amp;IF($D208="","Sin responsable"&amp;" · ","")&amp;IF($E208="","Sin fecha de inicio"&amp;" · ","")&amp;IF($F208="","Sin fecha límite"&amp;" · ","")&amp;IF(OR(AND($E208&lt;&gt;"",NOT(ISNUMBER($E208))),AND($F208&lt;&gt;"",NOT(ISNUMBER($F208)))),"Fecha no válida"&amp;" · ","")&amp;IF(AND(ISNUMBER($E208),ISNUMBER($F208),$E208&gt;$F208),"Inicio posterior a fecha límite"&amp;" · ","")&amp;IF(AND($S208="Macro",$G208=""),"Peso vacío"&amp;" · ","")&amp;IF(AND($S208="Macro",$G208&lt;&gt;"",OR(NOT(ISNUMBER($G208)),$G208&lt;=0,$G208&gt;1)),"Peso fuera de rango"&amp;" · ","")&amp;IF(AND($S208="Sub",$G208&lt;&gt;""),"Las subactividades no llevan peso"&amp;" · ","")&amp;IF(AND($S208="Macro",ABS(SUMIFS($G$5:$G$1000,$P$5:$P$1000,$P208,$S$5:$S$1000,"Macro")-1)&gt;0.0001),"Pesos del mes suman "&amp;TEXT(SUMIFS($G$5:$G$1000,$P$5:$P$1000,$P208,$S$5:$S$1000,"Macro"),"0%")&amp;" · ","")&amp;IF(AND(N($T208)&gt;0,COUNT($H208:$K208)&gt;0),"Con subactividades: deje vacías las semanas (se calculan solas)"&amp;" · ","")&amp;IF((COUNTIF($H208:$K208,"&gt;1")+COUNTIF($H208:$K208,"&lt;0")+COUNTA($H208:$K208)-COUNT($H208:$K208))&gt;0,"Avance fuera de rango 0-100%"&amp;" · ","")&amp;IF(OR(AND($I208&lt;&gt;"",$I208&lt;$H208),AND($J208&lt;&gt;"",$J208&lt;MAX($H208:$I208)),AND($K208&lt;&gt;"",$K208&lt;MAX($H208:$J208))),"Avance semanal decreciente"&amp;" · ","")&amp;IF(AND(ISNUMBER($F208),$F208&lt;FechaRef,N($L208)&lt;1),"Vencida"&amp;" · ","")&amp;IF(AND(ObsObligatoria="Sí",ISNUMBER($F208),$F208&lt;FechaRef,N($L208)&lt;1,$N208=""),"Vencida sin observación"&amp;" · ",""))-3)))</f>
        <v/>
      </c>
      <c r="P208" s="69">
        <f>IF(NOT((COUNTA($B208:$K208)+COUNTA($N208))&gt;0),"",IF(AND($S208="Sub",N($R208)&gt;0),IF(ISNUMBER(INDEX($E$5:$E$1000,$R208-4)),DATE(YEAR(INDEX($E$5:$E$1000,$R208-4)),MONTH(INDEX($E$5:$E$1000,$R208-4)),1),IF(ISNUMBER(INDEX($F$5:$F$1000,$R208-4)),DATE(YEAR(INDEX($F$5:$F$1000,$R208-4)),MONTH(INDEX($F$5:$F$1000,$R208-4)),1),MesCiclo)),IF(ISNUMBER($E208),DATE(YEAR($E208),MONTH($E208),1),IF(ISNUMBER($F208),DATE(YEAR($F208),MONTH($F208),1),MesCiclo))))</f>
        <v/>
      </c>
      <c r="Q208" s="70">
        <f>IF(OR($P208="",$P208&lt;&gt;MesCiclo),"",COUNTIF($P$5:$P208,MesCiclo))</f>
        <v/>
      </c>
      <c r="R208" s="70">
        <f>IF($S208="","",IF($S208="Macro",ROW(),IFERROR(LOOKUP(2,1/($S$5:$S208="Macro"),ROW($S$5:$S208)),0)))</f>
        <v/>
      </c>
      <c r="S208" s="70">
        <f>IF(NOT((COUNTA($B208:$K208)+COUNTA($N208))&gt;0),"",IF($B208&lt;&gt;"","Macro",IF($C208&lt;&gt;"","Sub","Macro")))</f>
        <v/>
      </c>
      <c r="T208" s="70">
        <f>IF($S208="Macro",COUNTIFS($R$5:$R$1000,ROW(),$S$5:$S$1000,"Sub"),"")</f>
        <v/>
      </c>
      <c r="U208" s="70">
        <f>IF($S208="","",IF(ISNUMBER($H208),$H208,0))</f>
        <v/>
      </c>
      <c r="V208" s="70">
        <f>IF($S208="","",IF(ISNUMBER($I208),$I208,$U208))</f>
        <v/>
      </c>
      <c r="W208" s="70">
        <f>IF($S208="","",IF(ISNUMBER($J208),$J208,$V208))</f>
        <v/>
      </c>
      <c r="X208" s="70">
        <f>IF($S208="","",IF(ISNUMBER($K208),$K208,$W208))</f>
        <v/>
      </c>
      <c r="Y208" s="70">
        <f>IF($S208="","",IF(N($T208)&gt;0,AVERAGEIFS($U$5:$U$1000,$R$5:$R$1000,ROW(),$S$5:$S$1000,"Sub"),$U208))</f>
        <v/>
      </c>
      <c r="Z208" s="70">
        <f>IF($S208="","",IF(N($T208)&gt;0,AVERAGEIFS($V$5:$V$1000,$R$5:$R$1000,ROW(),$S$5:$S$1000,"Sub"),$V208))</f>
        <v/>
      </c>
      <c r="AA208" s="70">
        <f>IF($S208="","",IF(N($T208)&gt;0,AVERAGEIFS($W$5:$W$1000,$R$5:$R$1000,ROW(),$S$5:$S$1000,"Sub"),$W208))</f>
        <v/>
      </c>
      <c r="AB208" s="70">
        <f>IF($S208="","",IF(N($T208)&gt;0,AVERAGEIFS($X$5:$X$1000,$R$5:$R$1000,ROW(),$S$5:$S$1000,"Sub"),$X208))</f>
        <v/>
      </c>
    </row>
    <row r="209">
      <c r="A209" s="61">
        <f>IF(NOT((COUNTA($B209:$K209)+COUNTA($N209))&gt;0),"",IF($S209="Macro",COUNTIFS($S$5:$S209,"Macro",$P$5:$P209,$P209),IF(N($R209)=0,"?",COUNTIFS(INDEX($S$5:$S$1000,1):INDEX($S$5:$S$1000,$R209-4),"Macro",INDEX($P$5:$P$1000,1):INDEX($P$5:$P$1000,$R209-4),INDEX($P$5:$P$1000,$R209-4))&amp;"."&amp;COUNTIFS($R$5:$R209,$R209,$S$5:$S209,"Sub"))))</f>
        <v/>
      </c>
      <c r="B209" s="62" t="n"/>
      <c r="C209" s="63" t="n"/>
      <c r="D209" s="62" t="n"/>
      <c r="E209" s="64" t="n"/>
      <c r="F209" s="64" t="n"/>
      <c r="G209" s="65" t="n"/>
      <c r="H209" s="66" t="n"/>
      <c r="I209" s="66" t="n"/>
      <c r="J209" s="66" t="n"/>
      <c r="K209" s="66" t="n"/>
      <c r="L209" s="67">
        <f>IF(NOT((COUNTA($B209:$K209)+COUNTA($N209))&gt;0),"",IF(N($T209)&gt;0,$AB209,IFERROR(LOOKUP(2,1/(H209:K209&lt;&gt;""),H209:K209),0)))</f>
        <v/>
      </c>
      <c r="M209" s="61">
        <f>IF(L209="","",IF(L209&gt;=1,"Completado",IF(L209&gt;0,"En curso","Pendiente")))</f>
        <v/>
      </c>
      <c r="N209" s="62" t="n"/>
      <c r="O209" s="68">
        <f>IF(NOT((COUNTA($B209:$K209)+COUNTA($N209))&gt;0),"",IF((IF(AND($S209="Macro",$B209=""),"Macroactividad vacía"&amp;" · ","")&amp;IF(AND($B209&lt;&gt;"",$C209&lt;&gt;""),"Escriba la subactividad en otra fila, debajo de su macroactividad"&amp;" · ","")&amp;IF(AND($S209="Sub",N($R209)=0),"Subactividad sin macroactividad arriba"&amp;" · ","")&amp;IF($D209="","Sin responsable"&amp;" · ","")&amp;IF($E209="","Sin fecha de inicio"&amp;" · ","")&amp;IF($F209="","Sin fecha límite"&amp;" · ","")&amp;IF(OR(AND($E209&lt;&gt;"",NOT(ISNUMBER($E209))),AND($F209&lt;&gt;"",NOT(ISNUMBER($F209)))),"Fecha no válida"&amp;" · ","")&amp;IF(AND(ISNUMBER($E209),ISNUMBER($F209),$E209&gt;$F209),"Inicio posterior a fecha límite"&amp;" · ","")&amp;IF(AND($S209="Macro",$G209=""),"Peso vacío"&amp;" · ","")&amp;IF(AND($S209="Macro",$G209&lt;&gt;"",OR(NOT(ISNUMBER($G209)),$G209&lt;=0,$G209&gt;1)),"Peso fuera de rango"&amp;" · ","")&amp;IF(AND($S209="Sub",$G209&lt;&gt;""),"Las subactividades no llevan peso"&amp;" · ","")&amp;IF(AND($S209="Macro",ABS(SUMIFS($G$5:$G$1000,$P$5:$P$1000,$P209,$S$5:$S$1000,"Macro")-1)&gt;0.0001),"Pesos del mes suman "&amp;TEXT(SUMIFS($G$5:$G$1000,$P$5:$P$1000,$P209,$S$5:$S$1000,"Macro"),"0%")&amp;" · ","")&amp;IF(AND(N($T209)&gt;0,COUNT($H209:$K209)&gt;0),"Con subactividades: deje vacías las semanas (se calculan solas)"&amp;" · ","")&amp;IF((COUNTIF($H209:$K209,"&gt;1")+COUNTIF($H209:$K209,"&lt;0")+COUNTA($H209:$K209)-COUNT($H209:$K209))&gt;0,"Avance fuera de rango 0-100%"&amp;" · ","")&amp;IF(OR(AND($I209&lt;&gt;"",$I209&lt;$H209),AND($J209&lt;&gt;"",$J209&lt;MAX($H209:$I209)),AND($K209&lt;&gt;"",$K209&lt;MAX($H209:$J209))),"Avance semanal decreciente"&amp;" · ","")&amp;IF(AND(ISNUMBER($F209),$F209&lt;FechaRef,N($L209)&lt;1),"Vencida"&amp;" · ","")&amp;IF(AND(ObsObligatoria="Sí",ISNUMBER($F209),$F209&lt;FechaRef,N($L209)&lt;1,$N209=""),"Vencida sin observación"&amp;" · ",""))="","✔ OK","⚠ "&amp;LEFT(IF(AND($S209="Macro",$B209=""),"Macroactividad vacía"&amp;" · ","")&amp;IF(AND($B209&lt;&gt;"",$C209&lt;&gt;""),"Escriba la subactividad en otra fila, debajo de su macroactividad"&amp;" · ","")&amp;IF(AND($S209="Sub",N($R209)=0),"Subactividad sin macroactividad arriba"&amp;" · ","")&amp;IF($D209="","Sin responsable"&amp;" · ","")&amp;IF($E209="","Sin fecha de inicio"&amp;" · ","")&amp;IF($F209="","Sin fecha límite"&amp;" · ","")&amp;IF(OR(AND($E209&lt;&gt;"",NOT(ISNUMBER($E209))),AND($F209&lt;&gt;"",NOT(ISNUMBER($F209)))),"Fecha no válida"&amp;" · ","")&amp;IF(AND(ISNUMBER($E209),ISNUMBER($F209),$E209&gt;$F209),"Inicio posterior a fecha límite"&amp;" · ","")&amp;IF(AND($S209="Macro",$G209=""),"Peso vacío"&amp;" · ","")&amp;IF(AND($S209="Macro",$G209&lt;&gt;"",OR(NOT(ISNUMBER($G209)),$G209&lt;=0,$G209&gt;1)),"Peso fuera de rango"&amp;" · ","")&amp;IF(AND($S209="Sub",$G209&lt;&gt;""),"Las subactividades no llevan peso"&amp;" · ","")&amp;IF(AND($S209="Macro",ABS(SUMIFS($G$5:$G$1000,$P$5:$P$1000,$P209,$S$5:$S$1000,"Macro")-1)&gt;0.0001),"Pesos del mes suman "&amp;TEXT(SUMIFS($G$5:$G$1000,$P$5:$P$1000,$P209,$S$5:$S$1000,"Macro"),"0%")&amp;" · ","")&amp;IF(AND(N($T209)&gt;0,COUNT($H209:$K209)&gt;0),"Con subactividades: deje vacías las semanas (se calculan solas)"&amp;" · ","")&amp;IF((COUNTIF($H209:$K209,"&gt;1")+COUNTIF($H209:$K209,"&lt;0")+COUNTA($H209:$K209)-COUNT($H209:$K209))&gt;0,"Avance fuera de rango 0-100%"&amp;" · ","")&amp;IF(OR(AND($I209&lt;&gt;"",$I209&lt;$H209),AND($J209&lt;&gt;"",$J209&lt;MAX($H209:$I209)),AND($K209&lt;&gt;"",$K209&lt;MAX($H209:$J209))),"Avance semanal decreciente"&amp;" · ","")&amp;IF(AND(ISNUMBER($F209),$F209&lt;FechaRef,N($L209)&lt;1),"Vencida"&amp;" · ","")&amp;IF(AND(ObsObligatoria="Sí",ISNUMBER($F209),$F209&lt;FechaRef,N($L209)&lt;1,$N209=""),"Vencida sin observación"&amp;" · ",""),LEN(IF(AND($S209="Macro",$B209=""),"Macroactividad vacía"&amp;" · ","")&amp;IF(AND($B209&lt;&gt;"",$C209&lt;&gt;""),"Escriba la subactividad en otra fila, debajo de su macroactividad"&amp;" · ","")&amp;IF(AND($S209="Sub",N($R209)=0),"Subactividad sin macroactividad arriba"&amp;" · ","")&amp;IF($D209="","Sin responsable"&amp;" · ","")&amp;IF($E209="","Sin fecha de inicio"&amp;" · ","")&amp;IF($F209="","Sin fecha límite"&amp;" · ","")&amp;IF(OR(AND($E209&lt;&gt;"",NOT(ISNUMBER($E209))),AND($F209&lt;&gt;"",NOT(ISNUMBER($F209)))),"Fecha no válida"&amp;" · ","")&amp;IF(AND(ISNUMBER($E209),ISNUMBER($F209),$E209&gt;$F209),"Inicio posterior a fecha límite"&amp;" · ","")&amp;IF(AND($S209="Macro",$G209=""),"Peso vacío"&amp;" · ","")&amp;IF(AND($S209="Macro",$G209&lt;&gt;"",OR(NOT(ISNUMBER($G209)),$G209&lt;=0,$G209&gt;1)),"Peso fuera de rango"&amp;" · ","")&amp;IF(AND($S209="Sub",$G209&lt;&gt;""),"Las subactividades no llevan peso"&amp;" · ","")&amp;IF(AND($S209="Macro",ABS(SUMIFS($G$5:$G$1000,$P$5:$P$1000,$P209,$S$5:$S$1000,"Macro")-1)&gt;0.0001),"Pesos del mes suman "&amp;TEXT(SUMIFS($G$5:$G$1000,$P$5:$P$1000,$P209,$S$5:$S$1000,"Macro"),"0%")&amp;" · ","")&amp;IF(AND(N($T209)&gt;0,COUNT($H209:$K209)&gt;0),"Con subactividades: deje vacías las semanas (se calculan solas)"&amp;" · ","")&amp;IF((COUNTIF($H209:$K209,"&gt;1")+COUNTIF($H209:$K209,"&lt;0")+COUNTA($H209:$K209)-COUNT($H209:$K209))&gt;0,"Avance fuera de rango 0-100%"&amp;" · ","")&amp;IF(OR(AND($I209&lt;&gt;"",$I209&lt;$H209),AND($J209&lt;&gt;"",$J209&lt;MAX($H209:$I209)),AND($K209&lt;&gt;"",$K209&lt;MAX($H209:$J209))),"Avance semanal decreciente"&amp;" · ","")&amp;IF(AND(ISNUMBER($F209),$F209&lt;FechaRef,N($L209)&lt;1),"Vencida"&amp;" · ","")&amp;IF(AND(ObsObligatoria="Sí",ISNUMBER($F209),$F209&lt;FechaRef,N($L209)&lt;1,$N209=""),"Vencida sin observación"&amp;" · ",""))-3)))</f>
        <v/>
      </c>
      <c r="P209" s="69">
        <f>IF(NOT((COUNTA($B209:$K209)+COUNTA($N209))&gt;0),"",IF(AND($S209="Sub",N($R209)&gt;0),IF(ISNUMBER(INDEX($E$5:$E$1000,$R209-4)),DATE(YEAR(INDEX($E$5:$E$1000,$R209-4)),MONTH(INDEX($E$5:$E$1000,$R209-4)),1),IF(ISNUMBER(INDEX($F$5:$F$1000,$R209-4)),DATE(YEAR(INDEX($F$5:$F$1000,$R209-4)),MONTH(INDEX($F$5:$F$1000,$R209-4)),1),MesCiclo)),IF(ISNUMBER($E209),DATE(YEAR($E209),MONTH($E209),1),IF(ISNUMBER($F209),DATE(YEAR($F209),MONTH($F209),1),MesCiclo))))</f>
        <v/>
      </c>
      <c r="Q209" s="70">
        <f>IF(OR($P209="",$P209&lt;&gt;MesCiclo),"",COUNTIF($P$5:$P209,MesCiclo))</f>
        <v/>
      </c>
      <c r="R209" s="70">
        <f>IF($S209="","",IF($S209="Macro",ROW(),IFERROR(LOOKUP(2,1/($S$5:$S209="Macro"),ROW($S$5:$S209)),0)))</f>
        <v/>
      </c>
      <c r="S209" s="70">
        <f>IF(NOT((COUNTA($B209:$K209)+COUNTA($N209))&gt;0),"",IF($B209&lt;&gt;"","Macro",IF($C209&lt;&gt;"","Sub","Macro")))</f>
        <v/>
      </c>
      <c r="T209" s="70">
        <f>IF($S209="Macro",COUNTIFS($R$5:$R$1000,ROW(),$S$5:$S$1000,"Sub"),"")</f>
        <v/>
      </c>
      <c r="U209" s="70">
        <f>IF($S209="","",IF(ISNUMBER($H209),$H209,0))</f>
        <v/>
      </c>
      <c r="V209" s="70">
        <f>IF($S209="","",IF(ISNUMBER($I209),$I209,$U209))</f>
        <v/>
      </c>
      <c r="W209" s="70">
        <f>IF($S209="","",IF(ISNUMBER($J209),$J209,$V209))</f>
        <v/>
      </c>
      <c r="X209" s="70">
        <f>IF($S209="","",IF(ISNUMBER($K209),$K209,$W209))</f>
        <v/>
      </c>
      <c r="Y209" s="70">
        <f>IF($S209="","",IF(N($T209)&gt;0,AVERAGEIFS($U$5:$U$1000,$R$5:$R$1000,ROW(),$S$5:$S$1000,"Sub"),$U209))</f>
        <v/>
      </c>
      <c r="Z209" s="70">
        <f>IF($S209="","",IF(N($T209)&gt;0,AVERAGEIFS($V$5:$V$1000,$R$5:$R$1000,ROW(),$S$5:$S$1000,"Sub"),$V209))</f>
        <v/>
      </c>
      <c r="AA209" s="70">
        <f>IF($S209="","",IF(N($T209)&gt;0,AVERAGEIFS($W$5:$W$1000,$R$5:$R$1000,ROW(),$S$5:$S$1000,"Sub"),$W209))</f>
        <v/>
      </c>
      <c r="AB209" s="70">
        <f>IF($S209="","",IF(N($T209)&gt;0,AVERAGEIFS($X$5:$X$1000,$R$5:$R$1000,ROW(),$S$5:$S$1000,"Sub"),$X209))</f>
        <v/>
      </c>
    </row>
    <row r="210">
      <c r="A210" s="61">
        <f>IF(NOT((COUNTA($B210:$K210)+COUNTA($N210))&gt;0),"",IF($S210="Macro",COUNTIFS($S$5:$S210,"Macro",$P$5:$P210,$P210),IF(N($R210)=0,"?",COUNTIFS(INDEX($S$5:$S$1000,1):INDEX($S$5:$S$1000,$R210-4),"Macro",INDEX($P$5:$P$1000,1):INDEX($P$5:$P$1000,$R210-4),INDEX($P$5:$P$1000,$R210-4))&amp;"."&amp;COUNTIFS($R$5:$R210,$R210,$S$5:$S210,"Sub"))))</f>
        <v/>
      </c>
      <c r="B210" s="62" t="n"/>
      <c r="C210" s="63" t="n"/>
      <c r="D210" s="62" t="n"/>
      <c r="E210" s="64" t="n"/>
      <c r="F210" s="64" t="n"/>
      <c r="G210" s="65" t="n"/>
      <c r="H210" s="66" t="n"/>
      <c r="I210" s="66" t="n"/>
      <c r="J210" s="66" t="n"/>
      <c r="K210" s="66" t="n"/>
      <c r="L210" s="67">
        <f>IF(NOT((COUNTA($B210:$K210)+COUNTA($N210))&gt;0),"",IF(N($T210)&gt;0,$AB210,IFERROR(LOOKUP(2,1/(H210:K210&lt;&gt;""),H210:K210),0)))</f>
        <v/>
      </c>
      <c r="M210" s="61">
        <f>IF(L210="","",IF(L210&gt;=1,"Completado",IF(L210&gt;0,"En curso","Pendiente")))</f>
        <v/>
      </c>
      <c r="N210" s="62" t="n"/>
      <c r="O210" s="68">
        <f>IF(NOT((COUNTA($B210:$K210)+COUNTA($N210))&gt;0),"",IF((IF(AND($S210="Macro",$B210=""),"Macroactividad vacía"&amp;" · ","")&amp;IF(AND($B210&lt;&gt;"",$C210&lt;&gt;""),"Escriba la subactividad en otra fila, debajo de su macroactividad"&amp;" · ","")&amp;IF(AND($S210="Sub",N($R210)=0),"Subactividad sin macroactividad arriba"&amp;" · ","")&amp;IF($D210="","Sin responsable"&amp;" · ","")&amp;IF($E210="","Sin fecha de inicio"&amp;" · ","")&amp;IF($F210="","Sin fecha límite"&amp;" · ","")&amp;IF(OR(AND($E210&lt;&gt;"",NOT(ISNUMBER($E210))),AND($F210&lt;&gt;"",NOT(ISNUMBER($F210)))),"Fecha no válida"&amp;" · ","")&amp;IF(AND(ISNUMBER($E210),ISNUMBER($F210),$E210&gt;$F210),"Inicio posterior a fecha límite"&amp;" · ","")&amp;IF(AND($S210="Macro",$G210=""),"Peso vacío"&amp;" · ","")&amp;IF(AND($S210="Macro",$G210&lt;&gt;"",OR(NOT(ISNUMBER($G210)),$G210&lt;=0,$G210&gt;1)),"Peso fuera de rango"&amp;" · ","")&amp;IF(AND($S210="Sub",$G210&lt;&gt;""),"Las subactividades no llevan peso"&amp;" · ","")&amp;IF(AND($S210="Macro",ABS(SUMIFS($G$5:$G$1000,$P$5:$P$1000,$P210,$S$5:$S$1000,"Macro")-1)&gt;0.0001),"Pesos del mes suman "&amp;TEXT(SUMIFS($G$5:$G$1000,$P$5:$P$1000,$P210,$S$5:$S$1000,"Macro"),"0%")&amp;" · ","")&amp;IF(AND(N($T210)&gt;0,COUNT($H210:$K210)&gt;0),"Con subactividades: deje vacías las semanas (se calculan solas)"&amp;" · ","")&amp;IF((COUNTIF($H210:$K210,"&gt;1")+COUNTIF($H210:$K210,"&lt;0")+COUNTA($H210:$K210)-COUNT($H210:$K210))&gt;0,"Avance fuera de rango 0-100%"&amp;" · ","")&amp;IF(OR(AND($I210&lt;&gt;"",$I210&lt;$H210),AND($J210&lt;&gt;"",$J210&lt;MAX($H210:$I210)),AND($K210&lt;&gt;"",$K210&lt;MAX($H210:$J210))),"Avance semanal decreciente"&amp;" · ","")&amp;IF(AND(ISNUMBER($F210),$F210&lt;FechaRef,N($L210)&lt;1),"Vencida"&amp;" · ","")&amp;IF(AND(ObsObligatoria="Sí",ISNUMBER($F210),$F210&lt;FechaRef,N($L210)&lt;1,$N210=""),"Vencida sin observación"&amp;" · ",""))="","✔ OK","⚠ "&amp;LEFT(IF(AND($S210="Macro",$B210=""),"Macroactividad vacía"&amp;" · ","")&amp;IF(AND($B210&lt;&gt;"",$C210&lt;&gt;""),"Escriba la subactividad en otra fila, debajo de su macroactividad"&amp;" · ","")&amp;IF(AND($S210="Sub",N($R210)=0),"Subactividad sin macroactividad arriba"&amp;" · ","")&amp;IF($D210="","Sin responsable"&amp;" · ","")&amp;IF($E210="","Sin fecha de inicio"&amp;" · ","")&amp;IF($F210="","Sin fecha límite"&amp;" · ","")&amp;IF(OR(AND($E210&lt;&gt;"",NOT(ISNUMBER($E210))),AND($F210&lt;&gt;"",NOT(ISNUMBER($F210)))),"Fecha no válida"&amp;" · ","")&amp;IF(AND(ISNUMBER($E210),ISNUMBER($F210),$E210&gt;$F210),"Inicio posterior a fecha límite"&amp;" · ","")&amp;IF(AND($S210="Macro",$G210=""),"Peso vacío"&amp;" · ","")&amp;IF(AND($S210="Macro",$G210&lt;&gt;"",OR(NOT(ISNUMBER($G210)),$G210&lt;=0,$G210&gt;1)),"Peso fuera de rango"&amp;" · ","")&amp;IF(AND($S210="Sub",$G210&lt;&gt;""),"Las subactividades no llevan peso"&amp;" · ","")&amp;IF(AND($S210="Macro",ABS(SUMIFS($G$5:$G$1000,$P$5:$P$1000,$P210,$S$5:$S$1000,"Macro")-1)&gt;0.0001),"Pesos del mes suman "&amp;TEXT(SUMIFS($G$5:$G$1000,$P$5:$P$1000,$P210,$S$5:$S$1000,"Macro"),"0%")&amp;" · ","")&amp;IF(AND(N($T210)&gt;0,COUNT($H210:$K210)&gt;0),"Con subactividades: deje vacías las semanas (se calculan solas)"&amp;" · ","")&amp;IF((COUNTIF($H210:$K210,"&gt;1")+COUNTIF($H210:$K210,"&lt;0")+COUNTA($H210:$K210)-COUNT($H210:$K210))&gt;0,"Avance fuera de rango 0-100%"&amp;" · ","")&amp;IF(OR(AND($I210&lt;&gt;"",$I210&lt;$H210),AND($J210&lt;&gt;"",$J210&lt;MAX($H210:$I210)),AND($K210&lt;&gt;"",$K210&lt;MAX($H210:$J210))),"Avance semanal decreciente"&amp;" · ","")&amp;IF(AND(ISNUMBER($F210),$F210&lt;FechaRef,N($L210)&lt;1),"Vencida"&amp;" · ","")&amp;IF(AND(ObsObligatoria="Sí",ISNUMBER($F210),$F210&lt;FechaRef,N($L210)&lt;1,$N210=""),"Vencida sin observación"&amp;" · ",""),LEN(IF(AND($S210="Macro",$B210=""),"Macroactividad vacía"&amp;" · ","")&amp;IF(AND($B210&lt;&gt;"",$C210&lt;&gt;""),"Escriba la subactividad en otra fila, debajo de su macroactividad"&amp;" · ","")&amp;IF(AND($S210="Sub",N($R210)=0),"Subactividad sin macroactividad arriba"&amp;" · ","")&amp;IF($D210="","Sin responsable"&amp;" · ","")&amp;IF($E210="","Sin fecha de inicio"&amp;" · ","")&amp;IF($F210="","Sin fecha límite"&amp;" · ","")&amp;IF(OR(AND($E210&lt;&gt;"",NOT(ISNUMBER($E210))),AND($F210&lt;&gt;"",NOT(ISNUMBER($F210)))),"Fecha no válida"&amp;" · ","")&amp;IF(AND(ISNUMBER($E210),ISNUMBER($F210),$E210&gt;$F210),"Inicio posterior a fecha límite"&amp;" · ","")&amp;IF(AND($S210="Macro",$G210=""),"Peso vacío"&amp;" · ","")&amp;IF(AND($S210="Macro",$G210&lt;&gt;"",OR(NOT(ISNUMBER($G210)),$G210&lt;=0,$G210&gt;1)),"Peso fuera de rango"&amp;" · ","")&amp;IF(AND($S210="Sub",$G210&lt;&gt;""),"Las subactividades no llevan peso"&amp;" · ","")&amp;IF(AND($S210="Macro",ABS(SUMIFS($G$5:$G$1000,$P$5:$P$1000,$P210,$S$5:$S$1000,"Macro")-1)&gt;0.0001),"Pesos del mes suman "&amp;TEXT(SUMIFS($G$5:$G$1000,$P$5:$P$1000,$P210,$S$5:$S$1000,"Macro"),"0%")&amp;" · ","")&amp;IF(AND(N($T210)&gt;0,COUNT($H210:$K210)&gt;0),"Con subactividades: deje vacías las semanas (se calculan solas)"&amp;" · ","")&amp;IF((COUNTIF($H210:$K210,"&gt;1")+COUNTIF($H210:$K210,"&lt;0")+COUNTA($H210:$K210)-COUNT($H210:$K210))&gt;0,"Avance fuera de rango 0-100%"&amp;" · ","")&amp;IF(OR(AND($I210&lt;&gt;"",$I210&lt;$H210),AND($J210&lt;&gt;"",$J210&lt;MAX($H210:$I210)),AND($K210&lt;&gt;"",$K210&lt;MAX($H210:$J210))),"Avance semanal decreciente"&amp;" · ","")&amp;IF(AND(ISNUMBER($F210),$F210&lt;FechaRef,N($L210)&lt;1),"Vencida"&amp;" · ","")&amp;IF(AND(ObsObligatoria="Sí",ISNUMBER($F210),$F210&lt;FechaRef,N($L210)&lt;1,$N210=""),"Vencida sin observación"&amp;" · ",""))-3)))</f>
        <v/>
      </c>
      <c r="P210" s="69">
        <f>IF(NOT((COUNTA($B210:$K210)+COUNTA($N210))&gt;0),"",IF(AND($S210="Sub",N($R210)&gt;0),IF(ISNUMBER(INDEX($E$5:$E$1000,$R210-4)),DATE(YEAR(INDEX($E$5:$E$1000,$R210-4)),MONTH(INDEX($E$5:$E$1000,$R210-4)),1),IF(ISNUMBER(INDEX($F$5:$F$1000,$R210-4)),DATE(YEAR(INDEX($F$5:$F$1000,$R210-4)),MONTH(INDEX($F$5:$F$1000,$R210-4)),1),MesCiclo)),IF(ISNUMBER($E210),DATE(YEAR($E210),MONTH($E210),1),IF(ISNUMBER($F210),DATE(YEAR($F210),MONTH($F210),1),MesCiclo))))</f>
        <v/>
      </c>
      <c r="Q210" s="70">
        <f>IF(OR($P210="",$P210&lt;&gt;MesCiclo),"",COUNTIF($P$5:$P210,MesCiclo))</f>
        <v/>
      </c>
      <c r="R210" s="70">
        <f>IF($S210="","",IF($S210="Macro",ROW(),IFERROR(LOOKUP(2,1/($S$5:$S210="Macro"),ROW($S$5:$S210)),0)))</f>
        <v/>
      </c>
      <c r="S210" s="70">
        <f>IF(NOT((COUNTA($B210:$K210)+COUNTA($N210))&gt;0),"",IF($B210&lt;&gt;"","Macro",IF($C210&lt;&gt;"","Sub","Macro")))</f>
        <v/>
      </c>
      <c r="T210" s="70">
        <f>IF($S210="Macro",COUNTIFS($R$5:$R$1000,ROW(),$S$5:$S$1000,"Sub"),"")</f>
        <v/>
      </c>
      <c r="U210" s="70">
        <f>IF($S210="","",IF(ISNUMBER($H210),$H210,0))</f>
        <v/>
      </c>
      <c r="V210" s="70">
        <f>IF($S210="","",IF(ISNUMBER($I210),$I210,$U210))</f>
        <v/>
      </c>
      <c r="W210" s="70">
        <f>IF($S210="","",IF(ISNUMBER($J210),$J210,$V210))</f>
        <v/>
      </c>
      <c r="X210" s="70">
        <f>IF($S210="","",IF(ISNUMBER($K210),$K210,$W210))</f>
        <v/>
      </c>
      <c r="Y210" s="70">
        <f>IF($S210="","",IF(N($T210)&gt;0,AVERAGEIFS($U$5:$U$1000,$R$5:$R$1000,ROW(),$S$5:$S$1000,"Sub"),$U210))</f>
        <v/>
      </c>
      <c r="Z210" s="70">
        <f>IF($S210="","",IF(N($T210)&gt;0,AVERAGEIFS($V$5:$V$1000,$R$5:$R$1000,ROW(),$S$5:$S$1000,"Sub"),$V210))</f>
        <v/>
      </c>
      <c r="AA210" s="70">
        <f>IF($S210="","",IF(N($T210)&gt;0,AVERAGEIFS($W$5:$W$1000,$R$5:$R$1000,ROW(),$S$5:$S$1000,"Sub"),$W210))</f>
        <v/>
      </c>
      <c r="AB210" s="70">
        <f>IF($S210="","",IF(N($T210)&gt;0,AVERAGEIFS($X$5:$X$1000,$R$5:$R$1000,ROW(),$S$5:$S$1000,"Sub"),$X210))</f>
        <v/>
      </c>
    </row>
    <row r="211">
      <c r="A211" s="61">
        <f>IF(NOT((COUNTA($B211:$K211)+COUNTA($N211))&gt;0),"",IF($S211="Macro",COUNTIFS($S$5:$S211,"Macro",$P$5:$P211,$P211),IF(N($R211)=0,"?",COUNTIFS(INDEX($S$5:$S$1000,1):INDEX($S$5:$S$1000,$R211-4),"Macro",INDEX($P$5:$P$1000,1):INDEX($P$5:$P$1000,$R211-4),INDEX($P$5:$P$1000,$R211-4))&amp;"."&amp;COUNTIFS($R$5:$R211,$R211,$S$5:$S211,"Sub"))))</f>
        <v/>
      </c>
      <c r="B211" s="62" t="n"/>
      <c r="C211" s="63" t="n"/>
      <c r="D211" s="62" t="n"/>
      <c r="E211" s="64" t="n"/>
      <c r="F211" s="64" t="n"/>
      <c r="G211" s="65" t="n"/>
      <c r="H211" s="66" t="n"/>
      <c r="I211" s="66" t="n"/>
      <c r="J211" s="66" t="n"/>
      <c r="K211" s="66" t="n"/>
      <c r="L211" s="67">
        <f>IF(NOT((COUNTA($B211:$K211)+COUNTA($N211))&gt;0),"",IF(N($T211)&gt;0,$AB211,IFERROR(LOOKUP(2,1/(H211:K211&lt;&gt;""),H211:K211),0)))</f>
        <v/>
      </c>
      <c r="M211" s="61">
        <f>IF(L211="","",IF(L211&gt;=1,"Completado",IF(L211&gt;0,"En curso","Pendiente")))</f>
        <v/>
      </c>
      <c r="N211" s="62" t="n"/>
      <c r="O211" s="68">
        <f>IF(NOT((COUNTA($B211:$K211)+COUNTA($N211))&gt;0),"",IF((IF(AND($S211="Macro",$B211=""),"Macroactividad vacía"&amp;" · ","")&amp;IF(AND($B211&lt;&gt;"",$C211&lt;&gt;""),"Escriba la subactividad en otra fila, debajo de su macroactividad"&amp;" · ","")&amp;IF(AND($S211="Sub",N($R211)=0),"Subactividad sin macroactividad arriba"&amp;" · ","")&amp;IF($D211="","Sin responsable"&amp;" · ","")&amp;IF($E211="","Sin fecha de inicio"&amp;" · ","")&amp;IF($F211="","Sin fecha límite"&amp;" · ","")&amp;IF(OR(AND($E211&lt;&gt;"",NOT(ISNUMBER($E211))),AND($F211&lt;&gt;"",NOT(ISNUMBER($F211)))),"Fecha no válida"&amp;" · ","")&amp;IF(AND(ISNUMBER($E211),ISNUMBER($F211),$E211&gt;$F211),"Inicio posterior a fecha límite"&amp;" · ","")&amp;IF(AND($S211="Macro",$G211=""),"Peso vacío"&amp;" · ","")&amp;IF(AND($S211="Macro",$G211&lt;&gt;"",OR(NOT(ISNUMBER($G211)),$G211&lt;=0,$G211&gt;1)),"Peso fuera de rango"&amp;" · ","")&amp;IF(AND($S211="Sub",$G211&lt;&gt;""),"Las subactividades no llevan peso"&amp;" · ","")&amp;IF(AND($S211="Macro",ABS(SUMIFS($G$5:$G$1000,$P$5:$P$1000,$P211,$S$5:$S$1000,"Macro")-1)&gt;0.0001),"Pesos del mes suman "&amp;TEXT(SUMIFS($G$5:$G$1000,$P$5:$P$1000,$P211,$S$5:$S$1000,"Macro"),"0%")&amp;" · ","")&amp;IF(AND(N($T211)&gt;0,COUNT($H211:$K211)&gt;0),"Con subactividades: deje vacías las semanas (se calculan solas)"&amp;" · ","")&amp;IF((COUNTIF($H211:$K211,"&gt;1")+COUNTIF($H211:$K211,"&lt;0")+COUNTA($H211:$K211)-COUNT($H211:$K211))&gt;0,"Avance fuera de rango 0-100%"&amp;" · ","")&amp;IF(OR(AND($I211&lt;&gt;"",$I211&lt;$H211),AND($J211&lt;&gt;"",$J211&lt;MAX($H211:$I211)),AND($K211&lt;&gt;"",$K211&lt;MAX($H211:$J211))),"Avance semanal decreciente"&amp;" · ","")&amp;IF(AND(ISNUMBER($F211),$F211&lt;FechaRef,N($L211)&lt;1),"Vencida"&amp;" · ","")&amp;IF(AND(ObsObligatoria="Sí",ISNUMBER($F211),$F211&lt;FechaRef,N($L211)&lt;1,$N211=""),"Vencida sin observación"&amp;" · ",""))="","✔ OK","⚠ "&amp;LEFT(IF(AND($S211="Macro",$B211=""),"Macroactividad vacía"&amp;" · ","")&amp;IF(AND($B211&lt;&gt;"",$C211&lt;&gt;""),"Escriba la subactividad en otra fila, debajo de su macroactividad"&amp;" · ","")&amp;IF(AND($S211="Sub",N($R211)=0),"Subactividad sin macroactividad arriba"&amp;" · ","")&amp;IF($D211="","Sin responsable"&amp;" · ","")&amp;IF($E211="","Sin fecha de inicio"&amp;" · ","")&amp;IF($F211="","Sin fecha límite"&amp;" · ","")&amp;IF(OR(AND($E211&lt;&gt;"",NOT(ISNUMBER($E211))),AND($F211&lt;&gt;"",NOT(ISNUMBER($F211)))),"Fecha no válida"&amp;" · ","")&amp;IF(AND(ISNUMBER($E211),ISNUMBER($F211),$E211&gt;$F211),"Inicio posterior a fecha límite"&amp;" · ","")&amp;IF(AND($S211="Macro",$G211=""),"Peso vacío"&amp;" · ","")&amp;IF(AND($S211="Macro",$G211&lt;&gt;"",OR(NOT(ISNUMBER($G211)),$G211&lt;=0,$G211&gt;1)),"Peso fuera de rango"&amp;" · ","")&amp;IF(AND($S211="Sub",$G211&lt;&gt;""),"Las subactividades no llevan peso"&amp;" · ","")&amp;IF(AND($S211="Macro",ABS(SUMIFS($G$5:$G$1000,$P$5:$P$1000,$P211,$S$5:$S$1000,"Macro")-1)&gt;0.0001),"Pesos del mes suman "&amp;TEXT(SUMIFS($G$5:$G$1000,$P$5:$P$1000,$P211,$S$5:$S$1000,"Macro"),"0%")&amp;" · ","")&amp;IF(AND(N($T211)&gt;0,COUNT($H211:$K211)&gt;0),"Con subactividades: deje vacías las semanas (se calculan solas)"&amp;" · ","")&amp;IF((COUNTIF($H211:$K211,"&gt;1")+COUNTIF($H211:$K211,"&lt;0")+COUNTA($H211:$K211)-COUNT($H211:$K211))&gt;0,"Avance fuera de rango 0-100%"&amp;" · ","")&amp;IF(OR(AND($I211&lt;&gt;"",$I211&lt;$H211),AND($J211&lt;&gt;"",$J211&lt;MAX($H211:$I211)),AND($K211&lt;&gt;"",$K211&lt;MAX($H211:$J211))),"Avance semanal decreciente"&amp;" · ","")&amp;IF(AND(ISNUMBER($F211),$F211&lt;FechaRef,N($L211)&lt;1),"Vencida"&amp;" · ","")&amp;IF(AND(ObsObligatoria="Sí",ISNUMBER($F211),$F211&lt;FechaRef,N($L211)&lt;1,$N211=""),"Vencida sin observación"&amp;" · ",""),LEN(IF(AND($S211="Macro",$B211=""),"Macroactividad vacía"&amp;" · ","")&amp;IF(AND($B211&lt;&gt;"",$C211&lt;&gt;""),"Escriba la subactividad en otra fila, debajo de su macroactividad"&amp;" · ","")&amp;IF(AND($S211="Sub",N($R211)=0),"Subactividad sin macroactividad arriba"&amp;" · ","")&amp;IF($D211="","Sin responsable"&amp;" · ","")&amp;IF($E211="","Sin fecha de inicio"&amp;" · ","")&amp;IF($F211="","Sin fecha límite"&amp;" · ","")&amp;IF(OR(AND($E211&lt;&gt;"",NOT(ISNUMBER($E211))),AND($F211&lt;&gt;"",NOT(ISNUMBER($F211)))),"Fecha no válida"&amp;" · ","")&amp;IF(AND(ISNUMBER($E211),ISNUMBER($F211),$E211&gt;$F211),"Inicio posterior a fecha límite"&amp;" · ","")&amp;IF(AND($S211="Macro",$G211=""),"Peso vacío"&amp;" · ","")&amp;IF(AND($S211="Macro",$G211&lt;&gt;"",OR(NOT(ISNUMBER($G211)),$G211&lt;=0,$G211&gt;1)),"Peso fuera de rango"&amp;" · ","")&amp;IF(AND($S211="Sub",$G211&lt;&gt;""),"Las subactividades no llevan peso"&amp;" · ","")&amp;IF(AND($S211="Macro",ABS(SUMIFS($G$5:$G$1000,$P$5:$P$1000,$P211,$S$5:$S$1000,"Macro")-1)&gt;0.0001),"Pesos del mes suman "&amp;TEXT(SUMIFS($G$5:$G$1000,$P$5:$P$1000,$P211,$S$5:$S$1000,"Macro"),"0%")&amp;" · ","")&amp;IF(AND(N($T211)&gt;0,COUNT($H211:$K211)&gt;0),"Con subactividades: deje vacías las semanas (se calculan solas)"&amp;" · ","")&amp;IF((COUNTIF($H211:$K211,"&gt;1")+COUNTIF($H211:$K211,"&lt;0")+COUNTA($H211:$K211)-COUNT($H211:$K211))&gt;0,"Avance fuera de rango 0-100%"&amp;" · ","")&amp;IF(OR(AND($I211&lt;&gt;"",$I211&lt;$H211),AND($J211&lt;&gt;"",$J211&lt;MAX($H211:$I211)),AND($K211&lt;&gt;"",$K211&lt;MAX($H211:$J211))),"Avance semanal decreciente"&amp;" · ","")&amp;IF(AND(ISNUMBER($F211),$F211&lt;FechaRef,N($L211)&lt;1),"Vencida"&amp;" · ","")&amp;IF(AND(ObsObligatoria="Sí",ISNUMBER($F211),$F211&lt;FechaRef,N($L211)&lt;1,$N211=""),"Vencida sin observación"&amp;" · ",""))-3)))</f>
        <v/>
      </c>
      <c r="P211" s="69">
        <f>IF(NOT((COUNTA($B211:$K211)+COUNTA($N211))&gt;0),"",IF(AND($S211="Sub",N($R211)&gt;0),IF(ISNUMBER(INDEX($E$5:$E$1000,$R211-4)),DATE(YEAR(INDEX($E$5:$E$1000,$R211-4)),MONTH(INDEX($E$5:$E$1000,$R211-4)),1),IF(ISNUMBER(INDEX($F$5:$F$1000,$R211-4)),DATE(YEAR(INDEX($F$5:$F$1000,$R211-4)),MONTH(INDEX($F$5:$F$1000,$R211-4)),1),MesCiclo)),IF(ISNUMBER($E211),DATE(YEAR($E211),MONTH($E211),1),IF(ISNUMBER($F211),DATE(YEAR($F211),MONTH($F211),1),MesCiclo))))</f>
        <v/>
      </c>
      <c r="Q211" s="70">
        <f>IF(OR($P211="",$P211&lt;&gt;MesCiclo),"",COUNTIF($P$5:$P211,MesCiclo))</f>
        <v/>
      </c>
      <c r="R211" s="70">
        <f>IF($S211="","",IF($S211="Macro",ROW(),IFERROR(LOOKUP(2,1/($S$5:$S211="Macro"),ROW($S$5:$S211)),0)))</f>
        <v/>
      </c>
      <c r="S211" s="70">
        <f>IF(NOT((COUNTA($B211:$K211)+COUNTA($N211))&gt;0),"",IF($B211&lt;&gt;"","Macro",IF($C211&lt;&gt;"","Sub","Macro")))</f>
        <v/>
      </c>
      <c r="T211" s="70">
        <f>IF($S211="Macro",COUNTIFS($R$5:$R$1000,ROW(),$S$5:$S$1000,"Sub"),"")</f>
        <v/>
      </c>
      <c r="U211" s="70">
        <f>IF($S211="","",IF(ISNUMBER($H211),$H211,0))</f>
        <v/>
      </c>
      <c r="V211" s="70">
        <f>IF($S211="","",IF(ISNUMBER($I211),$I211,$U211))</f>
        <v/>
      </c>
      <c r="W211" s="70">
        <f>IF($S211="","",IF(ISNUMBER($J211),$J211,$V211))</f>
        <v/>
      </c>
      <c r="X211" s="70">
        <f>IF($S211="","",IF(ISNUMBER($K211),$K211,$W211))</f>
        <v/>
      </c>
      <c r="Y211" s="70">
        <f>IF($S211="","",IF(N($T211)&gt;0,AVERAGEIFS($U$5:$U$1000,$R$5:$R$1000,ROW(),$S$5:$S$1000,"Sub"),$U211))</f>
        <v/>
      </c>
      <c r="Z211" s="70">
        <f>IF($S211="","",IF(N($T211)&gt;0,AVERAGEIFS($V$5:$V$1000,$R$5:$R$1000,ROW(),$S$5:$S$1000,"Sub"),$V211))</f>
        <v/>
      </c>
      <c r="AA211" s="70">
        <f>IF($S211="","",IF(N($T211)&gt;0,AVERAGEIFS($W$5:$W$1000,$R$5:$R$1000,ROW(),$S$5:$S$1000,"Sub"),$W211))</f>
        <v/>
      </c>
      <c r="AB211" s="70">
        <f>IF($S211="","",IF(N($T211)&gt;0,AVERAGEIFS($X$5:$X$1000,$R$5:$R$1000,ROW(),$S$5:$S$1000,"Sub"),$X211))</f>
        <v/>
      </c>
    </row>
    <row r="212">
      <c r="A212" s="61">
        <f>IF(NOT((COUNTA($B212:$K212)+COUNTA($N212))&gt;0),"",IF($S212="Macro",COUNTIFS($S$5:$S212,"Macro",$P$5:$P212,$P212),IF(N($R212)=0,"?",COUNTIFS(INDEX($S$5:$S$1000,1):INDEX($S$5:$S$1000,$R212-4),"Macro",INDEX($P$5:$P$1000,1):INDEX($P$5:$P$1000,$R212-4),INDEX($P$5:$P$1000,$R212-4))&amp;"."&amp;COUNTIFS($R$5:$R212,$R212,$S$5:$S212,"Sub"))))</f>
        <v/>
      </c>
      <c r="B212" s="62" t="n"/>
      <c r="C212" s="63" t="n"/>
      <c r="D212" s="62" t="n"/>
      <c r="E212" s="64" t="n"/>
      <c r="F212" s="64" t="n"/>
      <c r="G212" s="65" t="n"/>
      <c r="H212" s="66" t="n"/>
      <c r="I212" s="66" t="n"/>
      <c r="J212" s="66" t="n"/>
      <c r="K212" s="66" t="n"/>
      <c r="L212" s="67">
        <f>IF(NOT((COUNTA($B212:$K212)+COUNTA($N212))&gt;0),"",IF(N($T212)&gt;0,$AB212,IFERROR(LOOKUP(2,1/(H212:K212&lt;&gt;""),H212:K212),0)))</f>
        <v/>
      </c>
      <c r="M212" s="61">
        <f>IF(L212="","",IF(L212&gt;=1,"Completado",IF(L212&gt;0,"En curso","Pendiente")))</f>
        <v/>
      </c>
      <c r="N212" s="62" t="n"/>
      <c r="O212" s="68">
        <f>IF(NOT((COUNTA($B212:$K212)+COUNTA($N212))&gt;0),"",IF((IF(AND($S212="Macro",$B212=""),"Macroactividad vacía"&amp;" · ","")&amp;IF(AND($B212&lt;&gt;"",$C212&lt;&gt;""),"Escriba la subactividad en otra fila, debajo de su macroactividad"&amp;" · ","")&amp;IF(AND($S212="Sub",N($R212)=0),"Subactividad sin macroactividad arriba"&amp;" · ","")&amp;IF($D212="","Sin responsable"&amp;" · ","")&amp;IF($E212="","Sin fecha de inicio"&amp;" · ","")&amp;IF($F212="","Sin fecha límite"&amp;" · ","")&amp;IF(OR(AND($E212&lt;&gt;"",NOT(ISNUMBER($E212))),AND($F212&lt;&gt;"",NOT(ISNUMBER($F212)))),"Fecha no válida"&amp;" · ","")&amp;IF(AND(ISNUMBER($E212),ISNUMBER($F212),$E212&gt;$F212),"Inicio posterior a fecha límite"&amp;" · ","")&amp;IF(AND($S212="Macro",$G212=""),"Peso vacío"&amp;" · ","")&amp;IF(AND($S212="Macro",$G212&lt;&gt;"",OR(NOT(ISNUMBER($G212)),$G212&lt;=0,$G212&gt;1)),"Peso fuera de rango"&amp;" · ","")&amp;IF(AND($S212="Sub",$G212&lt;&gt;""),"Las subactividades no llevan peso"&amp;" · ","")&amp;IF(AND($S212="Macro",ABS(SUMIFS($G$5:$G$1000,$P$5:$P$1000,$P212,$S$5:$S$1000,"Macro")-1)&gt;0.0001),"Pesos del mes suman "&amp;TEXT(SUMIFS($G$5:$G$1000,$P$5:$P$1000,$P212,$S$5:$S$1000,"Macro"),"0%")&amp;" · ","")&amp;IF(AND(N($T212)&gt;0,COUNT($H212:$K212)&gt;0),"Con subactividades: deje vacías las semanas (se calculan solas)"&amp;" · ","")&amp;IF((COUNTIF($H212:$K212,"&gt;1")+COUNTIF($H212:$K212,"&lt;0")+COUNTA($H212:$K212)-COUNT($H212:$K212))&gt;0,"Avance fuera de rango 0-100%"&amp;" · ","")&amp;IF(OR(AND($I212&lt;&gt;"",$I212&lt;$H212),AND($J212&lt;&gt;"",$J212&lt;MAX($H212:$I212)),AND($K212&lt;&gt;"",$K212&lt;MAX($H212:$J212))),"Avance semanal decreciente"&amp;" · ","")&amp;IF(AND(ISNUMBER($F212),$F212&lt;FechaRef,N($L212)&lt;1),"Vencida"&amp;" · ","")&amp;IF(AND(ObsObligatoria="Sí",ISNUMBER($F212),$F212&lt;FechaRef,N($L212)&lt;1,$N212=""),"Vencida sin observación"&amp;" · ",""))="","✔ OK","⚠ "&amp;LEFT(IF(AND($S212="Macro",$B212=""),"Macroactividad vacía"&amp;" · ","")&amp;IF(AND($B212&lt;&gt;"",$C212&lt;&gt;""),"Escriba la subactividad en otra fila, debajo de su macroactividad"&amp;" · ","")&amp;IF(AND($S212="Sub",N($R212)=0),"Subactividad sin macroactividad arriba"&amp;" · ","")&amp;IF($D212="","Sin responsable"&amp;" · ","")&amp;IF($E212="","Sin fecha de inicio"&amp;" · ","")&amp;IF($F212="","Sin fecha límite"&amp;" · ","")&amp;IF(OR(AND($E212&lt;&gt;"",NOT(ISNUMBER($E212))),AND($F212&lt;&gt;"",NOT(ISNUMBER($F212)))),"Fecha no válida"&amp;" · ","")&amp;IF(AND(ISNUMBER($E212),ISNUMBER($F212),$E212&gt;$F212),"Inicio posterior a fecha límite"&amp;" · ","")&amp;IF(AND($S212="Macro",$G212=""),"Peso vacío"&amp;" · ","")&amp;IF(AND($S212="Macro",$G212&lt;&gt;"",OR(NOT(ISNUMBER($G212)),$G212&lt;=0,$G212&gt;1)),"Peso fuera de rango"&amp;" · ","")&amp;IF(AND($S212="Sub",$G212&lt;&gt;""),"Las subactividades no llevan peso"&amp;" · ","")&amp;IF(AND($S212="Macro",ABS(SUMIFS($G$5:$G$1000,$P$5:$P$1000,$P212,$S$5:$S$1000,"Macro")-1)&gt;0.0001),"Pesos del mes suman "&amp;TEXT(SUMIFS($G$5:$G$1000,$P$5:$P$1000,$P212,$S$5:$S$1000,"Macro"),"0%")&amp;" · ","")&amp;IF(AND(N($T212)&gt;0,COUNT($H212:$K212)&gt;0),"Con subactividades: deje vacías las semanas (se calculan solas)"&amp;" · ","")&amp;IF((COUNTIF($H212:$K212,"&gt;1")+COUNTIF($H212:$K212,"&lt;0")+COUNTA($H212:$K212)-COUNT($H212:$K212))&gt;0,"Avance fuera de rango 0-100%"&amp;" · ","")&amp;IF(OR(AND($I212&lt;&gt;"",$I212&lt;$H212),AND($J212&lt;&gt;"",$J212&lt;MAX($H212:$I212)),AND($K212&lt;&gt;"",$K212&lt;MAX($H212:$J212))),"Avance semanal decreciente"&amp;" · ","")&amp;IF(AND(ISNUMBER($F212),$F212&lt;FechaRef,N($L212)&lt;1),"Vencida"&amp;" · ","")&amp;IF(AND(ObsObligatoria="Sí",ISNUMBER($F212),$F212&lt;FechaRef,N($L212)&lt;1,$N212=""),"Vencida sin observación"&amp;" · ",""),LEN(IF(AND($S212="Macro",$B212=""),"Macroactividad vacía"&amp;" · ","")&amp;IF(AND($B212&lt;&gt;"",$C212&lt;&gt;""),"Escriba la subactividad en otra fila, debajo de su macroactividad"&amp;" · ","")&amp;IF(AND($S212="Sub",N($R212)=0),"Subactividad sin macroactividad arriba"&amp;" · ","")&amp;IF($D212="","Sin responsable"&amp;" · ","")&amp;IF($E212="","Sin fecha de inicio"&amp;" · ","")&amp;IF($F212="","Sin fecha límite"&amp;" · ","")&amp;IF(OR(AND($E212&lt;&gt;"",NOT(ISNUMBER($E212))),AND($F212&lt;&gt;"",NOT(ISNUMBER($F212)))),"Fecha no válida"&amp;" · ","")&amp;IF(AND(ISNUMBER($E212),ISNUMBER($F212),$E212&gt;$F212),"Inicio posterior a fecha límite"&amp;" · ","")&amp;IF(AND($S212="Macro",$G212=""),"Peso vacío"&amp;" · ","")&amp;IF(AND($S212="Macro",$G212&lt;&gt;"",OR(NOT(ISNUMBER($G212)),$G212&lt;=0,$G212&gt;1)),"Peso fuera de rango"&amp;" · ","")&amp;IF(AND($S212="Sub",$G212&lt;&gt;""),"Las subactividades no llevan peso"&amp;" · ","")&amp;IF(AND($S212="Macro",ABS(SUMIFS($G$5:$G$1000,$P$5:$P$1000,$P212,$S$5:$S$1000,"Macro")-1)&gt;0.0001),"Pesos del mes suman "&amp;TEXT(SUMIFS($G$5:$G$1000,$P$5:$P$1000,$P212,$S$5:$S$1000,"Macro"),"0%")&amp;" · ","")&amp;IF(AND(N($T212)&gt;0,COUNT($H212:$K212)&gt;0),"Con subactividades: deje vacías las semanas (se calculan solas)"&amp;" · ","")&amp;IF((COUNTIF($H212:$K212,"&gt;1")+COUNTIF($H212:$K212,"&lt;0")+COUNTA($H212:$K212)-COUNT($H212:$K212))&gt;0,"Avance fuera de rango 0-100%"&amp;" · ","")&amp;IF(OR(AND($I212&lt;&gt;"",$I212&lt;$H212),AND($J212&lt;&gt;"",$J212&lt;MAX($H212:$I212)),AND($K212&lt;&gt;"",$K212&lt;MAX($H212:$J212))),"Avance semanal decreciente"&amp;" · ","")&amp;IF(AND(ISNUMBER($F212),$F212&lt;FechaRef,N($L212)&lt;1),"Vencida"&amp;" · ","")&amp;IF(AND(ObsObligatoria="Sí",ISNUMBER($F212),$F212&lt;FechaRef,N($L212)&lt;1,$N212=""),"Vencida sin observación"&amp;" · ",""))-3)))</f>
        <v/>
      </c>
      <c r="P212" s="69">
        <f>IF(NOT((COUNTA($B212:$K212)+COUNTA($N212))&gt;0),"",IF(AND($S212="Sub",N($R212)&gt;0),IF(ISNUMBER(INDEX($E$5:$E$1000,$R212-4)),DATE(YEAR(INDEX($E$5:$E$1000,$R212-4)),MONTH(INDEX($E$5:$E$1000,$R212-4)),1),IF(ISNUMBER(INDEX($F$5:$F$1000,$R212-4)),DATE(YEAR(INDEX($F$5:$F$1000,$R212-4)),MONTH(INDEX($F$5:$F$1000,$R212-4)),1),MesCiclo)),IF(ISNUMBER($E212),DATE(YEAR($E212),MONTH($E212),1),IF(ISNUMBER($F212),DATE(YEAR($F212),MONTH($F212),1),MesCiclo))))</f>
        <v/>
      </c>
      <c r="Q212" s="70">
        <f>IF(OR($P212="",$P212&lt;&gt;MesCiclo),"",COUNTIF($P$5:$P212,MesCiclo))</f>
        <v/>
      </c>
      <c r="R212" s="70">
        <f>IF($S212="","",IF($S212="Macro",ROW(),IFERROR(LOOKUP(2,1/($S$5:$S212="Macro"),ROW($S$5:$S212)),0)))</f>
        <v/>
      </c>
      <c r="S212" s="70">
        <f>IF(NOT((COUNTA($B212:$K212)+COUNTA($N212))&gt;0),"",IF($B212&lt;&gt;"","Macro",IF($C212&lt;&gt;"","Sub","Macro")))</f>
        <v/>
      </c>
      <c r="T212" s="70">
        <f>IF($S212="Macro",COUNTIFS($R$5:$R$1000,ROW(),$S$5:$S$1000,"Sub"),"")</f>
        <v/>
      </c>
      <c r="U212" s="70">
        <f>IF($S212="","",IF(ISNUMBER($H212),$H212,0))</f>
        <v/>
      </c>
      <c r="V212" s="70">
        <f>IF($S212="","",IF(ISNUMBER($I212),$I212,$U212))</f>
        <v/>
      </c>
      <c r="W212" s="70">
        <f>IF($S212="","",IF(ISNUMBER($J212),$J212,$V212))</f>
        <v/>
      </c>
      <c r="X212" s="70">
        <f>IF($S212="","",IF(ISNUMBER($K212),$K212,$W212))</f>
        <v/>
      </c>
      <c r="Y212" s="70">
        <f>IF($S212="","",IF(N($T212)&gt;0,AVERAGEIFS($U$5:$U$1000,$R$5:$R$1000,ROW(),$S$5:$S$1000,"Sub"),$U212))</f>
        <v/>
      </c>
      <c r="Z212" s="70">
        <f>IF($S212="","",IF(N($T212)&gt;0,AVERAGEIFS($V$5:$V$1000,$R$5:$R$1000,ROW(),$S$5:$S$1000,"Sub"),$V212))</f>
        <v/>
      </c>
      <c r="AA212" s="70">
        <f>IF($S212="","",IF(N($T212)&gt;0,AVERAGEIFS($W$5:$W$1000,$R$5:$R$1000,ROW(),$S$5:$S$1000,"Sub"),$W212))</f>
        <v/>
      </c>
      <c r="AB212" s="70">
        <f>IF($S212="","",IF(N($T212)&gt;0,AVERAGEIFS($X$5:$X$1000,$R$5:$R$1000,ROW(),$S$5:$S$1000,"Sub"),$X212))</f>
        <v/>
      </c>
    </row>
    <row r="213">
      <c r="A213" s="61">
        <f>IF(NOT((COUNTA($B213:$K213)+COUNTA($N213))&gt;0),"",IF($S213="Macro",COUNTIFS($S$5:$S213,"Macro",$P$5:$P213,$P213),IF(N($R213)=0,"?",COUNTIFS(INDEX($S$5:$S$1000,1):INDEX($S$5:$S$1000,$R213-4),"Macro",INDEX($P$5:$P$1000,1):INDEX($P$5:$P$1000,$R213-4),INDEX($P$5:$P$1000,$R213-4))&amp;"."&amp;COUNTIFS($R$5:$R213,$R213,$S$5:$S213,"Sub"))))</f>
        <v/>
      </c>
      <c r="B213" s="62" t="n"/>
      <c r="C213" s="63" t="n"/>
      <c r="D213" s="62" t="n"/>
      <c r="E213" s="64" t="n"/>
      <c r="F213" s="64" t="n"/>
      <c r="G213" s="65" t="n"/>
      <c r="H213" s="66" t="n"/>
      <c r="I213" s="66" t="n"/>
      <c r="J213" s="66" t="n"/>
      <c r="K213" s="66" t="n"/>
      <c r="L213" s="67">
        <f>IF(NOT((COUNTA($B213:$K213)+COUNTA($N213))&gt;0),"",IF(N($T213)&gt;0,$AB213,IFERROR(LOOKUP(2,1/(H213:K213&lt;&gt;""),H213:K213),0)))</f>
        <v/>
      </c>
      <c r="M213" s="61">
        <f>IF(L213="","",IF(L213&gt;=1,"Completado",IF(L213&gt;0,"En curso","Pendiente")))</f>
        <v/>
      </c>
      <c r="N213" s="62" t="n"/>
      <c r="O213" s="68">
        <f>IF(NOT((COUNTA($B213:$K213)+COUNTA($N213))&gt;0),"",IF((IF(AND($S213="Macro",$B213=""),"Macroactividad vacía"&amp;" · ","")&amp;IF(AND($B213&lt;&gt;"",$C213&lt;&gt;""),"Escriba la subactividad en otra fila, debajo de su macroactividad"&amp;" · ","")&amp;IF(AND($S213="Sub",N($R213)=0),"Subactividad sin macroactividad arriba"&amp;" · ","")&amp;IF($D213="","Sin responsable"&amp;" · ","")&amp;IF($E213="","Sin fecha de inicio"&amp;" · ","")&amp;IF($F213="","Sin fecha límite"&amp;" · ","")&amp;IF(OR(AND($E213&lt;&gt;"",NOT(ISNUMBER($E213))),AND($F213&lt;&gt;"",NOT(ISNUMBER($F213)))),"Fecha no válida"&amp;" · ","")&amp;IF(AND(ISNUMBER($E213),ISNUMBER($F213),$E213&gt;$F213),"Inicio posterior a fecha límite"&amp;" · ","")&amp;IF(AND($S213="Macro",$G213=""),"Peso vacío"&amp;" · ","")&amp;IF(AND($S213="Macro",$G213&lt;&gt;"",OR(NOT(ISNUMBER($G213)),$G213&lt;=0,$G213&gt;1)),"Peso fuera de rango"&amp;" · ","")&amp;IF(AND($S213="Sub",$G213&lt;&gt;""),"Las subactividades no llevan peso"&amp;" · ","")&amp;IF(AND($S213="Macro",ABS(SUMIFS($G$5:$G$1000,$P$5:$P$1000,$P213,$S$5:$S$1000,"Macro")-1)&gt;0.0001),"Pesos del mes suman "&amp;TEXT(SUMIFS($G$5:$G$1000,$P$5:$P$1000,$P213,$S$5:$S$1000,"Macro"),"0%")&amp;" · ","")&amp;IF(AND(N($T213)&gt;0,COUNT($H213:$K213)&gt;0),"Con subactividades: deje vacías las semanas (se calculan solas)"&amp;" · ","")&amp;IF((COUNTIF($H213:$K213,"&gt;1")+COUNTIF($H213:$K213,"&lt;0")+COUNTA($H213:$K213)-COUNT($H213:$K213))&gt;0,"Avance fuera de rango 0-100%"&amp;" · ","")&amp;IF(OR(AND($I213&lt;&gt;"",$I213&lt;$H213),AND($J213&lt;&gt;"",$J213&lt;MAX($H213:$I213)),AND($K213&lt;&gt;"",$K213&lt;MAX($H213:$J213))),"Avance semanal decreciente"&amp;" · ","")&amp;IF(AND(ISNUMBER($F213),$F213&lt;FechaRef,N($L213)&lt;1),"Vencida"&amp;" · ","")&amp;IF(AND(ObsObligatoria="Sí",ISNUMBER($F213),$F213&lt;FechaRef,N($L213)&lt;1,$N213=""),"Vencida sin observación"&amp;" · ",""))="","✔ OK","⚠ "&amp;LEFT(IF(AND($S213="Macro",$B213=""),"Macroactividad vacía"&amp;" · ","")&amp;IF(AND($B213&lt;&gt;"",$C213&lt;&gt;""),"Escriba la subactividad en otra fila, debajo de su macroactividad"&amp;" · ","")&amp;IF(AND($S213="Sub",N($R213)=0),"Subactividad sin macroactividad arriba"&amp;" · ","")&amp;IF($D213="","Sin responsable"&amp;" · ","")&amp;IF($E213="","Sin fecha de inicio"&amp;" · ","")&amp;IF($F213="","Sin fecha límite"&amp;" · ","")&amp;IF(OR(AND($E213&lt;&gt;"",NOT(ISNUMBER($E213))),AND($F213&lt;&gt;"",NOT(ISNUMBER($F213)))),"Fecha no válida"&amp;" · ","")&amp;IF(AND(ISNUMBER($E213),ISNUMBER($F213),$E213&gt;$F213),"Inicio posterior a fecha límite"&amp;" · ","")&amp;IF(AND($S213="Macro",$G213=""),"Peso vacío"&amp;" · ","")&amp;IF(AND($S213="Macro",$G213&lt;&gt;"",OR(NOT(ISNUMBER($G213)),$G213&lt;=0,$G213&gt;1)),"Peso fuera de rango"&amp;" · ","")&amp;IF(AND($S213="Sub",$G213&lt;&gt;""),"Las subactividades no llevan peso"&amp;" · ","")&amp;IF(AND($S213="Macro",ABS(SUMIFS($G$5:$G$1000,$P$5:$P$1000,$P213,$S$5:$S$1000,"Macro")-1)&gt;0.0001),"Pesos del mes suman "&amp;TEXT(SUMIFS($G$5:$G$1000,$P$5:$P$1000,$P213,$S$5:$S$1000,"Macro"),"0%")&amp;" · ","")&amp;IF(AND(N($T213)&gt;0,COUNT($H213:$K213)&gt;0),"Con subactividades: deje vacías las semanas (se calculan solas)"&amp;" · ","")&amp;IF((COUNTIF($H213:$K213,"&gt;1")+COUNTIF($H213:$K213,"&lt;0")+COUNTA($H213:$K213)-COUNT($H213:$K213))&gt;0,"Avance fuera de rango 0-100%"&amp;" · ","")&amp;IF(OR(AND($I213&lt;&gt;"",$I213&lt;$H213),AND($J213&lt;&gt;"",$J213&lt;MAX($H213:$I213)),AND($K213&lt;&gt;"",$K213&lt;MAX($H213:$J213))),"Avance semanal decreciente"&amp;" · ","")&amp;IF(AND(ISNUMBER($F213),$F213&lt;FechaRef,N($L213)&lt;1),"Vencida"&amp;" · ","")&amp;IF(AND(ObsObligatoria="Sí",ISNUMBER($F213),$F213&lt;FechaRef,N($L213)&lt;1,$N213=""),"Vencida sin observación"&amp;" · ",""),LEN(IF(AND($S213="Macro",$B213=""),"Macroactividad vacía"&amp;" · ","")&amp;IF(AND($B213&lt;&gt;"",$C213&lt;&gt;""),"Escriba la subactividad en otra fila, debajo de su macroactividad"&amp;" · ","")&amp;IF(AND($S213="Sub",N($R213)=0),"Subactividad sin macroactividad arriba"&amp;" · ","")&amp;IF($D213="","Sin responsable"&amp;" · ","")&amp;IF($E213="","Sin fecha de inicio"&amp;" · ","")&amp;IF($F213="","Sin fecha límite"&amp;" · ","")&amp;IF(OR(AND($E213&lt;&gt;"",NOT(ISNUMBER($E213))),AND($F213&lt;&gt;"",NOT(ISNUMBER($F213)))),"Fecha no válida"&amp;" · ","")&amp;IF(AND(ISNUMBER($E213),ISNUMBER($F213),$E213&gt;$F213),"Inicio posterior a fecha límite"&amp;" · ","")&amp;IF(AND($S213="Macro",$G213=""),"Peso vacío"&amp;" · ","")&amp;IF(AND($S213="Macro",$G213&lt;&gt;"",OR(NOT(ISNUMBER($G213)),$G213&lt;=0,$G213&gt;1)),"Peso fuera de rango"&amp;" · ","")&amp;IF(AND($S213="Sub",$G213&lt;&gt;""),"Las subactividades no llevan peso"&amp;" · ","")&amp;IF(AND($S213="Macro",ABS(SUMIFS($G$5:$G$1000,$P$5:$P$1000,$P213,$S$5:$S$1000,"Macro")-1)&gt;0.0001),"Pesos del mes suman "&amp;TEXT(SUMIFS($G$5:$G$1000,$P$5:$P$1000,$P213,$S$5:$S$1000,"Macro"),"0%")&amp;" · ","")&amp;IF(AND(N($T213)&gt;0,COUNT($H213:$K213)&gt;0),"Con subactividades: deje vacías las semanas (se calculan solas)"&amp;" · ","")&amp;IF((COUNTIF($H213:$K213,"&gt;1")+COUNTIF($H213:$K213,"&lt;0")+COUNTA($H213:$K213)-COUNT($H213:$K213))&gt;0,"Avance fuera de rango 0-100%"&amp;" · ","")&amp;IF(OR(AND($I213&lt;&gt;"",$I213&lt;$H213),AND($J213&lt;&gt;"",$J213&lt;MAX($H213:$I213)),AND($K213&lt;&gt;"",$K213&lt;MAX($H213:$J213))),"Avance semanal decreciente"&amp;" · ","")&amp;IF(AND(ISNUMBER($F213),$F213&lt;FechaRef,N($L213)&lt;1),"Vencida"&amp;" · ","")&amp;IF(AND(ObsObligatoria="Sí",ISNUMBER($F213),$F213&lt;FechaRef,N($L213)&lt;1,$N213=""),"Vencida sin observación"&amp;" · ",""))-3)))</f>
        <v/>
      </c>
      <c r="P213" s="69">
        <f>IF(NOT((COUNTA($B213:$K213)+COUNTA($N213))&gt;0),"",IF(AND($S213="Sub",N($R213)&gt;0),IF(ISNUMBER(INDEX($E$5:$E$1000,$R213-4)),DATE(YEAR(INDEX($E$5:$E$1000,$R213-4)),MONTH(INDEX($E$5:$E$1000,$R213-4)),1),IF(ISNUMBER(INDEX($F$5:$F$1000,$R213-4)),DATE(YEAR(INDEX($F$5:$F$1000,$R213-4)),MONTH(INDEX($F$5:$F$1000,$R213-4)),1),MesCiclo)),IF(ISNUMBER($E213),DATE(YEAR($E213),MONTH($E213),1),IF(ISNUMBER($F213),DATE(YEAR($F213),MONTH($F213),1),MesCiclo))))</f>
        <v/>
      </c>
      <c r="Q213" s="70">
        <f>IF(OR($P213="",$P213&lt;&gt;MesCiclo),"",COUNTIF($P$5:$P213,MesCiclo))</f>
        <v/>
      </c>
      <c r="R213" s="70">
        <f>IF($S213="","",IF($S213="Macro",ROW(),IFERROR(LOOKUP(2,1/($S$5:$S213="Macro"),ROW($S$5:$S213)),0)))</f>
        <v/>
      </c>
      <c r="S213" s="70">
        <f>IF(NOT((COUNTA($B213:$K213)+COUNTA($N213))&gt;0),"",IF($B213&lt;&gt;"","Macro",IF($C213&lt;&gt;"","Sub","Macro")))</f>
        <v/>
      </c>
      <c r="T213" s="70">
        <f>IF($S213="Macro",COUNTIFS($R$5:$R$1000,ROW(),$S$5:$S$1000,"Sub"),"")</f>
        <v/>
      </c>
      <c r="U213" s="70">
        <f>IF($S213="","",IF(ISNUMBER($H213),$H213,0))</f>
        <v/>
      </c>
      <c r="V213" s="70">
        <f>IF($S213="","",IF(ISNUMBER($I213),$I213,$U213))</f>
        <v/>
      </c>
      <c r="W213" s="70">
        <f>IF($S213="","",IF(ISNUMBER($J213),$J213,$V213))</f>
        <v/>
      </c>
      <c r="X213" s="70">
        <f>IF($S213="","",IF(ISNUMBER($K213),$K213,$W213))</f>
        <v/>
      </c>
      <c r="Y213" s="70">
        <f>IF($S213="","",IF(N($T213)&gt;0,AVERAGEIFS($U$5:$U$1000,$R$5:$R$1000,ROW(),$S$5:$S$1000,"Sub"),$U213))</f>
        <v/>
      </c>
      <c r="Z213" s="70">
        <f>IF($S213="","",IF(N($T213)&gt;0,AVERAGEIFS($V$5:$V$1000,$R$5:$R$1000,ROW(),$S$5:$S$1000,"Sub"),$V213))</f>
        <v/>
      </c>
      <c r="AA213" s="70">
        <f>IF($S213="","",IF(N($T213)&gt;0,AVERAGEIFS($W$5:$W$1000,$R$5:$R$1000,ROW(),$S$5:$S$1000,"Sub"),$W213))</f>
        <v/>
      </c>
      <c r="AB213" s="70">
        <f>IF($S213="","",IF(N($T213)&gt;0,AVERAGEIFS($X$5:$X$1000,$R$5:$R$1000,ROW(),$S$5:$S$1000,"Sub"),$X213))</f>
        <v/>
      </c>
    </row>
    <row r="214">
      <c r="A214" s="61">
        <f>IF(NOT((COUNTA($B214:$K214)+COUNTA($N214))&gt;0),"",IF($S214="Macro",COUNTIFS($S$5:$S214,"Macro",$P$5:$P214,$P214),IF(N($R214)=0,"?",COUNTIFS(INDEX($S$5:$S$1000,1):INDEX($S$5:$S$1000,$R214-4),"Macro",INDEX($P$5:$P$1000,1):INDEX($P$5:$P$1000,$R214-4),INDEX($P$5:$P$1000,$R214-4))&amp;"."&amp;COUNTIFS($R$5:$R214,$R214,$S$5:$S214,"Sub"))))</f>
        <v/>
      </c>
      <c r="B214" s="62" t="n"/>
      <c r="C214" s="63" t="n"/>
      <c r="D214" s="62" t="n"/>
      <c r="E214" s="64" t="n"/>
      <c r="F214" s="64" t="n"/>
      <c r="G214" s="65" t="n"/>
      <c r="H214" s="66" t="n"/>
      <c r="I214" s="66" t="n"/>
      <c r="J214" s="66" t="n"/>
      <c r="K214" s="66" t="n"/>
      <c r="L214" s="67">
        <f>IF(NOT((COUNTA($B214:$K214)+COUNTA($N214))&gt;0),"",IF(N($T214)&gt;0,$AB214,IFERROR(LOOKUP(2,1/(H214:K214&lt;&gt;""),H214:K214),0)))</f>
        <v/>
      </c>
      <c r="M214" s="61">
        <f>IF(L214="","",IF(L214&gt;=1,"Completado",IF(L214&gt;0,"En curso","Pendiente")))</f>
        <v/>
      </c>
      <c r="N214" s="62" t="n"/>
      <c r="O214" s="68">
        <f>IF(NOT((COUNTA($B214:$K214)+COUNTA($N214))&gt;0),"",IF((IF(AND($S214="Macro",$B214=""),"Macroactividad vacía"&amp;" · ","")&amp;IF(AND($B214&lt;&gt;"",$C214&lt;&gt;""),"Escriba la subactividad en otra fila, debajo de su macroactividad"&amp;" · ","")&amp;IF(AND($S214="Sub",N($R214)=0),"Subactividad sin macroactividad arriba"&amp;" · ","")&amp;IF($D214="","Sin responsable"&amp;" · ","")&amp;IF($E214="","Sin fecha de inicio"&amp;" · ","")&amp;IF($F214="","Sin fecha límite"&amp;" · ","")&amp;IF(OR(AND($E214&lt;&gt;"",NOT(ISNUMBER($E214))),AND($F214&lt;&gt;"",NOT(ISNUMBER($F214)))),"Fecha no válida"&amp;" · ","")&amp;IF(AND(ISNUMBER($E214),ISNUMBER($F214),$E214&gt;$F214),"Inicio posterior a fecha límite"&amp;" · ","")&amp;IF(AND($S214="Macro",$G214=""),"Peso vacío"&amp;" · ","")&amp;IF(AND($S214="Macro",$G214&lt;&gt;"",OR(NOT(ISNUMBER($G214)),$G214&lt;=0,$G214&gt;1)),"Peso fuera de rango"&amp;" · ","")&amp;IF(AND($S214="Sub",$G214&lt;&gt;""),"Las subactividades no llevan peso"&amp;" · ","")&amp;IF(AND($S214="Macro",ABS(SUMIFS($G$5:$G$1000,$P$5:$P$1000,$P214,$S$5:$S$1000,"Macro")-1)&gt;0.0001),"Pesos del mes suman "&amp;TEXT(SUMIFS($G$5:$G$1000,$P$5:$P$1000,$P214,$S$5:$S$1000,"Macro"),"0%")&amp;" · ","")&amp;IF(AND(N($T214)&gt;0,COUNT($H214:$K214)&gt;0),"Con subactividades: deje vacías las semanas (se calculan solas)"&amp;" · ","")&amp;IF((COUNTIF($H214:$K214,"&gt;1")+COUNTIF($H214:$K214,"&lt;0")+COUNTA($H214:$K214)-COUNT($H214:$K214))&gt;0,"Avance fuera de rango 0-100%"&amp;" · ","")&amp;IF(OR(AND($I214&lt;&gt;"",$I214&lt;$H214),AND($J214&lt;&gt;"",$J214&lt;MAX($H214:$I214)),AND($K214&lt;&gt;"",$K214&lt;MAX($H214:$J214))),"Avance semanal decreciente"&amp;" · ","")&amp;IF(AND(ISNUMBER($F214),$F214&lt;FechaRef,N($L214)&lt;1),"Vencida"&amp;" · ","")&amp;IF(AND(ObsObligatoria="Sí",ISNUMBER($F214),$F214&lt;FechaRef,N($L214)&lt;1,$N214=""),"Vencida sin observación"&amp;" · ",""))="","✔ OK","⚠ "&amp;LEFT(IF(AND($S214="Macro",$B214=""),"Macroactividad vacía"&amp;" · ","")&amp;IF(AND($B214&lt;&gt;"",$C214&lt;&gt;""),"Escriba la subactividad en otra fila, debajo de su macroactividad"&amp;" · ","")&amp;IF(AND($S214="Sub",N($R214)=0),"Subactividad sin macroactividad arriba"&amp;" · ","")&amp;IF($D214="","Sin responsable"&amp;" · ","")&amp;IF($E214="","Sin fecha de inicio"&amp;" · ","")&amp;IF($F214="","Sin fecha límite"&amp;" · ","")&amp;IF(OR(AND($E214&lt;&gt;"",NOT(ISNUMBER($E214))),AND($F214&lt;&gt;"",NOT(ISNUMBER($F214)))),"Fecha no válida"&amp;" · ","")&amp;IF(AND(ISNUMBER($E214),ISNUMBER($F214),$E214&gt;$F214),"Inicio posterior a fecha límite"&amp;" · ","")&amp;IF(AND($S214="Macro",$G214=""),"Peso vacío"&amp;" · ","")&amp;IF(AND($S214="Macro",$G214&lt;&gt;"",OR(NOT(ISNUMBER($G214)),$G214&lt;=0,$G214&gt;1)),"Peso fuera de rango"&amp;" · ","")&amp;IF(AND($S214="Sub",$G214&lt;&gt;""),"Las subactividades no llevan peso"&amp;" · ","")&amp;IF(AND($S214="Macro",ABS(SUMIFS($G$5:$G$1000,$P$5:$P$1000,$P214,$S$5:$S$1000,"Macro")-1)&gt;0.0001),"Pesos del mes suman "&amp;TEXT(SUMIFS($G$5:$G$1000,$P$5:$P$1000,$P214,$S$5:$S$1000,"Macro"),"0%")&amp;" · ","")&amp;IF(AND(N($T214)&gt;0,COUNT($H214:$K214)&gt;0),"Con subactividades: deje vacías las semanas (se calculan solas)"&amp;" · ","")&amp;IF((COUNTIF($H214:$K214,"&gt;1")+COUNTIF($H214:$K214,"&lt;0")+COUNTA($H214:$K214)-COUNT($H214:$K214))&gt;0,"Avance fuera de rango 0-100%"&amp;" · ","")&amp;IF(OR(AND($I214&lt;&gt;"",$I214&lt;$H214),AND($J214&lt;&gt;"",$J214&lt;MAX($H214:$I214)),AND($K214&lt;&gt;"",$K214&lt;MAX($H214:$J214))),"Avance semanal decreciente"&amp;" · ","")&amp;IF(AND(ISNUMBER($F214),$F214&lt;FechaRef,N($L214)&lt;1),"Vencida"&amp;" · ","")&amp;IF(AND(ObsObligatoria="Sí",ISNUMBER($F214),$F214&lt;FechaRef,N($L214)&lt;1,$N214=""),"Vencida sin observación"&amp;" · ",""),LEN(IF(AND($S214="Macro",$B214=""),"Macroactividad vacía"&amp;" · ","")&amp;IF(AND($B214&lt;&gt;"",$C214&lt;&gt;""),"Escriba la subactividad en otra fila, debajo de su macroactividad"&amp;" · ","")&amp;IF(AND($S214="Sub",N($R214)=0),"Subactividad sin macroactividad arriba"&amp;" · ","")&amp;IF($D214="","Sin responsable"&amp;" · ","")&amp;IF($E214="","Sin fecha de inicio"&amp;" · ","")&amp;IF($F214="","Sin fecha límite"&amp;" · ","")&amp;IF(OR(AND($E214&lt;&gt;"",NOT(ISNUMBER($E214))),AND($F214&lt;&gt;"",NOT(ISNUMBER($F214)))),"Fecha no válida"&amp;" · ","")&amp;IF(AND(ISNUMBER($E214),ISNUMBER($F214),$E214&gt;$F214),"Inicio posterior a fecha límite"&amp;" · ","")&amp;IF(AND($S214="Macro",$G214=""),"Peso vacío"&amp;" · ","")&amp;IF(AND($S214="Macro",$G214&lt;&gt;"",OR(NOT(ISNUMBER($G214)),$G214&lt;=0,$G214&gt;1)),"Peso fuera de rango"&amp;" · ","")&amp;IF(AND($S214="Sub",$G214&lt;&gt;""),"Las subactividades no llevan peso"&amp;" · ","")&amp;IF(AND($S214="Macro",ABS(SUMIFS($G$5:$G$1000,$P$5:$P$1000,$P214,$S$5:$S$1000,"Macro")-1)&gt;0.0001),"Pesos del mes suman "&amp;TEXT(SUMIFS($G$5:$G$1000,$P$5:$P$1000,$P214,$S$5:$S$1000,"Macro"),"0%")&amp;" · ","")&amp;IF(AND(N($T214)&gt;0,COUNT($H214:$K214)&gt;0),"Con subactividades: deje vacías las semanas (se calculan solas)"&amp;" · ","")&amp;IF((COUNTIF($H214:$K214,"&gt;1")+COUNTIF($H214:$K214,"&lt;0")+COUNTA($H214:$K214)-COUNT($H214:$K214))&gt;0,"Avance fuera de rango 0-100%"&amp;" · ","")&amp;IF(OR(AND($I214&lt;&gt;"",$I214&lt;$H214),AND($J214&lt;&gt;"",$J214&lt;MAX($H214:$I214)),AND($K214&lt;&gt;"",$K214&lt;MAX($H214:$J214))),"Avance semanal decreciente"&amp;" · ","")&amp;IF(AND(ISNUMBER($F214),$F214&lt;FechaRef,N($L214)&lt;1),"Vencida"&amp;" · ","")&amp;IF(AND(ObsObligatoria="Sí",ISNUMBER($F214),$F214&lt;FechaRef,N($L214)&lt;1,$N214=""),"Vencida sin observación"&amp;" · ",""))-3)))</f>
        <v/>
      </c>
      <c r="P214" s="69">
        <f>IF(NOT((COUNTA($B214:$K214)+COUNTA($N214))&gt;0),"",IF(AND($S214="Sub",N($R214)&gt;0),IF(ISNUMBER(INDEX($E$5:$E$1000,$R214-4)),DATE(YEAR(INDEX($E$5:$E$1000,$R214-4)),MONTH(INDEX($E$5:$E$1000,$R214-4)),1),IF(ISNUMBER(INDEX($F$5:$F$1000,$R214-4)),DATE(YEAR(INDEX($F$5:$F$1000,$R214-4)),MONTH(INDEX($F$5:$F$1000,$R214-4)),1),MesCiclo)),IF(ISNUMBER($E214),DATE(YEAR($E214),MONTH($E214),1),IF(ISNUMBER($F214),DATE(YEAR($F214),MONTH($F214),1),MesCiclo))))</f>
        <v/>
      </c>
      <c r="Q214" s="70">
        <f>IF(OR($P214="",$P214&lt;&gt;MesCiclo),"",COUNTIF($P$5:$P214,MesCiclo))</f>
        <v/>
      </c>
      <c r="R214" s="70">
        <f>IF($S214="","",IF($S214="Macro",ROW(),IFERROR(LOOKUP(2,1/($S$5:$S214="Macro"),ROW($S$5:$S214)),0)))</f>
        <v/>
      </c>
      <c r="S214" s="70">
        <f>IF(NOT((COUNTA($B214:$K214)+COUNTA($N214))&gt;0),"",IF($B214&lt;&gt;"","Macro",IF($C214&lt;&gt;"","Sub","Macro")))</f>
        <v/>
      </c>
      <c r="T214" s="70">
        <f>IF($S214="Macro",COUNTIFS($R$5:$R$1000,ROW(),$S$5:$S$1000,"Sub"),"")</f>
        <v/>
      </c>
      <c r="U214" s="70">
        <f>IF($S214="","",IF(ISNUMBER($H214),$H214,0))</f>
        <v/>
      </c>
      <c r="V214" s="70">
        <f>IF($S214="","",IF(ISNUMBER($I214),$I214,$U214))</f>
        <v/>
      </c>
      <c r="W214" s="70">
        <f>IF($S214="","",IF(ISNUMBER($J214),$J214,$V214))</f>
        <v/>
      </c>
      <c r="X214" s="70">
        <f>IF($S214="","",IF(ISNUMBER($K214),$K214,$W214))</f>
        <v/>
      </c>
      <c r="Y214" s="70">
        <f>IF($S214="","",IF(N($T214)&gt;0,AVERAGEIFS($U$5:$U$1000,$R$5:$R$1000,ROW(),$S$5:$S$1000,"Sub"),$U214))</f>
        <v/>
      </c>
      <c r="Z214" s="70">
        <f>IF($S214="","",IF(N($T214)&gt;0,AVERAGEIFS($V$5:$V$1000,$R$5:$R$1000,ROW(),$S$5:$S$1000,"Sub"),$V214))</f>
        <v/>
      </c>
      <c r="AA214" s="70">
        <f>IF($S214="","",IF(N($T214)&gt;0,AVERAGEIFS($W$5:$W$1000,$R$5:$R$1000,ROW(),$S$5:$S$1000,"Sub"),$W214))</f>
        <v/>
      </c>
      <c r="AB214" s="70">
        <f>IF($S214="","",IF(N($T214)&gt;0,AVERAGEIFS($X$5:$X$1000,$R$5:$R$1000,ROW(),$S$5:$S$1000,"Sub"),$X214))</f>
        <v/>
      </c>
    </row>
    <row r="215">
      <c r="A215" s="61">
        <f>IF(NOT((COUNTA($B215:$K215)+COUNTA($N215))&gt;0),"",IF($S215="Macro",COUNTIFS($S$5:$S215,"Macro",$P$5:$P215,$P215),IF(N($R215)=0,"?",COUNTIFS(INDEX($S$5:$S$1000,1):INDEX($S$5:$S$1000,$R215-4),"Macro",INDEX($P$5:$P$1000,1):INDEX($P$5:$P$1000,$R215-4),INDEX($P$5:$P$1000,$R215-4))&amp;"."&amp;COUNTIFS($R$5:$R215,$R215,$S$5:$S215,"Sub"))))</f>
        <v/>
      </c>
      <c r="B215" s="62" t="n"/>
      <c r="C215" s="63" t="n"/>
      <c r="D215" s="62" t="n"/>
      <c r="E215" s="64" t="n"/>
      <c r="F215" s="64" t="n"/>
      <c r="G215" s="65" t="n"/>
      <c r="H215" s="66" t="n"/>
      <c r="I215" s="66" t="n"/>
      <c r="J215" s="66" t="n"/>
      <c r="K215" s="66" t="n"/>
      <c r="L215" s="67">
        <f>IF(NOT((COUNTA($B215:$K215)+COUNTA($N215))&gt;0),"",IF(N($T215)&gt;0,$AB215,IFERROR(LOOKUP(2,1/(H215:K215&lt;&gt;""),H215:K215),0)))</f>
        <v/>
      </c>
      <c r="M215" s="61">
        <f>IF(L215="","",IF(L215&gt;=1,"Completado",IF(L215&gt;0,"En curso","Pendiente")))</f>
        <v/>
      </c>
      <c r="N215" s="62" t="n"/>
      <c r="O215" s="68">
        <f>IF(NOT((COUNTA($B215:$K215)+COUNTA($N215))&gt;0),"",IF((IF(AND($S215="Macro",$B215=""),"Macroactividad vacía"&amp;" · ","")&amp;IF(AND($B215&lt;&gt;"",$C215&lt;&gt;""),"Escriba la subactividad en otra fila, debajo de su macroactividad"&amp;" · ","")&amp;IF(AND($S215="Sub",N($R215)=0),"Subactividad sin macroactividad arriba"&amp;" · ","")&amp;IF($D215="","Sin responsable"&amp;" · ","")&amp;IF($E215="","Sin fecha de inicio"&amp;" · ","")&amp;IF($F215="","Sin fecha límite"&amp;" · ","")&amp;IF(OR(AND($E215&lt;&gt;"",NOT(ISNUMBER($E215))),AND($F215&lt;&gt;"",NOT(ISNUMBER($F215)))),"Fecha no válida"&amp;" · ","")&amp;IF(AND(ISNUMBER($E215),ISNUMBER($F215),$E215&gt;$F215),"Inicio posterior a fecha límite"&amp;" · ","")&amp;IF(AND($S215="Macro",$G215=""),"Peso vacío"&amp;" · ","")&amp;IF(AND($S215="Macro",$G215&lt;&gt;"",OR(NOT(ISNUMBER($G215)),$G215&lt;=0,$G215&gt;1)),"Peso fuera de rango"&amp;" · ","")&amp;IF(AND($S215="Sub",$G215&lt;&gt;""),"Las subactividades no llevan peso"&amp;" · ","")&amp;IF(AND($S215="Macro",ABS(SUMIFS($G$5:$G$1000,$P$5:$P$1000,$P215,$S$5:$S$1000,"Macro")-1)&gt;0.0001),"Pesos del mes suman "&amp;TEXT(SUMIFS($G$5:$G$1000,$P$5:$P$1000,$P215,$S$5:$S$1000,"Macro"),"0%")&amp;" · ","")&amp;IF(AND(N($T215)&gt;0,COUNT($H215:$K215)&gt;0),"Con subactividades: deje vacías las semanas (se calculan solas)"&amp;" · ","")&amp;IF((COUNTIF($H215:$K215,"&gt;1")+COUNTIF($H215:$K215,"&lt;0")+COUNTA($H215:$K215)-COUNT($H215:$K215))&gt;0,"Avance fuera de rango 0-100%"&amp;" · ","")&amp;IF(OR(AND($I215&lt;&gt;"",$I215&lt;$H215),AND($J215&lt;&gt;"",$J215&lt;MAX($H215:$I215)),AND($K215&lt;&gt;"",$K215&lt;MAX($H215:$J215))),"Avance semanal decreciente"&amp;" · ","")&amp;IF(AND(ISNUMBER($F215),$F215&lt;FechaRef,N($L215)&lt;1),"Vencida"&amp;" · ","")&amp;IF(AND(ObsObligatoria="Sí",ISNUMBER($F215),$F215&lt;FechaRef,N($L215)&lt;1,$N215=""),"Vencida sin observación"&amp;" · ",""))="","✔ OK","⚠ "&amp;LEFT(IF(AND($S215="Macro",$B215=""),"Macroactividad vacía"&amp;" · ","")&amp;IF(AND($B215&lt;&gt;"",$C215&lt;&gt;""),"Escriba la subactividad en otra fila, debajo de su macroactividad"&amp;" · ","")&amp;IF(AND($S215="Sub",N($R215)=0),"Subactividad sin macroactividad arriba"&amp;" · ","")&amp;IF($D215="","Sin responsable"&amp;" · ","")&amp;IF($E215="","Sin fecha de inicio"&amp;" · ","")&amp;IF($F215="","Sin fecha límite"&amp;" · ","")&amp;IF(OR(AND($E215&lt;&gt;"",NOT(ISNUMBER($E215))),AND($F215&lt;&gt;"",NOT(ISNUMBER($F215)))),"Fecha no válida"&amp;" · ","")&amp;IF(AND(ISNUMBER($E215),ISNUMBER($F215),$E215&gt;$F215),"Inicio posterior a fecha límite"&amp;" · ","")&amp;IF(AND($S215="Macro",$G215=""),"Peso vacío"&amp;" · ","")&amp;IF(AND($S215="Macro",$G215&lt;&gt;"",OR(NOT(ISNUMBER($G215)),$G215&lt;=0,$G215&gt;1)),"Peso fuera de rango"&amp;" · ","")&amp;IF(AND($S215="Sub",$G215&lt;&gt;""),"Las subactividades no llevan peso"&amp;" · ","")&amp;IF(AND($S215="Macro",ABS(SUMIFS($G$5:$G$1000,$P$5:$P$1000,$P215,$S$5:$S$1000,"Macro")-1)&gt;0.0001),"Pesos del mes suman "&amp;TEXT(SUMIFS($G$5:$G$1000,$P$5:$P$1000,$P215,$S$5:$S$1000,"Macro"),"0%")&amp;" · ","")&amp;IF(AND(N($T215)&gt;0,COUNT($H215:$K215)&gt;0),"Con subactividades: deje vacías las semanas (se calculan solas)"&amp;" · ","")&amp;IF((COUNTIF($H215:$K215,"&gt;1")+COUNTIF($H215:$K215,"&lt;0")+COUNTA($H215:$K215)-COUNT($H215:$K215))&gt;0,"Avance fuera de rango 0-100%"&amp;" · ","")&amp;IF(OR(AND($I215&lt;&gt;"",$I215&lt;$H215),AND($J215&lt;&gt;"",$J215&lt;MAX($H215:$I215)),AND($K215&lt;&gt;"",$K215&lt;MAX($H215:$J215))),"Avance semanal decreciente"&amp;" · ","")&amp;IF(AND(ISNUMBER($F215),$F215&lt;FechaRef,N($L215)&lt;1),"Vencida"&amp;" · ","")&amp;IF(AND(ObsObligatoria="Sí",ISNUMBER($F215),$F215&lt;FechaRef,N($L215)&lt;1,$N215=""),"Vencida sin observación"&amp;" · ",""),LEN(IF(AND($S215="Macro",$B215=""),"Macroactividad vacía"&amp;" · ","")&amp;IF(AND($B215&lt;&gt;"",$C215&lt;&gt;""),"Escriba la subactividad en otra fila, debajo de su macroactividad"&amp;" · ","")&amp;IF(AND($S215="Sub",N($R215)=0),"Subactividad sin macroactividad arriba"&amp;" · ","")&amp;IF($D215="","Sin responsable"&amp;" · ","")&amp;IF($E215="","Sin fecha de inicio"&amp;" · ","")&amp;IF($F215="","Sin fecha límite"&amp;" · ","")&amp;IF(OR(AND($E215&lt;&gt;"",NOT(ISNUMBER($E215))),AND($F215&lt;&gt;"",NOT(ISNUMBER($F215)))),"Fecha no válida"&amp;" · ","")&amp;IF(AND(ISNUMBER($E215),ISNUMBER($F215),$E215&gt;$F215),"Inicio posterior a fecha límite"&amp;" · ","")&amp;IF(AND($S215="Macro",$G215=""),"Peso vacío"&amp;" · ","")&amp;IF(AND($S215="Macro",$G215&lt;&gt;"",OR(NOT(ISNUMBER($G215)),$G215&lt;=0,$G215&gt;1)),"Peso fuera de rango"&amp;" · ","")&amp;IF(AND($S215="Sub",$G215&lt;&gt;""),"Las subactividades no llevan peso"&amp;" · ","")&amp;IF(AND($S215="Macro",ABS(SUMIFS($G$5:$G$1000,$P$5:$P$1000,$P215,$S$5:$S$1000,"Macro")-1)&gt;0.0001),"Pesos del mes suman "&amp;TEXT(SUMIFS($G$5:$G$1000,$P$5:$P$1000,$P215,$S$5:$S$1000,"Macro"),"0%")&amp;" · ","")&amp;IF(AND(N($T215)&gt;0,COUNT($H215:$K215)&gt;0),"Con subactividades: deje vacías las semanas (se calculan solas)"&amp;" · ","")&amp;IF((COUNTIF($H215:$K215,"&gt;1")+COUNTIF($H215:$K215,"&lt;0")+COUNTA($H215:$K215)-COUNT($H215:$K215))&gt;0,"Avance fuera de rango 0-100%"&amp;" · ","")&amp;IF(OR(AND($I215&lt;&gt;"",$I215&lt;$H215),AND($J215&lt;&gt;"",$J215&lt;MAX($H215:$I215)),AND($K215&lt;&gt;"",$K215&lt;MAX($H215:$J215))),"Avance semanal decreciente"&amp;" · ","")&amp;IF(AND(ISNUMBER($F215),$F215&lt;FechaRef,N($L215)&lt;1),"Vencida"&amp;" · ","")&amp;IF(AND(ObsObligatoria="Sí",ISNUMBER($F215),$F215&lt;FechaRef,N($L215)&lt;1,$N215=""),"Vencida sin observación"&amp;" · ",""))-3)))</f>
        <v/>
      </c>
      <c r="P215" s="69">
        <f>IF(NOT((COUNTA($B215:$K215)+COUNTA($N215))&gt;0),"",IF(AND($S215="Sub",N($R215)&gt;0),IF(ISNUMBER(INDEX($E$5:$E$1000,$R215-4)),DATE(YEAR(INDEX($E$5:$E$1000,$R215-4)),MONTH(INDEX($E$5:$E$1000,$R215-4)),1),IF(ISNUMBER(INDEX($F$5:$F$1000,$R215-4)),DATE(YEAR(INDEX($F$5:$F$1000,$R215-4)),MONTH(INDEX($F$5:$F$1000,$R215-4)),1),MesCiclo)),IF(ISNUMBER($E215),DATE(YEAR($E215),MONTH($E215),1),IF(ISNUMBER($F215),DATE(YEAR($F215),MONTH($F215),1),MesCiclo))))</f>
        <v/>
      </c>
      <c r="Q215" s="70">
        <f>IF(OR($P215="",$P215&lt;&gt;MesCiclo),"",COUNTIF($P$5:$P215,MesCiclo))</f>
        <v/>
      </c>
      <c r="R215" s="70">
        <f>IF($S215="","",IF($S215="Macro",ROW(),IFERROR(LOOKUP(2,1/($S$5:$S215="Macro"),ROW($S$5:$S215)),0)))</f>
        <v/>
      </c>
      <c r="S215" s="70">
        <f>IF(NOT((COUNTA($B215:$K215)+COUNTA($N215))&gt;0),"",IF($B215&lt;&gt;"","Macro",IF($C215&lt;&gt;"","Sub","Macro")))</f>
        <v/>
      </c>
      <c r="T215" s="70">
        <f>IF($S215="Macro",COUNTIFS($R$5:$R$1000,ROW(),$S$5:$S$1000,"Sub"),"")</f>
        <v/>
      </c>
      <c r="U215" s="70">
        <f>IF($S215="","",IF(ISNUMBER($H215),$H215,0))</f>
        <v/>
      </c>
      <c r="V215" s="70">
        <f>IF($S215="","",IF(ISNUMBER($I215),$I215,$U215))</f>
        <v/>
      </c>
      <c r="W215" s="70">
        <f>IF($S215="","",IF(ISNUMBER($J215),$J215,$V215))</f>
        <v/>
      </c>
      <c r="X215" s="70">
        <f>IF($S215="","",IF(ISNUMBER($K215),$K215,$W215))</f>
        <v/>
      </c>
      <c r="Y215" s="70">
        <f>IF($S215="","",IF(N($T215)&gt;0,AVERAGEIFS($U$5:$U$1000,$R$5:$R$1000,ROW(),$S$5:$S$1000,"Sub"),$U215))</f>
        <v/>
      </c>
      <c r="Z215" s="70">
        <f>IF($S215="","",IF(N($T215)&gt;0,AVERAGEIFS($V$5:$V$1000,$R$5:$R$1000,ROW(),$S$5:$S$1000,"Sub"),$V215))</f>
        <v/>
      </c>
      <c r="AA215" s="70">
        <f>IF($S215="","",IF(N($T215)&gt;0,AVERAGEIFS($W$5:$W$1000,$R$5:$R$1000,ROW(),$S$5:$S$1000,"Sub"),$W215))</f>
        <v/>
      </c>
      <c r="AB215" s="70">
        <f>IF($S215="","",IF(N($T215)&gt;0,AVERAGEIFS($X$5:$X$1000,$R$5:$R$1000,ROW(),$S$5:$S$1000,"Sub"),$X215))</f>
        <v/>
      </c>
    </row>
    <row r="216">
      <c r="A216" s="61">
        <f>IF(NOT((COUNTA($B216:$K216)+COUNTA($N216))&gt;0),"",IF($S216="Macro",COUNTIFS($S$5:$S216,"Macro",$P$5:$P216,$P216),IF(N($R216)=0,"?",COUNTIFS(INDEX($S$5:$S$1000,1):INDEX($S$5:$S$1000,$R216-4),"Macro",INDEX($P$5:$P$1000,1):INDEX($P$5:$P$1000,$R216-4),INDEX($P$5:$P$1000,$R216-4))&amp;"."&amp;COUNTIFS($R$5:$R216,$R216,$S$5:$S216,"Sub"))))</f>
        <v/>
      </c>
      <c r="B216" s="62" t="n"/>
      <c r="C216" s="63" t="n"/>
      <c r="D216" s="62" t="n"/>
      <c r="E216" s="64" t="n"/>
      <c r="F216" s="64" t="n"/>
      <c r="G216" s="65" t="n"/>
      <c r="H216" s="66" t="n"/>
      <c r="I216" s="66" t="n"/>
      <c r="J216" s="66" t="n"/>
      <c r="K216" s="66" t="n"/>
      <c r="L216" s="67">
        <f>IF(NOT((COUNTA($B216:$K216)+COUNTA($N216))&gt;0),"",IF(N($T216)&gt;0,$AB216,IFERROR(LOOKUP(2,1/(H216:K216&lt;&gt;""),H216:K216),0)))</f>
        <v/>
      </c>
      <c r="M216" s="61">
        <f>IF(L216="","",IF(L216&gt;=1,"Completado",IF(L216&gt;0,"En curso","Pendiente")))</f>
        <v/>
      </c>
      <c r="N216" s="62" t="n"/>
      <c r="O216" s="68">
        <f>IF(NOT((COUNTA($B216:$K216)+COUNTA($N216))&gt;0),"",IF((IF(AND($S216="Macro",$B216=""),"Macroactividad vacía"&amp;" · ","")&amp;IF(AND($B216&lt;&gt;"",$C216&lt;&gt;""),"Escriba la subactividad en otra fila, debajo de su macroactividad"&amp;" · ","")&amp;IF(AND($S216="Sub",N($R216)=0),"Subactividad sin macroactividad arriba"&amp;" · ","")&amp;IF($D216="","Sin responsable"&amp;" · ","")&amp;IF($E216="","Sin fecha de inicio"&amp;" · ","")&amp;IF($F216="","Sin fecha límite"&amp;" · ","")&amp;IF(OR(AND($E216&lt;&gt;"",NOT(ISNUMBER($E216))),AND($F216&lt;&gt;"",NOT(ISNUMBER($F216)))),"Fecha no válida"&amp;" · ","")&amp;IF(AND(ISNUMBER($E216),ISNUMBER($F216),$E216&gt;$F216),"Inicio posterior a fecha límite"&amp;" · ","")&amp;IF(AND($S216="Macro",$G216=""),"Peso vacío"&amp;" · ","")&amp;IF(AND($S216="Macro",$G216&lt;&gt;"",OR(NOT(ISNUMBER($G216)),$G216&lt;=0,$G216&gt;1)),"Peso fuera de rango"&amp;" · ","")&amp;IF(AND($S216="Sub",$G216&lt;&gt;""),"Las subactividades no llevan peso"&amp;" · ","")&amp;IF(AND($S216="Macro",ABS(SUMIFS($G$5:$G$1000,$P$5:$P$1000,$P216,$S$5:$S$1000,"Macro")-1)&gt;0.0001),"Pesos del mes suman "&amp;TEXT(SUMIFS($G$5:$G$1000,$P$5:$P$1000,$P216,$S$5:$S$1000,"Macro"),"0%")&amp;" · ","")&amp;IF(AND(N($T216)&gt;0,COUNT($H216:$K216)&gt;0),"Con subactividades: deje vacías las semanas (se calculan solas)"&amp;" · ","")&amp;IF((COUNTIF($H216:$K216,"&gt;1")+COUNTIF($H216:$K216,"&lt;0")+COUNTA($H216:$K216)-COUNT($H216:$K216))&gt;0,"Avance fuera de rango 0-100%"&amp;" · ","")&amp;IF(OR(AND($I216&lt;&gt;"",$I216&lt;$H216),AND($J216&lt;&gt;"",$J216&lt;MAX($H216:$I216)),AND($K216&lt;&gt;"",$K216&lt;MAX($H216:$J216))),"Avance semanal decreciente"&amp;" · ","")&amp;IF(AND(ISNUMBER($F216),$F216&lt;FechaRef,N($L216)&lt;1),"Vencida"&amp;" · ","")&amp;IF(AND(ObsObligatoria="Sí",ISNUMBER($F216),$F216&lt;FechaRef,N($L216)&lt;1,$N216=""),"Vencida sin observación"&amp;" · ",""))="","✔ OK","⚠ "&amp;LEFT(IF(AND($S216="Macro",$B216=""),"Macroactividad vacía"&amp;" · ","")&amp;IF(AND($B216&lt;&gt;"",$C216&lt;&gt;""),"Escriba la subactividad en otra fila, debajo de su macroactividad"&amp;" · ","")&amp;IF(AND($S216="Sub",N($R216)=0),"Subactividad sin macroactividad arriba"&amp;" · ","")&amp;IF($D216="","Sin responsable"&amp;" · ","")&amp;IF($E216="","Sin fecha de inicio"&amp;" · ","")&amp;IF($F216="","Sin fecha límite"&amp;" · ","")&amp;IF(OR(AND($E216&lt;&gt;"",NOT(ISNUMBER($E216))),AND($F216&lt;&gt;"",NOT(ISNUMBER($F216)))),"Fecha no válida"&amp;" · ","")&amp;IF(AND(ISNUMBER($E216),ISNUMBER($F216),$E216&gt;$F216),"Inicio posterior a fecha límite"&amp;" · ","")&amp;IF(AND($S216="Macro",$G216=""),"Peso vacío"&amp;" · ","")&amp;IF(AND($S216="Macro",$G216&lt;&gt;"",OR(NOT(ISNUMBER($G216)),$G216&lt;=0,$G216&gt;1)),"Peso fuera de rango"&amp;" · ","")&amp;IF(AND($S216="Sub",$G216&lt;&gt;""),"Las subactividades no llevan peso"&amp;" · ","")&amp;IF(AND($S216="Macro",ABS(SUMIFS($G$5:$G$1000,$P$5:$P$1000,$P216,$S$5:$S$1000,"Macro")-1)&gt;0.0001),"Pesos del mes suman "&amp;TEXT(SUMIFS($G$5:$G$1000,$P$5:$P$1000,$P216,$S$5:$S$1000,"Macro"),"0%")&amp;" · ","")&amp;IF(AND(N($T216)&gt;0,COUNT($H216:$K216)&gt;0),"Con subactividades: deje vacías las semanas (se calculan solas)"&amp;" · ","")&amp;IF((COUNTIF($H216:$K216,"&gt;1")+COUNTIF($H216:$K216,"&lt;0")+COUNTA($H216:$K216)-COUNT($H216:$K216))&gt;0,"Avance fuera de rango 0-100%"&amp;" · ","")&amp;IF(OR(AND($I216&lt;&gt;"",$I216&lt;$H216),AND($J216&lt;&gt;"",$J216&lt;MAX($H216:$I216)),AND($K216&lt;&gt;"",$K216&lt;MAX($H216:$J216))),"Avance semanal decreciente"&amp;" · ","")&amp;IF(AND(ISNUMBER($F216),$F216&lt;FechaRef,N($L216)&lt;1),"Vencida"&amp;" · ","")&amp;IF(AND(ObsObligatoria="Sí",ISNUMBER($F216),$F216&lt;FechaRef,N($L216)&lt;1,$N216=""),"Vencida sin observación"&amp;" · ",""),LEN(IF(AND($S216="Macro",$B216=""),"Macroactividad vacía"&amp;" · ","")&amp;IF(AND($B216&lt;&gt;"",$C216&lt;&gt;""),"Escriba la subactividad en otra fila, debajo de su macroactividad"&amp;" · ","")&amp;IF(AND($S216="Sub",N($R216)=0),"Subactividad sin macroactividad arriba"&amp;" · ","")&amp;IF($D216="","Sin responsable"&amp;" · ","")&amp;IF($E216="","Sin fecha de inicio"&amp;" · ","")&amp;IF($F216="","Sin fecha límite"&amp;" · ","")&amp;IF(OR(AND($E216&lt;&gt;"",NOT(ISNUMBER($E216))),AND($F216&lt;&gt;"",NOT(ISNUMBER($F216)))),"Fecha no válida"&amp;" · ","")&amp;IF(AND(ISNUMBER($E216),ISNUMBER($F216),$E216&gt;$F216),"Inicio posterior a fecha límite"&amp;" · ","")&amp;IF(AND($S216="Macro",$G216=""),"Peso vacío"&amp;" · ","")&amp;IF(AND($S216="Macro",$G216&lt;&gt;"",OR(NOT(ISNUMBER($G216)),$G216&lt;=0,$G216&gt;1)),"Peso fuera de rango"&amp;" · ","")&amp;IF(AND($S216="Sub",$G216&lt;&gt;""),"Las subactividades no llevan peso"&amp;" · ","")&amp;IF(AND($S216="Macro",ABS(SUMIFS($G$5:$G$1000,$P$5:$P$1000,$P216,$S$5:$S$1000,"Macro")-1)&gt;0.0001),"Pesos del mes suman "&amp;TEXT(SUMIFS($G$5:$G$1000,$P$5:$P$1000,$P216,$S$5:$S$1000,"Macro"),"0%")&amp;" · ","")&amp;IF(AND(N($T216)&gt;0,COUNT($H216:$K216)&gt;0),"Con subactividades: deje vacías las semanas (se calculan solas)"&amp;" · ","")&amp;IF((COUNTIF($H216:$K216,"&gt;1")+COUNTIF($H216:$K216,"&lt;0")+COUNTA($H216:$K216)-COUNT($H216:$K216))&gt;0,"Avance fuera de rango 0-100%"&amp;" · ","")&amp;IF(OR(AND($I216&lt;&gt;"",$I216&lt;$H216),AND($J216&lt;&gt;"",$J216&lt;MAX($H216:$I216)),AND($K216&lt;&gt;"",$K216&lt;MAX($H216:$J216))),"Avance semanal decreciente"&amp;" · ","")&amp;IF(AND(ISNUMBER($F216),$F216&lt;FechaRef,N($L216)&lt;1),"Vencida"&amp;" · ","")&amp;IF(AND(ObsObligatoria="Sí",ISNUMBER($F216),$F216&lt;FechaRef,N($L216)&lt;1,$N216=""),"Vencida sin observación"&amp;" · ",""))-3)))</f>
        <v/>
      </c>
      <c r="P216" s="69">
        <f>IF(NOT((COUNTA($B216:$K216)+COUNTA($N216))&gt;0),"",IF(AND($S216="Sub",N($R216)&gt;0),IF(ISNUMBER(INDEX($E$5:$E$1000,$R216-4)),DATE(YEAR(INDEX($E$5:$E$1000,$R216-4)),MONTH(INDEX($E$5:$E$1000,$R216-4)),1),IF(ISNUMBER(INDEX($F$5:$F$1000,$R216-4)),DATE(YEAR(INDEX($F$5:$F$1000,$R216-4)),MONTH(INDEX($F$5:$F$1000,$R216-4)),1),MesCiclo)),IF(ISNUMBER($E216),DATE(YEAR($E216),MONTH($E216),1),IF(ISNUMBER($F216),DATE(YEAR($F216),MONTH($F216),1),MesCiclo))))</f>
        <v/>
      </c>
      <c r="Q216" s="70">
        <f>IF(OR($P216="",$P216&lt;&gt;MesCiclo),"",COUNTIF($P$5:$P216,MesCiclo))</f>
        <v/>
      </c>
      <c r="R216" s="70">
        <f>IF($S216="","",IF($S216="Macro",ROW(),IFERROR(LOOKUP(2,1/($S$5:$S216="Macro"),ROW($S$5:$S216)),0)))</f>
        <v/>
      </c>
      <c r="S216" s="70">
        <f>IF(NOT((COUNTA($B216:$K216)+COUNTA($N216))&gt;0),"",IF($B216&lt;&gt;"","Macro",IF($C216&lt;&gt;"","Sub","Macro")))</f>
        <v/>
      </c>
      <c r="T216" s="70">
        <f>IF($S216="Macro",COUNTIFS($R$5:$R$1000,ROW(),$S$5:$S$1000,"Sub"),"")</f>
        <v/>
      </c>
      <c r="U216" s="70">
        <f>IF($S216="","",IF(ISNUMBER($H216),$H216,0))</f>
        <v/>
      </c>
      <c r="V216" s="70">
        <f>IF($S216="","",IF(ISNUMBER($I216),$I216,$U216))</f>
        <v/>
      </c>
      <c r="W216" s="70">
        <f>IF($S216="","",IF(ISNUMBER($J216),$J216,$V216))</f>
        <v/>
      </c>
      <c r="X216" s="70">
        <f>IF($S216="","",IF(ISNUMBER($K216),$K216,$W216))</f>
        <v/>
      </c>
      <c r="Y216" s="70">
        <f>IF($S216="","",IF(N($T216)&gt;0,AVERAGEIFS($U$5:$U$1000,$R$5:$R$1000,ROW(),$S$5:$S$1000,"Sub"),$U216))</f>
        <v/>
      </c>
      <c r="Z216" s="70">
        <f>IF($S216="","",IF(N($T216)&gt;0,AVERAGEIFS($V$5:$V$1000,$R$5:$R$1000,ROW(),$S$5:$S$1000,"Sub"),$V216))</f>
        <v/>
      </c>
      <c r="AA216" s="70">
        <f>IF($S216="","",IF(N($T216)&gt;0,AVERAGEIFS($W$5:$W$1000,$R$5:$R$1000,ROW(),$S$5:$S$1000,"Sub"),$W216))</f>
        <v/>
      </c>
      <c r="AB216" s="70">
        <f>IF($S216="","",IF(N($T216)&gt;0,AVERAGEIFS($X$5:$X$1000,$R$5:$R$1000,ROW(),$S$5:$S$1000,"Sub"),$X216))</f>
        <v/>
      </c>
    </row>
    <row r="217">
      <c r="A217" s="61">
        <f>IF(NOT((COUNTA($B217:$K217)+COUNTA($N217))&gt;0),"",IF($S217="Macro",COUNTIFS($S$5:$S217,"Macro",$P$5:$P217,$P217),IF(N($R217)=0,"?",COUNTIFS(INDEX($S$5:$S$1000,1):INDEX($S$5:$S$1000,$R217-4),"Macro",INDEX($P$5:$P$1000,1):INDEX($P$5:$P$1000,$R217-4),INDEX($P$5:$P$1000,$R217-4))&amp;"."&amp;COUNTIFS($R$5:$R217,$R217,$S$5:$S217,"Sub"))))</f>
        <v/>
      </c>
      <c r="B217" s="62" t="n"/>
      <c r="C217" s="63" t="n"/>
      <c r="D217" s="62" t="n"/>
      <c r="E217" s="64" t="n"/>
      <c r="F217" s="64" t="n"/>
      <c r="G217" s="65" t="n"/>
      <c r="H217" s="66" t="n"/>
      <c r="I217" s="66" t="n"/>
      <c r="J217" s="66" t="n"/>
      <c r="K217" s="66" t="n"/>
      <c r="L217" s="67">
        <f>IF(NOT((COUNTA($B217:$K217)+COUNTA($N217))&gt;0),"",IF(N($T217)&gt;0,$AB217,IFERROR(LOOKUP(2,1/(H217:K217&lt;&gt;""),H217:K217),0)))</f>
        <v/>
      </c>
      <c r="M217" s="61">
        <f>IF(L217="","",IF(L217&gt;=1,"Completado",IF(L217&gt;0,"En curso","Pendiente")))</f>
        <v/>
      </c>
      <c r="N217" s="62" t="n"/>
      <c r="O217" s="68">
        <f>IF(NOT((COUNTA($B217:$K217)+COUNTA($N217))&gt;0),"",IF((IF(AND($S217="Macro",$B217=""),"Macroactividad vacía"&amp;" · ","")&amp;IF(AND($B217&lt;&gt;"",$C217&lt;&gt;""),"Escriba la subactividad en otra fila, debajo de su macroactividad"&amp;" · ","")&amp;IF(AND($S217="Sub",N($R217)=0),"Subactividad sin macroactividad arriba"&amp;" · ","")&amp;IF($D217="","Sin responsable"&amp;" · ","")&amp;IF($E217="","Sin fecha de inicio"&amp;" · ","")&amp;IF($F217="","Sin fecha límite"&amp;" · ","")&amp;IF(OR(AND($E217&lt;&gt;"",NOT(ISNUMBER($E217))),AND($F217&lt;&gt;"",NOT(ISNUMBER($F217)))),"Fecha no válida"&amp;" · ","")&amp;IF(AND(ISNUMBER($E217),ISNUMBER($F217),$E217&gt;$F217),"Inicio posterior a fecha límite"&amp;" · ","")&amp;IF(AND($S217="Macro",$G217=""),"Peso vacío"&amp;" · ","")&amp;IF(AND($S217="Macro",$G217&lt;&gt;"",OR(NOT(ISNUMBER($G217)),$G217&lt;=0,$G217&gt;1)),"Peso fuera de rango"&amp;" · ","")&amp;IF(AND($S217="Sub",$G217&lt;&gt;""),"Las subactividades no llevan peso"&amp;" · ","")&amp;IF(AND($S217="Macro",ABS(SUMIFS($G$5:$G$1000,$P$5:$P$1000,$P217,$S$5:$S$1000,"Macro")-1)&gt;0.0001),"Pesos del mes suman "&amp;TEXT(SUMIFS($G$5:$G$1000,$P$5:$P$1000,$P217,$S$5:$S$1000,"Macro"),"0%")&amp;" · ","")&amp;IF(AND(N($T217)&gt;0,COUNT($H217:$K217)&gt;0),"Con subactividades: deje vacías las semanas (se calculan solas)"&amp;" · ","")&amp;IF((COUNTIF($H217:$K217,"&gt;1")+COUNTIF($H217:$K217,"&lt;0")+COUNTA($H217:$K217)-COUNT($H217:$K217))&gt;0,"Avance fuera de rango 0-100%"&amp;" · ","")&amp;IF(OR(AND($I217&lt;&gt;"",$I217&lt;$H217),AND($J217&lt;&gt;"",$J217&lt;MAX($H217:$I217)),AND($K217&lt;&gt;"",$K217&lt;MAX($H217:$J217))),"Avance semanal decreciente"&amp;" · ","")&amp;IF(AND(ISNUMBER($F217),$F217&lt;FechaRef,N($L217)&lt;1),"Vencida"&amp;" · ","")&amp;IF(AND(ObsObligatoria="Sí",ISNUMBER($F217),$F217&lt;FechaRef,N($L217)&lt;1,$N217=""),"Vencida sin observación"&amp;" · ",""))="","✔ OK","⚠ "&amp;LEFT(IF(AND($S217="Macro",$B217=""),"Macroactividad vacía"&amp;" · ","")&amp;IF(AND($B217&lt;&gt;"",$C217&lt;&gt;""),"Escriba la subactividad en otra fila, debajo de su macroactividad"&amp;" · ","")&amp;IF(AND($S217="Sub",N($R217)=0),"Subactividad sin macroactividad arriba"&amp;" · ","")&amp;IF($D217="","Sin responsable"&amp;" · ","")&amp;IF($E217="","Sin fecha de inicio"&amp;" · ","")&amp;IF($F217="","Sin fecha límite"&amp;" · ","")&amp;IF(OR(AND($E217&lt;&gt;"",NOT(ISNUMBER($E217))),AND($F217&lt;&gt;"",NOT(ISNUMBER($F217)))),"Fecha no válida"&amp;" · ","")&amp;IF(AND(ISNUMBER($E217),ISNUMBER($F217),$E217&gt;$F217),"Inicio posterior a fecha límite"&amp;" · ","")&amp;IF(AND($S217="Macro",$G217=""),"Peso vacío"&amp;" · ","")&amp;IF(AND($S217="Macro",$G217&lt;&gt;"",OR(NOT(ISNUMBER($G217)),$G217&lt;=0,$G217&gt;1)),"Peso fuera de rango"&amp;" · ","")&amp;IF(AND($S217="Sub",$G217&lt;&gt;""),"Las subactividades no llevan peso"&amp;" · ","")&amp;IF(AND($S217="Macro",ABS(SUMIFS($G$5:$G$1000,$P$5:$P$1000,$P217,$S$5:$S$1000,"Macro")-1)&gt;0.0001),"Pesos del mes suman "&amp;TEXT(SUMIFS($G$5:$G$1000,$P$5:$P$1000,$P217,$S$5:$S$1000,"Macro"),"0%")&amp;" · ","")&amp;IF(AND(N($T217)&gt;0,COUNT($H217:$K217)&gt;0),"Con subactividades: deje vacías las semanas (se calculan solas)"&amp;" · ","")&amp;IF((COUNTIF($H217:$K217,"&gt;1")+COUNTIF($H217:$K217,"&lt;0")+COUNTA($H217:$K217)-COUNT($H217:$K217))&gt;0,"Avance fuera de rango 0-100%"&amp;" · ","")&amp;IF(OR(AND($I217&lt;&gt;"",$I217&lt;$H217),AND($J217&lt;&gt;"",$J217&lt;MAX($H217:$I217)),AND($K217&lt;&gt;"",$K217&lt;MAX($H217:$J217))),"Avance semanal decreciente"&amp;" · ","")&amp;IF(AND(ISNUMBER($F217),$F217&lt;FechaRef,N($L217)&lt;1),"Vencida"&amp;" · ","")&amp;IF(AND(ObsObligatoria="Sí",ISNUMBER($F217),$F217&lt;FechaRef,N($L217)&lt;1,$N217=""),"Vencida sin observación"&amp;" · ",""),LEN(IF(AND($S217="Macro",$B217=""),"Macroactividad vacía"&amp;" · ","")&amp;IF(AND($B217&lt;&gt;"",$C217&lt;&gt;""),"Escriba la subactividad en otra fila, debajo de su macroactividad"&amp;" · ","")&amp;IF(AND($S217="Sub",N($R217)=0),"Subactividad sin macroactividad arriba"&amp;" · ","")&amp;IF($D217="","Sin responsable"&amp;" · ","")&amp;IF($E217="","Sin fecha de inicio"&amp;" · ","")&amp;IF($F217="","Sin fecha límite"&amp;" · ","")&amp;IF(OR(AND($E217&lt;&gt;"",NOT(ISNUMBER($E217))),AND($F217&lt;&gt;"",NOT(ISNUMBER($F217)))),"Fecha no válida"&amp;" · ","")&amp;IF(AND(ISNUMBER($E217),ISNUMBER($F217),$E217&gt;$F217),"Inicio posterior a fecha límite"&amp;" · ","")&amp;IF(AND($S217="Macro",$G217=""),"Peso vacío"&amp;" · ","")&amp;IF(AND($S217="Macro",$G217&lt;&gt;"",OR(NOT(ISNUMBER($G217)),$G217&lt;=0,$G217&gt;1)),"Peso fuera de rango"&amp;" · ","")&amp;IF(AND($S217="Sub",$G217&lt;&gt;""),"Las subactividades no llevan peso"&amp;" · ","")&amp;IF(AND($S217="Macro",ABS(SUMIFS($G$5:$G$1000,$P$5:$P$1000,$P217,$S$5:$S$1000,"Macro")-1)&gt;0.0001),"Pesos del mes suman "&amp;TEXT(SUMIFS($G$5:$G$1000,$P$5:$P$1000,$P217,$S$5:$S$1000,"Macro"),"0%")&amp;" · ","")&amp;IF(AND(N($T217)&gt;0,COUNT($H217:$K217)&gt;0),"Con subactividades: deje vacías las semanas (se calculan solas)"&amp;" · ","")&amp;IF((COUNTIF($H217:$K217,"&gt;1")+COUNTIF($H217:$K217,"&lt;0")+COUNTA($H217:$K217)-COUNT($H217:$K217))&gt;0,"Avance fuera de rango 0-100%"&amp;" · ","")&amp;IF(OR(AND($I217&lt;&gt;"",$I217&lt;$H217),AND($J217&lt;&gt;"",$J217&lt;MAX($H217:$I217)),AND($K217&lt;&gt;"",$K217&lt;MAX($H217:$J217))),"Avance semanal decreciente"&amp;" · ","")&amp;IF(AND(ISNUMBER($F217),$F217&lt;FechaRef,N($L217)&lt;1),"Vencida"&amp;" · ","")&amp;IF(AND(ObsObligatoria="Sí",ISNUMBER($F217),$F217&lt;FechaRef,N($L217)&lt;1,$N217=""),"Vencida sin observación"&amp;" · ",""))-3)))</f>
        <v/>
      </c>
      <c r="P217" s="69">
        <f>IF(NOT((COUNTA($B217:$K217)+COUNTA($N217))&gt;0),"",IF(AND($S217="Sub",N($R217)&gt;0),IF(ISNUMBER(INDEX($E$5:$E$1000,$R217-4)),DATE(YEAR(INDEX($E$5:$E$1000,$R217-4)),MONTH(INDEX($E$5:$E$1000,$R217-4)),1),IF(ISNUMBER(INDEX($F$5:$F$1000,$R217-4)),DATE(YEAR(INDEX($F$5:$F$1000,$R217-4)),MONTH(INDEX($F$5:$F$1000,$R217-4)),1),MesCiclo)),IF(ISNUMBER($E217),DATE(YEAR($E217),MONTH($E217),1),IF(ISNUMBER($F217),DATE(YEAR($F217),MONTH($F217),1),MesCiclo))))</f>
        <v/>
      </c>
      <c r="Q217" s="70">
        <f>IF(OR($P217="",$P217&lt;&gt;MesCiclo),"",COUNTIF($P$5:$P217,MesCiclo))</f>
        <v/>
      </c>
      <c r="R217" s="70">
        <f>IF($S217="","",IF($S217="Macro",ROW(),IFERROR(LOOKUP(2,1/($S$5:$S217="Macro"),ROW($S$5:$S217)),0)))</f>
        <v/>
      </c>
      <c r="S217" s="70">
        <f>IF(NOT((COUNTA($B217:$K217)+COUNTA($N217))&gt;0),"",IF($B217&lt;&gt;"","Macro",IF($C217&lt;&gt;"","Sub","Macro")))</f>
        <v/>
      </c>
      <c r="T217" s="70">
        <f>IF($S217="Macro",COUNTIFS($R$5:$R$1000,ROW(),$S$5:$S$1000,"Sub"),"")</f>
        <v/>
      </c>
      <c r="U217" s="70">
        <f>IF($S217="","",IF(ISNUMBER($H217),$H217,0))</f>
        <v/>
      </c>
      <c r="V217" s="70">
        <f>IF($S217="","",IF(ISNUMBER($I217),$I217,$U217))</f>
        <v/>
      </c>
      <c r="W217" s="70">
        <f>IF($S217="","",IF(ISNUMBER($J217),$J217,$V217))</f>
        <v/>
      </c>
      <c r="X217" s="70">
        <f>IF($S217="","",IF(ISNUMBER($K217),$K217,$W217))</f>
        <v/>
      </c>
      <c r="Y217" s="70">
        <f>IF($S217="","",IF(N($T217)&gt;0,AVERAGEIFS($U$5:$U$1000,$R$5:$R$1000,ROW(),$S$5:$S$1000,"Sub"),$U217))</f>
        <v/>
      </c>
      <c r="Z217" s="70">
        <f>IF($S217="","",IF(N($T217)&gt;0,AVERAGEIFS($V$5:$V$1000,$R$5:$R$1000,ROW(),$S$5:$S$1000,"Sub"),$V217))</f>
        <v/>
      </c>
      <c r="AA217" s="70">
        <f>IF($S217="","",IF(N($T217)&gt;0,AVERAGEIFS($W$5:$W$1000,$R$5:$R$1000,ROW(),$S$5:$S$1000,"Sub"),$W217))</f>
        <v/>
      </c>
      <c r="AB217" s="70">
        <f>IF($S217="","",IF(N($T217)&gt;0,AVERAGEIFS($X$5:$X$1000,$R$5:$R$1000,ROW(),$S$5:$S$1000,"Sub"),$X217))</f>
        <v/>
      </c>
    </row>
    <row r="218">
      <c r="A218" s="61">
        <f>IF(NOT((COUNTA($B218:$K218)+COUNTA($N218))&gt;0),"",IF($S218="Macro",COUNTIFS($S$5:$S218,"Macro",$P$5:$P218,$P218),IF(N($R218)=0,"?",COUNTIFS(INDEX($S$5:$S$1000,1):INDEX($S$5:$S$1000,$R218-4),"Macro",INDEX($P$5:$P$1000,1):INDEX($P$5:$P$1000,$R218-4),INDEX($P$5:$P$1000,$R218-4))&amp;"."&amp;COUNTIFS($R$5:$R218,$R218,$S$5:$S218,"Sub"))))</f>
        <v/>
      </c>
      <c r="B218" s="62" t="n"/>
      <c r="C218" s="63" t="n"/>
      <c r="D218" s="62" t="n"/>
      <c r="E218" s="64" t="n"/>
      <c r="F218" s="64" t="n"/>
      <c r="G218" s="65" t="n"/>
      <c r="H218" s="66" t="n"/>
      <c r="I218" s="66" t="n"/>
      <c r="J218" s="66" t="n"/>
      <c r="K218" s="66" t="n"/>
      <c r="L218" s="67">
        <f>IF(NOT((COUNTA($B218:$K218)+COUNTA($N218))&gt;0),"",IF(N($T218)&gt;0,$AB218,IFERROR(LOOKUP(2,1/(H218:K218&lt;&gt;""),H218:K218),0)))</f>
        <v/>
      </c>
      <c r="M218" s="61">
        <f>IF(L218="","",IF(L218&gt;=1,"Completado",IF(L218&gt;0,"En curso","Pendiente")))</f>
        <v/>
      </c>
      <c r="N218" s="62" t="n"/>
      <c r="O218" s="68">
        <f>IF(NOT((COUNTA($B218:$K218)+COUNTA($N218))&gt;0),"",IF((IF(AND($S218="Macro",$B218=""),"Macroactividad vacía"&amp;" · ","")&amp;IF(AND($B218&lt;&gt;"",$C218&lt;&gt;""),"Escriba la subactividad en otra fila, debajo de su macroactividad"&amp;" · ","")&amp;IF(AND($S218="Sub",N($R218)=0),"Subactividad sin macroactividad arriba"&amp;" · ","")&amp;IF($D218="","Sin responsable"&amp;" · ","")&amp;IF($E218="","Sin fecha de inicio"&amp;" · ","")&amp;IF($F218="","Sin fecha límite"&amp;" · ","")&amp;IF(OR(AND($E218&lt;&gt;"",NOT(ISNUMBER($E218))),AND($F218&lt;&gt;"",NOT(ISNUMBER($F218)))),"Fecha no válida"&amp;" · ","")&amp;IF(AND(ISNUMBER($E218),ISNUMBER($F218),$E218&gt;$F218),"Inicio posterior a fecha límite"&amp;" · ","")&amp;IF(AND($S218="Macro",$G218=""),"Peso vacío"&amp;" · ","")&amp;IF(AND($S218="Macro",$G218&lt;&gt;"",OR(NOT(ISNUMBER($G218)),$G218&lt;=0,$G218&gt;1)),"Peso fuera de rango"&amp;" · ","")&amp;IF(AND($S218="Sub",$G218&lt;&gt;""),"Las subactividades no llevan peso"&amp;" · ","")&amp;IF(AND($S218="Macro",ABS(SUMIFS($G$5:$G$1000,$P$5:$P$1000,$P218,$S$5:$S$1000,"Macro")-1)&gt;0.0001),"Pesos del mes suman "&amp;TEXT(SUMIFS($G$5:$G$1000,$P$5:$P$1000,$P218,$S$5:$S$1000,"Macro"),"0%")&amp;" · ","")&amp;IF(AND(N($T218)&gt;0,COUNT($H218:$K218)&gt;0),"Con subactividades: deje vacías las semanas (se calculan solas)"&amp;" · ","")&amp;IF((COUNTIF($H218:$K218,"&gt;1")+COUNTIF($H218:$K218,"&lt;0")+COUNTA($H218:$K218)-COUNT($H218:$K218))&gt;0,"Avance fuera de rango 0-100%"&amp;" · ","")&amp;IF(OR(AND($I218&lt;&gt;"",$I218&lt;$H218),AND($J218&lt;&gt;"",$J218&lt;MAX($H218:$I218)),AND($K218&lt;&gt;"",$K218&lt;MAX($H218:$J218))),"Avance semanal decreciente"&amp;" · ","")&amp;IF(AND(ISNUMBER($F218),$F218&lt;FechaRef,N($L218)&lt;1),"Vencida"&amp;" · ","")&amp;IF(AND(ObsObligatoria="Sí",ISNUMBER($F218),$F218&lt;FechaRef,N($L218)&lt;1,$N218=""),"Vencida sin observación"&amp;" · ",""))="","✔ OK","⚠ "&amp;LEFT(IF(AND($S218="Macro",$B218=""),"Macroactividad vacía"&amp;" · ","")&amp;IF(AND($B218&lt;&gt;"",$C218&lt;&gt;""),"Escriba la subactividad en otra fila, debajo de su macroactividad"&amp;" · ","")&amp;IF(AND($S218="Sub",N($R218)=0),"Subactividad sin macroactividad arriba"&amp;" · ","")&amp;IF($D218="","Sin responsable"&amp;" · ","")&amp;IF($E218="","Sin fecha de inicio"&amp;" · ","")&amp;IF($F218="","Sin fecha límite"&amp;" · ","")&amp;IF(OR(AND($E218&lt;&gt;"",NOT(ISNUMBER($E218))),AND($F218&lt;&gt;"",NOT(ISNUMBER($F218)))),"Fecha no válida"&amp;" · ","")&amp;IF(AND(ISNUMBER($E218),ISNUMBER($F218),$E218&gt;$F218),"Inicio posterior a fecha límite"&amp;" · ","")&amp;IF(AND($S218="Macro",$G218=""),"Peso vacío"&amp;" · ","")&amp;IF(AND($S218="Macro",$G218&lt;&gt;"",OR(NOT(ISNUMBER($G218)),$G218&lt;=0,$G218&gt;1)),"Peso fuera de rango"&amp;" · ","")&amp;IF(AND($S218="Sub",$G218&lt;&gt;""),"Las subactividades no llevan peso"&amp;" · ","")&amp;IF(AND($S218="Macro",ABS(SUMIFS($G$5:$G$1000,$P$5:$P$1000,$P218,$S$5:$S$1000,"Macro")-1)&gt;0.0001),"Pesos del mes suman "&amp;TEXT(SUMIFS($G$5:$G$1000,$P$5:$P$1000,$P218,$S$5:$S$1000,"Macro"),"0%")&amp;" · ","")&amp;IF(AND(N($T218)&gt;0,COUNT($H218:$K218)&gt;0),"Con subactividades: deje vacías las semanas (se calculan solas)"&amp;" · ","")&amp;IF((COUNTIF($H218:$K218,"&gt;1")+COUNTIF($H218:$K218,"&lt;0")+COUNTA($H218:$K218)-COUNT($H218:$K218))&gt;0,"Avance fuera de rango 0-100%"&amp;" · ","")&amp;IF(OR(AND($I218&lt;&gt;"",$I218&lt;$H218),AND($J218&lt;&gt;"",$J218&lt;MAX($H218:$I218)),AND($K218&lt;&gt;"",$K218&lt;MAX($H218:$J218))),"Avance semanal decreciente"&amp;" · ","")&amp;IF(AND(ISNUMBER($F218),$F218&lt;FechaRef,N($L218)&lt;1),"Vencida"&amp;" · ","")&amp;IF(AND(ObsObligatoria="Sí",ISNUMBER($F218),$F218&lt;FechaRef,N($L218)&lt;1,$N218=""),"Vencida sin observación"&amp;" · ",""),LEN(IF(AND($S218="Macro",$B218=""),"Macroactividad vacía"&amp;" · ","")&amp;IF(AND($B218&lt;&gt;"",$C218&lt;&gt;""),"Escriba la subactividad en otra fila, debajo de su macroactividad"&amp;" · ","")&amp;IF(AND($S218="Sub",N($R218)=0),"Subactividad sin macroactividad arriba"&amp;" · ","")&amp;IF($D218="","Sin responsable"&amp;" · ","")&amp;IF($E218="","Sin fecha de inicio"&amp;" · ","")&amp;IF($F218="","Sin fecha límite"&amp;" · ","")&amp;IF(OR(AND($E218&lt;&gt;"",NOT(ISNUMBER($E218))),AND($F218&lt;&gt;"",NOT(ISNUMBER($F218)))),"Fecha no válida"&amp;" · ","")&amp;IF(AND(ISNUMBER($E218),ISNUMBER($F218),$E218&gt;$F218),"Inicio posterior a fecha límite"&amp;" · ","")&amp;IF(AND($S218="Macro",$G218=""),"Peso vacío"&amp;" · ","")&amp;IF(AND($S218="Macro",$G218&lt;&gt;"",OR(NOT(ISNUMBER($G218)),$G218&lt;=0,$G218&gt;1)),"Peso fuera de rango"&amp;" · ","")&amp;IF(AND($S218="Sub",$G218&lt;&gt;""),"Las subactividades no llevan peso"&amp;" · ","")&amp;IF(AND($S218="Macro",ABS(SUMIFS($G$5:$G$1000,$P$5:$P$1000,$P218,$S$5:$S$1000,"Macro")-1)&gt;0.0001),"Pesos del mes suman "&amp;TEXT(SUMIFS($G$5:$G$1000,$P$5:$P$1000,$P218,$S$5:$S$1000,"Macro"),"0%")&amp;" · ","")&amp;IF(AND(N($T218)&gt;0,COUNT($H218:$K218)&gt;0),"Con subactividades: deje vacías las semanas (se calculan solas)"&amp;" · ","")&amp;IF((COUNTIF($H218:$K218,"&gt;1")+COUNTIF($H218:$K218,"&lt;0")+COUNTA($H218:$K218)-COUNT($H218:$K218))&gt;0,"Avance fuera de rango 0-100%"&amp;" · ","")&amp;IF(OR(AND($I218&lt;&gt;"",$I218&lt;$H218),AND($J218&lt;&gt;"",$J218&lt;MAX($H218:$I218)),AND($K218&lt;&gt;"",$K218&lt;MAX($H218:$J218))),"Avance semanal decreciente"&amp;" · ","")&amp;IF(AND(ISNUMBER($F218),$F218&lt;FechaRef,N($L218)&lt;1),"Vencida"&amp;" · ","")&amp;IF(AND(ObsObligatoria="Sí",ISNUMBER($F218),$F218&lt;FechaRef,N($L218)&lt;1,$N218=""),"Vencida sin observación"&amp;" · ",""))-3)))</f>
        <v/>
      </c>
      <c r="P218" s="69">
        <f>IF(NOT((COUNTA($B218:$K218)+COUNTA($N218))&gt;0),"",IF(AND($S218="Sub",N($R218)&gt;0),IF(ISNUMBER(INDEX($E$5:$E$1000,$R218-4)),DATE(YEAR(INDEX($E$5:$E$1000,$R218-4)),MONTH(INDEX($E$5:$E$1000,$R218-4)),1),IF(ISNUMBER(INDEX($F$5:$F$1000,$R218-4)),DATE(YEAR(INDEX($F$5:$F$1000,$R218-4)),MONTH(INDEX($F$5:$F$1000,$R218-4)),1),MesCiclo)),IF(ISNUMBER($E218),DATE(YEAR($E218),MONTH($E218),1),IF(ISNUMBER($F218),DATE(YEAR($F218),MONTH($F218),1),MesCiclo))))</f>
        <v/>
      </c>
      <c r="Q218" s="70">
        <f>IF(OR($P218="",$P218&lt;&gt;MesCiclo),"",COUNTIF($P$5:$P218,MesCiclo))</f>
        <v/>
      </c>
      <c r="R218" s="70">
        <f>IF($S218="","",IF($S218="Macro",ROW(),IFERROR(LOOKUP(2,1/($S$5:$S218="Macro"),ROW($S$5:$S218)),0)))</f>
        <v/>
      </c>
      <c r="S218" s="70">
        <f>IF(NOT((COUNTA($B218:$K218)+COUNTA($N218))&gt;0),"",IF($B218&lt;&gt;"","Macro",IF($C218&lt;&gt;"","Sub","Macro")))</f>
        <v/>
      </c>
      <c r="T218" s="70">
        <f>IF($S218="Macro",COUNTIFS($R$5:$R$1000,ROW(),$S$5:$S$1000,"Sub"),"")</f>
        <v/>
      </c>
      <c r="U218" s="70">
        <f>IF($S218="","",IF(ISNUMBER($H218),$H218,0))</f>
        <v/>
      </c>
      <c r="V218" s="70">
        <f>IF($S218="","",IF(ISNUMBER($I218),$I218,$U218))</f>
        <v/>
      </c>
      <c r="W218" s="70">
        <f>IF($S218="","",IF(ISNUMBER($J218),$J218,$V218))</f>
        <v/>
      </c>
      <c r="X218" s="70">
        <f>IF($S218="","",IF(ISNUMBER($K218),$K218,$W218))</f>
        <v/>
      </c>
      <c r="Y218" s="70">
        <f>IF($S218="","",IF(N($T218)&gt;0,AVERAGEIFS($U$5:$U$1000,$R$5:$R$1000,ROW(),$S$5:$S$1000,"Sub"),$U218))</f>
        <v/>
      </c>
      <c r="Z218" s="70">
        <f>IF($S218="","",IF(N($T218)&gt;0,AVERAGEIFS($V$5:$V$1000,$R$5:$R$1000,ROW(),$S$5:$S$1000,"Sub"),$V218))</f>
        <v/>
      </c>
      <c r="AA218" s="70">
        <f>IF($S218="","",IF(N($T218)&gt;0,AVERAGEIFS($W$5:$W$1000,$R$5:$R$1000,ROW(),$S$5:$S$1000,"Sub"),$W218))</f>
        <v/>
      </c>
      <c r="AB218" s="70">
        <f>IF($S218="","",IF(N($T218)&gt;0,AVERAGEIFS($X$5:$X$1000,$R$5:$R$1000,ROW(),$S$5:$S$1000,"Sub"),$X218))</f>
        <v/>
      </c>
    </row>
    <row r="219">
      <c r="A219" s="61">
        <f>IF(NOT((COUNTA($B219:$K219)+COUNTA($N219))&gt;0),"",IF($S219="Macro",COUNTIFS($S$5:$S219,"Macro",$P$5:$P219,$P219),IF(N($R219)=0,"?",COUNTIFS(INDEX($S$5:$S$1000,1):INDEX($S$5:$S$1000,$R219-4),"Macro",INDEX($P$5:$P$1000,1):INDEX($P$5:$P$1000,$R219-4),INDEX($P$5:$P$1000,$R219-4))&amp;"."&amp;COUNTIFS($R$5:$R219,$R219,$S$5:$S219,"Sub"))))</f>
        <v/>
      </c>
      <c r="B219" s="62" t="n"/>
      <c r="C219" s="63" t="n"/>
      <c r="D219" s="62" t="n"/>
      <c r="E219" s="64" t="n"/>
      <c r="F219" s="64" t="n"/>
      <c r="G219" s="65" t="n"/>
      <c r="H219" s="66" t="n"/>
      <c r="I219" s="66" t="n"/>
      <c r="J219" s="66" t="n"/>
      <c r="K219" s="66" t="n"/>
      <c r="L219" s="67">
        <f>IF(NOT((COUNTA($B219:$K219)+COUNTA($N219))&gt;0),"",IF(N($T219)&gt;0,$AB219,IFERROR(LOOKUP(2,1/(H219:K219&lt;&gt;""),H219:K219),0)))</f>
        <v/>
      </c>
      <c r="M219" s="61">
        <f>IF(L219="","",IF(L219&gt;=1,"Completado",IF(L219&gt;0,"En curso","Pendiente")))</f>
        <v/>
      </c>
      <c r="N219" s="62" t="n"/>
      <c r="O219" s="68">
        <f>IF(NOT((COUNTA($B219:$K219)+COUNTA($N219))&gt;0),"",IF((IF(AND($S219="Macro",$B219=""),"Macroactividad vacía"&amp;" · ","")&amp;IF(AND($B219&lt;&gt;"",$C219&lt;&gt;""),"Escriba la subactividad en otra fila, debajo de su macroactividad"&amp;" · ","")&amp;IF(AND($S219="Sub",N($R219)=0),"Subactividad sin macroactividad arriba"&amp;" · ","")&amp;IF($D219="","Sin responsable"&amp;" · ","")&amp;IF($E219="","Sin fecha de inicio"&amp;" · ","")&amp;IF($F219="","Sin fecha límite"&amp;" · ","")&amp;IF(OR(AND($E219&lt;&gt;"",NOT(ISNUMBER($E219))),AND($F219&lt;&gt;"",NOT(ISNUMBER($F219)))),"Fecha no válida"&amp;" · ","")&amp;IF(AND(ISNUMBER($E219),ISNUMBER($F219),$E219&gt;$F219),"Inicio posterior a fecha límite"&amp;" · ","")&amp;IF(AND($S219="Macro",$G219=""),"Peso vacío"&amp;" · ","")&amp;IF(AND($S219="Macro",$G219&lt;&gt;"",OR(NOT(ISNUMBER($G219)),$G219&lt;=0,$G219&gt;1)),"Peso fuera de rango"&amp;" · ","")&amp;IF(AND($S219="Sub",$G219&lt;&gt;""),"Las subactividades no llevan peso"&amp;" · ","")&amp;IF(AND($S219="Macro",ABS(SUMIFS($G$5:$G$1000,$P$5:$P$1000,$P219,$S$5:$S$1000,"Macro")-1)&gt;0.0001),"Pesos del mes suman "&amp;TEXT(SUMIFS($G$5:$G$1000,$P$5:$P$1000,$P219,$S$5:$S$1000,"Macro"),"0%")&amp;" · ","")&amp;IF(AND(N($T219)&gt;0,COUNT($H219:$K219)&gt;0),"Con subactividades: deje vacías las semanas (se calculan solas)"&amp;" · ","")&amp;IF((COUNTIF($H219:$K219,"&gt;1")+COUNTIF($H219:$K219,"&lt;0")+COUNTA($H219:$K219)-COUNT($H219:$K219))&gt;0,"Avance fuera de rango 0-100%"&amp;" · ","")&amp;IF(OR(AND($I219&lt;&gt;"",$I219&lt;$H219),AND($J219&lt;&gt;"",$J219&lt;MAX($H219:$I219)),AND($K219&lt;&gt;"",$K219&lt;MAX($H219:$J219))),"Avance semanal decreciente"&amp;" · ","")&amp;IF(AND(ISNUMBER($F219),$F219&lt;FechaRef,N($L219)&lt;1),"Vencida"&amp;" · ","")&amp;IF(AND(ObsObligatoria="Sí",ISNUMBER($F219),$F219&lt;FechaRef,N($L219)&lt;1,$N219=""),"Vencida sin observación"&amp;" · ",""))="","✔ OK","⚠ "&amp;LEFT(IF(AND($S219="Macro",$B219=""),"Macroactividad vacía"&amp;" · ","")&amp;IF(AND($B219&lt;&gt;"",$C219&lt;&gt;""),"Escriba la subactividad en otra fila, debajo de su macroactividad"&amp;" · ","")&amp;IF(AND($S219="Sub",N($R219)=0),"Subactividad sin macroactividad arriba"&amp;" · ","")&amp;IF($D219="","Sin responsable"&amp;" · ","")&amp;IF($E219="","Sin fecha de inicio"&amp;" · ","")&amp;IF($F219="","Sin fecha límite"&amp;" · ","")&amp;IF(OR(AND($E219&lt;&gt;"",NOT(ISNUMBER($E219))),AND($F219&lt;&gt;"",NOT(ISNUMBER($F219)))),"Fecha no válida"&amp;" · ","")&amp;IF(AND(ISNUMBER($E219),ISNUMBER($F219),$E219&gt;$F219),"Inicio posterior a fecha límite"&amp;" · ","")&amp;IF(AND($S219="Macro",$G219=""),"Peso vacío"&amp;" · ","")&amp;IF(AND($S219="Macro",$G219&lt;&gt;"",OR(NOT(ISNUMBER($G219)),$G219&lt;=0,$G219&gt;1)),"Peso fuera de rango"&amp;" · ","")&amp;IF(AND($S219="Sub",$G219&lt;&gt;""),"Las subactividades no llevan peso"&amp;" · ","")&amp;IF(AND($S219="Macro",ABS(SUMIFS($G$5:$G$1000,$P$5:$P$1000,$P219,$S$5:$S$1000,"Macro")-1)&gt;0.0001),"Pesos del mes suman "&amp;TEXT(SUMIFS($G$5:$G$1000,$P$5:$P$1000,$P219,$S$5:$S$1000,"Macro"),"0%")&amp;" · ","")&amp;IF(AND(N($T219)&gt;0,COUNT($H219:$K219)&gt;0),"Con subactividades: deje vacías las semanas (se calculan solas)"&amp;" · ","")&amp;IF((COUNTIF($H219:$K219,"&gt;1")+COUNTIF($H219:$K219,"&lt;0")+COUNTA($H219:$K219)-COUNT($H219:$K219))&gt;0,"Avance fuera de rango 0-100%"&amp;" · ","")&amp;IF(OR(AND($I219&lt;&gt;"",$I219&lt;$H219),AND($J219&lt;&gt;"",$J219&lt;MAX($H219:$I219)),AND($K219&lt;&gt;"",$K219&lt;MAX($H219:$J219))),"Avance semanal decreciente"&amp;" · ","")&amp;IF(AND(ISNUMBER($F219),$F219&lt;FechaRef,N($L219)&lt;1),"Vencida"&amp;" · ","")&amp;IF(AND(ObsObligatoria="Sí",ISNUMBER($F219),$F219&lt;FechaRef,N($L219)&lt;1,$N219=""),"Vencida sin observación"&amp;" · ",""),LEN(IF(AND($S219="Macro",$B219=""),"Macroactividad vacía"&amp;" · ","")&amp;IF(AND($B219&lt;&gt;"",$C219&lt;&gt;""),"Escriba la subactividad en otra fila, debajo de su macroactividad"&amp;" · ","")&amp;IF(AND($S219="Sub",N($R219)=0),"Subactividad sin macroactividad arriba"&amp;" · ","")&amp;IF($D219="","Sin responsable"&amp;" · ","")&amp;IF($E219="","Sin fecha de inicio"&amp;" · ","")&amp;IF($F219="","Sin fecha límite"&amp;" · ","")&amp;IF(OR(AND($E219&lt;&gt;"",NOT(ISNUMBER($E219))),AND($F219&lt;&gt;"",NOT(ISNUMBER($F219)))),"Fecha no válida"&amp;" · ","")&amp;IF(AND(ISNUMBER($E219),ISNUMBER($F219),$E219&gt;$F219),"Inicio posterior a fecha límite"&amp;" · ","")&amp;IF(AND($S219="Macro",$G219=""),"Peso vacío"&amp;" · ","")&amp;IF(AND($S219="Macro",$G219&lt;&gt;"",OR(NOT(ISNUMBER($G219)),$G219&lt;=0,$G219&gt;1)),"Peso fuera de rango"&amp;" · ","")&amp;IF(AND($S219="Sub",$G219&lt;&gt;""),"Las subactividades no llevan peso"&amp;" · ","")&amp;IF(AND($S219="Macro",ABS(SUMIFS($G$5:$G$1000,$P$5:$P$1000,$P219,$S$5:$S$1000,"Macro")-1)&gt;0.0001),"Pesos del mes suman "&amp;TEXT(SUMIFS($G$5:$G$1000,$P$5:$P$1000,$P219,$S$5:$S$1000,"Macro"),"0%")&amp;" · ","")&amp;IF(AND(N($T219)&gt;0,COUNT($H219:$K219)&gt;0),"Con subactividades: deje vacías las semanas (se calculan solas)"&amp;" · ","")&amp;IF((COUNTIF($H219:$K219,"&gt;1")+COUNTIF($H219:$K219,"&lt;0")+COUNTA($H219:$K219)-COUNT($H219:$K219))&gt;0,"Avance fuera de rango 0-100%"&amp;" · ","")&amp;IF(OR(AND($I219&lt;&gt;"",$I219&lt;$H219),AND($J219&lt;&gt;"",$J219&lt;MAX($H219:$I219)),AND($K219&lt;&gt;"",$K219&lt;MAX($H219:$J219))),"Avance semanal decreciente"&amp;" · ","")&amp;IF(AND(ISNUMBER($F219),$F219&lt;FechaRef,N($L219)&lt;1),"Vencida"&amp;" · ","")&amp;IF(AND(ObsObligatoria="Sí",ISNUMBER($F219),$F219&lt;FechaRef,N($L219)&lt;1,$N219=""),"Vencida sin observación"&amp;" · ",""))-3)))</f>
        <v/>
      </c>
      <c r="P219" s="69">
        <f>IF(NOT((COUNTA($B219:$K219)+COUNTA($N219))&gt;0),"",IF(AND($S219="Sub",N($R219)&gt;0),IF(ISNUMBER(INDEX($E$5:$E$1000,$R219-4)),DATE(YEAR(INDEX($E$5:$E$1000,$R219-4)),MONTH(INDEX($E$5:$E$1000,$R219-4)),1),IF(ISNUMBER(INDEX($F$5:$F$1000,$R219-4)),DATE(YEAR(INDEX($F$5:$F$1000,$R219-4)),MONTH(INDEX($F$5:$F$1000,$R219-4)),1),MesCiclo)),IF(ISNUMBER($E219),DATE(YEAR($E219),MONTH($E219),1),IF(ISNUMBER($F219),DATE(YEAR($F219),MONTH($F219),1),MesCiclo))))</f>
        <v/>
      </c>
      <c r="Q219" s="70">
        <f>IF(OR($P219="",$P219&lt;&gt;MesCiclo),"",COUNTIF($P$5:$P219,MesCiclo))</f>
        <v/>
      </c>
      <c r="R219" s="70">
        <f>IF($S219="","",IF($S219="Macro",ROW(),IFERROR(LOOKUP(2,1/($S$5:$S219="Macro"),ROW($S$5:$S219)),0)))</f>
        <v/>
      </c>
      <c r="S219" s="70">
        <f>IF(NOT((COUNTA($B219:$K219)+COUNTA($N219))&gt;0),"",IF($B219&lt;&gt;"","Macro",IF($C219&lt;&gt;"","Sub","Macro")))</f>
        <v/>
      </c>
      <c r="T219" s="70">
        <f>IF($S219="Macro",COUNTIFS($R$5:$R$1000,ROW(),$S$5:$S$1000,"Sub"),"")</f>
        <v/>
      </c>
      <c r="U219" s="70">
        <f>IF($S219="","",IF(ISNUMBER($H219),$H219,0))</f>
        <v/>
      </c>
      <c r="V219" s="70">
        <f>IF($S219="","",IF(ISNUMBER($I219),$I219,$U219))</f>
        <v/>
      </c>
      <c r="W219" s="70">
        <f>IF($S219="","",IF(ISNUMBER($J219),$J219,$V219))</f>
        <v/>
      </c>
      <c r="X219" s="70">
        <f>IF($S219="","",IF(ISNUMBER($K219),$K219,$W219))</f>
        <v/>
      </c>
      <c r="Y219" s="70">
        <f>IF($S219="","",IF(N($T219)&gt;0,AVERAGEIFS($U$5:$U$1000,$R$5:$R$1000,ROW(),$S$5:$S$1000,"Sub"),$U219))</f>
        <v/>
      </c>
      <c r="Z219" s="70">
        <f>IF($S219="","",IF(N($T219)&gt;0,AVERAGEIFS($V$5:$V$1000,$R$5:$R$1000,ROW(),$S$5:$S$1000,"Sub"),$V219))</f>
        <v/>
      </c>
      <c r="AA219" s="70">
        <f>IF($S219="","",IF(N($T219)&gt;0,AVERAGEIFS($W$5:$W$1000,$R$5:$R$1000,ROW(),$S$5:$S$1000,"Sub"),$W219))</f>
        <v/>
      </c>
      <c r="AB219" s="70">
        <f>IF($S219="","",IF(N($T219)&gt;0,AVERAGEIFS($X$5:$X$1000,$R$5:$R$1000,ROW(),$S$5:$S$1000,"Sub"),$X219))</f>
        <v/>
      </c>
    </row>
    <row r="220">
      <c r="A220" s="61">
        <f>IF(NOT((COUNTA($B220:$K220)+COUNTA($N220))&gt;0),"",IF($S220="Macro",COUNTIFS($S$5:$S220,"Macro",$P$5:$P220,$P220),IF(N($R220)=0,"?",COUNTIFS(INDEX($S$5:$S$1000,1):INDEX($S$5:$S$1000,$R220-4),"Macro",INDEX($P$5:$P$1000,1):INDEX($P$5:$P$1000,$R220-4),INDEX($P$5:$P$1000,$R220-4))&amp;"."&amp;COUNTIFS($R$5:$R220,$R220,$S$5:$S220,"Sub"))))</f>
        <v/>
      </c>
      <c r="B220" s="62" t="n"/>
      <c r="C220" s="63" t="n"/>
      <c r="D220" s="62" t="n"/>
      <c r="E220" s="64" t="n"/>
      <c r="F220" s="64" t="n"/>
      <c r="G220" s="65" t="n"/>
      <c r="H220" s="66" t="n"/>
      <c r="I220" s="66" t="n"/>
      <c r="J220" s="66" t="n"/>
      <c r="K220" s="66" t="n"/>
      <c r="L220" s="67">
        <f>IF(NOT((COUNTA($B220:$K220)+COUNTA($N220))&gt;0),"",IF(N($T220)&gt;0,$AB220,IFERROR(LOOKUP(2,1/(H220:K220&lt;&gt;""),H220:K220),0)))</f>
        <v/>
      </c>
      <c r="M220" s="61">
        <f>IF(L220="","",IF(L220&gt;=1,"Completado",IF(L220&gt;0,"En curso","Pendiente")))</f>
        <v/>
      </c>
      <c r="N220" s="62" t="n"/>
      <c r="O220" s="68">
        <f>IF(NOT((COUNTA($B220:$K220)+COUNTA($N220))&gt;0),"",IF((IF(AND($S220="Macro",$B220=""),"Macroactividad vacía"&amp;" · ","")&amp;IF(AND($B220&lt;&gt;"",$C220&lt;&gt;""),"Escriba la subactividad en otra fila, debajo de su macroactividad"&amp;" · ","")&amp;IF(AND($S220="Sub",N($R220)=0),"Subactividad sin macroactividad arriba"&amp;" · ","")&amp;IF($D220="","Sin responsable"&amp;" · ","")&amp;IF($E220="","Sin fecha de inicio"&amp;" · ","")&amp;IF($F220="","Sin fecha límite"&amp;" · ","")&amp;IF(OR(AND($E220&lt;&gt;"",NOT(ISNUMBER($E220))),AND($F220&lt;&gt;"",NOT(ISNUMBER($F220)))),"Fecha no válida"&amp;" · ","")&amp;IF(AND(ISNUMBER($E220),ISNUMBER($F220),$E220&gt;$F220),"Inicio posterior a fecha límite"&amp;" · ","")&amp;IF(AND($S220="Macro",$G220=""),"Peso vacío"&amp;" · ","")&amp;IF(AND($S220="Macro",$G220&lt;&gt;"",OR(NOT(ISNUMBER($G220)),$G220&lt;=0,$G220&gt;1)),"Peso fuera de rango"&amp;" · ","")&amp;IF(AND($S220="Sub",$G220&lt;&gt;""),"Las subactividades no llevan peso"&amp;" · ","")&amp;IF(AND($S220="Macro",ABS(SUMIFS($G$5:$G$1000,$P$5:$P$1000,$P220,$S$5:$S$1000,"Macro")-1)&gt;0.0001),"Pesos del mes suman "&amp;TEXT(SUMIFS($G$5:$G$1000,$P$5:$P$1000,$P220,$S$5:$S$1000,"Macro"),"0%")&amp;" · ","")&amp;IF(AND(N($T220)&gt;0,COUNT($H220:$K220)&gt;0),"Con subactividades: deje vacías las semanas (se calculan solas)"&amp;" · ","")&amp;IF((COUNTIF($H220:$K220,"&gt;1")+COUNTIF($H220:$K220,"&lt;0")+COUNTA($H220:$K220)-COUNT($H220:$K220))&gt;0,"Avance fuera de rango 0-100%"&amp;" · ","")&amp;IF(OR(AND($I220&lt;&gt;"",$I220&lt;$H220),AND($J220&lt;&gt;"",$J220&lt;MAX($H220:$I220)),AND($K220&lt;&gt;"",$K220&lt;MAX($H220:$J220))),"Avance semanal decreciente"&amp;" · ","")&amp;IF(AND(ISNUMBER($F220),$F220&lt;FechaRef,N($L220)&lt;1),"Vencida"&amp;" · ","")&amp;IF(AND(ObsObligatoria="Sí",ISNUMBER($F220),$F220&lt;FechaRef,N($L220)&lt;1,$N220=""),"Vencida sin observación"&amp;" · ",""))="","✔ OK","⚠ "&amp;LEFT(IF(AND($S220="Macro",$B220=""),"Macroactividad vacía"&amp;" · ","")&amp;IF(AND($B220&lt;&gt;"",$C220&lt;&gt;""),"Escriba la subactividad en otra fila, debajo de su macroactividad"&amp;" · ","")&amp;IF(AND($S220="Sub",N($R220)=0),"Subactividad sin macroactividad arriba"&amp;" · ","")&amp;IF($D220="","Sin responsable"&amp;" · ","")&amp;IF($E220="","Sin fecha de inicio"&amp;" · ","")&amp;IF($F220="","Sin fecha límite"&amp;" · ","")&amp;IF(OR(AND($E220&lt;&gt;"",NOT(ISNUMBER($E220))),AND($F220&lt;&gt;"",NOT(ISNUMBER($F220)))),"Fecha no válida"&amp;" · ","")&amp;IF(AND(ISNUMBER($E220),ISNUMBER($F220),$E220&gt;$F220),"Inicio posterior a fecha límite"&amp;" · ","")&amp;IF(AND($S220="Macro",$G220=""),"Peso vacío"&amp;" · ","")&amp;IF(AND($S220="Macro",$G220&lt;&gt;"",OR(NOT(ISNUMBER($G220)),$G220&lt;=0,$G220&gt;1)),"Peso fuera de rango"&amp;" · ","")&amp;IF(AND($S220="Sub",$G220&lt;&gt;""),"Las subactividades no llevan peso"&amp;" · ","")&amp;IF(AND($S220="Macro",ABS(SUMIFS($G$5:$G$1000,$P$5:$P$1000,$P220,$S$5:$S$1000,"Macro")-1)&gt;0.0001),"Pesos del mes suman "&amp;TEXT(SUMIFS($G$5:$G$1000,$P$5:$P$1000,$P220,$S$5:$S$1000,"Macro"),"0%")&amp;" · ","")&amp;IF(AND(N($T220)&gt;0,COUNT($H220:$K220)&gt;0),"Con subactividades: deje vacías las semanas (se calculan solas)"&amp;" · ","")&amp;IF((COUNTIF($H220:$K220,"&gt;1")+COUNTIF($H220:$K220,"&lt;0")+COUNTA($H220:$K220)-COUNT($H220:$K220))&gt;0,"Avance fuera de rango 0-100%"&amp;" · ","")&amp;IF(OR(AND($I220&lt;&gt;"",$I220&lt;$H220),AND($J220&lt;&gt;"",$J220&lt;MAX($H220:$I220)),AND($K220&lt;&gt;"",$K220&lt;MAX($H220:$J220))),"Avance semanal decreciente"&amp;" · ","")&amp;IF(AND(ISNUMBER($F220),$F220&lt;FechaRef,N($L220)&lt;1),"Vencida"&amp;" · ","")&amp;IF(AND(ObsObligatoria="Sí",ISNUMBER($F220),$F220&lt;FechaRef,N($L220)&lt;1,$N220=""),"Vencida sin observación"&amp;" · ",""),LEN(IF(AND($S220="Macro",$B220=""),"Macroactividad vacía"&amp;" · ","")&amp;IF(AND($B220&lt;&gt;"",$C220&lt;&gt;""),"Escriba la subactividad en otra fila, debajo de su macroactividad"&amp;" · ","")&amp;IF(AND($S220="Sub",N($R220)=0),"Subactividad sin macroactividad arriba"&amp;" · ","")&amp;IF($D220="","Sin responsable"&amp;" · ","")&amp;IF($E220="","Sin fecha de inicio"&amp;" · ","")&amp;IF($F220="","Sin fecha límite"&amp;" · ","")&amp;IF(OR(AND($E220&lt;&gt;"",NOT(ISNUMBER($E220))),AND($F220&lt;&gt;"",NOT(ISNUMBER($F220)))),"Fecha no válida"&amp;" · ","")&amp;IF(AND(ISNUMBER($E220),ISNUMBER($F220),$E220&gt;$F220),"Inicio posterior a fecha límite"&amp;" · ","")&amp;IF(AND($S220="Macro",$G220=""),"Peso vacío"&amp;" · ","")&amp;IF(AND($S220="Macro",$G220&lt;&gt;"",OR(NOT(ISNUMBER($G220)),$G220&lt;=0,$G220&gt;1)),"Peso fuera de rango"&amp;" · ","")&amp;IF(AND($S220="Sub",$G220&lt;&gt;""),"Las subactividades no llevan peso"&amp;" · ","")&amp;IF(AND($S220="Macro",ABS(SUMIFS($G$5:$G$1000,$P$5:$P$1000,$P220,$S$5:$S$1000,"Macro")-1)&gt;0.0001),"Pesos del mes suman "&amp;TEXT(SUMIFS($G$5:$G$1000,$P$5:$P$1000,$P220,$S$5:$S$1000,"Macro"),"0%")&amp;" · ","")&amp;IF(AND(N($T220)&gt;0,COUNT($H220:$K220)&gt;0),"Con subactividades: deje vacías las semanas (se calculan solas)"&amp;" · ","")&amp;IF((COUNTIF($H220:$K220,"&gt;1")+COUNTIF($H220:$K220,"&lt;0")+COUNTA($H220:$K220)-COUNT($H220:$K220))&gt;0,"Avance fuera de rango 0-100%"&amp;" · ","")&amp;IF(OR(AND($I220&lt;&gt;"",$I220&lt;$H220),AND($J220&lt;&gt;"",$J220&lt;MAX($H220:$I220)),AND($K220&lt;&gt;"",$K220&lt;MAX($H220:$J220))),"Avance semanal decreciente"&amp;" · ","")&amp;IF(AND(ISNUMBER($F220),$F220&lt;FechaRef,N($L220)&lt;1),"Vencida"&amp;" · ","")&amp;IF(AND(ObsObligatoria="Sí",ISNUMBER($F220),$F220&lt;FechaRef,N($L220)&lt;1,$N220=""),"Vencida sin observación"&amp;" · ",""))-3)))</f>
        <v/>
      </c>
      <c r="P220" s="69">
        <f>IF(NOT((COUNTA($B220:$K220)+COUNTA($N220))&gt;0),"",IF(AND($S220="Sub",N($R220)&gt;0),IF(ISNUMBER(INDEX($E$5:$E$1000,$R220-4)),DATE(YEAR(INDEX($E$5:$E$1000,$R220-4)),MONTH(INDEX($E$5:$E$1000,$R220-4)),1),IF(ISNUMBER(INDEX($F$5:$F$1000,$R220-4)),DATE(YEAR(INDEX($F$5:$F$1000,$R220-4)),MONTH(INDEX($F$5:$F$1000,$R220-4)),1),MesCiclo)),IF(ISNUMBER($E220),DATE(YEAR($E220),MONTH($E220),1),IF(ISNUMBER($F220),DATE(YEAR($F220),MONTH($F220),1),MesCiclo))))</f>
        <v/>
      </c>
      <c r="Q220" s="70">
        <f>IF(OR($P220="",$P220&lt;&gt;MesCiclo),"",COUNTIF($P$5:$P220,MesCiclo))</f>
        <v/>
      </c>
      <c r="R220" s="70">
        <f>IF($S220="","",IF($S220="Macro",ROW(),IFERROR(LOOKUP(2,1/($S$5:$S220="Macro"),ROW($S$5:$S220)),0)))</f>
        <v/>
      </c>
      <c r="S220" s="70">
        <f>IF(NOT((COUNTA($B220:$K220)+COUNTA($N220))&gt;0),"",IF($B220&lt;&gt;"","Macro",IF($C220&lt;&gt;"","Sub","Macro")))</f>
        <v/>
      </c>
      <c r="T220" s="70">
        <f>IF($S220="Macro",COUNTIFS($R$5:$R$1000,ROW(),$S$5:$S$1000,"Sub"),"")</f>
        <v/>
      </c>
      <c r="U220" s="70">
        <f>IF($S220="","",IF(ISNUMBER($H220),$H220,0))</f>
        <v/>
      </c>
      <c r="V220" s="70">
        <f>IF($S220="","",IF(ISNUMBER($I220),$I220,$U220))</f>
        <v/>
      </c>
      <c r="W220" s="70">
        <f>IF($S220="","",IF(ISNUMBER($J220),$J220,$V220))</f>
        <v/>
      </c>
      <c r="X220" s="70">
        <f>IF($S220="","",IF(ISNUMBER($K220),$K220,$W220))</f>
        <v/>
      </c>
      <c r="Y220" s="70">
        <f>IF($S220="","",IF(N($T220)&gt;0,AVERAGEIFS($U$5:$U$1000,$R$5:$R$1000,ROW(),$S$5:$S$1000,"Sub"),$U220))</f>
        <v/>
      </c>
      <c r="Z220" s="70">
        <f>IF($S220="","",IF(N($T220)&gt;0,AVERAGEIFS($V$5:$V$1000,$R$5:$R$1000,ROW(),$S$5:$S$1000,"Sub"),$V220))</f>
        <v/>
      </c>
      <c r="AA220" s="70">
        <f>IF($S220="","",IF(N($T220)&gt;0,AVERAGEIFS($W$5:$W$1000,$R$5:$R$1000,ROW(),$S$5:$S$1000,"Sub"),$W220))</f>
        <v/>
      </c>
      <c r="AB220" s="70">
        <f>IF($S220="","",IF(N($T220)&gt;0,AVERAGEIFS($X$5:$X$1000,$R$5:$R$1000,ROW(),$S$5:$S$1000,"Sub"),$X220))</f>
        <v/>
      </c>
    </row>
    <row r="221">
      <c r="A221" s="61">
        <f>IF(NOT((COUNTA($B221:$K221)+COUNTA($N221))&gt;0),"",IF($S221="Macro",COUNTIFS($S$5:$S221,"Macro",$P$5:$P221,$P221),IF(N($R221)=0,"?",COUNTIFS(INDEX($S$5:$S$1000,1):INDEX($S$5:$S$1000,$R221-4),"Macro",INDEX($P$5:$P$1000,1):INDEX($P$5:$P$1000,$R221-4),INDEX($P$5:$P$1000,$R221-4))&amp;"."&amp;COUNTIFS($R$5:$R221,$R221,$S$5:$S221,"Sub"))))</f>
        <v/>
      </c>
      <c r="B221" s="62" t="n"/>
      <c r="C221" s="63" t="n"/>
      <c r="D221" s="62" t="n"/>
      <c r="E221" s="64" t="n"/>
      <c r="F221" s="64" t="n"/>
      <c r="G221" s="65" t="n"/>
      <c r="H221" s="66" t="n"/>
      <c r="I221" s="66" t="n"/>
      <c r="J221" s="66" t="n"/>
      <c r="K221" s="66" t="n"/>
      <c r="L221" s="67">
        <f>IF(NOT((COUNTA($B221:$K221)+COUNTA($N221))&gt;0),"",IF(N($T221)&gt;0,$AB221,IFERROR(LOOKUP(2,1/(H221:K221&lt;&gt;""),H221:K221),0)))</f>
        <v/>
      </c>
      <c r="M221" s="61">
        <f>IF(L221="","",IF(L221&gt;=1,"Completado",IF(L221&gt;0,"En curso","Pendiente")))</f>
        <v/>
      </c>
      <c r="N221" s="62" t="n"/>
      <c r="O221" s="68">
        <f>IF(NOT((COUNTA($B221:$K221)+COUNTA($N221))&gt;0),"",IF((IF(AND($S221="Macro",$B221=""),"Macroactividad vacía"&amp;" · ","")&amp;IF(AND($B221&lt;&gt;"",$C221&lt;&gt;""),"Escriba la subactividad en otra fila, debajo de su macroactividad"&amp;" · ","")&amp;IF(AND($S221="Sub",N($R221)=0),"Subactividad sin macroactividad arriba"&amp;" · ","")&amp;IF($D221="","Sin responsable"&amp;" · ","")&amp;IF($E221="","Sin fecha de inicio"&amp;" · ","")&amp;IF($F221="","Sin fecha límite"&amp;" · ","")&amp;IF(OR(AND($E221&lt;&gt;"",NOT(ISNUMBER($E221))),AND($F221&lt;&gt;"",NOT(ISNUMBER($F221)))),"Fecha no válida"&amp;" · ","")&amp;IF(AND(ISNUMBER($E221),ISNUMBER($F221),$E221&gt;$F221),"Inicio posterior a fecha límite"&amp;" · ","")&amp;IF(AND($S221="Macro",$G221=""),"Peso vacío"&amp;" · ","")&amp;IF(AND($S221="Macro",$G221&lt;&gt;"",OR(NOT(ISNUMBER($G221)),$G221&lt;=0,$G221&gt;1)),"Peso fuera de rango"&amp;" · ","")&amp;IF(AND($S221="Sub",$G221&lt;&gt;""),"Las subactividades no llevan peso"&amp;" · ","")&amp;IF(AND($S221="Macro",ABS(SUMIFS($G$5:$G$1000,$P$5:$P$1000,$P221,$S$5:$S$1000,"Macro")-1)&gt;0.0001),"Pesos del mes suman "&amp;TEXT(SUMIFS($G$5:$G$1000,$P$5:$P$1000,$P221,$S$5:$S$1000,"Macro"),"0%")&amp;" · ","")&amp;IF(AND(N($T221)&gt;0,COUNT($H221:$K221)&gt;0),"Con subactividades: deje vacías las semanas (se calculan solas)"&amp;" · ","")&amp;IF((COUNTIF($H221:$K221,"&gt;1")+COUNTIF($H221:$K221,"&lt;0")+COUNTA($H221:$K221)-COUNT($H221:$K221))&gt;0,"Avance fuera de rango 0-100%"&amp;" · ","")&amp;IF(OR(AND($I221&lt;&gt;"",$I221&lt;$H221),AND($J221&lt;&gt;"",$J221&lt;MAX($H221:$I221)),AND($K221&lt;&gt;"",$K221&lt;MAX($H221:$J221))),"Avance semanal decreciente"&amp;" · ","")&amp;IF(AND(ISNUMBER($F221),$F221&lt;FechaRef,N($L221)&lt;1),"Vencida"&amp;" · ","")&amp;IF(AND(ObsObligatoria="Sí",ISNUMBER($F221),$F221&lt;FechaRef,N($L221)&lt;1,$N221=""),"Vencida sin observación"&amp;" · ",""))="","✔ OK","⚠ "&amp;LEFT(IF(AND($S221="Macro",$B221=""),"Macroactividad vacía"&amp;" · ","")&amp;IF(AND($B221&lt;&gt;"",$C221&lt;&gt;""),"Escriba la subactividad en otra fila, debajo de su macroactividad"&amp;" · ","")&amp;IF(AND($S221="Sub",N($R221)=0),"Subactividad sin macroactividad arriba"&amp;" · ","")&amp;IF($D221="","Sin responsable"&amp;" · ","")&amp;IF($E221="","Sin fecha de inicio"&amp;" · ","")&amp;IF($F221="","Sin fecha límite"&amp;" · ","")&amp;IF(OR(AND($E221&lt;&gt;"",NOT(ISNUMBER($E221))),AND($F221&lt;&gt;"",NOT(ISNUMBER($F221)))),"Fecha no válida"&amp;" · ","")&amp;IF(AND(ISNUMBER($E221),ISNUMBER($F221),$E221&gt;$F221),"Inicio posterior a fecha límite"&amp;" · ","")&amp;IF(AND($S221="Macro",$G221=""),"Peso vacío"&amp;" · ","")&amp;IF(AND($S221="Macro",$G221&lt;&gt;"",OR(NOT(ISNUMBER($G221)),$G221&lt;=0,$G221&gt;1)),"Peso fuera de rango"&amp;" · ","")&amp;IF(AND($S221="Sub",$G221&lt;&gt;""),"Las subactividades no llevan peso"&amp;" · ","")&amp;IF(AND($S221="Macro",ABS(SUMIFS($G$5:$G$1000,$P$5:$P$1000,$P221,$S$5:$S$1000,"Macro")-1)&gt;0.0001),"Pesos del mes suman "&amp;TEXT(SUMIFS($G$5:$G$1000,$P$5:$P$1000,$P221,$S$5:$S$1000,"Macro"),"0%")&amp;" · ","")&amp;IF(AND(N($T221)&gt;0,COUNT($H221:$K221)&gt;0),"Con subactividades: deje vacías las semanas (se calculan solas)"&amp;" · ","")&amp;IF((COUNTIF($H221:$K221,"&gt;1")+COUNTIF($H221:$K221,"&lt;0")+COUNTA($H221:$K221)-COUNT($H221:$K221))&gt;0,"Avance fuera de rango 0-100%"&amp;" · ","")&amp;IF(OR(AND($I221&lt;&gt;"",$I221&lt;$H221),AND($J221&lt;&gt;"",$J221&lt;MAX($H221:$I221)),AND($K221&lt;&gt;"",$K221&lt;MAX($H221:$J221))),"Avance semanal decreciente"&amp;" · ","")&amp;IF(AND(ISNUMBER($F221),$F221&lt;FechaRef,N($L221)&lt;1),"Vencida"&amp;" · ","")&amp;IF(AND(ObsObligatoria="Sí",ISNUMBER($F221),$F221&lt;FechaRef,N($L221)&lt;1,$N221=""),"Vencida sin observación"&amp;" · ",""),LEN(IF(AND($S221="Macro",$B221=""),"Macroactividad vacía"&amp;" · ","")&amp;IF(AND($B221&lt;&gt;"",$C221&lt;&gt;""),"Escriba la subactividad en otra fila, debajo de su macroactividad"&amp;" · ","")&amp;IF(AND($S221="Sub",N($R221)=0),"Subactividad sin macroactividad arriba"&amp;" · ","")&amp;IF($D221="","Sin responsable"&amp;" · ","")&amp;IF($E221="","Sin fecha de inicio"&amp;" · ","")&amp;IF($F221="","Sin fecha límite"&amp;" · ","")&amp;IF(OR(AND($E221&lt;&gt;"",NOT(ISNUMBER($E221))),AND($F221&lt;&gt;"",NOT(ISNUMBER($F221)))),"Fecha no válida"&amp;" · ","")&amp;IF(AND(ISNUMBER($E221),ISNUMBER($F221),$E221&gt;$F221),"Inicio posterior a fecha límite"&amp;" · ","")&amp;IF(AND($S221="Macro",$G221=""),"Peso vacío"&amp;" · ","")&amp;IF(AND($S221="Macro",$G221&lt;&gt;"",OR(NOT(ISNUMBER($G221)),$G221&lt;=0,$G221&gt;1)),"Peso fuera de rango"&amp;" · ","")&amp;IF(AND($S221="Sub",$G221&lt;&gt;""),"Las subactividades no llevan peso"&amp;" · ","")&amp;IF(AND($S221="Macro",ABS(SUMIFS($G$5:$G$1000,$P$5:$P$1000,$P221,$S$5:$S$1000,"Macro")-1)&gt;0.0001),"Pesos del mes suman "&amp;TEXT(SUMIFS($G$5:$G$1000,$P$5:$P$1000,$P221,$S$5:$S$1000,"Macro"),"0%")&amp;" · ","")&amp;IF(AND(N($T221)&gt;0,COUNT($H221:$K221)&gt;0),"Con subactividades: deje vacías las semanas (se calculan solas)"&amp;" · ","")&amp;IF((COUNTIF($H221:$K221,"&gt;1")+COUNTIF($H221:$K221,"&lt;0")+COUNTA($H221:$K221)-COUNT($H221:$K221))&gt;0,"Avance fuera de rango 0-100%"&amp;" · ","")&amp;IF(OR(AND($I221&lt;&gt;"",$I221&lt;$H221),AND($J221&lt;&gt;"",$J221&lt;MAX($H221:$I221)),AND($K221&lt;&gt;"",$K221&lt;MAX($H221:$J221))),"Avance semanal decreciente"&amp;" · ","")&amp;IF(AND(ISNUMBER($F221),$F221&lt;FechaRef,N($L221)&lt;1),"Vencida"&amp;" · ","")&amp;IF(AND(ObsObligatoria="Sí",ISNUMBER($F221),$F221&lt;FechaRef,N($L221)&lt;1,$N221=""),"Vencida sin observación"&amp;" · ",""))-3)))</f>
        <v/>
      </c>
      <c r="P221" s="69">
        <f>IF(NOT((COUNTA($B221:$K221)+COUNTA($N221))&gt;0),"",IF(AND($S221="Sub",N($R221)&gt;0),IF(ISNUMBER(INDEX($E$5:$E$1000,$R221-4)),DATE(YEAR(INDEX($E$5:$E$1000,$R221-4)),MONTH(INDEX($E$5:$E$1000,$R221-4)),1),IF(ISNUMBER(INDEX($F$5:$F$1000,$R221-4)),DATE(YEAR(INDEX($F$5:$F$1000,$R221-4)),MONTH(INDEX($F$5:$F$1000,$R221-4)),1),MesCiclo)),IF(ISNUMBER($E221),DATE(YEAR($E221),MONTH($E221),1),IF(ISNUMBER($F221),DATE(YEAR($F221),MONTH($F221),1),MesCiclo))))</f>
        <v/>
      </c>
      <c r="Q221" s="70">
        <f>IF(OR($P221="",$P221&lt;&gt;MesCiclo),"",COUNTIF($P$5:$P221,MesCiclo))</f>
        <v/>
      </c>
      <c r="R221" s="70">
        <f>IF($S221="","",IF($S221="Macro",ROW(),IFERROR(LOOKUP(2,1/($S$5:$S221="Macro"),ROW($S$5:$S221)),0)))</f>
        <v/>
      </c>
      <c r="S221" s="70">
        <f>IF(NOT((COUNTA($B221:$K221)+COUNTA($N221))&gt;0),"",IF($B221&lt;&gt;"","Macro",IF($C221&lt;&gt;"","Sub","Macro")))</f>
        <v/>
      </c>
      <c r="T221" s="70">
        <f>IF($S221="Macro",COUNTIFS($R$5:$R$1000,ROW(),$S$5:$S$1000,"Sub"),"")</f>
        <v/>
      </c>
      <c r="U221" s="70">
        <f>IF($S221="","",IF(ISNUMBER($H221),$H221,0))</f>
        <v/>
      </c>
      <c r="V221" s="70">
        <f>IF($S221="","",IF(ISNUMBER($I221),$I221,$U221))</f>
        <v/>
      </c>
      <c r="W221" s="70">
        <f>IF($S221="","",IF(ISNUMBER($J221),$J221,$V221))</f>
        <v/>
      </c>
      <c r="X221" s="70">
        <f>IF($S221="","",IF(ISNUMBER($K221),$K221,$W221))</f>
        <v/>
      </c>
      <c r="Y221" s="70">
        <f>IF($S221="","",IF(N($T221)&gt;0,AVERAGEIFS($U$5:$U$1000,$R$5:$R$1000,ROW(),$S$5:$S$1000,"Sub"),$U221))</f>
        <v/>
      </c>
      <c r="Z221" s="70">
        <f>IF($S221="","",IF(N($T221)&gt;0,AVERAGEIFS($V$5:$V$1000,$R$5:$R$1000,ROW(),$S$5:$S$1000,"Sub"),$V221))</f>
        <v/>
      </c>
      <c r="AA221" s="70">
        <f>IF($S221="","",IF(N($T221)&gt;0,AVERAGEIFS($W$5:$W$1000,$R$5:$R$1000,ROW(),$S$5:$S$1000,"Sub"),$W221))</f>
        <v/>
      </c>
      <c r="AB221" s="70">
        <f>IF($S221="","",IF(N($T221)&gt;0,AVERAGEIFS($X$5:$X$1000,$R$5:$R$1000,ROW(),$S$5:$S$1000,"Sub"),$X221))</f>
        <v/>
      </c>
    </row>
    <row r="222">
      <c r="A222" s="61">
        <f>IF(NOT((COUNTA($B222:$K222)+COUNTA($N222))&gt;0),"",IF($S222="Macro",COUNTIFS($S$5:$S222,"Macro",$P$5:$P222,$P222),IF(N($R222)=0,"?",COUNTIFS(INDEX($S$5:$S$1000,1):INDEX($S$5:$S$1000,$R222-4),"Macro",INDEX($P$5:$P$1000,1):INDEX($P$5:$P$1000,$R222-4),INDEX($P$5:$P$1000,$R222-4))&amp;"."&amp;COUNTIFS($R$5:$R222,$R222,$S$5:$S222,"Sub"))))</f>
        <v/>
      </c>
      <c r="B222" s="62" t="n"/>
      <c r="C222" s="63" t="n"/>
      <c r="D222" s="62" t="n"/>
      <c r="E222" s="64" t="n"/>
      <c r="F222" s="64" t="n"/>
      <c r="G222" s="65" t="n"/>
      <c r="H222" s="66" t="n"/>
      <c r="I222" s="66" t="n"/>
      <c r="J222" s="66" t="n"/>
      <c r="K222" s="66" t="n"/>
      <c r="L222" s="67">
        <f>IF(NOT((COUNTA($B222:$K222)+COUNTA($N222))&gt;0),"",IF(N($T222)&gt;0,$AB222,IFERROR(LOOKUP(2,1/(H222:K222&lt;&gt;""),H222:K222),0)))</f>
        <v/>
      </c>
      <c r="M222" s="61">
        <f>IF(L222="","",IF(L222&gt;=1,"Completado",IF(L222&gt;0,"En curso","Pendiente")))</f>
        <v/>
      </c>
      <c r="N222" s="62" t="n"/>
      <c r="O222" s="68">
        <f>IF(NOT((COUNTA($B222:$K222)+COUNTA($N222))&gt;0),"",IF((IF(AND($S222="Macro",$B222=""),"Macroactividad vacía"&amp;" · ","")&amp;IF(AND($B222&lt;&gt;"",$C222&lt;&gt;""),"Escriba la subactividad en otra fila, debajo de su macroactividad"&amp;" · ","")&amp;IF(AND($S222="Sub",N($R222)=0),"Subactividad sin macroactividad arriba"&amp;" · ","")&amp;IF($D222="","Sin responsable"&amp;" · ","")&amp;IF($E222="","Sin fecha de inicio"&amp;" · ","")&amp;IF($F222="","Sin fecha límite"&amp;" · ","")&amp;IF(OR(AND($E222&lt;&gt;"",NOT(ISNUMBER($E222))),AND($F222&lt;&gt;"",NOT(ISNUMBER($F222)))),"Fecha no válida"&amp;" · ","")&amp;IF(AND(ISNUMBER($E222),ISNUMBER($F222),$E222&gt;$F222),"Inicio posterior a fecha límite"&amp;" · ","")&amp;IF(AND($S222="Macro",$G222=""),"Peso vacío"&amp;" · ","")&amp;IF(AND($S222="Macro",$G222&lt;&gt;"",OR(NOT(ISNUMBER($G222)),$G222&lt;=0,$G222&gt;1)),"Peso fuera de rango"&amp;" · ","")&amp;IF(AND($S222="Sub",$G222&lt;&gt;""),"Las subactividades no llevan peso"&amp;" · ","")&amp;IF(AND($S222="Macro",ABS(SUMIFS($G$5:$G$1000,$P$5:$P$1000,$P222,$S$5:$S$1000,"Macro")-1)&gt;0.0001),"Pesos del mes suman "&amp;TEXT(SUMIFS($G$5:$G$1000,$P$5:$P$1000,$P222,$S$5:$S$1000,"Macro"),"0%")&amp;" · ","")&amp;IF(AND(N($T222)&gt;0,COUNT($H222:$K222)&gt;0),"Con subactividades: deje vacías las semanas (se calculan solas)"&amp;" · ","")&amp;IF((COUNTIF($H222:$K222,"&gt;1")+COUNTIF($H222:$K222,"&lt;0")+COUNTA($H222:$K222)-COUNT($H222:$K222))&gt;0,"Avance fuera de rango 0-100%"&amp;" · ","")&amp;IF(OR(AND($I222&lt;&gt;"",$I222&lt;$H222),AND($J222&lt;&gt;"",$J222&lt;MAX($H222:$I222)),AND($K222&lt;&gt;"",$K222&lt;MAX($H222:$J222))),"Avance semanal decreciente"&amp;" · ","")&amp;IF(AND(ISNUMBER($F222),$F222&lt;FechaRef,N($L222)&lt;1),"Vencida"&amp;" · ","")&amp;IF(AND(ObsObligatoria="Sí",ISNUMBER($F222),$F222&lt;FechaRef,N($L222)&lt;1,$N222=""),"Vencida sin observación"&amp;" · ",""))="","✔ OK","⚠ "&amp;LEFT(IF(AND($S222="Macro",$B222=""),"Macroactividad vacía"&amp;" · ","")&amp;IF(AND($B222&lt;&gt;"",$C222&lt;&gt;""),"Escriba la subactividad en otra fila, debajo de su macroactividad"&amp;" · ","")&amp;IF(AND($S222="Sub",N($R222)=0),"Subactividad sin macroactividad arriba"&amp;" · ","")&amp;IF($D222="","Sin responsable"&amp;" · ","")&amp;IF($E222="","Sin fecha de inicio"&amp;" · ","")&amp;IF($F222="","Sin fecha límite"&amp;" · ","")&amp;IF(OR(AND($E222&lt;&gt;"",NOT(ISNUMBER($E222))),AND($F222&lt;&gt;"",NOT(ISNUMBER($F222)))),"Fecha no válida"&amp;" · ","")&amp;IF(AND(ISNUMBER($E222),ISNUMBER($F222),$E222&gt;$F222),"Inicio posterior a fecha límite"&amp;" · ","")&amp;IF(AND($S222="Macro",$G222=""),"Peso vacío"&amp;" · ","")&amp;IF(AND($S222="Macro",$G222&lt;&gt;"",OR(NOT(ISNUMBER($G222)),$G222&lt;=0,$G222&gt;1)),"Peso fuera de rango"&amp;" · ","")&amp;IF(AND($S222="Sub",$G222&lt;&gt;""),"Las subactividades no llevan peso"&amp;" · ","")&amp;IF(AND($S222="Macro",ABS(SUMIFS($G$5:$G$1000,$P$5:$P$1000,$P222,$S$5:$S$1000,"Macro")-1)&gt;0.0001),"Pesos del mes suman "&amp;TEXT(SUMIFS($G$5:$G$1000,$P$5:$P$1000,$P222,$S$5:$S$1000,"Macro"),"0%")&amp;" · ","")&amp;IF(AND(N($T222)&gt;0,COUNT($H222:$K222)&gt;0),"Con subactividades: deje vacías las semanas (se calculan solas)"&amp;" · ","")&amp;IF((COUNTIF($H222:$K222,"&gt;1")+COUNTIF($H222:$K222,"&lt;0")+COUNTA($H222:$K222)-COUNT($H222:$K222))&gt;0,"Avance fuera de rango 0-100%"&amp;" · ","")&amp;IF(OR(AND($I222&lt;&gt;"",$I222&lt;$H222),AND($J222&lt;&gt;"",$J222&lt;MAX($H222:$I222)),AND($K222&lt;&gt;"",$K222&lt;MAX($H222:$J222))),"Avance semanal decreciente"&amp;" · ","")&amp;IF(AND(ISNUMBER($F222),$F222&lt;FechaRef,N($L222)&lt;1),"Vencida"&amp;" · ","")&amp;IF(AND(ObsObligatoria="Sí",ISNUMBER($F222),$F222&lt;FechaRef,N($L222)&lt;1,$N222=""),"Vencida sin observación"&amp;" · ",""),LEN(IF(AND($S222="Macro",$B222=""),"Macroactividad vacía"&amp;" · ","")&amp;IF(AND($B222&lt;&gt;"",$C222&lt;&gt;""),"Escriba la subactividad en otra fila, debajo de su macroactividad"&amp;" · ","")&amp;IF(AND($S222="Sub",N($R222)=0),"Subactividad sin macroactividad arriba"&amp;" · ","")&amp;IF($D222="","Sin responsable"&amp;" · ","")&amp;IF($E222="","Sin fecha de inicio"&amp;" · ","")&amp;IF($F222="","Sin fecha límite"&amp;" · ","")&amp;IF(OR(AND($E222&lt;&gt;"",NOT(ISNUMBER($E222))),AND($F222&lt;&gt;"",NOT(ISNUMBER($F222)))),"Fecha no válida"&amp;" · ","")&amp;IF(AND(ISNUMBER($E222),ISNUMBER($F222),$E222&gt;$F222),"Inicio posterior a fecha límite"&amp;" · ","")&amp;IF(AND($S222="Macro",$G222=""),"Peso vacío"&amp;" · ","")&amp;IF(AND($S222="Macro",$G222&lt;&gt;"",OR(NOT(ISNUMBER($G222)),$G222&lt;=0,$G222&gt;1)),"Peso fuera de rango"&amp;" · ","")&amp;IF(AND($S222="Sub",$G222&lt;&gt;""),"Las subactividades no llevan peso"&amp;" · ","")&amp;IF(AND($S222="Macro",ABS(SUMIFS($G$5:$G$1000,$P$5:$P$1000,$P222,$S$5:$S$1000,"Macro")-1)&gt;0.0001),"Pesos del mes suman "&amp;TEXT(SUMIFS($G$5:$G$1000,$P$5:$P$1000,$P222,$S$5:$S$1000,"Macro"),"0%")&amp;" · ","")&amp;IF(AND(N($T222)&gt;0,COUNT($H222:$K222)&gt;0),"Con subactividades: deje vacías las semanas (se calculan solas)"&amp;" · ","")&amp;IF((COUNTIF($H222:$K222,"&gt;1")+COUNTIF($H222:$K222,"&lt;0")+COUNTA($H222:$K222)-COUNT($H222:$K222))&gt;0,"Avance fuera de rango 0-100%"&amp;" · ","")&amp;IF(OR(AND($I222&lt;&gt;"",$I222&lt;$H222),AND($J222&lt;&gt;"",$J222&lt;MAX($H222:$I222)),AND($K222&lt;&gt;"",$K222&lt;MAX($H222:$J222))),"Avance semanal decreciente"&amp;" · ","")&amp;IF(AND(ISNUMBER($F222),$F222&lt;FechaRef,N($L222)&lt;1),"Vencida"&amp;" · ","")&amp;IF(AND(ObsObligatoria="Sí",ISNUMBER($F222),$F222&lt;FechaRef,N($L222)&lt;1,$N222=""),"Vencida sin observación"&amp;" · ",""))-3)))</f>
        <v/>
      </c>
      <c r="P222" s="69">
        <f>IF(NOT((COUNTA($B222:$K222)+COUNTA($N222))&gt;0),"",IF(AND($S222="Sub",N($R222)&gt;0),IF(ISNUMBER(INDEX($E$5:$E$1000,$R222-4)),DATE(YEAR(INDEX($E$5:$E$1000,$R222-4)),MONTH(INDEX($E$5:$E$1000,$R222-4)),1),IF(ISNUMBER(INDEX($F$5:$F$1000,$R222-4)),DATE(YEAR(INDEX($F$5:$F$1000,$R222-4)),MONTH(INDEX($F$5:$F$1000,$R222-4)),1),MesCiclo)),IF(ISNUMBER($E222),DATE(YEAR($E222),MONTH($E222),1),IF(ISNUMBER($F222),DATE(YEAR($F222),MONTH($F222),1),MesCiclo))))</f>
        <v/>
      </c>
      <c r="Q222" s="70">
        <f>IF(OR($P222="",$P222&lt;&gt;MesCiclo),"",COUNTIF($P$5:$P222,MesCiclo))</f>
        <v/>
      </c>
      <c r="R222" s="70">
        <f>IF($S222="","",IF($S222="Macro",ROW(),IFERROR(LOOKUP(2,1/($S$5:$S222="Macro"),ROW($S$5:$S222)),0)))</f>
        <v/>
      </c>
      <c r="S222" s="70">
        <f>IF(NOT((COUNTA($B222:$K222)+COUNTA($N222))&gt;0),"",IF($B222&lt;&gt;"","Macro",IF($C222&lt;&gt;"","Sub","Macro")))</f>
        <v/>
      </c>
      <c r="T222" s="70">
        <f>IF($S222="Macro",COUNTIFS($R$5:$R$1000,ROW(),$S$5:$S$1000,"Sub"),"")</f>
        <v/>
      </c>
      <c r="U222" s="70">
        <f>IF($S222="","",IF(ISNUMBER($H222),$H222,0))</f>
        <v/>
      </c>
      <c r="V222" s="70">
        <f>IF($S222="","",IF(ISNUMBER($I222),$I222,$U222))</f>
        <v/>
      </c>
      <c r="W222" s="70">
        <f>IF($S222="","",IF(ISNUMBER($J222),$J222,$V222))</f>
        <v/>
      </c>
      <c r="X222" s="70">
        <f>IF($S222="","",IF(ISNUMBER($K222),$K222,$W222))</f>
        <v/>
      </c>
      <c r="Y222" s="70">
        <f>IF($S222="","",IF(N($T222)&gt;0,AVERAGEIFS($U$5:$U$1000,$R$5:$R$1000,ROW(),$S$5:$S$1000,"Sub"),$U222))</f>
        <v/>
      </c>
      <c r="Z222" s="70">
        <f>IF($S222="","",IF(N($T222)&gt;0,AVERAGEIFS($V$5:$V$1000,$R$5:$R$1000,ROW(),$S$5:$S$1000,"Sub"),$V222))</f>
        <v/>
      </c>
      <c r="AA222" s="70">
        <f>IF($S222="","",IF(N($T222)&gt;0,AVERAGEIFS($W$5:$W$1000,$R$5:$R$1000,ROW(),$S$5:$S$1000,"Sub"),$W222))</f>
        <v/>
      </c>
      <c r="AB222" s="70">
        <f>IF($S222="","",IF(N($T222)&gt;0,AVERAGEIFS($X$5:$X$1000,$R$5:$R$1000,ROW(),$S$5:$S$1000,"Sub"),$X222))</f>
        <v/>
      </c>
    </row>
    <row r="223">
      <c r="A223" s="61">
        <f>IF(NOT((COUNTA($B223:$K223)+COUNTA($N223))&gt;0),"",IF($S223="Macro",COUNTIFS($S$5:$S223,"Macro",$P$5:$P223,$P223),IF(N($R223)=0,"?",COUNTIFS(INDEX($S$5:$S$1000,1):INDEX($S$5:$S$1000,$R223-4),"Macro",INDEX($P$5:$P$1000,1):INDEX($P$5:$P$1000,$R223-4),INDEX($P$5:$P$1000,$R223-4))&amp;"."&amp;COUNTIFS($R$5:$R223,$R223,$S$5:$S223,"Sub"))))</f>
        <v/>
      </c>
      <c r="B223" s="62" t="n"/>
      <c r="C223" s="63" t="n"/>
      <c r="D223" s="62" t="n"/>
      <c r="E223" s="64" t="n"/>
      <c r="F223" s="64" t="n"/>
      <c r="G223" s="65" t="n"/>
      <c r="H223" s="66" t="n"/>
      <c r="I223" s="66" t="n"/>
      <c r="J223" s="66" t="n"/>
      <c r="K223" s="66" t="n"/>
      <c r="L223" s="67">
        <f>IF(NOT((COUNTA($B223:$K223)+COUNTA($N223))&gt;0),"",IF(N($T223)&gt;0,$AB223,IFERROR(LOOKUP(2,1/(H223:K223&lt;&gt;""),H223:K223),0)))</f>
        <v/>
      </c>
      <c r="M223" s="61">
        <f>IF(L223="","",IF(L223&gt;=1,"Completado",IF(L223&gt;0,"En curso","Pendiente")))</f>
        <v/>
      </c>
      <c r="N223" s="62" t="n"/>
      <c r="O223" s="68">
        <f>IF(NOT((COUNTA($B223:$K223)+COUNTA($N223))&gt;0),"",IF((IF(AND($S223="Macro",$B223=""),"Macroactividad vacía"&amp;" · ","")&amp;IF(AND($B223&lt;&gt;"",$C223&lt;&gt;""),"Escriba la subactividad en otra fila, debajo de su macroactividad"&amp;" · ","")&amp;IF(AND($S223="Sub",N($R223)=0),"Subactividad sin macroactividad arriba"&amp;" · ","")&amp;IF($D223="","Sin responsable"&amp;" · ","")&amp;IF($E223="","Sin fecha de inicio"&amp;" · ","")&amp;IF($F223="","Sin fecha límite"&amp;" · ","")&amp;IF(OR(AND($E223&lt;&gt;"",NOT(ISNUMBER($E223))),AND($F223&lt;&gt;"",NOT(ISNUMBER($F223)))),"Fecha no válida"&amp;" · ","")&amp;IF(AND(ISNUMBER($E223),ISNUMBER($F223),$E223&gt;$F223),"Inicio posterior a fecha límite"&amp;" · ","")&amp;IF(AND($S223="Macro",$G223=""),"Peso vacío"&amp;" · ","")&amp;IF(AND($S223="Macro",$G223&lt;&gt;"",OR(NOT(ISNUMBER($G223)),$G223&lt;=0,$G223&gt;1)),"Peso fuera de rango"&amp;" · ","")&amp;IF(AND($S223="Sub",$G223&lt;&gt;""),"Las subactividades no llevan peso"&amp;" · ","")&amp;IF(AND($S223="Macro",ABS(SUMIFS($G$5:$G$1000,$P$5:$P$1000,$P223,$S$5:$S$1000,"Macro")-1)&gt;0.0001),"Pesos del mes suman "&amp;TEXT(SUMIFS($G$5:$G$1000,$P$5:$P$1000,$P223,$S$5:$S$1000,"Macro"),"0%")&amp;" · ","")&amp;IF(AND(N($T223)&gt;0,COUNT($H223:$K223)&gt;0),"Con subactividades: deje vacías las semanas (se calculan solas)"&amp;" · ","")&amp;IF((COUNTIF($H223:$K223,"&gt;1")+COUNTIF($H223:$K223,"&lt;0")+COUNTA($H223:$K223)-COUNT($H223:$K223))&gt;0,"Avance fuera de rango 0-100%"&amp;" · ","")&amp;IF(OR(AND($I223&lt;&gt;"",$I223&lt;$H223),AND($J223&lt;&gt;"",$J223&lt;MAX($H223:$I223)),AND($K223&lt;&gt;"",$K223&lt;MAX($H223:$J223))),"Avance semanal decreciente"&amp;" · ","")&amp;IF(AND(ISNUMBER($F223),$F223&lt;FechaRef,N($L223)&lt;1),"Vencida"&amp;" · ","")&amp;IF(AND(ObsObligatoria="Sí",ISNUMBER($F223),$F223&lt;FechaRef,N($L223)&lt;1,$N223=""),"Vencida sin observación"&amp;" · ",""))="","✔ OK","⚠ "&amp;LEFT(IF(AND($S223="Macro",$B223=""),"Macroactividad vacía"&amp;" · ","")&amp;IF(AND($B223&lt;&gt;"",$C223&lt;&gt;""),"Escriba la subactividad en otra fila, debajo de su macroactividad"&amp;" · ","")&amp;IF(AND($S223="Sub",N($R223)=0),"Subactividad sin macroactividad arriba"&amp;" · ","")&amp;IF($D223="","Sin responsable"&amp;" · ","")&amp;IF($E223="","Sin fecha de inicio"&amp;" · ","")&amp;IF($F223="","Sin fecha límite"&amp;" · ","")&amp;IF(OR(AND($E223&lt;&gt;"",NOT(ISNUMBER($E223))),AND($F223&lt;&gt;"",NOT(ISNUMBER($F223)))),"Fecha no válida"&amp;" · ","")&amp;IF(AND(ISNUMBER($E223),ISNUMBER($F223),$E223&gt;$F223),"Inicio posterior a fecha límite"&amp;" · ","")&amp;IF(AND($S223="Macro",$G223=""),"Peso vacío"&amp;" · ","")&amp;IF(AND($S223="Macro",$G223&lt;&gt;"",OR(NOT(ISNUMBER($G223)),$G223&lt;=0,$G223&gt;1)),"Peso fuera de rango"&amp;" · ","")&amp;IF(AND($S223="Sub",$G223&lt;&gt;""),"Las subactividades no llevan peso"&amp;" · ","")&amp;IF(AND($S223="Macro",ABS(SUMIFS($G$5:$G$1000,$P$5:$P$1000,$P223,$S$5:$S$1000,"Macro")-1)&gt;0.0001),"Pesos del mes suman "&amp;TEXT(SUMIFS($G$5:$G$1000,$P$5:$P$1000,$P223,$S$5:$S$1000,"Macro"),"0%")&amp;" · ","")&amp;IF(AND(N($T223)&gt;0,COUNT($H223:$K223)&gt;0),"Con subactividades: deje vacías las semanas (se calculan solas)"&amp;" · ","")&amp;IF((COUNTIF($H223:$K223,"&gt;1")+COUNTIF($H223:$K223,"&lt;0")+COUNTA($H223:$K223)-COUNT($H223:$K223))&gt;0,"Avance fuera de rango 0-100%"&amp;" · ","")&amp;IF(OR(AND($I223&lt;&gt;"",$I223&lt;$H223),AND($J223&lt;&gt;"",$J223&lt;MAX($H223:$I223)),AND($K223&lt;&gt;"",$K223&lt;MAX($H223:$J223))),"Avance semanal decreciente"&amp;" · ","")&amp;IF(AND(ISNUMBER($F223),$F223&lt;FechaRef,N($L223)&lt;1),"Vencida"&amp;" · ","")&amp;IF(AND(ObsObligatoria="Sí",ISNUMBER($F223),$F223&lt;FechaRef,N($L223)&lt;1,$N223=""),"Vencida sin observación"&amp;" · ",""),LEN(IF(AND($S223="Macro",$B223=""),"Macroactividad vacía"&amp;" · ","")&amp;IF(AND($B223&lt;&gt;"",$C223&lt;&gt;""),"Escriba la subactividad en otra fila, debajo de su macroactividad"&amp;" · ","")&amp;IF(AND($S223="Sub",N($R223)=0),"Subactividad sin macroactividad arriba"&amp;" · ","")&amp;IF($D223="","Sin responsable"&amp;" · ","")&amp;IF($E223="","Sin fecha de inicio"&amp;" · ","")&amp;IF($F223="","Sin fecha límite"&amp;" · ","")&amp;IF(OR(AND($E223&lt;&gt;"",NOT(ISNUMBER($E223))),AND($F223&lt;&gt;"",NOT(ISNUMBER($F223)))),"Fecha no válida"&amp;" · ","")&amp;IF(AND(ISNUMBER($E223),ISNUMBER($F223),$E223&gt;$F223),"Inicio posterior a fecha límite"&amp;" · ","")&amp;IF(AND($S223="Macro",$G223=""),"Peso vacío"&amp;" · ","")&amp;IF(AND($S223="Macro",$G223&lt;&gt;"",OR(NOT(ISNUMBER($G223)),$G223&lt;=0,$G223&gt;1)),"Peso fuera de rango"&amp;" · ","")&amp;IF(AND($S223="Sub",$G223&lt;&gt;""),"Las subactividades no llevan peso"&amp;" · ","")&amp;IF(AND($S223="Macro",ABS(SUMIFS($G$5:$G$1000,$P$5:$P$1000,$P223,$S$5:$S$1000,"Macro")-1)&gt;0.0001),"Pesos del mes suman "&amp;TEXT(SUMIFS($G$5:$G$1000,$P$5:$P$1000,$P223,$S$5:$S$1000,"Macro"),"0%")&amp;" · ","")&amp;IF(AND(N($T223)&gt;0,COUNT($H223:$K223)&gt;0),"Con subactividades: deje vacías las semanas (se calculan solas)"&amp;" · ","")&amp;IF((COUNTIF($H223:$K223,"&gt;1")+COUNTIF($H223:$K223,"&lt;0")+COUNTA($H223:$K223)-COUNT($H223:$K223))&gt;0,"Avance fuera de rango 0-100%"&amp;" · ","")&amp;IF(OR(AND($I223&lt;&gt;"",$I223&lt;$H223),AND($J223&lt;&gt;"",$J223&lt;MAX($H223:$I223)),AND($K223&lt;&gt;"",$K223&lt;MAX($H223:$J223))),"Avance semanal decreciente"&amp;" · ","")&amp;IF(AND(ISNUMBER($F223),$F223&lt;FechaRef,N($L223)&lt;1),"Vencida"&amp;" · ","")&amp;IF(AND(ObsObligatoria="Sí",ISNUMBER($F223),$F223&lt;FechaRef,N($L223)&lt;1,$N223=""),"Vencida sin observación"&amp;" · ",""))-3)))</f>
        <v/>
      </c>
      <c r="P223" s="69">
        <f>IF(NOT((COUNTA($B223:$K223)+COUNTA($N223))&gt;0),"",IF(AND($S223="Sub",N($R223)&gt;0),IF(ISNUMBER(INDEX($E$5:$E$1000,$R223-4)),DATE(YEAR(INDEX($E$5:$E$1000,$R223-4)),MONTH(INDEX($E$5:$E$1000,$R223-4)),1),IF(ISNUMBER(INDEX($F$5:$F$1000,$R223-4)),DATE(YEAR(INDEX($F$5:$F$1000,$R223-4)),MONTH(INDEX($F$5:$F$1000,$R223-4)),1),MesCiclo)),IF(ISNUMBER($E223),DATE(YEAR($E223),MONTH($E223),1),IF(ISNUMBER($F223),DATE(YEAR($F223),MONTH($F223),1),MesCiclo))))</f>
        <v/>
      </c>
      <c r="Q223" s="70">
        <f>IF(OR($P223="",$P223&lt;&gt;MesCiclo),"",COUNTIF($P$5:$P223,MesCiclo))</f>
        <v/>
      </c>
      <c r="R223" s="70">
        <f>IF($S223="","",IF($S223="Macro",ROW(),IFERROR(LOOKUP(2,1/($S$5:$S223="Macro"),ROW($S$5:$S223)),0)))</f>
        <v/>
      </c>
      <c r="S223" s="70">
        <f>IF(NOT((COUNTA($B223:$K223)+COUNTA($N223))&gt;0),"",IF($B223&lt;&gt;"","Macro",IF($C223&lt;&gt;"","Sub","Macro")))</f>
        <v/>
      </c>
      <c r="T223" s="70">
        <f>IF($S223="Macro",COUNTIFS($R$5:$R$1000,ROW(),$S$5:$S$1000,"Sub"),"")</f>
        <v/>
      </c>
      <c r="U223" s="70">
        <f>IF($S223="","",IF(ISNUMBER($H223),$H223,0))</f>
        <v/>
      </c>
      <c r="V223" s="70">
        <f>IF($S223="","",IF(ISNUMBER($I223),$I223,$U223))</f>
        <v/>
      </c>
      <c r="W223" s="70">
        <f>IF($S223="","",IF(ISNUMBER($J223),$J223,$V223))</f>
        <v/>
      </c>
      <c r="X223" s="70">
        <f>IF($S223="","",IF(ISNUMBER($K223),$K223,$W223))</f>
        <v/>
      </c>
      <c r="Y223" s="70">
        <f>IF($S223="","",IF(N($T223)&gt;0,AVERAGEIFS($U$5:$U$1000,$R$5:$R$1000,ROW(),$S$5:$S$1000,"Sub"),$U223))</f>
        <v/>
      </c>
      <c r="Z223" s="70">
        <f>IF($S223="","",IF(N($T223)&gt;0,AVERAGEIFS($V$5:$V$1000,$R$5:$R$1000,ROW(),$S$5:$S$1000,"Sub"),$V223))</f>
        <v/>
      </c>
      <c r="AA223" s="70">
        <f>IF($S223="","",IF(N($T223)&gt;0,AVERAGEIFS($W$5:$W$1000,$R$5:$R$1000,ROW(),$S$5:$S$1000,"Sub"),$W223))</f>
        <v/>
      </c>
      <c r="AB223" s="70">
        <f>IF($S223="","",IF(N($T223)&gt;0,AVERAGEIFS($X$5:$X$1000,$R$5:$R$1000,ROW(),$S$5:$S$1000,"Sub"),$X223))</f>
        <v/>
      </c>
    </row>
    <row r="224">
      <c r="A224" s="61">
        <f>IF(NOT((COUNTA($B224:$K224)+COUNTA($N224))&gt;0),"",IF($S224="Macro",COUNTIFS($S$5:$S224,"Macro",$P$5:$P224,$P224),IF(N($R224)=0,"?",COUNTIFS(INDEX($S$5:$S$1000,1):INDEX($S$5:$S$1000,$R224-4),"Macro",INDEX($P$5:$P$1000,1):INDEX($P$5:$P$1000,$R224-4),INDEX($P$5:$P$1000,$R224-4))&amp;"."&amp;COUNTIFS($R$5:$R224,$R224,$S$5:$S224,"Sub"))))</f>
        <v/>
      </c>
      <c r="B224" s="62" t="n"/>
      <c r="C224" s="63" t="n"/>
      <c r="D224" s="62" t="n"/>
      <c r="E224" s="64" t="n"/>
      <c r="F224" s="64" t="n"/>
      <c r="G224" s="65" t="n"/>
      <c r="H224" s="66" t="n"/>
      <c r="I224" s="66" t="n"/>
      <c r="J224" s="66" t="n"/>
      <c r="K224" s="66" t="n"/>
      <c r="L224" s="67">
        <f>IF(NOT((COUNTA($B224:$K224)+COUNTA($N224))&gt;0),"",IF(N($T224)&gt;0,$AB224,IFERROR(LOOKUP(2,1/(H224:K224&lt;&gt;""),H224:K224),0)))</f>
        <v/>
      </c>
      <c r="M224" s="61">
        <f>IF(L224="","",IF(L224&gt;=1,"Completado",IF(L224&gt;0,"En curso","Pendiente")))</f>
        <v/>
      </c>
      <c r="N224" s="62" t="n"/>
      <c r="O224" s="68">
        <f>IF(NOT((COUNTA($B224:$K224)+COUNTA($N224))&gt;0),"",IF((IF(AND($S224="Macro",$B224=""),"Macroactividad vacía"&amp;" · ","")&amp;IF(AND($B224&lt;&gt;"",$C224&lt;&gt;""),"Escriba la subactividad en otra fila, debajo de su macroactividad"&amp;" · ","")&amp;IF(AND($S224="Sub",N($R224)=0),"Subactividad sin macroactividad arriba"&amp;" · ","")&amp;IF($D224="","Sin responsable"&amp;" · ","")&amp;IF($E224="","Sin fecha de inicio"&amp;" · ","")&amp;IF($F224="","Sin fecha límite"&amp;" · ","")&amp;IF(OR(AND($E224&lt;&gt;"",NOT(ISNUMBER($E224))),AND($F224&lt;&gt;"",NOT(ISNUMBER($F224)))),"Fecha no válida"&amp;" · ","")&amp;IF(AND(ISNUMBER($E224),ISNUMBER($F224),$E224&gt;$F224),"Inicio posterior a fecha límite"&amp;" · ","")&amp;IF(AND($S224="Macro",$G224=""),"Peso vacío"&amp;" · ","")&amp;IF(AND($S224="Macro",$G224&lt;&gt;"",OR(NOT(ISNUMBER($G224)),$G224&lt;=0,$G224&gt;1)),"Peso fuera de rango"&amp;" · ","")&amp;IF(AND($S224="Sub",$G224&lt;&gt;""),"Las subactividades no llevan peso"&amp;" · ","")&amp;IF(AND($S224="Macro",ABS(SUMIFS($G$5:$G$1000,$P$5:$P$1000,$P224,$S$5:$S$1000,"Macro")-1)&gt;0.0001),"Pesos del mes suman "&amp;TEXT(SUMIFS($G$5:$G$1000,$P$5:$P$1000,$P224,$S$5:$S$1000,"Macro"),"0%")&amp;" · ","")&amp;IF(AND(N($T224)&gt;0,COUNT($H224:$K224)&gt;0),"Con subactividades: deje vacías las semanas (se calculan solas)"&amp;" · ","")&amp;IF((COUNTIF($H224:$K224,"&gt;1")+COUNTIF($H224:$K224,"&lt;0")+COUNTA($H224:$K224)-COUNT($H224:$K224))&gt;0,"Avance fuera de rango 0-100%"&amp;" · ","")&amp;IF(OR(AND($I224&lt;&gt;"",$I224&lt;$H224),AND($J224&lt;&gt;"",$J224&lt;MAX($H224:$I224)),AND($K224&lt;&gt;"",$K224&lt;MAX($H224:$J224))),"Avance semanal decreciente"&amp;" · ","")&amp;IF(AND(ISNUMBER($F224),$F224&lt;FechaRef,N($L224)&lt;1),"Vencida"&amp;" · ","")&amp;IF(AND(ObsObligatoria="Sí",ISNUMBER($F224),$F224&lt;FechaRef,N($L224)&lt;1,$N224=""),"Vencida sin observación"&amp;" · ",""))="","✔ OK","⚠ "&amp;LEFT(IF(AND($S224="Macro",$B224=""),"Macroactividad vacía"&amp;" · ","")&amp;IF(AND($B224&lt;&gt;"",$C224&lt;&gt;""),"Escriba la subactividad en otra fila, debajo de su macroactividad"&amp;" · ","")&amp;IF(AND($S224="Sub",N($R224)=0),"Subactividad sin macroactividad arriba"&amp;" · ","")&amp;IF($D224="","Sin responsable"&amp;" · ","")&amp;IF($E224="","Sin fecha de inicio"&amp;" · ","")&amp;IF($F224="","Sin fecha límite"&amp;" · ","")&amp;IF(OR(AND($E224&lt;&gt;"",NOT(ISNUMBER($E224))),AND($F224&lt;&gt;"",NOT(ISNUMBER($F224)))),"Fecha no válida"&amp;" · ","")&amp;IF(AND(ISNUMBER($E224),ISNUMBER($F224),$E224&gt;$F224),"Inicio posterior a fecha límite"&amp;" · ","")&amp;IF(AND($S224="Macro",$G224=""),"Peso vacío"&amp;" · ","")&amp;IF(AND($S224="Macro",$G224&lt;&gt;"",OR(NOT(ISNUMBER($G224)),$G224&lt;=0,$G224&gt;1)),"Peso fuera de rango"&amp;" · ","")&amp;IF(AND($S224="Sub",$G224&lt;&gt;""),"Las subactividades no llevan peso"&amp;" · ","")&amp;IF(AND($S224="Macro",ABS(SUMIFS($G$5:$G$1000,$P$5:$P$1000,$P224,$S$5:$S$1000,"Macro")-1)&gt;0.0001),"Pesos del mes suman "&amp;TEXT(SUMIFS($G$5:$G$1000,$P$5:$P$1000,$P224,$S$5:$S$1000,"Macro"),"0%")&amp;" · ","")&amp;IF(AND(N($T224)&gt;0,COUNT($H224:$K224)&gt;0),"Con subactividades: deje vacías las semanas (se calculan solas)"&amp;" · ","")&amp;IF((COUNTIF($H224:$K224,"&gt;1")+COUNTIF($H224:$K224,"&lt;0")+COUNTA($H224:$K224)-COUNT($H224:$K224))&gt;0,"Avance fuera de rango 0-100%"&amp;" · ","")&amp;IF(OR(AND($I224&lt;&gt;"",$I224&lt;$H224),AND($J224&lt;&gt;"",$J224&lt;MAX($H224:$I224)),AND($K224&lt;&gt;"",$K224&lt;MAX($H224:$J224))),"Avance semanal decreciente"&amp;" · ","")&amp;IF(AND(ISNUMBER($F224),$F224&lt;FechaRef,N($L224)&lt;1),"Vencida"&amp;" · ","")&amp;IF(AND(ObsObligatoria="Sí",ISNUMBER($F224),$F224&lt;FechaRef,N($L224)&lt;1,$N224=""),"Vencida sin observación"&amp;" · ",""),LEN(IF(AND($S224="Macro",$B224=""),"Macroactividad vacía"&amp;" · ","")&amp;IF(AND($B224&lt;&gt;"",$C224&lt;&gt;""),"Escriba la subactividad en otra fila, debajo de su macroactividad"&amp;" · ","")&amp;IF(AND($S224="Sub",N($R224)=0),"Subactividad sin macroactividad arriba"&amp;" · ","")&amp;IF($D224="","Sin responsable"&amp;" · ","")&amp;IF($E224="","Sin fecha de inicio"&amp;" · ","")&amp;IF($F224="","Sin fecha límite"&amp;" · ","")&amp;IF(OR(AND($E224&lt;&gt;"",NOT(ISNUMBER($E224))),AND($F224&lt;&gt;"",NOT(ISNUMBER($F224)))),"Fecha no válida"&amp;" · ","")&amp;IF(AND(ISNUMBER($E224),ISNUMBER($F224),$E224&gt;$F224),"Inicio posterior a fecha límite"&amp;" · ","")&amp;IF(AND($S224="Macro",$G224=""),"Peso vacío"&amp;" · ","")&amp;IF(AND($S224="Macro",$G224&lt;&gt;"",OR(NOT(ISNUMBER($G224)),$G224&lt;=0,$G224&gt;1)),"Peso fuera de rango"&amp;" · ","")&amp;IF(AND($S224="Sub",$G224&lt;&gt;""),"Las subactividades no llevan peso"&amp;" · ","")&amp;IF(AND($S224="Macro",ABS(SUMIFS($G$5:$G$1000,$P$5:$P$1000,$P224,$S$5:$S$1000,"Macro")-1)&gt;0.0001),"Pesos del mes suman "&amp;TEXT(SUMIFS($G$5:$G$1000,$P$5:$P$1000,$P224,$S$5:$S$1000,"Macro"),"0%")&amp;" · ","")&amp;IF(AND(N($T224)&gt;0,COUNT($H224:$K224)&gt;0),"Con subactividades: deje vacías las semanas (se calculan solas)"&amp;" · ","")&amp;IF((COUNTIF($H224:$K224,"&gt;1")+COUNTIF($H224:$K224,"&lt;0")+COUNTA($H224:$K224)-COUNT($H224:$K224))&gt;0,"Avance fuera de rango 0-100%"&amp;" · ","")&amp;IF(OR(AND($I224&lt;&gt;"",$I224&lt;$H224),AND($J224&lt;&gt;"",$J224&lt;MAX($H224:$I224)),AND($K224&lt;&gt;"",$K224&lt;MAX($H224:$J224))),"Avance semanal decreciente"&amp;" · ","")&amp;IF(AND(ISNUMBER($F224),$F224&lt;FechaRef,N($L224)&lt;1),"Vencida"&amp;" · ","")&amp;IF(AND(ObsObligatoria="Sí",ISNUMBER($F224),$F224&lt;FechaRef,N($L224)&lt;1,$N224=""),"Vencida sin observación"&amp;" · ",""))-3)))</f>
        <v/>
      </c>
      <c r="P224" s="69">
        <f>IF(NOT((COUNTA($B224:$K224)+COUNTA($N224))&gt;0),"",IF(AND($S224="Sub",N($R224)&gt;0),IF(ISNUMBER(INDEX($E$5:$E$1000,$R224-4)),DATE(YEAR(INDEX($E$5:$E$1000,$R224-4)),MONTH(INDEX($E$5:$E$1000,$R224-4)),1),IF(ISNUMBER(INDEX($F$5:$F$1000,$R224-4)),DATE(YEAR(INDEX($F$5:$F$1000,$R224-4)),MONTH(INDEX($F$5:$F$1000,$R224-4)),1),MesCiclo)),IF(ISNUMBER($E224),DATE(YEAR($E224),MONTH($E224),1),IF(ISNUMBER($F224),DATE(YEAR($F224),MONTH($F224),1),MesCiclo))))</f>
        <v/>
      </c>
      <c r="Q224" s="70">
        <f>IF(OR($P224="",$P224&lt;&gt;MesCiclo),"",COUNTIF($P$5:$P224,MesCiclo))</f>
        <v/>
      </c>
      <c r="R224" s="70">
        <f>IF($S224="","",IF($S224="Macro",ROW(),IFERROR(LOOKUP(2,1/($S$5:$S224="Macro"),ROW($S$5:$S224)),0)))</f>
        <v/>
      </c>
      <c r="S224" s="70">
        <f>IF(NOT((COUNTA($B224:$K224)+COUNTA($N224))&gt;0),"",IF($B224&lt;&gt;"","Macro",IF($C224&lt;&gt;"","Sub","Macro")))</f>
        <v/>
      </c>
      <c r="T224" s="70">
        <f>IF($S224="Macro",COUNTIFS($R$5:$R$1000,ROW(),$S$5:$S$1000,"Sub"),"")</f>
        <v/>
      </c>
      <c r="U224" s="70">
        <f>IF($S224="","",IF(ISNUMBER($H224),$H224,0))</f>
        <v/>
      </c>
      <c r="V224" s="70">
        <f>IF($S224="","",IF(ISNUMBER($I224),$I224,$U224))</f>
        <v/>
      </c>
      <c r="W224" s="70">
        <f>IF($S224="","",IF(ISNUMBER($J224),$J224,$V224))</f>
        <v/>
      </c>
      <c r="X224" s="70">
        <f>IF($S224="","",IF(ISNUMBER($K224),$K224,$W224))</f>
        <v/>
      </c>
      <c r="Y224" s="70">
        <f>IF($S224="","",IF(N($T224)&gt;0,AVERAGEIFS($U$5:$U$1000,$R$5:$R$1000,ROW(),$S$5:$S$1000,"Sub"),$U224))</f>
        <v/>
      </c>
      <c r="Z224" s="70">
        <f>IF($S224="","",IF(N($T224)&gt;0,AVERAGEIFS($V$5:$V$1000,$R$5:$R$1000,ROW(),$S$5:$S$1000,"Sub"),$V224))</f>
        <v/>
      </c>
      <c r="AA224" s="70">
        <f>IF($S224="","",IF(N($T224)&gt;0,AVERAGEIFS($W$5:$W$1000,$R$5:$R$1000,ROW(),$S$5:$S$1000,"Sub"),$W224))</f>
        <v/>
      </c>
      <c r="AB224" s="70">
        <f>IF($S224="","",IF(N($T224)&gt;0,AVERAGEIFS($X$5:$X$1000,$R$5:$R$1000,ROW(),$S$5:$S$1000,"Sub"),$X224))</f>
        <v/>
      </c>
    </row>
    <row r="225">
      <c r="A225" s="61">
        <f>IF(NOT((COUNTA($B225:$K225)+COUNTA($N225))&gt;0),"",IF($S225="Macro",COUNTIFS($S$5:$S225,"Macro",$P$5:$P225,$P225),IF(N($R225)=0,"?",COUNTIFS(INDEX($S$5:$S$1000,1):INDEX($S$5:$S$1000,$R225-4),"Macro",INDEX($P$5:$P$1000,1):INDEX($P$5:$P$1000,$R225-4),INDEX($P$5:$P$1000,$R225-4))&amp;"."&amp;COUNTIFS($R$5:$R225,$R225,$S$5:$S225,"Sub"))))</f>
        <v/>
      </c>
      <c r="B225" s="62" t="n"/>
      <c r="C225" s="63" t="n"/>
      <c r="D225" s="62" t="n"/>
      <c r="E225" s="64" t="n"/>
      <c r="F225" s="64" t="n"/>
      <c r="G225" s="65" t="n"/>
      <c r="H225" s="66" t="n"/>
      <c r="I225" s="66" t="n"/>
      <c r="J225" s="66" t="n"/>
      <c r="K225" s="66" t="n"/>
      <c r="L225" s="67">
        <f>IF(NOT((COUNTA($B225:$K225)+COUNTA($N225))&gt;0),"",IF(N($T225)&gt;0,$AB225,IFERROR(LOOKUP(2,1/(H225:K225&lt;&gt;""),H225:K225),0)))</f>
        <v/>
      </c>
      <c r="M225" s="61">
        <f>IF(L225="","",IF(L225&gt;=1,"Completado",IF(L225&gt;0,"En curso","Pendiente")))</f>
        <v/>
      </c>
      <c r="N225" s="62" t="n"/>
      <c r="O225" s="68">
        <f>IF(NOT((COUNTA($B225:$K225)+COUNTA($N225))&gt;0),"",IF((IF(AND($S225="Macro",$B225=""),"Macroactividad vacía"&amp;" · ","")&amp;IF(AND($B225&lt;&gt;"",$C225&lt;&gt;""),"Escriba la subactividad en otra fila, debajo de su macroactividad"&amp;" · ","")&amp;IF(AND($S225="Sub",N($R225)=0),"Subactividad sin macroactividad arriba"&amp;" · ","")&amp;IF($D225="","Sin responsable"&amp;" · ","")&amp;IF($E225="","Sin fecha de inicio"&amp;" · ","")&amp;IF($F225="","Sin fecha límite"&amp;" · ","")&amp;IF(OR(AND($E225&lt;&gt;"",NOT(ISNUMBER($E225))),AND($F225&lt;&gt;"",NOT(ISNUMBER($F225)))),"Fecha no válida"&amp;" · ","")&amp;IF(AND(ISNUMBER($E225),ISNUMBER($F225),$E225&gt;$F225),"Inicio posterior a fecha límite"&amp;" · ","")&amp;IF(AND($S225="Macro",$G225=""),"Peso vacío"&amp;" · ","")&amp;IF(AND($S225="Macro",$G225&lt;&gt;"",OR(NOT(ISNUMBER($G225)),$G225&lt;=0,$G225&gt;1)),"Peso fuera de rango"&amp;" · ","")&amp;IF(AND($S225="Sub",$G225&lt;&gt;""),"Las subactividades no llevan peso"&amp;" · ","")&amp;IF(AND($S225="Macro",ABS(SUMIFS($G$5:$G$1000,$P$5:$P$1000,$P225,$S$5:$S$1000,"Macro")-1)&gt;0.0001),"Pesos del mes suman "&amp;TEXT(SUMIFS($G$5:$G$1000,$P$5:$P$1000,$P225,$S$5:$S$1000,"Macro"),"0%")&amp;" · ","")&amp;IF(AND(N($T225)&gt;0,COUNT($H225:$K225)&gt;0),"Con subactividades: deje vacías las semanas (se calculan solas)"&amp;" · ","")&amp;IF((COUNTIF($H225:$K225,"&gt;1")+COUNTIF($H225:$K225,"&lt;0")+COUNTA($H225:$K225)-COUNT($H225:$K225))&gt;0,"Avance fuera de rango 0-100%"&amp;" · ","")&amp;IF(OR(AND($I225&lt;&gt;"",$I225&lt;$H225),AND($J225&lt;&gt;"",$J225&lt;MAX($H225:$I225)),AND($K225&lt;&gt;"",$K225&lt;MAX($H225:$J225))),"Avance semanal decreciente"&amp;" · ","")&amp;IF(AND(ISNUMBER($F225),$F225&lt;FechaRef,N($L225)&lt;1),"Vencida"&amp;" · ","")&amp;IF(AND(ObsObligatoria="Sí",ISNUMBER($F225),$F225&lt;FechaRef,N($L225)&lt;1,$N225=""),"Vencida sin observación"&amp;" · ",""))="","✔ OK","⚠ "&amp;LEFT(IF(AND($S225="Macro",$B225=""),"Macroactividad vacía"&amp;" · ","")&amp;IF(AND($B225&lt;&gt;"",$C225&lt;&gt;""),"Escriba la subactividad en otra fila, debajo de su macroactividad"&amp;" · ","")&amp;IF(AND($S225="Sub",N($R225)=0),"Subactividad sin macroactividad arriba"&amp;" · ","")&amp;IF($D225="","Sin responsable"&amp;" · ","")&amp;IF($E225="","Sin fecha de inicio"&amp;" · ","")&amp;IF($F225="","Sin fecha límite"&amp;" · ","")&amp;IF(OR(AND($E225&lt;&gt;"",NOT(ISNUMBER($E225))),AND($F225&lt;&gt;"",NOT(ISNUMBER($F225)))),"Fecha no válida"&amp;" · ","")&amp;IF(AND(ISNUMBER($E225),ISNUMBER($F225),$E225&gt;$F225),"Inicio posterior a fecha límite"&amp;" · ","")&amp;IF(AND($S225="Macro",$G225=""),"Peso vacío"&amp;" · ","")&amp;IF(AND($S225="Macro",$G225&lt;&gt;"",OR(NOT(ISNUMBER($G225)),$G225&lt;=0,$G225&gt;1)),"Peso fuera de rango"&amp;" · ","")&amp;IF(AND($S225="Sub",$G225&lt;&gt;""),"Las subactividades no llevan peso"&amp;" · ","")&amp;IF(AND($S225="Macro",ABS(SUMIFS($G$5:$G$1000,$P$5:$P$1000,$P225,$S$5:$S$1000,"Macro")-1)&gt;0.0001),"Pesos del mes suman "&amp;TEXT(SUMIFS($G$5:$G$1000,$P$5:$P$1000,$P225,$S$5:$S$1000,"Macro"),"0%")&amp;" · ","")&amp;IF(AND(N($T225)&gt;0,COUNT($H225:$K225)&gt;0),"Con subactividades: deje vacías las semanas (se calculan solas)"&amp;" · ","")&amp;IF((COUNTIF($H225:$K225,"&gt;1")+COUNTIF($H225:$K225,"&lt;0")+COUNTA($H225:$K225)-COUNT($H225:$K225))&gt;0,"Avance fuera de rango 0-100%"&amp;" · ","")&amp;IF(OR(AND($I225&lt;&gt;"",$I225&lt;$H225),AND($J225&lt;&gt;"",$J225&lt;MAX($H225:$I225)),AND($K225&lt;&gt;"",$K225&lt;MAX($H225:$J225))),"Avance semanal decreciente"&amp;" · ","")&amp;IF(AND(ISNUMBER($F225),$F225&lt;FechaRef,N($L225)&lt;1),"Vencida"&amp;" · ","")&amp;IF(AND(ObsObligatoria="Sí",ISNUMBER($F225),$F225&lt;FechaRef,N($L225)&lt;1,$N225=""),"Vencida sin observación"&amp;" · ",""),LEN(IF(AND($S225="Macro",$B225=""),"Macroactividad vacía"&amp;" · ","")&amp;IF(AND($B225&lt;&gt;"",$C225&lt;&gt;""),"Escriba la subactividad en otra fila, debajo de su macroactividad"&amp;" · ","")&amp;IF(AND($S225="Sub",N($R225)=0),"Subactividad sin macroactividad arriba"&amp;" · ","")&amp;IF($D225="","Sin responsable"&amp;" · ","")&amp;IF($E225="","Sin fecha de inicio"&amp;" · ","")&amp;IF($F225="","Sin fecha límite"&amp;" · ","")&amp;IF(OR(AND($E225&lt;&gt;"",NOT(ISNUMBER($E225))),AND($F225&lt;&gt;"",NOT(ISNUMBER($F225)))),"Fecha no válida"&amp;" · ","")&amp;IF(AND(ISNUMBER($E225),ISNUMBER($F225),$E225&gt;$F225),"Inicio posterior a fecha límite"&amp;" · ","")&amp;IF(AND($S225="Macro",$G225=""),"Peso vacío"&amp;" · ","")&amp;IF(AND($S225="Macro",$G225&lt;&gt;"",OR(NOT(ISNUMBER($G225)),$G225&lt;=0,$G225&gt;1)),"Peso fuera de rango"&amp;" · ","")&amp;IF(AND($S225="Sub",$G225&lt;&gt;""),"Las subactividades no llevan peso"&amp;" · ","")&amp;IF(AND($S225="Macro",ABS(SUMIFS($G$5:$G$1000,$P$5:$P$1000,$P225,$S$5:$S$1000,"Macro")-1)&gt;0.0001),"Pesos del mes suman "&amp;TEXT(SUMIFS($G$5:$G$1000,$P$5:$P$1000,$P225,$S$5:$S$1000,"Macro"),"0%")&amp;" · ","")&amp;IF(AND(N($T225)&gt;0,COUNT($H225:$K225)&gt;0),"Con subactividades: deje vacías las semanas (se calculan solas)"&amp;" · ","")&amp;IF((COUNTIF($H225:$K225,"&gt;1")+COUNTIF($H225:$K225,"&lt;0")+COUNTA($H225:$K225)-COUNT($H225:$K225))&gt;0,"Avance fuera de rango 0-100%"&amp;" · ","")&amp;IF(OR(AND($I225&lt;&gt;"",$I225&lt;$H225),AND($J225&lt;&gt;"",$J225&lt;MAX($H225:$I225)),AND($K225&lt;&gt;"",$K225&lt;MAX($H225:$J225))),"Avance semanal decreciente"&amp;" · ","")&amp;IF(AND(ISNUMBER($F225),$F225&lt;FechaRef,N($L225)&lt;1),"Vencida"&amp;" · ","")&amp;IF(AND(ObsObligatoria="Sí",ISNUMBER($F225),$F225&lt;FechaRef,N($L225)&lt;1,$N225=""),"Vencida sin observación"&amp;" · ",""))-3)))</f>
        <v/>
      </c>
      <c r="P225" s="69">
        <f>IF(NOT((COUNTA($B225:$K225)+COUNTA($N225))&gt;0),"",IF(AND($S225="Sub",N($R225)&gt;0),IF(ISNUMBER(INDEX($E$5:$E$1000,$R225-4)),DATE(YEAR(INDEX($E$5:$E$1000,$R225-4)),MONTH(INDEX($E$5:$E$1000,$R225-4)),1),IF(ISNUMBER(INDEX($F$5:$F$1000,$R225-4)),DATE(YEAR(INDEX($F$5:$F$1000,$R225-4)),MONTH(INDEX($F$5:$F$1000,$R225-4)),1),MesCiclo)),IF(ISNUMBER($E225),DATE(YEAR($E225),MONTH($E225),1),IF(ISNUMBER($F225),DATE(YEAR($F225),MONTH($F225),1),MesCiclo))))</f>
        <v/>
      </c>
      <c r="Q225" s="70">
        <f>IF(OR($P225="",$P225&lt;&gt;MesCiclo),"",COUNTIF($P$5:$P225,MesCiclo))</f>
        <v/>
      </c>
      <c r="R225" s="70">
        <f>IF($S225="","",IF($S225="Macro",ROW(),IFERROR(LOOKUP(2,1/($S$5:$S225="Macro"),ROW($S$5:$S225)),0)))</f>
        <v/>
      </c>
      <c r="S225" s="70">
        <f>IF(NOT((COUNTA($B225:$K225)+COUNTA($N225))&gt;0),"",IF($B225&lt;&gt;"","Macro",IF($C225&lt;&gt;"","Sub","Macro")))</f>
        <v/>
      </c>
      <c r="T225" s="70">
        <f>IF($S225="Macro",COUNTIFS($R$5:$R$1000,ROW(),$S$5:$S$1000,"Sub"),"")</f>
        <v/>
      </c>
      <c r="U225" s="70">
        <f>IF($S225="","",IF(ISNUMBER($H225),$H225,0))</f>
        <v/>
      </c>
      <c r="V225" s="70">
        <f>IF($S225="","",IF(ISNUMBER($I225),$I225,$U225))</f>
        <v/>
      </c>
      <c r="W225" s="70">
        <f>IF($S225="","",IF(ISNUMBER($J225),$J225,$V225))</f>
        <v/>
      </c>
      <c r="X225" s="70">
        <f>IF($S225="","",IF(ISNUMBER($K225),$K225,$W225))</f>
        <v/>
      </c>
      <c r="Y225" s="70">
        <f>IF($S225="","",IF(N($T225)&gt;0,AVERAGEIFS($U$5:$U$1000,$R$5:$R$1000,ROW(),$S$5:$S$1000,"Sub"),$U225))</f>
        <v/>
      </c>
      <c r="Z225" s="70">
        <f>IF($S225="","",IF(N($T225)&gt;0,AVERAGEIFS($V$5:$V$1000,$R$5:$R$1000,ROW(),$S$5:$S$1000,"Sub"),$V225))</f>
        <v/>
      </c>
      <c r="AA225" s="70">
        <f>IF($S225="","",IF(N($T225)&gt;0,AVERAGEIFS($W$5:$W$1000,$R$5:$R$1000,ROW(),$S$5:$S$1000,"Sub"),$W225))</f>
        <v/>
      </c>
      <c r="AB225" s="70">
        <f>IF($S225="","",IF(N($T225)&gt;0,AVERAGEIFS($X$5:$X$1000,$R$5:$R$1000,ROW(),$S$5:$S$1000,"Sub"),$X225))</f>
        <v/>
      </c>
    </row>
    <row r="226">
      <c r="A226" s="61">
        <f>IF(NOT((COUNTA($B226:$K226)+COUNTA($N226))&gt;0),"",IF($S226="Macro",COUNTIFS($S$5:$S226,"Macro",$P$5:$P226,$P226),IF(N($R226)=0,"?",COUNTIFS(INDEX($S$5:$S$1000,1):INDEX($S$5:$S$1000,$R226-4),"Macro",INDEX($P$5:$P$1000,1):INDEX($P$5:$P$1000,$R226-4),INDEX($P$5:$P$1000,$R226-4))&amp;"."&amp;COUNTIFS($R$5:$R226,$R226,$S$5:$S226,"Sub"))))</f>
        <v/>
      </c>
      <c r="B226" s="62" t="n"/>
      <c r="C226" s="63" t="n"/>
      <c r="D226" s="62" t="n"/>
      <c r="E226" s="64" t="n"/>
      <c r="F226" s="64" t="n"/>
      <c r="G226" s="65" t="n"/>
      <c r="H226" s="66" t="n"/>
      <c r="I226" s="66" t="n"/>
      <c r="J226" s="66" t="n"/>
      <c r="K226" s="66" t="n"/>
      <c r="L226" s="67">
        <f>IF(NOT((COUNTA($B226:$K226)+COUNTA($N226))&gt;0),"",IF(N($T226)&gt;0,$AB226,IFERROR(LOOKUP(2,1/(H226:K226&lt;&gt;""),H226:K226),0)))</f>
        <v/>
      </c>
      <c r="M226" s="61">
        <f>IF(L226="","",IF(L226&gt;=1,"Completado",IF(L226&gt;0,"En curso","Pendiente")))</f>
        <v/>
      </c>
      <c r="N226" s="62" t="n"/>
      <c r="O226" s="68">
        <f>IF(NOT((COUNTA($B226:$K226)+COUNTA($N226))&gt;0),"",IF((IF(AND($S226="Macro",$B226=""),"Macroactividad vacía"&amp;" · ","")&amp;IF(AND($B226&lt;&gt;"",$C226&lt;&gt;""),"Escriba la subactividad en otra fila, debajo de su macroactividad"&amp;" · ","")&amp;IF(AND($S226="Sub",N($R226)=0),"Subactividad sin macroactividad arriba"&amp;" · ","")&amp;IF($D226="","Sin responsable"&amp;" · ","")&amp;IF($E226="","Sin fecha de inicio"&amp;" · ","")&amp;IF($F226="","Sin fecha límite"&amp;" · ","")&amp;IF(OR(AND($E226&lt;&gt;"",NOT(ISNUMBER($E226))),AND($F226&lt;&gt;"",NOT(ISNUMBER($F226)))),"Fecha no válida"&amp;" · ","")&amp;IF(AND(ISNUMBER($E226),ISNUMBER($F226),$E226&gt;$F226),"Inicio posterior a fecha límite"&amp;" · ","")&amp;IF(AND($S226="Macro",$G226=""),"Peso vacío"&amp;" · ","")&amp;IF(AND($S226="Macro",$G226&lt;&gt;"",OR(NOT(ISNUMBER($G226)),$G226&lt;=0,$G226&gt;1)),"Peso fuera de rango"&amp;" · ","")&amp;IF(AND($S226="Sub",$G226&lt;&gt;""),"Las subactividades no llevan peso"&amp;" · ","")&amp;IF(AND($S226="Macro",ABS(SUMIFS($G$5:$G$1000,$P$5:$P$1000,$P226,$S$5:$S$1000,"Macro")-1)&gt;0.0001),"Pesos del mes suman "&amp;TEXT(SUMIFS($G$5:$G$1000,$P$5:$P$1000,$P226,$S$5:$S$1000,"Macro"),"0%")&amp;" · ","")&amp;IF(AND(N($T226)&gt;0,COUNT($H226:$K226)&gt;0),"Con subactividades: deje vacías las semanas (se calculan solas)"&amp;" · ","")&amp;IF((COUNTIF($H226:$K226,"&gt;1")+COUNTIF($H226:$K226,"&lt;0")+COUNTA($H226:$K226)-COUNT($H226:$K226))&gt;0,"Avance fuera de rango 0-100%"&amp;" · ","")&amp;IF(OR(AND($I226&lt;&gt;"",$I226&lt;$H226),AND($J226&lt;&gt;"",$J226&lt;MAX($H226:$I226)),AND($K226&lt;&gt;"",$K226&lt;MAX($H226:$J226))),"Avance semanal decreciente"&amp;" · ","")&amp;IF(AND(ISNUMBER($F226),$F226&lt;FechaRef,N($L226)&lt;1),"Vencida"&amp;" · ","")&amp;IF(AND(ObsObligatoria="Sí",ISNUMBER($F226),$F226&lt;FechaRef,N($L226)&lt;1,$N226=""),"Vencida sin observación"&amp;" · ",""))="","✔ OK","⚠ "&amp;LEFT(IF(AND($S226="Macro",$B226=""),"Macroactividad vacía"&amp;" · ","")&amp;IF(AND($B226&lt;&gt;"",$C226&lt;&gt;""),"Escriba la subactividad en otra fila, debajo de su macroactividad"&amp;" · ","")&amp;IF(AND($S226="Sub",N($R226)=0),"Subactividad sin macroactividad arriba"&amp;" · ","")&amp;IF($D226="","Sin responsable"&amp;" · ","")&amp;IF($E226="","Sin fecha de inicio"&amp;" · ","")&amp;IF($F226="","Sin fecha límite"&amp;" · ","")&amp;IF(OR(AND($E226&lt;&gt;"",NOT(ISNUMBER($E226))),AND($F226&lt;&gt;"",NOT(ISNUMBER($F226)))),"Fecha no válida"&amp;" · ","")&amp;IF(AND(ISNUMBER($E226),ISNUMBER($F226),$E226&gt;$F226),"Inicio posterior a fecha límite"&amp;" · ","")&amp;IF(AND($S226="Macro",$G226=""),"Peso vacío"&amp;" · ","")&amp;IF(AND($S226="Macro",$G226&lt;&gt;"",OR(NOT(ISNUMBER($G226)),$G226&lt;=0,$G226&gt;1)),"Peso fuera de rango"&amp;" · ","")&amp;IF(AND($S226="Sub",$G226&lt;&gt;""),"Las subactividades no llevan peso"&amp;" · ","")&amp;IF(AND($S226="Macro",ABS(SUMIFS($G$5:$G$1000,$P$5:$P$1000,$P226,$S$5:$S$1000,"Macro")-1)&gt;0.0001),"Pesos del mes suman "&amp;TEXT(SUMIFS($G$5:$G$1000,$P$5:$P$1000,$P226,$S$5:$S$1000,"Macro"),"0%")&amp;" · ","")&amp;IF(AND(N($T226)&gt;0,COUNT($H226:$K226)&gt;0),"Con subactividades: deje vacías las semanas (se calculan solas)"&amp;" · ","")&amp;IF((COUNTIF($H226:$K226,"&gt;1")+COUNTIF($H226:$K226,"&lt;0")+COUNTA($H226:$K226)-COUNT($H226:$K226))&gt;0,"Avance fuera de rango 0-100%"&amp;" · ","")&amp;IF(OR(AND($I226&lt;&gt;"",$I226&lt;$H226),AND($J226&lt;&gt;"",$J226&lt;MAX($H226:$I226)),AND($K226&lt;&gt;"",$K226&lt;MAX($H226:$J226))),"Avance semanal decreciente"&amp;" · ","")&amp;IF(AND(ISNUMBER($F226),$F226&lt;FechaRef,N($L226)&lt;1),"Vencida"&amp;" · ","")&amp;IF(AND(ObsObligatoria="Sí",ISNUMBER($F226),$F226&lt;FechaRef,N($L226)&lt;1,$N226=""),"Vencida sin observación"&amp;" · ",""),LEN(IF(AND($S226="Macro",$B226=""),"Macroactividad vacía"&amp;" · ","")&amp;IF(AND($B226&lt;&gt;"",$C226&lt;&gt;""),"Escriba la subactividad en otra fila, debajo de su macroactividad"&amp;" · ","")&amp;IF(AND($S226="Sub",N($R226)=0),"Subactividad sin macroactividad arriba"&amp;" · ","")&amp;IF($D226="","Sin responsable"&amp;" · ","")&amp;IF($E226="","Sin fecha de inicio"&amp;" · ","")&amp;IF($F226="","Sin fecha límite"&amp;" · ","")&amp;IF(OR(AND($E226&lt;&gt;"",NOT(ISNUMBER($E226))),AND($F226&lt;&gt;"",NOT(ISNUMBER($F226)))),"Fecha no válida"&amp;" · ","")&amp;IF(AND(ISNUMBER($E226),ISNUMBER($F226),$E226&gt;$F226),"Inicio posterior a fecha límite"&amp;" · ","")&amp;IF(AND($S226="Macro",$G226=""),"Peso vacío"&amp;" · ","")&amp;IF(AND($S226="Macro",$G226&lt;&gt;"",OR(NOT(ISNUMBER($G226)),$G226&lt;=0,$G226&gt;1)),"Peso fuera de rango"&amp;" · ","")&amp;IF(AND($S226="Sub",$G226&lt;&gt;""),"Las subactividades no llevan peso"&amp;" · ","")&amp;IF(AND($S226="Macro",ABS(SUMIFS($G$5:$G$1000,$P$5:$P$1000,$P226,$S$5:$S$1000,"Macro")-1)&gt;0.0001),"Pesos del mes suman "&amp;TEXT(SUMIFS($G$5:$G$1000,$P$5:$P$1000,$P226,$S$5:$S$1000,"Macro"),"0%")&amp;" · ","")&amp;IF(AND(N($T226)&gt;0,COUNT($H226:$K226)&gt;0),"Con subactividades: deje vacías las semanas (se calculan solas)"&amp;" · ","")&amp;IF((COUNTIF($H226:$K226,"&gt;1")+COUNTIF($H226:$K226,"&lt;0")+COUNTA($H226:$K226)-COUNT($H226:$K226))&gt;0,"Avance fuera de rango 0-100%"&amp;" · ","")&amp;IF(OR(AND($I226&lt;&gt;"",$I226&lt;$H226),AND($J226&lt;&gt;"",$J226&lt;MAX($H226:$I226)),AND($K226&lt;&gt;"",$K226&lt;MAX($H226:$J226))),"Avance semanal decreciente"&amp;" · ","")&amp;IF(AND(ISNUMBER($F226),$F226&lt;FechaRef,N($L226)&lt;1),"Vencida"&amp;" · ","")&amp;IF(AND(ObsObligatoria="Sí",ISNUMBER($F226),$F226&lt;FechaRef,N($L226)&lt;1,$N226=""),"Vencida sin observación"&amp;" · ",""))-3)))</f>
        <v/>
      </c>
      <c r="P226" s="69">
        <f>IF(NOT((COUNTA($B226:$K226)+COUNTA($N226))&gt;0),"",IF(AND($S226="Sub",N($R226)&gt;0),IF(ISNUMBER(INDEX($E$5:$E$1000,$R226-4)),DATE(YEAR(INDEX($E$5:$E$1000,$R226-4)),MONTH(INDEX($E$5:$E$1000,$R226-4)),1),IF(ISNUMBER(INDEX($F$5:$F$1000,$R226-4)),DATE(YEAR(INDEX($F$5:$F$1000,$R226-4)),MONTH(INDEX($F$5:$F$1000,$R226-4)),1),MesCiclo)),IF(ISNUMBER($E226),DATE(YEAR($E226),MONTH($E226),1),IF(ISNUMBER($F226),DATE(YEAR($F226),MONTH($F226),1),MesCiclo))))</f>
        <v/>
      </c>
      <c r="Q226" s="70">
        <f>IF(OR($P226="",$P226&lt;&gt;MesCiclo),"",COUNTIF($P$5:$P226,MesCiclo))</f>
        <v/>
      </c>
      <c r="R226" s="70">
        <f>IF($S226="","",IF($S226="Macro",ROW(),IFERROR(LOOKUP(2,1/($S$5:$S226="Macro"),ROW($S$5:$S226)),0)))</f>
        <v/>
      </c>
      <c r="S226" s="70">
        <f>IF(NOT((COUNTA($B226:$K226)+COUNTA($N226))&gt;0),"",IF($B226&lt;&gt;"","Macro",IF($C226&lt;&gt;"","Sub","Macro")))</f>
        <v/>
      </c>
      <c r="T226" s="70">
        <f>IF($S226="Macro",COUNTIFS($R$5:$R$1000,ROW(),$S$5:$S$1000,"Sub"),"")</f>
        <v/>
      </c>
      <c r="U226" s="70">
        <f>IF($S226="","",IF(ISNUMBER($H226),$H226,0))</f>
        <v/>
      </c>
      <c r="V226" s="70">
        <f>IF($S226="","",IF(ISNUMBER($I226),$I226,$U226))</f>
        <v/>
      </c>
      <c r="W226" s="70">
        <f>IF($S226="","",IF(ISNUMBER($J226),$J226,$V226))</f>
        <v/>
      </c>
      <c r="X226" s="70">
        <f>IF($S226="","",IF(ISNUMBER($K226),$K226,$W226))</f>
        <v/>
      </c>
      <c r="Y226" s="70">
        <f>IF($S226="","",IF(N($T226)&gt;0,AVERAGEIFS($U$5:$U$1000,$R$5:$R$1000,ROW(),$S$5:$S$1000,"Sub"),$U226))</f>
        <v/>
      </c>
      <c r="Z226" s="70">
        <f>IF($S226="","",IF(N($T226)&gt;0,AVERAGEIFS($V$5:$V$1000,$R$5:$R$1000,ROW(),$S$5:$S$1000,"Sub"),$V226))</f>
        <v/>
      </c>
      <c r="AA226" s="70">
        <f>IF($S226="","",IF(N($T226)&gt;0,AVERAGEIFS($W$5:$W$1000,$R$5:$R$1000,ROW(),$S$5:$S$1000,"Sub"),$W226))</f>
        <v/>
      </c>
      <c r="AB226" s="70">
        <f>IF($S226="","",IF(N($T226)&gt;0,AVERAGEIFS($X$5:$X$1000,$R$5:$R$1000,ROW(),$S$5:$S$1000,"Sub"),$X226))</f>
        <v/>
      </c>
    </row>
    <row r="227">
      <c r="A227" s="61">
        <f>IF(NOT((COUNTA($B227:$K227)+COUNTA($N227))&gt;0),"",IF($S227="Macro",COUNTIFS($S$5:$S227,"Macro",$P$5:$P227,$P227),IF(N($R227)=0,"?",COUNTIFS(INDEX($S$5:$S$1000,1):INDEX($S$5:$S$1000,$R227-4),"Macro",INDEX($P$5:$P$1000,1):INDEX($P$5:$P$1000,$R227-4),INDEX($P$5:$P$1000,$R227-4))&amp;"."&amp;COUNTIFS($R$5:$R227,$R227,$S$5:$S227,"Sub"))))</f>
        <v/>
      </c>
      <c r="B227" s="62" t="n"/>
      <c r="C227" s="63" t="n"/>
      <c r="D227" s="62" t="n"/>
      <c r="E227" s="64" t="n"/>
      <c r="F227" s="64" t="n"/>
      <c r="G227" s="65" t="n"/>
      <c r="H227" s="66" t="n"/>
      <c r="I227" s="66" t="n"/>
      <c r="J227" s="66" t="n"/>
      <c r="K227" s="66" t="n"/>
      <c r="L227" s="67">
        <f>IF(NOT((COUNTA($B227:$K227)+COUNTA($N227))&gt;0),"",IF(N($T227)&gt;0,$AB227,IFERROR(LOOKUP(2,1/(H227:K227&lt;&gt;""),H227:K227),0)))</f>
        <v/>
      </c>
      <c r="M227" s="61">
        <f>IF(L227="","",IF(L227&gt;=1,"Completado",IF(L227&gt;0,"En curso","Pendiente")))</f>
        <v/>
      </c>
      <c r="N227" s="62" t="n"/>
      <c r="O227" s="68">
        <f>IF(NOT((COUNTA($B227:$K227)+COUNTA($N227))&gt;0),"",IF((IF(AND($S227="Macro",$B227=""),"Macroactividad vacía"&amp;" · ","")&amp;IF(AND($B227&lt;&gt;"",$C227&lt;&gt;""),"Escriba la subactividad en otra fila, debajo de su macroactividad"&amp;" · ","")&amp;IF(AND($S227="Sub",N($R227)=0),"Subactividad sin macroactividad arriba"&amp;" · ","")&amp;IF($D227="","Sin responsable"&amp;" · ","")&amp;IF($E227="","Sin fecha de inicio"&amp;" · ","")&amp;IF($F227="","Sin fecha límite"&amp;" · ","")&amp;IF(OR(AND($E227&lt;&gt;"",NOT(ISNUMBER($E227))),AND($F227&lt;&gt;"",NOT(ISNUMBER($F227)))),"Fecha no válida"&amp;" · ","")&amp;IF(AND(ISNUMBER($E227),ISNUMBER($F227),$E227&gt;$F227),"Inicio posterior a fecha límite"&amp;" · ","")&amp;IF(AND($S227="Macro",$G227=""),"Peso vacío"&amp;" · ","")&amp;IF(AND($S227="Macro",$G227&lt;&gt;"",OR(NOT(ISNUMBER($G227)),$G227&lt;=0,$G227&gt;1)),"Peso fuera de rango"&amp;" · ","")&amp;IF(AND($S227="Sub",$G227&lt;&gt;""),"Las subactividades no llevan peso"&amp;" · ","")&amp;IF(AND($S227="Macro",ABS(SUMIFS($G$5:$G$1000,$P$5:$P$1000,$P227,$S$5:$S$1000,"Macro")-1)&gt;0.0001),"Pesos del mes suman "&amp;TEXT(SUMIFS($G$5:$G$1000,$P$5:$P$1000,$P227,$S$5:$S$1000,"Macro"),"0%")&amp;" · ","")&amp;IF(AND(N($T227)&gt;0,COUNT($H227:$K227)&gt;0),"Con subactividades: deje vacías las semanas (se calculan solas)"&amp;" · ","")&amp;IF((COUNTIF($H227:$K227,"&gt;1")+COUNTIF($H227:$K227,"&lt;0")+COUNTA($H227:$K227)-COUNT($H227:$K227))&gt;0,"Avance fuera de rango 0-100%"&amp;" · ","")&amp;IF(OR(AND($I227&lt;&gt;"",$I227&lt;$H227),AND($J227&lt;&gt;"",$J227&lt;MAX($H227:$I227)),AND($K227&lt;&gt;"",$K227&lt;MAX($H227:$J227))),"Avance semanal decreciente"&amp;" · ","")&amp;IF(AND(ISNUMBER($F227),$F227&lt;FechaRef,N($L227)&lt;1),"Vencida"&amp;" · ","")&amp;IF(AND(ObsObligatoria="Sí",ISNUMBER($F227),$F227&lt;FechaRef,N($L227)&lt;1,$N227=""),"Vencida sin observación"&amp;" · ",""))="","✔ OK","⚠ "&amp;LEFT(IF(AND($S227="Macro",$B227=""),"Macroactividad vacía"&amp;" · ","")&amp;IF(AND($B227&lt;&gt;"",$C227&lt;&gt;""),"Escriba la subactividad en otra fila, debajo de su macroactividad"&amp;" · ","")&amp;IF(AND($S227="Sub",N($R227)=0),"Subactividad sin macroactividad arriba"&amp;" · ","")&amp;IF($D227="","Sin responsable"&amp;" · ","")&amp;IF($E227="","Sin fecha de inicio"&amp;" · ","")&amp;IF($F227="","Sin fecha límite"&amp;" · ","")&amp;IF(OR(AND($E227&lt;&gt;"",NOT(ISNUMBER($E227))),AND($F227&lt;&gt;"",NOT(ISNUMBER($F227)))),"Fecha no válida"&amp;" · ","")&amp;IF(AND(ISNUMBER($E227),ISNUMBER($F227),$E227&gt;$F227),"Inicio posterior a fecha límite"&amp;" · ","")&amp;IF(AND($S227="Macro",$G227=""),"Peso vacío"&amp;" · ","")&amp;IF(AND($S227="Macro",$G227&lt;&gt;"",OR(NOT(ISNUMBER($G227)),$G227&lt;=0,$G227&gt;1)),"Peso fuera de rango"&amp;" · ","")&amp;IF(AND($S227="Sub",$G227&lt;&gt;""),"Las subactividades no llevan peso"&amp;" · ","")&amp;IF(AND($S227="Macro",ABS(SUMIFS($G$5:$G$1000,$P$5:$P$1000,$P227,$S$5:$S$1000,"Macro")-1)&gt;0.0001),"Pesos del mes suman "&amp;TEXT(SUMIFS($G$5:$G$1000,$P$5:$P$1000,$P227,$S$5:$S$1000,"Macro"),"0%")&amp;" · ","")&amp;IF(AND(N($T227)&gt;0,COUNT($H227:$K227)&gt;0),"Con subactividades: deje vacías las semanas (se calculan solas)"&amp;" · ","")&amp;IF((COUNTIF($H227:$K227,"&gt;1")+COUNTIF($H227:$K227,"&lt;0")+COUNTA($H227:$K227)-COUNT($H227:$K227))&gt;0,"Avance fuera de rango 0-100%"&amp;" · ","")&amp;IF(OR(AND($I227&lt;&gt;"",$I227&lt;$H227),AND($J227&lt;&gt;"",$J227&lt;MAX($H227:$I227)),AND($K227&lt;&gt;"",$K227&lt;MAX($H227:$J227))),"Avance semanal decreciente"&amp;" · ","")&amp;IF(AND(ISNUMBER($F227),$F227&lt;FechaRef,N($L227)&lt;1),"Vencida"&amp;" · ","")&amp;IF(AND(ObsObligatoria="Sí",ISNUMBER($F227),$F227&lt;FechaRef,N($L227)&lt;1,$N227=""),"Vencida sin observación"&amp;" · ",""),LEN(IF(AND($S227="Macro",$B227=""),"Macroactividad vacía"&amp;" · ","")&amp;IF(AND($B227&lt;&gt;"",$C227&lt;&gt;""),"Escriba la subactividad en otra fila, debajo de su macroactividad"&amp;" · ","")&amp;IF(AND($S227="Sub",N($R227)=0),"Subactividad sin macroactividad arriba"&amp;" · ","")&amp;IF($D227="","Sin responsable"&amp;" · ","")&amp;IF($E227="","Sin fecha de inicio"&amp;" · ","")&amp;IF($F227="","Sin fecha límite"&amp;" · ","")&amp;IF(OR(AND($E227&lt;&gt;"",NOT(ISNUMBER($E227))),AND($F227&lt;&gt;"",NOT(ISNUMBER($F227)))),"Fecha no válida"&amp;" · ","")&amp;IF(AND(ISNUMBER($E227),ISNUMBER($F227),$E227&gt;$F227),"Inicio posterior a fecha límite"&amp;" · ","")&amp;IF(AND($S227="Macro",$G227=""),"Peso vacío"&amp;" · ","")&amp;IF(AND($S227="Macro",$G227&lt;&gt;"",OR(NOT(ISNUMBER($G227)),$G227&lt;=0,$G227&gt;1)),"Peso fuera de rango"&amp;" · ","")&amp;IF(AND($S227="Sub",$G227&lt;&gt;""),"Las subactividades no llevan peso"&amp;" · ","")&amp;IF(AND($S227="Macro",ABS(SUMIFS($G$5:$G$1000,$P$5:$P$1000,$P227,$S$5:$S$1000,"Macro")-1)&gt;0.0001),"Pesos del mes suman "&amp;TEXT(SUMIFS($G$5:$G$1000,$P$5:$P$1000,$P227,$S$5:$S$1000,"Macro"),"0%")&amp;" · ","")&amp;IF(AND(N($T227)&gt;0,COUNT($H227:$K227)&gt;0),"Con subactividades: deje vacías las semanas (se calculan solas)"&amp;" · ","")&amp;IF((COUNTIF($H227:$K227,"&gt;1")+COUNTIF($H227:$K227,"&lt;0")+COUNTA($H227:$K227)-COUNT($H227:$K227))&gt;0,"Avance fuera de rango 0-100%"&amp;" · ","")&amp;IF(OR(AND($I227&lt;&gt;"",$I227&lt;$H227),AND($J227&lt;&gt;"",$J227&lt;MAX($H227:$I227)),AND($K227&lt;&gt;"",$K227&lt;MAX($H227:$J227))),"Avance semanal decreciente"&amp;" · ","")&amp;IF(AND(ISNUMBER($F227),$F227&lt;FechaRef,N($L227)&lt;1),"Vencida"&amp;" · ","")&amp;IF(AND(ObsObligatoria="Sí",ISNUMBER($F227),$F227&lt;FechaRef,N($L227)&lt;1,$N227=""),"Vencida sin observación"&amp;" · ",""))-3)))</f>
        <v/>
      </c>
      <c r="P227" s="69">
        <f>IF(NOT((COUNTA($B227:$K227)+COUNTA($N227))&gt;0),"",IF(AND($S227="Sub",N($R227)&gt;0),IF(ISNUMBER(INDEX($E$5:$E$1000,$R227-4)),DATE(YEAR(INDEX($E$5:$E$1000,$R227-4)),MONTH(INDEX($E$5:$E$1000,$R227-4)),1),IF(ISNUMBER(INDEX($F$5:$F$1000,$R227-4)),DATE(YEAR(INDEX($F$5:$F$1000,$R227-4)),MONTH(INDEX($F$5:$F$1000,$R227-4)),1),MesCiclo)),IF(ISNUMBER($E227),DATE(YEAR($E227),MONTH($E227),1),IF(ISNUMBER($F227),DATE(YEAR($F227),MONTH($F227),1),MesCiclo))))</f>
        <v/>
      </c>
      <c r="Q227" s="70">
        <f>IF(OR($P227="",$P227&lt;&gt;MesCiclo),"",COUNTIF($P$5:$P227,MesCiclo))</f>
        <v/>
      </c>
      <c r="R227" s="70">
        <f>IF($S227="","",IF($S227="Macro",ROW(),IFERROR(LOOKUP(2,1/($S$5:$S227="Macro"),ROW($S$5:$S227)),0)))</f>
        <v/>
      </c>
      <c r="S227" s="70">
        <f>IF(NOT((COUNTA($B227:$K227)+COUNTA($N227))&gt;0),"",IF($B227&lt;&gt;"","Macro",IF($C227&lt;&gt;"","Sub","Macro")))</f>
        <v/>
      </c>
      <c r="T227" s="70">
        <f>IF($S227="Macro",COUNTIFS($R$5:$R$1000,ROW(),$S$5:$S$1000,"Sub"),"")</f>
        <v/>
      </c>
      <c r="U227" s="70">
        <f>IF($S227="","",IF(ISNUMBER($H227),$H227,0))</f>
        <v/>
      </c>
      <c r="V227" s="70">
        <f>IF($S227="","",IF(ISNUMBER($I227),$I227,$U227))</f>
        <v/>
      </c>
      <c r="W227" s="70">
        <f>IF($S227="","",IF(ISNUMBER($J227),$J227,$V227))</f>
        <v/>
      </c>
      <c r="X227" s="70">
        <f>IF($S227="","",IF(ISNUMBER($K227),$K227,$W227))</f>
        <v/>
      </c>
      <c r="Y227" s="70">
        <f>IF($S227="","",IF(N($T227)&gt;0,AVERAGEIFS($U$5:$U$1000,$R$5:$R$1000,ROW(),$S$5:$S$1000,"Sub"),$U227))</f>
        <v/>
      </c>
      <c r="Z227" s="70">
        <f>IF($S227="","",IF(N($T227)&gt;0,AVERAGEIFS($V$5:$V$1000,$R$5:$R$1000,ROW(),$S$5:$S$1000,"Sub"),$V227))</f>
        <v/>
      </c>
      <c r="AA227" s="70">
        <f>IF($S227="","",IF(N($T227)&gt;0,AVERAGEIFS($W$5:$W$1000,$R$5:$R$1000,ROW(),$S$5:$S$1000,"Sub"),$W227))</f>
        <v/>
      </c>
      <c r="AB227" s="70">
        <f>IF($S227="","",IF(N($T227)&gt;0,AVERAGEIFS($X$5:$X$1000,$R$5:$R$1000,ROW(),$S$5:$S$1000,"Sub"),$X227))</f>
        <v/>
      </c>
    </row>
    <row r="228">
      <c r="A228" s="61">
        <f>IF(NOT((COUNTA($B228:$K228)+COUNTA($N228))&gt;0),"",IF($S228="Macro",COUNTIFS($S$5:$S228,"Macro",$P$5:$P228,$P228),IF(N($R228)=0,"?",COUNTIFS(INDEX($S$5:$S$1000,1):INDEX($S$5:$S$1000,$R228-4),"Macro",INDEX($P$5:$P$1000,1):INDEX($P$5:$P$1000,$R228-4),INDEX($P$5:$P$1000,$R228-4))&amp;"."&amp;COUNTIFS($R$5:$R228,$R228,$S$5:$S228,"Sub"))))</f>
        <v/>
      </c>
      <c r="B228" s="62" t="n"/>
      <c r="C228" s="63" t="n"/>
      <c r="D228" s="62" t="n"/>
      <c r="E228" s="64" t="n"/>
      <c r="F228" s="64" t="n"/>
      <c r="G228" s="65" t="n"/>
      <c r="H228" s="66" t="n"/>
      <c r="I228" s="66" t="n"/>
      <c r="J228" s="66" t="n"/>
      <c r="K228" s="66" t="n"/>
      <c r="L228" s="67">
        <f>IF(NOT((COUNTA($B228:$K228)+COUNTA($N228))&gt;0),"",IF(N($T228)&gt;0,$AB228,IFERROR(LOOKUP(2,1/(H228:K228&lt;&gt;""),H228:K228),0)))</f>
        <v/>
      </c>
      <c r="M228" s="61">
        <f>IF(L228="","",IF(L228&gt;=1,"Completado",IF(L228&gt;0,"En curso","Pendiente")))</f>
        <v/>
      </c>
      <c r="N228" s="62" t="n"/>
      <c r="O228" s="68">
        <f>IF(NOT((COUNTA($B228:$K228)+COUNTA($N228))&gt;0),"",IF((IF(AND($S228="Macro",$B228=""),"Macroactividad vacía"&amp;" · ","")&amp;IF(AND($B228&lt;&gt;"",$C228&lt;&gt;""),"Escriba la subactividad en otra fila, debajo de su macroactividad"&amp;" · ","")&amp;IF(AND($S228="Sub",N($R228)=0),"Subactividad sin macroactividad arriba"&amp;" · ","")&amp;IF($D228="","Sin responsable"&amp;" · ","")&amp;IF($E228="","Sin fecha de inicio"&amp;" · ","")&amp;IF($F228="","Sin fecha límite"&amp;" · ","")&amp;IF(OR(AND($E228&lt;&gt;"",NOT(ISNUMBER($E228))),AND($F228&lt;&gt;"",NOT(ISNUMBER($F228)))),"Fecha no válida"&amp;" · ","")&amp;IF(AND(ISNUMBER($E228),ISNUMBER($F228),$E228&gt;$F228),"Inicio posterior a fecha límite"&amp;" · ","")&amp;IF(AND($S228="Macro",$G228=""),"Peso vacío"&amp;" · ","")&amp;IF(AND($S228="Macro",$G228&lt;&gt;"",OR(NOT(ISNUMBER($G228)),$G228&lt;=0,$G228&gt;1)),"Peso fuera de rango"&amp;" · ","")&amp;IF(AND($S228="Sub",$G228&lt;&gt;""),"Las subactividades no llevan peso"&amp;" · ","")&amp;IF(AND($S228="Macro",ABS(SUMIFS($G$5:$G$1000,$P$5:$P$1000,$P228,$S$5:$S$1000,"Macro")-1)&gt;0.0001),"Pesos del mes suman "&amp;TEXT(SUMIFS($G$5:$G$1000,$P$5:$P$1000,$P228,$S$5:$S$1000,"Macro"),"0%")&amp;" · ","")&amp;IF(AND(N($T228)&gt;0,COUNT($H228:$K228)&gt;0),"Con subactividades: deje vacías las semanas (se calculan solas)"&amp;" · ","")&amp;IF((COUNTIF($H228:$K228,"&gt;1")+COUNTIF($H228:$K228,"&lt;0")+COUNTA($H228:$K228)-COUNT($H228:$K228))&gt;0,"Avance fuera de rango 0-100%"&amp;" · ","")&amp;IF(OR(AND($I228&lt;&gt;"",$I228&lt;$H228),AND($J228&lt;&gt;"",$J228&lt;MAX($H228:$I228)),AND($K228&lt;&gt;"",$K228&lt;MAX($H228:$J228))),"Avance semanal decreciente"&amp;" · ","")&amp;IF(AND(ISNUMBER($F228),$F228&lt;FechaRef,N($L228)&lt;1),"Vencida"&amp;" · ","")&amp;IF(AND(ObsObligatoria="Sí",ISNUMBER($F228),$F228&lt;FechaRef,N($L228)&lt;1,$N228=""),"Vencida sin observación"&amp;" · ",""))="","✔ OK","⚠ "&amp;LEFT(IF(AND($S228="Macro",$B228=""),"Macroactividad vacía"&amp;" · ","")&amp;IF(AND($B228&lt;&gt;"",$C228&lt;&gt;""),"Escriba la subactividad en otra fila, debajo de su macroactividad"&amp;" · ","")&amp;IF(AND($S228="Sub",N($R228)=0),"Subactividad sin macroactividad arriba"&amp;" · ","")&amp;IF($D228="","Sin responsable"&amp;" · ","")&amp;IF($E228="","Sin fecha de inicio"&amp;" · ","")&amp;IF($F228="","Sin fecha límite"&amp;" · ","")&amp;IF(OR(AND($E228&lt;&gt;"",NOT(ISNUMBER($E228))),AND($F228&lt;&gt;"",NOT(ISNUMBER($F228)))),"Fecha no válida"&amp;" · ","")&amp;IF(AND(ISNUMBER($E228),ISNUMBER($F228),$E228&gt;$F228),"Inicio posterior a fecha límite"&amp;" · ","")&amp;IF(AND($S228="Macro",$G228=""),"Peso vacío"&amp;" · ","")&amp;IF(AND($S228="Macro",$G228&lt;&gt;"",OR(NOT(ISNUMBER($G228)),$G228&lt;=0,$G228&gt;1)),"Peso fuera de rango"&amp;" · ","")&amp;IF(AND($S228="Sub",$G228&lt;&gt;""),"Las subactividades no llevan peso"&amp;" · ","")&amp;IF(AND($S228="Macro",ABS(SUMIFS($G$5:$G$1000,$P$5:$P$1000,$P228,$S$5:$S$1000,"Macro")-1)&gt;0.0001),"Pesos del mes suman "&amp;TEXT(SUMIFS($G$5:$G$1000,$P$5:$P$1000,$P228,$S$5:$S$1000,"Macro"),"0%")&amp;" · ","")&amp;IF(AND(N($T228)&gt;0,COUNT($H228:$K228)&gt;0),"Con subactividades: deje vacías las semanas (se calculan solas)"&amp;" · ","")&amp;IF((COUNTIF($H228:$K228,"&gt;1")+COUNTIF($H228:$K228,"&lt;0")+COUNTA($H228:$K228)-COUNT($H228:$K228))&gt;0,"Avance fuera de rango 0-100%"&amp;" · ","")&amp;IF(OR(AND($I228&lt;&gt;"",$I228&lt;$H228),AND($J228&lt;&gt;"",$J228&lt;MAX($H228:$I228)),AND($K228&lt;&gt;"",$K228&lt;MAX($H228:$J228))),"Avance semanal decreciente"&amp;" · ","")&amp;IF(AND(ISNUMBER($F228),$F228&lt;FechaRef,N($L228)&lt;1),"Vencida"&amp;" · ","")&amp;IF(AND(ObsObligatoria="Sí",ISNUMBER($F228),$F228&lt;FechaRef,N($L228)&lt;1,$N228=""),"Vencida sin observación"&amp;" · ",""),LEN(IF(AND($S228="Macro",$B228=""),"Macroactividad vacía"&amp;" · ","")&amp;IF(AND($B228&lt;&gt;"",$C228&lt;&gt;""),"Escriba la subactividad en otra fila, debajo de su macroactividad"&amp;" · ","")&amp;IF(AND($S228="Sub",N($R228)=0),"Subactividad sin macroactividad arriba"&amp;" · ","")&amp;IF($D228="","Sin responsable"&amp;" · ","")&amp;IF($E228="","Sin fecha de inicio"&amp;" · ","")&amp;IF($F228="","Sin fecha límite"&amp;" · ","")&amp;IF(OR(AND($E228&lt;&gt;"",NOT(ISNUMBER($E228))),AND($F228&lt;&gt;"",NOT(ISNUMBER($F228)))),"Fecha no válida"&amp;" · ","")&amp;IF(AND(ISNUMBER($E228),ISNUMBER($F228),$E228&gt;$F228),"Inicio posterior a fecha límite"&amp;" · ","")&amp;IF(AND($S228="Macro",$G228=""),"Peso vacío"&amp;" · ","")&amp;IF(AND($S228="Macro",$G228&lt;&gt;"",OR(NOT(ISNUMBER($G228)),$G228&lt;=0,$G228&gt;1)),"Peso fuera de rango"&amp;" · ","")&amp;IF(AND($S228="Sub",$G228&lt;&gt;""),"Las subactividades no llevan peso"&amp;" · ","")&amp;IF(AND($S228="Macro",ABS(SUMIFS($G$5:$G$1000,$P$5:$P$1000,$P228,$S$5:$S$1000,"Macro")-1)&gt;0.0001),"Pesos del mes suman "&amp;TEXT(SUMIFS($G$5:$G$1000,$P$5:$P$1000,$P228,$S$5:$S$1000,"Macro"),"0%")&amp;" · ","")&amp;IF(AND(N($T228)&gt;0,COUNT($H228:$K228)&gt;0),"Con subactividades: deje vacías las semanas (se calculan solas)"&amp;" · ","")&amp;IF((COUNTIF($H228:$K228,"&gt;1")+COUNTIF($H228:$K228,"&lt;0")+COUNTA($H228:$K228)-COUNT($H228:$K228))&gt;0,"Avance fuera de rango 0-100%"&amp;" · ","")&amp;IF(OR(AND($I228&lt;&gt;"",$I228&lt;$H228),AND($J228&lt;&gt;"",$J228&lt;MAX($H228:$I228)),AND($K228&lt;&gt;"",$K228&lt;MAX($H228:$J228))),"Avance semanal decreciente"&amp;" · ","")&amp;IF(AND(ISNUMBER($F228),$F228&lt;FechaRef,N($L228)&lt;1),"Vencida"&amp;" · ","")&amp;IF(AND(ObsObligatoria="Sí",ISNUMBER($F228),$F228&lt;FechaRef,N($L228)&lt;1,$N228=""),"Vencida sin observación"&amp;" · ",""))-3)))</f>
        <v/>
      </c>
      <c r="P228" s="69">
        <f>IF(NOT((COUNTA($B228:$K228)+COUNTA($N228))&gt;0),"",IF(AND($S228="Sub",N($R228)&gt;0),IF(ISNUMBER(INDEX($E$5:$E$1000,$R228-4)),DATE(YEAR(INDEX($E$5:$E$1000,$R228-4)),MONTH(INDEX($E$5:$E$1000,$R228-4)),1),IF(ISNUMBER(INDEX($F$5:$F$1000,$R228-4)),DATE(YEAR(INDEX($F$5:$F$1000,$R228-4)),MONTH(INDEX($F$5:$F$1000,$R228-4)),1),MesCiclo)),IF(ISNUMBER($E228),DATE(YEAR($E228),MONTH($E228),1),IF(ISNUMBER($F228),DATE(YEAR($F228),MONTH($F228),1),MesCiclo))))</f>
        <v/>
      </c>
      <c r="Q228" s="70">
        <f>IF(OR($P228="",$P228&lt;&gt;MesCiclo),"",COUNTIF($P$5:$P228,MesCiclo))</f>
        <v/>
      </c>
      <c r="R228" s="70">
        <f>IF($S228="","",IF($S228="Macro",ROW(),IFERROR(LOOKUP(2,1/($S$5:$S228="Macro"),ROW($S$5:$S228)),0)))</f>
        <v/>
      </c>
      <c r="S228" s="70">
        <f>IF(NOT((COUNTA($B228:$K228)+COUNTA($N228))&gt;0),"",IF($B228&lt;&gt;"","Macro",IF($C228&lt;&gt;"","Sub","Macro")))</f>
        <v/>
      </c>
      <c r="T228" s="70">
        <f>IF($S228="Macro",COUNTIFS($R$5:$R$1000,ROW(),$S$5:$S$1000,"Sub"),"")</f>
        <v/>
      </c>
      <c r="U228" s="70">
        <f>IF($S228="","",IF(ISNUMBER($H228),$H228,0))</f>
        <v/>
      </c>
      <c r="V228" s="70">
        <f>IF($S228="","",IF(ISNUMBER($I228),$I228,$U228))</f>
        <v/>
      </c>
      <c r="W228" s="70">
        <f>IF($S228="","",IF(ISNUMBER($J228),$J228,$V228))</f>
        <v/>
      </c>
      <c r="X228" s="70">
        <f>IF($S228="","",IF(ISNUMBER($K228),$K228,$W228))</f>
        <v/>
      </c>
      <c r="Y228" s="70">
        <f>IF($S228="","",IF(N($T228)&gt;0,AVERAGEIFS($U$5:$U$1000,$R$5:$R$1000,ROW(),$S$5:$S$1000,"Sub"),$U228))</f>
        <v/>
      </c>
      <c r="Z228" s="70">
        <f>IF($S228="","",IF(N($T228)&gt;0,AVERAGEIFS($V$5:$V$1000,$R$5:$R$1000,ROW(),$S$5:$S$1000,"Sub"),$V228))</f>
        <v/>
      </c>
      <c r="AA228" s="70">
        <f>IF($S228="","",IF(N($T228)&gt;0,AVERAGEIFS($W$5:$W$1000,$R$5:$R$1000,ROW(),$S$5:$S$1000,"Sub"),$W228))</f>
        <v/>
      </c>
      <c r="AB228" s="70">
        <f>IF($S228="","",IF(N($T228)&gt;0,AVERAGEIFS($X$5:$X$1000,$R$5:$R$1000,ROW(),$S$5:$S$1000,"Sub"),$X228))</f>
        <v/>
      </c>
    </row>
    <row r="229">
      <c r="A229" s="61">
        <f>IF(NOT((COUNTA($B229:$K229)+COUNTA($N229))&gt;0),"",IF($S229="Macro",COUNTIFS($S$5:$S229,"Macro",$P$5:$P229,$P229),IF(N($R229)=0,"?",COUNTIFS(INDEX($S$5:$S$1000,1):INDEX($S$5:$S$1000,$R229-4),"Macro",INDEX($P$5:$P$1000,1):INDEX($P$5:$P$1000,$R229-4),INDEX($P$5:$P$1000,$R229-4))&amp;"."&amp;COUNTIFS($R$5:$R229,$R229,$S$5:$S229,"Sub"))))</f>
        <v/>
      </c>
      <c r="B229" s="62" t="n"/>
      <c r="C229" s="63" t="n"/>
      <c r="D229" s="62" t="n"/>
      <c r="E229" s="64" t="n"/>
      <c r="F229" s="64" t="n"/>
      <c r="G229" s="65" t="n"/>
      <c r="H229" s="66" t="n"/>
      <c r="I229" s="66" t="n"/>
      <c r="J229" s="66" t="n"/>
      <c r="K229" s="66" t="n"/>
      <c r="L229" s="67">
        <f>IF(NOT((COUNTA($B229:$K229)+COUNTA($N229))&gt;0),"",IF(N($T229)&gt;0,$AB229,IFERROR(LOOKUP(2,1/(H229:K229&lt;&gt;""),H229:K229),0)))</f>
        <v/>
      </c>
      <c r="M229" s="61">
        <f>IF(L229="","",IF(L229&gt;=1,"Completado",IF(L229&gt;0,"En curso","Pendiente")))</f>
        <v/>
      </c>
      <c r="N229" s="62" t="n"/>
      <c r="O229" s="68">
        <f>IF(NOT((COUNTA($B229:$K229)+COUNTA($N229))&gt;0),"",IF((IF(AND($S229="Macro",$B229=""),"Macroactividad vacía"&amp;" · ","")&amp;IF(AND($B229&lt;&gt;"",$C229&lt;&gt;""),"Escriba la subactividad en otra fila, debajo de su macroactividad"&amp;" · ","")&amp;IF(AND($S229="Sub",N($R229)=0),"Subactividad sin macroactividad arriba"&amp;" · ","")&amp;IF($D229="","Sin responsable"&amp;" · ","")&amp;IF($E229="","Sin fecha de inicio"&amp;" · ","")&amp;IF($F229="","Sin fecha límite"&amp;" · ","")&amp;IF(OR(AND($E229&lt;&gt;"",NOT(ISNUMBER($E229))),AND($F229&lt;&gt;"",NOT(ISNUMBER($F229)))),"Fecha no válida"&amp;" · ","")&amp;IF(AND(ISNUMBER($E229),ISNUMBER($F229),$E229&gt;$F229),"Inicio posterior a fecha límite"&amp;" · ","")&amp;IF(AND($S229="Macro",$G229=""),"Peso vacío"&amp;" · ","")&amp;IF(AND($S229="Macro",$G229&lt;&gt;"",OR(NOT(ISNUMBER($G229)),$G229&lt;=0,$G229&gt;1)),"Peso fuera de rango"&amp;" · ","")&amp;IF(AND($S229="Sub",$G229&lt;&gt;""),"Las subactividades no llevan peso"&amp;" · ","")&amp;IF(AND($S229="Macro",ABS(SUMIFS($G$5:$G$1000,$P$5:$P$1000,$P229,$S$5:$S$1000,"Macro")-1)&gt;0.0001),"Pesos del mes suman "&amp;TEXT(SUMIFS($G$5:$G$1000,$P$5:$P$1000,$P229,$S$5:$S$1000,"Macro"),"0%")&amp;" · ","")&amp;IF(AND(N($T229)&gt;0,COUNT($H229:$K229)&gt;0),"Con subactividades: deje vacías las semanas (se calculan solas)"&amp;" · ","")&amp;IF((COUNTIF($H229:$K229,"&gt;1")+COUNTIF($H229:$K229,"&lt;0")+COUNTA($H229:$K229)-COUNT($H229:$K229))&gt;0,"Avance fuera de rango 0-100%"&amp;" · ","")&amp;IF(OR(AND($I229&lt;&gt;"",$I229&lt;$H229),AND($J229&lt;&gt;"",$J229&lt;MAX($H229:$I229)),AND($K229&lt;&gt;"",$K229&lt;MAX($H229:$J229))),"Avance semanal decreciente"&amp;" · ","")&amp;IF(AND(ISNUMBER($F229),$F229&lt;FechaRef,N($L229)&lt;1),"Vencida"&amp;" · ","")&amp;IF(AND(ObsObligatoria="Sí",ISNUMBER($F229),$F229&lt;FechaRef,N($L229)&lt;1,$N229=""),"Vencida sin observación"&amp;" · ",""))="","✔ OK","⚠ "&amp;LEFT(IF(AND($S229="Macro",$B229=""),"Macroactividad vacía"&amp;" · ","")&amp;IF(AND($B229&lt;&gt;"",$C229&lt;&gt;""),"Escriba la subactividad en otra fila, debajo de su macroactividad"&amp;" · ","")&amp;IF(AND($S229="Sub",N($R229)=0),"Subactividad sin macroactividad arriba"&amp;" · ","")&amp;IF($D229="","Sin responsable"&amp;" · ","")&amp;IF($E229="","Sin fecha de inicio"&amp;" · ","")&amp;IF($F229="","Sin fecha límite"&amp;" · ","")&amp;IF(OR(AND($E229&lt;&gt;"",NOT(ISNUMBER($E229))),AND($F229&lt;&gt;"",NOT(ISNUMBER($F229)))),"Fecha no válida"&amp;" · ","")&amp;IF(AND(ISNUMBER($E229),ISNUMBER($F229),$E229&gt;$F229),"Inicio posterior a fecha límite"&amp;" · ","")&amp;IF(AND($S229="Macro",$G229=""),"Peso vacío"&amp;" · ","")&amp;IF(AND($S229="Macro",$G229&lt;&gt;"",OR(NOT(ISNUMBER($G229)),$G229&lt;=0,$G229&gt;1)),"Peso fuera de rango"&amp;" · ","")&amp;IF(AND($S229="Sub",$G229&lt;&gt;""),"Las subactividades no llevan peso"&amp;" · ","")&amp;IF(AND($S229="Macro",ABS(SUMIFS($G$5:$G$1000,$P$5:$P$1000,$P229,$S$5:$S$1000,"Macro")-1)&gt;0.0001),"Pesos del mes suman "&amp;TEXT(SUMIFS($G$5:$G$1000,$P$5:$P$1000,$P229,$S$5:$S$1000,"Macro"),"0%")&amp;" · ","")&amp;IF(AND(N($T229)&gt;0,COUNT($H229:$K229)&gt;0),"Con subactividades: deje vacías las semanas (se calculan solas)"&amp;" · ","")&amp;IF((COUNTIF($H229:$K229,"&gt;1")+COUNTIF($H229:$K229,"&lt;0")+COUNTA($H229:$K229)-COUNT($H229:$K229))&gt;0,"Avance fuera de rango 0-100%"&amp;" · ","")&amp;IF(OR(AND($I229&lt;&gt;"",$I229&lt;$H229),AND($J229&lt;&gt;"",$J229&lt;MAX($H229:$I229)),AND($K229&lt;&gt;"",$K229&lt;MAX($H229:$J229))),"Avance semanal decreciente"&amp;" · ","")&amp;IF(AND(ISNUMBER($F229),$F229&lt;FechaRef,N($L229)&lt;1),"Vencida"&amp;" · ","")&amp;IF(AND(ObsObligatoria="Sí",ISNUMBER($F229),$F229&lt;FechaRef,N($L229)&lt;1,$N229=""),"Vencida sin observación"&amp;" · ",""),LEN(IF(AND($S229="Macro",$B229=""),"Macroactividad vacía"&amp;" · ","")&amp;IF(AND($B229&lt;&gt;"",$C229&lt;&gt;""),"Escriba la subactividad en otra fila, debajo de su macroactividad"&amp;" · ","")&amp;IF(AND($S229="Sub",N($R229)=0),"Subactividad sin macroactividad arriba"&amp;" · ","")&amp;IF($D229="","Sin responsable"&amp;" · ","")&amp;IF($E229="","Sin fecha de inicio"&amp;" · ","")&amp;IF($F229="","Sin fecha límite"&amp;" · ","")&amp;IF(OR(AND($E229&lt;&gt;"",NOT(ISNUMBER($E229))),AND($F229&lt;&gt;"",NOT(ISNUMBER($F229)))),"Fecha no válida"&amp;" · ","")&amp;IF(AND(ISNUMBER($E229),ISNUMBER($F229),$E229&gt;$F229),"Inicio posterior a fecha límite"&amp;" · ","")&amp;IF(AND($S229="Macro",$G229=""),"Peso vacío"&amp;" · ","")&amp;IF(AND($S229="Macro",$G229&lt;&gt;"",OR(NOT(ISNUMBER($G229)),$G229&lt;=0,$G229&gt;1)),"Peso fuera de rango"&amp;" · ","")&amp;IF(AND($S229="Sub",$G229&lt;&gt;""),"Las subactividades no llevan peso"&amp;" · ","")&amp;IF(AND($S229="Macro",ABS(SUMIFS($G$5:$G$1000,$P$5:$P$1000,$P229,$S$5:$S$1000,"Macro")-1)&gt;0.0001),"Pesos del mes suman "&amp;TEXT(SUMIFS($G$5:$G$1000,$P$5:$P$1000,$P229,$S$5:$S$1000,"Macro"),"0%")&amp;" · ","")&amp;IF(AND(N($T229)&gt;0,COUNT($H229:$K229)&gt;0),"Con subactividades: deje vacías las semanas (se calculan solas)"&amp;" · ","")&amp;IF((COUNTIF($H229:$K229,"&gt;1")+COUNTIF($H229:$K229,"&lt;0")+COUNTA($H229:$K229)-COUNT($H229:$K229))&gt;0,"Avance fuera de rango 0-100%"&amp;" · ","")&amp;IF(OR(AND($I229&lt;&gt;"",$I229&lt;$H229),AND($J229&lt;&gt;"",$J229&lt;MAX($H229:$I229)),AND($K229&lt;&gt;"",$K229&lt;MAX($H229:$J229))),"Avance semanal decreciente"&amp;" · ","")&amp;IF(AND(ISNUMBER($F229),$F229&lt;FechaRef,N($L229)&lt;1),"Vencida"&amp;" · ","")&amp;IF(AND(ObsObligatoria="Sí",ISNUMBER($F229),$F229&lt;FechaRef,N($L229)&lt;1,$N229=""),"Vencida sin observación"&amp;" · ",""))-3)))</f>
        <v/>
      </c>
      <c r="P229" s="69">
        <f>IF(NOT((COUNTA($B229:$K229)+COUNTA($N229))&gt;0),"",IF(AND($S229="Sub",N($R229)&gt;0),IF(ISNUMBER(INDEX($E$5:$E$1000,$R229-4)),DATE(YEAR(INDEX($E$5:$E$1000,$R229-4)),MONTH(INDEX($E$5:$E$1000,$R229-4)),1),IF(ISNUMBER(INDEX($F$5:$F$1000,$R229-4)),DATE(YEAR(INDEX($F$5:$F$1000,$R229-4)),MONTH(INDEX($F$5:$F$1000,$R229-4)),1),MesCiclo)),IF(ISNUMBER($E229),DATE(YEAR($E229),MONTH($E229),1),IF(ISNUMBER($F229),DATE(YEAR($F229),MONTH($F229),1),MesCiclo))))</f>
        <v/>
      </c>
      <c r="Q229" s="70">
        <f>IF(OR($P229="",$P229&lt;&gt;MesCiclo),"",COUNTIF($P$5:$P229,MesCiclo))</f>
        <v/>
      </c>
      <c r="R229" s="70">
        <f>IF($S229="","",IF($S229="Macro",ROW(),IFERROR(LOOKUP(2,1/($S$5:$S229="Macro"),ROW($S$5:$S229)),0)))</f>
        <v/>
      </c>
      <c r="S229" s="70">
        <f>IF(NOT((COUNTA($B229:$K229)+COUNTA($N229))&gt;0),"",IF($B229&lt;&gt;"","Macro",IF($C229&lt;&gt;"","Sub","Macro")))</f>
        <v/>
      </c>
      <c r="T229" s="70">
        <f>IF($S229="Macro",COUNTIFS($R$5:$R$1000,ROW(),$S$5:$S$1000,"Sub"),"")</f>
        <v/>
      </c>
      <c r="U229" s="70">
        <f>IF($S229="","",IF(ISNUMBER($H229),$H229,0))</f>
        <v/>
      </c>
      <c r="V229" s="70">
        <f>IF($S229="","",IF(ISNUMBER($I229),$I229,$U229))</f>
        <v/>
      </c>
      <c r="W229" s="70">
        <f>IF($S229="","",IF(ISNUMBER($J229),$J229,$V229))</f>
        <v/>
      </c>
      <c r="X229" s="70">
        <f>IF($S229="","",IF(ISNUMBER($K229),$K229,$W229))</f>
        <v/>
      </c>
      <c r="Y229" s="70">
        <f>IF($S229="","",IF(N($T229)&gt;0,AVERAGEIFS($U$5:$U$1000,$R$5:$R$1000,ROW(),$S$5:$S$1000,"Sub"),$U229))</f>
        <v/>
      </c>
      <c r="Z229" s="70">
        <f>IF($S229="","",IF(N($T229)&gt;0,AVERAGEIFS($V$5:$V$1000,$R$5:$R$1000,ROW(),$S$5:$S$1000,"Sub"),$V229))</f>
        <v/>
      </c>
      <c r="AA229" s="70">
        <f>IF($S229="","",IF(N($T229)&gt;0,AVERAGEIFS($W$5:$W$1000,$R$5:$R$1000,ROW(),$S$5:$S$1000,"Sub"),$W229))</f>
        <v/>
      </c>
      <c r="AB229" s="70">
        <f>IF($S229="","",IF(N($T229)&gt;0,AVERAGEIFS($X$5:$X$1000,$R$5:$R$1000,ROW(),$S$5:$S$1000,"Sub"),$X229))</f>
        <v/>
      </c>
    </row>
    <row r="230">
      <c r="A230" s="61">
        <f>IF(NOT((COUNTA($B230:$K230)+COUNTA($N230))&gt;0),"",IF($S230="Macro",COUNTIFS($S$5:$S230,"Macro",$P$5:$P230,$P230),IF(N($R230)=0,"?",COUNTIFS(INDEX($S$5:$S$1000,1):INDEX($S$5:$S$1000,$R230-4),"Macro",INDEX($P$5:$P$1000,1):INDEX($P$5:$P$1000,$R230-4),INDEX($P$5:$P$1000,$R230-4))&amp;"."&amp;COUNTIFS($R$5:$R230,$R230,$S$5:$S230,"Sub"))))</f>
        <v/>
      </c>
      <c r="B230" s="62" t="n"/>
      <c r="C230" s="63" t="n"/>
      <c r="D230" s="62" t="n"/>
      <c r="E230" s="64" t="n"/>
      <c r="F230" s="64" t="n"/>
      <c r="G230" s="65" t="n"/>
      <c r="H230" s="66" t="n"/>
      <c r="I230" s="66" t="n"/>
      <c r="J230" s="66" t="n"/>
      <c r="K230" s="66" t="n"/>
      <c r="L230" s="67">
        <f>IF(NOT((COUNTA($B230:$K230)+COUNTA($N230))&gt;0),"",IF(N($T230)&gt;0,$AB230,IFERROR(LOOKUP(2,1/(H230:K230&lt;&gt;""),H230:K230),0)))</f>
        <v/>
      </c>
      <c r="M230" s="61">
        <f>IF(L230="","",IF(L230&gt;=1,"Completado",IF(L230&gt;0,"En curso","Pendiente")))</f>
        <v/>
      </c>
      <c r="N230" s="62" t="n"/>
      <c r="O230" s="68">
        <f>IF(NOT((COUNTA($B230:$K230)+COUNTA($N230))&gt;0),"",IF((IF(AND($S230="Macro",$B230=""),"Macroactividad vacía"&amp;" · ","")&amp;IF(AND($B230&lt;&gt;"",$C230&lt;&gt;""),"Escriba la subactividad en otra fila, debajo de su macroactividad"&amp;" · ","")&amp;IF(AND($S230="Sub",N($R230)=0),"Subactividad sin macroactividad arriba"&amp;" · ","")&amp;IF($D230="","Sin responsable"&amp;" · ","")&amp;IF($E230="","Sin fecha de inicio"&amp;" · ","")&amp;IF($F230="","Sin fecha límite"&amp;" · ","")&amp;IF(OR(AND($E230&lt;&gt;"",NOT(ISNUMBER($E230))),AND($F230&lt;&gt;"",NOT(ISNUMBER($F230)))),"Fecha no válida"&amp;" · ","")&amp;IF(AND(ISNUMBER($E230),ISNUMBER($F230),$E230&gt;$F230),"Inicio posterior a fecha límite"&amp;" · ","")&amp;IF(AND($S230="Macro",$G230=""),"Peso vacío"&amp;" · ","")&amp;IF(AND($S230="Macro",$G230&lt;&gt;"",OR(NOT(ISNUMBER($G230)),$G230&lt;=0,$G230&gt;1)),"Peso fuera de rango"&amp;" · ","")&amp;IF(AND($S230="Sub",$G230&lt;&gt;""),"Las subactividades no llevan peso"&amp;" · ","")&amp;IF(AND($S230="Macro",ABS(SUMIFS($G$5:$G$1000,$P$5:$P$1000,$P230,$S$5:$S$1000,"Macro")-1)&gt;0.0001),"Pesos del mes suman "&amp;TEXT(SUMIFS($G$5:$G$1000,$P$5:$P$1000,$P230,$S$5:$S$1000,"Macro"),"0%")&amp;" · ","")&amp;IF(AND(N($T230)&gt;0,COUNT($H230:$K230)&gt;0),"Con subactividades: deje vacías las semanas (se calculan solas)"&amp;" · ","")&amp;IF((COUNTIF($H230:$K230,"&gt;1")+COUNTIF($H230:$K230,"&lt;0")+COUNTA($H230:$K230)-COUNT($H230:$K230))&gt;0,"Avance fuera de rango 0-100%"&amp;" · ","")&amp;IF(OR(AND($I230&lt;&gt;"",$I230&lt;$H230),AND($J230&lt;&gt;"",$J230&lt;MAX($H230:$I230)),AND($K230&lt;&gt;"",$K230&lt;MAX($H230:$J230))),"Avance semanal decreciente"&amp;" · ","")&amp;IF(AND(ISNUMBER($F230),$F230&lt;FechaRef,N($L230)&lt;1),"Vencida"&amp;" · ","")&amp;IF(AND(ObsObligatoria="Sí",ISNUMBER($F230),$F230&lt;FechaRef,N($L230)&lt;1,$N230=""),"Vencida sin observación"&amp;" · ",""))="","✔ OK","⚠ "&amp;LEFT(IF(AND($S230="Macro",$B230=""),"Macroactividad vacía"&amp;" · ","")&amp;IF(AND($B230&lt;&gt;"",$C230&lt;&gt;""),"Escriba la subactividad en otra fila, debajo de su macroactividad"&amp;" · ","")&amp;IF(AND($S230="Sub",N($R230)=0),"Subactividad sin macroactividad arriba"&amp;" · ","")&amp;IF($D230="","Sin responsable"&amp;" · ","")&amp;IF($E230="","Sin fecha de inicio"&amp;" · ","")&amp;IF($F230="","Sin fecha límite"&amp;" · ","")&amp;IF(OR(AND($E230&lt;&gt;"",NOT(ISNUMBER($E230))),AND($F230&lt;&gt;"",NOT(ISNUMBER($F230)))),"Fecha no válida"&amp;" · ","")&amp;IF(AND(ISNUMBER($E230),ISNUMBER($F230),$E230&gt;$F230),"Inicio posterior a fecha límite"&amp;" · ","")&amp;IF(AND($S230="Macro",$G230=""),"Peso vacío"&amp;" · ","")&amp;IF(AND($S230="Macro",$G230&lt;&gt;"",OR(NOT(ISNUMBER($G230)),$G230&lt;=0,$G230&gt;1)),"Peso fuera de rango"&amp;" · ","")&amp;IF(AND($S230="Sub",$G230&lt;&gt;""),"Las subactividades no llevan peso"&amp;" · ","")&amp;IF(AND($S230="Macro",ABS(SUMIFS($G$5:$G$1000,$P$5:$P$1000,$P230,$S$5:$S$1000,"Macro")-1)&gt;0.0001),"Pesos del mes suman "&amp;TEXT(SUMIFS($G$5:$G$1000,$P$5:$P$1000,$P230,$S$5:$S$1000,"Macro"),"0%")&amp;" · ","")&amp;IF(AND(N($T230)&gt;0,COUNT($H230:$K230)&gt;0),"Con subactividades: deje vacías las semanas (se calculan solas)"&amp;" · ","")&amp;IF((COUNTIF($H230:$K230,"&gt;1")+COUNTIF($H230:$K230,"&lt;0")+COUNTA($H230:$K230)-COUNT($H230:$K230))&gt;0,"Avance fuera de rango 0-100%"&amp;" · ","")&amp;IF(OR(AND($I230&lt;&gt;"",$I230&lt;$H230),AND($J230&lt;&gt;"",$J230&lt;MAX($H230:$I230)),AND($K230&lt;&gt;"",$K230&lt;MAX($H230:$J230))),"Avance semanal decreciente"&amp;" · ","")&amp;IF(AND(ISNUMBER($F230),$F230&lt;FechaRef,N($L230)&lt;1),"Vencida"&amp;" · ","")&amp;IF(AND(ObsObligatoria="Sí",ISNUMBER($F230),$F230&lt;FechaRef,N($L230)&lt;1,$N230=""),"Vencida sin observación"&amp;" · ",""),LEN(IF(AND($S230="Macro",$B230=""),"Macroactividad vacía"&amp;" · ","")&amp;IF(AND($B230&lt;&gt;"",$C230&lt;&gt;""),"Escriba la subactividad en otra fila, debajo de su macroactividad"&amp;" · ","")&amp;IF(AND($S230="Sub",N($R230)=0),"Subactividad sin macroactividad arriba"&amp;" · ","")&amp;IF($D230="","Sin responsable"&amp;" · ","")&amp;IF($E230="","Sin fecha de inicio"&amp;" · ","")&amp;IF($F230="","Sin fecha límite"&amp;" · ","")&amp;IF(OR(AND($E230&lt;&gt;"",NOT(ISNUMBER($E230))),AND($F230&lt;&gt;"",NOT(ISNUMBER($F230)))),"Fecha no válida"&amp;" · ","")&amp;IF(AND(ISNUMBER($E230),ISNUMBER($F230),$E230&gt;$F230),"Inicio posterior a fecha límite"&amp;" · ","")&amp;IF(AND($S230="Macro",$G230=""),"Peso vacío"&amp;" · ","")&amp;IF(AND($S230="Macro",$G230&lt;&gt;"",OR(NOT(ISNUMBER($G230)),$G230&lt;=0,$G230&gt;1)),"Peso fuera de rango"&amp;" · ","")&amp;IF(AND($S230="Sub",$G230&lt;&gt;""),"Las subactividades no llevan peso"&amp;" · ","")&amp;IF(AND($S230="Macro",ABS(SUMIFS($G$5:$G$1000,$P$5:$P$1000,$P230,$S$5:$S$1000,"Macro")-1)&gt;0.0001),"Pesos del mes suman "&amp;TEXT(SUMIFS($G$5:$G$1000,$P$5:$P$1000,$P230,$S$5:$S$1000,"Macro"),"0%")&amp;" · ","")&amp;IF(AND(N($T230)&gt;0,COUNT($H230:$K230)&gt;0),"Con subactividades: deje vacías las semanas (se calculan solas)"&amp;" · ","")&amp;IF((COUNTIF($H230:$K230,"&gt;1")+COUNTIF($H230:$K230,"&lt;0")+COUNTA($H230:$K230)-COUNT($H230:$K230))&gt;0,"Avance fuera de rango 0-100%"&amp;" · ","")&amp;IF(OR(AND($I230&lt;&gt;"",$I230&lt;$H230),AND($J230&lt;&gt;"",$J230&lt;MAX($H230:$I230)),AND($K230&lt;&gt;"",$K230&lt;MAX($H230:$J230))),"Avance semanal decreciente"&amp;" · ","")&amp;IF(AND(ISNUMBER($F230),$F230&lt;FechaRef,N($L230)&lt;1),"Vencida"&amp;" · ","")&amp;IF(AND(ObsObligatoria="Sí",ISNUMBER($F230),$F230&lt;FechaRef,N($L230)&lt;1,$N230=""),"Vencida sin observación"&amp;" · ",""))-3)))</f>
        <v/>
      </c>
      <c r="P230" s="69">
        <f>IF(NOT((COUNTA($B230:$K230)+COUNTA($N230))&gt;0),"",IF(AND($S230="Sub",N($R230)&gt;0),IF(ISNUMBER(INDEX($E$5:$E$1000,$R230-4)),DATE(YEAR(INDEX($E$5:$E$1000,$R230-4)),MONTH(INDEX($E$5:$E$1000,$R230-4)),1),IF(ISNUMBER(INDEX($F$5:$F$1000,$R230-4)),DATE(YEAR(INDEX($F$5:$F$1000,$R230-4)),MONTH(INDEX($F$5:$F$1000,$R230-4)),1),MesCiclo)),IF(ISNUMBER($E230),DATE(YEAR($E230),MONTH($E230),1),IF(ISNUMBER($F230),DATE(YEAR($F230),MONTH($F230),1),MesCiclo))))</f>
        <v/>
      </c>
      <c r="Q230" s="70">
        <f>IF(OR($P230="",$P230&lt;&gt;MesCiclo),"",COUNTIF($P$5:$P230,MesCiclo))</f>
        <v/>
      </c>
      <c r="R230" s="70">
        <f>IF($S230="","",IF($S230="Macro",ROW(),IFERROR(LOOKUP(2,1/($S$5:$S230="Macro"),ROW($S$5:$S230)),0)))</f>
        <v/>
      </c>
      <c r="S230" s="70">
        <f>IF(NOT((COUNTA($B230:$K230)+COUNTA($N230))&gt;0),"",IF($B230&lt;&gt;"","Macro",IF($C230&lt;&gt;"","Sub","Macro")))</f>
        <v/>
      </c>
      <c r="T230" s="70">
        <f>IF($S230="Macro",COUNTIFS($R$5:$R$1000,ROW(),$S$5:$S$1000,"Sub"),"")</f>
        <v/>
      </c>
      <c r="U230" s="70">
        <f>IF($S230="","",IF(ISNUMBER($H230),$H230,0))</f>
        <v/>
      </c>
      <c r="V230" s="70">
        <f>IF($S230="","",IF(ISNUMBER($I230),$I230,$U230))</f>
        <v/>
      </c>
      <c r="W230" s="70">
        <f>IF($S230="","",IF(ISNUMBER($J230),$J230,$V230))</f>
        <v/>
      </c>
      <c r="X230" s="70">
        <f>IF($S230="","",IF(ISNUMBER($K230),$K230,$W230))</f>
        <v/>
      </c>
      <c r="Y230" s="70">
        <f>IF($S230="","",IF(N($T230)&gt;0,AVERAGEIFS($U$5:$U$1000,$R$5:$R$1000,ROW(),$S$5:$S$1000,"Sub"),$U230))</f>
        <v/>
      </c>
      <c r="Z230" s="70">
        <f>IF($S230="","",IF(N($T230)&gt;0,AVERAGEIFS($V$5:$V$1000,$R$5:$R$1000,ROW(),$S$5:$S$1000,"Sub"),$V230))</f>
        <v/>
      </c>
      <c r="AA230" s="70">
        <f>IF($S230="","",IF(N($T230)&gt;0,AVERAGEIFS($W$5:$W$1000,$R$5:$R$1000,ROW(),$S$5:$S$1000,"Sub"),$W230))</f>
        <v/>
      </c>
      <c r="AB230" s="70">
        <f>IF($S230="","",IF(N($T230)&gt;0,AVERAGEIFS($X$5:$X$1000,$R$5:$R$1000,ROW(),$S$5:$S$1000,"Sub"),$X230))</f>
        <v/>
      </c>
    </row>
    <row r="231">
      <c r="A231" s="61">
        <f>IF(NOT((COUNTA($B231:$K231)+COUNTA($N231))&gt;0),"",IF($S231="Macro",COUNTIFS($S$5:$S231,"Macro",$P$5:$P231,$P231),IF(N($R231)=0,"?",COUNTIFS(INDEX($S$5:$S$1000,1):INDEX($S$5:$S$1000,$R231-4),"Macro",INDEX($P$5:$P$1000,1):INDEX($P$5:$P$1000,$R231-4),INDEX($P$5:$P$1000,$R231-4))&amp;"."&amp;COUNTIFS($R$5:$R231,$R231,$S$5:$S231,"Sub"))))</f>
        <v/>
      </c>
      <c r="B231" s="62" t="n"/>
      <c r="C231" s="63" t="n"/>
      <c r="D231" s="62" t="n"/>
      <c r="E231" s="64" t="n"/>
      <c r="F231" s="64" t="n"/>
      <c r="G231" s="65" t="n"/>
      <c r="H231" s="66" t="n"/>
      <c r="I231" s="66" t="n"/>
      <c r="J231" s="66" t="n"/>
      <c r="K231" s="66" t="n"/>
      <c r="L231" s="67">
        <f>IF(NOT((COUNTA($B231:$K231)+COUNTA($N231))&gt;0),"",IF(N($T231)&gt;0,$AB231,IFERROR(LOOKUP(2,1/(H231:K231&lt;&gt;""),H231:K231),0)))</f>
        <v/>
      </c>
      <c r="M231" s="61">
        <f>IF(L231="","",IF(L231&gt;=1,"Completado",IF(L231&gt;0,"En curso","Pendiente")))</f>
        <v/>
      </c>
      <c r="N231" s="62" t="n"/>
      <c r="O231" s="68">
        <f>IF(NOT((COUNTA($B231:$K231)+COUNTA($N231))&gt;0),"",IF((IF(AND($S231="Macro",$B231=""),"Macroactividad vacía"&amp;" · ","")&amp;IF(AND($B231&lt;&gt;"",$C231&lt;&gt;""),"Escriba la subactividad en otra fila, debajo de su macroactividad"&amp;" · ","")&amp;IF(AND($S231="Sub",N($R231)=0),"Subactividad sin macroactividad arriba"&amp;" · ","")&amp;IF($D231="","Sin responsable"&amp;" · ","")&amp;IF($E231="","Sin fecha de inicio"&amp;" · ","")&amp;IF($F231="","Sin fecha límite"&amp;" · ","")&amp;IF(OR(AND($E231&lt;&gt;"",NOT(ISNUMBER($E231))),AND($F231&lt;&gt;"",NOT(ISNUMBER($F231)))),"Fecha no válida"&amp;" · ","")&amp;IF(AND(ISNUMBER($E231),ISNUMBER($F231),$E231&gt;$F231),"Inicio posterior a fecha límite"&amp;" · ","")&amp;IF(AND($S231="Macro",$G231=""),"Peso vacío"&amp;" · ","")&amp;IF(AND($S231="Macro",$G231&lt;&gt;"",OR(NOT(ISNUMBER($G231)),$G231&lt;=0,$G231&gt;1)),"Peso fuera de rango"&amp;" · ","")&amp;IF(AND($S231="Sub",$G231&lt;&gt;""),"Las subactividades no llevan peso"&amp;" · ","")&amp;IF(AND($S231="Macro",ABS(SUMIFS($G$5:$G$1000,$P$5:$P$1000,$P231,$S$5:$S$1000,"Macro")-1)&gt;0.0001),"Pesos del mes suman "&amp;TEXT(SUMIFS($G$5:$G$1000,$P$5:$P$1000,$P231,$S$5:$S$1000,"Macro"),"0%")&amp;" · ","")&amp;IF(AND(N($T231)&gt;0,COUNT($H231:$K231)&gt;0),"Con subactividades: deje vacías las semanas (se calculan solas)"&amp;" · ","")&amp;IF((COUNTIF($H231:$K231,"&gt;1")+COUNTIF($H231:$K231,"&lt;0")+COUNTA($H231:$K231)-COUNT($H231:$K231))&gt;0,"Avance fuera de rango 0-100%"&amp;" · ","")&amp;IF(OR(AND($I231&lt;&gt;"",$I231&lt;$H231),AND($J231&lt;&gt;"",$J231&lt;MAX($H231:$I231)),AND($K231&lt;&gt;"",$K231&lt;MAX($H231:$J231))),"Avance semanal decreciente"&amp;" · ","")&amp;IF(AND(ISNUMBER($F231),$F231&lt;FechaRef,N($L231)&lt;1),"Vencida"&amp;" · ","")&amp;IF(AND(ObsObligatoria="Sí",ISNUMBER($F231),$F231&lt;FechaRef,N($L231)&lt;1,$N231=""),"Vencida sin observación"&amp;" · ",""))="","✔ OK","⚠ "&amp;LEFT(IF(AND($S231="Macro",$B231=""),"Macroactividad vacía"&amp;" · ","")&amp;IF(AND($B231&lt;&gt;"",$C231&lt;&gt;""),"Escriba la subactividad en otra fila, debajo de su macroactividad"&amp;" · ","")&amp;IF(AND($S231="Sub",N($R231)=0),"Subactividad sin macroactividad arriba"&amp;" · ","")&amp;IF($D231="","Sin responsable"&amp;" · ","")&amp;IF($E231="","Sin fecha de inicio"&amp;" · ","")&amp;IF($F231="","Sin fecha límite"&amp;" · ","")&amp;IF(OR(AND($E231&lt;&gt;"",NOT(ISNUMBER($E231))),AND($F231&lt;&gt;"",NOT(ISNUMBER($F231)))),"Fecha no válida"&amp;" · ","")&amp;IF(AND(ISNUMBER($E231),ISNUMBER($F231),$E231&gt;$F231),"Inicio posterior a fecha límite"&amp;" · ","")&amp;IF(AND($S231="Macro",$G231=""),"Peso vacío"&amp;" · ","")&amp;IF(AND($S231="Macro",$G231&lt;&gt;"",OR(NOT(ISNUMBER($G231)),$G231&lt;=0,$G231&gt;1)),"Peso fuera de rango"&amp;" · ","")&amp;IF(AND($S231="Sub",$G231&lt;&gt;""),"Las subactividades no llevan peso"&amp;" · ","")&amp;IF(AND($S231="Macro",ABS(SUMIFS($G$5:$G$1000,$P$5:$P$1000,$P231,$S$5:$S$1000,"Macro")-1)&gt;0.0001),"Pesos del mes suman "&amp;TEXT(SUMIFS($G$5:$G$1000,$P$5:$P$1000,$P231,$S$5:$S$1000,"Macro"),"0%")&amp;" · ","")&amp;IF(AND(N($T231)&gt;0,COUNT($H231:$K231)&gt;0),"Con subactividades: deje vacías las semanas (se calculan solas)"&amp;" · ","")&amp;IF((COUNTIF($H231:$K231,"&gt;1")+COUNTIF($H231:$K231,"&lt;0")+COUNTA($H231:$K231)-COUNT($H231:$K231))&gt;0,"Avance fuera de rango 0-100%"&amp;" · ","")&amp;IF(OR(AND($I231&lt;&gt;"",$I231&lt;$H231),AND($J231&lt;&gt;"",$J231&lt;MAX($H231:$I231)),AND($K231&lt;&gt;"",$K231&lt;MAX($H231:$J231))),"Avance semanal decreciente"&amp;" · ","")&amp;IF(AND(ISNUMBER($F231),$F231&lt;FechaRef,N($L231)&lt;1),"Vencida"&amp;" · ","")&amp;IF(AND(ObsObligatoria="Sí",ISNUMBER($F231),$F231&lt;FechaRef,N($L231)&lt;1,$N231=""),"Vencida sin observación"&amp;" · ",""),LEN(IF(AND($S231="Macro",$B231=""),"Macroactividad vacía"&amp;" · ","")&amp;IF(AND($B231&lt;&gt;"",$C231&lt;&gt;""),"Escriba la subactividad en otra fila, debajo de su macroactividad"&amp;" · ","")&amp;IF(AND($S231="Sub",N($R231)=0),"Subactividad sin macroactividad arriba"&amp;" · ","")&amp;IF($D231="","Sin responsable"&amp;" · ","")&amp;IF($E231="","Sin fecha de inicio"&amp;" · ","")&amp;IF($F231="","Sin fecha límite"&amp;" · ","")&amp;IF(OR(AND($E231&lt;&gt;"",NOT(ISNUMBER($E231))),AND($F231&lt;&gt;"",NOT(ISNUMBER($F231)))),"Fecha no válida"&amp;" · ","")&amp;IF(AND(ISNUMBER($E231),ISNUMBER($F231),$E231&gt;$F231),"Inicio posterior a fecha límite"&amp;" · ","")&amp;IF(AND($S231="Macro",$G231=""),"Peso vacío"&amp;" · ","")&amp;IF(AND($S231="Macro",$G231&lt;&gt;"",OR(NOT(ISNUMBER($G231)),$G231&lt;=0,$G231&gt;1)),"Peso fuera de rango"&amp;" · ","")&amp;IF(AND($S231="Sub",$G231&lt;&gt;""),"Las subactividades no llevan peso"&amp;" · ","")&amp;IF(AND($S231="Macro",ABS(SUMIFS($G$5:$G$1000,$P$5:$P$1000,$P231,$S$5:$S$1000,"Macro")-1)&gt;0.0001),"Pesos del mes suman "&amp;TEXT(SUMIFS($G$5:$G$1000,$P$5:$P$1000,$P231,$S$5:$S$1000,"Macro"),"0%")&amp;" · ","")&amp;IF(AND(N($T231)&gt;0,COUNT($H231:$K231)&gt;0),"Con subactividades: deje vacías las semanas (se calculan solas)"&amp;" · ","")&amp;IF((COUNTIF($H231:$K231,"&gt;1")+COUNTIF($H231:$K231,"&lt;0")+COUNTA($H231:$K231)-COUNT($H231:$K231))&gt;0,"Avance fuera de rango 0-100%"&amp;" · ","")&amp;IF(OR(AND($I231&lt;&gt;"",$I231&lt;$H231),AND($J231&lt;&gt;"",$J231&lt;MAX($H231:$I231)),AND($K231&lt;&gt;"",$K231&lt;MAX($H231:$J231))),"Avance semanal decreciente"&amp;" · ","")&amp;IF(AND(ISNUMBER($F231),$F231&lt;FechaRef,N($L231)&lt;1),"Vencida"&amp;" · ","")&amp;IF(AND(ObsObligatoria="Sí",ISNUMBER($F231),$F231&lt;FechaRef,N($L231)&lt;1,$N231=""),"Vencida sin observación"&amp;" · ",""))-3)))</f>
        <v/>
      </c>
      <c r="P231" s="69">
        <f>IF(NOT((COUNTA($B231:$K231)+COUNTA($N231))&gt;0),"",IF(AND($S231="Sub",N($R231)&gt;0),IF(ISNUMBER(INDEX($E$5:$E$1000,$R231-4)),DATE(YEAR(INDEX($E$5:$E$1000,$R231-4)),MONTH(INDEX($E$5:$E$1000,$R231-4)),1),IF(ISNUMBER(INDEX($F$5:$F$1000,$R231-4)),DATE(YEAR(INDEX($F$5:$F$1000,$R231-4)),MONTH(INDEX($F$5:$F$1000,$R231-4)),1),MesCiclo)),IF(ISNUMBER($E231),DATE(YEAR($E231),MONTH($E231),1),IF(ISNUMBER($F231),DATE(YEAR($F231),MONTH($F231),1),MesCiclo))))</f>
        <v/>
      </c>
      <c r="Q231" s="70">
        <f>IF(OR($P231="",$P231&lt;&gt;MesCiclo),"",COUNTIF($P$5:$P231,MesCiclo))</f>
        <v/>
      </c>
      <c r="R231" s="70">
        <f>IF($S231="","",IF($S231="Macro",ROW(),IFERROR(LOOKUP(2,1/($S$5:$S231="Macro"),ROW($S$5:$S231)),0)))</f>
        <v/>
      </c>
      <c r="S231" s="70">
        <f>IF(NOT((COUNTA($B231:$K231)+COUNTA($N231))&gt;0),"",IF($B231&lt;&gt;"","Macro",IF($C231&lt;&gt;"","Sub","Macro")))</f>
        <v/>
      </c>
      <c r="T231" s="70">
        <f>IF($S231="Macro",COUNTIFS($R$5:$R$1000,ROW(),$S$5:$S$1000,"Sub"),"")</f>
        <v/>
      </c>
      <c r="U231" s="70">
        <f>IF($S231="","",IF(ISNUMBER($H231),$H231,0))</f>
        <v/>
      </c>
      <c r="V231" s="70">
        <f>IF($S231="","",IF(ISNUMBER($I231),$I231,$U231))</f>
        <v/>
      </c>
      <c r="W231" s="70">
        <f>IF($S231="","",IF(ISNUMBER($J231),$J231,$V231))</f>
        <v/>
      </c>
      <c r="X231" s="70">
        <f>IF($S231="","",IF(ISNUMBER($K231),$K231,$W231))</f>
        <v/>
      </c>
      <c r="Y231" s="70">
        <f>IF($S231="","",IF(N($T231)&gt;0,AVERAGEIFS($U$5:$U$1000,$R$5:$R$1000,ROW(),$S$5:$S$1000,"Sub"),$U231))</f>
        <v/>
      </c>
      <c r="Z231" s="70">
        <f>IF($S231="","",IF(N($T231)&gt;0,AVERAGEIFS($V$5:$V$1000,$R$5:$R$1000,ROW(),$S$5:$S$1000,"Sub"),$V231))</f>
        <v/>
      </c>
      <c r="AA231" s="70">
        <f>IF($S231="","",IF(N($T231)&gt;0,AVERAGEIFS($W$5:$W$1000,$R$5:$R$1000,ROW(),$S$5:$S$1000,"Sub"),$W231))</f>
        <v/>
      </c>
      <c r="AB231" s="70">
        <f>IF($S231="","",IF(N($T231)&gt;0,AVERAGEIFS($X$5:$X$1000,$R$5:$R$1000,ROW(),$S$5:$S$1000,"Sub"),$X231))</f>
        <v/>
      </c>
    </row>
    <row r="232">
      <c r="A232" s="61">
        <f>IF(NOT((COUNTA($B232:$K232)+COUNTA($N232))&gt;0),"",IF($S232="Macro",COUNTIFS($S$5:$S232,"Macro",$P$5:$P232,$P232),IF(N($R232)=0,"?",COUNTIFS(INDEX($S$5:$S$1000,1):INDEX($S$5:$S$1000,$R232-4),"Macro",INDEX($P$5:$P$1000,1):INDEX($P$5:$P$1000,$R232-4),INDEX($P$5:$P$1000,$R232-4))&amp;"."&amp;COUNTIFS($R$5:$R232,$R232,$S$5:$S232,"Sub"))))</f>
        <v/>
      </c>
      <c r="B232" s="62" t="n"/>
      <c r="C232" s="63" t="n"/>
      <c r="D232" s="62" t="n"/>
      <c r="E232" s="64" t="n"/>
      <c r="F232" s="64" t="n"/>
      <c r="G232" s="65" t="n"/>
      <c r="H232" s="66" t="n"/>
      <c r="I232" s="66" t="n"/>
      <c r="J232" s="66" t="n"/>
      <c r="K232" s="66" t="n"/>
      <c r="L232" s="67">
        <f>IF(NOT((COUNTA($B232:$K232)+COUNTA($N232))&gt;0),"",IF(N($T232)&gt;0,$AB232,IFERROR(LOOKUP(2,1/(H232:K232&lt;&gt;""),H232:K232),0)))</f>
        <v/>
      </c>
      <c r="M232" s="61">
        <f>IF(L232="","",IF(L232&gt;=1,"Completado",IF(L232&gt;0,"En curso","Pendiente")))</f>
        <v/>
      </c>
      <c r="N232" s="62" t="n"/>
      <c r="O232" s="68">
        <f>IF(NOT((COUNTA($B232:$K232)+COUNTA($N232))&gt;0),"",IF((IF(AND($S232="Macro",$B232=""),"Macroactividad vacía"&amp;" · ","")&amp;IF(AND($B232&lt;&gt;"",$C232&lt;&gt;""),"Escriba la subactividad en otra fila, debajo de su macroactividad"&amp;" · ","")&amp;IF(AND($S232="Sub",N($R232)=0),"Subactividad sin macroactividad arriba"&amp;" · ","")&amp;IF($D232="","Sin responsable"&amp;" · ","")&amp;IF($E232="","Sin fecha de inicio"&amp;" · ","")&amp;IF($F232="","Sin fecha límite"&amp;" · ","")&amp;IF(OR(AND($E232&lt;&gt;"",NOT(ISNUMBER($E232))),AND($F232&lt;&gt;"",NOT(ISNUMBER($F232)))),"Fecha no válida"&amp;" · ","")&amp;IF(AND(ISNUMBER($E232),ISNUMBER($F232),$E232&gt;$F232),"Inicio posterior a fecha límite"&amp;" · ","")&amp;IF(AND($S232="Macro",$G232=""),"Peso vacío"&amp;" · ","")&amp;IF(AND($S232="Macro",$G232&lt;&gt;"",OR(NOT(ISNUMBER($G232)),$G232&lt;=0,$G232&gt;1)),"Peso fuera de rango"&amp;" · ","")&amp;IF(AND($S232="Sub",$G232&lt;&gt;""),"Las subactividades no llevan peso"&amp;" · ","")&amp;IF(AND($S232="Macro",ABS(SUMIFS($G$5:$G$1000,$P$5:$P$1000,$P232,$S$5:$S$1000,"Macro")-1)&gt;0.0001),"Pesos del mes suman "&amp;TEXT(SUMIFS($G$5:$G$1000,$P$5:$P$1000,$P232,$S$5:$S$1000,"Macro"),"0%")&amp;" · ","")&amp;IF(AND(N($T232)&gt;0,COUNT($H232:$K232)&gt;0),"Con subactividades: deje vacías las semanas (se calculan solas)"&amp;" · ","")&amp;IF((COUNTIF($H232:$K232,"&gt;1")+COUNTIF($H232:$K232,"&lt;0")+COUNTA($H232:$K232)-COUNT($H232:$K232))&gt;0,"Avance fuera de rango 0-100%"&amp;" · ","")&amp;IF(OR(AND($I232&lt;&gt;"",$I232&lt;$H232),AND($J232&lt;&gt;"",$J232&lt;MAX($H232:$I232)),AND($K232&lt;&gt;"",$K232&lt;MAX($H232:$J232))),"Avance semanal decreciente"&amp;" · ","")&amp;IF(AND(ISNUMBER($F232),$F232&lt;FechaRef,N($L232)&lt;1),"Vencida"&amp;" · ","")&amp;IF(AND(ObsObligatoria="Sí",ISNUMBER($F232),$F232&lt;FechaRef,N($L232)&lt;1,$N232=""),"Vencida sin observación"&amp;" · ",""))="","✔ OK","⚠ "&amp;LEFT(IF(AND($S232="Macro",$B232=""),"Macroactividad vacía"&amp;" · ","")&amp;IF(AND($B232&lt;&gt;"",$C232&lt;&gt;""),"Escriba la subactividad en otra fila, debajo de su macroactividad"&amp;" · ","")&amp;IF(AND($S232="Sub",N($R232)=0),"Subactividad sin macroactividad arriba"&amp;" · ","")&amp;IF($D232="","Sin responsable"&amp;" · ","")&amp;IF($E232="","Sin fecha de inicio"&amp;" · ","")&amp;IF($F232="","Sin fecha límite"&amp;" · ","")&amp;IF(OR(AND($E232&lt;&gt;"",NOT(ISNUMBER($E232))),AND($F232&lt;&gt;"",NOT(ISNUMBER($F232)))),"Fecha no válida"&amp;" · ","")&amp;IF(AND(ISNUMBER($E232),ISNUMBER($F232),$E232&gt;$F232),"Inicio posterior a fecha límite"&amp;" · ","")&amp;IF(AND($S232="Macro",$G232=""),"Peso vacío"&amp;" · ","")&amp;IF(AND($S232="Macro",$G232&lt;&gt;"",OR(NOT(ISNUMBER($G232)),$G232&lt;=0,$G232&gt;1)),"Peso fuera de rango"&amp;" · ","")&amp;IF(AND($S232="Sub",$G232&lt;&gt;""),"Las subactividades no llevan peso"&amp;" · ","")&amp;IF(AND($S232="Macro",ABS(SUMIFS($G$5:$G$1000,$P$5:$P$1000,$P232,$S$5:$S$1000,"Macro")-1)&gt;0.0001),"Pesos del mes suman "&amp;TEXT(SUMIFS($G$5:$G$1000,$P$5:$P$1000,$P232,$S$5:$S$1000,"Macro"),"0%")&amp;" · ","")&amp;IF(AND(N($T232)&gt;0,COUNT($H232:$K232)&gt;0),"Con subactividades: deje vacías las semanas (se calculan solas)"&amp;" · ","")&amp;IF((COUNTIF($H232:$K232,"&gt;1")+COUNTIF($H232:$K232,"&lt;0")+COUNTA($H232:$K232)-COUNT($H232:$K232))&gt;0,"Avance fuera de rango 0-100%"&amp;" · ","")&amp;IF(OR(AND($I232&lt;&gt;"",$I232&lt;$H232),AND($J232&lt;&gt;"",$J232&lt;MAX($H232:$I232)),AND($K232&lt;&gt;"",$K232&lt;MAX($H232:$J232))),"Avance semanal decreciente"&amp;" · ","")&amp;IF(AND(ISNUMBER($F232),$F232&lt;FechaRef,N($L232)&lt;1),"Vencida"&amp;" · ","")&amp;IF(AND(ObsObligatoria="Sí",ISNUMBER($F232),$F232&lt;FechaRef,N($L232)&lt;1,$N232=""),"Vencida sin observación"&amp;" · ",""),LEN(IF(AND($S232="Macro",$B232=""),"Macroactividad vacía"&amp;" · ","")&amp;IF(AND($B232&lt;&gt;"",$C232&lt;&gt;""),"Escriba la subactividad en otra fila, debajo de su macroactividad"&amp;" · ","")&amp;IF(AND($S232="Sub",N($R232)=0),"Subactividad sin macroactividad arriba"&amp;" · ","")&amp;IF($D232="","Sin responsable"&amp;" · ","")&amp;IF($E232="","Sin fecha de inicio"&amp;" · ","")&amp;IF($F232="","Sin fecha límite"&amp;" · ","")&amp;IF(OR(AND($E232&lt;&gt;"",NOT(ISNUMBER($E232))),AND($F232&lt;&gt;"",NOT(ISNUMBER($F232)))),"Fecha no válida"&amp;" · ","")&amp;IF(AND(ISNUMBER($E232),ISNUMBER($F232),$E232&gt;$F232),"Inicio posterior a fecha límite"&amp;" · ","")&amp;IF(AND($S232="Macro",$G232=""),"Peso vacío"&amp;" · ","")&amp;IF(AND($S232="Macro",$G232&lt;&gt;"",OR(NOT(ISNUMBER($G232)),$G232&lt;=0,$G232&gt;1)),"Peso fuera de rango"&amp;" · ","")&amp;IF(AND($S232="Sub",$G232&lt;&gt;""),"Las subactividades no llevan peso"&amp;" · ","")&amp;IF(AND($S232="Macro",ABS(SUMIFS($G$5:$G$1000,$P$5:$P$1000,$P232,$S$5:$S$1000,"Macro")-1)&gt;0.0001),"Pesos del mes suman "&amp;TEXT(SUMIFS($G$5:$G$1000,$P$5:$P$1000,$P232,$S$5:$S$1000,"Macro"),"0%")&amp;" · ","")&amp;IF(AND(N($T232)&gt;0,COUNT($H232:$K232)&gt;0),"Con subactividades: deje vacías las semanas (se calculan solas)"&amp;" · ","")&amp;IF((COUNTIF($H232:$K232,"&gt;1")+COUNTIF($H232:$K232,"&lt;0")+COUNTA($H232:$K232)-COUNT($H232:$K232))&gt;0,"Avance fuera de rango 0-100%"&amp;" · ","")&amp;IF(OR(AND($I232&lt;&gt;"",$I232&lt;$H232),AND($J232&lt;&gt;"",$J232&lt;MAX($H232:$I232)),AND($K232&lt;&gt;"",$K232&lt;MAX($H232:$J232))),"Avance semanal decreciente"&amp;" · ","")&amp;IF(AND(ISNUMBER($F232),$F232&lt;FechaRef,N($L232)&lt;1),"Vencida"&amp;" · ","")&amp;IF(AND(ObsObligatoria="Sí",ISNUMBER($F232),$F232&lt;FechaRef,N($L232)&lt;1,$N232=""),"Vencida sin observación"&amp;" · ",""))-3)))</f>
        <v/>
      </c>
      <c r="P232" s="69">
        <f>IF(NOT((COUNTA($B232:$K232)+COUNTA($N232))&gt;0),"",IF(AND($S232="Sub",N($R232)&gt;0),IF(ISNUMBER(INDEX($E$5:$E$1000,$R232-4)),DATE(YEAR(INDEX($E$5:$E$1000,$R232-4)),MONTH(INDEX($E$5:$E$1000,$R232-4)),1),IF(ISNUMBER(INDEX($F$5:$F$1000,$R232-4)),DATE(YEAR(INDEX($F$5:$F$1000,$R232-4)),MONTH(INDEX($F$5:$F$1000,$R232-4)),1),MesCiclo)),IF(ISNUMBER($E232),DATE(YEAR($E232),MONTH($E232),1),IF(ISNUMBER($F232),DATE(YEAR($F232),MONTH($F232),1),MesCiclo))))</f>
        <v/>
      </c>
      <c r="Q232" s="70">
        <f>IF(OR($P232="",$P232&lt;&gt;MesCiclo),"",COUNTIF($P$5:$P232,MesCiclo))</f>
        <v/>
      </c>
      <c r="R232" s="70">
        <f>IF($S232="","",IF($S232="Macro",ROW(),IFERROR(LOOKUP(2,1/($S$5:$S232="Macro"),ROW($S$5:$S232)),0)))</f>
        <v/>
      </c>
      <c r="S232" s="70">
        <f>IF(NOT((COUNTA($B232:$K232)+COUNTA($N232))&gt;0),"",IF($B232&lt;&gt;"","Macro",IF($C232&lt;&gt;"","Sub","Macro")))</f>
        <v/>
      </c>
      <c r="T232" s="70">
        <f>IF($S232="Macro",COUNTIFS($R$5:$R$1000,ROW(),$S$5:$S$1000,"Sub"),"")</f>
        <v/>
      </c>
      <c r="U232" s="70">
        <f>IF($S232="","",IF(ISNUMBER($H232),$H232,0))</f>
        <v/>
      </c>
      <c r="V232" s="70">
        <f>IF($S232="","",IF(ISNUMBER($I232),$I232,$U232))</f>
        <v/>
      </c>
      <c r="W232" s="70">
        <f>IF($S232="","",IF(ISNUMBER($J232),$J232,$V232))</f>
        <v/>
      </c>
      <c r="X232" s="70">
        <f>IF($S232="","",IF(ISNUMBER($K232),$K232,$W232))</f>
        <v/>
      </c>
      <c r="Y232" s="70">
        <f>IF($S232="","",IF(N($T232)&gt;0,AVERAGEIFS($U$5:$U$1000,$R$5:$R$1000,ROW(),$S$5:$S$1000,"Sub"),$U232))</f>
        <v/>
      </c>
      <c r="Z232" s="70">
        <f>IF($S232="","",IF(N($T232)&gt;0,AVERAGEIFS($V$5:$V$1000,$R$5:$R$1000,ROW(),$S$5:$S$1000,"Sub"),$V232))</f>
        <v/>
      </c>
      <c r="AA232" s="70">
        <f>IF($S232="","",IF(N($T232)&gt;0,AVERAGEIFS($W$5:$W$1000,$R$5:$R$1000,ROW(),$S$5:$S$1000,"Sub"),$W232))</f>
        <v/>
      </c>
      <c r="AB232" s="70">
        <f>IF($S232="","",IF(N($T232)&gt;0,AVERAGEIFS($X$5:$X$1000,$R$5:$R$1000,ROW(),$S$5:$S$1000,"Sub"),$X232))</f>
        <v/>
      </c>
    </row>
    <row r="233">
      <c r="A233" s="61">
        <f>IF(NOT((COUNTA($B233:$K233)+COUNTA($N233))&gt;0),"",IF($S233="Macro",COUNTIFS($S$5:$S233,"Macro",$P$5:$P233,$P233),IF(N($R233)=0,"?",COUNTIFS(INDEX($S$5:$S$1000,1):INDEX($S$5:$S$1000,$R233-4),"Macro",INDEX($P$5:$P$1000,1):INDEX($P$5:$P$1000,$R233-4),INDEX($P$5:$P$1000,$R233-4))&amp;"."&amp;COUNTIFS($R$5:$R233,$R233,$S$5:$S233,"Sub"))))</f>
        <v/>
      </c>
      <c r="B233" s="62" t="n"/>
      <c r="C233" s="63" t="n"/>
      <c r="D233" s="62" t="n"/>
      <c r="E233" s="64" t="n"/>
      <c r="F233" s="64" t="n"/>
      <c r="G233" s="65" t="n"/>
      <c r="H233" s="66" t="n"/>
      <c r="I233" s="66" t="n"/>
      <c r="J233" s="66" t="n"/>
      <c r="K233" s="66" t="n"/>
      <c r="L233" s="67">
        <f>IF(NOT((COUNTA($B233:$K233)+COUNTA($N233))&gt;0),"",IF(N($T233)&gt;0,$AB233,IFERROR(LOOKUP(2,1/(H233:K233&lt;&gt;""),H233:K233),0)))</f>
        <v/>
      </c>
      <c r="M233" s="61">
        <f>IF(L233="","",IF(L233&gt;=1,"Completado",IF(L233&gt;0,"En curso","Pendiente")))</f>
        <v/>
      </c>
      <c r="N233" s="62" t="n"/>
      <c r="O233" s="68">
        <f>IF(NOT((COUNTA($B233:$K233)+COUNTA($N233))&gt;0),"",IF((IF(AND($S233="Macro",$B233=""),"Macroactividad vacía"&amp;" · ","")&amp;IF(AND($B233&lt;&gt;"",$C233&lt;&gt;""),"Escriba la subactividad en otra fila, debajo de su macroactividad"&amp;" · ","")&amp;IF(AND($S233="Sub",N($R233)=0),"Subactividad sin macroactividad arriba"&amp;" · ","")&amp;IF($D233="","Sin responsable"&amp;" · ","")&amp;IF($E233="","Sin fecha de inicio"&amp;" · ","")&amp;IF($F233="","Sin fecha límite"&amp;" · ","")&amp;IF(OR(AND($E233&lt;&gt;"",NOT(ISNUMBER($E233))),AND($F233&lt;&gt;"",NOT(ISNUMBER($F233)))),"Fecha no válida"&amp;" · ","")&amp;IF(AND(ISNUMBER($E233),ISNUMBER($F233),$E233&gt;$F233),"Inicio posterior a fecha límite"&amp;" · ","")&amp;IF(AND($S233="Macro",$G233=""),"Peso vacío"&amp;" · ","")&amp;IF(AND($S233="Macro",$G233&lt;&gt;"",OR(NOT(ISNUMBER($G233)),$G233&lt;=0,$G233&gt;1)),"Peso fuera de rango"&amp;" · ","")&amp;IF(AND($S233="Sub",$G233&lt;&gt;""),"Las subactividades no llevan peso"&amp;" · ","")&amp;IF(AND($S233="Macro",ABS(SUMIFS($G$5:$G$1000,$P$5:$P$1000,$P233,$S$5:$S$1000,"Macro")-1)&gt;0.0001),"Pesos del mes suman "&amp;TEXT(SUMIFS($G$5:$G$1000,$P$5:$P$1000,$P233,$S$5:$S$1000,"Macro"),"0%")&amp;" · ","")&amp;IF(AND(N($T233)&gt;0,COUNT($H233:$K233)&gt;0),"Con subactividades: deje vacías las semanas (se calculan solas)"&amp;" · ","")&amp;IF((COUNTIF($H233:$K233,"&gt;1")+COUNTIF($H233:$K233,"&lt;0")+COUNTA($H233:$K233)-COUNT($H233:$K233))&gt;0,"Avance fuera de rango 0-100%"&amp;" · ","")&amp;IF(OR(AND($I233&lt;&gt;"",$I233&lt;$H233),AND($J233&lt;&gt;"",$J233&lt;MAX($H233:$I233)),AND($K233&lt;&gt;"",$K233&lt;MAX($H233:$J233))),"Avance semanal decreciente"&amp;" · ","")&amp;IF(AND(ISNUMBER($F233),$F233&lt;FechaRef,N($L233)&lt;1),"Vencida"&amp;" · ","")&amp;IF(AND(ObsObligatoria="Sí",ISNUMBER($F233),$F233&lt;FechaRef,N($L233)&lt;1,$N233=""),"Vencida sin observación"&amp;" · ",""))="","✔ OK","⚠ "&amp;LEFT(IF(AND($S233="Macro",$B233=""),"Macroactividad vacía"&amp;" · ","")&amp;IF(AND($B233&lt;&gt;"",$C233&lt;&gt;""),"Escriba la subactividad en otra fila, debajo de su macroactividad"&amp;" · ","")&amp;IF(AND($S233="Sub",N($R233)=0),"Subactividad sin macroactividad arriba"&amp;" · ","")&amp;IF($D233="","Sin responsable"&amp;" · ","")&amp;IF($E233="","Sin fecha de inicio"&amp;" · ","")&amp;IF($F233="","Sin fecha límite"&amp;" · ","")&amp;IF(OR(AND($E233&lt;&gt;"",NOT(ISNUMBER($E233))),AND($F233&lt;&gt;"",NOT(ISNUMBER($F233)))),"Fecha no válida"&amp;" · ","")&amp;IF(AND(ISNUMBER($E233),ISNUMBER($F233),$E233&gt;$F233),"Inicio posterior a fecha límite"&amp;" · ","")&amp;IF(AND($S233="Macro",$G233=""),"Peso vacío"&amp;" · ","")&amp;IF(AND($S233="Macro",$G233&lt;&gt;"",OR(NOT(ISNUMBER($G233)),$G233&lt;=0,$G233&gt;1)),"Peso fuera de rango"&amp;" · ","")&amp;IF(AND($S233="Sub",$G233&lt;&gt;""),"Las subactividades no llevan peso"&amp;" · ","")&amp;IF(AND($S233="Macro",ABS(SUMIFS($G$5:$G$1000,$P$5:$P$1000,$P233,$S$5:$S$1000,"Macro")-1)&gt;0.0001),"Pesos del mes suman "&amp;TEXT(SUMIFS($G$5:$G$1000,$P$5:$P$1000,$P233,$S$5:$S$1000,"Macro"),"0%")&amp;" · ","")&amp;IF(AND(N($T233)&gt;0,COUNT($H233:$K233)&gt;0),"Con subactividades: deje vacías las semanas (se calculan solas)"&amp;" · ","")&amp;IF((COUNTIF($H233:$K233,"&gt;1")+COUNTIF($H233:$K233,"&lt;0")+COUNTA($H233:$K233)-COUNT($H233:$K233))&gt;0,"Avance fuera de rango 0-100%"&amp;" · ","")&amp;IF(OR(AND($I233&lt;&gt;"",$I233&lt;$H233),AND($J233&lt;&gt;"",$J233&lt;MAX($H233:$I233)),AND($K233&lt;&gt;"",$K233&lt;MAX($H233:$J233))),"Avance semanal decreciente"&amp;" · ","")&amp;IF(AND(ISNUMBER($F233),$F233&lt;FechaRef,N($L233)&lt;1),"Vencida"&amp;" · ","")&amp;IF(AND(ObsObligatoria="Sí",ISNUMBER($F233),$F233&lt;FechaRef,N($L233)&lt;1,$N233=""),"Vencida sin observación"&amp;" · ",""),LEN(IF(AND($S233="Macro",$B233=""),"Macroactividad vacía"&amp;" · ","")&amp;IF(AND($B233&lt;&gt;"",$C233&lt;&gt;""),"Escriba la subactividad en otra fila, debajo de su macroactividad"&amp;" · ","")&amp;IF(AND($S233="Sub",N($R233)=0),"Subactividad sin macroactividad arriba"&amp;" · ","")&amp;IF($D233="","Sin responsable"&amp;" · ","")&amp;IF($E233="","Sin fecha de inicio"&amp;" · ","")&amp;IF($F233="","Sin fecha límite"&amp;" · ","")&amp;IF(OR(AND($E233&lt;&gt;"",NOT(ISNUMBER($E233))),AND($F233&lt;&gt;"",NOT(ISNUMBER($F233)))),"Fecha no válida"&amp;" · ","")&amp;IF(AND(ISNUMBER($E233),ISNUMBER($F233),$E233&gt;$F233),"Inicio posterior a fecha límite"&amp;" · ","")&amp;IF(AND($S233="Macro",$G233=""),"Peso vacío"&amp;" · ","")&amp;IF(AND($S233="Macro",$G233&lt;&gt;"",OR(NOT(ISNUMBER($G233)),$G233&lt;=0,$G233&gt;1)),"Peso fuera de rango"&amp;" · ","")&amp;IF(AND($S233="Sub",$G233&lt;&gt;""),"Las subactividades no llevan peso"&amp;" · ","")&amp;IF(AND($S233="Macro",ABS(SUMIFS($G$5:$G$1000,$P$5:$P$1000,$P233,$S$5:$S$1000,"Macro")-1)&gt;0.0001),"Pesos del mes suman "&amp;TEXT(SUMIFS($G$5:$G$1000,$P$5:$P$1000,$P233,$S$5:$S$1000,"Macro"),"0%")&amp;" · ","")&amp;IF(AND(N($T233)&gt;0,COUNT($H233:$K233)&gt;0),"Con subactividades: deje vacías las semanas (se calculan solas)"&amp;" · ","")&amp;IF((COUNTIF($H233:$K233,"&gt;1")+COUNTIF($H233:$K233,"&lt;0")+COUNTA($H233:$K233)-COUNT($H233:$K233))&gt;0,"Avance fuera de rango 0-100%"&amp;" · ","")&amp;IF(OR(AND($I233&lt;&gt;"",$I233&lt;$H233),AND($J233&lt;&gt;"",$J233&lt;MAX($H233:$I233)),AND($K233&lt;&gt;"",$K233&lt;MAX($H233:$J233))),"Avance semanal decreciente"&amp;" · ","")&amp;IF(AND(ISNUMBER($F233),$F233&lt;FechaRef,N($L233)&lt;1),"Vencida"&amp;" · ","")&amp;IF(AND(ObsObligatoria="Sí",ISNUMBER($F233),$F233&lt;FechaRef,N($L233)&lt;1,$N233=""),"Vencida sin observación"&amp;" · ",""))-3)))</f>
        <v/>
      </c>
      <c r="P233" s="69">
        <f>IF(NOT((COUNTA($B233:$K233)+COUNTA($N233))&gt;0),"",IF(AND($S233="Sub",N($R233)&gt;0),IF(ISNUMBER(INDEX($E$5:$E$1000,$R233-4)),DATE(YEAR(INDEX($E$5:$E$1000,$R233-4)),MONTH(INDEX($E$5:$E$1000,$R233-4)),1),IF(ISNUMBER(INDEX($F$5:$F$1000,$R233-4)),DATE(YEAR(INDEX($F$5:$F$1000,$R233-4)),MONTH(INDEX($F$5:$F$1000,$R233-4)),1),MesCiclo)),IF(ISNUMBER($E233),DATE(YEAR($E233),MONTH($E233),1),IF(ISNUMBER($F233),DATE(YEAR($F233),MONTH($F233),1),MesCiclo))))</f>
        <v/>
      </c>
      <c r="Q233" s="70">
        <f>IF(OR($P233="",$P233&lt;&gt;MesCiclo),"",COUNTIF($P$5:$P233,MesCiclo))</f>
        <v/>
      </c>
      <c r="R233" s="70">
        <f>IF($S233="","",IF($S233="Macro",ROW(),IFERROR(LOOKUP(2,1/($S$5:$S233="Macro"),ROW($S$5:$S233)),0)))</f>
        <v/>
      </c>
      <c r="S233" s="70">
        <f>IF(NOT((COUNTA($B233:$K233)+COUNTA($N233))&gt;0),"",IF($B233&lt;&gt;"","Macro",IF($C233&lt;&gt;"","Sub","Macro")))</f>
        <v/>
      </c>
      <c r="T233" s="70">
        <f>IF($S233="Macro",COUNTIFS($R$5:$R$1000,ROW(),$S$5:$S$1000,"Sub"),"")</f>
        <v/>
      </c>
      <c r="U233" s="70">
        <f>IF($S233="","",IF(ISNUMBER($H233),$H233,0))</f>
        <v/>
      </c>
      <c r="V233" s="70">
        <f>IF($S233="","",IF(ISNUMBER($I233),$I233,$U233))</f>
        <v/>
      </c>
      <c r="W233" s="70">
        <f>IF($S233="","",IF(ISNUMBER($J233),$J233,$V233))</f>
        <v/>
      </c>
      <c r="X233" s="70">
        <f>IF($S233="","",IF(ISNUMBER($K233),$K233,$W233))</f>
        <v/>
      </c>
      <c r="Y233" s="70">
        <f>IF($S233="","",IF(N($T233)&gt;0,AVERAGEIFS($U$5:$U$1000,$R$5:$R$1000,ROW(),$S$5:$S$1000,"Sub"),$U233))</f>
        <v/>
      </c>
      <c r="Z233" s="70">
        <f>IF($S233="","",IF(N($T233)&gt;0,AVERAGEIFS($V$5:$V$1000,$R$5:$R$1000,ROW(),$S$5:$S$1000,"Sub"),$V233))</f>
        <v/>
      </c>
      <c r="AA233" s="70">
        <f>IF($S233="","",IF(N($T233)&gt;0,AVERAGEIFS($W$5:$W$1000,$R$5:$R$1000,ROW(),$S$5:$S$1000,"Sub"),$W233))</f>
        <v/>
      </c>
      <c r="AB233" s="70">
        <f>IF($S233="","",IF(N($T233)&gt;0,AVERAGEIFS($X$5:$X$1000,$R$5:$R$1000,ROW(),$S$5:$S$1000,"Sub"),$X233))</f>
        <v/>
      </c>
    </row>
    <row r="234">
      <c r="A234" s="61">
        <f>IF(NOT((COUNTA($B234:$K234)+COUNTA($N234))&gt;0),"",IF($S234="Macro",COUNTIFS($S$5:$S234,"Macro",$P$5:$P234,$P234),IF(N($R234)=0,"?",COUNTIFS(INDEX($S$5:$S$1000,1):INDEX($S$5:$S$1000,$R234-4),"Macro",INDEX($P$5:$P$1000,1):INDEX($P$5:$P$1000,$R234-4),INDEX($P$5:$P$1000,$R234-4))&amp;"."&amp;COUNTIFS($R$5:$R234,$R234,$S$5:$S234,"Sub"))))</f>
        <v/>
      </c>
      <c r="B234" s="62" t="n"/>
      <c r="C234" s="63" t="n"/>
      <c r="D234" s="62" t="n"/>
      <c r="E234" s="64" t="n"/>
      <c r="F234" s="64" t="n"/>
      <c r="G234" s="65" t="n"/>
      <c r="H234" s="66" t="n"/>
      <c r="I234" s="66" t="n"/>
      <c r="J234" s="66" t="n"/>
      <c r="K234" s="66" t="n"/>
      <c r="L234" s="67">
        <f>IF(NOT((COUNTA($B234:$K234)+COUNTA($N234))&gt;0),"",IF(N($T234)&gt;0,$AB234,IFERROR(LOOKUP(2,1/(H234:K234&lt;&gt;""),H234:K234),0)))</f>
        <v/>
      </c>
      <c r="M234" s="61">
        <f>IF(L234="","",IF(L234&gt;=1,"Completado",IF(L234&gt;0,"En curso","Pendiente")))</f>
        <v/>
      </c>
      <c r="N234" s="62" t="n"/>
      <c r="O234" s="68">
        <f>IF(NOT((COUNTA($B234:$K234)+COUNTA($N234))&gt;0),"",IF((IF(AND($S234="Macro",$B234=""),"Macroactividad vacía"&amp;" · ","")&amp;IF(AND($B234&lt;&gt;"",$C234&lt;&gt;""),"Escriba la subactividad en otra fila, debajo de su macroactividad"&amp;" · ","")&amp;IF(AND($S234="Sub",N($R234)=0),"Subactividad sin macroactividad arriba"&amp;" · ","")&amp;IF($D234="","Sin responsable"&amp;" · ","")&amp;IF($E234="","Sin fecha de inicio"&amp;" · ","")&amp;IF($F234="","Sin fecha límite"&amp;" · ","")&amp;IF(OR(AND($E234&lt;&gt;"",NOT(ISNUMBER($E234))),AND($F234&lt;&gt;"",NOT(ISNUMBER($F234)))),"Fecha no válida"&amp;" · ","")&amp;IF(AND(ISNUMBER($E234),ISNUMBER($F234),$E234&gt;$F234),"Inicio posterior a fecha límite"&amp;" · ","")&amp;IF(AND($S234="Macro",$G234=""),"Peso vacío"&amp;" · ","")&amp;IF(AND($S234="Macro",$G234&lt;&gt;"",OR(NOT(ISNUMBER($G234)),$G234&lt;=0,$G234&gt;1)),"Peso fuera de rango"&amp;" · ","")&amp;IF(AND($S234="Sub",$G234&lt;&gt;""),"Las subactividades no llevan peso"&amp;" · ","")&amp;IF(AND($S234="Macro",ABS(SUMIFS($G$5:$G$1000,$P$5:$P$1000,$P234,$S$5:$S$1000,"Macro")-1)&gt;0.0001),"Pesos del mes suman "&amp;TEXT(SUMIFS($G$5:$G$1000,$P$5:$P$1000,$P234,$S$5:$S$1000,"Macro"),"0%")&amp;" · ","")&amp;IF(AND(N($T234)&gt;0,COUNT($H234:$K234)&gt;0),"Con subactividades: deje vacías las semanas (se calculan solas)"&amp;" · ","")&amp;IF((COUNTIF($H234:$K234,"&gt;1")+COUNTIF($H234:$K234,"&lt;0")+COUNTA($H234:$K234)-COUNT($H234:$K234))&gt;0,"Avance fuera de rango 0-100%"&amp;" · ","")&amp;IF(OR(AND($I234&lt;&gt;"",$I234&lt;$H234),AND($J234&lt;&gt;"",$J234&lt;MAX($H234:$I234)),AND($K234&lt;&gt;"",$K234&lt;MAX($H234:$J234))),"Avance semanal decreciente"&amp;" · ","")&amp;IF(AND(ISNUMBER($F234),$F234&lt;FechaRef,N($L234)&lt;1),"Vencida"&amp;" · ","")&amp;IF(AND(ObsObligatoria="Sí",ISNUMBER($F234),$F234&lt;FechaRef,N($L234)&lt;1,$N234=""),"Vencida sin observación"&amp;" · ",""))="","✔ OK","⚠ "&amp;LEFT(IF(AND($S234="Macro",$B234=""),"Macroactividad vacía"&amp;" · ","")&amp;IF(AND($B234&lt;&gt;"",$C234&lt;&gt;""),"Escriba la subactividad en otra fila, debajo de su macroactividad"&amp;" · ","")&amp;IF(AND($S234="Sub",N($R234)=0),"Subactividad sin macroactividad arriba"&amp;" · ","")&amp;IF($D234="","Sin responsable"&amp;" · ","")&amp;IF($E234="","Sin fecha de inicio"&amp;" · ","")&amp;IF($F234="","Sin fecha límite"&amp;" · ","")&amp;IF(OR(AND($E234&lt;&gt;"",NOT(ISNUMBER($E234))),AND($F234&lt;&gt;"",NOT(ISNUMBER($F234)))),"Fecha no válida"&amp;" · ","")&amp;IF(AND(ISNUMBER($E234),ISNUMBER($F234),$E234&gt;$F234),"Inicio posterior a fecha límite"&amp;" · ","")&amp;IF(AND($S234="Macro",$G234=""),"Peso vacío"&amp;" · ","")&amp;IF(AND($S234="Macro",$G234&lt;&gt;"",OR(NOT(ISNUMBER($G234)),$G234&lt;=0,$G234&gt;1)),"Peso fuera de rango"&amp;" · ","")&amp;IF(AND($S234="Sub",$G234&lt;&gt;""),"Las subactividades no llevan peso"&amp;" · ","")&amp;IF(AND($S234="Macro",ABS(SUMIFS($G$5:$G$1000,$P$5:$P$1000,$P234,$S$5:$S$1000,"Macro")-1)&gt;0.0001),"Pesos del mes suman "&amp;TEXT(SUMIFS($G$5:$G$1000,$P$5:$P$1000,$P234,$S$5:$S$1000,"Macro"),"0%")&amp;" · ","")&amp;IF(AND(N($T234)&gt;0,COUNT($H234:$K234)&gt;0),"Con subactividades: deje vacías las semanas (se calculan solas)"&amp;" · ","")&amp;IF((COUNTIF($H234:$K234,"&gt;1")+COUNTIF($H234:$K234,"&lt;0")+COUNTA($H234:$K234)-COUNT($H234:$K234))&gt;0,"Avance fuera de rango 0-100%"&amp;" · ","")&amp;IF(OR(AND($I234&lt;&gt;"",$I234&lt;$H234),AND($J234&lt;&gt;"",$J234&lt;MAX($H234:$I234)),AND($K234&lt;&gt;"",$K234&lt;MAX($H234:$J234))),"Avance semanal decreciente"&amp;" · ","")&amp;IF(AND(ISNUMBER($F234),$F234&lt;FechaRef,N($L234)&lt;1),"Vencida"&amp;" · ","")&amp;IF(AND(ObsObligatoria="Sí",ISNUMBER($F234),$F234&lt;FechaRef,N($L234)&lt;1,$N234=""),"Vencida sin observación"&amp;" · ",""),LEN(IF(AND($S234="Macro",$B234=""),"Macroactividad vacía"&amp;" · ","")&amp;IF(AND($B234&lt;&gt;"",$C234&lt;&gt;""),"Escriba la subactividad en otra fila, debajo de su macroactividad"&amp;" · ","")&amp;IF(AND($S234="Sub",N($R234)=0),"Subactividad sin macroactividad arriba"&amp;" · ","")&amp;IF($D234="","Sin responsable"&amp;" · ","")&amp;IF($E234="","Sin fecha de inicio"&amp;" · ","")&amp;IF($F234="","Sin fecha límite"&amp;" · ","")&amp;IF(OR(AND($E234&lt;&gt;"",NOT(ISNUMBER($E234))),AND($F234&lt;&gt;"",NOT(ISNUMBER($F234)))),"Fecha no válida"&amp;" · ","")&amp;IF(AND(ISNUMBER($E234),ISNUMBER($F234),$E234&gt;$F234),"Inicio posterior a fecha límite"&amp;" · ","")&amp;IF(AND($S234="Macro",$G234=""),"Peso vacío"&amp;" · ","")&amp;IF(AND($S234="Macro",$G234&lt;&gt;"",OR(NOT(ISNUMBER($G234)),$G234&lt;=0,$G234&gt;1)),"Peso fuera de rango"&amp;" · ","")&amp;IF(AND($S234="Sub",$G234&lt;&gt;""),"Las subactividades no llevan peso"&amp;" · ","")&amp;IF(AND($S234="Macro",ABS(SUMIFS($G$5:$G$1000,$P$5:$P$1000,$P234,$S$5:$S$1000,"Macro")-1)&gt;0.0001),"Pesos del mes suman "&amp;TEXT(SUMIFS($G$5:$G$1000,$P$5:$P$1000,$P234,$S$5:$S$1000,"Macro"),"0%")&amp;" · ","")&amp;IF(AND(N($T234)&gt;0,COUNT($H234:$K234)&gt;0),"Con subactividades: deje vacías las semanas (se calculan solas)"&amp;" · ","")&amp;IF((COUNTIF($H234:$K234,"&gt;1")+COUNTIF($H234:$K234,"&lt;0")+COUNTA($H234:$K234)-COUNT($H234:$K234))&gt;0,"Avance fuera de rango 0-100%"&amp;" · ","")&amp;IF(OR(AND($I234&lt;&gt;"",$I234&lt;$H234),AND($J234&lt;&gt;"",$J234&lt;MAX($H234:$I234)),AND($K234&lt;&gt;"",$K234&lt;MAX($H234:$J234))),"Avance semanal decreciente"&amp;" · ","")&amp;IF(AND(ISNUMBER($F234),$F234&lt;FechaRef,N($L234)&lt;1),"Vencida"&amp;" · ","")&amp;IF(AND(ObsObligatoria="Sí",ISNUMBER($F234),$F234&lt;FechaRef,N($L234)&lt;1,$N234=""),"Vencida sin observación"&amp;" · ",""))-3)))</f>
        <v/>
      </c>
      <c r="P234" s="69">
        <f>IF(NOT((COUNTA($B234:$K234)+COUNTA($N234))&gt;0),"",IF(AND($S234="Sub",N($R234)&gt;0),IF(ISNUMBER(INDEX($E$5:$E$1000,$R234-4)),DATE(YEAR(INDEX($E$5:$E$1000,$R234-4)),MONTH(INDEX($E$5:$E$1000,$R234-4)),1),IF(ISNUMBER(INDEX($F$5:$F$1000,$R234-4)),DATE(YEAR(INDEX($F$5:$F$1000,$R234-4)),MONTH(INDEX($F$5:$F$1000,$R234-4)),1),MesCiclo)),IF(ISNUMBER($E234),DATE(YEAR($E234),MONTH($E234),1),IF(ISNUMBER($F234),DATE(YEAR($F234),MONTH($F234),1),MesCiclo))))</f>
        <v/>
      </c>
      <c r="Q234" s="70">
        <f>IF(OR($P234="",$P234&lt;&gt;MesCiclo),"",COUNTIF($P$5:$P234,MesCiclo))</f>
        <v/>
      </c>
      <c r="R234" s="70">
        <f>IF($S234="","",IF($S234="Macro",ROW(),IFERROR(LOOKUP(2,1/($S$5:$S234="Macro"),ROW($S$5:$S234)),0)))</f>
        <v/>
      </c>
      <c r="S234" s="70">
        <f>IF(NOT((COUNTA($B234:$K234)+COUNTA($N234))&gt;0),"",IF($B234&lt;&gt;"","Macro",IF($C234&lt;&gt;"","Sub","Macro")))</f>
        <v/>
      </c>
      <c r="T234" s="70">
        <f>IF($S234="Macro",COUNTIFS($R$5:$R$1000,ROW(),$S$5:$S$1000,"Sub"),"")</f>
        <v/>
      </c>
      <c r="U234" s="70">
        <f>IF($S234="","",IF(ISNUMBER($H234),$H234,0))</f>
        <v/>
      </c>
      <c r="V234" s="70">
        <f>IF($S234="","",IF(ISNUMBER($I234),$I234,$U234))</f>
        <v/>
      </c>
      <c r="W234" s="70">
        <f>IF($S234="","",IF(ISNUMBER($J234),$J234,$V234))</f>
        <v/>
      </c>
      <c r="X234" s="70">
        <f>IF($S234="","",IF(ISNUMBER($K234),$K234,$W234))</f>
        <v/>
      </c>
      <c r="Y234" s="70">
        <f>IF($S234="","",IF(N($T234)&gt;0,AVERAGEIFS($U$5:$U$1000,$R$5:$R$1000,ROW(),$S$5:$S$1000,"Sub"),$U234))</f>
        <v/>
      </c>
      <c r="Z234" s="70">
        <f>IF($S234="","",IF(N($T234)&gt;0,AVERAGEIFS($V$5:$V$1000,$R$5:$R$1000,ROW(),$S$5:$S$1000,"Sub"),$V234))</f>
        <v/>
      </c>
      <c r="AA234" s="70">
        <f>IF($S234="","",IF(N($T234)&gt;0,AVERAGEIFS($W$5:$W$1000,$R$5:$R$1000,ROW(),$S$5:$S$1000,"Sub"),$W234))</f>
        <v/>
      </c>
      <c r="AB234" s="70">
        <f>IF($S234="","",IF(N($T234)&gt;0,AVERAGEIFS($X$5:$X$1000,$R$5:$R$1000,ROW(),$S$5:$S$1000,"Sub"),$X234))</f>
        <v/>
      </c>
    </row>
    <row r="235">
      <c r="A235" s="61">
        <f>IF(NOT((COUNTA($B235:$K235)+COUNTA($N235))&gt;0),"",IF($S235="Macro",COUNTIFS($S$5:$S235,"Macro",$P$5:$P235,$P235),IF(N($R235)=0,"?",COUNTIFS(INDEX($S$5:$S$1000,1):INDEX($S$5:$S$1000,$R235-4),"Macro",INDEX($P$5:$P$1000,1):INDEX($P$5:$P$1000,$R235-4),INDEX($P$5:$P$1000,$R235-4))&amp;"."&amp;COUNTIFS($R$5:$R235,$R235,$S$5:$S235,"Sub"))))</f>
        <v/>
      </c>
      <c r="B235" s="62" t="n"/>
      <c r="C235" s="63" t="n"/>
      <c r="D235" s="62" t="n"/>
      <c r="E235" s="64" t="n"/>
      <c r="F235" s="64" t="n"/>
      <c r="G235" s="65" t="n"/>
      <c r="H235" s="66" t="n"/>
      <c r="I235" s="66" t="n"/>
      <c r="J235" s="66" t="n"/>
      <c r="K235" s="66" t="n"/>
      <c r="L235" s="67">
        <f>IF(NOT((COUNTA($B235:$K235)+COUNTA($N235))&gt;0),"",IF(N($T235)&gt;0,$AB235,IFERROR(LOOKUP(2,1/(H235:K235&lt;&gt;""),H235:K235),0)))</f>
        <v/>
      </c>
      <c r="M235" s="61">
        <f>IF(L235="","",IF(L235&gt;=1,"Completado",IF(L235&gt;0,"En curso","Pendiente")))</f>
        <v/>
      </c>
      <c r="N235" s="62" t="n"/>
      <c r="O235" s="68">
        <f>IF(NOT((COUNTA($B235:$K235)+COUNTA($N235))&gt;0),"",IF((IF(AND($S235="Macro",$B235=""),"Macroactividad vacía"&amp;" · ","")&amp;IF(AND($B235&lt;&gt;"",$C235&lt;&gt;""),"Escriba la subactividad en otra fila, debajo de su macroactividad"&amp;" · ","")&amp;IF(AND($S235="Sub",N($R235)=0),"Subactividad sin macroactividad arriba"&amp;" · ","")&amp;IF($D235="","Sin responsable"&amp;" · ","")&amp;IF($E235="","Sin fecha de inicio"&amp;" · ","")&amp;IF($F235="","Sin fecha límite"&amp;" · ","")&amp;IF(OR(AND($E235&lt;&gt;"",NOT(ISNUMBER($E235))),AND($F235&lt;&gt;"",NOT(ISNUMBER($F235)))),"Fecha no válida"&amp;" · ","")&amp;IF(AND(ISNUMBER($E235),ISNUMBER($F235),$E235&gt;$F235),"Inicio posterior a fecha límite"&amp;" · ","")&amp;IF(AND($S235="Macro",$G235=""),"Peso vacío"&amp;" · ","")&amp;IF(AND($S235="Macro",$G235&lt;&gt;"",OR(NOT(ISNUMBER($G235)),$G235&lt;=0,$G235&gt;1)),"Peso fuera de rango"&amp;" · ","")&amp;IF(AND($S235="Sub",$G235&lt;&gt;""),"Las subactividades no llevan peso"&amp;" · ","")&amp;IF(AND($S235="Macro",ABS(SUMIFS($G$5:$G$1000,$P$5:$P$1000,$P235,$S$5:$S$1000,"Macro")-1)&gt;0.0001),"Pesos del mes suman "&amp;TEXT(SUMIFS($G$5:$G$1000,$P$5:$P$1000,$P235,$S$5:$S$1000,"Macro"),"0%")&amp;" · ","")&amp;IF(AND(N($T235)&gt;0,COUNT($H235:$K235)&gt;0),"Con subactividades: deje vacías las semanas (se calculan solas)"&amp;" · ","")&amp;IF((COUNTIF($H235:$K235,"&gt;1")+COUNTIF($H235:$K235,"&lt;0")+COUNTA($H235:$K235)-COUNT($H235:$K235))&gt;0,"Avance fuera de rango 0-100%"&amp;" · ","")&amp;IF(OR(AND($I235&lt;&gt;"",$I235&lt;$H235),AND($J235&lt;&gt;"",$J235&lt;MAX($H235:$I235)),AND($K235&lt;&gt;"",$K235&lt;MAX($H235:$J235))),"Avance semanal decreciente"&amp;" · ","")&amp;IF(AND(ISNUMBER($F235),$F235&lt;FechaRef,N($L235)&lt;1),"Vencida"&amp;" · ","")&amp;IF(AND(ObsObligatoria="Sí",ISNUMBER($F235),$F235&lt;FechaRef,N($L235)&lt;1,$N235=""),"Vencida sin observación"&amp;" · ",""))="","✔ OK","⚠ "&amp;LEFT(IF(AND($S235="Macro",$B235=""),"Macroactividad vacía"&amp;" · ","")&amp;IF(AND($B235&lt;&gt;"",$C235&lt;&gt;""),"Escriba la subactividad en otra fila, debajo de su macroactividad"&amp;" · ","")&amp;IF(AND($S235="Sub",N($R235)=0),"Subactividad sin macroactividad arriba"&amp;" · ","")&amp;IF($D235="","Sin responsable"&amp;" · ","")&amp;IF($E235="","Sin fecha de inicio"&amp;" · ","")&amp;IF($F235="","Sin fecha límite"&amp;" · ","")&amp;IF(OR(AND($E235&lt;&gt;"",NOT(ISNUMBER($E235))),AND($F235&lt;&gt;"",NOT(ISNUMBER($F235)))),"Fecha no válida"&amp;" · ","")&amp;IF(AND(ISNUMBER($E235),ISNUMBER($F235),$E235&gt;$F235),"Inicio posterior a fecha límite"&amp;" · ","")&amp;IF(AND($S235="Macro",$G235=""),"Peso vacío"&amp;" · ","")&amp;IF(AND($S235="Macro",$G235&lt;&gt;"",OR(NOT(ISNUMBER($G235)),$G235&lt;=0,$G235&gt;1)),"Peso fuera de rango"&amp;" · ","")&amp;IF(AND($S235="Sub",$G235&lt;&gt;""),"Las subactividades no llevan peso"&amp;" · ","")&amp;IF(AND($S235="Macro",ABS(SUMIFS($G$5:$G$1000,$P$5:$P$1000,$P235,$S$5:$S$1000,"Macro")-1)&gt;0.0001),"Pesos del mes suman "&amp;TEXT(SUMIFS($G$5:$G$1000,$P$5:$P$1000,$P235,$S$5:$S$1000,"Macro"),"0%")&amp;" · ","")&amp;IF(AND(N($T235)&gt;0,COUNT($H235:$K235)&gt;0),"Con subactividades: deje vacías las semanas (se calculan solas)"&amp;" · ","")&amp;IF((COUNTIF($H235:$K235,"&gt;1")+COUNTIF($H235:$K235,"&lt;0")+COUNTA($H235:$K235)-COUNT($H235:$K235))&gt;0,"Avance fuera de rango 0-100%"&amp;" · ","")&amp;IF(OR(AND($I235&lt;&gt;"",$I235&lt;$H235),AND($J235&lt;&gt;"",$J235&lt;MAX($H235:$I235)),AND($K235&lt;&gt;"",$K235&lt;MAX($H235:$J235))),"Avance semanal decreciente"&amp;" · ","")&amp;IF(AND(ISNUMBER($F235),$F235&lt;FechaRef,N($L235)&lt;1),"Vencida"&amp;" · ","")&amp;IF(AND(ObsObligatoria="Sí",ISNUMBER($F235),$F235&lt;FechaRef,N($L235)&lt;1,$N235=""),"Vencida sin observación"&amp;" · ",""),LEN(IF(AND($S235="Macro",$B235=""),"Macroactividad vacía"&amp;" · ","")&amp;IF(AND($B235&lt;&gt;"",$C235&lt;&gt;""),"Escriba la subactividad en otra fila, debajo de su macroactividad"&amp;" · ","")&amp;IF(AND($S235="Sub",N($R235)=0),"Subactividad sin macroactividad arriba"&amp;" · ","")&amp;IF($D235="","Sin responsable"&amp;" · ","")&amp;IF($E235="","Sin fecha de inicio"&amp;" · ","")&amp;IF($F235="","Sin fecha límite"&amp;" · ","")&amp;IF(OR(AND($E235&lt;&gt;"",NOT(ISNUMBER($E235))),AND($F235&lt;&gt;"",NOT(ISNUMBER($F235)))),"Fecha no válida"&amp;" · ","")&amp;IF(AND(ISNUMBER($E235),ISNUMBER($F235),$E235&gt;$F235),"Inicio posterior a fecha límite"&amp;" · ","")&amp;IF(AND($S235="Macro",$G235=""),"Peso vacío"&amp;" · ","")&amp;IF(AND($S235="Macro",$G235&lt;&gt;"",OR(NOT(ISNUMBER($G235)),$G235&lt;=0,$G235&gt;1)),"Peso fuera de rango"&amp;" · ","")&amp;IF(AND($S235="Sub",$G235&lt;&gt;""),"Las subactividades no llevan peso"&amp;" · ","")&amp;IF(AND($S235="Macro",ABS(SUMIFS($G$5:$G$1000,$P$5:$P$1000,$P235,$S$5:$S$1000,"Macro")-1)&gt;0.0001),"Pesos del mes suman "&amp;TEXT(SUMIFS($G$5:$G$1000,$P$5:$P$1000,$P235,$S$5:$S$1000,"Macro"),"0%")&amp;" · ","")&amp;IF(AND(N($T235)&gt;0,COUNT($H235:$K235)&gt;0),"Con subactividades: deje vacías las semanas (se calculan solas)"&amp;" · ","")&amp;IF((COUNTIF($H235:$K235,"&gt;1")+COUNTIF($H235:$K235,"&lt;0")+COUNTA($H235:$K235)-COUNT($H235:$K235))&gt;0,"Avance fuera de rango 0-100%"&amp;" · ","")&amp;IF(OR(AND($I235&lt;&gt;"",$I235&lt;$H235),AND($J235&lt;&gt;"",$J235&lt;MAX($H235:$I235)),AND($K235&lt;&gt;"",$K235&lt;MAX($H235:$J235))),"Avance semanal decreciente"&amp;" · ","")&amp;IF(AND(ISNUMBER($F235),$F235&lt;FechaRef,N($L235)&lt;1),"Vencida"&amp;" · ","")&amp;IF(AND(ObsObligatoria="Sí",ISNUMBER($F235),$F235&lt;FechaRef,N($L235)&lt;1,$N235=""),"Vencida sin observación"&amp;" · ",""))-3)))</f>
        <v/>
      </c>
      <c r="P235" s="69">
        <f>IF(NOT((COUNTA($B235:$K235)+COUNTA($N235))&gt;0),"",IF(AND($S235="Sub",N($R235)&gt;0),IF(ISNUMBER(INDEX($E$5:$E$1000,$R235-4)),DATE(YEAR(INDEX($E$5:$E$1000,$R235-4)),MONTH(INDEX($E$5:$E$1000,$R235-4)),1),IF(ISNUMBER(INDEX($F$5:$F$1000,$R235-4)),DATE(YEAR(INDEX($F$5:$F$1000,$R235-4)),MONTH(INDEX($F$5:$F$1000,$R235-4)),1),MesCiclo)),IF(ISNUMBER($E235),DATE(YEAR($E235),MONTH($E235),1),IF(ISNUMBER($F235),DATE(YEAR($F235),MONTH($F235),1),MesCiclo))))</f>
        <v/>
      </c>
      <c r="Q235" s="70">
        <f>IF(OR($P235="",$P235&lt;&gt;MesCiclo),"",COUNTIF($P$5:$P235,MesCiclo))</f>
        <v/>
      </c>
      <c r="R235" s="70">
        <f>IF($S235="","",IF($S235="Macro",ROW(),IFERROR(LOOKUP(2,1/($S$5:$S235="Macro"),ROW($S$5:$S235)),0)))</f>
        <v/>
      </c>
      <c r="S235" s="70">
        <f>IF(NOT((COUNTA($B235:$K235)+COUNTA($N235))&gt;0),"",IF($B235&lt;&gt;"","Macro",IF($C235&lt;&gt;"","Sub","Macro")))</f>
        <v/>
      </c>
      <c r="T235" s="70">
        <f>IF($S235="Macro",COUNTIFS($R$5:$R$1000,ROW(),$S$5:$S$1000,"Sub"),"")</f>
        <v/>
      </c>
      <c r="U235" s="70">
        <f>IF($S235="","",IF(ISNUMBER($H235),$H235,0))</f>
        <v/>
      </c>
      <c r="V235" s="70">
        <f>IF($S235="","",IF(ISNUMBER($I235),$I235,$U235))</f>
        <v/>
      </c>
      <c r="W235" s="70">
        <f>IF($S235="","",IF(ISNUMBER($J235),$J235,$V235))</f>
        <v/>
      </c>
      <c r="X235" s="70">
        <f>IF($S235="","",IF(ISNUMBER($K235),$K235,$W235))</f>
        <v/>
      </c>
      <c r="Y235" s="70">
        <f>IF($S235="","",IF(N($T235)&gt;0,AVERAGEIFS($U$5:$U$1000,$R$5:$R$1000,ROW(),$S$5:$S$1000,"Sub"),$U235))</f>
        <v/>
      </c>
      <c r="Z235" s="70">
        <f>IF($S235="","",IF(N($T235)&gt;0,AVERAGEIFS($V$5:$V$1000,$R$5:$R$1000,ROW(),$S$5:$S$1000,"Sub"),$V235))</f>
        <v/>
      </c>
      <c r="AA235" s="70">
        <f>IF($S235="","",IF(N($T235)&gt;0,AVERAGEIFS($W$5:$W$1000,$R$5:$R$1000,ROW(),$S$5:$S$1000,"Sub"),$W235))</f>
        <v/>
      </c>
      <c r="AB235" s="70">
        <f>IF($S235="","",IF(N($T235)&gt;0,AVERAGEIFS($X$5:$X$1000,$R$5:$R$1000,ROW(),$S$5:$S$1000,"Sub"),$X235))</f>
        <v/>
      </c>
    </row>
    <row r="236">
      <c r="A236" s="61">
        <f>IF(NOT((COUNTA($B236:$K236)+COUNTA($N236))&gt;0),"",IF($S236="Macro",COUNTIFS($S$5:$S236,"Macro",$P$5:$P236,$P236),IF(N($R236)=0,"?",COUNTIFS(INDEX($S$5:$S$1000,1):INDEX($S$5:$S$1000,$R236-4),"Macro",INDEX($P$5:$P$1000,1):INDEX($P$5:$P$1000,$R236-4),INDEX($P$5:$P$1000,$R236-4))&amp;"."&amp;COUNTIFS($R$5:$R236,$R236,$S$5:$S236,"Sub"))))</f>
        <v/>
      </c>
      <c r="B236" s="62" t="n"/>
      <c r="C236" s="63" t="n"/>
      <c r="D236" s="62" t="n"/>
      <c r="E236" s="64" t="n"/>
      <c r="F236" s="64" t="n"/>
      <c r="G236" s="65" t="n"/>
      <c r="H236" s="66" t="n"/>
      <c r="I236" s="66" t="n"/>
      <c r="J236" s="66" t="n"/>
      <c r="K236" s="66" t="n"/>
      <c r="L236" s="67">
        <f>IF(NOT((COUNTA($B236:$K236)+COUNTA($N236))&gt;0),"",IF(N($T236)&gt;0,$AB236,IFERROR(LOOKUP(2,1/(H236:K236&lt;&gt;""),H236:K236),0)))</f>
        <v/>
      </c>
      <c r="M236" s="61">
        <f>IF(L236="","",IF(L236&gt;=1,"Completado",IF(L236&gt;0,"En curso","Pendiente")))</f>
        <v/>
      </c>
      <c r="N236" s="62" t="n"/>
      <c r="O236" s="68">
        <f>IF(NOT((COUNTA($B236:$K236)+COUNTA($N236))&gt;0),"",IF((IF(AND($S236="Macro",$B236=""),"Macroactividad vacía"&amp;" · ","")&amp;IF(AND($B236&lt;&gt;"",$C236&lt;&gt;""),"Escriba la subactividad en otra fila, debajo de su macroactividad"&amp;" · ","")&amp;IF(AND($S236="Sub",N($R236)=0),"Subactividad sin macroactividad arriba"&amp;" · ","")&amp;IF($D236="","Sin responsable"&amp;" · ","")&amp;IF($E236="","Sin fecha de inicio"&amp;" · ","")&amp;IF($F236="","Sin fecha límite"&amp;" · ","")&amp;IF(OR(AND($E236&lt;&gt;"",NOT(ISNUMBER($E236))),AND($F236&lt;&gt;"",NOT(ISNUMBER($F236)))),"Fecha no válida"&amp;" · ","")&amp;IF(AND(ISNUMBER($E236),ISNUMBER($F236),$E236&gt;$F236),"Inicio posterior a fecha límite"&amp;" · ","")&amp;IF(AND($S236="Macro",$G236=""),"Peso vacío"&amp;" · ","")&amp;IF(AND($S236="Macro",$G236&lt;&gt;"",OR(NOT(ISNUMBER($G236)),$G236&lt;=0,$G236&gt;1)),"Peso fuera de rango"&amp;" · ","")&amp;IF(AND($S236="Sub",$G236&lt;&gt;""),"Las subactividades no llevan peso"&amp;" · ","")&amp;IF(AND($S236="Macro",ABS(SUMIFS($G$5:$G$1000,$P$5:$P$1000,$P236,$S$5:$S$1000,"Macro")-1)&gt;0.0001),"Pesos del mes suman "&amp;TEXT(SUMIFS($G$5:$G$1000,$P$5:$P$1000,$P236,$S$5:$S$1000,"Macro"),"0%")&amp;" · ","")&amp;IF(AND(N($T236)&gt;0,COUNT($H236:$K236)&gt;0),"Con subactividades: deje vacías las semanas (se calculan solas)"&amp;" · ","")&amp;IF((COUNTIF($H236:$K236,"&gt;1")+COUNTIF($H236:$K236,"&lt;0")+COUNTA($H236:$K236)-COUNT($H236:$K236))&gt;0,"Avance fuera de rango 0-100%"&amp;" · ","")&amp;IF(OR(AND($I236&lt;&gt;"",$I236&lt;$H236),AND($J236&lt;&gt;"",$J236&lt;MAX($H236:$I236)),AND($K236&lt;&gt;"",$K236&lt;MAX($H236:$J236))),"Avance semanal decreciente"&amp;" · ","")&amp;IF(AND(ISNUMBER($F236),$F236&lt;FechaRef,N($L236)&lt;1),"Vencida"&amp;" · ","")&amp;IF(AND(ObsObligatoria="Sí",ISNUMBER($F236),$F236&lt;FechaRef,N($L236)&lt;1,$N236=""),"Vencida sin observación"&amp;" · ",""))="","✔ OK","⚠ "&amp;LEFT(IF(AND($S236="Macro",$B236=""),"Macroactividad vacía"&amp;" · ","")&amp;IF(AND($B236&lt;&gt;"",$C236&lt;&gt;""),"Escriba la subactividad en otra fila, debajo de su macroactividad"&amp;" · ","")&amp;IF(AND($S236="Sub",N($R236)=0),"Subactividad sin macroactividad arriba"&amp;" · ","")&amp;IF($D236="","Sin responsable"&amp;" · ","")&amp;IF($E236="","Sin fecha de inicio"&amp;" · ","")&amp;IF($F236="","Sin fecha límite"&amp;" · ","")&amp;IF(OR(AND($E236&lt;&gt;"",NOT(ISNUMBER($E236))),AND($F236&lt;&gt;"",NOT(ISNUMBER($F236)))),"Fecha no válida"&amp;" · ","")&amp;IF(AND(ISNUMBER($E236),ISNUMBER($F236),$E236&gt;$F236),"Inicio posterior a fecha límite"&amp;" · ","")&amp;IF(AND($S236="Macro",$G236=""),"Peso vacío"&amp;" · ","")&amp;IF(AND($S236="Macro",$G236&lt;&gt;"",OR(NOT(ISNUMBER($G236)),$G236&lt;=0,$G236&gt;1)),"Peso fuera de rango"&amp;" · ","")&amp;IF(AND($S236="Sub",$G236&lt;&gt;""),"Las subactividades no llevan peso"&amp;" · ","")&amp;IF(AND($S236="Macro",ABS(SUMIFS($G$5:$G$1000,$P$5:$P$1000,$P236,$S$5:$S$1000,"Macro")-1)&gt;0.0001),"Pesos del mes suman "&amp;TEXT(SUMIFS($G$5:$G$1000,$P$5:$P$1000,$P236,$S$5:$S$1000,"Macro"),"0%")&amp;" · ","")&amp;IF(AND(N($T236)&gt;0,COUNT($H236:$K236)&gt;0),"Con subactividades: deje vacías las semanas (se calculan solas)"&amp;" · ","")&amp;IF((COUNTIF($H236:$K236,"&gt;1")+COUNTIF($H236:$K236,"&lt;0")+COUNTA($H236:$K236)-COUNT($H236:$K236))&gt;0,"Avance fuera de rango 0-100%"&amp;" · ","")&amp;IF(OR(AND($I236&lt;&gt;"",$I236&lt;$H236),AND($J236&lt;&gt;"",$J236&lt;MAX($H236:$I236)),AND($K236&lt;&gt;"",$K236&lt;MAX($H236:$J236))),"Avance semanal decreciente"&amp;" · ","")&amp;IF(AND(ISNUMBER($F236),$F236&lt;FechaRef,N($L236)&lt;1),"Vencida"&amp;" · ","")&amp;IF(AND(ObsObligatoria="Sí",ISNUMBER($F236),$F236&lt;FechaRef,N($L236)&lt;1,$N236=""),"Vencida sin observación"&amp;" · ",""),LEN(IF(AND($S236="Macro",$B236=""),"Macroactividad vacía"&amp;" · ","")&amp;IF(AND($B236&lt;&gt;"",$C236&lt;&gt;""),"Escriba la subactividad en otra fila, debajo de su macroactividad"&amp;" · ","")&amp;IF(AND($S236="Sub",N($R236)=0),"Subactividad sin macroactividad arriba"&amp;" · ","")&amp;IF($D236="","Sin responsable"&amp;" · ","")&amp;IF($E236="","Sin fecha de inicio"&amp;" · ","")&amp;IF($F236="","Sin fecha límite"&amp;" · ","")&amp;IF(OR(AND($E236&lt;&gt;"",NOT(ISNUMBER($E236))),AND($F236&lt;&gt;"",NOT(ISNUMBER($F236)))),"Fecha no válida"&amp;" · ","")&amp;IF(AND(ISNUMBER($E236),ISNUMBER($F236),$E236&gt;$F236),"Inicio posterior a fecha límite"&amp;" · ","")&amp;IF(AND($S236="Macro",$G236=""),"Peso vacío"&amp;" · ","")&amp;IF(AND($S236="Macro",$G236&lt;&gt;"",OR(NOT(ISNUMBER($G236)),$G236&lt;=0,$G236&gt;1)),"Peso fuera de rango"&amp;" · ","")&amp;IF(AND($S236="Sub",$G236&lt;&gt;""),"Las subactividades no llevan peso"&amp;" · ","")&amp;IF(AND($S236="Macro",ABS(SUMIFS($G$5:$G$1000,$P$5:$P$1000,$P236,$S$5:$S$1000,"Macro")-1)&gt;0.0001),"Pesos del mes suman "&amp;TEXT(SUMIFS($G$5:$G$1000,$P$5:$P$1000,$P236,$S$5:$S$1000,"Macro"),"0%")&amp;" · ","")&amp;IF(AND(N($T236)&gt;0,COUNT($H236:$K236)&gt;0),"Con subactividades: deje vacías las semanas (se calculan solas)"&amp;" · ","")&amp;IF((COUNTIF($H236:$K236,"&gt;1")+COUNTIF($H236:$K236,"&lt;0")+COUNTA($H236:$K236)-COUNT($H236:$K236))&gt;0,"Avance fuera de rango 0-100%"&amp;" · ","")&amp;IF(OR(AND($I236&lt;&gt;"",$I236&lt;$H236),AND($J236&lt;&gt;"",$J236&lt;MAX($H236:$I236)),AND($K236&lt;&gt;"",$K236&lt;MAX($H236:$J236))),"Avance semanal decreciente"&amp;" · ","")&amp;IF(AND(ISNUMBER($F236),$F236&lt;FechaRef,N($L236)&lt;1),"Vencida"&amp;" · ","")&amp;IF(AND(ObsObligatoria="Sí",ISNUMBER($F236),$F236&lt;FechaRef,N($L236)&lt;1,$N236=""),"Vencida sin observación"&amp;" · ",""))-3)))</f>
        <v/>
      </c>
      <c r="P236" s="69">
        <f>IF(NOT((COUNTA($B236:$K236)+COUNTA($N236))&gt;0),"",IF(AND($S236="Sub",N($R236)&gt;0),IF(ISNUMBER(INDEX($E$5:$E$1000,$R236-4)),DATE(YEAR(INDEX($E$5:$E$1000,$R236-4)),MONTH(INDEX($E$5:$E$1000,$R236-4)),1),IF(ISNUMBER(INDEX($F$5:$F$1000,$R236-4)),DATE(YEAR(INDEX($F$5:$F$1000,$R236-4)),MONTH(INDEX($F$5:$F$1000,$R236-4)),1),MesCiclo)),IF(ISNUMBER($E236),DATE(YEAR($E236),MONTH($E236),1),IF(ISNUMBER($F236),DATE(YEAR($F236),MONTH($F236),1),MesCiclo))))</f>
        <v/>
      </c>
      <c r="Q236" s="70">
        <f>IF(OR($P236="",$P236&lt;&gt;MesCiclo),"",COUNTIF($P$5:$P236,MesCiclo))</f>
        <v/>
      </c>
      <c r="R236" s="70">
        <f>IF($S236="","",IF($S236="Macro",ROW(),IFERROR(LOOKUP(2,1/($S$5:$S236="Macro"),ROW($S$5:$S236)),0)))</f>
        <v/>
      </c>
      <c r="S236" s="70">
        <f>IF(NOT((COUNTA($B236:$K236)+COUNTA($N236))&gt;0),"",IF($B236&lt;&gt;"","Macro",IF($C236&lt;&gt;"","Sub","Macro")))</f>
        <v/>
      </c>
      <c r="T236" s="70">
        <f>IF($S236="Macro",COUNTIFS($R$5:$R$1000,ROW(),$S$5:$S$1000,"Sub"),"")</f>
        <v/>
      </c>
      <c r="U236" s="70">
        <f>IF($S236="","",IF(ISNUMBER($H236),$H236,0))</f>
        <v/>
      </c>
      <c r="V236" s="70">
        <f>IF($S236="","",IF(ISNUMBER($I236),$I236,$U236))</f>
        <v/>
      </c>
      <c r="W236" s="70">
        <f>IF($S236="","",IF(ISNUMBER($J236),$J236,$V236))</f>
        <v/>
      </c>
      <c r="X236" s="70">
        <f>IF($S236="","",IF(ISNUMBER($K236),$K236,$W236))</f>
        <v/>
      </c>
      <c r="Y236" s="70">
        <f>IF($S236="","",IF(N($T236)&gt;0,AVERAGEIFS($U$5:$U$1000,$R$5:$R$1000,ROW(),$S$5:$S$1000,"Sub"),$U236))</f>
        <v/>
      </c>
      <c r="Z236" s="70">
        <f>IF($S236="","",IF(N($T236)&gt;0,AVERAGEIFS($V$5:$V$1000,$R$5:$R$1000,ROW(),$S$5:$S$1000,"Sub"),$V236))</f>
        <v/>
      </c>
      <c r="AA236" s="70">
        <f>IF($S236="","",IF(N($T236)&gt;0,AVERAGEIFS($W$5:$W$1000,$R$5:$R$1000,ROW(),$S$5:$S$1000,"Sub"),$W236))</f>
        <v/>
      </c>
      <c r="AB236" s="70">
        <f>IF($S236="","",IF(N($T236)&gt;0,AVERAGEIFS($X$5:$X$1000,$R$5:$R$1000,ROW(),$S$5:$S$1000,"Sub"),$X236))</f>
        <v/>
      </c>
    </row>
    <row r="237">
      <c r="A237" s="61">
        <f>IF(NOT((COUNTA($B237:$K237)+COUNTA($N237))&gt;0),"",IF($S237="Macro",COUNTIFS($S$5:$S237,"Macro",$P$5:$P237,$P237),IF(N($R237)=0,"?",COUNTIFS(INDEX($S$5:$S$1000,1):INDEX($S$5:$S$1000,$R237-4),"Macro",INDEX($P$5:$P$1000,1):INDEX($P$5:$P$1000,$R237-4),INDEX($P$5:$P$1000,$R237-4))&amp;"."&amp;COUNTIFS($R$5:$R237,$R237,$S$5:$S237,"Sub"))))</f>
        <v/>
      </c>
      <c r="B237" s="62" t="n"/>
      <c r="C237" s="63" t="n"/>
      <c r="D237" s="62" t="n"/>
      <c r="E237" s="64" t="n"/>
      <c r="F237" s="64" t="n"/>
      <c r="G237" s="65" t="n"/>
      <c r="H237" s="66" t="n"/>
      <c r="I237" s="66" t="n"/>
      <c r="J237" s="66" t="n"/>
      <c r="K237" s="66" t="n"/>
      <c r="L237" s="67">
        <f>IF(NOT((COUNTA($B237:$K237)+COUNTA($N237))&gt;0),"",IF(N($T237)&gt;0,$AB237,IFERROR(LOOKUP(2,1/(H237:K237&lt;&gt;""),H237:K237),0)))</f>
        <v/>
      </c>
      <c r="M237" s="61">
        <f>IF(L237="","",IF(L237&gt;=1,"Completado",IF(L237&gt;0,"En curso","Pendiente")))</f>
        <v/>
      </c>
      <c r="N237" s="62" t="n"/>
      <c r="O237" s="68">
        <f>IF(NOT((COUNTA($B237:$K237)+COUNTA($N237))&gt;0),"",IF((IF(AND($S237="Macro",$B237=""),"Macroactividad vacía"&amp;" · ","")&amp;IF(AND($B237&lt;&gt;"",$C237&lt;&gt;""),"Escriba la subactividad en otra fila, debajo de su macroactividad"&amp;" · ","")&amp;IF(AND($S237="Sub",N($R237)=0),"Subactividad sin macroactividad arriba"&amp;" · ","")&amp;IF($D237="","Sin responsable"&amp;" · ","")&amp;IF($E237="","Sin fecha de inicio"&amp;" · ","")&amp;IF($F237="","Sin fecha límite"&amp;" · ","")&amp;IF(OR(AND($E237&lt;&gt;"",NOT(ISNUMBER($E237))),AND($F237&lt;&gt;"",NOT(ISNUMBER($F237)))),"Fecha no válida"&amp;" · ","")&amp;IF(AND(ISNUMBER($E237),ISNUMBER($F237),$E237&gt;$F237),"Inicio posterior a fecha límite"&amp;" · ","")&amp;IF(AND($S237="Macro",$G237=""),"Peso vacío"&amp;" · ","")&amp;IF(AND($S237="Macro",$G237&lt;&gt;"",OR(NOT(ISNUMBER($G237)),$G237&lt;=0,$G237&gt;1)),"Peso fuera de rango"&amp;" · ","")&amp;IF(AND($S237="Sub",$G237&lt;&gt;""),"Las subactividades no llevan peso"&amp;" · ","")&amp;IF(AND($S237="Macro",ABS(SUMIFS($G$5:$G$1000,$P$5:$P$1000,$P237,$S$5:$S$1000,"Macro")-1)&gt;0.0001),"Pesos del mes suman "&amp;TEXT(SUMIFS($G$5:$G$1000,$P$5:$P$1000,$P237,$S$5:$S$1000,"Macro"),"0%")&amp;" · ","")&amp;IF(AND(N($T237)&gt;0,COUNT($H237:$K237)&gt;0),"Con subactividades: deje vacías las semanas (se calculan solas)"&amp;" · ","")&amp;IF((COUNTIF($H237:$K237,"&gt;1")+COUNTIF($H237:$K237,"&lt;0")+COUNTA($H237:$K237)-COUNT($H237:$K237))&gt;0,"Avance fuera de rango 0-100%"&amp;" · ","")&amp;IF(OR(AND($I237&lt;&gt;"",$I237&lt;$H237),AND($J237&lt;&gt;"",$J237&lt;MAX($H237:$I237)),AND($K237&lt;&gt;"",$K237&lt;MAX($H237:$J237))),"Avance semanal decreciente"&amp;" · ","")&amp;IF(AND(ISNUMBER($F237),$F237&lt;FechaRef,N($L237)&lt;1),"Vencida"&amp;" · ","")&amp;IF(AND(ObsObligatoria="Sí",ISNUMBER($F237),$F237&lt;FechaRef,N($L237)&lt;1,$N237=""),"Vencida sin observación"&amp;" · ",""))="","✔ OK","⚠ "&amp;LEFT(IF(AND($S237="Macro",$B237=""),"Macroactividad vacía"&amp;" · ","")&amp;IF(AND($B237&lt;&gt;"",$C237&lt;&gt;""),"Escriba la subactividad en otra fila, debajo de su macroactividad"&amp;" · ","")&amp;IF(AND($S237="Sub",N($R237)=0),"Subactividad sin macroactividad arriba"&amp;" · ","")&amp;IF($D237="","Sin responsable"&amp;" · ","")&amp;IF($E237="","Sin fecha de inicio"&amp;" · ","")&amp;IF($F237="","Sin fecha límite"&amp;" · ","")&amp;IF(OR(AND($E237&lt;&gt;"",NOT(ISNUMBER($E237))),AND($F237&lt;&gt;"",NOT(ISNUMBER($F237)))),"Fecha no válida"&amp;" · ","")&amp;IF(AND(ISNUMBER($E237),ISNUMBER($F237),$E237&gt;$F237),"Inicio posterior a fecha límite"&amp;" · ","")&amp;IF(AND($S237="Macro",$G237=""),"Peso vacío"&amp;" · ","")&amp;IF(AND($S237="Macro",$G237&lt;&gt;"",OR(NOT(ISNUMBER($G237)),$G237&lt;=0,$G237&gt;1)),"Peso fuera de rango"&amp;" · ","")&amp;IF(AND($S237="Sub",$G237&lt;&gt;""),"Las subactividades no llevan peso"&amp;" · ","")&amp;IF(AND($S237="Macro",ABS(SUMIFS($G$5:$G$1000,$P$5:$P$1000,$P237,$S$5:$S$1000,"Macro")-1)&gt;0.0001),"Pesos del mes suman "&amp;TEXT(SUMIFS($G$5:$G$1000,$P$5:$P$1000,$P237,$S$5:$S$1000,"Macro"),"0%")&amp;" · ","")&amp;IF(AND(N($T237)&gt;0,COUNT($H237:$K237)&gt;0),"Con subactividades: deje vacías las semanas (se calculan solas)"&amp;" · ","")&amp;IF((COUNTIF($H237:$K237,"&gt;1")+COUNTIF($H237:$K237,"&lt;0")+COUNTA($H237:$K237)-COUNT($H237:$K237))&gt;0,"Avance fuera de rango 0-100%"&amp;" · ","")&amp;IF(OR(AND($I237&lt;&gt;"",$I237&lt;$H237),AND($J237&lt;&gt;"",$J237&lt;MAX($H237:$I237)),AND($K237&lt;&gt;"",$K237&lt;MAX($H237:$J237))),"Avance semanal decreciente"&amp;" · ","")&amp;IF(AND(ISNUMBER($F237),$F237&lt;FechaRef,N($L237)&lt;1),"Vencida"&amp;" · ","")&amp;IF(AND(ObsObligatoria="Sí",ISNUMBER($F237),$F237&lt;FechaRef,N($L237)&lt;1,$N237=""),"Vencida sin observación"&amp;" · ",""),LEN(IF(AND($S237="Macro",$B237=""),"Macroactividad vacía"&amp;" · ","")&amp;IF(AND($B237&lt;&gt;"",$C237&lt;&gt;""),"Escriba la subactividad en otra fila, debajo de su macroactividad"&amp;" · ","")&amp;IF(AND($S237="Sub",N($R237)=0),"Subactividad sin macroactividad arriba"&amp;" · ","")&amp;IF($D237="","Sin responsable"&amp;" · ","")&amp;IF($E237="","Sin fecha de inicio"&amp;" · ","")&amp;IF($F237="","Sin fecha límite"&amp;" · ","")&amp;IF(OR(AND($E237&lt;&gt;"",NOT(ISNUMBER($E237))),AND($F237&lt;&gt;"",NOT(ISNUMBER($F237)))),"Fecha no válida"&amp;" · ","")&amp;IF(AND(ISNUMBER($E237),ISNUMBER($F237),$E237&gt;$F237),"Inicio posterior a fecha límite"&amp;" · ","")&amp;IF(AND($S237="Macro",$G237=""),"Peso vacío"&amp;" · ","")&amp;IF(AND($S237="Macro",$G237&lt;&gt;"",OR(NOT(ISNUMBER($G237)),$G237&lt;=0,$G237&gt;1)),"Peso fuera de rango"&amp;" · ","")&amp;IF(AND($S237="Sub",$G237&lt;&gt;""),"Las subactividades no llevan peso"&amp;" · ","")&amp;IF(AND($S237="Macro",ABS(SUMIFS($G$5:$G$1000,$P$5:$P$1000,$P237,$S$5:$S$1000,"Macro")-1)&gt;0.0001),"Pesos del mes suman "&amp;TEXT(SUMIFS($G$5:$G$1000,$P$5:$P$1000,$P237,$S$5:$S$1000,"Macro"),"0%")&amp;" · ","")&amp;IF(AND(N($T237)&gt;0,COUNT($H237:$K237)&gt;0),"Con subactividades: deje vacías las semanas (se calculan solas)"&amp;" · ","")&amp;IF((COUNTIF($H237:$K237,"&gt;1")+COUNTIF($H237:$K237,"&lt;0")+COUNTA($H237:$K237)-COUNT($H237:$K237))&gt;0,"Avance fuera de rango 0-100%"&amp;" · ","")&amp;IF(OR(AND($I237&lt;&gt;"",$I237&lt;$H237),AND($J237&lt;&gt;"",$J237&lt;MAX($H237:$I237)),AND($K237&lt;&gt;"",$K237&lt;MAX($H237:$J237))),"Avance semanal decreciente"&amp;" · ","")&amp;IF(AND(ISNUMBER($F237),$F237&lt;FechaRef,N($L237)&lt;1),"Vencida"&amp;" · ","")&amp;IF(AND(ObsObligatoria="Sí",ISNUMBER($F237),$F237&lt;FechaRef,N($L237)&lt;1,$N237=""),"Vencida sin observación"&amp;" · ",""))-3)))</f>
        <v/>
      </c>
      <c r="P237" s="69">
        <f>IF(NOT((COUNTA($B237:$K237)+COUNTA($N237))&gt;0),"",IF(AND($S237="Sub",N($R237)&gt;0),IF(ISNUMBER(INDEX($E$5:$E$1000,$R237-4)),DATE(YEAR(INDEX($E$5:$E$1000,$R237-4)),MONTH(INDEX($E$5:$E$1000,$R237-4)),1),IF(ISNUMBER(INDEX($F$5:$F$1000,$R237-4)),DATE(YEAR(INDEX($F$5:$F$1000,$R237-4)),MONTH(INDEX($F$5:$F$1000,$R237-4)),1),MesCiclo)),IF(ISNUMBER($E237),DATE(YEAR($E237),MONTH($E237),1),IF(ISNUMBER($F237),DATE(YEAR($F237),MONTH($F237),1),MesCiclo))))</f>
        <v/>
      </c>
      <c r="Q237" s="70">
        <f>IF(OR($P237="",$P237&lt;&gt;MesCiclo),"",COUNTIF($P$5:$P237,MesCiclo))</f>
        <v/>
      </c>
      <c r="R237" s="70">
        <f>IF($S237="","",IF($S237="Macro",ROW(),IFERROR(LOOKUP(2,1/($S$5:$S237="Macro"),ROW($S$5:$S237)),0)))</f>
        <v/>
      </c>
      <c r="S237" s="70">
        <f>IF(NOT((COUNTA($B237:$K237)+COUNTA($N237))&gt;0),"",IF($B237&lt;&gt;"","Macro",IF($C237&lt;&gt;"","Sub","Macro")))</f>
        <v/>
      </c>
      <c r="T237" s="70">
        <f>IF($S237="Macro",COUNTIFS($R$5:$R$1000,ROW(),$S$5:$S$1000,"Sub"),"")</f>
        <v/>
      </c>
      <c r="U237" s="70">
        <f>IF($S237="","",IF(ISNUMBER($H237),$H237,0))</f>
        <v/>
      </c>
      <c r="V237" s="70">
        <f>IF($S237="","",IF(ISNUMBER($I237),$I237,$U237))</f>
        <v/>
      </c>
      <c r="W237" s="70">
        <f>IF($S237="","",IF(ISNUMBER($J237),$J237,$V237))</f>
        <v/>
      </c>
      <c r="X237" s="70">
        <f>IF($S237="","",IF(ISNUMBER($K237),$K237,$W237))</f>
        <v/>
      </c>
      <c r="Y237" s="70">
        <f>IF($S237="","",IF(N($T237)&gt;0,AVERAGEIFS($U$5:$U$1000,$R$5:$R$1000,ROW(),$S$5:$S$1000,"Sub"),$U237))</f>
        <v/>
      </c>
      <c r="Z237" s="70">
        <f>IF($S237="","",IF(N($T237)&gt;0,AVERAGEIFS($V$5:$V$1000,$R$5:$R$1000,ROW(),$S$5:$S$1000,"Sub"),$V237))</f>
        <v/>
      </c>
      <c r="AA237" s="70">
        <f>IF($S237="","",IF(N($T237)&gt;0,AVERAGEIFS($W$5:$W$1000,$R$5:$R$1000,ROW(),$S$5:$S$1000,"Sub"),$W237))</f>
        <v/>
      </c>
      <c r="AB237" s="70">
        <f>IF($S237="","",IF(N($T237)&gt;0,AVERAGEIFS($X$5:$X$1000,$R$5:$R$1000,ROW(),$S$5:$S$1000,"Sub"),$X237))</f>
        <v/>
      </c>
    </row>
    <row r="238">
      <c r="A238" s="61">
        <f>IF(NOT((COUNTA($B238:$K238)+COUNTA($N238))&gt;0),"",IF($S238="Macro",COUNTIFS($S$5:$S238,"Macro",$P$5:$P238,$P238),IF(N($R238)=0,"?",COUNTIFS(INDEX($S$5:$S$1000,1):INDEX($S$5:$S$1000,$R238-4),"Macro",INDEX($P$5:$P$1000,1):INDEX($P$5:$P$1000,$R238-4),INDEX($P$5:$P$1000,$R238-4))&amp;"."&amp;COUNTIFS($R$5:$R238,$R238,$S$5:$S238,"Sub"))))</f>
        <v/>
      </c>
      <c r="B238" s="62" t="n"/>
      <c r="C238" s="63" t="n"/>
      <c r="D238" s="62" t="n"/>
      <c r="E238" s="64" t="n"/>
      <c r="F238" s="64" t="n"/>
      <c r="G238" s="65" t="n"/>
      <c r="H238" s="66" t="n"/>
      <c r="I238" s="66" t="n"/>
      <c r="J238" s="66" t="n"/>
      <c r="K238" s="66" t="n"/>
      <c r="L238" s="67">
        <f>IF(NOT((COUNTA($B238:$K238)+COUNTA($N238))&gt;0),"",IF(N($T238)&gt;0,$AB238,IFERROR(LOOKUP(2,1/(H238:K238&lt;&gt;""),H238:K238),0)))</f>
        <v/>
      </c>
      <c r="M238" s="61">
        <f>IF(L238="","",IF(L238&gt;=1,"Completado",IF(L238&gt;0,"En curso","Pendiente")))</f>
        <v/>
      </c>
      <c r="N238" s="62" t="n"/>
      <c r="O238" s="68">
        <f>IF(NOT((COUNTA($B238:$K238)+COUNTA($N238))&gt;0),"",IF((IF(AND($S238="Macro",$B238=""),"Macroactividad vacía"&amp;" · ","")&amp;IF(AND($B238&lt;&gt;"",$C238&lt;&gt;""),"Escriba la subactividad en otra fila, debajo de su macroactividad"&amp;" · ","")&amp;IF(AND($S238="Sub",N($R238)=0),"Subactividad sin macroactividad arriba"&amp;" · ","")&amp;IF($D238="","Sin responsable"&amp;" · ","")&amp;IF($E238="","Sin fecha de inicio"&amp;" · ","")&amp;IF($F238="","Sin fecha límite"&amp;" · ","")&amp;IF(OR(AND($E238&lt;&gt;"",NOT(ISNUMBER($E238))),AND($F238&lt;&gt;"",NOT(ISNUMBER($F238)))),"Fecha no válida"&amp;" · ","")&amp;IF(AND(ISNUMBER($E238),ISNUMBER($F238),$E238&gt;$F238),"Inicio posterior a fecha límite"&amp;" · ","")&amp;IF(AND($S238="Macro",$G238=""),"Peso vacío"&amp;" · ","")&amp;IF(AND($S238="Macro",$G238&lt;&gt;"",OR(NOT(ISNUMBER($G238)),$G238&lt;=0,$G238&gt;1)),"Peso fuera de rango"&amp;" · ","")&amp;IF(AND($S238="Sub",$G238&lt;&gt;""),"Las subactividades no llevan peso"&amp;" · ","")&amp;IF(AND($S238="Macro",ABS(SUMIFS($G$5:$G$1000,$P$5:$P$1000,$P238,$S$5:$S$1000,"Macro")-1)&gt;0.0001),"Pesos del mes suman "&amp;TEXT(SUMIFS($G$5:$G$1000,$P$5:$P$1000,$P238,$S$5:$S$1000,"Macro"),"0%")&amp;" · ","")&amp;IF(AND(N($T238)&gt;0,COUNT($H238:$K238)&gt;0),"Con subactividades: deje vacías las semanas (se calculan solas)"&amp;" · ","")&amp;IF((COUNTIF($H238:$K238,"&gt;1")+COUNTIF($H238:$K238,"&lt;0")+COUNTA($H238:$K238)-COUNT($H238:$K238))&gt;0,"Avance fuera de rango 0-100%"&amp;" · ","")&amp;IF(OR(AND($I238&lt;&gt;"",$I238&lt;$H238),AND($J238&lt;&gt;"",$J238&lt;MAX($H238:$I238)),AND($K238&lt;&gt;"",$K238&lt;MAX($H238:$J238))),"Avance semanal decreciente"&amp;" · ","")&amp;IF(AND(ISNUMBER($F238),$F238&lt;FechaRef,N($L238)&lt;1),"Vencida"&amp;" · ","")&amp;IF(AND(ObsObligatoria="Sí",ISNUMBER($F238),$F238&lt;FechaRef,N($L238)&lt;1,$N238=""),"Vencida sin observación"&amp;" · ",""))="","✔ OK","⚠ "&amp;LEFT(IF(AND($S238="Macro",$B238=""),"Macroactividad vacía"&amp;" · ","")&amp;IF(AND($B238&lt;&gt;"",$C238&lt;&gt;""),"Escriba la subactividad en otra fila, debajo de su macroactividad"&amp;" · ","")&amp;IF(AND($S238="Sub",N($R238)=0),"Subactividad sin macroactividad arriba"&amp;" · ","")&amp;IF($D238="","Sin responsable"&amp;" · ","")&amp;IF($E238="","Sin fecha de inicio"&amp;" · ","")&amp;IF($F238="","Sin fecha límite"&amp;" · ","")&amp;IF(OR(AND($E238&lt;&gt;"",NOT(ISNUMBER($E238))),AND($F238&lt;&gt;"",NOT(ISNUMBER($F238)))),"Fecha no válida"&amp;" · ","")&amp;IF(AND(ISNUMBER($E238),ISNUMBER($F238),$E238&gt;$F238),"Inicio posterior a fecha límite"&amp;" · ","")&amp;IF(AND($S238="Macro",$G238=""),"Peso vacío"&amp;" · ","")&amp;IF(AND($S238="Macro",$G238&lt;&gt;"",OR(NOT(ISNUMBER($G238)),$G238&lt;=0,$G238&gt;1)),"Peso fuera de rango"&amp;" · ","")&amp;IF(AND($S238="Sub",$G238&lt;&gt;""),"Las subactividades no llevan peso"&amp;" · ","")&amp;IF(AND($S238="Macro",ABS(SUMIFS($G$5:$G$1000,$P$5:$P$1000,$P238,$S$5:$S$1000,"Macro")-1)&gt;0.0001),"Pesos del mes suman "&amp;TEXT(SUMIFS($G$5:$G$1000,$P$5:$P$1000,$P238,$S$5:$S$1000,"Macro"),"0%")&amp;" · ","")&amp;IF(AND(N($T238)&gt;0,COUNT($H238:$K238)&gt;0),"Con subactividades: deje vacías las semanas (se calculan solas)"&amp;" · ","")&amp;IF((COUNTIF($H238:$K238,"&gt;1")+COUNTIF($H238:$K238,"&lt;0")+COUNTA($H238:$K238)-COUNT($H238:$K238))&gt;0,"Avance fuera de rango 0-100%"&amp;" · ","")&amp;IF(OR(AND($I238&lt;&gt;"",$I238&lt;$H238),AND($J238&lt;&gt;"",$J238&lt;MAX($H238:$I238)),AND($K238&lt;&gt;"",$K238&lt;MAX($H238:$J238))),"Avance semanal decreciente"&amp;" · ","")&amp;IF(AND(ISNUMBER($F238),$F238&lt;FechaRef,N($L238)&lt;1),"Vencida"&amp;" · ","")&amp;IF(AND(ObsObligatoria="Sí",ISNUMBER($F238),$F238&lt;FechaRef,N($L238)&lt;1,$N238=""),"Vencida sin observación"&amp;" · ",""),LEN(IF(AND($S238="Macro",$B238=""),"Macroactividad vacía"&amp;" · ","")&amp;IF(AND($B238&lt;&gt;"",$C238&lt;&gt;""),"Escriba la subactividad en otra fila, debajo de su macroactividad"&amp;" · ","")&amp;IF(AND($S238="Sub",N($R238)=0),"Subactividad sin macroactividad arriba"&amp;" · ","")&amp;IF($D238="","Sin responsable"&amp;" · ","")&amp;IF($E238="","Sin fecha de inicio"&amp;" · ","")&amp;IF($F238="","Sin fecha límite"&amp;" · ","")&amp;IF(OR(AND($E238&lt;&gt;"",NOT(ISNUMBER($E238))),AND($F238&lt;&gt;"",NOT(ISNUMBER($F238)))),"Fecha no válida"&amp;" · ","")&amp;IF(AND(ISNUMBER($E238),ISNUMBER($F238),$E238&gt;$F238),"Inicio posterior a fecha límite"&amp;" · ","")&amp;IF(AND($S238="Macro",$G238=""),"Peso vacío"&amp;" · ","")&amp;IF(AND($S238="Macro",$G238&lt;&gt;"",OR(NOT(ISNUMBER($G238)),$G238&lt;=0,$G238&gt;1)),"Peso fuera de rango"&amp;" · ","")&amp;IF(AND($S238="Sub",$G238&lt;&gt;""),"Las subactividades no llevan peso"&amp;" · ","")&amp;IF(AND($S238="Macro",ABS(SUMIFS($G$5:$G$1000,$P$5:$P$1000,$P238,$S$5:$S$1000,"Macro")-1)&gt;0.0001),"Pesos del mes suman "&amp;TEXT(SUMIFS($G$5:$G$1000,$P$5:$P$1000,$P238,$S$5:$S$1000,"Macro"),"0%")&amp;" · ","")&amp;IF(AND(N($T238)&gt;0,COUNT($H238:$K238)&gt;0),"Con subactividades: deje vacías las semanas (se calculan solas)"&amp;" · ","")&amp;IF((COUNTIF($H238:$K238,"&gt;1")+COUNTIF($H238:$K238,"&lt;0")+COUNTA($H238:$K238)-COUNT($H238:$K238))&gt;0,"Avance fuera de rango 0-100%"&amp;" · ","")&amp;IF(OR(AND($I238&lt;&gt;"",$I238&lt;$H238),AND($J238&lt;&gt;"",$J238&lt;MAX($H238:$I238)),AND($K238&lt;&gt;"",$K238&lt;MAX($H238:$J238))),"Avance semanal decreciente"&amp;" · ","")&amp;IF(AND(ISNUMBER($F238),$F238&lt;FechaRef,N($L238)&lt;1),"Vencida"&amp;" · ","")&amp;IF(AND(ObsObligatoria="Sí",ISNUMBER($F238),$F238&lt;FechaRef,N($L238)&lt;1,$N238=""),"Vencida sin observación"&amp;" · ",""))-3)))</f>
        <v/>
      </c>
      <c r="P238" s="69">
        <f>IF(NOT((COUNTA($B238:$K238)+COUNTA($N238))&gt;0),"",IF(AND($S238="Sub",N($R238)&gt;0),IF(ISNUMBER(INDEX($E$5:$E$1000,$R238-4)),DATE(YEAR(INDEX($E$5:$E$1000,$R238-4)),MONTH(INDEX($E$5:$E$1000,$R238-4)),1),IF(ISNUMBER(INDEX($F$5:$F$1000,$R238-4)),DATE(YEAR(INDEX($F$5:$F$1000,$R238-4)),MONTH(INDEX($F$5:$F$1000,$R238-4)),1),MesCiclo)),IF(ISNUMBER($E238),DATE(YEAR($E238),MONTH($E238),1),IF(ISNUMBER($F238),DATE(YEAR($F238),MONTH($F238),1),MesCiclo))))</f>
        <v/>
      </c>
      <c r="Q238" s="70">
        <f>IF(OR($P238="",$P238&lt;&gt;MesCiclo),"",COUNTIF($P$5:$P238,MesCiclo))</f>
        <v/>
      </c>
      <c r="R238" s="70">
        <f>IF($S238="","",IF($S238="Macro",ROW(),IFERROR(LOOKUP(2,1/($S$5:$S238="Macro"),ROW($S$5:$S238)),0)))</f>
        <v/>
      </c>
      <c r="S238" s="70">
        <f>IF(NOT((COUNTA($B238:$K238)+COUNTA($N238))&gt;0),"",IF($B238&lt;&gt;"","Macro",IF($C238&lt;&gt;"","Sub","Macro")))</f>
        <v/>
      </c>
      <c r="T238" s="70">
        <f>IF($S238="Macro",COUNTIFS($R$5:$R$1000,ROW(),$S$5:$S$1000,"Sub"),"")</f>
        <v/>
      </c>
      <c r="U238" s="70">
        <f>IF($S238="","",IF(ISNUMBER($H238),$H238,0))</f>
        <v/>
      </c>
      <c r="V238" s="70">
        <f>IF($S238="","",IF(ISNUMBER($I238),$I238,$U238))</f>
        <v/>
      </c>
      <c r="W238" s="70">
        <f>IF($S238="","",IF(ISNUMBER($J238),$J238,$V238))</f>
        <v/>
      </c>
      <c r="X238" s="70">
        <f>IF($S238="","",IF(ISNUMBER($K238),$K238,$W238))</f>
        <v/>
      </c>
      <c r="Y238" s="70">
        <f>IF($S238="","",IF(N($T238)&gt;0,AVERAGEIFS($U$5:$U$1000,$R$5:$R$1000,ROW(),$S$5:$S$1000,"Sub"),$U238))</f>
        <v/>
      </c>
      <c r="Z238" s="70">
        <f>IF($S238="","",IF(N($T238)&gt;0,AVERAGEIFS($V$5:$V$1000,$R$5:$R$1000,ROW(),$S$5:$S$1000,"Sub"),$V238))</f>
        <v/>
      </c>
      <c r="AA238" s="70">
        <f>IF($S238="","",IF(N($T238)&gt;0,AVERAGEIFS($W$5:$W$1000,$R$5:$R$1000,ROW(),$S$5:$S$1000,"Sub"),$W238))</f>
        <v/>
      </c>
      <c r="AB238" s="70">
        <f>IF($S238="","",IF(N($T238)&gt;0,AVERAGEIFS($X$5:$X$1000,$R$5:$R$1000,ROW(),$S$5:$S$1000,"Sub"),$X238))</f>
        <v/>
      </c>
    </row>
    <row r="239">
      <c r="A239" s="61">
        <f>IF(NOT((COUNTA($B239:$K239)+COUNTA($N239))&gt;0),"",IF($S239="Macro",COUNTIFS($S$5:$S239,"Macro",$P$5:$P239,$P239),IF(N($R239)=0,"?",COUNTIFS(INDEX($S$5:$S$1000,1):INDEX($S$5:$S$1000,$R239-4),"Macro",INDEX($P$5:$P$1000,1):INDEX($P$5:$P$1000,$R239-4),INDEX($P$5:$P$1000,$R239-4))&amp;"."&amp;COUNTIFS($R$5:$R239,$R239,$S$5:$S239,"Sub"))))</f>
        <v/>
      </c>
      <c r="B239" s="62" t="n"/>
      <c r="C239" s="63" t="n"/>
      <c r="D239" s="62" t="n"/>
      <c r="E239" s="64" t="n"/>
      <c r="F239" s="64" t="n"/>
      <c r="G239" s="65" t="n"/>
      <c r="H239" s="66" t="n"/>
      <c r="I239" s="66" t="n"/>
      <c r="J239" s="66" t="n"/>
      <c r="K239" s="66" t="n"/>
      <c r="L239" s="67">
        <f>IF(NOT((COUNTA($B239:$K239)+COUNTA($N239))&gt;0),"",IF(N($T239)&gt;0,$AB239,IFERROR(LOOKUP(2,1/(H239:K239&lt;&gt;""),H239:K239),0)))</f>
        <v/>
      </c>
      <c r="M239" s="61">
        <f>IF(L239="","",IF(L239&gt;=1,"Completado",IF(L239&gt;0,"En curso","Pendiente")))</f>
        <v/>
      </c>
      <c r="N239" s="62" t="n"/>
      <c r="O239" s="68">
        <f>IF(NOT((COUNTA($B239:$K239)+COUNTA($N239))&gt;0),"",IF((IF(AND($S239="Macro",$B239=""),"Macroactividad vacía"&amp;" · ","")&amp;IF(AND($B239&lt;&gt;"",$C239&lt;&gt;""),"Escriba la subactividad en otra fila, debajo de su macroactividad"&amp;" · ","")&amp;IF(AND($S239="Sub",N($R239)=0),"Subactividad sin macroactividad arriba"&amp;" · ","")&amp;IF($D239="","Sin responsable"&amp;" · ","")&amp;IF($E239="","Sin fecha de inicio"&amp;" · ","")&amp;IF($F239="","Sin fecha límite"&amp;" · ","")&amp;IF(OR(AND($E239&lt;&gt;"",NOT(ISNUMBER($E239))),AND($F239&lt;&gt;"",NOT(ISNUMBER($F239)))),"Fecha no válida"&amp;" · ","")&amp;IF(AND(ISNUMBER($E239),ISNUMBER($F239),$E239&gt;$F239),"Inicio posterior a fecha límite"&amp;" · ","")&amp;IF(AND($S239="Macro",$G239=""),"Peso vacío"&amp;" · ","")&amp;IF(AND($S239="Macro",$G239&lt;&gt;"",OR(NOT(ISNUMBER($G239)),$G239&lt;=0,$G239&gt;1)),"Peso fuera de rango"&amp;" · ","")&amp;IF(AND($S239="Sub",$G239&lt;&gt;""),"Las subactividades no llevan peso"&amp;" · ","")&amp;IF(AND($S239="Macro",ABS(SUMIFS($G$5:$G$1000,$P$5:$P$1000,$P239,$S$5:$S$1000,"Macro")-1)&gt;0.0001),"Pesos del mes suman "&amp;TEXT(SUMIFS($G$5:$G$1000,$P$5:$P$1000,$P239,$S$5:$S$1000,"Macro"),"0%")&amp;" · ","")&amp;IF(AND(N($T239)&gt;0,COUNT($H239:$K239)&gt;0),"Con subactividades: deje vacías las semanas (se calculan solas)"&amp;" · ","")&amp;IF((COUNTIF($H239:$K239,"&gt;1")+COUNTIF($H239:$K239,"&lt;0")+COUNTA($H239:$K239)-COUNT($H239:$K239))&gt;0,"Avance fuera de rango 0-100%"&amp;" · ","")&amp;IF(OR(AND($I239&lt;&gt;"",$I239&lt;$H239),AND($J239&lt;&gt;"",$J239&lt;MAX($H239:$I239)),AND($K239&lt;&gt;"",$K239&lt;MAX($H239:$J239))),"Avance semanal decreciente"&amp;" · ","")&amp;IF(AND(ISNUMBER($F239),$F239&lt;FechaRef,N($L239)&lt;1),"Vencida"&amp;" · ","")&amp;IF(AND(ObsObligatoria="Sí",ISNUMBER($F239),$F239&lt;FechaRef,N($L239)&lt;1,$N239=""),"Vencida sin observación"&amp;" · ",""))="","✔ OK","⚠ "&amp;LEFT(IF(AND($S239="Macro",$B239=""),"Macroactividad vacía"&amp;" · ","")&amp;IF(AND($B239&lt;&gt;"",$C239&lt;&gt;""),"Escriba la subactividad en otra fila, debajo de su macroactividad"&amp;" · ","")&amp;IF(AND($S239="Sub",N($R239)=0),"Subactividad sin macroactividad arriba"&amp;" · ","")&amp;IF($D239="","Sin responsable"&amp;" · ","")&amp;IF($E239="","Sin fecha de inicio"&amp;" · ","")&amp;IF($F239="","Sin fecha límite"&amp;" · ","")&amp;IF(OR(AND($E239&lt;&gt;"",NOT(ISNUMBER($E239))),AND($F239&lt;&gt;"",NOT(ISNUMBER($F239)))),"Fecha no válida"&amp;" · ","")&amp;IF(AND(ISNUMBER($E239),ISNUMBER($F239),$E239&gt;$F239),"Inicio posterior a fecha límite"&amp;" · ","")&amp;IF(AND($S239="Macro",$G239=""),"Peso vacío"&amp;" · ","")&amp;IF(AND($S239="Macro",$G239&lt;&gt;"",OR(NOT(ISNUMBER($G239)),$G239&lt;=0,$G239&gt;1)),"Peso fuera de rango"&amp;" · ","")&amp;IF(AND($S239="Sub",$G239&lt;&gt;""),"Las subactividades no llevan peso"&amp;" · ","")&amp;IF(AND($S239="Macro",ABS(SUMIFS($G$5:$G$1000,$P$5:$P$1000,$P239,$S$5:$S$1000,"Macro")-1)&gt;0.0001),"Pesos del mes suman "&amp;TEXT(SUMIFS($G$5:$G$1000,$P$5:$P$1000,$P239,$S$5:$S$1000,"Macro"),"0%")&amp;" · ","")&amp;IF(AND(N($T239)&gt;0,COUNT($H239:$K239)&gt;0),"Con subactividades: deje vacías las semanas (se calculan solas)"&amp;" · ","")&amp;IF((COUNTIF($H239:$K239,"&gt;1")+COUNTIF($H239:$K239,"&lt;0")+COUNTA($H239:$K239)-COUNT($H239:$K239))&gt;0,"Avance fuera de rango 0-100%"&amp;" · ","")&amp;IF(OR(AND($I239&lt;&gt;"",$I239&lt;$H239),AND($J239&lt;&gt;"",$J239&lt;MAX($H239:$I239)),AND($K239&lt;&gt;"",$K239&lt;MAX($H239:$J239))),"Avance semanal decreciente"&amp;" · ","")&amp;IF(AND(ISNUMBER($F239),$F239&lt;FechaRef,N($L239)&lt;1),"Vencida"&amp;" · ","")&amp;IF(AND(ObsObligatoria="Sí",ISNUMBER($F239),$F239&lt;FechaRef,N($L239)&lt;1,$N239=""),"Vencida sin observación"&amp;" · ",""),LEN(IF(AND($S239="Macro",$B239=""),"Macroactividad vacía"&amp;" · ","")&amp;IF(AND($B239&lt;&gt;"",$C239&lt;&gt;""),"Escriba la subactividad en otra fila, debajo de su macroactividad"&amp;" · ","")&amp;IF(AND($S239="Sub",N($R239)=0),"Subactividad sin macroactividad arriba"&amp;" · ","")&amp;IF($D239="","Sin responsable"&amp;" · ","")&amp;IF($E239="","Sin fecha de inicio"&amp;" · ","")&amp;IF($F239="","Sin fecha límite"&amp;" · ","")&amp;IF(OR(AND($E239&lt;&gt;"",NOT(ISNUMBER($E239))),AND($F239&lt;&gt;"",NOT(ISNUMBER($F239)))),"Fecha no válida"&amp;" · ","")&amp;IF(AND(ISNUMBER($E239),ISNUMBER($F239),$E239&gt;$F239),"Inicio posterior a fecha límite"&amp;" · ","")&amp;IF(AND($S239="Macro",$G239=""),"Peso vacío"&amp;" · ","")&amp;IF(AND($S239="Macro",$G239&lt;&gt;"",OR(NOT(ISNUMBER($G239)),$G239&lt;=0,$G239&gt;1)),"Peso fuera de rango"&amp;" · ","")&amp;IF(AND($S239="Sub",$G239&lt;&gt;""),"Las subactividades no llevan peso"&amp;" · ","")&amp;IF(AND($S239="Macro",ABS(SUMIFS($G$5:$G$1000,$P$5:$P$1000,$P239,$S$5:$S$1000,"Macro")-1)&gt;0.0001),"Pesos del mes suman "&amp;TEXT(SUMIFS($G$5:$G$1000,$P$5:$P$1000,$P239,$S$5:$S$1000,"Macro"),"0%")&amp;" · ","")&amp;IF(AND(N($T239)&gt;0,COUNT($H239:$K239)&gt;0),"Con subactividades: deje vacías las semanas (se calculan solas)"&amp;" · ","")&amp;IF((COUNTIF($H239:$K239,"&gt;1")+COUNTIF($H239:$K239,"&lt;0")+COUNTA($H239:$K239)-COUNT($H239:$K239))&gt;0,"Avance fuera de rango 0-100%"&amp;" · ","")&amp;IF(OR(AND($I239&lt;&gt;"",$I239&lt;$H239),AND($J239&lt;&gt;"",$J239&lt;MAX($H239:$I239)),AND($K239&lt;&gt;"",$K239&lt;MAX($H239:$J239))),"Avance semanal decreciente"&amp;" · ","")&amp;IF(AND(ISNUMBER($F239),$F239&lt;FechaRef,N($L239)&lt;1),"Vencida"&amp;" · ","")&amp;IF(AND(ObsObligatoria="Sí",ISNUMBER($F239),$F239&lt;FechaRef,N($L239)&lt;1,$N239=""),"Vencida sin observación"&amp;" · ",""))-3)))</f>
        <v/>
      </c>
      <c r="P239" s="69">
        <f>IF(NOT((COUNTA($B239:$K239)+COUNTA($N239))&gt;0),"",IF(AND($S239="Sub",N($R239)&gt;0),IF(ISNUMBER(INDEX($E$5:$E$1000,$R239-4)),DATE(YEAR(INDEX($E$5:$E$1000,$R239-4)),MONTH(INDEX($E$5:$E$1000,$R239-4)),1),IF(ISNUMBER(INDEX($F$5:$F$1000,$R239-4)),DATE(YEAR(INDEX($F$5:$F$1000,$R239-4)),MONTH(INDEX($F$5:$F$1000,$R239-4)),1),MesCiclo)),IF(ISNUMBER($E239),DATE(YEAR($E239),MONTH($E239),1),IF(ISNUMBER($F239),DATE(YEAR($F239),MONTH($F239),1),MesCiclo))))</f>
        <v/>
      </c>
      <c r="Q239" s="70">
        <f>IF(OR($P239="",$P239&lt;&gt;MesCiclo),"",COUNTIF($P$5:$P239,MesCiclo))</f>
        <v/>
      </c>
      <c r="R239" s="70">
        <f>IF($S239="","",IF($S239="Macro",ROW(),IFERROR(LOOKUP(2,1/($S$5:$S239="Macro"),ROW($S$5:$S239)),0)))</f>
        <v/>
      </c>
      <c r="S239" s="70">
        <f>IF(NOT((COUNTA($B239:$K239)+COUNTA($N239))&gt;0),"",IF($B239&lt;&gt;"","Macro",IF($C239&lt;&gt;"","Sub","Macro")))</f>
        <v/>
      </c>
      <c r="T239" s="70">
        <f>IF($S239="Macro",COUNTIFS($R$5:$R$1000,ROW(),$S$5:$S$1000,"Sub"),"")</f>
        <v/>
      </c>
      <c r="U239" s="70">
        <f>IF($S239="","",IF(ISNUMBER($H239),$H239,0))</f>
        <v/>
      </c>
      <c r="V239" s="70">
        <f>IF($S239="","",IF(ISNUMBER($I239),$I239,$U239))</f>
        <v/>
      </c>
      <c r="W239" s="70">
        <f>IF($S239="","",IF(ISNUMBER($J239),$J239,$V239))</f>
        <v/>
      </c>
      <c r="X239" s="70">
        <f>IF($S239="","",IF(ISNUMBER($K239),$K239,$W239))</f>
        <v/>
      </c>
      <c r="Y239" s="70">
        <f>IF($S239="","",IF(N($T239)&gt;0,AVERAGEIFS($U$5:$U$1000,$R$5:$R$1000,ROW(),$S$5:$S$1000,"Sub"),$U239))</f>
        <v/>
      </c>
      <c r="Z239" s="70">
        <f>IF($S239="","",IF(N($T239)&gt;0,AVERAGEIFS($V$5:$V$1000,$R$5:$R$1000,ROW(),$S$5:$S$1000,"Sub"),$V239))</f>
        <v/>
      </c>
      <c r="AA239" s="70">
        <f>IF($S239="","",IF(N($T239)&gt;0,AVERAGEIFS($W$5:$W$1000,$R$5:$R$1000,ROW(),$S$5:$S$1000,"Sub"),$W239))</f>
        <v/>
      </c>
      <c r="AB239" s="70">
        <f>IF($S239="","",IF(N($T239)&gt;0,AVERAGEIFS($X$5:$X$1000,$R$5:$R$1000,ROW(),$S$5:$S$1000,"Sub"),$X239))</f>
        <v/>
      </c>
    </row>
    <row r="240">
      <c r="A240" s="61">
        <f>IF(NOT((COUNTA($B240:$K240)+COUNTA($N240))&gt;0),"",IF($S240="Macro",COUNTIFS($S$5:$S240,"Macro",$P$5:$P240,$P240),IF(N($R240)=0,"?",COUNTIFS(INDEX($S$5:$S$1000,1):INDEX($S$5:$S$1000,$R240-4),"Macro",INDEX($P$5:$P$1000,1):INDEX($P$5:$P$1000,$R240-4),INDEX($P$5:$P$1000,$R240-4))&amp;"."&amp;COUNTIFS($R$5:$R240,$R240,$S$5:$S240,"Sub"))))</f>
        <v/>
      </c>
      <c r="B240" s="62" t="n"/>
      <c r="C240" s="63" t="n"/>
      <c r="D240" s="62" t="n"/>
      <c r="E240" s="64" t="n"/>
      <c r="F240" s="64" t="n"/>
      <c r="G240" s="65" t="n"/>
      <c r="H240" s="66" t="n"/>
      <c r="I240" s="66" t="n"/>
      <c r="J240" s="66" t="n"/>
      <c r="K240" s="66" t="n"/>
      <c r="L240" s="67">
        <f>IF(NOT((COUNTA($B240:$K240)+COUNTA($N240))&gt;0),"",IF(N($T240)&gt;0,$AB240,IFERROR(LOOKUP(2,1/(H240:K240&lt;&gt;""),H240:K240),0)))</f>
        <v/>
      </c>
      <c r="M240" s="61">
        <f>IF(L240="","",IF(L240&gt;=1,"Completado",IF(L240&gt;0,"En curso","Pendiente")))</f>
        <v/>
      </c>
      <c r="N240" s="62" t="n"/>
      <c r="O240" s="68">
        <f>IF(NOT((COUNTA($B240:$K240)+COUNTA($N240))&gt;0),"",IF((IF(AND($S240="Macro",$B240=""),"Macroactividad vacía"&amp;" · ","")&amp;IF(AND($B240&lt;&gt;"",$C240&lt;&gt;""),"Escriba la subactividad en otra fila, debajo de su macroactividad"&amp;" · ","")&amp;IF(AND($S240="Sub",N($R240)=0),"Subactividad sin macroactividad arriba"&amp;" · ","")&amp;IF($D240="","Sin responsable"&amp;" · ","")&amp;IF($E240="","Sin fecha de inicio"&amp;" · ","")&amp;IF($F240="","Sin fecha límite"&amp;" · ","")&amp;IF(OR(AND($E240&lt;&gt;"",NOT(ISNUMBER($E240))),AND($F240&lt;&gt;"",NOT(ISNUMBER($F240)))),"Fecha no válida"&amp;" · ","")&amp;IF(AND(ISNUMBER($E240),ISNUMBER($F240),$E240&gt;$F240),"Inicio posterior a fecha límite"&amp;" · ","")&amp;IF(AND($S240="Macro",$G240=""),"Peso vacío"&amp;" · ","")&amp;IF(AND($S240="Macro",$G240&lt;&gt;"",OR(NOT(ISNUMBER($G240)),$G240&lt;=0,$G240&gt;1)),"Peso fuera de rango"&amp;" · ","")&amp;IF(AND($S240="Sub",$G240&lt;&gt;""),"Las subactividades no llevan peso"&amp;" · ","")&amp;IF(AND($S240="Macro",ABS(SUMIFS($G$5:$G$1000,$P$5:$P$1000,$P240,$S$5:$S$1000,"Macro")-1)&gt;0.0001),"Pesos del mes suman "&amp;TEXT(SUMIFS($G$5:$G$1000,$P$5:$P$1000,$P240,$S$5:$S$1000,"Macro"),"0%")&amp;" · ","")&amp;IF(AND(N($T240)&gt;0,COUNT($H240:$K240)&gt;0),"Con subactividades: deje vacías las semanas (se calculan solas)"&amp;" · ","")&amp;IF((COUNTIF($H240:$K240,"&gt;1")+COUNTIF($H240:$K240,"&lt;0")+COUNTA($H240:$K240)-COUNT($H240:$K240))&gt;0,"Avance fuera de rango 0-100%"&amp;" · ","")&amp;IF(OR(AND($I240&lt;&gt;"",$I240&lt;$H240),AND($J240&lt;&gt;"",$J240&lt;MAX($H240:$I240)),AND($K240&lt;&gt;"",$K240&lt;MAX($H240:$J240))),"Avance semanal decreciente"&amp;" · ","")&amp;IF(AND(ISNUMBER($F240),$F240&lt;FechaRef,N($L240)&lt;1),"Vencida"&amp;" · ","")&amp;IF(AND(ObsObligatoria="Sí",ISNUMBER($F240),$F240&lt;FechaRef,N($L240)&lt;1,$N240=""),"Vencida sin observación"&amp;" · ",""))="","✔ OK","⚠ "&amp;LEFT(IF(AND($S240="Macro",$B240=""),"Macroactividad vacía"&amp;" · ","")&amp;IF(AND($B240&lt;&gt;"",$C240&lt;&gt;""),"Escriba la subactividad en otra fila, debajo de su macroactividad"&amp;" · ","")&amp;IF(AND($S240="Sub",N($R240)=0),"Subactividad sin macroactividad arriba"&amp;" · ","")&amp;IF($D240="","Sin responsable"&amp;" · ","")&amp;IF($E240="","Sin fecha de inicio"&amp;" · ","")&amp;IF($F240="","Sin fecha límite"&amp;" · ","")&amp;IF(OR(AND($E240&lt;&gt;"",NOT(ISNUMBER($E240))),AND($F240&lt;&gt;"",NOT(ISNUMBER($F240)))),"Fecha no válida"&amp;" · ","")&amp;IF(AND(ISNUMBER($E240),ISNUMBER($F240),$E240&gt;$F240),"Inicio posterior a fecha límite"&amp;" · ","")&amp;IF(AND($S240="Macro",$G240=""),"Peso vacío"&amp;" · ","")&amp;IF(AND($S240="Macro",$G240&lt;&gt;"",OR(NOT(ISNUMBER($G240)),$G240&lt;=0,$G240&gt;1)),"Peso fuera de rango"&amp;" · ","")&amp;IF(AND($S240="Sub",$G240&lt;&gt;""),"Las subactividades no llevan peso"&amp;" · ","")&amp;IF(AND($S240="Macro",ABS(SUMIFS($G$5:$G$1000,$P$5:$P$1000,$P240,$S$5:$S$1000,"Macro")-1)&gt;0.0001),"Pesos del mes suman "&amp;TEXT(SUMIFS($G$5:$G$1000,$P$5:$P$1000,$P240,$S$5:$S$1000,"Macro"),"0%")&amp;" · ","")&amp;IF(AND(N($T240)&gt;0,COUNT($H240:$K240)&gt;0),"Con subactividades: deje vacías las semanas (se calculan solas)"&amp;" · ","")&amp;IF((COUNTIF($H240:$K240,"&gt;1")+COUNTIF($H240:$K240,"&lt;0")+COUNTA($H240:$K240)-COUNT($H240:$K240))&gt;0,"Avance fuera de rango 0-100%"&amp;" · ","")&amp;IF(OR(AND($I240&lt;&gt;"",$I240&lt;$H240),AND($J240&lt;&gt;"",$J240&lt;MAX($H240:$I240)),AND($K240&lt;&gt;"",$K240&lt;MAX($H240:$J240))),"Avance semanal decreciente"&amp;" · ","")&amp;IF(AND(ISNUMBER($F240),$F240&lt;FechaRef,N($L240)&lt;1),"Vencida"&amp;" · ","")&amp;IF(AND(ObsObligatoria="Sí",ISNUMBER($F240),$F240&lt;FechaRef,N($L240)&lt;1,$N240=""),"Vencida sin observación"&amp;" · ",""),LEN(IF(AND($S240="Macro",$B240=""),"Macroactividad vacía"&amp;" · ","")&amp;IF(AND($B240&lt;&gt;"",$C240&lt;&gt;""),"Escriba la subactividad en otra fila, debajo de su macroactividad"&amp;" · ","")&amp;IF(AND($S240="Sub",N($R240)=0),"Subactividad sin macroactividad arriba"&amp;" · ","")&amp;IF($D240="","Sin responsable"&amp;" · ","")&amp;IF($E240="","Sin fecha de inicio"&amp;" · ","")&amp;IF($F240="","Sin fecha límite"&amp;" · ","")&amp;IF(OR(AND($E240&lt;&gt;"",NOT(ISNUMBER($E240))),AND($F240&lt;&gt;"",NOT(ISNUMBER($F240)))),"Fecha no válida"&amp;" · ","")&amp;IF(AND(ISNUMBER($E240),ISNUMBER($F240),$E240&gt;$F240),"Inicio posterior a fecha límite"&amp;" · ","")&amp;IF(AND($S240="Macro",$G240=""),"Peso vacío"&amp;" · ","")&amp;IF(AND($S240="Macro",$G240&lt;&gt;"",OR(NOT(ISNUMBER($G240)),$G240&lt;=0,$G240&gt;1)),"Peso fuera de rango"&amp;" · ","")&amp;IF(AND($S240="Sub",$G240&lt;&gt;""),"Las subactividades no llevan peso"&amp;" · ","")&amp;IF(AND($S240="Macro",ABS(SUMIFS($G$5:$G$1000,$P$5:$P$1000,$P240,$S$5:$S$1000,"Macro")-1)&gt;0.0001),"Pesos del mes suman "&amp;TEXT(SUMIFS($G$5:$G$1000,$P$5:$P$1000,$P240,$S$5:$S$1000,"Macro"),"0%")&amp;" · ","")&amp;IF(AND(N($T240)&gt;0,COUNT($H240:$K240)&gt;0),"Con subactividades: deje vacías las semanas (se calculan solas)"&amp;" · ","")&amp;IF((COUNTIF($H240:$K240,"&gt;1")+COUNTIF($H240:$K240,"&lt;0")+COUNTA($H240:$K240)-COUNT($H240:$K240))&gt;0,"Avance fuera de rango 0-100%"&amp;" · ","")&amp;IF(OR(AND($I240&lt;&gt;"",$I240&lt;$H240),AND($J240&lt;&gt;"",$J240&lt;MAX($H240:$I240)),AND($K240&lt;&gt;"",$K240&lt;MAX($H240:$J240))),"Avance semanal decreciente"&amp;" · ","")&amp;IF(AND(ISNUMBER($F240),$F240&lt;FechaRef,N($L240)&lt;1),"Vencida"&amp;" · ","")&amp;IF(AND(ObsObligatoria="Sí",ISNUMBER($F240),$F240&lt;FechaRef,N($L240)&lt;1,$N240=""),"Vencida sin observación"&amp;" · ",""))-3)))</f>
        <v/>
      </c>
      <c r="P240" s="69">
        <f>IF(NOT((COUNTA($B240:$K240)+COUNTA($N240))&gt;0),"",IF(AND($S240="Sub",N($R240)&gt;0),IF(ISNUMBER(INDEX($E$5:$E$1000,$R240-4)),DATE(YEAR(INDEX($E$5:$E$1000,$R240-4)),MONTH(INDEX($E$5:$E$1000,$R240-4)),1),IF(ISNUMBER(INDEX($F$5:$F$1000,$R240-4)),DATE(YEAR(INDEX($F$5:$F$1000,$R240-4)),MONTH(INDEX($F$5:$F$1000,$R240-4)),1),MesCiclo)),IF(ISNUMBER($E240),DATE(YEAR($E240),MONTH($E240),1),IF(ISNUMBER($F240),DATE(YEAR($F240),MONTH($F240),1),MesCiclo))))</f>
        <v/>
      </c>
      <c r="Q240" s="70">
        <f>IF(OR($P240="",$P240&lt;&gt;MesCiclo),"",COUNTIF($P$5:$P240,MesCiclo))</f>
        <v/>
      </c>
      <c r="R240" s="70">
        <f>IF($S240="","",IF($S240="Macro",ROW(),IFERROR(LOOKUP(2,1/($S$5:$S240="Macro"),ROW($S$5:$S240)),0)))</f>
        <v/>
      </c>
      <c r="S240" s="70">
        <f>IF(NOT((COUNTA($B240:$K240)+COUNTA($N240))&gt;0),"",IF($B240&lt;&gt;"","Macro",IF($C240&lt;&gt;"","Sub","Macro")))</f>
        <v/>
      </c>
      <c r="T240" s="70">
        <f>IF($S240="Macro",COUNTIFS($R$5:$R$1000,ROW(),$S$5:$S$1000,"Sub"),"")</f>
        <v/>
      </c>
      <c r="U240" s="70">
        <f>IF($S240="","",IF(ISNUMBER($H240),$H240,0))</f>
        <v/>
      </c>
      <c r="V240" s="70">
        <f>IF($S240="","",IF(ISNUMBER($I240),$I240,$U240))</f>
        <v/>
      </c>
      <c r="W240" s="70">
        <f>IF($S240="","",IF(ISNUMBER($J240),$J240,$V240))</f>
        <v/>
      </c>
      <c r="X240" s="70">
        <f>IF($S240="","",IF(ISNUMBER($K240),$K240,$W240))</f>
        <v/>
      </c>
      <c r="Y240" s="70">
        <f>IF($S240="","",IF(N($T240)&gt;0,AVERAGEIFS($U$5:$U$1000,$R$5:$R$1000,ROW(),$S$5:$S$1000,"Sub"),$U240))</f>
        <v/>
      </c>
      <c r="Z240" s="70">
        <f>IF($S240="","",IF(N($T240)&gt;0,AVERAGEIFS($V$5:$V$1000,$R$5:$R$1000,ROW(),$S$5:$S$1000,"Sub"),$V240))</f>
        <v/>
      </c>
      <c r="AA240" s="70">
        <f>IF($S240="","",IF(N($T240)&gt;0,AVERAGEIFS($W$5:$W$1000,$R$5:$R$1000,ROW(),$S$5:$S$1000,"Sub"),$W240))</f>
        <v/>
      </c>
      <c r="AB240" s="70">
        <f>IF($S240="","",IF(N($T240)&gt;0,AVERAGEIFS($X$5:$X$1000,$R$5:$R$1000,ROW(),$S$5:$S$1000,"Sub"),$X240))</f>
        <v/>
      </c>
    </row>
    <row r="241">
      <c r="A241" s="61">
        <f>IF(NOT((COUNTA($B241:$K241)+COUNTA($N241))&gt;0),"",IF($S241="Macro",COUNTIFS($S$5:$S241,"Macro",$P$5:$P241,$P241),IF(N($R241)=0,"?",COUNTIFS(INDEX($S$5:$S$1000,1):INDEX($S$5:$S$1000,$R241-4),"Macro",INDEX($P$5:$P$1000,1):INDEX($P$5:$P$1000,$R241-4),INDEX($P$5:$P$1000,$R241-4))&amp;"."&amp;COUNTIFS($R$5:$R241,$R241,$S$5:$S241,"Sub"))))</f>
        <v/>
      </c>
      <c r="B241" s="62" t="n"/>
      <c r="C241" s="63" t="n"/>
      <c r="D241" s="62" t="n"/>
      <c r="E241" s="64" t="n"/>
      <c r="F241" s="64" t="n"/>
      <c r="G241" s="65" t="n"/>
      <c r="H241" s="66" t="n"/>
      <c r="I241" s="66" t="n"/>
      <c r="J241" s="66" t="n"/>
      <c r="K241" s="66" t="n"/>
      <c r="L241" s="67">
        <f>IF(NOT((COUNTA($B241:$K241)+COUNTA($N241))&gt;0),"",IF(N($T241)&gt;0,$AB241,IFERROR(LOOKUP(2,1/(H241:K241&lt;&gt;""),H241:K241),0)))</f>
        <v/>
      </c>
      <c r="M241" s="61">
        <f>IF(L241="","",IF(L241&gt;=1,"Completado",IF(L241&gt;0,"En curso","Pendiente")))</f>
        <v/>
      </c>
      <c r="N241" s="62" t="n"/>
      <c r="O241" s="68">
        <f>IF(NOT((COUNTA($B241:$K241)+COUNTA($N241))&gt;0),"",IF((IF(AND($S241="Macro",$B241=""),"Macroactividad vacía"&amp;" · ","")&amp;IF(AND($B241&lt;&gt;"",$C241&lt;&gt;""),"Escriba la subactividad en otra fila, debajo de su macroactividad"&amp;" · ","")&amp;IF(AND($S241="Sub",N($R241)=0),"Subactividad sin macroactividad arriba"&amp;" · ","")&amp;IF($D241="","Sin responsable"&amp;" · ","")&amp;IF($E241="","Sin fecha de inicio"&amp;" · ","")&amp;IF($F241="","Sin fecha límite"&amp;" · ","")&amp;IF(OR(AND($E241&lt;&gt;"",NOT(ISNUMBER($E241))),AND($F241&lt;&gt;"",NOT(ISNUMBER($F241)))),"Fecha no válida"&amp;" · ","")&amp;IF(AND(ISNUMBER($E241),ISNUMBER($F241),$E241&gt;$F241),"Inicio posterior a fecha límite"&amp;" · ","")&amp;IF(AND($S241="Macro",$G241=""),"Peso vacío"&amp;" · ","")&amp;IF(AND($S241="Macro",$G241&lt;&gt;"",OR(NOT(ISNUMBER($G241)),$G241&lt;=0,$G241&gt;1)),"Peso fuera de rango"&amp;" · ","")&amp;IF(AND($S241="Sub",$G241&lt;&gt;""),"Las subactividades no llevan peso"&amp;" · ","")&amp;IF(AND($S241="Macro",ABS(SUMIFS($G$5:$G$1000,$P$5:$P$1000,$P241,$S$5:$S$1000,"Macro")-1)&gt;0.0001),"Pesos del mes suman "&amp;TEXT(SUMIFS($G$5:$G$1000,$P$5:$P$1000,$P241,$S$5:$S$1000,"Macro"),"0%")&amp;" · ","")&amp;IF(AND(N($T241)&gt;0,COUNT($H241:$K241)&gt;0),"Con subactividades: deje vacías las semanas (se calculan solas)"&amp;" · ","")&amp;IF((COUNTIF($H241:$K241,"&gt;1")+COUNTIF($H241:$K241,"&lt;0")+COUNTA($H241:$K241)-COUNT($H241:$K241))&gt;0,"Avance fuera de rango 0-100%"&amp;" · ","")&amp;IF(OR(AND($I241&lt;&gt;"",$I241&lt;$H241),AND($J241&lt;&gt;"",$J241&lt;MAX($H241:$I241)),AND($K241&lt;&gt;"",$K241&lt;MAX($H241:$J241))),"Avance semanal decreciente"&amp;" · ","")&amp;IF(AND(ISNUMBER($F241),$F241&lt;FechaRef,N($L241)&lt;1),"Vencida"&amp;" · ","")&amp;IF(AND(ObsObligatoria="Sí",ISNUMBER($F241),$F241&lt;FechaRef,N($L241)&lt;1,$N241=""),"Vencida sin observación"&amp;" · ",""))="","✔ OK","⚠ "&amp;LEFT(IF(AND($S241="Macro",$B241=""),"Macroactividad vacía"&amp;" · ","")&amp;IF(AND($B241&lt;&gt;"",$C241&lt;&gt;""),"Escriba la subactividad en otra fila, debajo de su macroactividad"&amp;" · ","")&amp;IF(AND($S241="Sub",N($R241)=0),"Subactividad sin macroactividad arriba"&amp;" · ","")&amp;IF($D241="","Sin responsable"&amp;" · ","")&amp;IF($E241="","Sin fecha de inicio"&amp;" · ","")&amp;IF($F241="","Sin fecha límite"&amp;" · ","")&amp;IF(OR(AND($E241&lt;&gt;"",NOT(ISNUMBER($E241))),AND($F241&lt;&gt;"",NOT(ISNUMBER($F241)))),"Fecha no válida"&amp;" · ","")&amp;IF(AND(ISNUMBER($E241),ISNUMBER($F241),$E241&gt;$F241),"Inicio posterior a fecha límite"&amp;" · ","")&amp;IF(AND($S241="Macro",$G241=""),"Peso vacío"&amp;" · ","")&amp;IF(AND($S241="Macro",$G241&lt;&gt;"",OR(NOT(ISNUMBER($G241)),$G241&lt;=0,$G241&gt;1)),"Peso fuera de rango"&amp;" · ","")&amp;IF(AND($S241="Sub",$G241&lt;&gt;""),"Las subactividades no llevan peso"&amp;" · ","")&amp;IF(AND($S241="Macro",ABS(SUMIFS($G$5:$G$1000,$P$5:$P$1000,$P241,$S$5:$S$1000,"Macro")-1)&gt;0.0001),"Pesos del mes suman "&amp;TEXT(SUMIFS($G$5:$G$1000,$P$5:$P$1000,$P241,$S$5:$S$1000,"Macro"),"0%")&amp;" · ","")&amp;IF(AND(N($T241)&gt;0,COUNT($H241:$K241)&gt;0),"Con subactividades: deje vacías las semanas (se calculan solas)"&amp;" · ","")&amp;IF((COUNTIF($H241:$K241,"&gt;1")+COUNTIF($H241:$K241,"&lt;0")+COUNTA($H241:$K241)-COUNT($H241:$K241))&gt;0,"Avance fuera de rango 0-100%"&amp;" · ","")&amp;IF(OR(AND($I241&lt;&gt;"",$I241&lt;$H241),AND($J241&lt;&gt;"",$J241&lt;MAX($H241:$I241)),AND($K241&lt;&gt;"",$K241&lt;MAX($H241:$J241))),"Avance semanal decreciente"&amp;" · ","")&amp;IF(AND(ISNUMBER($F241),$F241&lt;FechaRef,N($L241)&lt;1),"Vencida"&amp;" · ","")&amp;IF(AND(ObsObligatoria="Sí",ISNUMBER($F241),$F241&lt;FechaRef,N($L241)&lt;1,$N241=""),"Vencida sin observación"&amp;" · ",""),LEN(IF(AND($S241="Macro",$B241=""),"Macroactividad vacía"&amp;" · ","")&amp;IF(AND($B241&lt;&gt;"",$C241&lt;&gt;""),"Escriba la subactividad en otra fila, debajo de su macroactividad"&amp;" · ","")&amp;IF(AND($S241="Sub",N($R241)=0),"Subactividad sin macroactividad arriba"&amp;" · ","")&amp;IF($D241="","Sin responsable"&amp;" · ","")&amp;IF($E241="","Sin fecha de inicio"&amp;" · ","")&amp;IF($F241="","Sin fecha límite"&amp;" · ","")&amp;IF(OR(AND($E241&lt;&gt;"",NOT(ISNUMBER($E241))),AND($F241&lt;&gt;"",NOT(ISNUMBER($F241)))),"Fecha no válida"&amp;" · ","")&amp;IF(AND(ISNUMBER($E241),ISNUMBER($F241),$E241&gt;$F241),"Inicio posterior a fecha límite"&amp;" · ","")&amp;IF(AND($S241="Macro",$G241=""),"Peso vacío"&amp;" · ","")&amp;IF(AND($S241="Macro",$G241&lt;&gt;"",OR(NOT(ISNUMBER($G241)),$G241&lt;=0,$G241&gt;1)),"Peso fuera de rango"&amp;" · ","")&amp;IF(AND($S241="Sub",$G241&lt;&gt;""),"Las subactividades no llevan peso"&amp;" · ","")&amp;IF(AND($S241="Macro",ABS(SUMIFS($G$5:$G$1000,$P$5:$P$1000,$P241,$S$5:$S$1000,"Macro")-1)&gt;0.0001),"Pesos del mes suman "&amp;TEXT(SUMIFS($G$5:$G$1000,$P$5:$P$1000,$P241,$S$5:$S$1000,"Macro"),"0%")&amp;" · ","")&amp;IF(AND(N($T241)&gt;0,COUNT($H241:$K241)&gt;0),"Con subactividades: deje vacías las semanas (se calculan solas)"&amp;" · ","")&amp;IF((COUNTIF($H241:$K241,"&gt;1")+COUNTIF($H241:$K241,"&lt;0")+COUNTA($H241:$K241)-COUNT($H241:$K241))&gt;0,"Avance fuera de rango 0-100%"&amp;" · ","")&amp;IF(OR(AND($I241&lt;&gt;"",$I241&lt;$H241),AND($J241&lt;&gt;"",$J241&lt;MAX($H241:$I241)),AND($K241&lt;&gt;"",$K241&lt;MAX($H241:$J241))),"Avance semanal decreciente"&amp;" · ","")&amp;IF(AND(ISNUMBER($F241),$F241&lt;FechaRef,N($L241)&lt;1),"Vencida"&amp;" · ","")&amp;IF(AND(ObsObligatoria="Sí",ISNUMBER($F241),$F241&lt;FechaRef,N($L241)&lt;1,$N241=""),"Vencida sin observación"&amp;" · ",""))-3)))</f>
        <v/>
      </c>
      <c r="P241" s="69">
        <f>IF(NOT((COUNTA($B241:$K241)+COUNTA($N241))&gt;0),"",IF(AND($S241="Sub",N($R241)&gt;0),IF(ISNUMBER(INDEX($E$5:$E$1000,$R241-4)),DATE(YEAR(INDEX($E$5:$E$1000,$R241-4)),MONTH(INDEX($E$5:$E$1000,$R241-4)),1),IF(ISNUMBER(INDEX($F$5:$F$1000,$R241-4)),DATE(YEAR(INDEX($F$5:$F$1000,$R241-4)),MONTH(INDEX($F$5:$F$1000,$R241-4)),1),MesCiclo)),IF(ISNUMBER($E241),DATE(YEAR($E241),MONTH($E241),1),IF(ISNUMBER($F241),DATE(YEAR($F241),MONTH($F241),1),MesCiclo))))</f>
        <v/>
      </c>
      <c r="Q241" s="70">
        <f>IF(OR($P241="",$P241&lt;&gt;MesCiclo),"",COUNTIF($P$5:$P241,MesCiclo))</f>
        <v/>
      </c>
      <c r="R241" s="70">
        <f>IF($S241="","",IF($S241="Macro",ROW(),IFERROR(LOOKUP(2,1/($S$5:$S241="Macro"),ROW($S$5:$S241)),0)))</f>
        <v/>
      </c>
      <c r="S241" s="70">
        <f>IF(NOT((COUNTA($B241:$K241)+COUNTA($N241))&gt;0),"",IF($B241&lt;&gt;"","Macro",IF($C241&lt;&gt;"","Sub","Macro")))</f>
        <v/>
      </c>
      <c r="T241" s="70">
        <f>IF($S241="Macro",COUNTIFS($R$5:$R$1000,ROW(),$S$5:$S$1000,"Sub"),"")</f>
        <v/>
      </c>
      <c r="U241" s="70">
        <f>IF($S241="","",IF(ISNUMBER($H241),$H241,0))</f>
        <v/>
      </c>
      <c r="V241" s="70">
        <f>IF($S241="","",IF(ISNUMBER($I241),$I241,$U241))</f>
        <v/>
      </c>
      <c r="W241" s="70">
        <f>IF($S241="","",IF(ISNUMBER($J241),$J241,$V241))</f>
        <v/>
      </c>
      <c r="X241" s="70">
        <f>IF($S241="","",IF(ISNUMBER($K241),$K241,$W241))</f>
        <v/>
      </c>
      <c r="Y241" s="70">
        <f>IF($S241="","",IF(N($T241)&gt;0,AVERAGEIFS($U$5:$U$1000,$R$5:$R$1000,ROW(),$S$5:$S$1000,"Sub"),$U241))</f>
        <v/>
      </c>
      <c r="Z241" s="70">
        <f>IF($S241="","",IF(N($T241)&gt;0,AVERAGEIFS($V$5:$V$1000,$R$5:$R$1000,ROW(),$S$5:$S$1000,"Sub"),$V241))</f>
        <v/>
      </c>
      <c r="AA241" s="70">
        <f>IF($S241="","",IF(N($T241)&gt;0,AVERAGEIFS($W$5:$W$1000,$R$5:$R$1000,ROW(),$S$5:$S$1000,"Sub"),$W241))</f>
        <v/>
      </c>
      <c r="AB241" s="70">
        <f>IF($S241="","",IF(N($T241)&gt;0,AVERAGEIFS($X$5:$X$1000,$R$5:$R$1000,ROW(),$S$5:$S$1000,"Sub"),$X241))</f>
        <v/>
      </c>
    </row>
    <row r="242">
      <c r="A242" s="61">
        <f>IF(NOT((COUNTA($B242:$K242)+COUNTA($N242))&gt;0),"",IF($S242="Macro",COUNTIFS($S$5:$S242,"Macro",$P$5:$P242,$P242),IF(N($R242)=0,"?",COUNTIFS(INDEX($S$5:$S$1000,1):INDEX($S$5:$S$1000,$R242-4),"Macro",INDEX($P$5:$P$1000,1):INDEX($P$5:$P$1000,$R242-4),INDEX($P$5:$P$1000,$R242-4))&amp;"."&amp;COUNTIFS($R$5:$R242,$R242,$S$5:$S242,"Sub"))))</f>
        <v/>
      </c>
      <c r="B242" s="62" t="n"/>
      <c r="C242" s="63" t="n"/>
      <c r="D242" s="62" t="n"/>
      <c r="E242" s="64" t="n"/>
      <c r="F242" s="64" t="n"/>
      <c r="G242" s="65" t="n"/>
      <c r="H242" s="66" t="n"/>
      <c r="I242" s="66" t="n"/>
      <c r="J242" s="66" t="n"/>
      <c r="K242" s="66" t="n"/>
      <c r="L242" s="67">
        <f>IF(NOT((COUNTA($B242:$K242)+COUNTA($N242))&gt;0),"",IF(N($T242)&gt;0,$AB242,IFERROR(LOOKUP(2,1/(H242:K242&lt;&gt;""),H242:K242),0)))</f>
        <v/>
      </c>
      <c r="M242" s="61">
        <f>IF(L242="","",IF(L242&gt;=1,"Completado",IF(L242&gt;0,"En curso","Pendiente")))</f>
        <v/>
      </c>
      <c r="N242" s="62" t="n"/>
      <c r="O242" s="68">
        <f>IF(NOT((COUNTA($B242:$K242)+COUNTA($N242))&gt;0),"",IF((IF(AND($S242="Macro",$B242=""),"Macroactividad vacía"&amp;" · ","")&amp;IF(AND($B242&lt;&gt;"",$C242&lt;&gt;""),"Escriba la subactividad en otra fila, debajo de su macroactividad"&amp;" · ","")&amp;IF(AND($S242="Sub",N($R242)=0),"Subactividad sin macroactividad arriba"&amp;" · ","")&amp;IF($D242="","Sin responsable"&amp;" · ","")&amp;IF($E242="","Sin fecha de inicio"&amp;" · ","")&amp;IF($F242="","Sin fecha límite"&amp;" · ","")&amp;IF(OR(AND($E242&lt;&gt;"",NOT(ISNUMBER($E242))),AND($F242&lt;&gt;"",NOT(ISNUMBER($F242)))),"Fecha no válida"&amp;" · ","")&amp;IF(AND(ISNUMBER($E242),ISNUMBER($F242),$E242&gt;$F242),"Inicio posterior a fecha límite"&amp;" · ","")&amp;IF(AND($S242="Macro",$G242=""),"Peso vacío"&amp;" · ","")&amp;IF(AND($S242="Macro",$G242&lt;&gt;"",OR(NOT(ISNUMBER($G242)),$G242&lt;=0,$G242&gt;1)),"Peso fuera de rango"&amp;" · ","")&amp;IF(AND($S242="Sub",$G242&lt;&gt;""),"Las subactividades no llevan peso"&amp;" · ","")&amp;IF(AND($S242="Macro",ABS(SUMIFS($G$5:$G$1000,$P$5:$P$1000,$P242,$S$5:$S$1000,"Macro")-1)&gt;0.0001),"Pesos del mes suman "&amp;TEXT(SUMIFS($G$5:$G$1000,$P$5:$P$1000,$P242,$S$5:$S$1000,"Macro"),"0%")&amp;" · ","")&amp;IF(AND(N($T242)&gt;0,COUNT($H242:$K242)&gt;0),"Con subactividades: deje vacías las semanas (se calculan solas)"&amp;" · ","")&amp;IF((COUNTIF($H242:$K242,"&gt;1")+COUNTIF($H242:$K242,"&lt;0")+COUNTA($H242:$K242)-COUNT($H242:$K242))&gt;0,"Avance fuera de rango 0-100%"&amp;" · ","")&amp;IF(OR(AND($I242&lt;&gt;"",$I242&lt;$H242),AND($J242&lt;&gt;"",$J242&lt;MAX($H242:$I242)),AND($K242&lt;&gt;"",$K242&lt;MAX($H242:$J242))),"Avance semanal decreciente"&amp;" · ","")&amp;IF(AND(ISNUMBER($F242),$F242&lt;FechaRef,N($L242)&lt;1),"Vencida"&amp;" · ","")&amp;IF(AND(ObsObligatoria="Sí",ISNUMBER($F242),$F242&lt;FechaRef,N($L242)&lt;1,$N242=""),"Vencida sin observación"&amp;" · ",""))="","✔ OK","⚠ "&amp;LEFT(IF(AND($S242="Macro",$B242=""),"Macroactividad vacía"&amp;" · ","")&amp;IF(AND($B242&lt;&gt;"",$C242&lt;&gt;""),"Escriba la subactividad en otra fila, debajo de su macroactividad"&amp;" · ","")&amp;IF(AND($S242="Sub",N($R242)=0),"Subactividad sin macroactividad arriba"&amp;" · ","")&amp;IF($D242="","Sin responsable"&amp;" · ","")&amp;IF($E242="","Sin fecha de inicio"&amp;" · ","")&amp;IF($F242="","Sin fecha límite"&amp;" · ","")&amp;IF(OR(AND($E242&lt;&gt;"",NOT(ISNUMBER($E242))),AND($F242&lt;&gt;"",NOT(ISNUMBER($F242)))),"Fecha no válida"&amp;" · ","")&amp;IF(AND(ISNUMBER($E242),ISNUMBER($F242),$E242&gt;$F242),"Inicio posterior a fecha límite"&amp;" · ","")&amp;IF(AND($S242="Macro",$G242=""),"Peso vacío"&amp;" · ","")&amp;IF(AND($S242="Macro",$G242&lt;&gt;"",OR(NOT(ISNUMBER($G242)),$G242&lt;=0,$G242&gt;1)),"Peso fuera de rango"&amp;" · ","")&amp;IF(AND($S242="Sub",$G242&lt;&gt;""),"Las subactividades no llevan peso"&amp;" · ","")&amp;IF(AND($S242="Macro",ABS(SUMIFS($G$5:$G$1000,$P$5:$P$1000,$P242,$S$5:$S$1000,"Macro")-1)&gt;0.0001),"Pesos del mes suman "&amp;TEXT(SUMIFS($G$5:$G$1000,$P$5:$P$1000,$P242,$S$5:$S$1000,"Macro"),"0%")&amp;" · ","")&amp;IF(AND(N($T242)&gt;0,COUNT($H242:$K242)&gt;0),"Con subactividades: deje vacías las semanas (se calculan solas)"&amp;" · ","")&amp;IF((COUNTIF($H242:$K242,"&gt;1")+COUNTIF($H242:$K242,"&lt;0")+COUNTA($H242:$K242)-COUNT($H242:$K242))&gt;0,"Avance fuera de rango 0-100%"&amp;" · ","")&amp;IF(OR(AND($I242&lt;&gt;"",$I242&lt;$H242),AND($J242&lt;&gt;"",$J242&lt;MAX($H242:$I242)),AND($K242&lt;&gt;"",$K242&lt;MAX($H242:$J242))),"Avance semanal decreciente"&amp;" · ","")&amp;IF(AND(ISNUMBER($F242),$F242&lt;FechaRef,N($L242)&lt;1),"Vencida"&amp;" · ","")&amp;IF(AND(ObsObligatoria="Sí",ISNUMBER($F242),$F242&lt;FechaRef,N($L242)&lt;1,$N242=""),"Vencida sin observación"&amp;" · ",""),LEN(IF(AND($S242="Macro",$B242=""),"Macroactividad vacía"&amp;" · ","")&amp;IF(AND($B242&lt;&gt;"",$C242&lt;&gt;""),"Escriba la subactividad en otra fila, debajo de su macroactividad"&amp;" · ","")&amp;IF(AND($S242="Sub",N($R242)=0),"Subactividad sin macroactividad arriba"&amp;" · ","")&amp;IF($D242="","Sin responsable"&amp;" · ","")&amp;IF($E242="","Sin fecha de inicio"&amp;" · ","")&amp;IF($F242="","Sin fecha límite"&amp;" · ","")&amp;IF(OR(AND($E242&lt;&gt;"",NOT(ISNUMBER($E242))),AND($F242&lt;&gt;"",NOT(ISNUMBER($F242)))),"Fecha no válida"&amp;" · ","")&amp;IF(AND(ISNUMBER($E242),ISNUMBER($F242),$E242&gt;$F242),"Inicio posterior a fecha límite"&amp;" · ","")&amp;IF(AND($S242="Macro",$G242=""),"Peso vacío"&amp;" · ","")&amp;IF(AND($S242="Macro",$G242&lt;&gt;"",OR(NOT(ISNUMBER($G242)),$G242&lt;=0,$G242&gt;1)),"Peso fuera de rango"&amp;" · ","")&amp;IF(AND($S242="Sub",$G242&lt;&gt;""),"Las subactividades no llevan peso"&amp;" · ","")&amp;IF(AND($S242="Macro",ABS(SUMIFS($G$5:$G$1000,$P$5:$P$1000,$P242,$S$5:$S$1000,"Macro")-1)&gt;0.0001),"Pesos del mes suman "&amp;TEXT(SUMIFS($G$5:$G$1000,$P$5:$P$1000,$P242,$S$5:$S$1000,"Macro"),"0%")&amp;" · ","")&amp;IF(AND(N($T242)&gt;0,COUNT($H242:$K242)&gt;0),"Con subactividades: deje vacías las semanas (se calculan solas)"&amp;" · ","")&amp;IF((COUNTIF($H242:$K242,"&gt;1")+COUNTIF($H242:$K242,"&lt;0")+COUNTA($H242:$K242)-COUNT($H242:$K242))&gt;0,"Avance fuera de rango 0-100%"&amp;" · ","")&amp;IF(OR(AND($I242&lt;&gt;"",$I242&lt;$H242),AND($J242&lt;&gt;"",$J242&lt;MAX($H242:$I242)),AND($K242&lt;&gt;"",$K242&lt;MAX($H242:$J242))),"Avance semanal decreciente"&amp;" · ","")&amp;IF(AND(ISNUMBER($F242),$F242&lt;FechaRef,N($L242)&lt;1),"Vencida"&amp;" · ","")&amp;IF(AND(ObsObligatoria="Sí",ISNUMBER($F242),$F242&lt;FechaRef,N($L242)&lt;1,$N242=""),"Vencida sin observación"&amp;" · ",""))-3)))</f>
        <v/>
      </c>
      <c r="P242" s="69">
        <f>IF(NOT((COUNTA($B242:$K242)+COUNTA($N242))&gt;0),"",IF(AND($S242="Sub",N($R242)&gt;0),IF(ISNUMBER(INDEX($E$5:$E$1000,$R242-4)),DATE(YEAR(INDEX($E$5:$E$1000,$R242-4)),MONTH(INDEX($E$5:$E$1000,$R242-4)),1),IF(ISNUMBER(INDEX($F$5:$F$1000,$R242-4)),DATE(YEAR(INDEX($F$5:$F$1000,$R242-4)),MONTH(INDEX($F$5:$F$1000,$R242-4)),1),MesCiclo)),IF(ISNUMBER($E242),DATE(YEAR($E242),MONTH($E242),1),IF(ISNUMBER($F242),DATE(YEAR($F242),MONTH($F242),1),MesCiclo))))</f>
        <v/>
      </c>
      <c r="Q242" s="70">
        <f>IF(OR($P242="",$P242&lt;&gt;MesCiclo),"",COUNTIF($P$5:$P242,MesCiclo))</f>
        <v/>
      </c>
      <c r="R242" s="70">
        <f>IF($S242="","",IF($S242="Macro",ROW(),IFERROR(LOOKUP(2,1/($S$5:$S242="Macro"),ROW($S$5:$S242)),0)))</f>
        <v/>
      </c>
      <c r="S242" s="70">
        <f>IF(NOT((COUNTA($B242:$K242)+COUNTA($N242))&gt;0),"",IF($B242&lt;&gt;"","Macro",IF($C242&lt;&gt;"","Sub","Macro")))</f>
        <v/>
      </c>
      <c r="T242" s="70">
        <f>IF($S242="Macro",COUNTIFS($R$5:$R$1000,ROW(),$S$5:$S$1000,"Sub"),"")</f>
        <v/>
      </c>
      <c r="U242" s="70">
        <f>IF($S242="","",IF(ISNUMBER($H242),$H242,0))</f>
        <v/>
      </c>
      <c r="V242" s="70">
        <f>IF($S242="","",IF(ISNUMBER($I242),$I242,$U242))</f>
        <v/>
      </c>
      <c r="W242" s="70">
        <f>IF($S242="","",IF(ISNUMBER($J242),$J242,$V242))</f>
        <v/>
      </c>
      <c r="X242" s="70">
        <f>IF($S242="","",IF(ISNUMBER($K242),$K242,$W242))</f>
        <v/>
      </c>
      <c r="Y242" s="70">
        <f>IF($S242="","",IF(N($T242)&gt;0,AVERAGEIFS($U$5:$U$1000,$R$5:$R$1000,ROW(),$S$5:$S$1000,"Sub"),$U242))</f>
        <v/>
      </c>
      <c r="Z242" s="70">
        <f>IF($S242="","",IF(N($T242)&gt;0,AVERAGEIFS($V$5:$V$1000,$R$5:$R$1000,ROW(),$S$5:$S$1000,"Sub"),$V242))</f>
        <v/>
      </c>
      <c r="AA242" s="70">
        <f>IF($S242="","",IF(N($T242)&gt;0,AVERAGEIFS($W$5:$W$1000,$R$5:$R$1000,ROW(),$S$5:$S$1000,"Sub"),$W242))</f>
        <v/>
      </c>
      <c r="AB242" s="70">
        <f>IF($S242="","",IF(N($T242)&gt;0,AVERAGEIFS($X$5:$X$1000,$R$5:$R$1000,ROW(),$S$5:$S$1000,"Sub"),$X242))</f>
        <v/>
      </c>
    </row>
    <row r="243">
      <c r="A243" s="61">
        <f>IF(NOT((COUNTA($B243:$K243)+COUNTA($N243))&gt;0),"",IF($S243="Macro",COUNTIFS($S$5:$S243,"Macro",$P$5:$P243,$P243),IF(N($R243)=0,"?",COUNTIFS(INDEX($S$5:$S$1000,1):INDEX($S$5:$S$1000,$R243-4),"Macro",INDEX($P$5:$P$1000,1):INDEX($P$5:$P$1000,$R243-4),INDEX($P$5:$P$1000,$R243-4))&amp;"."&amp;COUNTIFS($R$5:$R243,$R243,$S$5:$S243,"Sub"))))</f>
        <v/>
      </c>
      <c r="B243" s="62" t="n"/>
      <c r="C243" s="63" t="n"/>
      <c r="D243" s="62" t="n"/>
      <c r="E243" s="64" t="n"/>
      <c r="F243" s="64" t="n"/>
      <c r="G243" s="65" t="n"/>
      <c r="H243" s="66" t="n"/>
      <c r="I243" s="66" t="n"/>
      <c r="J243" s="66" t="n"/>
      <c r="K243" s="66" t="n"/>
      <c r="L243" s="67">
        <f>IF(NOT((COUNTA($B243:$K243)+COUNTA($N243))&gt;0),"",IF(N($T243)&gt;0,$AB243,IFERROR(LOOKUP(2,1/(H243:K243&lt;&gt;""),H243:K243),0)))</f>
        <v/>
      </c>
      <c r="M243" s="61">
        <f>IF(L243="","",IF(L243&gt;=1,"Completado",IF(L243&gt;0,"En curso","Pendiente")))</f>
        <v/>
      </c>
      <c r="N243" s="62" t="n"/>
      <c r="O243" s="68">
        <f>IF(NOT((COUNTA($B243:$K243)+COUNTA($N243))&gt;0),"",IF((IF(AND($S243="Macro",$B243=""),"Macroactividad vacía"&amp;" · ","")&amp;IF(AND($B243&lt;&gt;"",$C243&lt;&gt;""),"Escriba la subactividad en otra fila, debajo de su macroactividad"&amp;" · ","")&amp;IF(AND($S243="Sub",N($R243)=0),"Subactividad sin macroactividad arriba"&amp;" · ","")&amp;IF($D243="","Sin responsable"&amp;" · ","")&amp;IF($E243="","Sin fecha de inicio"&amp;" · ","")&amp;IF($F243="","Sin fecha límite"&amp;" · ","")&amp;IF(OR(AND($E243&lt;&gt;"",NOT(ISNUMBER($E243))),AND($F243&lt;&gt;"",NOT(ISNUMBER($F243)))),"Fecha no válida"&amp;" · ","")&amp;IF(AND(ISNUMBER($E243),ISNUMBER($F243),$E243&gt;$F243),"Inicio posterior a fecha límite"&amp;" · ","")&amp;IF(AND($S243="Macro",$G243=""),"Peso vacío"&amp;" · ","")&amp;IF(AND($S243="Macro",$G243&lt;&gt;"",OR(NOT(ISNUMBER($G243)),$G243&lt;=0,$G243&gt;1)),"Peso fuera de rango"&amp;" · ","")&amp;IF(AND($S243="Sub",$G243&lt;&gt;""),"Las subactividades no llevan peso"&amp;" · ","")&amp;IF(AND($S243="Macro",ABS(SUMIFS($G$5:$G$1000,$P$5:$P$1000,$P243,$S$5:$S$1000,"Macro")-1)&gt;0.0001),"Pesos del mes suman "&amp;TEXT(SUMIFS($G$5:$G$1000,$P$5:$P$1000,$P243,$S$5:$S$1000,"Macro"),"0%")&amp;" · ","")&amp;IF(AND(N($T243)&gt;0,COUNT($H243:$K243)&gt;0),"Con subactividades: deje vacías las semanas (se calculan solas)"&amp;" · ","")&amp;IF((COUNTIF($H243:$K243,"&gt;1")+COUNTIF($H243:$K243,"&lt;0")+COUNTA($H243:$K243)-COUNT($H243:$K243))&gt;0,"Avance fuera de rango 0-100%"&amp;" · ","")&amp;IF(OR(AND($I243&lt;&gt;"",$I243&lt;$H243),AND($J243&lt;&gt;"",$J243&lt;MAX($H243:$I243)),AND($K243&lt;&gt;"",$K243&lt;MAX($H243:$J243))),"Avance semanal decreciente"&amp;" · ","")&amp;IF(AND(ISNUMBER($F243),$F243&lt;FechaRef,N($L243)&lt;1),"Vencida"&amp;" · ","")&amp;IF(AND(ObsObligatoria="Sí",ISNUMBER($F243),$F243&lt;FechaRef,N($L243)&lt;1,$N243=""),"Vencida sin observación"&amp;" · ",""))="","✔ OK","⚠ "&amp;LEFT(IF(AND($S243="Macro",$B243=""),"Macroactividad vacía"&amp;" · ","")&amp;IF(AND($B243&lt;&gt;"",$C243&lt;&gt;""),"Escriba la subactividad en otra fila, debajo de su macroactividad"&amp;" · ","")&amp;IF(AND($S243="Sub",N($R243)=0),"Subactividad sin macroactividad arriba"&amp;" · ","")&amp;IF($D243="","Sin responsable"&amp;" · ","")&amp;IF($E243="","Sin fecha de inicio"&amp;" · ","")&amp;IF($F243="","Sin fecha límite"&amp;" · ","")&amp;IF(OR(AND($E243&lt;&gt;"",NOT(ISNUMBER($E243))),AND($F243&lt;&gt;"",NOT(ISNUMBER($F243)))),"Fecha no válida"&amp;" · ","")&amp;IF(AND(ISNUMBER($E243),ISNUMBER($F243),$E243&gt;$F243),"Inicio posterior a fecha límite"&amp;" · ","")&amp;IF(AND($S243="Macro",$G243=""),"Peso vacío"&amp;" · ","")&amp;IF(AND($S243="Macro",$G243&lt;&gt;"",OR(NOT(ISNUMBER($G243)),$G243&lt;=0,$G243&gt;1)),"Peso fuera de rango"&amp;" · ","")&amp;IF(AND($S243="Sub",$G243&lt;&gt;""),"Las subactividades no llevan peso"&amp;" · ","")&amp;IF(AND($S243="Macro",ABS(SUMIFS($G$5:$G$1000,$P$5:$P$1000,$P243,$S$5:$S$1000,"Macro")-1)&gt;0.0001),"Pesos del mes suman "&amp;TEXT(SUMIFS($G$5:$G$1000,$P$5:$P$1000,$P243,$S$5:$S$1000,"Macro"),"0%")&amp;" · ","")&amp;IF(AND(N($T243)&gt;0,COUNT($H243:$K243)&gt;0),"Con subactividades: deje vacías las semanas (se calculan solas)"&amp;" · ","")&amp;IF((COUNTIF($H243:$K243,"&gt;1")+COUNTIF($H243:$K243,"&lt;0")+COUNTA($H243:$K243)-COUNT($H243:$K243))&gt;0,"Avance fuera de rango 0-100%"&amp;" · ","")&amp;IF(OR(AND($I243&lt;&gt;"",$I243&lt;$H243),AND($J243&lt;&gt;"",$J243&lt;MAX($H243:$I243)),AND($K243&lt;&gt;"",$K243&lt;MAX($H243:$J243))),"Avance semanal decreciente"&amp;" · ","")&amp;IF(AND(ISNUMBER($F243),$F243&lt;FechaRef,N($L243)&lt;1),"Vencida"&amp;" · ","")&amp;IF(AND(ObsObligatoria="Sí",ISNUMBER($F243),$F243&lt;FechaRef,N($L243)&lt;1,$N243=""),"Vencida sin observación"&amp;" · ",""),LEN(IF(AND($S243="Macro",$B243=""),"Macroactividad vacía"&amp;" · ","")&amp;IF(AND($B243&lt;&gt;"",$C243&lt;&gt;""),"Escriba la subactividad en otra fila, debajo de su macroactividad"&amp;" · ","")&amp;IF(AND($S243="Sub",N($R243)=0),"Subactividad sin macroactividad arriba"&amp;" · ","")&amp;IF($D243="","Sin responsable"&amp;" · ","")&amp;IF($E243="","Sin fecha de inicio"&amp;" · ","")&amp;IF($F243="","Sin fecha límite"&amp;" · ","")&amp;IF(OR(AND($E243&lt;&gt;"",NOT(ISNUMBER($E243))),AND($F243&lt;&gt;"",NOT(ISNUMBER($F243)))),"Fecha no válida"&amp;" · ","")&amp;IF(AND(ISNUMBER($E243),ISNUMBER($F243),$E243&gt;$F243),"Inicio posterior a fecha límite"&amp;" · ","")&amp;IF(AND($S243="Macro",$G243=""),"Peso vacío"&amp;" · ","")&amp;IF(AND($S243="Macro",$G243&lt;&gt;"",OR(NOT(ISNUMBER($G243)),$G243&lt;=0,$G243&gt;1)),"Peso fuera de rango"&amp;" · ","")&amp;IF(AND($S243="Sub",$G243&lt;&gt;""),"Las subactividades no llevan peso"&amp;" · ","")&amp;IF(AND($S243="Macro",ABS(SUMIFS($G$5:$G$1000,$P$5:$P$1000,$P243,$S$5:$S$1000,"Macro")-1)&gt;0.0001),"Pesos del mes suman "&amp;TEXT(SUMIFS($G$5:$G$1000,$P$5:$P$1000,$P243,$S$5:$S$1000,"Macro"),"0%")&amp;" · ","")&amp;IF(AND(N($T243)&gt;0,COUNT($H243:$K243)&gt;0),"Con subactividades: deje vacías las semanas (se calculan solas)"&amp;" · ","")&amp;IF((COUNTIF($H243:$K243,"&gt;1")+COUNTIF($H243:$K243,"&lt;0")+COUNTA($H243:$K243)-COUNT($H243:$K243))&gt;0,"Avance fuera de rango 0-100%"&amp;" · ","")&amp;IF(OR(AND($I243&lt;&gt;"",$I243&lt;$H243),AND($J243&lt;&gt;"",$J243&lt;MAX($H243:$I243)),AND($K243&lt;&gt;"",$K243&lt;MAX($H243:$J243))),"Avance semanal decreciente"&amp;" · ","")&amp;IF(AND(ISNUMBER($F243),$F243&lt;FechaRef,N($L243)&lt;1),"Vencida"&amp;" · ","")&amp;IF(AND(ObsObligatoria="Sí",ISNUMBER($F243),$F243&lt;FechaRef,N($L243)&lt;1,$N243=""),"Vencida sin observación"&amp;" · ",""))-3)))</f>
        <v/>
      </c>
      <c r="P243" s="69">
        <f>IF(NOT((COUNTA($B243:$K243)+COUNTA($N243))&gt;0),"",IF(AND($S243="Sub",N($R243)&gt;0),IF(ISNUMBER(INDEX($E$5:$E$1000,$R243-4)),DATE(YEAR(INDEX($E$5:$E$1000,$R243-4)),MONTH(INDEX($E$5:$E$1000,$R243-4)),1),IF(ISNUMBER(INDEX($F$5:$F$1000,$R243-4)),DATE(YEAR(INDEX($F$5:$F$1000,$R243-4)),MONTH(INDEX($F$5:$F$1000,$R243-4)),1),MesCiclo)),IF(ISNUMBER($E243),DATE(YEAR($E243),MONTH($E243),1),IF(ISNUMBER($F243),DATE(YEAR($F243),MONTH($F243),1),MesCiclo))))</f>
        <v/>
      </c>
      <c r="Q243" s="70">
        <f>IF(OR($P243="",$P243&lt;&gt;MesCiclo),"",COUNTIF($P$5:$P243,MesCiclo))</f>
        <v/>
      </c>
      <c r="R243" s="70">
        <f>IF($S243="","",IF($S243="Macro",ROW(),IFERROR(LOOKUP(2,1/($S$5:$S243="Macro"),ROW($S$5:$S243)),0)))</f>
        <v/>
      </c>
      <c r="S243" s="70">
        <f>IF(NOT((COUNTA($B243:$K243)+COUNTA($N243))&gt;0),"",IF($B243&lt;&gt;"","Macro",IF($C243&lt;&gt;"","Sub","Macro")))</f>
        <v/>
      </c>
      <c r="T243" s="70">
        <f>IF($S243="Macro",COUNTIFS($R$5:$R$1000,ROW(),$S$5:$S$1000,"Sub"),"")</f>
        <v/>
      </c>
      <c r="U243" s="70">
        <f>IF($S243="","",IF(ISNUMBER($H243),$H243,0))</f>
        <v/>
      </c>
      <c r="V243" s="70">
        <f>IF($S243="","",IF(ISNUMBER($I243),$I243,$U243))</f>
        <v/>
      </c>
      <c r="W243" s="70">
        <f>IF($S243="","",IF(ISNUMBER($J243),$J243,$V243))</f>
        <v/>
      </c>
      <c r="X243" s="70">
        <f>IF($S243="","",IF(ISNUMBER($K243),$K243,$W243))</f>
        <v/>
      </c>
      <c r="Y243" s="70">
        <f>IF($S243="","",IF(N($T243)&gt;0,AVERAGEIFS($U$5:$U$1000,$R$5:$R$1000,ROW(),$S$5:$S$1000,"Sub"),$U243))</f>
        <v/>
      </c>
      <c r="Z243" s="70">
        <f>IF($S243="","",IF(N($T243)&gt;0,AVERAGEIFS($V$5:$V$1000,$R$5:$R$1000,ROW(),$S$5:$S$1000,"Sub"),$V243))</f>
        <v/>
      </c>
      <c r="AA243" s="70">
        <f>IF($S243="","",IF(N($T243)&gt;0,AVERAGEIFS($W$5:$W$1000,$R$5:$R$1000,ROW(),$S$5:$S$1000,"Sub"),$W243))</f>
        <v/>
      </c>
      <c r="AB243" s="70">
        <f>IF($S243="","",IF(N($T243)&gt;0,AVERAGEIFS($X$5:$X$1000,$R$5:$R$1000,ROW(),$S$5:$S$1000,"Sub"),$X243))</f>
        <v/>
      </c>
    </row>
    <row r="244">
      <c r="A244" s="61">
        <f>IF(NOT((COUNTA($B244:$K244)+COUNTA($N244))&gt;0),"",IF($S244="Macro",COUNTIFS($S$5:$S244,"Macro",$P$5:$P244,$P244),IF(N($R244)=0,"?",COUNTIFS(INDEX($S$5:$S$1000,1):INDEX($S$5:$S$1000,$R244-4),"Macro",INDEX($P$5:$P$1000,1):INDEX($P$5:$P$1000,$R244-4),INDEX($P$5:$P$1000,$R244-4))&amp;"."&amp;COUNTIFS($R$5:$R244,$R244,$S$5:$S244,"Sub"))))</f>
        <v/>
      </c>
      <c r="B244" s="62" t="n"/>
      <c r="C244" s="63" t="n"/>
      <c r="D244" s="62" t="n"/>
      <c r="E244" s="64" t="n"/>
      <c r="F244" s="64" t="n"/>
      <c r="G244" s="65" t="n"/>
      <c r="H244" s="66" t="n"/>
      <c r="I244" s="66" t="n"/>
      <c r="J244" s="66" t="n"/>
      <c r="K244" s="66" t="n"/>
      <c r="L244" s="67">
        <f>IF(NOT((COUNTA($B244:$K244)+COUNTA($N244))&gt;0),"",IF(N($T244)&gt;0,$AB244,IFERROR(LOOKUP(2,1/(H244:K244&lt;&gt;""),H244:K244),0)))</f>
        <v/>
      </c>
      <c r="M244" s="61">
        <f>IF(L244="","",IF(L244&gt;=1,"Completado",IF(L244&gt;0,"En curso","Pendiente")))</f>
        <v/>
      </c>
      <c r="N244" s="62" t="n"/>
      <c r="O244" s="68">
        <f>IF(NOT((COUNTA($B244:$K244)+COUNTA($N244))&gt;0),"",IF((IF(AND($S244="Macro",$B244=""),"Macroactividad vacía"&amp;" · ","")&amp;IF(AND($B244&lt;&gt;"",$C244&lt;&gt;""),"Escriba la subactividad en otra fila, debajo de su macroactividad"&amp;" · ","")&amp;IF(AND($S244="Sub",N($R244)=0),"Subactividad sin macroactividad arriba"&amp;" · ","")&amp;IF($D244="","Sin responsable"&amp;" · ","")&amp;IF($E244="","Sin fecha de inicio"&amp;" · ","")&amp;IF($F244="","Sin fecha límite"&amp;" · ","")&amp;IF(OR(AND($E244&lt;&gt;"",NOT(ISNUMBER($E244))),AND($F244&lt;&gt;"",NOT(ISNUMBER($F244)))),"Fecha no válida"&amp;" · ","")&amp;IF(AND(ISNUMBER($E244),ISNUMBER($F244),$E244&gt;$F244),"Inicio posterior a fecha límite"&amp;" · ","")&amp;IF(AND($S244="Macro",$G244=""),"Peso vacío"&amp;" · ","")&amp;IF(AND($S244="Macro",$G244&lt;&gt;"",OR(NOT(ISNUMBER($G244)),$G244&lt;=0,$G244&gt;1)),"Peso fuera de rango"&amp;" · ","")&amp;IF(AND($S244="Sub",$G244&lt;&gt;""),"Las subactividades no llevan peso"&amp;" · ","")&amp;IF(AND($S244="Macro",ABS(SUMIFS($G$5:$G$1000,$P$5:$P$1000,$P244,$S$5:$S$1000,"Macro")-1)&gt;0.0001),"Pesos del mes suman "&amp;TEXT(SUMIFS($G$5:$G$1000,$P$5:$P$1000,$P244,$S$5:$S$1000,"Macro"),"0%")&amp;" · ","")&amp;IF(AND(N($T244)&gt;0,COUNT($H244:$K244)&gt;0),"Con subactividades: deje vacías las semanas (se calculan solas)"&amp;" · ","")&amp;IF((COUNTIF($H244:$K244,"&gt;1")+COUNTIF($H244:$K244,"&lt;0")+COUNTA($H244:$K244)-COUNT($H244:$K244))&gt;0,"Avance fuera de rango 0-100%"&amp;" · ","")&amp;IF(OR(AND($I244&lt;&gt;"",$I244&lt;$H244),AND($J244&lt;&gt;"",$J244&lt;MAX($H244:$I244)),AND($K244&lt;&gt;"",$K244&lt;MAX($H244:$J244))),"Avance semanal decreciente"&amp;" · ","")&amp;IF(AND(ISNUMBER($F244),$F244&lt;FechaRef,N($L244)&lt;1),"Vencida"&amp;" · ","")&amp;IF(AND(ObsObligatoria="Sí",ISNUMBER($F244),$F244&lt;FechaRef,N($L244)&lt;1,$N244=""),"Vencida sin observación"&amp;" · ",""))="","✔ OK","⚠ "&amp;LEFT(IF(AND($S244="Macro",$B244=""),"Macroactividad vacía"&amp;" · ","")&amp;IF(AND($B244&lt;&gt;"",$C244&lt;&gt;""),"Escriba la subactividad en otra fila, debajo de su macroactividad"&amp;" · ","")&amp;IF(AND($S244="Sub",N($R244)=0),"Subactividad sin macroactividad arriba"&amp;" · ","")&amp;IF($D244="","Sin responsable"&amp;" · ","")&amp;IF($E244="","Sin fecha de inicio"&amp;" · ","")&amp;IF($F244="","Sin fecha límite"&amp;" · ","")&amp;IF(OR(AND($E244&lt;&gt;"",NOT(ISNUMBER($E244))),AND($F244&lt;&gt;"",NOT(ISNUMBER($F244)))),"Fecha no válida"&amp;" · ","")&amp;IF(AND(ISNUMBER($E244),ISNUMBER($F244),$E244&gt;$F244),"Inicio posterior a fecha límite"&amp;" · ","")&amp;IF(AND($S244="Macro",$G244=""),"Peso vacío"&amp;" · ","")&amp;IF(AND($S244="Macro",$G244&lt;&gt;"",OR(NOT(ISNUMBER($G244)),$G244&lt;=0,$G244&gt;1)),"Peso fuera de rango"&amp;" · ","")&amp;IF(AND($S244="Sub",$G244&lt;&gt;""),"Las subactividades no llevan peso"&amp;" · ","")&amp;IF(AND($S244="Macro",ABS(SUMIFS($G$5:$G$1000,$P$5:$P$1000,$P244,$S$5:$S$1000,"Macro")-1)&gt;0.0001),"Pesos del mes suman "&amp;TEXT(SUMIFS($G$5:$G$1000,$P$5:$P$1000,$P244,$S$5:$S$1000,"Macro"),"0%")&amp;" · ","")&amp;IF(AND(N($T244)&gt;0,COUNT($H244:$K244)&gt;0),"Con subactividades: deje vacías las semanas (se calculan solas)"&amp;" · ","")&amp;IF((COUNTIF($H244:$K244,"&gt;1")+COUNTIF($H244:$K244,"&lt;0")+COUNTA($H244:$K244)-COUNT($H244:$K244))&gt;0,"Avance fuera de rango 0-100%"&amp;" · ","")&amp;IF(OR(AND($I244&lt;&gt;"",$I244&lt;$H244),AND($J244&lt;&gt;"",$J244&lt;MAX($H244:$I244)),AND($K244&lt;&gt;"",$K244&lt;MAX($H244:$J244))),"Avance semanal decreciente"&amp;" · ","")&amp;IF(AND(ISNUMBER($F244),$F244&lt;FechaRef,N($L244)&lt;1),"Vencida"&amp;" · ","")&amp;IF(AND(ObsObligatoria="Sí",ISNUMBER($F244),$F244&lt;FechaRef,N($L244)&lt;1,$N244=""),"Vencida sin observación"&amp;" · ",""),LEN(IF(AND($S244="Macro",$B244=""),"Macroactividad vacía"&amp;" · ","")&amp;IF(AND($B244&lt;&gt;"",$C244&lt;&gt;""),"Escriba la subactividad en otra fila, debajo de su macroactividad"&amp;" · ","")&amp;IF(AND($S244="Sub",N($R244)=0),"Subactividad sin macroactividad arriba"&amp;" · ","")&amp;IF($D244="","Sin responsable"&amp;" · ","")&amp;IF($E244="","Sin fecha de inicio"&amp;" · ","")&amp;IF($F244="","Sin fecha límite"&amp;" · ","")&amp;IF(OR(AND($E244&lt;&gt;"",NOT(ISNUMBER($E244))),AND($F244&lt;&gt;"",NOT(ISNUMBER($F244)))),"Fecha no válida"&amp;" · ","")&amp;IF(AND(ISNUMBER($E244),ISNUMBER($F244),$E244&gt;$F244),"Inicio posterior a fecha límite"&amp;" · ","")&amp;IF(AND($S244="Macro",$G244=""),"Peso vacío"&amp;" · ","")&amp;IF(AND($S244="Macro",$G244&lt;&gt;"",OR(NOT(ISNUMBER($G244)),$G244&lt;=0,$G244&gt;1)),"Peso fuera de rango"&amp;" · ","")&amp;IF(AND($S244="Sub",$G244&lt;&gt;""),"Las subactividades no llevan peso"&amp;" · ","")&amp;IF(AND($S244="Macro",ABS(SUMIFS($G$5:$G$1000,$P$5:$P$1000,$P244,$S$5:$S$1000,"Macro")-1)&gt;0.0001),"Pesos del mes suman "&amp;TEXT(SUMIFS($G$5:$G$1000,$P$5:$P$1000,$P244,$S$5:$S$1000,"Macro"),"0%")&amp;" · ","")&amp;IF(AND(N($T244)&gt;0,COUNT($H244:$K244)&gt;0),"Con subactividades: deje vacías las semanas (se calculan solas)"&amp;" · ","")&amp;IF((COUNTIF($H244:$K244,"&gt;1")+COUNTIF($H244:$K244,"&lt;0")+COUNTA($H244:$K244)-COUNT($H244:$K244))&gt;0,"Avance fuera de rango 0-100%"&amp;" · ","")&amp;IF(OR(AND($I244&lt;&gt;"",$I244&lt;$H244),AND($J244&lt;&gt;"",$J244&lt;MAX($H244:$I244)),AND($K244&lt;&gt;"",$K244&lt;MAX($H244:$J244))),"Avance semanal decreciente"&amp;" · ","")&amp;IF(AND(ISNUMBER($F244),$F244&lt;FechaRef,N($L244)&lt;1),"Vencida"&amp;" · ","")&amp;IF(AND(ObsObligatoria="Sí",ISNUMBER($F244),$F244&lt;FechaRef,N($L244)&lt;1,$N244=""),"Vencida sin observación"&amp;" · ",""))-3)))</f>
        <v/>
      </c>
      <c r="P244" s="69">
        <f>IF(NOT((COUNTA($B244:$K244)+COUNTA($N244))&gt;0),"",IF(AND($S244="Sub",N($R244)&gt;0),IF(ISNUMBER(INDEX($E$5:$E$1000,$R244-4)),DATE(YEAR(INDEX($E$5:$E$1000,$R244-4)),MONTH(INDEX($E$5:$E$1000,$R244-4)),1),IF(ISNUMBER(INDEX($F$5:$F$1000,$R244-4)),DATE(YEAR(INDEX($F$5:$F$1000,$R244-4)),MONTH(INDEX($F$5:$F$1000,$R244-4)),1),MesCiclo)),IF(ISNUMBER($E244),DATE(YEAR($E244),MONTH($E244),1),IF(ISNUMBER($F244),DATE(YEAR($F244),MONTH($F244),1),MesCiclo))))</f>
        <v/>
      </c>
      <c r="Q244" s="70">
        <f>IF(OR($P244="",$P244&lt;&gt;MesCiclo),"",COUNTIF($P$5:$P244,MesCiclo))</f>
        <v/>
      </c>
      <c r="R244" s="70">
        <f>IF($S244="","",IF($S244="Macro",ROW(),IFERROR(LOOKUP(2,1/($S$5:$S244="Macro"),ROW($S$5:$S244)),0)))</f>
        <v/>
      </c>
      <c r="S244" s="70">
        <f>IF(NOT((COUNTA($B244:$K244)+COUNTA($N244))&gt;0),"",IF($B244&lt;&gt;"","Macro",IF($C244&lt;&gt;"","Sub","Macro")))</f>
        <v/>
      </c>
      <c r="T244" s="70">
        <f>IF($S244="Macro",COUNTIFS($R$5:$R$1000,ROW(),$S$5:$S$1000,"Sub"),"")</f>
        <v/>
      </c>
      <c r="U244" s="70">
        <f>IF($S244="","",IF(ISNUMBER($H244),$H244,0))</f>
        <v/>
      </c>
      <c r="V244" s="70">
        <f>IF($S244="","",IF(ISNUMBER($I244),$I244,$U244))</f>
        <v/>
      </c>
      <c r="W244" s="70">
        <f>IF($S244="","",IF(ISNUMBER($J244),$J244,$V244))</f>
        <v/>
      </c>
      <c r="X244" s="70">
        <f>IF($S244="","",IF(ISNUMBER($K244),$K244,$W244))</f>
        <v/>
      </c>
      <c r="Y244" s="70">
        <f>IF($S244="","",IF(N($T244)&gt;0,AVERAGEIFS($U$5:$U$1000,$R$5:$R$1000,ROW(),$S$5:$S$1000,"Sub"),$U244))</f>
        <v/>
      </c>
      <c r="Z244" s="70">
        <f>IF($S244="","",IF(N($T244)&gt;0,AVERAGEIFS($V$5:$V$1000,$R$5:$R$1000,ROW(),$S$5:$S$1000,"Sub"),$V244))</f>
        <v/>
      </c>
      <c r="AA244" s="70">
        <f>IF($S244="","",IF(N($T244)&gt;0,AVERAGEIFS($W$5:$W$1000,$R$5:$R$1000,ROW(),$S$5:$S$1000,"Sub"),$W244))</f>
        <v/>
      </c>
      <c r="AB244" s="70">
        <f>IF($S244="","",IF(N($T244)&gt;0,AVERAGEIFS($X$5:$X$1000,$R$5:$R$1000,ROW(),$S$5:$S$1000,"Sub"),$X244))</f>
        <v/>
      </c>
    </row>
    <row r="245">
      <c r="A245" s="61">
        <f>IF(NOT((COUNTA($B245:$K245)+COUNTA($N245))&gt;0),"",IF($S245="Macro",COUNTIFS($S$5:$S245,"Macro",$P$5:$P245,$P245),IF(N($R245)=0,"?",COUNTIFS(INDEX($S$5:$S$1000,1):INDEX($S$5:$S$1000,$R245-4),"Macro",INDEX($P$5:$P$1000,1):INDEX($P$5:$P$1000,$R245-4),INDEX($P$5:$P$1000,$R245-4))&amp;"."&amp;COUNTIFS($R$5:$R245,$R245,$S$5:$S245,"Sub"))))</f>
        <v/>
      </c>
      <c r="B245" s="62" t="n"/>
      <c r="C245" s="63" t="n"/>
      <c r="D245" s="62" t="n"/>
      <c r="E245" s="64" t="n"/>
      <c r="F245" s="64" t="n"/>
      <c r="G245" s="65" t="n"/>
      <c r="H245" s="66" t="n"/>
      <c r="I245" s="66" t="n"/>
      <c r="J245" s="66" t="n"/>
      <c r="K245" s="66" t="n"/>
      <c r="L245" s="67">
        <f>IF(NOT((COUNTA($B245:$K245)+COUNTA($N245))&gt;0),"",IF(N($T245)&gt;0,$AB245,IFERROR(LOOKUP(2,1/(H245:K245&lt;&gt;""),H245:K245),0)))</f>
        <v/>
      </c>
      <c r="M245" s="61">
        <f>IF(L245="","",IF(L245&gt;=1,"Completado",IF(L245&gt;0,"En curso","Pendiente")))</f>
        <v/>
      </c>
      <c r="N245" s="62" t="n"/>
      <c r="O245" s="68">
        <f>IF(NOT((COUNTA($B245:$K245)+COUNTA($N245))&gt;0),"",IF((IF(AND($S245="Macro",$B245=""),"Macroactividad vacía"&amp;" · ","")&amp;IF(AND($B245&lt;&gt;"",$C245&lt;&gt;""),"Escriba la subactividad en otra fila, debajo de su macroactividad"&amp;" · ","")&amp;IF(AND($S245="Sub",N($R245)=0),"Subactividad sin macroactividad arriba"&amp;" · ","")&amp;IF($D245="","Sin responsable"&amp;" · ","")&amp;IF($E245="","Sin fecha de inicio"&amp;" · ","")&amp;IF($F245="","Sin fecha límite"&amp;" · ","")&amp;IF(OR(AND($E245&lt;&gt;"",NOT(ISNUMBER($E245))),AND($F245&lt;&gt;"",NOT(ISNUMBER($F245)))),"Fecha no válida"&amp;" · ","")&amp;IF(AND(ISNUMBER($E245),ISNUMBER($F245),$E245&gt;$F245),"Inicio posterior a fecha límite"&amp;" · ","")&amp;IF(AND($S245="Macro",$G245=""),"Peso vacío"&amp;" · ","")&amp;IF(AND($S245="Macro",$G245&lt;&gt;"",OR(NOT(ISNUMBER($G245)),$G245&lt;=0,$G245&gt;1)),"Peso fuera de rango"&amp;" · ","")&amp;IF(AND($S245="Sub",$G245&lt;&gt;""),"Las subactividades no llevan peso"&amp;" · ","")&amp;IF(AND($S245="Macro",ABS(SUMIFS($G$5:$G$1000,$P$5:$P$1000,$P245,$S$5:$S$1000,"Macro")-1)&gt;0.0001),"Pesos del mes suman "&amp;TEXT(SUMIFS($G$5:$G$1000,$P$5:$P$1000,$P245,$S$5:$S$1000,"Macro"),"0%")&amp;" · ","")&amp;IF(AND(N($T245)&gt;0,COUNT($H245:$K245)&gt;0),"Con subactividades: deje vacías las semanas (se calculan solas)"&amp;" · ","")&amp;IF((COUNTIF($H245:$K245,"&gt;1")+COUNTIF($H245:$K245,"&lt;0")+COUNTA($H245:$K245)-COUNT($H245:$K245))&gt;0,"Avance fuera de rango 0-100%"&amp;" · ","")&amp;IF(OR(AND($I245&lt;&gt;"",$I245&lt;$H245),AND($J245&lt;&gt;"",$J245&lt;MAX($H245:$I245)),AND($K245&lt;&gt;"",$K245&lt;MAX($H245:$J245))),"Avance semanal decreciente"&amp;" · ","")&amp;IF(AND(ISNUMBER($F245),$F245&lt;FechaRef,N($L245)&lt;1),"Vencida"&amp;" · ","")&amp;IF(AND(ObsObligatoria="Sí",ISNUMBER($F245),$F245&lt;FechaRef,N($L245)&lt;1,$N245=""),"Vencida sin observación"&amp;" · ",""))="","✔ OK","⚠ "&amp;LEFT(IF(AND($S245="Macro",$B245=""),"Macroactividad vacía"&amp;" · ","")&amp;IF(AND($B245&lt;&gt;"",$C245&lt;&gt;""),"Escriba la subactividad en otra fila, debajo de su macroactividad"&amp;" · ","")&amp;IF(AND($S245="Sub",N($R245)=0),"Subactividad sin macroactividad arriba"&amp;" · ","")&amp;IF($D245="","Sin responsable"&amp;" · ","")&amp;IF($E245="","Sin fecha de inicio"&amp;" · ","")&amp;IF($F245="","Sin fecha límite"&amp;" · ","")&amp;IF(OR(AND($E245&lt;&gt;"",NOT(ISNUMBER($E245))),AND($F245&lt;&gt;"",NOT(ISNUMBER($F245)))),"Fecha no válida"&amp;" · ","")&amp;IF(AND(ISNUMBER($E245),ISNUMBER($F245),$E245&gt;$F245),"Inicio posterior a fecha límite"&amp;" · ","")&amp;IF(AND($S245="Macro",$G245=""),"Peso vacío"&amp;" · ","")&amp;IF(AND($S245="Macro",$G245&lt;&gt;"",OR(NOT(ISNUMBER($G245)),$G245&lt;=0,$G245&gt;1)),"Peso fuera de rango"&amp;" · ","")&amp;IF(AND($S245="Sub",$G245&lt;&gt;""),"Las subactividades no llevan peso"&amp;" · ","")&amp;IF(AND($S245="Macro",ABS(SUMIFS($G$5:$G$1000,$P$5:$P$1000,$P245,$S$5:$S$1000,"Macro")-1)&gt;0.0001),"Pesos del mes suman "&amp;TEXT(SUMIFS($G$5:$G$1000,$P$5:$P$1000,$P245,$S$5:$S$1000,"Macro"),"0%")&amp;" · ","")&amp;IF(AND(N($T245)&gt;0,COUNT($H245:$K245)&gt;0),"Con subactividades: deje vacías las semanas (se calculan solas)"&amp;" · ","")&amp;IF((COUNTIF($H245:$K245,"&gt;1")+COUNTIF($H245:$K245,"&lt;0")+COUNTA($H245:$K245)-COUNT($H245:$K245))&gt;0,"Avance fuera de rango 0-100%"&amp;" · ","")&amp;IF(OR(AND($I245&lt;&gt;"",$I245&lt;$H245),AND($J245&lt;&gt;"",$J245&lt;MAX($H245:$I245)),AND($K245&lt;&gt;"",$K245&lt;MAX($H245:$J245))),"Avance semanal decreciente"&amp;" · ","")&amp;IF(AND(ISNUMBER($F245),$F245&lt;FechaRef,N($L245)&lt;1),"Vencida"&amp;" · ","")&amp;IF(AND(ObsObligatoria="Sí",ISNUMBER($F245),$F245&lt;FechaRef,N($L245)&lt;1,$N245=""),"Vencida sin observación"&amp;" · ",""),LEN(IF(AND($S245="Macro",$B245=""),"Macroactividad vacía"&amp;" · ","")&amp;IF(AND($B245&lt;&gt;"",$C245&lt;&gt;""),"Escriba la subactividad en otra fila, debajo de su macroactividad"&amp;" · ","")&amp;IF(AND($S245="Sub",N($R245)=0),"Subactividad sin macroactividad arriba"&amp;" · ","")&amp;IF($D245="","Sin responsable"&amp;" · ","")&amp;IF($E245="","Sin fecha de inicio"&amp;" · ","")&amp;IF($F245="","Sin fecha límite"&amp;" · ","")&amp;IF(OR(AND($E245&lt;&gt;"",NOT(ISNUMBER($E245))),AND($F245&lt;&gt;"",NOT(ISNUMBER($F245)))),"Fecha no válida"&amp;" · ","")&amp;IF(AND(ISNUMBER($E245),ISNUMBER($F245),$E245&gt;$F245),"Inicio posterior a fecha límite"&amp;" · ","")&amp;IF(AND($S245="Macro",$G245=""),"Peso vacío"&amp;" · ","")&amp;IF(AND($S245="Macro",$G245&lt;&gt;"",OR(NOT(ISNUMBER($G245)),$G245&lt;=0,$G245&gt;1)),"Peso fuera de rango"&amp;" · ","")&amp;IF(AND($S245="Sub",$G245&lt;&gt;""),"Las subactividades no llevan peso"&amp;" · ","")&amp;IF(AND($S245="Macro",ABS(SUMIFS($G$5:$G$1000,$P$5:$P$1000,$P245,$S$5:$S$1000,"Macro")-1)&gt;0.0001),"Pesos del mes suman "&amp;TEXT(SUMIFS($G$5:$G$1000,$P$5:$P$1000,$P245,$S$5:$S$1000,"Macro"),"0%")&amp;" · ","")&amp;IF(AND(N($T245)&gt;0,COUNT($H245:$K245)&gt;0),"Con subactividades: deje vacías las semanas (se calculan solas)"&amp;" · ","")&amp;IF((COUNTIF($H245:$K245,"&gt;1")+COUNTIF($H245:$K245,"&lt;0")+COUNTA($H245:$K245)-COUNT($H245:$K245))&gt;0,"Avance fuera de rango 0-100%"&amp;" · ","")&amp;IF(OR(AND($I245&lt;&gt;"",$I245&lt;$H245),AND($J245&lt;&gt;"",$J245&lt;MAX($H245:$I245)),AND($K245&lt;&gt;"",$K245&lt;MAX($H245:$J245))),"Avance semanal decreciente"&amp;" · ","")&amp;IF(AND(ISNUMBER($F245),$F245&lt;FechaRef,N($L245)&lt;1),"Vencida"&amp;" · ","")&amp;IF(AND(ObsObligatoria="Sí",ISNUMBER($F245),$F245&lt;FechaRef,N($L245)&lt;1,$N245=""),"Vencida sin observación"&amp;" · ",""))-3)))</f>
        <v/>
      </c>
      <c r="P245" s="69">
        <f>IF(NOT((COUNTA($B245:$K245)+COUNTA($N245))&gt;0),"",IF(AND($S245="Sub",N($R245)&gt;0),IF(ISNUMBER(INDEX($E$5:$E$1000,$R245-4)),DATE(YEAR(INDEX($E$5:$E$1000,$R245-4)),MONTH(INDEX($E$5:$E$1000,$R245-4)),1),IF(ISNUMBER(INDEX($F$5:$F$1000,$R245-4)),DATE(YEAR(INDEX($F$5:$F$1000,$R245-4)),MONTH(INDEX($F$5:$F$1000,$R245-4)),1),MesCiclo)),IF(ISNUMBER($E245),DATE(YEAR($E245),MONTH($E245),1),IF(ISNUMBER($F245),DATE(YEAR($F245),MONTH($F245),1),MesCiclo))))</f>
        <v/>
      </c>
      <c r="Q245" s="70">
        <f>IF(OR($P245="",$P245&lt;&gt;MesCiclo),"",COUNTIF($P$5:$P245,MesCiclo))</f>
        <v/>
      </c>
      <c r="R245" s="70">
        <f>IF($S245="","",IF($S245="Macro",ROW(),IFERROR(LOOKUP(2,1/($S$5:$S245="Macro"),ROW($S$5:$S245)),0)))</f>
        <v/>
      </c>
      <c r="S245" s="70">
        <f>IF(NOT((COUNTA($B245:$K245)+COUNTA($N245))&gt;0),"",IF($B245&lt;&gt;"","Macro",IF($C245&lt;&gt;"","Sub","Macro")))</f>
        <v/>
      </c>
      <c r="T245" s="70">
        <f>IF($S245="Macro",COUNTIFS($R$5:$R$1000,ROW(),$S$5:$S$1000,"Sub"),"")</f>
        <v/>
      </c>
      <c r="U245" s="70">
        <f>IF($S245="","",IF(ISNUMBER($H245),$H245,0))</f>
        <v/>
      </c>
      <c r="V245" s="70">
        <f>IF($S245="","",IF(ISNUMBER($I245),$I245,$U245))</f>
        <v/>
      </c>
      <c r="W245" s="70">
        <f>IF($S245="","",IF(ISNUMBER($J245),$J245,$V245))</f>
        <v/>
      </c>
      <c r="X245" s="70">
        <f>IF($S245="","",IF(ISNUMBER($K245),$K245,$W245))</f>
        <v/>
      </c>
      <c r="Y245" s="70">
        <f>IF($S245="","",IF(N($T245)&gt;0,AVERAGEIFS($U$5:$U$1000,$R$5:$R$1000,ROW(),$S$5:$S$1000,"Sub"),$U245))</f>
        <v/>
      </c>
      <c r="Z245" s="70">
        <f>IF($S245="","",IF(N($T245)&gt;0,AVERAGEIFS($V$5:$V$1000,$R$5:$R$1000,ROW(),$S$5:$S$1000,"Sub"),$V245))</f>
        <v/>
      </c>
      <c r="AA245" s="70">
        <f>IF($S245="","",IF(N($T245)&gt;0,AVERAGEIFS($W$5:$W$1000,$R$5:$R$1000,ROW(),$S$5:$S$1000,"Sub"),$W245))</f>
        <v/>
      </c>
      <c r="AB245" s="70">
        <f>IF($S245="","",IF(N($T245)&gt;0,AVERAGEIFS($X$5:$X$1000,$R$5:$R$1000,ROW(),$S$5:$S$1000,"Sub"),$X245))</f>
        <v/>
      </c>
    </row>
    <row r="246">
      <c r="A246" s="61">
        <f>IF(NOT((COUNTA($B246:$K246)+COUNTA($N246))&gt;0),"",IF($S246="Macro",COUNTIFS($S$5:$S246,"Macro",$P$5:$P246,$P246),IF(N($R246)=0,"?",COUNTIFS(INDEX($S$5:$S$1000,1):INDEX($S$5:$S$1000,$R246-4),"Macro",INDEX($P$5:$P$1000,1):INDEX($P$5:$P$1000,$R246-4),INDEX($P$5:$P$1000,$R246-4))&amp;"."&amp;COUNTIFS($R$5:$R246,$R246,$S$5:$S246,"Sub"))))</f>
        <v/>
      </c>
      <c r="B246" s="62" t="n"/>
      <c r="C246" s="63" t="n"/>
      <c r="D246" s="62" t="n"/>
      <c r="E246" s="64" t="n"/>
      <c r="F246" s="64" t="n"/>
      <c r="G246" s="65" t="n"/>
      <c r="H246" s="66" t="n"/>
      <c r="I246" s="66" t="n"/>
      <c r="J246" s="66" t="n"/>
      <c r="K246" s="66" t="n"/>
      <c r="L246" s="67">
        <f>IF(NOT((COUNTA($B246:$K246)+COUNTA($N246))&gt;0),"",IF(N($T246)&gt;0,$AB246,IFERROR(LOOKUP(2,1/(H246:K246&lt;&gt;""),H246:K246),0)))</f>
        <v/>
      </c>
      <c r="M246" s="61">
        <f>IF(L246="","",IF(L246&gt;=1,"Completado",IF(L246&gt;0,"En curso","Pendiente")))</f>
        <v/>
      </c>
      <c r="N246" s="62" t="n"/>
      <c r="O246" s="68">
        <f>IF(NOT((COUNTA($B246:$K246)+COUNTA($N246))&gt;0),"",IF((IF(AND($S246="Macro",$B246=""),"Macroactividad vacía"&amp;" · ","")&amp;IF(AND($B246&lt;&gt;"",$C246&lt;&gt;""),"Escriba la subactividad en otra fila, debajo de su macroactividad"&amp;" · ","")&amp;IF(AND($S246="Sub",N($R246)=0),"Subactividad sin macroactividad arriba"&amp;" · ","")&amp;IF($D246="","Sin responsable"&amp;" · ","")&amp;IF($E246="","Sin fecha de inicio"&amp;" · ","")&amp;IF($F246="","Sin fecha límite"&amp;" · ","")&amp;IF(OR(AND($E246&lt;&gt;"",NOT(ISNUMBER($E246))),AND($F246&lt;&gt;"",NOT(ISNUMBER($F246)))),"Fecha no válida"&amp;" · ","")&amp;IF(AND(ISNUMBER($E246),ISNUMBER($F246),$E246&gt;$F246),"Inicio posterior a fecha límite"&amp;" · ","")&amp;IF(AND($S246="Macro",$G246=""),"Peso vacío"&amp;" · ","")&amp;IF(AND($S246="Macro",$G246&lt;&gt;"",OR(NOT(ISNUMBER($G246)),$G246&lt;=0,$G246&gt;1)),"Peso fuera de rango"&amp;" · ","")&amp;IF(AND($S246="Sub",$G246&lt;&gt;""),"Las subactividades no llevan peso"&amp;" · ","")&amp;IF(AND($S246="Macro",ABS(SUMIFS($G$5:$G$1000,$P$5:$P$1000,$P246,$S$5:$S$1000,"Macro")-1)&gt;0.0001),"Pesos del mes suman "&amp;TEXT(SUMIFS($G$5:$G$1000,$P$5:$P$1000,$P246,$S$5:$S$1000,"Macro"),"0%")&amp;" · ","")&amp;IF(AND(N($T246)&gt;0,COUNT($H246:$K246)&gt;0),"Con subactividades: deje vacías las semanas (se calculan solas)"&amp;" · ","")&amp;IF((COUNTIF($H246:$K246,"&gt;1")+COUNTIF($H246:$K246,"&lt;0")+COUNTA($H246:$K246)-COUNT($H246:$K246))&gt;0,"Avance fuera de rango 0-100%"&amp;" · ","")&amp;IF(OR(AND($I246&lt;&gt;"",$I246&lt;$H246),AND($J246&lt;&gt;"",$J246&lt;MAX($H246:$I246)),AND($K246&lt;&gt;"",$K246&lt;MAX($H246:$J246))),"Avance semanal decreciente"&amp;" · ","")&amp;IF(AND(ISNUMBER($F246),$F246&lt;FechaRef,N($L246)&lt;1),"Vencida"&amp;" · ","")&amp;IF(AND(ObsObligatoria="Sí",ISNUMBER($F246),$F246&lt;FechaRef,N($L246)&lt;1,$N246=""),"Vencida sin observación"&amp;" · ",""))="","✔ OK","⚠ "&amp;LEFT(IF(AND($S246="Macro",$B246=""),"Macroactividad vacía"&amp;" · ","")&amp;IF(AND($B246&lt;&gt;"",$C246&lt;&gt;""),"Escriba la subactividad en otra fila, debajo de su macroactividad"&amp;" · ","")&amp;IF(AND($S246="Sub",N($R246)=0),"Subactividad sin macroactividad arriba"&amp;" · ","")&amp;IF($D246="","Sin responsable"&amp;" · ","")&amp;IF($E246="","Sin fecha de inicio"&amp;" · ","")&amp;IF($F246="","Sin fecha límite"&amp;" · ","")&amp;IF(OR(AND($E246&lt;&gt;"",NOT(ISNUMBER($E246))),AND($F246&lt;&gt;"",NOT(ISNUMBER($F246)))),"Fecha no válida"&amp;" · ","")&amp;IF(AND(ISNUMBER($E246),ISNUMBER($F246),$E246&gt;$F246),"Inicio posterior a fecha límite"&amp;" · ","")&amp;IF(AND($S246="Macro",$G246=""),"Peso vacío"&amp;" · ","")&amp;IF(AND($S246="Macro",$G246&lt;&gt;"",OR(NOT(ISNUMBER($G246)),$G246&lt;=0,$G246&gt;1)),"Peso fuera de rango"&amp;" · ","")&amp;IF(AND($S246="Sub",$G246&lt;&gt;""),"Las subactividades no llevan peso"&amp;" · ","")&amp;IF(AND($S246="Macro",ABS(SUMIFS($G$5:$G$1000,$P$5:$P$1000,$P246,$S$5:$S$1000,"Macro")-1)&gt;0.0001),"Pesos del mes suman "&amp;TEXT(SUMIFS($G$5:$G$1000,$P$5:$P$1000,$P246,$S$5:$S$1000,"Macro"),"0%")&amp;" · ","")&amp;IF(AND(N($T246)&gt;0,COUNT($H246:$K246)&gt;0),"Con subactividades: deje vacías las semanas (se calculan solas)"&amp;" · ","")&amp;IF((COUNTIF($H246:$K246,"&gt;1")+COUNTIF($H246:$K246,"&lt;0")+COUNTA($H246:$K246)-COUNT($H246:$K246))&gt;0,"Avance fuera de rango 0-100%"&amp;" · ","")&amp;IF(OR(AND($I246&lt;&gt;"",$I246&lt;$H246),AND($J246&lt;&gt;"",$J246&lt;MAX($H246:$I246)),AND($K246&lt;&gt;"",$K246&lt;MAX($H246:$J246))),"Avance semanal decreciente"&amp;" · ","")&amp;IF(AND(ISNUMBER($F246),$F246&lt;FechaRef,N($L246)&lt;1),"Vencida"&amp;" · ","")&amp;IF(AND(ObsObligatoria="Sí",ISNUMBER($F246),$F246&lt;FechaRef,N($L246)&lt;1,$N246=""),"Vencida sin observación"&amp;" · ",""),LEN(IF(AND($S246="Macro",$B246=""),"Macroactividad vacía"&amp;" · ","")&amp;IF(AND($B246&lt;&gt;"",$C246&lt;&gt;""),"Escriba la subactividad en otra fila, debajo de su macroactividad"&amp;" · ","")&amp;IF(AND($S246="Sub",N($R246)=0),"Subactividad sin macroactividad arriba"&amp;" · ","")&amp;IF($D246="","Sin responsable"&amp;" · ","")&amp;IF($E246="","Sin fecha de inicio"&amp;" · ","")&amp;IF($F246="","Sin fecha límite"&amp;" · ","")&amp;IF(OR(AND($E246&lt;&gt;"",NOT(ISNUMBER($E246))),AND($F246&lt;&gt;"",NOT(ISNUMBER($F246)))),"Fecha no válida"&amp;" · ","")&amp;IF(AND(ISNUMBER($E246),ISNUMBER($F246),$E246&gt;$F246),"Inicio posterior a fecha límite"&amp;" · ","")&amp;IF(AND($S246="Macro",$G246=""),"Peso vacío"&amp;" · ","")&amp;IF(AND($S246="Macro",$G246&lt;&gt;"",OR(NOT(ISNUMBER($G246)),$G246&lt;=0,$G246&gt;1)),"Peso fuera de rango"&amp;" · ","")&amp;IF(AND($S246="Sub",$G246&lt;&gt;""),"Las subactividades no llevan peso"&amp;" · ","")&amp;IF(AND($S246="Macro",ABS(SUMIFS($G$5:$G$1000,$P$5:$P$1000,$P246,$S$5:$S$1000,"Macro")-1)&gt;0.0001),"Pesos del mes suman "&amp;TEXT(SUMIFS($G$5:$G$1000,$P$5:$P$1000,$P246,$S$5:$S$1000,"Macro"),"0%")&amp;" · ","")&amp;IF(AND(N($T246)&gt;0,COUNT($H246:$K246)&gt;0),"Con subactividades: deje vacías las semanas (se calculan solas)"&amp;" · ","")&amp;IF((COUNTIF($H246:$K246,"&gt;1")+COUNTIF($H246:$K246,"&lt;0")+COUNTA($H246:$K246)-COUNT($H246:$K246))&gt;0,"Avance fuera de rango 0-100%"&amp;" · ","")&amp;IF(OR(AND($I246&lt;&gt;"",$I246&lt;$H246),AND($J246&lt;&gt;"",$J246&lt;MAX($H246:$I246)),AND($K246&lt;&gt;"",$K246&lt;MAX($H246:$J246))),"Avance semanal decreciente"&amp;" · ","")&amp;IF(AND(ISNUMBER($F246),$F246&lt;FechaRef,N($L246)&lt;1),"Vencida"&amp;" · ","")&amp;IF(AND(ObsObligatoria="Sí",ISNUMBER($F246),$F246&lt;FechaRef,N($L246)&lt;1,$N246=""),"Vencida sin observación"&amp;" · ",""))-3)))</f>
        <v/>
      </c>
      <c r="P246" s="69">
        <f>IF(NOT((COUNTA($B246:$K246)+COUNTA($N246))&gt;0),"",IF(AND($S246="Sub",N($R246)&gt;0),IF(ISNUMBER(INDEX($E$5:$E$1000,$R246-4)),DATE(YEAR(INDEX($E$5:$E$1000,$R246-4)),MONTH(INDEX($E$5:$E$1000,$R246-4)),1),IF(ISNUMBER(INDEX($F$5:$F$1000,$R246-4)),DATE(YEAR(INDEX($F$5:$F$1000,$R246-4)),MONTH(INDEX($F$5:$F$1000,$R246-4)),1),MesCiclo)),IF(ISNUMBER($E246),DATE(YEAR($E246),MONTH($E246),1),IF(ISNUMBER($F246),DATE(YEAR($F246),MONTH($F246),1),MesCiclo))))</f>
        <v/>
      </c>
      <c r="Q246" s="70">
        <f>IF(OR($P246="",$P246&lt;&gt;MesCiclo),"",COUNTIF($P$5:$P246,MesCiclo))</f>
        <v/>
      </c>
      <c r="R246" s="70">
        <f>IF($S246="","",IF($S246="Macro",ROW(),IFERROR(LOOKUP(2,1/($S$5:$S246="Macro"),ROW($S$5:$S246)),0)))</f>
        <v/>
      </c>
      <c r="S246" s="70">
        <f>IF(NOT((COUNTA($B246:$K246)+COUNTA($N246))&gt;0),"",IF($B246&lt;&gt;"","Macro",IF($C246&lt;&gt;"","Sub","Macro")))</f>
        <v/>
      </c>
      <c r="T246" s="70">
        <f>IF($S246="Macro",COUNTIFS($R$5:$R$1000,ROW(),$S$5:$S$1000,"Sub"),"")</f>
        <v/>
      </c>
      <c r="U246" s="70">
        <f>IF($S246="","",IF(ISNUMBER($H246),$H246,0))</f>
        <v/>
      </c>
      <c r="V246" s="70">
        <f>IF($S246="","",IF(ISNUMBER($I246),$I246,$U246))</f>
        <v/>
      </c>
      <c r="W246" s="70">
        <f>IF($S246="","",IF(ISNUMBER($J246),$J246,$V246))</f>
        <v/>
      </c>
      <c r="X246" s="70">
        <f>IF($S246="","",IF(ISNUMBER($K246),$K246,$W246))</f>
        <v/>
      </c>
      <c r="Y246" s="70">
        <f>IF($S246="","",IF(N($T246)&gt;0,AVERAGEIFS($U$5:$U$1000,$R$5:$R$1000,ROW(),$S$5:$S$1000,"Sub"),$U246))</f>
        <v/>
      </c>
      <c r="Z246" s="70">
        <f>IF($S246="","",IF(N($T246)&gt;0,AVERAGEIFS($V$5:$V$1000,$R$5:$R$1000,ROW(),$S$5:$S$1000,"Sub"),$V246))</f>
        <v/>
      </c>
      <c r="AA246" s="70">
        <f>IF($S246="","",IF(N($T246)&gt;0,AVERAGEIFS($W$5:$W$1000,$R$5:$R$1000,ROW(),$S$5:$S$1000,"Sub"),$W246))</f>
        <v/>
      </c>
      <c r="AB246" s="70">
        <f>IF($S246="","",IF(N($T246)&gt;0,AVERAGEIFS($X$5:$X$1000,$R$5:$R$1000,ROW(),$S$5:$S$1000,"Sub"),$X246))</f>
        <v/>
      </c>
    </row>
    <row r="247">
      <c r="A247" s="61">
        <f>IF(NOT((COUNTA($B247:$K247)+COUNTA($N247))&gt;0),"",IF($S247="Macro",COUNTIFS($S$5:$S247,"Macro",$P$5:$P247,$P247),IF(N($R247)=0,"?",COUNTIFS(INDEX($S$5:$S$1000,1):INDEX($S$5:$S$1000,$R247-4),"Macro",INDEX($P$5:$P$1000,1):INDEX($P$5:$P$1000,$R247-4),INDEX($P$5:$P$1000,$R247-4))&amp;"."&amp;COUNTIFS($R$5:$R247,$R247,$S$5:$S247,"Sub"))))</f>
        <v/>
      </c>
      <c r="B247" s="62" t="n"/>
      <c r="C247" s="63" t="n"/>
      <c r="D247" s="62" t="n"/>
      <c r="E247" s="64" t="n"/>
      <c r="F247" s="64" t="n"/>
      <c r="G247" s="65" t="n"/>
      <c r="H247" s="66" t="n"/>
      <c r="I247" s="66" t="n"/>
      <c r="J247" s="66" t="n"/>
      <c r="K247" s="66" t="n"/>
      <c r="L247" s="67">
        <f>IF(NOT((COUNTA($B247:$K247)+COUNTA($N247))&gt;0),"",IF(N($T247)&gt;0,$AB247,IFERROR(LOOKUP(2,1/(H247:K247&lt;&gt;""),H247:K247),0)))</f>
        <v/>
      </c>
      <c r="M247" s="61">
        <f>IF(L247="","",IF(L247&gt;=1,"Completado",IF(L247&gt;0,"En curso","Pendiente")))</f>
        <v/>
      </c>
      <c r="N247" s="62" t="n"/>
      <c r="O247" s="68">
        <f>IF(NOT((COUNTA($B247:$K247)+COUNTA($N247))&gt;0),"",IF((IF(AND($S247="Macro",$B247=""),"Macroactividad vacía"&amp;" · ","")&amp;IF(AND($B247&lt;&gt;"",$C247&lt;&gt;""),"Escriba la subactividad en otra fila, debajo de su macroactividad"&amp;" · ","")&amp;IF(AND($S247="Sub",N($R247)=0),"Subactividad sin macroactividad arriba"&amp;" · ","")&amp;IF($D247="","Sin responsable"&amp;" · ","")&amp;IF($E247="","Sin fecha de inicio"&amp;" · ","")&amp;IF($F247="","Sin fecha límite"&amp;" · ","")&amp;IF(OR(AND($E247&lt;&gt;"",NOT(ISNUMBER($E247))),AND($F247&lt;&gt;"",NOT(ISNUMBER($F247)))),"Fecha no válida"&amp;" · ","")&amp;IF(AND(ISNUMBER($E247),ISNUMBER($F247),$E247&gt;$F247),"Inicio posterior a fecha límite"&amp;" · ","")&amp;IF(AND($S247="Macro",$G247=""),"Peso vacío"&amp;" · ","")&amp;IF(AND($S247="Macro",$G247&lt;&gt;"",OR(NOT(ISNUMBER($G247)),$G247&lt;=0,$G247&gt;1)),"Peso fuera de rango"&amp;" · ","")&amp;IF(AND($S247="Sub",$G247&lt;&gt;""),"Las subactividades no llevan peso"&amp;" · ","")&amp;IF(AND($S247="Macro",ABS(SUMIFS($G$5:$G$1000,$P$5:$P$1000,$P247,$S$5:$S$1000,"Macro")-1)&gt;0.0001),"Pesos del mes suman "&amp;TEXT(SUMIFS($G$5:$G$1000,$P$5:$P$1000,$P247,$S$5:$S$1000,"Macro"),"0%")&amp;" · ","")&amp;IF(AND(N($T247)&gt;0,COUNT($H247:$K247)&gt;0),"Con subactividades: deje vacías las semanas (se calculan solas)"&amp;" · ","")&amp;IF((COUNTIF($H247:$K247,"&gt;1")+COUNTIF($H247:$K247,"&lt;0")+COUNTA($H247:$K247)-COUNT($H247:$K247))&gt;0,"Avance fuera de rango 0-100%"&amp;" · ","")&amp;IF(OR(AND($I247&lt;&gt;"",$I247&lt;$H247),AND($J247&lt;&gt;"",$J247&lt;MAX($H247:$I247)),AND($K247&lt;&gt;"",$K247&lt;MAX($H247:$J247))),"Avance semanal decreciente"&amp;" · ","")&amp;IF(AND(ISNUMBER($F247),$F247&lt;FechaRef,N($L247)&lt;1),"Vencida"&amp;" · ","")&amp;IF(AND(ObsObligatoria="Sí",ISNUMBER($F247),$F247&lt;FechaRef,N($L247)&lt;1,$N247=""),"Vencida sin observación"&amp;" · ",""))="","✔ OK","⚠ "&amp;LEFT(IF(AND($S247="Macro",$B247=""),"Macroactividad vacía"&amp;" · ","")&amp;IF(AND($B247&lt;&gt;"",$C247&lt;&gt;""),"Escriba la subactividad en otra fila, debajo de su macroactividad"&amp;" · ","")&amp;IF(AND($S247="Sub",N($R247)=0),"Subactividad sin macroactividad arriba"&amp;" · ","")&amp;IF($D247="","Sin responsable"&amp;" · ","")&amp;IF($E247="","Sin fecha de inicio"&amp;" · ","")&amp;IF($F247="","Sin fecha límite"&amp;" · ","")&amp;IF(OR(AND($E247&lt;&gt;"",NOT(ISNUMBER($E247))),AND($F247&lt;&gt;"",NOT(ISNUMBER($F247)))),"Fecha no válida"&amp;" · ","")&amp;IF(AND(ISNUMBER($E247),ISNUMBER($F247),$E247&gt;$F247),"Inicio posterior a fecha límite"&amp;" · ","")&amp;IF(AND($S247="Macro",$G247=""),"Peso vacío"&amp;" · ","")&amp;IF(AND($S247="Macro",$G247&lt;&gt;"",OR(NOT(ISNUMBER($G247)),$G247&lt;=0,$G247&gt;1)),"Peso fuera de rango"&amp;" · ","")&amp;IF(AND($S247="Sub",$G247&lt;&gt;""),"Las subactividades no llevan peso"&amp;" · ","")&amp;IF(AND($S247="Macro",ABS(SUMIFS($G$5:$G$1000,$P$5:$P$1000,$P247,$S$5:$S$1000,"Macro")-1)&gt;0.0001),"Pesos del mes suman "&amp;TEXT(SUMIFS($G$5:$G$1000,$P$5:$P$1000,$P247,$S$5:$S$1000,"Macro"),"0%")&amp;" · ","")&amp;IF(AND(N($T247)&gt;0,COUNT($H247:$K247)&gt;0),"Con subactividades: deje vacías las semanas (se calculan solas)"&amp;" · ","")&amp;IF((COUNTIF($H247:$K247,"&gt;1")+COUNTIF($H247:$K247,"&lt;0")+COUNTA($H247:$K247)-COUNT($H247:$K247))&gt;0,"Avance fuera de rango 0-100%"&amp;" · ","")&amp;IF(OR(AND($I247&lt;&gt;"",$I247&lt;$H247),AND($J247&lt;&gt;"",$J247&lt;MAX($H247:$I247)),AND($K247&lt;&gt;"",$K247&lt;MAX($H247:$J247))),"Avance semanal decreciente"&amp;" · ","")&amp;IF(AND(ISNUMBER($F247),$F247&lt;FechaRef,N($L247)&lt;1),"Vencida"&amp;" · ","")&amp;IF(AND(ObsObligatoria="Sí",ISNUMBER($F247),$F247&lt;FechaRef,N($L247)&lt;1,$N247=""),"Vencida sin observación"&amp;" · ",""),LEN(IF(AND($S247="Macro",$B247=""),"Macroactividad vacía"&amp;" · ","")&amp;IF(AND($B247&lt;&gt;"",$C247&lt;&gt;""),"Escriba la subactividad en otra fila, debajo de su macroactividad"&amp;" · ","")&amp;IF(AND($S247="Sub",N($R247)=0),"Subactividad sin macroactividad arriba"&amp;" · ","")&amp;IF($D247="","Sin responsable"&amp;" · ","")&amp;IF($E247="","Sin fecha de inicio"&amp;" · ","")&amp;IF($F247="","Sin fecha límite"&amp;" · ","")&amp;IF(OR(AND($E247&lt;&gt;"",NOT(ISNUMBER($E247))),AND($F247&lt;&gt;"",NOT(ISNUMBER($F247)))),"Fecha no válida"&amp;" · ","")&amp;IF(AND(ISNUMBER($E247),ISNUMBER($F247),$E247&gt;$F247),"Inicio posterior a fecha límite"&amp;" · ","")&amp;IF(AND($S247="Macro",$G247=""),"Peso vacío"&amp;" · ","")&amp;IF(AND($S247="Macro",$G247&lt;&gt;"",OR(NOT(ISNUMBER($G247)),$G247&lt;=0,$G247&gt;1)),"Peso fuera de rango"&amp;" · ","")&amp;IF(AND($S247="Sub",$G247&lt;&gt;""),"Las subactividades no llevan peso"&amp;" · ","")&amp;IF(AND($S247="Macro",ABS(SUMIFS($G$5:$G$1000,$P$5:$P$1000,$P247,$S$5:$S$1000,"Macro")-1)&gt;0.0001),"Pesos del mes suman "&amp;TEXT(SUMIFS($G$5:$G$1000,$P$5:$P$1000,$P247,$S$5:$S$1000,"Macro"),"0%")&amp;" · ","")&amp;IF(AND(N($T247)&gt;0,COUNT($H247:$K247)&gt;0),"Con subactividades: deje vacías las semanas (se calculan solas)"&amp;" · ","")&amp;IF((COUNTIF($H247:$K247,"&gt;1")+COUNTIF($H247:$K247,"&lt;0")+COUNTA($H247:$K247)-COUNT($H247:$K247))&gt;0,"Avance fuera de rango 0-100%"&amp;" · ","")&amp;IF(OR(AND($I247&lt;&gt;"",$I247&lt;$H247),AND($J247&lt;&gt;"",$J247&lt;MAX($H247:$I247)),AND($K247&lt;&gt;"",$K247&lt;MAX($H247:$J247))),"Avance semanal decreciente"&amp;" · ","")&amp;IF(AND(ISNUMBER($F247),$F247&lt;FechaRef,N($L247)&lt;1),"Vencida"&amp;" · ","")&amp;IF(AND(ObsObligatoria="Sí",ISNUMBER($F247),$F247&lt;FechaRef,N($L247)&lt;1,$N247=""),"Vencida sin observación"&amp;" · ",""))-3)))</f>
        <v/>
      </c>
      <c r="P247" s="69">
        <f>IF(NOT((COUNTA($B247:$K247)+COUNTA($N247))&gt;0),"",IF(AND($S247="Sub",N($R247)&gt;0),IF(ISNUMBER(INDEX($E$5:$E$1000,$R247-4)),DATE(YEAR(INDEX($E$5:$E$1000,$R247-4)),MONTH(INDEX($E$5:$E$1000,$R247-4)),1),IF(ISNUMBER(INDEX($F$5:$F$1000,$R247-4)),DATE(YEAR(INDEX($F$5:$F$1000,$R247-4)),MONTH(INDEX($F$5:$F$1000,$R247-4)),1),MesCiclo)),IF(ISNUMBER($E247),DATE(YEAR($E247),MONTH($E247),1),IF(ISNUMBER($F247),DATE(YEAR($F247),MONTH($F247),1),MesCiclo))))</f>
        <v/>
      </c>
      <c r="Q247" s="70">
        <f>IF(OR($P247="",$P247&lt;&gt;MesCiclo),"",COUNTIF($P$5:$P247,MesCiclo))</f>
        <v/>
      </c>
      <c r="R247" s="70">
        <f>IF($S247="","",IF($S247="Macro",ROW(),IFERROR(LOOKUP(2,1/($S$5:$S247="Macro"),ROW($S$5:$S247)),0)))</f>
        <v/>
      </c>
      <c r="S247" s="70">
        <f>IF(NOT((COUNTA($B247:$K247)+COUNTA($N247))&gt;0),"",IF($B247&lt;&gt;"","Macro",IF($C247&lt;&gt;"","Sub","Macro")))</f>
        <v/>
      </c>
      <c r="T247" s="70">
        <f>IF($S247="Macro",COUNTIFS($R$5:$R$1000,ROW(),$S$5:$S$1000,"Sub"),"")</f>
        <v/>
      </c>
      <c r="U247" s="70">
        <f>IF($S247="","",IF(ISNUMBER($H247),$H247,0))</f>
        <v/>
      </c>
      <c r="V247" s="70">
        <f>IF($S247="","",IF(ISNUMBER($I247),$I247,$U247))</f>
        <v/>
      </c>
      <c r="W247" s="70">
        <f>IF($S247="","",IF(ISNUMBER($J247),$J247,$V247))</f>
        <v/>
      </c>
      <c r="X247" s="70">
        <f>IF($S247="","",IF(ISNUMBER($K247),$K247,$W247))</f>
        <v/>
      </c>
      <c r="Y247" s="70">
        <f>IF($S247="","",IF(N($T247)&gt;0,AVERAGEIFS($U$5:$U$1000,$R$5:$R$1000,ROW(),$S$5:$S$1000,"Sub"),$U247))</f>
        <v/>
      </c>
      <c r="Z247" s="70">
        <f>IF($S247="","",IF(N($T247)&gt;0,AVERAGEIFS($V$5:$V$1000,$R$5:$R$1000,ROW(),$S$5:$S$1000,"Sub"),$V247))</f>
        <v/>
      </c>
      <c r="AA247" s="70">
        <f>IF($S247="","",IF(N($T247)&gt;0,AVERAGEIFS($W$5:$W$1000,$R$5:$R$1000,ROW(),$S$5:$S$1000,"Sub"),$W247))</f>
        <v/>
      </c>
      <c r="AB247" s="70">
        <f>IF($S247="","",IF(N($T247)&gt;0,AVERAGEIFS($X$5:$X$1000,$R$5:$R$1000,ROW(),$S$5:$S$1000,"Sub"),$X247))</f>
        <v/>
      </c>
    </row>
    <row r="248">
      <c r="A248" s="61">
        <f>IF(NOT((COUNTA($B248:$K248)+COUNTA($N248))&gt;0),"",IF($S248="Macro",COUNTIFS($S$5:$S248,"Macro",$P$5:$P248,$P248),IF(N($R248)=0,"?",COUNTIFS(INDEX($S$5:$S$1000,1):INDEX($S$5:$S$1000,$R248-4),"Macro",INDEX($P$5:$P$1000,1):INDEX($P$5:$P$1000,$R248-4),INDEX($P$5:$P$1000,$R248-4))&amp;"."&amp;COUNTIFS($R$5:$R248,$R248,$S$5:$S248,"Sub"))))</f>
        <v/>
      </c>
      <c r="B248" s="62" t="n"/>
      <c r="C248" s="63" t="n"/>
      <c r="D248" s="62" t="n"/>
      <c r="E248" s="64" t="n"/>
      <c r="F248" s="64" t="n"/>
      <c r="G248" s="65" t="n"/>
      <c r="H248" s="66" t="n"/>
      <c r="I248" s="66" t="n"/>
      <c r="J248" s="66" t="n"/>
      <c r="K248" s="66" t="n"/>
      <c r="L248" s="67">
        <f>IF(NOT((COUNTA($B248:$K248)+COUNTA($N248))&gt;0),"",IF(N($T248)&gt;0,$AB248,IFERROR(LOOKUP(2,1/(H248:K248&lt;&gt;""),H248:K248),0)))</f>
        <v/>
      </c>
      <c r="M248" s="61">
        <f>IF(L248="","",IF(L248&gt;=1,"Completado",IF(L248&gt;0,"En curso","Pendiente")))</f>
        <v/>
      </c>
      <c r="N248" s="62" t="n"/>
      <c r="O248" s="68">
        <f>IF(NOT((COUNTA($B248:$K248)+COUNTA($N248))&gt;0),"",IF((IF(AND($S248="Macro",$B248=""),"Macroactividad vacía"&amp;" · ","")&amp;IF(AND($B248&lt;&gt;"",$C248&lt;&gt;""),"Escriba la subactividad en otra fila, debajo de su macroactividad"&amp;" · ","")&amp;IF(AND($S248="Sub",N($R248)=0),"Subactividad sin macroactividad arriba"&amp;" · ","")&amp;IF($D248="","Sin responsable"&amp;" · ","")&amp;IF($E248="","Sin fecha de inicio"&amp;" · ","")&amp;IF($F248="","Sin fecha límite"&amp;" · ","")&amp;IF(OR(AND($E248&lt;&gt;"",NOT(ISNUMBER($E248))),AND($F248&lt;&gt;"",NOT(ISNUMBER($F248)))),"Fecha no válida"&amp;" · ","")&amp;IF(AND(ISNUMBER($E248),ISNUMBER($F248),$E248&gt;$F248),"Inicio posterior a fecha límite"&amp;" · ","")&amp;IF(AND($S248="Macro",$G248=""),"Peso vacío"&amp;" · ","")&amp;IF(AND($S248="Macro",$G248&lt;&gt;"",OR(NOT(ISNUMBER($G248)),$G248&lt;=0,$G248&gt;1)),"Peso fuera de rango"&amp;" · ","")&amp;IF(AND($S248="Sub",$G248&lt;&gt;""),"Las subactividades no llevan peso"&amp;" · ","")&amp;IF(AND($S248="Macro",ABS(SUMIFS($G$5:$G$1000,$P$5:$P$1000,$P248,$S$5:$S$1000,"Macro")-1)&gt;0.0001),"Pesos del mes suman "&amp;TEXT(SUMIFS($G$5:$G$1000,$P$5:$P$1000,$P248,$S$5:$S$1000,"Macro"),"0%")&amp;" · ","")&amp;IF(AND(N($T248)&gt;0,COUNT($H248:$K248)&gt;0),"Con subactividades: deje vacías las semanas (se calculan solas)"&amp;" · ","")&amp;IF((COUNTIF($H248:$K248,"&gt;1")+COUNTIF($H248:$K248,"&lt;0")+COUNTA($H248:$K248)-COUNT($H248:$K248))&gt;0,"Avance fuera de rango 0-100%"&amp;" · ","")&amp;IF(OR(AND($I248&lt;&gt;"",$I248&lt;$H248),AND($J248&lt;&gt;"",$J248&lt;MAX($H248:$I248)),AND($K248&lt;&gt;"",$K248&lt;MAX($H248:$J248))),"Avance semanal decreciente"&amp;" · ","")&amp;IF(AND(ISNUMBER($F248),$F248&lt;FechaRef,N($L248)&lt;1),"Vencida"&amp;" · ","")&amp;IF(AND(ObsObligatoria="Sí",ISNUMBER($F248),$F248&lt;FechaRef,N($L248)&lt;1,$N248=""),"Vencida sin observación"&amp;" · ",""))="","✔ OK","⚠ "&amp;LEFT(IF(AND($S248="Macro",$B248=""),"Macroactividad vacía"&amp;" · ","")&amp;IF(AND($B248&lt;&gt;"",$C248&lt;&gt;""),"Escriba la subactividad en otra fila, debajo de su macroactividad"&amp;" · ","")&amp;IF(AND($S248="Sub",N($R248)=0),"Subactividad sin macroactividad arriba"&amp;" · ","")&amp;IF($D248="","Sin responsable"&amp;" · ","")&amp;IF($E248="","Sin fecha de inicio"&amp;" · ","")&amp;IF($F248="","Sin fecha límite"&amp;" · ","")&amp;IF(OR(AND($E248&lt;&gt;"",NOT(ISNUMBER($E248))),AND($F248&lt;&gt;"",NOT(ISNUMBER($F248)))),"Fecha no válida"&amp;" · ","")&amp;IF(AND(ISNUMBER($E248),ISNUMBER($F248),$E248&gt;$F248),"Inicio posterior a fecha límite"&amp;" · ","")&amp;IF(AND($S248="Macro",$G248=""),"Peso vacío"&amp;" · ","")&amp;IF(AND($S248="Macro",$G248&lt;&gt;"",OR(NOT(ISNUMBER($G248)),$G248&lt;=0,$G248&gt;1)),"Peso fuera de rango"&amp;" · ","")&amp;IF(AND($S248="Sub",$G248&lt;&gt;""),"Las subactividades no llevan peso"&amp;" · ","")&amp;IF(AND($S248="Macro",ABS(SUMIFS($G$5:$G$1000,$P$5:$P$1000,$P248,$S$5:$S$1000,"Macro")-1)&gt;0.0001),"Pesos del mes suman "&amp;TEXT(SUMIFS($G$5:$G$1000,$P$5:$P$1000,$P248,$S$5:$S$1000,"Macro"),"0%")&amp;" · ","")&amp;IF(AND(N($T248)&gt;0,COUNT($H248:$K248)&gt;0),"Con subactividades: deje vacías las semanas (se calculan solas)"&amp;" · ","")&amp;IF((COUNTIF($H248:$K248,"&gt;1")+COUNTIF($H248:$K248,"&lt;0")+COUNTA($H248:$K248)-COUNT($H248:$K248))&gt;0,"Avance fuera de rango 0-100%"&amp;" · ","")&amp;IF(OR(AND($I248&lt;&gt;"",$I248&lt;$H248),AND($J248&lt;&gt;"",$J248&lt;MAX($H248:$I248)),AND($K248&lt;&gt;"",$K248&lt;MAX($H248:$J248))),"Avance semanal decreciente"&amp;" · ","")&amp;IF(AND(ISNUMBER($F248),$F248&lt;FechaRef,N($L248)&lt;1),"Vencida"&amp;" · ","")&amp;IF(AND(ObsObligatoria="Sí",ISNUMBER($F248),$F248&lt;FechaRef,N($L248)&lt;1,$N248=""),"Vencida sin observación"&amp;" · ",""),LEN(IF(AND($S248="Macro",$B248=""),"Macroactividad vacía"&amp;" · ","")&amp;IF(AND($B248&lt;&gt;"",$C248&lt;&gt;""),"Escriba la subactividad en otra fila, debajo de su macroactividad"&amp;" · ","")&amp;IF(AND($S248="Sub",N($R248)=0),"Subactividad sin macroactividad arriba"&amp;" · ","")&amp;IF($D248="","Sin responsable"&amp;" · ","")&amp;IF($E248="","Sin fecha de inicio"&amp;" · ","")&amp;IF($F248="","Sin fecha límite"&amp;" · ","")&amp;IF(OR(AND($E248&lt;&gt;"",NOT(ISNUMBER($E248))),AND($F248&lt;&gt;"",NOT(ISNUMBER($F248)))),"Fecha no válida"&amp;" · ","")&amp;IF(AND(ISNUMBER($E248),ISNUMBER($F248),$E248&gt;$F248),"Inicio posterior a fecha límite"&amp;" · ","")&amp;IF(AND($S248="Macro",$G248=""),"Peso vacío"&amp;" · ","")&amp;IF(AND($S248="Macro",$G248&lt;&gt;"",OR(NOT(ISNUMBER($G248)),$G248&lt;=0,$G248&gt;1)),"Peso fuera de rango"&amp;" · ","")&amp;IF(AND($S248="Sub",$G248&lt;&gt;""),"Las subactividades no llevan peso"&amp;" · ","")&amp;IF(AND($S248="Macro",ABS(SUMIFS($G$5:$G$1000,$P$5:$P$1000,$P248,$S$5:$S$1000,"Macro")-1)&gt;0.0001),"Pesos del mes suman "&amp;TEXT(SUMIFS($G$5:$G$1000,$P$5:$P$1000,$P248,$S$5:$S$1000,"Macro"),"0%")&amp;" · ","")&amp;IF(AND(N($T248)&gt;0,COUNT($H248:$K248)&gt;0),"Con subactividades: deje vacías las semanas (se calculan solas)"&amp;" · ","")&amp;IF((COUNTIF($H248:$K248,"&gt;1")+COUNTIF($H248:$K248,"&lt;0")+COUNTA($H248:$K248)-COUNT($H248:$K248))&gt;0,"Avance fuera de rango 0-100%"&amp;" · ","")&amp;IF(OR(AND($I248&lt;&gt;"",$I248&lt;$H248),AND($J248&lt;&gt;"",$J248&lt;MAX($H248:$I248)),AND($K248&lt;&gt;"",$K248&lt;MAX($H248:$J248))),"Avance semanal decreciente"&amp;" · ","")&amp;IF(AND(ISNUMBER($F248),$F248&lt;FechaRef,N($L248)&lt;1),"Vencida"&amp;" · ","")&amp;IF(AND(ObsObligatoria="Sí",ISNUMBER($F248),$F248&lt;FechaRef,N($L248)&lt;1,$N248=""),"Vencida sin observación"&amp;" · ",""))-3)))</f>
        <v/>
      </c>
      <c r="P248" s="69">
        <f>IF(NOT((COUNTA($B248:$K248)+COUNTA($N248))&gt;0),"",IF(AND($S248="Sub",N($R248)&gt;0),IF(ISNUMBER(INDEX($E$5:$E$1000,$R248-4)),DATE(YEAR(INDEX($E$5:$E$1000,$R248-4)),MONTH(INDEX($E$5:$E$1000,$R248-4)),1),IF(ISNUMBER(INDEX($F$5:$F$1000,$R248-4)),DATE(YEAR(INDEX($F$5:$F$1000,$R248-4)),MONTH(INDEX($F$5:$F$1000,$R248-4)),1),MesCiclo)),IF(ISNUMBER($E248),DATE(YEAR($E248),MONTH($E248),1),IF(ISNUMBER($F248),DATE(YEAR($F248),MONTH($F248),1),MesCiclo))))</f>
        <v/>
      </c>
      <c r="Q248" s="70">
        <f>IF(OR($P248="",$P248&lt;&gt;MesCiclo),"",COUNTIF($P$5:$P248,MesCiclo))</f>
        <v/>
      </c>
      <c r="R248" s="70">
        <f>IF($S248="","",IF($S248="Macro",ROW(),IFERROR(LOOKUP(2,1/($S$5:$S248="Macro"),ROW($S$5:$S248)),0)))</f>
        <v/>
      </c>
      <c r="S248" s="70">
        <f>IF(NOT((COUNTA($B248:$K248)+COUNTA($N248))&gt;0),"",IF($B248&lt;&gt;"","Macro",IF($C248&lt;&gt;"","Sub","Macro")))</f>
        <v/>
      </c>
      <c r="T248" s="70">
        <f>IF($S248="Macro",COUNTIFS($R$5:$R$1000,ROW(),$S$5:$S$1000,"Sub"),"")</f>
        <v/>
      </c>
      <c r="U248" s="70">
        <f>IF($S248="","",IF(ISNUMBER($H248),$H248,0))</f>
        <v/>
      </c>
      <c r="V248" s="70">
        <f>IF($S248="","",IF(ISNUMBER($I248),$I248,$U248))</f>
        <v/>
      </c>
      <c r="W248" s="70">
        <f>IF($S248="","",IF(ISNUMBER($J248),$J248,$V248))</f>
        <v/>
      </c>
      <c r="X248" s="70">
        <f>IF($S248="","",IF(ISNUMBER($K248),$K248,$W248))</f>
        <v/>
      </c>
      <c r="Y248" s="70">
        <f>IF($S248="","",IF(N($T248)&gt;0,AVERAGEIFS($U$5:$U$1000,$R$5:$R$1000,ROW(),$S$5:$S$1000,"Sub"),$U248))</f>
        <v/>
      </c>
      <c r="Z248" s="70">
        <f>IF($S248="","",IF(N($T248)&gt;0,AVERAGEIFS($V$5:$V$1000,$R$5:$R$1000,ROW(),$S$5:$S$1000,"Sub"),$V248))</f>
        <v/>
      </c>
      <c r="AA248" s="70">
        <f>IF($S248="","",IF(N($T248)&gt;0,AVERAGEIFS($W$5:$W$1000,$R$5:$R$1000,ROW(),$S$5:$S$1000,"Sub"),$W248))</f>
        <v/>
      </c>
      <c r="AB248" s="70">
        <f>IF($S248="","",IF(N($T248)&gt;0,AVERAGEIFS($X$5:$X$1000,$R$5:$R$1000,ROW(),$S$5:$S$1000,"Sub"),$X248))</f>
        <v/>
      </c>
    </row>
    <row r="249">
      <c r="A249" s="61">
        <f>IF(NOT((COUNTA($B249:$K249)+COUNTA($N249))&gt;0),"",IF($S249="Macro",COUNTIFS($S$5:$S249,"Macro",$P$5:$P249,$P249),IF(N($R249)=0,"?",COUNTIFS(INDEX($S$5:$S$1000,1):INDEX($S$5:$S$1000,$R249-4),"Macro",INDEX($P$5:$P$1000,1):INDEX($P$5:$P$1000,$R249-4),INDEX($P$5:$P$1000,$R249-4))&amp;"."&amp;COUNTIFS($R$5:$R249,$R249,$S$5:$S249,"Sub"))))</f>
        <v/>
      </c>
      <c r="B249" s="62" t="n"/>
      <c r="C249" s="63" t="n"/>
      <c r="D249" s="62" t="n"/>
      <c r="E249" s="64" t="n"/>
      <c r="F249" s="64" t="n"/>
      <c r="G249" s="65" t="n"/>
      <c r="H249" s="66" t="n"/>
      <c r="I249" s="66" t="n"/>
      <c r="J249" s="66" t="n"/>
      <c r="K249" s="66" t="n"/>
      <c r="L249" s="67">
        <f>IF(NOT((COUNTA($B249:$K249)+COUNTA($N249))&gt;0),"",IF(N($T249)&gt;0,$AB249,IFERROR(LOOKUP(2,1/(H249:K249&lt;&gt;""),H249:K249),0)))</f>
        <v/>
      </c>
      <c r="M249" s="61">
        <f>IF(L249="","",IF(L249&gt;=1,"Completado",IF(L249&gt;0,"En curso","Pendiente")))</f>
        <v/>
      </c>
      <c r="N249" s="62" t="n"/>
      <c r="O249" s="68">
        <f>IF(NOT((COUNTA($B249:$K249)+COUNTA($N249))&gt;0),"",IF((IF(AND($S249="Macro",$B249=""),"Macroactividad vacía"&amp;" · ","")&amp;IF(AND($B249&lt;&gt;"",$C249&lt;&gt;""),"Escriba la subactividad en otra fila, debajo de su macroactividad"&amp;" · ","")&amp;IF(AND($S249="Sub",N($R249)=0),"Subactividad sin macroactividad arriba"&amp;" · ","")&amp;IF($D249="","Sin responsable"&amp;" · ","")&amp;IF($E249="","Sin fecha de inicio"&amp;" · ","")&amp;IF($F249="","Sin fecha límite"&amp;" · ","")&amp;IF(OR(AND($E249&lt;&gt;"",NOT(ISNUMBER($E249))),AND($F249&lt;&gt;"",NOT(ISNUMBER($F249)))),"Fecha no válida"&amp;" · ","")&amp;IF(AND(ISNUMBER($E249),ISNUMBER($F249),$E249&gt;$F249),"Inicio posterior a fecha límite"&amp;" · ","")&amp;IF(AND($S249="Macro",$G249=""),"Peso vacío"&amp;" · ","")&amp;IF(AND($S249="Macro",$G249&lt;&gt;"",OR(NOT(ISNUMBER($G249)),$G249&lt;=0,$G249&gt;1)),"Peso fuera de rango"&amp;" · ","")&amp;IF(AND($S249="Sub",$G249&lt;&gt;""),"Las subactividades no llevan peso"&amp;" · ","")&amp;IF(AND($S249="Macro",ABS(SUMIFS($G$5:$G$1000,$P$5:$P$1000,$P249,$S$5:$S$1000,"Macro")-1)&gt;0.0001),"Pesos del mes suman "&amp;TEXT(SUMIFS($G$5:$G$1000,$P$5:$P$1000,$P249,$S$5:$S$1000,"Macro"),"0%")&amp;" · ","")&amp;IF(AND(N($T249)&gt;0,COUNT($H249:$K249)&gt;0),"Con subactividades: deje vacías las semanas (se calculan solas)"&amp;" · ","")&amp;IF((COUNTIF($H249:$K249,"&gt;1")+COUNTIF($H249:$K249,"&lt;0")+COUNTA($H249:$K249)-COUNT($H249:$K249))&gt;0,"Avance fuera de rango 0-100%"&amp;" · ","")&amp;IF(OR(AND($I249&lt;&gt;"",$I249&lt;$H249),AND($J249&lt;&gt;"",$J249&lt;MAX($H249:$I249)),AND($K249&lt;&gt;"",$K249&lt;MAX($H249:$J249))),"Avance semanal decreciente"&amp;" · ","")&amp;IF(AND(ISNUMBER($F249),$F249&lt;FechaRef,N($L249)&lt;1),"Vencida"&amp;" · ","")&amp;IF(AND(ObsObligatoria="Sí",ISNUMBER($F249),$F249&lt;FechaRef,N($L249)&lt;1,$N249=""),"Vencida sin observación"&amp;" · ",""))="","✔ OK","⚠ "&amp;LEFT(IF(AND($S249="Macro",$B249=""),"Macroactividad vacía"&amp;" · ","")&amp;IF(AND($B249&lt;&gt;"",$C249&lt;&gt;""),"Escriba la subactividad en otra fila, debajo de su macroactividad"&amp;" · ","")&amp;IF(AND($S249="Sub",N($R249)=0),"Subactividad sin macroactividad arriba"&amp;" · ","")&amp;IF($D249="","Sin responsable"&amp;" · ","")&amp;IF($E249="","Sin fecha de inicio"&amp;" · ","")&amp;IF($F249="","Sin fecha límite"&amp;" · ","")&amp;IF(OR(AND($E249&lt;&gt;"",NOT(ISNUMBER($E249))),AND($F249&lt;&gt;"",NOT(ISNUMBER($F249)))),"Fecha no válida"&amp;" · ","")&amp;IF(AND(ISNUMBER($E249),ISNUMBER($F249),$E249&gt;$F249),"Inicio posterior a fecha límite"&amp;" · ","")&amp;IF(AND($S249="Macro",$G249=""),"Peso vacío"&amp;" · ","")&amp;IF(AND($S249="Macro",$G249&lt;&gt;"",OR(NOT(ISNUMBER($G249)),$G249&lt;=0,$G249&gt;1)),"Peso fuera de rango"&amp;" · ","")&amp;IF(AND($S249="Sub",$G249&lt;&gt;""),"Las subactividades no llevan peso"&amp;" · ","")&amp;IF(AND($S249="Macro",ABS(SUMIFS($G$5:$G$1000,$P$5:$P$1000,$P249,$S$5:$S$1000,"Macro")-1)&gt;0.0001),"Pesos del mes suman "&amp;TEXT(SUMIFS($G$5:$G$1000,$P$5:$P$1000,$P249,$S$5:$S$1000,"Macro"),"0%")&amp;" · ","")&amp;IF(AND(N($T249)&gt;0,COUNT($H249:$K249)&gt;0),"Con subactividades: deje vacías las semanas (se calculan solas)"&amp;" · ","")&amp;IF((COUNTIF($H249:$K249,"&gt;1")+COUNTIF($H249:$K249,"&lt;0")+COUNTA($H249:$K249)-COUNT($H249:$K249))&gt;0,"Avance fuera de rango 0-100%"&amp;" · ","")&amp;IF(OR(AND($I249&lt;&gt;"",$I249&lt;$H249),AND($J249&lt;&gt;"",$J249&lt;MAX($H249:$I249)),AND($K249&lt;&gt;"",$K249&lt;MAX($H249:$J249))),"Avance semanal decreciente"&amp;" · ","")&amp;IF(AND(ISNUMBER($F249),$F249&lt;FechaRef,N($L249)&lt;1),"Vencida"&amp;" · ","")&amp;IF(AND(ObsObligatoria="Sí",ISNUMBER($F249),$F249&lt;FechaRef,N($L249)&lt;1,$N249=""),"Vencida sin observación"&amp;" · ",""),LEN(IF(AND($S249="Macro",$B249=""),"Macroactividad vacía"&amp;" · ","")&amp;IF(AND($B249&lt;&gt;"",$C249&lt;&gt;""),"Escriba la subactividad en otra fila, debajo de su macroactividad"&amp;" · ","")&amp;IF(AND($S249="Sub",N($R249)=0),"Subactividad sin macroactividad arriba"&amp;" · ","")&amp;IF($D249="","Sin responsable"&amp;" · ","")&amp;IF($E249="","Sin fecha de inicio"&amp;" · ","")&amp;IF($F249="","Sin fecha límite"&amp;" · ","")&amp;IF(OR(AND($E249&lt;&gt;"",NOT(ISNUMBER($E249))),AND($F249&lt;&gt;"",NOT(ISNUMBER($F249)))),"Fecha no válida"&amp;" · ","")&amp;IF(AND(ISNUMBER($E249),ISNUMBER($F249),$E249&gt;$F249),"Inicio posterior a fecha límite"&amp;" · ","")&amp;IF(AND($S249="Macro",$G249=""),"Peso vacío"&amp;" · ","")&amp;IF(AND($S249="Macro",$G249&lt;&gt;"",OR(NOT(ISNUMBER($G249)),$G249&lt;=0,$G249&gt;1)),"Peso fuera de rango"&amp;" · ","")&amp;IF(AND($S249="Sub",$G249&lt;&gt;""),"Las subactividades no llevan peso"&amp;" · ","")&amp;IF(AND($S249="Macro",ABS(SUMIFS($G$5:$G$1000,$P$5:$P$1000,$P249,$S$5:$S$1000,"Macro")-1)&gt;0.0001),"Pesos del mes suman "&amp;TEXT(SUMIFS($G$5:$G$1000,$P$5:$P$1000,$P249,$S$5:$S$1000,"Macro"),"0%")&amp;" · ","")&amp;IF(AND(N($T249)&gt;0,COUNT($H249:$K249)&gt;0),"Con subactividades: deje vacías las semanas (se calculan solas)"&amp;" · ","")&amp;IF((COUNTIF($H249:$K249,"&gt;1")+COUNTIF($H249:$K249,"&lt;0")+COUNTA($H249:$K249)-COUNT($H249:$K249))&gt;0,"Avance fuera de rango 0-100%"&amp;" · ","")&amp;IF(OR(AND($I249&lt;&gt;"",$I249&lt;$H249),AND($J249&lt;&gt;"",$J249&lt;MAX($H249:$I249)),AND($K249&lt;&gt;"",$K249&lt;MAX($H249:$J249))),"Avance semanal decreciente"&amp;" · ","")&amp;IF(AND(ISNUMBER($F249),$F249&lt;FechaRef,N($L249)&lt;1),"Vencida"&amp;" · ","")&amp;IF(AND(ObsObligatoria="Sí",ISNUMBER($F249),$F249&lt;FechaRef,N($L249)&lt;1,$N249=""),"Vencida sin observación"&amp;" · ",""))-3)))</f>
        <v/>
      </c>
      <c r="P249" s="69">
        <f>IF(NOT((COUNTA($B249:$K249)+COUNTA($N249))&gt;0),"",IF(AND($S249="Sub",N($R249)&gt;0),IF(ISNUMBER(INDEX($E$5:$E$1000,$R249-4)),DATE(YEAR(INDEX($E$5:$E$1000,$R249-4)),MONTH(INDEX($E$5:$E$1000,$R249-4)),1),IF(ISNUMBER(INDEX($F$5:$F$1000,$R249-4)),DATE(YEAR(INDEX($F$5:$F$1000,$R249-4)),MONTH(INDEX($F$5:$F$1000,$R249-4)),1),MesCiclo)),IF(ISNUMBER($E249),DATE(YEAR($E249),MONTH($E249),1),IF(ISNUMBER($F249),DATE(YEAR($F249),MONTH($F249),1),MesCiclo))))</f>
        <v/>
      </c>
      <c r="Q249" s="70">
        <f>IF(OR($P249="",$P249&lt;&gt;MesCiclo),"",COUNTIF($P$5:$P249,MesCiclo))</f>
        <v/>
      </c>
      <c r="R249" s="70">
        <f>IF($S249="","",IF($S249="Macro",ROW(),IFERROR(LOOKUP(2,1/($S$5:$S249="Macro"),ROW($S$5:$S249)),0)))</f>
        <v/>
      </c>
      <c r="S249" s="70">
        <f>IF(NOT((COUNTA($B249:$K249)+COUNTA($N249))&gt;0),"",IF($B249&lt;&gt;"","Macro",IF($C249&lt;&gt;"","Sub","Macro")))</f>
        <v/>
      </c>
      <c r="T249" s="70">
        <f>IF($S249="Macro",COUNTIFS($R$5:$R$1000,ROW(),$S$5:$S$1000,"Sub"),"")</f>
        <v/>
      </c>
      <c r="U249" s="70">
        <f>IF($S249="","",IF(ISNUMBER($H249),$H249,0))</f>
        <v/>
      </c>
      <c r="V249" s="70">
        <f>IF($S249="","",IF(ISNUMBER($I249),$I249,$U249))</f>
        <v/>
      </c>
      <c r="W249" s="70">
        <f>IF($S249="","",IF(ISNUMBER($J249),$J249,$V249))</f>
        <v/>
      </c>
      <c r="X249" s="70">
        <f>IF($S249="","",IF(ISNUMBER($K249),$K249,$W249))</f>
        <v/>
      </c>
      <c r="Y249" s="70">
        <f>IF($S249="","",IF(N($T249)&gt;0,AVERAGEIFS($U$5:$U$1000,$R$5:$R$1000,ROW(),$S$5:$S$1000,"Sub"),$U249))</f>
        <v/>
      </c>
      <c r="Z249" s="70">
        <f>IF($S249="","",IF(N($T249)&gt;0,AVERAGEIFS($V$5:$V$1000,$R$5:$R$1000,ROW(),$S$5:$S$1000,"Sub"),$V249))</f>
        <v/>
      </c>
      <c r="AA249" s="70">
        <f>IF($S249="","",IF(N($T249)&gt;0,AVERAGEIFS($W$5:$W$1000,$R$5:$R$1000,ROW(),$S$5:$S$1000,"Sub"),$W249))</f>
        <v/>
      </c>
      <c r="AB249" s="70">
        <f>IF($S249="","",IF(N($T249)&gt;0,AVERAGEIFS($X$5:$X$1000,$R$5:$R$1000,ROW(),$S$5:$S$1000,"Sub"),$X249))</f>
        <v/>
      </c>
    </row>
    <row r="250">
      <c r="A250" s="61">
        <f>IF(NOT((COUNTA($B250:$K250)+COUNTA($N250))&gt;0),"",IF($S250="Macro",COUNTIFS($S$5:$S250,"Macro",$P$5:$P250,$P250),IF(N($R250)=0,"?",COUNTIFS(INDEX($S$5:$S$1000,1):INDEX($S$5:$S$1000,$R250-4),"Macro",INDEX($P$5:$P$1000,1):INDEX($P$5:$P$1000,$R250-4),INDEX($P$5:$P$1000,$R250-4))&amp;"."&amp;COUNTIFS($R$5:$R250,$R250,$S$5:$S250,"Sub"))))</f>
        <v/>
      </c>
      <c r="B250" s="62" t="n"/>
      <c r="C250" s="63" t="n"/>
      <c r="D250" s="62" t="n"/>
      <c r="E250" s="64" t="n"/>
      <c r="F250" s="64" t="n"/>
      <c r="G250" s="65" t="n"/>
      <c r="H250" s="66" t="n"/>
      <c r="I250" s="66" t="n"/>
      <c r="J250" s="66" t="n"/>
      <c r="K250" s="66" t="n"/>
      <c r="L250" s="67">
        <f>IF(NOT((COUNTA($B250:$K250)+COUNTA($N250))&gt;0),"",IF(N($T250)&gt;0,$AB250,IFERROR(LOOKUP(2,1/(H250:K250&lt;&gt;""),H250:K250),0)))</f>
        <v/>
      </c>
      <c r="M250" s="61">
        <f>IF(L250="","",IF(L250&gt;=1,"Completado",IF(L250&gt;0,"En curso","Pendiente")))</f>
        <v/>
      </c>
      <c r="N250" s="62" t="n"/>
      <c r="O250" s="68">
        <f>IF(NOT((COUNTA($B250:$K250)+COUNTA($N250))&gt;0),"",IF((IF(AND($S250="Macro",$B250=""),"Macroactividad vacía"&amp;" · ","")&amp;IF(AND($B250&lt;&gt;"",$C250&lt;&gt;""),"Escriba la subactividad en otra fila, debajo de su macroactividad"&amp;" · ","")&amp;IF(AND($S250="Sub",N($R250)=0),"Subactividad sin macroactividad arriba"&amp;" · ","")&amp;IF($D250="","Sin responsable"&amp;" · ","")&amp;IF($E250="","Sin fecha de inicio"&amp;" · ","")&amp;IF($F250="","Sin fecha límite"&amp;" · ","")&amp;IF(OR(AND($E250&lt;&gt;"",NOT(ISNUMBER($E250))),AND($F250&lt;&gt;"",NOT(ISNUMBER($F250)))),"Fecha no válida"&amp;" · ","")&amp;IF(AND(ISNUMBER($E250),ISNUMBER($F250),$E250&gt;$F250),"Inicio posterior a fecha límite"&amp;" · ","")&amp;IF(AND($S250="Macro",$G250=""),"Peso vacío"&amp;" · ","")&amp;IF(AND($S250="Macro",$G250&lt;&gt;"",OR(NOT(ISNUMBER($G250)),$G250&lt;=0,$G250&gt;1)),"Peso fuera de rango"&amp;" · ","")&amp;IF(AND($S250="Sub",$G250&lt;&gt;""),"Las subactividades no llevan peso"&amp;" · ","")&amp;IF(AND($S250="Macro",ABS(SUMIFS($G$5:$G$1000,$P$5:$P$1000,$P250,$S$5:$S$1000,"Macro")-1)&gt;0.0001),"Pesos del mes suman "&amp;TEXT(SUMIFS($G$5:$G$1000,$P$5:$P$1000,$P250,$S$5:$S$1000,"Macro"),"0%")&amp;" · ","")&amp;IF(AND(N($T250)&gt;0,COUNT($H250:$K250)&gt;0),"Con subactividades: deje vacías las semanas (se calculan solas)"&amp;" · ","")&amp;IF((COUNTIF($H250:$K250,"&gt;1")+COUNTIF($H250:$K250,"&lt;0")+COUNTA($H250:$K250)-COUNT($H250:$K250))&gt;0,"Avance fuera de rango 0-100%"&amp;" · ","")&amp;IF(OR(AND($I250&lt;&gt;"",$I250&lt;$H250),AND($J250&lt;&gt;"",$J250&lt;MAX($H250:$I250)),AND($K250&lt;&gt;"",$K250&lt;MAX($H250:$J250))),"Avance semanal decreciente"&amp;" · ","")&amp;IF(AND(ISNUMBER($F250),$F250&lt;FechaRef,N($L250)&lt;1),"Vencida"&amp;" · ","")&amp;IF(AND(ObsObligatoria="Sí",ISNUMBER($F250),$F250&lt;FechaRef,N($L250)&lt;1,$N250=""),"Vencida sin observación"&amp;" · ",""))="","✔ OK","⚠ "&amp;LEFT(IF(AND($S250="Macro",$B250=""),"Macroactividad vacía"&amp;" · ","")&amp;IF(AND($B250&lt;&gt;"",$C250&lt;&gt;""),"Escriba la subactividad en otra fila, debajo de su macroactividad"&amp;" · ","")&amp;IF(AND($S250="Sub",N($R250)=0),"Subactividad sin macroactividad arriba"&amp;" · ","")&amp;IF($D250="","Sin responsable"&amp;" · ","")&amp;IF($E250="","Sin fecha de inicio"&amp;" · ","")&amp;IF($F250="","Sin fecha límite"&amp;" · ","")&amp;IF(OR(AND($E250&lt;&gt;"",NOT(ISNUMBER($E250))),AND($F250&lt;&gt;"",NOT(ISNUMBER($F250)))),"Fecha no válida"&amp;" · ","")&amp;IF(AND(ISNUMBER($E250),ISNUMBER($F250),$E250&gt;$F250),"Inicio posterior a fecha límite"&amp;" · ","")&amp;IF(AND($S250="Macro",$G250=""),"Peso vacío"&amp;" · ","")&amp;IF(AND($S250="Macro",$G250&lt;&gt;"",OR(NOT(ISNUMBER($G250)),$G250&lt;=0,$G250&gt;1)),"Peso fuera de rango"&amp;" · ","")&amp;IF(AND($S250="Sub",$G250&lt;&gt;""),"Las subactividades no llevan peso"&amp;" · ","")&amp;IF(AND($S250="Macro",ABS(SUMIFS($G$5:$G$1000,$P$5:$P$1000,$P250,$S$5:$S$1000,"Macro")-1)&gt;0.0001),"Pesos del mes suman "&amp;TEXT(SUMIFS($G$5:$G$1000,$P$5:$P$1000,$P250,$S$5:$S$1000,"Macro"),"0%")&amp;" · ","")&amp;IF(AND(N($T250)&gt;0,COUNT($H250:$K250)&gt;0),"Con subactividades: deje vacías las semanas (se calculan solas)"&amp;" · ","")&amp;IF((COUNTIF($H250:$K250,"&gt;1")+COUNTIF($H250:$K250,"&lt;0")+COUNTA($H250:$K250)-COUNT($H250:$K250))&gt;0,"Avance fuera de rango 0-100%"&amp;" · ","")&amp;IF(OR(AND($I250&lt;&gt;"",$I250&lt;$H250),AND($J250&lt;&gt;"",$J250&lt;MAX($H250:$I250)),AND($K250&lt;&gt;"",$K250&lt;MAX($H250:$J250))),"Avance semanal decreciente"&amp;" · ","")&amp;IF(AND(ISNUMBER($F250),$F250&lt;FechaRef,N($L250)&lt;1),"Vencida"&amp;" · ","")&amp;IF(AND(ObsObligatoria="Sí",ISNUMBER($F250),$F250&lt;FechaRef,N($L250)&lt;1,$N250=""),"Vencida sin observación"&amp;" · ",""),LEN(IF(AND($S250="Macro",$B250=""),"Macroactividad vacía"&amp;" · ","")&amp;IF(AND($B250&lt;&gt;"",$C250&lt;&gt;""),"Escriba la subactividad en otra fila, debajo de su macroactividad"&amp;" · ","")&amp;IF(AND($S250="Sub",N($R250)=0),"Subactividad sin macroactividad arriba"&amp;" · ","")&amp;IF($D250="","Sin responsable"&amp;" · ","")&amp;IF($E250="","Sin fecha de inicio"&amp;" · ","")&amp;IF($F250="","Sin fecha límite"&amp;" · ","")&amp;IF(OR(AND($E250&lt;&gt;"",NOT(ISNUMBER($E250))),AND($F250&lt;&gt;"",NOT(ISNUMBER($F250)))),"Fecha no válida"&amp;" · ","")&amp;IF(AND(ISNUMBER($E250),ISNUMBER($F250),$E250&gt;$F250),"Inicio posterior a fecha límite"&amp;" · ","")&amp;IF(AND($S250="Macro",$G250=""),"Peso vacío"&amp;" · ","")&amp;IF(AND($S250="Macro",$G250&lt;&gt;"",OR(NOT(ISNUMBER($G250)),$G250&lt;=0,$G250&gt;1)),"Peso fuera de rango"&amp;" · ","")&amp;IF(AND($S250="Sub",$G250&lt;&gt;""),"Las subactividades no llevan peso"&amp;" · ","")&amp;IF(AND($S250="Macro",ABS(SUMIFS($G$5:$G$1000,$P$5:$P$1000,$P250,$S$5:$S$1000,"Macro")-1)&gt;0.0001),"Pesos del mes suman "&amp;TEXT(SUMIFS($G$5:$G$1000,$P$5:$P$1000,$P250,$S$5:$S$1000,"Macro"),"0%")&amp;" · ","")&amp;IF(AND(N($T250)&gt;0,COUNT($H250:$K250)&gt;0),"Con subactividades: deje vacías las semanas (se calculan solas)"&amp;" · ","")&amp;IF((COUNTIF($H250:$K250,"&gt;1")+COUNTIF($H250:$K250,"&lt;0")+COUNTA($H250:$K250)-COUNT($H250:$K250))&gt;0,"Avance fuera de rango 0-100%"&amp;" · ","")&amp;IF(OR(AND($I250&lt;&gt;"",$I250&lt;$H250),AND($J250&lt;&gt;"",$J250&lt;MAX($H250:$I250)),AND($K250&lt;&gt;"",$K250&lt;MAX($H250:$J250))),"Avance semanal decreciente"&amp;" · ","")&amp;IF(AND(ISNUMBER($F250),$F250&lt;FechaRef,N($L250)&lt;1),"Vencida"&amp;" · ","")&amp;IF(AND(ObsObligatoria="Sí",ISNUMBER($F250),$F250&lt;FechaRef,N($L250)&lt;1,$N250=""),"Vencida sin observación"&amp;" · ",""))-3)))</f>
        <v/>
      </c>
      <c r="P250" s="69">
        <f>IF(NOT((COUNTA($B250:$K250)+COUNTA($N250))&gt;0),"",IF(AND($S250="Sub",N($R250)&gt;0),IF(ISNUMBER(INDEX($E$5:$E$1000,$R250-4)),DATE(YEAR(INDEX($E$5:$E$1000,$R250-4)),MONTH(INDEX($E$5:$E$1000,$R250-4)),1),IF(ISNUMBER(INDEX($F$5:$F$1000,$R250-4)),DATE(YEAR(INDEX($F$5:$F$1000,$R250-4)),MONTH(INDEX($F$5:$F$1000,$R250-4)),1),MesCiclo)),IF(ISNUMBER($E250),DATE(YEAR($E250),MONTH($E250),1),IF(ISNUMBER($F250),DATE(YEAR($F250),MONTH($F250),1),MesCiclo))))</f>
        <v/>
      </c>
      <c r="Q250" s="70">
        <f>IF(OR($P250="",$P250&lt;&gt;MesCiclo),"",COUNTIF($P$5:$P250,MesCiclo))</f>
        <v/>
      </c>
      <c r="R250" s="70">
        <f>IF($S250="","",IF($S250="Macro",ROW(),IFERROR(LOOKUP(2,1/($S$5:$S250="Macro"),ROW($S$5:$S250)),0)))</f>
        <v/>
      </c>
      <c r="S250" s="70">
        <f>IF(NOT((COUNTA($B250:$K250)+COUNTA($N250))&gt;0),"",IF($B250&lt;&gt;"","Macro",IF($C250&lt;&gt;"","Sub","Macro")))</f>
        <v/>
      </c>
      <c r="T250" s="70">
        <f>IF($S250="Macro",COUNTIFS($R$5:$R$1000,ROW(),$S$5:$S$1000,"Sub"),"")</f>
        <v/>
      </c>
      <c r="U250" s="70">
        <f>IF($S250="","",IF(ISNUMBER($H250),$H250,0))</f>
        <v/>
      </c>
      <c r="V250" s="70">
        <f>IF($S250="","",IF(ISNUMBER($I250),$I250,$U250))</f>
        <v/>
      </c>
      <c r="W250" s="70">
        <f>IF($S250="","",IF(ISNUMBER($J250),$J250,$V250))</f>
        <v/>
      </c>
      <c r="X250" s="70">
        <f>IF($S250="","",IF(ISNUMBER($K250),$K250,$W250))</f>
        <v/>
      </c>
      <c r="Y250" s="70">
        <f>IF($S250="","",IF(N($T250)&gt;0,AVERAGEIFS($U$5:$U$1000,$R$5:$R$1000,ROW(),$S$5:$S$1000,"Sub"),$U250))</f>
        <v/>
      </c>
      <c r="Z250" s="70">
        <f>IF($S250="","",IF(N($T250)&gt;0,AVERAGEIFS($V$5:$V$1000,$R$5:$R$1000,ROW(),$S$5:$S$1000,"Sub"),$V250))</f>
        <v/>
      </c>
      <c r="AA250" s="70">
        <f>IF($S250="","",IF(N($T250)&gt;0,AVERAGEIFS($W$5:$W$1000,$R$5:$R$1000,ROW(),$S$5:$S$1000,"Sub"),$W250))</f>
        <v/>
      </c>
      <c r="AB250" s="70">
        <f>IF($S250="","",IF(N($T250)&gt;0,AVERAGEIFS($X$5:$X$1000,$R$5:$R$1000,ROW(),$S$5:$S$1000,"Sub"),$X250))</f>
        <v/>
      </c>
    </row>
    <row r="251">
      <c r="A251" s="61">
        <f>IF(NOT((COUNTA($B251:$K251)+COUNTA($N251))&gt;0),"",IF($S251="Macro",COUNTIFS($S$5:$S251,"Macro",$P$5:$P251,$P251),IF(N($R251)=0,"?",COUNTIFS(INDEX($S$5:$S$1000,1):INDEX($S$5:$S$1000,$R251-4),"Macro",INDEX($P$5:$P$1000,1):INDEX($P$5:$P$1000,$R251-4),INDEX($P$5:$P$1000,$R251-4))&amp;"."&amp;COUNTIFS($R$5:$R251,$R251,$S$5:$S251,"Sub"))))</f>
        <v/>
      </c>
      <c r="B251" s="62" t="n"/>
      <c r="C251" s="63" t="n"/>
      <c r="D251" s="62" t="n"/>
      <c r="E251" s="64" t="n"/>
      <c r="F251" s="64" t="n"/>
      <c r="G251" s="65" t="n"/>
      <c r="H251" s="66" t="n"/>
      <c r="I251" s="66" t="n"/>
      <c r="J251" s="66" t="n"/>
      <c r="K251" s="66" t="n"/>
      <c r="L251" s="67">
        <f>IF(NOT((COUNTA($B251:$K251)+COUNTA($N251))&gt;0),"",IF(N($T251)&gt;0,$AB251,IFERROR(LOOKUP(2,1/(H251:K251&lt;&gt;""),H251:K251),0)))</f>
        <v/>
      </c>
      <c r="M251" s="61">
        <f>IF(L251="","",IF(L251&gt;=1,"Completado",IF(L251&gt;0,"En curso","Pendiente")))</f>
        <v/>
      </c>
      <c r="N251" s="62" t="n"/>
      <c r="O251" s="68">
        <f>IF(NOT((COUNTA($B251:$K251)+COUNTA($N251))&gt;0),"",IF((IF(AND($S251="Macro",$B251=""),"Macroactividad vacía"&amp;" · ","")&amp;IF(AND($B251&lt;&gt;"",$C251&lt;&gt;""),"Escriba la subactividad en otra fila, debajo de su macroactividad"&amp;" · ","")&amp;IF(AND($S251="Sub",N($R251)=0),"Subactividad sin macroactividad arriba"&amp;" · ","")&amp;IF($D251="","Sin responsable"&amp;" · ","")&amp;IF($E251="","Sin fecha de inicio"&amp;" · ","")&amp;IF($F251="","Sin fecha límite"&amp;" · ","")&amp;IF(OR(AND($E251&lt;&gt;"",NOT(ISNUMBER($E251))),AND($F251&lt;&gt;"",NOT(ISNUMBER($F251)))),"Fecha no válida"&amp;" · ","")&amp;IF(AND(ISNUMBER($E251),ISNUMBER($F251),$E251&gt;$F251),"Inicio posterior a fecha límite"&amp;" · ","")&amp;IF(AND($S251="Macro",$G251=""),"Peso vacío"&amp;" · ","")&amp;IF(AND($S251="Macro",$G251&lt;&gt;"",OR(NOT(ISNUMBER($G251)),$G251&lt;=0,$G251&gt;1)),"Peso fuera de rango"&amp;" · ","")&amp;IF(AND($S251="Sub",$G251&lt;&gt;""),"Las subactividades no llevan peso"&amp;" · ","")&amp;IF(AND($S251="Macro",ABS(SUMIFS($G$5:$G$1000,$P$5:$P$1000,$P251,$S$5:$S$1000,"Macro")-1)&gt;0.0001),"Pesos del mes suman "&amp;TEXT(SUMIFS($G$5:$G$1000,$P$5:$P$1000,$P251,$S$5:$S$1000,"Macro"),"0%")&amp;" · ","")&amp;IF(AND(N($T251)&gt;0,COUNT($H251:$K251)&gt;0),"Con subactividades: deje vacías las semanas (se calculan solas)"&amp;" · ","")&amp;IF((COUNTIF($H251:$K251,"&gt;1")+COUNTIF($H251:$K251,"&lt;0")+COUNTA($H251:$K251)-COUNT($H251:$K251))&gt;0,"Avance fuera de rango 0-100%"&amp;" · ","")&amp;IF(OR(AND($I251&lt;&gt;"",$I251&lt;$H251),AND($J251&lt;&gt;"",$J251&lt;MAX($H251:$I251)),AND($K251&lt;&gt;"",$K251&lt;MAX($H251:$J251))),"Avance semanal decreciente"&amp;" · ","")&amp;IF(AND(ISNUMBER($F251),$F251&lt;FechaRef,N($L251)&lt;1),"Vencida"&amp;" · ","")&amp;IF(AND(ObsObligatoria="Sí",ISNUMBER($F251),$F251&lt;FechaRef,N($L251)&lt;1,$N251=""),"Vencida sin observación"&amp;" · ",""))="","✔ OK","⚠ "&amp;LEFT(IF(AND($S251="Macro",$B251=""),"Macroactividad vacía"&amp;" · ","")&amp;IF(AND($B251&lt;&gt;"",$C251&lt;&gt;""),"Escriba la subactividad en otra fila, debajo de su macroactividad"&amp;" · ","")&amp;IF(AND($S251="Sub",N($R251)=0),"Subactividad sin macroactividad arriba"&amp;" · ","")&amp;IF($D251="","Sin responsable"&amp;" · ","")&amp;IF($E251="","Sin fecha de inicio"&amp;" · ","")&amp;IF($F251="","Sin fecha límite"&amp;" · ","")&amp;IF(OR(AND($E251&lt;&gt;"",NOT(ISNUMBER($E251))),AND($F251&lt;&gt;"",NOT(ISNUMBER($F251)))),"Fecha no válida"&amp;" · ","")&amp;IF(AND(ISNUMBER($E251),ISNUMBER($F251),$E251&gt;$F251),"Inicio posterior a fecha límite"&amp;" · ","")&amp;IF(AND($S251="Macro",$G251=""),"Peso vacío"&amp;" · ","")&amp;IF(AND($S251="Macro",$G251&lt;&gt;"",OR(NOT(ISNUMBER($G251)),$G251&lt;=0,$G251&gt;1)),"Peso fuera de rango"&amp;" · ","")&amp;IF(AND($S251="Sub",$G251&lt;&gt;""),"Las subactividades no llevan peso"&amp;" · ","")&amp;IF(AND($S251="Macro",ABS(SUMIFS($G$5:$G$1000,$P$5:$P$1000,$P251,$S$5:$S$1000,"Macro")-1)&gt;0.0001),"Pesos del mes suman "&amp;TEXT(SUMIFS($G$5:$G$1000,$P$5:$P$1000,$P251,$S$5:$S$1000,"Macro"),"0%")&amp;" · ","")&amp;IF(AND(N($T251)&gt;0,COUNT($H251:$K251)&gt;0),"Con subactividades: deje vacías las semanas (se calculan solas)"&amp;" · ","")&amp;IF((COUNTIF($H251:$K251,"&gt;1")+COUNTIF($H251:$K251,"&lt;0")+COUNTA($H251:$K251)-COUNT($H251:$K251))&gt;0,"Avance fuera de rango 0-100%"&amp;" · ","")&amp;IF(OR(AND($I251&lt;&gt;"",$I251&lt;$H251),AND($J251&lt;&gt;"",$J251&lt;MAX($H251:$I251)),AND($K251&lt;&gt;"",$K251&lt;MAX($H251:$J251))),"Avance semanal decreciente"&amp;" · ","")&amp;IF(AND(ISNUMBER($F251),$F251&lt;FechaRef,N($L251)&lt;1),"Vencida"&amp;" · ","")&amp;IF(AND(ObsObligatoria="Sí",ISNUMBER($F251),$F251&lt;FechaRef,N($L251)&lt;1,$N251=""),"Vencida sin observación"&amp;" · ",""),LEN(IF(AND($S251="Macro",$B251=""),"Macroactividad vacía"&amp;" · ","")&amp;IF(AND($B251&lt;&gt;"",$C251&lt;&gt;""),"Escriba la subactividad en otra fila, debajo de su macroactividad"&amp;" · ","")&amp;IF(AND($S251="Sub",N($R251)=0),"Subactividad sin macroactividad arriba"&amp;" · ","")&amp;IF($D251="","Sin responsable"&amp;" · ","")&amp;IF($E251="","Sin fecha de inicio"&amp;" · ","")&amp;IF($F251="","Sin fecha límite"&amp;" · ","")&amp;IF(OR(AND($E251&lt;&gt;"",NOT(ISNUMBER($E251))),AND($F251&lt;&gt;"",NOT(ISNUMBER($F251)))),"Fecha no válida"&amp;" · ","")&amp;IF(AND(ISNUMBER($E251),ISNUMBER($F251),$E251&gt;$F251),"Inicio posterior a fecha límite"&amp;" · ","")&amp;IF(AND($S251="Macro",$G251=""),"Peso vacío"&amp;" · ","")&amp;IF(AND($S251="Macro",$G251&lt;&gt;"",OR(NOT(ISNUMBER($G251)),$G251&lt;=0,$G251&gt;1)),"Peso fuera de rango"&amp;" · ","")&amp;IF(AND($S251="Sub",$G251&lt;&gt;""),"Las subactividades no llevan peso"&amp;" · ","")&amp;IF(AND($S251="Macro",ABS(SUMIFS($G$5:$G$1000,$P$5:$P$1000,$P251,$S$5:$S$1000,"Macro")-1)&gt;0.0001),"Pesos del mes suman "&amp;TEXT(SUMIFS($G$5:$G$1000,$P$5:$P$1000,$P251,$S$5:$S$1000,"Macro"),"0%")&amp;" · ","")&amp;IF(AND(N($T251)&gt;0,COUNT($H251:$K251)&gt;0),"Con subactividades: deje vacías las semanas (se calculan solas)"&amp;" · ","")&amp;IF((COUNTIF($H251:$K251,"&gt;1")+COUNTIF($H251:$K251,"&lt;0")+COUNTA($H251:$K251)-COUNT($H251:$K251))&gt;0,"Avance fuera de rango 0-100%"&amp;" · ","")&amp;IF(OR(AND($I251&lt;&gt;"",$I251&lt;$H251),AND($J251&lt;&gt;"",$J251&lt;MAX($H251:$I251)),AND($K251&lt;&gt;"",$K251&lt;MAX($H251:$J251))),"Avance semanal decreciente"&amp;" · ","")&amp;IF(AND(ISNUMBER($F251),$F251&lt;FechaRef,N($L251)&lt;1),"Vencida"&amp;" · ","")&amp;IF(AND(ObsObligatoria="Sí",ISNUMBER($F251),$F251&lt;FechaRef,N($L251)&lt;1,$N251=""),"Vencida sin observación"&amp;" · ",""))-3)))</f>
        <v/>
      </c>
      <c r="P251" s="69">
        <f>IF(NOT((COUNTA($B251:$K251)+COUNTA($N251))&gt;0),"",IF(AND($S251="Sub",N($R251)&gt;0),IF(ISNUMBER(INDEX($E$5:$E$1000,$R251-4)),DATE(YEAR(INDEX($E$5:$E$1000,$R251-4)),MONTH(INDEX($E$5:$E$1000,$R251-4)),1),IF(ISNUMBER(INDEX($F$5:$F$1000,$R251-4)),DATE(YEAR(INDEX($F$5:$F$1000,$R251-4)),MONTH(INDEX($F$5:$F$1000,$R251-4)),1),MesCiclo)),IF(ISNUMBER($E251),DATE(YEAR($E251),MONTH($E251),1),IF(ISNUMBER($F251),DATE(YEAR($F251),MONTH($F251),1),MesCiclo))))</f>
        <v/>
      </c>
      <c r="Q251" s="70">
        <f>IF(OR($P251="",$P251&lt;&gt;MesCiclo),"",COUNTIF($P$5:$P251,MesCiclo))</f>
        <v/>
      </c>
      <c r="R251" s="70">
        <f>IF($S251="","",IF($S251="Macro",ROW(),IFERROR(LOOKUP(2,1/($S$5:$S251="Macro"),ROW($S$5:$S251)),0)))</f>
        <v/>
      </c>
      <c r="S251" s="70">
        <f>IF(NOT((COUNTA($B251:$K251)+COUNTA($N251))&gt;0),"",IF($B251&lt;&gt;"","Macro",IF($C251&lt;&gt;"","Sub","Macro")))</f>
        <v/>
      </c>
      <c r="T251" s="70">
        <f>IF($S251="Macro",COUNTIFS($R$5:$R$1000,ROW(),$S$5:$S$1000,"Sub"),"")</f>
        <v/>
      </c>
      <c r="U251" s="70">
        <f>IF($S251="","",IF(ISNUMBER($H251),$H251,0))</f>
        <v/>
      </c>
      <c r="V251" s="70">
        <f>IF($S251="","",IF(ISNUMBER($I251),$I251,$U251))</f>
        <v/>
      </c>
      <c r="W251" s="70">
        <f>IF($S251="","",IF(ISNUMBER($J251),$J251,$V251))</f>
        <v/>
      </c>
      <c r="X251" s="70">
        <f>IF($S251="","",IF(ISNUMBER($K251),$K251,$W251))</f>
        <v/>
      </c>
      <c r="Y251" s="70">
        <f>IF($S251="","",IF(N($T251)&gt;0,AVERAGEIFS($U$5:$U$1000,$R$5:$R$1000,ROW(),$S$5:$S$1000,"Sub"),$U251))</f>
        <v/>
      </c>
      <c r="Z251" s="70">
        <f>IF($S251="","",IF(N($T251)&gt;0,AVERAGEIFS($V$5:$V$1000,$R$5:$R$1000,ROW(),$S$5:$S$1000,"Sub"),$V251))</f>
        <v/>
      </c>
      <c r="AA251" s="70">
        <f>IF($S251="","",IF(N($T251)&gt;0,AVERAGEIFS($W$5:$W$1000,$R$5:$R$1000,ROW(),$S$5:$S$1000,"Sub"),$W251))</f>
        <v/>
      </c>
      <c r="AB251" s="70">
        <f>IF($S251="","",IF(N($T251)&gt;0,AVERAGEIFS($X$5:$X$1000,$R$5:$R$1000,ROW(),$S$5:$S$1000,"Sub"),$X251))</f>
        <v/>
      </c>
    </row>
    <row r="252">
      <c r="A252" s="61">
        <f>IF(NOT((COUNTA($B252:$K252)+COUNTA($N252))&gt;0),"",IF($S252="Macro",COUNTIFS($S$5:$S252,"Macro",$P$5:$P252,$P252),IF(N($R252)=0,"?",COUNTIFS(INDEX($S$5:$S$1000,1):INDEX($S$5:$S$1000,$R252-4),"Macro",INDEX($P$5:$P$1000,1):INDEX($P$5:$P$1000,$R252-4),INDEX($P$5:$P$1000,$R252-4))&amp;"."&amp;COUNTIFS($R$5:$R252,$R252,$S$5:$S252,"Sub"))))</f>
        <v/>
      </c>
      <c r="B252" s="62" t="n"/>
      <c r="C252" s="63" t="n"/>
      <c r="D252" s="62" t="n"/>
      <c r="E252" s="64" t="n"/>
      <c r="F252" s="64" t="n"/>
      <c r="G252" s="65" t="n"/>
      <c r="H252" s="66" t="n"/>
      <c r="I252" s="66" t="n"/>
      <c r="J252" s="66" t="n"/>
      <c r="K252" s="66" t="n"/>
      <c r="L252" s="67">
        <f>IF(NOT((COUNTA($B252:$K252)+COUNTA($N252))&gt;0),"",IF(N($T252)&gt;0,$AB252,IFERROR(LOOKUP(2,1/(H252:K252&lt;&gt;""),H252:K252),0)))</f>
        <v/>
      </c>
      <c r="M252" s="61">
        <f>IF(L252="","",IF(L252&gt;=1,"Completado",IF(L252&gt;0,"En curso","Pendiente")))</f>
        <v/>
      </c>
      <c r="N252" s="62" t="n"/>
      <c r="O252" s="68">
        <f>IF(NOT((COUNTA($B252:$K252)+COUNTA($N252))&gt;0),"",IF((IF(AND($S252="Macro",$B252=""),"Macroactividad vacía"&amp;" · ","")&amp;IF(AND($B252&lt;&gt;"",$C252&lt;&gt;""),"Escriba la subactividad en otra fila, debajo de su macroactividad"&amp;" · ","")&amp;IF(AND($S252="Sub",N($R252)=0),"Subactividad sin macroactividad arriba"&amp;" · ","")&amp;IF($D252="","Sin responsable"&amp;" · ","")&amp;IF($E252="","Sin fecha de inicio"&amp;" · ","")&amp;IF($F252="","Sin fecha límite"&amp;" · ","")&amp;IF(OR(AND($E252&lt;&gt;"",NOT(ISNUMBER($E252))),AND($F252&lt;&gt;"",NOT(ISNUMBER($F252)))),"Fecha no válida"&amp;" · ","")&amp;IF(AND(ISNUMBER($E252),ISNUMBER($F252),$E252&gt;$F252),"Inicio posterior a fecha límite"&amp;" · ","")&amp;IF(AND($S252="Macro",$G252=""),"Peso vacío"&amp;" · ","")&amp;IF(AND($S252="Macro",$G252&lt;&gt;"",OR(NOT(ISNUMBER($G252)),$G252&lt;=0,$G252&gt;1)),"Peso fuera de rango"&amp;" · ","")&amp;IF(AND($S252="Sub",$G252&lt;&gt;""),"Las subactividades no llevan peso"&amp;" · ","")&amp;IF(AND($S252="Macro",ABS(SUMIFS($G$5:$G$1000,$P$5:$P$1000,$P252,$S$5:$S$1000,"Macro")-1)&gt;0.0001),"Pesos del mes suman "&amp;TEXT(SUMIFS($G$5:$G$1000,$P$5:$P$1000,$P252,$S$5:$S$1000,"Macro"),"0%")&amp;" · ","")&amp;IF(AND(N($T252)&gt;0,COUNT($H252:$K252)&gt;0),"Con subactividades: deje vacías las semanas (se calculan solas)"&amp;" · ","")&amp;IF((COUNTIF($H252:$K252,"&gt;1")+COUNTIF($H252:$K252,"&lt;0")+COUNTA($H252:$K252)-COUNT($H252:$K252))&gt;0,"Avance fuera de rango 0-100%"&amp;" · ","")&amp;IF(OR(AND($I252&lt;&gt;"",$I252&lt;$H252),AND($J252&lt;&gt;"",$J252&lt;MAX($H252:$I252)),AND($K252&lt;&gt;"",$K252&lt;MAX($H252:$J252))),"Avance semanal decreciente"&amp;" · ","")&amp;IF(AND(ISNUMBER($F252),$F252&lt;FechaRef,N($L252)&lt;1),"Vencida"&amp;" · ","")&amp;IF(AND(ObsObligatoria="Sí",ISNUMBER($F252),$F252&lt;FechaRef,N($L252)&lt;1,$N252=""),"Vencida sin observación"&amp;" · ",""))="","✔ OK","⚠ "&amp;LEFT(IF(AND($S252="Macro",$B252=""),"Macroactividad vacía"&amp;" · ","")&amp;IF(AND($B252&lt;&gt;"",$C252&lt;&gt;""),"Escriba la subactividad en otra fila, debajo de su macroactividad"&amp;" · ","")&amp;IF(AND($S252="Sub",N($R252)=0),"Subactividad sin macroactividad arriba"&amp;" · ","")&amp;IF($D252="","Sin responsable"&amp;" · ","")&amp;IF($E252="","Sin fecha de inicio"&amp;" · ","")&amp;IF($F252="","Sin fecha límite"&amp;" · ","")&amp;IF(OR(AND($E252&lt;&gt;"",NOT(ISNUMBER($E252))),AND($F252&lt;&gt;"",NOT(ISNUMBER($F252)))),"Fecha no válida"&amp;" · ","")&amp;IF(AND(ISNUMBER($E252),ISNUMBER($F252),$E252&gt;$F252),"Inicio posterior a fecha límite"&amp;" · ","")&amp;IF(AND($S252="Macro",$G252=""),"Peso vacío"&amp;" · ","")&amp;IF(AND($S252="Macro",$G252&lt;&gt;"",OR(NOT(ISNUMBER($G252)),$G252&lt;=0,$G252&gt;1)),"Peso fuera de rango"&amp;" · ","")&amp;IF(AND($S252="Sub",$G252&lt;&gt;""),"Las subactividades no llevan peso"&amp;" · ","")&amp;IF(AND($S252="Macro",ABS(SUMIFS($G$5:$G$1000,$P$5:$P$1000,$P252,$S$5:$S$1000,"Macro")-1)&gt;0.0001),"Pesos del mes suman "&amp;TEXT(SUMIFS($G$5:$G$1000,$P$5:$P$1000,$P252,$S$5:$S$1000,"Macro"),"0%")&amp;" · ","")&amp;IF(AND(N($T252)&gt;0,COUNT($H252:$K252)&gt;0),"Con subactividades: deje vacías las semanas (se calculan solas)"&amp;" · ","")&amp;IF((COUNTIF($H252:$K252,"&gt;1")+COUNTIF($H252:$K252,"&lt;0")+COUNTA($H252:$K252)-COUNT($H252:$K252))&gt;0,"Avance fuera de rango 0-100%"&amp;" · ","")&amp;IF(OR(AND($I252&lt;&gt;"",$I252&lt;$H252),AND($J252&lt;&gt;"",$J252&lt;MAX($H252:$I252)),AND($K252&lt;&gt;"",$K252&lt;MAX($H252:$J252))),"Avance semanal decreciente"&amp;" · ","")&amp;IF(AND(ISNUMBER($F252),$F252&lt;FechaRef,N($L252)&lt;1),"Vencida"&amp;" · ","")&amp;IF(AND(ObsObligatoria="Sí",ISNUMBER($F252),$F252&lt;FechaRef,N($L252)&lt;1,$N252=""),"Vencida sin observación"&amp;" · ",""),LEN(IF(AND($S252="Macro",$B252=""),"Macroactividad vacía"&amp;" · ","")&amp;IF(AND($B252&lt;&gt;"",$C252&lt;&gt;""),"Escriba la subactividad en otra fila, debajo de su macroactividad"&amp;" · ","")&amp;IF(AND($S252="Sub",N($R252)=0),"Subactividad sin macroactividad arriba"&amp;" · ","")&amp;IF($D252="","Sin responsable"&amp;" · ","")&amp;IF($E252="","Sin fecha de inicio"&amp;" · ","")&amp;IF($F252="","Sin fecha límite"&amp;" · ","")&amp;IF(OR(AND($E252&lt;&gt;"",NOT(ISNUMBER($E252))),AND($F252&lt;&gt;"",NOT(ISNUMBER($F252)))),"Fecha no válida"&amp;" · ","")&amp;IF(AND(ISNUMBER($E252),ISNUMBER($F252),$E252&gt;$F252),"Inicio posterior a fecha límite"&amp;" · ","")&amp;IF(AND($S252="Macro",$G252=""),"Peso vacío"&amp;" · ","")&amp;IF(AND($S252="Macro",$G252&lt;&gt;"",OR(NOT(ISNUMBER($G252)),$G252&lt;=0,$G252&gt;1)),"Peso fuera de rango"&amp;" · ","")&amp;IF(AND($S252="Sub",$G252&lt;&gt;""),"Las subactividades no llevan peso"&amp;" · ","")&amp;IF(AND($S252="Macro",ABS(SUMIFS($G$5:$G$1000,$P$5:$P$1000,$P252,$S$5:$S$1000,"Macro")-1)&gt;0.0001),"Pesos del mes suman "&amp;TEXT(SUMIFS($G$5:$G$1000,$P$5:$P$1000,$P252,$S$5:$S$1000,"Macro"),"0%")&amp;" · ","")&amp;IF(AND(N($T252)&gt;0,COUNT($H252:$K252)&gt;0),"Con subactividades: deje vacías las semanas (se calculan solas)"&amp;" · ","")&amp;IF((COUNTIF($H252:$K252,"&gt;1")+COUNTIF($H252:$K252,"&lt;0")+COUNTA($H252:$K252)-COUNT($H252:$K252))&gt;0,"Avance fuera de rango 0-100%"&amp;" · ","")&amp;IF(OR(AND($I252&lt;&gt;"",$I252&lt;$H252),AND($J252&lt;&gt;"",$J252&lt;MAX($H252:$I252)),AND($K252&lt;&gt;"",$K252&lt;MAX($H252:$J252))),"Avance semanal decreciente"&amp;" · ","")&amp;IF(AND(ISNUMBER($F252),$F252&lt;FechaRef,N($L252)&lt;1),"Vencida"&amp;" · ","")&amp;IF(AND(ObsObligatoria="Sí",ISNUMBER($F252),$F252&lt;FechaRef,N($L252)&lt;1,$N252=""),"Vencida sin observación"&amp;" · ",""))-3)))</f>
        <v/>
      </c>
      <c r="P252" s="69">
        <f>IF(NOT((COUNTA($B252:$K252)+COUNTA($N252))&gt;0),"",IF(AND($S252="Sub",N($R252)&gt;0),IF(ISNUMBER(INDEX($E$5:$E$1000,$R252-4)),DATE(YEAR(INDEX($E$5:$E$1000,$R252-4)),MONTH(INDEX($E$5:$E$1000,$R252-4)),1),IF(ISNUMBER(INDEX($F$5:$F$1000,$R252-4)),DATE(YEAR(INDEX($F$5:$F$1000,$R252-4)),MONTH(INDEX($F$5:$F$1000,$R252-4)),1),MesCiclo)),IF(ISNUMBER($E252),DATE(YEAR($E252),MONTH($E252),1),IF(ISNUMBER($F252),DATE(YEAR($F252),MONTH($F252),1),MesCiclo))))</f>
        <v/>
      </c>
      <c r="Q252" s="70">
        <f>IF(OR($P252="",$P252&lt;&gt;MesCiclo),"",COUNTIF($P$5:$P252,MesCiclo))</f>
        <v/>
      </c>
      <c r="R252" s="70">
        <f>IF($S252="","",IF($S252="Macro",ROW(),IFERROR(LOOKUP(2,1/($S$5:$S252="Macro"),ROW($S$5:$S252)),0)))</f>
        <v/>
      </c>
      <c r="S252" s="70">
        <f>IF(NOT((COUNTA($B252:$K252)+COUNTA($N252))&gt;0),"",IF($B252&lt;&gt;"","Macro",IF($C252&lt;&gt;"","Sub","Macro")))</f>
        <v/>
      </c>
      <c r="T252" s="70">
        <f>IF($S252="Macro",COUNTIFS($R$5:$R$1000,ROW(),$S$5:$S$1000,"Sub"),"")</f>
        <v/>
      </c>
      <c r="U252" s="70">
        <f>IF($S252="","",IF(ISNUMBER($H252),$H252,0))</f>
        <v/>
      </c>
      <c r="V252" s="70">
        <f>IF($S252="","",IF(ISNUMBER($I252),$I252,$U252))</f>
        <v/>
      </c>
      <c r="W252" s="70">
        <f>IF($S252="","",IF(ISNUMBER($J252),$J252,$V252))</f>
        <v/>
      </c>
      <c r="X252" s="70">
        <f>IF($S252="","",IF(ISNUMBER($K252),$K252,$W252))</f>
        <v/>
      </c>
      <c r="Y252" s="70">
        <f>IF($S252="","",IF(N($T252)&gt;0,AVERAGEIFS($U$5:$U$1000,$R$5:$R$1000,ROW(),$S$5:$S$1000,"Sub"),$U252))</f>
        <v/>
      </c>
      <c r="Z252" s="70">
        <f>IF($S252="","",IF(N($T252)&gt;0,AVERAGEIFS($V$5:$V$1000,$R$5:$R$1000,ROW(),$S$5:$S$1000,"Sub"),$V252))</f>
        <v/>
      </c>
      <c r="AA252" s="70">
        <f>IF($S252="","",IF(N($T252)&gt;0,AVERAGEIFS($W$5:$W$1000,$R$5:$R$1000,ROW(),$S$5:$S$1000,"Sub"),$W252))</f>
        <v/>
      </c>
      <c r="AB252" s="70">
        <f>IF($S252="","",IF(N($T252)&gt;0,AVERAGEIFS($X$5:$X$1000,$R$5:$R$1000,ROW(),$S$5:$S$1000,"Sub"),$X252))</f>
        <v/>
      </c>
    </row>
    <row r="253">
      <c r="A253" s="61">
        <f>IF(NOT((COUNTA($B253:$K253)+COUNTA($N253))&gt;0),"",IF($S253="Macro",COUNTIFS($S$5:$S253,"Macro",$P$5:$P253,$P253),IF(N($R253)=0,"?",COUNTIFS(INDEX($S$5:$S$1000,1):INDEX($S$5:$S$1000,$R253-4),"Macro",INDEX($P$5:$P$1000,1):INDEX($P$5:$P$1000,$R253-4),INDEX($P$5:$P$1000,$R253-4))&amp;"."&amp;COUNTIFS($R$5:$R253,$R253,$S$5:$S253,"Sub"))))</f>
        <v/>
      </c>
      <c r="B253" s="62" t="n"/>
      <c r="C253" s="63" t="n"/>
      <c r="D253" s="62" t="n"/>
      <c r="E253" s="64" t="n"/>
      <c r="F253" s="64" t="n"/>
      <c r="G253" s="65" t="n"/>
      <c r="H253" s="66" t="n"/>
      <c r="I253" s="66" t="n"/>
      <c r="J253" s="66" t="n"/>
      <c r="K253" s="66" t="n"/>
      <c r="L253" s="67">
        <f>IF(NOT((COUNTA($B253:$K253)+COUNTA($N253))&gt;0),"",IF(N($T253)&gt;0,$AB253,IFERROR(LOOKUP(2,1/(H253:K253&lt;&gt;""),H253:K253),0)))</f>
        <v/>
      </c>
      <c r="M253" s="61">
        <f>IF(L253="","",IF(L253&gt;=1,"Completado",IF(L253&gt;0,"En curso","Pendiente")))</f>
        <v/>
      </c>
      <c r="N253" s="62" t="n"/>
      <c r="O253" s="68">
        <f>IF(NOT((COUNTA($B253:$K253)+COUNTA($N253))&gt;0),"",IF((IF(AND($S253="Macro",$B253=""),"Macroactividad vacía"&amp;" · ","")&amp;IF(AND($B253&lt;&gt;"",$C253&lt;&gt;""),"Escriba la subactividad en otra fila, debajo de su macroactividad"&amp;" · ","")&amp;IF(AND($S253="Sub",N($R253)=0),"Subactividad sin macroactividad arriba"&amp;" · ","")&amp;IF($D253="","Sin responsable"&amp;" · ","")&amp;IF($E253="","Sin fecha de inicio"&amp;" · ","")&amp;IF($F253="","Sin fecha límite"&amp;" · ","")&amp;IF(OR(AND($E253&lt;&gt;"",NOT(ISNUMBER($E253))),AND($F253&lt;&gt;"",NOT(ISNUMBER($F253)))),"Fecha no válida"&amp;" · ","")&amp;IF(AND(ISNUMBER($E253),ISNUMBER($F253),$E253&gt;$F253),"Inicio posterior a fecha límite"&amp;" · ","")&amp;IF(AND($S253="Macro",$G253=""),"Peso vacío"&amp;" · ","")&amp;IF(AND($S253="Macro",$G253&lt;&gt;"",OR(NOT(ISNUMBER($G253)),$G253&lt;=0,$G253&gt;1)),"Peso fuera de rango"&amp;" · ","")&amp;IF(AND($S253="Sub",$G253&lt;&gt;""),"Las subactividades no llevan peso"&amp;" · ","")&amp;IF(AND($S253="Macro",ABS(SUMIFS($G$5:$G$1000,$P$5:$P$1000,$P253,$S$5:$S$1000,"Macro")-1)&gt;0.0001),"Pesos del mes suman "&amp;TEXT(SUMIFS($G$5:$G$1000,$P$5:$P$1000,$P253,$S$5:$S$1000,"Macro"),"0%")&amp;" · ","")&amp;IF(AND(N($T253)&gt;0,COUNT($H253:$K253)&gt;0),"Con subactividades: deje vacías las semanas (se calculan solas)"&amp;" · ","")&amp;IF((COUNTIF($H253:$K253,"&gt;1")+COUNTIF($H253:$K253,"&lt;0")+COUNTA($H253:$K253)-COUNT($H253:$K253))&gt;0,"Avance fuera de rango 0-100%"&amp;" · ","")&amp;IF(OR(AND($I253&lt;&gt;"",$I253&lt;$H253),AND($J253&lt;&gt;"",$J253&lt;MAX($H253:$I253)),AND($K253&lt;&gt;"",$K253&lt;MAX($H253:$J253))),"Avance semanal decreciente"&amp;" · ","")&amp;IF(AND(ISNUMBER($F253),$F253&lt;FechaRef,N($L253)&lt;1),"Vencida"&amp;" · ","")&amp;IF(AND(ObsObligatoria="Sí",ISNUMBER($F253),$F253&lt;FechaRef,N($L253)&lt;1,$N253=""),"Vencida sin observación"&amp;" · ",""))="","✔ OK","⚠ "&amp;LEFT(IF(AND($S253="Macro",$B253=""),"Macroactividad vacía"&amp;" · ","")&amp;IF(AND($B253&lt;&gt;"",$C253&lt;&gt;""),"Escriba la subactividad en otra fila, debajo de su macroactividad"&amp;" · ","")&amp;IF(AND($S253="Sub",N($R253)=0),"Subactividad sin macroactividad arriba"&amp;" · ","")&amp;IF($D253="","Sin responsable"&amp;" · ","")&amp;IF($E253="","Sin fecha de inicio"&amp;" · ","")&amp;IF($F253="","Sin fecha límite"&amp;" · ","")&amp;IF(OR(AND($E253&lt;&gt;"",NOT(ISNUMBER($E253))),AND($F253&lt;&gt;"",NOT(ISNUMBER($F253)))),"Fecha no válida"&amp;" · ","")&amp;IF(AND(ISNUMBER($E253),ISNUMBER($F253),$E253&gt;$F253),"Inicio posterior a fecha límite"&amp;" · ","")&amp;IF(AND($S253="Macro",$G253=""),"Peso vacío"&amp;" · ","")&amp;IF(AND($S253="Macro",$G253&lt;&gt;"",OR(NOT(ISNUMBER($G253)),$G253&lt;=0,$G253&gt;1)),"Peso fuera de rango"&amp;" · ","")&amp;IF(AND($S253="Sub",$G253&lt;&gt;""),"Las subactividades no llevan peso"&amp;" · ","")&amp;IF(AND($S253="Macro",ABS(SUMIFS($G$5:$G$1000,$P$5:$P$1000,$P253,$S$5:$S$1000,"Macro")-1)&gt;0.0001),"Pesos del mes suman "&amp;TEXT(SUMIFS($G$5:$G$1000,$P$5:$P$1000,$P253,$S$5:$S$1000,"Macro"),"0%")&amp;" · ","")&amp;IF(AND(N($T253)&gt;0,COUNT($H253:$K253)&gt;0),"Con subactividades: deje vacías las semanas (se calculan solas)"&amp;" · ","")&amp;IF((COUNTIF($H253:$K253,"&gt;1")+COUNTIF($H253:$K253,"&lt;0")+COUNTA($H253:$K253)-COUNT($H253:$K253))&gt;0,"Avance fuera de rango 0-100%"&amp;" · ","")&amp;IF(OR(AND($I253&lt;&gt;"",$I253&lt;$H253),AND($J253&lt;&gt;"",$J253&lt;MAX($H253:$I253)),AND($K253&lt;&gt;"",$K253&lt;MAX($H253:$J253))),"Avance semanal decreciente"&amp;" · ","")&amp;IF(AND(ISNUMBER($F253),$F253&lt;FechaRef,N($L253)&lt;1),"Vencida"&amp;" · ","")&amp;IF(AND(ObsObligatoria="Sí",ISNUMBER($F253),$F253&lt;FechaRef,N($L253)&lt;1,$N253=""),"Vencida sin observación"&amp;" · ",""),LEN(IF(AND($S253="Macro",$B253=""),"Macroactividad vacía"&amp;" · ","")&amp;IF(AND($B253&lt;&gt;"",$C253&lt;&gt;""),"Escriba la subactividad en otra fila, debajo de su macroactividad"&amp;" · ","")&amp;IF(AND($S253="Sub",N($R253)=0),"Subactividad sin macroactividad arriba"&amp;" · ","")&amp;IF($D253="","Sin responsable"&amp;" · ","")&amp;IF($E253="","Sin fecha de inicio"&amp;" · ","")&amp;IF($F253="","Sin fecha límite"&amp;" · ","")&amp;IF(OR(AND($E253&lt;&gt;"",NOT(ISNUMBER($E253))),AND($F253&lt;&gt;"",NOT(ISNUMBER($F253)))),"Fecha no válida"&amp;" · ","")&amp;IF(AND(ISNUMBER($E253),ISNUMBER($F253),$E253&gt;$F253),"Inicio posterior a fecha límite"&amp;" · ","")&amp;IF(AND($S253="Macro",$G253=""),"Peso vacío"&amp;" · ","")&amp;IF(AND($S253="Macro",$G253&lt;&gt;"",OR(NOT(ISNUMBER($G253)),$G253&lt;=0,$G253&gt;1)),"Peso fuera de rango"&amp;" · ","")&amp;IF(AND($S253="Sub",$G253&lt;&gt;""),"Las subactividades no llevan peso"&amp;" · ","")&amp;IF(AND($S253="Macro",ABS(SUMIFS($G$5:$G$1000,$P$5:$P$1000,$P253,$S$5:$S$1000,"Macro")-1)&gt;0.0001),"Pesos del mes suman "&amp;TEXT(SUMIFS($G$5:$G$1000,$P$5:$P$1000,$P253,$S$5:$S$1000,"Macro"),"0%")&amp;" · ","")&amp;IF(AND(N($T253)&gt;0,COUNT($H253:$K253)&gt;0),"Con subactividades: deje vacías las semanas (se calculan solas)"&amp;" · ","")&amp;IF((COUNTIF($H253:$K253,"&gt;1")+COUNTIF($H253:$K253,"&lt;0")+COUNTA($H253:$K253)-COUNT($H253:$K253))&gt;0,"Avance fuera de rango 0-100%"&amp;" · ","")&amp;IF(OR(AND($I253&lt;&gt;"",$I253&lt;$H253),AND($J253&lt;&gt;"",$J253&lt;MAX($H253:$I253)),AND($K253&lt;&gt;"",$K253&lt;MAX($H253:$J253))),"Avance semanal decreciente"&amp;" · ","")&amp;IF(AND(ISNUMBER($F253),$F253&lt;FechaRef,N($L253)&lt;1),"Vencida"&amp;" · ","")&amp;IF(AND(ObsObligatoria="Sí",ISNUMBER($F253),$F253&lt;FechaRef,N($L253)&lt;1,$N253=""),"Vencida sin observación"&amp;" · ",""))-3)))</f>
        <v/>
      </c>
      <c r="P253" s="69">
        <f>IF(NOT((COUNTA($B253:$K253)+COUNTA($N253))&gt;0),"",IF(AND($S253="Sub",N($R253)&gt;0),IF(ISNUMBER(INDEX($E$5:$E$1000,$R253-4)),DATE(YEAR(INDEX($E$5:$E$1000,$R253-4)),MONTH(INDEX($E$5:$E$1000,$R253-4)),1),IF(ISNUMBER(INDEX($F$5:$F$1000,$R253-4)),DATE(YEAR(INDEX($F$5:$F$1000,$R253-4)),MONTH(INDEX($F$5:$F$1000,$R253-4)),1),MesCiclo)),IF(ISNUMBER($E253),DATE(YEAR($E253),MONTH($E253),1),IF(ISNUMBER($F253),DATE(YEAR($F253),MONTH($F253),1),MesCiclo))))</f>
        <v/>
      </c>
      <c r="Q253" s="70">
        <f>IF(OR($P253="",$P253&lt;&gt;MesCiclo),"",COUNTIF($P$5:$P253,MesCiclo))</f>
        <v/>
      </c>
      <c r="R253" s="70">
        <f>IF($S253="","",IF($S253="Macro",ROW(),IFERROR(LOOKUP(2,1/($S$5:$S253="Macro"),ROW($S$5:$S253)),0)))</f>
        <v/>
      </c>
      <c r="S253" s="70">
        <f>IF(NOT((COUNTA($B253:$K253)+COUNTA($N253))&gt;0),"",IF($B253&lt;&gt;"","Macro",IF($C253&lt;&gt;"","Sub","Macro")))</f>
        <v/>
      </c>
      <c r="T253" s="70">
        <f>IF($S253="Macro",COUNTIFS($R$5:$R$1000,ROW(),$S$5:$S$1000,"Sub"),"")</f>
        <v/>
      </c>
      <c r="U253" s="70">
        <f>IF($S253="","",IF(ISNUMBER($H253),$H253,0))</f>
        <v/>
      </c>
      <c r="V253" s="70">
        <f>IF($S253="","",IF(ISNUMBER($I253),$I253,$U253))</f>
        <v/>
      </c>
      <c r="W253" s="70">
        <f>IF($S253="","",IF(ISNUMBER($J253),$J253,$V253))</f>
        <v/>
      </c>
      <c r="X253" s="70">
        <f>IF($S253="","",IF(ISNUMBER($K253),$K253,$W253))</f>
        <v/>
      </c>
      <c r="Y253" s="70">
        <f>IF($S253="","",IF(N($T253)&gt;0,AVERAGEIFS($U$5:$U$1000,$R$5:$R$1000,ROW(),$S$5:$S$1000,"Sub"),$U253))</f>
        <v/>
      </c>
      <c r="Z253" s="70">
        <f>IF($S253="","",IF(N($T253)&gt;0,AVERAGEIFS($V$5:$V$1000,$R$5:$R$1000,ROW(),$S$5:$S$1000,"Sub"),$V253))</f>
        <v/>
      </c>
      <c r="AA253" s="70">
        <f>IF($S253="","",IF(N($T253)&gt;0,AVERAGEIFS($W$5:$W$1000,$R$5:$R$1000,ROW(),$S$5:$S$1000,"Sub"),$W253))</f>
        <v/>
      </c>
      <c r="AB253" s="70">
        <f>IF($S253="","",IF(N($T253)&gt;0,AVERAGEIFS($X$5:$X$1000,$R$5:$R$1000,ROW(),$S$5:$S$1000,"Sub"),$X253))</f>
        <v/>
      </c>
    </row>
    <row r="254">
      <c r="A254" s="61">
        <f>IF(NOT((COUNTA($B254:$K254)+COUNTA($N254))&gt;0),"",IF($S254="Macro",COUNTIFS($S$5:$S254,"Macro",$P$5:$P254,$P254),IF(N($R254)=0,"?",COUNTIFS(INDEX($S$5:$S$1000,1):INDEX($S$5:$S$1000,$R254-4),"Macro",INDEX($P$5:$P$1000,1):INDEX($P$5:$P$1000,$R254-4),INDEX($P$5:$P$1000,$R254-4))&amp;"."&amp;COUNTIFS($R$5:$R254,$R254,$S$5:$S254,"Sub"))))</f>
        <v/>
      </c>
      <c r="B254" s="62" t="n"/>
      <c r="C254" s="63" t="n"/>
      <c r="D254" s="62" t="n"/>
      <c r="E254" s="64" t="n"/>
      <c r="F254" s="64" t="n"/>
      <c r="G254" s="65" t="n"/>
      <c r="H254" s="66" t="n"/>
      <c r="I254" s="66" t="n"/>
      <c r="J254" s="66" t="n"/>
      <c r="K254" s="66" t="n"/>
      <c r="L254" s="67">
        <f>IF(NOT((COUNTA($B254:$K254)+COUNTA($N254))&gt;0),"",IF(N($T254)&gt;0,$AB254,IFERROR(LOOKUP(2,1/(H254:K254&lt;&gt;""),H254:K254),0)))</f>
        <v/>
      </c>
      <c r="M254" s="61">
        <f>IF(L254="","",IF(L254&gt;=1,"Completado",IF(L254&gt;0,"En curso","Pendiente")))</f>
        <v/>
      </c>
      <c r="N254" s="62" t="n"/>
      <c r="O254" s="68">
        <f>IF(NOT((COUNTA($B254:$K254)+COUNTA($N254))&gt;0),"",IF((IF(AND($S254="Macro",$B254=""),"Macroactividad vacía"&amp;" · ","")&amp;IF(AND($B254&lt;&gt;"",$C254&lt;&gt;""),"Escriba la subactividad en otra fila, debajo de su macroactividad"&amp;" · ","")&amp;IF(AND($S254="Sub",N($R254)=0),"Subactividad sin macroactividad arriba"&amp;" · ","")&amp;IF($D254="","Sin responsable"&amp;" · ","")&amp;IF($E254="","Sin fecha de inicio"&amp;" · ","")&amp;IF($F254="","Sin fecha límite"&amp;" · ","")&amp;IF(OR(AND($E254&lt;&gt;"",NOT(ISNUMBER($E254))),AND($F254&lt;&gt;"",NOT(ISNUMBER($F254)))),"Fecha no válida"&amp;" · ","")&amp;IF(AND(ISNUMBER($E254),ISNUMBER($F254),$E254&gt;$F254),"Inicio posterior a fecha límite"&amp;" · ","")&amp;IF(AND($S254="Macro",$G254=""),"Peso vacío"&amp;" · ","")&amp;IF(AND($S254="Macro",$G254&lt;&gt;"",OR(NOT(ISNUMBER($G254)),$G254&lt;=0,$G254&gt;1)),"Peso fuera de rango"&amp;" · ","")&amp;IF(AND($S254="Sub",$G254&lt;&gt;""),"Las subactividades no llevan peso"&amp;" · ","")&amp;IF(AND($S254="Macro",ABS(SUMIFS($G$5:$G$1000,$P$5:$P$1000,$P254,$S$5:$S$1000,"Macro")-1)&gt;0.0001),"Pesos del mes suman "&amp;TEXT(SUMIFS($G$5:$G$1000,$P$5:$P$1000,$P254,$S$5:$S$1000,"Macro"),"0%")&amp;" · ","")&amp;IF(AND(N($T254)&gt;0,COUNT($H254:$K254)&gt;0),"Con subactividades: deje vacías las semanas (se calculan solas)"&amp;" · ","")&amp;IF((COUNTIF($H254:$K254,"&gt;1")+COUNTIF($H254:$K254,"&lt;0")+COUNTA($H254:$K254)-COUNT($H254:$K254))&gt;0,"Avance fuera de rango 0-100%"&amp;" · ","")&amp;IF(OR(AND($I254&lt;&gt;"",$I254&lt;$H254),AND($J254&lt;&gt;"",$J254&lt;MAX($H254:$I254)),AND($K254&lt;&gt;"",$K254&lt;MAX($H254:$J254))),"Avance semanal decreciente"&amp;" · ","")&amp;IF(AND(ISNUMBER($F254),$F254&lt;FechaRef,N($L254)&lt;1),"Vencida"&amp;" · ","")&amp;IF(AND(ObsObligatoria="Sí",ISNUMBER($F254),$F254&lt;FechaRef,N($L254)&lt;1,$N254=""),"Vencida sin observación"&amp;" · ",""))="","✔ OK","⚠ "&amp;LEFT(IF(AND($S254="Macro",$B254=""),"Macroactividad vacía"&amp;" · ","")&amp;IF(AND($B254&lt;&gt;"",$C254&lt;&gt;""),"Escriba la subactividad en otra fila, debajo de su macroactividad"&amp;" · ","")&amp;IF(AND($S254="Sub",N($R254)=0),"Subactividad sin macroactividad arriba"&amp;" · ","")&amp;IF($D254="","Sin responsable"&amp;" · ","")&amp;IF($E254="","Sin fecha de inicio"&amp;" · ","")&amp;IF($F254="","Sin fecha límite"&amp;" · ","")&amp;IF(OR(AND($E254&lt;&gt;"",NOT(ISNUMBER($E254))),AND($F254&lt;&gt;"",NOT(ISNUMBER($F254)))),"Fecha no válida"&amp;" · ","")&amp;IF(AND(ISNUMBER($E254),ISNUMBER($F254),$E254&gt;$F254),"Inicio posterior a fecha límite"&amp;" · ","")&amp;IF(AND($S254="Macro",$G254=""),"Peso vacío"&amp;" · ","")&amp;IF(AND($S254="Macro",$G254&lt;&gt;"",OR(NOT(ISNUMBER($G254)),$G254&lt;=0,$G254&gt;1)),"Peso fuera de rango"&amp;" · ","")&amp;IF(AND($S254="Sub",$G254&lt;&gt;""),"Las subactividades no llevan peso"&amp;" · ","")&amp;IF(AND($S254="Macro",ABS(SUMIFS($G$5:$G$1000,$P$5:$P$1000,$P254,$S$5:$S$1000,"Macro")-1)&gt;0.0001),"Pesos del mes suman "&amp;TEXT(SUMIFS($G$5:$G$1000,$P$5:$P$1000,$P254,$S$5:$S$1000,"Macro"),"0%")&amp;" · ","")&amp;IF(AND(N($T254)&gt;0,COUNT($H254:$K254)&gt;0),"Con subactividades: deje vacías las semanas (se calculan solas)"&amp;" · ","")&amp;IF((COUNTIF($H254:$K254,"&gt;1")+COUNTIF($H254:$K254,"&lt;0")+COUNTA($H254:$K254)-COUNT($H254:$K254))&gt;0,"Avance fuera de rango 0-100%"&amp;" · ","")&amp;IF(OR(AND($I254&lt;&gt;"",$I254&lt;$H254),AND($J254&lt;&gt;"",$J254&lt;MAX($H254:$I254)),AND($K254&lt;&gt;"",$K254&lt;MAX($H254:$J254))),"Avance semanal decreciente"&amp;" · ","")&amp;IF(AND(ISNUMBER($F254),$F254&lt;FechaRef,N($L254)&lt;1),"Vencida"&amp;" · ","")&amp;IF(AND(ObsObligatoria="Sí",ISNUMBER($F254),$F254&lt;FechaRef,N($L254)&lt;1,$N254=""),"Vencida sin observación"&amp;" · ",""),LEN(IF(AND($S254="Macro",$B254=""),"Macroactividad vacía"&amp;" · ","")&amp;IF(AND($B254&lt;&gt;"",$C254&lt;&gt;""),"Escriba la subactividad en otra fila, debajo de su macroactividad"&amp;" · ","")&amp;IF(AND($S254="Sub",N($R254)=0),"Subactividad sin macroactividad arriba"&amp;" · ","")&amp;IF($D254="","Sin responsable"&amp;" · ","")&amp;IF($E254="","Sin fecha de inicio"&amp;" · ","")&amp;IF($F254="","Sin fecha límite"&amp;" · ","")&amp;IF(OR(AND($E254&lt;&gt;"",NOT(ISNUMBER($E254))),AND($F254&lt;&gt;"",NOT(ISNUMBER($F254)))),"Fecha no válida"&amp;" · ","")&amp;IF(AND(ISNUMBER($E254),ISNUMBER($F254),$E254&gt;$F254),"Inicio posterior a fecha límite"&amp;" · ","")&amp;IF(AND($S254="Macro",$G254=""),"Peso vacío"&amp;" · ","")&amp;IF(AND($S254="Macro",$G254&lt;&gt;"",OR(NOT(ISNUMBER($G254)),$G254&lt;=0,$G254&gt;1)),"Peso fuera de rango"&amp;" · ","")&amp;IF(AND($S254="Sub",$G254&lt;&gt;""),"Las subactividades no llevan peso"&amp;" · ","")&amp;IF(AND($S254="Macro",ABS(SUMIFS($G$5:$G$1000,$P$5:$P$1000,$P254,$S$5:$S$1000,"Macro")-1)&gt;0.0001),"Pesos del mes suman "&amp;TEXT(SUMIFS($G$5:$G$1000,$P$5:$P$1000,$P254,$S$5:$S$1000,"Macro"),"0%")&amp;" · ","")&amp;IF(AND(N($T254)&gt;0,COUNT($H254:$K254)&gt;0),"Con subactividades: deje vacías las semanas (se calculan solas)"&amp;" · ","")&amp;IF((COUNTIF($H254:$K254,"&gt;1")+COUNTIF($H254:$K254,"&lt;0")+COUNTA($H254:$K254)-COUNT($H254:$K254))&gt;0,"Avance fuera de rango 0-100%"&amp;" · ","")&amp;IF(OR(AND($I254&lt;&gt;"",$I254&lt;$H254),AND($J254&lt;&gt;"",$J254&lt;MAX($H254:$I254)),AND($K254&lt;&gt;"",$K254&lt;MAX($H254:$J254))),"Avance semanal decreciente"&amp;" · ","")&amp;IF(AND(ISNUMBER($F254),$F254&lt;FechaRef,N($L254)&lt;1),"Vencida"&amp;" · ","")&amp;IF(AND(ObsObligatoria="Sí",ISNUMBER($F254),$F254&lt;FechaRef,N($L254)&lt;1,$N254=""),"Vencida sin observación"&amp;" · ",""))-3)))</f>
        <v/>
      </c>
      <c r="P254" s="69">
        <f>IF(NOT((COUNTA($B254:$K254)+COUNTA($N254))&gt;0),"",IF(AND($S254="Sub",N($R254)&gt;0),IF(ISNUMBER(INDEX($E$5:$E$1000,$R254-4)),DATE(YEAR(INDEX($E$5:$E$1000,$R254-4)),MONTH(INDEX($E$5:$E$1000,$R254-4)),1),IF(ISNUMBER(INDEX($F$5:$F$1000,$R254-4)),DATE(YEAR(INDEX($F$5:$F$1000,$R254-4)),MONTH(INDEX($F$5:$F$1000,$R254-4)),1),MesCiclo)),IF(ISNUMBER($E254),DATE(YEAR($E254),MONTH($E254),1),IF(ISNUMBER($F254),DATE(YEAR($F254),MONTH($F254),1),MesCiclo))))</f>
        <v/>
      </c>
      <c r="Q254" s="70">
        <f>IF(OR($P254="",$P254&lt;&gt;MesCiclo),"",COUNTIF($P$5:$P254,MesCiclo))</f>
        <v/>
      </c>
      <c r="R254" s="70">
        <f>IF($S254="","",IF($S254="Macro",ROW(),IFERROR(LOOKUP(2,1/($S$5:$S254="Macro"),ROW($S$5:$S254)),0)))</f>
        <v/>
      </c>
      <c r="S254" s="70">
        <f>IF(NOT((COUNTA($B254:$K254)+COUNTA($N254))&gt;0),"",IF($B254&lt;&gt;"","Macro",IF($C254&lt;&gt;"","Sub","Macro")))</f>
        <v/>
      </c>
      <c r="T254" s="70">
        <f>IF($S254="Macro",COUNTIFS($R$5:$R$1000,ROW(),$S$5:$S$1000,"Sub"),"")</f>
        <v/>
      </c>
      <c r="U254" s="70">
        <f>IF($S254="","",IF(ISNUMBER($H254),$H254,0))</f>
        <v/>
      </c>
      <c r="V254" s="70">
        <f>IF($S254="","",IF(ISNUMBER($I254),$I254,$U254))</f>
        <v/>
      </c>
      <c r="W254" s="70">
        <f>IF($S254="","",IF(ISNUMBER($J254),$J254,$V254))</f>
        <v/>
      </c>
      <c r="X254" s="70">
        <f>IF($S254="","",IF(ISNUMBER($K254),$K254,$W254))</f>
        <v/>
      </c>
      <c r="Y254" s="70">
        <f>IF($S254="","",IF(N($T254)&gt;0,AVERAGEIFS($U$5:$U$1000,$R$5:$R$1000,ROW(),$S$5:$S$1000,"Sub"),$U254))</f>
        <v/>
      </c>
      <c r="Z254" s="70">
        <f>IF($S254="","",IF(N($T254)&gt;0,AVERAGEIFS($V$5:$V$1000,$R$5:$R$1000,ROW(),$S$5:$S$1000,"Sub"),$V254))</f>
        <v/>
      </c>
      <c r="AA254" s="70">
        <f>IF($S254="","",IF(N($T254)&gt;0,AVERAGEIFS($W$5:$W$1000,$R$5:$R$1000,ROW(),$S$5:$S$1000,"Sub"),$W254))</f>
        <v/>
      </c>
      <c r="AB254" s="70">
        <f>IF($S254="","",IF(N($T254)&gt;0,AVERAGEIFS($X$5:$X$1000,$R$5:$R$1000,ROW(),$S$5:$S$1000,"Sub"),$X254))</f>
        <v/>
      </c>
    </row>
    <row r="255">
      <c r="A255" s="61">
        <f>IF(NOT((COUNTA($B255:$K255)+COUNTA($N255))&gt;0),"",IF($S255="Macro",COUNTIFS($S$5:$S255,"Macro",$P$5:$P255,$P255),IF(N($R255)=0,"?",COUNTIFS(INDEX($S$5:$S$1000,1):INDEX($S$5:$S$1000,$R255-4),"Macro",INDEX($P$5:$P$1000,1):INDEX($P$5:$P$1000,$R255-4),INDEX($P$5:$P$1000,$R255-4))&amp;"."&amp;COUNTIFS($R$5:$R255,$R255,$S$5:$S255,"Sub"))))</f>
        <v/>
      </c>
      <c r="B255" s="62" t="n"/>
      <c r="C255" s="63" t="n"/>
      <c r="D255" s="62" t="n"/>
      <c r="E255" s="64" t="n"/>
      <c r="F255" s="64" t="n"/>
      <c r="G255" s="65" t="n"/>
      <c r="H255" s="66" t="n"/>
      <c r="I255" s="66" t="n"/>
      <c r="J255" s="66" t="n"/>
      <c r="K255" s="66" t="n"/>
      <c r="L255" s="67">
        <f>IF(NOT((COUNTA($B255:$K255)+COUNTA($N255))&gt;0),"",IF(N($T255)&gt;0,$AB255,IFERROR(LOOKUP(2,1/(H255:K255&lt;&gt;""),H255:K255),0)))</f>
        <v/>
      </c>
      <c r="M255" s="61">
        <f>IF(L255="","",IF(L255&gt;=1,"Completado",IF(L255&gt;0,"En curso","Pendiente")))</f>
        <v/>
      </c>
      <c r="N255" s="62" t="n"/>
      <c r="O255" s="68">
        <f>IF(NOT((COUNTA($B255:$K255)+COUNTA($N255))&gt;0),"",IF((IF(AND($S255="Macro",$B255=""),"Macroactividad vacía"&amp;" · ","")&amp;IF(AND($B255&lt;&gt;"",$C255&lt;&gt;""),"Escriba la subactividad en otra fila, debajo de su macroactividad"&amp;" · ","")&amp;IF(AND($S255="Sub",N($R255)=0),"Subactividad sin macroactividad arriba"&amp;" · ","")&amp;IF($D255="","Sin responsable"&amp;" · ","")&amp;IF($E255="","Sin fecha de inicio"&amp;" · ","")&amp;IF($F255="","Sin fecha límite"&amp;" · ","")&amp;IF(OR(AND($E255&lt;&gt;"",NOT(ISNUMBER($E255))),AND($F255&lt;&gt;"",NOT(ISNUMBER($F255)))),"Fecha no válida"&amp;" · ","")&amp;IF(AND(ISNUMBER($E255),ISNUMBER($F255),$E255&gt;$F255),"Inicio posterior a fecha límite"&amp;" · ","")&amp;IF(AND($S255="Macro",$G255=""),"Peso vacío"&amp;" · ","")&amp;IF(AND($S255="Macro",$G255&lt;&gt;"",OR(NOT(ISNUMBER($G255)),$G255&lt;=0,$G255&gt;1)),"Peso fuera de rango"&amp;" · ","")&amp;IF(AND($S255="Sub",$G255&lt;&gt;""),"Las subactividades no llevan peso"&amp;" · ","")&amp;IF(AND($S255="Macro",ABS(SUMIFS($G$5:$G$1000,$P$5:$P$1000,$P255,$S$5:$S$1000,"Macro")-1)&gt;0.0001),"Pesos del mes suman "&amp;TEXT(SUMIFS($G$5:$G$1000,$P$5:$P$1000,$P255,$S$5:$S$1000,"Macro"),"0%")&amp;" · ","")&amp;IF(AND(N($T255)&gt;0,COUNT($H255:$K255)&gt;0),"Con subactividades: deje vacías las semanas (se calculan solas)"&amp;" · ","")&amp;IF((COUNTIF($H255:$K255,"&gt;1")+COUNTIF($H255:$K255,"&lt;0")+COUNTA($H255:$K255)-COUNT($H255:$K255))&gt;0,"Avance fuera de rango 0-100%"&amp;" · ","")&amp;IF(OR(AND($I255&lt;&gt;"",$I255&lt;$H255),AND($J255&lt;&gt;"",$J255&lt;MAX($H255:$I255)),AND($K255&lt;&gt;"",$K255&lt;MAX($H255:$J255))),"Avance semanal decreciente"&amp;" · ","")&amp;IF(AND(ISNUMBER($F255),$F255&lt;FechaRef,N($L255)&lt;1),"Vencida"&amp;" · ","")&amp;IF(AND(ObsObligatoria="Sí",ISNUMBER($F255),$F255&lt;FechaRef,N($L255)&lt;1,$N255=""),"Vencida sin observación"&amp;" · ",""))="","✔ OK","⚠ "&amp;LEFT(IF(AND($S255="Macro",$B255=""),"Macroactividad vacía"&amp;" · ","")&amp;IF(AND($B255&lt;&gt;"",$C255&lt;&gt;""),"Escriba la subactividad en otra fila, debajo de su macroactividad"&amp;" · ","")&amp;IF(AND($S255="Sub",N($R255)=0),"Subactividad sin macroactividad arriba"&amp;" · ","")&amp;IF($D255="","Sin responsable"&amp;" · ","")&amp;IF($E255="","Sin fecha de inicio"&amp;" · ","")&amp;IF($F255="","Sin fecha límite"&amp;" · ","")&amp;IF(OR(AND($E255&lt;&gt;"",NOT(ISNUMBER($E255))),AND($F255&lt;&gt;"",NOT(ISNUMBER($F255)))),"Fecha no válida"&amp;" · ","")&amp;IF(AND(ISNUMBER($E255),ISNUMBER($F255),$E255&gt;$F255),"Inicio posterior a fecha límite"&amp;" · ","")&amp;IF(AND($S255="Macro",$G255=""),"Peso vacío"&amp;" · ","")&amp;IF(AND($S255="Macro",$G255&lt;&gt;"",OR(NOT(ISNUMBER($G255)),$G255&lt;=0,$G255&gt;1)),"Peso fuera de rango"&amp;" · ","")&amp;IF(AND($S255="Sub",$G255&lt;&gt;""),"Las subactividades no llevan peso"&amp;" · ","")&amp;IF(AND($S255="Macro",ABS(SUMIFS($G$5:$G$1000,$P$5:$P$1000,$P255,$S$5:$S$1000,"Macro")-1)&gt;0.0001),"Pesos del mes suman "&amp;TEXT(SUMIFS($G$5:$G$1000,$P$5:$P$1000,$P255,$S$5:$S$1000,"Macro"),"0%")&amp;" · ","")&amp;IF(AND(N($T255)&gt;0,COUNT($H255:$K255)&gt;0),"Con subactividades: deje vacías las semanas (se calculan solas)"&amp;" · ","")&amp;IF((COUNTIF($H255:$K255,"&gt;1")+COUNTIF($H255:$K255,"&lt;0")+COUNTA($H255:$K255)-COUNT($H255:$K255))&gt;0,"Avance fuera de rango 0-100%"&amp;" · ","")&amp;IF(OR(AND($I255&lt;&gt;"",$I255&lt;$H255),AND($J255&lt;&gt;"",$J255&lt;MAX($H255:$I255)),AND($K255&lt;&gt;"",$K255&lt;MAX($H255:$J255))),"Avance semanal decreciente"&amp;" · ","")&amp;IF(AND(ISNUMBER($F255),$F255&lt;FechaRef,N($L255)&lt;1),"Vencida"&amp;" · ","")&amp;IF(AND(ObsObligatoria="Sí",ISNUMBER($F255),$F255&lt;FechaRef,N($L255)&lt;1,$N255=""),"Vencida sin observación"&amp;" · ",""),LEN(IF(AND($S255="Macro",$B255=""),"Macroactividad vacía"&amp;" · ","")&amp;IF(AND($B255&lt;&gt;"",$C255&lt;&gt;""),"Escriba la subactividad en otra fila, debajo de su macroactividad"&amp;" · ","")&amp;IF(AND($S255="Sub",N($R255)=0),"Subactividad sin macroactividad arriba"&amp;" · ","")&amp;IF($D255="","Sin responsable"&amp;" · ","")&amp;IF($E255="","Sin fecha de inicio"&amp;" · ","")&amp;IF($F255="","Sin fecha límite"&amp;" · ","")&amp;IF(OR(AND($E255&lt;&gt;"",NOT(ISNUMBER($E255))),AND($F255&lt;&gt;"",NOT(ISNUMBER($F255)))),"Fecha no válida"&amp;" · ","")&amp;IF(AND(ISNUMBER($E255),ISNUMBER($F255),$E255&gt;$F255),"Inicio posterior a fecha límite"&amp;" · ","")&amp;IF(AND($S255="Macro",$G255=""),"Peso vacío"&amp;" · ","")&amp;IF(AND($S255="Macro",$G255&lt;&gt;"",OR(NOT(ISNUMBER($G255)),$G255&lt;=0,$G255&gt;1)),"Peso fuera de rango"&amp;" · ","")&amp;IF(AND($S255="Sub",$G255&lt;&gt;""),"Las subactividades no llevan peso"&amp;" · ","")&amp;IF(AND($S255="Macro",ABS(SUMIFS($G$5:$G$1000,$P$5:$P$1000,$P255,$S$5:$S$1000,"Macro")-1)&gt;0.0001),"Pesos del mes suman "&amp;TEXT(SUMIFS($G$5:$G$1000,$P$5:$P$1000,$P255,$S$5:$S$1000,"Macro"),"0%")&amp;" · ","")&amp;IF(AND(N($T255)&gt;0,COUNT($H255:$K255)&gt;0),"Con subactividades: deje vacías las semanas (se calculan solas)"&amp;" · ","")&amp;IF((COUNTIF($H255:$K255,"&gt;1")+COUNTIF($H255:$K255,"&lt;0")+COUNTA($H255:$K255)-COUNT($H255:$K255))&gt;0,"Avance fuera de rango 0-100%"&amp;" · ","")&amp;IF(OR(AND($I255&lt;&gt;"",$I255&lt;$H255),AND($J255&lt;&gt;"",$J255&lt;MAX($H255:$I255)),AND($K255&lt;&gt;"",$K255&lt;MAX($H255:$J255))),"Avance semanal decreciente"&amp;" · ","")&amp;IF(AND(ISNUMBER($F255),$F255&lt;FechaRef,N($L255)&lt;1),"Vencida"&amp;" · ","")&amp;IF(AND(ObsObligatoria="Sí",ISNUMBER($F255),$F255&lt;FechaRef,N($L255)&lt;1,$N255=""),"Vencida sin observación"&amp;" · ",""))-3)))</f>
        <v/>
      </c>
      <c r="P255" s="69">
        <f>IF(NOT((COUNTA($B255:$K255)+COUNTA($N255))&gt;0),"",IF(AND($S255="Sub",N($R255)&gt;0),IF(ISNUMBER(INDEX($E$5:$E$1000,$R255-4)),DATE(YEAR(INDEX($E$5:$E$1000,$R255-4)),MONTH(INDEX($E$5:$E$1000,$R255-4)),1),IF(ISNUMBER(INDEX($F$5:$F$1000,$R255-4)),DATE(YEAR(INDEX($F$5:$F$1000,$R255-4)),MONTH(INDEX($F$5:$F$1000,$R255-4)),1),MesCiclo)),IF(ISNUMBER($E255),DATE(YEAR($E255),MONTH($E255),1),IF(ISNUMBER($F255),DATE(YEAR($F255),MONTH($F255),1),MesCiclo))))</f>
        <v/>
      </c>
      <c r="Q255" s="70">
        <f>IF(OR($P255="",$P255&lt;&gt;MesCiclo),"",COUNTIF($P$5:$P255,MesCiclo))</f>
        <v/>
      </c>
      <c r="R255" s="70">
        <f>IF($S255="","",IF($S255="Macro",ROW(),IFERROR(LOOKUP(2,1/($S$5:$S255="Macro"),ROW($S$5:$S255)),0)))</f>
        <v/>
      </c>
      <c r="S255" s="70">
        <f>IF(NOT((COUNTA($B255:$K255)+COUNTA($N255))&gt;0),"",IF($B255&lt;&gt;"","Macro",IF($C255&lt;&gt;"","Sub","Macro")))</f>
        <v/>
      </c>
      <c r="T255" s="70">
        <f>IF($S255="Macro",COUNTIFS($R$5:$R$1000,ROW(),$S$5:$S$1000,"Sub"),"")</f>
        <v/>
      </c>
      <c r="U255" s="70">
        <f>IF($S255="","",IF(ISNUMBER($H255),$H255,0))</f>
        <v/>
      </c>
      <c r="V255" s="70">
        <f>IF($S255="","",IF(ISNUMBER($I255),$I255,$U255))</f>
        <v/>
      </c>
      <c r="W255" s="70">
        <f>IF($S255="","",IF(ISNUMBER($J255),$J255,$V255))</f>
        <v/>
      </c>
      <c r="X255" s="70">
        <f>IF($S255="","",IF(ISNUMBER($K255),$K255,$W255))</f>
        <v/>
      </c>
      <c r="Y255" s="70">
        <f>IF($S255="","",IF(N($T255)&gt;0,AVERAGEIFS($U$5:$U$1000,$R$5:$R$1000,ROW(),$S$5:$S$1000,"Sub"),$U255))</f>
        <v/>
      </c>
      <c r="Z255" s="70">
        <f>IF($S255="","",IF(N($T255)&gt;0,AVERAGEIFS($V$5:$V$1000,$R$5:$R$1000,ROW(),$S$5:$S$1000,"Sub"),$V255))</f>
        <v/>
      </c>
      <c r="AA255" s="70">
        <f>IF($S255="","",IF(N($T255)&gt;0,AVERAGEIFS($W$5:$W$1000,$R$5:$R$1000,ROW(),$S$5:$S$1000,"Sub"),$W255))</f>
        <v/>
      </c>
      <c r="AB255" s="70">
        <f>IF($S255="","",IF(N($T255)&gt;0,AVERAGEIFS($X$5:$X$1000,$R$5:$R$1000,ROW(),$S$5:$S$1000,"Sub"),$X255))</f>
        <v/>
      </c>
    </row>
    <row r="256">
      <c r="A256" s="61">
        <f>IF(NOT((COUNTA($B256:$K256)+COUNTA($N256))&gt;0),"",IF($S256="Macro",COUNTIFS($S$5:$S256,"Macro",$P$5:$P256,$P256),IF(N($R256)=0,"?",COUNTIFS(INDEX($S$5:$S$1000,1):INDEX($S$5:$S$1000,$R256-4),"Macro",INDEX($P$5:$P$1000,1):INDEX($P$5:$P$1000,$R256-4),INDEX($P$5:$P$1000,$R256-4))&amp;"."&amp;COUNTIFS($R$5:$R256,$R256,$S$5:$S256,"Sub"))))</f>
        <v/>
      </c>
      <c r="B256" s="62" t="n"/>
      <c r="C256" s="63" t="n"/>
      <c r="D256" s="62" t="n"/>
      <c r="E256" s="64" t="n"/>
      <c r="F256" s="64" t="n"/>
      <c r="G256" s="65" t="n"/>
      <c r="H256" s="66" t="n"/>
      <c r="I256" s="66" t="n"/>
      <c r="J256" s="66" t="n"/>
      <c r="K256" s="66" t="n"/>
      <c r="L256" s="67">
        <f>IF(NOT((COUNTA($B256:$K256)+COUNTA($N256))&gt;0),"",IF(N($T256)&gt;0,$AB256,IFERROR(LOOKUP(2,1/(H256:K256&lt;&gt;""),H256:K256),0)))</f>
        <v/>
      </c>
      <c r="M256" s="61">
        <f>IF(L256="","",IF(L256&gt;=1,"Completado",IF(L256&gt;0,"En curso","Pendiente")))</f>
        <v/>
      </c>
      <c r="N256" s="62" t="n"/>
      <c r="O256" s="68">
        <f>IF(NOT((COUNTA($B256:$K256)+COUNTA($N256))&gt;0),"",IF((IF(AND($S256="Macro",$B256=""),"Macroactividad vacía"&amp;" · ","")&amp;IF(AND($B256&lt;&gt;"",$C256&lt;&gt;""),"Escriba la subactividad en otra fila, debajo de su macroactividad"&amp;" · ","")&amp;IF(AND($S256="Sub",N($R256)=0),"Subactividad sin macroactividad arriba"&amp;" · ","")&amp;IF($D256="","Sin responsable"&amp;" · ","")&amp;IF($E256="","Sin fecha de inicio"&amp;" · ","")&amp;IF($F256="","Sin fecha límite"&amp;" · ","")&amp;IF(OR(AND($E256&lt;&gt;"",NOT(ISNUMBER($E256))),AND($F256&lt;&gt;"",NOT(ISNUMBER($F256)))),"Fecha no válida"&amp;" · ","")&amp;IF(AND(ISNUMBER($E256),ISNUMBER($F256),$E256&gt;$F256),"Inicio posterior a fecha límite"&amp;" · ","")&amp;IF(AND($S256="Macro",$G256=""),"Peso vacío"&amp;" · ","")&amp;IF(AND($S256="Macro",$G256&lt;&gt;"",OR(NOT(ISNUMBER($G256)),$G256&lt;=0,$G256&gt;1)),"Peso fuera de rango"&amp;" · ","")&amp;IF(AND($S256="Sub",$G256&lt;&gt;""),"Las subactividades no llevan peso"&amp;" · ","")&amp;IF(AND($S256="Macro",ABS(SUMIFS($G$5:$G$1000,$P$5:$P$1000,$P256,$S$5:$S$1000,"Macro")-1)&gt;0.0001),"Pesos del mes suman "&amp;TEXT(SUMIFS($G$5:$G$1000,$P$5:$P$1000,$P256,$S$5:$S$1000,"Macro"),"0%")&amp;" · ","")&amp;IF(AND(N($T256)&gt;0,COUNT($H256:$K256)&gt;0),"Con subactividades: deje vacías las semanas (se calculan solas)"&amp;" · ","")&amp;IF((COUNTIF($H256:$K256,"&gt;1")+COUNTIF($H256:$K256,"&lt;0")+COUNTA($H256:$K256)-COUNT($H256:$K256))&gt;0,"Avance fuera de rango 0-100%"&amp;" · ","")&amp;IF(OR(AND($I256&lt;&gt;"",$I256&lt;$H256),AND($J256&lt;&gt;"",$J256&lt;MAX($H256:$I256)),AND($K256&lt;&gt;"",$K256&lt;MAX($H256:$J256))),"Avance semanal decreciente"&amp;" · ","")&amp;IF(AND(ISNUMBER($F256),$F256&lt;FechaRef,N($L256)&lt;1),"Vencida"&amp;" · ","")&amp;IF(AND(ObsObligatoria="Sí",ISNUMBER($F256),$F256&lt;FechaRef,N($L256)&lt;1,$N256=""),"Vencida sin observación"&amp;" · ",""))="","✔ OK","⚠ "&amp;LEFT(IF(AND($S256="Macro",$B256=""),"Macroactividad vacía"&amp;" · ","")&amp;IF(AND($B256&lt;&gt;"",$C256&lt;&gt;""),"Escriba la subactividad en otra fila, debajo de su macroactividad"&amp;" · ","")&amp;IF(AND($S256="Sub",N($R256)=0),"Subactividad sin macroactividad arriba"&amp;" · ","")&amp;IF($D256="","Sin responsable"&amp;" · ","")&amp;IF($E256="","Sin fecha de inicio"&amp;" · ","")&amp;IF($F256="","Sin fecha límite"&amp;" · ","")&amp;IF(OR(AND($E256&lt;&gt;"",NOT(ISNUMBER($E256))),AND($F256&lt;&gt;"",NOT(ISNUMBER($F256)))),"Fecha no válida"&amp;" · ","")&amp;IF(AND(ISNUMBER($E256),ISNUMBER($F256),$E256&gt;$F256),"Inicio posterior a fecha límite"&amp;" · ","")&amp;IF(AND($S256="Macro",$G256=""),"Peso vacío"&amp;" · ","")&amp;IF(AND($S256="Macro",$G256&lt;&gt;"",OR(NOT(ISNUMBER($G256)),$G256&lt;=0,$G256&gt;1)),"Peso fuera de rango"&amp;" · ","")&amp;IF(AND($S256="Sub",$G256&lt;&gt;""),"Las subactividades no llevan peso"&amp;" · ","")&amp;IF(AND($S256="Macro",ABS(SUMIFS($G$5:$G$1000,$P$5:$P$1000,$P256,$S$5:$S$1000,"Macro")-1)&gt;0.0001),"Pesos del mes suman "&amp;TEXT(SUMIFS($G$5:$G$1000,$P$5:$P$1000,$P256,$S$5:$S$1000,"Macro"),"0%")&amp;" · ","")&amp;IF(AND(N($T256)&gt;0,COUNT($H256:$K256)&gt;0),"Con subactividades: deje vacías las semanas (se calculan solas)"&amp;" · ","")&amp;IF((COUNTIF($H256:$K256,"&gt;1")+COUNTIF($H256:$K256,"&lt;0")+COUNTA($H256:$K256)-COUNT($H256:$K256))&gt;0,"Avance fuera de rango 0-100%"&amp;" · ","")&amp;IF(OR(AND($I256&lt;&gt;"",$I256&lt;$H256),AND($J256&lt;&gt;"",$J256&lt;MAX($H256:$I256)),AND($K256&lt;&gt;"",$K256&lt;MAX($H256:$J256))),"Avance semanal decreciente"&amp;" · ","")&amp;IF(AND(ISNUMBER($F256),$F256&lt;FechaRef,N($L256)&lt;1),"Vencida"&amp;" · ","")&amp;IF(AND(ObsObligatoria="Sí",ISNUMBER($F256),$F256&lt;FechaRef,N($L256)&lt;1,$N256=""),"Vencida sin observación"&amp;" · ",""),LEN(IF(AND($S256="Macro",$B256=""),"Macroactividad vacía"&amp;" · ","")&amp;IF(AND($B256&lt;&gt;"",$C256&lt;&gt;""),"Escriba la subactividad en otra fila, debajo de su macroactividad"&amp;" · ","")&amp;IF(AND($S256="Sub",N($R256)=0),"Subactividad sin macroactividad arriba"&amp;" · ","")&amp;IF($D256="","Sin responsable"&amp;" · ","")&amp;IF($E256="","Sin fecha de inicio"&amp;" · ","")&amp;IF($F256="","Sin fecha límite"&amp;" · ","")&amp;IF(OR(AND($E256&lt;&gt;"",NOT(ISNUMBER($E256))),AND($F256&lt;&gt;"",NOT(ISNUMBER($F256)))),"Fecha no válida"&amp;" · ","")&amp;IF(AND(ISNUMBER($E256),ISNUMBER($F256),$E256&gt;$F256),"Inicio posterior a fecha límite"&amp;" · ","")&amp;IF(AND($S256="Macro",$G256=""),"Peso vacío"&amp;" · ","")&amp;IF(AND($S256="Macro",$G256&lt;&gt;"",OR(NOT(ISNUMBER($G256)),$G256&lt;=0,$G256&gt;1)),"Peso fuera de rango"&amp;" · ","")&amp;IF(AND($S256="Sub",$G256&lt;&gt;""),"Las subactividades no llevan peso"&amp;" · ","")&amp;IF(AND($S256="Macro",ABS(SUMIFS($G$5:$G$1000,$P$5:$P$1000,$P256,$S$5:$S$1000,"Macro")-1)&gt;0.0001),"Pesos del mes suman "&amp;TEXT(SUMIFS($G$5:$G$1000,$P$5:$P$1000,$P256,$S$5:$S$1000,"Macro"),"0%")&amp;" · ","")&amp;IF(AND(N($T256)&gt;0,COUNT($H256:$K256)&gt;0),"Con subactividades: deje vacías las semanas (se calculan solas)"&amp;" · ","")&amp;IF((COUNTIF($H256:$K256,"&gt;1")+COUNTIF($H256:$K256,"&lt;0")+COUNTA($H256:$K256)-COUNT($H256:$K256))&gt;0,"Avance fuera de rango 0-100%"&amp;" · ","")&amp;IF(OR(AND($I256&lt;&gt;"",$I256&lt;$H256),AND($J256&lt;&gt;"",$J256&lt;MAX($H256:$I256)),AND($K256&lt;&gt;"",$K256&lt;MAX($H256:$J256))),"Avance semanal decreciente"&amp;" · ","")&amp;IF(AND(ISNUMBER($F256),$F256&lt;FechaRef,N($L256)&lt;1),"Vencida"&amp;" · ","")&amp;IF(AND(ObsObligatoria="Sí",ISNUMBER($F256),$F256&lt;FechaRef,N($L256)&lt;1,$N256=""),"Vencida sin observación"&amp;" · ",""))-3)))</f>
        <v/>
      </c>
      <c r="P256" s="69">
        <f>IF(NOT((COUNTA($B256:$K256)+COUNTA($N256))&gt;0),"",IF(AND($S256="Sub",N($R256)&gt;0),IF(ISNUMBER(INDEX($E$5:$E$1000,$R256-4)),DATE(YEAR(INDEX($E$5:$E$1000,$R256-4)),MONTH(INDEX($E$5:$E$1000,$R256-4)),1),IF(ISNUMBER(INDEX($F$5:$F$1000,$R256-4)),DATE(YEAR(INDEX($F$5:$F$1000,$R256-4)),MONTH(INDEX($F$5:$F$1000,$R256-4)),1),MesCiclo)),IF(ISNUMBER($E256),DATE(YEAR($E256),MONTH($E256),1),IF(ISNUMBER($F256),DATE(YEAR($F256),MONTH($F256),1),MesCiclo))))</f>
        <v/>
      </c>
      <c r="Q256" s="70">
        <f>IF(OR($P256="",$P256&lt;&gt;MesCiclo),"",COUNTIF($P$5:$P256,MesCiclo))</f>
        <v/>
      </c>
      <c r="R256" s="70">
        <f>IF($S256="","",IF($S256="Macro",ROW(),IFERROR(LOOKUP(2,1/($S$5:$S256="Macro"),ROW($S$5:$S256)),0)))</f>
        <v/>
      </c>
      <c r="S256" s="70">
        <f>IF(NOT((COUNTA($B256:$K256)+COUNTA($N256))&gt;0),"",IF($B256&lt;&gt;"","Macro",IF($C256&lt;&gt;"","Sub","Macro")))</f>
        <v/>
      </c>
      <c r="T256" s="70">
        <f>IF($S256="Macro",COUNTIFS($R$5:$R$1000,ROW(),$S$5:$S$1000,"Sub"),"")</f>
        <v/>
      </c>
      <c r="U256" s="70">
        <f>IF($S256="","",IF(ISNUMBER($H256),$H256,0))</f>
        <v/>
      </c>
      <c r="V256" s="70">
        <f>IF($S256="","",IF(ISNUMBER($I256),$I256,$U256))</f>
        <v/>
      </c>
      <c r="W256" s="70">
        <f>IF($S256="","",IF(ISNUMBER($J256),$J256,$V256))</f>
        <v/>
      </c>
      <c r="X256" s="70">
        <f>IF($S256="","",IF(ISNUMBER($K256),$K256,$W256))</f>
        <v/>
      </c>
      <c r="Y256" s="70">
        <f>IF($S256="","",IF(N($T256)&gt;0,AVERAGEIFS($U$5:$U$1000,$R$5:$R$1000,ROW(),$S$5:$S$1000,"Sub"),$U256))</f>
        <v/>
      </c>
      <c r="Z256" s="70">
        <f>IF($S256="","",IF(N($T256)&gt;0,AVERAGEIFS($V$5:$V$1000,$R$5:$R$1000,ROW(),$S$5:$S$1000,"Sub"),$V256))</f>
        <v/>
      </c>
      <c r="AA256" s="70">
        <f>IF($S256="","",IF(N($T256)&gt;0,AVERAGEIFS($W$5:$W$1000,$R$5:$R$1000,ROW(),$S$5:$S$1000,"Sub"),$W256))</f>
        <v/>
      </c>
      <c r="AB256" s="70">
        <f>IF($S256="","",IF(N($T256)&gt;0,AVERAGEIFS($X$5:$X$1000,$R$5:$R$1000,ROW(),$S$5:$S$1000,"Sub"),$X256))</f>
        <v/>
      </c>
    </row>
    <row r="257">
      <c r="A257" s="61">
        <f>IF(NOT((COUNTA($B257:$K257)+COUNTA($N257))&gt;0),"",IF($S257="Macro",COUNTIFS($S$5:$S257,"Macro",$P$5:$P257,$P257),IF(N($R257)=0,"?",COUNTIFS(INDEX($S$5:$S$1000,1):INDEX($S$5:$S$1000,$R257-4),"Macro",INDEX($P$5:$P$1000,1):INDEX($P$5:$P$1000,$R257-4),INDEX($P$5:$P$1000,$R257-4))&amp;"."&amp;COUNTIFS($R$5:$R257,$R257,$S$5:$S257,"Sub"))))</f>
        <v/>
      </c>
      <c r="B257" s="62" t="n"/>
      <c r="C257" s="63" t="n"/>
      <c r="D257" s="62" t="n"/>
      <c r="E257" s="64" t="n"/>
      <c r="F257" s="64" t="n"/>
      <c r="G257" s="65" t="n"/>
      <c r="H257" s="66" t="n"/>
      <c r="I257" s="66" t="n"/>
      <c r="J257" s="66" t="n"/>
      <c r="K257" s="66" t="n"/>
      <c r="L257" s="67">
        <f>IF(NOT((COUNTA($B257:$K257)+COUNTA($N257))&gt;0),"",IF(N($T257)&gt;0,$AB257,IFERROR(LOOKUP(2,1/(H257:K257&lt;&gt;""),H257:K257),0)))</f>
        <v/>
      </c>
      <c r="M257" s="61">
        <f>IF(L257="","",IF(L257&gt;=1,"Completado",IF(L257&gt;0,"En curso","Pendiente")))</f>
        <v/>
      </c>
      <c r="N257" s="62" t="n"/>
      <c r="O257" s="68">
        <f>IF(NOT((COUNTA($B257:$K257)+COUNTA($N257))&gt;0),"",IF((IF(AND($S257="Macro",$B257=""),"Macroactividad vacía"&amp;" · ","")&amp;IF(AND($B257&lt;&gt;"",$C257&lt;&gt;""),"Escriba la subactividad en otra fila, debajo de su macroactividad"&amp;" · ","")&amp;IF(AND($S257="Sub",N($R257)=0),"Subactividad sin macroactividad arriba"&amp;" · ","")&amp;IF($D257="","Sin responsable"&amp;" · ","")&amp;IF($E257="","Sin fecha de inicio"&amp;" · ","")&amp;IF($F257="","Sin fecha límite"&amp;" · ","")&amp;IF(OR(AND($E257&lt;&gt;"",NOT(ISNUMBER($E257))),AND($F257&lt;&gt;"",NOT(ISNUMBER($F257)))),"Fecha no válida"&amp;" · ","")&amp;IF(AND(ISNUMBER($E257),ISNUMBER($F257),$E257&gt;$F257),"Inicio posterior a fecha límite"&amp;" · ","")&amp;IF(AND($S257="Macro",$G257=""),"Peso vacío"&amp;" · ","")&amp;IF(AND($S257="Macro",$G257&lt;&gt;"",OR(NOT(ISNUMBER($G257)),$G257&lt;=0,$G257&gt;1)),"Peso fuera de rango"&amp;" · ","")&amp;IF(AND($S257="Sub",$G257&lt;&gt;""),"Las subactividades no llevan peso"&amp;" · ","")&amp;IF(AND($S257="Macro",ABS(SUMIFS($G$5:$G$1000,$P$5:$P$1000,$P257,$S$5:$S$1000,"Macro")-1)&gt;0.0001),"Pesos del mes suman "&amp;TEXT(SUMIFS($G$5:$G$1000,$P$5:$P$1000,$P257,$S$5:$S$1000,"Macro"),"0%")&amp;" · ","")&amp;IF(AND(N($T257)&gt;0,COUNT($H257:$K257)&gt;0),"Con subactividades: deje vacías las semanas (se calculan solas)"&amp;" · ","")&amp;IF((COUNTIF($H257:$K257,"&gt;1")+COUNTIF($H257:$K257,"&lt;0")+COUNTA($H257:$K257)-COUNT($H257:$K257))&gt;0,"Avance fuera de rango 0-100%"&amp;" · ","")&amp;IF(OR(AND($I257&lt;&gt;"",$I257&lt;$H257),AND($J257&lt;&gt;"",$J257&lt;MAX($H257:$I257)),AND($K257&lt;&gt;"",$K257&lt;MAX($H257:$J257))),"Avance semanal decreciente"&amp;" · ","")&amp;IF(AND(ISNUMBER($F257),$F257&lt;FechaRef,N($L257)&lt;1),"Vencida"&amp;" · ","")&amp;IF(AND(ObsObligatoria="Sí",ISNUMBER($F257),$F257&lt;FechaRef,N($L257)&lt;1,$N257=""),"Vencida sin observación"&amp;" · ",""))="","✔ OK","⚠ "&amp;LEFT(IF(AND($S257="Macro",$B257=""),"Macroactividad vacía"&amp;" · ","")&amp;IF(AND($B257&lt;&gt;"",$C257&lt;&gt;""),"Escriba la subactividad en otra fila, debajo de su macroactividad"&amp;" · ","")&amp;IF(AND($S257="Sub",N($R257)=0),"Subactividad sin macroactividad arriba"&amp;" · ","")&amp;IF($D257="","Sin responsable"&amp;" · ","")&amp;IF($E257="","Sin fecha de inicio"&amp;" · ","")&amp;IF($F257="","Sin fecha límite"&amp;" · ","")&amp;IF(OR(AND($E257&lt;&gt;"",NOT(ISNUMBER($E257))),AND($F257&lt;&gt;"",NOT(ISNUMBER($F257)))),"Fecha no válida"&amp;" · ","")&amp;IF(AND(ISNUMBER($E257),ISNUMBER($F257),$E257&gt;$F257),"Inicio posterior a fecha límite"&amp;" · ","")&amp;IF(AND($S257="Macro",$G257=""),"Peso vacío"&amp;" · ","")&amp;IF(AND($S257="Macro",$G257&lt;&gt;"",OR(NOT(ISNUMBER($G257)),$G257&lt;=0,$G257&gt;1)),"Peso fuera de rango"&amp;" · ","")&amp;IF(AND($S257="Sub",$G257&lt;&gt;""),"Las subactividades no llevan peso"&amp;" · ","")&amp;IF(AND($S257="Macro",ABS(SUMIFS($G$5:$G$1000,$P$5:$P$1000,$P257,$S$5:$S$1000,"Macro")-1)&gt;0.0001),"Pesos del mes suman "&amp;TEXT(SUMIFS($G$5:$G$1000,$P$5:$P$1000,$P257,$S$5:$S$1000,"Macro"),"0%")&amp;" · ","")&amp;IF(AND(N($T257)&gt;0,COUNT($H257:$K257)&gt;0),"Con subactividades: deje vacías las semanas (se calculan solas)"&amp;" · ","")&amp;IF((COUNTIF($H257:$K257,"&gt;1")+COUNTIF($H257:$K257,"&lt;0")+COUNTA($H257:$K257)-COUNT($H257:$K257))&gt;0,"Avance fuera de rango 0-100%"&amp;" · ","")&amp;IF(OR(AND($I257&lt;&gt;"",$I257&lt;$H257),AND($J257&lt;&gt;"",$J257&lt;MAX($H257:$I257)),AND($K257&lt;&gt;"",$K257&lt;MAX($H257:$J257))),"Avance semanal decreciente"&amp;" · ","")&amp;IF(AND(ISNUMBER($F257),$F257&lt;FechaRef,N($L257)&lt;1),"Vencida"&amp;" · ","")&amp;IF(AND(ObsObligatoria="Sí",ISNUMBER($F257),$F257&lt;FechaRef,N($L257)&lt;1,$N257=""),"Vencida sin observación"&amp;" · ",""),LEN(IF(AND($S257="Macro",$B257=""),"Macroactividad vacía"&amp;" · ","")&amp;IF(AND($B257&lt;&gt;"",$C257&lt;&gt;""),"Escriba la subactividad en otra fila, debajo de su macroactividad"&amp;" · ","")&amp;IF(AND($S257="Sub",N($R257)=0),"Subactividad sin macroactividad arriba"&amp;" · ","")&amp;IF($D257="","Sin responsable"&amp;" · ","")&amp;IF($E257="","Sin fecha de inicio"&amp;" · ","")&amp;IF($F257="","Sin fecha límite"&amp;" · ","")&amp;IF(OR(AND($E257&lt;&gt;"",NOT(ISNUMBER($E257))),AND($F257&lt;&gt;"",NOT(ISNUMBER($F257)))),"Fecha no válida"&amp;" · ","")&amp;IF(AND(ISNUMBER($E257),ISNUMBER($F257),$E257&gt;$F257),"Inicio posterior a fecha límite"&amp;" · ","")&amp;IF(AND($S257="Macro",$G257=""),"Peso vacío"&amp;" · ","")&amp;IF(AND($S257="Macro",$G257&lt;&gt;"",OR(NOT(ISNUMBER($G257)),$G257&lt;=0,$G257&gt;1)),"Peso fuera de rango"&amp;" · ","")&amp;IF(AND($S257="Sub",$G257&lt;&gt;""),"Las subactividades no llevan peso"&amp;" · ","")&amp;IF(AND($S257="Macro",ABS(SUMIFS($G$5:$G$1000,$P$5:$P$1000,$P257,$S$5:$S$1000,"Macro")-1)&gt;0.0001),"Pesos del mes suman "&amp;TEXT(SUMIFS($G$5:$G$1000,$P$5:$P$1000,$P257,$S$5:$S$1000,"Macro"),"0%")&amp;" · ","")&amp;IF(AND(N($T257)&gt;0,COUNT($H257:$K257)&gt;0),"Con subactividades: deje vacías las semanas (se calculan solas)"&amp;" · ","")&amp;IF((COUNTIF($H257:$K257,"&gt;1")+COUNTIF($H257:$K257,"&lt;0")+COUNTA($H257:$K257)-COUNT($H257:$K257))&gt;0,"Avance fuera de rango 0-100%"&amp;" · ","")&amp;IF(OR(AND($I257&lt;&gt;"",$I257&lt;$H257),AND($J257&lt;&gt;"",$J257&lt;MAX($H257:$I257)),AND($K257&lt;&gt;"",$K257&lt;MAX($H257:$J257))),"Avance semanal decreciente"&amp;" · ","")&amp;IF(AND(ISNUMBER($F257),$F257&lt;FechaRef,N($L257)&lt;1),"Vencida"&amp;" · ","")&amp;IF(AND(ObsObligatoria="Sí",ISNUMBER($F257),$F257&lt;FechaRef,N($L257)&lt;1,$N257=""),"Vencida sin observación"&amp;" · ",""))-3)))</f>
        <v/>
      </c>
      <c r="P257" s="69">
        <f>IF(NOT((COUNTA($B257:$K257)+COUNTA($N257))&gt;0),"",IF(AND($S257="Sub",N($R257)&gt;0),IF(ISNUMBER(INDEX($E$5:$E$1000,$R257-4)),DATE(YEAR(INDEX($E$5:$E$1000,$R257-4)),MONTH(INDEX($E$5:$E$1000,$R257-4)),1),IF(ISNUMBER(INDEX($F$5:$F$1000,$R257-4)),DATE(YEAR(INDEX($F$5:$F$1000,$R257-4)),MONTH(INDEX($F$5:$F$1000,$R257-4)),1),MesCiclo)),IF(ISNUMBER($E257),DATE(YEAR($E257),MONTH($E257),1),IF(ISNUMBER($F257),DATE(YEAR($F257),MONTH($F257),1),MesCiclo))))</f>
        <v/>
      </c>
      <c r="Q257" s="70">
        <f>IF(OR($P257="",$P257&lt;&gt;MesCiclo),"",COUNTIF($P$5:$P257,MesCiclo))</f>
        <v/>
      </c>
      <c r="R257" s="70">
        <f>IF($S257="","",IF($S257="Macro",ROW(),IFERROR(LOOKUP(2,1/($S$5:$S257="Macro"),ROW($S$5:$S257)),0)))</f>
        <v/>
      </c>
      <c r="S257" s="70">
        <f>IF(NOT((COUNTA($B257:$K257)+COUNTA($N257))&gt;0),"",IF($B257&lt;&gt;"","Macro",IF($C257&lt;&gt;"","Sub","Macro")))</f>
        <v/>
      </c>
      <c r="T257" s="70">
        <f>IF($S257="Macro",COUNTIFS($R$5:$R$1000,ROW(),$S$5:$S$1000,"Sub"),"")</f>
        <v/>
      </c>
      <c r="U257" s="70">
        <f>IF($S257="","",IF(ISNUMBER($H257),$H257,0))</f>
        <v/>
      </c>
      <c r="V257" s="70">
        <f>IF($S257="","",IF(ISNUMBER($I257),$I257,$U257))</f>
        <v/>
      </c>
      <c r="W257" s="70">
        <f>IF($S257="","",IF(ISNUMBER($J257),$J257,$V257))</f>
        <v/>
      </c>
      <c r="X257" s="70">
        <f>IF($S257="","",IF(ISNUMBER($K257),$K257,$W257))</f>
        <v/>
      </c>
      <c r="Y257" s="70">
        <f>IF($S257="","",IF(N($T257)&gt;0,AVERAGEIFS($U$5:$U$1000,$R$5:$R$1000,ROW(),$S$5:$S$1000,"Sub"),$U257))</f>
        <v/>
      </c>
      <c r="Z257" s="70">
        <f>IF($S257="","",IF(N($T257)&gt;0,AVERAGEIFS($V$5:$V$1000,$R$5:$R$1000,ROW(),$S$5:$S$1000,"Sub"),$V257))</f>
        <v/>
      </c>
      <c r="AA257" s="70">
        <f>IF($S257="","",IF(N($T257)&gt;0,AVERAGEIFS($W$5:$W$1000,$R$5:$R$1000,ROW(),$S$5:$S$1000,"Sub"),$W257))</f>
        <v/>
      </c>
      <c r="AB257" s="70">
        <f>IF($S257="","",IF(N($T257)&gt;0,AVERAGEIFS($X$5:$X$1000,$R$5:$R$1000,ROW(),$S$5:$S$1000,"Sub"),$X257))</f>
        <v/>
      </c>
    </row>
    <row r="258">
      <c r="A258" s="61">
        <f>IF(NOT((COUNTA($B258:$K258)+COUNTA($N258))&gt;0),"",IF($S258="Macro",COUNTIFS($S$5:$S258,"Macro",$P$5:$P258,$P258),IF(N($R258)=0,"?",COUNTIFS(INDEX($S$5:$S$1000,1):INDEX($S$5:$S$1000,$R258-4),"Macro",INDEX($P$5:$P$1000,1):INDEX($P$5:$P$1000,$R258-4),INDEX($P$5:$P$1000,$R258-4))&amp;"."&amp;COUNTIFS($R$5:$R258,$R258,$S$5:$S258,"Sub"))))</f>
        <v/>
      </c>
      <c r="B258" s="62" t="n"/>
      <c r="C258" s="63" t="n"/>
      <c r="D258" s="62" t="n"/>
      <c r="E258" s="64" t="n"/>
      <c r="F258" s="64" t="n"/>
      <c r="G258" s="65" t="n"/>
      <c r="H258" s="66" t="n"/>
      <c r="I258" s="66" t="n"/>
      <c r="J258" s="66" t="n"/>
      <c r="K258" s="66" t="n"/>
      <c r="L258" s="67">
        <f>IF(NOT((COUNTA($B258:$K258)+COUNTA($N258))&gt;0),"",IF(N($T258)&gt;0,$AB258,IFERROR(LOOKUP(2,1/(H258:K258&lt;&gt;""),H258:K258),0)))</f>
        <v/>
      </c>
      <c r="M258" s="61">
        <f>IF(L258="","",IF(L258&gt;=1,"Completado",IF(L258&gt;0,"En curso","Pendiente")))</f>
        <v/>
      </c>
      <c r="N258" s="62" t="n"/>
      <c r="O258" s="68">
        <f>IF(NOT((COUNTA($B258:$K258)+COUNTA($N258))&gt;0),"",IF((IF(AND($S258="Macro",$B258=""),"Macroactividad vacía"&amp;" · ","")&amp;IF(AND($B258&lt;&gt;"",$C258&lt;&gt;""),"Escriba la subactividad en otra fila, debajo de su macroactividad"&amp;" · ","")&amp;IF(AND($S258="Sub",N($R258)=0),"Subactividad sin macroactividad arriba"&amp;" · ","")&amp;IF($D258="","Sin responsable"&amp;" · ","")&amp;IF($E258="","Sin fecha de inicio"&amp;" · ","")&amp;IF($F258="","Sin fecha límite"&amp;" · ","")&amp;IF(OR(AND($E258&lt;&gt;"",NOT(ISNUMBER($E258))),AND($F258&lt;&gt;"",NOT(ISNUMBER($F258)))),"Fecha no válida"&amp;" · ","")&amp;IF(AND(ISNUMBER($E258),ISNUMBER($F258),$E258&gt;$F258),"Inicio posterior a fecha límite"&amp;" · ","")&amp;IF(AND($S258="Macro",$G258=""),"Peso vacío"&amp;" · ","")&amp;IF(AND($S258="Macro",$G258&lt;&gt;"",OR(NOT(ISNUMBER($G258)),$G258&lt;=0,$G258&gt;1)),"Peso fuera de rango"&amp;" · ","")&amp;IF(AND($S258="Sub",$G258&lt;&gt;""),"Las subactividades no llevan peso"&amp;" · ","")&amp;IF(AND($S258="Macro",ABS(SUMIFS($G$5:$G$1000,$P$5:$P$1000,$P258,$S$5:$S$1000,"Macro")-1)&gt;0.0001),"Pesos del mes suman "&amp;TEXT(SUMIFS($G$5:$G$1000,$P$5:$P$1000,$P258,$S$5:$S$1000,"Macro"),"0%")&amp;" · ","")&amp;IF(AND(N($T258)&gt;0,COUNT($H258:$K258)&gt;0),"Con subactividades: deje vacías las semanas (se calculan solas)"&amp;" · ","")&amp;IF((COUNTIF($H258:$K258,"&gt;1")+COUNTIF($H258:$K258,"&lt;0")+COUNTA($H258:$K258)-COUNT($H258:$K258))&gt;0,"Avance fuera de rango 0-100%"&amp;" · ","")&amp;IF(OR(AND($I258&lt;&gt;"",$I258&lt;$H258),AND($J258&lt;&gt;"",$J258&lt;MAX($H258:$I258)),AND($K258&lt;&gt;"",$K258&lt;MAX($H258:$J258))),"Avance semanal decreciente"&amp;" · ","")&amp;IF(AND(ISNUMBER($F258),$F258&lt;FechaRef,N($L258)&lt;1),"Vencida"&amp;" · ","")&amp;IF(AND(ObsObligatoria="Sí",ISNUMBER($F258),$F258&lt;FechaRef,N($L258)&lt;1,$N258=""),"Vencida sin observación"&amp;" · ",""))="","✔ OK","⚠ "&amp;LEFT(IF(AND($S258="Macro",$B258=""),"Macroactividad vacía"&amp;" · ","")&amp;IF(AND($B258&lt;&gt;"",$C258&lt;&gt;""),"Escriba la subactividad en otra fila, debajo de su macroactividad"&amp;" · ","")&amp;IF(AND($S258="Sub",N($R258)=0),"Subactividad sin macroactividad arriba"&amp;" · ","")&amp;IF($D258="","Sin responsable"&amp;" · ","")&amp;IF($E258="","Sin fecha de inicio"&amp;" · ","")&amp;IF($F258="","Sin fecha límite"&amp;" · ","")&amp;IF(OR(AND($E258&lt;&gt;"",NOT(ISNUMBER($E258))),AND($F258&lt;&gt;"",NOT(ISNUMBER($F258)))),"Fecha no válida"&amp;" · ","")&amp;IF(AND(ISNUMBER($E258),ISNUMBER($F258),$E258&gt;$F258),"Inicio posterior a fecha límite"&amp;" · ","")&amp;IF(AND($S258="Macro",$G258=""),"Peso vacío"&amp;" · ","")&amp;IF(AND($S258="Macro",$G258&lt;&gt;"",OR(NOT(ISNUMBER($G258)),$G258&lt;=0,$G258&gt;1)),"Peso fuera de rango"&amp;" · ","")&amp;IF(AND($S258="Sub",$G258&lt;&gt;""),"Las subactividades no llevan peso"&amp;" · ","")&amp;IF(AND($S258="Macro",ABS(SUMIFS($G$5:$G$1000,$P$5:$P$1000,$P258,$S$5:$S$1000,"Macro")-1)&gt;0.0001),"Pesos del mes suman "&amp;TEXT(SUMIFS($G$5:$G$1000,$P$5:$P$1000,$P258,$S$5:$S$1000,"Macro"),"0%")&amp;" · ","")&amp;IF(AND(N($T258)&gt;0,COUNT($H258:$K258)&gt;0),"Con subactividades: deje vacías las semanas (se calculan solas)"&amp;" · ","")&amp;IF((COUNTIF($H258:$K258,"&gt;1")+COUNTIF($H258:$K258,"&lt;0")+COUNTA($H258:$K258)-COUNT($H258:$K258))&gt;0,"Avance fuera de rango 0-100%"&amp;" · ","")&amp;IF(OR(AND($I258&lt;&gt;"",$I258&lt;$H258),AND($J258&lt;&gt;"",$J258&lt;MAX($H258:$I258)),AND($K258&lt;&gt;"",$K258&lt;MAX($H258:$J258))),"Avance semanal decreciente"&amp;" · ","")&amp;IF(AND(ISNUMBER($F258),$F258&lt;FechaRef,N($L258)&lt;1),"Vencida"&amp;" · ","")&amp;IF(AND(ObsObligatoria="Sí",ISNUMBER($F258),$F258&lt;FechaRef,N($L258)&lt;1,$N258=""),"Vencida sin observación"&amp;" · ",""),LEN(IF(AND($S258="Macro",$B258=""),"Macroactividad vacía"&amp;" · ","")&amp;IF(AND($B258&lt;&gt;"",$C258&lt;&gt;""),"Escriba la subactividad en otra fila, debajo de su macroactividad"&amp;" · ","")&amp;IF(AND($S258="Sub",N($R258)=0),"Subactividad sin macroactividad arriba"&amp;" · ","")&amp;IF($D258="","Sin responsable"&amp;" · ","")&amp;IF($E258="","Sin fecha de inicio"&amp;" · ","")&amp;IF($F258="","Sin fecha límite"&amp;" · ","")&amp;IF(OR(AND($E258&lt;&gt;"",NOT(ISNUMBER($E258))),AND($F258&lt;&gt;"",NOT(ISNUMBER($F258)))),"Fecha no válida"&amp;" · ","")&amp;IF(AND(ISNUMBER($E258),ISNUMBER($F258),$E258&gt;$F258),"Inicio posterior a fecha límite"&amp;" · ","")&amp;IF(AND($S258="Macro",$G258=""),"Peso vacío"&amp;" · ","")&amp;IF(AND($S258="Macro",$G258&lt;&gt;"",OR(NOT(ISNUMBER($G258)),$G258&lt;=0,$G258&gt;1)),"Peso fuera de rango"&amp;" · ","")&amp;IF(AND($S258="Sub",$G258&lt;&gt;""),"Las subactividades no llevan peso"&amp;" · ","")&amp;IF(AND($S258="Macro",ABS(SUMIFS($G$5:$G$1000,$P$5:$P$1000,$P258,$S$5:$S$1000,"Macro")-1)&gt;0.0001),"Pesos del mes suman "&amp;TEXT(SUMIFS($G$5:$G$1000,$P$5:$P$1000,$P258,$S$5:$S$1000,"Macro"),"0%")&amp;" · ","")&amp;IF(AND(N($T258)&gt;0,COUNT($H258:$K258)&gt;0),"Con subactividades: deje vacías las semanas (se calculan solas)"&amp;" · ","")&amp;IF((COUNTIF($H258:$K258,"&gt;1")+COUNTIF($H258:$K258,"&lt;0")+COUNTA($H258:$K258)-COUNT($H258:$K258))&gt;0,"Avance fuera de rango 0-100%"&amp;" · ","")&amp;IF(OR(AND($I258&lt;&gt;"",$I258&lt;$H258),AND($J258&lt;&gt;"",$J258&lt;MAX($H258:$I258)),AND($K258&lt;&gt;"",$K258&lt;MAX($H258:$J258))),"Avance semanal decreciente"&amp;" · ","")&amp;IF(AND(ISNUMBER($F258),$F258&lt;FechaRef,N($L258)&lt;1),"Vencida"&amp;" · ","")&amp;IF(AND(ObsObligatoria="Sí",ISNUMBER($F258),$F258&lt;FechaRef,N($L258)&lt;1,$N258=""),"Vencida sin observación"&amp;" · ",""))-3)))</f>
        <v/>
      </c>
      <c r="P258" s="69">
        <f>IF(NOT((COUNTA($B258:$K258)+COUNTA($N258))&gt;0),"",IF(AND($S258="Sub",N($R258)&gt;0),IF(ISNUMBER(INDEX($E$5:$E$1000,$R258-4)),DATE(YEAR(INDEX($E$5:$E$1000,$R258-4)),MONTH(INDEX($E$5:$E$1000,$R258-4)),1),IF(ISNUMBER(INDEX($F$5:$F$1000,$R258-4)),DATE(YEAR(INDEX($F$5:$F$1000,$R258-4)),MONTH(INDEX($F$5:$F$1000,$R258-4)),1),MesCiclo)),IF(ISNUMBER($E258),DATE(YEAR($E258),MONTH($E258),1),IF(ISNUMBER($F258),DATE(YEAR($F258),MONTH($F258),1),MesCiclo))))</f>
        <v/>
      </c>
      <c r="Q258" s="70">
        <f>IF(OR($P258="",$P258&lt;&gt;MesCiclo),"",COUNTIF($P$5:$P258,MesCiclo))</f>
        <v/>
      </c>
      <c r="R258" s="70">
        <f>IF($S258="","",IF($S258="Macro",ROW(),IFERROR(LOOKUP(2,1/($S$5:$S258="Macro"),ROW($S$5:$S258)),0)))</f>
        <v/>
      </c>
      <c r="S258" s="70">
        <f>IF(NOT((COUNTA($B258:$K258)+COUNTA($N258))&gt;0),"",IF($B258&lt;&gt;"","Macro",IF($C258&lt;&gt;"","Sub","Macro")))</f>
        <v/>
      </c>
      <c r="T258" s="70">
        <f>IF($S258="Macro",COUNTIFS($R$5:$R$1000,ROW(),$S$5:$S$1000,"Sub"),"")</f>
        <v/>
      </c>
      <c r="U258" s="70">
        <f>IF($S258="","",IF(ISNUMBER($H258),$H258,0))</f>
        <v/>
      </c>
      <c r="V258" s="70">
        <f>IF($S258="","",IF(ISNUMBER($I258),$I258,$U258))</f>
        <v/>
      </c>
      <c r="W258" s="70">
        <f>IF($S258="","",IF(ISNUMBER($J258),$J258,$V258))</f>
        <v/>
      </c>
      <c r="X258" s="70">
        <f>IF($S258="","",IF(ISNUMBER($K258),$K258,$W258))</f>
        <v/>
      </c>
      <c r="Y258" s="70">
        <f>IF($S258="","",IF(N($T258)&gt;0,AVERAGEIFS($U$5:$U$1000,$R$5:$R$1000,ROW(),$S$5:$S$1000,"Sub"),$U258))</f>
        <v/>
      </c>
      <c r="Z258" s="70">
        <f>IF($S258="","",IF(N($T258)&gt;0,AVERAGEIFS($V$5:$V$1000,$R$5:$R$1000,ROW(),$S$5:$S$1000,"Sub"),$V258))</f>
        <v/>
      </c>
      <c r="AA258" s="70">
        <f>IF($S258="","",IF(N($T258)&gt;0,AVERAGEIFS($W$5:$W$1000,$R$5:$R$1000,ROW(),$S$5:$S$1000,"Sub"),$W258))</f>
        <v/>
      </c>
      <c r="AB258" s="70">
        <f>IF($S258="","",IF(N($T258)&gt;0,AVERAGEIFS($X$5:$X$1000,$R$5:$R$1000,ROW(),$S$5:$S$1000,"Sub"),$X258))</f>
        <v/>
      </c>
    </row>
    <row r="259">
      <c r="A259" s="61">
        <f>IF(NOT((COUNTA($B259:$K259)+COUNTA($N259))&gt;0),"",IF($S259="Macro",COUNTIFS($S$5:$S259,"Macro",$P$5:$P259,$P259),IF(N($R259)=0,"?",COUNTIFS(INDEX($S$5:$S$1000,1):INDEX($S$5:$S$1000,$R259-4),"Macro",INDEX($P$5:$P$1000,1):INDEX($P$5:$P$1000,$R259-4),INDEX($P$5:$P$1000,$R259-4))&amp;"."&amp;COUNTIFS($R$5:$R259,$R259,$S$5:$S259,"Sub"))))</f>
        <v/>
      </c>
      <c r="B259" s="62" t="n"/>
      <c r="C259" s="63" t="n"/>
      <c r="D259" s="62" t="n"/>
      <c r="E259" s="64" t="n"/>
      <c r="F259" s="64" t="n"/>
      <c r="G259" s="65" t="n"/>
      <c r="H259" s="66" t="n"/>
      <c r="I259" s="66" t="n"/>
      <c r="J259" s="66" t="n"/>
      <c r="K259" s="66" t="n"/>
      <c r="L259" s="67">
        <f>IF(NOT((COUNTA($B259:$K259)+COUNTA($N259))&gt;0),"",IF(N($T259)&gt;0,$AB259,IFERROR(LOOKUP(2,1/(H259:K259&lt;&gt;""),H259:K259),0)))</f>
        <v/>
      </c>
      <c r="M259" s="61">
        <f>IF(L259="","",IF(L259&gt;=1,"Completado",IF(L259&gt;0,"En curso","Pendiente")))</f>
        <v/>
      </c>
      <c r="N259" s="62" t="n"/>
      <c r="O259" s="68">
        <f>IF(NOT((COUNTA($B259:$K259)+COUNTA($N259))&gt;0),"",IF((IF(AND($S259="Macro",$B259=""),"Macroactividad vacía"&amp;" · ","")&amp;IF(AND($B259&lt;&gt;"",$C259&lt;&gt;""),"Escriba la subactividad en otra fila, debajo de su macroactividad"&amp;" · ","")&amp;IF(AND($S259="Sub",N($R259)=0),"Subactividad sin macroactividad arriba"&amp;" · ","")&amp;IF($D259="","Sin responsable"&amp;" · ","")&amp;IF($E259="","Sin fecha de inicio"&amp;" · ","")&amp;IF($F259="","Sin fecha límite"&amp;" · ","")&amp;IF(OR(AND($E259&lt;&gt;"",NOT(ISNUMBER($E259))),AND($F259&lt;&gt;"",NOT(ISNUMBER($F259)))),"Fecha no válida"&amp;" · ","")&amp;IF(AND(ISNUMBER($E259),ISNUMBER($F259),$E259&gt;$F259),"Inicio posterior a fecha límite"&amp;" · ","")&amp;IF(AND($S259="Macro",$G259=""),"Peso vacío"&amp;" · ","")&amp;IF(AND($S259="Macro",$G259&lt;&gt;"",OR(NOT(ISNUMBER($G259)),$G259&lt;=0,$G259&gt;1)),"Peso fuera de rango"&amp;" · ","")&amp;IF(AND($S259="Sub",$G259&lt;&gt;""),"Las subactividades no llevan peso"&amp;" · ","")&amp;IF(AND($S259="Macro",ABS(SUMIFS($G$5:$G$1000,$P$5:$P$1000,$P259,$S$5:$S$1000,"Macro")-1)&gt;0.0001),"Pesos del mes suman "&amp;TEXT(SUMIFS($G$5:$G$1000,$P$5:$P$1000,$P259,$S$5:$S$1000,"Macro"),"0%")&amp;" · ","")&amp;IF(AND(N($T259)&gt;0,COUNT($H259:$K259)&gt;0),"Con subactividades: deje vacías las semanas (se calculan solas)"&amp;" · ","")&amp;IF((COUNTIF($H259:$K259,"&gt;1")+COUNTIF($H259:$K259,"&lt;0")+COUNTA($H259:$K259)-COUNT($H259:$K259))&gt;0,"Avance fuera de rango 0-100%"&amp;" · ","")&amp;IF(OR(AND($I259&lt;&gt;"",$I259&lt;$H259),AND($J259&lt;&gt;"",$J259&lt;MAX($H259:$I259)),AND($K259&lt;&gt;"",$K259&lt;MAX($H259:$J259))),"Avance semanal decreciente"&amp;" · ","")&amp;IF(AND(ISNUMBER($F259),$F259&lt;FechaRef,N($L259)&lt;1),"Vencida"&amp;" · ","")&amp;IF(AND(ObsObligatoria="Sí",ISNUMBER($F259),$F259&lt;FechaRef,N($L259)&lt;1,$N259=""),"Vencida sin observación"&amp;" · ",""))="","✔ OK","⚠ "&amp;LEFT(IF(AND($S259="Macro",$B259=""),"Macroactividad vacía"&amp;" · ","")&amp;IF(AND($B259&lt;&gt;"",$C259&lt;&gt;""),"Escriba la subactividad en otra fila, debajo de su macroactividad"&amp;" · ","")&amp;IF(AND($S259="Sub",N($R259)=0),"Subactividad sin macroactividad arriba"&amp;" · ","")&amp;IF($D259="","Sin responsable"&amp;" · ","")&amp;IF($E259="","Sin fecha de inicio"&amp;" · ","")&amp;IF($F259="","Sin fecha límite"&amp;" · ","")&amp;IF(OR(AND($E259&lt;&gt;"",NOT(ISNUMBER($E259))),AND($F259&lt;&gt;"",NOT(ISNUMBER($F259)))),"Fecha no válida"&amp;" · ","")&amp;IF(AND(ISNUMBER($E259),ISNUMBER($F259),$E259&gt;$F259),"Inicio posterior a fecha límite"&amp;" · ","")&amp;IF(AND($S259="Macro",$G259=""),"Peso vacío"&amp;" · ","")&amp;IF(AND($S259="Macro",$G259&lt;&gt;"",OR(NOT(ISNUMBER($G259)),$G259&lt;=0,$G259&gt;1)),"Peso fuera de rango"&amp;" · ","")&amp;IF(AND($S259="Sub",$G259&lt;&gt;""),"Las subactividades no llevan peso"&amp;" · ","")&amp;IF(AND($S259="Macro",ABS(SUMIFS($G$5:$G$1000,$P$5:$P$1000,$P259,$S$5:$S$1000,"Macro")-1)&gt;0.0001),"Pesos del mes suman "&amp;TEXT(SUMIFS($G$5:$G$1000,$P$5:$P$1000,$P259,$S$5:$S$1000,"Macro"),"0%")&amp;" · ","")&amp;IF(AND(N($T259)&gt;0,COUNT($H259:$K259)&gt;0),"Con subactividades: deje vacías las semanas (se calculan solas)"&amp;" · ","")&amp;IF((COUNTIF($H259:$K259,"&gt;1")+COUNTIF($H259:$K259,"&lt;0")+COUNTA($H259:$K259)-COUNT($H259:$K259))&gt;0,"Avance fuera de rango 0-100%"&amp;" · ","")&amp;IF(OR(AND($I259&lt;&gt;"",$I259&lt;$H259),AND($J259&lt;&gt;"",$J259&lt;MAX($H259:$I259)),AND($K259&lt;&gt;"",$K259&lt;MAX($H259:$J259))),"Avance semanal decreciente"&amp;" · ","")&amp;IF(AND(ISNUMBER($F259),$F259&lt;FechaRef,N($L259)&lt;1),"Vencida"&amp;" · ","")&amp;IF(AND(ObsObligatoria="Sí",ISNUMBER($F259),$F259&lt;FechaRef,N($L259)&lt;1,$N259=""),"Vencida sin observación"&amp;" · ",""),LEN(IF(AND($S259="Macro",$B259=""),"Macroactividad vacía"&amp;" · ","")&amp;IF(AND($B259&lt;&gt;"",$C259&lt;&gt;""),"Escriba la subactividad en otra fila, debajo de su macroactividad"&amp;" · ","")&amp;IF(AND($S259="Sub",N($R259)=0),"Subactividad sin macroactividad arriba"&amp;" · ","")&amp;IF($D259="","Sin responsable"&amp;" · ","")&amp;IF($E259="","Sin fecha de inicio"&amp;" · ","")&amp;IF($F259="","Sin fecha límite"&amp;" · ","")&amp;IF(OR(AND($E259&lt;&gt;"",NOT(ISNUMBER($E259))),AND($F259&lt;&gt;"",NOT(ISNUMBER($F259)))),"Fecha no válida"&amp;" · ","")&amp;IF(AND(ISNUMBER($E259),ISNUMBER($F259),$E259&gt;$F259),"Inicio posterior a fecha límite"&amp;" · ","")&amp;IF(AND($S259="Macro",$G259=""),"Peso vacío"&amp;" · ","")&amp;IF(AND($S259="Macro",$G259&lt;&gt;"",OR(NOT(ISNUMBER($G259)),$G259&lt;=0,$G259&gt;1)),"Peso fuera de rango"&amp;" · ","")&amp;IF(AND($S259="Sub",$G259&lt;&gt;""),"Las subactividades no llevan peso"&amp;" · ","")&amp;IF(AND($S259="Macro",ABS(SUMIFS($G$5:$G$1000,$P$5:$P$1000,$P259,$S$5:$S$1000,"Macro")-1)&gt;0.0001),"Pesos del mes suman "&amp;TEXT(SUMIFS($G$5:$G$1000,$P$5:$P$1000,$P259,$S$5:$S$1000,"Macro"),"0%")&amp;" · ","")&amp;IF(AND(N($T259)&gt;0,COUNT($H259:$K259)&gt;0),"Con subactividades: deje vacías las semanas (se calculan solas)"&amp;" · ","")&amp;IF((COUNTIF($H259:$K259,"&gt;1")+COUNTIF($H259:$K259,"&lt;0")+COUNTA($H259:$K259)-COUNT($H259:$K259))&gt;0,"Avance fuera de rango 0-100%"&amp;" · ","")&amp;IF(OR(AND($I259&lt;&gt;"",$I259&lt;$H259),AND($J259&lt;&gt;"",$J259&lt;MAX($H259:$I259)),AND($K259&lt;&gt;"",$K259&lt;MAX($H259:$J259))),"Avance semanal decreciente"&amp;" · ","")&amp;IF(AND(ISNUMBER($F259),$F259&lt;FechaRef,N($L259)&lt;1),"Vencida"&amp;" · ","")&amp;IF(AND(ObsObligatoria="Sí",ISNUMBER($F259),$F259&lt;FechaRef,N($L259)&lt;1,$N259=""),"Vencida sin observación"&amp;" · ",""))-3)))</f>
        <v/>
      </c>
      <c r="P259" s="69">
        <f>IF(NOT((COUNTA($B259:$K259)+COUNTA($N259))&gt;0),"",IF(AND($S259="Sub",N($R259)&gt;0),IF(ISNUMBER(INDEX($E$5:$E$1000,$R259-4)),DATE(YEAR(INDEX($E$5:$E$1000,$R259-4)),MONTH(INDEX($E$5:$E$1000,$R259-4)),1),IF(ISNUMBER(INDEX($F$5:$F$1000,$R259-4)),DATE(YEAR(INDEX($F$5:$F$1000,$R259-4)),MONTH(INDEX($F$5:$F$1000,$R259-4)),1),MesCiclo)),IF(ISNUMBER($E259),DATE(YEAR($E259),MONTH($E259),1),IF(ISNUMBER($F259),DATE(YEAR($F259),MONTH($F259),1),MesCiclo))))</f>
        <v/>
      </c>
      <c r="Q259" s="70">
        <f>IF(OR($P259="",$P259&lt;&gt;MesCiclo),"",COUNTIF($P$5:$P259,MesCiclo))</f>
        <v/>
      </c>
      <c r="R259" s="70">
        <f>IF($S259="","",IF($S259="Macro",ROW(),IFERROR(LOOKUP(2,1/($S$5:$S259="Macro"),ROW($S$5:$S259)),0)))</f>
        <v/>
      </c>
      <c r="S259" s="70">
        <f>IF(NOT((COUNTA($B259:$K259)+COUNTA($N259))&gt;0),"",IF($B259&lt;&gt;"","Macro",IF($C259&lt;&gt;"","Sub","Macro")))</f>
        <v/>
      </c>
      <c r="T259" s="70">
        <f>IF($S259="Macro",COUNTIFS($R$5:$R$1000,ROW(),$S$5:$S$1000,"Sub"),"")</f>
        <v/>
      </c>
      <c r="U259" s="70">
        <f>IF($S259="","",IF(ISNUMBER($H259),$H259,0))</f>
        <v/>
      </c>
      <c r="V259" s="70">
        <f>IF($S259="","",IF(ISNUMBER($I259),$I259,$U259))</f>
        <v/>
      </c>
      <c r="W259" s="70">
        <f>IF($S259="","",IF(ISNUMBER($J259),$J259,$V259))</f>
        <v/>
      </c>
      <c r="X259" s="70">
        <f>IF($S259="","",IF(ISNUMBER($K259),$K259,$W259))</f>
        <v/>
      </c>
      <c r="Y259" s="70">
        <f>IF($S259="","",IF(N($T259)&gt;0,AVERAGEIFS($U$5:$U$1000,$R$5:$R$1000,ROW(),$S$5:$S$1000,"Sub"),$U259))</f>
        <v/>
      </c>
      <c r="Z259" s="70">
        <f>IF($S259="","",IF(N($T259)&gt;0,AVERAGEIFS($V$5:$V$1000,$R$5:$R$1000,ROW(),$S$5:$S$1000,"Sub"),$V259))</f>
        <v/>
      </c>
      <c r="AA259" s="70">
        <f>IF($S259="","",IF(N($T259)&gt;0,AVERAGEIFS($W$5:$W$1000,$R$5:$R$1000,ROW(),$S$5:$S$1000,"Sub"),$W259))</f>
        <v/>
      </c>
      <c r="AB259" s="70">
        <f>IF($S259="","",IF(N($T259)&gt;0,AVERAGEIFS($X$5:$X$1000,$R$5:$R$1000,ROW(),$S$5:$S$1000,"Sub"),$X259))</f>
        <v/>
      </c>
    </row>
    <row r="260">
      <c r="A260" s="61">
        <f>IF(NOT((COUNTA($B260:$K260)+COUNTA($N260))&gt;0),"",IF($S260="Macro",COUNTIFS($S$5:$S260,"Macro",$P$5:$P260,$P260),IF(N($R260)=0,"?",COUNTIFS(INDEX($S$5:$S$1000,1):INDEX($S$5:$S$1000,$R260-4),"Macro",INDEX($P$5:$P$1000,1):INDEX($P$5:$P$1000,$R260-4),INDEX($P$5:$P$1000,$R260-4))&amp;"."&amp;COUNTIFS($R$5:$R260,$R260,$S$5:$S260,"Sub"))))</f>
        <v/>
      </c>
      <c r="B260" s="62" t="n"/>
      <c r="C260" s="63" t="n"/>
      <c r="D260" s="62" t="n"/>
      <c r="E260" s="64" t="n"/>
      <c r="F260" s="64" t="n"/>
      <c r="G260" s="65" t="n"/>
      <c r="H260" s="66" t="n"/>
      <c r="I260" s="66" t="n"/>
      <c r="J260" s="66" t="n"/>
      <c r="K260" s="66" t="n"/>
      <c r="L260" s="67">
        <f>IF(NOT((COUNTA($B260:$K260)+COUNTA($N260))&gt;0),"",IF(N($T260)&gt;0,$AB260,IFERROR(LOOKUP(2,1/(H260:K260&lt;&gt;""),H260:K260),0)))</f>
        <v/>
      </c>
      <c r="M260" s="61">
        <f>IF(L260="","",IF(L260&gt;=1,"Completado",IF(L260&gt;0,"En curso","Pendiente")))</f>
        <v/>
      </c>
      <c r="N260" s="62" t="n"/>
      <c r="O260" s="68">
        <f>IF(NOT((COUNTA($B260:$K260)+COUNTA($N260))&gt;0),"",IF((IF(AND($S260="Macro",$B260=""),"Macroactividad vacía"&amp;" · ","")&amp;IF(AND($B260&lt;&gt;"",$C260&lt;&gt;""),"Escriba la subactividad en otra fila, debajo de su macroactividad"&amp;" · ","")&amp;IF(AND($S260="Sub",N($R260)=0),"Subactividad sin macroactividad arriba"&amp;" · ","")&amp;IF($D260="","Sin responsable"&amp;" · ","")&amp;IF($E260="","Sin fecha de inicio"&amp;" · ","")&amp;IF($F260="","Sin fecha límite"&amp;" · ","")&amp;IF(OR(AND($E260&lt;&gt;"",NOT(ISNUMBER($E260))),AND($F260&lt;&gt;"",NOT(ISNUMBER($F260)))),"Fecha no válida"&amp;" · ","")&amp;IF(AND(ISNUMBER($E260),ISNUMBER($F260),$E260&gt;$F260),"Inicio posterior a fecha límite"&amp;" · ","")&amp;IF(AND($S260="Macro",$G260=""),"Peso vacío"&amp;" · ","")&amp;IF(AND($S260="Macro",$G260&lt;&gt;"",OR(NOT(ISNUMBER($G260)),$G260&lt;=0,$G260&gt;1)),"Peso fuera de rango"&amp;" · ","")&amp;IF(AND($S260="Sub",$G260&lt;&gt;""),"Las subactividades no llevan peso"&amp;" · ","")&amp;IF(AND($S260="Macro",ABS(SUMIFS($G$5:$G$1000,$P$5:$P$1000,$P260,$S$5:$S$1000,"Macro")-1)&gt;0.0001),"Pesos del mes suman "&amp;TEXT(SUMIFS($G$5:$G$1000,$P$5:$P$1000,$P260,$S$5:$S$1000,"Macro"),"0%")&amp;" · ","")&amp;IF(AND(N($T260)&gt;0,COUNT($H260:$K260)&gt;0),"Con subactividades: deje vacías las semanas (se calculan solas)"&amp;" · ","")&amp;IF((COUNTIF($H260:$K260,"&gt;1")+COUNTIF($H260:$K260,"&lt;0")+COUNTA($H260:$K260)-COUNT($H260:$K260))&gt;0,"Avance fuera de rango 0-100%"&amp;" · ","")&amp;IF(OR(AND($I260&lt;&gt;"",$I260&lt;$H260),AND($J260&lt;&gt;"",$J260&lt;MAX($H260:$I260)),AND($K260&lt;&gt;"",$K260&lt;MAX($H260:$J260))),"Avance semanal decreciente"&amp;" · ","")&amp;IF(AND(ISNUMBER($F260),$F260&lt;FechaRef,N($L260)&lt;1),"Vencida"&amp;" · ","")&amp;IF(AND(ObsObligatoria="Sí",ISNUMBER($F260),$F260&lt;FechaRef,N($L260)&lt;1,$N260=""),"Vencida sin observación"&amp;" · ",""))="","✔ OK","⚠ "&amp;LEFT(IF(AND($S260="Macro",$B260=""),"Macroactividad vacía"&amp;" · ","")&amp;IF(AND($B260&lt;&gt;"",$C260&lt;&gt;""),"Escriba la subactividad en otra fila, debajo de su macroactividad"&amp;" · ","")&amp;IF(AND($S260="Sub",N($R260)=0),"Subactividad sin macroactividad arriba"&amp;" · ","")&amp;IF($D260="","Sin responsable"&amp;" · ","")&amp;IF($E260="","Sin fecha de inicio"&amp;" · ","")&amp;IF($F260="","Sin fecha límite"&amp;" · ","")&amp;IF(OR(AND($E260&lt;&gt;"",NOT(ISNUMBER($E260))),AND($F260&lt;&gt;"",NOT(ISNUMBER($F260)))),"Fecha no válida"&amp;" · ","")&amp;IF(AND(ISNUMBER($E260),ISNUMBER($F260),$E260&gt;$F260),"Inicio posterior a fecha límite"&amp;" · ","")&amp;IF(AND($S260="Macro",$G260=""),"Peso vacío"&amp;" · ","")&amp;IF(AND($S260="Macro",$G260&lt;&gt;"",OR(NOT(ISNUMBER($G260)),$G260&lt;=0,$G260&gt;1)),"Peso fuera de rango"&amp;" · ","")&amp;IF(AND($S260="Sub",$G260&lt;&gt;""),"Las subactividades no llevan peso"&amp;" · ","")&amp;IF(AND($S260="Macro",ABS(SUMIFS($G$5:$G$1000,$P$5:$P$1000,$P260,$S$5:$S$1000,"Macro")-1)&gt;0.0001),"Pesos del mes suman "&amp;TEXT(SUMIFS($G$5:$G$1000,$P$5:$P$1000,$P260,$S$5:$S$1000,"Macro"),"0%")&amp;" · ","")&amp;IF(AND(N($T260)&gt;0,COUNT($H260:$K260)&gt;0),"Con subactividades: deje vacías las semanas (se calculan solas)"&amp;" · ","")&amp;IF((COUNTIF($H260:$K260,"&gt;1")+COUNTIF($H260:$K260,"&lt;0")+COUNTA($H260:$K260)-COUNT($H260:$K260))&gt;0,"Avance fuera de rango 0-100%"&amp;" · ","")&amp;IF(OR(AND($I260&lt;&gt;"",$I260&lt;$H260),AND($J260&lt;&gt;"",$J260&lt;MAX($H260:$I260)),AND($K260&lt;&gt;"",$K260&lt;MAX($H260:$J260))),"Avance semanal decreciente"&amp;" · ","")&amp;IF(AND(ISNUMBER($F260),$F260&lt;FechaRef,N($L260)&lt;1),"Vencida"&amp;" · ","")&amp;IF(AND(ObsObligatoria="Sí",ISNUMBER($F260),$F260&lt;FechaRef,N($L260)&lt;1,$N260=""),"Vencida sin observación"&amp;" · ",""),LEN(IF(AND($S260="Macro",$B260=""),"Macroactividad vacía"&amp;" · ","")&amp;IF(AND($B260&lt;&gt;"",$C260&lt;&gt;""),"Escriba la subactividad en otra fila, debajo de su macroactividad"&amp;" · ","")&amp;IF(AND($S260="Sub",N($R260)=0),"Subactividad sin macroactividad arriba"&amp;" · ","")&amp;IF($D260="","Sin responsable"&amp;" · ","")&amp;IF($E260="","Sin fecha de inicio"&amp;" · ","")&amp;IF($F260="","Sin fecha límite"&amp;" · ","")&amp;IF(OR(AND($E260&lt;&gt;"",NOT(ISNUMBER($E260))),AND($F260&lt;&gt;"",NOT(ISNUMBER($F260)))),"Fecha no válida"&amp;" · ","")&amp;IF(AND(ISNUMBER($E260),ISNUMBER($F260),$E260&gt;$F260),"Inicio posterior a fecha límite"&amp;" · ","")&amp;IF(AND($S260="Macro",$G260=""),"Peso vacío"&amp;" · ","")&amp;IF(AND($S260="Macro",$G260&lt;&gt;"",OR(NOT(ISNUMBER($G260)),$G260&lt;=0,$G260&gt;1)),"Peso fuera de rango"&amp;" · ","")&amp;IF(AND($S260="Sub",$G260&lt;&gt;""),"Las subactividades no llevan peso"&amp;" · ","")&amp;IF(AND($S260="Macro",ABS(SUMIFS($G$5:$G$1000,$P$5:$P$1000,$P260,$S$5:$S$1000,"Macro")-1)&gt;0.0001),"Pesos del mes suman "&amp;TEXT(SUMIFS($G$5:$G$1000,$P$5:$P$1000,$P260,$S$5:$S$1000,"Macro"),"0%")&amp;" · ","")&amp;IF(AND(N($T260)&gt;0,COUNT($H260:$K260)&gt;0),"Con subactividades: deje vacías las semanas (se calculan solas)"&amp;" · ","")&amp;IF((COUNTIF($H260:$K260,"&gt;1")+COUNTIF($H260:$K260,"&lt;0")+COUNTA($H260:$K260)-COUNT($H260:$K260))&gt;0,"Avance fuera de rango 0-100%"&amp;" · ","")&amp;IF(OR(AND($I260&lt;&gt;"",$I260&lt;$H260),AND($J260&lt;&gt;"",$J260&lt;MAX($H260:$I260)),AND($K260&lt;&gt;"",$K260&lt;MAX($H260:$J260))),"Avance semanal decreciente"&amp;" · ","")&amp;IF(AND(ISNUMBER($F260),$F260&lt;FechaRef,N($L260)&lt;1),"Vencida"&amp;" · ","")&amp;IF(AND(ObsObligatoria="Sí",ISNUMBER($F260),$F260&lt;FechaRef,N($L260)&lt;1,$N260=""),"Vencida sin observación"&amp;" · ",""))-3)))</f>
        <v/>
      </c>
      <c r="P260" s="69">
        <f>IF(NOT((COUNTA($B260:$K260)+COUNTA($N260))&gt;0),"",IF(AND($S260="Sub",N($R260)&gt;0),IF(ISNUMBER(INDEX($E$5:$E$1000,$R260-4)),DATE(YEAR(INDEX($E$5:$E$1000,$R260-4)),MONTH(INDEX($E$5:$E$1000,$R260-4)),1),IF(ISNUMBER(INDEX($F$5:$F$1000,$R260-4)),DATE(YEAR(INDEX($F$5:$F$1000,$R260-4)),MONTH(INDEX($F$5:$F$1000,$R260-4)),1),MesCiclo)),IF(ISNUMBER($E260),DATE(YEAR($E260),MONTH($E260),1),IF(ISNUMBER($F260),DATE(YEAR($F260),MONTH($F260),1),MesCiclo))))</f>
        <v/>
      </c>
      <c r="Q260" s="70">
        <f>IF(OR($P260="",$P260&lt;&gt;MesCiclo),"",COUNTIF($P$5:$P260,MesCiclo))</f>
        <v/>
      </c>
      <c r="R260" s="70">
        <f>IF($S260="","",IF($S260="Macro",ROW(),IFERROR(LOOKUP(2,1/($S$5:$S260="Macro"),ROW($S$5:$S260)),0)))</f>
        <v/>
      </c>
      <c r="S260" s="70">
        <f>IF(NOT((COUNTA($B260:$K260)+COUNTA($N260))&gt;0),"",IF($B260&lt;&gt;"","Macro",IF($C260&lt;&gt;"","Sub","Macro")))</f>
        <v/>
      </c>
      <c r="T260" s="70">
        <f>IF($S260="Macro",COUNTIFS($R$5:$R$1000,ROW(),$S$5:$S$1000,"Sub"),"")</f>
        <v/>
      </c>
      <c r="U260" s="70">
        <f>IF($S260="","",IF(ISNUMBER($H260),$H260,0))</f>
        <v/>
      </c>
      <c r="V260" s="70">
        <f>IF($S260="","",IF(ISNUMBER($I260),$I260,$U260))</f>
        <v/>
      </c>
      <c r="W260" s="70">
        <f>IF($S260="","",IF(ISNUMBER($J260),$J260,$V260))</f>
        <v/>
      </c>
      <c r="X260" s="70">
        <f>IF($S260="","",IF(ISNUMBER($K260),$K260,$W260))</f>
        <v/>
      </c>
      <c r="Y260" s="70">
        <f>IF($S260="","",IF(N($T260)&gt;0,AVERAGEIFS($U$5:$U$1000,$R$5:$R$1000,ROW(),$S$5:$S$1000,"Sub"),$U260))</f>
        <v/>
      </c>
      <c r="Z260" s="70">
        <f>IF($S260="","",IF(N($T260)&gt;0,AVERAGEIFS($V$5:$V$1000,$R$5:$R$1000,ROW(),$S$5:$S$1000,"Sub"),$V260))</f>
        <v/>
      </c>
      <c r="AA260" s="70">
        <f>IF($S260="","",IF(N($T260)&gt;0,AVERAGEIFS($W$5:$W$1000,$R$5:$R$1000,ROW(),$S$5:$S$1000,"Sub"),$W260))</f>
        <v/>
      </c>
      <c r="AB260" s="70">
        <f>IF($S260="","",IF(N($T260)&gt;0,AVERAGEIFS($X$5:$X$1000,$R$5:$R$1000,ROW(),$S$5:$S$1000,"Sub"),$X260))</f>
        <v/>
      </c>
    </row>
    <row r="261">
      <c r="A261" s="61">
        <f>IF(NOT((COUNTA($B261:$K261)+COUNTA($N261))&gt;0),"",IF($S261="Macro",COUNTIFS($S$5:$S261,"Macro",$P$5:$P261,$P261),IF(N($R261)=0,"?",COUNTIFS(INDEX($S$5:$S$1000,1):INDEX($S$5:$S$1000,$R261-4),"Macro",INDEX($P$5:$P$1000,1):INDEX($P$5:$P$1000,$R261-4),INDEX($P$5:$P$1000,$R261-4))&amp;"."&amp;COUNTIFS($R$5:$R261,$R261,$S$5:$S261,"Sub"))))</f>
        <v/>
      </c>
      <c r="B261" s="62" t="n"/>
      <c r="C261" s="63" t="n"/>
      <c r="D261" s="62" t="n"/>
      <c r="E261" s="64" t="n"/>
      <c r="F261" s="64" t="n"/>
      <c r="G261" s="65" t="n"/>
      <c r="H261" s="66" t="n"/>
      <c r="I261" s="66" t="n"/>
      <c r="J261" s="66" t="n"/>
      <c r="K261" s="66" t="n"/>
      <c r="L261" s="67">
        <f>IF(NOT((COUNTA($B261:$K261)+COUNTA($N261))&gt;0),"",IF(N($T261)&gt;0,$AB261,IFERROR(LOOKUP(2,1/(H261:K261&lt;&gt;""),H261:K261),0)))</f>
        <v/>
      </c>
      <c r="M261" s="61">
        <f>IF(L261="","",IF(L261&gt;=1,"Completado",IF(L261&gt;0,"En curso","Pendiente")))</f>
        <v/>
      </c>
      <c r="N261" s="62" t="n"/>
      <c r="O261" s="68">
        <f>IF(NOT((COUNTA($B261:$K261)+COUNTA($N261))&gt;0),"",IF((IF(AND($S261="Macro",$B261=""),"Macroactividad vacía"&amp;" · ","")&amp;IF(AND($B261&lt;&gt;"",$C261&lt;&gt;""),"Escriba la subactividad en otra fila, debajo de su macroactividad"&amp;" · ","")&amp;IF(AND($S261="Sub",N($R261)=0),"Subactividad sin macroactividad arriba"&amp;" · ","")&amp;IF($D261="","Sin responsable"&amp;" · ","")&amp;IF($E261="","Sin fecha de inicio"&amp;" · ","")&amp;IF($F261="","Sin fecha límite"&amp;" · ","")&amp;IF(OR(AND($E261&lt;&gt;"",NOT(ISNUMBER($E261))),AND($F261&lt;&gt;"",NOT(ISNUMBER($F261)))),"Fecha no válida"&amp;" · ","")&amp;IF(AND(ISNUMBER($E261),ISNUMBER($F261),$E261&gt;$F261),"Inicio posterior a fecha límite"&amp;" · ","")&amp;IF(AND($S261="Macro",$G261=""),"Peso vacío"&amp;" · ","")&amp;IF(AND($S261="Macro",$G261&lt;&gt;"",OR(NOT(ISNUMBER($G261)),$G261&lt;=0,$G261&gt;1)),"Peso fuera de rango"&amp;" · ","")&amp;IF(AND($S261="Sub",$G261&lt;&gt;""),"Las subactividades no llevan peso"&amp;" · ","")&amp;IF(AND($S261="Macro",ABS(SUMIFS($G$5:$G$1000,$P$5:$P$1000,$P261,$S$5:$S$1000,"Macro")-1)&gt;0.0001),"Pesos del mes suman "&amp;TEXT(SUMIFS($G$5:$G$1000,$P$5:$P$1000,$P261,$S$5:$S$1000,"Macro"),"0%")&amp;" · ","")&amp;IF(AND(N($T261)&gt;0,COUNT($H261:$K261)&gt;0),"Con subactividades: deje vacías las semanas (se calculan solas)"&amp;" · ","")&amp;IF((COUNTIF($H261:$K261,"&gt;1")+COUNTIF($H261:$K261,"&lt;0")+COUNTA($H261:$K261)-COUNT($H261:$K261))&gt;0,"Avance fuera de rango 0-100%"&amp;" · ","")&amp;IF(OR(AND($I261&lt;&gt;"",$I261&lt;$H261),AND($J261&lt;&gt;"",$J261&lt;MAX($H261:$I261)),AND($K261&lt;&gt;"",$K261&lt;MAX($H261:$J261))),"Avance semanal decreciente"&amp;" · ","")&amp;IF(AND(ISNUMBER($F261),$F261&lt;FechaRef,N($L261)&lt;1),"Vencida"&amp;" · ","")&amp;IF(AND(ObsObligatoria="Sí",ISNUMBER($F261),$F261&lt;FechaRef,N($L261)&lt;1,$N261=""),"Vencida sin observación"&amp;" · ",""))="","✔ OK","⚠ "&amp;LEFT(IF(AND($S261="Macro",$B261=""),"Macroactividad vacía"&amp;" · ","")&amp;IF(AND($B261&lt;&gt;"",$C261&lt;&gt;""),"Escriba la subactividad en otra fila, debajo de su macroactividad"&amp;" · ","")&amp;IF(AND($S261="Sub",N($R261)=0),"Subactividad sin macroactividad arriba"&amp;" · ","")&amp;IF($D261="","Sin responsable"&amp;" · ","")&amp;IF($E261="","Sin fecha de inicio"&amp;" · ","")&amp;IF($F261="","Sin fecha límite"&amp;" · ","")&amp;IF(OR(AND($E261&lt;&gt;"",NOT(ISNUMBER($E261))),AND($F261&lt;&gt;"",NOT(ISNUMBER($F261)))),"Fecha no válida"&amp;" · ","")&amp;IF(AND(ISNUMBER($E261),ISNUMBER($F261),$E261&gt;$F261),"Inicio posterior a fecha límite"&amp;" · ","")&amp;IF(AND($S261="Macro",$G261=""),"Peso vacío"&amp;" · ","")&amp;IF(AND($S261="Macro",$G261&lt;&gt;"",OR(NOT(ISNUMBER($G261)),$G261&lt;=0,$G261&gt;1)),"Peso fuera de rango"&amp;" · ","")&amp;IF(AND($S261="Sub",$G261&lt;&gt;""),"Las subactividades no llevan peso"&amp;" · ","")&amp;IF(AND($S261="Macro",ABS(SUMIFS($G$5:$G$1000,$P$5:$P$1000,$P261,$S$5:$S$1000,"Macro")-1)&gt;0.0001),"Pesos del mes suman "&amp;TEXT(SUMIFS($G$5:$G$1000,$P$5:$P$1000,$P261,$S$5:$S$1000,"Macro"),"0%")&amp;" · ","")&amp;IF(AND(N($T261)&gt;0,COUNT($H261:$K261)&gt;0),"Con subactividades: deje vacías las semanas (se calculan solas)"&amp;" · ","")&amp;IF((COUNTIF($H261:$K261,"&gt;1")+COUNTIF($H261:$K261,"&lt;0")+COUNTA($H261:$K261)-COUNT($H261:$K261))&gt;0,"Avance fuera de rango 0-100%"&amp;" · ","")&amp;IF(OR(AND($I261&lt;&gt;"",$I261&lt;$H261),AND($J261&lt;&gt;"",$J261&lt;MAX($H261:$I261)),AND($K261&lt;&gt;"",$K261&lt;MAX($H261:$J261))),"Avance semanal decreciente"&amp;" · ","")&amp;IF(AND(ISNUMBER($F261),$F261&lt;FechaRef,N($L261)&lt;1),"Vencida"&amp;" · ","")&amp;IF(AND(ObsObligatoria="Sí",ISNUMBER($F261),$F261&lt;FechaRef,N($L261)&lt;1,$N261=""),"Vencida sin observación"&amp;" · ",""),LEN(IF(AND($S261="Macro",$B261=""),"Macroactividad vacía"&amp;" · ","")&amp;IF(AND($B261&lt;&gt;"",$C261&lt;&gt;""),"Escriba la subactividad en otra fila, debajo de su macroactividad"&amp;" · ","")&amp;IF(AND($S261="Sub",N($R261)=0),"Subactividad sin macroactividad arriba"&amp;" · ","")&amp;IF($D261="","Sin responsable"&amp;" · ","")&amp;IF($E261="","Sin fecha de inicio"&amp;" · ","")&amp;IF($F261="","Sin fecha límite"&amp;" · ","")&amp;IF(OR(AND($E261&lt;&gt;"",NOT(ISNUMBER($E261))),AND($F261&lt;&gt;"",NOT(ISNUMBER($F261)))),"Fecha no válida"&amp;" · ","")&amp;IF(AND(ISNUMBER($E261),ISNUMBER($F261),$E261&gt;$F261),"Inicio posterior a fecha límite"&amp;" · ","")&amp;IF(AND($S261="Macro",$G261=""),"Peso vacío"&amp;" · ","")&amp;IF(AND($S261="Macro",$G261&lt;&gt;"",OR(NOT(ISNUMBER($G261)),$G261&lt;=0,$G261&gt;1)),"Peso fuera de rango"&amp;" · ","")&amp;IF(AND($S261="Sub",$G261&lt;&gt;""),"Las subactividades no llevan peso"&amp;" · ","")&amp;IF(AND($S261="Macro",ABS(SUMIFS($G$5:$G$1000,$P$5:$P$1000,$P261,$S$5:$S$1000,"Macro")-1)&gt;0.0001),"Pesos del mes suman "&amp;TEXT(SUMIFS($G$5:$G$1000,$P$5:$P$1000,$P261,$S$5:$S$1000,"Macro"),"0%")&amp;" · ","")&amp;IF(AND(N($T261)&gt;0,COUNT($H261:$K261)&gt;0),"Con subactividades: deje vacías las semanas (se calculan solas)"&amp;" · ","")&amp;IF((COUNTIF($H261:$K261,"&gt;1")+COUNTIF($H261:$K261,"&lt;0")+COUNTA($H261:$K261)-COUNT($H261:$K261))&gt;0,"Avance fuera de rango 0-100%"&amp;" · ","")&amp;IF(OR(AND($I261&lt;&gt;"",$I261&lt;$H261),AND($J261&lt;&gt;"",$J261&lt;MAX($H261:$I261)),AND($K261&lt;&gt;"",$K261&lt;MAX($H261:$J261))),"Avance semanal decreciente"&amp;" · ","")&amp;IF(AND(ISNUMBER($F261),$F261&lt;FechaRef,N($L261)&lt;1),"Vencida"&amp;" · ","")&amp;IF(AND(ObsObligatoria="Sí",ISNUMBER($F261),$F261&lt;FechaRef,N($L261)&lt;1,$N261=""),"Vencida sin observación"&amp;" · ",""))-3)))</f>
        <v/>
      </c>
      <c r="P261" s="69">
        <f>IF(NOT((COUNTA($B261:$K261)+COUNTA($N261))&gt;0),"",IF(AND($S261="Sub",N($R261)&gt;0),IF(ISNUMBER(INDEX($E$5:$E$1000,$R261-4)),DATE(YEAR(INDEX($E$5:$E$1000,$R261-4)),MONTH(INDEX($E$5:$E$1000,$R261-4)),1),IF(ISNUMBER(INDEX($F$5:$F$1000,$R261-4)),DATE(YEAR(INDEX($F$5:$F$1000,$R261-4)),MONTH(INDEX($F$5:$F$1000,$R261-4)),1),MesCiclo)),IF(ISNUMBER($E261),DATE(YEAR($E261),MONTH($E261),1),IF(ISNUMBER($F261),DATE(YEAR($F261),MONTH($F261),1),MesCiclo))))</f>
        <v/>
      </c>
      <c r="Q261" s="70">
        <f>IF(OR($P261="",$P261&lt;&gt;MesCiclo),"",COUNTIF($P$5:$P261,MesCiclo))</f>
        <v/>
      </c>
      <c r="R261" s="70">
        <f>IF($S261="","",IF($S261="Macro",ROW(),IFERROR(LOOKUP(2,1/($S$5:$S261="Macro"),ROW($S$5:$S261)),0)))</f>
        <v/>
      </c>
      <c r="S261" s="70">
        <f>IF(NOT((COUNTA($B261:$K261)+COUNTA($N261))&gt;0),"",IF($B261&lt;&gt;"","Macro",IF($C261&lt;&gt;"","Sub","Macro")))</f>
        <v/>
      </c>
      <c r="T261" s="70">
        <f>IF($S261="Macro",COUNTIFS($R$5:$R$1000,ROW(),$S$5:$S$1000,"Sub"),"")</f>
        <v/>
      </c>
      <c r="U261" s="70">
        <f>IF($S261="","",IF(ISNUMBER($H261),$H261,0))</f>
        <v/>
      </c>
      <c r="V261" s="70">
        <f>IF($S261="","",IF(ISNUMBER($I261),$I261,$U261))</f>
        <v/>
      </c>
      <c r="W261" s="70">
        <f>IF($S261="","",IF(ISNUMBER($J261),$J261,$V261))</f>
        <v/>
      </c>
      <c r="X261" s="70">
        <f>IF($S261="","",IF(ISNUMBER($K261),$K261,$W261))</f>
        <v/>
      </c>
      <c r="Y261" s="70">
        <f>IF($S261="","",IF(N($T261)&gt;0,AVERAGEIFS($U$5:$U$1000,$R$5:$R$1000,ROW(),$S$5:$S$1000,"Sub"),$U261))</f>
        <v/>
      </c>
      <c r="Z261" s="70">
        <f>IF($S261="","",IF(N($T261)&gt;0,AVERAGEIFS($V$5:$V$1000,$R$5:$R$1000,ROW(),$S$5:$S$1000,"Sub"),$V261))</f>
        <v/>
      </c>
      <c r="AA261" s="70">
        <f>IF($S261="","",IF(N($T261)&gt;0,AVERAGEIFS($W$5:$W$1000,$R$5:$R$1000,ROW(),$S$5:$S$1000,"Sub"),$W261))</f>
        <v/>
      </c>
      <c r="AB261" s="70">
        <f>IF($S261="","",IF(N($T261)&gt;0,AVERAGEIFS($X$5:$X$1000,$R$5:$R$1000,ROW(),$S$5:$S$1000,"Sub"),$X261))</f>
        <v/>
      </c>
    </row>
    <row r="262">
      <c r="A262" s="61">
        <f>IF(NOT((COUNTA($B262:$K262)+COUNTA($N262))&gt;0),"",IF($S262="Macro",COUNTIFS($S$5:$S262,"Macro",$P$5:$P262,$P262),IF(N($R262)=0,"?",COUNTIFS(INDEX($S$5:$S$1000,1):INDEX($S$5:$S$1000,$R262-4),"Macro",INDEX($P$5:$P$1000,1):INDEX($P$5:$P$1000,$R262-4),INDEX($P$5:$P$1000,$R262-4))&amp;"."&amp;COUNTIFS($R$5:$R262,$R262,$S$5:$S262,"Sub"))))</f>
        <v/>
      </c>
      <c r="B262" s="62" t="n"/>
      <c r="C262" s="63" t="n"/>
      <c r="D262" s="62" t="n"/>
      <c r="E262" s="64" t="n"/>
      <c r="F262" s="64" t="n"/>
      <c r="G262" s="65" t="n"/>
      <c r="H262" s="66" t="n"/>
      <c r="I262" s="66" t="n"/>
      <c r="J262" s="66" t="n"/>
      <c r="K262" s="66" t="n"/>
      <c r="L262" s="67">
        <f>IF(NOT((COUNTA($B262:$K262)+COUNTA($N262))&gt;0),"",IF(N($T262)&gt;0,$AB262,IFERROR(LOOKUP(2,1/(H262:K262&lt;&gt;""),H262:K262),0)))</f>
        <v/>
      </c>
      <c r="M262" s="61">
        <f>IF(L262="","",IF(L262&gt;=1,"Completado",IF(L262&gt;0,"En curso","Pendiente")))</f>
        <v/>
      </c>
      <c r="N262" s="62" t="n"/>
      <c r="O262" s="68">
        <f>IF(NOT((COUNTA($B262:$K262)+COUNTA($N262))&gt;0),"",IF((IF(AND($S262="Macro",$B262=""),"Macroactividad vacía"&amp;" · ","")&amp;IF(AND($B262&lt;&gt;"",$C262&lt;&gt;""),"Escriba la subactividad en otra fila, debajo de su macroactividad"&amp;" · ","")&amp;IF(AND($S262="Sub",N($R262)=0),"Subactividad sin macroactividad arriba"&amp;" · ","")&amp;IF($D262="","Sin responsable"&amp;" · ","")&amp;IF($E262="","Sin fecha de inicio"&amp;" · ","")&amp;IF($F262="","Sin fecha límite"&amp;" · ","")&amp;IF(OR(AND($E262&lt;&gt;"",NOT(ISNUMBER($E262))),AND($F262&lt;&gt;"",NOT(ISNUMBER($F262)))),"Fecha no válida"&amp;" · ","")&amp;IF(AND(ISNUMBER($E262),ISNUMBER($F262),$E262&gt;$F262),"Inicio posterior a fecha límite"&amp;" · ","")&amp;IF(AND($S262="Macro",$G262=""),"Peso vacío"&amp;" · ","")&amp;IF(AND($S262="Macro",$G262&lt;&gt;"",OR(NOT(ISNUMBER($G262)),$G262&lt;=0,$G262&gt;1)),"Peso fuera de rango"&amp;" · ","")&amp;IF(AND($S262="Sub",$G262&lt;&gt;""),"Las subactividades no llevan peso"&amp;" · ","")&amp;IF(AND($S262="Macro",ABS(SUMIFS($G$5:$G$1000,$P$5:$P$1000,$P262,$S$5:$S$1000,"Macro")-1)&gt;0.0001),"Pesos del mes suman "&amp;TEXT(SUMIFS($G$5:$G$1000,$P$5:$P$1000,$P262,$S$5:$S$1000,"Macro"),"0%")&amp;" · ","")&amp;IF(AND(N($T262)&gt;0,COUNT($H262:$K262)&gt;0),"Con subactividades: deje vacías las semanas (se calculan solas)"&amp;" · ","")&amp;IF((COUNTIF($H262:$K262,"&gt;1")+COUNTIF($H262:$K262,"&lt;0")+COUNTA($H262:$K262)-COUNT($H262:$K262))&gt;0,"Avance fuera de rango 0-100%"&amp;" · ","")&amp;IF(OR(AND($I262&lt;&gt;"",$I262&lt;$H262),AND($J262&lt;&gt;"",$J262&lt;MAX($H262:$I262)),AND($K262&lt;&gt;"",$K262&lt;MAX($H262:$J262))),"Avance semanal decreciente"&amp;" · ","")&amp;IF(AND(ISNUMBER($F262),$F262&lt;FechaRef,N($L262)&lt;1),"Vencida"&amp;" · ","")&amp;IF(AND(ObsObligatoria="Sí",ISNUMBER($F262),$F262&lt;FechaRef,N($L262)&lt;1,$N262=""),"Vencida sin observación"&amp;" · ",""))="","✔ OK","⚠ "&amp;LEFT(IF(AND($S262="Macro",$B262=""),"Macroactividad vacía"&amp;" · ","")&amp;IF(AND($B262&lt;&gt;"",$C262&lt;&gt;""),"Escriba la subactividad en otra fila, debajo de su macroactividad"&amp;" · ","")&amp;IF(AND($S262="Sub",N($R262)=0),"Subactividad sin macroactividad arriba"&amp;" · ","")&amp;IF($D262="","Sin responsable"&amp;" · ","")&amp;IF($E262="","Sin fecha de inicio"&amp;" · ","")&amp;IF($F262="","Sin fecha límite"&amp;" · ","")&amp;IF(OR(AND($E262&lt;&gt;"",NOT(ISNUMBER($E262))),AND($F262&lt;&gt;"",NOT(ISNUMBER($F262)))),"Fecha no válida"&amp;" · ","")&amp;IF(AND(ISNUMBER($E262),ISNUMBER($F262),$E262&gt;$F262),"Inicio posterior a fecha límite"&amp;" · ","")&amp;IF(AND($S262="Macro",$G262=""),"Peso vacío"&amp;" · ","")&amp;IF(AND($S262="Macro",$G262&lt;&gt;"",OR(NOT(ISNUMBER($G262)),$G262&lt;=0,$G262&gt;1)),"Peso fuera de rango"&amp;" · ","")&amp;IF(AND($S262="Sub",$G262&lt;&gt;""),"Las subactividades no llevan peso"&amp;" · ","")&amp;IF(AND($S262="Macro",ABS(SUMIFS($G$5:$G$1000,$P$5:$P$1000,$P262,$S$5:$S$1000,"Macro")-1)&gt;0.0001),"Pesos del mes suman "&amp;TEXT(SUMIFS($G$5:$G$1000,$P$5:$P$1000,$P262,$S$5:$S$1000,"Macro"),"0%")&amp;" · ","")&amp;IF(AND(N($T262)&gt;0,COUNT($H262:$K262)&gt;0),"Con subactividades: deje vacías las semanas (se calculan solas)"&amp;" · ","")&amp;IF((COUNTIF($H262:$K262,"&gt;1")+COUNTIF($H262:$K262,"&lt;0")+COUNTA($H262:$K262)-COUNT($H262:$K262))&gt;0,"Avance fuera de rango 0-100%"&amp;" · ","")&amp;IF(OR(AND($I262&lt;&gt;"",$I262&lt;$H262),AND($J262&lt;&gt;"",$J262&lt;MAX($H262:$I262)),AND($K262&lt;&gt;"",$K262&lt;MAX($H262:$J262))),"Avance semanal decreciente"&amp;" · ","")&amp;IF(AND(ISNUMBER($F262),$F262&lt;FechaRef,N($L262)&lt;1),"Vencida"&amp;" · ","")&amp;IF(AND(ObsObligatoria="Sí",ISNUMBER($F262),$F262&lt;FechaRef,N($L262)&lt;1,$N262=""),"Vencida sin observación"&amp;" · ",""),LEN(IF(AND($S262="Macro",$B262=""),"Macroactividad vacía"&amp;" · ","")&amp;IF(AND($B262&lt;&gt;"",$C262&lt;&gt;""),"Escriba la subactividad en otra fila, debajo de su macroactividad"&amp;" · ","")&amp;IF(AND($S262="Sub",N($R262)=0),"Subactividad sin macroactividad arriba"&amp;" · ","")&amp;IF($D262="","Sin responsable"&amp;" · ","")&amp;IF($E262="","Sin fecha de inicio"&amp;" · ","")&amp;IF($F262="","Sin fecha límite"&amp;" · ","")&amp;IF(OR(AND($E262&lt;&gt;"",NOT(ISNUMBER($E262))),AND($F262&lt;&gt;"",NOT(ISNUMBER($F262)))),"Fecha no válida"&amp;" · ","")&amp;IF(AND(ISNUMBER($E262),ISNUMBER($F262),$E262&gt;$F262),"Inicio posterior a fecha límite"&amp;" · ","")&amp;IF(AND($S262="Macro",$G262=""),"Peso vacío"&amp;" · ","")&amp;IF(AND($S262="Macro",$G262&lt;&gt;"",OR(NOT(ISNUMBER($G262)),$G262&lt;=0,$G262&gt;1)),"Peso fuera de rango"&amp;" · ","")&amp;IF(AND($S262="Sub",$G262&lt;&gt;""),"Las subactividades no llevan peso"&amp;" · ","")&amp;IF(AND($S262="Macro",ABS(SUMIFS($G$5:$G$1000,$P$5:$P$1000,$P262,$S$5:$S$1000,"Macro")-1)&gt;0.0001),"Pesos del mes suman "&amp;TEXT(SUMIFS($G$5:$G$1000,$P$5:$P$1000,$P262,$S$5:$S$1000,"Macro"),"0%")&amp;" · ","")&amp;IF(AND(N($T262)&gt;0,COUNT($H262:$K262)&gt;0),"Con subactividades: deje vacías las semanas (se calculan solas)"&amp;" · ","")&amp;IF((COUNTIF($H262:$K262,"&gt;1")+COUNTIF($H262:$K262,"&lt;0")+COUNTA($H262:$K262)-COUNT($H262:$K262))&gt;0,"Avance fuera de rango 0-100%"&amp;" · ","")&amp;IF(OR(AND($I262&lt;&gt;"",$I262&lt;$H262),AND($J262&lt;&gt;"",$J262&lt;MAX($H262:$I262)),AND($K262&lt;&gt;"",$K262&lt;MAX($H262:$J262))),"Avance semanal decreciente"&amp;" · ","")&amp;IF(AND(ISNUMBER($F262),$F262&lt;FechaRef,N($L262)&lt;1),"Vencida"&amp;" · ","")&amp;IF(AND(ObsObligatoria="Sí",ISNUMBER($F262),$F262&lt;FechaRef,N($L262)&lt;1,$N262=""),"Vencida sin observación"&amp;" · ",""))-3)))</f>
        <v/>
      </c>
      <c r="P262" s="69">
        <f>IF(NOT((COUNTA($B262:$K262)+COUNTA($N262))&gt;0),"",IF(AND($S262="Sub",N($R262)&gt;0),IF(ISNUMBER(INDEX($E$5:$E$1000,$R262-4)),DATE(YEAR(INDEX($E$5:$E$1000,$R262-4)),MONTH(INDEX($E$5:$E$1000,$R262-4)),1),IF(ISNUMBER(INDEX($F$5:$F$1000,$R262-4)),DATE(YEAR(INDEX($F$5:$F$1000,$R262-4)),MONTH(INDEX($F$5:$F$1000,$R262-4)),1),MesCiclo)),IF(ISNUMBER($E262),DATE(YEAR($E262),MONTH($E262),1),IF(ISNUMBER($F262),DATE(YEAR($F262),MONTH($F262),1),MesCiclo))))</f>
        <v/>
      </c>
      <c r="Q262" s="70">
        <f>IF(OR($P262="",$P262&lt;&gt;MesCiclo),"",COUNTIF($P$5:$P262,MesCiclo))</f>
        <v/>
      </c>
      <c r="R262" s="70">
        <f>IF($S262="","",IF($S262="Macro",ROW(),IFERROR(LOOKUP(2,1/($S$5:$S262="Macro"),ROW($S$5:$S262)),0)))</f>
        <v/>
      </c>
      <c r="S262" s="70">
        <f>IF(NOT((COUNTA($B262:$K262)+COUNTA($N262))&gt;0),"",IF($B262&lt;&gt;"","Macro",IF($C262&lt;&gt;"","Sub","Macro")))</f>
        <v/>
      </c>
      <c r="T262" s="70">
        <f>IF($S262="Macro",COUNTIFS($R$5:$R$1000,ROW(),$S$5:$S$1000,"Sub"),"")</f>
        <v/>
      </c>
      <c r="U262" s="70">
        <f>IF($S262="","",IF(ISNUMBER($H262),$H262,0))</f>
        <v/>
      </c>
      <c r="V262" s="70">
        <f>IF($S262="","",IF(ISNUMBER($I262),$I262,$U262))</f>
        <v/>
      </c>
      <c r="W262" s="70">
        <f>IF($S262="","",IF(ISNUMBER($J262),$J262,$V262))</f>
        <v/>
      </c>
      <c r="X262" s="70">
        <f>IF($S262="","",IF(ISNUMBER($K262),$K262,$W262))</f>
        <v/>
      </c>
      <c r="Y262" s="70">
        <f>IF($S262="","",IF(N($T262)&gt;0,AVERAGEIFS($U$5:$U$1000,$R$5:$R$1000,ROW(),$S$5:$S$1000,"Sub"),$U262))</f>
        <v/>
      </c>
      <c r="Z262" s="70">
        <f>IF($S262="","",IF(N($T262)&gt;0,AVERAGEIFS($V$5:$V$1000,$R$5:$R$1000,ROW(),$S$5:$S$1000,"Sub"),$V262))</f>
        <v/>
      </c>
      <c r="AA262" s="70">
        <f>IF($S262="","",IF(N($T262)&gt;0,AVERAGEIFS($W$5:$W$1000,$R$5:$R$1000,ROW(),$S$5:$S$1000,"Sub"),$W262))</f>
        <v/>
      </c>
      <c r="AB262" s="70">
        <f>IF($S262="","",IF(N($T262)&gt;0,AVERAGEIFS($X$5:$X$1000,$R$5:$R$1000,ROW(),$S$5:$S$1000,"Sub"),$X262))</f>
        <v/>
      </c>
    </row>
    <row r="263">
      <c r="A263" s="61">
        <f>IF(NOT((COUNTA($B263:$K263)+COUNTA($N263))&gt;0),"",IF($S263="Macro",COUNTIFS($S$5:$S263,"Macro",$P$5:$P263,$P263),IF(N($R263)=0,"?",COUNTIFS(INDEX($S$5:$S$1000,1):INDEX($S$5:$S$1000,$R263-4),"Macro",INDEX($P$5:$P$1000,1):INDEX($P$5:$P$1000,$R263-4),INDEX($P$5:$P$1000,$R263-4))&amp;"."&amp;COUNTIFS($R$5:$R263,$R263,$S$5:$S263,"Sub"))))</f>
        <v/>
      </c>
      <c r="B263" s="62" t="n"/>
      <c r="C263" s="63" t="n"/>
      <c r="D263" s="62" t="n"/>
      <c r="E263" s="64" t="n"/>
      <c r="F263" s="64" t="n"/>
      <c r="G263" s="65" t="n"/>
      <c r="H263" s="66" t="n"/>
      <c r="I263" s="66" t="n"/>
      <c r="J263" s="66" t="n"/>
      <c r="K263" s="66" t="n"/>
      <c r="L263" s="67">
        <f>IF(NOT((COUNTA($B263:$K263)+COUNTA($N263))&gt;0),"",IF(N($T263)&gt;0,$AB263,IFERROR(LOOKUP(2,1/(H263:K263&lt;&gt;""),H263:K263),0)))</f>
        <v/>
      </c>
      <c r="M263" s="61">
        <f>IF(L263="","",IF(L263&gt;=1,"Completado",IF(L263&gt;0,"En curso","Pendiente")))</f>
        <v/>
      </c>
      <c r="N263" s="62" t="n"/>
      <c r="O263" s="68">
        <f>IF(NOT((COUNTA($B263:$K263)+COUNTA($N263))&gt;0),"",IF((IF(AND($S263="Macro",$B263=""),"Macroactividad vacía"&amp;" · ","")&amp;IF(AND($B263&lt;&gt;"",$C263&lt;&gt;""),"Escriba la subactividad en otra fila, debajo de su macroactividad"&amp;" · ","")&amp;IF(AND($S263="Sub",N($R263)=0),"Subactividad sin macroactividad arriba"&amp;" · ","")&amp;IF($D263="","Sin responsable"&amp;" · ","")&amp;IF($E263="","Sin fecha de inicio"&amp;" · ","")&amp;IF($F263="","Sin fecha límite"&amp;" · ","")&amp;IF(OR(AND($E263&lt;&gt;"",NOT(ISNUMBER($E263))),AND($F263&lt;&gt;"",NOT(ISNUMBER($F263)))),"Fecha no válida"&amp;" · ","")&amp;IF(AND(ISNUMBER($E263),ISNUMBER($F263),$E263&gt;$F263),"Inicio posterior a fecha límite"&amp;" · ","")&amp;IF(AND($S263="Macro",$G263=""),"Peso vacío"&amp;" · ","")&amp;IF(AND($S263="Macro",$G263&lt;&gt;"",OR(NOT(ISNUMBER($G263)),$G263&lt;=0,$G263&gt;1)),"Peso fuera de rango"&amp;" · ","")&amp;IF(AND($S263="Sub",$G263&lt;&gt;""),"Las subactividades no llevan peso"&amp;" · ","")&amp;IF(AND($S263="Macro",ABS(SUMIFS($G$5:$G$1000,$P$5:$P$1000,$P263,$S$5:$S$1000,"Macro")-1)&gt;0.0001),"Pesos del mes suman "&amp;TEXT(SUMIFS($G$5:$G$1000,$P$5:$P$1000,$P263,$S$5:$S$1000,"Macro"),"0%")&amp;" · ","")&amp;IF(AND(N($T263)&gt;0,COUNT($H263:$K263)&gt;0),"Con subactividades: deje vacías las semanas (se calculan solas)"&amp;" · ","")&amp;IF((COUNTIF($H263:$K263,"&gt;1")+COUNTIF($H263:$K263,"&lt;0")+COUNTA($H263:$K263)-COUNT($H263:$K263))&gt;0,"Avance fuera de rango 0-100%"&amp;" · ","")&amp;IF(OR(AND($I263&lt;&gt;"",$I263&lt;$H263),AND($J263&lt;&gt;"",$J263&lt;MAX($H263:$I263)),AND($K263&lt;&gt;"",$K263&lt;MAX($H263:$J263))),"Avance semanal decreciente"&amp;" · ","")&amp;IF(AND(ISNUMBER($F263),$F263&lt;FechaRef,N($L263)&lt;1),"Vencida"&amp;" · ","")&amp;IF(AND(ObsObligatoria="Sí",ISNUMBER($F263),$F263&lt;FechaRef,N($L263)&lt;1,$N263=""),"Vencida sin observación"&amp;" · ",""))="","✔ OK","⚠ "&amp;LEFT(IF(AND($S263="Macro",$B263=""),"Macroactividad vacía"&amp;" · ","")&amp;IF(AND($B263&lt;&gt;"",$C263&lt;&gt;""),"Escriba la subactividad en otra fila, debajo de su macroactividad"&amp;" · ","")&amp;IF(AND($S263="Sub",N($R263)=0),"Subactividad sin macroactividad arriba"&amp;" · ","")&amp;IF($D263="","Sin responsable"&amp;" · ","")&amp;IF($E263="","Sin fecha de inicio"&amp;" · ","")&amp;IF($F263="","Sin fecha límite"&amp;" · ","")&amp;IF(OR(AND($E263&lt;&gt;"",NOT(ISNUMBER($E263))),AND($F263&lt;&gt;"",NOT(ISNUMBER($F263)))),"Fecha no válida"&amp;" · ","")&amp;IF(AND(ISNUMBER($E263),ISNUMBER($F263),$E263&gt;$F263),"Inicio posterior a fecha límite"&amp;" · ","")&amp;IF(AND($S263="Macro",$G263=""),"Peso vacío"&amp;" · ","")&amp;IF(AND($S263="Macro",$G263&lt;&gt;"",OR(NOT(ISNUMBER($G263)),$G263&lt;=0,$G263&gt;1)),"Peso fuera de rango"&amp;" · ","")&amp;IF(AND($S263="Sub",$G263&lt;&gt;""),"Las subactividades no llevan peso"&amp;" · ","")&amp;IF(AND($S263="Macro",ABS(SUMIFS($G$5:$G$1000,$P$5:$P$1000,$P263,$S$5:$S$1000,"Macro")-1)&gt;0.0001),"Pesos del mes suman "&amp;TEXT(SUMIFS($G$5:$G$1000,$P$5:$P$1000,$P263,$S$5:$S$1000,"Macro"),"0%")&amp;" · ","")&amp;IF(AND(N($T263)&gt;0,COUNT($H263:$K263)&gt;0),"Con subactividades: deje vacías las semanas (se calculan solas)"&amp;" · ","")&amp;IF((COUNTIF($H263:$K263,"&gt;1")+COUNTIF($H263:$K263,"&lt;0")+COUNTA($H263:$K263)-COUNT($H263:$K263))&gt;0,"Avance fuera de rango 0-100%"&amp;" · ","")&amp;IF(OR(AND($I263&lt;&gt;"",$I263&lt;$H263),AND($J263&lt;&gt;"",$J263&lt;MAX($H263:$I263)),AND($K263&lt;&gt;"",$K263&lt;MAX($H263:$J263))),"Avance semanal decreciente"&amp;" · ","")&amp;IF(AND(ISNUMBER($F263),$F263&lt;FechaRef,N($L263)&lt;1),"Vencida"&amp;" · ","")&amp;IF(AND(ObsObligatoria="Sí",ISNUMBER($F263),$F263&lt;FechaRef,N($L263)&lt;1,$N263=""),"Vencida sin observación"&amp;" · ",""),LEN(IF(AND($S263="Macro",$B263=""),"Macroactividad vacía"&amp;" · ","")&amp;IF(AND($B263&lt;&gt;"",$C263&lt;&gt;""),"Escriba la subactividad en otra fila, debajo de su macroactividad"&amp;" · ","")&amp;IF(AND($S263="Sub",N($R263)=0),"Subactividad sin macroactividad arriba"&amp;" · ","")&amp;IF($D263="","Sin responsable"&amp;" · ","")&amp;IF($E263="","Sin fecha de inicio"&amp;" · ","")&amp;IF($F263="","Sin fecha límite"&amp;" · ","")&amp;IF(OR(AND($E263&lt;&gt;"",NOT(ISNUMBER($E263))),AND($F263&lt;&gt;"",NOT(ISNUMBER($F263)))),"Fecha no válida"&amp;" · ","")&amp;IF(AND(ISNUMBER($E263),ISNUMBER($F263),$E263&gt;$F263),"Inicio posterior a fecha límite"&amp;" · ","")&amp;IF(AND($S263="Macro",$G263=""),"Peso vacío"&amp;" · ","")&amp;IF(AND($S263="Macro",$G263&lt;&gt;"",OR(NOT(ISNUMBER($G263)),$G263&lt;=0,$G263&gt;1)),"Peso fuera de rango"&amp;" · ","")&amp;IF(AND($S263="Sub",$G263&lt;&gt;""),"Las subactividades no llevan peso"&amp;" · ","")&amp;IF(AND($S263="Macro",ABS(SUMIFS($G$5:$G$1000,$P$5:$P$1000,$P263,$S$5:$S$1000,"Macro")-1)&gt;0.0001),"Pesos del mes suman "&amp;TEXT(SUMIFS($G$5:$G$1000,$P$5:$P$1000,$P263,$S$5:$S$1000,"Macro"),"0%")&amp;" · ","")&amp;IF(AND(N($T263)&gt;0,COUNT($H263:$K263)&gt;0),"Con subactividades: deje vacías las semanas (se calculan solas)"&amp;" · ","")&amp;IF((COUNTIF($H263:$K263,"&gt;1")+COUNTIF($H263:$K263,"&lt;0")+COUNTA($H263:$K263)-COUNT($H263:$K263))&gt;0,"Avance fuera de rango 0-100%"&amp;" · ","")&amp;IF(OR(AND($I263&lt;&gt;"",$I263&lt;$H263),AND($J263&lt;&gt;"",$J263&lt;MAX($H263:$I263)),AND($K263&lt;&gt;"",$K263&lt;MAX($H263:$J263))),"Avance semanal decreciente"&amp;" · ","")&amp;IF(AND(ISNUMBER($F263),$F263&lt;FechaRef,N($L263)&lt;1),"Vencida"&amp;" · ","")&amp;IF(AND(ObsObligatoria="Sí",ISNUMBER($F263),$F263&lt;FechaRef,N($L263)&lt;1,$N263=""),"Vencida sin observación"&amp;" · ",""))-3)))</f>
        <v/>
      </c>
      <c r="P263" s="69">
        <f>IF(NOT((COUNTA($B263:$K263)+COUNTA($N263))&gt;0),"",IF(AND($S263="Sub",N($R263)&gt;0),IF(ISNUMBER(INDEX($E$5:$E$1000,$R263-4)),DATE(YEAR(INDEX($E$5:$E$1000,$R263-4)),MONTH(INDEX($E$5:$E$1000,$R263-4)),1),IF(ISNUMBER(INDEX($F$5:$F$1000,$R263-4)),DATE(YEAR(INDEX($F$5:$F$1000,$R263-4)),MONTH(INDEX($F$5:$F$1000,$R263-4)),1),MesCiclo)),IF(ISNUMBER($E263),DATE(YEAR($E263),MONTH($E263),1),IF(ISNUMBER($F263),DATE(YEAR($F263),MONTH($F263),1),MesCiclo))))</f>
        <v/>
      </c>
      <c r="Q263" s="70">
        <f>IF(OR($P263="",$P263&lt;&gt;MesCiclo),"",COUNTIF($P$5:$P263,MesCiclo))</f>
        <v/>
      </c>
      <c r="R263" s="70">
        <f>IF($S263="","",IF($S263="Macro",ROW(),IFERROR(LOOKUP(2,1/($S$5:$S263="Macro"),ROW($S$5:$S263)),0)))</f>
        <v/>
      </c>
      <c r="S263" s="70">
        <f>IF(NOT((COUNTA($B263:$K263)+COUNTA($N263))&gt;0),"",IF($B263&lt;&gt;"","Macro",IF($C263&lt;&gt;"","Sub","Macro")))</f>
        <v/>
      </c>
      <c r="T263" s="70">
        <f>IF($S263="Macro",COUNTIFS($R$5:$R$1000,ROW(),$S$5:$S$1000,"Sub"),"")</f>
        <v/>
      </c>
      <c r="U263" s="70">
        <f>IF($S263="","",IF(ISNUMBER($H263),$H263,0))</f>
        <v/>
      </c>
      <c r="V263" s="70">
        <f>IF($S263="","",IF(ISNUMBER($I263),$I263,$U263))</f>
        <v/>
      </c>
      <c r="W263" s="70">
        <f>IF($S263="","",IF(ISNUMBER($J263),$J263,$V263))</f>
        <v/>
      </c>
      <c r="X263" s="70">
        <f>IF($S263="","",IF(ISNUMBER($K263),$K263,$W263))</f>
        <v/>
      </c>
      <c r="Y263" s="70">
        <f>IF($S263="","",IF(N($T263)&gt;0,AVERAGEIFS($U$5:$U$1000,$R$5:$R$1000,ROW(),$S$5:$S$1000,"Sub"),$U263))</f>
        <v/>
      </c>
      <c r="Z263" s="70">
        <f>IF($S263="","",IF(N($T263)&gt;0,AVERAGEIFS($V$5:$V$1000,$R$5:$R$1000,ROW(),$S$5:$S$1000,"Sub"),$V263))</f>
        <v/>
      </c>
      <c r="AA263" s="70">
        <f>IF($S263="","",IF(N($T263)&gt;0,AVERAGEIFS($W$5:$W$1000,$R$5:$R$1000,ROW(),$S$5:$S$1000,"Sub"),$W263))</f>
        <v/>
      </c>
      <c r="AB263" s="70">
        <f>IF($S263="","",IF(N($T263)&gt;0,AVERAGEIFS($X$5:$X$1000,$R$5:$R$1000,ROW(),$S$5:$S$1000,"Sub"),$X263))</f>
        <v/>
      </c>
    </row>
    <row r="264">
      <c r="A264" s="61">
        <f>IF(NOT((COUNTA($B264:$K264)+COUNTA($N264))&gt;0),"",IF($S264="Macro",COUNTIFS($S$5:$S264,"Macro",$P$5:$P264,$P264),IF(N($R264)=0,"?",COUNTIFS(INDEX($S$5:$S$1000,1):INDEX($S$5:$S$1000,$R264-4),"Macro",INDEX($P$5:$P$1000,1):INDEX($P$5:$P$1000,$R264-4),INDEX($P$5:$P$1000,$R264-4))&amp;"."&amp;COUNTIFS($R$5:$R264,$R264,$S$5:$S264,"Sub"))))</f>
        <v/>
      </c>
      <c r="B264" s="62" t="n"/>
      <c r="C264" s="63" t="n"/>
      <c r="D264" s="62" t="n"/>
      <c r="E264" s="64" t="n"/>
      <c r="F264" s="64" t="n"/>
      <c r="G264" s="65" t="n"/>
      <c r="H264" s="66" t="n"/>
      <c r="I264" s="66" t="n"/>
      <c r="J264" s="66" t="n"/>
      <c r="K264" s="66" t="n"/>
      <c r="L264" s="67">
        <f>IF(NOT((COUNTA($B264:$K264)+COUNTA($N264))&gt;0),"",IF(N($T264)&gt;0,$AB264,IFERROR(LOOKUP(2,1/(H264:K264&lt;&gt;""),H264:K264),0)))</f>
        <v/>
      </c>
      <c r="M264" s="61">
        <f>IF(L264="","",IF(L264&gt;=1,"Completado",IF(L264&gt;0,"En curso","Pendiente")))</f>
        <v/>
      </c>
      <c r="N264" s="62" t="n"/>
      <c r="O264" s="68">
        <f>IF(NOT((COUNTA($B264:$K264)+COUNTA($N264))&gt;0),"",IF((IF(AND($S264="Macro",$B264=""),"Macroactividad vacía"&amp;" · ","")&amp;IF(AND($B264&lt;&gt;"",$C264&lt;&gt;""),"Escriba la subactividad en otra fila, debajo de su macroactividad"&amp;" · ","")&amp;IF(AND($S264="Sub",N($R264)=0),"Subactividad sin macroactividad arriba"&amp;" · ","")&amp;IF($D264="","Sin responsable"&amp;" · ","")&amp;IF($E264="","Sin fecha de inicio"&amp;" · ","")&amp;IF($F264="","Sin fecha límite"&amp;" · ","")&amp;IF(OR(AND($E264&lt;&gt;"",NOT(ISNUMBER($E264))),AND($F264&lt;&gt;"",NOT(ISNUMBER($F264)))),"Fecha no válida"&amp;" · ","")&amp;IF(AND(ISNUMBER($E264),ISNUMBER($F264),$E264&gt;$F264),"Inicio posterior a fecha límite"&amp;" · ","")&amp;IF(AND($S264="Macro",$G264=""),"Peso vacío"&amp;" · ","")&amp;IF(AND($S264="Macro",$G264&lt;&gt;"",OR(NOT(ISNUMBER($G264)),$G264&lt;=0,$G264&gt;1)),"Peso fuera de rango"&amp;" · ","")&amp;IF(AND($S264="Sub",$G264&lt;&gt;""),"Las subactividades no llevan peso"&amp;" · ","")&amp;IF(AND($S264="Macro",ABS(SUMIFS($G$5:$G$1000,$P$5:$P$1000,$P264,$S$5:$S$1000,"Macro")-1)&gt;0.0001),"Pesos del mes suman "&amp;TEXT(SUMIFS($G$5:$G$1000,$P$5:$P$1000,$P264,$S$5:$S$1000,"Macro"),"0%")&amp;" · ","")&amp;IF(AND(N($T264)&gt;0,COUNT($H264:$K264)&gt;0),"Con subactividades: deje vacías las semanas (se calculan solas)"&amp;" · ","")&amp;IF((COUNTIF($H264:$K264,"&gt;1")+COUNTIF($H264:$K264,"&lt;0")+COUNTA($H264:$K264)-COUNT($H264:$K264))&gt;0,"Avance fuera de rango 0-100%"&amp;" · ","")&amp;IF(OR(AND($I264&lt;&gt;"",$I264&lt;$H264),AND($J264&lt;&gt;"",$J264&lt;MAX($H264:$I264)),AND($K264&lt;&gt;"",$K264&lt;MAX($H264:$J264))),"Avance semanal decreciente"&amp;" · ","")&amp;IF(AND(ISNUMBER($F264),$F264&lt;FechaRef,N($L264)&lt;1),"Vencida"&amp;" · ","")&amp;IF(AND(ObsObligatoria="Sí",ISNUMBER($F264),$F264&lt;FechaRef,N($L264)&lt;1,$N264=""),"Vencida sin observación"&amp;" · ",""))="","✔ OK","⚠ "&amp;LEFT(IF(AND($S264="Macro",$B264=""),"Macroactividad vacía"&amp;" · ","")&amp;IF(AND($B264&lt;&gt;"",$C264&lt;&gt;""),"Escriba la subactividad en otra fila, debajo de su macroactividad"&amp;" · ","")&amp;IF(AND($S264="Sub",N($R264)=0),"Subactividad sin macroactividad arriba"&amp;" · ","")&amp;IF($D264="","Sin responsable"&amp;" · ","")&amp;IF($E264="","Sin fecha de inicio"&amp;" · ","")&amp;IF($F264="","Sin fecha límite"&amp;" · ","")&amp;IF(OR(AND($E264&lt;&gt;"",NOT(ISNUMBER($E264))),AND($F264&lt;&gt;"",NOT(ISNUMBER($F264)))),"Fecha no válida"&amp;" · ","")&amp;IF(AND(ISNUMBER($E264),ISNUMBER($F264),$E264&gt;$F264),"Inicio posterior a fecha límite"&amp;" · ","")&amp;IF(AND($S264="Macro",$G264=""),"Peso vacío"&amp;" · ","")&amp;IF(AND($S264="Macro",$G264&lt;&gt;"",OR(NOT(ISNUMBER($G264)),$G264&lt;=0,$G264&gt;1)),"Peso fuera de rango"&amp;" · ","")&amp;IF(AND($S264="Sub",$G264&lt;&gt;""),"Las subactividades no llevan peso"&amp;" · ","")&amp;IF(AND($S264="Macro",ABS(SUMIFS($G$5:$G$1000,$P$5:$P$1000,$P264,$S$5:$S$1000,"Macro")-1)&gt;0.0001),"Pesos del mes suman "&amp;TEXT(SUMIFS($G$5:$G$1000,$P$5:$P$1000,$P264,$S$5:$S$1000,"Macro"),"0%")&amp;" · ","")&amp;IF(AND(N($T264)&gt;0,COUNT($H264:$K264)&gt;0),"Con subactividades: deje vacías las semanas (se calculan solas)"&amp;" · ","")&amp;IF((COUNTIF($H264:$K264,"&gt;1")+COUNTIF($H264:$K264,"&lt;0")+COUNTA($H264:$K264)-COUNT($H264:$K264))&gt;0,"Avance fuera de rango 0-100%"&amp;" · ","")&amp;IF(OR(AND($I264&lt;&gt;"",$I264&lt;$H264),AND($J264&lt;&gt;"",$J264&lt;MAX($H264:$I264)),AND($K264&lt;&gt;"",$K264&lt;MAX($H264:$J264))),"Avance semanal decreciente"&amp;" · ","")&amp;IF(AND(ISNUMBER($F264),$F264&lt;FechaRef,N($L264)&lt;1),"Vencida"&amp;" · ","")&amp;IF(AND(ObsObligatoria="Sí",ISNUMBER($F264),$F264&lt;FechaRef,N($L264)&lt;1,$N264=""),"Vencida sin observación"&amp;" · ",""),LEN(IF(AND($S264="Macro",$B264=""),"Macroactividad vacía"&amp;" · ","")&amp;IF(AND($B264&lt;&gt;"",$C264&lt;&gt;""),"Escriba la subactividad en otra fila, debajo de su macroactividad"&amp;" · ","")&amp;IF(AND($S264="Sub",N($R264)=0),"Subactividad sin macroactividad arriba"&amp;" · ","")&amp;IF($D264="","Sin responsable"&amp;" · ","")&amp;IF($E264="","Sin fecha de inicio"&amp;" · ","")&amp;IF($F264="","Sin fecha límite"&amp;" · ","")&amp;IF(OR(AND($E264&lt;&gt;"",NOT(ISNUMBER($E264))),AND($F264&lt;&gt;"",NOT(ISNUMBER($F264)))),"Fecha no válida"&amp;" · ","")&amp;IF(AND(ISNUMBER($E264),ISNUMBER($F264),$E264&gt;$F264),"Inicio posterior a fecha límite"&amp;" · ","")&amp;IF(AND($S264="Macro",$G264=""),"Peso vacío"&amp;" · ","")&amp;IF(AND($S264="Macro",$G264&lt;&gt;"",OR(NOT(ISNUMBER($G264)),$G264&lt;=0,$G264&gt;1)),"Peso fuera de rango"&amp;" · ","")&amp;IF(AND($S264="Sub",$G264&lt;&gt;""),"Las subactividades no llevan peso"&amp;" · ","")&amp;IF(AND($S264="Macro",ABS(SUMIFS($G$5:$G$1000,$P$5:$P$1000,$P264,$S$5:$S$1000,"Macro")-1)&gt;0.0001),"Pesos del mes suman "&amp;TEXT(SUMIFS($G$5:$G$1000,$P$5:$P$1000,$P264,$S$5:$S$1000,"Macro"),"0%")&amp;" · ","")&amp;IF(AND(N($T264)&gt;0,COUNT($H264:$K264)&gt;0),"Con subactividades: deje vacías las semanas (se calculan solas)"&amp;" · ","")&amp;IF((COUNTIF($H264:$K264,"&gt;1")+COUNTIF($H264:$K264,"&lt;0")+COUNTA($H264:$K264)-COUNT($H264:$K264))&gt;0,"Avance fuera de rango 0-100%"&amp;" · ","")&amp;IF(OR(AND($I264&lt;&gt;"",$I264&lt;$H264),AND($J264&lt;&gt;"",$J264&lt;MAX($H264:$I264)),AND($K264&lt;&gt;"",$K264&lt;MAX($H264:$J264))),"Avance semanal decreciente"&amp;" · ","")&amp;IF(AND(ISNUMBER($F264),$F264&lt;FechaRef,N($L264)&lt;1),"Vencida"&amp;" · ","")&amp;IF(AND(ObsObligatoria="Sí",ISNUMBER($F264),$F264&lt;FechaRef,N($L264)&lt;1,$N264=""),"Vencida sin observación"&amp;" · ",""))-3)))</f>
        <v/>
      </c>
      <c r="P264" s="69">
        <f>IF(NOT((COUNTA($B264:$K264)+COUNTA($N264))&gt;0),"",IF(AND($S264="Sub",N($R264)&gt;0),IF(ISNUMBER(INDEX($E$5:$E$1000,$R264-4)),DATE(YEAR(INDEX($E$5:$E$1000,$R264-4)),MONTH(INDEX($E$5:$E$1000,$R264-4)),1),IF(ISNUMBER(INDEX($F$5:$F$1000,$R264-4)),DATE(YEAR(INDEX($F$5:$F$1000,$R264-4)),MONTH(INDEX($F$5:$F$1000,$R264-4)),1),MesCiclo)),IF(ISNUMBER($E264),DATE(YEAR($E264),MONTH($E264),1),IF(ISNUMBER($F264),DATE(YEAR($F264),MONTH($F264),1),MesCiclo))))</f>
        <v/>
      </c>
      <c r="Q264" s="70">
        <f>IF(OR($P264="",$P264&lt;&gt;MesCiclo),"",COUNTIF($P$5:$P264,MesCiclo))</f>
        <v/>
      </c>
      <c r="R264" s="70">
        <f>IF($S264="","",IF($S264="Macro",ROW(),IFERROR(LOOKUP(2,1/($S$5:$S264="Macro"),ROW($S$5:$S264)),0)))</f>
        <v/>
      </c>
      <c r="S264" s="70">
        <f>IF(NOT((COUNTA($B264:$K264)+COUNTA($N264))&gt;0),"",IF($B264&lt;&gt;"","Macro",IF($C264&lt;&gt;"","Sub","Macro")))</f>
        <v/>
      </c>
      <c r="T264" s="70">
        <f>IF($S264="Macro",COUNTIFS($R$5:$R$1000,ROW(),$S$5:$S$1000,"Sub"),"")</f>
        <v/>
      </c>
      <c r="U264" s="70">
        <f>IF($S264="","",IF(ISNUMBER($H264),$H264,0))</f>
        <v/>
      </c>
      <c r="V264" s="70">
        <f>IF($S264="","",IF(ISNUMBER($I264),$I264,$U264))</f>
        <v/>
      </c>
      <c r="W264" s="70">
        <f>IF($S264="","",IF(ISNUMBER($J264),$J264,$V264))</f>
        <v/>
      </c>
      <c r="X264" s="70">
        <f>IF($S264="","",IF(ISNUMBER($K264),$K264,$W264))</f>
        <v/>
      </c>
      <c r="Y264" s="70">
        <f>IF($S264="","",IF(N($T264)&gt;0,AVERAGEIFS($U$5:$U$1000,$R$5:$R$1000,ROW(),$S$5:$S$1000,"Sub"),$U264))</f>
        <v/>
      </c>
      <c r="Z264" s="70">
        <f>IF($S264="","",IF(N($T264)&gt;0,AVERAGEIFS($V$5:$V$1000,$R$5:$R$1000,ROW(),$S$5:$S$1000,"Sub"),$V264))</f>
        <v/>
      </c>
      <c r="AA264" s="70">
        <f>IF($S264="","",IF(N($T264)&gt;0,AVERAGEIFS($W$5:$W$1000,$R$5:$R$1000,ROW(),$S$5:$S$1000,"Sub"),$W264))</f>
        <v/>
      </c>
      <c r="AB264" s="70">
        <f>IF($S264="","",IF(N($T264)&gt;0,AVERAGEIFS($X$5:$X$1000,$R$5:$R$1000,ROW(),$S$5:$S$1000,"Sub"),$X264))</f>
        <v/>
      </c>
    </row>
    <row r="265">
      <c r="A265" s="61">
        <f>IF(NOT((COUNTA($B265:$K265)+COUNTA($N265))&gt;0),"",IF($S265="Macro",COUNTIFS($S$5:$S265,"Macro",$P$5:$P265,$P265),IF(N($R265)=0,"?",COUNTIFS(INDEX($S$5:$S$1000,1):INDEX($S$5:$S$1000,$R265-4),"Macro",INDEX($P$5:$P$1000,1):INDEX($P$5:$P$1000,$R265-4),INDEX($P$5:$P$1000,$R265-4))&amp;"."&amp;COUNTIFS($R$5:$R265,$R265,$S$5:$S265,"Sub"))))</f>
        <v/>
      </c>
      <c r="B265" s="62" t="n"/>
      <c r="C265" s="63" t="n"/>
      <c r="D265" s="62" t="n"/>
      <c r="E265" s="64" t="n"/>
      <c r="F265" s="64" t="n"/>
      <c r="G265" s="65" t="n"/>
      <c r="H265" s="66" t="n"/>
      <c r="I265" s="66" t="n"/>
      <c r="J265" s="66" t="n"/>
      <c r="K265" s="66" t="n"/>
      <c r="L265" s="67">
        <f>IF(NOT((COUNTA($B265:$K265)+COUNTA($N265))&gt;0),"",IF(N($T265)&gt;0,$AB265,IFERROR(LOOKUP(2,1/(H265:K265&lt;&gt;""),H265:K265),0)))</f>
        <v/>
      </c>
      <c r="M265" s="61">
        <f>IF(L265="","",IF(L265&gt;=1,"Completado",IF(L265&gt;0,"En curso","Pendiente")))</f>
        <v/>
      </c>
      <c r="N265" s="62" t="n"/>
      <c r="O265" s="68">
        <f>IF(NOT((COUNTA($B265:$K265)+COUNTA($N265))&gt;0),"",IF((IF(AND($S265="Macro",$B265=""),"Macroactividad vacía"&amp;" · ","")&amp;IF(AND($B265&lt;&gt;"",$C265&lt;&gt;""),"Escriba la subactividad en otra fila, debajo de su macroactividad"&amp;" · ","")&amp;IF(AND($S265="Sub",N($R265)=0),"Subactividad sin macroactividad arriba"&amp;" · ","")&amp;IF($D265="","Sin responsable"&amp;" · ","")&amp;IF($E265="","Sin fecha de inicio"&amp;" · ","")&amp;IF($F265="","Sin fecha límite"&amp;" · ","")&amp;IF(OR(AND($E265&lt;&gt;"",NOT(ISNUMBER($E265))),AND($F265&lt;&gt;"",NOT(ISNUMBER($F265)))),"Fecha no válida"&amp;" · ","")&amp;IF(AND(ISNUMBER($E265),ISNUMBER($F265),$E265&gt;$F265),"Inicio posterior a fecha límite"&amp;" · ","")&amp;IF(AND($S265="Macro",$G265=""),"Peso vacío"&amp;" · ","")&amp;IF(AND($S265="Macro",$G265&lt;&gt;"",OR(NOT(ISNUMBER($G265)),$G265&lt;=0,$G265&gt;1)),"Peso fuera de rango"&amp;" · ","")&amp;IF(AND($S265="Sub",$G265&lt;&gt;""),"Las subactividades no llevan peso"&amp;" · ","")&amp;IF(AND($S265="Macro",ABS(SUMIFS($G$5:$G$1000,$P$5:$P$1000,$P265,$S$5:$S$1000,"Macro")-1)&gt;0.0001),"Pesos del mes suman "&amp;TEXT(SUMIFS($G$5:$G$1000,$P$5:$P$1000,$P265,$S$5:$S$1000,"Macro"),"0%")&amp;" · ","")&amp;IF(AND(N($T265)&gt;0,COUNT($H265:$K265)&gt;0),"Con subactividades: deje vacías las semanas (se calculan solas)"&amp;" · ","")&amp;IF((COUNTIF($H265:$K265,"&gt;1")+COUNTIF($H265:$K265,"&lt;0")+COUNTA($H265:$K265)-COUNT($H265:$K265))&gt;0,"Avance fuera de rango 0-100%"&amp;" · ","")&amp;IF(OR(AND($I265&lt;&gt;"",$I265&lt;$H265),AND($J265&lt;&gt;"",$J265&lt;MAX($H265:$I265)),AND($K265&lt;&gt;"",$K265&lt;MAX($H265:$J265))),"Avance semanal decreciente"&amp;" · ","")&amp;IF(AND(ISNUMBER($F265),$F265&lt;FechaRef,N($L265)&lt;1),"Vencida"&amp;" · ","")&amp;IF(AND(ObsObligatoria="Sí",ISNUMBER($F265),$F265&lt;FechaRef,N($L265)&lt;1,$N265=""),"Vencida sin observación"&amp;" · ",""))="","✔ OK","⚠ "&amp;LEFT(IF(AND($S265="Macro",$B265=""),"Macroactividad vacía"&amp;" · ","")&amp;IF(AND($B265&lt;&gt;"",$C265&lt;&gt;""),"Escriba la subactividad en otra fila, debajo de su macroactividad"&amp;" · ","")&amp;IF(AND($S265="Sub",N($R265)=0),"Subactividad sin macroactividad arriba"&amp;" · ","")&amp;IF($D265="","Sin responsable"&amp;" · ","")&amp;IF($E265="","Sin fecha de inicio"&amp;" · ","")&amp;IF($F265="","Sin fecha límite"&amp;" · ","")&amp;IF(OR(AND($E265&lt;&gt;"",NOT(ISNUMBER($E265))),AND($F265&lt;&gt;"",NOT(ISNUMBER($F265)))),"Fecha no válida"&amp;" · ","")&amp;IF(AND(ISNUMBER($E265),ISNUMBER($F265),$E265&gt;$F265),"Inicio posterior a fecha límite"&amp;" · ","")&amp;IF(AND($S265="Macro",$G265=""),"Peso vacío"&amp;" · ","")&amp;IF(AND($S265="Macro",$G265&lt;&gt;"",OR(NOT(ISNUMBER($G265)),$G265&lt;=0,$G265&gt;1)),"Peso fuera de rango"&amp;" · ","")&amp;IF(AND($S265="Sub",$G265&lt;&gt;""),"Las subactividades no llevan peso"&amp;" · ","")&amp;IF(AND($S265="Macro",ABS(SUMIFS($G$5:$G$1000,$P$5:$P$1000,$P265,$S$5:$S$1000,"Macro")-1)&gt;0.0001),"Pesos del mes suman "&amp;TEXT(SUMIFS($G$5:$G$1000,$P$5:$P$1000,$P265,$S$5:$S$1000,"Macro"),"0%")&amp;" · ","")&amp;IF(AND(N($T265)&gt;0,COUNT($H265:$K265)&gt;0),"Con subactividades: deje vacías las semanas (se calculan solas)"&amp;" · ","")&amp;IF((COUNTIF($H265:$K265,"&gt;1")+COUNTIF($H265:$K265,"&lt;0")+COUNTA($H265:$K265)-COUNT($H265:$K265))&gt;0,"Avance fuera de rango 0-100%"&amp;" · ","")&amp;IF(OR(AND($I265&lt;&gt;"",$I265&lt;$H265),AND($J265&lt;&gt;"",$J265&lt;MAX($H265:$I265)),AND($K265&lt;&gt;"",$K265&lt;MAX($H265:$J265))),"Avance semanal decreciente"&amp;" · ","")&amp;IF(AND(ISNUMBER($F265),$F265&lt;FechaRef,N($L265)&lt;1),"Vencida"&amp;" · ","")&amp;IF(AND(ObsObligatoria="Sí",ISNUMBER($F265),$F265&lt;FechaRef,N($L265)&lt;1,$N265=""),"Vencida sin observación"&amp;" · ",""),LEN(IF(AND($S265="Macro",$B265=""),"Macroactividad vacía"&amp;" · ","")&amp;IF(AND($B265&lt;&gt;"",$C265&lt;&gt;""),"Escriba la subactividad en otra fila, debajo de su macroactividad"&amp;" · ","")&amp;IF(AND($S265="Sub",N($R265)=0),"Subactividad sin macroactividad arriba"&amp;" · ","")&amp;IF($D265="","Sin responsable"&amp;" · ","")&amp;IF($E265="","Sin fecha de inicio"&amp;" · ","")&amp;IF($F265="","Sin fecha límite"&amp;" · ","")&amp;IF(OR(AND($E265&lt;&gt;"",NOT(ISNUMBER($E265))),AND($F265&lt;&gt;"",NOT(ISNUMBER($F265)))),"Fecha no válida"&amp;" · ","")&amp;IF(AND(ISNUMBER($E265),ISNUMBER($F265),$E265&gt;$F265),"Inicio posterior a fecha límite"&amp;" · ","")&amp;IF(AND($S265="Macro",$G265=""),"Peso vacío"&amp;" · ","")&amp;IF(AND($S265="Macro",$G265&lt;&gt;"",OR(NOT(ISNUMBER($G265)),$G265&lt;=0,$G265&gt;1)),"Peso fuera de rango"&amp;" · ","")&amp;IF(AND($S265="Sub",$G265&lt;&gt;""),"Las subactividades no llevan peso"&amp;" · ","")&amp;IF(AND($S265="Macro",ABS(SUMIFS($G$5:$G$1000,$P$5:$P$1000,$P265,$S$5:$S$1000,"Macro")-1)&gt;0.0001),"Pesos del mes suman "&amp;TEXT(SUMIFS($G$5:$G$1000,$P$5:$P$1000,$P265,$S$5:$S$1000,"Macro"),"0%")&amp;" · ","")&amp;IF(AND(N($T265)&gt;0,COUNT($H265:$K265)&gt;0),"Con subactividades: deje vacías las semanas (se calculan solas)"&amp;" · ","")&amp;IF((COUNTIF($H265:$K265,"&gt;1")+COUNTIF($H265:$K265,"&lt;0")+COUNTA($H265:$K265)-COUNT($H265:$K265))&gt;0,"Avance fuera de rango 0-100%"&amp;" · ","")&amp;IF(OR(AND($I265&lt;&gt;"",$I265&lt;$H265),AND($J265&lt;&gt;"",$J265&lt;MAX($H265:$I265)),AND($K265&lt;&gt;"",$K265&lt;MAX($H265:$J265))),"Avance semanal decreciente"&amp;" · ","")&amp;IF(AND(ISNUMBER($F265),$F265&lt;FechaRef,N($L265)&lt;1),"Vencida"&amp;" · ","")&amp;IF(AND(ObsObligatoria="Sí",ISNUMBER($F265),$F265&lt;FechaRef,N($L265)&lt;1,$N265=""),"Vencida sin observación"&amp;" · ",""))-3)))</f>
        <v/>
      </c>
      <c r="P265" s="69">
        <f>IF(NOT((COUNTA($B265:$K265)+COUNTA($N265))&gt;0),"",IF(AND($S265="Sub",N($R265)&gt;0),IF(ISNUMBER(INDEX($E$5:$E$1000,$R265-4)),DATE(YEAR(INDEX($E$5:$E$1000,$R265-4)),MONTH(INDEX($E$5:$E$1000,$R265-4)),1),IF(ISNUMBER(INDEX($F$5:$F$1000,$R265-4)),DATE(YEAR(INDEX($F$5:$F$1000,$R265-4)),MONTH(INDEX($F$5:$F$1000,$R265-4)),1),MesCiclo)),IF(ISNUMBER($E265),DATE(YEAR($E265),MONTH($E265),1),IF(ISNUMBER($F265),DATE(YEAR($F265),MONTH($F265),1),MesCiclo))))</f>
        <v/>
      </c>
      <c r="Q265" s="70">
        <f>IF(OR($P265="",$P265&lt;&gt;MesCiclo),"",COUNTIF($P$5:$P265,MesCiclo))</f>
        <v/>
      </c>
      <c r="R265" s="70">
        <f>IF($S265="","",IF($S265="Macro",ROW(),IFERROR(LOOKUP(2,1/($S$5:$S265="Macro"),ROW($S$5:$S265)),0)))</f>
        <v/>
      </c>
      <c r="S265" s="70">
        <f>IF(NOT((COUNTA($B265:$K265)+COUNTA($N265))&gt;0),"",IF($B265&lt;&gt;"","Macro",IF($C265&lt;&gt;"","Sub","Macro")))</f>
        <v/>
      </c>
      <c r="T265" s="70">
        <f>IF($S265="Macro",COUNTIFS($R$5:$R$1000,ROW(),$S$5:$S$1000,"Sub"),"")</f>
        <v/>
      </c>
      <c r="U265" s="70">
        <f>IF($S265="","",IF(ISNUMBER($H265),$H265,0))</f>
        <v/>
      </c>
      <c r="V265" s="70">
        <f>IF($S265="","",IF(ISNUMBER($I265),$I265,$U265))</f>
        <v/>
      </c>
      <c r="W265" s="70">
        <f>IF($S265="","",IF(ISNUMBER($J265),$J265,$V265))</f>
        <v/>
      </c>
      <c r="X265" s="70">
        <f>IF($S265="","",IF(ISNUMBER($K265),$K265,$W265))</f>
        <v/>
      </c>
      <c r="Y265" s="70">
        <f>IF($S265="","",IF(N($T265)&gt;0,AVERAGEIFS($U$5:$U$1000,$R$5:$R$1000,ROW(),$S$5:$S$1000,"Sub"),$U265))</f>
        <v/>
      </c>
      <c r="Z265" s="70">
        <f>IF($S265="","",IF(N($T265)&gt;0,AVERAGEIFS($V$5:$V$1000,$R$5:$R$1000,ROW(),$S$5:$S$1000,"Sub"),$V265))</f>
        <v/>
      </c>
      <c r="AA265" s="70">
        <f>IF($S265="","",IF(N($T265)&gt;0,AVERAGEIFS($W$5:$W$1000,$R$5:$R$1000,ROW(),$S$5:$S$1000,"Sub"),$W265))</f>
        <v/>
      </c>
      <c r="AB265" s="70">
        <f>IF($S265="","",IF(N($T265)&gt;0,AVERAGEIFS($X$5:$X$1000,$R$5:$R$1000,ROW(),$S$5:$S$1000,"Sub"),$X265))</f>
        <v/>
      </c>
    </row>
    <row r="266">
      <c r="A266" s="61">
        <f>IF(NOT((COUNTA($B266:$K266)+COUNTA($N266))&gt;0),"",IF($S266="Macro",COUNTIFS($S$5:$S266,"Macro",$P$5:$P266,$P266),IF(N($R266)=0,"?",COUNTIFS(INDEX($S$5:$S$1000,1):INDEX($S$5:$S$1000,$R266-4),"Macro",INDEX($P$5:$P$1000,1):INDEX($P$5:$P$1000,$R266-4),INDEX($P$5:$P$1000,$R266-4))&amp;"."&amp;COUNTIFS($R$5:$R266,$R266,$S$5:$S266,"Sub"))))</f>
        <v/>
      </c>
      <c r="B266" s="62" t="n"/>
      <c r="C266" s="63" t="n"/>
      <c r="D266" s="62" t="n"/>
      <c r="E266" s="64" t="n"/>
      <c r="F266" s="64" t="n"/>
      <c r="G266" s="65" t="n"/>
      <c r="H266" s="66" t="n"/>
      <c r="I266" s="66" t="n"/>
      <c r="J266" s="66" t="n"/>
      <c r="K266" s="66" t="n"/>
      <c r="L266" s="67">
        <f>IF(NOT((COUNTA($B266:$K266)+COUNTA($N266))&gt;0),"",IF(N($T266)&gt;0,$AB266,IFERROR(LOOKUP(2,1/(H266:K266&lt;&gt;""),H266:K266),0)))</f>
        <v/>
      </c>
      <c r="M266" s="61">
        <f>IF(L266="","",IF(L266&gt;=1,"Completado",IF(L266&gt;0,"En curso","Pendiente")))</f>
        <v/>
      </c>
      <c r="N266" s="62" t="n"/>
      <c r="O266" s="68">
        <f>IF(NOT((COUNTA($B266:$K266)+COUNTA($N266))&gt;0),"",IF((IF(AND($S266="Macro",$B266=""),"Macroactividad vacía"&amp;" · ","")&amp;IF(AND($B266&lt;&gt;"",$C266&lt;&gt;""),"Escriba la subactividad en otra fila, debajo de su macroactividad"&amp;" · ","")&amp;IF(AND($S266="Sub",N($R266)=0),"Subactividad sin macroactividad arriba"&amp;" · ","")&amp;IF($D266="","Sin responsable"&amp;" · ","")&amp;IF($E266="","Sin fecha de inicio"&amp;" · ","")&amp;IF($F266="","Sin fecha límite"&amp;" · ","")&amp;IF(OR(AND($E266&lt;&gt;"",NOT(ISNUMBER($E266))),AND($F266&lt;&gt;"",NOT(ISNUMBER($F266)))),"Fecha no válida"&amp;" · ","")&amp;IF(AND(ISNUMBER($E266),ISNUMBER($F266),$E266&gt;$F266),"Inicio posterior a fecha límite"&amp;" · ","")&amp;IF(AND($S266="Macro",$G266=""),"Peso vacío"&amp;" · ","")&amp;IF(AND($S266="Macro",$G266&lt;&gt;"",OR(NOT(ISNUMBER($G266)),$G266&lt;=0,$G266&gt;1)),"Peso fuera de rango"&amp;" · ","")&amp;IF(AND($S266="Sub",$G266&lt;&gt;""),"Las subactividades no llevan peso"&amp;" · ","")&amp;IF(AND($S266="Macro",ABS(SUMIFS($G$5:$G$1000,$P$5:$P$1000,$P266,$S$5:$S$1000,"Macro")-1)&gt;0.0001),"Pesos del mes suman "&amp;TEXT(SUMIFS($G$5:$G$1000,$P$5:$P$1000,$P266,$S$5:$S$1000,"Macro"),"0%")&amp;" · ","")&amp;IF(AND(N($T266)&gt;0,COUNT($H266:$K266)&gt;0),"Con subactividades: deje vacías las semanas (se calculan solas)"&amp;" · ","")&amp;IF((COUNTIF($H266:$K266,"&gt;1")+COUNTIF($H266:$K266,"&lt;0")+COUNTA($H266:$K266)-COUNT($H266:$K266))&gt;0,"Avance fuera de rango 0-100%"&amp;" · ","")&amp;IF(OR(AND($I266&lt;&gt;"",$I266&lt;$H266),AND($J266&lt;&gt;"",$J266&lt;MAX($H266:$I266)),AND($K266&lt;&gt;"",$K266&lt;MAX($H266:$J266))),"Avance semanal decreciente"&amp;" · ","")&amp;IF(AND(ISNUMBER($F266),$F266&lt;FechaRef,N($L266)&lt;1),"Vencida"&amp;" · ","")&amp;IF(AND(ObsObligatoria="Sí",ISNUMBER($F266),$F266&lt;FechaRef,N($L266)&lt;1,$N266=""),"Vencida sin observación"&amp;" · ",""))="","✔ OK","⚠ "&amp;LEFT(IF(AND($S266="Macro",$B266=""),"Macroactividad vacía"&amp;" · ","")&amp;IF(AND($B266&lt;&gt;"",$C266&lt;&gt;""),"Escriba la subactividad en otra fila, debajo de su macroactividad"&amp;" · ","")&amp;IF(AND($S266="Sub",N($R266)=0),"Subactividad sin macroactividad arriba"&amp;" · ","")&amp;IF($D266="","Sin responsable"&amp;" · ","")&amp;IF($E266="","Sin fecha de inicio"&amp;" · ","")&amp;IF($F266="","Sin fecha límite"&amp;" · ","")&amp;IF(OR(AND($E266&lt;&gt;"",NOT(ISNUMBER($E266))),AND($F266&lt;&gt;"",NOT(ISNUMBER($F266)))),"Fecha no válida"&amp;" · ","")&amp;IF(AND(ISNUMBER($E266),ISNUMBER($F266),$E266&gt;$F266),"Inicio posterior a fecha límite"&amp;" · ","")&amp;IF(AND($S266="Macro",$G266=""),"Peso vacío"&amp;" · ","")&amp;IF(AND($S266="Macro",$G266&lt;&gt;"",OR(NOT(ISNUMBER($G266)),$G266&lt;=0,$G266&gt;1)),"Peso fuera de rango"&amp;" · ","")&amp;IF(AND($S266="Sub",$G266&lt;&gt;""),"Las subactividades no llevan peso"&amp;" · ","")&amp;IF(AND($S266="Macro",ABS(SUMIFS($G$5:$G$1000,$P$5:$P$1000,$P266,$S$5:$S$1000,"Macro")-1)&gt;0.0001),"Pesos del mes suman "&amp;TEXT(SUMIFS($G$5:$G$1000,$P$5:$P$1000,$P266,$S$5:$S$1000,"Macro"),"0%")&amp;" · ","")&amp;IF(AND(N($T266)&gt;0,COUNT($H266:$K266)&gt;0),"Con subactividades: deje vacías las semanas (se calculan solas)"&amp;" · ","")&amp;IF((COUNTIF($H266:$K266,"&gt;1")+COUNTIF($H266:$K266,"&lt;0")+COUNTA($H266:$K266)-COUNT($H266:$K266))&gt;0,"Avance fuera de rango 0-100%"&amp;" · ","")&amp;IF(OR(AND($I266&lt;&gt;"",$I266&lt;$H266),AND($J266&lt;&gt;"",$J266&lt;MAX($H266:$I266)),AND($K266&lt;&gt;"",$K266&lt;MAX($H266:$J266))),"Avance semanal decreciente"&amp;" · ","")&amp;IF(AND(ISNUMBER($F266),$F266&lt;FechaRef,N($L266)&lt;1),"Vencida"&amp;" · ","")&amp;IF(AND(ObsObligatoria="Sí",ISNUMBER($F266),$F266&lt;FechaRef,N($L266)&lt;1,$N266=""),"Vencida sin observación"&amp;" · ",""),LEN(IF(AND($S266="Macro",$B266=""),"Macroactividad vacía"&amp;" · ","")&amp;IF(AND($B266&lt;&gt;"",$C266&lt;&gt;""),"Escriba la subactividad en otra fila, debajo de su macroactividad"&amp;" · ","")&amp;IF(AND($S266="Sub",N($R266)=0),"Subactividad sin macroactividad arriba"&amp;" · ","")&amp;IF($D266="","Sin responsable"&amp;" · ","")&amp;IF($E266="","Sin fecha de inicio"&amp;" · ","")&amp;IF($F266="","Sin fecha límite"&amp;" · ","")&amp;IF(OR(AND($E266&lt;&gt;"",NOT(ISNUMBER($E266))),AND($F266&lt;&gt;"",NOT(ISNUMBER($F266)))),"Fecha no válida"&amp;" · ","")&amp;IF(AND(ISNUMBER($E266),ISNUMBER($F266),$E266&gt;$F266),"Inicio posterior a fecha límite"&amp;" · ","")&amp;IF(AND($S266="Macro",$G266=""),"Peso vacío"&amp;" · ","")&amp;IF(AND($S266="Macro",$G266&lt;&gt;"",OR(NOT(ISNUMBER($G266)),$G266&lt;=0,$G266&gt;1)),"Peso fuera de rango"&amp;" · ","")&amp;IF(AND($S266="Sub",$G266&lt;&gt;""),"Las subactividades no llevan peso"&amp;" · ","")&amp;IF(AND($S266="Macro",ABS(SUMIFS($G$5:$G$1000,$P$5:$P$1000,$P266,$S$5:$S$1000,"Macro")-1)&gt;0.0001),"Pesos del mes suman "&amp;TEXT(SUMIFS($G$5:$G$1000,$P$5:$P$1000,$P266,$S$5:$S$1000,"Macro"),"0%")&amp;" · ","")&amp;IF(AND(N($T266)&gt;0,COUNT($H266:$K266)&gt;0),"Con subactividades: deje vacías las semanas (se calculan solas)"&amp;" · ","")&amp;IF((COUNTIF($H266:$K266,"&gt;1")+COUNTIF($H266:$K266,"&lt;0")+COUNTA($H266:$K266)-COUNT($H266:$K266))&gt;0,"Avance fuera de rango 0-100%"&amp;" · ","")&amp;IF(OR(AND($I266&lt;&gt;"",$I266&lt;$H266),AND($J266&lt;&gt;"",$J266&lt;MAX($H266:$I266)),AND($K266&lt;&gt;"",$K266&lt;MAX($H266:$J266))),"Avance semanal decreciente"&amp;" · ","")&amp;IF(AND(ISNUMBER($F266),$F266&lt;FechaRef,N($L266)&lt;1),"Vencida"&amp;" · ","")&amp;IF(AND(ObsObligatoria="Sí",ISNUMBER($F266),$F266&lt;FechaRef,N($L266)&lt;1,$N266=""),"Vencida sin observación"&amp;" · ",""))-3)))</f>
        <v/>
      </c>
      <c r="P266" s="69">
        <f>IF(NOT((COUNTA($B266:$K266)+COUNTA($N266))&gt;0),"",IF(AND($S266="Sub",N($R266)&gt;0),IF(ISNUMBER(INDEX($E$5:$E$1000,$R266-4)),DATE(YEAR(INDEX($E$5:$E$1000,$R266-4)),MONTH(INDEX($E$5:$E$1000,$R266-4)),1),IF(ISNUMBER(INDEX($F$5:$F$1000,$R266-4)),DATE(YEAR(INDEX($F$5:$F$1000,$R266-4)),MONTH(INDEX($F$5:$F$1000,$R266-4)),1),MesCiclo)),IF(ISNUMBER($E266),DATE(YEAR($E266),MONTH($E266),1),IF(ISNUMBER($F266),DATE(YEAR($F266),MONTH($F266),1),MesCiclo))))</f>
        <v/>
      </c>
      <c r="Q266" s="70">
        <f>IF(OR($P266="",$P266&lt;&gt;MesCiclo),"",COUNTIF($P$5:$P266,MesCiclo))</f>
        <v/>
      </c>
      <c r="R266" s="70">
        <f>IF($S266="","",IF($S266="Macro",ROW(),IFERROR(LOOKUP(2,1/($S$5:$S266="Macro"),ROW($S$5:$S266)),0)))</f>
        <v/>
      </c>
      <c r="S266" s="70">
        <f>IF(NOT((COUNTA($B266:$K266)+COUNTA($N266))&gt;0),"",IF($B266&lt;&gt;"","Macro",IF($C266&lt;&gt;"","Sub","Macro")))</f>
        <v/>
      </c>
      <c r="T266" s="70">
        <f>IF($S266="Macro",COUNTIFS($R$5:$R$1000,ROW(),$S$5:$S$1000,"Sub"),"")</f>
        <v/>
      </c>
      <c r="U266" s="70">
        <f>IF($S266="","",IF(ISNUMBER($H266),$H266,0))</f>
        <v/>
      </c>
      <c r="V266" s="70">
        <f>IF($S266="","",IF(ISNUMBER($I266),$I266,$U266))</f>
        <v/>
      </c>
      <c r="W266" s="70">
        <f>IF($S266="","",IF(ISNUMBER($J266),$J266,$V266))</f>
        <v/>
      </c>
      <c r="X266" s="70">
        <f>IF($S266="","",IF(ISNUMBER($K266),$K266,$W266))</f>
        <v/>
      </c>
      <c r="Y266" s="70">
        <f>IF($S266="","",IF(N($T266)&gt;0,AVERAGEIFS($U$5:$U$1000,$R$5:$R$1000,ROW(),$S$5:$S$1000,"Sub"),$U266))</f>
        <v/>
      </c>
      <c r="Z266" s="70">
        <f>IF($S266="","",IF(N($T266)&gt;0,AVERAGEIFS($V$5:$V$1000,$R$5:$R$1000,ROW(),$S$5:$S$1000,"Sub"),$V266))</f>
        <v/>
      </c>
      <c r="AA266" s="70">
        <f>IF($S266="","",IF(N($T266)&gt;0,AVERAGEIFS($W$5:$W$1000,$R$5:$R$1000,ROW(),$S$5:$S$1000,"Sub"),$W266))</f>
        <v/>
      </c>
      <c r="AB266" s="70">
        <f>IF($S266="","",IF(N($T266)&gt;0,AVERAGEIFS($X$5:$X$1000,$R$5:$R$1000,ROW(),$S$5:$S$1000,"Sub"),$X266))</f>
        <v/>
      </c>
    </row>
    <row r="267">
      <c r="A267" s="61">
        <f>IF(NOT((COUNTA($B267:$K267)+COUNTA($N267))&gt;0),"",IF($S267="Macro",COUNTIFS($S$5:$S267,"Macro",$P$5:$P267,$P267),IF(N($R267)=0,"?",COUNTIFS(INDEX($S$5:$S$1000,1):INDEX($S$5:$S$1000,$R267-4),"Macro",INDEX($P$5:$P$1000,1):INDEX($P$5:$P$1000,$R267-4),INDEX($P$5:$P$1000,$R267-4))&amp;"."&amp;COUNTIFS($R$5:$R267,$R267,$S$5:$S267,"Sub"))))</f>
        <v/>
      </c>
      <c r="B267" s="62" t="n"/>
      <c r="C267" s="63" t="n"/>
      <c r="D267" s="62" t="n"/>
      <c r="E267" s="64" t="n"/>
      <c r="F267" s="64" t="n"/>
      <c r="G267" s="65" t="n"/>
      <c r="H267" s="66" t="n"/>
      <c r="I267" s="66" t="n"/>
      <c r="J267" s="66" t="n"/>
      <c r="K267" s="66" t="n"/>
      <c r="L267" s="67">
        <f>IF(NOT((COUNTA($B267:$K267)+COUNTA($N267))&gt;0),"",IF(N($T267)&gt;0,$AB267,IFERROR(LOOKUP(2,1/(H267:K267&lt;&gt;""),H267:K267),0)))</f>
        <v/>
      </c>
      <c r="M267" s="61">
        <f>IF(L267="","",IF(L267&gt;=1,"Completado",IF(L267&gt;0,"En curso","Pendiente")))</f>
        <v/>
      </c>
      <c r="N267" s="62" t="n"/>
      <c r="O267" s="68">
        <f>IF(NOT((COUNTA($B267:$K267)+COUNTA($N267))&gt;0),"",IF((IF(AND($S267="Macro",$B267=""),"Macroactividad vacía"&amp;" · ","")&amp;IF(AND($B267&lt;&gt;"",$C267&lt;&gt;""),"Escriba la subactividad en otra fila, debajo de su macroactividad"&amp;" · ","")&amp;IF(AND($S267="Sub",N($R267)=0),"Subactividad sin macroactividad arriba"&amp;" · ","")&amp;IF($D267="","Sin responsable"&amp;" · ","")&amp;IF($E267="","Sin fecha de inicio"&amp;" · ","")&amp;IF($F267="","Sin fecha límite"&amp;" · ","")&amp;IF(OR(AND($E267&lt;&gt;"",NOT(ISNUMBER($E267))),AND($F267&lt;&gt;"",NOT(ISNUMBER($F267)))),"Fecha no válida"&amp;" · ","")&amp;IF(AND(ISNUMBER($E267),ISNUMBER($F267),$E267&gt;$F267),"Inicio posterior a fecha límite"&amp;" · ","")&amp;IF(AND($S267="Macro",$G267=""),"Peso vacío"&amp;" · ","")&amp;IF(AND($S267="Macro",$G267&lt;&gt;"",OR(NOT(ISNUMBER($G267)),$G267&lt;=0,$G267&gt;1)),"Peso fuera de rango"&amp;" · ","")&amp;IF(AND($S267="Sub",$G267&lt;&gt;""),"Las subactividades no llevan peso"&amp;" · ","")&amp;IF(AND($S267="Macro",ABS(SUMIFS($G$5:$G$1000,$P$5:$P$1000,$P267,$S$5:$S$1000,"Macro")-1)&gt;0.0001),"Pesos del mes suman "&amp;TEXT(SUMIFS($G$5:$G$1000,$P$5:$P$1000,$P267,$S$5:$S$1000,"Macro"),"0%")&amp;" · ","")&amp;IF(AND(N($T267)&gt;0,COUNT($H267:$K267)&gt;0),"Con subactividades: deje vacías las semanas (se calculan solas)"&amp;" · ","")&amp;IF((COUNTIF($H267:$K267,"&gt;1")+COUNTIF($H267:$K267,"&lt;0")+COUNTA($H267:$K267)-COUNT($H267:$K267))&gt;0,"Avance fuera de rango 0-100%"&amp;" · ","")&amp;IF(OR(AND($I267&lt;&gt;"",$I267&lt;$H267),AND($J267&lt;&gt;"",$J267&lt;MAX($H267:$I267)),AND($K267&lt;&gt;"",$K267&lt;MAX($H267:$J267))),"Avance semanal decreciente"&amp;" · ","")&amp;IF(AND(ISNUMBER($F267),$F267&lt;FechaRef,N($L267)&lt;1),"Vencida"&amp;" · ","")&amp;IF(AND(ObsObligatoria="Sí",ISNUMBER($F267),$F267&lt;FechaRef,N($L267)&lt;1,$N267=""),"Vencida sin observación"&amp;" · ",""))="","✔ OK","⚠ "&amp;LEFT(IF(AND($S267="Macro",$B267=""),"Macroactividad vacía"&amp;" · ","")&amp;IF(AND($B267&lt;&gt;"",$C267&lt;&gt;""),"Escriba la subactividad en otra fila, debajo de su macroactividad"&amp;" · ","")&amp;IF(AND($S267="Sub",N($R267)=0),"Subactividad sin macroactividad arriba"&amp;" · ","")&amp;IF($D267="","Sin responsable"&amp;" · ","")&amp;IF($E267="","Sin fecha de inicio"&amp;" · ","")&amp;IF($F267="","Sin fecha límite"&amp;" · ","")&amp;IF(OR(AND($E267&lt;&gt;"",NOT(ISNUMBER($E267))),AND($F267&lt;&gt;"",NOT(ISNUMBER($F267)))),"Fecha no válida"&amp;" · ","")&amp;IF(AND(ISNUMBER($E267),ISNUMBER($F267),$E267&gt;$F267),"Inicio posterior a fecha límite"&amp;" · ","")&amp;IF(AND($S267="Macro",$G267=""),"Peso vacío"&amp;" · ","")&amp;IF(AND($S267="Macro",$G267&lt;&gt;"",OR(NOT(ISNUMBER($G267)),$G267&lt;=0,$G267&gt;1)),"Peso fuera de rango"&amp;" · ","")&amp;IF(AND($S267="Sub",$G267&lt;&gt;""),"Las subactividades no llevan peso"&amp;" · ","")&amp;IF(AND($S267="Macro",ABS(SUMIFS($G$5:$G$1000,$P$5:$P$1000,$P267,$S$5:$S$1000,"Macro")-1)&gt;0.0001),"Pesos del mes suman "&amp;TEXT(SUMIFS($G$5:$G$1000,$P$5:$P$1000,$P267,$S$5:$S$1000,"Macro"),"0%")&amp;" · ","")&amp;IF(AND(N($T267)&gt;0,COUNT($H267:$K267)&gt;0),"Con subactividades: deje vacías las semanas (se calculan solas)"&amp;" · ","")&amp;IF((COUNTIF($H267:$K267,"&gt;1")+COUNTIF($H267:$K267,"&lt;0")+COUNTA($H267:$K267)-COUNT($H267:$K267))&gt;0,"Avance fuera de rango 0-100%"&amp;" · ","")&amp;IF(OR(AND($I267&lt;&gt;"",$I267&lt;$H267),AND($J267&lt;&gt;"",$J267&lt;MAX($H267:$I267)),AND($K267&lt;&gt;"",$K267&lt;MAX($H267:$J267))),"Avance semanal decreciente"&amp;" · ","")&amp;IF(AND(ISNUMBER($F267),$F267&lt;FechaRef,N($L267)&lt;1),"Vencida"&amp;" · ","")&amp;IF(AND(ObsObligatoria="Sí",ISNUMBER($F267),$F267&lt;FechaRef,N($L267)&lt;1,$N267=""),"Vencida sin observación"&amp;" · ",""),LEN(IF(AND($S267="Macro",$B267=""),"Macroactividad vacía"&amp;" · ","")&amp;IF(AND($B267&lt;&gt;"",$C267&lt;&gt;""),"Escriba la subactividad en otra fila, debajo de su macroactividad"&amp;" · ","")&amp;IF(AND($S267="Sub",N($R267)=0),"Subactividad sin macroactividad arriba"&amp;" · ","")&amp;IF($D267="","Sin responsable"&amp;" · ","")&amp;IF($E267="","Sin fecha de inicio"&amp;" · ","")&amp;IF($F267="","Sin fecha límite"&amp;" · ","")&amp;IF(OR(AND($E267&lt;&gt;"",NOT(ISNUMBER($E267))),AND($F267&lt;&gt;"",NOT(ISNUMBER($F267)))),"Fecha no válida"&amp;" · ","")&amp;IF(AND(ISNUMBER($E267),ISNUMBER($F267),$E267&gt;$F267),"Inicio posterior a fecha límite"&amp;" · ","")&amp;IF(AND($S267="Macro",$G267=""),"Peso vacío"&amp;" · ","")&amp;IF(AND($S267="Macro",$G267&lt;&gt;"",OR(NOT(ISNUMBER($G267)),$G267&lt;=0,$G267&gt;1)),"Peso fuera de rango"&amp;" · ","")&amp;IF(AND($S267="Sub",$G267&lt;&gt;""),"Las subactividades no llevan peso"&amp;" · ","")&amp;IF(AND($S267="Macro",ABS(SUMIFS($G$5:$G$1000,$P$5:$P$1000,$P267,$S$5:$S$1000,"Macro")-1)&gt;0.0001),"Pesos del mes suman "&amp;TEXT(SUMIFS($G$5:$G$1000,$P$5:$P$1000,$P267,$S$5:$S$1000,"Macro"),"0%")&amp;" · ","")&amp;IF(AND(N($T267)&gt;0,COUNT($H267:$K267)&gt;0),"Con subactividades: deje vacías las semanas (se calculan solas)"&amp;" · ","")&amp;IF((COUNTIF($H267:$K267,"&gt;1")+COUNTIF($H267:$K267,"&lt;0")+COUNTA($H267:$K267)-COUNT($H267:$K267))&gt;0,"Avance fuera de rango 0-100%"&amp;" · ","")&amp;IF(OR(AND($I267&lt;&gt;"",$I267&lt;$H267),AND($J267&lt;&gt;"",$J267&lt;MAX($H267:$I267)),AND($K267&lt;&gt;"",$K267&lt;MAX($H267:$J267))),"Avance semanal decreciente"&amp;" · ","")&amp;IF(AND(ISNUMBER($F267),$F267&lt;FechaRef,N($L267)&lt;1),"Vencida"&amp;" · ","")&amp;IF(AND(ObsObligatoria="Sí",ISNUMBER($F267),$F267&lt;FechaRef,N($L267)&lt;1,$N267=""),"Vencida sin observación"&amp;" · ",""))-3)))</f>
        <v/>
      </c>
      <c r="P267" s="69">
        <f>IF(NOT((COUNTA($B267:$K267)+COUNTA($N267))&gt;0),"",IF(AND($S267="Sub",N($R267)&gt;0),IF(ISNUMBER(INDEX($E$5:$E$1000,$R267-4)),DATE(YEAR(INDEX($E$5:$E$1000,$R267-4)),MONTH(INDEX($E$5:$E$1000,$R267-4)),1),IF(ISNUMBER(INDEX($F$5:$F$1000,$R267-4)),DATE(YEAR(INDEX($F$5:$F$1000,$R267-4)),MONTH(INDEX($F$5:$F$1000,$R267-4)),1),MesCiclo)),IF(ISNUMBER($E267),DATE(YEAR($E267),MONTH($E267),1),IF(ISNUMBER($F267),DATE(YEAR($F267),MONTH($F267),1),MesCiclo))))</f>
        <v/>
      </c>
      <c r="Q267" s="70">
        <f>IF(OR($P267="",$P267&lt;&gt;MesCiclo),"",COUNTIF($P$5:$P267,MesCiclo))</f>
        <v/>
      </c>
      <c r="R267" s="70">
        <f>IF($S267="","",IF($S267="Macro",ROW(),IFERROR(LOOKUP(2,1/($S$5:$S267="Macro"),ROW($S$5:$S267)),0)))</f>
        <v/>
      </c>
      <c r="S267" s="70">
        <f>IF(NOT((COUNTA($B267:$K267)+COUNTA($N267))&gt;0),"",IF($B267&lt;&gt;"","Macro",IF($C267&lt;&gt;"","Sub","Macro")))</f>
        <v/>
      </c>
      <c r="T267" s="70">
        <f>IF($S267="Macro",COUNTIFS($R$5:$R$1000,ROW(),$S$5:$S$1000,"Sub"),"")</f>
        <v/>
      </c>
      <c r="U267" s="70">
        <f>IF($S267="","",IF(ISNUMBER($H267),$H267,0))</f>
        <v/>
      </c>
      <c r="V267" s="70">
        <f>IF($S267="","",IF(ISNUMBER($I267),$I267,$U267))</f>
        <v/>
      </c>
      <c r="W267" s="70">
        <f>IF($S267="","",IF(ISNUMBER($J267),$J267,$V267))</f>
        <v/>
      </c>
      <c r="X267" s="70">
        <f>IF($S267="","",IF(ISNUMBER($K267),$K267,$W267))</f>
        <v/>
      </c>
      <c r="Y267" s="70">
        <f>IF($S267="","",IF(N($T267)&gt;0,AVERAGEIFS($U$5:$U$1000,$R$5:$R$1000,ROW(),$S$5:$S$1000,"Sub"),$U267))</f>
        <v/>
      </c>
      <c r="Z267" s="70">
        <f>IF($S267="","",IF(N($T267)&gt;0,AVERAGEIFS($V$5:$V$1000,$R$5:$R$1000,ROW(),$S$5:$S$1000,"Sub"),$V267))</f>
        <v/>
      </c>
      <c r="AA267" s="70">
        <f>IF($S267="","",IF(N($T267)&gt;0,AVERAGEIFS($W$5:$W$1000,$R$5:$R$1000,ROW(),$S$5:$S$1000,"Sub"),$W267))</f>
        <v/>
      </c>
      <c r="AB267" s="70">
        <f>IF($S267="","",IF(N($T267)&gt;0,AVERAGEIFS($X$5:$X$1000,$R$5:$R$1000,ROW(),$S$5:$S$1000,"Sub"),$X267))</f>
        <v/>
      </c>
    </row>
    <row r="268">
      <c r="A268" s="61">
        <f>IF(NOT((COUNTA($B268:$K268)+COUNTA($N268))&gt;0),"",IF($S268="Macro",COUNTIFS($S$5:$S268,"Macro",$P$5:$P268,$P268),IF(N($R268)=0,"?",COUNTIFS(INDEX($S$5:$S$1000,1):INDEX($S$5:$S$1000,$R268-4),"Macro",INDEX($P$5:$P$1000,1):INDEX($P$5:$P$1000,$R268-4),INDEX($P$5:$P$1000,$R268-4))&amp;"."&amp;COUNTIFS($R$5:$R268,$R268,$S$5:$S268,"Sub"))))</f>
        <v/>
      </c>
      <c r="B268" s="62" t="n"/>
      <c r="C268" s="63" t="n"/>
      <c r="D268" s="62" t="n"/>
      <c r="E268" s="64" t="n"/>
      <c r="F268" s="64" t="n"/>
      <c r="G268" s="65" t="n"/>
      <c r="H268" s="66" t="n"/>
      <c r="I268" s="66" t="n"/>
      <c r="J268" s="66" t="n"/>
      <c r="K268" s="66" t="n"/>
      <c r="L268" s="67">
        <f>IF(NOT((COUNTA($B268:$K268)+COUNTA($N268))&gt;0),"",IF(N($T268)&gt;0,$AB268,IFERROR(LOOKUP(2,1/(H268:K268&lt;&gt;""),H268:K268),0)))</f>
        <v/>
      </c>
      <c r="M268" s="61">
        <f>IF(L268="","",IF(L268&gt;=1,"Completado",IF(L268&gt;0,"En curso","Pendiente")))</f>
        <v/>
      </c>
      <c r="N268" s="62" t="n"/>
      <c r="O268" s="68">
        <f>IF(NOT((COUNTA($B268:$K268)+COUNTA($N268))&gt;0),"",IF((IF(AND($S268="Macro",$B268=""),"Macroactividad vacía"&amp;" · ","")&amp;IF(AND($B268&lt;&gt;"",$C268&lt;&gt;""),"Escriba la subactividad en otra fila, debajo de su macroactividad"&amp;" · ","")&amp;IF(AND($S268="Sub",N($R268)=0),"Subactividad sin macroactividad arriba"&amp;" · ","")&amp;IF($D268="","Sin responsable"&amp;" · ","")&amp;IF($E268="","Sin fecha de inicio"&amp;" · ","")&amp;IF($F268="","Sin fecha límite"&amp;" · ","")&amp;IF(OR(AND($E268&lt;&gt;"",NOT(ISNUMBER($E268))),AND($F268&lt;&gt;"",NOT(ISNUMBER($F268)))),"Fecha no válida"&amp;" · ","")&amp;IF(AND(ISNUMBER($E268),ISNUMBER($F268),$E268&gt;$F268),"Inicio posterior a fecha límite"&amp;" · ","")&amp;IF(AND($S268="Macro",$G268=""),"Peso vacío"&amp;" · ","")&amp;IF(AND($S268="Macro",$G268&lt;&gt;"",OR(NOT(ISNUMBER($G268)),$G268&lt;=0,$G268&gt;1)),"Peso fuera de rango"&amp;" · ","")&amp;IF(AND($S268="Sub",$G268&lt;&gt;""),"Las subactividades no llevan peso"&amp;" · ","")&amp;IF(AND($S268="Macro",ABS(SUMIFS($G$5:$G$1000,$P$5:$P$1000,$P268,$S$5:$S$1000,"Macro")-1)&gt;0.0001),"Pesos del mes suman "&amp;TEXT(SUMIFS($G$5:$G$1000,$P$5:$P$1000,$P268,$S$5:$S$1000,"Macro"),"0%")&amp;" · ","")&amp;IF(AND(N($T268)&gt;0,COUNT($H268:$K268)&gt;0),"Con subactividades: deje vacías las semanas (se calculan solas)"&amp;" · ","")&amp;IF((COUNTIF($H268:$K268,"&gt;1")+COUNTIF($H268:$K268,"&lt;0")+COUNTA($H268:$K268)-COUNT($H268:$K268))&gt;0,"Avance fuera de rango 0-100%"&amp;" · ","")&amp;IF(OR(AND($I268&lt;&gt;"",$I268&lt;$H268),AND($J268&lt;&gt;"",$J268&lt;MAX($H268:$I268)),AND($K268&lt;&gt;"",$K268&lt;MAX($H268:$J268))),"Avance semanal decreciente"&amp;" · ","")&amp;IF(AND(ISNUMBER($F268),$F268&lt;FechaRef,N($L268)&lt;1),"Vencida"&amp;" · ","")&amp;IF(AND(ObsObligatoria="Sí",ISNUMBER($F268),$F268&lt;FechaRef,N($L268)&lt;1,$N268=""),"Vencida sin observación"&amp;" · ",""))="","✔ OK","⚠ "&amp;LEFT(IF(AND($S268="Macro",$B268=""),"Macroactividad vacía"&amp;" · ","")&amp;IF(AND($B268&lt;&gt;"",$C268&lt;&gt;""),"Escriba la subactividad en otra fila, debajo de su macroactividad"&amp;" · ","")&amp;IF(AND($S268="Sub",N($R268)=0),"Subactividad sin macroactividad arriba"&amp;" · ","")&amp;IF($D268="","Sin responsable"&amp;" · ","")&amp;IF($E268="","Sin fecha de inicio"&amp;" · ","")&amp;IF($F268="","Sin fecha límite"&amp;" · ","")&amp;IF(OR(AND($E268&lt;&gt;"",NOT(ISNUMBER($E268))),AND($F268&lt;&gt;"",NOT(ISNUMBER($F268)))),"Fecha no válida"&amp;" · ","")&amp;IF(AND(ISNUMBER($E268),ISNUMBER($F268),$E268&gt;$F268),"Inicio posterior a fecha límite"&amp;" · ","")&amp;IF(AND($S268="Macro",$G268=""),"Peso vacío"&amp;" · ","")&amp;IF(AND($S268="Macro",$G268&lt;&gt;"",OR(NOT(ISNUMBER($G268)),$G268&lt;=0,$G268&gt;1)),"Peso fuera de rango"&amp;" · ","")&amp;IF(AND($S268="Sub",$G268&lt;&gt;""),"Las subactividades no llevan peso"&amp;" · ","")&amp;IF(AND($S268="Macro",ABS(SUMIFS($G$5:$G$1000,$P$5:$P$1000,$P268,$S$5:$S$1000,"Macro")-1)&gt;0.0001),"Pesos del mes suman "&amp;TEXT(SUMIFS($G$5:$G$1000,$P$5:$P$1000,$P268,$S$5:$S$1000,"Macro"),"0%")&amp;" · ","")&amp;IF(AND(N($T268)&gt;0,COUNT($H268:$K268)&gt;0),"Con subactividades: deje vacías las semanas (se calculan solas)"&amp;" · ","")&amp;IF((COUNTIF($H268:$K268,"&gt;1")+COUNTIF($H268:$K268,"&lt;0")+COUNTA($H268:$K268)-COUNT($H268:$K268))&gt;0,"Avance fuera de rango 0-100%"&amp;" · ","")&amp;IF(OR(AND($I268&lt;&gt;"",$I268&lt;$H268),AND($J268&lt;&gt;"",$J268&lt;MAX($H268:$I268)),AND($K268&lt;&gt;"",$K268&lt;MAX($H268:$J268))),"Avance semanal decreciente"&amp;" · ","")&amp;IF(AND(ISNUMBER($F268),$F268&lt;FechaRef,N($L268)&lt;1),"Vencida"&amp;" · ","")&amp;IF(AND(ObsObligatoria="Sí",ISNUMBER($F268),$F268&lt;FechaRef,N($L268)&lt;1,$N268=""),"Vencida sin observación"&amp;" · ",""),LEN(IF(AND($S268="Macro",$B268=""),"Macroactividad vacía"&amp;" · ","")&amp;IF(AND($B268&lt;&gt;"",$C268&lt;&gt;""),"Escriba la subactividad en otra fila, debajo de su macroactividad"&amp;" · ","")&amp;IF(AND($S268="Sub",N($R268)=0),"Subactividad sin macroactividad arriba"&amp;" · ","")&amp;IF($D268="","Sin responsable"&amp;" · ","")&amp;IF($E268="","Sin fecha de inicio"&amp;" · ","")&amp;IF($F268="","Sin fecha límite"&amp;" · ","")&amp;IF(OR(AND($E268&lt;&gt;"",NOT(ISNUMBER($E268))),AND($F268&lt;&gt;"",NOT(ISNUMBER($F268)))),"Fecha no válida"&amp;" · ","")&amp;IF(AND(ISNUMBER($E268),ISNUMBER($F268),$E268&gt;$F268),"Inicio posterior a fecha límite"&amp;" · ","")&amp;IF(AND($S268="Macro",$G268=""),"Peso vacío"&amp;" · ","")&amp;IF(AND($S268="Macro",$G268&lt;&gt;"",OR(NOT(ISNUMBER($G268)),$G268&lt;=0,$G268&gt;1)),"Peso fuera de rango"&amp;" · ","")&amp;IF(AND($S268="Sub",$G268&lt;&gt;""),"Las subactividades no llevan peso"&amp;" · ","")&amp;IF(AND($S268="Macro",ABS(SUMIFS($G$5:$G$1000,$P$5:$P$1000,$P268,$S$5:$S$1000,"Macro")-1)&gt;0.0001),"Pesos del mes suman "&amp;TEXT(SUMIFS($G$5:$G$1000,$P$5:$P$1000,$P268,$S$5:$S$1000,"Macro"),"0%")&amp;" · ","")&amp;IF(AND(N($T268)&gt;0,COUNT($H268:$K268)&gt;0),"Con subactividades: deje vacías las semanas (se calculan solas)"&amp;" · ","")&amp;IF((COUNTIF($H268:$K268,"&gt;1")+COUNTIF($H268:$K268,"&lt;0")+COUNTA($H268:$K268)-COUNT($H268:$K268))&gt;0,"Avance fuera de rango 0-100%"&amp;" · ","")&amp;IF(OR(AND($I268&lt;&gt;"",$I268&lt;$H268),AND($J268&lt;&gt;"",$J268&lt;MAX($H268:$I268)),AND($K268&lt;&gt;"",$K268&lt;MAX($H268:$J268))),"Avance semanal decreciente"&amp;" · ","")&amp;IF(AND(ISNUMBER($F268),$F268&lt;FechaRef,N($L268)&lt;1),"Vencida"&amp;" · ","")&amp;IF(AND(ObsObligatoria="Sí",ISNUMBER($F268),$F268&lt;FechaRef,N($L268)&lt;1,$N268=""),"Vencida sin observación"&amp;" · ",""))-3)))</f>
        <v/>
      </c>
      <c r="P268" s="69">
        <f>IF(NOT((COUNTA($B268:$K268)+COUNTA($N268))&gt;0),"",IF(AND($S268="Sub",N($R268)&gt;0),IF(ISNUMBER(INDEX($E$5:$E$1000,$R268-4)),DATE(YEAR(INDEX($E$5:$E$1000,$R268-4)),MONTH(INDEX($E$5:$E$1000,$R268-4)),1),IF(ISNUMBER(INDEX($F$5:$F$1000,$R268-4)),DATE(YEAR(INDEX($F$5:$F$1000,$R268-4)),MONTH(INDEX($F$5:$F$1000,$R268-4)),1),MesCiclo)),IF(ISNUMBER($E268),DATE(YEAR($E268),MONTH($E268),1),IF(ISNUMBER($F268),DATE(YEAR($F268),MONTH($F268),1),MesCiclo))))</f>
        <v/>
      </c>
      <c r="Q268" s="70">
        <f>IF(OR($P268="",$P268&lt;&gt;MesCiclo),"",COUNTIF($P$5:$P268,MesCiclo))</f>
        <v/>
      </c>
      <c r="R268" s="70">
        <f>IF($S268="","",IF($S268="Macro",ROW(),IFERROR(LOOKUP(2,1/($S$5:$S268="Macro"),ROW($S$5:$S268)),0)))</f>
        <v/>
      </c>
      <c r="S268" s="70">
        <f>IF(NOT((COUNTA($B268:$K268)+COUNTA($N268))&gt;0),"",IF($B268&lt;&gt;"","Macro",IF($C268&lt;&gt;"","Sub","Macro")))</f>
        <v/>
      </c>
      <c r="T268" s="70">
        <f>IF($S268="Macro",COUNTIFS($R$5:$R$1000,ROW(),$S$5:$S$1000,"Sub"),"")</f>
        <v/>
      </c>
      <c r="U268" s="70">
        <f>IF($S268="","",IF(ISNUMBER($H268),$H268,0))</f>
        <v/>
      </c>
      <c r="V268" s="70">
        <f>IF($S268="","",IF(ISNUMBER($I268),$I268,$U268))</f>
        <v/>
      </c>
      <c r="W268" s="70">
        <f>IF($S268="","",IF(ISNUMBER($J268),$J268,$V268))</f>
        <v/>
      </c>
      <c r="X268" s="70">
        <f>IF($S268="","",IF(ISNUMBER($K268),$K268,$W268))</f>
        <v/>
      </c>
      <c r="Y268" s="70">
        <f>IF($S268="","",IF(N($T268)&gt;0,AVERAGEIFS($U$5:$U$1000,$R$5:$R$1000,ROW(),$S$5:$S$1000,"Sub"),$U268))</f>
        <v/>
      </c>
      <c r="Z268" s="70">
        <f>IF($S268="","",IF(N($T268)&gt;0,AVERAGEIFS($V$5:$V$1000,$R$5:$R$1000,ROW(),$S$5:$S$1000,"Sub"),$V268))</f>
        <v/>
      </c>
      <c r="AA268" s="70">
        <f>IF($S268="","",IF(N($T268)&gt;0,AVERAGEIFS($W$5:$W$1000,$R$5:$R$1000,ROW(),$S$5:$S$1000,"Sub"),$W268))</f>
        <v/>
      </c>
      <c r="AB268" s="70">
        <f>IF($S268="","",IF(N($T268)&gt;0,AVERAGEIFS($X$5:$X$1000,$R$5:$R$1000,ROW(),$S$5:$S$1000,"Sub"),$X268))</f>
        <v/>
      </c>
    </row>
    <row r="269">
      <c r="A269" s="61">
        <f>IF(NOT((COUNTA($B269:$K269)+COUNTA($N269))&gt;0),"",IF($S269="Macro",COUNTIFS($S$5:$S269,"Macro",$P$5:$P269,$P269),IF(N($R269)=0,"?",COUNTIFS(INDEX($S$5:$S$1000,1):INDEX($S$5:$S$1000,$R269-4),"Macro",INDEX($P$5:$P$1000,1):INDEX($P$5:$P$1000,$R269-4),INDEX($P$5:$P$1000,$R269-4))&amp;"."&amp;COUNTIFS($R$5:$R269,$R269,$S$5:$S269,"Sub"))))</f>
        <v/>
      </c>
      <c r="B269" s="62" t="n"/>
      <c r="C269" s="63" t="n"/>
      <c r="D269" s="62" t="n"/>
      <c r="E269" s="64" t="n"/>
      <c r="F269" s="64" t="n"/>
      <c r="G269" s="65" t="n"/>
      <c r="H269" s="66" t="n"/>
      <c r="I269" s="66" t="n"/>
      <c r="J269" s="66" t="n"/>
      <c r="K269" s="66" t="n"/>
      <c r="L269" s="67">
        <f>IF(NOT((COUNTA($B269:$K269)+COUNTA($N269))&gt;0),"",IF(N($T269)&gt;0,$AB269,IFERROR(LOOKUP(2,1/(H269:K269&lt;&gt;""),H269:K269),0)))</f>
        <v/>
      </c>
      <c r="M269" s="61">
        <f>IF(L269="","",IF(L269&gt;=1,"Completado",IF(L269&gt;0,"En curso","Pendiente")))</f>
        <v/>
      </c>
      <c r="N269" s="62" t="n"/>
      <c r="O269" s="68">
        <f>IF(NOT((COUNTA($B269:$K269)+COUNTA($N269))&gt;0),"",IF((IF(AND($S269="Macro",$B269=""),"Macroactividad vacía"&amp;" · ","")&amp;IF(AND($B269&lt;&gt;"",$C269&lt;&gt;""),"Escriba la subactividad en otra fila, debajo de su macroactividad"&amp;" · ","")&amp;IF(AND($S269="Sub",N($R269)=0),"Subactividad sin macroactividad arriba"&amp;" · ","")&amp;IF($D269="","Sin responsable"&amp;" · ","")&amp;IF($E269="","Sin fecha de inicio"&amp;" · ","")&amp;IF($F269="","Sin fecha límite"&amp;" · ","")&amp;IF(OR(AND($E269&lt;&gt;"",NOT(ISNUMBER($E269))),AND($F269&lt;&gt;"",NOT(ISNUMBER($F269)))),"Fecha no válida"&amp;" · ","")&amp;IF(AND(ISNUMBER($E269),ISNUMBER($F269),$E269&gt;$F269),"Inicio posterior a fecha límite"&amp;" · ","")&amp;IF(AND($S269="Macro",$G269=""),"Peso vacío"&amp;" · ","")&amp;IF(AND($S269="Macro",$G269&lt;&gt;"",OR(NOT(ISNUMBER($G269)),$G269&lt;=0,$G269&gt;1)),"Peso fuera de rango"&amp;" · ","")&amp;IF(AND($S269="Sub",$G269&lt;&gt;""),"Las subactividades no llevan peso"&amp;" · ","")&amp;IF(AND($S269="Macro",ABS(SUMIFS($G$5:$G$1000,$P$5:$P$1000,$P269,$S$5:$S$1000,"Macro")-1)&gt;0.0001),"Pesos del mes suman "&amp;TEXT(SUMIFS($G$5:$G$1000,$P$5:$P$1000,$P269,$S$5:$S$1000,"Macro"),"0%")&amp;" · ","")&amp;IF(AND(N($T269)&gt;0,COUNT($H269:$K269)&gt;0),"Con subactividades: deje vacías las semanas (se calculan solas)"&amp;" · ","")&amp;IF((COUNTIF($H269:$K269,"&gt;1")+COUNTIF($H269:$K269,"&lt;0")+COUNTA($H269:$K269)-COUNT($H269:$K269))&gt;0,"Avance fuera de rango 0-100%"&amp;" · ","")&amp;IF(OR(AND($I269&lt;&gt;"",$I269&lt;$H269),AND($J269&lt;&gt;"",$J269&lt;MAX($H269:$I269)),AND($K269&lt;&gt;"",$K269&lt;MAX($H269:$J269))),"Avance semanal decreciente"&amp;" · ","")&amp;IF(AND(ISNUMBER($F269),$F269&lt;FechaRef,N($L269)&lt;1),"Vencida"&amp;" · ","")&amp;IF(AND(ObsObligatoria="Sí",ISNUMBER($F269),$F269&lt;FechaRef,N($L269)&lt;1,$N269=""),"Vencida sin observación"&amp;" · ",""))="","✔ OK","⚠ "&amp;LEFT(IF(AND($S269="Macro",$B269=""),"Macroactividad vacía"&amp;" · ","")&amp;IF(AND($B269&lt;&gt;"",$C269&lt;&gt;""),"Escriba la subactividad en otra fila, debajo de su macroactividad"&amp;" · ","")&amp;IF(AND($S269="Sub",N($R269)=0),"Subactividad sin macroactividad arriba"&amp;" · ","")&amp;IF($D269="","Sin responsable"&amp;" · ","")&amp;IF($E269="","Sin fecha de inicio"&amp;" · ","")&amp;IF($F269="","Sin fecha límite"&amp;" · ","")&amp;IF(OR(AND($E269&lt;&gt;"",NOT(ISNUMBER($E269))),AND($F269&lt;&gt;"",NOT(ISNUMBER($F269)))),"Fecha no válida"&amp;" · ","")&amp;IF(AND(ISNUMBER($E269),ISNUMBER($F269),$E269&gt;$F269),"Inicio posterior a fecha límite"&amp;" · ","")&amp;IF(AND($S269="Macro",$G269=""),"Peso vacío"&amp;" · ","")&amp;IF(AND($S269="Macro",$G269&lt;&gt;"",OR(NOT(ISNUMBER($G269)),$G269&lt;=0,$G269&gt;1)),"Peso fuera de rango"&amp;" · ","")&amp;IF(AND($S269="Sub",$G269&lt;&gt;""),"Las subactividades no llevan peso"&amp;" · ","")&amp;IF(AND($S269="Macro",ABS(SUMIFS($G$5:$G$1000,$P$5:$P$1000,$P269,$S$5:$S$1000,"Macro")-1)&gt;0.0001),"Pesos del mes suman "&amp;TEXT(SUMIFS($G$5:$G$1000,$P$5:$P$1000,$P269,$S$5:$S$1000,"Macro"),"0%")&amp;" · ","")&amp;IF(AND(N($T269)&gt;0,COUNT($H269:$K269)&gt;0),"Con subactividades: deje vacías las semanas (se calculan solas)"&amp;" · ","")&amp;IF((COUNTIF($H269:$K269,"&gt;1")+COUNTIF($H269:$K269,"&lt;0")+COUNTA($H269:$K269)-COUNT($H269:$K269))&gt;0,"Avance fuera de rango 0-100%"&amp;" · ","")&amp;IF(OR(AND($I269&lt;&gt;"",$I269&lt;$H269),AND($J269&lt;&gt;"",$J269&lt;MAX($H269:$I269)),AND($K269&lt;&gt;"",$K269&lt;MAX($H269:$J269))),"Avance semanal decreciente"&amp;" · ","")&amp;IF(AND(ISNUMBER($F269),$F269&lt;FechaRef,N($L269)&lt;1),"Vencida"&amp;" · ","")&amp;IF(AND(ObsObligatoria="Sí",ISNUMBER($F269),$F269&lt;FechaRef,N($L269)&lt;1,$N269=""),"Vencida sin observación"&amp;" · ",""),LEN(IF(AND($S269="Macro",$B269=""),"Macroactividad vacía"&amp;" · ","")&amp;IF(AND($B269&lt;&gt;"",$C269&lt;&gt;""),"Escriba la subactividad en otra fila, debajo de su macroactividad"&amp;" · ","")&amp;IF(AND($S269="Sub",N($R269)=0),"Subactividad sin macroactividad arriba"&amp;" · ","")&amp;IF($D269="","Sin responsable"&amp;" · ","")&amp;IF($E269="","Sin fecha de inicio"&amp;" · ","")&amp;IF($F269="","Sin fecha límite"&amp;" · ","")&amp;IF(OR(AND($E269&lt;&gt;"",NOT(ISNUMBER($E269))),AND($F269&lt;&gt;"",NOT(ISNUMBER($F269)))),"Fecha no válida"&amp;" · ","")&amp;IF(AND(ISNUMBER($E269),ISNUMBER($F269),$E269&gt;$F269),"Inicio posterior a fecha límite"&amp;" · ","")&amp;IF(AND($S269="Macro",$G269=""),"Peso vacío"&amp;" · ","")&amp;IF(AND($S269="Macro",$G269&lt;&gt;"",OR(NOT(ISNUMBER($G269)),$G269&lt;=0,$G269&gt;1)),"Peso fuera de rango"&amp;" · ","")&amp;IF(AND($S269="Sub",$G269&lt;&gt;""),"Las subactividades no llevan peso"&amp;" · ","")&amp;IF(AND($S269="Macro",ABS(SUMIFS($G$5:$G$1000,$P$5:$P$1000,$P269,$S$5:$S$1000,"Macro")-1)&gt;0.0001),"Pesos del mes suman "&amp;TEXT(SUMIFS($G$5:$G$1000,$P$5:$P$1000,$P269,$S$5:$S$1000,"Macro"),"0%")&amp;" · ","")&amp;IF(AND(N($T269)&gt;0,COUNT($H269:$K269)&gt;0),"Con subactividades: deje vacías las semanas (se calculan solas)"&amp;" · ","")&amp;IF((COUNTIF($H269:$K269,"&gt;1")+COUNTIF($H269:$K269,"&lt;0")+COUNTA($H269:$K269)-COUNT($H269:$K269))&gt;0,"Avance fuera de rango 0-100%"&amp;" · ","")&amp;IF(OR(AND($I269&lt;&gt;"",$I269&lt;$H269),AND($J269&lt;&gt;"",$J269&lt;MAX($H269:$I269)),AND($K269&lt;&gt;"",$K269&lt;MAX($H269:$J269))),"Avance semanal decreciente"&amp;" · ","")&amp;IF(AND(ISNUMBER($F269),$F269&lt;FechaRef,N($L269)&lt;1),"Vencida"&amp;" · ","")&amp;IF(AND(ObsObligatoria="Sí",ISNUMBER($F269),$F269&lt;FechaRef,N($L269)&lt;1,$N269=""),"Vencida sin observación"&amp;" · ",""))-3)))</f>
        <v/>
      </c>
      <c r="P269" s="69">
        <f>IF(NOT((COUNTA($B269:$K269)+COUNTA($N269))&gt;0),"",IF(AND($S269="Sub",N($R269)&gt;0),IF(ISNUMBER(INDEX($E$5:$E$1000,$R269-4)),DATE(YEAR(INDEX($E$5:$E$1000,$R269-4)),MONTH(INDEX($E$5:$E$1000,$R269-4)),1),IF(ISNUMBER(INDEX($F$5:$F$1000,$R269-4)),DATE(YEAR(INDEX($F$5:$F$1000,$R269-4)),MONTH(INDEX($F$5:$F$1000,$R269-4)),1),MesCiclo)),IF(ISNUMBER($E269),DATE(YEAR($E269),MONTH($E269),1),IF(ISNUMBER($F269),DATE(YEAR($F269),MONTH($F269),1),MesCiclo))))</f>
        <v/>
      </c>
      <c r="Q269" s="70">
        <f>IF(OR($P269="",$P269&lt;&gt;MesCiclo),"",COUNTIF($P$5:$P269,MesCiclo))</f>
        <v/>
      </c>
      <c r="R269" s="70">
        <f>IF($S269="","",IF($S269="Macro",ROW(),IFERROR(LOOKUP(2,1/($S$5:$S269="Macro"),ROW($S$5:$S269)),0)))</f>
        <v/>
      </c>
      <c r="S269" s="70">
        <f>IF(NOT((COUNTA($B269:$K269)+COUNTA($N269))&gt;0),"",IF($B269&lt;&gt;"","Macro",IF($C269&lt;&gt;"","Sub","Macro")))</f>
        <v/>
      </c>
      <c r="T269" s="70">
        <f>IF($S269="Macro",COUNTIFS($R$5:$R$1000,ROW(),$S$5:$S$1000,"Sub"),"")</f>
        <v/>
      </c>
      <c r="U269" s="70">
        <f>IF($S269="","",IF(ISNUMBER($H269),$H269,0))</f>
        <v/>
      </c>
      <c r="V269" s="70">
        <f>IF($S269="","",IF(ISNUMBER($I269),$I269,$U269))</f>
        <v/>
      </c>
      <c r="W269" s="70">
        <f>IF($S269="","",IF(ISNUMBER($J269),$J269,$V269))</f>
        <v/>
      </c>
      <c r="X269" s="70">
        <f>IF($S269="","",IF(ISNUMBER($K269),$K269,$W269))</f>
        <v/>
      </c>
      <c r="Y269" s="70">
        <f>IF($S269="","",IF(N($T269)&gt;0,AVERAGEIFS($U$5:$U$1000,$R$5:$R$1000,ROW(),$S$5:$S$1000,"Sub"),$U269))</f>
        <v/>
      </c>
      <c r="Z269" s="70">
        <f>IF($S269="","",IF(N($T269)&gt;0,AVERAGEIFS($V$5:$V$1000,$R$5:$R$1000,ROW(),$S$5:$S$1000,"Sub"),$V269))</f>
        <v/>
      </c>
      <c r="AA269" s="70">
        <f>IF($S269="","",IF(N($T269)&gt;0,AVERAGEIFS($W$5:$W$1000,$R$5:$R$1000,ROW(),$S$5:$S$1000,"Sub"),$W269))</f>
        <v/>
      </c>
      <c r="AB269" s="70">
        <f>IF($S269="","",IF(N($T269)&gt;0,AVERAGEIFS($X$5:$X$1000,$R$5:$R$1000,ROW(),$S$5:$S$1000,"Sub"),$X269))</f>
        <v/>
      </c>
    </row>
    <row r="270">
      <c r="A270" s="61">
        <f>IF(NOT((COUNTA($B270:$K270)+COUNTA($N270))&gt;0),"",IF($S270="Macro",COUNTIFS($S$5:$S270,"Macro",$P$5:$P270,$P270),IF(N($R270)=0,"?",COUNTIFS(INDEX($S$5:$S$1000,1):INDEX($S$5:$S$1000,$R270-4),"Macro",INDEX($P$5:$P$1000,1):INDEX($P$5:$P$1000,$R270-4),INDEX($P$5:$P$1000,$R270-4))&amp;"."&amp;COUNTIFS($R$5:$R270,$R270,$S$5:$S270,"Sub"))))</f>
        <v/>
      </c>
      <c r="B270" s="62" t="n"/>
      <c r="C270" s="63" t="n"/>
      <c r="D270" s="62" t="n"/>
      <c r="E270" s="64" t="n"/>
      <c r="F270" s="64" t="n"/>
      <c r="G270" s="65" t="n"/>
      <c r="H270" s="66" t="n"/>
      <c r="I270" s="66" t="n"/>
      <c r="J270" s="66" t="n"/>
      <c r="K270" s="66" t="n"/>
      <c r="L270" s="67">
        <f>IF(NOT((COUNTA($B270:$K270)+COUNTA($N270))&gt;0),"",IF(N($T270)&gt;0,$AB270,IFERROR(LOOKUP(2,1/(H270:K270&lt;&gt;""),H270:K270),0)))</f>
        <v/>
      </c>
      <c r="M270" s="61">
        <f>IF(L270="","",IF(L270&gt;=1,"Completado",IF(L270&gt;0,"En curso","Pendiente")))</f>
        <v/>
      </c>
      <c r="N270" s="62" t="n"/>
      <c r="O270" s="68">
        <f>IF(NOT((COUNTA($B270:$K270)+COUNTA($N270))&gt;0),"",IF((IF(AND($S270="Macro",$B270=""),"Macroactividad vacía"&amp;" · ","")&amp;IF(AND($B270&lt;&gt;"",$C270&lt;&gt;""),"Escriba la subactividad en otra fila, debajo de su macroactividad"&amp;" · ","")&amp;IF(AND($S270="Sub",N($R270)=0),"Subactividad sin macroactividad arriba"&amp;" · ","")&amp;IF($D270="","Sin responsable"&amp;" · ","")&amp;IF($E270="","Sin fecha de inicio"&amp;" · ","")&amp;IF($F270="","Sin fecha límite"&amp;" · ","")&amp;IF(OR(AND($E270&lt;&gt;"",NOT(ISNUMBER($E270))),AND($F270&lt;&gt;"",NOT(ISNUMBER($F270)))),"Fecha no válida"&amp;" · ","")&amp;IF(AND(ISNUMBER($E270),ISNUMBER($F270),$E270&gt;$F270),"Inicio posterior a fecha límite"&amp;" · ","")&amp;IF(AND($S270="Macro",$G270=""),"Peso vacío"&amp;" · ","")&amp;IF(AND($S270="Macro",$G270&lt;&gt;"",OR(NOT(ISNUMBER($G270)),$G270&lt;=0,$G270&gt;1)),"Peso fuera de rango"&amp;" · ","")&amp;IF(AND($S270="Sub",$G270&lt;&gt;""),"Las subactividades no llevan peso"&amp;" · ","")&amp;IF(AND($S270="Macro",ABS(SUMIFS($G$5:$G$1000,$P$5:$P$1000,$P270,$S$5:$S$1000,"Macro")-1)&gt;0.0001),"Pesos del mes suman "&amp;TEXT(SUMIFS($G$5:$G$1000,$P$5:$P$1000,$P270,$S$5:$S$1000,"Macro"),"0%")&amp;" · ","")&amp;IF(AND(N($T270)&gt;0,COUNT($H270:$K270)&gt;0),"Con subactividades: deje vacías las semanas (se calculan solas)"&amp;" · ","")&amp;IF((COUNTIF($H270:$K270,"&gt;1")+COUNTIF($H270:$K270,"&lt;0")+COUNTA($H270:$K270)-COUNT($H270:$K270))&gt;0,"Avance fuera de rango 0-100%"&amp;" · ","")&amp;IF(OR(AND($I270&lt;&gt;"",$I270&lt;$H270),AND($J270&lt;&gt;"",$J270&lt;MAX($H270:$I270)),AND($K270&lt;&gt;"",$K270&lt;MAX($H270:$J270))),"Avance semanal decreciente"&amp;" · ","")&amp;IF(AND(ISNUMBER($F270),$F270&lt;FechaRef,N($L270)&lt;1),"Vencida"&amp;" · ","")&amp;IF(AND(ObsObligatoria="Sí",ISNUMBER($F270),$F270&lt;FechaRef,N($L270)&lt;1,$N270=""),"Vencida sin observación"&amp;" · ",""))="","✔ OK","⚠ "&amp;LEFT(IF(AND($S270="Macro",$B270=""),"Macroactividad vacía"&amp;" · ","")&amp;IF(AND($B270&lt;&gt;"",$C270&lt;&gt;""),"Escriba la subactividad en otra fila, debajo de su macroactividad"&amp;" · ","")&amp;IF(AND($S270="Sub",N($R270)=0),"Subactividad sin macroactividad arriba"&amp;" · ","")&amp;IF($D270="","Sin responsable"&amp;" · ","")&amp;IF($E270="","Sin fecha de inicio"&amp;" · ","")&amp;IF($F270="","Sin fecha límite"&amp;" · ","")&amp;IF(OR(AND($E270&lt;&gt;"",NOT(ISNUMBER($E270))),AND($F270&lt;&gt;"",NOT(ISNUMBER($F270)))),"Fecha no válida"&amp;" · ","")&amp;IF(AND(ISNUMBER($E270),ISNUMBER($F270),$E270&gt;$F270),"Inicio posterior a fecha límite"&amp;" · ","")&amp;IF(AND($S270="Macro",$G270=""),"Peso vacío"&amp;" · ","")&amp;IF(AND($S270="Macro",$G270&lt;&gt;"",OR(NOT(ISNUMBER($G270)),$G270&lt;=0,$G270&gt;1)),"Peso fuera de rango"&amp;" · ","")&amp;IF(AND($S270="Sub",$G270&lt;&gt;""),"Las subactividades no llevan peso"&amp;" · ","")&amp;IF(AND($S270="Macro",ABS(SUMIFS($G$5:$G$1000,$P$5:$P$1000,$P270,$S$5:$S$1000,"Macro")-1)&gt;0.0001),"Pesos del mes suman "&amp;TEXT(SUMIFS($G$5:$G$1000,$P$5:$P$1000,$P270,$S$5:$S$1000,"Macro"),"0%")&amp;" · ","")&amp;IF(AND(N($T270)&gt;0,COUNT($H270:$K270)&gt;0),"Con subactividades: deje vacías las semanas (se calculan solas)"&amp;" · ","")&amp;IF((COUNTIF($H270:$K270,"&gt;1")+COUNTIF($H270:$K270,"&lt;0")+COUNTA($H270:$K270)-COUNT($H270:$K270))&gt;0,"Avance fuera de rango 0-100%"&amp;" · ","")&amp;IF(OR(AND($I270&lt;&gt;"",$I270&lt;$H270),AND($J270&lt;&gt;"",$J270&lt;MAX($H270:$I270)),AND($K270&lt;&gt;"",$K270&lt;MAX($H270:$J270))),"Avance semanal decreciente"&amp;" · ","")&amp;IF(AND(ISNUMBER($F270),$F270&lt;FechaRef,N($L270)&lt;1),"Vencida"&amp;" · ","")&amp;IF(AND(ObsObligatoria="Sí",ISNUMBER($F270),$F270&lt;FechaRef,N($L270)&lt;1,$N270=""),"Vencida sin observación"&amp;" · ",""),LEN(IF(AND($S270="Macro",$B270=""),"Macroactividad vacía"&amp;" · ","")&amp;IF(AND($B270&lt;&gt;"",$C270&lt;&gt;""),"Escriba la subactividad en otra fila, debajo de su macroactividad"&amp;" · ","")&amp;IF(AND($S270="Sub",N($R270)=0),"Subactividad sin macroactividad arriba"&amp;" · ","")&amp;IF($D270="","Sin responsable"&amp;" · ","")&amp;IF($E270="","Sin fecha de inicio"&amp;" · ","")&amp;IF($F270="","Sin fecha límite"&amp;" · ","")&amp;IF(OR(AND($E270&lt;&gt;"",NOT(ISNUMBER($E270))),AND($F270&lt;&gt;"",NOT(ISNUMBER($F270)))),"Fecha no válida"&amp;" · ","")&amp;IF(AND(ISNUMBER($E270),ISNUMBER($F270),$E270&gt;$F270),"Inicio posterior a fecha límite"&amp;" · ","")&amp;IF(AND($S270="Macro",$G270=""),"Peso vacío"&amp;" · ","")&amp;IF(AND($S270="Macro",$G270&lt;&gt;"",OR(NOT(ISNUMBER($G270)),$G270&lt;=0,$G270&gt;1)),"Peso fuera de rango"&amp;" · ","")&amp;IF(AND($S270="Sub",$G270&lt;&gt;""),"Las subactividades no llevan peso"&amp;" · ","")&amp;IF(AND($S270="Macro",ABS(SUMIFS($G$5:$G$1000,$P$5:$P$1000,$P270,$S$5:$S$1000,"Macro")-1)&gt;0.0001),"Pesos del mes suman "&amp;TEXT(SUMIFS($G$5:$G$1000,$P$5:$P$1000,$P270,$S$5:$S$1000,"Macro"),"0%")&amp;" · ","")&amp;IF(AND(N($T270)&gt;0,COUNT($H270:$K270)&gt;0),"Con subactividades: deje vacías las semanas (se calculan solas)"&amp;" · ","")&amp;IF((COUNTIF($H270:$K270,"&gt;1")+COUNTIF($H270:$K270,"&lt;0")+COUNTA($H270:$K270)-COUNT($H270:$K270))&gt;0,"Avance fuera de rango 0-100%"&amp;" · ","")&amp;IF(OR(AND($I270&lt;&gt;"",$I270&lt;$H270),AND($J270&lt;&gt;"",$J270&lt;MAX($H270:$I270)),AND($K270&lt;&gt;"",$K270&lt;MAX($H270:$J270))),"Avance semanal decreciente"&amp;" · ","")&amp;IF(AND(ISNUMBER($F270),$F270&lt;FechaRef,N($L270)&lt;1),"Vencida"&amp;" · ","")&amp;IF(AND(ObsObligatoria="Sí",ISNUMBER($F270),$F270&lt;FechaRef,N($L270)&lt;1,$N270=""),"Vencida sin observación"&amp;" · ",""))-3)))</f>
        <v/>
      </c>
      <c r="P270" s="69">
        <f>IF(NOT((COUNTA($B270:$K270)+COUNTA($N270))&gt;0),"",IF(AND($S270="Sub",N($R270)&gt;0),IF(ISNUMBER(INDEX($E$5:$E$1000,$R270-4)),DATE(YEAR(INDEX($E$5:$E$1000,$R270-4)),MONTH(INDEX($E$5:$E$1000,$R270-4)),1),IF(ISNUMBER(INDEX($F$5:$F$1000,$R270-4)),DATE(YEAR(INDEX($F$5:$F$1000,$R270-4)),MONTH(INDEX($F$5:$F$1000,$R270-4)),1),MesCiclo)),IF(ISNUMBER($E270),DATE(YEAR($E270),MONTH($E270),1),IF(ISNUMBER($F270),DATE(YEAR($F270),MONTH($F270),1),MesCiclo))))</f>
        <v/>
      </c>
      <c r="Q270" s="70">
        <f>IF(OR($P270="",$P270&lt;&gt;MesCiclo),"",COUNTIF($P$5:$P270,MesCiclo))</f>
        <v/>
      </c>
      <c r="R270" s="70">
        <f>IF($S270="","",IF($S270="Macro",ROW(),IFERROR(LOOKUP(2,1/($S$5:$S270="Macro"),ROW($S$5:$S270)),0)))</f>
        <v/>
      </c>
      <c r="S270" s="70">
        <f>IF(NOT((COUNTA($B270:$K270)+COUNTA($N270))&gt;0),"",IF($B270&lt;&gt;"","Macro",IF($C270&lt;&gt;"","Sub","Macro")))</f>
        <v/>
      </c>
      <c r="T270" s="70">
        <f>IF($S270="Macro",COUNTIFS($R$5:$R$1000,ROW(),$S$5:$S$1000,"Sub"),"")</f>
        <v/>
      </c>
      <c r="U270" s="70">
        <f>IF($S270="","",IF(ISNUMBER($H270),$H270,0))</f>
        <v/>
      </c>
      <c r="V270" s="70">
        <f>IF($S270="","",IF(ISNUMBER($I270),$I270,$U270))</f>
        <v/>
      </c>
      <c r="W270" s="70">
        <f>IF($S270="","",IF(ISNUMBER($J270),$J270,$V270))</f>
        <v/>
      </c>
      <c r="X270" s="70">
        <f>IF($S270="","",IF(ISNUMBER($K270),$K270,$W270))</f>
        <v/>
      </c>
      <c r="Y270" s="70">
        <f>IF($S270="","",IF(N($T270)&gt;0,AVERAGEIFS($U$5:$U$1000,$R$5:$R$1000,ROW(),$S$5:$S$1000,"Sub"),$U270))</f>
        <v/>
      </c>
      <c r="Z270" s="70">
        <f>IF($S270="","",IF(N($T270)&gt;0,AVERAGEIFS($V$5:$V$1000,$R$5:$R$1000,ROW(),$S$5:$S$1000,"Sub"),$V270))</f>
        <v/>
      </c>
      <c r="AA270" s="70">
        <f>IF($S270="","",IF(N($T270)&gt;0,AVERAGEIFS($W$5:$W$1000,$R$5:$R$1000,ROW(),$S$5:$S$1000,"Sub"),$W270))</f>
        <v/>
      </c>
      <c r="AB270" s="70">
        <f>IF($S270="","",IF(N($T270)&gt;0,AVERAGEIFS($X$5:$X$1000,$R$5:$R$1000,ROW(),$S$5:$S$1000,"Sub"),$X270))</f>
        <v/>
      </c>
    </row>
    <row r="271">
      <c r="A271" s="61">
        <f>IF(NOT((COUNTA($B271:$K271)+COUNTA($N271))&gt;0),"",IF($S271="Macro",COUNTIFS($S$5:$S271,"Macro",$P$5:$P271,$P271),IF(N($R271)=0,"?",COUNTIFS(INDEX($S$5:$S$1000,1):INDEX($S$5:$S$1000,$R271-4),"Macro",INDEX($P$5:$P$1000,1):INDEX($P$5:$P$1000,$R271-4),INDEX($P$5:$P$1000,$R271-4))&amp;"."&amp;COUNTIFS($R$5:$R271,$R271,$S$5:$S271,"Sub"))))</f>
        <v/>
      </c>
      <c r="B271" s="62" t="n"/>
      <c r="C271" s="63" t="n"/>
      <c r="D271" s="62" t="n"/>
      <c r="E271" s="64" t="n"/>
      <c r="F271" s="64" t="n"/>
      <c r="G271" s="65" t="n"/>
      <c r="H271" s="66" t="n"/>
      <c r="I271" s="66" t="n"/>
      <c r="J271" s="66" t="n"/>
      <c r="K271" s="66" t="n"/>
      <c r="L271" s="67">
        <f>IF(NOT((COUNTA($B271:$K271)+COUNTA($N271))&gt;0),"",IF(N($T271)&gt;0,$AB271,IFERROR(LOOKUP(2,1/(H271:K271&lt;&gt;""),H271:K271),0)))</f>
        <v/>
      </c>
      <c r="M271" s="61">
        <f>IF(L271="","",IF(L271&gt;=1,"Completado",IF(L271&gt;0,"En curso","Pendiente")))</f>
        <v/>
      </c>
      <c r="N271" s="62" t="n"/>
      <c r="O271" s="68">
        <f>IF(NOT((COUNTA($B271:$K271)+COUNTA($N271))&gt;0),"",IF((IF(AND($S271="Macro",$B271=""),"Macroactividad vacía"&amp;" · ","")&amp;IF(AND($B271&lt;&gt;"",$C271&lt;&gt;""),"Escriba la subactividad en otra fila, debajo de su macroactividad"&amp;" · ","")&amp;IF(AND($S271="Sub",N($R271)=0),"Subactividad sin macroactividad arriba"&amp;" · ","")&amp;IF($D271="","Sin responsable"&amp;" · ","")&amp;IF($E271="","Sin fecha de inicio"&amp;" · ","")&amp;IF($F271="","Sin fecha límite"&amp;" · ","")&amp;IF(OR(AND($E271&lt;&gt;"",NOT(ISNUMBER($E271))),AND($F271&lt;&gt;"",NOT(ISNUMBER($F271)))),"Fecha no válida"&amp;" · ","")&amp;IF(AND(ISNUMBER($E271),ISNUMBER($F271),$E271&gt;$F271),"Inicio posterior a fecha límite"&amp;" · ","")&amp;IF(AND($S271="Macro",$G271=""),"Peso vacío"&amp;" · ","")&amp;IF(AND($S271="Macro",$G271&lt;&gt;"",OR(NOT(ISNUMBER($G271)),$G271&lt;=0,$G271&gt;1)),"Peso fuera de rango"&amp;" · ","")&amp;IF(AND($S271="Sub",$G271&lt;&gt;""),"Las subactividades no llevan peso"&amp;" · ","")&amp;IF(AND($S271="Macro",ABS(SUMIFS($G$5:$G$1000,$P$5:$P$1000,$P271,$S$5:$S$1000,"Macro")-1)&gt;0.0001),"Pesos del mes suman "&amp;TEXT(SUMIFS($G$5:$G$1000,$P$5:$P$1000,$P271,$S$5:$S$1000,"Macro"),"0%")&amp;" · ","")&amp;IF(AND(N($T271)&gt;0,COUNT($H271:$K271)&gt;0),"Con subactividades: deje vacías las semanas (se calculan solas)"&amp;" · ","")&amp;IF((COUNTIF($H271:$K271,"&gt;1")+COUNTIF($H271:$K271,"&lt;0")+COUNTA($H271:$K271)-COUNT($H271:$K271))&gt;0,"Avance fuera de rango 0-100%"&amp;" · ","")&amp;IF(OR(AND($I271&lt;&gt;"",$I271&lt;$H271),AND($J271&lt;&gt;"",$J271&lt;MAX($H271:$I271)),AND($K271&lt;&gt;"",$K271&lt;MAX($H271:$J271))),"Avance semanal decreciente"&amp;" · ","")&amp;IF(AND(ISNUMBER($F271),$F271&lt;FechaRef,N($L271)&lt;1),"Vencida"&amp;" · ","")&amp;IF(AND(ObsObligatoria="Sí",ISNUMBER($F271),$F271&lt;FechaRef,N($L271)&lt;1,$N271=""),"Vencida sin observación"&amp;" · ",""))="","✔ OK","⚠ "&amp;LEFT(IF(AND($S271="Macro",$B271=""),"Macroactividad vacía"&amp;" · ","")&amp;IF(AND($B271&lt;&gt;"",$C271&lt;&gt;""),"Escriba la subactividad en otra fila, debajo de su macroactividad"&amp;" · ","")&amp;IF(AND($S271="Sub",N($R271)=0),"Subactividad sin macroactividad arriba"&amp;" · ","")&amp;IF($D271="","Sin responsable"&amp;" · ","")&amp;IF($E271="","Sin fecha de inicio"&amp;" · ","")&amp;IF($F271="","Sin fecha límite"&amp;" · ","")&amp;IF(OR(AND($E271&lt;&gt;"",NOT(ISNUMBER($E271))),AND($F271&lt;&gt;"",NOT(ISNUMBER($F271)))),"Fecha no válida"&amp;" · ","")&amp;IF(AND(ISNUMBER($E271),ISNUMBER($F271),$E271&gt;$F271),"Inicio posterior a fecha límite"&amp;" · ","")&amp;IF(AND($S271="Macro",$G271=""),"Peso vacío"&amp;" · ","")&amp;IF(AND($S271="Macro",$G271&lt;&gt;"",OR(NOT(ISNUMBER($G271)),$G271&lt;=0,$G271&gt;1)),"Peso fuera de rango"&amp;" · ","")&amp;IF(AND($S271="Sub",$G271&lt;&gt;""),"Las subactividades no llevan peso"&amp;" · ","")&amp;IF(AND($S271="Macro",ABS(SUMIFS($G$5:$G$1000,$P$5:$P$1000,$P271,$S$5:$S$1000,"Macro")-1)&gt;0.0001),"Pesos del mes suman "&amp;TEXT(SUMIFS($G$5:$G$1000,$P$5:$P$1000,$P271,$S$5:$S$1000,"Macro"),"0%")&amp;" · ","")&amp;IF(AND(N($T271)&gt;0,COUNT($H271:$K271)&gt;0),"Con subactividades: deje vacías las semanas (se calculan solas)"&amp;" · ","")&amp;IF((COUNTIF($H271:$K271,"&gt;1")+COUNTIF($H271:$K271,"&lt;0")+COUNTA($H271:$K271)-COUNT($H271:$K271))&gt;0,"Avance fuera de rango 0-100%"&amp;" · ","")&amp;IF(OR(AND($I271&lt;&gt;"",$I271&lt;$H271),AND($J271&lt;&gt;"",$J271&lt;MAX($H271:$I271)),AND($K271&lt;&gt;"",$K271&lt;MAX($H271:$J271))),"Avance semanal decreciente"&amp;" · ","")&amp;IF(AND(ISNUMBER($F271),$F271&lt;FechaRef,N($L271)&lt;1),"Vencida"&amp;" · ","")&amp;IF(AND(ObsObligatoria="Sí",ISNUMBER($F271),$F271&lt;FechaRef,N($L271)&lt;1,$N271=""),"Vencida sin observación"&amp;" · ",""),LEN(IF(AND($S271="Macro",$B271=""),"Macroactividad vacía"&amp;" · ","")&amp;IF(AND($B271&lt;&gt;"",$C271&lt;&gt;""),"Escriba la subactividad en otra fila, debajo de su macroactividad"&amp;" · ","")&amp;IF(AND($S271="Sub",N($R271)=0),"Subactividad sin macroactividad arriba"&amp;" · ","")&amp;IF($D271="","Sin responsable"&amp;" · ","")&amp;IF($E271="","Sin fecha de inicio"&amp;" · ","")&amp;IF($F271="","Sin fecha límite"&amp;" · ","")&amp;IF(OR(AND($E271&lt;&gt;"",NOT(ISNUMBER($E271))),AND($F271&lt;&gt;"",NOT(ISNUMBER($F271)))),"Fecha no válida"&amp;" · ","")&amp;IF(AND(ISNUMBER($E271),ISNUMBER($F271),$E271&gt;$F271),"Inicio posterior a fecha límite"&amp;" · ","")&amp;IF(AND($S271="Macro",$G271=""),"Peso vacío"&amp;" · ","")&amp;IF(AND($S271="Macro",$G271&lt;&gt;"",OR(NOT(ISNUMBER($G271)),$G271&lt;=0,$G271&gt;1)),"Peso fuera de rango"&amp;" · ","")&amp;IF(AND($S271="Sub",$G271&lt;&gt;""),"Las subactividades no llevan peso"&amp;" · ","")&amp;IF(AND($S271="Macro",ABS(SUMIFS($G$5:$G$1000,$P$5:$P$1000,$P271,$S$5:$S$1000,"Macro")-1)&gt;0.0001),"Pesos del mes suman "&amp;TEXT(SUMIFS($G$5:$G$1000,$P$5:$P$1000,$P271,$S$5:$S$1000,"Macro"),"0%")&amp;" · ","")&amp;IF(AND(N($T271)&gt;0,COUNT($H271:$K271)&gt;0),"Con subactividades: deje vacías las semanas (se calculan solas)"&amp;" · ","")&amp;IF((COUNTIF($H271:$K271,"&gt;1")+COUNTIF($H271:$K271,"&lt;0")+COUNTA($H271:$K271)-COUNT($H271:$K271))&gt;0,"Avance fuera de rango 0-100%"&amp;" · ","")&amp;IF(OR(AND($I271&lt;&gt;"",$I271&lt;$H271),AND($J271&lt;&gt;"",$J271&lt;MAX($H271:$I271)),AND($K271&lt;&gt;"",$K271&lt;MAX($H271:$J271))),"Avance semanal decreciente"&amp;" · ","")&amp;IF(AND(ISNUMBER($F271),$F271&lt;FechaRef,N($L271)&lt;1),"Vencida"&amp;" · ","")&amp;IF(AND(ObsObligatoria="Sí",ISNUMBER($F271),$F271&lt;FechaRef,N($L271)&lt;1,$N271=""),"Vencida sin observación"&amp;" · ",""))-3)))</f>
        <v/>
      </c>
      <c r="P271" s="69">
        <f>IF(NOT((COUNTA($B271:$K271)+COUNTA($N271))&gt;0),"",IF(AND($S271="Sub",N($R271)&gt;0),IF(ISNUMBER(INDEX($E$5:$E$1000,$R271-4)),DATE(YEAR(INDEX($E$5:$E$1000,$R271-4)),MONTH(INDEX($E$5:$E$1000,$R271-4)),1),IF(ISNUMBER(INDEX($F$5:$F$1000,$R271-4)),DATE(YEAR(INDEX($F$5:$F$1000,$R271-4)),MONTH(INDEX($F$5:$F$1000,$R271-4)),1),MesCiclo)),IF(ISNUMBER($E271),DATE(YEAR($E271),MONTH($E271),1),IF(ISNUMBER($F271),DATE(YEAR($F271),MONTH($F271),1),MesCiclo))))</f>
        <v/>
      </c>
      <c r="Q271" s="70">
        <f>IF(OR($P271="",$P271&lt;&gt;MesCiclo),"",COUNTIF($P$5:$P271,MesCiclo))</f>
        <v/>
      </c>
      <c r="R271" s="70">
        <f>IF($S271="","",IF($S271="Macro",ROW(),IFERROR(LOOKUP(2,1/($S$5:$S271="Macro"),ROW($S$5:$S271)),0)))</f>
        <v/>
      </c>
      <c r="S271" s="70">
        <f>IF(NOT((COUNTA($B271:$K271)+COUNTA($N271))&gt;0),"",IF($B271&lt;&gt;"","Macro",IF($C271&lt;&gt;"","Sub","Macro")))</f>
        <v/>
      </c>
      <c r="T271" s="70">
        <f>IF($S271="Macro",COUNTIFS($R$5:$R$1000,ROW(),$S$5:$S$1000,"Sub"),"")</f>
        <v/>
      </c>
      <c r="U271" s="70">
        <f>IF($S271="","",IF(ISNUMBER($H271),$H271,0))</f>
        <v/>
      </c>
      <c r="V271" s="70">
        <f>IF($S271="","",IF(ISNUMBER($I271),$I271,$U271))</f>
        <v/>
      </c>
      <c r="W271" s="70">
        <f>IF($S271="","",IF(ISNUMBER($J271),$J271,$V271))</f>
        <v/>
      </c>
      <c r="X271" s="70">
        <f>IF($S271="","",IF(ISNUMBER($K271),$K271,$W271))</f>
        <v/>
      </c>
      <c r="Y271" s="70">
        <f>IF($S271="","",IF(N($T271)&gt;0,AVERAGEIFS($U$5:$U$1000,$R$5:$R$1000,ROW(),$S$5:$S$1000,"Sub"),$U271))</f>
        <v/>
      </c>
      <c r="Z271" s="70">
        <f>IF($S271="","",IF(N($T271)&gt;0,AVERAGEIFS($V$5:$V$1000,$R$5:$R$1000,ROW(),$S$5:$S$1000,"Sub"),$V271))</f>
        <v/>
      </c>
      <c r="AA271" s="70">
        <f>IF($S271="","",IF(N($T271)&gt;0,AVERAGEIFS($W$5:$W$1000,$R$5:$R$1000,ROW(),$S$5:$S$1000,"Sub"),$W271))</f>
        <v/>
      </c>
      <c r="AB271" s="70">
        <f>IF($S271="","",IF(N($T271)&gt;0,AVERAGEIFS($X$5:$X$1000,$R$5:$R$1000,ROW(),$S$5:$S$1000,"Sub"),$X271))</f>
        <v/>
      </c>
    </row>
    <row r="272">
      <c r="A272" s="61">
        <f>IF(NOT((COUNTA($B272:$K272)+COUNTA($N272))&gt;0),"",IF($S272="Macro",COUNTIFS($S$5:$S272,"Macro",$P$5:$P272,$P272),IF(N($R272)=0,"?",COUNTIFS(INDEX($S$5:$S$1000,1):INDEX($S$5:$S$1000,$R272-4),"Macro",INDEX($P$5:$P$1000,1):INDEX($P$5:$P$1000,$R272-4),INDEX($P$5:$P$1000,$R272-4))&amp;"."&amp;COUNTIFS($R$5:$R272,$R272,$S$5:$S272,"Sub"))))</f>
        <v/>
      </c>
      <c r="B272" s="62" t="n"/>
      <c r="C272" s="63" t="n"/>
      <c r="D272" s="62" t="n"/>
      <c r="E272" s="64" t="n"/>
      <c r="F272" s="64" t="n"/>
      <c r="G272" s="65" t="n"/>
      <c r="H272" s="66" t="n"/>
      <c r="I272" s="66" t="n"/>
      <c r="J272" s="66" t="n"/>
      <c r="K272" s="66" t="n"/>
      <c r="L272" s="67">
        <f>IF(NOT((COUNTA($B272:$K272)+COUNTA($N272))&gt;0),"",IF(N($T272)&gt;0,$AB272,IFERROR(LOOKUP(2,1/(H272:K272&lt;&gt;""),H272:K272),0)))</f>
        <v/>
      </c>
      <c r="M272" s="61">
        <f>IF(L272="","",IF(L272&gt;=1,"Completado",IF(L272&gt;0,"En curso","Pendiente")))</f>
        <v/>
      </c>
      <c r="N272" s="62" t="n"/>
      <c r="O272" s="68">
        <f>IF(NOT((COUNTA($B272:$K272)+COUNTA($N272))&gt;0),"",IF((IF(AND($S272="Macro",$B272=""),"Macroactividad vacía"&amp;" · ","")&amp;IF(AND($B272&lt;&gt;"",$C272&lt;&gt;""),"Escriba la subactividad en otra fila, debajo de su macroactividad"&amp;" · ","")&amp;IF(AND($S272="Sub",N($R272)=0),"Subactividad sin macroactividad arriba"&amp;" · ","")&amp;IF($D272="","Sin responsable"&amp;" · ","")&amp;IF($E272="","Sin fecha de inicio"&amp;" · ","")&amp;IF($F272="","Sin fecha límite"&amp;" · ","")&amp;IF(OR(AND($E272&lt;&gt;"",NOT(ISNUMBER($E272))),AND($F272&lt;&gt;"",NOT(ISNUMBER($F272)))),"Fecha no válida"&amp;" · ","")&amp;IF(AND(ISNUMBER($E272),ISNUMBER($F272),$E272&gt;$F272),"Inicio posterior a fecha límite"&amp;" · ","")&amp;IF(AND($S272="Macro",$G272=""),"Peso vacío"&amp;" · ","")&amp;IF(AND($S272="Macro",$G272&lt;&gt;"",OR(NOT(ISNUMBER($G272)),$G272&lt;=0,$G272&gt;1)),"Peso fuera de rango"&amp;" · ","")&amp;IF(AND($S272="Sub",$G272&lt;&gt;""),"Las subactividades no llevan peso"&amp;" · ","")&amp;IF(AND($S272="Macro",ABS(SUMIFS($G$5:$G$1000,$P$5:$P$1000,$P272,$S$5:$S$1000,"Macro")-1)&gt;0.0001),"Pesos del mes suman "&amp;TEXT(SUMIFS($G$5:$G$1000,$P$5:$P$1000,$P272,$S$5:$S$1000,"Macro"),"0%")&amp;" · ","")&amp;IF(AND(N($T272)&gt;0,COUNT($H272:$K272)&gt;0),"Con subactividades: deje vacías las semanas (se calculan solas)"&amp;" · ","")&amp;IF((COUNTIF($H272:$K272,"&gt;1")+COUNTIF($H272:$K272,"&lt;0")+COUNTA($H272:$K272)-COUNT($H272:$K272))&gt;0,"Avance fuera de rango 0-100%"&amp;" · ","")&amp;IF(OR(AND($I272&lt;&gt;"",$I272&lt;$H272),AND($J272&lt;&gt;"",$J272&lt;MAX($H272:$I272)),AND($K272&lt;&gt;"",$K272&lt;MAX($H272:$J272))),"Avance semanal decreciente"&amp;" · ","")&amp;IF(AND(ISNUMBER($F272),$F272&lt;FechaRef,N($L272)&lt;1),"Vencida"&amp;" · ","")&amp;IF(AND(ObsObligatoria="Sí",ISNUMBER($F272),$F272&lt;FechaRef,N($L272)&lt;1,$N272=""),"Vencida sin observación"&amp;" · ",""))="","✔ OK","⚠ "&amp;LEFT(IF(AND($S272="Macro",$B272=""),"Macroactividad vacía"&amp;" · ","")&amp;IF(AND($B272&lt;&gt;"",$C272&lt;&gt;""),"Escriba la subactividad en otra fila, debajo de su macroactividad"&amp;" · ","")&amp;IF(AND($S272="Sub",N($R272)=0),"Subactividad sin macroactividad arriba"&amp;" · ","")&amp;IF($D272="","Sin responsable"&amp;" · ","")&amp;IF($E272="","Sin fecha de inicio"&amp;" · ","")&amp;IF($F272="","Sin fecha límite"&amp;" · ","")&amp;IF(OR(AND($E272&lt;&gt;"",NOT(ISNUMBER($E272))),AND($F272&lt;&gt;"",NOT(ISNUMBER($F272)))),"Fecha no válida"&amp;" · ","")&amp;IF(AND(ISNUMBER($E272),ISNUMBER($F272),$E272&gt;$F272),"Inicio posterior a fecha límite"&amp;" · ","")&amp;IF(AND($S272="Macro",$G272=""),"Peso vacío"&amp;" · ","")&amp;IF(AND($S272="Macro",$G272&lt;&gt;"",OR(NOT(ISNUMBER($G272)),$G272&lt;=0,$G272&gt;1)),"Peso fuera de rango"&amp;" · ","")&amp;IF(AND($S272="Sub",$G272&lt;&gt;""),"Las subactividades no llevan peso"&amp;" · ","")&amp;IF(AND($S272="Macro",ABS(SUMIFS($G$5:$G$1000,$P$5:$P$1000,$P272,$S$5:$S$1000,"Macro")-1)&gt;0.0001),"Pesos del mes suman "&amp;TEXT(SUMIFS($G$5:$G$1000,$P$5:$P$1000,$P272,$S$5:$S$1000,"Macro"),"0%")&amp;" · ","")&amp;IF(AND(N($T272)&gt;0,COUNT($H272:$K272)&gt;0),"Con subactividades: deje vacías las semanas (se calculan solas)"&amp;" · ","")&amp;IF((COUNTIF($H272:$K272,"&gt;1")+COUNTIF($H272:$K272,"&lt;0")+COUNTA($H272:$K272)-COUNT($H272:$K272))&gt;0,"Avance fuera de rango 0-100%"&amp;" · ","")&amp;IF(OR(AND($I272&lt;&gt;"",$I272&lt;$H272),AND($J272&lt;&gt;"",$J272&lt;MAX($H272:$I272)),AND($K272&lt;&gt;"",$K272&lt;MAX($H272:$J272))),"Avance semanal decreciente"&amp;" · ","")&amp;IF(AND(ISNUMBER($F272),$F272&lt;FechaRef,N($L272)&lt;1),"Vencida"&amp;" · ","")&amp;IF(AND(ObsObligatoria="Sí",ISNUMBER($F272),$F272&lt;FechaRef,N($L272)&lt;1,$N272=""),"Vencida sin observación"&amp;" · ",""),LEN(IF(AND($S272="Macro",$B272=""),"Macroactividad vacía"&amp;" · ","")&amp;IF(AND($B272&lt;&gt;"",$C272&lt;&gt;""),"Escriba la subactividad en otra fila, debajo de su macroactividad"&amp;" · ","")&amp;IF(AND($S272="Sub",N($R272)=0),"Subactividad sin macroactividad arriba"&amp;" · ","")&amp;IF($D272="","Sin responsable"&amp;" · ","")&amp;IF($E272="","Sin fecha de inicio"&amp;" · ","")&amp;IF($F272="","Sin fecha límite"&amp;" · ","")&amp;IF(OR(AND($E272&lt;&gt;"",NOT(ISNUMBER($E272))),AND($F272&lt;&gt;"",NOT(ISNUMBER($F272)))),"Fecha no válida"&amp;" · ","")&amp;IF(AND(ISNUMBER($E272),ISNUMBER($F272),$E272&gt;$F272),"Inicio posterior a fecha límite"&amp;" · ","")&amp;IF(AND($S272="Macro",$G272=""),"Peso vacío"&amp;" · ","")&amp;IF(AND($S272="Macro",$G272&lt;&gt;"",OR(NOT(ISNUMBER($G272)),$G272&lt;=0,$G272&gt;1)),"Peso fuera de rango"&amp;" · ","")&amp;IF(AND($S272="Sub",$G272&lt;&gt;""),"Las subactividades no llevan peso"&amp;" · ","")&amp;IF(AND($S272="Macro",ABS(SUMIFS($G$5:$G$1000,$P$5:$P$1000,$P272,$S$5:$S$1000,"Macro")-1)&gt;0.0001),"Pesos del mes suman "&amp;TEXT(SUMIFS($G$5:$G$1000,$P$5:$P$1000,$P272,$S$5:$S$1000,"Macro"),"0%")&amp;" · ","")&amp;IF(AND(N($T272)&gt;0,COUNT($H272:$K272)&gt;0),"Con subactividades: deje vacías las semanas (se calculan solas)"&amp;" · ","")&amp;IF((COUNTIF($H272:$K272,"&gt;1")+COUNTIF($H272:$K272,"&lt;0")+COUNTA($H272:$K272)-COUNT($H272:$K272))&gt;0,"Avance fuera de rango 0-100%"&amp;" · ","")&amp;IF(OR(AND($I272&lt;&gt;"",$I272&lt;$H272),AND($J272&lt;&gt;"",$J272&lt;MAX($H272:$I272)),AND($K272&lt;&gt;"",$K272&lt;MAX($H272:$J272))),"Avance semanal decreciente"&amp;" · ","")&amp;IF(AND(ISNUMBER($F272),$F272&lt;FechaRef,N($L272)&lt;1),"Vencida"&amp;" · ","")&amp;IF(AND(ObsObligatoria="Sí",ISNUMBER($F272),$F272&lt;FechaRef,N($L272)&lt;1,$N272=""),"Vencida sin observación"&amp;" · ",""))-3)))</f>
        <v/>
      </c>
      <c r="P272" s="69">
        <f>IF(NOT((COUNTA($B272:$K272)+COUNTA($N272))&gt;0),"",IF(AND($S272="Sub",N($R272)&gt;0),IF(ISNUMBER(INDEX($E$5:$E$1000,$R272-4)),DATE(YEAR(INDEX($E$5:$E$1000,$R272-4)),MONTH(INDEX($E$5:$E$1000,$R272-4)),1),IF(ISNUMBER(INDEX($F$5:$F$1000,$R272-4)),DATE(YEAR(INDEX($F$5:$F$1000,$R272-4)),MONTH(INDEX($F$5:$F$1000,$R272-4)),1),MesCiclo)),IF(ISNUMBER($E272),DATE(YEAR($E272),MONTH($E272),1),IF(ISNUMBER($F272),DATE(YEAR($F272),MONTH($F272),1),MesCiclo))))</f>
        <v/>
      </c>
      <c r="Q272" s="70">
        <f>IF(OR($P272="",$P272&lt;&gt;MesCiclo),"",COUNTIF($P$5:$P272,MesCiclo))</f>
        <v/>
      </c>
      <c r="R272" s="70">
        <f>IF($S272="","",IF($S272="Macro",ROW(),IFERROR(LOOKUP(2,1/($S$5:$S272="Macro"),ROW($S$5:$S272)),0)))</f>
        <v/>
      </c>
      <c r="S272" s="70">
        <f>IF(NOT((COUNTA($B272:$K272)+COUNTA($N272))&gt;0),"",IF($B272&lt;&gt;"","Macro",IF($C272&lt;&gt;"","Sub","Macro")))</f>
        <v/>
      </c>
      <c r="T272" s="70">
        <f>IF($S272="Macro",COUNTIFS($R$5:$R$1000,ROW(),$S$5:$S$1000,"Sub"),"")</f>
        <v/>
      </c>
      <c r="U272" s="70">
        <f>IF($S272="","",IF(ISNUMBER($H272),$H272,0))</f>
        <v/>
      </c>
      <c r="V272" s="70">
        <f>IF($S272="","",IF(ISNUMBER($I272),$I272,$U272))</f>
        <v/>
      </c>
      <c r="W272" s="70">
        <f>IF($S272="","",IF(ISNUMBER($J272),$J272,$V272))</f>
        <v/>
      </c>
      <c r="X272" s="70">
        <f>IF($S272="","",IF(ISNUMBER($K272),$K272,$W272))</f>
        <v/>
      </c>
      <c r="Y272" s="70">
        <f>IF($S272="","",IF(N($T272)&gt;0,AVERAGEIFS($U$5:$U$1000,$R$5:$R$1000,ROW(),$S$5:$S$1000,"Sub"),$U272))</f>
        <v/>
      </c>
      <c r="Z272" s="70">
        <f>IF($S272="","",IF(N($T272)&gt;0,AVERAGEIFS($V$5:$V$1000,$R$5:$R$1000,ROW(),$S$5:$S$1000,"Sub"),$V272))</f>
        <v/>
      </c>
      <c r="AA272" s="70">
        <f>IF($S272="","",IF(N($T272)&gt;0,AVERAGEIFS($W$5:$W$1000,$R$5:$R$1000,ROW(),$S$5:$S$1000,"Sub"),$W272))</f>
        <v/>
      </c>
      <c r="AB272" s="70">
        <f>IF($S272="","",IF(N($T272)&gt;0,AVERAGEIFS($X$5:$X$1000,$R$5:$R$1000,ROW(),$S$5:$S$1000,"Sub"),$X272))</f>
        <v/>
      </c>
    </row>
    <row r="273">
      <c r="A273" s="61">
        <f>IF(NOT((COUNTA($B273:$K273)+COUNTA($N273))&gt;0),"",IF($S273="Macro",COUNTIFS($S$5:$S273,"Macro",$P$5:$P273,$P273),IF(N($R273)=0,"?",COUNTIFS(INDEX($S$5:$S$1000,1):INDEX($S$5:$S$1000,$R273-4),"Macro",INDEX($P$5:$P$1000,1):INDEX($P$5:$P$1000,$R273-4),INDEX($P$5:$P$1000,$R273-4))&amp;"."&amp;COUNTIFS($R$5:$R273,$R273,$S$5:$S273,"Sub"))))</f>
        <v/>
      </c>
      <c r="B273" s="62" t="n"/>
      <c r="C273" s="63" t="n"/>
      <c r="D273" s="62" t="n"/>
      <c r="E273" s="64" t="n"/>
      <c r="F273" s="64" t="n"/>
      <c r="G273" s="65" t="n"/>
      <c r="H273" s="66" t="n"/>
      <c r="I273" s="66" t="n"/>
      <c r="J273" s="66" t="n"/>
      <c r="K273" s="66" t="n"/>
      <c r="L273" s="67">
        <f>IF(NOT((COUNTA($B273:$K273)+COUNTA($N273))&gt;0),"",IF(N($T273)&gt;0,$AB273,IFERROR(LOOKUP(2,1/(H273:K273&lt;&gt;""),H273:K273),0)))</f>
        <v/>
      </c>
      <c r="M273" s="61">
        <f>IF(L273="","",IF(L273&gt;=1,"Completado",IF(L273&gt;0,"En curso","Pendiente")))</f>
        <v/>
      </c>
      <c r="N273" s="62" t="n"/>
      <c r="O273" s="68">
        <f>IF(NOT((COUNTA($B273:$K273)+COUNTA($N273))&gt;0),"",IF((IF(AND($S273="Macro",$B273=""),"Macroactividad vacía"&amp;" · ","")&amp;IF(AND($B273&lt;&gt;"",$C273&lt;&gt;""),"Escriba la subactividad en otra fila, debajo de su macroactividad"&amp;" · ","")&amp;IF(AND($S273="Sub",N($R273)=0),"Subactividad sin macroactividad arriba"&amp;" · ","")&amp;IF($D273="","Sin responsable"&amp;" · ","")&amp;IF($E273="","Sin fecha de inicio"&amp;" · ","")&amp;IF($F273="","Sin fecha límite"&amp;" · ","")&amp;IF(OR(AND($E273&lt;&gt;"",NOT(ISNUMBER($E273))),AND($F273&lt;&gt;"",NOT(ISNUMBER($F273)))),"Fecha no válida"&amp;" · ","")&amp;IF(AND(ISNUMBER($E273),ISNUMBER($F273),$E273&gt;$F273),"Inicio posterior a fecha límite"&amp;" · ","")&amp;IF(AND($S273="Macro",$G273=""),"Peso vacío"&amp;" · ","")&amp;IF(AND($S273="Macro",$G273&lt;&gt;"",OR(NOT(ISNUMBER($G273)),$G273&lt;=0,$G273&gt;1)),"Peso fuera de rango"&amp;" · ","")&amp;IF(AND($S273="Sub",$G273&lt;&gt;""),"Las subactividades no llevan peso"&amp;" · ","")&amp;IF(AND($S273="Macro",ABS(SUMIFS($G$5:$G$1000,$P$5:$P$1000,$P273,$S$5:$S$1000,"Macro")-1)&gt;0.0001),"Pesos del mes suman "&amp;TEXT(SUMIFS($G$5:$G$1000,$P$5:$P$1000,$P273,$S$5:$S$1000,"Macro"),"0%")&amp;" · ","")&amp;IF(AND(N($T273)&gt;0,COUNT($H273:$K273)&gt;0),"Con subactividades: deje vacías las semanas (se calculan solas)"&amp;" · ","")&amp;IF((COUNTIF($H273:$K273,"&gt;1")+COUNTIF($H273:$K273,"&lt;0")+COUNTA($H273:$K273)-COUNT($H273:$K273))&gt;0,"Avance fuera de rango 0-100%"&amp;" · ","")&amp;IF(OR(AND($I273&lt;&gt;"",$I273&lt;$H273),AND($J273&lt;&gt;"",$J273&lt;MAX($H273:$I273)),AND($K273&lt;&gt;"",$K273&lt;MAX($H273:$J273))),"Avance semanal decreciente"&amp;" · ","")&amp;IF(AND(ISNUMBER($F273),$F273&lt;FechaRef,N($L273)&lt;1),"Vencida"&amp;" · ","")&amp;IF(AND(ObsObligatoria="Sí",ISNUMBER($F273),$F273&lt;FechaRef,N($L273)&lt;1,$N273=""),"Vencida sin observación"&amp;" · ",""))="","✔ OK","⚠ "&amp;LEFT(IF(AND($S273="Macro",$B273=""),"Macroactividad vacía"&amp;" · ","")&amp;IF(AND($B273&lt;&gt;"",$C273&lt;&gt;""),"Escriba la subactividad en otra fila, debajo de su macroactividad"&amp;" · ","")&amp;IF(AND($S273="Sub",N($R273)=0),"Subactividad sin macroactividad arriba"&amp;" · ","")&amp;IF($D273="","Sin responsable"&amp;" · ","")&amp;IF($E273="","Sin fecha de inicio"&amp;" · ","")&amp;IF($F273="","Sin fecha límite"&amp;" · ","")&amp;IF(OR(AND($E273&lt;&gt;"",NOT(ISNUMBER($E273))),AND($F273&lt;&gt;"",NOT(ISNUMBER($F273)))),"Fecha no válida"&amp;" · ","")&amp;IF(AND(ISNUMBER($E273),ISNUMBER($F273),$E273&gt;$F273),"Inicio posterior a fecha límite"&amp;" · ","")&amp;IF(AND($S273="Macro",$G273=""),"Peso vacío"&amp;" · ","")&amp;IF(AND($S273="Macro",$G273&lt;&gt;"",OR(NOT(ISNUMBER($G273)),$G273&lt;=0,$G273&gt;1)),"Peso fuera de rango"&amp;" · ","")&amp;IF(AND($S273="Sub",$G273&lt;&gt;""),"Las subactividades no llevan peso"&amp;" · ","")&amp;IF(AND($S273="Macro",ABS(SUMIFS($G$5:$G$1000,$P$5:$P$1000,$P273,$S$5:$S$1000,"Macro")-1)&gt;0.0001),"Pesos del mes suman "&amp;TEXT(SUMIFS($G$5:$G$1000,$P$5:$P$1000,$P273,$S$5:$S$1000,"Macro"),"0%")&amp;" · ","")&amp;IF(AND(N($T273)&gt;0,COUNT($H273:$K273)&gt;0),"Con subactividades: deje vacías las semanas (se calculan solas)"&amp;" · ","")&amp;IF((COUNTIF($H273:$K273,"&gt;1")+COUNTIF($H273:$K273,"&lt;0")+COUNTA($H273:$K273)-COUNT($H273:$K273))&gt;0,"Avance fuera de rango 0-100%"&amp;" · ","")&amp;IF(OR(AND($I273&lt;&gt;"",$I273&lt;$H273),AND($J273&lt;&gt;"",$J273&lt;MAX($H273:$I273)),AND($K273&lt;&gt;"",$K273&lt;MAX($H273:$J273))),"Avance semanal decreciente"&amp;" · ","")&amp;IF(AND(ISNUMBER($F273),$F273&lt;FechaRef,N($L273)&lt;1),"Vencida"&amp;" · ","")&amp;IF(AND(ObsObligatoria="Sí",ISNUMBER($F273),$F273&lt;FechaRef,N($L273)&lt;1,$N273=""),"Vencida sin observación"&amp;" · ",""),LEN(IF(AND($S273="Macro",$B273=""),"Macroactividad vacía"&amp;" · ","")&amp;IF(AND($B273&lt;&gt;"",$C273&lt;&gt;""),"Escriba la subactividad en otra fila, debajo de su macroactividad"&amp;" · ","")&amp;IF(AND($S273="Sub",N($R273)=0),"Subactividad sin macroactividad arriba"&amp;" · ","")&amp;IF($D273="","Sin responsable"&amp;" · ","")&amp;IF($E273="","Sin fecha de inicio"&amp;" · ","")&amp;IF($F273="","Sin fecha límite"&amp;" · ","")&amp;IF(OR(AND($E273&lt;&gt;"",NOT(ISNUMBER($E273))),AND($F273&lt;&gt;"",NOT(ISNUMBER($F273)))),"Fecha no válida"&amp;" · ","")&amp;IF(AND(ISNUMBER($E273),ISNUMBER($F273),$E273&gt;$F273),"Inicio posterior a fecha límite"&amp;" · ","")&amp;IF(AND($S273="Macro",$G273=""),"Peso vacío"&amp;" · ","")&amp;IF(AND($S273="Macro",$G273&lt;&gt;"",OR(NOT(ISNUMBER($G273)),$G273&lt;=0,$G273&gt;1)),"Peso fuera de rango"&amp;" · ","")&amp;IF(AND($S273="Sub",$G273&lt;&gt;""),"Las subactividades no llevan peso"&amp;" · ","")&amp;IF(AND($S273="Macro",ABS(SUMIFS($G$5:$G$1000,$P$5:$P$1000,$P273,$S$5:$S$1000,"Macro")-1)&gt;0.0001),"Pesos del mes suman "&amp;TEXT(SUMIFS($G$5:$G$1000,$P$5:$P$1000,$P273,$S$5:$S$1000,"Macro"),"0%")&amp;" · ","")&amp;IF(AND(N($T273)&gt;0,COUNT($H273:$K273)&gt;0),"Con subactividades: deje vacías las semanas (se calculan solas)"&amp;" · ","")&amp;IF((COUNTIF($H273:$K273,"&gt;1")+COUNTIF($H273:$K273,"&lt;0")+COUNTA($H273:$K273)-COUNT($H273:$K273))&gt;0,"Avance fuera de rango 0-100%"&amp;" · ","")&amp;IF(OR(AND($I273&lt;&gt;"",$I273&lt;$H273),AND($J273&lt;&gt;"",$J273&lt;MAX($H273:$I273)),AND($K273&lt;&gt;"",$K273&lt;MAX($H273:$J273))),"Avance semanal decreciente"&amp;" · ","")&amp;IF(AND(ISNUMBER($F273),$F273&lt;FechaRef,N($L273)&lt;1),"Vencida"&amp;" · ","")&amp;IF(AND(ObsObligatoria="Sí",ISNUMBER($F273),$F273&lt;FechaRef,N($L273)&lt;1,$N273=""),"Vencida sin observación"&amp;" · ",""))-3)))</f>
        <v/>
      </c>
      <c r="P273" s="69">
        <f>IF(NOT((COUNTA($B273:$K273)+COUNTA($N273))&gt;0),"",IF(AND($S273="Sub",N($R273)&gt;0),IF(ISNUMBER(INDEX($E$5:$E$1000,$R273-4)),DATE(YEAR(INDEX($E$5:$E$1000,$R273-4)),MONTH(INDEX($E$5:$E$1000,$R273-4)),1),IF(ISNUMBER(INDEX($F$5:$F$1000,$R273-4)),DATE(YEAR(INDEX($F$5:$F$1000,$R273-4)),MONTH(INDEX($F$5:$F$1000,$R273-4)),1),MesCiclo)),IF(ISNUMBER($E273),DATE(YEAR($E273),MONTH($E273),1),IF(ISNUMBER($F273),DATE(YEAR($F273),MONTH($F273),1),MesCiclo))))</f>
        <v/>
      </c>
      <c r="Q273" s="70">
        <f>IF(OR($P273="",$P273&lt;&gt;MesCiclo),"",COUNTIF($P$5:$P273,MesCiclo))</f>
        <v/>
      </c>
      <c r="R273" s="70">
        <f>IF($S273="","",IF($S273="Macro",ROW(),IFERROR(LOOKUP(2,1/($S$5:$S273="Macro"),ROW($S$5:$S273)),0)))</f>
        <v/>
      </c>
      <c r="S273" s="70">
        <f>IF(NOT((COUNTA($B273:$K273)+COUNTA($N273))&gt;0),"",IF($B273&lt;&gt;"","Macro",IF($C273&lt;&gt;"","Sub","Macro")))</f>
        <v/>
      </c>
      <c r="T273" s="70">
        <f>IF($S273="Macro",COUNTIFS($R$5:$R$1000,ROW(),$S$5:$S$1000,"Sub"),"")</f>
        <v/>
      </c>
      <c r="U273" s="70">
        <f>IF($S273="","",IF(ISNUMBER($H273),$H273,0))</f>
        <v/>
      </c>
      <c r="V273" s="70">
        <f>IF($S273="","",IF(ISNUMBER($I273),$I273,$U273))</f>
        <v/>
      </c>
      <c r="W273" s="70">
        <f>IF($S273="","",IF(ISNUMBER($J273),$J273,$V273))</f>
        <v/>
      </c>
      <c r="X273" s="70">
        <f>IF($S273="","",IF(ISNUMBER($K273),$K273,$W273))</f>
        <v/>
      </c>
      <c r="Y273" s="70">
        <f>IF($S273="","",IF(N($T273)&gt;0,AVERAGEIFS($U$5:$U$1000,$R$5:$R$1000,ROW(),$S$5:$S$1000,"Sub"),$U273))</f>
        <v/>
      </c>
      <c r="Z273" s="70">
        <f>IF($S273="","",IF(N($T273)&gt;0,AVERAGEIFS($V$5:$V$1000,$R$5:$R$1000,ROW(),$S$5:$S$1000,"Sub"),$V273))</f>
        <v/>
      </c>
      <c r="AA273" s="70">
        <f>IF($S273="","",IF(N($T273)&gt;0,AVERAGEIFS($W$5:$W$1000,$R$5:$R$1000,ROW(),$S$5:$S$1000,"Sub"),$W273))</f>
        <v/>
      </c>
      <c r="AB273" s="70">
        <f>IF($S273="","",IF(N($T273)&gt;0,AVERAGEIFS($X$5:$X$1000,$R$5:$R$1000,ROW(),$S$5:$S$1000,"Sub"),$X273))</f>
        <v/>
      </c>
    </row>
    <row r="274">
      <c r="A274" s="61">
        <f>IF(NOT((COUNTA($B274:$K274)+COUNTA($N274))&gt;0),"",IF($S274="Macro",COUNTIFS($S$5:$S274,"Macro",$P$5:$P274,$P274),IF(N($R274)=0,"?",COUNTIFS(INDEX($S$5:$S$1000,1):INDEX($S$5:$S$1000,$R274-4),"Macro",INDEX($P$5:$P$1000,1):INDEX($P$5:$P$1000,$R274-4),INDEX($P$5:$P$1000,$R274-4))&amp;"."&amp;COUNTIFS($R$5:$R274,$R274,$S$5:$S274,"Sub"))))</f>
        <v/>
      </c>
      <c r="B274" s="62" t="n"/>
      <c r="C274" s="63" t="n"/>
      <c r="D274" s="62" t="n"/>
      <c r="E274" s="64" t="n"/>
      <c r="F274" s="64" t="n"/>
      <c r="G274" s="65" t="n"/>
      <c r="H274" s="66" t="n"/>
      <c r="I274" s="66" t="n"/>
      <c r="J274" s="66" t="n"/>
      <c r="K274" s="66" t="n"/>
      <c r="L274" s="67">
        <f>IF(NOT((COUNTA($B274:$K274)+COUNTA($N274))&gt;0),"",IF(N($T274)&gt;0,$AB274,IFERROR(LOOKUP(2,1/(H274:K274&lt;&gt;""),H274:K274),0)))</f>
        <v/>
      </c>
      <c r="M274" s="61">
        <f>IF(L274="","",IF(L274&gt;=1,"Completado",IF(L274&gt;0,"En curso","Pendiente")))</f>
        <v/>
      </c>
      <c r="N274" s="62" t="n"/>
      <c r="O274" s="68">
        <f>IF(NOT((COUNTA($B274:$K274)+COUNTA($N274))&gt;0),"",IF((IF(AND($S274="Macro",$B274=""),"Macroactividad vacía"&amp;" · ","")&amp;IF(AND($B274&lt;&gt;"",$C274&lt;&gt;""),"Escriba la subactividad en otra fila, debajo de su macroactividad"&amp;" · ","")&amp;IF(AND($S274="Sub",N($R274)=0),"Subactividad sin macroactividad arriba"&amp;" · ","")&amp;IF($D274="","Sin responsable"&amp;" · ","")&amp;IF($E274="","Sin fecha de inicio"&amp;" · ","")&amp;IF($F274="","Sin fecha límite"&amp;" · ","")&amp;IF(OR(AND($E274&lt;&gt;"",NOT(ISNUMBER($E274))),AND($F274&lt;&gt;"",NOT(ISNUMBER($F274)))),"Fecha no válida"&amp;" · ","")&amp;IF(AND(ISNUMBER($E274),ISNUMBER($F274),$E274&gt;$F274),"Inicio posterior a fecha límite"&amp;" · ","")&amp;IF(AND($S274="Macro",$G274=""),"Peso vacío"&amp;" · ","")&amp;IF(AND($S274="Macro",$G274&lt;&gt;"",OR(NOT(ISNUMBER($G274)),$G274&lt;=0,$G274&gt;1)),"Peso fuera de rango"&amp;" · ","")&amp;IF(AND($S274="Sub",$G274&lt;&gt;""),"Las subactividades no llevan peso"&amp;" · ","")&amp;IF(AND($S274="Macro",ABS(SUMIFS($G$5:$G$1000,$P$5:$P$1000,$P274,$S$5:$S$1000,"Macro")-1)&gt;0.0001),"Pesos del mes suman "&amp;TEXT(SUMIFS($G$5:$G$1000,$P$5:$P$1000,$P274,$S$5:$S$1000,"Macro"),"0%")&amp;" · ","")&amp;IF(AND(N($T274)&gt;0,COUNT($H274:$K274)&gt;0),"Con subactividades: deje vacías las semanas (se calculan solas)"&amp;" · ","")&amp;IF((COUNTIF($H274:$K274,"&gt;1")+COUNTIF($H274:$K274,"&lt;0")+COUNTA($H274:$K274)-COUNT($H274:$K274))&gt;0,"Avance fuera de rango 0-100%"&amp;" · ","")&amp;IF(OR(AND($I274&lt;&gt;"",$I274&lt;$H274),AND($J274&lt;&gt;"",$J274&lt;MAX($H274:$I274)),AND($K274&lt;&gt;"",$K274&lt;MAX($H274:$J274))),"Avance semanal decreciente"&amp;" · ","")&amp;IF(AND(ISNUMBER($F274),$F274&lt;FechaRef,N($L274)&lt;1),"Vencida"&amp;" · ","")&amp;IF(AND(ObsObligatoria="Sí",ISNUMBER($F274),$F274&lt;FechaRef,N($L274)&lt;1,$N274=""),"Vencida sin observación"&amp;" · ",""))="","✔ OK","⚠ "&amp;LEFT(IF(AND($S274="Macro",$B274=""),"Macroactividad vacía"&amp;" · ","")&amp;IF(AND($B274&lt;&gt;"",$C274&lt;&gt;""),"Escriba la subactividad en otra fila, debajo de su macroactividad"&amp;" · ","")&amp;IF(AND($S274="Sub",N($R274)=0),"Subactividad sin macroactividad arriba"&amp;" · ","")&amp;IF($D274="","Sin responsable"&amp;" · ","")&amp;IF($E274="","Sin fecha de inicio"&amp;" · ","")&amp;IF($F274="","Sin fecha límite"&amp;" · ","")&amp;IF(OR(AND($E274&lt;&gt;"",NOT(ISNUMBER($E274))),AND($F274&lt;&gt;"",NOT(ISNUMBER($F274)))),"Fecha no válida"&amp;" · ","")&amp;IF(AND(ISNUMBER($E274),ISNUMBER($F274),$E274&gt;$F274),"Inicio posterior a fecha límite"&amp;" · ","")&amp;IF(AND($S274="Macro",$G274=""),"Peso vacío"&amp;" · ","")&amp;IF(AND($S274="Macro",$G274&lt;&gt;"",OR(NOT(ISNUMBER($G274)),$G274&lt;=0,$G274&gt;1)),"Peso fuera de rango"&amp;" · ","")&amp;IF(AND($S274="Sub",$G274&lt;&gt;""),"Las subactividades no llevan peso"&amp;" · ","")&amp;IF(AND($S274="Macro",ABS(SUMIFS($G$5:$G$1000,$P$5:$P$1000,$P274,$S$5:$S$1000,"Macro")-1)&gt;0.0001),"Pesos del mes suman "&amp;TEXT(SUMIFS($G$5:$G$1000,$P$5:$P$1000,$P274,$S$5:$S$1000,"Macro"),"0%")&amp;" · ","")&amp;IF(AND(N($T274)&gt;0,COUNT($H274:$K274)&gt;0),"Con subactividades: deje vacías las semanas (se calculan solas)"&amp;" · ","")&amp;IF((COUNTIF($H274:$K274,"&gt;1")+COUNTIF($H274:$K274,"&lt;0")+COUNTA($H274:$K274)-COUNT($H274:$K274))&gt;0,"Avance fuera de rango 0-100%"&amp;" · ","")&amp;IF(OR(AND($I274&lt;&gt;"",$I274&lt;$H274),AND($J274&lt;&gt;"",$J274&lt;MAX($H274:$I274)),AND($K274&lt;&gt;"",$K274&lt;MAX($H274:$J274))),"Avance semanal decreciente"&amp;" · ","")&amp;IF(AND(ISNUMBER($F274),$F274&lt;FechaRef,N($L274)&lt;1),"Vencida"&amp;" · ","")&amp;IF(AND(ObsObligatoria="Sí",ISNUMBER($F274),$F274&lt;FechaRef,N($L274)&lt;1,$N274=""),"Vencida sin observación"&amp;" · ",""),LEN(IF(AND($S274="Macro",$B274=""),"Macroactividad vacía"&amp;" · ","")&amp;IF(AND($B274&lt;&gt;"",$C274&lt;&gt;""),"Escriba la subactividad en otra fila, debajo de su macroactividad"&amp;" · ","")&amp;IF(AND($S274="Sub",N($R274)=0),"Subactividad sin macroactividad arriba"&amp;" · ","")&amp;IF($D274="","Sin responsable"&amp;" · ","")&amp;IF($E274="","Sin fecha de inicio"&amp;" · ","")&amp;IF($F274="","Sin fecha límite"&amp;" · ","")&amp;IF(OR(AND($E274&lt;&gt;"",NOT(ISNUMBER($E274))),AND($F274&lt;&gt;"",NOT(ISNUMBER($F274)))),"Fecha no válida"&amp;" · ","")&amp;IF(AND(ISNUMBER($E274),ISNUMBER($F274),$E274&gt;$F274),"Inicio posterior a fecha límite"&amp;" · ","")&amp;IF(AND($S274="Macro",$G274=""),"Peso vacío"&amp;" · ","")&amp;IF(AND($S274="Macro",$G274&lt;&gt;"",OR(NOT(ISNUMBER($G274)),$G274&lt;=0,$G274&gt;1)),"Peso fuera de rango"&amp;" · ","")&amp;IF(AND($S274="Sub",$G274&lt;&gt;""),"Las subactividades no llevan peso"&amp;" · ","")&amp;IF(AND($S274="Macro",ABS(SUMIFS($G$5:$G$1000,$P$5:$P$1000,$P274,$S$5:$S$1000,"Macro")-1)&gt;0.0001),"Pesos del mes suman "&amp;TEXT(SUMIFS($G$5:$G$1000,$P$5:$P$1000,$P274,$S$5:$S$1000,"Macro"),"0%")&amp;" · ","")&amp;IF(AND(N($T274)&gt;0,COUNT($H274:$K274)&gt;0),"Con subactividades: deje vacías las semanas (se calculan solas)"&amp;" · ","")&amp;IF((COUNTIF($H274:$K274,"&gt;1")+COUNTIF($H274:$K274,"&lt;0")+COUNTA($H274:$K274)-COUNT($H274:$K274))&gt;0,"Avance fuera de rango 0-100%"&amp;" · ","")&amp;IF(OR(AND($I274&lt;&gt;"",$I274&lt;$H274),AND($J274&lt;&gt;"",$J274&lt;MAX($H274:$I274)),AND($K274&lt;&gt;"",$K274&lt;MAX($H274:$J274))),"Avance semanal decreciente"&amp;" · ","")&amp;IF(AND(ISNUMBER($F274),$F274&lt;FechaRef,N($L274)&lt;1),"Vencida"&amp;" · ","")&amp;IF(AND(ObsObligatoria="Sí",ISNUMBER($F274),$F274&lt;FechaRef,N($L274)&lt;1,$N274=""),"Vencida sin observación"&amp;" · ",""))-3)))</f>
        <v/>
      </c>
      <c r="P274" s="69">
        <f>IF(NOT((COUNTA($B274:$K274)+COUNTA($N274))&gt;0),"",IF(AND($S274="Sub",N($R274)&gt;0),IF(ISNUMBER(INDEX($E$5:$E$1000,$R274-4)),DATE(YEAR(INDEX($E$5:$E$1000,$R274-4)),MONTH(INDEX($E$5:$E$1000,$R274-4)),1),IF(ISNUMBER(INDEX($F$5:$F$1000,$R274-4)),DATE(YEAR(INDEX($F$5:$F$1000,$R274-4)),MONTH(INDEX($F$5:$F$1000,$R274-4)),1),MesCiclo)),IF(ISNUMBER($E274),DATE(YEAR($E274),MONTH($E274),1),IF(ISNUMBER($F274),DATE(YEAR($F274),MONTH($F274),1),MesCiclo))))</f>
        <v/>
      </c>
      <c r="Q274" s="70">
        <f>IF(OR($P274="",$P274&lt;&gt;MesCiclo),"",COUNTIF($P$5:$P274,MesCiclo))</f>
        <v/>
      </c>
      <c r="R274" s="70">
        <f>IF($S274="","",IF($S274="Macro",ROW(),IFERROR(LOOKUP(2,1/($S$5:$S274="Macro"),ROW($S$5:$S274)),0)))</f>
        <v/>
      </c>
      <c r="S274" s="70">
        <f>IF(NOT((COUNTA($B274:$K274)+COUNTA($N274))&gt;0),"",IF($B274&lt;&gt;"","Macro",IF($C274&lt;&gt;"","Sub","Macro")))</f>
        <v/>
      </c>
      <c r="T274" s="70">
        <f>IF($S274="Macro",COUNTIFS($R$5:$R$1000,ROW(),$S$5:$S$1000,"Sub"),"")</f>
        <v/>
      </c>
      <c r="U274" s="70">
        <f>IF($S274="","",IF(ISNUMBER($H274),$H274,0))</f>
        <v/>
      </c>
      <c r="V274" s="70">
        <f>IF($S274="","",IF(ISNUMBER($I274),$I274,$U274))</f>
        <v/>
      </c>
      <c r="W274" s="70">
        <f>IF($S274="","",IF(ISNUMBER($J274),$J274,$V274))</f>
        <v/>
      </c>
      <c r="X274" s="70">
        <f>IF($S274="","",IF(ISNUMBER($K274),$K274,$W274))</f>
        <v/>
      </c>
      <c r="Y274" s="70">
        <f>IF($S274="","",IF(N($T274)&gt;0,AVERAGEIFS($U$5:$U$1000,$R$5:$R$1000,ROW(),$S$5:$S$1000,"Sub"),$U274))</f>
        <v/>
      </c>
      <c r="Z274" s="70">
        <f>IF($S274="","",IF(N($T274)&gt;0,AVERAGEIFS($V$5:$V$1000,$R$5:$R$1000,ROW(),$S$5:$S$1000,"Sub"),$V274))</f>
        <v/>
      </c>
      <c r="AA274" s="70">
        <f>IF($S274="","",IF(N($T274)&gt;0,AVERAGEIFS($W$5:$W$1000,$R$5:$R$1000,ROW(),$S$5:$S$1000,"Sub"),$W274))</f>
        <v/>
      </c>
      <c r="AB274" s="70">
        <f>IF($S274="","",IF(N($T274)&gt;0,AVERAGEIFS($X$5:$X$1000,$R$5:$R$1000,ROW(),$S$5:$S$1000,"Sub"),$X274))</f>
        <v/>
      </c>
    </row>
    <row r="275">
      <c r="A275" s="61">
        <f>IF(NOT((COUNTA($B275:$K275)+COUNTA($N275))&gt;0),"",IF($S275="Macro",COUNTIFS($S$5:$S275,"Macro",$P$5:$P275,$P275),IF(N($R275)=0,"?",COUNTIFS(INDEX($S$5:$S$1000,1):INDEX($S$5:$S$1000,$R275-4),"Macro",INDEX($P$5:$P$1000,1):INDEX($P$5:$P$1000,$R275-4),INDEX($P$5:$P$1000,$R275-4))&amp;"."&amp;COUNTIFS($R$5:$R275,$R275,$S$5:$S275,"Sub"))))</f>
        <v/>
      </c>
      <c r="B275" s="62" t="n"/>
      <c r="C275" s="63" t="n"/>
      <c r="D275" s="62" t="n"/>
      <c r="E275" s="64" t="n"/>
      <c r="F275" s="64" t="n"/>
      <c r="G275" s="65" t="n"/>
      <c r="H275" s="66" t="n"/>
      <c r="I275" s="66" t="n"/>
      <c r="J275" s="66" t="n"/>
      <c r="K275" s="66" t="n"/>
      <c r="L275" s="67">
        <f>IF(NOT((COUNTA($B275:$K275)+COUNTA($N275))&gt;0),"",IF(N($T275)&gt;0,$AB275,IFERROR(LOOKUP(2,1/(H275:K275&lt;&gt;""),H275:K275),0)))</f>
        <v/>
      </c>
      <c r="M275" s="61">
        <f>IF(L275="","",IF(L275&gt;=1,"Completado",IF(L275&gt;0,"En curso","Pendiente")))</f>
        <v/>
      </c>
      <c r="N275" s="62" t="n"/>
      <c r="O275" s="68">
        <f>IF(NOT((COUNTA($B275:$K275)+COUNTA($N275))&gt;0),"",IF((IF(AND($S275="Macro",$B275=""),"Macroactividad vacía"&amp;" · ","")&amp;IF(AND($B275&lt;&gt;"",$C275&lt;&gt;""),"Escriba la subactividad en otra fila, debajo de su macroactividad"&amp;" · ","")&amp;IF(AND($S275="Sub",N($R275)=0),"Subactividad sin macroactividad arriba"&amp;" · ","")&amp;IF($D275="","Sin responsable"&amp;" · ","")&amp;IF($E275="","Sin fecha de inicio"&amp;" · ","")&amp;IF($F275="","Sin fecha límite"&amp;" · ","")&amp;IF(OR(AND($E275&lt;&gt;"",NOT(ISNUMBER($E275))),AND($F275&lt;&gt;"",NOT(ISNUMBER($F275)))),"Fecha no válida"&amp;" · ","")&amp;IF(AND(ISNUMBER($E275),ISNUMBER($F275),$E275&gt;$F275),"Inicio posterior a fecha límite"&amp;" · ","")&amp;IF(AND($S275="Macro",$G275=""),"Peso vacío"&amp;" · ","")&amp;IF(AND($S275="Macro",$G275&lt;&gt;"",OR(NOT(ISNUMBER($G275)),$G275&lt;=0,$G275&gt;1)),"Peso fuera de rango"&amp;" · ","")&amp;IF(AND($S275="Sub",$G275&lt;&gt;""),"Las subactividades no llevan peso"&amp;" · ","")&amp;IF(AND($S275="Macro",ABS(SUMIFS($G$5:$G$1000,$P$5:$P$1000,$P275,$S$5:$S$1000,"Macro")-1)&gt;0.0001),"Pesos del mes suman "&amp;TEXT(SUMIFS($G$5:$G$1000,$P$5:$P$1000,$P275,$S$5:$S$1000,"Macro"),"0%")&amp;" · ","")&amp;IF(AND(N($T275)&gt;0,COUNT($H275:$K275)&gt;0),"Con subactividades: deje vacías las semanas (se calculan solas)"&amp;" · ","")&amp;IF((COUNTIF($H275:$K275,"&gt;1")+COUNTIF($H275:$K275,"&lt;0")+COUNTA($H275:$K275)-COUNT($H275:$K275))&gt;0,"Avance fuera de rango 0-100%"&amp;" · ","")&amp;IF(OR(AND($I275&lt;&gt;"",$I275&lt;$H275),AND($J275&lt;&gt;"",$J275&lt;MAX($H275:$I275)),AND($K275&lt;&gt;"",$K275&lt;MAX($H275:$J275))),"Avance semanal decreciente"&amp;" · ","")&amp;IF(AND(ISNUMBER($F275),$F275&lt;FechaRef,N($L275)&lt;1),"Vencida"&amp;" · ","")&amp;IF(AND(ObsObligatoria="Sí",ISNUMBER($F275),$F275&lt;FechaRef,N($L275)&lt;1,$N275=""),"Vencida sin observación"&amp;" · ",""))="","✔ OK","⚠ "&amp;LEFT(IF(AND($S275="Macro",$B275=""),"Macroactividad vacía"&amp;" · ","")&amp;IF(AND($B275&lt;&gt;"",$C275&lt;&gt;""),"Escriba la subactividad en otra fila, debajo de su macroactividad"&amp;" · ","")&amp;IF(AND($S275="Sub",N($R275)=0),"Subactividad sin macroactividad arriba"&amp;" · ","")&amp;IF($D275="","Sin responsable"&amp;" · ","")&amp;IF($E275="","Sin fecha de inicio"&amp;" · ","")&amp;IF($F275="","Sin fecha límite"&amp;" · ","")&amp;IF(OR(AND($E275&lt;&gt;"",NOT(ISNUMBER($E275))),AND($F275&lt;&gt;"",NOT(ISNUMBER($F275)))),"Fecha no válida"&amp;" · ","")&amp;IF(AND(ISNUMBER($E275),ISNUMBER($F275),$E275&gt;$F275),"Inicio posterior a fecha límite"&amp;" · ","")&amp;IF(AND($S275="Macro",$G275=""),"Peso vacío"&amp;" · ","")&amp;IF(AND($S275="Macro",$G275&lt;&gt;"",OR(NOT(ISNUMBER($G275)),$G275&lt;=0,$G275&gt;1)),"Peso fuera de rango"&amp;" · ","")&amp;IF(AND($S275="Sub",$G275&lt;&gt;""),"Las subactividades no llevan peso"&amp;" · ","")&amp;IF(AND($S275="Macro",ABS(SUMIFS($G$5:$G$1000,$P$5:$P$1000,$P275,$S$5:$S$1000,"Macro")-1)&gt;0.0001),"Pesos del mes suman "&amp;TEXT(SUMIFS($G$5:$G$1000,$P$5:$P$1000,$P275,$S$5:$S$1000,"Macro"),"0%")&amp;" · ","")&amp;IF(AND(N($T275)&gt;0,COUNT($H275:$K275)&gt;0),"Con subactividades: deje vacías las semanas (se calculan solas)"&amp;" · ","")&amp;IF((COUNTIF($H275:$K275,"&gt;1")+COUNTIF($H275:$K275,"&lt;0")+COUNTA($H275:$K275)-COUNT($H275:$K275))&gt;0,"Avance fuera de rango 0-100%"&amp;" · ","")&amp;IF(OR(AND($I275&lt;&gt;"",$I275&lt;$H275),AND($J275&lt;&gt;"",$J275&lt;MAX($H275:$I275)),AND($K275&lt;&gt;"",$K275&lt;MAX($H275:$J275))),"Avance semanal decreciente"&amp;" · ","")&amp;IF(AND(ISNUMBER($F275),$F275&lt;FechaRef,N($L275)&lt;1),"Vencida"&amp;" · ","")&amp;IF(AND(ObsObligatoria="Sí",ISNUMBER($F275),$F275&lt;FechaRef,N($L275)&lt;1,$N275=""),"Vencida sin observación"&amp;" · ",""),LEN(IF(AND($S275="Macro",$B275=""),"Macroactividad vacía"&amp;" · ","")&amp;IF(AND($B275&lt;&gt;"",$C275&lt;&gt;""),"Escriba la subactividad en otra fila, debajo de su macroactividad"&amp;" · ","")&amp;IF(AND($S275="Sub",N($R275)=0),"Subactividad sin macroactividad arriba"&amp;" · ","")&amp;IF($D275="","Sin responsable"&amp;" · ","")&amp;IF($E275="","Sin fecha de inicio"&amp;" · ","")&amp;IF($F275="","Sin fecha límite"&amp;" · ","")&amp;IF(OR(AND($E275&lt;&gt;"",NOT(ISNUMBER($E275))),AND($F275&lt;&gt;"",NOT(ISNUMBER($F275)))),"Fecha no válida"&amp;" · ","")&amp;IF(AND(ISNUMBER($E275),ISNUMBER($F275),$E275&gt;$F275),"Inicio posterior a fecha límite"&amp;" · ","")&amp;IF(AND($S275="Macro",$G275=""),"Peso vacío"&amp;" · ","")&amp;IF(AND($S275="Macro",$G275&lt;&gt;"",OR(NOT(ISNUMBER($G275)),$G275&lt;=0,$G275&gt;1)),"Peso fuera de rango"&amp;" · ","")&amp;IF(AND($S275="Sub",$G275&lt;&gt;""),"Las subactividades no llevan peso"&amp;" · ","")&amp;IF(AND($S275="Macro",ABS(SUMIFS($G$5:$G$1000,$P$5:$P$1000,$P275,$S$5:$S$1000,"Macro")-1)&gt;0.0001),"Pesos del mes suman "&amp;TEXT(SUMIFS($G$5:$G$1000,$P$5:$P$1000,$P275,$S$5:$S$1000,"Macro"),"0%")&amp;" · ","")&amp;IF(AND(N($T275)&gt;0,COUNT($H275:$K275)&gt;0),"Con subactividades: deje vacías las semanas (se calculan solas)"&amp;" · ","")&amp;IF((COUNTIF($H275:$K275,"&gt;1")+COUNTIF($H275:$K275,"&lt;0")+COUNTA($H275:$K275)-COUNT($H275:$K275))&gt;0,"Avance fuera de rango 0-100%"&amp;" · ","")&amp;IF(OR(AND($I275&lt;&gt;"",$I275&lt;$H275),AND($J275&lt;&gt;"",$J275&lt;MAX($H275:$I275)),AND($K275&lt;&gt;"",$K275&lt;MAX($H275:$J275))),"Avance semanal decreciente"&amp;" · ","")&amp;IF(AND(ISNUMBER($F275),$F275&lt;FechaRef,N($L275)&lt;1),"Vencida"&amp;" · ","")&amp;IF(AND(ObsObligatoria="Sí",ISNUMBER($F275),$F275&lt;FechaRef,N($L275)&lt;1,$N275=""),"Vencida sin observación"&amp;" · ",""))-3)))</f>
        <v/>
      </c>
      <c r="P275" s="69">
        <f>IF(NOT((COUNTA($B275:$K275)+COUNTA($N275))&gt;0),"",IF(AND($S275="Sub",N($R275)&gt;0),IF(ISNUMBER(INDEX($E$5:$E$1000,$R275-4)),DATE(YEAR(INDEX($E$5:$E$1000,$R275-4)),MONTH(INDEX($E$5:$E$1000,$R275-4)),1),IF(ISNUMBER(INDEX($F$5:$F$1000,$R275-4)),DATE(YEAR(INDEX($F$5:$F$1000,$R275-4)),MONTH(INDEX($F$5:$F$1000,$R275-4)),1),MesCiclo)),IF(ISNUMBER($E275),DATE(YEAR($E275),MONTH($E275),1),IF(ISNUMBER($F275),DATE(YEAR($F275),MONTH($F275),1),MesCiclo))))</f>
        <v/>
      </c>
      <c r="Q275" s="70">
        <f>IF(OR($P275="",$P275&lt;&gt;MesCiclo),"",COUNTIF($P$5:$P275,MesCiclo))</f>
        <v/>
      </c>
      <c r="R275" s="70">
        <f>IF($S275="","",IF($S275="Macro",ROW(),IFERROR(LOOKUP(2,1/($S$5:$S275="Macro"),ROW($S$5:$S275)),0)))</f>
        <v/>
      </c>
      <c r="S275" s="70">
        <f>IF(NOT((COUNTA($B275:$K275)+COUNTA($N275))&gt;0),"",IF($B275&lt;&gt;"","Macro",IF($C275&lt;&gt;"","Sub","Macro")))</f>
        <v/>
      </c>
      <c r="T275" s="70">
        <f>IF($S275="Macro",COUNTIFS($R$5:$R$1000,ROW(),$S$5:$S$1000,"Sub"),"")</f>
        <v/>
      </c>
      <c r="U275" s="70">
        <f>IF($S275="","",IF(ISNUMBER($H275),$H275,0))</f>
        <v/>
      </c>
      <c r="V275" s="70">
        <f>IF($S275="","",IF(ISNUMBER($I275),$I275,$U275))</f>
        <v/>
      </c>
      <c r="W275" s="70">
        <f>IF($S275="","",IF(ISNUMBER($J275),$J275,$V275))</f>
        <v/>
      </c>
      <c r="X275" s="70">
        <f>IF($S275="","",IF(ISNUMBER($K275),$K275,$W275))</f>
        <v/>
      </c>
      <c r="Y275" s="70">
        <f>IF($S275="","",IF(N($T275)&gt;0,AVERAGEIFS($U$5:$U$1000,$R$5:$R$1000,ROW(),$S$5:$S$1000,"Sub"),$U275))</f>
        <v/>
      </c>
      <c r="Z275" s="70">
        <f>IF($S275="","",IF(N($T275)&gt;0,AVERAGEIFS($V$5:$V$1000,$R$5:$R$1000,ROW(),$S$5:$S$1000,"Sub"),$V275))</f>
        <v/>
      </c>
      <c r="AA275" s="70">
        <f>IF($S275="","",IF(N($T275)&gt;0,AVERAGEIFS($W$5:$W$1000,$R$5:$R$1000,ROW(),$S$5:$S$1000,"Sub"),$W275))</f>
        <v/>
      </c>
      <c r="AB275" s="70">
        <f>IF($S275="","",IF(N($T275)&gt;0,AVERAGEIFS($X$5:$X$1000,$R$5:$R$1000,ROW(),$S$5:$S$1000,"Sub"),$X275))</f>
        <v/>
      </c>
    </row>
    <row r="276">
      <c r="A276" s="61">
        <f>IF(NOT((COUNTA($B276:$K276)+COUNTA($N276))&gt;0),"",IF($S276="Macro",COUNTIFS($S$5:$S276,"Macro",$P$5:$P276,$P276),IF(N($R276)=0,"?",COUNTIFS(INDEX($S$5:$S$1000,1):INDEX($S$5:$S$1000,$R276-4),"Macro",INDEX($P$5:$P$1000,1):INDEX($P$5:$P$1000,$R276-4),INDEX($P$5:$P$1000,$R276-4))&amp;"."&amp;COUNTIFS($R$5:$R276,$R276,$S$5:$S276,"Sub"))))</f>
        <v/>
      </c>
      <c r="B276" s="62" t="n"/>
      <c r="C276" s="63" t="n"/>
      <c r="D276" s="62" t="n"/>
      <c r="E276" s="64" t="n"/>
      <c r="F276" s="64" t="n"/>
      <c r="G276" s="65" t="n"/>
      <c r="H276" s="66" t="n"/>
      <c r="I276" s="66" t="n"/>
      <c r="J276" s="66" t="n"/>
      <c r="K276" s="66" t="n"/>
      <c r="L276" s="67">
        <f>IF(NOT((COUNTA($B276:$K276)+COUNTA($N276))&gt;0),"",IF(N($T276)&gt;0,$AB276,IFERROR(LOOKUP(2,1/(H276:K276&lt;&gt;""),H276:K276),0)))</f>
        <v/>
      </c>
      <c r="M276" s="61">
        <f>IF(L276="","",IF(L276&gt;=1,"Completado",IF(L276&gt;0,"En curso","Pendiente")))</f>
        <v/>
      </c>
      <c r="N276" s="62" t="n"/>
      <c r="O276" s="68">
        <f>IF(NOT((COUNTA($B276:$K276)+COUNTA($N276))&gt;0),"",IF((IF(AND($S276="Macro",$B276=""),"Macroactividad vacía"&amp;" · ","")&amp;IF(AND($B276&lt;&gt;"",$C276&lt;&gt;""),"Escriba la subactividad en otra fila, debajo de su macroactividad"&amp;" · ","")&amp;IF(AND($S276="Sub",N($R276)=0),"Subactividad sin macroactividad arriba"&amp;" · ","")&amp;IF($D276="","Sin responsable"&amp;" · ","")&amp;IF($E276="","Sin fecha de inicio"&amp;" · ","")&amp;IF($F276="","Sin fecha límite"&amp;" · ","")&amp;IF(OR(AND($E276&lt;&gt;"",NOT(ISNUMBER($E276))),AND($F276&lt;&gt;"",NOT(ISNUMBER($F276)))),"Fecha no válida"&amp;" · ","")&amp;IF(AND(ISNUMBER($E276),ISNUMBER($F276),$E276&gt;$F276),"Inicio posterior a fecha límite"&amp;" · ","")&amp;IF(AND($S276="Macro",$G276=""),"Peso vacío"&amp;" · ","")&amp;IF(AND($S276="Macro",$G276&lt;&gt;"",OR(NOT(ISNUMBER($G276)),$G276&lt;=0,$G276&gt;1)),"Peso fuera de rango"&amp;" · ","")&amp;IF(AND($S276="Sub",$G276&lt;&gt;""),"Las subactividades no llevan peso"&amp;" · ","")&amp;IF(AND($S276="Macro",ABS(SUMIFS($G$5:$G$1000,$P$5:$P$1000,$P276,$S$5:$S$1000,"Macro")-1)&gt;0.0001),"Pesos del mes suman "&amp;TEXT(SUMIFS($G$5:$G$1000,$P$5:$P$1000,$P276,$S$5:$S$1000,"Macro"),"0%")&amp;" · ","")&amp;IF(AND(N($T276)&gt;0,COUNT($H276:$K276)&gt;0),"Con subactividades: deje vacías las semanas (se calculan solas)"&amp;" · ","")&amp;IF((COUNTIF($H276:$K276,"&gt;1")+COUNTIF($H276:$K276,"&lt;0")+COUNTA($H276:$K276)-COUNT($H276:$K276))&gt;0,"Avance fuera de rango 0-100%"&amp;" · ","")&amp;IF(OR(AND($I276&lt;&gt;"",$I276&lt;$H276),AND($J276&lt;&gt;"",$J276&lt;MAX($H276:$I276)),AND($K276&lt;&gt;"",$K276&lt;MAX($H276:$J276))),"Avance semanal decreciente"&amp;" · ","")&amp;IF(AND(ISNUMBER($F276),$F276&lt;FechaRef,N($L276)&lt;1),"Vencida"&amp;" · ","")&amp;IF(AND(ObsObligatoria="Sí",ISNUMBER($F276),$F276&lt;FechaRef,N($L276)&lt;1,$N276=""),"Vencida sin observación"&amp;" · ",""))="","✔ OK","⚠ "&amp;LEFT(IF(AND($S276="Macro",$B276=""),"Macroactividad vacía"&amp;" · ","")&amp;IF(AND($B276&lt;&gt;"",$C276&lt;&gt;""),"Escriba la subactividad en otra fila, debajo de su macroactividad"&amp;" · ","")&amp;IF(AND($S276="Sub",N($R276)=0),"Subactividad sin macroactividad arriba"&amp;" · ","")&amp;IF($D276="","Sin responsable"&amp;" · ","")&amp;IF($E276="","Sin fecha de inicio"&amp;" · ","")&amp;IF($F276="","Sin fecha límite"&amp;" · ","")&amp;IF(OR(AND($E276&lt;&gt;"",NOT(ISNUMBER($E276))),AND($F276&lt;&gt;"",NOT(ISNUMBER($F276)))),"Fecha no válida"&amp;" · ","")&amp;IF(AND(ISNUMBER($E276),ISNUMBER($F276),$E276&gt;$F276),"Inicio posterior a fecha límite"&amp;" · ","")&amp;IF(AND($S276="Macro",$G276=""),"Peso vacío"&amp;" · ","")&amp;IF(AND($S276="Macro",$G276&lt;&gt;"",OR(NOT(ISNUMBER($G276)),$G276&lt;=0,$G276&gt;1)),"Peso fuera de rango"&amp;" · ","")&amp;IF(AND($S276="Sub",$G276&lt;&gt;""),"Las subactividades no llevan peso"&amp;" · ","")&amp;IF(AND($S276="Macro",ABS(SUMIFS($G$5:$G$1000,$P$5:$P$1000,$P276,$S$5:$S$1000,"Macro")-1)&gt;0.0001),"Pesos del mes suman "&amp;TEXT(SUMIFS($G$5:$G$1000,$P$5:$P$1000,$P276,$S$5:$S$1000,"Macro"),"0%")&amp;" · ","")&amp;IF(AND(N($T276)&gt;0,COUNT($H276:$K276)&gt;0),"Con subactividades: deje vacías las semanas (se calculan solas)"&amp;" · ","")&amp;IF((COUNTIF($H276:$K276,"&gt;1")+COUNTIF($H276:$K276,"&lt;0")+COUNTA($H276:$K276)-COUNT($H276:$K276))&gt;0,"Avance fuera de rango 0-100%"&amp;" · ","")&amp;IF(OR(AND($I276&lt;&gt;"",$I276&lt;$H276),AND($J276&lt;&gt;"",$J276&lt;MAX($H276:$I276)),AND($K276&lt;&gt;"",$K276&lt;MAX($H276:$J276))),"Avance semanal decreciente"&amp;" · ","")&amp;IF(AND(ISNUMBER($F276),$F276&lt;FechaRef,N($L276)&lt;1),"Vencida"&amp;" · ","")&amp;IF(AND(ObsObligatoria="Sí",ISNUMBER($F276),$F276&lt;FechaRef,N($L276)&lt;1,$N276=""),"Vencida sin observación"&amp;" · ",""),LEN(IF(AND($S276="Macro",$B276=""),"Macroactividad vacía"&amp;" · ","")&amp;IF(AND($B276&lt;&gt;"",$C276&lt;&gt;""),"Escriba la subactividad en otra fila, debajo de su macroactividad"&amp;" · ","")&amp;IF(AND($S276="Sub",N($R276)=0),"Subactividad sin macroactividad arriba"&amp;" · ","")&amp;IF($D276="","Sin responsable"&amp;" · ","")&amp;IF($E276="","Sin fecha de inicio"&amp;" · ","")&amp;IF($F276="","Sin fecha límite"&amp;" · ","")&amp;IF(OR(AND($E276&lt;&gt;"",NOT(ISNUMBER($E276))),AND($F276&lt;&gt;"",NOT(ISNUMBER($F276)))),"Fecha no válida"&amp;" · ","")&amp;IF(AND(ISNUMBER($E276),ISNUMBER($F276),$E276&gt;$F276),"Inicio posterior a fecha límite"&amp;" · ","")&amp;IF(AND($S276="Macro",$G276=""),"Peso vacío"&amp;" · ","")&amp;IF(AND($S276="Macro",$G276&lt;&gt;"",OR(NOT(ISNUMBER($G276)),$G276&lt;=0,$G276&gt;1)),"Peso fuera de rango"&amp;" · ","")&amp;IF(AND($S276="Sub",$G276&lt;&gt;""),"Las subactividades no llevan peso"&amp;" · ","")&amp;IF(AND($S276="Macro",ABS(SUMIFS($G$5:$G$1000,$P$5:$P$1000,$P276,$S$5:$S$1000,"Macro")-1)&gt;0.0001),"Pesos del mes suman "&amp;TEXT(SUMIFS($G$5:$G$1000,$P$5:$P$1000,$P276,$S$5:$S$1000,"Macro"),"0%")&amp;" · ","")&amp;IF(AND(N($T276)&gt;0,COUNT($H276:$K276)&gt;0),"Con subactividades: deje vacías las semanas (se calculan solas)"&amp;" · ","")&amp;IF((COUNTIF($H276:$K276,"&gt;1")+COUNTIF($H276:$K276,"&lt;0")+COUNTA($H276:$K276)-COUNT($H276:$K276))&gt;0,"Avance fuera de rango 0-100%"&amp;" · ","")&amp;IF(OR(AND($I276&lt;&gt;"",$I276&lt;$H276),AND($J276&lt;&gt;"",$J276&lt;MAX($H276:$I276)),AND($K276&lt;&gt;"",$K276&lt;MAX($H276:$J276))),"Avance semanal decreciente"&amp;" · ","")&amp;IF(AND(ISNUMBER($F276),$F276&lt;FechaRef,N($L276)&lt;1),"Vencida"&amp;" · ","")&amp;IF(AND(ObsObligatoria="Sí",ISNUMBER($F276),$F276&lt;FechaRef,N($L276)&lt;1,$N276=""),"Vencida sin observación"&amp;" · ",""))-3)))</f>
        <v/>
      </c>
      <c r="P276" s="69">
        <f>IF(NOT((COUNTA($B276:$K276)+COUNTA($N276))&gt;0),"",IF(AND($S276="Sub",N($R276)&gt;0),IF(ISNUMBER(INDEX($E$5:$E$1000,$R276-4)),DATE(YEAR(INDEX($E$5:$E$1000,$R276-4)),MONTH(INDEX($E$5:$E$1000,$R276-4)),1),IF(ISNUMBER(INDEX($F$5:$F$1000,$R276-4)),DATE(YEAR(INDEX($F$5:$F$1000,$R276-4)),MONTH(INDEX($F$5:$F$1000,$R276-4)),1),MesCiclo)),IF(ISNUMBER($E276),DATE(YEAR($E276),MONTH($E276),1),IF(ISNUMBER($F276),DATE(YEAR($F276),MONTH($F276),1),MesCiclo))))</f>
        <v/>
      </c>
      <c r="Q276" s="70">
        <f>IF(OR($P276="",$P276&lt;&gt;MesCiclo),"",COUNTIF($P$5:$P276,MesCiclo))</f>
        <v/>
      </c>
      <c r="R276" s="70">
        <f>IF($S276="","",IF($S276="Macro",ROW(),IFERROR(LOOKUP(2,1/($S$5:$S276="Macro"),ROW($S$5:$S276)),0)))</f>
        <v/>
      </c>
      <c r="S276" s="70">
        <f>IF(NOT((COUNTA($B276:$K276)+COUNTA($N276))&gt;0),"",IF($B276&lt;&gt;"","Macro",IF($C276&lt;&gt;"","Sub","Macro")))</f>
        <v/>
      </c>
      <c r="T276" s="70">
        <f>IF($S276="Macro",COUNTIFS($R$5:$R$1000,ROW(),$S$5:$S$1000,"Sub"),"")</f>
        <v/>
      </c>
      <c r="U276" s="70">
        <f>IF($S276="","",IF(ISNUMBER($H276),$H276,0))</f>
        <v/>
      </c>
      <c r="V276" s="70">
        <f>IF($S276="","",IF(ISNUMBER($I276),$I276,$U276))</f>
        <v/>
      </c>
      <c r="W276" s="70">
        <f>IF($S276="","",IF(ISNUMBER($J276),$J276,$V276))</f>
        <v/>
      </c>
      <c r="X276" s="70">
        <f>IF($S276="","",IF(ISNUMBER($K276),$K276,$W276))</f>
        <v/>
      </c>
      <c r="Y276" s="70">
        <f>IF($S276="","",IF(N($T276)&gt;0,AVERAGEIFS($U$5:$U$1000,$R$5:$R$1000,ROW(),$S$5:$S$1000,"Sub"),$U276))</f>
        <v/>
      </c>
      <c r="Z276" s="70">
        <f>IF($S276="","",IF(N($T276)&gt;0,AVERAGEIFS($V$5:$V$1000,$R$5:$R$1000,ROW(),$S$5:$S$1000,"Sub"),$V276))</f>
        <v/>
      </c>
      <c r="AA276" s="70">
        <f>IF($S276="","",IF(N($T276)&gt;0,AVERAGEIFS($W$5:$W$1000,$R$5:$R$1000,ROW(),$S$5:$S$1000,"Sub"),$W276))</f>
        <v/>
      </c>
      <c r="AB276" s="70">
        <f>IF($S276="","",IF(N($T276)&gt;0,AVERAGEIFS($X$5:$X$1000,$R$5:$R$1000,ROW(),$S$5:$S$1000,"Sub"),$X276))</f>
        <v/>
      </c>
    </row>
    <row r="277">
      <c r="A277" s="61">
        <f>IF(NOT((COUNTA($B277:$K277)+COUNTA($N277))&gt;0),"",IF($S277="Macro",COUNTIFS($S$5:$S277,"Macro",$P$5:$P277,$P277),IF(N($R277)=0,"?",COUNTIFS(INDEX($S$5:$S$1000,1):INDEX($S$5:$S$1000,$R277-4),"Macro",INDEX($P$5:$P$1000,1):INDEX($P$5:$P$1000,$R277-4),INDEX($P$5:$P$1000,$R277-4))&amp;"."&amp;COUNTIFS($R$5:$R277,$R277,$S$5:$S277,"Sub"))))</f>
        <v/>
      </c>
      <c r="B277" s="62" t="n"/>
      <c r="C277" s="63" t="n"/>
      <c r="D277" s="62" t="n"/>
      <c r="E277" s="64" t="n"/>
      <c r="F277" s="64" t="n"/>
      <c r="G277" s="65" t="n"/>
      <c r="H277" s="66" t="n"/>
      <c r="I277" s="66" t="n"/>
      <c r="J277" s="66" t="n"/>
      <c r="K277" s="66" t="n"/>
      <c r="L277" s="67">
        <f>IF(NOT((COUNTA($B277:$K277)+COUNTA($N277))&gt;0),"",IF(N($T277)&gt;0,$AB277,IFERROR(LOOKUP(2,1/(H277:K277&lt;&gt;""),H277:K277),0)))</f>
        <v/>
      </c>
      <c r="M277" s="61">
        <f>IF(L277="","",IF(L277&gt;=1,"Completado",IF(L277&gt;0,"En curso","Pendiente")))</f>
        <v/>
      </c>
      <c r="N277" s="62" t="n"/>
      <c r="O277" s="68">
        <f>IF(NOT((COUNTA($B277:$K277)+COUNTA($N277))&gt;0),"",IF((IF(AND($S277="Macro",$B277=""),"Macroactividad vacía"&amp;" · ","")&amp;IF(AND($B277&lt;&gt;"",$C277&lt;&gt;""),"Escriba la subactividad en otra fila, debajo de su macroactividad"&amp;" · ","")&amp;IF(AND($S277="Sub",N($R277)=0),"Subactividad sin macroactividad arriba"&amp;" · ","")&amp;IF($D277="","Sin responsable"&amp;" · ","")&amp;IF($E277="","Sin fecha de inicio"&amp;" · ","")&amp;IF($F277="","Sin fecha límite"&amp;" · ","")&amp;IF(OR(AND($E277&lt;&gt;"",NOT(ISNUMBER($E277))),AND($F277&lt;&gt;"",NOT(ISNUMBER($F277)))),"Fecha no válida"&amp;" · ","")&amp;IF(AND(ISNUMBER($E277),ISNUMBER($F277),$E277&gt;$F277),"Inicio posterior a fecha límite"&amp;" · ","")&amp;IF(AND($S277="Macro",$G277=""),"Peso vacío"&amp;" · ","")&amp;IF(AND($S277="Macro",$G277&lt;&gt;"",OR(NOT(ISNUMBER($G277)),$G277&lt;=0,$G277&gt;1)),"Peso fuera de rango"&amp;" · ","")&amp;IF(AND($S277="Sub",$G277&lt;&gt;""),"Las subactividades no llevan peso"&amp;" · ","")&amp;IF(AND($S277="Macro",ABS(SUMIFS($G$5:$G$1000,$P$5:$P$1000,$P277,$S$5:$S$1000,"Macro")-1)&gt;0.0001),"Pesos del mes suman "&amp;TEXT(SUMIFS($G$5:$G$1000,$P$5:$P$1000,$P277,$S$5:$S$1000,"Macro"),"0%")&amp;" · ","")&amp;IF(AND(N($T277)&gt;0,COUNT($H277:$K277)&gt;0),"Con subactividades: deje vacías las semanas (se calculan solas)"&amp;" · ","")&amp;IF((COUNTIF($H277:$K277,"&gt;1")+COUNTIF($H277:$K277,"&lt;0")+COUNTA($H277:$K277)-COUNT($H277:$K277))&gt;0,"Avance fuera de rango 0-100%"&amp;" · ","")&amp;IF(OR(AND($I277&lt;&gt;"",$I277&lt;$H277),AND($J277&lt;&gt;"",$J277&lt;MAX($H277:$I277)),AND($K277&lt;&gt;"",$K277&lt;MAX($H277:$J277))),"Avance semanal decreciente"&amp;" · ","")&amp;IF(AND(ISNUMBER($F277),$F277&lt;FechaRef,N($L277)&lt;1),"Vencida"&amp;" · ","")&amp;IF(AND(ObsObligatoria="Sí",ISNUMBER($F277),$F277&lt;FechaRef,N($L277)&lt;1,$N277=""),"Vencida sin observación"&amp;" · ",""))="","✔ OK","⚠ "&amp;LEFT(IF(AND($S277="Macro",$B277=""),"Macroactividad vacía"&amp;" · ","")&amp;IF(AND($B277&lt;&gt;"",$C277&lt;&gt;""),"Escriba la subactividad en otra fila, debajo de su macroactividad"&amp;" · ","")&amp;IF(AND($S277="Sub",N($R277)=0),"Subactividad sin macroactividad arriba"&amp;" · ","")&amp;IF($D277="","Sin responsable"&amp;" · ","")&amp;IF($E277="","Sin fecha de inicio"&amp;" · ","")&amp;IF($F277="","Sin fecha límite"&amp;" · ","")&amp;IF(OR(AND($E277&lt;&gt;"",NOT(ISNUMBER($E277))),AND($F277&lt;&gt;"",NOT(ISNUMBER($F277)))),"Fecha no válida"&amp;" · ","")&amp;IF(AND(ISNUMBER($E277),ISNUMBER($F277),$E277&gt;$F277),"Inicio posterior a fecha límite"&amp;" · ","")&amp;IF(AND($S277="Macro",$G277=""),"Peso vacío"&amp;" · ","")&amp;IF(AND($S277="Macro",$G277&lt;&gt;"",OR(NOT(ISNUMBER($G277)),$G277&lt;=0,$G277&gt;1)),"Peso fuera de rango"&amp;" · ","")&amp;IF(AND($S277="Sub",$G277&lt;&gt;""),"Las subactividades no llevan peso"&amp;" · ","")&amp;IF(AND($S277="Macro",ABS(SUMIFS($G$5:$G$1000,$P$5:$P$1000,$P277,$S$5:$S$1000,"Macro")-1)&gt;0.0001),"Pesos del mes suman "&amp;TEXT(SUMIFS($G$5:$G$1000,$P$5:$P$1000,$P277,$S$5:$S$1000,"Macro"),"0%")&amp;" · ","")&amp;IF(AND(N($T277)&gt;0,COUNT($H277:$K277)&gt;0),"Con subactividades: deje vacías las semanas (se calculan solas)"&amp;" · ","")&amp;IF((COUNTIF($H277:$K277,"&gt;1")+COUNTIF($H277:$K277,"&lt;0")+COUNTA($H277:$K277)-COUNT($H277:$K277))&gt;0,"Avance fuera de rango 0-100%"&amp;" · ","")&amp;IF(OR(AND($I277&lt;&gt;"",$I277&lt;$H277),AND($J277&lt;&gt;"",$J277&lt;MAX($H277:$I277)),AND($K277&lt;&gt;"",$K277&lt;MAX($H277:$J277))),"Avance semanal decreciente"&amp;" · ","")&amp;IF(AND(ISNUMBER($F277),$F277&lt;FechaRef,N($L277)&lt;1),"Vencida"&amp;" · ","")&amp;IF(AND(ObsObligatoria="Sí",ISNUMBER($F277),$F277&lt;FechaRef,N($L277)&lt;1,$N277=""),"Vencida sin observación"&amp;" · ",""),LEN(IF(AND($S277="Macro",$B277=""),"Macroactividad vacía"&amp;" · ","")&amp;IF(AND($B277&lt;&gt;"",$C277&lt;&gt;""),"Escriba la subactividad en otra fila, debajo de su macroactividad"&amp;" · ","")&amp;IF(AND($S277="Sub",N($R277)=0),"Subactividad sin macroactividad arriba"&amp;" · ","")&amp;IF($D277="","Sin responsable"&amp;" · ","")&amp;IF($E277="","Sin fecha de inicio"&amp;" · ","")&amp;IF($F277="","Sin fecha límite"&amp;" · ","")&amp;IF(OR(AND($E277&lt;&gt;"",NOT(ISNUMBER($E277))),AND($F277&lt;&gt;"",NOT(ISNUMBER($F277)))),"Fecha no válida"&amp;" · ","")&amp;IF(AND(ISNUMBER($E277),ISNUMBER($F277),$E277&gt;$F277),"Inicio posterior a fecha límite"&amp;" · ","")&amp;IF(AND($S277="Macro",$G277=""),"Peso vacío"&amp;" · ","")&amp;IF(AND($S277="Macro",$G277&lt;&gt;"",OR(NOT(ISNUMBER($G277)),$G277&lt;=0,$G277&gt;1)),"Peso fuera de rango"&amp;" · ","")&amp;IF(AND($S277="Sub",$G277&lt;&gt;""),"Las subactividades no llevan peso"&amp;" · ","")&amp;IF(AND($S277="Macro",ABS(SUMIFS($G$5:$G$1000,$P$5:$P$1000,$P277,$S$5:$S$1000,"Macro")-1)&gt;0.0001),"Pesos del mes suman "&amp;TEXT(SUMIFS($G$5:$G$1000,$P$5:$P$1000,$P277,$S$5:$S$1000,"Macro"),"0%")&amp;" · ","")&amp;IF(AND(N($T277)&gt;0,COUNT($H277:$K277)&gt;0),"Con subactividades: deje vacías las semanas (se calculan solas)"&amp;" · ","")&amp;IF((COUNTIF($H277:$K277,"&gt;1")+COUNTIF($H277:$K277,"&lt;0")+COUNTA($H277:$K277)-COUNT($H277:$K277))&gt;0,"Avance fuera de rango 0-100%"&amp;" · ","")&amp;IF(OR(AND($I277&lt;&gt;"",$I277&lt;$H277),AND($J277&lt;&gt;"",$J277&lt;MAX($H277:$I277)),AND($K277&lt;&gt;"",$K277&lt;MAX($H277:$J277))),"Avance semanal decreciente"&amp;" · ","")&amp;IF(AND(ISNUMBER($F277),$F277&lt;FechaRef,N($L277)&lt;1),"Vencida"&amp;" · ","")&amp;IF(AND(ObsObligatoria="Sí",ISNUMBER($F277),$F277&lt;FechaRef,N($L277)&lt;1,$N277=""),"Vencida sin observación"&amp;" · ",""))-3)))</f>
        <v/>
      </c>
      <c r="P277" s="69">
        <f>IF(NOT((COUNTA($B277:$K277)+COUNTA($N277))&gt;0),"",IF(AND($S277="Sub",N($R277)&gt;0),IF(ISNUMBER(INDEX($E$5:$E$1000,$R277-4)),DATE(YEAR(INDEX($E$5:$E$1000,$R277-4)),MONTH(INDEX($E$5:$E$1000,$R277-4)),1),IF(ISNUMBER(INDEX($F$5:$F$1000,$R277-4)),DATE(YEAR(INDEX($F$5:$F$1000,$R277-4)),MONTH(INDEX($F$5:$F$1000,$R277-4)),1),MesCiclo)),IF(ISNUMBER($E277),DATE(YEAR($E277),MONTH($E277),1),IF(ISNUMBER($F277),DATE(YEAR($F277),MONTH($F277),1),MesCiclo))))</f>
        <v/>
      </c>
      <c r="Q277" s="70">
        <f>IF(OR($P277="",$P277&lt;&gt;MesCiclo),"",COUNTIF($P$5:$P277,MesCiclo))</f>
        <v/>
      </c>
      <c r="R277" s="70">
        <f>IF($S277="","",IF($S277="Macro",ROW(),IFERROR(LOOKUP(2,1/($S$5:$S277="Macro"),ROW($S$5:$S277)),0)))</f>
        <v/>
      </c>
      <c r="S277" s="70">
        <f>IF(NOT((COUNTA($B277:$K277)+COUNTA($N277))&gt;0),"",IF($B277&lt;&gt;"","Macro",IF($C277&lt;&gt;"","Sub","Macro")))</f>
        <v/>
      </c>
      <c r="T277" s="70">
        <f>IF($S277="Macro",COUNTIFS($R$5:$R$1000,ROW(),$S$5:$S$1000,"Sub"),"")</f>
        <v/>
      </c>
      <c r="U277" s="70">
        <f>IF($S277="","",IF(ISNUMBER($H277),$H277,0))</f>
        <v/>
      </c>
      <c r="V277" s="70">
        <f>IF($S277="","",IF(ISNUMBER($I277),$I277,$U277))</f>
        <v/>
      </c>
      <c r="W277" s="70">
        <f>IF($S277="","",IF(ISNUMBER($J277),$J277,$V277))</f>
        <v/>
      </c>
      <c r="X277" s="70">
        <f>IF($S277="","",IF(ISNUMBER($K277),$K277,$W277))</f>
        <v/>
      </c>
      <c r="Y277" s="70">
        <f>IF($S277="","",IF(N($T277)&gt;0,AVERAGEIFS($U$5:$U$1000,$R$5:$R$1000,ROW(),$S$5:$S$1000,"Sub"),$U277))</f>
        <v/>
      </c>
      <c r="Z277" s="70">
        <f>IF($S277="","",IF(N($T277)&gt;0,AVERAGEIFS($V$5:$V$1000,$R$5:$R$1000,ROW(),$S$5:$S$1000,"Sub"),$V277))</f>
        <v/>
      </c>
      <c r="AA277" s="70">
        <f>IF($S277="","",IF(N($T277)&gt;0,AVERAGEIFS($W$5:$W$1000,$R$5:$R$1000,ROW(),$S$5:$S$1000,"Sub"),$W277))</f>
        <v/>
      </c>
      <c r="AB277" s="70">
        <f>IF($S277="","",IF(N($T277)&gt;0,AVERAGEIFS($X$5:$X$1000,$R$5:$R$1000,ROW(),$S$5:$S$1000,"Sub"),$X277))</f>
        <v/>
      </c>
    </row>
    <row r="278">
      <c r="A278" s="61">
        <f>IF(NOT((COUNTA($B278:$K278)+COUNTA($N278))&gt;0),"",IF($S278="Macro",COUNTIFS($S$5:$S278,"Macro",$P$5:$P278,$P278),IF(N($R278)=0,"?",COUNTIFS(INDEX($S$5:$S$1000,1):INDEX($S$5:$S$1000,$R278-4),"Macro",INDEX($P$5:$P$1000,1):INDEX($P$5:$P$1000,$R278-4),INDEX($P$5:$P$1000,$R278-4))&amp;"."&amp;COUNTIFS($R$5:$R278,$R278,$S$5:$S278,"Sub"))))</f>
        <v/>
      </c>
      <c r="B278" s="62" t="n"/>
      <c r="C278" s="63" t="n"/>
      <c r="D278" s="62" t="n"/>
      <c r="E278" s="64" t="n"/>
      <c r="F278" s="64" t="n"/>
      <c r="G278" s="65" t="n"/>
      <c r="H278" s="66" t="n"/>
      <c r="I278" s="66" t="n"/>
      <c r="J278" s="66" t="n"/>
      <c r="K278" s="66" t="n"/>
      <c r="L278" s="67">
        <f>IF(NOT((COUNTA($B278:$K278)+COUNTA($N278))&gt;0),"",IF(N($T278)&gt;0,$AB278,IFERROR(LOOKUP(2,1/(H278:K278&lt;&gt;""),H278:K278),0)))</f>
        <v/>
      </c>
      <c r="M278" s="61">
        <f>IF(L278="","",IF(L278&gt;=1,"Completado",IF(L278&gt;0,"En curso","Pendiente")))</f>
        <v/>
      </c>
      <c r="N278" s="62" t="n"/>
      <c r="O278" s="68">
        <f>IF(NOT((COUNTA($B278:$K278)+COUNTA($N278))&gt;0),"",IF((IF(AND($S278="Macro",$B278=""),"Macroactividad vacía"&amp;" · ","")&amp;IF(AND($B278&lt;&gt;"",$C278&lt;&gt;""),"Escriba la subactividad en otra fila, debajo de su macroactividad"&amp;" · ","")&amp;IF(AND($S278="Sub",N($R278)=0),"Subactividad sin macroactividad arriba"&amp;" · ","")&amp;IF($D278="","Sin responsable"&amp;" · ","")&amp;IF($E278="","Sin fecha de inicio"&amp;" · ","")&amp;IF($F278="","Sin fecha límite"&amp;" · ","")&amp;IF(OR(AND($E278&lt;&gt;"",NOT(ISNUMBER($E278))),AND($F278&lt;&gt;"",NOT(ISNUMBER($F278)))),"Fecha no válida"&amp;" · ","")&amp;IF(AND(ISNUMBER($E278),ISNUMBER($F278),$E278&gt;$F278),"Inicio posterior a fecha límite"&amp;" · ","")&amp;IF(AND($S278="Macro",$G278=""),"Peso vacío"&amp;" · ","")&amp;IF(AND($S278="Macro",$G278&lt;&gt;"",OR(NOT(ISNUMBER($G278)),$G278&lt;=0,$G278&gt;1)),"Peso fuera de rango"&amp;" · ","")&amp;IF(AND($S278="Sub",$G278&lt;&gt;""),"Las subactividades no llevan peso"&amp;" · ","")&amp;IF(AND($S278="Macro",ABS(SUMIFS($G$5:$G$1000,$P$5:$P$1000,$P278,$S$5:$S$1000,"Macro")-1)&gt;0.0001),"Pesos del mes suman "&amp;TEXT(SUMIFS($G$5:$G$1000,$P$5:$P$1000,$P278,$S$5:$S$1000,"Macro"),"0%")&amp;" · ","")&amp;IF(AND(N($T278)&gt;0,COUNT($H278:$K278)&gt;0),"Con subactividades: deje vacías las semanas (se calculan solas)"&amp;" · ","")&amp;IF((COUNTIF($H278:$K278,"&gt;1")+COUNTIF($H278:$K278,"&lt;0")+COUNTA($H278:$K278)-COUNT($H278:$K278))&gt;0,"Avance fuera de rango 0-100%"&amp;" · ","")&amp;IF(OR(AND($I278&lt;&gt;"",$I278&lt;$H278),AND($J278&lt;&gt;"",$J278&lt;MAX($H278:$I278)),AND($K278&lt;&gt;"",$K278&lt;MAX($H278:$J278))),"Avance semanal decreciente"&amp;" · ","")&amp;IF(AND(ISNUMBER($F278),$F278&lt;FechaRef,N($L278)&lt;1),"Vencida"&amp;" · ","")&amp;IF(AND(ObsObligatoria="Sí",ISNUMBER($F278),$F278&lt;FechaRef,N($L278)&lt;1,$N278=""),"Vencida sin observación"&amp;" · ",""))="","✔ OK","⚠ "&amp;LEFT(IF(AND($S278="Macro",$B278=""),"Macroactividad vacía"&amp;" · ","")&amp;IF(AND($B278&lt;&gt;"",$C278&lt;&gt;""),"Escriba la subactividad en otra fila, debajo de su macroactividad"&amp;" · ","")&amp;IF(AND($S278="Sub",N($R278)=0),"Subactividad sin macroactividad arriba"&amp;" · ","")&amp;IF($D278="","Sin responsable"&amp;" · ","")&amp;IF($E278="","Sin fecha de inicio"&amp;" · ","")&amp;IF($F278="","Sin fecha límite"&amp;" · ","")&amp;IF(OR(AND($E278&lt;&gt;"",NOT(ISNUMBER($E278))),AND($F278&lt;&gt;"",NOT(ISNUMBER($F278)))),"Fecha no válida"&amp;" · ","")&amp;IF(AND(ISNUMBER($E278),ISNUMBER($F278),$E278&gt;$F278),"Inicio posterior a fecha límite"&amp;" · ","")&amp;IF(AND($S278="Macro",$G278=""),"Peso vacío"&amp;" · ","")&amp;IF(AND($S278="Macro",$G278&lt;&gt;"",OR(NOT(ISNUMBER($G278)),$G278&lt;=0,$G278&gt;1)),"Peso fuera de rango"&amp;" · ","")&amp;IF(AND($S278="Sub",$G278&lt;&gt;""),"Las subactividades no llevan peso"&amp;" · ","")&amp;IF(AND($S278="Macro",ABS(SUMIFS($G$5:$G$1000,$P$5:$P$1000,$P278,$S$5:$S$1000,"Macro")-1)&gt;0.0001),"Pesos del mes suman "&amp;TEXT(SUMIFS($G$5:$G$1000,$P$5:$P$1000,$P278,$S$5:$S$1000,"Macro"),"0%")&amp;" · ","")&amp;IF(AND(N($T278)&gt;0,COUNT($H278:$K278)&gt;0),"Con subactividades: deje vacías las semanas (se calculan solas)"&amp;" · ","")&amp;IF((COUNTIF($H278:$K278,"&gt;1")+COUNTIF($H278:$K278,"&lt;0")+COUNTA($H278:$K278)-COUNT($H278:$K278))&gt;0,"Avance fuera de rango 0-100%"&amp;" · ","")&amp;IF(OR(AND($I278&lt;&gt;"",$I278&lt;$H278),AND($J278&lt;&gt;"",$J278&lt;MAX($H278:$I278)),AND($K278&lt;&gt;"",$K278&lt;MAX($H278:$J278))),"Avance semanal decreciente"&amp;" · ","")&amp;IF(AND(ISNUMBER($F278),$F278&lt;FechaRef,N($L278)&lt;1),"Vencida"&amp;" · ","")&amp;IF(AND(ObsObligatoria="Sí",ISNUMBER($F278),$F278&lt;FechaRef,N($L278)&lt;1,$N278=""),"Vencida sin observación"&amp;" · ",""),LEN(IF(AND($S278="Macro",$B278=""),"Macroactividad vacía"&amp;" · ","")&amp;IF(AND($B278&lt;&gt;"",$C278&lt;&gt;""),"Escriba la subactividad en otra fila, debajo de su macroactividad"&amp;" · ","")&amp;IF(AND($S278="Sub",N($R278)=0),"Subactividad sin macroactividad arriba"&amp;" · ","")&amp;IF($D278="","Sin responsable"&amp;" · ","")&amp;IF($E278="","Sin fecha de inicio"&amp;" · ","")&amp;IF($F278="","Sin fecha límite"&amp;" · ","")&amp;IF(OR(AND($E278&lt;&gt;"",NOT(ISNUMBER($E278))),AND($F278&lt;&gt;"",NOT(ISNUMBER($F278)))),"Fecha no válida"&amp;" · ","")&amp;IF(AND(ISNUMBER($E278),ISNUMBER($F278),$E278&gt;$F278),"Inicio posterior a fecha límite"&amp;" · ","")&amp;IF(AND($S278="Macro",$G278=""),"Peso vacío"&amp;" · ","")&amp;IF(AND($S278="Macro",$G278&lt;&gt;"",OR(NOT(ISNUMBER($G278)),$G278&lt;=0,$G278&gt;1)),"Peso fuera de rango"&amp;" · ","")&amp;IF(AND($S278="Sub",$G278&lt;&gt;""),"Las subactividades no llevan peso"&amp;" · ","")&amp;IF(AND($S278="Macro",ABS(SUMIFS($G$5:$G$1000,$P$5:$P$1000,$P278,$S$5:$S$1000,"Macro")-1)&gt;0.0001),"Pesos del mes suman "&amp;TEXT(SUMIFS($G$5:$G$1000,$P$5:$P$1000,$P278,$S$5:$S$1000,"Macro"),"0%")&amp;" · ","")&amp;IF(AND(N($T278)&gt;0,COUNT($H278:$K278)&gt;0),"Con subactividades: deje vacías las semanas (se calculan solas)"&amp;" · ","")&amp;IF((COUNTIF($H278:$K278,"&gt;1")+COUNTIF($H278:$K278,"&lt;0")+COUNTA($H278:$K278)-COUNT($H278:$K278))&gt;0,"Avance fuera de rango 0-100%"&amp;" · ","")&amp;IF(OR(AND($I278&lt;&gt;"",$I278&lt;$H278),AND($J278&lt;&gt;"",$J278&lt;MAX($H278:$I278)),AND($K278&lt;&gt;"",$K278&lt;MAX($H278:$J278))),"Avance semanal decreciente"&amp;" · ","")&amp;IF(AND(ISNUMBER($F278),$F278&lt;FechaRef,N($L278)&lt;1),"Vencida"&amp;" · ","")&amp;IF(AND(ObsObligatoria="Sí",ISNUMBER($F278),$F278&lt;FechaRef,N($L278)&lt;1,$N278=""),"Vencida sin observación"&amp;" · ",""))-3)))</f>
        <v/>
      </c>
      <c r="P278" s="69">
        <f>IF(NOT((COUNTA($B278:$K278)+COUNTA($N278))&gt;0),"",IF(AND($S278="Sub",N($R278)&gt;0),IF(ISNUMBER(INDEX($E$5:$E$1000,$R278-4)),DATE(YEAR(INDEX($E$5:$E$1000,$R278-4)),MONTH(INDEX($E$5:$E$1000,$R278-4)),1),IF(ISNUMBER(INDEX($F$5:$F$1000,$R278-4)),DATE(YEAR(INDEX($F$5:$F$1000,$R278-4)),MONTH(INDEX($F$5:$F$1000,$R278-4)),1),MesCiclo)),IF(ISNUMBER($E278),DATE(YEAR($E278),MONTH($E278),1),IF(ISNUMBER($F278),DATE(YEAR($F278),MONTH($F278),1),MesCiclo))))</f>
        <v/>
      </c>
      <c r="Q278" s="70">
        <f>IF(OR($P278="",$P278&lt;&gt;MesCiclo),"",COUNTIF($P$5:$P278,MesCiclo))</f>
        <v/>
      </c>
      <c r="R278" s="70">
        <f>IF($S278="","",IF($S278="Macro",ROW(),IFERROR(LOOKUP(2,1/($S$5:$S278="Macro"),ROW($S$5:$S278)),0)))</f>
        <v/>
      </c>
      <c r="S278" s="70">
        <f>IF(NOT((COUNTA($B278:$K278)+COUNTA($N278))&gt;0),"",IF($B278&lt;&gt;"","Macro",IF($C278&lt;&gt;"","Sub","Macro")))</f>
        <v/>
      </c>
      <c r="T278" s="70">
        <f>IF($S278="Macro",COUNTIFS($R$5:$R$1000,ROW(),$S$5:$S$1000,"Sub"),"")</f>
        <v/>
      </c>
      <c r="U278" s="70">
        <f>IF($S278="","",IF(ISNUMBER($H278),$H278,0))</f>
        <v/>
      </c>
      <c r="V278" s="70">
        <f>IF($S278="","",IF(ISNUMBER($I278),$I278,$U278))</f>
        <v/>
      </c>
      <c r="W278" s="70">
        <f>IF($S278="","",IF(ISNUMBER($J278),$J278,$V278))</f>
        <v/>
      </c>
      <c r="X278" s="70">
        <f>IF($S278="","",IF(ISNUMBER($K278),$K278,$W278))</f>
        <v/>
      </c>
      <c r="Y278" s="70">
        <f>IF($S278="","",IF(N($T278)&gt;0,AVERAGEIFS($U$5:$U$1000,$R$5:$R$1000,ROW(),$S$5:$S$1000,"Sub"),$U278))</f>
        <v/>
      </c>
      <c r="Z278" s="70">
        <f>IF($S278="","",IF(N($T278)&gt;0,AVERAGEIFS($V$5:$V$1000,$R$5:$R$1000,ROW(),$S$5:$S$1000,"Sub"),$V278))</f>
        <v/>
      </c>
      <c r="AA278" s="70">
        <f>IF($S278="","",IF(N($T278)&gt;0,AVERAGEIFS($W$5:$W$1000,$R$5:$R$1000,ROW(),$S$5:$S$1000,"Sub"),$W278))</f>
        <v/>
      </c>
      <c r="AB278" s="70">
        <f>IF($S278="","",IF(N($T278)&gt;0,AVERAGEIFS($X$5:$X$1000,$R$5:$R$1000,ROW(),$S$5:$S$1000,"Sub"),$X278))</f>
        <v/>
      </c>
    </row>
    <row r="279">
      <c r="A279" s="61">
        <f>IF(NOT((COUNTA($B279:$K279)+COUNTA($N279))&gt;0),"",IF($S279="Macro",COUNTIFS($S$5:$S279,"Macro",$P$5:$P279,$P279),IF(N($R279)=0,"?",COUNTIFS(INDEX($S$5:$S$1000,1):INDEX($S$5:$S$1000,$R279-4),"Macro",INDEX($P$5:$P$1000,1):INDEX($P$5:$P$1000,$R279-4),INDEX($P$5:$P$1000,$R279-4))&amp;"."&amp;COUNTIFS($R$5:$R279,$R279,$S$5:$S279,"Sub"))))</f>
        <v/>
      </c>
      <c r="B279" s="62" t="n"/>
      <c r="C279" s="63" t="n"/>
      <c r="D279" s="62" t="n"/>
      <c r="E279" s="64" t="n"/>
      <c r="F279" s="64" t="n"/>
      <c r="G279" s="65" t="n"/>
      <c r="H279" s="66" t="n"/>
      <c r="I279" s="66" t="n"/>
      <c r="J279" s="66" t="n"/>
      <c r="K279" s="66" t="n"/>
      <c r="L279" s="67">
        <f>IF(NOT((COUNTA($B279:$K279)+COUNTA($N279))&gt;0),"",IF(N($T279)&gt;0,$AB279,IFERROR(LOOKUP(2,1/(H279:K279&lt;&gt;""),H279:K279),0)))</f>
        <v/>
      </c>
      <c r="M279" s="61">
        <f>IF(L279="","",IF(L279&gt;=1,"Completado",IF(L279&gt;0,"En curso","Pendiente")))</f>
        <v/>
      </c>
      <c r="N279" s="62" t="n"/>
      <c r="O279" s="68">
        <f>IF(NOT((COUNTA($B279:$K279)+COUNTA($N279))&gt;0),"",IF((IF(AND($S279="Macro",$B279=""),"Macroactividad vacía"&amp;" · ","")&amp;IF(AND($B279&lt;&gt;"",$C279&lt;&gt;""),"Escriba la subactividad en otra fila, debajo de su macroactividad"&amp;" · ","")&amp;IF(AND($S279="Sub",N($R279)=0),"Subactividad sin macroactividad arriba"&amp;" · ","")&amp;IF($D279="","Sin responsable"&amp;" · ","")&amp;IF($E279="","Sin fecha de inicio"&amp;" · ","")&amp;IF($F279="","Sin fecha límite"&amp;" · ","")&amp;IF(OR(AND($E279&lt;&gt;"",NOT(ISNUMBER($E279))),AND($F279&lt;&gt;"",NOT(ISNUMBER($F279)))),"Fecha no válida"&amp;" · ","")&amp;IF(AND(ISNUMBER($E279),ISNUMBER($F279),$E279&gt;$F279),"Inicio posterior a fecha límite"&amp;" · ","")&amp;IF(AND($S279="Macro",$G279=""),"Peso vacío"&amp;" · ","")&amp;IF(AND($S279="Macro",$G279&lt;&gt;"",OR(NOT(ISNUMBER($G279)),$G279&lt;=0,$G279&gt;1)),"Peso fuera de rango"&amp;" · ","")&amp;IF(AND($S279="Sub",$G279&lt;&gt;""),"Las subactividades no llevan peso"&amp;" · ","")&amp;IF(AND($S279="Macro",ABS(SUMIFS($G$5:$G$1000,$P$5:$P$1000,$P279,$S$5:$S$1000,"Macro")-1)&gt;0.0001),"Pesos del mes suman "&amp;TEXT(SUMIFS($G$5:$G$1000,$P$5:$P$1000,$P279,$S$5:$S$1000,"Macro"),"0%")&amp;" · ","")&amp;IF(AND(N($T279)&gt;0,COUNT($H279:$K279)&gt;0),"Con subactividades: deje vacías las semanas (se calculan solas)"&amp;" · ","")&amp;IF((COUNTIF($H279:$K279,"&gt;1")+COUNTIF($H279:$K279,"&lt;0")+COUNTA($H279:$K279)-COUNT($H279:$K279))&gt;0,"Avance fuera de rango 0-100%"&amp;" · ","")&amp;IF(OR(AND($I279&lt;&gt;"",$I279&lt;$H279),AND($J279&lt;&gt;"",$J279&lt;MAX($H279:$I279)),AND($K279&lt;&gt;"",$K279&lt;MAX($H279:$J279))),"Avance semanal decreciente"&amp;" · ","")&amp;IF(AND(ISNUMBER($F279),$F279&lt;FechaRef,N($L279)&lt;1),"Vencida"&amp;" · ","")&amp;IF(AND(ObsObligatoria="Sí",ISNUMBER($F279),$F279&lt;FechaRef,N($L279)&lt;1,$N279=""),"Vencida sin observación"&amp;" · ",""))="","✔ OK","⚠ "&amp;LEFT(IF(AND($S279="Macro",$B279=""),"Macroactividad vacía"&amp;" · ","")&amp;IF(AND($B279&lt;&gt;"",$C279&lt;&gt;""),"Escriba la subactividad en otra fila, debajo de su macroactividad"&amp;" · ","")&amp;IF(AND($S279="Sub",N($R279)=0),"Subactividad sin macroactividad arriba"&amp;" · ","")&amp;IF($D279="","Sin responsable"&amp;" · ","")&amp;IF($E279="","Sin fecha de inicio"&amp;" · ","")&amp;IF($F279="","Sin fecha límite"&amp;" · ","")&amp;IF(OR(AND($E279&lt;&gt;"",NOT(ISNUMBER($E279))),AND($F279&lt;&gt;"",NOT(ISNUMBER($F279)))),"Fecha no válida"&amp;" · ","")&amp;IF(AND(ISNUMBER($E279),ISNUMBER($F279),$E279&gt;$F279),"Inicio posterior a fecha límite"&amp;" · ","")&amp;IF(AND($S279="Macro",$G279=""),"Peso vacío"&amp;" · ","")&amp;IF(AND($S279="Macro",$G279&lt;&gt;"",OR(NOT(ISNUMBER($G279)),$G279&lt;=0,$G279&gt;1)),"Peso fuera de rango"&amp;" · ","")&amp;IF(AND($S279="Sub",$G279&lt;&gt;""),"Las subactividades no llevan peso"&amp;" · ","")&amp;IF(AND($S279="Macro",ABS(SUMIFS($G$5:$G$1000,$P$5:$P$1000,$P279,$S$5:$S$1000,"Macro")-1)&gt;0.0001),"Pesos del mes suman "&amp;TEXT(SUMIFS($G$5:$G$1000,$P$5:$P$1000,$P279,$S$5:$S$1000,"Macro"),"0%")&amp;" · ","")&amp;IF(AND(N($T279)&gt;0,COUNT($H279:$K279)&gt;0),"Con subactividades: deje vacías las semanas (se calculan solas)"&amp;" · ","")&amp;IF((COUNTIF($H279:$K279,"&gt;1")+COUNTIF($H279:$K279,"&lt;0")+COUNTA($H279:$K279)-COUNT($H279:$K279))&gt;0,"Avance fuera de rango 0-100%"&amp;" · ","")&amp;IF(OR(AND($I279&lt;&gt;"",$I279&lt;$H279),AND($J279&lt;&gt;"",$J279&lt;MAX($H279:$I279)),AND($K279&lt;&gt;"",$K279&lt;MAX($H279:$J279))),"Avance semanal decreciente"&amp;" · ","")&amp;IF(AND(ISNUMBER($F279),$F279&lt;FechaRef,N($L279)&lt;1),"Vencida"&amp;" · ","")&amp;IF(AND(ObsObligatoria="Sí",ISNUMBER($F279),$F279&lt;FechaRef,N($L279)&lt;1,$N279=""),"Vencida sin observación"&amp;" · ",""),LEN(IF(AND($S279="Macro",$B279=""),"Macroactividad vacía"&amp;" · ","")&amp;IF(AND($B279&lt;&gt;"",$C279&lt;&gt;""),"Escriba la subactividad en otra fila, debajo de su macroactividad"&amp;" · ","")&amp;IF(AND($S279="Sub",N($R279)=0),"Subactividad sin macroactividad arriba"&amp;" · ","")&amp;IF($D279="","Sin responsable"&amp;" · ","")&amp;IF($E279="","Sin fecha de inicio"&amp;" · ","")&amp;IF($F279="","Sin fecha límite"&amp;" · ","")&amp;IF(OR(AND($E279&lt;&gt;"",NOT(ISNUMBER($E279))),AND($F279&lt;&gt;"",NOT(ISNUMBER($F279)))),"Fecha no válida"&amp;" · ","")&amp;IF(AND(ISNUMBER($E279),ISNUMBER($F279),$E279&gt;$F279),"Inicio posterior a fecha límite"&amp;" · ","")&amp;IF(AND($S279="Macro",$G279=""),"Peso vacío"&amp;" · ","")&amp;IF(AND($S279="Macro",$G279&lt;&gt;"",OR(NOT(ISNUMBER($G279)),$G279&lt;=0,$G279&gt;1)),"Peso fuera de rango"&amp;" · ","")&amp;IF(AND($S279="Sub",$G279&lt;&gt;""),"Las subactividades no llevan peso"&amp;" · ","")&amp;IF(AND($S279="Macro",ABS(SUMIFS($G$5:$G$1000,$P$5:$P$1000,$P279,$S$5:$S$1000,"Macro")-1)&gt;0.0001),"Pesos del mes suman "&amp;TEXT(SUMIFS($G$5:$G$1000,$P$5:$P$1000,$P279,$S$5:$S$1000,"Macro"),"0%")&amp;" · ","")&amp;IF(AND(N($T279)&gt;0,COUNT($H279:$K279)&gt;0),"Con subactividades: deje vacías las semanas (se calculan solas)"&amp;" · ","")&amp;IF((COUNTIF($H279:$K279,"&gt;1")+COUNTIF($H279:$K279,"&lt;0")+COUNTA($H279:$K279)-COUNT($H279:$K279))&gt;0,"Avance fuera de rango 0-100%"&amp;" · ","")&amp;IF(OR(AND($I279&lt;&gt;"",$I279&lt;$H279),AND($J279&lt;&gt;"",$J279&lt;MAX($H279:$I279)),AND($K279&lt;&gt;"",$K279&lt;MAX($H279:$J279))),"Avance semanal decreciente"&amp;" · ","")&amp;IF(AND(ISNUMBER($F279),$F279&lt;FechaRef,N($L279)&lt;1),"Vencida"&amp;" · ","")&amp;IF(AND(ObsObligatoria="Sí",ISNUMBER($F279),$F279&lt;FechaRef,N($L279)&lt;1,$N279=""),"Vencida sin observación"&amp;" · ",""))-3)))</f>
        <v/>
      </c>
      <c r="P279" s="69">
        <f>IF(NOT((COUNTA($B279:$K279)+COUNTA($N279))&gt;0),"",IF(AND($S279="Sub",N($R279)&gt;0),IF(ISNUMBER(INDEX($E$5:$E$1000,$R279-4)),DATE(YEAR(INDEX($E$5:$E$1000,$R279-4)),MONTH(INDEX($E$5:$E$1000,$R279-4)),1),IF(ISNUMBER(INDEX($F$5:$F$1000,$R279-4)),DATE(YEAR(INDEX($F$5:$F$1000,$R279-4)),MONTH(INDEX($F$5:$F$1000,$R279-4)),1),MesCiclo)),IF(ISNUMBER($E279),DATE(YEAR($E279),MONTH($E279),1),IF(ISNUMBER($F279),DATE(YEAR($F279),MONTH($F279),1),MesCiclo))))</f>
        <v/>
      </c>
      <c r="Q279" s="70">
        <f>IF(OR($P279="",$P279&lt;&gt;MesCiclo),"",COUNTIF($P$5:$P279,MesCiclo))</f>
        <v/>
      </c>
      <c r="R279" s="70">
        <f>IF($S279="","",IF($S279="Macro",ROW(),IFERROR(LOOKUP(2,1/($S$5:$S279="Macro"),ROW($S$5:$S279)),0)))</f>
        <v/>
      </c>
      <c r="S279" s="70">
        <f>IF(NOT((COUNTA($B279:$K279)+COUNTA($N279))&gt;0),"",IF($B279&lt;&gt;"","Macro",IF($C279&lt;&gt;"","Sub","Macro")))</f>
        <v/>
      </c>
      <c r="T279" s="70">
        <f>IF($S279="Macro",COUNTIFS($R$5:$R$1000,ROW(),$S$5:$S$1000,"Sub"),"")</f>
        <v/>
      </c>
      <c r="U279" s="70">
        <f>IF($S279="","",IF(ISNUMBER($H279),$H279,0))</f>
        <v/>
      </c>
      <c r="V279" s="70">
        <f>IF($S279="","",IF(ISNUMBER($I279),$I279,$U279))</f>
        <v/>
      </c>
      <c r="W279" s="70">
        <f>IF($S279="","",IF(ISNUMBER($J279),$J279,$V279))</f>
        <v/>
      </c>
      <c r="X279" s="70">
        <f>IF($S279="","",IF(ISNUMBER($K279),$K279,$W279))</f>
        <v/>
      </c>
      <c r="Y279" s="70">
        <f>IF($S279="","",IF(N($T279)&gt;0,AVERAGEIFS($U$5:$U$1000,$R$5:$R$1000,ROW(),$S$5:$S$1000,"Sub"),$U279))</f>
        <v/>
      </c>
      <c r="Z279" s="70">
        <f>IF($S279="","",IF(N($T279)&gt;0,AVERAGEIFS($V$5:$V$1000,$R$5:$R$1000,ROW(),$S$5:$S$1000,"Sub"),$V279))</f>
        <v/>
      </c>
      <c r="AA279" s="70">
        <f>IF($S279="","",IF(N($T279)&gt;0,AVERAGEIFS($W$5:$W$1000,$R$5:$R$1000,ROW(),$S$5:$S$1000,"Sub"),$W279))</f>
        <v/>
      </c>
      <c r="AB279" s="70">
        <f>IF($S279="","",IF(N($T279)&gt;0,AVERAGEIFS($X$5:$X$1000,$R$5:$R$1000,ROW(),$S$5:$S$1000,"Sub"),$X279))</f>
        <v/>
      </c>
    </row>
    <row r="280">
      <c r="A280" s="61">
        <f>IF(NOT((COUNTA($B280:$K280)+COUNTA($N280))&gt;0),"",IF($S280="Macro",COUNTIFS($S$5:$S280,"Macro",$P$5:$P280,$P280),IF(N($R280)=0,"?",COUNTIFS(INDEX($S$5:$S$1000,1):INDEX($S$5:$S$1000,$R280-4),"Macro",INDEX($P$5:$P$1000,1):INDEX($P$5:$P$1000,$R280-4),INDEX($P$5:$P$1000,$R280-4))&amp;"."&amp;COUNTIFS($R$5:$R280,$R280,$S$5:$S280,"Sub"))))</f>
        <v/>
      </c>
      <c r="B280" s="62" t="n"/>
      <c r="C280" s="63" t="n"/>
      <c r="D280" s="62" t="n"/>
      <c r="E280" s="64" t="n"/>
      <c r="F280" s="64" t="n"/>
      <c r="G280" s="65" t="n"/>
      <c r="H280" s="66" t="n"/>
      <c r="I280" s="66" t="n"/>
      <c r="J280" s="66" t="n"/>
      <c r="K280" s="66" t="n"/>
      <c r="L280" s="67">
        <f>IF(NOT((COUNTA($B280:$K280)+COUNTA($N280))&gt;0),"",IF(N($T280)&gt;0,$AB280,IFERROR(LOOKUP(2,1/(H280:K280&lt;&gt;""),H280:K280),0)))</f>
        <v/>
      </c>
      <c r="M280" s="61">
        <f>IF(L280="","",IF(L280&gt;=1,"Completado",IF(L280&gt;0,"En curso","Pendiente")))</f>
        <v/>
      </c>
      <c r="N280" s="62" t="n"/>
      <c r="O280" s="68">
        <f>IF(NOT((COUNTA($B280:$K280)+COUNTA($N280))&gt;0),"",IF((IF(AND($S280="Macro",$B280=""),"Macroactividad vacía"&amp;" · ","")&amp;IF(AND($B280&lt;&gt;"",$C280&lt;&gt;""),"Escriba la subactividad en otra fila, debajo de su macroactividad"&amp;" · ","")&amp;IF(AND($S280="Sub",N($R280)=0),"Subactividad sin macroactividad arriba"&amp;" · ","")&amp;IF($D280="","Sin responsable"&amp;" · ","")&amp;IF($E280="","Sin fecha de inicio"&amp;" · ","")&amp;IF($F280="","Sin fecha límite"&amp;" · ","")&amp;IF(OR(AND($E280&lt;&gt;"",NOT(ISNUMBER($E280))),AND($F280&lt;&gt;"",NOT(ISNUMBER($F280)))),"Fecha no válida"&amp;" · ","")&amp;IF(AND(ISNUMBER($E280),ISNUMBER($F280),$E280&gt;$F280),"Inicio posterior a fecha límite"&amp;" · ","")&amp;IF(AND($S280="Macro",$G280=""),"Peso vacío"&amp;" · ","")&amp;IF(AND($S280="Macro",$G280&lt;&gt;"",OR(NOT(ISNUMBER($G280)),$G280&lt;=0,$G280&gt;1)),"Peso fuera de rango"&amp;" · ","")&amp;IF(AND($S280="Sub",$G280&lt;&gt;""),"Las subactividades no llevan peso"&amp;" · ","")&amp;IF(AND($S280="Macro",ABS(SUMIFS($G$5:$G$1000,$P$5:$P$1000,$P280,$S$5:$S$1000,"Macro")-1)&gt;0.0001),"Pesos del mes suman "&amp;TEXT(SUMIFS($G$5:$G$1000,$P$5:$P$1000,$P280,$S$5:$S$1000,"Macro"),"0%")&amp;" · ","")&amp;IF(AND(N($T280)&gt;0,COUNT($H280:$K280)&gt;0),"Con subactividades: deje vacías las semanas (se calculan solas)"&amp;" · ","")&amp;IF((COUNTIF($H280:$K280,"&gt;1")+COUNTIF($H280:$K280,"&lt;0")+COUNTA($H280:$K280)-COUNT($H280:$K280))&gt;0,"Avance fuera de rango 0-100%"&amp;" · ","")&amp;IF(OR(AND($I280&lt;&gt;"",$I280&lt;$H280),AND($J280&lt;&gt;"",$J280&lt;MAX($H280:$I280)),AND($K280&lt;&gt;"",$K280&lt;MAX($H280:$J280))),"Avance semanal decreciente"&amp;" · ","")&amp;IF(AND(ISNUMBER($F280),$F280&lt;FechaRef,N($L280)&lt;1),"Vencida"&amp;" · ","")&amp;IF(AND(ObsObligatoria="Sí",ISNUMBER($F280),$F280&lt;FechaRef,N($L280)&lt;1,$N280=""),"Vencida sin observación"&amp;" · ",""))="","✔ OK","⚠ "&amp;LEFT(IF(AND($S280="Macro",$B280=""),"Macroactividad vacía"&amp;" · ","")&amp;IF(AND($B280&lt;&gt;"",$C280&lt;&gt;""),"Escriba la subactividad en otra fila, debajo de su macroactividad"&amp;" · ","")&amp;IF(AND($S280="Sub",N($R280)=0),"Subactividad sin macroactividad arriba"&amp;" · ","")&amp;IF($D280="","Sin responsable"&amp;" · ","")&amp;IF($E280="","Sin fecha de inicio"&amp;" · ","")&amp;IF($F280="","Sin fecha límite"&amp;" · ","")&amp;IF(OR(AND($E280&lt;&gt;"",NOT(ISNUMBER($E280))),AND($F280&lt;&gt;"",NOT(ISNUMBER($F280)))),"Fecha no válida"&amp;" · ","")&amp;IF(AND(ISNUMBER($E280),ISNUMBER($F280),$E280&gt;$F280),"Inicio posterior a fecha límite"&amp;" · ","")&amp;IF(AND($S280="Macro",$G280=""),"Peso vacío"&amp;" · ","")&amp;IF(AND($S280="Macro",$G280&lt;&gt;"",OR(NOT(ISNUMBER($G280)),$G280&lt;=0,$G280&gt;1)),"Peso fuera de rango"&amp;" · ","")&amp;IF(AND($S280="Sub",$G280&lt;&gt;""),"Las subactividades no llevan peso"&amp;" · ","")&amp;IF(AND($S280="Macro",ABS(SUMIFS($G$5:$G$1000,$P$5:$P$1000,$P280,$S$5:$S$1000,"Macro")-1)&gt;0.0001),"Pesos del mes suman "&amp;TEXT(SUMIFS($G$5:$G$1000,$P$5:$P$1000,$P280,$S$5:$S$1000,"Macro"),"0%")&amp;" · ","")&amp;IF(AND(N($T280)&gt;0,COUNT($H280:$K280)&gt;0),"Con subactividades: deje vacías las semanas (se calculan solas)"&amp;" · ","")&amp;IF((COUNTIF($H280:$K280,"&gt;1")+COUNTIF($H280:$K280,"&lt;0")+COUNTA($H280:$K280)-COUNT($H280:$K280))&gt;0,"Avance fuera de rango 0-100%"&amp;" · ","")&amp;IF(OR(AND($I280&lt;&gt;"",$I280&lt;$H280),AND($J280&lt;&gt;"",$J280&lt;MAX($H280:$I280)),AND($K280&lt;&gt;"",$K280&lt;MAX($H280:$J280))),"Avance semanal decreciente"&amp;" · ","")&amp;IF(AND(ISNUMBER($F280),$F280&lt;FechaRef,N($L280)&lt;1),"Vencida"&amp;" · ","")&amp;IF(AND(ObsObligatoria="Sí",ISNUMBER($F280),$F280&lt;FechaRef,N($L280)&lt;1,$N280=""),"Vencida sin observación"&amp;" · ",""),LEN(IF(AND($S280="Macro",$B280=""),"Macroactividad vacía"&amp;" · ","")&amp;IF(AND($B280&lt;&gt;"",$C280&lt;&gt;""),"Escriba la subactividad en otra fila, debajo de su macroactividad"&amp;" · ","")&amp;IF(AND($S280="Sub",N($R280)=0),"Subactividad sin macroactividad arriba"&amp;" · ","")&amp;IF($D280="","Sin responsable"&amp;" · ","")&amp;IF($E280="","Sin fecha de inicio"&amp;" · ","")&amp;IF($F280="","Sin fecha límite"&amp;" · ","")&amp;IF(OR(AND($E280&lt;&gt;"",NOT(ISNUMBER($E280))),AND($F280&lt;&gt;"",NOT(ISNUMBER($F280)))),"Fecha no válida"&amp;" · ","")&amp;IF(AND(ISNUMBER($E280),ISNUMBER($F280),$E280&gt;$F280),"Inicio posterior a fecha límite"&amp;" · ","")&amp;IF(AND($S280="Macro",$G280=""),"Peso vacío"&amp;" · ","")&amp;IF(AND($S280="Macro",$G280&lt;&gt;"",OR(NOT(ISNUMBER($G280)),$G280&lt;=0,$G280&gt;1)),"Peso fuera de rango"&amp;" · ","")&amp;IF(AND($S280="Sub",$G280&lt;&gt;""),"Las subactividades no llevan peso"&amp;" · ","")&amp;IF(AND($S280="Macro",ABS(SUMIFS($G$5:$G$1000,$P$5:$P$1000,$P280,$S$5:$S$1000,"Macro")-1)&gt;0.0001),"Pesos del mes suman "&amp;TEXT(SUMIFS($G$5:$G$1000,$P$5:$P$1000,$P280,$S$5:$S$1000,"Macro"),"0%")&amp;" · ","")&amp;IF(AND(N($T280)&gt;0,COUNT($H280:$K280)&gt;0),"Con subactividades: deje vacías las semanas (se calculan solas)"&amp;" · ","")&amp;IF((COUNTIF($H280:$K280,"&gt;1")+COUNTIF($H280:$K280,"&lt;0")+COUNTA($H280:$K280)-COUNT($H280:$K280))&gt;0,"Avance fuera de rango 0-100%"&amp;" · ","")&amp;IF(OR(AND($I280&lt;&gt;"",$I280&lt;$H280),AND($J280&lt;&gt;"",$J280&lt;MAX($H280:$I280)),AND($K280&lt;&gt;"",$K280&lt;MAX($H280:$J280))),"Avance semanal decreciente"&amp;" · ","")&amp;IF(AND(ISNUMBER($F280),$F280&lt;FechaRef,N($L280)&lt;1),"Vencida"&amp;" · ","")&amp;IF(AND(ObsObligatoria="Sí",ISNUMBER($F280),$F280&lt;FechaRef,N($L280)&lt;1,$N280=""),"Vencida sin observación"&amp;" · ",""))-3)))</f>
        <v/>
      </c>
      <c r="P280" s="69">
        <f>IF(NOT((COUNTA($B280:$K280)+COUNTA($N280))&gt;0),"",IF(AND($S280="Sub",N($R280)&gt;0),IF(ISNUMBER(INDEX($E$5:$E$1000,$R280-4)),DATE(YEAR(INDEX($E$5:$E$1000,$R280-4)),MONTH(INDEX($E$5:$E$1000,$R280-4)),1),IF(ISNUMBER(INDEX($F$5:$F$1000,$R280-4)),DATE(YEAR(INDEX($F$5:$F$1000,$R280-4)),MONTH(INDEX($F$5:$F$1000,$R280-4)),1),MesCiclo)),IF(ISNUMBER($E280),DATE(YEAR($E280),MONTH($E280),1),IF(ISNUMBER($F280),DATE(YEAR($F280),MONTH($F280),1),MesCiclo))))</f>
        <v/>
      </c>
      <c r="Q280" s="70">
        <f>IF(OR($P280="",$P280&lt;&gt;MesCiclo),"",COUNTIF($P$5:$P280,MesCiclo))</f>
        <v/>
      </c>
      <c r="R280" s="70">
        <f>IF($S280="","",IF($S280="Macro",ROW(),IFERROR(LOOKUP(2,1/($S$5:$S280="Macro"),ROW($S$5:$S280)),0)))</f>
        <v/>
      </c>
      <c r="S280" s="70">
        <f>IF(NOT((COUNTA($B280:$K280)+COUNTA($N280))&gt;0),"",IF($B280&lt;&gt;"","Macro",IF($C280&lt;&gt;"","Sub","Macro")))</f>
        <v/>
      </c>
      <c r="T280" s="70">
        <f>IF($S280="Macro",COUNTIFS($R$5:$R$1000,ROW(),$S$5:$S$1000,"Sub"),"")</f>
        <v/>
      </c>
      <c r="U280" s="70">
        <f>IF($S280="","",IF(ISNUMBER($H280),$H280,0))</f>
        <v/>
      </c>
      <c r="V280" s="70">
        <f>IF($S280="","",IF(ISNUMBER($I280),$I280,$U280))</f>
        <v/>
      </c>
      <c r="W280" s="70">
        <f>IF($S280="","",IF(ISNUMBER($J280),$J280,$V280))</f>
        <v/>
      </c>
      <c r="X280" s="70">
        <f>IF($S280="","",IF(ISNUMBER($K280),$K280,$W280))</f>
        <v/>
      </c>
      <c r="Y280" s="70">
        <f>IF($S280="","",IF(N($T280)&gt;0,AVERAGEIFS($U$5:$U$1000,$R$5:$R$1000,ROW(),$S$5:$S$1000,"Sub"),$U280))</f>
        <v/>
      </c>
      <c r="Z280" s="70">
        <f>IF($S280="","",IF(N($T280)&gt;0,AVERAGEIFS($V$5:$V$1000,$R$5:$R$1000,ROW(),$S$5:$S$1000,"Sub"),$V280))</f>
        <v/>
      </c>
      <c r="AA280" s="70">
        <f>IF($S280="","",IF(N($T280)&gt;0,AVERAGEIFS($W$5:$W$1000,$R$5:$R$1000,ROW(),$S$5:$S$1000,"Sub"),$W280))</f>
        <v/>
      </c>
      <c r="AB280" s="70">
        <f>IF($S280="","",IF(N($T280)&gt;0,AVERAGEIFS($X$5:$X$1000,$R$5:$R$1000,ROW(),$S$5:$S$1000,"Sub"),$X280))</f>
        <v/>
      </c>
    </row>
    <row r="281">
      <c r="A281" s="61">
        <f>IF(NOT((COUNTA($B281:$K281)+COUNTA($N281))&gt;0),"",IF($S281="Macro",COUNTIFS($S$5:$S281,"Macro",$P$5:$P281,$P281),IF(N($R281)=0,"?",COUNTIFS(INDEX($S$5:$S$1000,1):INDEX($S$5:$S$1000,$R281-4),"Macro",INDEX($P$5:$P$1000,1):INDEX($P$5:$P$1000,$R281-4),INDEX($P$5:$P$1000,$R281-4))&amp;"."&amp;COUNTIFS($R$5:$R281,$R281,$S$5:$S281,"Sub"))))</f>
        <v/>
      </c>
      <c r="B281" s="62" t="n"/>
      <c r="C281" s="63" t="n"/>
      <c r="D281" s="62" t="n"/>
      <c r="E281" s="64" t="n"/>
      <c r="F281" s="64" t="n"/>
      <c r="G281" s="65" t="n"/>
      <c r="H281" s="66" t="n"/>
      <c r="I281" s="66" t="n"/>
      <c r="J281" s="66" t="n"/>
      <c r="K281" s="66" t="n"/>
      <c r="L281" s="67">
        <f>IF(NOT((COUNTA($B281:$K281)+COUNTA($N281))&gt;0),"",IF(N($T281)&gt;0,$AB281,IFERROR(LOOKUP(2,1/(H281:K281&lt;&gt;""),H281:K281),0)))</f>
        <v/>
      </c>
      <c r="M281" s="61">
        <f>IF(L281="","",IF(L281&gt;=1,"Completado",IF(L281&gt;0,"En curso","Pendiente")))</f>
        <v/>
      </c>
      <c r="N281" s="62" t="n"/>
      <c r="O281" s="68">
        <f>IF(NOT((COUNTA($B281:$K281)+COUNTA($N281))&gt;0),"",IF((IF(AND($S281="Macro",$B281=""),"Macroactividad vacía"&amp;" · ","")&amp;IF(AND($B281&lt;&gt;"",$C281&lt;&gt;""),"Escriba la subactividad en otra fila, debajo de su macroactividad"&amp;" · ","")&amp;IF(AND($S281="Sub",N($R281)=0),"Subactividad sin macroactividad arriba"&amp;" · ","")&amp;IF($D281="","Sin responsable"&amp;" · ","")&amp;IF($E281="","Sin fecha de inicio"&amp;" · ","")&amp;IF($F281="","Sin fecha límite"&amp;" · ","")&amp;IF(OR(AND($E281&lt;&gt;"",NOT(ISNUMBER($E281))),AND($F281&lt;&gt;"",NOT(ISNUMBER($F281)))),"Fecha no válida"&amp;" · ","")&amp;IF(AND(ISNUMBER($E281),ISNUMBER($F281),$E281&gt;$F281),"Inicio posterior a fecha límite"&amp;" · ","")&amp;IF(AND($S281="Macro",$G281=""),"Peso vacío"&amp;" · ","")&amp;IF(AND($S281="Macro",$G281&lt;&gt;"",OR(NOT(ISNUMBER($G281)),$G281&lt;=0,$G281&gt;1)),"Peso fuera de rango"&amp;" · ","")&amp;IF(AND($S281="Sub",$G281&lt;&gt;""),"Las subactividades no llevan peso"&amp;" · ","")&amp;IF(AND($S281="Macro",ABS(SUMIFS($G$5:$G$1000,$P$5:$P$1000,$P281,$S$5:$S$1000,"Macro")-1)&gt;0.0001),"Pesos del mes suman "&amp;TEXT(SUMIFS($G$5:$G$1000,$P$5:$P$1000,$P281,$S$5:$S$1000,"Macro"),"0%")&amp;" · ","")&amp;IF(AND(N($T281)&gt;0,COUNT($H281:$K281)&gt;0),"Con subactividades: deje vacías las semanas (se calculan solas)"&amp;" · ","")&amp;IF((COUNTIF($H281:$K281,"&gt;1")+COUNTIF($H281:$K281,"&lt;0")+COUNTA($H281:$K281)-COUNT($H281:$K281))&gt;0,"Avance fuera de rango 0-100%"&amp;" · ","")&amp;IF(OR(AND($I281&lt;&gt;"",$I281&lt;$H281),AND($J281&lt;&gt;"",$J281&lt;MAX($H281:$I281)),AND($K281&lt;&gt;"",$K281&lt;MAX($H281:$J281))),"Avance semanal decreciente"&amp;" · ","")&amp;IF(AND(ISNUMBER($F281),$F281&lt;FechaRef,N($L281)&lt;1),"Vencida"&amp;" · ","")&amp;IF(AND(ObsObligatoria="Sí",ISNUMBER($F281),$F281&lt;FechaRef,N($L281)&lt;1,$N281=""),"Vencida sin observación"&amp;" · ",""))="","✔ OK","⚠ "&amp;LEFT(IF(AND($S281="Macro",$B281=""),"Macroactividad vacía"&amp;" · ","")&amp;IF(AND($B281&lt;&gt;"",$C281&lt;&gt;""),"Escriba la subactividad en otra fila, debajo de su macroactividad"&amp;" · ","")&amp;IF(AND($S281="Sub",N($R281)=0),"Subactividad sin macroactividad arriba"&amp;" · ","")&amp;IF($D281="","Sin responsable"&amp;" · ","")&amp;IF($E281="","Sin fecha de inicio"&amp;" · ","")&amp;IF($F281="","Sin fecha límite"&amp;" · ","")&amp;IF(OR(AND($E281&lt;&gt;"",NOT(ISNUMBER($E281))),AND($F281&lt;&gt;"",NOT(ISNUMBER($F281)))),"Fecha no válida"&amp;" · ","")&amp;IF(AND(ISNUMBER($E281),ISNUMBER($F281),$E281&gt;$F281),"Inicio posterior a fecha límite"&amp;" · ","")&amp;IF(AND($S281="Macro",$G281=""),"Peso vacío"&amp;" · ","")&amp;IF(AND($S281="Macro",$G281&lt;&gt;"",OR(NOT(ISNUMBER($G281)),$G281&lt;=0,$G281&gt;1)),"Peso fuera de rango"&amp;" · ","")&amp;IF(AND($S281="Sub",$G281&lt;&gt;""),"Las subactividades no llevan peso"&amp;" · ","")&amp;IF(AND($S281="Macro",ABS(SUMIFS($G$5:$G$1000,$P$5:$P$1000,$P281,$S$5:$S$1000,"Macro")-1)&gt;0.0001),"Pesos del mes suman "&amp;TEXT(SUMIFS($G$5:$G$1000,$P$5:$P$1000,$P281,$S$5:$S$1000,"Macro"),"0%")&amp;" · ","")&amp;IF(AND(N($T281)&gt;0,COUNT($H281:$K281)&gt;0),"Con subactividades: deje vacías las semanas (se calculan solas)"&amp;" · ","")&amp;IF((COUNTIF($H281:$K281,"&gt;1")+COUNTIF($H281:$K281,"&lt;0")+COUNTA($H281:$K281)-COUNT($H281:$K281))&gt;0,"Avance fuera de rango 0-100%"&amp;" · ","")&amp;IF(OR(AND($I281&lt;&gt;"",$I281&lt;$H281),AND($J281&lt;&gt;"",$J281&lt;MAX($H281:$I281)),AND($K281&lt;&gt;"",$K281&lt;MAX($H281:$J281))),"Avance semanal decreciente"&amp;" · ","")&amp;IF(AND(ISNUMBER($F281),$F281&lt;FechaRef,N($L281)&lt;1),"Vencida"&amp;" · ","")&amp;IF(AND(ObsObligatoria="Sí",ISNUMBER($F281),$F281&lt;FechaRef,N($L281)&lt;1,$N281=""),"Vencida sin observación"&amp;" · ",""),LEN(IF(AND($S281="Macro",$B281=""),"Macroactividad vacía"&amp;" · ","")&amp;IF(AND($B281&lt;&gt;"",$C281&lt;&gt;""),"Escriba la subactividad en otra fila, debajo de su macroactividad"&amp;" · ","")&amp;IF(AND($S281="Sub",N($R281)=0),"Subactividad sin macroactividad arriba"&amp;" · ","")&amp;IF($D281="","Sin responsable"&amp;" · ","")&amp;IF($E281="","Sin fecha de inicio"&amp;" · ","")&amp;IF($F281="","Sin fecha límite"&amp;" · ","")&amp;IF(OR(AND($E281&lt;&gt;"",NOT(ISNUMBER($E281))),AND($F281&lt;&gt;"",NOT(ISNUMBER($F281)))),"Fecha no válida"&amp;" · ","")&amp;IF(AND(ISNUMBER($E281),ISNUMBER($F281),$E281&gt;$F281),"Inicio posterior a fecha límite"&amp;" · ","")&amp;IF(AND($S281="Macro",$G281=""),"Peso vacío"&amp;" · ","")&amp;IF(AND($S281="Macro",$G281&lt;&gt;"",OR(NOT(ISNUMBER($G281)),$G281&lt;=0,$G281&gt;1)),"Peso fuera de rango"&amp;" · ","")&amp;IF(AND($S281="Sub",$G281&lt;&gt;""),"Las subactividades no llevan peso"&amp;" · ","")&amp;IF(AND($S281="Macro",ABS(SUMIFS($G$5:$G$1000,$P$5:$P$1000,$P281,$S$5:$S$1000,"Macro")-1)&gt;0.0001),"Pesos del mes suman "&amp;TEXT(SUMIFS($G$5:$G$1000,$P$5:$P$1000,$P281,$S$5:$S$1000,"Macro"),"0%")&amp;" · ","")&amp;IF(AND(N($T281)&gt;0,COUNT($H281:$K281)&gt;0),"Con subactividades: deje vacías las semanas (se calculan solas)"&amp;" · ","")&amp;IF((COUNTIF($H281:$K281,"&gt;1")+COUNTIF($H281:$K281,"&lt;0")+COUNTA($H281:$K281)-COUNT($H281:$K281))&gt;0,"Avance fuera de rango 0-100%"&amp;" · ","")&amp;IF(OR(AND($I281&lt;&gt;"",$I281&lt;$H281),AND($J281&lt;&gt;"",$J281&lt;MAX($H281:$I281)),AND($K281&lt;&gt;"",$K281&lt;MAX($H281:$J281))),"Avance semanal decreciente"&amp;" · ","")&amp;IF(AND(ISNUMBER($F281),$F281&lt;FechaRef,N($L281)&lt;1),"Vencida"&amp;" · ","")&amp;IF(AND(ObsObligatoria="Sí",ISNUMBER($F281),$F281&lt;FechaRef,N($L281)&lt;1,$N281=""),"Vencida sin observación"&amp;" · ",""))-3)))</f>
        <v/>
      </c>
      <c r="P281" s="69">
        <f>IF(NOT((COUNTA($B281:$K281)+COUNTA($N281))&gt;0),"",IF(AND($S281="Sub",N($R281)&gt;0),IF(ISNUMBER(INDEX($E$5:$E$1000,$R281-4)),DATE(YEAR(INDEX($E$5:$E$1000,$R281-4)),MONTH(INDEX($E$5:$E$1000,$R281-4)),1),IF(ISNUMBER(INDEX($F$5:$F$1000,$R281-4)),DATE(YEAR(INDEX($F$5:$F$1000,$R281-4)),MONTH(INDEX($F$5:$F$1000,$R281-4)),1),MesCiclo)),IF(ISNUMBER($E281),DATE(YEAR($E281),MONTH($E281),1),IF(ISNUMBER($F281),DATE(YEAR($F281),MONTH($F281),1),MesCiclo))))</f>
        <v/>
      </c>
      <c r="Q281" s="70">
        <f>IF(OR($P281="",$P281&lt;&gt;MesCiclo),"",COUNTIF($P$5:$P281,MesCiclo))</f>
        <v/>
      </c>
      <c r="R281" s="70">
        <f>IF($S281="","",IF($S281="Macro",ROW(),IFERROR(LOOKUP(2,1/($S$5:$S281="Macro"),ROW($S$5:$S281)),0)))</f>
        <v/>
      </c>
      <c r="S281" s="70">
        <f>IF(NOT((COUNTA($B281:$K281)+COUNTA($N281))&gt;0),"",IF($B281&lt;&gt;"","Macro",IF($C281&lt;&gt;"","Sub","Macro")))</f>
        <v/>
      </c>
      <c r="T281" s="70">
        <f>IF($S281="Macro",COUNTIFS($R$5:$R$1000,ROW(),$S$5:$S$1000,"Sub"),"")</f>
        <v/>
      </c>
      <c r="U281" s="70">
        <f>IF($S281="","",IF(ISNUMBER($H281),$H281,0))</f>
        <v/>
      </c>
      <c r="V281" s="70">
        <f>IF($S281="","",IF(ISNUMBER($I281),$I281,$U281))</f>
        <v/>
      </c>
      <c r="W281" s="70">
        <f>IF($S281="","",IF(ISNUMBER($J281),$J281,$V281))</f>
        <v/>
      </c>
      <c r="X281" s="70">
        <f>IF($S281="","",IF(ISNUMBER($K281),$K281,$W281))</f>
        <v/>
      </c>
      <c r="Y281" s="70">
        <f>IF($S281="","",IF(N($T281)&gt;0,AVERAGEIFS($U$5:$U$1000,$R$5:$R$1000,ROW(),$S$5:$S$1000,"Sub"),$U281))</f>
        <v/>
      </c>
      <c r="Z281" s="70">
        <f>IF($S281="","",IF(N($T281)&gt;0,AVERAGEIFS($V$5:$V$1000,$R$5:$R$1000,ROW(),$S$5:$S$1000,"Sub"),$V281))</f>
        <v/>
      </c>
      <c r="AA281" s="70">
        <f>IF($S281="","",IF(N($T281)&gt;0,AVERAGEIFS($W$5:$W$1000,$R$5:$R$1000,ROW(),$S$5:$S$1000,"Sub"),$W281))</f>
        <v/>
      </c>
      <c r="AB281" s="70">
        <f>IF($S281="","",IF(N($T281)&gt;0,AVERAGEIFS($X$5:$X$1000,$R$5:$R$1000,ROW(),$S$5:$S$1000,"Sub"),$X281))</f>
        <v/>
      </c>
    </row>
    <row r="282">
      <c r="A282" s="61">
        <f>IF(NOT((COUNTA($B282:$K282)+COUNTA($N282))&gt;0),"",IF($S282="Macro",COUNTIFS($S$5:$S282,"Macro",$P$5:$P282,$P282),IF(N($R282)=0,"?",COUNTIFS(INDEX($S$5:$S$1000,1):INDEX($S$5:$S$1000,$R282-4),"Macro",INDEX($P$5:$P$1000,1):INDEX($P$5:$P$1000,$R282-4),INDEX($P$5:$P$1000,$R282-4))&amp;"."&amp;COUNTIFS($R$5:$R282,$R282,$S$5:$S282,"Sub"))))</f>
        <v/>
      </c>
      <c r="B282" s="62" t="n"/>
      <c r="C282" s="63" t="n"/>
      <c r="D282" s="62" t="n"/>
      <c r="E282" s="64" t="n"/>
      <c r="F282" s="64" t="n"/>
      <c r="G282" s="65" t="n"/>
      <c r="H282" s="66" t="n"/>
      <c r="I282" s="66" t="n"/>
      <c r="J282" s="66" t="n"/>
      <c r="K282" s="66" t="n"/>
      <c r="L282" s="67">
        <f>IF(NOT((COUNTA($B282:$K282)+COUNTA($N282))&gt;0),"",IF(N($T282)&gt;0,$AB282,IFERROR(LOOKUP(2,1/(H282:K282&lt;&gt;""),H282:K282),0)))</f>
        <v/>
      </c>
      <c r="M282" s="61">
        <f>IF(L282="","",IF(L282&gt;=1,"Completado",IF(L282&gt;0,"En curso","Pendiente")))</f>
        <v/>
      </c>
      <c r="N282" s="62" t="n"/>
      <c r="O282" s="68">
        <f>IF(NOT((COUNTA($B282:$K282)+COUNTA($N282))&gt;0),"",IF((IF(AND($S282="Macro",$B282=""),"Macroactividad vacía"&amp;" · ","")&amp;IF(AND($B282&lt;&gt;"",$C282&lt;&gt;""),"Escriba la subactividad en otra fila, debajo de su macroactividad"&amp;" · ","")&amp;IF(AND($S282="Sub",N($R282)=0),"Subactividad sin macroactividad arriba"&amp;" · ","")&amp;IF($D282="","Sin responsable"&amp;" · ","")&amp;IF($E282="","Sin fecha de inicio"&amp;" · ","")&amp;IF($F282="","Sin fecha límite"&amp;" · ","")&amp;IF(OR(AND($E282&lt;&gt;"",NOT(ISNUMBER($E282))),AND($F282&lt;&gt;"",NOT(ISNUMBER($F282)))),"Fecha no válida"&amp;" · ","")&amp;IF(AND(ISNUMBER($E282),ISNUMBER($F282),$E282&gt;$F282),"Inicio posterior a fecha límite"&amp;" · ","")&amp;IF(AND($S282="Macro",$G282=""),"Peso vacío"&amp;" · ","")&amp;IF(AND($S282="Macro",$G282&lt;&gt;"",OR(NOT(ISNUMBER($G282)),$G282&lt;=0,$G282&gt;1)),"Peso fuera de rango"&amp;" · ","")&amp;IF(AND($S282="Sub",$G282&lt;&gt;""),"Las subactividades no llevan peso"&amp;" · ","")&amp;IF(AND($S282="Macro",ABS(SUMIFS($G$5:$G$1000,$P$5:$P$1000,$P282,$S$5:$S$1000,"Macro")-1)&gt;0.0001),"Pesos del mes suman "&amp;TEXT(SUMIFS($G$5:$G$1000,$P$5:$P$1000,$P282,$S$5:$S$1000,"Macro"),"0%")&amp;" · ","")&amp;IF(AND(N($T282)&gt;0,COUNT($H282:$K282)&gt;0),"Con subactividades: deje vacías las semanas (se calculan solas)"&amp;" · ","")&amp;IF((COUNTIF($H282:$K282,"&gt;1")+COUNTIF($H282:$K282,"&lt;0")+COUNTA($H282:$K282)-COUNT($H282:$K282))&gt;0,"Avance fuera de rango 0-100%"&amp;" · ","")&amp;IF(OR(AND($I282&lt;&gt;"",$I282&lt;$H282),AND($J282&lt;&gt;"",$J282&lt;MAX($H282:$I282)),AND($K282&lt;&gt;"",$K282&lt;MAX($H282:$J282))),"Avance semanal decreciente"&amp;" · ","")&amp;IF(AND(ISNUMBER($F282),$F282&lt;FechaRef,N($L282)&lt;1),"Vencida"&amp;" · ","")&amp;IF(AND(ObsObligatoria="Sí",ISNUMBER($F282),$F282&lt;FechaRef,N($L282)&lt;1,$N282=""),"Vencida sin observación"&amp;" · ",""))="","✔ OK","⚠ "&amp;LEFT(IF(AND($S282="Macro",$B282=""),"Macroactividad vacía"&amp;" · ","")&amp;IF(AND($B282&lt;&gt;"",$C282&lt;&gt;""),"Escriba la subactividad en otra fila, debajo de su macroactividad"&amp;" · ","")&amp;IF(AND($S282="Sub",N($R282)=0),"Subactividad sin macroactividad arriba"&amp;" · ","")&amp;IF($D282="","Sin responsable"&amp;" · ","")&amp;IF($E282="","Sin fecha de inicio"&amp;" · ","")&amp;IF($F282="","Sin fecha límite"&amp;" · ","")&amp;IF(OR(AND($E282&lt;&gt;"",NOT(ISNUMBER($E282))),AND($F282&lt;&gt;"",NOT(ISNUMBER($F282)))),"Fecha no válida"&amp;" · ","")&amp;IF(AND(ISNUMBER($E282),ISNUMBER($F282),$E282&gt;$F282),"Inicio posterior a fecha límite"&amp;" · ","")&amp;IF(AND($S282="Macro",$G282=""),"Peso vacío"&amp;" · ","")&amp;IF(AND($S282="Macro",$G282&lt;&gt;"",OR(NOT(ISNUMBER($G282)),$G282&lt;=0,$G282&gt;1)),"Peso fuera de rango"&amp;" · ","")&amp;IF(AND($S282="Sub",$G282&lt;&gt;""),"Las subactividades no llevan peso"&amp;" · ","")&amp;IF(AND($S282="Macro",ABS(SUMIFS($G$5:$G$1000,$P$5:$P$1000,$P282,$S$5:$S$1000,"Macro")-1)&gt;0.0001),"Pesos del mes suman "&amp;TEXT(SUMIFS($G$5:$G$1000,$P$5:$P$1000,$P282,$S$5:$S$1000,"Macro"),"0%")&amp;" · ","")&amp;IF(AND(N($T282)&gt;0,COUNT($H282:$K282)&gt;0),"Con subactividades: deje vacías las semanas (se calculan solas)"&amp;" · ","")&amp;IF((COUNTIF($H282:$K282,"&gt;1")+COUNTIF($H282:$K282,"&lt;0")+COUNTA($H282:$K282)-COUNT($H282:$K282))&gt;0,"Avance fuera de rango 0-100%"&amp;" · ","")&amp;IF(OR(AND($I282&lt;&gt;"",$I282&lt;$H282),AND($J282&lt;&gt;"",$J282&lt;MAX($H282:$I282)),AND($K282&lt;&gt;"",$K282&lt;MAX($H282:$J282))),"Avance semanal decreciente"&amp;" · ","")&amp;IF(AND(ISNUMBER($F282),$F282&lt;FechaRef,N($L282)&lt;1),"Vencida"&amp;" · ","")&amp;IF(AND(ObsObligatoria="Sí",ISNUMBER($F282),$F282&lt;FechaRef,N($L282)&lt;1,$N282=""),"Vencida sin observación"&amp;" · ",""),LEN(IF(AND($S282="Macro",$B282=""),"Macroactividad vacía"&amp;" · ","")&amp;IF(AND($B282&lt;&gt;"",$C282&lt;&gt;""),"Escriba la subactividad en otra fila, debajo de su macroactividad"&amp;" · ","")&amp;IF(AND($S282="Sub",N($R282)=0),"Subactividad sin macroactividad arriba"&amp;" · ","")&amp;IF($D282="","Sin responsable"&amp;" · ","")&amp;IF($E282="","Sin fecha de inicio"&amp;" · ","")&amp;IF($F282="","Sin fecha límite"&amp;" · ","")&amp;IF(OR(AND($E282&lt;&gt;"",NOT(ISNUMBER($E282))),AND($F282&lt;&gt;"",NOT(ISNUMBER($F282)))),"Fecha no válida"&amp;" · ","")&amp;IF(AND(ISNUMBER($E282),ISNUMBER($F282),$E282&gt;$F282),"Inicio posterior a fecha límite"&amp;" · ","")&amp;IF(AND($S282="Macro",$G282=""),"Peso vacío"&amp;" · ","")&amp;IF(AND($S282="Macro",$G282&lt;&gt;"",OR(NOT(ISNUMBER($G282)),$G282&lt;=0,$G282&gt;1)),"Peso fuera de rango"&amp;" · ","")&amp;IF(AND($S282="Sub",$G282&lt;&gt;""),"Las subactividades no llevan peso"&amp;" · ","")&amp;IF(AND($S282="Macro",ABS(SUMIFS($G$5:$G$1000,$P$5:$P$1000,$P282,$S$5:$S$1000,"Macro")-1)&gt;0.0001),"Pesos del mes suman "&amp;TEXT(SUMIFS($G$5:$G$1000,$P$5:$P$1000,$P282,$S$5:$S$1000,"Macro"),"0%")&amp;" · ","")&amp;IF(AND(N($T282)&gt;0,COUNT($H282:$K282)&gt;0),"Con subactividades: deje vacías las semanas (se calculan solas)"&amp;" · ","")&amp;IF((COUNTIF($H282:$K282,"&gt;1")+COUNTIF($H282:$K282,"&lt;0")+COUNTA($H282:$K282)-COUNT($H282:$K282))&gt;0,"Avance fuera de rango 0-100%"&amp;" · ","")&amp;IF(OR(AND($I282&lt;&gt;"",$I282&lt;$H282),AND($J282&lt;&gt;"",$J282&lt;MAX($H282:$I282)),AND($K282&lt;&gt;"",$K282&lt;MAX($H282:$J282))),"Avance semanal decreciente"&amp;" · ","")&amp;IF(AND(ISNUMBER($F282),$F282&lt;FechaRef,N($L282)&lt;1),"Vencida"&amp;" · ","")&amp;IF(AND(ObsObligatoria="Sí",ISNUMBER($F282),$F282&lt;FechaRef,N($L282)&lt;1,$N282=""),"Vencida sin observación"&amp;" · ",""))-3)))</f>
        <v/>
      </c>
      <c r="P282" s="69">
        <f>IF(NOT((COUNTA($B282:$K282)+COUNTA($N282))&gt;0),"",IF(AND($S282="Sub",N($R282)&gt;0),IF(ISNUMBER(INDEX($E$5:$E$1000,$R282-4)),DATE(YEAR(INDEX($E$5:$E$1000,$R282-4)),MONTH(INDEX($E$5:$E$1000,$R282-4)),1),IF(ISNUMBER(INDEX($F$5:$F$1000,$R282-4)),DATE(YEAR(INDEX($F$5:$F$1000,$R282-4)),MONTH(INDEX($F$5:$F$1000,$R282-4)),1),MesCiclo)),IF(ISNUMBER($E282),DATE(YEAR($E282),MONTH($E282),1),IF(ISNUMBER($F282),DATE(YEAR($F282),MONTH($F282),1),MesCiclo))))</f>
        <v/>
      </c>
      <c r="Q282" s="70">
        <f>IF(OR($P282="",$P282&lt;&gt;MesCiclo),"",COUNTIF($P$5:$P282,MesCiclo))</f>
        <v/>
      </c>
      <c r="R282" s="70">
        <f>IF($S282="","",IF($S282="Macro",ROW(),IFERROR(LOOKUP(2,1/($S$5:$S282="Macro"),ROW($S$5:$S282)),0)))</f>
        <v/>
      </c>
      <c r="S282" s="70">
        <f>IF(NOT((COUNTA($B282:$K282)+COUNTA($N282))&gt;0),"",IF($B282&lt;&gt;"","Macro",IF($C282&lt;&gt;"","Sub","Macro")))</f>
        <v/>
      </c>
      <c r="T282" s="70">
        <f>IF($S282="Macro",COUNTIFS($R$5:$R$1000,ROW(),$S$5:$S$1000,"Sub"),"")</f>
        <v/>
      </c>
      <c r="U282" s="70">
        <f>IF($S282="","",IF(ISNUMBER($H282),$H282,0))</f>
        <v/>
      </c>
      <c r="V282" s="70">
        <f>IF($S282="","",IF(ISNUMBER($I282),$I282,$U282))</f>
        <v/>
      </c>
      <c r="W282" s="70">
        <f>IF($S282="","",IF(ISNUMBER($J282),$J282,$V282))</f>
        <v/>
      </c>
      <c r="X282" s="70">
        <f>IF($S282="","",IF(ISNUMBER($K282),$K282,$W282))</f>
        <v/>
      </c>
      <c r="Y282" s="70">
        <f>IF($S282="","",IF(N($T282)&gt;0,AVERAGEIFS($U$5:$U$1000,$R$5:$R$1000,ROW(),$S$5:$S$1000,"Sub"),$U282))</f>
        <v/>
      </c>
      <c r="Z282" s="70">
        <f>IF($S282="","",IF(N($T282)&gt;0,AVERAGEIFS($V$5:$V$1000,$R$5:$R$1000,ROW(),$S$5:$S$1000,"Sub"),$V282))</f>
        <v/>
      </c>
      <c r="AA282" s="70">
        <f>IF($S282="","",IF(N($T282)&gt;0,AVERAGEIFS($W$5:$W$1000,$R$5:$R$1000,ROW(),$S$5:$S$1000,"Sub"),$W282))</f>
        <v/>
      </c>
      <c r="AB282" s="70">
        <f>IF($S282="","",IF(N($T282)&gt;0,AVERAGEIFS($X$5:$X$1000,$R$5:$R$1000,ROW(),$S$5:$S$1000,"Sub"),$X282))</f>
        <v/>
      </c>
    </row>
    <row r="283">
      <c r="A283" s="61">
        <f>IF(NOT((COUNTA($B283:$K283)+COUNTA($N283))&gt;0),"",IF($S283="Macro",COUNTIFS($S$5:$S283,"Macro",$P$5:$P283,$P283),IF(N($R283)=0,"?",COUNTIFS(INDEX($S$5:$S$1000,1):INDEX($S$5:$S$1000,$R283-4),"Macro",INDEX($P$5:$P$1000,1):INDEX($P$5:$P$1000,$R283-4),INDEX($P$5:$P$1000,$R283-4))&amp;"."&amp;COUNTIFS($R$5:$R283,$R283,$S$5:$S283,"Sub"))))</f>
        <v/>
      </c>
      <c r="B283" s="62" t="n"/>
      <c r="C283" s="63" t="n"/>
      <c r="D283" s="62" t="n"/>
      <c r="E283" s="64" t="n"/>
      <c r="F283" s="64" t="n"/>
      <c r="G283" s="65" t="n"/>
      <c r="H283" s="66" t="n"/>
      <c r="I283" s="66" t="n"/>
      <c r="J283" s="66" t="n"/>
      <c r="K283" s="66" t="n"/>
      <c r="L283" s="67">
        <f>IF(NOT((COUNTA($B283:$K283)+COUNTA($N283))&gt;0),"",IF(N($T283)&gt;0,$AB283,IFERROR(LOOKUP(2,1/(H283:K283&lt;&gt;""),H283:K283),0)))</f>
        <v/>
      </c>
      <c r="M283" s="61">
        <f>IF(L283="","",IF(L283&gt;=1,"Completado",IF(L283&gt;0,"En curso","Pendiente")))</f>
        <v/>
      </c>
      <c r="N283" s="62" t="n"/>
      <c r="O283" s="68">
        <f>IF(NOT((COUNTA($B283:$K283)+COUNTA($N283))&gt;0),"",IF((IF(AND($S283="Macro",$B283=""),"Macroactividad vacía"&amp;" · ","")&amp;IF(AND($B283&lt;&gt;"",$C283&lt;&gt;""),"Escriba la subactividad en otra fila, debajo de su macroactividad"&amp;" · ","")&amp;IF(AND($S283="Sub",N($R283)=0),"Subactividad sin macroactividad arriba"&amp;" · ","")&amp;IF($D283="","Sin responsable"&amp;" · ","")&amp;IF($E283="","Sin fecha de inicio"&amp;" · ","")&amp;IF($F283="","Sin fecha límite"&amp;" · ","")&amp;IF(OR(AND($E283&lt;&gt;"",NOT(ISNUMBER($E283))),AND($F283&lt;&gt;"",NOT(ISNUMBER($F283)))),"Fecha no válida"&amp;" · ","")&amp;IF(AND(ISNUMBER($E283),ISNUMBER($F283),$E283&gt;$F283),"Inicio posterior a fecha límite"&amp;" · ","")&amp;IF(AND($S283="Macro",$G283=""),"Peso vacío"&amp;" · ","")&amp;IF(AND($S283="Macro",$G283&lt;&gt;"",OR(NOT(ISNUMBER($G283)),$G283&lt;=0,$G283&gt;1)),"Peso fuera de rango"&amp;" · ","")&amp;IF(AND($S283="Sub",$G283&lt;&gt;""),"Las subactividades no llevan peso"&amp;" · ","")&amp;IF(AND($S283="Macro",ABS(SUMIFS($G$5:$G$1000,$P$5:$P$1000,$P283,$S$5:$S$1000,"Macro")-1)&gt;0.0001),"Pesos del mes suman "&amp;TEXT(SUMIFS($G$5:$G$1000,$P$5:$P$1000,$P283,$S$5:$S$1000,"Macro"),"0%")&amp;" · ","")&amp;IF(AND(N($T283)&gt;0,COUNT($H283:$K283)&gt;0),"Con subactividades: deje vacías las semanas (se calculan solas)"&amp;" · ","")&amp;IF((COUNTIF($H283:$K283,"&gt;1")+COUNTIF($H283:$K283,"&lt;0")+COUNTA($H283:$K283)-COUNT($H283:$K283))&gt;0,"Avance fuera de rango 0-100%"&amp;" · ","")&amp;IF(OR(AND($I283&lt;&gt;"",$I283&lt;$H283),AND($J283&lt;&gt;"",$J283&lt;MAX($H283:$I283)),AND($K283&lt;&gt;"",$K283&lt;MAX($H283:$J283))),"Avance semanal decreciente"&amp;" · ","")&amp;IF(AND(ISNUMBER($F283),$F283&lt;FechaRef,N($L283)&lt;1),"Vencida"&amp;" · ","")&amp;IF(AND(ObsObligatoria="Sí",ISNUMBER($F283),$F283&lt;FechaRef,N($L283)&lt;1,$N283=""),"Vencida sin observación"&amp;" · ",""))="","✔ OK","⚠ "&amp;LEFT(IF(AND($S283="Macro",$B283=""),"Macroactividad vacía"&amp;" · ","")&amp;IF(AND($B283&lt;&gt;"",$C283&lt;&gt;""),"Escriba la subactividad en otra fila, debajo de su macroactividad"&amp;" · ","")&amp;IF(AND($S283="Sub",N($R283)=0),"Subactividad sin macroactividad arriba"&amp;" · ","")&amp;IF($D283="","Sin responsable"&amp;" · ","")&amp;IF($E283="","Sin fecha de inicio"&amp;" · ","")&amp;IF($F283="","Sin fecha límite"&amp;" · ","")&amp;IF(OR(AND($E283&lt;&gt;"",NOT(ISNUMBER($E283))),AND($F283&lt;&gt;"",NOT(ISNUMBER($F283)))),"Fecha no válida"&amp;" · ","")&amp;IF(AND(ISNUMBER($E283),ISNUMBER($F283),$E283&gt;$F283),"Inicio posterior a fecha límite"&amp;" · ","")&amp;IF(AND($S283="Macro",$G283=""),"Peso vacío"&amp;" · ","")&amp;IF(AND($S283="Macro",$G283&lt;&gt;"",OR(NOT(ISNUMBER($G283)),$G283&lt;=0,$G283&gt;1)),"Peso fuera de rango"&amp;" · ","")&amp;IF(AND($S283="Sub",$G283&lt;&gt;""),"Las subactividades no llevan peso"&amp;" · ","")&amp;IF(AND($S283="Macro",ABS(SUMIFS($G$5:$G$1000,$P$5:$P$1000,$P283,$S$5:$S$1000,"Macro")-1)&gt;0.0001),"Pesos del mes suman "&amp;TEXT(SUMIFS($G$5:$G$1000,$P$5:$P$1000,$P283,$S$5:$S$1000,"Macro"),"0%")&amp;" · ","")&amp;IF(AND(N($T283)&gt;0,COUNT($H283:$K283)&gt;0),"Con subactividades: deje vacías las semanas (se calculan solas)"&amp;" · ","")&amp;IF((COUNTIF($H283:$K283,"&gt;1")+COUNTIF($H283:$K283,"&lt;0")+COUNTA($H283:$K283)-COUNT($H283:$K283))&gt;0,"Avance fuera de rango 0-100%"&amp;" · ","")&amp;IF(OR(AND($I283&lt;&gt;"",$I283&lt;$H283),AND($J283&lt;&gt;"",$J283&lt;MAX($H283:$I283)),AND($K283&lt;&gt;"",$K283&lt;MAX($H283:$J283))),"Avance semanal decreciente"&amp;" · ","")&amp;IF(AND(ISNUMBER($F283),$F283&lt;FechaRef,N($L283)&lt;1),"Vencida"&amp;" · ","")&amp;IF(AND(ObsObligatoria="Sí",ISNUMBER($F283),$F283&lt;FechaRef,N($L283)&lt;1,$N283=""),"Vencida sin observación"&amp;" · ",""),LEN(IF(AND($S283="Macro",$B283=""),"Macroactividad vacía"&amp;" · ","")&amp;IF(AND($B283&lt;&gt;"",$C283&lt;&gt;""),"Escriba la subactividad en otra fila, debajo de su macroactividad"&amp;" · ","")&amp;IF(AND($S283="Sub",N($R283)=0),"Subactividad sin macroactividad arriba"&amp;" · ","")&amp;IF($D283="","Sin responsable"&amp;" · ","")&amp;IF($E283="","Sin fecha de inicio"&amp;" · ","")&amp;IF($F283="","Sin fecha límite"&amp;" · ","")&amp;IF(OR(AND($E283&lt;&gt;"",NOT(ISNUMBER($E283))),AND($F283&lt;&gt;"",NOT(ISNUMBER($F283)))),"Fecha no válida"&amp;" · ","")&amp;IF(AND(ISNUMBER($E283),ISNUMBER($F283),$E283&gt;$F283),"Inicio posterior a fecha límite"&amp;" · ","")&amp;IF(AND($S283="Macro",$G283=""),"Peso vacío"&amp;" · ","")&amp;IF(AND($S283="Macro",$G283&lt;&gt;"",OR(NOT(ISNUMBER($G283)),$G283&lt;=0,$G283&gt;1)),"Peso fuera de rango"&amp;" · ","")&amp;IF(AND($S283="Sub",$G283&lt;&gt;""),"Las subactividades no llevan peso"&amp;" · ","")&amp;IF(AND($S283="Macro",ABS(SUMIFS($G$5:$G$1000,$P$5:$P$1000,$P283,$S$5:$S$1000,"Macro")-1)&gt;0.0001),"Pesos del mes suman "&amp;TEXT(SUMIFS($G$5:$G$1000,$P$5:$P$1000,$P283,$S$5:$S$1000,"Macro"),"0%")&amp;" · ","")&amp;IF(AND(N($T283)&gt;0,COUNT($H283:$K283)&gt;0),"Con subactividades: deje vacías las semanas (se calculan solas)"&amp;" · ","")&amp;IF((COUNTIF($H283:$K283,"&gt;1")+COUNTIF($H283:$K283,"&lt;0")+COUNTA($H283:$K283)-COUNT($H283:$K283))&gt;0,"Avance fuera de rango 0-100%"&amp;" · ","")&amp;IF(OR(AND($I283&lt;&gt;"",$I283&lt;$H283),AND($J283&lt;&gt;"",$J283&lt;MAX($H283:$I283)),AND($K283&lt;&gt;"",$K283&lt;MAX($H283:$J283))),"Avance semanal decreciente"&amp;" · ","")&amp;IF(AND(ISNUMBER($F283),$F283&lt;FechaRef,N($L283)&lt;1),"Vencida"&amp;" · ","")&amp;IF(AND(ObsObligatoria="Sí",ISNUMBER($F283),$F283&lt;FechaRef,N($L283)&lt;1,$N283=""),"Vencida sin observación"&amp;" · ",""))-3)))</f>
        <v/>
      </c>
      <c r="P283" s="69">
        <f>IF(NOT((COUNTA($B283:$K283)+COUNTA($N283))&gt;0),"",IF(AND($S283="Sub",N($R283)&gt;0),IF(ISNUMBER(INDEX($E$5:$E$1000,$R283-4)),DATE(YEAR(INDEX($E$5:$E$1000,$R283-4)),MONTH(INDEX($E$5:$E$1000,$R283-4)),1),IF(ISNUMBER(INDEX($F$5:$F$1000,$R283-4)),DATE(YEAR(INDEX($F$5:$F$1000,$R283-4)),MONTH(INDEX($F$5:$F$1000,$R283-4)),1),MesCiclo)),IF(ISNUMBER($E283),DATE(YEAR($E283),MONTH($E283),1),IF(ISNUMBER($F283),DATE(YEAR($F283),MONTH($F283),1),MesCiclo))))</f>
        <v/>
      </c>
      <c r="Q283" s="70">
        <f>IF(OR($P283="",$P283&lt;&gt;MesCiclo),"",COUNTIF($P$5:$P283,MesCiclo))</f>
        <v/>
      </c>
      <c r="R283" s="70">
        <f>IF($S283="","",IF($S283="Macro",ROW(),IFERROR(LOOKUP(2,1/($S$5:$S283="Macro"),ROW($S$5:$S283)),0)))</f>
        <v/>
      </c>
      <c r="S283" s="70">
        <f>IF(NOT((COUNTA($B283:$K283)+COUNTA($N283))&gt;0),"",IF($B283&lt;&gt;"","Macro",IF($C283&lt;&gt;"","Sub","Macro")))</f>
        <v/>
      </c>
      <c r="T283" s="70">
        <f>IF($S283="Macro",COUNTIFS($R$5:$R$1000,ROW(),$S$5:$S$1000,"Sub"),"")</f>
        <v/>
      </c>
      <c r="U283" s="70">
        <f>IF($S283="","",IF(ISNUMBER($H283),$H283,0))</f>
        <v/>
      </c>
      <c r="V283" s="70">
        <f>IF($S283="","",IF(ISNUMBER($I283),$I283,$U283))</f>
        <v/>
      </c>
      <c r="W283" s="70">
        <f>IF($S283="","",IF(ISNUMBER($J283),$J283,$V283))</f>
        <v/>
      </c>
      <c r="X283" s="70">
        <f>IF($S283="","",IF(ISNUMBER($K283),$K283,$W283))</f>
        <v/>
      </c>
      <c r="Y283" s="70">
        <f>IF($S283="","",IF(N($T283)&gt;0,AVERAGEIFS($U$5:$U$1000,$R$5:$R$1000,ROW(),$S$5:$S$1000,"Sub"),$U283))</f>
        <v/>
      </c>
      <c r="Z283" s="70">
        <f>IF($S283="","",IF(N($T283)&gt;0,AVERAGEIFS($V$5:$V$1000,$R$5:$R$1000,ROW(),$S$5:$S$1000,"Sub"),$V283))</f>
        <v/>
      </c>
      <c r="AA283" s="70">
        <f>IF($S283="","",IF(N($T283)&gt;0,AVERAGEIFS($W$5:$W$1000,$R$5:$R$1000,ROW(),$S$5:$S$1000,"Sub"),$W283))</f>
        <v/>
      </c>
      <c r="AB283" s="70">
        <f>IF($S283="","",IF(N($T283)&gt;0,AVERAGEIFS($X$5:$X$1000,$R$5:$R$1000,ROW(),$S$5:$S$1000,"Sub"),$X283))</f>
        <v/>
      </c>
    </row>
    <row r="284">
      <c r="A284" s="61">
        <f>IF(NOT((COUNTA($B284:$K284)+COUNTA($N284))&gt;0),"",IF($S284="Macro",COUNTIFS($S$5:$S284,"Macro",$P$5:$P284,$P284),IF(N($R284)=0,"?",COUNTIFS(INDEX($S$5:$S$1000,1):INDEX($S$5:$S$1000,$R284-4),"Macro",INDEX($P$5:$P$1000,1):INDEX($P$5:$P$1000,$R284-4),INDEX($P$5:$P$1000,$R284-4))&amp;"."&amp;COUNTIFS($R$5:$R284,$R284,$S$5:$S284,"Sub"))))</f>
        <v/>
      </c>
      <c r="B284" s="62" t="n"/>
      <c r="C284" s="63" t="n"/>
      <c r="D284" s="62" t="n"/>
      <c r="E284" s="64" t="n"/>
      <c r="F284" s="64" t="n"/>
      <c r="G284" s="65" t="n"/>
      <c r="H284" s="66" t="n"/>
      <c r="I284" s="66" t="n"/>
      <c r="J284" s="66" t="n"/>
      <c r="K284" s="66" t="n"/>
      <c r="L284" s="67">
        <f>IF(NOT((COUNTA($B284:$K284)+COUNTA($N284))&gt;0),"",IF(N($T284)&gt;0,$AB284,IFERROR(LOOKUP(2,1/(H284:K284&lt;&gt;""),H284:K284),0)))</f>
        <v/>
      </c>
      <c r="M284" s="61">
        <f>IF(L284="","",IF(L284&gt;=1,"Completado",IF(L284&gt;0,"En curso","Pendiente")))</f>
        <v/>
      </c>
      <c r="N284" s="62" t="n"/>
      <c r="O284" s="68">
        <f>IF(NOT((COUNTA($B284:$K284)+COUNTA($N284))&gt;0),"",IF((IF(AND($S284="Macro",$B284=""),"Macroactividad vacía"&amp;" · ","")&amp;IF(AND($B284&lt;&gt;"",$C284&lt;&gt;""),"Escriba la subactividad en otra fila, debajo de su macroactividad"&amp;" · ","")&amp;IF(AND($S284="Sub",N($R284)=0),"Subactividad sin macroactividad arriba"&amp;" · ","")&amp;IF($D284="","Sin responsable"&amp;" · ","")&amp;IF($E284="","Sin fecha de inicio"&amp;" · ","")&amp;IF($F284="","Sin fecha límite"&amp;" · ","")&amp;IF(OR(AND($E284&lt;&gt;"",NOT(ISNUMBER($E284))),AND($F284&lt;&gt;"",NOT(ISNUMBER($F284)))),"Fecha no válida"&amp;" · ","")&amp;IF(AND(ISNUMBER($E284),ISNUMBER($F284),$E284&gt;$F284),"Inicio posterior a fecha límite"&amp;" · ","")&amp;IF(AND($S284="Macro",$G284=""),"Peso vacío"&amp;" · ","")&amp;IF(AND($S284="Macro",$G284&lt;&gt;"",OR(NOT(ISNUMBER($G284)),$G284&lt;=0,$G284&gt;1)),"Peso fuera de rango"&amp;" · ","")&amp;IF(AND($S284="Sub",$G284&lt;&gt;""),"Las subactividades no llevan peso"&amp;" · ","")&amp;IF(AND($S284="Macro",ABS(SUMIFS($G$5:$G$1000,$P$5:$P$1000,$P284,$S$5:$S$1000,"Macro")-1)&gt;0.0001),"Pesos del mes suman "&amp;TEXT(SUMIFS($G$5:$G$1000,$P$5:$P$1000,$P284,$S$5:$S$1000,"Macro"),"0%")&amp;" · ","")&amp;IF(AND(N($T284)&gt;0,COUNT($H284:$K284)&gt;0),"Con subactividades: deje vacías las semanas (se calculan solas)"&amp;" · ","")&amp;IF((COUNTIF($H284:$K284,"&gt;1")+COUNTIF($H284:$K284,"&lt;0")+COUNTA($H284:$K284)-COUNT($H284:$K284))&gt;0,"Avance fuera de rango 0-100%"&amp;" · ","")&amp;IF(OR(AND($I284&lt;&gt;"",$I284&lt;$H284),AND($J284&lt;&gt;"",$J284&lt;MAX($H284:$I284)),AND($K284&lt;&gt;"",$K284&lt;MAX($H284:$J284))),"Avance semanal decreciente"&amp;" · ","")&amp;IF(AND(ISNUMBER($F284),$F284&lt;FechaRef,N($L284)&lt;1),"Vencida"&amp;" · ","")&amp;IF(AND(ObsObligatoria="Sí",ISNUMBER($F284),$F284&lt;FechaRef,N($L284)&lt;1,$N284=""),"Vencida sin observación"&amp;" · ",""))="","✔ OK","⚠ "&amp;LEFT(IF(AND($S284="Macro",$B284=""),"Macroactividad vacía"&amp;" · ","")&amp;IF(AND($B284&lt;&gt;"",$C284&lt;&gt;""),"Escriba la subactividad en otra fila, debajo de su macroactividad"&amp;" · ","")&amp;IF(AND($S284="Sub",N($R284)=0),"Subactividad sin macroactividad arriba"&amp;" · ","")&amp;IF($D284="","Sin responsable"&amp;" · ","")&amp;IF($E284="","Sin fecha de inicio"&amp;" · ","")&amp;IF($F284="","Sin fecha límite"&amp;" · ","")&amp;IF(OR(AND($E284&lt;&gt;"",NOT(ISNUMBER($E284))),AND($F284&lt;&gt;"",NOT(ISNUMBER($F284)))),"Fecha no válida"&amp;" · ","")&amp;IF(AND(ISNUMBER($E284),ISNUMBER($F284),$E284&gt;$F284),"Inicio posterior a fecha límite"&amp;" · ","")&amp;IF(AND($S284="Macro",$G284=""),"Peso vacío"&amp;" · ","")&amp;IF(AND($S284="Macro",$G284&lt;&gt;"",OR(NOT(ISNUMBER($G284)),$G284&lt;=0,$G284&gt;1)),"Peso fuera de rango"&amp;" · ","")&amp;IF(AND($S284="Sub",$G284&lt;&gt;""),"Las subactividades no llevan peso"&amp;" · ","")&amp;IF(AND($S284="Macro",ABS(SUMIFS($G$5:$G$1000,$P$5:$P$1000,$P284,$S$5:$S$1000,"Macro")-1)&gt;0.0001),"Pesos del mes suman "&amp;TEXT(SUMIFS($G$5:$G$1000,$P$5:$P$1000,$P284,$S$5:$S$1000,"Macro"),"0%")&amp;" · ","")&amp;IF(AND(N($T284)&gt;0,COUNT($H284:$K284)&gt;0),"Con subactividades: deje vacías las semanas (se calculan solas)"&amp;" · ","")&amp;IF((COUNTIF($H284:$K284,"&gt;1")+COUNTIF($H284:$K284,"&lt;0")+COUNTA($H284:$K284)-COUNT($H284:$K284))&gt;0,"Avance fuera de rango 0-100%"&amp;" · ","")&amp;IF(OR(AND($I284&lt;&gt;"",$I284&lt;$H284),AND($J284&lt;&gt;"",$J284&lt;MAX($H284:$I284)),AND($K284&lt;&gt;"",$K284&lt;MAX($H284:$J284))),"Avance semanal decreciente"&amp;" · ","")&amp;IF(AND(ISNUMBER($F284),$F284&lt;FechaRef,N($L284)&lt;1),"Vencida"&amp;" · ","")&amp;IF(AND(ObsObligatoria="Sí",ISNUMBER($F284),$F284&lt;FechaRef,N($L284)&lt;1,$N284=""),"Vencida sin observación"&amp;" · ",""),LEN(IF(AND($S284="Macro",$B284=""),"Macroactividad vacía"&amp;" · ","")&amp;IF(AND($B284&lt;&gt;"",$C284&lt;&gt;""),"Escriba la subactividad en otra fila, debajo de su macroactividad"&amp;" · ","")&amp;IF(AND($S284="Sub",N($R284)=0),"Subactividad sin macroactividad arriba"&amp;" · ","")&amp;IF($D284="","Sin responsable"&amp;" · ","")&amp;IF($E284="","Sin fecha de inicio"&amp;" · ","")&amp;IF($F284="","Sin fecha límite"&amp;" · ","")&amp;IF(OR(AND($E284&lt;&gt;"",NOT(ISNUMBER($E284))),AND($F284&lt;&gt;"",NOT(ISNUMBER($F284)))),"Fecha no válida"&amp;" · ","")&amp;IF(AND(ISNUMBER($E284),ISNUMBER($F284),$E284&gt;$F284),"Inicio posterior a fecha límite"&amp;" · ","")&amp;IF(AND($S284="Macro",$G284=""),"Peso vacío"&amp;" · ","")&amp;IF(AND($S284="Macro",$G284&lt;&gt;"",OR(NOT(ISNUMBER($G284)),$G284&lt;=0,$G284&gt;1)),"Peso fuera de rango"&amp;" · ","")&amp;IF(AND($S284="Sub",$G284&lt;&gt;""),"Las subactividades no llevan peso"&amp;" · ","")&amp;IF(AND($S284="Macro",ABS(SUMIFS($G$5:$G$1000,$P$5:$P$1000,$P284,$S$5:$S$1000,"Macro")-1)&gt;0.0001),"Pesos del mes suman "&amp;TEXT(SUMIFS($G$5:$G$1000,$P$5:$P$1000,$P284,$S$5:$S$1000,"Macro"),"0%")&amp;" · ","")&amp;IF(AND(N($T284)&gt;0,COUNT($H284:$K284)&gt;0),"Con subactividades: deje vacías las semanas (se calculan solas)"&amp;" · ","")&amp;IF((COUNTIF($H284:$K284,"&gt;1")+COUNTIF($H284:$K284,"&lt;0")+COUNTA($H284:$K284)-COUNT($H284:$K284))&gt;0,"Avance fuera de rango 0-100%"&amp;" · ","")&amp;IF(OR(AND($I284&lt;&gt;"",$I284&lt;$H284),AND($J284&lt;&gt;"",$J284&lt;MAX($H284:$I284)),AND($K284&lt;&gt;"",$K284&lt;MAX($H284:$J284))),"Avance semanal decreciente"&amp;" · ","")&amp;IF(AND(ISNUMBER($F284),$F284&lt;FechaRef,N($L284)&lt;1),"Vencida"&amp;" · ","")&amp;IF(AND(ObsObligatoria="Sí",ISNUMBER($F284),$F284&lt;FechaRef,N($L284)&lt;1,$N284=""),"Vencida sin observación"&amp;" · ",""))-3)))</f>
        <v/>
      </c>
      <c r="P284" s="69">
        <f>IF(NOT((COUNTA($B284:$K284)+COUNTA($N284))&gt;0),"",IF(AND($S284="Sub",N($R284)&gt;0),IF(ISNUMBER(INDEX($E$5:$E$1000,$R284-4)),DATE(YEAR(INDEX($E$5:$E$1000,$R284-4)),MONTH(INDEX($E$5:$E$1000,$R284-4)),1),IF(ISNUMBER(INDEX($F$5:$F$1000,$R284-4)),DATE(YEAR(INDEX($F$5:$F$1000,$R284-4)),MONTH(INDEX($F$5:$F$1000,$R284-4)),1),MesCiclo)),IF(ISNUMBER($E284),DATE(YEAR($E284),MONTH($E284),1),IF(ISNUMBER($F284),DATE(YEAR($F284),MONTH($F284),1),MesCiclo))))</f>
        <v/>
      </c>
      <c r="Q284" s="70">
        <f>IF(OR($P284="",$P284&lt;&gt;MesCiclo),"",COUNTIF($P$5:$P284,MesCiclo))</f>
        <v/>
      </c>
      <c r="R284" s="70">
        <f>IF($S284="","",IF($S284="Macro",ROW(),IFERROR(LOOKUP(2,1/($S$5:$S284="Macro"),ROW($S$5:$S284)),0)))</f>
        <v/>
      </c>
      <c r="S284" s="70">
        <f>IF(NOT((COUNTA($B284:$K284)+COUNTA($N284))&gt;0),"",IF($B284&lt;&gt;"","Macro",IF($C284&lt;&gt;"","Sub","Macro")))</f>
        <v/>
      </c>
      <c r="T284" s="70">
        <f>IF($S284="Macro",COUNTIFS($R$5:$R$1000,ROW(),$S$5:$S$1000,"Sub"),"")</f>
        <v/>
      </c>
      <c r="U284" s="70">
        <f>IF($S284="","",IF(ISNUMBER($H284),$H284,0))</f>
        <v/>
      </c>
      <c r="V284" s="70">
        <f>IF($S284="","",IF(ISNUMBER($I284),$I284,$U284))</f>
        <v/>
      </c>
      <c r="W284" s="70">
        <f>IF($S284="","",IF(ISNUMBER($J284),$J284,$V284))</f>
        <v/>
      </c>
      <c r="X284" s="70">
        <f>IF($S284="","",IF(ISNUMBER($K284),$K284,$W284))</f>
        <v/>
      </c>
      <c r="Y284" s="70">
        <f>IF($S284="","",IF(N($T284)&gt;0,AVERAGEIFS($U$5:$U$1000,$R$5:$R$1000,ROW(),$S$5:$S$1000,"Sub"),$U284))</f>
        <v/>
      </c>
      <c r="Z284" s="70">
        <f>IF($S284="","",IF(N($T284)&gt;0,AVERAGEIFS($V$5:$V$1000,$R$5:$R$1000,ROW(),$S$5:$S$1000,"Sub"),$V284))</f>
        <v/>
      </c>
      <c r="AA284" s="70">
        <f>IF($S284="","",IF(N($T284)&gt;0,AVERAGEIFS($W$5:$W$1000,$R$5:$R$1000,ROW(),$S$5:$S$1000,"Sub"),$W284))</f>
        <v/>
      </c>
      <c r="AB284" s="70">
        <f>IF($S284="","",IF(N($T284)&gt;0,AVERAGEIFS($X$5:$X$1000,$R$5:$R$1000,ROW(),$S$5:$S$1000,"Sub"),$X284))</f>
        <v/>
      </c>
    </row>
    <row r="285">
      <c r="A285" s="61">
        <f>IF(NOT((COUNTA($B285:$K285)+COUNTA($N285))&gt;0),"",IF($S285="Macro",COUNTIFS($S$5:$S285,"Macro",$P$5:$P285,$P285),IF(N($R285)=0,"?",COUNTIFS(INDEX($S$5:$S$1000,1):INDEX($S$5:$S$1000,$R285-4),"Macro",INDEX($P$5:$P$1000,1):INDEX($P$5:$P$1000,$R285-4),INDEX($P$5:$P$1000,$R285-4))&amp;"."&amp;COUNTIFS($R$5:$R285,$R285,$S$5:$S285,"Sub"))))</f>
        <v/>
      </c>
      <c r="B285" s="62" t="n"/>
      <c r="C285" s="63" t="n"/>
      <c r="D285" s="62" t="n"/>
      <c r="E285" s="64" t="n"/>
      <c r="F285" s="64" t="n"/>
      <c r="G285" s="65" t="n"/>
      <c r="H285" s="66" t="n"/>
      <c r="I285" s="66" t="n"/>
      <c r="J285" s="66" t="n"/>
      <c r="K285" s="66" t="n"/>
      <c r="L285" s="67">
        <f>IF(NOT((COUNTA($B285:$K285)+COUNTA($N285))&gt;0),"",IF(N($T285)&gt;0,$AB285,IFERROR(LOOKUP(2,1/(H285:K285&lt;&gt;""),H285:K285),0)))</f>
        <v/>
      </c>
      <c r="M285" s="61">
        <f>IF(L285="","",IF(L285&gt;=1,"Completado",IF(L285&gt;0,"En curso","Pendiente")))</f>
        <v/>
      </c>
      <c r="N285" s="62" t="n"/>
      <c r="O285" s="68">
        <f>IF(NOT((COUNTA($B285:$K285)+COUNTA($N285))&gt;0),"",IF((IF(AND($S285="Macro",$B285=""),"Macroactividad vacía"&amp;" · ","")&amp;IF(AND($B285&lt;&gt;"",$C285&lt;&gt;""),"Escriba la subactividad en otra fila, debajo de su macroactividad"&amp;" · ","")&amp;IF(AND($S285="Sub",N($R285)=0),"Subactividad sin macroactividad arriba"&amp;" · ","")&amp;IF($D285="","Sin responsable"&amp;" · ","")&amp;IF($E285="","Sin fecha de inicio"&amp;" · ","")&amp;IF($F285="","Sin fecha límite"&amp;" · ","")&amp;IF(OR(AND($E285&lt;&gt;"",NOT(ISNUMBER($E285))),AND($F285&lt;&gt;"",NOT(ISNUMBER($F285)))),"Fecha no válida"&amp;" · ","")&amp;IF(AND(ISNUMBER($E285),ISNUMBER($F285),$E285&gt;$F285),"Inicio posterior a fecha límite"&amp;" · ","")&amp;IF(AND($S285="Macro",$G285=""),"Peso vacío"&amp;" · ","")&amp;IF(AND($S285="Macro",$G285&lt;&gt;"",OR(NOT(ISNUMBER($G285)),$G285&lt;=0,$G285&gt;1)),"Peso fuera de rango"&amp;" · ","")&amp;IF(AND($S285="Sub",$G285&lt;&gt;""),"Las subactividades no llevan peso"&amp;" · ","")&amp;IF(AND($S285="Macro",ABS(SUMIFS($G$5:$G$1000,$P$5:$P$1000,$P285,$S$5:$S$1000,"Macro")-1)&gt;0.0001),"Pesos del mes suman "&amp;TEXT(SUMIFS($G$5:$G$1000,$P$5:$P$1000,$P285,$S$5:$S$1000,"Macro"),"0%")&amp;" · ","")&amp;IF(AND(N($T285)&gt;0,COUNT($H285:$K285)&gt;0),"Con subactividades: deje vacías las semanas (se calculan solas)"&amp;" · ","")&amp;IF((COUNTIF($H285:$K285,"&gt;1")+COUNTIF($H285:$K285,"&lt;0")+COUNTA($H285:$K285)-COUNT($H285:$K285))&gt;0,"Avance fuera de rango 0-100%"&amp;" · ","")&amp;IF(OR(AND($I285&lt;&gt;"",$I285&lt;$H285),AND($J285&lt;&gt;"",$J285&lt;MAX($H285:$I285)),AND($K285&lt;&gt;"",$K285&lt;MAX($H285:$J285))),"Avance semanal decreciente"&amp;" · ","")&amp;IF(AND(ISNUMBER($F285),$F285&lt;FechaRef,N($L285)&lt;1),"Vencida"&amp;" · ","")&amp;IF(AND(ObsObligatoria="Sí",ISNUMBER($F285),$F285&lt;FechaRef,N($L285)&lt;1,$N285=""),"Vencida sin observación"&amp;" · ",""))="","✔ OK","⚠ "&amp;LEFT(IF(AND($S285="Macro",$B285=""),"Macroactividad vacía"&amp;" · ","")&amp;IF(AND($B285&lt;&gt;"",$C285&lt;&gt;""),"Escriba la subactividad en otra fila, debajo de su macroactividad"&amp;" · ","")&amp;IF(AND($S285="Sub",N($R285)=0),"Subactividad sin macroactividad arriba"&amp;" · ","")&amp;IF($D285="","Sin responsable"&amp;" · ","")&amp;IF($E285="","Sin fecha de inicio"&amp;" · ","")&amp;IF($F285="","Sin fecha límite"&amp;" · ","")&amp;IF(OR(AND($E285&lt;&gt;"",NOT(ISNUMBER($E285))),AND($F285&lt;&gt;"",NOT(ISNUMBER($F285)))),"Fecha no válida"&amp;" · ","")&amp;IF(AND(ISNUMBER($E285),ISNUMBER($F285),$E285&gt;$F285),"Inicio posterior a fecha límite"&amp;" · ","")&amp;IF(AND($S285="Macro",$G285=""),"Peso vacío"&amp;" · ","")&amp;IF(AND($S285="Macro",$G285&lt;&gt;"",OR(NOT(ISNUMBER($G285)),$G285&lt;=0,$G285&gt;1)),"Peso fuera de rango"&amp;" · ","")&amp;IF(AND($S285="Sub",$G285&lt;&gt;""),"Las subactividades no llevan peso"&amp;" · ","")&amp;IF(AND($S285="Macro",ABS(SUMIFS($G$5:$G$1000,$P$5:$P$1000,$P285,$S$5:$S$1000,"Macro")-1)&gt;0.0001),"Pesos del mes suman "&amp;TEXT(SUMIFS($G$5:$G$1000,$P$5:$P$1000,$P285,$S$5:$S$1000,"Macro"),"0%")&amp;" · ","")&amp;IF(AND(N($T285)&gt;0,COUNT($H285:$K285)&gt;0),"Con subactividades: deje vacías las semanas (se calculan solas)"&amp;" · ","")&amp;IF((COUNTIF($H285:$K285,"&gt;1")+COUNTIF($H285:$K285,"&lt;0")+COUNTA($H285:$K285)-COUNT($H285:$K285))&gt;0,"Avance fuera de rango 0-100%"&amp;" · ","")&amp;IF(OR(AND($I285&lt;&gt;"",$I285&lt;$H285),AND($J285&lt;&gt;"",$J285&lt;MAX($H285:$I285)),AND($K285&lt;&gt;"",$K285&lt;MAX($H285:$J285))),"Avance semanal decreciente"&amp;" · ","")&amp;IF(AND(ISNUMBER($F285),$F285&lt;FechaRef,N($L285)&lt;1),"Vencida"&amp;" · ","")&amp;IF(AND(ObsObligatoria="Sí",ISNUMBER($F285),$F285&lt;FechaRef,N($L285)&lt;1,$N285=""),"Vencida sin observación"&amp;" · ",""),LEN(IF(AND($S285="Macro",$B285=""),"Macroactividad vacía"&amp;" · ","")&amp;IF(AND($B285&lt;&gt;"",$C285&lt;&gt;""),"Escriba la subactividad en otra fila, debajo de su macroactividad"&amp;" · ","")&amp;IF(AND($S285="Sub",N($R285)=0),"Subactividad sin macroactividad arriba"&amp;" · ","")&amp;IF($D285="","Sin responsable"&amp;" · ","")&amp;IF($E285="","Sin fecha de inicio"&amp;" · ","")&amp;IF($F285="","Sin fecha límite"&amp;" · ","")&amp;IF(OR(AND($E285&lt;&gt;"",NOT(ISNUMBER($E285))),AND($F285&lt;&gt;"",NOT(ISNUMBER($F285)))),"Fecha no válida"&amp;" · ","")&amp;IF(AND(ISNUMBER($E285),ISNUMBER($F285),$E285&gt;$F285),"Inicio posterior a fecha límite"&amp;" · ","")&amp;IF(AND($S285="Macro",$G285=""),"Peso vacío"&amp;" · ","")&amp;IF(AND($S285="Macro",$G285&lt;&gt;"",OR(NOT(ISNUMBER($G285)),$G285&lt;=0,$G285&gt;1)),"Peso fuera de rango"&amp;" · ","")&amp;IF(AND($S285="Sub",$G285&lt;&gt;""),"Las subactividades no llevan peso"&amp;" · ","")&amp;IF(AND($S285="Macro",ABS(SUMIFS($G$5:$G$1000,$P$5:$P$1000,$P285,$S$5:$S$1000,"Macro")-1)&gt;0.0001),"Pesos del mes suman "&amp;TEXT(SUMIFS($G$5:$G$1000,$P$5:$P$1000,$P285,$S$5:$S$1000,"Macro"),"0%")&amp;" · ","")&amp;IF(AND(N($T285)&gt;0,COUNT($H285:$K285)&gt;0),"Con subactividades: deje vacías las semanas (se calculan solas)"&amp;" · ","")&amp;IF((COUNTIF($H285:$K285,"&gt;1")+COUNTIF($H285:$K285,"&lt;0")+COUNTA($H285:$K285)-COUNT($H285:$K285))&gt;0,"Avance fuera de rango 0-100%"&amp;" · ","")&amp;IF(OR(AND($I285&lt;&gt;"",$I285&lt;$H285),AND($J285&lt;&gt;"",$J285&lt;MAX($H285:$I285)),AND($K285&lt;&gt;"",$K285&lt;MAX($H285:$J285))),"Avance semanal decreciente"&amp;" · ","")&amp;IF(AND(ISNUMBER($F285),$F285&lt;FechaRef,N($L285)&lt;1),"Vencida"&amp;" · ","")&amp;IF(AND(ObsObligatoria="Sí",ISNUMBER($F285),$F285&lt;FechaRef,N($L285)&lt;1,$N285=""),"Vencida sin observación"&amp;" · ",""))-3)))</f>
        <v/>
      </c>
      <c r="P285" s="69">
        <f>IF(NOT((COUNTA($B285:$K285)+COUNTA($N285))&gt;0),"",IF(AND($S285="Sub",N($R285)&gt;0),IF(ISNUMBER(INDEX($E$5:$E$1000,$R285-4)),DATE(YEAR(INDEX($E$5:$E$1000,$R285-4)),MONTH(INDEX($E$5:$E$1000,$R285-4)),1),IF(ISNUMBER(INDEX($F$5:$F$1000,$R285-4)),DATE(YEAR(INDEX($F$5:$F$1000,$R285-4)),MONTH(INDEX($F$5:$F$1000,$R285-4)),1),MesCiclo)),IF(ISNUMBER($E285),DATE(YEAR($E285),MONTH($E285),1),IF(ISNUMBER($F285),DATE(YEAR($F285),MONTH($F285),1),MesCiclo))))</f>
        <v/>
      </c>
      <c r="Q285" s="70">
        <f>IF(OR($P285="",$P285&lt;&gt;MesCiclo),"",COUNTIF($P$5:$P285,MesCiclo))</f>
        <v/>
      </c>
      <c r="R285" s="70">
        <f>IF($S285="","",IF($S285="Macro",ROW(),IFERROR(LOOKUP(2,1/($S$5:$S285="Macro"),ROW($S$5:$S285)),0)))</f>
        <v/>
      </c>
      <c r="S285" s="70">
        <f>IF(NOT((COUNTA($B285:$K285)+COUNTA($N285))&gt;0),"",IF($B285&lt;&gt;"","Macro",IF($C285&lt;&gt;"","Sub","Macro")))</f>
        <v/>
      </c>
      <c r="T285" s="70">
        <f>IF($S285="Macro",COUNTIFS($R$5:$R$1000,ROW(),$S$5:$S$1000,"Sub"),"")</f>
        <v/>
      </c>
      <c r="U285" s="70">
        <f>IF($S285="","",IF(ISNUMBER($H285),$H285,0))</f>
        <v/>
      </c>
      <c r="V285" s="70">
        <f>IF($S285="","",IF(ISNUMBER($I285),$I285,$U285))</f>
        <v/>
      </c>
      <c r="W285" s="70">
        <f>IF($S285="","",IF(ISNUMBER($J285),$J285,$V285))</f>
        <v/>
      </c>
      <c r="X285" s="70">
        <f>IF($S285="","",IF(ISNUMBER($K285),$K285,$W285))</f>
        <v/>
      </c>
      <c r="Y285" s="70">
        <f>IF($S285="","",IF(N($T285)&gt;0,AVERAGEIFS($U$5:$U$1000,$R$5:$R$1000,ROW(),$S$5:$S$1000,"Sub"),$U285))</f>
        <v/>
      </c>
      <c r="Z285" s="70">
        <f>IF($S285="","",IF(N($T285)&gt;0,AVERAGEIFS($V$5:$V$1000,$R$5:$R$1000,ROW(),$S$5:$S$1000,"Sub"),$V285))</f>
        <v/>
      </c>
      <c r="AA285" s="70">
        <f>IF($S285="","",IF(N($T285)&gt;0,AVERAGEIFS($W$5:$W$1000,$R$5:$R$1000,ROW(),$S$5:$S$1000,"Sub"),$W285))</f>
        <v/>
      </c>
      <c r="AB285" s="70">
        <f>IF($S285="","",IF(N($T285)&gt;0,AVERAGEIFS($X$5:$X$1000,$R$5:$R$1000,ROW(),$S$5:$S$1000,"Sub"),$X285))</f>
        <v/>
      </c>
    </row>
    <row r="286">
      <c r="A286" s="61">
        <f>IF(NOT((COUNTA($B286:$K286)+COUNTA($N286))&gt;0),"",IF($S286="Macro",COUNTIFS($S$5:$S286,"Macro",$P$5:$P286,$P286),IF(N($R286)=0,"?",COUNTIFS(INDEX($S$5:$S$1000,1):INDEX($S$5:$S$1000,$R286-4),"Macro",INDEX($P$5:$P$1000,1):INDEX($P$5:$P$1000,$R286-4),INDEX($P$5:$P$1000,$R286-4))&amp;"."&amp;COUNTIFS($R$5:$R286,$R286,$S$5:$S286,"Sub"))))</f>
        <v/>
      </c>
      <c r="B286" s="62" t="n"/>
      <c r="C286" s="63" t="n"/>
      <c r="D286" s="62" t="n"/>
      <c r="E286" s="64" t="n"/>
      <c r="F286" s="64" t="n"/>
      <c r="G286" s="65" t="n"/>
      <c r="H286" s="66" t="n"/>
      <c r="I286" s="66" t="n"/>
      <c r="J286" s="66" t="n"/>
      <c r="K286" s="66" t="n"/>
      <c r="L286" s="67">
        <f>IF(NOT((COUNTA($B286:$K286)+COUNTA($N286))&gt;0),"",IF(N($T286)&gt;0,$AB286,IFERROR(LOOKUP(2,1/(H286:K286&lt;&gt;""),H286:K286),0)))</f>
        <v/>
      </c>
      <c r="M286" s="61">
        <f>IF(L286="","",IF(L286&gt;=1,"Completado",IF(L286&gt;0,"En curso","Pendiente")))</f>
        <v/>
      </c>
      <c r="N286" s="62" t="n"/>
      <c r="O286" s="68">
        <f>IF(NOT((COUNTA($B286:$K286)+COUNTA($N286))&gt;0),"",IF((IF(AND($S286="Macro",$B286=""),"Macroactividad vacía"&amp;" · ","")&amp;IF(AND($B286&lt;&gt;"",$C286&lt;&gt;""),"Escriba la subactividad en otra fila, debajo de su macroactividad"&amp;" · ","")&amp;IF(AND($S286="Sub",N($R286)=0),"Subactividad sin macroactividad arriba"&amp;" · ","")&amp;IF($D286="","Sin responsable"&amp;" · ","")&amp;IF($E286="","Sin fecha de inicio"&amp;" · ","")&amp;IF($F286="","Sin fecha límite"&amp;" · ","")&amp;IF(OR(AND($E286&lt;&gt;"",NOT(ISNUMBER($E286))),AND($F286&lt;&gt;"",NOT(ISNUMBER($F286)))),"Fecha no válida"&amp;" · ","")&amp;IF(AND(ISNUMBER($E286),ISNUMBER($F286),$E286&gt;$F286),"Inicio posterior a fecha límite"&amp;" · ","")&amp;IF(AND($S286="Macro",$G286=""),"Peso vacío"&amp;" · ","")&amp;IF(AND($S286="Macro",$G286&lt;&gt;"",OR(NOT(ISNUMBER($G286)),$G286&lt;=0,$G286&gt;1)),"Peso fuera de rango"&amp;" · ","")&amp;IF(AND($S286="Sub",$G286&lt;&gt;""),"Las subactividades no llevan peso"&amp;" · ","")&amp;IF(AND($S286="Macro",ABS(SUMIFS($G$5:$G$1000,$P$5:$P$1000,$P286,$S$5:$S$1000,"Macro")-1)&gt;0.0001),"Pesos del mes suman "&amp;TEXT(SUMIFS($G$5:$G$1000,$P$5:$P$1000,$P286,$S$5:$S$1000,"Macro"),"0%")&amp;" · ","")&amp;IF(AND(N($T286)&gt;0,COUNT($H286:$K286)&gt;0),"Con subactividades: deje vacías las semanas (se calculan solas)"&amp;" · ","")&amp;IF((COUNTIF($H286:$K286,"&gt;1")+COUNTIF($H286:$K286,"&lt;0")+COUNTA($H286:$K286)-COUNT($H286:$K286))&gt;0,"Avance fuera de rango 0-100%"&amp;" · ","")&amp;IF(OR(AND($I286&lt;&gt;"",$I286&lt;$H286),AND($J286&lt;&gt;"",$J286&lt;MAX($H286:$I286)),AND($K286&lt;&gt;"",$K286&lt;MAX($H286:$J286))),"Avance semanal decreciente"&amp;" · ","")&amp;IF(AND(ISNUMBER($F286),$F286&lt;FechaRef,N($L286)&lt;1),"Vencida"&amp;" · ","")&amp;IF(AND(ObsObligatoria="Sí",ISNUMBER($F286),$F286&lt;FechaRef,N($L286)&lt;1,$N286=""),"Vencida sin observación"&amp;" · ",""))="","✔ OK","⚠ "&amp;LEFT(IF(AND($S286="Macro",$B286=""),"Macroactividad vacía"&amp;" · ","")&amp;IF(AND($B286&lt;&gt;"",$C286&lt;&gt;""),"Escriba la subactividad en otra fila, debajo de su macroactividad"&amp;" · ","")&amp;IF(AND($S286="Sub",N($R286)=0),"Subactividad sin macroactividad arriba"&amp;" · ","")&amp;IF($D286="","Sin responsable"&amp;" · ","")&amp;IF($E286="","Sin fecha de inicio"&amp;" · ","")&amp;IF($F286="","Sin fecha límite"&amp;" · ","")&amp;IF(OR(AND($E286&lt;&gt;"",NOT(ISNUMBER($E286))),AND($F286&lt;&gt;"",NOT(ISNUMBER($F286)))),"Fecha no válida"&amp;" · ","")&amp;IF(AND(ISNUMBER($E286),ISNUMBER($F286),$E286&gt;$F286),"Inicio posterior a fecha límite"&amp;" · ","")&amp;IF(AND($S286="Macro",$G286=""),"Peso vacío"&amp;" · ","")&amp;IF(AND($S286="Macro",$G286&lt;&gt;"",OR(NOT(ISNUMBER($G286)),$G286&lt;=0,$G286&gt;1)),"Peso fuera de rango"&amp;" · ","")&amp;IF(AND($S286="Sub",$G286&lt;&gt;""),"Las subactividades no llevan peso"&amp;" · ","")&amp;IF(AND($S286="Macro",ABS(SUMIFS($G$5:$G$1000,$P$5:$P$1000,$P286,$S$5:$S$1000,"Macro")-1)&gt;0.0001),"Pesos del mes suman "&amp;TEXT(SUMIFS($G$5:$G$1000,$P$5:$P$1000,$P286,$S$5:$S$1000,"Macro"),"0%")&amp;" · ","")&amp;IF(AND(N($T286)&gt;0,COUNT($H286:$K286)&gt;0),"Con subactividades: deje vacías las semanas (se calculan solas)"&amp;" · ","")&amp;IF((COUNTIF($H286:$K286,"&gt;1")+COUNTIF($H286:$K286,"&lt;0")+COUNTA($H286:$K286)-COUNT($H286:$K286))&gt;0,"Avance fuera de rango 0-100%"&amp;" · ","")&amp;IF(OR(AND($I286&lt;&gt;"",$I286&lt;$H286),AND($J286&lt;&gt;"",$J286&lt;MAX($H286:$I286)),AND($K286&lt;&gt;"",$K286&lt;MAX($H286:$J286))),"Avance semanal decreciente"&amp;" · ","")&amp;IF(AND(ISNUMBER($F286),$F286&lt;FechaRef,N($L286)&lt;1),"Vencida"&amp;" · ","")&amp;IF(AND(ObsObligatoria="Sí",ISNUMBER($F286),$F286&lt;FechaRef,N($L286)&lt;1,$N286=""),"Vencida sin observación"&amp;" · ",""),LEN(IF(AND($S286="Macro",$B286=""),"Macroactividad vacía"&amp;" · ","")&amp;IF(AND($B286&lt;&gt;"",$C286&lt;&gt;""),"Escriba la subactividad en otra fila, debajo de su macroactividad"&amp;" · ","")&amp;IF(AND($S286="Sub",N($R286)=0),"Subactividad sin macroactividad arriba"&amp;" · ","")&amp;IF($D286="","Sin responsable"&amp;" · ","")&amp;IF($E286="","Sin fecha de inicio"&amp;" · ","")&amp;IF($F286="","Sin fecha límite"&amp;" · ","")&amp;IF(OR(AND($E286&lt;&gt;"",NOT(ISNUMBER($E286))),AND($F286&lt;&gt;"",NOT(ISNUMBER($F286)))),"Fecha no válida"&amp;" · ","")&amp;IF(AND(ISNUMBER($E286),ISNUMBER($F286),$E286&gt;$F286),"Inicio posterior a fecha límite"&amp;" · ","")&amp;IF(AND($S286="Macro",$G286=""),"Peso vacío"&amp;" · ","")&amp;IF(AND($S286="Macro",$G286&lt;&gt;"",OR(NOT(ISNUMBER($G286)),$G286&lt;=0,$G286&gt;1)),"Peso fuera de rango"&amp;" · ","")&amp;IF(AND($S286="Sub",$G286&lt;&gt;""),"Las subactividades no llevan peso"&amp;" · ","")&amp;IF(AND($S286="Macro",ABS(SUMIFS($G$5:$G$1000,$P$5:$P$1000,$P286,$S$5:$S$1000,"Macro")-1)&gt;0.0001),"Pesos del mes suman "&amp;TEXT(SUMIFS($G$5:$G$1000,$P$5:$P$1000,$P286,$S$5:$S$1000,"Macro"),"0%")&amp;" · ","")&amp;IF(AND(N($T286)&gt;0,COUNT($H286:$K286)&gt;0),"Con subactividades: deje vacías las semanas (se calculan solas)"&amp;" · ","")&amp;IF((COUNTIF($H286:$K286,"&gt;1")+COUNTIF($H286:$K286,"&lt;0")+COUNTA($H286:$K286)-COUNT($H286:$K286))&gt;0,"Avance fuera de rango 0-100%"&amp;" · ","")&amp;IF(OR(AND($I286&lt;&gt;"",$I286&lt;$H286),AND($J286&lt;&gt;"",$J286&lt;MAX($H286:$I286)),AND($K286&lt;&gt;"",$K286&lt;MAX($H286:$J286))),"Avance semanal decreciente"&amp;" · ","")&amp;IF(AND(ISNUMBER($F286),$F286&lt;FechaRef,N($L286)&lt;1),"Vencida"&amp;" · ","")&amp;IF(AND(ObsObligatoria="Sí",ISNUMBER($F286),$F286&lt;FechaRef,N($L286)&lt;1,$N286=""),"Vencida sin observación"&amp;" · ",""))-3)))</f>
        <v/>
      </c>
      <c r="P286" s="69">
        <f>IF(NOT((COUNTA($B286:$K286)+COUNTA($N286))&gt;0),"",IF(AND($S286="Sub",N($R286)&gt;0),IF(ISNUMBER(INDEX($E$5:$E$1000,$R286-4)),DATE(YEAR(INDEX($E$5:$E$1000,$R286-4)),MONTH(INDEX($E$5:$E$1000,$R286-4)),1),IF(ISNUMBER(INDEX($F$5:$F$1000,$R286-4)),DATE(YEAR(INDEX($F$5:$F$1000,$R286-4)),MONTH(INDEX($F$5:$F$1000,$R286-4)),1),MesCiclo)),IF(ISNUMBER($E286),DATE(YEAR($E286),MONTH($E286),1),IF(ISNUMBER($F286),DATE(YEAR($F286),MONTH($F286),1),MesCiclo))))</f>
        <v/>
      </c>
      <c r="Q286" s="70">
        <f>IF(OR($P286="",$P286&lt;&gt;MesCiclo),"",COUNTIF($P$5:$P286,MesCiclo))</f>
        <v/>
      </c>
      <c r="R286" s="70">
        <f>IF($S286="","",IF($S286="Macro",ROW(),IFERROR(LOOKUP(2,1/($S$5:$S286="Macro"),ROW($S$5:$S286)),0)))</f>
        <v/>
      </c>
      <c r="S286" s="70">
        <f>IF(NOT((COUNTA($B286:$K286)+COUNTA($N286))&gt;0),"",IF($B286&lt;&gt;"","Macro",IF($C286&lt;&gt;"","Sub","Macro")))</f>
        <v/>
      </c>
      <c r="T286" s="70">
        <f>IF($S286="Macro",COUNTIFS($R$5:$R$1000,ROW(),$S$5:$S$1000,"Sub"),"")</f>
        <v/>
      </c>
      <c r="U286" s="70">
        <f>IF($S286="","",IF(ISNUMBER($H286),$H286,0))</f>
        <v/>
      </c>
      <c r="V286" s="70">
        <f>IF($S286="","",IF(ISNUMBER($I286),$I286,$U286))</f>
        <v/>
      </c>
      <c r="W286" s="70">
        <f>IF($S286="","",IF(ISNUMBER($J286),$J286,$V286))</f>
        <v/>
      </c>
      <c r="X286" s="70">
        <f>IF($S286="","",IF(ISNUMBER($K286),$K286,$W286))</f>
        <v/>
      </c>
      <c r="Y286" s="70">
        <f>IF($S286="","",IF(N($T286)&gt;0,AVERAGEIFS($U$5:$U$1000,$R$5:$R$1000,ROW(),$S$5:$S$1000,"Sub"),$U286))</f>
        <v/>
      </c>
      <c r="Z286" s="70">
        <f>IF($S286="","",IF(N($T286)&gt;0,AVERAGEIFS($V$5:$V$1000,$R$5:$R$1000,ROW(),$S$5:$S$1000,"Sub"),$V286))</f>
        <v/>
      </c>
      <c r="AA286" s="70">
        <f>IF($S286="","",IF(N($T286)&gt;0,AVERAGEIFS($W$5:$W$1000,$R$5:$R$1000,ROW(),$S$5:$S$1000,"Sub"),$W286))</f>
        <v/>
      </c>
      <c r="AB286" s="70">
        <f>IF($S286="","",IF(N($T286)&gt;0,AVERAGEIFS($X$5:$X$1000,$R$5:$R$1000,ROW(),$S$5:$S$1000,"Sub"),$X286))</f>
        <v/>
      </c>
    </row>
    <row r="287">
      <c r="A287" s="61">
        <f>IF(NOT((COUNTA($B287:$K287)+COUNTA($N287))&gt;0),"",IF($S287="Macro",COUNTIFS($S$5:$S287,"Macro",$P$5:$P287,$P287),IF(N($R287)=0,"?",COUNTIFS(INDEX($S$5:$S$1000,1):INDEX($S$5:$S$1000,$R287-4),"Macro",INDEX($P$5:$P$1000,1):INDEX($P$5:$P$1000,$R287-4),INDEX($P$5:$P$1000,$R287-4))&amp;"."&amp;COUNTIFS($R$5:$R287,$R287,$S$5:$S287,"Sub"))))</f>
        <v/>
      </c>
      <c r="B287" s="62" t="n"/>
      <c r="C287" s="63" t="n"/>
      <c r="D287" s="62" t="n"/>
      <c r="E287" s="64" t="n"/>
      <c r="F287" s="64" t="n"/>
      <c r="G287" s="65" t="n"/>
      <c r="H287" s="66" t="n"/>
      <c r="I287" s="66" t="n"/>
      <c r="J287" s="66" t="n"/>
      <c r="K287" s="66" t="n"/>
      <c r="L287" s="67">
        <f>IF(NOT((COUNTA($B287:$K287)+COUNTA($N287))&gt;0),"",IF(N($T287)&gt;0,$AB287,IFERROR(LOOKUP(2,1/(H287:K287&lt;&gt;""),H287:K287),0)))</f>
        <v/>
      </c>
      <c r="M287" s="61">
        <f>IF(L287="","",IF(L287&gt;=1,"Completado",IF(L287&gt;0,"En curso","Pendiente")))</f>
        <v/>
      </c>
      <c r="N287" s="62" t="n"/>
      <c r="O287" s="68">
        <f>IF(NOT((COUNTA($B287:$K287)+COUNTA($N287))&gt;0),"",IF((IF(AND($S287="Macro",$B287=""),"Macroactividad vacía"&amp;" · ","")&amp;IF(AND($B287&lt;&gt;"",$C287&lt;&gt;""),"Escriba la subactividad en otra fila, debajo de su macroactividad"&amp;" · ","")&amp;IF(AND($S287="Sub",N($R287)=0),"Subactividad sin macroactividad arriba"&amp;" · ","")&amp;IF($D287="","Sin responsable"&amp;" · ","")&amp;IF($E287="","Sin fecha de inicio"&amp;" · ","")&amp;IF($F287="","Sin fecha límite"&amp;" · ","")&amp;IF(OR(AND($E287&lt;&gt;"",NOT(ISNUMBER($E287))),AND($F287&lt;&gt;"",NOT(ISNUMBER($F287)))),"Fecha no válida"&amp;" · ","")&amp;IF(AND(ISNUMBER($E287),ISNUMBER($F287),$E287&gt;$F287),"Inicio posterior a fecha límite"&amp;" · ","")&amp;IF(AND($S287="Macro",$G287=""),"Peso vacío"&amp;" · ","")&amp;IF(AND($S287="Macro",$G287&lt;&gt;"",OR(NOT(ISNUMBER($G287)),$G287&lt;=0,$G287&gt;1)),"Peso fuera de rango"&amp;" · ","")&amp;IF(AND($S287="Sub",$G287&lt;&gt;""),"Las subactividades no llevan peso"&amp;" · ","")&amp;IF(AND($S287="Macro",ABS(SUMIFS($G$5:$G$1000,$P$5:$P$1000,$P287,$S$5:$S$1000,"Macro")-1)&gt;0.0001),"Pesos del mes suman "&amp;TEXT(SUMIFS($G$5:$G$1000,$P$5:$P$1000,$P287,$S$5:$S$1000,"Macro"),"0%")&amp;" · ","")&amp;IF(AND(N($T287)&gt;0,COUNT($H287:$K287)&gt;0),"Con subactividades: deje vacías las semanas (se calculan solas)"&amp;" · ","")&amp;IF((COUNTIF($H287:$K287,"&gt;1")+COUNTIF($H287:$K287,"&lt;0")+COUNTA($H287:$K287)-COUNT($H287:$K287))&gt;0,"Avance fuera de rango 0-100%"&amp;" · ","")&amp;IF(OR(AND($I287&lt;&gt;"",$I287&lt;$H287),AND($J287&lt;&gt;"",$J287&lt;MAX($H287:$I287)),AND($K287&lt;&gt;"",$K287&lt;MAX($H287:$J287))),"Avance semanal decreciente"&amp;" · ","")&amp;IF(AND(ISNUMBER($F287),$F287&lt;FechaRef,N($L287)&lt;1),"Vencida"&amp;" · ","")&amp;IF(AND(ObsObligatoria="Sí",ISNUMBER($F287),$F287&lt;FechaRef,N($L287)&lt;1,$N287=""),"Vencida sin observación"&amp;" · ",""))="","✔ OK","⚠ "&amp;LEFT(IF(AND($S287="Macro",$B287=""),"Macroactividad vacía"&amp;" · ","")&amp;IF(AND($B287&lt;&gt;"",$C287&lt;&gt;""),"Escriba la subactividad en otra fila, debajo de su macroactividad"&amp;" · ","")&amp;IF(AND($S287="Sub",N($R287)=0),"Subactividad sin macroactividad arriba"&amp;" · ","")&amp;IF($D287="","Sin responsable"&amp;" · ","")&amp;IF($E287="","Sin fecha de inicio"&amp;" · ","")&amp;IF($F287="","Sin fecha límite"&amp;" · ","")&amp;IF(OR(AND($E287&lt;&gt;"",NOT(ISNUMBER($E287))),AND($F287&lt;&gt;"",NOT(ISNUMBER($F287)))),"Fecha no válida"&amp;" · ","")&amp;IF(AND(ISNUMBER($E287),ISNUMBER($F287),$E287&gt;$F287),"Inicio posterior a fecha límite"&amp;" · ","")&amp;IF(AND($S287="Macro",$G287=""),"Peso vacío"&amp;" · ","")&amp;IF(AND($S287="Macro",$G287&lt;&gt;"",OR(NOT(ISNUMBER($G287)),$G287&lt;=0,$G287&gt;1)),"Peso fuera de rango"&amp;" · ","")&amp;IF(AND($S287="Sub",$G287&lt;&gt;""),"Las subactividades no llevan peso"&amp;" · ","")&amp;IF(AND($S287="Macro",ABS(SUMIFS($G$5:$G$1000,$P$5:$P$1000,$P287,$S$5:$S$1000,"Macro")-1)&gt;0.0001),"Pesos del mes suman "&amp;TEXT(SUMIFS($G$5:$G$1000,$P$5:$P$1000,$P287,$S$5:$S$1000,"Macro"),"0%")&amp;" · ","")&amp;IF(AND(N($T287)&gt;0,COUNT($H287:$K287)&gt;0),"Con subactividades: deje vacías las semanas (se calculan solas)"&amp;" · ","")&amp;IF((COUNTIF($H287:$K287,"&gt;1")+COUNTIF($H287:$K287,"&lt;0")+COUNTA($H287:$K287)-COUNT($H287:$K287))&gt;0,"Avance fuera de rango 0-100%"&amp;" · ","")&amp;IF(OR(AND($I287&lt;&gt;"",$I287&lt;$H287),AND($J287&lt;&gt;"",$J287&lt;MAX($H287:$I287)),AND($K287&lt;&gt;"",$K287&lt;MAX($H287:$J287))),"Avance semanal decreciente"&amp;" · ","")&amp;IF(AND(ISNUMBER($F287),$F287&lt;FechaRef,N($L287)&lt;1),"Vencida"&amp;" · ","")&amp;IF(AND(ObsObligatoria="Sí",ISNUMBER($F287),$F287&lt;FechaRef,N($L287)&lt;1,$N287=""),"Vencida sin observación"&amp;" · ",""),LEN(IF(AND($S287="Macro",$B287=""),"Macroactividad vacía"&amp;" · ","")&amp;IF(AND($B287&lt;&gt;"",$C287&lt;&gt;""),"Escriba la subactividad en otra fila, debajo de su macroactividad"&amp;" · ","")&amp;IF(AND($S287="Sub",N($R287)=0),"Subactividad sin macroactividad arriba"&amp;" · ","")&amp;IF($D287="","Sin responsable"&amp;" · ","")&amp;IF($E287="","Sin fecha de inicio"&amp;" · ","")&amp;IF($F287="","Sin fecha límite"&amp;" · ","")&amp;IF(OR(AND($E287&lt;&gt;"",NOT(ISNUMBER($E287))),AND($F287&lt;&gt;"",NOT(ISNUMBER($F287)))),"Fecha no válida"&amp;" · ","")&amp;IF(AND(ISNUMBER($E287),ISNUMBER($F287),$E287&gt;$F287),"Inicio posterior a fecha límite"&amp;" · ","")&amp;IF(AND($S287="Macro",$G287=""),"Peso vacío"&amp;" · ","")&amp;IF(AND($S287="Macro",$G287&lt;&gt;"",OR(NOT(ISNUMBER($G287)),$G287&lt;=0,$G287&gt;1)),"Peso fuera de rango"&amp;" · ","")&amp;IF(AND($S287="Sub",$G287&lt;&gt;""),"Las subactividades no llevan peso"&amp;" · ","")&amp;IF(AND($S287="Macro",ABS(SUMIFS($G$5:$G$1000,$P$5:$P$1000,$P287,$S$5:$S$1000,"Macro")-1)&gt;0.0001),"Pesos del mes suman "&amp;TEXT(SUMIFS($G$5:$G$1000,$P$5:$P$1000,$P287,$S$5:$S$1000,"Macro"),"0%")&amp;" · ","")&amp;IF(AND(N($T287)&gt;0,COUNT($H287:$K287)&gt;0),"Con subactividades: deje vacías las semanas (se calculan solas)"&amp;" · ","")&amp;IF((COUNTIF($H287:$K287,"&gt;1")+COUNTIF($H287:$K287,"&lt;0")+COUNTA($H287:$K287)-COUNT($H287:$K287))&gt;0,"Avance fuera de rango 0-100%"&amp;" · ","")&amp;IF(OR(AND($I287&lt;&gt;"",$I287&lt;$H287),AND($J287&lt;&gt;"",$J287&lt;MAX($H287:$I287)),AND($K287&lt;&gt;"",$K287&lt;MAX($H287:$J287))),"Avance semanal decreciente"&amp;" · ","")&amp;IF(AND(ISNUMBER($F287),$F287&lt;FechaRef,N($L287)&lt;1),"Vencida"&amp;" · ","")&amp;IF(AND(ObsObligatoria="Sí",ISNUMBER($F287),$F287&lt;FechaRef,N($L287)&lt;1,$N287=""),"Vencida sin observación"&amp;" · ",""))-3)))</f>
        <v/>
      </c>
      <c r="P287" s="69">
        <f>IF(NOT((COUNTA($B287:$K287)+COUNTA($N287))&gt;0),"",IF(AND($S287="Sub",N($R287)&gt;0),IF(ISNUMBER(INDEX($E$5:$E$1000,$R287-4)),DATE(YEAR(INDEX($E$5:$E$1000,$R287-4)),MONTH(INDEX($E$5:$E$1000,$R287-4)),1),IF(ISNUMBER(INDEX($F$5:$F$1000,$R287-4)),DATE(YEAR(INDEX($F$5:$F$1000,$R287-4)),MONTH(INDEX($F$5:$F$1000,$R287-4)),1),MesCiclo)),IF(ISNUMBER($E287),DATE(YEAR($E287),MONTH($E287),1),IF(ISNUMBER($F287),DATE(YEAR($F287),MONTH($F287),1),MesCiclo))))</f>
        <v/>
      </c>
      <c r="Q287" s="70">
        <f>IF(OR($P287="",$P287&lt;&gt;MesCiclo),"",COUNTIF($P$5:$P287,MesCiclo))</f>
        <v/>
      </c>
      <c r="R287" s="70">
        <f>IF($S287="","",IF($S287="Macro",ROW(),IFERROR(LOOKUP(2,1/($S$5:$S287="Macro"),ROW($S$5:$S287)),0)))</f>
        <v/>
      </c>
      <c r="S287" s="70">
        <f>IF(NOT((COUNTA($B287:$K287)+COUNTA($N287))&gt;0),"",IF($B287&lt;&gt;"","Macro",IF($C287&lt;&gt;"","Sub","Macro")))</f>
        <v/>
      </c>
      <c r="T287" s="70">
        <f>IF($S287="Macro",COUNTIFS($R$5:$R$1000,ROW(),$S$5:$S$1000,"Sub"),"")</f>
        <v/>
      </c>
      <c r="U287" s="70">
        <f>IF($S287="","",IF(ISNUMBER($H287),$H287,0))</f>
        <v/>
      </c>
      <c r="V287" s="70">
        <f>IF($S287="","",IF(ISNUMBER($I287),$I287,$U287))</f>
        <v/>
      </c>
      <c r="W287" s="70">
        <f>IF($S287="","",IF(ISNUMBER($J287),$J287,$V287))</f>
        <v/>
      </c>
      <c r="X287" s="70">
        <f>IF($S287="","",IF(ISNUMBER($K287),$K287,$W287))</f>
        <v/>
      </c>
      <c r="Y287" s="70">
        <f>IF($S287="","",IF(N($T287)&gt;0,AVERAGEIFS($U$5:$U$1000,$R$5:$R$1000,ROW(),$S$5:$S$1000,"Sub"),$U287))</f>
        <v/>
      </c>
      <c r="Z287" s="70">
        <f>IF($S287="","",IF(N($T287)&gt;0,AVERAGEIFS($V$5:$V$1000,$R$5:$R$1000,ROW(),$S$5:$S$1000,"Sub"),$V287))</f>
        <v/>
      </c>
      <c r="AA287" s="70">
        <f>IF($S287="","",IF(N($T287)&gt;0,AVERAGEIFS($W$5:$W$1000,$R$5:$R$1000,ROW(),$S$5:$S$1000,"Sub"),$W287))</f>
        <v/>
      </c>
      <c r="AB287" s="70">
        <f>IF($S287="","",IF(N($T287)&gt;0,AVERAGEIFS($X$5:$X$1000,$R$5:$R$1000,ROW(),$S$5:$S$1000,"Sub"),$X287))</f>
        <v/>
      </c>
    </row>
    <row r="288">
      <c r="A288" s="61">
        <f>IF(NOT((COUNTA($B288:$K288)+COUNTA($N288))&gt;0),"",IF($S288="Macro",COUNTIFS($S$5:$S288,"Macro",$P$5:$P288,$P288),IF(N($R288)=0,"?",COUNTIFS(INDEX($S$5:$S$1000,1):INDEX($S$5:$S$1000,$R288-4),"Macro",INDEX($P$5:$P$1000,1):INDEX($P$5:$P$1000,$R288-4),INDEX($P$5:$P$1000,$R288-4))&amp;"."&amp;COUNTIFS($R$5:$R288,$R288,$S$5:$S288,"Sub"))))</f>
        <v/>
      </c>
      <c r="B288" s="62" t="n"/>
      <c r="C288" s="63" t="n"/>
      <c r="D288" s="62" t="n"/>
      <c r="E288" s="64" t="n"/>
      <c r="F288" s="64" t="n"/>
      <c r="G288" s="65" t="n"/>
      <c r="H288" s="66" t="n"/>
      <c r="I288" s="66" t="n"/>
      <c r="J288" s="66" t="n"/>
      <c r="K288" s="66" t="n"/>
      <c r="L288" s="67">
        <f>IF(NOT((COUNTA($B288:$K288)+COUNTA($N288))&gt;0),"",IF(N($T288)&gt;0,$AB288,IFERROR(LOOKUP(2,1/(H288:K288&lt;&gt;""),H288:K288),0)))</f>
        <v/>
      </c>
      <c r="M288" s="61">
        <f>IF(L288="","",IF(L288&gt;=1,"Completado",IF(L288&gt;0,"En curso","Pendiente")))</f>
        <v/>
      </c>
      <c r="N288" s="62" t="n"/>
      <c r="O288" s="68">
        <f>IF(NOT((COUNTA($B288:$K288)+COUNTA($N288))&gt;0),"",IF((IF(AND($S288="Macro",$B288=""),"Macroactividad vacía"&amp;" · ","")&amp;IF(AND($B288&lt;&gt;"",$C288&lt;&gt;""),"Escriba la subactividad en otra fila, debajo de su macroactividad"&amp;" · ","")&amp;IF(AND($S288="Sub",N($R288)=0),"Subactividad sin macroactividad arriba"&amp;" · ","")&amp;IF($D288="","Sin responsable"&amp;" · ","")&amp;IF($E288="","Sin fecha de inicio"&amp;" · ","")&amp;IF($F288="","Sin fecha límite"&amp;" · ","")&amp;IF(OR(AND($E288&lt;&gt;"",NOT(ISNUMBER($E288))),AND($F288&lt;&gt;"",NOT(ISNUMBER($F288)))),"Fecha no válida"&amp;" · ","")&amp;IF(AND(ISNUMBER($E288),ISNUMBER($F288),$E288&gt;$F288),"Inicio posterior a fecha límite"&amp;" · ","")&amp;IF(AND($S288="Macro",$G288=""),"Peso vacío"&amp;" · ","")&amp;IF(AND($S288="Macro",$G288&lt;&gt;"",OR(NOT(ISNUMBER($G288)),$G288&lt;=0,$G288&gt;1)),"Peso fuera de rango"&amp;" · ","")&amp;IF(AND($S288="Sub",$G288&lt;&gt;""),"Las subactividades no llevan peso"&amp;" · ","")&amp;IF(AND($S288="Macro",ABS(SUMIFS($G$5:$G$1000,$P$5:$P$1000,$P288,$S$5:$S$1000,"Macro")-1)&gt;0.0001),"Pesos del mes suman "&amp;TEXT(SUMIFS($G$5:$G$1000,$P$5:$P$1000,$P288,$S$5:$S$1000,"Macro"),"0%")&amp;" · ","")&amp;IF(AND(N($T288)&gt;0,COUNT($H288:$K288)&gt;0),"Con subactividades: deje vacías las semanas (se calculan solas)"&amp;" · ","")&amp;IF((COUNTIF($H288:$K288,"&gt;1")+COUNTIF($H288:$K288,"&lt;0")+COUNTA($H288:$K288)-COUNT($H288:$K288))&gt;0,"Avance fuera de rango 0-100%"&amp;" · ","")&amp;IF(OR(AND($I288&lt;&gt;"",$I288&lt;$H288),AND($J288&lt;&gt;"",$J288&lt;MAX($H288:$I288)),AND($K288&lt;&gt;"",$K288&lt;MAX($H288:$J288))),"Avance semanal decreciente"&amp;" · ","")&amp;IF(AND(ISNUMBER($F288),$F288&lt;FechaRef,N($L288)&lt;1),"Vencida"&amp;" · ","")&amp;IF(AND(ObsObligatoria="Sí",ISNUMBER($F288),$F288&lt;FechaRef,N($L288)&lt;1,$N288=""),"Vencida sin observación"&amp;" · ",""))="","✔ OK","⚠ "&amp;LEFT(IF(AND($S288="Macro",$B288=""),"Macroactividad vacía"&amp;" · ","")&amp;IF(AND($B288&lt;&gt;"",$C288&lt;&gt;""),"Escriba la subactividad en otra fila, debajo de su macroactividad"&amp;" · ","")&amp;IF(AND($S288="Sub",N($R288)=0),"Subactividad sin macroactividad arriba"&amp;" · ","")&amp;IF($D288="","Sin responsable"&amp;" · ","")&amp;IF($E288="","Sin fecha de inicio"&amp;" · ","")&amp;IF($F288="","Sin fecha límite"&amp;" · ","")&amp;IF(OR(AND($E288&lt;&gt;"",NOT(ISNUMBER($E288))),AND($F288&lt;&gt;"",NOT(ISNUMBER($F288)))),"Fecha no válida"&amp;" · ","")&amp;IF(AND(ISNUMBER($E288),ISNUMBER($F288),$E288&gt;$F288),"Inicio posterior a fecha límite"&amp;" · ","")&amp;IF(AND($S288="Macro",$G288=""),"Peso vacío"&amp;" · ","")&amp;IF(AND($S288="Macro",$G288&lt;&gt;"",OR(NOT(ISNUMBER($G288)),$G288&lt;=0,$G288&gt;1)),"Peso fuera de rango"&amp;" · ","")&amp;IF(AND($S288="Sub",$G288&lt;&gt;""),"Las subactividades no llevan peso"&amp;" · ","")&amp;IF(AND($S288="Macro",ABS(SUMIFS($G$5:$G$1000,$P$5:$P$1000,$P288,$S$5:$S$1000,"Macro")-1)&gt;0.0001),"Pesos del mes suman "&amp;TEXT(SUMIFS($G$5:$G$1000,$P$5:$P$1000,$P288,$S$5:$S$1000,"Macro"),"0%")&amp;" · ","")&amp;IF(AND(N($T288)&gt;0,COUNT($H288:$K288)&gt;0),"Con subactividades: deje vacías las semanas (se calculan solas)"&amp;" · ","")&amp;IF((COUNTIF($H288:$K288,"&gt;1")+COUNTIF($H288:$K288,"&lt;0")+COUNTA($H288:$K288)-COUNT($H288:$K288))&gt;0,"Avance fuera de rango 0-100%"&amp;" · ","")&amp;IF(OR(AND($I288&lt;&gt;"",$I288&lt;$H288),AND($J288&lt;&gt;"",$J288&lt;MAX($H288:$I288)),AND($K288&lt;&gt;"",$K288&lt;MAX($H288:$J288))),"Avance semanal decreciente"&amp;" · ","")&amp;IF(AND(ISNUMBER($F288),$F288&lt;FechaRef,N($L288)&lt;1),"Vencida"&amp;" · ","")&amp;IF(AND(ObsObligatoria="Sí",ISNUMBER($F288),$F288&lt;FechaRef,N($L288)&lt;1,$N288=""),"Vencida sin observación"&amp;" · ",""),LEN(IF(AND($S288="Macro",$B288=""),"Macroactividad vacía"&amp;" · ","")&amp;IF(AND($B288&lt;&gt;"",$C288&lt;&gt;""),"Escriba la subactividad en otra fila, debajo de su macroactividad"&amp;" · ","")&amp;IF(AND($S288="Sub",N($R288)=0),"Subactividad sin macroactividad arriba"&amp;" · ","")&amp;IF($D288="","Sin responsable"&amp;" · ","")&amp;IF($E288="","Sin fecha de inicio"&amp;" · ","")&amp;IF($F288="","Sin fecha límite"&amp;" · ","")&amp;IF(OR(AND($E288&lt;&gt;"",NOT(ISNUMBER($E288))),AND($F288&lt;&gt;"",NOT(ISNUMBER($F288)))),"Fecha no válida"&amp;" · ","")&amp;IF(AND(ISNUMBER($E288),ISNUMBER($F288),$E288&gt;$F288),"Inicio posterior a fecha límite"&amp;" · ","")&amp;IF(AND($S288="Macro",$G288=""),"Peso vacío"&amp;" · ","")&amp;IF(AND($S288="Macro",$G288&lt;&gt;"",OR(NOT(ISNUMBER($G288)),$G288&lt;=0,$G288&gt;1)),"Peso fuera de rango"&amp;" · ","")&amp;IF(AND($S288="Sub",$G288&lt;&gt;""),"Las subactividades no llevan peso"&amp;" · ","")&amp;IF(AND($S288="Macro",ABS(SUMIFS($G$5:$G$1000,$P$5:$P$1000,$P288,$S$5:$S$1000,"Macro")-1)&gt;0.0001),"Pesos del mes suman "&amp;TEXT(SUMIFS($G$5:$G$1000,$P$5:$P$1000,$P288,$S$5:$S$1000,"Macro"),"0%")&amp;" · ","")&amp;IF(AND(N($T288)&gt;0,COUNT($H288:$K288)&gt;0),"Con subactividades: deje vacías las semanas (se calculan solas)"&amp;" · ","")&amp;IF((COUNTIF($H288:$K288,"&gt;1")+COUNTIF($H288:$K288,"&lt;0")+COUNTA($H288:$K288)-COUNT($H288:$K288))&gt;0,"Avance fuera de rango 0-100%"&amp;" · ","")&amp;IF(OR(AND($I288&lt;&gt;"",$I288&lt;$H288),AND($J288&lt;&gt;"",$J288&lt;MAX($H288:$I288)),AND($K288&lt;&gt;"",$K288&lt;MAX($H288:$J288))),"Avance semanal decreciente"&amp;" · ","")&amp;IF(AND(ISNUMBER($F288),$F288&lt;FechaRef,N($L288)&lt;1),"Vencida"&amp;" · ","")&amp;IF(AND(ObsObligatoria="Sí",ISNUMBER($F288),$F288&lt;FechaRef,N($L288)&lt;1,$N288=""),"Vencida sin observación"&amp;" · ",""))-3)))</f>
        <v/>
      </c>
      <c r="P288" s="69">
        <f>IF(NOT((COUNTA($B288:$K288)+COUNTA($N288))&gt;0),"",IF(AND($S288="Sub",N($R288)&gt;0),IF(ISNUMBER(INDEX($E$5:$E$1000,$R288-4)),DATE(YEAR(INDEX($E$5:$E$1000,$R288-4)),MONTH(INDEX($E$5:$E$1000,$R288-4)),1),IF(ISNUMBER(INDEX($F$5:$F$1000,$R288-4)),DATE(YEAR(INDEX($F$5:$F$1000,$R288-4)),MONTH(INDEX($F$5:$F$1000,$R288-4)),1),MesCiclo)),IF(ISNUMBER($E288),DATE(YEAR($E288),MONTH($E288),1),IF(ISNUMBER($F288),DATE(YEAR($F288),MONTH($F288),1),MesCiclo))))</f>
        <v/>
      </c>
      <c r="Q288" s="70">
        <f>IF(OR($P288="",$P288&lt;&gt;MesCiclo),"",COUNTIF($P$5:$P288,MesCiclo))</f>
        <v/>
      </c>
      <c r="R288" s="70">
        <f>IF($S288="","",IF($S288="Macro",ROW(),IFERROR(LOOKUP(2,1/($S$5:$S288="Macro"),ROW($S$5:$S288)),0)))</f>
        <v/>
      </c>
      <c r="S288" s="70">
        <f>IF(NOT((COUNTA($B288:$K288)+COUNTA($N288))&gt;0),"",IF($B288&lt;&gt;"","Macro",IF($C288&lt;&gt;"","Sub","Macro")))</f>
        <v/>
      </c>
      <c r="T288" s="70">
        <f>IF($S288="Macro",COUNTIFS($R$5:$R$1000,ROW(),$S$5:$S$1000,"Sub"),"")</f>
        <v/>
      </c>
      <c r="U288" s="70">
        <f>IF($S288="","",IF(ISNUMBER($H288),$H288,0))</f>
        <v/>
      </c>
      <c r="V288" s="70">
        <f>IF($S288="","",IF(ISNUMBER($I288),$I288,$U288))</f>
        <v/>
      </c>
      <c r="W288" s="70">
        <f>IF($S288="","",IF(ISNUMBER($J288),$J288,$V288))</f>
        <v/>
      </c>
      <c r="X288" s="70">
        <f>IF($S288="","",IF(ISNUMBER($K288),$K288,$W288))</f>
        <v/>
      </c>
      <c r="Y288" s="70">
        <f>IF($S288="","",IF(N($T288)&gt;0,AVERAGEIFS($U$5:$U$1000,$R$5:$R$1000,ROW(),$S$5:$S$1000,"Sub"),$U288))</f>
        <v/>
      </c>
      <c r="Z288" s="70">
        <f>IF($S288="","",IF(N($T288)&gt;0,AVERAGEIFS($V$5:$V$1000,$R$5:$R$1000,ROW(),$S$5:$S$1000,"Sub"),$V288))</f>
        <v/>
      </c>
      <c r="AA288" s="70">
        <f>IF($S288="","",IF(N($T288)&gt;0,AVERAGEIFS($W$5:$W$1000,$R$5:$R$1000,ROW(),$S$5:$S$1000,"Sub"),$W288))</f>
        <v/>
      </c>
      <c r="AB288" s="70">
        <f>IF($S288="","",IF(N($T288)&gt;0,AVERAGEIFS($X$5:$X$1000,$R$5:$R$1000,ROW(),$S$5:$S$1000,"Sub"),$X288))</f>
        <v/>
      </c>
    </row>
    <row r="289">
      <c r="A289" s="61">
        <f>IF(NOT((COUNTA($B289:$K289)+COUNTA($N289))&gt;0),"",IF($S289="Macro",COUNTIFS($S$5:$S289,"Macro",$P$5:$P289,$P289),IF(N($R289)=0,"?",COUNTIFS(INDEX($S$5:$S$1000,1):INDEX($S$5:$S$1000,$R289-4),"Macro",INDEX($P$5:$P$1000,1):INDEX($P$5:$P$1000,$R289-4),INDEX($P$5:$P$1000,$R289-4))&amp;"."&amp;COUNTIFS($R$5:$R289,$R289,$S$5:$S289,"Sub"))))</f>
        <v/>
      </c>
      <c r="B289" s="62" t="n"/>
      <c r="C289" s="63" t="n"/>
      <c r="D289" s="62" t="n"/>
      <c r="E289" s="64" t="n"/>
      <c r="F289" s="64" t="n"/>
      <c r="G289" s="65" t="n"/>
      <c r="H289" s="66" t="n"/>
      <c r="I289" s="66" t="n"/>
      <c r="J289" s="66" t="n"/>
      <c r="K289" s="66" t="n"/>
      <c r="L289" s="67">
        <f>IF(NOT((COUNTA($B289:$K289)+COUNTA($N289))&gt;0),"",IF(N($T289)&gt;0,$AB289,IFERROR(LOOKUP(2,1/(H289:K289&lt;&gt;""),H289:K289),0)))</f>
        <v/>
      </c>
      <c r="M289" s="61">
        <f>IF(L289="","",IF(L289&gt;=1,"Completado",IF(L289&gt;0,"En curso","Pendiente")))</f>
        <v/>
      </c>
      <c r="N289" s="62" t="n"/>
      <c r="O289" s="68">
        <f>IF(NOT((COUNTA($B289:$K289)+COUNTA($N289))&gt;0),"",IF((IF(AND($S289="Macro",$B289=""),"Macroactividad vacía"&amp;" · ","")&amp;IF(AND($B289&lt;&gt;"",$C289&lt;&gt;""),"Escriba la subactividad en otra fila, debajo de su macroactividad"&amp;" · ","")&amp;IF(AND($S289="Sub",N($R289)=0),"Subactividad sin macroactividad arriba"&amp;" · ","")&amp;IF($D289="","Sin responsable"&amp;" · ","")&amp;IF($E289="","Sin fecha de inicio"&amp;" · ","")&amp;IF($F289="","Sin fecha límite"&amp;" · ","")&amp;IF(OR(AND($E289&lt;&gt;"",NOT(ISNUMBER($E289))),AND($F289&lt;&gt;"",NOT(ISNUMBER($F289)))),"Fecha no válida"&amp;" · ","")&amp;IF(AND(ISNUMBER($E289),ISNUMBER($F289),$E289&gt;$F289),"Inicio posterior a fecha límite"&amp;" · ","")&amp;IF(AND($S289="Macro",$G289=""),"Peso vacío"&amp;" · ","")&amp;IF(AND($S289="Macro",$G289&lt;&gt;"",OR(NOT(ISNUMBER($G289)),$G289&lt;=0,$G289&gt;1)),"Peso fuera de rango"&amp;" · ","")&amp;IF(AND($S289="Sub",$G289&lt;&gt;""),"Las subactividades no llevan peso"&amp;" · ","")&amp;IF(AND($S289="Macro",ABS(SUMIFS($G$5:$G$1000,$P$5:$P$1000,$P289,$S$5:$S$1000,"Macro")-1)&gt;0.0001),"Pesos del mes suman "&amp;TEXT(SUMIFS($G$5:$G$1000,$P$5:$P$1000,$P289,$S$5:$S$1000,"Macro"),"0%")&amp;" · ","")&amp;IF(AND(N($T289)&gt;0,COUNT($H289:$K289)&gt;0),"Con subactividades: deje vacías las semanas (se calculan solas)"&amp;" · ","")&amp;IF((COUNTIF($H289:$K289,"&gt;1")+COUNTIF($H289:$K289,"&lt;0")+COUNTA($H289:$K289)-COUNT($H289:$K289))&gt;0,"Avance fuera de rango 0-100%"&amp;" · ","")&amp;IF(OR(AND($I289&lt;&gt;"",$I289&lt;$H289),AND($J289&lt;&gt;"",$J289&lt;MAX($H289:$I289)),AND($K289&lt;&gt;"",$K289&lt;MAX($H289:$J289))),"Avance semanal decreciente"&amp;" · ","")&amp;IF(AND(ISNUMBER($F289),$F289&lt;FechaRef,N($L289)&lt;1),"Vencida"&amp;" · ","")&amp;IF(AND(ObsObligatoria="Sí",ISNUMBER($F289),$F289&lt;FechaRef,N($L289)&lt;1,$N289=""),"Vencida sin observación"&amp;" · ",""))="","✔ OK","⚠ "&amp;LEFT(IF(AND($S289="Macro",$B289=""),"Macroactividad vacía"&amp;" · ","")&amp;IF(AND($B289&lt;&gt;"",$C289&lt;&gt;""),"Escriba la subactividad en otra fila, debajo de su macroactividad"&amp;" · ","")&amp;IF(AND($S289="Sub",N($R289)=0),"Subactividad sin macroactividad arriba"&amp;" · ","")&amp;IF($D289="","Sin responsable"&amp;" · ","")&amp;IF($E289="","Sin fecha de inicio"&amp;" · ","")&amp;IF($F289="","Sin fecha límite"&amp;" · ","")&amp;IF(OR(AND($E289&lt;&gt;"",NOT(ISNUMBER($E289))),AND($F289&lt;&gt;"",NOT(ISNUMBER($F289)))),"Fecha no válida"&amp;" · ","")&amp;IF(AND(ISNUMBER($E289),ISNUMBER($F289),$E289&gt;$F289),"Inicio posterior a fecha límite"&amp;" · ","")&amp;IF(AND($S289="Macro",$G289=""),"Peso vacío"&amp;" · ","")&amp;IF(AND($S289="Macro",$G289&lt;&gt;"",OR(NOT(ISNUMBER($G289)),$G289&lt;=0,$G289&gt;1)),"Peso fuera de rango"&amp;" · ","")&amp;IF(AND($S289="Sub",$G289&lt;&gt;""),"Las subactividades no llevan peso"&amp;" · ","")&amp;IF(AND($S289="Macro",ABS(SUMIFS($G$5:$G$1000,$P$5:$P$1000,$P289,$S$5:$S$1000,"Macro")-1)&gt;0.0001),"Pesos del mes suman "&amp;TEXT(SUMIFS($G$5:$G$1000,$P$5:$P$1000,$P289,$S$5:$S$1000,"Macro"),"0%")&amp;" · ","")&amp;IF(AND(N($T289)&gt;0,COUNT($H289:$K289)&gt;0),"Con subactividades: deje vacías las semanas (se calculan solas)"&amp;" · ","")&amp;IF((COUNTIF($H289:$K289,"&gt;1")+COUNTIF($H289:$K289,"&lt;0")+COUNTA($H289:$K289)-COUNT($H289:$K289))&gt;0,"Avance fuera de rango 0-100%"&amp;" · ","")&amp;IF(OR(AND($I289&lt;&gt;"",$I289&lt;$H289),AND($J289&lt;&gt;"",$J289&lt;MAX($H289:$I289)),AND($K289&lt;&gt;"",$K289&lt;MAX($H289:$J289))),"Avance semanal decreciente"&amp;" · ","")&amp;IF(AND(ISNUMBER($F289),$F289&lt;FechaRef,N($L289)&lt;1),"Vencida"&amp;" · ","")&amp;IF(AND(ObsObligatoria="Sí",ISNUMBER($F289),$F289&lt;FechaRef,N($L289)&lt;1,$N289=""),"Vencida sin observación"&amp;" · ",""),LEN(IF(AND($S289="Macro",$B289=""),"Macroactividad vacía"&amp;" · ","")&amp;IF(AND($B289&lt;&gt;"",$C289&lt;&gt;""),"Escriba la subactividad en otra fila, debajo de su macroactividad"&amp;" · ","")&amp;IF(AND($S289="Sub",N($R289)=0),"Subactividad sin macroactividad arriba"&amp;" · ","")&amp;IF($D289="","Sin responsable"&amp;" · ","")&amp;IF($E289="","Sin fecha de inicio"&amp;" · ","")&amp;IF($F289="","Sin fecha límite"&amp;" · ","")&amp;IF(OR(AND($E289&lt;&gt;"",NOT(ISNUMBER($E289))),AND($F289&lt;&gt;"",NOT(ISNUMBER($F289)))),"Fecha no válida"&amp;" · ","")&amp;IF(AND(ISNUMBER($E289),ISNUMBER($F289),$E289&gt;$F289),"Inicio posterior a fecha límite"&amp;" · ","")&amp;IF(AND($S289="Macro",$G289=""),"Peso vacío"&amp;" · ","")&amp;IF(AND($S289="Macro",$G289&lt;&gt;"",OR(NOT(ISNUMBER($G289)),$G289&lt;=0,$G289&gt;1)),"Peso fuera de rango"&amp;" · ","")&amp;IF(AND($S289="Sub",$G289&lt;&gt;""),"Las subactividades no llevan peso"&amp;" · ","")&amp;IF(AND($S289="Macro",ABS(SUMIFS($G$5:$G$1000,$P$5:$P$1000,$P289,$S$5:$S$1000,"Macro")-1)&gt;0.0001),"Pesos del mes suman "&amp;TEXT(SUMIFS($G$5:$G$1000,$P$5:$P$1000,$P289,$S$5:$S$1000,"Macro"),"0%")&amp;" · ","")&amp;IF(AND(N($T289)&gt;0,COUNT($H289:$K289)&gt;0),"Con subactividades: deje vacías las semanas (se calculan solas)"&amp;" · ","")&amp;IF((COUNTIF($H289:$K289,"&gt;1")+COUNTIF($H289:$K289,"&lt;0")+COUNTA($H289:$K289)-COUNT($H289:$K289))&gt;0,"Avance fuera de rango 0-100%"&amp;" · ","")&amp;IF(OR(AND($I289&lt;&gt;"",$I289&lt;$H289),AND($J289&lt;&gt;"",$J289&lt;MAX($H289:$I289)),AND($K289&lt;&gt;"",$K289&lt;MAX($H289:$J289))),"Avance semanal decreciente"&amp;" · ","")&amp;IF(AND(ISNUMBER($F289),$F289&lt;FechaRef,N($L289)&lt;1),"Vencida"&amp;" · ","")&amp;IF(AND(ObsObligatoria="Sí",ISNUMBER($F289),$F289&lt;FechaRef,N($L289)&lt;1,$N289=""),"Vencida sin observación"&amp;" · ",""))-3)))</f>
        <v/>
      </c>
      <c r="P289" s="69">
        <f>IF(NOT((COUNTA($B289:$K289)+COUNTA($N289))&gt;0),"",IF(AND($S289="Sub",N($R289)&gt;0),IF(ISNUMBER(INDEX($E$5:$E$1000,$R289-4)),DATE(YEAR(INDEX($E$5:$E$1000,$R289-4)),MONTH(INDEX($E$5:$E$1000,$R289-4)),1),IF(ISNUMBER(INDEX($F$5:$F$1000,$R289-4)),DATE(YEAR(INDEX($F$5:$F$1000,$R289-4)),MONTH(INDEX($F$5:$F$1000,$R289-4)),1),MesCiclo)),IF(ISNUMBER($E289),DATE(YEAR($E289),MONTH($E289),1),IF(ISNUMBER($F289),DATE(YEAR($F289),MONTH($F289),1),MesCiclo))))</f>
        <v/>
      </c>
      <c r="Q289" s="70">
        <f>IF(OR($P289="",$P289&lt;&gt;MesCiclo),"",COUNTIF($P$5:$P289,MesCiclo))</f>
        <v/>
      </c>
      <c r="R289" s="70">
        <f>IF($S289="","",IF($S289="Macro",ROW(),IFERROR(LOOKUP(2,1/($S$5:$S289="Macro"),ROW($S$5:$S289)),0)))</f>
        <v/>
      </c>
      <c r="S289" s="70">
        <f>IF(NOT((COUNTA($B289:$K289)+COUNTA($N289))&gt;0),"",IF($B289&lt;&gt;"","Macro",IF($C289&lt;&gt;"","Sub","Macro")))</f>
        <v/>
      </c>
      <c r="T289" s="70">
        <f>IF($S289="Macro",COUNTIFS($R$5:$R$1000,ROW(),$S$5:$S$1000,"Sub"),"")</f>
        <v/>
      </c>
      <c r="U289" s="70">
        <f>IF($S289="","",IF(ISNUMBER($H289),$H289,0))</f>
        <v/>
      </c>
      <c r="V289" s="70">
        <f>IF($S289="","",IF(ISNUMBER($I289),$I289,$U289))</f>
        <v/>
      </c>
      <c r="W289" s="70">
        <f>IF($S289="","",IF(ISNUMBER($J289),$J289,$V289))</f>
        <v/>
      </c>
      <c r="X289" s="70">
        <f>IF($S289="","",IF(ISNUMBER($K289),$K289,$W289))</f>
        <v/>
      </c>
      <c r="Y289" s="70">
        <f>IF($S289="","",IF(N($T289)&gt;0,AVERAGEIFS($U$5:$U$1000,$R$5:$R$1000,ROW(),$S$5:$S$1000,"Sub"),$U289))</f>
        <v/>
      </c>
      <c r="Z289" s="70">
        <f>IF($S289="","",IF(N($T289)&gt;0,AVERAGEIFS($V$5:$V$1000,$R$5:$R$1000,ROW(),$S$5:$S$1000,"Sub"),$V289))</f>
        <v/>
      </c>
      <c r="AA289" s="70">
        <f>IF($S289="","",IF(N($T289)&gt;0,AVERAGEIFS($W$5:$W$1000,$R$5:$R$1000,ROW(),$S$5:$S$1000,"Sub"),$W289))</f>
        <v/>
      </c>
      <c r="AB289" s="70">
        <f>IF($S289="","",IF(N($T289)&gt;0,AVERAGEIFS($X$5:$X$1000,$R$5:$R$1000,ROW(),$S$5:$S$1000,"Sub"),$X289))</f>
        <v/>
      </c>
    </row>
    <row r="290">
      <c r="A290" s="61">
        <f>IF(NOT((COUNTA($B290:$K290)+COUNTA($N290))&gt;0),"",IF($S290="Macro",COUNTIFS($S$5:$S290,"Macro",$P$5:$P290,$P290),IF(N($R290)=0,"?",COUNTIFS(INDEX($S$5:$S$1000,1):INDEX($S$5:$S$1000,$R290-4),"Macro",INDEX($P$5:$P$1000,1):INDEX($P$5:$P$1000,$R290-4),INDEX($P$5:$P$1000,$R290-4))&amp;"."&amp;COUNTIFS($R$5:$R290,$R290,$S$5:$S290,"Sub"))))</f>
        <v/>
      </c>
      <c r="B290" s="62" t="n"/>
      <c r="C290" s="63" t="n"/>
      <c r="D290" s="62" t="n"/>
      <c r="E290" s="64" t="n"/>
      <c r="F290" s="64" t="n"/>
      <c r="G290" s="65" t="n"/>
      <c r="H290" s="66" t="n"/>
      <c r="I290" s="66" t="n"/>
      <c r="J290" s="66" t="n"/>
      <c r="K290" s="66" t="n"/>
      <c r="L290" s="67">
        <f>IF(NOT((COUNTA($B290:$K290)+COUNTA($N290))&gt;0),"",IF(N($T290)&gt;0,$AB290,IFERROR(LOOKUP(2,1/(H290:K290&lt;&gt;""),H290:K290),0)))</f>
        <v/>
      </c>
      <c r="M290" s="61">
        <f>IF(L290="","",IF(L290&gt;=1,"Completado",IF(L290&gt;0,"En curso","Pendiente")))</f>
        <v/>
      </c>
      <c r="N290" s="62" t="n"/>
      <c r="O290" s="68">
        <f>IF(NOT((COUNTA($B290:$K290)+COUNTA($N290))&gt;0),"",IF((IF(AND($S290="Macro",$B290=""),"Macroactividad vacía"&amp;" · ","")&amp;IF(AND($B290&lt;&gt;"",$C290&lt;&gt;""),"Escriba la subactividad en otra fila, debajo de su macroactividad"&amp;" · ","")&amp;IF(AND($S290="Sub",N($R290)=0),"Subactividad sin macroactividad arriba"&amp;" · ","")&amp;IF($D290="","Sin responsable"&amp;" · ","")&amp;IF($E290="","Sin fecha de inicio"&amp;" · ","")&amp;IF($F290="","Sin fecha límite"&amp;" · ","")&amp;IF(OR(AND($E290&lt;&gt;"",NOT(ISNUMBER($E290))),AND($F290&lt;&gt;"",NOT(ISNUMBER($F290)))),"Fecha no válida"&amp;" · ","")&amp;IF(AND(ISNUMBER($E290),ISNUMBER($F290),$E290&gt;$F290),"Inicio posterior a fecha límite"&amp;" · ","")&amp;IF(AND($S290="Macro",$G290=""),"Peso vacío"&amp;" · ","")&amp;IF(AND($S290="Macro",$G290&lt;&gt;"",OR(NOT(ISNUMBER($G290)),$G290&lt;=0,$G290&gt;1)),"Peso fuera de rango"&amp;" · ","")&amp;IF(AND($S290="Sub",$G290&lt;&gt;""),"Las subactividades no llevan peso"&amp;" · ","")&amp;IF(AND($S290="Macro",ABS(SUMIFS($G$5:$G$1000,$P$5:$P$1000,$P290,$S$5:$S$1000,"Macro")-1)&gt;0.0001),"Pesos del mes suman "&amp;TEXT(SUMIFS($G$5:$G$1000,$P$5:$P$1000,$P290,$S$5:$S$1000,"Macro"),"0%")&amp;" · ","")&amp;IF(AND(N($T290)&gt;0,COUNT($H290:$K290)&gt;0),"Con subactividades: deje vacías las semanas (se calculan solas)"&amp;" · ","")&amp;IF((COUNTIF($H290:$K290,"&gt;1")+COUNTIF($H290:$K290,"&lt;0")+COUNTA($H290:$K290)-COUNT($H290:$K290))&gt;0,"Avance fuera de rango 0-100%"&amp;" · ","")&amp;IF(OR(AND($I290&lt;&gt;"",$I290&lt;$H290),AND($J290&lt;&gt;"",$J290&lt;MAX($H290:$I290)),AND($K290&lt;&gt;"",$K290&lt;MAX($H290:$J290))),"Avance semanal decreciente"&amp;" · ","")&amp;IF(AND(ISNUMBER($F290),$F290&lt;FechaRef,N($L290)&lt;1),"Vencida"&amp;" · ","")&amp;IF(AND(ObsObligatoria="Sí",ISNUMBER($F290),$F290&lt;FechaRef,N($L290)&lt;1,$N290=""),"Vencida sin observación"&amp;" · ",""))="","✔ OK","⚠ "&amp;LEFT(IF(AND($S290="Macro",$B290=""),"Macroactividad vacía"&amp;" · ","")&amp;IF(AND($B290&lt;&gt;"",$C290&lt;&gt;""),"Escriba la subactividad en otra fila, debajo de su macroactividad"&amp;" · ","")&amp;IF(AND($S290="Sub",N($R290)=0),"Subactividad sin macroactividad arriba"&amp;" · ","")&amp;IF($D290="","Sin responsable"&amp;" · ","")&amp;IF($E290="","Sin fecha de inicio"&amp;" · ","")&amp;IF($F290="","Sin fecha límite"&amp;" · ","")&amp;IF(OR(AND($E290&lt;&gt;"",NOT(ISNUMBER($E290))),AND($F290&lt;&gt;"",NOT(ISNUMBER($F290)))),"Fecha no válida"&amp;" · ","")&amp;IF(AND(ISNUMBER($E290),ISNUMBER($F290),$E290&gt;$F290),"Inicio posterior a fecha límite"&amp;" · ","")&amp;IF(AND($S290="Macro",$G290=""),"Peso vacío"&amp;" · ","")&amp;IF(AND($S290="Macro",$G290&lt;&gt;"",OR(NOT(ISNUMBER($G290)),$G290&lt;=0,$G290&gt;1)),"Peso fuera de rango"&amp;" · ","")&amp;IF(AND($S290="Sub",$G290&lt;&gt;""),"Las subactividades no llevan peso"&amp;" · ","")&amp;IF(AND($S290="Macro",ABS(SUMIFS($G$5:$G$1000,$P$5:$P$1000,$P290,$S$5:$S$1000,"Macro")-1)&gt;0.0001),"Pesos del mes suman "&amp;TEXT(SUMIFS($G$5:$G$1000,$P$5:$P$1000,$P290,$S$5:$S$1000,"Macro"),"0%")&amp;" · ","")&amp;IF(AND(N($T290)&gt;0,COUNT($H290:$K290)&gt;0),"Con subactividades: deje vacías las semanas (se calculan solas)"&amp;" · ","")&amp;IF((COUNTIF($H290:$K290,"&gt;1")+COUNTIF($H290:$K290,"&lt;0")+COUNTA($H290:$K290)-COUNT($H290:$K290))&gt;0,"Avance fuera de rango 0-100%"&amp;" · ","")&amp;IF(OR(AND($I290&lt;&gt;"",$I290&lt;$H290),AND($J290&lt;&gt;"",$J290&lt;MAX($H290:$I290)),AND($K290&lt;&gt;"",$K290&lt;MAX($H290:$J290))),"Avance semanal decreciente"&amp;" · ","")&amp;IF(AND(ISNUMBER($F290),$F290&lt;FechaRef,N($L290)&lt;1),"Vencida"&amp;" · ","")&amp;IF(AND(ObsObligatoria="Sí",ISNUMBER($F290),$F290&lt;FechaRef,N($L290)&lt;1,$N290=""),"Vencida sin observación"&amp;" · ",""),LEN(IF(AND($S290="Macro",$B290=""),"Macroactividad vacía"&amp;" · ","")&amp;IF(AND($B290&lt;&gt;"",$C290&lt;&gt;""),"Escriba la subactividad en otra fila, debajo de su macroactividad"&amp;" · ","")&amp;IF(AND($S290="Sub",N($R290)=0),"Subactividad sin macroactividad arriba"&amp;" · ","")&amp;IF($D290="","Sin responsable"&amp;" · ","")&amp;IF($E290="","Sin fecha de inicio"&amp;" · ","")&amp;IF($F290="","Sin fecha límite"&amp;" · ","")&amp;IF(OR(AND($E290&lt;&gt;"",NOT(ISNUMBER($E290))),AND($F290&lt;&gt;"",NOT(ISNUMBER($F290)))),"Fecha no válida"&amp;" · ","")&amp;IF(AND(ISNUMBER($E290),ISNUMBER($F290),$E290&gt;$F290),"Inicio posterior a fecha límite"&amp;" · ","")&amp;IF(AND($S290="Macro",$G290=""),"Peso vacío"&amp;" · ","")&amp;IF(AND($S290="Macro",$G290&lt;&gt;"",OR(NOT(ISNUMBER($G290)),$G290&lt;=0,$G290&gt;1)),"Peso fuera de rango"&amp;" · ","")&amp;IF(AND($S290="Sub",$G290&lt;&gt;""),"Las subactividades no llevan peso"&amp;" · ","")&amp;IF(AND($S290="Macro",ABS(SUMIFS($G$5:$G$1000,$P$5:$P$1000,$P290,$S$5:$S$1000,"Macro")-1)&gt;0.0001),"Pesos del mes suman "&amp;TEXT(SUMIFS($G$5:$G$1000,$P$5:$P$1000,$P290,$S$5:$S$1000,"Macro"),"0%")&amp;" · ","")&amp;IF(AND(N($T290)&gt;0,COUNT($H290:$K290)&gt;0),"Con subactividades: deje vacías las semanas (se calculan solas)"&amp;" · ","")&amp;IF((COUNTIF($H290:$K290,"&gt;1")+COUNTIF($H290:$K290,"&lt;0")+COUNTA($H290:$K290)-COUNT($H290:$K290))&gt;0,"Avance fuera de rango 0-100%"&amp;" · ","")&amp;IF(OR(AND($I290&lt;&gt;"",$I290&lt;$H290),AND($J290&lt;&gt;"",$J290&lt;MAX($H290:$I290)),AND($K290&lt;&gt;"",$K290&lt;MAX($H290:$J290))),"Avance semanal decreciente"&amp;" · ","")&amp;IF(AND(ISNUMBER($F290),$F290&lt;FechaRef,N($L290)&lt;1),"Vencida"&amp;" · ","")&amp;IF(AND(ObsObligatoria="Sí",ISNUMBER($F290),$F290&lt;FechaRef,N($L290)&lt;1,$N290=""),"Vencida sin observación"&amp;" · ",""))-3)))</f>
        <v/>
      </c>
      <c r="P290" s="69">
        <f>IF(NOT((COUNTA($B290:$K290)+COUNTA($N290))&gt;0),"",IF(AND($S290="Sub",N($R290)&gt;0),IF(ISNUMBER(INDEX($E$5:$E$1000,$R290-4)),DATE(YEAR(INDEX($E$5:$E$1000,$R290-4)),MONTH(INDEX($E$5:$E$1000,$R290-4)),1),IF(ISNUMBER(INDEX($F$5:$F$1000,$R290-4)),DATE(YEAR(INDEX($F$5:$F$1000,$R290-4)),MONTH(INDEX($F$5:$F$1000,$R290-4)),1),MesCiclo)),IF(ISNUMBER($E290),DATE(YEAR($E290),MONTH($E290),1),IF(ISNUMBER($F290),DATE(YEAR($F290),MONTH($F290),1),MesCiclo))))</f>
        <v/>
      </c>
      <c r="Q290" s="70">
        <f>IF(OR($P290="",$P290&lt;&gt;MesCiclo),"",COUNTIF($P$5:$P290,MesCiclo))</f>
        <v/>
      </c>
      <c r="R290" s="70">
        <f>IF($S290="","",IF($S290="Macro",ROW(),IFERROR(LOOKUP(2,1/($S$5:$S290="Macro"),ROW($S$5:$S290)),0)))</f>
        <v/>
      </c>
      <c r="S290" s="70">
        <f>IF(NOT((COUNTA($B290:$K290)+COUNTA($N290))&gt;0),"",IF($B290&lt;&gt;"","Macro",IF($C290&lt;&gt;"","Sub","Macro")))</f>
        <v/>
      </c>
      <c r="T290" s="70">
        <f>IF($S290="Macro",COUNTIFS($R$5:$R$1000,ROW(),$S$5:$S$1000,"Sub"),"")</f>
        <v/>
      </c>
      <c r="U290" s="70">
        <f>IF($S290="","",IF(ISNUMBER($H290),$H290,0))</f>
        <v/>
      </c>
      <c r="V290" s="70">
        <f>IF($S290="","",IF(ISNUMBER($I290),$I290,$U290))</f>
        <v/>
      </c>
      <c r="W290" s="70">
        <f>IF($S290="","",IF(ISNUMBER($J290),$J290,$V290))</f>
        <v/>
      </c>
      <c r="X290" s="70">
        <f>IF($S290="","",IF(ISNUMBER($K290),$K290,$W290))</f>
        <v/>
      </c>
      <c r="Y290" s="70">
        <f>IF($S290="","",IF(N($T290)&gt;0,AVERAGEIFS($U$5:$U$1000,$R$5:$R$1000,ROW(),$S$5:$S$1000,"Sub"),$U290))</f>
        <v/>
      </c>
      <c r="Z290" s="70">
        <f>IF($S290="","",IF(N($T290)&gt;0,AVERAGEIFS($V$5:$V$1000,$R$5:$R$1000,ROW(),$S$5:$S$1000,"Sub"),$V290))</f>
        <v/>
      </c>
      <c r="AA290" s="70">
        <f>IF($S290="","",IF(N($T290)&gt;0,AVERAGEIFS($W$5:$W$1000,$R$5:$R$1000,ROW(),$S$5:$S$1000,"Sub"),$W290))</f>
        <v/>
      </c>
      <c r="AB290" s="70">
        <f>IF($S290="","",IF(N($T290)&gt;0,AVERAGEIFS($X$5:$X$1000,$R$5:$R$1000,ROW(),$S$5:$S$1000,"Sub"),$X290))</f>
        <v/>
      </c>
    </row>
    <row r="291">
      <c r="A291" s="61">
        <f>IF(NOT((COUNTA($B291:$K291)+COUNTA($N291))&gt;0),"",IF($S291="Macro",COUNTIFS($S$5:$S291,"Macro",$P$5:$P291,$P291),IF(N($R291)=0,"?",COUNTIFS(INDEX($S$5:$S$1000,1):INDEX($S$5:$S$1000,$R291-4),"Macro",INDEX($P$5:$P$1000,1):INDEX($P$5:$P$1000,$R291-4),INDEX($P$5:$P$1000,$R291-4))&amp;"."&amp;COUNTIFS($R$5:$R291,$R291,$S$5:$S291,"Sub"))))</f>
        <v/>
      </c>
      <c r="B291" s="62" t="n"/>
      <c r="C291" s="63" t="n"/>
      <c r="D291" s="62" t="n"/>
      <c r="E291" s="64" t="n"/>
      <c r="F291" s="64" t="n"/>
      <c r="G291" s="65" t="n"/>
      <c r="H291" s="66" t="n"/>
      <c r="I291" s="66" t="n"/>
      <c r="J291" s="66" t="n"/>
      <c r="K291" s="66" t="n"/>
      <c r="L291" s="67">
        <f>IF(NOT((COUNTA($B291:$K291)+COUNTA($N291))&gt;0),"",IF(N($T291)&gt;0,$AB291,IFERROR(LOOKUP(2,1/(H291:K291&lt;&gt;""),H291:K291),0)))</f>
        <v/>
      </c>
      <c r="M291" s="61">
        <f>IF(L291="","",IF(L291&gt;=1,"Completado",IF(L291&gt;0,"En curso","Pendiente")))</f>
        <v/>
      </c>
      <c r="N291" s="62" t="n"/>
      <c r="O291" s="68">
        <f>IF(NOT((COUNTA($B291:$K291)+COUNTA($N291))&gt;0),"",IF((IF(AND($S291="Macro",$B291=""),"Macroactividad vacía"&amp;" · ","")&amp;IF(AND($B291&lt;&gt;"",$C291&lt;&gt;""),"Escriba la subactividad en otra fila, debajo de su macroactividad"&amp;" · ","")&amp;IF(AND($S291="Sub",N($R291)=0),"Subactividad sin macroactividad arriba"&amp;" · ","")&amp;IF($D291="","Sin responsable"&amp;" · ","")&amp;IF($E291="","Sin fecha de inicio"&amp;" · ","")&amp;IF($F291="","Sin fecha límite"&amp;" · ","")&amp;IF(OR(AND($E291&lt;&gt;"",NOT(ISNUMBER($E291))),AND($F291&lt;&gt;"",NOT(ISNUMBER($F291)))),"Fecha no válida"&amp;" · ","")&amp;IF(AND(ISNUMBER($E291),ISNUMBER($F291),$E291&gt;$F291),"Inicio posterior a fecha límite"&amp;" · ","")&amp;IF(AND($S291="Macro",$G291=""),"Peso vacío"&amp;" · ","")&amp;IF(AND($S291="Macro",$G291&lt;&gt;"",OR(NOT(ISNUMBER($G291)),$G291&lt;=0,$G291&gt;1)),"Peso fuera de rango"&amp;" · ","")&amp;IF(AND($S291="Sub",$G291&lt;&gt;""),"Las subactividades no llevan peso"&amp;" · ","")&amp;IF(AND($S291="Macro",ABS(SUMIFS($G$5:$G$1000,$P$5:$P$1000,$P291,$S$5:$S$1000,"Macro")-1)&gt;0.0001),"Pesos del mes suman "&amp;TEXT(SUMIFS($G$5:$G$1000,$P$5:$P$1000,$P291,$S$5:$S$1000,"Macro"),"0%")&amp;" · ","")&amp;IF(AND(N($T291)&gt;0,COUNT($H291:$K291)&gt;0),"Con subactividades: deje vacías las semanas (se calculan solas)"&amp;" · ","")&amp;IF((COUNTIF($H291:$K291,"&gt;1")+COUNTIF($H291:$K291,"&lt;0")+COUNTA($H291:$K291)-COUNT($H291:$K291))&gt;0,"Avance fuera de rango 0-100%"&amp;" · ","")&amp;IF(OR(AND($I291&lt;&gt;"",$I291&lt;$H291),AND($J291&lt;&gt;"",$J291&lt;MAX($H291:$I291)),AND($K291&lt;&gt;"",$K291&lt;MAX($H291:$J291))),"Avance semanal decreciente"&amp;" · ","")&amp;IF(AND(ISNUMBER($F291),$F291&lt;FechaRef,N($L291)&lt;1),"Vencida"&amp;" · ","")&amp;IF(AND(ObsObligatoria="Sí",ISNUMBER($F291),$F291&lt;FechaRef,N($L291)&lt;1,$N291=""),"Vencida sin observación"&amp;" · ",""))="","✔ OK","⚠ "&amp;LEFT(IF(AND($S291="Macro",$B291=""),"Macroactividad vacía"&amp;" · ","")&amp;IF(AND($B291&lt;&gt;"",$C291&lt;&gt;""),"Escriba la subactividad en otra fila, debajo de su macroactividad"&amp;" · ","")&amp;IF(AND($S291="Sub",N($R291)=0),"Subactividad sin macroactividad arriba"&amp;" · ","")&amp;IF($D291="","Sin responsable"&amp;" · ","")&amp;IF($E291="","Sin fecha de inicio"&amp;" · ","")&amp;IF($F291="","Sin fecha límite"&amp;" · ","")&amp;IF(OR(AND($E291&lt;&gt;"",NOT(ISNUMBER($E291))),AND($F291&lt;&gt;"",NOT(ISNUMBER($F291)))),"Fecha no válida"&amp;" · ","")&amp;IF(AND(ISNUMBER($E291),ISNUMBER($F291),$E291&gt;$F291),"Inicio posterior a fecha límite"&amp;" · ","")&amp;IF(AND($S291="Macro",$G291=""),"Peso vacío"&amp;" · ","")&amp;IF(AND($S291="Macro",$G291&lt;&gt;"",OR(NOT(ISNUMBER($G291)),$G291&lt;=0,$G291&gt;1)),"Peso fuera de rango"&amp;" · ","")&amp;IF(AND($S291="Sub",$G291&lt;&gt;""),"Las subactividades no llevan peso"&amp;" · ","")&amp;IF(AND($S291="Macro",ABS(SUMIFS($G$5:$G$1000,$P$5:$P$1000,$P291,$S$5:$S$1000,"Macro")-1)&gt;0.0001),"Pesos del mes suman "&amp;TEXT(SUMIFS($G$5:$G$1000,$P$5:$P$1000,$P291,$S$5:$S$1000,"Macro"),"0%")&amp;" · ","")&amp;IF(AND(N($T291)&gt;0,COUNT($H291:$K291)&gt;0),"Con subactividades: deje vacías las semanas (se calculan solas)"&amp;" · ","")&amp;IF((COUNTIF($H291:$K291,"&gt;1")+COUNTIF($H291:$K291,"&lt;0")+COUNTA($H291:$K291)-COUNT($H291:$K291))&gt;0,"Avance fuera de rango 0-100%"&amp;" · ","")&amp;IF(OR(AND($I291&lt;&gt;"",$I291&lt;$H291),AND($J291&lt;&gt;"",$J291&lt;MAX($H291:$I291)),AND($K291&lt;&gt;"",$K291&lt;MAX($H291:$J291))),"Avance semanal decreciente"&amp;" · ","")&amp;IF(AND(ISNUMBER($F291),$F291&lt;FechaRef,N($L291)&lt;1),"Vencida"&amp;" · ","")&amp;IF(AND(ObsObligatoria="Sí",ISNUMBER($F291),$F291&lt;FechaRef,N($L291)&lt;1,$N291=""),"Vencida sin observación"&amp;" · ",""),LEN(IF(AND($S291="Macro",$B291=""),"Macroactividad vacía"&amp;" · ","")&amp;IF(AND($B291&lt;&gt;"",$C291&lt;&gt;""),"Escriba la subactividad en otra fila, debajo de su macroactividad"&amp;" · ","")&amp;IF(AND($S291="Sub",N($R291)=0),"Subactividad sin macroactividad arriba"&amp;" · ","")&amp;IF($D291="","Sin responsable"&amp;" · ","")&amp;IF($E291="","Sin fecha de inicio"&amp;" · ","")&amp;IF($F291="","Sin fecha límite"&amp;" · ","")&amp;IF(OR(AND($E291&lt;&gt;"",NOT(ISNUMBER($E291))),AND($F291&lt;&gt;"",NOT(ISNUMBER($F291)))),"Fecha no válida"&amp;" · ","")&amp;IF(AND(ISNUMBER($E291),ISNUMBER($F291),$E291&gt;$F291),"Inicio posterior a fecha límite"&amp;" · ","")&amp;IF(AND($S291="Macro",$G291=""),"Peso vacío"&amp;" · ","")&amp;IF(AND($S291="Macro",$G291&lt;&gt;"",OR(NOT(ISNUMBER($G291)),$G291&lt;=0,$G291&gt;1)),"Peso fuera de rango"&amp;" · ","")&amp;IF(AND($S291="Sub",$G291&lt;&gt;""),"Las subactividades no llevan peso"&amp;" · ","")&amp;IF(AND($S291="Macro",ABS(SUMIFS($G$5:$G$1000,$P$5:$P$1000,$P291,$S$5:$S$1000,"Macro")-1)&gt;0.0001),"Pesos del mes suman "&amp;TEXT(SUMIFS($G$5:$G$1000,$P$5:$P$1000,$P291,$S$5:$S$1000,"Macro"),"0%")&amp;" · ","")&amp;IF(AND(N($T291)&gt;0,COUNT($H291:$K291)&gt;0),"Con subactividades: deje vacías las semanas (se calculan solas)"&amp;" · ","")&amp;IF((COUNTIF($H291:$K291,"&gt;1")+COUNTIF($H291:$K291,"&lt;0")+COUNTA($H291:$K291)-COUNT($H291:$K291))&gt;0,"Avance fuera de rango 0-100%"&amp;" · ","")&amp;IF(OR(AND($I291&lt;&gt;"",$I291&lt;$H291),AND($J291&lt;&gt;"",$J291&lt;MAX($H291:$I291)),AND($K291&lt;&gt;"",$K291&lt;MAX($H291:$J291))),"Avance semanal decreciente"&amp;" · ","")&amp;IF(AND(ISNUMBER($F291),$F291&lt;FechaRef,N($L291)&lt;1),"Vencida"&amp;" · ","")&amp;IF(AND(ObsObligatoria="Sí",ISNUMBER($F291),$F291&lt;FechaRef,N($L291)&lt;1,$N291=""),"Vencida sin observación"&amp;" · ",""))-3)))</f>
        <v/>
      </c>
      <c r="P291" s="69">
        <f>IF(NOT((COUNTA($B291:$K291)+COUNTA($N291))&gt;0),"",IF(AND($S291="Sub",N($R291)&gt;0),IF(ISNUMBER(INDEX($E$5:$E$1000,$R291-4)),DATE(YEAR(INDEX($E$5:$E$1000,$R291-4)),MONTH(INDEX($E$5:$E$1000,$R291-4)),1),IF(ISNUMBER(INDEX($F$5:$F$1000,$R291-4)),DATE(YEAR(INDEX($F$5:$F$1000,$R291-4)),MONTH(INDEX($F$5:$F$1000,$R291-4)),1),MesCiclo)),IF(ISNUMBER($E291),DATE(YEAR($E291),MONTH($E291),1),IF(ISNUMBER($F291),DATE(YEAR($F291),MONTH($F291),1),MesCiclo))))</f>
        <v/>
      </c>
      <c r="Q291" s="70">
        <f>IF(OR($P291="",$P291&lt;&gt;MesCiclo),"",COUNTIF($P$5:$P291,MesCiclo))</f>
        <v/>
      </c>
      <c r="R291" s="70">
        <f>IF($S291="","",IF($S291="Macro",ROW(),IFERROR(LOOKUP(2,1/($S$5:$S291="Macro"),ROW($S$5:$S291)),0)))</f>
        <v/>
      </c>
      <c r="S291" s="70">
        <f>IF(NOT((COUNTA($B291:$K291)+COUNTA($N291))&gt;0),"",IF($B291&lt;&gt;"","Macro",IF($C291&lt;&gt;"","Sub","Macro")))</f>
        <v/>
      </c>
      <c r="T291" s="70">
        <f>IF($S291="Macro",COUNTIFS($R$5:$R$1000,ROW(),$S$5:$S$1000,"Sub"),"")</f>
        <v/>
      </c>
      <c r="U291" s="70">
        <f>IF($S291="","",IF(ISNUMBER($H291),$H291,0))</f>
        <v/>
      </c>
      <c r="V291" s="70">
        <f>IF($S291="","",IF(ISNUMBER($I291),$I291,$U291))</f>
        <v/>
      </c>
      <c r="W291" s="70">
        <f>IF($S291="","",IF(ISNUMBER($J291),$J291,$V291))</f>
        <v/>
      </c>
      <c r="X291" s="70">
        <f>IF($S291="","",IF(ISNUMBER($K291),$K291,$W291))</f>
        <v/>
      </c>
      <c r="Y291" s="70">
        <f>IF($S291="","",IF(N($T291)&gt;0,AVERAGEIFS($U$5:$U$1000,$R$5:$R$1000,ROW(),$S$5:$S$1000,"Sub"),$U291))</f>
        <v/>
      </c>
      <c r="Z291" s="70">
        <f>IF($S291="","",IF(N($T291)&gt;0,AVERAGEIFS($V$5:$V$1000,$R$5:$R$1000,ROW(),$S$5:$S$1000,"Sub"),$V291))</f>
        <v/>
      </c>
      <c r="AA291" s="70">
        <f>IF($S291="","",IF(N($T291)&gt;0,AVERAGEIFS($W$5:$W$1000,$R$5:$R$1000,ROW(),$S$5:$S$1000,"Sub"),$W291))</f>
        <v/>
      </c>
      <c r="AB291" s="70">
        <f>IF($S291="","",IF(N($T291)&gt;0,AVERAGEIFS($X$5:$X$1000,$R$5:$R$1000,ROW(),$S$5:$S$1000,"Sub"),$X291))</f>
        <v/>
      </c>
    </row>
    <row r="292">
      <c r="A292" s="61">
        <f>IF(NOT((COUNTA($B292:$K292)+COUNTA($N292))&gt;0),"",IF($S292="Macro",COUNTIFS($S$5:$S292,"Macro",$P$5:$P292,$P292),IF(N($R292)=0,"?",COUNTIFS(INDEX($S$5:$S$1000,1):INDEX($S$5:$S$1000,$R292-4),"Macro",INDEX($P$5:$P$1000,1):INDEX($P$5:$P$1000,$R292-4),INDEX($P$5:$P$1000,$R292-4))&amp;"."&amp;COUNTIFS($R$5:$R292,$R292,$S$5:$S292,"Sub"))))</f>
        <v/>
      </c>
      <c r="B292" s="62" t="n"/>
      <c r="C292" s="63" t="n"/>
      <c r="D292" s="62" t="n"/>
      <c r="E292" s="64" t="n"/>
      <c r="F292" s="64" t="n"/>
      <c r="G292" s="65" t="n"/>
      <c r="H292" s="66" t="n"/>
      <c r="I292" s="66" t="n"/>
      <c r="J292" s="66" t="n"/>
      <c r="K292" s="66" t="n"/>
      <c r="L292" s="67">
        <f>IF(NOT((COUNTA($B292:$K292)+COUNTA($N292))&gt;0),"",IF(N($T292)&gt;0,$AB292,IFERROR(LOOKUP(2,1/(H292:K292&lt;&gt;""),H292:K292),0)))</f>
        <v/>
      </c>
      <c r="M292" s="61">
        <f>IF(L292="","",IF(L292&gt;=1,"Completado",IF(L292&gt;0,"En curso","Pendiente")))</f>
        <v/>
      </c>
      <c r="N292" s="62" t="n"/>
      <c r="O292" s="68">
        <f>IF(NOT((COUNTA($B292:$K292)+COUNTA($N292))&gt;0),"",IF((IF(AND($S292="Macro",$B292=""),"Macroactividad vacía"&amp;" · ","")&amp;IF(AND($B292&lt;&gt;"",$C292&lt;&gt;""),"Escriba la subactividad en otra fila, debajo de su macroactividad"&amp;" · ","")&amp;IF(AND($S292="Sub",N($R292)=0),"Subactividad sin macroactividad arriba"&amp;" · ","")&amp;IF($D292="","Sin responsable"&amp;" · ","")&amp;IF($E292="","Sin fecha de inicio"&amp;" · ","")&amp;IF($F292="","Sin fecha límite"&amp;" · ","")&amp;IF(OR(AND($E292&lt;&gt;"",NOT(ISNUMBER($E292))),AND($F292&lt;&gt;"",NOT(ISNUMBER($F292)))),"Fecha no válida"&amp;" · ","")&amp;IF(AND(ISNUMBER($E292),ISNUMBER($F292),$E292&gt;$F292),"Inicio posterior a fecha límite"&amp;" · ","")&amp;IF(AND($S292="Macro",$G292=""),"Peso vacío"&amp;" · ","")&amp;IF(AND($S292="Macro",$G292&lt;&gt;"",OR(NOT(ISNUMBER($G292)),$G292&lt;=0,$G292&gt;1)),"Peso fuera de rango"&amp;" · ","")&amp;IF(AND($S292="Sub",$G292&lt;&gt;""),"Las subactividades no llevan peso"&amp;" · ","")&amp;IF(AND($S292="Macro",ABS(SUMIFS($G$5:$G$1000,$P$5:$P$1000,$P292,$S$5:$S$1000,"Macro")-1)&gt;0.0001),"Pesos del mes suman "&amp;TEXT(SUMIFS($G$5:$G$1000,$P$5:$P$1000,$P292,$S$5:$S$1000,"Macro"),"0%")&amp;" · ","")&amp;IF(AND(N($T292)&gt;0,COUNT($H292:$K292)&gt;0),"Con subactividades: deje vacías las semanas (se calculan solas)"&amp;" · ","")&amp;IF((COUNTIF($H292:$K292,"&gt;1")+COUNTIF($H292:$K292,"&lt;0")+COUNTA($H292:$K292)-COUNT($H292:$K292))&gt;0,"Avance fuera de rango 0-100%"&amp;" · ","")&amp;IF(OR(AND($I292&lt;&gt;"",$I292&lt;$H292),AND($J292&lt;&gt;"",$J292&lt;MAX($H292:$I292)),AND($K292&lt;&gt;"",$K292&lt;MAX($H292:$J292))),"Avance semanal decreciente"&amp;" · ","")&amp;IF(AND(ISNUMBER($F292),$F292&lt;FechaRef,N($L292)&lt;1),"Vencida"&amp;" · ","")&amp;IF(AND(ObsObligatoria="Sí",ISNUMBER($F292),$F292&lt;FechaRef,N($L292)&lt;1,$N292=""),"Vencida sin observación"&amp;" · ",""))="","✔ OK","⚠ "&amp;LEFT(IF(AND($S292="Macro",$B292=""),"Macroactividad vacía"&amp;" · ","")&amp;IF(AND($B292&lt;&gt;"",$C292&lt;&gt;""),"Escriba la subactividad en otra fila, debajo de su macroactividad"&amp;" · ","")&amp;IF(AND($S292="Sub",N($R292)=0),"Subactividad sin macroactividad arriba"&amp;" · ","")&amp;IF($D292="","Sin responsable"&amp;" · ","")&amp;IF($E292="","Sin fecha de inicio"&amp;" · ","")&amp;IF($F292="","Sin fecha límite"&amp;" · ","")&amp;IF(OR(AND($E292&lt;&gt;"",NOT(ISNUMBER($E292))),AND($F292&lt;&gt;"",NOT(ISNUMBER($F292)))),"Fecha no válida"&amp;" · ","")&amp;IF(AND(ISNUMBER($E292),ISNUMBER($F292),$E292&gt;$F292),"Inicio posterior a fecha límite"&amp;" · ","")&amp;IF(AND($S292="Macro",$G292=""),"Peso vacío"&amp;" · ","")&amp;IF(AND($S292="Macro",$G292&lt;&gt;"",OR(NOT(ISNUMBER($G292)),$G292&lt;=0,$G292&gt;1)),"Peso fuera de rango"&amp;" · ","")&amp;IF(AND($S292="Sub",$G292&lt;&gt;""),"Las subactividades no llevan peso"&amp;" · ","")&amp;IF(AND($S292="Macro",ABS(SUMIFS($G$5:$G$1000,$P$5:$P$1000,$P292,$S$5:$S$1000,"Macro")-1)&gt;0.0001),"Pesos del mes suman "&amp;TEXT(SUMIFS($G$5:$G$1000,$P$5:$P$1000,$P292,$S$5:$S$1000,"Macro"),"0%")&amp;" · ","")&amp;IF(AND(N($T292)&gt;0,COUNT($H292:$K292)&gt;0),"Con subactividades: deje vacías las semanas (se calculan solas)"&amp;" · ","")&amp;IF((COUNTIF($H292:$K292,"&gt;1")+COUNTIF($H292:$K292,"&lt;0")+COUNTA($H292:$K292)-COUNT($H292:$K292))&gt;0,"Avance fuera de rango 0-100%"&amp;" · ","")&amp;IF(OR(AND($I292&lt;&gt;"",$I292&lt;$H292),AND($J292&lt;&gt;"",$J292&lt;MAX($H292:$I292)),AND($K292&lt;&gt;"",$K292&lt;MAX($H292:$J292))),"Avance semanal decreciente"&amp;" · ","")&amp;IF(AND(ISNUMBER($F292),$F292&lt;FechaRef,N($L292)&lt;1),"Vencida"&amp;" · ","")&amp;IF(AND(ObsObligatoria="Sí",ISNUMBER($F292),$F292&lt;FechaRef,N($L292)&lt;1,$N292=""),"Vencida sin observación"&amp;" · ",""),LEN(IF(AND($S292="Macro",$B292=""),"Macroactividad vacía"&amp;" · ","")&amp;IF(AND($B292&lt;&gt;"",$C292&lt;&gt;""),"Escriba la subactividad en otra fila, debajo de su macroactividad"&amp;" · ","")&amp;IF(AND($S292="Sub",N($R292)=0),"Subactividad sin macroactividad arriba"&amp;" · ","")&amp;IF($D292="","Sin responsable"&amp;" · ","")&amp;IF($E292="","Sin fecha de inicio"&amp;" · ","")&amp;IF($F292="","Sin fecha límite"&amp;" · ","")&amp;IF(OR(AND($E292&lt;&gt;"",NOT(ISNUMBER($E292))),AND($F292&lt;&gt;"",NOT(ISNUMBER($F292)))),"Fecha no válida"&amp;" · ","")&amp;IF(AND(ISNUMBER($E292),ISNUMBER($F292),$E292&gt;$F292),"Inicio posterior a fecha límite"&amp;" · ","")&amp;IF(AND($S292="Macro",$G292=""),"Peso vacío"&amp;" · ","")&amp;IF(AND($S292="Macro",$G292&lt;&gt;"",OR(NOT(ISNUMBER($G292)),$G292&lt;=0,$G292&gt;1)),"Peso fuera de rango"&amp;" · ","")&amp;IF(AND($S292="Sub",$G292&lt;&gt;""),"Las subactividades no llevan peso"&amp;" · ","")&amp;IF(AND($S292="Macro",ABS(SUMIFS($G$5:$G$1000,$P$5:$P$1000,$P292,$S$5:$S$1000,"Macro")-1)&gt;0.0001),"Pesos del mes suman "&amp;TEXT(SUMIFS($G$5:$G$1000,$P$5:$P$1000,$P292,$S$5:$S$1000,"Macro"),"0%")&amp;" · ","")&amp;IF(AND(N($T292)&gt;0,COUNT($H292:$K292)&gt;0),"Con subactividades: deje vacías las semanas (se calculan solas)"&amp;" · ","")&amp;IF((COUNTIF($H292:$K292,"&gt;1")+COUNTIF($H292:$K292,"&lt;0")+COUNTA($H292:$K292)-COUNT($H292:$K292))&gt;0,"Avance fuera de rango 0-100%"&amp;" · ","")&amp;IF(OR(AND($I292&lt;&gt;"",$I292&lt;$H292),AND($J292&lt;&gt;"",$J292&lt;MAX($H292:$I292)),AND($K292&lt;&gt;"",$K292&lt;MAX($H292:$J292))),"Avance semanal decreciente"&amp;" · ","")&amp;IF(AND(ISNUMBER($F292),$F292&lt;FechaRef,N($L292)&lt;1),"Vencida"&amp;" · ","")&amp;IF(AND(ObsObligatoria="Sí",ISNUMBER($F292),$F292&lt;FechaRef,N($L292)&lt;1,$N292=""),"Vencida sin observación"&amp;" · ",""))-3)))</f>
        <v/>
      </c>
      <c r="P292" s="69">
        <f>IF(NOT((COUNTA($B292:$K292)+COUNTA($N292))&gt;0),"",IF(AND($S292="Sub",N($R292)&gt;0),IF(ISNUMBER(INDEX($E$5:$E$1000,$R292-4)),DATE(YEAR(INDEX($E$5:$E$1000,$R292-4)),MONTH(INDEX($E$5:$E$1000,$R292-4)),1),IF(ISNUMBER(INDEX($F$5:$F$1000,$R292-4)),DATE(YEAR(INDEX($F$5:$F$1000,$R292-4)),MONTH(INDEX($F$5:$F$1000,$R292-4)),1),MesCiclo)),IF(ISNUMBER($E292),DATE(YEAR($E292),MONTH($E292),1),IF(ISNUMBER($F292),DATE(YEAR($F292),MONTH($F292),1),MesCiclo))))</f>
        <v/>
      </c>
      <c r="Q292" s="70">
        <f>IF(OR($P292="",$P292&lt;&gt;MesCiclo),"",COUNTIF($P$5:$P292,MesCiclo))</f>
        <v/>
      </c>
      <c r="R292" s="70">
        <f>IF($S292="","",IF($S292="Macro",ROW(),IFERROR(LOOKUP(2,1/($S$5:$S292="Macro"),ROW($S$5:$S292)),0)))</f>
        <v/>
      </c>
      <c r="S292" s="70">
        <f>IF(NOT((COUNTA($B292:$K292)+COUNTA($N292))&gt;0),"",IF($B292&lt;&gt;"","Macro",IF($C292&lt;&gt;"","Sub","Macro")))</f>
        <v/>
      </c>
      <c r="T292" s="70">
        <f>IF($S292="Macro",COUNTIFS($R$5:$R$1000,ROW(),$S$5:$S$1000,"Sub"),"")</f>
        <v/>
      </c>
      <c r="U292" s="70">
        <f>IF($S292="","",IF(ISNUMBER($H292),$H292,0))</f>
        <v/>
      </c>
      <c r="V292" s="70">
        <f>IF($S292="","",IF(ISNUMBER($I292),$I292,$U292))</f>
        <v/>
      </c>
      <c r="W292" s="70">
        <f>IF($S292="","",IF(ISNUMBER($J292),$J292,$V292))</f>
        <v/>
      </c>
      <c r="X292" s="70">
        <f>IF($S292="","",IF(ISNUMBER($K292),$K292,$W292))</f>
        <v/>
      </c>
      <c r="Y292" s="70">
        <f>IF($S292="","",IF(N($T292)&gt;0,AVERAGEIFS($U$5:$U$1000,$R$5:$R$1000,ROW(),$S$5:$S$1000,"Sub"),$U292))</f>
        <v/>
      </c>
      <c r="Z292" s="70">
        <f>IF($S292="","",IF(N($T292)&gt;0,AVERAGEIFS($V$5:$V$1000,$R$5:$R$1000,ROW(),$S$5:$S$1000,"Sub"),$V292))</f>
        <v/>
      </c>
      <c r="AA292" s="70">
        <f>IF($S292="","",IF(N($T292)&gt;0,AVERAGEIFS($W$5:$W$1000,$R$5:$R$1000,ROW(),$S$5:$S$1000,"Sub"),$W292))</f>
        <v/>
      </c>
      <c r="AB292" s="70">
        <f>IF($S292="","",IF(N($T292)&gt;0,AVERAGEIFS($X$5:$X$1000,$R$5:$R$1000,ROW(),$S$5:$S$1000,"Sub"),$X292))</f>
        <v/>
      </c>
    </row>
    <row r="293">
      <c r="A293" s="61">
        <f>IF(NOT((COUNTA($B293:$K293)+COUNTA($N293))&gt;0),"",IF($S293="Macro",COUNTIFS($S$5:$S293,"Macro",$P$5:$P293,$P293),IF(N($R293)=0,"?",COUNTIFS(INDEX($S$5:$S$1000,1):INDEX($S$5:$S$1000,$R293-4),"Macro",INDEX($P$5:$P$1000,1):INDEX($P$5:$P$1000,$R293-4),INDEX($P$5:$P$1000,$R293-4))&amp;"."&amp;COUNTIFS($R$5:$R293,$R293,$S$5:$S293,"Sub"))))</f>
        <v/>
      </c>
      <c r="B293" s="62" t="n"/>
      <c r="C293" s="63" t="n"/>
      <c r="D293" s="62" t="n"/>
      <c r="E293" s="64" t="n"/>
      <c r="F293" s="64" t="n"/>
      <c r="G293" s="65" t="n"/>
      <c r="H293" s="66" t="n"/>
      <c r="I293" s="66" t="n"/>
      <c r="J293" s="66" t="n"/>
      <c r="K293" s="66" t="n"/>
      <c r="L293" s="67">
        <f>IF(NOT((COUNTA($B293:$K293)+COUNTA($N293))&gt;0),"",IF(N($T293)&gt;0,$AB293,IFERROR(LOOKUP(2,1/(H293:K293&lt;&gt;""),H293:K293),0)))</f>
        <v/>
      </c>
      <c r="M293" s="61">
        <f>IF(L293="","",IF(L293&gt;=1,"Completado",IF(L293&gt;0,"En curso","Pendiente")))</f>
        <v/>
      </c>
      <c r="N293" s="62" t="n"/>
      <c r="O293" s="68">
        <f>IF(NOT((COUNTA($B293:$K293)+COUNTA($N293))&gt;0),"",IF((IF(AND($S293="Macro",$B293=""),"Macroactividad vacía"&amp;" · ","")&amp;IF(AND($B293&lt;&gt;"",$C293&lt;&gt;""),"Escriba la subactividad en otra fila, debajo de su macroactividad"&amp;" · ","")&amp;IF(AND($S293="Sub",N($R293)=0),"Subactividad sin macroactividad arriba"&amp;" · ","")&amp;IF($D293="","Sin responsable"&amp;" · ","")&amp;IF($E293="","Sin fecha de inicio"&amp;" · ","")&amp;IF($F293="","Sin fecha límite"&amp;" · ","")&amp;IF(OR(AND($E293&lt;&gt;"",NOT(ISNUMBER($E293))),AND($F293&lt;&gt;"",NOT(ISNUMBER($F293)))),"Fecha no válida"&amp;" · ","")&amp;IF(AND(ISNUMBER($E293),ISNUMBER($F293),$E293&gt;$F293),"Inicio posterior a fecha límite"&amp;" · ","")&amp;IF(AND($S293="Macro",$G293=""),"Peso vacío"&amp;" · ","")&amp;IF(AND($S293="Macro",$G293&lt;&gt;"",OR(NOT(ISNUMBER($G293)),$G293&lt;=0,$G293&gt;1)),"Peso fuera de rango"&amp;" · ","")&amp;IF(AND($S293="Sub",$G293&lt;&gt;""),"Las subactividades no llevan peso"&amp;" · ","")&amp;IF(AND($S293="Macro",ABS(SUMIFS($G$5:$G$1000,$P$5:$P$1000,$P293,$S$5:$S$1000,"Macro")-1)&gt;0.0001),"Pesos del mes suman "&amp;TEXT(SUMIFS($G$5:$G$1000,$P$5:$P$1000,$P293,$S$5:$S$1000,"Macro"),"0%")&amp;" · ","")&amp;IF(AND(N($T293)&gt;0,COUNT($H293:$K293)&gt;0),"Con subactividades: deje vacías las semanas (se calculan solas)"&amp;" · ","")&amp;IF((COUNTIF($H293:$K293,"&gt;1")+COUNTIF($H293:$K293,"&lt;0")+COUNTA($H293:$K293)-COUNT($H293:$K293))&gt;0,"Avance fuera de rango 0-100%"&amp;" · ","")&amp;IF(OR(AND($I293&lt;&gt;"",$I293&lt;$H293),AND($J293&lt;&gt;"",$J293&lt;MAX($H293:$I293)),AND($K293&lt;&gt;"",$K293&lt;MAX($H293:$J293))),"Avance semanal decreciente"&amp;" · ","")&amp;IF(AND(ISNUMBER($F293),$F293&lt;FechaRef,N($L293)&lt;1),"Vencida"&amp;" · ","")&amp;IF(AND(ObsObligatoria="Sí",ISNUMBER($F293),$F293&lt;FechaRef,N($L293)&lt;1,$N293=""),"Vencida sin observación"&amp;" · ",""))="","✔ OK","⚠ "&amp;LEFT(IF(AND($S293="Macro",$B293=""),"Macroactividad vacía"&amp;" · ","")&amp;IF(AND($B293&lt;&gt;"",$C293&lt;&gt;""),"Escriba la subactividad en otra fila, debajo de su macroactividad"&amp;" · ","")&amp;IF(AND($S293="Sub",N($R293)=0),"Subactividad sin macroactividad arriba"&amp;" · ","")&amp;IF($D293="","Sin responsable"&amp;" · ","")&amp;IF($E293="","Sin fecha de inicio"&amp;" · ","")&amp;IF($F293="","Sin fecha límite"&amp;" · ","")&amp;IF(OR(AND($E293&lt;&gt;"",NOT(ISNUMBER($E293))),AND($F293&lt;&gt;"",NOT(ISNUMBER($F293)))),"Fecha no válida"&amp;" · ","")&amp;IF(AND(ISNUMBER($E293),ISNUMBER($F293),$E293&gt;$F293),"Inicio posterior a fecha límite"&amp;" · ","")&amp;IF(AND($S293="Macro",$G293=""),"Peso vacío"&amp;" · ","")&amp;IF(AND($S293="Macro",$G293&lt;&gt;"",OR(NOT(ISNUMBER($G293)),$G293&lt;=0,$G293&gt;1)),"Peso fuera de rango"&amp;" · ","")&amp;IF(AND($S293="Sub",$G293&lt;&gt;""),"Las subactividades no llevan peso"&amp;" · ","")&amp;IF(AND($S293="Macro",ABS(SUMIFS($G$5:$G$1000,$P$5:$P$1000,$P293,$S$5:$S$1000,"Macro")-1)&gt;0.0001),"Pesos del mes suman "&amp;TEXT(SUMIFS($G$5:$G$1000,$P$5:$P$1000,$P293,$S$5:$S$1000,"Macro"),"0%")&amp;" · ","")&amp;IF(AND(N($T293)&gt;0,COUNT($H293:$K293)&gt;0),"Con subactividades: deje vacías las semanas (se calculan solas)"&amp;" · ","")&amp;IF((COUNTIF($H293:$K293,"&gt;1")+COUNTIF($H293:$K293,"&lt;0")+COUNTA($H293:$K293)-COUNT($H293:$K293))&gt;0,"Avance fuera de rango 0-100%"&amp;" · ","")&amp;IF(OR(AND($I293&lt;&gt;"",$I293&lt;$H293),AND($J293&lt;&gt;"",$J293&lt;MAX($H293:$I293)),AND($K293&lt;&gt;"",$K293&lt;MAX($H293:$J293))),"Avance semanal decreciente"&amp;" · ","")&amp;IF(AND(ISNUMBER($F293),$F293&lt;FechaRef,N($L293)&lt;1),"Vencida"&amp;" · ","")&amp;IF(AND(ObsObligatoria="Sí",ISNUMBER($F293),$F293&lt;FechaRef,N($L293)&lt;1,$N293=""),"Vencida sin observación"&amp;" · ",""),LEN(IF(AND($S293="Macro",$B293=""),"Macroactividad vacía"&amp;" · ","")&amp;IF(AND($B293&lt;&gt;"",$C293&lt;&gt;""),"Escriba la subactividad en otra fila, debajo de su macroactividad"&amp;" · ","")&amp;IF(AND($S293="Sub",N($R293)=0),"Subactividad sin macroactividad arriba"&amp;" · ","")&amp;IF($D293="","Sin responsable"&amp;" · ","")&amp;IF($E293="","Sin fecha de inicio"&amp;" · ","")&amp;IF($F293="","Sin fecha límite"&amp;" · ","")&amp;IF(OR(AND($E293&lt;&gt;"",NOT(ISNUMBER($E293))),AND($F293&lt;&gt;"",NOT(ISNUMBER($F293)))),"Fecha no válida"&amp;" · ","")&amp;IF(AND(ISNUMBER($E293),ISNUMBER($F293),$E293&gt;$F293),"Inicio posterior a fecha límite"&amp;" · ","")&amp;IF(AND($S293="Macro",$G293=""),"Peso vacío"&amp;" · ","")&amp;IF(AND($S293="Macro",$G293&lt;&gt;"",OR(NOT(ISNUMBER($G293)),$G293&lt;=0,$G293&gt;1)),"Peso fuera de rango"&amp;" · ","")&amp;IF(AND($S293="Sub",$G293&lt;&gt;""),"Las subactividades no llevan peso"&amp;" · ","")&amp;IF(AND($S293="Macro",ABS(SUMIFS($G$5:$G$1000,$P$5:$P$1000,$P293,$S$5:$S$1000,"Macro")-1)&gt;0.0001),"Pesos del mes suman "&amp;TEXT(SUMIFS($G$5:$G$1000,$P$5:$P$1000,$P293,$S$5:$S$1000,"Macro"),"0%")&amp;" · ","")&amp;IF(AND(N($T293)&gt;0,COUNT($H293:$K293)&gt;0),"Con subactividades: deje vacías las semanas (se calculan solas)"&amp;" · ","")&amp;IF((COUNTIF($H293:$K293,"&gt;1")+COUNTIF($H293:$K293,"&lt;0")+COUNTA($H293:$K293)-COUNT($H293:$K293))&gt;0,"Avance fuera de rango 0-100%"&amp;" · ","")&amp;IF(OR(AND($I293&lt;&gt;"",$I293&lt;$H293),AND($J293&lt;&gt;"",$J293&lt;MAX($H293:$I293)),AND($K293&lt;&gt;"",$K293&lt;MAX($H293:$J293))),"Avance semanal decreciente"&amp;" · ","")&amp;IF(AND(ISNUMBER($F293),$F293&lt;FechaRef,N($L293)&lt;1),"Vencida"&amp;" · ","")&amp;IF(AND(ObsObligatoria="Sí",ISNUMBER($F293),$F293&lt;FechaRef,N($L293)&lt;1,$N293=""),"Vencida sin observación"&amp;" · ",""))-3)))</f>
        <v/>
      </c>
      <c r="P293" s="69">
        <f>IF(NOT((COUNTA($B293:$K293)+COUNTA($N293))&gt;0),"",IF(AND($S293="Sub",N($R293)&gt;0),IF(ISNUMBER(INDEX($E$5:$E$1000,$R293-4)),DATE(YEAR(INDEX($E$5:$E$1000,$R293-4)),MONTH(INDEX($E$5:$E$1000,$R293-4)),1),IF(ISNUMBER(INDEX($F$5:$F$1000,$R293-4)),DATE(YEAR(INDEX($F$5:$F$1000,$R293-4)),MONTH(INDEX($F$5:$F$1000,$R293-4)),1),MesCiclo)),IF(ISNUMBER($E293),DATE(YEAR($E293),MONTH($E293),1),IF(ISNUMBER($F293),DATE(YEAR($F293),MONTH($F293),1),MesCiclo))))</f>
        <v/>
      </c>
      <c r="Q293" s="70">
        <f>IF(OR($P293="",$P293&lt;&gt;MesCiclo),"",COUNTIF($P$5:$P293,MesCiclo))</f>
        <v/>
      </c>
      <c r="R293" s="70">
        <f>IF($S293="","",IF($S293="Macro",ROW(),IFERROR(LOOKUP(2,1/($S$5:$S293="Macro"),ROW($S$5:$S293)),0)))</f>
        <v/>
      </c>
      <c r="S293" s="70">
        <f>IF(NOT((COUNTA($B293:$K293)+COUNTA($N293))&gt;0),"",IF($B293&lt;&gt;"","Macro",IF($C293&lt;&gt;"","Sub","Macro")))</f>
        <v/>
      </c>
      <c r="T293" s="70">
        <f>IF($S293="Macro",COUNTIFS($R$5:$R$1000,ROW(),$S$5:$S$1000,"Sub"),"")</f>
        <v/>
      </c>
      <c r="U293" s="70">
        <f>IF($S293="","",IF(ISNUMBER($H293),$H293,0))</f>
        <v/>
      </c>
      <c r="V293" s="70">
        <f>IF($S293="","",IF(ISNUMBER($I293),$I293,$U293))</f>
        <v/>
      </c>
      <c r="W293" s="70">
        <f>IF($S293="","",IF(ISNUMBER($J293),$J293,$V293))</f>
        <v/>
      </c>
      <c r="X293" s="70">
        <f>IF($S293="","",IF(ISNUMBER($K293),$K293,$W293))</f>
        <v/>
      </c>
      <c r="Y293" s="70">
        <f>IF($S293="","",IF(N($T293)&gt;0,AVERAGEIFS($U$5:$U$1000,$R$5:$R$1000,ROW(),$S$5:$S$1000,"Sub"),$U293))</f>
        <v/>
      </c>
      <c r="Z293" s="70">
        <f>IF($S293="","",IF(N($T293)&gt;0,AVERAGEIFS($V$5:$V$1000,$R$5:$R$1000,ROW(),$S$5:$S$1000,"Sub"),$V293))</f>
        <v/>
      </c>
      <c r="AA293" s="70">
        <f>IF($S293="","",IF(N($T293)&gt;0,AVERAGEIFS($W$5:$W$1000,$R$5:$R$1000,ROW(),$S$5:$S$1000,"Sub"),$W293))</f>
        <v/>
      </c>
      <c r="AB293" s="70">
        <f>IF($S293="","",IF(N($T293)&gt;0,AVERAGEIFS($X$5:$X$1000,$R$5:$R$1000,ROW(),$S$5:$S$1000,"Sub"),$X293))</f>
        <v/>
      </c>
    </row>
    <row r="294">
      <c r="A294" s="61">
        <f>IF(NOT((COUNTA($B294:$K294)+COUNTA($N294))&gt;0),"",IF($S294="Macro",COUNTIFS($S$5:$S294,"Macro",$P$5:$P294,$P294),IF(N($R294)=0,"?",COUNTIFS(INDEX($S$5:$S$1000,1):INDEX($S$5:$S$1000,$R294-4),"Macro",INDEX($P$5:$P$1000,1):INDEX($P$5:$P$1000,$R294-4),INDEX($P$5:$P$1000,$R294-4))&amp;"."&amp;COUNTIFS($R$5:$R294,$R294,$S$5:$S294,"Sub"))))</f>
        <v/>
      </c>
      <c r="B294" s="62" t="n"/>
      <c r="C294" s="63" t="n"/>
      <c r="D294" s="62" t="n"/>
      <c r="E294" s="64" t="n"/>
      <c r="F294" s="64" t="n"/>
      <c r="G294" s="65" t="n"/>
      <c r="H294" s="66" t="n"/>
      <c r="I294" s="66" t="n"/>
      <c r="J294" s="66" t="n"/>
      <c r="K294" s="66" t="n"/>
      <c r="L294" s="67">
        <f>IF(NOT((COUNTA($B294:$K294)+COUNTA($N294))&gt;0),"",IF(N($T294)&gt;0,$AB294,IFERROR(LOOKUP(2,1/(H294:K294&lt;&gt;""),H294:K294),0)))</f>
        <v/>
      </c>
      <c r="M294" s="61">
        <f>IF(L294="","",IF(L294&gt;=1,"Completado",IF(L294&gt;0,"En curso","Pendiente")))</f>
        <v/>
      </c>
      <c r="N294" s="62" t="n"/>
      <c r="O294" s="68">
        <f>IF(NOT((COUNTA($B294:$K294)+COUNTA($N294))&gt;0),"",IF((IF(AND($S294="Macro",$B294=""),"Macroactividad vacía"&amp;" · ","")&amp;IF(AND($B294&lt;&gt;"",$C294&lt;&gt;""),"Escriba la subactividad en otra fila, debajo de su macroactividad"&amp;" · ","")&amp;IF(AND($S294="Sub",N($R294)=0),"Subactividad sin macroactividad arriba"&amp;" · ","")&amp;IF($D294="","Sin responsable"&amp;" · ","")&amp;IF($E294="","Sin fecha de inicio"&amp;" · ","")&amp;IF($F294="","Sin fecha límite"&amp;" · ","")&amp;IF(OR(AND($E294&lt;&gt;"",NOT(ISNUMBER($E294))),AND($F294&lt;&gt;"",NOT(ISNUMBER($F294)))),"Fecha no válida"&amp;" · ","")&amp;IF(AND(ISNUMBER($E294),ISNUMBER($F294),$E294&gt;$F294),"Inicio posterior a fecha límite"&amp;" · ","")&amp;IF(AND($S294="Macro",$G294=""),"Peso vacío"&amp;" · ","")&amp;IF(AND($S294="Macro",$G294&lt;&gt;"",OR(NOT(ISNUMBER($G294)),$G294&lt;=0,$G294&gt;1)),"Peso fuera de rango"&amp;" · ","")&amp;IF(AND($S294="Sub",$G294&lt;&gt;""),"Las subactividades no llevan peso"&amp;" · ","")&amp;IF(AND($S294="Macro",ABS(SUMIFS($G$5:$G$1000,$P$5:$P$1000,$P294,$S$5:$S$1000,"Macro")-1)&gt;0.0001),"Pesos del mes suman "&amp;TEXT(SUMIFS($G$5:$G$1000,$P$5:$P$1000,$P294,$S$5:$S$1000,"Macro"),"0%")&amp;" · ","")&amp;IF(AND(N($T294)&gt;0,COUNT($H294:$K294)&gt;0),"Con subactividades: deje vacías las semanas (se calculan solas)"&amp;" · ","")&amp;IF((COUNTIF($H294:$K294,"&gt;1")+COUNTIF($H294:$K294,"&lt;0")+COUNTA($H294:$K294)-COUNT($H294:$K294))&gt;0,"Avance fuera de rango 0-100%"&amp;" · ","")&amp;IF(OR(AND($I294&lt;&gt;"",$I294&lt;$H294),AND($J294&lt;&gt;"",$J294&lt;MAX($H294:$I294)),AND($K294&lt;&gt;"",$K294&lt;MAX($H294:$J294))),"Avance semanal decreciente"&amp;" · ","")&amp;IF(AND(ISNUMBER($F294),$F294&lt;FechaRef,N($L294)&lt;1),"Vencida"&amp;" · ","")&amp;IF(AND(ObsObligatoria="Sí",ISNUMBER($F294),$F294&lt;FechaRef,N($L294)&lt;1,$N294=""),"Vencida sin observación"&amp;" · ",""))="","✔ OK","⚠ "&amp;LEFT(IF(AND($S294="Macro",$B294=""),"Macroactividad vacía"&amp;" · ","")&amp;IF(AND($B294&lt;&gt;"",$C294&lt;&gt;""),"Escriba la subactividad en otra fila, debajo de su macroactividad"&amp;" · ","")&amp;IF(AND($S294="Sub",N($R294)=0),"Subactividad sin macroactividad arriba"&amp;" · ","")&amp;IF($D294="","Sin responsable"&amp;" · ","")&amp;IF($E294="","Sin fecha de inicio"&amp;" · ","")&amp;IF($F294="","Sin fecha límite"&amp;" · ","")&amp;IF(OR(AND($E294&lt;&gt;"",NOT(ISNUMBER($E294))),AND($F294&lt;&gt;"",NOT(ISNUMBER($F294)))),"Fecha no válida"&amp;" · ","")&amp;IF(AND(ISNUMBER($E294),ISNUMBER($F294),$E294&gt;$F294),"Inicio posterior a fecha límite"&amp;" · ","")&amp;IF(AND($S294="Macro",$G294=""),"Peso vacío"&amp;" · ","")&amp;IF(AND($S294="Macro",$G294&lt;&gt;"",OR(NOT(ISNUMBER($G294)),$G294&lt;=0,$G294&gt;1)),"Peso fuera de rango"&amp;" · ","")&amp;IF(AND($S294="Sub",$G294&lt;&gt;""),"Las subactividades no llevan peso"&amp;" · ","")&amp;IF(AND($S294="Macro",ABS(SUMIFS($G$5:$G$1000,$P$5:$P$1000,$P294,$S$5:$S$1000,"Macro")-1)&gt;0.0001),"Pesos del mes suman "&amp;TEXT(SUMIFS($G$5:$G$1000,$P$5:$P$1000,$P294,$S$5:$S$1000,"Macro"),"0%")&amp;" · ","")&amp;IF(AND(N($T294)&gt;0,COUNT($H294:$K294)&gt;0),"Con subactividades: deje vacías las semanas (se calculan solas)"&amp;" · ","")&amp;IF((COUNTIF($H294:$K294,"&gt;1")+COUNTIF($H294:$K294,"&lt;0")+COUNTA($H294:$K294)-COUNT($H294:$K294))&gt;0,"Avance fuera de rango 0-100%"&amp;" · ","")&amp;IF(OR(AND($I294&lt;&gt;"",$I294&lt;$H294),AND($J294&lt;&gt;"",$J294&lt;MAX($H294:$I294)),AND($K294&lt;&gt;"",$K294&lt;MAX($H294:$J294))),"Avance semanal decreciente"&amp;" · ","")&amp;IF(AND(ISNUMBER($F294),$F294&lt;FechaRef,N($L294)&lt;1),"Vencida"&amp;" · ","")&amp;IF(AND(ObsObligatoria="Sí",ISNUMBER($F294),$F294&lt;FechaRef,N($L294)&lt;1,$N294=""),"Vencida sin observación"&amp;" · ",""),LEN(IF(AND($S294="Macro",$B294=""),"Macroactividad vacía"&amp;" · ","")&amp;IF(AND($B294&lt;&gt;"",$C294&lt;&gt;""),"Escriba la subactividad en otra fila, debajo de su macroactividad"&amp;" · ","")&amp;IF(AND($S294="Sub",N($R294)=0),"Subactividad sin macroactividad arriba"&amp;" · ","")&amp;IF($D294="","Sin responsable"&amp;" · ","")&amp;IF($E294="","Sin fecha de inicio"&amp;" · ","")&amp;IF($F294="","Sin fecha límite"&amp;" · ","")&amp;IF(OR(AND($E294&lt;&gt;"",NOT(ISNUMBER($E294))),AND($F294&lt;&gt;"",NOT(ISNUMBER($F294)))),"Fecha no válida"&amp;" · ","")&amp;IF(AND(ISNUMBER($E294),ISNUMBER($F294),$E294&gt;$F294),"Inicio posterior a fecha límite"&amp;" · ","")&amp;IF(AND($S294="Macro",$G294=""),"Peso vacío"&amp;" · ","")&amp;IF(AND($S294="Macro",$G294&lt;&gt;"",OR(NOT(ISNUMBER($G294)),$G294&lt;=0,$G294&gt;1)),"Peso fuera de rango"&amp;" · ","")&amp;IF(AND($S294="Sub",$G294&lt;&gt;""),"Las subactividades no llevan peso"&amp;" · ","")&amp;IF(AND($S294="Macro",ABS(SUMIFS($G$5:$G$1000,$P$5:$P$1000,$P294,$S$5:$S$1000,"Macro")-1)&gt;0.0001),"Pesos del mes suman "&amp;TEXT(SUMIFS($G$5:$G$1000,$P$5:$P$1000,$P294,$S$5:$S$1000,"Macro"),"0%")&amp;" · ","")&amp;IF(AND(N($T294)&gt;0,COUNT($H294:$K294)&gt;0),"Con subactividades: deje vacías las semanas (se calculan solas)"&amp;" · ","")&amp;IF((COUNTIF($H294:$K294,"&gt;1")+COUNTIF($H294:$K294,"&lt;0")+COUNTA($H294:$K294)-COUNT($H294:$K294))&gt;0,"Avance fuera de rango 0-100%"&amp;" · ","")&amp;IF(OR(AND($I294&lt;&gt;"",$I294&lt;$H294),AND($J294&lt;&gt;"",$J294&lt;MAX($H294:$I294)),AND($K294&lt;&gt;"",$K294&lt;MAX($H294:$J294))),"Avance semanal decreciente"&amp;" · ","")&amp;IF(AND(ISNUMBER($F294),$F294&lt;FechaRef,N($L294)&lt;1),"Vencida"&amp;" · ","")&amp;IF(AND(ObsObligatoria="Sí",ISNUMBER($F294),$F294&lt;FechaRef,N($L294)&lt;1,$N294=""),"Vencida sin observación"&amp;" · ",""))-3)))</f>
        <v/>
      </c>
      <c r="P294" s="69">
        <f>IF(NOT((COUNTA($B294:$K294)+COUNTA($N294))&gt;0),"",IF(AND($S294="Sub",N($R294)&gt;0),IF(ISNUMBER(INDEX($E$5:$E$1000,$R294-4)),DATE(YEAR(INDEX($E$5:$E$1000,$R294-4)),MONTH(INDEX($E$5:$E$1000,$R294-4)),1),IF(ISNUMBER(INDEX($F$5:$F$1000,$R294-4)),DATE(YEAR(INDEX($F$5:$F$1000,$R294-4)),MONTH(INDEX($F$5:$F$1000,$R294-4)),1),MesCiclo)),IF(ISNUMBER($E294),DATE(YEAR($E294),MONTH($E294),1),IF(ISNUMBER($F294),DATE(YEAR($F294),MONTH($F294),1),MesCiclo))))</f>
        <v/>
      </c>
      <c r="Q294" s="70">
        <f>IF(OR($P294="",$P294&lt;&gt;MesCiclo),"",COUNTIF($P$5:$P294,MesCiclo))</f>
        <v/>
      </c>
      <c r="R294" s="70">
        <f>IF($S294="","",IF($S294="Macro",ROW(),IFERROR(LOOKUP(2,1/($S$5:$S294="Macro"),ROW($S$5:$S294)),0)))</f>
        <v/>
      </c>
      <c r="S294" s="70">
        <f>IF(NOT((COUNTA($B294:$K294)+COUNTA($N294))&gt;0),"",IF($B294&lt;&gt;"","Macro",IF($C294&lt;&gt;"","Sub","Macro")))</f>
        <v/>
      </c>
      <c r="T294" s="70">
        <f>IF($S294="Macro",COUNTIFS($R$5:$R$1000,ROW(),$S$5:$S$1000,"Sub"),"")</f>
        <v/>
      </c>
      <c r="U294" s="70">
        <f>IF($S294="","",IF(ISNUMBER($H294),$H294,0))</f>
        <v/>
      </c>
      <c r="V294" s="70">
        <f>IF($S294="","",IF(ISNUMBER($I294),$I294,$U294))</f>
        <v/>
      </c>
      <c r="W294" s="70">
        <f>IF($S294="","",IF(ISNUMBER($J294),$J294,$V294))</f>
        <v/>
      </c>
      <c r="X294" s="70">
        <f>IF($S294="","",IF(ISNUMBER($K294),$K294,$W294))</f>
        <v/>
      </c>
      <c r="Y294" s="70">
        <f>IF($S294="","",IF(N($T294)&gt;0,AVERAGEIFS($U$5:$U$1000,$R$5:$R$1000,ROW(),$S$5:$S$1000,"Sub"),$U294))</f>
        <v/>
      </c>
      <c r="Z294" s="70">
        <f>IF($S294="","",IF(N($T294)&gt;0,AVERAGEIFS($V$5:$V$1000,$R$5:$R$1000,ROW(),$S$5:$S$1000,"Sub"),$V294))</f>
        <v/>
      </c>
      <c r="AA294" s="70">
        <f>IF($S294="","",IF(N($T294)&gt;0,AVERAGEIFS($W$5:$W$1000,$R$5:$R$1000,ROW(),$S$5:$S$1000,"Sub"),$W294))</f>
        <v/>
      </c>
      <c r="AB294" s="70">
        <f>IF($S294="","",IF(N($T294)&gt;0,AVERAGEIFS($X$5:$X$1000,$R$5:$R$1000,ROW(),$S$5:$S$1000,"Sub"),$X294))</f>
        <v/>
      </c>
    </row>
    <row r="295">
      <c r="A295" s="61">
        <f>IF(NOT((COUNTA($B295:$K295)+COUNTA($N295))&gt;0),"",IF($S295="Macro",COUNTIFS($S$5:$S295,"Macro",$P$5:$P295,$P295),IF(N($R295)=0,"?",COUNTIFS(INDEX($S$5:$S$1000,1):INDEX($S$5:$S$1000,$R295-4),"Macro",INDEX($P$5:$P$1000,1):INDEX($P$5:$P$1000,$R295-4),INDEX($P$5:$P$1000,$R295-4))&amp;"."&amp;COUNTIFS($R$5:$R295,$R295,$S$5:$S295,"Sub"))))</f>
        <v/>
      </c>
      <c r="B295" s="62" t="n"/>
      <c r="C295" s="63" t="n"/>
      <c r="D295" s="62" t="n"/>
      <c r="E295" s="64" t="n"/>
      <c r="F295" s="64" t="n"/>
      <c r="G295" s="65" t="n"/>
      <c r="H295" s="66" t="n"/>
      <c r="I295" s="66" t="n"/>
      <c r="J295" s="66" t="n"/>
      <c r="K295" s="66" t="n"/>
      <c r="L295" s="67">
        <f>IF(NOT((COUNTA($B295:$K295)+COUNTA($N295))&gt;0),"",IF(N($T295)&gt;0,$AB295,IFERROR(LOOKUP(2,1/(H295:K295&lt;&gt;""),H295:K295),0)))</f>
        <v/>
      </c>
      <c r="M295" s="61">
        <f>IF(L295="","",IF(L295&gt;=1,"Completado",IF(L295&gt;0,"En curso","Pendiente")))</f>
        <v/>
      </c>
      <c r="N295" s="62" t="n"/>
      <c r="O295" s="68">
        <f>IF(NOT((COUNTA($B295:$K295)+COUNTA($N295))&gt;0),"",IF((IF(AND($S295="Macro",$B295=""),"Macroactividad vacía"&amp;" · ","")&amp;IF(AND($B295&lt;&gt;"",$C295&lt;&gt;""),"Escriba la subactividad en otra fila, debajo de su macroactividad"&amp;" · ","")&amp;IF(AND($S295="Sub",N($R295)=0),"Subactividad sin macroactividad arriba"&amp;" · ","")&amp;IF($D295="","Sin responsable"&amp;" · ","")&amp;IF($E295="","Sin fecha de inicio"&amp;" · ","")&amp;IF($F295="","Sin fecha límite"&amp;" · ","")&amp;IF(OR(AND($E295&lt;&gt;"",NOT(ISNUMBER($E295))),AND($F295&lt;&gt;"",NOT(ISNUMBER($F295)))),"Fecha no válida"&amp;" · ","")&amp;IF(AND(ISNUMBER($E295),ISNUMBER($F295),$E295&gt;$F295),"Inicio posterior a fecha límite"&amp;" · ","")&amp;IF(AND($S295="Macro",$G295=""),"Peso vacío"&amp;" · ","")&amp;IF(AND($S295="Macro",$G295&lt;&gt;"",OR(NOT(ISNUMBER($G295)),$G295&lt;=0,$G295&gt;1)),"Peso fuera de rango"&amp;" · ","")&amp;IF(AND($S295="Sub",$G295&lt;&gt;""),"Las subactividades no llevan peso"&amp;" · ","")&amp;IF(AND($S295="Macro",ABS(SUMIFS($G$5:$G$1000,$P$5:$P$1000,$P295,$S$5:$S$1000,"Macro")-1)&gt;0.0001),"Pesos del mes suman "&amp;TEXT(SUMIFS($G$5:$G$1000,$P$5:$P$1000,$P295,$S$5:$S$1000,"Macro"),"0%")&amp;" · ","")&amp;IF(AND(N($T295)&gt;0,COUNT($H295:$K295)&gt;0),"Con subactividades: deje vacías las semanas (se calculan solas)"&amp;" · ","")&amp;IF((COUNTIF($H295:$K295,"&gt;1")+COUNTIF($H295:$K295,"&lt;0")+COUNTA($H295:$K295)-COUNT($H295:$K295))&gt;0,"Avance fuera de rango 0-100%"&amp;" · ","")&amp;IF(OR(AND($I295&lt;&gt;"",$I295&lt;$H295),AND($J295&lt;&gt;"",$J295&lt;MAX($H295:$I295)),AND($K295&lt;&gt;"",$K295&lt;MAX($H295:$J295))),"Avance semanal decreciente"&amp;" · ","")&amp;IF(AND(ISNUMBER($F295),$F295&lt;FechaRef,N($L295)&lt;1),"Vencida"&amp;" · ","")&amp;IF(AND(ObsObligatoria="Sí",ISNUMBER($F295),$F295&lt;FechaRef,N($L295)&lt;1,$N295=""),"Vencida sin observación"&amp;" · ",""))="","✔ OK","⚠ "&amp;LEFT(IF(AND($S295="Macro",$B295=""),"Macroactividad vacía"&amp;" · ","")&amp;IF(AND($B295&lt;&gt;"",$C295&lt;&gt;""),"Escriba la subactividad en otra fila, debajo de su macroactividad"&amp;" · ","")&amp;IF(AND($S295="Sub",N($R295)=0),"Subactividad sin macroactividad arriba"&amp;" · ","")&amp;IF($D295="","Sin responsable"&amp;" · ","")&amp;IF($E295="","Sin fecha de inicio"&amp;" · ","")&amp;IF($F295="","Sin fecha límite"&amp;" · ","")&amp;IF(OR(AND($E295&lt;&gt;"",NOT(ISNUMBER($E295))),AND($F295&lt;&gt;"",NOT(ISNUMBER($F295)))),"Fecha no válida"&amp;" · ","")&amp;IF(AND(ISNUMBER($E295),ISNUMBER($F295),$E295&gt;$F295),"Inicio posterior a fecha límite"&amp;" · ","")&amp;IF(AND($S295="Macro",$G295=""),"Peso vacío"&amp;" · ","")&amp;IF(AND($S295="Macro",$G295&lt;&gt;"",OR(NOT(ISNUMBER($G295)),$G295&lt;=0,$G295&gt;1)),"Peso fuera de rango"&amp;" · ","")&amp;IF(AND($S295="Sub",$G295&lt;&gt;""),"Las subactividades no llevan peso"&amp;" · ","")&amp;IF(AND($S295="Macro",ABS(SUMIFS($G$5:$G$1000,$P$5:$P$1000,$P295,$S$5:$S$1000,"Macro")-1)&gt;0.0001),"Pesos del mes suman "&amp;TEXT(SUMIFS($G$5:$G$1000,$P$5:$P$1000,$P295,$S$5:$S$1000,"Macro"),"0%")&amp;" · ","")&amp;IF(AND(N($T295)&gt;0,COUNT($H295:$K295)&gt;0),"Con subactividades: deje vacías las semanas (se calculan solas)"&amp;" · ","")&amp;IF((COUNTIF($H295:$K295,"&gt;1")+COUNTIF($H295:$K295,"&lt;0")+COUNTA($H295:$K295)-COUNT($H295:$K295))&gt;0,"Avance fuera de rango 0-100%"&amp;" · ","")&amp;IF(OR(AND($I295&lt;&gt;"",$I295&lt;$H295),AND($J295&lt;&gt;"",$J295&lt;MAX($H295:$I295)),AND($K295&lt;&gt;"",$K295&lt;MAX($H295:$J295))),"Avance semanal decreciente"&amp;" · ","")&amp;IF(AND(ISNUMBER($F295),$F295&lt;FechaRef,N($L295)&lt;1),"Vencida"&amp;" · ","")&amp;IF(AND(ObsObligatoria="Sí",ISNUMBER($F295),$F295&lt;FechaRef,N($L295)&lt;1,$N295=""),"Vencida sin observación"&amp;" · ",""),LEN(IF(AND($S295="Macro",$B295=""),"Macroactividad vacía"&amp;" · ","")&amp;IF(AND($B295&lt;&gt;"",$C295&lt;&gt;""),"Escriba la subactividad en otra fila, debajo de su macroactividad"&amp;" · ","")&amp;IF(AND($S295="Sub",N($R295)=0),"Subactividad sin macroactividad arriba"&amp;" · ","")&amp;IF($D295="","Sin responsable"&amp;" · ","")&amp;IF($E295="","Sin fecha de inicio"&amp;" · ","")&amp;IF($F295="","Sin fecha límite"&amp;" · ","")&amp;IF(OR(AND($E295&lt;&gt;"",NOT(ISNUMBER($E295))),AND($F295&lt;&gt;"",NOT(ISNUMBER($F295)))),"Fecha no válida"&amp;" · ","")&amp;IF(AND(ISNUMBER($E295),ISNUMBER($F295),$E295&gt;$F295),"Inicio posterior a fecha límite"&amp;" · ","")&amp;IF(AND($S295="Macro",$G295=""),"Peso vacío"&amp;" · ","")&amp;IF(AND($S295="Macro",$G295&lt;&gt;"",OR(NOT(ISNUMBER($G295)),$G295&lt;=0,$G295&gt;1)),"Peso fuera de rango"&amp;" · ","")&amp;IF(AND($S295="Sub",$G295&lt;&gt;""),"Las subactividades no llevan peso"&amp;" · ","")&amp;IF(AND($S295="Macro",ABS(SUMIFS($G$5:$G$1000,$P$5:$P$1000,$P295,$S$5:$S$1000,"Macro")-1)&gt;0.0001),"Pesos del mes suman "&amp;TEXT(SUMIFS($G$5:$G$1000,$P$5:$P$1000,$P295,$S$5:$S$1000,"Macro"),"0%")&amp;" · ","")&amp;IF(AND(N($T295)&gt;0,COUNT($H295:$K295)&gt;0),"Con subactividades: deje vacías las semanas (se calculan solas)"&amp;" · ","")&amp;IF((COUNTIF($H295:$K295,"&gt;1")+COUNTIF($H295:$K295,"&lt;0")+COUNTA($H295:$K295)-COUNT($H295:$K295))&gt;0,"Avance fuera de rango 0-100%"&amp;" · ","")&amp;IF(OR(AND($I295&lt;&gt;"",$I295&lt;$H295),AND($J295&lt;&gt;"",$J295&lt;MAX($H295:$I295)),AND($K295&lt;&gt;"",$K295&lt;MAX($H295:$J295))),"Avance semanal decreciente"&amp;" · ","")&amp;IF(AND(ISNUMBER($F295),$F295&lt;FechaRef,N($L295)&lt;1),"Vencida"&amp;" · ","")&amp;IF(AND(ObsObligatoria="Sí",ISNUMBER($F295),$F295&lt;FechaRef,N($L295)&lt;1,$N295=""),"Vencida sin observación"&amp;" · ",""))-3)))</f>
        <v/>
      </c>
      <c r="P295" s="69">
        <f>IF(NOT((COUNTA($B295:$K295)+COUNTA($N295))&gt;0),"",IF(AND($S295="Sub",N($R295)&gt;0),IF(ISNUMBER(INDEX($E$5:$E$1000,$R295-4)),DATE(YEAR(INDEX($E$5:$E$1000,$R295-4)),MONTH(INDEX($E$5:$E$1000,$R295-4)),1),IF(ISNUMBER(INDEX($F$5:$F$1000,$R295-4)),DATE(YEAR(INDEX($F$5:$F$1000,$R295-4)),MONTH(INDEX($F$5:$F$1000,$R295-4)),1),MesCiclo)),IF(ISNUMBER($E295),DATE(YEAR($E295),MONTH($E295),1),IF(ISNUMBER($F295),DATE(YEAR($F295),MONTH($F295),1),MesCiclo))))</f>
        <v/>
      </c>
      <c r="Q295" s="70">
        <f>IF(OR($P295="",$P295&lt;&gt;MesCiclo),"",COUNTIF($P$5:$P295,MesCiclo))</f>
        <v/>
      </c>
      <c r="R295" s="70">
        <f>IF($S295="","",IF($S295="Macro",ROW(),IFERROR(LOOKUP(2,1/($S$5:$S295="Macro"),ROW($S$5:$S295)),0)))</f>
        <v/>
      </c>
      <c r="S295" s="70">
        <f>IF(NOT((COUNTA($B295:$K295)+COUNTA($N295))&gt;0),"",IF($B295&lt;&gt;"","Macro",IF($C295&lt;&gt;"","Sub","Macro")))</f>
        <v/>
      </c>
      <c r="T295" s="70">
        <f>IF($S295="Macro",COUNTIFS($R$5:$R$1000,ROW(),$S$5:$S$1000,"Sub"),"")</f>
        <v/>
      </c>
      <c r="U295" s="70">
        <f>IF($S295="","",IF(ISNUMBER($H295),$H295,0))</f>
        <v/>
      </c>
      <c r="V295" s="70">
        <f>IF($S295="","",IF(ISNUMBER($I295),$I295,$U295))</f>
        <v/>
      </c>
      <c r="W295" s="70">
        <f>IF($S295="","",IF(ISNUMBER($J295),$J295,$V295))</f>
        <v/>
      </c>
      <c r="X295" s="70">
        <f>IF($S295="","",IF(ISNUMBER($K295),$K295,$W295))</f>
        <v/>
      </c>
      <c r="Y295" s="70">
        <f>IF($S295="","",IF(N($T295)&gt;0,AVERAGEIFS($U$5:$U$1000,$R$5:$R$1000,ROW(),$S$5:$S$1000,"Sub"),$U295))</f>
        <v/>
      </c>
      <c r="Z295" s="70">
        <f>IF($S295="","",IF(N($T295)&gt;0,AVERAGEIFS($V$5:$V$1000,$R$5:$R$1000,ROW(),$S$5:$S$1000,"Sub"),$V295))</f>
        <v/>
      </c>
      <c r="AA295" s="70">
        <f>IF($S295="","",IF(N($T295)&gt;0,AVERAGEIFS($W$5:$W$1000,$R$5:$R$1000,ROW(),$S$5:$S$1000,"Sub"),$W295))</f>
        <v/>
      </c>
      <c r="AB295" s="70">
        <f>IF($S295="","",IF(N($T295)&gt;0,AVERAGEIFS($X$5:$X$1000,$R$5:$R$1000,ROW(),$S$5:$S$1000,"Sub"),$X295))</f>
        <v/>
      </c>
    </row>
    <row r="296">
      <c r="A296" s="61">
        <f>IF(NOT((COUNTA($B296:$K296)+COUNTA($N296))&gt;0),"",IF($S296="Macro",COUNTIFS($S$5:$S296,"Macro",$P$5:$P296,$P296),IF(N($R296)=0,"?",COUNTIFS(INDEX($S$5:$S$1000,1):INDEX($S$5:$S$1000,$R296-4),"Macro",INDEX($P$5:$P$1000,1):INDEX($P$5:$P$1000,$R296-4),INDEX($P$5:$P$1000,$R296-4))&amp;"."&amp;COUNTIFS($R$5:$R296,$R296,$S$5:$S296,"Sub"))))</f>
        <v/>
      </c>
      <c r="B296" s="62" t="n"/>
      <c r="C296" s="63" t="n"/>
      <c r="D296" s="62" t="n"/>
      <c r="E296" s="64" t="n"/>
      <c r="F296" s="64" t="n"/>
      <c r="G296" s="65" t="n"/>
      <c r="H296" s="66" t="n"/>
      <c r="I296" s="66" t="n"/>
      <c r="J296" s="66" t="n"/>
      <c r="K296" s="66" t="n"/>
      <c r="L296" s="67">
        <f>IF(NOT((COUNTA($B296:$K296)+COUNTA($N296))&gt;0),"",IF(N($T296)&gt;0,$AB296,IFERROR(LOOKUP(2,1/(H296:K296&lt;&gt;""),H296:K296),0)))</f>
        <v/>
      </c>
      <c r="M296" s="61">
        <f>IF(L296="","",IF(L296&gt;=1,"Completado",IF(L296&gt;0,"En curso","Pendiente")))</f>
        <v/>
      </c>
      <c r="N296" s="62" t="n"/>
      <c r="O296" s="68">
        <f>IF(NOT((COUNTA($B296:$K296)+COUNTA($N296))&gt;0),"",IF((IF(AND($S296="Macro",$B296=""),"Macroactividad vacía"&amp;" · ","")&amp;IF(AND($B296&lt;&gt;"",$C296&lt;&gt;""),"Escriba la subactividad en otra fila, debajo de su macroactividad"&amp;" · ","")&amp;IF(AND($S296="Sub",N($R296)=0),"Subactividad sin macroactividad arriba"&amp;" · ","")&amp;IF($D296="","Sin responsable"&amp;" · ","")&amp;IF($E296="","Sin fecha de inicio"&amp;" · ","")&amp;IF($F296="","Sin fecha límite"&amp;" · ","")&amp;IF(OR(AND($E296&lt;&gt;"",NOT(ISNUMBER($E296))),AND($F296&lt;&gt;"",NOT(ISNUMBER($F296)))),"Fecha no válida"&amp;" · ","")&amp;IF(AND(ISNUMBER($E296),ISNUMBER($F296),$E296&gt;$F296),"Inicio posterior a fecha límite"&amp;" · ","")&amp;IF(AND($S296="Macro",$G296=""),"Peso vacío"&amp;" · ","")&amp;IF(AND($S296="Macro",$G296&lt;&gt;"",OR(NOT(ISNUMBER($G296)),$G296&lt;=0,$G296&gt;1)),"Peso fuera de rango"&amp;" · ","")&amp;IF(AND($S296="Sub",$G296&lt;&gt;""),"Las subactividades no llevan peso"&amp;" · ","")&amp;IF(AND($S296="Macro",ABS(SUMIFS($G$5:$G$1000,$P$5:$P$1000,$P296,$S$5:$S$1000,"Macro")-1)&gt;0.0001),"Pesos del mes suman "&amp;TEXT(SUMIFS($G$5:$G$1000,$P$5:$P$1000,$P296,$S$5:$S$1000,"Macro"),"0%")&amp;" · ","")&amp;IF(AND(N($T296)&gt;0,COUNT($H296:$K296)&gt;0),"Con subactividades: deje vacías las semanas (se calculan solas)"&amp;" · ","")&amp;IF((COUNTIF($H296:$K296,"&gt;1")+COUNTIF($H296:$K296,"&lt;0")+COUNTA($H296:$K296)-COUNT($H296:$K296))&gt;0,"Avance fuera de rango 0-100%"&amp;" · ","")&amp;IF(OR(AND($I296&lt;&gt;"",$I296&lt;$H296),AND($J296&lt;&gt;"",$J296&lt;MAX($H296:$I296)),AND($K296&lt;&gt;"",$K296&lt;MAX($H296:$J296))),"Avance semanal decreciente"&amp;" · ","")&amp;IF(AND(ISNUMBER($F296),$F296&lt;FechaRef,N($L296)&lt;1),"Vencida"&amp;" · ","")&amp;IF(AND(ObsObligatoria="Sí",ISNUMBER($F296),$F296&lt;FechaRef,N($L296)&lt;1,$N296=""),"Vencida sin observación"&amp;" · ",""))="","✔ OK","⚠ "&amp;LEFT(IF(AND($S296="Macro",$B296=""),"Macroactividad vacía"&amp;" · ","")&amp;IF(AND($B296&lt;&gt;"",$C296&lt;&gt;""),"Escriba la subactividad en otra fila, debajo de su macroactividad"&amp;" · ","")&amp;IF(AND($S296="Sub",N($R296)=0),"Subactividad sin macroactividad arriba"&amp;" · ","")&amp;IF($D296="","Sin responsable"&amp;" · ","")&amp;IF($E296="","Sin fecha de inicio"&amp;" · ","")&amp;IF($F296="","Sin fecha límite"&amp;" · ","")&amp;IF(OR(AND($E296&lt;&gt;"",NOT(ISNUMBER($E296))),AND($F296&lt;&gt;"",NOT(ISNUMBER($F296)))),"Fecha no válida"&amp;" · ","")&amp;IF(AND(ISNUMBER($E296),ISNUMBER($F296),$E296&gt;$F296),"Inicio posterior a fecha límite"&amp;" · ","")&amp;IF(AND($S296="Macro",$G296=""),"Peso vacío"&amp;" · ","")&amp;IF(AND($S296="Macro",$G296&lt;&gt;"",OR(NOT(ISNUMBER($G296)),$G296&lt;=0,$G296&gt;1)),"Peso fuera de rango"&amp;" · ","")&amp;IF(AND($S296="Sub",$G296&lt;&gt;""),"Las subactividades no llevan peso"&amp;" · ","")&amp;IF(AND($S296="Macro",ABS(SUMIFS($G$5:$G$1000,$P$5:$P$1000,$P296,$S$5:$S$1000,"Macro")-1)&gt;0.0001),"Pesos del mes suman "&amp;TEXT(SUMIFS($G$5:$G$1000,$P$5:$P$1000,$P296,$S$5:$S$1000,"Macro"),"0%")&amp;" · ","")&amp;IF(AND(N($T296)&gt;0,COUNT($H296:$K296)&gt;0),"Con subactividades: deje vacías las semanas (se calculan solas)"&amp;" · ","")&amp;IF((COUNTIF($H296:$K296,"&gt;1")+COUNTIF($H296:$K296,"&lt;0")+COUNTA($H296:$K296)-COUNT($H296:$K296))&gt;0,"Avance fuera de rango 0-100%"&amp;" · ","")&amp;IF(OR(AND($I296&lt;&gt;"",$I296&lt;$H296),AND($J296&lt;&gt;"",$J296&lt;MAX($H296:$I296)),AND($K296&lt;&gt;"",$K296&lt;MAX($H296:$J296))),"Avance semanal decreciente"&amp;" · ","")&amp;IF(AND(ISNUMBER($F296),$F296&lt;FechaRef,N($L296)&lt;1),"Vencida"&amp;" · ","")&amp;IF(AND(ObsObligatoria="Sí",ISNUMBER($F296),$F296&lt;FechaRef,N($L296)&lt;1,$N296=""),"Vencida sin observación"&amp;" · ",""),LEN(IF(AND($S296="Macro",$B296=""),"Macroactividad vacía"&amp;" · ","")&amp;IF(AND($B296&lt;&gt;"",$C296&lt;&gt;""),"Escriba la subactividad en otra fila, debajo de su macroactividad"&amp;" · ","")&amp;IF(AND($S296="Sub",N($R296)=0),"Subactividad sin macroactividad arriba"&amp;" · ","")&amp;IF($D296="","Sin responsable"&amp;" · ","")&amp;IF($E296="","Sin fecha de inicio"&amp;" · ","")&amp;IF($F296="","Sin fecha límite"&amp;" · ","")&amp;IF(OR(AND($E296&lt;&gt;"",NOT(ISNUMBER($E296))),AND($F296&lt;&gt;"",NOT(ISNUMBER($F296)))),"Fecha no válida"&amp;" · ","")&amp;IF(AND(ISNUMBER($E296),ISNUMBER($F296),$E296&gt;$F296),"Inicio posterior a fecha límite"&amp;" · ","")&amp;IF(AND($S296="Macro",$G296=""),"Peso vacío"&amp;" · ","")&amp;IF(AND($S296="Macro",$G296&lt;&gt;"",OR(NOT(ISNUMBER($G296)),$G296&lt;=0,$G296&gt;1)),"Peso fuera de rango"&amp;" · ","")&amp;IF(AND($S296="Sub",$G296&lt;&gt;""),"Las subactividades no llevan peso"&amp;" · ","")&amp;IF(AND($S296="Macro",ABS(SUMIFS($G$5:$G$1000,$P$5:$P$1000,$P296,$S$5:$S$1000,"Macro")-1)&gt;0.0001),"Pesos del mes suman "&amp;TEXT(SUMIFS($G$5:$G$1000,$P$5:$P$1000,$P296,$S$5:$S$1000,"Macro"),"0%")&amp;" · ","")&amp;IF(AND(N($T296)&gt;0,COUNT($H296:$K296)&gt;0),"Con subactividades: deje vacías las semanas (se calculan solas)"&amp;" · ","")&amp;IF((COUNTIF($H296:$K296,"&gt;1")+COUNTIF($H296:$K296,"&lt;0")+COUNTA($H296:$K296)-COUNT($H296:$K296))&gt;0,"Avance fuera de rango 0-100%"&amp;" · ","")&amp;IF(OR(AND($I296&lt;&gt;"",$I296&lt;$H296),AND($J296&lt;&gt;"",$J296&lt;MAX($H296:$I296)),AND($K296&lt;&gt;"",$K296&lt;MAX($H296:$J296))),"Avance semanal decreciente"&amp;" · ","")&amp;IF(AND(ISNUMBER($F296),$F296&lt;FechaRef,N($L296)&lt;1),"Vencida"&amp;" · ","")&amp;IF(AND(ObsObligatoria="Sí",ISNUMBER($F296),$F296&lt;FechaRef,N($L296)&lt;1,$N296=""),"Vencida sin observación"&amp;" · ",""))-3)))</f>
        <v/>
      </c>
      <c r="P296" s="69">
        <f>IF(NOT((COUNTA($B296:$K296)+COUNTA($N296))&gt;0),"",IF(AND($S296="Sub",N($R296)&gt;0),IF(ISNUMBER(INDEX($E$5:$E$1000,$R296-4)),DATE(YEAR(INDEX($E$5:$E$1000,$R296-4)),MONTH(INDEX($E$5:$E$1000,$R296-4)),1),IF(ISNUMBER(INDEX($F$5:$F$1000,$R296-4)),DATE(YEAR(INDEX($F$5:$F$1000,$R296-4)),MONTH(INDEX($F$5:$F$1000,$R296-4)),1),MesCiclo)),IF(ISNUMBER($E296),DATE(YEAR($E296),MONTH($E296),1),IF(ISNUMBER($F296),DATE(YEAR($F296),MONTH($F296),1),MesCiclo))))</f>
        <v/>
      </c>
      <c r="Q296" s="70">
        <f>IF(OR($P296="",$P296&lt;&gt;MesCiclo),"",COUNTIF($P$5:$P296,MesCiclo))</f>
        <v/>
      </c>
      <c r="R296" s="70">
        <f>IF($S296="","",IF($S296="Macro",ROW(),IFERROR(LOOKUP(2,1/($S$5:$S296="Macro"),ROW($S$5:$S296)),0)))</f>
        <v/>
      </c>
      <c r="S296" s="70">
        <f>IF(NOT((COUNTA($B296:$K296)+COUNTA($N296))&gt;0),"",IF($B296&lt;&gt;"","Macro",IF($C296&lt;&gt;"","Sub","Macro")))</f>
        <v/>
      </c>
      <c r="T296" s="70">
        <f>IF($S296="Macro",COUNTIFS($R$5:$R$1000,ROW(),$S$5:$S$1000,"Sub"),"")</f>
        <v/>
      </c>
      <c r="U296" s="70">
        <f>IF($S296="","",IF(ISNUMBER($H296),$H296,0))</f>
        <v/>
      </c>
      <c r="V296" s="70">
        <f>IF($S296="","",IF(ISNUMBER($I296),$I296,$U296))</f>
        <v/>
      </c>
      <c r="W296" s="70">
        <f>IF($S296="","",IF(ISNUMBER($J296),$J296,$V296))</f>
        <v/>
      </c>
      <c r="X296" s="70">
        <f>IF($S296="","",IF(ISNUMBER($K296),$K296,$W296))</f>
        <v/>
      </c>
      <c r="Y296" s="70">
        <f>IF($S296="","",IF(N($T296)&gt;0,AVERAGEIFS($U$5:$U$1000,$R$5:$R$1000,ROW(),$S$5:$S$1000,"Sub"),$U296))</f>
        <v/>
      </c>
      <c r="Z296" s="70">
        <f>IF($S296="","",IF(N($T296)&gt;0,AVERAGEIFS($V$5:$V$1000,$R$5:$R$1000,ROW(),$S$5:$S$1000,"Sub"),$V296))</f>
        <v/>
      </c>
      <c r="AA296" s="70">
        <f>IF($S296="","",IF(N($T296)&gt;0,AVERAGEIFS($W$5:$W$1000,$R$5:$R$1000,ROW(),$S$5:$S$1000,"Sub"),$W296))</f>
        <v/>
      </c>
      <c r="AB296" s="70">
        <f>IF($S296="","",IF(N($T296)&gt;0,AVERAGEIFS($X$5:$X$1000,$R$5:$R$1000,ROW(),$S$5:$S$1000,"Sub"),$X296))</f>
        <v/>
      </c>
    </row>
    <row r="297">
      <c r="A297" s="61">
        <f>IF(NOT((COUNTA($B297:$K297)+COUNTA($N297))&gt;0),"",IF($S297="Macro",COUNTIFS($S$5:$S297,"Macro",$P$5:$P297,$P297),IF(N($R297)=0,"?",COUNTIFS(INDEX($S$5:$S$1000,1):INDEX($S$5:$S$1000,$R297-4),"Macro",INDEX($P$5:$P$1000,1):INDEX($P$5:$P$1000,$R297-4),INDEX($P$5:$P$1000,$R297-4))&amp;"."&amp;COUNTIFS($R$5:$R297,$R297,$S$5:$S297,"Sub"))))</f>
        <v/>
      </c>
      <c r="B297" s="62" t="n"/>
      <c r="C297" s="63" t="n"/>
      <c r="D297" s="62" t="n"/>
      <c r="E297" s="64" t="n"/>
      <c r="F297" s="64" t="n"/>
      <c r="G297" s="65" t="n"/>
      <c r="H297" s="66" t="n"/>
      <c r="I297" s="66" t="n"/>
      <c r="J297" s="66" t="n"/>
      <c r="K297" s="66" t="n"/>
      <c r="L297" s="67">
        <f>IF(NOT((COUNTA($B297:$K297)+COUNTA($N297))&gt;0),"",IF(N($T297)&gt;0,$AB297,IFERROR(LOOKUP(2,1/(H297:K297&lt;&gt;""),H297:K297),0)))</f>
        <v/>
      </c>
      <c r="M297" s="61">
        <f>IF(L297="","",IF(L297&gt;=1,"Completado",IF(L297&gt;0,"En curso","Pendiente")))</f>
        <v/>
      </c>
      <c r="N297" s="62" t="n"/>
      <c r="O297" s="68">
        <f>IF(NOT((COUNTA($B297:$K297)+COUNTA($N297))&gt;0),"",IF((IF(AND($S297="Macro",$B297=""),"Macroactividad vacía"&amp;" · ","")&amp;IF(AND($B297&lt;&gt;"",$C297&lt;&gt;""),"Escriba la subactividad en otra fila, debajo de su macroactividad"&amp;" · ","")&amp;IF(AND($S297="Sub",N($R297)=0),"Subactividad sin macroactividad arriba"&amp;" · ","")&amp;IF($D297="","Sin responsable"&amp;" · ","")&amp;IF($E297="","Sin fecha de inicio"&amp;" · ","")&amp;IF($F297="","Sin fecha límite"&amp;" · ","")&amp;IF(OR(AND($E297&lt;&gt;"",NOT(ISNUMBER($E297))),AND($F297&lt;&gt;"",NOT(ISNUMBER($F297)))),"Fecha no válida"&amp;" · ","")&amp;IF(AND(ISNUMBER($E297),ISNUMBER($F297),$E297&gt;$F297),"Inicio posterior a fecha límite"&amp;" · ","")&amp;IF(AND($S297="Macro",$G297=""),"Peso vacío"&amp;" · ","")&amp;IF(AND($S297="Macro",$G297&lt;&gt;"",OR(NOT(ISNUMBER($G297)),$G297&lt;=0,$G297&gt;1)),"Peso fuera de rango"&amp;" · ","")&amp;IF(AND($S297="Sub",$G297&lt;&gt;""),"Las subactividades no llevan peso"&amp;" · ","")&amp;IF(AND($S297="Macro",ABS(SUMIFS($G$5:$G$1000,$P$5:$P$1000,$P297,$S$5:$S$1000,"Macro")-1)&gt;0.0001),"Pesos del mes suman "&amp;TEXT(SUMIFS($G$5:$G$1000,$P$5:$P$1000,$P297,$S$5:$S$1000,"Macro"),"0%")&amp;" · ","")&amp;IF(AND(N($T297)&gt;0,COUNT($H297:$K297)&gt;0),"Con subactividades: deje vacías las semanas (se calculan solas)"&amp;" · ","")&amp;IF((COUNTIF($H297:$K297,"&gt;1")+COUNTIF($H297:$K297,"&lt;0")+COUNTA($H297:$K297)-COUNT($H297:$K297))&gt;0,"Avance fuera de rango 0-100%"&amp;" · ","")&amp;IF(OR(AND($I297&lt;&gt;"",$I297&lt;$H297),AND($J297&lt;&gt;"",$J297&lt;MAX($H297:$I297)),AND($K297&lt;&gt;"",$K297&lt;MAX($H297:$J297))),"Avance semanal decreciente"&amp;" · ","")&amp;IF(AND(ISNUMBER($F297),$F297&lt;FechaRef,N($L297)&lt;1),"Vencida"&amp;" · ","")&amp;IF(AND(ObsObligatoria="Sí",ISNUMBER($F297),$F297&lt;FechaRef,N($L297)&lt;1,$N297=""),"Vencida sin observación"&amp;" · ",""))="","✔ OK","⚠ "&amp;LEFT(IF(AND($S297="Macro",$B297=""),"Macroactividad vacía"&amp;" · ","")&amp;IF(AND($B297&lt;&gt;"",$C297&lt;&gt;""),"Escriba la subactividad en otra fila, debajo de su macroactividad"&amp;" · ","")&amp;IF(AND($S297="Sub",N($R297)=0),"Subactividad sin macroactividad arriba"&amp;" · ","")&amp;IF($D297="","Sin responsable"&amp;" · ","")&amp;IF($E297="","Sin fecha de inicio"&amp;" · ","")&amp;IF($F297="","Sin fecha límite"&amp;" · ","")&amp;IF(OR(AND($E297&lt;&gt;"",NOT(ISNUMBER($E297))),AND($F297&lt;&gt;"",NOT(ISNUMBER($F297)))),"Fecha no válida"&amp;" · ","")&amp;IF(AND(ISNUMBER($E297),ISNUMBER($F297),$E297&gt;$F297),"Inicio posterior a fecha límite"&amp;" · ","")&amp;IF(AND($S297="Macro",$G297=""),"Peso vacío"&amp;" · ","")&amp;IF(AND($S297="Macro",$G297&lt;&gt;"",OR(NOT(ISNUMBER($G297)),$G297&lt;=0,$G297&gt;1)),"Peso fuera de rango"&amp;" · ","")&amp;IF(AND($S297="Sub",$G297&lt;&gt;""),"Las subactividades no llevan peso"&amp;" · ","")&amp;IF(AND($S297="Macro",ABS(SUMIFS($G$5:$G$1000,$P$5:$P$1000,$P297,$S$5:$S$1000,"Macro")-1)&gt;0.0001),"Pesos del mes suman "&amp;TEXT(SUMIFS($G$5:$G$1000,$P$5:$P$1000,$P297,$S$5:$S$1000,"Macro"),"0%")&amp;" · ","")&amp;IF(AND(N($T297)&gt;0,COUNT($H297:$K297)&gt;0),"Con subactividades: deje vacías las semanas (se calculan solas)"&amp;" · ","")&amp;IF((COUNTIF($H297:$K297,"&gt;1")+COUNTIF($H297:$K297,"&lt;0")+COUNTA($H297:$K297)-COUNT($H297:$K297))&gt;0,"Avance fuera de rango 0-100%"&amp;" · ","")&amp;IF(OR(AND($I297&lt;&gt;"",$I297&lt;$H297),AND($J297&lt;&gt;"",$J297&lt;MAX($H297:$I297)),AND($K297&lt;&gt;"",$K297&lt;MAX($H297:$J297))),"Avance semanal decreciente"&amp;" · ","")&amp;IF(AND(ISNUMBER($F297),$F297&lt;FechaRef,N($L297)&lt;1),"Vencida"&amp;" · ","")&amp;IF(AND(ObsObligatoria="Sí",ISNUMBER($F297),$F297&lt;FechaRef,N($L297)&lt;1,$N297=""),"Vencida sin observación"&amp;" · ",""),LEN(IF(AND($S297="Macro",$B297=""),"Macroactividad vacía"&amp;" · ","")&amp;IF(AND($B297&lt;&gt;"",$C297&lt;&gt;""),"Escriba la subactividad en otra fila, debajo de su macroactividad"&amp;" · ","")&amp;IF(AND($S297="Sub",N($R297)=0),"Subactividad sin macroactividad arriba"&amp;" · ","")&amp;IF($D297="","Sin responsable"&amp;" · ","")&amp;IF($E297="","Sin fecha de inicio"&amp;" · ","")&amp;IF($F297="","Sin fecha límite"&amp;" · ","")&amp;IF(OR(AND($E297&lt;&gt;"",NOT(ISNUMBER($E297))),AND($F297&lt;&gt;"",NOT(ISNUMBER($F297)))),"Fecha no válida"&amp;" · ","")&amp;IF(AND(ISNUMBER($E297),ISNUMBER($F297),$E297&gt;$F297),"Inicio posterior a fecha límite"&amp;" · ","")&amp;IF(AND($S297="Macro",$G297=""),"Peso vacío"&amp;" · ","")&amp;IF(AND($S297="Macro",$G297&lt;&gt;"",OR(NOT(ISNUMBER($G297)),$G297&lt;=0,$G297&gt;1)),"Peso fuera de rango"&amp;" · ","")&amp;IF(AND($S297="Sub",$G297&lt;&gt;""),"Las subactividades no llevan peso"&amp;" · ","")&amp;IF(AND($S297="Macro",ABS(SUMIFS($G$5:$G$1000,$P$5:$P$1000,$P297,$S$5:$S$1000,"Macro")-1)&gt;0.0001),"Pesos del mes suman "&amp;TEXT(SUMIFS($G$5:$G$1000,$P$5:$P$1000,$P297,$S$5:$S$1000,"Macro"),"0%")&amp;" · ","")&amp;IF(AND(N($T297)&gt;0,COUNT($H297:$K297)&gt;0),"Con subactividades: deje vacías las semanas (se calculan solas)"&amp;" · ","")&amp;IF((COUNTIF($H297:$K297,"&gt;1")+COUNTIF($H297:$K297,"&lt;0")+COUNTA($H297:$K297)-COUNT($H297:$K297))&gt;0,"Avance fuera de rango 0-100%"&amp;" · ","")&amp;IF(OR(AND($I297&lt;&gt;"",$I297&lt;$H297),AND($J297&lt;&gt;"",$J297&lt;MAX($H297:$I297)),AND($K297&lt;&gt;"",$K297&lt;MAX($H297:$J297))),"Avance semanal decreciente"&amp;" · ","")&amp;IF(AND(ISNUMBER($F297),$F297&lt;FechaRef,N($L297)&lt;1),"Vencida"&amp;" · ","")&amp;IF(AND(ObsObligatoria="Sí",ISNUMBER($F297),$F297&lt;FechaRef,N($L297)&lt;1,$N297=""),"Vencida sin observación"&amp;" · ",""))-3)))</f>
        <v/>
      </c>
      <c r="P297" s="69">
        <f>IF(NOT((COUNTA($B297:$K297)+COUNTA($N297))&gt;0),"",IF(AND($S297="Sub",N($R297)&gt;0),IF(ISNUMBER(INDEX($E$5:$E$1000,$R297-4)),DATE(YEAR(INDEX($E$5:$E$1000,$R297-4)),MONTH(INDEX($E$5:$E$1000,$R297-4)),1),IF(ISNUMBER(INDEX($F$5:$F$1000,$R297-4)),DATE(YEAR(INDEX($F$5:$F$1000,$R297-4)),MONTH(INDEX($F$5:$F$1000,$R297-4)),1),MesCiclo)),IF(ISNUMBER($E297),DATE(YEAR($E297),MONTH($E297),1),IF(ISNUMBER($F297),DATE(YEAR($F297),MONTH($F297),1),MesCiclo))))</f>
        <v/>
      </c>
      <c r="Q297" s="70">
        <f>IF(OR($P297="",$P297&lt;&gt;MesCiclo),"",COUNTIF($P$5:$P297,MesCiclo))</f>
        <v/>
      </c>
      <c r="R297" s="70">
        <f>IF($S297="","",IF($S297="Macro",ROW(),IFERROR(LOOKUP(2,1/($S$5:$S297="Macro"),ROW($S$5:$S297)),0)))</f>
        <v/>
      </c>
      <c r="S297" s="70">
        <f>IF(NOT((COUNTA($B297:$K297)+COUNTA($N297))&gt;0),"",IF($B297&lt;&gt;"","Macro",IF($C297&lt;&gt;"","Sub","Macro")))</f>
        <v/>
      </c>
      <c r="T297" s="70">
        <f>IF($S297="Macro",COUNTIFS($R$5:$R$1000,ROW(),$S$5:$S$1000,"Sub"),"")</f>
        <v/>
      </c>
      <c r="U297" s="70">
        <f>IF($S297="","",IF(ISNUMBER($H297),$H297,0))</f>
        <v/>
      </c>
      <c r="V297" s="70">
        <f>IF($S297="","",IF(ISNUMBER($I297),$I297,$U297))</f>
        <v/>
      </c>
      <c r="W297" s="70">
        <f>IF($S297="","",IF(ISNUMBER($J297),$J297,$V297))</f>
        <v/>
      </c>
      <c r="X297" s="70">
        <f>IF($S297="","",IF(ISNUMBER($K297),$K297,$W297))</f>
        <v/>
      </c>
      <c r="Y297" s="70">
        <f>IF($S297="","",IF(N($T297)&gt;0,AVERAGEIFS($U$5:$U$1000,$R$5:$R$1000,ROW(),$S$5:$S$1000,"Sub"),$U297))</f>
        <v/>
      </c>
      <c r="Z297" s="70">
        <f>IF($S297="","",IF(N($T297)&gt;0,AVERAGEIFS($V$5:$V$1000,$R$5:$R$1000,ROW(),$S$5:$S$1000,"Sub"),$V297))</f>
        <v/>
      </c>
      <c r="AA297" s="70">
        <f>IF($S297="","",IF(N($T297)&gt;0,AVERAGEIFS($W$5:$W$1000,$R$5:$R$1000,ROW(),$S$5:$S$1000,"Sub"),$W297))</f>
        <v/>
      </c>
      <c r="AB297" s="70">
        <f>IF($S297="","",IF(N($T297)&gt;0,AVERAGEIFS($X$5:$X$1000,$R$5:$R$1000,ROW(),$S$5:$S$1000,"Sub"),$X297))</f>
        <v/>
      </c>
    </row>
    <row r="298">
      <c r="A298" s="61">
        <f>IF(NOT((COUNTA($B298:$K298)+COUNTA($N298))&gt;0),"",IF($S298="Macro",COUNTIFS($S$5:$S298,"Macro",$P$5:$P298,$P298),IF(N($R298)=0,"?",COUNTIFS(INDEX($S$5:$S$1000,1):INDEX($S$5:$S$1000,$R298-4),"Macro",INDEX($P$5:$P$1000,1):INDEX($P$5:$P$1000,$R298-4),INDEX($P$5:$P$1000,$R298-4))&amp;"."&amp;COUNTIFS($R$5:$R298,$R298,$S$5:$S298,"Sub"))))</f>
        <v/>
      </c>
      <c r="B298" s="62" t="n"/>
      <c r="C298" s="63" t="n"/>
      <c r="D298" s="62" t="n"/>
      <c r="E298" s="64" t="n"/>
      <c r="F298" s="64" t="n"/>
      <c r="G298" s="65" t="n"/>
      <c r="H298" s="66" t="n"/>
      <c r="I298" s="66" t="n"/>
      <c r="J298" s="66" t="n"/>
      <c r="K298" s="66" t="n"/>
      <c r="L298" s="67">
        <f>IF(NOT((COUNTA($B298:$K298)+COUNTA($N298))&gt;0),"",IF(N($T298)&gt;0,$AB298,IFERROR(LOOKUP(2,1/(H298:K298&lt;&gt;""),H298:K298),0)))</f>
        <v/>
      </c>
      <c r="M298" s="61">
        <f>IF(L298="","",IF(L298&gt;=1,"Completado",IF(L298&gt;0,"En curso","Pendiente")))</f>
        <v/>
      </c>
      <c r="N298" s="62" t="n"/>
      <c r="O298" s="68">
        <f>IF(NOT((COUNTA($B298:$K298)+COUNTA($N298))&gt;0),"",IF((IF(AND($S298="Macro",$B298=""),"Macroactividad vacía"&amp;" · ","")&amp;IF(AND($B298&lt;&gt;"",$C298&lt;&gt;""),"Escriba la subactividad en otra fila, debajo de su macroactividad"&amp;" · ","")&amp;IF(AND($S298="Sub",N($R298)=0),"Subactividad sin macroactividad arriba"&amp;" · ","")&amp;IF($D298="","Sin responsable"&amp;" · ","")&amp;IF($E298="","Sin fecha de inicio"&amp;" · ","")&amp;IF($F298="","Sin fecha límite"&amp;" · ","")&amp;IF(OR(AND($E298&lt;&gt;"",NOT(ISNUMBER($E298))),AND($F298&lt;&gt;"",NOT(ISNUMBER($F298)))),"Fecha no válida"&amp;" · ","")&amp;IF(AND(ISNUMBER($E298),ISNUMBER($F298),$E298&gt;$F298),"Inicio posterior a fecha límite"&amp;" · ","")&amp;IF(AND($S298="Macro",$G298=""),"Peso vacío"&amp;" · ","")&amp;IF(AND($S298="Macro",$G298&lt;&gt;"",OR(NOT(ISNUMBER($G298)),$G298&lt;=0,$G298&gt;1)),"Peso fuera de rango"&amp;" · ","")&amp;IF(AND($S298="Sub",$G298&lt;&gt;""),"Las subactividades no llevan peso"&amp;" · ","")&amp;IF(AND($S298="Macro",ABS(SUMIFS($G$5:$G$1000,$P$5:$P$1000,$P298,$S$5:$S$1000,"Macro")-1)&gt;0.0001),"Pesos del mes suman "&amp;TEXT(SUMIFS($G$5:$G$1000,$P$5:$P$1000,$P298,$S$5:$S$1000,"Macro"),"0%")&amp;" · ","")&amp;IF(AND(N($T298)&gt;0,COUNT($H298:$K298)&gt;0),"Con subactividades: deje vacías las semanas (se calculan solas)"&amp;" · ","")&amp;IF((COUNTIF($H298:$K298,"&gt;1")+COUNTIF($H298:$K298,"&lt;0")+COUNTA($H298:$K298)-COUNT($H298:$K298))&gt;0,"Avance fuera de rango 0-100%"&amp;" · ","")&amp;IF(OR(AND($I298&lt;&gt;"",$I298&lt;$H298),AND($J298&lt;&gt;"",$J298&lt;MAX($H298:$I298)),AND($K298&lt;&gt;"",$K298&lt;MAX($H298:$J298))),"Avance semanal decreciente"&amp;" · ","")&amp;IF(AND(ISNUMBER($F298),$F298&lt;FechaRef,N($L298)&lt;1),"Vencida"&amp;" · ","")&amp;IF(AND(ObsObligatoria="Sí",ISNUMBER($F298),$F298&lt;FechaRef,N($L298)&lt;1,$N298=""),"Vencida sin observación"&amp;" · ",""))="","✔ OK","⚠ "&amp;LEFT(IF(AND($S298="Macro",$B298=""),"Macroactividad vacía"&amp;" · ","")&amp;IF(AND($B298&lt;&gt;"",$C298&lt;&gt;""),"Escriba la subactividad en otra fila, debajo de su macroactividad"&amp;" · ","")&amp;IF(AND($S298="Sub",N($R298)=0),"Subactividad sin macroactividad arriba"&amp;" · ","")&amp;IF($D298="","Sin responsable"&amp;" · ","")&amp;IF($E298="","Sin fecha de inicio"&amp;" · ","")&amp;IF($F298="","Sin fecha límite"&amp;" · ","")&amp;IF(OR(AND($E298&lt;&gt;"",NOT(ISNUMBER($E298))),AND($F298&lt;&gt;"",NOT(ISNUMBER($F298)))),"Fecha no válida"&amp;" · ","")&amp;IF(AND(ISNUMBER($E298),ISNUMBER($F298),$E298&gt;$F298),"Inicio posterior a fecha límite"&amp;" · ","")&amp;IF(AND($S298="Macro",$G298=""),"Peso vacío"&amp;" · ","")&amp;IF(AND($S298="Macro",$G298&lt;&gt;"",OR(NOT(ISNUMBER($G298)),$G298&lt;=0,$G298&gt;1)),"Peso fuera de rango"&amp;" · ","")&amp;IF(AND($S298="Sub",$G298&lt;&gt;""),"Las subactividades no llevan peso"&amp;" · ","")&amp;IF(AND($S298="Macro",ABS(SUMIFS($G$5:$G$1000,$P$5:$P$1000,$P298,$S$5:$S$1000,"Macro")-1)&gt;0.0001),"Pesos del mes suman "&amp;TEXT(SUMIFS($G$5:$G$1000,$P$5:$P$1000,$P298,$S$5:$S$1000,"Macro"),"0%")&amp;" · ","")&amp;IF(AND(N($T298)&gt;0,COUNT($H298:$K298)&gt;0),"Con subactividades: deje vacías las semanas (se calculan solas)"&amp;" · ","")&amp;IF((COUNTIF($H298:$K298,"&gt;1")+COUNTIF($H298:$K298,"&lt;0")+COUNTA($H298:$K298)-COUNT($H298:$K298))&gt;0,"Avance fuera de rango 0-100%"&amp;" · ","")&amp;IF(OR(AND($I298&lt;&gt;"",$I298&lt;$H298),AND($J298&lt;&gt;"",$J298&lt;MAX($H298:$I298)),AND($K298&lt;&gt;"",$K298&lt;MAX($H298:$J298))),"Avance semanal decreciente"&amp;" · ","")&amp;IF(AND(ISNUMBER($F298),$F298&lt;FechaRef,N($L298)&lt;1),"Vencida"&amp;" · ","")&amp;IF(AND(ObsObligatoria="Sí",ISNUMBER($F298),$F298&lt;FechaRef,N($L298)&lt;1,$N298=""),"Vencida sin observación"&amp;" · ",""),LEN(IF(AND($S298="Macro",$B298=""),"Macroactividad vacía"&amp;" · ","")&amp;IF(AND($B298&lt;&gt;"",$C298&lt;&gt;""),"Escriba la subactividad en otra fila, debajo de su macroactividad"&amp;" · ","")&amp;IF(AND($S298="Sub",N($R298)=0),"Subactividad sin macroactividad arriba"&amp;" · ","")&amp;IF($D298="","Sin responsable"&amp;" · ","")&amp;IF($E298="","Sin fecha de inicio"&amp;" · ","")&amp;IF($F298="","Sin fecha límite"&amp;" · ","")&amp;IF(OR(AND($E298&lt;&gt;"",NOT(ISNUMBER($E298))),AND($F298&lt;&gt;"",NOT(ISNUMBER($F298)))),"Fecha no válida"&amp;" · ","")&amp;IF(AND(ISNUMBER($E298),ISNUMBER($F298),$E298&gt;$F298),"Inicio posterior a fecha límite"&amp;" · ","")&amp;IF(AND($S298="Macro",$G298=""),"Peso vacío"&amp;" · ","")&amp;IF(AND($S298="Macro",$G298&lt;&gt;"",OR(NOT(ISNUMBER($G298)),$G298&lt;=0,$G298&gt;1)),"Peso fuera de rango"&amp;" · ","")&amp;IF(AND($S298="Sub",$G298&lt;&gt;""),"Las subactividades no llevan peso"&amp;" · ","")&amp;IF(AND($S298="Macro",ABS(SUMIFS($G$5:$G$1000,$P$5:$P$1000,$P298,$S$5:$S$1000,"Macro")-1)&gt;0.0001),"Pesos del mes suman "&amp;TEXT(SUMIFS($G$5:$G$1000,$P$5:$P$1000,$P298,$S$5:$S$1000,"Macro"),"0%")&amp;" · ","")&amp;IF(AND(N($T298)&gt;0,COUNT($H298:$K298)&gt;0),"Con subactividades: deje vacías las semanas (se calculan solas)"&amp;" · ","")&amp;IF((COUNTIF($H298:$K298,"&gt;1")+COUNTIF($H298:$K298,"&lt;0")+COUNTA($H298:$K298)-COUNT($H298:$K298))&gt;0,"Avance fuera de rango 0-100%"&amp;" · ","")&amp;IF(OR(AND($I298&lt;&gt;"",$I298&lt;$H298),AND($J298&lt;&gt;"",$J298&lt;MAX($H298:$I298)),AND($K298&lt;&gt;"",$K298&lt;MAX($H298:$J298))),"Avance semanal decreciente"&amp;" · ","")&amp;IF(AND(ISNUMBER($F298),$F298&lt;FechaRef,N($L298)&lt;1),"Vencida"&amp;" · ","")&amp;IF(AND(ObsObligatoria="Sí",ISNUMBER($F298),$F298&lt;FechaRef,N($L298)&lt;1,$N298=""),"Vencida sin observación"&amp;" · ",""))-3)))</f>
        <v/>
      </c>
      <c r="P298" s="69">
        <f>IF(NOT((COUNTA($B298:$K298)+COUNTA($N298))&gt;0),"",IF(AND($S298="Sub",N($R298)&gt;0),IF(ISNUMBER(INDEX($E$5:$E$1000,$R298-4)),DATE(YEAR(INDEX($E$5:$E$1000,$R298-4)),MONTH(INDEX($E$5:$E$1000,$R298-4)),1),IF(ISNUMBER(INDEX($F$5:$F$1000,$R298-4)),DATE(YEAR(INDEX($F$5:$F$1000,$R298-4)),MONTH(INDEX($F$5:$F$1000,$R298-4)),1),MesCiclo)),IF(ISNUMBER($E298),DATE(YEAR($E298),MONTH($E298),1),IF(ISNUMBER($F298),DATE(YEAR($F298),MONTH($F298),1),MesCiclo))))</f>
        <v/>
      </c>
      <c r="Q298" s="70">
        <f>IF(OR($P298="",$P298&lt;&gt;MesCiclo),"",COUNTIF($P$5:$P298,MesCiclo))</f>
        <v/>
      </c>
      <c r="R298" s="70">
        <f>IF($S298="","",IF($S298="Macro",ROW(),IFERROR(LOOKUP(2,1/($S$5:$S298="Macro"),ROW($S$5:$S298)),0)))</f>
        <v/>
      </c>
      <c r="S298" s="70">
        <f>IF(NOT((COUNTA($B298:$K298)+COUNTA($N298))&gt;0),"",IF($B298&lt;&gt;"","Macro",IF($C298&lt;&gt;"","Sub","Macro")))</f>
        <v/>
      </c>
      <c r="T298" s="70">
        <f>IF($S298="Macro",COUNTIFS($R$5:$R$1000,ROW(),$S$5:$S$1000,"Sub"),"")</f>
        <v/>
      </c>
      <c r="U298" s="70">
        <f>IF($S298="","",IF(ISNUMBER($H298),$H298,0))</f>
        <v/>
      </c>
      <c r="V298" s="70">
        <f>IF($S298="","",IF(ISNUMBER($I298),$I298,$U298))</f>
        <v/>
      </c>
      <c r="W298" s="70">
        <f>IF($S298="","",IF(ISNUMBER($J298),$J298,$V298))</f>
        <v/>
      </c>
      <c r="X298" s="70">
        <f>IF($S298="","",IF(ISNUMBER($K298),$K298,$W298))</f>
        <v/>
      </c>
      <c r="Y298" s="70">
        <f>IF($S298="","",IF(N($T298)&gt;0,AVERAGEIFS($U$5:$U$1000,$R$5:$R$1000,ROW(),$S$5:$S$1000,"Sub"),$U298))</f>
        <v/>
      </c>
      <c r="Z298" s="70">
        <f>IF($S298="","",IF(N($T298)&gt;0,AVERAGEIFS($V$5:$V$1000,$R$5:$R$1000,ROW(),$S$5:$S$1000,"Sub"),$V298))</f>
        <v/>
      </c>
      <c r="AA298" s="70">
        <f>IF($S298="","",IF(N($T298)&gt;0,AVERAGEIFS($W$5:$W$1000,$R$5:$R$1000,ROW(),$S$5:$S$1000,"Sub"),$W298))</f>
        <v/>
      </c>
      <c r="AB298" s="70">
        <f>IF($S298="","",IF(N($T298)&gt;0,AVERAGEIFS($X$5:$X$1000,$R$5:$R$1000,ROW(),$S$5:$S$1000,"Sub"),$X298))</f>
        <v/>
      </c>
    </row>
    <row r="299">
      <c r="A299" s="61">
        <f>IF(NOT((COUNTA($B299:$K299)+COUNTA($N299))&gt;0),"",IF($S299="Macro",COUNTIFS($S$5:$S299,"Macro",$P$5:$P299,$P299),IF(N($R299)=0,"?",COUNTIFS(INDEX($S$5:$S$1000,1):INDEX($S$5:$S$1000,$R299-4),"Macro",INDEX($P$5:$P$1000,1):INDEX($P$5:$P$1000,$R299-4),INDEX($P$5:$P$1000,$R299-4))&amp;"."&amp;COUNTIFS($R$5:$R299,$R299,$S$5:$S299,"Sub"))))</f>
        <v/>
      </c>
      <c r="B299" s="62" t="n"/>
      <c r="C299" s="63" t="n"/>
      <c r="D299" s="62" t="n"/>
      <c r="E299" s="64" t="n"/>
      <c r="F299" s="64" t="n"/>
      <c r="G299" s="65" t="n"/>
      <c r="H299" s="66" t="n"/>
      <c r="I299" s="66" t="n"/>
      <c r="J299" s="66" t="n"/>
      <c r="K299" s="66" t="n"/>
      <c r="L299" s="67">
        <f>IF(NOT((COUNTA($B299:$K299)+COUNTA($N299))&gt;0),"",IF(N($T299)&gt;0,$AB299,IFERROR(LOOKUP(2,1/(H299:K299&lt;&gt;""),H299:K299),0)))</f>
        <v/>
      </c>
      <c r="M299" s="61">
        <f>IF(L299="","",IF(L299&gt;=1,"Completado",IF(L299&gt;0,"En curso","Pendiente")))</f>
        <v/>
      </c>
      <c r="N299" s="62" t="n"/>
      <c r="O299" s="68">
        <f>IF(NOT((COUNTA($B299:$K299)+COUNTA($N299))&gt;0),"",IF((IF(AND($S299="Macro",$B299=""),"Macroactividad vacía"&amp;" · ","")&amp;IF(AND($B299&lt;&gt;"",$C299&lt;&gt;""),"Escriba la subactividad en otra fila, debajo de su macroactividad"&amp;" · ","")&amp;IF(AND($S299="Sub",N($R299)=0),"Subactividad sin macroactividad arriba"&amp;" · ","")&amp;IF($D299="","Sin responsable"&amp;" · ","")&amp;IF($E299="","Sin fecha de inicio"&amp;" · ","")&amp;IF($F299="","Sin fecha límite"&amp;" · ","")&amp;IF(OR(AND($E299&lt;&gt;"",NOT(ISNUMBER($E299))),AND($F299&lt;&gt;"",NOT(ISNUMBER($F299)))),"Fecha no válida"&amp;" · ","")&amp;IF(AND(ISNUMBER($E299),ISNUMBER($F299),$E299&gt;$F299),"Inicio posterior a fecha límite"&amp;" · ","")&amp;IF(AND($S299="Macro",$G299=""),"Peso vacío"&amp;" · ","")&amp;IF(AND($S299="Macro",$G299&lt;&gt;"",OR(NOT(ISNUMBER($G299)),$G299&lt;=0,$G299&gt;1)),"Peso fuera de rango"&amp;" · ","")&amp;IF(AND($S299="Sub",$G299&lt;&gt;""),"Las subactividades no llevan peso"&amp;" · ","")&amp;IF(AND($S299="Macro",ABS(SUMIFS($G$5:$G$1000,$P$5:$P$1000,$P299,$S$5:$S$1000,"Macro")-1)&gt;0.0001),"Pesos del mes suman "&amp;TEXT(SUMIFS($G$5:$G$1000,$P$5:$P$1000,$P299,$S$5:$S$1000,"Macro"),"0%")&amp;" · ","")&amp;IF(AND(N($T299)&gt;0,COUNT($H299:$K299)&gt;0),"Con subactividades: deje vacías las semanas (se calculan solas)"&amp;" · ","")&amp;IF((COUNTIF($H299:$K299,"&gt;1")+COUNTIF($H299:$K299,"&lt;0")+COUNTA($H299:$K299)-COUNT($H299:$K299))&gt;0,"Avance fuera de rango 0-100%"&amp;" · ","")&amp;IF(OR(AND($I299&lt;&gt;"",$I299&lt;$H299),AND($J299&lt;&gt;"",$J299&lt;MAX($H299:$I299)),AND($K299&lt;&gt;"",$K299&lt;MAX($H299:$J299))),"Avance semanal decreciente"&amp;" · ","")&amp;IF(AND(ISNUMBER($F299),$F299&lt;FechaRef,N($L299)&lt;1),"Vencida"&amp;" · ","")&amp;IF(AND(ObsObligatoria="Sí",ISNUMBER($F299),$F299&lt;FechaRef,N($L299)&lt;1,$N299=""),"Vencida sin observación"&amp;" · ",""))="","✔ OK","⚠ "&amp;LEFT(IF(AND($S299="Macro",$B299=""),"Macroactividad vacía"&amp;" · ","")&amp;IF(AND($B299&lt;&gt;"",$C299&lt;&gt;""),"Escriba la subactividad en otra fila, debajo de su macroactividad"&amp;" · ","")&amp;IF(AND($S299="Sub",N($R299)=0),"Subactividad sin macroactividad arriba"&amp;" · ","")&amp;IF($D299="","Sin responsable"&amp;" · ","")&amp;IF($E299="","Sin fecha de inicio"&amp;" · ","")&amp;IF($F299="","Sin fecha límite"&amp;" · ","")&amp;IF(OR(AND($E299&lt;&gt;"",NOT(ISNUMBER($E299))),AND($F299&lt;&gt;"",NOT(ISNUMBER($F299)))),"Fecha no válida"&amp;" · ","")&amp;IF(AND(ISNUMBER($E299),ISNUMBER($F299),$E299&gt;$F299),"Inicio posterior a fecha límite"&amp;" · ","")&amp;IF(AND($S299="Macro",$G299=""),"Peso vacío"&amp;" · ","")&amp;IF(AND($S299="Macro",$G299&lt;&gt;"",OR(NOT(ISNUMBER($G299)),$G299&lt;=0,$G299&gt;1)),"Peso fuera de rango"&amp;" · ","")&amp;IF(AND($S299="Sub",$G299&lt;&gt;""),"Las subactividades no llevan peso"&amp;" · ","")&amp;IF(AND($S299="Macro",ABS(SUMIFS($G$5:$G$1000,$P$5:$P$1000,$P299,$S$5:$S$1000,"Macro")-1)&gt;0.0001),"Pesos del mes suman "&amp;TEXT(SUMIFS($G$5:$G$1000,$P$5:$P$1000,$P299,$S$5:$S$1000,"Macro"),"0%")&amp;" · ","")&amp;IF(AND(N($T299)&gt;0,COUNT($H299:$K299)&gt;0),"Con subactividades: deje vacías las semanas (se calculan solas)"&amp;" · ","")&amp;IF((COUNTIF($H299:$K299,"&gt;1")+COUNTIF($H299:$K299,"&lt;0")+COUNTA($H299:$K299)-COUNT($H299:$K299))&gt;0,"Avance fuera de rango 0-100%"&amp;" · ","")&amp;IF(OR(AND($I299&lt;&gt;"",$I299&lt;$H299),AND($J299&lt;&gt;"",$J299&lt;MAX($H299:$I299)),AND($K299&lt;&gt;"",$K299&lt;MAX($H299:$J299))),"Avance semanal decreciente"&amp;" · ","")&amp;IF(AND(ISNUMBER($F299),$F299&lt;FechaRef,N($L299)&lt;1),"Vencida"&amp;" · ","")&amp;IF(AND(ObsObligatoria="Sí",ISNUMBER($F299),$F299&lt;FechaRef,N($L299)&lt;1,$N299=""),"Vencida sin observación"&amp;" · ",""),LEN(IF(AND($S299="Macro",$B299=""),"Macroactividad vacía"&amp;" · ","")&amp;IF(AND($B299&lt;&gt;"",$C299&lt;&gt;""),"Escriba la subactividad en otra fila, debajo de su macroactividad"&amp;" · ","")&amp;IF(AND($S299="Sub",N($R299)=0),"Subactividad sin macroactividad arriba"&amp;" · ","")&amp;IF($D299="","Sin responsable"&amp;" · ","")&amp;IF($E299="","Sin fecha de inicio"&amp;" · ","")&amp;IF($F299="","Sin fecha límite"&amp;" · ","")&amp;IF(OR(AND($E299&lt;&gt;"",NOT(ISNUMBER($E299))),AND($F299&lt;&gt;"",NOT(ISNUMBER($F299)))),"Fecha no válida"&amp;" · ","")&amp;IF(AND(ISNUMBER($E299),ISNUMBER($F299),$E299&gt;$F299),"Inicio posterior a fecha límite"&amp;" · ","")&amp;IF(AND($S299="Macro",$G299=""),"Peso vacío"&amp;" · ","")&amp;IF(AND($S299="Macro",$G299&lt;&gt;"",OR(NOT(ISNUMBER($G299)),$G299&lt;=0,$G299&gt;1)),"Peso fuera de rango"&amp;" · ","")&amp;IF(AND($S299="Sub",$G299&lt;&gt;""),"Las subactividades no llevan peso"&amp;" · ","")&amp;IF(AND($S299="Macro",ABS(SUMIFS($G$5:$G$1000,$P$5:$P$1000,$P299,$S$5:$S$1000,"Macro")-1)&gt;0.0001),"Pesos del mes suman "&amp;TEXT(SUMIFS($G$5:$G$1000,$P$5:$P$1000,$P299,$S$5:$S$1000,"Macro"),"0%")&amp;" · ","")&amp;IF(AND(N($T299)&gt;0,COUNT($H299:$K299)&gt;0),"Con subactividades: deje vacías las semanas (se calculan solas)"&amp;" · ","")&amp;IF((COUNTIF($H299:$K299,"&gt;1")+COUNTIF($H299:$K299,"&lt;0")+COUNTA($H299:$K299)-COUNT($H299:$K299))&gt;0,"Avance fuera de rango 0-100%"&amp;" · ","")&amp;IF(OR(AND($I299&lt;&gt;"",$I299&lt;$H299),AND($J299&lt;&gt;"",$J299&lt;MAX($H299:$I299)),AND($K299&lt;&gt;"",$K299&lt;MAX($H299:$J299))),"Avance semanal decreciente"&amp;" · ","")&amp;IF(AND(ISNUMBER($F299),$F299&lt;FechaRef,N($L299)&lt;1),"Vencida"&amp;" · ","")&amp;IF(AND(ObsObligatoria="Sí",ISNUMBER($F299),$F299&lt;FechaRef,N($L299)&lt;1,$N299=""),"Vencida sin observación"&amp;" · ",""))-3)))</f>
        <v/>
      </c>
      <c r="P299" s="69">
        <f>IF(NOT((COUNTA($B299:$K299)+COUNTA($N299))&gt;0),"",IF(AND($S299="Sub",N($R299)&gt;0),IF(ISNUMBER(INDEX($E$5:$E$1000,$R299-4)),DATE(YEAR(INDEX($E$5:$E$1000,$R299-4)),MONTH(INDEX($E$5:$E$1000,$R299-4)),1),IF(ISNUMBER(INDEX($F$5:$F$1000,$R299-4)),DATE(YEAR(INDEX($F$5:$F$1000,$R299-4)),MONTH(INDEX($F$5:$F$1000,$R299-4)),1),MesCiclo)),IF(ISNUMBER($E299),DATE(YEAR($E299),MONTH($E299),1),IF(ISNUMBER($F299),DATE(YEAR($F299),MONTH($F299),1),MesCiclo))))</f>
        <v/>
      </c>
      <c r="Q299" s="70">
        <f>IF(OR($P299="",$P299&lt;&gt;MesCiclo),"",COUNTIF($P$5:$P299,MesCiclo))</f>
        <v/>
      </c>
      <c r="R299" s="70">
        <f>IF($S299="","",IF($S299="Macro",ROW(),IFERROR(LOOKUP(2,1/($S$5:$S299="Macro"),ROW($S$5:$S299)),0)))</f>
        <v/>
      </c>
      <c r="S299" s="70">
        <f>IF(NOT((COUNTA($B299:$K299)+COUNTA($N299))&gt;0),"",IF($B299&lt;&gt;"","Macro",IF($C299&lt;&gt;"","Sub","Macro")))</f>
        <v/>
      </c>
      <c r="T299" s="70">
        <f>IF($S299="Macro",COUNTIFS($R$5:$R$1000,ROW(),$S$5:$S$1000,"Sub"),"")</f>
        <v/>
      </c>
      <c r="U299" s="70">
        <f>IF($S299="","",IF(ISNUMBER($H299),$H299,0))</f>
        <v/>
      </c>
      <c r="V299" s="70">
        <f>IF($S299="","",IF(ISNUMBER($I299),$I299,$U299))</f>
        <v/>
      </c>
      <c r="W299" s="70">
        <f>IF($S299="","",IF(ISNUMBER($J299),$J299,$V299))</f>
        <v/>
      </c>
      <c r="X299" s="70">
        <f>IF($S299="","",IF(ISNUMBER($K299),$K299,$W299))</f>
        <v/>
      </c>
      <c r="Y299" s="70">
        <f>IF($S299="","",IF(N($T299)&gt;0,AVERAGEIFS($U$5:$U$1000,$R$5:$R$1000,ROW(),$S$5:$S$1000,"Sub"),$U299))</f>
        <v/>
      </c>
      <c r="Z299" s="70">
        <f>IF($S299="","",IF(N($T299)&gt;0,AVERAGEIFS($V$5:$V$1000,$R$5:$R$1000,ROW(),$S$5:$S$1000,"Sub"),$V299))</f>
        <v/>
      </c>
      <c r="AA299" s="70">
        <f>IF($S299="","",IF(N($T299)&gt;0,AVERAGEIFS($W$5:$W$1000,$R$5:$R$1000,ROW(),$S$5:$S$1000,"Sub"),$W299))</f>
        <v/>
      </c>
      <c r="AB299" s="70">
        <f>IF($S299="","",IF(N($T299)&gt;0,AVERAGEIFS($X$5:$X$1000,$R$5:$R$1000,ROW(),$S$5:$S$1000,"Sub"),$X299))</f>
        <v/>
      </c>
    </row>
    <row r="300">
      <c r="A300" s="61">
        <f>IF(NOT((COUNTA($B300:$K300)+COUNTA($N300))&gt;0),"",IF($S300="Macro",COUNTIFS($S$5:$S300,"Macro",$P$5:$P300,$P300),IF(N($R300)=0,"?",COUNTIFS(INDEX($S$5:$S$1000,1):INDEX($S$5:$S$1000,$R300-4),"Macro",INDEX($P$5:$P$1000,1):INDEX($P$5:$P$1000,$R300-4),INDEX($P$5:$P$1000,$R300-4))&amp;"."&amp;COUNTIFS($R$5:$R300,$R300,$S$5:$S300,"Sub"))))</f>
        <v/>
      </c>
      <c r="B300" s="62" t="n"/>
      <c r="C300" s="63" t="n"/>
      <c r="D300" s="62" t="n"/>
      <c r="E300" s="64" t="n"/>
      <c r="F300" s="64" t="n"/>
      <c r="G300" s="65" t="n"/>
      <c r="H300" s="66" t="n"/>
      <c r="I300" s="66" t="n"/>
      <c r="J300" s="66" t="n"/>
      <c r="K300" s="66" t="n"/>
      <c r="L300" s="67">
        <f>IF(NOT((COUNTA($B300:$K300)+COUNTA($N300))&gt;0),"",IF(N($T300)&gt;0,$AB300,IFERROR(LOOKUP(2,1/(H300:K300&lt;&gt;""),H300:K300),0)))</f>
        <v/>
      </c>
      <c r="M300" s="61">
        <f>IF(L300="","",IF(L300&gt;=1,"Completado",IF(L300&gt;0,"En curso","Pendiente")))</f>
        <v/>
      </c>
      <c r="N300" s="62" t="n"/>
      <c r="O300" s="68">
        <f>IF(NOT((COUNTA($B300:$K300)+COUNTA($N300))&gt;0),"",IF((IF(AND($S300="Macro",$B300=""),"Macroactividad vacía"&amp;" · ","")&amp;IF(AND($B300&lt;&gt;"",$C300&lt;&gt;""),"Escriba la subactividad en otra fila, debajo de su macroactividad"&amp;" · ","")&amp;IF(AND($S300="Sub",N($R300)=0),"Subactividad sin macroactividad arriba"&amp;" · ","")&amp;IF($D300="","Sin responsable"&amp;" · ","")&amp;IF($E300="","Sin fecha de inicio"&amp;" · ","")&amp;IF($F300="","Sin fecha límite"&amp;" · ","")&amp;IF(OR(AND($E300&lt;&gt;"",NOT(ISNUMBER($E300))),AND($F300&lt;&gt;"",NOT(ISNUMBER($F300)))),"Fecha no válida"&amp;" · ","")&amp;IF(AND(ISNUMBER($E300),ISNUMBER($F300),$E300&gt;$F300),"Inicio posterior a fecha límite"&amp;" · ","")&amp;IF(AND($S300="Macro",$G300=""),"Peso vacío"&amp;" · ","")&amp;IF(AND($S300="Macro",$G300&lt;&gt;"",OR(NOT(ISNUMBER($G300)),$G300&lt;=0,$G300&gt;1)),"Peso fuera de rango"&amp;" · ","")&amp;IF(AND($S300="Sub",$G300&lt;&gt;""),"Las subactividades no llevan peso"&amp;" · ","")&amp;IF(AND($S300="Macro",ABS(SUMIFS($G$5:$G$1000,$P$5:$P$1000,$P300,$S$5:$S$1000,"Macro")-1)&gt;0.0001),"Pesos del mes suman "&amp;TEXT(SUMIFS($G$5:$G$1000,$P$5:$P$1000,$P300,$S$5:$S$1000,"Macro"),"0%")&amp;" · ","")&amp;IF(AND(N($T300)&gt;0,COUNT($H300:$K300)&gt;0),"Con subactividades: deje vacías las semanas (se calculan solas)"&amp;" · ","")&amp;IF((COUNTIF($H300:$K300,"&gt;1")+COUNTIF($H300:$K300,"&lt;0")+COUNTA($H300:$K300)-COUNT($H300:$K300))&gt;0,"Avance fuera de rango 0-100%"&amp;" · ","")&amp;IF(OR(AND($I300&lt;&gt;"",$I300&lt;$H300),AND($J300&lt;&gt;"",$J300&lt;MAX($H300:$I300)),AND($K300&lt;&gt;"",$K300&lt;MAX($H300:$J300))),"Avance semanal decreciente"&amp;" · ","")&amp;IF(AND(ISNUMBER($F300),$F300&lt;FechaRef,N($L300)&lt;1),"Vencida"&amp;" · ","")&amp;IF(AND(ObsObligatoria="Sí",ISNUMBER($F300),$F300&lt;FechaRef,N($L300)&lt;1,$N300=""),"Vencida sin observación"&amp;" · ",""))="","✔ OK","⚠ "&amp;LEFT(IF(AND($S300="Macro",$B300=""),"Macroactividad vacía"&amp;" · ","")&amp;IF(AND($B300&lt;&gt;"",$C300&lt;&gt;""),"Escriba la subactividad en otra fila, debajo de su macroactividad"&amp;" · ","")&amp;IF(AND($S300="Sub",N($R300)=0),"Subactividad sin macroactividad arriba"&amp;" · ","")&amp;IF($D300="","Sin responsable"&amp;" · ","")&amp;IF($E300="","Sin fecha de inicio"&amp;" · ","")&amp;IF($F300="","Sin fecha límite"&amp;" · ","")&amp;IF(OR(AND($E300&lt;&gt;"",NOT(ISNUMBER($E300))),AND($F300&lt;&gt;"",NOT(ISNUMBER($F300)))),"Fecha no válida"&amp;" · ","")&amp;IF(AND(ISNUMBER($E300),ISNUMBER($F300),$E300&gt;$F300),"Inicio posterior a fecha límite"&amp;" · ","")&amp;IF(AND($S300="Macro",$G300=""),"Peso vacío"&amp;" · ","")&amp;IF(AND($S300="Macro",$G300&lt;&gt;"",OR(NOT(ISNUMBER($G300)),$G300&lt;=0,$G300&gt;1)),"Peso fuera de rango"&amp;" · ","")&amp;IF(AND($S300="Sub",$G300&lt;&gt;""),"Las subactividades no llevan peso"&amp;" · ","")&amp;IF(AND($S300="Macro",ABS(SUMIFS($G$5:$G$1000,$P$5:$P$1000,$P300,$S$5:$S$1000,"Macro")-1)&gt;0.0001),"Pesos del mes suman "&amp;TEXT(SUMIFS($G$5:$G$1000,$P$5:$P$1000,$P300,$S$5:$S$1000,"Macro"),"0%")&amp;" · ","")&amp;IF(AND(N($T300)&gt;0,COUNT($H300:$K300)&gt;0),"Con subactividades: deje vacías las semanas (se calculan solas)"&amp;" · ","")&amp;IF((COUNTIF($H300:$K300,"&gt;1")+COUNTIF($H300:$K300,"&lt;0")+COUNTA($H300:$K300)-COUNT($H300:$K300))&gt;0,"Avance fuera de rango 0-100%"&amp;" · ","")&amp;IF(OR(AND($I300&lt;&gt;"",$I300&lt;$H300),AND($J300&lt;&gt;"",$J300&lt;MAX($H300:$I300)),AND($K300&lt;&gt;"",$K300&lt;MAX($H300:$J300))),"Avance semanal decreciente"&amp;" · ","")&amp;IF(AND(ISNUMBER($F300),$F300&lt;FechaRef,N($L300)&lt;1),"Vencida"&amp;" · ","")&amp;IF(AND(ObsObligatoria="Sí",ISNUMBER($F300),$F300&lt;FechaRef,N($L300)&lt;1,$N300=""),"Vencida sin observación"&amp;" · ",""),LEN(IF(AND($S300="Macro",$B300=""),"Macroactividad vacía"&amp;" · ","")&amp;IF(AND($B300&lt;&gt;"",$C300&lt;&gt;""),"Escriba la subactividad en otra fila, debajo de su macroactividad"&amp;" · ","")&amp;IF(AND($S300="Sub",N($R300)=0),"Subactividad sin macroactividad arriba"&amp;" · ","")&amp;IF($D300="","Sin responsable"&amp;" · ","")&amp;IF($E300="","Sin fecha de inicio"&amp;" · ","")&amp;IF($F300="","Sin fecha límite"&amp;" · ","")&amp;IF(OR(AND($E300&lt;&gt;"",NOT(ISNUMBER($E300))),AND($F300&lt;&gt;"",NOT(ISNUMBER($F300)))),"Fecha no válida"&amp;" · ","")&amp;IF(AND(ISNUMBER($E300),ISNUMBER($F300),$E300&gt;$F300),"Inicio posterior a fecha límite"&amp;" · ","")&amp;IF(AND($S300="Macro",$G300=""),"Peso vacío"&amp;" · ","")&amp;IF(AND($S300="Macro",$G300&lt;&gt;"",OR(NOT(ISNUMBER($G300)),$G300&lt;=0,$G300&gt;1)),"Peso fuera de rango"&amp;" · ","")&amp;IF(AND($S300="Sub",$G300&lt;&gt;""),"Las subactividades no llevan peso"&amp;" · ","")&amp;IF(AND($S300="Macro",ABS(SUMIFS($G$5:$G$1000,$P$5:$P$1000,$P300,$S$5:$S$1000,"Macro")-1)&gt;0.0001),"Pesos del mes suman "&amp;TEXT(SUMIFS($G$5:$G$1000,$P$5:$P$1000,$P300,$S$5:$S$1000,"Macro"),"0%")&amp;" · ","")&amp;IF(AND(N($T300)&gt;0,COUNT($H300:$K300)&gt;0),"Con subactividades: deje vacías las semanas (se calculan solas)"&amp;" · ","")&amp;IF((COUNTIF($H300:$K300,"&gt;1")+COUNTIF($H300:$K300,"&lt;0")+COUNTA($H300:$K300)-COUNT($H300:$K300))&gt;0,"Avance fuera de rango 0-100%"&amp;" · ","")&amp;IF(OR(AND($I300&lt;&gt;"",$I300&lt;$H300),AND($J300&lt;&gt;"",$J300&lt;MAX($H300:$I300)),AND($K300&lt;&gt;"",$K300&lt;MAX($H300:$J300))),"Avance semanal decreciente"&amp;" · ","")&amp;IF(AND(ISNUMBER($F300),$F300&lt;FechaRef,N($L300)&lt;1),"Vencida"&amp;" · ","")&amp;IF(AND(ObsObligatoria="Sí",ISNUMBER($F300),$F300&lt;FechaRef,N($L300)&lt;1,$N300=""),"Vencida sin observación"&amp;" · ",""))-3)))</f>
        <v/>
      </c>
      <c r="P300" s="69">
        <f>IF(NOT((COUNTA($B300:$K300)+COUNTA($N300))&gt;0),"",IF(AND($S300="Sub",N($R300)&gt;0),IF(ISNUMBER(INDEX($E$5:$E$1000,$R300-4)),DATE(YEAR(INDEX($E$5:$E$1000,$R300-4)),MONTH(INDEX($E$5:$E$1000,$R300-4)),1),IF(ISNUMBER(INDEX($F$5:$F$1000,$R300-4)),DATE(YEAR(INDEX($F$5:$F$1000,$R300-4)),MONTH(INDEX($F$5:$F$1000,$R300-4)),1),MesCiclo)),IF(ISNUMBER($E300),DATE(YEAR($E300),MONTH($E300),1),IF(ISNUMBER($F300),DATE(YEAR($F300),MONTH($F300),1),MesCiclo))))</f>
        <v/>
      </c>
      <c r="Q300" s="70">
        <f>IF(OR($P300="",$P300&lt;&gt;MesCiclo),"",COUNTIF($P$5:$P300,MesCiclo))</f>
        <v/>
      </c>
      <c r="R300" s="70">
        <f>IF($S300="","",IF($S300="Macro",ROW(),IFERROR(LOOKUP(2,1/($S$5:$S300="Macro"),ROW($S$5:$S300)),0)))</f>
        <v/>
      </c>
      <c r="S300" s="70">
        <f>IF(NOT((COUNTA($B300:$K300)+COUNTA($N300))&gt;0),"",IF($B300&lt;&gt;"","Macro",IF($C300&lt;&gt;"","Sub","Macro")))</f>
        <v/>
      </c>
      <c r="T300" s="70">
        <f>IF($S300="Macro",COUNTIFS($R$5:$R$1000,ROW(),$S$5:$S$1000,"Sub"),"")</f>
        <v/>
      </c>
      <c r="U300" s="70">
        <f>IF($S300="","",IF(ISNUMBER($H300),$H300,0))</f>
        <v/>
      </c>
      <c r="V300" s="70">
        <f>IF($S300="","",IF(ISNUMBER($I300),$I300,$U300))</f>
        <v/>
      </c>
      <c r="W300" s="70">
        <f>IF($S300="","",IF(ISNUMBER($J300),$J300,$V300))</f>
        <v/>
      </c>
      <c r="X300" s="70">
        <f>IF($S300="","",IF(ISNUMBER($K300),$K300,$W300))</f>
        <v/>
      </c>
      <c r="Y300" s="70">
        <f>IF($S300="","",IF(N($T300)&gt;0,AVERAGEIFS($U$5:$U$1000,$R$5:$R$1000,ROW(),$S$5:$S$1000,"Sub"),$U300))</f>
        <v/>
      </c>
      <c r="Z300" s="70">
        <f>IF($S300="","",IF(N($T300)&gt;0,AVERAGEIFS($V$5:$V$1000,$R$5:$R$1000,ROW(),$S$5:$S$1000,"Sub"),$V300))</f>
        <v/>
      </c>
      <c r="AA300" s="70">
        <f>IF($S300="","",IF(N($T300)&gt;0,AVERAGEIFS($W$5:$W$1000,$R$5:$R$1000,ROW(),$S$5:$S$1000,"Sub"),$W300))</f>
        <v/>
      </c>
      <c r="AB300" s="70">
        <f>IF($S300="","",IF(N($T300)&gt;0,AVERAGEIFS($X$5:$X$1000,$R$5:$R$1000,ROW(),$S$5:$S$1000,"Sub"),$X300))</f>
        <v/>
      </c>
    </row>
    <row r="301">
      <c r="A301" s="61">
        <f>IF(NOT((COUNTA($B301:$K301)+COUNTA($N301))&gt;0),"",IF($S301="Macro",COUNTIFS($S$5:$S301,"Macro",$P$5:$P301,$P301),IF(N($R301)=0,"?",COUNTIFS(INDEX($S$5:$S$1000,1):INDEX($S$5:$S$1000,$R301-4),"Macro",INDEX($P$5:$P$1000,1):INDEX($P$5:$P$1000,$R301-4),INDEX($P$5:$P$1000,$R301-4))&amp;"."&amp;COUNTIFS($R$5:$R301,$R301,$S$5:$S301,"Sub"))))</f>
        <v/>
      </c>
      <c r="B301" s="62" t="n"/>
      <c r="C301" s="63" t="n"/>
      <c r="D301" s="62" t="n"/>
      <c r="E301" s="64" t="n"/>
      <c r="F301" s="64" t="n"/>
      <c r="G301" s="65" t="n"/>
      <c r="H301" s="66" t="n"/>
      <c r="I301" s="66" t="n"/>
      <c r="J301" s="66" t="n"/>
      <c r="K301" s="66" t="n"/>
      <c r="L301" s="67">
        <f>IF(NOT((COUNTA($B301:$K301)+COUNTA($N301))&gt;0),"",IF(N($T301)&gt;0,$AB301,IFERROR(LOOKUP(2,1/(H301:K301&lt;&gt;""),H301:K301),0)))</f>
        <v/>
      </c>
      <c r="M301" s="61">
        <f>IF(L301="","",IF(L301&gt;=1,"Completado",IF(L301&gt;0,"En curso","Pendiente")))</f>
        <v/>
      </c>
      <c r="N301" s="62" t="n"/>
      <c r="O301" s="68">
        <f>IF(NOT((COUNTA($B301:$K301)+COUNTA($N301))&gt;0),"",IF((IF(AND($S301="Macro",$B301=""),"Macroactividad vacía"&amp;" · ","")&amp;IF(AND($B301&lt;&gt;"",$C301&lt;&gt;""),"Escriba la subactividad en otra fila, debajo de su macroactividad"&amp;" · ","")&amp;IF(AND($S301="Sub",N($R301)=0),"Subactividad sin macroactividad arriba"&amp;" · ","")&amp;IF($D301="","Sin responsable"&amp;" · ","")&amp;IF($E301="","Sin fecha de inicio"&amp;" · ","")&amp;IF($F301="","Sin fecha límite"&amp;" · ","")&amp;IF(OR(AND($E301&lt;&gt;"",NOT(ISNUMBER($E301))),AND($F301&lt;&gt;"",NOT(ISNUMBER($F301)))),"Fecha no válida"&amp;" · ","")&amp;IF(AND(ISNUMBER($E301),ISNUMBER($F301),$E301&gt;$F301),"Inicio posterior a fecha límite"&amp;" · ","")&amp;IF(AND($S301="Macro",$G301=""),"Peso vacío"&amp;" · ","")&amp;IF(AND($S301="Macro",$G301&lt;&gt;"",OR(NOT(ISNUMBER($G301)),$G301&lt;=0,$G301&gt;1)),"Peso fuera de rango"&amp;" · ","")&amp;IF(AND($S301="Sub",$G301&lt;&gt;""),"Las subactividades no llevan peso"&amp;" · ","")&amp;IF(AND($S301="Macro",ABS(SUMIFS($G$5:$G$1000,$P$5:$P$1000,$P301,$S$5:$S$1000,"Macro")-1)&gt;0.0001),"Pesos del mes suman "&amp;TEXT(SUMIFS($G$5:$G$1000,$P$5:$P$1000,$P301,$S$5:$S$1000,"Macro"),"0%")&amp;" · ","")&amp;IF(AND(N($T301)&gt;0,COUNT($H301:$K301)&gt;0),"Con subactividades: deje vacías las semanas (se calculan solas)"&amp;" · ","")&amp;IF((COUNTIF($H301:$K301,"&gt;1")+COUNTIF($H301:$K301,"&lt;0")+COUNTA($H301:$K301)-COUNT($H301:$K301))&gt;0,"Avance fuera de rango 0-100%"&amp;" · ","")&amp;IF(OR(AND($I301&lt;&gt;"",$I301&lt;$H301),AND($J301&lt;&gt;"",$J301&lt;MAX($H301:$I301)),AND($K301&lt;&gt;"",$K301&lt;MAX($H301:$J301))),"Avance semanal decreciente"&amp;" · ","")&amp;IF(AND(ISNUMBER($F301),$F301&lt;FechaRef,N($L301)&lt;1),"Vencida"&amp;" · ","")&amp;IF(AND(ObsObligatoria="Sí",ISNUMBER($F301),$F301&lt;FechaRef,N($L301)&lt;1,$N301=""),"Vencida sin observación"&amp;" · ",""))="","✔ OK","⚠ "&amp;LEFT(IF(AND($S301="Macro",$B301=""),"Macroactividad vacía"&amp;" · ","")&amp;IF(AND($B301&lt;&gt;"",$C301&lt;&gt;""),"Escriba la subactividad en otra fila, debajo de su macroactividad"&amp;" · ","")&amp;IF(AND($S301="Sub",N($R301)=0),"Subactividad sin macroactividad arriba"&amp;" · ","")&amp;IF($D301="","Sin responsable"&amp;" · ","")&amp;IF($E301="","Sin fecha de inicio"&amp;" · ","")&amp;IF($F301="","Sin fecha límite"&amp;" · ","")&amp;IF(OR(AND($E301&lt;&gt;"",NOT(ISNUMBER($E301))),AND($F301&lt;&gt;"",NOT(ISNUMBER($F301)))),"Fecha no válida"&amp;" · ","")&amp;IF(AND(ISNUMBER($E301),ISNUMBER($F301),$E301&gt;$F301),"Inicio posterior a fecha límite"&amp;" · ","")&amp;IF(AND($S301="Macro",$G301=""),"Peso vacío"&amp;" · ","")&amp;IF(AND($S301="Macro",$G301&lt;&gt;"",OR(NOT(ISNUMBER($G301)),$G301&lt;=0,$G301&gt;1)),"Peso fuera de rango"&amp;" · ","")&amp;IF(AND($S301="Sub",$G301&lt;&gt;""),"Las subactividades no llevan peso"&amp;" · ","")&amp;IF(AND($S301="Macro",ABS(SUMIFS($G$5:$G$1000,$P$5:$P$1000,$P301,$S$5:$S$1000,"Macro")-1)&gt;0.0001),"Pesos del mes suman "&amp;TEXT(SUMIFS($G$5:$G$1000,$P$5:$P$1000,$P301,$S$5:$S$1000,"Macro"),"0%")&amp;" · ","")&amp;IF(AND(N($T301)&gt;0,COUNT($H301:$K301)&gt;0),"Con subactividades: deje vacías las semanas (se calculan solas)"&amp;" · ","")&amp;IF((COUNTIF($H301:$K301,"&gt;1")+COUNTIF($H301:$K301,"&lt;0")+COUNTA($H301:$K301)-COUNT($H301:$K301))&gt;0,"Avance fuera de rango 0-100%"&amp;" · ","")&amp;IF(OR(AND($I301&lt;&gt;"",$I301&lt;$H301),AND($J301&lt;&gt;"",$J301&lt;MAX($H301:$I301)),AND($K301&lt;&gt;"",$K301&lt;MAX($H301:$J301))),"Avance semanal decreciente"&amp;" · ","")&amp;IF(AND(ISNUMBER($F301),$F301&lt;FechaRef,N($L301)&lt;1),"Vencida"&amp;" · ","")&amp;IF(AND(ObsObligatoria="Sí",ISNUMBER($F301),$F301&lt;FechaRef,N($L301)&lt;1,$N301=""),"Vencida sin observación"&amp;" · ",""),LEN(IF(AND($S301="Macro",$B301=""),"Macroactividad vacía"&amp;" · ","")&amp;IF(AND($B301&lt;&gt;"",$C301&lt;&gt;""),"Escriba la subactividad en otra fila, debajo de su macroactividad"&amp;" · ","")&amp;IF(AND($S301="Sub",N($R301)=0),"Subactividad sin macroactividad arriba"&amp;" · ","")&amp;IF($D301="","Sin responsable"&amp;" · ","")&amp;IF($E301="","Sin fecha de inicio"&amp;" · ","")&amp;IF($F301="","Sin fecha límite"&amp;" · ","")&amp;IF(OR(AND($E301&lt;&gt;"",NOT(ISNUMBER($E301))),AND($F301&lt;&gt;"",NOT(ISNUMBER($F301)))),"Fecha no válida"&amp;" · ","")&amp;IF(AND(ISNUMBER($E301),ISNUMBER($F301),$E301&gt;$F301),"Inicio posterior a fecha límite"&amp;" · ","")&amp;IF(AND($S301="Macro",$G301=""),"Peso vacío"&amp;" · ","")&amp;IF(AND($S301="Macro",$G301&lt;&gt;"",OR(NOT(ISNUMBER($G301)),$G301&lt;=0,$G301&gt;1)),"Peso fuera de rango"&amp;" · ","")&amp;IF(AND($S301="Sub",$G301&lt;&gt;""),"Las subactividades no llevan peso"&amp;" · ","")&amp;IF(AND($S301="Macro",ABS(SUMIFS($G$5:$G$1000,$P$5:$P$1000,$P301,$S$5:$S$1000,"Macro")-1)&gt;0.0001),"Pesos del mes suman "&amp;TEXT(SUMIFS($G$5:$G$1000,$P$5:$P$1000,$P301,$S$5:$S$1000,"Macro"),"0%")&amp;" · ","")&amp;IF(AND(N($T301)&gt;0,COUNT($H301:$K301)&gt;0),"Con subactividades: deje vacías las semanas (se calculan solas)"&amp;" · ","")&amp;IF((COUNTIF($H301:$K301,"&gt;1")+COUNTIF($H301:$K301,"&lt;0")+COUNTA($H301:$K301)-COUNT($H301:$K301))&gt;0,"Avance fuera de rango 0-100%"&amp;" · ","")&amp;IF(OR(AND($I301&lt;&gt;"",$I301&lt;$H301),AND($J301&lt;&gt;"",$J301&lt;MAX($H301:$I301)),AND($K301&lt;&gt;"",$K301&lt;MAX($H301:$J301))),"Avance semanal decreciente"&amp;" · ","")&amp;IF(AND(ISNUMBER($F301),$F301&lt;FechaRef,N($L301)&lt;1),"Vencida"&amp;" · ","")&amp;IF(AND(ObsObligatoria="Sí",ISNUMBER($F301),$F301&lt;FechaRef,N($L301)&lt;1,$N301=""),"Vencida sin observación"&amp;" · ",""))-3)))</f>
        <v/>
      </c>
      <c r="P301" s="69">
        <f>IF(NOT((COUNTA($B301:$K301)+COUNTA($N301))&gt;0),"",IF(AND($S301="Sub",N($R301)&gt;0),IF(ISNUMBER(INDEX($E$5:$E$1000,$R301-4)),DATE(YEAR(INDEX($E$5:$E$1000,$R301-4)),MONTH(INDEX($E$5:$E$1000,$R301-4)),1),IF(ISNUMBER(INDEX($F$5:$F$1000,$R301-4)),DATE(YEAR(INDEX($F$5:$F$1000,$R301-4)),MONTH(INDEX($F$5:$F$1000,$R301-4)),1),MesCiclo)),IF(ISNUMBER($E301),DATE(YEAR($E301),MONTH($E301),1),IF(ISNUMBER($F301),DATE(YEAR($F301),MONTH($F301),1),MesCiclo))))</f>
        <v/>
      </c>
      <c r="Q301" s="70">
        <f>IF(OR($P301="",$P301&lt;&gt;MesCiclo),"",COUNTIF($P$5:$P301,MesCiclo))</f>
        <v/>
      </c>
      <c r="R301" s="70">
        <f>IF($S301="","",IF($S301="Macro",ROW(),IFERROR(LOOKUP(2,1/($S$5:$S301="Macro"),ROW($S$5:$S301)),0)))</f>
        <v/>
      </c>
      <c r="S301" s="70">
        <f>IF(NOT((COUNTA($B301:$K301)+COUNTA($N301))&gt;0),"",IF($B301&lt;&gt;"","Macro",IF($C301&lt;&gt;"","Sub","Macro")))</f>
        <v/>
      </c>
      <c r="T301" s="70">
        <f>IF($S301="Macro",COUNTIFS($R$5:$R$1000,ROW(),$S$5:$S$1000,"Sub"),"")</f>
        <v/>
      </c>
      <c r="U301" s="70">
        <f>IF($S301="","",IF(ISNUMBER($H301),$H301,0))</f>
        <v/>
      </c>
      <c r="V301" s="70">
        <f>IF($S301="","",IF(ISNUMBER($I301),$I301,$U301))</f>
        <v/>
      </c>
      <c r="W301" s="70">
        <f>IF($S301="","",IF(ISNUMBER($J301),$J301,$V301))</f>
        <v/>
      </c>
      <c r="X301" s="70">
        <f>IF($S301="","",IF(ISNUMBER($K301),$K301,$W301))</f>
        <v/>
      </c>
      <c r="Y301" s="70">
        <f>IF($S301="","",IF(N($T301)&gt;0,AVERAGEIFS($U$5:$U$1000,$R$5:$R$1000,ROW(),$S$5:$S$1000,"Sub"),$U301))</f>
        <v/>
      </c>
      <c r="Z301" s="70">
        <f>IF($S301="","",IF(N($T301)&gt;0,AVERAGEIFS($V$5:$V$1000,$R$5:$R$1000,ROW(),$S$5:$S$1000,"Sub"),$V301))</f>
        <v/>
      </c>
      <c r="AA301" s="70">
        <f>IF($S301="","",IF(N($T301)&gt;0,AVERAGEIFS($W$5:$W$1000,$R$5:$R$1000,ROW(),$S$5:$S$1000,"Sub"),$W301))</f>
        <v/>
      </c>
      <c r="AB301" s="70">
        <f>IF($S301="","",IF(N($T301)&gt;0,AVERAGEIFS($X$5:$X$1000,$R$5:$R$1000,ROW(),$S$5:$S$1000,"Sub"),$X301))</f>
        <v/>
      </c>
    </row>
    <row r="302">
      <c r="A302" s="61">
        <f>IF(NOT((COUNTA($B302:$K302)+COUNTA($N302))&gt;0),"",IF($S302="Macro",COUNTIFS($S$5:$S302,"Macro",$P$5:$P302,$P302),IF(N($R302)=0,"?",COUNTIFS(INDEX($S$5:$S$1000,1):INDEX($S$5:$S$1000,$R302-4),"Macro",INDEX($P$5:$P$1000,1):INDEX($P$5:$P$1000,$R302-4),INDEX($P$5:$P$1000,$R302-4))&amp;"."&amp;COUNTIFS($R$5:$R302,$R302,$S$5:$S302,"Sub"))))</f>
        <v/>
      </c>
      <c r="B302" s="62" t="n"/>
      <c r="C302" s="63" t="n"/>
      <c r="D302" s="62" t="n"/>
      <c r="E302" s="64" t="n"/>
      <c r="F302" s="64" t="n"/>
      <c r="G302" s="65" t="n"/>
      <c r="H302" s="66" t="n"/>
      <c r="I302" s="66" t="n"/>
      <c r="J302" s="66" t="n"/>
      <c r="K302" s="66" t="n"/>
      <c r="L302" s="67">
        <f>IF(NOT((COUNTA($B302:$K302)+COUNTA($N302))&gt;0),"",IF(N($T302)&gt;0,$AB302,IFERROR(LOOKUP(2,1/(H302:K302&lt;&gt;""),H302:K302),0)))</f>
        <v/>
      </c>
      <c r="M302" s="61">
        <f>IF(L302="","",IF(L302&gt;=1,"Completado",IF(L302&gt;0,"En curso","Pendiente")))</f>
        <v/>
      </c>
      <c r="N302" s="62" t="n"/>
      <c r="O302" s="68">
        <f>IF(NOT((COUNTA($B302:$K302)+COUNTA($N302))&gt;0),"",IF((IF(AND($S302="Macro",$B302=""),"Macroactividad vacía"&amp;" · ","")&amp;IF(AND($B302&lt;&gt;"",$C302&lt;&gt;""),"Escriba la subactividad en otra fila, debajo de su macroactividad"&amp;" · ","")&amp;IF(AND($S302="Sub",N($R302)=0),"Subactividad sin macroactividad arriba"&amp;" · ","")&amp;IF($D302="","Sin responsable"&amp;" · ","")&amp;IF($E302="","Sin fecha de inicio"&amp;" · ","")&amp;IF($F302="","Sin fecha límite"&amp;" · ","")&amp;IF(OR(AND($E302&lt;&gt;"",NOT(ISNUMBER($E302))),AND($F302&lt;&gt;"",NOT(ISNUMBER($F302)))),"Fecha no válida"&amp;" · ","")&amp;IF(AND(ISNUMBER($E302),ISNUMBER($F302),$E302&gt;$F302),"Inicio posterior a fecha límite"&amp;" · ","")&amp;IF(AND($S302="Macro",$G302=""),"Peso vacío"&amp;" · ","")&amp;IF(AND($S302="Macro",$G302&lt;&gt;"",OR(NOT(ISNUMBER($G302)),$G302&lt;=0,$G302&gt;1)),"Peso fuera de rango"&amp;" · ","")&amp;IF(AND($S302="Sub",$G302&lt;&gt;""),"Las subactividades no llevan peso"&amp;" · ","")&amp;IF(AND($S302="Macro",ABS(SUMIFS($G$5:$G$1000,$P$5:$P$1000,$P302,$S$5:$S$1000,"Macro")-1)&gt;0.0001),"Pesos del mes suman "&amp;TEXT(SUMIFS($G$5:$G$1000,$P$5:$P$1000,$P302,$S$5:$S$1000,"Macro"),"0%")&amp;" · ","")&amp;IF(AND(N($T302)&gt;0,COUNT($H302:$K302)&gt;0),"Con subactividades: deje vacías las semanas (se calculan solas)"&amp;" · ","")&amp;IF((COUNTIF($H302:$K302,"&gt;1")+COUNTIF($H302:$K302,"&lt;0")+COUNTA($H302:$K302)-COUNT($H302:$K302))&gt;0,"Avance fuera de rango 0-100%"&amp;" · ","")&amp;IF(OR(AND($I302&lt;&gt;"",$I302&lt;$H302),AND($J302&lt;&gt;"",$J302&lt;MAX($H302:$I302)),AND($K302&lt;&gt;"",$K302&lt;MAX($H302:$J302))),"Avance semanal decreciente"&amp;" · ","")&amp;IF(AND(ISNUMBER($F302),$F302&lt;FechaRef,N($L302)&lt;1),"Vencida"&amp;" · ","")&amp;IF(AND(ObsObligatoria="Sí",ISNUMBER($F302),$F302&lt;FechaRef,N($L302)&lt;1,$N302=""),"Vencida sin observación"&amp;" · ",""))="","✔ OK","⚠ "&amp;LEFT(IF(AND($S302="Macro",$B302=""),"Macroactividad vacía"&amp;" · ","")&amp;IF(AND($B302&lt;&gt;"",$C302&lt;&gt;""),"Escriba la subactividad en otra fila, debajo de su macroactividad"&amp;" · ","")&amp;IF(AND($S302="Sub",N($R302)=0),"Subactividad sin macroactividad arriba"&amp;" · ","")&amp;IF($D302="","Sin responsable"&amp;" · ","")&amp;IF($E302="","Sin fecha de inicio"&amp;" · ","")&amp;IF($F302="","Sin fecha límite"&amp;" · ","")&amp;IF(OR(AND($E302&lt;&gt;"",NOT(ISNUMBER($E302))),AND($F302&lt;&gt;"",NOT(ISNUMBER($F302)))),"Fecha no válida"&amp;" · ","")&amp;IF(AND(ISNUMBER($E302),ISNUMBER($F302),$E302&gt;$F302),"Inicio posterior a fecha límite"&amp;" · ","")&amp;IF(AND($S302="Macro",$G302=""),"Peso vacío"&amp;" · ","")&amp;IF(AND($S302="Macro",$G302&lt;&gt;"",OR(NOT(ISNUMBER($G302)),$G302&lt;=0,$G302&gt;1)),"Peso fuera de rango"&amp;" · ","")&amp;IF(AND($S302="Sub",$G302&lt;&gt;""),"Las subactividades no llevan peso"&amp;" · ","")&amp;IF(AND($S302="Macro",ABS(SUMIFS($G$5:$G$1000,$P$5:$P$1000,$P302,$S$5:$S$1000,"Macro")-1)&gt;0.0001),"Pesos del mes suman "&amp;TEXT(SUMIFS($G$5:$G$1000,$P$5:$P$1000,$P302,$S$5:$S$1000,"Macro"),"0%")&amp;" · ","")&amp;IF(AND(N($T302)&gt;0,COUNT($H302:$K302)&gt;0),"Con subactividades: deje vacías las semanas (se calculan solas)"&amp;" · ","")&amp;IF((COUNTIF($H302:$K302,"&gt;1")+COUNTIF($H302:$K302,"&lt;0")+COUNTA($H302:$K302)-COUNT($H302:$K302))&gt;0,"Avance fuera de rango 0-100%"&amp;" · ","")&amp;IF(OR(AND($I302&lt;&gt;"",$I302&lt;$H302),AND($J302&lt;&gt;"",$J302&lt;MAX($H302:$I302)),AND($K302&lt;&gt;"",$K302&lt;MAX($H302:$J302))),"Avance semanal decreciente"&amp;" · ","")&amp;IF(AND(ISNUMBER($F302),$F302&lt;FechaRef,N($L302)&lt;1),"Vencida"&amp;" · ","")&amp;IF(AND(ObsObligatoria="Sí",ISNUMBER($F302),$F302&lt;FechaRef,N($L302)&lt;1,$N302=""),"Vencida sin observación"&amp;" · ",""),LEN(IF(AND($S302="Macro",$B302=""),"Macroactividad vacía"&amp;" · ","")&amp;IF(AND($B302&lt;&gt;"",$C302&lt;&gt;""),"Escriba la subactividad en otra fila, debajo de su macroactividad"&amp;" · ","")&amp;IF(AND($S302="Sub",N($R302)=0),"Subactividad sin macroactividad arriba"&amp;" · ","")&amp;IF($D302="","Sin responsable"&amp;" · ","")&amp;IF($E302="","Sin fecha de inicio"&amp;" · ","")&amp;IF($F302="","Sin fecha límite"&amp;" · ","")&amp;IF(OR(AND($E302&lt;&gt;"",NOT(ISNUMBER($E302))),AND($F302&lt;&gt;"",NOT(ISNUMBER($F302)))),"Fecha no válida"&amp;" · ","")&amp;IF(AND(ISNUMBER($E302),ISNUMBER($F302),$E302&gt;$F302),"Inicio posterior a fecha límite"&amp;" · ","")&amp;IF(AND($S302="Macro",$G302=""),"Peso vacío"&amp;" · ","")&amp;IF(AND($S302="Macro",$G302&lt;&gt;"",OR(NOT(ISNUMBER($G302)),$G302&lt;=0,$G302&gt;1)),"Peso fuera de rango"&amp;" · ","")&amp;IF(AND($S302="Sub",$G302&lt;&gt;""),"Las subactividades no llevan peso"&amp;" · ","")&amp;IF(AND($S302="Macro",ABS(SUMIFS($G$5:$G$1000,$P$5:$P$1000,$P302,$S$5:$S$1000,"Macro")-1)&gt;0.0001),"Pesos del mes suman "&amp;TEXT(SUMIFS($G$5:$G$1000,$P$5:$P$1000,$P302,$S$5:$S$1000,"Macro"),"0%")&amp;" · ","")&amp;IF(AND(N($T302)&gt;0,COUNT($H302:$K302)&gt;0),"Con subactividades: deje vacías las semanas (se calculan solas)"&amp;" · ","")&amp;IF((COUNTIF($H302:$K302,"&gt;1")+COUNTIF($H302:$K302,"&lt;0")+COUNTA($H302:$K302)-COUNT($H302:$K302))&gt;0,"Avance fuera de rango 0-100%"&amp;" · ","")&amp;IF(OR(AND($I302&lt;&gt;"",$I302&lt;$H302),AND($J302&lt;&gt;"",$J302&lt;MAX($H302:$I302)),AND($K302&lt;&gt;"",$K302&lt;MAX($H302:$J302))),"Avance semanal decreciente"&amp;" · ","")&amp;IF(AND(ISNUMBER($F302),$F302&lt;FechaRef,N($L302)&lt;1),"Vencida"&amp;" · ","")&amp;IF(AND(ObsObligatoria="Sí",ISNUMBER($F302),$F302&lt;FechaRef,N($L302)&lt;1,$N302=""),"Vencida sin observación"&amp;" · ",""))-3)))</f>
        <v/>
      </c>
      <c r="P302" s="69">
        <f>IF(NOT((COUNTA($B302:$K302)+COUNTA($N302))&gt;0),"",IF(AND($S302="Sub",N($R302)&gt;0),IF(ISNUMBER(INDEX($E$5:$E$1000,$R302-4)),DATE(YEAR(INDEX($E$5:$E$1000,$R302-4)),MONTH(INDEX($E$5:$E$1000,$R302-4)),1),IF(ISNUMBER(INDEX($F$5:$F$1000,$R302-4)),DATE(YEAR(INDEX($F$5:$F$1000,$R302-4)),MONTH(INDEX($F$5:$F$1000,$R302-4)),1),MesCiclo)),IF(ISNUMBER($E302),DATE(YEAR($E302),MONTH($E302),1),IF(ISNUMBER($F302),DATE(YEAR($F302),MONTH($F302),1),MesCiclo))))</f>
        <v/>
      </c>
      <c r="Q302" s="70">
        <f>IF(OR($P302="",$P302&lt;&gt;MesCiclo),"",COUNTIF($P$5:$P302,MesCiclo))</f>
        <v/>
      </c>
      <c r="R302" s="70">
        <f>IF($S302="","",IF($S302="Macro",ROW(),IFERROR(LOOKUP(2,1/($S$5:$S302="Macro"),ROW($S$5:$S302)),0)))</f>
        <v/>
      </c>
      <c r="S302" s="70">
        <f>IF(NOT((COUNTA($B302:$K302)+COUNTA($N302))&gt;0),"",IF($B302&lt;&gt;"","Macro",IF($C302&lt;&gt;"","Sub","Macro")))</f>
        <v/>
      </c>
      <c r="T302" s="70">
        <f>IF($S302="Macro",COUNTIFS($R$5:$R$1000,ROW(),$S$5:$S$1000,"Sub"),"")</f>
        <v/>
      </c>
      <c r="U302" s="70">
        <f>IF($S302="","",IF(ISNUMBER($H302),$H302,0))</f>
        <v/>
      </c>
      <c r="V302" s="70">
        <f>IF($S302="","",IF(ISNUMBER($I302),$I302,$U302))</f>
        <v/>
      </c>
      <c r="W302" s="70">
        <f>IF($S302="","",IF(ISNUMBER($J302),$J302,$V302))</f>
        <v/>
      </c>
      <c r="X302" s="70">
        <f>IF($S302="","",IF(ISNUMBER($K302),$K302,$W302))</f>
        <v/>
      </c>
      <c r="Y302" s="70">
        <f>IF($S302="","",IF(N($T302)&gt;0,AVERAGEIFS($U$5:$U$1000,$R$5:$R$1000,ROW(),$S$5:$S$1000,"Sub"),$U302))</f>
        <v/>
      </c>
      <c r="Z302" s="70">
        <f>IF($S302="","",IF(N($T302)&gt;0,AVERAGEIFS($V$5:$V$1000,$R$5:$R$1000,ROW(),$S$5:$S$1000,"Sub"),$V302))</f>
        <v/>
      </c>
      <c r="AA302" s="70">
        <f>IF($S302="","",IF(N($T302)&gt;0,AVERAGEIFS($W$5:$W$1000,$R$5:$R$1000,ROW(),$S$5:$S$1000,"Sub"),$W302))</f>
        <v/>
      </c>
      <c r="AB302" s="70">
        <f>IF($S302="","",IF(N($T302)&gt;0,AVERAGEIFS($X$5:$X$1000,$R$5:$R$1000,ROW(),$S$5:$S$1000,"Sub"),$X302))</f>
        <v/>
      </c>
    </row>
    <row r="303">
      <c r="A303" s="61">
        <f>IF(NOT((COUNTA($B303:$K303)+COUNTA($N303))&gt;0),"",IF($S303="Macro",COUNTIFS($S$5:$S303,"Macro",$P$5:$P303,$P303),IF(N($R303)=0,"?",COUNTIFS(INDEX($S$5:$S$1000,1):INDEX($S$5:$S$1000,$R303-4),"Macro",INDEX($P$5:$P$1000,1):INDEX($P$5:$P$1000,$R303-4),INDEX($P$5:$P$1000,$R303-4))&amp;"."&amp;COUNTIFS($R$5:$R303,$R303,$S$5:$S303,"Sub"))))</f>
        <v/>
      </c>
      <c r="B303" s="62" t="n"/>
      <c r="C303" s="63" t="n"/>
      <c r="D303" s="62" t="n"/>
      <c r="E303" s="64" t="n"/>
      <c r="F303" s="64" t="n"/>
      <c r="G303" s="65" t="n"/>
      <c r="H303" s="66" t="n"/>
      <c r="I303" s="66" t="n"/>
      <c r="J303" s="66" t="n"/>
      <c r="K303" s="66" t="n"/>
      <c r="L303" s="67">
        <f>IF(NOT((COUNTA($B303:$K303)+COUNTA($N303))&gt;0),"",IF(N($T303)&gt;0,$AB303,IFERROR(LOOKUP(2,1/(H303:K303&lt;&gt;""),H303:K303),0)))</f>
        <v/>
      </c>
      <c r="M303" s="61">
        <f>IF(L303="","",IF(L303&gt;=1,"Completado",IF(L303&gt;0,"En curso","Pendiente")))</f>
        <v/>
      </c>
      <c r="N303" s="62" t="n"/>
      <c r="O303" s="68">
        <f>IF(NOT((COUNTA($B303:$K303)+COUNTA($N303))&gt;0),"",IF((IF(AND($S303="Macro",$B303=""),"Macroactividad vacía"&amp;" · ","")&amp;IF(AND($B303&lt;&gt;"",$C303&lt;&gt;""),"Escriba la subactividad en otra fila, debajo de su macroactividad"&amp;" · ","")&amp;IF(AND($S303="Sub",N($R303)=0),"Subactividad sin macroactividad arriba"&amp;" · ","")&amp;IF($D303="","Sin responsable"&amp;" · ","")&amp;IF($E303="","Sin fecha de inicio"&amp;" · ","")&amp;IF($F303="","Sin fecha límite"&amp;" · ","")&amp;IF(OR(AND($E303&lt;&gt;"",NOT(ISNUMBER($E303))),AND($F303&lt;&gt;"",NOT(ISNUMBER($F303)))),"Fecha no válida"&amp;" · ","")&amp;IF(AND(ISNUMBER($E303),ISNUMBER($F303),$E303&gt;$F303),"Inicio posterior a fecha límite"&amp;" · ","")&amp;IF(AND($S303="Macro",$G303=""),"Peso vacío"&amp;" · ","")&amp;IF(AND($S303="Macro",$G303&lt;&gt;"",OR(NOT(ISNUMBER($G303)),$G303&lt;=0,$G303&gt;1)),"Peso fuera de rango"&amp;" · ","")&amp;IF(AND($S303="Sub",$G303&lt;&gt;""),"Las subactividades no llevan peso"&amp;" · ","")&amp;IF(AND($S303="Macro",ABS(SUMIFS($G$5:$G$1000,$P$5:$P$1000,$P303,$S$5:$S$1000,"Macro")-1)&gt;0.0001),"Pesos del mes suman "&amp;TEXT(SUMIFS($G$5:$G$1000,$P$5:$P$1000,$P303,$S$5:$S$1000,"Macro"),"0%")&amp;" · ","")&amp;IF(AND(N($T303)&gt;0,COUNT($H303:$K303)&gt;0),"Con subactividades: deje vacías las semanas (se calculan solas)"&amp;" · ","")&amp;IF((COUNTIF($H303:$K303,"&gt;1")+COUNTIF($H303:$K303,"&lt;0")+COUNTA($H303:$K303)-COUNT($H303:$K303))&gt;0,"Avance fuera de rango 0-100%"&amp;" · ","")&amp;IF(OR(AND($I303&lt;&gt;"",$I303&lt;$H303),AND($J303&lt;&gt;"",$J303&lt;MAX($H303:$I303)),AND($K303&lt;&gt;"",$K303&lt;MAX($H303:$J303))),"Avance semanal decreciente"&amp;" · ","")&amp;IF(AND(ISNUMBER($F303),$F303&lt;FechaRef,N($L303)&lt;1),"Vencida"&amp;" · ","")&amp;IF(AND(ObsObligatoria="Sí",ISNUMBER($F303),$F303&lt;FechaRef,N($L303)&lt;1,$N303=""),"Vencida sin observación"&amp;" · ",""))="","✔ OK","⚠ "&amp;LEFT(IF(AND($S303="Macro",$B303=""),"Macroactividad vacía"&amp;" · ","")&amp;IF(AND($B303&lt;&gt;"",$C303&lt;&gt;""),"Escriba la subactividad en otra fila, debajo de su macroactividad"&amp;" · ","")&amp;IF(AND($S303="Sub",N($R303)=0),"Subactividad sin macroactividad arriba"&amp;" · ","")&amp;IF($D303="","Sin responsable"&amp;" · ","")&amp;IF($E303="","Sin fecha de inicio"&amp;" · ","")&amp;IF($F303="","Sin fecha límite"&amp;" · ","")&amp;IF(OR(AND($E303&lt;&gt;"",NOT(ISNUMBER($E303))),AND($F303&lt;&gt;"",NOT(ISNUMBER($F303)))),"Fecha no válida"&amp;" · ","")&amp;IF(AND(ISNUMBER($E303),ISNUMBER($F303),$E303&gt;$F303),"Inicio posterior a fecha límite"&amp;" · ","")&amp;IF(AND($S303="Macro",$G303=""),"Peso vacío"&amp;" · ","")&amp;IF(AND($S303="Macro",$G303&lt;&gt;"",OR(NOT(ISNUMBER($G303)),$G303&lt;=0,$G303&gt;1)),"Peso fuera de rango"&amp;" · ","")&amp;IF(AND($S303="Sub",$G303&lt;&gt;""),"Las subactividades no llevan peso"&amp;" · ","")&amp;IF(AND($S303="Macro",ABS(SUMIFS($G$5:$G$1000,$P$5:$P$1000,$P303,$S$5:$S$1000,"Macro")-1)&gt;0.0001),"Pesos del mes suman "&amp;TEXT(SUMIFS($G$5:$G$1000,$P$5:$P$1000,$P303,$S$5:$S$1000,"Macro"),"0%")&amp;" · ","")&amp;IF(AND(N($T303)&gt;0,COUNT($H303:$K303)&gt;0),"Con subactividades: deje vacías las semanas (se calculan solas)"&amp;" · ","")&amp;IF((COUNTIF($H303:$K303,"&gt;1")+COUNTIF($H303:$K303,"&lt;0")+COUNTA($H303:$K303)-COUNT($H303:$K303))&gt;0,"Avance fuera de rango 0-100%"&amp;" · ","")&amp;IF(OR(AND($I303&lt;&gt;"",$I303&lt;$H303),AND($J303&lt;&gt;"",$J303&lt;MAX($H303:$I303)),AND($K303&lt;&gt;"",$K303&lt;MAX($H303:$J303))),"Avance semanal decreciente"&amp;" · ","")&amp;IF(AND(ISNUMBER($F303),$F303&lt;FechaRef,N($L303)&lt;1),"Vencida"&amp;" · ","")&amp;IF(AND(ObsObligatoria="Sí",ISNUMBER($F303),$F303&lt;FechaRef,N($L303)&lt;1,$N303=""),"Vencida sin observación"&amp;" · ",""),LEN(IF(AND($S303="Macro",$B303=""),"Macroactividad vacía"&amp;" · ","")&amp;IF(AND($B303&lt;&gt;"",$C303&lt;&gt;""),"Escriba la subactividad en otra fila, debajo de su macroactividad"&amp;" · ","")&amp;IF(AND($S303="Sub",N($R303)=0),"Subactividad sin macroactividad arriba"&amp;" · ","")&amp;IF($D303="","Sin responsable"&amp;" · ","")&amp;IF($E303="","Sin fecha de inicio"&amp;" · ","")&amp;IF($F303="","Sin fecha límite"&amp;" · ","")&amp;IF(OR(AND($E303&lt;&gt;"",NOT(ISNUMBER($E303))),AND($F303&lt;&gt;"",NOT(ISNUMBER($F303)))),"Fecha no válida"&amp;" · ","")&amp;IF(AND(ISNUMBER($E303),ISNUMBER($F303),$E303&gt;$F303),"Inicio posterior a fecha límite"&amp;" · ","")&amp;IF(AND($S303="Macro",$G303=""),"Peso vacío"&amp;" · ","")&amp;IF(AND($S303="Macro",$G303&lt;&gt;"",OR(NOT(ISNUMBER($G303)),$G303&lt;=0,$G303&gt;1)),"Peso fuera de rango"&amp;" · ","")&amp;IF(AND($S303="Sub",$G303&lt;&gt;""),"Las subactividades no llevan peso"&amp;" · ","")&amp;IF(AND($S303="Macro",ABS(SUMIFS($G$5:$G$1000,$P$5:$P$1000,$P303,$S$5:$S$1000,"Macro")-1)&gt;0.0001),"Pesos del mes suman "&amp;TEXT(SUMIFS($G$5:$G$1000,$P$5:$P$1000,$P303,$S$5:$S$1000,"Macro"),"0%")&amp;" · ","")&amp;IF(AND(N($T303)&gt;0,COUNT($H303:$K303)&gt;0),"Con subactividades: deje vacías las semanas (se calculan solas)"&amp;" · ","")&amp;IF((COUNTIF($H303:$K303,"&gt;1")+COUNTIF($H303:$K303,"&lt;0")+COUNTA($H303:$K303)-COUNT($H303:$K303))&gt;0,"Avance fuera de rango 0-100%"&amp;" · ","")&amp;IF(OR(AND($I303&lt;&gt;"",$I303&lt;$H303),AND($J303&lt;&gt;"",$J303&lt;MAX($H303:$I303)),AND($K303&lt;&gt;"",$K303&lt;MAX($H303:$J303))),"Avance semanal decreciente"&amp;" · ","")&amp;IF(AND(ISNUMBER($F303),$F303&lt;FechaRef,N($L303)&lt;1),"Vencida"&amp;" · ","")&amp;IF(AND(ObsObligatoria="Sí",ISNUMBER($F303),$F303&lt;FechaRef,N($L303)&lt;1,$N303=""),"Vencida sin observación"&amp;" · ",""))-3)))</f>
        <v/>
      </c>
      <c r="P303" s="69">
        <f>IF(NOT((COUNTA($B303:$K303)+COUNTA($N303))&gt;0),"",IF(AND($S303="Sub",N($R303)&gt;0),IF(ISNUMBER(INDEX($E$5:$E$1000,$R303-4)),DATE(YEAR(INDEX($E$5:$E$1000,$R303-4)),MONTH(INDEX($E$5:$E$1000,$R303-4)),1),IF(ISNUMBER(INDEX($F$5:$F$1000,$R303-4)),DATE(YEAR(INDEX($F$5:$F$1000,$R303-4)),MONTH(INDEX($F$5:$F$1000,$R303-4)),1),MesCiclo)),IF(ISNUMBER($E303),DATE(YEAR($E303),MONTH($E303),1),IF(ISNUMBER($F303),DATE(YEAR($F303),MONTH($F303),1),MesCiclo))))</f>
        <v/>
      </c>
      <c r="Q303" s="70">
        <f>IF(OR($P303="",$P303&lt;&gt;MesCiclo),"",COUNTIF($P$5:$P303,MesCiclo))</f>
        <v/>
      </c>
      <c r="R303" s="70">
        <f>IF($S303="","",IF($S303="Macro",ROW(),IFERROR(LOOKUP(2,1/($S$5:$S303="Macro"),ROW($S$5:$S303)),0)))</f>
        <v/>
      </c>
      <c r="S303" s="70">
        <f>IF(NOT((COUNTA($B303:$K303)+COUNTA($N303))&gt;0),"",IF($B303&lt;&gt;"","Macro",IF($C303&lt;&gt;"","Sub","Macro")))</f>
        <v/>
      </c>
      <c r="T303" s="70">
        <f>IF($S303="Macro",COUNTIFS($R$5:$R$1000,ROW(),$S$5:$S$1000,"Sub"),"")</f>
        <v/>
      </c>
      <c r="U303" s="70">
        <f>IF($S303="","",IF(ISNUMBER($H303),$H303,0))</f>
        <v/>
      </c>
      <c r="V303" s="70">
        <f>IF($S303="","",IF(ISNUMBER($I303),$I303,$U303))</f>
        <v/>
      </c>
      <c r="W303" s="70">
        <f>IF($S303="","",IF(ISNUMBER($J303),$J303,$V303))</f>
        <v/>
      </c>
      <c r="X303" s="70">
        <f>IF($S303="","",IF(ISNUMBER($K303),$K303,$W303))</f>
        <v/>
      </c>
      <c r="Y303" s="70">
        <f>IF($S303="","",IF(N($T303)&gt;0,AVERAGEIFS($U$5:$U$1000,$R$5:$R$1000,ROW(),$S$5:$S$1000,"Sub"),$U303))</f>
        <v/>
      </c>
      <c r="Z303" s="70">
        <f>IF($S303="","",IF(N($T303)&gt;0,AVERAGEIFS($V$5:$V$1000,$R$5:$R$1000,ROW(),$S$5:$S$1000,"Sub"),$V303))</f>
        <v/>
      </c>
      <c r="AA303" s="70">
        <f>IF($S303="","",IF(N($T303)&gt;0,AVERAGEIFS($W$5:$W$1000,$R$5:$R$1000,ROW(),$S$5:$S$1000,"Sub"),$W303))</f>
        <v/>
      </c>
      <c r="AB303" s="70">
        <f>IF($S303="","",IF(N($T303)&gt;0,AVERAGEIFS($X$5:$X$1000,$R$5:$R$1000,ROW(),$S$5:$S$1000,"Sub"),$X303))</f>
        <v/>
      </c>
    </row>
    <row r="304">
      <c r="A304" s="61">
        <f>IF(NOT((COUNTA($B304:$K304)+COUNTA($N304))&gt;0),"",IF($S304="Macro",COUNTIFS($S$5:$S304,"Macro",$P$5:$P304,$P304),IF(N($R304)=0,"?",COUNTIFS(INDEX($S$5:$S$1000,1):INDEX($S$5:$S$1000,$R304-4),"Macro",INDEX($P$5:$P$1000,1):INDEX($P$5:$P$1000,$R304-4),INDEX($P$5:$P$1000,$R304-4))&amp;"."&amp;COUNTIFS($R$5:$R304,$R304,$S$5:$S304,"Sub"))))</f>
        <v/>
      </c>
      <c r="B304" s="62" t="n"/>
      <c r="C304" s="63" t="n"/>
      <c r="D304" s="62" t="n"/>
      <c r="E304" s="64" t="n"/>
      <c r="F304" s="64" t="n"/>
      <c r="G304" s="65" t="n"/>
      <c r="H304" s="66" t="n"/>
      <c r="I304" s="66" t="n"/>
      <c r="J304" s="66" t="n"/>
      <c r="K304" s="66" t="n"/>
      <c r="L304" s="67">
        <f>IF(NOT((COUNTA($B304:$K304)+COUNTA($N304))&gt;0),"",IF(N($T304)&gt;0,$AB304,IFERROR(LOOKUP(2,1/(H304:K304&lt;&gt;""),H304:K304),0)))</f>
        <v/>
      </c>
      <c r="M304" s="61">
        <f>IF(L304="","",IF(L304&gt;=1,"Completado",IF(L304&gt;0,"En curso","Pendiente")))</f>
        <v/>
      </c>
      <c r="N304" s="62" t="n"/>
      <c r="O304" s="68">
        <f>IF(NOT((COUNTA($B304:$K304)+COUNTA($N304))&gt;0),"",IF((IF(AND($S304="Macro",$B304=""),"Macroactividad vacía"&amp;" · ","")&amp;IF(AND($B304&lt;&gt;"",$C304&lt;&gt;""),"Escriba la subactividad en otra fila, debajo de su macroactividad"&amp;" · ","")&amp;IF(AND($S304="Sub",N($R304)=0),"Subactividad sin macroactividad arriba"&amp;" · ","")&amp;IF($D304="","Sin responsable"&amp;" · ","")&amp;IF($E304="","Sin fecha de inicio"&amp;" · ","")&amp;IF($F304="","Sin fecha límite"&amp;" · ","")&amp;IF(OR(AND($E304&lt;&gt;"",NOT(ISNUMBER($E304))),AND($F304&lt;&gt;"",NOT(ISNUMBER($F304)))),"Fecha no válida"&amp;" · ","")&amp;IF(AND(ISNUMBER($E304),ISNUMBER($F304),$E304&gt;$F304),"Inicio posterior a fecha límite"&amp;" · ","")&amp;IF(AND($S304="Macro",$G304=""),"Peso vacío"&amp;" · ","")&amp;IF(AND($S304="Macro",$G304&lt;&gt;"",OR(NOT(ISNUMBER($G304)),$G304&lt;=0,$G304&gt;1)),"Peso fuera de rango"&amp;" · ","")&amp;IF(AND($S304="Sub",$G304&lt;&gt;""),"Las subactividades no llevan peso"&amp;" · ","")&amp;IF(AND($S304="Macro",ABS(SUMIFS($G$5:$G$1000,$P$5:$P$1000,$P304,$S$5:$S$1000,"Macro")-1)&gt;0.0001),"Pesos del mes suman "&amp;TEXT(SUMIFS($G$5:$G$1000,$P$5:$P$1000,$P304,$S$5:$S$1000,"Macro"),"0%")&amp;" · ","")&amp;IF(AND(N($T304)&gt;0,COUNT($H304:$K304)&gt;0),"Con subactividades: deje vacías las semanas (se calculan solas)"&amp;" · ","")&amp;IF((COUNTIF($H304:$K304,"&gt;1")+COUNTIF($H304:$K304,"&lt;0")+COUNTA($H304:$K304)-COUNT($H304:$K304))&gt;0,"Avance fuera de rango 0-100%"&amp;" · ","")&amp;IF(OR(AND($I304&lt;&gt;"",$I304&lt;$H304),AND($J304&lt;&gt;"",$J304&lt;MAX($H304:$I304)),AND($K304&lt;&gt;"",$K304&lt;MAX($H304:$J304))),"Avance semanal decreciente"&amp;" · ","")&amp;IF(AND(ISNUMBER($F304),$F304&lt;FechaRef,N($L304)&lt;1),"Vencida"&amp;" · ","")&amp;IF(AND(ObsObligatoria="Sí",ISNUMBER($F304),$F304&lt;FechaRef,N($L304)&lt;1,$N304=""),"Vencida sin observación"&amp;" · ",""))="","✔ OK","⚠ "&amp;LEFT(IF(AND($S304="Macro",$B304=""),"Macroactividad vacía"&amp;" · ","")&amp;IF(AND($B304&lt;&gt;"",$C304&lt;&gt;""),"Escriba la subactividad en otra fila, debajo de su macroactividad"&amp;" · ","")&amp;IF(AND($S304="Sub",N($R304)=0),"Subactividad sin macroactividad arriba"&amp;" · ","")&amp;IF($D304="","Sin responsable"&amp;" · ","")&amp;IF($E304="","Sin fecha de inicio"&amp;" · ","")&amp;IF($F304="","Sin fecha límite"&amp;" · ","")&amp;IF(OR(AND($E304&lt;&gt;"",NOT(ISNUMBER($E304))),AND($F304&lt;&gt;"",NOT(ISNUMBER($F304)))),"Fecha no válida"&amp;" · ","")&amp;IF(AND(ISNUMBER($E304),ISNUMBER($F304),$E304&gt;$F304),"Inicio posterior a fecha límite"&amp;" · ","")&amp;IF(AND($S304="Macro",$G304=""),"Peso vacío"&amp;" · ","")&amp;IF(AND($S304="Macro",$G304&lt;&gt;"",OR(NOT(ISNUMBER($G304)),$G304&lt;=0,$G304&gt;1)),"Peso fuera de rango"&amp;" · ","")&amp;IF(AND($S304="Sub",$G304&lt;&gt;""),"Las subactividades no llevan peso"&amp;" · ","")&amp;IF(AND($S304="Macro",ABS(SUMIFS($G$5:$G$1000,$P$5:$P$1000,$P304,$S$5:$S$1000,"Macro")-1)&gt;0.0001),"Pesos del mes suman "&amp;TEXT(SUMIFS($G$5:$G$1000,$P$5:$P$1000,$P304,$S$5:$S$1000,"Macro"),"0%")&amp;" · ","")&amp;IF(AND(N($T304)&gt;0,COUNT($H304:$K304)&gt;0),"Con subactividades: deje vacías las semanas (se calculan solas)"&amp;" · ","")&amp;IF((COUNTIF($H304:$K304,"&gt;1")+COUNTIF($H304:$K304,"&lt;0")+COUNTA($H304:$K304)-COUNT($H304:$K304))&gt;0,"Avance fuera de rango 0-100%"&amp;" · ","")&amp;IF(OR(AND($I304&lt;&gt;"",$I304&lt;$H304),AND($J304&lt;&gt;"",$J304&lt;MAX($H304:$I304)),AND($K304&lt;&gt;"",$K304&lt;MAX($H304:$J304))),"Avance semanal decreciente"&amp;" · ","")&amp;IF(AND(ISNUMBER($F304),$F304&lt;FechaRef,N($L304)&lt;1),"Vencida"&amp;" · ","")&amp;IF(AND(ObsObligatoria="Sí",ISNUMBER($F304),$F304&lt;FechaRef,N($L304)&lt;1,$N304=""),"Vencida sin observación"&amp;" · ",""),LEN(IF(AND($S304="Macro",$B304=""),"Macroactividad vacía"&amp;" · ","")&amp;IF(AND($B304&lt;&gt;"",$C304&lt;&gt;""),"Escriba la subactividad en otra fila, debajo de su macroactividad"&amp;" · ","")&amp;IF(AND($S304="Sub",N($R304)=0),"Subactividad sin macroactividad arriba"&amp;" · ","")&amp;IF($D304="","Sin responsable"&amp;" · ","")&amp;IF($E304="","Sin fecha de inicio"&amp;" · ","")&amp;IF($F304="","Sin fecha límite"&amp;" · ","")&amp;IF(OR(AND($E304&lt;&gt;"",NOT(ISNUMBER($E304))),AND($F304&lt;&gt;"",NOT(ISNUMBER($F304)))),"Fecha no válida"&amp;" · ","")&amp;IF(AND(ISNUMBER($E304),ISNUMBER($F304),$E304&gt;$F304),"Inicio posterior a fecha límite"&amp;" · ","")&amp;IF(AND($S304="Macro",$G304=""),"Peso vacío"&amp;" · ","")&amp;IF(AND($S304="Macro",$G304&lt;&gt;"",OR(NOT(ISNUMBER($G304)),$G304&lt;=0,$G304&gt;1)),"Peso fuera de rango"&amp;" · ","")&amp;IF(AND($S304="Sub",$G304&lt;&gt;""),"Las subactividades no llevan peso"&amp;" · ","")&amp;IF(AND($S304="Macro",ABS(SUMIFS($G$5:$G$1000,$P$5:$P$1000,$P304,$S$5:$S$1000,"Macro")-1)&gt;0.0001),"Pesos del mes suman "&amp;TEXT(SUMIFS($G$5:$G$1000,$P$5:$P$1000,$P304,$S$5:$S$1000,"Macro"),"0%")&amp;" · ","")&amp;IF(AND(N($T304)&gt;0,COUNT($H304:$K304)&gt;0),"Con subactividades: deje vacías las semanas (se calculan solas)"&amp;" · ","")&amp;IF((COUNTIF($H304:$K304,"&gt;1")+COUNTIF($H304:$K304,"&lt;0")+COUNTA($H304:$K304)-COUNT($H304:$K304))&gt;0,"Avance fuera de rango 0-100%"&amp;" · ","")&amp;IF(OR(AND($I304&lt;&gt;"",$I304&lt;$H304),AND($J304&lt;&gt;"",$J304&lt;MAX($H304:$I304)),AND($K304&lt;&gt;"",$K304&lt;MAX($H304:$J304))),"Avance semanal decreciente"&amp;" · ","")&amp;IF(AND(ISNUMBER($F304),$F304&lt;FechaRef,N($L304)&lt;1),"Vencida"&amp;" · ","")&amp;IF(AND(ObsObligatoria="Sí",ISNUMBER($F304),$F304&lt;FechaRef,N($L304)&lt;1,$N304=""),"Vencida sin observación"&amp;" · ",""))-3)))</f>
        <v/>
      </c>
      <c r="P304" s="69">
        <f>IF(NOT((COUNTA($B304:$K304)+COUNTA($N304))&gt;0),"",IF(AND($S304="Sub",N($R304)&gt;0),IF(ISNUMBER(INDEX($E$5:$E$1000,$R304-4)),DATE(YEAR(INDEX($E$5:$E$1000,$R304-4)),MONTH(INDEX($E$5:$E$1000,$R304-4)),1),IF(ISNUMBER(INDEX($F$5:$F$1000,$R304-4)),DATE(YEAR(INDEX($F$5:$F$1000,$R304-4)),MONTH(INDEX($F$5:$F$1000,$R304-4)),1),MesCiclo)),IF(ISNUMBER($E304),DATE(YEAR($E304),MONTH($E304),1),IF(ISNUMBER($F304),DATE(YEAR($F304),MONTH($F304),1),MesCiclo))))</f>
        <v/>
      </c>
      <c r="Q304" s="70">
        <f>IF(OR($P304="",$P304&lt;&gt;MesCiclo),"",COUNTIF($P$5:$P304,MesCiclo))</f>
        <v/>
      </c>
      <c r="R304" s="70">
        <f>IF($S304="","",IF($S304="Macro",ROW(),IFERROR(LOOKUP(2,1/($S$5:$S304="Macro"),ROW($S$5:$S304)),0)))</f>
        <v/>
      </c>
      <c r="S304" s="70">
        <f>IF(NOT((COUNTA($B304:$K304)+COUNTA($N304))&gt;0),"",IF($B304&lt;&gt;"","Macro",IF($C304&lt;&gt;"","Sub","Macro")))</f>
        <v/>
      </c>
      <c r="T304" s="70">
        <f>IF($S304="Macro",COUNTIFS($R$5:$R$1000,ROW(),$S$5:$S$1000,"Sub"),"")</f>
        <v/>
      </c>
      <c r="U304" s="70">
        <f>IF($S304="","",IF(ISNUMBER($H304),$H304,0))</f>
        <v/>
      </c>
      <c r="V304" s="70">
        <f>IF($S304="","",IF(ISNUMBER($I304),$I304,$U304))</f>
        <v/>
      </c>
      <c r="W304" s="70">
        <f>IF($S304="","",IF(ISNUMBER($J304),$J304,$V304))</f>
        <v/>
      </c>
      <c r="X304" s="70">
        <f>IF($S304="","",IF(ISNUMBER($K304),$K304,$W304))</f>
        <v/>
      </c>
      <c r="Y304" s="70">
        <f>IF($S304="","",IF(N($T304)&gt;0,AVERAGEIFS($U$5:$U$1000,$R$5:$R$1000,ROW(),$S$5:$S$1000,"Sub"),$U304))</f>
        <v/>
      </c>
      <c r="Z304" s="70">
        <f>IF($S304="","",IF(N($T304)&gt;0,AVERAGEIFS($V$5:$V$1000,$R$5:$R$1000,ROW(),$S$5:$S$1000,"Sub"),$V304))</f>
        <v/>
      </c>
      <c r="AA304" s="70">
        <f>IF($S304="","",IF(N($T304)&gt;0,AVERAGEIFS($W$5:$W$1000,$R$5:$R$1000,ROW(),$S$5:$S$1000,"Sub"),$W304))</f>
        <v/>
      </c>
      <c r="AB304" s="70">
        <f>IF($S304="","",IF(N($T304)&gt;0,AVERAGEIFS($X$5:$X$1000,$R$5:$R$1000,ROW(),$S$5:$S$1000,"Sub"),$X304))</f>
        <v/>
      </c>
    </row>
  </sheetData>
  <sheetProtection selectLockedCells="0" selectUnlockedCells="0" sheet="1" objects="0" insertRows="1" insertHyperlinks="1" autoFilter="0" scenarios="0" formatColumns="0" deleteColumns="1" insertColumns="1" pivotTables="1" deleteRows="1" formatCells="1" formatRows="0" sort="0"/>
  <mergeCells count="3">
    <mergeCell ref="F3:G3"/>
    <mergeCell ref="A1:P1"/>
    <mergeCell ref="A2:P2"/>
  </mergeCells>
  <conditionalFormatting sqref="F3:G3">
    <cfRule type="expression" priority="1" dxfId="1">
      <formula>LEFT($F$3,1)="⚠"</formula>
    </cfRule>
    <cfRule type="expression" priority="2" dxfId="0">
      <formula>LEFT($F$3,1)="✔"</formula>
    </cfRule>
  </conditionalFormatting>
  <conditionalFormatting sqref="M5:M1000">
    <cfRule type="expression" priority="3" dxfId="0">
      <formula>$M5="Completado"</formula>
    </cfRule>
    <cfRule type="expression" priority="4" dxfId="4">
      <formula>$M5="En curso"</formula>
    </cfRule>
    <cfRule type="expression" priority="5" dxfId="5">
      <formula>$M5="Pendiente"</formula>
    </cfRule>
  </conditionalFormatting>
  <conditionalFormatting sqref="L5:L1000">
    <cfRule type="expression" priority="6" dxfId="0">
      <formula>AND(ISNUMBER($L5),$L5&gt;=1)</formula>
    </cfRule>
    <cfRule type="dataBar" priority="7">
      <dataBar showValue="1">
        <cfvo type="num" val="0"/>
        <cfvo type="num" val="1"/>
        <color rgb="005B9BD5"/>
      </dataBar>
    </cfRule>
  </conditionalFormatting>
  <conditionalFormatting sqref="F5:F1000">
    <cfRule type="expression" priority="8" dxfId="6" stopIfTrue="1">
      <formula>AND(ISNUMBER($F5),$F5&lt;FechaRef,N($L5)&lt;1)</formula>
    </cfRule>
    <cfRule type="expression" priority="9" dxfId="7">
      <formula>AND(ISNUMBER($F5),$F5&gt;=FechaRef,$F5-FechaRef&lt;=DiasAlerta,N($L5)&lt;1)</formula>
    </cfRule>
  </conditionalFormatting>
  <conditionalFormatting sqref="B5:B1000">
    <cfRule type="expression" priority="10" dxfId="5" stopIfTrue="1">
      <formula>AND($S5="Macro",$B5="")</formula>
    </cfRule>
    <cfRule type="expression" priority="11" dxfId="15">
      <formula>$S5="Macro"</formula>
    </cfRule>
  </conditionalFormatting>
  <conditionalFormatting sqref="C5:C1000">
    <cfRule type="expression" priority="12" dxfId="5">
      <formula>AND($B5&lt;&gt;"",$C5&lt;&gt;"")</formula>
    </cfRule>
  </conditionalFormatting>
  <conditionalFormatting sqref="D5:D1000">
    <cfRule type="expression" priority="13" dxfId="5">
      <formula>AND((COUNTA($B5:$K5)+COUNTA($N5))&gt;0,D5="")</formula>
    </cfRule>
  </conditionalFormatting>
  <conditionalFormatting sqref="E5:F1000">
    <cfRule type="expression" priority="14" dxfId="5" stopIfTrue="1">
      <formula>AND((COUNTA($B5:$K5)+COUNTA($N5))&gt;0,E5="")</formula>
    </cfRule>
    <cfRule type="expression" priority="15" dxfId="6">
      <formula>AND(ISNUMBER($E5),ISNUMBER($F5),$E5&gt;$F5)</formula>
    </cfRule>
  </conditionalFormatting>
  <conditionalFormatting sqref="G5:G1000">
    <cfRule type="expression" priority="16" dxfId="11" stopIfTrue="1">
      <formula>$S5="Sub"</formula>
    </cfRule>
    <cfRule type="expression" priority="17" dxfId="5" stopIfTrue="1">
      <formula>AND($S5="Macro",G5="")</formula>
    </cfRule>
    <cfRule type="expression" priority="18" dxfId="7">
      <formula>AND($S5="Macro",ABS(SUMIFS($G$5:$G$1000,$P$5:$P$1000,$P5,$S$5:$S$1000,"Macro")-1)&gt;0.0001)</formula>
    </cfRule>
  </conditionalFormatting>
  <conditionalFormatting sqref="H5:K1000">
    <cfRule type="expression" priority="19" dxfId="5" stopIfTrue="1">
      <formula>AND(N($T5)&gt;0,H5&lt;&gt;"")</formula>
    </cfRule>
    <cfRule type="expression" priority="20" dxfId="12" stopIfTrue="1">
      <formula>N($T5)&gt;0</formula>
    </cfRule>
    <cfRule type="expression" priority="21" dxfId="5" stopIfTrue="1">
      <formula>AND(H5&lt;&gt;"",OR(NOT(ISNUMBER(H5)),H5&gt;1,H5&lt;0))</formula>
    </cfRule>
  </conditionalFormatting>
  <conditionalFormatting sqref="I5:K1000">
    <cfRule type="expression" priority="22" dxfId="6">
      <formula>AND(I5&lt;&gt;"",I5&lt;MAX($H5:H5))</formula>
    </cfRule>
  </conditionalFormatting>
  <conditionalFormatting sqref="N5:N1000">
    <cfRule type="expression" priority="23" dxfId="5">
      <formula>AND(ObsObligatoria="Sí",ISNUMBER($F5),$F5&lt;FechaRef,N($L5)&lt;1,$N5="")</formula>
    </cfRule>
  </conditionalFormatting>
  <conditionalFormatting sqref="O5:O1000">
    <cfRule type="expression" priority="24" dxfId="5">
      <formula>LEFT($O5,1)="⚠"</formula>
    </cfRule>
    <cfRule type="expression" priority="25" dxfId="13">
      <formula>LEFT($O5,1)="✔"</formula>
    </cfRule>
  </conditionalFormatting>
  <conditionalFormatting sqref="P5:P1000">
    <cfRule type="expression" priority="26" dxfId="1">
      <formula>AND($P5&lt;&gt;"",$P5=MesCiclo)</formula>
    </cfRule>
  </conditionalFormatting>
  <conditionalFormatting sqref="A5:A1000">
    <cfRule type="expression" priority="27" dxfId="15">
      <formula>$S5="Macro"</formula>
    </cfRule>
  </conditionalFormatting>
  <dataValidations count="4">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Peso no válido" error="Ingrese un porcentaje entre 0% y 100% (por ejemplo 25%)." promptTitle="Peso (solo macroactividades)" prompt="Qué tanto vale la macroactividad en el mes. Las subactividades no llevan peso." type="decimal" operator="between">
      <formula1>0</formula1>
      <formula2>1</formula2>
    </dataValidation>
    <dataValidation sqref="H5:K1000" showDropDown="0" showInputMessage="1" showErrorMessage="1" allowBlank="1" errorTitle="Avance no válido" error="Ingrese un porcentaje entre 0% y 100%. Deje la celda vacía si la semana no ha llegado." promptTitle="Avance acumulado" prompt="% TOTAL logrado hasta esta semana. Si la macroactividad tiene subactividades, déjelo vacío: se calcula solo." type="decimal" operator="between">
      <formula1>0</formula1>
      <formula2>1</formula2>
    </dataValidation>
    <dataValidation sqref="C5:C1000" showDropDown="0" showInputMessage="1" showErrorMessage="0" allowBlank="1" promptTitle="Subactividad" prompt="Escríbala en la fila de abajo de su macroactividad, dejando vacía «Macro Actividad». Puede agregar todas las que necesite." type="textLength" operator="greaterThan">
      <formula1>0</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fitToPage="1"/>
  </sheetPr>
  <dimension ref="A1:P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22" customWidth="1" min="3" max="3"/>
    <col width="12" customWidth="1" min="4" max="4"/>
    <col width="12" customWidth="1" min="5" max="5"/>
    <col width="16" customWidth="1" min="6" max="6"/>
    <col width="11" customWidth="1" min="7" max="7"/>
    <col width="11" customWidth="1" min="8" max="8"/>
    <col width="11" customWidth="1" min="9" max="9"/>
    <col width="11" customWidth="1" min="10" max="10"/>
    <col width="12" customWidth="1" min="11" max="11"/>
    <col width="13" customWidth="1" min="12" max="12"/>
    <col width="46" customWidth="1" min="13" max="13"/>
    <col hidden="1" width="13" customWidth="1" min="14" max="14"/>
    <col hidden="1" width="13" customWidth="1" min="15" max="15"/>
    <col hidden="1" width="13" customWidth="1" min="16" max="16"/>
  </cols>
  <sheetData>
    <row r="1" ht="28" customHeight="1">
      <c r="A1" s="77" t="inlineStr">
        <is>
          <t>Actividades del mes por semana – Riesgo Normativo</t>
        </is>
      </c>
      <c r="B1" s="77" t="n"/>
      <c r="C1" s="77" t="n"/>
      <c r="D1" s="77" t="n"/>
      <c r="E1" s="77" t="n"/>
      <c r="F1" s="77" t="n"/>
      <c r="G1" s="77" t="n"/>
      <c r="H1" s="77" t="n"/>
      <c r="I1" s="77" t="n"/>
      <c r="J1" s="77" t="n"/>
      <c r="K1" s="77" t="n"/>
      <c r="L1" s="77" t="n"/>
      <c r="M1" s="77" t="n"/>
    </row>
    <row r="2" ht="32" customHeight="1">
      <c r="A2" s="71" t="inlineStr">
        <is>
          <t>HOJA AUTOMÁTICA Y BLOQUEADA: muestra solo las actividades del mes indicado abajo, tomadas de «Cronograma R. Normativo». No hay que escribir nada aquí. La barra de color marca las semanas en que cada actividad está programada (de la fecha de inicio a la fecha límite) y dentro aparece el avance registrado en esa semana.</t>
        </is>
      </c>
      <c r="B2" s="71" t="n"/>
      <c r="C2" s="71" t="n"/>
      <c r="D2" s="71" t="n"/>
      <c r="E2" s="71" t="n"/>
      <c r="F2" s="71" t="n"/>
      <c r="G2" s="71" t="n"/>
      <c r="H2" s="71" t="n"/>
      <c r="I2" s="71" t="n"/>
      <c r="J2" s="71" t="n"/>
      <c r="K2" s="71" t="n"/>
      <c r="L2" s="71" t="n"/>
      <c r="M2" s="71" t="n"/>
    </row>
    <row r="3">
      <c r="A3" s="72" t="inlineStr">
        <is>
          <t>Mes:</t>
        </is>
      </c>
      <c r="B3" s="73">
        <f>MesCiclo</f>
        <v/>
      </c>
      <c r="F3" s="74" t="inlineStr">
        <is>
          <t>Semana del:</t>
        </is>
      </c>
      <c r="G3" s="75">
        <f>(InicioCiclo+0)</f>
        <v/>
      </c>
      <c r="H3" s="75">
        <f>(InicioCiclo+7)</f>
        <v/>
      </c>
      <c r="I3" s="75">
        <f>(InicioCiclo+14)</f>
        <v/>
      </c>
      <c r="J3" s="75">
        <f>(InicioCiclo+21)</f>
        <v/>
      </c>
    </row>
    <row r="4" ht="34" customHeight="1">
      <c r="A4" s="60" t="inlineStr">
        <is>
          <t>N°</t>
        </is>
      </c>
      <c r="B4" s="60" t="inlineStr">
        <is>
          <t>Macro Actividad / Subactividad</t>
        </is>
      </c>
      <c r="C4" s="60" t="inlineStr">
        <is>
          <t>Responsable</t>
        </is>
      </c>
      <c r="D4" s="60" t="inlineStr">
        <is>
          <t>Fecha de inicio</t>
        </is>
      </c>
      <c r="E4" s="60" t="inlineStr">
        <is>
          <t>Fecha límite</t>
        </is>
      </c>
      <c r="F4" s="60" t="inlineStr">
        <is>
          <t>Semana de entrega</t>
        </is>
      </c>
      <c r="G4" s="49" t="inlineStr">
        <is>
          <t>Semana 1</t>
        </is>
      </c>
      <c r="H4" s="49" t="inlineStr">
        <is>
          <t>Semana 2</t>
        </is>
      </c>
      <c r="I4" s="49" t="inlineStr">
        <is>
          <t>Semana 3</t>
        </is>
      </c>
      <c r="J4" s="49" t="inlineStr">
        <is>
          <t>Semana 4</t>
        </is>
      </c>
      <c r="K4" s="60" t="inlineStr">
        <is>
          <t>% Avance actual</t>
        </is>
      </c>
      <c r="L4" s="60" t="inlineStr">
        <is>
          <t>Estado</t>
        </is>
      </c>
      <c r="M4" s="60" t="inlineStr">
        <is>
          <t>Observaciones</t>
        </is>
      </c>
      <c r="N4" t="inlineStr">
        <is>
          <t>Fila origen (aux)</t>
        </is>
      </c>
      <c r="O4" t="inlineStr">
        <is>
          <t>Tipo (aux)</t>
        </is>
      </c>
      <c r="P4" t="inlineStr">
        <is>
          <t>N subactividades (aux)</t>
        </is>
      </c>
    </row>
    <row r="5">
      <c r="A5" s="61">
        <f>IF($N5="","",INDEX('Cronograma R. Normativo'!$A$5:$A$1000,$N5))</f>
        <v/>
      </c>
      <c r="B5" s="70">
        <f>IF($N5="","",IF($O5="Sub","     ↳ "&amp;INDEX('Cronograma R. Normativo'!$C$5:$C$1000,$N5),INDEX('Cronograma R. Normativo'!$B$5:$B$1000,$N5)&amp;""))</f>
        <v/>
      </c>
      <c r="C5" s="70">
        <f>IF($N5="","",INDEX('Cronograma R. Normativo'!$D$5:$D$1000,$N5)&amp;"")</f>
        <v/>
      </c>
      <c r="D5" s="76">
        <f>IF($N5="","",IF(INDEX('Cronograma R. Normativo'!$E$5:$E$1000,$N5)="","",INDEX('Cronograma R. Normativo'!$E$5:$E$1000,$N5)))</f>
        <v/>
      </c>
      <c r="E5" s="76">
        <f>IF($N5="","",IF(INDEX('Cronograma R. Normativo'!$F$5:$F$1000,$N5)="","",INDEX('Cronograma R. Normativo'!$F$5:$F$1000,$N5)))</f>
        <v/>
      </c>
      <c r="F5" s="61">
        <f>IF($N5="","",IF(NOT(ISNUMBER($E5)),"",IF($E5&lt;InicioCiclo,"Antes del ciclo",IF($E5&gt;=InicioCiclo+28,"Después del ciclo","Semana "&amp;(INT(($E5-InicioCiclo)/7)+1)))))</f>
        <v/>
      </c>
      <c r="G5" s="67">
        <f>IF($N5="","",IF($P5&gt;0,IF(1&lt;=SemanaActual,INDEX('Cronograma R. Normativo'!$Y$5:$Y$1000,$N5),""),IF(INDEX('Cronograma R. Normativo'!$H$5:$H$1000,$N5)="","",INDEX('Cronograma R. Normativo'!$H$5:$H$1000,$N5))))</f>
        <v/>
      </c>
      <c r="H5" s="67">
        <f>IF($N5="","",IF($P5&gt;0,IF(2&lt;=SemanaActual,INDEX('Cronograma R. Normativo'!$Z$5:$Z$1000,$N5),""),IF(INDEX('Cronograma R. Normativo'!$I$5:$I$1000,$N5)="","",INDEX('Cronograma R. Normativo'!$I$5:$I$1000,$N5))))</f>
        <v/>
      </c>
      <c r="I5" s="67">
        <f>IF($N5="","",IF($P5&gt;0,IF(3&lt;=SemanaActual,INDEX('Cronograma R. Normativo'!$AA$5:$AA$1000,$N5),""),IF(INDEX('Cronograma R. Normativo'!$J$5:$J$1000,$N5)="","",INDEX('Cronograma R. Normativo'!$J$5:$J$1000,$N5))))</f>
        <v/>
      </c>
      <c r="J5" s="67">
        <f>IF($N5="","",IF($P5&gt;0,IF(4&lt;=SemanaActual,INDEX('Cronograma R. Normativo'!$AB$5:$AB$1000,$N5),""),IF(INDEX('Cronograma R. Normativo'!$K$5:$K$1000,$N5)="","",INDEX('Cronograma R. Normativo'!$K$5:$K$1000,$N5))))</f>
        <v/>
      </c>
      <c r="K5" s="67">
        <f>IF($N5="","",INDEX('Cronograma R. Normativo'!$L$5:$L$1000,$N5))</f>
        <v/>
      </c>
      <c r="L5" s="61">
        <f>IF($N5="","",IF(N($K5)&gt;=1,"Completado",IF(AND(ISNUMBER($E5),$E5&lt;FechaRef),"Vencida",IF(N($K5)&gt;0,"En curso","Pendiente"))))</f>
        <v/>
      </c>
      <c r="M5" s="70">
        <f>IF($N5="","",INDEX('Cronograma R. Normativo'!$N$5:$N$1000,$N5)&amp;"")</f>
        <v/>
      </c>
      <c r="N5">
        <f>IFERROR(MATCH(ROW()-4,rOrden_RN,0),"")</f>
        <v/>
      </c>
      <c r="O5">
        <f>IF($N5="","",INDEX('Cronograma R. Normativo'!$S$5:$S$1000,$N5))</f>
        <v/>
      </c>
      <c r="P5">
        <f>IF($N5="","",N(INDEX('Cronograma R. Normativo'!$T$5:$T$1000,$N5)))</f>
        <v/>
      </c>
    </row>
    <row r="6">
      <c r="A6" s="61">
        <f>IF($N6="","",INDEX('Cronograma R. Normativo'!$A$5:$A$1000,$N6))</f>
        <v/>
      </c>
      <c r="B6" s="70">
        <f>IF($N6="","",IF($O6="Sub","     ↳ "&amp;INDEX('Cronograma R. Normativo'!$C$5:$C$1000,$N6),INDEX('Cronograma R. Normativo'!$B$5:$B$1000,$N6)&amp;""))</f>
        <v/>
      </c>
      <c r="C6" s="70">
        <f>IF($N6="","",INDEX('Cronograma R. Normativo'!$D$5:$D$1000,$N6)&amp;"")</f>
        <v/>
      </c>
      <c r="D6" s="76">
        <f>IF($N6="","",IF(INDEX('Cronograma R. Normativo'!$E$5:$E$1000,$N6)="","",INDEX('Cronograma R. Normativo'!$E$5:$E$1000,$N6)))</f>
        <v/>
      </c>
      <c r="E6" s="76">
        <f>IF($N6="","",IF(INDEX('Cronograma R. Normativo'!$F$5:$F$1000,$N6)="","",INDEX('Cronograma R. Normativo'!$F$5:$F$1000,$N6)))</f>
        <v/>
      </c>
      <c r="F6" s="61">
        <f>IF($N6="","",IF(NOT(ISNUMBER($E6)),"",IF($E6&lt;InicioCiclo,"Antes del ciclo",IF($E6&gt;=InicioCiclo+28,"Después del ciclo","Semana "&amp;(INT(($E6-InicioCiclo)/7)+1)))))</f>
        <v/>
      </c>
      <c r="G6" s="67">
        <f>IF($N6="","",IF($P6&gt;0,IF(1&lt;=SemanaActual,INDEX('Cronograma R. Normativo'!$Y$5:$Y$1000,$N6),""),IF(INDEX('Cronograma R. Normativo'!$H$5:$H$1000,$N6)="","",INDEX('Cronograma R. Normativo'!$H$5:$H$1000,$N6))))</f>
        <v/>
      </c>
      <c r="H6" s="67">
        <f>IF($N6="","",IF($P6&gt;0,IF(2&lt;=SemanaActual,INDEX('Cronograma R. Normativo'!$Z$5:$Z$1000,$N6),""),IF(INDEX('Cronograma R. Normativo'!$I$5:$I$1000,$N6)="","",INDEX('Cronograma R. Normativo'!$I$5:$I$1000,$N6))))</f>
        <v/>
      </c>
      <c r="I6" s="67">
        <f>IF($N6="","",IF($P6&gt;0,IF(3&lt;=SemanaActual,INDEX('Cronograma R. Normativo'!$AA$5:$AA$1000,$N6),""),IF(INDEX('Cronograma R. Normativo'!$J$5:$J$1000,$N6)="","",INDEX('Cronograma R. Normativo'!$J$5:$J$1000,$N6))))</f>
        <v/>
      </c>
      <c r="J6" s="67">
        <f>IF($N6="","",IF($P6&gt;0,IF(4&lt;=SemanaActual,INDEX('Cronograma R. Normativo'!$AB$5:$AB$1000,$N6),""),IF(INDEX('Cronograma R. Normativo'!$K$5:$K$1000,$N6)="","",INDEX('Cronograma R. Normativo'!$K$5:$K$1000,$N6))))</f>
        <v/>
      </c>
      <c r="K6" s="67">
        <f>IF($N6="","",INDEX('Cronograma R. Normativo'!$L$5:$L$1000,$N6))</f>
        <v/>
      </c>
      <c r="L6" s="61">
        <f>IF($N6="","",IF(N($K6)&gt;=1,"Completado",IF(AND(ISNUMBER($E6),$E6&lt;FechaRef),"Vencida",IF(N($K6)&gt;0,"En curso","Pendiente"))))</f>
        <v/>
      </c>
      <c r="M6" s="70">
        <f>IF($N6="","",INDEX('Cronograma R. Normativo'!$N$5:$N$1000,$N6)&amp;"")</f>
        <v/>
      </c>
      <c r="N6">
        <f>IFERROR(MATCH(ROW()-4,rOrden_RN,0),"")</f>
        <v/>
      </c>
      <c r="O6">
        <f>IF($N6="","",INDEX('Cronograma R. Normativo'!$S$5:$S$1000,$N6))</f>
        <v/>
      </c>
      <c r="P6">
        <f>IF($N6="","",N(INDEX('Cronograma R. Normativo'!$T$5:$T$1000,$N6)))</f>
        <v/>
      </c>
    </row>
    <row r="7">
      <c r="A7" s="61">
        <f>IF($N7="","",INDEX('Cronograma R. Normativo'!$A$5:$A$1000,$N7))</f>
        <v/>
      </c>
      <c r="B7" s="70">
        <f>IF($N7="","",IF($O7="Sub","     ↳ "&amp;INDEX('Cronograma R. Normativo'!$C$5:$C$1000,$N7),INDEX('Cronograma R. Normativo'!$B$5:$B$1000,$N7)&amp;""))</f>
        <v/>
      </c>
      <c r="C7" s="70">
        <f>IF($N7="","",INDEX('Cronograma R. Normativo'!$D$5:$D$1000,$N7)&amp;"")</f>
        <v/>
      </c>
      <c r="D7" s="76">
        <f>IF($N7="","",IF(INDEX('Cronograma R. Normativo'!$E$5:$E$1000,$N7)="","",INDEX('Cronograma R. Normativo'!$E$5:$E$1000,$N7)))</f>
        <v/>
      </c>
      <c r="E7" s="76">
        <f>IF($N7="","",IF(INDEX('Cronograma R. Normativo'!$F$5:$F$1000,$N7)="","",INDEX('Cronograma R. Normativo'!$F$5:$F$1000,$N7)))</f>
        <v/>
      </c>
      <c r="F7" s="61">
        <f>IF($N7="","",IF(NOT(ISNUMBER($E7)),"",IF($E7&lt;InicioCiclo,"Antes del ciclo",IF($E7&gt;=InicioCiclo+28,"Después del ciclo","Semana "&amp;(INT(($E7-InicioCiclo)/7)+1)))))</f>
        <v/>
      </c>
      <c r="G7" s="67">
        <f>IF($N7="","",IF($P7&gt;0,IF(1&lt;=SemanaActual,INDEX('Cronograma R. Normativo'!$Y$5:$Y$1000,$N7),""),IF(INDEX('Cronograma R. Normativo'!$H$5:$H$1000,$N7)="","",INDEX('Cronograma R. Normativo'!$H$5:$H$1000,$N7))))</f>
        <v/>
      </c>
      <c r="H7" s="67">
        <f>IF($N7="","",IF($P7&gt;0,IF(2&lt;=SemanaActual,INDEX('Cronograma R. Normativo'!$Z$5:$Z$1000,$N7),""),IF(INDEX('Cronograma R. Normativo'!$I$5:$I$1000,$N7)="","",INDEX('Cronograma R. Normativo'!$I$5:$I$1000,$N7))))</f>
        <v/>
      </c>
      <c r="I7" s="67">
        <f>IF($N7="","",IF($P7&gt;0,IF(3&lt;=SemanaActual,INDEX('Cronograma R. Normativo'!$AA$5:$AA$1000,$N7),""),IF(INDEX('Cronograma R. Normativo'!$J$5:$J$1000,$N7)="","",INDEX('Cronograma R. Normativo'!$J$5:$J$1000,$N7))))</f>
        <v/>
      </c>
      <c r="J7" s="67">
        <f>IF($N7="","",IF($P7&gt;0,IF(4&lt;=SemanaActual,INDEX('Cronograma R. Normativo'!$AB$5:$AB$1000,$N7),""),IF(INDEX('Cronograma R. Normativo'!$K$5:$K$1000,$N7)="","",INDEX('Cronograma R. Normativo'!$K$5:$K$1000,$N7))))</f>
        <v/>
      </c>
      <c r="K7" s="67">
        <f>IF($N7="","",INDEX('Cronograma R. Normativo'!$L$5:$L$1000,$N7))</f>
        <v/>
      </c>
      <c r="L7" s="61">
        <f>IF($N7="","",IF(N($K7)&gt;=1,"Completado",IF(AND(ISNUMBER($E7),$E7&lt;FechaRef),"Vencida",IF(N($K7)&gt;0,"En curso","Pendiente"))))</f>
        <v/>
      </c>
      <c r="M7" s="70">
        <f>IF($N7="","",INDEX('Cronograma R. Normativo'!$N$5:$N$1000,$N7)&amp;"")</f>
        <v/>
      </c>
      <c r="N7">
        <f>IFERROR(MATCH(ROW()-4,rOrden_RN,0),"")</f>
        <v/>
      </c>
      <c r="O7">
        <f>IF($N7="","",INDEX('Cronograma R. Normativo'!$S$5:$S$1000,$N7))</f>
        <v/>
      </c>
      <c r="P7">
        <f>IF($N7="","",N(INDEX('Cronograma R. Normativo'!$T$5:$T$1000,$N7)))</f>
        <v/>
      </c>
    </row>
    <row r="8">
      <c r="A8" s="61">
        <f>IF($N8="","",INDEX('Cronograma R. Normativo'!$A$5:$A$1000,$N8))</f>
        <v/>
      </c>
      <c r="B8" s="70">
        <f>IF($N8="","",IF($O8="Sub","     ↳ "&amp;INDEX('Cronograma R. Normativo'!$C$5:$C$1000,$N8),INDEX('Cronograma R. Normativo'!$B$5:$B$1000,$N8)&amp;""))</f>
        <v/>
      </c>
      <c r="C8" s="70">
        <f>IF($N8="","",INDEX('Cronograma R. Normativo'!$D$5:$D$1000,$N8)&amp;"")</f>
        <v/>
      </c>
      <c r="D8" s="76">
        <f>IF($N8="","",IF(INDEX('Cronograma R. Normativo'!$E$5:$E$1000,$N8)="","",INDEX('Cronograma R. Normativo'!$E$5:$E$1000,$N8)))</f>
        <v/>
      </c>
      <c r="E8" s="76">
        <f>IF($N8="","",IF(INDEX('Cronograma R. Normativo'!$F$5:$F$1000,$N8)="","",INDEX('Cronograma R. Normativo'!$F$5:$F$1000,$N8)))</f>
        <v/>
      </c>
      <c r="F8" s="61">
        <f>IF($N8="","",IF(NOT(ISNUMBER($E8)),"",IF($E8&lt;InicioCiclo,"Antes del ciclo",IF($E8&gt;=InicioCiclo+28,"Después del ciclo","Semana "&amp;(INT(($E8-InicioCiclo)/7)+1)))))</f>
        <v/>
      </c>
      <c r="G8" s="67">
        <f>IF($N8="","",IF($P8&gt;0,IF(1&lt;=SemanaActual,INDEX('Cronograma R. Normativo'!$Y$5:$Y$1000,$N8),""),IF(INDEX('Cronograma R. Normativo'!$H$5:$H$1000,$N8)="","",INDEX('Cronograma R. Normativo'!$H$5:$H$1000,$N8))))</f>
        <v/>
      </c>
      <c r="H8" s="67">
        <f>IF($N8="","",IF($P8&gt;0,IF(2&lt;=SemanaActual,INDEX('Cronograma R. Normativo'!$Z$5:$Z$1000,$N8),""),IF(INDEX('Cronograma R. Normativo'!$I$5:$I$1000,$N8)="","",INDEX('Cronograma R. Normativo'!$I$5:$I$1000,$N8))))</f>
        <v/>
      </c>
      <c r="I8" s="67">
        <f>IF($N8="","",IF($P8&gt;0,IF(3&lt;=SemanaActual,INDEX('Cronograma R. Normativo'!$AA$5:$AA$1000,$N8),""),IF(INDEX('Cronograma R. Normativo'!$J$5:$J$1000,$N8)="","",INDEX('Cronograma R. Normativo'!$J$5:$J$1000,$N8))))</f>
        <v/>
      </c>
      <c r="J8" s="67">
        <f>IF($N8="","",IF($P8&gt;0,IF(4&lt;=SemanaActual,INDEX('Cronograma R. Normativo'!$AB$5:$AB$1000,$N8),""),IF(INDEX('Cronograma R. Normativo'!$K$5:$K$1000,$N8)="","",INDEX('Cronograma R. Normativo'!$K$5:$K$1000,$N8))))</f>
        <v/>
      </c>
      <c r="K8" s="67">
        <f>IF($N8="","",INDEX('Cronograma R. Normativo'!$L$5:$L$1000,$N8))</f>
        <v/>
      </c>
      <c r="L8" s="61">
        <f>IF($N8="","",IF(N($K8)&gt;=1,"Completado",IF(AND(ISNUMBER($E8),$E8&lt;FechaRef),"Vencida",IF(N($K8)&gt;0,"En curso","Pendiente"))))</f>
        <v/>
      </c>
      <c r="M8" s="70">
        <f>IF($N8="","",INDEX('Cronograma R. Normativo'!$N$5:$N$1000,$N8)&amp;"")</f>
        <v/>
      </c>
      <c r="N8">
        <f>IFERROR(MATCH(ROW()-4,rOrden_RN,0),"")</f>
        <v/>
      </c>
      <c r="O8">
        <f>IF($N8="","",INDEX('Cronograma R. Normativo'!$S$5:$S$1000,$N8))</f>
        <v/>
      </c>
      <c r="P8">
        <f>IF($N8="","",N(INDEX('Cronograma R. Normativo'!$T$5:$T$1000,$N8)))</f>
        <v/>
      </c>
    </row>
    <row r="9">
      <c r="A9" s="61">
        <f>IF($N9="","",INDEX('Cronograma R. Normativo'!$A$5:$A$1000,$N9))</f>
        <v/>
      </c>
      <c r="B9" s="70">
        <f>IF($N9="","",IF($O9="Sub","     ↳ "&amp;INDEX('Cronograma R. Normativo'!$C$5:$C$1000,$N9),INDEX('Cronograma R. Normativo'!$B$5:$B$1000,$N9)&amp;""))</f>
        <v/>
      </c>
      <c r="C9" s="70">
        <f>IF($N9="","",INDEX('Cronograma R. Normativo'!$D$5:$D$1000,$N9)&amp;"")</f>
        <v/>
      </c>
      <c r="D9" s="76">
        <f>IF($N9="","",IF(INDEX('Cronograma R. Normativo'!$E$5:$E$1000,$N9)="","",INDEX('Cronograma R. Normativo'!$E$5:$E$1000,$N9)))</f>
        <v/>
      </c>
      <c r="E9" s="76">
        <f>IF($N9="","",IF(INDEX('Cronograma R. Normativo'!$F$5:$F$1000,$N9)="","",INDEX('Cronograma R. Normativo'!$F$5:$F$1000,$N9)))</f>
        <v/>
      </c>
      <c r="F9" s="61">
        <f>IF($N9="","",IF(NOT(ISNUMBER($E9)),"",IF($E9&lt;InicioCiclo,"Antes del ciclo",IF($E9&gt;=InicioCiclo+28,"Después del ciclo","Semana "&amp;(INT(($E9-InicioCiclo)/7)+1)))))</f>
        <v/>
      </c>
      <c r="G9" s="67">
        <f>IF($N9="","",IF($P9&gt;0,IF(1&lt;=SemanaActual,INDEX('Cronograma R. Normativo'!$Y$5:$Y$1000,$N9),""),IF(INDEX('Cronograma R. Normativo'!$H$5:$H$1000,$N9)="","",INDEX('Cronograma R. Normativo'!$H$5:$H$1000,$N9))))</f>
        <v/>
      </c>
      <c r="H9" s="67">
        <f>IF($N9="","",IF($P9&gt;0,IF(2&lt;=SemanaActual,INDEX('Cronograma R. Normativo'!$Z$5:$Z$1000,$N9),""),IF(INDEX('Cronograma R. Normativo'!$I$5:$I$1000,$N9)="","",INDEX('Cronograma R. Normativo'!$I$5:$I$1000,$N9))))</f>
        <v/>
      </c>
      <c r="I9" s="67">
        <f>IF($N9="","",IF($P9&gt;0,IF(3&lt;=SemanaActual,INDEX('Cronograma R. Normativo'!$AA$5:$AA$1000,$N9),""),IF(INDEX('Cronograma R. Normativo'!$J$5:$J$1000,$N9)="","",INDEX('Cronograma R. Normativo'!$J$5:$J$1000,$N9))))</f>
        <v/>
      </c>
      <c r="J9" s="67">
        <f>IF($N9="","",IF($P9&gt;0,IF(4&lt;=SemanaActual,INDEX('Cronograma R. Normativo'!$AB$5:$AB$1000,$N9),""),IF(INDEX('Cronograma R. Normativo'!$K$5:$K$1000,$N9)="","",INDEX('Cronograma R. Normativo'!$K$5:$K$1000,$N9))))</f>
        <v/>
      </c>
      <c r="K9" s="67">
        <f>IF($N9="","",INDEX('Cronograma R. Normativo'!$L$5:$L$1000,$N9))</f>
        <v/>
      </c>
      <c r="L9" s="61">
        <f>IF($N9="","",IF(N($K9)&gt;=1,"Completado",IF(AND(ISNUMBER($E9),$E9&lt;FechaRef),"Vencida",IF(N($K9)&gt;0,"En curso","Pendiente"))))</f>
        <v/>
      </c>
      <c r="M9" s="70">
        <f>IF($N9="","",INDEX('Cronograma R. Normativo'!$N$5:$N$1000,$N9)&amp;"")</f>
        <v/>
      </c>
      <c r="N9">
        <f>IFERROR(MATCH(ROW()-4,rOrden_RN,0),"")</f>
        <v/>
      </c>
      <c r="O9">
        <f>IF($N9="","",INDEX('Cronograma R. Normativo'!$S$5:$S$1000,$N9))</f>
        <v/>
      </c>
      <c r="P9">
        <f>IF($N9="","",N(INDEX('Cronograma R. Normativo'!$T$5:$T$1000,$N9)))</f>
        <v/>
      </c>
    </row>
    <row r="10">
      <c r="A10" s="61">
        <f>IF($N10="","",INDEX('Cronograma R. Normativo'!$A$5:$A$1000,$N10))</f>
        <v/>
      </c>
      <c r="B10" s="70">
        <f>IF($N10="","",IF($O10="Sub","     ↳ "&amp;INDEX('Cronograma R. Normativo'!$C$5:$C$1000,$N10),INDEX('Cronograma R. Normativo'!$B$5:$B$1000,$N10)&amp;""))</f>
        <v/>
      </c>
      <c r="C10" s="70">
        <f>IF($N10="","",INDEX('Cronograma R. Normativo'!$D$5:$D$1000,$N10)&amp;"")</f>
        <v/>
      </c>
      <c r="D10" s="76">
        <f>IF($N10="","",IF(INDEX('Cronograma R. Normativo'!$E$5:$E$1000,$N10)="","",INDEX('Cronograma R. Normativo'!$E$5:$E$1000,$N10)))</f>
        <v/>
      </c>
      <c r="E10" s="76">
        <f>IF($N10="","",IF(INDEX('Cronograma R. Normativo'!$F$5:$F$1000,$N10)="","",INDEX('Cronograma R. Normativo'!$F$5:$F$1000,$N10)))</f>
        <v/>
      </c>
      <c r="F10" s="61">
        <f>IF($N10="","",IF(NOT(ISNUMBER($E10)),"",IF($E10&lt;InicioCiclo,"Antes del ciclo",IF($E10&gt;=InicioCiclo+28,"Después del ciclo","Semana "&amp;(INT(($E10-InicioCiclo)/7)+1)))))</f>
        <v/>
      </c>
      <c r="G10" s="67">
        <f>IF($N10="","",IF($P10&gt;0,IF(1&lt;=SemanaActual,INDEX('Cronograma R. Normativo'!$Y$5:$Y$1000,$N10),""),IF(INDEX('Cronograma R. Normativo'!$H$5:$H$1000,$N10)="","",INDEX('Cronograma R. Normativo'!$H$5:$H$1000,$N10))))</f>
        <v/>
      </c>
      <c r="H10" s="67">
        <f>IF($N10="","",IF($P10&gt;0,IF(2&lt;=SemanaActual,INDEX('Cronograma R. Normativo'!$Z$5:$Z$1000,$N10),""),IF(INDEX('Cronograma R. Normativo'!$I$5:$I$1000,$N10)="","",INDEX('Cronograma R. Normativo'!$I$5:$I$1000,$N10))))</f>
        <v/>
      </c>
      <c r="I10" s="67">
        <f>IF($N10="","",IF($P10&gt;0,IF(3&lt;=SemanaActual,INDEX('Cronograma R. Normativo'!$AA$5:$AA$1000,$N10),""),IF(INDEX('Cronograma R. Normativo'!$J$5:$J$1000,$N10)="","",INDEX('Cronograma R. Normativo'!$J$5:$J$1000,$N10))))</f>
        <v/>
      </c>
      <c r="J10" s="67">
        <f>IF($N10="","",IF($P10&gt;0,IF(4&lt;=SemanaActual,INDEX('Cronograma R. Normativo'!$AB$5:$AB$1000,$N10),""),IF(INDEX('Cronograma R. Normativo'!$K$5:$K$1000,$N10)="","",INDEX('Cronograma R. Normativo'!$K$5:$K$1000,$N10))))</f>
        <v/>
      </c>
      <c r="K10" s="67">
        <f>IF($N10="","",INDEX('Cronograma R. Normativo'!$L$5:$L$1000,$N10))</f>
        <v/>
      </c>
      <c r="L10" s="61">
        <f>IF($N10="","",IF(N($K10)&gt;=1,"Completado",IF(AND(ISNUMBER($E10),$E10&lt;FechaRef),"Vencida",IF(N($K10)&gt;0,"En curso","Pendiente"))))</f>
        <v/>
      </c>
      <c r="M10" s="70">
        <f>IF($N10="","",INDEX('Cronograma R. Normativo'!$N$5:$N$1000,$N10)&amp;"")</f>
        <v/>
      </c>
      <c r="N10">
        <f>IFERROR(MATCH(ROW()-4,rOrden_RN,0),"")</f>
        <v/>
      </c>
      <c r="O10">
        <f>IF($N10="","",INDEX('Cronograma R. Normativo'!$S$5:$S$1000,$N10))</f>
        <v/>
      </c>
      <c r="P10">
        <f>IF($N10="","",N(INDEX('Cronograma R. Normativo'!$T$5:$T$1000,$N10)))</f>
        <v/>
      </c>
    </row>
    <row r="11">
      <c r="A11" s="61">
        <f>IF($N11="","",INDEX('Cronograma R. Normativo'!$A$5:$A$1000,$N11))</f>
        <v/>
      </c>
      <c r="B11" s="70">
        <f>IF($N11="","",IF($O11="Sub","     ↳ "&amp;INDEX('Cronograma R. Normativo'!$C$5:$C$1000,$N11),INDEX('Cronograma R. Normativo'!$B$5:$B$1000,$N11)&amp;""))</f>
        <v/>
      </c>
      <c r="C11" s="70">
        <f>IF($N11="","",INDEX('Cronograma R. Normativo'!$D$5:$D$1000,$N11)&amp;"")</f>
        <v/>
      </c>
      <c r="D11" s="76">
        <f>IF($N11="","",IF(INDEX('Cronograma R. Normativo'!$E$5:$E$1000,$N11)="","",INDEX('Cronograma R. Normativo'!$E$5:$E$1000,$N11)))</f>
        <v/>
      </c>
      <c r="E11" s="76">
        <f>IF($N11="","",IF(INDEX('Cronograma R. Normativo'!$F$5:$F$1000,$N11)="","",INDEX('Cronograma R. Normativo'!$F$5:$F$1000,$N11)))</f>
        <v/>
      </c>
      <c r="F11" s="61">
        <f>IF($N11="","",IF(NOT(ISNUMBER($E11)),"",IF($E11&lt;InicioCiclo,"Antes del ciclo",IF($E11&gt;=InicioCiclo+28,"Después del ciclo","Semana "&amp;(INT(($E11-InicioCiclo)/7)+1)))))</f>
        <v/>
      </c>
      <c r="G11" s="67">
        <f>IF($N11="","",IF($P11&gt;0,IF(1&lt;=SemanaActual,INDEX('Cronograma R. Normativo'!$Y$5:$Y$1000,$N11),""),IF(INDEX('Cronograma R. Normativo'!$H$5:$H$1000,$N11)="","",INDEX('Cronograma R. Normativo'!$H$5:$H$1000,$N11))))</f>
        <v/>
      </c>
      <c r="H11" s="67">
        <f>IF($N11="","",IF($P11&gt;0,IF(2&lt;=SemanaActual,INDEX('Cronograma R. Normativo'!$Z$5:$Z$1000,$N11),""),IF(INDEX('Cronograma R. Normativo'!$I$5:$I$1000,$N11)="","",INDEX('Cronograma R. Normativo'!$I$5:$I$1000,$N11))))</f>
        <v/>
      </c>
      <c r="I11" s="67">
        <f>IF($N11="","",IF($P11&gt;0,IF(3&lt;=SemanaActual,INDEX('Cronograma R. Normativo'!$AA$5:$AA$1000,$N11),""),IF(INDEX('Cronograma R. Normativo'!$J$5:$J$1000,$N11)="","",INDEX('Cronograma R. Normativo'!$J$5:$J$1000,$N11))))</f>
        <v/>
      </c>
      <c r="J11" s="67">
        <f>IF($N11="","",IF($P11&gt;0,IF(4&lt;=SemanaActual,INDEX('Cronograma R. Normativo'!$AB$5:$AB$1000,$N11),""),IF(INDEX('Cronograma R. Normativo'!$K$5:$K$1000,$N11)="","",INDEX('Cronograma R. Normativo'!$K$5:$K$1000,$N11))))</f>
        <v/>
      </c>
      <c r="K11" s="67">
        <f>IF($N11="","",INDEX('Cronograma R. Normativo'!$L$5:$L$1000,$N11))</f>
        <v/>
      </c>
      <c r="L11" s="61">
        <f>IF($N11="","",IF(N($K11)&gt;=1,"Completado",IF(AND(ISNUMBER($E11),$E11&lt;FechaRef),"Vencida",IF(N($K11)&gt;0,"En curso","Pendiente"))))</f>
        <v/>
      </c>
      <c r="M11" s="70">
        <f>IF($N11="","",INDEX('Cronograma R. Normativo'!$N$5:$N$1000,$N11)&amp;"")</f>
        <v/>
      </c>
      <c r="N11">
        <f>IFERROR(MATCH(ROW()-4,rOrden_RN,0),"")</f>
        <v/>
      </c>
      <c r="O11">
        <f>IF($N11="","",INDEX('Cronograma R. Normativo'!$S$5:$S$1000,$N11))</f>
        <v/>
      </c>
      <c r="P11">
        <f>IF($N11="","",N(INDEX('Cronograma R. Normativo'!$T$5:$T$1000,$N11)))</f>
        <v/>
      </c>
    </row>
    <row r="12">
      <c r="A12" s="61">
        <f>IF($N12="","",INDEX('Cronograma R. Normativo'!$A$5:$A$1000,$N12))</f>
        <v/>
      </c>
      <c r="B12" s="70">
        <f>IF($N12="","",IF($O12="Sub","     ↳ "&amp;INDEX('Cronograma R. Normativo'!$C$5:$C$1000,$N12),INDEX('Cronograma R. Normativo'!$B$5:$B$1000,$N12)&amp;""))</f>
        <v/>
      </c>
      <c r="C12" s="70">
        <f>IF($N12="","",INDEX('Cronograma R. Normativo'!$D$5:$D$1000,$N12)&amp;"")</f>
        <v/>
      </c>
      <c r="D12" s="76">
        <f>IF($N12="","",IF(INDEX('Cronograma R. Normativo'!$E$5:$E$1000,$N12)="","",INDEX('Cronograma R. Normativo'!$E$5:$E$1000,$N12)))</f>
        <v/>
      </c>
      <c r="E12" s="76">
        <f>IF($N12="","",IF(INDEX('Cronograma R. Normativo'!$F$5:$F$1000,$N12)="","",INDEX('Cronograma R. Normativo'!$F$5:$F$1000,$N12)))</f>
        <v/>
      </c>
      <c r="F12" s="61">
        <f>IF($N12="","",IF(NOT(ISNUMBER($E12)),"",IF($E12&lt;InicioCiclo,"Antes del ciclo",IF($E12&gt;=InicioCiclo+28,"Después del ciclo","Semana "&amp;(INT(($E12-InicioCiclo)/7)+1)))))</f>
        <v/>
      </c>
      <c r="G12" s="67">
        <f>IF($N12="","",IF($P12&gt;0,IF(1&lt;=SemanaActual,INDEX('Cronograma R. Normativo'!$Y$5:$Y$1000,$N12),""),IF(INDEX('Cronograma R. Normativo'!$H$5:$H$1000,$N12)="","",INDEX('Cronograma R. Normativo'!$H$5:$H$1000,$N12))))</f>
        <v/>
      </c>
      <c r="H12" s="67">
        <f>IF($N12="","",IF($P12&gt;0,IF(2&lt;=SemanaActual,INDEX('Cronograma R. Normativo'!$Z$5:$Z$1000,$N12),""),IF(INDEX('Cronograma R. Normativo'!$I$5:$I$1000,$N12)="","",INDEX('Cronograma R. Normativo'!$I$5:$I$1000,$N12))))</f>
        <v/>
      </c>
      <c r="I12" s="67">
        <f>IF($N12="","",IF($P12&gt;0,IF(3&lt;=SemanaActual,INDEX('Cronograma R. Normativo'!$AA$5:$AA$1000,$N12),""),IF(INDEX('Cronograma R. Normativo'!$J$5:$J$1000,$N12)="","",INDEX('Cronograma R. Normativo'!$J$5:$J$1000,$N12))))</f>
        <v/>
      </c>
      <c r="J12" s="67">
        <f>IF($N12="","",IF($P12&gt;0,IF(4&lt;=SemanaActual,INDEX('Cronograma R. Normativo'!$AB$5:$AB$1000,$N12),""),IF(INDEX('Cronograma R. Normativo'!$K$5:$K$1000,$N12)="","",INDEX('Cronograma R. Normativo'!$K$5:$K$1000,$N12))))</f>
        <v/>
      </c>
      <c r="K12" s="67">
        <f>IF($N12="","",INDEX('Cronograma R. Normativo'!$L$5:$L$1000,$N12))</f>
        <v/>
      </c>
      <c r="L12" s="61">
        <f>IF($N12="","",IF(N($K12)&gt;=1,"Completado",IF(AND(ISNUMBER($E12),$E12&lt;FechaRef),"Vencida",IF(N($K12)&gt;0,"En curso","Pendiente"))))</f>
        <v/>
      </c>
      <c r="M12" s="70">
        <f>IF($N12="","",INDEX('Cronograma R. Normativo'!$N$5:$N$1000,$N12)&amp;"")</f>
        <v/>
      </c>
      <c r="N12">
        <f>IFERROR(MATCH(ROW()-4,rOrden_RN,0),"")</f>
        <v/>
      </c>
      <c r="O12">
        <f>IF($N12="","",INDEX('Cronograma R. Normativo'!$S$5:$S$1000,$N12))</f>
        <v/>
      </c>
      <c r="P12">
        <f>IF($N12="","",N(INDEX('Cronograma R. Normativo'!$T$5:$T$1000,$N12)))</f>
        <v/>
      </c>
    </row>
    <row r="13">
      <c r="A13" s="61">
        <f>IF($N13="","",INDEX('Cronograma R. Normativo'!$A$5:$A$1000,$N13))</f>
        <v/>
      </c>
      <c r="B13" s="70">
        <f>IF($N13="","",IF($O13="Sub","     ↳ "&amp;INDEX('Cronograma R. Normativo'!$C$5:$C$1000,$N13),INDEX('Cronograma R. Normativo'!$B$5:$B$1000,$N13)&amp;""))</f>
        <v/>
      </c>
      <c r="C13" s="70">
        <f>IF($N13="","",INDEX('Cronograma R. Normativo'!$D$5:$D$1000,$N13)&amp;"")</f>
        <v/>
      </c>
      <c r="D13" s="76">
        <f>IF($N13="","",IF(INDEX('Cronograma R. Normativo'!$E$5:$E$1000,$N13)="","",INDEX('Cronograma R. Normativo'!$E$5:$E$1000,$N13)))</f>
        <v/>
      </c>
      <c r="E13" s="76">
        <f>IF($N13="","",IF(INDEX('Cronograma R. Normativo'!$F$5:$F$1000,$N13)="","",INDEX('Cronograma R. Normativo'!$F$5:$F$1000,$N13)))</f>
        <v/>
      </c>
      <c r="F13" s="61">
        <f>IF($N13="","",IF(NOT(ISNUMBER($E13)),"",IF($E13&lt;InicioCiclo,"Antes del ciclo",IF($E13&gt;=InicioCiclo+28,"Después del ciclo","Semana "&amp;(INT(($E13-InicioCiclo)/7)+1)))))</f>
        <v/>
      </c>
      <c r="G13" s="67">
        <f>IF($N13="","",IF($P13&gt;0,IF(1&lt;=SemanaActual,INDEX('Cronograma R. Normativo'!$Y$5:$Y$1000,$N13),""),IF(INDEX('Cronograma R. Normativo'!$H$5:$H$1000,$N13)="","",INDEX('Cronograma R. Normativo'!$H$5:$H$1000,$N13))))</f>
        <v/>
      </c>
      <c r="H13" s="67">
        <f>IF($N13="","",IF($P13&gt;0,IF(2&lt;=SemanaActual,INDEX('Cronograma R. Normativo'!$Z$5:$Z$1000,$N13),""),IF(INDEX('Cronograma R. Normativo'!$I$5:$I$1000,$N13)="","",INDEX('Cronograma R. Normativo'!$I$5:$I$1000,$N13))))</f>
        <v/>
      </c>
      <c r="I13" s="67">
        <f>IF($N13="","",IF($P13&gt;0,IF(3&lt;=SemanaActual,INDEX('Cronograma R. Normativo'!$AA$5:$AA$1000,$N13),""),IF(INDEX('Cronograma R. Normativo'!$J$5:$J$1000,$N13)="","",INDEX('Cronograma R. Normativo'!$J$5:$J$1000,$N13))))</f>
        <v/>
      </c>
      <c r="J13" s="67">
        <f>IF($N13="","",IF($P13&gt;0,IF(4&lt;=SemanaActual,INDEX('Cronograma R. Normativo'!$AB$5:$AB$1000,$N13),""),IF(INDEX('Cronograma R. Normativo'!$K$5:$K$1000,$N13)="","",INDEX('Cronograma R. Normativo'!$K$5:$K$1000,$N13))))</f>
        <v/>
      </c>
      <c r="K13" s="67">
        <f>IF($N13="","",INDEX('Cronograma R. Normativo'!$L$5:$L$1000,$N13))</f>
        <v/>
      </c>
      <c r="L13" s="61">
        <f>IF($N13="","",IF(N($K13)&gt;=1,"Completado",IF(AND(ISNUMBER($E13),$E13&lt;FechaRef),"Vencida",IF(N($K13)&gt;0,"En curso","Pendiente"))))</f>
        <v/>
      </c>
      <c r="M13" s="70">
        <f>IF($N13="","",INDEX('Cronograma R. Normativo'!$N$5:$N$1000,$N13)&amp;"")</f>
        <v/>
      </c>
      <c r="N13">
        <f>IFERROR(MATCH(ROW()-4,rOrden_RN,0),"")</f>
        <v/>
      </c>
      <c r="O13">
        <f>IF($N13="","",INDEX('Cronograma R. Normativo'!$S$5:$S$1000,$N13))</f>
        <v/>
      </c>
      <c r="P13">
        <f>IF($N13="","",N(INDEX('Cronograma R. Normativo'!$T$5:$T$1000,$N13)))</f>
        <v/>
      </c>
    </row>
    <row r="14">
      <c r="A14" s="61">
        <f>IF($N14="","",INDEX('Cronograma R. Normativo'!$A$5:$A$1000,$N14))</f>
        <v/>
      </c>
      <c r="B14" s="70">
        <f>IF($N14="","",IF($O14="Sub","     ↳ "&amp;INDEX('Cronograma R. Normativo'!$C$5:$C$1000,$N14),INDEX('Cronograma R. Normativo'!$B$5:$B$1000,$N14)&amp;""))</f>
        <v/>
      </c>
      <c r="C14" s="70">
        <f>IF($N14="","",INDEX('Cronograma R. Normativo'!$D$5:$D$1000,$N14)&amp;"")</f>
        <v/>
      </c>
      <c r="D14" s="76">
        <f>IF($N14="","",IF(INDEX('Cronograma R. Normativo'!$E$5:$E$1000,$N14)="","",INDEX('Cronograma R. Normativo'!$E$5:$E$1000,$N14)))</f>
        <v/>
      </c>
      <c r="E14" s="76">
        <f>IF($N14="","",IF(INDEX('Cronograma R. Normativo'!$F$5:$F$1000,$N14)="","",INDEX('Cronograma R. Normativo'!$F$5:$F$1000,$N14)))</f>
        <v/>
      </c>
      <c r="F14" s="61">
        <f>IF($N14="","",IF(NOT(ISNUMBER($E14)),"",IF($E14&lt;InicioCiclo,"Antes del ciclo",IF($E14&gt;=InicioCiclo+28,"Después del ciclo","Semana "&amp;(INT(($E14-InicioCiclo)/7)+1)))))</f>
        <v/>
      </c>
      <c r="G14" s="67">
        <f>IF($N14="","",IF($P14&gt;0,IF(1&lt;=SemanaActual,INDEX('Cronograma R. Normativo'!$Y$5:$Y$1000,$N14),""),IF(INDEX('Cronograma R. Normativo'!$H$5:$H$1000,$N14)="","",INDEX('Cronograma R. Normativo'!$H$5:$H$1000,$N14))))</f>
        <v/>
      </c>
      <c r="H14" s="67">
        <f>IF($N14="","",IF($P14&gt;0,IF(2&lt;=SemanaActual,INDEX('Cronograma R. Normativo'!$Z$5:$Z$1000,$N14),""),IF(INDEX('Cronograma R. Normativo'!$I$5:$I$1000,$N14)="","",INDEX('Cronograma R. Normativo'!$I$5:$I$1000,$N14))))</f>
        <v/>
      </c>
      <c r="I14" s="67">
        <f>IF($N14="","",IF($P14&gt;0,IF(3&lt;=SemanaActual,INDEX('Cronograma R. Normativo'!$AA$5:$AA$1000,$N14),""),IF(INDEX('Cronograma R. Normativo'!$J$5:$J$1000,$N14)="","",INDEX('Cronograma R. Normativo'!$J$5:$J$1000,$N14))))</f>
        <v/>
      </c>
      <c r="J14" s="67">
        <f>IF($N14="","",IF($P14&gt;0,IF(4&lt;=SemanaActual,INDEX('Cronograma R. Normativo'!$AB$5:$AB$1000,$N14),""),IF(INDEX('Cronograma R. Normativo'!$K$5:$K$1000,$N14)="","",INDEX('Cronograma R. Normativo'!$K$5:$K$1000,$N14))))</f>
        <v/>
      </c>
      <c r="K14" s="67">
        <f>IF($N14="","",INDEX('Cronograma R. Normativo'!$L$5:$L$1000,$N14))</f>
        <v/>
      </c>
      <c r="L14" s="61">
        <f>IF($N14="","",IF(N($K14)&gt;=1,"Completado",IF(AND(ISNUMBER($E14),$E14&lt;FechaRef),"Vencida",IF(N($K14)&gt;0,"En curso","Pendiente"))))</f>
        <v/>
      </c>
      <c r="M14" s="70">
        <f>IF($N14="","",INDEX('Cronograma R. Normativo'!$N$5:$N$1000,$N14)&amp;"")</f>
        <v/>
      </c>
      <c r="N14">
        <f>IFERROR(MATCH(ROW()-4,rOrden_RN,0),"")</f>
        <v/>
      </c>
      <c r="O14">
        <f>IF($N14="","",INDEX('Cronograma R. Normativo'!$S$5:$S$1000,$N14))</f>
        <v/>
      </c>
      <c r="P14">
        <f>IF($N14="","",N(INDEX('Cronograma R. Normativo'!$T$5:$T$1000,$N14)))</f>
        <v/>
      </c>
    </row>
    <row r="15">
      <c r="A15" s="61">
        <f>IF($N15="","",INDEX('Cronograma R. Normativo'!$A$5:$A$1000,$N15))</f>
        <v/>
      </c>
      <c r="B15" s="70">
        <f>IF($N15="","",IF($O15="Sub","     ↳ "&amp;INDEX('Cronograma R. Normativo'!$C$5:$C$1000,$N15),INDEX('Cronograma R. Normativo'!$B$5:$B$1000,$N15)&amp;""))</f>
        <v/>
      </c>
      <c r="C15" s="70">
        <f>IF($N15="","",INDEX('Cronograma R. Normativo'!$D$5:$D$1000,$N15)&amp;"")</f>
        <v/>
      </c>
      <c r="D15" s="76">
        <f>IF($N15="","",IF(INDEX('Cronograma R. Normativo'!$E$5:$E$1000,$N15)="","",INDEX('Cronograma R. Normativo'!$E$5:$E$1000,$N15)))</f>
        <v/>
      </c>
      <c r="E15" s="76">
        <f>IF($N15="","",IF(INDEX('Cronograma R. Normativo'!$F$5:$F$1000,$N15)="","",INDEX('Cronograma R. Normativo'!$F$5:$F$1000,$N15)))</f>
        <v/>
      </c>
      <c r="F15" s="61">
        <f>IF($N15="","",IF(NOT(ISNUMBER($E15)),"",IF($E15&lt;InicioCiclo,"Antes del ciclo",IF($E15&gt;=InicioCiclo+28,"Después del ciclo","Semana "&amp;(INT(($E15-InicioCiclo)/7)+1)))))</f>
        <v/>
      </c>
      <c r="G15" s="67">
        <f>IF($N15="","",IF($P15&gt;0,IF(1&lt;=SemanaActual,INDEX('Cronograma R. Normativo'!$Y$5:$Y$1000,$N15),""),IF(INDEX('Cronograma R. Normativo'!$H$5:$H$1000,$N15)="","",INDEX('Cronograma R. Normativo'!$H$5:$H$1000,$N15))))</f>
        <v/>
      </c>
      <c r="H15" s="67">
        <f>IF($N15="","",IF($P15&gt;0,IF(2&lt;=SemanaActual,INDEX('Cronograma R. Normativo'!$Z$5:$Z$1000,$N15),""),IF(INDEX('Cronograma R. Normativo'!$I$5:$I$1000,$N15)="","",INDEX('Cronograma R. Normativo'!$I$5:$I$1000,$N15))))</f>
        <v/>
      </c>
      <c r="I15" s="67">
        <f>IF($N15="","",IF($P15&gt;0,IF(3&lt;=SemanaActual,INDEX('Cronograma R. Normativo'!$AA$5:$AA$1000,$N15),""),IF(INDEX('Cronograma R. Normativo'!$J$5:$J$1000,$N15)="","",INDEX('Cronograma R. Normativo'!$J$5:$J$1000,$N15))))</f>
        <v/>
      </c>
      <c r="J15" s="67">
        <f>IF($N15="","",IF($P15&gt;0,IF(4&lt;=SemanaActual,INDEX('Cronograma R. Normativo'!$AB$5:$AB$1000,$N15),""),IF(INDEX('Cronograma R. Normativo'!$K$5:$K$1000,$N15)="","",INDEX('Cronograma R. Normativo'!$K$5:$K$1000,$N15))))</f>
        <v/>
      </c>
      <c r="K15" s="67">
        <f>IF($N15="","",INDEX('Cronograma R. Normativo'!$L$5:$L$1000,$N15))</f>
        <v/>
      </c>
      <c r="L15" s="61">
        <f>IF($N15="","",IF(N($K15)&gt;=1,"Completado",IF(AND(ISNUMBER($E15),$E15&lt;FechaRef),"Vencida",IF(N($K15)&gt;0,"En curso","Pendiente"))))</f>
        <v/>
      </c>
      <c r="M15" s="70">
        <f>IF($N15="","",INDEX('Cronograma R. Normativo'!$N$5:$N$1000,$N15)&amp;"")</f>
        <v/>
      </c>
      <c r="N15">
        <f>IFERROR(MATCH(ROW()-4,rOrden_RN,0),"")</f>
        <v/>
      </c>
      <c r="O15">
        <f>IF($N15="","",INDEX('Cronograma R. Normativo'!$S$5:$S$1000,$N15))</f>
        <v/>
      </c>
      <c r="P15">
        <f>IF($N15="","",N(INDEX('Cronograma R. Normativo'!$T$5:$T$1000,$N15)))</f>
        <v/>
      </c>
    </row>
    <row r="16">
      <c r="A16" s="61">
        <f>IF($N16="","",INDEX('Cronograma R. Normativo'!$A$5:$A$1000,$N16))</f>
        <v/>
      </c>
      <c r="B16" s="70">
        <f>IF($N16="","",IF($O16="Sub","     ↳ "&amp;INDEX('Cronograma R. Normativo'!$C$5:$C$1000,$N16),INDEX('Cronograma R. Normativo'!$B$5:$B$1000,$N16)&amp;""))</f>
        <v/>
      </c>
      <c r="C16" s="70">
        <f>IF($N16="","",INDEX('Cronograma R. Normativo'!$D$5:$D$1000,$N16)&amp;"")</f>
        <v/>
      </c>
      <c r="D16" s="76">
        <f>IF($N16="","",IF(INDEX('Cronograma R. Normativo'!$E$5:$E$1000,$N16)="","",INDEX('Cronograma R. Normativo'!$E$5:$E$1000,$N16)))</f>
        <v/>
      </c>
      <c r="E16" s="76">
        <f>IF($N16="","",IF(INDEX('Cronograma R. Normativo'!$F$5:$F$1000,$N16)="","",INDEX('Cronograma R. Normativo'!$F$5:$F$1000,$N16)))</f>
        <v/>
      </c>
      <c r="F16" s="61">
        <f>IF($N16="","",IF(NOT(ISNUMBER($E16)),"",IF($E16&lt;InicioCiclo,"Antes del ciclo",IF($E16&gt;=InicioCiclo+28,"Después del ciclo","Semana "&amp;(INT(($E16-InicioCiclo)/7)+1)))))</f>
        <v/>
      </c>
      <c r="G16" s="67">
        <f>IF($N16="","",IF($P16&gt;0,IF(1&lt;=SemanaActual,INDEX('Cronograma R. Normativo'!$Y$5:$Y$1000,$N16),""),IF(INDEX('Cronograma R. Normativo'!$H$5:$H$1000,$N16)="","",INDEX('Cronograma R. Normativo'!$H$5:$H$1000,$N16))))</f>
        <v/>
      </c>
      <c r="H16" s="67">
        <f>IF($N16="","",IF($P16&gt;0,IF(2&lt;=SemanaActual,INDEX('Cronograma R. Normativo'!$Z$5:$Z$1000,$N16),""),IF(INDEX('Cronograma R. Normativo'!$I$5:$I$1000,$N16)="","",INDEX('Cronograma R. Normativo'!$I$5:$I$1000,$N16))))</f>
        <v/>
      </c>
      <c r="I16" s="67">
        <f>IF($N16="","",IF($P16&gt;0,IF(3&lt;=SemanaActual,INDEX('Cronograma R. Normativo'!$AA$5:$AA$1000,$N16),""),IF(INDEX('Cronograma R. Normativo'!$J$5:$J$1000,$N16)="","",INDEX('Cronograma R. Normativo'!$J$5:$J$1000,$N16))))</f>
        <v/>
      </c>
      <c r="J16" s="67">
        <f>IF($N16="","",IF($P16&gt;0,IF(4&lt;=SemanaActual,INDEX('Cronograma R. Normativo'!$AB$5:$AB$1000,$N16),""),IF(INDEX('Cronograma R. Normativo'!$K$5:$K$1000,$N16)="","",INDEX('Cronograma R. Normativo'!$K$5:$K$1000,$N16))))</f>
        <v/>
      </c>
      <c r="K16" s="67">
        <f>IF($N16="","",INDEX('Cronograma R. Normativo'!$L$5:$L$1000,$N16))</f>
        <v/>
      </c>
      <c r="L16" s="61">
        <f>IF($N16="","",IF(N($K16)&gt;=1,"Completado",IF(AND(ISNUMBER($E16),$E16&lt;FechaRef),"Vencida",IF(N($K16)&gt;0,"En curso","Pendiente"))))</f>
        <v/>
      </c>
      <c r="M16" s="70">
        <f>IF($N16="","",INDEX('Cronograma R. Normativo'!$N$5:$N$1000,$N16)&amp;"")</f>
        <v/>
      </c>
      <c r="N16">
        <f>IFERROR(MATCH(ROW()-4,rOrden_RN,0),"")</f>
        <v/>
      </c>
      <c r="O16">
        <f>IF($N16="","",INDEX('Cronograma R. Normativo'!$S$5:$S$1000,$N16))</f>
        <v/>
      </c>
      <c r="P16">
        <f>IF($N16="","",N(INDEX('Cronograma R. Normativo'!$T$5:$T$1000,$N16)))</f>
        <v/>
      </c>
    </row>
    <row r="17">
      <c r="A17" s="61">
        <f>IF($N17="","",INDEX('Cronograma R. Normativo'!$A$5:$A$1000,$N17))</f>
        <v/>
      </c>
      <c r="B17" s="70">
        <f>IF($N17="","",IF($O17="Sub","     ↳ "&amp;INDEX('Cronograma R. Normativo'!$C$5:$C$1000,$N17),INDEX('Cronograma R. Normativo'!$B$5:$B$1000,$N17)&amp;""))</f>
        <v/>
      </c>
      <c r="C17" s="70">
        <f>IF($N17="","",INDEX('Cronograma R. Normativo'!$D$5:$D$1000,$N17)&amp;"")</f>
        <v/>
      </c>
      <c r="D17" s="76">
        <f>IF($N17="","",IF(INDEX('Cronograma R. Normativo'!$E$5:$E$1000,$N17)="","",INDEX('Cronograma R. Normativo'!$E$5:$E$1000,$N17)))</f>
        <v/>
      </c>
      <c r="E17" s="76">
        <f>IF($N17="","",IF(INDEX('Cronograma R. Normativo'!$F$5:$F$1000,$N17)="","",INDEX('Cronograma R. Normativo'!$F$5:$F$1000,$N17)))</f>
        <v/>
      </c>
      <c r="F17" s="61">
        <f>IF($N17="","",IF(NOT(ISNUMBER($E17)),"",IF($E17&lt;InicioCiclo,"Antes del ciclo",IF($E17&gt;=InicioCiclo+28,"Después del ciclo","Semana "&amp;(INT(($E17-InicioCiclo)/7)+1)))))</f>
        <v/>
      </c>
      <c r="G17" s="67">
        <f>IF($N17="","",IF($P17&gt;0,IF(1&lt;=SemanaActual,INDEX('Cronograma R. Normativo'!$Y$5:$Y$1000,$N17),""),IF(INDEX('Cronograma R. Normativo'!$H$5:$H$1000,$N17)="","",INDEX('Cronograma R. Normativo'!$H$5:$H$1000,$N17))))</f>
        <v/>
      </c>
      <c r="H17" s="67">
        <f>IF($N17="","",IF($P17&gt;0,IF(2&lt;=SemanaActual,INDEX('Cronograma R. Normativo'!$Z$5:$Z$1000,$N17),""),IF(INDEX('Cronograma R. Normativo'!$I$5:$I$1000,$N17)="","",INDEX('Cronograma R. Normativo'!$I$5:$I$1000,$N17))))</f>
        <v/>
      </c>
      <c r="I17" s="67">
        <f>IF($N17="","",IF($P17&gt;0,IF(3&lt;=SemanaActual,INDEX('Cronograma R. Normativo'!$AA$5:$AA$1000,$N17),""),IF(INDEX('Cronograma R. Normativo'!$J$5:$J$1000,$N17)="","",INDEX('Cronograma R. Normativo'!$J$5:$J$1000,$N17))))</f>
        <v/>
      </c>
      <c r="J17" s="67">
        <f>IF($N17="","",IF($P17&gt;0,IF(4&lt;=SemanaActual,INDEX('Cronograma R. Normativo'!$AB$5:$AB$1000,$N17),""),IF(INDEX('Cronograma R. Normativo'!$K$5:$K$1000,$N17)="","",INDEX('Cronograma R. Normativo'!$K$5:$K$1000,$N17))))</f>
        <v/>
      </c>
      <c r="K17" s="67">
        <f>IF($N17="","",INDEX('Cronograma R. Normativo'!$L$5:$L$1000,$N17))</f>
        <v/>
      </c>
      <c r="L17" s="61">
        <f>IF($N17="","",IF(N($K17)&gt;=1,"Completado",IF(AND(ISNUMBER($E17),$E17&lt;FechaRef),"Vencida",IF(N($K17)&gt;0,"En curso","Pendiente"))))</f>
        <v/>
      </c>
      <c r="M17" s="70">
        <f>IF($N17="","",INDEX('Cronograma R. Normativo'!$N$5:$N$1000,$N17)&amp;"")</f>
        <v/>
      </c>
      <c r="N17">
        <f>IFERROR(MATCH(ROW()-4,rOrden_RN,0),"")</f>
        <v/>
      </c>
      <c r="O17">
        <f>IF($N17="","",INDEX('Cronograma R. Normativo'!$S$5:$S$1000,$N17))</f>
        <v/>
      </c>
      <c r="P17">
        <f>IF($N17="","",N(INDEX('Cronograma R. Normativo'!$T$5:$T$1000,$N17)))</f>
        <v/>
      </c>
    </row>
    <row r="18">
      <c r="A18" s="61">
        <f>IF($N18="","",INDEX('Cronograma R. Normativo'!$A$5:$A$1000,$N18))</f>
        <v/>
      </c>
      <c r="B18" s="70">
        <f>IF($N18="","",IF($O18="Sub","     ↳ "&amp;INDEX('Cronograma R. Normativo'!$C$5:$C$1000,$N18),INDEX('Cronograma R. Normativo'!$B$5:$B$1000,$N18)&amp;""))</f>
        <v/>
      </c>
      <c r="C18" s="70">
        <f>IF($N18="","",INDEX('Cronograma R. Normativo'!$D$5:$D$1000,$N18)&amp;"")</f>
        <v/>
      </c>
      <c r="D18" s="76">
        <f>IF($N18="","",IF(INDEX('Cronograma R. Normativo'!$E$5:$E$1000,$N18)="","",INDEX('Cronograma R. Normativo'!$E$5:$E$1000,$N18)))</f>
        <v/>
      </c>
      <c r="E18" s="76">
        <f>IF($N18="","",IF(INDEX('Cronograma R. Normativo'!$F$5:$F$1000,$N18)="","",INDEX('Cronograma R. Normativo'!$F$5:$F$1000,$N18)))</f>
        <v/>
      </c>
      <c r="F18" s="61">
        <f>IF($N18="","",IF(NOT(ISNUMBER($E18)),"",IF($E18&lt;InicioCiclo,"Antes del ciclo",IF($E18&gt;=InicioCiclo+28,"Después del ciclo","Semana "&amp;(INT(($E18-InicioCiclo)/7)+1)))))</f>
        <v/>
      </c>
      <c r="G18" s="67">
        <f>IF($N18="","",IF($P18&gt;0,IF(1&lt;=SemanaActual,INDEX('Cronograma R. Normativo'!$Y$5:$Y$1000,$N18),""),IF(INDEX('Cronograma R. Normativo'!$H$5:$H$1000,$N18)="","",INDEX('Cronograma R. Normativo'!$H$5:$H$1000,$N18))))</f>
        <v/>
      </c>
      <c r="H18" s="67">
        <f>IF($N18="","",IF($P18&gt;0,IF(2&lt;=SemanaActual,INDEX('Cronograma R. Normativo'!$Z$5:$Z$1000,$N18),""),IF(INDEX('Cronograma R. Normativo'!$I$5:$I$1000,$N18)="","",INDEX('Cronograma R. Normativo'!$I$5:$I$1000,$N18))))</f>
        <v/>
      </c>
      <c r="I18" s="67">
        <f>IF($N18="","",IF($P18&gt;0,IF(3&lt;=SemanaActual,INDEX('Cronograma R. Normativo'!$AA$5:$AA$1000,$N18),""),IF(INDEX('Cronograma R. Normativo'!$J$5:$J$1000,$N18)="","",INDEX('Cronograma R. Normativo'!$J$5:$J$1000,$N18))))</f>
        <v/>
      </c>
      <c r="J18" s="67">
        <f>IF($N18="","",IF($P18&gt;0,IF(4&lt;=SemanaActual,INDEX('Cronograma R. Normativo'!$AB$5:$AB$1000,$N18),""),IF(INDEX('Cronograma R. Normativo'!$K$5:$K$1000,$N18)="","",INDEX('Cronograma R. Normativo'!$K$5:$K$1000,$N18))))</f>
        <v/>
      </c>
      <c r="K18" s="67">
        <f>IF($N18="","",INDEX('Cronograma R. Normativo'!$L$5:$L$1000,$N18))</f>
        <v/>
      </c>
      <c r="L18" s="61">
        <f>IF($N18="","",IF(N($K18)&gt;=1,"Completado",IF(AND(ISNUMBER($E18),$E18&lt;FechaRef),"Vencida",IF(N($K18)&gt;0,"En curso","Pendiente"))))</f>
        <v/>
      </c>
      <c r="M18" s="70">
        <f>IF($N18="","",INDEX('Cronograma R. Normativo'!$N$5:$N$1000,$N18)&amp;"")</f>
        <v/>
      </c>
      <c r="N18">
        <f>IFERROR(MATCH(ROW()-4,rOrden_RN,0),"")</f>
        <v/>
      </c>
      <c r="O18">
        <f>IF($N18="","",INDEX('Cronograma R. Normativo'!$S$5:$S$1000,$N18))</f>
        <v/>
      </c>
      <c r="P18">
        <f>IF($N18="","",N(INDEX('Cronograma R. Normativo'!$T$5:$T$1000,$N18)))</f>
        <v/>
      </c>
    </row>
    <row r="19">
      <c r="A19" s="61">
        <f>IF($N19="","",INDEX('Cronograma R. Normativo'!$A$5:$A$1000,$N19))</f>
        <v/>
      </c>
      <c r="B19" s="70">
        <f>IF($N19="","",IF($O19="Sub","     ↳ "&amp;INDEX('Cronograma R. Normativo'!$C$5:$C$1000,$N19),INDEX('Cronograma R. Normativo'!$B$5:$B$1000,$N19)&amp;""))</f>
        <v/>
      </c>
      <c r="C19" s="70">
        <f>IF($N19="","",INDEX('Cronograma R. Normativo'!$D$5:$D$1000,$N19)&amp;"")</f>
        <v/>
      </c>
      <c r="D19" s="76">
        <f>IF($N19="","",IF(INDEX('Cronograma R. Normativo'!$E$5:$E$1000,$N19)="","",INDEX('Cronograma R. Normativo'!$E$5:$E$1000,$N19)))</f>
        <v/>
      </c>
      <c r="E19" s="76">
        <f>IF($N19="","",IF(INDEX('Cronograma R. Normativo'!$F$5:$F$1000,$N19)="","",INDEX('Cronograma R. Normativo'!$F$5:$F$1000,$N19)))</f>
        <v/>
      </c>
      <c r="F19" s="61">
        <f>IF($N19="","",IF(NOT(ISNUMBER($E19)),"",IF($E19&lt;InicioCiclo,"Antes del ciclo",IF($E19&gt;=InicioCiclo+28,"Después del ciclo","Semana "&amp;(INT(($E19-InicioCiclo)/7)+1)))))</f>
        <v/>
      </c>
      <c r="G19" s="67">
        <f>IF($N19="","",IF($P19&gt;0,IF(1&lt;=SemanaActual,INDEX('Cronograma R. Normativo'!$Y$5:$Y$1000,$N19),""),IF(INDEX('Cronograma R. Normativo'!$H$5:$H$1000,$N19)="","",INDEX('Cronograma R. Normativo'!$H$5:$H$1000,$N19))))</f>
        <v/>
      </c>
      <c r="H19" s="67">
        <f>IF($N19="","",IF($P19&gt;0,IF(2&lt;=SemanaActual,INDEX('Cronograma R. Normativo'!$Z$5:$Z$1000,$N19),""),IF(INDEX('Cronograma R. Normativo'!$I$5:$I$1000,$N19)="","",INDEX('Cronograma R. Normativo'!$I$5:$I$1000,$N19))))</f>
        <v/>
      </c>
      <c r="I19" s="67">
        <f>IF($N19="","",IF($P19&gt;0,IF(3&lt;=SemanaActual,INDEX('Cronograma R. Normativo'!$AA$5:$AA$1000,$N19),""),IF(INDEX('Cronograma R. Normativo'!$J$5:$J$1000,$N19)="","",INDEX('Cronograma R. Normativo'!$J$5:$J$1000,$N19))))</f>
        <v/>
      </c>
      <c r="J19" s="67">
        <f>IF($N19="","",IF($P19&gt;0,IF(4&lt;=SemanaActual,INDEX('Cronograma R. Normativo'!$AB$5:$AB$1000,$N19),""),IF(INDEX('Cronograma R. Normativo'!$K$5:$K$1000,$N19)="","",INDEX('Cronograma R. Normativo'!$K$5:$K$1000,$N19))))</f>
        <v/>
      </c>
      <c r="K19" s="67">
        <f>IF($N19="","",INDEX('Cronograma R. Normativo'!$L$5:$L$1000,$N19))</f>
        <v/>
      </c>
      <c r="L19" s="61">
        <f>IF($N19="","",IF(N($K19)&gt;=1,"Completado",IF(AND(ISNUMBER($E19),$E19&lt;FechaRef),"Vencida",IF(N($K19)&gt;0,"En curso","Pendiente"))))</f>
        <v/>
      </c>
      <c r="M19" s="70">
        <f>IF($N19="","",INDEX('Cronograma R. Normativo'!$N$5:$N$1000,$N19)&amp;"")</f>
        <v/>
      </c>
      <c r="N19">
        <f>IFERROR(MATCH(ROW()-4,rOrden_RN,0),"")</f>
        <v/>
      </c>
      <c r="O19">
        <f>IF($N19="","",INDEX('Cronograma R. Normativo'!$S$5:$S$1000,$N19))</f>
        <v/>
      </c>
      <c r="P19">
        <f>IF($N19="","",N(INDEX('Cronograma R. Normativo'!$T$5:$T$1000,$N19)))</f>
        <v/>
      </c>
    </row>
    <row r="20">
      <c r="A20" s="61">
        <f>IF($N20="","",INDEX('Cronograma R. Normativo'!$A$5:$A$1000,$N20))</f>
        <v/>
      </c>
      <c r="B20" s="70">
        <f>IF($N20="","",IF($O20="Sub","     ↳ "&amp;INDEX('Cronograma R. Normativo'!$C$5:$C$1000,$N20),INDEX('Cronograma R. Normativo'!$B$5:$B$1000,$N20)&amp;""))</f>
        <v/>
      </c>
      <c r="C20" s="70">
        <f>IF($N20="","",INDEX('Cronograma R. Normativo'!$D$5:$D$1000,$N20)&amp;"")</f>
        <v/>
      </c>
      <c r="D20" s="76">
        <f>IF($N20="","",IF(INDEX('Cronograma R. Normativo'!$E$5:$E$1000,$N20)="","",INDEX('Cronograma R. Normativo'!$E$5:$E$1000,$N20)))</f>
        <v/>
      </c>
      <c r="E20" s="76">
        <f>IF($N20="","",IF(INDEX('Cronograma R. Normativo'!$F$5:$F$1000,$N20)="","",INDEX('Cronograma R. Normativo'!$F$5:$F$1000,$N20)))</f>
        <v/>
      </c>
      <c r="F20" s="61">
        <f>IF($N20="","",IF(NOT(ISNUMBER($E20)),"",IF($E20&lt;InicioCiclo,"Antes del ciclo",IF($E20&gt;=InicioCiclo+28,"Después del ciclo","Semana "&amp;(INT(($E20-InicioCiclo)/7)+1)))))</f>
        <v/>
      </c>
      <c r="G20" s="67">
        <f>IF($N20="","",IF($P20&gt;0,IF(1&lt;=SemanaActual,INDEX('Cronograma R. Normativo'!$Y$5:$Y$1000,$N20),""),IF(INDEX('Cronograma R. Normativo'!$H$5:$H$1000,$N20)="","",INDEX('Cronograma R. Normativo'!$H$5:$H$1000,$N20))))</f>
        <v/>
      </c>
      <c r="H20" s="67">
        <f>IF($N20="","",IF($P20&gt;0,IF(2&lt;=SemanaActual,INDEX('Cronograma R. Normativo'!$Z$5:$Z$1000,$N20),""),IF(INDEX('Cronograma R. Normativo'!$I$5:$I$1000,$N20)="","",INDEX('Cronograma R. Normativo'!$I$5:$I$1000,$N20))))</f>
        <v/>
      </c>
      <c r="I20" s="67">
        <f>IF($N20="","",IF($P20&gt;0,IF(3&lt;=SemanaActual,INDEX('Cronograma R. Normativo'!$AA$5:$AA$1000,$N20),""),IF(INDEX('Cronograma R. Normativo'!$J$5:$J$1000,$N20)="","",INDEX('Cronograma R. Normativo'!$J$5:$J$1000,$N20))))</f>
        <v/>
      </c>
      <c r="J20" s="67">
        <f>IF($N20="","",IF($P20&gt;0,IF(4&lt;=SemanaActual,INDEX('Cronograma R. Normativo'!$AB$5:$AB$1000,$N20),""),IF(INDEX('Cronograma R. Normativo'!$K$5:$K$1000,$N20)="","",INDEX('Cronograma R. Normativo'!$K$5:$K$1000,$N20))))</f>
        <v/>
      </c>
      <c r="K20" s="67">
        <f>IF($N20="","",INDEX('Cronograma R. Normativo'!$L$5:$L$1000,$N20))</f>
        <v/>
      </c>
      <c r="L20" s="61">
        <f>IF($N20="","",IF(N($K20)&gt;=1,"Completado",IF(AND(ISNUMBER($E20),$E20&lt;FechaRef),"Vencida",IF(N($K20)&gt;0,"En curso","Pendiente"))))</f>
        <v/>
      </c>
      <c r="M20" s="70">
        <f>IF($N20="","",INDEX('Cronograma R. Normativo'!$N$5:$N$1000,$N20)&amp;"")</f>
        <v/>
      </c>
      <c r="N20">
        <f>IFERROR(MATCH(ROW()-4,rOrden_RN,0),"")</f>
        <v/>
      </c>
      <c r="O20">
        <f>IF($N20="","",INDEX('Cronograma R. Normativo'!$S$5:$S$1000,$N20))</f>
        <v/>
      </c>
      <c r="P20">
        <f>IF($N20="","",N(INDEX('Cronograma R. Normativo'!$T$5:$T$1000,$N20)))</f>
        <v/>
      </c>
    </row>
    <row r="21">
      <c r="A21" s="61">
        <f>IF($N21="","",INDEX('Cronograma R. Normativo'!$A$5:$A$1000,$N21))</f>
        <v/>
      </c>
      <c r="B21" s="70">
        <f>IF($N21="","",IF($O21="Sub","     ↳ "&amp;INDEX('Cronograma R. Normativo'!$C$5:$C$1000,$N21),INDEX('Cronograma R. Normativo'!$B$5:$B$1000,$N21)&amp;""))</f>
        <v/>
      </c>
      <c r="C21" s="70">
        <f>IF($N21="","",INDEX('Cronograma R. Normativo'!$D$5:$D$1000,$N21)&amp;"")</f>
        <v/>
      </c>
      <c r="D21" s="76">
        <f>IF($N21="","",IF(INDEX('Cronograma R. Normativo'!$E$5:$E$1000,$N21)="","",INDEX('Cronograma R. Normativo'!$E$5:$E$1000,$N21)))</f>
        <v/>
      </c>
      <c r="E21" s="76">
        <f>IF($N21="","",IF(INDEX('Cronograma R. Normativo'!$F$5:$F$1000,$N21)="","",INDEX('Cronograma R. Normativo'!$F$5:$F$1000,$N21)))</f>
        <v/>
      </c>
      <c r="F21" s="61">
        <f>IF($N21="","",IF(NOT(ISNUMBER($E21)),"",IF($E21&lt;InicioCiclo,"Antes del ciclo",IF($E21&gt;=InicioCiclo+28,"Después del ciclo","Semana "&amp;(INT(($E21-InicioCiclo)/7)+1)))))</f>
        <v/>
      </c>
      <c r="G21" s="67">
        <f>IF($N21="","",IF($P21&gt;0,IF(1&lt;=SemanaActual,INDEX('Cronograma R. Normativo'!$Y$5:$Y$1000,$N21),""),IF(INDEX('Cronograma R. Normativo'!$H$5:$H$1000,$N21)="","",INDEX('Cronograma R. Normativo'!$H$5:$H$1000,$N21))))</f>
        <v/>
      </c>
      <c r="H21" s="67">
        <f>IF($N21="","",IF($P21&gt;0,IF(2&lt;=SemanaActual,INDEX('Cronograma R. Normativo'!$Z$5:$Z$1000,$N21),""),IF(INDEX('Cronograma R. Normativo'!$I$5:$I$1000,$N21)="","",INDEX('Cronograma R. Normativo'!$I$5:$I$1000,$N21))))</f>
        <v/>
      </c>
      <c r="I21" s="67">
        <f>IF($N21="","",IF($P21&gt;0,IF(3&lt;=SemanaActual,INDEX('Cronograma R. Normativo'!$AA$5:$AA$1000,$N21),""),IF(INDEX('Cronograma R. Normativo'!$J$5:$J$1000,$N21)="","",INDEX('Cronograma R. Normativo'!$J$5:$J$1000,$N21))))</f>
        <v/>
      </c>
      <c r="J21" s="67">
        <f>IF($N21="","",IF($P21&gt;0,IF(4&lt;=SemanaActual,INDEX('Cronograma R. Normativo'!$AB$5:$AB$1000,$N21),""),IF(INDEX('Cronograma R. Normativo'!$K$5:$K$1000,$N21)="","",INDEX('Cronograma R. Normativo'!$K$5:$K$1000,$N21))))</f>
        <v/>
      </c>
      <c r="K21" s="67">
        <f>IF($N21="","",INDEX('Cronograma R. Normativo'!$L$5:$L$1000,$N21))</f>
        <v/>
      </c>
      <c r="L21" s="61">
        <f>IF($N21="","",IF(N($K21)&gt;=1,"Completado",IF(AND(ISNUMBER($E21),$E21&lt;FechaRef),"Vencida",IF(N($K21)&gt;0,"En curso","Pendiente"))))</f>
        <v/>
      </c>
      <c r="M21" s="70">
        <f>IF($N21="","",INDEX('Cronograma R. Normativo'!$N$5:$N$1000,$N21)&amp;"")</f>
        <v/>
      </c>
      <c r="N21">
        <f>IFERROR(MATCH(ROW()-4,rOrden_RN,0),"")</f>
        <v/>
      </c>
      <c r="O21">
        <f>IF($N21="","",INDEX('Cronograma R. Normativo'!$S$5:$S$1000,$N21))</f>
        <v/>
      </c>
      <c r="P21">
        <f>IF($N21="","",N(INDEX('Cronograma R. Normativo'!$T$5:$T$1000,$N21)))</f>
        <v/>
      </c>
    </row>
    <row r="22">
      <c r="A22" s="61">
        <f>IF($N22="","",INDEX('Cronograma R. Normativo'!$A$5:$A$1000,$N22))</f>
        <v/>
      </c>
      <c r="B22" s="70">
        <f>IF($N22="","",IF($O22="Sub","     ↳ "&amp;INDEX('Cronograma R. Normativo'!$C$5:$C$1000,$N22),INDEX('Cronograma R. Normativo'!$B$5:$B$1000,$N22)&amp;""))</f>
        <v/>
      </c>
      <c r="C22" s="70">
        <f>IF($N22="","",INDEX('Cronograma R. Normativo'!$D$5:$D$1000,$N22)&amp;"")</f>
        <v/>
      </c>
      <c r="D22" s="76">
        <f>IF($N22="","",IF(INDEX('Cronograma R. Normativo'!$E$5:$E$1000,$N22)="","",INDEX('Cronograma R. Normativo'!$E$5:$E$1000,$N22)))</f>
        <v/>
      </c>
      <c r="E22" s="76">
        <f>IF($N22="","",IF(INDEX('Cronograma R. Normativo'!$F$5:$F$1000,$N22)="","",INDEX('Cronograma R. Normativo'!$F$5:$F$1000,$N22)))</f>
        <v/>
      </c>
      <c r="F22" s="61">
        <f>IF($N22="","",IF(NOT(ISNUMBER($E22)),"",IF($E22&lt;InicioCiclo,"Antes del ciclo",IF($E22&gt;=InicioCiclo+28,"Después del ciclo","Semana "&amp;(INT(($E22-InicioCiclo)/7)+1)))))</f>
        <v/>
      </c>
      <c r="G22" s="67">
        <f>IF($N22="","",IF($P22&gt;0,IF(1&lt;=SemanaActual,INDEX('Cronograma R. Normativo'!$Y$5:$Y$1000,$N22),""),IF(INDEX('Cronograma R. Normativo'!$H$5:$H$1000,$N22)="","",INDEX('Cronograma R. Normativo'!$H$5:$H$1000,$N22))))</f>
        <v/>
      </c>
      <c r="H22" s="67">
        <f>IF($N22="","",IF($P22&gt;0,IF(2&lt;=SemanaActual,INDEX('Cronograma R. Normativo'!$Z$5:$Z$1000,$N22),""),IF(INDEX('Cronograma R. Normativo'!$I$5:$I$1000,$N22)="","",INDEX('Cronograma R. Normativo'!$I$5:$I$1000,$N22))))</f>
        <v/>
      </c>
      <c r="I22" s="67">
        <f>IF($N22="","",IF($P22&gt;0,IF(3&lt;=SemanaActual,INDEX('Cronograma R. Normativo'!$AA$5:$AA$1000,$N22),""),IF(INDEX('Cronograma R. Normativo'!$J$5:$J$1000,$N22)="","",INDEX('Cronograma R. Normativo'!$J$5:$J$1000,$N22))))</f>
        <v/>
      </c>
      <c r="J22" s="67">
        <f>IF($N22="","",IF($P22&gt;0,IF(4&lt;=SemanaActual,INDEX('Cronograma R. Normativo'!$AB$5:$AB$1000,$N22),""),IF(INDEX('Cronograma R. Normativo'!$K$5:$K$1000,$N22)="","",INDEX('Cronograma R. Normativo'!$K$5:$K$1000,$N22))))</f>
        <v/>
      </c>
      <c r="K22" s="67">
        <f>IF($N22="","",INDEX('Cronograma R. Normativo'!$L$5:$L$1000,$N22))</f>
        <v/>
      </c>
      <c r="L22" s="61">
        <f>IF($N22="","",IF(N($K22)&gt;=1,"Completado",IF(AND(ISNUMBER($E22),$E22&lt;FechaRef),"Vencida",IF(N($K22)&gt;0,"En curso","Pendiente"))))</f>
        <v/>
      </c>
      <c r="M22" s="70">
        <f>IF($N22="","",INDEX('Cronograma R. Normativo'!$N$5:$N$1000,$N22)&amp;"")</f>
        <v/>
      </c>
      <c r="N22">
        <f>IFERROR(MATCH(ROW()-4,rOrden_RN,0),"")</f>
        <v/>
      </c>
      <c r="O22">
        <f>IF($N22="","",INDEX('Cronograma R. Normativo'!$S$5:$S$1000,$N22))</f>
        <v/>
      </c>
      <c r="P22">
        <f>IF($N22="","",N(INDEX('Cronograma R. Normativo'!$T$5:$T$1000,$N22)))</f>
        <v/>
      </c>
    </row>
    <row r="23">
      <c r="A23" s="61">
        <f>IF($N23="","",INDEX('Cronograma R. Normativo'!$A$5:$A$1000,$N23))</f>
        <v/>
      </c>
      <c r="B23" s="70">
        <f>IF($N23="","",IF($O23="Sub","     ↳ "&amp;INDEX('Cronograma R. Normativo'!$C$5:$C$1000,$N23),INDEX('Cronograma R. Normativo'!$B$5:$B$1000,$N23)&amp;""))</f>
        <v/>
      </c>
      <c r="C23" s="70">
        <f>IF($N23="","",INDEX('Cronograma R. Normativo'!$D$5:$D$1000,$N23)&amp;"")</f>
        <v/>
      </c>
      <c r="D23" s="76">
        <f>IF($N23="","",IF(INDEX('Cronograma R. Normativo'!$E$5:$E$1000,$N23)="","",INDEX('Cronograma R. Normativo'!$E$5:$E$1000,$N23)))</f>
        <v/>
      </c>
      <c r="E23" s="76">
        <f>IF($N23="","",IF(INDEX('Cronograma R. Normativo'!$F$5:$F$1000,$N23)="","",INDEX('Cronograma R. Normativo'!$F$5:$F$1000,$N23)))</f>
        <v/>
      </c>
      <c r="F23" s="61">
        <f>IF($N23="","",IF(NOT(ISNUMBER($E23)),"",IF($E23&lt;InicioCiclo,"Antes del ciclo",IF($E23&gt;=InicioCiclo+28,"Después del ciclo","Semana "&amp;(INT(($E23-InicioCiclo)/7)+1)))))</f>
        <v/>
      </c>
      <c r="G23" s="67">
        <f>IF($N23="","",IF($P23&gt;0,IF(1&lt;=SemanaActual,INDEX('Cronograma R. Normativo'!$Y$5:$Y$1000,$N23),""),IF(INDEX('Cronograma R. Normativo'!$H$5:$H$1000,$N23)="","",INDEX('Cronograma R. Normativo'!$H$5:$H$1000,$N23))))</f>
        <v/>
      </c>
      <c r="H23" s="67">
        <f>IF($N23="","",IF($P23&gt;0,IF(2&lt;=SemanaActual,INDEX('Cronograma R. Normativo'!$Z$5:$Z$1000,$N23),""),IF(INDEX('Cronograma R. Normativo'!$I$5:$I$1000,$N23)="","",INDEX('Cronograma R. Normativo'!$I$5:$I$1000,$N23))))</f>
        <v/>
      </c>
      <c r="I23" s="67">
        <f>IF($N23="","",IF($P23&gt;0,IF(3&lt;=SemanaActual,INDEX('Cronograma R. Normativo'!$AA$5:$AA$1000,$N23),""),IF(INDEX('Cronograma R. Normativo'!$J$5:$J$1000,$N23)="","",INDEX('Cronograma R. Normativo'!$J$5:$J$1000,$N23))))</f>
        <v/>
      </c>
      <c r="J23" s="67">
        <f>IF($N23="","",IF($P23&gt;0,IF(4&lt;=SemanaActual,INDEX('Cronograma R. Normativo'!$AB$5:$AB$1000,$N23),""),IF(INDEX('Cronograma R. Normativo'!$K$5:$K$1000,$N23)="","",INDEX('Cronograma R. Normativo'!$K$5:$K$1000,$N23))))</f>
        <v/>
      </c>
      <c r="K23" s="67">
        <f>IF($N23="","",INDEX('Cronograma R. Normativo'!$L$5:$L$1000,$N23))</f>
        <v/>
      </c>
      <c r="L23" s="61">
        <f>IF($N23="","",IF(N($K23)&gt;=1,"Completado",IF(AND(ISNUMBER($E23),$E23&lt;FechaRef),"Vencida",IF(N($K23)&gt;0,"En curso","Pendiente"))))</f>
        <v/>
      </c>
      <c r="M23" s="70">
        <f>IF($N23="","",INDEX('Cronograma R. Normativo'!$N$5:$N$1000,$N23)&amp;"")</f>
        <v/>
      </c>
      <c r="N23">
        <f>IFERROR(MATCH(ROW()-4,rOrden_RN,0),"")</f>
        <v/>
      </c>
      <c r="O23">
        <f>IF($N23="","",INDEX('Cronograma R. Normativo'!$S$5:$S$1000,$N23))</f>
        <v/>
      </c>
      <c r="P23">
        <f>IF($N23="","",N(INDEX('Cronograma R. Normativo'!$T$5:$T$1000,$N23)))</f>
        <v/>
      </c>
    </row>
    <row r="24">
      <c r="A24" s="61">
        <f>IF($N24="","",INDEX('Cronograma R. Normativo'!$A$5:$A$1000,$N24))</f>
        <v/>
      </c>
      <c r="B24" s="70">
        <f>IF($N24="","",IF($O24="Sub","     ↳ "&amp;INDEX('Cronograma R. Normativo'!$C$5:$C$1000,$N24),INDEX('Cronograma R. Normativo'!$B$5:$B$1000,$N24)&amp;""))</f>
        <v/>
      </c>
      <c r="C24" s="70">
        <f>IF($N24="","",INDEX('Cronograma R. Normativo'!$D$5:$D$1000,$N24)&amp;"")</f>
        <v/>
      </c>
      <c r="D24" s="76">
        <f>IF($N24="","",IF(INDEX('Cronograma R. Normativo'!$E$5:$E$1000,$N24)="","",INDEX('Cronograma R. Normativo'!$E$5:$E$1000,$N24)))</f>
        <v/>
      </c>
      <c r="E24" s="76">
        <f>IF($N24="","",IF(INDEX('Cronograma R. Normativo'!$F$5:$F$1000,$N24)="","",INDEX('Cronograma R. Normativo'!$F$5:$F$1000,$N24)))</f>
        <v/>
      </c>
      <c r="F24" s="61">
        <f>IF($N24="","",IF(NOT(ISNUMBER($E24)),"",IF($E24&lt;InicioCiclo,"Antes del ciclo",IF($E24&gt;=InicioCiclo+28,"Después del ciclo","Semana "&amp;(INT(($E24-InicioCiclo)/7)+1)))))</f>
        <v/>
      </c>
      <c r="G24" s="67">
        <f>IF($N24="","",IF($P24&gt;0,IF(1&lt;=SemanaActual,INDEX('Cronograma R. Normativo'!$Y$5:$Y$1000,$N24),""),IF(INDEX('Cronograma R. Normativo'!$H$5:$H$1000,$N24)="","",INDEX('Cronograma R. Normativo'!$H$5:$H$1000,$N24))))</f>
        <v/>
      </c>
      <c r="H24" s="67">
        <f>IF($N24="","",IF($P24&gt;0,IF(2&lt;=SemanaActual,INDEX('Cronograma R. Normativo'!$Z$5:$Z$1000,$N24),""),IF(INDEX('Cronograma R. Normativo'!$I$5:$I$1000,$N24)="","",INDEX('Cronograma R. Normativo'!$I$5:$I$1000,$N24))))</f>
        <v/>
      </c>
      <c r="I24" s="67">
        <f>IF($N24="","",IF($P24&gt;0,IF(3&lt;=SemanaActual,INDEX('Cronograma R. Normativo'!$AA$5:$AA$1000,$N24),""),IF(INDEX('Cronograma R. Normativo'!$J$5:$J$1000,$N24)="","",INDEX('Cronograma R. Normativo'!$J$5:$J$1000,$N24))))</f>
        <v/>
      </c>
      <c r="J24" s="67">
        <f>IF($N24="","",IF($P24&gt;0,IF(4&lt;=SemanaActual,INDEX('Cronograma R. Normativo'!$AB$5:$AB$1000,$N24),""),IF(INDEX('Cronograma R. Normativo'!$K$5:$K$1000,$N24)="","",INDEX('Cronograma R. Normativo'!$K$5:$K$1000,$N24))))</f>
        <v/>
      </c>
      <c r="K24" s="67">
        <f>IF($N24="","",INDEX('Cronograma R. Normativo'!$L$5:$L$1000,$N24))</f>
        <v/>
      </c>
      <c r="L24" s="61">
        <f>IF($N24="","",IF(N($K24)&gt;=1,"Completado",IF(AND(ISNUMBER($E24),$E24&lt;FechaRef),"Vencida",IF(N($K24)&gt;0,"En curso","Pendiente"))))</f>
        <v/>
      </c>
      <c r="M24" s="70">
        <f>IF($N24="","",INDEX('Cronograma R. Normativo'!$N$5:$N$1000,$N24)&amp;"")</f>
        <v/>
      </c>
      <c r="N24">
        <f>IFERROR(MATCH(ROW()-4,rOrden_RN,0),"")</f>
        <v/>
      </c>
      <c r="O24">
        <f>IF($N24="","",INDEX('Cronograma R. Normativo'!$S$5:$S$1000,$N24))</f>
        <v/>
      </c>
      <c r="P24">
        <f>IF($N24="","",N(INDEX('Cronograma R. Normativo'!$T$5:$T$1000,$N24)))</f>
        <v/>
      </c>
    </row>
    <row r="25">
      <c r="A25" s="61">
        <f>IF($N25="","",INDEX('Cronograma R. Normativo'!$A$5:$A$1000,$N25))</f>
        <v/>
      </c>
      <c r="B25" s="70">
        <f>IF($N25="","",IF($O25="Sub","     ↳ "&amp;INDEX('Cronograma R. Normativo'!$C$5:$C$1000,$N25),INDEX('Cronograma R. Normativo'!$B$5:$B$1000,$N25)&amp;""))</f>
        <v/>
      </c>
      <c r="C25" s="70">
        <f>IF($N25="","",INDEX('Cronograma R. Normativo'!$D$5:$D$1000,$N25)&amp;"")</f>
        <v/>
      </c>
      <c r="D25" s="76">
        <f>IF($N25="","",IF(INDEX('Cronograma R. Normativo'!$E$5:$E$1000,$N25)="","",INDEX('Cronograma R. Normativo'!$E$5:$E$1000,$N25)))</f>
        <v/>
      </c>
      <c r="E25" s="76">
        <f>IF($N25="","",IF(INDEX('Cronograma R. Normativo'!$F$5:$F$1000,$N25)="","",INDEX('Cronograma R. Normativo'!$F$5:$F$1000,$N25)))</f>
        <v/>
      </c>
      <c r="F25" s="61">
        <f>IF($N25="","",IF(NOT(ISNUMBER($E25)),"",IF($E25&lt;InicioCiclo,"Antes del ciclo",IF($E25&gt;=InicioCiclo+28,"Después del ciclo","Semana "&amp;(INT(($E25-InicioCiclo)/7)+1)))))</f>
        <v/>
      </c>
      <c r="G25" s="67">
        <f>IF($N25="","",IF($P25&gt;0,IF(1&lt;=SemanaActual,INDEX('Cronograma R. Normativo'!$Y$5:$Y$1000,$N25),""),IF(INDEX('Cronograma R. Normativo'!$H$5:$H$1000,$N25)="","",INDEX('Cronograma R. Normativo'!$H$5:$H$1000,$N25))))</f>
        <v/>
      </c>
      <c r="H25" s="67">
        <f>IF($N25="","",IF($P25&gt;0,IF(2&lt;=SemanaActual,INDEX('Cronograma R. Normativo'!$Z$5:$Z$1000,$N25),""),IF(INDEX('Cronograma R. Normativo'!$I$5:$I$1000,$N25)="","",INDEX('Cronograma R. Normativo'!$I$5:$I$1000,$N25))))</f>
        <v/>
      </c>
      <c r="I25" s="67">
        <f>IF($N25="","",IF($P25&gt;0,IF(3&lt;=SemanaActual,INDEX('Cronograma R. Normativo'!$AA$5:$AA$1000,$N25),""),IF(INDEX('Cronograma R. Normativo'!$J$5:$J$1000,$N25)="","",INDEX('Cronograma R. Normativo'!$J$5:$J$1000,$N25))))</f>
        <v/>
      </c>
      <c r="J25" s="67">
        <f>IF($N25="","",IF($P25&gt;0,IF(4&lt;=SemanaActual,INDEX('Cronograma R. Normativo'!$AB$5:$AB$1000,$N25),""),IF(INDEX('Cronograma R. Normativo'!$K$5:$K$1000,$N25)="","",INDEX('Cronograma R. Normativo'!$K$5:$K$1000,$N25))))</f>
        <v/>
      </c>
      <c r="K25" s="67">
        <f>IF($N25="","",INDEX('Cronograma R. Normativo'!$L$5:$L$1000,$N25))</f>
        <v/>
      </c>
      <c r="L25" s="61">
        <f>IF($N25="","",IF(N($K25)&gt;=1,"Completado",IF(AND(ISNUMBER($E25),$E25&lt;FechaRef),"Vencida",IF(N($K25)&gt;0,"En curso","Pendiente"))))</f>
        <v/>
      </c>
      <c r="M25" s="70">
        <f>IF($N25="","",INDEX('Cronograma R. Normativo'!$N$5:$N$1000,$N25)&amp;"")</f>
        <v/>
      </c>
      <c r="N25">
        <f>IFERROR(MATCH(ROW()-4,rOrden_RN,0),"")</f>
        <v/>
      </c>
      <c r="O25">
        <f>IF($N25="","",INDEX('Cronograma R. Normativo'!$S$5:$S$1000,$N25))</f>
        <v/>
      </c>
      <c r="P25">
        <f>IF($N25="","",N(INDEX('Cronograma R. Normativo'!$T$5:$T$1000,$N25)))</f>
        <v/>
      </c>
    </row>
    <row r="26">
      <c r="A26" s="61">
        <f>IF($N26="","",INDEX('Cronograma R. Normativo'!$A$5:$A$1000,$N26))</f>
        <v/>
      </c>
      <c r="B26" s="70">
        <f>IF($N26="","",IF($O26="Sub","     ↳ "&amp;INDEX('Cronograma R. Normativo'!$C$5:$C$1000,$N26),INDEX('Cronograma R. Normativo'!$B$5:$B$1000,$N26)&amp;""))</f>
        <v/>
      </c>
      <c r="C26" s="70">
        <f>IF($N26="","",INDEX('Cronograma R. Normativo'!$D$5:$D$1000,$N26)&amp;"")</f>
        <v/>
      </c>
      <c r="D26" s="76">
        <f>IF($N26="","",IF(INDEX('Cronograma R. Normativo'!$E$5:$E$1000,$N26)="","",INDEX('Cronograma R. Normativo'!$E$5:$E$1000,$N26)))</f>
        <v/>
      </c>
      <c r="E26" s="76">
        <f>IF($N26="","",IF(INDEX('Cronograma R. Normativo'!$F$5:$F$1000,$N26)="","",INDEX('Cronograma R. Normativo'!$F$5:$F$1000,$N26)))</f>
        <v/>
      </c>
      <c r="F26" s="61">
        <f>IF($N26="","",IF(NOT(ISNUMBER($E26)),"",IF($E26&lt;InicioCiclo,"Antes del ciclo",IF($E26&gt;=InicioCiclo+28,"Después del ciclo","Semana "&amp;(INT(($E26-InicioCiclo)/7)+1)))))</f>
        <v/>
      </c>
      <c r="G26" s="67">
        <f>IF($N26="","",IF($P26&gt;0,IF(1&lt;=SemanaActual,INDEX('Cronograma R. Normativo'!$Y$5:$Y$1000,$N26),""),IF(INDEX('Cronograma R. Normativo'!$H$5:$H$1000,$N26)="","",INDEX('Cronograma R. Normativo'!$H$5:$H$1000,$N26))))</f>
        <v/>
      </c>
      <c r="H26" s="67">
        <f>IF($N26="","",IF($P26&gt;0,IF(2&lt;=SemanaActual,INDEX('Cronograma R. Normativo'!$Z$5:$Z$1000,$N26),""),IF(INDEX('Cronograma R. Normativo'!$I$5:$I$1000,$N26)="","",INDEX('Cronograma R. Normativo'!$I$5:$I$1000,$N26))))</f>
        <v/>
      </c>
      <c r="I26" s="67">
        <f>IF($N26="","",IF($P26&gt;0,IF(3&lt;=SemanaActual,INDEX('Cronograma R. Normativo'!$AA$5:$AA$1000,$N26),""),IF(INDEX('Cronograma R. Normativo'!$J$5:$J$1000,$N26)="","",INDEX('Cronograma R. Normativo'!$J$5:$J$1000,$N26))))</f>
        <v/>
      </c>
      <c r="J26" s="67">
        <f>IF($N26="","",IF($P26&gt;0,IF(4&lt;=SemanaActual,INDEX('Cronograma R. Normativo'!$AB$5:$AB$1000,$N26),""),IF(INDEX('Cronograma R. Normativo'!$K$5:$K$1000,$N26)="","",INDEX('Cronograma R. Normativo'!$K$5:$K$1000,$N26))))</f>
        <v/>
      </c>
      <c r="K26" s="67">
        <f>IF($N26="","",INDEX('Cronograma R. Normativo'!$L$5:$L$1000,$N26))</f>
        <v/>
      </c>
      <c r="L26" s="61">
        <f>IF($N26="","",IF(N($K26)&gt;=1,"Completado",IF(AND(ISNUMBER($E26),$E26&lt;FechaRef),"Vencida",IF(N($K26)&gt;0,"En curso","Pendiente"))))</f>
        <v/>
      </c>
      <c r="M26" s="70">
        <f>IF($N26="","",INDEX('Cronograma R. Normativo'!$N$5:$N$1000,$N26)&amp;"")</f>
        <v/>
      </c>
      <c r="N26">
        <f>IFERROR(MATCH(ROW()-4,rOrden_RN,0),"")</f>
        <v/>
      </c>
      <c r="O26">
        <f>IF($N26="","",INDEX('Cronograma R. Normativo'!$S$5:$S$1000,$N26))</f>
        <v/>
      </c>
      <c r="P26">
        <f>IF($N26="","",N(INDEX('Cronograma R. Normativo'!$T$5:$T$1000,$N26)))</f>
        <v/>
      </c>
    </row>
    <row r="27">
      <c r="A27" s="61">
        <f>IF($N27="","",INDEX('Cronograma R. Normativo'!$A$5:$A$1000,$N27))</f>
        <v/>
      </c>
      <c r="B27" s="70">
        <f>IF($N27="","",IF($O27="Sub","     ↳ "&amp;INDEX('Cronograma R. Normativo'!$C$5:$C$1000,$N27),INDEX('Cronograma R. Normativo'!$B$5:$B$1000,$N27)&amp;""))</f>
        <v/>
      </c>
      <c r="C27" s="70">
        <f>IF($N27="","",INDEX('Cronograma R. Normativo'!$D$5:$D$1000,$N27)&amp;"")</f>
        <v/>
      </c>
      <c r="D27" s="76">
        <f>IF($N27="","",IF(INDEX('Cronograma R. Normativo'!$E$5:$E$1000,$N27)="","",INDEX('Cronograma R. Normativo'!$E$5:$E$1000,$N27)))</f>
        <v/>
      </c>
      <c r="E27" s="76">
        <f>IF($N27="","",IF(INDEX('Cronograma R. Normativo'!$F$5:$F$1000,$N27)="","",INDEX('Cronograma R. Normativo'!$F$5:$F$1000,$N27)))</f>
        <v/>
      </c>
      <c r="F27" s="61">
        <f>IF($N27="","",IF(NOT(ISNUMBER($E27)),"",IF($E27&lt;InicioCiclo,"Antes del ciclo",IF($E27&gt;=InicioCiclo+28,"Después del ciclo","Semana "&amp;(INT(($E27-InicioCiclo)/7)+1)))))</f>
        <v/>
      </c>
      <c r="G27" s="67">
        <f>IF($N27="","",IF($P27&gt;0,IF(1&lt;=SemanaActual,INDEX('Cronograma R. Normativo'!$Y$5:$Y$1000,$N27),""),IF(INDEX('Cronograma R. Normativo'!$H$5:$H$1000,$N27)="","",INDEX('Cronograma R. Normativo'!$H$5:$H$1000,$N27))))</f>
        <v/>
      </c>
      <c r="H27" s="67">
        <f>IF($N27="","",IF($P27&gt;0,IF(2&lt;=SemanaActual,INDEX('Cronograma R. Normativo'!$Z$5:$Z$1000,$N27),""),IF(INDEX('Cronograma R. Normativo'!$I$5:$I$1000,$N27)="","",INDEX('Cronograma R. Normativo'!$I$5:$I$1000,$N27))))</f>
        <v/>
      </c>
      <c r="I27" s="67">
        <f>IF($N27="","",IF($P27&gt;0,IF(3&lt;=SemanaActual,INDEX('Cronograma R. Normativo'!$AA$5:$AA$1000,$N27),""),IF(INDEX('Cronograma R. Normativo'!$J$5:$J$1000,$N27)="","",INDEX('Cronograma R. Normativo'!$J$5:$J$1000,$N27))))</f>
        <v/>
      </c>
      <c r="J27" s="67">
        <f>IF($N27="","",IF($P27&gt;0,IF(4&lt;=SemanaActual,INDEX('Cronograma R. Normativo'!$AB$5:$AB$1000,$N27),""),IF(INDEX('Cronograma R. Normativo'!$K$5:$K$1000,$N27)="","",INDEX('Cronograma R. Normativo'!$K$5:$K$1000,$N27))))</f>
        <v/>
      </c>
      <c r="K27" s="67">
        <f>IF($N27="","",INDEX('Cronograma R. Normativo'!$L$5:$L$1000,$N27))</f>
        <v/>
      </c>
      <c r="L27" s="61">
        <f>IF($N27="","",IF(N($K27)&gt;=1,"Completado",IF(AND(ISNUMBER($E27),$E27&lt;FechaRef),"Vencida",IF(N($K27)&gt;0,"En curso","Pendiente"))))</f>
        <v/>
      </c>
      <c r="M27" s="70">
        <f>IF($N27="","",INDEX('Cronograma R. Normativo'!$N$5:$N$1000,$N27)&amp;"")</f>
        <v/>
      </c>
      <c r="N27">
        <f>IFERROR(MATCH(ROW()-4,rOrden_RN,0),"")</f>
        <v/>
      </c>
      <c r="O27">
        <f>IF($N27="","",INDEX('Cronograma R. Normativo'!$S$5:$S$1000,$N27))</f>
        <v/>
      </c>
      <c r="P27">
        <f>IF($N27="","",N(INDEX('Cronograma R. Normativo'!$T$5:$T$1000,$N27)))</f>
        <v/>
      </c>
    </row>
    <row r="28">
      <c r="A28" s="61">
        <f>IF($N28="","",INDEX('Cronograma R. Normativo'!$A$5:$A$1000,$N28))</f>
        <v/>
      </c>
      <c r="B28" s="70">
        <f>IF($N28="","",IF($O28="Sub","     ↳ "&amp;INDEX('Cronograma R. Normativo'!$C$5:$C$1000,$N28),INDEX('Cronograma R. Normativo'!$B$5:$B$1000,$N28)&amp;""))</f>
        <v/>
      </c>
      <c r="C28" s="70">
        <f>IF($N28="","",INDEX('Cronograma R. Normativo'!$D$5:$D$1000,$N28)&amp;"")</f>
        <v/>
      </c>
      <c r="D28" s="76">
        <f>IF($N28="","",IF(INDEX('Cronograma R. Normativo'!$E$5:$E$1000,$N28)="","",INDEX('Cronograma R. Normativo'!$E$5:$E$1000,$N28)))</f>
        <v/>
      </c>
      <c r="E28" s="76">
        <f>IF($N28="","",IF(INDEX('Cronograma R. Normativo'!$F$5:$F$1000,$N28)="","",INDEX('Cronograma R. Normativo'!$F$5:$F$1000,$N28)))</f>
        <v/>
      </c>
      <c r="F28" s="61">
        <f>IF($N28="","",IF(NOT(ISNUMBER($E28)),"",IF($E28&lt;InicioCiclo,"Antes del ciclo",IF($E28&gt;=InicioCiclo+28,"Después del ciclo","Semana "&amp;(INT(($E28-InicioCiclo)/7)+1)))))</f>
        <v/>
      </c>
      <c r="G28" s="67">
        <f>IF($N28="","",IF($P28&gt;0,IF(1&lt;=SemanaActual,INDEX('Cronograma R. Normativo'!$Y$5:$Y$1000,$N28),""),IF(INDEX('Cronograma R. Normativo'!$H$5:$H$1000,$N28)="","",INDEX('Cronograma R. Normativo'!$H$5:$H$1000,$N28))))</f>
        <v/>
      </c>
      <c r="H28" s="67">
        <f>IF($N28="","",IF($P28&gt;0,IF(2&lt;=SemanaActual,INDEX('Cronograma R. Normativo'!$Z$5:$Z$1000,$N28),""),IF(INDEX('Cronograma R. Normativo'!$I$5:$I$1000,$N28)="","",INDEX('Cronograma R. Normativo'!$I$5:$I$1000,$N28))))</f>
        <v/>
      </c>
      <c r="I28" s="67">
        <f>IF($N28="","",IF($P28&gt;0,IF(3&lt;=SemanaActual,INDEX('Cronograma R. Normativo'!$AA$5:$AA$1000,$N28),""),IF(INDEX('Cronograma R. Normativo'!$J$5:$J$1000,$N28)="","",INDEX('Cronograma R. Normativo'!$J$5:$J$1000,$N28))))</f>
        <v/>
      </c>
      <c r="J28" s="67">
        <f>IF($N28="","",IF($P28&gt;0,IF(4&lt;=SemanaActual,INDEX('Cronograma R. Normativo'!$AB$5:$AB$1000,$N28),""),IF(INDEX('Cronograma R. Normativo'!$K$5:$K$1000,$N28)="","",INDEX('Cronograma R. Normativo'!$K$5:$K$1000,$N28))))</f>
        <v/>
      </c>
      <c r="K28" s="67">
        <f>IF($N28="","",INDEX('Cronograma R. Normativo'!$L$5:$L$1000,$N28))</f>
        <v/>
      </c>
      <c r="L28" s="61">
        <f>IF($N28="","",IF(N($K28)&gt;=1,"Completado",IF(AND(ISNUMBER($E28),$E28&lt;FechaRef),"Vencida",IF(N($K28)&gt;0,"En curso","Pendiente"))))</f>
        <v/>
      </c>
      <c r="M28" s="70">
        <f>IF($N28="","",INDEX('Cronograma R. Normativo'!$N$5:$N$1000,$N28)&amp;"")</f>
        <v/>
      </c>
      <c r="N28">
        <f>IFERROR(MATCH(ROW()-4,rOrden_RN,0),"")</f>
        <v/>
      </c>
      <c r="O28">
        <f>IF($N28="","",INDEX('Cronograma R. Normativo'!$S$5:$S$1000,$N28))</f>
        <v/>
      </c>
      <c r="P28">
        <f>IF($N28="","",N(INDEX('Cronograma R. Normativo'!$T$5:$T$1000,$N28)))</f>
        <v/>
      </c>
    </row>
    <row r="29">
      <c r="A29" s="61">
        <f>IF($N29="","",INDEX('Cronograma R. Normativo'!$A$5:$A$1000,$N29))</f>
        <v/>
      </c>
      <c r="B29" s="70">
        <f>IF($N29="","",IF($O29="Sub","     ↳ "&amp;INDEX('Cronograma R. Normativo'!$C$5:$C$1000,$N29),INDEX('Cronograma R. Normativo'!$B$5:$B$1000,$N29)&amp;""))</f>
        <v/>
      </c>
      <c r="C29" s="70">
        <f>IF($N29="","",INDEX('Cronograma R. Normativo'!$D$5:$D$1000,$N29)&amp;"")</f>
        <v/>
      </c>
      <c r="D29" s="76">
        <f>IF($N29="","",IF(INDEX('Cronograma R. Normativo'!$E$5:$E$1000,$N29)="","",INDEX('Cronograma R. Normativo'!$E$5:$E$1000,$N29)))</f>
        <v/>
      </c>
      <c r="E29" s="76">
        <f>IF($N29="","",IF(INDEX('Cronograma R. Normativo'!$F$5:$F$1000,$N29)="","",INDEX('Cronograma R. Normativo'!$F$5:$F$1000,$N29)))</f>
        <v/>
      </c>
      <c r="F29" s="61">
        <f>IF($N29="","",IF(NOT(ISNUMBER($E29)),"",IF($E29&lt;InicioCiclo,"Antes del ciclo",IF($E29&gt;=InicioCiclo+28,"Después del ciclo","Semana "&amp;(INT(($E29-InicioCiclo)/7)+1)))))</f>
        <v/>
      </c>
      <c r="G29" s="67">
        <f>IF($N29="","",IF($P29&gt;0,IF(1&lt;=SemanaActual,INDEX('Cronograma R. Normativo'!$Y$5:$Y$1000,$N29),""),IF(INDEX('Cronograma R. Normativo'!$H$5:$H$1000,$N29)="","",INDEX('Cronograma R. Normativo'!$H$5:$H$1000,$N29))))</f>
        <v/>
      </c>
      <c r="H29" s="67">
        <f>IF($N29="","",IF($P29&gt;0,IF(2&lt;=SemanaActual,INDEX('Cronograma R. Normativo'!$Z$5:$Z$1000,$N29),""),IF(INDEX('Cronograma R. Normativo'!$I$5:$I$1000,$N29)="","",INDEX('Cronograma R. Normativo'!$I$5:$I$1000,$N29))))</f>
        <v/>
      </c>
      <c r="I29" s="67">
        <f>IF($N29="","",IF($P29&gt;0,IF(3&lt;=SemanaActual,INDEX('Cronograma R. Normativo'!$AA$5:$AA$1000,$N29),""),IF(INDEX('Cronograma R. Normativo'!$J$5:$J$1000,$N29)="","",INDEX('Cronograma R. Normativo'!$J$5:$J$1000,$N29))))</f>
        <v/>
      </c>
      <c r="J29" s="67">
        <f>IF($N29="","",IF($P29&gt;0,IF(4&lt;=SemanaActual,INDEX('Cronograma R. Normativo'!$AB$5:$AB$1000,$N29),""),IF(INDEX('Cronograma R. Normativo'!$K$5:$K$1000,$N29)="","",INDEX('Cronograma R. Normativo'!$K$5:$K$1000,$N29))))</f>
        <v/>
      </c>
      <c r="K29" s="67">
        <f>IF($N29="","",INDEX('Cronograma R. Normativo'!$L$5:$L$1000,$N29))</f>
        <v/>
      </c>
      <c r="L29" s="61">
        <f>IF($N29="","",IF(N($K29)&gt;=1,"Completado",IF(AND(ISNUMBER($E29),$E29&lt;FechaRef),"Vencida",IF(N($K29)&gt;0,"En curso","Pendiente"))))</f>
        <v/>
      </c>
      <c r="M29" s="70">
        <f>IF($N29="","",INDEX('Cronograma R. Normativo'!$N$5:$N$1000,$N29)&amp;"")</f>
        <v/>
      </c>
      <c r="N29">
        <f>IFERROR(MATCH(ROW()-4,rOrden_RN,0),"")</f>
        <v/>
      </c>
      <c r="O29">
        <f>IF($N29="","",INDEX('Cronograma R. Normativo'!$S$5:$S$1000,$N29))</f>
        <v/>
      </c>
      <c r="P29">
        <f>IF($N29="","",N(INDEX('Cronograma R. Normativo'!$T$5:$T$1000,$N29)))</f>
        <v/>
      </c>
    </row>
    <row r="30">
      <c r="A30" s="61">
        <f>IF($N30="","",INDEX('Cronograma R. Normativo'!$A$5:$A$1000,$N30))</f>
        <v/>
      </c>
      <c r="B30" s="70">
        <f>IF($N30="","",IF($O30="Sub","     ↳ "&amp;INDEX('Cronograma R. Normativo'!$C$5:$C$1000,$N30),INDEX('Cronograma R. Normativo'!$B$5:$B$1000,$N30)&amp;""))</f>
        <v/>
      </c>
      <c r="C30" s="70">
        <f>IF($N30="","",INDEX('Cronograma R. Normativo'!$D$5:$D$1000,$N30)&amp;"")</f>
        <v/>
      </c>
      <c r="D30" s="76">
        <f>IF($N30="","",IF(INDEX('Cronograma R. Normativo'!$E$5:$E$1000,$N30)="","",INDEX('Cronograma R. Normativo'!$E$5:$E$1000,$N30)))</f>
        <v/>
      </c>
      <c r="E30" s="76">
        <f>IF($N30="","",IF(INDEX('Cronograma R. Normativo'!$F$5:$F$1000,$N30)="","",INDEX('Cronograma R. Normativo'!$F$5:$F$1000,$N30)))</f>
        <v/>
      </c>
      <c r="F30" s="61">
        <f>IF($N30="","",IF(NOT(ISNUMBER($E30)),"",IF($E30&lt;InicioCiclo,"Antes del ciclo",IF($E30&gt;=InicioCiclo+28,"Después del ciclo","Semana "&amp;(INT(($E30-InicioCiclo)/7)+1)))))</f>
        <v/>
      </c>
      <c r="G30" s="67">
        <f>IF($N30="","",IF($P30&gt;0,IF(1&lt;=SemanaActual,INDEX('Cronograma R. Normativo'!$Y$5:$Y$1000,$N30),""),IF(INDEX('Cronograma R. Normativo'!$H$5:$H$1000,$N30)="","",INDEX('Cronograma R. Normativo'!$H$5:$H$1000,$N30))))</f>
        <v/>
      </c>
      <c r="H30" s="67">
        <f>IF($N30="","",IF($P30&gt;0,IF(2&lt;=SemanaActual,INDEX('Cronograma R. Normativo'!$Z$5:$Z$1000,$N30),""),IF(INDEX('Cronograma R. Normativo'!$I$5:$I$1000,$N30)="","",INDEX('Cronograma R. Normativo'!$I$5:$I$1000,$N30))))</f>
        <v/>
      </c>
      <c r="I30" s="67">
        <f>IF($N30="","",IF($P30&gt;0,IF(3&lt;=SemanaActual,INDEX('Cronograma R. Normativo'!$AA$5:$AA$1000,$N30),""),IF(INDEX('Cronograma R. Normativo'!$J$5:$J$1000,$N30)="","",INDEX('Cronograma R. Normativo'!$J$5:$J$1000,$N30))))</f>
        <v/>
      </c>
      <c r="J30" s="67">
        <f>IF($N30="","",IF($P30&gt;0,IF(4&lt;=SemanaActual,INDEX('Cronograma R. Normativo'!$AB$5:$AB$1000,$N30),""),IF(INDEX('Cronograma R. Normativo'!$K$5:$K$1000,$N30)="","",INDEX('Cronograma R. Normativo'!$K$5:$K$1000,$N30))))</f>
        <v/>
      </c>
      <c r="K30" s="67">
        <f>IF($N30="","",INDEX('Cronograma R. Normativo'!$L$5:$L$1000,$N30))</f>
        <v/>
      </c>
      <c r="L30" s="61">
        <f>IF($N30="","",IF(N($K30)&gt;=1,"Completado",IF(AND(ISNUMBER($E30),$E30&lt;FechaRef),"Vencida",IF(N($K30)&gt;0,"En curso","Pendiente"))))</f>
        <v/>
      </c>
      <c r="M30" s="70">
        <f>IF($N30="","",INDEX('Cronograma R. Normativo'!$N$5:$N$1000,$N30)&amp;"")</f>
        <v/>
      </c>
      <c r="N30">
        <f>IFERROR(MATCH(ROW()-4,rOrden_RN,0),"")</f>
        <v/>
      </c>
      <c r="O30">
        <f>IF($N30="","",INDEX('Cronograma R. Normativo'!$S$5:$S$1000,$N30))</f>
        <v/>
      </c>
      <c r="P30">
        <f>IF($N30="","",N(INDEX('Cronograma R. Normativo'!$T$5:$T$1000,$N30)))</f>
        <v/>
      </c>
    </row>
    <row r="31">
      <c r="A31" s="61">
        <f>IF($N31="","",INDEX('Cronograma R. Normativo'!$A$5:$A$1000,$N31))</f>
        <v/>
      </c>
      <c r="B31" s="70">
        <f>IF($N31="","",IF($O31="Sub","     ↳ "&amp;INDEX('Cronograma R. Normativo'!$C$5:$C$1000,$N31),INDEX('Cronograma R. Normativo'!$B$5:$B$1000,$N31)&amp;""))</f>
        <v/>
      </c>
      <c r="C31" s="70">
        <f>IF($N31="","",INDEX('Cronograma R. Normativo'!$D$5:$D$1000,$N31)&amp;"")</f>
        <v/>
      </c>
      <c r="D31" s="76">
        <f>IF($N31="","",IF(INDEX('Cronograma R. Normativo'!$E$5:$E$1000,$N31)="","",INDEX('Cronograma R. Normativo'!$E$5:$E$1000,$N31)))</f>
        <v/>
      </c>
      <c r="E31" s="76">
        <f>IF($N31="","",IF(INDEX('Cronograma R. Normativo'!$F$5:$F$1000,$N31)="","",INDEX('Cronograma R. Normativo'!$F$5:$F$1000,$N31)))</f>
        <v/>
      </c>
      <c r="F31" s="61">
        <f>IF($N31="","",IF(NOT(ISNUMBER($E31)),"",IF($E31&lt;InicioCiclo,"Antes del ciclo",IF($E31&gt;=InicioCiclo+28,"Después del ciclo","Semana "&amp;(INT(($E31-InicioCiclo)/7)+1)))))</f>
        <v/>
      </c>
      <c r="G31" s="67">
        <f>IF($N31="","",IF($P31&gt;0,IF(1&lt;=SemanaActual,INDEX('Cronograma R. Normativo'!$Y$5:$Y$1000,$N31),""),IF(INDEX('Cronograma R. Normativo'!$H$5:$H$1000,$N31)="","",INDEX('Cronograma R. Normativo'!$H$5:$H$1000,$N31))))</f>
        <v/>
      </c>
      <c r="H31" s="67">
        <f>IF($N31="","",IF($P31&gt;0,IF(2&lt;=SemanaActual,INDEX('Cronograma R. Normativo'!$Z$5:$Z$1000,$N31),""),IF(INDEX('Cronograma R. Normativo'!$I$5:$I$1000,$N31)="","",INDEX('Cronograma R. Normativo'!$I$5:$I$1000,$N31))))</f>
        <v/>
      </c>
      <c r="I31" s="67">
        <f>IF($N31="","",IF($P31&gt;0,IF(3&lt;=SemanaActual,INDEX('Cronograma R. Normativo'!$AA$5:$AA$1000,$N31),""),IF(INDEX('Cronograma R. Normativo'!$J$5:$J$1000,$N31)="","",INDEX('Cronograma R. Normativo'!$J$5:$J$1000,$N31))))</f>
        <v/>
      </c>
      <c r="J31" s="67">
        <f>IF($N31="","",IF($P31&gt;0,IF(4&lt;=SemanaActual,INDEX('Cronograma R. Normativo'!$AB$5:$AB$1000,$N31),""),IF(INDEX('Cronograma R. Normativo'!$K$5:$K$1000,$N31)="","",INDEX('Cronograma R. Normativo'!$K$5:$K$1000,$N31))))</f>
        <v/>
      </c>
      <c r="K31" s="67">
        <f>IF($N31="","",INDEX('Cronograma R. Normativo'!$L$5:$L$1000,$N31))</f>
        <v/>
      </c>
      <c r="L31" s="61">
        <f>IF($N31="","",IF(N($K31)&gt;=1,"Completado",IF(AND(ISNUMBER($E31),$E31&lt;FechaRef),"Vencida",IF(N($K31)&gt;0,"En curso","Pendiente"))))</f>
        <v/>
      </c>
      <c r="M31" s="70">
        <f>IF($N31="","",INDEX('Cronograma R. Normativo'!$N$5:$N$1000,$N31)&amp;"")</f>
        <v/>
      </c>
      <c r="N31">
        <f>IFERROR(MATCH(ROW()-4,rOrden_RN,0),"")</f>
        <v/>
      </c>
      <c r="O31">
        <f>IF($N31="","",INDEX('Cronograma R. Normativo'!$S$5:$S$1000,$N31))</f>
        <v/>
      </c>
      <c r="P31">
        <f>IF($N31="","",N(INDEX('Cronograma R. Normativo'!$T$5:$T$1000,$N31)))</f>
        <v/>
      </c>
    </row>
    <row r="32">
      <c r="A32" s="61">
        <f>IF($N32="","",INDEX('Cronograma R. Normativo'!$A$5:$A$1000,$N32))</f>
        <v/>
      </c>
      <c r="B32" s="70">
        <f>IF($N32="","",IF($O32="Sub","     ↳ "&amp;INDEX('Cronograma R. Normativo'!$C$5:$C$1000,$N32),INDEX('Cronograma R. Normativo'!$B$5:$B$1000,$N32)&amp;""))</f>
        <v/>
      </c>
      <c r="C32" s="70">
        <f>IF($N32="","",INDEX('Cronograma R. Normativo'!$D$5:$D$1000,$N32)&amp;"")</f>
        <v/>
      </c>
      <c r="D32" s="76">
        <f>IF($N32="","",IF(INDEX('Cronograma R. Normativo'!$E$5:$E$1000,$N32)="","",INDEX('Cronograma R. Normativo'!$E$5:$E$1000,$N32)))</f>
        <v/>
      </c>
      <c r="E32" s="76">
        <f>IF($N32="","",IF(INDEX('Cronograma R. Normativo'!$F$5:$F$1000,$N32)="","",INDEX('Cronograma R. Normativo'!$F$5:$F$1000,$N32)))</f>
        <v/>
      </c>
      <c r="F32" s="61">
        <f>IF($N32="","",IF(NOT(ISNUMBER($E32)),"",IF($E32&lt;InicioCiclo,"Antes del ciclo",IF($E32&gt;=InicioCiclo+28,"Después del ciclo","Semana "&amp;(INT(($E32-InicioCiclo)/7)+1)))))</f>
        <v/>
      </c>
      <c r="G32" s="67">
        <f>IF($N32="","",IF($P32&gt;0,IF(1&lt;=SemanaActual,INDEX('Cronograma R. Normativo'!$Y$5:$Y$1000,$N32),""),IF(INDEX('Cronograma R. Normativo'!$H$5:$H$1000,$N32)="","",INDEX('Cronograma R. Normativo'!$H$5:$H$1000,$N32))))</f>
        <v/>
      </c>
      <c r="H32" s="67">
        <f>IF($N32="","",IF($P32&gt;0,IF(2&lt;=SemanaActual,INDEX('Cronograma R. Normativo'!$Z$5:$Z$1000,$N32),""),IF(INDEX('Cronograma R. Normativo'!$I$5:$I$1000,$N32)="","",INDEX('Cronograma R. Normativo'!$I$5:$I$1000,$N32))))</f>
        <v/>
      </c>
      <c r="I32" s="67">
        <f>IF($N32="","",IF($P32&gt;0,IF(3&lt;=SemanaActual,INDEX('Cronograma R. Normativo'!$AA$5:$AA$1000,$N32),""),IF(INDEX('Cronograma R. Normativo'!$J$5:$J$1000,$N32)="","",INDEX('Cronograma R. Normativo'!$J$5:$J$1000,$N32))))</f>
        <v/>
      </c>
      <c r="J32" s="67">
        <f>IF($N32="","",IF($P32&gt;0,IF(4&lt;=SemanaActual,INDEX('Cronograma R. Normativo'!$AB$5:$AB$1000,$N32),""),IF(INDEX('Cronograma R. Normativo'!$K$5:$K$1000,$N32)="","",INDEX('Cronograma R. Normativo'!$K$5:$K$1000,$N32))))</f>
        <v/>
      </c>
      <c r="K32" s="67">
        <f>IF($N32="","",INDEX('Cronograma R. Normativo'!$L$5:$L$1000,$N32))</f>
        <v/>
      </c>
      <c r="L32" s="61">
        <f>IF($N32="","",IF(N($K32)&gt;=1,"Completado",IF(AND(ISNUMBER($E32),$E32&lt;FechaRef),"Vencida",IF(N($K32)&gt;0,"En curso","Pendiente"))))</f>
        <v/>
      </c>
      <c r="M32" s="70">
        <f>IF($N32="","",INDEX('Cronograma R. Normativo'!$N$5:$N$1000,$N32)&amp;"")</f>
        <v/>
      </c>
      <c r="N32">
        <f>IFERROR(MATCH(ROW()-4,rOrden_RN,0),"")</f>
        <v/>
      </c>
      <c r="O32">
        <f>IF($N32="","",INDEX('Cronograma R. Normativo'!$S$5:$S$1000,$N32))</f>
        <v/>
      </c>
      <c r="P32">
        <f>IF($N32="","",N(INDEX('Cronograma R. Normativo'!$T$5:$T$1000,$N32)))</f>
        <v/>
      </c>
    </row>
    <row r="33">
      <c r="A33" s="61">
        <f>IF($N33="","",INDEX('Cronograma R. Normativo'!$A$5:$A$1000,$N33))</f>
        <v/>
      </c>
      <c r="B33" s="70">
        <f>IF($N33="","",IF($O33="Sub","     ↳ "&amp;INDEX('Cronograma R. Normativo'!$C$5:$C$1000,$N33),INDEX('Cronograma R. Normativo'!$B$5:$B$1000,$N33)&amp;""))</f>
        <v/>
      </c>
      <c r="C33" s="70">
        <f>IF($N33="","",INDEX('Cronograma R. Normativo'!$D$5:$D$1000,$N33)&amp;"")</f>
        <v/>
      </c>
      <c r="D33" s="76">
        <f>IF($N33="","",IF(INDEX('Cronograma R. Normativo'!$E$5:$E$1000,$N33)="","",INDEX('Cronograma R. Normativo'!$E$5:$E$1000,$N33)))</f>
        <v/>
      </c>
      <c r="E33" s="76">
        <f>IF($N33="","",IF(INDEX('Cronograma R. Normativo'!$F$5:$F$1000,$N33)="","",INDEX('Cronograma R. Normativo'!$F$5:$F$1000,$N33)))</f>
        <v/>
      </c>
      <c r="F33" s="61">
        <f>IF($N33="","",IF(NOT(ISNUMBER($E33)),"",IF($E33&lt;InicioCiclo,"Antes del ciclo",IF($E33&gt;=InicioCiclo+28,"Después del ciclo","Semana "&amp;(INT(($E33-InicioCiclo)/7)+1)))))</f>
        <v/>
      </c>
      <c r="G33" s="67">
        <f>IF($N33="","",IF($P33&gt;0,IF(1&lt;=SemanaActual,INDEX('Cronograma R. Normativo'!$Y$5:$Y$1000,$N33),""),IF(INDEX('Cronograma R. Normativo'!$H$5:$H$1000,$N33)="","",INDEX('Cronograma R. Normativo'!$H$5:$H$1000,$N33))))</f>
        <v/>
      </c>
      <c r="H33" s="67">
        <f>IF($N33="","",IF($P33&gt;0,IF(2&lt;=SemanaActual,INDEX('Cronograma R. Normativo'!$Z$5:$Z$1000,$N33),""),IF(INDEX('Cronograma R. Normativo'!$I$5:$I$1000,$N33)="","",INDEX('Cronograma R. Normativo'!$I$5:$I$1000,$N33))))</f>
        <v/>
      </c>
      <c r="I33" s="67">
        <f>IF($N33="","",IF($P33&gt;0,IF(3&lt;=SemanaActual,INDEX('Cronograma R. Normativo'!$AA$5:$AA$1000,$N33),""),IF(INDEX('Cronograma R. Normativo'!$J$5:$J$1000,$N33)="","",INDEX('Cronograma R. Normativo'!$J$5:$J$1000,$N33))))</f>
        <v/>
      </c>
      <c r="J33" s="67">
        <f>IF($N33="","",IF($P33&gt;0,IF(4&lt;=SemanaActual,INDEX('Cronograma R. Normativo'!$AB$5:$AB$1000,$N33),""),IF(INDEX('Cronograma R. Normativo'!$K$5:$K$1000,$N33)="","",INDEX('Cronograma R. Normativo'!$K$5:$K$1000,$N33))))</f>
        <v/>
      </c>
      <c r="K33" s="67">
        <f>IF($N33="","",INDEX('Cronograma R. Normativo'!$L$5:$L$1000,$N33))</f>
        <v/>
      </c>
      <c r="L33" s="61">
        <f>IF($N33="","",IF(N($K33)&gt;=1,"Completado",IF(AND(ISNUMBER($E33),$E33&lt;FechaRef),"Vencida",IF(N($K33)&gt;0,"En curso","Pendiente"))))</f>
        <v/>
      </c>
      <c r="M33" s="70">
        <f>IF($N33="","",INDEX('Cronograma R. Normativo'!$N$5:$N$1000,$N33)&amp;"")</f>
        <v/>
      </c>
      <c r="N33">
        <f>IFERROR(MATCH(ROW()-4,rOrden_RN,0),"")</f>
        <v/>
      </c>
      <c r="O33">
        <f>IF($N33="","",INDEX('Cronograma R. Normativo'!$S$5:$S$1000,$N33))</f>
        <v/>
      </c>
      <c r="P33">
        <f>IF($N33="","",N(INDEX('Cronograma R. Normativo'!$T$5:$T$1000,$N33)))</f>
        <v/>
      </c>
    </row>
    <row r="34">
      <c r="A34" s="61">
        <f>IF($N34="","",INDEX('Cronograma R. Normativo'!$A$5:$A$1000,$N34))</f>
        <v/>
      </c>
      <c r="B34" s="70">
        <f>IF($N34="","",IF($O34="Sub","     ↳ "&amp;INDEX('Cronograma R. Normativo'!$C$5:$C$1000,$N34),INDEX('Cronograma R. Normativo'!$B$5:$B$1000,$N34)&amp;""))</f>
        <v/>
      </c>
      <c r="C34" s="70">
        <f>IF($N34="","",INDEX('Cronograma R. Normativo'!$D$5:$D$1000,$N34)&amp;"")</f>
        <v/>
      </c>
      <c r="D34" s="76">
        <f>IF($N34="","",IF(INDEX('Cronograma R. Normativo'!$E$5:$E$1000,$N34)="","",INDEX('Cronograma R. Normativo'!$E$5:$E$1000,$N34)))</f>
        <v/>
      </c>
      <c r="E34" s="76">
        <f>IF($N34="","",IF(INDEX('Cronograma R. Normativo'!$F$5:$F$1000,$N34)="","",INDEX('Cronograma R. Normativo'!$F$5:$F$1000,$N34)))</f>
        <v/>
      </c>
      <c r="F34" s="61">
        <f>IF($N34="","",IF(NOT(ISNUMBER($E34)),"",IF($E34&lt;InicioCiclo,"Antes del ciclo",IF($E34&gt;=InicioCiclo+28,"Después del ciclo","Semana "&amp;(INT(($E34-InicioCiclo)/7)+1)))))</f>
        <v/>
      </c>
      <c r="G34" s="67">
        <f>IF($N34="","",IF($P34&gt;0,IF(1&lt;=SemanaActual,INDEX('Cronograma R. Normativo'!$Y$5:$Y$1000,$N34),""),IF(INDEX('Cronograma R. Normativo'!$H$5:$H$1000,$N34)="","",INDEX('Cronograma R. Normativo'!$H$5:$H$1000,$N34))))</f>
        <v/>
      </c>
      <c r="H34" s="67">
        <f>IF($N34="","",IF($P34&gt;0,IF(2&lt;=SemanaActual,INDEX('Cronograma R. Normativo'!$Z$5:$Z$1000,$N34),""),IF(INDEX('Cronograma R. Normativo'!$I$5:$I$1000,$N34)="","",INDEX('Cronograma R. Normativo'!$I$5:$I$1000,$N34))))</f>
        <v/>
      </c>
      <c r="I34" s="67">
        <f>IF($N34="","",IF($P34&gt;0,IF(3&lt;=SemanaActual,INDEX('Cronograma R. Normativo'!$AA$5:$AA$1000,$N34),""),IF(INDEX('Cronograma R. Normativo'!$J$5:$J$1000,$N34)="","",INDEX('Cronograma R. Normativo'!$J$5:$J$1000,$N34))))</f>
        <v/>
      </c>
      <c r="J34" s="67">
        <f>IF($N34="","",IF($P34&gt;0,IF(4&lt;=SemanaActual,INDEX('Cronograma R. Normativo'!$AB$5:$AB$1000,$N34),""),IF(INDEX('Cronograma R. Normativo'!$K$5:$K$1000,$N34)="","",INDEX('Cronograma R. Normativo'!$K$5:$K$1000,$N34))))</f>
        <v/>
      </c>
      <c r="K34" s="67">
        <f>IF($N34="","",INDEX('Cronograma R. Normativo'!$L$5:$L$1000,$N34))</f>
        <v/>
      </c>
      <c r="L34" s="61">
        <f>IF($N34="","",IF(N($K34)&gt;=1,"Completado",IF(AND(ISNUMBER($E34),$E34&lt;FechaRef),"Vencida",IF(N($K34)&gt;0,"En curso","Pendiente"))))</f>
        <v/>
      </c>
      <c r="M34" s="70">
        <f>IF($N34="","",INDEX('Cronograma R. Normativo'!$N$5:$N$1000,$N34)&amp;"")</f>
        <v/>
      </c>
      <c r="N34">
        <f>IFERROR(MATCH(ROW()-4,rOrden_RN,0),"")</f>
        <v/>
      </c>
      <c r="O34">
        <f>IF($N34="","",INDEX('Cronograma R. Normativo'!$S$5:$S$1000,$N34))</f>
        <v/>
      </c>
      <c r="P34">
        <f>IF($N34="","",N(INDEX('Cronograma R. Normativo'!$T$5:$T$1000,$N34)))</f>
        <v/>
      </c>
    </row>
    <row r="35">
      <c r="A35" s="61">
        <f>IF($N35="","",INDEX('Cronograma R. Normativo'!$A$5:$A$1000,$N35))</f>
        <v/>
      </c>
      <c r="B35" s="70">
        <f>IF($N35="","",IF($O35="Sub","     ↳ "&amp;INDEX('Cronograma R. Normativo'!$C$5:$C$1000,$N35),INDEX('Cronograma R. Normativo'!$B$5:$B$1000,$N35)&amp;""))</f>
        <v/>
      </c>
      <c r="C35" s="70">
        <f>IF($N35="","",INDEX('Cronograma R. Normativo'!$D$5:$D$1000,$N35)&amp;"")</f>
        <v/>
      </c>
      <c r="D35" s="76">
        <f>IF($N35="","",IF(INDEX('Cronograma R. Normativo'!$E$5:$E$1000,$N35)="","",INDEX('Cronograma R. Normativo'!$E$5:$E$1000,$N35)))</f>
        <v/>
      </c>
      <c r="E35" s="76">
        <f>IF($N35="","",IF(INDEX('Cronograma R. Normativo'!$F$5:$F$1000,$N35)="","",INDEX('Cronograma R. Normativo'!$F$5:$F$1000,$N35)))</f>
        <v/>
      </c>
      <c r="F35" s="61">
        <f>IF($N35="","",IF(NOT(ISNUMBER($E35)),"",IF($E35&lt;InicioCiclo,"Antes del ciclo",IF($E35&gt;=InicioCiclo+28,"Después del ciclo","Semana "&amp;(INT(($E35-InicioCiclo)/7)+1)))))</f>
        <v/>
      </c>
      <c r="G35" s="67">
        <f>IF($N35="","",IF($P35&gt;0,IF(1&lt;=SemanaActual,INDEX('Cronograma R. Normativo'!$Y$5:$Y$1000,$N35),""),IF(INDEX('Cronograma R. Normativo'!$H$5:$H$1000,$N35)="","",INDEX('Cronograma R. Normativo'!$H$5:$H$1000,$N35))))</f>
        <v/>
      </c>
      <c r="H35" s="67">
        <f>IF($N35="","",IF($P35&gt;0,IF(2&lt;=SemanaActual,INDEX('Cronograma R. Normativo'!$Z$5:$Z$1000,$N35),""),IF(INDEX('Cronograma R. Normativo'!$I$5:$I$1000,$N35)="","",INDEX('Cronograma R. Normativo'!$I$5:$I$1000,$N35))))</f>
        <v/>
      </c>
      <c r="I35" s="67">
        <f>IF($N35="","",IF($P35&gt;0,IF(3&lt;=SemanaActual,INDEX('Cronograma R. Normativo'!$AA$5:$AA$1000,$N35),""),IF(INDEX('Cronograma R. Normativo'!$J$5:$J$1000,$N35)="","",INDEX('Cronograma R. Normativo'!$J$5:$J$1000,$N35))))</f>
        <v/>
      </c>
      <c r="J35" s="67">
        <f>IF($N35="","",IF($P35&gt;0,IF(4&lt;=SemanaActual,INDEX('Cronograma R. Normativo'!$AB$5:$AB$1000,$N35),""),IF(INDEX('Cronograma R. Normativo'!$K$5:$K$1000,$N35)="","",INDEX('Cronograma R. Normativo'!$K$5:$K$1000,$N35))))</f>
        <v/>
      </c>
      <c r="K35" s="67">
        <f>IF($N35="","",INDEX('Cronograma R. Normativo'!$L$5:$L$1000,$N35))</f>
        <v/>
      </c>
      <c r="L35" s="61">
        <f>IF($N35="","",IF(N($K35)&gt;=1,"Completado",IF(AND(ISNUMBER($E35),$E35&lt;FechaRef),"Vencida",IF(N($K35)&gt;0,"En curso","Pendiente"))))</f>
        <v/>
      </c>
      <c r="M35" s="70">
        <f>IF($N35="","",INDEX('Cronograma R. Normativo'!$N$5:$N$1000,$N35)&amp;"")</f>
        <v/>
      </c>
      <c r="N35">
        <f>IFERROR(MATCH(ROW()-4,rOrden_RN,0),"")</f>
        <v/>
      </c>
      <c r="O35">
        <f>IF($N35="","",INDEX('Cronograma R. Normativo'!$S$5:$S$1000,$N35))</f>
        <v/>
      </c>
      <c r="P35">
        <f>IF($N35="","",N(INDEX('Cronograma R. Normativo'!$T$5:$T$1000,$N35)))</f>
        <v/>
      </c>
    </row>
    <row r="36">
      <c r="A36" s="61">
        <f>IF($N36="","",INDEX('Cronograma R. Normativo'!$A$5:$A$1000,$N36))</f>
        <v/>
      </c>
      <c r="B36" s="70">
        <f>IF($N36="","",IF($O36="Sub","     ↳ "&amp;INDEX('Cronograma R. Normativo'!$C$5:$C$1000,$N36),INDEX('Cronograma R. Normativo'!$B$5:$B$1000,$N36)&amp;""))</f>
        <v/>
      </c>
      <c r="C36" s="70">
        <f>IF($N36="","",INDEX('Cronograma R. Normativo'!$D$5:$D$1000,$N36)&amp;"")</f>
        <v/>
      </c>
      <c r="D36" s="76">
        <f>IF($N36="","",IF(INDEX('Cronograma R. Normativo'!$E$5:$E$1000,$N36)="","",INDEX('Cronograma R. Normativo'!$E$5:$E$1000,$N36)))</f>
        <v/>
      </c>
      <c r="E36" s="76">
        <f>IF($N36="","",IF(INDEX('Cronograma R. Normativo'!$F$5:$F$1000,$N36)="","",INDEX('Cronograma R. Normativo'!$F$5:$F$1000,$N36)))</f>
        <v/>
      </c>
      <c r="F36" s="61">
        <f>IF($N36="","",IF(NOT(ISNUMBER($E36)),"",IF($E36&lt;InicioCiclo,"Antes del ciclo",IF($E36&gt;=InicioCiclo+28,"Después del ciclo","Semana "&amp;(INT(($E36-InicioCiclo)/7)+1)))))</f>
        <v/>
      </c>
      <c r="G36" s="67">
        <f>IF($N36="","",IF($P36&gt;0,IF(1&lt;=SemanaActual,INDEX('Cronograma R. Normativo'!$Y$5:$Y$1000,$N36),""),IF(INDEX('Cronograma R. Normativo'!$H$5:$H$1000,$N36)="","",INDEX('Cronograma R. Normativo'!$H$5:$H$1000,$N36))))</f>
        <v/>
      </c>
      <c r="H36" s="67">
        <f>IF($N36="","",IF($P36&gt;0,IF(2&lt;=SemanaActual,INDEX('Cronograma R. Normativo'!$Z$5:$Z$1000,$N36),""),IF(INDEX('Cronograma R. Normativo'!$I$5:$I$1000,$N36)="","",INDEX('Cronograma R. Normativo'!$I$5:$I$1000,$N36))))</f>
        <v/>
      </c>
      <c r="I36" s="67">
        <f>IF($N36="","",IF($P36&gt;0,IF(3&lt;=SemanaActual,INDEX('Cronograma R. Normativo'!$AA$5:$AA$1000,$N36),""),IF(INDEX('Cronograma R. Normativo'!$J$5:$J$1000,$N36)="","",INDEX('Cronograma R. Normativo'!$J$5:$J$1000,$N36))))</f>
        <v/>
      </c>
      <c r="J36" s="67">
        <f>IF($N36="","",IF($P36&gt;0,IF(4&lt;=SemanaActual,INDEX('Cronograma R. Normativo'!$AB$5:$AB$1000,$N36),""),IF(INDEX('Cronograma R. Normativo'!$K$5:$K$1000,$N36)="","",INDEX('Cronograma R. Normativo'!$K$5:$K$1000,$N36))))</f>
        <v/>
      </c>
      <c r="K36" s="67">
        <f>IF($N36="","",INDEX('Cronograma R. Normativo'!$L$5:$L$1000,$N36))</f>
        <v/>
      </c>
      <c r="L36" s="61">
        <f>IF($N36="","",IF(N($K36)&gt;=1,"Completado",IF(AND(ISNUMBER($E36),$E36&lt;FechaRef),"Vencida",IF(N($K36)&gt;0,"En curso","Pendiente"))))</f>
        <v/>
      </c>
      <c r="M36" s="70">
        <f>IF($N36="","",INDEX('Cronograma R. Normativo'!$N$5:$N$1000,$N36)&amp;"")</f>
        <v/>
      </c>
      <c r="N36">
        <f>IFERROR(MATCH(ROW()-4,rOrden_RN,0),"")</f>
        <v/>
      </c>
      <c r="O36">
        <f>IF($N36="","",INDEX('Cronograma R. Normativo'!$S$5:$S$1000,$N36))</f>
        <v/>
      </c>
      <c r="P36">
        <f>IF($N36="","",N(INDEX('Cronograma R. Normativo'!$T$5:$T$1000,$N36)))</f>
        <v/>
      </c>
    </row>
    <row r="37">
      <c r="A37" s="61">
        <f>IF($N37="","",INDEX('Cronograma R. Normativo'!$A$5:$A$1000,$N37))</f>
        <v/>
      </c>
      <c r="B37" s="70">
        <f>IF($N37="","",IF($O37="Sub","     ↳ "&amp;INDEX('Cronograma R. Normativo'!$C$5:$C$1000,$N37),INDEX('Cronograma R. Normativo'!$B$5:$B$1000,$N37)&amp;""))</f>
        <v/>
      </c>
      <c r="C37" s="70">
        <f>IF($N37="","",INDEX('Cronograma R. Normativo'!$D$5:$D$1000,$N37)&amp;"")</f>
        <v/>
      </c>
      <c r="D37" s="76">
        <f>IF($N37="","",IF(INDEX('Cronograma R. Normativo'!$E$5:$E$1000,$N37)="","",INDEX('Cronograma R. Normativo'!$E$5:$E$1000,$N37)))</f>
        <v/>
      </c>
      <c r="E37" s="76">
        <f>IF($N37="","",IF(INDEX('Cronograma R. Normativo'!$F$5:$F$1000,$N37)="","",INDEX('Cronograma R. Normativo'!$F$5:$F$1000,$N37)))</f>
        <v/>
      </c>
      <c r="F37" s="61">
        <f>IF($N37="","",IF(NOT(ISNUMBER($E37)),"",IF($E37&lt;InicioCiclo,"Antes del ciclo",IF($E37&gt;=InicioCiclo+28,"Después del ciclo","Semana "&amp;(INT(($E37-InicioCiclo)/7)+1)))))</f>
        <v/>
      </c>
      <c r="G37" s="67">
        <f>IF($N37="","",IF($P37&gt;0,IF(1&lt;=SemanaActual,INDEX('Cronograma R. Normativo'!$Y$5:$Y$1000,$N37),""),IF(INDEX('Cronograma R. Normativo'!$H$5:$H$1000,$N37)="","",INDEX('Cronograma R. Normativo'!$H$5:$H$1000,$N37))))</f>
        <v/>
      </c>
      <c r="H37" s="67">
        <f>IF($N37="","",IF($P37&gt;0,IF(2&lt;=SemanaActual,INDEX('Cronograma R. Normativo'!$Z$5:$Z$1000,$N37),""),IF(INDEX('Cronograma R. Normativo'!$I$5:$I$1000,$N37)="","",INDEX('Cronograma R. Normativo'!$I$5:$I$1000,$N37))))</f>
        <v/>
      </c>
      <c r="I37" s="67">
        <f>IF($N37="","",IF($P37&gt;0,IF(3&lt;=SemanaActual,INDEX('Cronograma R. Normativo'!$AA$5:$AA$1000,$N37),""),IF(INDEX('Cronograma R. Normativo'!$J$5:$J$1000,$N37)="","",INDEX('Cronograma R. Normativo'!$J$5:$J$1000,$N37))))</f>
        <v/>
      </c>
      <c r="J37" s="67">
        <f>IF($N37="","",IF($P37&gt;0,IF(4&lt;=SemanaActual,INDEX('Cronograma R. Normativo'!$AB$5:$AB$1000,$N37),""),IF(INDEX('Cronograma R. Normativo'!$K$5:$K$1000,$N37)="","",INDEX('Cronograma R. Normativo'!$K$5:$K$1000,$N37))))</f>
        <v/>
      </c>
      <c r="K37" s="67">
        <f>IF($N37="","",INDEX('Cronograma R. Normativo'!$L$5:$L$1000,$N37))</f>
        <v/>
      </c>
      <c r="L37" s="61">
        <f>IF($N37="","",IF(N($K37)&gt;=1,"Completado",IF(AND(ISNUMBER($E37),$E37&lt;FechaRef),"Vencida",IF(N($K37)&gt;0,"En curso","Pendiente"))))</f>
        <v/>
      </c>
      <c r="M37" s="70">
        <f>IF($N37="","",INDEX('Cronograma R. Normativo'!$N$5:$N$1000,$N37)&amp;"")</f>
        <v/>
      </c>
      <c r="N37">
        <f>IFERROR(MATCH(ROW()-4,rOrden_RN,0),"")</f>
        <v/>
      </c>
      <c r="O37">
        <f>IF($N37="","",INDEX('Cronograma R. Normativo'!$S$5:$S$1000,$N37))</f>
        <v/>
      </c>
      <c r="P37">
        <f>IF($N37="","",N(INDEX('Cronograma R. Normativo'!$T$5:$T$1000,$N37)))</f>
        <v/>
      </c>
    </row>
    <row r="38">
      <c r="A38" s="61">
        <f>IF($N38="","",INDEX('Cronograma R. Normativo'!$A$5:$A$1000,$N38))</f>
        <v/>
      </c>
      <c r="B38" s="70">
        <f>IF($N38="","",IF($O38="Sub","     ↳ "&amp;INDEX('Cronograma R. Normativo'!$C$5:$C$1000,$N38),INDEX('Cronograma R. Normativo'!$B$5:$B$1000,$N38)&amp;""))</f>
        <v/>
      </c>
      <c r="C38" s="70">
        <f>IF($N38="","",INDEX('Cronograma R. Normativo'!$D$5:$D$1000,$N38)&amp;"")</f>
        <v/>
      </c>
      <c r="D38" s="76">
        <f>IF($N38="","",IF(INDEX('Cronograma R. Normativo'!$E$5:$E$1000,$N38)="","",INDEX('Cronograma R. Normativo'!$E$5:$E$1000,$N38)))</f>
        <v/>
      </c>
      <c r="E38" s="76">
        <f>IF($N38="","",IF(INDEX('Cronograma R. Normativo'!$F$5:$F$1000,$N38)="","",INDEX('Cronograma R. Normativo'!$F$5:$F$1000,$N38)))</f>
        <v/>
      </c>
      <c r="F38" s="61">
        <f>IF($N38="","",IF(NOT(ISNUMBER($E38)),"",IF($E38&lt;InicioCiclo,"Antes del ciclo",IF($E38&gt;=InicioCiclo+28,"Después del ciclo","Semana "&amp;(INT(($E38-InicioCiclo)/7)+1)))))</f>
        <v/>
      </c>
      <c r="G38" s="67">
        <f>IF($N38="","",IF($P38&gt;0,IF(1&lt;=SemanaActual,INDEX('Cronograma R. Normativo'!$Y$5:$Y$1000,$N38),""),IF(INDEX('Cronograma R. Normativo'!$H$5:$H$1000,$N38)="","",INDEX('Cronograma R. Normativo'!$H$5:$H$1000,$N38))))</f>
        <v/>
      </c>
      <c r="H38" s="67">
        <f>IF($N38="","",IF($P38&gt;0,IF(2&lt;=SemanaActual,INDEX('Cronograma R. Normativo'!$Z$5:$Z$1000,$N38),""),IF(INDEX('Cronograma R. Normativo'!$I$5:$I$1000,$N38)="","",INDEX('Cronograma R. Normativo'!$I$5:$I$1000,$N38))))</f>
        <v/>
      </c>
      <c r="I38" s="67">
        <f>IF($N38="","",IF($P38&gt;0,IF(3&lt;=SemanaActual,INDEX('Cronograma R. Normativo'!$AA$5:$AA$1000,$N38),""),IF(INDEX('Cronograma R. Normativo'!$J$5:$J$1000,$N38)="","",INDEX('Cronograma R. Normativo'!$J$5:$J$1000,$N38))))</f>
        <v/>
      </c>
      <c r="J38" s="67">
        <f>IF($N38="","",IF($P38&gt;0,IF(4&lt;=SemanaActual,INDEX('Cronograma R. Normativo'!$AB$5:$AB$1000,$N38),""),IF(INDEX('Cronograma R. Normativo'!$K$5:$K$1000,$N38)="","",INDEX('Cronograma R. Normativo'!$K$5:$K$1000,$N38))))</f>
        <v/>
      </c>
      <c r="K38" s="67">
        <f>IF($N38="","",INDEX('Cronograma R. Normativo'!$L$5:$L$1000,$N38))</f>
        <v/>
      </c>
      <c r="L38" s="61">
        <f>IF($N38="","",IF(N($K38)&gt;=1,"Completado",IF(AND(ISNUMBER($E38),$E38&lt;FechaRef),"Vencida",IF(N($K38)&gt;0,"En curso","Pendiente"))))</f>
        <v/>
      </c>
      <c r="M38" s="70">
        <f>IF($N38="","",INDEX('Cronograma R. Normativo'!$N$5:$N$1000,$N38)&amp;"")</f>
        <v/>
      </c>
      <c r="N38">
        <f>IFERROR(MATCH(ROW()-4,rOrden_RN,0),"")</f>
        <v/>
      </c>
      <c r="O38">
        <f>IF($N38="","",INDEX('Cronograma R. Normativo'!$S$5:$S$1000,$N38))</f>
        <v/>
      </c>
      <c r="P38">
        <f>IF($N38="","",N(INDEX('Cronograma R. Normativo'!$T$5:$T$1000,$N38)))</f>
        <v/>
      </c>
    </row>
    <row r="39">
      <c r="A39" s="61">
        <f>IF($N39="","",INDEX('Cronograma R. Normativo'!$A$5:$A$1000,$N39))</f>
        <v/>
      </c>
      <c r="B39" s="70">
        <f>IF($N39="","",IF($O39="Sub","     ↳ "&amp;INDEX('Cronograma R. Normativo'!$C$5:$C$1000,$N39),INDEX('Cronograma R. Normativo'!$B$5:$B$1000,$N39)&amp;""))</f>
        <v/>
      </c>
      <c r="C39" s="70">
        <f>IF($N39="","",INDEX('Cronograma R. Normativo'!$D$5:$D$1000,$N39)&amp;"")</f>
        <v/>
      </c>
      <c r="D39" s="76">
        <f>IF($N39="","",IF(INDEX('Cronograma R. Normativo'!$E$5:$E$1000,$N39)="","",INDEX('Cronograma R. Normativo'!$E$5:$E$1000,$N39)))</f>
        <v/>
      </c>
      <c r="E39" s="76">
        <f>IF($N39="","",IF(INDEX('Cronograma R. Normativo'!$F$5:$F$1000,$N39)="","",INDEX('Cronograma R. Normativo'!$F$5:$F$1000,$N39)))</f>
        <v/>
      </c>
      <c r="F39" s="61">
        <f>IF($N39="","",IF(NOT(ISNUMBER($E39)),"",IF($E39&lt;InicioCiclo,"Antes del ciclo",IF($E39&gt;=InicioCiclo+28,"Después del ciclo","Semana "&amp;(INT(($E39-InicioCiclo)/7)+1)))))</f>
        <v/>
      </c>
      <c r="G39" s="67">
        <f>IF($N39="","",IF($P39&gt;0,IF(1&lt;=SemanaActual,INDEX('Cronograma R. Normativo'!$Y$5:$Y$1000,$N39),""),IF(INDEX('Cronograma R. Normativo'!$H$5:$H$1000,$N39)="","",INDEX('Cronograma R. Normativo'!$H$5:$H$1000,$N39))))</f>
        <v/>
      </c>
      <c r="H39" s="67">
        <f>IF($N39="","",IF($P39&gt;0,IF(2&lt;=SemanaActual,INDEX('Cronograma R. Normativo'!$Z$5:$Z$1000,$N39),""),IF(INDEX('Cronograma R. Normativo'!$I$5:$I$1000,$N39)="","",INDEX('Cronograma R. Normativo'!$I$5:$I$1000,$N39))))</f>
        <v/>
      </c>
      <c r="I39" s="67">
        <f>IF($N39="","",IF($P39&gt;0,IF(3&lt;=SemanaActual,INDEX('Cronograma R. Normativo'!$AA$5:$AA$1000,$N39),""),IF(INDEX('Cronograma R. Normativo'!$J$5:$J$1000,$N39)="","",INDEX('Cronograma R. Normativo'!$J$5:$J$1000,$N39))))</f>
        <v/>
      </c>
      <c r="J39" s="67">
        <f>IF($N39="","",IF($P39&gt;0,IF(4&lt;=SemanaActual,INDEX('Cronograma R. Normativo'!$AB$5:$AB$1000,$N39),""),IF(INDEX('Cronograma R. Normativo'!$K$5:$K$1000,$N39)="","",INDEX('Cronograma R. Normativo'!$K$5:$K$1000,$N39))))</f>
        <v/>
      </c>
      <c r="K39" s="67">
        <f>IF($N39="","",INDEX('Cronograma R. Normativo'!$L$5:$L$1000,$N39))</f>
        <v/>
      </c>
      <c r="L39" s="61">
        <f>IF($N39="","",IF(N($K39)&gt;=1,"Completado",IF(AND(ISNUMBER($E39),$E39&lt;FechaRef),"Vencida",IF(N($K39)&gt;0,"En curso","Pendiente"))))</f>
        <v/>
      </c>
      <c r="M39" s="70">
        <f>IF($N39="","",INDEX('Cronograma R. Normativo'!$N$5:$N$1000,$N39)&amp;"")</f>
        <v/>
      </c>
      <c r="N39">
        <f>IFERROR(MATCH(ROW()-4,rOrden_RN,0),"")</f>
        <v/>
      </c>
      <c r="O39">
        <f>IF($N39="","",INDEX('Cronograma R. Normativo'!$S$5:$S$1000,$N39))</f>
        <v/>
      </c>
      <c r="P39">
        <f>IF($N39="","",N(INDEX('Cronograma R. Normativo'!$T$5:$T$1000,$N39)))</f>
        <v/>
      </c>
    </row>
    <row r="40">
      <c r="A40" s="61">
        <f>IF($N40="","",INDEX('Cronograma R. Normativo'!$A$5:$A$1000,$N40))</f>
        <v/>
      </c>
      <c r="B40" s="70">
        <f>IF($N40="","",IF($O40="Sub","     ↳ "&amp;INDEX('Cronograma R. Normativo'!$C$5:$C$1000,$N40),INDEX('Cronograma R. Normativo'!$B$5:$B$1000,$N40)&amp;""))</f>
        <v/>
      </c>
      <c r="C40" s="70">
        <f>IF($N40="","",INDEX('Cronograma R. Normativo'!$D$5:$D$1000,$N40)&amp;"")</f>
        <v/>
      </c>
      <c r="D40" s="76">
        <f>IF($N40="","",IF(INDEX('Cronograma R. Normativo'!$E$5:$E$1000,$N40)="","",INDEX('Cronograma R. Normativo'!$E$5:$E$1000,$N40)))</f>
        <v/>
      </c>
      <c r="E40" s="76">
        <f>IF($N40="","",IF(INDEX('Cronograma R. Normativo'!$F$5:$F$1000,$N40)="","",INDEX('Cronograma R. Normativo'!$F$5:$F$1000,$N40)))</f>
        <v/>
      </c>
      <c r="F40" s="61">
        <f>IF($N40="","",IF(NOT(ISNUMBER($E40)),"",IF($E40&lt;InicioCiclo,"Antes del ciclo",IF($E40&gt;=InicioCiclo+28,"Después del ciclo","Semana "&amp;(INT(($E40-InicioCiclo)/7)+1)))))</f>
        <v/>
      </c>
      <c r="G40" s="67">
        <f>IF($N40="","",IF($P40&gt;0,IF(1&lt;=SemanaActual,INDEX('Cronograma R. Normativo'!$Y$5:$Y$1000,$N40),""),IF(INDEX('Cronograma R. Normativo'!$H$5:$H$1000,$N40)="","",INDEX('Cronograma R. Normativo'!$H$5:$H$1000,$N40))))</f>
        <v/>
      </c>
      <c r="H40" s="67">
        <f>IF($N40="","",IF($P40&gt;0,IF(2&lt;=SemanaActual,INDEX('Cronograma R. Normativo'!$Z$5:$Z$1000,$N40),""),IF(INDEX('Cronograma R. Normativo'!$I$5:$I$1000,$N40)="","",INDEX('Cronograma R. Normativo'!$I$5:$I$1000,$N40))))</f>
        <v/>
      </c>
      <c r="I40" s="67">
        <f>IF($N40="","",IF($P40&gt;0,IF(3&lt;=SemanaActual,INDEX('Cronograma R. Normativo'!$AA$5:$AA$1000,$N40),""),IF(INDEX('Cronograma R. Normativo'!$J$5:$J$1000,$N40)="","",INDEX('Cronograma R. Normativo'!$J$5:$J$1000,$N40))))</f>
        <v/>
      </c>
      <c r="J40" s="67">
        <f>IF($N40="","",IF($P40&gt;0,IF(4&lt;=SemanaActual,INDEX('Cronograma R. Normativo'!$AB$5:$AB$1000,$N40),""),IF(INDEX('Cronograma R. Normativo'!$K$5:$K$1000,$N40)="","",INDEX('Cronograma R. Normativo'!$K$5:$K$1000,$N40))))</f>
        <v/>
      </c>
      <c r="K40" s="67">
        <f>IF($N40="","",INDEX('Cronograma R. Normativo'!$L$5:$L$1000,$N40))</f>
        <v/>
      </c>
      <c r="L40" s="61">
        <f>IF($N40="","",IF(N($K40)&gt;=1,"Completado",IF(AND(ISNUMBER($E40),$E40&lt;FechaRef),"Vencida",IF(N($K40)&gt;0,"En curso","Pendiente"))))</f>
        <v/>
      </c>
      <c r="M40" s="70">
        <f>IF($N40="","",INDEX('Cronograma R. Normativo'!$N$5:$N$1000,$N40)&amp;"")</f>
        <v/>
      </c>
      <c r="N40">
        <f>IFERROR(MATCH(ROW()-4,rOrden_RN,0),"")</f>
        <v/>
      </c>
      <c r="O40">
        <f>IF($N40="","",INDEX('Cronograma R. Normativo'!$S$5:$S$1000,$N40))</f>
        <v/>
      </c>
      <c r="P40">
        <f>IF($N40="","",N(INDEX('Cronograma R. Normativo'!$T$5:$T$1000,$N40)))</f>
        <v/>
      </c>
    </row>
    <row r="41">
      <c r="A41" s="61">
        <f>IF($N41="","",INDEX('Cronograma R. Normativo'!$A$5:$A$1000,$N41))</f>
        <v/>
      </c>
      <c r="B41" s="70">
        <f>IF($N41="","",IF($O41="Sub","     ↳ "&amp;INDEX('Cronograma R. Normativo'!$C$5:$C$1000,$N41),INDEX('Cronograma R. Normativo'!$B$5:$B$1000,$N41)&amp;""))</f>
        <v/>
      </c>
      <c r="C41" s="70">
        <f>IF($N41="","",INDEX('Cronograma R. Normativo'!$D$5:$D$1000,$N41)&amp;"")</f>
        <v/>
      </c>
      <c r="D41" s="76">
        <f>IF($N41="","",IF(INDEX('Cronograma R. Normativo'!$E$5:$E$1000,$N41)="","",INDEX('Cronograma R. Normativo'!$E$5:$E$1000,$N41)))</f>
        <v/>
      </c>
      <c r="E41" s="76">
        <f>IF($N41="","",IF(INDEX('Cronograma R. Normativo'!$F$5:$F$1000,$N41)="","",INDEX('Cronograma R. Normativo'!$F$5:$F$1000,$N41)))</f>
        <v/>
      </c>
      <c r="F41" s="61">
        <f>IF($N41="","",IF(NOT(ISNUMBER($E41)),"",IF($E41&lt;InicioCiclo,"Antes del ciclo",IF($E41&gt;=InicioCiclo+28,"Después del ciclo","Semana "&amp;(INT(($E41-InicioCiclo)/7)+1)))))</f>
        <v/>
      </c>
      <c r="G41" s="67">
        <f>IF($N41="","",IF($P41&gt;0,IF(1&lt;=SemanaActual,INDEX('Cronograma R. Normativo'!$Y$5:$Y$1000,$N41),""),IF(INDEX('Cronograma R. Normativo'!$H$5:$H$1000,$N41)="","",INDEX('Cronograma R. Normativo'!$H$5:$H$1000,$N41))))</f>
        <v/>
      </c>
      <c r="H41" s="67">
        <f>IF($N41="","",IF($P41&gt;0,IF(2&lt;=SemanaActual,INDEX('Cronograma R. Normativo'!$Z$5:$Z$1000,$N41),""),IF(INDEX('Cronograma R. Normativo'!$I$5:$I$1000,$N41)="","",INDEX('Cronograma R. Normativo'!$I$5:$I$1000,$N41))))</f>
        <v/>
      </c>
      <c r="I41" s="67">
        <f>IF($N41="","",IF($P41&gt;0,IF(3&lt;=SemanaActual,INDEX('Cronograma R. Normativo'!$AA$5:$AA$1000,$N41),""),IF(INDEX('Cronograma R. Normativo'!$J$5:$J$1000,$N41)="","",INDEX('Cronograma R. Normativo'!$J$5:$J$1000,$N41))))</f>
        <v/>
      </c>
      <c r="J41" s="67">
        <f>IF($N41="","",IF($P41&gt;0,IF(4&lt;=SemanaActual,INDEX('Cronograma R. Normativo'!$AB$5:$AB$1000,$N41),""),IF(INDEX('Cronograma R. Normativo'!$K$5:$K$1000,$N41)="","",INDEX('Cronograma R. Normativo'!$K$5:$K$1000,$N41))))</f>
        <v/>
      </c>
      <c r="K41" s="67">
        <f>IF($N41="","",INDEX('Cronograma R. Normativo'!$L$5:$L$1000,$N41))</f>
        <v/>
      </c>
      <c r="L41" s="61">
        <f>IF($N41="","",IF(N($K41)&gt;=1,"Completado",IF(AND(ISNUMBER($E41),$E41&lt;FechaRef),"Vencida",IF(N($K41)&gt;0,"En curso","Pendiente"))))</f>
        <v/>
      </c>
      <c r="M41" s="70">
        <f>IF($N41="","",INDEX('Cronograma R. Normativo'!$N$5:$N$1000,$N41)&amp;"")</f>
        <v/>
      </c>
      <c r="N41">
        <f>IFERROR(MATCH(ROW()-4,rOrden_RN,0),"")</f>
        <v/>
      </c>
      <c r="O41">
        <f>IF($N41="","",INDEX('Cronograma R. Normativo'!$S$5:$S$1000,$N41))</f>
        <v/>
      </c>
      <c r="P41">
        <f>IF($N41="","",N(INDEX('Cronograma R. Normativo'!$T$5:$T$1000,$N41)))</f>
        <v/>
      </c>
    </row>
    <row r="42">
      <c r="A42" s="61">
        <f>IF($N42="","",INDEX('Cronograma R. Normativo'!$A$5:$A$1000,$N42))</f>
        <v/>
      </c>
      <c r="B42" s="70">
        <f>IF($N42="","",IF($O42="Sub","     ↳ "&amp;INDEX('Cronograma R. Normativo'!$C$5:$C$1000,$N42),INDEX('Cronograma R. Normativo'!$B$5:$B$1000,$N42)&amp;""))</f>
        <v/>
      </c>
      <c r="C42" s="70">
        <f>IF($N42="","",INDEX('Cronograma R. Normativo'!$D$5:$D$1000,$N42)&amp;"")</f>
        <v/>
      </c>
      <c r="D42" s="76">
        <f>IF($N42="","",IF(INDEX('Cronograma R. Normativo'!$E$5:$E$1000,$N42)="","",INDEX('Cronograma R. Normativo'!$E$5:$E$1000,$N42)))</f>
        <v/>
      </c>
      <c r="E42" s="76">
        <f>IF($N42="","",IF(INDEX('Cronograma R. Normativo'!$F$5:$F$1000,$N42)="","",INDEX('Cronograma R. Normativo'!$F$5:$F$1000,$N42)))</f>
        <v/>
      </c>
      <c r="F42" s="61">
        <f>IF($N42="","",IF(NOT(ISNUMBER($E42)),"",IF($E42&lt;InicioCiclo,"Antes del ciclo",IF($E42&gt;=InicioCiclo+28,"Después del ciclo","Semana "&amp;(INT(($E42-InicioCiclo)/7)+1)))))</f>
        <v/>
      </c>
      <c r="G42" s="67">
        <f>IF($N42="","",IF($P42&gt;0,IF(1&lt;=SemanaActual,INDEX('Cronograma R. Normativo'!$Y$5:$Y$1000,$N42),""),IF(INDEX('Cronograma R. Normativo'!$H$5:$H$1000,$N42)="","",INDEX('Cronograma R. Normativo'!$H$5:$H$1000,$N42))))</f>
        <v/>
      </c>
      <c r="H42" s="67">
        <f>IF($N42="","",IF($P42&gt;0,IF(2&lt;=SemanaActual,INDEX('Cronograma R. Normativo'!$Z$5:$Z$1000,$N42),""),IF(INDEX('Cronograma R. Normativo'!$I$5:$I$1000,$N42)="","",INDEX('Cronograma R. Normativo'!$I$5:$I$1000,$N42))))</f>
        <v/>
      </c>
      <c r="I42" s="67">
        <f>IF($N42="","",IF($P42&gt;0,IF(3&lt;=SemanaActual,INDEX('Cronograma R. Normativo'!$AA$5:$AA$1000,$N42),""),IF(INDEX('Cronograma R. Normativo'!$J$5:$J$1000,$N42)="","",INDEX('Cronograma R. Normativo'!$J$5:$J$1000,$N42))))</f>
        <v/>
      </c>
      <c r="J42" s="67">
        <f>IF($N42="","",IF($P42&gt;0,IF(4&lt;=SemanaActual,INDEX('Cronograma R. Normativo'!$AB$5:$AB$1000,$N42),""),IF(INDEX('Cronograma R. Normativo'!$K$5:$K$1000,$N42)="","",INDEX('Cronograma R. Normativo'!$K$5:$K$1000,$N42))))</f>
        <v/>
      </c>
      <c r="K42" s="67">
        <f>IF($N42="","",INDEX('Cronograma R. Normativo'!$L$5:$L$1000,$N42))</f>
        <v/>
      </c>
      <c r="L42" s="61">
        <f>IF($N42="","",IF(N($K42)&gt;=1,"Completado",IF(AND(ISNUMBER($E42),$E42&lt;FechaRef),"Vencida",IF(N($K42)&gt;0,"En curso","Pendiente"))))</f>
        <v/>
      </c>
      <c r="M42" s="70">
        <f>IF($N42="","",INDEX('Cronograma R. Normativo'!$N$5:$N$1000,$N42)&amp;"")</f>
        <v/>
      </c>
      <c r="N42">
        <f>IFERROR(MATCH(ROW()-4,rOrden_RN,0),"")</f>
        <v/>
      </c>
      <c r="O42">
        <f>IF($N42="","",INDEX('Cronograma R. Normativo'!$S$5:$S$1000,$N42))</f>
        <v/>
      </c>
      <c r="P42">
        <f>IF($N42="","",N(INDEX('Cronograma R. Normativo'!$T$5:$T$1000,$N42)))</f>
        <v/>
      </c>
    </row>
    <row r="43">
      <c r="A43" s="61">
        <f>IF($N43="","",INDEX('Cronograma R. Normativo'!$A$5:$A$1000,$N43))</f>
        <v/>
      </c>
      <c r="B43" s="70">
        <f>IF($N43="","",IF($O43="Sub","     ↳ "&amp;INDEX('Cronograma R. Normativo'!$C$5:$C$1000,$N43),INDEX('Cronograma R. Normativo'!$B$5:$B$1000,$N43)&amp;""))</f>
        <v/>
      </c>
      <c r="C43" s="70">
        <f>IF($N43="","",INDEX('Cronograma R. Normativo'!$D$5:$D$1000,$N43)&amp;"")</f>
        <v/>
      </c>
      <c r="D43" s="76">
        <f>IF($N43="","",IF(INDEX('Cronograma R. Normativo'!$E$5:$E$1000,$N43)="","",INDEX('Cronograma R. Normativo'!$E$5:$E$1000,$N43)))</f>
        <v/>
      </c>
      <c r="E43" s="76">
        <f>IF($N43="","",IF(INDEX('Cronograma R. Normativo'!$F$5:$F$1000,$N43)="","",INDEX('Cronograma R. Normativo'!$F$5:$F$1000,$N43)))</f>
        <v/>
      </c>
      <c r="F43" s="61">
        <f>IF($N43="","",IF(NOT(ISNUMBER($E43)),"",IF($E43&lt;InicioCiclo,"Antes del ciclo",IF($E43&gt;=InicioCiclo+28,"Después del ciclo","Semana "&amp;(INT(($E43-InicioCiclo)/7)+1)))))</f>
        <v/>
      </c>
      <c r="G43" s="67">
        <f>IF($N43="","",IF($P43&gt;0,IF(1&lt;=SemanaActual,INDEX('Cronograma R. Normativo'!$Y$5:$Y$1000,$N43),""),IF(INDEX('Cronograma R. Normativo'!$H$5:$H$1000,$N43)="","",INDEX('Cronograma R. Normativo'!$H$5:$H$1000,$N43))))</f>
        <v/>
      </c>
      <c r="H43" s="67">
        <f>IF($N43="","",IF($P43&gt;0,IF(2&lt;=SemanaActual,INDEX('Cronograma R. Normativo'!$Z$5:$Z$1000,$N43),""),IF(INDEX('Cronograma R. Normativo'!$I$5:$I$1000,$N43)="","",INDEX('Cronograma R. Normativo'!$I$5:$I$1000,$N43))))</f>
        <v/>
      </c>
      <c r="I43" s="67">
        <f>IF($N43="","",IF($P43&gt;0,IF(3&lt;=SemanaActual,INDEX('Cronograma R. Normativo'!$AA$5:$AA$1000,$N43),""),IF(INDEX('Cronograma R. Normativo'!$J$5:$J$1000,$N43)="","",INDEX('Cronograma R. Normativo'!$J$5:$J$1000,$N43))))</f>
        <v/>
      </c>
      <c r="J43" s="67">
        <f>IF($N43="","",IF($P43&gt;0,IF(4&lt;=SemanaActual,INDEX('Cronograma R. Normativo'!$AB$5:$AB$1000,$N43),""),IF(INDEX('Cronograma R. Normativo'!$K$5:$K$1000,$N43)="","",INDEX('Cronograma R. Normativo'!$K$5:$K$1000,$N43))))</f>
        <v/>
      </c>
      <c r="K43" s="67">
        <f>IF($N43="","",INDEX('Cronograma R. Normativo'!$L$5:$L$1000,$N43))</f>
        <v/>
      </c>
      <c r="L43" s="61">
        <f>IF($N43="","",IF(N($K43)&gt;=1,"Completado",IF(AND(ISNUMBER($E43),$E43&lt;FechaRef),"Vencida",IF(N($K43)&gt;0,"En curso","Pendiente"))))</f>
        <v/>
      </c>
      <c r="M43" s="70">
        <f>IF($N43="","",INDEX('Cronograma R. Normativo'!$N$5:$N$1000,$N43)&amp;"")</f>
        <v/>
      </c>
      <c r="N43">
        <f>IFERROR(MATCH(ROW()-4,rOrden_RN,0),"")</f>
        <v/>
      </c>
      <c r="O43">
        <f>IF($N43="","",INDEX('Cronograma R. Normativo'!$S$5:$S$1000,$N43))</f>
        <v/>
      </c>
      <c r="P43">
        <f>IF($N43="","",N(INDEX('Cronograma R. Normativo'!$T$5:$T$1000,$N43)))</f>
        <v/>
      </c>
    </row>
    <row r="44">
      <c r="A44" s="61">
        <f>IF($N44="","",INDEX('Cronograma R. Normativo'!$A$5:$A$1000,$N44))</f>
        <v/>
      </c>
      <c r="B44" s="70">
        <f>IF($N44="","",IF($O44="Sub","     ↳ "&amp;INDEX('Cronograma R. Normativo'!$C$5:$C$1000,$N44),INDEX('Cronograma R. Normativo'!$B$5:$B$1000,$N44)&amp;""))</f>
        <v/>
      </c>
      <c r="C44" s="70">
        <f>IF($N44="","",INDEX('Cronograma R. Normativo'!$D$5:$D$1000,$N44)&amp;"")</f>
        <v/>
      </c>
      <c r="D44" s="76">
        <f>IF($N44="","",IF(INDEX('Cronograma R. Normativo'!$E$5:$E$1000,$N44)="","",INDEX('Cronograma R. Normativo'!$E$5:$E$1000,$N44)))</f>
        <v/>
      </c>
      <c r="E44" s="76">
        <f>IF($N44="","",IF(INDEX('Cronograma R. Normativo'!$F$5:$F$1000,$N44)="","",INDEX('Cronograma R. Normativo'!$F$5:$F$1000,$N44)))</f>
        <v/>
      </c>
      <c r="F44" s="61">
        <f>IF($N44="","",IF(NOT(ISNUMBER($E44)),"",IF($E44&lt;InicioCiclo,"Antes del ciclo",IF($E44&gt;=InicioCiclo+28,"Después del ciclo","Semana "&amp;(INT(($E44-InicioCiclo)/7)+1)))))</f>
        <v/>
      </c>
      <c r="G44" s="67">
        <f>IF($N44="","",IF($P44&gt;0,IF(1&lt;=SemanaActual,INDEX('Cronograma R. Normativo'!$Y$5:$Y$1000,$N44),""),IF(INDEX('Cronograma R. Normativo'!$H$5:$H$1000,$N44)="","",INDEX('Cronograma R. Normativo'!$H$5:$H$1000,$N44))))</f>
        <v/>
      </c>
      <c r="H44" s="67">
        <f>IF($N44="","",IF($P44&gt;0,IF(2&lt;=SemanaActual,INDEX('Cronograma R. Normativo'!$Z$5:$Z$1000,$N44),""),IF(INDEX('Cronograma R. Normativo'!$I$5:$I$1000,$N44)="","",INDEX('Cronograma R. Normativo'!$I$5:$I$1000,$N44))))</f>
        <v/>
      </c>
      <c r="I44" s="67">
        <f>IF($N44="","",IF($P44&gt;0,IF(3&lt;=SemanaActual,INDEX('Cronograma R. Normativo'!$AA$5:$AA$1000,$N44),""),IF(INDEX('Cronograma R. Normativo'!$J$5:$J$1000,$N44)="","",INDEX('Cronograma R. Normativo'!$J$5:$J$1000,$N44))))</f>
        <v/>
      </c>
      <c r="J44" s="67">
        <f>IF($N44="","",IF($P44&gt;0,IF(4&lt;=SemanaActual,INDEX('Cronograma R. Normativo'!$AB$5:$AB$1000,$N44),""),IF(INDEX('Cronograma R. Normativo'!$K$5:$K$1000,$N44)="","",INDEX('Cronograma R. Normativo'!$K$5:$K$1000,$N44))))</f>
        <v/>
      </c>
      <c r="K44" s="67">
        <f>IF($N44="","",INDEX('Cronograma R. Normativo'!$L$5:$L$1000,$N44))</f>
        <v/>
      </c>
      <c r="L44" s="61">
        <f>IF($N44="","",IF(N($K44)&gt;=1,"Completado",IF(AND(ISNUMBER($E44),$E44&lt;FechaRef),"Vencida",IF(N($K44)&gt;0,"En curso","Pendiente"))))</f>
        <v/>
      </c>
      <c r="M44" s="70">
        <f>IF($N44="","",INDEX('Cronograma R. Normativo'!$N$5:$N$1000,$N44)&amp;"")</f>
        <v/>
      </c>
      <c r="N44">
        <f>IFERROR(MATCH(ROW()-4,rOrden_RN,0),"")</f>
        <v/>
      </c>
      <c r="O44">
        <f>IF($N44="","",INDEX('Cronograma R. Normativo'!$S$5:$S$1000,$N44))</f>
        <v/>
      </c>
      <c r="P44">
        <f>IF($N44="","",N(INDEX('Cronograma R. Normativo'!$T$5:$T$1000,$N44)))</f>
        <v/>
      </c>
    </row>
    <row r="45">
      <c r="A45" s="61">
        <f>IF($N45="","",INDEX('Cronograma R. Normativo'!$A$5:$A$1000,$N45))</f>
        <v/>
      </c>
      <c r="B45" s="70">
        <f>IF($N45="","",IF($O45="Sub","     ↳ "&amp;INDEX('Cronograma R. Normativo'!$C$5:$C$1000,$N45),INDEX('Cronograma R. Normativo'!$B$5:$B$1000,$N45)&amp;""))</f>
        <v/>
      </c>
      <c r="C45" s="70">
        <f>IF($N45="","",INDEX('Cronograma R. Normativo'!$D$5:$D$1000,$N45)&amp;"")</f>
        <v/>
      </c>
      <c r="D45" s="76">
        <f>IF($N45="","",IF(INDEX('Cronograma R. Normativo'!$E$5:$E$1000,$N45)="","",INDEX('Cronograma R. Normativo'!$E$5:$E$1000,$N45)))</f>
        <v/>
      </c>
      <c r="E45" s="76">
        <f>IF($N45="","",IF(INDEX('Cronograma R. Normativo'!$F$5:$F$1000,$N45)="","",INDEX('Cronograma R. Normativo'!$F$5:$F$1000,$N45)))</f>
        <v/>
      </c>
      <c r="F45" s="61">
        <f>IF($N45="","",IF(NOT(ISNUMBER($E45)),"",IF($E45&lt;InicioCiclo,"Antes del ciclo",IF($E45&gt;=InicioCiclo+28,"Después del ciclo","Semana "&amp;(INT(($E45-InicioCiclo)/7)+1)))))</f>
        <v/>
      </c>
      <c r="G45" s="67">
        <f>IF($N45="","",IF($P45&gt;0,IF(1&lt;=SemanaActual,INDEX('Cronograma R. Normativo'!$Y$5:$Y$1000,$N45),""),IF(INDEX('Cronograma R. Normativo'!$H$5:$H$1000,$N45)="","",INDEX('Cronograma R. Normativo'!$H$5:$H$1000,$N45))))</f>
        <v/>
      </c>
      <c r="H45" s="67">
        <f>IF($N45="","",IF($P45&gt;0,IF(2&lt;=SemanaActual,INDEX('Cronograma R. Normativo'!$Z$5:$Z$1000,$N45),""),IF(INDEX('Cronograma R. Normativo'!$I$5:$I$1000,$N45)="","",INDEX('Cronograma R. Normativo'!$I$5:$I$1000,$N45))))</f>
        <v/>
      </c>
      <c r="I45" s="67">
        <f>IF($N45="","",IF($P45&gt;0,IF(3&lt;=SemanaActual,INDEX('Cronograma R. Normativo'!$AA$5:$AA$1000,$N45),""),IF(INDEX('Cronograma R. Normativo'!$J$5:$J$1000,$N45)="","",INDEX('Cronograma R. Normativo'!$J$5:$J$1000,$N45))))</f>
        <v/>
      </c>
      <c r="J45" s="67">
        <f>IF($N45="","",IF($P45&gt;0,IF(4&lt;=SemanaActual,INDEX('Cronograma R. Normativo'!$AB$5:$AB$1000,$N45),""),IF(INDEX('Cronograma R. Normativo'!$K$5:$K$1000,$N45)="","",INDEX('Cronograma R. Normativo'!$K$5:$K$1000,$N45))))</f>
        <v/>
      </c>
      <c r="K45" s="67">
        <f>IF($N45="","",INDEX('Cronograma R. Normativo'!$L$5:$L$1000,$N45))</f>
        <v/>
      </c>
      <c r="L45" s="61">
        <f>IF($N45="","",IF(N($K45)&gt;=1,"Completado",IF(AND(ISNUMBER($E45),$E45&lt;FechaRef),"Vencida",IF(N($K45)&gt;0,"En curso","Pendiente"))))</f>
        <v/>
      </c>
      <c r="M45" s="70">
        <f>IF($N45="","",INDEX('Cronograma R. Normativo'!$N$5:$N$1000,$N45)&amp;"")</f>
        <v/>
      </c>
      <c r="N45">
        <f>IFERROR(MATCH(ROW()-4,rOrden_RN,0),"")</f>
        <v/>
      </c>
      <c r="O45">
        <f>IF($N45="","",INDEX('Cronograma R. Normativo'!$S$5:$S$1000,$N45))</f>
        <v/>
      </c>
      <c r="P45">
        <f>IF($N45="","",N(INDEX('Cronograma R. Normativo'!$T$5:$T$1000,$N45)))</f>
        <v/>
      </c>
    </row>
    <row r="46">
      <c r="A46" s="61">
        <f>IF($N46="","",INDEX('Cronograma R. Normativo'!$A$5:$A$1000,$N46))</f>
        <v/>
      </c>
      <c r="B46" s="70">
        <f>IF($N46="","",IF($O46="Sub","     ↳ "&amp;INDEX('Cronograma R. Normativo'!$C$5:$C$1000,$N46),INDEX('Cronograma R. Normativo'!$B$5:$B$1000,$N46)&amp;""))</f>
        <v/>
      </c>
      <c r="C46" s="70">
        <f>IF($N46="","",INDEX('Cronograma R. Normativo'!$D$5:$D$1000,$N46)&amp;"")</f>
        <v/>
      </c>
      <c r="D46" s="76">
        <f>IF($N46="","",IF(INDEX('Cronograma R. Normativo'!$E$5:$E$1000,$N46)="","",INDEX('Cronograma R. Normativo'!$E$5:$E$1000,$N46)))</f>
        <v/>
      </c>
      <c r="E46" s="76">
        <f>IF($N46="","",IF(INDEX('Cronograma R. Normativo'!$F$5:$F$1000,$N46)="","",INDEX('Cronograma R. Normativo'!$F$5:$F$1000,$N46)))</f>
        <v/>
      </c>
      <c r="F46" s="61">
        <f>IF($N46="","",IF(NOT(ISNUMBER($E46)),"",IF($E46&lt;InicioCiclo,"Antes del ciclo",IF($E46&gt;=InicioCiclo+28,"Después del ciclo","Semana "&amp;(INT(($E46-InicioCiclo)/7)+1)))))</f>
        <v/>
      </c>
      <c r="G46" s="67">
        <f>IF($N46="","",IF($P46&gt;0,IF(1&lt;=SemanaActual,INDEX('Cronograma R. Normativo'!$Y$5:$Y$1000,$N46),""),IF(INDEX('Cronograma R. Normativo'!$H$5:$H$1000,$N46)="","",INDEX('Cronograma R. Normativo'!$H$5:$H$1000,$N46))))</f>
        <v/>
      </c>
      <c r="H46" s="67">
        <f>IF($N46="","",IF($P46&gt;0,IF(2&lt;=SemanaActual,INDEX('Cronograma R. Normativo'!$Z$5:$Z$1000,$N46),""),IF(INDEX('Cronograma R. Normativo'!$I$5:$I$1000,$N46)="","",INDEX('Cronograma R. Normativo'!$I$5:$I$1000,$N46))))</f>
        <v/>
      </c>
      <c r="I46" s="67">
        <f>IF($N46="","",IF($P46&gt;0,IF(3&lt;=SemanaActual,INDEX('Cronograma R. Normativo'!$AA$5:$AA$1000,$N46),""),IF(INDEX('Cronograma R. Normativo'!$J$5:$J$1000,$N46)="","",INDEX('Cronograma R. Normativo'!$J$5:$J$1000,$N46))))</f>
        <v/>
      </c>
      <c r="J46" s="67">
        <f>IF($N46="","",IF($P46&gt;0,IF(4&lt;=SemanaActual,INDEX('Cronograma R. Normativo'!$AB$5:$AB$1000,$N46),""),IF(INDEX('Cronograma R. Normativo'!$K$5:$K$1000,$N46)="","",INDEX('Cronograma R. Normativo'!$K$5:$K$1000,$N46))))</f>
        <v/>
      </c>
      <c r="K46" s="67">
        <f>IF($N46="","",INDEX('Cronograma R. Normativo'!$L$5:$L$1000,$N46))</f>
        <v/>
      </c>
      <c r="L46" s="61">
        <f>IF($N46="","",IF(N($K46)&gt;=1,"Completado",IF(AND(ISNUMBER($E46),$E46&lt;FechaRef),"Vencida",IF(N($K46)&gt;0,"En curso","Pendiente"))))</f>
        <v/>
      </c>
      <c r="M46" s="70">
        <f>IF($N46="","",INDEX('Cronograma R. Normativo'!$N$5:$N$1000,$N46)&amp;"")</f>
        <v/>
      </c>
      <c r="N46">
        <f>IFERROR(MATCH(ROW()-4,rOrden_RN,0),"")</f>
        <v/>
      </c>
      <c r="O46">
        <f>IF($N46="","",INDEX('Cronograma R. Normativo'!$S$5:$S$1000,$N46))</f>
        <v/>
      </c>
      <c r="P46">
        <f>IF($N46="","",N(INDEX('Cronograma R. Normativo'!$T$5:$T$1000,$N46)))</f>
        <v/>
      </c>
    </row>
    <row r="47">
      <c r="A47" s="61">
        <f>IF($N47="","",INDEX('Cronograma R. Normativo'!$A$5:$A$1000,$N47))</f>
        <v/>
      </c>
      <c r="B47" s="70">
        <f>IF($N47="","",IF($O47="Sub","     ↳ "&amp;INDEX('Cronograma R. Normativo'!$C$5:$C$1000,$N47),INDEX('Cronograma R. Normativo'!$B$5:$B$1000,$N47)&amp;""))</f>
        <v/>
      </c>
      <c r="C47" s="70">
        <f>IF($N47="","",INDEX('Cronograma R. Normativo'!$D$5:$D$1000,$N47)&amp;"")</f>
        <v/>
      </c>
      <c r="D47" s="76">
        <f>IF($N47="","",IF(INDEX('Cronograma R. Normativo'!$E$5:$E$1000,$N47)="","",INDEX('Cronograma R. Normativo'!$E$5:$E$1000,$N47)))</f>
        <v/>
      </c>
      <c r="E47" s="76">
        <f>IF($N47="","",IF(INDEX('Cronograma R. Normativo'!$F$5:$F$1000,$N47)="","",INDEX('Cronograma R. Normativo'!$F$5:$F$1000,$N47)))</f>
        <v/>
      </c>
      <c r="F47" s="61">
        <f>IF($N47="","",IF(NOT(ISNUMBER($E47)),"",IF($E47&lt;InicioCiclo,"Antes del ciclo",IF($E47&gt;=InicioCiclo+28,"Después del ciclo","Semana "&amp;(INT(($E47-InicioCiclo)/7)+1)))))</f>
        <v/>
      </c>
      <c r="G47" s="67">
        <f>IF($N47="","",IF($P47&gt;0,IF(1&lt;=SemanaActual,INDEX('Cronograma R. Normativo'!$Y$5:$Y$1000,$N47),""),IF(INDEX('Cronograma R. Normativo'!$H$5:$H$1000,$N47)="","",INDEX('Cronograma R. Normativo'!$H$5:$H$1000,$N47))))</f>
        <v/>
      </c>
      <c r="H47" s="67">
        <f>IF($N47="","",IF($P47&gt;0,IF(2&lt;=SemanaActual,INDEX('Cronograma R. Normativo'!$Z$5:$Z$1000,$N47),""),IF(INDEX('Cronograma R. Normativo'!$I$5:$I$1000,$N47)="","",INDEX('Cronograma R. Normativo'!$I$5:$I$1000,$N47))))</f>
        <v/>
      </c>
      <c r="I47" s="67">
        <f>IF($N47="","",IF($P47&gt;0,IF(3&lt;=SemanaActual,INDEX('Cronograma R. Normativo'!$AA$5:$AA$1000,$N47),""),IF(INDEX('Cronograma R. Normativo'!$J$5:$J$1000,$N47)="","",INDEX('Cronograma R. Normativo'!$J$5:$J$1000,$N47))))</f>
        <v/>
      </c>
      <c r="J47" s="67">
        <f>IF($N47="","",IF($P47&gt;0,IF(4&lt;=SemanaActual,INDEX('Cronograma R. Normativo'!$AB$5:$AB$1000,$N47),""),IF(INDEX('Cronograma R. Normativo'!$K$5:$K$1000,$N47)="","",INDEX('Cronograma R. Normativo'!$K$5:$K$1000,$N47))))</f>
        <v/>
      </c>
      <c r="K47" s="67">
        <f>IF($N47="","",INDEX('Cronograma R. Normativo'!$L$5:$L$1000,$N47))</f>
        <v/>
      </c>
      <c r="L47" s="61">
        <f>IF($N47="","",IF(N($K47)&gt;=1,"Completado",IF(AND(ISNUMBER($E47),$E47&lt;FechaRef),"Vencida",IF(N($K47)&gt;0,"En curso","Pendiente"))))</f>
        <v/>
      </c>
      <c r="M47" s="70">
        <f>IF($N47="","",INDEX('Cronograma R. Normativo'!$N$5:$N$1000,$N47)&amp;"")</f>
        <v/>
      </c>
      <c r="N47">
        <f>IFERROR(MATCH(ROW()-4,rOrden_RN,0),"")</f>
        <v/>
      </c>
      <c r="O47">
        <f>IF($N47="","",INDEX('Cronograma R. Normativo'!$S$5:$S$1000,$N47))</f>
        <v/>
      </c>
      <c r="P47">
        <f>IF($N47="","",N(INDEX('Cronograma R. Normativo'!$T$5:$T$1000,$N47)))</f>
        <v/>
      </c>
    </row>
    <row r="48">
      <c r="A48" s="61">
        <f>IF($N48="","",INDEX('Cronograma R. Normativo'!$A$5:$A$1000,$N48))</f>
        <v/>
      </c>
      <c r="B48" s="70">
        <f>IF($N48="","",IF($O48="Sub","     ↳ "&amp;INDEX('Cronograma R. Normativo'!$C$5:$C$1000,$N48),INDEX('Cronograma R. Normativo'!$B$5:$B$1000,$N48)&amp;""))</f>
        <v/>
      </c>
      <c r="C48" s="70">
        <f>IF($N48="","",INDEX('Cronograma R. Normativo'!$D$5:$D$1000,$N48)&amp;"")</f>
        <v/>
      </c>
      <c r="D48" s="76">
        <f>IF($N48="","",IF(INDEX('Cronograma R. Normativo'!$E$5:$E$1000,$N48)="","",INDEX('Cronograma R. Normativo'!$E$5:$E$1000,$N48)))</f>
        <v/>
      </c>
      <c r="E48" s="76">
        <f>IF($N48="","",IF(INDEX('Cronograma R. Normativo'!$F$5:$F$1000,$N48)="","",INDEX('Cronograma R. Normativo'!$F$5:$F$1000,$N48)))</f>
        <v/>
      </c>
      <c r="F48" s="61">
        <f>IF($N48="","",IF(NOT(ISNUMBER($E48)),"",IF($E48&lt;InicioCiclo,"Antes del ciclo",IF($E48&gt;=InicioCiclo+28,"Después del ciclo","Semana "&amp;(INT(($E48-InicioCiclo)/7)+1)))))</f>
        <v/>
      </c>
      <c r="G48" s="67">
        <f>IF($N48="","",IF($P48&gt;0,IF(1&lt;=SemanaActual,INDEX('Cronograma R. Normativo'!$Y$5:$Y$1000,$N48),""),IF(INDEX('Cronograma R. Normativo'!$H$5:$H$1000,$N48)="","",INDEX('Cronograma R. Normativo'!$H$5:$H$1000,$N48))))</f>
        <v/>
      </c>
      <c r="H48" s="67">
        <f>IF($N48="","",IF($P48&gt;0,IF(2&lt;=SemanaActual,INDEX('Cronograma R. Normativo'!$Z$5:$Z$1000,$N48),""),IF(INDEX('Cronograma R. Normativo'!$I$5:$I$1000,$N48)="","",INDEX('Cronograma R. Normativo'!$I$5:$I$1000,$N48))))</f>
        <v/>
      </c>
      <c r="I48" s="67">
        <f>IF($N48="","",IF($P48&gt;0,IF(3&lt;=SemanaActual,INDEX('Cronograma R. Normativo'!$AA$5:$AA$1000,$N48),""),IF(INDEX('Cronograma R. Normativo'!$J$5:$J$1000,$N48)="","",INDEX('Cronograma R. Normativo'!$J$5:$J$1000,$N48))))</f>
        <v/>
      </c>
      <c r="J48" s="67">
        <f>IF($N48="","",IF($P48&gt;0,IF(4&lt;=SemanaActual,INDEX('Cronograma R. Normativo'!$AB$5:$AB$1000,$N48),""),IF(INDEX('Cronograma R. Normativo'!$K$5:$K$1000,$N48)="","",INDEX('Cronograma R. Normativo'!$K$5:$K$1000,$N48))))</f>
        <v/>
      </c>
      <c r="K48" s="67">
        <f>IF($N48="","",INDEX('Cronograma R. Normativo'!$L$5:$L$1000,$N48))</f>
        <v/>
      </c>
      <c r="L48" s="61">
        <f>IF($N48="","",IF(N($K48)&gt;=1,"Completado",IF(AND(ISNUMBER($E48),$E48&lt;FechaRef),"Vencida",IF(N($K48)&gt;0,"En curso","Pendiente"))))</f>
        <v/>
      </c>
      <c r="M48" s="70">
        <f>IF($N48="","",INDEX('Cronograma R. Normativo'!$N$5:$N$1000,$N48)&amp;"")</f>
        <v/>
      </c>
      <c r="N48">
        <f>IFERROR(MATCH(ROW()-4,rOrden_RN,0),"")</f>
        <v/>
      </c>
      <c r="O48">
        <f>IF($N48="","",INDEX('Cronograma R. Normativo'!$S$5:$S$1000,$N48))</f>
        <v/>
      </c>
      <c r="P48">
        <f>IF($N48="","",N(INDEX('Cronograma R. Normativo'!$T$5:$T$1000,$N48)))</f>
        <v/>
      </c>
    </row>
    <row r="49">
      <c r="A49" s="61">
        <f>IF($N49="","",INDEX('Cronograma R. Normativo'!$A$5:$A$1000,$N49))</f>
        <v/>
      </c>
      <c r="B49" s="70">
        <f>IF($N49="","",IF($O49="Sub","     ↳ "&amp;INDEX('Cronograma R. Normativo'!$C$5:$C$1000,$N49),INDEX('Cronograma R. Normativo'!$B$5:$B$1000,$N49)&amp;""))</f>
        <v/>
      </c>
      <c r="C49" s="70">
        <f>IF($N49="","",INDEX('Cronograma R. Normativo'!$D$5:$D$1000,$N49)&amp;"")</f>
        <v/>
      </c>
      <c r="D49" s="76">
        <f>IF($N49="","",IF(INDEX('Cronograma R. Normativo'!$E$5:$E$1000,$N49)="","",INDEX('Cronograma R. Normativo'!$E$5:$E$1000,$N49)))</f>
        <v/>
      </c>
      <c r="E49" s="76">
        <f>IF($N49="","",IF(INDEX('Cronograma R. Normativo'!$F$5:$F$1000,$N49)="","",INDEX('Cronograma R. Normativo'!$F$5:$F$1000,$N49)))</f>
        <v/>
      </c>
      <c r="F49" s="61">
        <f>IF($N49="","",IF(NOT(ISNUMBER($E49)),"",IF($E49&lt;InicioCiclo,"Antes del ciclo",IF($E49&gt;=InicioCiclo+28,"Después del ciclo","Semana "&amp;(INT(($E49-InicioCiclo)/7)+1)))))</f>
        <v/>
      </c>
      <c r="G49" s="67">
        <f>IF($N49="","",IF($P49&gt;0,IF(1&lt;=SemanaActual,INDEX('Cronograma R. Normativo'!$Y$5:$Y$1000,$N49),""),IF(INDEX('Cronograma R. Normativo'!$H$5:$H$1000,$N49)="","",INDEX('Cronograma R. Normativo'!$H$5:$H$1000,$N49))))</f>
        <v/>
      </c>
      <c r="H49" s="67">
        <f>IF($N49="","",IF($P49&gt;0,IF(2&lt;=SemanaActual,INDEX('Cronograma R. Normativo'!$Z$5:$Z$1000,$N49),""),IF(INDEX('Cronograma R. Normativo'!$I$5:$I$1000,$N49)="","",INDEX('Cronograma R. Normativo'!$I$5:$I$1000,$N49))))</f>
        <v/>
      </c>
      <c r="I49" s="67">
        <f>IF($N49="","",IF($P49&gt;0,IF(3&lt;=SemanaActual,INDEX('Cronograma R. Normativo'!$AA$5:$AA$1000,$N49),""),IF(INDEX('Cronograma R. Normativo'!$J$5:$J$1000,$N49)="","",INDEX('Cronograma R. Normativo'!$J$5:$J$1000,$N49))))</f>
        <v/>
      </c>
      <c r="J49" s="67">
        <f>IF($N49="","",IF($P49&gt;0,IF(4&lt;=SemanaActual,INDEX('Cronograma R. Normativo'!$AB$5:$AB$1000,$N49),""),IF(INDEX('Cronograma R. Normativo'!$K$5:$K$1000,$N49)="","",INDEX('Cronograma R. Normativo'!$K$5:$K$1000,$N49))))</f>
        <v/>
      </c>
      <c r="K49" s="67">
        <f>IF($N49="","",INDEX('Cronograma R. Normativo'!$L$5:$L$1000,$N49))</f>
        <v/>
      </c>
      <c r="L49" s="61">
        <f>IF($N49="","",IF(N($K49)&gt;=1,"Completado",IF(AND(ISNUMBER($E49),$E49&lt;FechaRef),"Vencida",IF(N($K49)&gt;0,"En curso","Pendiente"))))</f>
        <v/>
      </c>
      <c r="M49" s="70">
        <f>IF($N49="","",INDEX('Cronograma R. Normativo'!$N$5:$N$1000,$N49)&amp;"")</f>
        <v/>
      </c>
      <c r="N49">
        <f>IFERROR(MATCH(ROW()-4,rOrden_RN,0),"")</f>
        <v/>
      </c>
      <c r="O49">
        <f>IF($N49="","",INDEX('Cronograma R. Normativo'!$S$5:$S$1000,$N49))</f>
        <v/>
      </c>
      <c r="P49">
        <f>IF($N49="","",N(INDEX('Cronograma R. Normativo'!$T$5:$T$1000,$N49)))</f>
        <v/>
      </c>
    </row>
    <row r="50">
      <c r="A50" s="61">
        <f>IF($N50="","",INDEX('Cronograma R. Normativo'!$A$5:$A$1000,$N50))</f>
        <v/>
      </c>
      <c r="B50" s="70">
        <f>IF($N50="","",IF($O50="Sub","     ↳ "&amp;INDEX('Cronograma R. Normativo'!$C$5:$C$1000,$N50),INDEX('Cronograma R. Normativo'!$B$5:$B$1000,$N50)&amp;""))</f>
        <v/>
      </c>
      <c r="C50" s="70">
        <f>IF($N50="","",INDEX('Cronograma R. Normativo'!$D$5:$D$1000,$N50)&amp;"")</f>
        <v/>
      </c>
      <c r="D50" s="76">
        <f>IF($N50="","",IF(INDEX('Cronograma R. Normativo'!$E$5:$E$1000,$N50)="","",INDEX('Cronograma R. Normativo'!$E$5:$E$1000,$N50)))</f>
        <v/>
      </c>
      <c r="E50" s="76">
        <f>IF($N50="","",IF(INDEX('Cronograma R. Normativo'!$F$5:$F$1000,$N50)="","",INDEX('Cronograma R. Normativo'!$F$5:$F$1000,$N50)))</f>
        <v/>
      </c>
      <c r="F50" s="61">
        <f>IF($N50="","",IF(NOT(ISNUMBER($E50)),"",IF($E50&lt;InicioCiclo,"Antes del ciclo",IF($E50&gt;=InicioCiclo+28,"Después del ciclo","Semana "&amp;(INT(($E50-InicioCiclo)/7)+1)))))</f>
        <v/>
      </c>
      <c r="G50" s="67">
        <f>IF($N50="","",IF($P50&gt;0,IF(1&lt;=SemanaActual,INDEX('Cronograma R. Normativo'!$Y$5:$Y$1000,$N50),""),IF(INDEX('Cronograma R. Normativo'!$H$5:$H$1000,$N50)="","",INDEX('Cronograma R. Normativo'!$H$5:$H$1000,$N50))))</f>
        <v/>
      </c>
      <c r="H50" s="67">
        <f>IF($N50="","",IF($P50&gt;0,IF(2&lt;=SemanaActual,INDEX('Cronograma R. Normativo'!$Z$5:$Z$1000,$N50),""),IF(INDEX('Cronograma R. Normativo'!$I$5:$I$1000,$N50)="","",INDEX('Cronograma R. Normativo'!$I$5:$I$1000,$N50))))</f>
        <v/>
      </c>
      <c r="I50" s="67">
        <f>IF($N50="","",IF($P50&gt;0,IF(3&lt;=SemanaActual,INDEX('Cronograma R. Normativo'!$AA$5:$AA$1000,$N50),""),IF(INDEX('Cronograma R. Normativo'!$J$5:$J$1000,$N50)="","",INDEX('Cronograma R. Normativo'!$J$5:$J$1000,$N50))))</f>
        <v/>
      </c>
      <c r="J50" s="67">
        <f>IF($N50="","",IF($P50&gt;0,IF(4&lt;=SemanaActual,INDEX('Cronograma R. Normativo'!$AB$5:$AB$1000,$N50),""),IF(INDEX('Cronograma R. Normativo'!$K$5:$K$1000,$N50)="","",INDEX('Cronograma R. Normativo'!$K$5:$K$1000,$N50))))</f>
        <v/>
      </c>
      <c r="K50" s="67">
        <f>IF($N50="","",INDEX('Cronograma R. Normativo'!$L$5:$L$1000,$N50))</f>
        <v/>
      </c>
      <c r="L50" s="61">
        <f>IF($N50="","",IF(N($K50)&gt;=1,"Completado",IF(AND(ISNUMBER($E50),$E50&lt;FechaRef),"Vencida",IF(N($K50)&gt;0,"En curso","Pendiente"))))</f>
        <v/>
      </c>
      <c r="M50" s="70">
        <f>IF($N50="","",INDEX('Cronograma R. Normativo'!$N$5:$N$1000,$N50)&amp;"")</f>
        <v/>
      </c>
      <c r="N50">
        <f>IFERROR(MATCH(ROW()-4,rOrden_RN,0),"")</f>
        <v/>
      </c>
      <c r="O50">
        <f>IF($N50="","",INDEX('Cronograma R. Normativo'!$S$5:$S$1000,$N50))</f>
        <v/>
      </c>
      <c r="P50">
        <f>IF($N50="","",N(INDEX('Cronograma R. Normativo'!$T$5:$T$1000,$N50)))</f>
        <v/>
      </c>
    </row>
    <row r="51">
      <c r="A51" s="61">
        <f>IF($N51="","",INDEX('Cronograma R. Normativo'!$A$5:$A$1000,$N51))</f>
        <v/>
      </c>
      <c r="B51" s="70">
        <f>IF($N51="","",IF($O51="Sub","     ↳ "&amp;INDEX('Cronograma R. Normativo'!$C$5:$C$1000,$N51),INDEX('Cronograma R. Normativo'!$B$5:$B$1000,$N51)&amp;""))</f>
        <v/>
      </c>
      <c r="C51" s="70">
        <f>IF($N51="","",INDEX('Cronograma R. Normativo'!$D$5:$D$1000,$N51)&amp;"")</f>
        <v/>
      </c>
      <c r="D51" s="76">
        <f>IF($N51="","",IF(INDEX('Cronograma R. Normativo'!$E$5:$E$1000,$N51)="","",INDEX('Cronograma R. Normativo'!$E$5:$E$1000,$N51)))</f>
        <v/>
      </c>
      <c r="E51" s="76">
        <f>IF($N51="","",IF(INDEX('Cronograma R. Normativo'!$F$5:$F$1000,$N51)="","",INDEX('Cronograma R. Normativo'!$F$5:$F$1000,$N51)))</f>
        <v/>
      </c>
      <c r="F51" s="61">
        <f>IF($N51="","",IF(NOT(ISNUMBER($E51)),"",IF($E51&lt;InicioCiclo,"Antes del ciclo",IF($E51&gt;=InicioCiclo+28,"Después del ciclo","Semana "&amp;(INT(($E51-InicioCiclo)/7)+1)))))</f>
        <v/>
      </c>
      <c r="G51" s="67">
        <f>IF($N51="","",IF($P51&gt;0,IF(1&lt;=SemanaActual,INDEX('Cronograma R. Normativo'!$Y$5:$Y$1000,$N51),""),IF(INDEX('Cronograma R. Normativo'!$H$5:$H$1000,$N51)="","",INDEX('Cronograma R. Normativo'!$H$5:$H$1000,$N51))))</f>
        <v/>
      </c>
      <c r="H51" s="67">
        <f>IF($N51="","",IF($P51&gt;0,IF(2&lt;=SemanaActual,INDEX('Cronograma R. Normativo'!$Z$5:$Z$1000,$N51),""),IF(INDEX('Cronograma R. Normativo'!$I$5:$I$1000,$N51)="","",INDEX('Cronograma R. Normativo'!$I$5:$I$1000,$N51))))</f>
        <v/>
      </c>
      <c r="I51" s="67">
        <f>IF($N51="","",IF($P51&gt;0,IF(3&lt;=SemanaActual,INDEX('Cronograma R. Normativo'!$AA$5:$AA$1000,$N51),""),IF(INDEX('Cronograma R. Normativo'!$J$5:$J$1000,$N51)="","",INDEX('Cronograma R. Normativo'!$J$5:$J$1000,$N51))))</f>
        <v/>
      </c>
      <c r="J51" s="67">
        <f>IF($N51="","",IF($P51&gt;0,IF(4&lt;=SemanaActual,INDEX('Cronograma R. Normativo'!$AB$5:$AB$1000,$N51),""),IF(INDEX('Cronograma R. Normativo'!$K$5:$K$1000,$N51)="","",INDEX('Cronograma R. Normativo'!$K$5:$K$1000,$N51))))</f>
        <v/>
      </c>
      <c r="K51" s="67">
        <f>IF($N51="","",INDEX('Cronograma R. Normativo'!$L$5:$L$1000,$N51))</f>
        <v/>
      </c>
      <c r="L51" s="61">
        <f>IF($N51="","",IF(N($K51)&gt;=1,"Completado",IF(AND(ISNUMBER($E51),$E51&lt;FechaRef),"Vencida",IF(N($K51)&gt;0,"En curso","Pendiente"))))</f>
        <v/>
      </c>
      <c r="M51" s="70">
        <f>IF($N51="","",INDEX('Cronograma R. Normativo'!$N$5:$N$1000,$N51)&amp;"")</f>
        <v/>
      </c>
      <c r="N51">
        <f>IFERROR(MATCH(ROW()-4,rOrden_RN,0),"")</f>
        <v/>
      </c>
      <c r="O51">
        <f>IF($N51="","",INDEX('Cronograma R. Normativo'!$S$5:$S$1000,$N51))</f>
        <v/>
      </c>
      <c r="P51">
        <f>IF($N51="","",N(INDEX('Cronograma R. Normativo'!$T$5:$T$1000,$N51)))</f>
        <v/>
      </c>
    </row>
    <row r="52">
      <c r="A52" s="61">
        <f>IF($N52="","",INDEX('Cronograma R. Normativo'!$A$5:$A$1000,$N52))</f>
        <v/>
      </c>
      <c r="B52" s="70">
        <f>IF($N52="","",IF($O52="Sub","     ↳ "&amp;INDEX('Cronograma R. Normativo'!$C$5:$C$1000,$N52),INDEX('Cronograma R. Normativo'!$B$5:$B$1000,$N52)&amp;""))</f>
        <v/>
      </c>
      <c r="C52" s="70">
        <f>IF($N52="","",INDEX('Cronograma R. Normativo'!$D$5:$D$1000,$N52)&amp;"")</f>
        <v/>
      </c>
      <c r="D52" s="76">
        <f>IF($N52="","",IF(INDEX('Cronograma R. Normativo'!$E$5:$E$1000,$N52)="","",INDEX('Cronograma R. Normativo'!$E$5:$E$1000,$N52)))</f>
        <v/>
      </c>
      <c r="E52" s="76">
        <f>IF($N52="","",IF(INDEX('Cronograma R. Normativo'!$F$5:$F$1000,$N52)="","",INDEX('Cronograma R. Normativo'!$F$5:$F$1000,$N52)))</f>
        <v/>
      </c>
      <c r="F52" s="61">
        <f>IF($N52="","",IF(NOT(ISNUMBER($E52)),"",IF($E52&lt;InicioCiclo,"Antes del ciclo",IF($E52&gt;=InicioCiclo+28,"Después del ciclo","Semana "&amp;(INT(($E52-InicioCiclo)/7)+1)))))</f>
        <v/>
      </c>
      <c r="G52" s="67">
        <f>IF($N52="","",IF($P52&gt;0,IF(1&lt;=SemanaActual,INDEX('Cronograma R. Normativo'!$Y$5:$Y$1000,$N52),""),IF(INDEX('Cronograma R. Normativo'!$H$5:$H$1000,$N52)="","",INDEX('Cronograma R. Normativo'!$H$5:$H$1000,$N52))))</f>
        <v/>
      </c>
      <c r="H52" s="67">
        <f>IF($N52="","",IF($P52&gt;0,IF(2&lt;=SemanaActual,INDEX('Cronograma R. Normativo'!$Z$5:$Z$1000,$N52),""),IF(INDEX('Cronograma R. Normativo'!$I$5:$I$1000,$N52)="","",INDEX('Cronograma R. Normativo'!$I$5:$I$1000,$N52))))</f>
        <v/>
      </c>
      <c r="I52" s="67">
        <f>IF($N52="","",IF($P52&gt;0,IF(3&lt;=SemanaActual,INDEX('Cronograma R. Normativo'!$AA$5:$AA$1000,$N52),""),IF(INDEX('Cronograma R. Normativo'!$J$5:$J$1000,$N52)="","",INDEX('Cronograma R. Normativo'!$J$5:$J$1000,$N52))))</f>
        <v/>
      </c>
      <c r="J52" s="67">
        <f>IF($N52="","",IF($P52&gt;0,IF(4&lt;=SemanaActual,INDEX('Cronograma R. Normativo'!$AB$5:$AB$1000,$N52),""),IF(INDEX('Cronograma R. Normativo'!$K$5:$K$1000,$N52)="","",INDEX('Cronograma R. Normativo'!$K$5:$K$1000,$N52))))</f>
        <v/>
      </c>
      <c r="K52" s="67">
        <f>IF($N52="","",INDEX('Cronograma R. Normativo'!$L$5:$L$1000,$N52))</f>
        <v/>
      </c>
      <c r="L52" s="61">
        <f>IF($N52="","",IF(N($K52)&gt;=1,"Completado",IF(AND(ISNUMBER($E52),$E52&lt;FechaRef),"Vencida",IF(N($K52)&gt;0,"En curso","Pendiente"))))</f>
        <v/>
      </c>
      <c r="M52" s="70">
        <f>IF($N52="","",INDEX('Cronograma R. Normativo'!$N$5:$N$1000,$N52)&amp;"")</f>
        <v/>
      </c>
      <c r="N52">
        <f>IFERROR(MATCH(ROW()-4,rOrden_RN,0),"")</f>
        <v/>
      </c>
      <c r="O52">
        <f>IF($N52="","",INDEX('Cronograma R. Normativo'!$S$5:$S$1000,$N52))</f>
        <v/>
      </c>
      <c r="P52">
        <f>IF($N52="","",N(INDEX('Cronograma R. Normativo'!$T$5:$T$1000,$N52)))</f>
        <v/>
      </c>
    </row>
    <row r="53">
      <c r="A53" s="61">
        <f>IF($N53="","",INDEX('Cronograma R. Normativo'!$A$5:$A$1000,$N53))</f>
        <v/>
      </c>
      <c r="B53" s="70">
        <f>IF($N53="","",IF($O53="Sub","     ↳ "&amp;INDEX('Cronograma R. Normativo'!$C$5:$C$1000,$N53),INDEX('Cronograma R. Normativo'!$B$5:$B$1000,$N53)&amp;""))</f>
        <v/>
      </c>
      <c r="C53" s="70">
        <f>IF($N53="","",INDEX('Cronograma R. Normativo'!$D$5:$D$1000,$N53)&amp;"")</f>
        <v/>
      </c>
      <c r="D53" s="76">
        <f>IF($N53="","",IF(INDEX('Cronograma R. Normativo'!$E$5:$E$1000,$N53)="","",INDEX('Cronograma R. Normativo'!$E$5:$E$1000,$N53)))</f>
        <v/>
      </c>
      <c r="E53" s="76">
        <f>IF($N53="","",IF(INDEX('Cronograma R. Normativo'!$F$5:$F$1000,$N53)="","",INDEX('Cronograma R. Normativo'!$F$5:$F$1000,$N53)))</f>
        <v/>
      </c>
      <c r="F53" s="61">
        <f>IF($N53="","",IF(NOT(ISNUMBER($E53)),"",IF($E53&lt;InicioCiclo,"Antes del ciclo",IF($E53&gt;=InicioCiclo+28,"Después del ciclo","Semana "&amp;(INT(($E53-InicioCiclo)/7)+1)))))</f>
        <v/>
      </c>
      <c r="G53" s="67">
        <f>IF($N53="","",IF($P53&gt;0,IF(1&lt;=SemanaActual,INDEX('Cronograma R. Normativo'!$Y$5:$Y$1000,$N53),""),IF(INDEX('Cronograma R. Normativo'!$H$5:$H$1000,$N53)="","",INDEX('Cronograma R. Normativo'!$H$5:$H$1000,$N53))))</f>
        <v/>
      </c>
      <c r="H53" s="67">
        <f>IF($N53="","",IF($P53&gt;0,IF(2&lt;=SemanaActual,INDEX('Cronograma R. Normativo'!$Z$5:$Z$1000,$N53),""),IF(INDEX('Cronograma R. Normativo'!$I$5:$I$1000,$N53)="","",INDEX('Cronograma R. Normativo'!$I$5:$I$1000,$N53))))</f>
        <v/>
      </c>
      <c r="I53" s="67">
        <f>IF($N53="","",IF($P53&gt;0,IF(3&lt;=SemanaActual,INDEX('Cronograma R. Normativo'!$AA$5:$AA$1000,$N53),""),IF(INDEX('Cronograma R. Normativo'!$J$5:$J$1000,$N53)="","",INDEX('Cronograma R. Normativo'!$J$5:$J$1000,$N53))))</f>
        <v/>
      </c>
      <c r="J53" s="67">
        <f>IF($N53="","",IF($P53&gt;0,IF(4&lt;=SemanaActual,INDEX('Cronograma R. Normativo'!$AB$5:$AB$1000,$N53),""),IF(INDEX('Cronograma R. Normativo'!$K$5:$K$1000,$N53)="","",INDEX('Cronograma R. Normativo'!$K$5:$K$1000,$N53))))</f>
        <v/>
      </c>
      <c r="K53" s="67">
        <f>IF($N53="","",INDEX('Cronograma R. Normativo'!$L$5:$L$1000,$N53))</f>
        <v/>
      </c>
      <c r="L53" s="61">
        <f>IF($N53="","",IF(N($K53)&gt;=1,"Completado",IF(AND(ISNUMBER($E53),$E53&lt;FechaRef),"Vencida",IF(N($K53)&gt;0,"En curso","Pendiente"))))</f>
        <v/>
      </c>
      <c r="M53" s="70">
        <f>IF($N53="","",INDEX('Cronograma R. Normativo'!$N$5:$N$1000,$N53)&amp;"")</f>
        <v/>
      </c>
      <c r="N53">
        <f>IFERROR(MATCH(ROW()-4,rOrden_RN,0),"")</f>
        <v/>
      </c>
      <c r="O53">
        <f>IF($N53="","",INDEX('Cronograma R. Normativo'!$S$5:$S$1000,$N53))</f>
        <v/>
      </c>
      <c r="P53">
        <f>IF($N53="","",N(INDEX('Cronograma R. Normativo'!$T$5:$T$1000,$N53)))</f>
        <v/>
      </c>
    </row>
    <row r="54">
      <c r="A54" s="61">
        <f>IF($N54="","",INDEX('Cronograma R. Normativo'!$A$5:$A$1000,$N54))</f>
        <v/>
      </c>
      <c r="B54" s="70">
        <f>IF($N54="","",IF($O54="Sub","     ↳ "&amp;INDEX('Cronograma R. Normativo'!$C$5:$C$1000,$N54),INDEX('Cronograma R. Normativo'!$B$5:$B$1000,$N54)&amp;""))</f>
        <v/>
      </c>
      <c r="C54" s="70">
        <f>IF($N54="","",INDEX('Cronograma R. Normativo'!$D$5:$D$1000,$N54)&amp;"")</f>
        <v/>
      </c>
      <c r="D54" s="76">
        <f>IF($N54="","",IF(INDEX('Cronograma R. Normativo'!$E$5:$E$1000,$N54)="","",INDEX('Cronograma R. Normativo'!$E$5:$E$1000,$N54)))</f>
        <v/>
      </c>
      <c r="E54" s="76">
        <f>IF($N54="","",IF(INDEX('Cronograma R. Normativo'!$F$5:$F$1000,$N54)="","",INDEX('Cronograma R. Normativo'!$F$5:$F$1000,$N54)))</f>
        <v/>
      </c>
      <c r="F54" s="61">
        <f>IF($N54="","",IF(NOT(ISNUMBER($E54)),"",IF($E54&lt;InicioCiclo,"Antes del ciclo",IF($E54&gt;=InicioCiclo+28,"Después del ciclo","Semana "&amp;(INT(($E54-InicioCiclo)/7)+1)))))</f>
        <v/>
      </c>
      <c r="G54" s="67">
        <f>IF($N54="","",IF($P54&gt;0,IF(1&lt;=SemanaActual,INDEX('Cronograma R. Normativo'!$Y$5:$Y$1000,$N54),""),IF(INDEX('Cronograma R. Normativo'!$H$5:$H$1000,$N54)="","",INDEX('Cronograma R. Normativo'!$H$5:$H$1000,$N54))))</f>
        <v/>
      </c>
      <c r="H54" s="67">
        <f>IF($N54="","",IF($P54&gt;0,IF(2&lt;=SemanaActual,INDEX('Cronograma R. Normativo'!$Z$5:$Z$1000,$N54),""),IF(INDEX('Cronograma R. Normativo'!$I$5:$I$1000,$N54)="","",INDEX('Cronograma R. Normativo'!$I$5:$I$1000,$N54))))</f>
        <v/>
      </c>
      <c r="I54" s="67">
        <f>IF($N54="","",IF($P54&gt;0,IF(3&lt;=SemanaActual,INDEX('Cronograma R. Normativo'!$AA$5:$AA$1000,$N54),""),IF(INDEX('Cronograma R. Normativo'!$J$5:$J$1000,$N54)="","",INDEX('Cronograma R. Normativo'!$J$5:$J$1000,$N54))))</f>
        <v/>
      </c>
      <c r="J54" s="67">
        <f>IF($N54="","",IF($P54&gt;0,IF(4&lt;=SemanaActual,INDEX('Cronograma R. Normativo'!$AB$5:$AB$1000,$N54),""),IF(INDEX('Cronograma R. Normativo'!$K$5:$K$1000,$N54)="","",INDEX('Cronograma R. Normativo'!$K$5:$K$1000,$N54))))</f>
        <v/>
      </c>
      <c r="K54" s="67">
        <f>IF($N54="","",INDEX('Cronograma R. Normativo'!$L$5:$L$1000,$N54))</f>
        <v/>
      </c>
      <c r="L54" s="61">
        <f>IF($N54="","",IF(N($K54)&gt;=1,"Completado",IF(AND(ISNUMBER($E54),$E54&lt;FechaRef),"Vencida",IF(N($K54)&gt;0,"En curso","Pendiente"))))</f>
        <v/>
      </c>
      <c r="M54" s="70">
        <f>IF($N54="","",INDEX('Cronograma R. Normativo'!$N$5:$N$1000,$N54)&amp;"")</f>
        <v/>
      </c>
      <c r="N54">
        <f>IFERROR(MATCH(ROW()-4,rOrden_RN,0),"")</f>
        <v/>
      </c>
      <c r="O54">
        <f>IF($N54="","",INDEX('Cronograma R. Normativo'!$S$5:$S$1000,$N54))</f>
        <v/>
      </c>
      <c r="P54">
        <f>IF($N54="","",N(INDEX('Cronograma R. Normativo'!$T$5:$T$1000,$N54)))</f>
        <v/>
      </c>
    </row>
    <row r="55">
      <c r="A55" s="61">
        <f>IF($N55="","",INDEX('Cronograma R. Normativo'!$A$5:$A$1000,$N55))</f>
        <v/>
      </c>
      <c r="B55" s="70">
        <f>IF($N55="","",IF($O55="Sub","     ↳ "&amp;INDEX('Cronograma R. Normativo'!$C$5:$C$1000,$N55),INDEX('Cronograma R. Normativo'!$B$5:$B$1000,$N55)&amp;""))</f>
        <v/>
      </c>
      <c r="C55" s="70">
        <f>IF($N55="","",INDEX('Cronograma R. Normativo'!$D$5:$D$1000,$N55)&amp;"")</f>
        <v/>
      </c>
      <c r="D55" s="76">
        <f>IF($N55="","",IF(INDEX('Cronograma R. Normativo'!$E$5:$E$1000,$N55)="","",INDEX('Cronograma R. Normativo'!$E$5:$E$1000,$N55)))</f>
        <v/>
      </c>
      <c r="E55" s="76">
        <f>IF($N55="","",IF(INDEX('Cronograma R. Normativo'!$F$5:$F$1000,$N55)="","",INDEX('Cronograma R. Normativo'!$F$5:$F$1000,$N55)))</f>
        <v/>
      </c>
      <c r="F55" s="61">
        <f>IF($N55="","",IF(NOT(ISNUMBER($E55)),"",IF($E55&lt;InicioCiclo,"Antes del ciclo",IF($E55&gt;=InicioCiclo+28,"Después del ciclo","Semana "&amp;(INT(($E55-InicioCiclo)/7)+1)))))</f>
        <v/>
      </c>
      <c r="G55" s="67">
        <f>IF($N55="","",IF($P55&gt;0,IF(1&lt;=SemanaActual,INDEX('Cronograma R. Normativo'!$Y$5:$Y$1000,$N55),""),IF(INDEX('Cronograma R. Normativo'!$H$5:$H$1000,$N55)="","",INDEX('Cronograma R. Normativo'!$H$5:$H$1000,$N55))))</f>
        <v/>
      </c>
      <c r="H55" s="67">
        <f>IF($N55="","",IF($P55&gt;0,IF(2&lt;=SemanaActual,INDEX('Cronograma R. Normativo'!$Z$5:$Z$1000,$N55),""),IF(INDEX('Cronograma R. Normativo'!$I$5:$I$1000,$N55)="","",INDEX('Cronograma R. Normativo'!$I$5:$I$1000,$N55))))</f>
        <v/>
      </c>
      <c r="I55" s="67">
        <f>IF($N55="","",IF($P55&gt;0,IF(3&lt;=SemanaActual,INDEX('Cronograma R. Normativo'!$AA$5:$AA$1000,$N55),""),IF(INDEX('Cronograma R. Normativo'!$J$5:$J$1000,$N55)="","",INDEX('Cronograma R. Normativo'!$J$5:$J$1000,$N55))))</f>
        <v/>
      </c>
      <c r="J55" s="67">
        <f>IF($N55="","",IF($P55&gt;0,IF(4&lt;=SemanaActual,INDEX('Cronograma R. Normativo'!$AB$5:$AB$1000,$N55),""),IF(INDEX('Cronograma R. Normativo'!$K$5:$K$1000,$N55)="","",INDEX('Cronograma R. Normativo'!$K$5:$K$1000,$N55))))</f>
        <v/>
      </c>
      <c r="K55" s="67">
        <f>IF($N55="","",INDEX('Cronograma R. Normativo'!$L$5:$L$1000,$N55))</f>
        <v/>
      </c>
      <c r="L55" s="61">
        <f>IF($N55="","",IF(N($K55)&gt;=1,"Completado",IF(AND(ISNUMBER($E55),$E55&lt;FechaRef),"Vencida",IF(N($K55)&gt;0,"En curso","Pendiente"))))</f>
        <v/>
      </c>
      <c r="M55" s="70">
        <f>IF($N55="","",INDEX('Cronograma R. Normativo'!$N$5:$N$1000,$N55)&amp;"")</f>
        <v/>
      </c>
      <c r="N55">
        <f>IFERROR(MATCH(ROW()-4,rOrden_RN,0),"")</f>
        <v/>
      </c>
      <c r="O55">
        <f>IF($N55="","",INDEX('Cronograma R. Normativo'!$S$5:$S$1000,$N55))</f>
        <v/>
      </c>
      <c r="P55">
        <f>IF($N55="","",N(INDEX('Cronograma R. Normativo'!$T$5:$T$1000,$N55)))</f>
        <v/>
      </c>
    </row>
    <row r="56">
      <c r="A56" s="61">
        <f>IF($N56="","",INDEX('Cronograma R. Normativo'!$A$5:$A$1000,$N56))</f>
        <v/>
      </c>
      <c r="B56" s="70">
        <f>IF($N56="","",IF($O56="Sub","     ↳ "&amp;INDEX('Cronograma R. Normativo'!$C$5:$C$1000,$N56),INDEX('Cronograma R. Normativo'!$B$5:$B$1000,$N56)&amp;""))</f>
        <v/>
      </c>
      <c r="C56" s="70">
        <f>IF($N56="","",INDEX('Cronograma R. Normativo'!$D$5:$D$1000,$N56)&amp;"")</f>
        <v/>
      </c>
      <c r="D56" s="76">
        <f>IF($N56="","",IF(INDEX('Cronograma R. Normativo'!$E$5:$E$1000,$N56)="","",INDEX('Cronograma R. Normativo'!$E$5:$E$1000,$N56)))</f>
        <v/>
      </c>
      <c r="E56" s="76">
        <f>IF($N56="","",IF(INDEX('Cronograma R. Normativo'!$F$5:$F$1000,$N56)="","",INDEX('Cronograma R. Normativo'!$F$5:$F$1000,$N56)))</f>
        <v/>
      </c>
      <c r="F56" s="61">
        <f>IF($N56="","",IF(NOT(ISNUMBER($E56)),"",IF($E56&lt;InicioCiclo,"Antes del ciclo",IF($E56&gt;=InicioCiclo+28,"Después del ciclo","Semana "&amp;(INT(($E56-InicioCiclo)/7)+1)))))</f>
        <v/>
      </c>
      <c r="G56" s="67">
        <f>IF($N56="","",IF($P56&gt;0,IF(1&lt;=SemanaActual,INDEX('Cronograma R. Normativo'!$Y$5:$Y$1000,$N56),""),IF(INDEX('Cronograma R. Normativo'!$H$5:$H$1000,$N56)="","",INDEX('Cronograma R. Normativo'!$H$5:$H$1000,$N56))))</f>
        <v/>
      </c>
      <c r="H56" s="67">
        <f>IF($N56="","",IF($P56&gt;0,IF(2&lt;=SemanaActual,INDEX('Cronograma R. Normativo'!$Z$5:$Z$1000,$N56),""),IF(INDEX('Cronograma R. Normativo'!$I$5:$I$1000,$N56)="","",INDEX('Cronograma R. Normativo'!$I$5:$I$1000,$N56))))</f>
        <v/>
      </c>
      <c r="I56" s="67">
        <f>IF($N56="","",IF($P56&gt;0,IF(3&lt;=SemanaActual,INDEX('Cronograma R. Normativo'!$AA$5:$AA$1000,$N56),""),IF(INDEX('Cronograma R. Normativo'!$J$5:$J$1000,$N56)="","",INDEX('Cronograma R. Normativo'!$J$5:$J$1000,$N56))))</f>
        <v/>
      </c>
      <c r="J56" s="67">
        <f>IF($N56="","",IF($P56&gt;0,IF(4&lt;=SemanaActual,INDEX('Cronograma R. Normativo'!$AB$5:$AB$1000,$N56),""),IF(INDEX('Cronograma R. Normativo'!$K$5:$K$1000,$N56)="","",INDEX('Cronograma R. Normativo'!$K$5:$K$1000,$N56))))</f>
        <v/>
      </c>
      <c r="K56" s="67">
        <f>IF($N56="","",INDEX('Cronograma R. Normativo'!$L$5:$L$1000,$N56))</f>
        <v/>
      </c>
      <c r="L56" s="61">
        <f>IF($N56="","",IF(N($K56)&gt;=1,"Completado",IF(AND(ISNUMBER($E56),$E56&lt;FechaRef),"Vencida",IF(N($K56)&gt;0,"En curso","Pendiente"))))</f>
        <v/>
      </c>
      <c r="M56" s="70">
        <f>IF($N56="","",INDEX('Cronograma R. Normativo'!$N$5:$N$1000,$N56)&amp;"")</f>
        <v/>
      </c>
      <c r="N56">
        <f>IFERROR(MATCH(ROW()-4,rOrden_RN,0),"")</f>
        <v/>
      </c>
      <c r="O56">
        <f>IF($N56="","",INDEX('Cronograma R. Normativo'!$S$5:$S$1000,$N56))</f>
        <v/>
      </c>
      <c r="P56">
        <f>IF($N56="","",N(INDEX('Cronograma R. Normativo'!$T$5:$T$1000,$N56)))</f>
        <v/>
      </c>
    </row>
    <row r="57">
      <c r="A57" s="61">
        <f>IF($N57="","",INDEX('Cronograma R. Normativo'!$A$5:$A$1000,$N57))</f>
        <v/>
      </c>
      <c r="B57" s="70">
        <f>IF($N57="","",IF($O57="Sub","     ↳ "&amp;INDEX('Cronograma R. Normativo'!$C$5:$C$1000,$N57),INDEX('Cronograma R. Normativo'!$B$5:$B$1000,$N57)&amp;""))</f>
        <v/>
      </c>
      <c r="C57" s="70">
        <f>IF($N57="","",INDEX('Cronograma R. Normativo'!$D$5:$D$1000,$N57)&amp;"")</f>
        <v/>
      </c>
      <c r="D57" s="76">
        <f>IF($N57="","",IF(INDEX('Cronograma R. Normativo'!$E$5:$E$1000,$N57)="","",INDEX('Cronograma R. Normativo'!$E$5:$E$1000,$N57)))</f>
        <v/>
      </c>
      <c r="E57" s="76">
        <f>IF($N57="","",IF(INDEX('Cronograma R. Normativo'!$F$5:$F$1000,$N57)="","",INDEX('Cronograma R. Normativo'!$F$5:$F$1000,$N57)))</f>
        <v/>
      </c>
      <c r="F57" s="61">
        <f>IF($N57="","",IF(NOT(ISNUMBER($E57)),"",IF($E57&lt;InicioCiclo,"Antes del ciclo",IF($E57&gt;=InicioCiclo+28,"Después del ciclo","Semana "&amp;(INT(($E57-InicioCiclo)/7)+1)))))</f>
        <v/>
      </c>
      <c r="G57" s="67">
        <f>IF($N57="","",IF($P57&gt;0,IF(1&lt;=SemanaActual,INDEX('Cronograma R. Normativo'!$Y$5:$Y$1000,$N57),""),IF(INDEX('Cronograma R. Normativo'!$H$5:$H$1000,$N57)="","",INDEX('Cronograma R. Normativo'!$H$5:$H$1000,$N57))))</f>
        <v/>
      </c>
      <c r="H57" s="67">
        <f>IF($N57="","",IF($P57&gt;0,IF(2&lt;=SemanaActual,INDEX('Cronograma R. Normativo'!$Z$5:$Z$1000,$N57),""),IF(INDEX('Cronograma R. Normativo'!$I$5:$I$1000,$N57)="","",INDEX('Cronograma R. Normativo'!$I$5:$I$1000,$N57))))</f>
        <v/>
      </c>
      <c r="I57" s="67">
        <f>IF($N57="","",IF($P57&gt;0,IF(3&lt;=SemanaActual,INDEX('Cronograma R. Normativo'!$AA$5:$AA$1000,$N57),""),IF(INDEX('Cronograma R. Normativo'!$J$5:$J$1000,$N57)="","",INDEX('Cronograma R. Normativo'!$J$5:$J$1000,$N57))))</f>
        <v/>
      </c>
      <c r="J57" s="67">
        <f>IF($N57="","",IF($P57&gt;0,IF(4&lt;=SemanaActual,INDEX('Cronograma R. Normativo'!$AB$5:$AB$1000,$N57),""),IF(INDEX('Cronograma R. Normativo'!$K$5:$K$1000,$N57)="","",INDEX('Cronograma R. Normativo'!$K$5:$K$1000,$N57))))</f>
        <v/>
      </c>
      <c r="K57" s="67">
        <f>IF($N57="","",INDEX('Cronograma R. Normativo'!$L$5:$L$1000,$N57))</f>
        <v/>
      </c>
      <c r="L57" s="61">
        <f>IF($N57="","",IF(N($K57)&gt;=1,"Completado",IF(AND(ISNUMBER($E57),$E57&lt;FechaRef),"Vencida",IF(N($K57)&gt;0,"En curso","Pendiente"))))</f>
        <v/>
      </c>
      <c r="M57" s="70">
        <f>IF($N57="","",INDEX('Cronograma R. Normativo'!$N$5:$N$1000,$N57)&amp;"")</f>
        <v/>
      </c>
      <c r="N57">
        <f>IFERROR(MATCH(ROW()-4,rOrden_RN,0),"")</f>
        <v/>
      </c>
      <c r="O57">
        <f>IF($N57="","",INDEX('Cronograma R. Normativo'!$S$5:$S$1000,$N57))</f>
        <v/>
      </c>
      <c r="P57">
        <f>IF($N57="","",N(INDEX('Cronograma R. Normativo'!$T$5:$T$1000,$N57)))</f>
        <v/>
      </c>
    </row>
    <row r="58">
      <c r="A58" s="61">
        <f>IF($N58="","",INDEX('Cronograma R. Normativo'!$A$5:$A$1000,$N58))</f>
        <v/>
      </c>
      <c r="B58" s="70">
        <f>IF($N58="","",IF($O58="Sub","     ↳ "&amp;INDEX('Cronograma R. Normativo'!$C$5:$C$1000,$N58),INDEX('Cronograma R. Normativo'!$B$5:$B$1000,$N58)&amp;""))</f>
        <v/>
      </c>
      <c r="C58" s="70">
        <f>IF($N58="","",INDEX('Cronograma R. Normativo'!$D$5:$D$1000,$N58)&amp;"")</f>
        <v/>
      </c>
      <c r="D58" s="76">
        <f>IF($N58="","",IF(INDEX('Cronograma R. Normativo'!$E$5:$E$1000,$N58)="","",INDEX('Cronograma R. Normativo'!$E$5:$E$1000,$N58)))</f>
        <v/>
      </c>
      <c r="E58" s="76">
        <f>IF($N58="","",IF(INDEX('Cronograma R. Normativo'!$F$5:$F$1000,$N58)="","",INDEX('Cronograma R. Normativo'!$F$5:$F$1000,$N58)))</f>
        <v/>
      </c>
      <c r="F58" s="61">
        <f>IF($N58="","",IF(NOT(ISNUMBER($E58)),"",IF($E58&lt;InicioCiclo,"Antes del ciclo",IF($E58&gt;=InicioCiclo+28,"Después del ciclo","Semana "&amp;(INT(($E58-InicioCiclo)/7)+1)))))</f>
        <v/>
      </c>
      <c r="G58" s="67">
        <f>IF($N58="","",IF($P58&gt;0,IF(1&lt;=SemanaActual,INDEX('Cronograma R. Normativo'!$Y$5:$Y$1000,$N58),""),IF(INDEX('Cronograma R. Normativo'!$H$5:$H$1000,$N58)="","",INDEX('Cronograma R. Normativo'!$H$5:$H$1000,$N58))))</f>
        <v/>
      </c>
      <c r="H58" s="67">
        <f>IF($N58="","",IF($P58&gt;0,IF(2&lt;=SemanaActual,INDEX('Cronograma R. Normativo'!$Z$5:$Z$1000,$N58),""),IF(INDEX('Cronograma R. Normativo'!$I$5:$I$1000,$N58)="","",INDEX('Cronograma R. Normativo'!$I$5:$I$1000,$N58))))</f>
        <v/>
      </c>
      <c r="I58" s="67">
        <f>IF($N58="","",IF($P58&gt;0,IF(3&lt;=SemanaActual,INDEX('Cronograma R. Normativo'!$AA$5:$AA$1000,$N58),""),IF(INDEX('Cronograma R. Normativo'!$J$5:$J$1000,$N58)="","",INDEX('Cronograma R. Normativo'!$J$5:$J$1000,$N58))))</f>
        <v/>
      </c>
      <c r="J58" s="67">
        <f>IF($N58="","",IF($P58&gt;0,IF(4&lt;=SemanaActual,INDEX('Cronograma R. Normativo'!$AB$5:$AB$1000,$N58),""),IF(INDEX('Cronograma R. Normativo'!$K$5:$K$1000,$N58)="","",INDEX('Cronograma R. Normativo'!$K$5:$K$1000,$N58))))</f>
        <v/>
      </c>
      <c r="K58" s="67">
        <f>IF($N58="","",INDEX('Cronograma R. Normativo'!$L$5:$L$1000,$N58))</f>
        <v/>
      </c>
      <c r="L58" s="61">
        <f>IF($N58="","",IF(N($K58)&gt;=1,"Completado",IF(AND(ISNUMBER($E58),$E58&lt;FechaRef),"Vencida",IF(N($K58)&gt;0,"En curso","Pendiente"))))</f>
        <v/>
      </c>
      <c r="M58" s="70">
        <f>IF($N58="","",INDEX('Cronograma R. Normativo'!$N$5:$N$1000,$N58)&amp;"")</f>
        <v/>
      </c>
      <c r="N58">
        <f>IFERROR(MATCH(ROW()-4,rOrden_RN,0),"")</f>
        <v/>
      </c>
      <c r="O58">
        <f>IF($N58="","",INDEX('Cronograma R. Normativo'!$S$5:$S$1000,$N58))</f>
        <v/>
      </c>
      <c r="P58">
        <f>IF($N58="","",N(INDEX('Cronograma R. Normativo'!$T$5:$T$1000,$N58)))</f>
        <v/>
      </c>
    </row>
    <row r="59">
      <c r="A59" s="61">
        <f>IF($N59="","",INDEX('Cronograma R. Normativo'!$A$5:$A$1000,$N59))</f>
        <v/>
      </c>
      <c r="B59" s="70">
        <f>IF($N59="","",IF($O59="Sub","     ↳ "&amp;INDEX('Cronograma R. Normativo'!$C$5:$C$1000,$N59),INDEX('Cronograma R. Normativo'!$B$5:$B$1000,$N59)&amp;""))</f>
        <v/>
      </c>
      <c r="C59" s="70">
        <f>IF($N59="","",INDEX('Cronograma R. Normativo'!$D$5:$D$1000,$N59)&amp;"")</f>
        <v/>
      </c>
      <c r="D59" s="76">
        <f>IF($N59="","",IF(INDEX('Cronograma R. Normativo'!$E$5:$E$1000,$N59)="","",INDEX('Cronograma R. Normativo'!$E$5:$E$1000,$N59)))</f>
        <v/>
      </c>
      <c r="E59" s="76">
        <f>IF($N59="","",IF(INDEX('Cronograma R. Normativo'!$F$5:$F$1000,$N59)="","",INDEX('Cronograma R. Normativo'!$F$5:$F$1000,$N59)))</f>
        <v/>
      </c>
      <c r="F59" s="61">
        <f>IF($N59="","",IF(NOT(ISNUMBER($E59)),"",IF($E59&lt;InicioCiclo,"Antes del ciclo",IF($E59&gt;=InicioCiclo+28,"Después del ciclo","Semana "&amp;(INT(($E59-InicioCiclo)/7)+1)))))</f>
        <v/>
      </c>
      <c r="G59" s="67">
        <f>IF($N59="","",IF($P59&gt;0,IF(1&lt;=SemanaActual,INDEX('Cronograma R. Normativo'!$Y$5:$Y$1000,$N59),""),IF(INDEX('Cronograma R. Normativo'!$H$5:$H$1000,$N59)="","",INDEX('Cronograma R. Normativo'!$H$5:$H$1000,$N59))))</f>
        <v/>
      </c>
      <c r="H59" s="67">
        <f>IF($N59="","",IF($P59&gt;0,IF(2&lt;=SemanaActual,INDEX('Cronograma R. Normativo'!$Z$5:$Z$1000,$N59),""),IF(INDEX('Cronograma R. Normativo'!$I$5:$I$1000,$N59)="","",INDEX('Cronograma R. Normativo'!$I$5:$I$1000,$N59))))</f>
        <v/>
      </c>
      <c r="I59" s="67">
        <f>IF($N59="","",IF($P59&gt;0,IF(3&lt;=SemanaActual,INDEX('Cronograma R. Normativo'!$AA$5:$AA$1000,$N59),""),IF(INDEX('Cronograma R. Normativo'!$J$5:$J$1000,$N59)="","",INDEX('Cronograma R. Normativo'!$J$5:$J$1000,$N59))))</f>
        <v/>
      </c>
      <c r="J59" s="67">
        <f>IF($N59="","",IF($P59&gt;0,IF(4&lt;=SemanaActual,INDEX('Cronograma R. Normativo'!$AB$5:$AB$1000,$N59),""),IF(INDEX('Cronograma R. Normativo'!$K$5:$K$1000,$N59)="","",INDEX('Cronograma R. Normativo'!$K$5:$K$1000,$N59))))</f>
        <v/>
      </c>
      <c r="K59" s="67">
        <f>IF($N59="","",INDEX('Cronograma R. Normativo'!$L$5:$L$1000,$N59))</f>
        <v/>
      </c>
      <c r="L59" s="61">
        <f>IF($N59="","",IF(N($K59)&gt;=1,"Completado",IF(AND(ISNUMBER($E59),$E59&lt;FechaRef),"Vencida",IF(N($K59)&gt;0,"En curso","Pendiente"))))</f>
        <v/>
      </c>
      <c r="M59" s="70">
        <f>IF($N59="","",INDEX('Cronograma R. Normativo'!$N$5:$N$1000,$N59)&amp;"")</f>
        <v/>
      </c>
      <c r="N59">
        <f>IFERROR(MATCH(ROW()-4,rOrden_RN,0),"")</f>
        <v/>
      </c>
      <c r="O59">
        <f>IF($N59="","",INDEX('Cronograma R. Normativo'!$S$5:$S$1000,$N59))</f>
        <v/>
      </c>
      <c r="P59">
        <f>IF($N59="","",N(INDEX('Cronograma R. Normativo'!$T$5:$T$1000,$N59)))</f>
        <v/>
      </c>
    </row>
    <row r="60">
      <c r="A60" s="61">
        <f>IF($N60="","",INDEX('Cronograma R. Normativo'!$A$5:$A$1000,$N60))</f>
        <v/>
      </c>
      <c r="B60" s="70">
        <f>IF($N60="","",IF($O60="Sub","     ↳ "&amp;INDEX('Cronograma R. Normativo'!$C$5:$C$1000,$N60),INDEX('Cronograma R. Normativo'!$B$5:$B$1000,$N60)&amp;""))</f>
        <v/>
      </c>
      <c r="C60" s="70">
        <f>IF($N60="","",INDEX('Cronograma R. Normativo'!$D$5:$D$1000,$N60)&amp;"")</f>
        <v/>
      </c>
      <c r="D60" s="76">
        <f>IF($N60="","",IF(INDEX('Cronograma R. Normativo'!$E$5:$E$1000,$N60)="","",INDEX('Cronograma R. Normativo'!$E$5:$E$1000,$N60)))</f>
        <v/>
      </c>
      <c r="E60" s="76">
        <f>IF($N60="","",IF(INDEX('Cronograma R. Normativo'!$F$5:$F$1000,$N60)="","",INDEX('Cronograma R. Normativo'!$F$5:$F$1000,$N60)))</f>
        <v/>
      </c>
      <c r="F60" s="61">
        <f>IF($N60="","",IF(NOT(ISNUMBER($E60)),"",IF($E60&lt;InicioCiclo,"Antes del ciclo",IF($E60&gt;=InicioCiclo+28,"Después del ciclo","Semana "&amp;(INT(($E60-InicioCiclo)/7)+1)))))</f>
        <v/>
      </c>
      <c r="G60" s="67">
        <f>IF($N60="","",IF($P60&gt;0,IF(1&lt;=SemanaActual,INDEX('Cronograma R. Normativo'!$Y$5:$Y$1000,$N60),""),IF(INDEX('Cronograma R. Normativo'!$H$5:$H$1000,$N60)="","",INDEX('Cronograma R. Normativo'!$H$5:$H$1000,$N60))))</f>
        <v/>
      </c>
      <c r="H60" s="67">
        <f>IF($N60="","",IF($P60&gt;0,IF(2&lt;=SemanaActual,INDEX('Cronograma R. Normativo'!$Z$5:$Z$1000,$N60),""),IF(INDEX('Cronograma R. Normativo'!$I$5:$I$1000,$N60)="","",INDEX('Cronograma R. Normativo'!$I$5:$I$1000,$N60))))</f>
        <v/>
      </c>
      <c r="I60" s="67">
        <f>IF($N60="","",IF($P60&gt;0,IF(3&lt;=SemanaActual,INDEX('Cronograma R. Normativo'!$AA$5:$AA$1000,$N60),""),IF(INDEX('Cronograma R. Normativo'!$J$5:$J$1000,$N60)="","",INDEX('Cronograma R. Normativo'!$J$5:$J$1000,$N60))))</f>
        <v/>
      </c>
      <c r="J60" s="67">
        <f>IF($N60="","",IF($P60&gt;0,IF(4&lt;=SemanaActual,INDEX('Cronograma R. Normativo'!$AB$5:$AB$1000,$N60),""),IF(INDEX('Cronograma R. Normativo'!$K$5:$K$1000,$N60)="","",INDEX('Cronograma R. Normativo'!$K$5:$K$1000,$N60))))</f>
        <v/>
      </c>
      <c r="K60" s="67">
        <f>IF($N60="","",INDEX('Cronograma R. Normativo'!$L$5:$L$1000,$N60))</f>
        <v/>
      </c>
      <c r="L60" s="61">
        <f>IF($N60="","",IF(N($K60)&gt;=1,"Completado",IF(AND(ISNUMBER($E60),$E60&lt;FechaRef),"Vencida",IF(N($K60)&gt;0,"En curso","Pendiente"))))</f>
        <v/>
      </c>
      <c r="M60" s="70">
        <f>IF($N60="","",INDEX('Cronograma R. Normativo'!$N$5:$N$1000,$N60)&amp;"")</f>
        <v/>
      </c>
      <c r="N60">
        <f>IFERROR(MATCH(ROW()-4,rOrden_RN,0),"")</f>
        <v/>
      </c>
      <c r="O60">
        <f>IF($N60="","",INDEX('Cronograma R. Normativo'!$S$5:$S$1000,$N60))</f>
        <v/>
      </c>
      <c r="P60">
        <f>IF($N60="","",N(INDEX('Cronograma R. Normativo'!$T$5:$T$1000,$N60)))</f>
        <v/>
      </c>
    </row>
    <row r="61">
      <c r="A61" s="61">
        <f>IF($N61="","",INDEX('Cronograma R. Normativo'!$A$5:$A$1000,$N61))</f>
        <v/>
      </c>
      <c r="B61" s="70">
        <f>IF($N61="","",IF($O61="Sub","     ↳ "&amp;INDEX('Cronograma R. Normativo'!$C$5:$C$1000,$N61),INDEX('Cronograma R. Normativo'!$B$5:$B$1000,$N61)&amp;""))</f>
        <v/>
      </c>
      <c r="C61" s="70">
        <f>IF($N61="","",INDEX('Cronograma R. Normativo'!$D$5:$D$1000,$N61)&amp;"")</f>
        <v/>
      </c>
      <c r="D61" s="76">
        <f>IF($N61="","",IF(INDEX('Cronograma R. Normativo'!$E$5:$E$1000,$N61)="","",INDEX('Cronograma R. Normativo'!$E$5:$E$1000,$N61)))</f>
        <v/>
      </c>
      <c r="E61" s="76">
        <f>IF($N61="","",IF(INDEX('Cronograma R. Normativo'!$F$5:$F$1000,$N61)="","",INDEX('Cronograma R. Normativo'!$F$5:$F$1000,$N61)))</f>
        <v/>
      </c>
      <c r="F61" s="61">
        <f>IF($N61="","",IF(NOT(ISNUMBER($E61)),"",IF($E61&lt;InicioCiclo,"Antes del ciclo",IF($E61&gt;=InicioCiclo+28,"Después del ciclo","Semana "&amp;(INT(($E61-InicioCiclo)/7)+1)))))</f>
        <v/>
      </c>
      <c r="G61" s="67">
        <f>IF($N61="","",IF($P61&gt;0,IF(1&lt;=SemanaActual,INDEX('Cronograma R. Normativo'!$Y$5:$Y$1000,$N61),""),IF(INDEX('Cronograma R. Normativo'!$H$5:$H$1000,$N61)="","",INDEX('Cronograma R. Normativo'!$H$5:$H$1000,$N61))))</f>
        <v/>
      </c>
      <c r="H61" s="67">
        <f>IF($N61="","",IF($P61&gt;0,IF(2&lt;=SemanaActual,INDEX('Cronograma R. Normativo'!$Z$5:$Z$1000,$N61),""),IF(INDEX('Cronograma R. Normativo'!$I$5:$I$1000,$N61)="","",INDEX('Cronograma R. Normativo'!$I$5:$I$1000,$N61))))</f>
        <v/>
      </c>
      <c r="I61" s="67">
        <f>IF($N61="","",IF($P61&gt;0,IF(3&lt;=SemanaActual,INDEX('Cronograma R. Normativo'!$AA$5:$AA$1000,$N61),""),IF(INDEX('Cronograma R. Normativo'!$J$5:$J$1000,$N61)="","",INDEX('Cronograma R. Normativo'!$J$5:$J$1000,$N61))))</f>
        <v/>
      </c>
      <c r="J61" s="67">
        <f>IF($N61="","",IF($P61&gt;0,IF(4&lt;=SemanaActual,INDEX('Cronograma R. Normativo'!$AB$5:$AB$1000,$N61),""),IF(INDEX('Cronograma R. Normativo'!$K$5:$K$1000,$N61)="","",INDEX('Cronograma R. Normativo'!$K$5:$K$1000,$N61))))</f>
        <v/>
      </c>
      <c r="K61" s="67">
        <f>IF($N61="","",INDEX('Cronograma R. Normativo'!$L$5:$L$1000,$N61))</f>
        <v/>
      </c>
      <c r="L61" s="61">
        <f>IF($N61="","",IF(N($K61)&gt;=1,"Completado",IF(AND(ISNUMBER($E61),$E61&lt;FechaRef),"Vencida",IF(N($K61)&gt;0,"En curso","Pendiente"))))</f>
        <v/>
      </c>
      <c r="M61" s="70">
        <f>IF($N61="","",INDEX('Cronograma R. Normativo'!$N$5:$N$1000,$N61)&amp;"")</f>
        <v/>
      </c>
      <c r="N61">
        <f>IFERROR(MATCH(ROW()-4,rOrden_RN,0),"")</f>
        <v/>
      </c>
      <c r="O61">
        <f>IF($N61="","",INDEX('Cronograma R. Normativo'!$S$5:$S$1000,$N61))</f>
        <v/>
      </c>
      <c r="P61">
        <f>IF($N61="","",N(INDEX('Cronograma R. Normativo'!$T$5:$T$1000,$N61)))</f>
        <v/>
      </c>
    </row>
    <row r="62">
      <c r="A62" s="61">
        <f>IF($N62="","",INDEX('Cronograma R. Normativo'!$A$5:$A$1000,$N62))</f>
        <v/>
      </c>
      <c r="B62" s="70">
        <f>IF($N62="","",IF($O62="Sub","     ↳ "&amp;INDEX('Cronograma R. Normativo'!$C$5:$C$1000,$N62),INDEX('Cronograma R. Normativo'!$B$5:$B$1000,$N62)&amp;""))</f>
        <v/>
      </c>
      <c r="C62" s="70">
        <f>IF($N62="","",INDEX('Cronograma R. Normativo'!$D$5:$D$1000,$N62)&amp;"")</f>
        <v/>
      </c>
      <c r="D62" s="76">
        <f>IF($N62="","",IF(INDEX('Cronograma R. Normativo'!$E$5:$E$1000,$N62)="","",INDEX('Cronograma R. Normativo'!$E$5:$E$1000,$N62)))</f>
        <v/>
      </c>
      <c r="E62" s="76">
        <f>IF($N62="","",IF(INDEX('Cronograma R. Normativo'!$F$5:$F$1000,$N62)="","",INDEX('Cronograma R. Normativo'!$F$5:$F$1000,$N62)))</f>
        <v/>
      </c>
      <c r="F62" s="61">
        <f>IF($N62="","",IF(NOT(ISNUMBER($E62)),"",IF($E62&lt;InicioCiclo,"Antes del ciclo",IF($E62&gt;=InicioCiclo+28,"Después del ciclo","Semana "&amp;(INT(($E62-InicioCiclo)/7)+1)))))</f>
        <v/>
      </c>
      <c r="G62" s="67">
        <f>IF($N62="","",IF($P62&gt;0,IF(1&lt;=SemanaActual,INDEX('Cronograma R. Normativo'!$Y$5:$Y$1000,$N62),""),IF(INDEX('Cronograma R. Normativo'!$H$5:$H$1000,$N62)="","",INDEX('Cronograma R. Normativo'!$H$5:$H$1000,$N62))))</f>
        <v/>
      </c>
      <c r="H62" s="67">
        <f>IF($N62="","",IF($P62&gt;0,IF(2&lt;=SemanaActual,INDEX('Cronograma R. Normativo'!$Z$5:$Z$1000,$N62),""),IF(INDEX('Cronograma R. Normativo'!$I$5:$I$1000,$N62)="","",INDEX('Cronograma R. Normativo'!$I$5:$I$1000,$N62))))</f>
        <v/>
      </c>
      <c r="I62" s="67">
        <f>IF($N62="","",IF($P62&gt;0,IF(3&lt;=SemanaActual,INDEX('Cronograma R. Normativo'!$AA$5:$AA$1000,$N62),""),IF(INDEX('Cronograma R. Normativo'!$J$5:$J$1000,$N62)="","",INDEX('Cronograma R. Normativo'!$J$5:$J$1000,$N62))))</f>
        <v/>
      </c>
      <c r="J62" s="67">
        <f>IF($N62="","",IF($P62&gt;0,IF(4&lt;=SemanaActual,INDEX('Cronograma R. Normativo'!$AB$5:$AB$1000,$N62),""),IF(INDEX('Cronograma R. Normativo'!$K$5:$K$1000,$N62)="","",INDEX('Cronograma R. Normativo'!$K$5:$K$1000,$N62))))</f>
        <v/>
      </c>
      <c r="K62" s="67">
        <f>IF($N62="","",INDEX('Cronograma R. Normativo'!$L$5:$L$1000,$N62))</f>
        <v/>
      </c>
      <c r="L62" s="61">
        <f>IF($N62="","",IF(N($K62)&gt;=1,"Completado",IF(AND(ISNUMBER($E62),$E62&lt;FechaRef),"Vencida",IF(N($K62)&gt;0,"En curso","Pendiente"))))</f>
        <v/>
      </c>
      <c r="M62" s="70">
        <f>IF($N62="","",INDEX('Cronograma R. Normativo'!$N$5:$N$1000,$N62)&amp;"")</f>
        <v/>
      </c>
      <c r="N62">
        <f>IFERROR(MATCH(ROW()-4,rOrden_RN,0),"")</f>
        <v/>
      </c>
      <c r="O62">
        <f>IF($N62="","",INDEX('Cronograma R. Normativo'!$S$5:$S$1000,$N62))</f>
        <v/>
      </c>
      <c r="P62">
        <f>IF($N62="","",N(INDEX('Cronograma R. Normativo'!$T$5:$T$1000,$N62)))</f>
        <v/>
      </c>
    </row>
    <row r="63">
      <c r="A63" s="61">
        <f>IF($N63="","",INDEX('Cronograma R. Normativo'!$A$5:$A$1000,$N63))</f>
        <v/>
      </c>
      <c r="B63" s="70">
        <f>IF($N63="","",IF($O63="Sub","     ↳ "&amp;INDEX('Cronograma R. Normativo'!$C$5:$C$1000,$N63),INDEX('Cronograma R. Normativo'!$B$5:$B$1000,$N63)&amp;""))</f>
        <v/>
      </c>
      <c r="C63" s="70">
        <f>IF($N63="","",INDEX('Cronograma R. Normativo'!$D$5:$D$1000,$N63)&amp;"")</f>
        <v/>
      </c>
      <c r="D63" s="76">
        <f>IF($N63="","",IF(INDEX('Cronograma R. Normativo'!$E$5:$E$1000,$N63)="","",INDEX('Cronograma R. Normativo'!$E$5:$E$1000,$N63)))</f>
        <v/>
      </c>
      <c r="E63" s="76">
        <f>IF($N63="","",IF(INDEX('Cronograma R. Normativo'!$F$5:$F$1000,$N63)="","",INDEX('Cronograma R. Normativo'!$F$5:$F$1000,$N63)))</f>
        <v/>
      </c>
      <c r="F63" s="61">
        <f>IF($N63="","",IF(NOT(ISNUMBER($E63)),"",IF($E63&lt;InicioCiclo,"Antes del ciclo",IF($E63&gt;=InicioCiclo+28,"Después del ciclo","Semana "&amp;(INT(($E63-InicioCiclo)/7)+1)))))</f>
        <v/>
      </c>
      <c r="G63" s="67">
        <f>IF($N63="","",IF($P63&gt;0,IF(1&lt;=SemanaActual,INDEX('Cronograma R. Normativo'!$Y$5:$Y$1000,$N63),""),IF(INDEX('Cronograma R. Normativo'!$H$5:$H$1000,$N63)="","",INDEX('Cronograma R. Normativo'!$H$5:$H$1000,$N63))))</f>
        <v/>
      </c>
      <c r="H63" s="67">
        <f>IF($N63="","",IF($P63&gt;0,IF(2&lt;=SemanaActual,INDEX('Cronograma R. Normativo'!$Z$5:$Z$1000,$N63),""),IF(INDEX('Cronograma R. Normativo'!$I$5:$I$1000,$N63)="","",INDEX('Cronograma R. Normativo'!$I$5:$I$1000,$N63))))</f>
        <v/>
      </c>
      <c r="I63" s="67">
        <f>IF($N63="","",IF($P63&gt;0,IF(3&lt;=SemanaActual,INDEX('Cronograma R. Normativo'!$AA$5:$AA$1000,$N63),""),IF(INDEX('Cronograma R. Normativo'!$J$5:$J$1000,$N63)="","",INDEX('Cronograma R. Normativo'!$J$5:$J$1000,$N63))))</f>
        <v/>
      </c>
      <c r="J63" s="67">
        <f>IF($N63="","",IF($P63&gt;0,IF(4&lt;=SemanaActual,INDEX('Cronograma R. Normativo'!$AB$5:$AB$1000,$N63),""),IF(INDEX('Cronograma R. Normativo'!$K$5:$K$1000,$N63)="","",INDEX('Cronograma R. Normativo'!$K$5:$K$1000,$N63))))</f>
        <v/>
      </c>
      <c r="K63" s="67">
        <f>IF($N63="","",INDEX('Cronograma R. Normativo'!$L$5:$L$1000,$N63))</f>
        <v/>
      </c>
      <c r="L63" s="61">
        <f>IF($N63="","",IF(N($K63)&gt;=1,"Completado",IF(AND(ISNUMBER($E63),$E63&lt;FechaRef),"Vencida",IF(N($K63)&gt;0,"En curso","Pendiente"))))</f>
        <v/>
      </c>
      <c r="M63" s="70">
        <f>IF($N63="","",INDEX('Cronograma R. Normativo'!$N$5:$N$1000,$N63)&amp;"")</f>
        <v/>
      </c>
      <c r="N63">
        <f>IFERROR(MATCH(ROW()-4,rOrden_RN,0),"")</f>
        <v/>
      </c>
      <c r="O63">
        <f>IF($N63="","",INDEX('Cronograma R. Normativo'!$S$5:$S$1000,$N63))</f>
        <v/>
      </c>
      <c r="P63">
        <f>IF($N63="","",N(INDEX('Cronograma R. Normativo'!$T$5:$T$1000,$N63)))</f>
        <v/>
      </c>
    </row>
    <row r="64">
      <c r="A64" s="61">
        <f>IF($N64="","",INDEX('Cronograma R. Normativo'!$A$5:$A$1000,$N64))</f>
        <v/>
      </c>
      <c r="B64" s="70">
        <f>IF($N64="","",IF($O64="Sub","     ↳ "&amp;INDEX('Cronograma R. Normativo'!$C$5:$C$1000,$N64),INDEX('Cronograma R. Normativo'!$B$5:$B$1000,$N64)&amp;""))</f>
        <v/>
      </c>
      <c r="C64" s="70">
        <f>IF($N64="","",INDEX('Cronograma R. Normativo'!$D$5:$D$1000,$N64)&amp;"")</f>
        <v/>
      </c>
      <c r="D64" s="76">
        <f>IF($N64="","",IF(INDEX('Cronograma R. Normativo'!$E$5:$E$1000,$N64)="","",INDEX('Cronograma R. Normativo'!$E$5:$E$1000,$N64)))</f>
        <v/>
      </c>
      <c r="E64" s="76">
        <f>IF($N64="","",IF(INDEX('Cronograma R. Normativo'!$F$5:$F$1000,$N64)="","",INDEX('Cronograma R. Normativo'!$F$5:$F$1000,$N64)))</f>
        <v/>
      </c>
      <c r="F64" s="61">
        <f>IF($N64="","",IF(NOT(ISNUMBER($E64)),"",IF($E64&lt;InicioCiclo,"Antes del ciclo",IF($E64&gt;=InicioCiclo+28,"Después del ciclo","Semana "&amp;(INT(($E64-InicioCiclo)/7)+1)))))</f>
        <v/>
      </c>
      <c r="G64" s="67">
        <f>IF($N64="","",IF($P64&gt;0,IF(1&lt;=SemanaActual,INDEX('Cronograma R. Normativo'!$Y$5:$Y$1000,$N64),""),IF(INDEX('Cronograma R. Normativo'!$H$5:$H$1000,$N64)="","",INDEX('Cronograma R. Normativo'!$H$5:$H$1000,$N64))))</f>
        <v/>
      </c>
      <c r="H64" s="67">
        <f>IF($N64="","",IF($P64&gt;0,IF(2&lt;=SemanaActual,INDEX('Cronograma R. Normativo'!$Z$5:$Z$1000,$N64),""),IF(INDEX('Cronograma R. Normativo'!$I$5:$I$1000,$N64)="","",INDEX('Cronograma R. Normativo'!$I$5:$I$1000,$N64))))</f>
        <v/>
      </c>
      <c r="I64" s="67">
        <f>IF($N64="","",IF($P64&gt;0,IF(3&lt;=SemanaActual,INDEX('Cronograma R. Normativo'!$AA$5:$AA$1000,$N64),""),IF(INDEX('Cronograma R. Normativo'!$J$5:$J$1000,$N64)="","",INDEX('Cronograma R. Normativo'!$J$5:$J$1000,$N64))))</f>
        <v/>
      </c>
      <c r="J64" s="67">
        <f>IF($N64="","",IF($P64&gt;0,IF(4&lt;=SemanaActual,INDEX('Cronograma R. Normativo'!$AB$5:$AB$1000,$N64),""),IF(INDEX('Cronograma R. Normativo'!$K$5:$K$1000,$N64)="","",INDEX('Cronograma R. Normativo'!$K$5:$K$1000,$N64))))</f>
        <v/>
      </c>
      <c r="K64" s="67">
        <f>IF($N64="","",INDEX('Cronograma R. Normativo'!$L$5:$L$1000,$N64))</f>
        <v/>
      </c>
      <c r="L64" s="61">
        <f>IF($N64="","",IF(N($K64)&gt;=1,"Completado",IF(AND(ISNUMBER($E64),$E64&lt;FechaRef),"Vencida",IF(N($K64)&gt;0,"En curso","Pendiente"))))</f>
        <v/>
      </c>
      <c r="M64" s="70">
        <f>IF($N64="","",INDEX('Cronograma R. Normativo'!$N$5:$N$1000,$N64)&amp;"")</f>
        <v/>
      </c>
      <c r="N64">
        <f>IFERROR(MATCH(ROW()-4,rOrden_RN,0),"")</f>
        <v/>
      </c>
      <c r="O64">
        <f>IF($N64="","",INDEX('Cronograma R. Normativo'!$S$5:$S$1000,$N64))</f>
        <v/>
      </c>
      <c r="P64">
        <f>IF($N64="","",N(INDEX('Cronograma R. Normativo'!$T$5:$T$1000,$N64)))</f>
        <v/>
      </c>
    </row>
    <row r="65">
      <c r="A65" s="61">
        <f>IF($N65="","",INDEX('Cronograma R. Normativo'!$A$5:$A$1000,$N65))</f>
        <v/>
      </c>
      <c r="B65" s="70">
        <f>IF($N65="","",IF($O65="Sub","     ↳ "&amp;INDEX('Cronograma R. Normativo'!$C$5:$C$1000,$N65),INDEX('Cronograma R. Normativo'!$B$5:$B$1000,$N65)&amp;""))</f>
        <v/>
      </c>
      <c r="C65" s="70">
        <f>IF($N65="","",INDEX('Cronograma R. Normativo'!$D$5:$D$1000,$N65)&amp;"")</f>
        <v/>
      </c>
      <c r="D65" s="76">
        <f>IF($N65="","",IF(INDEX('Cronograma R. Normativo'!$E$5:$E$1000,$N65)="","",INDEX('Cronograma R. Normativo'!$E$5:$E$1000,$N65)))</f>
        <v/>
      </c>
      <c r="E65" s="76">
        <f>IF($N65="","",IF(INDEX('Cronograma R. Normativo'!$F$5:$F$1000,$N65)="","",INDEX('Cronograma R. Normativo'!$F$5:$F$1000,$N65)))</f>
        <v/>
      </c>
      <c r="F65" s="61">
        <f>IF($N65="","",IF(NOT(ISNUMBER($E65)),"",IF($E65&lt;InicioCiclo,"Antes del ciclo",IF($E65&gt;=InicioCiclo+28,"Después del ciclo","Semana "&amp;(INT(($E65-InicioCiclo)/7)+1)))))</f>
        <v/>
      </c>
      <c r="G65" s="67">
        <f>IF($N65="","",IF($P65&gt;0,IF(1&lt;=SemanaActual,INDEX('Cronograma R. Normativo'!$Y$5:$Y$1000,$N65),""),IF(INDEX('Cronograma R. Normativo'!$H$5:$H$1000,$N65)="","",INDEX('Cronograma R. Normativo'!$H$5:$H$1000,$N65))))</f>
        <v/>
      </c>
      <c r="H65" s="67">
        <f>IF($N65="","",IF($P65&gt;0,IF(2&lt;=SemanaActual,INDEX('Cronograma R. Normativo'!$Z$5:$Z$1000,$N65),""),IF(INDEX('Cronograma R. Normativo'!$I$5:$I$1000,$N65)="","",INDEX('Cronograma R. Normativo'!$I$5:$I$1000,$N65))))</f>
        <v/>
      </c>
      <c r="I65" s="67">
        <f>IF($N65="","",IF($P65&gt;0,IF(3&lt;=SemanaActual,INDEX('Cronograma R. Normativo'!$AA$5:$AA$1000,$N65),""),IF(INDEX('Cronograma R. Normativo'!$J$5:$J$1000,$N65)="","",INDEX('Cronograma R. Normativo'!$J$5:$J$1000,$N65))))</f>
        <v/>
      </c>
      <c r="J65" s="67">
        <f>IF($N65="","",IF($P65&gt;0,IF(4&lt;=SemanaActual,INDEX('Cronograma R. Normativo'!$AB$5:$AB$1000,$N65),""),IF(INDEX('Cronograma R. Normativo'!$K$5:$K$1000,$N65)="","",INDEX('Cronograma R. Normativo'!$K$5:$K$1000,$N65))))</f>
        <v/>
      </c>
      <c r="K65" s="67">
        <f>IF($N65="","",INDEX('Cronograma R. Normativo'!$L$5:$L$1000,$N65))</f>
        <v/>
      </c>
      <c r="L65" s="61">
        <f>IF($N65="","",IF(N($K65)&gt;=1,"Completado",IF(AND(ISNUMBER($E65),$E65&lt;FechaRef),"Vencida",IF(N($K65)&gt;0,"En curso","Pendiente"))))</f>
        <v/>
      </c>
      <c r="M65" s="70">
        <f>IF($N65="","",INDEX('Cronograma R. Normativo'!$N$5:$N$1000,$N65)&amp;"")</f>
        <v/>
      </c>
      <c r="N65">
        <f>IFERROR(MATCH(ROW()-4,rOrden_RN,0),"")</f>
        <v/>
      </c>
      <c r="O65">
        <f>IF($N65="","",INDEX('Cronograma R. Normativo'!$S$5:$S$1000,$N65))</f>
        <v/>
      </c>
      <c r="P65">
        <f>IF($N65="","",N(INDEX('Cronograma R. Normativo'!$T$5:$T$1000,$N65)))</f>
        <v/>
      </c>
    </row>
    <row r="66">
      <c r="A66" s="61">
        <f>IF($N66="","",INDEX('Cronograma R. Normativo'!$A$5:$A$1000,$N66))</f>
        <v/>
      </c>
      <c r="B66" s="70">
        <f>IF($N66="","",IF($O66="Sub","     ↳ "&amp;INDEX('Cronograma R. Normativo'!$C$5:$C$1000,$N66),INDEX('Cronograma R. Normativo'!$B$5:$B$1000,$N66)&amp;""))</f>
        <v/>
      </c>
      <c r="C66" s="70">
        <f>IF($N66="","",INDEX('Cronograma R. Normativo'!$D$5:$D$1000,$N66)&amp;"")</f>
        <v/>
      </c>
      <c r="D66" s="76">
        <f>IF($N66="","",IF(INDEX('Cronograma R. Normativo'!$E$5:$E$1000,$N66)="","",INDEX('Cronograma R. Normativo'!$E$5:$E$1000,$N66)))</f>
        <v/>
      </c>
      <c r="E66" s="76">
        <f>IF($N66="","",IF(INDEX('Cronograma R. Normativo'!$F$5:$F$1000,$N66)="","",INDEX('Cronograma R. Normativo'!$F$5:$F$1000,$N66)))</f>
        <v/>
      </c>
      <c r="F66" s="61">
        <f>IF($N66="","",IF(NOT(ISNUMBER($E66)),"",IF($E66&lt;InicioCiclo,"Antes del ciclo",IF($E66&gt;=InicioCiclo+28,"Después del ciclo","Semana "&amp;(INT(($E66-InicioCiclo)/7)+1)))))</f>
        <v/>
      </c>
      <c r="G66" s="67">
        <f>IF($N66="","",IF($P66&gt;0,IF(1&lt;=SemanaActual,INDEX('Cronograma R. Normativo'!$Y$5:$Y$1000,$N66),""),IF(INDEX('Cronograma R. Normativo'!$H$5:$H$1000,$N66)="","",INDEX('Cronograma R. Normativo'!$H$5:$H$1000,$N66))))</f>
        <v/>
      </c>
      <c r="H66" s="67">
        <f>IF($N66="","",IF($P66&gt;0,IF(2&lt;=SemanaActual,INDEX('Cronograma R. Normativo'!$Z$5:$Z$1000,$N66),""),IF(INDEX('Cronograma R. Normativo'!$I$5:$I$1000,$N66)="","",INDEX('Cronograma R. Normativo'!$I$5:$I$1000,$N66))))</f>
        <v/>
      </c>
      <c r="I66" s="67">
        <f>IF($N66="","",IF($P66&gt;0,IF(3&lt;=SemanaActual,INDEX('Cronograma R. Normativo'!$AA$5:$AA$1000,$N66),""),IF(INDEX('Cronograma R. Normativo'!$J$5:$J$1000,$N66)="","",INDEX('Cronograma R. Normativo'!$J$5:$J$1000,$N66))))</f>
        <v/>
      </c>
      <c r="J66" s="67">
        <f>IF($N66="","",IF($P66&gt;0,IF(4&lt;=SemanaActual,INDEX('Cronograma R. Normativo'!$AB$5:$AB$1000,$N66),""),IF(INDEX('Cronograma R. Normativo'!$K$5:$K$1000,$N66)="","",INDEX('Cronograma R. Normativo'!$K$5:$K$1000,$N66))))</f>
        <v/>
      </c>
      <c r="K66" s="67">
        <f>IF($N66="","",INDEX('Cronograma R. Normativo'!$L$5:$L$1000,$N66))</f>
        <v/>
      </c>
      <c r="L66" s="61">
        <f>IF($N66="","",IF(N($K66)&gt;=1,"Completado",IF(AND(ISNUMBER($E66),$E66&lt;FechaRef),"Vencida",IF(N($K66)&gt;0,"En curso","Pendiente"))))</f>
        <v/>
      </c>
      <c r="M66" s="70">
        <f>IF($N66="","",INDEX('Cronograma R. Normativo'!$N$5:$N$1000,$N66)&amp;"")</f>
        <v/>
      </c>
      <c r="N66">
        <f>IFERROR(MATCH(ROW()-4,rOrden_RN,0),"")</f>
        <v/>
      </c>
      <c r="O66">
        <f>IF($N66="","",INDEX('Cronograma R. Normativo'!$S$5:$S$1000,$N66))</f>
        <v/>
      </c>
      <c r="P66">
        <f>IF($N66="","",N(INDEX('Cronograma R. Normativo'!$T$5:$T$1000,$N66)))</f>
        <v/>
      </c>
    </row>
    <row r="67">
      <c r="A67" s="61">
        <f>IF($N67="","",INDEX('Cronograma R. Normativo'!$A$5:$A$1000,$N67))</f>
        <v/>
      </c>
      <c r="B67" s="70">
        <f>IF($N67="","",IF($O67="Sub","     ↳ "&amp;INDEX('Cronograma R. Normativo'!$C$5:$C$1000,$N67),INDEX('Cronograma R. Normativo'!$B$5:$B$1000,$N67)&amp;""))</f>
        <v/>
      </c>
      <c r="C67" s="70">
        <f>IF($N67="","",INDEX('Cronograma R. Normativo'!$D$5:$D$1000,$N67)&amp;"")</f>
        <v/>
      </c>
      <c r="D67" s="76">
        <f>IF($N67="","",IF(INDEX('Cronograma R. Normativo'!$E$5:$E$1000,$N67)="","",INDEX('Cronograma R. Normativo'!$E$5:$E$1000,$N67)))</f>
        <v/>
      </c>
      <c r="E67" s="76">
        <f>IF($N67="","",IF(INDEX('Cronograma R. Normativo'!$F$5:$F$1000,$N67)="","",INDEX('Cronograma R. Normativo'!$F$5:$F$1000,$N67)))</f>
        <v/>
      </c>
      <c r="F67" s="61">
        <f>IF($N67="","",IF(NOT(ISNUMBER($E67)),"",IF($E67&lt;InicioCiclo,"Antes del ciclo",IF($E67&gt;=InicioCiclo+28,"Después del ciclo","Semana "&amp;(INT(($E67-InicioCiclo)/7)+1)))))</f>
        <v/>
      </c>
      <c r="G67" s="67">
        <f>IF($N67="","",IF($P67&gt;0,IF(1&lt;=SemanaActual,INDEX('Cronograma R. Normativo'!$Y$5:$Y$1000,$N67),""),IF(INDEX('Cronograma R. Normativo'!$H$5:$H$1000,$N67)="","",INDEX('Cronograma R. Normativo'!$H$5:$H$1000,$N67))))</f>
        <v/>
      </c>
      <c r="H67" s="67">
        <f>IF($N67="","",IF($P67&gt;0,IF(2&lt;=SemanaActual,INDEX('Cronograma R. Normativo'!$Z$5:$Z$1000,$N67),""),IF(INDEX('Cronograma R. Normativo'!$I$5:$I$1000,$N67)="","",INDEX('Cronograma R. Normativo'!$I$5:$I$1000,$N67))))</f>
        <v/>
      </c>
      <c r="I67" s="67">
        <f>IF($N67="","",IF($P67&gt;0,IF(3&lt;=SemanaActual,INDEX('Cronograma R. Normativo'!$AA$5:$AA$1000,$N67),""),IF(INDEX('Cronograma R. Normativo'!$J$5:$J$1000,$N67)="","",INDEX('Cronograma R. Normativo'!$J$5:$J$1000,$N67))))</f>
        <v/>
      </c>
      <c r="J67" s="67">
        <f>IF($N67="","",IF($P67&gt;0,IF(4&lt;=SemanaActual,INDEX('Cronograma R. Normativo'!$AB$5:$AB$1000,$N67),""),IF(INDEX('Cronograma R. Normativo'!$K$5:$K$1000,$N67)="","",INDEX('Cronograma R. Normativo'!$K$5:$K$1000,$N67))))</f>
        <v/>
      </c>
      <c r="K67" s="67">
        <f>IF($N67="","",INDEX('Cronograma R. Normativo'!$L$5:$L$1000,$N67))</f>
        <v/>
      </c>
      <c r="L67" s="61">
        <f>IF($N67="","",IF(N($K67)&gt;=1,"Completado",IF(AND(ISNUMBER($E67),$E67&lt;FechaRef),"Vencida",IF(N($K67)&gt;0,"En curso","Pendiente"))))</f>
        <v/>
      </c>
      <c r="M67" s="70">
        <f>IF($N67="","",INDEX('Cronograma R. Normativo'!$N$5:$N$1000,$N67)&amp;"")</f>
        <v/>
      </c>
      <c r="N67">
        <f>IFERROR(MATCH(ROW()-4,rOrden_RN,0),"")</f>
        <v/>
      </c>
      <c r="O67">
        <f>IF($N67="","",INDEX('Cronograma R. Normativo'!$S$5:$S$1000,$N67))</f>
        <v/>
      </c>
      <c r="P67">
        <f>IF($N67="","",N(INDEX('Cronograma R. Normativo'!$T$5:$T$1000,$N67)))</f>
        <v/>
      </c>
    </row>
    <row r="68">
      <c r="A68" s="61">
        <f>IF($N68="","",INDEX('Cronograma R. Normativo'!$A$5:$A$1000,$N68))</f>
        <v/>
      </c>
      <c r="B68" s="70">
        <f>IF($N68="","",IF($O68="Sub","     ↳ "&amp;INDEX('Cronograma R. Normativo'!$C$5:$C$1000,$N68),INDEX('Cronograma R. Normativo'!$B$5:$B$1000,$N68)&amp;""))</f>
        <v/>
      </c>
      <c r="C68" s="70">
        <f>IF($N68="","",INDEX('Cronograma R. Normativo'!$D$5:$D$1000,$N68)&amp;"")</f>
        <v/>
      </c>
      <c r="D68" s="76">
        <f>IF($N68="","",IF(INDEX('Cronograma R. Normativo'!$E$5:$E$1000,$N68)="","",INDEX('Cronograma R. Normativo'!$E$5:$E$1000,$N68)))</f>
        <v/>
      </c>
      <c r="E68" s="76">
        <f>IF($N68="","",IF(INDEX('Cronograma R. Normativo'!$F$5:$F$1000,$N68)="","",INDEX('Cronograma R. Normativo'!$F$5:$F$1000,$N68)))</f>
        <v/>
      </c>
      <c r="F68" s="61">
        <f>IF($N68="","",IF(NOT(ISNUMBER($E68)),"",IF($E68&lt;InicioCiclo,"Antes del ciclo",IF($E68&gt;=InicioCiclo+28,"Después del ciclo","Semana "&amp;(INT(($E68-InicioCiclo)/7)+1)))))</f>
        <v/>
      </c>
      <c r="G68" s="67">
        <f>IF($N68="","",IF($P68&gt;0,IF(1&lt;=SemanaActual,INDEX('Cronograma R. Normativo'!$Y$5:$Y$1000,$N68),""),IF(INDEX('Cronograma R. Normativo'!$H$5:$H$1000,$N68)="","",INDEX('Cronograma R. Normativo'!$H$5:$H$1000,$N68))))</f>
        <v/>
      </c>
      <c r="H68" s="67">
        <f>IF($N68="","",IF($P68&gt;0,IF(2&lt;=SemanaActual,INDEX('Cronograma R. Normativo'!$Z$5:$Z$1000,$N68),""),IF(INDEX('Cronograma R. Normativo'!$I$5:$I$1000,$N68)="","",INDEX('Cronograma R. Normativo'!$I$5:$I$1000,$N68))))</f>
        <v/>
      </c>
      <c r="I68" s="67">
        <f>IF($N68="","",IF($P68&gt;0,IF(3&lt;=SemanaActual,INDEX('Cronograma R. Normativo'!$AA$5:$AA$1000,$N68),""),IF(INDEX('Cronograma R. Normativo'!$J$5:$J$1000,$N68)="","",INDEX('Cronograma R. Normativo'!$J$5:$J$1000,$N68))))</f>
        <v/>
      </c>
      <c r="J68" s="67">
        <f>IF($N68="","",IF($P68&gt;0,IF(4&lt;=SemanaActual,INDEX('Cronograma R. Normativo'!$AB$5:$AB$1000,$N68),""),IF(INDEX('Cronograma R. Normativo'!$K$5:$K$1000,$N68)="","",INDEX('Cronograma R. Normativo'!$K$5:$K$1000,$N68))))</f>
        <v/>
      </c>
      <c r="K68" s="67">
        <f>IF($N68="","",INDEX('Cronograma R. Normativo'!$L$5:$L$1000,$N68))</f>
        <v/>
      </c>
      <c r="L68" s="61">
        <f>IF($N68="","",IF(N($K68)&gt;=1,"Completado",IF(AND(ISNUMBER($E68),$E68&lt;FechaRef),"Vencida",IF(N($K68)&gt;0,"En curso","Pendiente"))))</f>
        <v/>
      </c>
      <c r="M68" s="70">
        <f>IF($N68="","",INDEX('Cronograma R. Normativo'!$N$5:$N$1000,$N68)&amp;"")</f>
        <v/>
      </c>
      <c r="N68">
        <f>IFERROR(MATCH(ROW()-4,rOrden_RN,0),"")</f>
        <v/>
      </c>
      <c r="O68">
        <f>IF($N68="","",INDEX('Cronograma R. Normativo'!$S$5:$S$1000,$N68))</f>
        <v/>
      </c>
      <c r="P68">
        <f>IF($N68="","",N(INDEX('Cronograma R. Normativo'!$T$5:$T$1000,$N68)))</f>
        <v/>
      </c>
    </row>
    <row r="69">
      <c r="A69" s="61">
        <f>IF($N69="","",INDEX('Cronograma R. Normativo'!$A$5:$A$1000,$N69))</f>
        <v/>
      </c>
      <c r="B69" s="70">
        <f>IF($N69="","",IF($O69="Sub","     ↳ "&amp;INDEX('Cronograma R. Normativo'!$C$5:$C$1000,$N69),INDEX('Cronograma R. Normativo'!$B$5:$B$1000,$N69)&amp;""))</f>
        <v/>
      </c>
      <c r="C69" s="70">
        <f>IF($N69="","",INDEX('Cronograma R. Normativo'!$D$5:$D$1000,$N69)&amp;"")</f>
        <v/>
      </c>
      <c r="D69" s="76">
        <f>IF($N69="","",IF(INDEX('Cronograma R. Normativo'!$E$5:$E$1000,$N69)="","",INDEX('Cronograma R. Normativo'!$E$5:$E$1000,$N69)))</f>
        <v/>
      </c>
      <c r="E69" s="76">
        <f>IF($N69="","",IF(INDEX('Cronograma R. Normativo'!$F$5:$F$1000,$N69)="","",INDEX('Cronograma R. Normativo'!$F$5:$F$1000,$N69)))</f>
        <v/>
      </c>
      <c r="F69" s="61">
        <f>IF($N69="","",IF(NOT(ISNUMBER($E69)),"",IF($E69&lt;InicioCiclo,"Antes del ciclo",IF($E69&gt;=InicioCiclo+28,"Después del ciclo","Semana "&amp;(INT(($E69-InicioCiclo)/7)+1)))))</f>
        <v/>
      </c>
      <c r="G69" s="67">
        <f>IF($N69="","",IF($P69&gt;0,IF(1&lt;=SemanaActual,INDEX('Cronograma R. Normativo'!$Y$5:$Y$1000,$N69),""),IF(INDEX('Cronograma R. Normativo'!$H$5:$H$1000,$N69)="","",INDEX('Cronograma R. Normativo'!$H$5:$H$1000,$N69))))</f>
        <v/>
      </c>
      <c r="H69" s="67">
        <f>IF($N69="","",IF($P69&gt;0,IF(2&lt;=SemanaActual,INDEX('Cronograma R. Normativo'!$Z$5:$Z$1000,$N69),""),IF(INDEX('Cronograma R. Normativo'!$I$5:$I$1000,$N69)="","",INDEX('Cronograma R. Normativo'!$I$5:$I$1000,$N69))))</f>
        <v/>
      </c>
      <c r="I69" s="67">
        <f>IF($N69="","",IF($P69&gt;0,IF(3&lt;=SemanaActual,INDEX('Cronograma R. Normativo'!$AA$5:$AA$1000,$N69),""),IF(INDEX('Cronograma R. Normativo'!$J$5:$J$1000,$N69)="","",INDEX('Cronograma R. Normativo'!$J$5:$J$1000,$N69))))</f>
        <v/>
      </c>
      <c r="J69" s="67">
        <f>IF($N69="","",IF($P69&gt;0,IF(4&lt;=SemanaActual,INDEX('Cronograma R. Normativo'!$AB$5:$AB$1000,$N69),""),IF(INDEX('Cronograma R. Normativo'!$K$5:$K$1000,$N69)="","",INDEX('Cronograma R. Normativo'!$K$5:$K$1000,$N69))))</f>
        <v/>
      </c>
      <c r="K69" s="67">
        <f>IF($N69="","",INDEX('Cronograma R. Normativo'!$L$5:$L$1000,$N69))</f>
        <v/>
      </c>
      <c r="L69" s="61">
        <f>IF($N69="","",IF(N($K69)&gt;=1,"Completado",IF(AND(ISNUMBER($E69),$E69&lt;FechaRef),"Vencida",IF(N($K69)&gt;0,"En curso","Pendiente"))))</f>
        <v/>
      </c>
      <c r="M69" s="70">
        <f>IF($N69="","",INDEX('Cronograma R. Normativo'!$N$5:$N$1000,$N69)&amp;"")</f>
        <v/>
      </c>
      <c r="N69">
        <f>IFERROR(MATCH(ROW()-4,rOrden_RN,0),"")</f>
        <v/>
      </c>
      <c r="O69">
        <f>IF($N69="","",INDEX('Cronograma R. Normativo'!$S$5:$S$1000,$N69))</f>
        <v/>
      </c>
      <c r="P69">
        <f>IF($N69="","",N(INDEX('Cronograma R. Normativo'!$T$5:$T$1000,$N69)))</f>
        <v/>
      </c>
    </row>
    <row r="70">
      <c r="A70" s="61">
        <f>IF($N70="","",INDEX('Cronograma R. Normativo'!$A$5:$A$1000,$N70))</f>
        <v/>
      </c>
      <c r="B70" s="70">
        <f>IF($N70="","",IF($O70="Sub","     ↳ "&amp;INDEX('Cronograma R. Normativo'!$C$5:$C$1000,$N70),INDEX('Cronograma R. Normativo'!$B$5:$B$1000,$N70)&amp;""))</f>
        <v/>
      </c>
      <c r="C70" s="70">
        <f>IF($N70="","",INDEX('Cronograma R. Normativo'!$D$5:$D$1000,$N70)&amp;"")</f>
        <v/>
      </c>
      <c r="D70" s="76">
        <f>IF($N70="","",IF(INDEX('Cronograma R. Normativo'!$E$5:$E$1000,$N70)="","",INDEX('Cronograma R. Normativo'!$E$5:$E$1000,$N70)))</f>
        <v/>
      </c>
      <c r="E70" s="76">
        <f>IF($N70="","",IF(INDEX('Cronograma R. Normativo'!$F$5:$F$1000,$N70)="","",INDEX('Cronograma R. Normativo'!$F$5:$F$1000,$N70)))</f>
        <v/>
      </c>
      <c r="F70" s="61">
        <f>IF($N70="","",IF(NOT(ISNUMBER($E70)),"",IF($E70&lt;InicioCiclo,"Antes del ciclo",IF($E70&gt;=InicioCiclo+28,"Después del ciclo","Semana "&amp;(INT(($E70-InicioCiclo)/7)+1)))))</f>
        <v/>
      </c>
      <c r="G70" s="67">
        <f>IF($N70="","",IF($P70&gt;0,IF(1&lt;=SemanaActual,INDEX('Cronograma R. Normativo'!$Y$5:$Y$1000,$N70),""),IF(INDEX('Cronograma R. Normativo'!$H$5:$H$1000,$N70)="","",INDEX('Cronograma R. Normativo'!$H$5:$H$1000,$N70))))</f>
        <v/>
      </c>
      <c r="H70" s="67">
        <f>IF($N70="","",IF($P70&gt;0,IF(2&lt;=SemanaActual,INDEX('Cronograma R. Normativo'!$Z$5:$Z$1000,$N70),""),IF(INDEX('Cronograma R. Normativo'!$I$5:$I$1000,$N70)="","",INDEX('Cronograma R. Normativo'!$I$5:$I$1000,$N70))))</f>
        <v/>
      </c>
      <c r="I70" s="67">
        <f>IF($N70="","",IF($P70&gt;0,IF(3&lt;=SemanaActual,INDEX('Cronograma R. Normativo'!$AA$5:$AA$1000,$N70),""),IF(INDEX('Cronograma R. Normativo'!$J$5:$J$1000,$N70)="","",INDEX('Cronograma R. Normativo'!$J$5:$J$1000,$N70))))</f>
        <v/>
      </c>
      <c r="J70" s="67">
        <f>IF($N70="","",IF($P70&gt;0,IF(4&lt;=SemanaActual,INDEX('Cronograma R. Normativo'!$AB$5:$AB$1000,$N70),""),IF(INDEX('Cronograma R. Normativo'!$K$5:$K$1000,$N70)="","",INDEX('Cronograma R. Normativo'!$K$5:$K$1000,$N70))))</f>
        <v/>
      </c>
      <c r="K70" s="67">
        <f>IF($N70="","",INDEX('Cronograma R. Normativo'!$L$5:$L$1000,$N70))</f>
        <v/>
      </c>
      <c r="L70" s="61">
        <f>IF($N70="","",IF(N($K70)&gt;=1,"Completado",IF(AND(ISNUMBER($E70),$E70&lt;FechaRef),"Vencida",IF(N($K70)&gt;0,"En curso","Pendiente"))))</f>
        <v/>
      </c>
      <c r="M70" s="70">
        <f>IF($N70="","",INDEX('Cronograma R. Normativo'!$N$5:$N$1000,$N70)&amp;"")</f>
        <v/>
      </c>
      <c r="N70">
        <f>IFERROR(MATCH(ROW()-4,rOrden_RN,0),"")</f>
        <v/>
      </c>
      <c r="O70">
        <f>IF($N70="","",INDEX('Cronograma R. Normativo'!$S$5:$S$1000,$N70))</f>
        <v/>
      </c>
      <c r="P70">
        <f>IF($N70="","",N(INDEX('Cronograma R. Normativo'!$T$5:$T$1000,$N70)))</f>
        <v/>
      </c>
    </row>
    <row r="71">
      <c r="A71" s="61">
        <f>IF($N71="","",INDEX('Cronograma R. Normativo'!$A$5:$A$1000,$N71))</f>
        <v/>
      </c>
      <c r="B71" s="70">
        <f>IF($N71="","",IF($O71="Sub","     ↳ "&amp;INDEX('Cronograma R. Normativo'!$C$5:$C$1000,$N71),INDEX('Cronograma R. Normativo'!$B$5:$B$1000,$N71)&amp;""))</f>
        <v/>
      </c>
      <c r="C71" s="70">
        <f>IF($N71="","",INDEX('Cronograma R. Normativo'!$D$5:$D$1000,$N71)&amp;"")</f>
        <v/>
      </c>
      <c r="D71" s="76">
        <f>IF($N71="","",IF(INDEX('Cronograma R. Normativo'!$E$5:$E$1000,$N71)="","",INDEX('Cronograma R. Normativo'!$E$5:$E$1000,$N71)))</f>
        <v/>
      </c>
      <c r="E71" s="76">
        <f>IF($N71="","",IF(INDEX('Cronograma R. Normativo'!$F$5:$F$1000,$N71)="","",INDEX('Cronograma R. Normativo'!$F$5:$F$1000,$N71)))</f>
        <v/>
      </c>
      <c r="F71" s="61">
        <f>IF($N71="","",IF(NOT(ISNUMBER($E71)),"",IF($E71&lt;InicioCiclo,"Antes del ciclo",IF($E71&gt;=InicioCiclo+28,"Después del ciclo","Semana "&amp;(INT(($E71-InicioCiclo)/7)+1)))))</f>
        <v/>
      </c>
      <c r="G71" s="67">
        <f>IF($N71="","",IF($P71&gt;0,IF(1&lt;=SemanaActual,INDEX('Cronograma R. Normativo'!$Y$5:$Y$1000,$N71),""),IF(INDEX('Cronograma R. Normativo'!$H$5:$H$1000,$N71)="","",INDEX('Cronograma R. Normativo'!$H$5:$H$1000,$N71))))</f>
        <v/>
      </c>
      <c r="H71" s="67">
        <f>IF($N71="","",IF($P71&gt;0,IF(2&lt;=SemanaActual,INDEX('Cronograma R. Normativo'!$Z$5:$Z$1000,$N71),""),IF(INDEX('Cronograma R. Normativo'!$I$5:$I$1000,$N71)="","",INDEX('Cronograma R. Normativo'!$I$5:$I$1000,$N71))))</f>
        <v/>
      </c>
      <c r="I71" s="67">
        <f>IF($N71="","",IF($P71&gt;0,IF(3&lt;=SemanaActual,INDEX('Cronograma R. Normativo'!$AA$5:$AA$1000,$N71),""),IF(INDEX('Cronograma R. Normativo'!$J$5:$J$1000,$N71)="","",INDEX('Cronograma R. Normativo'!$J$5:$J$1000,$N71))))</f>
        <v/>
      </c>
      <c r="J71" s="67">
        <f>IF($N71="","",IF($P71&gt;0,IF(4&lt;=SemanaActual,INDEX('Cronograma R. Normativo'!$AB$5:$AB$1000,$N71),""),IF(INDEX('Cronograma R. Normativo'!$K$5:$K$1000,$N71)="","",INDEX('Cronograma R. Normativo'!$K$5:$K$1000,$N71))))</f>
        <v/>
      </c>
      <c r="K71" s="67">
        <f>IF($N71="","",INDEX('Cronograma R. Normativo'!$L$5:$L$1000,$N71))</f>
        <v/>
      </c>
      <c r="L71" s="61">
        <f>IF($N71="","",IF(N($K71)&gt;=1,"Completado",IF(AND(ISNUMBER($E71),$E71&lt;FechaRef),"Vencida",IF(N($K71)&gt;0,"En curso","Pendiente"))))</f>
        <v/>
      </c>
      <c r="M71" s="70">
        <f>IF($N71="","",INDEX('Cronograma R. Normativo'!$N$5:$N$1000,$N71)&amp;"")</f>
        <v/>
      </c>
      <c r="N71">
        <f>IFERROR(MATCH(ROW()-4,rOrden_RN,0),"")</f>
        <v/>
      </c>
      <c r="O71">
        <f>IF($N71="","",INDEX('Cronograma R. Normativo'!$S$5:$S$1000,$N71))</f>
        <v/>
      </c>
      <c r="P71">
        <f>IF($N71="","",N(INDEX('Cronograma R. Normativo'!$T$5:$T$1000,$N71)))</f>
        <v/>
      </c>
    </row>
    <row r="72">
      <c r="A72" s="61">
        <f>IF($N72="","",INDEX('Cronograma R. Normativo'!$A$5:$A$1000,$N72))</f>
        <v/>
      </c>
      <c r="B72" s="70">
        <f>IF($N72="","",IF($O72="Sub","     ↳ "&amp;INDEX('Cronograma R. Normativo'!$C$5:$C$1000,$N72),INDEX('Cronograma R. Normativo'!$B$5:$B$1000,$N72)&amp;""))</f>
        <v/>
      </c>
      <c r="C72" s="70">
        <f>IF($N72="","",INDEX('Cronograma R. Normativo'!$D$5:$D$1000,$N72)&amp;"")</f>
        <v/>
      </c>
      <c r="D72" s="76">
        <f>IF($N72="","",IF(INDEX('Cronograma R. Normativo'!$E$5:$E$1000,$N72)="","",INDEX('Cronograma R. Normativo'!$E$5:$E$1000,$N72)))</f>
        <v/>
      </c>
      <c r="E72" s="76">
        <f>IF($N72="","",IF(INDEX('Cronograma R. Normativo'!$F$5:$F$1000,$N72)="","",INDEX('Cronograma R. Normativo'!$F$5:$F$1000,$N72)))</f>
        <v/>
      </c>
      <c r="F72" s="61">
        <f>IF($N72="","",IF(NOT(ISNUMBER($E72)),"",IF($E72&lt;InicioCiclo,"Antes del ciclo",IF($E72&gt;=InicioCiclo+28,"Después del ciclo","Semana "&amp;(INT(($E72-InicioCiclo)/7)+1)))))</f>
        <v/>
      </c>
      <c r="G72" s="67">
        <f>IF($N72="","",IF($P72&gt;0,IF(1&lt;=SemanaActual,INDEX('Cronograma R. Normativo'!$Y$5:$Y$1000,$N72),""),IF(INDEX('Cronograma R. Normativo'!$H$5:$H$1000,$N72)="","",INDEX('Cronograma R. Normativo'!$H$5:$H$1000,$N72))))</f>
        <v/>
      </c>
      <c r="H72" s="67">
        <f>IF($N72="","",IF($P72&gt;0,IF(2&lt;=SemanaActual,INDEX('Cronograma R. Normativo'!$Z$5:$Z$1000,$N72),""),IF(INDEX('Cronograma R. Normativo'!$I$5:$I$1000,$N72)="","",INDEX('Cronograma R. Normativo'!$I$5:$I$1000,$N72))))</f>
        <v/>
      </c>
      <c r="I72" s="67">
        <f>IF($N72="","",IF($P72&gt;0,IF(3&lt;=SemanaActual,INDEX('Cronograma R. Normativo'!$AA$5:$AA$1000,$N72),""),IF(INDEX('Cronograma R. Normativo'!$J$5:$J$1000,$N72)="","",INDEX('Cronograma R. Normativo'!$J$5:$J$1000,$N72))))</f>
        <v/>
      </c>
      <c r="J72" s="67">
        <f>IF($N72="","",IF($P72&gt;0,IF(4&lt;=SemanaActual,INDEX('Cronograma R. Normativo'!$AB$5:$AB$1000,$N72),""),IF(INDEX('Cronograma R. Normativo'!$K$5:$K$1000,$N72)="","",INDEX('Cronograma R. Normativo'!$K$5:$K$1000,$N72))))</f>
        <v/>
      </c>
      <c r="K72" s="67">
        <f>IF($N72="","",INDEX('Cronograma R. Normativo'!$L$5:$L$1000,$N72))</f>
        <v/>
      </c>
      <c r="L72" s="61">
        <f>IF($N72="","",IF(N($K72)&gt;=1,"Completado",IF(AND(ISNUMBER($E72),$E72&lt;FechaRef),"Vencida",IF(N($K72)&gt;0,"En curso","Pendiente"))))</f>
        <v/>
      </c>
      <c r="M72" s="70">
        <f>IF($N72="","",INDEX('Cronograma R. Normativo'!$N$5:$N$1000,$N72)&amp;"")</f>
        <v/>
      </c>
      <c r="N72">
        <f>IFERROR(MATCH(ROW()-4,rOrden_RN,0),"")</f>
        <v/>
      </c>
      <c r="O72">
        <f>IF($N72="","",INDEX('Cronograma R. Normativo'!$S$5:$S$1000,$N72))</f>
        <v/>
      </c>
      <c r="P72">
        <f>IF($N72="","",N(INDEX('Cronograma R. Normativo'!$T$5:$T$1000,$N72)))</f>
        <v/>
      </c>
    </row>
    <row r="73">
      <c r="A73" s="61">
        <f>IF($N73="","",INDEX('Cronograma R. Normativo'!$A$5:$A$1000,$N73))</f>
        <v/>
      </c>
      <c r="B73" s="70">
        <f>IF($N73="","",IF($O73="Sub","     ↳ "&amp;INDEX('Cronograma R. Normativo'!$C$5:$C$1000,$N73),INDEX('Cronograma R. Normativo'!$B$5:$B$1000,$N73)&amp;""))</f>
        <v/>
      </c>
      <c r="C73" s="70">
        <f>IF($N73="","",INDEX('Cronograma R. Normativo'!$D$5:$D$1000,$N73)&amp;"")</f>
        <v/>
      </c>
      <c r="D73" s="76">
        <f>IF($N73="","",IF(INDEX('Cronograma R. Normativo'!$E$5:$E$1000,$N73)="","",INDEX('Cronograma R. Normativo'!$E$5:$E$1000,$N73)))</f>
        <v/>
      </c>
      <c r="E73" s="76">
        <f>IF($N73="","",IF(INDEX('Cronograma R. Normativo'!$F$5:$F$1000,$N73)="","",INDEX('Cronograma R. Normativo'!$F$5:$F$1000,$N73)))</f>
        <v/>
      </c>
      <c r="F73" s="61">
        <f>IF($N73="","",IF(NOT(ISNUMBER($E73)),"",IF($E73&lt;InicioCiclo,"Antes del ciclo",IF($E73&gt;=InicioCiclo+28,"Después del ciclo","Semana "&amp;(INT(($E73-InicioCiclo)/7)+1)))))</f>
        <v/>
      </c>
      <c r="G73" s="67">
        <f>IF($N73="","",IF($P73&gt;0,IF(1&lt;=SemanaActual,INDEX('Cronograma R. Normativo'!$Y$5:$Y$1000,$N73),""),IF(INDEX('Cronograma R. Normativo'!$H$5:$H$1000,$N73)="","",INDEX('Cronograma R. Normativo'!$H$5:$H$1000,$N73))))</f>
        <v/>
      </c>
      <c r="H73" s="67">
        <f>IF($N73="","",IF($P73&gt;0,IF(2&lt;=SemanaActual,INDEX('Cronograma R. Normativo'!$Z$5:$Z$1000,$N73),""),IF(INDEX('Cronograma R. Normativo'!$I$5:$I$1000,$N73)="","",INDEX('Cronograma R. Normativo'!$I$5:$I$1000,$N73))))</f>
        <v/>
      </c>
      <c r="I73" s="67">
        <f>IF($N73="","",IF($P73&gt;0,IF(3&lt;=SemanaActual,INDEX('Cronograma R. Normativo'!$AA$5:$AA$1000,$N73),""),IF(INDEX('Cronograma R. Normativo'!$J$5:$J$1000,$N73)="","",INDEX('Cronograma R. Normativo'!$J$5:$J$1000,$N73))))</f>
        <v/>
      </c>
      <c r="J73" s="67">
        <f>IF($N73="","",IF($P73&gt;0,IF(4&lt;=SemanaActual,INDEX('Cronograma R. Normativo'!$AB$5:$AB$1000,$N73),""),IF(INDEX('Cronograma R. Normativo'!$K$5:$K$1000,$N73)="","",INDEX('Cronograma R. Normativo'!$K$5:$K$1000,$N73))))</f>
        <v/>
      </c>
      <c r="K73" s="67">
        <f>IF($N73="","",INDEX('Cronograma R. Normativo'!$L$5:$L$1000,$N73))</f>
        <v/>
      </c>
      <c r="L73" s="61">
        <f>IF($N73="","",IF(N($K73)&gt;=1,"Completado",IF(AND(ISNUMBER($E73),$E73&lt;FechaRef),"Vencida",IF(N($K73)&gt;0,"En curso","Pendiente"))))</f>
        <v/>
      </c>
      <c r="M73" s="70">
        <f>IF($N73="","",INDEX('Cronograma R. Normativo'!$N$5:$N$1000,$N73)&amp;"")</f>
        <v/>
      </c>
      <c r="N73">
        <f>IFERROR(MATCH(ROW()-4,rOrden_RN,0),"")</f>
        <v/>
      </c>
      <c r="O73">
        <f>IF($N73="","",INDEX('Cronograma R. Normativo'!$S$5:$S$1000,$N73))</f>
        <v/>
      </c>
      <c r="P73">
        <f>IF($N73="","",N(INDEX('Cronograma R. Normativo'!$T$5:$T$1000,$N73)))</f>
        <v/>
      </c>
    </row>
    <row r="74">
      <c r="A74" s="61">
        <f>IF($N74="","",INDEX('Cronograma R. Normativo'!$A$5:$A$1000,$N74))</f>
        <v/>
      </c>
      <c r="B74" s="70">
        <f>IF($N74="","",IF($O74="Sub","     ↳ "&amp;INDEX('Cronograma R. Normativo'!$C$5:$C$1000,$N74),INDEX('Cronograma R. Normativo'!$B$5:$B$1000,$N74)&amp;""))</f>
        <v/>
      </c>
      <c r="C74" s="70">
        <f>IF($N74="","",INDEX('Cronograma R. Normativo'!$D$5:$D$1000,$N74)&amp;"")</f>
        <v/>
      </c>
      <c r="D74" s="76">
        <f>IF($N74="","",IF(INDEX('Cronograma R. Normativo'!$E$5:$E$1000,$N74)="","",INDEX('Cronograma R. Normativo'!$E$5:$E$1000,$N74)))</f>
        <v/>
      </c>
      <c r="E74" s="76">
        <f>IF($N74="","",IF(INDEX('Cronograma R. Normativo'!$F$5:$F$1000,$N74)="","",INDEX('Cronograma R. Normativo'!$F$5:$F$1000,$N74)))</f>
        <v/>
      </c>
      <c r="F74" s="61">
        <f>IF($N74="","",IF(NOT(ISNUMBER($E74)),"",IF($E74&lt;InicioCiclo,"Antes del ciclo",IF($E74&gt;=InicioCiclo+28,"Después del ciclo","Semana "&amp;(INT(($E74-InicioCiclo)/7)+1)))))</f>
        <v/>
      </c>
      <c r="G74" s="67">
        <f>IF($N74="","",IF($P74&gt;0,IF(1&lt;=SemanaActual,INDEX('Cronograma R. Normativo'!$Y$5:$Y$1000,$N74),""),IF(INDEX('Cronograma R. Normativo'!$H$5:$H$1000,$N74)="","",INDEX('Cronograma R. Normativo'!$H$5:$H$1000,$N74))))</f>
        <v/>
      </c>
      <c r="H74" s="67">
        <f>IF($N74="","",IF($P74&gt;0,IF(2&lt;=SemanaActual,INDEX('Cronograma R. Normativo'!$Z$5:$Z$1000,$N74),""),IF(INDEX('Cronograma R. Normativo'!$I$5:$I$1000,$N74)="","",INDEX('Cronograma R. Normativo'!$I$5:$I$1000,$N74))))</f>
        <v/>
      </c>
      <c r="I74" s="67">
        <f>IF($N74="","",IF($P74&gt;0,IF(3&lt;=SemanaActual,INDEX('Cronograma R. Normativo'!$AA$5:$AA$1000,$N74),""),IF(INDEX('Cronograma R. Normativo'!$J$5:$J$1000,$N74)="","",INDEX('Cronograma R. Normativo'!$J$5:$J$1000,$N74))))</f>
        <v/>
      </c>
      <c r="J74" s="67">
        <f>IF($N74="","",IF($P74&gt;0,IF(4&lt;=SemanaActual,INDEX('Cronograma R. Normativo'!$AB$5:$AB$1000,$N74),""),IF(INDEX('Cronograma R. Normativo'!$K$5:$K$1000,$N74)="","",INDEX('Cronograma R. Normativo'!$K$5:$K$1000,$N74))))</f>
        <v/>
      </c>
      <c r="K74" s="67">
        <f>IF($N74="","",INDEX('Cronograma R. Normativo'!$L$5:$L$1000,$N74))</f>
        <v/>
      </c>
      <c r="L74" s="61">
        <f>IF($N74="","",IF(N($K74)&gt;=1,"Completado",IF(AND(ISNUMBER($E74),$E74&lt;FechaRef),"Vencida",IF(N($K74)&gt;0,"En curso","Pendiente"))))</f>
        <v/>
      </c>
      <c r="M74" s="70">
        <f>IF($N74="","",INDEX('Cronograma R. Normativo'!$N$5:$N$1000,$N74)&amp;"")</f>
        <v/>
      </c>
      <c r="N74">
        <f>IFERROR(MATCH(ROW()-4,rOrden_RN,0),"")</f>
        <v/>
      </c>
      <c r="O74">
        <f>IF($N74="","",INDEX('Cronograma R. Normativo'!$S$5:$S$1000,$N74))</f>
        <v/>
      </c>
      <c r="P74">
        <f>IF($N74="","",N(INDEX('Cronograma R. Normativo'!$T$5:$T$1000,$N74)))</f>
        <v/>
      </c>
    </row>
    <row r="75">
      <c r="A75" s="61">
        <f>IF($N75="","",INDEX('Cronograma R. Normativo'!$A$5:$A$1000,$N75))</f>
        <v/>
      </c>
      <c r="B75" s="70">
        <f>IF($N75="","",IF($O75="Sub","     ↳ "&amp;INDEX('Cronograma R. Normativo'!$C$5:$C$1000,$N75),INDEX('Cronograma R. Normativo'!$B$5:$B$1000,$N75)&amp;""))</f>
        <v/>
      </c>
      <c r="C75" s="70">
        <f>IF($N75="","",INDEX('Cronograma R. Normativo'!$D$5:$D$1000,$N75)&amp;"")</f>
        <v/>
      </c>
      <c r="D75" s="76">
        <f>IF($N75="","",IF(INDEX('Cronograma R. Normativo'!$E$5:$E$1000,$N75)="","",INDEX('Cronograma R. Normativo'!$E$5:$E$1000,$N75)))</f>
        <v/>
      </c>
      <c r="E75" s="76">
        <f>IF($N75="","",IF(INDEX('Cronograma R. Normativo'!$F$5:$F$1000,$N75)="","",INDEX('Cronograma R. Normativo'!$F$5:$F$1000,$N75)))</f>
        <v/>
      </c>
      <c r="F75" s="61">
        <f>IF($N75="","",IF(NOT(ISNUMBER($E75)),"",IF($E75&lt;InicioCiclo,"Antes del ciclo",IF($E75&gt;=InicioCiclo+28,"Después del ciclo","Semana "&amp;(INT(($E75-InicioCiclo)/7)+1)))))</f>
        <v/>
      </c>
      <c r="G75" s="67">
        <f>IF($N75="","",IF($P75&gt;0,IF(1&lt;=SemanaActual,INDEX('Cronograma R. Normativo'!$Y$5:$Y$1000,$N75),""),IF(INDEX('Cronograma R. Normativo'!$H$5:$H$1000,$N75)="","",INDEX('Cronograma R. Normativo'!$H$5:$H$1000,$N75))))</f>
        <v/>
      </c>
      <c r="H75" s="67">
        <f>IF($N75="","",IF($P75&gt;0,IF(2&lt;=SemanaActual,INDEX('Cronograma R. Normativo'!$Z$5:$Z$1000,$N75),""),IF(INDEX('Cronograma R. Normativo'!$I$5:$I$1000,$N75)="","",INDEX('Cronograma R. Normativo'!$I$5:$I$1000,$N75))))</f>
        <v/>
      </c>
      <c r="I75" s="67">
        <f>IF($N75="","",IF($P75&gt;0,IF(3&lt;=SemanaActual,INDEX('Cronograma R. Normativo'!$AA$5:$AA$1000,$N75),""),IF(INDEX('Cronograma R. Normativo'!$J$5:$J$1000,$N75)="","",INDEX('Cronograma R. Normativo'!$J$5:$J$1000,$N75))))</f>
        <v/>
      </c>
      <c r="J75" s="67">
        <f>IF($N75="","",IF($P75&gt;0,IF(4&lt;=SemanaActual,INDEX('Cronograma R. Normativo'!$AB$5:$AB$1000,$N75),""),IF(INDEX('Cronograma R. Normativo'!$K$5:$K$1000,$N75)="","",INDEX('Cronograma R. Normativo'!$K$5:$K$1000,$N75))))</f>
        <v/>
      </c>
      <c r="K75" s="67">
        <f>IF($N75="","",INDEX('Cronograma R. Normativo'!$L$5:$L$1000,$N75))</f>
        <v/>
      </c>
      <c r="L75" s="61">
        <f>IF($N75="","",IF(N($K75)&gt;=1,"Completado",IF(AND(ISNUMBER($E75),$E75&lt;FechaRef),"Vencida",IF(N($K75)&gt;0,"En curso","Pendiente"))))</f>
        <v/>
      </c>
      <c r="M75" s="70">
        <f>IF($N75="","",INDEX('Cronograma R. Normativo'!$N$5:$N$1000,$N75)&amp;"")</f>
        <v/>
      </c>
      <c r="N75">
        <f>IFERROR(MATCH(ROW()-4,rOrden_RN,0),"")</f>
        <v/>
      </c>
      <c r="O75">
        <f>IF($N75="","",INDEX('Cronograma R. Normativo'!$S$5:$S$1000,$N75))</f>
        <v/>
      </c>
      <c r="P75">
        <f>IF($N75="","",N(INDEX('Cronograma R. Normativo'!$T$5:$T$1000,$N75)))</f>
        <v/>
      </c>
    </row>
    <row r="76">
      <c r="A76" s="61">
        <f>IF($N76="","",INDEX('Cronograma R. Normativo'!$A$5:$A$1000,$N76))</f>
        <v/>
      </c>
      <c r="B76" s="70">
        <f>IF($N76="","",IF($O76="Sub","     ↳ "&amp;INDEX('Cronograma R. Normativo'!$C$5:$C$1000,$N76),INDEX('Cronograma R. Normativo'!$B$5:$B$1000,$N76)&amp;""))</f>
        <v/>
      </c>
      <c r="C76" s="70">
        <f>IF($N76="","",INDEX('Cronograma R. Normativo'!$D$5:$D$1000,$N76)&amp;"")</f>
        <v/>
      </c>
      <c r="D76" s="76">
        <f>IF($N76="","",IF(INDEX('Cronograma R. Normativo'!$E$5:$E$1000,$N76)="","",INDEX('Cronograma R. Normativo'!$E$5:$E$1000,$N76)))</f>
        <v/>
      </c>
      <c r="E76" s="76">
        <f>IF($N76="","",IF(INDEX('Cronograma R. Normativo'!$F$5:$F$1000,$N76)="","",INDEX('Cronograma R. Normativo'!$F$5:$F$1000,$N76)))</f>
        <v/>
      </c>
      <c r="F76" s="61">
        <f>IF($N76="","",IF(NOT(ISNUMBER($E76)),"",IF($E76&lt;InicioCiclo,"Antes del ciclo",IF($E76&gt;=InicioCiclo+28,"Después del ciclo","Semana "&amp;(INT(($E76-InicioCiclo)/7)+1)))))</f>
        <v/>
      </c>
      <c r="G76" s="67">
        <f>IF($N76="","",IF($P76&gt;0,IF(1&lt;=SemanaActual,INDEX('Cronograma R. Normativo'!$Y$5:$Y$1000,$N76),""),IF(INDEX('Cronograma R. Normativo'!$H$5:$H$1000,$N76)="","",INDEX('Cronograma R. Normativo'!$H$5:$H$1000,$N76))))</f>
        <v/>
      </c>
      <c r="H76" s="67">
        <f>IF($N76="","",IF($P76&gt;0,IF(2&lt;=SemanaActual,INDEX('Cronograma R. Normativo'!$Z$5:$Z$1000,$N76),""),IF(INDEX('Cronograma R. Normativo'!$I$5:$I$1000,$N76)="","",INDEX('Cronograma R. Normativo'!$I$5:$I$1000,$N76))))</f>
        <v/>
      </c>
      <c r="I76" s="67">
        <f>IF($N76="","",IF($P76&gt;0,IF(3&lt;=SemanaActual,INDEX('Cronograma R. Normativo'!$AA$5:$AA$1000,$N76),""),IF(INDEX('Cronograma R. Normativo'!$J$5:$J$1000,$N76)="","",INDEX('Cronograma R. Normativo'!$J$5:$J$1000,$N76))))</f>
        <v/>
      </c>
      <c r="J76" s="67">
        <f>IF($N76="","",IF($P76&gt;0,IF(4&lt;=SemanaActual,INDEX('Cronograma R. Normativo'!$AB$5:$AB$1000,$N76),""),IF(INDEX('Cronograma R. Normativo'!$K$5:$K$1000,$N76)="","",INDEX('Cronograma R. Normativo'!$K$5:$K$1000,$N76))))</f>
        <v/>
      </c>
      <c r="K76" s="67">
        <f>IF($N76="","",INDEX('Cronograma R. Normativo'!$L$5:$L$1000,$N76))</f>
        <v/>
      </c>
      <c r="L76" s="61">
        <f>IF($N76="","",IF(N($K76)&gt;=1,"Completado",IF(AND(ISNUMBER($E76),$E76&lt;FechaRef),"Vencida",IF(N($K76)&gt;0,"En curso","Pendiente"))))</f>
        <v/>
      </c>
      <c r="M76" s="70">
        <f>IF($N76="","",INDEX('Cronograma R. Normativo'!$N$5:$N$1000,$N76)&amp;"")</f>
        <v/>
      </c>
      <c r="N76">
        <f>IFERROR(MATCH(ROW()-4,rOrden_RN,0),"")</f>
        <v/>
      </c>
      <c r="O76">
        <f>IF($N76="","",INDEX('Cronograma R. Normativo'!$S$5:$S$1000,$N76))</f>
        <v/>
      </c>
      <c r="P76">
        <f>IF($N76="","",N(INDEX('Cronograma R. Normativo'!$T$5:$T$1000,$N76)))</f>
        <v/>
      </c>
    </row>
    <row r="77">
      <c r="A77" s="61">
        <f>IF($N77="","",INDEX('Cronograma R. Normativo'!$A$5:$A$1000,$N77))</f>
        <v/>
      </c>
      <c r="B77" s="70">
        <f>IF($N77="","",IF($O77="Sub","     ↳ "&amp;INDEX('Cronograma R. Normativo'!$C$5:$C$1000,$N77),INDEX('Cronograma R. Normativo'!$B$5:$B$1000,$N77)&amp;""))</f>
        <v/>
      </c>
      <c r="C77" s="70">
        <f>IF($N77="","",INDEX('Cronograma R. Normativo'!$D$5:$D$1000,$N77)&amp;"")</f>
        <v/>
      </c>
      <c r="D77" s="76">
        <f>IF($N77="","",IF(INDEX('Cronograma R. Normativo'!$E$5:$E$1000,$N77)="","",INDEX('Cronograma R. Normativo'!$E$5:$E$1000,$N77)))</f>
        <v/>
      </c>
      <c r="E77" s="76">
        <f>IF($N77="","",IF(INDEX('Cronograma R. Normativo'!$F$5:$F$1000,$N77)="","",INDEX('Cronograma R. Normativo'!$F$5:$F$1000,$N77)))</f>
        <v/>
      </c>
      <c r="F77" s="61">
        <f>IF($N77="","",IF(NOT(ISNUMBER($E77)),"",IF($E77&lt;InicioCiclo,"Antes del ciclo",IF($E77&gt;=InicioCiclo+28,"Después del ciclo","Semana "&amp;(INT(($E77-InicioCiclo)/7)+1)))))</f>
        <v/>
      </c>
      <c r="G77" s="67">
        <f>IF($N77="","",IF($P77&gt;0,IF(1&lt;=SemanaActual,INDEX('Cronograma R. Normativo'!$Y$5:$Y$1000,$N77),""),IF(INDEX('Cronograma R. Normativo'!$H$5:$H$1000,$N77)="","",INDEX('Cronograma R. Normativo'!$H$5:$H$1000,$N77))))</f>
        <v/>
      </c>
      <c r="H77" s="67">
        <f>IF($N77="","",IF($P77&gt;0,IF(2&lt;=SemanaActual,INDEX('Cronograma R. Normativo'!$Z$5:$Z$1000,$N77),""),IF(INDEX('Cronograma R. Normativo'!$I$5:$I$1000,$N77)="","",INDEX('Cronograma R. Normativo'!$I$5:$I$1000,$N77))))</f>
        <v/>
      </c>
      <c r="I77" s="67">
        <f>IF($N77="","",IF($P77&gt;0,IF(3&lt;=SemanaActual,INDEX('Cronograma R. Normativo'!$AA$5:$AA$1000,$N77),""),IF(INDEX('Cronograma R. Normativo'!$J$5:$J$1000,$N77)="","",INDEX('Cronograma R. Normativo'!$J$5:$J$1000,$N77))))</f>
        <v/>
      </c>
      <c r="J77" s="67">
        <f>IF($N77="","",IF($P77&gt;0,IF(4&lt;=SemanaActual,INDEX('Cronograma R. Normativo'!$AB$5:$AB$1000,$N77),""),IF(INDEX('Cronograma R. Normativo'!$K$5:$K$1000,$N77)="","",INDEX('Cronograma R. Normativo'!$K$5:$K$1000,$N77))))</f>
        <v/>
      </c>
      <c r="K77" s="67">
        <f>IF($N77="","",INDEX('Cronograma R. Normativo'!$L$5:$L$1000,$N77))</f>
        <v/>
      </c>
      <c r="L77" s="61">
        <f>IF($N77="","",IF(N($K77)&gt;=1,"Completado",IF(AND(ISNUMBER($E77),$E77&lt;FechaRef),"Vencida",IF(N($K77)&gt;0,"En curso","Pendiente"))))</f>
        <v/>
      </c>
      <c r="M77" s="70">
        <f>IF($N77="","",INDEX('Cronograma R. Normativo'!$N$5:$N$1000,$N77)&amp;"")</f>
        <v/>
      </c>
      <c r="N77">
        <f>IFERROR(MATCH(ROW()-4,rOrden_RN,0),"")</f>
        <v/>
      </c>
      <c r="O77">
        <f>IF($N77="","",INDEX('Cronograma R. Normativo'!$S$5:$S$1000,$N77))</f>
        <v/>
      </c>
      <c r="P77">
        <f>IF($N77="","",N(INDEX('Cronograma R. Normativo'!$T$5:$T$1000,$N77)))</f>
        <v/>
      </c>
    </row>
    <row r="78">
      <c r="A78" s="61">
        <f>IF($N78="","",INDEX('Cronograma R. Normativo'!$A$5:$A$1000,$N78))</f>
        <v/>
      </c>
      <c r="B78" s="70">
        <f>IF($N78="","",IF($O78="Sub","     ↳ "&amp;INDEX('Cronograma R. Normativo'!$C$5:$C$1000,$N78),INDEX('Cronograma R. Normativo'!$B$5:$B$1000,$N78)&amp;""))</f>
        <v/>
      </c>
      <c r="C78" s="70">
        <f>IF($N78="","",INDEX('Cronograma R. Normativo'!$D$5:$D$1000,$N78)&amp;"")</f>
        <v/>
      </c>
      <c r="D78" s="76">
        <f>IF($N78="","",IF(INDEX('Cronograma R. Normativo'!$E$5:$E$1000,$N78)="","",INDEX('Cronograma R. Normativo'!$E$5:$E$1000,$N78)))</f>
        <v/>
      </c>
      <c r="E78" s="76">
        <f>IF($N78="","",IF(INDEX('Cronograma R. Normativo'!$F$5:$F$1000,$N78)="","",INDEX('Cronograma R. Normativo'!$F$5:$F$1000,$N78)))</f>
        <v/>
      </c>
      <c r="F78" s="61">
        <f>IF($N78="","",IF(NOT(ISNUMBER($E78)),"",IF($E78&lt;InicioCiclo,"Antes del ciclo",IF($E78&gt;=InicioCiclo+28,"Después del ciclo","Semana "&amp;(INT(($E78-InicioCiclo)/7)+1)))))</f>
        <v/>
      </c>
      <c r="G78" s="67">
        <f>IF($N78="","",IF($P78&gt;0,IF(1&lt;=SemanaActual,INDEX('Cronograma R. Normativo'!$Y$5:$Y$1000,$N78),""),IF(INDEX('Cronograma R. Normativo'!$H$5:$H$1000,$N78)="","",INDEX('Cronograma R. Normativo'!$H$5:$H$1000,$N78))))</f>
        <v/>
      </c>
      <c r="H78" s="67">
        <f>IF($N78="","",IF($P78&gt;0,IF(2&lt;=SemanaActual,INDEX('Cronograma R. Normativo'!$Z$5:$Z$1000,$N78),""),IF(INDEX('Cronograma R. Normativo'!$I$5:$I$1000,$N78)="","",INDEX('Cronograma R. Normativo'!$I$5:$I$1000,$N78))))</f>
        <v/>
      </c>
      <c r="I78" s="67">
        <f>IF($N78="","",IF($P78&gt;0,IF(3&lt;=SemanaActual,INDEX('Cronograma R. Normativo'!$AA$5:$AA$1000,$N78),""),IF(INDEX('Cronograma R. Normativo'!$J$5:$J$1000,$N78)="","",INDEX('Cronograma R. Normativo'!$J$5:$J$1000,$N78))))</f>
        <v/>
      </c>
      <c r="J78" s="67">
        <f>IF($N78="","",IF($P78&gt;0,IF(4&lt;=SemanaActual,INDEX('Cronograma R. Normativo'!$AB$5:$AB$1000,$N78),""),IF(INDEX('Cronograma R. Normativo'!$K$5:$K$1000,$N78)="","",INDEX('Cronograma R. Normativo'!$K$5:$K$1000,$N78))))</f>
        <v/>
      </c>
      <c r="K78" s="67">
        <f>IF($N78="","",INDEX('Cronograma R. Normativo'!$L$5:$L$1000,$N78))</f>
        <v/>
      </c>
      <c r="L78" s="61">
        <f>IF($N78="","",IF(N($K78)&gt;=1,"Completado",IF(AND(ISNUMBER($E78),$E78&lt;FechaRef),"Vencida",IF(N($K78)&gt;0,"En curso","Pendiente"))))</f>
        <v/>
      </c>
      <c r="M78" s="70">
        <f>IF($N78="","",INDEX('Cronograma R. Normativo'!$N$5:$N$1000,$N78)&amp;"")</f>
        <v/>
      </c>
      <c r="N78">
        <f>IFERROR(MATCH(ROW()-4,rOrden_RN,0),"")</f>
        <v/>
      </c>
      <c r="O78">
        <f>IF($N78="","",INDEX('Cronograma R. Normativo'!$S$5:$S$1000,$N78))</f>
        <v/>
      </c>
      <c r="P78">
        <f>IF($N78="","",N(INDEX('Cronograma R. Normativo'!$T$5:$T$1000,$N78)))</f>
        <v/>
      </c>
    </row>
    <row r="79">
      <c r="A79" s="61">
        <f>IF($N79="","",INDEX('Cronograma R. Normativo'!$A$5:$A$1000,$N79))</f>
        <v/>
      </c>
      <c r="B79" s="70">
        <f>IF($N79="","",IF($O79="Sub","     ↳ "&amp;INDEX('Cronograma R. Normativo'!$C$5:$C$1000,$N79),INDEX('Cronograma R. Normativo'!$B$5:$B$1000,$N79)&amp;""))</f>
        <v/>
      </c>
      <c r="C79" s="70">
        <f>IF($N79="","",INDEX('Cronograma R. Normativo'!$D$5:$D$1000,$N79)&amp;"")</f>
        <v/>
      </c>
      <c r="D79" s="76">
        <f>IF($N79="","",IF(INDEX('Cronograma R. Normativo'!$E$5:$E$1000,$N79)="","",INDEX('Cronograma R. Normativo'!$E$5:$E$1000,$N79)))</f>
        <v/>
      </c>
      <c r="E79" s="76">
        <f>IF($N79="","",IF(INDEX('Cronograma R. Normativo'!$F$5:$F$1000,$N79)="","",INDEX('Cronograma R. Normativo'!$F$5:$F$1000,$N79)))</f>
        <v/>
      </c>
      <c r="F79" s="61">
        <f>IF($N79="","",IF(NOT(ISNUMBER($E79)),"",IF($E79&lt;InicioCiclo,"Antes del ciclo",IF($E79&gt;=InicioCiclo+28,"Después del ciclo","Semana "&amp;(INT(($E79-InicioCiclo)/7)+1)))))</f>
        <v/>
      </c>
      <c r="G79" s="67">
        <f>IF($N79="","",IF($P79&gt;0,IF(1&lt;=SemanaActual,INDEX('Cronograma R. Normativo'!$Y$5:$Y$1000,$N79),""),IF(INDEX('Cronograma R. Normativo'!$H$5:$H$1000,$N79)="","",INDEX('Cronograma R. Normativo'!$H$5:$H$1000,$N79))))</f>
        <v/>
      </c>
      <c r="H79" s="67">
        <f>IF($N79="","",IF($P79&gt;0,IF(2&lt;=SemanaActual,INDEX('Cronograma R. Normativo'!$Z$5:$Z$1000,$N79),""),IF(INDEX('Cronograma R. Normativo'!$I$5:$I$1000,$N79)="","",INDEX('Cronograma R. Normativo'!$I$5:$I$1000,$N79))))</f>
        <v/>
      </c>
      <c r="I79" s="67">
        <f>IF($N79="","",IF($P79&gt;0,IF(3&lt;=SemanaActual,INDEX('Cronograma R. Normativo'!$AA$5:$AA$1000,$N79),""),IF(INDEX('Cronograma R. Normativo'!$J$5:$J$1000,$N79)="","",INDEX('Cronograma R. Normativo'!$J$5:$J$1000,$N79))))</f>
        <v/>
      </c>
      <c r="J79" s="67">
        <f>IF($N79="","",IF($P79&gt;0,IF(4&lt;=SemanaActual,INDEX('Cronograma R. Normativo'!$AB$5:$AB$1000,$N79),""),IF(INDEX('Cronograma R. Normativo'!$K$5:$K$1000,$N79)="","",INDEX('Cronograma R. Normativo'!$K$5:$K$1000,$N79))))</f>
        <v/>
      </c>
      <c r="K79" s="67">
        <f>IF($N79="","",INDEX('Cronograma R. Normativo'!$L$5:$L$1000,$N79))</f>
        <v/>
      </c>
      <c r="L79" s="61">
        <f>IF($N79="","",IF(N($K79)&gt;=1,"Completado",IF(AND(ISNUMBER($E79),$E79&lt;FechaRef),"Vencida",IF(N($K79)&gt;0,"En curso","Pendiente"))))</f>
        <v/>
      </c>
      <c r="M79" s="70">
        <f>IF($N79="","",INDEX('Cronograma R. Normativo'!$N$5:$N$1000,$N79)&amp;"")</f>
        <v/>
      </c>
      <c r="N79">
        <f>IFERROR(MATCH(ROW()-4,rOrden_RN,0),"")</f>
        <v/>
      </c>
      <c r="O79">
        <f>IF($N79="","",INDEX('Cronograma R. Normativo'!$S$5:$S$1000,$N79))</f>
        <v/>
      </c>
      <c r="P79">
        <f>IF($N79="","",N(INDEX('Cronograma R. Normativo'!$T$5:$T$1000,$N79)))</f>
        <v/>
      </c>
    </row>
    <row r="80">
      <c r="A80" s="61">
        <f>IF($N80="","",INDEX('Cronograma R. Normativo'!$A$5:$A$1000,$N80))</f>
        <v/>
      </c>
      <c r="B80" s="70">
        <f>IF($N80="","",IF($O80="Sub","     ↳ "&amp;INDEX('Cronograma R. Normativo'!$C$5:$C$1000,$N80),INDEX('Cronograma R. Normativo'!$B$5:$B$1000,$N80)&amp;""))</f>
        <v/>
      </c>
      <c r="C80" s="70">
        <f>IF($N80="","",INDEX('Cronograma R. Normativo'!$D$5:$D$1000,$N80)&amp;"")</f>
        <v/>
      </c>
      <c r="D80" s="76">
        <f>IF($N80="","",IF(INDEX('Cronograma R. Normativo'!$E$5:$E$1000,$N80)="","",INDEX('Cronograma R. Normativo'!$E$5:$E$1000,$N80)))</f>
        <v/>
      </c>
      <c r="E80" s="76">
        <f>IF($N80="","",IF(INDEX('Cronograma R. Normativo'!$F$5:$F$1000,$N80)="","",INDEX('Cronograma R. Normativo'!$F$5:$F$1000,$N80)))</f>
        <v/>
      </c>
      <c r="F80" s="61">
        <f>IF($N80="","",IF(NOT(ISNUMBER($E80)),"",IF($E80&lt;InicioCiclo,"Antes del ciclo",IF($E80&gt;=InicioCiclo+28,"Después del ciclo","Semana "&amp;(INT(($E80-InicioCiclo)/7)+1)))))</f>
        <v/>
      </c>
      <c r="G80" s="67">
        <f>IF($N80="","",IF($P80&gt;0,IF(1&lt;=SemanaActual,INDEX('Cronograma R. Normativo'!$Y$5:$Y$1000,$N80),""),IF(INDEX('Cronograma R. Normativo'!$H$5:$H$1000,$N80)="","",INDEX('Cronograma R. Normativo'!$H$5:$H$1000,$N80))))</f>
        <v/>
      </c>
      <c r="H80" s="67">
        <f>IF($N80="","",IF($P80&gt;0,IF(2&lt;=SemanaActual,INDEX('Cronograma R. Normativo'!$Z$5:$Z$1000,$N80),""),IF(INDEX('Cronograma R. Normativo'!$I$5:$I$1000,$N80)="","",INDEX('Cronograma R. Normativo'!$I$5:$I$1000,$N80))))</f>
        <v/>
      </c>
      <c r="I80" s="67">
        <f>IF($N80="","",IF($P80&gt;0,IF(3&lt;=SemanaActual,INDEX('Cronograma R. Normativo'!$AA$5:$AA$1000,$N80),""),IF(INDEX('Cronograma R. Normativo'!$J$5:$J$1000,$N80)="","",INDEX('Cronograma R. Normativo'!$J$5:$J$1000,$N80))))</f>
        <v/>
      </c>
      <c r="J80" s="67">
        <f>IF($N80="","",IF($P80&gt;0,IF(4&lt;=SemanaActual,INDEX('Cronograma R. Normativo'!$AB$5:$AB$1000,$N80),""),IF(INDEX('Cronograma R. Normativo'!$K$5:$K$1000,$N80)="","",INDEX('Cronograma R. Normativo'!$K$5:$K$1000,$N80))))</f>
        <v/>
      </c>
      <c r="K80" s="67">
        <f>IF($N80="","",INDEX('Cronograma R. Normativo'!$L$5:$L$1000,$N80))</f>
        <v/>
      </c>
      <c r="L80" s="61">
        <f>IF($N80="","",IF(N($K80)&gt;=1,"Completado",IF(AND(ISNUMBER($E80),$E80&lt;FechaRef),"Vencida",IF(N($K80)&gt;0,"En curso","Pendiente"))))</f>
        <v/>
      </c>
      <c r="M80" s="70">
        <f>IF($N80="","",INDEX('Cronograma R. Normativo'!$N$5:$N$1000,$N80)&amp;"")</f>
        <v/>
      </c>
      <c r="N80">
        <f>IFERROR(MATCH(ROW()-4,rOrden_RN,0),"")</f>
        <v/>
      </c>
      <c r="O80">
        <f>IF($N80="","",INDEX('Cronograma R. Normativo'!$S$5:$S$1000,$N80))</f>
        <v/>
      </c>
      <c r="P80">
        <f>IF($N80="","",N(INDEX('Cronograma R. Normativo'!$T$5:$T$1000,$N80)))</f>
        <v/>
      </c>
    </row>
    <row r="81">
      <c r="A81" s="61">
        <f>IF($N81="","",INDEX('Cronograma R. Normativo'!$A$5:$A$1000,$N81))</f>
        <v/>
      </c>
      <c r="B81" s="70">
        <f>IF($N81="","",IF($O81="Sub","     ↳ "&amp;INDEX('Cronograma R. Normativo'!$C$5:$C$1000,$N81),INDEX('Cronograma R. Normativo'!$B$5:$B$1000,$N81)&amp;""))</f>
        <v/>
      </c>
      <c r="C81" s="70">
        <f>IF($N81="","",INDEX('Cronograma R. Normativo'!$D$5:$D$1000,$N81)&amp;"")</f>
        <v/>
      </c>
      <c r="D81" s="76">
        <f>IF($N81="","",IF(INDEX('Cronograma R. Normativo'!$E$5:$E$1000,$N81)="","",INDEX('Cronograma R. Normativo'!$E$5:$E$1000,$N81)))</f>
        <v/>
      </c>
      <c r="E81" s="76">
        <f>IF($N81="","",IF(INDEX('Cronograma R. Normativo'!$F$5:$F$1000,$N81)="","",INDEX('Cronograma R. Normativo'!$F$5:$F$1000,$N81)))</f>
        <v/>
      </c>
      <c r="F81" s="61">
        <f>IF($N81="","",IF(NOT(ISNUMBER($E81)),"",IF($E81&lt;InicioCiclo,"Antes del ciclo",IF($E81&gt;=InicioCiclo+28,"Después del ciclo","Semana "&amp;(INT(($E81-InicioCiclo)/7)+1)))))</f>
        <v/>
      </c>
      <c r="G81" s="67">
        <f>IF($N81="","",IF($P81&gt;0,IF(1&lt;=SemanaActual,INDEX('Cronograma R. Normativo'!$Y$5:$Y$1000,$N81),""),IF(INDEX('Cronograma R. Normativo'!$H$5:$H$1000,$N81)="","",INDEX('Cronograma R. Normativo'!$H$5:$H$1000,$N81))))</f>
        <v/>
      </c>
      <c r="H81" s="67">
        <f>IF($N81="","",IF($P81&gt;0,IF(2&lt;=SemanaActual,INDEX('Cronograma R. Normativo'!$Z$5:$Z$1000,$N81),""),IF(INDEX('Cronograma R. Normativo'!$I$5:$I$1000,$N81)="","",INDEX('Cronograma R. Normativo'!$I$5:$I$1000,$N81))))</f>
        <v/>
      </c>
      <c r="I81" s="67">
        <f>IF($N81="","",IF($P81&gt;0,IF(3&lt;=SemanaActual,INDEX('Cronograma R. Normativo'!$AA$5:$AA$1000,$N81),""),IF(INDEX('Cronograma R. Normativo'!$J$5:$J$1000,$N81)="","",INDEX('Cronograma R. Normativo'!$J$5:$J$1000,$N81))))</f>
        <v/>
      </c>
      <c r="J81" s="67">
        <f>IF($N81="","",IF($P81&gt;0,IF(4&lt;=SemanaActual,INDEX('Cronograma R. Normativo'!$AB$5:$AB$1000,$N81),""),IF(INDEX('Cronograma R. Normativo'!$K$5:$K$1000,$N81)="","",INDEX('Cronograma R. Normativo'!$K$5:$K$1000,$N81))))</f>
        <v/>
      </c>
      <c r="K81" s="67">
        <f>IF($N81="","",INDEX('Cronograma R. Normativo'!$L$5:$L$1000,$N81))</f>
        <v/>
      </c>
      <c r="L81" s="61">
        <f>IF($N81="","",IF(N($K81)&gt;=1,"Completado",IF(AND(ISNUMBER($E81),$E81&lt;FechaRef),"Vencida",IF(N($K81)&gt;0,"En curso","Pendiente"))))</f>
        <v/>
      </c>
      <c r="M81" s="70">
        <f>IF($N81="","",INDEX('Cronograma R. Normativo'!$N$5:$N$1000,$N81)&amp;"")</f>
        <v/>
      </c>
      <c r="N81">
        <f>IFERROR(MATCH(ROW()-4,rOrden_RN,0),"")</f>
        <v/>
      </c>
      <c r="O81">
        <f>IF($N81="","",INDEX('Cronograma R. Normativo'!$S$5:$S$1000,$N81))</f>
        <v/>
      </c>
      <c r="P81">
        <f>IF($N81="","",N(INDEX('Cronograma R. Normativo'!$T$5:$T$1000,$N81)))</f>
        <v/>
      </c>
    </row>
    <row r="82">
      <c r="A82" s="61">
        <f>IF($N82="","",INDEX('Cronograma R. Normativo'!$A$5:$A$1000,$N82))</f>
        <v/>
      </c>
      <c r="B82" s="70">
        <f>IF($N82="","",IF($O82="Sub","     ↳ "&amp;INDEX('Cronograma R. Normativo'!$C$5:$C$1000,$N82),INDEX('Cronograma R. Normativo'!$B$5:$B$1000,$N82)&amp;""))</f>
        <v/>
      </c>
      <c r="C82" s="70">
        <f>IF($N82="","",INDEX('Cronograma R. Normativo'!$D$5:$D$1000,$N82)&amp;"")</f>
        <v/>
      </c>
      <c r="D82" s="76">
        <f>IF($N82="","",IF(INDEX('Cronograma R. Normativo'!$E$5:$E$1000,$N82)="","",INDEX('Cronograma R. Normativo'!$E$5:$E$1000,$N82)))</f>
        <v/>
      </c>
      <c r="E82" s="76">
        <f>IF($N82="","",IF(INDEX('Cronograma R. Normativo'!$F$5:$F$1000,$N82)="","",INDEX('Cronograma R. Normativo'!$F$5:$F$1000,$N82)))</f>
        <v/>
      </c>
      <c r="F82" s="61">
        <f>IF($N82="","",IF(NOT(ISNUMBER($E82)),"",IF($E82&lt;InicioCiclo,"Antes del ciclo",IF($E82&gt;=InicioCiclo+28,"Después del ciclo","Semana "&amp;(INT(($E82-InicioCiclo)/7)+1)))))</f>
        <v/>
      </c>
      <c r="G82" s="67">
        <f>IF($N82="","",IF($P82&gt;0,IF(1&lt;=SemanaActual,INDEX('Cronograma R. Normativo'!$Y$5:$Y$1000,$N82),""),IF(INDEX('Cronograma R. Normativo'!$H$5:$H$1000,$N82)="","",INDEX('Cronograma R. Normativo'!$H$5:$H$1000,$N82))))</f>
        <v/>
      </c>
      <c r="H82" s="67">
        <f>IF($N82="","",IF($P82&gt;0,IF(2&lt;=SemanaActual,INDEX('Cronograma R. Normativo'!$Z$5:$Z$1000,$N82),""),IF(INDEX('Cronograma R. Normativo'!$I$5:$I$1000,$N82)="","",INDEX('Cronograma R. Normativo'!$I$5:$I$1000,$N82))))</f>
        <v/>
      </c>
      <c r="I82" s="67">
        <f>IF($N82="","",IF($P82&gt;0,IF(3&lt;=SemanaActual,INDEX('Cronograma R. Normativo'!$AA$5:$AA$1000,$N82),""),IF(INDEX('Cronograma R. Normativo'!$J$5:$J$1000,$N82)="","",INDEX('Cronograma R. Normativo'!$J$5:$J$1000,$N82))))</f>
        <v/>
      </c>
      <c r="J82" s="67">
        <f>IF($N82="","",IF($P82&gt;0,IF(4&lt;=SemanaActual,INDEX('Cronograma R. Normativo'!$AB$5:$AB$1000,$N82),""),IF(INDEX('Cronograma R. Normativo'!$K$5:$K$1000,$N82)="","",INDEX('Cronograma R. Normativo'!$K$5:$K$1000,$N82))))</f>
        <v/>
      </c>
      <c r="K82" s="67">
        <f>IF($N82="","",INDEX('Cronograma R. Normativo'!$L$5:$L$1000,$N82))</f>
        <v/>
      </c>
      <c r="L82" s="61">
        <f>IF($N82="","",IF(N($K82)&gt;=1,"Completado",IF(AND(ISNUMBER($E82),$E82&lt;FechaRef),"Vencida",IF(N($K82)&gt;0,"En curso","Pendiente"))))</f>
        <v/>
      </c>
      <c r="M82" s="70">
        <f>IF($N82="","",INDEX('Cronograma R. Normativo'!$N$5:$N$1000,$N82)&amp;"")</f>
        <v/>
      </c>
      <c r="N82">
        <f>IFERROR(MATCH(ROW()-4,rOrden_RN,0),"")</f>
        <v/>
      </c>
      <c r="O82">
        <f>IF($N82="","",INDEX('Cronograma R. Normativo'!$S$5:$S$1000,$N82))</f>
        <v/>
      </c>
      <c r="P82">
        <f>IF($N82="","",N(INDEX('Cronograma R. Normativo'!$T$5:$T$1000,$N82)))</f>
        <v/>
      </c>
    </row>
    <row r="83">
      <c r="A83" s="61">
        <f>IF($N83="","",INDEX('Cronograma R. Normativo'!$A$5:$A$1000,$N83))</f>
        <v/>
      </c>
      <c r="B83" s="70">
        <f>IF($N83="","",IF($O83="Sub","     ↳ "&amp;INDEX('Cronograma R. Normativo'!$C$5:$C$1000,$N83),INDEX('Cronograma R. Normativo'!$B$5:$B$1000,$N83)&amp;""))</f>
        <v/>
      </c>
      <c r="C83" s="70">
        <f>IF($N83="","",INDEX('Cronograma R. Normativo'!$D$5:$D$1000,$N83)&amp;"")</f>
        <v/>
      </c>
      <c r="D83" s="76">
        <f>IF($N83="","",IF(INDEX('Cronograma R. Normativo'!$E$5:$E$1000,$N83)="","",INDEX('Cronograma R. Normativo'!$E$5:$E$1000,$N83)))</f>
        <v/>
      </c>
      <c r="E83" s="76">
        <f>IF($N83="","",IF(INDEX('Cronograma R. Normativo'!$F$5:$F$1000,$N83)="","",INDEX('Cronograma R. Normativo'!$F$5:$F$1000,$N83)))</f>
        <v/>
      </c>
      <c r="F83" s="61">
        <f>IF($N83="","",IF(NOT(ISNUMBER($E83)),"",IF($E83&lt;InicioCiclo,"Antes del ciclo",IF($E83&gt;=InicioCiclo+28,"Después del ciclo","Semana "&amp;(INT(($E83-InicioCiclo)/7)+1)))))</f>
        <v/>
      </c>
      <c r="G83" s="67">
        <f>IF($N83="","",IF($P83&gt;0,IF(1&lt;=SemanaActual,INDEX('Cronograma R. Normativo'!$Y$5:$Y$1000,$N83),""),IF(INDEX('Cronograma R. Normativo'!$H$5:$H$1000,$N83)="","",INDEX('Cronograma R. Normativo'!$H$5:$H$1000,$N83))))</f>
        <v/>
      </c>
      <c r="H83" s="67">
        <f>IF($N83="","",IF($P83&gt;0,IF(2&lt;=SemanaActual,INDEX('Cronograma R. Normativo'!$Z$5:$Z$1000,$N83),""),IF(INDEX('Cronograma R. Normativo'!$I$5:$I$1000,$N83)="","",INDEX('Cronograma R. Normativo'!$I$5:$I$1000,$N83))))</f>
        <v/>
      </c>
      <c r="I83" s="67">
        <f>IF($N83="","",IF($P83&gt;0,IF(3&lt;=SemanaActual,INDEX('Cronograma R. Normativo'!$AA$5:$AA$1000,$N83),""),IF(INDEX('Cronograma R. Normativo'!$J$5:$J$1000,$N83)="","",INDEX('Cronograma R. Normativo'!$J$5:$J$1000,$N83))))</f>
        <v/>
      </c>
      <c r="J83" s="67">
        <f>IF($N83="","",IF($P83&gt;0,IF(4&lt;=SemanaActual,INDEX('Cronograma R. Normativo'!$AB$5:$AB$1000,$N83),""),IF(INDEX('Cronograma R. Normativo'!$K$5:$K$1000,$N83)="","",INDEX('Cronograma R. Normativo'!$K$5:$K$1000,$N83))))</f>
        <v/>
      </c>
      <c r="K83" s="67">
        <f>IF($N83="","",INDEX('Cronograma R. Normativo'!$L$5:$L$1000,$N83))</f>
        <v/>
      </c>
      <c r="L83" s="61">
        <f>IF($N83="","",IF(N($K83)&gt;=1,"Completado",IF(AND(ISNUMBER($E83),$E83&lt;FechaRef),"Vencida",IF(N($K83)&gt;0,"En curso","Pendiente"))))</f>
        <v/>
      </c>
      <c r="M83" s="70">
        <f>IF($N83="","",INDEX('Cronograma R. Normativo'!$N$5:$N$1000,$N83)&amp;"")</f>
        <v/>
      </c>
      <c r="N83">
        <f>IFERROR(MATCH(ROW()-4,rOrden_RN,0),"")</f>
        <v/>
      </c>
      <c r="O83">
        <f>IF($N83="","",INDEX('Cronograma R. Normativo'!$S$5:$S$1000,$N83))</f>
        <v/>
      </c>
      <c r="P83">
        <f>IF($N83="","",N(INDEX('Cronograma R. Normativo'!$T$5:$T$1000,$N83)))</f>
        <v/>
      </c>
    </row>
    <row r="84">
      <c r="A84" s="61">
        <f>IF($N84="","",INDEX('Cronograma R. Normativo'!$A$5:$A$1000,$N84))</f>
        <v/>
      </c>
      <c r="B84" s="70">
        <f>IF($N84="","",IF($O84="Sub","     ↳ "&amp;INDEX('Cronograma R. Normativo'!$C$5:$C$1000,$N84),INDEX('Cronograma R. Normativo'!$B$5:$B$1000,$N84)&amp;""))</f>
        <v/>
      </c>
      <c r="C84" s="70">
        <f>IF($N84="","",INDEX('Cronograma R. Normativo'!$D$5:$D$1000,$N84)&amp;"")</f>
        <v/>
      </c>
      <c r="D84" s="76">
        <f>IF($N84="","",IF(INDEX('Cronograma R. Normativo'!$E$5:$E$1000,$N84)="","",INDEX('Cronograma R. Normativo'!$E$5:$E$1000,$N84)))</f>
        <v/>
      </c>
      <c r="E84" s="76">
        <f>IF($N84="","",IF(INDEX('Cronograma R. Normativo'!$F$5:$F$1000,$N84)="","",INDEX('Cronograma R. Normativo'!$F$5:$F$1000,$N84)))</f>
        <v/>
      </c>
      <c r="F84" s="61">
        <f>IF($N84="","",IF(NOT(ISNUMBER($E84)),"",IF($E84&lt;InicioCiclo,"Antes del ciclo",IF($E84&gt;=InicioCiclo+28,"Después del ciclo","Semana "&amp;(INT(($E84-InicioCiclo)/7)+1)))))</f>
        <v/>
      </c>
      <c r="G84" s="67">
        <f>IF($N84="","",IF($P84&gt;0,IF(1&lt;=SemanaActual,INDEX('Cronograma R. Normativo'!$Y$5:$Y$1000,$N84),""),IF(INDEX('Cronograma R. Normativo'!$H$5:$H$1000,$N84)="","",INDEX('Cronograma R. Normativo'!$H$5:$H$1000,$N84))))</f>
        <v/>
      </c>
      <c r="H84" s="67">
        <f>IF($N84="","",IF($P84&gt;0,IF(2&lt;=SemanaActual,INDEX('Cronograma R. Normativo'!$Z$5:$Z$1000,$N84),""),IF(INDEX('Cronograma R. Normativo'!$I$5:$I$1000,$N84)="","",INDEX('Cronograma R. Normativo'!$I$5:$I$1000,$N84))))</f>
        <v/>
      </c>
      <c r="I84" s="67">
        <f>IF($N84="","",IF($P84&gt;0,IF(3&lt;=SemanaActual,INDEX('Cronograma R. Normativo'!$AA$5:$AA$1000,$N84),""),IF(INDEX('Cronograma R. Normativo'!$J$5:$J$1000,$N84)="","",INDEX('Cronograma R. Normativo'!$J$5:$J$1000,$N84))))</f>
        <v/>
      </c>
      <c r="J84" s="67">
        <f>IF($N84="","",IF($P84&gt;0,IF(4&lt;=SemanaActual,INDEX('Cronograma R. Normativo'!$AB$5:$AB$1000,$N84),""),IF(INDEX('Cronograma R. Normativo'!$K$5:$K$1000,$N84)="","",INDEX('Cronograma R. Normativo'!$K$5:$K$1000,$N84))))</f>
        <v/>
      </c>
      <c r="K84" s="67">
        <f>IF($N84="","",INDEX('Cronograma R. Normativo'!$L$5:$L$1000,$N84))</f>
        <v/>
      </c>
      <c r="L84" s="61">
        <f>IF($N84="","",IF(N($K84)&gt;=1,"Completado",IF(AND(ISNUMBER($E84),$E84&lt;FechaRef),"Vencida",IF(N($K84)&gt;0,"En curso","Pendiente"))))</f>
        <v/>
      </c>
      <c r="M84" s="70">
        <f>IF($N84="","",INDEX('Cronograma R. Normativo'!$N$5:$N$1000,$N84)&amp;"")</f>
        <v/>
      </c>
      <c r="N84">
        <f>IFERROR(MATCH(ROW()-4,rOrden_RN,0),"")</f>
        <v/>
      </c>
      <c r="O84">
        <f>IF($N84="","",INDEX('Cronograma R. Normativo'!$S$5:$S$1000,$N84))</f>
        <v/>
      </c>
      <c r="P84">
        <f>IF($N84="","",N(INDEX('Cronograma R. Normativo'!$T$5:$T$1000,$N84)))</f>
        <v/>
      </c>
    </row>
    <row r="85">
      <c r="A85" s="61">
        <f>IF($N85="","",INDEX('Cronograma R. Normativo'!$A$5:$A$1000,$N85))</f>
        <v/>
      </c>
      <c r="B85" s="70">
        <f>IF($N85="","",IF($O85="Sub","     ↳ "&amp;INDEX('Cronograma R. Normativo'!$C$5:$C$1000,$N85),INDEX('Cronograma R. Normativo'!$B$5:$B$1000,$N85)&amp;""))</f>
        <v/>
      </c>
      <c r="C85" s="70">
        <f>IF($N85="","",INDEX('Cronograma R. Normativo'!$D$5:$D$1000,$N85)&amp;"")</f>
        <v/>
      </c>
      <c r="D85" s="76">
        <f>IF($N85="","",IF(INDEX('Cronograma R. Normativo'!$E$5:$E$1000,$N85)="","",INDEX('Cronograma R. Normativo'!$E$5:$E$1000,$N85)))</f>
        <v/>
      </c>
      <c r="E85" s="76">
        <f>IF($N85="","",IF(INDEX('Cronograma R. Normativo'!$F$5:$F$1000,$N85)="","",INDEX('Cronograma R. Normativo'!$F$5:$F$1000,$N85)))</f>
        <v/>
      </c>
      <c r="F85" s="61">
        <f>IF($N85="","",IF(NOT(ISNUMBER($E85)),"",IF($E85&lt;InicioCiclo,"Antes del ciclo",IF($E85&gt;=InicioCiclo+28,"Después del ciclo","Semana "&amp;(INT(($E85-InicioCiclo)/7)+1)))))</f>
        <v/>
      </c>
      <c r="G85" s="67">
        <f>IF($N85="","",IF($P85&gt;0,IF(1&lt;=SemanaActual,INDEX('Cronograma R. Normativo'!$Y$5:$Y$1000,$N85),""),IF(INDEX('Cronograma R. Normativo'!$H$5:$H$1000,$N85)="","",INDEX('Cronograma R. Normativo'!$H$5:$H$1000,$N85))))</f>
        <v/>
      </c>
      <c r="H85" s="67">
        <f>IF($N85="","",IF($P85&gt;0,IF(2&lt;=SemanaActual,INDEX('Cronograma R. Normativo'!$Z$5:$Z$1000,$N85),""),IF(INDEX('Cronograma R. Normativo'!$I$5:$I$1000,$N85)="","",INDEX('Cronograma R. Normativo'!$I$5:$I$1000,$N85))))</f>
        <v/>
      </c>
      <c r="I85" s="67">
        <f>IF($N85="","",IF($P85&gt;0,IF(3&lt;=SemanaActual,INDEX('Cronograma R. Normativo'!$AA$5:$AA$1000,$N85),""),IF(INDEX('Cronograma R. Normativo'!$J$5:$J$1000,$N85)="","",INDEX('Cronograma R. Normativo'!$J$5:$J$1000,$N85))))</f>
        <v/>
      </c>
      <c r="J85" s="67">
        <f>IF($N85="","",IF($P85&gt;0,IF(4&lt;=SemanaActual,INDEX('Cronograma R. Normativo'!$AB$5:$AB$1000,$N85),""),IF(INDEX('Cronograma R. Normativo'!$K$5:$K$1000,$N85)="","",INDEX('Cronograma R. Normativo'!$K$5:$K$1000,$N85))))</f>
        <v/>
      </c>
      <c r="K85" s="67">
        <f>IF($N85="","",INDEX('Cronograma R. Normativo'!$L$5:$L$1000,$N85))</f>
        <v/>
      </c>
      <c r="L85" s="61">
        <f>IF($N85="","",IF(N($K85)&gt;=1,"Completado",IF(AND(ISNUMBER($E85),$E85&lt;FechaRef),"Vencida",IF(N($K85)&gt;0,"En curso","Pendiente"))))</f>
        <v/>
      </c>
      <c r="M85" s="70">
        <f>IF($N85="","",INDEX('Cronograma R. Normativo'!$N$5:$N$1000,$N85)&amp;"")</f>
        <v/>
      </c>
      <c r="N85">
        <f>IFERROR(MATCH(ROW()-4,rOrden_RN,0),"")</f>
        <v/>
      </c>
      <c r="O85">
        <f>IF($N85="","",INDEX('Cronograma R. Normativo'!$S$5:$S$1000,$N85))</f>
        <v/>
      </c>
      <c r="P85">
        <f>IF($N85="","",N(INDEX('Cronograma R. Normativo'!$T$5:$T$1000,$N85)))</f>
        <v/>
      </c>
    </row>
    <row r="86">
      <c r="A86" s="61">
        <f>IF($N86="","",INDEX('Cronograma R. Normativo'!$A$5:$A$1000,$N86))</f>
        <v/>
      </c>
      <c r="B86" s="70">
        <f>IF($N86="","",IF($O86="Sub","     ↳ "&amp;INDEX('Cronograma R. Normativo'!$C$5:$C$1000,$N86),INDEX('Cronograma R. Normativo'!$B$5:$B$1000,$N86)&amp;""))</f>
        <v/>
      </c>
      <c r="C86" s="70">
        <f>IF($N86="","",INDEX('Cronograma R. Normativo'!$D$5:$D$1000,$N86)&amp;"")</f>
        <v/>
      </c>
      <c r="D86" s="76">
        <f>IF($N86="","",IF(INDEX('Cronograma R. Normativo'!$E$5:$E$1000,$N86)="","",INDEX('Cronograma R. Normativo'!$E$5:$E$1000,$N86)))</f>
        <v/>
      </c>
      <c r="E86" s="76">
        <f>IF($N86="","",IF(INDEX('Cronograma R. Normativo'!$F$5:$F$1000,$N86)="","",INDEX('Cronograma R. Normativo'!$F$5:$F$1000,$N86)))</f>
        <v/>
      </c>
      <c r="F86" s="61">
        <f>IF($N86="","",IF(NOT(ISNUMBER($E86)),"",IF($E86&lt;InicioCiclo,"Antes del ciclo",IF($E86&gt;=InicioCiclo+28,"Después del ciclo","Semana "&amp;(INT(($E86-InicioCiclo)/7)+1)))))</f>
        <v/>
      </c>
      <c r="G86" s="67">
        <f>IF($N86="","",IF($P86&gt;0,IF(1&lt;=SemanaActual,INDEX('Cronograma R. Normativo'!$Y$5:$Y$1000,$N86),""),IF(INDEX('Cronograma R. Normativo'!$H$5:$H$1000,$N86)="","",INDEX('Cronograma R. Normativo'!$H$5:$H$1000,$N86))))</f>
        <v/>
      </c>
      <c r="H86" s="67">
        <f>IF($N86="","",IF($P86&gt;0,IF(2&lt;=SemanaActual,INDEX('Cronograma R. Normativo'!$Z$5:$Z$1000,$N86),""),IF(INDEX('Cronograma R. Normativo'!$I$5:$I$1000,$N86)="","",INDEX('Cronograma R. Normativo'!$I$5:$I$1000,$N86))))</f>
        <v/>
      </c>
      <c r="I86" s="67">
        <f>IF($N86="","",IF($P86&gt;0,IF(3&lt;=SemanaActual,INDEX('Cronograma R. Normativo'!$AA$5:$AA$1000,$N86),""),IF(INDEX('Cronograma R. Normativo'!$J$5:$J$1000,$N86)="","",INDEX('Cronograma R. Normativo'!$J$5:$J$1000,$N86))))</f>
        <v/>
      </c>
      <c r="J86" s="67">
        <f>IF($N86="","",IF($P86&gt;0,IF(4&lt;=SemanaActual,INDEX('Cronograma R. Normativo'!$AB$5:$AB$1000,$N86),""),IF(INDEX('Cronograma R. Normativo'!$K$5:$K$1000,$N86)="","",INDEX('Cronograma R. Normativo'!$K$5:$K$1000,$N86))))</f>
        <v/>
      </c>
      <c r="K86" s="67">
        <f>IF($N86="","",INDEX('Cronograma R. Normativo'!$L$5:$L$1000,$N86))</f>
        <v/>
      </c>
      <c r="L86" s="61">
        <f>IF($N86="","",IF(N($K86)&gt;=1,"Completado",IF(AND(ISNUMBER($E86),$E86&lt;FechaRef),"Vencida",IF(N($K86)&gt;0,"En curso","Pendiente"))))</f>
        <v/>
      </c>
      <c r="M86" s="70">
        <f>IF($N86="","",INDEX('Cronograma R. Normativo'!$N$5:$N$1000,$N86)&amp;"")</f>
        <v/>
      </c>
      <c r="N86">
        <f>IFERROR(MATCH(ROW()-4,rOrden_RN,0),"")</f>
        <v/>
      </c>
      <c r="O86">
        <f>IF($N86="","",INDEX('Cronograma R. Normativo'!$S$5:$S$1000,$N86))</f>
        <v/>
      </c>
      <c r="P86">
        <f>IF($N86="","",N(INDEX('Cronograma R. Normativo'!$T$5:$T$1000,$N86)))</f>
        <v/>
      </c>
    </row>
    <row r="87">
      <c r="A87" s="61">
        <f>IF($N87="","",INDEX('Cronograma R. Normativo'!$A$5:$A$1000,$N87))</f>
        <v/>
      </c>
      <c r="B87" s="70">
        <f>IF($N87="","",IF($O87="Sub","     ↳ "&amp;INDEX('Cronograma R. Normativo'!$C$5:$C$1000,$N87),INDEX('Cronograma R. Normativo'!$B$5:$B$1000,$N87)&amp;""))</f>
        <v/>
      </c>
      <c r="C87" s="70">
        <f>IF($N87="","",INDEX('Cronograma R. Normativo'!$D$5:$D$1000,$N87)&amp;"")</f>
        <v/>
      </c>
      <c r="D87" s="76">
        <f>IF($N87="","",IF(INDEX('Cronograma R. Normativo'!$E$5:$E$1000,$N87)="","",INDEX('Cronograma R. Normativo'!$E$5:$E$1000,$N87)))</f>
        <v/>
      </c>
      <c r="E87" s="76">
        <f>IF($N87="","",IF(INDEX('Cronograma R. Normativo'!$F$5:$F$1000,$N87)="","",INDEX('Cronograma R. Normativo'!$F$5:$F$1000,$N87)))</f>
        <v/>
      </c>
      <c r="F87" s="61">
        <f>IF($N87="","",IF(NOT(ISNUMBER($E87)),"",IF($E87&lt;InicioCiclo,"Antes del ciclo",IF($E87&gt;=InicioCiclo+28,"Después del ciclo","Semana "&amp;(INT(($E87-InicioCiclo)/7)+1)))))</f>
        <v/>
      </c>
      <c r="G87" s="67">
        <f>IF($N87="","",IF($P87&gt;0,IF(1&lt;=SemanaActual,INDEX('Cronograma R. Normativo'!$Y$5:$Y$1000,$N87),""),IF(INDEX('Cronograma R. Normativo'!$H$5:$H$1000,$N87)="","",INDEX('Cronograma R. Normativo'!$H$5:$H$1000,$N87))))</f>
        <v/>
      </c>
      <c r="H87" s="67">
        <f>IF($N87="","",IF($P87&gt;0,IF(2&lt;=SemanaActual,INDEX('Cronograma R. Normativo'!$Z$5:$Z$1000,$N87),""),IF(INDEX('Cronograma R. Normativo'!$I$5:$I$1000,$N87)="","",INDEX('Cronograma R. Normativo'!$I$5:$I$1000,$N87))))</f>
        <v/>
      </c>
      <c r="I87" s="67">
        <f>IF($N87="","",IF($P87&gt;0,IF(3&lt;=SemanaActual,INDEX('Cronograma R. Normativo'!$AA$5:$AA$1000,$N87),""),IF(INDEX('Cronograma R. Normativo'!$J$5:$J$1000,$N87)="","",INDEX('Cronograma R. Normativo'!$J$5:$J$1000,$N87))))</f>
        <v/>
      </c>
      <c r="J87" s="67">
        <f>IF($N87="","",IF($P87&gt;0,IF(4&lt;=SemanaActual,INDEX('Cronograma R. Normativo'!$AB$5:$AB$1000,$N87),""),IF(INDEX('Cronograma R. Normativo'!$K$5:$K$1000,$N87)="","",INDEX('Cronograma R. Normativo'!$K$5:$K$1000,$N87))))</f>
        <v/>
      </c>
      <c r="K87" s="67">
        <f>IF($N87="","",INDEX('Cronograma R. Normativo'!$L$5:$L$1000,$N87))</f>
        <v/>
      </c>
      <c r="L87" s="61">
        <f>IF($N87="","",IF(N($K87)&gt;=1,"Completado",IF(AND(ISNUMBER($E87),$E87&lt;FechaRef),"Vencida",IF(N($K87)&gt;0,"En curso","Pendiente"))))</f>
        <v/>
      </c>
      <c r="M87" s="70">
        <f>IF($N87="","",INDEX('Cronograma R. Normativo'!$N$5:$N$1000,$N87)&amp;"")</f>
        <v/>
      </c>
      <c r="N87">
        <f>IFERROR(MATCH(ROW()-4,rOrden_RN,0),"")</f>
        <v/>
      </c>
      <c r="O87">
        <f>IF($N87="","",INDEX('Cronograma R. Normativo'!$S$5:$S$1000,$N87))</f>
        <v/>
      </c>
      <c r="P87">
        <f>IF($N87="","",N(INDEX('Cronograma R. Normativo'!$T$5:$T$1000,$N87)))</f>
        <v/>
      </c>
    </row>
    <row r="88">
      <c r="A88" s="61">
        <f>IF($N88="","",INDEX('Cronograma R. Normativo'!$A$5:$A$1000,$N88))</f>
        <v/>
      </c>
      <c r="B88" s="70">
        <f>IF($N88="","",IF($O88="Sub","     ↳ "&amp;INDEX('Cronograma R. Normativo'!$C$5:$C$1000,$N88),INDEX('Cronograma R. Normativo'!$B$5:$B$1000,$N88)&amp;""))</f>
        <v/>
      </c>
      <c r="C88" s="70">
        <f>IF($N88="","",INDEX('Cronograma R. Normativo'!$D$5:$D$1000,$N88)&amp;"")</f>
        <v/>
      </c>
      <c r="D88" s="76">
        <f>IF($N88="","",IF(INDEX('Cronograma R. Normativo'!$E$5:$E$1000,$N88)="","",INDEX('Cronograma R. Normativo'!$E$5:$E$1000,$N88)))</f>
        <v/>
      </c>
      <c r="E88" s="76">
        <f>IF($N88="","",IF(INDEX('Cronograma R. Normativo'!$F$5:$F$1000,$N88)="","",INDEX('Cronograma R. Normativo'!$F$5:$F$1000,$N88)))</f>
        <v/>
      </c>
      <c r="F88" s="61">
        <f>IF($N88="","",IF(NOT(ISNUMBER($E88)),"",IF($E88&lt;InicioCiclo,"Antes del ciclo",IF($E88&gt;=InicioCiclo+28,"Después del ciclo","Semana "&amp;(INT(($E88-InicioCiclo)/7)+1)))))</f>
        <v/>
      </c>
      <c r="G88" s="67">
        <f>IF($N88="","",IF($P88&gt;0,IF(1&lt;=SemanaActual,INDEX('Cronograma R. Normativo'!$Y$5:$Y$1000,$N88),""),IF(INDEX('Cronograma R. Normativo'!$H$5:$H$1000,$N88)="","",INDEX('Cronograma R. Normativo'!$H$5:$H$1000,$N88))))</f>
        <v/>
      </c>
      <c r="H88" s="67">
        <f>IF($N88="","",IF($P88&gt;0,IF(2&lt;=SemanaActual,INDEX('Cronograma R. Normativo'!$Z$5:$Z$1000,$N88),""),IF(INDEX('Cronograma R. Normativo'!$I$5:$I$1000,$N88)="","",INDEX('Cronograma R. Normativo'!$I$5:$I$1000,$N88))))</f>
        <v/>
      </c>
      <c r="I88" s="67">
        <f>IF($N88="","",IF($P88&gt;0,IF(3&lt;=SemanaActual,INDEX('Cronograma R. Normativo'!$AA$5:$AA$1000,$N88),""),IF(INDEX('Cronograma R. Normativo'!$J$5:$J$1000,$N88)="","",INDEX('Cronograma R. Normativo'!$J$5:$J$1000,$N88))))</f>
        <v/>
      </c>
      <c r="J88" s="67">
        <f>IF($N88="","",IF($P88&gt;0,IF(4&lt;=SemanaActual,INDEX('Cronograma R. Normativo'!$AB$5:$AB$1000,$N88),""),IF(INDEX('Cronograma R. Normativo'!$K$5:$K$1000,$N88)="","",INDEX('Cronograma R. Normativo'!$K$5:$K$1000,$N88))))</f>
        <v/>
      </c>
      <c r="K88" s="67">
        <f>IF($N88="","",INDEX('Cronograma R. Normativo'!$L$5:$L$1000,$N88))</f>
        <v/>
      </c>
      <c r="L88" s="61">
        <f>IF($N88="","",IF(N($K88)&gt;=1,"Completado",IF(AND(ISNUMBER($E88),$E88&lt;FechaRef),"Vencida",IF(N($K88)&gt;0,"En curso","Pendiente"))))</f>
        <v/>
      </c>
      <c r="M88" s="70">
        <f>IF($N88="","",INDEX('Cronograma R. Normativo'!$N$5:$N$1000,$N88)&amp;"")</f>
        <v/>
      </c>
      <c r="N88">
        <f>IFERROR(MATCH(ROW()-4,rOrden_RN,0),"")</f>
        <v/>
      </c>
      <c r="O88">
        <f>IF($N88="","",INDEX('Cronograma R. Normativo'!$S$5:$S$1000,$N88))</f>
        <v/>
      </c>
      <c r="P88">
        <f>IF($N88="","",N(INDEX('Cronograma R. Normativo'!$T$5:$T$1000,$N88)))</f>
        <v/>
      </c>
    </row>
    <row r="89">
      <c r="A89" s="61">
        <f>IF($N89="","",INDEX('Cronograma R. Normativo'!$A$5:$A$1000,$N89))</f>
        <v/>
      </c>
      <c r="B89" s="70">
        <f>IF($N89="","",IF($O89="Sub","     ↳ "&amp;INDEX('Cronograma R. Normativo'!$C$5:$C$1000,$N89),INDEX('Cronograma R. Normativo'!$B$5:$B$1000,$N89)&amp;""))</f>
        <v/>
      </c>
      <c r="C89" s="70">
        <f>IF($N89="","",INDEX('Cronograma R. Normativo'!$D$5:$D$1000,$N89)&amp;"")</f>
        <v/>
      </c>
      <c r="D89" s="76">
        <f>IF($N89="","",IF(INDEX('Cronograma R. Normativo'!$E$5:$E$1000,$N89)="","",INDEX('Cronograma R. Normativo'!$E$5:$E$1000,$N89)))</f>
        <v/>
      </c>
      <c r="E89" s="76">
        <f>IF($N89="","",IF(INDEX('Cronograma R. Normativo'!$F$5:$F$1000,$N89)="","",INDEX('Cronograma R. Normativo'!$F$5:$F$1000,$N89)))</f>
        <v/>
      </c>
      <c r="F89" s="61">
        <f>IF($N89="","",IF(NOT(ISNUMBER($E89)),"",IF($E89&lt;InicioCiclo,"Antes del ciclo",IF($E89&gt;=InicioCiclo+28,"Después del ciclo","Semana "&amp;(INT(($E89-InicioCiclo)/7)+1)))))</f>
        <v/>
      </c>
      <c r="G89" s="67">
        <f>IF($N89="","",IF($P89&gt;0,IF(1&lt;=SemanaActual,INDEX('Cronograma R. Normativo'!$Y$5:$Y$1000,$N89),""),IF(INDEX('Cronograma R. Normativo'!$H$5:$H$1000,$N89)="","",INDEX('Cronograma R. Normativo'!$H$5:$H$1000,$N89))))</f>
        <v/>
      </c>
      <c r="H89" s="67">
        <f>IF($N89="","",IF($P89&gt;0,IF(2&lt;=SemanaActual,INDEX('Cronograma R. Normativo'!$Z$5:$Z$1000,$N89),""),IF(INDEX('Cronograma R. Normativo'!$I$5:$I$1000,$N89)="","",INDEX('Cronograma R. Normativo'!$I$5:$I$1000,$N89))))</f>
        <v/>
      </c>
      <c r="I89" s="67">
        <f>IF($N89="","",IF($P89&gt;0,IF(3&lt;=SemanaActual,INDEX('Cronograma R. Normativo'!$AA$5:$AA$1000,$N89),""),IF(INDEX('Cronograma R. Normativo'!$J$5:$J$1000,$N89)="","",INDEX('Cronograma R. Normativo'!$J$5:$J$1000,$N89))))</f>
        <v/>
      </c>
      <c r="J89" s="67">
        <f>IF($N89="","",IF($P89&gt;0,IF(4&lt;=SemanaActual,INDEX('Cronograma R. Normativo'!$AB$5:$AB$1000,$N89),""),IF(INDEX('Cronograma R. Normativo'!$K$5:$K$1000,$N89)="","",INDEX('Cronograma R. Normativo'!$K$5:$K$1000,$N89))))</f>
        <v/>
      </c>
      <c r="K89" s="67">
        <f>IF($N89="","",INDEX('Cronograma R. Normativo'!$L$5:$L$1000,$N89))</f>
        <v/>
      </c>
      <c r="L89" s="61">
        <f>IF($N89="","",IF(N($K89)&gt;=1,"Completado",IF(AND(ISNUMBER($E89),$E89&lt;FechaRef),"Vencida",IF(N($K89)&gt;0,"En curso","Pendiente"))))</f>
        <v/>
      </c>
      <c r="M89" s="70">
        <f>IF($N89="","",INDEX('Cronograma R. Normativo'!$N$5:$N$1000,$N89)&amp;"")</f>
        <v/>
      </c>
      <c r="N89">
        <f>IFERROR(MATCH(ROW()-4,rOrden_RN,0),"")</f>
        <v/>
      </c>
      <c r="O89">
        <f>IF($N89="","",INDEX('Cronograma R. Normativo'!$S$5:$S$1000,$N89))</f>
        <v/>
      </c>
      <c r="P89">
        <f>IF($N89="","",N(INDEX('Cronograma R. Normativo'!$T$5:$T$1000,$N89)))</f>
        <v/>
      </c>
    </row>
    <row r="90">
      <c r="A90" s="61">
        <f>IF($N90="","",INDEX('Cronograma R. Normativo'!$A$5:$A$1000,$N90))</f>
        <v/>
      </c>
      <c r="B90" s="70">
        <f>IF($N90="","",IF($O90="Sub","     ↳ "&amp;INDEX('Cronograma R. Normativo'!$C$5:$C$1000,$N90),INDEX('Cronograma R. Normativo'!$B$5:$B$1000,$N90)&amp;""))</f>
        <v/>
      </c>
      <c r="C90" s="70">
        <f>IF($N90="","",INDEX('Cronograma R. Normativo'!$D$5:$D$1000,$N90)&amp;"")</f>
        <v/>
      </c>
      <c r="D90" s="76">
        <f>IF($N90="","",IF(INDEX('Cronograma R. Normativo'!$E$5:$E$1000,$N90)="","",INDEX('Cronograma R. Normativo'!$E$5:$E$1000,$N90)))</f>
        <v/>
      </c>
      <c r="E90" s="76">
        <f>IF($N90="","",IF(INDEX('Cronograma R. Normativo'!$F$5:$F$1000,$N90)="","",INDEX('Cronograma R. Normativo'!$F$5:$F$1000,$N90)))</f>
        <v/>
      </c>
      <c r="F90" s="61">
        <f>IF($N90="","",IF(NOT(ISNUMBER($E90)),"",IF($E90&lt;InicioCiclo,"Antes del ciclo",IF($E90&gt;=InicioCiclo+28,"Después del ciclo","Semana "&amp;(INT(($E90-InicioCiclo)/7)+1)))))</f>
        <v/>
      </c>
      <c r="G90" s="67">
        <f>IF($N90="","",IF($P90&gt;0,IF(1&lt;=SemanaActual,INDEX('Cronograma R. Normativo'!$Y$5:$Y$1000,$N90),""),IF(INDEX('Cronograma R. Normativo'!$H$5:$H$1000,$N90)="","",INDEX('Cronograma R. Normativo'!$H$5:$H$1000,$N90))))</f>
        <v/>
      </c>
      <c r="H90" s="67">
        <f>IF($N90="","",IF($P90&gt;0,IF(2&lt;=SemanaActual,INDEX('Cronograma R. Normativo'!$Z$5:$Z$1000,$N90),""),IF(INDEX('Cronograma R. Normativo'!$I$5:$I$1000,$N90)="","",INDEX('Cronograma R. Normativo'!$I$5:$I$1000,$N90))))</f>
        <v/>
      </c>
      <c r="I90" s="67">
        <f>IF($N90="","",IF($P90&gt;0,IF(3&lt;=SemanaActual,INDEX('Cronograma R. Normativo'!$AA$5:$AA$1000,$N90),""),IF(INDEX('Cronograma R. Normativo'!$J$5:$J$1000,$N90)="","",INDEX('Cronograma R. Normativo'!$J$5:$J$1000,$N90))))</f>
        <v/>
      </c>
      <c r="J90" s="67">
        <f>IF($N90="","",IF($P90&gt;0,IF(4&lt;=SemanaActual,INDEX('Cronograma R. Normativo'!$AB$5:$AB$1000,$N90),""),IF(INDEX('Cronograma R. Normativo'!$K$5:$K$1000,$N90)="","",INDEX('Cronograma R. Normativo'!$K$5:$K$1000,$N90))))</f>
        <v/>
      </c>
      <c r="K90" s="67">
        <f>IF($N90="","",INDEX('Cronograma R. Normativo'!$L$5:$L$1000,$N90))</f>
        <v/>
      </c>
      <c r="L90" s="61">
        <f>IF($N90="","",IF(N($K90)&gt;=1,"Completado",IF(AND(ISNUMBER($E90),$E90&lt;FechaRef),"Vencida",IF(N($K90)&gt;0,"En curso","Pendiente"))))</f>
        <v/>
      </c>
      <c r="M90" s="70">
        <f>IF($N90="","",INDEX('Cronograma R. Normativo'!$N$5:$N$1000,$N90)&amp;"")</f>
        <v/>
      </c>
      <c r="N90">
        <f>IFERROR(MATCH(ROW()-4,rOrden_RN,0),"")</f>
        <v/>
      </c>
      <c r="O90">
        <f>IF($N90="","",INDEX('Cronograma R. Normativo'!$S$5:$S$1000,$N90))</f>
        <v/>
      </c>
      <c r="P90">
        <f>IF($N90="","",N(INDEX('Cronograma R. Normativo'!$T$5:$T$1000,$N90)))</f>
        <v/>
      </c>
    </row>
    <row r="91">
      <c r="A91" s="61">
        <f>IF($N91="","",INDEX('Cronograma R. Normativo'!$A$5:$A$1000,$N91))</f>
        <v/>
      </c>
      <c r="B91" s="70">
        <f>IF($N91="","",IF($O91="Sub","     ↳ "&amp;INDEX('Cronograma R. Normativo'!$C$5:$C$1000,$N91),INDEX('Cronograma R. Normativo'!$B$5:$B$1000,$N91)&amp;""))</f>
        <v/>
      </c>
      <c r="C91" s="70">
        <f>IF($N91="","",INDEX('Cronograma R. Normativo'!$D$5:$D$1000,$N91)&amp;"")</f>
        <v/>
      </c>
      <c r="D91" s="76">
        <f>IF($N91="","",IF(INDEX('Cronograma R. Normativo'!$E$5:$E$1000,$N91)="","",INDEX('Cronograma R. Normativo'!$E$5:$E$1000,$N91)))</f>
        <v/>
      </c>
      <c r="E91" s="76">
        <f>IF($N91="","",IF(INDEX('Cronograma R. Normativo'!$F$5:$F$1000,$N91)="","",INDEX('Cronograma R. Normativo'!$F$5:$F$1000,$N91)))</f>
        <v/>
      </c>
      <c r="F91" s="61">
        <f>IF($N91="","",IF(NOT(ISNUMBER($E91)),"",IF($E91&lt;InicioCiclo,"Antes del ciclo",IF($E91&gt;=InicioCiclo+28,"Después del ciclo","Semana "&amp;(INT(($E91-InicioCiclo)/7)+1)))))</f>
        <v/>
      </c>
      <c r="G91" s="67">
        <f>IF($N91="","",IF($P91&gt;0,IF(1&lt;=SemanaActual,INDEX('Cronograma R. Normativo'!$Y$5:$Y$1000,$N91),""),IF(INDEX('Cronograma R. Normativo'!$H$5:$H$1000,$N91)="","",INDEX('Cronograma R. Normativo'!$H$5:$H$1000,$N91))))</f>
        <v/>
      </c>
      <c r="H91" s="67">
        <f>IF($N91="","",IF($P91&gt;0,IF(2&lt;=SemanaActual,INDEX('Cronograma R. Normativo'!$Z$5:$Z$1000,$N91),""),IF(INDEX('Cronograma R. Normativo'!$I$5:$I$1000,$N91)="","",INDEX('Cronograma R. Normativo'!$I$5:$I$1000,$N91))))</f>
        <v/>
      </c>
      <c r="I91" s="67">
        <f>IF($N91="","",IF($P91&gt;0,IF(3&lt;=SemanaActual,INDEX('Cronograma R. Normativo'!$AA$5:$AA$1000,$N91),""),IF(INDEX('Cronograma R. Normativo'!$J$5:$J$1000,$N91)="","",INDEX('Cronograma R. Normativo'!$J$5:$J$1000,$N91))))</f>
        <v/>
      </c>
      <c r="J91" s="67">
        <f>IF($N91="","",IF($P91&gt;0,IF(4&lt;=SemanaActual,INDEX('Cronograma R. Normativo'!$AB$5:$AB$1000,$N91),""),IF(INDEX('Cronograma R. Normativo'!$K$5:$K$1000,$N91)="","",INDEX('Cronograma R. Normativo'!$K$5:$K$1000,$N91))))</f>
        <v/>
      </c>
      <c r="K91" s="67">
        <f>IF($N91="","",INDEX('Cronograma R. Normativo'!$L$5:$L$1000,$N91))</f>
        <v/>
      </c>
      <c r="L91" s="61">
        <f>IF($N91="","",IF(N($K91)&gt;=1,"Completado",IF(AND(ISNUMBER($E91),$E91&lt;FechaRef),"Vencida",IF(N($K91)&gt;0,"En curso","Pendiente"))))</f>
        <v/>
      </c>
      <c r="M91" s="70">
        <f>IF($N91="","",INDEX('Cronograma R. Normativo'!$N$5:$N$1000,$N91)&amp;"")</f>
        <v/>
      </c>
      <c r="N91">
        <f>IFERROR(MATCH(ROW()-4,rOrden_RN,0),"")</f>
        <v/>
      </c>
      <c r="O91">
        <f>IF($N91="","",INDEX('Cronograma R. Normativo'!$S$5:$S$1000,$N91))</f>
        <v/>
      </c>
      <c r="P91">
        <f>IF($N91="","",N(INDEX('Cronograma R. Normativo'!$T$5:$T$1000,$N91)))</f>
        <v/>
      </c>
    </row>
    <row r="92">
      <c r="A92" s="61">
        <f>IF($N92="","",INDEX('Cronograma R. Normativo'!$A$5:$A$1000,$N92))</f>
        <v/>
      </c>
      <c r="B92" s="70">
        <f>IF($N92="","",IF($O92="Sub","     ↳ "&amp;INDEX('Cronograma R. Normativo'!$C$5:$C$1000,$N92),INDEX('Cronograma R. Normativo'!$B$5:$B$1000,$N92)&amp;""))</f>
        <v/>
      </c>
      <c r="C92" s="70">
        <f>IF($N92="","",INDEX('Cronograma R. Normativo'!$D$5:$D$1000,$N92)&amp;"")</f>
        <v/>
      </c>
      <c r="D92" s="76">
        <f>IF($N92="","",IF(INDEX('Cronograma R. Normativo'!$E$5:$E$1000,$N92)="","",INDEX('Cronograma R. Normativo'!$E$5:$E$1000,$N92)))</f>
        <v/>
      </c>
      <c r="E92" s="76">
        <f>IF($N92="","",IF(INDEX('Cronograma R. Normativo'!$F$5:$F$1000,$N92)="","",INDEX('Cronograma R. Normativo'!$F$5:$F$1000,$N92)))</f>
        <v/>
      </c>
      <c r="F92" s="61">
        <f>IF($N92="","",IF(NOT(ISNUMBER($E92)),"",IF($E92&lt;InicioCiclo,"Antes del ciclo",IF($E92&gt;=InicioCiclo+28,"Después del ciclo","Semana "&amp;(INT(($E92-InicioCiclo)/7)+1)))))</f>
        <v/>
      </c>
      <c r="G92" s="67">
        <f>IF($N92="","",IF($P92&gt;0,IF(1&lt;=SemanaActual,INDEX('Cronograma R. Normativo'!$Y$5:$Y$1000,$N92),""),IF(INDEX('Cronograma R. Normativo'!$H$5:$H$1000,$N92)="","",INDEX('Cronograma R. Normativo'!$H$5:$H$1000,$N92))))</f>
        <v/>
      </c>
      <c r="H92" s="67">
        <f>IF($N92="","",IF($P92&gt;0,IF(2&lt;=SemanaActual,INDEX('Cronograma R. Normativo'!$Z$5:$Z$1000,$N92),""),IF(INDEX('Cronograma R. Normativo'!$I$5:$I$1000,$N92)="","",INDEX('Cronograma R. Normativo'!$I$5:$I$1000,$N92))))</f>
        <v/>
      </c>
      <c r="I92" s="67">
        <f>IF($N92="","",IF($P92&gt;0,IF(3&lt;=SemanaActual,INDEX('Cronograma R. Normativo'!$AA$5:$AA$1000,$N92),""),IF(INDEX('Cronograma R. Normativo'!$J$5:$J$1000,$N92)="","",INDEX('Cronograma R. Normativo'!$J$5:$J$1000,$N92))))</f>
        <v/>
      </c>
      <c r="J92" s="67">
        <f>IF($N92="","",IF($P92&gt;0,IF(4&lt;=SemanaActual,INDEX('Cronograma R. Normativo'!$AB$5:$AB$1000,$N92),""),IF(INDEX('Cronograma R. Normativo'!$K$5:$K$1000,$N92)="","",INDEX('Cronograma R. Normativo'!$K$5:$K$1000,$N92))))</f>
        <v/>
      </c>
      <c r="K92" s="67">
        <f>IF($N92="","",INDEX('Cronograma R. Normativo'!$L$5:$L$1000,$N92))</f>
        <v/>
      </c>
      <c r="L92" s="61">
        <f>IF($N92="","",IF(N($K92)&gt;=1,"Completado",IF(AND(ISNUMBER($E92),$E92&lt;FechaRef),"Vencida",IF(N($K92)&gt;0,"En curso","Pendiente"))))</f>
        <v/>
      </c>
      <c r="M92" s="70">
        <f>IF($N92="","",INDEX('Cronograma R. Normativo'!$N$5:$N$1000,$N92)&amp;"")</f>
        <v/>
      </c>
      <c r="N92">
        <f>IFERROR(MATCH(ROW()-4,rOrden_RN,0),"")</f>
        <v/>
      </c>
      <c r="O92">
        <f>IF($N92="","",INDEX('Cronograma R. Normativo'!$S$5:$S$1000,$N92))</f>
        <v/>
      </c>
      <c r="P92">
        <f>IF($N92="","",N(INDEX('Cronograma R. Normativo'!$T$5:$T$1000,$N92)))</f>
        <v/>
      </c>
    </row>
    <row r="93">
      <c r="A93" s="61">
        <f>IF($N93="","",INDEX('Cronograma R. Normativo'!$A$5:$A$1000,$N93))</f>
        <v/>
      </c>
      <c r="B93" s="70">
        <f>IF($N93="","",IF($O93="Sub","     ↳ "&amp;INDEX('Cronograma R. Normativo'!$C$5:$C$1000,$N93),INDEX('Cronograma R. Normativo'!$B$5:$B$1000,$N93)&amp;""))</f>
        <v/>
      </c>
      <c r="C93" s="70">
        <f>IF($N93="","",INDEX('Cronograma R. Normativo'!$D$5:$D$1000,$N93)&amp;"")</f>
        <v/>
      </c>
      <c r="D93" s="76">
        <f>IF($N93="","",IF(INDEX('Cronograma R. Normativo'!$E$5:$E$1000,$N93)="","",INDEX('Cronograma R. Normativo'!$E$5:$E$1000,$N93)))</f>
        <v/>
      </c>
      <c r="E93" s="76">
        <f>IF($N93="","",IF(INDEX('Cronograma R. Normativo'!$F$5:$F$1000,$N93)="","",INDEX('Cronograma R. Normativo'!$F$5:$F$1000,$N93)))</f>
        <v/>
      </c>
      <c r="F93" s="61">
        <f>IF($N93="","",IF(NOT(ISNUMBER($E93)),"",IF($E93&lt;InicioCiclo,"Antes del ciclo",IF($E93&gt;=InicioCiclo+28,"Después del ciclo","Semana "&amp;(INT(($E93-InicioCiclo)/7)+1)))))</f>
        <v/>
      </c>
      <c r="G93" s="67">
        <f>IF($N93="","",IF($P93&gt;0,IF(1&lt;=SemanaActual,INDEX('Cronograma R. Normativo'!$Y$5:$Y$1000,$N93),""),IF(INDEX('Cronograma R. Normativo'!$H$5:$H$1000,$N93)="","",INDEX('Cronograma R. Normativo'!$H$5:$H$1000,$N93))))</f>
        <v/>
      </c>
      <c r="H93" s="67">
        <f>IF($N93="","",IF($P93&gt;0,IF(2&lt;=SemanaActual,INDEX('Cronograma R. Normativo'!$Z$5:$Z$1000,$N93),""),IF(INDEX('Cronograma R. Normativo'!$I$5:$I$1000,$N93)="","",INDEX('Cronograma R. Normativo'!$I$5:$I$1000,$N93))))</f>
        <v/>
      </c>
      <c r="I93" s="67">
        <f>IF($N93="","",IF($P93&gt;0,IF(3&lt;=SemanaActual,INDEX('Cronograma R. Normativo'!$AA$5:$AA$1000,$N93),""),IF(INDEX('Cronograma R. Normativo'!$J$5:$J$1000,$N93)="","",INDEX('Cronograma R. Normativo'!$J$5:$J$1000,$N93))))</f>
        <v/>
      </c>
      <c r="J93" s="67">
        <f>IF($N93="","",IF($P93&gt;0,IF(4&lt;=SemanaActual,INDEX('Cronograma R. Normativo'!$AB$5:$AB$1000,$N93),""),IF(INDEX('Cronograma R. Normativo'!$K$5:$K$1000,$N93)="","",INDEX('Cronograma R. Normativo'!$K$5:$K$1000,$N93))))</f>
        <v/>
      </c>
      <c r="K93" s="67">
        <f>IF($N93="","",INDEX('Cronograma R. Normativo'!$L$5:$L$1000,$N93))</f>
        <v/>
      </c>
      <c r="L93" s="61">
        <f>IF($N93="","",IF(N($K93)&gt;=1,"Completado",IF(AND(ISNUMBER($E93),$E93&lt;FechaRef),"Vencida",IF(N($K93)&gt;0,"En curso","Pendiente"))))</f>
        <v/>
      </c>
      <c r="M93" s="70">
        <f>IF($N93="","",INDEX('Cronograma R. Normativo'!$N$5:$N$1000,$N93)&amp;"")</f>
        <v/>
      </c>
      <c r="N93">
        <f>IFERROR(MATCH(ROW()-4,rOrden_RN,0),"")</f>
        <v/>
      </c>
      <c r="O93">
        <f>IF($N93="","",INDEX('Cronograma R. Normativo'!$S$5:$S$1000,$N93))</f>
        <v/>
      </c>
      <c r="P93">
        <f>IF($N93="","",N(INDEX('Cronograma R. Normativo'!$T$5:$T$1000,$N93)))</f>
        <v/>
      </c>
    </row>
    <row r="94">
      <c r="A94" s="61">
        <f>IF($N94="","",INDEX('Cronograma R. Normativo'!$A$5:$A$1000,$N94))</f>
        <v/>
      </c>
      <c r="B94" s="70">
        <f>IF($N94="","",IF($O94="Sub","     ↳ "&amp;INDEX('Cronograma R. Normativo'!$C$5:$C$1000,$N94),INDEX('Cronograma R. Normativo'!$B$5:$B$1000,$N94)&amp;""))</f>
        <v/>
      </c>
      <c r="C94" s="70">
        <f>IF($N94="","",INDEX('Cronograma R. Normativo'!$D$5:$D$1000,$N94)&amp;"")</f>
        <v/>
      </c>
      <c r="D94" s="76">
        <f>IF($N94="","",IF(INDEX('Cronograma R. Normativo'!$E$5:$E$1000,$N94)="","",INDEX('Cronograma R. Normativo'!$E$5:$E$1000,$N94)))</f>
        <v/>
      </c>
      <c r="E94" s="76">
        <f>IF($N94="","",IF(INDEX('Cronograma R. Normativo'!$F$5:$F$1000,$N94)="","",INDEX('Cronograma R. Normativo'!$F$5:$F$1000,$N94)))</f>
        <v/>
      </c>
      <c r="F94" s="61">
        <f>IF($N94="","",IF(NOT(ISNUMBER($E94)),"",IF($E94&lt;InicioCiclo,"Antes del ciclo",IF($E94&gt;=InicioCiclo+28,"Después del ciclo","Semana "&amp;(INT(($E94-InicioCiclo)/7)+1)))))</f>
        <v/>
      </c>
      <c r="G94" s="67">
        <f>IF($N94="","",IF($P94&gt;0,IF(1&lt;=SemanaActual,INDEX('Cronograma R. Normativo'!$Y$5:$Y$1000,$N94),""),IF(INDEX('Cronograma R. Normativo'!$H$5:$H$1000,$N94)="","",INDEX('Cronograma R. Normativo'!$H$5:$H$1000,$N94))))</f>
        <v/>
      </c>
      <c r="H94" s="67">
        <f>IF($N94="","",IF($P94&gt;0,IF(2&lt;=SemanaActual,INDEX('Cronograma R. Normativo'!$Z$5:$Z$1000,$N94),""),IF(INDEX('Cronograma R. Normativo'!$I$5:$I$1000,$N94)="","",INDEX('Cronograma R. Normativo'!$I$5:$I$1000,$N94))))</f>
        <v/>
      </c>
      <c r="I94" s="67">
        <f>IF($N94="","",IF($P94&gt;0,IF(3&lt;=SemanaActual,INDEX('Cronograma R. Normativo'!$AA$5:$AA$1000,$N94),""),IF(INDEX('Cronograma R. Normativo'!$J$5:$J$1000,$N94)="","",INDEX('Cronograma R. Normativo'!$J$5:$J$1000,$N94))))</f>
        <v/>
      </c>
      <c r="J94" s="67">
        <f>IF($N94="","",IF($P94&gt;0,IF(4&lt;=SemanaActual,INDEX('Cronograma R. Normativo'!$AB$5:$AB$1000,$N94),""),IF(INDEX('Cronograma R. Normativo'!$K$5:$K$1000,$N94)="","",INDEX('Cronograma R. Normativo'!$K$5:$K$1000,$N94))))</f>
        <v/>
      </c>
      <c r="K94" s="67">
        <f>IF($N94="","",INDEX('Cronograma R. Normativo'!$L$5:$L$1000,$N94))</f>
        <v/>
      </c>
      <c r="L94" s="61">
        <f>IF($N94="","",IF(N($K94)&gt;=1,"Completado",IF(AND(ISNUMBER($E94),$E94&lt;FechaRef),"Vencida",IF(N($K94)&gt;0,"En curso","Pendiente"))))</f>
        <v/>
      </c>
      <c r="M94" s="70">
        <f>IF($N94="","",INDEX('Cronograma R. Normativo'!$N$5:$N$1000,$N94)&amp;"")</f>
        <v/>
      </c>
      <c r="N94">
        <f>IFERROR(MATCH(ROW()-4,rOrden_RN,0),"")</f>
        <v/>
      </c>
      <c r="O94">
        <f>IF($N94="","",INDEX('Cronograma R. Normativo'!$S$5:$S$1000,$N94))</f>
        <v/>
      </c>
      <c r="P94">
        <f>IF($N94="","",N(INDEX('Cronograma R. Normativo'!$T$5:$T$1000,$N94)))</f>
        <v/>
      </c>
    </row>
    <row r="95">
      <c r="A95" s="61">
        <f>IF($N95="","",INDEX('Cronograma R. Normativo'!$A$5:$A$1000,$N95))</f>
        <v/>
      </c>
      <c r="B95" s="70">
        <f>IF($N95="","",IF($O95="Sub","     ↳ "&amp;INDEX('Cronograma R. Normativo'!$C$5:$C$1000,$N95),INDEX('Cronograma R. Normativo'!$B$5:$B$1000,$N95)&amp;""))</f>
        <v/>
      </c>
      <c r="C95" s="70">
        <f>IF($N95="","",INDEX('Cronograma R. Normativo'!$D$5:$D$1000,$N95)&amp;"")</f>
        <v/>
      </c>
      <c r="D95" s="76">
        <f>IF($N95="","",IF(INDEX('Cronograma R. Normativo'!$E$5:$E$1000,$N95)="","",INDEX('Cronograma R. Normativo'!$E$5:$E$1000,$N95)))</f>
        <v/>
      </c>
      <c r="E95" s="76">
        <f>IF($N95="","",IF(INDEX('Cronograma R. Normativo'!$F$5:$F$1000,$N95)="","",INDEX('Cronograma R. Normativo'!$F$5:$F$1000,$N95)))</f>
        <v/>
      </c>
      <c r="F95" s="61">
        <f>IF($N95="","",IF(NOT(ISNUMBER($E95)),"",IF($E95&lt;InicioCiclo,"Antes del ciclo",IF($E95&gt;=InicioCiclo+28,"Después del ciclo","Semana "&amp;(INT(($E95-InicioCiclo)/7)+1)))))</f>
        <v/>
      </c>
      <c r="G95" s="67">
        <f>IF($N95="","",IF($P95&gt;0,IF(1&lt;=SemanaActual,INDEX('Cronograma R. Normativo'!$Y$5:$Y$1000,$N95),""),IF(INDEX('Cronograma R. Normativo'!$H$5:$H$1000,$N95)="","",INDEX('Cronograma R. Normativo'!$H$5:$H$1000,$N95))))</f>
        <v/>
      </c>
      <c r="H95" s="67">
        <f>IF($N95="","",IF($P95&gt;0,IF(2&lt;=SemanaActual,INDEX('Cronograma R. Normativo'!$Z$5:$Z$1000,$N95),""),IF(INDEX('Cronograma R. Normativo'!$I$5:$I$1000,$N95)="","",INDEX('Cronograma R. Normativo'!$I$5:$I$1000,$N95))))</f>
        <v/>
      </c>
      <c r="I95" s="67">
        <f>IF($N95="","",IF($P95&gt;0,IF(3&lt;=SemanaActual,INDEX('Cronograma R. Normativo'!$AA$5:$AA$1000,$N95),""),IF(INDEX('Cronograma R. Normativo'!$J$5:$J$1000,$N95)="","",INDEX('Cronograma R. Normativo'!$J$5:$J$1000,$N95))))</f>
        <v/>
      </c>
      <c r="J95" s="67">
        <f>IF($N95="","",IF($P95&gt;0,IF(4&lt;=SemanaActual,INDEX('Cronograma R. Normativo'!$AB$5:$AB$1000,$N95),""),IF(INDEX('Cronograma R. Normativo'!$K$5:$K$1000,$N95)="","",INDEX('Cronograma R. Normativo'!$K$5:$K$1000,$N95))))</f>
        <v/>
      </c>
      <c r="K95" s="67">
        <f>IF($N95="","",INDEX('Cronograma R. Normativo'!$L$5:$L$1000,$N95))</f>
        <v/>
      </c>
      <c r="L95" s="61">
        <f>IF($N95="","",IF(N($K95)&gt;=1,"Completado",IF(AND(ISNUMBER($E95),$E95&lt;FechaRef),"Vencida",IF(N($K95)&gt;0,"En curso","Pendiente"))))</f>
        <v/>
      </c>
      <c r="M95" s="70">
        <f>IF($N95="","",INDEX('Cronograma R. Normativo'!$N$5:$N$1000,$N95)&amp;"")</f>
        <v/>
      </c>
      <c r="N95">
        <f>IFERROR(MATCH(ROW()-4,rOrden_RN,0),"")</f>
        <v/>
      </c>
      <c r="O95">
        <f>IF($N95="","",INDEX('Cronograma R. Normativo'!$S$5:$S$1000,$N95))</f>
        <v/>
      </c>
      <c r="P95">
        <f>IF($N95="","",N(INDEX('Cronograma R. Normativo'!$T$5:$T$1000,$N95)))</f>
        <v/>
      </c>
    </row>
    <row r="96">
      <c r="A96" s="61">
        <f>IF($N96="","",INDEX('Cronograma R. Normativo'!$A$5:$A$1000,$N96))</f>
        <v/>
      </c>
      <c r="B96" s="70">
        <f>IF($N96="","",IF($O96="Sub","     ↳ "&amp;INDEX('Cronograma R. Normativo'!$C$5:$C$1000,$N96),INDEX('Cronograma R. Normativo'!$B$5:$B$1000,$N96)&amp;""))</f>
        <v/>
      </c>
      <c r="C96" s="70">
        <f>IF($N96="","",INDEX('Cronograma R. Normativo'!$D$5:$D$1000,$N96)&amp;"")</f>
        <v/>
      </c>
      <c r="D96" s="76">
        <f>IF($N96="","",IF(INDEX('Cronograma R. Normativo'!$E$5:$E$1000,$N96)="","",INDEX('Cronograma R. Normativo'!$E$5:$E$1000,$N96)))</f>
        <v/>
      </c>
      <c r="E96" s="76">
        <f>IF($N96="","",IF(INDEX('Cronograma R. Normativo'!$F$5:$F$1000,$N96)="","",INDEX('Cronograma R. Normativo'!$F$5:$F$1000,$N96)))</f>
        <v/>
      </c>
      <c r="F96" s="61">
        <f>IF($N96="","",IF(NOT(ISNUMBER($E96)),"",IF($E96&lt;InicioCiclo,"Antes del ciclo",IF($E96&gt;=InicioCiclo+28,"Después del ciclo","Semana "&amp;(INT(($E96-InicioCiclo)/7)+1)))))</f>
        <v/>
      </c>
      <c r="G96" s="67">
        <f>IF($N96="","",IF($P96&gt;0,IF(1&lt;=SemanaActual,INDEX('Cronograma R. Normativo'!$Y$5:$Y$1000,$N96),""),IF(INDEX('Cronograma R. Normativo'!$H$5:$H$1000,$N96)="","",INDEX('Cronograma R. Normativo'!$H$5:$H$1000,$N96))))</f>
        <v/>
      </c>
      <c r="H96" s="67">
        <f>IF($N96="","",IF($P96&gt;0,IF(2&lt;=SemanaActual,INDEX('Cronograma R. Normativo'!$Z$5:$Z$1000,$N96),""),IF(INDEX('Cronograma R. Normativo'!$I$5:$I$1000,$N96)="","",INDEX('Cronograma R. Normativo'!$I$5:$I$1000,$N96))))</f>
        <v/>
      </c>
      <c r="I96" s="67">
        <f>IF($N96="","",IF($P96&gt;0,IF(3&lt;=SemanaActual,INDEX('Cronograma R. Normativo'!$AA$5:$AA$1000,$N96),""),IF(INDEX('Cronograma R. Normativo'!$J$5:$J$1000,$N96)="","",INDEX('Cronograma R. Normativo'!$J$5:$J$1000,$N96))))</f>
        <v/>
      </c>
      <c r="J96" s="67">
        <f>IF($N96="","",IF($P96&gt;0,IF(4&lt;=SemanaActual,INDEX('Cronograma R. Normativo'!$AB$5:$AB$1000,$N96),""),IF(INDEX('Cronograma R. Normativo'!$K$5:$K$1000,$N96)="","",INDEX('Cronograma R. Normativo'!$K$5:$K$1000,$N96))))</f>
        <v/>
      </c>
      <c r="K96" s="67">
        <f>IF($N96="","",INDEX('Cronograma R. Normativo'!$L$5:$L$1000,$N96))</f>
        <v/>
      </c>
      <c r="L96" s="61">
        <f>IF($N96="","",IF(N($K96)&gt;=1,"Completado",IF(AND(ISNUMBER($E96),$E96&lt;FechaRef),"Vencida",IF(N($K96)&gt;0,"En curso","Pendiente"))))</f>
        <v/>
      </c>
      <c r="M96" s="70">
        <f>IF($N96="","",INDEX('Cronograma R. Normativo'!$N$5:$N$1000,$N96)&amp;"")</f>
        <v/>
      </c>
      <c r="N96">
        <f>IFERROR(MATCH(ROW()-4,rOrden_RN,0),"")</f>
        <v/>
      </c>
      <c r="O96">
        <f>IF($N96="","",INDEX('Cronograma R. Normativo'!$S$5:$S$1000,$N96))</f>
        <v/>
      </c>
      <c r="P96">
        <f>IF($N96="","",N(INDEX('Cronograma R. Normativo'!$T$5:$T$1000,$N96)))</f>
        <v/>
      </c>
    </row>
    <row r="97">
      <c r="A97" s="61">
        <f>IF($N97="","",INDEX('Cronograma R. Normativo'!$A$5:$A$1000,$N97))</f>
        <v/>
      </c>
      <c r="B97" s="70">
        <f>IF($N97="","",IF($O97="Sub","     ↳ "&amp;INDEX('Cronograma R. Normativo'!$C$5:$C$1000,$N97),INDEX('Cronograma R. Normativo'!$B$5:$B$1000,$N97)&amp;""))</f>
        <v/>
      </c>
      <c r="C97" s="70">
        <f>IF($N97="","",INDEX('Cronograma R. Normativo'!$D$5:$D$1000,$N97)&amp;"")</f>
        <v/>
      </c>
      <c r="D97" s="76">
        <f>IF($N97="","",IF(INDEX('Cronograma R. Normativo'!$E$5:$E$1000,$N97)="","",INDEX('Cronograma R. Normativo'!$E$5:$E$1000,$N97)))</f>
        <v/>
      </c>
      <c r="E97" s="76">
        <f>IF($N97="","",IF(INDEX('Cronograma R. Normativo'!$F$5:$F$1000,$N97)="","",INDEX('Cronograma R. Normativo'!$F$5:$F$1000,$N97)))</f>
        <v/>
      </c>
      <c r="F97" s="61">
        <f>IF($N97="","",IF(NOT(ISNUMBER($E97)),"",IF($E97&lt;InicioCiclo,"Antes del ciclo",IF($E97&gt;=InicioCiclo+28,"Después del ciclo","Semana "&amp;(INT(($E97-InicioCiclo)/7)+1)))))</f>
        <v/>
      </c>
      <c r="G97" s="67">
        <f>IF($N97="","",IF($P97&gt;0,IF(1&lt;=SemanaActual,INDEX('Cronograma R. Normativo'!$Y$5:$Y$1000,$N97),""),IF(INDEX('Cronograma R. Normativo'!$H$5:$H$1000,$N97)="","",INDEX('Cronograma R. Normativo'!$H$5:$H$1000,$N97))))</f>
        <v/>
      </c>
      <c r="H97" s="67">
        <f>IF($N97="","",IF($P97&gt;0,IF(2&lt;=SemanaActual,INDEX('Cronograma R. Normativo'!$Z$5:$Z$1000,$N97),""),IF(INDEX('Cronograma R. Normativo'!$I$5:$I$1000,$N97)="","",INDEX('Cronograma R. Normativo'!$I$5:$I$1000,$N97))))</f>
        <v/>
      </c>
      <c r="I97" s="67">
        <f>IF($N97="","",IF($P97&gt;0,IF(3&lt;=SemanaActual,INDEX('Cronograma R. Normativo'!$AA$5:$AA$1000,$N97),""),IF(INDEX('Cronograma R. Normativo'!$J$5:$J$1000,$N97)="","",INDEX('Cronograma R. Normativo'!$J$5:$J$1000,$N97))))</f>
        <v/>
      </c>
      <c r="J97" s="67">
        <f>IF($N97="","",IF($P97&gt;0,IF(4&lt;=SemanaActual,INDEX('Cronograma R. Normativo'!$AB$5:$AB$1000,$N97),""),IF(INDEX('Cronograma R. Normativo'!$K$5:$K$1000,$N97)="","",INDEX('Cronograma R. Normativo'!$K$5:$K$1000,$N97))))</f>
        <v/>
      </c>
      <c r="K97" s="67">
        <f>IF($N97="","",INDEX('Cronograma R. Normativo'!$L$5:$L$1000,$N97))</f>
        <v/>
      </c>
      <c r="L97" s="61">
        <f>IF($N97="","",IF(N($K97)&gt;=1,"Completado",IF(AND(ISNUMBER($E97),$E97&lt;FechaRef),"Vencida",IF(N($K97)&gt;0,"En curso","Pendiente"))))</f>
        <v/>
      </c>
      <c r="M97" s="70">
        <f>IF($N97="","",INDEX('Cronograma R. Normativo'!$N$5:$N$1000,$N97)&amp;"")</f>
        <v/>
      </c>
      <c r="N97">
        <f>IFERROR(MATCH(ROW()-4,rOrden_RN,0),"")</f>
        <v/>
      </c>
      <c r="O97">
        <f>IF($N97="","",INDEX('Cronograma R. Normativo'!$S$5:$S$1000,$N97))</f>
        <v/>
      </c>
      <c r="P97">
        <f>IF($N97="","",N(INDEX('Cronograma R. Normativo'!$T$5:$T$1000,$N97)))</f>
        <v/>
      </c>
    </row>
    <row r="98">
      <c r="A98" s="61">
        <f>IF($N98="","",INDEX('Cronograma R. Normativo'!$A$5:$A$1000,$N98))</f>
        <v/>
      </c>
      <c r="B98" s="70">
        <f>IF($N98="","",IF($O98="Sub","     ↳ "&amp;INDEX('Cronograma R. Normativo'!$C$5:$C$1000,$N98),INDEX('Cronograma R. Normativo'!$B$5:$B$1000,$N98)&amp;""))</f>
        <v/>
      </c>
      <c r="C98" s="70">
        <f>IF($N98="","",INDEX('Cronograma R. Normativo'!$D$5:$D$1000,$N98)&amp;"")</f>
        <v/>
      </c>
      <c r="D98" s="76">
        <f>IF($N98="","",IF(INDEX('Cronograma R. Normativo'!$E$5:$E$1000,$N98)="","",INDEX('Cronograma R. Normativo'!$E$5:$E$1000,$N98)))</f>
        <v/>
      </c>
      <c r="E98" s="76">
        <f>IF($N98="","",IF(INDEX('Cronograma R. Normativo'!$F$5:$F$1000,$N98)="","",INDEX('Cronograma R. Normativo'!$F$5:$F$1000,$N98)))</f>
        <v/>
      </c>
      <c r="F98" s="61">
        <f>IF($N98="","",IF(NOT(ISNUMBER($E98)),"",IF($E98&lt;InicioCiclo,"Antes del ciclo",IF($E98&gt;=InicioCiclo+28,"Después del ciclo","Semana "&amp;(INT(($E98-InicioCiclo)/7)+1)))))</f>
        <v/>
      </c>
      <c r="G98" s="67">
        <f>IF($N98="","",IF($P98&gt;0,IF(1&lt;=SemanaActual,INDEX('Cronograma R. Normativo'!$Y$5:$Y$1000,$N98),""),IF(INDEX('Cronograma R. Normativo'!$H$5:$H$1000,$N98)="","",INDEX('Cronograma R. Normativo'!$H$5:$H$1000,$N98))))</f>
        <v/>
      </c>
      <c r="H98" s="67">
        <f>IF($N98="","",IF($P98&gt;0,IF(2&lt;=SemanaActual,INDEX('Cronograma R. Normativo'!$Z$5:$Z$1000,$N98),""),IF(INDEX('Cronograma R. Normativo'!$I$5:$I$1000,$N98)="","",INDEX('Cronograma R. Normativo'!$I$5:$I$1000,$N98))))</f>
        <v/>
      </c>
      <c r="I98" s="67">
        <f>IF($N98="","",IF($P98&gt;0,IF(3&lt;=SemanaActual,INDEX('Cronograma R. Normativo'!$AA$5:$AA$1000,$N98),""),IF(INDEX('Cronograma R. Normativo'!$J$5:$J$1000,$N98)="","",INDEX('Cronograma R. Normativo'!$J$5:$J$1000,$N98))))</f>
        <v/>
      </c>
      <c r="J98" s="67">
        <f>IF($N98="","",IF($P98&gt;0,IF(4&lt;=SemanaActual,INDEX('Cronograma R. Normativo'!$AB$5:$AB$1000,$N98),""),IF(INDEX('Cronograma R. Normativo'!$K$5:$K$1000,$N98)="","",INDEX('Cronograma R. Normativo'!$K$5:$K$1000,$N98))))</f>
        <v/>
      </c>
      <c r="K98" s="67">
        <f>IF($N98="","",INDEX('Cronograma R. Normativo'!$L$5:$L$1000,$N98))</f>
        <v/>
      </c>
      <c r="L98" s="61">
        <f>IF($N98="","",IF(N($K98)&gt;=1,"Completado",IF(AND(ISNUMBER($E98),$E98&lt;FechaRef),"Vencida",IF(N($K98)&gt;0,"En curso","Pendiente"))))</f>
        <v/>
      </c>
      <c r="M98" s="70">
        <f>IF($N98="","",INDEX('Cronograma R. Normativo'!$N$5:$N$1000,$N98)&amp;"")</f>
        <v/>
      </c>
      <c r="N98">
        <f>IFERROR(MATCH(ROW()-4,rOrden_RN,0),"")</f>
        <v/>
      </c>
      <c r="O98">
        <f>IF($N98="","",INDEX('Cronograma R. Normativo'!$S$5:$S$1000,$N98))</f>
        <v/>
      </c>
      <c r="P98">
        <f>IF($N98="","",N(INDEX('Cronograma R. Normativo'!$T$5:$T$1000,$N98)))</f>
        <v/>
      </c>
    </row>
    <row r="99">
      <c r="A99" s="61">
        <f>IF($N99="","",INDEX('Cronograma R. Normativo'!$A$5:$A$1000,$N99))</f>
        <v/>
      </c>
      <c r="B99" s="70">
        <f>IF($N99="","",IF($O99="Sub","     ↳ "&amp;INDEX('Cronograma R. Normativo'!$C$5:$C$1000,$N99),INDEX('Cronograma R. Normativo'!$B$5:$B$1000,$N99)&amp;""))</f>
        <v/>
      </c>
      <c r="C99" s="70">
        <f>IF($N99="","",INDEX('Cronograma R. Normativo'!$D$5:$D$1000,$N99)&amp;"")</f>
        <v/>
      </c>
      <c r="D99" s="76">
        <f>IF($N99="","",IF(INDEX('Cronograma R. Normativo'!$E$5:$E$1000,$N99)="","",INDEX('Cronograma R. Normativo'!$E$5:$E$1000,$N99)))</f>
        <v/>
      </c>
      <c r="E99" s="76">
        <f>IF($N99="","",IF(INDEX('Cronograma R. Normativo'!$F$5:$F$1000,$N99)="","",INDEX('Cronograma R. Normativo'!$F$5:$F$1000,$N99)))</f>
        <v/>
      </c>
      <c r="F99" s="61">
        <f>IF($N99="","",IF(NOT(ISNUMBER($E99)),"",IF($E99&lt;InicioCiclo,"Antes del ciclo",IF($E99&gt;=InicioCiclo+28,"Después del ciclo","Semana "&amp;(INT(($E99-InicioCiclo)/7)+1)))))</f>
        <v/>
      </c>
      <c r="G99" s="67">
        <f>IF($N99="","",IF($P99&gt;0,IF(1&lt;=SemanaActual,INDEX('Cronograma R. Normativo'!$Y$5:$Y$1000,$N99),""),IF(INDEX('Cronograma R. Normativo'!$H$5:$H$1000,$N99)="","",INDEX('Cronograma R. Normativo'!$H$5:$H$1000,$N99))))</f>
        <v/>
      </c>
      <c r="H99" s="67">
        <f>IF($N99="","",IF($P99&gt;0,IF(2&lt;=SemanaActual,INDEX('Cronograma R. Normativo'!$Z$5:$Z$1000,$N99),""),IF(INDEX('Cronograma R. Normativo'!$I$5:$I$1000,$N99)="","",INDEX('Cronograma R. Normativo'!$I$5:$I$1000,$N99))))</f>
        <v/>
      </c>
      <c r="I99" s="67">
        <f>IF($N99="","",IF($P99&gt;0,IF(3&lt;=SemanaActual,INDEX('Cronograma R. Normativo'!$AA$5:$AA$1000,$N99),""),IF(INDEX('Cronograma R. Normativo'!$J$5:$J$1000,$N99)="","",INDEX('Cronograma R. Normativo'!$J$5:$J$1000,$N99))))</f>
        <v/>
      </c>
      <c r="J99" s="67">
        <f>IF($N99="","",IF($P99&gt;0,IF(4&lt;=SemanaActual,INDEX('Cronograma R. Normativo'!$AB$5:$AB$1000,$N99),""),IF(INDEX('Cronograma R. Normativo'!$K$5:$K$1000,$N99)="","",INDEX('Cronograma R. Normativo'!$K$5:$K$1000,$N99))))</f>
        <v/>
      </c>
      <c r="K99" s="67">
        <f>IF($N99="","",INDEX('Cronograma R. Normativo'!$L$5:$L$1000,$N99))</f>
        <v/>
      </c>
      <c r="L99" s="61">
        <f>IF($N99="","",IF(N($K99)&gt;=1,"Completado",IF(AND(ISNUMBER($E99),$E99&lt;FechaRef),"Vencida",IF(N($K99)&gt;0,"En curso","Pendiente"))))</f>
        <v/>
      </c>
      <c r="M99" s="70">
        <f>IF($N99="","",INDEX('Cronograma R. Normativo'!$N$5:$N$1000,$N99)&amp;"")</f>
        <v/>
      </c>
      <c r="N99">
        <f>IFERROR(MATCH(ROW()-4,rOrden_RN,0),"")</f>
        <v/>
      </c>
      <c r="O99">
        <f>IF($N99="","",INDEX('Cronograma R. Normativo'!$S$5:$S$1000,$N99))</f>
        <v/>
      </c>
      <c r="P99">
        <f>IF($N99="","",N(INDEX('Cronograma R. Normativo'!$T$5:$T$1000,$N99)))</f>
        <v/>
      </c>
    </row>
    <row r="100">
      <c r="A100" s="61">
        <f>IF($N100="","",INDEX('Cronograma R. Normativo'!$A$5:$A$1000,$N100))</f>
        <v/>
      </c>
      <c r="B100" s="70">
        <f>IF($N100="","",IF($O100="Sub","     ↳ "&amp;INDEX('Cronograma R. Normativo'!$C$5:$C$1000,$N100),INDEX('Cronograma R. Normativo'!$B$5:$B$1000,$N100)&amp;""))</f>
        <v/>
      </c>
      <c r="C100" s="70">
        <f>IF($N100="","",INDEX('Cronograma R. Normativo'!$D$5:$D$1000,$N100)&amp;"")</f>
        <v/>
      </c>
      <c r="D100" s="76">
        <f>IF($N100="","",IF(INDEX('Cronograma R. Normativo'!$E$5:$E$1000,$N100)="","",INDEX('Cronograma R. Normativo'!$E$5:$E$1000,$N100)))</f>
        <v/>
      </c>
      <c r="E100" s="76">
        <f>IF($N100="","",IF(INDEX('Cronograma R. Normativo'!$F$5:$F$1000,$N100)="","",INDEX('Cronograma R. Normativo'!$F$5:$F$1000,$N100)))</f>
        <v/>
      </c>
      <c r="F100" s="61">
        <f>IF($N100="","",IF(NOT(ISNUMBER($E100)),"",IF($E100&lt;InicioCiclo,"Antes del ciclo",IF($E100&gt;=InicioCiclo+28,"Después del ciclo","Semana "&amp;(INT(($E100-InicioCiclo)/7)+1)))))</f>
        <v/>
      </c>
      <c r="G100" s="67">
        <f>IF($N100="","",IF($P100&gt;0,IF(1&lt;=SemanaActual,INDEX('Cronograma R. Normativo'!$Y$5:$Y$1000,$N100),""),IF(INDEX('Cronograma R. Normativo'!$H$5:$H$1000,$N100)="","",INDEX('Cronograma R. Normativo'!$H$5:$H$1000,$N100))))</f>
        <v/>
      </c>
      <c r="H100" s="67">
        <f>IF($N100="","",IF($P100&gt;0,IF(2&lt;=SemanaActual,INDEX('Cronograma R. Normativo'!$Z$5:$Z$1000,$N100),""),IF(INDEX('Cronograma R. Normativo'!$I$5:$I$1000,$N100)="","",INDEX('Cronograma R. Normativo'!$I$5:$I$1000,$N100))))</f>
        <v/>
      </c>
      <c r="I100" s="67">
        <f>IF($N100="","",IF($P100&gt;0,IF(3&lt;=SemanaActual,INDEX('Cronograma R. Normativo'!$AA$5:$AA$1000,$N100),""),IF(INDEX('Cronograma R. Normativo'!$J$5:$J$1000,$N100)="","",INDEX('Cronograma R. Normativo'!$J$5:$J$1000,$N100))))</f>
        <v/>
      </c>
      <c r="J100" s="67">
        <f>IF($N100="","",IF($P100&gt;0,IF(4&lt;=SemanaActual,INDEX('Cronograma R. Normativo'!$AB$5:$AB$1000,$N100),""),IF(INDEX('Cronograma R. Normativo'!$K$5:$K$1000,$N100)="","",INDEX('Cronograma R. Normativo'!$K$5:$K$1000,$N100))))</f>
        <v/>
      </c>
      <c r="K100" s="67">
        <f>IF($N100="","",INDEX('Cronograma R. Normativo'!$L$5:$L$1000,$N100))</f>
        <v/>
      </c>
      <c r="L100" s="61">
        <f>IF($N100="","",IF(N($K100)&gt;=1,"Completado",IF(AND(ISNUMBER($E100),$E100&lt;FechaRef),"Vencida",IF(N($K100)&gt;0,"En curso","Pendiente"))))</f>
        <v/>
      </c>
      <c r="M100" s="70">
        <f>IF($N100="","",INDEX('Cronograma R. Normativo'!$N$5:$N$1000,$N100)&amp;"")</f>
        <v/>
      </c>
      <c r="N100">
        <f>IFERROR(MATCH(ROW()-4,rOrden_RN,0),"")</f>
        <v/>
      </c>
      <c r="O100">
        <f>IF($N100="","",INDEX('Cronograma R. Normativo'!$S$5:$S$1000,$N100))</f>
        <v/>
      </c>
      <c r="P100">
        <f>IF($N100="","",N(INDEX('Cronograma R. Normativo'!$T$5:$T$1000,$N100)))</f>
        <v/>
      </c>
    </row>
    <row r="101">
      <c r="A101" s="61">
        <f>IF($N101="","",INDEX('Cronograma R. Normativo'!$A$5:$A$1000,$N101))</f>
        <v/>
      </c>
      <c r="B101" s="70">
        <f>IF($N101="","",IF($O101="Sub","     ↳ "&amp;INDEX('Cronograma R. Normativo'!$C$5:$C$1000,$N101),INDEX('Cronograma R. Normativo'!$B$5:$B$1000,$N101)&amp;""))</f>
        <v/>
      </c>
      <c r="C101" s="70">
        <f>IF($N101="","",INDEX('Cronograma R. Normativo'!$D$5:$D$1000,$N101)&amp;"")</f>
        <v/>
      </c>
      <c r="D101" s="76">
        <f>IF($N101="","",IF(INDEX('Cronograma R. Normativo'!$E$5:$E$1000,$N101)="","",INDEX('Cronograma R. Normativo'!$E$5:$E$1000,$N101)))</f>
        <v/>
      </c>
      <c r="E101" s="76">
        <f>IF($N101="","",IF(INDEX('Cronograma R. Normativo'!$F$5:$F$1000,$N101)="","",INDEX('Cronograma R. Normativo'!$F$5:$F$1000,$N101)))</f>
        <v/>
      </c>
      <c r="F101" s="61">
        <f>IF($N101="","",IF(NOT(ISNUMBER($E101)),"",IF($E101&lt;InicioCiclo,"Antes del ciclo",IF($E101&gt;=InicioCiclo+28,"Después del ciclo","Semana "&amp;(INT(($E101-InicioCiclo)/7)+1)))))</f>
        <v/>
      </c>
      <c r="G101" s="67">
        <f>IF($N101="","",IF($P101&gt;0,IF(1&lt;=SemanaActual,INDEX('Cronograma R. Normativo'!$Y$5:$Y$1000,$N101),""),IF(INDEX('Cronograma R. Normativo'!$H$5:$H$1000,$N101)="","",INDEX('Cronograma R. Normativo'!$H$5:$H$1000,$N101))))</f>
        <v/>
      </c>
      <c r="H101" s="67">
        <f>IF($N101="","",IF($P101&gt;0,IF(2&lt;=SemanaActual,INDEX('Cronograma R. Normativo'!$Z$5:$Z$1000,$N101),""),IF(INDEX('Cronograma R. Normativo'!$I$5:$I$1000,$N101)="","",INDEX('Cronograma R. Normativo'!$I$5:$I$1000,$N101))))</f>
        <v/>
      </c>
      <c r="I101" s="67">
        <f>IF($N101="","",IF($P101&gt;0,IF(3&lt;=SemanaActual,INDEX('Cronograma R. Normativo'!$AA$5:$AA$1000,$N101),""),IF(INDEX('Cronograma R. Normativo'!$J$5:$J$1000,$N101)="","",INDEX('Cronograma R. Normativo'!$J$5:$J$1000,$N101))))</f>
        <v/>
      </c>
      <c r="J101" s="67">
        <f>IF($N101="","",IF($P101&gt;0,IF(4&lt;=SemanaActual,INDEX('Cronograma R. Normativo'!$AB$5:$AB$1000,$N101),""),IF(INDEX('Cronograma R. Normativo'!$K$5:$K$1000,$N101)="","",INDEX('Cronograma R. Normativo'!$K$5:$K$1000,$N101))))</f>
        <v/>
      </c>
      <c r="K101" s="67">
        <f>IF($N101="","",INDEX('Cronograma R. Normativo'!$L$5:$L$1000,$N101))</f>
        <v/>
      </c>
      <c r="L101" s="61">
        <f>IF($N101="","",IF(N($K101)&gt;=1,"Completado",IF(AND(ISNUMBER($E101),$E101&lt;FechaRef),"Vencida",IF(N($K101)&gt;0,"En curso","Pendiente"))))</f>
        <v/>
      </c>
      <c r="M101" s="70">
        <f>IF($N101="","",INDEX('Cronograma R. Normativo'!$N$5:$N$1000,$N101)&amp;"")</f>
        <v/>
      </c>
      <c r="N101">
        <f>IFERROR(MATCH(ROW()-4,rOrden_RN,0),"")</f>
        <v/>
      </c>
      <c r="O101">
        <f>IF($N101="","",INDEX('Cronograma R. Normativo'!$S$5:$S$1000,$N101))</f>
        <v/>
      </c>
      <c r="P101">
        <f>IF($N101="","",N(INDEX('Cronograma R. Normativo'!$T$5:$T$1000,$N101)))</f>
        <v/>
      </c>
    </row>
    <row r="102">
      <c r="A102" s="61">
        <f>IF($N102="","",INDEX('Cronograma R. Normativo'!$A$5:$A$1000,$N102))</f>
        <v/>
      </c>
      <c r="B102" s="70">
        <f>IF($N102="","",IF($O102="Sub","     ↳ "&amp;INDEX('Cronograma R. Normativo'!$C$5:$C$1000,$N102),INDEX('Cronograma R. Normativo'!$B$5:$B$1000,$N102)&amp;""))</f>
        <v/>
      </c>
      <c r="C102" s="70">
        <f>IF($N102="","",INDEX('Cronograma R. Normativo'!$D$5:$D$1000,$N102)&amp;"")</f>
        <v/>
      </c>
      <c r="D102" s="76">
        <f>IF($N102="","",IF(INDEX('Cronograma R. Normativo'!$E$5:$E$1000,$N102)="","",INDEX('Cronograma R. Normativo'!$E$5:$E$1000,$N102)))</f>
        <v/>
      </c>
      <c r="E102" s="76">
        <f>IF($N102="","",IF(INDEX('Cronograma R. Normativo'!$F$5:$F$1000,$N102)="","",INDEX('Cronograma R. Normativo'!$F$5:$F$1000,$N102)))</f>
        <v/>
      </c>
      <c r="F102" s="61">
        <f>IF($N102="","",IF(NOT(ISNUMBER($E102)),"",IF($E102&lt;InicioCiclo,"Antes del ciclo",IF($E102&gt;=InicioCiclo+28,"Después del ciclo","Semana "&amp;(INT(($E102-InicioCiclo)/7)+1)))))</f>
        <v/>
      </c>
      <c r="G102" s="67">
        <f>IF($N102="","",IF($P102&gt;0,IF(1&lt;=SemanaActual,INDEX('Cronograma R. Normativo'!$Y$5:$Y$1000,$N102),""),IF(INDEX('Cronograma R. Normativo'!$H$5:$H$1000,$N102)="","",INDEX('Cronograma R. Normativo'!$H$5:$H$1000,$N102))))</f>
        <v/>
      </c>
      <c r="H102" s="67">
        <f>IF($N102="","",IF($P102&gt;0,IF(2&lt;=SemanaActual,INDEX('Cronograma R. Normativo'!$Z$5:$Z$1000,$N102),""),IF(INDEX('Cronograma R. Normativo'!$I$5:$I$1000,$N102)="","",INDEX('Cronograma R. Normativo'!$I$5:$I$1000,$N102))))</f>
        <v/>
      </c>
      <c r="I102" s="67">
        <f>IF($N102="","",IF($P102&gt;0,IF(3&lt;=SemanaActual,INDEX('Cronograma R. Normativo'!$AA$5:$AA$1000,$N102),""),IF(INDEX('Cronograma R. Normativo'!$J$5:$J$1000,$N102)="","",INDEX('Cronograma R. Normativo'!$J$5:$J$1000,$N102))))</f>
        <v/>
      </c>
      <c r="J102" s="67">
        <f>IF($N102="","",IF($P102&gt;0,IF(4&lt;=SemanaActual,INDEX('Cronograma R. Normativo'!$AB$5:$AB$1000,$N102),""),IF(INDEX('Cronograma R. Normativo'!$K$5:$K$1000,$N102)="","",INDEX('Cronograma R. Normativo'!$K$5:$K$1000,$N102))))</f>
        <v/>
      </c>
      <c r="K102" s="67">
        <f>IF($N102="","",INDEX('Cronograma R. Normativo'!$L$5:$L$1000,$N102))</f>
        <v/>
      </c>
      <c r="L102" s="61">
        <f>IF($N102="","",IF(N($K102)&gt;=1,"Completado",IF(AND(ISNUMBER($E102),$E102&lt;FechaRef),"Vencida",IF(N($K102)&gt;0,"En curso","Pendiente"))))</f>
        <v/>
      </c>
      <c r="M102" s="70">
        <f>IF($N102="","",INDEX('Cronograma R. Normativo'!$N$5:$N$1000,$N102)&amp;"")</f>
        <v/>
      </c>
      <c r="N102">
        <f>IFERROR(MATCH(ROW()-4,rOrden_RN,0),"")</f>
        <v/>
      </c>
      <c r="O102">
        <f>IF($N102="","",INDEX('Cronograma R. Normativo'!$S$5:$S$1000,$N102))</f>
        <v/>
      </c>
      <c r="P102">
        <f>IF($N102="","",N(INDEX('Cronograma R. Normativo'!$T$5:$T$1000,$N102)))</f>
        <v/>
      </c>
    </row>
    <row r="103">
      <c r="A103" s="61">
        <f>IF($N103="","",INDEX('Cronograma R. Normativo'!$A$5:$A$1000,$N103))</f>
        <v/>
      </c>
      <c r="B103" s="70">
        <f>IF($N103="","",IF($O103="Sub","     ↳ "&amp;INDEX('Cronograma R. Normativo'!$C$5:$C$1000,$N103),INDEX('Cronograma R. Normativo'!$B$5:$B$1000,$N103)&amp;""))</f>
        <v/>
      </c>
      <c r="C103" s="70">
        <f>IF($N103="","",INDEX('Cronograma R. Normativo'!$D$5:$D$1000,$N103)&amp;"")</f>
        <v/>
      </c>
      <c r="D103" s="76">
        <f>IF($N103="","",IF(INDEX('Cronograma R. Normativo'!$E$5:$E$1000,$N103)="","",INDEX('Cronograma R. Normativo'!$E$5:$E$1000,$N103)))</f>
        <v/>
      </c>
      <c r="E103" s="76">
        <f>IF($N103="","",IF(INDEX('Cronograma R. Normativo'!$F$5:$F$1000,$N103)="","",INDEX('Cronograma R. Normativo'!$F$5:$F$1000,$N103)))</f>
        <v/>
      </c>
      <c r="F103" s="61">
        <f>IF($N103="","",IF(NOT(ISNUMBER($E103)),"",IF($E103&lt;InicioCiclo,"Antes del ciclo",IF($E103&gt;=InicioCiclo+28,"Después del ciclo","Semana "&amp;(INT(($E103-InicioCiclo)/7)+1)))))</f>
        <v/>
      </c>
      <c r="G103" s="67">
        <f>IF($N103="","",IF($P103&gt;0,IF(1&lt;=SemanaActual,INDEX('Cronograma R. Normativo'!$Y$5:$Y$1000,$N103),""),IF(INDEX('Cronograma R. Normativo'!$H$5:$H$1000,$N103)="","",INDEX('Cronograma R. Normativo'!$H$5:$H$1000,$N103))))</f>
        <v/>
      </c>
      <c r="H103" s="67">
        <f>IF($N103="","",IF($P103&gt;0,IF(2&lt;=SemanaActual,INDEX('Cronograma R. Normativo'!$Z$5:$Z$1000,$N103),""),IF(INDEX('Cronograma R. Normativo'!$I$5:$I$1000,$N103)="","",INDEX('Cronograma R. Normativo'!$I$5:$I$1000,$N103))))</f>
        <v/>
      </c>
      <c r="I103" s="67">
        <f>IF($N103="","",IF($P103&gt;0,IF(3&lt;=SemanaActual,INDEX('Cronograma R. Normativo'!$AA$5:$AA$1000,$N103),""),IF(INDEX('Cronograma R. Normativo'!$J$5:$J$1000,$N103)="","",INDEX('Cronograma R. Normativo'!$J$5:$J$1000,$N103))))</f>
        <v/>
      </c>
      <c r="J103" s="67">
        <f>IF($N103="","",IF($P103&gt;0,IF(4&lt;=SemanaActual,INDEX('Cronograma R. Normativo'!$AB$5:$AB$1000,$N103),""),IF(INDEX('Cronograma R. Normativo'!$K$5:$K$1000,$N103)="","",INDEX('Cronograma R. Normativo'!$K$5:$K$1000,$N103))))</f>
        <v/>
      </c>
      <c r="K103" s="67">
        <f>IF($N103="","",INDEX('Cronograma R. Normativo'!$L$5:$L$1000,$N103))</f>
        <v/>
      </c>
      <c r="L103" s="61">
        <f>IF($N103="","",IF(N($K103)&gt;=1,"Completado",IF(AND(ISNUMBER($E103),$E103&lt;FechaRef),"Vencida",IF(N($K103)&gt;0,"En curso","Pendiente"))))</f>
        <v/>
      </c>
      <c r="M103" s="70">
        <f>IF($N103="","",INDEX('Cronograma R. Normativo'!$N$5:$N$1000,$N103)&amp;"")</f>
        <v/>
      </c>
      <c r="N103">
        <f>IFERROR(MATCH(ROW()-4,rOrden_RN,0),"")</f>
        <v/>
      </c>
      <c r="O103">
        <f>IF($N103="","",INDEX('Cronograma R. Normativo'!$S$5:$S$1000,$N103))</f>
        <v/>
      </c>
      <c r="P103">
        <f>IF($N103="","",N(INDEX('Cronograma R. Normativo'!$T$5:$T$1000,$N103)))</f>
        <v/>
      </c>
    </row>
    <row r="104">
      <c r="A104" s="61">
        <f>IF($N104="","",INDEX('Cronograma R. Normativo'!$A$5:$A$1000,$N104))</f>
        <v/>
      </c>
      <c r="B104" s="70">
        <f>IF($N104="","",IF($O104="Sub","     ↳ "&amp;INDEX('Cronograma R. Normativo'!$C$5:$C$1000,$N104),INDEX('Cronograma R. Normativo'!$B$5:$B$1000,$N104)&amp;""))</f>
        <v/>
      </c>
      <c r="C104" s="70">
        <f>IF($N104="","",INDEX('Cronograma R. Normativo'!$D$5:$D$1000,$N104)&amp;"")</f>
        <v/>
      </c>
      <c r="D104" s="76">
        <f>IF($N104="","",IF(INDEX('Cronograma R. Normativo'!$E$5:$E$1000,$N104)="","",INDEX('Cronograma R. Normativo'!$E$5:$E$1000,$N104)))</f>
        <v/>
      </c>
      <c r="E104" s="76">
        <f>IF($N104="","",IF(INDEX('Cronograma R. Normativo'!$F$5:$F$1000,$N104)="","",INDEX('Cronograma R. Normativo'!$F$5:$F$1000,$N104)))</f>
        <v/>
      </c>
      <c r="F104" s="61">
        <f>IF($N104="","",IF(NOT(ISNUMBER($E104)),"",IF($E104&lt;InicioCiclo,"Antes del ciclo",IF($E104&gt;=InicioCiclo+28,"Después del ciclo","Semana "&amp;(INT(($E104-InicioCiclo)/7)+1)))))</f>
        <v/>
      </c>
      <c r="G104" s="67">
        <f>IF($N104="","",IF($P104&gt;0,IF(1&lt;=SemanaActual,INDEX('Cronograma R. Normativo'!$Y$5:$Y$1000,$N104),""),IF(INDEX('Cronograma R. Normativo'!$H$5:$H$1000,$N104)="","",INDEX('Cronograma R. Normativo'!$H$5:$H$1000,$N104))))</f>
        <v/>
      </c>
      <c r="H104" s="67">
        <f>IF($N104="","",IF($P104&gt;0,IF(2&lt;=SemanaActual,INDEX('Cronograma R. Normativo'!$Z$5:$Z$1000,$N104),""),IF(INDEX('Cronograma R. Normativo'!$I$5:$I$1000,$N104)="","",INDEX('Cronograma R. Normativo'!$I$5:$I$1000,$N104))))</f>
        <v/>
      </c>
      <c r="I104" s="67">
        <f>IF($N104="","",IF($P104&gt;0,IF(3&lt;=SemanaActual,INDEX('Cronograma R. Normativo'!$AA$5:$AA$1000,$N104),""),IF(INDEX('Cronograma R. Normativo'!$J$5:$J$1000,$N104)="","",INDEX('Cronograma R. Normativo'!$J$5:$J$1000,$N104))))</f>
        <v/>
      </c>
      <c r="J104" s="67">
        <f>IF($N104="","",IF($P104&gt;0,IF(4&lt;=SemanaActual,INDEX('Cronograma R. Normativo'!$AB$5:$AB$1000,$N104),""),IF(INDEX('Cronograma R. Normativo'!$K$5:$K$1000,$N104)="","",INDEX('Cronograma R. Normativo'!$K$5:$K$1000,$N104))))</f>
        <v/>
      </c>
      <c r="K104" s="67">
        <f>IF($N104="","",INDEX('Cronograma R. Normativo'!$L$5:$L$1000,$N104))</f>
        <v/>
      </c>
      <c r="L104" s="61">
        <f>IF($N104="","",IF(N($K104)&gt;=1,"Completado",IF(AND(ISNUMBER($E104),$E104&lt;FechaRef),"Vencida",IF(N($K104)&gt;0,"En curso","Pendiente"))))</f>
        <v/>
      </c>
      <c r="M104" s="70">
        <f>IF($N104="","",INDEX('Cronograma R. Normativo'!$N$5:$N$1000,$N104)&amp;"")</f>
        <v/>
      </c>
      <c r="N104">
        <f>IFERROR(MATCH(ROW()-4,rOrden_RN,0),"")</f>
        <v/>
      </c>
      <c r="O104">
        <f>IF($N104="","",INDEX('Cronograma R. Normativo'!$S$5:$S$1000,$N104))</f>
        <v/>
      </c>
      <c r="P104">
        <f>IF($N104="","",N(INDEX('Cronograma R. Normativo'!$T$5:$T$1000,$N104)))</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G5:J104">
    <cfRule type="expression" priority="1" dxfId="6" stopIfTrue="1">
      <formula>AND(AND(ISNUMBER($D5),ISNUMBER($E5),$D5&lt;=InicioCiclo+7*(COLUMN(G5)-7)+6,$E5&gt;=InicioCiclo+7*(COLUMN(G5)-7)),$L5="Vencida")</formula>
    </cfRule>
    <cfRule type="expression" priority="2" dxfId="16">
      <formula>AND(ISNUMBER($D5),ISNUMBER($E5),$D5&lt;=InicioCiclo+7*(COLUMN(G5)-7)+6,$E5&gt;=InicioCiclo+7*(COLUMN(G5)-7))</formula>
    </cfRule>
  </conditionalFormatting>
  <conditionalFormatting sqref="A5:B104">
    <cfRule type="expression" priority="3" dxfId="15">
      <formula>$O5="Macro"</formula>
    </cfRule>
  </conditionalFormatting>
  <conditionalFormatting sqref="L5:L104">
    <cfRule type="expression" priority="4" dxfId="0">
      <formula>$L5="Completado"</formula>
    </cfRule>
    <cfRule type="expression" priority="5" dxfId="6">
      <formula>$L5="Vencida"</formula>
    </cfRule>
    <cfRule type="expression" priority="6" dxfId="4">
      <formula>$L5="En curso"</formula>
    </cfRule>
    <cfRule type="expression" priority="7" dxfId="5">
      <formula>$L5="Pendiente"</formula>
    </cfRule>
  </conditionalFormatting>
  <conditionalFormatting sqref="F5:F104">
    <cfRule type="expression" priority="8" dxfId="1">
      <formula>$F5="Semana "&amp;SemanaActual</formula>
    </cfRule>
  </conditionalFormatting>
  <conditionalFormatting sqref="K5:K104">
    <cfRule type="dataBar" priority="9">
      <dataBar showValue="1">
        <cfvo type="num" val="0"/>
        <cfvo type="num" val="1"/>
        <color rgb="005B9BD5"/>
      </dataBar>
    </cfRule>
  </conditionalFormatting>
  <conditionalFormatting sqref="G4:J4">
    <cfRule type="expression" priority="10" dxfId="1">
      <formula>COLUMN(G4)-6=SemanaActual</formula>
    </cfRule>
  </conditionalFormatting>
  <conditionalFormatting sqref="G3:J3">
    <cfRule type="expression" priority="11" dxfId="1">
      <formula>COLUMN(G3)-6=SemanaActual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548235"/>
    <outlinePr summaryBelow="1" summaryRight="1"/>
    <pageSetUpPr fitToPage="1"/>
  </sheetPr>
  <dimension ref="A1:AB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36" customWidth="1" min="3" max="3"/>
    <col width="20" customWidth="1" min="4" max="4"/>
    <col width="12" customWidth="1" min="5" max="5"/>
    <col width="12" customWidth="1" min="6" max="6"/>
    <col width="11" customWidth="1" min="7" max="7"/>
    <col width="11" customWidth="1" min="8" max="8"/>
    <col width="11" customWidth="1" min="9" max="9"/>
    <col width="11" customWidth="1" min="10" max="10"/>
    <col width="11" customWidth="1" min="11" max="11"/>
    <col width="12" customWidth="1" min="12" max="12"/>
    <col width="13" customWidth="1" min="13" max="13"/>
    <col width="38" customWidth="1" min="14" max="14"/>
    <col width="50" customWidth="1" min="15" max="15"/>
    <col width="15"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s>
  <sheetData>
    <row r="1" ht="28" customHeight="1">
      <c r="A1" s="79" t="inlineStr">
        <is>
          <t>Cronograma – Riesgo Financiero</t>
        </is>
      </c>
      <c r="B1" s="79" t="n"/>
      <c r="C1" s="79" t="n"/>
      <c r="D1" s="79" t="n"/>
      <c r="E1" s="79" t="n"/>
      <c r="F1" s="79" t="n"/>
      <c r="G1" s="79" t="n"/>
      <c r="H1" s="79" t="n"/>
      <c r="I1" s="79" t="n"/>
      <c r="J1" s="79" t="n"/>
      <c r="K1" s="79" t="n"/>
      <c r="L1" s="79" t="n"/>
      <c r="M1" s="79" t="n"/>
      <c r="N1" s="79" t="n"/>
      <c r="O1" s="79" t="n"/>
      <c r="P1" s="79" t="n"/>
    </row>
    <row r="2" ht="52" customHeight="1">
      <c r="A2" s="46" t="inlineStr">
        <is>
          <t>Llene solo las celdas GRIS SUAVE; las AZUL CLARO son automáticas y están bloqueadas. MACROACTIVIDAD: escriba el nombre en «Macro Actividad» y su peso. SUBACTIVIDADES (todas las que necesite): en las filas de abajo, escríbalas en «Subactividad» dejando vacía «Macro Actividad»; cada una lleva su propio avance semanal y el % de la macroactividad se calcula solo (promedio de sus subactividades). Si no tiene subactividades, escriba su avance directamente. En cada semana escriba el % TOTAL logrado hasta esa semana. Cada mes agregue sus actividades debajo de las anteriores (no borre los meses pasados: quedan como historial).</t>
        </is>
      </c>
      <c r="B2" s="46" t="n"/>
      <c r="C2" s="46" t="n"/>
      <c r="D2" s="46" t="n"/>
      <c r="E2" s="46" t="n"/>
      <c r="F2" s="46" t="n"/>
      <c r="G2" s="46" t="n"/>
      <c r="H2" s="46" t="n"/>
      <c r="I2" s="46" t="n"/>
      <c r="J2" s="46" t="n"/>
      <c r="K2" s="46" t="n"/>
      <c r="L2" s="46" t="n"/>
      <c r="M2" s="46" t="n"/>
      <c r="N2" s="46" t="n"/>
      <c r="O2" s="46" t="n"/>
      <c r="P2" s="46" t="n"/>
    </row>
    <row r="3">
      <c r="A3" s="54" t="inlineStr">
        <is>
          <t>Llenar</t>
        </is>
      </c>
      <c r="B3" s="55" t="inlineStr">
        <is>
          <t>Automático (bloqueado)</t>
        </is>
      </c>
      <c r="C3" s="80" t="inlineStr">
        <is>
          <t>Macroactividad</t>
        </is>
      </c>
      <c r="D3" s="57" t="inlineStr">
        <is>
          <t>Pesos del mes:</t>
        </is>
      </c>
      <c r="E3" s="58">
        <f>SUMIFS($G$5:$G$1000,$P$5:$P$1000,MesCiclo,$S$5:$S$1000,"Macro")</f>
        <v/>
      </c>
      <c r="F3" s="59">
        <f>IF(COUNTIFS($S$5:$S$1000,"Macro",$P$5:$P$1000,MesCiclo)=0,"",IF(ABS(E3-1)&lt;=0.0001,"✔ 100%","⚠ Debe sumar 100%"))</f>
        <v/>
      </c>
      <c r="G3" s="59" t="n"/>
    </row>
    <row r="4" ht="42" customHeight="1">
      <c r="A4" s="60" t="inlineStr">
        <is>
          <t>N°</t>
        </is>
      </c>
      <c r="B4" s="50" t="inlineStr">
        <is>
          <t>Macro Actividad</t>
        </is>
      </c>
      <c r="C4" s="50" t="inlineStr">
        <is>
          <t>Subactividad</t>
        </is>
      </c>
      <c r="D4" s="50" t="inlineStr">
        <is>
          <t>Responsable</t>
        </is>
      </c>
      <c r="E4" s="50" t="inlineStr">
        <is>
          <t>Fecha de inicio</t>
        </is>
      </c>
      <c r="F4" s="50" t="inlineStr">
        <is>
          <t>Fecha límite</t>
        </is>
      </c>
      <c r="G4" s="50" t="inlineStr">
        <is>
          <t>Peso de actividad (%)</t>
        </is>
      </c>
      <c r="H4" s="50" t="inlineStr">
        <is>
          <t>Avance Semana 1 (%)</t>
        </is>
      </c>
      <c r="I4" s="50" t="inlineStr">
        <is>
          <t>Avance Semana 2 (%)</t>
        </is>
      </c>
      <c r="J4" s="50" t="inlineStr">
        <is>
          <t>Avance Semana 3 (%)</t>
        </is>
      </c>
      <c r="K4" s="50" t="inlineStr">
        <is>
          <t>Avance Semana 4 (%)</t>
        </is>
      </c>
      <c r="L4" s="60" t="inlineStr">
        <is>
          <t>% de Avance Total Actual</t>
        </is>
      </c>
      <c r="M4" s="60" t="inlineStr">
        <is>
          <t>Estado</t>
        </is>
      </c>
      <c r="N4" s="50" t="inlineStr">
        <is>
          <t>Observaciones</t>
        </is>
      </c>
      <c r="O4" s="60" t="inlineStr">
        <is>
          <t>Revisión automática (alertas)</t>
        </is>
      </c>
      <c r="P4" s="60" t="inlineStr">
        <is>
          <t>Mes</t>
        </is>
      </c>
      <c r="Q4" s="60" t="inlineStr">
        <is>
          <t>Orden en el mes (aux)</t>
        </is>
      </c>
      <c r="R4" s="60" t="inlineStr">
        <is>
          <t>Grupo (aux)</t>
        </is>
      </c>
      <c r="S4" s="60" t="inlineStr">
        <is>
          <t>Tipo (aux)</t>
        </is>
      </c>
      <c r="T4" s="60" t="inlineStr">
        <is>
          <t>N subactividades (aux)</t>
        </is>
      </c>
      <c r="U4" s="60" t="inlineStr">
        <is>
          <t>Propio S1 (aux)</t>
        </is>
      </c>
      <c r="V4" s="60" t="inlineStr">
        <is>
          <t>Propio S2 (aux)</t>
        </is>
      </c>
      <c r="W4" s="60" t="inlineStr">
        <is>
          <t>Propio S3 (aux)</t>
        </is>
      </c>
      <c r="X4" s="60" t="inlineStr">
        <is>
          <t>Propio S4 (aux)</t>
        </is>
      </c>
      <c r="Y4" s="60" t="inlineStr">
        <is>
          <t>Efectivo S1 (aux)</t>
        </is>
      </c>
      <c r="Z4" s="60" t="inlineStr">
        <is>
          <t>Efectivo S2 (aux)</t>
        </is>
      </c>
      <c r="AA4" s="60" t="inlineStr">
        <is>
          <t>Efectivo S3 (aux)</t>
        </is>
      </c>
      <c r="AB4" s="60" t="inlineStr">
        <is>
          <t>Efectivo S4 (aux)</t>
        </is>
      </c>
    </row>
    <row r="5">
      <c r="A5" s="61">
        <f>IF(NOT((COUNTA($B5:$K5)+COUNTA($N5))&gt;0),"",IF($S5="Macro",COUNTIFS($S$5:$S5,"Macro",$P$5:$P5,$P5),IF(N($R5)=0,"?",COUNTIFS(INDEX($S$5:$S$1000,1):INDEX($S$5:$S$1000,$R5-4),"Macro",INDEX($P$5:$P$1000,1):INDEX($P$5:$P$1000,$R5-4),INDEX($P$5:$P$1000,$R5-4))&amp;"."&amp;COUNTIFS($R$5:$R5,$R5,$S$5:$S5,"Sub"))))</f>
        <v/>
      </c>
      <c r="B5" s="62" t="n"/>
      <c r="C5" s="63" t="n"/>
      <c r="D5" s="62" t="n"/>
      <c r="E5" s="64" t="n"/>
      <c r="F5" s="64" t="n"/>
      <c r="G5" s="65" t="n"/>
      <c r="H5" s="66" t="n"/>
      <c r="I5" s="66" t="n"/>
      <c r="J5" s="66" t="n"/>
      <c r="K5" s="66" t="n"/>
      <c r="L5" s="67">
        <f>IF(NOT((COUNTA($B5:$K5)+COUNTA($N5))&gt;0),"",IF(N($T5)&gt;0,$AB5,IFERROR(LOOKUP(2,1/(H5:K5&lt;&gt;""),H5:K5),0)))</f>
        <v/>
      </c>
      <c r="M5" s="61">
        <f>IF(L5="","",IF(L5&gt;=1,"Completado",IF(L5&gt;0,"En curso","Pendiente")))</f>
        <v/>
      </c>
      <c r="N5" s="62" t="n"/>
      <c r="O5" s="68">
        <f>IF(NOT((COUNTA($B5:$K5)+COUNTA($N5))&gt;0),"",IF((IF(AND($S5="Macro",$B5=""),"Macroactividad vacía"&amp;" · ","")&amp;IF(AND($B5&lt;&gt;"",$C5&lt;&gt;""),"Escriba la subactividad en otra fila, debajo de su macroactividad"&amp;" · ","")&amp;IF(AND($S5="Sub",N($R5)=0),"Subactividad sin macroactividad arriba"&amp;" · ","")&amp;IF($D5="","Sin responsable"&amp;" · ","")&amp;IF($E5="","Sin fecha de inicio"&amp;" · ","")&amp;IF($F5="","Sin fecha límite"&amp;" · ","")&amp;IF(OR(AND($E5&lt;&gt;"",NOT(ISNUMBER($E5))),AND($F5&lt;&gt;"",NOT(ISNUMBER($F5)))),"Fecha no válida"&amp;" · ","")&amp;IF(AND(ISNUMBER($E5),ISNUMBER($F5),$E5&gt;$F5),"Inicio posterior a fecha límite"&amp;" · ","")&amp;IF(AND($S5="Macro",$G5=""),"Peso vacío"&amp;" · ","")&amp;IF(AND($S5="Macro",$G5&lt;&gt;"",OR(NOT(ISNUMBER($G5)),$G5&lt;=0,$G5&gt;1)),"Peso fuera de rango"&amp;" · ","")&amp;IF(AND($S5="Sub",$G5&lt;&gt;""),"Las subactividades no llevan peso"&amp;" · ","")&amp;IF(AND($S5="Macro",ABS(SUMIFS($G$5:$G$1000,$P$5:$P$1000,$P5,$S$5:$S$1000,"Macro")-1)&gt;0.0001),"Pesos del mes suman "&amp;TEXT(SUMIFS($G$5:$G$1000,$P$5:$P$1000,$P5,$S$5:$S$1000,"Macro"),"0%")&amp;" · ","")&amp;IF(AND(N($T5)&gt;0,COUNT($H5:$K5)&gt;0),"Con subactividades: deje vacías las semanas (se calculan solas)"&amp;" · ","")&amp;IF((COUNTIF($H5:$K5,"&gt;1")+COUNTIF($H5:$K5,"&lt;0")+COUNTA($H5:$K5)-COUNT($H5:$K5))&gt;0,"Avance fuera de rango 0-100%"&amp;" · ","")&amp;IF(OR(AND($I5&lt;&gt;"",$I5&lt;$H5),AND($J5&lt;&gt;"",$J5&lt;MAX($H5:$I5)),AND($K5&lt;&gt;"",$K5&lt;MAX($H5:$J5))),"Avance semanal decreciente"&amp;" · ","")&amp;IF(AND(ISNUMBER($F5),$F5&lt;FechaRef,N($L5)&lt;1),"Vencida"&amp;" · ","")&amp;IF(AND(ObsObligatoria="Sí",ISNUMBER($F5),$F5&lt;FechaRef,N($L5)&lt;1,$N5=""),"Vencida sin observación"&amp;" · ",""))="","✔ OK","⚠ "&amp;LEFT(IF(AND($S5="Macro",$B5=""),"Macroactividad vacía"&amp;" · ","")&amp;IF(AND($B5&lt;&gt;"",$C5&lt;&gt;""),"Escriba la subactividad en otra fila, debajo de su macroactividad"&amp;" · ","")&amp;IF(AND($S5="Sub",N($R5)=0),"Subactividad sin macroactividad arriba"&amp;" · ","")&amp;IF($D5="","Sin responsable"&amp;" · ","")&amp;IF($E5="","Sin fecha de inicio"&amp;" · ","")&amp;IF($F5="","Sin fecha límite"&amp;" · ","")&amp;IF(OR(AND($E5&lt;&gt;"",NOT(ISNUMBER($E5))),AND($F5&lt;&gt;"",NOT(ISNUMBER($F5)))),"Fecha no válida"&amp;" · ","")&amp;IF(AND(ISNUMBER($E5),ISNUMBER($F5),$E5&gt;$F5),"Inicio posterior a fecha límite"&amp;" · ","")&amp;IF(AND($S5="Macro",$G5=""),"Peso vacío"&amp;" · ","")&amp;IF(AND($S5="Macro",$G5&lt;&gt;"",OR(NOT(ISNUMBER($G5)),$G5&lt;=0,$G5&gt;1)),"Peso fuera de rango"&amp;" · ","")&amp;IF(AND($S5="Sub",$G5&lt;&gt;""),"Las subactividades no llevan peso"&amp;" · ","")&amp;IF(AND($S5="Macro",ABS(SUMIFS($G$5:$G$1000,$P$5:$P$1000,$P5,$S$5:$S$1000,"Macro")-1)&gt;0.0001),"Pesos del mes suman "&amp;TEXT(SUMIFS($G$5:$G$1000,$P$5:$P$1000,$P5,$S$5:$S$1000,"Macro"),"0%")&amp;" · ","")&amp;IF(AND(N($T5)&gt;0,COUNT($H5:$K5)&gt;0),"Con subactividades: deje vacías las semanas (se calculan solas)"&amp;" · ","")&amp;IF((COUNTIF($H5:$K5,"&gt;1")+COUNTIF($H5:$K5,"&lt;0")+COUNTA($H5:$K5)-COUNT($H5:$K5))&gt;0,"Avance fuera de rango 0-100%"&amp;" · ","")&amp;IF(OR(AND($I5&lt;&gt;"",$I5&lt;$H5),AND($J5&lt;&gt;"",$J5&lt;MAX($H5:$I5)),AND($K5&lt;&gt;"",$K5&lt;MAX($H5:$J5))),"Avance semanal decreciente"&amp;" · ","")&amp;IF(AND(ISNUMBER($F5),$F5&lt;FechaRef,N($L5)&lt;1),"Vencida"&amp;" · ","")&amp;IF(AND(ObsObligatoria="Sí",ISNUMBER($F5),$F5&lt;FechaRef,N($L5)&lt;1,$N5=""),"Vencida sin observación"&amp;" · ",""),LEN(IF(AND($S5="Macro",$B5=""),"Macroactividad vacía"&amp;" · ","")&amp;IF(AND($B5&lt;&gt;"",$C5&lt;&gt;""),"Escriba la subactividad en otra fila, debajo de su macroactividad"&amp;" · ","")&amp;IF(AND($S5="Sub",N($R5)=0),"Subactividad sin macroactividad arriba"&amp;" · ","")&amp;IF($D5="","Sin responsable"&amp;" · ","")&amp;IF($E5="","Sin fecha de inicio"&amp;" · ","")&amp;IF($F5="","Sin fecha límite"&amp;" · ","")&amp;IF(OR(AND($E5&lt;&gt;"",NOT(ISNUMBER($E5))),AND($F5&lt;&gt;"",NOT(ISNUMBER($F5)))),"Fecha no válida"&amp;" · ","")&amp;IF(AND(ISNUMBER($E5),ISNUMBER($F5),$E5&gt;$F5),"Inicio posterior a fecha límite"&amp;" · ","")&amp;IF(AND($S5="Macro",$G5=""),"Peso vacío"&amp;" · ","")&amp;IF(AND($S5="Macro",$G5&lt;&gt;"",OR(NOT(ISNUMBER($G5)),$G5&lt;=0,$G5&gt;1)),"Peso fuera de rango"&amp;" · ","")&amp;IF(AND($S5="Sub",$G5&lt;&gt;""),"Las subactividades no llevan peso"&amp;" · ","")&amp;IF(AND($S5="Macro",ABS(SUMIFS($G$5:$G$1000,$P$5:$P$1000,$P5,$S$5:$S$1000,"Macro")-1)&gt;0.0001),"Pesos del mes suman "&amp;TEXT(SUMIFS($G$5:$G$1000,$P$5:$P$1000,$P5,$S$5:$S$1000,"Macro"),"0%")&amp;" · ","")&amp;IF(AND(N($T5)&gt;0,COUNT($H5:$K5)&gt;0),"Con subactividades: deje vacías las semanas (se calculan solas)"&amp;" · ","")&amp;IF((COUNTIF($H5:$K5,"&gt;1")+COUNTIF($H5:$K5,"&lt;0")+COUNTA($H5:$K5)-COUNT($H5:$K5))&gt;0,"Avance fuera de rango 0-100%"&amp;" · ","")&amp;IF(OR(AND($I5&lt;&gt;"",$I5&lt;$H5),AND($J5&lt;&gt;"",$J5&lt;MAX($H5:$I5)),AND($K5&lt;&gt;"",$K5&lt;MAX($H5:$J5))),"Avance semanal decreciente"&amp;" · ","")&amp;IF(AND(ISNUMBER($F5),$F5&lt;FechaRef,N($L5)&lt;1),"Vencida"&amp;" · ","")&amp;IF(AND(ObsObligatoria="Sí",ISNUMBER($F5),$F5&lt;FechaRef,N($L5)&lt;1,$N5=""),"Vencida sin observación"&amp;" · ",""))-3)))</f>
        <v/>
      </c>
      <c r="P5" s="69">
        <f>IF(NOT((COUNTA($B5:$K5)+COUNTA($N5))&gt;0),"",IF(AND($S5="Sub",N($R5)&gt;0),IF(ISNUMBER(INDEX($E$5:$E$1000,$R5-4)),DATE(YEAR(INDEX($E$5:$E$1000,$R5-4)),MONTH(INDEX($E$5:$E$1000,$R5-4)),1),IF(ISNUMBER(INDEX($F$5:$F$1000,$R5-4)),DATE(YEAR(INDEX($F$5:$F$1000,$R5-4)),MONTH(INDEX($F$5:$F$1000,$R5-4)),1),MesCiclo)),IF(ISNUMBER($E5),DATE(YEAR($E5),MONTH($E5),1),IF(ISNUMBER($F5),DATE(YEAR($F5),MONTH($F5),1),MesCiclo))))</f>
        <v/>
      </c>
      <c r="Q5" s="70">
        <f>IF(OR($P5="",$P5&lt;&gt;MesCiclo),"",COUNTIF($P$5:$P5,MesCiclo))</f>
        <v/>
      </c>
      <c r="R5" s="70">
        <f>IF($S5="","",IF($S5="Macro",ROW(),IFERROR(LOOKUP(2,1/($S$5:$S5="Macro"),ROW($S$5:$S5)),0)))</f>
        <v/>
      </c>
      <c r="S5" s="70">
        <f>IF(NOT((COUNTA($B5:$K5)+COUNTA($N5))&gt;0),"",IF($B5&lt;&gt;"","Macro",IF($C5&lt;&gt;"","Sub","Macro")))</f>
        <v/>
      </c>
      <c r="T5" s="70">
        <f>IF($S5="Macro",COUNTIFS($R$5:$R$1000,ROW(),$S$5:$S$1000,"Sub"),"")</f>
        <v/>
      </c>
      <c r="U5" s="70">
        <f>IF($S5="","",IF(ISNUMBER($H5),$H5,0))</f>
        <v/>
      </c>
      <c r="V5" s="70">
        <f>IF($S5="","",IF(ISNUMBER($I5),$I5,$U5))</f>
        <v/>
      </c>
      <c r="W5" s="70">
        <f>IF($S5="","",IF(ISNUMBER($J5),$J5,$V5))</f>
        <v/>
      </c>
      <c r="X5" s="70">
        <f>IF($S5="","",IF(ISNUMBER($K5),$K5,$W5))</f>
        <v/>
      </c>
      <c r="Y5" s="70">
        <f>IF($S5="","",IF(N($T5)&gt;0,AVERAGEIFS($U$5:$U$1000,$R$5:$R$1000,ROW(),$S$5:$S$1000,"Sub"),$U5))</f>
        <v/>
      </c>
      <c r="Z5" s="70">
        <f>IF($S5="","",IF(N($T5)&gt;0,AVERAGEIFS($V$5:$V$1000,$R$5:$R$1000,ROW(),$S$5:$S$1000,"Sub"),$V5))</f>
        <v/>
      </c>
      <c r="AA5" s="70">
        <f>IF($S5="","",IF(N($T5)&gt;0,AVERAGEIFS($W$5:$W$1000,$R$5:$R$1000,ROW(),$S$5:$S$1000,"Sub"),$W5))</f>
        <v/>
      </c>
      <c r="AB5" s="70">
        <f>IF($S5="","",IF(N($T5)&gt;0,AVERAGEIFS($X$5:$X$1000,$R$5:$R$1000,ROW(),$S$5:$S$1000,"Sub"),$X5))</f>
        <v/>
      </c>
    </row>
    <row r="6">
      <c r="A6" s="61">
        <f>IF(NOT((COUNTA($B6:$K6)+COUNTA($N6))&gt;0),"",IF($S6="Macro",COUNTIFS($S$5:$S6,"Macro",$P$5:$P6,$P6),IF(N($R6)=0,"?",COUNTIFS(INDEX($S$5:$S$1000,1):INDEX($S$5:$S$1000,$R6-4),"Macro",INDEX($P$5:$P$1000,1):INDEX($P$5:$P$1000,$R6-4),INDEX($P$5:$P$1000,$R6-4))&amp;"."&amp;COUNTIFS($R$5:$R6,$R6,$S$5:$S6,"Sub"))))</f>
        <v/>
      </c>
      <c r="B6" s="62" t="n"/>
      <c r="C6" s="63" t="n"/>
      <c r="D6" s="62" t="n"/>
      <c r="E6" s="64" t="n"/>
      <c r="F6" s="64" t="n"/>
      <c r="G6" s="65" t="n"/>
      <c r="H6" s="66" t="n"/>
      <c r="I6" s="66" t="n"/>
      <c r="J6" s="66" t="n"/>
      <c r="K6" s="66" t="n"/>
      <c r="L6" s="67">
        <f>IF(NOT((COUNTA($B6:$K6)+COUNTA($N6))&gt;0),"",IF(N($T6)&gt;0,$AB6,IFERROR(LOOKUP(2,1/(H6:K6&lt;&gt;""),H6:K6),0)))</f>
        <v/>
      </c>
      <c r="M6" s="61">
        <f>IF(L6="","",IF(L6&gt;=1,"Completado",IF(L6&gt;0,"En curso","Pendiente")))</f>
        <v/>
      </c>
      <c r="N6" s="62" t="n"/>
      <c r="O6" s="68">
        <f>IF(NOT((COUNTA($B6:$K6)+COUNTA($N6))&gt;0),"",IF((IF(AND($S6="Macro",$B6=""),"Macroactividad vacía"&amp;" · ","")&amp;IF(AND($B6&lt;&gt;"",$C6&lt;&gt;""),"Escriba la subactividad en otra fila, debajo de su macroactividad"&amp;" · ","")&amp;IF(AND($S6="Sub",N($R6)=0),"Subactividad sin macroactividad arriba"&amp;" · ","")&amp;IF($D6="","Sin responsable"&amp;" · ","")&amp;IF($E6="","Sin fecha de inicio"&amp;" · ","")&amp;IF($F6="","Sin fecha límite"&amp;" · ","")&amp;IF(OR(AND($E6&lt;&gt;"",NOT(ISNUMBER($E6))),AND($F6&lt;&gt;"",NOT(ISNUMBER($F6)))),"Fecha no válida"&amp;" · ","")&amp;IF(AND(ISNUMBER($E6),ISNUMBER($F6),$E6&gt;$F6),"Inicio posterior a fecha límite"&amp;" · ","")&amp;IF(AND($S6="Macro",$G6=""),"Peso vacío"&amp;" · ","")&amp;IF(AND($S6="Macro",$G6&lt;&gt;"",OR(NOT(ISNUMBER($G6)),$G6&lt;=0,$G6&gt;1)),"Peso fuera de rango"&amp;" · ","")&amp;IF(AND($S6="Sub",$G6&lt;&gt;""),"Las subactividades no llevan peso"&amp;" · ","")&amp;IF(AND($S6="Macro",ABS(SUMIFS($G$5:$G$1000,$P$5:$P$1000,$P6,$S$5:$S$1000,"Macro")-1)&gt;0.0001),"Pesos del mes suman "&amp;TEXT(SUMIFS($G$5:$G$1000,$P$5:$P$1000,$P6,$S$5:$S$1000,"Macro"),"0%")&amp;" · ","")&amp;IF(AND(N($T6)&gt;0,COUNT($H6:$K6)&gt;0),"Con subactividades: deje vacías las semanas (se calculan solas)"&amp;" · ","")&amp;IF((COUNTIF($H6:$K6,"&gt;1")+COUNTIF($H6:$K6,"&lt;0")+COUNTA($H6:$K6)-COUNT($H6:$K6))&gt;0,"Avance fuera de rango 0-100%"&amp;" · ","")&amp;IF(OR(AND($I6&lt;&gt;"",$I6&lt;$H6),AND($J6&lt;&gt;"",$J6&lt;MAX($H6:$I6)),AND($K6&lt;&gt;"",$K6&lt;MAX($H6:$J6))),"Avance semanal decreciente"&amp;" · ","")&amp;IF(AND(ISNUMBER($F6),$F6&lt;FechaRef,N($L6)&lt;1),"Vencida"&amp;" · ","")&amp;IF(AND(ObsObligatoria="Sí",ISNUMBER($F6),$F6&lt;FechaRef,N($L6)&lt;1,$N6=""),"Vencida sin observación"&amp;" · ",""))="","✔ OK","⚠ "&amp;LEFT(IF(AND($S6="Macro",$B6=""),"Macroactividad vacía"&amp;" · ","")&amp;IF(AND($B6&lt;&gt;"",$C6&lt;&gt;""),"Escriba la subactividad en otra fila, debajo de su macroactividad"&amp;" · ","")&amp;IF(AND($S6="Sub",N($R6)=0),"Subactividad sin macroactividad arriba"&amp;" · ","")&amp;IF($D6="","Sin responsable"&amp;" · ","")&amp;IF($E6="","Sin fecha de inicio"&amp;" · ","")&amp;IF($F6="","Sin fecha límite"&amp;" · ","")&amp;IF(OR(AND($E6&lt;&gt;"",NOT(ISNUMBER($E6))),AND($F6&lt;&gt;"",NOT(ISNUMBER($F6)))),"Fecha no válida"&amp;" · ","")&amp;IF(AND(ISNUMBER($E6),ISNUMBER($F6),$E6&gt;$F6),"Inicio posterior a fecha límite"&amp;" · ","")&amp;IF(AND($S6="Macro",$G6=""),"Peso vacío"&amp;" · ","")&amp;IF(AND($S6="Macro",$G6&lt;&gt;"",OR(NOT(ISNUMBER($G6)),$G6&lt;=0,$G6&gt;1)),"Peso fuera de rango"&amp;" · ","")&amp;IF(AND($S6="Sub",$G6&lt;&gt;""),"Las subactividades no llevan peso"&amp;" · ","")&amp;IF(AND($S6="Macro",ABS(SUMIFS($G$5:$G$1000,$P$5:$P$1000,$P6,$S$5:$S$1000,"Macro")-1)&gt;0.0001),"Pesos del mes suman "&amp;TEXT(SUMIFS($G$5:$G$1000,$P$5:$P$1000,$P6,$S$5:$S$1000,"Macro"),"0%")&amp;" · ","")&amp;IF(AND(N($T6)&gt;0,COUNT($H6:$K6)&gt;0),"Con subactividades: deje vacías las semanas (se calculan solas)"&amp;" · ","")&amp;IF((COUNTIF($H6:$K6,"&gt;1")+COUNTIF($H6:$K6,"&lt;0")+COUNTA($H6:$K6)-COUNT($H6:$K6))&gt;0,"Avance fuera de rango 0-100%"&amp;" · ","")&amp;IF(OR(AND($I6&lt;&gt;"",$I6&lt;$H6),AND($J6&lt;&gt;"",$J6&lt;MAX($H6:$I6)),AND($K6&lt;&gt;"",$K6&lt;MAX($H6:$J6))),"Avance semanal decreciente"&amp;" · ","")&amp;IF(AND(ISNUMBER($F6),$F6&lt;FechaRef,N($L6)&lt;1),"Vencida"&amp;" · ","")&amp;IF(AND(ObsObligatoria="Sí",ISNUMBER($F6),$F6&lt;FechaRef,N($L6)&lt;1,$N6=""),"Vencida sin observación"&amp;" · ",""),LEN(IF(AND($S6="Macro",$B6=""),"Macroactividad vacía"&amp;" · ","")&amp;IF(AND($B6&lt;&gt;"",$C6&lt;&gt;""),"Escriba la subactividad en otra fila, debajo de su macroactividad"&amp;" · ","")&amp;IF(AND($S6="Sub",N($R6)=0),"Subactividad sin macroactividad arriba"&amp;" · ","")&amp;IF($D6="","Sin responsable"&amp;" · ","")&amp;IF($E6="","Sin fecha de inicio"&amp;" · ","")&amp;IF($F6="","Sin fecha límite"&amp;" · ","")&amp;IF(OR(AND($E6&lt;&gt;"",NOT(ISNUMBER($E6))),AND($F6&lt;&gt;"",NOT(ISNUMBER($F6)))),"Fecha no válida"&amp;" · ","")&amp;IF(AND(ISNUMBER($E6),ISNUMBER($F6),$E6&gt;$F6),"Inicio posterior a fecha límite"&amp;" · ","")&amp;IF(AND($S6="Macro",$G6=""),"Peso vacío"&amp;" · ","")&amp;IF(AND($S6="Macro",$G6&lt;&gt;"",OR(NOT(ISNUMBER($G6)),$G6&lt;=0,$G6&gt;1)),"Peso fuera de rango"&amp;" · ","")&amp;IF(AND($S6="Sub",$G6&lt;&gt;""),"Las subactividades no llevan peso"&amp;" · ","")&amp;IF(AND($S6="Macro",ABS(SUMIFS($G$5:$G$1000,$P$5:$P$1000,$P6,$S$5:$S$1000,"Macro")-1)&gt;0.0001),"Pesos del mes suman "&amp;TEXT(SUMIFS($G$5:$G$1000,$P$5:$P$1000,$P6,$S$5:$S$1000,"Macro"),"0%")&amp;" · ","")&amp;IF(AND(N($T6)&gt;0,COUNT($H6:$K6)&gt;0),"Con subactividades: deje vacías las semanas (se calculan solas)"&amp;" · ","")&amp;IF((COUNTIF($H6:$K6,"&gt;1")+COUNTIF($H6:$K6,"&lt;0")+COUNTA($H6:$K6)-COUNT($H6:$K6))&gt;0,"Avance fuera de rango 0-100%"&amp;" · ","")&amp;IF(OR(AND($I6&lt;&gt;"",$I6&lt;$H6),AND($J6&lt;&gt;"",$J6&lt;MAX($H6:$I6)),AND($K6&lt;&gt;"",$K6&lt;MAX($H6:$J6))),"Avance semanal decreciente"&amp;" · ","")&amp;IF(AND(ISNUMBER($F6),$F6&lt;FechaRef,N($L6)&lt;1),"Vencida"&amp;" · ","")&amp;IF(AND(ObsObligatoria="Sí",ISNUMBER($F6),$F6&lt;FechaRef,N($L6)&lt;1,$N6=""),"Vencida sin observación"&amp;" · ",""))-3)))</f>
        <v/>
      </c>
      <c r="P6" s="69">
        <f>IF(NOT((COUNTA($B6:$K6)+COUNTA($N6))&gt;0),"",IF(AND($S6="Sub",N($R6)&gt;0),IF(ISNUMBER(INDEX($E$5:$E$1000,$R6-4)),DATE(YEAR(INDEX($E$5:$E$1000,$R6-4)),MONTH(INDEX($E$5:$E$1000,$R6-4)),1),IF(ISNUMBER(INDEX($F$5:$F$1000,$R6-4)),DATE(YEAR(INDEX($F$5:$F$1000,$R6-4)),MONTH(INDEX($F$5:$F$1000,$R6-4)),1),MesCiclo)),IF(ISNUMBER($E6),DATE(YEAR($E6),MONTH($E6),1),IF(ISNUMBER($F6),DATE(YEAR($F6),MONTH($F6),1),MesCiclo))))</f>
        <v/>
      </c>
      <c r="Q6" s="70">
        <f>IF(OR($P6="",$P6&lt;&gt;MesCiclo),"",COUNTIF($P$5:$P6,MesCiclo))</f>
        <v/>
      </c>
      <c r="R6" s="70">
        <f>IF($S6="","",IF($S6="Macro",ROW(),IFERROR(LOOKUP(2,1/($S$5:$S6="Macro"),ROW($S$5:$S6)),0)))</f>
        <v/>
      </c>
      <c r="S6" s="70">
        <f>IF(NOT((COUNTA($B6:$K6)+COUNTA($N6))&gt;0),"",IF($B6&lt;&gt;"","Macro",IF($C6&lt;&gt;"","Sub","Macro")))</f>
        <v/>
      </c>
      <c r="T6" s="70">
        <f>IF($S6="Macro",COUNTIFS($R$5:$R$1000,ROW(),$S$5:$S$1000,"Sub"),"")</f>
        <v/>
      </c>
      <c r="U6" s="70">
        <f>IF($S6="","",IF(ISNUMBER($H6),$H6,0))</f>
        <v/>
      </c>
      <c r="V6" s="70">
        <f>IF($S6="","",IF(ISNUMBER($I6),$I6,$U6))</f>
        <v/>
      </c>
      <c r="W6" s="70">
        <f>IF($S6="","",IF(ISNUMBER($J6),$J6,$V6))</f>
        <v/>
      </c>
      <c r="X6" s="70">
        <f>IF($S6="","",IF(ISNUMBER($K6),$K6,$W6))</f>
        <v/>
      </c>
      <c r="Y6" s="70">
        <f>IF($S6="","",IF(N($T6)&gt;0,AVERAGEIFS($U$5:$U$1000,$R$5:$R$1000,ROW(),$S$5:$S$1000,"Sub"),$U6))</f>
        <v/>
      </c>
      <c r="Z6" s="70">
        <f>IF($S6="","",IF(N($T6)&gt;0,AVERAGEIFS($V$5:$V$1000,$R$5:$R$1000,ROW(),$S$5:$S$1000,"Sub"),$V6))</f>
        <v/>
      </c>
      <c r="AA6" s="70">
        <f>IF($S6="","",IF(N($T6)&gt;0,AVERAGEIFS($W$5:$W$1000,$R$5:$R$1000,ROW(),$S$5:$S$1000,"Sub"),$W6))</f>
        <v/>
      </c>
      <c r="AB6" s="70">
        <f>IF($S6="","",IF(N($T6)&gt;0,AVERAGEIFS($X$5:$X$1000,$R$5:$R$1000,ROW(),$S$5:$S$1000,"Sub"),$X6))</f>
        <v/>
      </c>
    </row>
    <row r="7">
      <c r="A7" s="61">
        <f>IF(NOT((COUNTA($B7:$K7)+COUNTA($N7))&gt;0),"",IF($S7="Macro",COUNTIFS($S$5:$S7,"Macro",$P$5:$P7,$P7),IF(N($R7)=0,"?",COUNTIFS(INDEX($S$5:$S$1000,1):INDEX($S$5:$S$1000,$R7-4),"Macro",INDEX($P$5:$P$1000,1):INDEX($P$5:$P$1000,$R7-4),INDEX($P$5:$P$1000,$R7-4))&amp;"."&amp;COUNTIFS($R$5:$R7,$R7,$S$5:$S7,"Sub"))))</f>
        <v/>
      </c>
      <c r="B7" s="62" t="n"/>
      <c r="C7" s="63" t="n"/>
      <c r="D7" s="62" t="n"/>
      <c r="E7" s="64" t="n"/>
      <c r="F7" s="64" t="n"/>
      <c r="G7" s="65" t="n"/>
      <c r="H7" s="66" t="n"/>
      <c r="I7" s="66" t="n"/>
      <c r="J7" s="66" t="n"/>
      <c r="K7" s="66" t="n"/>
      <c r="L7" s="67">
        <f>IF(NOT((COUNTA($B7:$K7)+COUNTA($N7))&gt;0),"",IF(N($T7)&gt;0,$AB7,IFERROR(LOOKUP(2,1/(H7:K7&lt;&gt;""),H7:K7),0)))</f>
        <v/>
      </c>
      <c r="M7" s="61">
        <f>IF(L7="","",IF(L7&gt;=1,"Completado",IF(L7&gt;0,"En curso","Pendiente")))</f>
        <v/>
      </c>
      <c r="N7" s="62" t="n"/>
      <c r="O7" s="68">
        <f>IF(NOT((COUNTA($B7:$K7)+COUNTA($N7))&gt;0),"",IF((IF(AND($S7="Macro",$B7=""),"Macroactividad vacía"&amp;" · ","")&amp;IF(AND($B7&lt;&gt;"",$C7&lt;&gt;""),"Escriba la subactividad en otra fila, debajo de su macroactividad"&amp;" · ","")&amp;IF(AND($S7="Sub",N($R7)=0),"Subactividad sin macroactividad arriba"&amp;" · ","")&amp;IF($D7="","Sin responsable"&amp;" · ","")&amp;IF($E7="","Sin fecha de inicio"&amp;" · ","")&amp;IF($F7="","Sin fecha límite"&amp;" · ","")&amp;IF(OR(AND($E7&lt;&gt;"",NOT(ISNUMBER($E7))),AND($F7&lt;&gt;"",NOT(ISNUMBER($F7)))),"Fecha no válida"&amp;" · ","")&amp;IF(AND(ISNUMBER($E7),ISNUMBER($F7),$E7&gt;$F7),"Inicio posterior a fecha límite"&amp;" · ","")&amp;IF(AND($S7="Macro",$G7=""),"Peso vacío"&amp;" · ","")&amp;IF(AND($S7="Macro",$G7&lt;&gt;"",OR(NOT(ISNUMBER($G7)),$G7&lt;=0,$G7&gt;1)),"Peso fuera de rango"&amp;" · ","")&amp;IF(AND($S7="Sub",$G7&lt;&gt;""),"Las subactividades no llevan peso"&amp;" · ","")&amp;IF(AND($S7="Macro",ABS(SUMIFS($G$5:$G$1000,$P$5:$P$1000,$P7,$S$5:$S$1000,"Macro")-1)&gt;0.0001),"Pesos del mes suman "&amp;TEXT(SUMIFS($G$5:$G$1000,$P$5:$P$1000,$P7,$S$5:$S$1000,"Macro"),"0%")&amp;" · ","")&amp;IF(AND(N($T7)&gt;0,COUNT($H7:$K7)&gt;0),"Con subactividades: deje vacías las semanas (se calculan solas)"&amp;" · ","")&amp;IF((COUNTIF($H7:$K7,"&gt;1")+COUNTIF($H7:$K7,"&lt;0")+COUNTA($H7:$K7)-COUNT($H7:$K7))&gt;0,"Avance fuera de rango 0-100%"&amp;" · ","")&amp;IF(OR(AND($I7&lt;&gt;"",$I7&lt;$H7),AND($J7&lt;&gt;"",$J7&lt;MAX($H7:$I7)),AND($K7&lt;&gt;"",$K7&lt;MAX($H7:$J7))),"Avance semanal decreciente"&amp;" · ","")&amp;IF(AND(ISNUMBER($F7),$F7&lt;FechaRef,N($L7)&lt;1),"Vencida"&amp;" · ","")&amp;IF(AND(ObsObligatoria="Sí",ISNUMBER($F7),$F7&lt;FechaRef,N($L7)&lt;1,$N7=""),"Vencida sin observación"&amp;" · ",""))="","✔ OK","⚠ "&amp;LEFT(IF(AND($S7="Macro",$B7=""),"Macroactividad vacía"&amp;" · ","")&amp;IF(AND($B7&lt;&gt;"",$C7&lt;&gt;""),"Escriba la subactividad en otra fila, debajo de su macroactividad"&amp;" · ","")&amp;IF(AND($S7="Sub",N($R7)=0),"Subactividad sin macroactividad arriba"&amp;" · ","")&amp;IF($D7="","Sin responsable"&amp;" · ","")&amp;IF($E7="","Sin fecha de inicio"&amp;" · ","")&amp;IF($F7="","Sin fecha límite"&amp;" · ","")&amp;IF(OR(AND($E7&lt;&gt;"",NOT(ISNUMBER($E7))),AND($F7&lt;&gt;"",NOT(ISNUMBER($F7)))),"Fecha no válida"&amp;" · ","")&amp;IF(AND(ISNUMBER($E7),ISNUMBER($F7),$E7&gt;$F7),"Inicio posterior a fecha límite"&amp;" · ","")&amp;IF(AND($S7="Macro",$G7=""),"Peso vacío"&amp;" · ","")&amp;IF(AND($S7="Macro",$G7&lt;&gt;"",OR(NOT(ISNUMBER($G7)),$G7&lt;=0,$G7&gt;1)),"Peso fuera de rango"&amp;" · ","")&amp;IF(AND($S7="Sub",$G7&lt;&gt;""),"Las subactividades no llevan peso"&amp;" · ","")&amp;IF(AND($S7="Macro",ABS(SUMIFS($G$5:$G$1000,$P$5:$P$1000,$P7,$S$5:$S$1000,"Macro")-1)&gt;0.0001),"Pesos del mes suman "&amp;TEXT(SUMIFS($G$5:$G$1000,$P$5:$P$1000,$P7,$S$5:$S$1000,"Macro"),"0%")&amp;" · ","")&amp;IF(AND(N($T7)&gt;0,COUNT($H7:$K7)&gt;0),"Con subactividades: deje vacías las semanas (se calculan solas)"&amp;" · ","")&amp;IF((COUNTIF($H7:$K7,"&gt;1")+COUNTIF($H7:$K7,"&lt;0")+COUNTA($H7:$K7)-COUNT($H7:$K7))&gt;0,"Avance fuera de rango 0-100%"&amp;" · ","")&amp;IF(OR(AND($I7&lt;&gt;"",$I7&lt;$H7),AND($J7&lt;&gt;"",$J7&lt;MAX($H7:$I7)),AND($K7&lt;&gt;"",$K7&lt;MAX($H7:$J7))),"Avance semanal decreciente"&amp;" · ","")&amp;IF(AND(ISNUMBER($F7),$F7&lt;FechaRef,N($L7)&lt;1),"Vencida"&amp;" · ","")&amp;IF(AND(ObsObligatoria="Sí",ISNUMBER($F7),$F7&lt;FechaRef,N($L7)&lt;1,$N7=""),"Vencida sin observación"&amp;" · ",""),LEN(IF(AND($S7="Macro",$B7=""),"Macroactividad vacía"&amp;" · ","")&amp;IF(AND($B7&lt;&gt;"",$C7&lt;&gt;""),"Escriba la subactividad en otra fila, debajo de su macroactividad"&amp;" · ","")&amp;IF(AND($S7="Sub",N($R7)=0),"Subactividad sin macroactividad arriba"&amp;" · ","")&amp;IF($D7="","Sin responsable"&amp;" · ","")&amp;IF($E7="","Sin fecha de inicio"&amp;" · ","")&amp;IF($F7="","Sin fecha límite"&amp;" · ","")&amp;IF(OR(AND($E7&lt;&gt;"",NOT(ISNUMBER($E7))),AND($F7&lt;&gt;"",NOT(ISNUMBER($F7)))),"Fecha no válida"&amp;" · ","")&amp;IF(AND(ISNUMBER($E7),ISNUMBER($F7),$E7&gt;$F7),"Inicio posterior a fecha límite"&amp;" · ","")&amp;IF(AND($S7="Macro",$G7=""),"Peso vacío"&amp;" · ","")&amp;IF(AND($S7="Macro",$G7&lt;&gt;"",OR(NOT(ISNUMBER($G7)),$G7&lt;=0,$G7&gt;1)),"Peso fuera de rango"&amp;" · ","")&amp;IF(AND($S7="Sub",$G7&lt;&gt;""),"Las subactividades no llevan peso"&amp;" · ","")&amp;IF(AND($S7="Macro",ABS(SUMIFS($G$5:$G$1000,$P$5:$P$1000,$P7,$S$5:$S$1000,"Macro")-1)&gt;0.0001),"Pesos del mes suman "&amp;TEXT(SUMIFS($G$5:$G$1000,$P$5:$P$1000,$P7,$S$5:$S$1000,"Macro"),"0%")&amp;" · ","")&amp;IF(AND(N($T7)&gt;0,COUNT($H7:$K7)&gt;0),"Con subactividades: deje vacías las semanas (se calculan solas)"&amp;" · ","")&amp;IF((COUNTIF($H7:$K7,"&gt;1")+COUNTIF($H7:$K7,"&lt;0")+COUNTA($H7:$K7)-COUNT($H7:$K7))&gt;0,"Avance fuera de rango 0-100%"&amp;" · ","")&amp;IF(OR(AND($I7&lt;&gt;"",$I7&lt;$H7),AND($J7&lt;&gt;"",$J7&lt;MAX($H7:$I7)),AND($K7&lt;&gt;"",$K7&lt;MAX($H7:$J7))),"Avance semanal decreciente"&amp;" · ","")&amp;IF(AND(ISNUMBER($F7),$F7&lt;FechaRef,N($L7)&lt;1),"Vencida"&amp;" · ","")&amp;IF(AND(ObsObligatoria="Sí",ISNUMBER($F7),$F7&lt;FechaRef,N($L7)&lt;1,$N7=""),"Vencida sin observación"&amp;" · ",""))-3)))</f>
        <v/>
      </c>
      <c r="P7" s="69">
        <f>IF(NOT((COUNTA($B7:$K7)+COUNTA($N7))&gt;0),"",IF(AND($S7="Sub",N($R7)&gt;0),IF(ISNUMBER(INDEX($E$5:$E$1000,$R7-4)),DATE(YEAR(INDEX($E$5:$E$1000,$R7-4)),MONTH(INDEX($E$5:$E$1000,$R7-4)),1),IF(ISNUMBER(INDEX($F$5:$F$1000,$R7-4)),DATE(YEAR(INDEX($F$5:$F$1000,$R7-4)),MONTH(INDEX($F$5:$F$1000,$R7-4)),1),MesCiclo)),IF(ISNUMBER($E7),DATE(YEAR($E7),MONTH($E7),1),IF(ISNUMBER($F7),DATE(YEAR($F7),MONTH($F7),1),MesCiclo))))</f>
        <v/>
      </c>
      <c r="Q7" s="70">
        <f>IF(OR($P7="",$P7&lt;&gt;MesCiclo),"",COUNTIF($P$5:$P7,MesCiclo))</f>
        <v/>
      </c>
      <c r="R7" s="70">
        <f>IF($S7="","",IF($S7="Macro",ROW(),IFERROR(LOOKUP(2,1/($S$5:$S7="Macro"),ROW($S$5:$S7)),0)))</f>
        <v/>
      </c>
      <c r="S7" s="70">
        <f>IF(NOT((COUNTA($B7:$K7)+COUNTA($N7))&gt;0),"",IF($B7&lt;&gt;"","Macro",IF($C7&lt;&gt;"","Sub","Macro")))</f>
        <v/>
      </c>
      <c r="T7" s="70">
        <f>IF($S7="Macro",COUNTIFS($R$5:$R$1000,ROW(),$S$5:$S$1000,"Sub"),"")</f>
        <v/>
      </c>
      <c r="U7" s="70">
        <f>IF($S7="","",IF(ISNUMBER($H7),$H7,0))</f>
        <v/>
      </c>
      <c r="V7" s="70">
        <f>IF($S7="","",IF(ISNUMBER($I7),$I7,$U7))</f>
        <v/>
      </c>
      <c r="W7" s="70">
        <f>IF($S7="","",IF(ISNUMBER($J7),$J7,$V7))</f>
        <v/>
      </c>
      <c r="X7" s="70">
        <f>IF($S7="","",IF(ISNUMBER($K7),$K7,$W7))</f>
        <v/>
      </c>
      <c r="Y7" s="70">
        <f>IF($S7="","",IF(N($T7)&gt;0,AVERAGEIFS($U$5:$U$1000,$R$5:$R$1000,ROW(),$S$5:$S$1000,"Sub"),$U7))</f>
        <v/>
      </c>
      <c r="Z7" s="70">
        <f>IF($S7="","",IF(N($T7)&gt;0,AVERAGEIFS($V$5:$V$1000,$R$5:$R$1000,ROW(),$S$5:$S$1000,"Sub"),$V7))</f>
        <v/>
      </c>
      <c r="AA7" s="70">
        <f>IF($S7="","",IF(N($T7)&gt;0,AVERAGEIFS($W$5:$W$1000,$R$5:$R$1000,ROW(),$S$5:$S$1000,"Sub"),$W7))</f>
        <v/>
      </c>
      <c r="AB7" s="70">
        <f>IF($S7="","",IF(N($T7)&gt;0,AVERAGEIFS($X$5:$X$1000,$R$5:$R$1000,ROW(),$S$5:$S$1000,"Sub"),$X7))</f>
        <v/>
      </c>
    </row>
    <row r="8">
      <c r="A8" s="61">
        <f>IF(NOT((COUNTA($B8:$K8)+COUNTA($N8))&gt;0),"",IF($S8="Macro",COUNTIFS($S$5:$S8,"Macro",$P$5:$P8,$P8),IF(N($R8)=0,"?",COUNTIFS(INDEX($S$5:$S$1000,1):INDEX($S$5:$S$1000,$R8-4),"Macro",INDEX($P$5:$P$1000,1):INDEX($P$5:$P$1000,$R8-4),INDEX($P$5:$P$1000,$R8-4))&amp;"."&amp;COUNTIFS($R$5:$R8,$R8,$S$5:$S8,"Sub"))))</f>
        <v/>
      </c>
      <c r="B8" s="62" t="n"/>
      <c r="C8" s="63" t="n"/>
      <c r="D8" s="62" t="n"/>
      <c r="E8" s="64" t="n"/>
      <c r="F8" s="64" t="n"/>
      <c r="G8" s="65" t="n"/>
      <c r="H8" s="66" t="n"/>
      <c r="I8" s="66" t="n"/>
      <c r="J8" s="66" t="n"/>
      <c r="K8" s="66" t="n"/>
      <c r="L8" s="67">
        <f>IF(NOT((COUNTA($B8:$K8)+COUNTA($N8))&gt;0),"",IF(N($T8)&gt;0,$AB8,IFERROR(LOOKUP(2,1/(H8:K8&lt;&gt;""),H8:K8),0)))</f>
        <v/>
      </c>
      <c r="M8" s="61">
        <f>IF(L8="","",IF(L8&gt;=1,"Completado",IF(L8&gt;0,"En curso","Pendiente")))</f>
        <v/>
      </c>
      <c r="N8" s="62" t="n"/>
      <c r="O8" s="68">
        <f>IF(NOT((COUNTA($B8:$K8)+COUNTA($N8))&gt;0),"",IF((IF(AND($S8="Macro",$B8=""),"Macroactividad vacía"&amp;" · ","")&amp;IF(AND($B8&lt;&gt;"",$C8&lt;&gt;""),"Escriba la subactividad en otra fila, debajo de su macroactividad"&amp;" · ","")&amp;IF(AND($S8="Sub",N($R8)=0),"Subactividad sin macroactividad arriba"&amp;" · ","")&amp;IF($D8="","Sin responsable"&amp;" · ","")&amp;IF($E8="","Sin fecha de inicio"&amp;" · ","")&amp;IF($F8="","Sin fecha límite"&amp;" · ","")&amp;IF(OR(AND($E8&lt;&gt;"",NOT(ISNUMBER($E8))),AND($F8&lt;&gt;"",NOT(ISNUMBER($F8)))),"Fecha no válida"&amp;" · ","")&amp;IF(AND(ISNUMBER($E8),ISNUMBER($F8),$E8&gt;$F8),"Inicio posterior a fecha límite"&amp;" · ","")&amp;IF(AND($S8="Macro",$G8=""),"Peso vacío"&amp;" · ","")&amp;IF(AND($S8="Macro",$G8&lt;&gt;"",OR(NOT(ISNUMBER($G8)),$G8&lt;=0,$G8&gt;1)),"Peso fuera de rango"&amp;" · ","")&amp;IF(AND($S8="Sub",$G8&lt;&gt;""),"Las subactividades no llevan peso"&amp;" · ","")&amp;IF(AND($S8="Macro",ABS(SUMIFS($G$5:$G$1000,$P$5:$P$1000,$P8,$S$5:$S$1000,"Macro")-1)&gt;0.0001),"Pesos del mes suman "&amp;TEXT(SUMIFS($G$5:$G$1000,$P$5:$P$1000,$P8,$S$5:$S$1000,"Macro"),"0%")&amp;" · ","")&amp;IF(AND(N($T8)&gt;0,COUNT($H8:$K8)&gt;0),"Con subactividades: deje vacías las semanas (se calculan solas)"&amp;" · ","")&amp;IF((COUNTIF($H8:$K8,"&gt;1")+COUNTIF($H8:$K8,"&lt;0")+COUNTA($H8:$K8)-COUNT($H8:$K8))&gt;0,"Avance fuera de rango 0-100%"&amp;" · ","")&amp;IF(OR(AND($I8&lt;&gt;"",$I8&lt;$H8),AND($J8&lt;&gt;"",$J8&lt;MAX($H8:$I8)),AND($K8&lt;&gt;"",$K8&lt;MAX($H8:$J8))),"Avance semanal decreciente"&amp;" · ","")&amp;IF(AND(ISNUMBER($F8),$F8&lt;FechaRef,N($L8)&lt;1),"Vencida"&amp;" · ","")&amp;IF(AND(ObsObligatoria="Sí",ISNUMBER($F8),$F8&lt;FechaRef,N($L8)&lt;1,$N8=""),"Vencida sin observación"&amp;" · ",""))="","✔ OK","⚠ "&amp;LEFT(IF(AND($S8="Macro",$B8=""),"Macroactividad vacía"&amp;" · ","")&amp;IF(AND($B8&lt;&gt;"",$C8&lt;&gt;""),"Escriba la subactividad en otra fila, debajo de su macroactividad"&amp;" · ","")&amp;IF(AND($S8="Sub",N($R8)=0),"Subactividad sin macroactividad arriba"&amp;" · ","")&amp;IF($D8="","Sin responsable"&amp;" · ","")&amp;IF($E8="","Sin fecha de inicio"&amp;" · ","")&amp;IF($F8="","Sin fecha límite"&amp;" · ","")&amp;IF(OR(AND($E8&lt;&gt;"",NOT(ISNUMBER($E8))),AND($F8&lt;&gt;"",NOT(ISNUMBER($F8)))),"Fecha no válida"&amp;" · ","")&amp;IF(AND(ISNUMBER($E8),ISNUMBER($F8),$E8&gt;$F8),"Inicio posterior a fecha límite"&amp;" · ","")&amp;IF(AND($S8="Macro",$G8=""),"Peso vacío"&amp;" · ","")&amp;IF(AND($S8="Macro",$G8&lt;&gt;"",OR(NOT(ISNUMBER($G8)),$G8&lt;=0,$G8&gt;1)),"Peso fuera de rango"&amp;" · ","")&amp;IF(AND($S8="Sub",$G8&lt;&gt;""),"Las subactividades no llevan peso"&amp;" · ","")&amp;IF(AND($S8="Macro",ABS(SUMIFS($G$5:$G$1000,$P$5:$P$1000,$P8,$S$5:$S$1000,"Macro")-1)&gt;0.0001),"Pesos del mes suman "&amp;TEXT(SUMIFS($G$5:$G$1000,$P$5:$P$1000,$P8,$S$5:$S$1000,"Macro"),"0%")&amp;" · ","")&amp;IF(AND(N($T8)&gt;0,COUNT($H8:$K8)&gt;0),"Con subactividades: deje vacías las semanas (se calculan solas)"&amp;" · ","")&amp;IF((COUNTIF($H8:$K8,"&gt;1")+COUNTIF($H8:$K8,"&lt;0")+COUNTA($H8:$K8)-COUNT($H8:$K8))&gt;0,"Avance fuera de rango 0-100%"&amp;" · ","")&amp;IF(OR(AND($I8&lt;&gt;"",$I8&lt;$H8),AND($J8&lt;&gt;"",$J8&lt;MAX($H8:$I8)),AND($K8&lt;&gt;"",$K8&lt;MAX($H8:$J8))),"Avance semanal decreciente"&amp;" · ","")&amp;IF(AND(ISNUMBER($F8),$F8&lt;FechaRef,N($L8)&lt;1),"Vencida"&amp;" · ","")&amp;IF(AND(ObsObligatoria="Sí",ISNUMBER($F8),$F8&lt;FechaRef,N($L8)&lt;1,$N8=""),"Vencida sin observación"&amp;" · ",""),LEN(IF(AND($S8="Macro",$B8=""),"Macroactividad vacía"&amp;" · ","")&amp;IF(AND($B8&lt;&gt;"",$C8&lt;&gt;""),"Escriba la subactividad en otra fila, debajo de su macroactividad"&amp;" · ","")&amp;IF(AND($S8="Sub",N($R8)=0),"Subactividad sin macroactividad arriba"&amp;" · ","")&amp;IF($D8="","Sin responsable"&amp;" · ","")&amp;IF($E8="","Sin fecha de inicio"&amp;" · ","")&amp;IF($F8="","Sin fecha límite"&amp;" · ","")&amp;IF(OR(AND($E8&lt;&gt;"",NOT(ISNUMBER($E8))),AND($F8&lt;&gt;"",NOT(ISNUMBER($F8)))),"Fecha no válida"&amp;" · ","")&amp;IF(AND(ISNUMBER($E8),ISNUMBER($F8),$E8&gt;$F8),"Inicio posterior a fecha límite"&amp;" · ","")&amp;IF(AND($S8="Macro",$G8=""),"Peso vacío"&amp;" · ","")&amp;IF(AND($S8="Macro",$G8&lt;&gt;"",OR(NOT(ISNUMBER($G8)),$G8&lt;=0,$G8&gt;1)),"Peso fuera de rango"&amp;" · ","")&amp;IF(AND($S8="Sub",$G8&lt;&gt;""),"Las subactividades no llevan peso"&amp;" · ","")&amp;IF(AND($S8="Macro",ABS(SUMIFS($G$5:$G$1000,$P$5:$P$1000,$P8,$S$5:$S$1000,"Macro")-1)&gt;0.0001),"Pesos del mes suman "&amp;TEXT(SUMIFS($G$5:$G$1000,$P$5:$P$1000,$P8,$S$5:$S$1000,"Macro"),"0%")&amp;" · ","")&amp;IF(AND(N($T8)&gt;0,COUNT($H8:$K8)&gt;0),"Con subactividades: deje vacías las semanas (se calculan solas)"&amp;" · ","")&amp;IF((COUNTIF($H8:$K8,"&gt;1")+COUNTIF($H8:$K8,"&lt;0")+COUNTA($H8:$K8)-COUNT($H8:$K8))&gt;0,"Avance fuera de rango 0-100%"&amp;" · ","")&amp;IF(OR(AND($I8&lt;&gt;"",$I8&lt;$H8),AND($J8&lt;&gt;"",$J8&lt;MAX($H8:$I8)),AND($K8&lt;&gt;"",$K8&lt;MAX($H8:$J8))),"Avance semanal decreciente"&amp;" · ","")&amp;IF(AND(ISNUMBER($F8),$F8&lt;FechaRef,N($L8)&lt;1),"Vencida"&amp;" · ","")&amp;IF(AND(ObsObligatoria="Sí",ISNUMBER($F8),$F8&lt;FechaRef,N($L8)&lt;1,$N8=""),"Vencida sin observación"&amp;" · ",""))-3)))</f>
        <v/>
      </c>
      <c r="P8" s="69">
        <f>IF(NOT((COUNTA($B8:$K8)+COUNTA($N8))&gt;0),"",IF(AND($S8="Sub",N($R8)&gt;0),IF(ISNUMBER(INDEX($E$5:$E$1000,$R8-4)),DATE(YEAR(INDEX($E$5:$E$1000,$R8-4)),MONTH(INDEX($E$5:$E$1000,$R8-4)),1),IF(ISNUMBER(INDEX($F$5:$F$1000,$R8-4)),DATE(YEAR(INDEX($F$5:$F$1000,$R8-4)),MONTH(INDEX($F$5:$F$1000,$R8-4)),1),MesCiclo)),IF(ISNUMBER($E8),DATE(YEAR($E8),MONTH($E8),1),IF(ISNUMBER($F8),DATE(YEAR($F8),MONTH($F8),1),MesCiclo))))</f>
        <v/>
      </c>
      <c r="Q8" s="70">
        <f>IF(OR($P8="",$P8&lt;&gt;MesCiclo),"",COUNTIF($P$5:$P8,MesCiclo))</f>
        <v/>
      </c>
      <c r="R8" s="70">
        <f>IF($S8="","",IF($S8="Macro",ROW(),IFERROR(LOOKUP(2,1/($S$5:$S8="Macro"),ROW($S$5:$S8)),0)))</f>
        <v/>
      </c>
      <c r="S8" s="70">
        <f>IF(NOT((COUNTA($B8:$K8)+COUNTA($N8))&gt;0),"",IF($B8&lt;&gt;"","Macro",IF($C8&lt;&gt;"","Sub","Macro")))</f>
        <v/>
      </c>
      <c r="T8" s="70">
        <f>IF($S8="Macro",COUNTIFS($R$5:$R$1000,ROW(),$S$5:$S$1000,"Sub"),"")</f>
        <v/>
      </c>
      <c r="U8" s="70">
        <f>IF($S8="","",IF(ISNUMBER($H8),$H8,0))</f>
        <v/>
      </c>
      <c r="V8" s="70">
        <f>IF($S8="","",IF(ISNUMBER($I8),$I8,$U8))</f>
        <v/>
      </c>
      <c r="W8" s="70">
        <f>IF($S8="","",IF(ISNUMBER($J8),$J8,$V8))</f>
        <v/>
      </c>
      <c r="X8" s="70">
        <f>IF($S8="","",IF(ISNUMBER($K8),$K8,$W8))</f>
        <v/>
      </c>
      <c r="Y8" s="70">
        <f>IF($S8="","",IF(N($T8)&gt;0,AVERAGEIFS($U$5:$U$1000,$R$5:$R$1000,ROW(),$S$5:$S$1000,"Sub"),$U8))</f>
        <v/>
      </c>
      <c r="Z8" s="70">
        <f>IF($S8="","",IF(N($T8)&gt;0,AVERAGEIFS($V$5:$V$1000,$R$5:$R$1000,ROW(),$S$5:$S$1000,"Sub"),$V8))</f>
        <v/>
      </c>
      <c r="AA8" s="70">
        <f>IF($S8="","",IF(N($T8)&gt;0,AVERAGEIFS($W$5:$W$1000,$R$5:$R$1000,ROW(),$S$5:$S$1000,"Sub"),$W8))</f>
        <v/>
      </c>
      <c r="AB8" s="70">
        <f>IF($S8="","",IF(N($T8)&gt;0,AVERAGEIFS($X$5:$X$1000,$R$5:$R$1000,ROW(),$S$5:$S$1000,"Sub"),$X8))</f>
        <v/>
      </c>
    </row>
    <row r="9">
      <c r="A9" s="61">
        <f>IF(NOT((COUNTA($B9:$K9)+COUNTA($N9))&gt;0),"",IF($S9="Macro",COUNTIFS($S$5:$S9,"Macro",$P$5:$P9,$P9),IF(N($R9)=0,"?",COUNTIFS(INDEX($S$5:$S$1000,1):INDEX($S$5:$S$1000,$R9-4),"Macro",INDEX($P$5:$P$1000,1):INDEX($P$5:$P$1000,$R9-4),INDEX($P$5:$P$1000,$R9-4))&amp;"."&amp;COUNTIFS($R$5:$R9,$R9,$S$5:$S9,"Sub"))))</f>
        <v/>
      </c>
      <c r="B9" s="62" t="n"/>
      <c r="C9" s="63" t="n"/>
      <c r="D9" s="62" t="n"/>
      <c r="E9" s="64" t="n"/>
      <c r="F9" s="64" t="n"/>
      <c r="G9" s="65" t="n"/>
      <c r="H9" s="66" t="n"/>
      <c r="I9" s="66" t="n"/>
      <c r="J9" s="66" t="n"/>
      <c r="K9" s="66" t="n"/>
      <c r="L9" s="67">
        <f>IF(NOT((COUNTA($B9:$K9)+COUNTA($N9))&gt;0),"",IF(N($T9)&gt;0,$AB9,IFERROR(LOOKUP(2,1/(H9:K9&lt;&gt;""),H9:K9),0)))</f>
        <v/>
      </c>
      <c r="M9" s="61">
        <f>IF(L9="","",IF(L9&gt;=1,"Completado",IF(L9&gt;0,"En curso","Pendiente")))</f>
        <v/>
      </c>
      <c r="N9" s="62" t="n"/>
      <c r="O9" s="68">
        <f>IF(NOT((COUNTA($B9:$K9)+COUNTA($N9))&gt;0),"",IF((IF(AND($S9="Macro",$B9=""),"Macroactividad vacía"&amp;" · ","")&amp;IF(AND($B9&lt;&gt;"",$C9&lt;&gt;""),"Escriba la subactividad en otra fila, debajo de su macroactividad"&amp;" · ","")&amp;IF(AND($S9="Sub",N($R9)=0),"Subactividad sin macroactividad arriba"&amp;" · ","")&amp;IF($D9="","Sin responsable"&amp;" · ","")&amp;IF($E9="","Sin fecha de inicio"&amp;" · ","")&amp;IF($F9="","Sin fecha límite"&amp;" · ","")&amp;IF(OR(AND($E9&lt;&gt;"",NOT(ISNUMBER($E9))),AND($F9&lt;&gt;"",NOT(ISNUMBER($F9)))),"Fecha no válida"&amp;" · ","")&amp;IF(AND(ISNUMBER($E9),ISNUMBER($F9),$E9&gt;$F9),"Inicio posterior a fecha límite"&amp;" · ","")&amp;IF(AND($S9="Macro",$G9=""),"Peso vacío"&amp;" · ","")&amp;IF(AND($S9="Macro",$G9&lt;&gt;"",OR(NOT(ISNUMBER($G9)),$G9&lt;=0,$G9&gt;1)),"Peso fuera de rango"&amp;" · ","")&amp;IF(AND($S9="Sub",$G9&lt;&gt;""),"Las subactividades no llevan peso"&amp;" · ","")&amp;IF(AND($S9="Macro",ABS(SUMIFS($G$5:$G$1000,$P$5:$P$1000,$P9,$S$5:$S$1000,"Macro")-1)&gt;0.0001),"Pesos del mes suman "&amp;TEXT(SUMIFS($G$5:$G$1000,$P$5:$P$1000,$P9,$S$5:$S$1000,"Macro"),"0%")&amp;" · ","")&amp;IF(AND(N($T9)&gt;0,COUNT($H9:$K9)&gt;0),"Con subactividades: deje vacías las semanas (se calculan solas)"&amp;" · ","")&amp;IF((COUNTIF($H9:$K9,"&gt;1")+COUNTIF($H9:$K9,"&lt;0")+COUNTA($H9:$K9)-COUNT($H9:$K9))&gt;0,"Avance fuera de rango 0-100%"&amp;" · ","")&amp;IF(OR(AND($I9&lt;&gt;"",$I9&lt;$H9),AND($J9&lt;&gt;"",$J9&lt;MAX($H9:$I9)),AND($K9&lt;&gt;"",$K9&lt;MAX($H9:$J9))),"Avance semanal decreciente"&amp;" · ","")&amp;IF(AND(ISNUMBER($F9),$F9&lt;FechaRef,N($L9)&lt;1),"Vencida"&amp;" · ","")&amp;IF(AND(ObsObligatoria="Sí",ISNUMBER($F9),$F9&lt;FechaRef,N($L9)&lt;1,$N9=""),"Vencida sin observación"&amp;" · ",""))="","✔ OK","⚠ "&amp;LEFT(IF(AND($S9="Macro",$B9=""),"Macroactividad vacía"&amp;" · ","")&amp;IF(AND($B9&lt;&gt;"",$C9&lt;&gt;""),"Escriba la subactividad en otra fila, debajo de su macroactividad"&amp;" · ","")&amp;IF(AND($S9="Sub",N($R9)=0),"Subactividad sin macroactividad arriba"&amp;" · ","")&amp;IF($D9="","Sin responsable"&amp;" · ","")&amp;IF($E9="","Sin fecha de inicio"&amp;" · ","")&amp;IF($F9="","Sin fecha límite"&amp;" · ","")&amp;IF(OR(AND($E9&lt;&gt;"",NOT(ISNUMBER($E9))),AND($F9&lt;&gt;"",NOT(ISNUMBER($F9)))),"Fecha no válida"&amp;" · ","")&amp;IF(AND(ISNUMBER($E9),ISNUMBER($F9),$E9&gt;$F9),"Inicio posterior a fecha límite"&amp;" · ","")&amp;IF(AND($S9="Macro",$G9=""),"Peso vacío"&amp;" · ","")&amp;IF(AND($S9="Macro",$G9&lt;&gt;"",OR(NOT(ISNUMBER($G9)),$G9&lt;=0,$G9&gt;1)),"Peso fuera de rango"&amp;" · ","")&amp;IF(AND($S9="Sub",$G9&lt;&gt;""),"Las subactividades no llevan peso"&amp;" · ","")&amp;IF(AND($S9="Macro",ABS(SUMIFS($G$5:$G$1000,$P$5:$P$1000,$P9,$S$5:$S$1000,"Macro")-1)&gt;0.0001),"Pesos del mes suman "&amp;TEXT(SUMIFS($G$5:$G$1000,$P$5:$P$1000,$P9,$S$5:$S$1000,"Macro"),"0%")&amp;" · ","")&amp;IF(AND(N($T9)&gt;0,COUNT($H9:$K9)&gt;0),"Con subactividades: deje vacías las semanas (se calculan solas)"&amp;" · ","")&amp;IF((COUNTIF($H9:$K9,"&gt;1")+COUNTIF($H9:$K9,"&lt;0")+COUNTA($H9:$K9)-COUNT($H9:$K9))&gt;0,"Avance fuera de rango 0-100%"&amp;" · ","")&amp;IF(OR(AND($I9&lt;&gt;"",$I9&lt;$H9),AND($J9&lt;&gt;"",$J9&lt;MAX($H9:$I9)),AND($K9&lt;&gt;"",$K9&lt;MAX($H9:$J9))),"Avance semanal decreciente"&amp;" · ","")&amp;IF(AND(ISNUMBER($F9),$F9&lt;FechaRef,N($L9)&lt;1),"Vencida"&amp;" · ","")&amp;IF(AND(ObsObligatoria="Sí",ISNUMBER($F9),$F9&lt;FechaRef,N($L9)&lt;1,$N9=""),"Vencida sin observación"&amp;" · ",""),LEN(IF(AND($S9="Macro",$B9=""),"Macroactividad vacía"&amp;" · ","")&amp;IF(AND($B9&lt;&gt;"",$C9&lt;&gt;""),"Escriba la subactividad en otra fila, debajo de su macroactividad"&amp;" · ","")&amp;IF(AND($S9="Sub",N($R9)=0),"Subactividad sin macroactividad arriba"&amp;" · ","")&amp;IF($D9="","Sin responsable"&amp;" · ","")&amp;IF($E9="","Sin fecha de inicio"&amp;" · ","")&amp;IF($F9="","Sin fecha límite"&amp;" · ","")&amp;IF(OR(AND($E9&lt;&gt;"",NOT(ISNUMBER($E9))),AND($F9&lt;&gt;"",NOT(ISNUMBER($F9)))),"Fecha no válida"&amp;" · ","")&amp;IF(AND(ISNUMBER($E9),ISNUMBER($F9),$E9&gt;$F9),"Inicio posterior a fecha límite"&amp;" · ","")&amp;IF(AND($S9="Macro",$G9=""),"Peso vacío"&amp;" · ","")&amp;IF(AND($S9="Macro",$G9&lt;&gt;"",OR(NOT(ISNUMBER($G9)),$G9&lt;=0,$G9&gt;1)),"Peso fuera de rango"&amp;" · ","")&amp;IF(AND($S9="Sub",$G9&lt;&gt;""),"Las subactividades no llevan peso"&amp;" · ","")&amp;IF(AND($S9="Macro",ABS(SUMIFS($G$5:$G$1000,$P$5:$P$1000,$P9,$S$5:$S$1000,"Macro")-1)&gt;0.0001),"Pesos del mes suman "&amp;TEXT(SUMIFS($G$5:$G$1000,$P$5:$P$1000,$P9,$S$5:$S$1000,"Macro"),"0%")&amp;" · ","")&amp;IF(AND(N($T9)&gt;0,COUNT($H9:$K9)&gt;0),"Con subactividades: deje vacías las semanas (se calculan solas)"&amp;" · ","")&amp;IF((COUNTIF($H9:$K9,"&gt;1")+COUNTIF($H9:$K9,"&lt;0")+COUNTA($H9:$K9)-COUNT($H9:$K9))&gt;0,"Avance fuera de rango 0-100%"&amp;" · ","")&amp;IF(OR(AND($I9&lt;&gt;"",$I9&lt;$H9),AND($J9&lt;&gt;"",$J9&lt;MAX($H9:$I9)),AND($K9&lt;&gt;"",$K9&lt;MAX($H9:$J9))),"Avance semanal decreciente"&amp;" · ","")&amp;IF(AND(ISNUMBER($F9),$F9&lt;FechaRef,N($L9)&lt;1),"Vencida"&amp;" · ","")&amp;IF(AND(ObsObligatoria="Sí",ISNUMBER($F9),$F9&lt;FechaRef,N($L9)&lt;1,$N9=""),"Vencida sin observación"&amp;" · ",""))-3)))</f>
        <v/>
      </c>
      <c r="P9" s="69">
        <f>IF(NOT((COUNTA($B9:$K9)+COUNTA($N9))&gt;0),"",IF(AND($S9="Sub",N($R9)&gt;0),IF(ISNUMBER(INDEX($E$5:$E$1000,$R9-4)),DATE(YEAR(INDEX($E$5:$E$1000,$R9-4)),MONTH(INDEX($E$5:$E$1000,$R9-4)),1),IF(ISNUMBER(INDEX($F$5:$F$1000,$R9-4)),DATE(YEAR(INDEX($F$5:$F$1000,$R9-4)),MONTH(INDEX($F$5:$F$1000,$R9-4)),1),MesCiclo)),IF(ISNUMBER($E9),DATE(YEAR($E9),MONTH($E9),1),IF(ISNUMBER($F9),DATE(YEAR($F9),MONTH($F9),1),MesCiclo))))</f>
        <v/>
      </c>
      <c r="Q9" s="70">
        <f>IF(OR($P9="",$P9&lt;&gt;MesCiclo),"",COUNTIF($P$5:$P9,MesCiclo))</f>
        <v/>
      </c>
      <c r="R9" s="70">
        <f>IF($S9="","",IF($S9="Macro",ROW(),IFERROR(LOOKUP(2,1/($S$5:$S9="Macro"),ROW($S$5:$S9)),0)))</f>
        <v/>
      </c>
      <c r="S9" s="70">
        <f>IF(NOT((COUNTA($B9:$K9)+COUNTA($N9))&gt;0),"",IF($B9&lt;&gt;"","Macro",IF($C9&lt;&gt;"","Sub","Macro")))</f>
        <v/>
      </c>
      <c r="T9" s="70">
        <f>IF($S9="Macro",COUNTIFS($R$5:$R$1000,ROW(),$S$5:$S$1000,"Sub"),"")</f>
        <v/>
      </c>
      <c r="U9" s="70">
        <f>IF($S9="","",IF(ISNUMBER($H9),$H9,0))</f>
        <v/>
      </c>
      <c r="V9" s="70">
        <f>IF($S9="","",IF(ISNUMBER($I9),$I9,$U9))</f>
        <v/>
      </c>
      <c r="W9" s="70">
        <f>IF($S9="","",IF(ISNUMBER($J9),$J9,$V9))</f>
        <v/>
      </c>
      <c r="X9" s="70">
        <f>IF($S9="","",IF(ISNUMBER($K9),$K9,$W9))</f>
        <v/>
      </c>
      <c r="Y9" s="70">
        <f>IF($S9="","",IF(N($T9)&gt;0,AVERAGEIFS($U$5:$U$1000,$R$5:$R$1000,ROW(),$S$5:$S$1000,"Sub"),$U9))</f>
        <v/>
      </c>
      <c r="Z9" s="70">
        <f>IF($S9="","",IF(N($T9)&gt;0,AVERAGEIFS($V$5:$V$1000,$R$5:$R$1000,ROW(),$S$5:$S$1000,"Sub"),$V9))</f>
        <v/>
      </c>
      <c r="AA9" s="70">
        <f>IF($S9="","",IF(N($T9)&gt;0,AVERAGEIFS($W$5:$W$1000,$R$5:$R$1000,ROW(),$S$5:$S$1000,"Sub"),$W9))</f>
        <v/>
      </c>
      <c r="AB9" s="70">
        <f>IF($S9="","",IF(N($T9)&gt;0,AVERAGEIFS($X$5:$X$1000,$R$5:$R$1000,ROW(),$S$5:$S$1000,"Sub"),$X9))</f>
        <v/>
      </c>
    </row>
    <row r="10">
      <c r="A10" s="61">
        <f>IF(NOT((COUNTA($B10:$K10)+COUNTA($N10))&gt;0),"",IF($S10="Macro",COUNTIFS($S$5:$S10,"Macro",$P$5:$P10,$P10),IF(N($R10)=0,"?",COUNTIFS(INDEX($S$5:$S$1000,1):INDEX($S$5:$S$1000,$R10-4),"Macro",INDEX($P$5:$P$1000,1):INDEX($P$5:$P$1000,$R10-4),INDEX($P$5:$P$1000,$R10-4))&amp;"."&amp;COUNTIFS($R$5:$R10,$R10,$S$5:$S10,"Sub"))))</f>
        <v/>
      </c>
      <c r="B10" s="62" t="n"/>
      <c r="C10" s="63" t="n"/>
      <c r="D10" s="62" t="n"/>
      <c r="E10" s="64" t="n"/>
      <c r="F10" s="64" t="n"/>
      <c r="G10" s="65" t="n"/>
      <c r="H10" s="66" t="n"/>
      <c r="I10" s="66" t="n"/>
      <c r="J10" s="66" t="n"/>
      <c r="K10" s="66" t="n"/>
      <c r="L10" s="67">
        <f>IF(NOT((COUNTA($B10:$K10)+COUNTA($N10))&gt;0),"",IF(N($T10)&gt;0,$AB10,IFERROR(LOOKUP(2,1/(H10:K10&lt;&gt;""),H10:K10),0)))</f>
        <v/>
      </c>
      <c r="M10" s="61">
        <f>IF(L10="","",IF(L10&gt;=1,"Completado",IF(L10&gt;0,"En curso","Pendiente")))</f>
        <v/>
      </c>
      <c r="N10" s="62" t="n"/>
      <c r="O10" s="68">
        <f>IF(NOT((COUNTA($B10:$K10)+COUNTA($N10))&gt;0),"",IF((IF(AND($S10="Macro",$B10=""),"Macroactividad vacía"&amp;" · ","")&amp;IF(AND($B10&lt;&gt;"",$C10&lt;&gt;""),"Escriba la subactividad en otra fila, debajo de su macroactividad"&amp;" · ","")&amp;IF(AND($S10="Sub",N($R10)=0),"Subactividad sin macroactividad arriba"&amp;" · ","")&amp;IF($D10="","Sin responsable"&amp;" · ","")&amp;IF($E10="","Sin fecha de inicio"&amp;" · ","")&amp;IF($F10="","Sin fecha límite"&amp;" · ","")&amp;IF(OR(AND($E10&lt;&gt;"",NOT(ISNUMBER($E10))),AND($F10&lt;&gt;"",NOT(ISNUMBER($F10)))),"Fecha no válida"&amp;" · ","")&amp;IF(AND(ISNUMBER($E10),ISNUMBER($F10),$E10&gt;$F10),"Inicio posterior a fecha límite"&amp;" · ","")&amp;IF(AND($S10="Macro",$G10=""),"Peso vacío"&amp;" · ","")&amp;IF(AND($S10="Macro",$G10&lt;&gt;"",OR(NOT(ISNUMBER($G10)),$G10&lt;=0,$G10&gt;1)),"Peso fuera de rango"&amp;" · ","")&amp;IF(AND($S10="Sub",$G10&lt;&gt;""),"Las subactividades no llevan peso"&amp;" · ","")&amp;IF(AND($S10="Macro",ABS(SUMIFS($G$5:$G$1000,$P$5:$P$1000,$P10,$S$5:$S$1000,"Macro")-1)&gt;0.0001),"Pesos del mes suman "&amp;TEXT(SUMIFS($G$5:$G$1000,$P$5:$P$1000,$P10,$S$5:$S$1000,"Macro"),"0%")&amp;" · ","")&amp;IF(AND(N($T10)&gt;0,COUNT($H10:$K10)&gt;0),"Con subactividades: deje vacías las semanas (se calculan solas)"&amp;" · ","")&amp;IF((COUNTIF($H10:$K10,"&gt;1")+COUNTIF($H10:$K10,"&lt;0")+COUNTA($H10:$K10)-COUNT($H10:$K10))&gt;0,"Avance fuera de rango 0-100%"&amp;" · ","")&amp;IF(OR(AND($I10&lt;&gt;"",$I10&lt;$H10),AND($J10&lt;&gt;"",$J10&lt;MAX($H10:$I10)),AND($K10&lt;&gt;"",$K10&lt;MAX($H10:$J10))),"Avance semanal decreciente"&amp;" · ","")&amp;IF(AND(ISNUMBER($F10),$F10&lt;FechaRef,N($L10)&lt;1),"Vencida"&amp;" · ","")&amp;IF(AND(ObsObligatoria="Sí",ISNUMBER($F10),$F10&lt;FechaRef,N($L10)&lt;1,$N10=""),"Vencida sin observación"&amp;" · ",""))="","✔ OK","⚠ "&amp;LEFT(IF(AND($S10="Macro",$B10=""),"Macroactividad vacía"&amp;" · ","")&amp;IF(AND($B10&lt;&gt;"",$C10&lt;&gt;""),"Escriba la subactividad en otra fila, debajo de su macroactividad"&amp;" · ","")&amp;IF(AND($S10="Sub",N($R10)=0),"Subactividad sin macroactividad arriba"&amp;" · ","")&amp;IF($D10="","Sin responsable"&amp;" · ","")&amp;IF($E10="","Sin fecha de inicio"&amp;" · ","")&amp;IF($F10="","Sin fecha límite"&amp;" · ","")&amp;IF(OR(AND($E10&lt;&gt;"",NOT(ISNUMBER($E10))),AND($F10&lt;&gt;"",NOT(ISNUMBER($F10)))),"Fecha no válida"&amp;" · ","")&amp;IF(AND(ISNUMBER($E10),ISNUMBER($F10),$E10&gt;$F10),"Inicio posterior a fecha límite"&amp;" · ","")&amp;IF(AND($S10="Macro",$G10=""),"Peso vacío"&amp;" · ","")&amp;IF(AND($S10="Macro",$G10&lt;&gt;"",OR(NOT(ISNUMBER($G10)),$G10&lt;=0,$G10&gt;1)),"Peso fuera de rango"&amp;" · ","")&amp;IF(AND($S10="Sub",$G10&lt;&gt;""),"Las subactividades no llevan peso"&amp;" · ","")&amp;IF(AND($S10="Macro",ABS(SUMIFS($G$5:$G$1000,$P$5:$P$1000,$P10,$S$5:$S$1000,"Macro")-1)&gt;0.0001),"Pesos del mes suman "&amp;TEXT(SUMIFS($G$5:$G$1000,$P$5:$P$1000,$P10,$S$5:$S$1000,"Macro"),"0%")&amp;" · ","")&amp;IF(AND(N($T10)&gt;0,COUNT($H10:$K10)&gt;0),"Con subactividades: deje vacías las semanas (se calculan solas)"&amp;" · ","")&amp;IF((COUNTIF($H10:$K10,"&gt;1")+COUNTIF($H10:$K10,"&lt;0")+COUNTA($H10:$K10)-COUNT($H10:$K10))&gt;0,"Avance fuera de rango 0-100%"&amp;" · ","")&amp;IF(OR(AND($I10&lt;&gt;"",$I10&lt;$H10),AND($J10&lt;&gt;"",$J10&lt;MAX($H10:$I10)),AND($K10&lt;&gt;"",$K10&lt;MAX($H10:$J10))),"Avance semanal decreciente"&amp;" · ","")&amp;IF(AND(ISNUMBER($F10),$F10&lt;FechaRef,N($L10)&lt;1),"Vencida"&amp;" · ","")&amp;IF(AND(ObsObligatoria="Sí",ISNUMBER($F10),$F10&lt;FechaRef,N($L10)&lt;1,$N10=""),"Vencida sin observación"&amp;" · ",""),LEN(IF(AND($S10="Macro",$B10=""),"Macroactividad vacía"&amp;" · ","")&amp;IF(AND($B10&lt;&gt;"",$C10&lt;&gt;""),"Escriba la subactividad en otra fila, debajo de su macroactividad"&amp;" · ","")&amp;IF(AND($S10="Sub",N($R10)=0),"Subactividad sin macroactividad arriba"&amp;" · ","")&amp;IF($D10="","Sin responsable"&amp;" · ","")&amp;IF($E10="","Sin fecha de inicio"&amp;" · ","")&amp;IF($F10="","Sin fecha límite"&amp;" · ","")&amp;IF(OR(AND($E10&lt;&gt;"",NOT(ISNUMBER($E10))),AND($F10&lt;&gt;"",NOT(ISNUMBER($F10)))),"Fecha no válida"&amp;" · ","")&amp;IF(AND(ISNUMBER($E10),ISNUMBER($F10),$E10&gt;$F10),"Inicio posterior a fecha límite"&amp;" · ","")&amp;IF(AND($S10="Macro",$G10=""),"Peso vacío"&amp;" · ","")&amp;IF(AND($S10="Macro",$G10&lt;&gt;"",OR(NOT(ISNUMBER($G10)),$G10&lt;=0,$G10&gt;1)),"Peso fuera de rango"&amp;" · ","")&amp;IF(AND($S10="Sub",$G10&lt;&gt;""),"Las subactividades no llevan peso"&amp;" · ","")&amp;IF(AND($S10="Macro",ABS(SUMIFS($G$5:$G$1000,$P$5:$P$1000,$P10,$S$5:$S$1000,"Macro")-1)&gt;0.0001),"Pesos del mes suman "&amp;TEXT(SUMIFS($G$5:$G$1000,$P$5:$P$1000,$P10,$S$5:$S$1000,"Macro"),"0%")&amp;" · ","")&amp;IF(AND(N($T10)&gt;0,COUNT($H10:$K10)&gt;0),"Con subactividades: deje vacías las semanas (se calculan solas)"&amp;" · ","")&amp;IF((COUNTIF($H10:$K10,"&gt;1")+COUNTIF($H10:$K10,"&lt;0")+COUNTA($H10:$K10)-COUNT($H10:$K10))&gt;0,"Avance fuera de rango 0-100%"&amp;" · ","")&amp;IF(OR(AND($I10&lt;&gt;"",$I10&lt;$H10),AND($J10&lt;&gt;"",$J10&lt;MAX($H10:$I10)),AND($K10&lt;&gt;"",$K10&lt;MAX($H10:$J10))),"Avance semanal decreciente"&amp;" · ","")&amp;IF(AND(ISNUMBER($F10),$F10&lt;FechaRef,N($L10)&lt;1),"Vencida"&amp;" · ","")&amp;IF(AND(ObsObligatoria="Sí",ISNUMBER($F10),$F10&lt;FechaRef,N($L10)&lt;1,$N10=""),"Vencida sin observación"&amp;" · ",""))-3)))</f>
        <v/>
      </c>
      <c r="P10" s="69">
        <f>IF(NOT((COUNTA($B10:$K10)+COUNTA($N10))&gt;0),"",IF(AND($S10="Sub",N($R10)&gt;0),IF(ISNUMBER(INDEX($E$5:$E$1000,$R10-4)),DATE(YEAR(INDEX($E$5:$E$1000,$R10-4)),MONTH(INDEX($E$5:$E$1000,$R10-4)),1),IF(ISNUMBER(INDEX($F$5:$F$1000,$R10-4)),DATE(YEAR(INDEX($F$5:$F$1000,$R10-4)),MONTH(INDEX($F$5:$F$1000,$R10-4)),1),MesCiclo)),IF(ISNUMBER($E10),DATE(YEAR($E10),MONTH($E10),1),IF(ISNUMBER($F10),DATE(YEAR($F10),MONTH($F10),1),MesCiclo))))</f>
        <v/>
      </c>
      <c r="Q10" s="70">
        <f>IF(OR($P10="",$P10&lt;&gt;MesCiclo),"",COUNTIF($P$5:$P10,MesCiclo))</f>
        <v/>
      </c>
      <c r="R10" s="70">
        <f>IF($S10="","",IF($S10="Macro",ROW(),IFERROR(LOOKUP(2,1/($S$5:$S10="Macro"),ROW($S$5:$S10)),0)))</f>
        <v/>
      </c>
      <c r="S10" s="70">
        <f>IF(NOT((COUNTA($B10:$K10)+COUNTA($N10))&gt;0),"",IF($B10&lt;&gt;"","Macro",IF($C10&lt;&gt;"","Sub","Macro")))</f>
        <v/>
      </c>
      <c r="T10" s="70">
        <f>IF($S10="Macro",COUNTIFS($R$5:$R$1000,ROW(),$S$5:$S$1000,"Sub"),"")</f>
        <v/>
      </c>
      <c r="U10" s="70">
        <f>IF($S10="","",IF(ISNUMBER($H10),$H10,0))</f>
        <v/>
      </c>
      <c r="V10" s="70">
        <f>IF($S10="","",IF(ISNUMBER($I10),$I10,$U10))</f>
        <v/>
      </c>
      <c r="W10" s="70">
        <f>IF($S10="","",IF(ISNUMBER($J10),$J10,$V10))</f>
        <v/>
      </c>
      <c r="X10" s="70">
        <f>IF($S10="","",IF(ISNUMBER($K10),$K10,$W10))</f>
        <v/>
      </c>
      <c r="Y10" s="70">
        <f>IF($S10="","",IF(N($T10)&gt;0,AVERAGEIFS($U$5:$U$1000,$R$5:$R$1000,ROW(),$S$5:$S$1000,"Sub"),$U10))</f>
        <v/>
      </c>
      <c r="Z10" s="70">
        <f>IF($S10="","",IF(N($T10)&gt;0,AVERAGEIFS($V$5:$V$1000,$R$5:$R$1000,ROW(),$S$5:$S$1000,"Sub"),$V10))</f>
        <v/>
      </c>
      <c r="AA10" s="70">
        <f>IF($S10="","",IF(N($T10)&gt;0,AVERAGEIFS($W$5:$W$1000,$R$5:$R$1000,ROW(),$S$5:$S$1000,"Sub"),$W10))</f>
        <v/>
      </c>
      <c r="AB10" s="70">
        <f>IF($S10="","",IF(N($T10)&gt;0,AVERAGEIFS($X$5:$X$1000,$R$5:$R$1000,ROW(),$S$5:$S$1000,"Sub"),$X10))</f>
        <v/>
      </c>
    </row>
    <row r="11">
      <c r="A11" s="61">
        <f>IF(NOT((COUNTA($B11:$K11)+COUNTA($N11))&gt;0),"",IF($S11="Macro",COUNTIFS($S$5:$S11,"Macro",$P$5:$P11,$P11),IF(N($R11)=0,"?",COUNTIFS(INDEX($S$5:$S$1000,1):INDEX($S$5:$S$1000,$R11-4),"Macro",INDEX($P$5:$P$1000,1):INDEX($P$5:$P$1000,$R11-4),INDEX($P$5:$P$1000,$R11-4))&amp;"."&amp;COUNTIFS($R$5:$R11,$R11,$S$5:$S11,"Sub"))))</f>
        <v/>
      </c>
      <c r="B11" s="62" t="n"/>
      <c r="C11" s="63" t="n"/>
      <c r="D11" s="62" t="n"/>
      <c r="E11" s="64" t="n"/>
      <c r="F11" s="64" t="n"/>
      <c r="G11" s="65" t="n"/>
      <c r="H11" s="66" t="n"/>
      <c r="I11" s="66" t="n"/>
      <c r="J11" s="66" t="n"/>
      <c r="K11" s="66" t="n"/>
      <c r="L11" s="67">
        <f>IF(NOT((COUNTA($B11:$K11)+COUNTA($N11))&gt;0),"",IF(N($T11)&gt;0,$AB11,IFERROR(LOOKUP(2,1/(H11:K11&lt;&gt;""),H11:K11),0)))</f>
        <v/>
      </c>
      <c r="M11" s="61">
        <f>IF(L11="","",IF(L11&gt;=1,"Completado",IF(L11&gt;0,"En curso","Pendiente")))</f>
        <v/>
      </c>
      <c r="N11" s="62" t="n"/>
      <c r="O11" s="68">
        <f>IF(NOT((COUNTA($B11:$K11)+COUNTA($N11))&gt;0),"",IF((IF(AND($S11="Macro",$B11=""),"Macroactividad vacía"&amp;" · ","")&amp;IF(AND($B11&lt;&gt;"",$C11&lt;&gt;""),"Escriba la subactividad en otra fila, debajo de su macroactividad"&amp;" · ","")&amp;IF(AND($S11="Sub",N($R11)=0),"Subactividad sin macroactividad arriba"&amp;" · ","")&amp;IF($D11="","Sin responsable"&amp;" · ","")&amp;IF($E11="","Sin fecha de inicio"&amp;" · ","")&amp;IF($F11="","Sin fecha límite"&amp;" · ","")&amp;IF(OR(AND($E11&lt;&gt;"",NOT(ISNUMBER($E11))),AND($F11&lt;&gt;"",NOT(ISNUMBER($F11)))),"Fecha no válida"&amp;" · ","")&amp;IF(AND(ISNUMBER($E11),ISNUMBER($F11),$E11&gt;$F11),"Inicio posterior a fecha límite"&amp;" · ","")&amp;IF(AND($S11="Macro",$G11=""),"Peso vacío"&amp;" · ","")&amp;IF(AND($S11="Macro",$G11&lt;&gt;"",OR(NOT(ISNUMBER($G11)),$G11&lt;=0,$G11&gt;1)),"Peso fuera de rango"&amp;" · ","")&amp;IF(AND($S11="Sub",$G11&lt;&gt;""),"Las subactividades no llevan peso"&amp;" · ","")&amp;IF(AND($S11="Macro",ABS(SUMIFS($G$5:$G$1000,$P$5:$P$1000,$P11,$S$5:$S$1000,"Macro")-1)&gt;0.0001),"Pesos del mes suman "&amp;TEXT(SUMIFS($G$5:$G$1000,$P$5:$P$1000,$P11,$S$5:$S$1000,"Macro"),"0%")&amp;" · ","")&amp;IF(AND(N($T11)&gt;0,COUNT($H11:$K11)&gt;0),"Con subactividades: deje vacías las semanas (se calculan solas)"&amp;" · ","")&amp;IF((COUNTIF($H11:$K11,"&gt;1")+COUNTIF($H11:$K11,"&lt;0")+COUNTA($H11:$K11)-COUNT($H11:$K11))&gt;0,"Avance fuera de rango 0-100%"&amp;" · ","")&amp;IF(OR(AND($I11&lt;&gt;"",$I11&lt;$H11),AND($J11&lt;&gt;"",$J11&lt;MAX($H11:$I11)),AND($K11&lt;&gt;"",$K11&lt;MAX($H11:$J11))),"Avance semanal decreciente"&amp;" · ","")&amp;IF(AND(ISNUMBER($F11),$F11&lt;FechaRef,N($L11)&lt;1),"Vencida"&amp;" · ","")&amp;IF(AND(ObsObligatoria="Sí",ISNUMBER($F11),$F11&lt;FechaRef,N($L11)&lt;1,$N11=""),"Vencida sin observación"&amp;" · ",""))="","✔ OK","⚠ "&amp;LEFT(IF(AND($S11="Macro",$B11=""),"Macroactividad vacía"&amp;" · ","")&amp;IF(AND($B11&lt;&gt;"",$C11&lt;&gt;""),"Escriba la subactividad en otra fila, debajo de su macroactividad"&amp;" · ","")&amp;IF(AND($S11="Sub",N($R11)=0),"Subactividad sin macroactividad arriba"&amp;" · ","")&amp;IF($D11="","Sin responsable"&amp;" · ","")&amp;IF($E11="","Sin fecha de inicio"&amp;" · ","")&amp;IF($F11="","Sin fecha límite"&amp;" · ","")&amp;IF(OR(AND($E11&lt;&gt;"",NOT(ISNUMBER($E11))),AND($F11&lt;&gt;"",NOT(ISNUMBER($F11)))),"Fecha no válida"&amp;" · ","")&amp;IF(AND(ISNUMBER($E11),ISNUMBER($F11),$E11&gt;$F11),"Inicio posterior a fecha límite"&amp;" · ","")&amp;IF(AND($S11="Macro",$G11=""),"Peso vacío"&amp;" · ","")&amp;IF(AND($S11="Macro",$G11&lt;&gt;"",OR(NOT(ISNUMBER($G11)),$G11&lt;=0,$G11&gt;1)),"Peso fuera de rango"&amp;" · ","")&amp;IF(AND($S11="Sub",$G11&lt;&gt;""),"Las subactividades no llevan peso"&amp;" · ","")&amp;IF(AND($S11="Macro",ABS(SUMIFS($G$5:$G$1000,$P$5:$P$1000,$P11,$S$5:$S$1000,"Macro")-1)&gt;0.0001),"Pesos del mes suman "&amp;TEXT(SUMIFS($G$5:$G$1000,$P$5:$P$1000,$P11,$S$5:$S$1000,"Macro"),"0%")&amp;" · ","")&amp;IF(AND(N($T11)&gt;0,COUNT($H11:$K11)&gt;0),"Con subactividades: deje vacías las semanas (se calculan solas)"&amp;" · ","")&amp;IF((COUNTIF($H11:$K11,"&gt;1")+COUNTIF($H11:$K11,"&lt;0")+COUNTA($H11:$K11)-COUNT($H11:$K11))&gt;0,"Avance fuera de rango 0-100%"&amp;" · ","")&amp;IF(OR(AND($I11&lt;&gt;"",$I11&lt;$H11),AND($J11&lt;&gt;"",$J11&lt;MAX($H11:$I11)),AND($K11&lt;&gt;"",$K11&lt;MAX($H11:$J11))),"Avance semanal decreciente"&amp;" · ","")&amp;IF(AND(ISNUMBER($F11),$F11&lt;FechaRef,N($L11)&lt;1),"Vencida"&amp;" · ","")&amp;IF(AND(ObsObligatoria="Sí",ISNUMBER($F11),$F11&lt;FechaRef,N($L11)&lt;1,$N11=""),"Vencida sin observación"&amp;" · ",""),LEN(IF(AND($S11="Macro",$B11=""),"Macroactividad vacía"&amp;" · ","")&amp;IF(AND($B11&lt;&gt;"",$C11&lt;&gt;""),"Escriba la subactividad en otra fila, debajo de su macroactividad"&amp;" · ","")&amp;IF(AND($S11="Sub",N($R11)=0),"Subactividad sin macroactividad arriba"&amp;" · ","")&amp;IF($D11="","Sin responsable"&amp;" · ","")&amp;IF($E11="","Sin fecha de inicio"&amp;" · ","")&amp;IF($F11="","Sin fecha límite"&amp;" · ","")&amp;IF(OR(AND($E11&lt;&gt;"",NOT(ISNUMBER($E11))),AND($F11&lt;&gt;"",NOT(ISNUMBER($F11)))),"Fecha no válida"&amp;" · ","")&amp;IF(AND(ISNUMBER($E11),ISNUMBER($F11),$E11&gt;$F11),"Inicio posterior a fecha límite"&amp;" · ","")&amp;IF(AND($S11="Macro",$G11=""),"Peso vacío"&amp;" · ","")&amp;IF(AND($S11="Macro",$G11&lt;&gt;"",OR(NOT(ISNUMBER($G11)),$G11&lt;=0,$G11&gt;1)),"Peso fuera de rango"&amp;" · ","")&amp;IF(AND($S11="Sub",$G11&lt;&gt;""),"Las subactividades no llevan peso"&amp;" · ","")&amp;IF(AND($S11="Macro",ABS(SUMIFS($G$5:$G$1000,$P$5:$P$1000,$P11,$S$5:$S$1000,"Macro")-1)&gt;0.0001),"Pesos del mes suman "&amp;TEXT(SUMIFS($G$5:$G$1000,$P$5:$P$1000,$P11,$S$5:$S$1000,"Macro"),"0%")&amp;" · ","")&amp;IF(AND(N($T11)&gt;0,COUNT($H11:$K11)&gt;0),"Con subactividades: deje vacías las semanas (se calculan solas)"&amp;" · ","")&amp;IF((COUNTIF($H11:$K11,"&gt;1")+COUNTIF($H11:$K11,"&lt;0")+COUNTA($H11:$K11)-COUNT($H11:$K11))&gt;0,"Avance fuera de rango 0-100%"&amp;" · ","")&amp;IF(OR(AND($I11&lt;&gt;"",$I11&lt;$H11),AND($J11&lt;&gt;"",$J11&lt;MAX($H11:$I11)),AND($K11&lt;&gt;"",$K11&lt;MAX($H11:$J11))),"Avance semanal decreciente"&amp;" · ","")&amp;IF(AND(ISNUMBER($F11),$F11&lt;FechaRef,N($L11)&lt;1),"Vencida"&amp;" · ","")&amp;IF(AND(ObsObligatoria="Sí",ISNUMBER($F11),$F11&lt;FechaRef,N($L11)&lt;1,$N11=""),"Vencida sin observación"&amp;" · ",""))-3)))</f>
        <v/>
      </c>
      <c r="P11" s="69">
        <f>IF(NOT((COUNTA($B11:$K11)+COUNTA($N11))&gt;0),"",IF(AND($S11="Sub",N($R11)&gt;0),IF(ISNUMBER(INDEX($E$5:$E$1000,$R11-4)),DATE(YEAR(INDEX($E$5:$E$1000,$R11-4)),MONTH(INDEX($E$5:$E$1000,$R11-4)),1),IF(ISNUMBER(INDEX($F$5:$F$1000,$R11-4)),DATE(YEAR(INDEX($F$5:$F$1000,$R11-4)),MONTH(INDEX($F$5:$F$1000,$R11-4)),1),MesCiclo)),IF(ISNUMBER($E11),DATE(YEAR($E11),MONTH($E11),1),IF(ISNUMBER($F11),DATE(YEAR($F11),MONTH($F11),1),MesCiclo))))</f>
        <v/>
      </c>
      <c r="Q11" s="70">
        <f>IF(OR($P11="",$P11&lt;&gt;MesCiclo),"",COUNTIF($P$5:$P11,MesCiclo))</f>
        <v/>
      </c>
      <c r="R11" s="70">
        <f>IF($S11="","",IF($S11="Macro",ROW(),IFERROR(LOOKUP(2,1/($S$5:$S11="Macro"),ROW($S$5:$S11)),0)))</f>
        <v/>
      </c>
      <c r="S11" s="70">
        <f>IF(NOT((COUNTA($B11:$K11)+COUNTA($N11))&gt;0),"",IF($B11&lt;&gt;"","Macro",IF($C11&lt;&gt;"","Sub","Macro")))</f>
        <v/>
      </c>
      <c r="T11" s="70">
        <f>IF($S11="Macro",COUNTIFS($R$5:$R$1000,ROW(),$S$5:$S$1000,"Sub"),"")</f>
        <v/>
      </c>
      <c r="U11" s="70">
        <f>IF($S11="","",IF(ISNUMBER($H11),$H11,0))</f>
        <v/>
      </c>
      <c r="V11" s="70">
        <f>IF($S11="","",IF(ISNUMBER($I11),$I11,$U11))</f>
        <v/>
      </c>
      <c r="W11" s="70">
        <f>IF($S11="","",IF(ISNUMBER($J11),$J11,$V11))</f>
        <v/>
      </c>
      <c r="X11" s="70">
        <f>IF($S11="","",IF(ISNUMBER($K11),$K11,$W11))</f>
        <v/>
      </c>
      <c r="Y11" s="70">
        <f>IF($S11="","",IF(N($T11)&gt;0,AVERAGEIFS($U$5:$U$1000,$R$5:$R$1000,ROW(),$S$5:$S$1000,"Sub"),$U11))</f>
        <v/>
      </c>
      <c r="Z11" s="70">
        <f>IF($S11="","",IF(N($T11)&gt;0,AVERAGEIFS($V$5:$V$1000,$R$5:$R$1000,ROW(),$S$5:$S$1000,"Sub"),$V11))</f>
        <v/>
      </c>
      <c r="AA11" s="70">
        <f>IF($S11="","",IF(N($T11)&gt;0,AVERAGEIFS($W$5:$W$1000,$R$5:$R$1000,ROW(),$S$5:$S$1000,"Sub"),$W11))</f>
        <v/>
      </c>
      <c r="AB11" s="70">
        <f>IF($S11="","",IF(N($T11)&gt;0,AVERAGEIFS($X$5:$X$1000,$R$5:$R$1000,ROW(),$S$5:$S$1000,"Sub"),$X11))</f>
        <v/>
      </c>
    </row>
    <row r="12">
      <c r="A12" s="61">
        <f>IF(NOT((COUNTA($B12:$K12)+COUNTA($N12))&gt;0),"",IF($S12="Macro",COUNTIFS($S$5:$S12,"Macro",$P$5:$P12,$P12),IF(N($R12)=0,"?",COUNTIFS(INDEX($S$5:$S$1000,1):INDEX($S$5:$S$1000,$R12-4),"Macro",INDEX($P$5:$P$1000,1):INDEX($P$5:$P$1000,$R12-4),INDEX($P$5:$P$1000,$R12-4))&amp;"."&amp;COUNTIFS($R$5:$R12,$R12,$S$5:$S12,"Sub"))))</f>
        <v/>
      </c>
      <c r="B12" s="62" t="n"/>
      <c r="C12" s="63" t="n"/>
      <c r="D12" s="62" t="n"/>
      <c r="E12" s="64" t="n"/>
      <c r="F12" s="64" t="n"/>
      <c r="G12" s="65" t="n"/>
      <c r="H12" s="66" t="n"/>
      <c r="I12" s="66" t="n"/>
      <c r="J12" s="66" t="n"/>
      <c r="K12" s="66" t="n"/>
      <c r="L12" s="67">
        <f>IF(NOT((COUNTA($B12:$K12)+COUNTA($N12))&gt;0),"",IF(N($T12)&gt;0,$AB12,IFERROR(LOOKUP(2,1/(H12:K12&lt;&gt;""),H12:K12),0)))</f>
        <v/>
      </c>
      <c r="M12" s="61">
        <f>IF(L12="","",IF(L12&gt;=1,"Completado",IF(L12&gt;0,"En curso","Pendiente")))</f>
        <v/>
      </c>
      <c r="N12" s="62" t="n"/>
      <c r="O12" s="68">
        <f>IF(NOT((COUNTA($B12:$K12)+COUNTA($N12))&gt;0),"",IF((IF(AND($S12="Macro",$B12=""),"Macroactividad vacía"&amp;" · ","")&amp;IF(AND($B12&lt;&gt;"",$C12&lt;&gt;""),"Escriba la subactividad en otra fila, debajo de su macroactividad"&amp;" · ","")&amp;IF(AND($S12="Sub",N($R12)=0),"Subactividad sin macroactividad arriba"&amp;" · ","")&amp;IF($D12="","Sin responsable"&amp;" · ","")&amp;IF($E12="","Sin fecha de inicio"&amp;" · ","")&amp;IF($F12="","Sin fecha límite"&amp;" · ","")&amp;IF(OR(AND($E12&lt;&gt;"",NOT(ISNUMBER($E12))),AND($F12&lt;&gt;"",NOT(ISNUMBER($F12)))),"Fecha no válida"&amp;" · ","")&amp;IF(AND(ISNUMBER($E12),ISNUMBER($F12),$E12&gt;$F12),"Inicio posterior a fecha límite"&amp;" · ","")&amp;IF(AND($S12="Macro",$G12=""),"Peso vacío"&amp;" · ","")&amp;IF(AND($S12="Macro",$G12&lt;&gt;"",OR(NOT(ISNUMBER($G12)),$G12&lt;=0,$G12&gt;1)),"Peso fuera de rango"&amp;" · ","")&amp;IF(AND($S12="Sub",$G12&lt;&gt;""),"Las subactividades no llevan peso"&amp;" · ","")&amp;IF(AND($S12="Macro",ABS(SUMIFS($G$5:$G$1000,$P$5:$P$1000,$P12,$S$5:$S$1000,"Macro")-1)&gt;0.0001),"Pesos del mes suman "&amp;TEXT(SUMIFS($G$5:$G$1000,$P$5:$P$1000,$P12,$S$5:$S$1000,"Macro"),"0%")&amp;" · ","")&amp;IF(AND(N($T12)&gt;0,COUNT($H12:$K12)&gt;0),"Con subactividades: deje vacías las semanas (se calculan solas)"&amp;" · ","")&amp;IF((COUNTIF($H12:$K12,"&gt;1")+COUNTIF($H12:$K12,"&lt;0")+COUNTA($H12:$K12)-COUNT($H12:$K12))&gt;0,"Avance fuera de rango 0-100%"&amp;" · ","")&amp;IF(OR(AND($I12&lt;&gt;"",$I12&lt;$H12),AND($J12&lt;&gt;"",$J12&lt;MAX($H12:$I12)),AND($K12&lt;&gt;"",$K12&lt;MAX($H12:$J12))),"Avance semanal decreciente"&amp;" · ","")&amp;IF(AND(ISNUMBER($F12),$F12&lt;FechaRef,N($L12)&lt;1),"Vencida"&amp;" · ","")&amp;IF(AND(ObsObligatoria="Sí",ISNUMBER($F12),$F12&lt;FechaRef,N($L12)&lt;1,$N12=""),"Vencida sin observación"&amp;" · ",""))="","✔ OK","⚠ "&amp;LEFT(IF(AND($S12="Macro",$B12=""),"Macroactividad vacía"&amp;" · ","")&amp;IF(AND($B12&lt;&gt;"",$C12&lt;&gt;""),"Escriba la subactividad en otra fila, debajo de su macroactividad"&amp;" · ","")&amp;IF(AND($S12="Sub",N($R12)=0),"Subactividad sin macroactividad arriba"&amp;" · ","")&amp;IF($D12="","Sin responsable"&amp;" · ","")&amp;IF($E12="","Sin fecha de inicio"&amp;" · ","")&amp;IF($F12="","Sin fecha límite"&amp;" · ","")&amp;IF(OR(AND($E12&lt;&gt;"",NOT(ISNUMBER($E12))),AND($F12&lt;&gt;"",NOT(ISNUMBER($F12)))),"Fecha no válida"&amp;" · ","")&amp;IF(AND(ISNUMBER($E12),ISNUMBER($F12),$E12&gt;$F12),"Inicio posterior a fecha límite"&amp;" · ","")&amp;IF(AND($S12="Macro",$G12=""),"Peso vacío"&amp;" · ","")&amp;IF(AND($S12="Macro",$G12&lt;&gt;"",OR(NOT(ISNUMBER($G12)),$G12&lt;=0,$G12&gt;1)),"Peso fuera de rango"&amp;" · ","")&amp;IF(AND($S12="Sub",$G12&lt;&gt;""),"Las subactividades no llevan peso"&amp;" · ","")&amp;IF(AND($S12="Macro",ABS(SUMIFS($G$5:$G$1000,$P$5:$P$1000,$P12,$S$5:$S$1000,"Macro")-1)&gt;0.0001),"Pesos del mes suman "&amp;TEXT(SUMIFS($G$5:$G$1000,$P$5:$P$1000,$P12,$S$5:$S$1000,"Macro"),"0%")&amp;" · ","")&amp;IF(AND(N($T12)&gt;0,COUNT($H12:$K12)&gt;0),"Con subactividades: deje vacías las semanas (se calculan solas)"&amp;" · ","")&amp;IF((COUNTIF($H12:$K12,"&gt;1")+COUNTIF($H12:$K12,"&lt;0")+COUNTA($H12:$K12)-COUNT($H12:$K12))&gt;0,"Avance fuera de rango 0-100%"&amp;" · ","")&amp;IF(OR(AND($I12&lt;&gt;"",$I12&lt;$H12),AND($J12&lt;&gt;"",$J12&lt;MAX($H12:$I12)),AND($K12&lt;&gt;"",$K12&lt;MAX($H12:$J12))),"Avance semanal decreciente"&amp;" · ","")&amp;IF(AND(ISNUMBER($F12),$F12&lt;FechaRef,N($L12)&lt;1),"Vencida"&amp;" · ","")&amp;IF(AND(ObsObligatoria="Sí",ISNUMBER($F12),$F12&lt;FechaRef,N($L12)&lt;1,$N12=""),"Vencida sin observación"&amp;" · ",""),LEN(IF(AND($S12="Macro",$B12=""),"Macroactividad vacía"&amp;" · ","")&amp;IF(AND($B12&lt;&gt;"",$C12&lt;&gt;""),"Escriba la subactividad en otra fila, debajo de su macroactividad"&amp;" · ","")&amp;IF(AND($S12="Sub",N($R12)=0),"Subactividad sin macroactividad arriba"&amp;" · ","")&amp;IF($D12="","Sin responsable"&amp;" · ","")&amp;IF($E12="","Sin fecha de inicio"&amp;" · ","")&amp;IF($F12="","Sin fecha límite"&amp;" · ","")&amp;IF(OR(AND($E12&lt;&gt;"",NOT(ISNUMBER($E12))),AND($F12&lt;&gt;"",NOT(ISNUMBER($F12)))),"Fecha no válida"&amp;" · ","")&amp;IF(AND(ISNUMBER($E12),ISNUMBER($F12),$E12&gt;$F12),"Inicio posterior a fecha límite"&amp;" · ","")&amp;IF(AND($S12="Macro",$G12=""),"Peso vacío"&amp;" · ","")&amp;IF(AND($S12="Macro",$G12&lt;&gt;"",OR(NOT(ISNUMBER($G12)),$G12&lt;=0,$G12&gt;1)),"Peso fuera de rango"&amp;" · ","")&amp;IF(AND($S12="Sub",$G12&lt;&gt;""),"Las subactividades no llevan peso"&amp;" · ","")&amp;IF(AND($S12="Macro",ABS(SUMIFS($G$5:$G$1000,$P$5:$P$1000,$P12,$S$5:$S$1000,"Macro")-1)&gt;0.0001),"Pesos del mes suman "&amp;TEXT(SUMIFS($G$5:$G$1000,$P$5:$P$1000,$P12,$S$5:$S$1000,"Macro"),"0%")&amp;" · ","")&amp;IF(AND(N($T12)&gt;0,COUNT($H12:$K12)&gt;0),"Con subactividades: deje vacías las semanas (se calculan solas)"&amp;" · ","")&amp;IF((COUNTIF($H12:$K12,"&gt;1")+COUNTIF($H12:$K12,"&lt;0")+COUNTA($H12:$K12)-COUNT($H12:$K12))&gt;0,"Avance fuera de rango 0-100%"&amp;" · ","")&amp;IF(OR(AND($I12&lt;&gt;"",$I12&lt;$H12),AND($J12&lt;&gt;"",$J12&lt;MAX($H12:$I12)),AND($K12&lt;&gt;"",$K12&lt;MAX($H12:$J12))),"Avance semanal decreciente"&amp;" · ","")&amp;IF(AND(ISNUMBER($F12),$F12&lt;FechaRef,N($L12)&lt;1),"Vencida"&amp;" · ","")&amp;IF(AND(ObsObligatoria="Sí",ISNUMBER($F12),$F12&lt;FechaRef,N($L12)&lt;1,$N12=""),"Vencida sin observación"&amp;" · ",""))-3)))</f>
        <v/>
      </c>
      <c r="P12" s="69">
        <f>IF(NOT((COUNTA($B12:$K12)+COUNTA($N12))&gt;0),"",IF(AND($S12="Sub",N($R12)&gt;0),IF(ISNUMBER(INDEX($E$5:$E$1000,$R12-4)),DATE(YEAR(INDEX($E$5:$E$1000,$R12-4)),MONTH(INDEX($E$5:$E$1000,$R12-4)),1),IF(ISNUMBER(INDEX($F$5:$F$1000,$R12-4)),DATE(YEAR(INDEX($F$5:$F$1000,$R12-4)),MONTH(INDEX($F$5:$F$1000,$R12-4)),1),MesCiclo)),IF(ISNUMBER($E12),DATE(YEAR($E12),MONTH($E12),1),IF(ISNUMBER($F12),DATE(YEAR($F12),MONTH($F12),1),MesCiclo))))</f>
        <v/>
      </c>
      <c r="Q12" s="70">
        <f>IF(OR($P12="",$P12&lt;&gt;MesCiclo),"",COUNTIF($P$5:$P12,MesCiclo))</f>
        <v/>
      </c>
      <c r="R12" s="70">
        <f>IF($S12="","",IF($S12="Macro",ROW(),IFERROR(LOOKUP(2,1/($S$5:$S12="Macro"),ROW($S$5:$S12)),0)))</f>
        <v/>
      </c>
      <c r="S12" s="70">
        <f>IF(NOT((COUNTA($B12:$K12)+COUNTA($N12))&gt;0),"",IF($B12&lt;&gt;"","Macro",IF($C12&lt;&gt;"","Sub","Macro")))</f>
        <v/>
      </c>
      <c r="T12" s="70">
        <f>IF($S12="Macro",COUNTIFS($R$5:$R$1000,ROW(),$S$5:$S$1000,"Sub"),"")</f>
        <v/>
      </c>
      <c r="U12" s="70">
        <f>IF($S12="","",IF(ISNUMBER($H12),$H12,0))</f>
        <v/>
      </c>
      <c r="V12" s="70">
        <f>IF($S12="","",IF(ISNUMBER($I12),$I12,$U12))</f>
        <v/>
      </c>
      <c r="W12" s="70">
        <f>IF($S12="","",IF(ISNUMBER($J12),$J12,$V12))</f>
        <v/>
      </c>
      <c r="X12" s="70">
        <f>IF($S12="","",IF(ISNUMBER($K12),$K12,$W12))</f>
        <v/>
      </c>
      <c r="Y12" s="70">
        <f>IF($S12="","",IF(N($T12)&gt;0,AVERAGEIFS($U$5:$U$1000,$R$5:$R$1000,ROW(),$S$5:$S$1000,"Sub"),$U12))</f>
        <v/>
      </c>
      <c r="Z12" s="70">
        <f>IF($S12="","",IF(N($T12)&gt;0,AVERAGEIFS($V$5:$V$1000,$R$5:$R$1000,ROW(),$S$5:$S$1000,"Sub"),$V12))</f>
        <v/>
      </c>
      <c r="AA12" s="70">
        <f>IF($S12="","",IF(N($T12)&gt;0,AVERAGEIFS($W$5:$W$1000,$R$5:$R$1000,ROW(),$S$5:$S$1000,"Sub"),$W12))</f>
        <v/>
      </c>
      <c r="AB12" s="70">
        <f>IF($S12="","",IF(N($T12)&gt;0,AVERAGEIFS($X$5:$X$1000,$R$5:$R$1000,ROW(),$S$5:$S$1000,"Sub"),$X12))</f>
        <v/>
      </c>
    </row>
    <row r="13">
      <c r="A13" s="61">
        <f>IF(NOT((COUNTA($B13:$K13)+COUNTA($N13))&gt;0),"",IF($S13="Macro",COUNTIFS($S$5:$S13,"Macro",$P$5:$P13,$P13),IF(N($R13)=0,"?",COUNTIFS(INDEX($S$5:$S$1000,1):INDEX($S$5:$S$1000,$R13-4),"Macro",INDEX($P$5:$P$1000,1):INDEX($P$5:$P$1000,$R13-4),INDEX($P$5:$P$1000,$R13-4))&amp;"."&amp;COUNTIFS($R$5:$R13,$R13,$S$5:$S13,"Sub"))))</f>
        <v/>
      </c>
      <c r="B13" s="62" t="n"/>
      <c r="C13" s="63" t="n"/>
      <c r="D13" s="62" t="n"/>
      <c r="E13" s="64" t="n"/>
      <c r="F13" s="64" t="n"/>
      <c r="G13" s="65" t="n"/>
      <c r="H13" s="66" t="n"/>
      <c r="I13" s="66" t="n"/>
      <c r="J13" s="66" t="n"/>
      <c r="K13" s="66" t="n"/>
      <c r="L13" s="67">
        <f>IF(NOT((COUNTA($B13:$K13)+COUNTA($N13))&gt;0),"",IF(N($T13)&gt;0,$AB13,IFERROR(LOOKUP(2,1/(H13:K13&lt;&gt;""),H13:K13),0)))</f>
        <v/>
      </c>
      <c r="M13" s="61">
        <f>IF(L13="","",IF(L13&gt;=1,"Completado",IF(L13&gt;0,"En curso","Pendiente")))</f>
        <v/>
      </c>
      <c r="N13" s="62" t="n"/>
      <c r="O13" s="68">
        <f>IF(NOT((COUNTA($B13:$K13)+COUNTA($N13))&gt;0),"",IF((IF(AND($S13="Macro",$B13=""),"Macroactividad vacía"&amp;" · ","")&amp;IF(AND($B13&lt;&gt;"",$C13&lt;&gt;""),"Escriba la subactividad en otra fila, debajo de su macroactividad"&amp;" · ","")&amp;IF(AND($S13="Sub",N($R13)=0),"Subactividad sin macroactividad arriba"&amp;" · ","")&amp;IF($D13="","Sin responsable"&amp;" · ","")&amp;IF($E13="","Sin fecha de inicio"&amp;" · ","")&amp;IF($F13="","Sin fecha límite"&amp;" · ","")&amp;IF(OR(AND($E13&lt;&gt;"",NOT(ISNUMBER($E13))),AND($F13&lt;&gt;"",NOT(ISNUMBER($F13)))),"Fecha no válida"&amp;" · ","")&amp;IF(AND(ISNUMBER($E13),ISNUMBER($F13),$E13&gt;$F13),"Inicio posterior a fecha límite"&amp;" · ","")&amp;IF(AND($S13="Macro",$G13=""),"Peso vacío"&amp;" · ","")&amp;IF(AND($S13="Macro",$G13&lt;&gt;"",OR(NOT(ISNUMBER($G13)),$G13&lt;=0,$G13&gt;1)),"Peso fuera de rango"&amp;" · ","")&amp;IF(AND($S13="Sub",$G13&lt;&gt;""),"Las subactividades no llevan peso"&amp;" · ","")&amp;IF(AND($S13="Macro",ABS(SUMIFS($G$5:$G$1000,$P$5:$P$1000,$P13,$S$5:$S$1000,"Macro")-1)&gt;0.0001),"Pesos del mes suman "&amp;TEXT(SUMIFS($G$5:$G$1000,$P$5:$P$1000,$P13,$S$5:$S$1000,"Macro"),"0%")&amp;" · ","")&amp;IF(AND(N($T13)&gt;0,COUNT($H13:$K13)&gt;0),"Con subactividades: deje vacías las semanas (se calculan solas)"&amp;" · ","")&amp;IF((COUNTIF($H13:$K13,"&gt;1")+COUNTIF($H13:$K13,"&lt;0")+COUNTA($H13:$K13)-COUNT($H13:$K13))&gt;0,"Avance fuera de rango 0-100%"&amp;" · ","")&amp;IF(OR(AND($I13&lt;&gt;"",$I13&lt;$H13),AND($J13&lt;&gt;"",$J13&lt;MAX($H13:$I13)),AND($K13&lt;&gt;"",$K13&lt;MAX($H13:$J13))),"Avance semanal decreciente"&amp;" · ","")&amp;IF(AND(ISNUMBER($F13),$F13&lt;FechaRef,N($L13)&lt;1),"Vencida"&amp;" · ","")&amp;IF(AND(ObsObligatoria="Sí",ISNUMBER($F13),$F13&lt;FechaRef,N($L13)&lt;1,$N13=""),"Vencida sin observación"&amp;" · ",""))="","✔ OK","⚠ "&amp;LEFT(IF(AND($S13="Macro",$B13=""),"Macroactividad vacía"&amp;" · ","")&amp;IF(AND($B13&lt;&gt;"",$C13&lt;&gt;""),"Escriba la subactividad en otra fila, debajo de su macroactividad"&amp;" · ","")&amp;IF(AND($S13="Sub",N($R13)=0),"Subactividad sin macroactividad arriba"&amp;" · ","")&amp;IF($D13="","Sin responsable"&amp;" · ","")&amp;IF($E13="","Sin fecha de inicio"&amp;" · ","")&amp;IF($F13="","Sin fecha límite"&amp;" · ","")&amp;IF(OR(AND($E13&lt;&gt;"",NOT(ISNUMBER($E13))),AND($F13&lt;&gt;"",NOT(ISNUMBER($F13)))),"Fecha no válida"&amp;" · ","")&amp;IF(AND(ISNUMBER($E13),ISNUMBER($F13),$E13&gt;$F13),"Inicio posterior a fecha límite"&amp;" · ","")&amp;IF(AND($S13="Macro",$G13=""),"Peso vacío"&amp;" · ","")&amp;IF(AND($S13="Macro",$G13&lt;&gt;"",OR(NOT(ISNUMBER($G13)),$G13&lt;=0,$G13&gt;1)),"Peso fuera de rango"&amp;" · ","")&amp;IF(AND($S13="Sub",$G13&lt;&gt;""),"Las subactividades no llevan peso"&amp;" · ","")&amp;IF(AND($S13="Macro",ABS(SUMIFS($G$5:$G$1000,$P$5:$P$1000,$P13,$S$5:$S$1000,"Macro")-1)&gt;0.0001),"Pesos del mes suman "&amp;TEXT(SUMIFS($G$5:$G$1000,$P$5:$P$1000,$P13,$S$5:$S$1000,"Macro"),"0%")&amp;" · ","")&amp;IF(AND(N($T13)&gt;0,COUNT($H13:$K13)&gt;0),"Con subactividades: deje vacías las semanas (se calculan solas)"&amp;" · ","")&amp;IF((COUNTIF($H13:$K13,"&gt;1")+COUNTIF($H13:$K13,"&lt;0")+COUNTA($H13:$K13)-COUNT($H13:$K13))&gt;0,"Avance fuera de rango 0-100%"&amp;" · ","")&amp;IF(OR(AND($I13&lt;&gt;"",$I13&lt;$H13),AND($J13&lt;&gt;"",$J13&lt;MAX($H13:$I13)),AND($K13&lt;&gt;"",$K13&lt;MAX($H13:$J13))),"Avance semanal decreciente"&amp;" · ","")&amp;IF(AND(ISNUMBER($F13),$F13&lt;FechaRef,N($L13)&lt;1),"Vencida"&amp;" · ","")&amp;IF(AND(ObsObligatoria="Sí",ISNUMBER($F13),$F13&lt;FechaRef,N($L13)&lt;1,$N13=""),"Vencida sin observación"&amp;" · ",""),LEN(IF(AND($S13="Macro",$B13=""),"Macroactividad vacía"&amp;" · ","")&amp;IF(AND($B13&lt;&gt;"",$C13&lt;&gt;""),"Escriba la subactividad en otra fila, debajo de su macroactividad"&amp;" · ","")&amp;IF(AND($S13="Sub",N($R13)=0),"Subactividad sin macroactividad arriba"&amp;" · ","")&amp;IF($D13="","Sin responsable"&amp;" · ","")&amp;IF($E13="","Sin fecha de inicio"&amp;" · ","")&amp;IF($F13="","Sin fecha límite"&amp;" · ","")&amp;IF(OR(AND($E13&lt;&gt;"",NOT(ISNUMBER($E13))),AND($F13&lt;&gt;"",NOT(ISNUMBER($F13)))),"Fecha no válida"&amp;" · ","")&amp;IF(AND(ISNUMBER($E13),ISNUMBER($F13),$E13&gt;$F13),"Inicio posterior a fecha límite"&amp;" · ","")&amp;IF(AND($S13="Macro",$G13=""),"Peso vacío"&amp;" · ","")&amp;IF(AND($S13="Macro",$G13&lt;&gt;"",OR(NOT(ISNUMBER($G13)),$G13&lt;=0,$G13&gt;1)),"Peso fuera de rango"&amp;" · ","")&amp;IF(AND($S13="Sub",$G13&lt;&gt;""),"Las subactividades no llevan peso"&amp;" · ","")&amp;IF(AND($S13="Macro",ABS(SUMIFS($G$5:$G$1000,$P$5:$P$1000,$P13,$S$5:$S$1000,"Macro")-1)&gt;0.0001),"Pesos del mes suman "&amp;TEXT(SUMIFS($G$5:$G$1000,$P$5:$P$1000,$P13,$S$5:$S$1000,"Macro"),"0%")&amp;" · ","")&amp;IF(AND(N($T13)&gt;0,COUNT($H13:$K13)&gt;0),"Con subactividades: deje vacías las semanas (se calculan solas)"&amp;" · ","")&amp;IF((COUNTIF($H13:$K13,"&gt;1")+COUNTIF($H13:$K13,"&lt;0")+COUNTA($H13:$K13)-COUNT($H13:$K13))&gt;0,"Avance fuera de rango 0-100%"&amp;" · ","")&amp;IF(OR(AND($I13&lt;&gt;"",$I13&lt;$H13),AND($J13&lt;&gt;"",$J13&lt;MAX($H13:$I13)),AND($K13&lt;&gt;"",$K13&lt;MAX($H13:$J13))),"Avance semanal decreciente"&amp;" · ","")&amp;IF(AND(ISNUMBER($F13),$F13&lt;FechaRef,N($L13)&lt;1),"Vencida"&amp;" · ","")&amp;IF(AND(ObsObligatoria="Sí",ISNUMBER($F13),$F13&lt;FechaRef,N($L13)&lt;1,$N13=""),"Vencida sin observación"&amp;" · ",""))-3)))</f>
        <v/>
      </c>
      <c r="P13" s="69">
        <f>IF(NOT((COUNTA($B13:$K13)+COUNTA($N13))&gt;0),"",IF(AND($S13="Sub",N($R13)&gt;0),IF(ISNUMBER(INDEX($E$5:$E$1000,$R13-4)),DATE(YEAR(INDEX($E$5:$E$1000,$R13-4)),MONTH(INDEX($E$5:$E$1000,$R13-4)),1),IF(ISNUMBER(INDEX($F$5:$F$1000,$R13-4)),DATE(YEAR(INDEX($F$5:$F$1000,$R13-4)),MONTH(INDEX($F$5:$F$1000,$R13-4)),1),MesCiclo)),IF(ISNUMBER($E13),DATE(YEAR($E13),MONTH($E13),1),IF(ISNUMBER($F13),DATE(YEAR($F13),MONTH($F13),1),MesCiclo))))</f>
        <v/>
      </c>
      <c r="Q13" s="70">
        <f>IF(OR($P13="",$P13&lt;&gt;MesCiclo),"",COUNTIF($P$5:$P13,MesCiclo))</f>
        <v/>
      </c>
      <c r="R13" s="70">
        <f>IF($S13="","",IF($S13="Macro",ROW(),IFERROR(LOOKUP(2,1/($S$5:$S13="Macro"),ROW($S$5:$S13)),0)))</f>
        <v/>
      </c>
      <c r="S13" s="70">
        <f>IF(NOT((COUNTA($B13:$K13)+COUNTA($N13))&gt;0),"",IF($B13&lt;&gt;"","Macro",IF($C13&lt;&gt;"","Sub","Macro")))</f>
        <v/>
      </c>
      <c r="T13" s="70">
        <f>IF($S13="Macro",COUNTIFS($R$5:$R$1000,ROW(),$S$5:$S$1000,"Sub"),"")</f>
        <v/>
      </c>
      <c r="U13" s="70">
        <f>IF($S13="","",IF(ISNUMBER($H13),$H13,0))</f>
        <v/>
      </c>
      <c r="V13" s="70">
        <f>IF($S13="","",IF(ISNUMBER($I13),$I13,$U13))</f>
        <v/>
      </c>
      <c r="W13" s="70">
        <f>IF($S13="","",IF(ISNUMBER($J13),$J13,$V13))</f>
        <v/>
      </c>
      <c r="X13" s="70">
        <f>IF($S13="","",IF(ISNUMBER($K13),$K13,$W13))</f>
        <v/>
      </c>
      <c r="Y13" s="70">
        <f>IF($S13="","",IF(N($T13)&gt;0,AVERAGEIFS($U$5:$U$1000,$R$5:$R$1000,ROW(),$S$5:$S$1000,"Sub"),$U13))</f>
        <v/>
      </c>
      <c r="Z13" s="70">
        <f>IF($S13="","",IF(N($T13)&gt;0,AVERAGEIFS($V$5:$V$1000,$R$5:$R$1000,ROW(),$S$5:$S$1000,"Sub"),$V13))</f>
        <v/>
      </c>
      <c r="AA13" s="70">
        <f>IF($S13="","",IF(N($T13)&gt;0,AVERAGEIFS($W$5:$W$1000,$R$5:$R$1000,ROW(),$S$5:$S$1000,"Sub"),$W13))</f>
        <v/>
      </c>
      <c r="AB13" s="70">
        <f>IF($S13="","",IF(N($T13)&gt;0,AVERAGEIFS($X$5:$X$1000,$R$5:$R$1000,ROW(),$S$5:$S$1000,"Sub"),$X13))</f>
        <v/>
      </c>
    </row>
    <row r="14">
      <c r="A14" s="61">
        <f>IF(NOT((COUNTA($B14:$K14)+COUNTA($N14))&gt;0),"",IF($S14="Macro",COUNTIFS($S$5:$S14,"Macro",$P$5:$P14,$P14),IF(N($R14)=0,"?",COUNTIFS(INDEX($S$5:$S$1000,1):INDEX($S$5:$S$1000,$R14-4),"Macro",INDEX($P$5:$P$1000,1):INDEX($P$5:$P$1000,$R14-4),INDEX($P$5:$P$1000,$R14-4))&amp;"."&amp;COUNTIFS($R$5:$R14,$R14,$S$5:$S14,"Sub"))))</f>
        <v/>
      </c>
      <c r="B14" s="62" t="n"/>
      <c r="C14" s="63" t="n"/>
      <c r="D14" s="62" t="n"/>
      <c r="E14" s="64" t="n"/>
      <c r="F14" s="64" t="n"/>
      <c r="G14" s="65" t="n"/>
      <c r="H14" s="66" t="n"/>
      <c r="I14" s="66" t="n"/>
      <c r="J14" s="66" t="n"/>
      <c r="K14" s="66" t="n"/>
      <c r="L14" s="67">
        <f>IF(NOT((COUNTA($B14:$K14)+COUNTA($N14))&gt;0),"",IF(N($T14)&gt;0,$AB14,IFERROR(LOOKUP(2,1/(H14:K14&lt;&gt;""),H14:K14),0)))</f>
        <v/>
      </c>
      <c r="M14" s="61">
        <f>IF(L14="","",IF(L14&gt;=1,"Completado",IF(L14&gt;0,"En curso","Pendiente")))</f>
        <v/>
      </c>
      <c r="N14" s="62" t="n"/>
      <c r="O14" s="68">
        <f>IF(NOT((COUNTA($B14:$K14)+COUNTA($N14))&gt;0),"",IF((IF(AND($S14="Macro",$B14=""),"Macroactividad vacía"&amp;" · ","")&amp;IF(AND($B14&lt;&gt;"",$C14&lt;&gt;""),"Escriba la subactividad en otra fila, debajo de su macroactividad"&amp;" · ","")&amp;IF(AND($S14="Sub",N($R14)=0),"Subactividad sin macroactividad arriba"&amp;" · ","")&amp;IF($D14="","Sin responsable"&amp;" · ","")&amp;IF($E14="","Sin fecha de inicio"&amp;" · ","")&amp;IF($F14="","Sin fecha límite"&amp;" · ","")&amp;IF(OR(AND($E14&lt;&gt;"",NOT(ISNUMBER($E14))),AND($F14&lt;&gt;"",NOT(ISNUMBER($F14)))),"Fecha no válida"&amp;" · ","")&amp;IF(AND(ISNUMBER($E14),ISNUMBER($F14),$E14&gt;$F14),"Inicio posterior a fecha límite"&amp;" · ","")&amp;IF(AND($S14="Macro",$G14=""),"Peso vacío"&amp;" · ","")&amp;IF(AND($S14="Macro",$G14&lt;&gt;"",OR(NOT(ISNUMBER($G14)),$G14&lt;=0,$G14&gt;1)),"Peso fuera de rango"&amp;" · ","")&amp;IF(AND($S14="Sub",$G14&lt;&gt;""),"Las subactividades no llevan peso"&amp;" · ","")&amp;IF(AND($S14="Macro",ABS(SUMIFS($G$5:$G$1000,$P$5:$P$1000,$P14,$S$5:$S$1000,"Macro")-1)&gt;0.0001),"Pesos del mes suman "&amp;TEXT(SUMIFS($G$5:$G$1000,$P$5:$P$1000,$P14,$S$5:$S$1000,"Macro"),"0%")&amp;" · ","")&amp;IF(AND(N($T14)&gt;0,COUNT($H14:$K14)&gt;0),"Con subactividades: deje vacías las semanas (se calculan solas)"&amp;" · ","")&amp;IF((COUNTIF($H14:$K14,"&gt;1")+COUNTIF($H14:$K14,"&lt;0")+COUNTA($H14:$K14)-COUNT($H14:$K14))&gt;0,"Avance fuera de rango 0-100%"&amp;" · ","")&amp;IF(OR(AND($I14&lt;&gt;"",$I14&lt;$H14),AND($J14&lt;&gt;"",$J14&lt;MAX($H14:$I14)),AND($K14&lt;&gt;"",$K14&lt;MAX($H14:$J14))),"Avance semanal decreciente"&amp;" · ","")&amp;IF(AND(ISNUMBER($F14),$F14&lt;FechaRef,N($L14)&lt;1),"Vencida"&amp;" · ","")&amp;IF(AND(ObsObligatoria="Sí",ISNUMBER($F14),$F14&lt;FechaRef,N($L14)&lt;1,$N14=""),"Vencida sin observación"&amp;" · ",""))="","✔ OK","⚠ "&amp;LEFT(IF(AND($S14="Macro",$B14=""),"Macroactividad vacía"&amp;" · ","")&amp;IF(AND($B14&lt;&gt;"",$C14&lt;&gt;""),"Escriba la subactividad en otra fila, debajo de su macroactividad"&amp;" · ","")&amp;IF(AND($S14="Sub",N($R14)=0),"Subactividad sin macroactividad arriba"&amp;" · ","")&amp;IF($D14="","Sin responsable"&amp;" · ","")&amp;IF($E14="","Sin fecha de inicio"&amp;" · ","")&amp;IF($F14="","Sin fecha límite"&amp;" · ","")&amp;IF(OR(AND($E14&lt;&gt;"",NOT(ISNUMBER($E14))),AND($F14&lt;&gt;"",NOT(ISNUMBER($F14)))),"Fecha no válida"&amp;" · ","")&amp;IF(AND(ISNUMBER($E14),ISNUMBER($F14),$E14&gt;$F14),"Inicio posterior a fecha límite"&amp;" · ","")&amp;IF(AND($S14="Macro",$G14=""),"Peso vacío"&amp;" · ","")&amp;IF(AND($S14="Macro",$G14&lt;&gt;"",OR(NOT(ISNUMBER($G14)),$G14&lt;=0,$G14&gt;1)),"Peso fuera de rango"&amp;" · ","")&amp;IF(AND($S14="Sub",$G14&lt;&gt;""),"Las subactividades no llevan peso"&amp;" · ","")&amp;IF(AND($S14="Macro",ABS(SUMIFS($G$5:$G$1000,$P$5:$P$1000,$P14,$S$5:$S$1000,"Macro")-1)&gt;0.0001),"Pesos del mes suman "&amp;TEXT(SUMIFS($G$5:$G$1000,$P$5:$P$1000,$P14,$S$5:$S$1000,"Macro"),"0%")&amp;" · ","")&amp;IF(AND(N($T14)&gt;0,COUNT($H14:$K14)&gt;0),"Con subactividades: deje vacías las semanas (se calculan solas)"&amp;" · ","")&amp;IF((COUNTIF($H14:$K14,"&gt;1")+COUNTIF($H14:$K14,"&lt;0")+COUNTA($H14:$K14)-COUNT($H14:$K14))&gt;0,"Avance fuera de rango 0-100%"&amp;" · ","")&amp;IF(OR(AND($I14&lt;&gt;"",$I14&lt;$H14),AND($J14&lt;&gt;"",$J14&lt;MAX($H14:$I14)),AND($K14&lt;&gt;"",$K14&lt;MAX($H14:$J14))),"Avance semanal decreciente"&amp;" · ","")&amp;IF(AND(ISNUMBER($F14),$F14&lt;FechaRef,N($L14)&lt;1),"Vencida"&amp;" · ","")&amp;IF(AND(ObsObligatoria="Sí",ISNUMBER($F14),$F14&lt;FechaRef,N($L14)&lt;1,$N14=""),"Vencida sin observación"&amp;" · ",""),LEN(IF(AND($S14="Macro",$B14=""),"Macroactividad vacía"&amp;" · ","")&amp;IF(AND($B14&lt;&gt;"",$C14&lt;&gt;""),"Escriba la subactividad en otra fila, debajo de su macroactividad"&amp;" · ","")&amp;IF(AND($S14="Sub",N($R14)=0),"Subactividad sin macroactividad arriba"&amp;" · ","")&amp;IF($D14="","Sin responsable"&amp;" · ","")&amp;IF($E14="","Sin fecha de inicio"&amp;" · ","")&amp;IF($F14="","Sin fecha límite"&amp;" · ","")&amp;IF(OR(AND($E14&lt;&gt;"",NOT(ISNUMBER($E14))),AND($F14&lt;&gt;"",NOT(ISNUMBER($F14)))),"Fecha no válida"&amp;" · ","")&amp;IF(AND(ISNUMBER($E14),ISNUMBER($F14),$E14&gt;$F14),"Inicio posterior a fecha límite"&amp;" · ","")&amp;IF(AND($S14="Macro",$G14=""),"Peso vacío"&amp;" · ","")&amp;IF(AND($S14="Macro",$G14&lt;&gt;"",OR(NOT(ISNUMBER($G14)),$G14&lt;=0,$G14&gt;1)),"Peso fuera de rango"&amp;" · ","")&amp;IF(AND($S14="Sub",$G14&lt;&gt;""),"Las subactividades no llevan peso"&amp;" · ","")&amp;IF(AND($S14="Macro",ABS(SUMIFS($G$5:$G$1000,$P$5:$P$1000,$P14,$S$5:$S$1000,"Macro")-1)&gt;0.0001),"Pesos del mes suman "&amp;TEXT(SUMIFS($G$5:$G$1000,$P$5:$P$1000,$P14,$S$5:$S$1000,"Macro"),"0%")&amp;" · ","")&amp;IF(AND(N($T14)&gt;0,COUNT($H14:$K14)&gt;0),"Con subactividades: deje vacías las semanas (se calculan solas)"&amp;" · ","")&amp;IF((COUNTIF($H14:$K14,"&gt;1")+COUNTIF($H14:$K14,"&lt;0")+COUNTA($H14:$K14)-COUNT($H14:$K14))&gt;0,"Avance fuera de rango 0-100%"&amp;" · ","")&amp;IF(OR(AND($I14&lt;&gt;"",$I14&lt;$H14),AND($J14&lt;&gt;"",$J14&lt;MAX($H14:$I14)),AND($K14&lt;&gt;"",$K14&lt;MAX($H14:$J14))),"Avance semanal decreciente"&amp;" · ","")&amp;IF(AND(ISNUMBER($F14),$F14&lt;FechaRef,N($L14)&lt;1),"Vencida"&amp;" · ","")&amp;IF(AND(ObsObligatoria="Sí",ISNUMBER($F14),$F14&lt;FechaRef,N($L14)&lt;1,$N14=""),"Vencida sin observación"&amp;" · ",""))-3)))</f>
        <v/>
      </c>
      <c r="P14" s="69">
        <f>IF(NOT((COUNTA($B14:$K14)+COUNTA($N14))&gt;0),"",IF(AND($S14="Sub",N($R14)&gt;0),IF(ISNUMBER(INDEX($E$5:$E$1000,$R14-4)),DATE(YEAR(INDEX($E$5:$E$1000,$R14-4)),MONTH(INDEX($E$5:$E$1000,$R14-4)),1),IF(ISNUMBER(INDEX($F$5:$F$1000,$R14-4)),DATE(YEAR(INDEX($F$5:$F$1000,$R14-4)),MONTH(INDEX($F$5:$F$1000,$R14-4)),1),MesCiclo)),IF(ISNUMBER($E14),DATE(YEAR($E14),MONTH($E14),1),IF(ISNUMBER($F14),DATE(YEAR($F14),MONTH($F14),1),MesCiclo))))</f>
        <v/>
      </c>
      <c r="Q14" s="70">
        <f>IF(OR($P14="",$P14&lt;&gt;MesCiclo),"",COUNTIF($P$5:$P14,MesCiclo))</f>
        <v/>
      </c>
      <c r="R14" s="70">
        <f>IF($S14="","",IF($S14="Macro",ROW(),IFERROR(LOOKUP(2,1/($S$5:$S14="Macro"),ROW($S$5:$S14)),0)))</f>
        <v/>
      </c>
      <c r="S14" s="70">
        <f>IF(NOT((COUNTA($B14:$K14)+COUNTA($N14))&gt;0),"",IF($B14&lt;&gt;"","Macro",IF($C14&lt;&gt;"","Sub","Macro")))</f>
        <v/>
      </c>
      <c r="T14" s="70">
        <f>IF($S14="Macro",COUNTIFS($R$5:$R$1000,ROW(),$S$5:$S$1000,"Sub"),"")</f>
        <v/>
      </c>
      <c r="U14" s="70">
        <f>IF($S14="","",IF(ISNUMBER($H14),$H14,0))</f>
        <v/>
      </c>
      <c r="V14" s="70">
        <f>IF($S14="","",IF(ISNUMBER($I14),$I14,$U14))</f>
        <v/>
      </c>
      <c r="W14" s="70">
        <f>IF($S14="","",IF(ISNUMBER($J14),$J14,$V14))</f>
        <v/>
      </c>
      <c r="X14" s="70">
        <f>IF($S14="","",IF(ISNUMBER($K14),$K14,$W14))</f>
        <v/>
      </c>
      <c r="Y14" s="70">
        <f>IF($S14="","",IF(N($T14)&gt;0,AVERAGEIFS($U$5:$U$1000,$R$5:$R$1000,ROW(),$S$5:$S$1000,"Sub"),$U14))</f>
        <v/>
      </c>
      <c r="Z14" s="70">
        <f>IF($S14="","",IF(N($T14)&gt;0,AVERAGEIFS($V$5:$V$1000,$R$5:$R$1000,ROW(),$S$5:$S$1000,"Sub"),$V14))</f>
        <v/>
      </c>
      <c r="AA14" s="70">
        <f>IF($S14="","",IF(N($T14)&gt;0,AVERAGEIFS($W$5:$W$1000,$R$5:$R$1000,ROW(),$S$5:$S$1000,"Sub"),$W14))</f>
        <v/>
      </c>
      <c r="AB14" s="70">
        <f>IF($S14="","",IF(N($T14)&gt;0,AVERAGEIFS($X$5:$X$1000,$R$5:$R$1000,ROW(),$S$5:$S$1000,"Sub"),$X14))</f>
        <v/>
      </c>
    </row>
    <row r="15">
      <c r="A15" s="61">
        <f>IF(NOT((COUNTA($B15:$K15)+COUNTA($N15))&gt;0),"",IF($S15="Macro",COUNTIFS($S$5:$S15,"Macro",$P$5:$P15,$P15),IF(N($R15)=0,"?",COUNTIFS(INDEX($S$5:$S$1000,1):INDEX($S$5:$S$1000,$R15-4),"Macro",INDEX($P$5:$P$1000,1):INDEX($P$5:$P$1000,$R15-4),INDEX($P$5:$P$1000,$R15-4))&amp;"."&amp;COUNTIFS($R$5:$R15,$R15,$S$5:$S15,"Sub"))))</f>
        <v/>
      </c>
      <c r="B15" s="62" t="n"/>
      <c r="C15" s="63" t="n"/>
      <c r="D15" s="62" t="n"/>
      <c r="E15" s="64" t="n"/>
      <c r="F15" s="64" t="n"/>
      <c r="G15" s="65" t="n"/>
      <c r="H15" s="66" t="n"/>
      <c r="I15" s="66" t="n"/>
      <c r="J15" s="66" t="n"/>
      <c r="K15" s="66" t="n"/>
      <c r="L15" s="67">
        <f>IF(NOT((COUNTA($B15:$K15)+COUNTA($N15))&gt;0),"",IF(N($T15)&gt;0,$AB15,IFERROR(LOOKUP(2,1/(H15:K15&lt;&gt;""),H15:K15),0)))</f>
        <v/>
      </c>
      <c r="M15" s="61">
        <f>IF(L15="","",IF(L15&gt;=1,"Completado",IF(L15&gt;0,"En curso","Pendiente")))</f>
        <v/>
      </c>
      <c r="N15" s="62" t="n"/>
      <c r="O15" s="68">
        <f>IF(NOT((COUNTA($B15:$K15)+COUNTA($N15))&gt;0),"",IF((IF(AND($S15="Macro",$B15=""),"Macroactividad vacía"&amp;" · ","")&amp;IF(AND($B15&lt;&gt;"",$C15&lt;&gt;""),"Escriba la subactividad en otra fila, debajo de su macroactividad"&amp;" · ","")&amp;IF(AND($S15="Sub",N($R15)=0),"Subactividad sin macroactividad arriba"&amp;" · ","")&amp;IF($D15="","Sin responsable"&amp;" · ","")&amp;IF($E15="","Sin fecha de inicio"&amp;" · ","")&amp;IF($F15="","Sin fecha límite"&amp;" · ","")&amp;IF(OR(AND($E15&lt;&gt;"",NOT(ISNUMBER($E15))),AND($F15&lt;&gt;"",NOT(ISNUMBER($F15)))),"Fecha no válida"&amp;" · ","")&amp;IF(AND(ISNUMBER($E15),ISNUMBER($F15),$E15&gt;$F15),"Inicio posterior a fecha límite"&amp;" · ","")&amp;IF(AND($S15="Macro",$G15=""),"Peso vacío"&amp;" · ","")&amp;IF(AND($S15="Macro",$G15&lt;&gt;"",OR(NOT(ISNUMBER($G15)),$G15&lt;=0,$G15&gt;1)),"Peso fuera de rango"&amp;" · ","")&amp;IF(AND($S15="Sub",$G15&lt;&gt;""),"Las subactividades no llevan peso"&amp;" · ","")&amp;IF(AND($S15="Macro",ABS(SUMIFS($G$5:$G$1000,$P$5:$P$1000,$P15,$S$5:$S$1000,"Macro")-1)&gt;0.0001),"Pesos del mes suman "&amp;TEXT(SUMIFS($G$5:$G$1000,$P$5:$P$1000,$P15,$S$5:$S$1000,"Macro"),"0%")&amp;" · ","")&amp;IF(AND(N($T15)&gt;0,COUNT($H15:$K15)&gt;0),"Con subactividades: deje vacías las semanas (se calculan solas)"&amp;" · ","")&amp;IF((COUNTIF($H15:$K15,"&gt;1")+COUNTIF($H15:$K15,"&lt;0")+COUNTA($H15:$K15)-COUNT($H15:$K15))&gt;0,"Avance fuera de rango 0-100%"&amp;" · ","")&amp;IF(OR(AND($I15&lt;&gt;"",$I15&lt;$H15),AND($J15&lt;&gt;"",$J15&lt;MAX($H15:$I15)),AND($K15&lt;&gt;"",$K15&lt;MAX($H15:$J15))),"Avance semanal decreciente"&amp;" · ","")&amp;IF(AND(ISNUMBER($F15),$F15&lt;FechaRef,N($L15)&lt;1),"Vencida"&amp;" · ","")&amp;IF(AND(ObsObligatoria="Sí",ISNUMBER($F15),$F15&lt;FechaRef,N($L15)&lt;1,$N15=""),"Vencida sin observación"&amp;" · ",""))="","✔ OK","⚠ "&amp;LEFT(IF(AND($S15="Macro",$B15=""),"Macroactividad vacía"&amp;" · ","")&amp;IF(AND($B15&lt;&gt;"",$C15&lt;&gt;""),"Escriba la subactividad en otra fila, debajo de su macroactividad"&amp;" · ","")&amp;IF(AND($S15="Sub",N($R15)=0),"Subactividad sin macroactividad arriba"&amp;" · ","")&amp;IF($D15="","Sin responsable"&amp;" · ","")&amp;IF($E15="","Sin fecha de inicio"&amp;" · ","")&amp;IF($F15="","Sin fecha límite"&amp;" · ","")&amp;IF(OR(AND($E15&lt;&gt;"",NOT(ISNUMBER($E15))),AND($F15&lt;&gt;"",NOT(ISNUMBER($F15)))),"Fecha no válida"&amp;" · ","")&amp;IF(AND(ISNUMBER($E15),ISNUMBER($F15),$E15&gt;$F15),"Inicio posterior a fecha límite"&amp;" · ","")&amp;IF(AND($S15="Macro",$G15=""),"Peso vacío"&amp;" · ","")&amp;IF(AND($S15="Macro",$G15&lt;&gt;"",OR(NOT(ISNUMBER($G15)),$G15&lt;=0,$G15&gt;1)),"Peso fuera de rango"&amp;" · ","")&amp;IF(AND($S15="Sub",$G15&lt;&gt;""),"Las subactividades no llevan peso"&amp;" · ","")&amp;IF(AND($S15="Macro",ABS(SUMIFS($G$5:$G$1000,$P$5:$P$1000,$P15,$S$5:$S$1000,"Macro")-1)&gt;0.0001),"Pesos del mes suman "&amp;TEXT(SUMIFS($G$5:$G$1000,$P$5:$P$1000,$P15,$S$5:$S$1000,"Macro"),"0%")&amp;" · ","")&amp;IF(AND(N($T15)&gt;0,COUNT($H15:$K15)&gt;0),"Con subactividades: deje vacías las semanas (se calculan solas)"&amp;" · ","")&amp;IF((COUNTIF($H15:$K15,"&gt;1")+COUNTIF($H15:$K15,"&lt;0")+COUNTA($H15:$K15)-COUNT($H15:$K15))&gt;0,"Avance fuera de rango 0-100%"&amp;" · ","")&amp;IF(OR(AND($I15&lt;&gt;"",$I15&lt;$H15),AND($J15&lt;&gt;"",$J15&lt;MAX($H15:$I15)),AND($K15&lt;&gt;"",$K15&lt;MAX($H15:$J15))),"Avance semanal decreciente"&amp;" · ","")&amp;IF(AND(ISNUMBER($F15),$F15&lt;FechaRef,N($L15)&lt;1),"Vencida"&amp;" · ","")&amp;IF(AND(ObsObligatoria="Sí",ISNUMBER($F15),$F15&lt;FechaRef,N($L15)&lt;1,$N15=""),"Vencida sin observación"&amp;" · ",""),LEN(IF(AND($S15="Macro",$B15=""),"Macroactividad vacía"&amp;" · ","")&amp;IF(AND($B15&lt;&gt;"",$C15&lt;&gt;""),"Escriba la subactividad en otra fila, debajo de su macroactividad"&amp;" · ","")&amp;IF(AND($S15="Sub",N($R15)=0),"Subactividad sin macroactividad arriba"&amp;" · ","")&amp;IF($D15="","Sin responsable"&amp;" · ","")&amp;IF($E15="","Sin fecha de inicio"&amp;" · ","")&amp;IF($F15="","Sin fecha límite"&amp;" · ","")&amp;IF(OR(AND($E15&lt;&gt;"",NOT(ISNUMBER($E15))),AND($F15&lt;&gt;"",NOT(ISNUMBER($F15)))),"Fecha no válida"&amp;" · ","")&amp;IF(AND(ISNUMBER($E15),ISNUMBER($F15),$E15&gt;$F15),"Inicio posterior a fecha límite"&amp;" · ","")&amp;IF(AND($S15="Macro",$G15=""),"Peso vacío"&amp;" · ","")&amp;IF(AND($S15="Macro",$G15&lt;&gt;"",OR(NOT(ISNUMBER($G15)),$G15&lt;=0,$G15&gt;1)),"Peso fuera de rango"&amp;" · ","")&amp;IF(AND($S15="Sub",$G15&lt;&gt;""),"Las subactividades no llevan peso"&amp;" · ","")&amp;IF(AND($S15="Macro",ABS(SUMIFS($G$5:$G$1000,$P$5:$P$1000,$P15,$S$5:$S$1000,"Macro")-1)&gt;0.0001),"Pesos del mes suman "&amp;TEXT(SUMIFS($G$5:$G$1000,$P$5:$P$1000,$P15,$S$5:$S$1000,"Macro"),"0%")&amp;" · ","")&amp;IF(AND(N($T15)&gt;0,COUNT($H15:$K15)&gt;0),"Con subactividades: deje vacías las semanas (se calculan solas)"&amp;" · ","")&amp;IF((COUNTIF($H15:$K15,"&gt;1")+COUNTIF($H15:$K15,"&lt;0")+COUNTA($H15:$K15)-COUNT($H15:$K15))&gt;0,"Avance fuera de rango 0-100%"&amp;" · ","")&amp;IF(OR(AND($I15&lt;&gt;"",$I15&lt;$H15),AND($J15&lt;&gt;"",$J15&lt;MAX($H15:$I15)),AND($K15&lt;&gt;"",$K15&lt;MAX($H15:$J15))),"Avance semanal decreciente"&amp;" · ","")&amp;IF(AND(ISNUMBER($F15),$F15&lt;FechaRef,N($L15)&lt;1),"Vencida"&amp;" · ","")&amp;IF(AND(ObsObligatoria="Sí",ISNUMBER($F15),$F15&lt;FechaRef,N($L15)&lt;1,$N15=""),"Vencida sin observación"&amp;" · ",""))-3)))</f>
        <v/>
      </c>
      <c r="P15" s="69">
        <f>IF(NOT((COUNTA($B15:$K15)+COUNTA($N15))&gt;0),"",IF(AND($S15="Sub",N($R15)&gt;0),IF(ISNUMBER(INDEX($E$5:$E$1000,$R15-4)),DATE(YEAR(INDEX($E$5:$E$1000,$R15-4)),MONTH(INDEX($E$5:$E$1000,$R15-4)),1),IF(ISNUMBER(INDEX($F$5:$F$1000,$R15-4)),DATE(YEAR(INDEX($F$5:$F$1000,$R15-4)),MONTH(INDEX($F$5:$F$1000,$R15-4)),1),MesCiclo)),IF(ISNUMBER($E15),DATE(YEAR($E15),MONTH($E15),1),IF(ISNUMBER($F15),DATE(YEAR($F15),MONTH($F15),1),MesCiclo))))</f>
        <v/>
      </c>
      <c r="Q15" s="70">
        <f>IF(OR($P15="",$P15&lt;&gt;MesCiclo),"",COUNTIF($P$5:$P15,MesCiclo))</f>
        <v/>
      </c>
      <c r="R15" s="70">
        <f>IF($S15="","",IF($S15="Macro",ROW(),IFERROR(LOOKUP(2,1/($S$5:$S15="Macro"),ROW($S$5:$S15)),0)))</f>
        <v/>
      </c>
      <c r="S15" s="70">
        <f>IF(NOT((COUNTA($B15:$K15)+COUNTA($N15))&gt;0),"",IF($B15&lt;&gt;"","Macro",IF($C15&lt;&gt;"","Sub","Macro")))</f>
        <v/>
      </c>
      <c r="T15" s="70">
        <f>IF($S15="Macro",COUNTIFS($R$5:$R$1000,ROW(),$S$5:$S$1000,"Sub"),"")</f>
        <v/>
      </c>
      <c r="U15" s="70">
        <f>IF($S15="","",IF(ISNUMBER($H15),$H15,0))</f>
        <v/>
      </c>
      <c r="V15" s="70">
        <f>IF($S15="","",IF(ISNUMBER($I15),$I15,$U15))</f>
        <v/>
      </c>
      <c r="W15" s="70">
        <f>IF($S15="","",IF(ISNUMBER($J15),$J15,$V15))</f>
        <v/>
      </c>
      <c r="X15" s="70">
        <f>IF($S15="","",IF(ISNUMBER($K15),$K15,$W15))</f>
        <v/>
      </c>
      <c r="Y15" s="70">
        <f>IF($S15="","",IF(N($T15)&gt;0,AVERAGEIFS($U$5:$U$1000,$R$5:$R$1000,ROW(),$S$5:$S$1000,"Sub"),$U15))</f>
        <v/>
      </c>
      <c r="Z15" s="70">
        <f>IF($S15="","",IF(N($T15)&gt;0,AVERAGEIFS($V$5:$V$1000,$R$5:$R$1000,ROW(),$S$5:$S$1000,"Sub"),$V15))</f>
        <v/>
      </c>
      <c r="AA15" s="70">
        <f>IF($S15="","",IF(N($T15)&gt;0,AVERAGEIFS($W$5:$W$1000,$R$5:$R$1000,ROW(),$S$5:$S$1000,"Sub"),$W15))</f>
        <v/>
      </c>
      <c r="AB15" s="70">
        <f>IF($S15="","",IF(N($T15)&gt;0,AVERAGEIFS($X$5:$X$1000,$R$5:$R$1000,ROW(),$S$5:$S$1000,"Sub"),$X15))</f>
        <v/>
      </c>
    </row>
    <row r="16">
      <c r="A16" s="61">
        <f>IF(NOT((COUNTA($B16:$K16)+COUNTA($N16))&gt;0),"",IF($S16="Macro",COUNTIFS($S$5:$S16,"Macro",$P$5:$P16,$P16),IF(N($R16)=0,"?",COUNTIFS(INDEX($S$5:$S$1000,1):INDEX($S$5:$S$1000,$R16-4),"Macro",INDEX($P$5:$P$1000,1):INDEX($P$5:$P$1000,$R16-4),INDEX($P$5:$P$1000,$R16-4))&amp;"."&amp;COUNTIFS($R$5:$R16,$R16,$S$5:$S16,"Sub"))))</f>
        <v/>
      </c>
      <c r="B16" s="62" t="n"/>
      <c r="C16" s="63" t="n"/>
      <c r="D16" s="62" t="n"/>
      <c r="E16" s="64" t="n"/>
      <c r="F16" s="64" t="n"/>
      <c r="G16" s="65" t="n"/>
      <c r="H16" s="66" t="n"/>
      <c r="I16" s="66" t="n"/>
      <c r="J16" s="66" t="n"/>
      <c r="K16" s="66" t="n"/>
      <c r="L16" s="67">
        <f>IF(NOT((COUNTA($B16:$K16)+COUNTA($N16))&gt;0),"",IF(N($T16)&gt;0,$AB16,IFERROR(LOOKUP(2,1/(H16:K16&lt;&gt;""),H16:K16),0)))</f>
        <v/>
      </c>
      <c r="M16" s="61">
        <f>IF(L16="","",IF(L16&gt;=1,"Completado",IF(L16&gt;0,"En curso","Pendiente")))</f>
        <v/>
      </c>
      <c r="N16" s="62" t="n"/>
      <c r="O16" s="68">
        <f>IF(NOT((COUNTA($B16:$K16)+COUNTA($N16))&gt;0),"",IF((IF(AND($S16="Macro",$B16=""),"Macroactividad vacía"&amp;" · ","")&amp;IF(AND($B16&lt;&gt;"",$C16&lt;&gt;""),"Escriba la subactividad en otra fila, debajo de su macroactividad"&amp;" · ","")&amp;IF(AND($S16="Sub",N($R16)=0),"Subactividad sin macroactividad arriba"&amp;" · ","")&amp;IF($D16="","Sin responsable"&amp;" · ","")&amp;IF($E16="","Sin fecha de inicio"&amp;" · ","")&amp;IF($F16="","Sin fecha límite"&amp;" · ","")&amp;IF(OR(AND($E16&lt;&gt;"",NOT(ISNUMBER($E16))),AND($F16&lt;&gt;"",NOT(ISNUMBER($F16)))),"Fecha no válida"&amp;" · ","")&amp;IF(AND(ISNUMBER($E16),ISNUMBER($F16),$E16&gt;$F16),"Inicio posterior a fecha límite"&amp;" · ","")&amp;IF(AND($S16="Macro",$G16=""),"Peso vacío"&amp;" · ","")&amp;IF(AND($S16="Macro",$G16&lt;&gt;"",OR(NOT(ISNUMBER($G16)),$G16&lt;=0,$G16&gt;1)),"Peso fuera de rango"&amp;" · ","")&amp;IF(AND($S16="Sub",$G16&lt;&gt;""),"Las subactividades no llevan peso"&amp;" · ","")&amp;IF(AND($S16="Macro",ABS(SUMIFS($G$5:$G$1000,$P$5:$P$1000,$P16,$S$5:$S$1000,"Macro")-1)&gt;0.0001),"Pesos del mes suman "&amp;TEXT(SUMIFS($G$5:$G$1000,$P$5:$P$1000,$P16,$S$5:$S$1000,"Macro"),"0%")&amp;" · ","")&amp;IF(AND(N($T16)&gt;0,COUNT($H16:$K16)&gt;0),"Con subactividades: deje vacías las semanas (se calculan solas)"&amp;" · ","")&amp;IF((COUNTIF($H16:$K16,"&gt;1")+COUNTIF($H16:$K16,"&lt;0")+COUNTA($H16:$K16)-COUNT($H16:$K16))&gt;0,"Avance fuera de rango 0-100%"&amp;" · ","")&amp;IF(OR(AND($I16&lt;&gt;"",$I16&lt;$H16),AND($J16&lt;&gt;"",$J16&lt;MAX($H16:$I16)),AND($K16&lt;&gt;"",$K16&lt;MAX($H16:$J16))),"Avance semanal decreciente"&amp;" · ","")&amp;IF(AND(ISNUMBER($F16),$F16&lt;FechaRef,N($L16)&lt;1),"Vencida"&amp;" · ","")&amp;IF(AND(ObsObligatoria="Sí",ISNUMBER($F16),$F16&lt;FechaRef,N($L16)&lt;1,$N16=""),"Vencida sin observación"&amp;" · ",""))="","✔ OK","⚠ "&amp;LEFT(IF(AND($S16="Macro",$B16=""),"Macroactividad vacía"&amp;" · ","")&amp;IF(AND($B16&lt;&gt;"",$C16&lt;&gt;""),"Escriba la subactividad en otra fila, debajo de su macroactividad"&amp;" · ","")&amp;IF(AND($S16="Sub",N($R16)=0),"Subactividad sin macroactividad arriba"&amp;" · ","")&amp;IF($D16="","Sin responsable"&amp;" · ","")&amp;IF($E16="","Sin fecha de inicio"&amp;" · ","")&amp;IF($F16="","Sin fecha límite"&amp;" · ","")&amp;IF(OR(AND($E16&lt;&gt;"",NOT(ISNUMBER($E16))),AND($F16&lt;&gt;"",NOT(ISNUMBER($F16)))),"Fecha no válida"&amp;" · ","")&amp;IF(AND(ISNUMBER($E16),ISNUMBER($F16),$E16&gt;$F16),"Inicio posterior a fecha límite"&amp;" · ","")&amp;IF(AND($S16="Macro",$G16=""),"Peso vacío"&amp;" · ","")&amp;IF(AND($S16="Macro",$G16&lt;&gt;"",OR(NOT(ISNUMBER($G16)),$G16&lt;=0,$G16&gt;1)),"Peso fuera de rango"&amp;" · ","")&amp;IF(AND($S16="Sub",$G16&lt;&gt;""),"Las subactividades no llevan peso"&amp;" · ","")&amp;IF(AND($S16="Macro",ABS(SUMIFS($G$5:$G$1000,$P$5:$P$1000,$P16,$S$5:$S$1000,"Macro")-1)&gt;0.0001),"Pesos del mes suman "&amp;TEXT(SUMIFS($G$5:$G$1000,$P$5:$P$1000,$P16,$S$5:$S$1000,"Macro"),"0%")&amp;" · ","")&amp;IF(AND(N($T16)&gt;0,COUNT($H16:$K16)&gt;0),"Con subactividades: deje vacías las semanas (se calculan solas)"&amp;" · ","")&amp;IF((COUNTIF($H16:$K16,"&gt;1")+COUNTIF($H16:$K16,"&lt;0")+COUNTA($H16:$K16)-COUNT($H16:$K16))&gt;0,"Avance fuera de rango 0-100%"&amp;" · ","")&amp;IF(OR(AND($I16&lt;&gt;"",$I16&lt;$H16),AND($J16&lt;&gt;"",$J16&lt;MAX($H16:$I16)),AND($K16&lt;&gt;"",$K16&lt;MAX($H16:$J16))),"Avance semanal decreciente"&amp;" · ","")&amp;IF(AND(ISNUMBER($F16),$F16&lt;FechaRef,N($L16)&lt;1),"Vencida"&amp;" · ","")&amp;IF(AND(ObsObligatoria="Sí",ISNUMBER($F16),$F16&lt;FechaRef,N($L16)&lt;1,$N16=""),"Vencida sin observación"&amp;" · ",""),LEN(IF(AND($S16="Macro",$B16=""),"Macroactividad vacía"&amp;" · ","")&amp;IF(AND($B16&lt;&gt;"",$C16&lt;&gt;""),"Escriba la subactividad en otra fila, debajo de su macroactividad"&amp;" · ","")&amp;IF(AND($S16="Sub",N($R16)=0),"Subactividad sin macroactividad arriba"&amp;" · ","")&amp;IF($D16="","Sin responsable"&amp;" · ","")&amp;IF($E16="","Sin fecha de inicio"&amp;" · ","")&amp;IF($F16="","Sin fecha límite"&amp;" · ","")&amp;IF(OR(AND($E16&lt;&gt;"",NOT(ISNUMBER($E16))),AND($F16&lt;&gt;"",NOT(ISNUMBER($F16)))),"Fecha no válida"&amp;" · ","")&amp;IF(AND(ISNUMBER($E16),ISNUMBER($F16),$E16&gt;$F16),"Inicio posterior a fecha límite"&amp;" · ","")&amp;IF(AND($S16="Macro",$G16=""),"Peso vacío"&amp;" · ","")&amp;IF(AND($S16="Macro",$G16&lt;&gt;"",OR(NOT(ISNUMBER($G16)),$G16&lt;=0,$G16&gt;1)),"Peso fuera de rango"&amp;" · ","")&amp;IF(AND($S16="Sub",$G16&lt;&gt;""),"Las subactividades no llevan peso"&amp;" · ","")&amp;IF(AND($S16="Macro",ABS(SUMIFS($G$5:$G$1000,$P$5:$P$1000,$P16,$S$5:$S$1000,"Macro")-1)&gt;0.0001),"Pesos del mes suman "&amp;TEXT(SUMIFS($G$5:$G$1000,$P$5:$P$1000,$P16,$S$5:$S$1000,"Macro"),"0%")&amp;" · ","")&amp;IF(AND(N($T16)&gt;0,COUNT($H16:$K16)&gt;0),"Con subactividades: deje vacías las semanas (se calculan solas)"&amp;" · ","")&amp;IF((COUNTIF($H16:$K16,"&gt;1")+COUNTIF($H16:$K16,"&lt;0")+COUNTA($H16:$K16)-COUNT($H16:$K16))&gt;0,"Avance fuera de rango 0-100%"&amp;" · ","")&amp;IF(OR(AND($I16&lt;&gt;"",$I16&lt;$H16),AND($J16&lt;&gt;"",$J16&lt;MAX($H16:$I16)),AND($K16&lt;&gt;"",$K16&lt;MAX($H16:$J16))),"Avance semanal decreciente"&amp;" · ","")&amp;IF(AND(ISNUMBER($F16),$F16&lt;FechaRef,N($L16)&lt;1),"Vencida"&amp;" · ","")&amp;IF(AND(ObsObligatoria="Sí",ISNUMBER($F16),$F16&lt;FechaRef,N($L16)&lt;1,$N16=""),"Vencida sin observación"&amp;" · ",""))-3)))</f>
        <v/>
      </c>
      <c r="P16" s="69">
        <f>IF(NOT((COUNTA($B16:$K16)+COUNTA($N16))&gt;0),"",IF(AND($S16="Sub",N($R16)&gt;0),IF(ISNUMBER(INDEX($E$5:$E$1000,$R16-4)),DATE(YEAR(INDEX($E$5:$E$1000,$R16-4)),MONTH(INDEX($E$5:$E$1000,$R16-4)),1),IF(ISNUMBER(INDEX($F$5:$F$1000,$R16-4)),DATE(YEAR(INDEX($F$5:$F$1000,$R16-4)),MONTH(INDEX($F$5:$F$1000,$R16-4)),1),MesCiclo)),IF(ISNUMBER($E16),DATE(YEAR($E16),MONTH($E16),1),IF(ISNUMBER($F16),DATE(YEAR($F16),MONTH($F16),1),MesCiclo))))</f>
        <v/>
      </c>
      <c r="Q16" s="70">
        <f>IF(OR($P16="",$P16&lt;&gt;MesCiclo),"",COUNTIF($P$5:$P16,MesCiclo))</f>
        <v/>
      </c>
      <c r="R16" s="70">
        <f>IF($S16="","",IF($S16="Macro",ROW(),IFERROR(LOOKUP(2,1/($S$5:$S16="Macro"),ROW($S$5:$S16)),0)))</f>
        <v/>
      </c>
      <c r="S16" s="70">
        <f>IF(NOT((COUNTA($B16:$K16)+COUNTA($N16))&gt;0),"",IF($B16&lt;&gt;"","Macro",IF($C16&lt;&gt;"","Sub","Macro")))</f>
        <v/>
      </c>
      <c r="T16" s="70">
        <f>IF($S16="Macro",COUNTIFS($R$5:$R$1000,ROW(),$S$5:$S$1000,"Sub"),"")</f>
        <v/>
      </c>
      <c r="U16" s="70">
        <f>IF($S16="","",IF(ISNUMBER($H16),$H16,0))</f>
        <v/>
      </c>
      <c r="V16" s="70">
        <f>IF($S16="","",IF(ISNUMBER($I16),$I16,$U16))</f>
        <v/>
      </c>
      <c r="W16" s="70">
        <f>IF($S16="","",IF(ISNUMBER($J16),$J16,$V16))</f>
        <v/>
      </c>
      <c r="X16" s="70">
        <f>IF($S16="","",IF(ISNUMBER($K16),$K16,$W16))</f>
        <v/>
      </c>
      <c r="Y16" s="70">
        <f>IF($S16="","",IF(N($T16)&gt;0,AVERAGEIFS($U$5:$U$1000,$R$5:$R$1000,ROW(),$S$5:$S$1000,"Sub"),$U16))</f>
        <v/>
      </c>
      <c r="Z16" s="70">
        <f>IF($S16="","",IF(N($T16)&gt;0,AVERAGEIFS($V$5:$V$1000,$R$5:$R$1000,ROW(),$S$5:$S$1000,"Sub"),$V16))</f>
        <v/>
      </c>
      <c r="AA16" s="70">
        <f>IF($S16="","",IF(N($T16)&gt;0,AVERAGEIFS($W$5:$W$1000,$R$5:$R$1000,ROW(),$S$5:$S$1000,"Sub"),$W16))</f>
        <v/>
      </c>
      <c r="AB16" s="70">
        <f>IF($S16="","",IF(N($T16)&gt;0,AVERAGEIFS($X$5:$X$1000,$R$5:$R$1000,ROW(),$S$5:$S$1000,"Sub"),$X16))</f>
        <v/>
      </c>
    </row>
    <row r="17">
      <c r="A17" s="61">
        <f>IF(NOT((COUNTA($B17:$K17)+COUNTA($N17))&gt;0),"",IF($S17="Macro",COUNTIFS($S$5:$S17,"Macro",$P$5:$P17,$P17),IF(N($R17)=0,"?",COUNTIFS(INDEX($S$5:$S$1000,1):INDEX($S$5:$S$1000,$R17-4),"Macro",INDEX($P$5:$P$1000,1):INDEX($P$5:$P$1000,$R17-4),INDEX($P$5:$P$1000,$R17-4))&amp;"."&amp;COUNTIFS($R$5:$R17,$R17,$S$5:$S17,"Sub"))))</f>
        <v/>
      </c>
      <c r="B17" s="62" t="n"/>
      <c r="C17" s="63" t="n"/>
      <c r="D17" s="62" t="n"/>
      <c r="E17" s="64" t="n"/>
      <c r="F17" s="64" t="n"/>
      <c r="G17" s="65" t="n"/>
      <c r="H17" s="66" t="n"/>
      <c r="I17" s="66" t="n"/>
      <c r="J17" s="66" t="n"/>
      <c r="K17" s="66" t="n"/>
      <c r="L17" s="67">
        <f>IF(NOT((COUNTA($B17:$K17)+COUNTA($N17))&gt;0),"",IF(N($T17)&gt;0,$AB17,IFERROR(LOOKUP(2,1/(H17:K17&lt;&gt;""),H17:K17),0)))</f>
        <v/>
      </c>
      <c r="M17" s="61">
        <f>IF(L17="","",IF(L17&gt;=1,"Completado",IF(L17&gt;0,"En curso","Pendiente")))</f>
        <v/>
      </c>
      <c r="N17" s="62" t="n"/>
      <c r="O17" s="68">
        <f>IF(NOT((COUNTA($B17:$K17)+COUNTA($N17))&gt;0),"",IF((IF(AND($S17="Macro",$B17=""),"Macroactividad vacía"&amp;" · ","")&amp;IF(AND($B17&lt;&gt;"",$C17&lt;&gt;""),"Escriba la subactividad en otra fila, debajo de su macroactividad"&amp;" · ","")&amp;IF(AND($S17="Sub",N($R17)=0),"Subactividad sin macroactividad arriba"&amp;" · ","")&amp;IF($D17="","Sin responsable"&amp;" · ","")&amp;IF($E17="","Sin fecha de inicio"&amp;" · ","")&amp;IF($F17="","Sin fecha límite"&amp;" · ","")&amp;IF(OR(AND($E17&lt;&gt;"",NOT(ISNUMBER($E17))),AND($F17&lt;&gt;"",NOT(ISNUMBER($F17)))),"Fecha no válida"&amp;" · ","")&amp;IF(AND(ISNUMBER($E17),ISNUMBER($F17),$E17&gt;$F17),"Inicio posterior a fecha límite"&amp;" · ","")&amp;IF(AND($S17="Macro",$G17=""),"Peso vacío"&amp;" · ","")&amp;IF(AND($S17="Macro",$G17&lt;&gt;"",OR(NOT(ISNUMBER($G17)),$G17&lt;=0,$G17&gt;1)),"Peso fuera de rango"&amp;" · ","")&amp;IF(AND($S17="Sub",$G17&lt;&gt;""),"Las subactividades no llevan peso"&amp;" · ","")&amp;IF(AND($S17="Macro",ABS(SUMIFS($G$5:$G$1000,$P$5:$P$1000,$P17,$S$5:$S$1000,"Macro")-1)&gt;0.0001),"Pesos del mes suman "&amp;TEXT(SUMIFS($G$5:$G$1000,$P$5:$P$1000,$P17,$S$5:$S$1000,"Macro"),"0%")&amp;" · ","")&amp;IF(AND(N($T17)&gt;0,COUNT($H17:$K17)&gt;0),"Con subactividades: deje vacías las semanas (se calculan solas)"&amp;" · ","")&amp;IF((COUNTIF($H17:$K17,"&gt;1")+COUNTIF($H17:$K17,"&lt;0")+COUNTA($H17:$K17)-COUNT($H17:$K17))&gt;0,"Avance fuera de rango 0-100%"&amp;" · ","")&amp;IF(OR(AND($I17&lt;&gt;"",$I17&lt;$H17),AND($J17&lt;&gt;"",$J17&lt;MAX($H17:$I17)),AND($K17&lt;&gt;"",$K17&lt;MAX($H17:$J17))),"Avance semanal decreciente"&amp;" · ","")&amp;IF(AND(ISNUMBER($F17),$F17&lt;FechaRef,N($L17)&lt;1),"Vencida"&amp;" · ","")&amp;IF(AND(ObsObligatoria="Sí",ISNUMBER($F17),$F17&lt;FechaRef,N($L17)&lt;1,$N17=""),"Vencida sin observación"&amp;" · ",""))="","✔ OK","⚠ "&amp;LEFT(IF(AND($S17="Macro",$B17=""),"Macroactividad vacía"&amp;" · ","")&amp;IF(AND($B17&lt;&gt;"",$C17&lt;&gt;""),"Escriba la subactividad en otra fila, debajo de su macroactividad"&amp;" · ","")&amp;IF(AND($S17="Sub",N($R17)=0),"Subactividad sin macroactividad arriba"&amp;" · ","")&amp;IF($D17="","Sin responsable"&amp;" · ","")&amp;IF($E17="","Sin fecha de inicio"&amp;" · ","")&amp;IF($F17="","Sin fecha límite"&amp;" · ","")&amp;IF(OR(AND($E17&lt;&gt;"",NOT(ISNUMBER($E17))),AND($F17&lt;&gt;"",NOT(ISNUMBER($F17)))),"Fecha no válida"&amp;" · ","")&amp;IF(AND(ISNUMBER($E17),ISNUMBER($F17),$E17&gt;$F17),"Inicio posterior a fecha límite"&amp;" · ","")&amp;IF(AND($S17="Macro",$G17=""),"Peso vacío"&amp;" · ","")&amp;IF(AND($S17="Macro",$G17&lt;&gt;"",OR(NOT(ISNUMBER($G17)),$G17&lt;=0,$G17&gt;1)),"Peso fuera de rango"&amp;" · ","")&amp;IF(AND($S17="Sub",$G17&lt;&gt;""),"Las subactividades no llevan peso"&amp;" · ","")&amp;IF(AND($S17="Macro",ABS(SUMIFS($G$5:$G$1000,$P$5:$P$1000,$P17,$S$5:$S$1000,"Macro")-1)&gt;0.0001),"Pesos del mes suman "&amp;TEXT(SUMIFS($G$5:$G$1000,$P$5:$P$1000,$P17,$S$5:$S$1000,"Macro"),"0%")&amp;" · ","")&amp;IF(AND(N($T17)&gt;0,COUNT($H17:$K17)&gt;0),"Con subactividades: deje vacías las semanas (se calculan solas)"&amp;" · ","")&amp;IF((COUNTIF($H17:$K17,"&gt;1")+COUNTIF($H17:$K17,"&lt;0")+COUNTA($H17:$K17)-COUNT($H17:$K17))&gt;0,"Avance fuera de rango 0-100%"&amp;" · ","")&amp;IF(OR(AND($I17&lt;&gt;"",$I17&lt;$H17),AND($J17&lt;&gt;"",$J17&lt;MAX($H17:$I17)),AND($K17&lt;&gt;"",$K17&lt;MAX($H17:$J17))),"Avance semanal decreciente"&amp;" · ","")&amp;IF(AND(ISNUMBER($F17),$F17&lt;FechaRef,N($L17)&lt;1),"Vencida"&amp;" · ","")&amp;IF(AND(ObsObligatoria="Sí",ISNUMBER($F17),$F17&lt;FechaRef,N($L17)&lt;1,$N17=""),"Vencida sin observación"&amp;" · ",""),LEN(IF(AND($S17="Macro",$B17=""),"Macroactividad vacía"&amp;" · ","")&amp;IF(AND($B17&lt;&gt;"",$C17&lt;&gt;""),"Escriba la subactividad en otra fila, debajo de su macroactividad"&amp;" · ","")&amp;IF(AND($S17="Sub",N($R17)=0),"Subactividad sin macroactividad arriba"&amp;" · ","")&amp;IF($D17="","Sin responsable"&amp;" · ","")&amp;IF($E17="","Sin fecha de inicio"&amp;" · ","")&amp;IF($F17="","Sin fecha límite"&amp;" · ","")&amp;IF(OR(AND($E17&lt;&gt;"",NOT(ISNUMBER($E17))),AND($F17&lt;&gt;"",NOT(ISNUMBER($F17)))),"Fecha no válida"&amp;" · ","")&amp;IF(AND(ISNUMBER($E17),ISNUMBER($F17),$E17&gt;$F17),"Inicio posterior a fecha límite"&amp;" · ","")&amp;IF(AND($S17="Macro",$G17=""),"Peso vacío"&amp;" · ","")&amp;IF(AND($S17="Macro",$G17&lt;&gt;"",OR(NOT(ISNUMBER($G17)),$G17&lt;=0,$G17&gt;1)),"Peso fuera de rango"&amp;" · ","")&amp;IF(AND($S17="Sub",$G17&lt;&gt;""),"Las subactividades no llevan peso"&amp;" · ","")&amp;IF(AND($S17="Macro",ABS(SUMIFS($G$5:$G$1000,$P$5:$P$1000,$P17,$S$5:$S$1000,"Macro")-1)&gt;0.0001),"Pesos del mes suman "&amp;TEXT(SUMIFS($G$5:$G$1000,$P$5:$P$1000,$P17,$S$5:$S$1000,"Macro"),"0%")&amp;" · ","")&amp;IF(AND(N($T17)&gt;0,COUNT($H17:$K17)&gt;0),"Con subactividades: deje vacías las semanas (se calculan solas)"&amp;" · ","")&amp;IF((COUNTIF($H17:$K17,"&gt;1")+COUNTIF($H17:$K17,"&lt;0")+COUNTA($H17:$K17)-COUNT($H17:$K17))&gt;0,"Avance fuera de rango 0-100%"&amp;" · ","")&amp;IF(OR(AND($I17&lt;&gt;"",$I17&lt;$H17),AND($J17&lt;&gt;"",$J17&lt;MAX($H17:$I17)),AND($K17&lt;&gt;"",$K17&lt;MAX($H17:$J17))),"Avance semanal decreciente"&amp;" · ","")&amp;IF(AND(ISNUMBER($F17),$F17&lt;FechaRef,N($L17)&lt;1),"Vencida"&amp;" · ","")&amp;IF(AND(ObsObligatoria="Sí",ISNUMBER($F17),$F17&lt;FechaRef,N($L17)&lt;1,$N17=""),"Vencida sin observación"&amp;" · ",""))-3)))</f>
        <v/>
      </c>
      <c r="P17" s="69">
        <f>IF(NOT((COUNTA($B17:$K17)+COUNTA($N17))&gt;0),"",IF(AND($S17="Sub",N($R17)&gt;0),IF(ISNUMBER(INDEX($E$5:$E$1000,$R17-4)),DATE(YEAR(INDEX($E$5:$E$1000,$R17-4)),MONTH(INDEX($E$5:$E$1000,$R17-4)),1),IF(ISNUMBER(INDEX($F$5:$F$1000,$R17-4)),DATE(YEAR(INDEX($F$5:$F$1000,$R17-4)),MONTH(INDEX($F$5:$F$1000,$R17-4)),1),MesCiclo)),IF(ISNUMBER($E17),DATE(YEAR($E17),MONTH($E17),1),IF(ISNUMBER($F17),DATE(YEAR($F17),MONTH($F17),1),MesCiclo))))</f>
        <v/>
      </c>
      <c r="Q17" s="70">
        <f>IF(OR($P17="",$P17&lt;&gt;MesCiclo),"",COUNTIF($P$5:$P17,MesCiclo))</f>
        <v/>
      </c>
      <c r="R17" s="70">
        <f>IF($S17="","",IF($S17="Macro",ROW(),IFERROR(LOOKUP(2,1/($S$5:$S17="Macro"),ROW($S$5:$S17)),0)))</f>
        <v/>
      </c>
      <c r="S17" s="70">
        <f>IF(NOT((COUNTA($B17:$K17)+COUNTA($N17))&gt;0),"",IF($B17&lt;&gt;"","Macro",IF($C17&lt;&gt;"","Sub","Macro")))</f>
        <v/>
      </c>
      <c r="T17" s="70">
        <f>IF($S17="Macro",COUNTIFS($R$5:$R$1000,ROW(),$S$5:$S$1000,"Sub"),"")</f>
        <v/>
      </c>
      <c r="U17" s="70">
        <f>IF($S17="","",IF(ISNUMBER($H17),$H17,0))</f>
        <v/>
      </c>
      <c r="V17" s="70">
        <f>IF($S17="","",IF(ISNUMBER($I17),$I17,$U17))</f>
        <v/>
      </c>
      <c r="W17" s="70">
        <f>IF($S17="","",IF(ISNUMBER($J17),$J17,$V17))</f>
        <v/>
      </c>
      <c r="X17" s="70">
        <f>IF($S17="","",IF(ISNUMBER($K17),$K17,$W17))</f>
        <v/>
      </c>
      <c r="Y17" s="70">
        <f>IF($S17="","",IF(N($T17)&gt;0,AVERAGEIFS($U$5:$U$1000,$R$5:$R$1000,ROW(),$S$5:$S$1000,"Sub"),$U17))</f>
        <v/>
      </c>
      <c r="Z17" s="70">
        <f>IF($S17="","",IF(N($T17)&gt;0,AVERAGEIFS($V$5:$V$1000,$R$5:$R$1000,ROW(),$S$5:$S$1000,"Sub"),$V17))</f>
        <v/>
      </c>
      <c r="AA17" s="70">
        <f>IF($S17="","",IF(N($T17)&gt;0,AVERAGEIFS($W$5:$W$1000,$R$5:$R$1000,ROW(),$S$5:$S$1000,"Sub"),$W17))</f>
        <v/>
      </c>
      <c r="AB17" s="70">
        <f>IF($S17="","",IF(N($T17)&gt;0,AVERAGEIFS($X$5:$X$1000,$R$5:$R$1000,ROW(),$S$5:$S$1000,"Sub"),$X17))</f>
        <v/>
      </c>
    </row>
    <row r="18">
      <c r="A18" s="61">
        <f>IF(NOT((COUNTA($B18:$K18)+COUNTA($N18))&gt;0),"",IF($S18="Macro",COUNTIFS($S$5:$S18,"Macro",$P$5:$P18,$P18),IF(N($R18)=0,"?",COUNTIFS(INDEX($S$5:$S$1000,1):INDEX($S$5:$S$1000,$R18-4),"Macro",INDEX($P$5:$P$1000,1):INDEX($P$5:$P$1000,$R18-4),INDEX($P$5:$P$1000,$R18-4))&amp;"."&amp;COUNTIFS($R$5:$R18,$R18,$S$5:$S18,"Sub"))))</f>
        <v/>
      </c>
      <c r="B18" s="62" t="n"/>
      <c r="C18" s="63" t="n"/>
      <c r="D18" s="62" t="n"/>
      <c r="E18" s="64" t="n"/>
      <c r="F18" s="64" t="n"/>
      <c r="G18" s="65" t="n"/>
      <c r="H18" s="66" t="n"/>
      <c r="I18" s="66" t="n"/>
      <c r="J18" s="66" t="n"/>
      <c r="K18" s="66" t="n"/>
      <c r="L18" s="67">
        <f>IF(NOT((COUNTA($B18:$K18)+COUNTA($N18))&gt;0),"",IF(N($T18)&gt;0,$AB18,IFERROR(LOOKUP(2,1/(H18:K18&lt;&gt;""),H18:K18),0)))</f>
        <v/>
      </c>
      <c r="M18" s="61">
        <f>IF(L18="","",IF(L18&gt;=1,"Completado",IF(L18&gt;0,"En curso","Pendiente")))</f>
        <v/>
      </c>
      <c r="N18" s="62" t="n"/>
      <c r="O18" s="68">
        <f>IF(NOT((COUNTA($B18:$K18)+COUNTA($N18))&gt;0),"",IF((IF(AND($S18="Macro",$B18=""),"Macroactividad vacía"&amp;" · ","")&amp;IF(AND($B18&lt;&gt;"",$C18&lt;&gt;""),"Escriba la subactividad en otra fila, debajo de su macroactividad"&amp;" · ","")&amp;IF(AND($S18="Sub",N($R18)=0),"Subactividad sin macroactividad arriba"&amp;" · ","")&amp;IF($D18="","Sin responsable"&amp;" · ","")&amp;IF($E18="","Sin fecha de inicio"&amp;" · ","")&amp;IF($F18="","Sin fecha límite"&amp;" · ","")&amp;IF(OR(AND($E18&lt;&gt;"",NOT(ISNUMBER($E18))),AND($F18&lt;&gt;"",NOT(ISNUMBER($F18)))),"Fecha no válida"&amp;" · ","")&amp;IF(AND(ISNUMBER($E18),ISNUMBER($F18),$E18&gt;$F18),"Inicio posterior a fecha límite"&amp;" · ","")&amp;IF(AND($S18="Macro",$G18=""),"Peso vacío"&amp;" · ","")&amp;IF(AND($S18="Macro",$G18&lt;&gt;"",OR(NOT(ISNUMBER($G18)),$G18&lt;=0,$G18&gt;1)),"Peso fuera de rango"&amp;" · ","")&amp;IF(AND($S18="Sub",$G18&lt;&gt;""),"Las subactividades no llevan peso"&amp;" · ","")&amp;IF(AND($S18="Macro",ABS(SUMIFS($G$5:$G$1000,$P$5:$P$1000,$P18,$S$5:$S$1000,"Macro")-1)&gt;0.0001),"Pesos del mes suman "&amp;TEXT(SUMIFS($G$5:$G$1000,$P$5:$P$1000,$P18,$S$5:$S$1000,"Macro"),"0%")&amp;" · ","")&amp;IF(AND(N($T18)&gt;0,COUNT($H18:$K18)&gt;0),"Con subactividades: deje vacías las semanas (se calculan solas)"&amp;" · ","")&amp;IF((COUNTIF($H18:$K18,"&gt;1")+COUNTIF($H18:$K18,"&lt;0")+COUNTA($H18:$K18)-COUNT($H18:$K18))&gt;0,"Avance fuera de rango 0-100%"&amp;" · ","")&amp;IF(OR(AND($I18&lt;&gt;"",$I18&lt;$H18),AND($J18&lt;&gt;"",$J18&lt;MAX($H18:$I18)),AND($K18&lt;&gt;"",$K18&lt;MAX($H18:$J18))),"Avance semanal decreciente"&amp;" · ","")&amp;IF(AND(ISNUMBER($F18),$F18&lt;FechaRef,N($L18)&lt;1),"Vencida"&amp;" · ","")&amp;IF(AND(ObsObligatoria="Sí",ISNUMBER($F18),$F18&lt;FechaRef,N($L18)&lt;1,$N18=""),"Vencida sin observación"&amp;" · ",""))="","✔ OK","⚠ "&amp;LEFT(IF(AND($S18="Macro",$B18=""),"Macroactividad vacía"&amp;" · ","")&amp;IF(AND($B18&lt;&gt;"",$C18&lt;&gt;""),"Escriba la subactividad en otra fila, debajo de su macroactividad"&amp;" · ","")&amp;IF(AND($S18="Sub",N($R18)=0),"Subactividad sin macroactividad arriba"&amp;" · ","")&amp;IF($D18="","Sin responsable"&amp;" · ","")&amp;IF($E18="","Sin fecha de inicio"&amp;" · ","")&amp;IF($F18="","Sin fecha límite"&amp;" · ","")&amp;IF(OR(AND($E18&lt;&gt;"",NOT(ISNUMBER($E18))),AND($F18&lt;&gt;"",NOT(ISNUMBER($F18)))),"Fecha no válida"&amp;" · ","")&amp;IF(AND(ISNUMBER($E18),ISNUMBER($F18),$E18&gt;$F18),"Inicio posterior a fecha límite"&amp;" · ","")&amp;IF(AND($S18="Macro",$G18=""),"Peso vacío"&amp;" · ","")&amp;IF(AND($S18="Macro",$G18&lt;&gt;"",OR(NOT(ISNUMBER($G18)),$G18&lt;=0,$G18&gt;1)),"Peso fuera de rango"&amp;" · ","")&amp;IF(AND($S18="Sub",$G18&lt;&gt;""),"Las subactividades no llevan peso"&amp;" · ","")&amp;IF(AND($S18="Macro",ABS(SUMIFS($G$5:$G$1000,$P$5:$P$1000,$P18,$S$5:$S$1000,"Macro")-1)&gt;0.0001),"Pesos del mes suman "&amp;TEXT(SUMIFS($G$5:$G$1000,$P$5:$P$1000,$P18,$S$5:$S$1000,"Macro"),"0%")&amp;" · ","")&amp;IF(AND(N($T18)&gt;0,COUNT($H18:$K18)&gt;0),"Con subactividades: deje vacías las semanas (se calculan solas)"&amp;" · ","")&amp;IF((COUNTIF($H18:$K18,"&gt;1")+COUNTIF($H18:$K18,"&lt;0")+COUNTA($H18:$K18)-COUNT($H18:$K18))&gt;0,"Avance fuera de rango 0-100%"&amp;" · ","")&amp;IF(OR(AND($I18&lt;&gt;"",$I18&lt;$H18),AND($J18&lt;&gt;"",$J18&lt;MAX($H18:$I18)),AND($K18&lt;&gt;"",$K18&lt;MAX($H18:$J18))),"Avance semanal decreciente"&amp;" · ","")&amp;IF(AND(ISNUMBER($F18),$F18&lt;FechaRef,N($L18)&lt;1),"Vencida"&amp;" · ","")&amp;IF(AND(ObsObligatoria="Sí",ISNUMBER($F18),$F18&lt;FechaRef,N($L18)&lt;1,$N18=""),"Vencida sin observación"&amp;" · ",""),LEN(IF(AND($S18="Macro",$B18=""),"Macroactividad vacía"&amp;" · ","")&amp;IF(AND($B18&lt;&gt;"",$C18&lt;&gt;""),"Escriba la subactividad en otra fila, debajo de su macroactividad"&amp;" · ","")&amp;IF(AND($S18="Sub",N($R18)=0),"Subactividad sin macroactividad arriba"&amp;" · ","")&amp;IF($D18="","Sin responsable"&amp;" · ","")&amp;IF($E18="","Sin fecha de inicio"&amp;" · ","")&amp;IF($F18="","Sin fecha límite"&amp;" · ","")&amp;IF(OR(AND($E18&lt;&gt;"",NOT(ISNUMBER($E18))),AND($F18&lt;&gt;"",NOT(ISNUMBER($F18)))),"Fecha no válida"&amp;" · ","")&amp;IF(AND(ISNUMBER($E18),ISNUMBER($F18),$E18&gt;$F18),"Inicio posterior a fecha límite"&amp;" · ","")&amp;IF(AND($S18="Macro",$G18=""),"Peso vacío"&amp;" · ","")&amp;IF(AND($S18="Macro",$G18&lt;&gt;"",OR(NOT(ISNUMBER($G18)),$G18&lt;=0,$G18&gt;1)),"Peso fuera de rango"&amp;" · ","")&amp;IF(AND($S18="Sub",$G18&lt;&gt;""),"Las subactividades no llevan peso"&amp;" · ","")&amp;IF(AND($S18="Macro",ABS(SUMIFS($G$5:$G$1000,$P$5:$P$1000,$P18,$S$5:$S$1000,"Macro")-1)&gt;0.0001),"Pesos del mes suman "&amp;TEXT(SUMIFS($G$5:$G$1000,$P$5:$P$1000,$P18,$S$5:$S$1000,"Macro"),"0%")&amp;" · ","")&amp;IF(AND(N($T18)&gt;0,COUNT($H18:$K18)&gt;0),"Con subactividades: deje vacías las semanas (se calculan solas)"&amp;" · ","")&amp;IF((COUNTIF($H18:$K18,"&gt;1")+COUNTIF($H18:$K18,"&lt;0")+COUNTA($H18:$K18)-COUNT($H18:$K18))&gt;0,"Avance fuera de rango 0-100%"&amp;" · ","")&amp;IF(OR(AND($I18&lt;&gt;"",$I18&lt;$H18),AND($J18&lt;&gt;"",$J18&lt;MAX($H18:$I18)),AND($K18&lt;&gt;"",$K18&lt;MAX($H18:$J18))),"Avance semanal decreciente"&amp;" · ","")&amp;IF(AND(ISNUMBER($F18),$F18&lt;FechaRef,N($L18)&lt;1),"Vencida"&amp;" · ","")&amp;IF(AND(ObsObligatoria="Sí",ISNUMBER($F18),$F18&lt;FechaRef,N($L18)&lt;1,$N18=""),"Vencida sin observación"&amp;" · ",""))-3)))</f>
        <v/>
      </c>
      <c r="P18" s="69">
        <f>IF(NOT((COUNTA($B18:$K18)+COUNTA($N18))&gt;0),"",IF(AND($S18="Sub",N($R18)&gt;0),IF(ISNUMBER(INDEX($E$5:$E$1000,$R18-4)),DATE(YEAR(INDEX($E$5:$E$1000,$R18-4)),MONTH(INDEX($E$5:$E$1000,$R18-4)),1),IF(ISNUMBER(INDEX($F$5:$F$1000,$R18-4)),DATE(YEAR(INDEX($F$5:$F$1000,$R18-4)),MONTH(INDEX($F$5:$F$1000,$R18-4)),1),MesCiclo)),IF(ISNUMBER($E18),DATE(YEAR($E18),MONTH($E18),1),IF(ISNUMBER($F18),DATE(YEAR($F18),MONTH($F18),1),MesCiclo))))</f>
        <v/>
      </c>
      <c r="Q18" s="70">
        <f>IF(OR($P18="",$P18&lt;&gt;MesCiclo),"",COUNTIF($P$5:$P18,MesCiclo))</f>
        <v/>
      </c>
      <c r="R18" s="70">
        <f>IF($S18="","",IF($S18="Macro",ROW(),IFERROR(LOOKUP(2,1/($S$5:$S18="Macro"),ROW($S$5:$S18)),0)))</f>
        <v/>
      </c>
      <c r="S18" s="70">
        <f>IF(NOT((COUNTA($B18:$K18)+COUNTA($N18))&gt;0),"",IF($B18&lt;&gt;"","Macro",IF($C18&lt;&gt;"","Sub","Macro")))</f>
        <v/>
      </c>
      <c r="T18" s="70">
        <f>IF($S18="Macro",COUNTIFS($R$5:$R$1000,ROW(),$S$5:$S$1000,"Sub"),"")</f>
        <v/>
      </c>
      <c r="U18" s="70">
        <f>IF($S18="","",IF(ISNUMBER($H18),$H18,0))</f>
        <v/>
      </c>
      <c r="V18" s="70">
        <f>IF($S18="","",IF(ISNUMBER($I18),$I18,$U18))</f>
        <v/>
      </c>
      <c r="W18" s="70">
        <f>IF($S18="","",IF(ISNUMBER($J18),$J18,$V18))</f>
        <v/>
      </c>
      <c r="X18" s="70">
        <f>IF($S18="","",IF(ISNUMBER($K18),$K18,$W18))</f>
        <v/>
      </c>
      <c r="Y18" s="70">
        <f>IF($S18="","",IF(N($T18)&gt;0,AVERAGEIFS($U$5:$U$1000,$R$5:$R$1000,ROW(),$S$5:$S$1000,"Sub"),$U18))</f>
        <v/>
      </c>
      <c r="Z18" s="70">
        <f>IF($S18="","",IF(N($T18)&gt;0,AVERAGEIFS($V$5:$V$1000,$R$5:$R$1000,ROW(),$S$5:$S$1000,"Sub"),$V18))</f>
        <v/>
      </c>
      <c r="AA18" s="70">
        <f>IF($S18="","",IF(N($T18)&gt;0,AVERAGEIFS($W$5:$W$1000,$R$5:$R$1000,ROW(),$S$5:$S$1000,"Sub"),$W18))</f>
        <v/>
      </c>
      <c r="AB18" s="70">
        <f>IF($S18="","",IF(N($T18)&gt;0,AVERAGEIFS($X$5:$X$1000,$R$5:$R$1000,ROW(),$S$5:$S$1000,"Sub"),$X18))</f>
        <v/>
      </c>
    </row>
    <row r="19">
      <c r="A19" s="61">
        <f>IF(NOT((COUNTA($B19:$K19)+COUNTA($N19))&gt;0),"",IF($S19="Macro",COUNTIFS($S$5:$S19,"Macro",$P$5:$P19,$P19),IF(N($R19)=0,"?",COUNTIFS(INDEX($S$5:$S$1000,1):INDEX($S$5:$S$1000,$R19-4),"Macro",INDEX($P$5:$P$1000,1):INDEX($P$5:$P$1000,$R19-4),INDEX($P$5:$P$1000,$R19-4))&amp;"."&amp;COUNTIFS($R$5:$R19,$R19,$S$5:$S19,"Sub"))))</f>
        <v/>
      </c>
      <c r="B19" s="62" t="n"/>
      <c r="C19" s="63" t="n"/>
      <c r="D19" s="62" t="n"/>
      <c r="E19" s="64" t="n"/>
      <c r="F19" s="64" t="n"/>
      <c r="G19" s="65" t="n"/>
      <c r="H19" s="66" t="n"/>
      <c r="I19" s="66" t="n"/>
      <c r="J19" s="66" t="n"/>
      <c r="K19" s="66" t="n"/>
      <c r="L19" s="67">
        <f>IF(NOT((COUNTA($B19:$K19)+COUNTA($N19))&gt;0),"",IF(N($T19)&gt;0,$AB19,IFERROR(LOOKUP(2,1/(H19:K19&lt;&gt;""),H19:K19),0)))</f>
        <v/>
      </c>
      <c r="M19" s="61">
        <f>IF(L19="","",IF(L19&gt;=1,"Completado",IF(L19&gt;0,"En curso","Pendiente")))</f>
        <v/>
      </c>
      <c r="N19" s="62" t="n"/>
      <c r="O19" s="68">
        <f>IF(NOT((COUNTA($B19:$K19)+COUNTA($N19))&gt;0),"",IF((IF(AND($S19="Macro",$B19=""),"Macroactividad vacía"&amp;" · ","")&amp;IF(AND($B19&lt;&gt;"",$C19&lt;&gt;""),"Escriba la subactividad en otra fila, debajo de su macroactividad"&amp;" · ","")&amp;IF(AND($S19="Sub",N($R19)=0),"Subactividad sin macroactividad arriba"&amp;" · ","")&amp;IF($D19="","Sin responsable"&amp;" · ","")&amp;IF($E19="","Sin fecha de inicio"&amp;" · ","")&amp;IF($F19="","Sin fecha límite"&amp;" · ","")&amp;IF(OR(AND($E19&lt;&gt;"",NOT(ISNUMBER($E19))),AND($F19&lt;&gt;"",NOT(ISNUMBER($F19)))),"Fecha no válida"&amp;" · ","")&amp;IF(AND(ISNUMBER($E19),ISNUMBER($F19),$E19&gt;$F19),"Inicio posterior a fecha límite"&amp;" · ","")&amp;IF(AND($S19="Macro",$G19=""),"Peso vacío"&amp;" · ","")&amp;IF(AND($S19="Macro",$G19&lt;&gt;"",OR(NOT(ISNUMBER($G19)),$G19&lt;=0,$G19&gt;1)),"Peso fuera de rango"&amp;" · ","")&amp;IF(AND($S19="Sub",$G19&lt;&gt;""),"Las subactividades no llevan peso"&amp;" · ","")&amp;IF(AND($S19="Macro",ABS(SUMIFS($G$5:$G$1000,$P$5:$P$1000,$P19,$S$5:$S$1000,"Macro")-1)&gt;0.0001),"Pesos del mes suman "&amp;TEXT(SUMIFS($G$5:$G$1000,$P$5:$P$1000,$P19,$S$5:$S$1000,"Macro"),"0%")&amp;" · ","")&amp;IF(AND(N($T19)&gt;0,COUNT($H19:$K19)&gt;0),"Con subactividades: deje vacías las semanas (se calculan solas)"&amp;" · ","")&amp;IF((COUNTIF($H19:$K19,"&gt;1")+COUNTIF($H19:$K19,"&lt;0")+COUNTA($H19:$K19)-COUNT($H19:$K19))&gt;0,"Avance fuera de rango 0-100%"&amp;" · ","")&amp;IF(OR(AND($I19&lt;&gt;"",$I19&lt;$H19),AND($J19&lt;&gt;"",$J19&lt;MAX($H19:$I19)),AND($K19&lt;&gt;"",$K19&lt;MAX($H19:$J19))),"Avance semanal decreciente"&amp;" · ","")&amp;IF(AND(ISNUMBER($F19),$F19&lt;FechaRef,N($L19)&lt;1),"Vencida"&amp;" · ","")&amp;IF(AND(ObsObligatoria="Sí",ISNUMBER($F19),$F19&lt;FechaRef,N($L19)&lt;1,$N19=""),"Vencida sin observación"&amp;" · ",""))="","✔ OK","⚠ "&amp;LEFT(IF(AND($S19="Macro",$B19=""),"Macroactividad vacía"&amp;" · ","")&amp;IF(AND($B19&lt;&gt;"",$C19&lt;&gt;""),"Escriba la subactividad en otra fila, debajo de su macroactividad"&amp;" · ","")&amp;IF(AND($S19="Sub",N($R19)=0),"Subactividad sin macroactividad arriba"&amp;" · ","")&amp;IF($D19="","Sin responsable"&amp;" · ","")&amp;IF($E19="","Sin fecha de inicio"&amp;" · ","")&amp;IF($F19="","Sin fecha límite"&amp;" · ","")&amp;IF(OR(AND($E19&lt;&gt;"",NOT(ISNUMBER($E19))),AND($F19&lt;&gt;"",NOT(ISNUMBER($F19)))),"Fecha no válida"&amp;" · ","")&amp;IF(AND(ISNUMBER($E19),ISNUMBER($F19),$E19&gt;$F19),"Inicio posterior a fecha límite"&amp;" · ","")&amp;IF(AND($S19="Macro",$G19=""),"Peso vacío"&amp;" · ","")&amp;IF(AND($S19="Macro",$G19&lt;&gt;"",OR(NOT(ISNUMBER($G19)),$G19&lt;=0,$G19&gt;1)),"Peso fuera de rango"&amp;" · ","")&amp;IF(AND($S19="Sub",$G19&lt;&gt;""),"Las subactividades no llevan peso"&amp;" · ","")&amp;IF(AND($S19="Macro",ABS(SUMIFS($G$5:$G$1000,$P$5:$P$1000,$P19,$S$5:$S$1000,"Macro")-1)&gt;0.0001),"Pesos del mes suman "&amp;TEXT(SUMIFS($G$5:$G$1000,$P$5:$P$1000,$P19,$S$5:$S$1000,"Macro"),"0%")&amp;" · ","")&amp;IF(AND(N($T19)&gt;0,COUNT($H19:$K19)&gt;0),"Con subactividades: deje vacías las semanas (se calculan solas)"&amp;" · ","")&amp;IF((COUNTIF($H19:$K19,"&gt;1")+COUNTIF($H19:$K19,"&lt;0")+COUNTA($H19:$K19)-COUNT($H19:$K19))&gt;0,"Avance fuera de rango 0-100%"&amp;" · ","")&amp;IF(OR(AND($I19&lt;&gt;"",$I19&lt;$H19),AND($J19&lt;&gt;"",$J19&lt;MAX($H19:$I19)),AND($K19&lt;&gt;"",$K19&lt;MAX($H19:$J19))),"Avance semanal decreciente"&amp;" · ","")&amp;IF(AND(ISNUMBER($F19),$F19&lt;FechaRef,N($L19)&lt;1),"Vencida"&amp;" · ","")&amp;IF(AND(ObsObligatoria="Sí",ISNUMBER($F19),$F19&lt;FechaRef,N($L19)&lt;1,$N19=""),"Vencida sin observación"&amp;" · ",""),LEN(IF(AND($S19="Macro",$B19=""),"Macroactividad vacía"&amp;" · ","")&amp;IF(AND($B19&lt;&gt;"",$C19&lt;&gt;""),"Escriba la subactividad en otra fila, debajo de su macroactividad"&amp;" · ","")&amp;IF(AND($S19="Sub",N($R19)=0),"Subactividad sin macroactividad arriba"&amp;" · ","")&amp;IF($D19="","Sin responsable"&amp;" · ","")&amp;IF($E19="","Sin fecha de inicio"&amp;" · ","")&amp;IF($F19="","Sin fecha límite"&amp;" · ","")&amp;IF(OR(AND($E19&lt;&gt;"",NOT(ISNUMBER($E19))),AND($F19&lt;&gt;"",NOT(ISNUMBER($F19)))),"Fecha no válida"&amp;" · ","")&amp;IF(AND(ISNUMBER($E19),ISNUMBER($F19),$E19&gt;$F19),"Inicio posterior a fecha límite"&amp;" · ","")&amp;IF(AND($S19="Macro",$G19=""),"Peso vacío"&amp;" · ","")&amp;IF(AND($S19="Macro",$G19&lt;&gt;"",OR(NOT(ISNUMBER($G19)),$G19&lt;=0,$G19&gt;1)),"Peso fuera de rango"&amp;" · ","")&amp;IF(AND($S19="Sub",$G19&lt;&gt;""),"Las subactividades no llevan peso"&amp;" · ","")&amp;IF(AND($S19="Macro",ABS(SUMIFS($G$5:$G$1000,$P$5:$P$1000,$P19,$S$5:$S$1000,"Macro")-1)&gt;0.0001),"Pesos del mes suman "&amp;TEXT(SUMIFS($G$5:$G$1000,$P$5:$P$1000,$P19,$S$5:$S$1000,"Macro"),"0%")&amp;" · ","")&amp;IF(AND(N($T19)&gt;0,COUNT($H19:$K19)&gt;0),"Con subactividades: deje vacías las semanas (se calculan solas)"&amp;" · ","")&amp;IF((COUNTIF($H19:$K19,"&gt;1")+COUNTIF($H19:$K19,"&lt;0")+COUNTA($H19:$K19)-COUNT($H19:$K19))&gt;0,"Avance fuera de rango 0-100%"&amp;" · ","")&amp;IF(OR(AND($I19&lt;&gt;"",$I19&lt;$H19),AND($J19&lt;&gt;"",$J19&lt;MAX($H19:$I19)),AND($K19&lt;&gt;"",$K19&lt;MAX($H19:$J19))),"Avance semanal decreciente"&amp;" · ","")&amp;IF(AND(ISNUMBER($F19),$F19&lt;FechaRef,N($L19)&lt;1),"Vencida"&amp;" · ","")&amp;IF(AND(ObsObligatoria="Sí",ISNUMBER($F19),$F19&lt;FechaRef,N($L19)&lt;1,$N19=""),"Vencida sin observación"&amp;" · ",""))-3)))</f>
        <v/>
      </c>
      <c r="P19" s="69">
        <f>IF(NOT((COUNTA($B19:$K19)+COUNTA($N19))&gt;0),"",IF(AND($S19="Sub",N($R19)&gt;0),IF(ISNUMBER(INDEX($E$5:$E$1000,$R19-4)),DATE(YEAR(INDEX($E$5:$E$1000,$R19-4)),MONTH(INDEX($E$5:$E$1000,$R19-4)),1),IF(ISNUMBER(INDEX($F$5:$F$1000,$R19-4)),DATE(YEAR(INDEX($F$5:$F$1000,$R19-4)),MONTH(INDEX($F$5:$F$1000,$R19-4)),1),MesCiclo)),IF(ISNUMBER($E19),DATE(YEAR($E19),MONTH($E19),1),IF(ISNUMBER($F19),DATE(YEAR($F19),MONTH($F19),1),MesCiclo))))</f>
        <v/>
      </c>
      <c r="Q19" s="70">
        <f>IF(OR($P19="",$P19&lt;&gt;MesCiclo),"",COUNTIF($P$5:$P19,MesCiclo))</f>
        <v/>
      </c>
      <c r="R19" s="70">
        <f>IF($S19="","",IF($S19="Macro",ROW(),IFERROR(LOOKUP(2,1/($S$5:$S19="Macro"),ROW($S$5:$S19)),0)))</f>
        <v/>
      </c>
      <c r="S19" s="70">
        <f>IF(NOT((COUNTA($B19:$K19)+COUNTA($N19))&gt;0),"",IF($B19&lt;&gt;"","Macro",IF($C19&lt;&gt;"","Sub","Macro")))</f>
        <v/>
      </c>
      <c r="T19" s="70">
        <f>IF($S19="Macro",COUNTIFS($R$5:$R$1000,ROW(),$S$5:$S$1000,"Sub"),"")</f>
        <v/>
      </c>
      <c r="U19" s="70">
        <f>IF($S19="","",IF(ISNUMBER($H19),$H19,0))</f>
        <v/>
      </c>
      <c r="V19" s="70">
        <f>IF($S19="","",IF(ISNUMBER($I19),$I19,$U19))</f>
        <v/>
      </c>
      <c r="W19" s="70">
        <f>IF($S19="","",IF(ISNUMBER($J19),$J19,$V19))</f>
        <v/>
      </c>
      <c r="X19" s="70">
        <f>IF($S19="","",IF(ISNUMBER($K19),$K19,$W19))</f>
        <v/>
      </c>
      <c r="Y19" s="70">
        <f>IF($S19="","",IF(N($T19)&gt;0,AVERAGEIFS($U$5:$U$1000,$R$5:$R$1000,ROW(),$S$5:$S$1000,"Sub"),$U19))</f>
        <v/>
      </c>
      <c r="Z19" s="70">
        <f>IF($S19="","",IF(N($T19)&gt;0,AVERAGEIFS($V$5:$V$1000,$R$5:$R$1000,ROW(),$S$5:$S$1000,"Sub"),$V19))</f>
        <v/>
      </c>
      <c r="AA19" s="70">
        <f>IF($S19="","",IF(N($T19)&gt;0,AVERAGEIFS($W$5:$W$1000,$R$5:$R$1000,ROW(),$S$5:$S$1000,"Sub"),$W19))</f>
        <v/>
      </c>
      <c r="AB19" s="70">
        <f>IF($S19="","",IF(N($T19)&gt;0,AVERAGEIFS($X$5:$X$1000,$R$5:$R$1000,ROW(),$S$5:$S$1000,"Sub"),$X19))</f>
        <v/>
      </c>
    </row>
    <row r="20">
      <c r="A20" s="61">
        <f>IF(NOT((COUNTA($B20:$K20)+COUNTA($N20))&gt;0),"",IF($S20="Macro",COUNTIFS($S$5:$S20,"Macro",$P$5:$P20,$P20),IF(N($R20)=0,"?",COUNTIFS(INDEX($S$5:$S$1000,1):INDEX($S$5:$S$1000,$R20-4),"Macro",INDEX($P$5:$P$1000,1):INDEX($P$5:$P$1000,$R20-4),INDEX($P$5:$P$1000,$R20-4))&amp;"."&amp;COUNTIFS($R$5:$R20,$R20,$S$5:$S20,"Sub"))))</f>
        <v/>
      </c>
      <c r="B20" s="62" t="n"/>
      <c r="C20" s="63" t="n"/>
      <c r="D20" s="62" t="n"/>
      <c r="E20" s="64" t="n"/>
      <c r="F20" s="64" t="n"/>
      <c r="G20" s="65" t="n"/>
      <c r="H20" s="66" t="n"/>
      <c r="I20" s="66" t="n"/>
      <c r="J20" s="66" t="n"/>
      <c r="K20" s="66" t="n"/>
      <c r="L20" s="67">
        <f>IF(NOT((COUNTA($B20:$K20)+COUNTA($N20))&gt;0),"",IF(N($T20)&gt;0,$AB20,IFERROR(LOOKUP(2,1/(H20:K20&lt;&gt;""),H20:K20),0)))</f>
        <v/>
      </c>
      <c r="M20" s="61">
        <f>IF(L20="","",IF(L20&gt;=1,"Completado",IF(L20&gt;0,"En curso","Pendiente")))</f>
        <v/>
      </c>
      <c r="N20" s="62" t="n"/>
      <c r="O20" s="68">
        <f>IF(NOT((COUNTA($B20:$K20)+COUNTA($N20))&gt;0),"",IF((IF(AND($S20="Macro",$B20=""),"Macroactividad vacía"&amp;" · ","")&amp;IF(AND($B20&lt;&gt;"",$C20&lt;&gt;""),"Escriba la subactividad en otra fila, debajo de su macroactividad"&amp;" · ","")&amp;IF(AND($S20="Sub",N($R20)=0),"Subactividad sin macroactividad arriba"&amp;" · ","")&amp;IF($D20="","Sin responsable"&amp;" · ","")&amp;IF($E20="","Sin fecha de inicio"&amp;" · ","")&amp;IF($F20="","Sin fecha límite"&amp;" · ","")&amp;IF(OR(AND($E20&lt;&gt;"",NOT(ISNUMBER($E20))),AND($F20&lt;&gt;"",NOT(ISNUMBER($F20)))),"Fecha no válida"&amp;" · ","")&amp;IF(AND(ISNUMBER($E20),ISNUMBER($F20),$E20&gt;$F20),"Inicio posterior a fecha límite"&amp;" · ","")&amp;IF(AND($S20="Macro",$G20=""),"Peso vacío"&amp;" · ","")&amp;IF(AND($S20="Macro",$G20&lt;&gt;"",OR(NOT(ISNUMBER($G20)),$G20&lt;=0,$G20&gt;1)),"Peso fuera de rango"&amp;" · ","")&amp;IF(AND($S20="Sub",$G20&lt;&gt;""),"Las subactividades no llevan peso"&amp;" · ","")&amp;IF(AND($S20="Macro",ABS(SUMIFS($G$5:$G$1000,$P$5:$P$1000,$P20,$S$5:$S$1000,"Macro")-1)&gt;0.0001),"Pesos del mes suman "&amp;TEXT(SUMIFS($G$5:$G$1000,$P$5:$P$1000,$P20,$S$5:$S$1000,"Macro"),"0%")&amp;" · ","")&amp;IF(AND(N($T20)&gt;0,COUNT($H20:$K20)&gt;0),"Con subactividades: deje vacías las semanas (se calculan solas)"&amp;" · ","")&amp;IF((COUNTIF($H20:$K20,"&gt;1")+COUNTIF($H20:$K20,"&lt;0")+COUNTA($H20:$K20)-COUNT($H20:$K20))&gt;0,"Avance fuera de rango 0-100%"&amp;" · ","")&amp;IF(OR(AND($I20&lt;&gt;"",$I20&lt;$H20),AND($J20&lt;&gt;"",$J20&lt;MAX($H20:$I20)),AND($K20&lt;&gt;"",$K20&lt;MAX($H20:$J20))),"Avance semanal decreciente"&amp;" · ","")&amp;IF(AND(ISNUMBER($F20),$F20&lt;FechaRef,N($L20)&lt;1),"Vencida"&amp;" · ","")&amp;IF(AND(ObsObligatoria="Sí",ISNUMBER($F20),$F20&lt;FechaRef,N($L20)&lt;1,$N20=""),"Vencida sin observación"&amp;" · ",""))="","✔ OK","⚠ "&amp;LEFT(IF(AND($S20="Macro",$B20=""),"Macroactividad vacía"&amp;" · ","")&amp;IF(AND($B20&lt;&gt;"",$C20&lt;&gt;""),"Escriba la subactividad en otra fila, debajo de su macroactividad"&amp;" · ","")&amp;IF(AND($S20="Sub",N($R20)=0),"Subactividad sin macroactividad arriba"&amp;" · ","")&amp;IF($D20="","Sin responsable"&amp;" · ","")&amp;IF($E20="","Sin fecha de inicio"&amp;" · ","")&amp;IF($F20="","Sin fecha límite"&amp;" · ","")&amp;IF(OR(AND($E20&lt;&gt;"",NOT(ISNUMBER($E20))),AND($F20&lt;&gt;"",NOT(ISNUMBER($F20)))),"Fecha no válida"&amp;" · ","")&amp;IF(AND(ISNUMBER($E20),ISNUMBER($F20),$E20&gt;$F20),"Inicio posterior a fecha límite"&amp;" · ","")&amp;IF(AND($S20="Macro",$G20=""),"Peso vacío"&amp;" · ","")&amp;IF(AND($S20="Macro",$G20&lt;&gt;"",OR(NOT(ISNUMBER($G20)),$G20&lt;=0,$G20&gt;1)),"Peso fuera de rango"&amp;" · ","")&amp;IF(AND($S20="Sub",$G20&lt;&gt;""),"Las subactividades no llevan peso"&amp;" · ","")&amp;IF(AND($S20="Macro",ABS(SUMIFS($G$5:$G$1000,$P$5:$P$1000,$P20,$S$5:$S$1000,"Macro")-1)&gt;0.0001),"Pesos del mes suman "&amp;TEXT(SUMIFS($G$5:$G$1000,$P$5:$P$1000,$P20,$S$5:$S$1000,"Macro"),"0%")&amp;" · ","")&amp;IF(AND(N($T20)&gt;0,COUNT($H20:$K20)&gt;0),"Con subactividades: deje vacías las semanas (se calculan solas)"&amp;" · ","")&amp;IF((COUNTIF($H20:$K20,"&gt;1")+COUNTIF($H20:$K20,"&lt;0")+COUNTA($H20:$K20)-COUNT($H20:$K20))&gt;0,"Avance fuera de rango 0-100%"&amp;" · ","")&amp;IF(OR(AND($I20&lt;&gt;"",$I20&lt;$H20),AND($J20&lt;&gt;"",$J20&lt;MAX($H20:$I20)),AND($K20&lt;&gt;"",$K20&lt;MAX($H20:$J20))),"Avance semanal decreciente"&amp;" · ","")&amp;IF(AND(ISNUMBER($F20),$F20&lt;FechaRef,N($L20)&lt;1),"Vencida"&amp;" · ","")&amp;IF(AND(ObsObligatoria="Sí",ISNUMBER($F20),$F20&lt;FechaRef,N($L20)&lt;1,$N20=""),"Vencida sin observación"&amp;" · ",""),LEN(IF(AND($S20="Macro",$B20=""),"Macroactividad vacía"&amp;" · ","")&amp;IF(AND($B20&lt;&gt;"",$C20&lt;&gt;""),"Escriba la subactividad en otra fila, debajo de su macroactividad"&amp;" · ","")&amp;IF(AND($S20="Sub",N($R20)=0),"Subactividad sin macroactividad arriba"&amp;" · ","")&amp;IF($D20="","Sin responsable"&amp;" · ","")&amp;IF($E20="","Sin fecha de inicio"&amp;" · ","")&amp;IF($F20="","Sin fecha límite"&amp;" · ","")&amp;IF(OR(AND($E20&lt;&gt;"",NOT(ISNUMBER($E20))),AND($F20&lt;&gt;"",NOT(ISNUMBER($F20)))),"Fecha no válida"&amp;" · ","")&amp;IF(AND(ISNUMBER($E20),ISNUMBER($F20),$E20&gt;$F20),"Inicio posterior a fecha límite"&amp;" · ","")&amp;IF(AND($S20="Macro",$G20=""),"Peso vacío"&amp;" · ","")&amp;IF(AND($S20="Macro",$G20&lt;&gt;"",OR(NOT(ISNUMBER($G20)),$G20&lt;=0,$G20&gt;1)),"Peso fuera de rango"&amp;" · ","")&amp;IF(AND($S20="Sub",$G20&lt;&gt;""),"Las subactividades no llevan peso"&amp;" · ","")&amp;IF(AND($S20="Macro",ABS(SUMIFS($G$5:$G$1000,$P$5:$P$1000,$P20,$S$5:$S$1000,"Macro")-1)&gt;0.0001),"Pesos del mes suman "&amp;TEXT(SUMIFS($G$5:$G$1000,$P$5:$P$1000,$P20,$S$5:$S$1000,"Macro"),"0%")&amp;" · ","")&amp;IF(AND(N($T20)&gt;0,COUNT($H20:$K20)&gt;0),"Con subactividades: deje vacías las semanas (se calculan solas)"&amp;" · ","")&amp;IF((COUNTIF($H20:$K20,"&gt;1")+COUNTIF($H20:$K20,"&lt;0")+COUNTA($H20:$K20)-COUNT($H20:$K20))&gt;0,"Avance fuera de rango 0-100%"&amp;" · ","")&amp;IF(OR(AND($I20&lt;&gt;"",$I20&lt;$H20),AND($J20&lt;&gt;"",$J20&lt;MAX($H20:$I20)),AND($K20&lt;&gt;"",$K20&lt;MAX($H20:$J20))),"Avance semanal decreciente"&amp;" · ","")&amp;IF(AND(ISNUMBER($F20),$F20&lt;FechaRef,N($L20)&lt;1),"Vencida"&amp;" · ","")&amp;IF(AND(ObsObligatoria="Sí",ISNUMBER($F20),$F20&lt;FechaRef,N($L20)&lt;1,$N20=""),"Vencida sin observación"&amp;" · ",""))-3)))</f>
        <v/>
      </c>
      <c r="P20" s="69">
        <f>IF(NOT((COUNTA($B20:$K20)+COUNTA($N20))&gt;0),"",IF(AND($S20="Sub",N($R20)&gt;0),IF(ISNUMBER(INDEX($E$5:$E$1000,$R20-4)),DATE(YEAR(INDEX($E$5:$E$1000,$R20-4)),MONTH(INDEX($E$5:$E$1000,$R20-4)),1),IF(ISNUMBER(INDEX($F$5:$F$1000,$R20-4)),DATE(YEAR(INDEX($F$5:$F$1000,$R20-4)),MONTH(INDEX($F$5:$F$1000,$R20-4)),1),MesCiclo)),IF(ISNUMBER($E20),DATE(YEAR($E20),MONTH($E20),1),IF(ISNUMBER($F20),DATE(YEAR($F20),MONTH($F20),1),MesCiclo))))</f>
        <v/>
      </c>
      <c r="Q20" s="70">
        <f>IF(OR($P20="",$P20&lt;&gt;MesCiclo),"",COUNTIF($P$5:$P20,MesCiclo))</f>
        <v/>
      </c>
      <c r="R20" s="70">
        <f>IF($S20="","",IF($S20="Macro",ROW(),IFERROR(LOOKUP(2,1/($S$5:$S20="Macro"),ROW($S$5:$S20)),0)))</f>
        <v/>
      </c>
      <c r="S20" s="70">
        <f>IF(NOT((COUNTA($B20:$K20)+COUNTA($N20))&gt;0),"",IF($B20&lt;&gt;"","Macro",IF($C20&lt;&gt;"","Sub","Macro")))</f>
        <v/>
      </c>
      <c r="T20" s="70">
        <f>IF($S20="Macro",COUNTIFS($R$5:$R$1000,ROW(),$S$5:$S$1000,"Sub"),"")</f>
        <v/>
      </c>
      <c r="U20" s="70">
        <f>IF($S20="","",IF(ISNUMBER($H20),$H20,0))</f>
        <v/>
      </c>
      <c r="V20" s="70">
        <f>IF($S20="","",IF(ISNUMBER($I20),$I20,$U20))</f>
        <v/>
      </c>
      <c r="W20" s="70">
        <f>IF($S20="","",IF(ISNUMBER($J20),$J20,$V20))</f>
        <v/>
      </c>
      <c r="X20" s="70">
        <f>IF($S20="","",IF(ISNUMBER($K20),$K20,$W20))</f>
        <v/>
      </c>
      <c r="Y20" s="70">
        <f>IF($S20="","",IF(N($T20)&gt;0,AVERAGEIFS($U$5:$U$1000,$R$5:$R$1000,ROW(),$S$5:$S$1000,"Sub"),$U20))</f>
        <v/>
      </c>
      <c r="Z20" s="70">
        <f>IF($S20="","",IF(N($T20)&gt;0,AVERAGEIFS($V$5:$V$1000,$R$5:$R$1000,ROW(),$S$5:$S$1000,"Sub"),$V20))</f>
        <v/>
      </c>
      <c r="AA20" s="70">
        <f>IF($S20="","",IF(N($T20)&gt;0,AVERAGEIFS($W$5:$W$1000,$R$5:$R$1000,ROW(),$S$5:$S$1000,"Sub"),$W20))</f>
        <v/>
      </c>
      <c r="AB20" s="70">
        <f>IF($S20="","",IF(N($T20)&gt;0,AVERAGEIFS($X$5:$X$1000,$R$5:$R$1000,ROW(),$S$5:$S$1000,"Sub"),$X20))</f>
        <v/>
      </c>
    </row>
    <row r="21">
      <c r="A21" s="61">
        <f>IF(NOT((COUNTA($B21:$K21)+COUNTA($N21))&gt;0),"",IF($S21="Macro",COUNTIFS($S$5:$S21,"Macro",$P$5:$P21,$P21),IF(N($R21)=0,"?",COUNTIFS(INDEX($S$5:$S$1000,1):INDEX($S$5:$S$1000,$R21-4),"Macro",INDEX($P$5:$P$1000,1):INDEX($P$5:$P$1000,$R21-4),INDEX($P$5:$P$1000,$R21-4))&amp;"."&amp;COUNTIFS($R$5:$R21,$R21,$S$5:$S21,"Sub"))))</f>
        <v/>
      </c>
      <c r="B21" s="62" t="n"/>
      <c r="C21" s="63" t="n"/>
      <c r="D21" s="62" t="n"/>
      <c r="E21" s="64" t="n"/>
      <c r="F21" s="64" t="n"/>
      <c r="G21" s="65" t="n"/>
      <c r="H21" s="66" t="n"/>
      <c r="I21" s="66" t="n"/>
      <c r="J21" s="66" t="n"/>
      <c r="K21" s="66" t="n"/>
      <c r="L21" s="67">
        <f>IF(NOT((COUNTA($B21:$K21)+COUNTA($N21))&gt;0),"",IF(N($T21)&gt;0,$AB21,IFERROR(LOOKUP(2,1/(H21:K21&lt;&gt;""),H21:K21),0)))</f>
        <v/>
      </c>
      <c r="M21" s="61">
        <f>IF(L21="","",IF(L21&gt;=1,"Completado",IF(L21&gt;0,"En curso","Pendiente")))</f>
        <v/>
      </c>
      <c r="N21" s="62" t="n"/>
      <c r="O21" s="68">
        <f>IF(NOT((COUNTA($B21:$K21)+COUNTA($N21))&gt;0),"",IF((IF(AND($S21="Macro",$B21=""),"Macroactividad vacía"&amp;" · ","")&amp;IF(AND($B21&lt;&gt;"",$C21&lt;&gt;""),"Escriba la subactividad en otra fila, debajo de su macroactividad"&amp;" · ","")&amp;IF(AND($S21="Sub",N($R21)=0),"Subactividad sin macroactividad arriba"&amp;" · ","")&amp;IF($D21="","Sin responsable"&amp;" · ","")&amp;IF($E21="","Sin fecha de inicio"&amp;" · ","")&amp;IF($F21="","Sin fecha límite"&amp;" · ","")&amp;IF(OR(AND($E21&lt;&gt;"",NOT(ISNUMBER($E21))),AND($F21&lt;&gt;"",NOT(ISNUMBER($F21)))),"Fecha no válida"&amp;" · ","")&amp;IF(AND(ISNUMBER($E21),ISNUMBER($F21),$E21&gt;$F21),"Inicio posterior a fecha límite"&amp;" · ","")&amp;IF(AND($S21="Macro",$G21=""),"Peso vacío"&amp;" · ","")&amp;IF(AND($S21="Macro",$G21&lt;&gt;"",OR(NOT(ISNUMBER($G21)),$G21&lt;=0,$G21&gt;1)),"Peso fuera de rango"&amp;" · ","")&amp;IF(AND($S21="Sub",$G21&lt;&gt;""),"Las subactividades no llevan peso"&amp;" · ","")&amp;IF(AND($S21="Macro",ABS(SUMIFS($G$5:$G$1000,$P$5:$P$1000,$P21,$S$5:$S$1000,"Macro")-1)&gt;0.0001),"Pesos del mes suman "&amp;TEXT(SUMIFS($G$5:$G$1000,$P$5:$P$1000,$P21,$S$5:$S$1000,"Macro"),"0%")&amp;" · ","")&amp;IF(AND(N($T21)&gt;0,COUNT($H21:$K21)&gt;0),"Con subactividades: deje vacías las semanas (se calculan solas)"&amp;" · ","")&amp;IF((COUNTIF($H21:$K21,"&gt;1")+COUNTIF($H21:$K21,"&lt;0")+COUNTA($H21:$K21)-COUNT($H21:$K21))&gt;0,"Avance fuera de rango 0-100%"&amp;" · ","")&amp;IF(OR(AND($I21&lt;&gt;"",$I21&lt;$H21),AND($J21&lt;&gt;"",$J21&lt;MAX($H21:$I21)),AND($K21&lt;&gt;"",$K21&lt;MAX($H21:$J21))),"Avance semanal decreciente"&amp;" · ","")&amp;IF(AND(ISNUMBER($F21),$F21&lt;FechaRef,N($L21)&lt;1),"Vencida"&amp;" · ","")&amp;IF(AND(ObsObligatoria="Sí",ISNUMBER($F21),$F21&lt;FechaRef,N($L21)&lt;1,$N21=""),"Vencida sin observación"&amp;" · ",""))="","✔ OK","⚠ "&amp;LEFT(IF(AND($S21="Macro",$B21=""),"Macroactividad vacía"&amp;" · ","")&amp;IF(AND($B21&lt;&gt;"",$C21&lt;&gt;""),"Escriba la subactividad en otra fila, debajo de su macroactividad"&amp;" · ","")&amp;IF(AND($S21="Sub",N($R21)=0),"Subactividad sin macroactividad arriba"&amp;" · ","")&amp;IF($D21="","Sin responsable"&amp;" · ","")&amp;IF($E21="","Sin fecha de inicio"&amp;" · ","")&amp;IF($F21="","Sin fecha límite"&amp;" · ","")&amp;IF(OR(AND($E21&lt;&gt;"",NOT(ISNUMBER($E21))),AND($F21&lt;&gt;"",NOT(ISNUMBER($F21)))),"Fecha no válida"&amp;" · ","")&amp;IF(AND(ISNUMBER($E21),ISNUMBER($F21),$E21&gt;$F21),"Inicio posterior a fecha límite"&amp;" · ","")&amp;IF(AND($S21="Macro",$G21=""),"Peso vacío"&amp;" · ","")&amp;IF(AND($S21="Macro",$G21&lt;&gt;"",OR(NOT(ISNUMBER($G21)),$G21&lt;=0,$G21&gt;1)),"Peso fuera de rango"&amp;" · ","")&amp;IF(AND($S21="Sub",$G21&lt;&gt;""),"Las subactividades no llevan peso"&amp;" · ","")&amp;IF(AND($S21="Macro",ABS(SUMIFS($G$5:$G$1000,$P$5:$P$1000,$P21,$S$5:$S$1000,"Macro")-1)&gt;0.0001),"Pesos del mes suman "&amp;TEXT(SUMIFS($G$5:$G$1000,$P$5:$P$1000,$P21,$S$5:$S$1000,"Macro"),"0%")&amp;" · ","")&amp;IF(AND(N($T21)&gt;0,COUNT($H21:$K21)&gt;0),"Con subactividades: deje vacías las semanas (se calculan solas)"&amp;" · ","")&amp;IF((COUNTIF($H21:$K21,"&gt;1")+COUNTIF($H21:$K21,"&lt;0")+COUNTA($H21:$K21)-COUNT($H21:$K21))&gt;0,"Avance fuera de rango 0-100%"&amp;" · ","")&amp;IF(OR(AND($I21&lt;&gt;"",$I21&lt;$H21),AND($J21&lt;&gt;"",$J21&lt;MAX($H21:$I21)),AND($K21&lt;&gt;"",$K21&lt;MAX($H21:$J21))),"Avance semanal decreciente"&amp;" · ","")&amp;IF(AND(ISNUMBER($F21),$F21&lt;FechaRef,N($L21)&lt;1),"Vencida"&amp;" · ","")&amp;IF(AND(ObsObligatoria="Sí",ISNUMBER($F21),$F21&lt;FechaRef,N($L21)&lt;1,$N21=""),"Vencida sin observación"&amp;" · ",""),LEN(IF(AND($S21="Macro",$B21=""),"Macroactividad vacía"&amp;" · ","")&amp;IF(AND($B21&lt;&gt;"",$C21&lt;&gt;""),"Escriba la subactividad en otra fila, debajo de su macroactividad"&amp;" · ","")&amp;IF(AND($S21="Sub",N($R21)=0),"Subactividad sin macroactividad arriba"&amp;" · ","")&amp;IF($D21="","Sin responsable"&amp;" · ","")&amp;IF($E21="","Sin fecha de inicio"&amp;" · ","")&amp;IF($F21="","Sin fecha límite"&amp;" · ","")&amp;IF(OR(AND($E21&lt;&gt;"",NOT(ISNUMBER($E21))),AND($F21&lt;&gt;"",NOT(ISNUMBER($F21)))),"Fecha no válida"&amp;" · ","")&amp;IF(AND(ISNUMBER($E21),ISNUMBER($F21),$E21&gt;$F21),"Inicio posterior a fecha límite"&amp;" · ","")&amp;IF(AND($S21="Macro",$G21=""),"Peso vacío"&amp;" · ","")&amp;IF(AND($S21="Macro",$G21&lt;&gt;"",OR(NOT(ISNUMBER($G21)),$G21&lt;=0,$G21&gt;1)),"Peso fuera de rango"&amp;" · ","")&amp;IF(AND($S21="Sub",$G21&lt;&gt;""),"Las subactividades no llevan peso"&amp;" · ","")&amp;IF(AND($S21="Macro",ABS(SUMIFS($G$5:$G$1000,$P$5:$P$1000,$P21,$S$5:$S$1000,"Macro")-1)&gt;0.0001),"Pesos del mes suman "&amp;TEXT(SUMIFS($G$5:$G$1000,$P$5:$P$1000,$P21,$S$5:$S$1000,"Macro"),"0%")&amp;" · ","")&amp;IF(AND(N($T21)&gt;0,COUNT($H21:$K21)&gt;0),"Con subactividades: deje vacías las semanas (se calculan solas)"&amp;" · ","")&amp;IF((COUNTIF($H21:$K21,"&gt;1")+COUNTIF($H21:$K21,"&lt;0")+COUNTA($H21:$K21)-COUNT($H21:$K21))&gt;0,"Avance fuera de rango 0-100%"&amp;" · ","")&amp;IF(OR(AND($I21&lt;&gt;"",$I21&lt;$H21),AND($J21&lt;&gt;"",$J21&lt;MAX($H21:$I21)),AND($K21&lt;&gt;"",$K21&lt;MAX($H21:$J21))),"Avance semanal decreciente"&amp;" · ","")&amp;IF(AND(ISNUMBER($F21),$F21&lt;FechaRef,N($L21)&lt;1),"Vencida"&amp;" · ","")&amp;IF(AND(ObsObligatoria="Sí",ISNUMBER($F21),$F21&lt;FechaRef,N($L21)&lt;1,$N21=""),"Vencida sin observación"&amp;" · ",""))-3)))</f>
        <v/>
      </c>
      <c r="P21" s="69">
        <f>IF(NOT((COUNTA($B21:$K21)+COUNTA($N21))&gt;0),"",IF(AND($S21="Sub",N($R21)&gt;0),IF(ISNUMBER(INDEX($E$5:$E$1000,$R21-4)),DATE(YEAR(INDEX($E$5:$E$1000,$R21-4)),MONTH(INDEX($E$5:$E$1000,$R21-4)),1),IF(ISNUMBER(INDEX($F$5:$F$1000,$R21-4)),DATE(YEAR(INDEX($F$5:$F$1000,$R21-4)),MONTH(INDEX($F$5:$F$1000,$R21-4)),1),MesCiclo)),IF(ISNUMBER($E21),DATE(YEAR($E21),MONTH($E21),1),IF(ISNUMBER($F21),DATE(YEAR($F21),MONTH($F21),1),MesCiclo))))</f>
        <v/>
      </c>
      <c r="Q21" s="70">
        <f>IF(OR($P21="",$P21&lt;&gt;MesCiclo),"",COUNTIF($P$5:$P21,MesCiclo))</f>
        <v/>
      </c>
      <c r="R21" s="70">
        <f>IF($S21="","",IF($S21="Macro",ROW(),IFERROR(LOOKUP(2,1/($S$5:$S21="Macro"),ROW($S$5:$S21)),0)))</f>
        <v/>
      </c>
      <c r="S21" s="70">
        <f>IF(NOT((COUNTA($B21:$K21)+COUNTA($N21))&gt;0),"",IF($B21&lt;&gt;"","Macro",IF($C21&lt;&gt;"","Sub","Macro")))</f>
        <v/>
      </c>
      <c r="T21" s="70">
        <f>IF($S21="Macro",COUNTIFS($R$5:$R$1000,ROW(),$S$5:$S$1000,"Sub"),"")</f>
        <v/>
      </c>
      <c r="U21" s="70">
        <f>IF($S21="","",IF(ISNUMBER($H21),$H21,0))</f>
        <v/>
      </c>
      <c r="V21" s="70">
        <f>IF($S21="","",IF(ISNUMBER($I21),$I21,$U21))</f>
        <v/>
      </c>
      <c r="W21" s="70">
        <f>IF($S21="","",IF(ISNUMBER($J21),$J21,$V21))</f>
        <v/>
      </c>
      <c r="X21" s="70">
        <f>IF($S21="","",IF(ISNUMBER($K21),$K21,$W21))</f>
        <v/>
      </c>
      <c r="Y21" s="70">
        <f>IF($S21="","",IF(N($T21)&gt;0,AVERAGEIFS($U$5:$U$1000,$R$5:$R$1000,ROW(),$S$5:$S$1000,"Sub"),$U21))</f>
        <v/>
      </c>
      <c r="Z21" s="70">
        <f>IF($S21="","",IF(N($T21)&gt;0,AVERAGEIFS($V$5:$V$1000,$R$5:$R$1000,ROW(),$S$5:$S$1000,"Sub"),$V21))</f>
        <v/>
      </c>
      <c r="AA21" s="70">
        <f>IF($S21="","",IF(N($T21)&gt;0,AVERAGEIFS($W$5:$W$1000,$R$5:$R$1000,ROW(),$S$5:$S$1000,"Sub"),$W21))</f>
        <v/>
      </c>
      <c r="AB21" s="70">
        <f>IF($S21="","",IF(N($T21)&gt;0,AVERAGEIFS($X$5:$X$1000,$R$5:$R$1000,ROW(),$S$5:$S$1000,"Sub"),$X21))</f>
        <v/>
      </c>
    </row>
    <row r="22">
      <c r="A22" s="61">
        <f>IF(NOT((COUNTA($B22:$K22)+COUNTA($N22))&gt;0),"",IF($S22="Macro",COUNTIFS($S$5:$S22,"Macro",$P$5:$P22,$P22),IF(N($R22)=0,"?",COUNTIFS(INDEX($S$5:$S$1000,1):INDEX($S$5:$S$1000,$R22-4),"Macro",INDEX($P$5:$P$1000,1):INDEX($P$5:$P$1000,$R22-4),INDEX($P$5:$P$1000,$R22-4))&amp;"."&amp;COUNTIFS($R$5:$R22,$R22,$S$5:$S22,"Sub"))))</f>
        <v/>
      </c>
      <c r="B22" s="62" t="n"/>
      <c r="C22" s="63" t="n"/>
      <c r="D22" s="62" t="n"/>
      <c r="E22" s="64" t="n"/>
      <c r="F22" s="64" t="n"/>
      <c r="G22" s="65" t="n"/>
      <c r="H22" s="66" t="n"/>
      <c r="I22" s="66" t="n"/>
      <c r="J22" s="66" t="n"/>
      <c r="K22" s="66" t="n"/>
      <c r="L22" s="67">
        <f>IF(NOT((COUNTA($B22:$K22)+COUNTA($N22))&gt;0),"",IF(N($T22)&gt;0,$AB22,IFERROR(LOOKUP(2,1/(H22:K22&lt;&gt;""),H22:K22),0)))</f>
        <v/>
      </c>
      <c r="M22" s="61">
        <f>IF(L22="","",IF(L22&gt;=1,"Completado",IF(L22&gt;0,"En curso","Pendiente")))</f>
        <v/>
      </c>
      <c r="N22" s="62" t="n"/>
      <c r="O22" s="68">
        <f>IF(NOT((COUNTA($B22:$K22)+COUNTA($N22))&gt;0),"",IF((IF(AND($S22="Macro",$B22=""),"Macroactividad vacía"&amp;" · ","")&amp;IF(AND($B22&lt;&gt;"",$C22&lt;&gt;""),"Escriba la subactividad en otra fila, debajo de su macroactividad"&amp;" · ","")&amp;IF(AND($S22="Sub",N($R22)=0),"Subactividad sin macroactividad arriba"&amp;" · ","")&amp;IF($D22="","Sin responsable"&amp;" · ","")&amp;IF($E22="","Sin fecha de inicio"&amp;" · ","")&amp;IF($F22="","Sin fecha límite"&amp;" · ","")&amp;IF(OR(AND($E22&lt;&gt;"",NOT(ISNUMBER($E22))),AND($F22&lt;&gt;"",NOT(ISNUMBER($F22)))),"Fecha no válida"&amp;" · ","")&amp;IF(AND(ISNUMBER($E22),ISNUMBER($F22),$E22&gt;$F22),"Inicio posterior a fecha límite"&amp;" · ","")&amp;IF(AND($S22="Macro",$G22=""),"Peso vacío"&amp;" · ","")&amp;IF(AND($S22="Macro",$G22&lt;&gt;"",OR(NOT(ISNUMBER($G22)),$G22&lt;=0,$G22&gt;1)),"Peso fuera de rango"&amp;" · ","")&amp;IF(AND($S22="Sub",$G22&lt;&gt;""),"Las subactividades no llevan peso"&amp;" · ","")&amp;IF(AND($S22="Macro",ABS(SUMIFS($G$5:$G$1000,$P$5:$P$1000,$P22,$S$5:$S$1000,"Macro")-1)&gt;0.0001),"Pesos del mes suman "&amp;TEXT(SUMIFS($G$5:$G$1000,$P$5:$P$1000,$P22,$S$5:$S$1000,"Macro"),"0%")&amp;" · ","")&amp;IF(AND(N($T22)&gt;0,COUNT($H22:$K22)&gt;0),"Con subactividades: deje vacías las semanas (se calculan solas)"&amp;" · ","")&amp;IF((COUNTIF($H22:$K22,"&gt;1")+COUNTIF($H22:$K22,"&lt;0")+COUNTA($H22:$K22)-COUNT($H22:$K22))&gt;0,"Avance fuera de rango 0-100%"&amp;" · ","")&amp;IF(OR(AND($I22&lt;&gt;"",$I22&lt;$H22),AND($J22&lt;&gt;"",$J22&lt;MAX($H22:$I22)),AND($K22&lt;&gt;"",$K22&lt;MAX($H22:$J22))),"Avance semanal decreciente"&amp;" · ","")&amp;IF(AND(ISNUMBER($F22),$F22&lt;FechaRef,N($L22)&lt;1),"Vencida"&amp;" · ","")&amp;IF(AND(ObsObligatoria="Sí",ISNUMBER($F22),$F22&lt;FechaRef,N($L22)&lt;1,$N22=""),"Vencida sin observación"&amp;" · ",""))="","✔ OK","⚠ "&amp;LEFT(IF(AND($S22="Macro",$B22=""),"Macroactividad vacía"&amp;" · ","")&amp;IF(AND($B22&lt;&gt;"",$C22&lt;&gt;""),"Escriba la subactividad en otra fila, debajo de su macroactividad"&amp;" · ","")&amp;IF(AND($S22="Sub",N($R22)=0),"Subactividad sin macroactividad arriba"&amp;" · ","")&amp;IF($D22="","Sin responsable"&amp;" · ","")&amp;IF($E22="","Sin fecha de inicio"&amp;" · ","")&amp;IF($F22="","Sin fecha límite"&amp;" · ","")&amp;IF(OR(AND($E22&lt;&gt;"",NOT(ISNUMBER($E22))),AND($F22&lt;&gt;"",NOT(ISNUMBER($F22)))),"Fecha no válida"&amp;" · ","")&amp;IF(AND(ISNUMBER($E22),ISNUMBER($F22),$E22&gt;$F22),"Inicio posterior a fecha límite"&amp;" · ","")&amp;IF(AND($S22="Macro",$G22=""),"Peso vacío"&amp;" · ","")&amp;IF(AND($S22="Macro",$G22&lt;&gt;"",OR(NOT(ISNUMBER($G22)),$G22&lt;=0,$G22&gt;1)),"Peso fuera de rango"&amp;" · ","")&amp;IF(AND($S22="Sub",$G22&lt;&gt;""),"Las subactividades no llevan peso"&amp;" · ","")&amp;IF(AND($S22="Macro",ABS(SUMIFS($G$5:$G$1000,$P$5:$P$1000,$P22,$S$5:$S$1000,"Macro")-1)&gt;0.0001),"Pesos del mes suman "&amp;TEXT(SUMIFS($G$5:$G$1000,$P$5:$P$1000,$P22,$S$5:$S$1000,"Macro"),"0%")&amp;" · ","")&amp;IF(AND(N($T22)&gt;0,COUNT($H22:$K22)&gt;0),"Con subactividades: deje vacías las semanas (se calculan solas)"&amp;" · ","")&amp;IF((COUNTIF($H22:$K22,"&gt;1")+COUNTIF($H22:$K22,"&lt;0")+COUNTA($H22:$K22)-COUNT($H22:$K22))&gt;0,"Avance fuera de rango 0-100%"&amp;" · ","")&amp;IF(OR(AND($I22&lt;&gt;"",$I22&lt;$H22),AND($J22&lt;&gt;"",$J22&lt;MAX($H22:$I22)),AND($K22&lt;&gt;"",$K22&lt;MAX($H22:$J22))),"Avance semanal decreciente"&amp;" · ","")&amp;IF(AND(ISNUMBER($F22),$F22&lt;FechaRef,N($L22)&lt;1),"Vencida"&amp;" · ","")&amp;IF(AND(ObsObligatoria="Sí",ISNUMBER($F22),$F22&lt;FechaRef,N($L22)&lt;1,$N22=""),"Vencida sin observación"&amp;" · ",""),LEN(IF(AND($S22="Macro",$B22=""),"Macroactividad vacía"&amp;" · ","")&amp;IF(AND($B22&lt;&gt;"",$C22&lt;&gt;""),"Escriba la subactividad en otra fila, debajo de su macroactividad"&amp;" · ","")&amp;IF(AND($S22="Sub",N($R22)=0),"Subactividad sin macroactividad arriba"&amp;" · ","")&amp;IF($D22="","Sin responsable"&amp;" · ","")&amp;IF($E22="","Sin fecha de inicio"&amp;" · ","")&amp;IF($F22="","Sin fecha límite"&amp;" · ","")&amp;IF(OR(AND($E22&lt;&gt;"",NOT(ISNUMBER($E22))),AND($F22&lt;&gt;"",NOT(ISNUMBER($F22)))),"Fecha no válida"&amp;" · ","")&amp;IF(AND(ISNUMBER($E22),ISNUMBER($F22),$E22&gt;$F22),"Inicio posterior a fecha límite"&amp;" · ","")&amp;IF(AND($S22="Macro",$G22=""),"Peso vacío"&amp;" · ","")&amp;IF(AND($S22="Macro",$G22&lt;&gt;"",OR(NOT(ISNUMBER($G22)),$G22&lt;=0,$G22&gt;1)),"Peso fuera de rango"&amp;" · ","")&amp;IF(AND($S22="Sub",$G22&lt;&gt;""),"Las subactividades no llevan peso"&amp;" · ","")&amp;IF(AND($S22="Macro",ABS(SUMIFS($G$5:$G$1000,$P$5:$P$1000,$P22,$S$5:$S$1000,"Macro")-1)&gt;0.0001),"Pesos del mes suman "&amp;TEXT(SUMIFS($G$5:$G$1000,$P$5:$P$1000,$P22,$S$5:$S$1000,"Macro"),"0%")&amp;" · ","")&amp;IF(AND(N($T22)&gt;0,COUNT($H22:$K22)&gt;0),"Con subactividades: deje vacías las semanas (se calculan solas)"&amp;" · ","")&amp;IF((COUNTIF($H22:$K22,"&gt;1")+COUNTIF($H22:$K22,"&lt;0")+COUNTA($H22:$K22)-COUNT($H22:$K22))&gt;0,"Avance fuera de rango 0-100%"&amp;" · ","")&amp;IF(OR(AND($I22&lt;&gt;"",$I22&lt;$H22),AND($J22&lt;&gt;"",$J22&lt;MAX($H22:$I22)),AND($K22&lt;&gt;"",$K22&lt;MAX($H22:$J22))),"Avance semanal decreciente"&amp;" · ","")&amp;IF(AND(ISNUMBER($F22),$F22&lt;FechaRef,N($L22)&lt;1),"Vencida"&amp;" · ","")&amp;IF(AND(ObsObligatoria="Sí",ISNUMBER($F22),$F22&lt;FechaRef,N($L22)&lt;1,$N22=""),"Vencida sin observación"&amp;" · ",""))-3)))</f>
        <v/>
      </c>
      <c r="P22" s="69">
        <f>IF(NOT((COUNTA($B22:$K22)+COUNTA($N22))&gt;0),"",IF(AND($S22="Sub",N($R22)&gt;0),IF(ISNUMBER(INDEX($E$5:$E$1000,$R22-4)),DATE(YEAR(INDEX($E$5:$E$1000,$R22-4)),MONTH(INDEX($E$5:$E$1000,$R22-4)),1),IF(ISNUMBER(INDEX($F$5:$F$1000,$R22-4)),DATE(YEAR(INDEX($F$5:$F$1000,$R22-4)),MONTH(INDEX($F$5:$F$1000,$R22-4)),1),MesCiclo)),IF(ISNUMBER($E22),DATE(YEAR($E22),MONTH($E22),1),IF(ISNUMBER($F22),DATE(YEAR($F22),MONTH($F22),1),MesCiclo))))</f>
        <v/>
      </c>
      <c r="Q22" s="70">
        <f>IF(OR($P22="",$P22&lt;&gt;MesCiclo),"",COUNTIF($P$5:$P22,MesCiclo))</f>
        <v/>
      </c>
      <c r="R22" s="70">
        <f>IF($S22="","",IF($S22="Macro",ROW(),IFERROR(LOOKUP(2,1/($S$5:$S22="Macro"),ROW($S$5:$S22)),0)))</f>
        <v/>
      </c>
      <c r="S22" s="70">
        <f>IF(NOT((COUNTA($B22:$K22)+COUNTA($N22))&gt;0),"",IF($B22&lt;&gt;"","Macro",IF($C22&lt;&gt;"","Sub","Macro")))</f>
        <v/>
      </c>
      <c r="T22" s="70">
        <f>IF($S22="Macro",COUNTIFS($R$5:$R$1000,ROW(),$S$5:$S$1000,"Sub"),"")</f>
        <v/>
      </c>
      <c r="U22" s="70">
        <f>IF($S22="","",IF(ISNUMBER($H22),$H22,0))</f>
        <v/>
      </c>
      <c r="V22" s="70">
        <f>IF($S22="","",IF(ISNUMBER($I22),$I22,$U22))</f>
        <v/>
      </c>
      <c r="W22" s="70">
        <f>IF($S22="","",IF(ISNUMBER($J22),$J22,$V22))</f>
        <v/>
      </c>
      <c r="X22" s="70">
        <f>IF($S22="","",IF(ISNUMBER($K22),$K22,$W22))</f>
        <v/>
      </c>
      <c r="Y22" s="70">
        <f>IF($S22="","",IF(N($T22)&gt;0,AVERAGEIFS($U$5:$U$1000,$R$5:$R$1000,ROW(),$S$5:$S$1000,"Sub"),$U22))</f>
        <v/>
      </c>
      <c r="Z22" s="70">
        <f>IF($S22="","",IF(N($T22)&gt;0,AVERAGEIFS($V$5:$V$1000,$R$5:$R$1000,ROW(),$S$5:$S$1000,"Sub"),$V22))</f>
        <v/>
      </c>
      <c r="AA22" s="70">
        <f>IF($S22="","",IF(N($T22)&gt;0,AVERAGEIFS($W$5:$W$1000,$R$5:$R$1000,ROW(),$S$5:$S$1000,"Sub"),$W22))</f>
        <v/>
      </c>
      <c r="AB22" s="70">
        <f>IF($S22="","",IF(N($T22)&gt;0,AVERAGEIFS($X$5:$X$1000,$R$5:$R$1000,ROW(),$S$5:$S$1000,"Sub"),$X22))</f>
        <v/>
      </c>
    </row>
    <row r="23">
      <c r="A23" s="61">
        <f>IF(NOT((COUNTA($B23:$K23)+COUNTA($N23))&gt;0),"",IF($S23="Macro",COUNTIFS($S$5:$S23,"Macro",$P$5:$P23,$P23),IF(N($R23)=0,"?",COUNTIFS(INDEX($S$5:$S$1000,1):INDEX($S$5:$S$1000,$R23-4),"Macro",INDEX($P$5:$P$1000,1):INDEX($P$5:$P$1000,$R23-4),INDEX($P$5:$P$1000,$R23-4))&amp;"."&amp;COUNTIFS($R$5:$R23,$R23,$S$5:$S23,"Sub"))))</f>
        <v/>
      </c>
      <c r="B23" s="62" t="n"/>
      <c r="C23" s="63" t="n"/>
      <c r="D23" s="62" t="n"/>
      <c r="E23" s="64" t="n"/>
      <c r="F23" s="64" t="n"/>
      <c r="G23" s="65" t="n"/>
      <c r="H23" s="66" t="n"/>
      <c r="I23" s="66" t="n"/>
      <c r="J23" s="66" t="n"/>
      <c r="K23" s="66" t="n"/>
      <c r="L23" s="67">
        <f>IF(NOT((COUNTA($B23:$K23)+COUNTA($N23))&gt;0),"",IF(N($T23)&gt;0,$AB23,IFERROR(LOOKUP(2,1/(H23:K23&lt;&gt;""),H23:K23),0)))</f>
        <v/>
      </c>
      <c r="M23" s="61">
        <f>IF(L23="","",IF(L23&gt;=1,"Completado",IF(L23&gt;0,"En curso","Pendiente")))</f>
        <v/>
      </c>
      <c r="N23" s="62" t="n"/>
      <c r="O23" s="68">
        <f>IF(NOT((COUNTA($B23:$K23)+COUNTA($N23))&gt;0),"",IF((IF(AND($S23="Macro",$B23=""),"Macroactividad vacía"&amp;" · ","")&amp;IF(AND($B23&lt;&gt;"",$C23&lt;&gt;""),"Escriba la subactividad en otra fila, debajo de su macroactividad"&amp;" · ","")&amp;IF(AND($S23="Sub",N($R23)=0),"Subactividad sin macroactividad arriba"&amp;" · ","")&amp;IF($D23="","Sin responsable"&amp;" · ","")&amp;IF($E23="","Sin fecha de inicio"&amp;" · ","")&amp;IF($F23="","Sin fecha límite"&amp;" · ","")&amp;IF(OR(AND($E23&lt;&gt;"",NOT(ISNUMBER($E23))),AND($F23&lt;&gt;"",NOT(ISNUMBER($F23)))),"Fecha no válida"&amp;" · ","")&amp;IF(AND(ISNUMBER($E23),ISNUMBER($F23),$E23&gt;$F23),"Inicio posterior a fecha límite"&amp;" · ","")&amp;IF(AND($S23="Macro",$G23=""),"Peso vacío"&amp;" · ","")&amp;IF(AND($S23="Macro",$G23&lt;&gt;"",OR(NOT(ISNUMBER($G23)),$G23&lt;=0,$G23&gt;1)),"Peso fuera de rango"&amp;" · ","")&amp;IF(AND($S23="Sub",$G23&lt;&gt;""),"Las subactividades no llevan peso"&amp;" · ","")&amp;IF(AND($S23="Macro",ABS(SUMIFS($G$5:$G$1000,$P$5:$P$1000,$P23,$S$5:$S$1000,"Macro")-1)&gt;0.0001),"Pesos del mes suman "&amp;TEXT(SUMIFS($G$5:$G$1000,$P$5:$P$1000,$P23,$S$5:$S$1000,"Macro"),"0%")&amp;" · ","")&amp;IF(AND(N($T23)&gt;0,COUNT($H23:$K23)&gt;0),"Con subactividades: deje vacías las semanas (se calculan solas)"&amp;" · ","")&amp;IF((COUNTIF($H23:$K23,"&gt;1")+COUNTIF($H23:$K23,"&lt;0")+COUNTA($H23:$K23)-COUNT($H23:$K23))&gt;0,"Avance fuera de rango 0-100%"&amp;" · ","")&amp;IF(OR(AND($I23&lt;&gt;"",$I23&lt;$H23),AND($J23&lt;&gt;"",$J23&lt;MAX($H23:$I23)),AND($K23&lt;&gt;"",$K23&lt;MAX($H23:$J23))),"Avance semanal decreciente"&amp;" · ","")&amp;IF(AND(ISNUMBER($F23),$F23&lt;FechaRef,N($L23)&lt;1),"Vencida"&amp;" · ","")&amp;IF(AND(ObsObligatoria="Sí",ISNUMBER($F23),$F23&lt;FechaRef,N($L23)&lt;1,$N23=""),"Vencida sin observación"&amp;" · ",""))="","✔ OK","⚠ "&amp;LEFT(IF(AND($S23="Macro",$B23=""),"Macroactividad vacía"&amp;" · ","")&amp;IF(AND($B23&lt;&gt;"",$C23&lt;&gt;""),"Escriba la subactividad en otra fila, debajo de su macroactividad"&amp;" · ","")&amp;IF(AND($S23="Sub",N($R23)=0),"Subactividad sin macroactividad arriba"&amp;" · ","")&amp;IF($D23="","Sin responsable"&amp;" · ","")&amp;IF($E23="","Sin fecha de inicio"&amp;" · ","")&amp;IF($F23="","Sin fecha límite"&amp;" · ","")&amp;IF(OR(AND($E23&lt;&gt;"",NOT(ISNUMBER($E23))),AND($F23&lt;&gt;"",NOT(ISNUMBER($F23)))),"Fecha no válida"&amp;" · ","")&amp;IF(AND(ISNUMBER($E23),ISNUMBER($F23),$E23&gt;$F23),"Inicio posterior a fecha límite"&amp;" · ","")&amp;IF(AND($S23="Macro",$G23=""),"Peso vacío"&amp;" · ","")&amp;IF(AND($S23="Macro",$G23&lt;&gt;"",OR(NOT(ISNUMBER($G23)),$G23&lt;=0,$G23&gt;1)),"Peso fuera de rango"&amp;" · ","")&amp;IF(AND($S23="Sub",$G23&lt;&gt;""),"Las subactividades no llevan peso"&amp;" · ","")&amp;IF(AND($S23="Macro",ABS(SUMIFS($G$5:$G$1000,$P$5:$P$1000,$P23,$S$5:$S$1000,"Macro")-1)&gt;0.0001),"Pesos del mes suman "&amp;TEXT(SUMIFS($G$5:$G$1000,$P$5:$P$1000,$P23,$S$5:$S$1000,"Macro"),"0%")&amp;" · ","")&amp;IF(AND(N($T23)&gt;0,COUNT($H23:$K23)&gt;0),"Con subactividades: deje vacías las semanas (se calculan solas)"&amp;" · ","")&amp;IF((COUNTIF($H23:$K23,"&gt;1")+COUNTIF($H23:$K23,"&lt;0")+COUNTA($H23:$K23)-COUNT($H23:$K23))&gt;0,"Avance fuera de rango 0-100%"&amp;" · ","")&amp;IF(OR(AND($I23&lt;&gt;"",$I23&lt;$H23),AND($J23&lt;&gt;"",$J23&lt;MAX($H23:$I23)),AND($K23&lt;&gt;"",$K23&lt;MAX($H23:$J23))),"Avance semanal decreciente"&amp;" · ","")&amp;IF(AND(ISNUMBER($F23),$F23&lt;FechaRef,N($L23)&lt;1),"Vencida"&amp;" · ","")&amp;IF(AND(ObsObligatoria="Sí",ISNUMBER($F23),$F23&lt;FechaRef,N($L23)&lt;1,$N23=""),"Vencida sin observación"&amp;" · ",""),LEN(IF(AND($S23="Macro",$B23=""),"Macroactividad vacía"&amp;" · ","")&amp;IF(AND($B23&lt;&gt;"",$C23&lt;&gt;""),"Escriba la subactividad en otra fila, debajo de su macroactividad"&amp;" · ","")&amp;IF(AND($S23="Sub",N($R23)=0),"Subactividad sin macroactividad arriba"&amp;" · ","")&amp;IF($D23="","Sin responsable"&amp;" · ","")&amp;IF($E23="","Sin fecha de inicio"&amp;" · ","")&amp;IF($F23="","Sin fecha límite"&amp;" · ","")&amp;IF(OR(AND($E23&lt;&gt;"",NOT(ISNUMBER($E23))),AND($F23&lt;&gt;"",NOT(ISNUMBER($F23)))),"Fecha no válida"&amp;" · ","")&amp;IF(AND(ISNUMBER($E23),ISNUMBER($F23),$E23&gt;$F23),"Inicio posterior a fecha límite"&amp;" · ","")&amp;IF(AND($S23="Macro",$G23=""),"Peso vacío"&amp;" · ","")&amp;IF(AND($S23="Macro",$G23&lt;&gt;"",OR(NOT(ISNUMBER($G23)),$G23&lt;=0,$G23&gt;1)),"Peso fuera de rango"&amp;" · ","")&amp;IF(AND($S23="Sub",$G23&lt;&gt;""),"Las subactividades no llevan peso"&amp;" · ","")&amp;IF(AND($S23="Macro",ABS(SUMIFS($G$5:$G$1000,$P$5:$P$1000,$P23,$S$5:$S$1000,"Macro")-1)&gt;0.0001),"Pesos del mes suman "&amp;TEXT(SUMIFS($G$5:$G$1000,$P$5:$P$1000,$P23,$S$5:$S$1000,"Macro"),"0%")&amp;" · ","")&amp;IF(AND(N($T23)&gt;0,COUNT($H23:$K23)&gt;0),"Con subactividades: deje vacías las semanas (se calculan solas)"&amp;" · ","")&amp;IF((COUNTIF($H23:$K23,"&gt;1")+COUNTIF($H23:$K23,"&lt;0")+COUNTA($H23:$K23)-COUNT($H23:$K23))&gt;0,"Avance fuera de rango 0-100%"&amp;" · ","")&amp;IF(OR(AND($I23&lt;&gt;"",$I23&lt;$H23),AND($J23&lt;&gt;"",$J23&lt;MAX($H23:$I23)),AND($K23&lt;&gt;"",$K23&lt;MAX($H23:$J23))),"Avance semanal decreciente"&amp;" · ","")&amp;IF(AND(ISNUMBER($F23),$F23&lt;FechaRef,N($L23)&lt;1),"Vencida"&amp;" · ","")&amp;IF(AND(ObsObligatoria="Sí",ISNUMBER($F23),$F23&lt;FechaRef,N($L23)&lt;1,$N23=""),"Vencida sin observación"&amp;" · ",""))-3)))</f>
        <v/>
      </c>
      <c r="P23" s="69">
        <f>IF(NOT((COUNTA($B23:$K23)+COUNTA($N23))&gt;0),"",IF(AND($S23="Sub",N($R23)&gt;0),IF(ISNUMBER(INDEX($E$5:$E$1000,$R23-4)),DATE(YEAR(INDEX($E$5:$E$1000,$R23-4)),MONTH(INDEX($E$5:$E$1000,$R23-4)),1),IF(ISNUMBER(INDEX($F$5:$F$1000,$R23-4)),DATE(YEAR(INDEX($F$5:$F$1000,$R23-4)),MONTH(INDEX($F$5:$F$1000,$R23-4)),1),MesCiclo)),IF(ISNUMBER($E23),DATE(YEAR($E23),MONTH($E23),1),IF(ISNUMBER($F23),DATE(YEAR($F23),MONTH($F23),1),MesCiclo))))</f>
        <v/>
      </c>
      <c r="Q23" s="70">
        <f>IF(OR($P23="",$P23&lt;&gt;MesCiclo),"",COUNTIF($P$5:$P23,MesCiclo))</f>
        <v/>
      </c>
      <c r="R23" s="70">
        <f>IF($S23="","",IF($S23="Macro",ROW(),IFERROR(LOOKUP(2,1/($S$5:$S23="Macro"),ROW($S$5:$S23)),0)))</f>
        <v/>
      </c>
      <c r="S23" s="70">
        <f>IF(NOT((COUNTA($B23:$K23)+COUNTA($N23))&gt;0),"",IF($B23&lt;&gt;"","Macro",IF($C23&lt;&gt;"","Sub","Macro")))</f>
        <v/>
      </c>
      <c r="T23" s="70">
        <f>IF($S23="Macro",COUNTIFS($R$5:$R$1000,ROW(),$S$5:$S$1000,"Sub"),"")</f>
        <v/>
      </c>
      <c r="U23" s="70">
        <f>IF($S23="","",IF(ISNUMBER($H23),$H23,0))</f>
        <v/>
      </c>
      <c r="V23" s="70">
        <f>IF($S23="","",IF(ISNUMBER($I23),$I23,$U23))</f>
        <v/>
      </c>
      <c r="W23" s="70">
        <f>IF($S23="","",IF(ISNUMBER($J23),$J23,$V23))</f>
        <v/>
      </c>
      <c r="X23" s="70">
        <f>IF($S23="","",IF(ISNUMBER($K23),$K23,$W23))</f>
        <v/>
      </c>
      <c r="Y23" s="70">
        <f>IF($S23="","",IF(N($T23)&gt;0,AVERAGEIFS($U$5:$U$1000,$R$5:$R$1000,ROW(),$S$5:$S$1000,"Sub"),$U23))</f>
        <v/>
      </c>
      <c r="Z23" s="70">
        <f>IF($S23="","",IF(N($T23)&gt;0,AVERAGEIFS($V$5:$V$1000,$R$5:$R$1000,ROW(),$S$5:$S$1000,"Sub"),$V23))</f>
        <v/>
      </c>
      <c r="AA23" s="70">
        <f>IF($S23="","",IF(N($T23)&gt;0,AVERAGEIFS($W$5:$W$1000,$R$5:$R$1000,ROW(),$S$5:$S$1000,"Sub"),$W23))</f>
        <v/>
      </c>
      <c r="AB23" s="70">
        <f>IF($S23="","",IF(N($T23)&gt;0,AVERAGEIFS($X$5:$X$1000,$R$5:$R$1000,ROW(),$S$5:$S$1000,"Sub"),$X23))</f>
        <v/>
      </c>
    </row>
    <row r="24">
      <c r="A24" s="61">
        <f>IF(NOT((COUNTA($B24:$K24)+COUNTA($N24))&gt;0),"",IF($S24="Macro",COUNTIFS($S$5:$S24,"Macro",$P$5:$P24,$P24),IF(N($R24)=0,"?",COUNTIFS(INDEX($S$5:$S$1000,1):INDEX($S$5:$S$1000,$R24-4),"Macro",INDEX($P$5:$P$1000,1):INDEX($P$5:$P$1000,$R24-4),INDEX($P$5:$P$1000,$R24-4))&amp;"."&amp;COUNTIFS($R$5:$R24,$R24,$S$5:$S24,"Sub"))))</f>
        <v/>
      </c>
      <c r="B24" s="62" t="n"/>
      <c r="C24" s="63" t="n"/>
      <c r="D24" s="62" t="n"/>
      <c r="E24" s="64" t="n"/>
      <c r="F24" s="64" t="n"/>
      <c r="G24" s="65" t="n"/>
      <c r="H24" s="66" t="n"/>
      <c r="I24" s="66" t="n"/>
      <c r="J24" s="66" t="n"/>
      <c r="K24" s="66" t="n"/>
      <c r="L24" s="67">
        <f>IF(NOT((COUNTA($B24:$K24)+COUNTA($N24))&gt;0),"",IF(N($T24)&gt;0,$AB24,IFERROR(LOOKUP(2,1/(H24:K24&lt;&gt;""),H24:K24),0)))</f>
        <v/>
      </c>
      <c r="M24" s="61">
        <f>IF(L24="","",IF(L24&gt;=1,"Completado",IF(L24&gt;0,"En curso","Pendiente")))</f>
        <v/>
      </c>
      <c r="N24" s="62" t="n"/>
      <c r="O24" s="68">
        <f>IF(NOT((COUNTA($B24:$K24)+COUNTA($N24))&gt;0),"",IF((IF(AND($S24="Macro",$B24=""),"Macroactividad vacía"&amp;" · ","")&amp;IF(AND($B24&lt;&gt;"",$C24&lt;&gt;""),"Escriba la subactividad en otra fila, debajo de su macroactividad"&amp;" · ","")&amp;IF(AND($S24="Sub",N($R24)=0),"Subactividad sin macroactividad arriba"&amp;" · ","")&amp;IF($D24="","Sin responsable"&amp;" · ","")&amp;IF($E24="","Sin fecha de inicio"&amp;" · ","")&amp;IF($F24="","Sin fecha límite"&amp;" · ","")&amp;IF(OR(AND($E24&lt;&gt;"",NOT(ISNUMBER($E24))),AND($F24&lt;&gt;"",NOT(ISNUMBER($F24)))),"Fecha no válida"&amp;" · ","")&amp;IF(AND(ISNUMBER($E24),ISNUMBER($F24),$E24&gt;$F24),"Inicio posterior a fecha límite"&amp;" · ","")&amp;IF(AND($S24="Macro",$G24=""),"Peso vacío"&amp;" · ","")&amp;IF(AND($S24="Macro",$G24&lt;&gt;"",OR(NOT(ISNUMBER($G24)),$G24&lt;=0,$G24&gt;1)),"Peso fuera de rango"&amp;" · ","")&amp;IF(AND($S24="Sub",$G24&lt;&gt;""),"Las subactividades no llevan peso"&amp;" · ","")&amp;IF(AND($S24="Macro",ABS(SUMIFS($G$5:$G$1000,$P$5:$P$1000,$P24,$S$5:$S$1000,"Macro")-1)&gt;0.0001),"Pesos del mes suman "&amp;TEXT(SUMIFS($G$5:$G$1000,$P$5:$P$1000,$P24,$S$5:$S$1000,"Macro"),"0%")&amp;" · ","")&amp;IF(AND(N($T24)&gt;0,COUNT($H24:$K24)&gt;0),"Con subactividades: deje vacías las semanas (se calculan solas)"&amp;" · ","")&amp;IF((COUNTIF($H24:$K24,"&gt;1")+COUNTIF($H24:$K24,"&lt;0")+COUNTA($H24:$K24)-COUNT($H24:$K24))&gt;0,"Avance fuera de rango 0-100%"&amp;" · ","")&amp;IF(OR(AND($I24&lt;&gt;"",$I24&lt;$H24),AND($J24&lt;&gt;"",$J24&lt;MAX($H24:$I24)),AND($K24&lt;&gt;"",$K24&lt;MAX($H24:$J24))),"Avance semanal decreciente"&amp;" · ","")&amp;IF(AND(ISNUMBER($F24),$F24&lt;FechaRef,N($L24)&lt;1),"Vencida"&amp;" · ","")&amp;IF(AND(ObsObligatoria="Sí",ISNUMBER($F24),$F24&lt;FechaRef,N($L24)&lt;1,$N24=""),"Vencida sin observación"&amp;" · ",""))="","✔ OK","⚠ "&amp;LEFT(IF(AND($S24="Macro",$B24=""),"Macroactividad vacía"&amp;" · ","")&amp;IF(AND($B24&lt;&gt;"",$C24&lt;&gt;""),"Escriba la subactividad en otra fila, debajo de su macroactividad"&amp;" · ","")&amp;IF(AND($S24="Sub",N($R24)=0),"Subactividad sin macroactividad arriba"&amp;" · ","")&amp;IF($D24="","Sin responsable"&amp;" · ","")&amp;IF($E24="","Sin fecha de inicio"&amp;" · ","")&amp;IF($F24="","Sin fecha límite"&amp;" · ","")&amp;IF(OR(AND($E24&lt;&gt;"",NOT(ISNUMBER($E24))),AND($F24&lt;&gt;"",NOT(ISNUMBER($F24)))),"Fecha no válida"&amp;" · ","")&amp;IF(AND(ISNUMBER($E24),ISNUMBER($F24),$E24&gt;$F24),"Inicio posterior a fecha límite"&amp;" · ","")&amp;IF(AND($S24="Macro",$G24=""),"Peso vacío"&amp;" · ","")&amp;IF(AND($S24="Macro",$G24&lt;&gt;"",OR(NOT(ISNUMBER($G24)),$G24&lt;=0,$G24&gt;1)),"Peso fuera de rango"&amp;" · ","")&amp;IF(AND($S24="Sub",$G24&lt;&gt;""),"Las subactividades no llevan peso"&amp;" · ","")&amp;IF(AND($S24="Macro",ABS(SUMIFS($G$5:$G$1000,$P$5:$P$1000,$P24,$S$5:$S$1000,"Macro")-1)&gt;0.0001),"Pesos del mes suman "&amp;TEXT(SUMIFS($G$5:$G$1000,$P$5:$P$1000,$P24,$S$5:$S$1000,"Macro"),"0%")&amp;" · ","")&amp;IF(AND(N($T24)&gt;0,COUNT($H24:$K24)&gt;0),"Con subactividades: deje vacías las semanas (se calculan solas)"&amp;" · ","")&amp;IF((COUNTIF($H24:$K24,"&gt;1")+COUNTIF($H24:$K24,"&lt;0")+COUNTA($H24:$K24)-COUNT($H24:$K24))&gt;0,"Avance fuera de rango 0-100%"&amp;" · ","")&amp;IF(OR(AND($I24&lt;&gt;"",$I24&lt;$H24),AND($J24&lt;&gt;"",$J24&lt;MAX($H24:$I24)),AND($K24&lt;&gt;"",$K24&lt;MAX($H24:$J24))),"Avance semanal decreciente"&amp;" · ","")&amp;IF(AND(ISNUMBER($F24),$F24&lt;FechaRef,N($L24)&lt;1),"Vencida"&amp;" · ","")&amp;IF(AND(ObsObligatoria="Sí",ISNUMBER($F24),$F24&lt;FechaRef,N($L24)&lt;1,$N24=""),"Vencida sin observación"&amp;" · ",""),LEN(IF(AND($S24="Macro",$B24=""),"Macroactividad vacía"&amp;" · ","")&amp;IF(AND($B24&lt;&gt;"",$C24&lt;&gt;""),"Escriba la subactividad en otra fila, debajo de su macroactividad"&amp;" · ","")&amp;IF(AND($S24="Sub",N($R24)=0),"Subactividad sin macroactividad arriba"&amp;" · ","")&amp;IF($D24="","Sin responsable"&amp;" · ","")&amp;IF($E24="","Sin fecha de inicio"&amp;" · ","")&amp;IF($F24="","Sin fecha límite"&amp;" · ","")&amp;IF(OR(AND($E24&lt;&gt;"",NOT(ISNUMBER($E24))),AND($F24&lt;&gt;"",NOT(ISNUMBER($F24)))),"Fecha no válida"&amp;" · ","")&amp;IF(AND(ISNUMBER($E24),ISNUMBER($F24),$E24&gt;$F24),"Inicio posterior a fecha límite"&amp;" · ","")&amp;IF(AND($S24="Macro",$G24=""),"Peso vacío"&amp;" · ","")&amp;IF(AND($S24="Macro",$G24&lt;&gt;"",OR(NOT(ISNUMBER($G24)),$G24&lt;=0,$G24&gt;1)),"Peso fuera de rango"&amp;" · ","")&amp;IF(AND($S24="Sub",$G24&lt;&gt;""),"Las subactividades no llevan peso"&amp;" · ","")&amp;IF(AND($S24="Macro",ABS(SUMIFS($G$5:$G$1000,$P$5:$P$1000,$P24,$S$5:$S$1000,"Macro")-1)&gt;0.0001),"Pesos del mes suman "&amp;TEXT(SUMIFS($G$5:$G$1000,$P$5:$P$1000,$P24,$S$5:$S$1000,"Macro"),"0%")&amp;" · ","")&amp;IF(AND(N($T24)&gt;0,COUNT($H24:$K24)&gt;0),"Con subactividades: deje vacías las semanas (se calculan solas)"&amp;" · ","")&amp;IF((COUNTIF($H24:$K24,"&gt;1")+COUNTIF($H24:$K24,"&lt;0")+COUNTA($H24:$K24)-COUNT($H24:$K24))&gt;0,"Avance fuera de rango 0-100%"&amp;" · ","")&amp;IF(OR(AND($I24&lt;&gt;"",$I24&lt;$H24),AND($J24&lt;&gt;"",$J24&lt;MAX($H24:$I24)),AND($K24&lt;&gt;"",$K24&lt;MAX($H24:$J24))),"Avance semanal decreciente"&amp;" · ","")&amp;IF(AND(ISNUMBER($F24),$F24&lt;FechaRef,N($L24)&lt;1),"Vencida"&amp;" · ","")&amp;IF(AND(ObsObligatoria="Sí",ISNUMBER($F24),$F24&lt;FechaRef,N($L24)&lt;1,$N24=""),"Vencida sin observación"&amp;" · ",""))-3)))</f>
        <v/>
      </c>
      <c r="P24" s="69">
        <f>IF(NOT((COUNTA($B24:$K24)+COUNTA($N24))&gt;0),"",IF(AND($S24="Sub",N($R24)&gt;0),IF(ISNUMBER(INDEX($E$5:$E$1000,$R24-4)),DATE(YEAR(INDEX($E$5:$E$1000,$R24-4)),MONTH(INDEX($E$5:$E$1000,$R24-4)),1),IF(ISNUMBER(INDEX($F$5:$F$1000,$R24-4)),DATE(YEAR(INDEX($F$5:$F$1000,$R24-4)),MONTH(INDEX($F$5:$F$1000,$R24-4)),1),MesCiclo)),IF(ISNUMBER($E24),DATE(YEAR($E24),MONTH($E24),1),IF(ISNUMBER($F24),DATE(YEAR($F24),MONTH($F24),1),MesCiclo))))</f>
        <v/>
      </c>
      <c r="Q24" s="70">
        <f>IF(OR($P24="",$P24&lt;&gt;MesCiclo),"",COUNTIF($P$5:$P24,MesCiclo))</f>
        <v/>
      </c>
      <c r="R24" s="70">
        <f>IF($S24="","",IF($S24="Macro",ROW(),IFERROR(LOOKUP(2,1/($S$5:$S24="Macro"),ROW($S$5:$S24)),0)))</f>
        <v/>
      </c>
      <c r="S24" s="70">
        <f>IF(NOT((COUNTA($B24:$K24)+COUNTA($N24))&gt;0),"",IF($B24&lt;&gt;"","Macro",IF($C24&lt;&gt;"","Sub","Macro")))</f>
        <v/>
      </c>
      <c r="T24" s="70">
        <f>IF($S24="Macro",COUNTIFS($R$5:$R$1000,ROW(),$S$5:$S$1000,"Sub"),"")</f>
        <v/>
      </c>
      <c r="U24" s="70">
        <f>IF($S24="","",IF(ISNUMBER($H24),$H24,0))</f>
        <v/>
      </c>
      <c r="V24" s="70">
        <f>IF($S24="","",IF(ISNUMBER($I24),$I24,$U24))</f>
        <v/>
      </c>
      <c r="W24" s="70">
        <f>IF($S24="","",IF(ISNUMBER($J24),$J24,$V24))</f>
        <v/>
      </c>
      <c r="X24" s="70">
        <f>IF($S24="","",IF(ISNUMBER($K24),$K24,$W24))</f>
        <v/>
      </c>
      <c r="Y24" s="70">
        <f>IF($S24="","",IF(N($T24)&gt;0,AVERAGEIFS($U$5:$U$1000,$R$5:$R$1000,ROW(),$S$5:$S$1000,"Sub"),$U24))</f>
        <v/>
      </c>
      <c r="Z24" s="70">
        <f>IF($S24="","",IF(N($T24)&gt;0,AVERAGEIFS($V$5:$V$1000,$R$5:$R$1000,ROW(),$S$5:$S$1000,"Sub"),$V24))</f>
        <v/>
      </c>
      <c r="AA24" s="70">
        <f>IF($S24="","",IF(N($T24)&gt;0,AVERAGEIFS($W$5:$W$1000,$R$5:$R$1000,ROW(),$S$5:$S$1000,"Sub"),$W24))</f>
        <v/>
      </c>
      <c r="AB24" s="70">
        <f>IF($S24="","",IF(N($T24)&gt;0,AVERAGEIFS($X$5:$X$1000,$R$5:$R$1000,ROW(),$S$5:$S$1000,"Sub"),$X24))</f>
        <v/>
      </c>
    </row>
    <row r="25">
      <c r="A25" s="61">
        <f>IF(NOT((COUNTA($B25:$K25)+COUNTA($N25))&gt;0),"",IF($S25="Macro",COUNTIFS($S$5:$S25,"Macro",$P$5:$P25,$P25),IF(N($R25)=0,"?",COUNTIFS(INDEX($S$5:$S$1000,1):INDEX($S$5:$S$1000,$R25-4),"Macro",INDEX($P$5:$P$1000,1):INDEX($P$5:$P$1000,$R25-4),INDEX($P$5:$P$1000,$R25-4))&amp;"."&amp;COUNTIFS($R$5:$R25,$R25,$S$5:$S25,"Sub"))))</f>
        <v/>
      </c>
      <c r="B25" s="62" t="n"/>
      <c r="C25" s="63" t="n"/>
      <c r="D25" s="62" t="n"/>
      <c r="E25" s="64" t="n"/>
      <c r="F25" s="64" t="n"/>
      <c r="G25" s="65" t="n"/>
      <c r="H25" s="66" t="n"/>
      <c r="I25" s="66" t="n"/>
      <c r="J25" s="66" t="n"/>
      <c r="K25" s="66" t="n"/>
      <c r="L25" s="67">
        <f>IF(NOT((COUNTA($B25:$K25)+COUNTA($N25))&gt;0),"",IF(N($T25)&gt;0,$AB25,IFERROR(LOOKUP(2,1/(H25:K25&lt;&gt;""),H25:K25),0)))</f>
        <v/>
      </c>
      <c r="M25" s="61">
        <f>IF(L25="","",IF(L25&gt;=1,"Completado",IF(L25&gt;0,"En curso","Pendiente")))</f>
        <v/>
      </c>
      <c r="N25" s="62" t="n"/>
      <c r="O25" s="68">
        <f>IF(NOT((COUNTA($B25:$K25)+COUNTA($N25))&gt;0),"",IF((IF(AND($S25="Macro",$B25=""),"Macroactividad vacía"&amp;" · ","")&amp;IF(AND($B25&lt;&gt;"",$C25&lt;&gt;""),"Escriba la subactividad en otra fila, debajo de su macroactividad"&amp;" · ","")&amp;IF(AND($S25="Sub",N($R25)=0),"Subactividad sin macroactividad arriba"&amp;" · ","")&amp;IF($D25="","Sin responsable"&amp;" · ","")&amp;IF($E25="","Sin fecha de inicio"&amp;" · ","")&amp;IF($F25="","Sin fecha límite"&amp;" · ","")&amp;IF(OR(AND($E25&lt;&gt;"",NOT(ISNUMBER($E25))),AND($F25&lt;&gt;"",NOT(ISNUMBER($F25)))),"Fecha no válida"&amp;" · ","")&amp;IF(AND(ISNUMBER($E25),ISNUMBER($F25),$E25&gt;$F25),"Inicio posterior a fecha límite"&amp;" · ","")&amp;IF(AND($S25="Macro",$G25=""),"Peso vacío"&amp;" · ","")&amp;IF(AND($S25="Macro",$G25&lt;&gt;"",OR(NOT(ISNUMBER($G25)),$G25&lt;=0,$G25&gt;1)),"Peso fuera de rango"&amp;" · ","")&amp;IF(AND($S25="Sub",$G25&lt;&gt;""),"Las subactividades no llevan peso"&amp;" · ","")&amp;IF(AND($S25="Macro",ABS(SUMIFS($G$5:$G$1000,$P$5:$P$1000,$P25,$S$5:$S$1000,"Macro")-1)&gt;0.0001),"Pesos del mes suman "&amp;TEXT(SUMIFS($G$5:$G$1000,$P$5:$P$1000,$P25,$S$5:$S$1000,"Macro"),"0%")&amp;" · ","")&amp;IF(AND(N($T25)&gt;0,COUNT($H25:$K25)&gt;0),"Con subactividades: deje vacías las semanas (se calculan solas)"&amp;" · ","")&amp;IF((COUNTIF($H25:$K25,"&gt;1")+COUNTIF($H25:$K25,"&lt;0")+COUNTA($H25:$K25)-COUNT($H25:$K25))&gt;0,"Avance fuera de rango 0-100%"&amp;" · ","")&amp;IF(OR(AND($I25&lt;&gt;"",$I25&lt;$H25),AND($J25&lt;&gt;"",$J25&lt;MAX($H25:$I25)),AND($K25&lt;&gt;"",$K25&lt;MAX($H25:$J25))),"Avance semanal decreciente"&amp;" · ","")&amp;IF(AND(ISNUMBER($F25),$F25&lt;FechaRef,N($L25)&lt;1),"Vencida"&amp;" · ","")&amp;IF(AND(ObsObligatoria="Sí",ISNUMBER($F25),$F25&lt;FechaRef,N($L25)&lt;1,$N25=""),"Vencida sin observación"&amp;" · ",""))="","✔ OK","⚠ "&amp;LEFT(IF(AND($S25="Macro",$B25=""),"Macroactividad vacía"&amp;" · ","")&amp;IF(AND($B25&lt;&gt;"",$C25&lt;&gt;""),"Escriba la subactividad en otra fila, debajo de su macroactividad"&amp;" · ","")&amp;IF(AND($S25="Sub",N($R25)=0),"Subactividad sin macroactividad arriba"&amp;" · ","")&amp;IF($D25="","Sin responsable"&amp;" · ","")&amp;IF($E25="","Sin fecha de inicio"&amp;" · ","")&amp;IF($F25="","Sin fecha límite"&amp;" · ","")&amp;IF(OR(AND($E25&lt;&gt;"",NOT(ISNUMBER($E25))),AND($F25&lt;&gt;"",NOT(ISNUMBER($F25)))),"Fecha no válida"&amp;" · ","")&amp;IF(AND(ISNUMBER($E25),ISNUMBER($F25),$E25&gt;$F25),"Inicio posterior a fecha límite"&amp;" · ","")&amp;IF(AND($S25="Macro",$G25=""),"Peso vacío"&amp;" · ","")&amp;IF(AND($S25="Macro",$G25&lt;&gt;"",OR(NOT(ISNUMBER($G25)),$G25&lt;=0,$G25&gt;1)),"Peso fuera de rango"&amp;" · ","")&amp;IF(AND($S25="Sub",$G25&lt;&gt;""),"Las subactividades no llevan peso"&amp;" · ","")&amp;IF(AND($S25="Macro",ABS(SUMIFS($G$5:$G$1000,$P$5:$P$1000,$P25,$S$5:$S$1000,"Macro")-1)&gt;0.0001),"Pesos del mes suman "&amp;TEXT(SUMIFS($G$5:$G$1000,$P$5:$P$1000,$P25,$S$5:$S$1000,"Macro"),"0%")&amp;" · ","")&amp;IF(AND(N($T25)&gt;0,COUNT($H25:$K25)&gt;0),"Con subactividades: deje vacías las semanas (se calculan solas)"&amp;" · ","")&amp;IF((COUNTIF($H25:$K25,"&gt;1")+COUNTIF($H25:$K25,"&lt;0")+COUNTA($H25:$K25)-COUNT($H25:$K25))&gt;0,"Avance fuera de rango 0-100%"&amp;" · ","")&amp;IF(OR(AND($I25&lt;&gt;"",$I25&lt;$H25),AND($J25&lt;&gt;"",$J25&lt;MAX($H25:$I25)),AND($K25&lt;&gt;"",$K25&lt;MAX($H25:$J25))),"Avance semanal decreciente"&amp;" · ","")&amp;IF(AND(ISNUMBER($F25),$F25&lt;FechaRef,N($L25)&lt;1),"Vencida"&amp;" · ","")&amp;IF(AND(ObsObligatoria="Sí",ISNUMBER($F25),$F25&lt;FechaRef,N($L25)&lt;1,$N25=""),"Vencida sin observación"&amp;" · ",""),LEN(IF(AND($S25="Macro",$B25=""),"Macroactividad vacía"&amp;" · ","")&amp;IF(AND($B25&lt;&gt;"",$C25&lt;&gt;""),"Escriba la subactividad en otra fila, debajo de su macroactividad"&amp;" · ","")&amp;IF(AND($S25="Sub",N($R25)=0),"Subactividad sin macroactividad arriba"&amp;" · ","")&amp;IF($D25="","Sin responsable"&amp;" · ","")&amp;IF($E25="","Sin fecha de inicio"&amp;" · ","")&amp;IF($F25="","Sin fecha límite"&amp;" · ","")&amp;IF(OR(AND($E25&lt;&gt;"",NOT(ISNUMBER($E25))),AND($F25&lt;&gt;"",NOT(ISNUMBER($F25)))),"Fecha no válida"&amp;" · ","")&amp;IF(AND(ISNUMBER($E25),ISNUMBER($F25),$E25&gt;$F25),"Inicio posterior a fecha límite"&amp;" · ","")&amp;IF(AND($S25="Macro",$G25=""),"Peso vacío"&amp;" · ","")&amp;IF(AND($S25="Macro",$G25&lt;&gt;"",OR(NOT(ISNUMBER($G25)),$G25&lt;=0,$G25&gt;1)),"Peso fuera de rango"&amp;" · ","")&amp;IF(AND($S25="Sub",$G25&lt;&gt;""),"Las subactividades no llevan peso"&amp;" · ","")&amp;IF(AND($S25="Macro",ABS(SUMIFS($G$5:$G$1000,$P$5:$P$1000,$P25,$S$5:$S$1000,"Macro")-1)&gt;0.0001),"Pesos del mes suman "&amp;TEXT(SUMIFS($G$5:$G$1000,$P$5:$P$1000,$P25,$S$5:$S$1000,"Macro"),"0%")&amp;" · ","")&amp;IF(AND(N($T25)&gt;0,COUNT($H25:$K25)&gt;0),"Con subactividades: deje vacías las semanas (se calculan solas)"&amp;" · ","")&amp;IF((COUNTIF($H25:$K25,"&gt;1")+COUNTIF($H25:$K25,"&lt;0")+COUNTA($H25:$K25)-COUNT($H25:$K25))&gt;0,"Avance fuera de rango 0-100%"&amp;" · ","")&amp;IF(OR(AND($I25&lt;&gt;"",$I25&lt;$H25),AND($J25&lt;&gt;"",$J25&lt;MAX($H25:$I25)),AND($K25&lt;&gt;"",$K25&lt;MAX($H25:$J25))),"Avance semanal decreciente"&amp;" · ","")&amp;IF(AND(ISNUMBER($F25),$F25&lt;FechaRef,N($L25)&lt;1),"Vencida"&amp;" · ","")&amp;IF(AND(ObsObligatoria="Sí",ISNUMBER($F25),$F25&lt;FechaRef,N($L25)&lt;1,$N25=""),"Vencida sin observación"&amp;" · ",""))-3)))</f>
        <v/>
      </c>
      <c r="P25" s="69">
        <f>IF(NOT((COUNTA($B25:$K25)+COUNTA($N25))&gt;0),"",IF(AND($S25="Sub",N($R25)&gt;0),IF(ISNUMBER(INDEX($E$5:$E$1000,$R25-4)),DATE(YEAR(INDEX($E$5:$E$1000,$R25-4)),MONTH(INDEX($E$5:$E$1000,$R25-4)),1),IF(ISNUMBER(INDEX($F$5:$F$1000,$R25-4)),DATE(YEAR(INDEX($F$5:$F$1000,$R25-4)),MONTH(INDEX($F$5:$F$1000,$R25-4)),1),MesCiclo)),IF(ISNUMBER($E25),DATE(YEAR($E25),MONTH($E25),1),IF(ISNUMBER($F25),DATE(YEAR($F25),MONTH($F25),1),MesCiclo))))</f>
        <v/>
      </c>
      <c r="Q25" s="70">
        <f>IF(OR($P25="",$P25&lt;&gt;MesCiclo),"",COUNTIF($P$5:$P25,MesCiclo))</f>
        <v/>
      </c>
      <c r="R25" s="70">
        <f>IF($S25="","",IF($S25="Macro",ROW(),IFERROR(LOOKUP(2,1/($S$5:$S25="Macro"),ROW($S$5:$S25)),0)))</f>
        <v/>
      </c>
      <c r="S25" s="70">
        <f>IF(NOT((COUNTA($B25:$K25)+COUNTA($N25))&gt;0),"",IF($B25&lt;&gt;"","Macro",IF($C25&lt;&gt;"","Sub","Macro")))</f>
        <v/>
      </c>
      <c r="T25" s="70">
        <f>IF($S25="Macro",COUNTIFS($R$5:$R$1000,ROW(),$S$5:$S$1000,"Sub"),"")</f>
        <v/>
      </c>
      <c r="U25" s="70">
        <f>IF($S25="","",IF(ISNUMBER($H25),$H25,0))</f>
        <v/>
      </c>
      <c r="V25" s="70">
        <f>IF($S25="","",IF(ISNUMBER($I25),$I25,$U25))</f>
        <v/>
      </c>
      <c r="W25" s="70">
        <f>IF($S25="","",IF(ISNUMBER($J25),$J25,$V25))</f>
        <v/>
      </c>
      <c r="X25" s="70">
        <f>IF($S25="","",IF(ISNUMBER($K25),$K25,$W25))</f>
        <v/>
      </c>
      <c r="Y25" s="70">
        <f>IF($S25="","",IF(N($T25)&gt;0,AVERAGEIFS($U$5:$U$1000,$R$5:$R$1000,ROW(),$S$5:$S$1000,"Sub"),$U25))</f>
        <v/>
      </c>
      <c r="Z25" s="70">
        <f>IF($S25="","",IF(N($T25)&gt;0,AVERAGEIFS($V$5:$V$1000,$R$5:$R$1000,ROW(),$S$5:$S$1000,"Sub"),$V25))</f>
        <v/>
      </c>
      <c r="AA25" s="70">
        <f>IF($S25="","",IF(N($T25)&gt;0,AVERAGEIFS($W$5:$W$1000,$R$5:$R$1000,ROW(),$S$5:$S$1000,"Sub"),$W25))</f>
        <v/>
      </c>
      <c r="AB25" s="70">
        <f>IF($S25="","",IF(N($T25)&gt;0,AVERAGEIFS($X$5:$X$1000,$R$5:$R$1000,ROW(),$S$5:$S$1000,"Sub"),$X25))</f>
        <v/>
      </c>
    </row>
    <row r="26">
      <c r="A26" s="61">
        <f>IF(NOT((COUNTA($B26:$K26)+COUNTA($N26))&gt;0),"",IF($S26="Macro",COUNTIFS($S$5:$S26,"Macro",$P$5:$P26,$P26),IF(N($R26)=0,"?",COUNTIFS(INDEX($S$5:$S$1000,1):INDEX($S$5:$S$1000,$R26-4),"Macro",INDEX($P$5:$P$1000,1):INDEX($P$5:$P$1000,$R26-4),INDEX($P$5:$P$1000,$R26-4))&amp;"."&amp;COUNTIFS($R$5:$R26,$R26,$S$5:$S26,"Sub"))))</f>
        <v/>
      </c>
      <c r="B26" s="62" t="n"/>
      <c r="C26" s="63" t="n"/>
      <c r="D26" s="62" t="n"/>
      <c r="E26" s="64" t="n"/>
      <c r="F26" s="64" t="n"/>
      <c r="G26" s="65" t="n"/>
      <c r="H26" s="66" t="n"/>
      <c r="I26" s="66" t="n"/>
      <c r="J26" s="66" t="n"/>
      <c r="K26" s="66" t="n"/>
      <c r="L26" s="67">
        <f>IF(NOT((COUNTA($B26:$K26)+COUNTA($N26))&gt;0),"",IF(N($T26)&gt;0,$AB26,IFERROR(LOOKUP(2,1/(H26:K26&lt;&gt;""),H26:K26),0)))</f>
        <v/>
      </c>
      <c r="M26" s="61">
        <f>IF(L26="","",IF(L26&gt;=1,"Completado",IF(L26&gt;0,"En curso","Pendiente")))</f>
        <v/>
      </c>
      <c r="N26" s="62" t="n"/>
      <c r="O26" s="68">
        <f>IF(NOT((COUNTA($B26:$K26)+COUNTA($N26))&gt;0),"",IF((IF(AND($S26="Macro",$B26=""),"Macroactividad vacía"&amp;" · ","")&amp;IF(AND($B26&lt;&gt;"",$C26&lt;&gt;""),"Escriba la subactividad en otra fila, debajo de su macroactividad"&amp;" · ","")&amp;IF(AND($S26="Sub",N($R26)=0),"Subactividad sin macroactividad arriba"&amp;" · ","")&amp;IF($D26="","Sin responsable"&amp;" · ","")&amp;IF($E26="","Sin fecha de inicio"&amp;" · ","")&amp;IF($F26="","Sin fecha límite"&amp;" · ","")&amp;IF(OR(AND($E26&lt;&gt;"",NOT(ISNUMBER($E26))),AND($F26&lt;&gt;"",NOT(ISNUMBER($F26)))),"Fecha no válida"&amp;" · ","")&amp;IF(AND(ISNUMBER($E26),ISNUMBER($F26),$E26&gt;$F26),"Inicio posterior a fecha límite"&amp;" · ","")&amp;IF(AND($S26="Macro",$G26=""),"Peso vacío"&amp;" · ","")&amp;IF(AND($S26="Macro",$G26&lt;&gt;"",OR(NOT(ISNUMBER($G26)),$G26&lt;=0,$G26&gt;1)),"Peso fuera de rango"&amp;" · ","")&amp;IF(AND($S26="Sub",$G26&lt;&gt;""),"Las subactividades no llevan peso"&amp;" · ","")&amp;IF(AND($S26="Macro",ABS(SUMIFS($G$5:$G$1000,$P$5:$P$1000,$P26,$S$5:$S$1000,"Macro")-1)&gt;0.0001),"Pesos del mes suman "&amp;TEXT(SUMIFS($G$5:$G$1000,$P$5:$P$1000,$P26,$S$5:$S$1000,"Macro"),"0%")&amp;" · ","")&amp;IF(AND(N($T26)&gt;0,COUNT($H26:$K26)&gt;0),"Con subactividades: deje vacías las semanas (se calculan solas)"&amp;" · ","")&amp;IF((COUNTIF($H26:$K26,"&gt;1")+COUNTIF($H26:$K26,"&lt;0")+COUNTA($H26:$K26)-COUNT($H26:$K26))&gt;0,"Avance fuera de rango 0-100%"&amp;" · ","")&amp;IF(OR(AND($I26&lt;&gt;"",$I26&lt;$H26),AND($J26&lt;&gt;"",$J26&lt;MAX($H26:$I26)),AND($K26&lt;&gt;"",$K26&lt;MAX($H26:$J26))),"Avance semanal decreciente"&amp;" · ","")&amp;IF(AND(ISNUMBER($F26),$F26&lt;FechaRef,N($L26)&lt;1),"Vencida"&amp;" · ","")&amp;IF(AND(ObsObligatoria="Sí",ISNUMBER($F26),$F26&lt;FechaRef,N($L26)&lt;1,$N26=""),"Vencida sin observación"&amp;" · ",""))="","✔ OK","⚠ "&amp;LEFT(IF(AND($S26="Macro",$B26=""),"Macroactividad vacía"&amp;" · ","")&amp;IF(AND($B26&lt;&gt;"",$C26&lt;&gt;""),"Escriba la subactividad en otra fila, debajo de su macroactividad"&amp;" · ","")&amp;IF(AND($S26="Sub",N($R26)=0),"Subactividad sin macroactividad arriba"&amp;" · ","")&amp;IF($D26="","Sin responsable"&amp;" · ","")&amp;IF($E26="","Sin fecha de inicio"&amp;" · ","")&amp;IF($F26="","Sin fecha límite"&amp;" · ","")&amp;IF(OR(AND($E26&lt;&gt;"",NOT(ISNUMBER($E26))),AND($F26&lt;&gt;"",NOT(ISNUMBER($F26)))),"Fecha no válida"&amp;" · ","")&amp;IF(AND(ISNUMBER($E26),ISNUMBER($F26),$E26&gt;$F26),"Inicio posterior a fecha límite"&amp;" · ","")&amp;IF(AND($S26="Macro",$G26=""),"Peso vacío"&amp;" · ","")&amp;IF(AND($S26="Macro",$G26&lt;&gt;"",OR(NOT(ISNUMBER($G26)),$G26&lt;=0,$G26&gt;1)),"Peso fuera de rango"&amp;" · ","")&amp;IF(AND($S26="Sub",$G26&lt;&gt;""),"Las subactividades no llevan peso"&amp;" · ","")&amp;IF(AND($S26="Macro",ABS(SUMIFS($G$5:$G$1000,$P$5:$P$1000,$P26,$S$5:$S$1000,"Macro")-1)&gt;0.0001),"Pesos del mes suman "&amp;TEXT(SUMIFS($G$5:$G$1000,$P$5:$P$1000,$P26,$S$5:$S$1000,"Macro"),"0%")&amp;" · ","")&amp;IF(AND(N($T26)&gt;0,COUNT($H26:$K26)&gt;0),"Con subactividades: deje vacías las semanas (se calculan solas)"&amp;" · ","")&amp;IF((COUNTIF($H26:$K26,"&gt;1")+COUNTIF($H26:$K26,"&lt;0")+COUNTA($H26:$K26)-COUNT($H26:$K26))&gt;0,"Avance fuera de rango 0-100%"&amp;" · ","")&amp;IF(OR(AND($I26&lt;&gt;"",$I26&lt;$H26),AND($J26&lt;&gt;"",$J26&lt;MAX($H26:$I26)),AND($K26&lt;&gt;"",$K26&lt;MAX($H26:$J26))),"Avance semanal decreciente"&amp;" · ","")&amp;IF(AND(ISNUMBER($F26),$F26&lt;FechaRef,N($L26)&lt;1),"Vencida"&amp;" · ","")&amp;IF(AND(ObsObligatoria="Sí",ISNUMBER($F26),$F26&lt;FechaRef,N($L26)&lt;1,$N26=""),"Vencida sin observación"&amp;" · ",""),LEN(IF(AND($S26="Macro",$B26=""),"Macroactividad vacía"&amp;" · ","")&amp;IF(AND($B26&lt;&gt;"",$C26&lt;&gt;""),"Escriba la subactividad en otra fila, debajo de su macroactividad"&amp;" · ","")&amp;IF(AND($S26="Sub",N($R26)=0),"Subactividad sin macroactividad arriba"&amp;" · ","")&amp;IF($D26="","Sin responsable"&amp;" · ","")&amp;IF($E26="","Sin fecha de inicio"&amp;" · ","")&amp;IF($F26="","Sin fecha límite"&amp;" · ","")&amp;IF(OR(AND($E26&lt;&gt;"",NOT(ISNUMBER($E26))),AND($F26&lt;&gt;"",NOT(ISNUMBER($F26)))),"Fecha no válida"&amp;" · ","")&amp;IF(AND(ISNUMBER($E26),ISNUMBER($F26),$E26&gt;$F26),"Inicio posterior a fecha límite"&amp;" · ","")&amp;IF(AND($S26="Macro",$G26=""),"Peso vacío"&amp;" · ","")&amp;IF(AND($S26="Macro",$G26&lt;&gt;"",OR(NOT(ISNUMBER($G26)),$G26&lt;=0,$G26&gt;1)),"Peso fuera de rango"&amp;" · ","")&amp;IF(AND($S26="Sub",$G26&lt;&gt;""),"Las subactividades no llevan peso"&amp;" · ","")&amp;IF(AND($S26="Macro",ABS(SUMIFS($G$5:$G$1000,$P$5:$P$1000,$P26,$S$5:$S$1000,"Macro")-1)&gt;0.0001),"Pesos del mes suman "&amp;TEXT(SUMIFS($G$5:$G$1000,$P$5:$P$1000,$P26,$S$5:$S$1000,"Macro"),"0%")&amp;" · ","")&amp;IF(AND(N($T26)&gt;0,COUNT($H26:$K26)&gt;0),"Con subactividades: deje vacías las semanas (se calculan solas)"&amp;" · ","")&amp;IF((COUNTIF($H26:$K26,"&gt;1")+COUNTIF($H26:$K26,"&lt;0")+COUNTA($H26:$K26)-COUNT($H26:$K26))&gt;0,"Avance fuera de rango 0-100%"&amp;" · ","")&amp;IF(OR(AND($I26&lt;&gt;"",$I26&lt;$H26),AND($J26&lt;&gt;"",$J26&lt;MAX($H26:$I26)),AND($K26&lt;&gt;"",$K26&lt;MAX($H26:$J26))),"Avance semanal decreciente"&amp;" · ","")&amp;IF(AND(ISNUMBER($F26),$F26&lt;FechaRef,N($L26)&lt;1),"Vencida"&amp;" · ","")&amp;IF(AND(ObsObligatoria="Sí",ISNUMBER($F26),$F26&lt;FechaRef,N($L26)&lt;1,$N26=""),"Vencida sin observación"&amp;" · ",""))-3)))</f>
        <v/>
      </c>
      <c r="P26" s="69">
        <f>IF(NOT((COUNTA($B26:$K26)+COUNTA($N26))&gt;0),"",IF(AND($S26="Sub",N($R26)&gt;0),IF(ISNUMBER(INDEX($E$5:$E$1000,$R26-4)),DATE(YEAR(INDEX($E$5:$E$1000,$R26-4)),MONTH(INDEX($E$5:$E$1000,$R26-4)),1),IF(ISNUMBER(INDEX($F$5:$F$1000,$R26-4)),DATE(YEAR(INDEX($F$5:$F$1000,$R26-4)),MONTH(INDEX($F$5:$F$1000,$R26-4)),1),MesCiclo)),IF(ISNUMBER($E26),DATE(YEAR($E26),MONTH($E26),1),IF(ISNUMBER($F26),DATE(YEAR($F26),MONTH($F26),1),MesCiclo))))</f>
        <v/>
      </c>
      <c r="Q26" s="70">
        <f>IF(OR($P26="",$P26&lt;&gt;MesCiclo),"",COUNTIF($P$5:$P26,MesCiclo))</f>
        <v/>
      </c>
      <c r="R26" s="70">
        <f>IF($S26="","",IF($S26="Macro",ROW(),IFERROR(LOOKUP(2,1/($S$5:$S26="Macro"),ROW($S$5:$S26)),0)))</f>
        <v/>
      </c>
      <c r="S26" s="70">
        <f>IF(NOT((COUNTA($B26:$K26)+COUNTA($N26))&gt;0),"",IF($B26&lt;&gt;"","Macro",IF($C26&lt;&gt;"","Sub","Macro")))</f>
        <v/>
      </c>
      <c r="T26" s="70">
        <f>IF($S26="Macro",COUNTIFS($R$5:$R$1000,ROW(),$S$5:$S$1000,"Sub"),"")</f>
        <v/>
      </c>
      <c r="U26" s="70">
        <f>IF($S26="","",IF(ISNUMBER($H26),$H26,0))</f>
        <v/>
      </c>
      <c r="V26" s="70">
        <f>IF($S26="","",IF(ISNUMBER($I26),$I26,$U26))</f>
        <v/>
      </c>
      <c r="W26" s="70">
        <f>IF($S26="","",IF(ISNUMBER($J26),$J26,$V26))</f>
        <v/>
      </c>
      <c r="X26" s="70">
        <f>IF($S26="","",IF(ISNUMBER($K26),$K26,$W26))</f>
        <v/>
      </c>
      <c r="Y26" s="70">
        <f>IF($S26="","",IF(N($T26)&gt;0,AVERAGEIFS($U$5:$U$1000,$R$5:$R$1000,ROW(),$S$5:$S$1000,"Sub"),$U26))</f>
        <v/>
      </c>
      <c r="Z26" s="70">
        <f>IF($S26="","",IF(N($T26)&gt;0,AVERAGEIFS($V$5:$V$1000,$R$5:$R$1000,ROW(),$S$5:$S$1000,"Sub"),$V26))</f>
        <v/>
      </c>
      <c r="AA26" s="70">
        <f>IF($S26="","",IF(N($T26)&gt;0,AVERAGEIFS($W$5:$W$1000,$R$5:$R$1000,ROW(),$S$5:$S$1000,"Sub"),$W26))</f>
        <v/>
      </c>
      <c r="AB26" s="70">
        <f>IF($S26="","",IF(N($T26)&gt;0,AVERAGEIFS($X$5:$X$1000,$R$5:$R$1000,ROW(),$S$5:$S$1000,"Sub"),$X26))</f>
        <v/>
      </c>
    </row>
    <row r="27">
      <c r="A27" s="61">
        <f>IF(NOT((COUNTA($B27:$K27)+COUNTA($N27))&gt;0),"",IF($S27="Macro",COUNTIFS($S$5:$S27,"Macro",$P$5:$P27,$P27),IF(N($R27)=0,"?",COUNTIFS(INDEX($S$5:$S$1000,1):INDEX($S$5:$S$1000,$R27-4),"Macro",INDEX($P$5:$P$1000,1):INDEX($P$5:$P$1000,$R27-4),INDEX($P$5:$P$1000,$R27-4))&amp;"."&amp;COUNTIFS($R$5:$R27,$R27,$S$5:$S27,"Sub"))))</f>
        <v/>
      </c>
      <c r="B27" s="62" t="n"/>
      <c r="C27" s="63" t="n"/>
      <c r="D27" s="62" t="n"/>
      <c r="E27" s="64" t="n"/>
      <c r="F27" s="64" t="n"/>
      <c r="G27" s="65" t="n"/>
      <c r="H27" s="66" t="n"/>
      <c r="I27" s="66" t="n"/>
      <c r="J27" s="66" t="n"/>
      <c r="K27" s="66" t="n"/>
      <c r="L27" s="67">
        <f>IF(NOT((COUNTA($B27:$K27)+COUNTA($N27))&gt;0),"",IF(N($T27)&gt;0,$AB27,IFERROR(LOOKUP(2,1/(H27:K27&lt;&gt;""),H27:K27),0)))</f>
        <v/>
      </c>
      <c r="M27" s="61">
        <f>IF(L27="","",IF(L27&gt;=1,"Completado",IF(L27&gt;0,"En curso","Pendiente")))</f>
        <v/>
      </c>
      <c r="N27" s="62" t="n"/>
      <c r="O27" s="68">
        <f>IF(NOT((COUNTA($B27:$K27)+COUNTA($N27))&gt;0),"",IF((IF(AND($S27="Macro",$B27=""),"Macroactividad vacía"&amp;" · ","")&amp;IF(AND($B27&lt;&gt;"",$C27&lt;&gt;""),"Escriba la subactividad en otra fila, debajo de su macroactividad"&amp;" · ","")&amp;IF(AND($S27="Sub",N($R27)=0),"Subactividad sin macroactividad arriba"&amp;" · ","")&amp;IF($D27="","Sin responsable"&amp;" · ","")&amp;IF($E27="","Sin fecha de inicio"&amp;" · ","")&amp;IF($F27="","Sin fecha límite"&amp;" · ","")&amp;IF(OR(AND($E27&lt;&gt;"",NOT(ISNUMBER($E27))),AND($F27&lt;&gt;"",NOT(ISNUMBER($F27)))),"Fecha no válida"&amp;" · ","")&amp;IF(AND(ISNUMBER($E27),ISNUMBER($F27),$E27&gt;$F27),"Inicio posterior a fecha límite"&amp;" · ","")&amp;IF(AND($S27="Macro",$G27=""),"Peso vacío"&amp;" · ","")&amp;IF(AND($S27="Macro",$G27&lt;&gt;"",OR(NOT(ISNUMBER($G27)),$G27&lt;=0,$G27&gt;1)),"Peso fuera de rango"&amp;" · ","")&amp;IF(AND($S27="Sub",$G27&lt;&gt;""),"Las subactividades no llevan peso"&amp;" · ","")&amp;IF(AND($S27="Macro",ABS(SUMIFS($G$5:$G$1000,$P$5:$P$1000,$P27,$S$5:$S$1000,"Macro")-1)&gt;0.0001),"Pesos del mes suman "&amp;TEXT(SUMIFS($G$5:$G$1000,$P$5:$P$1000,$P27,$S$5:$S$1000,"Macro"),"0%")&amp;" · ","")&amp;IF(AND(N($T27)&gt;0,COUNT($H27:$K27)&gt;0),"Con subactividades: deje vacías las semanas (se calculan solas)"&amp;" · ","")&amp;IF((COUNTIF($H27:$K27,"&gt;1")+COUNTIF($H27:$K27,"&lt;0")+COUNTA($H27:$K27)-COUNT($H27:$K27))&gt;0,"Avance fuera de rango 0-100%"&amp;" · ","")&amp;IF(OR(AND($I27&lt;&gt;"",$I27&lt;$H27),AND($J27&lt;&gt;"",$J27&lt;MAX($H27:$I27)),AND($K27&lt;&gt;"",$K27&lt;MAX($H27:$J27))),"Avance semanal decreciente"&amp;" · ","")&amp;IF(AND(ISNUMBER($F27),$F27&lt;FechaRef,N($L27)&lt;1),"Vencida"&amp;" · ","")&amp;IF(AND(ObsObligatoria="Sí",ISNUMBER($F27),$F27&lt;FechaRef,N($L27)&lt;1,$N27=""),"Vencida sin observación"&amp;" · ",""))="","✔ OK","⚠ "&amp;LEFT(IF(AND($S27="Macro",$B27=""),"Macroactividad vacía"&amp;" · ","")&amp;IF(AND($B27&lt;&gt;"",$C27&lt;&gt;""),"Escriba la subactividad en otra fila, debajo de su macroactividad"&amp;" · ","")&amp;IF(AND($S27="Sub",N($R27)=0),"Subactividad sin macroactividad arriba"&amp;" · ","")&amp;IF($D27="","Sin responsable"&amp;" · ","")&amp;IF($E27="","Sin fecha de inicio"&amp;" · ","")&amp;IF($F27="","Sin fecha límite"&amp;" · ","")&amp;IF(OR(AND($E27&lt;&gt;"",NOT(ISNUMBER($E27))),AND($F27&lt;&gt;"",NOT(ISNUMBER($F27)))),"Fecha no válida"&amp;" · ","")&amp;IF(AND(ISNUMBER($E27),ISNUMBER($F27),$E27&gt;$F27),"Inicio posterior a fecha límite"&amp;" · ","")&amp;IF(AND($S27="Macro",$G27=""),"Peso vacío"&amp;" · ","")&amp;IF(AND($S27="Macro",$G27&lt;&gt;"",OR(NOT(ISNUMBER($G27)),$G27&lt;=0,$G27&gt;1)),"Peso fuera de rango"&amp;" · ","")&amp;IF(AND($S27="Sub",$G27&lt;&gt;""),"Las subactividades no llevan peso"&amp;" · ","")&amp;IF(AND($S27="Macro",ABS(SUMIFS($G$5:$G$1000,$P$5:$P$1000,$P27,$S$5:$S$1000,"Macro")-1)&gt;0.0001),"Pesos del mes suman "&amp;TEXT(SUMIFS($G$5:$G$1000,$P$5:$P$1000,$P27,$S$5:$S$1000,"Macro"),"0%")&amp;" · ","")&amp;IF(AND(N($T27)&gt;0,COUNT($H27:$K27)&gt;0),"Con subactividades: deje vacías las semanas (se calculan solas)"&amp;" · ","")&amp;IF((COUNTIF($H27:$K27,"&gt;1")+COUNTIF($H27:$K27,"&lt;0")+COUNTA($H27:$K27)-COUNT($H27:$K27))&gt;0,"Avance fuera de rango 0-100%"&amp;" · ","")&amp;IF(OR(AND($I27&lt;&gt;"",$I27&lt;$H27),AND($J27&lt;&gt;"",$J27&lt;MAX($H27:$I27)),AND($K27&lt;&gt;"",$K27&lt;MAX($H27:$J27))),"Avance semanal decreciente"&amp;" · ","")&amp;IF(AND(ISNUMBER($F27),$F27&lt;FechaRef,N($L27)&lt;1),"Vencida"&amp;" · ","")&amp;IF(AND(ObsObligatoria="Sí",ISNUMBER($F27),$F27&lt;FechaRef,N($L27)&lt;1,$N27=""),"Vencida sin observación"&amp;" · ",""),LEN(IF(AND($S27="Macro",$B27=""),"Macroactividad vacía"&amp;" · ","")&amp;IF(AND($B27&lt;&gt;"",$C27&lt;&gt;""),"Escriba la subactividad en otra fila, debajo de su macroactividad"&amp;" · ","")&amp;IF(AND($S27="Sub",N($R27)=0),"Subactividad sin macroactividad arriba"&amp;" · ","")&amp;IF($D27="","Sin responsable"&amp;" · ","")&amp;IF($E27="","Sin fecha de inicio"&amp;" · ","")&amp;IF($F27="","Sin fecha límite"&amp;" · ","")&amp;IF(OR(AND($E27&lt;&gt;"",NOT(ISNUMBER($E27))),AND($F27&lt;&gt;"",NOT(ISNUMBER($F27)))),"Fecha no válida"&amp;" · ","")&amp;IF(AND(ISNUMBER($E27),ISNUMBER($F27),$E27&gt;$F27),"Inicio posterior a fecha límite"&amp;" · ","")&amp;IF(AND($S27="Macro",$G27=""),"Peso vacío"&amp;" · ","")&amp;IF(AND($S27="Macro",$G27&lt;&gt;"",OR(NOT(ISNUMBER($G27)),$G27&lt;=0,$G27&gt;1)),"Peso fuera de rango"&amp;" · ","")&amp;IF(AND($S27="Sub",$G27&lt;&gt;""),"Las subactividades no llevan peso"&amp;" · ","")&amp;IF(AND($S27="Macro",ABS(SUMIFS($G$5:$G$1000,$P$5:$P$1000,$P27,$S$5:$S$1000,"Macro")-1)&gt;0.0001),"Pesos del mes suman "&amp;TEXT(SUMIFS($G$5:$G$1000,$P$5:$P$1000,$P27,$S$5:$S$1000,"Macro"),"0%")&amp;" · ","")&amp;IF(AND(N($T27)&gt;0,COUNT($H27:$K27)&gt;0),"Con subactividades: deje vacías las semanas (se calculan solas)"&amp;" · ","")&amp;IF((COUNTIF($H27:$K27,"&gt;1")+COUNTIF($H27:$K27,"&lt;0")+COUNTA($H27:$K27)-COUNT($H27:$K27))&gt;0,"Avance fuera de rango 0-100%"&amp;" · ","")&amp;IF(OR(AND($I27&lt;&gt;"",$I27&lt;$H27),AND($J27&lt;&gt;"",$J27&lt;MAX($H27:$I27)),AND($K27&lt;&gt;"",$K27&lt;MAX($H27:$J27))),"Avance semanal decreciente"&amp;" · ","")&amp;IF(AND(ISNUMBER($F27),$F27&lt;FechaRef,N($L27)&lt;1),"Vencida"&amp;" · ","")&amp;IF(AND(ObsObligatoria="Sí",ISNUMBER($F27),$F27&lt;FechaRef,N($L27)&lt;1,$N27=""),"Vencida sin observación"&amp;" · ",""))-3)))</f>
        <v/>
      </c>
      <c r="P27" s="69">
        <f>IF(NOT((COUNTA($B27:$K27)+COUNTA($N27))&gt;0),"",IF(AND($S27="Sub",N($R27)&gt;0),IF(ISNUMBER(INDEX($E$5:$E$1000,$R27-4)),DATE(YEAR(INDEX($E$5:$E$1000,$R27-4)),MONTH(INDEX($E$5:$E$1000,$R27-4)),1),IF(ISNUMBER(INDEX($F$5:$F$1000,$R27-4)),DATE(YEAR(INDEX($F$5:$F$1000,$R27-4)),MONTH(INDEX($F$5:$F$1000,$R27-4)),1),MesCiclo)),IF(ISNUMBER($E27),DATE(YEAR($E27),MONTH($E27),1),IF(ISNUMBER($F27),DATE(YEAR($F27),MONTH($F27),1),MesCiclo))))</f>
        <v/>
      </c>
      <c r="Q27" s="70">
        <f>IF(OR($P27="",$P27&lt;&gt;MesCiclo),"",COUNTIF($P$5:$P27,MesCiclo))</f>
        <v/>
      </c>
      <c r="R27" s="70">
        <f>IF($S27="","",IF($S27="Macro",ROW(),IFERROR(LOOKUP(2,1/($S$5:$S27="Macro"),ROW($S$5:$S27)),0)))</f>
        <v/>
      </c>
      <c r="S27" s="70">
        <f>IF(NOT((COUNTA($B27:$K27)+COUNTA($N27))&gt;0),"",IF($B27&lt;&gt;"","Macro",IF($C27&lt;&gt;"","Sub","Macro")))</f>
        <v/>
      </c>
      <c r="T27" s="70">
        <f>IF($S27="Macro",COUNTIFS($R$5:$R$1000,ROW(),$S$5:$S$1000,"Sub"),"")</f>
        <v/>
      </c>
      <c r="U27" s="70">
        <f>IF($S27="","",IF(ISNUMBER($H27),$H27,0))</f>
        <v/>
      </c>
      <c r="V27" s="70">
        <f>IF($S27="","",IF(ISNUMBER($I27),$I27,$U27))</f>
        <v/>
      </c>
      <c r="W27" s="70">
        <f>IF($S27="","",IF(ISNUMBER($J27),$J27,$V27))</f>
        <v/>
      </c>
      <c r="X27" s="70">
        <f>IF($S27="","",IF(ISNUMBER($K27),$K27,$W27))</f>
        <v/>
      </c>
      <c r="Y27" s="70">
        <f>IF($S27="","",IF(N($T27)&gt;0,AVERAGEIFS($U$5:$U$1000,$R$5:$R$1000,ROW(),$S$5:$S$1000,"Sub"),$U27))</f>
        <v/>
      </c>
      <c r="Z27" s="70">
        <f>IF($S27="","",IF(N($T27)&gt;0,AVERAGEIFS($V$5:$V$1000,$R$5:$R$1000,ROW(),$S$5:$S$1000,"Sub"),$V27))</f>
        <v/>
      </c>
      <c r="AA27" s="70">
        <f>IF($S27="","",IF(N($T27)&gt;0,AVERAGEIFS($W$5:$W$1000,$R$5:$R$1000,ROW(),$S$5:$S$1000,"Sub"),$W27))</f>
        <v/>
      </c>
      <c r="AB27" s="70">
        <f>IF($S27="","",IF(N($T27)&gt;0,AVERAGEIFS($X$5:$X$1000,$R$5:$R$1000,ROW(),$S$5:$S$1000,"Sub"),$X27))</f>
        <v/>
      </c>
    </row>
    <row r="28">
      <c r="A28" s="61">
        <f>IF(NOT((COUNTA($B28:$K28)+COUNTA($N28))&gt;0),"",IF($S28="Macro",COUNTIFS($S$5:$S28,"Macro",$P$5:$P28,$P28),IF(N($R28)=0,"?",COUNTIFS(INDEX($S$5:$S$1000,1):INDEX($S$5:$S$1000,$R28-4),"Macro",INDEX($P$5:$P$1000,1):INDEX($P$5:$P$1000,$R28-4),INDEX($P$5:$P$1000,$R28-4))&amp;"."&amp;COUNTIFS($R$5:$R28,$R28,$S$5:$S28,"Sub"))))</f>
        <v/>
      </c>
      <c r="B28" s="62" t="n"/>
      <c r="C28" s="63" t="n"/>
      <c r="D28" s="62" t="n"/>
      <c r="E28" s="64" t="n"/>
      <c r="F28" s="64" t="n"/>
      <c r="G28" s="65" t="n"/>
      <c r="H28" s="66" t="n"/>
      <c r="I28" s="66" t="n"/>
      <c r="J28" s="66" t="n"/>
      <c r="K28" s="66" t="n"/>
      <c r="L28" s="67">
        <f>IF(NOT((COUNTA($B28:$K28)+COUNTA($N28))&gt;0),"",IF(N($T28)&gt;0,$AB28,IFERROR(LOOKUP(2,1/(H28:K28&lt;&gt;""),H28:K28),0)))</f>
        <v/>
      </c>
      <c r="M28" s="61">
        <f>IF(L28="","",IF(L28&gt;=1,"Completado",IF(L28&gt;0,"En curso","Pendiente")))</f>
        <v/>
      </c>
      <c r="N28" s="62" t="n"/>
      <c r="O28" s="68">
        <f>IF(NOT((COUNTA($B28:$K28)+COUNTA($N28))&gt;0),"",IF((IF(AND($S28="Macro",$B28=""),"Macroactividad vacía"&amp;" · ","")&amp;IF(AND($B28&lt;&gt;"",$C28&lt;&gt;""),"Escriba la subactividad en otra fila, debajo de su macroactividad"&amp;" · ","")&amp;IF(AND($S28="Sub",N($R28)=0),"Subactividad sin macroactividad arriba"&amp;" · ","")&amp;IF($D28="","Sin responsable"&amp;" · ","")&amp;IF($E28="","Sin fecha de inicio"&amp;" · ","")&amp;IF($F28="","Sin fecha límite"&amp;" · ","")&amp;IF(OR(AND($E28&lt;&gt;"",NOT(ISNUMBER($E28))),AND($F28&lt;&gt;"",NOT(ISNUMBER($F28)))),"Fecha no válida"&amp;" · ","")&amp;IF(AND(ISNUMBER($E28),ISNUMBER($F28),$E28&gt;$F28),"Inicio posterior a fecha límite"&amp;" · ","")&amp;IF(AND($S28="Macro",$G28=""),"Peso vacío"&amp;" · ","")&amp;IF(AND($S28="Macro",$G28&lt;&gt;"",OR(NOT(ISNUMBER($G28)),$G28&lt;=0,$G28&gt;1)),"Peso fuera de rango"&amp;" · ","")&amp;IF(AND($S28="Sub",$G28&lt;&gt;""),"Las subactividades no llevan peso"&amp;" · ","")&amp;IF(AND($S28="Macro",ABS(SUMIFS($G$5:$G$1000,$P$5:$P$1000,$P28,$S$5:$S$1000,"Macro")-1)&gt;0.0001),"Pesos del mes suman "&amp;TEXT(SUMIFS($G$5:$G$1000,$P$5:$P$1000,$P28,$S$5:$S$1000,"Macro"),"0%")&amp;" · ","")&amp;IF(AND(N($T28)&gt;0,COUNT($H28:$K28)&gt;0),"Con subactividades: deje vacías las semanas (se calculan solas)"&amp;" · ","")&amp;IF((COUNTIF($H28:$K28,"&gt;1")+COUNTIF($H28:$K28,"&lt;0")+COUNTA($H28:$K28)-COUNT($H28:$K28))&gt;0,"Avance fuera de rango 0-100%"&amp;" · ","")&amp;IF(OR(AND($I28&lt;&gt;"",$I28&lt;$H28),AND($J28&lt;&gt;"",$J28&lt;MAX($H28:$I28)),AND($K28&lt;&gt;"",$K28&lt;MAX($H28:$J28))),"Avance semanal decreciente"&amp;" · ","")&amp;IF(AND(ISNUMBER($F28),$F28&lt;FechaRef,N($L28)&lt;1),"Vencida"&amp;" · ","")&amp;IF(AND(ObsObligatoria="Sí",ISNUMBER($F28),$F28&lt;FechaRef,N($L28)&lt;1,$N28=""),"Vencida sin observación"&amp;" · ",""))="","✔ OK","⚠ "&amp;LEFT(IF(AND($S28="Macro",$B28=""),"Macroactividad vacía"&amp;" · ","")&amp;IF(AND($B28&lt;&gt;"",$C28&lt;&gt;""),"Escriba la subactividad en otra fila, debajo de su macroactividad"&amp;" · ","")&amp;IF(AND($S28="Sub",N($R28)=0),"Subactividad sin macroactividad arriba"&amp;" · ","")&amp;IF($D28="","Sin responsable"&amp;" · ","")&amp;IF($E28="","Sin fecha de inicio"&amp;" · ","")&amp;IF($F28="","Sin fecha límite"&amp;" · ","")&amp;IF(OR(AND($E28&lt;&gt;"",NOT(ISNUMBER($E28))),AND($F28&lt;&gt;"",NOT(ISNUMBER($F28)))),"Fecha no válida"&amp;" · ","")&amp;IF(AND(ISNUMBER($E28),ISNUMBER($F28),$E28&gt;$F28),"Inicio posterior a fecha límite"&amp;" · ","")&amp;IF(AND($S28="Macro",$G28=""),"Peso vacío"&amp;" · ","")&amp;IF(AND($S28="Macro",$G28&lt;&gt;"",OR(NOT(ISNUMBER($G28)),$G28&lt;=0,$G28&gt;1)),"Peso fuera de rango"&amp;" · ","")&amp;IF(AND($S28="Sub",$G28&lt;&gt;""),"Las subactividades no llevan peso"&amp;" · ","")&amp;IF(AND($S28="Macro",ABS(SUMIFS($G$5:$G$1000,$P$5:$P$1000,$P28,$S$5:$S$1000,"Macro")-1)&gt;0.0001),"Pesos del mes suman "&amp;TEXT(SUMIFS($G$5:$G$1000,$P$5:$P$1000,$P28,$S$5:$S$1000,"Macro"),"0%")&amp;" · ","")&amp;IF(AND(N($T28)&gt;0,COUNT($H28:$K28)&gt;0),"Con subactividades: deje vacías las semanas (se calculan solas)"&amp;" · ","")&amp;IF((COUNTIF($H28:$K28,"&gt;1")+COUNTIF($H28:$K28,"&lt;0")+COUNTA($H28:$K28)-COUNT($H28:$K28))&gt;0,"Avance fuera de rango 0-100%"&amp;" · ","")&amp;IF(OR(AND($I28&lt;&gt;"",$I28&lt;$H28),AND($J28&lt;&gt;"",$J28&lt;MAX($H28:$I28)),AND($K28&lt;&gt;"",$K28&lt;MAX($H28:$J28))),"Avance semanal decreciente"&amp;" · ","")&amp;IF(AND(ISNUMBER($F28),$F28&lt;FechaRef,N($L28)&lt;1),"Vencida"&amp;" · ","")&amp;IF(AND(ObsObligatoria="Sí",ISNUMBER($F28),$F28&lt;FechaRef,N($L28)&lt;1,$N28=""),"Vencida sin observación"&amp;" · ",""),LEN(IF(AND($S28="Macro",$B28=""),"Macroactividad vacía"&amp;" · ","")&amp;IF(AND($B28&lt;&gt;"",$C28&lt;&gt;""),"Escriba la subactividad en otra fila, debajo de su macroactividad"&amp;" · ","")&amp;IF(AND($S28="Sub",N($R28)=0),"Subactividad sin macroactividad arriba"&amp;" · ","")&amp;IF($D28="","Sin responsable"&amp;" · ","")&amp;IF($E28="","Sin fecha de inicio"&amp;" · ","")&amp;IF($F28="","Sin fecha límite"&amp;" · ","")&amp;IF(OR(AND($E28&lt;&gt;"",NOT(ISNUMBER($E28))),AND($F28&lt;&gt;"",NOT(ISNUMBER($F28)))),"Fecha no válida"&amp;" · ","")&amp;IF(AND(ISNUMBER($E28),ISNUMBER($F28),$E28&gt;$F28),"Inicio posterior a fecha límite"&amp;" · ","")&amp;IF(AND($S28="Macro",$G28=""),"Peso vacío"&amp;" · ","")&amp;IF(AND($S28="Macro",$G28&lt;&gt;"",OR(NOT(ISNUMBER($G28)),$G28&lt;=0,$G28&gt;1)),"Peso fuera de rango"&amp;" · ","")&amp;IF(AND($S28="Sub",$G28&lt;&gt;""),"Las subactividades no llevan peso"&amp;" · ","")&amp;IF(AND($S28="Macro",ABS(SUMIFS($G$5:$G$1000,$P$5:$P$1000,$P28,$S$5:$S$1000,"Macro")-1)&gt;0.0001),"Pesos del mes suman "&amp;TEXT(SUMIFS($G$5:$G$1000,$P$5:$P$1000,$P28,$S$5:$S$1000,"Macro"),"0%")&amp;" · ","")&amp;IF(AND(N($T28)&gt;0,COUNT($H28:$K28)&gt;0),"Con subactividades: deje vacías las semanas (se calculan solas)"&amp;" · ","")&amp;IF((COUNTIF($H28:$K28,"&gt;1")+COUNTIF($H28:$K28,"&lt;0")+COUNTA($H28:$K28)-COUNT($H28:$K28))&gt;0,"Avance fuera de rango 0-100%"&amp;" · ","")&amp;IF(OR(AND($I28&lt;&gt;"",$I28&lt;$H28),AND($J28&lt;&gt;"",$J28&lt;MAX($H28:$I28)),AND($K28&lt;&gt;"",$K28&lt;MAX($H28:$J28))),"Avance semanal decreciente"&amp;" · ","")&amp;IF(AND(ISNUMBER($F28),$F28&lt;FechaRef,N($L28)&lt;1),"Vencida"&amp;" · ","")&amp;IF(AND(ObsObligatoria="Sí",ISNUMBER($F28),$F28&lt;FechaRef,N($L28)&lt;1,$N28=""),"Vencida sin observación"&amp;" · ",""))-3)))</f>
        <v/>
      </c>
      <c r="P28" s="69">
        <f>IF(NOT((COUNTA($B28:$K28)+COUNTA($N28))&gt;0),"",IF(AND($S28="Sub",N($R28)&gt;0),IF(ISNUMBER(INDEX($E$5:$E$1000,$R28-4)),DATE(YEAR(INDEX($E$5:$E$1000,$R28-4)),MONTH(INDEX($E$5:$E$1000,$R28-4)),1),IF(ISNUMBER(INDEX($F$5:$F$1000,$R28-4)),DATE(YEAR(INDEX($F$5:$F$1000,$R28-4)),MONTH(INDEX($F$5:$F$1000,$R28-4)),1),MesCiclo)),IF(ISNUMBER($E28),DATE(YEAR($E28),MONTH($E28),1),IF(ISNUMBER($F28),DATE(YEAR($F28),MONTH($F28),1),MesCiclo))))</f>
        <v/>
      </c>
      <c r="Q28" s="70">
        <f>IF(OR($P28="",$P28&lt;&gt;MesCiclo),"",COUNTIF($P$5:$P28,MesCiclo))</f>
        <v/>
      </c>
      <c r="R28" s="70">
        <f>IF($S28="","",IF($S28="Macro",ROW(),IFERROR(LOOKUP(2,1/($S$5:$S28="Macro"),ROW($S$5:$S28)),0)))</f>
        <v/>
      </c>
      <c r="S28" s="70">
        <f>IF(NOT((COUNTA($B28:$K28)+COUNTA($N28))&gt;0),"",IF($B28&lt;&gt;"","Macro",IF($C28&lt;&gt;"","Sub","Macro")))</f>
        <v/>
      </c>
      <c r="T28" s="70">
        <f>IF($S28="Macro",COUNTIFS($R$5:$R$1000,ROW(),$S$5:$S$1000,"Sub"),"")</f>
        <v/>
      </c>
      <c r="U28" s="70">
        <f>IF($S28="","",IF(ISNUMBER($H28),$H28,0))</f>
        <v/>
      </c>
      <c r="V28" s="70">
        <f>IF($S28="","",IF(ISNUMBER($I28),$I28,$U28))</f>
        <v/>
      </c>
      <c r="W28" s="70">
        <f>IF($S28="","",IF(ISNUMBER($J28),$J28,$V28))</f>
        <v/>
      </c>
      <c r="X28" s="70">
        <f>IF($S28="","",IF(ISNUMBER($K28),$K28,$W28))</f>
        <v/>
      </c>
      <c r="Y28" s="70">
        <f>IF($S28="","",IF(N($T28)&gt;0,AVERAGEIFS($U$5:$U$1000,$R$5:$R$1000,ROW(),$S$5:$S$1000,"Sub"),$U28))</f>
        <v/>
      </c>
      <c r="Z28" s="70">
        <f>IF($S28="","",IF(N($T28)&gt;0,AVERAGEIFS($V$5:$V$1000,$R$5:$R$1000,ROW(),$S$5:$S$1000,"Sub"),$V28))</f>
        <v/>
      </c>
      <c r="AA28" s="70">
        <f>IF($S28="","",IF(N($T28)&gt;0,AVERAGEIFS($W$5:$W$1000,$R$5:$R$1000,ROW(),$S$5:$S$1000,"Sub"),$W28))</f>
        <v/>
      </c>
      <c r="AB28" s="70">
        <f>IF($S28="","",IF(N($T28)&gt;0,AVERAGEIFS($X$5:$X$1000,$R$5:$R$1000,ROW(),$S$5:$S$1000,"Sub"),$X28))</f>
        <v/>
      </c>
    </row>
    <row r="29">
      <c r="A29" s="61">
        <f>IF(NOT((COUNTA($B29:$K29)+COUNTA($N29))&gt;0),"",IF($S29="Macro",COUNTIFS($S$5:$S29,"Macro",$P$5:$P29,$P29),IF(N($R29)=0,"?",COUNTIFS(INDEX($S$5:$S$1000,1):INDEX($S$5:$S$1000,$R29-4),"Macro",INDEX($P$5:$P$1000,1):INDEX($P$5:$P$1000,$R29-4),INDEX($P$5:$P$1000,$R29-4))&amp;"."&amp;COUNTIFS($R$5:$R29,$R29,$S$5:$S29,"Sub"))))</f>
        <v/>
      </c>
      <c r="B29" s="62" t="n"/>
      <c r="C29" s="63" t="n"/>
      <c r="D29" s="62" t="n"/>
      <c r="E29" s="64" t="n"/>
      <c r="F29" s="64" t="n"/>
      <c r="G29" s="65" t="n"/>
      <c r="H29" s="66" t="n"/>
      <c r="I29" s="66" t="n"/>
      <c r="J29" s="66" t="n"/>
      <c r="K29" s="66" t="n"/>
      <c r="L29" s="67">
        <f>IF(NOT((COUNTA($B29:$K29)+COUNTA($N29))&gt;0),"",IF(N($T29)&gt;0,$AB29,IFERROR(LOOKUP(2,1/(H29:K29&lt;&gt;""),H29:K29),0)))</f>
        <v/>
      </c>
      <c r="M29" s="61">
        <f>IF(L29="","",IF(L29&gt;=1,"Completado",IF(L29&gt;0,"En curso","Pendiente")))</f>
        <v/>
      </c>
      <c r="N29" s="62" t="n"/>
      <c r="O29" s="68">
        <f>IF(NOT((COUNTA($B29:$K29)+COUNTA($N29))&gt;0),"",IF((IF(AND($S29="Macro",$B29=""),"Macroactividad vacía"&amp;" · ","")&amp;IF(AND($B29&lt;&gt;"",$C29&lt;&gt;""),"Escriba la subactividad en otra fila, debajo de su macroactividad"&amp;" · ","")&amp;IF(AND($S29="Sub",N($R29)=0),"Subactividad sin macroactividad arriba"&amp;" · ","")&amp;IF($D29="","Sin responsable"&amp;" · ","")&amp;IF($E29="","Sin fecha de inicio"&amp;" · ","")&amp;IF($F29="","Sin fecha límite"&amp;" · ","")&amp;IF(OR(AND($E29&lt;&gt;"",NOT(ISNUMBER($E29))),AND($F29&lt;&gt;"",NOT(ISNUMBER($F29)))),"Fecha no válida"&amp;" · ","")&amp;IF(AND(ISNUMBER($E29),ISNUMBER($F29),$E29&gt;$F29),"Inicio posterior a fecha límite"&amp;" · ","")&amp;IF(AND($S29="Macro",$G29=""),"Peso vacío"&amp;" · ","")&amp;IF(AND($S29="Macro",$G29&lt;&gt;"",OR(NOT(ISNUMBER($G29)),$G29&lt;=0,$G29&gt;1)),"Peso fuera de rango"&amp;" · ","")&amp;IF(AND($S29="Sub",$G29&lt;&gt;""),"Las subactividades no llevan peso"&amp;" · ","")&amp;IF(AND($S29="Macro",ABS(SUMIFS($G$5:$G$1000,$P$5:$P$1000,$P29,$S$5:$S$1000,"Macro")-1)&gt;0.0001),"Pesos del mes suman "&amp;TEXT(SUMIFS($G$5:$G$1000,$P$5:$P$1000,$P29,$S$5:$S$1000,"Macro"),"0%")&amp;" · ","")&amp;IF(AND(N($T29)&gt;0,COUNT($H29:$K29)&gt;0),"Con subactividades: deje vacías las semanas (se calculan solas)"&amp;" · ","")&amp;IF((COUNTIF($H29:$K29,"&gt;1")+COUNTIF($H29:$K29,"&lt;0")+COUNTA($H29:$K29)-COUNT($H29:$K29))&gt;0,"Avance fuera de rango 0-100%"&amp;" · ","")&amp;IF(OR(AND($I29&lt;&gt;"",$I29&lt;$H29),AND($J29&lt;&gt;"",$J29&lt;MAX($H29:$I29)),AND($K29&lt;&gt;"",$K29&lt;MAX($H29:$J29))),"Avance semanal decreciente"&amp;" · ","")&amp;IF(AND(ISNUMBER($F29),$F29&lt;FechaRef,N($L29)&lt;1),"Vencida"&amp;" · ","")&amp;IF(AND(ObsObligatoria="Sí",ISNUMBER($F29),$F29&lt;FechaRef,N($L29)&lt;1,$N29=""),"Vencida sin observación"&amp;" · ",""))="","✔ OK","⚠ "&amp;LEFT(IF(AND($S29="Macro",$B29=""),"Macroactividad vacía"&amp;" · ","")&amp;IF(AND($B29&lt;&gt;"",$C29&lt;&gt;""),"Escriba la subactividad en otra fila, debajo de su macroactividad"&amp;" · ","")&amp;IF(AND($S29="Sub",N($R29)=0),"Subactividad sin macroactividad arriba"&amp;" · ","")&amp;IF($D29="","Sin responsable"&amp;" · ","")&amp;IF($E29="","Sin fecha de inicio"&amp;" · ","")&amp;IF($F29="","Sin fecha límite"&amp;" · ","")&amp;IF(OR(AND($E29&lt;&gt;"",NOT(ISNUMBER($E29))),AND($F29&lt;&gt;"",NOT(ISNUMBER($F29)))),"Fecha no válida"&amp;" · ","")&amp;IF(AND(ISNUMBER($E29),ISNUMBER($F29),$E29&gt;$F29),"Inicio posterior a fecha límite"&amp;" · ","")&amp;IF(AND($S29="Macro",$G29=""),"Peso vacío"&amp;" · ","")&amp;IF(AND($S29="Macro",$G29&lt;&gt;"",OR(NOT(ISNUMBER($G29)),$G29&lt;=0,$G29&gt;1)),"Peso fuera de rango"&amp;" · ","")&amp;IF(AND($S29="Sub",$G29&lt;&gt;""),"Las subactividades no llevan peso"&amp;" · ","")&amp;IF(AND($S29="Macro",ABS(SUMIFS($G$5:$G$1000,$P$5:$P$1000,$P29,$S$5:$S$1000,"Macro")-1)&gt;0.0001),"Pesos del mes suman "&amp;TEXT(SUMIFS($G$5:$G$1000,$P$5:$P$1000,$P29,$S$5:$S$1000,"Macro"),"0%")&amp;" · ","")&amp;IF(AND(N($T29)&gt;0,COUNT($H29:$K29)&gt;0),"Con subactividades: deje vacías las semanas (se calculan solas)"&amp;" · ","")&amp;IF((COUNTIF($H29:$K29,"&gt;1")+COUNTIF($H29:$K29,"&lt;0")+COUNTA($H29:$K29)-COUNT($H29:$K29))&gt;0,"Avance fuera de rango 0-100%"&amp;" · ","")&amp;IF(OR(AND($I29&lt;&gt;"",$I29&lt;$H29),AND($J29&lt;&gt;"",$J29&lt;MAX($H29:$I29)),AND($K29&lt;&gt;"",$K29&lt;MAX($H29:$J29))),"Avance semanal decreciente"&amp;" · ","")&amp;IF(AND(ISNUMBER($F29),$F29&lt;FechaRef,N($L29)&lt;1),"Vencida"&amp;" · ","")&amp;IF(AND(ObsObligatoria="Sí",ISNUMBER($F29),$F29&lt;FechaRef,N($L29)&lt;1,$N29=""),"Vencida sin observación"&amp;" · ",""),LEN(IF(AND($S29="Macro",$B29=""),"Macroactividad vacía"&amp;" · ","")&amp;IF(AND($B29&lt;&gt;"",$C29&lt;&gt;""),"Escriba la subactividad en otra fila, debajo de su macroactividad"&amp;" · ","")&amp;IF(AND($S29="Sub",N($R29)=0),"Subactividad sin macroactividad arriba"&amp;" · ","")&amp;IF($D29="","Sin responsable"&amp;" · ","")&amp;IF($E29="","Sin fecha de inicio"&amp;" · ","")&amp;IF($F29="","Sin fecha límite"&amp;" · ","")&amp;IF(OR(AND($E29&lt;&gt;"",NOT(ISNUMBER($E29))),AND($F29&lt;&gt;"",NOT(ISNUMBER($F29)))),"Fecha no válida"&amp;" · ","")&amp;IF(AND(ISNUMBER($E29),ISNUMBER($F29),$E29&gt;$F29),"Inicio posterior a fecha límite"&amp;" · ","")&amp;IF(AND($S29="Macro",$G29=""),"Peso vacío"&amp;" · ","")&amp;IF(AND($S29="Macro",$G29&lt;&gt;"",OR(NOT(ISNUMBER($G29)),$G29&lt;=0,$G29&gt;1)),"Peso fuera de rango"&amp;" · ","")&amp;IF(AND($S29="Sub",$G29&lt;&gt;""),"Las subactividades no llevan peso"&amp;" · ","")&amp;IF(AND($S29="Macro",ABS(SUMIFS($G$5:$G$1000,$P$5:$P$1000,$P29,$S$5:$S$1000,"Macro")-1)&gt;0.0001),"Pesos del mes suman "&amp;TEXT(SUMIFS($G$5:$G$1000,$P$5:$P$1000,$P29,$S$5:$S$1000,"Macro"),"0%")&amp;" · ","")&amp;IF(AND(N($T29)&gt;0,COUNT($H29:$K29)&gt;0),"Con subactividades: deje vacías las semanas (se calculan solas)"&amp;" · ","")&amp;IF((COUNTIF($H29:$K29,"&gt;1")+COUNTIF($H29:$K29,"&lt;0")+COUNTA($H29:$K29)-COUNT($H29:$K29))&gt;0,"Avance fuera de rango 0-100%"&amp;" · ","")&amp;IF(OR(AND($I29&lt;&gt;"",$I29&lt;$H29),AND($J29&lt;&gt;"",$J29&lt;MAX($H29:$I29)),AND($K29&lt;&gt;"",$K29&lt;MAX($H29:$J29))),"Avance semanal decreciente"&amp;" · ","")&amp;IF(AND(ISNUMBER($F29),$F29&lt;FechaRef,N($L29)&lt;1),"Vencida"&amp;" · ","")&amp;IF(AND(ObsObligatoria="Sí",ISNUMBER($F29),$F29&lt;FechaRef,N($L29)&lt;1,$N29=""),"Vencida sin observación"&amp;" · ",""))-3)))</f>
        <v/>
      </c>
      <c r="P29" s="69">
        <f>IF(NOT((COUNTA($B29:$K29)+COUNTA($N29))&gt;0),"",IF(AND($S29="Sub",N($R29)&gt;0),IF(ISNUMBER(INDEX($E$5:$E$1000,$R29-4)),DATE(YEAR(INDEX($E$5:$E$1000,$R29-4)),MONTH(INDEX($E$5:$E$1000,$R29-4)),1),IF(ISNUMBER(INDEX($F$5:$F$1000,$R29-4)),DATE(YEAR(INDEX($F$5:$F$1000,$R29-4)),MONTH(INDEX($F$5:$F$1000,$R29-4)),1),MesCiclo)),IF(ISNUMBER($E29),DATE(YEAR($E29),MONTH($E29),1),IF(ISNUMBER($F29),DATE(YEAR($F29),MONTH($F29),1),MesCiclo))))</f>
        <v/>
      </c>
      <c r="Q29" s="70">
        <f>IF(OR($P29="",$P29&lt;&gt;MesCiclo),"",COUNTIF($P$5:$P29,MesCiclo))</f>
        <v/>
      </c>
      <c r="R29" s="70">
        <f>IF($S29="","",IF($S29="Macro",ROW(),IFERROR(LOOKUP(2,1/($S$5:$S29="Macro"),ROW($S$5:$S29)),0)))</f>
        <v/>
      </c>
      <c r="S29" s="70">
        <f>IF(NOT((COUNTA($B29:$K29)+COUNTA($N29))&gt;0),"",IF($B29&lt;&gt;"","Macro",IF($C29&lt;&gt;"","Sub","Macro")))</f>
        <v/>
      </c>
      <c r="T29" s="70">
        <f>IF($S29="Macro",COUNTIFS($R$5:$R$1000,ROW(),$S$5:$S$1000,"Sub"),"")</f>
        <v/>
      </c>
      <c r="U29" s="70">
        <f>IF($S29="","",IF(ISNUMBER($H29),$H29,0))</f>
        <v/>
      </c>
      <c r="V29" s="70">
        <f>IF($S29="","",IF(ISNUMBER($I29),$I29,$U29))</f>
        <v/>
      </c>
      <c r="W29" s="70">
        <f>IF($S29="","",IF(ISNUMBER($J29),$J29,$V29))</f>
        <v/>
      </c>
      <c r="X29" s="70">
        <f>IF($S29="","",IF(ISNUMBER($K29),$K29,$W29))</f>
        <v/>
      </c>
      <c r="Y29" s="70">
        <f>IF($S29="","",IF(N($T29)&gt;0,AVERAGEIFS($U$5:$U$1000,$R$5:$R$1000,ROW(),$S$5:$S$1000,"Sub"),$U29))</f>
        <v/>
      </c>
      <c r="Z29" s="70">
        <f>IF($S29="","",IF(N($T29)&gt;0,AVERAGEIFS($V$5:$V$1000,$R$5:$R$1000,ROW(),$S$5:$S$1000,"Sub"),$V29))</f>
        <v/>
      </c>
      <c r="AA29" s="70">
        <f>IF($S29="","",IF(N($T29)&gt;0,AVERAGEIFS($W$5:$W$1000,$R$5:$R$1000,ROW(),$S$5:$S$1000,"Sub"),$W29))</f>
        <v/>
      </c>
      <c r="AB29" s="70">
        <f>IF($S29="","",IF(N($T29)&gt;0,AVERAGEIFS($X$5:$X$1000,$R$5:$R$1000,ROW(),$S$5:$S$1000,"Sub"),$X29))</f>
        <v/>
      </c>
    </row>
    <row r="30">
      <c r="A30" s="61">
        <f>IF(NOT((COUNTA($B30:$K30)+COUNTA($N30))&gt;0),"",IF($S30="Macro",COUNTIFS($S$5:$S30,"Macro",$P$5:$P30,$P30),IF(N($R30)=0,"?",COUNTIFS(INDEX($S$5:$S$1000,1):INDEX($S$5:$S$1000,$R30-4),"Macro",INDEX($P$5:$P$1000,1):INDEX($P$5:$P$1000,$R30-4),INDEX($P$5:$P$1000,$R30-4))&amp;"."&amp;COUNTIFS($R$5:$R30,$R30,$S$5:$S30,"Sub"))))</f>
        <v/>
      </c>
      <c r="B30" s="62" t="n"/>
      <c r="C30" s="63" t="n"/>
      <c r="D30" s="62" t="n"/>
      <c r="E30" s="64" t="n"/>
      <c r="F30" s="64" t="n"/>
      <c r="G30" s="65" t="n"/>
      <c r="H30" s="66" t="n"/>
      <c r="I30" s="66" t="n"/>
      <c r="J30" s="66" t="n"/>
      <c r="K30" s="66" t="n"/>
      <c r="L30" s="67">
        <f>IF(NOT((COUNTA($B30:$K30)+COUNTA($N30))&gt;0),"",IF(N($T30)&gt;0,$AB30,IFERROR(LOOKUP(2,1/(H30:K30&lt;&gt;""),H30:K30),0)))</f>
        <v/>
      </c>
      <c r="M30" s="61">
        <f>IF(L30="","",IF(L30&gt;=1,"Completado",IF(L30&gt;0,"En curso","Pendiente")))</f>
        <v/>
      </c>
      <c r="N30" s="62" t="n"/>
      <c r="O30" s="68">
        <f>IF(NOT((COUNTA($B30:$K30)+COUNTA($N30))&gt;0),"",IF((IF(AND($S30="Macro",$B30=""),"Macroactividad vacía"&amp;" · ","")&amp;IF(AND($B30&lt;&gt;"",$C30&lt;&gt;""),"Escriba la subactividad en otra fila, debajo de su macroactividad"&amp;" · ","")&amp;IF(AND($S30="Sub",N($R30)=0),"Subactividad sin macroactividad arriba"&amp;" · ","")&amp;IF($D30="","Sin responsable"&amp;" · ","")&amp;IF($E30="","Sin fecha de inicio"&amp;" · ","")&amp;IF($F30="","Sin fecha límite"&amp;" · ","")&amp;IF(OR(AND($E30&lt;&gt;"",NOT(ISNUMBER($E30))),AND($F30&lt;&gt;"",NOT(ISNUMBER($F30)))),"Fecha no válida"&amp;" · ","")&amp;IF(AND(ISNUMBER($E30),ISNUMBER($F30),$E30&gt;$F30),"Inicio posterior a fecha límite"&amp;" · ","")&amp;IF(AND($S30="Macro",$G30=""),"Peso vacío"&amp;" · ","")&amp;IF(AND($S30="Macro",$G30&lt;&gt;"",OR(NOT(ISNUMBER($G30)),$G30&lt;=0,$G30&gt;1)),"Peso fuera de rango"&amp;" · ","")&amp;IF(AND($S30="Sub",$G30&lt;&gt;""),"Las subactividades no llevan peso"&amp;" · ","")&amp;IF(AND($S30="Macro",ABS(SUMIFS($G$5:$G$1000,$P$5:$P$1000,$P30,$S$5:$S$1000,"Macro")-1)&gt;0.0001),"Pesos del mes suman "&amp;TEXT(SUMIFS($G$5:$G$1000,$P$5:$P$1000,$P30,$S$5:$S$1000,"Macro"),"0%")&amp;" · ","")&amp;IF(AND(N($T30)&gt;0,COUNT($H30:$K30)&gt;0),"Con subactividades: deje vacías las semanas (se calculan solas)"&amp;" · ","")&amp;IF((COUNTIF($H30:$K30,"&gt;1")+COUNTIF($H30:$K30,"&lt;0")+COUNTA($H30:$K30)-COUNT($H30:$K30))&gt;0,"Avance fuera de rango 0-100%"&amp;" · ","")&amp;IF(OR(AND($I30&lt;&gt;"",$I30&lt;$H30),AND($J30&lt;&gt;"",$J30&lt;MAX($H30:$I30)),AND($K30&lt;&gt;"",$K30&lt;MAX($H30:$J30))),"Avance semanal decreciente"&amp;" · ","")&amp;IF(AND(ISNUMBER($F30),$F30&lt;FechaRef,N($L30)&lt;1),"Vencida"&amp;" · ","")&amp;IF(AND(ObsObligatoria="Sí",ISNUMBER($F30),$F30&lt;FechaRef,N($L30)&lt;1,$N30=""),"Vencida sin observación"&amp;" · ",""))="","✔ OK","⚠ "&amp;LEFT(IF(AND($S30="Macro",$B30=""),"Macroactividad vacía"&amp;" · ","")&amp;IF(AND($B30&lt;&gt;"",$C30&lt;&gt;""),"Escriba la subactividad en otra fila, debajo de su macroactividad"&amp;" · ","")&amp;IF(AND($S30="Sub",N($R30)=0),"Subactividad sin macroactividad arriba"&amp;" · ","")&amp;IF($D30="","Sin responsable"&amp;" · ","")&amp;IF($E30="","Sin fecha de inicio"&amp;" · ","")&amp;IF($F30="","Sin fecha límite"&amp;" · ","")&amp;IF(OR(AND($E30&lt;&gt;"",NOT(ISNUMBER($E30))),AND($F30&lt;&gt;"",NOT(ISNUMBER($F30)))),"Fecha no válida"&amp;" · ","")&amp;IF(AND(ISNUMBER($E30),ISNUMBER($F30),$E30&gt;$F30),"Inicio posterior a fecha límite"&amp;" · ","")&amp;IF(AND($S30="Macro",$G30=""),"Peso vacío"&amp;" · ","")&amp;IF(AND($S30="Macro",$G30&lt;&gt;"",OR(NOT(ISNUMBER($G30)),$G30&lt;=0,$G30&gt;1)),"Peso fuera de rango"&amp;" · ","")&amp;IF(AND($S30="Sub",$G30&lt;&gt;""),"Las subactividades no llevan peso"&amp;" · ","")&amp;IF(AND($S30="Macro",ABS(SUMIFS($G$5:$G$1000,$P$5:$P$1000,$P30,$S$5:$S$1000,"Macro")-1)&gt;0.0001),"Pesos del mes suman "&amp;TEXT(SUMIFS($G$5:$G$1000,$P$5:$P$1000,$P30,$S$5:$S$1000,"Macro"),"0%")&amp;" · ","")&amp;IF(AND(N($T30)&gt;0,COUNT($H30:$K30)&gt;0),"Con subactividades: deje vacías las semanas (se calculan solas)"&amp;" · ","")&amp;IF((COUNTIF($H30:$K30,"&gt;1")+COUNTIF($H30:$K30,"&lt;0")+COUNTA($H30:$K30)-COUNT($H30:$K30))&gt;0,"Avance fuera de rango 0-100%"&amp;" · ","")&amp;IF(OR(AND($I30&lt;&gt;"",$I30&lt;$H30),AND($J30&lt;&gt;"",$J30&lt;MAX($H30:$I30)),AND($K30&lt;&gt;"",$K30&lt;MAX($H30:$J30))),"Avance semanal decreciente"&amp;" · ","")&amp;IF(AND(ISNUMBER($F30),$F30&lt;FechaRef,N($L30)&lt;1),"Vencida"&amp;" · ","")&amp;IF(AND(ObsObligatoria="Sí",ISNUMBER($F30),$F30&lt;FechaRef,N($L30)&lt;1,$N30=""),"Vencida sin observación"&amp;" · ",""),LEN(IF(AND($S30="Macro",$B30=""),"Macroactividad vacía"&amp;" · ","")&amp;IF(AND($B30&lt;&gt;"",$C30&lt;&gt;""),"Escriba la subactividad en otra fila, debajo de su macroactividad"&amp;" · ","")&amp;IF(AND($S30="Sub",N($R30)=0),"Subactividad sin macroactividad arriba"&amp;" · ","")&amp;IF($D30="","Sin responsable"&amp;" · ","")&amp;IF($E30="","Sin fecha de inicio"&amp;" · ","")&amp;IF($F30="","Sin fecha límite"&amp;" · ","")&amp;IF(OR(AND($E30&lt;&gt;"",NOT(ISNUMBER($E30))),AND($F30&lt;&gt;"",NOT(ISNUMBER($F30)))),"Fecha no válida"&amp;" · ","")&amp;IF(AND(ISNUMBER($E30),ISNUMBER($F30),$E30&gt;$F30),"Inicio posterior a fecha límite"&amp;" · ","")&amp;IF(AND($S30="Macro",$G30=""),"Peso vacío"&amp;" · ","")&amp;IF(AND($S30="Macro",$G30&lt;&gt;"",OR(NOT(ISNUMBER($G30)),$G30&lt;=0,$G30&gt;1)),"Peso fuera de rango"&amp;" · ","")&amp;IF(AND($S30="Sub",$G30&lt;&gt;""),"Las subactividades no llevan peso"&amp;" · ","")&amp;IF(AND($S30="Macro",ABS(SUMIFS($G$5:$G$1000,$P$5:$P$1000,$P30,$S$5:$S$1000,"Macro")-1)&gt;0.0001),"Pesos del mes suman "&amp;TEXT(SUMIFS($G$5:$G$1000,$P$5:$P$1000,$P30,$S$5:$S$1000,"Macro"),"0%")&amp;" · ","")&amp;IF(AND(N($T30)&gt;0,COUNT($H30:$K30)&gt;0),"Con subactividades: deje vacías las semanas (se calculan solas)"&amp;" · ","")&amp;IF((COUNTIF($H30:$K30,"&gt;1")+COUNTIF($H30:$K30,"&lt;0")+COUNTA($H30:$K30)-COUNT($H30:$K30))&gt;0,"Avance fuera de rango 0-100%"&amp;" · ","")&amp;IF(OR(AND($I30&lt;&gt;"",$I30&lt;$H30),AND($J30&lt;&gt;"",$J30&lt;MAX($H30:$I30)),AND($K30&lt;&gt;"",$K30&lt;MAX($H30:$J30))),"Avance semanal decreciente"&amp;" · ","")&amp;IF(AND(ISNUMBER($F30),$F30&lt;FechaRef,N($L30)&lt;1),"Vencida"&amp;" · ","")&amp;IF(AND(ObsObligatoria="Sí",ISNUMBER($F30),$F30&lt;FechaRef,N($L30)&lt;1,$N30=""),"Vencida sin observación"&amp;" · ",""))-3)))</f>
        <v/>
      </c>
      <c r="P30" s="69">
        <f>IF(NOT((COUNTA($B30:$K30)+COUNTA($N30))&gt;0),"",IF(AND($S30="Sub",N($R30)&gt;0),IF(ISNUMBER(INDEX($E$5:$E$1000,$R30-4)),DATE(YEAR(INDEX($E$5:$E$1000,$R30-4)),MONTH(INDEX($E$5:$E$1000,$R30-4)),1),IF(ISNUMBER(INDEX($F$5:$F$1000,$R30-4)),DATE(YEAR(INDEX($F$5:$F$1000,$R30-4)),MONTH(INDEX($F$5:$F$1000,$R30-4)),1),MesCiclo)),IF(ISNUMBER($E30),DATE(YEAR($E30),MONTH($E30),1),IF(ISNUMBER($F30),DATE(YEAR($F30),MONTH($F30),1),MesCiclo))))</f>
        <v/>
      </c>
      <c r="Q30" s="70">
        <f>IF(OR($P30="",$P30&lt;&gt;MesCiclo),"",COUNTIF($P$5:$P30,MesCiclo))</f>
        <v/>
      </c>
      <c r="R30" s="70">
        <f>IF($S30="","",IF($S30="Macro",ROW(),IFERROR(LOOKUP(2,1/($S$5:$S30="Macro"),ROW($S$5:$S30)),0)))</f>
        <v/>
      </c>
      <c r="S30" s="70">
        <f>IF(NOT((COUNTA($B30:$K30)+COUNTA($N30))&gt;0),"",IF($B30&lt;&gt;"","Macro",IF($C30&lt;&gt;"","Sub","Macro")))</f>
        <v/>
      </c>
      <c r="T30" s="70">
        <f>IF($S30="Macro",COUNTIFS($R$5:$R$1000,ROW(),$S$5:$S$1000,"Sub"),"")</f>
        <v/>
      </c>
      <c r="U30" s="70">
        <f>IF($S30="","",IF(ISNUMBER($H30),$H30,0))</f>
        <v/>
      </c>
      <c r="V30" s="70">
        <f>IF($S30="","",IF(ISNUMBER($I30),$I30,$U30))</f>
        <v/>
      </c>
      <c r="W30" s="70">
        <f>IF($S30="","",IF(ISNUMBER($J30),$J30,$V30))</f>
        <v/>
      </c>
      <c r="X30" s="70">
        <f>IF($S30="","",IF(ISNUMBER($K30),$K30,$W30))</f>
        <v/>
      </c>
      <c r="Y30" s="70">
        <f>IF($S30="","",IF(N($T30)&gt;0,AVERAGEIFS($U$5:$U$1000,$R$5:$R$1000,ROW(),$S$5:$S$1000,"Sub"),$U30))</f>
        <v/>
      </c>
      <c r="Z30" s="70">
        <f>IF($S30="","",IF(N($T30)&gt;0,AVERAGEIFS($V$5:$V$1000,$R$5:$R$1000,ROW(),$S$5:$S$1000,"Sub"),$V30))</f>
        <v/>
      </c>
      <c r="AA30" s="70">
        <f>IF($S30="","",IF(N($T30)&gt;0,AVERAGEIFS($W$5:$W$1000,$R$5:$R$1000,ROW(),$S$5:$S$1000,"Sub"),$W30))</f>
        <v/>
      </c>
      <c r="AB30" s="70">
        <f>IF($S30="","",IF(N($T30)&gt;0,AVERAGEIFS($X$5:$X$1000,$R$5:$R$1000,ROW(),$S$5:$S$1000,"Sub"),$X30))</f>
        <v/>
      </c>
    </row>
    <row r="31">
      <c r="A31" s="61">
        <f>IF(NOT((COUNTA($B31:$K31)+COUNTA($N31))&gt;0),"",IF($S31="Macro",COUNTIFS($S$5:$S31,"Macro",$P$5:$P31,$P31),IF(N($R31)=0,"?",COUNTIFS(INDEX($S$5:$S$1000,1):INDEX($S$5:$S$1000,$R31-4),"Macro",INDEX($P$5:$P$1000,1):INDEX($P$5:$P$1000,$R31-4),INDEX($P$5:$P$1000,$R31-4))&amp;"."&amp;COUNTIFS($R$5:$R31,$R31,$S$5:$S31,"Sub"))))</f>
        <v/>
      </c>
      <c r="B31" s="62" t="n"/>
      <c r="C31" s="63" t="n"/>
      <c r="D31" s="62" t="n"/>
      <c r="E31" s="64" t="n"/>
      <c r="F31" s="64" t="n"/>
      <c r="G31" s="65" t="n"/>
      <c r="H31" s="66" t="n"/>
      <c r="I31" s="66" t="n"/>
      <c r="J31" s="66" t="n"/>
      <c r="K31" s="66" t="n"/>
      <c r="L31" s="67">
        <f>IF(NOT((COUNTA($B31:$K31)+COUNTA($N31))&gt;0),"",IF(N($T31)&gt;0,$AB31,IFERROR(LOOKUP(2,1/(H31:K31&lt;&gt;""),H31:K31),0)))</f>
        <v/>
      </c>
      <c r="M31" s="61">
        <f>IF(L31="","",IF(L31&gt;=1,"Completado",IF(L31&gt;0,"En curso","Pendiente")))</f>
        <v/>
      </c>
      <c r="N31" s="62" t="n"/>
      <c r="O31" s="68">
        <f>IF(NOT((COUNTA($B31:$K31)+COUNTA($N31))&gt;0),"",IF((IF(AND($S31="Macro",$B31=""),"Macroactividad vacía"&amp;" · ","")&amp;IF(AND($B31&lt;&gt;"",$C31&lt;&gt;""),"Escriba la subactividad en otra fila, debajo de su macroactividad"&amp;" · ","")&amp;IF(AND($S31="Sub",N($R31)=0),"Subactividad sin macroactividad arriba"&amp;" · ","")&amp;IF($D31="","Sin responsable"&amp;" · ","")&amp;IF($E31="","Sin fecha de inicio"&amp;" · ","")&amp;IF($F31="","Sin fecha límite"&amp;" · ","")&amp;IF(OR(AND($E31&lt;&gt;"",NOT(ISNUMBER($E31))),AND($F31&lt;&gt;"",NOT(ISNUMBER($F31)))),"Fecha no válida"&amp;" · ","")&amp;IF(AND(ISNUMBER($E31),ISNUMBER($F31),$E31&gt;$F31),"Inicio posterior a fecha límite"&amp;" · ","")&amp;IF(AND($S31="Macro",$G31=""),"Peso vacío"&amp;" · ","")&amp;IF(AND($S31="Macro",$G31&lt;&gt;"",OR(NOT(ISNUMBER($G31)),$G31&lt;=0,$G31&gt;1)),"Peso fuera de rango"&amp;" · ","")&amp;IF(AND($S31="Sub",$G31&lt;&gt;""),"Las subactividades no llevan peso"&amp;" · ","")&amp;IF(AND($S31="Macro",ABS(SUMIFS($G$5:$G$1000,$P$5:$P$1000,$P31,$S$5:$S$1000,"Macro")-1)&gt;0.0001),"Pesos del mes suman "&amp;TEXT(SUMIFS($G$5:$G$1000,$P$5:$P$1000,$P31,$S$5:$S$1000,"Macro"),"0%")&amp;" · ","")&amp;IF(AND(N($T31)&gt;0,COUNT($H31:$K31)&gt;0),"Con subactividades: deje vacías las semanas (se calculan solas)"&amp;" · ","")&amp;IF((COUNTIF($H31:$K31,"&gt;1")+COUNTIF($H31:$K31,"&lt;0")+COUNTA($H31:$K31)-COUNT($H31:$K31))&gt;0,"Avance fuera de rango 0-100%"&amp;" · ","")&amp;IF(OR(AND($I31&lt;&gt;"",$I31&lt;$H31),AND($J31&lt;&gt;"",$J31&lt;MAX($H31:$I31)),AND($K31&lt;&gt;"",$K31&lt;MAX($H31:$J31))),"Avance semanal decreciente"&amp;" · ","")&amp;IF(AND(ISNUMBER($F31),$F31&lt;FechaRef,N($L31)&lt;1),"Vencida"&amp;" · ","")&amp;IF(AND(ObsObligatoria="Sí",ISNUMBER($F31),$F31&lt;FechaRef,N($L31)&lt;1,$N31=""),"Vencida sin observación"&amp;" · ",""))="","✔ OK","⚠ "&amp;LEFT(IF(AND($S31="Macro",$B31=""),"Macroactividad vacía"&amp;" · ","")&amp;IF(AND($B31&lt;&gt;"",$C31&lt;&gt;""),"Escriba la subactividad en otra fila, debajo de su macroactividad"&amp;" · ","")&amp;IF(AND($S31="Sub",N($R31)=0),"Subactividad sin macroactividad arriba"&amp;" · ","")&amp;IF($D31="","Sin responsable"&amp;" · ","")&amp;IF($E31="","Sin fecha de inicio"&amp;" · ","")&amp;IF($F31="","Sin fecha límite"&amp;" · ","")&amp;IF(OR(AND($E31&lt;&gt;"",NOT(ISNUMBER($E31))),AND($F31&lt;&gt;"",NOT(ISNUMBER($F31)))),"Fecha no válida"&amp;" · ","")&amp;IF(AND(ISNUMBER($E31),ISNUMBER($F31),$E31&gt;$F31),"Inicio posterior a fecha límite"&amp;" · ","")&amp;IF(AND($S31="Macro",$G31=""),"Peso vacío"&amp;" · ","")&amp;IF(AND($S31="Macro",$G31&lt;&gt;"",OR(NOT(ISNUMBER($G31)),$G31&lt;=0,$G31&gt;1)),"Peso fuera de rango"&amp;" · ","")&amp;IF(AND($S31="Sub",$G31&lt;&gt;""),"Las subactividades no llevan peso"&amp;" · ","")&amp;IF(AND($S31="Macro",ABS(SUMIFS($G$5:$G$1000,$P$5:$P$1000,$P31,$S$5:$S$1000,"Macro")-1)&gt;0.0001),"Pesos del mes suman "&amp;TEXT(SUMIFS($G$5:$G$1000,$P$5:$P$1000,$P31,$S$5:$S$1000,"Macro"),"0%")&amp;" · ","")&amp;IF(AND(N($T31)&gt;0,COUNT($H31:$K31)&gt;0),"Con subactividades: deje vacías las semanas (se calculan solas)"&amp;" · ","")&amp;IF((COUNTIF($H31:$K31,"&gt;1")+COUNTIF($H31:$K31,"&lt;0")+COUNTA($H31:$K31)-COUNT($H31:$K31))&gt;0,"Avance fuera de rango 0-100%"&amp;" · ","")&amp;IF(OR(AND($I31&lt;&gt;"",$I31&lt;$H31),AND($J31&lt;&gt;"",$J31&lt;MAX($H31:$I31)),AND($K31&lt;&gt;"",$K31&lt;MAX($H31:$J31))),"Avance semanal decreciente"&amp;" · ","")&amp;IF(AND(ISNUMBER($F31),$F31&lt;FechaRef,N($L31)&lt;1),"Vencida"&amp;" · ","")&amp;IF(AND(ObsObligatoria="Sí",ISNUMBER($F31),$F31&lt;FechaRef,N($L31)&lt;1,$N31=""),"Vencida sin observación"&amp;" · ",""),LEN(IF(AND($S31="Macro",$B31=""),"Macroactividad vacía"&amp;" · ","")&amp;IF(AND($B31&lt;&gt;"",$C31&lt;&gt;""),"Escriba la subactividad en otra fila, debajo de su macroactividad"&amp;" · ","")&amp;IF(AND($S31="Sub",N($R31)=0),"Subactividad sin macroactividad arriba"&amp;" · ","")&amp;IF($D31="","Sin responsable"&amp;" · ","")&amp;IF($E31="","Sin fecha de inicio"&amp;" · ","")&amp;IF($F31="","Sin fecha límite"&amp;" · ","")&amp;IF(OR(AND($E31&lt;&gt;"",NOT(ISNUMBER($E31))),AND($F31&lt;&gt;"",NOT(ISNUMBER($F31)))),"Fecha no válida"&amp;" · ","")&amp;IF(AND(ISNUMBER($E31),ISNUMBER($F31),$E31&gt;$F31),"Inicio posterior a fecha límite"&amp;" · ","")&amp;IF(AND($S31="Macro",$G31=""),"Peso vacío"&amp;" · ","")&amp;IF(AND($S31="Macro",$G31&lt;&gt;"",OR(NOT(ISNUMBER($G31)),$G31&lt;=0,$G31&gt;1)),"Peso fuera de rango"&amp;" · ","")&amp;IF(AND($S31="Sub",$G31&lt;&gt;""),"Las subactividades no llevan peso"&amp;" · ","")&amp;IF(AND($S31="Macro",ABS(SUMIFS($G$5:$G$1000,$P$5:$P$1000,$P31,$S$5:$S$1000,"Macro")-1)&gt;0.0001),"Pesos del mes suman "&amp;TEXT(SUMIFS($G$5:$G$1000,$P$5:$P$1000,$P31,$S$5:$S$1000,"Macro"),"0%")&amp;" · ","")&amp;IF(AND(N($T31)&gt;0,COUNT($H31:$K31)&gt;0),"Con subactividades: deje vacías las semanas (se calculan solas)"&amp;" · ","")&amp;IF((COUNTIF($H31:$K31,"&gt;1")+COUNTIF($H31:$K31,"&lt;0")+COUNTA($H31:$K31)-COUNT($H31:$K31))&gt;0,"Avance fuera de rango 0-100%"&amp;" · ","")&amp;IF(OR(AND($I31&lt;&gt;"",$I31&lt;$H31),AND($J31&lt;&gt;"",$J31&lt;MAX($H31:$I31)),AND($K31&lt;&gt;"",$K31&lt;MAX($H31:$J31))),"Avance semanal decreciente"&amp;" · ","")&amp;IF(AND(ISNUMBER($F31),$F31&lt;FechaRef,N($L31)&lt;1),"Vencida"&amp;" · ","")&amp;IF(AND(ObsObligatoria="Sí",ISNUMBER($F31),$F31&lt;FechaRef,N($L31)&lt;1,$N31=""),"Vencida sin observación"&amp;" · ",""))-3)))</f>
        <v/>
      </c>
      <c r="P31" s="69">
        <f>IF(NOT((COUNTA($B31:$K31)+COUNTA($N31))&gt;0),"",IF(AND($S31="Sub",N($R31)&gt;0),IF(ISNUMBER(INDEX($E$5:$E$1000,$R31-4)),DATE(YEAR(INDEX($E$5:$E$1000,$R31-4)),MONTH(INDEX($E$5:$E$1000,$R31-4)),1),IF(ISNUMBER(INDEX($F$5:$F$1000,$R31-4)),DATE(YEAR(INDEX($F$5:$F$1000,$R31-4)),MONTH(INDEX($F$5:$F$1000,$R31-4)),1),MesCiclo)),IF(ISNUMBER($E31),DATE(YEAR($E31),MONTH($E31),1),IF(ISNUMBER($F31),DATE(YEAR($F31),MONTH($F31),1),MesCiclo))))</f>
        <v/>
      </c>
      <c r="Q31" s="70">
        <f>IF(OR($P31="",$P31&lt;&gt;MesCiclo),"",COUNTIF($P$5:$P31,MesCiclo))</f>
        <v/>
      </c>
      <c r="R31" s="70">
        <f>IF($S31="","",IF($S31="Macro",ROW(),IFERROR(LOOKUP(2,1/($S$5:$S31="Macro"),ROW($S$5:$S31)),0)))</f>
        <v/>
      </c>
      <c r="S31" s="70">
        <f>IF(NOT((COUNTA($B31:$K31)+COUNTA($N31))&gt;0),"",IF($B31&lt;&gt;"","Macro",IF($C31&lt;&gt;"","Sub","Macro")))</f>
        <v/>
      </c>
      <c r="T31" s="70">
        <f>IF($S31="Macro",COUNTIFS($R$5:$R$1000,ROW(),$S$5:$S$1000,"Sub"),"")</f>
        <v/>
      </c>
      <c r="U31" s="70">
        <f>IF($S31="","",IF(ISNUMBER($H31),$H31,0))</f>
        <v/>
      </c>
      <c r="V31" s="70">
        <f>IF($S31="","",IF(ISNUMBER($I31),$I31,$U31))</f>
        <v/>
      </c>
      <c r="W31" s="70">
        <f>IF($S31="","",IF(ISNUMBER($J31),$J31,$V31))</f>
        <v/>
      </c>
      <c r="X31" s="70">
        <f>IF($S31="","",IF(ISNUMBER($K31),$K31,$W31))</f>
        <v/>
      </c>
      <c r="Y31" s="70">
        <f>IF($S31="","",IF(N($T31)&gt;0,AVERAGEIFS($U$5:$U$1000,$R$5:$R$1000,ROW(),$S$5:$S$1000,"Sub"),$U31))</f>
        <v/>
      </c>
      <c r="Z31" s="70">
        <f>IF($S31="","",IF(N($T31)&gt;0,AVERAGEIFS($V$5:$V$1000,$R$5:$R$1000,ROW(),$S$5:$S$1000,"Sub"),$V31))</f>
        <v/>
      </c>
      <c r="AA31" s="70">
        <f>IF($S31="","",IF(N($T31)&gt;0,AVERAGEIFS($W$5:$W$1000,$R$5:$R$1000,ROW(),$S$5:$S$1000,"Sub"),$W31))</f>
        <v/>
      </c>
      <c r="AB31" s="70">
        <f>IF($S31="","",IF(N($T31)&gt;0,AVERAGEIFS($X$5:$X$1000,$R$5:$R$1000,ROW(),$S$5:$S$1000,"Sub"),$X31))</f>
        <v/>
      </c>
    </row>
    <row r="32">
      <c r="A32" s="61">
        <f>IF(NOT((COUNTA($B32:$K32)+COUNTA($N32))&gt;0),"",IF($S32="Macro",COUNTIFS($S$5:$S32,"Macro",$P$5:$P32,$P32),IF(N($R32)=0,"?",COUNTIFS(INDEX($S$5:$S$1000,1):INDEX($S$5:$S$1000,$R32-4),"Macro",INDEX($P$5:$P$1000,1):INDEX($P$5:$P$1000,$R32-4),INDEX($P$5:$P$1000,$R32-4))&amp;"."&amp;COUNTIFS($R$5:$R32,$R32,$S$5:$S32,"Sub"))))</f>
        <v/>
      </c>
      <c r="B32" s="62" t="n"/>
      <c r="C32" s="63" t="n"/>
      <c r="D32" s="62" t="n"/>
      <c r="E32" s="64" t="n"/>
      <c r="F32" s="64" t="n"/>
      <c r="G32" s="65" t="n"/>
      <c r="H32" s="66" t="n"/>
      <c r="I32" s="66" t="n"/>
      <c r="J32" s="66" t="n"/>
      <c r="K32" s="66" t="n"/>
      <c r="L32" s="67">
        <f>IF(NOT((COUNTA($B32:$K32)+COUNTA($N32))&gt;0),"",IF(N($T32)&gt;0,$AB32,IFERROR(LOOKUP(2,1/(H32:K32&lt;&gt;""),H32:K32),0)))</f>
        <v/>
      </c>
      <c r="M32" s="61">
        <f>IF(L32="","",IF(L32&gt;=1,"Completado",IF(L32&gt;0,"En curso","Pendiente")))</f>
        <v/>
      </c>
      <c r="N32" s="62" t="n"/>
      <c r="O32" s="68">
        <f>IF(NOT((COUNTA($B32:$K32)+COUNTA($N32))&gt;0),"",IF((IF(AND($S32="Macro",$B32=""),"Macroactividad vacía"&amp;" · ","")&amp;IF(AND($B32&lt;&gt;"",$C32&lt;&gt;""),"Escriba la subactividad en otra fila, debajo de su macroactividad"&amp;" · ","")&amp;IF(AND($S32="Sub",N($R32)=0),"Subactividad sin macroactividad arriba"&amp;" · ","")&amp;IF($D32="","Sin responsable"&amp;" · ","")&amp;IF($E32="","Sin fecha de inicio"&amp;" · ","")&amp;IF($F32="","Sin fecha límite"&amp;" · ","")&amp;IF(OR(AND($E32&lt;&gt;"",NOT(ISNUMBER($E32))),AND($F32&lt;&gt;"",NOT(ISNUMBER($F32)))),"Fecha no válida"&amp;" · ","")&amp;IF(AND(ISNUMBER($E32),ISNUMBER($F32),$E32&gt;$F32),"Inicio posterior a fecha límite"&amp;" · ","")&amp;IF(AND($S32="Macro",$G32=""),"Peso vacío"&amp;" · ","")&amp;IF(AND($S32="Macro",$G32&lt;&gt;"",OR(NOT(ISNUMBER($G32)),$G32&lt;=0,$G32&gt;1)),"Peso fuera de rango"&amp;" · ","")&amp;IF(AND($S32="Sub",$G32&lt;&gt;""),"Las subactividades no llevan peso"&amp;" · ","")&amp;IF(AND($S32="Macro",ABS(SUMIFS($G$5:$G$1000,$P$5:$P$1000,$P32,$S$5:$S$1000,"Macro")-1)&gt;0.0001),"Pesos del mes suman "&amp;TEXT(SUMIFS($G$5:$G$1000,$P$5:$P$1000,$P32,$S$5:$S$1000,"Macro"),"0%")&amp;" · ","")&amp;IF(AND(N($T32)&gt;0,COUNT($H32:$K32)&gt;0),"Con subactividades: deje vacías las semanas (se calculan solas)"&amp;" · ","")&amp;IF((COUNTIF($H32:$K32,"&gt;1")+COUNTIF($H32:$K32,"&lt;0")+COUNTA($H32:$K32)-COUNT($H32:$K32))&gt;0,"Avance fuera de rango 0-100%"&amp;" · ","")&amp;IF(OR(AND($I32&lt;&gt;"",$I32&lt;$H32),AND($J32&lt;&gt;"",$J32&lt;MAX($H32:$I32)),AND($K32&lt;&gt;"",$K32&lt;MAX($H32:$J32))),"Avance semanal decreciente"&amp;" · ","")&amp;IF(AND(ISNUMBER($F32),$F32&lt;FechaRef,N($L32)&lt;1),"Vencida"&amp;" · ","")&amp;IF(AND(ObsObligatoria="Sí",ISNUMBER($F32),$F32&lt;FechaRef,N($L32)&lt;1,$N32=""),"Vencida sin observación"&amp;" · ",""))="","✔ OK","⚠ "&amp;LEFT(IF(AND($S32="Macro",$B32=""),"Macroactividad vacía"&amp;" · ","")&amp;IF(AND($B32&lt;&gt;"",$C32&lt;&gt;""),"Escriba la subactividad en otra fila, debajo de su macroactividad"&amp;" · ","")&amp;IF(AND($S32="Sub",N($R32)=0),"Subactividad sin macroactividad arriba"&amp;" · ","")&amp;IF($D32="","Sin responsable"&amp;" · ","")&amp;IF($E32="","Sin fecha de inicio"&amp;" · ","")&amp;IF($F32="","Sin fecha límite"&amp;" · ","")&amp;IF(OR(AND($E32&lt;&gt;"",NOT(ISNUMBER($E32))),AND($F32&lt;&gt;"",NOT(ISNUMBER($F32)))),"Fecha no válida"&amp;" · ","")&amp;IF(AND(ISNUMBER($E32),ISNUMBER($F32),$E32&gt;$F32),"Inicio posterior a fecha límite"&amp;" · ","")&amp;IF(AND($S32="Macro",$G32=""),"Peso vacío"&amp;" · ","")&amp;IF(AND($S32="Macro",$G32&lt;&gt;"",OR(NOT(ISNUMBER($G32)),$G32&lt;=0,$G32&gt;1)),"Peso fuera de rango"&amp;" · ","")&amp;IF(AND($S32="Sub",$G32&lt;&gt;""),"Las subactividades no llevan peso"&amp;" · ","")&amp;IF(AND($S32="Macro",ABS(SUMIFS($G$5:$G$1000,$P$5:$P$1000,$P32,$S$5:$S$1000,"Macro")-1)&gt;0.0001),"Pesos del mes suman "&amp;TEXT(SUMIFS($G$5:$G$1000,$P$5:$P$1000,$P32,$S$5:$S$1000,"Macro"),"0%")&amp;" · ","")&amp;IF(AND(N($T32)&gt;0,COUNT($H32:$K32)&gt;0),"Con subactividades: deje vacías las semanas (se calculan solas)"&amp;" · ","")&amp;IF((COUNTIF($H32:$K32,"&gt;1")+COUNTIF($H32:$K32,"&lt;0")+COUNTA($H32:$K32)-COUNT($H32:$K32))&gt;0,"Avance fuera de rango 0-100%"&amp;" · ","")&amp;IF(OR(AND($I32&lt;&gt;"",$I32&lt;$H32),AND($J32&lt;&gt;"",$J32&lt;MAX($H32:$I32)),AND($K32&lt;&gt;"",$K32&lt;MAX($H32:$J32))),"Avance semanal decreciente"&amp;" · ","")&amp;IF(AND(ISNUMBER($F32),$F32&lt;FechaRef,N($L32)&lt;1),"Vencida"&amp;" · ","")&amp;IF(AND(ObsObligatoria="Sí",ISNUMBER($F32),$F32&lt;FechaRef,N($L32)&lt;1,$N32=""),"Vencida sin observación"&amp;" · ",""),LEN(IF(AND($S32="Macro",$B32=""),"Macroactividad vacía"&amp;" · ","")&amp;IF(AND($B32&lt;&gt;"",$C32&lt;&gt;""),"Escriba la subactividad en otra fila, debajo de su macroactividad"&amp;" · ","")&amp;IF(AND($S32="Sub",N($R32)=0),"Subactividad sin macroactividad arriba"&amp;" · ","")&amp;IF($D32="","Sin responsable"&amp;" · ","")&amp;IF($E32="","Sin fecha de inicio"&amp;" · ","")&amp;IF($F32="","Sin fecha límite"&amp;" · ","")&amp;IF(OR(AND($E32&lt;&gt;"",NOT(ISNUMBER($E32))),AND($F32&lt;&gt;"",NOT(ISNUMBER($F32)))),"Fecha no válida"&amp;" · ","")&amp;IF(AND(ISNUMBER($E32),ISNUMBER($F32),$E32&gt;$F32),"Inicio posterior a fecha límite"&amp;" · ","")&amp;IF(AND($S32="Macro",$G32=""),"Peso vacío"&amp;" · ","")&amp;IF(AND($S32="Macro",$G32&lt;&gt;"",OR(NOT(ISNUMBER($G32)),$G32&lt;=0,$G32&gt;1)),"Peso fuera de rango"&amp;" · ","")&amp;IF(AND($S32="Sub",$G32&lt;&gt;""),"Las subactividades no llevan peso"&amp;" · ","")&amp;IF(AND($S32="Macro",ABS(SUMIFS($G$5:$G$1000,$P$5:$P$1000,$P32,$S$5:$S$1000,"Macro")-1)&gt;0.0001),"Pesos del mes suman "&amp;TEXT(SUMIFS($G$5:$G$1000,$P$5:$P$1000,$P32,$S$5:$S$1000,"Macro"),"0%")&amp;" · ","")&amp;IF(AND(N($T32)&gt;0,COUNT($H32:$K32)&gt;0),"Con subactividades: deje vacías las semanas (se calculan solas)"&amp;" · ","")&amp;IF((COUNTIF($H32:$K32,"&gt;1")+COUNTIF($H32:$K32,"&lt;0")+COUNTA($H32:$K32)-COUNT($H32:$K32))&gt;0,"Avance fuera de rango 0-100%"&amp;" · ","")&amp;IF(OR(AND($I32&lt;&gt;"",$I32&lt;$H32),AND($J32&lt;&gt;"",$J32&lt;MAX($H32:$I32)),AND($K32&lt;&gt;"",$K32&lt;MAX($H32:$J32))),"Avance semanal decreciente"&amp;" · ","")&amp;IF(AND(ISNUMBER($F32),$F32&lt;FechaRef,N($L32)&lt;1),"Vencida"&amp;" · ","")&amp;IF(AND(ObsObligatoria="Sí",ISNUMBER($F32),$F32&lt;FechaRef,N($L32)&lt;1,$N32=""),"Vencida sin observación"&amp;" · ",""))-3)))</f>
        <v/>
      </c>
      <c r="P32" s="69">
        <f>IF(NOT((COUNTA($B32:$K32)+COUNTA($N32))&gt;0),"",IF(AND($S32="Sub",N($R32)&gt;0),IF(ISNUMBER(INDEX($E$5:$E$1000,$R32-4)),DATE(YEAR(INDEX($E$5:$E$1000,$R32-4)),MONTH(INDEX($E$5:$E$1000,$R32-4)),1),IF(ISNUMBER(INDEX($F$5:$F$1000,$R32-4)),DATE(YEAR(INDEX($F$5:$F$1000,$R32-4)),MONTH(INDEX($F$5:$F$1000,$R32-4)),1),MesCiclo)),IF(ISNUMBER($E32),DATE(YEAR($E32),MONTH($E32),1),IF(ISNUMBER($F32),DATE(YEAR($F32),MONTH($F32),1),MesCiclo))))</f>
        <v/>
      </c>
      <c r="Q32" s="70">
        <f>IF(OR($P32="",$P32&lt;&gt;MesCiclo),"",COUNTIF($P$5:$P32,MesCiclo))</f>
        <v/>
      </c>
      <c r="R32" s="70">
        <f>IF($S32="","",IF($S32="Macro",ROW(),IFERROR(LOOKUP(2,1/($S$5:$S32="Macro"),ROW($S$5:$S32)),0)))</f>
        <v/>
      </c>
      <c r="S32" s="70">
        <f>IF(NOT((COUNTA($B32:$K32)+COUNTA($N32))&gt;0),"",IF($B32&lt;&gt;"","Macro",IF($C32&lt;&gt;"","Sub","Macro")))</f>
        <v/>
      </c>
      <c r="T32" s="70">
        <f>IF($S32="Macro",COUNTIFS($R$5:$R$1000,ROW(),$S$5:$S$1000,"Sub"),"")</f>
        <v/>
      </c>
      <c r="U32" s="70">
        <f>IF($S32="","",IF(ISNUMBER($H32),$H32,0))</f>
        <v/>
      </c>
      <c r="V32" s="70">
        <f>IF($S32="","",IF(ISNUMBER($I32),$I32,$U32))</f>
        <v/>
      </c>
      <c r="W32" s="70">
        <f>IF($S32="","",IF(ISNUMBER($J32),$J32,$V32))</f>
        <v/>
      </c>
      <c r="X32" s="70">
        <f>IF($S32="","",IF(ISNUMBER($K32),$K32,$W32))</f>
        <v/>
      </c>
      <c r="Y32" s="70">
        <f>IF($S32="","",IF(N($T32)&gt;0,AVERAGEIFS($U$5:$U$1000,$R$5:$R$1000,ROW(),$S$5:$S$1000,"Sub"),$U32))</f>
        <v/>
      </c>
      <c r="Z32" s="70">
        <f>IF($S32="","",IF(N($T32)&gt;0,AVERAGEIFS($V$5:$V$1000,$R$5:$R$1000,ROW(),$S$5:$S$1000,"Sub"),$V32))</f>
        <v/>
      </c>
      <c r="AA32" s="70">
        <f>IF($S32="","",IF(N($T32)&gt;0,AVERAGEIFS($W$5:$W$1000,$R$5:$R$1000,ROW(),$S$5:$S$1000,"Sub"),$W32))</f>
        <v/>
      </c>
      <c r="AB32" s="70">
        <f>IF($S32="","",IF(N($T32)&gt;0,AVERAGEIFS($X$5:$X$1000,$R$5:$R$1000,ROW(),$S$5:$S$1000,"Sub"),$X32))</f>
        <v/>
      </c>
    </row>
    <row r="33">
      <c r="A33" s="61">
        <f>IF(NOT((COUNTA($B33:$K33)+COUNTA($N33))&gt;0),"",IF($S33="Macro",COUNTIFS($S$5:$S33,"Macro",$P$5:$P33,$P33),IF(N($R33)=0,"?",COUNTIFS(INDEX($S$5:$S$1000,1):INDEX($S$5:$S$1000,$R33-4),"Macro",INDEX($P$5:$P$1000,1):INDEX($P$5:$P$1000,$R33-4),INDEX($P$5:$P$1000,$R33-4))&amp;"."&amp;COUNTIFS($R$5:$R33,$R33,$S$5:$S33,"Sub"))))</f>
        <v/>
      </c>
      <c r="B33" s="62" t="n"/>
      <c r="C33" s="63" t="n"/>
      <c r="D33" s="62" t="n"/>
      <c r="E33" s="64" t="n"/>
      <c r="F33" s="64" t="n"/>
      <c r="G33" s="65" t="n"/>
      <c r="H33" s="66" t="n"/>
      <c r="I33" s="66" t="n"/>
      <c r="J33" s="66" t="n"/>
      <c r="K33" s="66" t="n"/>
      <c r="L33" s="67">
        <f>IF(NOT((COUNTA($B33:$K33)+COUNTA($N33))&gt;0),"",IF(N($T33)&gt;0,$AB33,IFERROR(LOOKUP(2,1/(H33:K33&lt;&gt;""),H33:K33),0)))</f>
        <v/>
      </c>
      <c r="M33" s="61">
        <f>IF(L33="","",IF(L33&gt;=1,"Completado",IF(L33&gt;0,"En curso","Pendiente")))</f>
        <v/>
      </c>
      <c r="N33" s="62" t="n"/>
      <c r="O33" s="68">
        <f>IF(NOT((COUNTA($B33:$K33)+COUNTA($N33))&gt;0),"",IF((IF(AND($S33="Macro",$B33=""),"Macroactividad vacía"&amp;" · ","")&amp;IF(AND($B33&lt;&gt;"",$C33&lt;&gt;""),"Escriba la subactividad en otra fila, debajo de su macroactividad"&amp;" · ","")&amp;IF(AND($S33="Sub",N($R33)=0),"Subactividad sin macroactividad arriba"&amp;" · ","")&amp;IF($D33="","Sin responsable"&amp;" · ","")&amp;IF($E33="","Sin fecha de inicio"&amp;" · ","")&amp;IF($F33="","Sin fecha límite"&amp;" · ","")&amp;IF(OR(AND($E33&lt;&gt;"",NOT(ISNUMBER($E33))),AND($F33&lt;&gt;"",NOT(ISNUMBER($F33)))),"Fecha no válida"&amp;" · ","")&amp;IF(AND(ISNUMBER($E33),ISNUMBER($F33),$E33&gt;$F33),"Inicio posterior a fecha límite"&amp;" · ","")&amp;IF(AND($S33="Macro",$G33=""),"Peso vacío"&amp;" · ","")&amp;IF(AND($S33="Macro",$G33&lt;&gt;"",OR(NOT(ISNUMBER($G33)),$G33&lt;=0,$G33&gt;1)),"Peso fuera de rango"&amp;" · ","")&amp;IF(AND($S33="Sub",$G33&lt;&gt;""),"Las subactividades no llevan peso"&amp;" · ","")&amp;IF(AND($S33="Macro",ABS(SUMIFS($G$5:$G$1000,$P$5:$P$1000,$P33,$S$5:$S$1000,"Macro")-1)&gt;0.0001),"Pesos del mes suman "&amp;TEXT(SUMIFS($G$5:$G$1000,$P$5:$P$1000,$P33,$S$5:$S$1000,"Macro"),"0%")&amp;" · ","")&amp;IF(AND(N($T33)&gt;0,COUNT($H33:$K33)&gt;0),"Con subactividades: deje vacías las semanas (se calculan solas)"&amp;" · ","")&amp;IF((COUNTIF($H33:$K33,"&gt;1")+COUNTIF($H33:$K33,"&lt;0")+COUNTA($H33:$K33)-COUNT($H33:$K33))&gt;0,"Avance fuera de rango 0-100%"&amp;" · ","")&amp;IF(OR(AND($I33&lt;&gt;"",$I33&lt;$H33),AND($J33&lt;&gt;"",$J33&lt;MAX($H33:$I33)),AND($K33&lt;&gt;"",$K33&lt;MAX($H33:$J33))),"Avance semanal decreciente"&amp;" · ","")&amp;IF(AND(ISNUMBER($F33),$F33&lt;FechaRef,N($L33)&lt;1),"Vencida"&amp;" · ","")&amp;IF(AND(ObsObligatoria="Sí",ISNUMBER($F33),$F33&lt;FechaRef,N($L33)&lt;1,$N33=""),"Vencida sin observación"&amp;" · ",""))="","✔ OK","⚠ "&amp;LEFT(IF(AND($S33="Macro",$B33=""),"Macroactividad vacía"&amp;" · ","")&amp;IF(AND($B33&lt;&gt;"",$C33&lt;&gt;""),"Escriba la subactividad en otra fila, debajo de su macroactividad"&amp;" · ","")&amp;IF(AND($S33="Sub",N($R33)=0),"Subactividad sin macroactividad arriba"&amp;" · ","")&amp;IF($D33="","Sin responsable"&amp;" · ","")&amp;IF($E33="","Sin fecha de inicio"&amp;" · ","")&amp;IF($F33="","Sin fecha límite"&amp;" · ","")&amp;IF(OR(AND($E33&lt;&gt;"",NOT(ISNUMBER($E33))),AND($F33&lt;&gt;"",NOT(ISNUMBER($F33)))),"Fecha no válida"&amp;" · ","")&amp;IF(AND(ISNUMBER($E33),ISNUMBER($F33),$E33&gt;$F33),"Inicio posterior a fecha límite"&amp;" · ","")&amp;IF(AND($S33="Macro",$G33=""),"Peso vacío"&amp;" · ","")&amp;IF(AND($S33="Macro",$G33&lt;&gt;"",OR(NOT(ISNUMBER($G33)),$G33&lt;=0,$G33&gt;1)),"Peso fuera de rango"&amp;" · ","")&amp;IF(AND($S33="Sub",$G33&lt;&gt;""),"Las subactividades no llevan peso"&amp;" · ","")&amp;IF(AND($S33="Macro",ABS(SUMIFS($G$5:$G$1000,$P$5:$P$1000,$P33,$S$5:$S$1000,"Macro")-1)&gt;0.0001),"Pesos del mes suman "&amp;TEXT(SUMIFS($G$5:$G$1000,$P$5:$P$1000,$P33,$S$5:$S$1000,"Macro"),"0%")&amp;" · ","")&amp;IF(AND(N($T33)&gt;0,COUNT($H33:$K33)&gt;0),"Con subactividades: deje vacías las semanas (se calculan solas)"&amp;" · ","")&amp;IF((COUNTIF($H33:$K33,"&gt;1")+COUNTIF($H33:$K33,"&lt;0")+COUNTA($H33:$K33)-COUNT($H33:$K33))&gt;0,"Avance fuera de rango 0-100%"&amp;" · ","")&amp;IF(OR(AND($I33&lt;&gt;"",$I33&lt;$H33),AND($J33&lt;&gt;"",$J33&lt;MAX($H33:$I33)),AND($K33&lt;&gt;"",$K33&lt;MAX($H33:$J33))),"Avance semanal decreciente"&amp;" · ","")&amp;IF(AND(ISNUMBER($F33),$F33&lt;FechaRef,N($L33)&lt;1),"Vencida"&amp;" · ","")&amp;IF(AND(ObsObligatoria="Sí",ISNUMBER($F33),$F33&lt;FechaRef,N($L33)&lt;1,$N33=""),"Vencida sin observación"&amp;" · ",""),LEN(IF(AND($S33="Macro",$B33=""),"Macroactividad vacía"&amp;" · ","")&amp;IF(AND($B33&lt;&gt;"",$C33&lt;&gt;""),"Escriba la subactividad en otra fila, debajo de su macroactividad"&amp;" · ","")&amp;IF(AND($S33="Sub",N($R33)=0),"Subactividad sin macroactividad arriba"&amp;" · ","")&amp;IF($D33="","Sin responsable"&amp;" · ","")&amp;IF($E33="","Sin fecha de inicio"&amp;" · ","")&amp;IF($F33="","Sin fecha límite"&amp;" · ","")&amp;IF(OR(AND($E33&lt;&gt;"",NOT(ISNUMBER($E33))),AND($F33&lt;&gt;"",NOT(ISNUMBER($F33)))),"Fecha no válida"&amp;" · ","")&amp;IF(AND(ISNUMBER($E33),ISNUMBER($F33),$E33&gt;$F33),"Inicio posterior a fecha límite"&amp;" · ","")&amp;IF(AND($S33="Macro",$G33=""),"Peso vacío"&amp;" · ","")&amp;IF(AND($S33="Macro",$G33&lt;&gt;"",OR(NOT(ISNUMBER($G33)),$G33&lt;=0,$G33&gt;1)),"Peso fuera de rango"&amp;" · ","")&amp;IF(AND($S33="Sub",$G33&lt;&gt;""),"Las subactividades no llevan peso"&amp;" · ","")&amp;IF(AND($S33="Macro",ABS(SUMIFS($G$5:$G$1000,$P$5:$P$1000,$P33,$S$5:$S$1000,"Macro")-1)&gt;0.0001),"Pesos del mes suman "&amp;TEXT(SUMIFS($G$5:$G$1000,$P$5:$P$1000,$P33,$S$5:$S$1000,"Macro"),"0%")&amp;" · ","")&amp;IF(AND(N($T33)&gt;0,COUNT($H33:$K33)&gt;0),"Con subactividades: deje vacías las semanas (se calculan solas)"&amp;" · ","")&amp;IF((COUNTIF($H33:$K33,"&gt;1")+COUNTIF($H33:$K33,"&lt;0")+COUNTA($H33:$K33)-COUNT($H33:$K33))&gt;0,"Avance fuera de rango 0-100%"&amp;" · ","")&amp;IF(OR(AND($I33&lt;&gt;"",$I33&lt;$H33),AND($J33&lt;&gt;"",$J33&lt;MAX($H33:$I33)),AND($K33&lt;&gt;"",$K33&lt;MAX($H33:$J33))),"Avance semanal decreciente"&amp;" · ","")&amp;IF(AND(ISNUMBER($F33),$F33&lt;FechaRef,N($L33)&lt;1),"Vencida"&amp;" · ","")&amp;IF(AND(ObsObligatoria="Sí",ISNUMBER($F33),$F33&lt;FechaRef,N($L33)&lt;1,$N33=""),"Vencida sin observación"&amp;" · ",""))-3)))</f>
        <v/>
      </c>
      <c r="P33" s="69">
        <f>IF(NOT((COUNTA($B33:$K33)+COUNTA($N33))&gt;0),"",IF(AND($S33="Sub",N($R33)&gt;0),IF(ISNUMBER(INDEX($E$5:$E$1000,$R33-4)),DATE(YEAR(INDEX($E$5:$E$1000,$R33-4)),MONTH(INDEX($E$5:$E$1000,$R33-4)),1),IF(ISNUMBER(INDEX($F$5:$F$1000,$R33-4)),DATE(YEAR(INDEX($F$5:$F$1000,$R33-4)),MONTH(INDEX($F$5:$F$1000,$R33-4)),1),MesCiclo)),IF(ISNUMBER($E33),DATE(YEAR($E33),MONTH($E33),1),IF(ISNUMBER($F33),DATE(YEAR($F33),MONTH($F33),1),MesCiclo))))</f>
        <v/>
      </c>
      <c r="Q33" s="70">
        <f>IF(OR($P33="",$P33&lt;&gt;MesCiclo),"",COUNTIF($P$5:$P33,MesCiclo))</f>
        <v/>
      </c>
      <c r="R33" s="70">
        <f>IF($S33="","",IF($S33="Macro",ROW(),IFERROR(LOOKUP(2,1/($S$5:$S33="Macro"),ROW($S$5:$S33)),0)))</f>
        <v/>
      </c>
      <c r="S33" s="70">
        <f>IF(NOT((COUNTA($B33:$K33)+COUNTA($N33))&gt;0),"",IF($B33&lt;&gt;"","Macro",IF($C33&lt;&gt;"","Sub","Macro")))</f>
        <v/>
      </c>
      <c r="T33" s="70">
        <f>IF($S33="Macro",COUNTIFS($R$5:$R$1000,ROW(),$S$5:$S$1000,"Sub"),"")</f>
        <v/>
      </c>
      <c r="U33" s="70">
        <f>IF($S33="","",IF(ISNUMBER($H33),$H33,0))</f>
        <v/>
      </c>
      <c r="V33" s="70">
        <f>IF($S33="","",IF(ISNUMBER($I33),$I33,$U33))</f>
        <v/>
      </c>
      <c r="W33" s="70">
        <f>IF($S33="","",IF(ISNUMBER($J33),$J33,$V33))</f>
        <v/>
      </c>
      <c r="X33" s="70">
        <f>IF($S33="","",IF(ISNUMBER($K33),$K33,$W33))</f>
        <v/>
      </c>
      <c r="Y33" s="70">
        <f>IF($S33="","",IF(N($T33)&gt;0,AVERAGEIFS($U$5:$U$1000,$R$5:$R$1000,ROW(),$S$5:$S$1000,"Sub"),$U33))</f>
        <v/>
      </c>
      <c r="Z33" s="70">
        <f>IF($S33="","",IF(N($T33)&gt;0,AVERAGEIFS($V$5:$V$1000,$R$5:$R$1000,ROW(),$S$5:$S$1000,"Sub"),$V33))</f>
        <v/>
      </c>
      <c r="AA33" s="70">
        <f>IF($S33="","",IF(N($T33)&gt;0,AVERAGEIFS($W$5:$W$1000,$R$5:$R$1000,ROW(),$S$5:$S$1000,"Sub"),$W33))</f>
        <v/>
      </c>
      <c r="AB33" s="70">
        <f>IF($S33="","",IF(N($T33)&gt;0,AVERAGEIFS($X$5:$X$1000,$R$5:$R$1000,ROW(),$S$5:$S$1000,"Sub"),$X33))</f>
        <v/>
      </c>
    </row>
    <row r="34">
      <c r="A34" s="61">
        <f>IF(NOT((COUNTA($B34:$K34)+COUNTA($N34))&gt;0),"",IF($S34="Macro",COUNTIFS($S$5:$S34,"Macro",$P$5:$P34,$P34),IF(N($R34)=0,"?",COUNTIFS(INDEX($S$5:$S$1000,1):INDEX($S$5:$S$1000,$R34-4),"Macro",INDEX($P$5:$P$1000,1):INDEX($P$5:$P$1000,$R34-4),INDEX($P$5:$P$1000,$R34-4))&amp;"."&amp;COUNTIFS($R$5:$R34,$R34,$S$5:$S34,"Sub"))))</f>
        <v/>
      </c>
      <c r="B34" s="62" t="n"/>
      <c r="C34" s="63" t="n"/>
      <c r="D34" s="62" t="n"/>
      <c r="E34" s="64" t="n"/>
      <c r="F34" s="64" t="n"/>
      <c r="G34" s="65" t="n"/>
      <c r="H34" s="66" t="n"/>
      <c r="I34" s="66" t="n"/>
      <c r="J34" s="66" t="n"/>
      <c r="K34" s="66" t="n"/>
      <c r="L34" s="67">
        <f>IF(NOT((COUNTA($B34:$K34)+COUNTA($N34))&gt;0),"",IF(N($T34)&gt;0,$AB34,IFERROR(LOOKUP(2,1/(H34:K34&lt;&gt;""),H34:K34),0)))</f>
        <v/>
      </c>
      <c r="M34" s="61">
        <f>IF(L34="","",IF(L34&gt;=1,"Completado",IF(L34&gt;0,"En curso","Pendiente")))</f>
        <v/>
      </c>
      <c r="N34" s="62" t="n"/>
      <c r="O34" s="68">
        <f>IF(NOT((COUNTA($B34:$K34)+COUNTA($N34))&gt;0),"",IF((IF(AND($S34="Macro",$B34=""),"Macroactividad vacía"&amp;" · ","")&amp;IF(AND($B34&lt;&gt;"",$C34&lt;&gt;""),"Escriba la subactividad en otra fila, debajo de su macroactividad"&amp;" · ","")&amp;IF(AND($S34="Sub",N($R34)=0),"Subactividad sin macroactividad arriba"&amp;" · ","")&amp;IF($D34="","Sin responsable"&amp;" · ","")&amp;IF($E34="","Sin fecha de inicio"&amp;" · ","")&amp;IF($F34="","Sin fecha límite"&amp;" · ","")&amp;IF(OR(AND($E34&lt;&gt;"",NOT(ISNUMBER($E34))),AND($F34&lt;&gt;"",NOT(ISNUMBER($F34)))),"Fecha no válida"&amp;" · ","")&amp;IF(AND(ISNUMBER($E34),ISNUMBER($F34),$E34&gt;$F34),"Inicio posterior a fecha límite"&amp;" · ","")&amp;IF(AND($S34="Macro",$G34=""),"Peso vacío"&amp;" · ","")&amp;IF(AND($S34="Macro",$G34&lt;&gt;"",OR(NOT(ISNUMBER($G34)),$G34&lt;=0,$G34&gt;1)),"Peso fuera de rango"&amp;" · ","")&amp;IF(AND($S34="Sub",$G34&lt;&gt;""),"Las subactividades no llevan peso"&amp;" · ","")&amp;IF(AND($S34="Macro",ABS(SUMIFS($G$5:$G$1000,$P$5:$P$1000,$P34,$S$5:$S$1000,"Macro")-1)&gt;0.0001),"Pesos del mes suman "&amp;TEXT(SUMIFS($G$5:$G$1000,$P$5:$P$1000,$P34,$S$5:$S$1000,"Macro"),"0%")&amp;" · ","")&amp;IF(AND(N($T34)&gt;0,COUNT($H34:$K34)&gt;0),"Con subactividades: deje vacías las semanas (se calculan solas)"&amp;" · ","")&amp;IF((COUNTIF($H34:$K34,"&gt;1")+COUNTIF($H34:$K34,"&lt;0")+COUNTA($H34:$K34)-COUNT($H34:$K34))&gt;0,"Avance fuera de rango 0-100%"&amp;" · ","")&amp;IF(OR(AND($I34&lt;&gt;"",$I34&lt;$H34),AND($J34&lt;&gt;"",$J34&lt;MAX($H34:$I34)),AND($K34&lt;&gt;"",$K34&lt;MAX($H34:$J34))),"Avance semanal decreciente"&amp;" · ","")&amp;IF(AND(ISNUMBER($F34),$F34&lt;FechaRef,N($L34)&lt;1),"Vencida"&amp;" · ","")&amp;IF(AND(ObsObligatoria="Sí",ISNUMBER($F34),$F34&lt;FechaRef,N($L34)&lt;1,$N34=""),"Vencida sin observación"&amp;" · ",""))="","✔ OK","⚠ "&amp;LEFT(IF(AND($S34="Macro",$B34=""),"Macroactividad vacía"&amp;" · ","")&amp;IF(AND($B34&lt;&gt;"",$C34&lt;&gt;""),"Escriba la subactividad en otra fila, debajo de su macroactividad"&amp;" · ","")&amp;IF(AND($S34="Sub",N($R34)=0),"Subactividad sin macroactividad arriba"&amp;" · ","")&amp;IF($D34="","Sin responsable"&amp;" · ","")&amp;IF($E34="","Sin fecha de inicio"&amp;" · ","")&amp;IF($F34="","Sin fecha límite"&amp;" · ","")&amp;IF(OR(AND($E34&lt;&gt;"",NOT(ISNUMBER($E34))),AND($F34&lt;&gt;"",NOT(ISNUMBER($F34)))),"Fecha no válida"&amp;" · ","")&amp;IF(AND(ISNUMBER($E34),ISNUMBER($F34),$E34&gt;$F34),"Inicio posterior a fecha límite"&amp;" · ","")&amp;IF(AND($S34="Macro",$G34=""),"Peso vacío"&amp;" · ","")&amp;IF(AND($S34="Macro",$G34&lt;&gt;"",OR(NOT(ISNUMBER($G34)),$G34&lt;=0,$G34&gt;1)),"Peso fuera de rango"&amp;" · ","")&amp;IF(AND($S34="Sub",$G34&lt;&gt;""),"Las subactividades no llevan peso"&amp;" · ","")&amp;IF(AND($S34="Macro",ABS(SUMIFS($G$5:$G$1000,$P$5:$P$1000,$P34,$S$5:$S$1000,"Macro")-1)&gt;0.0001),"Pesos del mes suman "&amp;TEXT(SUMIFS($G$5:$G$1000,$P$5:$P$1000,$P34,$S$5:$S$1000,"Macro"),"0%")&amp;" · ","")&amp;IF(AND(N($T34)&gt;0,COUNT($H34:$K34)&gt;0),"Con subactividades: deje vacías las semanas (se calculan solas)"&amp;" · ","")&amp;IF((COUNTIF($H34:$K34,"&gt;1")+COUNTIF($H34:$K34,"&lt;0")+COUNTA($H34:$K34)-COUNT($H34:$K34))&gt;0,"Avance fuera de rango 0-100%"&amp;" · ","")&amp;IF(OR(AND($I34&lt;&gt;"",$I34&lt;$H34),AND($J34&lt;&gt;"",$J34&lt;MAX($H34:$I34)),AND($K34&lt;&gt;"",$K34&lt;MAX($H34:$J34))),"Avance semanal decreciente"&amp;" · ","")&amp;IF(AND(ISNUMBER($F34),$F34&lt;FechaRef,N($L34)&lt;1),"Vencida"&amp;" · ","")&amp;IF(AND(ObsObligatoria="Sí",ISNUMBER($F34),$F34&lt;FechaRef,N($L34)&lt;1,$N34=""),"Vencida sin observación"&amp;" · ",""),LEN(IF(AND($S34="Macro",$B34=""),"Macroactividad vacía"&amp;" · ","")&amp;IF(AND($B34&lt;&gt;"",$C34&lt;&gt;""),"Escriba la subactividad en otra fila, debajo de su macroactividad"&amp;" · ","")&amp;IF(AND($S34="Sub",N($R34)=0),"Subactividad sin macroactividad arriba"&amp;" · ","")&amp;IF($D34="","Sin responsable"&amp;" · ","")&amp;IF($E34="","Sin fecha de inicio"&amp;" · ","")&amp;IF($F34="","Sin fecha límite"&amp;" · ","")&amp;IF(OR(AND($E34&lt;&gt;"",NOT(ISNUMBER($E34))),AND($F34&lt;&gt;"",NOT(ISNUMBER($F34)))),"Fecha no válida"&amp;" · ","")&amp;IF(AND(ISNUMBER($E34),ISNUMBER($F34),$E34&gt;$F34),"Inicio posterior a fecha límite"&amp;" · ","")&amp;IF(AND($S34="Macro",$G34=""),"Peso vacío"&amp;" · ","")&amp;IF(AND($S34="Macro",$G34&lt;&gt;"",OR(NOT(ISNUMBER($G34)),$G34&lt;=0,$G34&gt;1)),"Peso fuera de rango"&amp;" · ","")&amp;IF(AND($S34="Sub",$G34&lt;&gt;""),"Las subactividades no llevan peso"&amp;" · ","")&amp;IF(AND($S34="Macro",ABS(SUMIFS($G$5:$G$1000,$P$5:$P$1000,$P34,$S$5:$S$1000,"Macro")-1)&gt;0.0001),"Pesos del mes suman "&amp;TEXT(SUMIFS($G$5:$G$1000,$P$5:$P$1000,$P34,$S$5:$S$1000,"Macro"),"0%")&amp;" · ","")&amp;IF(AND(N($T34)&gt;0,COUNT($H34:$K34)&gt;0),"Con subactividades: deje vacías las semanas (se calculan solas)"&amp;" · ","")&amp;IF((COUNTIF($H34:$K34,"&gt;1")+COUNTIF($H34:$K34,"&lt;0")+COUNTA($H34:$K34)-COUNT($H34:$K34))&gt;0,"Avance fuera de rango 0-100%"&amp;" · ","")&amp;IF(OR(AND($I34&lt;&gt;"",$I34&lt;$H34),AND($J34&lt;&gt;"",$J34&lt;MAX($H34:$I34)),AND($K34&lt;&gt;"",$K34&lt;MAX($H34:$J34))),"Avance semanal decreciente"&amp;" · ","")&amp;IF(AND(ISNUMBER($F34),$F34&lt;FechaRef,N($L34)&lt;1),"Vencida"&amp;" · ","")&amp;IF(AND(ObsObligatoria="Sí",ISNUMBER($F34),$F34&lt;FechaRef,N($L34)&lt;1,$N34=""),"Vencida sin observación"&amp;" · ",""))-3)))</f>
        <v/>
      </c>
      <c r="P34" s="69">
        <f>IF(NOT((COUNTA($B34:$K34)+COUNTA($N34))&gt;0),"",IF(AND($S34="Sub",N($R34)&gt;0),IF(ISNUMBER(INDEX($E$5:$E$1000,$R34-4)),DATE(YEAR(INDEX($E$5:$E$1000,$R34-4)),MONTH(INDEX($E$5:$E$1000,$R34-4)),1),IF(ISNUMBER(INDEX($F$5:$F$1000,$R34-4)),DATE(YEAR(INDEX($F$5:$F$1000,$R34-4)),MONTH(INDEX($F$5:$F$1000,$R34-4)),1),MesCiclo)),IF(ISNUMBER($E34),DATE(YEAR($E34),MONTH($E34),1),IF(ISNUMBER($F34),DATE(YEAR($F34),MONTH($F34),1),MesCiclo))))</f>
        <v/>
      </c>
      <c r="Q34" s="70">
        <f>IF(OR($P34="",$P34&lt;&gt;MesCiclo),"",COUNTIF($P$5:$P34,MesCiclo))</f>
        <v/>
      </c>
      <c r="R34" s="70">
        <f>IF($S34="","",IF($S34="Macro",ROW(),IFERROR(LOOKUP(2,1/($S$5:$S34="Macro"),ROW($S$5:$S34)),0)))</f>
        <v/>
      </c>
      <c r="S34" s="70">
        <f>IF(NOT((COUNTA($B34:$K34)+COUNTA($N34))&gt;0),"",IF($B34&lt;&gt;"","Macro",IF($C34&lt;&gt;"","Sub","Macro")))</f>
        <v/>
      </c>
      <c r="T34" s="70">
        <f>IF($S34="Macro",COUNTIFS($R$5:$R$1000,ROW(),$S$5:$S$1000,"Sub"),"")</f>
        <v/>
      </c>
      <c r="U34" s="70">
        <f>IF($S34="","",IF(ISNUMBER($H34),$H34,0))</f>
        <v/>
      </c>
      <c r="V34" s="70">
        <f>IF($S34="","",IF(ISNUMBER($I34),$I34,$U34))</f>
        <v/>
      </c>
      <c r="W34" s="70">
        <f>IF($S34="","",IF(ISNUMBER($J34),$J34,$V34))</f>
        <v/>
      </c>
      <c r="X34" s="70">
        <f>IF($S34="","",IF(ISNUMBER($K34),$K34,$W34))</f>
        <v/>
      </c>
      <c r="Y34" s="70">
        <f>IF($S34="","",IF(N($T34)&gt;0,AVERAGEIFS($U$5:$U$1000,$R$5:$R$1000,ROW(),$S$5:$S$1000,"Sub"),$U34))</f>
        <v/>
      </c>
      <c r="Z34" s="70">
        <f>IF($S34="","",IF(N($T34)&gt;0,AVERAGEIFS($V$5:$V$1000,$R$5:$R$1000,ROW(),$S$5:$S$1000,"Sub"),$V34))</f>
        <v/>
      </c>
      <c r="AA34" s="70">
        <f>IF($S34="","",IF(N($T34)&gt;0,AVERAGEIFS($W$5:$W$1000,$R$5:$R$1000,ROW(),$S$5:$S$1000,"Sub"),$W34))</f>
        <v/>
      </c>
      <c r="AB34" s="70">
        <f>IF($S34="","",IF(N($T34)&gt;0,AVERAGEIFS($X$5:$X$1000,$R$5:$R$1000,ROW(),$S$5:$S$1000,"Sub"),$X34))</f>
        <v/>
      </c>
    </row>
    <row r="35">
      <c r="A35" s="61">
        <f>IF(NOT((COUNTA($B35:$K35)+COUNTA($N35))&gt;0),"",IF($S35="Macro",COUNTIFS($S$5:$S35,"Macro",$P$5:$P35,$P35),IF(N($R35)=0,"?",COUNTIFS(INDEX($S$5:$S$1000,1):INDEX($S$5:$S$1000,$R35-4),"Macro",INDEX($P$5:$P$1000,1):INDEX($P$5:$P$1000,$R35-4),INDEX($P$5:$P$1000,$R35-4))&amp;"."&amp;COUNTIFS($R$5:$R35,$R35,$S$5:$S35,"Sub"))))</f>
        <v/>
      </c>
      <c r="B35" s="62" t="n"/>
      <c r="C35" s="63" t="n"/>
      <c r="D35" s="62" t="n"/>
      <c r="E35" s="64" t="n"/>
      <c r="F35" s="64" t="n"/>
      <c r="G35" s="65" t="n"/>
      <c r="H35" s="66" t="n"/>
      <c r="I35" s="66" t="n"/>
      <c r="J35" s="66" t="n"/>
      <c r="K35" s="66" t="n"/>
      <c r="L35" s="67">
        <f>IF(NOT((COUNTA($B35:$K35)+COUNTA($N35))&gt;0),"",IF(N($T35)&gt;0,$AB35,IFERROR(LOOKUP(2,1/(H35:K35&lt;&gt;""),H35:K35),0)))</f>
        <v/>
      </c>
      <c r="M35" s="61">
        <f>IF(L35="","",IF(L35&gt;=1,"Completado",IF(L35&gt;0,"En curso","Pendiente")))</f>
        <v/>
      </c>
      <c r="N35" s="62" t="n"/>
      <c r="O35" s="68">
        <f>IF(NOT((COUNTA($B35:$K35)+COUNTA($N35))&gt;0),"",IF((IF(AND($S35="Macro",$B35=""),"Macroactividad vacía"&amp;" · ","")&amp;IF(AND($B35&lt;&gt;"",$C35&lt;&gt;""),"Escriba la subactividad en otra fila, debajo de su macroactividad"&amp;" · ","")&amp;IF(AND($S35="Sub",N($R35)=0),"Subactividad sin macroactividad arriba"&amp;" · ","")&amp;IF($D35="","Sin responsable"&amp;" · ","")&amp;IF($E35="","Sin fecha de inicio"&amp;" · ","")&amp;IF($F35="","Sin fecha límite"&amp;" · ","")&amp;IF(OR(AND($E35&lt;&gt;"",NOT(ISNUMBER($E35))),AND($F35&lt;&gt;"",NOT(ISNUMBER($F35)))),"Fecha no válida"&amp;" · ","")&amp;IF(AND(ISNUMBER($E35),ISNUMBER($F35),$E35&gt;$F35),"Inicio posterior a fecha límite"&amp;" · ","")&amp;IF(AND($S35="Macro",$G35=""),"Peso vacío"&amp;" · ","")&amp;IF(AND($S35="Macro",$G35&lt;&gt;"",OR(NOT(ISNUMBER($G35)),$G35&lt;=0,$G35&gt;1)),"Peso fuera de rango"&amp;" · ","")&amp;IF(AND($S35="Sub",$G35&lt;&gt;""),"Las subactividades no llevan peso"&amp;" · ","")&amp;IF(AND($S35="Macro",ABS(SUMIFS($G$5:$G$1000,$P$5:$P$1000,$P35,$S$5:$S$1000,"Macro")-1)&gt;0.0001),"Pesos del mes suman "&amp;TEXT(SUMIFS($G$5:$G$1000,$P$5:$P$1000,$P35,$S$5:$S$1000,"Macro"),"0%")&amp;" · ","")&amp;IF(AND(N($T35)&gt;0,COUNT($H35:$K35)&gt;0),"Con subactividades: deje vacías las semanas (se calculan solas)"&amp;" · ","")&amp;IF((COUNTIF($H35:$K35,"&gt;1")+COUNTIF($H35:$K35,"&lt;0")+COUNTA($H35:$K35)-COUNT($H35:$K35))&gt;0,"Avance fuera de rango 0-100%"&amp;" · ","")&amp;IF(OR(AND($I35&lt;&gt;"",$I35&lt;$H35),AND($J35&lt;&gt;"",$J35&lt;MAX($H35:$I35)),AND($K35&lt;&gt;"",$K35&lt;MAX($H35:$J35))),"Avance semanal decreciente"&amp;" · ","")&amp;IF(AND(ISNUMBER($F35),$F35&lt;FechaRef,N($L35)&lt;1),"Vencida"&amp;" · ","")&amp;IF(AND(ObsObligatoria="Sí",ISNUMBER($F35),$F35&lt;FechaRef,N($L35)&lt;1,$N35=""),"Vencida sin observación"&amp;" · ",""))="","✔ OK","⚠ "&amp;LEFT(IF(AND($S35="Macro",$B35=""),"Macroactividad vacía"&amp;" · ","")&amp;IF(AND($B35&lt;&gt;"",$C35&lt;&gt;""),"Escriba la subactividad en otra fila, debajo de su macroactividad"&amp;" · ","")&amp;IF(AND($S35="Sub",N($R35)=0),"Subactividad sin macroactividad arriba"&amp;" · ","")&amp;IF($D35="","Sin responsable"&amp;" · ","")&amp;IF($E35="","Sin fecha de inicio"&amp;" · ","")&amp;IF($F35="","Sin fecha límite"&amp;" · ","")&amp;IF(OR(AND($E35&lt;&gt;"",NOT(ISNUMBER($E35))),AND($F35&lt;&gt;"",NOT(ISNUMBER($F35)))),"Fecha no válida"&amp;" · ","")&amp;IF(AND(ISNUMBER($E35),ISNUMBER($F35),$E35&gt;$F35),"Inicio posterior a fecha límite"&amp;" · ","")&amp;IF(AND($S35="Macro",$G35=""),"Peso vacío"&amp;" · ","")&amp;IF(AND($S35="Macro",$G35&lt;&gt;"",OR(NOT(ISNUMBER($G35)),$G35&lt;=0,$G35&gt;1)),"Peso fuera de rango"&amp;" · ","")&amp;IF(AND($S35="Sub",$G35&lt;&gt;""),"Las subactividades no llevan peso"&amp;" · ","")&amp;IF(AND($S35="Macro",ABS(SUMIFS($G$5:$G$1000,$P$5:$P$1000,$P35,$S$5:$S$1000,"Macro")-1)&gt;0.0001),"Pesos del mes suman "&amp;TEXT(SUMIFS($G$5:$G$1000,$P$5:$P$1000,$P35,$S$5:$S$1000,"Macro"),"0%")&amp;" · ","")&amp;IF(AND(N($T35)&gt;0,COUNT($H35:$K35)&gt;0),"Con subactividades: deje vacías las semanas (se calculan solas)"&amp;" · ","")&amp;IF((COUNTIF($H35:$K35,"&gt;1")+COUNTIF($H35:$K35,"&lt;0")+COUNTA($H35:$K35)-COUNT($H35:$K35))&gt;0,"Avance fuera de rango 0-100%"&amp;" · ","")&amp;IF(OR(AND($I35&lt;&gt;"",$I35&lt;$H35),AND($J35&lt;&gt;"",$J35&lt;MAX($H35:$I35)),AND($K35&lt;&gt;"",$K35&lt;MAX($H35:$J35))),"Avance semanal decreciente"&amp;" · ","")&amp;IF(AND(ISNUMBER($F35),$F35&lt;FechaRef,N($L35)&lt;1),"Vencida"&amp;" · ","")&amp;IF(AND(ObsObligatoria="Sí",ISNUMBER($F35),$F35&lt;FechaRef,N($L35)&lt;1,$N35=""),"Vencida sin observación"&amp;" · ",""),LEN(IF(AND($S35="Macro",$B35=""),"Macroactividad vacía"&amp;" · ","")&amp;IF(AND($B35&lt;&gt;"",$C35&lt;&gt;""),"Escriba la subactividad en otra fila, debajo de su macroactividad"&amp;" · ","")&amp;IF(AND($S35="Sub",N($R35)=0),"Subactividad sin macroactividad arriba"&amp;" · ","")&amp;IF($D35="","Sin responsable"&amp;" · ","")&amp;IF($E35="","Sin fecha de inicio"&amp;" · ","")&amp;IF($F35="","Sin fecha límite"&amp;" · ","")&amp;IF(OR(AND($E35&lt;&gt;"",NOT(ISNUMBER($E35))),AND($F35&lt;&gt;"",NOT(ISNUMBER($F35)))),"Fecha no válida"&amp;" · ","")&amp;IF(AND(ISNUMBER($E35),ISNUMBER($F35),$E35&gt;$F35),"Inicio posterior a fecha límite"&amp;" · ","")&amp;IF(AND($S35="Macro",$G35=""),"Peso vacío"&amp;" · ","")&amp;IF(AND($S35="Macro",$G35&lt;&gt;"",OR(NOT(ISNUMBER($G35)),$G35&lt;=0,$G35&gt;1)),"Peso fuera de rango"&amp;" · ","")&amp;IF(AND($S35="Sub",$G35&lt;&gt;""),"Las subactividades no llevan peso"&amp;" · ","")&amp;IF(AND($S35="Macro",ABS(SUMIFS($G$5:$G$1000,$P$5:$P$1000,$P35,$S$5:$S$1000,"Macro")-1)&gt;0.0001),"Pesos del mes suman "&amp;TEXT(SUMIFS($G$5:$G$1000,$P$5:$P$1000,$P35,$S$5:$S$1000,"Macro"),"0%")&amp;" · ","")&amp;IF(AND(N($T35)&gt;0,COUNT($H35:$K35)&gt;0),"Con subactividades: deje vacías las semanas (se calculan solas)"&amp;" · ","")&amp;IF((COUNTIF($H35:$K35,"&gt;1")+COUNTIF($H35:$K35,"&lt;0")+COUNTA($H35:$K35)-COUNT($H35:$K35))&gt;0,"Avance fuera de rango 0-100%"&amp;" · ","")&amp;IF(OR(AND($I35&lt;&gt;"",$I35&lt;$H35),AND($J35&lt;&gt;"",$J35&lt;MAX($H35:$I35)),AND($K35&lt;&gt;"",$K35&lt;MAX($H35:$J35))),"Avance semanal decreciente"&amp;" · ","")&amp;IF(AND(ISNUMBER($F35),$F35&lt;FechaRef,N($L35)&lt;1),"Vencida"&amp;" · ","")&amp;IF(AND(ObsObligatoria="Sí",ISNUMBER($F35),$F35&lt;FechaRef,N($L35)&lt;1,$N35=""),"Vencida sin observación"&amp;" · ",""))-3)))</f>
        <v/>
      </c>
      <c r="P35" s="69">
        <f>IF(NOT((COUNTA($B35:$K35)+COUNTA($N35))&gt;0),"",IF(AND($S35="Sub",N($R35)&gt;0),IF(ISNUMBER(INDEX($E$5:$E$1000,$R35-4)),DATE(YEAR(INDEX($E$5:$E$1000,$R35-4)),MONTH(INDEX($E$5:$E$1000,$R35-4)),1),IF(ISNUMBER(INDEX($F$5:$F$1000,$R35-4)),DATE(YEAR(INDEX($F$5:$F$1000,$R35-4)),MONTH(INDEX($F$5:$F$1000,$R35-4)),1),MesCiclo)),IF(ISNUMBER($E35),DATE(YEAR($E35),MONTH($E35),1),IF(ISNUMBER($F35),DATE(YEAR($F35),MONTH($F35),1),MesCiclo))))</f>
        <v/>
      </c>
      <c r="Q35" s="70">
        <f>IF(OR($P35="",$P35&lt;&gt;MesCiclo),"",COUNTIF($P$5:$P35,MesCiclo))</f>
        <v/>
      </c>
      <c r="R35" s="70">
        <f>IF($S35="","",IF($S35="Macro",ROW(),IFERROR(LOOKUP(2,1/($S$5:$S35="Macro"),ROW($S$5:$S35)),0)))</f>
        <v/>
      </c>
      <c r="S35" s="70">
        <f>IF(NOT((COUNTA($B35:$K35)+COUNTA($N35))&gt;0),"",IF($B35&lt;&gt;"","Macro",IF($C35&lt;&gt;"","Sub","Macro")))</f>
        <v/>
      </c>
      <c r="T35" s="70">
        <f>IF($S35="Macro",COUNTIFS($R$5:$R$1000,ROW(),$S$5:$S$1000,"Sub"),"")</f>
        <v/>
      </c>
      <c r="U35" s="70">
        <f>IF($S35="","",IF(ISNUMBER($H35),$H35,0))</f>
        <v/>
      </c>
      <c r="V35" s="70">
        <f>IF($S35="","",IF(ISNUMBER($I35),$I35,$U35))</f>
        <v/>
      </c>
      <c r="W35" s="70">
        <f>IF($S35="","",IF(ISNUMBER($J35),$J35,$V35))</f>
        <v/>
      </c>
      <c r="X35" s="70">
        <f>IF($S35="","",IF(ISNUMBER($K35),$K35,$W35))</f>
        <v/>
      </c>
      <c r="Y35" s="70">
        <f>IF($S35="","",IF(N($T35)&gt;0,AVERAGEIFS($U$5:$U$1000,$R$5:$R$1000,ROW(),$S$5:$S$1000,"Sub"),$U35))</f>
        <v/>
      </c>
      <c r="Z35" s="70">
        <f>IF($S35="","",IF(N($T35)&gt;0,AVERAGEIFS($V$5:$V$1000,$R$5:$R$1000,ROW(),$S$5:$S$1000,"Sub"),$V35))</f>
        <v/>
      </c>
      <c r="AA35" s="70">
        <f>IF($S35="","",IF(N($T35)&gt;0,AVERAGEIFS($W$5:$W$1000,$R$5:$R$1000,ROW(),$S$5:$S$1000,"Sub"),$W35))</f>
        <v/>
      </c>
      <c r="AB35" s="70">
        <f>IF($S35="","",IF(N($T35)&gt;0,AVERAGEIFS($X$5:$X$1000,$R$5:$R$1000,ROW(),$S$5:$S$1000,"Sub"),$X35))</f>
        <v/>
      </c>
    </row>
    <row r="36">
      <c r="A36" s="61">
        <f>IF(NOT((COUNTA($B36:$K36)+COUNTA($N36))&gt;0),"",IF($S36="Macro",COUNTIFS($S$5:$S36,"Macro",$P$5:$P36,$P36),IF(N($R36)=0,"?",COUNTIFS(INDEX($S$5:$S$1000,1):INDEX($S$5:$S$1000,$R36-4),"Macro",INDEX($P$5:$P$1000,1):INDEX($P$5:$P$1000,$R36-4),INDEX($P$5:$P$1000,$R36-4))&amp;"."&amp;COUNTIFS($R$5:$R36,$R36,$S$5:$S36,"Sub"))))</f>
        <v/>
      </c>
      <c r="B36" s="62" t="n"/>
      <c r="C36" s="63" t="n"/>
      <c r="D36" s="62" t="n"/>
      <c r="E36" s="64" t="n"/>
      <c r="F36" s="64" t="n"/>
      <c r="G36" s="65" t="n"/>
      <c r="H36" s="66" t="n"/>
      <c r="I36" s="66" t="n"/>
      <c r="J36" s="66" t="n"/>
      <c r="K36" s="66" t="n"/>
      <c r="L36" s="67">
        <f>IF(NOT((COUNTA($B36:$K36)+COUNTA($N36))&gt;0),"",IF(N($T36)&gt;0,$AB36,IFERROR(LOOKUP(2,1/(H36:K36&lt;&gt;""),H36:K36),0)))</f>
        <v/>
      </c>
      <c r="M36" s="61">
        <f>IF(L36="","",IF(L36&gt;=1,"Completado",IF(L36&gt;0,"En curso","Pendiente")))</f>
        <v/>
      </c>
      <c r="N36" s="62" t="n"/>
      <c r="O36" s="68">
        <f>IF(NOT((COUNTA($B36:$K36)+COUNTA($N36))&gt;0),"",IF((IF(AND($S36="Macro",$B36=""),"Macroactividad vacía"&amp;" · ","")&amp;IF(AND($B36&lt;&gt;"",$C36&lt;&gt;""),"Escriba la subactividad en otra fila, debajo de su macroactividad"&amp;" · ","")&amp;IF(AND($S36="Sub",N($R36)=0),"Subactividad sin macroactividad arriba"&amp;" · ","")&amp;IF($D36="","Sin responsable"&amp;" · ","")&amp;IF($E36="","Sin fecha de inicio"&amp;" · ","")&amp;IF($F36="","Sin fecha límite"&amp;" · ","")&amp;IF(OR(AND($E36&lt;&gt;"",NOT(ISNUMBER($E36))),AND($F36&lt;&gt;"",NOT(ISNUMBER($F36)))),"Fecha no válida"&amp;" · ","")&amp;IF(AND(ISNUMBER($E36),ISNUMBER($F36),$E36&gt;$F36),"Inicio posterior a fecha límite"&amp;" · ","")&amp;IF(AND($S36="Macro",$G36=""),"Peso vacío"&amp;" · ","")&amp;IF(AND($S36="Macro",$G36&lt;&gt;"",OR(NOT(ISNUMBER($G36)),$G36&lt;=0,$G36&gt;1)),"Peso fuera de rango"&amp;" · ","")&amp;IF(AND($S36="Sub",$G36&lt;&gt;""),"Las subactividades no llevan peso"&amp;" · ","")&amp;IF(AND($S36="Macro",ABS(SUMIFS($G$5:$G$1000,$P$5:$P$1000,$P36,$S$5:$S$1000,"Macro")-1)&gt;0.0001),"Pesos del mes suman "&amp;TEXT(SUMIFS($G$5:$G$1000,$P$5:$P$1000,$P36,$S$5:$S$1000,"Macro"),"0%")&amp;" · ","")&amp;IF(AND(N($T36)&gt;0,COUNT($H36:$K36)&gt;0),"Con subactividades: deje vacías las semanas (se calculan solas)"&amp;" · ","")&amp;IF((COUNTIF($H36:$K36,"&gt;1")+COUNTIF($H36:$K36,"&lt;0")+COUNTA($H36:$K36)-COUNT($H36:$K36))&gt;0,"Avance fuera de rango 0-100%"&amp;" · ","")&amp;IF(OR(AND($I36&lt;&gt;"",$I36&lt;$H36),AND($J36&lt;&gt;"",$J36&lt;MAX($H36:$I36)),AND($K36&lt;&gt;"",$K36&lt;MAX($H36:$J36))),"Avance semanal decreciente"&amp;" · ","")&amp;IF(AND(ISNUMBER($F36),$F36&lt;FechaRef,N($L36)&lt;1),"Vencida"&amp;" · ","")&amp;IF(AND(ObsObligatoria="Sí",ISNUMBER($F36),$F36&lt;FechaRef,N($L36)&lt;1,$N36=""),"Vencida sin observación"&amp;" · ",""))="","✔ OK","⚠ "&amp;LEFT(IF(AND($S36="Macro",$B36=""),"Macroactividad vacía"&amp;" · ","")&amp;IF(AND($B36&lt;&gt;"",$C36&lt;&gt;""),"Escriba la subactividad en otra fila, debajo de su macroactividad"&amp;" · ","")&amp;IF(AND($S36="Sub",N($R36)=0),"Subactividad sin macroactividad arriba"&amp;" · ","")&amp;IF($D36="","Sin responsable"&amp;" · ","")&amp;IF($E36="","Sin fecha de inicio"&amp;" · ","")&amp;IF($F36="","Sin fecha límite"&amp;" · ","")&amp;IF(OR(AND($E36&lt;&gt;"",NOT(ISNUMBER($E36))),AND($F36&lt;&gt;"",NOT(ISNUMBER($F36)))),"Fecha no válida"&amp;" · ","")&amp;IF(AND(ISNUMBER($E36),ISNUMBER($F36),$E36&gt;$F36),"Inicio posterior a fecha límite"&amp;" · ","")&amp;IF(AND($S36="Macro",$G36=""),"Peso vacío"&amp;" · ","")&amp;IF(AND($S36="Macro",$G36&lt;&gt;"",OR(NOT(ISNUMBER($G36)),$G36&lt;=0,$G36&gt;1)),"Peso fuera de rango"&amp;" · ","")&amp;IF(AND($S36="Sub",$G36&lt;&gt;""),"Las subactividades no llevan peso"&amp;" · ","")&amp;IF(AND($S36="Macro",ABS(SUMIFS($G$5:$G$1000,$P$5:$P$1000,$P36,$S$5:$S$1000,"Macro")-1)&gt;0.0001),"Pesos del mes suman "&amp;TEXT(SUMIFS($G$5:$G$1000,$P$5:$P$1000,$P36,$S$5:$S$1000,"Macro"),"0%")&amp;" · ","")&amp;IF(AND(N($T36)&gt;0,COUNT($H36:$K36)&gt;0),"Con subactividades: deje vacías las semanas (se calculan solas)"&amp;" · ","")&amp;IF((COUNTIF($H36:$K36,"&gt;1")+COUNTIF($H36:$K36,"&lt;0")+COUNTA($H36:$K36)-COUNT($H36:$K36))&gt;0,"Avance fuera de rango 0-100%"&amp;" · ","")&amp;IF(OR(AND($I36&lt;&gt;"",$I36&lt;$H36),AND($J36&lt;&gt;"",$J36&lt;MAX($H36:$I36)),AND($K36&lt;&gt;"",$K36&lt;MAX($H36:$J36))),"Avance semanal decreciente"&amp;" · ","")&amp;IF(AND(ISNUMBER($F36),$F36&lt;FechaRef,N($L36)&lt;1),"Vencida"&amp;" · ","")&amp;IF(AND(ObsObligatoria="Sí",ISNUMBER($F36),$F36&lt;FechaRef,N($L36)&lt;1,$N36=""),"Vencida sin observación"&amp;" · ",""),LEN(IF(AND($S36="Macro",$B36=""),"Macroactividad vacía"&amp;" · ","")&amp;IF(AND($B36&lt;&gt;"",$C36&lt;&gt;""),"Escriba la subactividad en otra fila, debajo de su macroactividad"&amp;" · ","")&amp;IF(AND($S36="Sub",N($R36)=0),"Subactividad sin macroactividad arriba"&amp;" · ","")&amp;IF($D36="","Sin responsable"&amp;" · ","")&amp;IF($E36="","Sin fecha de inicio"&amp;" · ","")&amp;IF($F36="","Sin fecha límite"&amp;" · ","")&amp;IF(OR(AND($E36&lt;&gt;"",NOT(ISNUMBER($E36))),AND($F36&lt;&gt;"",NOT(ISNUMBER($F36)))),"Fecha no válida"&amp;" · ","")&amp;IF(AND(ISNUMBER($E36),ISNUMBER($F36),$E36&gt;$F36),"Inicio posterior a fecha límite"&amp;" · ","")&amp;IF(AND($S36="Macro",$G36=""),"Peso vacío"&amp;" · ","")&amp;IF(AND($S36="Macro",$G36&lt;&gt;"",OR(NOT(ISNUMBER($G36)),$G36&lt;=0,$G36&gt;1)),"Peso fuera de rango"&amp;" · ","")&amp;IF(AND($S36="Sub",$G36&lt;&gt;""),"Las subactividades no llevan peso"&amp;" · ","")&amp;IF(AND($S36="Macro",ABS(SUMIFS($G$5:$G$1000,$P$5:$P$1000,$P36,$S$5:$S$1000,"Macro")-1)&gt;0.0001),"Pesos del mes suman "&amp;TEXT(SUMIFS($G$5:$G$1000,$P$5:$P$1000,$P36,$S$5:$S$1000,"Macro"),"0%")&amp;" · ","")&amp;IF(AND(N($T36)&gt;0,COUNT($H36:$K36)&gt;0),"Con subactividades: deje vacías las semanas (se calculan solas)"&amp;" · ","")&amp;IF((COUNTIF($H36:$K36,"&gt;1")+COUNTIF($H36:$K36,"&lt;0")+COUNTA($H36:$K36)-COUNT($H36:$K36))&gt;0,"Avance fuera de rango 0-100%"&amp;" · ","")&amp;IF(OR(AND($I36&lt;&gt;"",$I36&lt;$H36),AND($J36&lt;&gt;"",$J36&lt;MAX($H36:$I36)),AND($K36&lt;&gt;"",$K36&lt;MAX($H36:$J36))),"Avance semanal decreciente"&amp;" · ","")&amp;IF(AND(ISNUMBER($F36),$F36&lt;FechaRef,N($L36)&lt;1),"Vencida"&amp;" · ","")&amp;IF(AND(ObsObligatoria="Sí",ISNUMBER($F36),$F36&lt;FechaRef,N($L36)&lt;1,$N36=""),"Vencida sin observación"&amp;" · ",""))-3)))</f>
        <v/>
      </c>
      <c r="P36" s="69">
        <f>IF(NOT((COUNTA($B36:$K36)+COUNTA($N36))&gt;0),"",IF(AND($S36="Sub",N($R36)&gt;0),IF(ISNUMBER(INDEX($E$5:$E$1000,$R36-4)),DATE(YEAR(INDEX($E$5:$E$1000,$R36-4)),MONTH(INDEX($E$5:$E$1000,$R36-4)),1),IF(ISNUMBER(INDEX($F$5:$F$1000,$R36-4)),DATE(YEAR(INDEX($F$5:$F$1000,$R36-4)),MONTH(INDEX($F$5:$F$1000,$R36-4)),1),MesCiclo)),IF(ISNUMBER($E36),DATE(YEAR($E36),MONTH($E36),1),IF(ISNUMBER($F36),DATE(YEAR($F36),MONTH($F36),1),MesCiclo))))</f>
        <v/>
      </c>
      <c r="Q36" s="70">
        <f>IF(OR($P36="",$P36&lt;&gt;MesCiclo),"",COUNTIF($P$5:$P36,MesCiclo))</f>
        <v/>
      </c>
      <c r="R36" s="70">
        <f>IF($S36="","",IF($S36="Macro",ROW(),IFERROR(LOOKUP(2,1/($S$5:$S36="Macro"),ROW($S$5:$S36)),0)))</f>
        <v/>
      </c>
      <c r="S36" s="70">
        <f>IF(NOT((COUNTA($B36:$K36)+COUNTA($N36))&gt;0),"",IF($B36&lt;&gt;"","Macro",IF($C36&lt;&gt;"","Sub","Macro")))</f>
        <v/>
      </c>
      <c r="T36" s="70">
        <f>IF($S36="Macro",COUNTIFS($R$5:$R$1000,ROW(),$S$5:$S$1000,"Sub"),"")</f>
        <v/>
      </c>
      <c r="U36" s="70">
        <f>IF($S36="","",IF(ISNUMBER($H36),$H36,0))</f>
        <v/>
      </c>
      <c r="V36" s="70">
        <f>IF($S36="","",IF(ISNUMBER($I36),$I36,$U36))</f>
        <v/>
      </c>
      <c r="W36" s="70">
        <f>IF($S36="","",IF(ISNUMBER($J36),$J36,$V36))</f>
        <v/>
      </c>
      <c r="X36" s="70">
        <f>IF($S36="","",IF(ISNUMBER($K36),$K36,$W36))</f>
        <v/>
      </c>
      <c r="Y36" s="70">
        <f>IF($S36="","",IF(N($T36)&gt;0,AVERAGEIFS($U$5:$U$1000,$R$5:$R$1000,ROW(),$S$5:$S$1000,"Sub"),$U36))</f>
        <v/>
      </c>
      <c r="Z36" s="70">
        <f>IF($S36="","",IF(N($T36)&gt;0,AVERAGEIFS($V$5:$V$1000,$R$5:$R$1000,ROW(),$S$5:$S$1000,"Sub"),$V36))</f>
        <v/>
      </c>
      <c r="AA36" s="70">
        <f>IF($S36="","",IF(N($T36)&gt;0,AVERAGEIFS($W$5:$W$1000,$R$5:$R$1000,ROW(),$S$5:$S$1000,"Sub"),$W36))</f>
        <v/>
      </c>
      <c r="AB36" s="70">
        <f>IF($S36="","",IF(N($T36)&gt;0,AVERAGEIFS($X$5:$X$1000,$R$5:$R$1000,ROW(),$S$5:$S$1000,"Sub"),$X36))</f>
        <v/>
      </c>
    </row>
    <row r="37">
      <c r="A37" s="61">
        <f>IF(NOT((COUNTA($B37:$K37)+COUNTA($N37))&gt;0),"",IF($S37="Macro",COUNTIFS($S$5:$S37,"Macro",$P$5:$P37,$P37),IF(N($R37)=0,"?",COUNTIFS(INDEX($S$5:$S$1000,1):INDEX($S$5:$S$1000,$R37-4),"Macro",INDEX($P$5:$P$1000,1):INDEX($P$5:$P$1000,$R37-4),INDEX($P$5:$P$1000,$R37-4))&amp;"."&amp;COUNTIFS($R$5:$R37,$R37,$S$5:$S37,"Sub"))))</f>
        <v/>
      </c>
      <c r="B37" s="62" t="n"/>
      <c r="C37" s="63" t="n"/>
      <c r="D37" s="62" t="n"/>
      <c r="E37" s="64" t="n"/>
      <c r="F37" s="64" t="n"/>
      <c r="G37" s="65" t="n"/>
      <c r="H37" s="66" t="n"/>
      <c r="I37" s="66" t="n"/>
      <c r="J37" s="66" t="n"/>
      <c r="K37" s="66" t="n"/>
      <c r="L37" s="67">
        <f>IF(NOT((COUNTA($B37:$K37)+COUNTA($N37))&gt;0),"",IF(N($T37)&gt;0,$AB37,IFERROR(LOOKUP(2,1/(H37:K37&lt;&gt;""),H37:K37),0)))</f>
        <v/>
      </c>
      <c r="M37" s="61">
        <f>IF(L37="","",IF(L37&gt;=1,"Completado",IF(L37&gt;0,"En curso","Pendiente")))</f>
        <v/>
      </c>
      <c r="N37" s="62" t="n"/>
      <c r="O37" s="68">
        <f>IF(NOT((COUNTA($B37:$K37)+COUNTA($N37))&gt;0),"",IF((IF(AND($S37="Macro",$B37=""),"Macroactividad vacía"&amp;" · ","")&amp;IF(AND($B37&lt;&gt;"",$C37&lt;&gt;""),"Escriba la subactividad en otra fila, debajo de su macroactividad"&amp;" · ","")&amp;IF(AND($S37="Sub",N($R37)=0),"Subactividad sin macroactividad arriba"&amp;" · ","")&amp;IF($D37="","Sin responsable"&amp;" · ","")&amp;IF($E37="","Sin fecha de inicio"&amp;" · ","")&amp;IF($F37="","Sin fecha límite"&amp;" · ","")&amp;IF(OR(AND($E37&lt;&gt;"",NOT(ISNUMBER($E37))),AND($F37&lt;&gt;"",NOT(ISNUMBER($F37)))),"Fecha no válida"&amp;" · ","")&amp;IF(AND(ISNUMBER($E37),ISNUMBER($F37),$E37&gt;$F37),"Inicio posterior a fecha límite"&amp;" · ","")&amp;IF(AND($S37="Macro",$G37=""),"Peso vacío"&amp;" · ","")&amp;IF(AND($S37="Macro",$G37&lt;&gt;"",OR(NOT(ISNUMBER($G37)),$G37&lt;=0,$G37&gt;1)),"Peso fuera de rango"&amp;" · ","")&amp;IF(AND($S37="Sub",$G37&lt;&gt;""),"Las subactividades no llevan peso"&amp;" · ","")&amp;IF(AND($S37="Macro",ABS(SUMIFS($G$5:$G$1000,$P$5:$P$1000,$P37,$S$5:$S$1000,"Macro")-1)&gt;0.0001),"Pesos del mes suman "&amp;TEXT(SUMIFS($G$5:$G$1000,$P$5:$P$1000,$P37,$S$5:$S$1000,"Macro"),"0%")&amp;" · ","")&amp;IF(AND(N($T37)&gt;0,COUNT($H37:$K37)&gt;0),"Con subactividades: deje vacías las semanas (se calculan solas)"&amp;" · ","")&amp;IF((COUNTIF($H37:$K37,"&gt;1")+COUNTIF($H37:$K37,"&lt;0")+COUNTA($H37:$K37)-COUNT($H37:$K37))&gt;0,"Avance fuera de rango 0-100%"&amp;" · ","")&amp;IF(OR(AND($I37&lt;&gt;"",$I37&lt;$H37),AND($J37&lt;&gt;"",$J37&lt;MAX($H37:$I37)),AND($K37&lt;&gt;"",$K37&lt;MAX($H37:$J37))),"Avance semanal decreciente"&amp;" · ","")&amp;IF(AND(ISNUMBER($F37),$F37&lt;FechaRef,N($L37)&lt;1),"Vencida"&amp;" · ","")&amp;IF(AND(ObsObligatoria="Sí",ISNUMBER($F37),$F37&lt;FechaRef,N($L37)&lt;1,$N37=""),"Vencida sin observación"&amp;" · ",""))="","✔ OK","⚠ "&amp;LEFT(IF(AND($S37="Macro",$B37=""),"Macroactividad vacía"&amp;" · ","")&amp;IF(AND($B37&lt;&gt;"",$C37&lt;&gt;""),"Escriba la subactividad en otra fila, debajo de su macroactividad"&amp;" · ","")&amp;IF(AND($S37="Sub",N($R37)=0),"Subactividad sin macroactividad arriba"&amp;" · ","")&amp;IF($D37="","Sin responsable"&amp;" · ","")&amp;IF($E37="","Sin fecha de inicio"&amp;" · ","")&amp;IF($F37="","Sin fecha límite"&amp;" · ","")&amp;IF(OR(AND($E37&lt;&gt;"",NOT(ISNUMBER($E37))),AND($F37&lt;&gt;"",NOT(ISNUMBER($F37)))),"Fecha no válida"&amp;" · ","")&amp;IF(AND(ISNUMBER($E37),ISNUMBER($F37),$E37&gt;$F37),"Inicio posterior a fecha límite"&amp;" · ","")&amp;IF(AND($S37="Macro",$G37=""),"Peso vacío"&amp;" · ","")&amp;IF(AND($S37="Macro",$G37&lt;&gt;"",OR(NOT(ISNUMBER($G37)),$G37&lt;=0,$G37&gt;1)),"Peso fuera de rango"&amp;" · ","")&amp;IF(AND($S37="Sub",$G37&lt;&gt;""),"Las subactividades no llevan peso"&amp;" · ","")&amp;IF(AND($S37="Macro",ABS(SUMIFS($G$5:$G$1000,$P$5:$P$1000,$P37,$S$5:$S$1000,"Macro")-1)&gt;0.0001),"Pesos del mes suman "&amp;TEXT(SUMIFS($G$5:$G$1000,$P$5:$P$1000,$P37,$S$5:$S$1000,"Macro"),"0%")&amp;" · ","")&amp;IF(AND(N($T37)&gt;0,COUNT($H37:$K37)&gt;0),"Con subactividades: deje vacías las semanas (se calculan solas)"&amp;" · ","")&amp;IF((COUNTIF($H37:$K37,"&gt;1")+COUNTIF($H37:$K37,"&lt;0")+COUNTA($H37:$K37)-COUNT($H37:$K37))&gt;0,"Avance fuera de rango 0-100%"&amp;" · ","")&amp;IF(OR(AND($I37&lt;&gt;"",$I37&lt;$H37),AND($J37&lt;&gt;"",$J37&lt;MAX($H37:$I37)),AND($K37&lt;&gt;"",$K37&lt;MAX($H37:$J37))),"Avance semanal decreciente"&amp;" · ","")&amp;IF(AND(ISNUMBER($F37),$F37&lt;FechaRef,N($L37)&lt;1),"Vencida"&amp;" · ","")&amp;IF(AND(ObsObligatoria="Sí",ISNUMBER($F37),$F37&lt;FechaRef,N($L37)&lt;1,$N37=""),"Vencida sin observación"&amp;" · ",""),LEN(IF(AND($S37="Macro",$B37=""),"Macroactividad vacía"&amp;" · ","")&amp;IF(AND($B37&lt;&gt;"",$C37&lt;&gt;""),"Escriba la subactividad en otra fila, debajo de su macroactividad"&amp;" · ","")&amp;IF(AND($S37="Sub",N($R37)=0),"Subactividad sin macroactividad arriba"&amp;" · ","")&amp;IF($D37="","Sin responsable"&amp;" · ","")&amp;IF($E37="","Sin fecha de inicio"&amp;" · ","")&amp;IF($F37="","Sin fecha límite"&amp;" · ","")&amp;IF(OR(AND($E37&lt;&gt;"",NOT(ISNUMBER($E37))),AND($F37&lt;&gt;"",NOT(ISNUMBER($F37)))),"Fecha no válida"&amp;" · ","")&amp;IF(AND(ISNUMBER($E37),ISNUMBER($F37),$E37&gt;$F37),"Inicio posterior a fecha límite"&amp;" · ","")&amp;IF(AND($S37="Macro",$G37=""),"Peso vacío"&amp;" · ","")&amp;IF(AND($S37="Macro",$G37&lt;&gt;"",OR(NOT(ISNUMBER($G37)),$G37&lt;=0,$G37&gt;1)),"Peso fuera de rango"&amp;" · ","")&amp;IF(AND($S37="Sub",$G37&lt;&gt;""),"Las subactividades no llevan peso"&amp;" · ","")&amp;IF(AND($S37="Macro",ABS(SUMIFS($G$5:$G$1000,$P$5:$P$1000,$P37,$S$5:$S$1000,"Macro")-1)&gt;0.0001),"Pesos del mes suman "&amp;TEXT(SUMIFS($G$5:$G$1000,$P$5:$P$1000,$P37,$S$5:$S$1000,"Macro"),"0%")&amp;" · ","")&amp;IF(AND(N($T37)&gt;0,COUNT($H37:$K37)&gt;0),"Con subactividades: deje vacías las semanas (se calculan solas)"&amp;" · ","")&amp;IF((COUNTIF($H37:$K37,"&gt;1")+COUNTIF($H37:$K37,"&lt;0")+COUNTA($H37:$K37)-COUNT($H37:$K37))&gt;0,"Avance fuera de rango 0-100%"&amp;" · ","")&amp;IF(OR(AND($I37&lt;&gt;"",$I37&lt;$H37),AND($J37&lt;&gt;"",$J37&lt;MAX($H37:$I37)),AND($K37&lt;&gt;"",$K37&lt;MAX($H37:$J37))),"Avance semanal decreciente"&amp;" · ","")&amp;IF(AND(ISNUMBER($F37),$F37&lt;FechaRef,N($L37)&lt;1),"Vencida"&amp;" · ","")&amp;IF(AND(ObsObligatoria="Sí",ISNUMBER($F37),$F37&lt;FechaRef,N($L37)&lt;1,$N37=""),"Vencida sin observación"&amp;" · ",""))-3)))</f>
        <v/>
      </c>
      <c r="P37" s="69">
        <f>IF(NOT((COUNTA($B37:$K37)+COUNTA($N37))&gt;0),"",IF(AND($S37="Sub",N($R37)&gt;0),IF(ISNUMBER(INDEX($E$5:$E$1000,$R37-4)),DATE(YEAR(INDEX($E$5:$E$1000,$R37-4)),MONTH(INDEX($E$5:$E$1000,$R37-4)),1),IF(ISNUMBER(INDEX($F$5:$F$1000,$R37-4)),DATE(YEAR(INDEX($F$5:$F$1000,$R37-4)),MONTH(INDEX($F$5:$F$1000,$R37-4)),1),MesCiclo)),IF(ISNUMBER($E37),DATE(YEAR($E37),MONTH($E37),1),IF(ISNUMBER($F37),DATE(YEAR($F37),MONTH($F37),1),MesCiclo))))</f>
        <v/>
      </c>
      <c r="Q37" s="70">
        <f>IF(OR($P37="",$P37&lt;&gt;MesCiclo),"",COUNTIF($P$5:$P37,MesCiclo))</f>
        <v/>
      </c>
      <c r="R37" s="70">
        <f>IF($S37="","",IF($S37="Macro",ROW(),IFERROR(LOOKUP(2,1/($S$5:$S37="Macro"),ROW($S$5:$S37)),0)))</f>
        <v/>
      </c>
      <c r="S37" s="70">
        <f>IF(NOT((COUNTA($B37:$K37)+COUNTA($N37))&gt;0),"",IF($B37&lt;&gt;"","Macro",IF($C37&lt;&gt;"","Sub","Macro")))</f>
        <v/>
      </c>
      <c r="T37" s="70">
        <f>IF($S37="Macro",COUNTIFS($R$5:$R$1000,ROW(),$S$5:$S$1000,"Sub"),"")</f>
        <v/>
      </c>
      <c r="U37" s="70">
        <f>IF($S37="","",IF(ISNUMBER($H37),$H37,0))</f>
        <v/>
      </c>
      <c r="V37" s="70">
        <f>IF($S37="","",IF(ISNUMBER($I37),$I37,$U37))</f>
        <v/>
      </c>
      <c r="W37" s="70">
        <f>IF($S37="","",IF(ISNUMBER($J37),$J37,$V37))</f>
        <v/>
      </c>
      <c r="X37" s="70">
        <f>IF($S37="","",IF(ISNUMBER($K37),$K37,$W37))</f>
        <v/>
      </c>
      <c r="Y37" s="70">
        <f>IF($S37="","",IF(N($T37)&gt;0,AVERAGEIFS($U$5:$U$1000,$R$5:$R$1000,ROW(),$S$5:$S$1000,"Sub"),$U37))</f>
        <v/>
      </c>
      <c r="Z37" s="70">
        <f>IF($S37="","",IF(N($T37)&gt;0,AVERAGEIFS($V$5:$V$1000,$R$5:$R$1000,ROW(),$S$5:$S$1000,"Sub"),$V37))</f>
        <v/>
      </c>
      <c r="AA37" s="70">
        <f>IF($S37="","",IF(N($T37)&gt;0,AVERAGEIFS($W$5:$W$1000,$R$5:$R$1000,ROW(),$S$5:$S$1000,"Sub"),$W37))</f>
        <v/>
      </c>
      <c r="AB37" s="70">
        <f>IF($S37="","",IF(N($T37)&gt;0,AVERAGEIFS($X$5:$X$1000,$R$5:$R$1000,ROW(),$S$5:$S$1000,"Sub"),$X37))</f>
        <v/>
      </c>
    </row>
    <row r="38">
      <c r="A38" s="61">
        <f>IF(NOT((COUNTA($B38:$K38)+COUNTA($N38))&gt;0),"",IF($S38="Macro",COUNTIFS($S$5:$S38,"Macro",$P$5:$P38,$P38),IF(N($R38)=0,"?",COUNTIFS(INDEX($S$5:$S$1000,1):INDEX($S$5:$S$1000,$R38-4),"Macro",INDEX($P$5:$P$1000,1):INDEX($P$5:$P$1000,$R38-4),INDEX($P$5:$P$1000,$R38-4))&amp;"."&amp;COUNTIFS($R$5:$R38,$R38,$S$5:$S38,"Sub"))))</f>
        <v/>
      </c>
      <c r="B38" s="62" t="n"/>
      <c r="C38" s="63" t="n"/>
      <c r="D38" s="62" t="n"/>
      <c r="E38" s="64" t="n"/>
      <c r="F38" s="64" t="n"/>
      <c r="G38" s="65" t="n"/>
      <c r="H38" s="66" t="n"/>
      <c r="I38" s="66" t="n"/>
      <c r="J38" s="66" t="n"/>
      <c r="K38" s="66" t="n"/>
      <c r="L38" s="67">
        <f>IF(NOT((COUNTA($B38:$K38)+COUNTA($N38))&gt;0),"",IF(N($T38)&gt;0,$AB38,IFERROR(LOOKUP(2,1/(H38:K38&lt;&gt;""),H38:K38),0)))</f>
        <v/>
      </c>
      <c r="M38" s="61">
        <f>IF(L38="","",IF(L38&gt;=1,"Completado",IF(L38&gt;0,"En curso","Pendiente")))</f>
        <v/>
      </c>
      <c r="N38" s="62" t="n"/>
      <c r="O38" s="68">
        <f>IF(NOT((COUNTA($B38:$K38)+COUNTA($N38))&gt;0),"",IF((IF(AND($S38="Macro",$B38=""),"Macroactividad vacía"&amp;" · ","")&amp;IF(AND($B38&lt;&gt;"",$C38&lt;&gt;""),"Escriba la subactividad en otra fila, debajo de su macroactividad"&amp;" · ","")&amp;IF(AND($S38="Sub",N($R38)=0),"Subactividad sin macroactividad arriba"&amp;" · ","")&amp;IF($D38="","Sin responsable"&amp;" · ","")&amp;IF($E38="","Sin fecha de inicio"&amp;" · ","")&amp;IF($F38="","Sin fecha límite"&amp;" · ","")&amp;IF(OR(AND($E38&lt;&gt;"",NOT(ISNUMBER($E38))),AND($F38&lt;&gt;"",NOT(ISNUMBER($F38)))),"Fecha no válida"&amp;" · ","")&amp;IF(AND(ISNUMBER($E38),ISNUMBER($F38),$E38&gt;$F38),"Inicio posterior a fecha límite"&amp;" · ","")&amp;IF(AND($S38="Macro",$G38=""),"Peso vacío"&amp;" · ","")&amp;IF(AND($S38="Macro",$G38&lt;&gt;"",OR(NOT(ISNUMBER($G38)),$G38&lt;=0,$G38&gt;1)),"Peso fuera de rango"&amp;" · ","")&amp;IF(AND($S38="Sub",$G38&lt;&gt;""),"Las subactividades no llevan peso"&amp;" · ","")&amp;IF(AND($S38="Macro",ABS(SUMIFS($G$5:$G$1000,$P$5:$P$1000,$P38,$S$5:$S$1000,"Macro")-1)&gt;0.0001),"Pesos del mes suman "&amp;TEXT(SUMIFS($G$5:$G$1000,$P$5:$P$1000,$P38,$S$5:$S$1000,"Macro"),"0%")&amp;" · ","")&amp;IF(AND(N($T38)&gt;0,COUNT($H38:$K38)&gt;0),"Con subactividades: deje vacías las semanas (se calculan solas)"&amp;" · ","")&amp;IF((COUNTIF($H38:$K38,"&gt;1")+COUNTIF($H38:$K38,"&lt;0")+COUNTA($H38:$K38)-COUNT($H38:$K38))&gt;0,"Avance fuera de rango 0-100%"&amp;" · ","")&amp;IF(OR(AND($I38&lt;&gt;"",$I38&lt;$H38),AND($J38&lt;&gt;"",$J38&lt;MAX($H38:$I38)),AND($K38&lt;&gt;"",$K38&lt;MAX($H38:$J38))),"Avance semanal decreciente"&amp;" · ","")&amp;IF(AND(ISNUMBER($F38),$F38&lt;FechaRef,N($L38)&lt;1),"Vencida"&amp;" · ","")&amp;IF(AND(ObsObligatoria="Sí",ISNUMBER($F38),$F38&lt;FechaRef,N($L38)&lt;1,$N38=""),"Vencida sin observación"&amp;" · ",""))="","✔ OK","⚠ "&amp;LEFT(IF(AND($S38="Macro",$B38=""),"Macroactividad vacía"&amp;" · ","")&amp;IF(AND($B38&lt;&gt;"",$C38&lt;&gt;""),"Escriba la subactividad en otra fila, debajo de su macroactividad"&amp;" · ","")&amp;IF(AND($S38="Sub",N($R38)=0),"Subactividad sin macroactividad arriba"&amp;" · ","")&amp;IF($D38="","Sin responsable"&amp;" · ","")&amp;IF($E38="","Sin fecha de inicio"&amp;" · ","")&amp;IF($F38="","Sin fecha límite"&amp;" · ","")&amp;IF(OR(AND($E38&lt;&gt;"",NOT(ISNUMBER($E38))),AND($F38&lt;&gt;"",NOT(ISNUMBER($F38)))),"Fecha no válida"&amp;" · ","")&amp;IF(AND(ISNUMBER($E38),ISNUMBER($F38),$E38&gt;$F38),"Inicio posterior a fecha límite"&amp;" · ","")&amp;IF(AND($S38="Macro",$G38=""),"Peso vacío"&amp;" · ","")&amp;IF(AND($S38="Macro",$G38&lt;&gt;"",OR(NOT(ISNUMBER($G38)),$G38&lt;=0,$G38&gt;1)),"Peso fuera de rango"&amp;" · ","")&amp;IF(AND($S38="Sub",$G38&lt;&gt;""),"Las subactividades no llevan peso"&amp;" · ","")&amp;IF(AND($S38="Macro",ABS(SUMIFS($G$5:$G$1000,$P$5:$P$1000,$P38,$S$5:$S$1000,"Macro")-1)&gt;0.0001),"Pesos del mes suman "&amp;TEXT(SUMIFS($G$5:$G$1000,$P$5:$P$1000,$P38,$S$5:$S$1000,"Macro"),"0%")&amp;" · ","")&amp;IF(AND(N($T38)&gt;0,COUNT($H38:$K38)&gt;0),"Con subactividades: deje vacías las semanas (se calculan solas)"&amp;" · ","")&amp;IF((COUNTIF($H38:$K38,"&gt;1")+COUNTIF($H38:$K38,"&lt;0")+COUNTA($H38:$K38)-COUNT($H38:$K38))&gt;0,"Avance fuera de rango 0-100%"&amp;" · ","")&amp;IF(OR(AND($I38&lt;&gt;"",$I38&lt;$H38),AND($J38&lt;&gt;"",$J38&lt;MAX($H38:$I38)),AND($K38&lt;&gt;"",$K38&lt;MAX($H38:$J38))),"Avance semanal decreciente"&amp;" · ","")&amp;IF(AND(ISNUMBER($F38),$F38&lt;FechaRef,N($L38)&lt;1),"Vencida"&amp;" · ","")&amp;IF(AND(ObsObligatoria="Sí",ISNUMBER($F38),$F38&lt;FechaRef,N($L38)&lt;1,$N38=""),"Vencida sin observación"&amp;" · ",""),LEN(IF(AND($S38="Macro",$B38=""),"Macroactividad vacía"&amp;" · ","")&amp;IF(AND($B38&lt;&gt;"",$C38&lt;&gt;""),"Escriba la subactividad en otra fila, debajo de su macroactividad"&amp;" · ","")&amp;IF(AND($S38="Sub",N($R38)=0),"Subactividad sin macroactividad arriba"&amp;" · ","")&amp;IF($D38="","Sin responsable"&amp;" · ","")&amp;IF($E38="","Sin fecha de inicio"&amp;" · ","")&amp;IF($F38="","Sin fecha límite"&amp;" · ","")&amp;IF(OR(AND($E38&lt;&gt;"",NOT(ISNUMBER($E38))),AND($F38&lt;&gt;"",NOT(ISNUMBER($F38)))),"Fecha no válida"&amp;" · ","")&amp;IF(AND(ISNUMBER($E38),ISNUMBER($F38),$E38&gt;$F38),"Inicio posterior a fecha límite"&amp;" · ","")&amp;IF(AND($S38="Macro",$G38=""),"Peso vacío"&amp;" · ","")&amp;IF(AND($S38="Macro",$G38&lt;&gt;"",OR(NOT(ISNUMBER($G38)),$G38&lt;=0,$G38&gt;1)),"Peso fuera de rango"&amp;" · ","")&amp;IF(AND($S38="Sub",$G38&lt;&gt;""),"Las subactividades no llevan peso"&amp;" · ","")&amp;IF(AND($S38="Macro",ABS(SUMIFS($G$5:$G$1000,$P$5:$P$1000,$P38,$S$5:$S$1000,"Macro")-1)&gt;0.0001),"Pesos del mes suman "&amp;TEXT(SUMIFS($G$5:$G$1000,$P$5:$P$1000,$P38,$S$5:$S$1000,"Macro"),"0%")&amp;" · ","")&amp;IF(AND(N($T38)&gt;0,COUNT($H38:$K38)&gt;0),"Con subactividades: deje vacías las semanas (se calculan solas)"&amp;" · ","")&amp;IF((COUNTIF($H38:$K38,"&gt;1")+COUNTIF($H38:$K38,"&lt;0")+COUNTA($H38:$K38)-COUNT($H38:$K38))&gt;0,"Avance fuera de rango 0-100%"&amp;" · ","")&amp;IF(OR(AND($I38&lt;&gt;"",$I38&lt;$H38),AND($J38&lt;&gt;"",$J38&lt;MAX($H38:$I38)),AND($K38&lt;&gt;"",$K38&lt;MAX($H38:$J38))),"Avance semanal decreciente"&amp;" · ","")&amp;IF(AND(ISNUMBER($F38),$F38&lt;FechaRef,N($L38)&lt;1),"Vencida"&amp;" · ","")&amp;IF(AND(ObsObligatoria="Sí",ISNUMBER($F38),$F38&lt;FechaRef,N($L38)&lt;1,$N38=""),"Vencida sin observación"&amp;" · ",""))-3)))</f>
        <v/>
      </c>
      <c r="P38" s="69">
        <f>IF(NOT((COUNTA($B38:$K38)+COUNTA($N38))&gt;0),"",IF(AND($S38="Sub",N($R38)&gt;0),IF(ISNUMBER(INDEX($E$5:$E$1000,$R38-4)),DATE(YEAR(INDEX($E$5:$E$1000,$R38-4)),MONTH(INDEX($E$5:$E$1000,$R38-4)),1),IF(ISNUMBER(INDEX($F$5:$F$1000,$R38-4)),DATE(YEAR(INDEX($F$5:$F$1000,$R38-4)),MONTH(INDEX($F$5:$F$1000,$R38-4)),1),MesCiclo)),IF(ISNUMBER($E38),DATE(YEAR($E38),MONTH($E38),1),IF(ISNUMBER($F38),DATE(YEAR($F38),MONTH($F38),1),MesCiclo))))</f>
        <v/>
      </c>
      <c r="Q38" s="70">
        <f>IF(OR($P38="",$P38&lt;&gt;MesCiclo),"",COUNTIF($P$5:$P38,MesCiclo))</f>
        <v/>
      </c>
      <c r="R38" s="70">
        <f>IF($S38="","",IF($S38="Macro",ROW(),IFERROR(LOOKUP(2,1/($S$5:$S38="Macro"),ROW($S$5:$S38)),0)))</f>
        <v/>
      </c>
      <c r="S38" s="70">
        <f>IF(NOT((COUNTA($B38:$K38)+COUNTA($N38))&gt;0),"",IF($B38&lt;&gt;"","Macro",IF($C38&lt;&gt;"","Sub","Macro")))</f>
        <v/>
      </c>
      <c r="T38" s="70">
        <f>IF($S38="Macro",COUNTIFS($R$5:$R$1000,ROW(),$S$5:$S$1000,"Sub"),"")</f>
        <v/>
      </c>
      <c r="U38" s="70">
        <f>IF($S38="","",IF(ISNUMBER($H38),$H38,0))</f>
        <v/>
      </c>
      <c r="V38" s="70">
        <f>IF($S38="","",IF(ISNUMBER($I38),$I38,$U38))</f>
        <v/>
      </c>
      <c r="W38" s="70">
        <f>IF($S38="","",IF(ISNUMBER($J38),$J38,$V38))</f>
        <v/>
      </c>
      <c r="X38" s="70">
        <f>IF($S38="","",IF(ISNUMBER($K38),$K38,$W38))</f>
        <v/>
      </c>
      <c r="Y38" s="70">
        <f>IF($S38="","",IF(N($T38)&gt;0,AVERAGEIFS($U$5:$U$1000,$R$5:$R$1000,ROW(),$S$5:$S$1000,"Sub"),$U38))</f>
        <v/>
      </c>
      <c r="Z38" s="70">
        <f>IF($S38="","",IF(N($T38)&gt;0,AVERAGEIFS($V$5:$V$1000,$R$5:$R$1000,ROW(),$S$5:$S$1000,"Sub"),$V38))</f>
        <v/>
      </c>
      <c r="AA38" s="70">
        <f>IF($S38="","",IF(N($T38)&gt;0,AVERAGEIFS($W$5:$W$1000,$R$5:$R$1000,ROW(),$S$5:$S$1000,"Sub"),$W38))</f>
        <v/>
      </c>
      <c r="AB38" s="70">
        <f>IF($S38="","",IF(N($T38)&gt;0,AVERAGEIFS($X$5:$X$1000,$R$5:$R$1000,ROW(),$S$5:$S$1000,"Sub"),$X38))</f>
        <v/>
      </c>
    </row>
    <row r="39">
      <c r="A39" s="61">
        <f>IF(NOT((COUNTA($B39:$K39)+COUNTA($N39))&gt;0),"",IF($S39="Macro",COUNTIFS($S$5:$S39,"Macro",$P$5:$P39,$P39),IF(N($R39)=0,"?",COUNTIFS(INDEX($S$5:$S$1000,1):INDEX($S$5:$S$1000,$R39-4),"Macro",INDEX($P$5:$P$1000,1):INDEX($P$5:$P$1000,$R39-4),INDEX($P$5:$P$1000,$R39-4))&amp;"."&amp;COUNTIFS($R$5:$R39,$R39,$S$5:$S39,"Sub"))))</f>
        <v/>
      </c>
      <c r="B39" s="62" t="n"/>
      <c r="C39" s="63" t="n"/>
      <c r="D39" s="62" t="n"/>
      <c r="E39" s="64" t="n"/>
      <c r="F39" s="64" t="n"/>
      <c r="G39" s="65" t="n"/>
      <c r="H39" s="66" t="n"/>
      <c r="I39" s="66" t="n"/>
      <c r="J39" s="66" t="n"/>
      <c r="K39" s="66" t="n"/>
      <c r="L39" s="67">
        <f>IF(NOT((COUNTA($B39:$K39)+COUNTA($N39))&gt;0),"",IF(N($T39)&gt;0,$AB39,IFERROR(LOOKUP(2,1/(H39:K39&lt;&gt;""),H39:K39),0)))</f>
        <v/>
      </c>
      <c r="M39" s="61">
        <f>IF(L39="","",IF(L39&gt;=1,"Completado",IF(L39&gt;0,"En curso","Pendiente")))</f>
        <v/>
      </c>
      <c r="N39" s="62" t="n"/>
      <c r="O39" s="68">
        <f>IF(NOT((COUNTA($B39:$K39)+COUNTA($N39))&gt;0),"",IF((IF(AND($S39="Macro",$B39=""),"Macroactividad vacía"&amp;" · ","")&amp;IF(AND($B39&lt;&gt;"",$C39&lt;&gt;""),"Escriba la subactividad en otra fila, debajo de su macroactividad"&amp;" · ","")&amp;IF(AND($S39="Sub",N($R39)=0),"Subactividad sin macroactividad arriba"&amp;" · ","")&amp;IF($D39="","Sin responsable"&amp;" · ","")&amp;IF($E39="","Sin fecha de inicio"&amp;" · ","")&amp;IF($F39="","Sin fecha límite"&amp;" · ","")&amp;IF(OR(AND($E39&lt;&gt;"",NOT(ISNUMBER($E39))),AND($F39&lt;&gt;"",NOT(ISNUMBER($F39)))),"Fecha no válida"&amp;" · ","")&amp;IF(AND(ISNUMBER($E39),ISNUMBER($F39),$E39&gt;$F39),"Inicio posterior a fecha límite"&amp;" · ","")&amp;IF(AND($S39="Macro",$G39=""),"Peso vacío"&amp;" · ","")&amp;IF(AND($S39="Macro",$G39&lt;&gt;"",OR(NOT(ISNUMBER($G39)),$G39&lt;=0,$G39&gt;1)),"Peso fuera de rango"&amp;" · ","")&amp;IF(AND($S39="Sub",$G39&lt;&gt;""),"Las subactividades no llevan peso"&amp;" · ","")&amp;IF(AND($S39="Macro",ABS(SUMIFS($G$5:$G$1000,$P$5:$P$1000,$P39,$S$5:$S$1000,"Macro")-1)&gt;0.0001),"Pesos del mes suman "&amp;TEXT(SUMIFS($G$5:$G$1000,$P$5:$P$1000,$P39,$S$5:$S$1000,"Macro"),"0%")&amp;" · ","")&amp;IF(AND(N($T39)&gt;0,COUNT($H39:$K39)&gt;0),"Con subactividades: deje vacías las semanas (se calculan solas)"&amp;" · ","")&amp;IF((COUNTIF($H39:$K39,"&gt;1")+COUNTIF($H39:$K39,"&lt;0")+COUNTA($H39:$K39)-COUNT($H39:$K39))&gt;0,"Avance fuera de rango 0-100%"&amp;" · ","")&amp;IF(OR(AND($I39&lt;&gt;"",$I39&lt;$H39),AND($J39&lt;&gt;"",$J39&lt;MAX($H39:$I39)),AND($K39&lt;&gt;"",$K39&lt;MAX($H39:$J39))),"Avance semanal decreciente"&amp;" · ","")&amp;IF(AND(ISNUMBER($F39),$F39&lt;FechaRef,N($L39)&lt;1),"Vencida"&amp;" · ","")&amp;IF(AND(ObsObligatoria="Sí",ISNUMBER($F39),$F39&lt;FechaRef,N($L39)&lt;1,$N39=""),"Vencida sin observación"&amp;" · ",""))="","✔ OK","⚠ "&amp;LEFT(IF(AND($S39="Macro",$B39=""),"Macroactividad vacía"&amp;" · ","")&amp;IF(AND($B39&lt;&gt;"",$C39&lt;&gt;""),"Escriba la subactividad en otra fila, debajo de su macroactividad"&amp;" · ","")&amp;IF(AND($S39="Sub",N($R39)=0),"Subactividad sin macroactividad arriba"&amp;" · ","")&amp;IF($D39="","Sin responsable"&amp;" · ","")&amp;IF($E39="","Sin fecha de inicio"&amp;" · ","")&amp;IF($F39="","Sin fecha límite"&amp;" · ","")&amp;IF(OR(AND($E39&lt;&gt;"",NOT(ISNUMBER($E39))),AND($F39&lt;&gt;"",NOT(ISNUMBER($F39)))),"Fecha no válida"&amp;" · ","")&amp;IF(AND(ISNUMBER($E39),ISNUMBER($F39),$E39&gt;$F39),"Inicio posterior a fecha límite"&amp;" · ","")&amp;IF(AND($S39="Macro",$G39=""),"Peso vacío"&amp;" · ","")&amp;IF(AND($S39="Macro",$G39&lt;&gt;"",OR(NOT(ISNUMBER($G39)),$G39&lt;=0,$G39&gt;1)),"Peso fuera de rango"&amp;" · ","")&amp;IF(AND($S39="Sub",$G39&lt;&gt;""),"Las subactividades no llevan peso"&amp;" · ","")&amp;IF(AND($S39="Macro",ABS(SUMIFS($G$5:$G$1000,$P$5:$P$1000,$P39,$S$5:$S$1000,"Macro")-1)&gt;0.0001),"Pesos del mes suman "&amp;TEXT(SUMIFS($G$5:$G$1000,$P$5:$P$1000,$P39,$S$5:$S$1000,"Macro"),"0%")&amp;" · ","")&amp;IF(AND(N($T39)&gt;0,COUNT($H39:$K39)&gt;0),"Con subactividades: deje vacías las semanas (se calculan solas)"&amp;" · ","")&amp;IF((COUNTIF($H39:$K39,"&gt;1")+COUNTIF($H39:$K39,"&lt;0")+COUNTA($H39:$K39)-COUNT($H39:$K39))&gt;0,"Avance fuera de rango 0-100%"&amp;" · ","")&amp;IF(OR(AND($I39&lt;&gt;"",$I39&lt;$H39),AND($J39&lt;&gt;"",$J39&lt;MAX($H39:$I39)),AND($K39&lt;&gt;"",$K39&lt;MAX($H39:$J39))),"Avance semanal decreciente"&amp;" · ","")&amp;IF(AND(ISNUMBER($F39),$F39&lt;FechaRef,N($L39)&lt;1),"Vencida"&amp;" · ","")&amp;IF(AND(ObsObligatoria="Sí",ISNUMBER($F39),$F39&lt;FechaRef,N($L39)&lt;1,$N39=""),"Vencida sin observación"&amp;" · ",""),LEN(IF(AND($S39="Macro",$B39=""),"Macroactividad vacía"&amp;" · ","")&amp;IF(AND($B39&lt;&gt;"",$C39&lt;&gt;""),"Escriba la subactividad en otra fila, debajo de su macroactividad"&amp;" · ","")&amp;IF(AND($S39="Sub",N($R39)=0),"Subactividad sin macroactividad arriba"&amp;" · ","")&amp;IF($D39="","Sin responsable"&amp;" · ","")&amp;IF($E39="","Sin fecha de inicio"&amp;" · ","")&amp;IF($F39="","Sin fecha límite"&amp;" · ","")&amp;IF(OR(AND($E39&lt;&gt;"",NOT(ISNUMBER($E39))),AND($F39&lt;&gt;"",NOT(ISNUMBER($F39)))),"Fecha no válida"&amp;" · ","")&amp;IF(AND(ISNUMBER($E39),ISNUMBER($F39),$E39&gt;$F39),"Inicio posterior a fecha límite"&amp;" · ","")&amp;IF(AND($S39="Macro",$G39=""),"Peso vacío"&amp;" · ","")&amp;IF(AND($S39="Macro",$G39&lt;&gt;"",OR(NOT(ISNUMBER($G39)),$G39&lt;=0,$G39&gt;1)),"Peso fuera de rango"&amp;" · ","")&amp;IF(AND($S39="Sub",$G39&lt;&gt;""),"Las subactividades no llevan peso"&amp;" · ","")&amp;IF(AND($S39="Macro",ABS(SUMIFS($G$5:$G$1000,$P$5:$P$1000,$P39,$S$5:$S$1000,"Macro")-1)&gt;0.0001),"Pesos del mes suman "&amp;TEXT(SUMIFS($G$5:$G$1000,$P$5:$P$1000,$P39,$S$5:$S$1000,"Macro"),"0%")&amp;" · ","")&amp;IF(AND(N($T39)&gt;0,COUNT($H39:$K39)&gt;0),"Con subactividades: deje vacías las semanas (se calculan solas)"&amp;" · ","")&amp;IF((COUNTIF($H39:$K39,"&gt;1")+COUNTIF($H39:$K39,"&lt;0")+COUNTA($H39:$K39)-COUNT($H39:$K39))&gt;0,"Avance fuera de rango 0-100%"&amp;" · ","")&amp;IF(OR(AND($I39&lt;&gt;"",$I39&lt;$H39),AND($J39&lt;&gt;"",$J39&lt;MAX($H39:$I39)),AND($K39&lt;&gt;"",$K39&lt;MAX($H39:$J39))),"Avance semanal decreciente"&amp;" · ","")&amp;IF(AND(ISNUMBER($F39),$F39&lt;FechaRef,N($L39)&lt;1),"Vencida"&amp;" · ","")&amp;IF(AND(ObsObligatoria="Sí",ISNUMBER($F39),$F39&lt;FechaRef,N($L39)&lt;1,$N39=""),"Vencida sin observación"&amp;" · ",""))-3)))</f>
        <v/>
      </c>
      <c r="P39" s="69">
        <f>IF(NOT((COUNTA($B39:$K39)+COUNTA($N39))&gt;0),"",IF(AND($S39="Sub",N($R39)&gt;0),IF(ISNUMBER(INDEX($E$5:$E$1000,$R39-4)),DATE(YEAR(INDEX($E$5:$E$1000,$R39-4)),MONTH(INDEX($E$5:$E$1000,$R39-4)),1),IF(ISNUMBER(INDEX($F$5:$F$1000,$R39-4)),DATE(YEAR(INDEX($F$5:$F$1000,$R39-4)),MONTH(INDEX($F$5:$F$1000,$R39-4)),1),MesCiclo)),IF(ISNUMBER($E39),DATE(YEAR($E39),MONTH($E39),1),IF(ISNUMBER($F39),DATE(YEAR($F39),MONTH($F39),1),MesCiclo))))</f>
        <v/>
      </c>
      <c r="Q39" s="70">
        <f>IF(OR($P39="",$P39&lt;&gt;MesCiclo),"",COUNTIF($P$5:$P39,MesCiclo))</f>
        <v/>
      </c>
      <c r="R39" s="70">
        <f>IF($S39="","",IF($S39="Macro",ROW(),IFERROR(LOOKUP(2,1/($S$5:$S39="Macro"),ROW($S$5:$S39)),0)))</f>
        <v/>
      </c>
      <c r="S39" s="70">
        <f>IF(NOT((COUNTA($B39:$K39)+COUNTA($N39))&gt;0),"",IF($B39&lt;&gt;"","Macro",IF($C39&lt;&gt;"","Sub","Macro")))</f>
        <v/>
      </c>
      <c r="T39" s="70">
        <f>IF($S39="Macro",COUNTIFS($R$5:$R$1000,ROW(),$S$5:$S$1000,"Sub"),"")</f>
        <v/>
      </c>
      <c r="U39" s="70">
        <f>IF($S39="","",IF(ISNUMBER($H39),$H39,0))</f>
        <v/>
      </c>
      <c r="V39" s="70">
        <f>IF($S39="","",IF(ISNUMBER($I39),$I39,$U39))</f>
        <v/>
      </c>
      <c r="W39" s="70">
        <f>IF($S39="","",IF(ISNUMBER($J39),$J39,$V39))</f>
        <v/>
      </c>
      <c r="X39" s="70">
        <f>IF($S39="","",IF(ISNUMBER($K39),$K39,$W39))</f>
        <v/>
      </c>
      <c r="Y39" s="70">
        <f>IF($S39="","",IF(N($T39)&gt;0,AVERAGEIFS($U$5:$U$1000,$R$5:$R$1000,ROW(),$S$5:$S$1000,"Sub"),$U39))</f>
        <v/>
      </c>
      <c r="Z39" s="70">
        <f>IF($S39="","",IF(N($T39)&gt;0,AVERAGEIFS($V$5:$V$1000,$R$5:$R$1000,ROW(),$S$5:$S$1000,"Sub"),$V39))</f>
        <v/>
      </c>
      <c r="AA39" s="70">
        <f>IF($S39="","",IF(N($T39)&gt;0,AVERAGEIFS($W$5:$W$1000,$R$5:$R$1000,ROW(),$S$5:$S$1000,"Sub"),$W39))</f>
        <v/>
      </c>
      <c r="AB39" s="70">
        <f>IF($S39="","",IF(N($T39)&gt;0,AVERAGEIFS($X$5:$X$1000,$R$5:$R$1000,ROW(),$S$5:$S$1000,"Sub"),$X39))</f>
        <v/>
      </c>
    </row>
    <row r="40">
      <c r="A40" s="61">
        <f>IF(NOT((COUNTA($B40:$K40)+COUNTA($N40))&gt;0),"",IF($S40="Macro",COUNTIFS($S$5:$S40,"Macro",$P$5:$P40,$P40),IF(N($R40)=0,"?",COUNTIFS(INDEX($S$5:$S$1000,1):INDEX($S$5:$S$1000,$R40-4),"Macro",INDEX($P$5:$P$1000,1):INDEX($P$5:$P$1000,$R40-4),INDEX($P$5:$P$1000,$R40-4))&amp;"."&amp;COUNTIFS($R$5:$R40,$R40,$S$5:$S40,"Sub"))))</f>
        <v/>
      </c>
      <c r="B40" s="62" t="n"/>
      <c r="C40" s="63" t="n"/>
      <c r="D40" s="62" t="n"/>
      <c r="E40" s="64" t="n"/>
      <c r="F40" s="64" t="n"/>
      <c r="G40" s="65" t="n"/>
      <c r="H40" s="66" t="n"/>
      <c r="I40" s="66" t="n"/>
      <c r="J40" s="66" t="n"/>
      <c r="K40" s="66" t="n"/>
      <c r="L40" s="67">
        <f>IF(NOT((COUNTA($B40:$K40)+COUNTA($N40))&gt;0),"",IF(N($T40)&gt;0,$AB40,IFERROR(LOOKUP(2,1/(H40:K40&lt;&gt;""),H40:K40),0)))</f>
        <v/>
      </c>
      <c r="M40" s="61">
        <f>IF(L40="","",IF(L40&gt;=1,"Completado",IF(L40&gt;0,"En curso","Pendiente")))</f>
        <v/>
      </c>
      <c r="N40" s="62" t="n"/>
      <c r="O40" s="68">
        <f>IF(NOT((COUNTA($B40:$K40)+COUNTA($N40))&gt;0),"",IF((IF(AND($S40="Macro",$B40=""),"Macroactividad vacía"&amp;" · ","")&amp;IF(AND($B40&lt;&gt;"",$C40&lt;&gt;""),"Escriba la subactividad en otra fila, debajo de su macroactividad"&amp;" · ","")&amp;IF(AND($S40="Sub",N($R40)=0),"Subactividad sin macroactividad arriba"&amp;" · ","")&amp;IF($D40="","Sin responsable"&amp;" · ","")&amp;IF($E40="","Sin fecha de inicio"&amp;" · ","")&amp;IF($F40="","Sin fecha límite"&amp;" · ","")&amp;IF(OR(AND($E40&lt;&gt;"",NOT(ISNUMBER($E40))),AND($F40&lt;&gt;"",NOT(ISNUMBER($F40)))),"Fecha no válida"&amp;" · ","")&amp;IF(AND(ISNUMBER($E40),ISNUMBER($F40),$E40&gt;$F40),"Inicio posterior a fecha límite"&amp;" · ","")&amp;IF(AND($S40="Macro",$G40=""),"Peso vacío"&amp;" · ","")&amp;IF(AND($S40="Macro",$G40&lt;&gt;"",OR(NOT(ISNUMBER($G40)),$G40&lt;=0,$G40&gt;1)),"Peso fuera de rango"&amp;" · ","")&amp;IF(AND($S40="Sub",$G40&lt;&gt;""),"Las subactividades no llevan peso"&amp;" · ","")&amp;IF(AND($S40="Macro",ABS(SUMIFS($G$5:$G$1000,$P$5:$P$1000,$P40,$S$5:$S$1000,"Macro")-1)&gt;0.0001),"Pesos del mes suman "&amp;TEXT(SUMIFS($G$5:$G$1000,$P$5:$P$1000,$P40,$S$5:$S$1000,"Macro"),"0%")&amp;" · ","")&amp;IF(AND(N($T40)&gt;0,COUNT($H40:$K40)&gt;0),"Con subactividades: deje vacías las semanas (se calculan solas)"&amp;" · ","")&amp;IF((COUNTIF($H40:$K40,"&gt;1")+COUNTIF($H40:$K40,"&lt;0")+COUNTA($H40:$K40)-COUNT($H40:$K40))&gt;0,"Avance fuera de rango 0-100%"&amp;" · ","")&amp;IF(OR(AND($I40&lt;&gt;"",$I40&lt;$H40),AND($J40&lt;&gt;"",$J40&lt;MAX($H40:$I40)),AND($K40&lt;&gt;"",$K40&lt;MAX($H40:$J40))),"Avance semanal decreciente"&amp;" · ","")&amp;IF(AND(ISNUMBER($F40),$F40&lt;FechaRef,N($L40)&lt;1),"Vencida"&amp;" · ","")&amp;IF(AND(ObsObligatoria="Sí",ISNUMBER($F40),$F40&lt;FechaRef,N($L40)&lt;1,$N40=""),"Vencida sin observación"&amp;" · ",""))="","✔ OK","⚠ "&amp;LEFT(IF(AND($S40="Macro",$B40=""),"Macroactividad vacía"&amp;" · ","")&amp;IF(AND($B40&lt;&gt;"",$C40&lt;&gt;""),"Escriba la subactividad en otra fila, debajo de su macroactividad"&amp;" · ","")&amp;IF(AND($S40="Sub",N($R40)=0),"Subactividad sin macroactividad arriba"&amp;" · ","")&amp;IF($D40="","Sin responsable"&amp;" · ","")&amp;IF($E40="","Sin fecha de inicio"&amp;" · ","")&amp;IF($F40="","Sin fecha límite"&amp;" · ","")&amp;IF(OR(AND($E40&lt;&gt;"",NOT(ISNUMBER($E40))),AND($F40&lt;&gt;"",NOT(ISNUMBER($F40)))),"Fecha no válida"&amp;" · ","")&amp;IF(AND(ISNUMBER($E40),ISNUMBER($F40),$E40&gt;$F40),"Inicio posterior a fecha límite"&amp;" · ","")&amp;IF(AND($S40="Macro",$G40=""),"Peso vacío"&amp;" · ","")&amp;IF(AND($S40="Macro",$G40&lt;&gt;"",OR(NOT(ISNUMBER($G40)),$G40&lt;=0,$G40&gt;1)),"Peso fuera de rango"&amp;" · ","")&amp;IF(AND($S40="Sub",$G40&lt;&gt;""),"Las subactividades no llevan peso"&amp;" · ","")&amp;IF(AND($S40="Macro",ABS(SUMIFS($G$5:$G$1000,$P$5:$P$1000,$P40,$S$5:$S$1000,"Macro")-1)&gt;0.0001),"Pesos del mes suman "&amp;TEXT(SUMIFS($G$5:$G$1000,$P$5:$P$1000,$P40,$S$5:$S$1000,"Macro"),"0%")&amp;" · ","")&amp;IF(AND(N($T40)&gt;0,COUNT($H40:$K40)&gt;0),"Con subactividades: deje vacías las semanas (se calculan solas)"&amp;" · ","")&amp;IF((COUNTIF($H40:$K40,"&gt;1")+COUNTIF($H40:$K40,"&lt;0")+COUNTA($H40:$K40)-COUNT($H40:$K40))&gt;0,"Avance fuera de rango 0-100%"&amp;" · ","")&amp;IF(OR(AND($I40&lt;&gt;"",$I40&lt;$H40),AND($J40&lt;&gt;"",$J40&lt;MAX($H40:$I40)),AND($K40&lt;&gt;"",$K40&lt;MAX($H40:$J40))),"Avance semanal decreciente"&amp;" · ","")&amp;IF(AND(ISNUMBER($F40),$F40&lt;FechaRef,N($L40)&lt;1),"Vencida"&amp;" · ","")&amp;IF(AND(ObsObligatoria="Sí",ISNUMBER($F40),$F40&lt;FechaRef,N($L40)&lt;1,$N40=""),"Vencida sin observación"&amp;" · ",""),LEN(IF(AND($S40="Macro",$B40=""),"Macroactividad vacía"&amp;" · ","")&amp;IF(AND($B40&lt;&gt;"",$C40&lt;&gt;""),"Escriba la subactividad en otra fila, debajo de su macroactividad"&amp;" · ","")&amp;IF(AND($S40="Sub",N($R40)=0),"Subactividad sin macroactividad arriba"&amp;" · ","")&amp;IF($D40="","Sin responsable"&amp;" · ","")&amp;IF($E40="","Sin fecha de inicio"&amp;" · ","")&amp;IF($F40="","Sin fecha límite"&amp;" · ","")&amp;IF(OR(AND($E40&lt;&gt;"",NOT(ISNUMBER($E40))),AND($F40&lt;&gt;"",NOT(ISNUMBER($F40)))),"Fecha no válida"&amp;" · ","")&amp;IF(AND(ISNUMBER($E40),ISNUMBER($F40),$E40&gt;$F40),"Inicio posterior a fecha límite"&amp;" · ","")&amp;IF(AND($S40="Macro",$G40=""),"Peso vacío"&amp;" · ","")&amp;IF(AND($S40="Macro",$G40&lt;&gt;"",OR(NOT(ISNUMBER($G40)),$G40&lt;=0,$G40&gt;1)),"Peso fuera de rango"&amp;" · ","")&amp;IF(AND($S40="Sub",$G40&lt;&gt;""),"Las subactividades no llevan peso"&amp;" · ","")&amp;IF(AND($S40="Macro",ABS(SUMIFS($G$5:$G$1000,$P$5:$P$1000,$P40,$S$5:$S$1000,"Macro")-1)&gt;0.0001),"Pesos del mes suman "&amp;TEXT(SUMIFS($G$5:$G$1000,$P$5:$P$1000,$P40,$S$5:$S$1000,"Macro"),"0%")&amp;" · ","")&amp;IF(AND(N($T40)&gt;0,COUNT($H40:$K40)&gt;0),"Con subactividades: deje vacías las semanas (se calculan solas)"&amp;" · ","")&amp;IF((COUNTIF($H40:$K40,"&gt;1")+COUNTIF($H40:$K40,"&lt;0")+COUNTA($H40:$K40)-COUNT($H40:$K40))&gt;0,"Avance fuera de rango 0-100%"&amp;" · ","")&amp;IF(OR(AND($I40&lt;&gt;"",$I40&lt;$H40),AND($J40&lt;&gt;"",$J40&lt;MAX($H40:$I40)),AND($K40&lt;&gt;"",$K40&lt;MAX($H40:$J40))),"Avance semanal decreciente"&amp;" · ","")&amp;IF(AND(ISNUMBER($F40),$F40&lt;FechaRef,N($L40)&lt;1),"Vencida"&amp;" · ","")&amp;IF(AND(ObsObligatoria="Sí",ISNUMBER($F40),$F40&lt;FechaRef,N($L40)&lt;1,$N40=""),"Vencida sin observación"&amp;" · ",""))-3)))</f>
        <v/>
      </c>
      <c r="P40" s="69">
        <f>IF(NOT((COUNTA($B40:$K40)+COUNTA($N40))&gt;0),"",IF(AND($S40="Sub",N($R40)&gt;0),IF(ISNUMBER(INDEX($E$5:$E$1000,$R40-4)),DATE(YEAR(INDEX($E$5:$E$1000,$R40-4)),MONTH(INDEX($E$5:$E$1000,$R40-4)),1),IF(ISNUMBER(INDEX($F$5:$F$1000,$R40-4)),DATE(YEAR(INDEX($F$5:$F$1000,$R40-4)),MONTH(INDEX($F$5:$F$1000,$R40-4)),1),MesCiclo)),IF(ISNUMBER($E40),DATE(YEAR($E40),MONTH($E40),1),IF(ISNUMBER($F40),DATE(YEAR($F40),MONTH($F40),1),MesCiclo))))</f>
        <v/>
      </c>
      <c r="Q40" s="70">
        <f>IF(OR($P40="",$P40&lt;&gt;MesCiclo),"",COUNTIF($P$5:$P40,MesCiclo))</f>
        <v/>
      </c>
      <c r="R40" s="70">
        <f>IF($S40="","",IF($S40="Macro",ROW(),IFERROR(LOOKUP(2,1/($S$5:$S40="Macro"),ROW($S$5:$S40)),0)))</f>
        <v/>
      </c>
      <c r="S40" s="70">
        <f>IF(NOT((COUNTA($B40:$K40)+COUNTA($N40))&gt;0),"",IF($B40&lt;&gt;"","Macro",IF($C40&lt;&gt;"","Sub","Macro")))</f>
        <v/>
      </c>
      <c r="T40" s="70">
        <f>IF($S40="Macro",COUNTIFS($R$5:$R$1000,ROW(),$S$5:$S$1000,"Sub"),"")</f>
        <v/>
      </c>
      <c r="U40" s="70">
        <f>IF($S40="","",IF(ISNUMBER($H40),$H40,0))</f>
        <v/>
      </c>
      <c r="V40" s="70">
        <f>IF($S40="","",IF(ISNUMBER($I40),$I40,$U40))</f>
        <v/>
      </c>
      <c r="W40" s="70">
        <f>IF($S40="","",IF(ISNUMBER($J40),$J40,$V40))</f>
        <v/>
      </c>
      <c r="X40" s="70">
        <f>IF($S40="","",IF(ISNUMBER($K40),$K40,$W40))</f>
        <v/>
      </c>
      <c r="Y40" s="70">
        <f>IF($S40="","",IF(N($T40)&gt;0,AVERAGEIFS($U$5:$U$1000,$R$5:$R$1000,ROW(),$S$5:$S$1000,"Sub"),$U40))</f>
        <v/>
      </c>
      <c r="Z40" s="70">
        <f>IF($S40="","",IF(N($T40)&gt;0,AVERAGEIFS($V$5:$V$1000,$R$5:$R$1000,ROW(),$S$5:$S$1000,"Sub"),$V40))</f>
        <v/>
      </c>
      <c r="AA40" s="70">
        <f>IF($S40="","",IF(N($T40)&gt;0,AVERAGEIFS($W$5:$W$1000,$R$5:$R$1000,ROW(),$S$5:$S$1000,"Sub"),$W40))</f>
        <v/>
      </c>
      <c r="AB40" s="70">
        <f>IF($S40="","",IF(N($T40)&gt;0,AVERAGEIFS($X$5:$X$1000,$R$5:$R$1000,ROW(),$S$5:$S$1000,"Sub"),$X40))</f>
        <v/>
      </c>
    </row>
    <row r="41">
      <c r="A41" s="61">
        <f>IF(NOT((COUNTA($B41:$K41)+COUNTA($N41))&gt;0),"",IF($S41="Macro",COUNTIFS($S$5:$S41,"Macro",$P$5:$P41,$P41),IF(N($R41)=0,"?",COUNTIFS(INDEX($S$5:$S$1000,1):INDEX($S$5:$S$1000,$R41-4),"Macro",INDEX($P$5:$P$1000,1):INDEX($P$5:$P$1000,$R41-4),INDEX($P$5:$P$1000,$R41-4))&amp;"."&amp;COUNTIFS($R$5:$R41,$R41,$S$5:$S41,"Sub"))))</f>
        <v/>
      </c>
      <c r="B41" s="62" t="n"/>
      <c r="C41" s="63" t="n"/>
      <c r="D41" s="62" t="n"/>
      <c r="E41" s="64" t="n"/>
      <c r="F41" s="64" t="n"/>
      <c r="G41" s="65" t="n"/>
      <c r="H41" s="66" t="n"/>
      <c r="I41" s="66" t="n"/>
      <c r="J41" s="66" t="n"/>
      <c r="K41" s="66" t="n"/>
      <c r="L41" s="67">
        <f>IF(NOT((COUNTA($B41:$K41)+COUNTA($N41))&gt;0),"",IF(N($T41)&gt;0,$AB41,IFERROR(LOOKUP(2,1/(H41:K41&lt;&gt;""),H41:K41),0)))</f>
        <v/>
      </c>
      <c r="M41" s="61">
        <f>IF(L41="","",IF(L41&gt;=1,"Completado",IF(L41&gt;0,"En curso","Pendiente")))</f>
        <v/>
      </c>
      <c r="N41" s="62" t="n"/>
      <c r="O41" s="68">
        <f>IF(NOT((COUNTA($B41:$K41)+COUNTA($N41))&gt;0),"",IF((IF(AND($S41="Macro",$B41=""),"Macroactividad vacía"&amp;" · ","")&amp;IF(AND($B41&lt;&gt;"",$C41&lt;&gt;""),"Escriba la subactividad en otra fila, debajo de su macroactividad"&amp;" · ","")&amp;IF(AND($S41="Sub",N($R41)=0),"Subactividad sin macroactividad arriba"&amp;" · ","")&amp;IF($D41="","Sin responsable"&amp;" · ","")&amp;IF($E41="","Sin fecha de inicio"&amp;" · ","")&amp;IF($F41="","Sin fecha límite"&amp;" · ","")&amp;IF(OR(AND($E41&lt;&gt;"",NOT(ISNUMBER($E41))),AND($F41&lt;&gt;"",NOT(ISNUMBER($F41)))),"Fecha no válida"&amp;" · ","")&amp;IF(AND(ISNUMBER($E41),ISNUMBER($F41),$E41&gt;$F41),"Inicio posterior a fecha límite"&amp;" · ","")&amp;IF(AND($S41="Macro",$G41=""),"Peso vacío"&amp;" · ","")&amp;IF(AND($S41="Macro",$G41&lt;&gt;"",OR(NOT(ISNUMBER($G41)),$G41&lt;=0,$G41&gt;1)),"Peso fuera de rango"&amp;" · ","")&amp;IF(AND($S41="Sub",$G41&lt;&gt;""),"Las subactividades no llevan peso"&amp;" · ","")&amp;IF(AND($S41="Macro",ABS(SUMIFS($G$5:$G$1000,$P$5:$P$1000,$P41,$S$5:$S$1000,"Macro")-1)&gt;0.0001),"Pesos del mes suman "&amp;TEXT(SUMIFS($G$5:$G$1000,$P$5:$P$1000,$P41,$S$5:$S$1000,"Macro"),"0%")&amp;" · ","")&amp;IF(AND(N($T41)&gt;0,COUNT($H41:$K41)&gt;0),"Con subactividades: deje vacías las semanas (se calculan solas)"&amp;" · ","")&amp;IF((COUNTIF($H41:$K41,"&gt;1")+COUNTIF($H41:$K41,"&lt;0")+COUNTA($H41:$K41)-COUNT($H41:$K41))&gt;0,"Avance fuera de rango 0-100%"&amp;" · ","")&amp;IF(OR(AND($I41&lt;&gt;"",$I41&lt;$H41),AND($J41&lt;&gt;"",$J41&lt;MAX($H41:$I41)),AND($K41&lt;&gt;"",$K41&lt;MAX($H41:$J41))),"Avance semanal decreciente"&amp;" · ","")&amp;IF(AND(ISNUMBER($F41),$F41&lt;FechaRef,N($L41)&lt;1),"Vencida"&amp;" · ","")&amp;IF(AND(ObsObligatoria="Sí",ISNUMBER($F41),$F41&lt;FechaRef,N($L41)&lt;1,$N41=""),"Vencida sin observación"&amp;" · ",""))="","✔ OK","⚠ "&amp;LEFT(IF(AND($S41="Macro",$B41=""),"Macroactividad vacía"&amp;" · ","")&amp;IF(AND($B41&lt;&gt;"",$C41&lt;&gt;""),"Escriba la subactividad en otra fila, debajo de su macroactividad"&amp;" · ","")&amp;IF(AND($S41="Sub",N($R41)=0),"Subactividad sin macroactividad arriba"&amp;" · ","")&amp;IF($D41="","Sin responsable"&amp;" · ","")&amp;IF($E41="","Sin fecha de inicio"&amp;" · ","")&amp;IF($F41="","Sin fecha límite"&amp;" · ","")&amp;IF(OR(AND($E41&lt;&gt;"",NOT(ISNUMBER($E41))),AND($F41&lt;&gt;"",NOT(ISNUMBER($F41)))),"Fecha no válida"&amp;" · ","")&amp;IF(AND(ISNUMBER($E41),ISNUMBER($F41),$E41&gt;$F41),"Inicio posterior a fecha límite"&amp;" · ","")&amp;IF(AND($S41="Macro",$G41=""),"Peso vacío"&amp;" · ","")&amp;IF(AND($S41="Macro",$G41&lt;&gt;"",OR(NOT(ISNUMBER($G41)),$G41&lt;=0,$G41&gt;1)),"Peso fuera de rango"&amp;" · ","")&amp;IF(AND($S41="Sub",$G41&lt;&gt;""),"Las subactividades no llevan peso"&amp;" · ","")&amp;IF(AND($S41="Macro",ABS(SUMIFS($G$5:$G$1000,$P$5:$P$1000,$P41,$S$5:$S$1000,"Macro")-1)&gt;0.0001),"Pesos del mes suman "&amp;TEXT(SUMIFS($G$5:$G$1000,$P$5:$P$1000,$P41,$S$5:$S$1000,"Macro"),"0%")&amp;" · ","")&amp;IF(AND(N($T41)&gt;0,COUNT($H41:$K41)&gt;0),"Con subactividades: deje vacías las semanas (se calculan solas)"&amp;" · ","")&amp;IF((COUNTIF($H41:$K41,"&gt;1")+COUNTIF($H41:$K41,"&lt;0")+COUNTA($H41:$K41)-COUNT($H41:$K41))&gt;0,"Avance fuera de rango 0-100%"&amp;" · ","")&amp;IF(OR(AND($I41&lt;&gt;"",$I41&lt;$H41),AND($J41&lt;&gt;"",$J41&lt;MAX($H41:$I41)),AND($K41&lt;&gt;"",$K41&lt;MAX($H41:$J41))),"Avance semanal decreciente"&amp;" · ","")&amp;IF(AND(ISNUMBER($F41),$F41&lt;FechaRef,N($L41)&lt;1),"Vencida"&amp;" · ","")&amp;IF(AND(ObsObligatoria="Sí",ISNUMBER($F41),$F41&lt;FechaRef,N($L41)&lt;1,$N41=""),"Vencida sin observación"&amp;" · ",""),LEN(IF(AND($S41="Macro",$B41=""),"Macroactividad vacía"&amp;" · ","")&amp;IF(AND($B41&lt;&gt;"",$C41&lt;&gt;""),"Escriba la subactividad en otra fila, debajo de su macroactividad"&amp;" · ","")&amp;IF(AND($S41="Sub",N($R41)=0),"Subactividad sin macroactividad arriba"&amp;" · ","")&amp;IF($D41="","Sin responsable"&amp;" · ","")&amp;IF($E41="","Sin fecha de inicio"&amp;" · ","")&amp;IF($F41="","Sin fecha límite"&amp;" · ","")&amp;IF(OR(AND($E41&lt;&gt;"",NOT(ISNUMBER($E41))),AND($F41&lt;&gt;"",NOT(ISNUMBER($F41)))),"Fecha no válida"&amp;" · ","")&amp;IF(AND(ISNUMBER($E41),ISNUMBER($F41),$E41&gt;$F41),"Inicio posterior a fecha límite"&amp;" · ","")&amp;IF(AND($S41="Macro",$G41=""),"Peso vacío"&amp;" · ","")&amp;IF(AND($S41="Macro",$G41&lt;&gt;"",OR(NOT(ISNUMBER($G41)),$G41&lt;=0,$G41&gt;1)),"Peso fuera de rango"&amp;" · ","")&amp;IF(AND($S41="Sub",$G41&lt;&gt;""),"Las subactividades no llevan peso"&amp;" · ","")&amp;IF(AND($S41="Macro",ABS(SUMIFS($G$5:$G$1000,$P$5:$P$1000,$P41,$S$5:$S$1000,"Macro")-1)&gt;0.0001),"Pesos del mes suman "&amp;TEXT(SUMIFS($G$5:$G$1000,$P$5:$P$1000,$P41,$S$5:$S$1000,"Macro"),"0%")&amp;" · ","")&amp;IF(AND(N($T41)&gt;0,COUNT($H41:$K41)&gt;0),"Con subactividades: deje vacías las semanas (se calculan solas)"&amp;" · ","")&amp;IF((COUNTIF($H41:$K41,"&gt;1")+COUNTIF($H41:$K41,"&lt;0")+COUNTA($H41:$K41)-COUNT($H41:$K41))&gt;0,"Avance fuera de rango 0-100%"&amp;" · ","")&amp;IF(OR(AND($I41&lt;&gt;"",$I41&lt;$H41),AND($J41&lt;&gt;"",$J41&lt;MAX($H41:$I41)),AND($K41&lt;&gt;"",$K41&lt;MAX($H41:$J41))),"Avance semanal decreciente"&amp;" · ","")&amp;IF(AND(ISNUMBER($F41),$F41&lt;FechaRef,N($L41)&lt;1),"Vencida"&amp;" · ","")&amp;IF(AND(ObsObligatoria="Sí",ISNUMBER($F41),$F41&lt;FechaRef,N($L41)&lt;1,$N41=""),"Vencida sin observación"&amp;" · ",""))-3)))</f>
        <v/>
      </c>
      <c r="P41" s="69">
        <f>IF(NOT((COUNTA($B41:$K41)+COUNTA($N41))&gt;0),"",IF(AND($S41="Sub",N($R41)&gt;0),IF(ISNUMBER(INDEX($E$5:$E$1000,$R41-4)),DATE(YEAR(INDEX($E$5:$E$1000,$R41-4)),MONTH(INDEX($E$5:$E$1000,$R41-4)),1),IF(ISNUMBER(INDEX($F$5:$F$1000,$R41-4)),DATE(YEAR(INDEX($F$5:$F$1000,$R41-4)),MONTH(INDEX($F$5:$F$1000,$R41-4)),1),MesCiclo)),IF(ISNUMBER($E41),DATE(YEAR($E41),MONTH($E41),1),IF(ISNUMBER($F41),DATE(YEAR($F41),MONTH($F41),1),MesCiclo))))</f>
        <v/>
      </c>
      <c r="Q41" s="70">
        <f>IF(OR($P41="",$P41&lt;&gt;MesCiclo),"",COUNTIF($P$5:$P41,MesCiclo))</f>
        <v/>
      </c>
      <c r="R41" s="70">
        <f>IF($S41="","",IF($S41="Macro",ROW(),IFERROR(LOOKUP(2,1/($S$5:$S41="Macro"),ROW($S$5:$S41)),0)))</f>
        <v/>
      </c>
      <c r="S41" s="70">
        <f>IF(NOT((COUNTA($B41:$K41)+COUNTA($N41))&gt;0),"",IF($B41&lt;&gt;"","Macro",IF($C41&lt;&gt;"","Sub","Macro")))</f>
        <v/>
      </c>
      <c r="T41" s="70">
        <f>IF($S41="Macro",COUNTIFS($R$5:$R$1000,ROW(),$S$5:$S$1000,"Sub"),"")</f>
        <v/>
      </c>
      <c r="U41" s="70">
        <f>IF($S41="","",IF(ISNUMBER($H41),$H41,0))</f>
        <v/>
      </c>
      <c r="V41" s="70">
        <f>IF($S41="","",IF(ISNUMBER($I41),$I41,$U41))</f>
        <v/>
      </c>
      <c r="W41" s="70">
        <f>IF($S41="","",IF(ISNUMBER($J41),$J41,$V41))</f>
        <v/>
      </c>
      <c r="X41" s="70">
        <f>IF($S41="","",IF(ISNUMBER($K41),$K41,$W41))</f>
        <v/>
      </c>
      <c r="Y41" s="70">
        <f>IF($S41="","",IF(N($T41)&gt;0,AVERAGEIFS($U$5:$U$1000,$R$5:$R$1000,ROW(),$S$5:$S$1000,"Sub"),$U41))</f>
        <v/>
      </c>
      <c r="Z41" s="70">
        <f>IF($S41="","",IF(N($T41)&gt;0,AVERAGEIFS($V$5:$V$1000,$R$5:$R$1000,ROW(),$S$5:$S$1000,"Sub"),$V41))</f>
        <v/>
      </c>
      <c r="AA41" s="70">
        <f>IF($S41="","",IF(N($T41)&gt;0,AVERAGEIFS($W$5:$W$1000,$R$5:$R$1000,ROW(),$S$5:$S$1000,"Sub"),$W41))</f>
        <v/>
      </c>
      <c r="AB41" s="70">
        <f>IF($S41="","",IF(N($T41)&gt;0,AVERAGEIFS($X$5:$X$1000,$R$5:$R$1000,ROW(),$S$5:$S$1000,"Sub"),$X41))</f>
        <v/>
      </c>
    </row>
    <row r="42">
      <c r="A42" s="61">
        <f>IF(NOT((COUNTA($B42:$K42)+COUNTA($N42))&gt;0),"",IF($S42="Macro",COUNTIFS($S$5:$S42,"Macro",$P$5:$P42,$P42),IF(N($R42)=0,"?",COUNTIFS(INDEX($S$5:$S$1000,1):INDEX($S$5:$S$1000,$R42-4),"Macro",INDEX($P$5:$P$1000,1):INDEX($P$5:$P$1000,$R42-4),INDEX($P$5:$P$1000,$R42-4))&amp;"."&amp;COUNTIFS($R$5:$R42,$R42,$S$5:$S42,"Sub"))))</f>
        <v/>
      </c>
      <c r="B42" s="62" t="n"/>
      <c r="C42" s="63" t="n"/>
      <c r="D42" s="62" t="n"/>
      <c r="E42" s="64" t="n"/>
      <c r="F42" s="64" t="n"/>
      <c r="G42" s="65" t="n"/>
      <c r="H42" s="66" t="n"/>
      <c r="I42" s="66" t="n"/>
      <c r="J42" s="66" t="n"/>
      <c r="K42" s="66" t="n"/>
      <c r="L42" s="67">
        <f>IF(NOT((COUNTA($B42:$K42)+COUNTA($N42))&gt;0),"",IF(N($T42)&gt;0,$AB42,IFERROR(LOOKUP(2,1/(H42:K42&lt;&gt;""),H42:K42),0)))</f>
        <v/>
      </c>
      <c r="M42" s="61">
        <f>IF(L42="","",IF(L42&gt;=1,"Completado",IF(L42&gt;0,"En curso","Pendiente")))</f>
        <v/>
      </c>
      <c r="N42" s="62" t="n"/>
      <c r="O42" s="68">
        <f>IF(NOT((COUNTA($B42:$K42)+COUNTA($N42))&gt;0),"",IF((IF(AND($S42="Macro",$B42=""),"Macroactividad vacía"&amp;" · ","")&amp;IF(AND($B42&lt;&gt;"",$C42&lt;&gt;""),"Escriba la subactividad en otra fila, debajo de su macroactividad"&amp;" · ","")&amp;IF(AND($S42="Sub",N($R42)=0),"Subactividad sin macroactividad arriba"&amp;" · ","")&amp;IF($D42="","Sin responsable"&amp;" · ","")&amp;IF($E42="","Sin fecha de inicio"&amp;" · ","")&amp;IF($F42="","Sin fecha límite"&amp;" · ","")&amp;IF(OR(AND($E42&lt;&gt;"",NOT(ISNUMBER($E42))),AND($F42&lt;&gt;"",NOT(ISNUMBER($F42)))),"Fecha no válida"&amp;" · ","")&amp;IF(AND(ISNUMBER($E42),ISNUMBER($F42),$E42&gt;$F42),"Inicio posterior a fecha límite"&amp;" · ","")&amp;IF(AND($S42="Macro",$G42=""),"Peso vacío"&amp;" · ","")&amp;IF(AND($S42="Macro",$G42&lt;&gt;"",OR(NOT(ISNUMBER($G42)),$G42&lt;=0,$G42&gt;1)),"Peso fuera de rango"&amp;" · ","")&amp;IF(AND($S42="Sub",$G42&lt;&gt;""),"Las subactividades no llevan peso"&amp;" · ","")&amp;IF(AND($S42="Macro",ABS(SUMIFS($G$5:$G$1000,$P$5:$P$1000,$P42,$S$5:$S$1000,"Macro")-1)&gt;0.0001),"Pesos del mes suman "&amp;TEXT(SUMIFS($G$5:$G$1000,$P$5:$P$1000,$P42,$S$5:$S$1000,"Macro"),"0%")&amp;" · ","")&amp;IF(AND(N($T42)&gt;0,COUNT($H42:$K42)&gt;0),"Con subactividades: deje vacías las semanas (se calculan solas)"&amp;" · ","")&amp;IF((COUNTIF($H42:$K42,"&gt;1")+COUNTIF($H42:$K42,"&lt;0")+COUNTA($H42:$K42)-COUNT($H42:$K42))&gt;0,"Avance fuera de rango 0-100%"&amp;" · ","")&amp;IF(OR(AND($I42&lt;&gt;"",$I42&lt;$H42),AND($J42&lt;&gt;"",$J42&lt;MAX($H42:$I42)),AND($K42&lt;&gt;"",$K42&lt;MAX($H42:$J42))),"Avance semanal decreciente"&amp;" · ","")&amp;IF(AND(ISNUMBER($F42),$F42&lt;FechaRef,N($L42)&lt;1),"Vencida"&amp;" · ","")&amp;IF(AND(ObsObligatoria="Sí",ISNUMBER($F42),$F42&lt;FechaRef,N($L42)&lt;1,$N42=""),"Vencida sin observación"&amp;" · ",""))="","✔ OK","⚠ "&amp;LEFT(IF(AND($S42="Macro",$B42=""),"Macroactividad vacía"&amp;" · ","")&amp;IF(AND($B42&lt;&gt;"",$C42&lt;&gt;""),"Escriba la subactividad en otra fila, debajo de su macroactividad"&amp;" · ","")&amp;IF(AND($S42="Sub",N($R42)=0),"Subactividad sin macroactividad arriba"&amp;" · ","")&amp;IF($D42="","Sin responsable"&amp;" · ","")&amp;IF($E42="","Sin fecha de inicio"&amp;" · ","")&amp;IF($F42="","Sin fecha límite"&amp;" · ","")&amp;IF(OR(AND($E42&lt;&gt;"",NOT(ISNUMBER($E42))),AND($F42&lt;&gt;"",NOT(ISNUMBER($F42)))),"Fecha no válida"&amp;" · ","")&amp;IF(AND(ISNUMBER($E42),ISNUMBER($F42),$E42&gt;$F42),"Inicio posterior a fecha límite"&amp;" · ","")&amp;IF(AND($S42="Macro",$G42=""),"Peso vacío"&amp;" · ","")&amp;IF(AND($S42="Macro",$G42&lt;&gt;"",OR(NOT(ISNUMBER($G42)),$G42&lt;=0,$G42&gt;1)),"Peso fuera de rango"&amp;" · ","")&amp;IF(AND($S42="Sub",$G42&lt;&gt;""),"Las subactividades no llevan peso"&amp;" · ","")&amp;IF(AND($S42="Macro",ABS(SUMIFS($G$5:$G$1000,$P$5:$P$1000,$P42,$S$5:$S$1000,"Macro")-1)&gt;0.0001),"Pesos del mes suman "&amp;TEXT(SUMIFS($G$5:$G$1000,$P$5:$P$1000,$P42,$S$5:$S$1000,"Macro"),"0%")&amp;" · ","")&amp;IF(AND(N($T42)&gt;0,COUNT($H42:$K42)&gt;0),"Con subactividades: deje vacías las semanas (se calculan solas)"&amp;" · ","")&amp;IF((COUNTIF($H42:$K42,"&gt;1")+COUNTIF($H42:$K42,"&lt;0")+COUNTA($H42:$K42)-COUNT($H42:$K42))&gt;0,"Avance fuera de rango 0-100%"&amp;" · ","")&amp;IF(OR(AND($I42&lt;&gt;"",$I42&lt;$H42),AND($J42&lt;&gt;"",$J42&lt;MAX($H42:$I42)),AND($K42&lt;&gt;"",$K42&lt;MAX($H42:$J42))),"Avance semanal decreciente"&amp;" · ","")&amp;IF(AND(ISNUMBER($F42),$F42&lt;FechaRef,N($L42)&lt;1),"Vencida"&amp;" · ","")&amp;IF(AND(ObsObligatoria="Sí",ISNUMBER($F42),$F42&lt;FechaRef,N($L42)&lt;1,$N42=""),"Vencida sin observación"&amp;" · ",""),LEN(IF(AND($S42="Macro",$B42=""),"Macroactividad vacía"&amp;" · ","")&amp;IF(AND($B42&lt;&gt;"",$C42&lt;&gt;""),"Escriba la subactividad en otra fila, debajo de su macroactividad"&amp;" · ","")&amp;IF(AND($S42="Sub",N($R42)=0),"Subactividad sin macroactividad arriba"&amp;" · ","")&amp;IF($D42="","Sin responsable"&amp;" · ","")&amp;IF($E42="","Sin fecha de inicio"&amp;" · ","")&amp;IF($F42="","Sin fecha límite"&amp;" · ","")&amp;IF(OR(AND($E42&lt;&gt;"",NOT(ISNUMBER($E42))),AND($F42&lt;&gt;"",NOT(ISNUMBER($F42)))),"Fecha no válida"&amp;" · ","")&amp;IF(AND(ISNUMBER($E42),ISNUMBER($F42),$E42&gt;$F42),"Inicio posterior a fecha límite"&amp;" · ","")&amp;IF(AND($S42="Macro",$G42=""),"Peso vacío"&amp;" · ","")&amp;IF(AND($S42="Macro",$G42&lt;&gt;"",OR(NOT(ISNUMBER($G42)),$G42&lt;=0,$G42&gt;1)),"Peso fuera de rango"&amp;" · ","")&amp;IF(AND($S42="Sub",$G42&lt;&gt;""),"Las subactividades no llevan peso"&amp;" · ","")&amp;IF(AND($S42="Macro",ABS(SUMIFS($G$5:$G$1000,$P$5:$P$1000,$P42,$S$5:$S$1000,"Macro")-1)&gt;0.0001),"Pesos del mes suman "&amp;TEXT(SUMIFS($G$5:$G$1000,$P$5:$P$1000,$P42,$S$5:$S$1000,"Macro"),"0%")&amp;" · ","")&amp;IF(AND(N($T42)&gt;0,COUNT($H42:$K42)&gt;0),"Con subactividades: deje vacías las semanas (se calculan solas)"&amp;" · ","")&amp;IF((COUNTIF($H42:$K42,"&gt;1")+COUNTIF($H42:$K42,"&lt;0")+COUNTA($H42:$K42)-COUNT($H42:$K42))&gt;0,"Avance fuera de rango 0-100%"&amp;" · ","")&amp;IF(OR(AND($I42&lt;&gt;"",$I42&lt;$H42),AND($J42&lt;&gt;"",$J42&lt;MAX($H42:$I42)),AND($K42&lt;&gt;"",$K42&lt;MAX($H42:$J42))),"Avance semanal decreciente"&amp;" · ","")&amp;IF(AND(ISNUMBER($F42),$F42&lt;FechaRef,N($L42)&lt;1),"Vencida"&amp;" · ","")&amp;IF(AND(ObsObligatoria="Sí",ISNUMBER($F42),$F42&lt;FechaRef,N($L42)&lt;1,$N42=""),"Vencida sin observación"&amp;" · ",""))-3)))</f>
        <v/>
      </c>
      <c r="P42" s="69">
        <f>IF(NOT((COUNTA($B42:$K42)+COUNTA($N42))&gt;0),"",IF(AND($S42="Sub",N($R42)&gt;0),IF(ISNUMBER(INDEX($E$5:$E$1000,$R42-4)),DATE(YEAR(INDEX($E$5:$E$1000,$R42-4)),MONTH(INDEX($E$5:$E$1000,$R42-4)),1),IF(ISNUMBER(INDEX($F$5:$F$1000,$R42-4)),DATE(YEAR(INDEX($F$5:$F$1000,$R42-4)),MONTH(INDEX($F$5:$F$1000,$R42-4)),1),MesCiclo)),IF(ISNUMBER($E42),DATE(YEAR($E42),MONTH($E42),1),IF(ISNUMBER($F42),DATE(YEAR($F42),MONTH($F42),1),MesCiclo))))</f>
        <v/>
      </c>
      <c r="Q42" s="70">
        <f>IF(OR($P42="",$P42&lt;&gt;MesCiclo),"",COUNTIF($P$5:$P42,MesCiclo))</f>
        <v/>
      </c>
      <c r="R42" s="70">
        <f>IF($S42="","",IF($S42="Macro",ROW(),IFERROR(LOOKUP(2,1/($S$5:$S42="Macro"),ROW($S$5:$S42)),0)))</f>
        <v/>
      </c>
      <c r="S42" s="70">
        <f>IF(NOT((COUNTA($B42:$K42)+COUNTA($N42))&gt;0),"",IF($B42&lt;&gt;"","Macro",IF($C42&lt;&gt;"","Sub","Macro")))</f>
        <v/>
      </c>
      <c r="T42" s="70">
        <f>IF($S42="Macro",COUNTIFS($R$5:$R$1000,ROW(),$S$5:$S$1000,"Sub"),"")</f>
        <v/>
      </c>
      <c r="U42" s="70">
        <f>IF($S42="","",IF(ISNUMBER($H42),$H42,0))</f>
        <v/>
      </c>
      <c r="V42" s="70">
        <f>IF($S42="","",IF(ISNUMBER($I42),$I42,$U42))</f>
        <v/>
      </c>
      <c r="W42" s="70">
        <f>IF($S42="","",IF(ISNUMBER($J42),$J42,$V42))</f>
        <v/>
      </c>
      <c r="X42" s="70">
        <f>IF($S42="","",IF(ISNUMBER($K42),$K42,$W42))</f>
        <v/>
      </c>
      <c r="Y42" s="70">
        <f>IF($S42="","",IF(N($T42)&gt;0,AVERAGEIFS($U$5:$U$1000,$R$5:$R$1000,ROW(),$S$5:$S$1000,"Sub"),$U42))</f>
        <v/>
      </c>
      <c r="Z42" s="70">
        <f>IF($S42="","",IF(N($T42)&gt;0,AVERAGEIFS($V$5:$V$1000,$R$5:$R$1000,ROW(),$S$5:$S$1000,"Sub"),$V42))</f>
        <v/>
      </c>
      <c r="AA42" s="70">
        <f>IF($S42="","",IF(N($T42)&gt;0,AVERAGEIFS($W$5:$W$1000,$R$5:$R$1000,ROW(),$S$5:$S$1000,"Sub"),$W42))</f>
        <v/>
      </c>
      <c r="AB42" s="70">
        <f>IF($S42="","",IF(N($T42)&gt;0,AVERAGEIFS($X$5:$X$1000,$R$5:$R$1000,ROW(),$S$5:$S$1000,"Sub"),$X42))</f>
        <v/>
      </c>
    </row>
    <row r="43">
      <c r="A43" s="61">
        <f>IF(NOT((COUNTA($B43:$K43)+COUNTA($N43))&gt;0),"",IF($S43="Macro",COUNTIFS($S$5:$S43,"Macro",$P$5:$P43,$P43),IF(N($R43)=0,"?",COUNTIFS(INDEX($S$5:$S$1000,1):INDEX($S$5:$S$1000,$R43-4),"Macro",INDEX($P$5:$P$1000,1):INDEX($P$5:$P$1000,$R43-4),INDEX($P$5:$P$1000,$R43-4))&amp;"."&amp;COUNTIFS($R$5:$R43,$R43,$S$5:$S43,"Sub"))))</f>
        <v/>
      </c>
      <c r="B43" s="62" t="n"/>
      <c r="C43" s="63" t="n"/>
      <c r="D43" s="62" t="n"/>
      <c r="E43" s="64" t="n"/>
      <c r="F43" s="64" t="n"/>
      <c r="G43" s="65" t="n"/>
      <c r="H43" s="66" t="n"/>
      <c r="I43" s="66" t="n"/>
      <c r="J43" s="66" t="n"/>
      <c r="K43" s="66" t="n"/>
      <c r="L43" s="67">
        <f>IF(NOT((COUNTA($B43:$K43)+COUNTA($N43))&gt;0),"",IF(N($T43)&gt;0,$AB43,IFERROR(LOOKUP(2,1/(H43:K43&lt;&gt;""),H43:K43),0)))</f>
        <v/>
      </c>
      <c r="M43" s="61">
        <f>IF(L43="","",IF(L43&gt;=1,"Completado",IF(L43&gt;0,"En curso","Pendiente")))</f>
        <v/>
      </c>
      <c r="N43" s="62" t="n"/>
      <c r="O43" s="68">
        <f>IF(NOT((COUNTA($B43:$K43)+COUNTA($N43))&gt;0),"",IF((IF(AND($S43="Macro",$B43=""),"Macroactividad vacía"&amp;" · ","")&amp;IF(AND($B43&lt;&gt;"",$C43&lt;&gt;""),"Escriba la subactividad en otra fila, debajo de su macroactividad"&amp;" · ","")&amp;IF(AND($S43="Sub",N($R43)=0),"Subactividad sin macroactividad arriba"&amp;" · ","")&amp;IF($D43="","Sin responsable"&amp;" · ","")&amp;IF($E43="","Sin fecha de inicio"&amp;" · ","")&amp;IF($F43="","Sin fecha límite"&amp;" · ","")&amp;IF(OR(AND($E43&lt;&gt;"",NOT(ISNUMBER($E43))),AND($F43&lt;&gt;"",NOT(ISNUMBER($F43)))),"Fecha no válida"&amp;" · ","")&amp;IF(AND(ISNUMBER($E43),ISNUMBER($F43),$E43&gt;$F43),"Inicio posterior a fecha límite"&amp;" · ","")&amp;IF(AND($S43="Macro",$G43=""),"Peso vacío"&amp;" · ","")&amp;IF(AND($S43="Macro",$G43&lt;&gt;"",OR(NOT(ISNUMBER($G43)),$G43&lt;=0,$G43&gt;1)),"Peso fuera de rango"&amp;" · ","")&amp;IF(AND($S43="Sub",$G43&lt;&gt;""),"Las subactividades no llevan peso"&amp;" · ","")&amp;IF(AND($S43="Macro",ABS(SUMIFS($G$5:$G$1000,$P$5:$P$1000,$P43,$S$5:$S$1000,"Macro")-1)&gt;0.0001),"Pesos del mes suman "&amp;TEXT(SUMIFS($G$5:$G$1000,$P$5:$P$1000,$P43,$S$5:$S$1000,"Macro"),"0%")&amp;" · ","")&amp;IF(AND(N($T43)&gt;0,COUNT($H43:$K43)&gt;0),"Con subactividades: deje vacías las semanas (se calculan solas)"&amp;" · ","")&amp;IF((COUNTIF($H43:$K43,"&gt;1")+COUNTIF($H43:$K43,"&lt;0")+COUNTA($H43:$K43)-COUNT($H43:$K43))&gt;0,"Avance fuera de rango 0-100%"&amp;" · ","")&amp;IF(OR(AND($I43&lt;&gt;"",$I43&lt;$H43),AND($J43&lt;&gt;"",$J43&lt;MAX($H43:$I43)),AND($K43&lt;&gt;"",$K43&lt;MAX($H43:$J43))),"Avance semanal decreciente"&amp;" · ","")&amp;IF(AND(ISNUMBER($F43),$F43&lt;FechaRef,N($L43)&lt;1),"Vencida"&amp;" · ","")&amp;IF(AND(ObsObligatoria="Sí",ISNUMBER($F43),$F43&lt;FechaRef,N($L43)&lt;1,$N43=""),"Vencida sin observación"&amp;" · ",""))="","✔ OK","⚠ "&amp;LEFT(IF(AND($S43="Macro",$B43=""),"Macroactividad vacía"&amp;" · ","")&amp;IF(AND($B43&lt;&gt;"",$C43&lt;&gt;""),"Escriba la subactividad en otra fila, debajo de su macroactividad"&amp;" · ","")&amp;IF(AND($S43="Sub",N($R43)=0),"Subactividad sin macroactividad arriba"&amp;" · ","")&amp;IF($D43="","Sin responsable"&amp;" · ","")&amp;IF($E43="","Sin fecha de inicio"&amp;" · ","")&amp;IF($F43="","Sin fecha límite"&amp;" · ","")&amp;IF(OR(AND($E43&lt;&gt;"",NOT(ISNUMBER($E43))),AND($F43&lt;&gt;"",NOT(ISNUMBER($F43)))),"Fecha no válida"&amp;" · ","")&amp;IF(AND(ISNUMBER($E43),ISNUMBER($F43),$E43&gt;$F43),"Inicio posterior a fecha límite"&amp;" · ","")&amp;IF(AND($S43="Macro",$G43=""),"Peso vacío"&amp;" · ","")&amp;IF(AND($S43="Macro",$G43&lt;&gt;"",OR(NOT(ISNUMBER($G43)),$G43&lt;=0,$G43&gt;1)),"Peso fuera de rango"&amp;" · ","")&amp;IF(AND($S43="Sub",$G43&lt;&gt;""),"Las subactividades no llevan peso"&amp;" · ","")&amp;IF(AND($S43="Macro",ABS(SUMIFS($G$5:$G$1000,$P$5:$P$1000,$P43,$S$5:$S$1000,"Macro")-1)&gt;0.0001),"Pesos del mes suman "&amp;TEXT(SUMIFS($G$5:$G$1000,$P$5:$P$1000,$P43,$S$5:$S$1000,"Macro"),"0%")&amp;" · ","")&amp;IF(AND(N($T43)&gt;0,COUNT($H43:$K43)&gt;0),"Con subactividades: deje vacías las semanas (se calculan solas)"&amp;" · ","")&amp;IF((COUNTIF($H43:$K43,"&gt;1")+COUNTIF($H43:$K43,"&lt;0")+COUNTA($H43:$K43)-COUNT($H43:$K43))&gt;0,"Avance fuera de rango 0-100%"&amp;" · ","")&amp;IF(OR(AND($I43&lt;&gt;"",$I43&lt;$H43),AND($J43&lt;&gt;"",$J43&lt;MAX($H43:$I43)),AND($K43&lt;&gt;"",$K43&lt;MAX($H43:$J43))),"Avance semanal decreciente"&amp;" · ","")&amp;IF(AND(ISNUMBER($F43),$F43&lt;FechaRef,N($L43)&lt;1),"Vencida"&amp;" · ","")&amp;IF(AND(ObsObligatoria="Sí",ISNUMBER($F43),$F43&lt;FechaRef,N($L43)&lt;1,$N43=""),"Vencida sin observación"&amp;" · ",""),LEN(IF(AND($S43="Macro",$B43=""),"Macroactividad vacía"&amp;" · ","")&amp;IF(AND($B43&lt;&gt;"",$C43&lt;&gt;""),"Escriba la subactividad en otra fila, debajo de su macroactividad"&amp;" · ","")&amp;IF(AND($S43="Sub",N($R43)=0),"Subactividad sin macroactividad arriba"&amp;" · ","")&amp;IF($D43="","Sin responsable"&amp;" · ","")&amp;IF($E43="","Sin fecha de inicio"&amp;" · ","")&amp;IF($F43="","Sin fecha límite"&amp;" · ","")&amp;IF(OR(AND($E43&lt;&gt;"",NOT(ISNUMBER($E43))),AND($F43&lt;&gt;"",NOT(ISNUMBER($F43)))),"Fecha no válida"&amp;" · ","")&amp;IF(AND(ISNUMBER($E43),ISNUMBER($F43),$E43&gt;$F43),"Inicio posterior a fecha límite"&amp;" · ","")&amp;IF(AND($S43="Macro",$G43=""),"Peso vacío"&amp;" · ","")&amp;IF(AND($S43="Macro",$G43&lt;&gt;"",OR(NOT(ISNUMBER($G43)),$G43&lt;=0,$G43&gt;1)),"Peso fuera de rango"&amp;" · ","")&amp;IF(AND($S43="Sub",$G43&lt;&gt;""),"Las subactividades no llevan peso"&amp;" · ","")&amp;IF(AND($S43="Macro",ABS(SUMIFS($G$5:$G$1000,$P$5:$P$1000,$P43,$S$5:$S$1000,"Macro")-1)&gt;0.0001),"Pesos del mes suman "&amp;TEXT(SUMIFS($G$5:$G$1000,$P$5:$P$1000,$P43,$S$5:$S$1000,"Macro"),"0%")&amp;" · ","")&amp;IF(AND(N($T43)&gt;0,COUNT($H43:$K43)&gt;0),"Con subactividades: deje vacías las semanas (se calculan solas)"&amp;" · ","")&amp;IF((COUNTIF($H43:$K43,"&gt;1")+COUNTIF($H43:$K43,"&lt;0")+COUNTA($H43:$K43)-COUNT($H43:$K43))&gt;0,"Avance fuera de rango 0-100%"&amp;" · ","")&amp;IF(OR(AND($I43&lt;&gt;"",$I43&lt;$H43),AND($J43&lt;&gt;"",$J43&lt;MAX($H43:$I43)),AND($K43&lt;&gt;"",$K43&lt;MAX($H43:$J43))),"Avance semanal decreciente"&amp;" · ","")&amp;IF(AND(ISNUMBER($F43),$F43&lt;FechaRef,N($L43)&lt;1),"Vencida"&amp;" · ","")&amp;IF(AND(ObsObligatoria="Sí",ISNUMBER($F43),$F43&lt;FechaRef,N($L43)&lt;1,$N43=""),"Vencida sin observación"&amp;" · ",""))-3)))</f>
        <v/>
      </c>
      <c r="P43" s="69">
        <f>IF(NOT((COUNTA($B43:$K43)+COUNTA($N43))&gt;0),"",IF(AND($S43="Sub",N($R43)&gt;0),IF(ISNUMBER(INDEX($E$5:$E$1000,$R43-4)),DATE(YEAR(INDEX($E$5:$E$1000,$R43-4)),MONTH(INDEX($E$5:$E$1000,$R43-4)),1),IF(ISNUMBER(INDEX($F$5:$F$1000,$R43-4)),DATE(YEAR(INDEX($F$5:$F$1000,$R43-4)),MONTH(INDEX($F$5:$F$1000,$R43-4)),1),MesCiclo)),IF(ISNUMBER($E43),DATE(YEAR($E43),MONTH($E43),1),IF(ISNUMBER($F43),DATE(YEAR($F43),MONTH($F43),1),MesCiclo))))</f>
        <v/>
      </c>
      <c r="Q43" s="70">
        <f>IF(OR($P43="",$P43&lt;&gt;MesCiclo),"",COUNTIF($P$5:$P43,MesCiclo))</f>
        <v/>
      </c>
      <c r="R43" s="70">
        <f>IF($S43="","",IF($S43="Macro",ROW(),IFERROR(LOOKUP(2,1/($S$5:$S43="Macro"),ROW($S$5:$S43)),0)))</f>
        <v/>
      </c>
      <c r="S43" s="70">
        <f>IF(NOT((COUNTA($B43:$K43)+COUNTA($N43))&gt;0),"",IF($B43&lt;&gt;"","Macro",IF($C43&lt;&gt;"","Sub","Macro")))</f>
        <v/>
      </c>
      <c r="T43" s="70">
        <f>IF($S43="Macro",COUNTIFS($R$5:$R$1000,ROW(),$S$5:$S$1000,"Sub"),"")</f>
        <v/>
      </c>
      <c r="U43" s="70">
        <f>IF($S43="","",IF(ISNUMBER($H43),$H43,0))</f>
        <v/>
      </c>
      <c r="V43" s="70">
        <f>IF($S43="","",IF(ISNUMBER($I43),$I43,$U43))</f>
        <v/>
      </c>
      <c r="W43" s="70">
        <f>IF($S43="","",IF(ISNUMBER($J43),$J43,$V43))</f>
        <v/>
      </c>
      <c r="X43" s="70">
        <f>IF($S43="","",IF(ISNUMBER($K43),$K43,$W43))</f>
        <v/>
      </c>
      <c r="Y43" s="70">
        <f>IF($S43="","",IF(N($T43)&gt;0,AVERAGEIFS($U$5:$U$1000,$R$5:$R$1000,ROW(),$S$5:$S$1000,"Sub"),$U43))</f>
        <v/>
      </c>
      <c r="Z43" s="70">
        <f>IF($S43="","",IF(N($T43)&gt;0,AVERAGEIFS($V$5:$V$1000,$R$5:$R$1000,ROW(),$S$5:$S$1000,"Sub"),$V43))</f>
        <v/>
      </c>
      <c r="AA43" s="70">
        <f>IF($S43="","",IF(N($T43)&gt;0,AVERAGEIFS($W$5:$W$1000,$R$5:$R$1000,ROW(),$S$5:$S$1000,"Sub"),$W43))</f>
        <v/>
      </c>
      <c r="AB43" s="70">
        <f>IF($S43="","",IF(N($T43)&gt;0,AVERAGEIFS($X$5:$X$1000,$R$5:$R$1000,ROW(),$S$5:$S$1000,"Sub"),$X43))</f>
        <v/>
      </c>
    </row>
    <row r="44">
      <c r="A44" s="61">
        <f>IF(NOT((COUNTA($B44:$K44)+COUNTA($N44))&gt;0),"",IF($S44="Macro",COUNTIFS($S$5:$S44,"Macro",$P$5:$P44,$P44),IF(N($R44)=0,"?",COUNTIFS(INDEX($S$5:$S$1000,1):INDEX($S$5:$S$1000,$R44-4),"Macro",INDEX($P$5:$P$1000,1):INDEX($P$5:$P$1000,$R44-4),INDEX($P$5:$P$1000,$R44-4))&amp;"."&amp;COUNTIFS($R$5:$R44,$R44,$S$5:$S44,"Sub"))))</f>
        <v/>
      </c>
      <c r="B44" s="62" t="n"/>
      <c r="C44" s="63" t="n"/>
      <c r="D44" s="62" t="n"/>
      <c r="E44" s="64" t="n"/>
      <c r="F44" s="64" t="n"/>
      <c r="G44" s="65" t="n"/>
      <c r="H44" s="66" t="n"/>
      <c r="I44" s="66" t="n"/>
      <c r="J44" s="66" t="n"/>
      <c r="K44" s="66" t="n"/>
      <c r="L44" s="67">
        <f>IF(NOT((COUNTA($B44:$K44)+COUNTA($N44))&gt;0),"",IF(N($T44)&gt;0,$AB44,IFERROR(LOOKUP(2,1/(H44:K44&lt;&gt;""),H44:K44),0)))</f>
        <v/>
      </c>
      <c r="M44" s="61">
        <f>IF(L44="","",IF(L44&gt;=1,"Completado",IF(L44&gt;0,"En curso","Pendiente")))</f>
        <v/>
      </c>
      <c r="N44" s="62" t="n"/>
      <c r="O44" s="68">
        <f>IF(NOT((COUNTA($B44:$K44)+COUNTA($N44))&gt;0),"",IF((IF(AND($S44="Macro",$B44=""),"Macroactividad vacía"&amp;" · ","")&amp;IF(AND($B44&lt;&gt;"",$C44&lt;&gt;""),"Escriba la subactividad en otra fila, debajo de su macroactividad"&amp;" · ","")&amp;IF(AND($S44="Sub",N($R44)=0),"Subactividad sin macroactividad arriba"&amp;" · ","")&amp;IF($D44="","Sin responsable"&amp;" · ","")&amp;IF($E44="","Sin fecha de inicio"&amp;" · ","")&amp;IF($F44="","Sin fecha límite"&amp;" · ","")&amp;IF(OR(AND($E44&lt;&gt;"",NOT(ISNUMBER($E44))),AND($F44&lt;&gt;"",NOT(ISNUMBER($F44)))),"Fecha no válida"&amp;" · ","")&amp;IF(AND(ISNUMBER($E44),ISNUMBER($F44),$E44&gt;$F44),"Inicio posterior a fecha límite"&amp;" · ","")&amp;IF(AND($S44="Macro",$G44=""),"Peso vacío"&amp;" · ","")&amp;IF(AND($S44="Macro",$G44&lt;&gt;"",OR(NOT(ISNUMBER($G44)),$G44&lt;=0,$G44&gt;1)),"Peso fuera de rango"&amp;" · ","")&amp;IF(AND($S44="Sub",$G44&lt;&gt;""),"Las subactividades no llevan peso"&amp;" · ","")&amp;IF(AND($S44="Macro",ABS(SUMIFS($G$5:$G$1000,$P$5:$P$1000,$P44,$S$5:$S$1000,"Macro")-1)&gt;0.0001),"Pesos del mes suman "&amp;TEXT(SUMIFS($G$5:$G$1000,$P$5:$P$1000,$P44,$S$5:$S$1000,"Macro"),"0%")&amp;" · ","")&amp;IF(AND(N($T44)&gt;0,COUNT($H44:$K44)&gt;0),"Con subactividades: deje vacías las semanas (se calculan solas)"&amp;" · ","")&amp;IF((COUNTIF($H44:$K44,"&gt;1")+COUNTIF($H44:$K44,"&lt;0")+COUNTA($H44:$K44)-COUNT($H44:$K44))&gt;0,"Avance fuera de rango 0-100%"&amp;" · ","")&amp;IF(OR(AND($I44&lt;&gt;"",$I44&lt;$H44),AND($J44&lt;&gt;"",$J44&lt;MAX($H44:$I44)),AND($K44&lt;&gt;"",$K44&lt;MAX($H44:$J44))),"Avance semanal decreciente"&amp;" · ","")&amp;IF(AND(ISNUMBER($F44),$F44&lt;FechaRef,N($L44)&lt;1),"Vencida"&amp;" · ","")&amp;IF(AND(ObsObligatoria="Sí",ISNUMBER($F44),$F44&lt;FechaRef,N($L44)&lt;1,$N44=""),"Vencida sin observación"&amp;" · ",""))="","✔ OK","⚠ "&amp;LEFT(IF(AND($S44="Macro",$B44=""),"Macroactividad vacía"&amp;" · ","")&amp;IF(AND($B44&lt;&gt;"",$C44&lt;&gt;""),"Escriba la subactividad en otra fila, debajo de su macroactividad"&amp;" · ","")&amp;IF(AND($S44="Sub",N($R44)=0),"Subactividad sin macroactividad arriba"&amp;" · ","")&amp;IF($D44="","Sin responsable"&amp;" · ","")&amp;IF($E44="","Sin fecha de inicio"&amp;" · ","")&amp;IF($F44="","Sin fecha límite"&amp;" · ","")&amp;IF(OR(AND($E44&lt;&gt;"",NOT(ISNUMBER($E44))),AND($F44&lt;&gt;"",NOT(ISNUMBER($F44)))),"Fecha no válida"&amp;" · ","")&amp;IF(AND(ISNUMBER($E44),ISNUMBER($F44),$E44&gt;$F44),"Inicio posterior a fecha límite"&amp;" · ","")&amp;IF(AND($S44="Macro",$G44=""),"Peso vacío"&amp;" · ","")&amp;IF(AND($S44="Macro",$G44&lt;&gt;"",OR(NOT(ISNUMBER($G44)),$G44&lt;=0,$G44&gt;1)),"Peso fuera de rango"&amp;" · ","")&amp;IF(AND($S44="Sub",$G44&lt;&gt;""),"Las subactividades no llevan peso"&amp;" · ","")&amp;IF(AND($S44="Macro",ABS(SUMIFS($G$5:$G$1000,$P$5:$P$1000,$P44,$S$5:$S$1000,"Macro")-1)&gt;0.0001),"Pesos del mes suman "&amp;TEXT(SUMIFS($G$5:$G$1000,$P$5:$P$1000,$P44,$S$5:$S$1000,"Macro"),"0%")&amp;" · ","")&amp;IF(AND(N($T44)&gt;0,COUNT($H44:$K44)&gt;0),"Con subactividades: deje vacías las semanas (se calculan solas)"&amp;" · ","")&amp;IF((COUNTIF($H44:$K44,"&gt;1")+COUNTIF($H44:$K44,"&lt;0")+COUNTA($H44:$K44)-COUNT($H44:$K44))&gt;0,"Avance fuera de rango 0-100%"&amp;" · ","")&amp;IF(OR(AND($I44&lt;&gt;"",$I44&lt;$H44),AND($J44&lt;&gt;"",$J44&lt;MAX($H44:$I44)),AND($K44&lt;&gt;"",$K44&lt;MAX($H44:$J44))),"Avance semanal decreciente"&amp;" · ","")&amp;IF(AND(ISNUMBER($F44),$F44&lt;FechaRef,N($L44)&lt;1),"Vencida"&amp;" · ","")&amp;IF(AND(ObsObligatoria="Sí",ISNUMBER($F44),$F44&lt;FechaRef,N($L44)&lt;1,$N44=""),"Vencida sin observación"&amp;" · ",""),LEN(IF(AND($S44="Macro",$B44=""),"Macroactividad vacía"&amp;" · ","")&amp;IF(AND($B44&lt;&gt;"",$C44&lt;&gt;""),"Escriba la subactividad en otra fila, debajo de su macroactividad"&amp;" · ","")&amp;IF(AND($S44="Sub",N($R44)=0),"Subactividad sin macroactividad arriba"&amp;" · ","")&amp;IF($D44="","Sin responsable"&amp;" · ","")&amp;IF($E44="","Sin fecha de inicio"&amp;" · ","")&amp;IF($F44="","Sin fecha límite"&amp;" · ","")&amp;IF(OR(AND($E44&lt;&gt;"",NOT(ISNUMBER($E44))),AND($F44&lt;&gt;"",NOT(ISNUMBER($F44)))),"Fecha no válida"&amp;" · ","")&amp;IF(AND(ISNUMBER($E44),ISNUMBER($F44),$E44&gt;$F44),"Inicio posterior a fecha límite"&amp;" · ","")&amp;IF(AND($S44="Macro",$G44=""),"Peso vacío"&amp;" · ","")&amp;IF(AND($S44="Macro",$G44&lt;&gt;"",OR(NOT(ISNUMBER($G44)),$G44&lt;=0,$G44&gt;1)),"Peso fuera de rango"&amp;" · ","")&amp;IF(AND($S44="Sub",$G44&lt;&gt;""),"Las subactividades no llevan peso"&amp;" · ","")&amp;IF(AND($S44="Macro",ABS(SUMIFS($G$5:$G$1000,$P$5:$P$1000,$P44,$S$5:$S$1000,"Macro")-1)&gt;0.0001),"Pesos del mes suman "&amp;TEXT(SUMIFS($G$5:$G$1000,$P$5:$P$1000,$P44,$S$5:$S$1000,"Macro"),"0%")&amp;" · ","")&amp;IF(AND(N($T44)&gt;0,COUNT($H44:$K44)&gt;0),"Con subactividades: deje vacías las semanas (se calculan solas)"&amp;" · ","")&amp;IF((COUNTIF($H44:$K44,"&gt;1")+COUNTIF($H44:$K44,"&lt;0")+COUNTA($H44:$K44)-COUNT($H44:$K44))&gt;0,"Avance fuera de rango 0-100%"&amp;" · ","")&amp;IF(OR(AND($I44&lt;&gt;"",$I44&lt;$H44),AND($J44&lt;&gt;"",$J44&lt;MAX($H44:$I44)),AND($K44&lt;&gt;"",$K44&lt;MAX($H44:$J44))),"Avance semanal decreciente"&amp;" · ","")&amp;IF(AND(ISNUMBER($F44),$F44&lt;FechaRef,N($L44)&lt;1),"Vencida"&amp;" · ","")&amp;IF(AND(ObsObligatoria="Sí",ISNUMBER($F44),$F44&lt;FechaRef,N($L44)&lt;1,$N44=""),"Vencida sin observación"&amp;" · ",""))-3)))</f>
        <v/>
      </c>
      <c r="P44" s="69">
        <f>IF(NOT((COUNTA($B44:$K44)+COUNTA($N44))&gt;0),"",IF(AND($S44="Sub",N($R44)&gt;0),IF(ISNUMBER(INDEX($E$5:$E$1000,$R44-4)),DATE(YEAR(INDEX($E$5:$E$1000,$R44-4)),MONTH(INDEX($E$5:$E$1000,$R44-4)),1),IF(ISNUMBER(INDEX($F$5:$F$1000,$R44-4)),DATE(YEAR(INDEX($F$5:$F$1000,$R44-4)),MONTH(INDEX($F$5:$F$1000,$R44-4)),1),MesCiclo)),IF(ISNUMBER($E44),DATE(YEAR($E44),MONTH($E44),1),IF(ISNUMBER($F44),DATE(YEAR($F44),MONTH($F44),1),MesCiclo))))</f>
        <v/>
      </c>
      <c r="Q44" s="70">
        <f>IF(OR($P44="",$P44&lt;&gt;MesCiclo),"",COUNTIF($P$5:$P44,MesCiclo))</f>
        <v/>
      </c>
      <c r="R44" s="70">
        <f>IF($S44="","",IF($S44="Macro",ROW(),IFERROR(LOOKUP(2,1/($S$5:$S44="Macro"),ROW($S$5:$S44)),0)))</f>
        <v/>
      </c>
      <c r="S44" s="70">
        <f>IF(NOT((COUNTA($B44:$K44)+COUNTA($N44))&gt;0),"",IF($B44&lt;&gt;"","Macro",IF($C44&lt;&gt;"","Sub","Macro")))</f>
        <v/>
      </c>
      <c r="T44" s="70">
        <f>IF($S44="Macro",COUNTIFS($R$5:$R$1000,ROW(),$S$5:$S$1000,"Sub"),"")</f>
        <v/>
      </c>
      <c r="U44" s="70">
        <f>IF($S44="","",IF(ISNUMBER($H44),$H44,0))</f>
        <v/>
      </c>
      <c r="V44" s="70">
        <f>IF($S44="","",IF(ISNUMBER($I44),$I44,$U44))</f>
        <v/>
      </c>
      <c r="W44" s="70">
        <f>IF($S44="","",IF(ISNUMBER($J44),$J44,$V44))</f>
        <v/>
      </c>
      <c r="X44" s="70">
        <f>IF($S44="","",IF(ISNUMBER($K44),$K44,$W44))</f>
        <v/>
      </c>
      <c r="Y44" s="70">
        <f>IF($S44="","",IF(N($T44)&gt;0,AVERAGEIFS($U$5:$U$1000,$R$5:$R$1000,ROW(),$S$5:$S$1000,"Sub"),$U44))</f>
        <v/>
      </c>
      <c r="Z44" s="70">
        <f>IF($S44="","",IF(N($T44)&gt;0,AVERAGEIFS($V$5:$V$1000,$R$5:$R$1000,ROW(),$S$5:$S$1000,"Sub"),$V44))</f>
        <v/>
      </c>
      <c r="AA44" s="70">
        <f>IF($S44="","",IF(N($T44)&gt;0,AVERAGEIFS($W$5:$W$1000,$R$5:$R$1000,ROW(),$S$5:$S$1000,"Sub"),$W44))</f>
        <v/>
      </c>
      <c r="AB44" s="70">
        <f>IF($S44="","",IF(N($T44)&gt;0,AVERAGEIFS($X$5:$X$1000,$R$5:$R$1000,ROW(),$S$5:$S$1000,"Sub"),$X44))</f>
        <v/>
      </c>
    </row>
    <row r="45">
      <c r="A45" s="61">
        <f>IF(NOT((COUNTA($B45:$K45)+COUNTA($N45))&gt;0),"",IF($S45="Macro",COUNTIFS($S$5:$S45,"Macro",$P$5:$P45,$P45),IF(N($R45)=0,"?",COUNTIFS(INDEX($S$5:$S$1000,1):INDEX($S$5:$S$1000,$R45-4),"Macro",INDEX($P$5:$P$1000,1):INDEX($P$5:$P$1000,$R45-4),INDEX($P$5:$P$1000,$R45-4))&amp;"."&amp;COUNTIFS($R$5:$R45,$R45,$S$5:$S45,"Sub"))))</f>
        <v/>
      </c>
      <c r="B45" s="62" t="n"/>
      <c r="C45" s="63" t="n"/>
      <c r="D45" s="62" t="n"/>
      <c r="E45" s="64" t="n"/>
      <c r="F45" s="64" t="n"/>
      <c r="G45" s="65" t="n"/>
      <c r="H45" s="66" t="n"/>
      <c r="I45" s="66" t="n"/>
      <c r="J45" s="66" t="n"/>
      <c r="K45" s="66" t="n"/>
      <c r="L45" s="67">
        <f>IF(NOT((COUNTA($B45:$K45)+COUNTA($N45))&gt;0),"",IF(N($T45)&gt;0,$AB45,IFERROR(LOOKUP(2,1/(H45:K45&lt;&gt;""),H45:K45),0)))</f>
        <v/>
      </c>
      <c r="M45" s="61">
        <f>IF(L45="","",IF(L45&gt;=1,"Completado",IF(L45&gt;0,"En curso","Pendiente")))</f>
        <v/>
      </c>
      <c r="N45" s="62" t="n"/>
      <c r="O45" s="68">
        <f>IF(NOT((COUNTA($B45:$K45)+COUNTA($N45))&gt;0),"",IF((IF(AND($S45="Macro",$B45=""),"Macroactividad vacía"&amp;" · ","")&amp;IF(AND($B45&lt;&gt;"",$C45&lt;&gt;""),"Escriba la subactividad en otra fila, debajo de su macroactividad"&amp;" · ","")&amp;IF(AND($S45="Sub",N($R45)=0),"Subactividad sin macroactividad arriba"&amp;" · ","")&amp;IF($D45="","Sin responsable"&amp;" · ","")&amp;IF($E45="","Sin fecha de inicio"&amp;" · ","")&amp;IF($F45="","Sin fecha límite"&amp;" · ","")&amp;IF(OR(AND($E45&lt;&gt;"",NOT(ISNUMBER($E45))),AND($F45&lt;&gt;"",NOT(ISNUMBER($F45)))),"Fecha no válida"&amp;" · ","")&amp;IF(AND(ISNUMBER($E45),ISNUMBER($F45),$E45&gt;$F45),"Inicio posterior a fecha límite"&amp;" · ","")&amp;IF(AND($S45="Macro",$G45=""),"Peso vacío"&amp;" · ","")&amp;IF(AND($S45="Macro",$G45&lt;&gt;"",OR(NOT(ISNUMBER($G45)),$G45&lt;=0,$G45&gt;1)),"Peso fuera de rango"&amp;" · ","")&amp;IF(AND($S45="Sub",$G45&lt;&gt;""),"Las subactividades no llevan peso"&amp;" · ","")&amp;IF(AND($S45="Macro",ABS(SUMIFS($G$5:$G$1000,$P$5:$P$1000,$P45,$S$5:$S$1000,"Macro")-1)&gt;0.0001),"Pesos del mes suman "&amp;TEXT(SUMIFS($G$5:$G$1000,$P$5:$P$1000,$P45,$S$5:$S$1000,"Macro"),"0%")&amp;" · ","")&amp;IF(AND(N($T45)&gt;0,COUNT($H45:$K45)&gt;0),"Con subactividades: deje vacías las semanas (se calculan solas)"&amp;" · ","")&amp;IF((COUNTIF($H45:$K45,"&gt;1")+COUNTIF($H45:$K45,"&lt;0")+COUNTA($H45:$K45)-COUNT($H45:$K45))&gt;0,"Avance fuera de rango 0-100%"&amp;" · ","")&amp;IF(OR(AND($I45&lt;&gt;"",$I45&lt;$H45),AND($J45&lt;&gt;"",$J45&lt;MAX($H45:$I45)),AND($K45&lt;&gt;"",$K45&lt;MAX($H45:$J45))),"Avance semanal decreciente"&amp;" · ","")&amp;IF(AND(ISNUMBER($F45),$F45&lt;FechaRef,N($L45)&lt;1),"Vencida"&amp;" · ","")&amp;IF(AND(ObsObligatoria="Sí",ISNUMBER($F45),$F45&lt;FechaRef,N($L45)&lt;1,$N45=""),"Vencida sin observación"&amp;" · ",""))="","✔ OK","⚠ "&amp;LEFT(IF(AND($S45="Macro",$B45=""),"Macroactividad vacía"&amp;" · ","")&amp;IF(AND($B45&lt;&gt;"",$C45&lt;&gt;""),"Escriba la subactividad en otra fila, debajo de su macroactividad"&amp;" · ","")&amp;IF(AND($S45="Sub",N($R45)=0),"Subactividad sin macroactividad arriba"&amp;" · ","")&amp;IF($D45="","Sin responsable"&amp;" · ","")&amp;IF($E45="","Sin fecha de inicio"&amp;" · ","")&amp;IF($F45="","Sin fecha límite"&amp;" · ","")&amp;IF(OR(AND($E45&lt;&gt;"",NOT(ISNUMBER($E45))),AND($F45&lt;&gt;"",NOT(ISNUMBER($F45)))),"Fecha no válida"&amp;" · ","")&amp;IF(AND(ISNUMBER($E45),ISNUMBER($F45),$E45&gt;$F45),"Inicio posterior a fecha límite"&amp;" · ","")&amp;IF(AND($S45="Macro",$G45=""),"Peso vacío"&amp;" · ","")&amp;IF(AND($S45="Macro",$G45&lt;&gt;"",OR(NOT(ISNUMBER($G45)),$G45&lt;=0,$G45&gt;1)),"Peso fuera de rango"&amp;" · ","")&amp;IF(AND($S45="Sub",$G45&lt;&gt;""),"Las subactividades no llevan peso"&amp;" · ","")&amp;IF(AND($S45="Macro",ABS(SUMIFS($G$5:$G$1000,$P$5:$P$1000,$P45,$S$5:$S$1000,"Macro")-1)&gt;0.0001),"Pesos del mes suman "&amp;TEXT(SUMIFS($G$5:$G$1000,$P$5:$P$1000,$P45,$S$5:$S$1000,"Macro"),"0%")&amp;" · ","")&amp;IF(AND(N($T45)&gt;0,COUNT($H45:$K45)&gt;0),"Con subactividades: deje vacías las semanas (se calculan solas)"&amp;" · ","")&amp;IF((COUNTIF($H45:$K45,"&gt;1")+COUNTIF($H45:$K45,"&lt;0")+COUNTA($H45:$K45)-COUNT($H45:$K45))&gt;0,"Avance fuera de rango 0-100%"&amp;" · ","")&amp;IF(OR(AND($I45&lt;&gt;"",$I45&lt;$H45),AND($J45&lt;&gt;"",$J45&lt;MAX($H45:$I45)),AND($K45&lt;&gt;"",$K45&lt;MAX($H45:$J45))),"Avance semanal decreciente"&amp;" · ","")&amp;IF(AND(ISNUMBER($F45),$F45&lt;FechaRef,N($L45)&lt;1),"Vencida"&amp;" · ","")&amp;IF(AND(ObsObligatoria="Sí",ISNUMBER($F45),$F45&lt;FechaRef,N($L45)&lt;1,$N45=""),"Vencida sin observación"&amp;" · ",""),LEN(IF(AND($S45="Macro",$B45=""),"Macroactividad vacía"&amp;" · ","")&amp;IF(AND($B45&lt;&gt;"",$C45&lt;&gt;""),"Escriba la subactividad en otra fila, debajo de su macroactividad"&amp;" · ","")&amp;IF(AND($S45="Sub",N($R45)=0),"Subactividad sin macroactividad arriba"&amp;" · ","")&amp;IF($D45="","Sin responsable"&amp;" · ","")&amp;IF($E45="","Sin fecha de inicio"&amp;" · ","")&amp;IF($F45="","Sin fecha límite"&amp;" · ","")&amp;IF(OR(AND($E45&lt;&gt;"",NOT(ISNUMBER($E45))),AND($F45&lt;&gt;"",NOT(ISNUMBER($F45)))),"Fecha no válida"&amp;" · ","")&amp;IF(AND(ISNUMBER($E45),ISNUMBER($F45),$E45&gt;$F45),"Inicio posterior a fecha límite"&amp;" · ","")&amp;IF(AND($S45="Macro",$G45=""),"Peso vacío"&amp;" · ","")&amp;IF(AND($S45="Macro",$G45&lt;&gt;"",OR(NOT(ISNUMBER($G45)),$G45&lt;=0,$G45&gt;1)),"Peso fuera de rango"&amp;" · ","")&amp;IF(AND($S45="Sub",$G45&lt;&gt;""),"Las subactividades no llevan peso"&amp;" · ","")&amp;IF(AND($S45="Macro",ABS(SUMIFS($G$5:$G$1000,$P$5:$P$1000,$P45,$S$5:$S$1000,"Macro")-1)&gt;0.0001),"Pesos del mes suman "&amp;TEXT(SUMIFS($G$5:$G$1000,$P$5:$P$1000,$P45,$S$5:$S$1000,"Macro"),"0%")&amp;" · ","")&amp;IF(AND(N($T45)&gt;0,COUNT($H45:$K45)&gt;0),"Con subactividades: deje vacías las semanas (se calculan solas)"&amp;" · ","")&amp;IF((COUNTIF($H45:$K45,"&gt;1")+COUNTIF($H45:$K45,"&lt;0")+COUNTA($H45:$K45)-COUNT($H45:$K45))&gt;0,"Avance fuera de rango 0-100%"&amp;" · ","")&amp;IF(OR(AND($I45&lt;&gt;"",$I45&lt;$H45),AND($J45&lt;&gt;"",$J45&lt;MAX($H45:$I45)),AND($K45&lt;&gt;"",$K45&lt;MAX($H45:$J45))),"Avance semanal decreciente"&amp;" · ","")&amp;IF(AND(ISNUMBER($F45),$F45&lt;FechaRef,N($L45)&lt;1),"Vencida"&amp;" · ","")&amp;IF(AND(ObsObligatoria="Sí",ISNUMBER($F45),$F45&lt;FechaRef,N($L45)&lt;1,$N45=""),"Vencida sin observación"&amp;" · ",""))-3)))</f>
        <v/>
      </c>
      <c r="P45" s="69">
        <f>IF(NOT((COUNTA($B45:$K45)+COUNTA($N45))&gt;0),"",IF(AND($S45="Sub",N($R45)&gt;0),IF(ISNUMBER(INDEX($E$5:$E$1000,$R45-4)),DATE(YEAR(INDEX($E$5:$E$1000,$R45-4)),MONTH(INDEX($E$5:$E$1000,$R45-4)),1),IF(ISNUMBER(INDEX($F$5:$F$1000,$R45-4)),DATE(YEAR(INDEX($F$5:$F$1000,$R45-4)),MONTH(INDEX($F$5:$F$1000,$R45-4)),1),MesCiclo)),IF(ISNUMBER($E45),DATE(YEAR($E45),MONTH($E45),1),IF(ISNUMBER($F45),DATE(YEAR($F45),MONTH($F45),1),MesCiclo))))</f>
        <v/>
      </c>
      <c r="Q45" s="70">
        <f>IF(OR($P45="",$P45&lt;&gt;MesCiclo),"",COUNTIF($P$5:$P45,MesCiclo))</f>
        <v/>
      </c>
      <c r="R45" s="70">
        <f>IF($S45="","",IF($S45="Macro",ROW(),IFERROR(LOOKUP(2,1/($S$5:$S45="Macro"),ROW($S$5:$S45)),0)))</f>
        <v/>
      </c>
      <c r="S45" s="70">
        <f>IF(NOT((COUNTA($B45:$K45)+COUNTA($N45))&gt;0),"",IF($B45&lt;&gt;"","Macro",IF($C45&lt;&gt;"","Sub","Macro")))</f>
        <v/>
      </c>
      <c r="T45" s="70">
        <f>IF($S45="Macro",COUNTIFS($R$5:$R$1000,ROW(),$S$5:$S$1000,"Sub"),"")</f>
        <v/>
      </c>
      <c r="U45" s="70">
        <f>IF($S45="","",IF(ISNUMBER($H45),$H45,0))</f>
        <v/>
      </c>
      <c r="V45" s="70">
        <f>IF($S45="","",IF(ISNUMBER($I45),$I45,$U45))</f>
        <v/>
      </c>
      <c r="W45" s="70">
        <f>IF($S45="","",IF(ISNUMBER($J45),$J45,$V45))</f>
        <v/>
      </c>
      <c r="X45" s="70">
        <f>IF($S45="","",IF(ISNUMBER($K45),$K45,$W45))</f>
        <v/>
      </c>
      <c r="Y45" s="70">
        <f>IF($S45="","",IF(N($T45)&gt;0,AVERAGEIFS($U$5:$U$1000,$R$5:$R$1000,ROW(),$S$5:$S$1000,"Sub"),$U45))</f>
        <v/>
      </c>
      <c r="Z45" s="70">
        <f>IF($S45="","",IF(N($T45)&gt;0,AVERAGEIFS($V$5:$V$1000,$R$5:$R$1000,ROW(),$S$5:$S$1000,"Sub"),$V45))</f>
        <v/>
      </c>
      <c r="AA45" s="70">
        <f>IF($S45="","",IF(N($T45)&gt;0,AVERAGEIFS($W$5:$W$1000,$R$5:$R$1000,ROW(),$S$5:$S$1000,"Sub"),$W45))</f>
        <v/>
      </c>
      <c r="AB45" s="70">
        <f>IF($S45="","",IF(N($T45)&gt;0,AVERAGEIFS($X$5:$X$1000,$R$5:$R$1000,ROW(),$S$5:$S$1000,"Sub"),$X45))</f>
        <v/>
      </c>
    </row>
    <row r="46">
      <c r="A46" s="61">
        <f>IF(NOT((COUNTA($B46:$K46)+COUNTA($N46))&gt;0),"",IF($S46="Macro",COUNTIFS($S$5:$S46,"Macro",$P$5:$P46,$P46),IF(N($R46)=0,"?",COUNTIFS(INDEX($S$5:$S$1000,1):INDEX($S$5:$S$1000,$R46-4),"Macro",INDEX($P$5:$P$1000,1):INDEX($P$5:$P$1000,$R46-4),INDEX($P$5:$P$1000,$R46-4))&amp;"."&amp;COUNTIFS($R$5:$R46,$R46,$S$5:$S46,"Sub"))))</f>
        <v/>
      </c>
      <c r="B46" s="62" t="n"/>
      <c r="C46" s="63" t="n"/>
      <c r="D46" s="62" t="n"/>
      <c r="E46" s="64" t="n"/>
      <c r="F46" s="64" t="n"/>
      <c r="G46" s="65" t="n"/>
      <c r="H46" s="66" t="n"/>
      <c r="I46" s="66" t="n"/>
      <c r="J46" s="66" t="n"/>
      <c r="K46" s="66" t="n"/>
      <c r="L46" s="67">
        <f>IF(NOT((COUNTA($B46:$K46)+COUNTA($N46))&gt;0),"",IF(N($T46)&gt;0,$AB46,IFERROR(LOOKUP(2,1/(H46:K46&lt;&gt;""),H46:K46),0)))</f>
        <v/>
      </c>
      <c r="M46" s="61">
        <f>IF(L46="","",IF(L46&gt;=1,"Completado",IF(L46&gt;0,"En curso","Pendiente")))</f>
        <v/>
      </c>
      <c r="N46" s="62" t="n"/>
      <c r="O46" s="68">
        <f>IF(NOT((COUNTA($B46:$K46)+COUNTA($N46))&gt;0),"",IF((IF(AND($S46="Macro",$B46=""),"Macroactividad vacía"&amp;" · ","")&amp;IF(AND($B46&lt;&gt;"",$C46&lt;&gt;""),"Escriba la subactividad en otra fila, debajo de su macroactividad"&amp;" · ","")&amp;IF(AND($S46="Sub",N($R46)=0),"Subactividad sin macroactividad arriba"&amp;" · ","")&amp;IF($D46="","Sin responsable"&amp;" · ","")&amp;IF($E46="","Sin fecha de inicio"&amp;" · ","")&amp;IF($F46="","Sin fecha límite"&amp;" · ","")&amp;IF(OR(AND($E46&lt;&gt;"",NOT(ISNUMBER($E46))),AND($F46&lt;&gt;"",NOT(ISNUMBER($F46)))),"Fecha no válida"&amp;" · ","")&amp;IF(AND(ISNUMBER($E46),ISNUMBER($F46),$E46&gt;$F46),"Inicio posterior a fecha límite"&amp;" · ","")&amp;IF(AND($S46="Macro",$G46=""),"Peso vacío"&amp;" · ","")&amp;IF(AND($S46="Macro",$G46&lt;&gt;"",OR(NOT(ISNUMBER($G46)),$G46&lt;=0,$G46&gt;1)),"Peso fuera de rango"&amp;" · ","")&amp;IF(AND($S46="Sub",$G46&lt;&gt;""),"Las subactividades no llevan peso"&amp;" · ","")&amp;IF(AND($S46="Macro",ABS(SUMIFS($G$5:$G$1000,$P$5:$P$1000,$P46,$S$5:$S$1000,"Macro")-1)&gt;0.0001),"Pesos del mes suman "&amp;TEXT(SUMIFS($G$5:$G$1000,$P$5:$P$1000,$P46,$S$5:$S$1000,"Macro"),"0%")&amp;" · ","")&amp;IF(AND(N($T46)&gt;0,COUNT($H46:$K46)&gt;0),"Con subactividades: deje vacías las semanas (se calculan solas)"&amp;" · ","")&amp;IF((COUNTIF($H46:$K46,"&gt;1")+COUNTIF($H46:$K46,"&lt;0")+COUNTA($H46:$K46)-COUNT($H46:$K46))&gt;0,"Avance fuera de rango 0-100%"&amp;" · ","")&amp;IF(OR(AND($I46&lt;&gt;"",$I46&lt;$H46),AND($J46&lt;&gt;"",$J46&lt;MAX($H46:$I46)),AND($K46&lt;&gt;"",$K46&lt;MAX($H46:$J46))),"Avance semanal decreciente"&amp;" · ","")&amp;IF(AND(ISNUMBER($F46),$F46&lt;FechaRef,N($L46)&lt;1),"Vencida"&amp;" · ","")&amp;IF(AND(ObsObligatoria="Sí",ISNUMBER($F46),$F46&lt;FechaRef,N($L46)&lt;1,$N46=""),"Vencida sin observación"&amp;" · ",""))="","✔ OK","⚠ "&amp;LEFT(IF(AND($S46="Macro",$B46=""),"Macroactividad vacía"&amp;" · ","")&amp;IF(AND($B46&lt;&gt;"",$C46&lt;&gt;""),"Escriba la subactividad en otra fila, debajo de su macroactividad"&amp;" · ","")&amp;IF(AND($S46="Sub",N($R46)=0),"Subactividad sin macroactividad arriba"&amp;" · ","")&amp;IF($D46="","Sin responsable"&amp;" · ","")&amp;IF($E46="","Sin fecha de inicio"&amp;" · ","")&amp;IF($F46="","Sin fecha límite"&amp;" · ","")&amp;IF(OR(AND($E46&lt;&gt;"",NOT(ISNUMBER($E46))),AND($F46&lt;&gt;"",NOT(ISNUMBER($F46)))),"Fecha no válida"&amp;" · ","")&amp;IF(AND(ISNUMBER($E46),ISNUMBER($F46),$E46&gt;$F46),"Inicio posterior a fecha límite"&amp;" · ","")&amp;IF(AND($S46="Macro",$G46=""),"Peso vacío"&amp;" · ","")&amp;IF(AND($S46="Macro",$G46&lt;&gt;"",OR(NOT(ISNUMBER($G46)),$G46&lt;=0,$G46&gt;1)),"Peso fuera de rango"&amp;" · ","")&amp;IF(AND($S46="Sub",$G46&lt;&gt;""),"Las subactividades no llevan peso"&amp;" · ","")&amp;IF(AND($S46="Macro",ABS(SUMIFS($G$5:$G$1000,$P$5:$P$1000,$P46,$S$5:$S$1000,"Macro")-1)&gt;0.0001),"Pesos del mes suman "&amp;TEXT(SUMIFS($G$5:$G$1000,$P$5:$P$1000,$P46,$S$5:$S$1000,"Macro"),"0%")&amp;" · ","")&amp;IF(AND(N($T46)&gt;0,COUNT($H46:$K46)&gt;0),"Con subactividades: deje vacías las semanas (se calculan solas)"&amp;" · ","")&amp;IF((COUNTIF($H46:$K46,"&gt;1")+COUNTIF($H46:$K46,"&lt;0")+COUNTA($H46:$K46)-COUNT($H46:$K46))&gt;0,"Avance fuera de rango 0-100%"&amp;" · ","")&amp;IF(OR(AND($I46&lt;&gt;"",$I46&lt;$H46),AND($J46&lt;&gt;"",$J46&lt;MAX($H46:$I46)),AND($K46&lt;&gt;"",$K46&lt;MAX($H46:$J46))),"Avance semanal decreciente"&amp;" · ","")&amp;IF(AND(ISNUMBER($F46),$F46&lt;FechaRef,N($L46)&lt;1),"Vencida"&amp;" · ","")&amp;IF(AND(ObsObligatoria="Sí",ISNUMBER($F46),$F46&lt;FechaRef,N($L46)&lt;1,$N46=""),"Vencida sin observación"&amp;" · ",""),LEN(IF(AND($S46="Macro",$B46=""),"Macroactividad vacía"&amp;" · ","")&amp;IF(AND($B46&lt;&gt;"",$C46&lt;&gt;""),"Escriba la subactividad en otra fila, debajo de su macroactividad"&amp;" · ","")&amp;IF(AND($S46="Sub",N($R46)=0),"Subactividad sin macroactividad arriba"&amp;" · ","")&amp;IF($D46="","Sin responsable"&amp;" · ","")&amp;IF($E46="","Sin fecha de inicio"&amp;" · ","")&amp;IF($F46="","Sin fecha límite"&amp;" · ","")&amp;IF(OR(AND($E46&lt;&gt;"",NOT(ISNUMBER($E46))),AND($F46&lt;&gt;"",NOT(ISNUMBER($F46)))),"Fecha no válida"&amp;" · ","")&amp;IF(AND(ISNUMBER($E46),ISNUMBER($F46),$E46&gt;$F46),"Inicio posterior a fecha límite"&amp;" · ","")&amp;IF(AND($S46="Macro",$G46=""),"Peso vacío"&amp;" · ","")&amp;IF(AND($S46="Macro",$G46&lt;&gt;"",OR(NOT(ISNUMBER($G46)),$G46&lt;=0,$G46&gt;1)),"Peso fuera de rango"&amp;" · ","")&amp;IF(AND($S46="Sub",$G46&lt;&gt;""),"Las subactividades no llevan peso"&amp;" · ","")&amp;IF(AND($S46="Macro",ABS(SUMIFS($G$5:$G$1000,$P$5:$P$1000,$P46,$S$5:$S$1000,"Macro")-1)&gt;0.0001),"Pesos del mes suman "&amp;TEXT(SUMIFS($G$5:$G$1000,$P$5:$P$1000,$P46,$S$5:$S$1000,"Macro"),"0%")&amp;" · ","")&amp;IF(AND(N($T46)&gt;0,COUNT($H46:$K46)&gt;0),"Con subactividades: deje vacías las semanas (se calculan solas)"&amp;" · ","")&amp;IF((COUNTIF($H46:$K46,"&gt;1")+COUNTIF($H46:$K46,"&lt;0")+COUNTA($H46:$K46)-COUNT($H46:$K46))&gt;0,"Avance fuera de rango 0-100%"&amp;" · ","")&amp;IF(OR(AND($I46&lt;&gt;"",$I46&lt;$H46),AND($J46&lt;&gt;"",$J46&lt;MAX($H46:$I46)),AND($K46&lt;&gt;"",$K46&lt;MAX($H46:$J46))),"Avance semanal decreciente"&amp;" · ","")&amp;IF(AND(ISNUMBER($F46),$F46&lt;FechaRef,N($L46)&lt;1),"Vencida"&amp;" · ","")&amp;IF(AND(ObsObligatoria="Sí",ISNUMBER($F46),$F46&lt;FechaRef,N($L46)&lt;1,$N46=""),"Vencida sin observación"&amp;" · ",""))-3)))</f>
        <v/>
      </c>
      <c r="P46" s="69">
        <f>IF(NOT((COUNTA($B46:$K46)+COUNTA($N46))&gt;0),"",IF(AND($S46="Sub",N($R46)&gt;0),IF(ISNUMBER(INDEX($E$5:$E$1000,$R46-4)),DATE(YEAR(INDEX($E$5:$E$1000,$R46-4)),MONTH(INDEX($E$5:$E$1000,$R46-4)),1),IF(ISNUMBER(INDEX($F$5:$F$1000,$R46-4)),DATE(YEAR(INDEX($F$5:$F$1000,$R46-4)),MONTH(INDEX($F$5:$F$1000,$R46-4)),1),MesCiclo)),IF(ISNUMBER($E46),DATE(YEAR($E46),MONTH($E46),1),IF(ISNUMBER($F46),DATE(YEAR($F46),MONTH($F46),1),MesCiclo))))</f>
        <v/>
      </c>
      <c r="Q46" s="70">
        <f>IF(OR($P46="",$P46&lt;&gt;MesCiclo),"",COUNTIF($P$5:$P46,MesCiclo))</f>
        <v/>
      </c>
      <c r="R46" s="70">
        <f>IF($S46="","",IF($S46="Macro",ROW(),IFERROR(LOOKUP(2,1/($S$5:$S46="Macro"),ROW($S$5:$S46)),0)))</f>
        <v/>
      </c>
      <c r="S46" s="70">
        <f>IF(NOT((COUNTA($B46:$K46)+COUNTA($N46))&gt;0),"",IF($B46&lt;&gt;"","Macro",IF($C46&lt;&gt;"","Sub","Macro")))</f>
        <v/>
      </c>
      <c r="T46" s="70">
        <f>IF($S46="Macro",COUNTIFS($R$5:$R$1000,ROW(),$S$5:$S$1000,"Sub"),"")</f>
        <v/>
      </c>
      <c r="U46" s="70">
        <f>IF($S46="","",IF(ISNUMBER($H46),$H46,0))</f>
        <v/>
      </c>
      <c r="V46" s="70">
        <f>IF($S46="","",IF(ISNUMBER($I46),$I46,$U46))</f>
        <v/>
      </c>
      <c r="W46" s="70">
        <f>IF($S46="","",IF(ISNUMBER($J46),$J46,$V46))</f>
        <v/>
      </c>
      <c r="X46" s="70">
        <f>IF($S46="","",IF(ISNUMBER($K46),$K46,$W46))</f>
        <v/>
      </c>
      <c r="Y46" s="70">
        <f>IF($S46="","",IF(N($T46)&gt;0,AVERAGEIFS($U$5:$U$1000,$R$5:$R$1000,ROW(),$S$5:$S$1000,"Sub"),$U46))</f>
        <v/>
      </c>
      <c r="Z46" s="70">
        <f>IF($S46="","",IF(N($T46)&gt;0,AVERAGEIFS($V$5:$V$1000,$R$5:$R$1000,ROW(),$S$5:$S$1000,"Sub"),$V46))</f>
        <v/>
      </c>
      <c r="AA46" s="70">
        <f>IF($S46="","",IF(N($T46)&gt;0,AVERAGEIFS($W$5:$W$1000,$R$5:$R$1000,ROW(),$S$5:$S$1000,"Sub"),$W46))</f>
        <v/>
      </c>
      <c r="AB46" s="70">
        <f>IF($S46="","",IF(N($T46)&gt;0,AVERAGEIFS($X$5:$X$1000,$R$5:$R$1000,ROW(),$S$5:$S$1000,"Sub"),$X46))</f>
        <v/>
      </c>
    </row>
    <row r="47">
      <c r="A47" s="61">
        <f>IF(NOT((COUNTA($B47:$K47)+COUNTA($N47))&gt;0),"",IF($S47="Macro",COUNTIFS($S$5:$S47,"Macro",$P$5:$P47,$P47),IF(N($R47)=0,"?",COUNTIFS(INDEX($S$5:$S$1000,1):INDEX($S$5:$S$1000,$R47-4),"Macro",INDEX($P$5:$P$1000,1):INDEX($P$5:$P$1000,$R47-4),INDEX($P$5:$P$1000,$R47-4))&amp;"."&amp;COUNTIFS($R$5:$R47,$R47,$S$5:$S47,"Sub"))))</f>
        <v/>
      </c>
      <c r="B47" s="62" t="n"/>
      <c r="C47" s="63" t="n"/>
      <c r="D47" s="62" t="n"/>
      <c r="E47" s="64" t="n"/>
      <c r="F47" s="64" t="n"/>
      <c r="G47" s="65" t="n"/>
      <c r="H47" s="66" t="n"/>
      <c r="I47" s="66" t="n"/>
      <c r="J47" s="66" t="n"/>
      <c r="K47" s="66" t="n"/>
      <c r="L47" s="67">
        <f>IF(NOT((COUNTA($B47:$K47)+COUNTA($N47))&gt;0),"",IF(N($T47)&gt;0,$AB47,IFERROR(LOOKUP(2,1/(H47:K47&lt;&gt;""),H47:K47),0)))</f>
        <v/>
      </c>
      <c r="M47" s="61">
        <f>IF(L47="","",IF(L47&gt;=1,"Completado",IF(L47&gt;0,"En curso","Pendiente")))</f>
        <v/>
      </c>
      <c r="N47" s="62" t="n"/>
      <c r="O47" s="68">
        <f>IF(NOT((COUNTA($B47:$K47)+COUNTA($N47))&gt;0),"",IF((IF(AND($S47="Macro",$B47=""),"Macroactividad vacía"&amp;" · ","")&amp;IF(AND($B47&lt;&gt;"",$C47&lt;&gt;""),"Escriba la subactividad en otra fila, debajo de su macroactividad"&amp;" · ","")&amp;IF(AND($S47="Sub",N($R47)=0),"Subactividad sin macroactividad arriba"&amp;" · ","")&amp;IF($D47="","Sin responsable"&amp;" · ","")&amp;IF($E47="","Sin fecha de inicio"&amp;" · ","")&amp;IF($F47="","Sin fecha límite"&amp;" · ","")&amp;IF(OR(AND($E47&lt;&gt;"",NOT(ISNUMBER($E47))),AND($F47&lt;&gt;"",NOT(ISNUMBER($F47)))),"Fecha no válida"&amp;" · ","")&amp;IF(AND(ISNUMBER($E47),ISNUMBER($F47),$E47&gt;$F47),"Inicio posterior a fecha límite"&amp;" · ","")&amp;IF(AND($S47="Macro",$G47=""),"Peso vacío"&amp;" · ","")&amp;IF(AND($S47="Macro",$G47&lt;&gt;"",OR(NOT(ISNUMBER($G47)),$G47&lt;=0,$G47&gt;1)),"Peso fuera de rango"&amp;" · ","")&amp;IF(AND($S47="Sub",$G47&lt;&gt;""),"Las subactividades no llevan peso"&amp;" · ","")&amp;IF(AND($S47="Macro",ABS(SUMIFS($G$5:$G$1000,$P$5:$P$1000,$P47,$S$5:$S$1000,"Macro")-1)&gt;0.0001),"Pesos del mes suman "&amp;TEXT(SUMIFS($G$5:$G$1000,$P$5:$P$1000,$P47,$S$5:$S$1000,"Macro"),"0%")&amp;" · ","")&amp;IF(AND(N($T47)&gt;0,COUNT($H47:$K47)&gt;0),"Con subactividades: deje vacías las semanas (se calculan solas)"&amp;" · ","")&amp;IF((COUNTIF($H47:$K47,"&gt;1")+COUNTIF($H47:$K47,"&lt;0")+COUNTA($H47:$K47)-COUNT($H47:$K47))&gt;0,"Avance fuera de rango 0-100%"&amp;" · ","")&amp;IF(OR(AND($I47&lt;&gt;"",$I47&lt;$H47),AND($J47&lt;&gt;"",$J47&lt;MAX($H47:$I47)),AND($K47&lt;&gt;"",$K47&lt;MAX($H47:$J47))),"Avance semanal decreciente"&amp;" · ","")&amp;IF(AND(ISNUMBER($F47),$F47&lt;FechaRef,N($L47)&lt;1),"Vencida"&amp;" · ","")&amp;IF(AND(ObsObligatoria="Sí",ISNUMBER($F47),$F47&lt;FechaRef,N($L47)&lt;1,$N47=""),"Vencida sin observación"&amp;" · ",""))="","✔ OK","⚠ "&amp;LEFT(IF(AND($S47="Macro",$B47=""),"Macroactividad vacía"&amp;" · ","")&amp;IF(AND($B47&lt;&gt;"",$C47&lt;&gt;""),"Escriba la subactividad en otra fila, debajo de su macroactividad"&amp;" · ","")&amp;IF(AND($S47="Sub",N($R47)=0),"Subactividad sin macroactividad arriba"&amp;" · ","")&amp;IF($D47="","Sin responsable"&amp;" · ","")&amp;IF($E47="","Sin fecha de inicio"&amp;" · ","")&amp;IF($F47="","Sin fecha límite"&amp;" · ","")&amp;IF(OR(AND($E47&lt;&gt;"",NOT(ISNUMBER($E47))),AND($F47&lt;&gt;"",NOT(ISNUMBER($F47)))),"Fecha no válida"&amp;" · ","")&amp;IF(AND(ISNUMBER($E47),ISNUMBER($F47),$E47&gt;$F47),"Inicio posterior a fecha límite"&amp;" · ","")&amp;IF(AND($S47="Macro",$G47=""),"Peso vacío"&amp;" · ","")&amp;IF(AND($S47="Macro",$G47&lt;&gt;"",OR(NOT(ISNUMBER($G47)),$G47&lt;=0,$G47&gt;1)),"Peso fuera de rango"&amp;" · ","")&amp;IF(AND($S47="Sub",$G47&lt;&gt;""),"Las subactividades no llevan peso"&amp;" · ","")&amp;IF(AND($S47="Macro",ABS(SUMIFS($G$5:$G$1000,$P$5:$P$1000,$P47,$S$5:$S$1000,"Macro")-1)&gt;0.0001),"Pesos del mes suman "&amp;TEXT(SUMIFS($G$5:$G$1000,$P$5:$P$1000,$P47,$S$5:$S$1000,"Macro"),"0%")&amp;" · ","")&amp;IF(AND(N($T47)&gt;0,COUNT($H47:$K47)&gt;0),"Con subactividades: deje vacías las semanas (se calculan solas)"&amp;" · ","")&amp;IF((COUNTIF($H47:$K47,"&gt;1")+COUNTIF($H47:$K47,"&lt;0")+COUNTA($H47:$K47)-COUNT($H47:$K47))&gt;0,"Avance fuera de rango 0-100%"&amp;" · ","")&amp;IF(OR(AND($I47&lt;&gt;"",$I47&lt;$H47),AND($J47&lt;&gt;"",$J47&lt;MAX($H47:$I47)),AND($K47&lt;&gt;"",$K47&lt;MAX($H47:$J47))),"Avance semanal decreciente"&amp;" · ","")&amp;IF(AND(ISNUMBER($F47),$F47&lt;FechaRef,N($L47)&lt;1),"Vencida"&amp;" · ","")&amp;IF(AND(ObsObligatoria="Sí",ISNUMBER($F47),$F47&lt;FechaRef,N($L47)&lt;1,$N47=""),"Vencida sin observación"&amp;" · ",""),LEN(IF(AND($S47="Macro",$B47=""),"Macroactividad vacía"&amp;" · ","")&amp;IF(AND($B47&lt;&gt;"",$C47&lt;&gt;""),"Escriba la subactividad en otra fila, debajo de su macroactividad"&amp;" · ","")&amp;IF(AND($S47="Sub",N($R47)=0),"Subactividad sin macroactividad arriba"&amp;" · ","")&amp;IF($D47="","Sin responsable"&amp;" · ","")&amp;IF($E47="","Sin fecha de inicio"&amp;" · ","")&amp;IF($F47="","Sin fecha límite"&amp;" · ","")&amp;IF(OR(AND($E47&lt;&gt;"",NOT(ISNUMBER($E47))),AND($F47&lt;&gt;"",NOT(ISNUMBER($F47)))),"Fecha no válida"&amp;" · ","")&amp;IF(AND(ISNUMBER($E47),ISNUMBER($F47),$E47&gt;$F47),"Inicio posterior a fecha límite"&amp;" · ","")&amp;IF(AND($S47="Macro",$G47=""),"Peso vacío"&amp;" · ","")&amp;IF(AND($S47="Macro",$G47&lt;&gt;"",OR(NOT(ISNUMBER($G47)),$G47&lt;=0,$G47&gt;1)),"Peso fuera de rango"&amp;" · ","")&amp;IF(AND($S47="Sub",$G47&lt;&gt;""),"Las subactividades no llevan peso"&amp;" · ","")&amp;IF(AND($S47="Macro",ABS(SUMIFS($G$5:$G$1000,$P$5:$P$1000,$P47,$S$5:$S$1000,"Macro")-1)&gt;0.0001),"Pesos del mes suman "&amp;TEXT(SUMIFS($G$5:$G$1000,$P$5:$P$1000,$P47,$S$5:$S$1000,"Macro"),"0%")&amp;" · ","")&amp;IF(AND(N($T47)&gt;0,COUNT($H47:$K47)&gt;0),"Con subactividades: deje vacías las semanas (se calculan solas)"&amp;" · ","")&amp;IF((COUNTIF($H47:$K47,"&gt;1")+COUNTIF($H47:$K47,"&lt;0")+COUNTA($H47:$K47)-COUNT($H47:$K47))&gt;0,"Avance fuera de rango 0-100%"&amp;" · ","")&amp;IF(OR(AND($I47&lt;&gt;"",$I47&lt;$H47),AND($J47&lt;&gt;"",$J47&lt;MAX($H47:$I47)),AND($K47&lt;&gt;"",$K47&lt;MAX($H47:$J47))),"Avance semanal decreciente"&amp;" · ","")&amp;IF(AND(ISNUMBER($F47),$F47&lt;FechaRef,N($L47)&lt;1),"Vencida"&amp;" · ","")&amp;IF(AND(ObsObligatoria="Sí",ISNUMBER($F47),$F47&lt;FechaRef,N($L47)&lt;1,$N47=""),"Vencida sin observación"&amp;" · ",""))-3)))</f>
        <v/>
      </c>
      <c r="P47" s="69">
        <f>IF(NOT((COUNTA($B47:$K47)+COUNTA($N47))&gt;0),"",IF(AND($S47="Sub",N($R47)&gt;0),IF(ISNUMBER(INDEX($E$5:$E$1000,$R47-4)),DATE(YEAR(INDEX($E$5:$E$1000,$R47-4)),MONTH(INDEX($E$5:$E$1000,$R47-4)),1),IF(ISNUMBER(INDEX($F$5:$F$1000,$R47-4)),DATE(YEAR(INDEX($F$5:$F$1000,$R47-4)),MONTH(INDEX($F$5:$F$1000,$R47-4)),1),MesCiclo)),IF(ISNUMBER($E47),DATE(YEAR($E47),MONTH($E47),1),IF(ISNUMBER($F47),DATE(YEAR($F47),MONTH($F47),1),MesCiclo))))</f>
        <v/>
      </c>
      <c r="Q47" s="70">
        <f>IF(OR($P47="",$P47&lt;&gt;MesCiclo),"",COUNTIF($P$5:$P47,MesCiclo))</f>
        <v/>
      </c>
      <c r="R47" s="70">
        <f>IF($S47="","",IF($S47="Macro",ROW(),IFERROR(LOOKUP(2,1/($S$5:$S47="Macro"),ROW($S$5:$S47)),0)))</f>
        <v/>
      </c>
      <c r="S47" s="70">
        <f>IF(NOT((COUNTA($B47:$K47)+COUNTA($N47))&gt;0),"",IF($B47&lt;&gt;"","Macro",IF($C47&lt;&gt;"","Sub","Macro")))</f>
        <v/>
      </c>
      <c r="T47" s="70">
        <f>IF($S47="Macro",COUNTIFS($R$5:$R$1000,ROW(),$S$5:$S$1000,"Sub"),"")</f>
        <v/>
      </c>
      <c r="U47" s="70">
        <f>IF($S47="","",IF(ISNUMBER($H47),$H47,0))</f>
        <v/>
      </c>
      <c r="V47" s="70">
        <f>IF($S47="","",IF(ISNUMBER($I47),$I47,$U47))</f>
        <v/>
      </c>
      <c r="W47" s="70">
        <f>IF($S47="","",IF(ISNUMBER($J47),$J47,$V47))</f>
        <v/>
      </c>
      <c r="X47" s="70">
        <f>IF($S47="","",IF(ISNUMBER($K47),$K47,$W47))</f>
        <v/>
      </c>
      <c r="Y47" s="70">
        <f>IF($S47="","",IF(N($T47)&gt;0,AVERAGEIFS($U$5:$U$1000,$R$5:$R$1000,ROW(),$S$5:$S$1000,"Sub"),$U47))</f>
        <v/>
      </c>
      <c r="Z47" s="70">
        <f>IF($S47="","",IF(N($T47)&gt;0,AVERAGEIFS($V$5:$V$1000,$R$5:$R$1000,ROW(),$S$5:$S$1000,"Sub"),$V47))</f>
        <v/>
      </c>
      <c r="AA47" s="70">
        <f>IF($S47="","",IF(N($T47)&gt;0,AVERAGEIFS($W$5:$W$1000,$R$5:$R$1000,ROW(),$S$5:$S$1000,"Sub"),$W47))</f>
        <v/>
      </c>
      <c r="AB47" s="70">
        <f>IF($S47="","",IF(N($T47)&gt;0,AVERAGEIFS($X$5:$X$1000,$R$5:$R$1000,ROW(),$S$5:$S$1000,"Sub"),$X47))</f>
        <v/>
      </c>
    </row>
    <row r="48">
      <c r="A48" s="61">
        <f>IF(NOT((COUNTA($B48:$K48)+COUNTA($N48))&gt;0),"",IF($S48="Macro",COUNTIFS($S$5:$S48,"Macro",$P$5:$P48,$P48),IF(N($R48)=0,"?",COUNTIFS(INDEX($S$5:$S$1000,1):INDEX($S$5:$S$1000,$R48-4),"Macro",INDEX($P$5:$P$1000,1):INDEX($P$5:$P$1000,$R48-4),INDEX($P$5:$P$1000,$R48-4))&amp;"."&amp;COUNTIFS($R$5:$R48,$R48,$S$5:$S48,"Sub"))))</f>
        <v/>
      </c>
      <c r="B48" s="62" t="n"/>
      <c r="C48" s="63" t="n"/>
      <c r="D48" s="62" t="n"/>
      <c r="E48" s="64" t="n"/>
      <c r="F48" s="64" t="n"/>
      <c r="G48" s="65" t="n"/>
      <c r="H48" s="66" t="n"/>
      <c r="I48" s="66" t="n"/>
      <c r="J48" s="66" t="n"/>
      <c r="K48" s="66" t="n"/>
      <c r="L48" s="67">
        <f>IF(NOT((COUNTA($B48:$K48)+COUNTA($N48))&gt;0),"",IF(N($T48)&gt;0,$AB48,IFERROR(LOOKUP(2,1/(H48:K48&lt;&gt;""),H48:K48),0)))</f>
        <v/>
      </c>
      <c r="M48" s="61">
        <f>IF(L48="","",IF(L48&gt;=1,"Completado",IF(L48&gt;0,"En curso","Pendiente")))</f>
        <v/>
      </c>
      <c r="N48" s="62" t="n"/>
      <c r="O48" s="68">
        <f>IF(NOT((COUNTA($B48:$K48)+COUNTA($N48))&gt;0),"",IF((IF(AND($S48="Macro",$B48=""),"Macroactividad vacía"&amp;" · ","")&amp;IF(AND($B48&lt;&gt;"",$C48&lt;&gt;""),"Escriba la subactividad en otra fila, debajo de su macroactividad"&amp;" · ","")&amp;IF(AND($S48="Sub",N($R48)=0),"Subactividad sin macroactividad arriba"&amp;" · ","")&amp;IF($D48="","Sin responsable"&amp;" · ","")&amp;IF($E48="","Sin fecha de inicio"&amp;" · ","")&amp;IF($F48="","Sin fecha límite"&amp;" · ","")&amp;IF(OR(AND($E48&lt;&gt;"",NOT(ISNUMBER($E48))),AND($F48&lt;&gt;"",NOT(ISNUMBER($F48)))),"Fecha no válida"&amp;" · ","")&amp;IF(AND(ISNUMBER($E48),ISNUMBER($F48),$E48&gt;$F48),"Inicio posterior a fecha límite"&amp;" · ","")&amp;IF(AND($S48="Macro",$G48=""),"Peso vacío"&amp;" · ","")&amp;IF(AND($S48="Macro",$G48&lt;&gt;"",OR(NOT(ISNUMBER($G48)),$G48&lt;=0,$G48&gt;1)),"Peso fuera de rango"&amp;" · ","")&amp;IF(AND($S48="Sub",$G48&lt;&gt;""),"Las subactividades no llevan peso"&amp;" · ","")&amp;IF(AND($S48="Macro",ABS(SUMIFS($G$5:$G$1000,$P$5:$P$1000,$P48,$S$5:$S$1000,"Macro")-1)&gt;0.0001),"Pesos del mes suman "&amp;TEXT(SUMIFS($G$5:$G$1000,$P$5:$P$1000,$P48,$S$5:$S$1000,"Macro"),"0%")&amp;" · ","")&amp;IF(AND(N($T48)&gt;0,COUNT($H48:$K48)&gt;0),"Con subactividades: deje vacías las semanas (se calculan solas)"&amp;" · ","")&amp;IF((COUNTIF($H48:$K48,"&gt;1")+COUNTIF($H48:$K48,"&lt;0")+COUNTA($H48:$K48)-COUNT($H48:$K48))&gt;0,"Avance fuera de rango 0-100%"&amp;" · ","")&amp;IF(OR(AND($I48&lt;&gt;"",$I48&lt;$H48),AND($J48&lt;&gt;"",$J48&lt;MAX($H48:$I48)),AND($K48&lt;&gt;"",$K48&lt;MAX($H48:$J48))),"Avance semanal decreciente"&amp;" · ","")&amp;IF(AND(ISNUMBER($F48),$F48&lt;FechaRef,N($L48)&lt;1),"Vencida"&amp;" · ","")&amp;IF(AND(ObsObligatoria="Sí",ISNUMBER($F48),$F48&lt;FechaRef,N($L48)&lt;1,$N48=""),"Vencida sin observación"&amp;" · ",""))="","✔ OK","⚠ "&amp;LEFT(IF(AND($S48="Macro",$B48=""),"Macroactividad vacía"&amp;" · ","")&amp;IF(AND($B48&lt;&gt;"",$C48&lt;&gt;""),"Escriba la subactividad en otra fila, debajo de su macroactividad"&amp;" · ","")&amp;IF(AND($S48="Sub",N($R48)=0),"Subactividad sin macroactividad arriba"&amp;" · ","")&amp;IF($D48="","Sin responsable"&amp;" · ","")&amp;IF($E48="","Sin fecha de inicio"&amp;" · ","")&amp;IF($F48="","Sin fecha límite"&amp;" · ","")&amp;IF(OR(AND($E48&lt;&gt;"",NOT(ISNUMBER($E48))),AND($F48&lt;&gt;"",NOT(ISNUMBER($F48)))),"Fecha no válida"&amp;" · ","")&amp;IF(AND(ISNUMBER($E48),ISNUMBER($F48),$E48&gt;$F48),"Inicio posterior a fecha límite"&amp;" · ","")&amp;IF(AND($S48="Macro",$G48=""),"Peso vacío"&amp;" · ","")&amp;IF(AND($S48="Macro",$G48&lt;&gt;"",OR(NOT(ISNUMBER($G48)),$G48&lt;=0,$G48&gt;1)),"Peso fuera de rango"&amp;" · ","")&amp;IF(AND($S48="Sub",$G48&lt;&gt;""),"Las subactividades no llevan peso"&amp;" · ","")&amp;IF(AND($S48="Macro",ABS(SUMIFS($G$5:$G$1000,$P$5:$P$1000,$P48,$S$5:$S$1000,"Macro")-1)&gt;0.0001),"Pesos del mes suman "&amp;TEXT(SUMIFS($G$5:$G$1000,$P$5:$P$1000,$P48,$S$5:$S$1000,"Macro"),"0%")&amp;" · ","")&amp;IF(AND(N($T48)&gt;0,COUNT($H48:$K48)&gt;0),"Con subactividades: deje vacías las semanas (se calculan solas)"&amp;" · ","")&amp;IF((COUNTIF($H48:$K48,"&gt;1")+COUNTIF($H48:$K48,"&lt;0")+COUNTA($H48:$K48)-COUNT($H48:$K48))&gt;0,"Avance fuera de rango 0-100%"&amp;" · ","")&amp;IF(OR(AND($I48&lt;&gt;"",$I48&lt;$H48),AND($J48&lt;&gt;"",$J48&lt;MAX($H48:$I48)),AND($K48&lt;&gt;"",$K48&lt;MAX($H48:$J48))),"Avance semanal decreciente"&amp;" · ","")&amp;IF(AND(ISNUMBER($F48),$F48&lt;FechaRef,N($L48)&lt;1),"Vencida"&amp;" · ","")&amp;IF(AND(ObsObligatoria="Sí",ISNUMBER($F48),$F48&lt;FechaRef,N($L48)&lt;1,$N48=""),"Vencida sin observación"&amp;" · ",""),LEN(IF(AND($S48="Macro",$B48=""),"Macroactividad vacía"&amp;" · ","")&amp;IF(AND($B48&lt;&gt;"",$C48&lt;&gt;""),"Escriba la subactividad en otra fila, debajo de su macroactividad"&amp;" · ","")&amp;IF(AND($S48="Sub",N($R48)=0),"Subactividad sin macroactividad arriba"&amp;" · ","")&amp;IF($D48="","Sin responsable"&amp;" · ","")&amp;IF($E48="","Sin fecha de inicio"&amp;" · ","")&amp;IF($F48="","Sin fecha límite"&amp;" · ","")&amp;IF(OR(AND($E48&lt;&gt;"",NOT(ISNUMBER($E48))),AND($F48&lt;&gt;"",NOT(ISNUMBER($F48)))),"Fecha no válida"&amp;" · ","")&amp;IF(AND(ISNUMBER($E48),ISNUMBER($F48),$E48&gt;$F48),"Inicio posterior a fecha límite"&amp;" · ","")&amp;IF(AND($S48="Macro",$G48=""),"Peso vacío"&amp;" · ","")&amp;IF(AND($S48="Macro",$G48&lt;&gt;"",OR(NOT(ISNUMBER($G48)),$G48&lt;=0,$G48&gt;1)),"Peso fuera de rango"&amp;" · ","")&amp;IF(AND($S48="Sub",$G48&lt;&gt;""),"Las subactividades no llevan peso"&amp;" · ","")&amp;IF(AND($S48="Macro",ABS(SUMIFS($G$5:$G$1000,$P$5:$P$1000,$P48,$S$5:$S$1000,"Macro")-1)&gt;0.0001),"Pesos del mes suman "&amp;TEXT(SUMIFS($G$5:$G$1000,$P$5:$P$1000,$P48,$S$5:$S$1000,"Macro"),"0%")&amp;" · ","")&amp;IF(AND(N($T48)&gt;0,COUNT($H48:$K48)&gt;0),"Con subactividades: deje vacías las semanas (se calculan solas)"&amp;" · ","")&amp;IF((COUNTIF($H48:$K48,"&gt;1")+COUNTIF($H48:$K48,"&lt;0")+COUNTA($H48:$K48)-COUNT($H48:$K48))&gt;0,"Avance fuera de rango 0-100%"&amp;" · ","")&amp;IF(OR(AND($I48&lt;&gt;"",$I48&lt;$H48),AND($J48&lt;&gt;"",$J48&lt;MAX($H48:$I48)),AND($K48&lt;&gt;"",$K48&lt;MAX($H48:$J48))),"Avance semanal decreciente"&amp;" · ","")&amp;IF(AND(ISNUMBER($F48),$F48&lt;FechaRef,N($L48)&lt;1),"Vencida"&amp;" · ","")&amp;IF(AND(ObsObligatoria="Sí",ISNUMBER($F48),$F48&lt;FechaRef,N($L48)&lt;1,$N48=""),"Vencida sin observación"&amp;" · ",""))-3)))</f>
        <v/>
      </c>
      <c r="P48" s="69">
        <f>IF(NOT((COUNTA($B48:$K48)+COUNTA($N48))&gt;0),"",IF(AND($S48="Sub",N($R48)&gt;0),IF(ISNUMBER(INDEX($E$5:$E$1000,$R48-4)),DATE(YEAR(INDEX($E$5:$E$1000,$R48-4)),MONTH(INDEX($E$5:$E$1000,$R48-4)),1),IF(ISNUMBER(INDEX($F$5:$F$1000,$R48-4)),DATE(YEAR(INDEX($F$5:$F$1000,$R48-4)),MONTH(INDEX($F$5:$F$1000,$R48-4)),1),MesCiclo)),IF(ISNUMBER($E48),DATE(YEAR($E48),MONTH($E48),1),IF(ISNUMBER($F48),DATE(YEAR($F48),MONTH($F48),1),MesCiclo))))</f>
        <v/>
      </c>
      <c r="Q48" s="70">
        <f>IF(OR($P48="",$P48&lt;&gt;MesCiclo),"",COUNTIF($P$5:$P48,MesCiclo))</f>
        <v/>
      </c>
      <c r="R48" s="70">
        <f>IF($S48="","",IF($S48="Macro",ROW(),IFERROR(LOOKUP(2,1/($S$5:$S48="Macro"),ROW($S$5:$S48)),0)))</f>
        <v/>
      </c>
      <c r="S48" s="70">
        <f>IF(NOT((COUNTA($B48:$K48)+COUNTA($N48))&gt;0),"",IF($B48&lt;&gt;"","Macro",IF($C48&lt;&gt;"","Sub","Macro")))</f>
        <v/>
      </c>
      <c r="T48" s="70">
        <f>IF($S48="Macro",COUNTIFS($R$5:$R$1000,ROW(),$S$5:$S$1000,"Sub"),"")</f>
        <v/>
      </c>
      <c r="U48" s="70">
        <f>IF($S48="","",IF(ISNUMBER($H48),$H48,0))</f>
        <v/>
      </c>
      <c r="V48" s="70">
        <f>IF($S48="","",IF(ISNUMBER($I48),$I48,$U48))</f>
        <v/>
      </c>
      <c r="W48" s="70">
        <f>IF($S48="","",IF(ISNUMBER($J48),$J48,$V48))</f>
        <v/>
      </c>
      <c r="X48" s="70">
        <f>IF($S48="","",IF(ISNUMBER($K48),$K48,$W48))</f>
        <v/>
      </c>
      <c r="Y48" s="70">
        <f>IF($S48="","",IF(N($T48)&gt;0,AVERAGEIFS($U$5:$U$1000,$R$5:$R$1000,ROW(),$S$5:$S$1000,"Sub"),$U48))</f>
        <v/>
      </c>
      <c r="Z48" s="70">
        <f>IF($S48="","",IF(N($T48)&gt;0,AVERAGEIFS($V$5:$V$1000,$R$5:$R$1000,ROW(),$S$5:$S$1000,"Sub"),$V48))</f>
        <v/>
      </c>
      <c r="AA48" s="70">
        <f>IF($S48="","",IF(N($T48)&gt;0,AVERAGEIFS($W$5:$W$1000,$R$5:$R$1000,ROW(),$S$5:$S$1000,"Sub"),$W48))</f>
        <v/>
      </c>
      <c r="AB48" s="70">
        <f>IF($S48="","",IF(N($T48)&gt;0,AVERAGEIFS($X$5:$X$1000,$R$5:$R$1000,ROW(),$S$5:$S$1000,"Sub"),$X48))</f>
        <v/>
      </c>
    </row>
    <row r="49">
      <c r="A49" s="61">
        <f>IF(NOT((COUNTA($B49:$K49)+COUNTA($N49))&gt;0),"",IF($S49="Macro",COUNTIFS($S$5:$S49,"Macro",$P$5:$P49,$P49),IF(N($R49)=0,"?",COUNTIFS(INDEX($S$5:$S$1000,1):INDEX($S$5:$S$1000,$R49-4),"Macro",INDEX($P$5:$P$1000,1):INDEX($P$5:$P$1000,$R49-4),INDEX($P$5:$P$1000,$R49-4))&amp;"."&amp;COUNTIFS($R$5:$R49,$R49,$S$5:$S49,"Sub"))))</f>
        <v/>
      </c>
      <c r="B49" s="62" t="n"/>
      <c r="C49" s="63" t="n"/>
      <c r="D49" s="62" t="n"/>
      <c r="E49" s="64" t="n"/>
      <c r="F49" s="64" t="n"/>
      <c r="G49" s="65" t="n"/>
      <c r="H49" s="66" t="n"/>
      <c r="I49" s="66" t="n"/>
      <c r="J49" s="66" t="n"/>
      <c r="K49" s="66" t="n"/>
      <c r="L49" s="67">
        <f>IF(NOT((COUNTA($B49:$K49)+COUNTA($N49))&gt;0),"",IF(N($T49)&gt;0,$AB49,IFERROR(LOOKUP(2,1/(H49:K49&lt;&gt;""),H49:K49),0)))</f>
        <v/>
      </c>
      <c r="M49" s="61">
        <f>IF(L49="","",IF(L49&gt;=1,"Completado",IF(L49&gt;0,"En curso","Pendiente")))</f>
        <v/>
      </c>
      <c r="N49" s="62" t="n"/>
      <c r="O49" s="68">
        <f>IF(NOT((COUNTA($B49:$K49)+COUNTA($N49))&gt;0),"",IF((IF(AND($S49="Macro",$B49=""),"Macroactividad vacía"&amp;" · ","")&amp;IF(AND($B49&lt;&gt;"",$C49&lt;&gt;""),"Escriba la subactividad en otra fila, debajo de su macroactividad"&amp;" · ","")&amp;IF(AND($S49="Sub",N($R49)=0),"Subactividad sin macroactividad arriba"&amp;" · ","")&amp;IF($D49="","Sin responsable"&amp;" · ","")&amp;IF($E49="","Sin fecha de inicio"&amp;" · ","")&amp;IF($F49="","Sin fecha límite"&amp;" · ","")&amp;IF(OR(AND($E49&lt;&gt;"",NOT(ISNUMBER($E49))),AND($F49&lt;&gt;"",NOT(ISNUMBER($F49)))),"Fecha no válida"&amp;" · ","")&amp;IF(AND(ISNUMBER($E49),ISNUMBER($F49),$E49&gt;$F49),"Inicio posterior a fecha límite"&amp;" · ","")&amp;IF(AND($S49="Macro",$G49=""),"Peso vacío"&amp;" · ","")&amp;IF(AND($S49="Macro",$G49&lt;&gt;"",OR(NOT(ISNUMBER($G49)),$G49&lt;=0,$G49&gt;1)),"Peso fuera de rango"&amp;" · ","")&amp;IF(AND($S49="Sub",$G49&lt;&gt;""),"Las subactividades no llevan peso"&amp;" · ","")&amp;IF(AND($S49="Macro",ABS(SUMIFS($G$5:$G$1000,$P$5:$P$1000,$P49,$S$5:$S$1000,"Macro")-1)&gt;0.0001),"Pesos del mes suman "&amp;TEXT(SUMIFS($G$5:$G$1000,$P$5:$P$1000,$P49,$S$5:$S$1000,"Macro"),"0%")&amp;" · ","")&amp;IF(AND(N($T49)&gt;0,COUNT($H49:$K49)&gt;0),"Con subactividades: deje vacías las semanas (se calculan solas)"&amp;" · ","")&amp;IF((COUNTIF($H49:$K49,"&gt;1")+COUNTIF($H49:$K49,"&lt;0")+COUNTA($H49:$K49)-COUNT($H49:$K49))&gt;0,"Avance fuera de rango 0-100%"&amp;" · ","")&amp;IF(OR(AND($I49&lt;&gt;"",$I49&lt;$H49),AND($J49&lt;&gt;"",$J49&lt;MAX($H49:$I49)),AND($K49&lt;&gt;"",$K49&lt;MAX($H49:$J49))),"Avance semanal decreciente"&amp;" · ","")&amp;IF(AND(ISNUMBER($F49),$F49&lt;FechaRef,N($L49)&lt;1),"Vencida"&amp;" · ","")&amp;IF(AND(ObsObligatoria="Sí",ISNUMBER($F49),$F49&lt;FechaRef,N($L49)&lt;1,$N49=""),"Vencida sin observación"&amp;" · ",""))="","✔ OK","⚠ "&amp;LEFT(IF(AND($S49="Macro",$B49=""),"Macroactividad vacía"&amp;" · ","")&amp;IF(AND($B49&lt;&gt;"",$C49&lt;&gt;""),"Escriba la subactividad en otra fila, debajo de su macroactividad"&amp;" · ","")&amp;IF(AND($S49="Sub",N($R49)=0),"Subactividad sin macroactividad arriba"&amp;" · ","")&amp;IF($D49="","Sin responsable"&amp;" · ","")&amp;IF($E49="","Sin fecha de inicio"&amp;" · ","")&amp;IF($F49="","Sin fecha límite"&amp;" · ","")&amp;IF(OR(AND($E49&lt;&gt;"",NOT(ISNUMBER($E49))),AND($F49&lt;&gt;"",NOT(ISNUMBER($F49)))),"Fecha no válida"&amp;" · ","")&amp;IF(AND(ISNUMBER($E49),ISNUMBER($F49),$E49&gt;$F49),"Inicio posterior a fecha límite"&amp;" · ","")&amp;IF(AND($S49="Macro",$G49=""),"Peso vacío"&amp;" · ","")&amp;IF(AND($S49="Macro",$G49&lt;&gt;"",OR(NOT(ISNUMBER($G49)),$G49&lt;=0,$G49&gt;1)),"Peso fuera de rango"&amp;" · ","")&amp;IF(AND($S49="Sub",$G49&lt;&gt;""),"Las subactividades no llevan peso"&amp;" · ","")&amp;IF(AND($S49="Macro",ABS(SUMIFS($G$5:$G$1000,$P$5:$P$1000,$P49,$S$5:$S$1000,"Macro")-1)&gt;0.0001),"Pesos del mes suman "&amp;TEXT(SUMIFS($G$5:$G$1000,$P$5:$P$1000,$P49,$S$5:$S$1000,"Macro"),"0%")&amp;" · ","")&amp;IF(AND(N($T49)&gt;0,COUNT($H49:$K49)&gt;0),"Con subactividades: deje vacías las semanas (se calculan solas)"&amp;" · ","")&amp;IF((COUNTIF($H49:$K49,"&gt;1")+COUNTIF($H49:$K49,"&lt;0")+COUNTA($H49:$K49)-COUNT($H49:$K49))&gt;0,"Avance fuera de rango 0-100%"&amp;" · ","")&amp;IF(OR(AND($I49&lt;&gt;"",$I49&lt;$H49),AND($J49&lt;&gt;"",$J49&lt;MAX($H49:$I49)),AND($K49&lt;&gt;"",$K49&lt;MAX($H49:$J49))),"Avance semanal decreciente"&amp;" · ","")&amp;IF(AND(ISNUMBER($F49),$F49&lt;FechaRef,N($L49)&lt;1),"Vencida"&amp;" · ","")&amp;IF(AND(ObsObligatoria="Sí",ISNUMBER($F49),$F49&lt;FechaRef,N($L49)&lt;1,$N49=""),"Vencida sin observación"&amp;" · ",""),LEN(IF(AND($S49="Macro",$B49=""),"Macroactividad vacía"&amp;" · ","")&amp;IF(AND($B49&lt;&gt;"",$C49&lt;&gt;""),"Escriba la subactividad en otra fila, debajo de su macroactividad"&amp;" · ","")&amp;IF(AND($S49="Sub",N($R49)=0),"Subactividad sin macroactividad arriba"&amp;" · ","")&amp;IF($D49="","Sin responsable"&amp;" · ","")&amp;IF($E49="","Sin fecha de inicio"&amp;" · ","")&amp;IF($F49="","Sin fecha límite"&amp;" · ","")&amp;IF(OR(AND($E49&lt;&gt;"",NOT(ISNUMBER($E49))),AND($F49&lt;&gt;"",NOT(ISNUMBER($F49)))),"Fecha no válida"&amp;" · ","")&amp;IF(AND(ISNUMBER($E49),ISNUMBER($F49),$E49&gt;$F49),"Inicio posterior a fecha límite"&amp;" · ","")&amp;IF(AND($S49="Macro",$G49=""),"Peso vacío"&amp;" · ","")&amp;IF(AND($S49="Macro",$G49&lt;&gt;"",OR(NOT(ISNUMBER($G49)),$G49&lt;=0,$G49&gt;1)),"Peso fuera de rango"&amp;" · ","")&amp;IF(AND($S49="Sub",$G49&lt;&gt;""),"Las subactividades no llevan peso"&amp;" · ","")&amp;IF(AND($S49="Macro",ABS(SUMIFS($G$5:$G$1000,$P$5:$P$1000,$P49,$S$5:$S$1000,"Macro")-1)&gt;0.0001),"Pesos del mes suman "&amp;TEXT(SUMIFS($G$5:$G$1000,$P$5:$P$1000,$P49,$S$5:$S$1000,"Macro"),"0%")&amp;" · ","")&amp;IF(AND(N($T49)&gt;0,COUNT($H49:$K49)&gt;0),"Con subactividades: deje vacías las semanas (se calculan solas)"&amp;" · ","")&amp;IF((COUNTIF($H49:$K49,"&gt;1")+COUNTIF($H49:$K49,"&lt;0")+COUNTA($H49:$K49)-COUNT($H49:$K49))&gt;0,"Avance fuera de rango 0-100%"&amp;" · ","")&amp;IF(OR(AND($I49&lt;&gt;"",$I49&lt;$H49),AND($J49&lt;&gt;"",$J49&lt;MAX($H49:$I49)),AND($K49&lt;&gt;"",$K49&lt;MAX($H49:$J49))),"Avance semanal decreciente"&amp;" · ","")&amp;IF(AND(ISNUMBER($F49),$F49&lt;FechaRef,N($L49)&lt;1),"Vencida"&amp;" · ","")&amp;IF(AND(ObsObligatoria="Sí",ISNUMBER($F49),$F49&lt;FechaRef,N($L49)&lt;1,$N49=""),"Vencida sin observación"&amp;" · ",""))-3)))</f>
        <v/>
      </c>
      <c r="P49" s="69">
        <f>IF(NOT((COUNTA($B49:$K49)+COUNTA($N49))&gt;0),"",IF(AND($S49="Sub",N($R49)&gt;0),IF(ISNUMBER(INDEX($E$5:$E$1000,$R49-4)),DATE(YEAR(INDEX($E$5:$E$1000,$R49-4)),MONTH(INDEX($E$5:$E$1000,$R49-4)),1),IF(ISNUMBER(INDEX($F$5:$F$1000,$R49-4)),DATE(YEAR(INDEX($F$5:$F$1000,$R49-4)),MONTH(INDEX($F$5:$F$1000,$R49-4)),1),MesCiclo)),IF(ISNUMBER($E49),DATE(YEAR($E49),MONTH($E49),1),IF(ISNUMBER($F49),DATE(YEAR($F49),MONTH($F49),1),MesCiclo))))</f>
        <v/>
      </c>
      <c r="Q49" s="70">
        <f>IF(OR($P49="",$P49&lt;&gt;MesCiclo),"",COUNTIF($P$5:$P49,MesCiclo))</f>
        <v/>
      </c>
      <c r="R49" s="70">
        <f>IF($S49="","",IF($S49="Macro",ROW(),IFERROR(LOOKUP(2,1/($S$5:$S49="Macro"),ROW($S$5:$S49)),0)))</f>
        <v/>
      </c>
      <c r="S49" s="70">
        <f>IF(NOT((COUNTA($B49:$K49)+COUNTA($N49))&gt;0),"",IF($B49&lt;&gt;"","Macro",IF($C49&lt;&gt;"","Sub","Macro")))</f>
        <v/>
      </c>
      <c r="T49" s="70">
        <f>IF($S49="Macro",COUNTIFS($R$5:$R$1000,ROW(),$S$5:$S$1000,"Sub"),"")</f>
        <v/>
      </c>
      <c r="U49" s="70">
        <f>IF($S49="","",IF(ISNUMBER($H49),$H49,0))</f>
        <v/>
      </c>
      <c r="V49" s="70">
        <f>IF($S49="","",IF(ISNUMBER($I49),$I49,$U49))</f>
        <v/>
      </c>
      <c r="W49" s="70">
        <f>IF($S49="","",IF(ISNUMBER($J49),$J49,$V49))</f>
        <v/>
      </c>
      <c r="X49" s="70">
        <f>IF($S49="","",IF(ISNUMBER($K49),$K49,$W49))</f>
        <v/>
      </c>
      <c r="Y49" s="70">
        <f>IF($S49="","",IF(N($T49)&gt;0,AVERAGEIFS($U$5:$U$1000,$R$5:$R$1000,ROW(),$S$5:$S$1000,"Sub"),$U49))</f>
        <v/>
      </c>
      <c r="Z49" s="70">
        <f>IF($S49="","",IF(N($T49)&gt;0,AVERAGEIFS($V$5:$V$1000,$R$5:$R$1000,ROW(),$S$5:$S$1000,"Sub"),$V49))</f>
        <v/>
      </c>
      <c r="AA49" s="70">
        <f>IF($S49="","",IF(N($T49)&gt;0,AVERAGEIFS($W$5:$W$1000,$R$5:$R$1000,ROW(),$S$5:$S$1000,"Sub"),$W49))</f>
        <v/>
      </c>
      <c r="AB49" s="70">
        <f>IF($S49="","",IF(N($T49)&gt;0,AVERAGEIFS($X$5:$X$1000,$R$5:$R$1000,ROW(),$S$5:$S$1000,"Sub"),$X49))</f>
        <v/>
      </c>
    </row>
    <row r="50">
      <c r="A50" s="61">
        <f>IF(NOT((COUNTA($B50:$K50)+COUNTA($N50))&gt;0),"",IF($S50="Macro",COUNTIFS($S$5:$S50,"Macro",$P$5:$P50,$P50),IF(N($R50)=0,"?",COUNTIFS(INDEX($S$5:$S$1000,1):INDEX($S$5:$S$1000,$R50-4),"Macro",INDEX($P$5:$P$1000,1):INDEX($P$5:$P$1000,$R50-4),INDEX($P$5:$P$1000,$R50-4))&amp;"."&amp;COUNTIFS($R$5:$R50,$R50,$S$5:$S50,"Sub"))))</f>
        <v/>
      </c>
      <c r="B50" s="62" t="n"/>
      <c r="C50" s="63" t="n"/>
      <c r="D50" s="62" t="n"/>
      <c r="E50" s="64" t="n"/>
      <c r="F50" s="64" t="n"/>
      <c r="G50" s="65" t="n"/>
      <c r="H50" s="66" t="n"/>
      <c r="I50" s="66" t="n"/>
      <c r="J50" s="66" t="n"/>
      <c r="K50" s="66" t="n"/>
      <c r="L50" s="67">
        <f>IF(NOT((COUNTA($B50:$K50)+COUNTA($N50))&gt;0),"",IF(N($T50)&gt;0,$AB50,IFERROR(LOOKUP(2,1/(H50:K50&lt;&gt;""),H50:K50),0)))</f>
        <v/>
      </c>
      <c r="M50" s="61">
        <f>IF(L50="","",IF(L50&gt;=1,"Completado",IF(L50&gt;0,"En curso","Pendiente")))</f>
        <v/>
      </c>
      <c r="N50" s="62" t="n"/>
      <c r="O50" s="68">
        <f>IF(NOT((COUNTA($B50:$K50)+COUNTA($N50))&gt;0),"",IF((IF(AND($S50="Macro",$B50=""),"Macroactividad vacía"&amp;" · ","")&amp;IF(AND($B50&lt;&gt;"",$C50&lt;&gt;""),"Escriba la subactividad en otra fila, debajo de su macroactividad"&amp;" · ","")&amp;IF(AND($S50="Sub",N($R50)=0),"Subactividad sin macroactividad arriba"&amp;" · ","")&amp;IF($D50="","Sin responsable"&amp;" · ","")&amp;IF($E50="","Sin fecha de inicio"&amp;" · ","")&amp;IF($F50="","Sin fecha límite"&amp;" · ","")&amp;IF(OR(AND($E50&lt;&gt;"",NOT(ISNUMBER($E50))),AND($F50&lt;&gt;"",NOT(ISNUMBER($F50)))),"Fecha no válida"&amp;" · ","")&amp;IF(AND(ISNUMBER($E50),ISNUMBER($F50),$E50&gt;$F50),"Inicio posterior a fecha límite"&amp;" · ","")&amp;IF(AND($S50="Macro",$G50=""),"Peso vacío"&amp;" · ","")&amp;IF(AND($S50="Macro",$G50&lt;&gt;"",OR(NOT(ISNUMBER($G50)),$G50&lt;=0,$G50&gt;1)),"Peso fuera de rango"&amp;" · ","")&amp;IF(AND($S50="Sub",$G50&lt;&gt;""),"Las subactividades no llevan peso"&amp;" · ","")&amp;IF(AND($S50="Macro",ABS(SUMIFS($G$5:$G$1000,$P$5:$P$1000,$P50,$S$5:$S$1000,"Macro")-1)&gt;0.0001),"Pesos del mes suman "&amp;TEXT(SUMIFS($G$5:$G$1000,$P$5:$P$1000,$P50,$S$5:$S$1000,"Macro"),"0%")&amp;" · ","")&amp;IF(AND(N($T50)&gt;0,COUNT($H50:$K50)&gt;0),"Con subactividades: deje vacías las semanas (se calculan solas)"&amp;" · ","")&amp;IF((COUNTIF($H50:$K50,"&gt;1")+COUNTIF($H50:$K50,"&lt;0")+COUNTA($H50:$K50)-COUNT($H50:$K50))&gt;0,"Avance fuera de rango 0-100%"&amp;" · ","")&amp;IF(OR(AND($I50&lt;&gt;"",$I50&lt;$H50),AND($J50&lt;&gt;"",$J50&lt;MAX($H50:$I50)),AND($K50&lt;&gt;"",$K50&lt;MAX($H50:$J50))),"Avance semanal decreciente"&amp;" · ","")&amp;IF(AND(ISNUMBER($F50),$F50&lt;FechaRef,N($L50)&lt;1),"Vencida"&amp;" · ","")&amp;IF(AND(ObsObligatoria="Sí",ISNUMBER($F50),$F50&lt;FechaRef,N($L50)&lt;1,$N50=""),"Vencida sin observación"&amp;" · ",""))="","✔ OK","⚠ "&amp;LEFT(IF(AND($S50="Macro",$B50=""),"Macroactividad vacía"&amp;" · ","")&amp;IF(AND($B50&lt;&gt;"",$C50&lt;&gt;""),"Escriba la subactividad en otra fila, debajo de su macroactividad"&amp;" · ","")&amp;IF(AND($S50="Sub",N($R50)=0),"Subactividad sin macroactividad arriba"&amp;" · ","")&amp;IF($D50="","Sin responsable"&amp;" · ","")&amp;IF($E50="","Sin fecha de inicio"&amp;" · ","")&amp;IF($F50="","Sin fecha límite"&amp;" · ","")&amp;IF(OR(AND($E50&lt;&gt;"",NOT(ISNUMBER($E50))),AND($F50&lt;&gt;"",NOT(ISNUMBER($F50)))),"Fecha no válida"&amp;" · ","")&amp;IF(AND(ISNUMBER($E50),ISNUMBER($F50),$E50&gt;$F50),"Inicio posterior a fecha límite"&amp;" · ","")&amp;IF(AND($S50="Macro",$G50=""),"Peso vacío"&amp;" · ","")&amp;IF(AND($S50="Macro",$G50&lt;&gt;"",OR(NOT(ISNUMBER($G50)),$G50&lt;=0,$G50&gt;1)),"Peso fuera de rango"&amp;" · ","")&amp;IF(AND($S50="Sub",$G50&lt;&gt;""),"Las subactividades no llevan peso"&amp;" · ","")&amp;IF(AND($S50="Macro",ABS(SUMIFS($G$5:$G$1000,$P$5:$P$1000,$P50,$S$5:$S$1000,"Macro")-1)&gt;0.0001),"Pesos del mes suman "&amp;TEXT(SUMIFS($G$5:$G$1000,$P$5:$P$1000,$P50,$S$5:$S$1000,"Macro"),"0%")&amp;" · ","")&amp;IF(AND(N($T50)&gt;0,COUNT($H50:$K50)&gt;0),"Con subactividades: deje vacías las semanas (se calculan solas)"&amp;" · ","")&amp;IF((COUNTIF($H50:$K50,"&gt;1")+COUNTIF($H50:$K50,"&lt;0")+COUNTA($H50:$K50)-COUNT($H50:$K50))&gt;0,"Avance fuera de rango 0-100%"&amp;" · ","")&amp;IF(OR(AND($I50&lt;&gt;"",$I50&lt;$H50),AND($J50&lt;&gt;"",$J50&lt;MAX($H50:$I50)),AND($K50&lt;&gt;"",$K50&lt;MAX($H50:$J50))),"Avance semanal decreciente"&amp;" · ","")&amp;IF(AND(ISNUMBER($F50),$F50&lt;FechaRef,N($L50)&lt;1),"Vencida"&amp;" · ","")&amp;IF(AND(ObsObligatoria="Sí",ISNUMBER($F50),$F50&lt;FechaRef,N($L50)&lt;1,$N50=""),"Vencida sin observación"&amp;" · ",""),LEN(IF(AND($S50="Macro",$B50=""),"Macroactividad vacía"&amp;" · ","")&amp;IF(AND($B50&lt;&gt;"",$C50&lt;&gt;""),"Escriba la subactividad en otra fila, debajo de su macroactividad"&amp;" · ","")&amp;IF(AND($S50="Sub",N($R50)=0),"Subactividad sin macroactividad arriba"&amp;" · ","")&amp;IF($D50="","Sin responsable"&amp;" · ","")&amp;IF($E50="","Sin fecha de inicio"&amp;" · ","")&amp;IF($F50="","Sin fecha límite"&amp;" · ","")&amp;IF(OR(AND($E50&lt;&gt;"",NOT(ISNUMBER($E50))),AND($F50&lt;&gt;"",NOT(ISNUMBER($F50)))),"Fecha no válida"&amp;" · ","")&amp;IF(AND(ISNUMBER($E50),ISNUMBER($F50),$E50&gt;$F50),"Inicio posterior a fecha límite"&amp;" · ","")&amp;IF(AND($S50="Macro",$G50=""),"Peso vacío"&amp;" · ","")&amp;IF(AND($S50="Macro",$G50&lt;&gt;"",OR(NOT(ISNUMBER($G50)),$G50&lt;=0,$G50&gt;1)),"Peso fuera de rango"&amp;" · ","")&amp;IF(AND($S50="Sub",$G50&lt;&gt;""),"Las subactividades no llevan peso"&amp;" · ","")&amp;IF(AND($S50="Macro",ABS(SUMIFS($G$5:$G$1000,$P$5:$P$1000,$P50,$S$5:$S$1000,"Macro")-1)&gt;0.0001),"Pesos del mes suman "&amp;TEXT(SUMIFS($G$5:$G$1000,$P$5:$P$1000,$P50,$S$5:$S$1000,"Macro"),"0%")&amp;" · ","")&amp;IF(AND(N($T50)&gt;0,COUNT($H50:$K50)&gt;0),"Con subactividades: deje vacías las semanas (se calculan solas)"&amp;" · ","")&amp;IF((COUNTIF($H50:$K50,"&gt;1")+COUNTIF($H50:$K50,"&lt;0")+COUNTA($H50:$K50)-COUNT($H50:$K50))&gt;0,"Avance fuera de rango 0-100%"&amp;" · ","")&amp;IF(OR(AND($I50&lt;&gt;"",$I50&lt;$H50),AND($J50&lt;&gt;"",$J50&lt;MAX($H50:$I50)),AND($K50&lt;&gt;"",$K50&lt;MAX($H50:$J50))),"Avance semanal decreciente"&amp;" · ","")&amp;IF(AND(ISNUMBER($F50),$F50&lt;FechaRef,N($L50)&lt;1),"Vencida"&amp;" · ","")&amp;IF(AND(ObsObligatoria="Sí",ISNUMBER($F50),$F50&lt;FechaRef,N($L50)&lt;1,$N50=""),"Vencida sin observación"&amp;" · ",""))-3)))</f>
        <v/>
      </c>
      <c r="P50" s="69">
        <f>IF(NOT((COUNTA($B50:$K50)+COUNTA($N50))&gt;0),"",IF(AND($S50="Sub",N($R50)&gt;0),IF(ISNUMBER(INDEX($E$5:$E$1000,$R50-4)),DATE(YEAR(INDEX($E$5:$E$1000,$R50-4)),MONTH(INDEX($E$5:$E$1000,$R50-4)),1),IF(ISNUMBER(INDEX($F$5:$F$1000,$R50-4)),DATE(YEAR(INDEX($F$5:$F$1000,$R50-4)),MONTH(INDEX($F$5:$F$1000,$R50-4)),1),MesCiclo)),IF(ISNUMBER($E50),DATE(YEAR($E50),MONTH($E50),1),IF(ISNUMBER($F50),DATE(YEAR($F50),MONTH($F50),1),MesCiclo))))</f>
        <v/>
      </c>
      <c r="Q50" s="70">
        <f>IF(OR($P50="",$P50&lt;&gt;MesCiclo),"",COUNTIF($P$5:$P50,MesCiclo))</f>
        <v/>
      </c>
      <c r="R50" s="70">
        <f>IF($S50="","",IF($S50="Macro",ROW(),IFERROR(LOOKUP(2,1/($S$5:$S50="Macro"),ROW($S$5:$S50)),0)))</f>
        <v/>
      </c>
      <c r="S50" s="70">
        <f>IF(NOT((COUNTA($B50:$K50)+COUNTA($N50))&gt;0),"",IF($B50&lt;&gt;"","Macro",IF($C50&lt;&gt;"","Sub","Macro")))</f>
        <v/>
      </c>
      <c r="T50" s="70">
        <f>IF($S50="Macro",COUNTIFS($R$5:$R$1000,ROW(),$S$5:$S$1000,"Sub"),"")</f>
        <v/>
      </c>
      <c r="U50" s="70">
        <f>IF($S50="","",IF(ISNUMBER($H50),$H50,0))</f>
        <v/>
      </c>
      <c r="V50" s="70">
        <f>IF($S50="","",IF(ISNUMBER($I50),$I50,$U50))</f>
        <v/>
      </c>
      <c r="W50" s="70">
        <f>IF($S50="","",IF(ISNUMBER($J50),$J50,$V50))</f>
        <v/>
      </c>
      <c r="X50" s="70">
        <f>IF($S50="","",IF(ISNUMBER($K50),$K50,$W50))</f>
        <v/>
      </c>
      <c r="Y50" s="70">
        <f>IF($S50="","",IF(N($T50)&gt;0,AVERAGEIFS($U$5:$U$1000,$R$5:$R$1000,ROW(),$S$5:$S$1000,"Sub"),$U50))</f>
        <v/>
      </c>
      <c r="Z50" s="70">
        <f>IF($S50="","",IF(N($T50)&gt;0,AVERAGEIFS($V$5:$V$1000,$R$5:$R$1000,ROW(),$S$5:$S$1000,"Sub"),$V50))</f>
        <v/>
      </c>
      <c r="AA50" s="70">
        <f>IF($S50="","",IF(N($T50)&gt;0,AVERAGEIFS($W$5:$W$1000,$R$5:$R$1000,ROW(),$S$5:$S$1000,"Sub"),$W50))</f>
        <v/>
      </c>
      <c r="AB50" s="70">
        <f>IF($S50="","",IF(N($T50)&gt;0,AVERAGEIFS($X$5:$X$1000,$R$5:$R$1000,ROW(),$S$5:$S$1000,"Sub"),$X50))</f>
        <v/>
      </c>
    </row>
    <row r="51">
      <c r="A51" s="61">
        <f>IF(NOT((COUNTA($B51:$K51)+COUNTA($N51))&gt;0),"",IF($S51="Macro",COUNTIFS($S$5:$S51,"Macro",$P$5:$P51,$P51),IF(N($R51)=0,"?",COUNTIFS(INDEX($S$5:$S$1000,1):INDEX($S$5:$S$1000,$R51-4),"Macro",INDEX($P$5:$P$1000,1):INDEX($P$5:$P$1000,$R51-4),INDEX($P$5:$P$1000,$R51-4))&amp;"."&amp;COUNTIFS($R$5:$R51,$R51,$S$5:$S51,"Sub"))))</f>
        <v/>
      </c>
      <c r="B51" s="62" t="n"/>
      <c r="C51" s="63" t="n"/>
      <c r="D51" s="62" t="n"/>
      <c r="E51" s="64" t="n"/>
      <c r="F51" s="64" t="n"/>
      <c r="G51" s="65" t="n"/>
      <c r="H51" s="66" t="n"/>
      <c r="I51" s="66" t="n"/>
      <c r="J51" s="66" t="n"/>
      <c r="K51" s="66" t="n"/>
      <c r="L51" s="67">
        <f>IF(NOT((COUNTA($B51:$K51)+COUNTA($N51))&gt;0),"",IF(N($T51)&gt;0,$AB51,IFERROR(LOOKUP(2,1/(H51:K51&lt;&gt;""),H51:K51),0)))</f>
        <v/>
      </c>
      <c r="M51" s="61">
        <f>IF(L51="","",IF(L51&gt;=1,"Completado",IF(L51&gt;0,"En curso","Pendiente")))</f>
        <v/>
      </c>
      <c r="N51" s="62" t="n"/>
      <c r="O51" s="68">
        <f>IF(NOT((COUNTA($B51:$K51)+COUNTA($N51))&gt;0),"",IF((IF(AND($S51="Macro",$B51=""),"Macroactividad vacía"&amp;" · ","")&amp;IF(AND($B51&lt;&gt;"",$C51&lt;&gt;""),"Escriba la subactividad en otra fila, debajo de su macroactividad"&amp;" · ","")&amp;IF(AND($S51="Sub",N($R51)=0),"Subactividad sin macroactividad arriba"&amp;" · ","")&amp;IF($D51="","Sin responsable"&amp;" · ","")&amp;IF($E51="","Sin fecha de inicio"&amp;" · ","")&amp;IF($F51="","Sin fecha límite"&amp;" · ","")&amp;IF(OR(AND($E51&lt;&gt;"",NOT(ISNUMBER($E51))),AND($F51&lt;&gt;"",NOT(ISNUMBER($F51)))),"Fecha no válida"&amp;" · ","")&amp;IF(AND(ISNUMBER($E51),ISNUMBER($F51),$E51&gt;$F51),"Inicio posterior a fecha límite"&amp;" · ","")&amp;IF(AND($S51="Macro",$G51=""),"Peso vacío"&amp;" · ","")&amp;IF(AND($S51="Macro",$G51&lt;&gt;"",OR(NOT(ISNUMBER($G51)),$G51&lt;=0,$G51&gt;1)),"Peso fuera de rango"&amp;" · ","")&amp;IF(AND($S51="Sub",$G51&lt;&gt;""),"Las subactividades no llevan peso"&amp;" · ","")&amp;IF(AND($S51="Macro",ABS(SUMIFS($G$5:$G$1000,$P$5:$P$1000,$P51,$S$5:$S$1000,"Macro")-1)&gt;0.0001),"Pesos del mes suman "&amp;TEXT(SUMIFS($G$5:$G$1000,$P$5:$P$1000,$P51,$S$5:$S$1000,"Macro"),"0%")&amp;" · ","")&amp;IF(AND(N($T51)&gt;0,COUNT($H51:$K51)&gt;0),"Con subactividades: deje vacías las semanas (se calculan solas)"&amp;" · ","")&amp;IF((COUNTIF($H51:$K51,"&gt;1")+COUNTIF($H51:$K51,"&lt;0")+COUNTA($H51:$K51)-COUNT($H51:$K51))&gt;0,"Avance fuera de rango 0-100%"&amp;" · ","")&amp;IF(OR(AND($I51&lt;&gt;"",$I51&lt;$H51),AND($J51&lt;&gt;"",$J51&lt;MAX($H51:$I51)),AND($K51&lt;&gt;"",$K51&lt;MAX($H51:$J51))),"Avance semanal decreciente"&amp;" · ","")&amp;IF(AND(ISNUMBER($F51),$F51&lt;FechaRef,N($L51)&lt;1),"Vencida"&amp;" · ","")&amp;IF(AND(ObsObligatoria="Sí",ISNUMBER($F51),$F51&lt;FechaRef,N($L51)&lt;1,$N51=""),"Vencida sin observación"&amp;" · ",""))="","✔ OK","⚠ "&amp;LEFT(IF(AND($S51="Macro",$B51=""),"Macroactividad vacía"&amp;" · ","")&amp;IF(AND($B51&lt;&gt;"",$C51&lt;&gt;""),"Escriba la subactividad en otra fila, debajo de su macroactividad"&amp;" · ","")&amp;IF(AND($S51="Sub",N($R51)=0),"Subactividad sin macroactividad arriba"&amp;" · ","")&amp;IF($D51="","Sin responsable"&amp;" · ","")&amp;IF($E51="","Sin fecha de inicio"&amp;" · ","")&amp;IF($F51="","Sin fecha límite"&amp;" · ","")&amp;IF(OR(AND($E51&lt;&gt;"",NOT(ISNUMBER($E51))),AND($F51&lt;&gt;"",NOT(ISNUMBER($F51)))),"Fecha no válida"&amp;" · ","")&amp;IF(AND(ISNUMBER($E51),ISNUMBER($F51),$E51&gt;$F51),"Inicio posterior a fecha límite"&amp;" · ","")&amp;IF(AND($S51="Macro",$G51=""),"Peso vacío"&amp;" · ","")&amp;IF(AND($S51="Macro",$G51&lt;&gt;"",OR(NOT(ISNUMBER($G51)),$G51&lt;=0,$G51&gt;1)),"Peso fuera de rango"&amp;" · ","")&amp;IF(AND($S51="Sub",$G51&lt;&gt;""),"Las subactividades no llevan peso"&amp;" · ","")&amp;IF(AND($S51="Macro",ABS(SUMIFS($G$5:$G$1000,$P$5:$P$1000,$P51,$S$5:$S$1000,"Macro")-1)&gt;0.0001),"Pesos del mes suman "&amp;TEXT(SUMIFS($G$5:$G$1000,$P$5:$P$1000,$P51,$S$5:$S$1000,"Macro"),"0%")&amp;" · ","")&amp;IF(AND(N($T51)&gt;0,COUNT($H51:$K51)&gt;0),"Con subactividades: deje vacías las semanas (se calculan solas)"&amp;" · ","")&amp;IF((COUNTIF($H51:$K51,"&gt;1")+COUNTIF($H51:$K51,"&lt;0")+COUNTA($H51:$K51)-COUNT($H51:$K51))&gt;0,"Avance fuera de rango 0-100%"&amp;" · ","")&amp;IF(OR(AND($I51&lt;&gt;"",$I51&lt;$H51),AND($J51&lt;&gt;"",$J51&lt;MAX($H51:$I51)),AND($K51&lt;&gt;"",$K51&lt;MAX($H51:$J51))),"Avance semanal decreciente"&amp;" · ","")&amp;IF(AND(ISNUMBER($F51),$F51&lt;FechaRef,N($L51)&lt;1),"Vencida"&amp;" · ","")&amp;IF(AND(ObsObligatoria="Sí",ISNUMBER($F51),$F51&lt;FechaRef,N($L51)&lt;1,$N51=""),"Vencida sin observación"&amp;" · ",""),LEN(IF(AND($S51="Macro",$B51=""),"Macroactividad vacía"&amp;" · ","")&amp;IF(AND($B51&lt;&gt;"",$C51&lt;&gt;""),"Escriba la subactividad en otra fila, debajo de su macroactividad"&amp;" · ","")&amp;IF(AND($S51="Sub",N($R51)=0),"Subactividad sin macroactividad arriba"&amp;" · ","")&amp;IF($D51="","Sin responsable"&amp;" · ","")&amp;IF($E51="","Sin fecha de inicio"&amp;" · ","")&amp;IF($F51="","Sin fecha límite"&amp;" · ","")&amp;IF(OR(AND($E51&lt;&gt;"",NOT(ISNUMBER($E51))),AND($F51&lt;&gt;"",NOT(ISNUMBER($F51)))),"Fecha no válida"&amp;" · ","")&amp;IF(AND(ISNUMBER($E51),ISNUMBER($F51),$E51&gt;$F51),"Inicio posterior a fecha límite"&amp;" · ","")&amp;IF(AND($S51="Macro",$G51=""),"Peso vacío"&amp;" · ","")&amp;IF(AND($S51="Macro",$G51&lt;&gt;"",OR(NOT(ISNUMBER($G51)),$G51&lt;=0,$G51&gt;1)),"Peso fuera de rango"&amp;" · ","")&amp;IF(AND($S51="Sub",$G51&lt;&gt;""),"Las subactividades no llevan peso"&amp;" · ","")&amp;IF(AND($S51="Macro",ABS(SUMIFS($G$5:$G$1000,$P$5:$P$1000,$P51,$S$5:$S$1000,"Macro")-1)&gt;0.0001),"Pesos del mes suman "&amp;TEXT(SUMIFS($G$5:$G$1000,$P$5:$P$1000,$P51,$S$5:$S$1000,"Macro"),"0%")&amp;" · ","")&amp;IF(AND(N($T51)&gt;0,COUNT($H51:$K51)&gt;0),"Con subactividades: deje vacías las semanas (se calculan solas)"&amp;" · ","")&amp;IF((COUNTIF($H51:$K51,"&gt;1")+COUNTIF($H51:$K51,"&lt;0")+COUNTA($H51:$K51)-COUNT($H51:$K51))&gt;0,"Avance fuera de rango 0-100%"&amp;" · ","")&amp;IF(OR(AND($I51&lt;&gt;"",$I51&lt;$H51),AND($J51&lt;&gt;"",$J51&lt;MAX($H51:$I51)),AND($K51&lt;&gt;"",$K51&lt;MAX($H51:$J51))),"Avance semanal decreciente"&amp;" · ","")&amp;IF(AND(ISNUMBER($F51),$F51&lt;FechaRef,N($L51)&lt;1),"Vencida"&amp;" · ","")&amp;IF(AND(ObsObligatoria="Sí",ISNUMBER($F51),$F51&lt;FechaRef,N($L51)&lt;1,$N51=""),"Vencida sin observación"&amp;" · ",""))-3)))</f>
        <v/>
      </c>
      <c r="P51" s="69">
        <f>IF(NOT((COUNTA($B51:$K51)+COUNTA($N51))&gt;0),"",IF(AND($S51="Sub",N($R51)&gt;0),IF(ISNUMBER(INDEX($E$5:$E$1000,$R51-4)),DATE(YEAR(INDEX($E$5:$E$1000,$R51-4)),MONTH(INDEX($E$5:$E$1000,$R51-4)),1),IF(ISNUMBER(INDEX($F$5:$F$1000,$R51-4)),DATE(YEAR(INDEX($F$5:$F$1000,$R51-4)),MONTH(INDEX($F$5:$F$1000,$R51-4)),1),MesCiclo)),IF(ISNUMBER($E51),DATE(YEAR($E51),MONTH($E51),1),IF(ISNUMBER($F51),DATE(YEAR($F51),MONTH($F51),1),MesCiclo))))</f>
        <v/>
      </c>
      <c r="Q51" s="70">
        <f>IF(OR($P51="",$P51&lt;&gt;MesCiclo),"",COUNTIF($P$5:$P51,MesCiclo))</f>
        <v/>
      </c>
      <c r="R51" s="70">
        <f>IF($S51="","",IF($S51="Macro",ROW(),IFERROR(LOOKUP(2,1/($S$5:$S51="Macro"),ROW($S$5:$S51)),0)))</f>
        <v/>
      </c>
      <c r="S51" s="70">
        <f>IF(NOT((COUNTA($B51:$K51)+COUNTA($N51))&gt;0),"",IF($B51&lt;&gt;"","Macro",IF($C51&lt;&gt;"","Sub","Macro")))</f>
        <v/>
      </c>
      <c r="T51" s="70">
        <f>IF($S51="Macro",COUNTIFS($R$5:$R$1000,ROW(),$S$5:$S$1000,"Sub"),"")</f>
        <v/>
      </c>
      <c r="U51" s="70">
        <f>IF($S51="","",IF(ISNUMBER($H51),$H51,0))</f>
        <v/>
      </c>
      <c r="V51" s="70">
        <f>IF($S51="","",IF(ISNUMBER($I51),$I51,$U51))</f>
        <v/>
      </c>
      <c r="W51" s="70">
        <f>IF($S51="","",IF(ISNUMBER($J51),$J51,$V51))</f>
        <v/>
      </c>
      <c r="X51" s="70">
        <f>IF($S51="","",IF(ISNUMBER($K51),$K51,$W51))</f>
        <v/>
      </c>
      <c r="Y51" s="70">
        <f>IF($S51="","",IF(N($T51)&gt;0,AVERAGEIFS($U$5:$U$1000,$R$5:$R$1000,ROW(),$S$5:$S$1000,"Sub"),$U51))</f>
        <v/>
      </c>
      <c r="Z51" s="70">
        <f>IF($S51="","",IF(N($T51)&gt;0,AVERAGEIFS($V$5:$V$1000,$R$5:$R$1000,ROW(),$S$5:$S$1000,"Sub"),$V51))</f>
        <v/>
      </c>
      <c r="AA51" s="70">
        <f>IF($S51="","",IF(N($T51)&gt;0,AVERAGEIFS($W$5:$W$1000,$R$5:$R$1000,ROW(),$S$5:$S$1000,"Sub"),$W51))</f>
        <v/>
      </c>
      <c r="AB51" s="70">
        <f>IF($S51="","",IF(N($T51)&gt;0,AVERAGEIFS($X$5:$X$1000,$R$5:$R$1000,ROW(),$S$5:$S$1000,"Sub"),$X51))</f>
        <v/>
      </c>
    </row>
    <row r="52">
      <c r="A52" s="61">
        <f>IF(NOT((COUNTA($B52:$K52)+COUNTA($N52))&gt;0),"",IF($S52="Macro",COUNTIFS($S$5:$S52,"Macro",$P$5:$P52,$P52),IF(N($R52)=0,"?",COUNTIFS(INDEX($S$5:$S$1000,1):INDEX($S$5:$S$1000,$R52-4),"Macro",INDEX($P$5:$P$1000,1):INDEX($P$5:$P$1000,$R52-4),INDEX($P$5:$P$1000,$R52-4))&amp;"."&amp;COUNTIFS($R$5:$R52,$R52,$S$5:$S52,"Sub"))))</f>
        <v/>
      </c>
      <c r="B52" s="62" t="n"/>
      <c r="C52" s="63" t="n"/>
      <c r="D52" s="62" t="n"/>
      <c r="E52" s="64" t="n"/>
      <c r="F52" s="64" t="n"/>
      <c r="G52" s="65" t="n"/>
      <c r="H52" s="66" t="n"/>
      <c r="I52" s="66" t="n"/>
      <c r="J52" s="66" t="n"/>
      <c r="K52" s="66" t="n"/>
      <c r="L52" s="67">
        <f>IF(NOT((COUNTA($B52:$K52)+COUNTA($N52))&gt;0),"",IF(N($T52)&gt;0,$AB52,IFERROR(LOOKUP(2,1/(H52:K52&lt;&gt;""),H52:K52),0)))</f>
        <v/>
      </c>
      <c r="M52" s="61">
        <f>IF(L52="","",IF(L52&gt;=1,"Completado",IF(L52&gt;0,"En curso","Pendiente")))</f>
        <v/>
      </c>
      <c r="N52" s="62" t="n"/>
      <c r="O52" s="68">
        <f>IF(NOT((COUNTA($B52:$K52)+COUNTA($N52))&gt;0),"",IF((IF(AND($S52="Macro",$B52=""),"Macroactividad vacía"&amp;" · ","")&amp;IF(AND($B52&lt;&gt;"",$C52&lt;&gt;""),"Escriba la subactividad en otra fila, debajo de su macroactividad"&amp;" · ","")&amp;IF(AND($S52="Sub",N($R52)=0),"Subactividad sin macroactividad arriba"&amp;" · ","")&amp;IF($D52="","Sin responsable"&amp;" · ","")&amp;IF($E52="","Sin fecha de inicio"&amp;" · ","")&amp;IF($F52="","Sin fecha límite"&amp;" · ","")&amp;IF(OR(AND($E52&lt;&gt;"",NOT(ISNUMBER($E52))),AND($F52&lt;&gt;"",NOT(ISNUMBER($F52)))),"Fecha no válida"&amp;" · ","")&amp;IF(AND(ISNUMBER($E52),ISNUMBER($F52),$E52&gt;$F52),"Inicio posterior a fecha límite"&amp;" · ","")&amp;IF(AND($S52="Macro",$G52=""),"Peso vacío"&amp;" · ","")&amp;IF(AND($S52="Macro",$G52&lt;&gt;"",OR(NOT(ISNUMBER($G52)),$G52&lt;=0,$G52&gt;1)),"Peso fuera de rango"&amp;" · ","")&amp;IF(AND($S52="Sub",$G52&lt;&gt;""),"Las subactividades no llevan peso"&amp;" · ","")&amp;IF(AND($S52="Macro",ABS(SUMIFS($G$5:$G$1000,$P$5:$P$1000,$P52,$S$5:$S$1000,"Macro")-1)&gt;0.0001),"Pesos del mes suman "&amp;TEXT(SUMIFS($G$5:$G$1000,$P$5:$P$1000,$P52,$S$5:$S$1000,"Macro"),"0%")&amp;" · ","")&amp;IF(AND(N($T52)&gt;0,COUNT($H52:$K52)&gt;0),"Con subactividades: deje vacías las semanas (se calculan solas)"&amp;" · ","")&amp;IF((COUNTIF($H52:$K52,"&gt;1")+COUNTIF($H52:$K52,"&lt;0")+COUNTA($H52:$K52)-COUNT($H52:$K52))&gt;0,"Avance fuera de rango 0-100%"&amp;" · ","")&amp;IF(OR(AND($I52&lt;&gt;"",$I52&lt;$H52),AND($J52&lt;&gt;"",$J52&lt;MAX($H52:$I52)),AND($K52&lt;&gt;"",$K52&lt;MAX($H52:$J52))),"Avance semanal decreciente"&amp;" · ","")&amp;IF(AND(ISNUMBER($F52),$F52&lt;FechaRef,N($L52)&lt;1),"Vencida"&amp;" · ","")&amp;IF(AND(ObsObligatoria="Sí",ISNUMBER($F52),$F52&lt;FechaRef,N($L52)&lt;1,$N52=""),"Vencida sin observación"&amp;" · ",""))="","✔ OK","⚠ "&amp;LEFT(IF(AND($S52="Macro",$B52=""),"Macroactividad vacía"&amp;" · ","")&amp;IF(AND($B52&lt;&gt;"",$C52&lt;&gt;""),"Escriba la subactividad en otra fila, debajo de su macroactividad"&amp;" · ","")&amp;IF(AND($S52="Sub",N($R52)=0),"Subactividad sin macroactividad arriba"&amp;" · ","")&amp;IF($D52="","Sin responsable"&amp;" · ","")&amp;IF($E52="","Sin fecha de inicio"&amp;" · ","")&amp;IF($F52="","Sin fecha límite"&amp;" · ","")&amp;IF(OR(AND($E52&lt;&gt;"",NOT(ISNUMBER($E52))),AND($F52&lt;&gt;"",NOT(ISNUMBER($F52)))),"Fecha no válida"&amp;" · ","")&amp;IF(AND(ISNUMBER($E52),ISNUMBER($F52),$E52&gt;$F52),"Inicio posterior a fecha límite"&amp;" · ","")&amp;IF(AND($S52="Macro",$G52=""),"Peso vacío"&amp;" · ","")&amp;IF(AND($S52="Macro",$G52&lt;&gt;"",OR(NOT(ISNUMBER($G52)),$G52&lt;=0,$G52&gt;1)),"Peso fuera de rango"&amp;" · ","")&amp;IF(AND($S52="Sub",$G52&lt;&gt;""),"Las subactividades no llevan peso"&amp;" · ","")&amp;IF(AND($S52="Macro",ABS(SUMIFS($G$5:$G$1000,$P$5:$P$1000,$P52,$S$5:$S$1000,"Macro")-1)&gt;0.0001),"Pesos del mes suman "&amp;TEXT(SUMIFS($G$5:$G$1000,$P$5:$P$1000,$P52,$S$5:$S$1000,"Macro"),"0%")&amp;" · ","")&amp;IF(AND(N($T52)&gt;0,COUNT($H52:$K52)&gt;0),"Con subactividades: deje vacías las semanas (se calculan solas)"&amp;" · ","")&amp;IF((COUNTIF($H52:$K52,"&gt;1")+COUNTIF($H52:$K52,"&lt;0")+COUNTA($H52:$K52)-COUNT($H52:$K52))&gt;0,"Avance fuera de rango 0-100%"&amp;" · ","")&amp;IF(OR(AND($I52&lt;&gt;"",$I52&lt;$H52),AND($J52&lt;&gt;"",$J52&lt;MAX($H52:$I52)),AND($K52&lt;&gt;"",$K52&lt;MAX($H52:$J52))),"Avance semanal decreciente"&amp;" · ","")&amp;IF(AND(ISNUMBER($F52),$F52&lt;FechaRef,N($L52)&lt;1),"Vencida"&amp;" · ","")&amp;IF(AND(ObsObligatoria="Sí",ISNUMBER($F52),$F52&lt;FechaRef,N($L52)&lt;1,$N52=""),"Vencida sin observación"&amp;" · ",""),LEN(IF(AND($S52="Macro",$B52=""),"Macroactividad vacía"&amp;" · ","")&amp;IF(AND($B52&lt;&gt;"",$C52&lt;&gt;""),"Escriba la subactividad en otra fila, debajo de su macroactividad"&amp;" · ","")&amp;IF(AND($S52="Sub",N($R52)=0),"Subactividad sin macroactividad arriba"&amp;" · ","")&amp;IF($D52="","Sin responsable"&amp;" · ","")&amp;IF($E52="","Sin fecha de inicio"&amp;" · ","")&amp;IF($F52="","Sin fecha límite"&amp;" · ","")&amp;IF(OR(AND($E52&lt;&gt;"",NOT(ISNUMBER($E52))),AND($F52&lt;&gt;"",NOT(ISNUMBER($F52)))),"Fecha no válida"&amp;" · ","")&amp;IF(AND(ISNUMBER($E52),ISNUMBER($F52),$E52&gt;$F52),"Inicio posterior a fecha límite"&amp;" · ","")&amp;IF(AND($S52="Macro",$G52=""),"Peso vacío"&amp;" · ","")&amp;IF(AND($S52="Macro",$G52&lt;&gt;"",OR(NOT(ISNUMBER($G52)),$G52&lt;=0,$G52&gt;1)),"Peso fuera de rango"&amp;" · ","")&amp;IF(AND($S52="Sub",$G52&lt;&gt;""),"Las subactividades no llevan peso"&amp;" · ","")&amp;IF(AND($S52="Macro",ABS(SUMIFS($G$5:$G$1000,$P$5:$P$1000,$P52,$S$5:$S$1000,"Macro")-1)&gt;0.0001),"Pesos del mes suman "&amp;TEXT(SUMIFS($G$5:$G$1000,$P$5:$P$1000,$P52,$S$5:$S$1000,"Macro"),"0%")&amp;" · ","")&amp;IF(AND(N($T52)&gt;0,COUNT($H52:$K52)&gt;0),"Con subactividades: deje vacías las semanas (se calculan solas)"&amp;" · ","")&amp;IF((COUNTIF($H52:$K52,"&gt;1")+COUNTIF($H52:$K52,"&lt;0")+COUNTA($H52:$K52)-COUNT($H52:$K52))&gt;0,"Avance fuera de rango 0-100%"&amp;" · ","")&amp;IF(OR(AND($I52&lt;&gt;"",$I52&lt;$H52),AND($J52&lt;&gt;"",$J52&lt;MAX($H52:$I52)),AND($K52&lt;&gt;"",$K52&lt;MAX($H52:$J52))),"Avance semanal decreciente"&amp;" · ","")&amp;IF(AND(ISNUMBER($F52),$F52&lt;FechaRef,N($L52)&lt;1),"Vencida"&amp;" · ","")&amp;IF(AND(ObsObligatoria="Sí",ISNUMBER($F52),$F52&lt;FechaRef,N($L52)&lt;1,$N52=""),"Vencida sin observación"&amp;" · ",""))-3)))</f>
        <v/>
      </c>
      <c r="P52" s="69">
        <f>IF(NOT((COUNTA($B52:$K52)+COUNTA($N52))&gt;0),"",IF(AND($S52="Sub",N($R52)&gt;0),IF(ISNUMBER(INDEX($E$5:$E$1000,$R52-4)),DATE(YEAR(INDEX($E$5:$E$1000,$R52-4)),MONTH(INDEX($E$5:$E$1000,$R52-4)),1),IF(ISNUMBER(INDEX($F$5:$F$1000,$R52-4)),DATE(YEAR(INDEX($F$5:$F$1000,$R52-4)),MONTH(INDEX($F$5:$F$1000,$R52-4)),1),MesCiclo)),IF(ISNUMBER($E52),DATE(YEAR($E52),MONTH($E52),1),IF(ISNUMBER($F52),DATE(YEAR($F52),MONTH($F52),1),MesCiclo))))</f>
        <v/>
      </c>
      <c r="Q52" s="70">
        <f>IF(OR($P52="",$P52&lt;&gt;MesCiclo),"",COUNTIF($P$5:$P52,MesCiclo))</f>
        <v/>
      </c>
      <c r="R52" s="70">
        <f>IF($S52="","",IF($S52="Macro",ROW(),IFERROR(LOOKUP(2,1/($S$5:$S52="Macro"),ROW($S$5:$S52)),0)))</f>
        <v/>
      </c>
      <c r="S52" s="70">
        <f>IF(NOT((COUNTA($B52:$K52)+COUNTA($N52))&gt;0),"",IF($B52&lt;&gt;"","Macro",IF($C52&lt;&gt;"","Sub","Macro")))</f>
        <v/>
      </c>
      <c r="T52" s="70">
        <f>IF($S52="Macro",COUNTIFS($R$5:$R$1000,ROW(),$S$5:$S$1000,"Sub"),"")</f>
        <v/>
      </c>
      <c r="U52" s="70">
        <f>IF($S52="","",IF(ISNUMBER($H52),$H52,0))</f>
        <v/>
      </c>
      <c r="V52" s="70">
        <f>IF($S52="","",IF(ISNUMBER($I52),$I52,$U52))</f>
        <v/>
      </c>
      <c r="W52" s="70">
        <f>IF($S52="","",IF(ISNUMBER($J52),$J52,$V52))</f>
        <v/>
      </c>
      <c r="X52" s="70">
        <f>IF($S52="","",IF(ISNUMBER($K52),$K52,$W52))</f>
        <v/>
      </c>
      <c r="Y52" s="70">
        <f>IF($S52="","",IF(N($T52)&gt;0,AVERAGEIFS($U$5:$U$1000,$R$5:$R$1000,ROW(),$S$5:$S$1000,"Sub"),$U52))</f>
        <v/>
      </c>
      <c r="Z52" s="70">
        <f>IF($S52="","",IF(N($T52)&gt;0,AVERAGEIFS($V$5:$V$1000,$R$5:$R$1000,ROW(),$S$5:$S$1000,"Sub"),$V52))</f>
        <v/>
      </c>
      <c r="AA52" s="70">
        <f>IF($S52="","",IF(N($T52)&gt;0,AVERAGEIFS($W$5:$W$1000,$R$5:$R$1000,ROW(),$S$5:$S$1000,"Sub"),$W52))</f>
        <v/>
      </c>
      <c r="AB52" s="70">
        <f>IF($S52="","",IF(N($T52)&gt;0,AVERAGEIFS($X$5:$X$1000,$R$5:$R$1000,ROW(),$S$5:$S$1000,"Sub"),$X52))</f>
        <v/>
      </c>
    </row>
    <row r="53">
      <c r="A53" s="61">
        <f>IF(NOT((COUNTA($B53:$K53)+COUNTA($N53))&gt;0),"",IF($S53="Macro",COUNTIFS($S$5:$S53,"Macro",$P$5:$P53,$P53),IF(N($R53)=0,"?",COUNTIFS(INDEX($S$5:$S$1000,1):INDEX($S$5:$S$1000,$R53-4),"Macro",INDEX($P$5:$P$1000,1):INDEX($P$5:$P$1000,$R53-4),INDEX($P$5:$P$1000,$R53-4))&amp;"."&amp;COUNTIFS($R$5:$R53,$R53,$S$5:$S53,"Sub"))))</f>
        <v/>
      </c>
      <c r="B53" s="62" t="n"/>
      <c r="C53" s="63" t="n"/>
      <c r="D53" s="62" t="n"/>
      <c r="E53" s="64" t="n"/>
      <c r="F53" s="64" t="n"/>
      <c r="G53" s="65" t="n"/>
      <c r="H53" s="66" t="n"/>
      <c r="I53" s="66" t="n"/>
      <c r="J53" s="66" t="n"/>
      <c r="K53" s="66" t="n"/>
      <c r="L53" s="67">
        <f>IF(NOT((COUNTA($B53:$K53)+COUNTA($N53))&gt;0),"",IF(N($T53)&gt;0,$AB53,IFERROR(LOOKUP(2,1/(H53:K53&lt;&gt;""),H53:K53),0)))</f>
        <v/>
      </c>
      <c r="M53" s="61">
        <f>IF(L53="","",IF(L53&gt;=1,"Completado",IF(L53&gt;0,"En curso","Pendiente")))</f>
        <v/>
      </c>
      <c r="N53" s="62" t="n"/>
      <c r="O53" s="68">
        <f>IF(NOT((COUNTA($B53:$K53)+COUNTA($N53))&gt;0),"",IF((IF(AND($S53="Macro",$B53=""),"Macroactividad vacía"&amp;" · ","")&amp;IF(AND($B53&lt;&gt;"",$C53&lt;&gt;""),"Escriba la subactividad en otra fila, debajo de su macroactividad"&amp;" · ","")&amp;IF(AND($S53="Sub",N($R53)=0),"Subactividad sin macroactividad arriba"&amp;" · ","")&amp;IF($D53="","Sin responsable"&amp;" · ","")&amp;IF($E53="","Sin fecha de inicio"&amp;" · ","")&amp;IF($F53="","Sin fecha límite"&amp;" · ","")&amp;IF(OR(AND($E53&lt;&gt;"",NOT(ISNUMBER($E53))),AND($F53&lt;&gt;"",NOT(ISNUMBER($F53)))),"Fecha no válida"&amp;" · ","")&amp;IF(AND(ISNUMBER($E53),ISNUMBER($F53),$E53&gt;$F53),"Inicio posterior a fecha límite"&amp;" · ","")&amp;IF(AND($S53="Macro",$G53=""),"Peso vacío"&amp;" · ","")&amp;IF(AND($S53="Macro",$G53&lt;&gt;"",OR(NOT(ISNUMBER($G53)),$G53&lt;=0,$G53&gt;1)),"Peso fuera de rango"&amp;" · ","")&amp;IF(AND($S53="Sub",$G53&lt;&gt;""),"Las subactividades no llevan peso"&amp;" · ","")&amp;IF(AND($S53="Macro",ABS(SUMIFS($G$5:$G$1000,$P$5:$P$1000,$P53,$S$5:$S$1000,"Macro")-1)&gt;0.0001),"Pesos del mes suman "&amp;TEXT(SUMIFS($G$5:$G$1000,$P$5:$P$1000,$P53,$S$5:$S$1000,"Macro"),"0%")&amp;" · ","")&amp;IF(AND(N($T53)&gt;0,COUNT($H53:$K53)&gt;0),"Con subactividades: deje vacías las semanas (se calculan solas)"&amp;" · ","")&amp;IF((COUNTIF($H53:$K53,"&gt;1")+COUNTIF($H53:$K53,"&lt;0")+COUNTA($H53:$K53)-COUNT($H53:$K53))&gt;0,"Avance fuera de rango 0-100%"&amp;" · ","")&amp;IF(OR(AND($I53&lt;&gt;"",$I53&lt;$H53),AND($J53&lt;&gt;"",$J53&lt;MAX($H53:$I53)),AND($K53&lt;&gt;"",$K53&lt;MAX($H53:$J53))),"Avance semanal decreciente"&amp;" · ","")&amp;IF(AND(ISNUMBER($F53),$F53&lt;FechaRef,N($L53)&lt;1),"Vencida"&amp;" · ","")&amp;IF(AND(ObsObligatoria="Sí",ISNUMBER($F53),$F53&lt;FechaRef,N($L53)&lt;1,$N53=""),"Vencida sin observación"&amp;" · ",""))="","✔ OK","⚠ "&amp;LEFT(IF(AND($S53="Macro",$B53=""),"Macroactividad vacía"&amp;" · ","")&amp;IF(AND($B53&lt;&gt;"",$C53&lt;&gt;""),"Escriba la subactividad en otra fila, debajo de su macroactividad"&amp;" · ","")&amp;IF(AND($S53="Sub",N($R53)=0),"Subactividad sin macroactividad arriba"&amp;" · ","")&amp;IF($D53="","Sin responsable"&amp;" · ","")&amp;IF($E53="","Sin fecha de inicio"&amp;" · ","")&amp;IF($F53="","Sin fecha límite"&amp;" · ","")&amp;IF(OR(AND($E53&lt;&gt;"",NOT(ISNUMBER($E53))),AND($F53&lt;&gt;"",NOT(ISNUMBER($F53)))),"Fecha no válida"&amp;" · ","")&amp;IF(AND(ISNUMBER($E53),ISNUMBER($F53),$E53&gt;$F53),"Inicio posterior a fecha límite"&amp;" · ","")&amp;IF(AND($S53="Macro",$G53=""),"Peso vacío"&amp;" · ","")&amp;IF(AND($S53="Macro",$G53&lt;&gt;"",OR(NOT(ISNUMBER($G53)),$G53&lt;=0,$G53&gt;1)),"Peso fuera de rango"&amp;" · ","")&amp;IF(AND($S53="Sub",$G53&lt;&gt;""),"Las subactividades no llevan peso"&amp;" · ","")&amp;IF(AND($S53="Macro",ABS(SUMIFS($G$5:$G$1000,$P$5:$P$1000,$P53,$S$5:$S$1000,"Macro")-1)&gt;0.0001),"Pesos del mes suman "&amp;TEXT(SUMIFS($G$5:$G$1000,$P$5:$P$1000,$P53,$S$5:$S$1000,"Macro"),"0%")&amp;" · ","")&amp;IF(AND(N($T53)&gt;0,COUNT($H53:$K53)&gt;0),"Con subactividades: deje vacías las semanas (se calculan solas)"&amp;" · ","")&amp;IF((COUNTIF($H53:$K53,"&gt;1")+COUNTIF($H53:$K53,"&lt;0")+COUNTA($H53:$K53)-COUNT($H53:$K53))&gt;0,"Avance fuera de rango 0-100%"&amp;" · ","")&amp;IF(OR(AND($I53&lt;&gt;"",$I53&lt;$H53),AND($J53&lt;&gt;"",$J53&lt;MAX($H53:$I53)),AND($K53&lt;&gt;"",$K53&lt;MAX($H53:$J53))),"Avance semanal decreciente"&amp;" · ","")&amp;IF(AND(ISNUMBER($F53),$F53&lt;FechaRef,N($L53)&lt;1),"Vencida"&amp;" · ","")&amp;IF(AND(ObsObligatoria="Sí",ISNUMBER($F53),$F53&lt;FechaRef,N($L53)&lt;1,$N53=""),"Vencida sin observación"&amp;" · ",""),LEN(IF(AND($S53="Macro",$B53=""),"Macroactividad vacía"&amp;" · ","")&amp;IF(AND($B53&lt;&gt;"",$C53&lt;&gt;""),"Escriba la subactividad en otra fila, debajo de su macroactividad"&amp;" · ","")&amp;IF(AND($S53="Sub",N($R53)=0),"Subactividad sin macroactividad arriba"&amp;" · ","")&amp;IF($D53="","Sin responsable"&amp;" · ","")&amp;IF($E53="","Sin fecha de inicio"&amp;" · ","")&amp;IF($F53="","Sin fecha límite"&amp;" · ","")&amp;IF(OR(AND($E53&lt;&gt;"",NOT(ISNUMBER($E53))),AND($F53&lt;&gt;"",NOT(ISNUMBER($F53)))),"Fecha no válida"&amp;" · ","")&amp;IF(AND(ISNUMBER($E53),ISNUMBER($F53),$E53&gt;$F53),"Inicio posterior a fecha límite"&amp;" · ","")&amp;IF(AND($S53="Macro",$G53=""),"Peso vacío"&amp;" · ","")&amp;IF(AND($S53="Macro",$G53&lt;&gt;"",OR(NOT(ISNUMBER($G53)),$G53&lt;=0,$G53&gt;1)),"Peso fuera de rango"&amp;" · ","")&amp;IF(AND($S53="Sub",$G53&lt;&gt;""),"Las subactividades no llevan peso"&amp;" · ","")&amp;IF(AND($S53="Macro",ABS(SUMIFS($G$5:$G$1000,$P$5:$P$1000,$P53,$S$5:$S$1000,"Macro")-1)&gt;0.0001),"Pesos del mes suman "&amp;TEXT(SUMIFS($G$5:$G$1000,$P$5:$P$1000,$P53,$S$5:$S$1000,"Macro"),"0%")&amp;" · ","")&amp;IF(AND(N($T53)&gt;0,COUNT($H53:$K53)&gt;0),"Con subactividades: deje vacías las semanas (se calculan solas)"&amp;" · ","")&amp;IF((COUNTIF($H53:$K53,"&gt;1")+COUNTIF($H53:$K53,"&lt;0")+COUNTA($H53:$K53)-COUNT($H53:$K53))&gt;0,"Avance fuera de rango 0-100%"&amp;" · ","")&amp;IF(OR(AND($I53&lt;&gt;"",$I53&lt;$H53),AND($J53&lt;&gt;"",$J53&lt;MAX($H53:$I53)),AND($K53&lt;&gt;"",$K53&lt;MAX($H53:$J53))),"Avance semanal decreciente"&amp;" · ","")&amp;IF(AND(ISNUMBER($F53),$F53&lt;FechaRef,N($L53)&lt;1),"Vencida"&amp;" · ","")&amp;IF(AND(ObsObligatoria="Sí",ISNUMBER($F53),$F53&lt;FechaRef,N($L53)&lt;1,$N53=""),"Vencida sin observación"&amp;" · ",""))-3)))</f>
        <v/>
      </c>
      <c r="P53" s="69">
        <f>IF(NOT((COUNTA($B53:$K53)+COUNTA($N53))&gt;0),"",IF(AND($S53="Sub",N($R53)&gt;0),IF(ISNUMBER(INDEX($E$5:$E$1000,$R53-4)),DATE(YEAR(INDEX($E$5:$E$1000,$R53-4)),MONTH(INDEX($E$5:$E$1000,$R53-4)),1),IF(ISNUMBER(INDEX($F$5:$F$1000,$R53-4)),DATE(YEAR(INDEX($F$5:$F$1000,$R53-4)),MONTH(INDEX($F$5:$F$1000,$R53-4)),1),MesCiclo)),IF(ISNUMBER($E53),DATE(YEAR($E53),MONTH($E53),1),IF(ISNUMBER($F53),DATE(YEAR($F53),MONTH($F53),1),MesCiclo))))</f>
        <v/>
      </c>
      <c r="Q53" s="70">
        <f>IF(OR($P53="",$P53&lt;&gt;MesCiclo),"",COUNTIF($P$5:$P53,MesCiclo))</f>
        <v/>
      </c>
      <c r="R53" s="70">
        <f>IF($S53="","",IF($S53="Macro",ROW(),IFERROR(LOOKUP(2,1/($S$5:$S53="Macro"),ROW($S$5:$S53)),0)))</f>
        <v/>
      </c>
      <c r="S53" s="70">
        <f>IF(NOT((COUNTA($B53:$K53)+COUNTA($N53))&gt;0),"",IF($B53&lt;&gt;"","Macro",IF($C53&lt;&gt;"","Sub","Macro")))</f>
        <v/>
      </c>
      <c r="T53" s="70">
        <f>IF($S53="Macro",COUNTIFS($R$5:$R$1000,ROW(),$S$5:$S$1000,"Sub"),"")</f>
        <v/>
      </c>
      <c r="U53" s="70">
        <f>IF($S53="","",IF(ISNUMBER($H53),$H53,0))</f>
        <v/>
      </c>
      <c r="V53" s="70">
        <f>IF($S53="","",IF(ISNUMBER($I53),$I53,$U53))</f>
        <v/>
      </c>
      <c r="W53" s="70">
        <f>IF($S53="","",IF(ISNUMBER($J53),$J53,$V53))</f>
        <v/>
      </c>
      <c r="X53" s="70">
        <f>IF($S53="","",IF(ISNUMBER($K53),$K53,$W53))</f>
        <v/>
      </c>
      <c r="Y53" s="70">
        <f>IF($S53="","",IF(N($T53)&gt;0,AVERAGEIFS($U$5:$U$1000,$R$5:$R$1000,ROW(),$S$5:$S$1000,"Sub"),$U53))</f>
        <v/>
      </c>
      <c r="Z53" s="70">
        <f>IF($S53="","",IF(N($T53)&gt;0,AVERAGEIFS($V$5:$V$1000,$R$5:$R$1000,ROW(),$S$5:$S$1000,"Sub"),$V53))</f>
        <v/>
      </c>
      <c r="AA53" s="70">
        <f>IF($S53="","",IF(N($T53)&gt;0,AVERAGEIFS($W$5:$W$1000,$R$5:$R$1000,ROW(),$S$5:$S$1000,"Sub"),$W53))</f>
        <v/>
      </c>
      <c r="AB53" s="70">
        <f>IF($S53="","",IF(N($T53)&gt;0,AVERAGEIFS($X$5:$X$1000,$R$5:$R$1000,ROW(),$S$5:$S$1000,"Sub"),$X53))</f>
        <v/>
      </c>
    </row>
    <row r="54">
      <c r="A54" s="61">
        <f>IF(NOT((COUNTA($B54:$K54)+COUNTA($N54))&gt;0),"",IF($S54="Macro",COUNTIFS($S$5:$S54,"Macro",$P$5:$P54,$P54),IF(N($R54)=0,"?",COUNTIFS(INDEX($S$5:$S$1000,1):INDEX($S$5:$S$1000,$R54-4),"Macro",INDEX($P$5:$P$1000,1):INDEX($P$5:$P$1000,$R54-4),INDEX($P$5:$P$1000,$R54-4))&amp;"."&amp;COUNTIFS($R$5:$R54,$R54,$S$5:$S54,"Sub"))))</f>
        <v/>
      </c>
      <c r="B54" s="62" t="n"/>
      <c r="C54" s="63" t="n"/>
      <c r="D54" s="62" t="n"/>
      <c r="E54" s="64" t="n"/>
      <c r="F54" s="64" t="n"/>
      <c r="G54" s="65" t="n"/>
      <c r="H54" s="66" t="n"/>
      <c r="I54" s="66" t="n"/>
      <c r="J54" s="66" t="n"/>
      <c r="K54" s="66" t="n"/>
      <c r="L54" s="67">
        <f>IF(NOT((COUNTA($B54:$K54)+COUNTA($N54))&gt;0),"",IF(N($T54)&gt;0,$AB54,IFERROR(LOOKUP(2,1/(H54:K54&lt;&gt;""),H54:K54),0)))</f>
        <v/>
      </c>
      <c r="M54" s="61">
        <f>IF(L54="","",IF(L54&gt;=1,"Completado",IF(L54&gt;0,"En curso","Pendiente")))</f>
        <v/>
      </c>
      <c r="N54" s="62" t="n"/>
      <c r="O54" s="68">
        <f>IF(NOT((COUNTA($B54:$K54)+COUNTA($N54))&gt;0),"",IF((IF(AND($S54="Macro",$B54=""),"Macroactividad vacía"&amp;" · ","")&amp;IF(AND($B54&lt;&gt;"",$C54&lt;&gt;""),"Escriba la subactividad en otra fila, debajo de su macroactividad"&amp;" · ","")&amp;IF(AND($S54="Sub",N($R54)=0),"Subactividad sin macroactividad arriba"&amp;" · ","")&amp;IF($D54="","Sin responsable"&amp;" · ","")&amp;IF($E54="","Sin fecha de inicio"&amp;" · ","")&amp;IF($F54="","Sin fecha límite"&amp;" · ","")&amp;IF(OR(AND($E54&lt;&gt;"",NOT(ISNUMBER($E54))),AND($F54&lt;&gt;"",NOT(ISNUMBER($F54)))),"Fecha no válida"&amp;" · ","")&amp;IF(AND(ISNUMBER($E54),ISNUMBER($F54),$E54&gt;$F54),"Inicio posterior a fecha límite"&amp;" · ","")&amp;IF(AND($S54="Macro",$G54=""),"Peso vacío"&amp;" · ","")&amp;IF(AND($S54="Macro",$G54&lt;&gt;"",OR(NOT(ISNUMBER($G54)),$G54&lt;=0,$G54&gt;1)),"Peso fuera de rango"&amp;" · ","")&amp;IF(AND($S54="Sub",$G54&lt;&gt;""),"Las subactividades no llevan peso"&amp;" · ","")&amp;IF(AND($S54="Macro",ABS(SUMIFS($G$5:$G$1000,$P$5:$P$1000,$P54,$S$5:$S$1000,"Macro")-1)&gt;0.0001),"Pesos del mes suman "&amp;TEXT(SUMIFS($G$5:$G$1000,$P$5:$P$1000,$P54,$S$5:$S$1000,"Macro"),"0%")&amp;" · ","")&amp;IF(AND(N($T54)&gt;0,COUNT($H54:$K54)&gt;0),"Con subactividades: deje vacías las semanas (se calculan solas)"&amp;" · ","")&amp;IF((COUNTIF($H54:$K54,"&gt;1")+COUNTIF($H54:$K54,"&lt;0")+COUNTA($H54:$K54)-COUNT($H54:$K54))&gt;0,"Avance fuera de rango 0-100%"&amp;" · ","")&amp;IF(OR(AND($I54&lt;&gt;"",$I54&lt;$H54),AND($J54&lt;&gt;"",$J54&lt;MAX($H54:$I54)),AND($K54&lt;&gt;"",$K54&lt;MAX($H54:$J54))),"Avance semanal decreciente"&amp;" · ","")&amp;IF(AND(ISNUMBER($F54),$F54&lt;FechaRef,N($L54)&lt;1),"Vencida"&amp;" · ","")&amp;IF(AND(ObsObligatoria="Sí",ISNUMBER($F54),$F54&lt;FechaRef,N($L54)&lt;1,$N54=""),"Vencida sin observación"&amp;" · ",""))="","✔ OK","⚠ "&amp;LEFT(IF(AND($S54="Macro",$B54=""),"Macroactividad vacía"&amp;" · ","")&amp;IF(AND($B54&lt;&gt;"",$C54&lt;&gt;""),"Escriba la subactividad en otra fila, debajo de su macroactividad"&amp;" · ","")&amp;IF(AND($S54="Sub",N($R54)=0),"Subactividad sin macroactividad arriba"&amp;" · ","")&amp;IF($D54="","Sin responsable"&amp;" · ","")&amp;IF($E54="","Sin fecha de inicio"&amp;" · ","")&amp;IF($F54="","Sin fecha límite"&amp;" · ","")&amp;IF(OR(AND($E54&lt;&gt;"",NOT(ISNUMBER($E54))),AND($F54&lt;&gt;"",NOT(ISNUMBER($F54)))),"Fecha no válida"&amp;" · ","")&amp;IF(AND(ISNUMBER($E54),ISNUMBER($F54),$E54&gt;$F54),"Inicio posterior a fecha límite"&amp;" · ","")&amp;IF(AND($S54="Macro",$G54=""),"Peso vacío"&amp;" · ","")&amp;IF(AND($S54="Macro",$G54&lt;&gt;"",OR(NOT(ISNUMBER($G54)),$G54&lt;=0,$G54&gt;1)),"Peso fuera de rango"&amp;" · ","")&amp;IF(AND($S54="Sub",$G54&lt;&gt;""),"Las subactividades no llevan peso"&amp;" · ","")&amp;IF(AND($S54="Macro",ABS(SUMIFS($G$5:$G$1000,$P$5:$P$1000,$P54,$S$5:$S$1000,"Macro")-1)&gt;0.0001),"Pesos del mes suman "&amp;TEXT(SUMIFS($G$5:$G$1000,$P$5:$P$1000,$P54,$S$5:$S$1000,"Macro"),"0%")&amp;" · ","")&amp;IF(AND(N($T54)&gt;0,COUNT($H54:$K54)&gt;0),"Con subactividades: deje vacías las semanas (se calculan solas)"&amp;" · ","")&amp;IF((COUNTIF($H54:$K54,"&gt;1")+COUNTIF($H54:$K54,"&lt;0")+COUNTA($H54:$K54)-COUNT($H54:$K54))&gt;0,"Avance fuera de rango 0-100%"&amp;" · ","")&amp;IF(OR(AND($I54&lt;&gt;"",$I54&lt;$H54),AND($J54&lt;&gt;"",$J54&lt;MAX($H54:$I54)),AND($K54&lt;&gt;"",$K54&lt;MAX($H54:$J54))),"Avance semanal decreciente"&amp;" · ","")&amp;IF(AND(ISNUMBER($F54),$F54&lt;FechaRef,N($L54)&lt;1),"Vencida"&amp;" · ","")&amp;IF(AND(ObsObligatoria="Sí",ISNUMBER($F54),$F54&lt;FechaRef,N($L54)&lt;1,$N54=""),"Vencida sin observación"&amp;" · ",""),LEN(IF(AND($S54="Macro",$B54=""),"Macroactividad vacía"&amp;" · ","")&amp;IF(AND($B54&lt;&gt;"",$C54&lt;&gt;""),"Escriba la subactividad en otra fila, debajo de su macroactividad"&amp;" · ","")&amp;IF(AND($S54="Sub",N($R54)=0),"Subactividad sin macroactividad arriba"&amp;" · ","")&amp;IF($D54="","Sin responsable"&amp;" · ","")&amp;IF($E54="","Sin fecha de inicio"&amp;" · ","")&amp;IF($F54="","Sin fecha límite"&amp;" · ","")&amp;IF(OR(AND($E54&lt;&gt;"",NOT(ISNUMBER($E54))),AND($F54&lt;&gt;"",NOT(ISNUMBER($F54)))),"Fecha no válida"&amp;" · ","")&amp;IF(AND(ISNUMBER($E54),ISNUMBER($F54),$E54&gt;$F54),"Inicio posterior a fecha límite"&amp;" · ","")&amp;IF(AND($S54="Macro",$G54=""),"Peso vacío"&amp;" · ","")&amp;IF(AND($S54="Macro",$G54&lt;&gt;"",OR(NOT(ISNUMBER($G54)),$G54&lt;=0,$G54&gt;1)),"Peso fuera de rango"&amp;" · ","")&amp;IF(AND($S54="Sub",$G54&lt;&gt;""),"Las subactividades no llevan peso"&amp;" · ","")&amp;IF(AND($S54="Macro",ABS(SUMIFS($G$5:$G$1000,$P$5:$P$1000,$P54,$S$5:$S$1000,"Macro")-1)&gt;0.0001),"Pesos del mes suman "&amp;TEXT(SUMIFS($G$5:$G$1000,$P$5:$P$1000,$P54,$S$5:$S$1000,"Macro"),"0%")&amp;" · ","")&amp;IF(AND(N($T54)&gt;0,COUNT($H54:$K54)&gt;0),"Con subactividades: deje vacías las semanas (se calculan solas)"&amp;" · ","")&amp;IF((COUNTIF($H54:$K54,"&gt;1")+COUNTIF($H54:$K54,"&lt;0")+COUNTA($H54:$K54)-COUNT($H54:$K54))&gt;0,"Avance fuera de rango 0-100%"&amp;" · ","")&amp;IF(OR(AND($I54&lt;&gt;"",$I54&lt;$H54),AND($J54&lt;&gt;"",$J54&lt;MAX($H54:$I54)),AND($K54&lt;&gt;"",$K54&lt;MAX($H54:$J54))),"Avance semanal decreciente"&amp;" · ","")&amp;IF(AND(ISNUMBER($F54),$F54&lt;FechaRef,N($L54)&lt;1),"Vencida"&amp;" · ","")&amp;IF(AND(ObsObligatoria="Sí",ISNUMBER($F54),$F54&lt;FechaRef,N($L54)&lt;1,$N54=""),"Vencida sin observación"&amp;" · ",""))-3)))</f>
        <v/>
      </c>
      <c r="P54" s="69">
        <f>IF(NOT((COUNTA($B54:$K54)+COUNTA($N54))&gt;0),"",IF(AND($S54="Sub",N($R54)&gt;0),IF(ISNUMBER(INDEX($E$5:$E$1000,$R54-4)),DATE(YEAR(INDEX($E$5:$E$1000,$R54-4)),MONTH(INDEX($E$5:$E$1000,$R54-4)),1),IF(ISNUMBER(INDEX($F$5:$F$1000,$R54-4)),DATE(YEAR(INDEX($F$5:$F$1000,$R54-4)),MONTH(INDEX($F$5:$F$1000,$R54-4)),1),MesCiclo)),IF(ISNUMBER($E54),DATE(YEAR($E54),MONTH($E54),1),IF(ISNUMBER($F54),DATE(YEAR($F54),MONTH($F54),1),MesCiclo))))</f>
        <v/>
      </c>
      <c r="Q54" s="70">
        <f>IF(OR($P54="",$P54&lt;&gt;MesCiclo),"",COUNTIF($P$5:$P54,MesCiclo))</f>
        <v/>
      </c>
      <c r="R54" s="70">
        <f>IF($S54="","",IF($S54="Macro",ROW(),IFERROR(LOOKUP(2,1/($S$5:$S54="Macro"),ROW($S$5:$S54)),0)))</f>
        <v/>
      </c>
      <c r="S54" s="70">
        <f>IF(NOT((COUNTA($B54:$K54)+COUNTA($N54))&gt;0),"",IF($B54&lt;&gt;"","Macro",IF($C54&lt;&gt;"","Sub","Macro")))</f>
        <v/>
      </c>
      <c r="T54" s="70">
        <f>IF($S54="Macro",COUNTIFS($R$5:$R$1000,ROW(),$S$5:$S$1000,"Sub"),"")</f>
        <v/>
      </c>
      <c r="U54" s="70">
        <f>IF($S54="","",IF(ISNUMBER($H54),$H54,0))</f>
        <v/>
      </c>
      <c r="V54" s="70">
        <f>IF($S54="","",IF(ISNUMBER($I54),$I54,$U54))</f>
        <v/>
      </c>
      <c r="W54" s="70">
        <f>IF($S54="","",IF(ISNUMBER($J54),$J54,$V54))</f>
        <v/>
      </c>
      <c r="X54" s="70">
        <f>IF($S54="","",IF(ISNUMBER($K54),$K54,$W54))</f>
        <v/>
      </c>
      <c r="Y54" s="70">
        <f>IF($S54="","",IF(N($T54)&gt;0,AVERAGEIFS($U$5:$U$1000,$R$5:$R$1000,ROW(),$S$5:$S$1000,"Sub"),$U54))</f>
        <v/>
      </c>
      <c r="Z54" s="70">
        <f>IF($S54="","",IF(N($T54)&gt;0,AVERAGEIFS($V$5:$V$1000,$R$5:$R$1000,ROW(),$S$5:$S$1000,"Sub"),$V54))</f>
        <v/>
      </c>
      <c r="AA54" s="70">
        <f>IF($S54="","",IF(N($T54)&gt;0,AVERAGEIFS($W$5:$W$1000,$R$5:$R$1000,ROW(),$S$5:$S$1000,"Sub"),$W54))</f>
        <v/>
      </c>
      <c r="AB54" s="70">
        <f>IF($S54="","",IF(N($T54)&gt;0,AVERAGEIFS($X$5:$X$1000,$R$5:$R$1000,ROW(),$S$5:$S$1000,"Sub"),$X54))</f>
        <v/>
      </c>
    </row>
    <row r="55">
      <c r="A55" s="61">
        <f>IF(NOT((COUNTA($B55:$K55)+COUNTA($N55))&gt;0),"",IF($S55="Macro",COUNTIFS($S$5:$S55,"Macro",$P$5:$P55,$P55),IF(N($R55)=0,"?",COUNTIFS(INDEX($S$5:$S$1000,1):INDEX($S$5:$S$1000,$R55-4),"Macro",INDEX($P$5:$P$1000,1):INDEX($P$5:$P$1000,$R55-4),INDEX($P$5:$P$1000,$R55-4))&amp;"."&amp;COUNTIFS($R$5:$R55,$R55,$S$5:$S55,"Sub"))))</f>
        <v/>
      </c>
      <c r="B55" s="62" t="n"/>
      <c r="C55" s="63" t="n"/>
      <c r="D55" s="62" t="n"/>
      <c r="E55" s="64" t="n"/>
      <c r="F55" s="64" t="n"/>
      <c r="G55" s="65" t="n"/>
      <c r="H55" s="66" t="n"/>
      <c r="I55" s="66" t="n"/>
      <c r="J55" s="66" t="n"/>
      <c r="K55" s="66" t="n"/>
      <c r="L55" s="67">
        <f>IF(NOT((COUNTA($B55:$K55)+COUNTA($N55))&gt;0),"",IF(N($T55)&gt;0,$AB55,IFERROR(LOOKUP(2,1/(H55:K55&lt;&gt;""),H55:K55),0)))</f>
        <v/>
      </c>
      <c r="M55" s="61">
        <f>IF(L55="","",IF(L55&gt;=1,"Completado",IF(L55&gt;0,"En curso","Pendiente")))</f>
        <v/>
      </c>
      <c r="N55" s="62" t="n"/>
      <c r="O55" s="68">
        <f>IF(NOT((COUNTA($B55:$K55)+COUNTA($N55))&gt;0),"",IF((IF(AND($S55="Macro",$B55=""),"Macroactividad vacía"&amp;" · ","")&amp;IF(AND($B55&lt;&gt;"",$C55&lt;&gt;""),"Escriba la subactividad en otra fila, debajo de su macroactividad"&amp;" · ","")&amp;IF(AND($S55="Sub",N($R55)=0),"Subactividad sin macroactividad arriba"&amp;" · ","")&amp;IF($D55="","Sin responsable"&amp;" · ","")&amp;IF($E55="","Sin fecha de inicio"&amp;" · ","")&amp;IF($F55="","Sin fecha límite"&amp;" · ","")&amp;IF(OR(AND($E55&lt;&gt;"",NOT(ISNUMBER($E55))),AND($F55&lt;&gt;"",NOT(ISNUMBER($F55)))),"Fecha no válida"&amp;" · ","")&amp;IF(AND(ISNUMBER($E55),ISNUMBER($F55),$E55&gt;$F55),"Inicio posterior a fecha límite"&amp;" · ","")&amp;IF(AND($S55="Macro",$G55=""),"Peso vacío"&amp;" · ","")&amp;IF(AND($S55="Macro",$G55&lt;&gt;"",OR(NOT(ISNUMBER($G55)),$G55&lt;=0,$G55&gt;1)),"Peso fuera de rango"&amp;" · ","")&amp;IF(AND($S55="Sub",$G55&lt;&gt;""),"Las subactividades no llevan peso"&amp;" · ","")&amp;IF(AND($S55="Macro",ABS(SUMIFS($G$5:$G$1000,$P$5:$P$1000,$P55,$S$5:$S$1000,"Macro")-1)&gt;0.0001),"Pesos del mes suman "&amp;TEXT(SUMIFS($G$5:$G$1000,$P$5:$P$1000,$P55,$S$5:$S$1000,"Macro"),"0%")&amp;" · ","")&amp;IF(AND(N($T55)&gt;0,COUNT($H55:$K55)&gt;0),"Con subactividades: deje vacías las semanas (se calculan solas)"&amp;" · ","")&amp;IF((COUNTIF($H55:$K55,"&gt;1")+COUNTIF($H55:$K55,"&lt;0")+COUNTA($H55:$K55)-COUNT($H55:$K55))&gt;0,"Avance fuera de rango 0-100%"&amp;" · ","")&amp;IF(OR(AND($I55&lt;&gt;"",$I55&lt;$H55),AND($J55&lt;&gt;"",$J55&lt;MAX($H55:$I55)),AND($K55&lt;&gt;"",$K55&lt;MAX($H55:$J55))),"Avance semanal decreciente"&amp;" · ","")&amp;IF(AND(ISNUMBER($F55),$F55&lt;FechaRef,N($L55)&lt;1),"Vencida"&amp;" · ","")&amp;IF(AND(ObsObligatoria="Sí",ISNUMBER($F55),$F55&lt;FechaRef,N($L55)&lt;1,$N55=""),"Vencida sin observación"&amp;" · ",""))="","✔ OK","⚠ "&amp;LEFT(IF(AND($S55="Macro",$B55=""),"Macroactividad vacía"&amp;" · ","")&amp;IF(AND($B55&lt;&gt;"",$C55&lt;&gt;""),"Escriba la subactividad en otra fila, debajo de su macroactividad"&amp;" · ","")&amp;IF(AND($S55="Sub",N($R55)=0),"Subactividad sin macroactividad arriba"&amp;" · ","")&amp;IF($D55="","Sin responsable"&amp;" · ","")&amp;IF($E55="","Sin fecha de inicio"&amp;" · ","")&amp;IF($F55="","Sin fecha límite"&amp;" · ","")&amp;IF(OR(AND($E55&lt;&gt;"",NOT(ISNUMBER($E55))),AND($F55&lt;&gt;"",NOT(ISNUMBER($F55)))),"Fecha no válida"&amp;" · ","")&amp;IF(AND(ISNUMBER($E55),ISNUMBER($F55),$E55&gt;$F55),"Inicio posterior a fecha límite"&amp;" · ","")&amp;IF(AND($S55="Macro",$G55=""),"Peso vacío"&amp;" · ","")&amp;IF(AND($S55="Macro",$G55&lt;&gt;"",OR(NOT(ISNUMBER($G55)),$G55&lt;=0,$G55&gt;1)),"Peso fuera de rango"&amp;" · ","")&amp;IF(AND($S55="Sub",$G55&lt;&gt;""),"Las subactividades no llevan peso"&amp;" · ","")&amp;IF(AND($S55="Macro",ABS(SUMIFS($G$5:$G$1000,$P$5:$P$1000,$P55,$S$5:$S$1000,"Macro")-1)&gt;0.0001),"Pesos del mes suman "&amp;TEXT(SUMIFS($G$5:$G$1000,$P$5:$P$1000,$P55,$S$5:$S$1000,"Macro"),"0%")&amp;" · ","")&amp;IF(AND(N($T55)&gt;0,COUNT($H55:$K55)&gt;0),"Con subactividades: deje vacías las semanas (se calculan solas)"&amp;" · ","")&amp;IF((COUNTIF($H55:$K55,"&gt;1")+COUNTIF($H55:$K55,"&lt;0")+COUNTA($H55:$K55)-COUNT($H55:$K55))&gt;0,"Avance fuera de rango 0-100%"&amp;" · ","")&amp;IF(OR(AND($I55&lt;&gt;"",$I55&lt;$H55),AND($J55&lt;&gt;"",$J55&lt;MAX($H55:$I55)),AND($K55&lt;&gt;"",$K55&lt;MAX($H55:$J55))),"Avance semanal decreciente"&amp;" · ","")&amp;IF(AND(ISNUMBER($F55),$F55&lt;FechaRef,N($L55)&lt;1),"Vencida"&amp;" · ","")&amp;IF(AND(ObsObligatoria="Sí",ISNUMBER($F55),$F55&lt;FechaRef,N($L55)&lt;1,$N55=""),"Vencida sin observación"&amp;" · ",""),LEN(IF(AND($S55="Macro",$B55=""),"Macroactividad vacía"&amp;" · ","")&amp;IF(AND($B55&lt;&gt;"",$C55&lt;&gt;""),"Escriba la subactividad en otra fila, debajo de su macroactividad"&amp;" · ","")&amp;IF(AND($S55="Sub",N($R55)=0),"Subactividad sin macroactividad arriba"&amp;" · ","")&amp;IF($D55="","Sin responsable"&amp;" · ","")&amp;IF($E55="","Sin fecha de inicio"&amp;" · ","")&amp;IF($F55="","Sin fecha límite"&amp;" · ","")&amp;IF(OR(AND($E55&lt;&gt;"",NOT(ISNUMBER($E55))),AND($F55&lt;&gt;"",NOT(ISNUMBER($F55)))),"Fecha no válida"&amp;" · ","")&amp;IF(AND(ISNUMBER($E55),ISNUMBER($F55),$E55&gt;$F55),"Inicio posterior a fecha límite"&amp;" · ","")&amp;IF(AND($S55="Macro",$G55=""),"Peso vacío"&amp;" · ","")&amp;IF(AND($S55="Macro",$G55&lt;&gt;"",OR(NOT(ISNUMBER($G55)),$G55&lt;=0,$G55&gt;1)),"Peso fuera de rango"&amp;" · ","")&amp;IF(AND($S55="Sub",$G55&lt;&gt;""),"Las subactividades no llevan peso"&amp;" · ","")&amp;IF(AND($S55="Macro",ABS(SUMIFS($G$5:$G$1000,$P$5:$P$1000,$P55,$S$5:$S$1000,"Macro")-1)&gt;0.0001),"Pesos del mes suman "&amp;TEXT(SUMIFS($G$5:$G$1000,$P$5:$P$1000,$P55,$S$5:$S$1000,"Macro"),"0%")&amp;" · ","")&amp;IF(AND(N($T55)&gt;0,COUNT($H55:$K55)&gt;0),"Con subactividades: deje vacías las semanas (se calculan solas)"&amp;" · ","")&amp;IF((COUNTIF($H55:$K55,"&gt;1")+COUNTIF($H55:$K55,"&lt;0")+COUNTA($H55:$K55)-COUNT($H55:$K55))&gt;0,"Avance fuera de rango 0-100%"&amp;" · ","")&amp;IF(OR(AND($I55&lt;&gt;"",$I55&lt;$H55),AND($J55&lt;&gt;"",$J55&lt;MAX($H55:$I55)),AND($K55&lt;&gt;"",$K55&lt;MAX($H55:$J55))),"Avance semanal decreciente"&amp;" · ","")&amp;IF(AND(ISNUMBER($F55),$F55&lt;FechaRef,N($L55)&lt;1),"Vencida"&amp;" · ","")&amp;IF(AND(ObsObligatoria="Sí",ISNUMBER($F55),$F55&lt;FechaRef,N($L55)&lt;1,$N55=""),"Vencida sin observación"&amp;" · ",""))-3)))</f>
        <v/>
      </c>
      <c r="P55" s="69">
        <f>IF(NOT((COUNTA($B55:$K55)+COUNTA($N55))&gt;0),"",IF(AND($S55="Sub",N($R55)&gt;0),IF(ISNUMBER(INDEX($E$5:$E$1000,$R55-4)),DATE(YEAR(INDEX($E$5:$E$1000,$R55-4)),MONTH(INDEX($E$5:$E$1000,$R55-4)),1),IF(ISNUMBER(INDEX($F$5:$F$1000,$R55-4)),DATE(YEAR(INDEX($F$5:$F$1000,$R55-4)),MONTH(INDEX($F$5:$F$1000,$R55-4)),1),MesCiclo)),IF(ISNUMBER($E55),DATE(YEAR($E55),MONTH($E55),1),IF(ISNUMBER($F55),DATE(YEAR($F55),MONTH($F55),1),MesCiclo))))</f>
        <v/>
      </c>
      <c r="Q55" s="70">
        <f>IF(OR($P55="",$P55&lt;&gt;MesCiclo),"",COUNTIF($P$5:$P55,MesCiclo))</f>
        <v/>
      </c>
      <c r="R55" s="70">
        <f>IF($S55="","",IF($S55="Macro",ROW(),IFERROR(LOOKUP(2,1/($S$5:$S55="Macro"),ROW($S$5:$S55)),0)))</f>
        <v/>
      </c>
      <c r="S55" s="70">
        <f>IF(NOT((COUNTA($B55:$K55)+COUNTA($N55))&gt;0),"",IF($B55&lt;&gt;"","Macro",IF($C55&lt;&gt;"","Sub","Macro")))</f>
        <v/>
      </c>
      <c r="T55" s="70">
        <f>IF($S55="Macro",COUNTIFS($R$5:$R$1000,ROW(),$S$5:$S$1000,"Sub"),"")</f>
        <v/>
      </c>
      <c r="U55" s="70">
        <f>IF($S55="","",IF(ISNUMBER($H55),$H55,0))</f>
        <v/>
      </c>
      <c r="V55" s="70">
        <f>IF($S55="","",IF(ISNUMBER($I55),$I55,$U55))</f>
        <v/>
      </c>
      <c r="W55" s="70">
        <f>IF($S55="","",IF(ISNUMBER($J55),$J55,$V55))</f>
        <v/>
      </c>
      <c r="X55" s="70">
        <f>IF($S55="","",IF(ISNUMBER($K55),$K55,$W55))</f>
        <v/>
      </c>
      <c r="Y55" s="70">
        <f>IF($S55="","",IF(N($T55)&gt;0,AVERAGEIFS($U$5:$U$1000,$R$5:$R$1000,ROW(),$S$5:$S$1000,"Sub"),$U55))</f>
        <v/>
      </c>
      <c r="Z55" s="70">
        <f>IF($S55="","",IF(N($T55)&gt;0,AVERAGEIFS($V$5:$V$1000,$R$5:$R$1000,ROW(),$S$5:$S$1000,"Sub"),$V55))</f>
        <v/>
      </c>
      <c r="AA55" s="70">
        <f>IF($S55="","",IF(N($T55)&gt;0,AVERAGEIFS($W$5:$W$1000,$R$5:$R$1000,ROW(),$S$5:$S$1000,"Sub"),$W55))</f>
        <v/>
      </c>
      <c r="AB55" s="70">
        <f>IF($S55="","",IF(N($T55)&gt;0,AVERAGEIFS($X$5:$X$1000,$R$5:$R$1000,ROW(),$S$5:$S$1000,"Sub"),$X55))</f>
        <v/>
      </c>
    </row>
    <row r="56">
      <c r="A56" s="61">
        <f>IF(NOT((COUNTA($B56:$K56)+COUNTA($N56))&gt;0),"",IF($S56="Macro",COUNTIFS($S$5:$S56,"Macro",$P$5:$P56,$P56),IF(N($R56)=0,"?",COUNTIFS(INDEX($S$5:$S$1000,1):INDEX($S$5:$S$1000,$R56-4),"Macro",INDEX($P$5:$P$1000,1):INDEX($P$5:$P$1000,$R56-4),INDEX($P$5:$P$1000,$R56-4))&amp;"."&amp;COUNTIFS($R$5:$R56,$R56,$S$5:$S56,"Sub"))))</f>
        <v/>
      </c>
      <c r="B56" s="62" t="n"/>
      <c r="C56" s="63" t="n"/>
      <c r="D56" s="62" t="n"/>
      <c r="E56" s="64" t="n"/>
      <c r="F56" s="64" t="n"/>
      <c r="G56" s="65" t="n"/>
      <c r="H56" s="66" t="n"/>
      <c r="I56" s="66" t="n"/>
      <c r="J56" s="66" t="n"/>
      <c r="K56" s="66" t="n"/>
      <c r="L56" s="67">
        <f>IF(NOT((COUNTA($B56:$K56)+COUNTA($N56))&gt;0),"",IF(N($T56)&gt;0,$AB56,IFERROR(LOOKUP(2,1/(H56:K56&lt;&gt;""),H56:K56),0)))</f>
        <v/>
      </c>
      <c r="M56" s="61">
        <f>IF(L56="","",IF(L56&gt;=1,"Completado",IF(L56&gt;0,"En curso","Pendiente")))</f>
        <v/>
      </c>
      <c r="N56" s="62" t="n"/>
      <c r="O56" s="68">
        <f>IF(NOT((COUNTA($B56:$K56)+COUNTA($N56))&gt;0),"",IF((IF(AND($S56="Macro",$B56=""),"Macroactividad vacía"&amp;" · ","")&amp;IF(AND($B56&lt;&gt;"",$C56&lt;&gt;""),"Escriba la subactividad en otra fila, debajo de su macroactividad"&amp;" · ","")&amp;IF(AND($S56="Sub",N($R56)=0),"Subactividad sin macroactividad arriba"&amp;" · ","")&amp;IF($D56="","Sin responsable"&amp;" · ","")&amp;IF($E56="","Sin fecha de inicio"&amp;" · ","")&amp;IF($F56="","Sin fecha límite"&amp;" · ","")&amp;IF(OR(AND($E56&lt;&gt;"",NOT(ISNUMBER($E56))),AND($F56&lt;&gt;"",NOT(ISNUMBER($F56)))),"Fecha no válida"&amp;" · ","")&amp;IF(AND(ISNUMBER($E56),ISNUMBER($F56),$E56&gt;$F56),"Inicio posterior a fecha límite"&amp;" · ","")&amp;IF(AND($S56="Macro",$G56=""),"Peso vacío"&amp;" · ","")&amp;IF(AND($S56="Macro",$G56&lt;&gt;"",OR(NOT(ISNUMBER($G56)),$G56&lt;=0,$G56&gt;1)),"Peso fuera de rango"&amp;" · ","")&amp;IF(AND($S56="Sub",$G56&lt;&gt;""),"Las subactividades no llevan peso"&amp;" · ","")&amp;IF(AND($S56="Macro",ABS(SUMIFS($G$5:$G$1000,$P$5:$P$1000,$P56,$S$5:$S$1000,"Macro")-1)&gt;0.0001),"Pesos del mes suman "&amp;TEXT(SUMIFS($G$5:$G$1000,$P$5:$P$1000,$P56,$S$5:$S$1000,"Macro"),"0%")&amp;" · ","")&amp;IF(AND(N($T56)&gt;0,COUNT($H56:$K56)&gt;0),"Con subactividades: deje vacías las semanas (se calculan solas)"&amp;" · ","")&amp;IF((COUNTIF($H56:$K56,"&gt;1")+COUNTIF($H56:$K56,"&lt;0")+COUNTA($H56:$K56)-COUNT($H56:$K56))&gt;0,"Avance fuera de rango 0-100%"&amp;" · ","")&amp;IF(OR(AND($I56&lt;&gt;"",$I56&lt;$H56),AND($J56&lt;&gt;"",$J56&lt;MAX($H56:$I56)),AND($K56&lt;&gt;"",$K56&lt;MAX($H56:$J56))),"Avance semanal decreciente"&amp;" · ","")&amp;IF(AND(ISNUMBER($F56),$F56&lt;FechaRef,N($L56)&lt;1),"Vencida"&amp;" · ","")&amp;IF(AND(ObsObligatoria="Sí",ISNUMBER($F56),$F56&lt;FechaRef,N($L56)&lt;1,$N56=""),"Vencida sin observación"&amp;" · ",""))="","✔ OK","⚠ "&amp;LEFT(IF(AND($S56="Macro",$B56=""),"Macroactividad vacía"&amp;" · ","")&amp;IF(AND($B56&lt;&gt;"",$C56&lt;&gt;""),"Escriba la subactividad en otra fila, debajo de su macroactividad"&amp;" · ","")&amp;IF(AND($S56="Sub",N($R56)=0),"Subactividad sin macroactividad arriba"&amp;" · ","")&amp;IF($D56="","Sin responsable"&amp;" · ","")&amp;IF($E56="","Sin fecha de inicio"&amp;" · ","")&amp;IF($F56="","Sin fecha límite"&amp;" · ","")&amp;IF(OR(AND($E56&lt;&gt;"",NOT(ISNUMBER($E56))),AND($F56&lt;&gt;"",NOT(ISNUMBER($F56)))),"Fecha no válida"&amp;" · ","")&amp;IF(AND(ISNUMBER($E56),ISNUMBER($F56),$E56&gt;$F56),"Inicio posterior a fecha límite"&amp;" · ","")&amp;IF(AND($S56="Macro",$G56=""),"Peso vacío"&amp;" · ","")&amp;IF(AND($S56="Macro",$G56&lt;&gt;"",OR(NOT(ISNUMBER($G56)),$G56&lt;=0,$G56&gt;1)),"Peso fuera de rango"&amp;" · ","")&amp;IF(AND($S56="Sub",$G56&lt;&gt;""),"Las subactividades no llevan peso"&amp;" · ","")&amp;IF(AND($S56="Macro",ABS(SUMIFS($G$5:$G$1000,$P$5:$P$1000,$P56,$S$5:$S$1000,"Macro")-1)&gt;0.0001),"Pesos del mes suman "&amp;TEXT(SUMIFS($G$5:$G$1000,$P$5:$P$1000,$P56,$S$5:$S$1000,"Macro"),"0%")&amp;" · ","")&amp;IF(AND(N($T56)&gt;0,COUNT($H56:$K56)&gt;0),"Con subactividades: deje vacías las semanas (se calculan solas)"&amp;" · ","")&amp;IF((COUNTIF($H56:$K56,"&gt;1")+COUNTIF($H56:$K56,"&lt;0")+COUNTA($H56:$K56)-COUNT($H56:$K56))&gt;0,"Avance fuera de rango 0-100%"&amp;" · ","")&amp;IF(OR(AND($I56&lt;&gt;"",$I56&lt;$H56),AND($J56&lt;&gt;"",$J56&lt;MAX($H56:$I56)),AND($K56&lt;&gt;"",$K56&lt;MAX($H56:$J56))),"Avance semanal decreciente"&amp;" · ","")&amp;IF(AND(ISNUMBER($F56),$F56&lt;FechaRef,N($L56)&lt;1),"Vencida"&amp;" · ","")&amp;IF(AND(ObsObligatoria="Sí",ISNUMBER($F56),$F56&lt;FechaRef,N($L56)&lt;1,$N56=""),"Vencida sin observación"&amp;" · ",""),LEN(IF(AND($S56="Macro",$B56=""),"Macroactividad vacía"&amp;" · ","")&amp;IF(AND($B56&lt;&gt;"",$C56&lt;&gt;""),"Escriba la subactividad en otra fila, debajo de su macroactividad"&amp;" · ","")&amp;IF(AND($S56="Sub",N($R56)=0),"Subactividad sin macroactividad arriba"&amp;" · ","")&amp;IF($D56="","Sin responsable"&amp;" · ","")&amp;IF($E56="","Sin fecha de inicio"&amp;" · ","")&amp;IF($F56="","Sin fecha límite"&amp;" · ","")&amp;IF(OR(AND($E56&lt;&gt;"",NOT(ISNUMBER($E56))),AND($F56&lt;&gt;"",NOT(ISNUMBER($F56)))),"Fecha no válida"&amp;" · ","")&amp;IF(AND(ISNUMBER($E56),ISNUMBER($F56),$E56&gt;$F56),"Inicio posterior a fecha límite"&amp;" · ","")&amp;IF(AND($S56="Macro",$G56=""),"Peso vacío"&amp;" · ","")&amp;IF(AND($S56="Macro",$G56&lt;&gt;"",OR(NOT(ISNUMBER($G56)),$G56&lt;=0,$G56&gt;1)),"Peso fuera de rango"&amp;" · ","")&amp;IF(AND($S56="Sub",$G56&lt;&gt;""),"Las subactividades no llevan peso"&amp;" · ","")&amp;IF(AND($S56="Macro",ABS(SUMIFS($G$5:$G$1000,$P$5:$P$1000,$P56,$S$5:$S$1000,"Macro")-1)&gt;0.0001),"Pesos del mes suman "&amp;TEXT(SUMIFS($G$5:$G$1000,$P$5:$P$1000,$P56,$S$5:$S$1000,"Macro"),"0%")&amp;" · ","")&amp;IF(AND(N($T56)&gt;0,COUNT($H56:$K56)&gt;0),"Con subactividades: deje vacías las semanas (se calculan solas)"&amp;" · ","")&amp;IF((COUNTIF($H56:$K56,"&gt;1")+COUNTIF($H56:$K56,"&lt;0")+COUNTA($H56:$K56)-COUNT($H56:$K56))&gt;0,"Avance fuera de rango 0-100%"&amp;" · ","")&amp;IF(OR(AND($I56&lt;&gt;"",$I56&lt;$H56),AND($J56&lt;&gt;"",$J56&lt;MAX($H56:$I56)),AND($K56&lt;&gt;"",$K56&lt;MAX($H56:$J56))),"Avance semanal decreciente"&amp;" · ","")&amp;IF(AND(ISNUMBER($F56),$F56&lt;FechaRef,N($L56)&lt;1),"Vencida"&amp;" · ","")&amp;IF(AND(ObsObligatoria="Sí",ISNUMBER($F56),$F56&lt;FechaRef,N($L56)&lt;1,$N56=""),"Vencida sin observación"&amp;" · ",""))-3)))</f>
        <v/>
      </c>
      <c r="P56" s="69">
        <f>IF(NOT((COUNTA($B56:$K56)+COUNTA($N56))&gt;0),"",IF(AND($S56="Sub",N($R56)&gt;0),IF(ISNUMBER(INDEX($E$5:$E$1000,$R56-4)),DATE(YEAR(INDEX($E$5:$E$1000,$R56-4)),MONTH(INDEX($E$5:$E$1000,$R56-4)),1),IF(ISNUMBER(INDEX($F$5:$F$1000,$R56-4)),DATE(YEAR(INDEX($F$5:$F$1000,$R56-4)),MONTH(INDEX($F$5:$F$1000,$R56-4)),1),MesCiclo)),IF(ISNUMBER($E56),DATE(YEAR($E56),MONTH($E56),1),IF(ISNUMBER($F56),DATE(YEAR($F56),MONTH($F56),1),MesCiclo))))</f>
        <v/>
      </c>
      <c r="Q56" s="70">
        <f>IF(OR($P56="",$P56&lt;&gt;MesCiclo),"",COUNTIF($P$5:$P56,MesCiclo))</f>
        <v/>
      </c>
      <c r="R56" s="70">
        <f>IF($S56="","",IF($S56="Macro",ROW(),IFERROR(LOOKUP(2,1/($S$5:$S56="Macro"),ROW($S$5:$S56)),0)))</f>
        <v/>
      </c>
      <c r="S56" s="70">
        <f>IF(NOT((COUNTA($B56:$K56)+COUNTA($N56))&gt;0),"",IF($B56&lt;&gt;"","Macro",IF($C56&lt;&gt;"","Sub","Macro")))</f>
        <v/>
      </c>
      <c r="T56" s="70">
        <f>IF($S56="Macro",COUNTIFS($R$5:$R$1000,ROW(),$S$5:$S$1000,"Sub"),"")</f>
        <v/>
      </c>
      <c r="U56" s="70">
        <f>IF($S56="","",IF(ISNUMBER($H56),$H56,0))</f>
        <v/>
      </c>
      <c r="V56" s="70">
        <f>IF($S56="","",IF(ISNUMBER($I56),$I56,$U56))</f>
        <v/>
      </c>
      <c r="W56" s="70">
        <f>IF($S56="","",IF(ISNUMBER($J56),$J56,$V56))</f>
        <v/>
      </c>
      <c r="X56" s="70">
        <f>IF($S56="","",IF(ISNUMBER($K56),$K56,$W56))</f>
        <v/>
      </c>
      <c r="Y56" s="70">
        <f>IF($S56="","",IF(N($T56)&gt;0,AVERAGEIFS($U$5:$U$1000,$R$5:$R$1000,ROW(),$S$5:$S$1000,"Sub"),$U56))</f>
        <v/>
      </c>
      <c r="Z56" s="70">
        <f>IF($S56="","",IF(N($T56)&gt;0,AVERAGEIFS($V$5:$V$1000,$R$5:$R$1000,ROW(),$S$5:$S$1000,"Sub"),$V56))</f>
        <v/>
      </c>
      <c r="AA56" s="70">
        <f>IF($S56="","",IF(N($T56)&gt;0,AVERAGEIFS($W$5:$W$1000,$R$5:$R$1000,ROW(),$S$5:$S$1000,"Sub"),$W56))</f>
        <v/>
      </c>
      <c r="AB56" s="70">
        <f>IF($S56="","",IF(N($T56)&gt;0,AVERAGEIFS($X$5:$X$1000,$R$5:$R$1000,ROW(),$S$5:$S$1000,"Sub"),$X56))</f>
        <v/>
      </c>
    </row>
    <row r="57">
      <c r="A57" s="61">
        <f>IF(NOT((COUNTA($B57:$K57)+COUNTA($N57))&gt;0),"",IF($S57="Macro",COUNTIFS($S$5:$S57,"Macro",$P$5:$P57,$P57),IF(N($R57)=0,"?",COUNTIFS(INDEX($S$5:$S$1000,1):INDEX($S$5:$S$1000,$R57-4),"Macro",INDEX($P$5:$P$1000,1):INDEX($P$5:$P$1000,$R57-4),INDEX($P$5:$P$1000,$R57-4))&amp;"."&amp;COUNTIFS($R$5:$R57,$R57,$S$5:$S57,"Sub"))))</f>
        <v/>
      </c>
      <c r="B57" s="62" t="n"/>
      <c r="C57" s="63" t="n"/>
      <c r="D57" s="62" t="n"/>
      <c r="E57" s="64" t="n"/>
      <c r="F57" s="64" t="n"/>
      <c r="G57" s="65" t="n"/>
      <c r="H57" s="66" t="n"/>
      <c r="I57" s="66" t="n"/>
      <c r="J57" s="66" t="n"/>
      <c r="K57" s="66" t="n"/>
      <c r="L57" s="67">
        <f>IF(NOT((COUNTA($B57:$K57)+COUNTA($N57))&gt;0),"",IF(N($T57)&gt;0,$AB57,IFERROR(LOOKUP(2,1/(H57:K57&lt;&gt;""),H57:K57),0)))</f>
        <v/>
      </c>
      <c r="M57" s="61">
        <f>IF(L57="","",IF(L57&gt;=1,"Completado",IF(L57&gt;0,"En curso","Pendiente")))</f>
        <v/>
      </c>
      <c r="N57" s="62" t="n"/>
      <c r="O57" s="68">
        <f>IF(NOT((COUNTA($B57:$K57)+COUNTA($N57))&gt;0),"",IF((IF(AND($S57="Macro",$B57=""),"Macroactividad vacía"&amp;" · ","")&amp;IF(AND($B57&lt;&gt;"",$C57&lt;&gt;""),"Escriba la subactividad en otra fila, debajo de su macroactividad"&amp;" · ","")&amp;IF(AND($S57="Sub",N($R57)=0),"Subactividad sin macroactividad arriba"&amp;" · ","")&amp;IF($D57="","Sin responsable"&amp;" · ","")&amp;IF($E57="","Sin fecha de inicio"&amp;" · ","")&amp;IF($F57="","Sin fecha límite"&amp;" · ","")&amp;IF(OR(AND($E57&lt;&gt;"",NOT(ISNUMBER($E57))),AND($F57&lt;&gt;"",NOT(ISNUMBER($F57)))),"Fecha no válida"&amp;" · ","")&amp;IF(AND(ISNUMBER($E57),ISNUMBER($F57),$E57&gt;$F57),"Inicio posterior a fecha límite"&amp;" · ","")&amp;IF(AND($S57="Macro",$G57=""),"Peso vacío"&amp;" · ","")&amp;IF(AND($S57="Macro",$G57&lt;&gt;"",OR(NOT(ISNUMBER($G57)),$G57&lt;=0,$G57&gt;1)),"Peso fuera de rango"&amp;" · ","")&amp;IF(AND($S57="Sub",$G57&lt;&gt;""),"Las subactividades no llevan peso"&amp;" · ","")&amp;IF(AND($S57="Macro",ABS(SUMIFS($G$5:$G$1000,$P$5:$P$1000,$P57,$S$5:$S$1000,"Macro")-1)&gt;0.0001),"Pesos del mes suman "&amp;TEXT(SUMIFS($G$5:$G$1000,$P$5:$P$1000,$P57,$S$5:$S$1000,"Macro"),"0%")&amp;" · ","")&amp;IF(AND(N($T57)&gt;0,COUNT($H57:$K57)&gt;0),"Con subactividades: deje vacías las semanas (se calculan solas)"&amp;" · ","")&amp;IF((COUNTIF($H57:$K57,"&gt;1")+COUNTIF($H57:$K57,"&lt;0")+COUNTA($H57:$K57)-COUNT($H57:$K57))&gt;0,"Avance fuera de rango 0-100%"&amp;" · ","")&amp;IF(OR(AND($I57&lt;&gt;"",$I57&lt;$H57),AND($J57&lt;&gt;"",$J57&lt;MAX($H57:$I57)),AND($K57&lt;&gt;"",$K57&lt;MAX($H57:$J57))),"Avance semanal decreciente"&amp;" · ","")&amp;IF(AND(ISNUMBER($F57),$F57&lt;FechaRef,N($L57)&lt;1),"Vencida"&amp;" · ","")&amp;IF(AND(ObsObligatoria="Sí",ISNUMBER($F57),$F57&lt;FechaRef,N($L57)&lt;1,$N57=""),"Vencida sin observación"&amp;" · ",""))="","✔ OK","⚠ "&amp;LEFT(IF(AND($S57="Macro",$B57=""),"Macroactividad vacía"&amp;" · ","")&amp;IF(AND($B57&lt;&gt;"",$C57&lt;&gt;""),"Escriba la subactividad en otra fila, debajo de su macroactividad"&amp;" · ","")&amp;IF(AND($S57="Sub",N($R57)=0),"Subactividad sin macroactividad arriba"&amp;" · ","")&amp;IF($D57="","Sin responsable"&amp;" · ","")&amp;IF($E57="","Sin fecha de inicio"&amp;" · ","")&amp;IF($F57="","Sin fecha límite"&amp;" · ","")&amp;IF(OR(AND($E57&lt;&gt;"",NOT(ISNUMBER($E57))),AND($F57&lt;&gt;"",NOT(ISNUMBER($F57)))),"Fecha no válida"&amp;" · ","")&amp;IF(AND(ISNUMBER($E57),ISNUMBER($F57),$E57&gt;$F57),"Inicio posterior a fecha límite"&amp;" · ","")&amp;IF(AND($S57="Macro",$G57=""),"Peso vacío"&amp;" · ","")&amp;IF(AND($S57="Macro",$G57&lt;&gt;"",OR(NOT(ISNUMBER($G57)),$G57&lt;=0,$G57&gt;1)),"Peso fuera de rango"&amp;" · ","")&amp;IF(AND($S57="Sub",$G57&lt;&gt;""),"Las subactividades no llevan peso"&amp;" · ","")&amp;IF(AND($S57="Macro",ABS(SUMIFS($G$5:$G$1000,$P$5:$P$1000,$P57,$S$5:$S$1000,"Macro")-1)&gt;0.0001),"Pesos del mes suman "&amp;TEXT(SUMIFS($G$5:$G$1000,$P$5:$P$1000,$P57,$S$5:$S$1000,"Macro"),"0%")&amp;" · ","")&amp;IF(AND(N($T57)&gt;0,COUNT($H57:$K57)&gt;0),"Con subactividades: deje vacías las semanas (se calculan solas)"&amp;" · ","")&amp;IF((COUNTIF($H57:$K57,"&gt;1")+COUNTIF($H57:$K57,"&lt;0")+COUNTA($H57:$K57)-COUNT($H57:$K57))&gt;0,"Avance fuera de rango 0-100%"&amp;" · ","")&amp;IF(OR(AND($I57&lt;&gt;"",$I57&lt;$H57),AND($J57&lt;&gt;"",$J57&lt;MAX($H57:$I57)),AND($K57&lt;&gt;"",$K57&lt;MAX($H57:$J57))),"Avance semanal decreciente"&amp;" · ","")&amp;IF(AND(ISNUMBER($F57),$F57&lt;FechaRef,N($L57)&lt;1),"Vencida"&amp;" · ","")&amp;IF(AND(ObsObligatoria="Sí",ISNUMBER($F57),$F57&lt;FechaRef,N($L57)&lt;1,$N57=""),"Vencida sin observación"&amp;" · ",""),LEN(IF(AND($S57="Macro",$B57=""),"Macroactividad vacía"&amp;" · ","")&amp;IF(AND($B57&lt;&gt;"",$C57&lt;&gt;""),"Escriba la subactividad en otra fila, debajo de su macroactividad"&amp;" · ","")&amp;IF(AND($S57="Sub",N($R57)=0),"Subactividad sin macroactividad arriba"&amp;" · ","")&amp;IF($D57="","Sin responsable"&amp;" · ","")&amp;IF($E57="","Sin fecha de inicio"&amp;" · ","")&amp;IF($F57="","Sin fecha límite"&amp;" · ","")&amp;IF(OR(AND($E57&lt;&gt;"",NOT(ISNUMBER($E57))),AND($F57&lt;&gt;"",NOT(ISNUMBER($F57)))),"Fecha no válida"&amp;" · ","")&amp;IF(AND(ISNUMBER($E57),ISNUMBER($F57),$E57&gt;$F57),"Inicio posterior a fecha límite"&amp;" · ","")&amp;IF(AND($S57="Macro",$G57=""),"Peso vacío"&amp;" · ","")&amp;IF(AND($S57="Macro",$G57&lt;&gt;"",OR(NOT(ISNUMBER($G57)),$G57&lt;=0,$G57&gt;1)),"Peso fuera de rango"&amp;" · ","")&amp;IF(AND($S57="Sub",$G57&lt;&gt;""),"Las subactividades no llevan peso"&amp;" · ","")&amp;IF(AND($S57="Macro",ABS(SUMIFS($G$5:$G$1000,$P$5:$P$1000,$P57,$S$5:$S$1000,"Macro")-1)&gt;0.0001),"Pesos del mes suman "&amp;TEXT(SUMIFS($G$5:$G$1000,$P$5:$P$1000,$P57,$S$5:$S$1000,"Macro"),"0%")&amp;" · ","")&amp;IF(AND(N($T57)&gt;0,COUNT($H57:$K57)&gt;0),"Con subactividades: deje vacías las semanas (se calculan solas)"&amp;" · ","")&amp;IF((COUNTIF($H57:$K57,"&gt;1")+COUNTIF($H57:$K57,"&lt;0")+COUNTA($H57:$K57)-COUNT($H57:$K57))&gt;0,"Avance fuera de rango 0-100%"&amp;" · ","")&amp;IF(OR(AND($I57&lt;&gt;"",$I57&lt;$H57),AND($J57&lt;&gt;"",$J57&lt;MAX($H57:$I57)),AND($K57&lt;&gt;"",$K57&lt;MAX($H57:$J57))),"Avance semanal decreciente"&amp;" · ","")&amp;IF(AND(ISNUMBER($F57),$F57&lt;FechaRef,N($L57)&lt;1),"Vencida"&amp;" · ","")&amp;IF(AND(ObsObligatoria="Sí",ISNUMBER($F57),$F57&lt;FechaRef,N($L57)&lt;1,$N57=""),"Vencida sin observación"&amp;" · ",""))-3)))</f>
        <v/>
      </c>
      <c r="P57" s="69">
        <f>IF(NOT((COUNTA($B57:$K57)+COUNTA($N57))&gt;0),"",IF(AND($S57="Sub",N($R57)&gt;0),IF(ISNUMBER(INDEX($E$5:$E$1000,$R57-4)),DATE(YEAR(INDEX($E$5:$E$1000,$R57-4)),MONTH(INDEX($E$5:$E$1000,$R57-4)),1),IF(ISNUMBER(INDEX($F$5:$F$1000,$R57-4)),DATE(YEAR(INDEX($F$5:$F$1000,$R57-4)),MONTH(INDEX($F$5:$F$1000,$R57-4)),1),MesCiclo)),IF(ISNUMBER($E57),DATE(YEAR($E57),MONTH($E57),1),IF(ISNUMBER($F57),DATE(YEAR($F57),MONTH($F57),1),MesCiclo))))</f>
        <v/>
      </c>
      <c r="Q57" s="70">
        <f>IF(OR($P57="",$P57&lt;&gt;MesCiclo),"",COUNTIF($P$5:$P57,MesCiclo))</f>
        <v/>
      </c>
      <c r="R57" s="70">
        <f>IF($S57="","",IF($S57="Macro",ROW(),IFERROR(LOOKUP(2,1/($S$5:$S57="Macro"),ROW($S$5:$S57)),0)))</f>
        <v/>
      </c>
      <c r="S57" s="70">
        <f>IF(NOT((COUNTA($B57:$K57)+COUNTA($N57))&gt;0),"",IF($B57&lt;&gt;"","Macro",IF($C57&lt;&gt;"","Sub","Macro")))</f>
        <v/>
      </c>
      <c r="T57" s="70">
        <f>IF($S57="Macro",COUNTIFS($R$5:$R$1000,ROW(),$S$5:$S$1000,"Sub"),"")</f>
        <v/>
      </c>
      <c r="U57" s="70">
        <f>IF($S57="","",IF(ISNUMBER($H57),$H57,0))</f>
        <v/>
      </c>
      <c r="V57" s="70">
        <f>IF($S57="","",IF(ISNUMBER($I57),$I57,$U57))</f>
        <v/>
      </c>
      <c r="W57" s="70">
        <f>IF($S57="","",IF(ISNUMBER($J57),$J57,$V57))</f>
        <v/>
      </c>
      <c r="X57" s="70">
        <f>IF($S57="","",IF(ISNUMBER($K57),$K57,$W57))</f>
        <v/>
      </c>
      <c r="Y57" s="70">
        <f>IF($S57="","",IF(N($T57)&gt;0,AVERAGEIFS($U$5:$U$1000,$R$5:$R$1000,ROW(),$S$5:$S$1000,"Sub"),$U57))</f>
        <v/>
      </c>
      <c r="Z57" s="70">
        <f>IF($S57="","",IF(N($T57)&gt;0,AVERAGEIFS($V$5:$V$1000,$R$5:$R$1000,ROW(),$S$5:$S$1000,"Sub"),$V57))</f>
        <v/>
      </c>
      <c r="AA57" s="70">
        <f>IF($S57="","",IF(N($T57)&gt;0,AVERAGEIFS($W$5:$W$1000,$R$5:$R$1000,ROW(),$S$5:$S$1000,"Sub"),$W57))</f>
        <v/>
      </c>
      <c r="AB57" s="70">
        <f>IF($S57="","",IF(N($T57)&gt;0,AVERAGEIFS($X$5:$X$1000,$R$5:$R$1000,ROW(),$S$5:$S$1000,"Sub"),$X57))</f>
        <v/>
      </c>
    </row>
    <row r="58">
      <c r="A58" s="61">
        <f>IF(NOT((COUNTA($B58:$K58)+COUNTA($N58))&gt;0),"",IF($S58="Macro",COUNTIFS($S$5:$S58,"Macro",$P$5:$P58,$P58),IF(N($R58)=0,"?",COUNTIFS(INDEX($S$5:$S$1000,1):INDEX($S$5:$S$1000,$R58-4),"Macro",INDEX($P$5:$P$1000,1):INDEX($P$5:$P$1000,$R58-4),INDEX($P$5:$P$1000,$R58-4))&amp;"."&amp;COUNTIFS($R$5:$R58,$R58,$S$5:$S58,"Sub"))))</f>
        <v/>
      </c>
      <c r="B58" s="62" t="n"/>
      <c r="C58" s="63" t="n"/>
      <c r="D58" s="62" t="n"/>
      <c r="E58" s="64" t="n"/>
      <c r="F58" s="64" t="n"/>
      <c r="G58" s="65" t="n"/>
      <c r="H58" s="66" t="n"/>
      <c r="I58" s="66" t="n"/>
      <c r="J58" s="66" t="n"/>
      <c r="K58" s="66" t="n"/>
      <c r="L58" s="67">
        <f>IF(NOT((COUNTA($B58:$K58)+COUNTA($N58))&gt;0),"",IF(N($T58)&gt;0,$AB58,IFERROR(LOOKUP(2,1/(H58:K58&lt;&gt;""),H58:K58),0)))</f>
        <v/>
      </c>
      <c r="M58" s="61">
        <f>IF(L58="","",IF(L58&gt;=1,"Completado",IF(L58&gt;0,"En curso","Pendiente")))</f>
        <v/>
      </c>
      <c r="N58" s="62" t="n"/>
      <c r="O58" s="68">
        <f>IF(NOT((COUNTA($B58:$K58)+COUNTA($N58))&gt;0),"",IF((IF(AND($S58="Macro",$B58=""),"Macroactividad vacía"&amp;" · ","")&amp;IF(AND($B58&lt;&gt;"",$C58&lt;&gt;""),"Escriba la subactividad en otra fila, debajo de su macroactividad"&amp;" · ","")&amp;IF(AND($S58="Sub",N($R58)=0),"Subactividad sin macroactividad arriba"&amp;" · ","")&amp;IF($D58="","Sin responsable"&amp;" · ","")&amp;IF($E58="","Sin fecha de inicio"&amp;" · ","")&amp;IF($F58="","Sin fecha límite"&amp;" · ","")&amp;IF(OR(AND($E58&lt;&gt;"",NOT(ISNUMBER($E58))),AND($F58&lt;&gt;"",NOT(ISNUMBER($F58)))),"Fecha no válida"&amp;" · ","")&amp;IF(AND(ISNUMBER($E58),ISNUMBER($F58),$E58&gt;$F58),"Inicio posterior a fecha límite"&amp;" · ","")&amp;IF(AND($S58="Macro",$G58=""),"Peso vacío"&amp;" · ","")&amp;IF(AND($S58="Macro",$G58&lt;&gt;"",OR(NOT(ISNUMBER($G58)),$G58&lt;=0,$G58&gt;1)),"Peso fuera de rango"&amp;" · ","")&amp;IF(AND($S58="Sub",$G58&lt;&gt;""),"Las subactividades no llevan peso"&amp;" · ","")&amp;IF(AND($S58="Macro",ABS(SUMIFS($G$5:$G$1000,$P$5:$P$1000,$P58,$S$5:$S$1000,"Macro")-1)&gt;0.0001),"Pesos del mes suman "&amp;TEXT(SUMIFS($G$5:$G$1000,$P$5:$P$1000,$P58,$S$5:$S$1000,"Macro"),"0%")&amp;" · ","")&amp;IF(AND(N($T58)&gt;0,COUNT($H58:$K58)&gt;0),"Con subactividades: deje vacías las semanas (se calculan solas)"&amp;" · ","")&amp;IF((COUNTIF($H58:$K58,"&gt;1")+COUNTIF($H58:$K58,"&lt;0")+COUNTA($H58:$K58)-COUNT($H58:$K58))&gt;0,"Avance fuera de rango 0-100%"&amp;" · ","")&amp;IF(OR(AND($I58&lt;&gt;"",$I58&lt;$H58),AND($J58&lt;&gt;"",$J58&lt;MAX($H58:$I58)),AND($K58&lt;&gt;"",$K58&lt;MAX($H58:$J58))),"Avance semanal decreciente"&amp;" · ","")&amp;IF(AND(ISNUMBER($F58),$F58&lt;FechaRef,N($L58)&lt;1),"Vencida"&amp;" · ","")&amp;IF(AND(ObsObligatoria="Sí",ISNUMBER($F58),$F58&lt;FechaRef,N($L58)&lt;1,$N58=""),"Vencida sin observación"&amp;" · ",""))="","✔ OK","⚠ "&amp;LEFT(IF(AND($S58="Macro",$B58=""),"Macroactividad vacía"&amp;" · ","")&amp;IF(AND($B58&lt;&gt;"",$C58&lt;&gt;""),"Escriba la subactividad en otra fila, debajo de su macroactividad"&amp;" · ","")&amp;IF(AND($S58="Sub",N($R58)=0),"Subactividad sin macroactividad arriba"&amp;" · ","")&amp;IF($D58="","Sin responsable"&amp;" · ","")&amp;IF($E58="","Sin fecha de inicio"&amp;" · ","")&amp;IF($F58="","Sin fecha límite"&amp;" · ","")&amp;IF(OR(AND($E58&lt;&gt;"",NOT(ISNUMBER($E58))),AND($F58&lt;&gt;"",NOT(ISNUMBER($F58)))),"Fecha no válida"&amp;" · ","")&amp;IF(AND(ISNUMBER($E58),ISNUMBER($F58),$E58&gt;$F58),"Inicio posterior a fecha límite"&amp;" · ","")&amp;IF(AND($S58="Macro",$G58=""),"Peso vacío"&amp;" · ","")&amp;IF(AND($S58="Macro",$G58&lt;&gt;"",OR(NOT(ISNUMBER($G58)),$G58&lt;=0,$G58&gt;1)),"Peso fuera de rango"&amp;" · ","")&amp;IF(AND($S58="Sub",$G58&lt;&gt;""),"Las subactividades no llevan peso"&amp;" · ","")&amp;IF(AND($S58="Macro",ABS(SUMIFS($G$5:$G$1000,$P$5:$P$1000,$P58,$S$5:$S$1000,"Macro")-1)&gt;0.0001),"Pesos del mes suman "&amp;TEXT(SUMIFS($G$5:$G$1000,$P$5:$P$1000,$P58,$S$5:$S$1000,"Macro"),"0%")&amp;" · ","")&amp;IF(AND(N($T58)&gt;0,COUNT($H58:$K58)&gt;0),"Con subactividades: deje vacías las semanas (se calculan solas)"&amp;" · ","")&amp;IF((COUNTIF($H58:$K58,"&gt;1")+COUNTIF($H58:$K58,"&lt;0")+COUNTA($H58:$K58)-COUNT($H58:$K58))&gt;0,"Avance fuera de rango 0-100%"&amp;" · ","")&amp;IF(OR(AND($I58&lt;&gt;"",$I58&lt;$H58),AND($J58&lt;&gt;"",$J58&lt;MAX($H58:$I58)),AND($K58&lt;&gt;"",$K58&lt;MAX($H58:$J58))),"Avance semanal decreciente"&amp;" · ","")&amp;IF(AND(ISNUMBER($F58),$F58&lt;FechaRef,N($L58)&lt;1),"Vencida"&amp;" · ","")&amp;IF(AND(ObsObligatoria="Sí",ISNUMBER($F58),$F58&lt;FechaRef,N($L58)&lt;1,$N58=""),"Vencida sin observación"&amp;" · ",""),LEN(IF(AND($S58="Macro",$B58=""),"Macroactividad vacía"&amp;" · ","")&amp;IF(AND($B58&lt;&gt;"",$C58&lt;&gt;""),"Escriba la subactividad en otra fila, debajo de su macroactividad"&amp;" · ","")&amp;IF(AND($S58="Sub",N($R58)=0),"Subactividad sin macroactividad arriba"&amp;" · ","")&amp;IF($D58="","Sin responsable"&amp;" · ","")&amp;IF($E58="","Sin fecha de inicio"&amp;" · ","")&amp;IF($F58="","Sin fecha límite"&amp;" · ","")&amp;IF(OR(AND($E58&lt;&gt;"",NOT(ISNUMBER($E58))),AND($F58&lt;&gt;"",NOT(ISNUMBER($F58)))),"Fecha no válida"&amp;" · ","")&amp;IF(AND(ISNUMBER($E58),ISNUMBER($F58),$E58&gt;$F58),"Inicio posterior a fecha límite"&amp;" · ","")&amp;IF(AND($S58="Macro",$G58=""),"Peso vacío"&amp;" · ","")&amp;IF(AND($S58="Macro",$G58&lt;&gt;"",OR(NOT(ISNUMBER($G58)),$G58&lt;=0,$G58&gt;1)),"Peso fuera de rango"&amp;" · ","")&amp;IF(AND($S58="Sub",$G58&lt;&gt;""),"Las subactividades no llevan peso"&amp;" · ","")&amp;IF(AND($S58="Macro",ABS(SUMIFS($G$5:$G$1000,$P$5:$P$1000,$P58,$S$5:$S$1000,"Macro")-1)&gt;0.0001),"Pesos del mes suman "&amp;TEXT(SUMIFS($G$5:$G$1000,$P$5:$P$1000,$P58,$S$5:$S$1000,"Macro"),"0%")&amp;" · ","")&amp;IF(AND(N($T58)&gt;0,COUNT($H58:$K58)&gt;0),"Con subactividades: deje vacías las semanas (se calculan solas)"&amp;" · ","")&amp;IF((COUNTIF($H58:$K58,"&gt;1")+COUNTIF($H58:$K58,"&lt;0")+COUNTA($H58:$K58)-COUNT($H58:$K58))&gt;0,"Avance fuera de rango 0-100%"&amp;" · ","")&amp;IF(OR(AND($I58&lt;&gt;"",$I58&lt;$H58),AND($J58&lt;&gt;"",$J58&lt;MAX($H58:$I58)),AND($K58&lt;&gt;"",$K58&lt;MAX($H58:$J58))),"Avance semanal decreciente"&amp;" · ","")&amp;IF(AND(ISNUMBER($F58),$F58&lt;FechaRef,N($L58)&lt;1),"Vencida"&amp;" · ","")&amp;IF(AND(ObsObligatoria="Sí",ISNUMBER($F58),$F58&lt;FechaRef,N($L58)&lt;1,$N58=""),"Vencida sin observación"&amp;" · ",""))-3)))</f>
        <v/>
      </c>
      <c r="P58" s="69">
        <f>IF(NOT((COUNTA($B58:$K58)+COUNTA($N58))&gt;0),"",IF(AND($S58="Sub",N($R58)&gt;0),IF(ISNUMBER(INDEX($E$5:$E$1000,$R58-4)),DATE(YEAR(INDEX($E$5:$E$1000,$R58-4)),MONTH(INDEX($E$5:$E$1000,$R58-4)),1),IF(ISNUMBER(INDEX($F$5:$F$1000,$R58-4)),DATE(YEAR(INDEX($F$5:$F$1000,$R58-4)),MONTH(INDEX($F$5:$F$1000,$R58-4)),1),MesCiclo)),IF(ISNUMBER($E58),DATE(YEAR($E58),MONTH($E58),1),IF(ISNUMBER($F58),DATE(YEAR($F58),MONTH($F58),1),MesCiclo))))</f>
        <v/>
      </c>
      <c r="Q58" s="70">
        <f>IF(OR($P58="",$P58&lt;&gt;MesCiclo),"",COUNTIF($P$5:$P58,MesCiclo))</f>
        <v/>
      </c>
      <c r="R58" s="70">
        <f>IF($S58="","",IF($S58="Macro",ROW(),IFERROR(LOOKUP(2,1/($S$5:$S58="Macro"),ROW($S$5:$S58)),0)))</f>
        <v/>
      </c>
      <c r="S58" s="70">
        <f>IF(NOT((COUNTA($B58:$K58)+COUNTA($N58))&gt;0),"",IF($B58&lt;&gt;"","Macro",IF($C58&lt;&gt;"","Sub","Macro")))</f>
        <v/>
      </c>
      <c r="T58" s="70">
        <f>IF($S58="Macro",COUNTIFS($R$5:$R$1000,ROW(),$S$5:$S$1000,"Sub"),"")</f>
        <v/>
      </c>
      <c r="U58" s="70">
        <f>IF($S58="","",IF(ISNUMBER($H58),$H58,0))</f>
        <v/>
      </c>
      <c r="V58" s="70">
        <f>IF($S58="","",IF(ISNUMBER($I58),$I58,$U58))</f>
        <v/>
      </c>
      <c r="W58" s="70">
        <f>IF($S58="","",IF(ISNUMBER($J58),$J58,$V58))</f>
        <v/>
      </c>
      <c r="X58" s="70">
        <f>IF($S58="","",IF(ISNUMBER($K58),$K58,$W58))</f>
        <v/>
      </c>
      <c r="Y58" s="70">
        <f>IF($S58="","",IF(N($T58)&gt;0,AVERAGEIFS($U$5:$U$1000,$R$5:$R$1000,ROW(),$S$5:$S$1000,"Sub"),$U58))</f>
        <v/>
      </c>
      <c r="Z58" s="70">
        <f>IF($S58="","",IF(N($T58)&gt;0,AVERAGEIFS($V$5:$V$1000,$R$5:$R$1000,ROW(),$S$5:$S$1000,"Sub"),$V58))</f>
        <v/>
      </c>
      <c r="AA58" s="70">
        <f>IF($S58="","",IF(N($T58)&gt;0,AVERAGEIFS($W$5:$W$1000,$R$5:$R$1000,ROW(),$S$5:$S$1000,"Sub"),$W58))</f>
        <v/>
      </c>
      <c r="AB58" s="70">
        <f>IF($S58="","",IF(N($T58)&gt;0,AVERAGEIFS($X$5:$X$1000,$R$5:$R$1000,ROW(),$S$5:$S$1000,"Sub"),$X58))</f>
        <v/>
      </c>
    </row>
    <row r="59">
      <c r="A59" s="61">
        <f>IF(NOT((COUNTA($B59:$K59)+COUNTA($N59))&gt;0),"",IF($S59="Macro",COUNTIFS($S$5:$S59,"Macro",$P$5:$P59,$P59),IF(N($R59)=0,"?",COUNTIFS(INDEX($S$5:$S$1000,1):INDEX($S$5:$S$1000,$R59-4),"Macro",INDEX($P$5:$P$1000,1):INDEX($P$5:$P$1000,$R59-4),INDEX($P$5:$P$1000,$R59-4))&amp;"."&amp;COUNTIFS($R$5:$R59,$R59,$S$5:$S59,"Sub"))))</f>
        <v/>
      </c>
      <c r="B59" s="62" t="n"/>
      <c r="C59" s="63" t="n"/>
      <c r="D59" s="62" t="n"/>
      <c r="E59" s="64" t="n"/>
      <c r="F59" s="64" t="n"/>
      <c r="G59" s="65" t="n"/>
      <c r="H59" s="66" t="n"/>
      <c r="I59" s="66" t="n"/>
      <c r="J59" s="66" t="n"/>
      <c r="K59" s="66" t="n"/>
      <c r="L59" s="67">
        <f>IF(NOT((COUNTA($B59:$K59)+COUNTA($N59))&gt;0),"",IF(N($T59)&gt;0,$AB59,IFERROR(LOOKUP(2,1/(H59:K59&lt;&gt;""),H59:K59),0)))</f>
        <v/>
      </c>
      <c r="M59" s="61">
        <f>IF(L59="","",IF(L59&gt;=1,"Completado",IF(L59&gt;0,"En curso","Pendiente")))</f>
        <v/>
      </c>
      <c r="N59" s="62" t="n"/>
      <c r="O59" s="68">
        <f>IF(NOT((COUNTA($B59:$K59)+COUNTA($N59))&gt;0),"",IF((IF(AND($S59="Macro",$B59=""),"Macroactividad vacía"&amp;" · ","")&amp;IF(AND($B59&lt;&gt;"",$C59&lt;&gt;""),"Escriba la subactividad en otra fila, debajo de su macroactividad"&amp;" · ","")&amp;IF(AND($S59="Sub",N($R59)=0),"Subactividad sin macroactividad arriba"&amp;" · ","")&amp;IF($D59="","Sin responsable"&amp;" · ","")&amp;IF($E59="","Sin fecha de inicio"&amp;" · ","")&amp;IF($F59="","Sin fecha límite"&amp;" · ","")&amp;IF(OR(AND($E59&lt;&gt;"",NOT(ISNUMBER($E59))),AND($F59&lt;&gt;"",NOT(ISNUMBER($F59)))),"Fecha no válida"&amp;" · ","")&amp;IF(AND(ISNUMBER($E59),ISNUMBER($F59),$E59&gt;$F59),"Inicio posterior a fecha límite"&amp;" · ","")&amp;IF(AND($S59="Macro",$G59=""),"Peso vacío"&amp;" · ","")&amp;IF(AND($S59="Macro",$G59&lt;&gt;"",OR(NOT(ISNUMBER($G59)),$G59&lt;=0,$G59&gt;1)),"Peso fuera de rango"&amp;" · ","")&amp;IF(AND($S59="Sub",$G59&lt;&gt;""),"Las subactividades no llevan peso"&amp;" · ","")&amp;IF(AND($S59="Macro",ABS(SUMIFS($G$5:$G$1000,$P$5:$P$1000,$P59,$S$5:$S$1000,"Macro")-1)&gt;0.0001),"Pesos del mes suman "&amp;TEXT(SUMIFS($G$5:$G$1000,$P$5:$P$1000,$P59,$S$5:$S$1000,"Macro"),"0%")&amp;" · ","")&amp;IF(AND(N($T59)&gt;0,COUNT($H59:$K59)&gt;0),"Con subactividades: deje vacías las semanas (se calculan solas)"&amp;" · ","")&amp;IF((COUNTIF($H59:$K59,"&gt;1")+COUNTIF($H59:$K59,"&lt;0")+COUNTA($H59:$K59)-COUNT($H59:$K59))&gt;0,"Avance fuera de rango 0-100%"&amp;" · ","")&amp;IF(OR(AND($I59&lt;&gt;"",$I59&lt;$H59),AND($J59&lt;&gt;"",$J59&lt;MAX($H59:$I59)),AND($K59&lt;&gt;"",$K59&lt;MAX($H59:$J59))),"Avance semanal decreciente"&amp;" · ","")&amp;IF(AND(ISNUMBER($F59),$F59&lt;FechaRef,N($L59)&lt;1),"Vencida"&amp;" · ","")&amp;IF(AND(ObsObligatoria="Sí",ISNUMBER($F59),$F59&lt;FechaRef,N($L59)&lt;1,$N59=""),"Vencida sin observación"&amp;" · ",""))="","✔ OK","⚠ "&amp;LEFT(IF(AND($S59="Macro",$B59=""),"Macroactividad vacía"&amp;" · ","")&amp;IF(AND($B59&lt;&gt;"",$C59&lt;&gt;""),"Escriba la subactividad en otra fila, debajo de su macroactividad"&amp;" · ","")&amp;IF(AND($S59="Sub",N($R59)=0),"Subactividad sin macroactividad arriba"&amp;" · ","")&amp;IF($D59="","Sin responsable"&amp;" · ","")&amp;IF($E59="","Sin fecha de inicio"&amp;" · ","")&amp;IF($F59="","Sin fecha límite"&amp;" · ","")&amp;IF(OR(AND($E59&lt;&gt;"",NOT(ISNUMBER($E59))),AND($F59&lt;&gt;"",NOT(ISNUMBER($F59)))),"Fecha no válida"&amp;" · ","")&amp;IF(AND(ISNUMBER($E59),ISNUMBER($F59),$E59&gt;$F59),"Inicio posterior a fecha límite"&amp;" · ","")&amp;IF(AND($S59="Macro",$G59=""),"Peso vacío"&amp;" · ","")&amp;IF(AND($S59="Macro",$G59&lt;&gt;"",OR(NOT(ISNUMBER($G59)),$G59&lt;=0,$G59&gt;1)),"Peso fuera de rango"&amp;" · ","")&amp;IF(AND($S59="Sub",$G59&lt;&gt;""),"Las subactividades no llevan peso"&amp;" · ","")&amp;IF(AND($S59="Macro",ABS(SUMIFS($G$5:$G$1000,$P$5:$P$1000,$P59,$S$5:$S$1000,"Macro")-1)&gt;0.0001),"Pesos del mes suman "&amp;TEXT(SUMIFS($G$5:$G$1000,$P$5:$P$1000,$P59,$S$5:$S$1000,"Macro"),"0%")&amp;" · ","")&amp;IF(AND(N($T59)&gt;0,COUNT($H59:$K59)&gt;0),"Con subactividades: deje vacías las semanas (se calculan solas)"&amp;" · ","")&amp;IF((COUNTIF($H59:$K59,"&gt;1")+COUNTIF($H59:$K59,"&lt;0")+COUNTA($H59:$K59)-COUNT($H59:$K59))&gt;0,"Avance fuera de rango 0-100%"&amp;" · ","")&amp;IF(OR(AND($I59&lt;&gt;"",$I59&lt;$H59),AND($J59&lt;&gt;"",$J59&lt;MAX($H59:$I59)),AND($K59&lt;&gt;"",$K59&lt;MAX($H59:$J59))),"Avance semanal decreciente"&amp;" · ","")&amp;IF(AND(ISNUMBER($F59),$F59&lt;FechaRef,N($L59)&lt;1),"Vencida"&amp;" · ","")&amp;IF(AND(ObsObligatoria="Sí",ISNUMBER($F59),$F59&lt;FechaRef,N($L59)&lt;1,$N59=""),"Vencida sin observación"&amp;" · ",""),LEN(IF(AND($S59="Macro",$B59=""),"Macroactividad vacía"&amp;" · ","")&amp;IF(AND($B59&lt;&gt;"",$C59&lt;&gt;""),"Escriba la subactividad en otra fila, debajo de su macroactividad"&amp;" · ","")&amp;IF(AND($S59="Sub",N($R59)=0),"Subactividad sin macroactividad arriba"&amp;" · ","")&amp;IF($D59="","Sin responsable"&amp;" · ","")&amp;IF($E59="","Sin fecha de inicio"&amp;" · ","")&amp;IF($F59="","Sin fecha límite"&amp;" · ","")&amp;IF(OR(AND($E59&lt;&gt;"",NOT(ISNUMBER($E59))),AND($F59&lt;&gt;"",NOT(ISNUMBER($F59)))),"Fecha no válida"&amp;" · ","")&amp;IF(AND(ISNUMBER($E59),ISNUMBER($F59),$E59&gt;$F59),"Inicio posterior a fecha límite"&amp;" · ","")&amp;IF(AND($S59="Macro",$G59=""),"Peso vacío"&amp;" · ","")&amp;IF(AND($S59="Macro",$G59&lt;&gt;"",OR(NOT(ISNUMBER($G59)),$G59&lt;=0,$G59&gt;1)),"Peso fuera de rango"&amp;" · ","")&amp;IF(AND($S59="Sub",$G59&lt;&gt;""),"Las subactividades no llevan peso"&amp;" · ","")&amp;IF(AND($S59="Macro",ABS(SUMIFS($G$5:$G$1000,$P$5:$P$1000,$P59,$S$5:$S$1000,"Macro")-1)&gt;0.0001),"Pesos del mes suman "&amp;TEXT(SUMIFS($G$5:$G$1000,$P$5:$P$1000,$P59,$S$5:$S$1000,"Macro"),"0%")&amp;" · ","")&amp;IF(AND(N($T59)&gt;0,COUNT($H59:$K59)&gt;0),"Con subactividades: deje vacías las semanas (se calculan solas)"&amp;" · ","")&amp;IF((COUNTIF($H59:$K59,"&gt;1")+COUNTIF($H59:$K59,"&lt;0")+COUNTA($H59:$K59)-COUNT($H59:$K59))&gt;0,"Avance fuera de rango 0-100%"&amp;" · ","")&amp;IF(OR(AND($I59&lt;&gt;"",$I59&lt;$H59),AND($J59&lt;&gt;"",$J59&lt;MAX($H59:$I59)),AND($K59&lt;&gt;"",$K59&lt;MAX($H59:$J59))),"Avance semanal decreciente"&amp;" · ","")&amp;IF(AND(ISNUMBER($F59),$F59&lt;FechaRef,N($L59)&lt;1),"Vencida"&amp;" · ","")&amp;IF(AND(ObsObligatoria="Sí",ISNUMBER($F59),$F59&lt;FechaRef,N($L59)&lt;1,$N59=""),"Vencida sin observación"&amp;" · ",""))-3)))</f>
        <v/>
      </c>
      <c r="P59" s="69">
        <f>IF(NOT((COUNTA($B59:$K59)+COUNTA($N59))&gt;0),"",IF(AND($S59="Sub",N($R59)&gt;0),IF(ISNUMBER(INDEX($E$5:$E$1000,$R59-4)),DATE(YEAR(INDEX($E$5:$E$1000,$R59-4)),MONTH(INDEX($E$5:$E$1000,$R59-4)),1),IF(ISNUMBER(INDEX($F$5:$F$1000,$R59-4)),DATE(YEAR(INDEX($F$5:$F$1000,$R59-4)),MONTH(INDEX($F$5:$F$1000,$R59-4)),1),MesCiclo)),IF(ISNUMBER($E59),DATE(YEAR($E59),MONTH($E59),1),IF(ISNUMBER($F59),DATE(YEAR($F59),MONTH($F59),1),MesCiclo))))</f>
        <v/>
      </c>
      <c r="Q59" s="70">
        <f>IF(OR($P59="",$P59&lt;&gt;MesCiclo),"",COUNTIF($P$5:$P59,MesCiclo))</f>
        <v/>
      </c>
      <c r="R59" s="70">
        <f>IF($S59="","",IF($S59="Macro",ROW(),IFERROR(LOOKUP(2,1/($S$5:$S59="Macro"),ROW($S$5:$S59)),0)))</f>
        <v/>
      </c>
      <c r="S59" s="70">
        <f>IF(NOT((COUNTA($B59:$K59)+COUNTA($N59))&gt;0),"",IF($B59&lt;&gt;"","Macro",IF($C59&lt;&gt;"","Sub","Macro")))</f>
        <v/>
      </c>
      <c r="T59" s="70">
        <f>IF($S59="Macro",COUNTIFS($R$5:$R$1000,ROW(),$S$5:$S$1000,"Sub"),"")</f>
        <v/>
      </c>
      <c r="U59" s="70">
        <f>IF($S59="","",IF(ISNUMBER($H59),$H59,0))</f>
        <v/>
      </c>
      <c r="V59" s="70">
        <f>IF($S59="","",IF(ISNUMBER($I59),$I59,$U59))</f>
        <v/>
      </c>
      <c r="W59" s="70">
        <f>IF($S59="","",IF(ISNUMBER($J59),$J59,$V59))</f>
        <v/>
      </c>
      <c r="X59" s="70">
        <f>IF($S59="","",IF(ISNUMBER($K59),$K59,$W59))</f>
        <v/>
      </c>
      <c r="Y59" s="70">
        <f>IF($S59="","",IF(N($T59)&gt;0,AVERAGEIFS($U$5:$U$1000,$R$5:$R$1000,ROW(),$S$5:$S$1000,"Sub"),$U59))</f>
        <v/>
      </c>
      <c r="Z59" s="70">
        <f>IF($S59="","",IF(N($T59)&gt;0,AVERAGEIFS($V$5:$V$1000,$R$5:$R$1000,ROW(),$S$5:$S$1000,"Sub"),$V59))</f>
        <v/>
      </c>
      <c r="AA59" s="70">
        <f>IF($S59="","",IF(N($T59)&gt;0,AVERAGEIFS($W$5:$W$1000,$R$5:$R$1000,ROW(),$S$5:$S$1000,"Sub"),$W59))</f>
        <v/>
      </c>
      <c r="AB59" s="70">
        <f>IF($S59="","",IF(N($T59)&gt;0,AVERAGEIFS($X$5:$X$1000,$R$5:$R$1000,ROW(),$S$5:$S$1000,"Sub"),$X59))</f>
        <v/>
      </c>
    </row>
    <row r="60">
      <c r="A60" s="61">
        <f>IF(NOT((COUNTA($B60:$K60)+COUNTA($N60))&gt;0),"",IF($S60="Macro",COUNTIFS($S$5:$S60,"Macro",$P$5:$P60,$P60),IF(N($R60)=0,"?",COUNTIFS(INDEX($S$5:$S$1000,1):INDEX($S$5:$S$1000,$R60-4),"Macro",INDEX($P$5:$P$1000,1):INDEX($P$5:$P$1000,$R60-4),INDEX($P$5:$P$1000,$R60-4))&amp;"."&amp;COUNTIFS($R$5:$R60,$R60,$S$5:$S60,"Sub"))))</f>
        <v/>
      </c>
      <c r="B60" s="62" t="n"/>
      <c r="C60" s="63" t="n"/>
      <c r="D60" s="62" t="n"/>
      <c r="E60" s="64" t="n"/>
      <c r="F60" s="64" t="n"/>
      <c r="G60" s="65" t="n"/>
      <c r="H60" s="66" t="n"/>
      <c r="I60" s="66" t="n"/>
      <c r="J60" s="66" t="n"/>
      <c r="K60" s="66" t="n"/>
      <c r="L60" s="67">
        <f>IF(NOT((COUNTA($B60:$K60)+COUNTA($N60))&gt;0),"",IF(N($T60)&gt;0,$AB60,IFERROR(LOOKUP(2,1/(H60:K60&lt;&gt;""),H60:K60),0)))</f>
        <v/>
      </c>
      <c r="M60" s="61">
        <f>IF(L60="","",IF(L60&gt;=1,"Completado",IF(L60&gt;0,"En curso","Pendiente")))</f>
        <v/>
      </c>
      <c r="N60" s="62" t="n"/>
      <c r="O60" s="68">
        <f>IF(NOT((COUNTA($B60:$K60)+COUNTA($N60))&gt;0),"",IF((IF(AND($S60="Macro",$B60=""),"Macroactividad vacía"&amp;" · ","")&amp;IF(AND($B60&lt;&gt;"",$C60&lt;&gt;""),"Escriba la subactividad en otra fila, debajo de su macroactividad"&amp;" · ","")&amp;IF(AND($S60="Sub",N($R60)=0),"Subactividad sin macroactividad arriba"&amp;" · ","")&amp;IF($D60="","Sin responsable"&amp;" · ","")&amp;IF($E60="","Sin fecha de inicio"&amp;" · ","")&amp;IF($F60="","Sin fecha límite"&amp;" · ","")&amp;IF(OR(AND($E60&lt;&gt;"",NOT(ISNUMBER($E60))),AND($F60&lt;&gt;"",NOT(ISNUMBER($F60)))),"Fecha no válida"&amp;" · ","")&amp;IF(AND(ISNUMBER($E60),ISNUMBER($F60),$E60&gt;$F60),"Inicio posterior a fecha límite"&amp;" · ","")&amp;IF(AND($S60="Macro",$G60=""),"Peso vacío"&amp;" · ","")&amp;IF(AND($S60="Macro",$G60&lt;&gt;"",OR(NOT(ISNUMBER($G60)),$G60&lt;=0,$G60&gt;1)),"Peso fuera de rango"&amp;" · ","")&amp;IF(AND($S60="Sub",$G60&lt;&gt;""),"Las subactividades no llevan peso"&amp;" · ","")&amp;IF(AND($S60="Macro",ABS(SUMIFS($G$5:$G$1000,$P$5:$P$1000,$P60,$S$5:$S$1000,"Macro")-1)&gt;0.0001),"Pesos del mes suman "&amp;TEXT(SUMIFS($G$5:$G$1000,$P$5:$P$1000,$P60,$S$5:$S$1000,"Macro"),"0%")&amp;" · ","")&amp;IF(AND(N($T60)&gt;0,COUNT($H60:$K60)&gt;0),"Con subactividades: deje vacías las semanas (se calculan solas)"&amp;" · ","")&amp;IF((COUNTIF($H60:$K60,"&gt;1")+COUNTIF($H60:$K60,"&lt;0")+COUNTA($H60:$K60)-COUNT($H60:$K60))&gt;0,"Avance fuera de rango 0-100%"&amp;" · ","")&amp;IF(OR(AND($I60&lt;&gt;"",$I60&lt;$H60),AND($J60&lt;&gt;"",$J60&lt;MAX($H60:$I60)),AND($K60&lt;&gt;"",$K60&lt;MAX($H60:$J60))),"Avance semanal decreciente"&amp;" · ","")&amp;IF(AND(ISNUMBER($F60),$F60&lt;FechaRef,N($L60)&lt;1),"Vencida"&amp;" · ","")&amp;IF(AND(ObsObligatoria="Sí",ISNUMBER($F60),$F60&lt;FechaRef,N($L60)&lt;1,$N60=""),"Vencida sin observación"&amp;" · ",""))="","✔ OK","⚠ "&amp;LEFT(IF(AND($S60="Macro",$B60=""),"Macroactividad vacía"&amp;" · ","")&amp;IF(AND($B60&lt;&gt;"",$C60&lt;&gt;""),"Escriba la subactividad en otra fila, debajo de su macroactividad"&amp;" · ","")&amp;IF(AND($S60="Sub",N($R60)=0),"Subactividad sin macroactividad arriba"&amp;" · ","")&amp;IF($D60="","Sin responsable"&amp;" · ","")&amp;IF($E60="","Sin fecha de inicio"&amp;" · ","")&amp;IF($F60="","Sin fecha límite"&amp;" · ","")&amp;IF(OR(AND($E60&lt;&gt;"",NOT(ISNUMBER($E60))),AND($F60&lt;&gt;"",NOT(ISNUMBER($F60)))),"Fecha no válida"&amp;" · ","")&amp;IF(AND(ISNUMBER($E60),ISNUMBER($F60),$E60&gt;$F60),"Inicio posterior a fecha límite"&amp;" · ","")&amp;IF(AND($S60="Macro",$G60=""),"Peso vacío"&amp;" · ","")&amp;IF(AND($S60="Macro",$G60&lt;&gt;"",OR(NOT(ISNUMBER($G60)),$G60&lt;=0,$G60&gt;1)),"Peso fuera de rango"&amp;" · ","")&amp;IF(AND($S60="Sub",$G60&lt;&gt;""),"Las subactividades no llevan peso"&amp;" · ","")&amp;IF(AND($S60="Macro",ABS(SUMIFS($G$5:$G$1000,$P$5:$P$1000,$P60,$S$5:$S$1000,"Macro")-1)&gt;0.0001),"Pesos del mes suman "&amp;TEXT(SUMIFS($G$5:$G$1000,$P$5:$P$1000,$P60,$S$5:$S$1000,"Macro"),"0%")&amp;" · ","")&amp;IF(AND(N($T60)&gt;0,COUNT($H60:$K60)&gt;0),"Con subactividades: deje vacías las semanas (se calculan solas)"&amp;" · ","")&amp;IF((COUNTIF($H60:$K60,"&gt;1")+COUNTIF($H60:$K60,"&lt;0")+COUNTA($H60:$K60)-COUNT($H60:$K60))&gt;0,"Avance fuera de rango 0-100%"&amp;" · ","")&amp;IF(OR(AND($I60&lt;&gt;"",$I60&lt;$H60),AND($J60&lt;&gt;"",$J60&lt;MAX($H60:$I60)),AND($K60&lt;&gt;"",$K60&lt;MAX($H60:$J60))),"Avance semanal decreciente"&amp;" · ","")&amp;IF(AND(ISNUMBER($F60),$F60&lt;FechaRef,N($L60)&lt;1),"Vencida"&amp;" · ","")&amp;IF(AND(ObsObligatoria="Sí",ISNUMBER($F60),$F60&lt;FechaRef,N($L60)&lt;1,$N60=""),"Vencida sin observación"&amp;" · ",""),LEN(IF(AND($S60="Macro",$B60=""),"Macroactividad vacía"&amp;" · ","")&amp;IF(AND($B60&lt;&gt;"",$C60&lt;&gt;""),"Escriba la subactividad en otra fila, debajo de su macroactividad"&amp;" · ","")&amp;IF(AND($S60="Sub",N($R60)=0),"Subactividad sin macroactividad arriba"&amp;" · ","")&amp;IF($D60="","Sin responsable"&amp;" · ","")&amp;IF($E60="","Sin fecha de inicio"&amp;" · ","")&amp;IF($F60="","Sin fecha límite"&amp;" · ","")&amp;IF(OR(AND($E60&lt;&gt;"",NOT(ISNUMBER($E60))),AND($F60&lt;&gt;"",NOT(ISNUMBER($F60)))),"Fecha no válida"&amp;" · ","")&amp;IF(AND(ISNUMBER($E60),ISNUMBER($F60),$E60&gt;$F60),"Inicio posterior a fecha límite"&amp;" · ","")&amp;IF(AND($S60="Macro",$G60=""),"Peso vacío"&amp;" · ","")&amp;IF(AND($S60="Macro",$G60&lt;&gt;"",OR(NOT(ISNUMBER($G60)),$G60&lt;=0,$G60&gt;1)),"Peso fuera de rango"&amp;" · ","")&amp;IF(AND($S60="Sub",$G60&lt;&gt;""),"Las subactividades no llevan peso"&amp;" · ","")&amp;IF(AND($S60="Macro",ABS(SUMIFS($G$5:$G$1000,$P$5:$P$1000,$P60,$S$5:$S$1000,"Macro")-1)&gt;0.0001),"Pesos del mes suman "&amp;TEXT(SUMIFS($G$5:$G$1000,$P$5:$P$1000,$P60,$S$5:$S$1000,"Macro"),"0%")&amp;" · ","")&amp;IF(AND(N($T60)&gt;0,COUNT($H60:$K60)&gt;0),"Con subactividades: deje vacías las semanas (se calculan solas)"&amp;" · ","")&amp;IF((COUNTIF($H60:$K60,"&gt;1")+COUNTIF($H60:$K60,"&lt;0")+COUNTA($H60:$K60)-COUNT($H60:$K60))&gt;0,"Avance fuera de rango 0-100%"&amp;" · ","")&amp;IF(OR(AND($I60&lt;&gt;"",$I60&lt;$H60),AND($J60&lt;&gt;"",$J60&lt;MAX($H60:$I60)),AND($K60&lt;&gt;"",$K60&lt;MAX($H60:$J60))),"Avance semanal decreciente"&amp;" · ","")&amp;IF(AND(ISNUMBER($F60),$F60&lt;FechaRef,N($L60)&lt;1),"Vencida"&amp;" · ","")&amp;IF(AND(ObsObligatoria="Sí",ISNUMBER($F60),$F60&lt;FechaRef,N($L60)&lt;1,$N60=""),"Vencida sin observación"&amp;" · ",""))-3)))</f>
        <v/>
      </c>
      <c r="P60" s="69">
        <f>IF(NOT((COUNTA($B60:$K60)+COUNTA($N60))&gt;0),"",IF(AND($S60="Sub",N($R60)&gt;0),IF(ISNUMBER(INDEX($E$5:$E$1000,$R60-4)),DATE(YEAR(INDEX($E$5:$E$1000,$R60-4)),MONTH(INDEX($E$5:$E$1000,$R60-4)),1),IF(ISNUMBER(INDEX($F$5:$F$1000,$R60-4)),DATE(YEAR(INDEX($F$5:$F$1000,$R60-4)),MONTH(INDEX($F$5:$F$1000,$R60-4)),1),MesCiclo)),IF(ISNUMBER($E60),DATE(YEAR($E60),MONTH($E60),1),IF(ISNUMBER($F60),DATE(YEAR($F60),MONTH($F60),1),MesCiclo))))</f>
        <v/>
      </c>
      <c r="Q60" s="70">
        <f>IF(OR($P60="",$P60&lt;&gt;MesCiclo),"",COUNTIF($P$5:$P60,MesCiclo))</f>
        <v/>
      </c>
      <c r="R60" s="70">
        <f>IF($S60="","",IF($S60="Macro",ROW(),IFERROR(LOOKUP(2,1/($S$5:$S60="Macro"),ROW($S$5:$S60)),0)))</f>
        <v/>
      </c>
      <c r="S60" s="70">
        <f>IF(NOT((COUNTA($B60:$K60)+COUNTA($N60))&gt;0),"",IF($B60&lt;&gt;"","Macro",IF($C60&lt;&gt;"","Sub","Macro")))</f>
        <v/>
      </c>
      <c r="T60" s="70">
        <f>IF($S60="Macro",COUNTIFS($R$5:$R$1000,ROW(),$S$5:$S$1000,"Sub"),"")</f>
        <v/>
      </c>
      <c r="U60" s="70">
        <f>IF($S60="","",IF(ISNUMBER($H60),$H60,0))</f>
        <v/>
      </c>
      <c r="V60" s="70">
        <f>IF($S60="","",IF(ISNUMBER($I60),$I60,$U60))</f>
        <v/>
      </c>
      <c r="W60" s="70">
        <f>IF($S60="","",IF(ISNUMBER($J60),$J60,$V60))</f>
        <v/>
      </c>
      <c r="X60" s="70">
        <f>IF($S60="","",IF(ISNUMBER($K60),$K60,$W60))</f>
        <v/>
      </c>
      <c r="Y60" s="70">
        <f>IF($S60="","",IF(N($T60)&gt;0,AVERAGEIFS($U$5:$U$1000,$R$5:$R$1000,ROW(),$S$5:$S$1000,"Sub"),$U60))</f>
        <v/>
      </c>
      <c r="Z60" s="70">
        <f>IF($S60="","",IF(N($T60)&gt;0,AVERAGEIFS($V$5:$V$1000,$R$5:$R$1000,ROW(),$S$5:$S$1000,"Sub"),$V60))</f>
        <v/>
      </c>
      <c r="AA60" s="70">
        <f>IF($S60="","",IF(N($T60)&gt;0,AVERAGEIFS($W$5:$W$1000,$R$5:$R$1000,ROW(),$S$5:$S$1000,"Sub"),$W60))</f>
        <v/>
      </c>
      <c r="AB60" s="70">
        <f>IF($S60="","",IF(N($T60)&gt;0,AVERAGEIFS($X$5:$X$1000,$R$5:$R$1000,ROW(),$S$5:$S$1000,"Sub"),$X60))</f>
        <v/>
      </c>
    </row>
    <row r="61">
      <c r="A61" s="61">
        <f>IF(NOT((COUNTA($B61:$K61)+COUNTA($N61))&gt;0),"",IF($S61="Macro",COUNTIFS($S$5:$S61,"Macro",$P$5:$P61,$P61),IF(N($R61)=0,"?",COUNTIFS(INDEX($S$5:$S$1000,1):INDEX($S$5:$S$1000,$R61-4),"Macro",INDEX($P$5:$P$1000,1):INDEX($P$5:$P$1000,$R61-4),INDEX($P$5:$P$1000,$R61-4))&amp;"."&amp;COUNTIFS($R$5:$R61,$R61,$S$5:$S61,"Sub"))))</f>
        <v/>
      </c>
      <c r="B61" s="62" t="n"/>
      <c r="C61" s="63" t="n"/>
      <c r="D61" s="62" t="n"/>
      <c r="E61" s="64" t="n"/>
      <c r="F61" s="64" t="n"/>
      <c r="G61" s="65" t="n"/>
      <c r="H61" s="66" t="n"/>
      <c r="I61" s="66" t="n"/>
      <c r="J61" s="66" t="n"/>
      <c r="K61" s="66" t="n"/>
      <c r="L61" s="67">
        <f>IF(NOT((COUNTA($B61:$K61)+COUNTA($N61))&gt;0),"",IF(N($T61)&gt;0,$AB61,IFERROR(LOOKUP(2,1/(H61:K61&lt;&gt;""),H61:K61),0)))</f>
        <v/>
      </c>
      <c r="M61" s="61">
        <f>IF(L61="","",IF(L61&gt;=1,"Completado",IF(L61&gt;0,"En curso","Pendiente")))</f>
        <v/>
      </c>
      <c r="N61" s="62" t="n"/>
      <c r="O61" s="68">
        <f>IF(NOT((COUNTA($B61:$K61)+COUNTA($N61))&gt;0),"",IF((IF(AND($S61="Macro",$B61=""),"Macroactividad vacía"&amp;" · ","")&amp;IF(AND($B61&lt;&gt;"",$C61&lt;&gt;""),"Escriba la subactividad en otra fila, debajo de su macroactividad"&amp;" · ","")&amp;IF(AND($S61="Sub",N($R61)=0),"Subactividad sin macroactividad arriba"&amp;" · ","")&amp;IF($D61="","Sin responsable"&amp;" · ","")&amp;IF($E61="","Sin fecha de inicio"&amp;" · ","")&amp;IF($F61="","Sin fecha límite"&amp;" · ","")&amp;IF(OR(AND($E61&lt;&gt;"",NOT(ISNUMBER($E61))),AND($F61&lt;&gt;"",NOT(ISNUMBER($F61)))),"Fecha no válida"&amp;" · ","")&amp;IF(AND(ISNUMBER($E61),ISNUMBER($F61),$E61&gt;$F61),"Inicio posterior a fecha límite"&amp;" · ","")&amp;IF(AND($S61="Macro",$G61=""),"Peso vacío"&amp;" · ","")&amp;IF(AND($S61="Macro",$G61&lt;&gt;"",OR(NOT(ISNUMBER($G61)),$G61&lt;=0,$G61&gt;1)),"Peso fuera de rango"&amp;" · ","")&amp;IF(AND($S61="Sub",$G61&lt;&gt;""),"Las subactividades no llevan peso"&amp;" · ","")&amp;IF(AND($S61="Macro",ABS(SUMIFS($G$5:$G$1000,$P$5:$P$1000,$P61,$S$5:$S$1000,"Macro")-1)&gt;0.0001),"Pesos del mes suman "&amp;TEXT(SUMIFS($G$5:$G$1000,$P$5:$P$1000,$P61,$S$5:$S$1000,"Macro"),"0%")&amp;" · ","")&amp;IF(AND(N($T61)&gt;0,COUNT($H61:$K61)&gt;0),"Con subactividades: deje vacías las semanas (se calculan solas)"&amp;" · ","")&amp;IF((COUNTIF($H61:$K61,"&gt;1")+COUNTIF($H61:$K61,"&lt;0")+COUNTA($H61:$K61)-COUNT($H61:$K61))&gt;0,"Avance fuera de rango 0-100%"&amp;" · ","")&amp;IF(OR(AND($I61&lt;&gt;"",$I61&lt;$H61),AND($J61&lt;&gt;"",$J61&lt;MAX($H61:$I61)),AND($K61&lt;&gt;"",$K61&lt;MAX($H61:$J61))),"Avance semanal decreciente"&amp;" · ","")&amp;IF(AND(ISNUMBER($F61),$F61&lt;FechaRef,N($L61)&lt;1),"Vencida"&amp;" · ","")&amp;IF(AND(ObsObligatoria="Sí",ISNUMBER($F61),$F61&lt;FechaRef,N($L61)&lt;1,$N61=""),"Vencida sin observación"&amp;" · ",""))="","✔ OK","⚠ "&amp;LEFT(IF(AND($S61="Macro",$B61=""),"Macroactividad vacía"&amp;" · ","")&amp;IF(AND($B61&lt;&gt;"",$C61&lt;&gt;""),"Escriba la subactividad en otra fila, debajo de su macroactividad"&amp;" · ","")&amp;IF(AND($S61="Sub",N($R61)=0),"Subactividad sin macroactividad arriba"&amp;" · ","")&amp;IF($D61="","Sin responsable"&amp;" · ","")&amp;IF($E61="","Sin fecha de inicio"&amp;" · ","")&amp;IF($F61="","Sin fecha límite"&amp;" · ","")&amp;IF(OR(AND($E61&lt;&gt;"",NOT(ISNUMBER($E61))),AND($F61&lt;&gt;"",NOT(ISNUMBER($F61)))),"Fecha no válida"&amp;" · ","")&amp;IF(AND(ISNUMBER($E61),ISNUMBER($F61),$E61&gt;$F61),"Inicio posterior a fecha límite"&amp;" · ","")&amp;IF(AND($S61="Macro",$G61=""),"Peso vacío"&amp;" · ","")&amp;IF(AND($S61="Macro",$G61&lt;&gt;"",OR(NOT(ISNUMBER($G61)),$G61&lt;=0,$G61&gt;1)),"Peso fuera de rango"&amp;" · ","")&amp;IF(AND($S61="Sub",$G61&lt;&gt;""),"Las subactividades no llevan peso"&amp;" · ","")&amp;IF(AND($S61="Macro",ABS(SUMIFS($G$5:$G$1000,$P$5:$P$1000,$P61,$S$5:$S$1000,"Macro")-1)&gt;0.0001),"Pesos del mes suman "&amp;TEXT(SUMIFS($G$5:$G$1000,$P$5:$P$1000,$P61,$S$5:$S$1000,"Macro"),"0%")&amp;" · ","")&amp;IF(AND(N($T61)&gt;0,COUNT($H61:$K61)&gt;0),"Con subactividades: deje vacías las semanas (se calculan solas)"&amp;" · ","")&amp;IF((COUNTIF($H61:$K61,"&gt;1")+COUNTIF($H61:$K61,"&lt;0")+COUNTA($H61:$K61)-COUNT($H61:$K61))&gt;0,"Avance fuera de rango 0-100%"&amp;" · ","")&amp;IF(OR(AND($I61&lt;&gt;"",$I61&lt;$H61),AND($J61&lt;&gt;"",$J61&lt;MAX($H61:$I61)),AND($K61&lt;&gt;"",$K61&lt;MAX($H61:$J61))),"Avance semanal decreciente"&amp;" · ","")&amp;IF(AND(ISNUMBER($F61),$F61&lt;FechaRef,N($L61)&lt;1),"Vencida"&amp;" · ","")&amp;IF(AND(ObsObligatoria="Sí",ISNUMBER($F61),$F61&lt;FechaRef,N($L61)&lt;1,$N61=""),"Vencida sin observación"&amp;" · ",""),LEN(IF(AND($S61="Macro",$B61=""),"Macroactividad vacía"&amp;" · ","")&amp;IF(AND($B61&lt;&gt;"",$C61&lt;&gt;""),"Escriba la subactividad en otra fila, debajo de su macroactividad"&amp;" · ","")&amp;IF(AND($S61="Sub",N($R61)=0),"Subactividad sin macroactividad arriba"&amp;" · ","")&amp;IF($D61="","Sin responsable"&amp;" · ","")&amp;IF($E61="","Sin fecha de inicio"&amp;" · ","")&amp;IF($F61="","Sin fecha límite"&amp;" · ","")&amp;IF(OR(AND($E61&lt;&gt;"",NOT(ISNUMBER($E61))),AND($F61&lt;&gt;"",NOT(ISNUMBER($F61)))),"Fecha no válida"&amp;" · ","")&amp;IF(AND(ISNUMBER($E61),ISNUMBER($F61),$E61&gt;$F61),"Inicio posterior a fecha límite"&amp;" · ","")&amp;IF(AND($S61="Macro",$G61=""),"Peso vacío"&amp;" · ","")&amp;IF(AND($S61="Macro",$G61&lt;&gt;"",OR(NOT(ISNUMBER($G61)),$G61&lt;=0,$G61&gt;1)),"Peso fuera de rango"&amp;" · ","")&amp;IF(AND($S61="Sub",$G61&lt;&gt;""),"Las subactividades no llevan peso"&amp;" · ","")&amp;IF(AND($S61="Macro",ABS(SUMIFS($G$5:$G$1000,$P$5:$P$1000,$P61,$S$5:$S$1000,"Macro")-1)&gt;0.0001),"Pesos del mes suman "&amp;TEXT(SUMIFS($G$5:$G$1000,$P$5:$P$1000,$P61,$S$5:$S$1000,"Macro"),"0%")&amp;" · ","")&amp;IF(AND(N($T61)&gt;0,COUNT($H61:$K61)&gt;0),"Con subactividades: deje vacías las semanas (se calculan solas)"&amp;" · ","")&amp;IF((COUNTIF($H61:$K61,"&gt;1")+COUNTIF($H61:$K61,"&lt;0")+COUNTA($H61:$K61)-COUNT($H61:$K61))&gt;0,"Avance fuera de rango 0-100%"&amp;" · ","")&amp;IF(OR(AND($I61&lt;&gt;"",$I61&lt;$H61),AND($J61&lt;&gt;"",$J61&lt;MAX($H61:$I61)),AND($K61&lt;&gt;"",$K61&lt;MAX($H61:$J61))),"Avance semanal decreciente"&amp;" · ","")&amp;IF(AND(ISNUMBER($F61),$F61&lt;FechaRef,N($L61)&lt;1),"Vencida"&amp;" · ","")&amp;IF(AND(ObsObligatoria="Sí",ISNUMBER($F61),$F61&lt;FechaRef,N($L61)&lt;1,$N61=""),"Vencida sin observación"&amp;" · ",""))-3)))</f>
        <v/>
      </c>
      <c r="P61" s="69">
        <f>IF(NOT((COUNTA($B61:$K61)+COUNTA($N61))&gt;0),"",IF(AND($S61="Sub",N($R61)&gt;0),IF(ISNUMBER(INDEX($E$5:$E$1000,$R61-4)),DATE(YEAR(INDEX($E$5:$E$1000,$R61-4)),MONTH(INDEX($E$5:$E$1000,$R61-4)),1),IF(ISNUMBER(INDEX($F$5:$F$1000,$R61-4)),DATE(YEAR(INDEX($F$5:$F$1000,$R61-4)),MONTH(INDEX($F$5:$F$1000,$R61-4)),1),MesCiclo)),IF(ISNUMBER($E61),DATE(YEAR($E61),MONTH($E61),1),IF(ISNUMBER($F61),DATE(YEAR($F61),MONTH($F61),1),MesCiclo))))</f>
        <v/>
      </c>
      <c r="Q61" s="70">
        <f>IF(OR($P61="",$P61&lt;&gt;MesCiclo),"",COUNTIF($P$5:$P61,MesCiclo))</f>
        <v/>
      </c>
      <c r="R61" s="70">
        <f>IF($S61="","",IF($S61="Macro",ROW(),IFERROR(LOOKUP(2,1/($S$5:$S61="Macro"),ROW($S$5:$S61)),0)))</f>
        <v/>
      </c>
      <c r="S61" s="70">
        <f>IF(NOT((COUNTA($B61:$K61)+COUNTA($N61))&gt;0),"",IF($B61&lt;&gt;"","Macro",IF($C61&lt;&gt;"","Sub","Macro")))</f>
        <v/>
      </c>
      <c r="T61" s="70">
        <f>IF($S61="Macro",COUNTIFS($R$5:$R$1000,ROW(),$S$5:$S$1000,"Sub"),"")</f>
        <v/>
      </c>
      <c r="U61" s="70">
        <f>IF($S61="","",IF(ISNUMBER($H61),$H61,0))</f>
        <v/>
      </c>
      <c r="V61" s="70">
        <f>IF($S61="","",IF(ISNUMBER($I61),$I61,$U61))</f>
        <v/>
      </c>
      <c r="W61" s="70">
        <f>IF($S61="","",IF(ISNUMBER($J61),$J61,$V61))</f>
        <v/>
      </c>
      <c r="X61" s="70">
        <f>IF($S61="","",IF(ISNUMBER($K61),$K61,$W61))</f>
        <v/>
      </c>
      <c r="Y61" s="70">
        <f>IF($S61="","",IF(N($T61)&gt;0,AVERAGEIFS($U$5:$U$1000,$R$5:$R$1000,ROW(),$S$5:$S$1000,"Sub"),$U61))</f>
        <v/>
      </c>
      <c r="Z61" s="70">
        <f>IF($S61="","",IF(N($T61)&gt;0,AVERAGEIFS($V$5:$V$1000,$R$5:$R$1000,ROW(),$S$5:$S$1000,"Sub"),$V61))</f>
        <v/>
      </c>
      <c r="AA61" s="70">
        <f>IF($S61="","",IF(N($T61)&gt;0,AVERAGEIFS($W$5:$W$1000,$R$5:$R$1000,ROW(),$S$5:$S$1000,"Sub"),$W61))</f>
        <v/>
      </c>
      <c r="AB61" s="70">
        <f>IF($S61="","",IF(N($T61)&gt;0,AVERAGEIFS($X$5:$X$1000,$R$5:$R$1000,ROW(),$S$5:$S$1000,"Sub"),$X61))</f>
        <v/>
      </c>
    </row>
    <row r="62">
      <c r="A62" s="61">
        <f>IF(NOT((COUNTA($B62:$K62)+COUNTA($N62))&gt;0),"",IF($S62="Macro",COUNTIFS($S$5:$S62,"Macro",$P$5:$P62,$P62),IF(N($R62)=0,"?",COUNTIFS(INDEX($S$5:$S$1000,1):INDEX($S$5:$S$1000,$R62-4),"Macro",INDEX($P$5:$P$1000,1):INDEX($P$5:$P$1000,$R62-4),INDEX($P$5:$P$1000,$R62-4))&amp;"."&amp;COUNTIFS($R$5:$R62,$R62,$S$5:$S62,"Sub"))))</f>
        <v/>
      </c>
      <c r="B62" s="62" t="n"/>
      <c r="C62" s="63" t="n"/>
      <c r="D62" s="62" t="n"/>
      <c r="E62" s="64" t="n"/>
      <c r="F62" s="64" t="n"/>
      <c r="G62" s="65" t="n"/>
      <c r="H62" s="66" t="n"/>
      <c r="I62" s="66" t="n"/>
      <c r="J62" s="66" t="n"/>
      <c r="K62" s="66" t="n"/>
      <c r="L62" s="67">
        <f>IF(NOT((COUNTA($B62:$K62)+COUNTA($N62))&gt;0),"",IF(N($T62)&gt;0,$AB62,IFERROR(LOOKUP(2,1/(H62:K62&lt;&gt;""),H62:K62),0)))</f>
        <v/>
      </c>
      <c r="M62" s="61">
        <f>IF(L62="","",IF(L62&gt;=1,"Completado",IF(L62&gt;0,"En curso","Pendiente")))</f>
        <v/>
      </c>
      <c r="N62" s="62" t="n"/>
      <c r="O62" s="68">
        <f>IF(NOT((COUNTA($B62:$K62)+COUNTA($N62))&gt;0),"",IF((IF(AND($S62="Macro",$B62=""),"Macroactividad vacía"&amp;" · ","")&amp;IF(AND($B62&lt;&gt;"",$C62&lt;&gt;""),"Escriba la subactividad en otra fila, debajo de su macroactividad"&amp;" · ","")&amp;IF(AND($S62="Sub",N($R62)=0),"Subactividad sin macroactividad arriba"&amp;" · ","")&amp;IF($D62="","Sin responsable"&amp;" · ","")&amp;IF($E62="","Sin fecha de inicio"&amp;" · ","")&amp;IF($F62="","Sin fecha límite"&amp;" · ","")&amp;IF(OR(AND($E62&lt;&gt;"",NOT(ISNUMBER($E62))),AND($F62&lt;&gt;"",NOT(ISNUMBER($F62)))),"Fecha no válida"&amp;" · ","")&amp;IF(AND(ISNUMBER($E62),ISNUMBER($F62),$E62&gt;$F62),"Inicio posterior a fecha límite"&amp;" · ","")&amp;IF(AND($S62="Macro",$G62=""),"Peso vacío"&amp;" · ","")&amp;IF(AND($S62="Macro",$G62&lt;&gt;"",OR(NOT(ISNUMBER($G62)),$G62&lt;=0,$G62&gt;1)),"Peso fuera de rango"&amp;" · ","")&amp;IF(AND($S62="Sub",$G62&lt;&gt;""),"Las subactividades no llevan peso"&amp;" · ","")&amp;IF(AND($S62="Macro",ABS(SUMIFS($G$5:$G$1000,$P$5:$P$1000,$P62,$S$5:$S$1000,"Macro")-1)&gt;0.0001),"Pesos del mes suman "&amp;TEXT(SUMIFS($G$5:$G$1000,$P$5:$P$1000,$P62,$S$5:$S$1000,"Macro"),"0%")&amp;" · ","")&amp;IF(AND(N($T62)&gt;0,COUNT($H62:$K62)&gt;0),"Con subactividades: deje vacías las semanas (se calculan solas)"&amp;" · ","")&amp;IF((COUNTIF($H62:$K62,"&gt;1")+COUNTIF($H62:$K62,"&lt;0")+COUNTA($H62:$K62)-COUNT($H62:$K62))&gt;0,"Avance fuera de rango 0-100%"&amp;" · ","")&amp;IF(OR(AND($I62&lt;&gt;"",$I62&lt;$H62),AND($J62&lt;&gt;"",$J62&lt;MAX($H62:$I62)),AND($K62&lt;&gt;"",$K62&lt;MAX($H62:$J62))),"Avance semanal decreciente"&amp;" · ","")&amp;IF(AND(ISNUMBER($F62),$F62&lt;FechaRef,N($L62)&lt;1),"Vencida"&amp;" · ","")&amp;IF(AND(ObsObligatoria="Sí",ISNUMBER($F62),$F62&lt;FechaRef,N($L62)&lt;1,$N62=""),"Vencida sin observación"&amp;" · ",""))="","✔ OK","⚠ "&amp;LEFT(IF(AND($S62="Macro",$B62=""),"Macroactividad vacía"&amp;" · ","")&amp;IF(AND($B62&lt;&gt;"",$C62&lt;&gt;""),"Escriba la subactividad en otra fila, debajo de su macroactividad"&amp;" · ","")&amp;IF(AND($S62="Sub",N($R62)=0),"Subactividad sin macroactividad arriba"&amp;" · ","")&amp;IF($D62="","Sin responsable"&amp;" · ","")&amp;IF($E62="","Sin fecha de inicio"&amp;" · ","")&amp;IF($F62="","Sin fecha límite"&amp;" · ","")&amp;IF(OR(AND($E62&lt;&gt;"",NOT(ISNUMBER($E62))),AND($F62&lt;&gt;"",NOT(ISNUMBER($F62)))),"Fecha no válida"&amp;" · ","")&amp;IF(AND(ISNUMBER($E62),ISNUMBER($F62),$E62&gt;$F62),"Inicio posterior a fecha límite"&amp;" · ","")&amp;IF(AND($S62="Macro",$G62=""),"Peso vacío"&amp;" · ","")&amp;IF(AND($S62="Macro",$G62&lt;&gt;"",OR(NOT(ISNUMBER($G62)),$G62&lt;=0,$G62&gt;1)),"Peso fuera de rango"&amp;" · ","")&amp;IF(AND($S62="Sub",$G62&lt;&gt;""),"Las subactividades no llevan peso"&amp;" · ","")&amp;IF(AND($S62="Macro",ABS(SUMIFS($G$5:$G$1000,$P$5:$P$1000,$P62,$S$5:$S$1000,"Macro")-1)&gt;0.0001),"Pesos del mes suman "&amp;TEXT(SUMIFS($G$5:$G$1000,$P$5:$P$1000,$P62,$S$5:$S$1000,"Macro"),"0%")&amp;" · ","")&amp;IF(AND(N($T62)&gt;0,COUNT($H62:$K62)&gt;0),"Con subactividades: deje vacías las semanas (se calculan solas)"&amp;" · ","")&amp;IF((COUNTIF($H62:$K62,"&gt;1")+COUNTIF($H62:$K62,"&lt;0")+COUNTA($H62:$K62)-COUNT($H62:$K62))&gt;0,"Avance fuera de rango 0-100%"&amp;" · ","")&amp;IF(OR(AND($I62&lt;&gt;"",$I62&lt;$H62),AND($J62&lt;&gt;"",$J62&lt;MAX($H62:$I62)),AND($K62&lt;&gt;"",$K62&lt;MAX($H62:$J62))),"Avance semanal decreciente"&amp;" · ","")&amp;IF(AND(ISNUMBER($F62),$F62&lt;FechaRef,N($L62)&lt;1),"Vencida"&amp;" · ","")&amp;IF(AND(ObsObligatoria="Sí",ISNUMBER($F62),$F62&lt;FechaRef,N($L62)&lt;1,$N62=""),"Vencida sin observación"&amp;" · ",""),LEN(IF(AND($S62="Macro",$B62=""),"Macroactividad vacía"&amp;" · ","")&amp;IF(AND($B62&lt;&gt;"",$C62&lt;&gt;""),"Escriba la subactividad en otra fila, debajo de su macroactividad"&amp;" · ","")&amp;IF(AND($S62="Sub",N($R62)=0),"Subactividad sin macroactividad arriba"&amp;" · ","")&amp;IF($D62="","Sin responsable"&amp;" · ","")&amp;IF($E62="","Sin fecha de inicio"&amp;" · ","")&amp;IF($F62="","Sin fecha límite"&amp;" · ","")&amp;IF(OR(AND($E62&lt;&gt;"",NOT(ISNUMBER($E62))),AND($F62&lt;&gt;"",NOT(ISNUMBER($F62)))),"Fecha no válida"&amp;" · ","")&amp;IF(AND(ISNUMBER($E62),ISNUMBER($F62),$E62&gt;$F62),"Inicio posterior a fecha límite"&amp;" · ","")&amp;IF(AND($S62="Macro",$G62=""),"Peso vacío"&amp;" · ","")&amp;IF(AND($S62="Macro",$G62&lt;&gt;"",OR(NOT(ISNUMBER($G62)),$G62&lt;=0,$G62&gt;1)),"Peso fuera de rango"&amp;" · ","")&amp;IF(AND($S62="Sub",$G62&lt;&gt;""),"Las subactividades no llevan peso"&amp;" · ","")&amp;IF(AND($S62="Macro",ABS(SUMIFS($G$5:$G$1000,$P$5:$P$1000,$P62,$S$5:$S$1000,"Macro")-1)&gt;0.0001),"Pesos del mes suman "&amp;TEXT(SUMIFS($G$5:$G$1000,$P$5:$P$1000,$P62,$S$5:$S$1000,"Macro"),"0%")&amp;" · ","")&amp;IF(AND(N($T62)&gt;0,COUNT($H62:$K62)&gt;0),"Con subactividades: deje vacías las semanas (se calculan solas)"&amp;" · ","")&amp;IF((COUNTIF($H62:$K62,"&gt;1")+COUNTIF($H62:$K62,"&lt;0")+COUNTA($H62:$K62)-COUNT($H62:$K62))&gt;0,"Avance fuera de rango 0-100%"&amp;" · ","")&amp;IF(OR(AND($I62&lt;&gt;"",$I62&lt;$H62),AND($J62&lt;&gt;"",$J62&lt;MAX($H62:$I62)),AND($K62&lt;&gt;"",$K62&lt;MAX($H62:$J62))),"Avance semanal decreciente"&amp;" · ","")&amp;IF(AND(ISNUMBER($F62),$F62&lt;FechaRef,N($L62)&lt;1),"Vencida"&amp;" · ","")&amp;IF(AND(ObsObligatoria="Sí",ISNUMBER($F62),$F62&lt;FechaRef,N($L62)&lt;1,$N62=""),"Vencida sin observación"&amp;" · ",""))-3)))</f>
        <v/>
      </c>
      <c r="P62" s="69">
        <f>IF(NOT((COUNTA($B62:$K62)+COUNTA($N62))&gt;0),"",IF(AND($S62="Sub",N($R62)&gt;0),IF(ISNUMBER(INDEX($E$5:$E$1000,$R62-4)),DATE(YEAR(INDEX($E$5:$E$1000,$R62-4)),MONTH(INDEX($E$5:$E$1000,$R62-4)),1),IF(ISNUMBER(INDEX($F$5:$F$1000,$R62-4)),DATE(YEAR(INDEX($F$5:$F$1000,$R62-4)),MONTH(INDEX($F$5:$F$1000,$R62-4)),1),MesCiclo)),IF(ISNUMBER($E62),DATE(YEAR($E62),MONTH($E62),1),IF(ISNUMBER($F62),DATE(YEAR($F62),MONTH($F62),1),MesCiclo))))</f>
        <v/>
      </c>
      <c r="Q62" s="70">
        <f>IF(OR($P62="",$P62&lt;&gt;MesCiclo),"",COUNTIF($P$5:$P62,MesCiclo))</f>
        <v/>
      </c>
      <c r="R62" s="70">
        <f>IF($S62="","",IF($S62="Macro",ROW(),IFERROR(LOOKUP(2,1/($S$5:$S62="Macro"),ROW($S$5:$S62)),0)))</f>
        <v/>
      </c>
      <c r="S62" s="70">
        <f>IF(NOT((COUNTA($B62:$K62)+COUNTA($N62))&gt;0),"",IF($B62&lt;&gt;"","Macro",IF($C62&lt;&gt;"","Sub","Macro")))</f>
        <v/>
      </c>
      <c r="T62" s="70">
        <f>IF($S62="Macro",COUNTIFS($R$5:$R$1000,ROW(),$S$5:$S$1000,"Sub"),"")</f>
        <v/>
      </c>
      <c r="U62" s="70">
        <f>IF($S62="","",IF(ISNUMBER($H62),$H62,0))</f>
        <v/>
      </c>
      <c r="V62" s="70">
        <f>IF($S62="","",IF(ISNUMBER($I62),$I62,$U62))</f>
        <v/>
      </c>
      <c r="W62" s="70">
        <f>IF($S62="","",IF(ISNUMBER($J62),$J62,$V62))</f>
        <v/>
      </c>
      <c r="X62" s="70">
        <f>IF($S62="","",IF(ISNUMBER($K62),$K62,$W62))</f>
        <v/>
      </c>
      <c r="Y62" s="70">
        <f>IF($S62="","",IF(N($T62)&gt;0,AVERAGEIFS($U$5:$U$1000,$R$5:$R$1000,ROW(),$S$5:$S$1000,"Sub"),$U62))</f>
        <v/>
      </c>
      <c r="Z62" s="70">
        <f>IF($S62="","",IF(N($T62)&gt;0,AVERAGEIFS($V$5:$V$1000,$R$5:$R$1000,ROW(),$S$5:$S$1000,"Sub"),$V62))</f>
        <v/>
      </c>
      <c r="AA62" s="70">
        <f>IF($S62="","",IF(N($T62)&gt;0,AVERAGEIFS($W$5:$W$1000,$R$5:$R$1000,ROW(),$S$5:$S$1000,"Sub"),$W62))</f>
        <v/>
      </c>
      <c r="AB62" s="70">
        <f>IF($S62="","",IF(N($T62)&gt;0,AVERAGEIFS($X$5:$X$1000,$R$5:$R$1000,ROW(),$S$5:$S$1000,"Sub"),$X62))</f>
        <v/>
      </c>
    </row>
    <row r="63">
      <c r="A63" s="61">
        <f>IF(NOT((COUNTA($B63:$K63)+COUNTA($N63))&gt;0),"",IF($S63="Macro",COUNTIFS($S$5:$S63,"Macro",$P$5:$P63,$P63),IF(N($R63)=0,"?",COUNTIFS(INDEX($S$5:$S$1000,1):INDEX($S$5:$S$1000,$R63-4),"Macro",INDEX($P$5:$P$1000,1):INDEX($P$5:$P$1000,$R63-4),INDEX($P$5:$P$1000,$R63-4))&amp;"."&amp;COUNTIFS($R$5:$R63,$R63,$S$5:$S63,"Sub"))))</f>
        <v/>
      </c>
      <c r="B63" s="62" t="n"/>
      <c r="C63" s="63" t="n"/>
      <c r="D63" s="62" t="n"/>
      <c r="E63" s="64" t="n"/>
      <c r="F63" s="64" t="n"/>
      <c r="G63" s="65" t="n"/>
      <c r="H63" s="66" t="n"/>
      <c r="I63" s="66" t="n"/>
      <c r="J63" s="66" t="n"/>
      <c r="K63" s="66" t="n"/>
      <c r="L63" s="67">
        <f>IF(NOT((COUNTA($B63:$K63)+COUNTA($N63))&gt;0),"",IF(N($T63)&gt;0,$AB63,IFERROR(LOOKUP(2,1/(H63:K63&lt;&gt;""),H63:K63),0)))</f>
        <v/>
      </c>
      <c r="M63" s="61">
        <f>IF(L63="","",IF(L63&gt;=1,"Completado",IF(L63&gt;0,"En curso","Pendiente")))</f>
        <v/>
      </c>
      <c r="N63" s="62" t="n"/>
      <c r="O63" s="68">
        <f>IF(NOT((COUNTA($B63:$K63)+COUNTA($N63))&gt;0),"",IF((IF(AND($S63="Macro",$B63=""),"Macroactividad vacía"&amp;" · ","")&amp;IF(AND($B63&lt;&gt;"",$C63&lt;&gt;""),"Escriba la subactividad en otra fila, debajo de su macroactividad"&amp;" · ","")&amp;IF(AND($S63="Sub",N($R63)=0),"Subactividad sin macroactividad arriba"&amp;" · ","")&amp;IF($D63="","Sin responsable"&amp;" · ","")&amp;IF($E63="","Sin fecha de inicio"&amp;" · ","")&amp;IF($F63="","Sin fecha límite"&amp;" · ","")&amp;IF(OR(AND($E63&lt;&gt;"",NOT(ISNUMBER($E63))),AND($F63&lt;&gt;"",NOT(ISNUMBER($F63)))),"Fecha no válida"&amp;" · ","")&amp;IF(AND(ISNUMBER($E63),ISNUMBER($F63),$E63&gt;$F63),"Inicio posterior a fecha límite"&amp;" · ","")&amp;IF(AND($S63="Macro",$G63=""),"Peso vacío"&amp;" · ","")&amp;IF(AND($S63="Macro",$G63&lt;&gt;"",OR(NOT(ISNUMBER($G63)),$G63&lt;=0,$G63&gt;1)),"Peso fuera de rango"&amp;" · ","")&amp;IF(AND($S63="Sub",$G63&lt;&gt;""),"Las subactividades no llevan peso"&amp;" · ","")&amp;IF(AND($S63="Macro",ABS(SUMIFS($G$5:$G$1000,$P$5:$P$1000,$P63,$S$5:$S$1000,"Macro")-1)&gt;0.0001),"Pesos del mes suman "&amp;TEXT(SUMIFS($G$5:$G$1000,$P$5:$P$1000,$P63,$S$5:$S$1000,"Macro"),"0%")&amp;" · ","")&amp;IF(AND(N($T63)&gt;0,COUNT($H63:$K63)&gt;0),"Con subactividades: deje vacías las semanas (se calculan solas)"&amp;" · ","")&amp;IF((COUNTIF($H63:$K63,"&gt;1")+COUNTIF($H63:$K63,"&lt;0")+COUNTA($H63:$K63)-COUNT($H63:$K63))&gt;0,"Avance fuera de rango 0-100%"&amp;" · ","")&amp;IF(OR(AND($I63&lt;&gt;"",$I63&lt;$H63),AND($J63&lt;&gt;"",$J63&lt;MAX($H63:$I63)),AND($K63&lt;&gt;"",$K63&lt;MAX($H63:$J63))),"Avance semanal decreciente"&amp;" · ","")&amp;IF(AND(ISNUMBER($F63),$F63&lt;FechaRef,N($L63)&lt;1),"Vencida"&amp;" · ","")&amp;IF(AND(ObsObligatoria="Sí",ISNUMBER($F63),$F63&lt;FechaRef,N($L63)&lt;1,$N63=""),"Vencida sin observación"&amp;" · ",""))="","✔ OK","⚠ "&amp;LEFT(IF(AND($S63="Macro",$B63=""),"Macroactividad vacía"&amp;" · ","")&amp;IF(AND($B63&lt;&gt;"",$C63&lt;&gt;""),"Escriba la subactividad en otra fila, debajo de su macroactividad"&amp;" · ","")&amp;IF(AND($S63="Sub",N($R63)=0),"Subactividad sin macroactividad arriba"&amp;" · ","")&amp;IF($D63="","Sin responsable"&amp;" · ","")&amp;IF($E63="","Sin fecha de inicio"&amp;" · ","")&amp;IF($F63="","Sin fecha límite"&amp;" · ","")&amp;IF(OR(AND($E63&lt;&gt;"",NOT(ISNUMBER($E63))),AND($F63&lt;&gt;"",NOT(ISNUMBER($F63)))),"Fecha no válida"&amp;" · ","")&amp;IF(AND(ISNUMBER($E63),ISNUMBER($F63),$E63&gt;$F63),"Inicio posterior a fecha límite"&amp;" · ","")&amp;IF(AND($S63="Macro",$G63=""),"Peso vacío"&amp;" · ","")&amp;IF(AND($S63="Macro",$G63&lt;&gt;"",OR(NOT(ISNUMBER($G63)),$G63&lt;=0,$G63&gt;1)),"Peso fuera de rango"&amp;" · ","")&amp;IF(AND($S63="Sub",$G63&lt;&gt;""),"Las subactividades no llevan peso"&amp;" · ","")&amp;IF(AND($S63="Macro",ABS(SUMIFS($G$5:$G$1000,$P$5:$P$1000,$P63,$S$5:$S$1000,"Macro")-1)&gt;0.0001),"Pesos del mes suman "&amp;TEXT(SUMIFS($G$5:$G$1000,$P$5:$P$1000,$P63,$S$5:$S$1000,"Macro"),"0%")&amp;" · ","")&amp;IF(AND(N($T63)&gt;0,COUNT($H63:$K63)&gt;0),"Con subactividades: deje vacías las semanas (se calculan solas)"&amp;" · ","")&amp;IF((COUNTIF($H63:$K63,"&gt;1")+COUNTIF($H63:$K63,"&lt;0")+COUNTA($H63:$K63)-COUNT($H63:$K63))&gt;0,"Avance fuera de rango 0-100%"&amp;" · ","")&amp;IF(OR(AND($I63&lt;&gt;"",$I63&lt;$H63),AND($J63&lt;&gt;"",$J63&lt;MAX($H63:$I63)),AND($K63&lt;&gt;"",$K63&lt;MAX($H63:$J63))),"Avance semanal decreciente"&amp;" · ","")&amp;IF(AND(ISNUMBER($F63),$F63&lt;FechaRef,N($L63)&lt;1),"Vencida"&amp;" · ","")&amp;IF(AND(ObsObligatoria="Sí",ISNUMBER($F63),$F63&lt;FechaRef,N($L63)&lt;1,$N63=""),"Vencida sin observación"&amp;" · ",""),LEN(IF(AND($S63="Macro",$B63=""),"Macroactividad vacía"&amp;" · ","")&amp;IF(AND($B63&lt;&gt;"",$C63&lt;&gt;""),"Escriba la subactividad en otra fila, debajo de su macroactividad"&amp;" · ","")&amp;IF(AND($S63="Sub",N($R63)=0),"Subactividad sin macroactividad arriba"&amp;" · ","")&amp;IF($D63="","Sin responsable"&amp;" · ","")&amp;IF($E63="","Sin fecha de inicio"&amp;" · ","")&amp;IF($F63="","Sin fecha límite"&amp;" · ","")&amp;IF(OR(AND($E63&lt;&gt;"",NOT(ISNUMBER($E63))),AND($F63&lt;&gt;"",NOT(ISNUMBER($F63)))),"Fecha no válida"&amp;" · ","")&amp;IF(AND(ISNUMBER($E63),ISNUMBER($F63),$E63&gt;$F63),"Inicio posterior a fecha límite"&amp;" · ","")&amp;IF(AND($S63="Macro",$G63=""),"Peso vacío"&amp;" · ","")&amp;IF(AND($S63="Macro",$G63&lt;&gt;"",OR(NOT(ISNUMBER($G63)),$G63&lt;=0,$G63&gt;1)),"Peso fuera de rango"&amp;" · ","")&amp;IF(AND($S63="Sub",$G63&lt;&gt;""),"Las subactividades no llevan peso"&amp;" · ","")&amp;IF(AND($S63="Macro",ABS(SUMIFS($G$5:$G$1000,$P$5:$P$1000,$P63,$S$5:$S$1000,"Macro")-1)&gt;0.0001),"Pesos del mes suman "&amp;TEXT(SUMIFS($G$5:$G$1000,$P$5:$P$1000,$P63,$S$5:$S$1000,"Macro"),"0%")&amp;" · ","")&amp;IF(AND(N($T63)&gt;0,COUNT($H63:$K63)&gt;0),"Con subactividades: deje vacías las semanas (se calculan solas)"&amp;" · ","")&amp;IF((COUNTIF($H63:$K63,"&gt;1")+COUNTIF($H63:$K63,"&lt;0")+COUNTA($H63:$K63)-COUNT($H63:$K63))&gt;0,"Avance fuera de rango 0-100%"&amp;" · ","")&amp;IF(OR(AND($I63&lt;&gt;"",$I63&lt;$H63),AND($J63&lt;&gt;"",$J63&lt;MAX($H63:$I63)),AND($K63&lt;&gt;"",$K63&lt;MAX($H63:$J63))),"Avance semanal decreciente"&amp;" · ","")&amp;IF(AND(ISNUMBER($F63),$F63&lt;FechaRef,N($L63)&lt;1),"Vencida"&amp;" · ","")&amp;IF(AND(ObsObligatoria="Sí",ISNUMBER($F63),$F63&lt;FechaRef,N($L63)&lt;1,$N63=""),"Vencida sin observación"&amp;" · ",""))-3)))</f>
        <v/>
      </c>
      <c r="P63" s="69">
        <f>IF(NOT((COUNTA($B63:$K63)+COUNTA($N63))&gt;0),"",IF(AND($S63="Sub",N($R63)&gt;0),IF(ISNUMBER(INDEX($E$5:$E$1000,$R63-4)),DATE(YEAR(INDEX($E$5:$E$1000,$R63-4)),MONTH(INDEX($E$5:$E$1000,$R63-4)),1),IF(ISNUMBER(INDEX($F$5:$F$1000,$R63-4)),DATE(YEAR(INDEX($F$5:$F$1000,$R63-4)),MONTH(INDEX($F$5:$F$1000,$R63-4)),1),MesCiclo)),IF(ISNUMBER($E63),DATE(YEAR($E63),MONTH($E63),1),IF(ISNUMBER($F63),DATE(YEAR($F63),MONTH($F63),1),MesCiclo))))</f>
        <v/>
      </c>
      <c r="Q63" s="70">
        <f>IF(OR($P63="",$P63&lt;&gt;MesCiclo),"",COUNTIF($P$5:$P63,MesCiclo))</f>
        <v/>
      </c>
      <c r="R63" s="70">
        <f>IF($S63="","",IF($S63="Macro",ROW(),IFERROR(LOOKUP(2,1/($S$5:$S63="Macro"),ROW($S$5:$S63)),0)))</f>
        <v/>
      </c>
      <c r="S63" s="70">
        <f>IF(NOT((COUNTA($B63:$K63)+COUNTA($N63))&gt;0),"",IF($B63&lt;&gt;"","Macro",IF($C63&lt;&gt;"","Sub","Macro")))</f>
        <v/>
      </c>
      <c r="T63" s="70">
        <f>IF($S63="Macro",COUNTIFS($R$5:$R$1000,ROW(),$S$5:$S$1000,"Sub"),"")</f>
        <v/>
      </c>
      <c r="U63" s="70">
        <f>IF($S63="","",IF(ISNUMBER($H63),$H63,0))</f>
        <v/>
      </c>
      <c r="V63" s="70">
        <f>IF($S63="","",IF(ISNUMBER($I63),$I63,$U63))</f>
        <v/>
      </c>
      <c r="W63" s="70">
        <f>IF($S63="","",IF(ISNUMBER($J63),$J63,$V63))</f>
        <v/>
      </c>
      <c r="X63" s="70">
        <f>IF($S63="","",IF(ISNUMBER($K63),$K63,$W63))</f>
        <v/>
      </c>
      <c r="Y63" s="70">
        <f>IF($S63="","",IF(N($T63)&gt;0,AVERAGEIFS($U$5:$U$1000,$R$5:$R$1000,ROW(),$S$5:$S$1000,"Sub"),$U63))</f>
        <v/>
      </c>
      <c r="Z63" s="70">
        <f>IF($S63="","",IF(N($T63)&gt;0,AVERAGEIFS($V$5:$V$1000,$R$5:$R$1000,ROW(),$S$5:$S$1000,"Sub"),$V63))</f>
        <v/>
      </c>
      <c r="AA63" s="70">
        <f>IF($S63="","",IF(N($T63)&gt;0,AVERAGEIFS($W$5:$W$1000,$R$5:$R$1000,ROW(),$S$5:$S$1000,"Sub"),$W63))</f>
        <v/>
      </c>
      <c r="AB63" s="70">
        <f>IF($S63="","",IF(N($T63)&gt;0,AVERAGEIFS($X$5:$X$1000,$R$5:$R$1000,ROW(),$S$5:$S$1000,"Sub"),$X63))</f>
        <v/>
      </c>
    </row>
    <row r="64">
      <c r="A64" s="61">
        <f>IF(NOT((COUNTA($B64:$K64)+COUNTA($N64))&gt;0),"",IF($S64="Macro",COUNTIFS($S$5:$S64,"Macro",$P$5:$P64,$P64),IF(N($R64)=0,"?",COUNTIFS(INDEX($S$5:$S$1000,1):INDEX($S$5:$S$1000,$R64-4),"Macro",INDEX($P$5:$P$1000,1):INDEX($P$5:$P$1000,$R64-4),INDEX($P$5:$P$1000,$R64-4))&amp;"."&amp;COUNTIFS($R$5:$R64,$R64,$S$5:$S64,"Sub"))))</f>
        <v/>
      </c>
      <c r="B64" s="62" t="n"/>
      <c r="C64" s="63" t="n"/>
      <c r="D64" s="62" t="n"/>
      <c r="E64" s="64" t="n"/>
      <c r="F64" s="64" t="n"/>
      <c r="G64" s="65" t="n"/>
      <c r="H64" s="66" t="n"/>
      <c r="I64" s="66" t="n"/>
      <c r="J64" s="66" t="n"/>
      <c r="K64" s="66" t="n"/>
      <c r="L64" s="67">
        <f>IF(NOT((COUNTA($B64:$K64)+COUNTA($N64))&gt;0),"",IF(N($T64)&gt;0,$AB64,IFERROR(LOOKUP(2,1/(H64:K64&lt;&gt;""),H64:K64),0)))</f>
        <v/>
      </c>
      <c r="M64" s="61">
        <f>IF(L64="","",IF(L64&gt;=1,"Completado",IF(L64&gt;0,"En curso","Pendiente")))</f>
        <v/>
      </c>
      <c r="N64" s="62" t="n"/>
      <c r="O64" s="68">
        <f>IF(NOT((COUNTA($B64:$K64)+COUNTA($N64))&gt;0),"",IF((IF(AND($S64="Macro",$B64=""),"Macroactividad vacía"&amp;" · ","")&amp;IF(AND($B64&lt;&gt;"",$C64&lt;&gt;""),"Escriba la subactividad en otra fila, debajo de su macroactividad"&amp;" · ","")&amp;IF(AND($S64="Sub",N($R64)=0),"Subactividad sin macroactividad arriba"&amp;" · ","")&amp;IF($D64="","Sin responsable"&amp;" · ","")&amp;IF($E64="","Sin fecha de inicio"&amp;" · ","")&amp;IF($F64="","Sin fecha límite"&amp;" · ","")&amp;IF(OR(AND($E64&lt;&gt;"",NOT(ISNUMBER($E64))),AND($F64&lt;&gt;"",NOT(ISNUMBER($F64)))),"Fecha no válida"&amp;" · ","")&amp;IF(AND(ISNUMBER($E64),ISNUMBER($F64),$E64&gt;$F64),"Inicio posterior a fecha límite"&amp;" · ","")&amp;IF(AND($S64="Macro",$G64=""),"Peso vacío"&amp;" · ","")&amp;IF(AND($S64="Macro",$G64&lt;&gt;"",OR(NOT(ISNUMBER($G64)),$G64&lt;=0,$G64&gt;1)),"Peso fuera de rango"&amp;" · ","")&amp;IF(AND($S64="Sub",$G64&lt;&gt;""),"Las subactividades no llevan peso"&amp;" · ","")&amp;IF(AND($S64="Macro",ABS(SUMIFS($G$5:$G$1000,$P$5:$P$1000,$P64,$S$5:$S$1000,"Macro")-1)&gt;0.0001),"Pesos del mes suman "&amp;TEXT(SUMIFS($G$5:$G$1000,$P$5:$P$1000,$P64,$S$5:$S$1000,"Macro"),"0%")&amp;" · ","")&amp;IF(AND(N($T64)&gt;0,COUNT($H64:$K64)&gt;0),"Con subactividades: deje vacías las semanas (se calculan solas)"&amp;" · ","")&amp;IF((COUNTIF($H64:$K64,"&gt;1")+COUNTIF($H64:$K64,"&lt;0")+COUNTA($H64:$K64)-COUNT($H64:$K64))&gt;0,"Avance fuera de rango 0-100%"&amp;" · ","")&amp;IF(OR(AND($I64&lt;&gt;"",$I64&lt;$H64),AND($J64&lt;&gt;"",$J64&lt;MAX($H64:$I64)),AND($K64&lt;&gt;"",$K64&lt;MAX($H64:$J64))),"Avance semanal decreciente"&amp;" · ","")&amp;IF(AND(ISNUMBER($F64),$F64&lt;FechaRef,N($L64)&lt;1),"Vencida"&amp;" · ","")&amp;IF(AND(ObsObligatoria="Sí",ISNUMBER($F64),$F64&lt;FechaRef,N($L64)&lt;1,$N64=""),"Vencida sin observación"&amp;" · ",""))="","✔ OK","⚠ "&amp;LEFT(IF(AND($S64="Macro",$B64=""),"Macroactividad vacía"&amp;" · ","")&amp;IF(AND($B64&lt;&gt;"",$C64&lt;&gt;""),"Escriba la subactividad en otra fila, debajo de su macroactividad"&amp;" · ","")&amp;IF(AND($S64="Sub",N($R64)=0),"Subactividad sin macroactividad arriba"&amp;" · ","")&amp;IF($D64="","Sin responsable"&amp;" · ","")&amp;IF($E64="","Sin fecha de inicio"&amp;" · ","")&amp;IF($F64="","Sin fecha límite"&amp;" · ","")&amp;IF(OR(AND($E64&lt;&gt;"",NOT(ISNUMBER($E64))),AND($F64&lt;&gt;"",NOT(ISNUMBER($F64)))),"Fecha no válida"&amp;" · ","")&amp;IF(AND(ISNUMBER($E64),ISNUMBER($F64),$E64&gt;$F64),"Inicio posterior a fecha límite"&amp;" · ","")&amp;IF(AND($S64="Macro",$G64=""),"Peso vacío"&amp;" · ","")&amp;IF(AND($S64="Macro",$G64&lt;&gt;"",OR(NOT(ISNUMBER($G64)),$G64&lt;=0,$G64&gt;1)),"Peso fuera de rango"&amp;" · ","")&amp;IF(AND($S64="Sub",$G64&lt;&gt;""),"Las subactividades no llevan peso"&amp;" · ","")&amp;IF(AND($S64="Macro",ABS(SUMIFS($G$5:$G$1000,$P$5:$P$1000,$P64,$S$5:$S$1000,"Macro")-1)&gt;0.0001),"Pesos del mes suman "&amp;TEXT(SUMIFS($G$5:$G$1000,$P$5:$P$1000,$P64,$S$5:$S$1000,"Macro"),"0%")&amp;" · ","")&amp;IF(AND(N($T64)&gt;0,COUNT($H64:$K64)&gt;0),"Con subactividades: deje vacías las semanas (se calculan solas)"&amp;" · ","")&amp;IF((COUNTIF($H64:$K64,"&gt;1")+COUNTIF($H64:$K64,"&lt;0")+COUNTA($H64:$K64)-COUNT($H64:$K64))&gt;0,"Avance fuera de rango 0-100%"&amp;" · ","")&amp;IF(OR(AND($I64&lt;&gt;"",$I64&lt;$H64),AND($J64&lt;&gt;"",$J64&lt;MAX($H64:$I64)),AND($K64&lt;&gt;"",$K64&lt;MAX($H64:$J64))),"Avance semanal decreciente"&amp;" · ","")&amp;IF(AND(ISNUMBER($F64),$F64&lt;FechaRef,N($L64)&lt;1),"Vencida"&amp;" · ","")&amp;IF(AND(ObsObligatoria="Sí",ISNUMBER($F64),$F64&lt;FechaRef,N($L64)&lt;1,$N64=""),"Vencida sin observación"&amp;" · ",""),LEN(IF(AND($S64="Macro",$B64=""),"Macroactividad vacía"&amp;" · ","")&amp;IF(AND($B64&lt;&gt;"",$C64&lt;&gt;""),"Escriba la subactividad en otra fila, debajo de su macroactividad"&amp;" · ","")&amp;IF(AND($S64="Sub",N($R64)=0),"Subactividad sin macroactividad arriba"&amp;" · ","")&amp;IF($D64="","Sin responsable"&amp;" · ","")&amp;IF($E64="","Sin fecha de inicio"&amp;" · ","")&amp;IF($F64="","Sin fecha límite"&amp;" · ","")&amp;IF(OR(AND($E64&lt;&gt;"",NOT(ISNUMBER($E64))),AND($F64&lt;&gt;"",NOT(ISNUMBER($F64)))),"Fecha no válida"&amp;" · ","")&amp;IF(AND(ISNUMBER($E64),ISNUMBER($F64),$E64&gt;$F64),"Inicio posterior a fecha límite"&amp;" · ","")&amp;IF(AND($S64="Macro",$G64=""),"Peso vacío"&amp;" · ","")&amp;IF(AND($S64="Macro",$G64&lt;&gt;"",OR(NOT(ISNUMBER($G64)),$G64&lt;=0,$G64&gt;1)),"Peso fuera de rango"&amp;" · ","")&amp;IF(AND($S64="Sub",$G64&lt;&gt;""),"Las subactividades no llevan peso"&amp;" · ","")&amp;IF(AND($S64="Macro",ABS(SUMIFS($G$5:$G$1000,$P$5:$P$1000,$P64,$S$5:$S$1000,"Macro")-1)&gt;0.0001),"Pesos del mes suman "&amp;TEXT(SUMIFS($G$5:$G$1000,$P$5:$P$1000,$P64,$S$5:$S$1000,"Macro"),"0%")&amp;" · ","")&amp;IF(AND(N($T64)&gt;0,COUNT($H64:$K64)&gt;0),"Con subactividades: deje vacías las semanas (se calculan solas)"&amp;" · ","")&amp;IF((COUNTIF($H64:$K64,"&gt;1")+COUNTIF($H64:$K64,"&lt;0")+COUNTA($H64:$K64)-COUNT($H64:$K64))&gt;0,"Avance fuera de rango 0-100%"&amp;" · ","")&amp;IF(OR(AND($I64&lt;&gt;"",$I64&lt;$H64),AND($J64&lt;&gt;"",$J64&lt;MAX($H64:$I64)),AND($K64&lt;&gt;"",$K64&lt;MAX($H64:$J64))),"Avance semanal decreciente"&amp;" · ","")&amp;IF(AND(ISNUMBER($F64),$F64&lt;FechaRef,N($L64)&lt;1),"Vencida"&amp;" · ","")&amp;IF(AND(ObsObligatoria="Sí",ISNUMBER($F64),$F64&lt;FechaRef,N($L64)&lt;1,$N64=""),"Vencida sin observación"&amp;" · ",""))-3)))</f>
        <v/>
      </c>
      <c r="P64" s="69">
        <f>IF(NOT((COUNTA($B64:$K64)+COUNTA($N64))&gt;0),"",IF(AND($S64="Sub",N($R64)&gt;0),IF(ISNUMBER(INDEX($E$5:$E$1000,$R64-4)),DATE(YEAR(INDEX($E$5:$E$1000,$R64-4)),MONTH(INDEX($E$5:$E$1000,$R64-4)),1),IF(ISNUMBER(INDEX($F$5:$F$1000,$R64-4)),DATE(YEAR(INDEX($F$5:$F$1000,$R64-4)),MONTH(INDEX($F$5:$F$1000,$R64-4)),1),MesCiclo)),IF(ISNUMBER($E64),DATE(YEAR($E64),MONTH($E64),1),IF(ISNUMBER($F64),DATE(YEAR($F64),MONTH($F64),1),MesCiclo))))</f>
        <v/>
      </c>
      <c r="Q64" s="70">
        <f>IF(OR($P64="",$P64&lt;&gt;MesCiclo),"",COUNTIF($P$5:$P64,MesCiclo))</f>
        <v/>
      </c>
      <c r="R64" s="70">
        <f>IF($S64="","",IF($S64="Macro",ROW(),IFERROR(LOOKUP(2,1/($S$5:$S64="Macro"),ROW($S$5:$S64)),0)))</f>
        <v/>
      </c>
      <c r="S64" s="70">
        <f>IF(NOT((COUNTA($B64:$K64)+COUNTA($N64))&gt;0),"",IF($B64&lt;&gt;"","Macro",IF($C64&lt;&gt;"","Sub","Macro")))</f>
        <v/>
      </c>
      <c r="T64" s="70">
        <f>IF($S64="Macro",COUNTIFS($R$5:$R$1000,ROW(),$S$5:$S$1000,"Sub"),"")</f>
        <v/>
      </c>
      <c r="U64" s="70">
        <f>IF($S64="","",IF(ISNUMBER($H64),$H64,0))</f>
        <v/>
      </c>
      <c r="V64" s="70">
        <f>IF($S64="","",IF(ISNUMBER($I64),$I64,$U64))</f>
        <v/>
      </c>
      <c r="W64" s="70">
        <f>IF($S64="","",IF(ISNUMBER($J64),$J64,$V64))</f>
        <v/>
      </c>
      <c r="X64" s="70">
        <f>IF($S64="","",IF(ISNUMBER($K64),$K64,$W64))</f>
        <v/>
      </c>
      <c r="Y64" s="70">
        <f>IF($S64="","",IF(N($T64)&gt;0,AVERAGEIFS($U$5:$U$1000,$R$5:$R$1000,ROW(),$S$5:$S$1000,"Sub"),$U64))</f>
        <v/>
      </c>
      <c r="Z64" s="70">
        <f>IF($S64="","",IF(N($T64)&gt;0,AVERAGEIFS($V$5:$V$1000,$R$5:$R$1000,ROW(),$S$5:$S$1000,"Sub"),$V64))</f>
        <v/>
      </c>
      <c r="AA64" s="70">
        <f>IF($S64="","",IF(N($T64)&gt;0,AVERAGEIFS($W$5:$W$1000,$R$5:$R$1000,ROW(),$S$5:$S$1000,"Sub"),$W64))</f>
        <v/>
      </c>
      <c r="AB64" s="70">
        <f>IF($S64="","",IF(N($T64)&gt;0,AVERAGEIFS($X$5:$X$1000,$R$5:$R$1000,ROW(),$S$5:$S$1000,"Sub"),$X64))</f>
        <v/>
      </c>
    </row>
    <row r="65">
      <c r="A65" s="61">
        <f>IF(NOT((COUNTA($B65:$K65)+COUNTA($N65))&gt;0),"",IF($S65="Macro",COUNTIFS($S$5:$S65,"Macro",$P$5:$P65,$P65),IF(N($R65)=0,"?",COUNTIFS(INDEX($S$5:$S$1000,1):INDEX($S$5:$S$1000,$R65-4),"Macro",INDEX($P$5:$P$1000,1):INDEX($P$5:$P$1000,$R65-4),INDEX($P$5:$P$1000,$R65-4))&amp;"."&amp;COUNTIFS($R$5:$R65,$R65,$S$5:$S65,"Sub"))))</f>
        <v/>
      </c>
      <c r="B65" s="62" t="n"/>
      <c r="C65" s="63" t="n"/>
      <c r="D65" s="62" t="n"/>
      <c r="E65" s="64" t="n"/>
      <c r="F65" s="64" t="n"/>
      <c r="G65" s="65" t="n"/>
      <c r="H65" s="66" t="n"/>
      <c r="I65" s="66" t="n"/>
      <c r="J65" s="66" t="n"/>
      <c r="K65" s="66" t="n"/>
      <c r="L65" s="67">
        <f>IF(NOT((COUNTA($B65:$K65)+COUNTA($N65))&gt;0),"",IF(N($T65)&gt;0,$AB65,IFERROR(LOOKUP(2,1/(H65:K65&lt;&gt;""),H65:K65),0)))</f>
        <v/>
      </c>
      <c r="M65" s="61">
        <f>IF(L65="","",IF(L65&gt;=1,"Completado",IF(L65&gt;0,"En curso","Pendiente")))</f>
        <v/>
      </c>
      <c r="N65" s="62" t="n"/>
      <c r="O65" s="68">
        <f>IF(NOT((COUNTA($B65:$K65)+COUNTA($N65))&gt;0),"",IF((IF(AND($S65="Macro",$B65=""),"Macroactividad vacía"&amp;" · ","")&amp;IF(AND($B65&lt;&gt;"",$C65&lt;&gt;""),"Escriba la subactividad en otra fila, debajo de su macroactividad"&amp;" · ","")&amp;IF(AND($S65="Sub",N($R65)=0),"Subactividad sin macroactividad arriba"&amp;" · ","")&amp;IF($D65="","Sin responsable"&amp;" · ","")&amp;IF($E65="","Sin fecha de inicio"&amp;" · ","")&amp;IF($F65="","Sin fecha límite"&amp;" · ","")&amp;IF(OR(AND($E65&lt;&gt;"",NOT(ISNUMBER($E65))),AND($F65&lt;&gt;"",NOT(ISNUMBER($F65)))),"Fecha no válida"&amp;" · ","")&amp;IF(AND(ISNUMBER($E65),ISNUMBER($F65),$E65&gt;$F65),"Inicio posterior a fecha límite"&amp;" · ","")&amp;IF(AND($S65="Macro",$G65=""),"Peso vacío"&amp;" · ","")&amp;IF(AND($S65="Macro",$G65&lt;&gt;"",OR(NOT(ISNUMBER($G65)),$G65&lt;=0,$G65&gt;1)),"Peso fuera de rango"&amp;" · ","")&amp;IF(AND($S65="Sub",$G65&lt;&gt;""),"Las subactividades no llevan peso"&amp;" · ","")&amp;IF(AND($S65="Macro",ABS(SUMIFS($G$5:$G$1000,$P$5:$P$1000,$P65,$S$5:$S$1000,"Macro")-1)&gt;0.0001),"Pesos del mes suman "&amp;TEXT(SUMIFS($G$5:$G$1000,$P$5:$P$1000,$P65,$S$5:$S$1000,"Macro"),"0%")&amp;" · ","")&amp;IF(AND(N($T65)&gt;0,COUNT($H65:$K65)&gt;0),"Con subactividades: deje vacías las semanas (se calculan solas)"&amp;" · ","")&amp;IF((COUNTIF($H65:$K65,"&gt;1")+COUNTIF($H65:$K65,"&lt;0")+COUNTA($H65:$K65)-COUNT($H65:$K65))&gt;0,"Avance fuera de rango 0-100%"&amp;" · ","")&amp;IF(OR(AND($I65&lt;&gt;"",$I65&lt;$H65),AND($J65&lt;&gt;"",$J65&lt;MAX($H65:$I65)),AND($K65&lt;&gt;"",$K65&lt;MAX($H65:$J65))),"Avance semanal decreciente"&amp;" · ","")&amp;IF(AND(ISNUMBER($F65),$F65&lt;FechaRef,N($L65)&lt;1),"Vencida"&amp;" · ","")&amp;IF(AND(ObsObligatoria="Sí",ISNUMBER($F65),$F65&lt;FechaRef,N($L65)&lt;1,$N65=""),"Vencida sin observación"&amp;" · ",""))="","✔ OK","⚠ "&amp;LEFT(IF(AND($S65="Macro",$B65=""),"Macroactividad vacía"&amp;" · ","")&amp;IF(AND($B65&lt;&gt;"",$C65&lt;&gt;""),"Escriba la subactividad en otra fila, debajo de su macroactividad"&amp;" · ","")&amp;IF(AND($S65="Sub",N($R65)=0),"Subactividad sin macroactividad arriba"&amp;" · ","")&amp;IF($D65="","Sin responsable"&amp;" · ","")&amp;IF($E65="","Sin fecha de inicio"&amp;" · ","")&amp;IF($F65="","Sin fecha límite"&amp;" · ","")&amp;IF(OR(AND($E65&lt;&gt;"",NOT(ISNUMBER($E65))),AND($F65&lt;&gt;"",NOT(ISNUMBER($F65)))),"Fecha no válida"&amp;" · ","")&amp;IF(AND(ISNUMBER($E65),ISNUMBER($F65),$E65&gt;$F65),"Inicio posterior a fecha límite"&amp;" · ","")&amp;IF(AND($S65="Macro",$G65=""),"Peso vacío"&amp;" · ","")&amp;IF(AND($S65="Macro",$G65&lt;&gt;"",OR(NOT(ISNUMBER($G65)),$G65&lt;=0,$G65&gt;1)),"Peso fuera de rango"&amp;" · ","")&amp;IF(AND($S65="Sub",$G65&lt;&gt;""),"Las subactividades no llevan peso"&amp;" · ","")&amp;IF(AND($S65="Macro",ABS(SUMIFS($G$5:$G$1000,$P$5:$P$1000,$P65,$S$5:$S$1000,"Macro")-1)&gt;0.0001),"Pesos del mes suman "&amp;TEXT(SUMIFS($G$5:$G$1000,$P$5:$P$1000,$P65,$S$5:$S$1000,"Macro"),"0%")&amp;" · ","")&amp;IF(AND(N($T65)&gt;0,COUNT($H65:$K65)&gt;0),"Con subactividades: deje vacías las semanas (se calculan solas)"&amp;" · ","")&amp;IF((COUNTIF($H65:$K65,"&gt;1")+COUNTIF($H65:$K65,"&lt;0")+COUNTA($H65:$K65)-COUNT($H65:$K65))&gt;0,"Avance fuera de rango 0-100%"&amp;" · ","")&amp;IF(OR(AND($I65&lt;&gt;"",$I65&lt;$H65),AND($J65&lt;&gt;"",$J65&lt;MAX($H65:$I65)),AND($K65&lt;&gt;"",$K65&lt;MAX($H65:$J65))),"Avance semanal decreciente"&amp;" · ","")&amp;IF(AND(ISNUMBER($F65),$F65&lt;FechaRef,N($L65)&lt;1),"Vencida"&amp;" · ","")&amp;IF(AND(ObsObligatoria="Sí",ISNUMBER($F65),$F65&lt;FechaRef,N($L65)&lt;1,$N65=""),"Vencida sin observación"&amp;" · ",""),LEN(IF(AND($S65="Macro",$B65=""),"Macroactividad vacía"&amp;" · ","")&amp;IF(AND($B65&lt;&gt;"",$C65&lt;&gt;""),"Escriba la subactividad en otra fila, debajo de su macroactividad"&amp;" · ","")&amp;IF(AND($S65="Sub",N($R65)=0),"Subactividad sin macroactividad arriba"&amp;" · ","")&amp;IF($D65="","Sin responsable"&amp;" · ","")&amp;IF($E65="","Sin fecha de inicio"&amp;" · ","")&amp;IF($F65="","Sin fecha límite"&amp;" · ","")&amp;IF(OR(AND($E65&lt;&gt;"",NOT(ISNUMBER($E65))),AND($F65&lt;&gt;"",NOT(ISNUMBER($F65)))),"Fecha no válida"&amp;" · ","")&amp;IF(AND(ISNUMBER($E65),ISNUMBER($F65),$E65&gt;$F65),"Inicio posterior a fecha límite"&amp;" · ","")&amp;IF(AND($S65="Macro",$G65=""),"Peso vacío"&amp;" · ","")&amp;IF(AND($S65="Macro",$G65&lt;&gt;"",OR(NOT(ISNUMBER($G65)),$G65&lt;=0,$G65&gt;1)),"Peso fuera de rango"&amp;" · ","")&amp;IF(AND($S65="Sub",$G65&lt;&gt;""),"Las subactividades no llevan peso"&amp;" · ","")&amp;IF(AND($S65="Macro",ABS(SUMIFS($G$5:$G$1000,$P$5:$P$1000,$P65,$S$5:$S$1000,"Macro")-1)&gt;0.0001),"Pesos del mes suman "&amp;TEXT(SUMIFS($G$5:$G$1000,$P$5:$P$1000,$P65,$S$5:$S$1000,"Macro"),"0%")&amp;" · ","")&amp;IF(AND(N($T65)&gt;0,COUNT($H65:$K65)&gt;0),"Con subactividades: deje vacías las semanas (se calculan solas)"&amp;" · ","")&amp;IF((COUNTIF($H65:$K65,"&gt;1")+COUNTIF($H65:$K65,"&lt;0")+COUNTA($H65:$K65)-COUNT($H65:$K65))&gt;0,"Avance fuera de rango 0-100%"&amp;" · ","")&amp;IF(OR(AND($I65&lt;&gt;"",$I65&lt;$H65),AND($J65&lt;&gt;"",$J65&lt;MAX($H65:$I65)),AND($K65&lt;&gt;"",$K65&lt;MAX($H65:$J65))),"Avance semanal decreciente"&amp;" · ","")&amp;IF(AND(ISNUMBER($F65),$F65&lt;FechaRef,N($L65)&lt;1),"Vencida"&amp;" · ","")&amp;IF(AND(ObsObligatoria="Sí",ISNUMBER($F65),$F65&lt;FechaRef,N($L65)&lt;1,$N65=""),"Vencida sin observación"&amp;" · ",""))-3)))</f>
        <v/>
      </c>
      <c r="P65" s="69">
        <f>IF(NOT((COUNTA($B65:$K65)+COUNTA($N65))&gt;0),"",IF(AND($S65="Sub",N($R65)&gt;0),IF(ISNUMBER(INDEX($E$5:$E$1000,$R65-4)),DATE(YEAR(INDEX($E$5:$E$1000,$R65-4)),MONTH(INDEX($E$5:$E$1000,$R65-4)),1),IF(ISNUMBER(INDEX($F$5:$F$1000,$R65-4)),DATE(YEAR(INDEX($F$5:$F$1000,$R65-4)),MONTH(INDEX($F$5:$F$1000,$R65-4)),1),MesCiclo)),IF(ISNUMBER($E65),DATE(YEAR($E65),MONTH($E65),1),IF(ISNUMBER($F65),DATE(YEAR($F65),MONTH($F65),1),MesCiclo))))</f>
        <v/>
      </c>
      <c r="Q65" s="70">
        <f>IF(OR($P65="",$P65&lt;&gt;MesCiclo),"",COUNTIF($P$5:$P65,MesCiclo))</f>
        <v/>
      </c>
      <c r="R65" s="70">
        <f>IF($S65="","",IF($S65="Macro",ROW(),IFERROR(LOOKUP(2,1/($S$5:$S65="Macro"),ROW($S$5:$S65)),0)))</f>
        <v/>
      </c>
      <c r="S65" s="70">
        <f>IF(NOT((COUNTA($B65:$K65)+COUNTA($N65))&gt;0),"",IF($B65&lt;&gt;"","Macro",IF($C65&lt;&gt;"","Sub","Macro")))</f>
        <v/>
      </c>
      <c r="T65" s="70">
        <f>IF($S65="Macro",COUNTIFS($R$5:$R$1000,ROW(),$S$5:$S$1000,"Sub"),"")</f>
        <v/>
      </c>
      <c r="U65" s="70">
        <f>IF($S65="","",IF(ISNUMBER($H65),$H65,0))</f>
        <v/>
      </c>
      <c r="V65" s="70">
        <f>IF($S65="","",IF(ISNUMBER($I65),$I65,$U65))</f>
        <v/>
      </c>
      <c r="W65" s="70">
        <f>IF($S65="","",IF(ISNUMBER($J65),$J65,$V65))</f>
        <v/>
      </c>
      <c r="X65" s="70">
        <f>IF($S65="","",IF(ISNUMBER($K65),$K65,$W65))</f>
        <v/>
      </c>
      <c r="Y65" s="70">
        <f>IF($S65="","",IF(N($T65)&gt;0,AVERAGEIFS($U$5:$U$1000,$R$5:$R$1000,ROW(),$S$5:$S$1000,"Sub"),$U65))</f>
        <v/>
      </c>
      <c r="Z65" s="70">
        <f>IF($S65="","",IF(N($T65)&gt;0,AVERAGEIFS($V$5:$V$1000,$R$5:$R$1000,ROW(),$S$5:$S$1000,"Sub"),$V65))</f>
        <v/>
      </c>
      <c r="AA65" s="70">
        <f>IF($S65="","",IF(N($T65)&gt;0,AVERAGEIFS($W$5:$W$1000,$R$5:$R$1000,ROW(),$S$5:$S$1000,"Sub"),$W65))</f>
        <v/>
      </c>
      <c r="AB65" s="70">
        <f>IF($S65="","",IF(N($T65)&gt;0,AVERAGEIFS($X$5:$X$1000,$R$5:$R$1000,ROW(),$S$5:$S$1000,"Sub"),$X65))</f>
        <v/>
      </c>
    </row>
    <row r="66">
      <c r="A66" s="61">
        <f>IF(NOT((COUNTA($B66:$K66)+COUNTA($N66))&gt;0),"",IF($S66="Macro",COUNTIFS($S$5:$S66,"Macro",$P$5:$P66,$P66),IF(N($R66)=0,"?",COUNTIFS(INDEX($S$5:$S$1000,1):INDEX($S$5:$S$1000,$R66-4),"Macro",INDEX($P$5:$P$1000,1):INDEX($P$5:$P$1000,$R66-4),INDEX($P$5:$P$1000,$R66-4))&amp;"."&amp;COUNTIFS($R$5:$R66,$R66,$S$5:$S66,"Sub"))))</f>
        <v/>
      </c>
      <c r="B66" s="62" t="n"/>
      <c r="C66" s="63" t="n"/>
      <c r="D66" s="62" t="n"/>
      <c r="E66" s="64" t="n"/>
      <c r="F66" s="64" t="n"/>
      <c r="G66" s="65" t="n"/>
      <c r="H66" s="66" t="n"/>
      <c r="I66" s="66" t="n"/>
      <c r="J66" s="66" t="n"/>
      <c r="K66" s="66" t="n"/>
      <c r="L66" s="67">
        <f>IF(NOT((COUNTA($B66:$K66)+COUNTA($N66))&gt;0),"",IF(N($T66)&gt;0,$AB66,IFERROR(LOOKUP(2,1/(H66:K66&lt;&gt;""),H66:K66),0)))</f>
        <v/>
      </c>
      <c r="M66" s="61">
        <f>IF(L66="","",IF(L66&gt;=1,"Completado",IF(L66&gt;0,"En curso","Pendiente")))</f>
        <v/>
      </c>
      <c r="N66" s="62" t="n"/>
      <c r="O66" s="68">
        <f>IF(NOT((COUNTA($B66:$K66)+COUNTA($N66))&gt;0),"",IF((IF(AND($S66="Macro",$B66=""),"Macroactividad vacía"&amp;" · ","")&amp;IF(AND($B66&lt;&gt;"",$C66&lt;&gt;""),"Escriba la subactividad en otra fila, debajo de su macroactividad"&amp;" · ","")&amp;IF(AND($S66="Sub",N($R66)=0),"Subactividad sin macroactividad arriba"&amp;" · ","")&amp;IF($D66="","Sin responsable"&amp;" · ","")&amp;IF($E66="","Sin fecha de inicio"&amp;" · ","")&amp;IF($F66="","Sin fecha límite"&amp;" · ","")&amp;IF(OR(AND($E66&lt;&gt;"",NOT(ISNUMBER($E66))),AND($F66&lt;&gt;"",NOT(ISNUMBER($F66)))),"Fecha no válida"&amp;" · ","")&amp;IF(AND(ISNUMBER($E66),ISNUMBER($F66),$E66&gt;$F66),"Inicio posterior a fecha límite"&amp;" · ","")&amp;IF(AND($S66="Macro",$G66=""),"Peso vacío"&amp;" · ","")&amp;IF(AND($S66="Macro",$G66&lt;&gt;"",OR(NOT(ISNUMBER($G66)),$G66&lt;=0,$G66&gt;1)),"Peso fuera de rango"&amp;" · ","")&amp;IF(AND($S66="Sub",$G66&lt;&gt;""),"Las subactividades no llevan peso"&amp;" · ","")&amp;IF(AND($S66="Macro",ABS(SUMIFS($G$5:$G$1000,$P$5:$P$1000,$P66,$S$5:$S$1000,"Macro")-1)&gt;0.0001),"Pesos del mes suman "&amp;TEXT(SUMIFS($G$5:$G$1000,$P$5:$P$1000,$P66,$S$5:$S$1000,"Macro"),"0%")&amp;" · ","")&amp;IF(AND(N($T66)&gt;0,COUNT($H66:$K66)&gt;0),"Con subactividades: deje vacías las semanas (se calculan solas)"&amp;" · ","")&amp;IF((COUNTIF($H66:$K66,"&gt;1")+COUNTIF($H66:$K66,"&lt;0")+COUNTA($H66:$K66)-COUNT($H66:$K66))&gt;0,"Avance fuera de rango 0-100%"&amp;" · ","")&amp;IF(OR(AND($I66&lt;&gt;"",$I66&lt;$H66),AND($J66&lt;&gt;"",$J66&lt;MAX($H66:$I66)),AND($K66&lt;&gt;"",$K66&lt;MAX($H66:$J66))),"Avance semanal decreciente"&amp;" · ","")&amp;IF(AND(ISNUMBER($F66),$F66&lt;FechaRef,N($L66)&lt;1),"Vencida"&amp;" · ","")&amp;IF(AND(ObsObligatoria="Sí",ISNUMBER($F66),$F66&lt;FechaRef,N($L66)&lt;1,$N66=""),"Vencida sin observación"&amp;" · ",""))="","✔ OK","⚠ "&amp;LEFT(IF(AND($S66="Macro",$B66=""),"Macroactividad vacía"&amp;" · ","")&amp;IF(AND($B66&lt;&gt;"",$C66&lt;&gt;""),"Escriba la subactividad en otra fila, debajo de su macroactividad"&amp;" · ","")&amp;IF(AND($S66="Sub",N($R66)=0),"Subactividad sin macroactividad arriba"&amp;" · ","")&amp;IF($D66="","Sin responsable"&amp;" · ","")&amp;IF($E66="","Sin fecha de inicio"&amp;" · ","")&amp;IF($F66="","Sin fecha límite"&amp;" · ","")&amp;IF(OR(AND($E66&lt;&gt;"",NOT(ISNUMBER($E66))),AND($F66&lt;&gt;"",NOT(ISNUMBER($F66)))),"Fecha no válida"&amp;" · ","")&amp;IF(AND(ISNUMBER($E66),ISNUMBER($F66),$E66&gt;$F66),"Inicio posterior a fecha límite"&amp;" · ","")&amp;IF(AND($S66="Macro",$G66=""),"Peso vacío"&amp;" · ","")&amp;IF(AND($S66="Macro",$G66&lt;&gt;"",OR(NOT(ISNUMBER($G66)),$G66&lt;=0,$G66&gt;1)),"Peso fuera de rango"&amp;" · ","")&amp;IF(AND($S66="Sub",$G66&lt;&gt;""),"Las subactividades no llevan peso"&amp;" · ","")&amp;IF(AND($S66="Macro",ABS(SUMIFS($G$5:$G$1000,$P$5:$P$1000,$P66,$S$5:$S$1000,"Macro")-1)&gt;0.0001),"Pesos del mes suman "&amp;TEXT(SUMIFS($G$5:$G$1000,$P$5:$P$1000,$P66,$S$5:$S$1000,"Macro"),"0%")&amp;" · ","")&amp;IF(AND(N($T66)&gt;0,COUNT($H66:$K66)&gt;0),"Con subactividades: deje vacías las semanas (se calculan solas)"&amp;" · ","")&amp;IF((COUNTIF($H66:$K66,"&gt;1")+COUNTIF($H66:$K66,"&lt;0")+COUNTA($H66:$K66)-COUNT($H66:$K66))&gt;0,"Avance fuera de rango 0-100%"&amp;" · ","")&amp;IF(OR(AND($I66&lt;&gt;"",$I66&lt;$H66),AND($J66&lt;&gt;"",$J66&lt;MAX($H66:$I66)),AND($K66&lt;&gt;"",$K66&lt;MAX($H66:$J66))),"Avance semanal decreciente"&amp;" · ","")&amp;IF(AND(ISNUMBER($F66),$F66&lt;FechaRef,N($L66)&lt;1),"Vencida"&amp;" · ","")&amp;IF(AND(ObsObligatoria="Sí",ISNUMBER($F66),$F66&lt;FechaRef,N($L66)&lt;1,$N66=""),"Vencida sin observación"&amp;" · ",""),LEN(IF(AND($S66="Macro",$B66=""),"Macroactividad vacía"&amp;" · ","")&amp;IF(AND($B66&lt;&gt;"",$C66&lt;&gt;""),"Escriba la subactividad en otra fila, debajo de su macroactividad"&amp;" · ","")&amp;IF(AND($S66="Sub",N($R66)=0),"Subactividad sin macroactividad arriba"&amp;" · ","")&amp;IF($D66="","Sin responsable"&amp;" · ","")&amp;IF($E66="","Sin fecha de inicio"&amp;" · ","")&amp;IF($F66="","Sin fecha límite"&amp;" · ","")&amp;IF(OR(AND($E66&lt;&gt;"",NOT(ISNUMBER($E66))),AND($F66&lt;&gt;"",NOT(ISNUMBER($F66)))),"Fecha no válida"&amp;" · ","")&amp;IF(AND(ISNUMBER($E66),ISNUMBER($F66),$E66&gt;$F66),"Inicio posterior a fecha límite"&amp;" · ","")&amp;IF(AND($S66="Macro",$G66=""),"Peso vacío"&amp;" · ","")&amp;IF(AND($S66="Macro",$G66&lt;&gt;"",OR(NOT(ISNUMBER($G66)),$G66&lt;=0,$G66&gt;1)),"Peso fuera de rango"&amp;" · ","")&amp;IF(AND($S66="Sub",$G66&lt;&gt;""),"Las subactividades no llevan peso"&amp;" · ","")&amp;IF(AND($S66="Macro",ABS(SUMIFS($G$5:$G$1000,$P$5:$P$1000,$P66,$S$5:$S$1000,"Macro")-1)&gt;0.0001),"Pesos del mes suman "&amp;TEXT(SUMIFS($G$5:$G$1000,$P$5:$P$1000,$P66,$S$5:$S$1000,"Macro"),"0%")&amp;" · ","")&amp;IF(AND(N($T66)&gt;0,COUNT($H66:$K66)&gt;0),"Con subactividades: deje vacías las semanas (se calculan solas)"&amp;" · ","")&amp;IF((COUNTIF($H66:$K66,"&gt;1")+COUNTIF($H66:$K66,"&lt;0")+COUNTA($H66:$K66)-COUNT($H66:$K66))&gt;0,"Avance fuera de rango 0-100%"&amp;" · ","")&amp;IF(OR(AND($I66&lt;&gt;"",$I66&lt;$H66),AND($J66&lt;&gt;"",$J66&lt;MAX($H66:$I66)),AND($K66&lt;&gt;"",$K66&lt;MAX($H66:$J66))),"Avance semanal decreciente"&amp;" · ","")&amp;IF(AND(ISNUMBER($F66),$F66&lt;FechaRef,N($L66)&lt;1),"Vencida"&amp;" · ","")&amp;IF(AND(ObsObligatoria="Sí",ISNUMBER($F66),$F66&lt;FechaRef,N($L66)&lt;1,$N66=""),"Vencida sin observación"&amp;" · ",""))-3)))</f>
        <v/>
      </c>
      <c r="P66" s="69">
        <f>IF(NOT((COUNTA($B66:$K66)+COUNTA($N66))&gt;0),"",IF(AND($S66="Sub",N($R66)&gt;0),IF(ISNUMBER(INDEX($E$5:$E$1000,$R66-4)),DATE(YEAR(INDEX($E$5:$E$1000,$R66-4)),MONTH(INDEX($E$5:$E$1000,$R66-4)),1),IF(ISNUMBER(INDEX($F$5:$F$1000,$R66-4)),DATE(YEAR(INDEX($F$5:$F$1000,$R66-4)),MONTH(INDEX($F$5:$F$1000,$R66-4)),1),MesCiclo)),IF(ISNUMBER($E66),DATE(YEAR($E66),MONTH($E66),1),IF(ISNUMBER($F66),DATE(YEAR($F66),MONTH($F66),1),MesCiclo))))</f>
        <v/>
      </c>
      <c r="Q66" s="70">
        <f>IF(OR($P66="",$P66&lt;&gt;MesCiclo),"",COUNTIF($P$5:$P66,MesCiclo))</f>
        <v/>
      </c>
      <c r="R66" s="70">
        <f>IF($S66="","",IF($S66="Macro",ROW(),IFERROR(LOOKUP(2,1/($S$5:$S66="Macro"),ROW($S$5:$S66)),0)))</f>
        <v/>
      </c>
      <c r="S66" s="70">
        <f>IF(NOT((COUNTA($B66:$K66)+COUNTA($N66))&gt;0),"",IF($B66&lt;&gt;"","Macro",IF($C66&lt;&gt;"","Sub","Macro")))</f>
        <v/>
      </c>
      <c r="T66" s="70">
        <f>IF($S66="Macro",COUNTIFS($R$5:$R$1000,ROW(),$S$5:$S$1000,"Sub"),"")</f>
        <v/>
      </c>
      <c r="U66" s="70">
        <f>IF($S66="","",IF(ISNUMBER($H66),$H66,0))</f>
        <v/>
      </c>
      <c r="V66" s="70">
        <f>IF($S66="","",IF(ISNUMBER($I66),$I66,$U66))</f>
        <v/>
      </c>
      <c r="W66" s="70">
        <f>IF($S66="","",IF(ISNUMBER($J66),$J66,$V66))</f>
        <v/>
      </c>
      <c r="X66" s="70">
        <f>IF($S66="","",IF(ISNUMBER($K66),$K66,$W66))</f>
        <v/>
      </c>
      <c r="Y66" s="70">
        <f>IF($S66="","",IF(N($T66)&gt;0,AVERAGEIFS($U$5:$U$1000,$R$5:$R$1000,ROW(),$S$5:$S$1000,"Sub"),$U66))</f>
        <v/>
      </c>
      <c r="Z66" s="70">
        <f>IF($S66="","",IF(N($T66)&gt;0,AVERAGEIFS($V$5:$V$1000,$R$5:$R$1000,ROW(),$S$5:$S$1000,"Sub"),$V66))</f>
        <v/>
      </c>
      <c r="AA66" s="70">
        <f>IF($S66="","",IF(N($T66)&gt;0,AVERAGEIFS($W$5:$W$1000,$R$5:$R$1000,ROW(),$S$5:$S$1000,"Sub"),$W66))</f>
        <v/>
      </c>
      <c r="AB66" s="70">
        <f>IF($S66="","",IF(N($T66)&gt;0,AVERAGEIFS($X$5:$X$1000,$R$5:$R$1000,ROW(),$S$5:$S$1000,"Sub"),$X66))</f>
        <v/>
      </c>
    </row>
    <row r="67">
      <c r="A67" s="61">
        <f>IF(NOT((COUNTA($B67:$K67)+COUNTA($N67))&gt;0),"",IF($S67="Macro",COUNTIFS($S$5:$S67,"Macro",$P$5:$P67,$P67),IF(N($R67)=0,"?",COUNTIFS(INDEX($S$5:$S$1000,1):INDEX($S$5:$S$1000,$R67-4),"Macro",INDEX($P$5:$P$1000,1):INDEX($P$5:$P$1000,$R67-4),INDEX($P$5:$P$1000,$R67-4))&amp;"."&amp;COUNTIFS($R$5:$R67,$R67,$S$5:$S67,"Sub"))))</f>
        <v/>
      </c>
      <c r="B67" s="62" t="n"/>
      <c r="C67" s="63" t="n"/>
      <c r="D67" s="62" t="n"/>
      <c r="E67" s="64" t="n"/>
      <c r="F67" s="64" t="n"/>
      <c r="G67" s="65" t="n"/>
      <c r="H67" s="66" t="n"/>
      <c r="I67" s="66" t="n"/>
      <c r="J67" s="66" t="n"/>
      <c r="K67" s="66" t="n"/>
      <c r="L67" s="67">
        <f>IF(NOT((COUNTA($B67:$K67)+COUNTA($N67))&gt;0),"",IF(N($T67)&gt;0,$AB67,IFERROR(LOOKUP(2,1/(H67:K67&lt;&gt;""),H67:K67),0)))</f>
        <v/>
      </c>
      <c r="M67" s="61">
        <f>IF(L67="","",IF(L67&gt;=1,"Completado",IF(L67&gt;0,"En curso","Pendiente")))</f>
        <v/>
      </c>
      <c r="N67" s="62" t="n"/>
      <c r="O67" s="68">
        <f>IF(NOT((COUNTA($B67:$K67)+COUNTA($N67))&gt;0),"",IF((IF(AND($S67="Macro",$B67=""),"Macroactividad vacía"&amp;" · ","")&amp;IF(AND($B67&lt;&gt;"",$C67&lt;&gt;""),"Escriba la subactividad en otra fila, debajo de su macroactividad"&amp;" · ","")&amp;IF(AND($S67="Sub",N($R67)=0),"Subactividad sin macroactividad arriba"&amp;" · ","")&amp;IF($D67="","Sin responsable"&amp;" · ","")&amp;IF($E67="","Sin fecha de inicio"&amp;" · ","")&amp;IF($F67="","Sin fecha límite"&amp;" · ","")&amp;IF(OR(AND($E67&lt;&gt;"",NOT(ISNUMBER($E67))),AND($F67&lt;&gt;"",NOT(ISNUMBER($F67)))),"Fecha no válida"&amp;" · ","")&amp;IF(AND(ISNUMBER($E67),ISNUMBER($F67),$E67&gt;$F67),"Inicio posterior a fecha límite"&amp;" · ","")&amp;IF(AND($S67="Macro",$G67=""),"Peso vacío"&amp;" · ","")&amp;IF(AND($S67="Macro",$G67&lt;&gt;"",OR(NOT(ISNUMBER($G67)),$G67&lt;=0,$G67&gt;1)),"Peso fuera de rango"&amp;" · ","")&amp;IF(AND($S67="Sub",$G67&lt;&gt;""),"Las subactividades no llevan peso"&amp;" · ","")&amp;IF(AND($S67="Macro",ABS(SUMIFS($G$5:$G$1000,$P$5:$P$1000,$P67,$S$5:$S$1000,"Macro")-1)&gt;0.0001),"Pesos del mes suman "&amp;TEXT(SUMIFS($G$5:$G$1000,$P$5:$P$1000,$P67,$S$5:$S$1000,"Macro"),"0%")&amp;" · ","")&amp;IF(AND(N($T67)&gt;0,COUNT($H67:$K67)&gt;0),"Con subactividades: deje vacías las semanas (se calculan solas)"&amp;" · ","")&amp;IF((COUNTIF($H67:$K67,"&gt;1")+COUNTIF($H67:$K67,"&lt;0")+COUNTA($H67:$K67)-COUNT($H67:$K67))&gt;0,"Avance fuera de rango 0-100%"&amp;" · ","")&amp;IF(OR(AND($I67&lt;&gt;"",$I67&lt;$H67),AND($J67&lt;&gt;"",$J67&lt;MAX($H67:$I67)),AND($K67&lt;&gt;"",$K67&lt;MAX($H67:$J67))),"Avance semanal decreciente"&amp;" · ","")&amp;IF(AND(ISNUMBER($F67),$F67&lt;FechaRef,N($L67)&lt;1),"Vencida"&amp;" · ","")&amp;IF(AND(ObsObligatoria="Sí",ISNUMBER($F67),$F67&lt;FechaRef,N($L67)&lt;1,$N67=""),"Vencida sin observación"&amp;" · ",""))="","✔ OK","⚠ "&amp;LEFT(IF(AND($S67="Macro",$B67=""),"Macroactividad vacía"&amp;" · ","")&amp;IF(AND($B67&lt;&gt;"",$C67&lt;&gt;""),"Escriba la subactividad en otra fila, debajo de su macroactividad"&amp;" · ","")&amp;IF(AND($S67="Sub",N($R67)=0),"Subactividad sin macroactividad arriba"&amp;" · ","")&amp;IF($D67="","Sin responsable"&amp;" · ","")&amp;IF($E67="","Sin fecha de inicio"&amp;" · ","")&amp;IF($F67="","Sin fecha límite"&amp;" · ","")&amp;IF(OR(AND($E67&lt;&gt;"",NOT(ISNUMBER($E67))),AND($F67&lt;&gt;"",NOT(ISNUMBER($F67)))),"Fecha no válida"&amp;" · ","")&amp;IF(AND(ISNUMBER($E67),ISNUMBER($F67),$E67&gt;$F67),"Inicio posterior a fecha límite"&amp;" · ","")&amp;IF(AND($S67="Macro",$G67=""),"Peso vacío"&amp;" · ","")&amp;IF(AND($S67="Macro",$G67&lt;&gt;"",OR(NOT(ISNUMBER($G67)),$G67&lt;=0,$G67&gt;1)),"Peso fuera de rango"&amp;" · ","")&amp;IF(AND($S67="Sub",$G67&lt;&gt;""),"Las subactividades no llevan peso"&amp;" · ","")&amp;IF(AND($S67="Macro",ABS(SUMIFS($G$5:$G$1000,$P$5:$P$1000,$P67,$S$5:$S$1000,"Macro")-1)&gt;0.0001),"Pesos del mes suman "&amp;TEXT(SUMIFS($G$5:$G$1000,$P$5:$P$1000,$P67,$S$5:$S$1000,"Macro"),"0%")&amp;" · ","")&amp;IF(AND(N($T67)&gt;0,COUNT($H67:$K67)&gt;0),"Con subactividades: deje vacías las semanas (se calculan solas)"&amp;" · ","")&amp;IF((COUNTIF($H67:$K67,"&gt;1")+COUNTIF($H67:$K67,"&lt;0")+COUNTA($H67:$K67)-COUNT($H67:$K67))&gt;0,"Avance fuera de rango 0-100%"&amp;" · ","")&amp;IF(OR(AND($I67&lt;&gt;"",$I67&lt;$H67),AND($J67&lt;&gt;"",$J67&lt;MAX($H67:$I67)),AND($K67&lt;&gt;"",$K67&lt;MAX($H67:$J67))),"Avance semanal decreciente"&amp;" · ","")&amp;IF(AND(ISNUMBER($F67),$F67&lt;FechaRef,N($L67)&lt;1),"Vencida"&amp;" · ","")&amp;IF(AND(ObsObligatoria="Sí",ISNUMBER($F67),$F67&lt;FechaRef,N($L67)&lt;1,$N67=""),"Vencida sin observación"&amp;" · ",""),LEN(IF(AND($S67="Macro",$B67=""),"Macroactividad vacía"&amp;" · ","")&amp;IF(AND($B67&lt;&gt;"",$C67&lt;&gt;""),"Escriba la subactividad en otra fila, debajo de su macroactividad"&amp;" · ","")&amp;IF(AND($S67="Sub",N($R67)=0),"Subactividad sin macroactividad arriba"&amp;" · ","")&amp;IF($D67="","Sin responsable"&amp;" · ","")&amp;IF($E67="","Sin fecha de inicio"&amp;" · ","")&amp;IF($F67="","Sin fecha límite"&amp;" · ","")&amp;IF(OR(AND($E67&lt;&gt;"",NOT(ISNUMBER($E67))),AND($F67&lt;&gt;"",NOT(ISNUMBER($F67)))),"Fecha no válida"&amp;" · ","")&amp;IF(AND(ISNUMBER($E67),ISNUMBER($F67),$E67&gt;$F67),"Inicio posterior a fecha límite"&amp;" · ","")&amp;IF(AND($S67="Macro",$G67=""),"Peso vacío"&amp;" · ","")&amp;IF(AND($S67="Macro",$G67&lt;&gt;"",OR(NOT(ISNUMBER($G67)),$G67&lt;=0,$G67&gt;1)),"Peso fuera de rango"&amp;" · ","")&amp;IF(AND($S67="Sub",$G67&lt;&gt;""),"Las subactividades no llevan peso"&amp;" · ","")&amp;IF(AND($S67="Macro",ABS(SUMIFS($G$5:$G$1000,$P$5:$P$1000,$P67,$S$5:$S$1000,"Macro")-1)&gt;0.0001),"Pesos del mes suman "&amp;TEXT(SUMIFS($G$5:$G$1000,$P$5:$P$1000,$P67,$S$5:$S$1000,"Macro"),"0%")&amp;" · ","")&amp;IF(AND(N($T67)&gt;0,COUNT($H67:$K67)&gt;0),"Con subactividades: deje vacías las semanas (se calculan solas)"&amp;" · ","")&amp;IF((COUNTIF($H67:$K67,"&gt;1")+COUNTIF($H67:$K67,"&lt;0")+COUNTA($H67:$K67)-COUNT($H67:$K67))&gt;0,"Avance fuera de rango 0-100%"&amp;" · ","")&amp;IF(OR(AND($I67&lt;&gt;"",$I67&lt;$H67),AND($J67&lt;&gt;"",$J67&lt;MAX($H67:$I67)),AND($K67&lt;&gt;"",$K67&lt;MAX($H67:$J67))),"Avance semanal decreciente"&amp;" · ","")&amp;IF(AND(ISNUMBER($F67),$F67&lt;FechaRef,N($L67)&lt;1),"Vencida"&amp;" · ","")&amp;IF(AND(ObsObligatoria="Sí",ISNUMBER($F67),$F67&lt;FechaRef,N($L67)&lt;1,$N67=""),"Vencida sin observación"&amp;" · ",""))-3)))</f>
        <v/>
      </c>
      <c r="P67" s="69">
        <f>IF(NOT((COUNTA($B67:$K67)+COUNTA($N67))&gt;0),"",IF(AND($S67="Sub",N($R67)&gt;0),IF(ISNUMBER(INDEX($E$5:$E$1000,$R67-4)),DATE(YEAR(INDEX($E$5:$E$1000,$R67-4)),MONTH(INDEX($E$5:$E$1000,$R67-4)),1),IF(ISNUMBER(INDEX($F$5:$F$1000,$R67-4)),DATE(YEAR(INDEX($F$5:$F$1000,$R67-4)),MONTH(INDEX($F$5:$F$1000,$R67-4)),1),MesCiclo)),IF(ISNUMBER($E67),DATE(YEAR($E67),MONTH($E67),1),IF(ISNUMBER($F67),DATE(YEAR($F67),MONTH($F67),1),MesCiclo))))</f>
        <v/>
      </c>
      <c r="Q67" s="70">
        <f>IF(OR($P67="",$P67&lt;&gt;MesCiclo),"",COUNTIF($P$5:$P67,MesCiclo))</f>
        <v/>
      </c>
      <c r="R67" s="70">
        <f>IF($S67="","",IF($S67="Macro",ROW(),IFERROR(LOOKUP(2,1/($S$5:$S67="Macro"),ROW($S$5:$S67)),0)))</f>
        <v/>
      </c>
      <c r="S67" s="70">
        <f>IF(NOT((COUNTA($B67:$K67)+COUNTA($N67))&gt;0),"",IF($B67&lt;&gt;"","Macro",IF($C67&lt;&gt;"","Sub","Macro")))</f>
        <v/>
      </c>
      <c r="T67" s="70">
        <f>IF($S67="Macro",COUNTIFS($R$5:$R$1000,ROW(),$S$5:$S$1000,"Sub"),"")</f>
        <v/>
      </c>
      <c r="U67" s="70">
        <f>IF($S67="","",IF(ISNUMBER($H67),$H67,0))</f>
        <v/>
      </c>
      <c r="V67" s="70">
        <f>IF($S67="","",IF(ISNUMBER($I67),$I67,$U67))</f>
        <v/>
      </c>
      <c r="W67" s="70">
        <f>IF($S67="","",IF(ISNUMBER($J67),$J67,$V67))</f>
        <v/>
      </c>
      <c r="X67" s="70">
        <f>IF($S67="","",IF(ISNUMBER($K67),$K67,$W67))</f>
        <v/>
      </c>
      <c r="Y67" s="70">
        <f>IF($S67="","",IF(N($T67)&gt;0,AVERAGEIFS($U$5:$U$1000,$R$5:$R$1000,ROW(),$S$5:$S$1000,"Sub"),$U67))</f>
        <v/>
      </c>
      <c r="Z67" s="70">
        <f>IF($S67="","",IF(N($T67)&gt;0,AVERAGEIFS($V$5:$V$1000,$R$5:$R$1000,ROW(),$S$5:$S$1000,"Sub"),$V67))</f>
        <v/>
      </c>
      <c r="AA67" s="70">
        <f>IF($S67="","",IF(N($T67)&gt;0,AVERAGEIFS($W$5:$W$1000,$R$5:$R$1000,ROW(),$S$5:$S$1000,"Sub"),$W67))</f>
        <v/>
      </c>
      <c r="AB67" s="70">
        <f>IF($S67="","",IF(N($T67)&gt;0,AVERAGEIFS($X$5:$X$1000,$R$5:$R$1000,ROW(),$S$5:$S$1000,"Sub"),$X67))</f>
        <v/>
      </c>
    </row>
    <row r="68">
      <c r="A68" s="61">
        <f>IF(NOT((COUNTA($B68:$K68)+COUNTA($N68))&gt;0),"",IF($S68="Macro",COUNTIFS($S$5:$S68,"Macro",$P$5:$P68,$P68),IF(N($R68)=0,"?",COUNTIFS(INDEX($S$5:$S$1000,1):INDEX($S$5:$S$1000,$R68-4),"Macro",INDEX($P$5:$P$1000,1):INDEX($P$5:$P$1000,$R68-4),INDEX($P$5:$P$1000,$R68-4))&amp;"."&amp;COUNTIFS($R$5:$R68,$R68,$S$5:$S68,"Sub"))))</f>
        <v/>
      </c>
      <c r="B68" s="62" t="n"/>
      <c r="C68" s="63" t="n"/>
      <c r="D68" s="62" t="n"/>
      <c r="E68" s="64" t="n"/>
      <c r="F68" s="64" t="n"/>
      <c r="G68" s="65" t="n"/>
      <c r="H68" s="66" t="n"/>
      <c r="I68" s="66" t="n"/>
      <c r="J68" s="66" t="n"/>
      <c r="K68" s="66" t="n"/>
      <c r="L68" s="67">
        <f>IF(NOT((COUNTA($B68:$K68)+COUNTA($N68))&gt;0),"",IF(N($T68)&gt;0,$AB68,IFERROR(LOOKUP(2,1/(H68:K68&lt;&gt;""),H68:K68),0)))</f>
        <v/>
      </c>
      <c r="M68" s="61">
        <f>IF(L68="","",IF(L68&gt;=1,"Completado",IF(L68&gt;0,"En curso","Pendiente")))</f>
        <v/>
      </c>
      <c r="N68" s="62" t="n"/>
      <c r="O68" s="68">
        <f>IF(NOT((COUNTA($B68:$K68)+COUNTA($N68))&gt;0),"",IF((IF(AND($S68="Macro",$B68=""),"Macroactividad vacía"&amp;" · ","")&amp;IF(AND($B68&lt;&gt;"",$C68&lt;&gt;""),"Escriba la subactividad en otra fila, debajo de su macroactividad"&amp;" · ","")&amp;IF(AND($S68="Sub",N($R68)=0),"Subactividad sin macroactividad arriba"&amp;" · ","")&amp;IF($D68="","Sin responsable"&amp;" · ","")&amp;IF($E68="","Sin fecha de inicio"&amp;" · ","")&amp;IF($F68="","Sin fecha límite"&amp;" · ","")&amp;IF(OR(AND($E68&lt;&gt;"",NOT(ISNUMBER($E68))),AND($F68&lt;&gt;"",NOT(ISNUMBER($F68)))),"Fecha no válida"&amp;" · ","")&amp;IF(AND(ISNUMBER($E68),ISNUMBER($F68),$E68&gt;$F68),"Inicio posterior a fecha límite"&amp;" · ","")&amp;IF(AND($S68="Macro",$G68=""),"Peso vacío"&amp;" · ","")&amp;IF(AND($S68="Macro",$G68&lt;&gt;"",OR(NOT(ISNUMBER($G68)),$G68&lt;=0,$G68&gt;1)),"Peso fuera de rango"&amp;" · ","")&amp;IF(AND($S68="Sub",$G68&lt;&gt;""),"Las subactividades no llevan peso"&amp;" · ","")&amp;IF(AND($S68="Macro",ABS(SUMIFS($G$5:$G$1000,$P$5:$P$1000,$P68,$S$5:$S$1000,"Macro")-1)&gt;0.0001),"Pesos del mes suman "&amp;TEXT(SUMIFS($G$5:$G$1000,$P$5:$P$1000,$P68,$S$5:$S$1000,"Macro"),"0%")&amp;" · ","")&amp;IF(AND(N($T68)&gt;0,COUNT($H68:$K68)&gt;0),"Con subactividades: deje vacías las semanas (se calculan solas)"&amp;" · ","")&amp;IF((COUNTIF($H68:$K68,"&gt;1")+COUNTIF($H68:$K68,"&lt;0")+COUNTA($H68:$K68)-COUNT($H68:$K68))&gt;0,"Avance fuera de rango 0-100%"&amp;" · ","")&amp;IF(OR(AND($I68&lt;&gt;"",$I68&lt;$H68),AND($J68&lt;&gt;"",$J68&lt;MAX($H68:$I68)),AND($K68&lt;&gt;"",$K68&lt;MAX($H68:$J68))),"Avance semanal decreciente"&amp;" · ","")&amp;IF(AND(ISNUMBER($F68),$F68&lt;FechaRef,N($L68)&lt;1),"Vencida"&amp;" · ","")&amp;IF(AND(ObsObligatoria="Sí",ISNUMBER($F68),$F68&lt;FechaRef,N($L68)&lt;1,$N68=""),"Vencida sin observación"&amp;" · ",""))="","✔ OK","⚠ "&amp;LEFT(IF(AND($S68="Macro",$B68=""),"Macroactividad vacía"&amp;" · ","")&amp;IF(AND($B68&lt;&gt;"",$C68&lt;&gt;""),"Escriba la subactividad en otra fila, debajo de su macroactividad"&amp;" · ","")&amp;IF(AND($S68="Sub",N($R68)=0),"Subactividad sin macroactividad arriba"&amp;" · ","")&amp;IF($D68="","Sin responsable"&amp;" · ","")&amp;IF($E68="","Sin fecha de inicio"&amp;" · ","")&amp;IF($F68="","Sin fecha límite"&amp;" · ","")&amp;IF(OR(AND($E68&lt;&gt;"",NOT(ISNUMBER($E68))),AND($F68&lt;&gt;"",NOT(ISNUMBER($F68)))),"Fecha no válida"&amp;" · ","")&amp;IF(AND(ISNUMBER($E68),ISNUMBER($F68),$E68&gt;$F68),"Inicio posterior a fecha límite"&amp;" · ","")&amp;IF(AND($S68="Macro",$G68=""),"Peso vacío"&amp;" · ","")&amp;IF(AND($S68="Macro",$G68&lt;&gt;"",OR(NOT(ISNUMBER($G68)),$G68&lt;=0,$G68&gt;1)),"Peso fuera de rango"&amp;" · ","")&amp;IF(AND($S68="Sub",$G68&lt;&gt;""),"Las subactividades no llevan peso"&amp;" · ","")&amp;IF(AND($S68="Macro",ABS(SUMIFS($G$5:$G$1000,$P$5:$P$1000,$P68,$S$5:$S$1000,"Macro")-1)&gt;0.0001),"Pesos del mes suman "&amp;TEXT(SUMIFS($G$5:$G$1000,$P$5:$P$1000,$P68,$S$5:$S$1000,"Macro"),"0%")&amp;" · ","")&amp;IF(AND(N($T68)&gt;0,COUNT($H68:$K68)&gt;0),"Con subactividades: deje vacías las semanas (se calculan solas)"&amp;" · ","")&amp;IF((COUNTIF($H68:$K68,"&gt;1")+COUNTIF($H68:$K68,"&lt;0")+COUNTA($H68:$K68)-COUNT($H68:$K68))&gt;0,"Avance fuera de rango 0-100%"&amp;" · ","")&amp;IF(OR(AND($I68&lt;&gt;"",$I68&lt;$H68),AND($J68&lt;&gt;"",$J68&lt;MAX($H68:$I68)),AND($K68&lt;&gt;"",$K68&lt;MAX($H68:$J68))),"Avance semanal decreciente"&amp;" · ","")&amp;IF(AND(ISNUMBER($F68),$F68&lt;FechaRef,N($L68)&lt;1),"Vencida"&amp;" · ","")&amp;IF(AND(ObsObligatoria="Sí",ISNUMBER($F68),$F68&lt;FechaRef,N($L68)&lt;1,$N68=""),"Vencida sin observación"&amp;" · ",""),LEN(IF(AND($S68="Macro",$B68=""),"Macroactividad vacía"&amp;" · ","")&amp;IF(AND($B68&lt;&gt;"",$C68&lt;&gt;""),"Escriba la subactividad en otra fila, debajo de su macroactividad"&amp;" · ","")&amp;IF(AND($S68="Sub",N($R68)=0),"Subactividad sin macroactividad arriba"&amp;" · ","")&amp;IF($D68="","Sin responsable"&amp;" · ","")&amp;IF($E68="","Sin fecha de inicio"&amp;" · ","")&amp;IF($F68="","Sin fecha límite"&amp;" · ","")&amp;IF(OR(AND($E68&lt;&gt;"",NOT(ISNUMBER($E68))),AND($F68&lt;&gt;"",NOT(ISNUMBER($F68)))),"Fecha no válida"&amp;" · ","")&amp;IF(AND(ISNUMBER($E68),ISNUMBER($F68),$E68&gt;$F68),"Inicio posterior a fecha límite"&amp;" · ","")&amp;IF(AND($S68="Macro",$G68=""),"Peso vacío"&amp;" · ","")&amp;IF(AND($S68="Macro",$G68&lt;&gt;"",OR(NOT(ISNUMBER($G68)),$G68&lt;=0,$G68&gt;1)),"Peso fuera de rango"&amp;" · ","")&amp;IF(AND($S68="Sub",$G68&lt;&gt;""),"Las subactividades no llevan peso"&amp;" · ","")&amp;IF(AND($S68="Macro",ABS(SUMIFS($G$5:$G$1000,$P$5:$P$1000,$P68,$S$5:$S$1000,"Macro")-1)&gt;0.0001),"Pesos del mes suman "&amp;TEXT(SUMIFS($G$5:$G$1000,$P$5:$P$1000,$P68,$S$5:$S$1000,"Macro"),"0%")&amp;" · ","")&amp;IF(AND(N($T68)&gt;0,COUNT($H68:$K68)&gt;0),"Con subactividades: deje vacías las semanas (se calculan solas)"&amp;" · ","")&amp;IF((COUNTIF($H68:$K68,"&gt;1")+COUNTIF($H68:$K68,"&lt;0")+COUNTA($H68:$K68)-COUNT($H68:$K68))&gt;0,"Avance fuera de rango 0-100%"&amp;" · ","")&amp;IF(OR(AND($I68&lt;&gt;"",$I68&lt;$H68),AND($J68&lt;&gt;"",$J68&lt;MAX($H68:$I68)),AND($K68&lt;&gt;"",$K68&lt;MAX($H68:$J68))),"Avance semanal decreciente"&amp;" · ","")&amp;IF(AND(ISNUMBER($F68),$F68&lt;FechaRef,N($L68)&lt;1),"Vencida"&amp;" · ","")&amp;IF(AND(ObsObligatoria="Sí",ISNUMBER($F68),$F68&lt;FechaRef,N($L68)&lt;1,$N68=""),"Vencida sin observación"&amp;" · ",""))-3)))</f>
        <v/>
      </c>
      <c r="P68" s="69">
        <f>IF(NOT((COUNTA($B68:$K68)+COUNTA($N68))&gt;0),"",IF(AND($S68="Sub",N($R68)&gt;0),IF(ISNUMBER(INDEX($E$5:$E$1000,$R68-4)),DATE(YEAR(INDEX($E$5:$E$1000,$R68-4)),MONTH(INDEX($E$5:$E$1000,$R68-4)),1),IF(ISNUMBER(INDEX($F$5:$F$1000,$R68-4)),DATE(YEAR(INDEX($F$5:$F$1000,$R68-4)),MONTH(INDEX($F$5:$F$1000,$R68-4)),1),MesCiclo)),IF(ISNUMBER($E68),DATE(YEAR($E68),MONTH($E68),1),IF(ISNUMBER($F68),DATE(YEAR($F68),MONTH($F68),1),MesCiclo))))</f>
        <v/>
      </c>
      <c r="Q68" s="70">
        <f>IF(OR($P68="",$P68&lt;&gt;MesCiclo),"",COUNTIF($P$5:$P68,MesCiclo))</f>
        <v/>
      </c>
      <c r="R68" s="70">
        <f>IF($S68="","",IF($S68="Macro",ROW(),IFERROR(LOOKUP(2,1/($S$5:$S68="Macro"),ROW($S$5:$S68)),0)))</f>
        <v/>
      </c>
      <c r="S68" s="70">
        <f>IF(NOT((COUNTA($B68:$K68)+COUNTA($N68))&gt;0),"",IF($B68&lt;&gt;"","Macro",IF($C68&lt;&gt;"","Sub","Macro")))</f>
        <v/>
      </c>
      <c r="T68" s="70">
        <f>IF($S68="Macro",COUNTIFS($R$5:$R$1000,ROW(),$S$5:$S$1000,"Sub"),"")</f>
        <v/>
      </c>
      <c r="U68" s="70">
        <f>IF($S68="","",IF(ISNUMBER($H68),$H68,0))</f>
        <v/>
      </c>
      <c r="V68" s="70">
        <f>IF($S68="","",IF(ISNUMBER($I68),$I68,$U68))</f>
        <v/>
      </c>
      <c r="W68" s="70">
        <f>IF($S68="","",IF(ISNUMBER($J68),$J68,$V68))</f>
        <v/>
      </c>
      <c r="X68" s="70">
        <f>IF($S68="","",IF(ISNUMBER($K68),$K68,$W68))</f>
        <v/>
      </c>
      <c r="Y68" s="70">
        <f>IF($S68="","",IF(N($T68)&gt;0,AVERAGEIFS($U$5:$U$1000,$R$5:$R$1000,ROW(),$S$5:$S$1000,"Sub"),$U68))</f>
        <v/>
      </c>
      <c r="Z68" s="70">
        <f>IF($S68="","",IF(N($T68)&gt;0,AVERAGEIFS($V$5:$V$1000,$R$5:$R$1000,ROW(),$S$5:$S$1000,"Sub"),$V68))</f>
        <v/>
      </c>
      <c r="AA68" s="70">
        <f>IF($S68="","",IF(N($T68)&gt;0,AVERAGEIFS($W$5:$W$1000,$R$5:$R$1000,ROW(),$S$5:$S$1000,"Sub"),$W68))</f>
        <v/>
      </c>
      <c r="AB68" s="70">
        <f>IF($S68="","",IF(N($T68)&gt;0,AVERAGEIFS($X$5:$X$1000,$R$5:$R$1000,ROW(),$S$5:$S$1000,"Sub"),$X68))</f>
        <v/>
      </c>
    </row>
    <row r="69">
      <c r="A69" s="61">
        <f>IF(NOT((COUNTA($B69:$K69)+COUNTA($N69))&gt;0),"",IF($S69="Macro",COUNTIFS($S$5:$S69,"Macro",$P$5:$P69,$P69),IF(N($R69)=0,"?",COUNTIFS(INDEX($S$5:$S$1000,1):INDEX($S$5:$S$1000,$R69-4),"Macro",INDEX($P$5:$P$1000,1):INDEX($P$5:$P$1000,$R69-4),INDEX($P$5:$P$1000,$R69-4))&amp;"."&amp;COUNTIFS($R$5:$R69,$R69,$S$5:$S69,"Sub"))))</f>
        <v/>
      </c>
      <c r="B69" s="62" t="n"/>
      <c r="C69" s="63" t="n"/>
      <c r="D69" s="62" t="n"/>
      <c r="E69" s="64" t="n"/>
      <c r="F69" s="64" t="n"/>
      <c r="G69" s="65" t="n"/>
      <c r="H69" s="66" t="n"/>
      <c r="I69" s="66" t="n"/>
      <c r="J69" s="66" t="n"/>
      <c r="K69" s="66" t="n"/>
      <c r="L69" s="67">
        <f>IF(NOT((COUNTA($B69:$K69)+COUNTA($N69))&gt;0),"",IF(N($T69)&gt;0,$AB69,IFERROR(LOOKUP(2,1/(H69:K69&lt;&gt;""),H69:K69),0)))</f>
        <v/>
      </c>
      <c r="M69" s="61">
        <f>IF(L69="","",IF(L69&gt;=1,"Completado",IF(L69&gt;0,"En curso","Pendiente")))</f>
        <v/>
      </c>
      <c r="N69" s="62" t="n"/>
      <c r="O69" s="68">
        <f>IF(NOT((COUNTA($B69:$K69)+COUNTA($N69))&gt;0),"",IF((IF(AND($S69="Macro",$B69=""),"Macroactividad vacía"&amp;" · ","")&amp;IF(AND($B69&lt;&gt;"",$C69&lt;&gt;""),"Escriba la subactividad en otra fila, debajo de su macroactividad"&amp;" · ","")&amp;IF(AND($S69="Sub",N($R69)=0),"Subactividad sin macroactividad arriba"&amp;" · ","")&amp;IF($D69="","Sin responsable"&amp;" · ","")&amp;IF($E69="","Sin fecha de inicio"&amp;" · ","")&amp;IF($F69="","Sin fecha límite"&amp;" · ","")&amp;IF(OR(AND($E69&lt;&gt;"",NOT(ISNUMBER($E69))),AND($F69&lt;&gt;"",NOT(ISNUMBER($F69)))),"Fecha no válida"&amp;" · ","")&amp;IF(AND(ISNUMBER($E69),ISNUMBER($F69),$E69&gt;$F69),"Inicio posterior a fecha límite"&amp;" · ","")&amp;IF(AND($S69="Macro",$G69=""),"Peso vacío"&amp;" · ","")&amp;IF(AND($S69="Macro",$G69&lt;&gt;"",OR(NOT(ISNUMBER($G69)),$G69&lt;=0,$G69&gt;1)),"Peso fuera de rango"&amp;" · ","")&amp;IF(AND($S69="Sub",$G69&lt;&gt;""),"Las subactividades no llevan peso"&amp;" · ","")&amp;IF(AND($S69="Macro",ABS(SUMIFS($G$5:$G$1000,$P$5:$P$1000,$P69,$S$5:$S$1000,"Macro")-1)&gt;0.0001),"Pesos del mes suman "&amp;TEXT(SUMIFS($G$5:$G$1000,$P$5:$P$1000,$P69,$S$5:$S$1000,"Macro"),"0%")&amp;" · ","")&amp;IF(AND(N($T69)&gt;0,COUNT($H69:$K69)&gt;0),"Con subactividades: deje vacías las semanas (se calculan solas)"&amp;" · ","")&amp;IF((COUNTIF($H69:$K69,"&gt;1")+COUNTIF($H69:$K69,"&lt;0")+COUNTA($H69:$K69)-COUNT($H69:$K69))&gt;0,"Avance fuera de rango 0-100%"&amp;" · ","")&amp;IF(OR(AND($I69&lt;&gt;"",$I69&lt;$H69),AND($J69&lt;&gt;"",$J69&lt;MAX($H69:$I69)),AND($K69&lt;&gt;"",$K69&lt;MAX($H69:$J69))),"Avance semanal decreciente"&amp;" · ","")&amp;IF(AND(ISNUMBER($F69),$F69&lt;FechaRef,N($L69)&lt;1),"Vencida"&amp;" · ","")&amp;IF(AND(ObsObligatoria="Sí",ISNUMBER($F69),$F69&lt;FechaRef,N($L69)&lt;1,$N69=""),"Vencida sin observación"&amp;" · ",""))="","✔ OK","⚠ "&amp;LEFT(IF(AND($S69="Macro",$B69=""),"Macroactividad vacía"&amp;" · ","")&amp;IF(AND($B69&lt;&gt;"",$C69&lt;&gt;""),"Escriba la subactividad en otra fila, debajo de su macroactividad"&amp;" · ","")&amp;IF(AND($S69="Sub",N($R69)=0),"Subactividad sin macroactividad arriba"&amp;" · ","")&amp;IF($D69="","Sin responsable"&amp;" · ","")&amp;IF($E69="","Sin fecha de inicio"&amp;" · ","")&amp;IF($F69="","Sin fecha límite"&amp;" · ","")&amp;IF(OR(AND($E69&lt;&gt;"",NOT(ISNUMBER($E69))),AND($F69&lt;&gt;"",NOT(ISNUMBER($F69)))),"Fecha no válida"&amp;" · ","")&amp;IF(AND(ISNUMBER($E69),ISNUMBER($F69),$E69&gt;$F69),"Inicio posterior a fecha límite"&amp;" · ","")&amp;IF(AND($S69="Macro",$G69=""),"Peso vacío"&amp;" · ","")&amp;IF(AND($S69="Macro",$G69&lt;&gt;"",OR(NOT(ISNUMBER($G69)),$G69&lt;=0,$G69&gt;1)),"Peso fuera de rango"&amp;" · ","")&amp;IF(AND($S69="Sub",$G69&lt;&gt;""),"Las subactividades no llevan peso"&amp;" · ","")&amp;IF(AND($S69="Macro",ABS(SUMIFS($G$5:$G$1000,$P$5:$P$1000,$P69,$S$5:$S$1000,"Macro")-1)&gt;0.0001),"Pesos del mes suman "&amp;TEXT(SUMIFS($G$5:$G$1000,$P$5:$P$1000,$P69,$S$5:$S$1000,"Macro"),"0%")&amp;" · ","")&amp;IF(AND(N($T69)&gt;0,COUNT($H69:$K69)&gt;0),"Con subactividades: deje vacías las semanas (se calculan solas)"&amp;" · ","")&amp;IF((COUNTIF($H69:$K69,"&gt;1")+COUNTIF($H69:$K69,"&lt;0")+COUNTA($H69:$K69)-COUNT($H69:$K69))&gt;0,"Avance fuera de rango 0-100%"&amp;" · ","")&amp;IF(OR(AND($I69&lt;&gt;"",$I69&lt;$H69),AND($J69&lt;&gt;"",$J69&lt;MAX($H69:$I69)),AND($K69&lt;&gt;"",$K69&lt;MAX($H69:$J69))),"Avance semanal decreciente"&amp;" · ","")&amp;IF(AND(ISNUMBER($F69),$F69&lt;FechaRef,N($L69)&lt;1),"Vencida"&amp;" · ","")&amp;IF(AND(ObsObligatoria="Sí",ISNUMBER($F69),$F69&lt;FechaRef,N($L69)&lt;1,$N69=""),"Vencida sin observación"&amp;" · ",""),LEN(IF(AND($S69="Macro",$B69=""),"Macroactividad vacía"&amp;" · ","")&amp;IF(AND($B69&lt;&gt;"",$C69&lt;&gt;""),"Escriba la subactividad en otra fila, debajo de su macroactividad"&amp;" · ","")&amp;IF(AND($S69="Sub",N($R69)=0),"Subactividad sin macroactividad arriba"&amp;" · ","")&amp;IF($D69="","Sin responsable"&amp;" · ","")&amp;IF($E69="","Sin fecha de inicio"&amp;" · ","")&amp;IF($F69="","Sin fecha límite"&amp;" · ","")&amp;IF(OR(AND($E69&lt;&gt;"",NOT(ISNUMBER($E69))),AND($F69&lt;&gt;"",NOT(ISNUMBER($F69)))),"Fecha no válida"&amp;" · ","")&amp;IF(AND(ISNUMBER($E69),ISNUMBER($F69),$E69&gt;$F69),"Inicio posterior a fecha límite"&amp;" · ","")&amp;IF(AND($S69="Macro",$G69=""),"Peso vacío"&amp;" · ","")&amp;IF(AND($S69="Macro",$G69&lt;&gt;"",OR(NOT(ISNUMBER($G69)),$G69&lt;=0,$G69&gt;1)),"Peso fuera de rango"&amp;" · ","")&amp;IF(AND($S69="Sub",$G69&lt;&gt;""),"Las subactividades no llevan peso"&amp;" · ","")&amp;IF(AND($S69="Macro",ABS(SUMIFS($G$5:$G$1000,$P$5:$P$1000,$P69,$S$5:$S$1000,"Macro")-1)&gt;0.0001),"Pesos del mes suman "&amp;TEXT(SUMIFS($G$5:$G$1000,$P$5:$P$1000,$P69,$S$5:$S$1000,"Macro"),"0%")&amp;" · ","")&amp;IF(AND(N($T69)&gt;0,COUNT($H69:$K69)&gt;0),"Con subactividades: deje vacías las semanas (se calculan solas)"&amp;" · ","")&amp;IF((COUNTIF($H69:$K69,"&gt;1")+COUNTIF($H69:$K69,"&lt;0")+COUNTA($H69:$K69)-COUNT($H69:$K69))&gt;0,"Avance fuera de rango 0-100%"&amp;" · ","")&amp;IF(OR(AND($I69&lt;&gt;"",$I69&lt;$H69),AND($J69&lt;&gt;"",$J69&lt;MAX($H69:$I69)),AND($K69&lt;&gt;"",$K69&lt;MAX($H69:$J69))),"Avance semanal decreciente"&amp;" · ","")&amp;IF(AND(ISNUMBER($F69),$F69&lt;FechaRef,N($L69)&lt;1),"Vencida"&amp;" · ","")&amp;IF(AND(ObsObligatoria="Sí",ISNUMBER($F69),$F69&lt;FechaRef,N($L69)&lt;1,$N69=""),"Vencida sin observación"&amp;" · ",""))-3)))</f>
        <v/>
      </c>
      <c r="P69" s="69">
        <f>IF(NOT((COUNTA($B69:$K69)+COUNTA($N69))&gt;0),"",IF(AND($S69="Sub",N($R69)&gt;0),IF(ISNUMBER(INDEX($E$5:$E$1000,$R69-4)),DATE(YEAR(INDEX($E$5:$E$1000,$R69-4)),MONTH(INDEX($E$5:$E$1000,$R69-4)),1),IF(ISNUMBER(INDEX($F$5:$F$1000,$R69-4)),DATE(YEAR(INDEX($F$5:$F$1000,$R69-4)),MONTH(INDEX($F$5:$F$1000,$R69-4)),1),MesCiclo)),IF(ISNUMBER($E69),DATE(YEAR($E69),MONTH($E69),1),IF(ISNUMBER($F69),DATE(YEAR($F69),MONTH($F69),1),MesCiclo))))</f>
        <v/>
      </c>
      <c r="Q69" s="70">
        <f>IF(OR($P69="",$P69&lt;&gt;MesCiclo),"",COUNTIF($P$5:$P69,MesCiclo))</f>
        <v/>
      </c>
      <c r="R69" s="70">
        <f>IF($S69="","",IF($S69="Macro",ROW(),IFERROR(LOOKUP(2,1/($S$5:$S69="Macro"),ROW($S$5:$S69)),0)))</f>
        <v/>
      </c>
      <c r="S69" s="70">
        <f>IF(NOT((COUNTA($B69:$K69)+COUNTA($N69))&gt;0),"",IF($B69&lt;&gt;"","Macro",IF($C69&lt;&gt;"","Sub","Macro")))</f>
        <v/>
      </c>
      <c r="T69" s="70">
        <f>IF($S69="Macro",COUNTIFS($R$5:$R$1000,ROW(),$S$5:$S$1000,"Sub"),"")</f>
        <v/>
      </c>
      <c r="U69" s="70">
        <f>IF($S69="","",IF(ISNUMBER($H69),$H69,0))</f>
        <v/>
      </c>
      <c r="V69" s="70">
        <f>IF($S69="","",IF(ISNUMBER($I69),$I69,$U69))</f>
        <v/>
      </c>
      <c r="W69" s="70">
        <f>IF($S69="","",IF(ISNUMBER($J69),$J69,$V69))</f>
        <v/>
      </c>
      <c r="X69" s="70">
        <f>IF($S69="","",IF(ISNUMBER($K69),$K69,$W69))</f>
        <v/>
      </c>
      <c r="Y69" s="70">
        <f>IF($S69="","",IF(N($T69)&gt;0,AVERAGEIFS($U$5:$U$1000,$R$5:$R$1000,ROW(),$S$5:$S$1000,"Sub"),$U69))</f>
        <v/>
      </c>
      <c r="Z69" s="70">
        <f>IF($S69="","",IF(N($T69)&gt;0,AVERAGEIFS($V$5:$V$1000,$R$5:$R$1000,ROW(),$S$5:$S$1000,"Sub"),$V69))</f>
        <v/>
      </c>
      <c r="AA69" s="70">
        <f>IF($S69="","",IF(N($T69)&gt;0,AVERAGEIFS($W$5:$W$1000,$R$5:$R$1000,ROW(),$S$5:$S$1000,"Sub"),$W69))</f>
        <v/>
      </c>
      <c r="AB69" s="70">
        <f>IF($S69="","",IF(N($T69)&gt;0,AVERAGEIFS($X$5:$X$1000,$R$5:$R$1000,ROW(),$S$5:$S$1000,"Sub"),$X69))</f>
        <v/>
      </c>
    </row>
    <row r="70">
      <c r="A70" s="61">
        <f>IF(NOT((COUNTA($B70:$K70)+COUNTA($N70))&gt;0),"",IF($S70="Macro",COUNTIFS($S$5:$S70,"Macro",$P$5:$P70,$P70),IF(N($R70)=0,"?",COUNTIFS(INDEX($S$5:$S$1000,1):INDEX($S$5:$S$1000,$R70-4),"Macro",INDEX($P$5:$P$1000,1):INDEX($P$5:$P$1000,$R70-4),INDEX($P$5:$P$1000,$R70-4))&amp;"."&amp;COUNTIFS($R$5:$R70,$R70,$S$5:$S70,"Sub"))))</f>
        <v/>
      </c>
      <c r="B70" s="62" t="n"/>
      <c r="C70" s="63" t="n"/>
      <c r="D70" s="62" t="n"/>
      <c r="E70" s="64" t="n"/>
      <c r="F70" s="64" t="n"/>
      <c r="G70" s="65" t="n"/>
      <c r="H70" s="66" t="n"/>
      <c r="I70" s="66" t="n"/>
      <c r="J70" s="66" t="n"/>
      <c r="K70" s="66" t="n"/>
      <c r="L70" s="67">
        <f>IF(NOT((COUNTA($B70:$K70)+COUNTA($N70))&gt;0),"",IF(N($T70)&gt;0,$AB70,IFERROR(LOOKUP(2,1/(H70:K70&lt;&gt;""),H70:K70),0)))</f>
        <v/>
      </c>
      <c r="M70" s="61">
        <f>IF(L70="","",IF(L70&gt;=1,"Completado",IF(L70&gt;0,"En curso","Pendiente")))</f>
        <v/>
      </c>
      <c r="N70" s="62" t="n"/>
      <c r="O70" s="68">
        <f>IF(NOT((COUNTA($B70:$K70)+COUNTA($N70))&gt;0),"",IF((IF(AND($S70="Macro",$B70=""),"Macroactividad vacía"&amp;" · ","")&amp;IF(AND($B70&lt;&gt;"",$C70&lt;&gt;""),"Escriba la subactividad en otra fila, debajo de su macroactividad"&amp;" · ","")&amp;IF(AND($S70="Sub",N($R70)=0),"Subactividad sin macroactividad arriba"&amp;" · ","")&amp;IF($D70="","Sin responsable"&amp;" · ","")&amp;IF($E70="","Sin fecha de inicio"&amp;" · ","")&amp;IF($F70="","Sin fecha límite"&amp;" · ","")&amp;IF(OR(AND($E70&lt;&gt;"",NOT(ISNUMBER($E70))),AND($F70&lt;&gt;"",NOT(ISNUMBER($F70)))),"Fecha no válida"&amp;" · ","")&amp;IF(AND(ISNUMBER($E70),ISNUMBER($F70),$E70&gt;$F70),"Inicio posterior a fecha límite"&amp;" · ","")&amp;IF(AND($S70="Macro",$G70=""),"Peso vacío"&amp;" · ","")&amp;IF(AND($S70="Macro",$G70&lt;&gt;"",OR(NOT(ISNUMBER($G70)),$G70&lt;=0,$G70&gt;1)),"Peso fuera de rango"&amp;" · ","")&amp;IF(AND($S70="Sub",$G70&lt;&gt;""),"Las subactividades no llevan peso"&amp;" · ","")&amp;IF(AND($S70="Macro",ABS(SUMIFS($G$5:$G$1000,$P$5:$P$1000,$P70,$S$5:$S$1000,"Macro")-1)&gt;0.0001),"Pesos del mes suman "&amp;TEXT(SUMIFS($G$5:$G$1000,$P$5:$P$1000,$P70,$S$5:$S$1000,"Macro"),"0%")&amp;" · ","")&amp;IF(AND(N($T70)&gt;0,COUNT($H70:$K70)&gt;0),"Con subactividades: deje vacías las semanas (se calculan solas)"&amp;" · ","")&amp;IF((COUNTIF($H70:$K70,"&gt;1")+COUNTIF($H70:$K70,"&lt;0")+COUNTA($H70:$K70)-COUNT($H70:$K70))&gt;0,"Avance fuera de rango 0-100%"&amp;" · ","")&amp;IF(OR(AND($I70&lt;&gt;"",$I70&lt;$H70),AND($J70&lt;&gt;"",$J70&lt;MAX($H70:$I70)),AND($K70&lt;&gt;"",$K70&lt;MAX($H70:$J70))),"Avance semanal decreciente"&amp;" · ","")&amp;IF(AND(ISNUMBER($F70),$F70&lt;FechaRef,N($L70)&lt;1),"Vencida"&amp;" · ","")&amp;IF(AND(ObsObligatoria="Sí",ISNUMBER($F70),$F70&lt;FechaRef,N($L70)&lt;1,$N70=""),"Vencida sin observación"&amp;" · ",""))="","✔ OK","⚠ "&amp;LEFT(IF(AND($S70="Macro",$B70=""),"Macroactividad vacía"&amp;" · ","")&amp;IF(AND($B70&lt;&gt;"",$C70&lt;&gt;""),"Escriba la subactividad en otra fila, debajo de su macroactividad"&amp;" · ","")&amp;IF(AND($S70="Sub",N($R70)=0),"Subactividad sin macroactividad arriba"&amp;" · ","")&amp;IF($D70="","Sin responsable"&amp;" · ","")&amp;IF($E70="","Sin fecha de inicio"&amp;" · ","")&amp;IF($F70="","Sin fecha límite"&amp;" · ","")&amp;IF(OR(AND($E70&lt;&gt;"",NOT(ISNUMBER($E70))),AND($F70&lt;&gt;"",NOT(ISNUMBER($F70)))),"Fecha no válida"&amp;" · ","")&amp;IF(AND(ISNUMBER($E70),ISNUMBER($F70),$E70&gt;$F70),"Inicio posterior a fecha límite"&amp;" · ","")&amp;IF(AND($S70="Macro",$G70=""),"Peso vacío"&amp;" · ","")&amp;IF(AND($S70="Macro",$G70&lt;&gt;"",OR(NOT(ISNUMBER($G70)),$G70&lt;=0,$G70&gt;1)),"Peso fuera de rango"&amp;" · ","")&amp;IF(AND($S70="Sub",$G70&lt;&gt;""),"Las subactividades no llevan peso"&amp;" · ","")&amp;IF(AND($S70="Macro",ABS(SUMIFS($G$5:$G$1000,$P$5:$P$1000,$P70,$S$5:$S$1000,"Macro")-1)&gt;0.0001),"Pesos del mes suman "&amp;TEXT(SUMIFS($G$5:$G$1000,$P$5:$P$1000,$P70,$S$5:$S$1000,"Macro"),"0%")&amp;" · ","")&amp;IF(AND(N($T70)&gt;0,COUNT($H70:$K70)&gt;0),"Con subactividades: deje vacías las semanas (se calculan solas)"&amp;" · ","")&amp;IF((COUNTIF($H70:$K70,"&gt;1")+COUNTIF($H70:$K70,"&lt;0")+COUNTA($H70:$K70)-COUNT($H70:$K70))&gt;0,"Avance fuera de rango 0-100%"&amp;" · ","")&amp;IF(OR(AND($I70&lt;&gt;"",$I70&lt;$H70),AND($J70&lt;&gt;"",$J70&lt;MAX($H70:$I70)),AND($K70&lt;&gt;"",$K70&lt;MAX($H70:$J70))),"Avance semanal decreciente"&amp;" · ","")&amp;IF(AND(ISNUMBER($F70),$F70&lt;FechaRef,N($L70)&lt;1),"Vencida"&amp;" · ","")&amp;IF(AND(ObsObligatoria="Sí",ISNUMBER($F70),$F70&lt;FechaRef,N($L70)&lt;1,$N70=""),"Vencida sin observación"&amp;" · ",""),LEN(IF(AND($S70="Macro",$B70=""),"Macroactividad vacía"&amp;" · ","")&amp;IF(AND($B70&lt;&gt;"",$C70&lt;&gt;""),"Escriba la subactividad en otra fila, debajo de su macroactividad"&amp;" · ","")&amp;IF(AND($S70="Sub",N($R70)=0),"Subactividad sin macroactividad arriba"&amp;" · ","")&amp;IF($D70="","Sin responsable"&amp;" · ","")&amp;IF($E70="","Sin fecha de inicio"&amp;" · ","")&amp;IF($F70="","Sin fecha límite"&amp;" · ","")&amp;IF(OR(AND($E70&lt;&gt;"",NOT(ISNUMBER($E70))),AND($F70&lt;&gt;"",NOT(ISNUMBER($F70)))),"Fecha no válida"&amp;" · ","")&amp;IF(AND(ISNUMBER($E70),ISNUMBER($F70),$E70&gt;$F70),"Inicio posterior a fecha límite"&amp;" · ","")&amp;IF(AND($S70="Macro",$G70=""),"Peso vacío"&amp;" · ","")&amp;IF(AND($S70="Macro",$G70&lt;&gt;"",OR(NOT(ISNUMBER($G70)),$G70&lt;=0,$G70&gt;1)),"Peso fuera de rango"&amp;" · ","")&amp;IF(AND($S70="Sub",$G70&lt;&gt;""),"Las subactividades no llevan peso"&amp;" · ","")&amp;IF(AND($S70="Macro",ABS(SUMIFS($G$5:$G$1000,$P$5:$P$1000,$P70,$S$5:$S$1000,"Macro")-1)&gt;0.0001),"Pesos del mes suman "&amp;TEXT(SUMIFS($G$5:$G$1000,$P$5:$P$1000,$P70,$S$5:$S$1000,"Macro"),"0%")&amp;" · ","")&amp;IF(AND(N($T70)&gt;0,COUNT($H70:$K70)&gt;0),"Con subactividades: deje vacías las semanas (se calculan solas)"&amp;" · ","")&amp;IF((COUNTIF($H70:$K70,"&gt;1")+COUNTIF($H70:$K70,"&lt;0")+COUNTA($H70:$K70)-COUNT($H70:$K70))&gt;0,"Avance fuera de rango 0-100%"&amp;" · ","")&amp;IF(OR(AND($I70&lt;&gt;"",$I70&lt;$H70),AND($J70&lt;&gt;"",$J70&lt;MAX($H70:$I70)),AND($K70&lt;&gt;"",$K70&lt;MAX($H70:$J70))),"Avance semanal decreciente"&amp;" · ","")&amp;IF(AND(ISNUMBER($F70),$F70&lt;FechaRef,N($L70)&lt;1),"Vencida"&amp;" · ","")&amp;IF(AND(ObsObligatoria="Sí",ISNUMBER($F70),$F70&lt;FechaRef,N($L70)&lt;1,$N70=""),"Vencida sin observación"&amp;" · ",""))-3)))</f>
        <v/>
      </c>
      <c r="P70" s="69">
        <f>IF(NOT((COUNTA($B70:$K70)+COUNTA($N70))&gt;0),"",IF(AND($S70="Sub",N($R70)&gt;0),IF(ISNUMBER(INDEX($E$5:$E$1000,$R70-4)),DATE(YEAR(INDEX($E$5:$E$1000,$R70-4)),MONTH(INDEX($E$5:$E$1000,$R70-4)),1),IF(ISNUMBER(INDEX($F$5:$F$1000,$R70-4)),DATE(YEAR(INDEX($F$5:$F$1000,$R70-4)),MONTH(INDEX($F$5:$F$1000,$R70-4)),1),MesCiclo)),IF(ISNUMBER($E70),DATE(YEAR($E70),MONTH($E70),1),IF(ISNUMBER($F70),DATE(YEAR($F70),MONTH($F70),1),MesCiclo))))</f>
        <v/>
      </c>
      <c r="Q70" s="70">
        <f>IF(OR($P70="",$P70&lt;&gt;MesCiclo),"",COUNTIF($P$5:$P70,MesCiclo))</f>
        <v/>
      </c>
      <c r="R70" s="70">
        <f>IF($S70="","",IF($S70="Macro",ROW(),IFERROR(LOOKUP(2,1/($S$5:$S70="Macro"),ROW($S$5:$S70)),0)))</f>
        <v/>
      </c>
      <c r="S70" s="70">
        <f>IF(NOT((COUNTA($B70:$K70)+COUNTA($N70))&gt;0),"",IF($B70&lt;&gt;"","Macro",IF($C70&lt;&gt;"","Sub","Macro")))</f>
        <v/>
      </c>
      <c r="T70" s="70">
        <f>IF($S70="Macro",COUNTIFS($R$5:$R$1000,ROW(),$S$5:$S$1000,"Sub"),"")</f>
        <v/>
      </c>
      <c r="U70" s="70">
        <f>IF($S70="","",IF(ISNUMBER($H70),$H70,0))</f>
        <v/>
      </c>
      <c r="V70" s="70">
        <f>IF($S70="","",IF(ISNUMBER($I70),$I70,$U70))</f>
        <v/>
      </c>
      <c r="W70" s="70">
        <f>IF($S70="","",IF(ISNUMBER($J70),$J70,$V70))</f>
        <v/>
      </c>
      <c r="X70" s="70">
        <f>IF($S70="","",IF(ISNUMBER($K70),$K70,$W70))</f>
        <v/>
      </c>
      <c r="Y70" s="70">
        <f>IF($S70="","",IF(N($T70)&gt;0,AVERAGEIFS($U$5:$U$1000,$R$5:$R$1000,ROW(),$S$5:$S$1000,"Sub"),$U70))</f>
        <v/>
      </c>
      <c r="Z70" s="70">
        <f>IF($S70="","",IF(N($T70)&gt;0,AVERAGEIFS($V$5:$V$1000,$R$5:$R$1000,ROW(),$S$5:$S$1000,"Sub"),$V70))</f>
        <v/>
      </c>
      <c r="AA70" s="70">
        <f>IF($S70="","",IF(N($T70)&gt;0,AVERAGEIFS($W$5:$W$1000,$R$5:$R$1000,ROW(),$S$5:$S$1000,"Sub"),$W70))</f>
        <v/>
      </c>
      <c r="AB70" s="70">
        <f>IF($S70="","",IF(N($T70)&gt;0,AVERAGEIFS($X$5:$X$1000,$R$5:$R$1000,ROW(),$S$5:$S$1000,"Sub"),$X70))</f>
        <v/>
      </c>
    </row>
    <row r="71">
      <c r="A71" s="61">
        <f>IF(NOT((COUNTA($B71:$K71)+COUNTA($N71))&gt;0),"",IF($S71="Macro",COUNTIFS($S$5:$S71,"Macro",$P$5:$P71,$P71),IF(N($R71)=0,"?",COUNTIFS(INDEX($S$5:$S$1000,1):INDEX($S$5:$S$1000,$R71-4),"Macro",INDEX($P$5:$P$1000,1):INDEX($P$5:$P$1000,$R71-4),INDEX($P$5:$P$1000,$R71-4))&amp;"."&amp;COUNTIFS($R$5:$R71,$R71,$S$5:$S71,"Sub"))))</f>
        <v/>
      </c>
      <c r="B71" s="62" t="n"/>
      <c r="C71" s="63" t="n"/>
      <c r="D71" s="62" t="n"/>
      <c r="E71" s="64" t="n"/>
      <c r="F71" s="64" t="n"/>
      <c r="G71" s="65" t="n"/>
      <c r="H71" s="66" t="n"/>
      <c r="I71" s="66" t="n"/>
      <c r="J71" s="66" t="n"/>
      <c r="K71" s="66" t="n"/>
      <c r="L71" s="67">
        <f>IF(NOT((COUNTA($B71:$K71)+COUNTA($N71))&gt;0),"",IF(N($T71)&gt;0,$AB71,IFERROR(LOOKUP(2,1/(H71:K71&lt;&gt;""),H71:K71),0)))</f>
        <v/>
      </c>
      <c r="M71" s="61">
        <f>IF(L71="","",IF(L71&gt;=1,"Completado",IF(L71&gt;0,"En curso","Pendiente")))</f>
        <v/>
      </c>
      <c r="N71" s="62" t="n"/>
      <c r="O71" s="68">
        <f>IF(NOT((COUNTA($B71:$K71)+COUNTA($N71))&gt;0),"",IF((IF(AND($S71="Macro",$B71=""),"Macroactividad vacía"&amp;" · ","")&amp;IF(AND($B71&lt;&gt;"",$C71&lt;&gt;""),"Escriba la subactividad en otra fila, debajo de su macroactividad"&amp;" · ","")&amp;IF(AND($S71="Sub",N($R71)=0),"Subactividad sin macroactividad arriba"&amp;" · ","")&amp;IF($D71="","Sin responsable"&amp;" · ","")&amp;IF($E71="","Sin fecha de inicio"&amp;" · ","")&amp;IF($F71="","Sin fecha límite"&amp;" · ","")&amp;IF(OR(AND($E71&lt;&gt;"",NOT(ISNUMBER($E71))),AND($F71&lt;&gt;"",NOT(ISNUMBER($F71)))),"Fecha no válida"&amp;" · ","")&amp;IF(AND(ISNUMBER($E71),ISNUMBER($F71),$E71&gt;$F71),"Inicio posterior a fecha límite"&amp;" · ","")&amp;IF(AND($S71="Macro",$G71=""),"Peso vacío"&amp;" · ","")&amp;IF(AND($S71="Macro",$G71&lt;&gt;"",OR(NOT(ISNUMBER($G71)),$G71&lt;=0,$G71&gt;1)),"Peso fuera de rango"&amp;" · ","")&amp;IF(AND($S71="Sub",$G71&lt;&gt;""),"Las subactividades no llevan peso"&amp;" · ","")&amp;IF(AND($S71="Macro",ABS(SUMIFS($G$5:$G$1000,$P$5:$P$1000,$P71,$S$5:$S$1000,"Macro")-1)&gt;0.0001),"Pesos del mes suman "&amp;TEXT(SUMIFS($G$5:$G$1000,$P$5:$P$1000,$P71,$S$5:$S$1000,"Macro"),"0%")&amp;" · ","")&amp;IF(AND(N($T71)&gt;0,COUNT($H71:$K71)&gt;0),"Con subactividades: deje vacías las semanas (se calculan solas)"&amp;" · ","")&amp;IF((COUNTIF($H71:$K71,"&gt;1")+COUNTIF($H71:$K71,"&lt;0")+COUNTA($H71:$K71)-COUNT($H71:$K71))&gt;0,"Avance fuera de rango 0-100%"&amp;" · ","")&amp;IF(OR(AND($I71&lt;&gt;"",$I71&lt;$H71),AND($J71&lt;&gt;"",$J71&lt;MAX($H71:$I71)),AND($K71&lt;&gt;"",$K71&lt;MAX($H71:$J71))),"Avance semanal decreciente"&amp;" · ","")&amp;IF(AND(ISNUMBER($F71),$F71&lt;FechaRef,N($L71)&lt;1),"Vencida"&amp;" · ","")&amp;IF(AND(ObsObligatoria="Sí",ISNUMBER($F71),$F71&lt;FechaRef,N($L71)&lt;1,$N71=""),"Vencida sin observación"&amp;" · ",""))="","✔ OK","⚠ "&amp;LEFT(IF(AND($S71="Macro",$B71=""),"Macroactividad vacía"&amp;" · ","")&amp;IF(AND($B71&lt;&gt;"",$C71&lt;&gt;""),"Escriba la subactividad en otra fila, debajo de su macroactividad"&amp;" · ","")&amp;IF(AND($S71="Sub",N($R71)=0),"Subactividad sin macroactividad arriba"&amp;" · ","")&amp;IF($D71="","Sin responsable"&amp;" · ","")&amp;IF($E71="","Sin fecha de inicio"&amp;" · ","")&amp;IF($F71="","Sin fecha límite"&amp;" · ","")&amp;IF(OR(AND($E71&lt;&gt;"",NOT(ISNUMBER($E71))),AND($F71&lt;&gt;"",NOT(ISNUMBER($F71)))),"Fecha no válida"&amp;" · ","")&amp;IF(AND(ISNUMBER($E71),ISNUMBER($F71),$E71&gt;$F71),"Inicio posterior a fecha límite"&amp;" · ","")&amp;IF(AND($S71="Macro",$G71=""),"Peso vacío"&amp;" · ","")&amp;IF(AND($S71="Macro",$G71&lt;&gt;"",OR(NOT(ISNUMBER($G71)),$G71&lt;=0,$G71&gt;1)),"Peso fuera de rango"&amp;" · ","")&amp;IF(AND($S71="Sub",$G71&lt;&gt;""),"Las subactividades no llevan peso"&amp;" · ","")&amp;IF(AND($S71="Macro",ABS(SUMIFS($G$5:$G$1000,$P$5:$P$1000,$P71,$S$5:$S$1000,"Macro")-1)&gt;0.0001),"Pesos del mes suman "&amp;TEXT(SUMIFS($G$5:$G$1000,$P$5:$P$1000,$P71,$S$5:$S$1000,"Macro"),"0%")&amp;" · ","")&amp;IF(AND(N($T71)&gt;0,COUNT($H71:$K71)&gt;0),"Con subactividades: deje vacías las semanas (se calculan solas)"&amp;" · ","")&amp;IF((COUNTIF($H71:$K71,"&gt;1")+COUNTIF($H71:$K71,"&lt;0")+COUNTA($H71:$K71)-COUNT($H71:$K71))&gt;0,"Avance fuera de rango 0-100%"&amp;" · ","")&amp;IF(OR(AND($I71&lt;&gt;"",$I71&lt;$H71),AND($J71&lt;&gt;"",$J71&lt;MAX($H71:$I71)),AND($K71&lt;&gt;"",$K71&lt;MAX($H71:$J71))),"Avance semanal decreciente"&amp;" · ","")&amp;IF(AND(ISNUMBER($F71),$F71&lt;FechaRef,N($L71)&lt;1),"Vencida"&amp;" · ","")&amp;IF(AND(ObsObligatoria="Sí",ISNUMBER($F71),$F71&lt;FechaRef,N($L71)&lt;1,$N71=""),"Vencida sin observación"&amp;" · ",""),LEN(IF(AND($S71="Macro",$B71=""),"Macroactividad vacía"&amp;" · ","")&amp;IF(AND($B71&lt;&gt;"",$C71&lt;&gt;""),"Escriba la subactividad en otra fila, debajo de su macroactividad"&amp;" · ","")&amp;IF(AND($S71="Sub",N($R71)=0),"Subactividad sin macroactividad arriba"&amp;" · ","")&amp;IF($D71="","Sin responsable"&amp;" · ","")&amp;IF($E71="","Sin fecha de inicio"&amp;" · ","")&amp;IF($F71="","Sin fecha límite"&amp;" · ","")&amp;IF(OR(AND($E71&lt;&gt;"",NOT(ISNUMBER($E71))),AND($F71&lt;&gt;"",NOT(ISNUMBER($F71)))),"Fecha no válida"&amp;" · ","")&amp;IF(AND(ISNUMBER($E71),ISNUMBER($F71),$E71&gt;$F71),"Inicio posterior a fecha límite"&amp;" · ","")&amp;IF(AND($S71="Macro",$G71=""),"Peso vacío"&amp;" · ","")&amp;IF(AND($S71="Macro",$G71&lt;&gt;"",OR(NOT(ISNUMBER($G71)),$G71&lt;=0,$G71&gt;1)),"Peso fuera de rango"&amp;" · ","")&amp;IF(AND($S71="Sub",$G71&lt;&gt;""),"Las subactividades no llevan peso"&amp;" · ","")&amp;IF(AND($S71="Macro",ABS(SUMIFS($G$5:$G$1000,$P$5:$P$1000,$P71,$S$5:$S$1000,"Macro")-1)&gt;0.0001),"Pesos del mes suman "&amp;TEXT(SUMIFS($G$5:$G$1000,$P$5:$P$1000,$P71,$S$5:$S$1000,"Macro"),"0%")&amp;" · ","")&amp;IF(AND(N($T71)&gt;0,COUNT($H71:$K71)&gt;0),"Con subactividades: deje vacías las semanas (se calculan solas)"&amp;" · ","")&amp;IF((COUNTIF($H71:$K71,"&gt;1")+COUNTIF($H71:$K71,"&lt;0")+COUNTA($H71:$K71)-COUNT($H71:$K71))&gt;0,"Avance fuera de rango 0-100%"&amp;" · ","")&amp;IF(OR(AND($I71&lt;&gt;"",$I71&lt;$H71),AND($J71&lt;&gt;"",$J71&lt;MAX($H71:$I71)),AND($K71&lt;&gt;"",$K71&lt;MAX($H71:$J71))),"Avance semanal decreciente"&amp;" · ","")&amp;IF(AND(ISNUMBER($F71),$F71&lt;FechaRef,N($L71)&lt;1),"Vencida"&amp;" · ","")&amp;IF(AND(ObsObligatoria="Sí",ISNUMBER($F71),$F71&lt;FechaRef,N($L71)&lt;1,$N71=""),"Vencida sin observación"&amp;" · ",""))-3)))</f>
        <v/>
      </c>
      <c r="P71" s="69">
        <f>IF(NOT((COUNTA($B71:$K71)+COUNTA($N71))&gt;0),"",IF(AND($S71="Sub",N($R71)&gt;0),IF(ISNUMBER(INDEX($E$5:$E$1000,$R71-4)),DATE(YEAR(INDEX($E$5:$E$1000,$R71-4)),MONTH(INDEX($E$5:$E$1000,$R71-4)),1),IF(ISNUMBER(INDEX($F$5:$F$1000,$R71-4)),DATE(YEAR(INDEX($F$5:$F$1000,$R71-4)),MONTH(INDEX($F$5:$F$1000,$R71-4)),1),MesCiclo)),IF(ISNUMBER($E71),DATE(YEAR($E71),MONTH($E71),1),IF(ISNUMBER($F71),DATE(YEAR($F71),MONTH($F71),1),MesCiclo))))</f>
        <v/>
      </c>
      <c r="Q71" s="70">
        <f>IF(OR($P71="",$P71&lt;&gt;MesCiclo),"",COUNTIF($P$5:$P71,MesCiclo))</f>
        <v/>
      </c>
      <c r="R71" s="70">
        <f>IF($S71="","",IF($S71="Macro",ROW(),IFERROR(LOOKUP(2,1/($S$5:$S71="Macro"),ROW($S$5:$S71)),0)))</f>
        <v/>
      </c>
      <c r="S71" s="70">
        <f>IF(NOT((COUNTA($B71:$K71)+COUNTA($N71))&gt;0),"",IF($B71&lt;&gt;"","Macro",IF($C71&lt;&gt;"","Sub","Macro")))</f>
        <v/>
      </c>
      <c r="T71" s="70">
        <f>IF($S71="Macro",COUNTIFS($R$5:$R$1000,ROW(),$S$5:$S$1000,"Sub"),"")</f>
        <v/>
      </c>
      <c r="U71" s="70">
        <f>IF($S71="","",IF(ISNUMBER($H71),$H71,0))</f>
        <v/>
      </c>
      <c r="V71" s="70">
        <f>IF($S71="","",IF(ISNUMBER($I71),$I71,$U71))</f>
        <v/>
      </c>
      <c r="W71" s="70">
        <f>IF($S71="","",IF(ISNUMBER($J71),$J71,$V71))</f>
        <v/>
      </c>
      <c r="X71" s="70">
        <f>IF($S71="","",IF(ISNUMBER($K71),$K71,$W71))</f>
        <v/>
      </c>
      <c r="Y71" s="70">
        <f>IF($S71="","",IF(N($T71)&gt;0,AVERAGEIFS($U$5:$U$1000,$R$5:$R$1000,ROW(),$S$5:$S$1000,"Sub"),$U71))</f>
        <v/>
      </c>
      <c r="Z71" s="70">
        <f>IF($S71="","",IF(N($T71)&gt;0,AVERAGEIFS($V$5:$V$1000,$R$5:$R$1000,ROW(),$S$5:$S$1000,"Sub"),$V71))</f>
        <v/>
      </c>
      <c r="AA71" s="70">
        <f>IF($S71="","",IF(N($T71)&gt;0,AVERAGEIFS($W$5:$W$1000,$R$5:$R$1000,ROW(),$S$5:$S$1000,"Sub"),$W71))</f>
        <v/>
      </c>
      <c r="AB71" s="70">
        <f>IF($S71="","",IF(N($T71)&gt;0,AVERAGEIFS($X$5:$X$1000,$R$5:$R$1000,ROW(),$S$5:$S$1000,"Sub"),$X71))</f>
        <v/>
      </c>
    </row>
    <row r="72">
      <c r="A72" s="61">
        <f>IF(NOT((COUNTA($B72:$K72)+COUNTA($N72))&gt;0),"",IF($S72="Macro",COUNTIFS($S$5:$S72,"Macro",$P$5:$P72,$P72),IF(N($R72)=0,"?",COUNTIFS(INDEX($S$5:$S$1000,1):INDEX($S$5:$S$1000,$R72-4),"Macro",INDEX($P$5:$P$1000,1):INDEX($P$5:$P$1000,$R72-4),INDEX($P$5:$P$1000,$R72-4))&amp;"."&amp;COUNTIFS($R$5:$R72,$R72,$S$5:$S72,"Sub"))))</f>
        <v/>
      </c>
      <c r="B72" s="62" t="n"/>
      <c r="C72" s="63" t="n"/>
      <c r="D72" s="62" t="n"/>
      <c r="E72" s="64" t="n"/>
      <c r="F72" s="64" t="n"/>
      <c r="G72" s="65" t="n"/>
      <c r="H72" s="66" t="n"/>
      <c r="I72" s="66" t="n"/>
      <c r="J72" s="66" t="n"/>
      <c r="K72" s="66" t="n"/>
      <c r="L72" s="67">
        <f>IF(NOT((COUNTA($B72:$K72)+COUNTA($N72))&gt;0),"",IF(N($T72)&gt;0,$AB72,IFERROR(LOOKUP(2,1/(H72:K72&lt;&gt;""),H72:K72),0)))</f>
        <v/>
      </c>
      <c r="M72" s="61">
        <f>IF(L72="","",IF(L72&gt;=1,"Completado",IF(L72&gt;0,"En curso","Pendiente")))</f>
        <v/>
      </c>
      <c r="N72" s="62" t="n"/>
      <c r="O72" s="68">
        <f>IF(NOT((COUNTA($B72:$K72)+COUNTA($N72))&gt;0),"",IF((IF(AND($S72="Macro",$B72=""),"Macroactividad vacía"&amp;" · ","")&amp;IF(AND($B72&lt;&gt;"",$C72&lt;&gt;""),"Escriba la subactividad en otra fila, debajo de su macroactividad"&amp;" · ","")&amp;IF(AND($S72="Sub",N($R72)=0),"Subactividad sin macroactividad arriba"&amp;" · ","")&amp;IF($D72="","Sin responsable"&amp;" · ","")&amp;IF($E72="","Sin fecha de inicio"&amp;" · ","")&amp;IF($F72="","Sin fecha límite"&amp;" · ","")&amp;IF(OR(AND($E72&lt;&gt;"",NOT(ISNUMBER($E72))),AND($F72&lt;&gt;"",NOT(ISNUMBER($F72)))),"Fecha no válida"&amp;" · ","")&amp;IF(AND(ISNUMBER($E72),ISNUMBER($F72),$E72&gt;$F72),"Inicio posterior a fecha límite"&amp;" · ","")&amp;IF(AND($S72="Macro",$G72=""),"Peso vacío"&amp;" · ","")&amp;IF(AND($S72="Macro",$G72&lt;&gt;"",OR(NOT(ISNUMBER($G72)),$G72&lt;=0,$G72&gt;1)),"Peso fuera de rango"&amp;" · ","")&amp;IF(AND($S72="Sub",$G72&lt;&gt;""),"Las subactividades no llevan peso"&amp;" · ","")&amp;IF(AND($S72="Macro",ABS(SUMIFS($G$5:$G$1000,$P$5:$P$1000,$P72,$S$5:$S$1000,"Macro")-1)&gt;0.0001),"Pesos del mes suman "&amp;TEXT(SUMIFS($G$5:$G$1000,$P$5:$P$1000,$P72,$S$5:$S$1000,"Macro"),"0%")&amp;" · ","")&amp;IF(AND(N($T72)&gt;0,COUNT($H72:$K72)&gt;0),"Con subactividades: deje vacías las semanas (se calculan solas)"&amp;" · ","")&amp;IF((COUNTIF($H72:$K72,"&gt;1")+COUNTIF($H72:$K72,"&lt;0")+COUNTA($H72:$K72)-COUNT($H72:$K72))&gt;0,"Avance fuera de rango 0-100%"&amp;" · ","")&amp;IF(OR(AND($I72&lt;&gt;"",$I72&lt;$H72),AND($J72&lt;&gt;"",$J72&lt;MAX($H72:$I72)),AND($K72&lt;&gt;"",$K72&lt;MAX($H72:$J72))),"Avance semanal decreciente"&amp;" · ","")&amp;IF(AND(ISNUMBER($F72),$F72&lt;FechaRef,N($L72)&lt;1),"Vencida"&amp;" · ","")&amp;IF(AND(ObsObligatoria="Sí",ISNUMBER($F72),$F72&lt;FechaRef,N($L72)&lt;1,$N72=""),"Vencida sin observación"&amp;" · ",""))="","✔ OK","⚠ "&amp;LEFT(IF(AND($S72="Macro",$B72=""),"Macroactividad vacía"&amp;" · ","")&amp;IF(AND($B72&lt;&gt;"",$C72&lt;&gt;""),"Escriba la subactividad en otra fila, debajo de su macroactividad"&amp;" · ","")&amp;IF(AND($S72="Sub",N($R72)=0),"Subactividad sin macroactividad arriba"&amp;" · ","")&amp;IF($D72="","Sin responsable"&amp;" · ","")&amp;IF($E72="","Sin fecha de inicio"&amp;" · ","")&amp;IF($F72="","Sin fecha límite"&amp;" · ","")&amp;IF(OR(AND($E72&lt;&gt;"",NOT(ISNUMBER($E72))),AND($F72&lt;&gt;"",NOT(ISNUMBER($F72)))),"Fecha no válida"&amp;" · ","")&amp;IF(AND(ISNUMBER($E72),ISNUMBER($F72),$E72&gt;$F72),"Inicio posterior a fecha límite"&amp;" · ","")&amp;IF(AND($S72="Macro",$G72=""),"Peso vacío"&amp;" · ","")&amp;IF(AND($S72="Macro",$G72&lt;&gt;"",OR(NOT(ISNUMBER($G72)),$G72&lt;=0,$G72&gt;1)),"Peso fuera de rango"&amp;" · ","")&amp;IF(AND($S72="Sub",$G72&lt;&gt;""),"Las subactividades no llevan peso"&amp;" · ","")&amp;IF(AND($S72="Macro",ABS(SUMIFS($G$5:$G$1000,$P$5:$P$1000,$P72,$S$5:$S$1000,"Macro")-1)&gt;0.0001),"Pesos del mes suman "&amp;TEXT(SUMIFS($G$5:$G$1000,$P$5:$P$1000,$P72,$S$5:$S$1000,"Macro"),"0%")&amp;" · ","")&amp;IF(AND(N($T72)&gt;0,COUNT($H72:$K72)&gt;0),"Con subactividades: deje vacías las semanas (se calculan solas)"&amp;" · ","")&amp;IF((COUNTIF($H72:$K72,"&gt;1")+COUNTIF($H72:$K72,"&lt;0")+COUNTA($H72:$K72)-COUNT($H72:$K72))&gt;0,"Avance fuera de rango 0-100%"&amp;" · ","")&amp;IF(OR(AND($I72&lt;&gt;"",$I72&lt;$H72),AND($J72&lt;&gt;"",$J72&lt;MAX($H72:$I72)),AND($K72&lt;&gt;"",$K72&lt;MAX($H72:$J72))),"Avance semanal decreciente"&amp;" · ","")&amp;IF(AND(ISNUMBER($F72),$F72&lt;FechaRef,N($L72)&lt;1),"Vencida"&amp;" · ","")&amp;IF(AND(ObsObligatoria="Sí",ISNUMBER($F72),$F72&lt;FechaRef,N($L72)&lt;1,$N72=""),"Vencida sin observación"&amp;" · ",""),LEN(IF(AND($S72="Macro",$B72=""),"Macroactividad vacía"&amp;" · ","")&amp;IF(AND($B72&lt;&gt;"",$C72&lt;&gt;""),"Escriba la subactividad en otra fila, debajo de su macroactividad"&amp;" · ","")&amp;IF(AND($S72="Sub",N($R72)=0),"Subactividad sin macroactividad arriba"&amp;" · ","")&amp;IF($D72="","Sin responsable"&amp;" · ","")&amp;IF($E72="","Sin fecha de inicio"&amp;" · ","")&amp;IF($F72="","Sin fecha límite"&amp;" · ","")&amp;IF(OR(AND($E72&lt;&gt;"",NOT(ISNUMBER($E72))),AND($F72&lt;&gt;"",NOT(ISNUMBER($F72)))),"Fecha no válida"&amp;" · ","")&amp;IF(AND(ISNUMBER($E72),ISNUMBER($F72),$E72&gt;$F72),"Inicio posterior a fecha límite"&amp;" · ","")&amp;IF(AND($S72="Macro",$G72=""),"Peso vacío"&amp;" · ","")&amp;IF(AND($S72="Macro",$G72&lt;&gt;"",OR(NOT(ISNUMBER($G72)),$G72&lt;=0,$G72&gt;1)),"Peso fuera de rango"&amp;" · ","")&amp;IF(AND($S72="Sub",$G72&lt;&gt;""),"Las subactividades no llevan peso"&amp;" · ","")&amp;IF(AND($S72="Macro",ABS(SUMIFS($G$5:$G$1000,$P$5:$P$1000,$P72,$S$5:$S$1000,"Macro")-1)&gt;0.0001),"Pesos del mes suman "&amp;TEXT(SUMIFS($G$5:$G$1000,$P$5:$P$1000,$P72,$S$5:$S$1000,"Macro"),"0%")&amp;" · ","")&amp;IF(AND(N($T72)&gt;0,COUNT($H72:$K72)&gt;0),"Con subactividades: deje vacías las semanas (se calculan solas)"&amp;" · ","")&amp;IF((COUNTIF($H72:$K72,"&gt;1")+COUNTIF($H72:$K72,"&lt;0")+COUNTA($H72:$K72)-COUNT($H72:$K72))&gt;0,"Avance fuera de rango 0-100%"&amp;" · ","")&amp;IF(OR(AND($I72&lt;&gt;"",$I72&lt;$H72),AND($J72&lt;&gt;"",$J72&lt;MAX($H72:$I72)),AND($K72&lt;&gt;"",$K72&lt;MAX($H72:$J72))),"Avance semanal decreciente"&amp;" · ","")&amp;IF(AND(ISNUMBER($F72),$F72&lt;FechaRef,N($L72)&lt;1),"Vencida"&amp;" · ","")&amp;IF(AND(ObsObligatoria="Sí",ISNUMBER($F72),$F72&lt;FechaRef,N($L72)&lt;1,$N72=""),"Vencida sin observación"&amp;" · ",""))-3)))</f>
        <v/>
      </c>
      <c r="P72" s="69">
        <f>IF(NOT((COUNTA($B72:$K72)+COUNTA($N72))&gt;0),"",IF(AND($S72="Sub",N($R72)&gt;0),IF(ISNUMBER(INDEX($E$5:$E$1000,$R72-4)),DATE(YEAR(INDEX($E$5:$E$1000,$R72-4)),MONTH(INDEX($E$5:$E$1000,$R72-4)),1),IF(ISNUMBER(INDEX($F$5:$F$1000,$R72-4)),DATE(YEAR(INDEX($F$5:$F$1000,$R72-4)),MONTH(INDEX($F$5:$F$1000,$R72-4)),1),MesCiclo)),IF(ISNUMBER($E72),DATE(YEAR($E72),MONTH($E72),1),IF(ISNUMBER($F72),DATE(YEAR($F72),MONTH($F72),1),MesCiclo))))</f>
        <v/>
      </c>
      <c r="Q72" s="70">
        <f>IF(OR($P72="",$P72&lt;&gt;MesCiclo),"",COUNTIF($P$5:$P72,MesCiclo))</f>
        <v/>
      </c>
      <c r="R72" s="70">
        <f>IF($S72="","",IF($S72="Macro",ROW(),IFERROR(LOOKUP(2,1/($S$5:$S72="Macro"),ROW($S$5:$S72)),0)))</f>
        <v/>
      </c>
      <c r="S72" s="70">
        <f>IF(NOT((COUNTA($B72:$K72)+COUNTA($N72))&gt;0),"",IF($B72&lt;&gt;"","Macro",IF($C72&lt;&gt;"","Sub","Macro")))</f>
        <v/>
      </c>
      <c r="T72" s="70">
        <f>IF($S72="Macro",COUNTIFS($R$5:$R$1000,ROW(),$S$5:$S$1000,"Sub"),"")</f>
        <v/>
      </c>
      <c r="U72" s="70">
        <f>IF($S72="","",IF(ISNUMBER($H72),$H72,0))</f>
        <v/>
      </c>
      <c r="V72" s="70">
        <f>IF($S72="","",IF(ISNUMBER($I72),$I72,$U72))</f>
        <v/>
      </c>
      <c r="W72" s="70">
        <f>IF($S72="","",IF(ISNUMBER($J72),$J72,$V72))</f>
        <v/>
      </c>
      <c r="X72" s="70">
        <f>IF($S72="","",IF(ISNUMBER($K72),$K72,$W72))</f>
        <v/>
      </c>
      <c r="Y72" s="70">
        <f>IF($S72="","",IF(N($T72)&gt;0,AVERAGEIFS($U$5:$U$1000,$R$5:$R$1000,ROW(),$S$5:$S$1000,"Sub"),$U72))</f>
        <v/>
      </c>
      <c r="Z72" s="70">
        <f>IF($S72="","",IF(N($T72)&gt;0,AVERAGEIFS($V$5:$V$1000,$R$5:$R$1000,ROW(),$S$5:$S$1000,"Sub"),$V72))</f>
        <v/>
      </c>
      <c r="AA72" s="70">
        <f>IF($S72="","",IF(N($T72)&gt;0,AVERAGEIFS($W$5:$W$1000,$R$5:$R$1000,ROW(),$S$5:$S$1000,"Sub"),$W72))</f>
        <v/>
      </c>
      <c r="AB72" s="70">
        <f>IF($S72="","",IF(N($T72)&gt;0,AVERAGEIFS($X$5:$X$1000,$R$5:$R$1000,ROW(),$S$5:$S$1000,"Sub"),$X72))</f>
        <v/>
      </c>
    </row>
    <row r="73">
      <c r="A73" s="61">
        <f>IF(NOT((COUNTA($B73:$K73)+COUNTA($N73))&gt;0),"",IF($S73="Macro",COUNTIFS($S$5:$S73,"Macro",$P$5:$P73,$P73),IF(N($R73)=0,"?",COUNTIFS(INDEX($S$5:$S$1000,1):INDEX($S$5:$S$1000,$R73-4),"Macro",INDEX($P$5:$P$1000,1):INDEX($P$5:$P$1000,$R73-4),INDEX($P$5:$P$1000,$R73-4))&amp;"."&amp;COUNTIFS($R$5:$R73,$R73,$S$5:$S73,"Sub"))))</f>
        <v/>
      </c>
      <c r="B73" s="62" t="n"/>
      <c r="C73" s="63" t="n"/>
      <c r="D73" s="62" t="n"/>
      <c r="E73" s="64" t="n"/>
      <c r="F73" s="64" t="n"/>
      <c r="G73" s="65" t="n"/>
      <c r="H73" s="66" t="n"/>
      <c r="I73" s="66" t="n"/>
      <c r="J73" s="66" t="n"/>
      <c r="K73" s="66" t="n"/>
      <c r="L73" s="67">
        <f>IF(NOT((COUNTA($B73:$K73)+COUNTA($N73))&gt;0),"",IF(N($T73)&gt;0,$AB73,IFERROR(LOOKUP(2,1/(H73:K73&lt;&gt;""),H73:K73),0)))</f>
        <v/>
      </c>
      <c r="M73" s="61">
        <f>IF(L73="","",IF(L73&gt;=1,"Completado",IF(L73&gt;0,"En curso","Pendiente")))</f>
        <v/>
      </c>
      <c r="N73" s="62" t="n"/>
      <c r="O73" s="68">
        <f>IF(NOT((COUNTA($B73:$K73)+COUNTA($N73))&gt;0),"",IF((IF(AND($S73="Macro",$B73=""),"Macroactividad vacía"&amp;" · ","")&amp;IF(AND($B73&lt;&gt;"",$C73&lt;&gt;""),"Escriba la subactividad en otra fila, debajo de su macroactividad"&amp;" · ","")&amp;IF(AND($S73="Sub",N($R73)=0),"Subactividad sin macroactividad arriba"&amp;" · ","")&amp;IF($D73="","Sin responsable"&amp;" · ","")&amp;IF($E73="","Sin fecha de inicio"&amp;" · ","")&amp;IF($F73="","Sin fecha límite"&amp;" · ","")&amp;IF(OR(AND($E73&lt;&gt;"",NOT(ISNUMBER($E73))),AND($F73&lt;&gt;"",NOT(ISNUMBER($F73)))),"Fecha no válida"&amp;" · ","")&amp;IF(AND(ISNUMBER($E73),ISNUMBER($F73),$E73&gt;$F73),"Inicio posterior a fecha límite"&amp;" · ","")&amp;IF(AND($S73="Macro",$G73=""),"Peso vacío"&amp;" · ","")&amp;IF(AND($S73="Macro",$G73&lt;&gt;"",OR(NOT(ISNUMBER($G73)),$G73&lt;=0,$G73&gt;1)),"Peso fuera de rango"&amp;" · ","")&amp;IF(AND($S73="Sub",$G73&lt;&gt;""),"Las subactividades no llevan peso"&amp;" · ","")&amp;IF(AND($S73="Macro",ABS(SUMIFS($G$5:$G$1000,$P$5:$P$1000,$P73,$S$5:$S$1000,"Macro")-1)&gt;0.0001),"Pesos del mes suman "&amp;TEXT(SUMIFS($G$5:$G$1000,$P$5:$P$1000,$P73,$S$5:$S$1000,"Macro"),"0%")&amp;" · ","")&amp;IF(AND(N($T73)&gt;0,COUNT($H73:$K73)&gt;0),"Con subactividades: deje vacías las semanas (se calculan solas)"&amp;" · ","")&amp;IF((COUNTIF($H73:$K73,"&gt;1")+COUNTIF($H73:$K73,"&lt;0")+COUNTA($H73:$K73)-COUNT($H73:$K73))&gt;0,"Avance fuera de rango 0-100%"&amp;" · ","")&amp;IF(OR(AND($I73&lt;&gt;"",$I73&lt;$H73),AND($J73&lt;&gt;"",$J73&lt;MAX($H73:$I73)),AND($K73&lt;&gt;"",$K73&lt;MAX($H73:$J73))),"Avance semanal decreciente"&amp;" · ","")&amp;IF(AND(ISNUMBER($F73),$F73&lt;FechaRef,N($L73)&lt;1),"Vencida"&amp;" · ","")&amp;IF(AND(ObsObligatoria="Sí",ISNUMBER($F73),$F73&lt;FechaRef,N($L73)&lt;1,$N73=""),"Vencida sin observación"&amp;" · ",""))="","✔ OK","⚠ "&amp;LEFT(IF(AND($S73="Macro",$B73=""),"Macroactividad vacía"&amp;" · ","")&amp;IF(AND($B73&lt;&gt;"",$C73&lt;&gt;""),"Escriba la subactividad en otra fila, debajo de su macroactividad"&amp;" · ","")&amp;IF(AND($S73="Sub",N($R73)=0),"Subactividad sin macroactividad arriba"&amp;" · ","")&amp;IF($D73="","Sin responsable"&amp;" · ","")&amp;IF($E73="","Sin fecha de inicio"&amp;" · ","")&amp;IF($F73="","Sin fecha límite"&amp;" · ","")&amp;IF(OR(AND($E73&lt;&gt;"",NOT(ISNUMBER($E73))),AND($F73&lt;&gt;"",NOT(ISNUMBER($F73)))),"Fecha no válida"&amp;" · ","")&amp;IF(AND(ISNUMBER($E73),ISNUMBER($F73),$E73&gt;$F73),"Inicio posterior a fecha límite"&amp;" · ","")&amp;IF(AND($S73="Macro",$G73=""),"Peso vacío"&amp;" · ","")&amp;IF(AND($S73="Macro",$G73&lt;&gt;"",OR(NOT(ISNUMBER($G73)),$G73&lt;=0,$G73&gt;1)),"Peso fuera de rango"&amp;" · ","")&amp;IF(AND($S73="Sub",$G73&lt;&gt;""),"Las subactividades no llevan peso"&amp;" · ","")&amp;IF(AND($S73="Macro",ABS(SUMIFS($G$5:$G$1000,$P$5:$P$1000,$P73,$S$5:$S$1000,"Macro")-1)&gt;0.0001),"Pesos del mes suman "&amp;TEXT(SUMIFS($G$5:$G$1000,$P$5:$P$1000,$P73,$S$5:$S$1000,"Macro"),"0%")&amp;" · ","")&amp;IF(AND(N($T73)&gt;0,COUNT($H73:$K73)&gt;0),"Con subactividades: deje vacías las semanas (se calculan solas)"&amp;" · ","")&amp;IF((COUNTIF($H73:$K73,"&gt;1")+COUNTIF($H73:$K73,"&lt;0")+COUNTA($H73:$K73)-COUNT($H73:$K73))&gt;0,"Avance fuera de rango 0-100%"&amp;" · ","")&amp;IF(OR(AND($I73&lt;&gt;"",$I73&lt;$H73),AND($J73&lt;&gt;"",$J73&lt;MAX($H73:$I73)),AND($K73&lt;&gt;"",$K73&lt;MAX($H73:$J73))),"Avance semanal decreciente"&amp;" · ","")&amp;IF(AND(ISNUMBER($F73),$F73&lt;FechaRef,N($L73)&lt;1),"Vencida"&amp;" · ","")&amp;IF(AND(ObsObligatoria="Sí",ISNUMBER($F73),$F73&lt;FechaRef,N($L73)&lt;1,$N73=""),"Vencida sin observación"&amp;" · ",""),LEN(IF(AND($S73="Macro",$B73=""),"Macroactividad vacía"&amp;" · ","")&amp;IF(AND($B73&lt;&gt;"",$C73&lt;&gt;""),"Escriba la subactividad en otra fila, debajo de su macroactividad"&amp;" · ","")&amp;IF(AND($S73="Sub",N($R73)=0),"Subactividad sin macroactividad arriba"&amp;" · ","")&amp;IF($D73="","Sin responsable"&amp;" · ","")&amp;IF($E73="","Sin fecha de inicio"&amp;" · ","")&amp;IF($F73="","Sin fecha límite"&amp;" · ","")&amp;IF(OR(AND($E73&lt;&gt;"",NOT(ISNUMBER($E73))),AND($F73&lt;&gt;"",NOT(ISNUMBER($F73)))),"Fecha no válida"&amp;" · ","")&amp;IF(AND(ISNUMBER($E73),ISNUMBER($F73),$E73&gt;$F73),"Inicio posterior a fecha límite"&amp;" · ","")&amp;IF(AND($S73="Macro",$G73=""),"Peso vacío"&amp;" · ","")&amp;IF(AND($S73="Macro",$G73&lt;&gt;"",OR(NOT(ISNUMBER($G73)),$G73&lt;=0,$G73&gt;1)),"Peso fuera de rango"&amp;" · ","")&amp;IF(AND($S73="Sub",$G73&lt;&gt;""),"Las subactividades no llevan peso"&amp;" · ","")&amp;IF(AND($S73="Macro",ABS(SUMIFS($G$5:$G$1000,$P$5:$P$1000,$P73,$S$5:$S$1000,"Macro")-1)&gt;0.0001),"Pesos del mes suman "&amp;TEXT(SUMIFS($G$5:$G$1000,$P$5:$P$1000,$P73,$S$5:$S$1000,"Macro"),"0%")&amp;" · ","")&amp;IF(AND(N($T73)&gt;0,COUNT($H73:$K73)&gt;0),"Con subactividades: deje vacías las semanas (se calculan solas)"&amp;" · ","")&amp;IF((COUNTIF($H73:$K73,"&gt;1")+COUNTIF($H73:$K73,"&lt;0")+COUNTA($H73:$K73)-COUNT($H73:$K73))&gt;0,"Avance fuera de rango 0-100%"&amp;" · ","")&amp;IF(OR(AND($I73&lt;&gt;"",$I73&lt;$H73),AND($J73&lt;&gt;"",$J73&lt;MAX($H73:$I73)),AND($K73&lt;&gt;"",$K73&lt;MAX($H73:$J73))),"Avance semanal decreciente"&amp;" · ","")&amp;IF(AND(ISNUMBER($F73),$F73&lt;FechaRef,N($L73)&lt;1),"Vencida"&amp;" · ","")&amp;IF(AND(ObsObligatoria="Sí",ISNUMBER($F73),$F73&lt;FechaRef,N($L73)&lt;1,$N73=""),"Vencida sin observación"&amp;" · ",""))-3)))</f>
        <v/>
      </c>
      <c r="P73" s="69">
        <f>IF(NOT((COUNTA($B73:$K73)+COUNTA($N73))&gt;0),"",IF(AND($S73="Sub",N($R73)&gt;0),IF(ISNUMBER(INDEX($E$5:$E$1000,$R73-4)),DATE(YEAR(INDEX($E$5:$E$1000,$R73-4)),MONTH(INDEX($E$5:$E$1000,$R73-4)),1),IF(ISNUMBER(INDEX($F$5:$F$1000,$R73-4)),DATE(YEAR(INDEX($F$5:$F$1000,$R73-4)),MONTH(INDEX($F$5:$F$1000,$R73-4)),1),MesCiclo)),IF(ISNUMBER($E73),DATE(YEAR($E73),MONTH($E73),1),IF(ISNUMBER($F73),DATE(YEAR($F73),MONTH($F73),1),MesCiclo))))</f>
        <v/>
      </c>
      <c r="Q73" s="70">
        <f>IF(OR($P73="",$P73&lt;&gt;MesCiclo),"",COUNTIF($P$5:$P73,MesCiclo))</f>
        <v/>
      </c>
      <c r="R73" s="70">
        <f>IF($S73="","",IF($S73="Macro",ROW(),IFERROR(LOOKUP(2,1/($S$5:$S73="Macro"),ROW($S$5:$S73)),0)))</f>
        <v/>
      </c>
      <c r="S73" s="70">
        <f>IF(NOT((COUNTA($B73:$K73)+COUNTA($N73))&gt;0),"",IF($B73&lt;&gt;"","Macro",IF($C73&lt;&gt;"","Sub","Macro")))</f>
        <v/>
      </c>
      <c r="T73" s="70">
        <f>IF($S73="Macro",COUNTIFS($R$5:$R$1000,ROW(),$S$5:$S$1000,"Sub"),"")</f>
        <v/>
      </c>
      <c r="U73" s="70">
        <f>IF($S73="","",IF(ISNUMBER($H73),$H73,0))</f>
        <v/>
      </c>
      <c r="V73" s="70">
        <f>IF($S73="","",IF(ISNUMBER($I73),$I73,$U73))</f>
        <v/>
      </c>
      <c r="W73" s="70">
        <f>IF($S73="","",IF(ISNUMBER($J73),$J73,$V73))</f>
        <v/>
      </c>
      <c r="X73" s="70">
        <f>IF($S73="","",IF(ISNUMBER($K73),$K73,$W73))</f>
        <v/>
      </c>
      <c r="Y73" s="70">
        <f>IF($S73="","",IF(N($T73)&gt;0,AVERAGEIFS($U$5:$U$1000,$R$5:$R$1000,ROW(),$S$5:$S$1000,"Sub"),$U73))</f>
        <v/>
      </c>
      <c r="Z73" s="70">
        <f>IF($S73="","",IF(N($T73)&gt;0,AVERAGEIFS($V$5:$V$1000,$R$5:$R$1000,ROW(),$S$5:$S$1000,"Sub"),$V73))</f>
        <v/>
      </c>
      <c r="AA73" s="70">
        <f>IF($S73="","",IF(N($T73)&gt;0,AVERAGEIFS($W$5:$W$1000,$R$5:$R$1000,ROW(),$S$5:$S$1000,"Sub"),$W73))</f>
        <v/>
      </c>
      <c r="AB73" s="70">
        <f>IF($S73="","",IF(N($T73)&gt;0,AVERAGEIFS($X$5:$X$1000,$R$5:$R$1000,ROW(),$S$5:$S$1000,"Sub"),$X73))</f>
        <v/>
      </c>
    </row>
    <row r="74">
      <c r="A74" s="61">
        <f>IF(NOT((COUNTA($B74:$K74)+COUNTA($N74))&gt;0),"",IF($S74="Macro",COUNTIFS($S$5:$S74,"Macro",$P$5:$P74,$P74),IF(N($R74)=0,"?",COUNTIFS(INDEX($S$5:$S$1000,1):INDEX($S$5:$S$1000,$R74-4),"Macro",INDEX($P$5:$P$1000,1):INDEX($P$5:$P$1000,$R74-4),INDEX($P$5:$P$1000,$R74-4))&amp;"."&amp;COUNTIFS($R$5:$R74,$R74,$S$5:$S74,"Sub"))))</f>
        <v/>
      </c>
      <c r="B74" s="62" t="n"/>
      <c r="C74" s="63" t="n"/>
      <c r="D74" s="62" t="n"/>
      <c r="E74" s="64" t="n"/>
      <c r="F74" s="64" t="n"/>
      <c r="G74" s="65" t="n"/>
      <c r="H74" s="66" t="n"/>
      <c r="I74" s="66" t="n"/>
      <c r="J74" s="66" t="n"/>
      <c r="K74" s="66" t="n"/>
      <c r="L74" s="67">
        <f>IF(NOT((COUNTA($B74:$K74)+COUNTA($N74))&gt;0),"",IF(N($T74)&gt;0,$AB74,IFERROR(LOOKUP(2,1/(H74:K74&lt;&gt;""),H74:K74),0)))</f>
        <v/>
      </c>
      <c r="M74" s="61">
        <f>IF(L74="","",IF(L74&gt;=1,"Completado",IF(L74&gt;0,"En curso","Pendiente")))</f>
        <v/>
      </c>
      <c r="N74" s="62" t="n"/>
      <c r="O74" s="68">
        <f>IF(NOT((COUNTA($B74:$K74)+COUNTA($N74))&gt;0),"",IF((IF(AND($S74="Macro",$B74=""),"Macroactividad vacía"&amp;" · ","")&amp;IF(AND($B74&lt;&gt;"",$C74&lt;&gt;""),"Escriba la subactividad en otra fila, debajo de su macroactividad"&amp;" · ","")&amp;IF(AND($S74="Sub",N($R74)=0),"Subactividad sin macroactividad arriba"&amp;" · ","")&amp;IF($D74="","Sin responsable"&amp;" · ","")&amp;IF($E74="","Sin fecha de inicio"&amp;" · ","")&amp;IF($F74="","Sin fecha límite"&amp;" · ","")&amp;IF(OR(AND($E74&lt;&gt;"",NOT(ISNUMBER($E74))),AND($F74&lt;&gt;"",NOT(ISNUMBER($F74)))),"Fecha no válida"&amp;" · ","")&amp;IF(AND(ISNUMBER($E74),ISNUMBER($F74),$E74&gt;$F74),"Inicio posterior a fecha límite"&amp;" · ","")&amp;IF(AND($S74="Macro",$G74=""),"Peso vacío"&amp;" · ","")&amp;IF(AND($S74="Macro",$G74&lt;&gt;"",OR(NOT(ISNUMBER($G74)),$G74&lt;=0,$G74&gt;1)),"Peso fuera de rango"&amp;" · ","")&amp;IF(AND($S74="Sub",$G74&lt;&gt;""),"Las subactividades no llevan peso"&amp;" · ","")&amp;IF(AND($S74="Macro",ABS(SUMIFS($G$5:$G$1000,$P$5:$P$1000,$P74,$S$5:$S$1000,"Macro")-1)&gt;0.0001),"Pesos del mes suman "&amp;TEXT(SUMIFS($G$5:$G$1000,$P$5:$P$1000,$P74,$S$5:$S$1000,"Macro"),"0%")&amp;" · ","")&amp;IF(AND(N($T74)&gt;0,COUNT($H74:$K74)&gt;0),"Con subactividades: deje vacías las semanas (se calculan solas)"&amp;" · ","")&amp;IF((COUNTIF($H74:$K74,"&gt;1")+COUNTIF($H74:$K74,"&lt;0")+COUNTA($H74:$K74)-COUNT($H74:$K74))&gt;0,"Avance fuera de rango 0-100%"&amp;" · ","")&amp;IF(OR(AND($I74&lt;&gt;"",$I74&lt;$H74),AND($J74&lt;&gt;"",$J74&lt;MAX($H74:$I74)),AND($K74&lt;&gt;"",$K74&lt;MAX($H74:$J74))),"Avance semanal decreciente"&amp;" · ","")&amp;IF(AND(ISNUMBER($F74),$F74&lt;FechaRef,N($L74)&lt;1),"Vencida"&amp;" · ","")&amp;IF(AND(ObsObligatoria="Sí",ISNUMBER($F74),$F74&lt;FechaRef,N($L74)&lt;1,$N74=""),"Vencida sin observación"&amp;" · ",""))="","✔ OK","⚠ "&amp;LEFT(IF(AND($S74="Macro",$B74=""),"Macroactividad vacía"&amp;" · ","")&amp;IF(AND($B74&lt;&gt;"",$C74&lt;&gt;""),"Escriba la subactividad en otra fila, debajo de su macroactividad"&amp;" · ","")&amp;IF(AND($S74="Sub",N($R74)=0),"Subactividad sin macroactividad arriba"&amp;" · ","")&amp;IF($D74="","Sin responsable"&amp;" · ","")&amp;IF($E74="","Sin fecha de inicio"&amp;" · ","")&amp;IF($F74="","Sin fecha límite"&amp;" · ","")&amp;IF(OR(AND($E74&lt;&gt;"",NOT(ISNUMBER($E74))),AND($F74&lt;&gt;"",NOT(ISNUMBER($F74)))),"Fecha no válida"&amp;" · ","")&amp;IF(AND(ISNUMBER($E74),ISNUMBER($F74),$E74&gt;$F74),"Inicio posterior a fecha límite"&amp;" · ","")&amp;IF(AND($S74="Macro",$G74=""),"Peso vacío"&amp;" · ","")&amp;IF(AND($S74="Macro",$G74&lt;&gt;"",OR(NOT(ISNUMBER($G74)),$G74&lt;=0,$G74&gt;1)),"Peso fuera de rango"&amp;" · ","")&amp;IF(AND($S74="Sub",$G74&lt;&gt;""),"Las subactividades no llevan peso"&amp;" · ","")&amp;IF(AND($S74="Macro",ABS(SUMIFS($G$5:$G$1000,$P$5:$P$1000,$P74,$S$5:$S$1000,"Macro")-1)&gt;0.0001),"Pesos del mes suman "&amp;TEXT(SUMIFS($G$5:$G$1000,$P$5:$P$1000,$P74,$S$5:$S$1000,"Macro"),"0%")&amp;" · ","")&amp;IF(AND(N($T74)&gt;0,COUNT($H74:$K74)&gt;0),"Con subactividades: deje vacías las semanas (se calculan solas)"&amp;" · ","")&amp;IF((COUNTIF($H74:$K74,"&gt;1")+COUNTIF($H74:$K74,"&lt;0")+COUNTA($H74:$K74)-COUNT($H74:$K74))&gt;0,"Avance fuera de rango 0-100%"&amp;" · ","")&amp;IF(OR(AND($I74&lt;&gt;"",$I74&lt;$H74),AND($J74&lt;&gt;"",$J74&lt;MAX($H74:$I74)),AND($K74&lt;&gt;"",$K74&lt;MAX($H74:$J74))),"Avance semanal decreciente"&amp;" · ","")&amp;IF(AND(ISNUMBER($F74),$F74&lt;FechaRef,N($L74)&lt;1),"Vencida"&amp;" · ","")&amp;IF(AND(ObsObligatoria="Sí",ISNUMBER($F74),$F74&lt;FechaRef,N($L74)&lt;1,$N74=""),"Vencida sin observación"&amp;" · ",""),LEN(IF(AND($S74="Macro",$B74=""),"Macroactividad vacía"&amp;" · ","")&amp;IF(AND($B74&lt;&gt;"",$C74&lt;&gt;""),"Escriba la subactividad en otra fila, debajo de su macroactividad"&amp;" · ","")&amp;IF(AND($S74="Sub",N($R74)=0),"Subactividad sin macroactividad arriba"&amp;" · ","")&amp;IF($D74="","Sin responsable"&amp;" · ","")&amp;IF($E74="","Sin fecha de inicio"&amp;" · ","")&amp;IF($F74="","Sin fecha límite"&amp;" · ","")&amp;IF(OR(AND($E74&lt;&gt;"",NOT(ISNUMBER($E74))),AND($F74&lt;&gt;"",NOT(ISNUMBER($F74)))),"Fecha no válida"&amp;" · ","")&amp;IF(AND(ISNUMBER($E74),ISNUMBER($F74),$E74&gt;$F74),"Inicio posterior a fecha límite"&amp;" · ","")&amp;IF(AND($S74="Macro",$G74=""),"Peso vacío"&amp;" · ","")&amp;IF(AND($S74="Macro",$G74&lt;&gt;"",OR(NOT(ISNUMBER($G74)),$G74&lt;=0,$G74&gt;1)),"Peso fuera de rango"&amp;" · ","")&amp;IF(AND($S74="Sub",$G74&lt;&gt;""),"Las subactividades no llevan peso"&amp;" · ","")&amp;IF(AND($S74="Macro",ABS(SUMIFS($G$5:$G$1000,$P$5:$P$1000,$P74,$S$5:$S$1000,"Macro")-1)&gt;0.0001),"Pesos del mes suman "&amp;TEXT(SUMIFS($G$5:$G$1000,$P$5:$P$1000,$P74,$S$5:$S$1000,"Macro"),"0%")&amp;" · ","")&amp;IF(AND(N($T74)&gt;0,COUNT($H74:$K74)&gt;0),"Con subactividades: deje vacías las semanas (se calculan solas)"&amp;" · ","")&amp;IF((COUNTIF($H74:$K74,"&gt;1")+COUNTIF($H74:$K74,"&lt;0")+COUNTA($H74:$K74)-COUNT($H74:$K74))&gt;0,"Avance fuera de rango 0-100%"&amp;" · ","")&amp;IF(OR(AND($I74&lt;&gt;"",$I74&lt;$H74),AND($J74&lt;&gt;"",$J74&lt;MAX($H74:$I74)),AND($K74&lt;&gt;"",$K74&lt;MAX($H74:$J74))),"Avance semanal decreciente"&amp;" · ","")&amp;IF(AND(ISNUMBER($F74),$F74&lt;FechaRef,N($L74)&lt;1),"Vencida"&amp;" · ","")&amp;IF(AND(ObsObligatoria="Sí",ISNUMBER($F74),$F74&lt;FechaRef,N($L74)&lt;1,$N74=""),"Vencida sin observación"&amp;" · ",""))-3)))</f>
        <v/>
      </c>
      <c r="P74" s="69">
        <f>IF(NOT((COUNTA($B74:$K74)+COUNTA($N74))&gt;0),"",IF(AND($S74="Sub",N($R74)&gt;0),IF(ISNUMBER(INDEX($E$5:$E$1000,$R74-4)),DATE(YEAR(INDEX($E$5:$E$1000,$R74-4)),MONTH(INDEX($E$5:$E$1000,$R74-4)),1),IF(ISNUMBER(INDEX($F$5:$F$1000,$R74-4)),DATE(YEAR(INDEX($F$5:$F$1000,$R74-4)),MONTH(INDEX($F$5:$F$1000,$R74-4)),1),MesCiclo)),IF(ISNUMBER($E74),DATE(YEAR($E74),MONTH($E74),1),IF(ISNUMBER($F74),DATE(YEAR($F74),MONTH($F74),1),MesCiclo))))</f>
        <v/>
      </c>
      <c r="Q74" s="70">
        <f>IF(OR($P74="",$P74&lt;&gt;MesCiclo),"",COUNTIF($P$5:$P74,MesCiclo))</f>
        <v/>
      </c>
      <c r="R74" s="70">
        <f>IF($S74="","",IF($S74="Macro",ROW(),IFERROR(LOOKUP(2,1/($S$5:$S74="Macro"),ROW($S$5:$S74)),0)))</f>
        <v/>
      </c>
      <c r="S74" s="70">
        <f>IF(NOT((COUNTA($B74:$K74)+COUNTA($N74))&gt;0),"",IF($B74&lt;&gt;"","Macro",IF($C74&lt;&gt;"","Sub","Macro")))</f>
        <v/>
      </c>
      <c r="T74" s="70">
        <f>IF($S74="Macro",COUNTIFS($R$5:$R$1000,ROW(),$S$5:$S$1000,"Sub"),"")</f>
        <v/>
      </c>
      <c r="U74" s="70">
        <f>IF($S74="","",IF(ISNUMBER($H74),$H74,0))</f>
        <v/>
      </c>
      <c r="V74" s="70">
        <f>IF($S74="","",IF(ISNUMBER($I74),$I74,$U74))</f>
        <v/>
      </c>
      <c r="W74" s="70">
        <f>IF($S74="","",IF(ISNUMBER($J74),$J74,$V74))</f>
        <v/>
      </c>
      <c r="X74" s="70">
        <f>IF($S74="","",IF(ISNUMBER($K74),$K74,$W74))</f>
        <v/>
      </c>
      <c r="Y74" s="70">
        <f>IF($S74="","",IF(N($T74)&gt;0,AVERAGEIFS($U$5:$U$1000,$R$5:$R$1000,ROW(),$S$5:$S$1000,"Sub"),$U74))</f>
        <v/>
      </c>
      <c r="Z74" s="70">
        <f>IF($S74="","",IF(N($T74)&gt;0,AVERAGEIFS($V$5:$V$1000,$R$5:$R$1000,ROW(),$S$5:$S$1000,"Sub"),$V74))</f>
        <v/>
      </c>
      <c r="AA74" s="70">
        <f>IF($S74="","",IF(N($T74)&gt;0,AVERAGEIFS($W$5:$W$1000,$R$5:$R$1000,ROW(),$S$5:$S$1000,"Sub"),$W74))</f>
        <v/>
      </c>
      <c r="AB74" s="70">
        <f>IF($S74="","",IF(N($T74)&gt;0,AVERAGEIFS($X$5:$X$1000,$R$5:$R$1000,ROW(),$S$5:$S$1000,"Sub"),$X74))</f>
        <v/>
      </c>
    </row>
    <row r="75">
      <c r="A75" s="61">
        <f>IF(NOT((COUNTA($B75:$K75)+COUNTA($N75))&gt;0),"",IF($S75="Macro",COUNTIFS($S$5:$S75,"Macro",$P$5:$P75,$P75),IF(N($R75)=0,"?",COUNTIFS(INDEX($S$5:$S$1000,1):INDEX($S$5:$S$1000,$R75-4),"Macro",INDEX($P$5:$P$1000,1):INDEX($P$5:$P$1000,$R75-4),INDEX($P$5:$P$1000,$R75-4))&amp;"."&amp;COUNTIFS($R$5:$R75,$R75,$S$5:$S75,"Sub"))))</f>
        <v/>
      </c>
      <c r="B75" s="62" t="n"/>
      <c r="C75" s="63" t="n"/>
      <c r="D75" s="62" t="n"/>
      <c r="E75" s="64" t="n"/>
      <c r="F75" s="64" t="n"/>
      <c r="G75" s="65" t="n"/>
      <c r="H75" s="66" t="n"/>
      <c r="I75" s="66" t="n"/>
      <c r="J75" s="66" t="n"/>
      <c r="K75" s="66" t="n"/>
      <c r="L75" s="67">
        <f>IF(NOT((COUNTA($B75:$K75)+COUNTA($N75))&gt;0),"",IF(N($T75)&gt;0,$AB75,IFERROR(LOOKUP(2,1/(H75:K75&lt;&gt;""),H75:K75),0)))</f>
        <v/>
      </c>
      <c r="M75" s="61">
        <f>IF(L75="","",IF(L75&gt;=1,"Completado",IF(L75&gt;0,"En curso","Pendiente")))</f>
        <v/>
      </c>
      <c r="N75" s="62" t="n"/>
      <c r="O75" s="68">
        <f>IF(NOT((COUNTA($B75:$K75)+COUNTA($N75))&gt;0),"",IF((IF(AND($S75="Macro",$B75=""),"Macroactividad vacía"&amp;" · ","")&amp;IF(AND($B75&lt;&gt;"",$C75&lt;&gt;""),"Escriba la subactividad en otra fila, debajo de su macroactividad"&amp;" · ","")&amp;IF(AND($S75="Sub",N($R75)=0),"Subactividad sin macroactividad arriba"&amp;" · ","")&amp;IF($D75="","Sin responsable"&amp;" · ","")&amp;IF($E75="","Sin fecha de inicio"&amp;" · ","")&amp;IF($F75="","Sin fecha límite"&amp;" · ","")&amp;IF(OR(AND($E75&lt;&gt;"",NOT(ISNUMBER($E75))),AND($F75&lt;&gt;"",NOT(ISNUMBER($F75)))),"Fecha no válida"&amp;" · ","")&amp;IF(AND(ISNUMBER($E75),ISNUMBER($F75),$E75&gt;$F75),"Inicio posterior a fecha límite"&amp;" · ","")&amp;IF(AND($S75="Macro",$G75=""),"Peso vacío"&amp;" · ","")&amp;IF(AND($S75="Macro",$G75&lt;&gt;"",OR(NOT(ISNUMBER($G75)),$G75&lt;=0,$G75&gt;1)),"Peso fuera de rango"&amp;" · ","")&amp;IF(AND($S75="Sub",$G75&lt;&gt;""),"Las subactividades no llevan peso"&amp;" · ","")&amp;IF(AND($S75="Macro",ABS(SUMIFS($G$5:$G$1000,$P$5:$P$1000,$P75,$S$5:$S$1000,"Macro")-1)&gt;0.0001),"Pesos del mes suman "&amp;TEXT(SUMIFS($G$5:$G$1000,$P$5:$P$1000,$P75,$S$5:$S$1000,"Macro"),"0%")&amp;" · ","")&amp;IF(AND(N($T75)&gt;0,COUNT($H75:$K75)&gt;0),"Con subactividades: deje vacías las semanas (se calculan solas)"&amp;" · ","")&amp;IF((COUNTIF($H75:$K75,"&gt;1")+COUNTIF($H75:$K75,"&lt;0")+COUNTA($H75:$K75)-COUNT($H75:$K75))&gt;0,"Avance fuera de rango 0-100%"&amp;" · ","")&amp;IF(OR(AND($I75&lt;&gt;"",$I75&lt;$H75),AND($J75&lt;&gt;"",$J75&lt;MAX($H75:$I75)),AND($K75&lt;&gt;"",$K75&lt;MAX($H75:$J75))),"Avance semanal decreciente"&amp;" · ","")&amp;IF(AND(ISNUMBER($F75),$F75&lt;FechaRef,N($L75)&lt;1),"Vencida"&amp;" · ","")&amp;IF(AND(ObsObligatoria="Sí",ISNUMBER($F75),$F75&lt;FechaRef,N($L75)&lt;1,$N75=""),"Vencida sin observación"&amp;" · ",""))="","✔ OK","⚠ "&amp;LEFT(IF(AND($S75="Macro",$B75=""),"Macroactividad vacía"&amp;" · ","")&amp;IF(AND($B75&lt;&gt;"",$C75&lt;&gt;""),"Escriba la subactividad en otra fila, debajo de su macroactividad"&amp;" · ","")&amp;IF(AND($S75="Sub",N($R75)=0),"Subactividad sin macroactividad arriba"&amp;" · ","")&amp;IF($D75="","Sin responsable"&amp;" · ","")&amp;IF($E75="","Sin fecha de inicio"&amp;" · ","")&amp;IF($F75="","Sin fecha límite"&amp;" · ","")&amp;IF(OR(AND($E75&lt;&gt;"",NOT(ISNUMBER($E75))),AND($F75&lt;&gt;"",NOT(ISNUMBER($F75)))),"Fecha no válida"&amp;" · ","")&amp;IF(AND(ISNUMBER($E75),ISNUMBER($F75),$E75&gt;$F75),"Inicio posterior a fecha límite"&amp;" · ","")&amp;IF(AND($S75="Macro",$G75=""),"Peso vacío"&amp;" · ","")&amp;IF(AND($S75="Macro",$G75&lt;&gt;"",OR(NOT(ISNUMBER($G75)),$G75&lt;=0,$G75&gt;1)),"Peso fuera de rango"&amp;" · ","")&amp;IF(AND($S75="Sub",$G75&lt;&gt;""),"Las subactividades no llevan peso"&amp;" · ","")&amp;IF(AND($S75="Macro",ABS(SUMIFS($G$5:$G$1000,$P$5:$P$1000,$P75,$S$5:$S$1000,"Macro")-1)&gt;0.0001),"Pesos del mes suman "&amp;TEXT(SUMIFS($G$5:$G$1000,$P$5:$P$1000,$P75,$S$5:$S$1000,"Macro"),"0%")&amp;" · ","")&amp;IF(AND(N($T75)&gt;0,COUNT($H75:$K75)&gt;0),"Con subactividades: deje vacías las semanas (se calculan solas)"&amp;" · ","")&amp;IF((COUNTIF($H75:$K75,"&gt;1")+COUNTIF($H75:$K75,"&lt;0")+COUNTA($H75:$K75)-COUNT($H75:$K75))&gt;0,"Avance fuera de rango 0-100%"&amp;" · ","")&amp;IF(OR(AND($I75&lt;&gt;"",$I75&lt;$H75),AND($J75&lt;&gt;"",$J75&lt;MAX($H75:$I75)),AND($K75&lt;&gt;"",$K75&lt;MAX($H75:$J75))),"Avance semanal decreciente"&amp;" · ","")&amp;IF(AND(ISNUMBER($F75),$F75&lt;FechaRef,N($L75)&lt;1),"Vencida"&amp;" · ","")&amp;IF(AND(ObsObligatoria="Sí",ISNUMBER($F75),$F75&lt;FechaRef,N($L75)&lt;1,$N75=""),"Vencida sin observación"&amp;" · ",""),LEN(IF(AND($S75="Macro",$B75=""),"Macroactividad vacía"&amp;" · ","")&amp;IF(AND($B75&lt;&gt;"",$C75&lt;&gt;""),"Escriba la subactividad en otra fila, debajo de su macroactividad"&amp;" · ","")&amp;IF(AND($S75="Sub",N($R75)=0),"Subactividad sin macroactividad arriba"&amp;" · ","")&amp;IF($D75="","Sin responsable"&amp;" · ","")&amp;IF($E75="","Sin fecha de inicio"&amp;" · ","")&amp;IF($F75="","Sin fecha límite"&amp;" · ","")&amp;IF(OR(AND($E75&lt;&gt;"",NOT(ISNUMBER($E75))),AND($F75&lt;&gt;"",NOT(ISNUMBER($F75)))),"Fecha no válida"&amp;" · ","")&amp;IF(AND(ISNUMBER($E75),ISNUMBER($F75),$E75&gt;$F75),"Inicio posterior a fecha límite"&amp;" · ","")&amp;IF(AND($S75="Macro",$G75=""),"Peso vacío"&amp;" · ","")&amp;IF(AND($S75="Macro",$G75&lt;&gt;"",OR(NOT(ISNUMBER($G75)),$G75&lt;=0,$G75&gt;1)),"Peso fuera de rango"&amp;" · ","")&amp;IF(AND($S75="Sub",$G75&lt;&gt;""),"Las subactividades no llevan peso"&amp;" · ","")&amp;IF(AND($S75="Macro",ABS(SUMIFS($G$5:$G$1000,$P$5:$P$1000,$P75,$S$5:$S$1000,"Macro")-1)&gt;0.0001),"Pesos del mes suman "&amp;TEXT(SUMIFS($G$5:$G$1000,$P$5:$P$1000,$P75,$S$5:$S$1000,"Macro"),"0%")&amp;" · ","")&amp;IF(AND(N($T75)&gt;0,COUNT($H75:$K75)&gt;0),"Con subactividades: deje vacías las semanas (se calculan solas)"&amp;" · ","")&amp;IF((COUNTIF($H75:$K75,"&gt;1")+COUNTIF($H75:$K75,"&lt;0")+COUNTA($H75:$K75)-COUNT($H75:$K75))&gt;0,"Avance fuera de rango 0-100%"&amp;" · ","")&amp;IF(OR(AND($I75&lt;&gt;"",$I75&lt;$H75),AND($J75&lt;&gt;"",$J75&lt;MAX($H75:$I75)),AND($K75&lt;&gt;"",$K75&lt;MAX($H75:$J75))),"Avance semanal decreciente"&amp;" · ","")&amp;IF(AND(ISNUMBER($F75),$F75&lt;FechaRef,N($L75)&lt;1),"Vencida"&amp;" · ","")&amp;IF(AND(ObsObligatoria="Sí",ISNUMBER($F75),$F75&lt;FechaRef,N($L75)&lt;1,$N75=""),"Vencida sin observación"&amp;" · ",""))-3)))</f>
        <v/>
      </c>
      <c r="P75" s="69">
        <f>IF(NOT((COUNTA($B75:$K75)+COUNTA($N75))&gt;0),"",IF(AND($S75="Sub",N($R75)&gt;0),IF(ISNUMBER(INDEX($E$5:$E$1000,$R75-4)),DATE(YEAR(INDEX($E$5:$E$1000,$R75-4)),MONTH(INDEX($E$5:$E$1000,$R75-4)),1),IF(ISNUMBER(INDEX($F$5:$F$1000,$R75-4)),DATE(YEAR(INDEX($F$5:$F$1000,$R75-4)),MONTH(INDEX($F$5:$F$1000,$R75-4)),1),MesCiclo)),IF(ISNUMBER($E75),DATE(YEAR($E75),MONTH($E75),1),IF(ISNUMBER($F75),DATE(YEAR($F75),MONTH($F75),1),MesCiclo))))</f>
        <v/>
      </c>
      <c r="Q75" s="70">
        <f>IF(OR($P75="",$P75&lt;&gt;MesCiclo),"",COUNTIF($P$5:$P75,MesCiclo))</f>
        <v/>
      </c>
      <c r="R75" s="70">
        <f>IF($S75="","",IF($S75="Macro",ROW(),IFERROR(LOOKUP(2,1/($S$5:$S75="Macro"),ROW($S$5:$S75)),0)))</f>
        <v/>
      </c>
      <c r="S75" s="70">
        <f>IF(NOT((COUNTA($B75:$K75)+COUNTA($N75))&gt;0),"",IF($B75&lt;&gt;"","Macro",IF($C75&lt;&gt;"","Sub","Macro")))</f>
        <v/>
      </c>
      <c r="T75" s="70">
        <f>IF($S75="Macro",COUNTIFS($R$5:$R$1000,ROW(),$S$5:$S$1000,"Sub"),"")</f>
        <v/>
      </c>
      <c r="U75" s="70">
        <f>IF($S75="","",IF(ISNUMBER($H75),$H75,0))</f>
        <v/>
      </c>
      <c r="V75" s="70">
        <f>IF($S75="","",IF(ISNUMBER($I75),$I75,$U75))</f>
        <v/>
      </c>
      <c r="W75" s="70">
        <f>IF($S75="","",IF(ISNUMBER($J75),$J75,$V75))</f>
        <v/>
      </c>
      <c r="X75" s="70">
        <f>IF($S75="","",IF(ISNUMBER($K75),$K75,$W75))</f>
        <v/>
      </c>
      <c r="Y75" s="70">
        <f>IF($S75="","",IF(N($T75)&gt;0,AVERAGEIFS($U$5:$U$1000,$R$5:$R$1000,ROW(),$S$5:$S$1000,"Sub"),$U75))</f>
        <v/>
      </c>
      <c r="Z75" s="70">
        <f>IF($S75="","",IF(N($T75)&gt;0,AVERAGEIFS($V$5:$V$1000,$R$5:$R$1000,ROW(),$S$5:$S$1000,"Sub"),$V75))</f>
        <v/>
      </c>
      <c r="AA75" s="70">
        <f>IF($S75="","",IF(N($T75)&gt;0,AVERAGEIFS($W$5:$W$1000,$R$5:$R$1000,ROW(),$S$5:$S$1000,"Sub"),$W75))</f>
        <v/>
      </c>
      <c r="AB75" s="70">
        <f>IF($S75="","",IF(N($T75)&gt;0,AVERAGEIFS($X$5:$X$1000,$R$5:$R$1000,ROW(),$S$5:$S$1000,"Sub"),$X75))</f>
        <v/>
      </c>
    </row>
    <row r="76">
      <c r="A76" s="61">
        <f>IF(NOT((COUNTA($B76:$K76)+COUNTA($N76))&gt;0),"",IF($S76="Macro",COUNTIFS($S$5:$S76,"Macro",$P$5:$P76,$P76),IF(N($R76)=0,"?",COUNTIFS(INDEX($S$5:$S$1000,1):INDEX($S$5:$S$1000,$R76-4),"Macro",INDEX($P$5:$P$1000,1):INDEX($P$5:$P$1000,$R76-4),INDEX($P$5:$P$1000,$R76-4))&amp;"."&amp;COUNTIFS($R$5:$R76,$R76,$S$5:$S76,"Sub"))))</f>
        <v/>
      </c>
      <c r="B76" s="62" t="n"/>
      <c r="C76" s="63" t="n"/>
      <c r="D76" s="62" t="n"/>
      <c r="E76" s="64" t="n"/>
      <c r="F76" s="64" t="n"/>
      <c r="G76" s="65" t="n"/>
      <c r="H76" s="66" t="n"/>
      <c r="I76" s="66" t="n"/>
      <c r="J76" s="66" t="n"/>
      <c r="K76" s="66" t="n"/>
      <c r="L76" s="67">
        <f>IF(NOT((COUNTA($B76:$K76)+COUNTA($N76))&gt;0),"",IF(N($T76)&gt;0,$AB76,IFERROR(LOOKUP(2,1/(H76:K76&lt;&gt;""),H76:K76),0)))</f>
        <v/>
      </c>
      <c r="M76" s="61">
        <f>IF(L76="","",IF(L76&gt;=1,"Completado",IF(L76&gt;0,"En curso","Pendiente")))</f>
        <v/>
      </c>
      <c r="N76" s="62" t="n"/>
      <c r="O76" s="68">
        <f>IF(NOT((COUNTA($B76:$K76)+COUNTA($N76))&gt;0),"",IF((IF(AND($S76="Macro",$B76=""),"Macroactividad vacía"&amp;" · ","")&amp;IF(AND($B76&lt;&gt;"",$C76&lt;&gt;""),"Escriba la subactividad en otra fila, debajo de su macroactividad"&amp;" · ","")&amp;IF(AND($S76="Sub",N($R76)=0),"Subactividad sin macroactividad arriba"&amp;" · ","")&amp;IF($D76="","Sin responsable"&amp;" · ","")&amp;IF($E76="","Sin fecha de inicio"&amp;" · ","")&amp;IF($F76="","Sin fecha límite"&amp;" · ","")&amp;IF(OR(AND($E76&lt;&gt;"",NOT(ISNUMBER($E76))),AND($F76&lt;&gt;"",NOT(ISNUMBER($F76)))),"Fecha no válida"&amp;" · ","")&amp;IF(AND(ISNUMBER($E76),ISNUMBER($F76),$E76&gt;$F76),"Inicio posterior a fecha límite"&amp;" · ","")&amp;IF(AND($S76="Macro",$G76=""),"Peso vacío"&amp;" · ","")&amp;IF(AND($S76="Macro",$G76&lt;&gt;"",OR(NOT(ISNUMBER($G76)),$G76&lt;=0,$G76&gt;1)),"Peso fuera de rango"&amp;" · ","")&amp;IF(AND($S76="Sub",$G76&lt;&gt;""),"Las subactividades no llevan peso"&amp;" · ","")&amp;IF(AND($S76="Macro",ABS(SUMIFS($G$5:$G$1000,$P$5:$P$1000,$P76,$S$5:$S$1000,"Macro")-1)&gt;0.0001),"Pesos del mes suman "&amp;TEXT(SUMIFS($G$5:$G$1000,$P$5:$P$1000,$P76,$S$5:$S$1000,"Macro"),"0%")&amp;" · ","")&amp;IF(AND(N($T76)&gt;0,COUNT($H76:$K76)&gt;0),"Con subactividades: deje vacías las semanas (se calculan solas)"&amp;" · ","")&amp;IF((COUNTIF($H76:$K76,"&gt;1")+COUNTIF($H76:$K76,"&lt;0")+COUNTA($H76:$K76)-COUNT($H76:$K76))&gt;0,"Avance fuera de rango 0-100%"&amp;" · ","")&amp;IF(OR(AND($I76&lt;&gt;"",$I76&lt;$H76),AND($J76&lt;&gt;"",$J76&lt;MAX($H76:$I76)),AND($K76&lt;&gt;"",$K76&lt;MAX($H76:$J76))),"Avance semanal decreciente"&amp;" · ","")&amp;IF(AND(ISNUMBER($F76),$F76&lt;FechaRef,N($L76)&lt;1),"Vencida"&amp;" · ","")&amp;IF(AND(ObsObligatoria="Sí",ISNUMBER($F76),$F76&lt;FechaRef,N($L76)&lt;1,$N76=""),"Vencida sin observación"&amp;" · ",""))="","✔ OK","⚠ "&amp;LEFT(IF(AND($S76="Macro",$B76=""),"Macroactividad vacía"&amp;" · ","")&amp;IF(AND($B76&lt;&gt;"",$C76&lt;&gt;""),"Escriba la subactividad en otra fila, debajo de su macroactividad"&amp;" · ","")&amp;IF(AND($S76="Sub",N($R76)=0),"Subactividad sin macroactividad arriba"&amp;" · ","")&amp;IF($D76="","Sin responsable"&amp;" · ","")&amp;IF($E76="","Sin fecha de inicio"&amp;" · ","")&amp;IF($F76="","Sin fecha límite"&amp;" · ","")&amp;IF(OR(AND($E76&lt;&gt;"",NOT(ISNUMBER($E76))),AND($F76&lt;&gt;"",NOT(ISNUMBER($F76)))),"Fecha no válida"&amp;" · ","")&amp;IF(AND(ISNUMBER($E76),ISNUMBER($F76),$E76&gt;$F76),"Inicio posterior a fecha límite"&amp;" · ","")&amp;IF(AND($S76="Macro",$G76=""),"Peso vacío"&amp;" · ","")&amp;IF(AND($S76="Macro",$G76&lt;&gt;"",OR(NOT(ISNUMBER($G76)),$G76&lt;=0,$G76&gt;1)),"Peso fuera de rango"&amp;" · ","")&amp;IF(AND($S76="Sub",$G76&lt;&gt;""),"Las subactividades no llevan peso"&amp;" · ","")&amp;IF(AND($S76="Macro",ABS(SUMIFS($G$5:$G$1000,$P$5:$P$1000,$P76,$S$5:$S$1000,"Macro")-1)&gt;0.0001),"Pesos del mes suman "&amp;TEXT(SUMIFS($G$5:$G$1000,$P$5:$P$1000,$P76,$S$5:$S$1000,"Macro"),"0%")&amp;" · ","")&amp;IF(AND(N($T76)&gt;0,COUNT($H76:$K76)&gt;0),"Con subactividades: deje vacías las semanas (se calculan solas)"&amp;" · ","")&amp;IF((COUNTIF($H76:$K76,"&gt;1")+COUNTIF($H76:$K76,"&lt;0")+COUNTA($H76:$K76)-COUNT($H76:$K76))&gt;0,"Avance fuera de rango 0-100%"&amp;" · ","")&amp;IF(OR(AND($I76&lt;&gt;"",$I76&lt;$H76),AND($J76&lt;&gt;"",$J76&lt;MAX($H76:$I76)),AND($K76&lt;&gt;"",$K76&lt;MAX($H76:$J76))),"Avance semanal decreciente"&amp;" · ","")&amp;IF(AND(ISNUMBER($F76),$F76&lt;FechaRef,N($L76)&lt;1),"Vencida"&amp;" · ","")&amp;IF(AND(ObsObligatoria="Sí",ISNUMBER($F76),$F76&lt;FechaRef,N($L76)&lt;1,$N76=""),"Vencida sin observación"&amp;" · ",""),LEN(IF(AND($S76="Macro",$B76=""),"Macroactividad vacía"&amp;" · ","")&amp;IF(AND($B76&lt;&gt;"",$C76&lt;&gt;""),"Escriba la subactividad en otra fila, debajo de su macroactividad"&amp;" · ","")&amp;IF(AND($S76="Sub",N($R76)=0),"Subactividad sin macroactividad arriba"&amp;" · ","")&amp;IF($D76="","Sin responsable"&amp;" · ","")&amp;IF($E76="","Sin fecha de inicio"&amp;" · ","")&amp;IF($F76="","Sin fecha límite"&amp;" · ","")&amp;IF(OR(AND($E76&lt;&gt;"",NOT(ISNUMBER($E76))),AND($F76&lt;&gt;"",NOT(ISNUMBER($F76)))),"Fecha no válida"&amp;" · ","")&amp;IF(AND(ISNUMBER($E76),ISNUMBER($F76),$E76&gt;$F76),"Inicio posterior a fecha límite"&amp;" · ","")&amp;IF(AND($S76="Macro",$G76=""),"Peso vacío"&amp;" · ","")&amp;IF(AND($S76="Macro",$G76&lt;&gt;"",OR(NOT(ISNUMBER($G76)),$G76&lt;=0,$G76&gt;1)),"Peso fuera de rango"&amp;" · ","")&amp;IF(AND($S76="Sub",$G76&lt;&gt;""),"Las subactividades no llevan peso"&amp;" · ","")&amp;IF(AND($S76="Macro",ABS(SUMIFS($G$5:$G$1000,$P$5:$P$1000,$P76,$S$5:$S$1000,"Macro")-1)&gt;0.0001),"Pesos del mes suman "&amp;TEXT(SUMIFS($G$5:$G$1000,$P$5:$P$1000,$P76,$S$5:$S$1000,"Macro"),"0%")&amp;" · ","")&amp;IF(AND(N($T76)&gt;0,COUNT($H76:$K76)&gt;0),"Con subactividades: deje vacías las semanas (se calculan solas)"&amp;" · ","")&amp;IF((COUNTIF($H76:$K76,"&gt;1")+COUNTIF($H76:$K76,"&lt;0")+COUNTA($H76:$K76)-COUNT($H76:$K76))&gt;0,"Avance fuera de rango 0-100%"&amp;" · ","")&amp;IF(OR(AND($I76&lt;&gt;"",$I76&lt;$H76),AND($J76&lt;&gt;"",$J76&lt;MAX($H76:$I76)),AND($K76&lt;&gt;"",$K76&lt;MAX($H76:$J76))),"Avance semanal decreciente"&amp;" · ","")&amp;IF(AND(ISNUMBER($F76),$F76&lt;FechaRef,N($L76)&lt;1),"Vencida"&amp;" · ","")&amp;IF(AND(ObsObligatoria="Sí",ISNUMBER($F76),$F76&lt;FechaRef,N($L76)&lt;1,$N76=""),"Vencida sin observación"&amp;" · ",""))-3)))</f>
        <v/>
      </c>
      <c r="P76" s="69">
        <f>IF(NOT((COUNTA($B76:$K76)+COUNTA($N76))&gt;0),"",IF(AND($S76="Sub",N($R76)&gt;0),IF(ISNUMBER(INDEX($E$5:$E$1000,$R76-4)),DATE(YEAR(INDEX($E$5:$E$1000,$R76-4)),MONTH(INDEX($E$5:$E$1000,$R76-4)),1),IF(ISNUMBER(INDEX($F$5:$F$1000,$R76-4)),DATE(YEAR(INDEX($F$5:$F$1000,$R76-4)),MONTH(INDEX($F$5:$F$1000,$R76-4)),1),MesCiclo)),IF(ISNUMBER($E76),DATE(YEAR($E76),MONTH($E76),1),IF(ISNUMBER($F76),DATE(YEAR($F76),MONTH($F76),1),MesCiclo))))</f>
        <v/>
      </c>
      <c r="Q76" s="70">
        <f>IF(OR($P76="",$P76&lt;&gt;MesCiclo),"",COUNTIF($P$5:$P76,MesCiclo))</f>
        <v/>
      </c>
      <c r="R76" s="70">
        <f>IF($S76="","",IF($S76="Macro",ROW(),IFERROR(LOOKUP(2,1/($S$5:$S76="Macro"),ROW($S$5:$S76)),0)))</f>
        <v/>
      </c>
      <c r="S76" s="70">
        <f>IF(NOT((COUNTA($B76:$K76)+COUNTA($N76))&gt;0),"",IF($B76&lt;&gt;"","Macro",IF($C76&lt;&gt;"","Sub","Macro")))</f>
        <v/>
      </c>
      <c r="T76" s="70">
        <f>IF($S76="Macro",COUNTIFS($R$5:$R$1000,ROW(),$S$5:$S$1000,"Sub"),"")</f>
        <v/>
      </c>
      <c r="U76" s="70">
        <f>IF($S76="","",IF(ISNUMBER($H76),$H76,0))</f>
        <v/>
      </c>
      <c r="V76" s="70">
        <f>IF($S76="","",IF(ISNUMBER($I76),$I76,$U76))</f>
        <v/>
      </c>
      <c r="W76" s="70">
        <f>IF($S76="","",IF(ISNUMBER($J76),$J76,$V76))</f>
        <v/>
      </c>
      <c r="X76" s="70">
        <f>IF($S76="","",IF(ISNUMBER($K76),$K76,$W76))</f>
        <v/>
      </c>
      <c r="Y76" s="70">
        <f>IF($S76="","",IF(N($T76)&gt;0,AVERAGEIFS($U$5:$U$1000,$R$5:$R$1000,ROW(),$S$5:$S$1000,"Sub"),$U76))</f>
        <v/>
      </c>
      <c r="Z76" s="70">
        <f>IF($S76="","",IF(N($T76)&gt;0,AVERAGEIFS($V$5:$V$1000,$R$5:$R$1000,ROW(),$S$5:$S$1000,"Sub"),$V76))</f>
        <v/>
      </c>
      <c r="AA76" s="70">
        <f>IF($S76="","",IF(N($T76)&gt;0,AVERAGEIFS($W$5:$W$1000,$R$5:$R$1000,ROW(),$S$5:$S$1000,"Sub"),$W76))</f>
        <v/>
      </c>
      <c r="AB76" s="70">
        <f>IF($S76="","",IF(N($T76)&gt;0,AVERAGEIFS($X$5:$X$1000,$R$5:$R$1000,ROW(),$S$5:$S$1000,"Sub"),$X76))</f>
        <v/>
      </c>
    </row>
    <row r="77">
      <c r="A77" s="61">
        <f>IF(NOT((COUNTA($B77:$K77)+COUNTA($N77))&gt;0),"",IF($S77="Macro",COUNTIFS($S$5:$S77,"Macro",$P$5:$P77,$P77),IF(N($R77)=0,"?",COUNTIFS(INDEX($S$5:$S$1000,1):INDEX($S$5:$S$1000,$R77-4),"Macro",INDEX($P$5:$P$1000,1):INDEX($P$5:$P$1000,$R77-4),INDEX($P$5:$P$1000,$R77-4))&amp;"."&amp;COUNTIFS($R$5:$R77,$R77,$S$5:$S77,"Sub"))))</f>
        <v/>
      </c>
      <c r="B77" s="62" t="n"/>
      <c r="C77" s="63" t="n"/>
      <c r="D77" s="62" t="n"/>
      <c r="E77" s="64" t="n"/>
      <c r="F77" s="64" t="n"/>
      <c r="G77" s="65" t="n"/>
      <c r="H77" s="66" t="n"/>
      <c r="I77" s="66" t="n"/>
      <c r="J77" s="66" t="n"/>
      <c r="K77" s="66" t="n"/>
      <c r="L77" s="67">
        <f>IF(NOT((COUNTA($B77:$K77)+COUNTA($N77))&gt;0),"",IF(N($T77)&gt;0,$AB77,IFERROR(LOOKUP(2,1/(H77:K77&lt;&gt;""),H77:K77),0)))</f>
        <v/>
      </c>
      <c r="M77" s="61">
        <f>IF(L77="","",IF(L77&gt;=1,"Completado",IF(L77&gt;0,"En curso","Pendiente")))</f>
        <v/>
      </c>
      <c r="N77" s="62" t="n"/>
      <c r="O77" s="68">
        <f>IF(NOT((COUNTA($B77:$K77)+COUNTA($N77))&gt;0),"",IF((IF(AND($S77="Macro",$B77=""),"Macroactividad vacía"&amp;" · ","")&amp;IF(AND($B77&lt;&gt;"",$C77&lt;&gt;""),"Escriba la subactividad en otra fila, debajo de su macroactividad"&amp;" · ","")&amp;IF(AND($S77="Sub",N($R77)=0),"Subactividad sin macroactividad arriba"&amp;" · ","")&amp;IF($D77="","Sin responsable"&amp;" · ","")&amp;IF($E77="","Sin fecha de inicio"&amp;" · ","")&amp;IF($F77="","Sin fecha límite"&amp;" · ","")&amp;IF(OR(AND($E77&lt;&gt;"",NOT(ISNUMBER($E77))),AND($F77&lt;&gt;"",NOT(ISNUMBER($F77)))),"Fecha no válida"&amp;" · ","")&amp;IF(AND(ISNUMBER($E77),ISNUMBER($F77),$E77&gt;$F77),"Inicio posterior a fecha límite"&amp;" · ","")&amp;IF(AND($S77="Macro",$G77=""),"Peso vacío"&amp;" · ","")&amp;IF(AND($S77="Macro",$G77&lt;&gt;"",OR(NOT(ISNUMBER($G77)),$G77&lt;=0,$G77&gt;1)),"Peso fuera de rango"&amp;" · ","")&amp;IF(AND($S77="Sub",$G77&lt;&gt;""),"Las subactividades no llevan peso"&amp;" · ","")&amp;IF(AND($S77="Macro",ABS(SUMIFS($G$5:$G$1000,$P$5:$P$1000,$P77,$S$5:$S$1000,"Macro")-1)&gt;0.0001),"Pesos del mes suman "&amp;TEXT(SUMIFS($G$5:$G$1000,$P$5:$P$1000,$P77,$S$5:$S$1000,"Macro"),"0%")&amp;" · ","")&amp;IF(AND(N($T77)&gt;0,COUNT($H77:$K77)&gt;0),"Con subactividades: deje vacías las semanas (se calculan solas)"&amp;" · ","")&amp;IF((COUNTIF($H77:$K77,"&gt;1")+COUNTIF($H77:$K77,"&lt;0")+COUNTA($H77:$K77)-COUNT($H77:$K77))&gt;0,"Avance fuera de rango 0-100%"&amp;" · ","")&amp;IF(OR(AND($I77&lt;&gt;"",$I77&lt;$H77),AND($J77&lt;&gt;"",$J77&lt;MAX($H77:$I77)),AND($K77&lt;&gt;"",$K77&lt;MAX($H77:$J77))),"Avance semanal decreciente"&amp;" · ","")&amp;IF(AND(ISNUMBER($F77),$F77&lt;FechaRef,N($L77)&lt;1),"Vencida"&amp;" · ","")&amp;IF(AND(ObsObligatoria="Sí",ISNUMBER($F77),$F77&lt;FechaRef,N($L77)&lt;1,$N77=""),"Vencida sin observación"&amp;" · ",""))="","✔ OK","⚠ "&amp;LEFT(IF(AND($S77="Macro",$B77=""),"Macroactividad vacía"&amp;" · ","")&amp;IF(AND($B77&lt;&gt;"",$C77&lt;&gt;""),"Escriba la subactividad en otra fila, debajo de su macroactividad"&amp;" · ","")&amp;IF(AND($S77="Sub",N($R77)=0),"Subactividad sin macroactividad arriba"&amp;" · ","")&amp;IF($D77="","Sin responsable"&amp;" · ","")&amp;IF($E77="","Sin fecha de inicio"&amp;" · ","")&amp;IF($F77="","Sin fecha límite"&amp;" · ","")&amp;IF(OR(AND($E77&lt;&gt;"",NOT(ISNUMBER($E77))),AND($F77&lt;&gt;"",NOT(ISNUMBER($F77)))),"Fecha no válida"&amp;" · ","")&amp;IF(AND(ISNUMBER($E77),ISNUMBER($F77),$E77&gt;$F77),"Inicio posterior a fecha límite"&amp;" · ","")&amp;IF(AND($S77="Macro",$G77=""),"Peso vacío"&amp;" · ","")&amp;IF(AND($S77="Macro",$G77&lt;&gt;"",OR(NOT(ISNUMBER($G77)),$G77&lt;=0,$G77&gt;1)),"Peso fuera de rango"&amp;" · ","")&amp;IF(AND($S77="Sub",$G77&lt;&gt;""),"Las subactividades no llevan peso"&amp;" · ","")&amp;IF(AND($S77="Macro",ABS(SUMIFS($G$5:$G$1000,$P$5:$P$1000,$P77,$S$5:$S$1000,"Macro")-1)&gt;0.0001),"Pesos del mes suman "&amp;TEXT(SUMIFS($G$5:$G$1000,$P$5:$P$1000,$P77,$S$5:$S$1000,"Macro"),"0%")&amp;" · ","")&amp;IF(AND(N($T77)&gt;0,COUNT($H77:$K77)&gt;0),"Con subactividades: deje vacías las semanas (se calculan solas)"&amp;" · ","")&amp;IF((COUNTIF($H77:$K77,"&gt;1")+COUNTIF($H77:$K77,"&lt;0")+COUNTA($H77:$K77)-COUNT($H77:$K77))&gt;0,"Avance fuera de rango 0-100%"&amp;" · ","")&amp;IF(OR(AND($I77&lt;&gt;"",$I77&lt;$H77),AND($J77&lt;&gt;"",$J77&lt;MAX($H77:$I77)),AND($K77&lt;&gt;"",$K77&lt;MAX($H77:$J77))),"Avance semanal decreciente"&amp;" · ","")&amp;IF(AND(ISNUMBER($F77),$F77&lt;FechaRef,N($L77)&lt;1),"Vencida"&amp;" · ","")&amp;IF(AND(ObsObligatoria="Sí",ISNUMBER($F77),$F77&lt;FechaRef,N($L77)&lt;1,$N77=""),"Vencida sin observación"&amp;" · ",""),LEN(IF(AND($S77="Macro",$B77=""),"Macroactividad vacía"&amp;" · ","")&amp;IF(AND($B77&lt;&gt;"",$C77&lt;&gt;""),"Escriba la subactividad en otra fila, debajo de su macroactividad"&amp;" · ","")&amp;IF(AND($S77="Sub",N($R77)=0),"Subactividad sin macroactividad arriba"&amp;" · ","")&amp;IF($D77="","Sin responsable"&amp;" · ","")&amp;IF($E77="","Sin fecha de inicio"&amp;" · ","")&amp;IF($F77="","Sin fecha límite"&amp;" · ","")&amp;IF(OR(AND($E77&lt;&gt;"",NOT(ISNUMBER($E77))),AND($F77&lt;&gt;"",NOT(ISNUMBER($F77)))),"Fecha no válida"&amp;" · ","")&amp;IF(AND(ISNUMBER($E77),ISNUMBER($F77),$E77&gt;$F77),"Inicio posterior a fecha límite"&amp;" · ","")&amp;IF(AND($S77="Macro",$G77=""),"Peso vacío"&amp;" · ","")&amp;IF(AND($S77="Macro",$G77&lt;&gt;"",OR(NOT(ISNUMBER($G77)),$G77&lt;=0,$G77&gt;1)),"Peso fuera de rango"&amp;" · ","")&amp;IF(AND($S77="Sub",$G77&lt;&gt;""),"Las subactividades no llevan peso"&amp;" · ","")&amp;IF(AND($S77="Macro",ABS(SUMIFS($G$5:$G$1000,$P$5:$P$1000,$P77,$S$5:$S$1000,"Macro")-1)&gt;0.0001),"Pesos del mes suman "&amp;TEXT(SUMIFS($G$5:$G$1000,$P$5:$P$1000,$P77,$S$5:$S$1000,"Macro"),"0%")&amp;" · ","")&amp;IF(AND(N($T77)&gt;0,COUNT($H77:$K77)&gt;0),"Con subactividades: deje vacías las semanas (se calculan solas)"&amp;" · ","")&amp;IF((COUNTIF($H77:$K77,"&gt;1")+COUNTIF($H77:$K77,"&lt;0")+COUNTA($H77:$K77)-COUNT($H77:$K77))&gt;0,"Avance fuera de rango 0-100%"&amp;" · ","")&amp;IF(OR(AND($I77&lt;&gt;"",$I77&lt;$H77),AND($J77&lt;&gt;"",$J77&lt;MAX($H77:$I77)),AND($K77&lt;&gt;"",$K77&lt;MAX($H77:$J77))),"Avance semanal decreciente"&amp;" · ","")&amp;IF(AND(ISNUMBER($F77),$F77&lt;FechaRef,N($L77)&lt;1),"Vencida"&amp;" · ","")&amp;IF(AND(ObsObligatoria="Sí",ISNUMBER($F77),$F77&lt;FechaRef,N($L77)&lt;1,$N77=""),"Vencida sin observación"&amp;" · ",""))-3)))</f>
        <v/>
      </c>
      <c r="P77" s="69">
        <f>IF(NOT((COUNTA($B77:$K77)+COUNTA($N77))&gt;0),"",IF(AND($S77="Sub",N($R77)&gt;0),IF(ISNUMBER(INDEX($E$5:$E$1000,$R77-4)),DATE(YEAR(INDEX($E$5:$E$1000,$R77-4)),MONTH(INDEX($E$5:$E$1000,$R77-4)),1),IF(ISNUMBER(INDEX($F$5:$F$1000,$R77-4)),DATE(YEAR(INDEX($F$5:$F$1000,$R77-4)),MONTH(INDEX($F$5:$F$1000,$R77-4)),1),MesCiclo)),IF(ISNUMBER($E77),DATE(YEAR($E77),MONTH($E77),1),IF(ISNUMBER($F77),DATE(YEAR($F77),MONTH($F77),1),MesCiclo))))</f>
        <v/>
      </c>
      <c r="Q77" s="70">
        <f>IF(OR($P77="",$P77&lt;&gt;MesCiclo),"",COUNTIF($P$5:$P77,MesCiclo))</f>
        <v/>
      </c>
      <c r="R77" s="70">
        <f>IF($S77="","",IF($S77="Macro",ROW(),IFERROR(LOOKUP(2,1/($S$5:$S77="Macro"),ROW($S$5:$S77)),0)))</f>
        <v/>
      </c>
      <c r="S77" s="70">
        <f>IF(NOT((COUNTA($B77:$K77)+COUNTA($N77))&gt;0),"",IF($B77&lt;&gt;"","Macro",IF($C77&lt;&gt;"","Sub","Macro")))</f>
        <v/>
      </c>
      <c r="T77" s="70">
        <f>IF($S77="Macro",COUNTIFS($R$5:$R$1000,ROW(),$S$5:$S$1000,"Sub"),"")</f>
        <v/>
      </c>
      <c r="U77" s="70">
        <f>IF($S77="","",IF(ISNUMBER($H77),$H77,0))</f>
        <v/>
      </c>
      <c r="V77" s="70">
        <f>IF($S77="","",IF(ISNUMBER($I77),$I77,$U77))</f>
        <v/>
      </c>
      <c r="W77" s="70">
        <f>IF($S77="","",IF(ISNUMBER($J77),$J77,$V77))</f>
        <v/>
      </c>
      <c r="X77" s="70">
        <f>IF($S77="","",IF(ISNUMBER($K77),$K77,$W77))</f>
        <v/>
      </c>
      <c r="Y77" s="70">
        <f>IF($S77="","",IF(N($T77)&gt;0,AVERAGEIFS($U$5:$U$1000,$R$5:$R$1000,ROW(),$S$5:$S$1000,"Sub"),$U77))</f>
        <v/>
      </c>
      <c r="Z77" s="70">
        <f>IF($S77="","",IF(N($T77)&gt;0,AVERAGEIFS($V$5:$V$1000,$R$5:$R$1000,ROW(),$S$5:$S$1000,"Sub"),$V77))</f>
        <v/>
      </c>
      <c r="AA77" s="70">
        <f>IF($S77="","",IF(N($T77)&gt;0,AVERAGEIFS($W$5:$W$1000,$R$5:$R$1000,ROW(),$S$5:$S$1000,"Sub"),$W77))</f>
        <v/>
      </c>
      <c r="AB77" s="70">
        <f>IF($S77="","",IF(N($T77)&gt;0,AVERAGEIFS($X$5:$X$1000,$R$5:$R$1000,ROW(),$S$5:$S$1000,"Sub"),$X77))</f>
        <v/>
      </c>
    </row>
    <row r="78">
      <c r="A78" s="61">
        <f>IF(NOT((COUNTA($B78:$K78)+COUNTA($N78))&gt;0),"",IF($S78="Macro",COUNTIFS($S$5:$S78,"Macro",$P$5:$P78,$P78),IF(N($R78)=0,"?",COUNTIFS(INDEX($S$5:$S$1000,1):INDEX($S$5:$S$1000,$R78-4),"Macro",INDEX($P$5:$P$1000,1):INDEX($P$5:$P$1000,$R78-4),INDEX($P$5:$P$1000,$R78-4))&amp;"."&amp;COUNTIFS($R$5:$R78,$R78,$S$5:$S78,"Sub"))))</f>
        <v/>
      </c>
      <c r="B78" s="62" t="n"/>
      <c r="C78" s="63" t="n"/>
      <c r="D78" s="62" t="n"/>
      <c r="E78" s="64" t="n"/>
      <c r="F78" s="64" t="n"/>
      <c r="G78" s="65" t="n"/>
      <c r="H78" s="66" t="n"/>
      <c r="I78" s="66" t="n"/>
      <c r="J78" s="66" t="n"/>
      <c r="K78" s="66" t="n"/>
      <c r="L78" s="67">
        <f>IF(NOT((COUNTA($B78:$K78)+COUNTA($N78))&gt;0),"",IF(N($T78)&gt;0,$AB78,IFERROR(LOOKUP(2,1/(H78:K78&lt;&gt;""),H78:K78),0)))</f>
        <v/>
      </c>
      <c r="M78" s="61">
        <f>IF(L78="","",IF(L78&gt;=1,"Completado",IF(L78&gt;0,"En curso","Pendiente")))</f>
        <v/>
      </c>
      <c r="N78" s="62" t="n"/>
      <c r="O78" s="68">
        <f>IF(NOT((COUNTA($B78:$K78)+COUNTA($N78))&gt;0),"",IF((IF(AND($S78="Macro",$B78=""),"Macroactividad vacía"&amp;" · ","")&amp;IF(AND($B78&lt;&gt;"",$C78&lt;&gt;""),"Escriba la subactividad en otra fila, debajo de su macroactividad"&amp;" · ","")&amp;IF(AND($S78="Sub",N($R78)=0),"Subactividad sin macroactividad arriba"&amp;" · ","")&amp;IF($D78="","Sin responsable"&amp;" · ","")&amp;IF($E78="","Sin fecha de inicio"&amp;" · ","")&amp;IF($F78="","Sin fecha límite"&amp;" · ","")&amp;IF(OR(AND($E78&lt;&gt;"",NOT(ISNUMBER($E78))),AND($F78&lt;&gt;"",NOT(ISNUMBER($F78)))),"Fecha no válida"&amp;" · ","")&amp;IF(AND(ISNUMBER($E78),ISNUMBER($F78),$E78&gt;$F78),"Inicio posterior a fecha límite"&amp;" · ","")&amp;IF(AND($S78="Macro",$G78=""),"Peso vacío"&amp;" · ","")&amp;IF(AND($S78="Macro",$G78&lt;&gt;"",OR(NOT(ISNUMBER($G78)),$G78&lt;=0,$G78&gt;1)),"Peso fuera de rango"&amp;" · ","")&amp;IF(AND($S78="Sub",$G78&lt;&gt;""),"Las subactividades no llevan peso"&amp;" · ","")&amp;IF(AND($S78="Macro",ABS(SUMIFS($G$5:$G$1000,$P$5:$P$1000,$P78,$S$5:$S$1000,"Macro")-1)&gt;0.0001),"Pesos del mes suman "&amp;TEXT(SUMIFS($G$5:$G$1000,$P$5:$P$1000,$P78,$S$5:$S$1000,"Macro"),"0%")&amp;" · ","")&amp;IF(AND(N($T78)&gt;0,COUNT($H78:$K78)&gt;0),"Con subactividades: deje vacías las semanas (se calculan solas)"&amp;" · ","")&amp;IF((COUNTIF($H78:$K78,"&gt;1")+COUNTIF($H78:$K78,"&lt;0")+COUNTA($H78:$K78)-COUNT($H78:$K78))&gt;0,"Avance fuera de rango 0-100%"&amp;" · ","")&amp;IF(OR(AND($I78&lt;&gt;"",$I78&lt;$H78),AND($J78&lt;&gt;"",$J78&lt;MAX($H78:$I78)),AND($K78&lt;&gt;"",$K78&lt;MAX($H78:$J78))),"Avance semanal decreciente"&amp;" · ","")&amp;IF(AND(ISNUMBER($F78),$F78&lt;FechaRef,N($L78)&lt;1),"Vencida"&amp;" · ","")&amp;IF(AND(ObsObligatoria="Sí",ISNUMBER($F78),$F78&lt;FechaRef,N($L78)&lt;1,$N78=""),"Vencida sin observación"&amp;" · ",""))="","✔ OK","⚠ "&amp;LEFT(IF(AND($S78="Macro",$B78=""),"Macroactividad vacía"&amp;" · ","")&amp;IF(AND($B78&lt;&gt;"",$C78&lt;&gt;""),"Escriba la subactividad en otra fila, debajo de su macroactividad"&amp;" · ","")&amp;IF(AND($S78="Sub",N($R78)=0),"Subactividad sin macroactividad arriba"&amp;" · ","")&amp;IF($D78="","Sin responsable"&amp;" · ","")&amp;IF($E78="","Sin fecha de inicio"&amp;" · ","")&amp;IF($F78="","Sin fecha límite"&amp;" · ","")&amp;IF(OR(AND($E78&lt;&gt;"",NOT(ISNUMBER($E78))),AND($F78&lt;&gt;"",NOT(ISNUMBER($F78)))),"Fecha no válida"&amp;" · ","")&amp;IF(AND(ISNUMBER($E78),ISNUMBER($F78),$E78&gt;$F78),"Inicio posterior a fecha límite"&amp;" · ","")&amp;IF(AND($S78="Macro",$G78=""),"Peso vacío"&amp;" · ","")&amp;IF(AND($S78="Macro",$G78&lt;&gt;"",OR(NOT(ISNUMBER($G78)),$G78&lt;=0,$G78&gt;1)),"Peso fuera de rango"&amp;" · ","")&amp;IF(AND($S78="Sub",$G78&lt;&gt;""),"Las subactividades no llevan peso"&amp;" · ","")&amp;IF(AND($S78="Macro",ABS(SUMIFS($G$5:$G$1000,$P$5:$P$1000,$P78,$S$5:$S$1000,"Macro")-1)&gt;0.0001),"Pesos del mes suman "&amp;TEXT(SUMIFS($G$5:$G$1000,$P$5:$P$1000,$P78,$S$5:$S$1000,"Macro"),"0%")&amp;" · ","")&amp;IF(AND(N($T78)&gt;0,COUNT($H78:$K78)&gt;0),"Con subactividades: deje vacías las semanas (se calculan solas)"&amp;" · ","")&amp;IF((COUNTIF($H78:$K78,"&gt;1")+COUNTIF($H78:$K78,"&lt;0")+COUNTA($H78:$K78)-COUNT($H78:$K78))&gt;0,"Avance fuera de rango 0-100%"&amp;" · ","")&amp;IF(OR(AND($I78&lt;&gt;"",$I78&lt;$H78),AND($J78&lt;&gt;"",$J78&lt;MAX($H78:$I78)),AND($K78&lt;&gt;"",$K78&lt;MAX($H78:$J78))),"Avance semanal decreciente"&amp;" · ","")&amp;IF(AND(ISNUMBER($F78),$F78&lt;FechaRef,N($L78)&lt;1),"Vencida"&amp;" · ","")&amp;IF(AND(ObsObligatoria="Sí",ISNUMBER($F78),$F78&lt;FechaRef,N($L78)&lt;1,$N78=""),"Vencida sin observación"&amp;" · ",""),LEN(IF(AND($S78="Macro",$B78=""),"Macroactividad vacía"&amp;" · ","")&amp;IF(AND($B78&lt;&gt;"",$C78&lt;&gt;""),"Escriba la subactividad en otra fila, debajo de su macroactividad"&amp;" · ","")&amp;IF(AND($S78="Sub",N($R78)=0),"Subactividad sin macroactividad arriba"&amp;" · ","")&amp;IF($D78="","Sin responsable"&amp;" · ","")&amp;IF($E78="","Sin fecha de inicio"&amp;" · ","")&amp;IF($F78="","Sin fecha límite"&amp;" · ","")&amp;IF(OR(AND($E78&lt;&gt;"",NOT(ISNUMBER($E78))),AND($F78&lt;&gt;"",NOT(ISNUMBER($F78)))),"Fecha no válida"&amp;" · ","")&amp;IF(AND(ISNUMBER($E78),ISNUMBER($F78),$E78&gt;$F78),"Inicio posterior a fecha límite"&amp;" · ","")&amp;IF(AND($S78="Macro",$G78=""),"Peso vacío"&amp;" · ","")&amp;IF(AND($S78="Macro",$G78&lt;&gt;"",OR(NOT(ISNUMBER($G78)),$G78&lt;=0,$G78&gt;1)),"Peso fuera de rango"&amp;" · ","")&amp;IF(AND($S78="Sub",$G78&lt;&gt;""),"Las subactividades no llevan peso"&amp;" · ","")&amp;IF(AND($S78="Macro",ABS(SUMIFS($G$5:$G$1000,$P$5:$P$1000,$P78,$S$5:$S$1000,"Macro")-1)&gt;0.0001),"Pesos del mes suman "&amp;TEXT(SUMIFS($G$5:$G$1000,$P$5:$P$1000,$P78,$S$5:$S$1000,"Macro"),"0%")&amp;" · ","")&amp;IF(AND(N($T78)&gt;0,COUNT($H78:$K78)&gt;0),"Con subactividades: deje vacías las semanas (se calculan solas)"&amp;" · ","")&amp;IF((COUNTIF($H78:$K78,"&gt;1")+COUNTIF($H78:$K78,"&lt;0")+COUNTA($H78:$K78)-COUNT($H78:$K78))&gt;0,"Avance fuera de rango 0-100%"&amp;" · ","")&amp;IF(OR(AND($I78&lt;&gt;"",$I78&lt;$H78),AND($J78&lt;&gt;"",$J78&lt;MAX($H78:$I78)),AND($K78&lt;&gt;"",$K78&lt;MAX($H78:$J78))),"Avance semanal decreciente"&amp;" · ","")&amp;IF(AND(ISNUMBER($F78),$F78&lt;FechaRef,N($L78)&lt;1),"Vencida"&amp;" · ","")&amp;IF(AND(ObsObligatoria="Sí",ISNUMBER($F78),$F78&lt;FechaRef,N($L78)&lt;1,$N78=""),"Vencida sin observación"&amp;" · ",""))-3)))</f>
        <v/>
      </c>
      <c r="P78" s="69">
        <f>IF(NOT((COUNTA($B78:$K78)+COUNTA($N78))&gt;0),"",IF(AND($S78="Sub",N($R78)&gt;0),IF(ISNUMBER(INDEX($E$5:$E$1000,$R78-4)),DATE(YEAR(INDEX($E$5:$E$1000,$R78-4)),MONTH(INDEX($E$5:$E$1000,$R78-4)),1),IF(ISNUMBER(INDEX($F$5:$F$1000,$R78-4)),DATE(YEAR(INDEX($F$5:$F$1000,$R78-4)),MONTH(INDEX($F$5:$F$1000,$R78-4)),1),MesCiclo)),IF(ISNUMBER($E78),DATE(YEAR($E78),MONTH($E78),1),IF(ISNUMBER($F78),DATE(YEAR($F78),MONTH($F78),1),MesCiclo))))</f>
        <v/>
      </c>
      <c r="Q78" s="70">
        <f>IF(OR($P78="",$P78&lt;&gt;MesCiclo),"",COUNTIF($P$5:$P78,MesCiclo))</f>
        <v/>
      </c>
      <c r="R78" s="70">
        <f>IF($S78="","",IF($S78="Macro",ROW(),IFERROR(LOOKUP(2,1/($S$5:$S78="Macro"),ROW($S$5:$S78)),0)))</f>
        <v/>
      </c>
      <c r="S78" s="70">
        <f>IF(NOT((COUNTA($B78:$K78)+COUNTA($N78))&gt;0),"",IF($B78&lt;&gt;"","Macro",IF($C78&lt;&gt;"","Sub","Macro")))</f>
        <v/>
      </c>
      <c r="T78" s="70">
        <f>IF($S78="Macro",COUNTIFS($R$5:$R$1000,ROW(),$S$5:$S$1000,"Sub"),"")</f>
        <v/>
      </c>
      <c r="U78" s="70">
        <f>IF($S78="","",IF(ISNUMBER($H78),$H78,0))</f>
        <v/>
      </c>
      <c r="V78" s="70">
        <f>IF($S78="","",IF(ISNUMBER($I78),$I78,$U78))</f>
        <v/>
      </c>
      <c r="W78" s="70">
        <f>IF($S78="","",IF(ISNUMBER($J78),$J78,$V78))</f>
        <v/>
      </c>
      <c r="X78" s="70">
        <f>IF($S78="","",IF(ISNUMBER($K78),$K78,$W78))</f>
        <v/>
      </c>
      <c r="Y78" s="70">
        <f>IF($S78="","",IF(N($T78)&gt;0,AVERAGEIFS($U$5:$U$1000,$R$5:$R$1000,ROW(),$S$5:$S$1000,"Sub"),$U78))</f>
        <v/>
      </c>
      <c r="Z78" s="70">
        <f>IF($S78="","",IF(N($T78)&gt;0,AVERAGEIFS($V$5:$V$1000,$R$5:$R$1000,ROW(),$S$5:$S$1000,"Sub"),$V78))</f>
        <v/>
      </c>
      <c r="AA78" s="70">
        <f>IF($S78="","",IF(N($T78)&gt;0,AVERAGEIFS($W$5:$W$1000,$R$5:$R$1000,ROW(),$S$5:$S$1000,"Sub"),$W78))</f>
        <v/>
      </c>
      <c r="AB78" s="70">
        <f>IF($S78="","",IF(N($T78)&gt;0,AVERAGEIFS($X$5:$X$1000,$R$5:$R$1000,ROW(),$S$5:$S$1000,"Sub"),$X78))</f>
        <v/>
      </c>
    </row>
    <row r="79">
      <c r="A79" s="61">
        <f>IF(NOT((COUNTA($B79:$K79)+COUNTA($N79))&gt;0),"",IF($S79="Macro",COUNTIFS($S$5:$S79,"Macro",$P$5:$P79,$P79),IF(N($R79)=0,"?",COUNTIFS(INDEX($S$5:$S$1000,1):INDEX($S$5:$S$1000,$R79-4),"Macro",INDEX($P$5:$P$1000,1):INDEX($P$5:$P$1000,$R79-4),INDEX($P$5:$P$1000,$R79-4))&amp;"."&amp;COUNTIFS($R$5:$R79,$R79,$S$5:$S79,"Sub"))))</f>
        <v/>
      </c>
      <c r="B79" s="62" t="n"/>
      <c r="C79" s="63" t="n"/>
      <c r="D79" s="62" t="n"/>
      <c r="E79" s="64" t="n"/>
      <c r="F79" s="64" t="n"/>
      <c r="G79" s="65" t="n"/>
      <c r="H79" s="66" t="n"/>
      <c r="I79" s="66" t="n"/>
      <c r="J79" s="66" t="n"/>
      <c r="K79" s="66" t="n"/>
      <c r="L79" s="67">
        <f>IF(NOT((COUNTA($B79:$K79)+COUNTA($N79))&gt;0),"",IF(N($T79)&gt;0,$AB79,IFERROR(LOOKUP(2,1/(H79:K79&lt;&gt;""),H79:K79),0)))</f>
        <v/>
      </c>
      <c r="M79" s="61">
        <f>IF(L79="","",IF(L79&gt;=1,"Completado",IF(L79&gt;0,"En curso","Pendiente")))</f>
        <v/>
      </c>
      <c r="N79" s="62" t="n"/>
      <c r="O79" s="68">
        <f>IF(NOT((COUNTA($B79:$K79)+COUNTA($N79))&gt;0),"",IF((IF(AND($S79="Macro",$B79=""),"Macroactividad vacía"&amp;" · ","")&amp;IF(AND($B79&lt;&gt;"",$C79&lt;&gt;""),"Escriba la subactividad en otra fila, debajo de su macroactividad"&amp;" · ","")&amp;IF(AND($S79="Sub",N($R79)=0),"Subactividad sin macroactividad arriba"&amp;" · ","")&amp;IF($D79="","Sin responsable"&amp;" · ","")&amp;IF($E79="","Sin fecha de inicio"&amp;" · ","")&amp;IF($F79="","Sin fecha límite"&amp;" · ","")&amp;IF(OR(AND($E79&lt;&gt;"",NOT(ISNUMBER($E79))),AND($F79&lt;&gt;"",NOT(ISNUMBER($F79)))),"Fecha no válida"&amp;" · ","")&amp;IF(AND(ISNUMBER($E79),ISNUMBER($F79),$E79&gt;$F79),"Inicio posterior a fecha límite"&amp;" · ","")&amp;IF(AND($S79="Macro",$G79=""),"Peso vacío"&amp;" · ","")&amp;IF(AND($S79="Macro",$G79&lt;&gt;"",OR(NOT(ISNUMBER($G79)),$G79&lt;=0,$G79&gt;1)),"Peso fuera de rango"&amp;" · ","")&amp;IF(AND($S79="Sub",$G79&lt;&gt;""),"Las subactividades no llevan peso"&amp;" · ","")&amp;IF(AND($S79="Macro",ABS(SUMIFS($G$5:$G$1000,$P$5:$P$1000,$P79,$S$5:$S$1000,"Macro")-1)&gt;0.0001),"Pesos del mes suman "&amp;TEXT(SUMIFS($G$5:$G$1000,$P$5:$P$1000,$P79,$S$5:$S$1000,"Macro"),"0%")&amp;" · ","")&amp;IF(AND(N($T79)&gt;0,COUNT($H79:$K79)&gt;0),"Con subactividades: deje vacías las semanas (se calculan solas)"&amp;" · ","")&amp;IF((COUNTIF($H79:$K79,"&gt;1")+COUNTIF($H79:$K79,"&lt;0")+COUNTA($H79:$K79)-COUNT($H79:$K79))&gt;0,"Avance fuera de rango 0-100%"&amp;" · ","")&amp;IF(OR(AND($I79&lt;&gt;"",$I79&lt;$H79),AND($J79&lt;&gt;"",$J79&lt;MAX($H79:$I79)),AND($K79&lt;&gt;"",$K79&lt;MAX($H79:$J79))),"Avance semanal decreciente"&amp;" · ","")&amp;IF(AND(ISNUMBER($F79),$F79&lt;FechaRef,N($L79)&lt;1),"Vencida"&amp;" · ","")&amp;IF(AND(ObsObligatoria="Sí",ISNUMBER($F79),$F79&lt;FechaRef,N($L79)&lt;1,$N79=""),"Vencida sin observación"&amp;" · ",""))="","✔ OK","⚠ "&amp;LEFT(IF(AND($S79="Macro",$B79=""),"Macroactividad vacía"&amp;" · ","")&amp;IF(AND($B79&lt;&gt;"",$C79&lt;&gt;""),"Escriba la subactividad en otra fila, debajo de su macroactividad"&amp;" · ","")&amp;IF(AND($S79="Sub",N($R79)=0),"Subactividad sin macroactividad arriba"&amp;" · ","")&amp;IF($D79="","Sin responsable"&amp;" · ","")&amp;IF($E79="","Sin fecha de inicio"&amp;" · ","")&amp;IF($F79="","Sin fecha límite"&amp;" · ","")&amp;IF(OR(AND($E79&lt;&gt;"",NOT(ISNUMBER($E79))),AND($F79&lt;&gt;"",NOT(ISNUMBER($F79)))),"Fecha no válida"&amp;" · ","")&amp;IF(AND(ISNUMBER($E79),ISNUMBER($F79),$E79&gt;$F79),"Inicio posterior a fecha límite"&amp;" · ","")&amp;IF(AND($S79="Macro",$G79=""),"Peso vacío"&amp;" · ","")&amp;IF(AND($S79="Macro",$G79&lt;&gt;"",OR(NOT(ISNUMBER($G79)),$G79&lt;=0,$G79&gt;1)),"Peso fuera de rango"&amp;" · ","")&amp;IF(AND($S79="Sub",$G79&lt;&gt;""),"Las subactividades no llevan peso"&amp;" · ","")&amp;IF(AND($S79="Macro",ABS(SUMIFS($G$5:$G$1000,$P$5:$P$1000,$P79,$S$5:$S$1000,"Macro")-1)&gt;0.0001),"Pesos del mes suman "&amp;TEXT(SUMIFS($G$5:$G$1000,$P$5:$P$1000,$P79,$S$5:$S$1000,"Macro"),"0%")&amp;" · ","")&amp;IF(AND(N($T79)&gt;0,COUNT($H79:$K79)&gt;0),"Con subactividades: deje vacías las semanas (se calculan solas)"&amp;" · ","")&amp;IF((COUNTIF($H79:$K79,"&gt;1")+COUNTIF($H79:$K79,"&lt;0")+COUNTA($H79:$K79)-COUNT($H79:$K79))&gt;0,"Avance fuera de rango 0-100%"&amp;" · ","")&amp;IF(OR(AND($I79&lt;&gt;"",$I79&lt;$H79),AND($J79&lt;&gt;"",$J79&lt;MAX($H79:$I79)),AND($K79&lt;&gt;"",$K79&lt;MAX($H79:$J79))),"Avance semanal decreciente"&amp;" · ","")&amp;IF(AND(ISNUMBER($F79),$F79&lt;FechaRef,N($L79)&lt;1),"Vencida"&amp;" · ","")&amp;IF(AND(ObsObligatoria="Sí",ISNUMBER($F79),$F79&lt;FechaRef,N($L79)&lt;1,$N79=""),"Vencida sin observación"&amp;" · ",""),LEN(IF(AND($S79="Macro",$B79=""),"Macroactividad vacía"&amp;" · ","")&amp;IF(AND($B79&lt;&gt;"",$C79&lt;&gt;""),"Escriba la subactividad en otra fila, debajo de su macroactividad"&amp;" · ","")&amp;IF(AND($S79="Sub",N($R79)=0),"Subactividad sin macroactividad arriba"&amp;" · ","")&amp;IF($D79="","Sin responsable"&amp;" · ","")&amp;IF($E79="","Sin fecha de inicio"&amp;" · ","")&amp;IF($F79="","Sin fecha límite"&amp;" · ","")&amp;IF(OR(AND($E79&lt;&gt;"",NOT(ISNUMBER($E79))),AND($F79&lt;&gt;"",NOT(ISNUMBER($F79)))),"Fecha no válida"&amp;" · ","")&amp;IF(AND(ISNUMBER($E79),ISNUMBER($F79),$E79&gt;$F79),"Inicio posterior a fecha límite"&amp;" · ","")&amp;IF(AND($S79="Macro",$G79=""),"Peso vacío"&amp;" · ","")&amp;IF(AND($S79="Macro",$G79&lt;&gt;"",OR(NOT(ISNUMBER($G79)),$G79&lt;=0,$G79&gt;1)),"Peso fuera de rango"&amp;" · ","")&amp;IF(AND($S79="Sub",$G79&lt;&gt;""),"Las subactividades no llevan peso"&amp;" · ","")&amp;IF(AND($S79="Macro",ABS(SUMIFS($G$5:$G$1000,$P$5:$P$1000,$P79,$S$5:$S$1000,"Macro")-1)&gt;0.0001),"Pesos del mes suman "&amp;TEXT(SUMIFS($G$5:$G$1000,$P$5:$P$1000,$P79,$S$5:$S$1000,"Macro"),"0%")&amp;" · ","")&amp;IF(AND(N($T79)&gt;0,COUNT($H79:$K79)&gt;0),"Con subactividades: deje vacías las semanas (se calculan solas)"&amp;" · ","")&amp;IF((COUNTIF($H79:$K79,"&gt;1")+COUNTIF($H79:$K79,"&lt;0")+COUNTA($H79:$K79)-COUNT($H79:$K79))&gt;0,"Avance fuera de rango 0-100%"&amp;" · ","")&amp;IF(OR(AND($I79&lt;&gt;"",$I79&lt;$H79),AND($J79&lt;&gt;"",$J79&lt;MAX($H79:$I79)),AND($K79&lt;&gt;"",$K79&lt;MAX($H79:$J79))),"Avance semanal decreciente"&amp;" · ","")&amp;IF(AND(ISNUMBER($F79),$F79&lt;FechaRef,N($L79)&lt;1),"Vencida"&amp;" · ","")&amp;IF(AND(ObsObligatoria="Sí",ISNUMBER($F79),$F79&lt;FechaRef,N($L79)&lt;1,$N79=""),"Vencida sin observación"&amp;" · ",""))-3)))</f>
        <v/>
      </c>
      <c r="P79" s="69">
        <f>IF(NOT((COUNTA($B79:$K79)+COUNTA($N79))&gt;0),"",IF(AND($S79="Sub",N($R79)&gt;0),IF(ISNUMBER(INDEX($E$5:$E$1000,$R79-4)),DATE(YEAR(INDEX($E$5:$E$1000,$R79-4)),MONTH(INDEX($E$5:$E$1000,$R79-4)),1),IF(ISNUMBER(INDEX($F$5:$F$1000,$R79-4)),DATE(YEAR(INDEX($F$5:$F$1000,$R79-4)),MONTH(INDEX($F$5:$F$1000,$R79-4)),1),MesCiclo)),IF(ISNUMBER($E79),DATE(YEAR($E79),MONTH($E79),1),IF(ISNUMBER($F79),DATE(YEAR($F79),MONTH($F79),1),MesCiclo))))</f>
        <v/>
      </c>
      <c r="Q79" s="70">
        <f>IF(OR($P79="",$P79&lt;&gt;MesCiclo),"",COUNTIF($P$5:$P79,MesCiclo))</f>
        <v/>
      </c>
      <c r="R79" s="70">
        <f>IF($S79="","",IF($S79="Macro",ROW(),IFERROR(LOOKUP(2,1/($S$5:$S79="Macro"),ROW($S$5:$S79)),0)))</f>
        <v/>
      </c>
      <c r="S79" s="70">
        <f>IF(NOT((COUNTA($B79:$K79)+COUNTA($N79))&gt;0),"",IF($B79&lt;&gt;"","Macro",IF($C79&lt;&gt;"","Sub","Macro")))</f>
        <v/>
      </c>
      <c r="T79" s="70">
        <f>IF($S79="Macro",COUNTIFS($R$5:$R$1000,ROW(),$S$5:$S$1000,"Sub"),"")</f>
        <v/>
      </c>
      <c r="U79" s="70">
        <f>IF($S79="","",IF(ISNUMBER($H79),$H79,0))</f>
        <v/>
      </c>
      <c r="V79" s="70">
        <f>IF($S79="","",IF(ISNUMBER($I79),$I79,$U79))</f>
        <v/>
      </c>
      <c r="W79" s="70">
        <f>IF($S79="","",IF(ISNUMBER($J79),$J79,$V79))</f>
        <v/>
      </c>
      <c r="X79" s="70">
        <f>IF($S79="","",IF(ISNUMBER($K79),$K79,$W79))</f>
        <v/>
      </c>
      <c r="Y79" s="70">
        <f>IF($S79="","",IF(N($T79)&gt;0,AVERAGEIFS($U$5:$U$1000,$R$5:$R$1000,ROW(),$S$5:$S$1000,"Sub"),$U79))</f>
        <v/>
      </c>
      <c r="Z79" s="70">
        <f>IF($S79="","",IF(N($T79)&gt;0,AVERAGEIFS($V$5:$V$1000,$R$5:$R$1000,ROW(),$S$5:$S$1000,"Sub"),$V79))</f>
        <v/>
      </c>
      <c r="AA79" s="70">
        <f>IF($S79="","",IF(N($T79)&gt;0,AVERAGEIFS($W$5:$W$1000,$R$5:$R$1000,ROW(),$S$5:$S$1000,"Sub"),$W79))</f>
        <v/>
      </c>
      <c r="AB79" s="70">
        <f>IF($S79="","",IF(N($T79)&gt;0,AVERAGEIFS($X$5:$X$1000,$R$5:$R$1000,ROW(),$S$5:$S$1000,"Sub"),$X79))</f>
        <v/>
      </c>
    </row>
    <row r="80">
      <c r="A80" s="61">
        <f>IF(NOT((COUNTA($B80:$K80)+COUNTA($N80))&gt;0),"",IF($S80="Macro",COUNTIFS($S$5:$S80,"Macro",$P$5:$P80,$P80),IF(N($R80)=0,"?",COUNTIFS(INDEX($S$5:$S$1000,1):INDEX($S$5:$S$1000,$R80-4),"Macro",INDEX($P$5:$P$1000,1):INDEX($P$5:$P$1000,$R80-4),INDEX($P$5:$P$1000,$R80-4))&amp;"."&amp;COUNTIFS($R$5:$R80,$R80,$S$5:$S80,"Sub"))))</f>
        <v/>
      </c>
      <c r="B80" s="62" t="n"/>
      <c r="C80" s="63" t="n"/>
      <c r="D80" s="62" t="n"/>
      <c r="E80" s="64" t="n"/>
      <c r="F80" s="64" t="n"/>
      <c r="G80" s="65" t="n"/>
      <c r="H80" s="66" t="n"/>
      <c r="I80" s="66" t="n"/>
      <c r="J80" s="66" t="n"/>
      <c r="K80" s="66" t="n"/>
      <c r="L80" s="67">
        <f>IF(NOT((COUNTA($B80:$K80)+COUNTA($N80))&gt;0),"",IF(N($T80)&gt;0,$AB80,IFERROR(LOOKUP(2,1/(H80:K80&lt;&gt;""),H80:K80),0)))</f>
        <v/>
      </c>
      <c r="M80" s="61">
        <f>IF(L80="","",IF(L80&gt;=1,"Completado",IF(L80&gt;0,"En curso","Pendiente")))</f>
        <v/>
      </c>
      <c r="N80" s="62" t="n"/>
      <c r="O80" s="68">
        <f>IF(NOT((COUNTA($B80:$K80)+COUNTA($N80))&gt;0),"",IF((IF(AND($S80="Macro",$B80=""),"Macroactividad vacía"&amp;" · ","")&amp;IF(AND($B80&lt;&gt;"",$C80&lt;&gt;""),"Escriba la subactividad en otra fila, debajo de su macroactividad"&amp;" · ","")&amp;IF(AND($S80="Sub",N($R80)=0),"Subactividad sin macroactividad arriba"&amp;" · ","")&amp;IF($D80="","Sin responsable"&amp;" · ","")&amp;IF($E80="","Sin fecha de inicio"&amp;" · ","")&amp;IF($F80="","Sin fecha límite"&amp;" · ","")&amp;IF(OR(AND($E80&lt;&gt;"",NOT(ISNUMBER($E80))),AND($F80&lt;&gt;"",NOT(ISNUMBER($F80)))),"Fecha no válida"&amp;" · ","")&amp;IF(AND(ISNUMBER($E80),ISNUMBER($F80),$E80&gt;$F80),"Inicio posterior a fecha límite"&amp;" · ","")&amp;IF(AND($S80="Macro",$G80=""),"Peso vacío"&amp;" · ","")&amp;IF(AND($S80="Macro",$G80&lt;&gt;"",OR(NOT(ISNUMBER($G80)),$G80&lt;=0,$G80&gt;1)),"Peso fuera de rango"&amp;" · ","")&amp;IF(AND($S80="Sub",$G80&lt;&gt;""),"Las subactividades no llevan peso"&amp;" · ","")&amp;IF(AND($S80="Macro",ABS(SUMIFS($G$5:$G$1000,$P$5:$P$1000,$P80,$S$5:$S$1000,"Macro")-1)&gt;0.0001),"Pesos del mes suman "&amp;TEXT(SUMIFS($G$5:$G$1000,$P$5:$P$1000,$P80,$S$5:$S$1000,"Macro"),"0%")&amp;" · ","")&amp;IF(AND(N($T80)&gt;0,COUNT($H80:$K80)&gt;0),"Con subactividades: deje vacías las semanas (se calculan solas)"&amp;" · ","")&amp;IF((COUNTIF($H80:$K80,"&gt;1")+COUNTIF($H80:$K80,"&lt;0")+COUNTA($H80:$K80)-COUNT($H80:$K80))&gt;0,"Avance fuera de rango 0-100%"&amp;" · ","")&amp;IF(OR(AND($I80&lt;&gt;"",$I80&lt;$H80),AND($J80&lt;&gt;"",$J80&lt;MAX($H80:$I80)),AND($K80&lt;&gt;"",$K80&lt;MAX($H80:$J80))),"Avance semanal decreciente"&amp;" · ","")&amp;IF(AND(ISNUMBER($F80),$F80&lt;FechaRef,N($L80)&lt;1),"Vencida"&amp;" · ","")&amp;IF(AND(ObsObligatoria="Sí",ISNUMBER($F80),$F80&lt;FechaRef,N($L80)&lt;1,$N80=""),"Vencida sin observación"&amp;" · ",""))="","✔ OK","⚠ "&amp;LEFT(IF(AND($S80="Macro",$B80=""),"Macroactividad vacía"&amp;" · ","")&amp;IF(AND($B80&lt;&gt;"",$C80&lt;&gt;""),"Escriba la subactividad en otra fila, debajo de su macroactividad"&amp;" · ","")&amp;IF(AND($S80="Sub",N($R80)=0),"Subactividad sin macroactividad arriba"&amp;" · ","")&amp;IF($D80="","Sin responsable"&amp;" · ","")&amp;IF($E80="","Sin fecha de inicio"&amp;" · ","")&amp;IF($F80="","Sin fecha límite"&amp;" · ","")&amp;IF(OR(AND($E80&lt;&gt;"",NOT(ISNUMBER($E80))),AND($F80&lt;&gt;"",NOT(ISNUMBER($F80)))),"Fecha no válida"&amp;" · ","")&amp;IF(AND(ISNUMBER($E80),ISNUMBER($F80),$E80&gt;$F80),"Inicio posterior a fecha límite"&amp;" · ","")&amp;IF(AND($S80="Macro",$G80=""),"Peso vacío"&amp;" · ","")&amp;IF(AND($S80="Macro",$G80&lt;&gt;"",OR(NOT(ISNUMBER($G80)),$G80&lt;=0,$G80&gt;1)),"Peso fuera de rango"&amp;" · ","")&amp;IF(AND($S80="Sub",$G80&lt;&gt;""),"Las subactividades no llevan peso"&amp;" · ","")&amp;IF(AND($S80="Macro",ABS(SUMIFS($G$5:$G$1000,$P$5:$P$1000,$P80,$S$5:$S$1000,"Macro")-1)&gt;0.0001),"Pesos del mes suman "&amp;TEXT(SUMIFS($G$5:$G$1000,$P$5:$P$1000,$P80,$S$5:$S$1000,"Macro"),"0%")&amp;" · ","")&amp;IF(AND(N($T80)&gt;0,COUNT($H80:$K80)&gt;0),"Con subactividades: deje vacías las semanas (se calculan solas)"&amp;" · ","")&amp;IF((COUNTIF($H80:$K80,"&gt;1")+COUNTIF($H80:$K80,"&lt;0")+COUNTA($H80:$K80)-COUNT($H80:$K80))&gt;0,"Avance fuera de rango 0-100%"&amp;" · ","")&amp;IF(OR(AND($I80&lt;&gt;"",$I80&lt;$H80),AND($J80&lt;&gt;"",$J80&lt;MAX($H80:$I80)),AND($K80&lt;&gt;"",$K80&lt;MAX($H80:$J80))),"Avance semanal decreciente"&amp;" · ","")&amp;IF(AND(ISNUMBER($F80),$F80&lt;FechaRef,N($L80)&lt;1),"Vencida"&amp;" · ","")&amp;IF(AND(ObsObligatoria="Sí",ISNUMBER($F80),$F80&lt;FechaRef,N($L80)&lt;1,$N80=""),"Vencida sin observación"&amp;" · ",""),LEN(IF(AND($S80="Macro",$B80=""),"Macroactividad vacía"&amp;" · ","")&amp;IF(AND($B80&lt;&gt;"",$C80&lt;&gt;""),"Escriba la subactividad en otra fila, debajo de su macroactividad"&amp;" · ","")&amp;IF(AND($S80="Sub",N($R80)=0),"Subactividad sin macroactividad arriba"&amp;" · ","")&amp;IF($D80="","Sin responsable"&amp;" · ","")&amp;IF($E80="","Sin fecha de inicio"&amp;" · ","")&amp;IF($F80="","Sin fecha límite"&amp;" · ","")&amp;IF(OR(AND($E80&lt;&gt;"",NOT(ISNUMBER($E80))),AND($F80&lt;&gt;"",NOT(ISNUMBER($F80)))),"Fecha no válida"&amp;" · ","")&amp;IF(AND(ISNUMBER($E80),ISNUMBER($F80),$E80&gt;$F80),"Inicio posterior a fecha límite"&amp;" · ","")&amp;IF(AND($S80="Macro",$G80=""),"Peso vacío"&amp;" · ","")&amp;IF(AND($S80="Macro",$G80&lt;&gt;"",OR(NOT(ISNUMBER($G80)),$G80&lt;=0,$G80&gt;1)),"Peso fuera de rango"&amp;" · ","")&amp;IF(AND($S80="Sub",$G80&lt;&gt;""),"Las subactividades no llevan peso"&amp;" · ","")&amp;IF(AND($S80="Macro",ABS(SUMIFS($G$5:$G$1000,$P$5:$P$1000,$P80,$S$5:$S$1000,"Macro")-1)&gt;0.0001),"Pesos del mes suman "&amp;TEXT(SUMIFS($G$5:$G$1000,$P$5:$P$1000,$P80,$S$5:$S$1000,"Macro"),"0%")&amp;" · ","")&amp;IF(AND(N($T80)&gt;0,COUNT($H80:$K80)&gt;0),"Con subactividades: deje vacías las semanas (se calculan solas)"&amp;" · ","")&amp;IF((COUNTIF($H80:$K80,"&gt;1")+COUNTIF($H80:$K80,"&lt;0")+COUNTA($H80:$K80)-COUNT($H80:$K80))&gt;0,"Avance fuera de rango 0-100%"&amp;" · ","")&amp;IF(OR(AND($I80&lt;&gt;"",$I80&lt;$H80),AND($J80&lt;&gt;"",$J80&lt;MAX($H80:$I80)),AND($K80&lt;&gt;"",$K80&lt;MAX($H80:$J80))),"Avance semanal decreciente"&amp;" · ","")&amp;IF(AND(ISNUMBER($F80),$F80&lt;FechaRef,N($L80)&lt;1),"Vencida"&amp;" · ","")&amp;IF(AND(ObsObligatoria="Sí",ISNUMBER($F80),$F80&lt;FechaRef,N($L80)&lt;1,$N80=""),"Vencida sin observación"&amp;" · ",""))-3)))</f>
        <v/>
      </c>
      <c r="P80" s="69">
        <f>IF(NOT((COUNTA($B80:$K80)+COUNTA($N80))&gt;0),"",IF(AND($S80="Sub",N($R80)&gt;0),IF(ISNUMBER(INDEX($E$5:$E$1000,$R80-4)),DATE(YEAR(INDEX($E$5:$E$1000,$R80-4)),MONTH(INDEX($E$5:$E$1000,$R80-4)),1),IF(ISNUMBER(INDEX($F$5:$F$1000,$R80-4)),DATE(YEAR(INDEX($F$5:$F$1000,$R80-4)),MONTH(INDEX($F$5:$F$1000,$R80-4)),1),MesCiclo)),IF(ISNUMBER($E80),DATE(YEAR($E80),MONTH($E80),1),IF(ISNUMBER($F80),DATE(YEAR($F80),MONTH($F80),1),MesCiclo))))</f>
        <v/>
      </c>
      <c r="Q80" s="70">
        <f>IF(OR($P80="",$P80&lt;&gt;MesCiclo),"",COUNTIF($P$5:$P80,MesCiclo))</f>
        <v/>
      </c>
      <c r="R80" s="70">
        <f>IF($S80="","",IF($S80="Macro",ROW(),IFERROR(LOOKUP(2,1/($S$5:$S80="Macro"),ROW($S$5:$S80)),0)))</f>
        <v/>
      </c>
      <c r="S80" s="70">
        <f>IF(NOT((COUNTA($B80:$K80)+COUNTA($N80))&gt;0),"",IF($B80&lt;&gt;"","Macro",IF($C80&lt;&gt;"","Sub","Macro")))</f>
        <v/>
      </c>
      <c r="T80" s="70">
        <f>IF($S80="Macro",COUNTIFS($R$5:$R$1000,ROW(),$S$5:$S$1000,"Sub"),"")</f>
        <v/>
      </c>
      <c r="U80" s="70">
        <f>IF($S80="","",IF(ISNUMBER($H80),$H80,0))</f>
        <v/>
      </c>
      <c r="V80" s="70">
        <f>IF($S80="","",IF(ISNUMBER($I80),$I80,$U80))</f>
        <v/>
      </c>
      <c r="W80" s="70">
        <f>IF($S80="","",IF(ISNUMBER($J80),$J80,$V80))</f>
        <v/>
      </c>
      <c r="X80" s="70">
        <f>IF($S80="","",IF(ISNUMBER($K80),$K80,$W80))</f>
        <v/>
      </c>
      <c r="Y80" s="70">
        <f>IF($S80="","",IF(N($T80)&gt;0,AVERAGEIFS($U$5:$U$1000,$R$5:$R$1000,ROW(),$S$5:$S$1000,"Sub"),$U80))</f>
        <v/>
      </c>
      <c r="Z80" s="70">
        <f>IF($S80="","",IF(N($T80)&gt;0,AVERAGEIFS($V$5:$V$1000,$R$5:$R$1000,ROW(),$S$5:$S$1000,"Sub"),$V80))</f>
        <v/>
      </c>
      <c r="AA80" s="70">
        <f>IF($S80="","",IF(N($T80)&gt;0,AVERAGEIFS($W$5:$W$1000,$R$5:$R$1000,ROW(),$S$5:$S$1000,"Sub"),$W80))</f>
        <v/>
      </c>
      <c r="AB80" s="70">
        <f>IF($S80="","",IF(N($T80)&gt;0,AVERAGEIFS($X$5:$X$1000,$R$5:$R$1000,ROW(),$S$5:$S$1000,"Sub"),$X80))</f>
        <v/>
      </c>
    </row>
    <row r="81">
      <c r="A81" s="61">
        <f>IF(NOT((COUNTA($B81:$K81)+COUNTA($N81))&gt;0),"",IF($S81="Macro",COUNTIFS($S$5:$S81,"Macro",$P$5:$P81,$P81),IF(N($R81)=0,"?",COUNTIFS(INDEX($S$5:$S$1000,1):INDEX($S$5:$S$1000,$R81-4),"Macro",INDEX($P$5:$P$1000,1):INDEX($P$5:$P$1000,$R81-4),INDEX($P$5:$P$1000,$R81-4))&amp;"."&amp;COUNTIFS($R$5:$R81,$R81,$S$5:$S81,"Sub"))))</f>
        <v/>
      </c>
      <c r="B81" s="62" t="n"/>
      <c r="C81" s="63" t="n"/>
      <c r="D81" s="62" t="n"/>
      <c r="E81" s="64" t="n"/>
      <c r="F81" s="64" t="n"/>
      <c r="G81" s="65" t="n"/>
      <c r="H81" s="66" t="n"/>
      <c r="I81" s="66" t="n"/>
      <c r="J81" s="66" t="n"/>
      <c r="K81" s="66" t="n"/>
      <c r="L81" s="67">
        <f>IF(NOT((COUNTA($B81:$K81)+COUNTA($N81))&gt;0),"",IF(N($T81)&gt;0,$AB81,IFERROR(LOOKUP(2,1/(H81:K81&lt;&gt;""),H81:K81),0)))</f>
        <v/>
      </c>
      <c r="M81" s="61">
        <f>IF(L81="","",IF(L81&gt;=1,"Completado",IF(L81&gt;0,"En curso","Pendiente")))</f>
        <v/>
      </c>
      <c r="N81" s="62" t="n"/>
      <c r="O81" s="68">
        <f>IF(NOT((COUNTA($B81:$K81)+COUNTA($N81))&gt;0),"",IF((IF(AND($S81="Macro",$B81=""),"Macroactividad vacía"&amp;" · ","")&amp;IF(AND($B81&lt;&gt;"",$C81&lt;&gt;""),"Escriba la subactividad en otra fila, debajo de su macroactividad"&amp;" · ","")&amp;IF(AND($S81="Sub",N($R81)=0),"Subactividad sin macroactividad arriba"&amp;" · ","")&amp;IF($D81="","Sin responsable"&amp;" · ","")&amp;IF($E81="","Sin fecha de inicio"&amp;" · ","")&amp;IF($F81="","Sin fecha límite"&amp;" · ","")&amp;IF(OR(AND($E81&lt;&gt;"",NOT(ISNUMBER($E81))),AND($F81&lt;&gt;"",NOT(ISNUMBER($F81)))),"Fecha no válida"&amp;" · ","")&amp;IF(AND(ISNUMBER($E81),ISNUMBER($F81),$E81&gt;$F81),"Inicio posterior a fecha límite"&amp;" · ","")&amp;IF(AND($S81="Macro",$G81=""),"Peso vacío"&amp;" · ","")&amp;IF(AND($S81="Macro",$G81&lt;&gt;"",OR(NOT(ISNUMBER($G81)),$G81&lt;=0,$G81&gt;1)),"Peso fuera de rango"&amp;" · ","")&amp;IF(AND($S81="Sub",$G81&lt;&gt;""),"Las subactividades no llevan peso"&amp;" · ","")&amp;IF(AND($S81="Macro",ABS(SUMIFS($G$5:$G$1000,$P$5:$P$1000,$P81,$S$5:$S$1000,"Macro")-1)&gt;0.0001),"Pesos del mes suman "&amp;TEXT(SUMIFS($G$5:$G$1000,$P$5:$P$1000,$P81,$S$5:$S$1000,"Macro"),"0%")&amp;" · ","")&amp;IF(AND(N($T81)&gt;0,COUNT($H81:$K81)&gt;0),"Con subactividades: deje vacías las semanas (se calculan solas)"&amp;" · ","")&amp;IF((COUNTIF($H81:$K81,"&gt;1")+COUNTIF($H81:$K81,"&lt;0")+COUNTA($H81:$K81)-COUNT($H81:$K81))&gt;0,"Avance fuera de rango 0-100%"&amp;" · ","")&amp;IF(OR(AND($I81&lt;&gt;"",$I81&lt;$H81),AND($J81&lt;&gt;"",$J81&lt;MAX($H81:$I81)),AND($K81&lt;&gt;"",$K81&lt;MAX($H81:$J81))),"Avance semanal decreciente"&amp;" · ","")&amp;IF(AND(ISNUMBER($F81),$F81&lt;FechaRef,N($L81)&lt;1),"Vencida"&amp;" · ","")&amp;IF(AND(ObsObligatoria="Sí",ISNUMBER($F81),$F81&lt;FechaRef,N($L81)&lt;1,$N81=""),"Vencida sin observación"&amp;" · ",""))="","✔ OK","⚠ "&amp;LEFT(IF(AND($S81="Macro",$B81=""),"Macroactividad vacía"&amp;" · ","")&amp;IF(AND($B81&lt;&gt;"",$C81&lt;&gt;""),"Escriba la subactividad en otra fila, debajo de su macroactividad"&amp;" · ","")&amp;IF(AND($S81="Sub",N($R81)=0),"Subactividad sin macroactividad arriba"&amp;" · ","")&amp;IF($D81="","Sin responsable"&amp;" · ","")&amp;IF($E81="","Sin fecha de inicio"&amp;" · ","")&amp;IF($F81="","Sin fecha límite"&amp;" · ","")&amp;IF(OR(AND($E81&lt;&gt;"",NOT(ISNUMBER($E81))),AND($F81&lt;&gt;"",NOT(ISNUMBER($F81)))),"Fecha no válida"&amp;" · ","")&amp;IF(AND(ISNUMBER($E81),ISNUMBER($F81),$E81&gt;$F81),"Inicio posterior a fecha límite"&amp;" · ","")&amp;IF(AND($S81="Macro",$G81=""),"Peso vacío"&amp;" · ","")&amp;IF(AND($S81="Macro",$G81&lt;&gt;"",OR(NOT(ISNUMBER($G81)),$G81&lt;=0,$G81&gt;1)),"Peso fuera de rango"&amp;" · ","")&amp;IF(AND($S81="Sub",$G81&lt;&gt;""),"Las subactividades no llevan peso"&amp;" · ","")&amp;IF(AND($S81="Macro",ABS(SUMIFS($G$5:$G$1000,$P$5:$P$1000,$P81,$S$5:$S$1000,"Macro")-1)&gt;0.0001),"Pesos del mes suman "&amp;TEXT(SUMIFS($G$5:$G$1000,$P$5:$P$1000,$P81,$S$5:$S$1000,"Macro"),"0%")&amp;" · ","")&amp;IF(AND(N($T81)&gt;0,COUNT($H81:$K81)&gt;0),"Con subactividades: deje vacías las semanas (se calculan solas)"&amp;" · ","")&amp;IF((COUNTIF($H81:$K81,"&gt;1")+COUNTIF($H81:$K81,"&lt;0")+COUNTA($H81:$K81)-COUNT($H81:$K81))&gt;0,"Avance fuera de rango 0-100%"&amp;" · ","")&amp;IF(OR(AND($I81&lt;&gt;"",$I81&lt;$H81),AND($J81&lt;&gt;"",$J81&lt;MAX($H81:$I81)),AND($K81&lt;&gt;"",$K81&lt;MAX($H81:$J81))),"Avance semanal decreciente"&amp;" · ","")&amp;IF(AND(ISNUMBER($F81),$F81&lt;FechaRef,N($L81)&lt;1),"Vencida"&amp;" · ","")&amp;IF(AND(ObsObligatoria="Sí",ISNUMBER($F81),$F81&lt;FechaRef,N($L81)&lt;1,$N81=""),"Vencida sin observación"&amp;" · ",""),LEN(IF(AND($S81="Macro",$B81=""),"Macroactividad vacía"&amp;" · ","")&amp;IF(AND($B81&lt;&gt;"",$C81&lt;&gt;""),"Escriba la subactividad en otra fila, debajo de su macroactividad"&amp;" · ","")&amp;IF(AND($S81="Sub",N($R81)=0),"Subactividad sin macroactividad arriba"&amp;" · ","")&amp;IF($D81="","Sin responsable"&amp;" · ","")&amp;IF($E81="","Sin fecha de inicio"&amp;" · ","")&amp;IF($F81="","Sin fecha límite"&amp;" · ","")&amp;IF(OR(AND($E81&lt;&gt;"",NOT(ISNUMBER($E81))),AND($F81&lt;&gt;"",NOT(ISNUMBER($F81)))),"Fecha no válida"&amp;" · ","")&amp;IF(AND(ISNUMBER($E81),ISNUMBER($F81),$E81&gt;$F81),"Inicio posterior a fecha límite"&amp;" · ","")&amp;IF(AND($S81="Macro",$G81=""),"Peso vacío"&amp;" · ","")&amp;IF(AND($S81="Macro",$G81&lt;&gt;"",OR(NOT(ISNUMBER($G81)),$G81&lt;=0,$G81&gt;1)),"Peso fuera de rango"&amp;" · ","")&amp;IF(AND($S81="Sub",$G81&lt;&gt;""),"Las subactividades no llevan peso"&amp;" · ","")&amp;IF(AND($S81="Macro",ABS(SUMIFS($G$5:$G$1000,$P$5:$P$1000,$P81,$S$5:$S$1000,"Macro")-1)&gt;0.0001),"Pesos del mes suman "&amp;TEXT(SUMIFS($G$5:$G$1000,$P$5:$P$1000,$P81,$S$5:$S$1000,"Macro"),"0%")&amp;" · ","")&amp;IF(AND(N($T81)&gt;0,COUNT($H81:$K81)&gt;0),"Con subactividades: deje vacías las semanas (se calculan solas)"&amp;" · ","")&amp;IF((COUNTIF($H81:$K81,"&gt;1")+COUNTIF($H81:$K81,"&lt;0")+COUNTA($H81:$K81)-COUNT($H81:$K81))&gt;0,"Avance fuera de rango 0-100%"&amp;" · ","")&amp;IF(OR(AND($I81&lt;&gt;"",$I81&lt;$H81),AND($J81&lt;&gt;"",$J81&lt;MAX($H81:$I81)),AND($K81&lt;&gt;"",$K81&lt;MAX($H81:$J81))),"Avance semanal decreciente"&amp;" · ","")&amp;IF(AND(ISNUMBER($F81),$F81&lt;FechaRef,N($L81)&lt;1),"Vencida"&amp;" · ","")&amp;IF(AND(ObsObligatoria="Sí",ISNUMBER($F81),$F81&lt;FechaRef,N($L81)&lt;1,$N81=""),"Vencida sin observación"&amp;" · ",""))-3)))</f>
        <v/>
      </c>
      <c r="P81" s="69">
        <f>IF(NOT((COUNTA($B81:$K81)+COUNTA($N81))&gt;0),"",IF(AND($S81="Sub",N($R81)&gt;0),IF(ISNUMBER(INDEX($E$5:$E$1000,$R81-4)),DATE(YEAR(INDEX($E$5:$E$1000,$R81-4)),MONTH(INDEX($E$5:$E$1000,$R81-4)),1),IF(ISNUMBER(INDEX($F$5:$F$1000,$R81-4)),DATE(YEAR(INDEX($F$5:$F$1000,$R81-4)),MONTH(INDEX($F$5:$F$1000,$R81-4)),1),MesCiclo)),IF(ISNUMBER($E81),DATE(YEAR($E81),MONTH($E81),1),IF(ISNUMBER($F81),DATE(YEAR($F81),MONTH($F81),1),MesCiclo))))</f>
        <v/>
      </c>
      <c r="Q81" s="70">
        <f>IF(OR($P81="",$P81&lt;&gt;MesCiclo),"",COUNTIF($P$5:$P81,MesCiclo))</f>
        <v/>
      </c>
      <c r="R81" s="70">
        <f>IF($S81="","",IF($S81="Macro",ROW(),IFERROR(LOOKUP(2,1/($S$5:$S81="Macro"),ROW($S$5:$S81)),0)))</f>
        <v/>
      </c>
      <c r="S81" s="70">
        <f>IF(NOT((COUNTA($B81:$K81)+COUNTA($N81))&gt;0),"",IF($B81&lt;&gt;"","Macro",IF($C81&lt;&gt;"","Sub","Macro")))</f>
        <v/>
      </c>
      <c r="T81" s="70">
        <f>IF($S81="Macro",COUNTIFS($R$5:$R$1000,ROW(),$S$5:$S$1000,"Sub"),"")</f>
        <v/>
      </c>
      <c r="U81" s="70">
        <f>IF($S81="","",IF(ISNUMBER($H81),$H81,0))</f>
        <v/>
      </c>
      <c r="V81" s="70">
        <f>IF($S81="","",IF(ISNUMBER($I81),$I81,$U81))</f>
        <v/>
      </c>
      <c r="W81" s="70">
        <f>IF($S81="","",IF(ISNUMBER($J81),$J81,$V81))</f>
        <v/>
      </c>
      <c r="X81" s="70">
        <f>IF($S81="","",IF(ISNUMBER($K81),$K81,$W81))</f>
        <v/>
      </c>
      <c r="Y81" s="70">
        <f>IF($S81="","",IF(N($T81)&gt;0,AVERAGEIFS($U$5:$U$1000,$R$5:$R$1000,ROW(),$S$5:$S$1000,"Sub"),$U81))</f>
        <v/>
      </c>
      <c r="Z81" s="70">
        <f>IF($S81="","",IF(N($T81)&gt;0,AVERAGEIFS($V$5:$V$1000,$R$5:$R$1000,ROW(),$S$5:$S$1000,"Sub"),$V81))</f>
        <v/>
      </c>
      <c r="AA81" s="70">
        <f>IF($S81="","",IF(N($T81)&gt;0,AVERAGEIFS($W$5:$W$1000,$R$5:$R$1000,ROW(),$S$5:$S$1000,"Sub"),$W81))</f>
        <v/>
      </c>
      <c r="AB81" s="70">
        <f>IF($S81="","",IF(N($T81)&gt;0,AVERAGEIFS($X$5:$X$1000,$R$5:$R$1000,ROW(),$S$5:$S$1000,"Sub"),$X81))</f>
        <v/>
      </c>
    </row>
    <row r="82">
      <c r="A82" s="61">
        <f>IF(NOT((COUNTA($B82:$K82)+COUNTA($N82))&gt;0),"",IF($S82="Macro",COUNTIFS($S$5:$S82,"Macro",$P$5:$P82,$P82),IF(N($R82)=0,"?",COUNTIFS(INDEX($S$5:$S$1000,1):INDEX($S$5:$S$1000,$R82-4),"Macro",INDEX($P$5:$P$1000,1):INDEX($P$5:$P$1000,$R82-4),INDEX($P$5:$P$1000,$R82-4))&amp;"."&amp;COUNTIFS($R$5:$R82,$R82,$S$5:$S82,"Sub"))))</f>
        <v/>
      </c>
      <c r="B82" s="62" t="n"/>
      <c r="C82" s="63" t="n"/>
      <c r="D82" s="62" t="n"/>
      <c r="E82" s="64" t="n"/>
      <c r="F82" s="64" t="n"/>
      <c r="G82" s="65" t="n"/>
      <c r="H82" s="66" t="n"/>
      <c r="I82" s="66" t="n"/>
      <c r="J82" s="66" t="n"/>
      <c r="K82" s="66" t="n"/>
      <c r="L82" s="67">
        <f>IF(NOT((COUNTA($B82:$K82)+COUNTA($N82))&gt;0),"",IF(N($T82)&gt;0,$AB82,IFERROR(LOOKUP(2,1/(H82:K82&lt;&gt;""),H82:K82),0)))</f>
        <v/>
      </c>
      <c r="M82" s="61">
        <f>IF(L82="","",IF(L82&gt;=1,"Completado",IF(L82&gt;0,"En curso","Pendiente")))</f>
        <v/>
      </c>
      <c r="N82" s="62" t="n"/>
      <c r="O82" s="68">
        <f>IF(NOT((COUNTA($B82:$K82)+COUNTA($N82))&gt;0),"",IF((IF(AND($S82="Macro",$B82=""),"Macroactividad vacía"&amp;" · ","")&amp;IF(AND($B82&lt;&gt;"",$C82&lt;&gt;""),"Escriba la subactividad en otra fila, debajo de su macroactividad"&amp;" · ","")&amp;IF(AND($S82="Sub",N($R82)=0),"Subactividad sin macroactividad arriba"&amp;" · ","")&amp;IF($D82="","Sin responsable"&amp;" · ","")&amp;IF($E82="","Sin fecha de inicio"&amp;" · ","")&amp;IF($F82="","Sin fecha límite"&amp;" · ","")&amp;IF(OR(AND($E82&lt;&gt;"",NOT(ISNUMBER($E82))),AND($F82&lt;&gt;"",NOT(ISNUMBER($F82)))),"Fecha no válida"&amp;" · ","")&amp;IF(AND(ISNUMBER($E82),ISNUMBER($F82),$E82&gt;$F82),"Inicio posterior a fecha límite"&amp;" · ","")&amp;IF(AND($S82="Macro",$G82=""),"Peso vacío"&amp;" · ","")&amp;IF(AND($S82="Macro",$G82&lt;&gt;"",OR(NOT(ISNUMBER($G82)),$G82&lt;=0,$G82&gt;1)),"Peso fuera de rango"&amp;" · ","")&amp;IF(AND($S82="Sub",$G82&lt;&gt;""),"Las subactividades no llevan peso"&amp;" · ","")&amp;IF(AND($S82="Macro",ABS(SUMIFS($G$5:$G$1000,$P$5:$P$1000,$P82,$S$5:$S$1000,"Macro")-1)&gt;0.0001),"Pesos del mes suman "&amp;TEXT(SUMIFS($G$5:$G$1000,$P$5:$P$1000,$P82,$S$5:$S$1000,"Macro"),"0%")&amp;" · ","")&amp;IF(AND(N($T82)&gt;0,COUNT($H82:$K82)&gt;0),"Con subactividades: deje vacías las semanas (se calculan solas)"&amp;" · ","")&amp;IF((COUNTIF($H82:$K82,"&gt;1")+COUNTIF($H82:$K82,"&lt;0")+COUNTA($H82:$K82)-COUNT($H82:$K82))&gt;0,"Avance fuera de rango 0-100%"&amp;" · ","")&amp;IF(OR(AND($I82&lt;&gt;"",$I82&lt;$H82),AND($J82&lt;&gt;"",$J82&lt;MAX($H82:$I82)),AND($K82&lt;&gt;"",$K82&lt;MAX($H82:$J82))),"Avance semanal decreciente"&amp;" · ","")&amp;IF(AND(ISNUMBER($F82),$F82&lt;FechaRef,N($L82)&lt;1),"Vencida"&amp;" · ","")&amp;IF(AND(ObsObligatoria="Sí",ISNUMBER($F82),$F82&lt;FechaRef,N($L82)&lt;1,$N82=""),"Vencida sin observación"&amp;" · ",""))="","✔ OK","⚠ "&amp;LEFT(IF(AND($S82="Macro",$B82=""),"Macroactividad vacía"&amp;" · ","")&amp;IF(AND($B82&lt;&gt;"",$C82&lt;&gt;""),"Escriba la subactividad en otra fila, debajo de su macroactividad"&amp;" · ","")&amp;IF(AND($S82="Sub",N($R82)=0),"Subactividad sin macroactividad arriba"&amp;" · ","")&amp;IF($D82="","Sin responsable"&amp;" · ","")&amp;IF($E82="","Sin fecha de inicio"&amp;" · ","")&amp;IF($F82="","Sin fecha límite"&amp;" · ","")&amp;IF(OR(AND($E82&lt;&gt;"",NOT(ISNUMBER($E82))),AND($F82&lt;&gt;"",NOT(ISNUMBER($F82)))),"Fecha no válida"&amp;" · ","")&amp;IF(AND(ISNUMBER($E82),ISNUMBER($F82),$E82&gt;$F82),"Inicio posterior a fecha límite"&amp;" · ","")&amp;IF(AND($S82="Macro",$G82=""),"Peso vacío"&amp;" · ","")&amp;IF(AND($S82="Macro",$G82&lt;&gt;"",OR(NOT(ISNUMBER($G82)),$G82&lt;=0,$G82&gt;1)),"Peso fuera de rango"&amp;" · ","")&amp;IF(AND($S82="Sub",$G82&lt;&gt;""),"Las subactividades no llevan peso"&amp;" · ","")&amp;IF(AND($S82="Macro",ABS(SUMIFS($G$5:$G$1000,$P$5:$P$1000,$P82,$S$5:$S$1000,"Macro")-1)&gt;0.0001),"Pesos del mes suman "&amp;TEXT(SUMIFS($G$5:$G$1000,$P$5:$P$1000,$P82,$S$5:$S$1000,"Macro"),"0%")&amp;" · ","")&amp;IF(AND(N($T82)&gt;0,COUNT($H82:$K82)&gt;0),"Con subactividades: deje vacías las semanas (se calculan solas)"&amp;" · ","")&amp;IF((COUNTIF($H82:$K82,"&gt;1")+COUNTIF($H82:$K82,"&lt;0")+COUNTA($H82:$K82)-COUNT($H82:$K82))&gt;0,"Avance fuera de rango 0-100%"&amp;" · ","")&amp;IF(OR(AND($I82&lt;&gt;"",$I82&lt;$H82),AND($J82&lt;&gt;"",$J82&lt;MAX($H82:$I82)),AND($K82&lt;&gt;"",$K82&lt;MAX($H82:$J82))),"Avance semanal decreciente"&amp;" · ","")&amp;IF(AND(ISNUMBER($F82),$F82&lt;FechaRef,N($L82)&lt;1),"Vencida"&amp;" · ","")&amp;IF(AND(ObsObligatoria="Sí",ISNUMBER($F82),$F82&lt;FechaRef,N($L82)&lt;1,$N82=""),"Vencida sin observación"&amp;" · ",""),LEN(IF(AND($S82="Macro",$B82=""),"Macroactividad vacía"&amp;" · ","")&amp;IF(AND($B82&lt;&gt;"",$C82&lt;&gt;""),"Escriba la subactividad en otra fila, debajo de su macroactividad"&amp;" · ","")&amp;IF(AND($S82="Sub",N($R82)=0),"Subactividad sin macroactividad arriba"&amp;" · ","")&amp;IF($D82="","Sin responsable"&amp;" · ","")&amp;IF($E82="","Sin fecha de inicio"&amp;" · ","")&amp;IF($F82="","Sin fecha límite"&amp;" · ","")&amp;IF(OR(AND($E82&lt;&gt;"",NOT(ISNUMBER($E82))),AND($F82&lt;&gt;"",NOT(ISNUMBER($F82)))),"Fecha no válida"&amp;" · ","")&amp;IF(AND(ISNUMBER($E82),ISNUMBER($F82),$E82&gt;$F82),"Inicio posterior a fecha límite"&amp;" · ","")&amp;IF(AND($S82="Macro",$G82=""),"Peso vacío"&amp;" · ","")&amp;IF(AND($S82="Macro",$G82&lt;&gt;"",OR(NOT(ISNUMBER($G82)),$G82&lt;=0,$G82&gt;1)),"Peso fuera de rango"&amp;" · ","")&amp;IF(AND($S82="Sub",$G82&lt;&gt;""),"Las subactividades no llevan peso"&amp;" · ","")&amp;IF(AND($S82="Macro",ABS(SUMIFS($G$5:$G$1000,$P$5:$P$1000,$P82,$S$5:$S$1000,"Macro")-1)&gt;0.0001),"Pesos del mes suman "&amp;TEXT(SUMIFS($G$5:$G$1000,$P$5:$P$1000,$P82,$S$5:$S$1000,"Macro"),"0%")&amp;" · ","")&amp;IF(AND(N($T82)&gt;0,COUNT($H82:$K82)&gt;0),"Con subactividades: deje vacías las semanas (se calculan solas)"&amp;" · ","")&amp;IF((COUNTIF($H82:$K82,"&gt;1")+COUNTIF($H82:$K82,"&lt;0")+COUNTA($H82:$K82)-COUNT($H82:$K82))&gt;0,"Avance fuera de rango 0-100%"&amp;" · ","")&amp;IF(OR(AND($I82&lt;&gt;"",$I82&lt;$H82),AND($J82&lt;&gt;"",$J82&lt;MAX($H82:$I82)),AND($K82&lt;&gt;"",$K82&lt;MAX($H82:$J82))),"Avance semanal decreciente"&amp;" · ","")&amp;IF(AND(ISNUMBER($F82),$F82&lt;FechaRef,N($L82)&lt;1),"Vencida"&amp;" · ","")&amp;IF(AND(ObsObligatoria="Sí",ISNUMBER($F82),$F82&lt;FechaRef,N($L82)&lt;1,$N82=""),"Vencida sin observación"&amp;" · ",""))-3)))</f>
        <v/>
      </c>
      <c r="P82" s="69">
        <f>IF(NOT((COUNTA($B82:$K82)+COUNTA($N82))&gt;0),"",IF(AND($S82="Sub",N($R82)&gt;0),IF(ISNUMBER(INDEX($E$5:$E$1000,$R82-4)),DATE(YEAR(INDEX($E$5:$E$1000,$R82-4)),MONTH(INDEX($E$5:$E$1000,$R82-4)),1),IF(ISNUMBER(INDEX($F$5:$F$1000,$R82-4)),DATE(YEAR(INDEX($F$5:$F$1000,$R82-4)),MONTH(INDEX($F$5:$F$1000,$R82-4)),1),MesCiclo)),IF(ISNUMBER($E82),DATE(YEAR($E82),MONTH($E82),1),IF(ISNUMBER($F82),DATE(YEAR($F82),MONTH($F82),1),MesCiclo))))</f>
        <v/>
      </c>
      <c r="Q82" s="70">
        <f>IF(OR($P82="",$P82&lt;&gt;MesCiclo),"",COUNTIF($P$5:$P82,MesCiclo))</f>
        <v/>
      </c>
      <c r="R82" s="70">
        <f>IF($S82="","",IF($S82="Macro",ROW(),IFERROR(LOOKUP(2,1/($S$5:$S82="Macro"),ROW($S$5:$S82)),0)))</f>
        <v/>
      </c>
      <c r="S82" s="70">
        <f>IF(NOT((COUNTA($B82:$K82)+COUNTA($N82))&gt;0),"",IF($B82&lt;&gt;"","Macro",IF($C82&lt;&gt;"","Sub","Macro")))</f>
        <v/>
      </c>
      <c r="T82" s="70">
        <f>IF($S82="Macro",COUNTIFS($R$5:$R$1000,ROW(),$S$5:$S$1000,"Sub"),"")</f>
        <v/>
      </c>
      <c r="U82" s="70">
        <f>IF($S82="","",IF(ISNUMBER($H82),$H82,0))</f>
        <v/>
      </c>
      <c r="V82" s="70">
        <f>IF($S82="","",IF(ISNUMBER($I82),$I82,$U82))</f>
        <v/>
      </c>
      <c r="W82" s="70">
        <f>IF($S82="","",IF(ISNUMBER($J82),$J82,$V82))</f>
        <v/>
      </c>
      <c r="X82" s="70">
        <f>IF($S82="","",IF(ISNUMBER($K82),$K82,$W82))</f>
        <v/>
      </c>
      <c r="Y82" s="70">
        <f>IF($S82="","",IF(N($T82)&gt;0,AVERAGEIFS($U$5:$U$1000,$R$5:$R$1000,ROW(),$S$5:$S$1000,"Sub"),$U82))</f>
        <v/>
      </c>
      <c r="Z82" s="70">
        <f>IF($S82="","",IF(N($T82)&gt;0,AVERAGEIFS($V$5:$V$1000,$R$5:$R$1000,ROW(),$S$5:$S$1000,"Sub"),$V82))</f>
        <v/>
      </c>
      <c r="AA82" s="70">
        <f>IF($S82="","",IF(N($T82)&gt;0,AVERAGEIFS($W$5:$W$1000,$R$5:$R$1000,ROW(),$S$5:$S$1000,"Sub"),$W82))</f>
        <v/>
      </c>
      <c r="AB82" s="70">
        <f>IF($S82="","",IF(N($T82)&gt;0,AVERAGEIFS($X$5:$X$1000,$R$5:$R$1000,ROW(),$S$5:$S$1000,"Sub"),$X82))</f>
        <v/>
      </c>
    </row>
    <row r="83">
      <c r="A83" s="61">
        <f>IF(NOT((COUNTA($B83:$K83)+COUNTA($N83))&gt;0),"",IF($S83="Macro",COUNTIFS($S$5:$S83,"Macro",$P$5:$P83,$P83),IF(N($R83)=0,"?",COUNTIFS(INDEX($S$5:$S$1000,1):INDEX($S$5:$S$1000,$R83-4),"Macro",INDEX($P$5:$P$1000,1):INDEX($P$5:$P$1000,$R83-4),INDEX($P$5:$P$1000,$R83-4))&amp;"."&amp;COUNTIFS($R$5:$R83,$R83,$S$5:$S83,"Sub"))))</f>
        <v/>
      </c>
      <c r="B83" s="62" t="n"/>
      <c r="C83" s="63" t="n"/>
      <c r="D83" s="62" t="n"/>
      <c r="E83" s="64" t="n"/>
      <c r="F83" s="64" t="n"/>
      <c r="G83" s="65" t="n"/>
      <c r="H83" s="66" t="n"/>
      <c r="I83" s="66" t="n"/>
      <c r="J83" s="66" t="n"/>
      <c r="K83" s="66" t="n"/>
      <c r="L83" s="67">
        <f>IF(NOT((COUNTA($B83:$K83)+COUNTA($N83))&gt;0),"",IF(N($T83)&gt;0,$AB83,IFERROR(LOOKUP(2,1/(H83:K83&lt;&gt;""),H83:K83),0)))</f>
        <v/>
      </c>
      <c r="M83" s="61">
        <f>IF(L83="","",IF(L83&gt;=1,"Completado",IF(L83&gt;0,"En curso","Pendiente")))</f>
        <v/>
      </c>
      <c r="N83" s="62" t="n"/>
      <c r="O83" s="68">
        <f>IF(NOT((COUNTA($B83:$K83)+COUNTA($N83))&gt;0),"",IF((IF(AND($S83="Macro",$B83=""),"Macroactividad vacía"&amp;" · ","")&amp;IF(AND($B83&lt;&gt;"",$C83&lt;&gt;""),"Escriba la subactividad en otra fila, debajo de su macroactividad"&amp;" · ","")&amp;IF(AND($S83="Sub",N($R83)=0),"Subactividad sin macroactividad arriba"&amp;" · ","")&amp;IF($D83="","Sin responsable"&amp;" · ","")&amp;IF($E83="","Sin fecha de inicio"&amp;" · ","")&amp;IF($F83="","Sin fecha límite"&amp;" · ","")&amp;IF(OR(AND($E83&lt;&gt;"",NOT(ISNUMBER($E83))),AND($F83&lt;&gt;"",NOT(ISNUMBER($F83)))),"Fecha no válida"&amp;" · ","")&amp;IF(AND(ISNUMBER($E83),ISNUMBER($F83),$E83&gt;$F83),"Inicio posterior a fecha límite"&amp;" · ","")&amp;IF(AND($S83="Macro",$G83=""),"Peso vacío"&amp;" · ","")&amp;IF(AND($S83="Macro",$G83&lt;&gt;"",OR(NOT(ISNUMBER($G83)),$G83&lt;=0,$G83&gt;1)),"Peso fuera de rango"&amp;" · ","")&amp;IF(AND($S83="Sub",$G83&lt;&gt;""),"Las subactividades no llevan peso"&amp;" · ","")&amp;IF(AND($S83="Macro",ABS(SUMIFS($G$5:$G$1000,$P$5:$P$1000,$P83,$S$5:$S$1000,"Macro")-1)&gt;0.0001),"Pesos del mes suman "&amp;TEXT(SUMIFS($G$5:$G$1000,$P$5:$P$1000,$P83,$S$5:$S$1000,"Macro"),"0%")&amp;" · ","")&amp;IF(AND(N($T83)&gt;0,COUNT($H83:$K83)&gt;0),"Con subactividades: deje vacías las semanas (se calculan solas)"&amp;" · ","")&amp;IF((COUNTIF($H83:$K83,"&gt;1")+COUNTIF($H83:$K83,"&lt;0")+COUNTA($H83:$K83)-COUNT($H83:$K83))&gt;0,"Avance fuera de rango 0-100%"&amp;" · ","")&amp;IF(OR(AND($I83&lt;&gt;"",$I83&lt;$H83),AND($J83&lt;&gt;"",$J83&lt;MAX($H83:$I83)),AND($K83&lt;&gt;"",$K83&lt;MAX($H83:$J83))),"Avance semanal decreciente"&amp;" · ","")&amp;IF(AND(ISNUMBER($F83),$F83&lt;FechaRef,N($L83)&lt;1),"Vencida"&amp;" · ","")&amp;IF(AND(ObsObligatoria="Sí",ISNUMBER($F83),$F83&lt;FechaRef,N($L83)&lt;1,$N83=""),"Vencida sin observación"&amp;" · ",""))="","✔ OK","⚠ "&amp;LEFT(IF(AND($S83="Macro",$B83=""),"Macroactividad vacía"&amp;" · ","")&amp;IF(AND($B83&lt;&gt;"",$C83&lt;&gt;""),"Escriba la subactividad en otra fila, debajo de su macroactividad"&amp;" · ","")&amp;IF(AND($S83="Sub",N($R83)=0),"Subactividad sin macroactividad arriba"&amp;" · ","")&amp;IF($D83="","Sin responsable"&amp;" · ","")&amp;IF($E83="","Sin fecha de inicio"&amp;" · ","")&amp;IF($F83="","Sin fecha límite"&amp;" · ","")&amp;IF(OR(AND($E83&lt;&gt;"",NOT(ISNUMBER($E83))),AND($F83&lt;&gt;"",NOT(ISNUMBER($F83)))),"Fecha no válida"&amp;" · ","")&amp;IF(AND(ISNUMBER($E83),ISNUMBER($F83),$E83&gt;$F83),"Inicio posterior a fecha límite"&amp;" · ","")&amp;IF(AND($S83="Macro",$G83=""),"Peso vacío"&amp;" · ","")&amp;IF(AND($S83="Macro",$G83&lt;&gt;"",OR(NOT(ISNUMBER($G83)),$G83&lt;=0,$G83&gt;1)),"Peso fuera de rango"&amp;" · ","")&amp;IF(AND($S83="Sub",$G83&lt;&gt;""),"Las subactividades no llevan peso"&amp;" · ","")&amp;IF(AND($S83="Macro",ABS(SUMIFS($G$5:$G$1000,$P$5:$P$1000,$P83,$S$5:$S$1000,"Macro")-1)&gt;0.0001),"Pesos del mes suman "&amp;TEXT(SUMIFS($G$5:$G$1000,$P$5:$P$1000,$P83,$S$5:$S$1000,"Macro"),"0%")&amp;" · ","")&amp;IF(AND(N($T83)&gt;0,COUNT($H83:$K83)&gt;0),"Con subactividades: deje vacías las semanas (se calculan solas)"&amp;" · ","")&amp;IF((COUNTIF($H83:$K83,"&gt;1")+COUNTIF($H83:$K83,"&lt;0")+COUNTA($H83:$K83)-COUNT($H83:$K83))&gt;0,"Avance fuera de rango 0-100%"&amp;" · ","")&amp;IF(OR(AND($I83&lt;&gt;"",$I83&lt;$H83),AND($J83&lt;&gt;"",$J83&lt;MAX($H83:$I83)),AND($K83&lt;&gt;"",$K83&lt;MAX($H83:$J83))),"Avance semanal decreciente"&amp;" · ","")&amp;IF(AND(ISNUMBER($F83),$F83&lt;FechaRef,N($L83)&lt;1),"Vencida"&amp;" · ","")&amp;IF(AND(ObsObligatoria="Sí",ISNUMBER($F83),$F83&lt;FechaRef,N($L83)&lt;1,$N83=""),"Vencida sin observación"&amp;" · ",""),LEN(IF(AND($S83="Macro",$B83=""),"Macroactividad vacía"&amp;" · ","")&amp;IF(AND($B83&lt;&gt;"",$C83&lt;&gt;""),"Escriba la subactividad en otra fila, debajo de su macroactividad"&amp;" · ","")&amp;IF(AND($S83="Sub",N($R83)=0),"Subactividad sin macroactividad arriba"&amp;" · ","")&amp;IF($D83="","Sin responsable"&amp;" · ","")&amp;IF($E83="","Sin fecha de inicio"&amp;" · ","")&amp;IF($F83="","Sin fecha límite"&amp;" · ","")&amp;IF(OR(AND($E83&lt;&gt;"",NOT(ISNUMBER($E83))),AND($F83&lt;&gt;"",NOT(ISNUMBER($F83)))),"Fecha no válida"&amp;" · ","")&amp;IF(AND(ISNUMBER($E83),ISNUMBER($F83),$E83&gt;$F83),"Inicio posterior a fecha límite"&amp;" · ","")&amp;IF(AND($S83="Macro",$G83=""),"Peso vacío"&amp;" · ","")&amp;IF(AND($S83="Macro",$G83&lt;&gt;"",OR(NOT(ISNUMBER($G83)),$G83&lt;=0,$G83&gt;1)),"Peso fuera de rango"&amp;" · ","")&amp;IF(AND($S83="Sub",$G83&lt;&gt;""),"Las subactividades no llevan peso"&amp;" · ","")&amp;IF(AND($S83="Macro",ABS(SUMIFS($G$5:$G$1000,$P$5:$P$1000,$P83,$S$5:$S$1000,"Macro")-1)&gt;0.0001),"Pesos del mes suman "&amp;TEXT(SUMIFS($G$5:$G$1000,$P$5:$P$1000,$P83,$S$5:$S$1000,"Macro"),"0%")&amp;" · ","")&amp;IF(AND(N($T83)&gt;0,COUNT($H83:$K83)&gt;0),"Con subactividades: deje vacías las semanas (se calculan solas)"&amp;" · ","")&amp;IF((COUNTIF($H83:$K83,"&gt;1")+COUNTIF($H83:$K83,"&lt;0")+COUNTA($H83:$K83)-COUNT($H83:$K83))&gt;0,"Avance fuera de rango 0-100%"&amp;" · ","")&amp;IF(OR(AND($I83&lt;&gt;"",$I83&lt;$H83),AND($J83&lt;&gt;"",$J83&lt;MAX($H83:$I83)),AND($K83&lt;&gt;"",$K83&lt;MAX($H83:$J83))),"Avance semanal decreciente"&amp;" · ","")&amp;IF(AND(ISNUMBER($F83),$F83&lt;FechaRef,N($L83)&lt;1),"Vencida"&amp;" · ","")&amp;IF(AND(ObsObligatoria="Sí",ISNUMBER($F83),$F83&lt;FechaRef,N($L83)&lt;1,$N83=""),"Vencida sin observación"&amp;" · ",""))-3)))</f>
        <v/>
      </c>
      <c r="P83" s="69">
        <f>IF(NOT((COUNTA($B83:$K83)+COUNTA($N83))&gt;0),"",IF(AND($S83="Sub",N($R83)&gt;0),IF(ISNUMBER(INDEX($E$5:$E$1000,$R83-4)),DATE(YEAR(INDEX($E$5:$E$1000,$R83-4)),MONTH(INDEX($E$5:$E$1000,$R83-4)),1),IF(ISNUMBER(INDEX($F$5:$F$1000,$R83-4)),DATE(YEAR(INDEX($F$5:$F$1000,$R83-4)),MONTH(INDEX($F$5:$F$1000,$R83-4)),1),MesCiclo)),IF(ISNUMBER($E83),DATE(YEAR($E83),MONTH($E83),1),IF(ISNUMBER($F83),DATE(YEAR($F83),MONTH($F83),1),MesCiclo))))</f>
        <v/>
      </c>
      <c r="Q83" s="70">
        <f>IF(OR($P83="",$P83&lt;&gt;MesCiclo),"",COUNTIF($P$5:$P83,MesCiclo))</f>
        <v/>
      </c>
      <c r="R83" s="70">
        <f>IF($S83="","",IF($S83="Macro",ROW(),IFERROR(LOOKUP(2,1/($S$5:$S83="Macro"),ROW($S$5:$S83)),0)))</f>
        <v/>
      </c>
      <c r="S83" s="70">
        <f>IF(NOT((COUNTA($B83:$K83)+COUNTA($N83))&gt;0),"",IF($B83&lt;&gt;"","Macro",IF($C83&lt;&gt;"","Sub","Macro")))</f>
        <v/>
      </c>
      <c r="T83" s="70">
        <f>IF($S83="Macro",COUNTIFS($R$5:$R$1000,ROW(),$S$5:$S$1000,"Sub"),"")</f>
        <v/>
      </c>
      <c r="U83" s="70">
        <f>IF($S83="","",IF(ISNUMBER($H83),$H83,0))</f>
        <v/>
      </c>
      <c r="V83" s="70">
        <f>IF($S83="","",IF(ISNUMBER($I83),$I83,$U83))</f>
        <v/>
      </c>
      <c r="W83" s="70">
        <f>IF($S83="","",IF(ISNUMBER($J83),$J83,$V83))</f>
        <v/>
      </c>
      <c r="X83" s="70">
        <f>IF($S83="","",IF(ISNUMBER($K83),$K83,$W83))</f>
        <v/>
      </c>
      <c r="Y83" s="70">
        <f>IF($S83="","",IF(N($T83)&gt;0,AVERAGEIFS($U$5:$U$1000,$R$5:$R$1000,ROW(),$S$5:$S$1000,"Sub"),$U83))</f>
        <v/>
      </c>
      <c r="Z83" s="70">
        <f>IF($S83="","",IF(N($T83)&gt;0,AVERAGEIFS($V$5:$V$1000,$R$5:$R$1000,ROW(),$S$5:$S$1000,"Sub"),$V83))</f>
        <v/>
      </c>
      <c r="AA83" s="70">
        <f>IF($S83="","",IF(N($T83)&gt;0,AVERAGEIFS($W$5:$W$1000,$R$5:$R$1000,ROW(),$S$5:$S$1000,"Sub"),$W83))</f>
        <v/>
      </c>
      <c r="AB83" s="70">
        <f>IF($S83="","",IF(N($T83)&gt;0,AVERAGEIFS($X$5:$X$1000,$R$5:$R$1000,ROW(),$S$5:$S$1000,"Sub"),$X83))</f>
        <v/>
      </c>
    </row>
    <row r="84">
      <c r="A84" s="61">
        <f>IF(NOT((COUNTA($B84:$K84)+COUNTA($N84))&gt;0),"",IF($S84="Macro",COUNTIFS($S$5:$S84,"Macro",$P$5:$P84,$P84),IF(N($R84)=0,"?",COUNTIFS(INDEX($S$5:$S$1000,1):INDEX($S$5:$S$1000,$R84-4),"Macro",INDEX($P$5:$P$1000,1):INDEX($P$5:$P$1000,$R84-4),INDEX($P$5:$P$1000,$R84-4))&amp;"."&amp;COUNTIFS($R$5:$R84,$R84,$S$5:$S84,"Sub"))))</f>
        <v/>
      </c>
      <c r="B84" s="62" t="n"/>
      <c r="C84" s="63" t="n"/>
      <c r="D84" s="62" t="n"/>
      <c r="E84" s="64" t="n"/>
      <c r="F84" s="64" t="n"/>
      <c r="G84" s="65" t="n"/>
      <c r="H84" s="66" t="n"/>
      <c r="I84" s="66" t="n"/>
      <c r="J84" s="66" t="n"/>
      <c r="K84" s="66" t="n"/>
      <c r="L84" s="67">
        <f>IF(NOT((COUNTA($B84:$K84)+COUNTA($N84))&gt;0),"",IF(N($T84)&gt;0,$AB84,IFERROR(LOOKUP(2,1/(H84:K84&lt;&gt;""),H84:K84),0)))</f>
        <v/>
      </c>
      <c r="M84" s="61">
        <f>IF(L84="","",IF(L84&gt;=1,"Completado",IF(L84&gt;0,"En curso","Pendiente")))</f>
        <v/>
      </c>
      <c r="N84" s="62" t="n"/>
      <c r="O84" s="68">
        <f>IF(NOT((COUNTA($B84:$K84)+COUNTA($N84))&gt;0),"",IF((IF(AND($S84="Macro",$B84=""),"Macroactividad vacía"&amp;" · ","")&amp;IF(AND($B84&lt;&gt;"",$C84&lt;&gt;""),"Escriba la subactividad en otra fila, debajo de su macroactividad"&amp;" · ","")&amp;IF(AND($S84="Sub",N($R84)=0),"Subactividad sin macroactividad arriba"&amp;" · ","")&amp;IF($D84="","Sin responsable"&amp;" · ","")&amp;IF($E84="","Sin fecha de inicio"&amp;" · ","")&amp;IF($F84="","Sin fecha límite"&amp;" · ","")&amp;IF(OR(AND($E84&lt;&gt;"",NOT(ISNUMBER($E84))),AND($F84&lt;&gt;"",NOT(ISNUMBER($F84)))),"Fecha no válida"&amp;" · ","")&amp;IF(AND(ISNUMBER($E84),ISNUMBER($F84),$E84&gt;$F84),"Inicio posterior a fecha límite"&amp;" · ","")&amp;IF(AND($S84="Macro",$G84=""),"Peso vacío"&amp;" · ","")&amp;IF(AND($S84="Macro",$G84&lt;&gt;"",OR(NOT(ISNUMBER($G84)),$G84&lt;=0,$G84&gt;1)),"Peso fuera de rango"&amp;" · ","")&amp;IF(AND($S84="Sub",$G84&lt;&gt;""),"Las subactividades no llevan peso"&amp;" · ","")&amp;IF(AND($S84="Macro",ABS(SUMIFS($G$5:$G$1000,$P$5:$P$1000,$P84,$S$5:$S$1000,"Macro")-1)&gt;0.0001),"Pesos del mes suman "&amp;TEXT(SUMIFS($G$5:$G$1000,$P$5:$P$1000,$P84,$S$5:$S$1000,"Macro"),"0%")&amp;" · ","")&amp;IF(AND(N($T84)&gt;0,COUNT($H84:$K84)&gt;0),"Con subactividades: deje vacías las semanas (se calculan solas)"&amp;" · ","")&amp;IF((COUNTIF($H84:$K84,"&gt;1")+COUNTIF($H84:$K84,"&lt;0")+COUNTA($H84:$K84)-COUNT($H84:$K84))&gt;0,"Avance fuera de rango 0-100%"&amp;" · ","")&amp;IF(OR(AND($I84&lt;&gt;"",$I84&lt;$H84),AND($J84&lt;&gt;"",$J84&lt;MAX($H84:$I84)),AND($K84&lt;&gt;"",$K84&lt;MAX($H84:$J84))),"Avance semanal decreciente"&amp;" · ","")&amp;IF(AND(ISNUMBER($F84),$F84&lt;FechaRef,N($L84)&lt;1),"Vencida"&amp;" · ","")&amp;IF(AND(ObsObligatoria="Sí",ISNUMBER($F84),$F84&lt;FechaRef,N($L84)&lt;1,$N84=""),"Vencida sin observación"&amp;" · ",""))="","✔ OK","⚠ "&amp;LEFT(IF(AND($S84="Macro",$B84=""),"Macroactividad vacía"&amp;" · ","")&amp;IF(AND($B84&lt;&gt;"",$C84&lt;&gt;""),"Escriba la subactividad en otra fila, debajo de su macroactividad"&amp;" · ","")&amp;IF(AND($S84="Sub",N($R84)=0),"Subactividad sin macroactividad arriba"&amp;" · ","")&amp;IF($D84="","Sin responsable"&amp;" · ","")&amp;IF($E84="","Sin fecha de inicio"&amp;" · ","")&amp;IF($F84="","Sin fecha límite"&amp;" · ","")&amp;IF(OR(AND($E84&lt;&gt;"",NOT(ISNUMBER($E84))),AND($F84&lt;&gt;"",NOT(ISNUMBER($F84)))),"Fecha no válida"&amp;" · ","")&amp;IF(AND(ISNUMBER($E84),ISNUMBER($F84),$E84&gt;$F84),"Inicio posterior a fecha límite"&amp;" · ","")&amp;IF(AND($S84="Macro",$G84=""),"Peso vacío"&amp;" · ","")&amp;IF(AND($S84="Macro",$G84&lt;&gt;"",OR(NOT(ISNUMBER($G84)),$G84&lt;=0,$G84&gt;1)),"Peso fuera de rango"&amp;" · ","")&amp;IF(AND($S84="Sub",$G84&lt;&gt;""),"Las subactividades no llevan peso"&amp;" · ","")&amp;IF(AND($S84="Macro",ABS(SUMIFS($G$5:$G$1000,$P$5:$P$1000,$P84,$S$5:$S$1000,"Macro")-1)&gt;0.0001),"Pesos del mes suman "&amp;TEXT(SUMIFS($G$5:$G$1000,$P$5:$P$1000,$P84,$S$5:$S$1000,"Macro"),"0%")&amp;" · ","")&amp;IF(AND(N($T84)&gt;0,COUNT($H84:$K84)&gt;0),"Con subactividades: deje vacías las semanas (se calculan solas)"&amp;" · ","")&amp;IF((COUNTIF($H84:$K84,"&gt;1")+COUNTIF($H84:$K84,"&lt;0")+COUNTA($H84:$K84)-COUNT($H84:$K84))&gt;0,"Avance fuera de rango 0-100%"&amp;" · ","")&amp;IF(OR(AND($I84&lt;&gt;"",$I84&lt;$H84),AND($J84&lt;&gt;"",$J84&lt;MAX($H84:$I84)),AND($K84&lt;&gt;"",$K84&lt;MAX($H84:$J84))),"Avance semanal decreciente"&amp;" · ","")&amp;IF(AND(ISNUMBER($F84),$F84&lt;FechaRef,N($L84)&lt;1),"Vencida"&amp;" · ","")&amp;IF(AND(ObsObligatoria="Sí",ISNUMBER($F84),$F84&lt;FechaRef,N($L84)&lt;1,$N84=""),"Vencida sin observación"&amp;" · ",""),LEN(IF(AND($S84="Macro",$B84=""),"Macroactividad vacía"&amp;" · ","")&amp;IF(AND($B84&lt;&gt;"",$C84&lt;&gt;""),"Escriba la subactividad en otra fila, debajo de su macroactividad"&amp;" · ","")&amp;IF(AND($S84="Sub",N($R84)=0),"Subactividad sin macroactividad arriba"&amp;" · ","")&amp;IF($D84="","Sin responsable"&amp;" · ","")&amp;IF($E84="","Sin fecha de inicio"&amp;" · ","")&amp;IF($F84="","Sin fecha límite"&amp;" · ","")&amp;IF(OR(AND($E84&lt;&gt;"",NOT(ISNUMBER($E84))),AND($F84&lt;&gt;"",NOT(ISNUMBER($F84)))),"Fecha no válida"&amp;" · ","")&amp;IF(AND(ISNUMBER($E84),ISNUMBER($F84),$E84&gt;$F84),"Inicio posterior a fecha límite"&amp;" · ","")&amp;IF(AND($S84="Macro",$G84=""),"Peso vacío"&amp;" · ","")&amp;IF(AND($S84="Macro",$G84&lt;&gt;"",OR(NOT(ISNUMBER($G84)),$G84&lt;=0,$G84&gt;1)),"Peso fuera de rango"&amp;" · ","")&amp;IF(AND($S84="Sub",$G84&lt;&gt;""),"Las subactividades no llevan peso"&amp;" · ","")&amp;IF(AND($S84="Macro",ABS(SUMIFS($G$5:$G$1000,$P$5:$P$1000,$P84,$S$5:$S$1000,"Macro")-1)&gt;0.0001),"Pesos del mes suman "&amp;TEXT(SUMIFS($G$5:$G$1000,$P$5:$P$1000,$P84,$S$5:$S$1000,"Macro"),"0%")&amp;" · ","")&amp;IF(AND(N($T84)&gt;0,COUNT($H84:$K84)&gt;0),"Con subactividades: deje vacías las semanas (se calculan solas)"&amp;" · ","")&amp;IF((COUNTIF($H84:$K84,"&gt;1")+COUNTIF($H84:$K84,"&lt;0")+COUNTA($H84:$K84)-COUNT($H84:$K84))&gt;0,"Avance fuera de rango 0-100%"&amp;" · ","")&amp;IF(OR(AND($I84&lt;&gt;"",$I84&lt;$H84),AND($J84&lt;&gt;"",$J84&lt;MAX($H84:$I84)),AND($K84&lt;&gt;"",$K84&lt;MAX($H84:$J84))),"Avance semanal decreciente"&amp;" · ","")&amp;IF(AND(ISNUMBER($F84),$F84&lt;FechaRef,N($L84)&lt;1),"Vencida"&amp;" · ","")&amp;IF(AND(ObsObligatoria="Sí",ISNUMBER($F84),$F84&lt;FechaRef,N($L84)&lt;1,$N84=""),"Vencida sin observación"&amp;" · ",""))-3)))</f>
        <v/>
      </c>
      <c r="P84" s="69">
        <f>IF(NOT((COUNTA($B84:$K84)+COUNTA($N84))&gt;0),"",IF(AND($S84="Sub",N($R84)&gt;0),IF(ISNUMBER(INDEX($E$5:$E$1000,$R84-4)),DATE(YEAR(INDEX($E$5:$E$1000,$R84-4)),MONTH(INDEX($E$5:$E$1000,$R84-4)),1),IF(ISNUMBER(INDEX($F$5:$F$1000,$R84-4)),DATE(YEAR(INDEX($F$5:$F$1000,$R84-4)),MONTH(INDEX($F$5:$F$1000,$R84-4)),1),MesCiclo)),IF(ISNUMBER($E84),DATE(YEAR($E84),MONTH($E84),1),IF(ISNUMBER($F84),DATE(YEAR($F84),MONTH($F84),1),MesCiclo))))</f>
        <v/>
      </c>
      <c r="Q84" s="70">
        <f>IF(OR($P84="",$P84&lt;&gt;MesCiclo),"",COUNTIF($P$5:$P84,MesCiclo))</f>
        <v/>
      </c>
      <c r="R84" s="70">
        <f>IF($S84="","",IF($S84="Macro",ROW(),IFERROR(LOOKUP(2,1/($S$5:$S84="Macro"),ROW($S$5:$S84)),0)))</f>
        <v/>
      </c>
      <c r="S84" s="70">
        <f>IF(NOT((COUNTA($B84:$K84)+COUNTA($N84))&gt;0),"",IF($B84&lt;&gt;"","Macro",IF($C84&lt;&gt;"","Sub","Macro")))</f>
        <v/>
      </c>
      <c r="T84" s="70">
        <f>IF($S84="Macro",COUNTIFS($R$5:$R$1000,ROW(),$S$5:$S$1000,"Sub"),"")</f>
        <v/>
      </c>
      <c r="U84" s="70">
        <f>IF($S84="","",IF(ISNUMBER($H84),$H84,0))</f>
        <v/>
      </c>
      <c r="V84" s="70">
        <f>IF($S84="","",IF(ISNUMBER($I84),$I84,$U84))</f>
        <v/>
      </c>
      <c r="W84" s="70">
        <f>IF($S84="","",IF(ISNUMBER($J84),$J84,$V84))</f>
        <v/>
      </c>
      <c r="X84" s="70">
        <f>IF($S84="","",IF(ISNUMBER($K84),$K84,$W84))</f>
        <v/>
      </c>
      <c r="Y84" s="70">
        <f>IF($S84="","",IF(N($T84)&gt;0,AVERAGEIFS($U$5:$U$1000,$R$5:$R$1000,ROW(),$S$5:$S$1000,"Sub"),$U84))</f>
        <v/>
      </c>
      <c r="Z84" s="70">
        <f>IF($S84="","",IF(N($T84)&gt;0,AVERAGEIFS($V$5:$V$1000,$R$5:$R$1000,ROW(),$S$5:$S$1000,"Sub"),$V84))</f>
        <v/>
      </c>
      <c r="AA84" s="70">
        <f>IF($S84="","",IF(N($T84)&gt;0,AVERAGEIFS($W$5:$W$1000,$R$5:$R$1000,ROW(),$S$5:$S$1000,"Sub"),$W84))</f>
        <v/>
      </c>
      <c r="AB84" s="70">
        <f>IF($S84="","",IF(N($T84)&gt;0,AVERAGEIFS($X$5:$X$1000,$R$5:$R$1000,ROW(),$S$5:$S$1000,"Sub"),$X84))</f>
        <v/>
      </c>
    </row>
    <row r="85">
      <c r="A85" s="61">
        <f>IF(NOT((COUNTA($B85:$K85)+COUNTA($N85))&gt;0),"",IF($S85="Macro",COUNTIFS($S$5:$S85,"Macro",$P$5:$P85,$P85),IF(N($R85)=0,"?",COUNTIFS(INDEX($S$5:$S$1000,1):INDEX($S$5:$S$1000,$R85-4),"Macro",INDEX($P$5:$P$1000,1):INDEX($P$5:$P$1000,$R85-4),INDEX($P$5:$P$1000,$R85-4))&amp;"."&amp;COUNTIFS($R$5:$R85,$R85,$S$5:$S85,"Sub"))))</f>
        <v/>
      </c>
      <c r="B85" s="62" t="n"/>
      <c r="C85" s="63" t="n"/>
      <c r="D85" s="62" t="n"/>
      <c r="E85" s="64" t="n"/>
      <c r="F85" s="64" t="n"/>
      <c r="G85" s="65" t="n"/>
      <c r="H85" s="66" t="n"/>
      <c r="I85" s="66" t="n"/>
      <c r="J85" s="66" t="n"/>
      <c r="K85" s="66" t="n"/>
      <c r="L85" s="67">
        <f>IF(NOT((COUNTA($B85:$K85)+COUNTA($N85))&gt;0),"",IF(N($T85)&gt;0,$AB85,IFERROR(LOOKUP(2,1/(H85:K85&lt;&gt;""),H85:K85),0)))</f>
        <v/>
      </c>
      <c r="M85" s="61">
        <f>IF(L85="","",IF(L85&gt;=1,"Completado",IF(L85&gt;0,"En curso","Pendiente")))</f>
        <v/>
      </c>
      <c r="N85" s="62" t="n"/>
      <c r="O85" s="68">
        <f>IF(NOT((COUNTA($B85:$K85)+COUNTA($N85))&gt;0),"",IF((IF(AND($S85="Macro",$B85=""),"Macroactividad vacía"&amp;" · ","")&amp;IF(AND($B85&lt;&gt;"",$C85&lt;&gt;""),"Escriba la subactividad en otra fila, debajo de su macroactividad"&amp;" · ","")&amp;IF(AND($S85="Sub",N($R85)=0),"Subactividad sin macroactividad arriba"&amp;" · ","")&amp;IF($D85="","Sin responsable"&amp;" · ","")&amp;IF($E85="","Sin fecha de inicio"&amp;" · ","")&amp;IF($F85="","Sin fecha límite"&amp;" · ","")&amp;IF(OR(AND($E85&lt;&gt;"",NOT(ISNUMBER($E85))),AND($F85&lt;&gt;"",NOT(ISNUMBER($F85)))),"Fecha no válida"&amp;" · ","")&amp;IF(AND(ISNUMBER($E85),ISNUMBER($F85),$E85&gt;$F85),"Inicio posterior a fecha límite"&amp;" · ","")&amp;IF(AND($S85="Macro",$G85=""),"Peso vacío"&amp;" · ","")&amp;IF(AND($S85="Macro",$G85&lt;&gt;"",OR(NOT(ISNUMBER($G85)),$G85&lt;=0,$G85&gt;1)),"Peso fuera de rango"&amp;" · ","")&amp;IF(AND($S85="Sub",$G85&lt;&gt;""),"Las subactividades no llevan peso"&amp;" · ","")&amp;IF(AND($S85="Macro",ABS(SUMIFS($G$5:$G$1000,$P$5:$P$1000,$P85,$S$5:$S$1000,"Macro")-1)&gt;0.0001),"Pesos del mes suman "&amp;TEXT(SUMIFS($G$5:$G$1000,$P$5:$P$1000,$P85,$S$5:$S$1000,"Macro"),"0%")&amp;" · ","")&amp;IF(AND(N($T85)&gt;0,COUNT($H85:$K85)&gt;0),"Con subactividades: deje vacías las semanas (se calculan solas)"&amp;" · ","")&amp;IF((COUNTIF($H85:$K85,"&gt;1")+COUNTIF($H85:$K85,"&lt;0")+COUNTA($H85:$K85)-COUNT($H85:$K85))&gt;0,"Avance fuera de rango 0-100%"&amp;" · ","")&amp;IF(OR(AND($I85&lt;&gt;"",$I85&lt;$H85),AND($J85&lt;&gt;"",$J85&lt;MAX($H85:$I85)),AND($K85&lt;&gt;"",$K85&lt;MAX($H85:$J85))),"Avance semanal decreciente"&amp;" · ","")&amp;IF(AND(ISNUMBER($F85),$F85&lt;FechaRef,N($L85)&lt;1),"Vencida"&amp;" · ","")&amp;IF(AND(ObsObligatoria="Sí",ISNUMBER($F85),$F85&lt;FechaRef,N($L85)&lt;1,$N85=""),"Vencida sin observación"&amp;" · ",""))="","✔ OK","⚠ "&amp;LEFT(IF(AND($S85="Macro",$B85=""),"Macroactividad vacía"&amp;" · ","")&amp;IF(AND($B85&lt;&gt;"",$C85&lt;&gt;""),"Escriba la subactividad en otra fila, debajo de su macroactividad"&amp;" · ","")&amp;IF(AND($S85="Sub",N($R85)=0),"Subactividad sin macroactividad arriba"&amp;" · ","")&amp;IF($D85="","Sin responsable"&amp;" · ","")&amp;IF($E85="","Sin fecha de inicio"&amp;" · ","")&amp;IF($F85="","Sin fecha límite"&amp;" · ","")&amp;IF(OR(AND($E85&lt;&gt;"",NOT(ISNUMBER($E85))),AND($F85&lt;&gt;"",NOT(ISNUMBER($F85)))),"Fecha no válida"&amp;" · ","")&amp;IF(AND(ISNUMBER($E85),ISNUMBER($F85),$E85&gt;$F85),"Inicio posterior a fecha límite"&amp;" · ","")&amp;IF(AND($S85="Macro",$G85=""),"Peso vacío"&amp;" · ","")&amp;IF(AND($S85="Macro",$G85&lt;&gt;"",OR(NOT(ISNUMBER($G85)),$G85&lt;=0,$G85&gt;1)),"Peso fuera de rango"&amp;" · ","")&amp;IF(AND($S85="Sub",$G85&lt;&gt;""),"Las subactividades no llevan peso"&amp;" · ","")&amp;IF(AND($S85="Macro",ABS(SUMIFS($G$5:$G$1000,$P$5:$P$1000,$P85,$S$5:$S$1000,"Macro")-1)&gt;0.0001),"Pesos del mes suman "&amp;TEXT(SUMIFS($G$5:$G$1000,$P$5:$P$1000,$P85,$S$5:$S$1000,"Macro"),"0%")&amp;" · ","")&amp;IF(AND(N($T85)&gt;0,COUNT($H85:$K85)&gt;0),"Con subactividades: deje vacías las semanas (se calculan solas)"&amp;" · ","")&amp;IF((COUNTIF($H85:$K85,"&gt;1")+COUNTIF($H85:$K85,"&lt;0")+COUNTA($H85:$K85)-COUNT($H85:$K85))&gt;0,"Avance fuera de rango 0-100%"&amp;" · ","")&amp;IF(OR(AND($I85&lt;&gt;"",$I85&lt;$H85),AND($J85&lt;&gt;"",$J85&lt;MAX($H85:$I85)),AND($K85&lt;&gt;"",$K85&lt;MAX($H85:$J85))),"Avance semanal decreciente"&amp;" · ","")&amp;IF(AND(ISNUMBER($F85),$F85&lt;FechaRef,N($L85)&lt;1),"Vencida"&amp;" · ","")&amp;IF(AND(ObsObligatoria="Sí",ISNUMBER($F85),$F85&lt;FechaRef,N($L85)&lt;1,$N85=""),"Vencida sin observación"&amp;" · ",""),LEN(IF(AND($S85="Macro",$B85=""),"Macroactividad vacía"&amp;" · ","")&amp;IF(AND($B85&lt;&gt;"",$C85&lt;&gt;""),"Escriba la subactividad en otra fila, debajo de su macroactividad"&amp;" · ","")&amp;IF(AND($S85="Sub",N($R85)=0),"Subactividad sin macroactividad arriba"&amp;" · ","")&amp;IF($D85="","Sin responsable"&amp;" · ","")&amp;IF($E85="","Sin fecha de inicio"&amp;" · ","")&amp;IF($F85="","Sin fecha límite"&amp;" · ","")&amp;IF(OR(AND($E85&lt;&gt;"",NOT(ISNUMBER($E85))),AND($F85&lt;&gt;"",NOT(ISNUMBER($F85)))),"Fecha no válida"&amp;" · ","")&amp;IF(AND(ISNUMBER($E85),ISNUMBER($F85),$E85&gt;$F85),"Inicio posterior a fecha límite"&amp;" · ","")&amp;IF(AND($S85="Macro",$G85=""),"Peso vacío"&amp;" · ","")&amp;IF(AND($S85="Macro",$G85&lt;&gt;"",OR(NOT(ISNUMBER($G85)),$G85&lt;=0,$G85&gt;1)),"Peso fuera de rango"&amp;" · ","")&amp;IF(AND($S85="Sub",$G85&lt;&gt;""),"Las subactividades no llevan peso"&amp;" · ","")&amp;IF(AND($S85="Macro",ABS(SUMIFS($G$5:$G$1000,$P$5:$P$1000,$P85,$S$5:$S$1000,"Macro")-1)&gt;0.0001),"Pesos del mes suman "&amp;TEXT(SUMIFS($G$5:$G$1000,$P$5:$P$1000,$P85,$S$5:$S$1000,"Macro"),"0%")&amp;" · ","")&amp;IF(AND(N($T85)&gt;0,COUNT($H85:$K85)&gt;0),"Con subactividades: deje vacías las semanas (se calculan solas)"&amp;" · ","")&amp;IF((COUNTIF($H85:$K85,"&gt;1")+COUNTIF($H85:$K85,"&lt;0")+COUNTA($H85:$K85)-COUNT($H85:$K85))&gt;0,"Avance fuera de rango 0-100%"&amp;" · ","")&amp;IF(OR(AND($I85&lt;&gt;"",$I85&lt;$H85),AND($J85&lt;&gt;"",$J85&lt;MAX($H85:$I85)),AND($K85&lt;&gt;"",$K85&lt;MAX($H85:$J85))),"Avance semanal decreciente"&amp;" · ","")&amp;IF(AND(ISNUMBER($F85),$F85&lt;FechaRef,N($L85)&lt;1),"Vencida"&amp;" · ","")&amp;IF(AND(ObsObligatoria="Sí",ISNUMBER($F85),$F85&lt;FechaRef,N($L85)&lt;1,$N85=""),"Vencida sin observación"&amp;" · ",""))-3)))</f>
        <v/>
      </c>
      <c r="P85" s="69">
        <f>IF(NOT((COUNTA($B85:$K85)+COUNTA($N85))&gt;0),"",IF(AND($S85="Sub",N($R85)&gt;0),IF(ISNUMBER(INDEX($E$5:$E$1000,$R85-4)),DATE(YEAR(INDEX($E$5:$E$1000,$R85-4)),MONTH(INDEX($E$5:$E$1000,$R85-4)),1),IF(ISNUMBER(INDEX($F$5:$F$1000,$R85-4)),DATE(YEAR(INDEX($F$5:$F$1000,$R85-4)),MONTH(INDEX($F$5:$F$1000,$R85-4)),1),MesCiclo)),IF(ISNUMBER($E85),DATE(YEAR($E85),MONTH($E85),1),IF(ISNUMBER($F85),DATE(YEAR($F85),MONTH($F85),1),MesCiclo))))</f>
        <v/>
      </c>
      <c r="Q85" s="70">
        <f>IF(OR($P85="",$P85&lt;&gt;MesCiclo),"",COUNTIF($P$5:$P85,MesCiclo))</f>
        <v/>
      </c>
      <c r="R85" s="70">
        <f>IF($S85="","",IF($S85="Macro",ROW(),IFERROR(LOOKUP(2,1/($S$5:$S85="Macro"),ROW($S$5:$S85)),0)))</f>
        <v/>
      </c>
      <c r="S85" s="70">
        <f>IF(NOT((COUNTA($B85:$K85)+COUNTA($N85))&gt;0),"",IF($B85&lt;&gt;"","Macro",IF($C85&lt;&gt;"","Sub","Macro")))</f>
        <v/>
      </c>
      <c r="T85" s="70">
        <f>IF($S85="Macro",COUNTIFS($R$5:$R$1000,ROW(),$S$5:$S$1000,"Sub"),"")</f>
        <v/>
      </c>
      <c r="U85" s="70">
        <f>IF($S85="","",IF(ISNUMBER($H85),$H85,0))</f>
        <v/>
      </c>
      <c r="V85" s="70">
        <f>IF($S85="","",IF(ISNUMBER($I85),$I85,$U85))</f>
        <v/>
      </c>
      <c r="W85" s="70">
        <f>IF($S85="","",IF(ISNUMBER($J85),$J85,$V85))</f>
        <v/>
      </c>
      <c r="X85" s="70">
        <f>IF($S85="","",IF(ISNUMBER($K85),$K85,$W85))</f>
        <v/>
      </c>
      <c r="Y85" s="70">
        <f>IF($S85="","",IF(N($T85)&gt;0,AVERAGEIFS($U$5:$U$1000,$R$5:$R$1000,ROW(),$S$5:$S$1000,"Sub"),$U85))</f>
        <v/>
      </c>
      <c r="Z85" s="70">
        <f>IF($S85="","",IF(N($T85)&gt;0,AVERAGEIFS($V$5:$V$1000,$R$5:$R$1000,ROW(),$S$5:$S$1000,"Sub"),$V85))</f>
        <v/>
      </c>
      <c r="AA85" s="70">
        <f>IF($S85="","",IF(N($T85)&gt;0,AVERAGEIFS($W$5:$W$1000,$R$5:$R$1000,ROW(),$S$5:$S$1000,"Sub"),$W85))</f>
        <v/>
      </c>
      <c r="AB85" s="70">
        <f>IF($S85="","",IF(N($T85)&gt;0,AVERAGEIFS($X$5:$X$1000,$R$5:$R$1000,ROW(),$S$5:$S$1000,"Sub"),$X85))</f>
        <v/>
      </c>
    </row>
    <row r="86">
      <c r="A86" s="61">
        <f>IF(NOT((COUNTA($B86:$K86)+COUNTA($N86))&gt;0),"",IF($S86="Macro",COUNTIFS($S$5:$S86,"Macro",$P$5:$P86,$P86),IF(N($R86)=0,"?",COUNTIFS(INDEX($S$5:$S$1000,1):INDEX($S$5:$S$1000,$R86-4),"Macro",INDEX($P$5:$P$1000,1):INDEX($P$5:$P$1000,$R86-4),INDEX($P$5:$P$1000,$R86-4))&amp;"."&amp;COUNTIFS($R$5:$R86,$R86,$S$5:$S86,"Sub"))))</f>
        <v/>
      </c>
      <c r="B86" s="62" t="n"/>
      <c r="C86" s="63" t="n"/>
      <c r="D86" s="62" t="n"/>
      <c r="E86" s="64" t="n"/>
      <c r="F86" s="64" t="n"/>
      <c r="G86" s="65" t="n"/>
      <c r="H86" s="66" t="n"/>
      <c r="I86" s="66" t="n"/>
      <c r="J86" s="66" t="n"/>
      <c r="K86" s="66" t="n"/>
      <c r="L86" s="67">
        <f>IF(NOT((COUNTA($B86:$K86)+COUNTA($N86))&gt;0),"",IF(N($T86)&gt;0,$AB86,IFERROR(LOOKUP(2,1/(H86:K86&lt;&gt;""),H86:K86),0)))</f>
        <v/>
      </c>
      <c r="M86" s="61">
        <f>IF(L86="","",IF(L86&gt;=1,"Completado",IF(L86&gt;0,"En curso","Pendiente")))</f>
        <v/>
      </c>
      <c r="N86" s="62" t="n"/>
      <c r="O86" s="68">
        <f>IF(NOT((COUNTA($B86:$K86)+COUNTA($N86))&gt;0),"",IF((IF(AND($S86="Macro",$B86=""),"Macroactividad vacía"&amp;" · ","")&amp;IF(AND($B86&lt;&gt;"",$C86&lt;&gt;""),"Escriba la subactividad en otra fila, debajo de su macroactividad"&amp;" · ","")&amp;IF(AND($S86="Sub",N($R86)=0),"Subactividad sin macroactividad arriba"&amp;" · ","")&amp;IF($D86="","Sin responsable"&amp;" · ","")&amp;IF($E86="","Sin fecha de inicio"&amp;" · ","")&amp;IF($F86="","Sin fecha límite"&amp;" · ","")&amp;IF(OR(AND($E86&lt;&gt;"",NOT(ISNUMBER($E86))),AND($F86&lt;&gt;"",NOT(ISNUMBER($F86)))),"Fecha no válida"&amp;" · ","")&amp;IF(AND(ISNUMBER($E86),ISNUMBER($F86),$E86&gt;$F86),"Inicio posterior a fecha límite"&amp;" · ","")&amp;IF(AND($S86="Macro",$G86=""),"Peso vacío"&amp;" · ","")&amp;IF(AND($S86="Macro",$G86&lt;&gt;"",OR(NOT(ISNUMBER($G86)),$G86&lt;=0,$G86&gt;1)),"Peso fuera de rango"&amp;" · ","")&amp;IF(AND($S86="Sub",$G86&lt;&gt;""),"Las subactividades no llevan peso"&amp;" · ","")&amp;IF(AND($S86="Macro",ABS(SUMIFS($G$5:$G$1000,$P$5:$P$1000,$P86,$S$5:$S$1000,"Macro")-1)&gt;0.0001),"Pesos del mes suman "&amp;TEXT(SUMIFS($G$5:$G$1000,$P$5:$P$1000,$P86,$S$5:$S$1000,"Macro"),"0%")&amp;" · ","")&amp;IF(AND(N($T86)&gt;0,COUNT($H86:$K86)&gt;0),"Con subactividades: deje vacías las semanas (se calculan solas)"&amp;" · ","")&amp;IF((COUNTIF($H86:$K86,"&gt;1")+COUNTIF($H86:$K86,"&lt;0")+COUNTA($H86:$K86)-COUNT($H86:$K86))&gt;0,"Avance fuera de rango 0-100%"&amp;" · ","")&amp;IF(OR(AND($I86&lt;&gt;"",$I86&lt;$H86),AND($J86&lt;&gt;"",$J86&lt;MAX($H86:$I86)),AND($K86&lt;&gt;"",$K86&lt;MAX($H86:$J86))),"Avance semanal decreciente"&amp;" · ","")&amp;IF(AND(ISNUMBER($F86),$F86&lt;FechaRef,N($L86)&lt;1),"Vencida"&amp;" · ","")&amp;IF(AND(ObsObligatoria="Sí",ISNUMBER($F86),$F86&lt;FechaRef,N($L86)&lt;1,$N86=""),"Vencida sin observación"&amp;" · ",""))="","✔ OK","⚠ "&amp;LEFT(IF(AND($S86="Macro",$B86=""),"Macroactividad vacía"&amp;" · ","")&amp;IF(AND($B86&lt;&gt;"",$C86&lt;&gt;""),"Escriba la subactividad en otra fila, debajo de su macroactividad"&amp;" · ","")&amp;IF(AND($S86="Sub",N($R86)=0),"Subactividad sin macroactividad arriba"&amp;" · ","")&amp;IF($D86="","Sin responsable"&amp;" · ","")&amp;IF($E86="","Sin fecha de inicio"&amp;" · ","")&amp;IF($F86="","Sin fecha límite"&amp;" · ","")&amp;IF(OR(AND($E86&lt;&gt;"",NOT(ISNUMBER($E86))),AND($F86&lt;&gt;"",NOT(ISNUMBER($F86)))),"Fecha no válida"&amp;" · ","")&amp;IF(AND(ISNUMBER($E86),ISNUMBER($F86),$E86&gt;$F86),"Inicio posterior a fecha límite"&amp;" · ","")&amp;IF(AND($S86="Macro",$G86=""),"Peso vacío"&amp;" · ","")&amp;IF(AND($S86="Macro",$G86&lt;&gt;"",OR(NOT(ISNUMBER($G86)),$G86&lt;=0,$G86&gt;1)),"Peso fuera de rango"&amp;" · ","")&amp;IF(AND($S86="Sub",$G86&lt;&gt;""),"Las subactividades no llevan peso"&amp;" · ","")&amp;IF(AND($S86="Macro",ABS(SUMIFS($G$5:$G$1000,$P$5:$P$1000,$P86,$S$5:$S$1000,"Macro")-1)&gt;0.0001),"Pesos del mes suman "&amp;TEXT(SUMIFS($G$5:$G$1000,$P$5:$P$1000,$P86,$S$5:$S$1000,"Macro"),"0%")&amp;" · ","")&amp;IF(AND(N($T86)&gt;0,COUNT($H86:$K86)&gt;0),"Con subactividades: deje vacías las semanas (se calculan solas)"&amp;" · ","")&amp;IF((COUNTIF($H86:$K86,"&gt;1")+COUNTIF($H86:$K86,"&lt;0")+COUNTA($H86:$K86)-COUNT($H86:$K86))&gt;0,"Avance fuera de rango 0-100%"&amp;" · ","")&amp;IF(OR(AND($I86&lt;&gt;"",$I86&lt;$H86),AND($J86&lt;&gt;"",$J86&lt;MAX($H86:$I86)),AND($K86&lt;&gt;"",$K86&lt;MAX($H86:$J86))),"Avance semanal decreciente"&amp;" · ","")&amp;IF(AND(ISNUMBER($F86),$F86&lt;FechaRef,N($L86)&lt;1),"Vencida"&amp;" · ","")&amp;IF(AND(ObsObligatoria="Sí",ISNUMBER($F86),$F86&lt;FechaRef,N($L86)&lt;1,$N86=""),"Vencida sin observación"&amp;" · ",""),LEN(IF(AND($S86="Macro",$B86=""),"Macroactividad vacía"&amp;" · ","")&amp;IF(AND($B86&lt;&gt;"",$C86&lt;&gt;""),"Escriba la subactividad en otra fila, debajo de su macroactividad"&amp;" · ","")&amp;IF(AND($S86="Sub",N($R86)=0),"Subactividad sin macroactividad arriba"&amp;" · ","")&amp;IF($D86="","Sin responsable"&amp;" · ","")&amp;IF($E86="","Sin fecha de inicio"&amp;" · ","")&amp;IF($F86="","Sin fecha límite"&amp;" · ","")&amp;IF(OR(AND($E86&lt;&gt;"",NOT(ISNUMBER($E86))),AND($F86&lt;&gt;"",NOT(ISNUMBER($F86)))),"Fecha no válida"&amp;" · ","")&amp;IF(AND(ISNUMBER($E86),ISNUMBER($F86),$E86&gt;$F86),"Inicio posterior a fecha límite"&amp;" · ","")&amp;IF(AND($S86="Macro",$G86=""),"Peso vacío"&amp;" · ","")&amp;IF(AND($S86="Macro",$G86&lt;&gt;"",OR(NOT(ISNUMBER($G86)),$G86&lt;=0,$G86&gt;1)),"Peso fuera de rango"&amp;" · ","")&amp;IF(AND($S86="Sub",$G86&lt;&gt;""),"Las subactividades no llevan peso"&amp;" · ","")&amp;IF(AND($S86="Macro",ABS(SUMIFS($G$5:$G$1000,$P$5:$P$1000,$P86,$S$5:$S$1000,"Macro")-1)&gt;0.0001),"Pesos del mes suman "&amp;TEXT(SUMIFS($G$5:$G$1000,$P$5:$P$1000,$P86,$S$5:$S$1000,"Macro"),"0%")&amp;" · ","")&amp;IF(AND(N($T86)&gt;0,COUNT($H86:$K86)&gt;0),"Con subactividades: deje vacías las semanas (se calculan solas)"&amp;" · ","")&amp;IF((COUNTIF($H86:$K86,"&gt;1")+COUNTIF($H86:$K86,"&lt;0")+COUNTA($H86:$K86)-COUNT($H86:$K86))&gt;0,"Avance fuera de rango 0-100%"&amp;" · ","")&amp;IF(OR(AND($I86&lt;&gt;"",$I86&lt;$H86),AND($J86&lt;&gt;"",$J86&lt;MAX($H86:$I86)),AND($K86&lt;&gt;"",$K86&lt;MAX($H86:$J86))),"Avance semanal decreciente"&amp;" · ","")&amp;IF(AND(ISNUMBER($F86),$F86&lt;FechaRef,N($L86)&lt;1),"Vencida"&amp;" · ","")&amp;IF(AND(ObsObligatoria="Sí",ISNUMBER($F86),$F86&lt;FechaRef,N($L86)&lt;1,$N86=""),"Vencida sin observación"&amp;" · ",""))-3)))</f>
        <v/>
      </c>
      <c r="P86" s="69">
        <f>IF(NOT((COUNTA($B86:$K86)+COUNTA($N86))&gt;0),"",IF(AND($S86="Sub",N($R86)&gt;0),IF(ISNUMBER(INDEX($E$5:$E$1000,$R86-4)),DATE(YEAR(INDEX($E$5:$E$1000,$R86-4)),MONTH(INDEX($E$5:$E$1000,$R86-4)),1),IF(ISNUMBER(INDEX($F$5:$F$1000,$R86-4)),DATE(YEAR(INDEX($F$5:$F$1000,$R86-4)),MONTH(INDEX($F$5:$F$1000,$R86-4)),1),MesCiclo)),IF(ISNUMBER($E86),DATE(YEAR($E86),MONTH($E86),1),IF(ISNUMBER($F86),DATE(YEAR($F86),MONTH($F86),1),MesCiclo))))</f>
        <v/>
      </c>
      <c r="Q86" s="70">
        <f>IF(OR($P86="",$P86&lt;&gt;MesCiclo),"",COUNTIF($P$5:$P86,MesCiclo))</f>
        <v/>
      </c>
      <c r="R86" s="70">
        <f>IF($S86="","",IF($S86="Macro",ROW(),IFERROR(LOOKUP(2,1/($S$5:$S86="Macro"),ROW($S$5:$S86)),0)))</f>
        <v/>
      </c>
      <c r="S86" s="70">
        <f>IF(NOT((COUNTA($B86:$K86)+COUNTA($N86))&gt;0),"",IF($B86&lt;&gt;"","Macro",IF($C86&lt;&gt;"","Sub","Macro")))</f>
        <v/>
      </c>
      <c r="T86" s="70">
        <f>IF($S86="Macro",COUNTIFS($R$5:$R$1000,ROW(),$S$5:$S$1000,"Sub"),"")</f>
        <v/>
      </c>
      <c r="U86" s="70">
        <f>IF($S86="","",IF(ISNUMBER($H86),$H86,0))</f>
        <v/>
      </c>
      <c r="V86" s="70">
        <f>IF($S86="","",IF(ISNUMBER($I86),$I86,$U86))</f>
        <v/>
      </c>
      <c r="W86" s="70">
        <f>IF($S86="","",IF(ISNUMBER($J86),$J86,$V86))</f>
        <v/>
      </c>
      <c r="X86" s="70">
        <f>IF($S86="","",IF(ISNUMBER($K86),$K86,$W86))</f>
        <v/>
      </c>
      <c r="Y86" s="70">
        <f>IF($S86="","",IF(N($T86)&gt;0,AVERAGEIFS($U$5:$U$1000,$R$5:$R$1000,ROW(),$S$5:$S$1000,"Sub"),$U86))</f>
        <v/>
      </c>
      <c r="Z86" s="70">
        <f>IF($S86="","",IF(N($T86)&gt;0,AVERAGEIFS($V$5:$V$1000,$R$5:$R$1000,ROW(),$S$5:$S$1000,"Sub"),$V86))</f>
        <v/>
      </c>
      <c r="AA86" s="70">
        <f>IF($S86="","",IF(N($T86)&gt;0,AVERAGEIFS($W$5:$W$1000,$R$5:$R$1000,ROW(),$S$5:$S$1000,"Sub"),$W86))</f>
        <v/>
      </c>
      <c r="AB86" s="70">
        <f>IF($S86="","",IF(N($T86)&gt;0,AVERAGEIFS($X$5:$X$1000,$R$5:$R$1000,ROW(),$S$5:$S$1000,"Sub"),$X86))</f>
        <v/>
      </c>
    </row>
    <row r="87">
      <c r="A87" s="61">
        <f>IF(NOT((COUNTA($B87:$K87)+COUNTA($N87))&gt;0),"",IF($S87="Macro",COUNTIFS($S$5:$S87,"Macro",$P$5:$P87,$P87),IF(N($R87)=0,"?",COUNTIFS(INDEX($S$5:$S$1000,1):INDEX($S$5:$S$1000,$R87-4),"Macro",INDEX($P$5:$P$1000,1):INDEX($P$5:$P$1000,$R87-4),INDEX($P$5:$P$1000,$R87-4))&amp;"."&amp;COUNTIFS($R$5:$R87,$R87,$S$5:$S87,"Sub"))))</f>
        <v/>
      </c>
      <c r="B87" s="62" t="n"/>
      <c r="C87" s="63" t="n"/>
      <c r="D87" s="62" t="n"/>
      <c r="E87" s="64" t="n"/>
      <c r="F87" s="64" t="n"/>
      <c r="G87" s="65" t="n"/>
      <c r="H87" s="66" t="n"/>
      <c r="I87" s="66" t="n"/>
      <c r="J87" s="66" t="n"/>
      <c r="K87" s="66" t="n"/>
      <c r="L87" s="67">
        <f>IF(NOT((COUNTA($B87:$K87)+COUNTA($N87))&gt;0),"",IF(N($T87)&gt;0,$AB87,IFERROR(LOOKUP(2,1/(H87:K87&lt;&gt;""),H87:K87),0)))</f>
        <v/>
      </c>
      <c r="M87" s="61">
        <f>IF(L87="","",IF(L87&gt;=1,"Completado",IF(L87&gt;0,"En curso","Pendiente")))</f>
        <v/>
      </c>
      <c r="N87" s="62" t="n"/>
      <c r="O87" s="68">
        <f>IF(NOT((COUNTA($B87:$K87)+COUNTA($N87))&gt;0),"",IF((IF(AND($S87="Macro",$B87=""),"Macroactividad vacía"&amp;" · ","")&amp;IF(AND($B87&lt;&gt;"",$C87&lt;&gt;""),"Escriba la subactividad en otra fila, debajo de su macroactividad"&amp;" · ","")&amp;IF(AND($S87="Sub",N($R87)=0),"Subactividad sin macroactividad arriba"&amp;" · ","")&amp;IF($D87="","Sin responsable"&amp;" · ","")&amp;IF($E87="","Sin fecha de inicio"&amp;" · ","")&amp;IF($F87="","Sin fecha límite"&amp;" · ","")&amp;IF(OR(AND($E87&lt;&gt;"",NOT(ISNUMBER($E87))),AND($F87&lt;&gt;"",NOT(ISNUMBER($F87)))),"Fecha no válida"&amp;" · ","")&amp;IF(AND(ISNUMBER($E87),ISNUMBER($F87),$E87&gt;$F87),"Inicio posterior a fecha límite"&amp;" · ","")&amp;IF(AND($S87="Macro",$G87=""),"Peso vacío"&amp;" · ","")&amp;IF(AND($S87="Macro",$G87&lt;&gt;"",OR(NOT(ISNUMBER($G87)),$G87&lt;=0,$G87&gt;1)),"Peso fuera de rango"&amp;" · ","")&amp;IF(AND($S87="Sub",$G87&lt;&gt;""),"Las subactividades no llevan peso"&amp;" · ","")&amp;IF(AND($S87="Macro",ABS(SUMIFS($G$5:$G$1000,$P$5:$P$1000,$P87,$S$5:$S$1000,"Macro")-1)&gt;0.0001),"Pesos del mes suman "&amp;TEXT(SUMIFS($G$5:$G$1000,$P$5:$P$1000,$P87,$S$5:$S$1000,"Macro"),"0%")&amp;" · ","")&amp;IF(AND(N($T87)&gt;0,COUNT($H87:$K87)&gt;0),"Con subactividades: deje vacías las semanas (se calculan solas)"&amp;" · ","")&amp;IF((COUNTIF($H87:$K87,"&gt;1")+COUNTIF($H87:$K87,"&lt;0")+COUNTA($H87:$K87)-COUNT($H87:$K87))&gt;0,"Avance fuera de rango 0-100%"&amp;" · ","")&amp;IF(OR(AND($I87&lt;&gt;"",$I87&lt;$H87),AND($J87&lt;&gt;"",$J87&lt;MAX($H87:$I87)),AND($K87&lt;&gt;"",$K87&lt;MAX($H87:$J87))),"Avance semanal decreciente"&amp;" · ","")&amp;IF(AND(ISNUMBER($F87),$F87&lt;FechaRef,N($L87)&lt;1),"Vencida"&amp;" · ","")&amp;IF(AND(ObsObligatoria="Sí",ISNUMBER($F87),$F87&lt;FechaRef,N($L87)&lt;1,$N87=""),"Vencida sin observación"&amp;" · ",""))="","✔ OK","⚠ "&amp;LEFT(IF(AND($S87="Macro",$B87=""),"Macroactividad vacía"&amp;" · ","")&amp;IF(AND($B87&lt;&gt;"",$C87&lt;&gt;""),"Escriba la subactividad en otra fila, debajo de su macroactividad"&amp;" · ","")&amp;IF(AND($S87="Sub",N($R87)=0),"Subactividad sin macroactividad arriba"&amp;" · ","")&amp;IF($D87="","Sin responsable"&amp;" · ","")&amp;IF($E87="","Sin fecha de inicio"&amp;" · ","")&amp;IF($F87="","Sin fecha límite"&amp;" · ","")&amp;IF(OR(AND($E87&lt;&gt;"",NOT(ISNUMBER($E87))),AND($F87&lt;&gt;"",NOT(ISNUMBER($F87)))),"Fecha no válida"&amp;" · ","")&amp;IF(AND(ISNUMBER($E87),ISNUMBER($F87),$E87&gt;$F87),"Inicio posterior a fecha límite"&amp;" · ","")&amp;IF(AND($S87="Macro",$G87=""),"Peso vacío"&amp;" · ","")&amp;IF(AND($S87="Macro",$G87&lt;&gt;"",OR(NOT(ISNUMBER($G87)),$G87&lt;=0,$G87&gt;1)),"Peso fuera de rango"&amp;" · ","")&amp;IF(AND($S87="Sub",$G87&lt;&gt;""),"Las subactividades no llevan peso"&amp;" · ","")&amp;IF(AND($S87="Macro",ABS(SUMIFS($G$5:$G$1000,$P$5:$P$1000,$P87,$S$5:$S$1000,"Macro")-1)&gt;0.0001),"Pesos del mes suman "&amp;TEXT(SUMIFS($G$5:$G$1000,$P$5:$P$1000,$P87,$S$5:$S$1000,"Macro"),"0%")&amp;" · ","")&amp;IF(AND(N($T87)&gt;0,COUNT($H87:$K87)&gt;0),"Con subactividades: deje vacías las semanas (se calculan solas)"&amp;" · ","")&amp;IF((COUNTIF($H87:$K87,"&gt;1")+COUNTIF($H87:$K87,"&lt;0")+COUNTA($H87:$K87)-COUNT($H87:$K87))&gt;0,"Avance fuera de rango 0-100%"&amp;" · ","")&amp;IF(OR(AND($I87&lt;&gt;"",$I87&lt;$H87),AND($J87&lt;&gt;"",$J87&lt;MAX($H87:$I87)),AND($K87&lt;&gt;"",$K87&lt;MAX($H87:$J87))),"Avance semanal decreciente"&amp;" · ","")&amp;IF(AND(ISNUMBER($F87),$F87&lt;FechaRef,N($L87)&lt;1),"Vencida"&amp;" · ","")&amp;IF(AND(ObsObligatoria="Sí",ISNUMBER($F87),$F87&lt;FechaRef,N($L87)&lt;1,$N87=""),"Vencida sin observación"&amp;" · ",""),LEN(IF(AND($S87="Macro",$B87=""),"Macroactividad vacía"&amp;" · ","")&amp;IF(AND($B87&lt;&gt;"",$C87&lt;&gt;""),"Escriba la subactividad en otra fila, debajo de su macroactividad"&amp;" · ","")&amp;IF(AND($S87="Sub",N($R87)=0),"Subactividad sin macroactividad arriba"&amp;" · ","")&amp;IF($D87="","Sin responsable"&amp;" · ","")&amp;IF($E87="","Sin fecha de inicio"&amp;" · ","")&amp;IF($F87="","Sin fecha límite"&amp;" · ","")&amp;IF(OR(AND($E87&lt;&gt;"",NOT(ISNUMBER($E87))),AND($F87&lt;&gt;"",NOT(ISNUMBER($F87)))),"Fecha no válida"&amp;" · ","")&amp;IF(AND(ISNUMBER($E87),ISNUMBER($F87),$E87&gt;$F87),"Inicio posterior a fecha límite"&amp;" · ","")&amp;IF(AND($S87="Macro",$G87=""),"Peso vacío"&amp;" · ","")&amp;IF(AND($S87="Macro",$G87&lt;&gt;"",OR(NOT(ISNUMBER($G87)),$G87&lt;=0,$G87&gt;1)),"Peso fuera de rango"&amp;" · ","")&amp;IF(AND($S87="Sub",$G87&lt;&gt;""),"Las subactividades no llevan peso"&amp;" · ","")&amp;IF(AND($S87="Macro",ABS(SUMIFS($G$5:$G$1000,$P$5:$P$1000,$P87,$S$5:$S$1000,"Macro")-1)&gt;0.0001),"Pesos del mes suman "&amp;TEXT(SUMIFS($G$5:$G$1000,$P$5:$P$1000,$P87,$S$5:$S$1000,"Macro"),"0%")&amp;" · ","")&amp;IF(AND(N($T87)&gt;0,COUNT($H87:$K87)&gt;0),"Con subactividades: deje vacías las semanas (se calculan solas)"&amp;" · ","")&amp;IF((COUNTIF($H87:$K87,"&gt;1")+COUNTIF($H87:$K87,"&lt;0")+COUNTA($H87:$K87)-COUNT($H87:$K87))&gt;0,"Avance fuera de rango 0-100%"&amp;" · ","")&amp;IF(OR(AND($I87&lt;&gt;"",$I87&lt;$H87),AND($J87&lt;&gt;"",$J87&lt;MAX($H87:$I87)),AND($K87&lt;&gt;"",$K87&lt;MAX($H87:$J87))),"Avance semanal decreciente"&amp;" · ","")&amp;IF(AND(ISNUMBER($F87),$F87&lt;FechaRef,N($L87)&lt;1),"Vencida"&amp;" · ","")&amp;IF(AND(ObsObligatoria="Sí",ISNUMBER($F87),$F87&lt;FechaRef,N($L87)&lt;1,$N87=""),"Vencida sin observación"&amp;" · ",""))-3)))</f>
        <v/>
      </c>
      <c r="P87" s="69">
        <f>IF(NOT((COUNTA($B87:$K87)+COUNTA($N87))&gt;0),"",IF(AND($S87="Sub",N($R87)&gt;0),IF(ISNUMBER(INDEX($E$5:$E$1000,$R87-4)),DATE(YEAR(INDEX($E$5:$E$1000,$R87-4)),MONTH(INDEX($E$5:$E$1000,$R87-4)),1),IF(ISNUMBER(INDEX($F$5:$F$1000,$R87-4)),DATE(YEAR(INDEX($F$5:$F$1000,$R87-4)),MONTH(INDEX($F$5:$F$1000,$R87-4)),1),MesCiclo)),IF(ISNUMBER($E87),DATE(YEAR($E87),MONTH($E87),1),IF(ISNUMBER($F87),DATE(YEAR($F87),MONTH($F87),1),MesCiclo))))</f>
        <v/>
      </c>
      <c r="Q87" s="70">
        <f>IF(OR($P87="",$P87&lt;&gt;MesCiclo),"",COUNTIF($P$5:$P87,MesCiclo))</f>
        <v/>
      </c>
      <c r="R87" s="70">
        <f>IF($S87="","",IF($S87="Macro",ROW(),IFERROR(LOOKUP(2,1/($S$5:$S87="Macro"),ROW($S$5:$S87)),0)))</f>
        <v/>
      </c>
      <c r="S87" s="70">
        <f>IF(NOT((COUNTA($B87:$K87)+COUNTA($N87))&gt;0),"",IF($B87&lt;&gt;"","Macro",IF($C87&lt;&gt;"","Sub","Macro")))</f>
        <v/>
      </c>
      <c r="T87" s="70">
        <f>IF($S87="Macro",COUNTIFS($R$5:$R$1000,ROW(),$S$5:$S$1000,"Sub"),"")</f>
        <v/>
      </c>
      <c r="U87" s="70">
        <f>IF($S87="","",IF(ISNUMBER($H87),$H87,0))</f>
        <v/>
      </c>
      <c r="V87" s="70">
        <f>IF($S87="","",IF(ISNUMBER($I87),$I87,$U87))</f>
        <v/>
      </c>
      <c r="W87" s="70">
        <f>IF($S87="","",IF(ISNUMBER($J87),$J87,$V87))</f>
        <v/>
      </c>
      <c r="X87" s="70">
        <f>IF($S87="","",IF(ISNUMBER($K87),$K87,$W87))</f>
        <v/>
      </c>
      <c r="Y87" s="70">
        <f>IF($S87="","",IF(N($T87)&gt;0,AVERAGEIFS($U$5:$U$1000,$R$5:$R$1000,ROW(),$S$5:$S$1000,"Sub"),$U87))</f>
        <v/>
      </c>
      <c r="Z87" s="70">
        <f>IF($S87="","",IF(N($T87)&gt;0,AVERAGEIFS($V$5:$V$1000,$R$5:$R$1000,ROW(),$S$5:$S$1000,"Sub"),$V87))</f>
        <v/>
      </c>
      <c r="AA87" s="70">
        <f>IF($S87="","",IF(N($T87)&gt;0,AVERAGEIFS($W$5:$W$1000,$R$5:$R$1000,ROW(),$S$5:$S$1000,"Sub"),$W87))</f>
        <v/>
      </c>
      <c r="AB87" s="70">
        <f>IF($S87="","",IF(N($T87)&gt;0,AVERAGEIFS($X$5:$X$1000,$R$5:$R$1000,ROW(),$S$5:$S$1000,"Sub"),$X87))</f>
        <v/>
      </c>
    </row>
    <row r="88">
      <c r="A88" s="61">
        <f>IF(NOT((COUNTA($B88:$K88)+COUNTA($N88))&gt;0),"",IF($S88="Macro",COUNTIFS($S$5:$S88,"Macro",$P$5:$P88,$P88),IF(N($R88)=0,"?",COUNTIFS(INDEX($S$5:$S$1000,1):INDEX($S$5:$S$1000,$R88-4),"Macro",INDEX($P$5:$P$1000,1):INDEX($P$5:$P$1000,$R88-4),INDEX($P$5:$P$1000,$R88-4))&amp;"."&amp;COUNTIFS($R$5:$R88,$R88,$S$5:$S88,"Sub"))))</f>
        <v/>
      </c>
      <c r="B88" s="62" t="n"/>
      <c r="C88" s="63" t="n"/>
      <c r="D88" s="62" t="n"/>
      <c r="E88" s="64" t="n"/>
      <c r="F88" s="64" t="n"/>
      <c r="G88" s="65" t="n"/>
      <c r="H88" s="66" t="n"/>
      <c r="I88" s="66" t="n"/>
      <c r="J88" s="66" t="n"/>
      <c r="K88" s="66" t="n"/>
      <c r="L88" s="67">
        <f>IF(NOT((COUNTA($B88:$K88)+COUNTA($N88))&gt;0),"",IF(N($T88)&gt;0,$AB88,IFERROR(LOOKUP(2,1/(H88:K88&lt;&gt;""),H88:K88),0)))</f>
        <v/>
      </c>
      <c r="M88" s="61">
        <f>IF(L88="","",IF(L88&gt;=1,"Completado",IF(L88&gt;0,"En curso","Pendiente")))</f>
        <v/>
      </c>
      <c r="N88" s="62" t="n"/>
      <c r="O88" s="68">
        <f>IF(NOT((COUNTA($B88:$K88)+COUNTA($N88))&gt;0),"",IF((IF(AND($S88="Macro",$B88=""),"Macroactividad vacía"&amp;" · ","")&amp;IF(AND($B88&lt;&gt;"",$C88&lt;&gt;""),"Escriba la subactividad en otra fila, debajo de su macroactividad"&amp;" · ","")&amp;IF(AND($S88="Sub",N($R88)=0),"Subactividad sin macroactividad arriba"&amp;" · ","")&amp;IF($D88="","Sin responsable"&amp;" · ","")&amp;IF($E88="","Sin fecha de inicio"&amp;" · ","")&amp;IF($F88="","Sin fecha límite"&amp;" · ","")&amp;IF(OR(AND($E88&lt;&gt;"",NOT(ISNUMBER($E88))),AND($F88&lt;&gt;"",NOT(ISNUMBER($F88)))),"Fecha no válida"&amp;" · ","")&amp;IF(AND(ISNUMBER($E88),ISNUMBER($F88),$E88&gt;$F88),"Inicio posterior a fecha límite"&amp;" · ","")&amp;IF(AND($S88="Macro",$G88=""),"Peso vacío"&amp;" · ","")&amp;IF(AND($S88="Macro",$G88&lt;&gt;"",OR(NOT(ISNUMBER($G88)),$G88&lt;=0,$G88&gt;1)),"Peso fuera de rango"&amp;" · ","")&amp;IF(AND($S88="Sub",$G88&lt;&gt;""),"Las subactividades no llevan peso"&amp;" · ","")&amp;IF(AND($S88="Macro",ABS(SUMIFS($G$5:$G$1000,$P$5:$P$1000,$P88,$S$5:$S$1000,"Macro")-1)&gt;0.0001),"Pesos del mes suman "&amp;TEXT(SUMIFS($G$5:$G$1000,$P$5:$P$1000,$P88,$S$5:$S$1000,"Macro"),"0%")&amp;" · ","")&amp;IF(AND(N($T88)&gt;0,COUNT($H88:$K88)&gt;0),"Con subactividades: deje vacías las semanas (se calculan solas)"&amp;" · ","")&amp;IF((COUNTIF($H88:$K88,"&gt;1")+COUNTIF($H88:$K88,"&lt;0")+COUNTA($H88:$K88)-COUNT($H88:$K88))&gt;0,"Avance fuera de rango 0-100%"&amp;" · ","")&amp;IF(OR(AND($I88&lt;&gt;"",$I88&lt;$H88),AND($J88&lt;&gt;"",$J88&lt;MAX($H88:$I88)),AND($K88&lt;&gt;"",$K88&lt;MAX($H88:$J88))),"Avance semanal decreciente"&amp;" · ","")&amp;IF(AND(ISNUMBER($F88),$F88&lt;FechaRef,N($L88)&lt;1),"Vencida"&amp;" · ","")&amp;IF(AND(ObsObligatoria="Sí",ISNUMBER($F88),$F88&lt;FechaRef,N($L88)&lt;1,$N88=""),"Vencida sin observación"&amp;" · ",""))="","✔ OK","⚠ "&amp;LEFT(IF(AND($S88="Macro",$B88=""),"Macroactividad vacía"&amp;" · ","")&amp;IF(AND($B88&lt;&gt;"",$C88&lt;&gt;""),"Escriba la subactividad en otra fila, debajo de su macroactividad"&amp;" · ","")&amp;IF(AND($S88="Sub",N($R88)=0),"Subactividad sin macroactividad arriba"&amp;" · ","")&amp;IF($D88="","Sin responsable"&amp;" · ","")&amp;IF($E88="","Sin fecha de inicio"&amp;" · ","")&amp;IF($F88="","Sin fecha límite"&amp;" · ","")&amp;IF(OR(AND($E88&lt;&gt;"",NOT(ISNUMBER($E88))),AND($F88&lt;&gt;"",NOT(ISNUMBER($F88)))),"Fecha no válida"&amp;" · ","")&amp;IF(AND(ISNUMBER($E88),ISNUMBER($F88),$E88&gt;$F88),"Inicio posterior a fecha límite"&amp;" · ","")&amp;IF(AND($S88="Macro",$G88=""),"Peso vacío"&amp;" · ","")&amp;IF(AND($S88="Macro",$G88&lt;&gt;"",OR(NOT(ISNUMBER($G88)),$G88&lt;=0,$G88&gt;1)),"Peso fuera de rango"&amp;" · ","")&amp;IF(AND($S88="Sub",$G88&lt;&gt;""),"Las subactividades no llevan peso"&amp;" · ","")&amp;IF(AND($S88="Macro",ABS(SUMIFS($G$5:$G$1000,$P$5:$P$1000,$P88,$S$5:$S$1000,"Macro")-1)&gt;0.0001),"Pesos del mes suman "&amp;TEXT(SUMIFS($G$5:$G$1000,$P$5:$P$1000,$P88,$S$5:$S$1000,"Macro"),"0%")&amp;" · ","")&amp;IF(AND(N($T88)&gt;0,COUNT($H88:$K88)&gt;0),"Con subactividades: deje vacías las semanas (se calculan solas)"&amp;" · ","")&amp;IF((COUNTIF($H88:$K88,"&gt;1")+COUNTIF($H88:$K88,"&lt;0")+COUNTA($H88:$K88)-COUNT($H88:$K88))&gt;0,"Avance fuera de rango 0-100%"&amp;" · ","")&amp;IF(OR(AND($I88&lt;&gt;"",$I88&lt;$H88),AND($J88&lt;&gt;"",$J88&lt;MAX($H88:$I88)),AND($K88&lt;&gt;"",$K88&lt;MAX($H88:$J88))),"Avance semanal decreciente"&amp;" · ","")&amp;IF(AND(ISNUMBER($F88),$F88&lt;FechaRef,N($L88)&lt;1),"Vencida"&amp;" · ","")&amp;IF(AND(ObsObligatoria="Sí",ISNUMBER($F88),$F88&lt;FechaRef,N($L88)&lt;1,$N88=""),"Vencida sin observación"&amp;" · ",""),LEN(IF(AND($S88="Macro",$B88=""),"Macroactividad vacía"&amp;" · ","")&amp;IF(AND($B88&lt;&gt;"",$C88&lt;&gt;""),"Escriba la subactividad en otra fila, debajo de su macroactividad"&amp;" · ","")&amp;IF(AND($S88="Sub",N($R88)=0),"Subactividad sin macroactividad arriba"&amp;" · ","")&amp;IF($D88="","Sin responsable"&amp;" · ","")&amp;IF($E88="","Sin fecha de inicio"&amp;" · ","")&amp;IF($F88="","Sin fecha límite"&amp;" · ","")&amp;IF(OR(AND($E88&lt;&gt;"",NOT(ISNUMBER($E88))),AND($F88&lt;&gt;"",NOT(ISNUMBER($F88)))),"Fecha no válida"&amp;" · ","")&amp;IF(AND(ISNUMBER($E88),ISNUMBER($F88),$E88&gt;$F88),"Inicio posterior a fecha límite"&amp;" · ","")&amp;IF(AND($S88="Macro",$G88=""),"Peso vacío"&amp;" · ","")&amp;IF(AND($S88="Macro",$G88&lt;&gt;"",OR(NOT(ISNUMBER($G88)),$G88&lt;=0,$G88&gt;1)),"Peso fuera de rango"&amp;" · ","")&amp;IF(AND($S88="Sub",$G88&lt;&gt;""),"Las subactividades no llevan peso"&amp;" · ","")&amp;IF(AND($S88="Macro",ABS(SUMIFS($G$5:$G$1000,$P$5:$P$1000,$P88,$S$5:$S$1000,"Macro")-1)&gt;0.0001),"Pesos del mes suman "&amp;TEXT(SUMIFS($G$5:$G$1000,$P$5:$P$1000,$P88,$S$5:$S$1000,"Macro"),"0%")&amp;" · ","")&amp;IF(AND(N($T88)&gt;0,COUNT($H88:$K88)&gt;0),"Con subactividades: deje vacías las semanas (se calculan solas)"&amp;" · ","")&amp;IF((COUNTIF($H88:$K88,"&gt;1")+COUNTIF($H88:$K88,"&lt;0")+COUNTA($H88:$K88)-COUNT($H88:$K88))&gt;0,"Avance fuera de rango 0-100%"&amp;" · ","")&amp;IF(OR(AND($I88&lt;&gt;"",$I88&lt;$H88),AND($J88&lt;&gt;"",$J88&lt;MAX($H88:$I88)),AND($K88&lt;&gt;"",$K88&lt;MAX($H88:$J88))),"Avance semanal decreciente"&amp;" · ","")&amp;IF(AND(ISNUMBER($F88),$F88&lt;FechaRef,N($L88)&lt;1),"Vencida"&amp;" · ","")&amp;IF(AND(ObsObligatoria="Sí",ISNUMBER($F88),$F88&lt;FechaRef,N($L88)&lt;1,$N88=""),"Vencida sin observación"&amp;" · ",""))-3)))</f>
        <v/>
      </c>
      <c r="P88" s="69">
        <f>IF(NOT((COUNTA($B88:$K88)+COUNTA($N88))&gt;0),"",IF(AND($S88="Sub",N($R88)&gt;0),IF(ISNUMBER(INDEX($E$5:$E$1000,$R88-4)),DATE(YEAR(INDEX($E$5:$E$1000,$R88-4)),MONTH(INDEX($E$5:$E$1000,$R88-4)),1),IF(ISNUMBER(INDEX($F$5:$F$1000,$R88-4)),DATE(YEAR(INDEX($F$5:$F$1000,$R88-4)),MONTH(INDEX($F$5:$F$1000,$R88-4)),1),MesCiclo)),IF(ISNUMBER($E88),DATE(YEAR($E88),MONTH($E88),1),IF(ISNUMBER($F88),DATE(YEAR($F88),MONTH($F88),1),MesCiclo))))</f>
        <v/>
      </c>
      <c r="Q88" s="70">
        <f>IF(OR($P88="",$P88&lt;&gt;MesCiclo),"",COUNTIF($P$5:$P88,MesCiclo))</f>
        <v/>
      </c>
      <c r="R88" s="70">
        <f>IF($S88="","",IF($S88="Macro",ROW(),IFERROR(LOOKUP(2,1/($S$5:$S88="Macro"),ROW($S$5:$S88)),0)))</f>
        <v/>
      </c>
      <c r="S88" s="70">
        <f>IF(NOT((COUNTA($B88:$K88)+COUNTA($N88))&gt;0),"",IF($B88&lt;&gt;"","Macro",IF($C88&lt;&gt;"","Sub","Macro")))</f>
        <v/>
      </c>
      <c r="T88" s="70">
        <f>IF($S88="Macro",COUNTIFS($R$5:$R$1000,ROW(),$S$5:$S$1000,"Sub"),"")</f>
        <v/>
      </c>
      <c r="U88" s="70">
        <f>IF($S88="","",IF(ISNUMBER($H88),$H88,0))</f>
        <v/>
      </c>
      <c r="V88" s="70">
        <f>IF($S88="","",IF(ISNUMBER($I88),$I88,$U88))</f>
        <v/>
      </c>
      <c r="W88" s="70">
        <f>IF($S88="","",IF(ISNUMBER($J88),$J88,$V88))</f>
        <v/>
      </c>
      <c r="X88" s="70">
        <f>IF($S88="","",IF(ISNUMBER($K88),$K88,$W88))</f>
        <v/>
      </c>
      <c r="Y88" s="70">
        <f>IF($S88="","",IF(N($T88)&gt;0,AVERAGEIFS($U$5:$U$1000,$R$5:$R$1000,ROW(),$S$5:$S$1000,"Sub"),$U88))</f>
        <v/>
      </c>
      <c r="Z88" s="70">
        <f>IF($S88="","",IF(N($T88)&gt;0,AVERAGEIFS($V$5:$V$1000,$R$5:$R$1000,ROW(),$S$5:$S$1000,"Sub"),$V88))</f>
        <v/>
      </c>
      <c r="AA88" s="70">
        <f>IF($S88="","",IF(N($T88)&gt;0,AVERAGEIFS($W$5:$W$1000,$R$5:$R$1000,ROW(),$S$5:$S$1000,"Sub"),$W88))</f>
        <v/>
      </c>
      <c r="AB88" s="70">
        <f>IF($S88="","",IF(N($T88)&gt;0,AVERAGEIFS($X$5:$X$1000,$R$5:$R$1000,ROW(),$S$5:$S$1000,"Sub"),$X88))</f>
        <v/>
      </c>
    </row>
    <row r="89">
      <c r="A89" s="61">
        <f>IF(NOT((COUNTA($B89:$K89)+COUNTA($N89))&gt;0),"",IF($S89="Macro",COUNTIFS($S$5:$S89,"Macro",$P$5:$P89,$P89),IF(N($R89)=0,"?",COUNTIFS(INDEX($S$5:$S$1000,1):INDEX($S$5:$S$1000,$R89-4),"Macro",INDEX($P$5:$P$1000,1):INDEX($P$5:$P$1000,$R89-4),INDEX($P$5:$P$1000,$R89-4))&amp;"."&amp;COUNTIFS($R$5:$R89,$R89,$S$5:$S89,"Sub"))))</f>
        <v/>
      </c>
      <c r="B89" s="62" t="n"/>
      <c r="C89" s="63" t="n"/>
      <c r="D89" s="62" t="n"/>
      <c r="E89" s="64" t="n"/>
      <c r="F89" s="64" t="n"/>
      <c r="G89" s="65" t="n"/>
      <c r="H89" s="66" t="n"/>
      <c r="I89" s="66" t="n"/>
      <c r="J89" s="66" t="n"/>
      <c r="K89" s="66" t="n"/>
      <c r="L89" s="67">
        <f>IF(NOT((COUNTA($B89:$K89)+COUNTA($N89))&gt;0),"",IF(N($T89)&gt;0,$AB89,IFERROR(LOOKUP(2,1/(H89:K89&lt;&gt;""),H89:K89),0)))</f>
        <v/>
      </c>
      <c r="M89" s="61">
        <f>IF(L89="","",IF(L89&gt;=1,"Completado",IF(L89&gt;0,"En curso","Pendiente")))</f>
        <v/>
      </c>
      <c r="N89" s="62" t="n"/>
      <c r="O89" s="68">
        <f>IF(NOT((COUNTA($B89:$K89)+COUNTA($N89))&gt;0),"",IF((IF(AND($S89="Macro",$B89=""),"Macroactividad vacía"&amp;" · ","")&amp;IF(AND($B89&lt;&gt;"",$C89&lt;&gt;""),"Escriba la subactividad en otra fila, debajo de su macroactividad"&amp;" · ","")&amp;IF(AND($S89="Sub",N($R89)=0),"Subactividad sin macroactividad arriba"&amp;" · ","")&amp;IF($D89="","Sin responsable"&amp;" · ","")&amp;IF($E89="","Sin fecha de inicio"&amp;" · ","")&amp;IF($F89="","Sin fecha límite"&amp;" · ","")&amp;IF(OR(AND($E89&lt;&gt;"",NOT(ISNUMBER($E89))),AND($F89&lt;&gt;"",NOT(ISNUMBER($F89)))),"Fecha no válida"&amp;" · ","")&amp;IF(AND(ISNUMBER($E89),ISNUMBER($F89),$E89&gt;$F89),"Inicio posterior a fecha límite"&amp;" · ","")&amp;IF(AND($S89="Macro",$G89=""),"Peso vacío"&amp;" · ","")&amp;IF(AND($S89="Macro",$G89&lt;&gt;"",OR(NOT(ISNUMBER($G89)),$G89&lt;=0,$G89&gt;1)),"Peso fuera de rango"&amp;" · ","")&amp;IF(AND($S89="Sub",$G89&lt;&gt;""),"Las subactividades no llevan peso"&amp;" · ","")&amp;IF(AND($S89="Macro",ABS(SUMIFS($G$5:$G$1000,$P$5:$P$1000,$P89,$S$5:$S$1000,"Macro")-1)&gt;0.0001),"Pesos del mes suman "&amp;TEXT(SUMIFS($G$5:$G$1000,$P$5:$P$1000,$P89,$S$5:$S$1000,"Macro"),"0%")&amp;" · ","")&amp;IF(AND(N($T89)&gt;0,COUNT($H89:$K89)&gt;0),"Con subactividades: deje vacías las semanas (se calculan solas)"&amp;" · ","")&amp;IF((COUNTIF($H89:$K89,"&gt;1")+COUNTIF($H89:$K89,"&lt;0")+COUNTA($H89:$K89)-COUNT($H89:$K89))&gt;0,"Avance fuera de rango 0-100%"&amp;" · ","")&amp;IF(OR(AND($I89&lt;&gt;"",$I89&lt;$H89),AND($J89&lt;&gt;"",$J89&lt;MAX($H89:$I89)),AND($K89&lt;&gt;"",$K89&lt;MAX($H89:$J89))),"Avance semanal decreciente"&amp;" · ","")&amp;IF(AND(ISNUMBER($F89),$F89&lt;FechaRef,N($L89)&lt;1),"Vencida"&amp;" · ","")&amp;IF(AND(ObsObligatoria="Sí",ISNUMBER($F89),$F89&lt;FechaRef,N($L89)&lt;1,$N89=""),"Vencida sin observación"&amp;" · ",""))="","✔ OK","⚠ "&amp;LEFT(IF(AND($S89="Macro",$B89=""),"Macroactividad vacía"&amp;" · ","")&amp;IF(AND($B89&lt;&gt;"",$C89&lt;&gt;""),"Escriba la subactividad en otra fila, debajo de su macroactividad"&amp;" · ","")&amp;IF(AND($S89="Sub",N($R89)=0),"Subactividad sin macroactividad arriba"&amp;" · ","")&amp;IF($D89="","Sin responsable"&amp;" · ","")&amp;IF($E89="","Sin fecha de inicio"&amp;" · ","")&amp;IF($F89="","Sin fecha límite"&amp;" · ","")&amp;IF(OR(AND($E89&lt;&gt;"",NOT(ISNUMBER($E89))),AND($F89&lt;&gt;"",NOT(ISNUMBER($F89)))),"Fecha no válida"&amp;" · ","")&amp;IF(AND(ISNUMBER($E89),ISNUMBER($F89),$E89&gt;$F89),"Inicio posterior a fecha límite"&amp;" · ","")&amp;IF(AND($S89="Macro",$G89=""),"Peso vacío"&amp;" · ","")&amp;IF(AND($S89="Macro",$G89&lt;&gt;"",OR(NOT(ISNUMBER($G89)),$G89&lt;=0,$G89&gt;1)),"Peso fuera de rango"&amp;" · ","")&amp;IF(AND($S89="Sub",$G89&lt;&gt;""),"Las subactividades no llevan peso"&amp;" · ","")&amp;IF(AND($S89="Macro",ABS(SUMIFS($G$5:$G$1000,$P$5:$P$1000,$P89,$S$5:$S$1000,"Macro")-1)&gt;0.0001),"Pesos del mes suman "&amp;TEXT(SUMIFS($G$5:$G$1000,$P$5:$P$1000,$P89,$S$5:$S$1000,"Macro"),"0%")&amp;" · ","")&amp;IF(AND(N($T89)&gt;0,COUNT($H89:$K89)&gt;0),"Con subactividades: deje vacías las semanas (se calculan solas)"&amp;" · ","")&amp;IF((COUNTIF($H89:$K89,"&gt;1")+COUNTIF($H89:$K89,"&lt;0")+COUNTA($H89:$K89)-COUNT($H89:$K89))&gt;0,"Avance fuera de rango 0-100%"&amp;" · ","")&amp;IF(OR(AND($I89&lt;&gt;"",$I89&lt;$H89),AND($J89&lt;&gt;"",$J89&lt;MAX($H89:$I89)),AND($K89&lt;&gt;"",$K89&lt;MAX($H89:$J89))),"Avance semanal decreciente"&amp;" · ","")&amp;IF(AND(ISNUMBER($F89),$F89&lt;FechaRef,N($L89)&lt;1),"Vencida"&amp;" · ","")&amp;IF(AND(ObsObligatoria="Sí",ISNUMBER($F89),$F89&lt;FechaRef,N($L89)&lt;1,$N89=""),"Vencida sin observación"&amp;" · ",""),LEN(IF(AND($S89="Macro",$B89=""),"Macroactividad vacía"&amp;" · ","")&amp;IF(AND($B89&lt;&gt;"",$C89&lt;&gt;""),"Escriba la subactividad en otra fila, debajo de su macroactividad"&amp;" · ","")&amp;IF(AND($S89="Sub",N($R89)=0),"Subactividad sin macroactividad arriba"&amp;" · ","")&amp;IF($D89="","Sin responsable"&amp;" · ","")&amp;IF($E89="","Sin fecha de inicio"&amp;" · ","")&amp;IF($F89="","Sin fecha límite"&amp;" · ","")&amp;IF(OR(AND($E89&lt;&gt;"",NOT(ISNUMBER($E89))),AND($F89&lt;&gt;"",NOT(ISNUMBER($F89)))),"Fecha no válida"&amp;" · ","")&amp;IF(AND(ISNUMBER($E89),ISNUMBER($F89),$E89&gt;$F89),"Inicio posterior a fecha límite"&amp;" · ","")&amp;IF(AND($S89="Macro",$G89=""),"Peso vacío"&amp;" · ","")&amp;IF(AND($S89="Macro",$G89&lt;&gt;"",OR(NOT(ISNUMBER($G89)),$G89&lt;=0,$G89&gt;1)),"Peso fuera de rango"&amp;" · ","")&amp;IF(AND($S89="Sub",$G89&lt;&gt;""),"Las subactividades no llevan peso"&amp;" · ","")&amp;IF(AND($S89="Macro",ABS(SUMIFS($G$5:$G$1000,$P$5:$P$1000,$P89,$S$5:$S$1000,"Macro")-1)&gt;0.0001),"Pesos del mes suman "&amp;TEXT(SUMIFS($G$5:$G$1000,$P$5:$P$1000,$P89,$S$5:$S$1000,"Macro"),"0%")&amp;" · ","")&amp;IF(AND(N($T89)&gt;0,COUNT($H89:$K89)&gt;0),"Con subactividades: deje vacías las semanas (se calculan solas)"&amp;" · ","")&amp;IF((COUNTIF($H89:$K89,"&gt;1")+COUNTIF($H89:$K89,"&lt;0")+COUNTA($H89:$K89)-COUNT($H89:$K89))&gt;0,"Avance fuera de rango 0-100%"&amp;" · ","")&amp;IF(OR(AND($I89&lt;&gt;"",$I89&lt;$H89),AND($J89&lt;&gt;"",$J89&lt;MAX($H89:$I89)),AND($K89&lt;&gt;"",$K89&lt;MAX($H89:$J89))),"Avance semanal decreciente"&amp;" · ","")&amp;IF(AND(ISNUMBER($F89),$F89&lt;FechaRef,N($L89)&lt;1),"Vencida"&amp;" · ","")&amp;IF(AND(ObsObligatoria="Sí",ISNUMBER($F89),$F89&lt;FechaRef,N($L89)&lt;1,$N89=""),"Vencida sin observación"&amp;" · ",""))-3)))</f>
        <v/>
      </c>
      <c r="P89" s="69">
        <f>IF(NOT((COUNTA($B89:$K89)+COUNTA($N89))&gt;0),"",IF(AND($S89="Sub",N($R89)&gt;0),IF(ISNUMBER(INDEX($E$5:$E$1000,$R89-4)),DATE(YEAR(INDEX($E$5:$E$1000,$R89-4)),MONTH(INDEX($E$5:$E$1000,$R89-4)),1),IF(ISNUMBER(INDEX($F$5:$F$1000,$R89-4)),DATE(YEAR(INDEX($F$5:$F$1000,$R89-4)),MONTH(INDEX($F$5:$F$1000,$R89-4)),1),MesCiclo)),IF(ISNUMBER($E89),DATE(YEAR($E89),MONTH($E89),1),IF(ISNUMBER($F89),DATE(YEAR($F89),MONTH($F89),1),MesCiclo))))</f>
        <v/>
      </c>
      <c r="Q89" s="70">
        <f>IF(OR($P89="",$P89&lt;&gt;MesCiclo),"",COUNTIF($P$5:$P89,MesCiclo))</f>
        <v/>
      </c>
      <c r="R89" s="70">
        <f>IF($S89="","",IF($S89="Macro",ROW(),IFERROR(LOOKUP(2,1/($S$5:$S89="Macro"),ROW($S$5:$S89)),0)))</f>
        <v/>
      </c>
      <c r="S89" s="70">
        <f>IF(NOT((COUNTA($B89:$K89)+COUNTA($N89))&gt;0),"",IF($B89&lt;&gt;"","Macro",IF($C89&lt;&gt;"","Sub","Macro")))</f>
        <v/>
      </c>
      <c r="T89" s="70">
        <f>IF($S89="Macro",COUNTIFS($R$5:$R$1000,ROW(),$S$5:$S$1000,"Sub"),"")</f>
        <v/>
      </c>
      <c r="U89" s="70">
        <f>IF($S89="","",IF(ISNUMBER($H89),$H89,0))</f>
        <v/>
      </c>
      <c r="V89" s="70">
        <f>IF($S89="","",IF(ISNUMBER($I89),$I89,$U89))</f>
        <v/>
      </c>
      <c r="W89" s="70">
        <f>IF($S89="","",IF(ISNUMBER($J89),$J89,$V89))</f>
        <v/>
      </c>
      <c r="X89" s="70">
        <f>IF($S89="","",IF(ISNUMBER($K89),$K89,$W89))</f>
        <v/>
      </c>
      <c r="Y89" s="70">
        <f>IF($S89="","",IF(N($T89)&gt;0,AVERAGEIFS($U$5:$U$1000,$R$5:$R$1000,ROW(),$S$5:$S$1000,"Sub"),$U89))</f>
        <v/>
      </c>
      <c r="Z89" s="70">
        <f>IF($S89="","",IF(N($T89)&gt;0,AVERAGEIFS($V$5:$V$1000,$R$5:$R$1000,ROW(),$S$5:$S$1000,"Sub"),$V89))</f>
        <v/>
      </c>
      <c r="AA89" s="70">
        <f>IF($S89="","",IF(N($T89)&gt;0,AVERAGEIFS($W$5:$W$1000,$R$5:$R$1000,ROW(),$S$5:$S$1000,"Sub"),$W89))</f>
        <v/>
      </c>
      <c r="AB89" s="70">
        <f>IF($S89="","",IF(N($T89)&gt;0,AVERAGEIFS($X$5:$X$1000,$R$5:$R$1000,ROW(),$S$5:$S$1000,"Sub"),$X89))</f>
        <v/>
      </c>
    </row>
    <row r="90">
      <c r="A90" s="61">
        <f>IF(NOT((COUNTA($B90:$K90)+COUNTA($N90))&gt;0),"",IF($S90="Macro",COUNTIFS($S$5:$S90,"Macro",$P$5:$P90,$P90),IF(N($R90)=0,"?",COUNTIFS(INDEX($S$5:$S$1000,1):INDEX($S$5:$S$1000,$R90-4),"Macro",INDEX($P$5:$P$1000,1):INDEX($P$5:$P$1000,$R90-4),INDEX($P$5:$P$1000,$R90-4))&amp;"."&amp;COUNTIFS($R$5:$R90,$R90,$S$5:$S90,"Sub"))))</f>
        <v/>
      </c>
      <c r="B90" s="62" t="n"/>
      <c r="C90" s="63" t="n"/>
      <c r="D90" s="62" t="n"/>
      <c r="E90" s="64" t="n"/>
      <c r="F90" s="64" t="n"/>
      <c r="G90" s="65" t="n"/>
      <c r="H90" s="66" t="n"/>
      <c r="I90" s="66" t="n"/>
      <c r="J90" s="66" t="n"/>
      <c r="K90" s="66" t="n"/>
      <c r="L90" s="67">
        <f>IF(NOT((COUNTA($B90:$K90)+COUNTA($N90))&gt;0),"",IF(N($T90)&gt;0,$AB90,IFERROR(LOOKUP(2,1/(H90:K90&lt;&gt;""),H90:K90),0)))</f>
        <v/>
      </c>
      <c r="M90" s="61">
        <f>IF(L90="","",IF(L90&gt;=1,"Completado",IF(L90&gt;0,"En curso","Pendiente")))</f>
        <v/>
      </c>
      <c r="N90" s="62" t="n"/>
      <c r="O90" s="68">
        <f>IF(NOT((COUNTA($B90:$K90)+COUNTA($N90))&gt;0),"",IF((IF(AND($S90="Macro",$B90=""),"Macroactividad vacía"&amp;" · ","")&amp;IF(AND($B90&lt;&gt;"",$C90&lt;&gt;""),"Escriba la subactividad en otra fila, debajo de su macroactividad"&amp;" · ","")&amp;IF(AND($S90="Sub",N($R90)=0),"Subactividad sin macroactividad arriba"&amp;" · ","")&amp;IF($D90="","Sin responsable"&amp;" · ","")&amp;IF($E90="","Sin fecha de inicio"&amp;" · ","")&amp;IF($F90="","Sin fecha límite"&amp;" · ","")&amp;IF(OR(AND($E90&lt;&gt;"",NOT(ISNUMBER($E90))),AND($F90&lt;&gt;"",NOT(ISNUMBER($F90)))),"Fecha no válida"&amp;" · ","")&amp;IF(AND(ISNUMBER($E90),ISNUMBER($F90),$E90&gt;$F90),"Inicio posterior a fecha límite"&amp;" · ","")&amp;IF(AND($S90="Macro",$G90=""),"Peso vacío"&amp;" · ","")&amp;IF(AND($S90="Macro",$G90&lt;&gt;"",OR(NOT(ISNUMBER($G90)),$G90&lt;=0,$G90&gt;1)),"Peso fuera de rango"&amp;" · ","")&amp;IF(AND($S90="Sub",$G90&lt;&gt;""),"Las subactividades no llevan peso"&amp;" · ","")&amp;IF(AND($S90="Macro",ABS(SUMIFS($G$5:$G$1000,$P$5:$P$1000,$P90,$S$5:$S$1000,"Macro")-1)&gt;0.0001),"Pesos del mes suman "&amp;TEXT(SUMIFS($G$5:$G$1000,$P$5:$P$1000,$P90,$S$5:$S$1000,"Macro"),"0%")&amp;" · ","")&amp;IF(AND(N($T90)&gt;0,COUNT($H90:$K90)&gt;0),"Con subactividades: deje vacías las semanas (se calculan solas)"&amp;" · ","")&amp;IF((COUNTIF($H90:$K90,"&gt;1")+COUNTIF($H90:$K90,"&lt;0")+COUNTA($H90:$K90)-COUNT($H90:$K90))&gt;0,"Avance fuera de rango 0-100%"&amp;" · ","")&amp;IF(OR(AND($I90&lt;&gt;"",$I90&lt;$H90),AND($J90&lt;&gt;"",$J90&lt;MAX($H90:$I90)),AND($K90&lt;&gt;"",$K90&lt;MAX($H90:$J90))),"Avance semanal decreciente"&amp;" · ","")&amp;IF(AND(ISNUMBER($F90),$F90&lt;FechaRef,N($L90)&lt;1),"Vencida"&amp;" · ","")&amp;IF(AND(ObsObligatoria="Sí",ISNUMBER($F90),$F90&lt;FechaRef,N($L90)&lt;1,$N90=""),"Vencida sin observación"&amp;" · ",""))="","✔ OK","⚠ "&amp;LEFT(IF(AND($S90="Macro",$B90=""),"Macroactividad vacía"&amp;" · ","")&amp;IF(AND($B90&lt;&gt;"",$C90&lt;&gt;""),"Escriba la subactividad en otra fila, debajo de su macroactividad"&amp;" · ","")&amp;IF(AND($S90="Sub",N($R90)=0),"Subactividad sin macroactividad arriba"&amp;" · ","")&amp;IF($D90="","Sin responsable"&amp;" · ","")&amp;IF($E90="","Sin fecha de inicio"&amp;" · ","")&amp;IF($F90="","Sin fecha límite"&amp;" · ","")&amp;IF(OR(AND($E90&lt;&gt;"",NOT(ISNUMBER($E90))),AND($F90&lt;&gt;"",NOT(ISNUMBER($F90)))),"Fecha no válida"&amp;" · ","")&amp;IF(AND(ISNUMBER($E90),ISNUMBER($F90),$E90&gt;$F90),"Inicio posterior a fecha límite"&amp;" · ","")&amp;IF(AND($S90="Macro",$G90=""),"Peso vacío"&amp;" · ","")&amp;IF(AND($S90="Macro",$G90&lt;&gt;"",OR(NOT(ISNUMBER($G90)),$G90&lt;=0,$G90&gt;1)),"Peso fuera de rango"&amp;" · ","")&amp;IF(AND($S90="Sub",$G90&lt;&gt;""),"Las subactividades no llevan peso"&amp;" · ","")&amp;IF(AND($S90="Macro",ABS(SUMIFS($G$5:$G$1000,$P$5:$P$1000,$P90,$S$5:$S$1000,"Macro")-1)&gt;0.0001),"Pesos del mes suman "&amp;TEXT(SUMIFS($G$5:$G$1000,$P$5:$P$1000,$P90,$S$5:$S$1000,"Macro"),"0%")&amp;" · ","")&amp;IF(AND(N($T90)&gt;0,COUNT($H90:$K90)&gt;0),"Con subactividades: deje vacías las semanas (se calculan solas)"&amp;" · ","")&amp;IF((COUNTIF($H90:$K90,"&gt;1")+COUNTIF($H90:$K90,"&lt;0")+COUNTA($H90:$K90)-COUNT($H90:$K90))&gt;0,"Avance fuera de rango 0-100%"&amp;" · ","")&amp;IF(OR(AND($I90&lt;&gt;"",$I90&lt;$H90),AND($J90&lt;&gt;"",$J90&lt;MAX($H90:$I90)),AND($K90&lt;&gt;"",$K90&lt;MAX($H90:$J90))),"Avance semanal decreciente"&amp;" · ","")&amp;IF(AND(ISNUMBER($F90),$F90&lt;FechaRef,N($L90)&lt;1),"Vencida"&amp;" · ","")&amp;IF(AND(ObsObligatoria="Sí",ISNUMBER($F90),$F90&lt;FechaRef,N($L90)&lt;1,$N90=""),"Vencida sin observación"&amp;" · ",""),LEN(IF(AND($S90="Macro",$B90=""),"Macroactividad vacía"&amp;" · ","")&amp;IF(AND($B90&lt;&gt;"",$C90&lt;&gt;""),"Escriba la subactividad en otra fila, debajo de su macroactividad"&amp;" · ","")&amp;IF(AND($S90="Sub",N($R90)=0),"Subactividad sin macroactividad arriba"&amp;" · ","")&amp;IF($D90="","Sin responsable"&amp;" · ","")&amp;IF($E90="","Sin fecha de inicio"&amp;" · ","")&amp;IF($F90="","Sin fecha límite"&amp;" · ","")&amp;IF(OR(AND($E90&lt;&gt;"",NOT(ISNUMBER($E90))),AND($F90&lt;&gt;"",NOT(ISNUMBER($F90)))),"Fecha no válida"&amp;" · ","")&amp;IF(AND(ISNUMBER($E90),ISNUMBER($F90),$E90&gt;$F90),"Inicio posterior a fecha límite"&amp;" · ","")&amp;IF(AND($S90="Macro",$G90=""),"Peso vacío"&amp;" · ","")&amp;IF(AND($S90="Macro",$G90&lt;&gt;"",OR(NOT(ISNUMBER($G90)),$G90&lt;=0,$G90&gt;1)),"Peso fuera de rango"&amp;" · ","")&amp;IF(AND($S90="Sub",$G90&lt;&gt;""),"Las subactividades no llevan peso"&amp;" · ","")&amp;IF(AND($S90="Macro",ABS(SUMIFS($G$5:$G$1000,$P$5:$P$1000,$P90,$S$5:$S$1000,"Macro")-1)&gt;0.0001),"Pesos del mes suman "&amp;TEXT(SUMIFS($G$5:$G$1000,$P$5:$P$1000,$P90,$S$5:$S$1000,"Macro"),"0%")&amp;" · ","")&amp;IF(AND(N($T90)&gt;0,COUNT($H90:$K90)&gt;0),"Con subactividades: deje vacías las semanas (se calculan solas)"&amp;" · ","")&amp;IF((COUNTIF($H90:$K90,"&gt;1")+COUNTIF($H90:$K90,"&lt;0")+COUNTA($H90:$K90)-COUNT($H90:$K90))&gt;0,"Avance fuera de rango 0-100%"&amp;" · ","")&amp;IF(OR(AND($I90&lt;&gt;"",$I90&lt;$H90),AND($J90&lt;&gt;"",$J90&lt;MAX($H90:$I90)),AND($K90&lt;&gt;"",$K90&lt;MAX($H90:$J90))),"Avance semanal decreciente"&amp;" · ","")&amp;IF(AND(ISNUMBER($F90),$F90&lt;FechaRef,N($L90)&lt;1),"Vencida"&amp;" · ","")&amp;IF(AND(ObsObligatoria="Sí",ISNUMBER($F90),$F90&lt;FechaRef,N($L90)&lt;1,$N90=""),"Vencida sin observación"&amp;" · ",""))-3)))</f>
        <v/>
      </c>
      <c r="P90" s="69">
        <f>IF(NOT((COUNTA($B90:$K90)+COUNTA($N90))&gt;0),"",IF(AND($S90="Sub",N($R90)&gt;0),IF(ISNUMBER(INDEX($E$5:$E$1000,$R90-4)),DATE(YEAR(INDEX($E$5:$E$1000,$R90-4)),MONTH(INDEX($E$5:$E$1000,$R90-4)),1),IF(ISNUMBER(INDEX($F$5:$F$1000,$R90-4)),DATE(YEAR(INDEX($F$5:$F$1000,$R90-4)),MONTH(INDEX($F$5:$F$1000,$R90-4)),1),MesCiclo)),IF(ISNUMBER($E90),DATE(YEAR($E90),MONTH($E90),1),IF(ISNUMBER($F90),DATE(YEAR($F90),MONTH($F90),1),MesCiclo))))</f>
        <v/>
      </c>
      <c r="Q90" s="70">
        <f>IF(OR($P90="",$P90&lt;&gt;MesCiclo),"",COUNTIF($P$5:$P90,MesCiclo))</f>
        <v/>
      </c>
      <c r="R90" s="70">
        <f>IF($S90="","",IF($S90="Macro",ROW(),IFERROR(LOOKUP(2,1/($S$5:$S90="Macro"),ROW($S$5:$S90)),0)))</f>
        <v/>
      </c>
      <c r="S90" s="70">
        <f>IF(NOT((COUNTA($B90:$K90)+COUNTA($N90))&gt;0),"",IF($B90&lt;&gt;"","Macro",IF($C90&lt;&gt;"","Sub","Macro")))</f>
        <v/>
      </c>
      <c r="T90" s="70">
        <f>IF($S90="Macro",COUNTIFS($R$5:$R$1000,ROW(),$S$5:$S$1000,"Sub"),"")</f>
        <v/>
      </c>
      <c r="U90" s="70">
        <f>IF($S90="","",IF(ISNUMBER($H90),$H90,0))</f>
        <v/>
      </c>
      <c r="V90" s="70">
        <f>IF($S90="","",IF(ISNUMBER($I90),$I90,$U90))</f>
        <v/>
      </c>
      <c r="W90" s="70">
        <f>IF($S90="","",IF(ISNUMBER($J90),$J90,$V90))</f>
        <v/>
      </c>
      <c r="X90" s="70">
        <f>IF($S90="","",IF(ISNUMBER($K90),$K90,$W90))</f>
        <v/>
      </c>
      <c r="Y90" s="70">
        <f>IF($S90="","",IF(N($T90)&gt;0,AVERAGEIFS($U$5:$U$1000,$R$5:$R$1000,ROW(),$S$5:$S$1000,"Sub"),$U90))</f>
        <v/>
      </c>
      <c r="Z90" s="70">
        <f>IF($S90="","",IF(N($T90)&gt;0,AVERAGEIFS($V$5:$V$1000,$R$5:$R$1000,ROW(),$S$5:$S$1000,"Sub"),$V90))</f>
        <v/>
      </c>
      <c r="AA90" s="70">
        <f>IF($S90="","",IF(N($T90)&gt;0,AVERAGEIFS($W$5:$W$1000,$R$5:$R$1000,ROW(),$S$5:$S$1000,"Sub"),$W90))</f>
        <v/>
      </c>
      <c r="AB90" s="70">
        <f>IF($S90="","",IF(N($T90)&gt;0,AVERAGEIFS($X$5:$X$1000,$R$5:$R$1000,ROW(),$S$5:$S$1000,"Sub"),$X90))</f>
        <v/>
      </c>
    </row>
    <row r="91">
      <c r="A91" s="61">
        <f>IF(NOT((COUNTA($B91:$K91)+COUNTA($N91))&gt;0),"",IF($S91="Macro",COUNTIFS($S$5:$S91,"Macro",$P$5:$P91,$P91),IF(N($R91)=0,"?",COUNTIFS(INDEX($S$5:$S$1000,1):INDEX($S$5:$S$1000,$R91-4),"Macro",INDEX($P$5:$P$1000,1):INDEX($P$5:$P$1000,$R91-4),INDEX($P$5:$P$1000,$R91-4))&amp;"."&amp;COUNTIFS($R$5:$R91,$R91,$S$5:$S91,"Sub"))))</f>
        <v/>
      </c>
      <c r="B91" s="62" t="n"/>
      <c r="C91" s="63" t="n"/>
      <c r="D91" s="62" t="n"/>
      <c r="E91" s="64" t="n"/>
      <c r="F91" s="64" t="n"/>
      <c r="G91" s="65" t="n"/>
      <c r="H91" s="66" t="n"/>
      <c r="I91" s="66" t="n"/>
      <c r="J91" s="66" t="n"/>
      <c r="K91" s="66" t="n"/>
      <c r="L91" s="67">
        <f>IF(NOT((COUNTA($B91:$K91)+COUNTA($N91))&gt;0),"",IF(N($T91)&gt;0,$AB91,IFERROR(LOOKUP(2,1/(H91:K91&lt;&gt;""),H91:K91),0)))</f>
        <v/>
      </c>
      <c r="M91" s="61">
        <f>IF(L91="","",IF(L91&gt;=1,"Completado",IF(L91&gt;0,"En curso","Pendiente")))</f>
        <v/>
      </c>
      <c r="N91" s="62" t="n"/>
      <c r="O91" s="68">
        <f>IF(NOT((COUNTA($B91:$K91)+COUNTA($N91))&gt;0),"",IF((IF(AND($S91="Macro",$B91=""),"Macroactividad vacía"&amp;" · ","")&amp;IF(AND($B91&lt;&gt;"",$C91&lt;&gt;""),"Escriba la subactividad en otra fila, debajo de su macroactividad"&amp;" · ","")&amp;IF(AND($S91="Sub",N($R91)=0),"Subactividad sin macroactividad arriba"&amp;" · ","")&amp;IF($D91="","Sin responsable"&amp;" · ","")&amp;IF($E91="","Sin fecha de inicio"&amp;" · ","")&amp;IF($F91="","Sin fecha límite"&amp;" · ","")&amp;IF(OR(AND($E91&lt;&gt;"",NOT(ISNUMBER($E91))),AND($F91&lt;&gt;"",NOT(ISNUMBER($F91)))),"Fecha no válida"&amp;" · ","")&amp;IF(AND(ISNUMBER($E91),ISNUMBER($F91),$E91&gt;$F91),"Inicio posterior a fecha límite"&amp;" · ","")&amp;IF(AND($S91="Macro",$G91=""),"Peso vacío"&amp;" · ","")&amp;IF(AND($S91="Macro",$G91&lt;&gt;"",OR(NOT(ISNUMBER($G91)),$G91&lt;=0,$G91&gt;1)),"Peso fuera de rango"&amp;" · ","")&amp;IF(AND($S91="Sub",$G91&lt;&gt;""),"Las subactividades no llevan peso"&amp;" · ","")&amp;IF(AND($S91="Macro",ABS(SUMIFS($G$5:$G$1000,$P$5:$P$1000,$P91,$S$5:$S$1000,"Macro")-1)&gt;0.0001),"Pesos del mes suman "&amp;TEXT(SUMIFS($G$5:$G$1000,$P$5:$P$1000,$P91,$S$5:$S$1000,"Macro"),"0%")&amp;" · ","")&amp;IF(AND(N($T91)&gt;0,COUNT($H91:$K91)&gt;0),"Con subactividades: deje vacías las semanas (se calculan solas)"&amp;" · ","")&amp;IF((COUNTIF($H91:$K91,"&gt;1")+COUNTIF($H91:$K91,"&lt;0")+COUNTA($H91:$K91)-COUNT($H91:$K91))&gt;0,"Avance fuera de rango 0-100%"&amp;" · ","")&amp;IF(OR(AND($I91&lt;&gt;"",$I91&lt;$H91),AND($J91&lt;&gt;"",$J91&lt;MAX($H91:$I91)),AND($K91&lt;&gt;"",$K91&lt;MAX($H91:$J91))),"Avance semanal decreciente"&amp;" · ","")&amp;IF(AND(ISNUMBER($F91),$F91&lt;FechaRef,N($L91)&lt;1),"Vencida"&amp;" · ","")&amp;IF(AND(ObsObligatoria="Sí",ISNUMBER($F91),$F91&lt;FechaRef,N($L91)&lt;1,$N91=""),"Vencida sin observación"&amp;" · ",""))="","✔ OK","⚠ "&amp;LEFT(IF(AND($S91="Macro",$B91=""),"Macroactividad vacía"&amp;" · ","")&amp;IF(AND($B91&lt;&gt;"",$C91&lt;&gt;""),"Escriba la subactividad en otra fila, debajo de su macroactividad"&amp;" · ","")&amp;IF(AND($S91="Sub",N($R91)=0),"Subactividad sin macroactividad arriba"&amp;" · ","")&amp;IF($D91="","Sin responsable"&amp;" · ","")&amp;IF($E91="","Sin fecha de inicio"&amp;" · ","")&amp;IF($F91="","Sin fecha límite"&amp;" · ","")&amp;IF(OR(AND($E91&lt;&gt;"",NOT(ISNUMBER($E91))),AND($F91&lt;&gt;"",NOT(ISNUMBER($F91)))),"Fecha no válida"&amp;" · ","")&amp;IF(AND(ISNUMBER($E91),ISNUMBER($F91),$E91&gt;$F91),"Inicio posterior a fecha límite"&amp;" · ","")&amp;IF(AND($S91="Macro",$G91=""),"Peso vacío"&amp;" · ","")&amp;IF(AND($S91="Macro",$G91&lt;&gt;"",OR(NOT(ISNUMBER($G91)),$G91&lt;=0,$G91&gt;1)),"Peso fuera de rango"&amp;" · ","")&amp;IF(AND($S91="Sub",$G91&lt;&gt;""),"Las subactividades no llevan peso"&amp;" · ","")&amp;IF(AND($S91="Macro",ABS(SUMIFS($G$5:$G$1000,$P$5:$P$1000,$P91,$S$5:$S$1000,"Macro")-1)&gt;0.0001),"Pesos del mes suman "&amp;TEXT(SUMIFS($G$5:$G$1000,$P$5:$P$1000,$P91,$S$5:$S$1000,"Macro"),"0%")&amp;" · ","")&amp;IF(AND(N($T91)&gt;0,COUNT($H91:$K91)&gt;0),"Con subactividades: deje vacías las semanas (se calculan solas)"&amp;" · ","")&amp;IF((COUNTIF($H91:$K91,"&gt;1")+COUNTIF($H91:$K91,"&lt;0")+COUNTA($H91:$K91)-COUNT($H91:$K91))&gt;0,"Avance fuera de rango 0-100%"&amp;" · ","")&amp;IF(OR(AND($I91&lt;&gt;"",$I91&lt;$H91),AND($J91&lt;&gt;"",$J91&lt;MAX($H91:$I91)),AND($K91&lt;&gt;"",$K91&lt;MAX($H91:$J91))),"Avance semanal decreciente"&amp;" · ","")&amp;IF(AND(ISNUMBER($F91),$F91&lt;FechaRef,N($L91)&lt;1),"Vencida"&amp;" · ","")&amp;IF(AND(ObsObligatoria="Sí",ISNUMBER($F91),$F91&lt;FechaRef,N($L91)&lt;1,$N91=""),"Vencida sin observación"&amp;" · ",""),LEN(IF(AND($S91="Macro",$B91=""),"Macroactividad vacía"&amp;" · ","")&amp;IF(AND($B91&lt;&gt;"",$C91&lt;&gt;""),"Escriba la subactividad en otra fila, debajo de su macroactividad"&amp;" · ","")&amp;IF(AND($S91="Sub",N($R91)=0),"Subactividad sin macroactividad arriba"&amp;" · ","")&amp;IF($D91="","Sin responsable"&amp;" · ","")&amp;IF($E91="","Sin fecha de inicio"&amp;" · ","")&amp;IF($F91="","Sin fecha límite"&amp;" · ","")&amp;IF(OR(AND($E91&lt;&gt;"",NOT(ISNUMBER($E91))),AND($F91&lt;&gt;"",NOT(ISNUMBER($F91)))),"Fecha no válida"&amp;" · ","")&amp;IF(AND(ISNUMBER($E91),ISNUMBER($F91),$E91&gt;$F91),"Inicio posterior a fecha límite"&amp;" · ","")&amp;IF(AND($S91="Macro",$G91=""),"Peso vacío"&amp;" · ","")&amp;IF(AND($S91="Macro",$G91&lt;&gt;"",OR(NOT(ISNUMBER($G91)),$G91&lt;=0,$G91&gt;1)),"Peso fuera de rango"&amp;" · ","")&amp;IF(AND($S91="Sub",$G91&lt;&gt;""),"Las subactividades no llevan peso"&amp;" · ","")&amp;IF(AND($S91="Macro",ABS(SUMIFS($G$5:$G$1000,$P$5:$P$1000,$P91,$S$5:$S$1000,"Macro")-1)&gt;0.0001),"Pesos del mes suman "&amp;TEXT(SUMIFS($G$5:$G$1000,$P$5:$P$1000,$P91,$S$5:$S$1000,"Macro"),"0%")&amp;" · ","")&amp;IF(AND(N($T91)&gt;0,COUNT($H91:$K91)&gt;0),"Con subactividades: deje vacías las semanas (se calculan solas)"&amp;" · ","")&amp;IF((COUNTIF($H91:$K91,"&gt;1")+COUNTIF($H91:$K91,"&lt;0")+COUNTA($H91:$K91)-COUNT($H91:$K91))&gt;0,"Avance fuera de rango 0-100%"&amp;" · ","")&amp;IF(OR(AND($I91&lt;&gt;"",$I91&lt;$H91),AND($J91&lt;&gt;"",$J91&lt;MAX($H91:$I91)),AND($K91&lt;&gt;"",$K91&lt;MAX($H91:$J91))),"Avance semanal decreciente"&amp;" · ","")&amp;IF(AND(ISNUMBER($F91),$F91&lt;FechaRef,N($L91)&lt;1),"Vencida"&amp;" · ","")&amp;IF(AND(ObsObligatoria="Sí",ISNUMBER($F91),$F91&lt;FechaRef,N($L91)&lt;1,$N91=""),"Vencida sin observación"&amp;" · ",""))-3)))</f>
        <v/>
      </c>
      <c r="P91" s="69">
        <f>IF(NOT((COUNTA($B91:$K91)+COUNTA($N91))&gt;0),"",IF(AND($S91="Sub",N($R91)&gt;0),IF(ISNUMBER(INDEX($E$5:$E$1000,$R91-4)),DATE(YEAR(INDEX($E$5:$E$1000,$R91-4)),MONTH(INDEX($E$5:$E$1000,$R91-4)),1),IF(ISNUMBER(INDEX($F$5:$F$1000,$R91-4)),DATE(YEAR(INDEX($F$5:$F$1000,$R91-4)),MONTH(INDEX($F$5:$F$1000,$R91-4)),1),MesCiclo)),IF(ISNUMBER($E91),DATE(YEAR($E91),MONTH($E91),1),IF(ISNUMBER($F91),DATE(YEAR($F91),MONTH($F91),1),MesCiclo))))</f>
        <v/>
      </c>
      <c r="Q91" s="70">
        <f>IF(OR($P91="",$P91&lt;&gt;MesCiclo),"",COUNTIF($P$5:$P91,MesCiclo))</f>
        <v/>
      </c>
      <c r="R91" s="70">
        <f>IF($S91="","",IF($S91="Macro",ROW(),IFERROR(LOOKUP(2,1/($S$5:$S91="Macro"),ROW($S$5:$S91)),0)))</f>
        <v/>
      </c>
      <c r="S91" s="70">
        <f>IF(NOT((COUNTA($B91:$K91)+COUNTA($N91))&gt;0),"",IF($B91&lt;&gt;"","Macro",IF($C91&lt;&gt;"","Sub","Macro")))</f>
        <v/>
      </c>
      <c r="T91" s="70">
        <f>IF($S91="Macro",COUNTIFS($R$5:$R$1000,ROW(),$S$5:$S$1000,"Sub"),"")</f>
        <v/>
      </c>
      <c r="U91" s="70">
        <f>IF($S91="","",IF(ISNUMBER($H91),$H91,0))</f>
        <v/>
      </c>
      <c r="V91" s="70">
        <f>IF($S91="","",IF(ISNUMBER($I91),$I91,$U91))</f>
        <v/>
      </c>
      <c r="W91" s="70">
        <f>IF($S91="","",IF(ISNUMBER($J91),$J91,$V91))</f>
        <v/>
      </c>
      <c r="X91" s="70">
        <f>IF($S91="","",IF(ISNUMBER($K91),$K91,$W91))</f>
        <v/>
      </c>
      <c r="Y91" s="70">
        <f>IF($S91="","",IF(N($T91)&gt;0,AVERAGEIFS($U$5:$U$1000,$R$5:$R$1000,ROW(),$S$5:$S$1000,"Sub"),$U91))</f>
        <v/>
      </c>
      <c r="Z91" s="70">
        <f>IF($S91="","",IF(N($T91)&gt;0,AVERAGEIFS($V$5:$V$1000,$R$5:$R$1000,ROW(),$S$5:$S$1000,"Sub"),$V91))</f>
        <v/>
      </c>
      <c r="AA91" s="70">
        <f>IF($S91="","",IF(N($T91)&gt;0,AVERAGEIFS($W$5:$W$1000,$R$5:$R$1000,ROW(),$S$5:$S$1000,"Sub"),$W91))</f>
        <v/>
      </c>
      <c r="AB91" s="70">
        <f>IF($S91="","",IF(N($T91)&gt;0,AVERAGEIFS($X$5:$X$1000,$R$5:$R$1000,ROW(),$S$5:$S$1000,"Sub"),$X91))</f>
        <v/>
      </c>
    </row>
    <row r="92">
      <c r="A92" s="61">
        <f>IF(NOT((COUNTA($B92:$K92)+COUNTA($N92))&gt;0),"",IF($S92="Macro",COUNTIFS($S$5:$S92,"Macro",$P$5:$P92,$P92),IF(N($R92)=0,"?",COUNTIFS(INDEX($S$5:$S$1000,1):INDEX($S$5:$S$1000,$R92-4),"Macro",INDEX($P$5:$P$1000,1):INDEX($P$5:$P$1000,$R92-4),INDEX($P$5:$P$1000,$R92-4))&amp;"."&amp;COUNTIFS($R$5:$R92,$R92,$S$5:$S92,"Sub"))))</f>
        <v/>
      </c>
      <c r="B92" s="62" t="n"/>
      <c r="C92" s="63" t="n"/>
      <c r="D92" s="62" t="n"/>
      <c r="E92" s="64" t="n"/>
      <c r="F92" s="64" t="n"/>
      <c r="G92" s="65" t="n"/>
      <c r="H92" s="66" t="n"/>
      <c r="I92" s="66" t="n"/>
      <c r="J92" s="66" t="n"/>
      <c r="K92" s="66" t="n"/>
      <c r="L92" s="67">
        <f>IF(NOT((COUNTA($B92:$K92)+COUNTA($N92))&gt;0),"",IF(N($T92)&gt;0,$AB92,IFERROR(LOOKUP(2,1/(H92:K92&lt;&gt;""),H92:K92),0)))</f>
        <v/>
      </c>
      <c r="M92" s="61">
        <f>IF(L92="","",IF(L92&gt;=1,"Completado",IF(L92&gt;0,"En curso","Pendiente")))</f>
        <v/>
      </c>
      <c r="N92" s="62" t="n"/>
      <c r="O92" s="68">
        <f>IF(NOT((COUNTA($B92:$K92)+COUNTA($N92))&gt;0),"",IF((IF(AND($S92="Macro",$B92=""),"Macroactividad vacía"&amp;" · ","")&amp;IF(AND($B92&lt;&gt;"",$C92&lt;&gt;""),"Escriba la subactividad en otra fila, debajo de su macroactividad"&amp;" · ","")&amp;IF(AND($S92="Sub",N($R92)=0),"Subactividad sin macroactividad arriba"&amp;" · ","")&amp;IF($D92="","Sin responsable"&amp;" · ","")&amp;IF($E92="","Sin fecha de inicio"&amp;" · ","")&amp;IF($F92="","Sin fecha límite"&amp;" · ","")&amp;IF(OR(AND($E92&lt;&gt;"",NOT(ISNUMBER($E92))),AND($F92&lt;&gt;"",NOT(ISNUMBER($F92)))),"Fecha no válida"&amp;" · ","")&amp;IF(AND(ISNUMBER($E92),ISNUMBER($F92),$E92&gt;$F92),"Inicio posterior a fecha límite"&amp;" · ","")&amp;IF(AND($S92="Macro",$G92=""),"Peso vacío"&amp;" · ","")&amp;IF(AND($S92="Macro",$G92&lt;&gt;"",OR(NOT(ISNUMBER($G92)),$G92&lt;=0,$G92&gt;1)),"Peso fuera de rango"&amp;" · ","")&amp;IF(AND($S92="Sub",$G92&lt;&gt;""),"Las subactividades no llevan peso"&amp;" · ","")&amp;IF(AND($S92="Macro",ABS(SUMIFS($G$5:$G$1000,$P$5:$P$1000,$P92,$S$5:$S$1000,"Macro")-1)&gt;0.0001),"Pesos del mes suman "&amp;TEXT(SUMIFS($G$5:$G$1000,$P$5:$P$1000,$P92,$S$5:$S$1000,"Macro"),"0%")&amp;" · ","")&amp;IF(AND(N($T92)&gt;0,COUNT($H92:$K92)&gt;0),"Con subactividades: deje vacías las semanas (se calculan solas)"&amp;" · ","")&amp;IF((COUNTIF($H92:$K92,"&gt;1")+COUNTIF($H92:$K92,"&lt;0")+COUNTA($H92:$K92)-COUNT($H92:$K92))&gt;0,"Avance fuera de rango 0-100%"&amp;" · ","")&amp;IF(OR(AND($I92&lt;&gt;"",$I92&lt;$H92),AND($J92&lt;&gt;"",$J92&lt;MAX($H92:$I92)),AND($K92&lt;&gt;"",$K92&lt;MAX($H92:$J92))),"Avance semanal decreciente"&amp;" · ","")&amp;IF(AND(ISNUMBER($F92),$F92&lt;FechaRef,N($L92)&lt;1),"Vencida"&amp;" · ","")&amp;IF(AND(ObsObligatoria="Sí",ISNUMBER($F92),$F92&lt;FechaRef,N($L92)&lt;1,$N92=""),"Vencida sin observación"&amp;" · ",""))="","✔ OK","⚠ "&amp;LEFT(IF(AND($S92="Macro",$B92=""),"Macroactividad vacía"&amp;" · ","")&amp;IF(AND($B92&lt;&gt;"",$C92&lt;&gt;""),"Escriba la subactividad en otra fila, debajo de su macroactividad"&amp;" · ","")&amp;IF(AND($S92="Sub",N($R92)=0),"Subactividad sin macroactividad arriba"&amp;" · ","")&amp;IF($D92="","Sin responsable"&amp;" · ","")&amp;IF($E92="","Sin fecha de inicio"&amp;" · ","")&amp;IF($F92="","Sin fecha límite"&amp;" · ","")&amp;IF(OR(AND($E92&lt;&gt;"",NOT(ISNUMBER($E92))),AND($F92&lt;&gt;"",NOT(ISNUMBER($F92)))),"Fecha no válida"&amp;" · ","")&amp;IF(AND(ISNUMBER($E92),ISNUMBER($F92),$E92&gt;$F92),"Inicio posterior a fecha límite"&amp;" · ","")&amp;IF(AND($S92="Macro",$G92=""),"Peso vacío"&amp;" · ","")&amp;IF(AND($S92="Macro",$G92&lt;&gt;"",OR(NOT(ISNUMBER($G92)),$G92&lt;=0,$G92&gt;1)),"Peso fuera de rango"&amp;" · ","")&amp;IF(AND($S92="Sub",$G92&lt;&gt;""),"Las subactividades no llevan peso"&amp;" · ","")&amp;IF(AND($S92="Macro",ABS(SUMIFS($G$5:$G$1000,$P$5:$P$1000,$P92,$S$5:$S$1000,"Macro")-1)&gt;0.0001),"Pesos del mes suman "&amp;TEXT(SUMIFS($G$5:$G$1000,$P$5:$P$1000,$P92,$S$5:$S$1000,"Macro"),"0%")&amp;" · ","")&amp;IF(AND(N($T92)&gt;0,COUNT($H92:$K92)&gt;0),"Con subactividades: deje vacías las semanas (se calculan solas)"&amp;" · ","")&amp;IF((COUNTIF($H92:$K92,"&gt;1")+COUNTIF($H92:$K92,"&lt;0")+COUNTA($H92:$K92)-COUNT($H92:$K92))&gt;0,"Avance fuera de rango 0-100%"&amp;" · ","")&amp;IF(OR(AND($I92&lt;&gt;"",$I92&lt;$H92),AND($J92&lt;&gt;"",$J92&lt;MAX($H92:$I92)),AND($K92&lt;&gt;"",$K92&lt;MAX($H92:$J92))),"Avance semanal decreciente"&amp;" · ","")&amp;IF(AND(ISNUMBER($F92),$F92&lt;FechaRef,N($L92)&lt;1),"Vencida"&amp;" · ","")&amp;IF(AND(ObsObligatoria="Sí",ISNUMBER($F92),$F92&lt;FechaRef,N($L92)&lt;1,$N92=""),"Vencida sin observación"&amp;" · ",""),LEN(IF(AND($S92="Macro",$B92=""),"Macroactividad vacía"&amp;" · ","")&amp;IF(AND($B92&lt;&gt;"",$C92&lt;&gt;""),"Escriba la subactividad en otra fila, debajo de su macroactividad"&amp;" · ","")&amp;IF(AND($S92="Sub",N($R92)=0),"Subactividad sin macroactividad arriba"&amp;" · ","")&amp;IF($D92="","Sin responsable"&amp;" · ","")&amp;IF($E92="","Sin fecha de inicio"&amp;" · ","")&amp;IF($F92="","Sin fecha límite"&amp;" · ","")&amp;IF(OR(AND($E92&lt;&gt;"",NOT(ISNUMBER($E92))),AND($F92&lt;&gt;"",NOT(ISNUMBER($F92)))),"Fecha no válida"&amp;" · ","")&amp;IF(AND(ISNUMBER($E92),ISNUMBER($F92),$E92&gt;$F92),"Inicio posterior a fecha límite"&amp;" · ","")&amp;IF(AND($S92="Macro",$G92=""),"Peso vacío"&amp;" · ","")&amp;IF(AND($S92="Macro",$G92&lt;&gt;"",OR(NOT(ISNUMBER($G92)),$G92&lt;=0,$G92&gt;1)),"Peso fuera de rango"&amp;" · ","")&amp;IF(AND($S92="Sub",$G92&lt;&gt;""),"Las subactividades no llevan peso"&amp;" · ","")&amp;IF(AND($S92="Macro",ABS(SUMIFS($G$5:$G$1000,$P$5:$P$1000,$P92,$S$5:$S$1000,"Macro")-1)&gt;0.0001),"Pesos del mes suman "&amp;TEXT(SUMIFS($G$5:$G$1000,$P$5:$P$1000,$P92,$S$5:$S$1000,"Macro"),"0%")&amp;" · ","")&amp;IF(AND(N($T92)&gt;0,COUNT($H92:$K92)&gt;0),"Con subactividades: deje vacías las semanas (se calculan solas)"&amp;" · ","")&amp;IF((COUNTIF($H92:$K92,"&gt;1")+COUNTIF($H92:$K92,"&lt;0")+COUNTA($H92:$K92)-COUNT($H92:$K92))&gt;0,"Avance fuera de rango 0-100%"&amp;" · ","")&amp;IF(OR(AND($I92&lt;&gt;"",$I92&lt;$H92),AND($J92&lt;&gt;"",$J92&lt;MAX($H92:$I92)),AND($K92&lt;&gt;"",$K92&lt;MAX($H92:$J92))),"Avance semanal decreciente"&amp;" · ","")&amp;IF(AND(ISNUMBER($F92),$F92&lt;FechaRef,N($L92)&lt;1),"Vencida"&amp;" · ","")&amp;IF(AND(ObsObligatoria="Sí",ISNUMBER($F92),$F92&lt;FechaRef,N($L92)&lt;1,$N92=""),"Vencida sin observación"&amp;" · ",""))-3)))</f>
        <v/>
      </c>
      <c r="P92" s="69">
        <f>IF(NOT((COUNTA($B92:$K92)+COUNTA($N92))&gt;0),"",IF(AND($S92="Sub",N($R92)&gt;0),IF(ISNUMBER(INDEX($E$5:$E$1000,$R92-4)),DATE(YEAR(INDEX($E$5:$E$1000,$R92-4)),MONTH(INDEX($E$5:$E$1000,$R92-4)),1),IF(ISNUMBER(INDEX($F$5:$F$1000,$R92-4)),DATE(YEAR(INDEX($F$5:$F$1000,$R92-4)),MONTH(INDEX($F$5:$F$1000,$R92-4)),1),MesCiclo)),IF(ISNUMBER($E92),DATE(YEAR($E92),MONTH($E92),1),IF(ISNUMBER($F92),DATE(YEAR($F92),MONTH($F92),1),MesCiclo))))</f>
        <v/>
      </c>
      <c r="Q92" s="70">
        <f>IF(OR($P92="",$P92&lt;&gt;MesCiclo),"",COUNTIF($P$5:$P92,MesCiclo))</f>
        <v/>
      </c>
      <c r="R92" s="70">
        <f>IF($S92="","",IF($S92="Macro",ROW(),IFERROR(LOOKUP(2,1/($S$5:$S92="Macro"),ROW($S$5:$S92)),0)))</f>
        <v/>
      </c>
      <c r="S92" s="70">
        <f>IF(NOT((COUNTA($B92:$K92)+COUNTA($N92))&gt;0),"",IF($B92&lt;&gt;"","Macro",IF($C92&lt;&gt;"","Sub","Macro")))</f>
        <v/>
      </c>
      <c r="T92" s="70">
        <f>IF($S92="Macro",COUNTIFS($R$5:$R$1000,ROW(),$S$5:$S$1000,"Sub"),"")</f>
        <v/>
      </c>
      <c r="U92" s="70">
        <f>IF($S92="","",IF(ISNUMBER($H92),$H92,0))</f>
        <v/>
      </c>
      <c r="V92" s="70">
        <f>IF($S92="","",IF(ISNUMBER($I92),$I92,$U92))</f>
        <v/>
      </c>
      <c r="W92" s="70">
        <f>IF($S92="","",IF(ISNUMBER($J92),$J92,$V92))</f>
        <v/>
      </c>
      <c r="X92" s="70">
        <f>IF($S92="","",IF(ISNUMBER($K92),$K92,$W92))</f>
        <v/>
      </c>
      <c r="Y92" s="70">
        <f>IF($S92="","",IF(N($T92)&gt;0,AVERAGEIFS($U$5:$U$1000,$R$5:$R$1000,ROW(),$S$5:$S$1000,"Sub"),$U92))</f>
        <v/>
      </c>
      <c r="Z92" s="70">
        <f>IF($S92="","",IF(N($T92)&gt;0,AVERAGEIFS($V$5:$V$1000,$R$5:$R$1000,ROW(),$S$5:$S$1000,"Sub"),$V92))</f>
        <v/>
      </c>
      <c r="AA92" s="70">
        <f>IF($S92="","",IF(N($T92)&gt;0,AVERAGEIFS($W$5:$W$1000,$R$5:$R$1000,ROW(),$S$5:$S$1000,"Sub"),$W92))</f>
        <v/>
      </c>
      <c r="AB92" s="70">
        <f>IF($S92="","",IF(N($T92)&gt;0,AVERAGEIFS($X$5:$X$1000,$R$5:$R$1000,ROW(),$S$5:$S$1000,"Sub"),$X92))</f>
        <v/>
      </c>
    </row>
    <row r="93">
      <c r="A93" s="61">
        <f>IF(NOT((COUNTA($B93:$K93)+COUNTA($N93))&gt;0),"",IF($S93="Macro",COUNTIFS($S$5:$S93,"Macro",$P$5:$P93,$P93),IF(N($R93)=0,"?",COUNTIFS(INDEX($S$5:$S$1000,1):INDEX($S$5:$S$1000,$R93-4),"Macro",INDEX($P$5:$P$1000,1):INDEX($P$5:$P$1000,$R93-4),INDEX($P$5:$P$1000,$R93-4))&amp;"."&amp;COUNTIFS($R$5:$R93,$R93,$S$5:$S93,"Sub"))))</f>
        <v/>
      </c>
      <c r="B93" s="62" t="n"/>
      <c r="C93" s="63" t="n"/>
      <c r="D93" s="62" t="n"/>
      <c r="E93" s="64" t="n"/>
      <c r="F93" s="64" t="n"/>
      <c r="G93" s="65" t="n"/>
      <c r="H93" s="66" t="n"/>
      <c r="I93" s="66" t="n"/>
      <c r="J93" s="66" t="n"/>
      <c r="K93" s="66" t="n"/>
      <c r="L93" s="67">
        <f>IF(NOT((COUNTA($B93:$K93)+COUNTA($N93))&gt;0),"",IF(N($T93)&gt;0,$AB93,IFERROR(LOOKUP(2,1/(H93:K93&lt;&gt;""),H93:K93),0)))</f>
        <v/>
      </c>
      <c r="M93" s="61">
        <f>IF(L93="","",IF(L93&gt;=1,"Completado",IF(L93&gt;0,"En curso","Pendiente")))</f>
        <v/>
      </c>
      <c r="N93" s="62" t="n"/>
      <c r="O93" s="68">
        <f>IF(NOT((COUNTA($B93:$K93)+COUNTA($N93))&gt;0),"",IF((IF(AND($S93="Macro",$B93=""),"Macroactividad vacía"&amp;" · ","")&amp;IF(AND($B93&lt;&gt;"",$C93&lt;&gt;""),"Escriba la subactividad en otra fila, debajo de su macroactividad"&amp;" · ","")&amp;IF(AND($S93="Sub",N($R93)=0),"Subactividad sin macroactividad arriba"&amp;" · ","")&amp;IF($D93="","Sin responsable"&amp;" · ","")&amp;IF($E93="","Sin fecha de inicio"&amp;" · ","")&amp;IF($F93="","Sin fecha límite"&amp;" · ","")&amp;IF(OR(AND($E93&lt;&gt;"",NOT(ISNUMBER($E93))),AND($F93&lt;&gt;"",NOT(ISNUMBER($F93)))),"Fecha no válida"&amp;" · ","")&amp;IF(AND(ISNUMBER($E93),ISNUMBER($F93),$E93&gt;$F93),"Inicio posterior a fecha límite"&amp;" · ","")&amp;IF(AND($S93="Macro",$G93=""),"Peso vacío"&amp;" · ","")&amp;IF(AND($S93="Macro",$G93&lt;&gt;"",OR(NOT(ISNUMBER($G93)),$G93&lt;=0,$G93&gt;1)),"Peso fuera de rango"&amp;" · ","")&amp;IF(AND($S93="Sub",$G93&lt;&gt;""),"Las subactividades no llevan peso"&amp;" · ","")&amp;IF(AND($S93="Macro",ABS(SUMIFS($G$5:$G$1000,$P$5:$P$1000,$P93,$S$5:$S$1000,"Macro")-1)&gt;0.0001),"Pesos del mes suman "&amp;TEXT(SUMIFS($G$5:$G$1000,$P$5:$P$1000,$P93,$S$5:$S$1000,"Macro"),"0%")&amp;" · ","")&amp;IF(AND(N($T93)&gt;0,COUNT($H93:$K93)&gt;0),"Con subactividades: deje vacías las semanas (se calculan solas)"&amp;" · ","")&amp;IF((COUNTIF($H93:$K93,"&gt;1")+COUNTIF($H93:$K93,"&lt;0")+COUNTA($H93:$K93)-COUNT($H93:$K93))&gt;0,"Avance fuera de rango 0-100%"&amp;" · ","")&amp;IF(OR(AND($I93&lt;&gt;"",$I93&lt;$H93),AND($J93&lt;&gt;"",$J93&lt;MAX($H93:$I93)),AND($K93&lt;&gt;"",$K93&lt;MAX($H93:$J93))),"Avance semanal decreciente"&amp;" · ","")&amp;IF(AND(ISNUMBER($F93),$F93&lt;FechaRef,N($L93)&lt;1),"Vencida"&amp;" · ","")&amp;IF(AND(ObsObligatoria="Sí",ISNUMBER($F93),$F93&lt;FechaRef,N($L93)&lt;1,$N93=""),"Vencida sin observación"&amp;" · ",""))="","✔ OK","⚠ "&amp;LEFT(IF(AND($S93="Macro",$B93=""),"Macroactividad vacía"&amp;" · ","")&amp;IF(AND($B93&lt;&gt;"",$C93&lt;&gt;""),"Escriba la subactividad en otra fila, debajo de su macroactividad"&amp;" · ","")&amp;IF(AND($S93="Sub",N($R93)=0),"Subactividad sin macroactividad arriba"&amp;" · ","")&amp;IF($D93="","Sin responsable"&amp;" · ","")&amp;IF($E93="","Sin fecha de inicio"&amp;" · ","")&amp;IF($F93="","Sin fecha límite"&amp;" · ","")&amp;IF(OR(AND($E93&lt;&gt;"",NOT(ISNUMBER($E93))),AND($F93&lt;&gt;"",NOT(ISNUMBER($F93)))),"Fecha no válida"&amp;" · ","")&amp;IF(AND(ISNUMBER($E93),ISNUMBER($F93),$E93&gt;$F93),"Inicio posterior a fecha límite"&amp;" · ","")&amp;IF(AND($S93="Macro",$G93=""),"Peso vacío"&amp;" · ","")&amp;IF(AND($S93="Macro",$G93&lt;&gt;"",OR(NOT(ISNUMBER($G93)),$G93&lt;=0,$G93&gt;1)),"Peso fuera de rango"&amp;" · ","")&amp;IF(AND($S93="Sub",$G93&lt;&gt;""),"Las subactividades no llevan peso"&amp;" · ","")&amp;IF(AND($S93="Macro",ABS(SUMIFS($G$5:$G$1000,$P$5:$P$1000,$P93,$S$5:$S$1000,"Macro")-1)&gt;0.0001),"Pesos del mes suman "&amp;TEXT(SUMIFS($G$5:$G$1000,$P$5:$P$1000,$P93,$S$5:$S$1000,"Macro"),"0%")&amp;" · ","")&amp;IF(AND(N($T93)&gt;0,COUNT($H93:$K93)&gt;0),"Con subactividades: deje vacías las semanas (se calculan solas)"&amp;" · ","")&amp;IF((COUNTIF($H93:$K93,"&gt;1")+COUNTIF($H93:$K93,"&lt;0")+COUNTA($H93:$K93)-COUNT($H93:$K93))&gt;0,"Avance fuera de rango 0-100%"&amp;" · ","")&amp;IF(OR(AND($I93&lt;&gt;"",$I93&lt;$H93),AND($J93&lt;&gt;"",$J93&lt;MAX($H93:$I93)),AND($K93&lt;&gt;"",$K93&lt;MAX($H93:$J93))),"Avance semanal decreciente"&amp;" · ","")&amp;IF(AND(ISNUMBER($F93),$F93&lt;FechaRef,N($L93)&lt;1),"Vencida"&amp;" · ","")&amp;IF(AND(ObsObligatoria="Sí",ISNUMBER($F93),$F93&lt;FechaRef,N($L93)&lt;1,$N93=""),"Vencida sin observación"&amp;" · ",""),LEN(IF(AND($S93="Macro",$B93=""),"Macroactividad vacía"&amp;" · ","")&amp;IF(AND($B93&lt;&gt;"",$C93&lt;&gt;""),"Escriba la subactividad en otra fila, debajo de su macroactividad"&amp;" · ","")&amp;IF(AND($S93="Sub",N($R93)=0),"Subactividad sin macroactividad arriba"&amp;" · ","")&amp;IF($D93="","Sin responsable"&amp;" · ","")&amp;IF($E93="","Sin fecha de inicio"&amp;" · ","")&amp;IF($F93="","Sin fecha límite"&amp;" · ","")&amp;IF(OR(AND($E93&lt;&gt;"",NOT(ISNUMBER($E93))),AND($F93&lt;&gt;"",NOT(ISNUMBER($F93)))),"Fecha no válida"&amp;" · ","")&amp;IF(AND(ISNUMBER($E93),ISNUMBER($F93),$E93&gt;$F93),"Inicio posterior a fecha límite"&amp;" · ","")&amp;IF(AND($S93="Macro",$G93=""),"Peso vacío"&amp;" · ","")&amp;IF(AND($S93="Macro",$G93&lt;&gt;"",OR(NOT(ISNUMBER($G93)),$G93&lt;=0,$G93&gt;1)),"Peso fuera de rango"&amp;" · ","")&amp;IF(AND($S93="Sub",$G93&lt;&gt;""),"Las subactividades no llevan peso"&amp;" · ","")&amp;IF(AND($S93="Macro",ABS(SUMIFS($G$5:$G$1000,$P$5:$P$1000,$P93,$S$5:$S$1000,"Macro")-1)&gt;0.0001),"Pesos del mes suman "&amp;TEXT(SUMIFS($G$5:$G$1000,$P$5:$P$1000,$P93,$S$5:$S$1000,"Macro"),"0%")&amp;" · ","")&amp;IF(AND(N($T93)&gt;0,COUNT($H93:$K93)&gt;0),"Con subactividades: deje vacías las semanas (se calculan solas)"&amp;" · ","")&amp;IF((COUNTIF($H93:$K93,"&gt;1")+COUNTIF($H93:$K93,"&lt;0")+COUNTA($H93:$K93)-COUNT($H93:$K93))&gt;0,"Avance fuera de rango 0-100%"&amp;" · ","")&amp;IF(OR(AND($I93&lt;&gt;"",$I93&lt;$H93),AND($J93&lt;&gt;"",$J93&lt;MAX($H93:$I93)),AND($K93&lt;&gt;"",$K93&lt;MAX($H93:$J93))),"Avance semanal decreciente"&amp;" · ","")&amp;IF(AND(ISNUMBER($F93),$F93&lt;FechaRef,N($L93)&lt;1),"Vencida"&amp;" · ","")&amp;IF(AND(ObsObligatoria="Sí",ISNUMBER($F93),$F93&lt;FechaRef,N($L93)&lt;1,$N93=""),"Vencida sin observación"&amp;" · ",""))-3)))</f>
        <v/>
      </c>
      <c r="P93" s="69">
        <f>IF(NOT((COUNTA($B93:$K93)+COUNTA($N93))&gt;0),"",IF(AND($S93="Sub",N($R93)&gt;0),IF(ISNUMBER(INDEX($E$5:$E$1000,$R93-4)),DATE(YEAR(INDEX($E$5:$E$1000,$R93-4)),MONTH(INDEX($E$5:$E$1000,$R93-4)),1),IF(ISNUMBER(INDEX($F$5:$F$1000,$R93-4)),DATE(YEAR(INDEX($F$5:$F$1000,$R93-4)),MONTH(INDEX($F$5:$F$1000,$R93-4)),1),MesCiclo)),IF(ISNUMBER($E93),DATE(YEAR($E93),MONTH($E93),1),IF(ISNUMBER($F93),DATE(YEAR($F93),MONTH($F93),1),MesCiclo))))</f>
        <v/>
      </c>
      <c r="Q93" s="70">
        <f>IF(OR($P93="",$P93&lt;&gt;MesCiclo),"",COUNTIF($P$5:$P93,MesCiclo))</f>
        <v/>
      </c>
      <c r="R93" s="70">
        <f>IF($S93="","",IF($S93="Macro",ROW(),IFERROR(LOOKUP(2,1/($S$5:$S93="Macro"),ROW($S$5:$S93)),0)))</f>
        <v/>
      </c>
      <c r="S93" s="70">
        <f>IF(NOT((COUNTA($B93:$K93)+COUNTA($N93))&gt;0),"",IF($B93&lt;&gt;"","Macro",IF($C93&lt;&gt;"","Sub","Macro")))</f>
        <v/>
      </c>
      <c r="T93" s="70">
        <f>IF($S93="Macro",COUNTIFS($R$5:$R$1000,ROW(),$S$5:$S$1000,"Sub"),"")</f>
        <v/>
      </c>
      <c r="U93" s="70">
        <f>IF($S93="","",IF(ISNUMBER($H93),$H93,0))</f>
        <v/>
      </c>
      <c r="V93" s="70">
        <f>IF($S93="","",IF(ISNUMBER($I93),$I93,$U93))</f>
        <v/>
      </c>
      <c r="W93" s="70">
        <f>IF($S93="","",IF(ISNUMBER($J93),$J93,$V93))</f>
        <v/>
      </c>
      <c r="X93" s="70">
        <f>IF($S93="","",IF(ISNUMBER($K93),$K93,$W93))</f>
        <v/>
      </c>
      <c r="Y93" s="70">
        <f>IF($S93="","",IF(N($T93)&gt;0,AVERAGEIFS($U$5:$U$1000,$R$5:$R$1000,ROW(),$S$5:$S$1000,"Sub"),$U93))</f>
        <v/>
      </c>
      <c r="Z93" s="70">
        <f>IF($S93="","",IF(N($T93)&gt;0,AVERAGEIFS($V$5:$V$1000,$R$5:$R$1000,ROW(),$S$5:$S$1000,"Sub"),$V93))</f>
        <v/>
      </c>
      <c r="AA93" s="70">
        <f>IF($S93="","",IF(N($T93)&gt;0,AVERAGEIFS($W$5:$W$1000,$R$5:$R$1000,ROW(),$S$5:$S$1000,"Sub"),$W93))</f>
        <v/>
      </c>
      <c r="AB93" s="70">
        <f>IF($S93="","",IF(N($T93)&gt;0,AVERAGEIFS($X$5:$X$1000,$R$5:$R$1000,ROW(),$S$5:$S$1000,"Sub"),$X93))</f>
        <v/>
      </c>
    </row>
    <row r="94">
      <c r="A94" s="61">
        <f>IF(NOT((COUNTA($B94:$K94)+COUNTA($N94))&gt;0),"",IF($S94="Macro",COUNTIFS($S$5:$S94,"Macro",$P$5:$P94,$P94),IF(N($R94)=0,"?",COUNTIFS(INDEX($S$5:$S$1000,1):INDEX($S$5:$S$1000,$R94-4),"Macro",INDEX($P$5:$P$1000,1):INDEX($P$5:$P$1000,$R94-4),INDEX($P$5:$P$1000,$R94-4))&amp;"."&amp;COUNTIFS($R$5:$R94,$R94,$S$5:$S94,"Sub"))))</f>
        <v/>
      </c>
      <c r="B94" s="62" t="n"/>
      <c r="C94" s="63" t="n"/>
      <c r="D94" s="62" t="n"/>
      <c r="E94" s="64" t="n"/>
      <c r="F94" s="64" t="n"/>
      <c r="G94" s="65" t="n"/>
      <c r="H94" s="66" t="n"/>
      <c r="I94" s="66" t="n"/>
      <c r="J94" s="66" t="n"/>
      <c r="K94" s="66" t="n"/>
      <c r="L94" s="67">
        <f>IF(NOT((COUNTA($B94:$K94)+COUNTA($N94))&gt;0),"",IF(N($T94)&gt;0,$AB94,IFERROR(LOOKUP(2,1/(H94:K94&lt;&gt;""),H94:K94),0)))</f>
        <v/>
      </c>
      <c r="M94" s="61">
        <f>IF(L94="","",IF(L94&gt;=1,"Completado",IF(L94&gt;0,"En curso","Pendiente")))</f>
        <v/>
      </c>
      <c r="N94" s="62" t="n"/>
      <c r="O94" s="68">
        <f>IF(NOT((COUNTA($B94:$K94)+COUNTA($N94))&gt;0),"",IF((IF(AND($S94="Macro",$B94=""),"Macroactividad vacía"&amp;" · ","")&amp;IF(AND($B94&lt;&gt;"",$C94&lt;&gt;""),"Escriba la subactividad en otra fila, debajo de su macroactividad"&amp;" · ","")&amp;IF(AND($S94="Sub",N($R94)=0),"Subactividad sin macroactividad arriba"&amp;" · ","")&amp;IF($D94="","Sin responsable"&amp;" · ","")&amp;IF($E94="","Sin fecha de inicio"&amp;" · ","")&amp;IF($F94="","Sin fecha límite"&amp;" · ","")&amp;IF(OR(AND($E94&lt;&gt;"",NOT(ISNUMBER($E94))),AND($F94&lt;&gt;"",NOT(ISNUMBER($F94)))),"Fecha no válida"&amp;" · ","")&amp;IF(AND(ISNUMBER($E94),ISNUMBER($F94),$E94&gt;$F94),"Inicio posterior a fecha límite"&amp;" · ","")&amp;IF(AND($S94="Macro",$G94=""),"Peso vacío"&amp;" · ","")&amp;IF(AND($S94="Macro",$G94&lt;&gt;"",OR(NOT(ISNUMBER($G94)),$G94&lt;=0,$G94&gt;1)),"Peso fuera de rango"&amp;" · ","")&amp;IF(AND($S94="Sub",$G94&lt;&gt;""),"Las subactividades no llevan peso"&amp;" · ","")&amp;IF(AND($S94="Macro",ABS(SUMIFS($G$5:$G$1000,$P$5:$P$1000,$P94,$S$5:$S$1000,"Macro")-1)&gt;0.0001),"Pesos del mes suman "&amp;TEXT(SUMIFS($G$5:$G$1000,$P$5:$P$1000,$P94,$S$5:$S$1000,"Macro"),"0%")&amp;" · ","")&amp;IF(AND(N($T94)&gt;0,COUNT($H94:$K94)&gt;0),"Con subactividades: deje vacías las semanas (se calculan solas)"&amp;" · ","")&amp;IF((COUNTIF($H94:$K94,"&gt;1")+COUNTIF($H94:$K94,"&lt;0")+COUNTA($H94:$K94)-COUNT($H94:$K94))&gt;0,"Avance fuera de rango 0-100%"&amp;" · ","")&amp;IF(OR(AND($I94&lt;&gt;"",$I94&lt;$H94),AND($J94&lt;&gt;"",$J94&lt;MAX($H94:$I94)),AND($K94&lt;&gt;"",$K94&lt;MAX($H94:$J94))),"Avance semanal decreciente"&amp;" · ","")&amp;IF(AND(ISNUMBER($F94),$F94&lt;FechaRef,N($L94)&lt;1),"Vencida"&amp;" · ","")&amp;IF(AND(ObsObligatoria="Sí",ISNUMBER($F94),$F94&lt;FechaRef,N($L94)&lt;1,$N94=""),"Vencida sin observación"&amp;" · ",""))="","✔ OK","⚠ "&amp;LEFT(IF(AND($S94="Macro",$B94=""),"Macroactividad vacía"&amp;" · ","")&amp;IF(AND($B94&lt;&gt;"",$C94&lt;&gt;""),"Escriba la subactividad en otra fila, debajo de su macroactividad"&amp;" · ","")&amp;IF(AND($S94="Sub",N($R94)=0),"Subactividad sin macroactividad arriba"&amp;" · ","")&amp;IF($D94="","Sin responsable"&amp;" · ","")&amp;IF($E94="","Sin fecha de inicio"&amp;" · ","")&amp;IF($F94="","Sin fecha límite"&amp;" · ","")&amp;IF(OR(AND($E94&lt;&gt;"",NOT(ISNUMBER($E94))),AND($F94&lt;&gt;"",NOT(ISNUMBER($F94)))),"Fecha no válida"&amp;" · ","")&amp;IF(AND(ISNUMBER($E94),ISNUMBER($F94),$E94&gt;$F94),"Inicio posterior a fecha límite"&amp;" · ","")&amp;IF(AND($S94="Macro",$G94=""),"Peso vacío"&amp;" · ","")&amp;IF(AND($S94="Macro",$G94&lt;&gt;"",OR(NOT(ISNUMBER($G94)),$G94&lt;=0,$G94&gt;1)),"Peso fuera de rango"&amp;" · ","")&amp;IF(AND($S94="Sub",$G94&lt;&gt;""),"Las subactividades no llevan peso"&amp;" · ","")&amp;IF(AND($S94="Macro",ABS(SUMIFS($G$5:$G$1000,$P$5:$P$1000,$P94,$S$5:$S$1000,"Macro")-1)&gt;0.0001),"Pesos del mes suman "&amp;TEXT(SUMIFS($G$5:$G$1000,$P$5:$P$1000,$P94,$S$5:$S$1000,"Macro"),"0%")&amp;" · ","")&amp;IF(AND(N($T94)&gt;0,COUNT($H94:$K94)&gt;0),"Con subactividades: deje vacías las semanas (se calculan solas)"&amp;" · ","")&amp;IF((COUNTIF($H94:$K94,"&gt;1")+COUNTIF($H94:$K94,"&lt;0")+COUNTA($H94:$K94)-COUNT($H94:$K94))&gt;0,"Avance fuera de rango 0-100%"&amp;" · ","")&amp;IF(OR(AND($I94&lt;&gt;"",$I94&lt;$H94),AND($J94&lt;&gt;"",$J94&lt;MAX($H94:$I94)),AND($K94&lt;&gt;"",$K94&lt;MAX($H94:$J94))),"Avance semanal decreciente"&amp;" · ","")&amp;IF(AND(ISNUMBER($F94),$F94&lt;FechaRef,N($L94)&lt;1),"Vencida"&amp;" · ","")&amp;IF(AND(ObsObligatoria="Sí",ISNUMBER($F94),$F94&lt;FechaRef,N($L94)&lt;1,$N94=""),"Vencida sin observación"&amp;" · ",""),LEN(IF(AND($S94="Macro",$B94=""),"Macroactividad vacía"&amp;" · ","")&amp;IF(AND($B94&lt;&gt;"",$C94&lt;&gt;""),"Escriba la subactividad en otra fila, debajo de su macroactividad"&amp;" · ","")&amp;IF(AND($S94="Sub",N($R94)=0),"Subactividad sin macroactividad arriba"&amp;" · ","")&amp;IF($D94="","Sin responsable"&amp;" · ","")&amp;IF($E94="","Sin fecha de inicio"&amp;" · ","")&amp;IF($F94="","Sin fecha límite"&amp;" · ","")&amp;IF(OR(AND($E94&lt;&gt;"",NOT(ISNUMBER($E94))),AND($F94&lt;&gt;"",NOT(ISNUMBER($F94)))),"Fecha no válida"&amp;" · ","")&amp;IF(AND(ISNUMBER($E94),ISNUMBER($F94),$E94&gt;$F94),"Inicio posterior a fecha límite"&amp;" · ","")&amp;IF(AND($S94="Macro",$G94=""),"Peso vacío"&amp;" · ","")&amp;IF(AND($S94="Macro",$G94&lt;&gt;"",OR(NOT(ISNUMBER($G94)),$G94&lt;=0,$G94&gt;1)),"Peso fuera de rango"&amp;" · ","")&amp;IF(AND($S94="Sub",$G94&lt;&gt;""),"Las subactividades no llevan peso"&amp;" · ","")&amp;IF(AND($S94="Macro",ABS(SUMIFS($G$5:$G$1000,$P$5:$P$1000,$P94,$S$5:$S$1000,"Macro")-1)&gt;0.0001),"Pesos del mes suman "&amp;TEXT(SUMIFS($G$5:$G$1000,$P$5:$P$1000,$P94,$S$5:$S$1000,"Macro"),"0%")&amp;" · ","")&amp;IF(AND(N($T94)&gt;0,COUNT($H94:$K94)&gt;0),"Con subactividades: deje vacías las semanas (se calculan solas)"&amp;" · ","")&amp;IF((COUNTIF($H94:$K94,"&gt;1")+COUNTIF($H94:$K94,"&lt;0")+COUNTA($H94:$K94)-COUNT($H94:$K94))&gt;0,"Avance fuera de rango 0-100%"&amp;" · ","")&amp;IF(OR(AND($I94&lt;&gt;"",$I94&lt;$H94),AND($J94&lt;&gt;"",$J94&lt;MAX($H94:$I94)),AND($K94&lt;&gt;"",$K94&lt;MAX($H94:$J94))),"Avance semanal decreciente"&amp;" · ","")&amp;IF(AND(ISNUMBER($F94),$F94&lt;FechaRef,N($L94)&lt;1),"Vencida"&amp;" · ","")&amp;IF(AND(ObsObligatoria="Sí",ISNUMBER($F94),$F94&lt;FechaRef,N($L94)&lt;1,$N94=""),"Vencida sin observación"&amp;" · ",""))-3)))</f>
        <v/>
      </c>
      <c r="P94" s="69">
        <f>IF(NOT((COUNTA($B94:$K94)+COUNTA($N94))&gt;0),"",IF(AND($S94="Sub",N($R94)&gt;0),IF(ISNUMBER(INDEX($E$5:$E$1000,$R94-4)),DATE(YEAR(INDEX($E$5:$E$1000,$R94-4)),MONTH(INDEX($E$5:$E$1000,$R94-4)),1),IF(ISNUMBER(INDEX($F$5:$F$1000,$R94-4)),DATE(YEAR(INDEX($F$5:$F$1000,$R94-4)),MONTH(INDEX($F$5:$F$1000,$R94-4)),1),MesCiclo)),IF(ISNUMBER($E94),DATE(YEAR($E94),MONTH($E94),1),IF(ISNUMBER($F94),DATE(YEAR($F94),MONTH($F94),1),MesCiclo))))</f>
        <v/>
      </c>
      <c r="Q94" s="70">
        <f>IF(OR($P94="",$P94&lt;&gt;MesCiclo),"",COUNTIF($P$5:$P94,MesCiclo))</f>
        <v/>
      </c>
      <c r="R94" s="70">
        <f>IF($S94="","",IF($S94="Macro",ROW(),IFERROR(LOOKUP(2,1/($S$5:$S94="Macro"),ROW($S$5:$S94)),0)))</f>
        <v/>
      </c>
      <c r="S94" s="70">
        <f>IF(NOT((COUNTA($B94:$K94)+COUNTA($N94))&gt;0),"",IF($B94&lt;&gt;"","Macro",IF($C94&lt;&gt;"","Sub","Macro")))</f>
        <v/>
      </c>
      <c r="T94" s="70">
        <f>IF($S94="Macro",COUNTIFS($R$5:$R$1000,ROW(),$S$5:$S$1000,"Sub"),"")</f>
        <v/>
      </c>
      <c r="U94" s="70">
        <f>IF($S94="","",IF(ISNUMBER($H94),$H94,0))</f>
        <v/>
      </c>
      <c r="V94" s="70">
        <f>IF($S94="","",IF(ISNUMBER($I94),$I94,$U94))</f>
        <v/>
      </c>
      <c r="W94" s="70">
        <f>IF($S94="","",IF(ISNUMBER($J94),$J94,$V94))</f>
        <v/>
      </c>
      <c r="X94" s="70">
        <f>IF($S94="","",IF(ISNUMBER($K94),$K94,$W94))</f>
        <v/>
      </c>
      <c r="Y94" s="70">
        <f>IF($S94="","",IF(N($T94)&gt;0,AVERAGEIFS($U$5:$U$1000,$R$5:$R$1000,ROW(),$S$5:$S$1000,"Sub"),$U94))</f>
        <v/>
      </c>
      <c r="Z94" s="70">
        <f>IF($S94="","",IF(N($T94)&gt;0,AVERAGEIFS($V$5:$V$1000,$R$5:$R$1000,ROW(),$S$5:$S$1000,"Sub"),$V94))</f>
        <v/>
      </c>
      <c r="AA94" s="70">
        <f>IF($S94="","",IF(N($T94)&gt;0,AVERAGEIFS($W$5:$W$1000,$R$5:$R$1000,ROW(),$S$5:$S$1000,"Sub"),$W94))</f>
        <v/>
      </c>
      <c r="AB94" s="70">
        <f>IF($S94="","",IF(N($T94)&gt;0,AVERAGEIFS($X$5:$X$1000,$R$5:$R$1000,ROW(),$S$5:$S$1000,"Sub"),$X94))</f>
        <v/>
      </c>
    </row>
    <row r="95">
      <c r="A95" s="61">
        <f>IF(NOT((COUNTA($B95:$K95)+COUNTA($N95))&gt;0),"",IF($S95="Macro",COUNTIFS($S$5:$S95,"Macro",$P$5:$P95,$P95),IF(N($R95)=0,"?",COUNTIFS(INDEX($S$5:$S$1000,1):INDEX($S$5:$S$1000,$R95-4),"Macro",INDEX($P$5:$P$1000,1):INDEX($P$5:$P$1000,$R95-4),INDEX($P$5:$P$1000,$R95-4))&amp;"."&amp;COUNTIFS($R$5:$R95,$R95,$S$5:$S95,"Sub"))))</f>
        <v/>
      </c>
      <c r="B95" s="62" t="n"/>
      <c r="C95" s="63" t="n"/>
      <c r="D95" s="62" t="n"/>
      <c r="E95" s="64" t="n"/>
      <c r="F95" s="64" t="n"/>
      <c r="G95" s="65" t="n"/>
      <c r="H95" s="66" t="n"/>
      <c r="I95" s="66" t="n"/>
      <c r="J95" s="66" t="n"/>
      <c r="K95" s="66" t="n"/>
      <c r="L95" s="67">
        <f>IF(NOT((COUNTA($B95:$K95)+COUNTA($N95))&gt;0),"",IF(N($T95)&gt;0,$AB95,IFERROR(LOOKUP(2,1/(H95:K95&lt;&gt;""),H95:K95),0)))</f>
        <v/>
      </c>
      <c r="M95" s="61">
        <f>IF(L95="","",IF(L95&gt;=1,"Completado",IF(L95&gt;0,"En curso","Pendiente")))</f>
        <v/>
      </c>
      <c r="N95" s="62" t="n"/>
      <c r="O95" s="68">
        <f>IF(NOT((COUNTA($B95:$K95)+COUNTA($N95))&gt;0),"",IF((IF(AND($S95="Macro",$B95=""),"Macroactividad vacía"&amp;" · ","")&amp;IF(AND($B95&lt;&gt;"",$C95&lt;&gt;""),"Escriba la subactividad en otra fila, debajo de su macroactividad"&amp;" · ","")&amp;IF(AND($S95="Sub",N($R95)=0),"Subactividad sin macroactividad arriba"&amp;" · ","")&amp;IF($D95="","Sin responsable"&amp;" · ","")&amp;IF($E95="","Sin fecha de inicio"&amp;" · ","")&amp;IF($F95="","Sin fecha límite"&amp;" · ","")&amp;IF(OR(AND($E95&lt;&gt;"",NOT(ISNUMBER($E95))),AND($F95&lt;&gt;"",NOT(ISNUMBER($F95)))),"Fecha no válida"&amp;" · ","")&amp;IF(AND(ISNUMBER($E95),ISNUMBER($F95),$E95&gt;$F95),"Inicio posterior a fecha límite"&amp;" · ","")&amp;IF(AND($S95="Macro",$G95=""),"Peso vacío"&amp;" · ","")&amp;IF(AND($S95="Macro",$G95&lt;&gt;"",OR(NOT(ISNUMBER($G95)),$G95&lt;=0,$G95&gt;1)),"Peso fuera de rango"&amp;" · ","")&amp;IF(AND($S95="Sub",$G95&lt;&gt;""),"Las subactividades no llevan peso"&amp;" · ","")&amp;IF(AND($S95="Macro",ABS(SUMIFS($G$5:$G$1000,$P$5:$P$1000,$P95,$S$5:$S$1000,"Macro")-1)&gt;0.0001),"Pesos del mes suman "&amp;TEXT(SUMIFS($G$5:$G$1000,$P$5:$P$1000,$P95,$S$5:$S$1000,"Macro"),"0%")&amp;" · ","")&amp;IF(AND(N($T95)&gt;0,COUNT($H95:$K95)&gt;0),"Con subactividades: deje vacías las semanas (se calculan solas)"&amp;" · ","")&amp;IF((COUNTIF($H95:$K95,"&gt;1")+COUNTIF($H95:$K95,"&lt;0")+COUNTA($H95:$K95)-COUNT($H95:$K95))&gt;0,"Avance fuera de rango 0-100%"&amp;" · ","")&amp;IF(OR(AND($I95&lt;&gt;"",$I95&lt;$H95),AND($J95&lt;&gt;"",$J95&lt;MAX($H95:$I95)),AND($K95&lt;&gt;"",$K95&lt;MAX($H95:$J95))),"Avance semanal decreciente"&amp;" · ","")&amp;IF(AND(ISNUMBER($F95),$F95&lt;FechaRef,N($L95)&lt;1),"Vencida"&amp;" · ","")&amp;IF(AND(ObsObligatoria="Sí",ISNUMBER($F95),$F95&lt;FechaRef,N($L95)&lt;1,$N95=""),"Vencida sin observación"&amp;" · ",""))="","✔ OK","⚠ "&amp;LEFT(IF(AND($S95="Macro",$B95=""),"Macroactividad vacía"&amp;" · ","")&amp;IF(AND($B95&lt;&gt;"",$C95&lt;&gt;""),"Escriba la subactividad en otra fila, debajo de su macroactividad"&amp;" · ","")&amp;IF(AND($S95="Sub",N($R95)=0),"Subactividad sin macroactividad arriba"&amp;" · ","")&amp;IF($D95="","Sin responsable"&amp;" · ","")&amp;IF($E95="","Sin fecha de inicio"&amp;" · ","")&amp;IF($F95="","Sin fecha límite"&amp;" · ","")&amp;IF(OR(AND($E95&lt;&gt;"",NOT(ISNUMBER($E95))),AND($F95&lt;&gt;"",NOT(ISNUMBER($F95)))),"Fecha no válida"&amp;" · ","")&amp;IF(AND(ISNUMBER($E95),ISNUMBER($F95),$E95&gt;$F95),"Inicio posterior a fecha límite"&amp;" · ","")&amp;IF(AND($S95="Macro",$G95=""),"Peso vacío"&amp;" · ","")&amp;IF(AND($S95="Macro",$G95&lt;&gt;"",OR(NOT(ISNUMBER($G95)),$G95&lt;=0,$G95&gt;1)),"Peso fuera de rango"&amp;" · ","")&amp;IF(AND($S95="Sub",$G95&lt;&gt;""),"Las subactividades no llevan peso"&amp;" · ","")&amp;IF(AND($S95="Macro",ABS(SUMIFS($G$5:$G$1000,$P$5:$P$1000,$P95,$S$5:$S$1000,"Macro")-1)&gt;0.0001),"Pesos del mes suman "&amp;TEXT(SUMIFS($G$5:$G$1000,$P$5:$P$1000,$P95,$S$5:$S$1000,"Macro"),"0%")&amp;" · ","")&amp;IF(AND(N($T95)&gt;0,COUNT($H95:$K95)&gt;0),"Con subactividades: deje vacías las semanas (se calculan solas)"&amp;" · ","")&amp;IF((COUNTIF($H95:$K95,"&gt;1")+COUNTIF($H95:$K95,"&lt;0")+COUNTA($H95:$K95)-COUNT($H95:$K95))&gt;0,"Avance fuera de rango 0-100%"&amp;" · ","")&amp;IF(OR(AND($I95&lt;&gt;"",$I95&lt;$H95),AND($J95&lt;&gt;"",$J95&lt;MAX($H95:$I95)),AND($K95&lt;&gt;"",$K95&lt;MAX($H95:$J95))),"Avance semanal decreciente"&amp;" · ","")&amp;IF(AND(ISNUMBER($F95),$F95&lt;FechaRef,N($L95)&lt;1),"Vencida"&amp;" · ","")&amp;IF(AND(ObsObligatoria="Sí",ISNUMBER($F95),$F95&lt;FechaRef,N($L95)&lt;1,$N95=""),"Vencida sin observación"&amp;" · ",""),LEN(IF(AND($S95="Macro",$B95=""),"Macroactividad vacía"&amp;" · ","")&amp;IF(AND($B95&lt;&gt;"",$C95&lt;&gt;""),"Escriba la subactividad en otra fila, debajo de su macroactividad"&amp;" · ","")&amp;IF(AND($S95="Sub",N($R95)=0),"Subactividad sin macroactividad arriba"&amp;" · ","")&amp;IF($D95="","Sin responsable"&amp;" · ","")&amp;IF($E95="","Sin fecha de inicio"&amp;" · ","")&amp;IF($F95="","Sin fecha límite"&amp;" · ","")&amp;IF(OR(AND($E95&lt;&gt;"",NOT(ISNUMBER($E95))),AND($F95&lt;&gt;"",NOT(ISNUMBER($F95)))),"Fecha no válida"&amp;" · ","")&amp;IF(AND(ISNUMBER($E95),ISNUMBER($F95),$E95&gt;$F95),"Inicio posterior a fecha límite"&amp;" · ","")&amp;IF(AND($S95="Macro",$G95=""),"Peso vacío"&amp;" · ","")&amp;IF(AND($S95="Macro",$G95&lt;&gt;"",OR(NOT(ISNUMBER($G95)),$G95&lt;=0,$G95&gt;1)),"Peso fuera de rango"&amp;" · ","")&amp;IF(AND($S95="Sub",$G95&lt;&gt;""),"Las subactividades no llevan peso"&amp;" · ","")&amp;IF(AND($S95="Macro",ABS(SUMIFS($G$5:$G$1000,$P$5:$P$1000,$P95,$S$5:$S$1000,"Macro")-1)&gt;0.0001),"Pesos del mes suman "&amp;TEXT(SUMIFS($G$5:$G$1000,$P$5:$P$1000,$P95,$S$5:$S$1000,"Macro"),"0%")&amp;" · ","")&amp;IF(AND(N($T95)&gt;0,COUNT($H95:$K95)&gt;0),"Con subactividades: deje vacías las semanas (se calculan solas)"&amp;" · ","")&amp;IF((COUNTIF($H95:$K95,"&gt;1")+COUNTIF($H95:$K95,"&lt;0")+COUNTA($H95:$K95)-COUNT($H95:$K95))&gt;0,"Avance fuera de rango 0-100%"&amp;" · ","")&amp;IF(OR(AND($I95&lt;&gt;"",$I95&lt;$H95),AND($J95&lt;&gt;"",$J95&lt;MAX($H95:$I95)),AND($K95&lt;&gt;"",$K95&lt;MAX($H95:$J95))),"Avance semanal decreciente"&amp;" · ","")&amp;IF(AND(ISNUMBER($F95),$F95&lt;FechaRef,N($L95)&lt;1),"Vencida"&amp;" · ","")&amp;IF(AND(ObsObligatoria="Sí",ISNUMBER($F95),$F95&lt;FechaRef,N($L95)&lt;1,$N95=""),"Vencida sin observación"&amp;" · ",""))-3)))</f>
        <v/>
      </c>
      <c r="P95" s="69">
        <f>IF(NOT((COUNTA($B95:$K95)+COUNTA($N95))&gt;0),"",IF(AND($S95="Sub",N($R95)&gt;0),IF(ISNUMBER(INDEX($E$5:$E$1000,$R95-4)),DATE(YEAR(INDEX($E$5:$E$1000,$R95-4)),MONTH(INDEX($E$5:$E$1000,$R95-4)),1),IF(ISNUMBER(INDEX($F$5:$F$1000,$R95-4)),DATE(YEAR(INDEX($F$5:$F$1000,$R95-4)),MONTH(INDEX($F$5:$F$1000,$R95-4)),1),MesCiclo)),IF(ISNUMBER($E95),DATE(YEAR($E95),MONTH($E95),1),IF(ISNUMBER($F95),DATE(YEAR($F95),MONTH($F95),1),MesCiclo))))</f>
        <v/>
      </c>
      <c r="Q95" s="70">
        <f>IF(OR($P95="",$P95&lt;&gt;MesCiclo),"",COUNTIF($P$5:$P95,MesCiclo))</f>
        <v/>
      </c>
      <c r="R95" s="70">
        <f>IF($S95="","",IF($S95="Macro",ROW(),IFERROR(LOOKUP(2,1/($S$5:$S95="Macro"),ROW($S$5:$S95)),0)))</f>
        <v/>
      </c>
      <c r="S95" s="70">
        <f>IF(NOT((COUNTA($B95:$K95)+COUNTA($N95))&gt;0),"",IF($B95&lt;&gt;"","Macro",IF($C95&lt;&gt;"","Sub","Macro")))</f>
        <v/>
      </c>
      <c r="T95" s="70">
        <f>IF($S95="Macro",COUNTIFS($R$5:$R$1000,ROW(),$S$5:$S$1000,"Sub"),"")</f>
        <v/>
      </c>
      <c r="U95" s="70">
        <f>IF($S95="","",IF(ISNUMBER($H95),$H95,0))</f>
        <v/>
      </c>
      <c r="V95" s="70">
        <f>IF($S95="","",IF(ISNUMBER($I95),$I95,$U95))</f>
        <v/>
      </c>
      <c r="W95" s="70">
        <f>IF($S95="","",IF(ISNUMBER($J95),$J95,$V95))</f>
        <v/>
      </c>
      <c r="X95" s="70">
        <f>IF($S95="","",IF(ISNUMBER($K95),$K95,$W95))</f>
        <v/>
      </c>
      <c r="Y95" s="70">
        <f>IF($S95="","",IF(N($T95)&gt;0,AVERAGEIFS($U$5:$U$1000,$R$5:$R$1000,ROW(),$S$5:$S$1000,"Sub"),$U95))</f>
        <v/>
      </c>
      <c r="Z95" s="70">
        <f>IF($S95="","",IF(N($T95)&gt;0,AVERAGEIFS($V$5:$V$1000,$R$5:$R$1000,ROW(),$S$5:$S$1000,"Sub"),$V95))</f>
        <v/>
      </c>
      <c r="AA95" s="70">
        <f>IF($S95="","",IF(N($T95)&gt;0,AVERAGEIFS($W$5:$W$1000,$R$5:$R$1000,ROW(),$S$5:$S$1000,"Sub"),$W95))</f>
        <v/>
      </c>
      <c r="AB95" s="70">
        <f>IF($S95="","",IF(N($T95)&gt;0,AVERAGEIFS($X$5:$X$1000,$R$5:$R$1000,ROW(),$S$5:$S$1000,"Sub"),$X95))</f>
        <v/>
      </c>
    </row>
    <row r="96">
      <c r="A96" s="61">
        <f>IF(NOT((COUNTA($B96:$K96)+COUNTA($N96))&gt;0),"",IF($S96="Macro",COUNTIFS($S$5:$S96,"Macro",$P$5:$P96,$P96),IF(N($R96)=0,"?",COUNTIFS(INDEX($S$5:$S$1000,1):INDEX($S$5:$S$1000,$R96-4),"Macro",INDEX($P$5:$P$1000,1):INDEX($P$5:$P$1000,$R96-4),INDEX($P$5:$P$1000,$R96-4))&amp;"."&amp;COUNTIFS($R$5:$R96,$R96,$S$5:$S96,"Sub"))))</f>
        <v/>
      </c>
      <c r="B96" s="62" t="n"/>
      <c r="C96" s="63" t="n"/>
      <c r="D96" s="62" t="n"/>
      <c r="E96" s="64" t="n"/>
      <c r="F96" s="64" t="n"/>
      <c r="G96" s="65" t="n"/>
      <c r="H96" s="66" t="n"/>
      <c r="I96" s="66" t="n"/>
      <c r="J96" s="66" t="n"/>
      <c r="K96" s="66" t="n"/>
      <c r="L96" s="67">
        <f>IF(NOT((COUNTA($B96:$K96)+COUNTA($N96))&gt;0),"",IF(N($T96)&gt;0,$AB96,IFERROR(LOOKUP(2,1/(H96:K96&lt;&gt;""),H96:K96),0)))</f>
        <v/>
      </c>
      <c r="M96" s="61">
        <f>IF(L96="","",IF(L96&gt;=1,"Completado",IF(L96&gt;0,"En curso","Pendiente")))</f>
        <v/>
      </c>
      <c r="N96" s="62" t="n"/>
      <c r="O96" s="68">
        <f>IF(NOT((COUNTA($B96:$K96)+COUNTA($N96))&gt;0),"",IF((IF(AND($S96="Macro",$B96=""),"Macroactividad vacía"&amp;" · ","")&amp;IF(AND($B96&lt;&gt;"",$C96&lt;&gt;""),"Escriba la subactividad en otra fila, debajo de su macroactividad"&amp;" · ","")&amp;IF(AND($S96="Sub",N($R96)=0),"Subactividad sin macroactividad arriba"&amp;" · ","")&amp;IF($D96="","Sin responsable"&amp;" · ","")&amp;IF($E96="","Sin fecha de inicio"&amp;" · ","")&amp;IF($F96="","Sin fecha límite"&amp;" · ","")&amp;IF(OR(AND($E96&lt;&gt;"",NOT(ISNUMBER($E96))),AND($F96&lt;&gt;"",NOT(ISNUMBER($F96)))),"Fecha no válida"&amp;" · ","")&amp;IF(AND(ISNUMBER($E96),ISNUMBER($F96),$E96&gt;$F96),"Inicio posterior a fecha límite"&amp;" · ","")&amp;IF(AND($S96="Macro",$G96=""),"Peso vacío"&amp;" · ","")&amp;IF(AND($S96="Macro",$G96&lt;&gt;"",OR(NOT(ISNUMBER($G96)),$G96&lt;=0,$G96&gt;1)),"Peso fuera de rango"&amp;" · ","")&amp;IF(AND($S96="Sub",$G96&lt;&gt;""),"Las subactividades no llevan peso"&amp;" · ","")&amp;IF(AND($S96="Macro",ABS(SUMIFS($G$5:$G$1000,$P$5:$P$1000,$P96,$S$5:$S$1000,"Macro")-1)&gt;0.0001),"Pesos del mes suman "&amp;TEXT(SUMIFS($G$5:$G$1000,$P$5:$P$1000,$P96,$S$5:$S$1000,"Macro"),"0%")&amp;" · ","")&amp;IF(AND(N($T96)&gt;0,COUNT($H96:$K96)&gt;0),"Con subactividades: deje vacías las semanas (se calculan solas)"&amp;" · ","")&amp;IF((COUNTIF($H96:$K96,"&gt;1")+COUNTIF($H96:$K96,"&lt;0")+COUNTA($H96:$K96)-COUNT($H96:$K96))&gt;0,"Avance fuera de rango 0-100%"&amp;" · ","")&amp;IF(OR(AND($I96&lt;&gt;"",$I96&lt;$H96),AND($J96&lt;&gt;"",$J96&lt;MAX($H96:$I96)),AND($K96&lt;&gt;"",$K96&lt;MAX($H96:$J96))),"Avance semanal decreciente"&amp;" · ","")&amp;IF(AND(ISNUMBER($F96),$F96&lt;FechaRef,N($L96)&lt;1),"Vencida"&amp;" · ","")&amp;IF(AND(ObsObligatoria="Sí",ISNUMBER($F96),$F96&lt;FechaRef,N($L96)&lt;1,$N96=""),"Vencida sin observación"&amp;" · ",""))="","✔ OK","⚠ "&amp;LEFT(IF(AND($S96="Macro",$B96=""),"Macroactividad vacía"&amp;" · ","")&amp;IF(AND($B96&lt;&gt;"",$C96&lt;&gt;""),"Escriba la subactividad en otra fila, debajo de su macroactividad"&amp;" · ","")&amp;IF(AND($S96="Sub",N($R96)=0),"Subactividad sin macroactividad arriba"&amp;" · ","")&amp;IF($D96="","Sin responsable"&amp;" · ","")&amp;IF($E96="","Sin fecha de inicio"&amp;" · ","")&amp;IF($F96="","Sin fecha límite"&amp;" · ","")&amp;IF(OR(AND($E96&lt;&gt;"",NOT(ISNUMBER($E96))),AND($F96&lt;&gt;"",NOT(ISNUMBER($F96)))),"Fecha no válida"&amp;" · ","")&amp;IF(AND(ISNUMBER($E96),ISNUMBER($F96),$E96&gt;$F96),"Inicio posterior a fecha límite"&amp;" · ","")&amp;IF(AND($S96="Macro",$G96=""),"Peso vacío"&amp;" · ","")&amp;IF(AND($S96="Macro",$G96&lt;&gt;"",OR(NOT(ISNUMBER($G96)),$G96&lt;=0,$G96&gt;1)),"Peso fuera de rango"&amp;" · ","")&amp;IF(AND($S96="Sub",$G96&lt;&gt;""),"Las subactividades no llevan peso"&amp;" · ","")&amp;IF(AND($S96="Macro",ABS(SUMIFS($G$5:$G$1000,$P$5:$P$1000,$P96,$S$5:$S$1000,"Macro")-1)&gt;0.0001),"Pesos del mes suman "&amp;TEXT(SUMIFS($G$5:$G$1000,$P$5:$P$1000,$P96,$S$5:$S$1000,"Macro"),"0%")&amp;" · ","")&amp;IF(AND(N($T96)&gt;0,COUNT($H96:$K96)&gt;0),"Con subactividades: deje vacías las semanas (se calculan solas)"&amp;" · ","")&amp;IF((COUNTIF($H96:$K96,"&gt;1")+COUNTIF($H96:$K96,"&lt;0")+COUNTA($H96:$K96)-COUNT($H96:$K96))&gt;0,"Avance fuera de rango 0-100%"&amp;" · ","")&amp;IF(OR(AND($I96&lt;&gt;"",$I96&lt;$H96),AND($J96&lt;&gt;"",$J96&lt;MAX($H96:$I96)),AND($K96&lt;&gt;"",$K96&lt;MAX($H96:$J96))),"Avance semanal decreciente"&amp;" · ","")&amp;IF(AND(ISNUMBER($F96),$F96&lt;FechaRef,N($L96)&lt;1),"Vencida"&amp;" · ","")&amp;IF(AND(ObsObligatoria="Sí",ISNUMBER($F96),$F96&lt;FechaRef,N($L96)&lt;1,$N96=""),"Vencida sin observación"&amp;" · ",""),LEN(IF(AND($S96="Macro",$B96=""),"Macroactividad vacía"&amp;" · ","")&amp;IF(AND($B96&lt;&gt;"",$C96&lt;&gt;""),"Escriba la subactividad en otra fila, debajo de su macroactividad"&amp;" · ","")&amp;IF(AND($S96="Sub",N($R96)=0),"Subactividad sin macroactividad arriba"&amp;" · ","")&amp;IF($D96="","Sin responsable"&amp;" · ","")&amp;IF($E96="","Sin fecha de inicio"&amp;" · ","")&amp;IF($F96="","Sin fecha límite"&amp;" · ","")&amp;IF(OR(AND($E96&lt;&gt;"",NOT(ISNUMBER($E96))),AND($F96&lt;&gt;"",NOT(ISNUMBER($F96)))),"Fecha no válida"&amp;" · ","")&amp;IF(AND(ISNUMBER($E96),ISNUMBER($F96),$E96&gt;$F96),"Inicio posterior a fecha límite"&amp;" · ","")&amp;IF(AND($S96="Macro",$G96=""),"Peso vacío"&amp;" · ","")&amp;IF(AND($S96="Macro",$G96&lt;&gt;"",OR(NOT(ISNUMBER($G96)),$G96&lt;=0,$G96&gt;1)),"Peso fuera de rango"&amp;" · ","")&amp;IF(AND($S96="Sub",$G96&lt;&gt;""),"Las subactividades no llevan peso"&amp;" · ","")&amp;IF(AND($S96="Macro",ABS(SUMIFS($G$5:$G$1000,$P$5:$P$1000,$P96,$S$5:$S$1000,"Macro")-1)&gt;0.0001),"Pesos del mes suman "&amp;TEXT(SUMIFS($G$5:$G$1000,$P$5:$P$1000,$P96,$S$5:$S$1000,"Macro"),"0%")&amp;" · ","")&amp;IF(AND(N($T96)&gt;0,COUNT($H96:$K96)&gt;0),"Con subactividades: deje vacías las semanas (se calculan solas)"&amp;" · ","")&amp;IF((COUNTIF($H96:$K96,"&gt;1")+COUNTIF($H96:$K96,"&lt;0")+COUNTA($H96:$K96)-COUNT($H96:$K96))&gt;0,"Avance fuera de rango 0-100%"&amp;" · ","")&amp;IF(OR(AND($I96&lt;&gt;"",$I96&lt;$H96),AND($J96&lt;&gt;"",$J96&lt;MAX($H96:$I96)),AND($K96&lt;&gt;"",$K96&lt;MAX($H96:$J96))),"Avance semanal decreciente"&amp;" · ","")&amp;IF(AND(ISNUMBER($F96),$F96&lt;FechaRef,N($L96)&lt;1),"Vencida"&amp;" · ","")&amp;IF(AND(ObsObligatoria="Sí",ISNUMBER($F96),$F96&lt;FechaRef,N($L96)&lt;1,$N96=""),"Vencida sin observación"&amp;" · ",""))-3)))</f>
        <v/>
      </c>
      <c r="P96" s="69">
        <f>IF(NOT((COUNTA($B96:$K96)+COUNTA($N96))&gt;0),"",IF(AND($S96="Sub",N($R96)&gt;0),IF(ISNUMBER(INDEX($E$5:$E$1000,$R96-4)),DATE(YEAR(INDEX($E$5:$E$1000,$R96-4)),MONTH(INDEX($E$5:$E$1000,$R96-4)),1),IF(ISNUMBER(INDEX($F$5:$F$1000,$R96-4)),DATE(YEAR(INDEX($F$5:$F$1000,$R96-4)),MONTH(INDEX($F$5:$F$1000,$R96-4)),1),MesCiclo)),IF(ISNUMBER($E96),DATE(YEAR($E96),MONTH($E96),1),IF(ISNUMBER($F96),DATE(YEAR($F96),MONTH($F96),1),MesCiclo))))</f>
        <v/>
      </c>
      <c r="Q96" s="70">
        <f>IF(OR($P96="",$P96&lt;&gt;MesCiclo),"",COUNTIF($P$5:$P96,MesCiclo))</f>
        <v/>
      </c>
      <c r="R96" s="70">
        <f>IF($S96="","",IF($S96="Macro",ROW(),IFERROR(LOOKUP(2,1/($S$5:$S96="Macro"),ROW($S$5:$S96)),0)))</f>
        <v/>
      </c>
      <c r="S96" s="70">
        <f>IF(NOT((COUNTA($B96:$K96)+COUNTA($N96))&gt;0),"",IF($B96&lt;&gt;"","Macro",IF($C96&lt;&gt;"","Sub","Macro")))</f>
        <v/>
      </c>
      <c r="T96" s="70">
        <f>IF($S96="Macro",COUNTIFS($R$5:$R$1000,ROW(),$S$5:$S$1000,"Sub"),"")</f>
        <v/>
      </c>
      <c r="U96" s="70">
        <f>IF($S96="","",IF(ISNUMBER($H96),$H96,0))</f>
        <v/>
      </c>
      <c r="V96" s="70">
        <f>IF($S96="","",IF(ISNUMBER($I96),$I96,$U96))</f>
        <v/>
      </c>
      <c r="W96" s="70">
        <f>IF($S96="","",IF(ISNUMBER($J96),$J96,$V96))</f>
        <v/>
      </c>
      <c r="X96" s="70">
        <f>IF($S96="","",IF(ISNUMBER($K96),$K96,$W96))</f>
        <v/>
      </c>
      <c r="Y96" s="70">
        <f>IF($S96="","",IF(N($T96)&gt;0,AVERAGEIFS($U$5:$U$1000,$R$5:$R$1000,ROW(),$S$5:$S$1000,"Sub"),$U96))</f>
        <v/>
      </c>
      <c r="Z96" s="70">
        <f>IF($S96="","",IF(N($T96)&gt;0,AVERAGEIFS($V$5:$V$1000,$R$5:$R$1000,ROW(),$S$5:$S$1000,"Sub"),$V96))</f>
        <v/>
      </c>
      <c r="AA96" s="70">
        <f>IF($S96="","",IF(N($T96)&gt;0,AVERAGEIFS($W$5:$W$1000,$R$5:$R$1000,ROW(),$S$5:$S$1000,"Sub"),$W96))</f>
        <v/>
      </c>
      <c r="AB96" s="70">
        <f>IF($S96="","",IF(N($T96)&gt;0,AVERAGEIFS($X$5:$X$1000,$R$5:$R$1000,ROW(),$S$5:$S$1000,"Sub"),$X96))</f>
        <v/>
      </c>
    </row>
    <row r="97">
      <c r="A97" s="61">
        <f>IF(NOT((COUNTA($B97:$K97)+COUNTA($N97))&gt;0),"",IF($S97="Macro",COUNTIFS($S$5:$S97,"Macro",$P$5:$P97,$P97),IF(N($R97)=0,"?",COUNTIFS(INDEX($S$5:$S$1000,1):INDEX($S$5:$S$1000,$R97-4),"Macro",INDEX($P$5:$P$1000,1):INDEX($P$5:$P$1000,$R97-4),INDEX($P$5:$P$1000,$R97-4))&amp;"."&amp;COUNTIFS($R$5:$R97,$R97,$S$5:$S97,"Sub"))))</f>
        <v/>
      </c>
      <c r="B97" s="62" t="n"/>
      <c r="C97" s="63" t="n"/>
      <c r="D97" s="62" t="n"/>
      <c r="E97" s="64" t="n"/>
      <c r="F97" s="64" t="n"/>
      <c r="G97" s="65" t="n"/>
      <c r="H97" s="66" t="n"/>
      <c r="I97" s="66" t="n"/>
      <c r="J97" s="66" t="n"/>
      <c r="K97" s="66" t="n"/>
      <c r="L97" s="67">
        <f>IF(NOT((COUNTA($B97:$K97)+COUNTA($N97))&gt;0),"",IF(N($T97)&gt;0,$AB97,IFERROR(LOOKUP(2,1/(H97:K97&lt;&gt;""),H97:K97),0)))</f>
        <v/>
      </c>
      <c r="M97" s="61">
        <f>IF(L97="","",IF(L97&gt;=1,"Completado",IF(L97&gt;0,"En curso","Pendiente")))</f>
        <v/>
      </c>
      <c r="N97" s="62" t="n"/>
      <c r="O97" s="68">
        <f>IF(NOT((COUNTA($B97:$K97)+COUNTA($N97))&gt;0),"",IF((IF(AND($S97="Macro",$B97=""),"Macroactividad vacía"&amp;" · ","")&amp;IF(AND($B97&lt;&gt;"",$C97&lt;&gt;""),"Escriba la subactividad en otra fila, debajo de su macroactividad"&amp;" · ","")&amp;IF(AND($S97="Sub",N($R97)=0),"Subactividad sin macroactividad arriba"&amp;" · ","")&amp;IF($D97="","Sin responsable"&amp;" · ","")&amp;IF($E97="","Sin fecha de inicio"&amp;" · ","")&amp;IF($F97="","Sin fecha límite"&amp;" · ","")&amp;IF(OR(AND($E97&lt;&gt;"",NOT(ISNUMBER($E97))),AND($F97&lt;&gt;"",NOT(ISNUMBER($F97)))),"Fecha no válida"&amp;" · ","")&amp;IF(AND(ISNUMBER($E97),ISNUMBER($F97),$E97&gt;$F97),"Inicio posterior a fecha límite"&amp;" · ","")&amp;IF(AND($S97="Macro",$G97=""),"Peso vacío"&amp;" · ","")&amp;IF(AND($S97="Macro",$G97&lt;&gt;"",OR(NOT(ISNUMBER($G97)),$G97&lt;=0,$G97&gt;1)),"Peso fuera de rango"&amp;" · ","")&amp;IF(AND($S97="Sub",$G97&lt;&gt;""),"Las subactividades no llevan peso"&amp;" · ","")&amp;IF(AND($S97="Macro",ABS(SUMIFS($G$5:$G$1000,$P$5:$P$1000,$P97,$S$5:$S$1000,"Macro")-1)&gt;0.0001),"Pesos del mes suman "&amp;TEXT(SUMIFS($G$5:$G$1000,$P$5:$P$1000,$P97,$S$5:$S$1000,"Macro"),"0%")&amp;" · ","")&amp;IF(AND(N($T97)&gt;0,COUNT($H97:$K97)&gt;0),"Con subactividades: deje vacías las semanas (se calculan solas)"&amp;" · ","")&amp;IF((COUNTIF($H97:$K97,"&gt;1")+COUNTIF($H97:$K97,"&lt;0")+COUNTA($H97:$K97)-COUNT($H97:$K97))&gt;0,"Avance fuera de rango 0-100%"&amp;" · ","")&amp;IF(OR(AND($I97&lt;&gt;"",$I97&lt;$H97),AND($J97&lt;&gt;"",$J97&lt;MAX($H97:$I97)),AND($K97&lt;&gt;"",$K97&lt;MAX($H97:$J97))),"Avance semanal decreciente"&amp;" · ","")&amp;IF(AND(ISNUMBER($F97),$F97&lt;FechaRef,N($L97)&lt;1),"Vencida"&amp;" · ","")&amp;IF(AND(ObsObligatoria="Sí",ISNUMBER($F97),$F97&lt;FechaRef,N($L97)&lt;1,$N97=""),"Vencida sin observación"&amp;" · ",""))="","✔ OK","⚠ "&amp;LEFT(IF(AND($S97="Macro",$B97=""),"Macroactividad vacía"&amp;" · ","")&amp;IF(AND($B97&lt;&gt;"",$C97&lt;&gt;""),"Escriba la subactividad en otra fila, debajo de su macroactividad"&amp;" · ","")&amp;IF(AND($S97="Sub",N($R97)=0),"Subactividad sin macroactividad arriba"&amp;" · ","")&amp;IF($D97="","Sin responsable"&amp;" · ","")&amp;IF($E97="","Sin fecha de inicio"&amp;" · ","")&amp;IF($F97="","Sin fecha límite"&amp;" · ","")&amp;IF(OR(AND($E97&lt;&gt;"",NOT(ISNUMBER($E97))),AND($F97&lt;&gt;"",NOT(ISNUMBER($F97)))),"Fecha no válida"&amp;" · ","")&amp;IF(AND(ISNUMBER($E97),ISNUMBER($F97),$E97&gt;$F97),"Inicio posterior a fecha límite"&amp;" · ","")&amp;IF(AND($S97="Macro",$G97=""),"Peso vacío"&amp;" · ","")&amp;IF(AND($S97="Macro",$G97&lt;&gt;"",OR(NOT(ISNUMBER($G97)),$G97&lt;=0,$G97&gt;1)),"Peso fuera de rango"&amp;" · ","")&amp;IF(AND($S97="Sub",$G97&lt;&gt;""),"Las subactividades no llevan peso"&amp;" · ","")&amp;IF(AND($S97="Macro",ABS(SUMIFS($G$5:$G$1000,$P$5:$P$1000,$P97,$S$5:$S$1000,"Macro")-1)&gt;0.0001),"Pesos del mes suman "&amp;TEXT(SUMIFS($G$5:$G$1000,$P$5:$P$1000,$P97,$S$5:$S$1000,"Macro"),"0%")&amp;" · ","")&amp;IF(AND(N($T97)&gt;0,COUNT($H97:$K97)&gt;0),"Con subactividades: deje vacías las semanas (se calculan solas)"&amp;" · ","")&amp;IF((COUNTIF($H97:$K97,"&gt;1")+COUNTIF($H97:$K97,"&lt;0")+COUNTA($H97:$K97)-COUNT($H97:$K97))&gt;0,"Avance fuera de rango 0-100%"&amp;" · ","")&amp;IF(OR(AND($I97&lt;&gt;"",$I97&lt;$H97),AND($J97&lt;&gt;"",$J97&lt;MAX($H97:$I97)),AND($K97&lt;&gt;"",$K97&lt;MAX($H97:$J97))),"Avance semanal decreciente"&amp;" · ","")&amp;IF(AND(ISNUMBER($F97),$F97&lt;FechaRef,N($L97)&lt;1),"Vencida"&amp;" · ","")&amp;IF(AND(ObsObligatoria="Sí",ISNUMBER($F97),$F97&lt;FechaRef,N($L97)&lt;1,$N97=""),"Vencida sin observación"&amp;" · ",""),LEN(IF(AND($S97="Macro",$B97=""),"Macroactividad vacía"&amp;" · ","")&amp;IF(AND($B97&lt;&gt;"",$C97&lt;&gt;""),"Escriba la subactividad en otra fila, debajo de su macroactividad"&amp;" · ","")&amp;IF(AND($S97="Sub",N($R97)=0),"Subactividad sin macroactividad arriba"&amp;" · ","")&amp;IF($D97="","Sin responsable"&amp;" · ","")&amp;IF($E97="","Sin fecha de inicio"&amp;" · ","")&amp;IF($F97="","Sin fecha límite"&amp;" · ","")&amp;IF(OR(AND($E97&lt;&gt;"",NOT(ISNUMBER($E97))),AND($F97&lt;&gt;"",NOT(ISNUMBER($F97)))),"Fecha no válida"&amp;" · ","")&amp;IF(AND(ISNUMBER($E97),ISNUMBER($F97),$E97&gt;$F97),"Inicio posterior a fecha límite"&amp;" · ","")&amp;IF(AND($S97="Macro",$G97=""),"Peso vacío"&amp;" · ","")&amp;IF(AND($S97="Macro",$G97&lt;&gt;"",OR(NOT(ISNUMBER($G97)),$G97&lt;=0,$G97&gt;1)),"Peso fuera de rango"&amp;" · ","")&amp;IF(AND($S97="Sub",$G97&lt;&gt;""),"Las subactividades no llevan peso"&amp;" · ","")&amp;IF(AND($S97="Macro",ABS(SUMIFS($G$5:$G$1000,$P$5:$P$1000,$P97,$S$5:$S$1000,"Macro")-1)&gt;0.0001),"Pesos del mes suman "&amp;TEXT(SUMIFS($G$5:$G$1000,$P$5:$P$1000,$P97,$S$5:$S$1000,"Macro"),"0%")&amp;" · ","")&amp;IF(AND(N($T97)&gt;0,COUNT($H97:$K97)&gt;0),"Con subactividades: deje vacías las semanas (se calculan solas)"&amp;" · ","")&amp;IF((COUNTIF($H97:$K97,"&gt;1")+COUNTIF($H97:$K97,"&lt;0")+COUNTA($H97:$K97)-COUNT($H97:$K97))&gt;0,"Avance fuera de rango 0-100%"&amp;" · ","")&amp;IF(OR(AND($I97&lt;&gt;"",$I97&lt;$H97),AND($J97&lt;&gt;"",$J97&lt;MAX($H97:$I97)),AND($K97&lt;&gt;"",$K97&lt;MAX($H97:$J97))),"Avance semanal decreciente"&amp;" · ","")&amp;IF(AND(ISNUMBER($F97),$F97&lt;FechaRef,N($L97)&lt;1),"Vencida"&amp;" · ","")&amp;IF(AND(ObsObligatoria="Sí",ISNUMBER($F97),$F97&lt;FechaRef,N($L97)&lt;1,$N97=""),"Vencida sin observación"&amp;" · ",""))-3)))</f>
        <v/>
      </c>
      <c r="P97" s="69">
        <f>IF(NOT((COUNTA($B97:$K97)+COUNTA($N97))&gt;0),"",IF(AND($S97="Sub",N($R97)&gt;0),IF(ISNUMBER(INDEX($E$5:$E$1000,$R97-4)),DATE(YEAR(INDEX($E$5:$E$1000,$R97-4)),MONTH(INDEX($E$5:$E$1000,$R97-4)),1),IF(ISNUMBER(INDEX($F$5:$F$1000,$R97-4)),DATE(YEAR(INDEX($F$5:$F$1000,$R97-4)),MONTH(INDEX($F$5:$F$1000,$R97-4)),1),MesCiclo)),IF(ISNUMBER($E97),DATE(YEAR($E97),MONTH($E97),1),IF(ISNUMBER($F97),DATE(YEAR($F97),MONTH($F97),1),MesCiclo))))</f>
        <v/>
      </c>
      <c r="Q97" s="70">
        <f>IF(OR($P97="",$P97&lt;&gt;MesCiclo),"",COUNTIF($P$5:$P97,MesCiclo))</f>
        <v/>
      </c>
      <c r="R97" s="70">
        <f>IF($S97="","",IF($S97="Macro",ROW(),IFERROR(LOOKUP(2,1/($S$5:$S97="Macro"),ROW($S$5:$S97)),0)))</f>
        <v/>
      </c>
      <c r="S97" s="70">
        <f>IF(NOT((COUNTA($B97:$K97)+COUNTA($N97))&gt;0),"",IF($B97&lt;&gt;"","Macro",IF($C97&lt;&gt;"","Sub","Macro")))</f>
        <v/>
      </c>
      <c r="T97" s="70">
        <f>IF($S97="Macro",COUNTIFS($R$5:$R$1000,ROW(),$S$5:$S$1000,"Sub"),"")</f>
        <v/>
      </c>
      <c r="U97" s="70">
        <f>IF($S97="","",IF(ISNUMBER($H97),$H97,0))</f>
        <v/>
      </c>
      <c r="V97" s="70">
        <f>IF($S97="","",IF(ISNUMBER($I97),$I97,$U97))</f>
        <v/>
      </c>
      <c r="W97" s="70">
        <f>IF($S97="","",IF(ISNUMBER($J97),$J97,$V97))</f>
        <v/>
      </c>
      <c r="X97" s="70">
        <f>IF($S97="","",IF(ISNUMBER($K97),$K97,$W97))</f>
        <v/>
      </c>
      <c r="Y97" s="70">
        <f>IF($S97="","",IF(N($T97)&gt;0,AVERAGEIFS($U$5:$U$1000,$R$5:$R$1000,ROW(),$S$5:$S$1000,"Sub"),$U97))</f>
        <v/>
      </c>
      <c r="Z97" s="70">
        <f>IF($S97="","",IF(N($T97)&gt;0,AVERAGEIFS($V$5:$V$1000,$R$5:$R$1000,ROW(),$S$5:$S$1000,"Sub"),$V97))</f>
        <v/>
      </c>
      <c r="AA97" s="70">
        <f>IF($S97="","",IF(N($T97)&gt;0,AVERAGEIFS($W$5:$W$1000,$R$5:$R$1000,ROW(),$S$5:$S$1000,"Sub"),$W97))</f>
        <v/>
      </c>
      <c r="AB97" s="70">
        <f>IF($S97="","",IF(N($T97)&gt;0,AVERAGEIFS($X$5:$X$1000,$R$5:$R$1000,ROW(),$S$5:$S$1000,"Sub"),$X97))</f>
        <v/>
      </c>
    </row>
    <row r="98">
      <c r="A98" s="61">
        <f>IF(NOT((COUNTA($B98:$K98)+COUNTA($N98))&gt;0),"",IF($S98="Macro",COUNTIFS($S$5:$S98,"Macro",$P$5:$P98,$P98),IF(N($R98)=0,"?",COUNTIFS(INDEX($S$5:$S$1000,1):INDEX($S$5:$S$1000,$R98-4),"Macro",INDEX($P$5:$P$1000,1):INDEX($P$5:$P$1000,$R98-4),INDEX($P$5:$P$1000,$R98-4))&amp;"."&amp;COUNTIFS($R$5:$R98,$R98,$S$5:$S98,"Sub"))))</f>
        <v/>
      </c>
      <c r="B98" s="62" t="n"/>
      <c r="C98" s="63" t="n"/>
      <c r="D98" s="62" t="n"/>
      <c r="E98" s="64" t="n"/>
      <c r="F98" s="64" t="n"/>
      <c r="G98" s="65" t="n"/>
      <c r="H98" s="66" t="n"/>
      <c r="I98" s="66" t="n"/>
      <c r="J98" s="66" t="n"/>
      <c r="K98" s="66" t="n"/>
      <c r="L98" s="67">
        <f>IF(NOT((COUNTA($B98:$K98)+COUNTA($N98))&gt;0),"",IF(N($T98)&gt;0,$AB98,IFERROR(LOOKUP(2,1/(H98:K98&lt;&gt;""),H98:K98),0)))</f>
        <v/>
      </c>
      <c r="M98" s="61">
        <f>IF(L98="","",IF(L98&gt;=1,"Completado",IF(L98&gt;0,"En curso","Pendiente")))</f>
        <v/>
      </c>
      <c r="N98" s="62" t="n"/>
      <c r="O98" s="68">
        <f>IF(NOT((COUNTA($B98:$K98)+COUNTA($N98))&gt;0),"",IF((IF(AND($S98="Macro",$B98=""),"Macroactividad vacía"&amp;" · ","")&amp;IF(AND($B98&lt;&gt;"",$C98&lt;&gt;""),"Escriba la subactividad en otra fila, debajo de su macroactividad"&amp;" · ","")&amp;IF(AND($S98="Sub",N($R98)=0),"Subactividad sin macroactividad arriba"&amp;" · ","")&amp;IF($D98="","Sin responsable"&amp;" · ","")&amp;IF($E98="","Sin fecha de inicio"&amp;" · ","")&amp;IF($F98="","Sin fecha límite"&amp;" · ","")&amp;IF(OR(AND($E98&lt;&gt;"",NOT(ISNUMBER($E98))),AND($F98&lt;&gt;"",NOT(ISNUMBER($F98)))),"Fecha no válida"&amp;" · ","")&amp;IF(AND(ISNUMBER($E98),ISNUMBER($F98),$E98&gt;$F98),"Inicio posterior a fecha límite"&amp;" · ","")&amp;IF(AND($S98="Macro",$G98=""),"Peso vacío"&amp;" · ","")&amp;IF(AND($S98="Macro",$G98&lt;&gt;"",OR(NOT(ISNUMBER($G98)),$G98&lt;=0,$G98&gt;1)),"Peso fuera de rango"&amp;" · ","")&amp;IF(AND($S98="Sub",$G98&lt;&gt;""),"Las subactividades no llevan peso"&amp;" · ","")&amp;IF(AND($S98="Macro",ABS(SUMIFS($G$5:$G$1000,$P$5:$P$1000,$P98,$S$5:$S$1000,"Macro")-1)&gt;0.0001),"Pesos del mes suman "&amp;TEXT(SUMIFS($G$5:$G$1000,$P$5:$P$1000,$P98,$S$5:$S$1000,"Macro"),"0%")&amp;" · ","")&amp;IF(AND(N($T98)&gt;0,COUNT($H98:$K98)&gt;0),"Con subactividades: deje vacías las semanas (se calculan solas)"&amp;" · ","")&amp;IF((COUNTIF($H98:$K98,"&gt;1")+COUNTIF($H98:$K98,"&lt;0")+COUNTA($H98:$K98)-COUNT($H98:$K98))&gt;0,"Avance fuera de rango 0-100%"&amp;" · ","")&amp;IF(OR(AND($I98&lt;&gt;"",$I98&lt;$H98),AND($J98&lt;&gt;"",$J98&lt;MAX($H98:$I98)),AND($K98&lt;&gt;"",$K98&lt;MAX($H98:$J98))),"Avance semanal decreciente"&amp;" · ","")&amp;IF(AND(ISNUMBER($F98),$F98&lt;FechaRef,N($L98)&lt;1),"Vencida"&amp;" · ","")&amp;IF(AND(ObsObligatoria="Sí",ISNUMBER($F98),$F98&lt;FechaRef,N($L98)&lt;1,$N98=""),"Vencida sin observación"&amp;" · ",""))="","✔ OK","⚠ "&amp;LEFT(IF(AND($S98="Macro",$B98=""),"Macroactividad vacía"&amp;" · ","")&amp;IF(AND($B98&lt;&gt;"",$C98&lt;&gt;""),"Escriba la subactividad en otra fila, debajo de su macroactividad"&amp;" · ","")&amp;IF(AND($S98="Sub",N($R98)=0),"Subactividad sin macroactividad arriba"&amp;" · ","")&amp;IF($D98="","Sin responsable"&amp;" · ","")&amp;IF($E98="","Sin fecha de inicio"&amp;" · ","")&amp;IF($F98="","Sin fecha límite"&amp;" · ","")&amp;IF(OR(AND($E98&lt;&gt;"",NOT(ISNUMBER($E98))),AND($F98&lt;&gt;"",NOT(ISNUMBER($F98)))),"Fecha no válida"&amp;" · ","")&amp;IF(AND(ISNUMBER($E98),ISNUMBER($F98),$E98&gt;$F98),"Inicio posterior a fecha límite"&amp;" · ","")&amp;IF(AND($S98="Macro",$G98=""),"Peso vacío"&amp;" · ","")&amp;IF(AND($S98="Macro",$G98&lt;&gt;"",OR(NOT(ISNUMBER($G98)),$G98&lt;=0,$G98&gt;1)),"Peso fuera de rango"&amp;" · ","")&amp;IF(AND($S98="Sub",$G98&lt;&gt;""),"Las subactividades no llevan peso"&amp;" · ","")&amp;IF(AND($S98="Macro",ABS(SUMIFS($G$5:$G$1000,$P$5:$P$1000,$P98,$S$5:$S$1000,"Macro")-1)&gt;0.0001),"Pesos del mes suman "&amp;TEXT(SUMIFS($G$5:$G$1000,$P$5:$P$1000,$P98,$S$5:$S$1000,"Macro"),"0%")&amp;" · ","")&amp;IF(AND(N($T98)&gt;0,COUNT($H98:$K98)&gt;0),"Con subactividades: deje vacías las semanas (se calculan solas)"&amp;" · ","")&amp;IF((COUNTIF($H98:$K98,"&gt;1")+COUNTIF($H98:$K98,"&lt;0")+COUNTA($H98:$K98)-COUNT($H98:$K98))&gt;0,"Avance fuera de rango 0-100%"&amp;" · ","")&amp;IF(OR(AND($I98&lt;&gt;"",$I98&lt;$H98),AND($J98&lt;&gt;"",$J98&lt;MAX($H98:$I98)),AND($K98&lt;&gt;"",$K98&lt;MAX($H98:$J98))),"Avance semanal decreciente"&amp;" · ","")&amp;IF(AND(ISNUMBER($F98),$F98&lt;FechaRef,N($L98)&lt;1),"Vencida"&amp;" · ","")&amp;IF(AND(ObsObligatoria="Sí",ISNUMBER($F98),$F98&lt;FechaRef,N($L98)&lt;1,$N98=""),"Vencida sin observación"&amp;" · ",""),LEN(IF(AND($S98="Macro",$B98=""),"Macroactividad vacía"&amp;" · ","")&amp;IF(AND($B98&lt;&gt;"",$C98&lt;&gt;""),"Escriba la subactividad en otra fila, debajo de su macroactividad"&amp;" · ","")&amp;IF(AND($S98="Sub",N($R98)=0),"Subactividad sin macroactividad arriba"&amp;" · ","")&amp;IF($D98="","Sin responsable"&amp;" · ","")&amp;IF($E98="","Sin fecha de inicio"&amp;" · ","")&amp;IF($F98="","Sin fecha límite"&amp;" · ","")&amp;IF(OR(AND($E98&lt;&gt;"",NOT(ISNUMBER($E98))),AND($F98&lt;&gt;"",NOT(ISNUMBER($F98)))),"Fecha no válida"&amp;" · ","")&amp;IF(AND(ISNUMBER($E98),ISNUMBER($F98),$E98&gt;$F98),"Inicio posterior a fecha límite"&amp;" · ","")&amp;IF(AND($S98="Macro",$G98=""),"Peso vacío"&amp;" · ","")&amp;IF(AND($S98="Macro",$G98&lt;&gt;"",OR(NOT(ISNUMBER($G98)),$G98&lt;=0,$G98&gt;1)),"Peso fuera de rango"&amp;" · ","")&amp;IF(AND($S98="Sub",$G98&lt;&gt;""),"Las subactividades no llevan peso"&amp;" · ","")&amp;IF(AND($S98="Macro",ABS(SUMIFS($G$5:$G$1000,$P$5:$P$1000,$P98,$S$5:$S$1000,"Macro")-1)&gt;0.0001),"Pesos del mes suman "&amp;TEXT(SUMIFS($G$5:$G$1000,$P$5:$P$1000,$P98,$S$5:$S$1000,"Macro"),"0%")&amp;" · ","")&amp;IF(AND(N($T98)&gt;0,COUNT($H98:$K98)&gt;0),"Con subactividades: deje vacías las semanas (se calculan solas)"&amp;" · ","")&amp;IF((COUNTIF($H98:$K98,"&gt;1")+COUNTIF($H98:$K98,"&lt;0")+COUNTA($H98:$K98)-COUNT($H98:$K98))&gt;0,"Avance fuera de rango 0-100%"&amp;" · ","")&amp;IF(OR(AND($I98&lt;&gt;"",$I98&lt;$H98),AND($J98&lt;&gt;"",$J98&lt;MAX($H98:$I98)),AND($K98&lt;&gt;"",$K98&lt;MAX($H98:$J98))),"Avance semanal decreciente"&amp;" · ","")&amp;IF(AND(ISNUMBER($F98),$F98&lt;FechaRef,N($L98)&lt;1),"Vencida"&amp;" · ","")&amp;IF(AND(ObsObligatoria="Sí",ISNUMBER($F98),$F98&lt;FechaRef,N($L98)&lt;1,$N98=""),"Vencida sin observación"&amp;" · ",""))-3)))</f>
        <v/>
      </c>
      <c r="P98" s="69">
        <f>IF(NOT((COUNTA($B98:$K98)+COUNTA($N98))&gt;0),"",IF(AND($S98="Sub",N($R98)&gt;0),IF(ISNUMBER(INDEX($E$5:$E$1000,$R98-4)),DATE(YEAR(INDEX($E$5:$E$1000,$R98-4)),MONTH(INDEX($E$5:$E$1000,$R98-4)),1),IF(ISNUMBER(INDEX($F$5:$F$1000,$R98-4)),DATE(YEAR(INDEX($F$5:$F$1000,$R98-4)),MONTH(INDEX($F$5:$F$1000,$R98-4)),1),MesCiclo)),IF(ISNUMBER($E98),DATE(YEAR($E98),MONTH($E98),1),IF(ISNUMBER($F98),DATE(YEAR($F98),MONTH($F98),1),MesCiclo))))</f>
        <v/>
      </c>
      <c r="Q98" s="70">
        <f>IF(OR($P98="",$P98&lt;&gt;MesCiclo),"",COUNTIF($P$5:$P98,MesCiclo))</f>
        <v/>
      </c>
      <c r="R98" s="70">
        <f>IF($S98="","",IF($S98="Macro",ROW(),IFERROR(LOOKUP(2,1/($S$5:$S98="Macro"),ROW($S$5:$S98)),0)))</f>
        <v/>
      </c>
      <c r="S98" s="70">
        <f>IF(NOT((COUNTA($B98:$K98)+COUNTA($N98))&gt;0),"",IF($B98&lt;&gt;"","Macro",IF($C98&lt;&gt;"","Sub","Macro")))</f>
        <v/>
      </c>
      <c r="T98" s="70">
        <f>IF($S98="Macro",COUNTIFS($R$5:$R$1000,ROW(),$S$5:$S$1000,"Sub"),"")</f>
        <v/>
      </c>
      <c r="U98" s="70">
        <f>IF($S98="","",IF(ISNUMBER($H98),$H98,0))</f>
        <v/>
      </c>
      <c r="V98" s="70">
        <f>IF($S98="","",IF(ISNUMBER($I98),$I98,$U98))</f>
        <v/>
      </c>
      <c r="W98" s="70">
        <f>IF($S98="","",IF(ISNUMBER($J98),$J98,$V98))</f>
        <v/>
      </c>
      <c r="X98" s="70">
        <f>IF($S98="","",IF(ISNUMBER($K98),$K98,$W98))</f>
        <v/>
      </c>
      <c r="Y98" s="70">
        <f>IF($S98="","",IF(N($T98)&gt;0,AVERAGEIFS($U$5:$U$1000,$R$5:$R$1000,ROW(),$S$5:$S$1000,"Sub"),$U98))</f>
        <v/>
      </c>
      <c r="Z98" s="70">
        <f>IF($S98="","",IF(N($T98)&gt;0,AVERAGEIFS($V$5:$V$1000,$R$5:$R$1000,ROW(),$S$5:$S$1000,"Sub"),$V98))</f>
        <v/>
      </c>
      <c r="AA98" s="70">
        <f>IF($S98="","",IF(N($T98)&gt;0,AVERAGEIFS($W$5:$W$1000,$R$5:$R$1000,ROW(),$S$5:$S$1000,"Sub"),$W98))</f>
        <v/>
      </c>
      <c r="AB98" s="70">
        <f>IF($S98="","",IF(N($T98)&gt;0,AVERAGEIFS($X$5:$X$1000,$R$5:$R$1000,ROW(),$S$5:$S$1000,"Sub"),$X98))</f>
        <v/>
      </c>
    </row>
    <row r="99">
      <c r="A99" s="61">
        <f>IF(NOT((COUNTA($B99:$K99)+COUNTA($N99))&gt;0),"",IF($S99="Macro",COUNTIFS($S$5:$S99,"Macro",$P$5:$P99,$P99),IF(N($R99)=0,"?",COUNTIFS(INDEX($S$5:$S$1000,1):INDEX($S$5:$S$1000,$R99-4),"Macro",INDEX($P$5:$P$1000,1):INDEX($P$5:$P$1000,$R99-4),INDEX($P$5:$P$1000,$R99-4))&amp;"."&amp;COUNTIFS($R$5:$R99,$R99,$S$5:$S99,"Sub"))))</f>
        <v/>
      </c>
      <c r="B99" s="62" t="n"/>
      <c r="C99" s="63" t="n"/>
      <c r="D99" s="62" t="n"/>
      <c r="E99" s="64" t="n"/>
      <c r="F99" s="64" t="n"/>
      <c r="G99" s="65" t="n"/>
      <c r="H99" s="66" t="n"/>
      <c r="I99" s="66" t="n"/>
      <c r="J99" s="66" t="n"/>
      <c r="K99" s="66" t="n"/>
      <c r="L99" s="67">
        <f>IF(NOT((COUNTA($B99:$K99)+COUNTA($N99))&gt;0),"",IF(N($T99)&gt;0,$AB99,IFERROR(LOOKUP(2,1/(H99:K99&lt;&gt;""),H99:K99),0)))</f>
        <v/>
      </c>
      <c r="M99" s="61">
        <f>IF(L99="","",IF(L99&gt;=1,"Completado",IF(L99&gt;0,"En curso","Pendiente")))</f>
        <v/>
      </c>
      <c r="N99" s="62" t="n"/>
      <c r="O99" s="68">
        <f>IF(NOT((COUNTA($B99:$K99)+COUNTA($N99))&gt;0),"",IF((IF(AND($S99="Macro",$B99=""),"Macroactividad vacía"&amp;" · ","")&amp;IF(AND($B99&lt;&gt;"",$C99&lt;&gt;""),"Escriba la subactividad en otra fila, debajo de su macroactividad"&amp;" · ","")&amp;IF(AND($S99="Sub",N($R99)=0),"Subactividad sin macroactividad arriba"&amp;" · ","")&amp;IF($D99="","Sin responsable"&amp;" · ","")&amp;IF($E99="","Sin fecha de inicio"&amp;" · ","")&amp;IF($F99="","Sin fecha límite"&amp;" · ","")&amp;IF(OR(AND($E99&lt;&gt;"",NOT(ISNUMBER($E99))),AND($F99&lt;&gt;"",NOT(ISNUMBER($F99)))),"Fecha no válida"&amp;" · ","")&amp;IF(AND(ISNUMBER($E99),ISNUMBER($F99),$E99&gt;$F99),"Inicio posterior a fecha límite"&amp;" · ","")&amp;IF(AND($S99="Macro",$G99=""),"Peso vacío"&amp;" · ","")&amp;IF(AND($S99="Macro",$G99&lt;&gt;"",OR(NOT(ISNUMBER($G99)),$G99&lt;=0,$G99&gt;1)),"Peso fuera de rango"&amp;" · ","")&amp;IF(AND($S99="Sub",$G99&lt;&gt;""),"Las subactividades no llevan peso"&amp;" · ","")&amp;IF(AND($S99="Macro",ABS(SUMIFS($G$5:$G$1000,$P$5:$P$1000,$P99,$S$5:$S$1000,"Macro")-1)&gt;0.0001),"Pesos del mes suman "&amp;TEXT(SUMIFS($G$5:$G$1000,$P$5:$P$1000,$P99,$S$5:$S$1000,"Macro"),"0%")&amp;" · ","")&amp;IF(AND(N($T99)&gt;0,COUNT($H99:$K99)&gt;0),"Con subactividades: deje vacías las semanas (se calculan solas)"&amp;" · ","")&amp;IF((COUNTIF($H99:$K99,"&gt;1")+COUNTIF($H99:$K99,"&lt;0")+COUNTA($H99:$K99)-COUNT($H99:$K99))&gt;0,"Avance fuera de rango 0-100%"&amp;" · ","")&amp;IF(OR(AND($I99&lt;&gt;"",$I99&lt;$H99),AND($J99&lt;&gt;"",$J99&lt;MAX($H99:$I99)),AND($K99&lt;&gt;"",$K99&lt;MAX($H99:$J99))),"Avance semanal decreciente"&amp;" · ","")&amp;IF(AND(ISNUMBER($F99),$F99&lt;FechaRef,N($L99)&lt;1),"Vencida"&amp;" · ","")&amp;IF(AND(ObsObligatoria="Sí",ISNUMBER($F99),$F99&lt;FechaRef,N($L99)&lt;1,$N99=""),"Vencida sin observación"&amp;" · ",""))="","✔ OK","⚠ "&amp;LEFT(IF(AND($S99="Macro",$B99=""),"Macroactividad vacía"&amp;" · ","")&amp;IF(AND($B99&lt;&gt;"",$C99&lt;&gt;""),"Escriba la subactividad en otra fila, debajo de su macroactividad"&amp;" · ","")&amp;IF(AND($S99="Sub",N($R99)=0),"Subactividad sin macroactividad arriba"&amp;" · ","")&amp;IF($D99="","Sin responsable"&amp;" · ","")&amp;IF($E99="","Sin fecha de inicio"&amp;" · ","")&amp;IF($F99="","Sin fecha límite"&amp;" · ","")&amp;IF(OR(AND($E99&lt;&gt;"",NOT(ISNUMBER($E99))),AND($F99&lt;&gt;"",NOT(ISNUMBER($F99)))),"Fecha no válida"&amp;" · ","")&amp;IF(AND(ISNUMBER($E99),ISNUMBER($F99),$E99&gt;$F99),"Inicio posterior a fecha límite"&amp;" · ","")&amp;IF(AND($S99="Macro",$G99=""),"Peso vacío"&amp;" · ","")&amp;IF(AND($S99="Macro",$G99&lt;&gt;"",OR(NOT(ISNUMBER($G99)),$G99&lt;=0,$G99&gt;1)),"Peso fuera de rango"&amp;" · ","")&amp;IF(AND($S99="Sub",$G99&lt;&gt;""),"Las subactividades no llevan peso"&amp;" · ","")&amp;IF(AND($S99="Macro",ABS(SUMIFS($G$5:$G$1000,$P$5:$P$1000,$P99,$S$5:$S$1000,"Macro")-1)&gt;0.0001),"Pesos del mes suman "&amp;TEXT(SUMIFS($G$5:$G$1000,$P$5:$P$1000,$P99,$S$5:$S$1000,"Macro"),"0%")&amp;" · ","")&amp;IF(AND(N($T99)&gt;0,COUNT($H99:$K99)&gt;0),"Con subactividades: deje vacías las semanas (se calculan solas)"&amp;" · ","")&amp;IF((COUNTIF($H99:$K99,"&gt;1")+COUNTIF($H99:$K99,"&lt;0")+COUNTA($H99:$K99)-COUNT($H99:$K99))&gt;0,"Avance fuera de rango 0-100%"&amp;" · ","")&amp;IF(OR(AND($I99&lt;&gt;"",$I99&lt;$H99),AND($J99&lt;&gt;"",$J99&lt;MAX($H99:$I99)),AND($K99&lt;&gt;"",$K99&lt;MAX($H99:$J99))),"Avance semanal decreciente"&amp;" · ","")&amp;IF(AND(ISNUMBER($F99),$F99&lt;FechaRef,N($L99)&lt;1),"Vencida"&amp;" · ","")&amp;IF(AND(ObsObligatoria="Sí",ISNUMBER($F99),$F99&lt;FechaRef,N($L99)&lt;1,$N99=""),"Vencida sin observación"&amp;" · ",""),LEN(IF(AND($S99="Macro",$B99=""),"Macroactividad vacía"&amp;" · ","")&amp;IF(AND($B99&lt;&gt;"",$C99&lt;&gt;""),"Escriba la subactividad en otra fila, debajo de su macroactividad"&amp;" · ","")&amp;IF(AND($S99="Sub",N($R99)=0),"Subactividad sin macroactividad arriba"&amp;" · ","")&amp;IF($D99="","Sin responsable"&amp;" · ","")&amp;IF($E99="","Sin fecha de inicio"&amp;" · ","")&amp;IF($F99="","Sin fecha límite"&amp;" · ","")&amp;IF(OR(AND($E99&lt;&gt;"",NOT(ISNUMBER($E99))),AND($F99&lt;&gt;"",NOT(ISNUMBER($F99)))),"Fecha no válida"&amp;" · ","")&amp;IF(AND(ISNUMBER($E99),ISNUMBER($F99),$E99&gt;$F99),"Inicio posterior a fecha límite"&amp;" · ","")&amp;IF(AND($S99="Macro",$G99=""),"Peso vacío"&amp;" · ","")&amp;IF(AND($S99="Macro",$G99&lt;&gt;"",OR(NOT(ISNUMBER($G99)),$G99&lt;=0,$G99&gt;1)),"Peso fuera de rango"&amp;" · ","")&amp;IF(AND($S99="Sub",$G99&lt;&gt;""),"Las subactividades no llevan peso"&amp;" · ","")&amp;IF(AND($S99="Macro",ABS(SUMIFS($G$5:$G$1000,$P$5:$P$1000,$P99,$S$5:$S$1000,"Macro")-1)&gt;0.0001),"Pesos del mes suman "&amp;TEXT(SUMIFS($G$5:$G$1000,$P$5:$P$1000,$P99,$S$5:$S$1000,"Macro"),"0%")&amp;" · ","")&amp;IF(AND(N($T99)&gt;0,COUNT($H99:$K99)&gt;0),"Con subactividades: deje vacías las semanas (se calculan solas)"&amp;" · ","")&amp;IF((COUNTIF($H99:$K99,"&gt;1")+COUNTIF($H99:$K99,"&lt;0")+COUNTA($H99:$K99)-COUNT($H99:$K99))&gt;0,"Avance fuera de rango 0-100%"&amp;" · ","")&amp;IF(OR(AND($I99&lt;&gt;"",$I99&lt;$H99),AND($J99&lt;&gt;"",$J99&lt;MAX($H99:$I99)),AND($K99&lt;&gt;"",$K99&lt;MAX($H99:$J99))),"Avance semanal decreciente"&amp;" · ","")&amp;IF(AND(ISNUMBER($F99),$F99&lt;FechaRef,N($L99)&lt;1),"Vencida"&amp;" · ","")&amp;IF(AND(ObsObligatoria="Sí",ISNUMBER($F99),$F99&lt;FechaRef,N($L99)&lt;1,$N99=""),"Vencida sin observación"&amp;" · ",""))-3)))</f>
        <v/>
      </c>
      <c r="P99" s="69">
        <f>IF(NOT((COUNTA($B99:$K99)+COUNTA($N99))&gt;0),"",IF(AND($S99="Sub",N($R99)&gt;0),IF(ISNUMBER(INDEX($E$5:$E$1000,$R99-4)),DATE(YEAR(INDEX($E$5:$E$1000,$R99-4)),MONTH(INDEX($E$5:$E$1000,$R99-4)),1),IF(ISNUMBER(INDEX($F$5:$F$1000,$R99-4)),DATE(YEAR(INDEX($F$5:$F$1000,$R99-4)),MONTH(INDEX($F$5:$F$1000,$R99-4)),1),MesCiclo)),IF(ISNUMBER($E99),DATE(YEAR($E99),MONTH($E99),1),IF(ISNUMBER($F99),DATE(YEAR($F99),MONTH($F99),1),MesCiclo))))</f>
        <v/>
      </c>
      <c r="Q99" s="70">
        <f>IF(OR($P99="",$P99&lt;&gt;MesCiclo),"",COUNTIF($P$5:$P99,MesCiclo))</f>
        <v/>
      </c>
      <c r="R99" s="70">
        <f>IF($S99="","",IF($S99="Macro",ROW(),IFERROR(LOOKUP(2,1/($S$5:$S99="Macro"),ROW($S$5:$S99)),0)))</f>
        <v/>
      </c>
      <c r="S99" s="70">
        <f>IF(NOT((COUNTA($B99:$K99)+COUNTA($N99))&gt;0),"",IF($B99&lt;&gt;"","Macro",IF($C99&lt;&gt;"","Sub","Macro")))</f>
        <v/>
      </c>
      <c r="T99" s="70">
        <f>IF($S99="Macro",COUNTIFS($R$5:$R$1000,ROW(),$S$5:$S$1000,"Sub"),"")</f>
        <v/>
      </c>
      <c r="U99" s="70">
        <f>IF($S99="","",IF(ISNUMBER($H99),$H99,0))</f>
        <v/>
      </c>
      <c r="V99" s="70">
        <f>IF($S99="","",IF(ISNUMBER($I99),$I99,$U99))</f>
        <v/>
      </c>
      <c r="W99" s="70">
        <f>IF($S99="","",IF(ISNUMBER($J99),$J99,$V99))</f>
        <v/>
      </c>
      <c r="X99" s="70">
        <f>IF($S99="","",IF(ISNUMBER($K99),$K99,$W99))</f>
        <v/>
      </c>
      <c r="Y99" s="70">
        <f>IF($S99="","",IF(N($T99)&gt;0,AVERAGEIFS($U$5:$U$1000,$R$5:$R$1000,ROW(),$S$5:$S$1000,"Sub"),$U99))</f>
        <v/>
      </c>
      <c r="Z99" s="70">
        <f>IF($S99="","",IF(N($T99)&gt;0,AVERAGEIFS($V$5:$V$1000,$R$5:$R$1000,ROW(),$S$5:$S$1000,"Sub"),$V99))</f>
        <v/>
      </c>
      <c r="AA99" s="70">
        <f>IF($S99="","",IF(N($T99)&gt;0,AVERAGEIFS($W$5:$W$1000,$R$5:$R$1000,ROW(),$S$5:$S$1000,"Sub"),$W99))</f>
        <v/>
      </c>
      <c r="AB99" s="70">
        <f>IF($S99="","",IF(N($T99)&gt;0,AVERAGEIFS($X$5:$X$1000,$R$5:$R$1000,ROW(),$S$5:$S$1000,"Sub"),$X99))</f>
        <v/>
      </c>
    </row>
    <row r="100">
      <c r="A100" s="61">
        <f>IF(NOT((COUNTA($B100:$K100)+COUNTA($N100))&gt;0),"",IF($S100="Macro",COUNTIFS($S$5:$S100,"Macro",$P$5:$P100,$P100),IF(N($R100)=0,"?",COUNTIFS(INDEX($S$5:$S$1000,1):INDEX($S$5:$S$1000,$R100-4),"Macro",INDEX($P$5:$P$1000,1):INDEX($P$5:$P$1000,$R100-4),INDEX($P$5:$P$1000,$R100-4))&amp;"."&amp;COUNTIFS($R$5:$R100,$R100,$S$5:$S100,"Sub"))))</f>
        <v/>
      </c>
      <c r="B100" s="62" t="n"/>
      <c r="C100" s="63" t="n"/>
      <c r="D100" s="62" t="n"/>
      <c r="E100" s="64" t="n"/>
      <c r="F100" s="64" t="n"/>
      <c r="G100" s="65" t="n"/>
      <c r="H100" s="66" t="n"/>
      <c r="I100" s="66" t="n"/>
      <c r="J100" s="66" t="n"/>
      <c r="K100" s="66" t="n"/>
      <c r="L100" s="67">
        <f>IF(NOT((COUNTA($B100:$K100)+COUNTA($N100))&gt;0),"",IF(N($T100)&gt;0,$AB100,IFERROR(LOOKUP(2,1/(H100:K100&lt;&gt;""),H100:K100),0)))</f>
        <v/>
      </c>
      <c r="M100" s="61">
        <f>IF(L100="","",IF(L100&gt;=1,"Completado",IF(L100&gt;0,"En curso","Pendiente")))</f>
        <v/>
      </c>
      <c r="N100" s="62" t="n"/>
      <c r="O100" s="68">
        <f>IF(NOT((COUNTA($B100:$K100)+COUNTA($N100))&gt;0),"",IF((IF(AND($S100="Macro",$B100=""),"Macroactividad vacía"&amp;" · ","")&amp;IF(AND($B100&lt;&gt;"",$C100&lt;&gt;""),"Escriba la subactividad en otra fila, debajo de su macroactividad"&amp;" · ","")&amp;IF(AND($S100="Sub",N($R100)=0),"Subactividad sin macroactividad arriba"&amp;" · ","")&amp;IF($D100="","Sin responsable"&amp;" · ","")&amp;IF($E100="","Sin fecha de inicio"&amp;" · ","")&amp;IF($F100="","Sin fecha límite"&amp;" · ","")&amp;IF(OR(AND($E100&lt;&gt;"",NOT(ISNUMBER($E100))),AND($F100&lt;&gt;"",NOT(ISNUMBER($F100)))),"Fecha no válida"&amp;" · ","")&amp;IF(AND(ISNUMBER($E100),ISNUMBER($F100),$E100&gt;$F100),"Inicio posterior a fecha límite"&amp;" · ","")&amp;IF(AND($S100="Macro",$G100=""),"Peso vacío"&amp;" · ","")&amp;IF(AND($S100="Macro",$G100&lt;&gt;"",OR(NOT(ISNUMBER($G100)),$G100&lt;=0,$G100&gt;1)),"Peso fuera de rango"&amp;" · ","")&amp;IF(AND($S100="Sub",$G100&lt;&gt;""),"Las subactividades no llevan peso"&amp;" · ","")&amp;IF(AND($S100="Macro",ABS(SUMIFS($G$5:$G$1000,$P$5:$P$1000,$P100,$S$5:$S$1000,"Macro")-1)&gt;0.0001),"Pesos del mes suman "&amp;TEXT(SUMIFS($G$5:$G$1000,$P$5:$P$1000,$P100,$S$5:$S$1000,"Macro"),"0%")&amp;" · ","")&amp;IF(AND(N($T100)&gt;0,COUNT($H100:$K100)&gt;0),"Con subactividades: deje vacías las semanas (se calculan solas)"&amp;"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","")&amp;IF(AND(ObsObligatoria="Sí",ISNUMBER($F100),$F100&lt;FechaRef,N($L100)&lt;1,$N100=""),"Vencida sin observación"&amp;" · ",""))="","✔ OK","⚠ "&amp;LEFT(IF(AND($S100="Macro",$B100=""),"Macroactividad vacía"&amp;" · ","")&amp;IF(AND($B100&lt;&gt;"",$C100&lt;&gt;""),"Escriba la subactividad en otra fila, debajo de su macroactividad"&amp;" · ","")&amp;IF(AND($S100="Sub",N($R100)=0),"Subactividad sin macroactividad arriba"&amp;" · ","")&amp;IF($D100="","Sin responsable"&amp;" · ","")&amp;IF($E100="","Sin fecha de inicio"&amp;" · ","")&amp;IF($F100="","Sin fecha límite"&amp;" · ","")&amp;IF(OR(AND($E100&lt;&gt;"",NOT(ISNUMBER($E100))),AND($F100&lt;&gt;"",NOT(ISNUMBER($F100)))),"Fecha no válida"&amp;" · ","")&amp;IF(AND(ISNUMBER($E100),ISNUMBER($F100),$E100&gt;$F100),"Inicio posterior a fecha límite"&amp;" · ","")&amp;IF(AND($S100="Macro",$G100=""),"Peso vacío"&amp;" · ","")&amp;IF(AND($S100="Macro",$G100&lt;&gt;"",OR(NOT(ISNUMBER($G100)),$G100&lt;=0,$G100&gt;1)),"Peso fuera de rango"&amp;" · ","")&amp;IF(AND($S100="Sub",$G100&lt;&gt;""),"Las subactividades no llevan peso"&amp;" · ","")&amp;IF(AND($S100="Macro",ABS(SUMIFS($G$5:$G$1000,$P$5:$P$1000,$P100,$S$5:$S$1000,"Macro")-1)&gt;0.0001),"Pesos del mes suman "&amp;TEXT(SUMIFS($G$5:$G$1000,$P$5:$P$1000,$P100,$S$5:$S$1000,"Macro"),"0%")&amp;" · ","")&amp;IF(AND(N($T100)&gt;0,COUNT($H100:$K100)&gt;0),"Con subactividades: deje vacías las semanas (se calculan solas)"&amp;"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","")&amp;IF(AND(ObsObligatoria="Sí",ISNUMBER($F100),$F100&lt;FechaRef,N($L100)&lt;1,$N100=""),"Vencida sin observación"&amp;" · ",""),LEN(IF(AND($S100="Macro",$B100=""),"Macroactividad vacía"&amp;" · ","")&amp;IF(AND($B100&lt;&gt;"",$C100&lt;&gt;""),"Escriba la subactividad en otra fila, debajo de su macroactividad"&amp;" · ","")&amp;IF(AND($S100="Sub",N($R100)=0),"Subactividad sin macroactividad arriba"&amp;" · ","")&amp;IF($D100="","Sin responsable"&amp;" · ","")&amp;IF($E100="","Sin fecha de inicio"&amp;" · ","")&amp;IF($F100="","Sin fecha límite"&amp;" · ","")&amp;IF(OR(AND($E100&lt;&gt;"",NOT(ISNUMBER($E100))),AND($F100&lt;&gt;"",NOT(ISNUMBER($F100)))),"Fecha no válida"&amp;" · ","")&amp;IF(AND(ISNUMBER($E100),ISNUMBER($F100),$E100&gt;$F100),"Inicio posterior a fecha límite"&amp;" · ","")&amp;IF(AND($S100="Macro",$G100=""),"Peso vacío"&amp;" · ","")&amp;IF(AND($S100="Macro",$G100&lt;&gt;"",OR(NOT(ISNUMBER($G100)),$G100&lt;=0,$G100&gt;1)),"Peso fuera de rango"&amp;" · ","")&amp;IF(AND($S100="Sub",$G100&lt;&gt;""),"Las subactividades no llevan peso"&amp;" · ","")&amp;IF(AND($S100="Macro",ABS(SUMIFS($G$5:$G$1000,$P$5:$P$1000,$P100,$S$5:$S$1000,"Macro")-1)&gt;0.0001),"Pesos del mes suman "&amp;TEXT(SUMIFS($G$5:$G$1000,$P$5:$P$1000,$P100,$S$5:$S$1000,"Macro"),"0%")&amp;" · ","")&amp;IF(AND(N($T100)&gt;0,COUNT($H100:$K100)&gt;0),"Con subactividades: deje vacías las semanas (se calculan solas)"&amp;"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","")&amp;IF(AND(ObsObligatoria="Sí",ISNUMBER($F100),$F100&lt;FechaRef,N($L100)&lt;1,$N100=""),"Vencida sin observación"&amp;" · ",""))-3)))</f>
        <v/>
      </c>
      <c r="P100" s="69">
        <f>IF(NOT((COUNTA($B100:$K100)+COUNTA($N100))&gt;0),"",IF(AND($S100="Sub",N($R100)&gt;0),IF(ISNUMBER(INDEX($E$5:$E$1000,$R100-4)),DATE(YEAR(INDEX($E$5:$E$1000,$R100-4)),MONTH(INDEX($E$5:$E$1000,$R100-4)),1),IF(ISNUMBER(INDEX($F$5:$F$1000,$R100-4)),DATE(YEAR(INDEX($F$5:$F$1000,$R100-4)),MONTH(INDEX($F$5:$F$1000,$R100-4)),1),MesCiclo)),IF(ISNUMBER($E100),DATE(YEAR($E100),MONTH($E100),1),IF(ISNUMBER($F100),DATE(YEAR($F100),MONTH($F100),1),MesCiclo))))</f>
        <v/>
      </c>
      <c r="Q100" s="70">
        <f>IF(OR($P100="",$P100&lt;&gt;MesCiclo),"",COUNTIF($P$5:$P100,MesCiclo))</f>
        <v/>
      </c>
      <c r="R100" s="70">
        <f>IF($S100="","",IF($S100="Macro",ROW(),IFERROR(LOOKUP(2,1/($S$5:$S100="Macro"),ROW($S$5:$S100)),0)))</f>
        <v/>
      </c>
      <c r="S100" s="70">
        <f>IF(NOT((COUNTA($B100:$K100)+COUNTA($N100))&gt;0),"",IF($B100&lt;&gt;"","Macro",IF($C100&lt;&gt;"","Sub","Macro")))</f>
        <v/>
      </c>
      <c r="T100" s="70">
        <f>IF($S100="Macro",COUNTIFS($R$5:$R$1000,ROW(),$S$5:$S$1000,"Sub"),"")</f>
        <v/>
      </c>
      <c r="U100" s="70">
        <f>IF($S100="","",IF(ISNUMBER($H100),$H100,0))</f>
        <v/>
      </c>
      <c r="V100" s="70">
        <f>IF($S100="","",IF(ISNUMBER($I100),$I100,$U100))</f>
        <v/>
      </c>
      <c r="W100" s="70">
        <f>IF($S100="","",IF(ISNUMBER($J100),$J100,$V100))</f>
        <v/>
      </c>
      <c r="X100" s="70">
        <f>IF($S100="","",IF(ISNUMBER($K100),$K100,$W100))</f>
        <v/>
      </c>
      <c r="Y100" s="70">
        <f>IF($S100="","",IF(N($T100)&gt;0,AVERAGEIFS($U$5:$U$1000,$R$5:$R$1000,ROW(),$S$5:$S$1000,"Sub"),$U100))</f>
        <v/>
      </c>
      <c r="Z100" s="70">
        <f>IF($S100="","",IF(N($T100)&gt;0,AVERAGEIFS($V$5:$V$1000,$R$5:$R$1000,ROW(),$S$5:$S$1000,"Sub"),$V100))</f>
        <v/>
      </c>
      <c r="AA100" s="70">
        <f>IF($S100="","",IF(N($T100)&gt;0,AVERAGEIFS($W$5:$W$1000,$R$5:$R$1000,ROW(),$S$5:$S$1000,"Sub"),$W100))</f>
        <v/>
      </c>
      <c r="AB100" s="70">
        <f>IF($S100="","",IF(N($T100)&gt;0,AVERAGEIFS($X$5:$X$1000,$R$5:$R$1000,ROW(),$S$5:$S$1000,"Sub"),$X100))</f>
        <v/>
      </c>
    </row>
    <row r="101">
      <c r="A101" s="61">
        <f>IF(NOT((COUNTA($B101:$K101)+COUNTA($N101))&gt;0),"",IF($S101="Macro",COUNTIFS($S$5:$S101,"Macro",$P$5:$P101,$P101),IF(N($R101)=0,"?",COUNTIFS(INDEX($S$5:$S$1000,1):INDEX($S$5:$S$1000,$R101-4),"Macro",INDEX($P$5:$P$1000,1):INDEX($P$5:$P$1000,$R101-4),INDEX($P$5:$P$1000,$R101-4))&amp;"."&amp;COUNTIFS($R$5:$R101,$R101,$S$5:$S101,"Sub"))))</f>
        <v/>
      </c>
      <c r="B101" s="62" t="n"/>
      <c r="C101" s="63" t="n"/>
      <c r="D101" s="62" t="n"/>
      <c r="E101" s="64" t="n"/>
      <c r="F101" s="64" t="n"/>
      <c r="G101" s="65" t="n"/>
      <c r="H101" s="66" t="n"/>
      <c r="I101" s="66" t="n"/>
      <c r="J101" s="66" t="n"/>
      <c r="K101" s="66" t="n"/>
      <c r="L101" s="67">
        <f>IF(NOT((COUNTA($B101:$K101)+COUNTA($N101))&gt;0),"",IF(N($T101)&gt;0,$AB101,IFERROR(LOOKUP(2,1/(H101:K101&lt;&gt;""),H101:K101),0)))</f>
        <v/>
      </c>
      <c r="M101" s="61">
        <f>IF(L101="","",IF(L101&gt;=1,"Completado",IF(L101&gt;0,"En curso","Pendiente")))</f>
        <v/>
      </c>
      <c r="N101" s="62" t="n"/>
      <c r="O101" s="68">
        <f>IF(NOT((COUNTA($B101:$K101)+COUNTA($N101))&gt;0),"",IF((IF(AND($S101="Macro",$B101=""),"Macroactividad vacía"&amp;" · ","")&amp;IF(AND($B101&lt;&gt;"",$C101&lt;&gt;""),"Escriba la subactividad en otra fila, debajo de su macroactividad"&amp;" · ","")&amp;IF(AND($S101="Sub",N($R101)=0),"Subactividad sin macroactividad arriba"&amp;" · ","")&amp;IF($D101="","Sin responsable"&amp;" · ","")&amp;IF($E101="","Sin fecha de inicio"&amp;" · ","")&amp;IF($F101="","Sin fecha límite"&amp;" · ","")&amp;IF(OR(AND($E101&lt;&gt;"",NOT(ISNUMBER($E101))),AND($F101&lt;&gt;"",NOT(ISNUMBER($F101)))),"Fecha no válida"&amp;" · ","")&amp;IF(AND(ISNUMBER($E101),ISNUMBER($F101),$E101&gt;$F101),"Inicio posterior a fecha límite"&amp;" · ","")&amp;IF(AND($S101="Macro",$G101=""),"Peso vacío"&amp;" · ","")&amp;IF(AND($S101="Macro",$G101&lt;&gt;"",OR(NOT(ISNUMBER($G101)),$G101&lt;=0,$G101&gt;1)),"Peso fuera de rango"&amp;" · ","")&amp;IF(AND($S101="Sub",$G101&lt;&gt;""),"Las subactividades no llevan peso"&amp;" · ","")&amp;IF(AND($S101="Macro",ABS(SUMIFS($G$5:$G$1000,$P$5:$P$1000,$P101,$S$5:$S$1000,"Macro")-1)&gt;0.0001),"Pesos del mes suman "&amp;TEXT(SUMIFS($G$5:$G$1000,$P$5:$P$1000,$P101,$S$5:$S$1000,"Macro"),"0%")&amp;" · ","")&amp;IF(AND(N($T101)&gt;0,COUNT($H101:$K101)&gt;0),"Con subactividades: deje vacías las semanas (se calculan solas)"&amp;"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","")&amp;IF(AND(ObsObligatoria="Sí",ISNUMBER($F101),$F101&lt;FechaRef,N($L101)&lt;1,$N101=""),"Vencida sin observación"&amp;" · ",""))="","✔ OK","⚠ "&amp;LEFT(IF(AND($S101="Macro",$B101=""),"Macroactividad vacía"&amp;" · ","")&amp;IF(AND($B101&lt;&gt;"",$C101&lt;&gt;""),"Escriba la subactividad en otra fila, debajo de su macroactividad"&amp;" · ","")&amp;IF(AND($S101="Sub",N($R101)=0),"Subactividad sin macroactividad arriba"&amp;" · ","")&amp;IF($D101="","Sin responsable"&amp;" · ","")&amp;IF($E101="","Sin fecha de inicio"&amp;" · ","")&amp;IF($F101="","Sin fecha límite"&amp;" · ","")&amp;IF(OR(AND($E101&lt;&gt;"",NOT(ISNUMBER($E101))),AND($F101&lt;&gt;"",NOT(ISNUMBER($F101)))),"Fecha no válida"&amp;" · ","")&amp;IF(AND(ISNUMBER($E101),ISNUMBER($F101),$E101&gt;$F101),"Inicio posterior a fecha límite"&amp;" · ","")&amp;IF(AND($S101="Macro",$G101=""),"Peso vacío"&amp;" · ","")&amp;IF(AND($S101="Macro",$G101&lt;&gt;"",OR(NOT(ISNUMBER($G101)),$G101&lt;=0,$G101&gt;1)),"Peso fuera de rango"&amp;" · ","")&amp;IF(AND($S101="Sub",$G101&lt;&gt;""),"Las subactividades no llevan peso"&amp;" · ","")&amp;IF(AND($S101="Macro",ABS(SUMIFS($G$5:$G$1000,$P$5:$P$1000,$P101,$S$5:$S$1000,"Macro")-1)&gt;0.0001),"Pesos del mes suman "&amp;TEXT(SUMIFS($G$5:$G$1000,$P$5:$P$1000,$P101,$S$5:$S$1000,"Macro"),"0%")&amp;" · ","")&amp;IF(AND(N($T101)&gt;0,COUNT($H101:$K101)&gt;0),"Con subactividades: deje vacías las semanas (se calculan solas)"&amp;"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","")&amp;IF(AND(ObsObligatoria="Sí",ISNUMBER($F101),$F101&lt;FechaRef,N($L101)&lt;1,$N101=""),"Vencida sin observación"&amp;" · ",""),LEN(IF(AND($S101="Macro",$B101=""),"Macroactividad vacía"&amp;" · ","")&amp;IF(AND($B101&lt;&gt;"",$C101&lt;&gt;""),"Escriba la subactividad en otra fila, debajo de su macroactividad"&amp;" · ","")&amp;IF(AND($S101="Sub",N($R101)=0),"Subactividad sin macroactividad arriba"&amp;" · ","")&amp;IF($D101="","Sin responsable"&amp;" · ","")&amp;IF($E101="","Sin fecha de inicio"&amp;" · ","")&amp;IF($F101="","Sin fecha límite"&amp;" · ","")&amp;IF(OR(AND($E101&lt;&gt;"",NOT(ISNUMBER($E101))),AND($F101&lt;&gt;"",NOT(ISNUMBER($F101)))),"Fecha no válida"&amp;" · ","")&amp;IF(AND(ISNUMBER($E101),ISNUMBER($F101),$E101&gt;$F101),"Inicio posterior a fecha límite"&amp;" · ","")&amp;IF(AND($S101="Macro",$G101=""),"Peso vacío"&amp;" · ","")&amp;IF(AND($S101="Macro",$G101&lt;&gt;"",OR(NOT(ISNUMBER($G101)),$G101&lt;=0,$G101&gt;1)),"Peso fuera de rango"&amp;" · ","")&amp;IF(AND($S101="Sub",$G101&lt;&gt;""),"Las subactividades no llevan peso"&amp;" · ","")&amp;IF(AND($S101="Macro",ABS(SUMIFS($G$5:$G$1000,$P$5:$P$1000,$P101,$S$5:$S$1000,"Macro")-1)&gt;0.0001),"Pesos del mes suman "&amp;TEXT(SUMIFS($G$5:$G$1000,$P$5:$P$1000,$P101,$S$5:$S$1000,"Macro"),"0%")&amp;" · ","")&amp;IF(AND(N($T101)&gt;0,COUNT($H101:$K101)&gt;0),"Con subactividades: deje vacías las semanas (se calculan solas)"&amp;"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","")&amp;IF(AND(ObsObligatoria="Sí",ISNUMBER($F101),$F101&lt;FechaRef,N($L101)&lt;1,$N101=""),"Vencida sin observación"&amp;" · ",""))-3)))</f>
        <v/>
      </c>
      <c r="P101" s="69">
        <f>IF(NOT((COUNTA($B101:$K101)+COUNTA($N101))&gt;0),"",IF(AND($S101="Sub",N($R101)&gt;0),IF(ISNUMBER(INDEX($E$5:$E$1000,$R101-4)),DATE(YEAR(INDEX($E$5:$E$1000,$R101-4)),MONTH(INDEX($E$5:$E$1000,$R101-4)),1),IF(ISNUMBER(INDEX($F$5:$F$1000,$R101-4)),DATE(YEAR(INDEX($F$5:$F$1000,$R101-4)),MONTH(INDEX($F$5:$F$1000,$R101-4)),1),MesCiclo)),IF(ISNUMBER($E101),DATE(YEAR($E101),MONTH($E101),1),IF(ISNUMBER($F101),DATE(YEAR($F101),MONTH($F101),1),MesCiclo))))</f>
        <v/>
      </c>
      <c r="Q101" s="70">
        <f>IF(OR($P101="",$P101&lt;&gt;MesCiclo),"",COUNTIF($P$5:$P101,MesCiclo))</f>
        <v/>
      </c>
      <c r="R101" s="70">
        <f>IF($S101="","",IF($S101="Macro",ROW(),IFERROR(LOOKUP(2,1/($S$5:$S101="Macro"),ROW($S$5:$S101)),0)))</f>
        <v/>
      </c>
      <c r="S101" s="70">
        <f>IF(NOT((COUNTA($B101:$K101)+COUNTA($N101))&gt;0),"",IF($B101&lt;&gt;"","Macro",IF($C101&lt;&gt;"","Sub","Macro")))</f>
        <v/>
      </c>
      <c r="T101" s="70">
        <f>IF($S101="Macro",COUNTIFS($R$5:$R$1000,ROW(),$S$5:$S$1000,"Sub"),"")</f>
        <v/>
      </c>
      <c r="U101" s="70">
        <f>IF($S101="","",IF(ISNUMBER($H101),$H101,0))</f>
        <v/>
      </c>
      <c r="V101" s="70">
        <f>IF($S101="","",IF(ISNUMBER($I101),$I101,$U101))</f>
        <v/>
      </c>
      <c r="W101" s="70">
        <f>IF($S101="","",IF(ISNUMBER($J101),$J101,$V101))</f>
        <v/>
      </c>
      <c r="X101" s="70">
        <f>IF($S101="","",IF(ISNUMBER($K101),$K101,$W101))</f>
        <v/>
      </c>
      <c r="Y101" s="70">
        <f>IF($S101="","",IF(N($T101)&gt;0,AVERAGEIFS($U$5:$U$1000,$R$5:$R$1000,ROW(),$S$5:$S$1000,"Sub"),$U101))</f>
        <v/>
      </c>
      <c r="Z101" s="70">
        <f>IF($S101="","",IF(N($T101)&gt;0,AVERAGEIFS($V$5:$V$1000,$R$5:$R$1000,ROW(),$S$5:$S$1000,"Sub"),$V101))</f>
        <v/>
      </c>
      <c r="AA101" s="70">
        <f>IF($S101="","",IF(N($T101)&gt;0,AVERAGEIFS($W$5:$W$1000,$R$5:$R$1000,ROW(),$S$5:$S$1000,"Sub"),$W101))</f>
        <v/>
      </c>
      <c r="AB101" s="70">
        <f>IF($S101="","",IF(N($T101)&gt;0,AVERAGEIFS($X$5:$X$1000,$R$5:$R$1000,ROW(),$S$5:$S$1000,"Sub"),$X101))</f>
        <v/>
      </c>
    </row>
    <row r="102">
      <c r="A102" s="61">
        <f>IF(NOT((COUNTA($B102:$K102)+COUNTA($N102))&gt;0),"",IF($S102="Macro",COUNTIFS($S$5:$S102,"Macro",$P$5:$P102,$P102),IF(N($R102)=0,"?",COUNTIFS(INDEX($S$5:$S$1000,1):INDEX($S$5:$S$1000,$R102-4),"Macro",INDEX($P$5:$P$1000,1):INDEX($P$5:$P$1000,$R102-4),INDEX($P$5:$P$1000,$R102-4))&amp;"."&amp;COUNTIFS($R$5:$R102,$R102,$S$5:$S102,"Sub"))))</f>
        <v/>
      </c>
      <c r="B102" s="62" t="n"/>
      <c r="C102" s="63" t="n"/>
      <c r="D102" s="62" t="n"/>
      <c r="E102" s="64" t="n"/>
      <c r="F102" s="64" t="n"/>
      <c r="G102" s="65" t="n"/>
      <c r="H102" s="66" t="n"/>
      <c r="I102" s="66" t="n"/>
      <c r="J102" s="66" t="n"/>
      <c r="K102" s="66" t="n"/>
      <c r="L102" s="67">
        <f>IF(NOT((COUNTA($B102:$K102)+COUNTA($N102))&gt;0),"",IF(N($T102)&gt;0,$AB102,IFERROR(LOOKUP(2,1/(H102:K102&lt;&gt;""),H102:K102),0)))</f>
        <v/>
      </c>
      <c r="M102" s="61">
        <f>IF(L102="","",IF(L102&gt;=1,"Completado",IF(L102&gt;0,"En curso","Pendiente")))</f>
        <v/>
      </c>
      <c r="N102" s="62" t="n"/>
      <c r="O102" s="68">
        <f>IF(NOT((COUNTA($B102:$K102)+COUNTA($N102))&gt;0),"",IF((IF(AND($S102="Macro",$B102=""),"Macroactividad vacía"&amp;" · ","")&amp;IF(AND($B102&lt;&gt;"",$C102&lt;&gt;""),"Escriba la subactividad en otra fila, debajo de su macroactividad"&amp;" · ","")&amp;IF(AND($S102="Sub",N($R102)=0),"Subactividad sin macroactividad arriba"&amp;" · ","")&amp;IF($D102="","Sin responsable"&amp;" · ","")&amp;IF($E102="","Sin fecha de inicio"&amp;" · ","")&amp;IF($F102="","Sin fecha límite"&amp;" · ","")&amp;IF(OR(AND($E102&lt;&gt;"",NOT(ISNUMBER($E102))),AND($F102&lt;&gt;"",NOT(ISNUMBER($F102)))),"Fecha no válida"&amp;" · ","")&amp;IF(AND(ISNUMBER($E102),ISNUMBER($F102),$E102&gt;$F102),"Inicio posterior a fecha límite"&amp;" · ","")&amp;IF(AND($S102="Macro",$G102=""),"Peso vacío"&amp;" · ","")&amp;IF(AND($S102="Macro",$G102&lt;&gt;"",OR(NOT(ISNUMBER($G102)),$G102&lt;=0,$G102&gt;1)),"Peso fuera de rango"&amp;" · ","")&amp;IF(AND($S102="Sub",$G102&lt;&gt;""),"Las subactividades no llevan peso"&amp;" · ","")&amp;IF(AND($S102="Macro",ABS(SUMIFS($G$5:$G$1000,$P$5:$P$1000,$P102,$S$5:$S$1000,"Macro")-1)&gt;0.0001),"Pesos del mes suman "&amp;TEXT(SUMIFS($G$5:$G$1000,$P$5:$P$1000,$P102,$S$5:$S$1000,"Macro"),"0%")&amp;" · ","")&amp;IF(AND(N($T102)&gt;0,COUNT($H102:$K102)&gt;0),"Con subactividades: deje vacías las semanas (se calculan solas)"&amp;"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","")&amp;IF(AND(ObsObligatoria="Sí",ISNUMBER($F102),$F102&lt;FechaRef,N($L102)&lt;1,$N102=""),"Vencida sin observación"&amp;" · ",""))="","✔ OK","⚠ "&amp;LEFT(IF(AND($S102="Macro",$B102=""),"Macroactividad vacía"&amp;" · ","")&amp;IF(AND($B102&lt;&gt;"",$C102&lt;&gt;""),"Escriba la subactividad en otra fila, debajo de su macroactividad"&amp;" · ","")&amp;IF(AND($S102="Sub",N($R102)=0),"Subactividad sin macroactividad arriba"&amp;" · ","")&amp;IF($D102="","Sin responsable"&amp;" · ","")&amp;IF($E102="","Sin fecha de inicio"&amp;" · ","")&amp;IF($F102="","Sin fecha límite"&amp;" · ","")&amp;IF(OR(AND($E102&lt;&gt;"",NOT(ISNUMBER($E102))),AND($F102&lt;&gt;"",NOT(ISNUMBER($F102)))),"Fecha no válida"&amp;" · ","")&amp;IF(AND(ISNUMBER($E102),ISNUMBER($F102),$E102&gt;$F102),"Inicio posterior a fecha límite"&amp;" · ","")&amp;IF(AND($S102="Macro",$G102=""),"Peso vacío"&amp;" · ","")&amp;IF(AND($S102="Macro",$G102&lt;&gt;"",OR(NOT(ISNUMBER($G102)),$G102&lt;=0,$G102&gt;1)),"Peso fuera de rango"&amp;" · ","")&amp;IF(AND($S102="Sub",$G102&lt;&gt;""),"Las subactividades no llevan peso"&amp;" · ","")&amp;IF(AND($S102="Macro",ABS(SUMIFS($G$5:$G$1000,$P$5:$P$1000,$P102,$S$5:$S$1000,"Macro")-1)&gt;0.0001),"Pesos del mes suman "&amp;TEXT(SUMIFS($G$5:$G$1000,$P$5:$P$1000,$P102,$S$5:$S$1000,"Macro"),"0%")&amp;" · ","")&amp;IF(AND(N($T102)&gt;0,COUNT($H102:$K102)&gt;0),"Con subactividades: deje vacías las semanas (se calculan solas)"&amp;"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","")&amp;IF(AND(ObsObligatoria="Sí",ISNUMBER($F102),$F102&lt;FechaRef,N($L102)&lt;1,$N102=""),"Vencida sin observación"&amp;" · ",""),LEN(IF(AND($S102="Macro",$B102=""),"Macroactividad vacía"&amp;" · ","")&amp;IF(AND($B102&lt;&gt;"",$C102&lt;&gt;""),"Escriba la subactividad en otra fila, debajo de su macroactividad"&amp;" · ","")&amp;IF(AND($S102="Sub",N($R102)=0),"Subactividad sin macroactividad arriba"&amp;" · ","")&amp;IF($D102="","Sin responsable"&amp;" · ","")&amp;IF($E102="","Sin fecha de inicio"&amp;" · ","")&amp;IF($F102="","Sin fecha límite"&amp;" · ","")&amp;IF(OR(AND($E102&lt;&gt;"",NOT(ISNUMBER($E102))),AND($F102&lt;&gt;"",NOT(ISNUMBER($F102)))),"Fecha no válida"&amp;" · ","")&amp;IF(AND(ISNUMBER($E102),ISNUMBER($F102),$E102&gt;$F102),"Inicio posterior a fecha límite"&amp;" · ","")&amp;IF(AND($S102="Macro",$G102=""),"Peso vacío"&amp;" · ","")&amp;IF(AND($S102="Macro",$G102&lt;&gt;"",OR(NOT(ISNUMBER($G102)),$G102&lt;=0,$G102&gt;1)),"Peso fuera de rango"&amp;" · ","")&amp;IF(AND($S102="Sub",$G102&lt;&gt;""),"Las subactividades no llevan peso"&amp;" · ","")&amp;IF(AND($S102="Macro",ABS(SUMIFS($G$5:$G$1000,$P$5:$P$1000,$P102,$S$5:$S$1000,"Macro")-1)&gt;0.0001),"Pesos del mes suman "&amp;TEXT(SUMIFS($G$5:$G$1000,$P$5:$P$1000,$P102,$S$5:$S$1000,"Macro"),"0%")&amp;" · ","")&amp;IF(AND(N($T102)&gt;0,COUNT($H102:$K102)&gt;0),"Con subactividades: deje vacías las semanas (se calculan solas)"&amp;"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","")&amp;IF(AND(ObsObligatoria="Sí",ISNUMBER($F102),$F102&lt;FechaRef,N($L102)&lt;1,$N102=""),"Vencida sin observación"&amp;" · ",""))-3)))</f>
        <v/>
      </c>
      <c r="P102" s="69">
        <f>IF(NOT((COUNTA($B102:$K102)+COUNTA($N102))&gt;0),"",IF(AND($S102="Sub",N($R102)&gt;0),IF(ISNUMBER(INDEX($E$5:$E$1000,$R102-4)),DATE(YEAR(INDEX($E$5:$E$1000,$R102-4)),MONTH(INDEX($E$5:$E$1000,$R102-4)),1),IF(ISNUMBER(INDEX($F$5:$F$1000,$R102-4)),DATE(YEAR(INDEX($F$5:$F$1000,$R102-4)),MONTH(INDEX($F$5:$F$1000,$R102-4)),1),MesCiclo)),IF(ISNUMBER($E102),DATE(YEAR($E102),MONTH($E102),1),IF(ISNUMBER($F102),DATE(YEAR($F102),MONTH($F102),1),MesCiclo))))</f>
        <v/>
      </c>
      <c r="Q102" s="70">
        <f>IF(OR($P102="",$P102&lt;&gt;MesCiclo),"",COUNTIF($P$5:$P102,MesCiclo))</f>
        <v/>
      </c>
      <c r="R102" s="70">
        <f>IF($S102="","",IF($S102="Macro",ROW(),IFERROR(LOOKUP(2,1/($S$5:$S102="Macro"),ROW($S$5:$S102)),0)))</f>
        <v/>
      </c>
      <c r="S102" s="70">
        <f>IF(NOT((COUNTA($B102:$K102)+COUNTA($N102))&gt;0),"",IF($B102&lt;&gt;"","Macro",IF($C102&lt;&gt;"","Sub","Macro")))</f>
        <v/>
      </c>
      <c r="T102" s="70">
        <f>IF($S102="Macro",COUNTIFS($R$5:$R$1000,ROW(),$S$5:$S$1000,"Sub"),"")</f>
        <v/>
      </c>
      <c r="U102" s="70">
        <f>IF($S102="","",IF(ISNUMBER($H102),$H102,0))</f>
        <v/>
      </c>
      <c r="V102" s="70">
        <f>IF($S102="","",IF(ISNUMBER($I102),$I102,$U102))</f>
        <v/>
      </c>
      <c r="W102" s="70">
        <f>IF($S102="","",IF(ISNUMBER($J102),$J102,$V102))</f>
        <v/>
      </c>
      <c r="X102" s="70">
        <f>IF($S102="","",IF(ISNUMBER($K102),$K102,$W102))</f>
        <v/>
      </c>
      <c r="Y102" s="70">
        <f>IF($S102="","",IF(N($T102)&gt;0,AVERAGEIFS($U$5:$U$1000,$R$5:$R$1000,ROW(),$S$5:$S$1000,"Sub"),$U102))</f>
        <v/>
      </c>
      <c r="Z102" s="70">
        <f>IF($S102="","",IF(N($T102)&gt;0,AVERAGEIFS($V$5:$V$1000,$R$5:$R$1000,ROW(),$S$5:$S$1000,"Sub"),$V102))</f>
        <v/>
      </c>
      <c r="AA102" s="70">
        <f>IF($S102="","",IF(N($T102)&gt;0,AVERAGEIFS($W$5:$W$1000,$R$5:$R$1000,ROW(),$S$5:$S$1000,"Sub"),$W102))</f>
        <v/>
      </c>
      <c r="AB102" s="70">
        <f>IF($S102="","",IF(N($T102)&gt;0,AVERAGEIFS($X$5:$X$1000,$R$5:$R$1000,ROW(),$S$5:$S$1000,"Sub"),$X102))</f>
        <v/>
      </c>
    </row>
    <row r="103">
      <c r="A103" s="61">
        <f>IF(NOT((COUNTA($B103:$K103)+COUNTA($N103))&gt;0),"",IF($S103="Macro",COUNTIFS($S$5:$S103,"Macro",$P$5:$P103,$P103),IF(N($R103)=0,"?",COUNTIFS(INDEX($S$5:$S$1000,1):INDEX($S$5:$S$1000,$R103-4),"Macro",INDEX($P$5:$P$1000,1):INDEX($P$5:$P$1000,$R103-4),INDEX($P$5:$P$1000,$R103-4))&amp;"."&amp;COUNTIFS($R$5:$R103,$R103,$S$5:$S103,"Sub"))))</f>
        <v/>
      </c>
      <c r="B103" s="62" t="n"/>
      <c r="C103" s="63" t="n"/>
      <c r="D103" s="62" t="n"/>
      <c r="E103" s="64" t="n"/>
      <c r="F103" s="64" t="n"/>
      <c r="G103" s="65" t="n"/>
      <c r="H103" s="66" t="n"/>
      <c r="I103" s="66" t="n"/>
      <c r="J103" s="66" t="n"/>
      <c r="K103" s="66" t="n"/>
      <c r="L103" s="67">
        <f>IF(NOT((COUNTA($B103:$K103)+COUNTA($N103))&gt;0),"",IF(N($T103)&gt;0,$AB103,IFERROR(LOOKUP(2,1/(H103:K103&lt;&gt;""),H103:K103),0)))</f>
        <v/>
      </c>
      <c r="M103" s="61">
        <f>IF(L103="","",IF(L103&gt;=1,"Completado",IF(L103&gt;0,"En curso","Pendiente")))</f>
        <v/>
      </c>
      <c r="N103" s="62" t="n"/>
      <c r="O103" s="68">
        <f>IF(NOT((COUNTA($B103:$K103)+COUNTA($N103))&gt;0),"",IF((IF(AND($S103="Macro",$B103=""),"Macroactividad vacía"&amp;" · ","")&amp;IF(AND($B103&lt;&gt;"",$C103&lt;&gt;""),"Escriba la subactividad en otra fila, debajo de su macroactividad"&amp;" · ","")&amp;IF(AND($S103="Sub",N($R103)=0),"Subactividad sin macroactividad arriba"&amp;" · ","")&amp;IF($D103="","Sin responsable"&amp;" · ","")&amp;IF($E103="","Sin fecha de inicio"&amp;" · ","")&amp;IF($F103="","Sin fecha límite"&amp;" · ","")&amp;IF(OR(AND($E103&lt;&gt;"",NOT(ISNUMBER($E103))),AND($F103&lt;&gt;"",NOT(ISNUMBER($F103)))),"Fecha no válida"&amp;" · ","")&amp;IF(AND(ISNUMBER($E103),ISNUMBER($F103),$E103&gt;$F103),"Inicio posterior a fecha límite"&amp;" · ","")&amp;IF(AND($S103="Macro",$G103=""),"Peso vacío"&amp;" · ","")&amp;IF(AND($S103="Macro",$G103&lt;&gt;"",OR(NOT(ISNUMBER($G103)),$G103&lt;=0,$G103&gt;1)),"Peso fuera de rango"&amp;" · ","")&amp;IF(AND($S103="Sub",$G103&lt;&gt;""),"Las subactividades no llevan peso"&amp;" · ","")&amp;IF(AND($S103="Macro",ABS(SUMIFS($G$5:$G$1000,$P$5:$P$1000,$P103,$S$5:$S$1000,"Macro")-1)&gt;0.0001),"Pesos del mes suman "&amp;TEXT(SUMIFS($G$5:$G$1000,$P$5:$P$1000,$P103,$S$5:$S$1000,"Macro"),"0%")&amp;" · ","")&amp;IF(AND(N($T103)&gt;0,COUNT($H103:$K103)&gt;0),"Con subactividades: deje vacías las semanas (se calculan solas)"&amp;"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","")&amp;IF(AND(ObsObligatoria="Sí",ISNUMBER($F103),$F103&lt;FechaRef,N($L103)&lt;1,$N103=""),"Vencida sin observación"&amp;" · ",""))="","✔ OK","⚠ "&amp;LEFT(IF(AND($S103="Macro",$B103=""),"Macroactividad vacía"&amp;" · ","")&amp;IF(AND($B103&lt;&gt;"",$C103&lt;&gt;""),"Escriba la subactividad en otra fila, debajo de su macroactividad"&amp;" · ","")&amp;IF(AND($S103="Sub",N($R103)=0),"Subactividad sin macroactividad arriba"&amp;" · ","")&amp;IF($D103="","Sin responsable"&amp;" · ","")&amp;IF($E103="","Sin fecha de inicio"&amp;" · ","")&amp;IF($F103="","Sin fecha límite"&amp;" · ","")&amp;IF(OR(AND($E103&lt;&gt;"",NOT(ISNUMBER($E103))),AND($F103&lt;&gt;"",NOT(ISNUMBER($F103)))),"Fecha no válida"&amp;" · ","")&amp;IF(AND(ISNUMBER($E103),ISNUMBER($F103),$E103&gt;$F103),"Inicio posterior a fecha límite"&amp;" · ","")&amp;IF(AND($S103="Macro",$G103=""),"Peso vacío"&amp;" · ","")&amp;IF(AND($S103="Macro",$G103&lt;&gt;"",OR(NOT(ISNUMBER($G103)),$G103&lt;=0,$G103&gt;1)),"Peso fuera de rango"&amp;" · ","")&amp;IF(AND($S103="Sub",$G103&lt;&gt;""),"Las subactividades no llevan peso"&amp;" · ","")&amp;IF(AND($S103="Macro",ABS(SUMIFS($G$5:$G$1000,$P$5:$P$1000,$P103,$S$5:$S$1000,"Macro")-1)&gt;0.0001),"Pesos del mes suman "&amp;TEXT(SUMIFS($G$5:$G$1000,$P$5:$P$1000,$P103,$S$5:$S$1000,"Macro"),"0%")&amp;" · ","")&amp;IF(AND(N($T103)&gt;0,COUNT($H103:$K103)&gt;0),"Con subactividades: deje vacías las semanas (se calculan solas)"&amp;"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","")&amp;IF(AND(ObsObligatoria="Sí",ISNUMBER($F103),$F103&lt;FechaRef,N($L103)&lt;1,$N103=""),"Vencida sin observación"&amp;" · ",""),LEN(IF(AND($S103="Macro",$B103=""),"Macroactividad vacía"&amp;" · ","")&amp;IF(AND($B103&lt;&gt;"",$C103&lt;&gt;""),"Escriba la subactividad en otra fila, debajo de su macroactividad"&amp;" · ","")&amp;IF(AND($S103="Sub",N($R103)=0),"Subactividad sin macroactividad arriba"&amp;" · ","")&amp;IF($D103="","Sin responsable"&amp;" · ","")&amp;IF($E103="","Sin fecha de inicio"&amp;" · ","")&amp;IF($F103="","Sin fecha límite"&amp;" · ","")&amp;IF(OR(AND($E103&lt;&gt;"",NOT(ISNUMBER($E103))),AND($F103&lt;&gt;"",NOT(ISNUMBER($F103)))),"Fecha no válida"&amp;" · ","")&amp;IF(AND(ISNUMBER($E103),ISNUMBER($F103),$E103&gt;$F103),"Inicio posterior a fecha límite"&amp;" · ","")&amp;IF(AND($S103="Macro",$G103=""),"Peso vacío"&amp;" · ","")&amp;IF(AND($S103="Macro",$G103&lt;&gt;"",OR(NOT(ISNUMBER($G103)),$G103&lt;=0,$G103&gt;1)),"Peso fuera de rango"&amp;" · ","")&amp;IF(AND($S103="Sub",$G103&lt;&gt;""),"Las subactividades no llevan peso"&amp;" · ","")&amp;IF(AND($S103="Macro",ABS(SUMIFS($G$5:$G$1000,$P$5:$P$1000,$P103,$S$5:$S$1000,"Macro")-1)&gt;0.0001),"Pesos del mes suman "&amp;TEXT(SUMIFS($G$5:$G$1000,$P$5:$P$1000,$P103,$S$5:$S$1000,"Macro"),"0%")&amp;" · ","")&amp;IF(AND(N($T103)&gt;0,COUNT($H103:$K103)&gt;0),"Con subactividades: deje vacías las semanas (se calculan solas)"&amp;"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","")&amp;IF(AND(ObsObligatoria="Sí",ISNUMBER($F103),$F103&lt;FechaRef,N($L103)&lt;1,$N103=""),"Vencida sin observación"&amp;" · ",""))-3)))</f>
        <v/>
      </c>
      <c r="P103" s="69">
        <f>IF(NOT((COUNTA($B103:$K103)+COUNTA($N103))&gt;0),"",IF(AND($S103="Sub",N($R103)&gt;0),IF(ISNUMBER(INDEX($E$5:$E$1000,$R103-4)),DATE(YEAR(INDEX($E$5:$E$1000,$R103-4)),MONTH(INDEX($E$5:$E$1000,$R103-4)),1),IF(ISNUMBER(INDEX($F$5:$F$1000,$R103-4)),DATE(YEAR(INDEX($F$5:$F$1000,$R103-4)),MONTH(INDEX($F$5:$F$1000,$R103-4)),1),MesCiclo)),IF(ISNUMBER($E103),DATE(YEAR($E103),MONTH($E103),1),IF(ISNUMBER($F103),DATE(YEAR($F103),MONTH($F103),1),MesCiclo))))</f>
        <v/>
      </c>
      <c r="Q103" s="70">
        <f>IF(OR($P103="",$P103&lt;&gt;MesCiclo),"",COUNTIF($P$5:$P103,MesCiclo))</f>
        <v/>
      </c>
      <c r="R103" s="70">
        <f>IF($S103="","",IF($S103="Macro",ROW(),IFERROR(LOOKUP(2,1/($S$5:$S103="Macro"),ROW($S$5:$S103)),0)))</f>
        <v/>
      </c>
      <c r="S103" s="70">
        <f>IF(NOT((COUNTA($B103:$K103)+COUNTA($N103))&gt;0),"",IF($B103&lt;&gt;"","Macro",IF($C103&lt;&gt;"","Sub","Macro")))</f>
        <v/>
      </c>
      <c r="T103" s="70">
        <f>IF($S103="Macro",COUNTIFS($R$5:$R$1000,ROW(),$S$5:$S$1000,"Sub"),"")</f>
        <v/>
      </c>
      <c r="U103" s="70">
        <f>IF($S103="","",IF(ISNUMBER($H103),$H103,0))</f>
        <v/>
      </c>
      <c r="V103" s="70">
        <f>IF($S103="","",IF(ISNUMBER($I103),$I103,$U103))</f>
        <v/>
      </c>
      <c r="W103" s="70">
        <f>IF($S103="","",IF(ISNUMBER($J103),$J103,$V103))</f>
        <v/>
      </c>
      <c r="X103" s="70">
        <f>IF($S103="","",IF(ISNUMBER($K103),$K103,$W103))</f>
        <v/>
      </c>
      <c r="Y103" s="70">
        <f>IF($S103="","",IF(N($T103)&gt;0,AVERAGEIFS($U$5:$U$1000,$R$5:$R$1000,ROW(),$S$5:$S$1000,"Sub"),$U103))</f>
        <v/>
      </c>
      <c r="Z103" s="70">
        <f>IF($S103="","",IF(N($T103)&gt;0,AVERAGEIFS($V$5:$V$1000,$R$5:$R$1000,ROW(),$S$5:$S$1000,"Sub"),$V103))</f>
        <v/>
      </c>
      <c r="AA103" s="70">
        <f>IF($S103="","",IF(N($T103)&gt;0,AVERAGEIFS($W$5:$W$1000,$R$5:$R$1000,ROW(),$S$5:$S$1000,"Sub"),$W103))</f>
        <v/>
      </c>
      <c r="AB103" s="70">
        <f>IF($S103="","",IF(N($T103)&gt;0,AVERAGEIFS($X$5:$X$1000,$R$5:$R$1000,ROW(),$S$5:$S$1000,"Sub"),$X103))</f>
        <v/>
      </c>
    </row>
    <row r="104">
      <c r="A104" s="61">
        <f>IF(NOT((COUNTA($B104:$K104)+COUNTA($N104))&gt;0),"",IF($S104="Macro",COUNTIFS($S$5:$S104,"Macro",$P$5:$P104,$P104),IF(N($R104)=0,"?",COUNTIFS(INDEX($S$5:$S$1000,1):INDEX($S$5:$S$1000,$R104-4),"Macro",INDEX($P$5:$P$1000,1):INDEX($P$5:$P$1000,$R104-4),INDEX($P$5:$P$1000,$R104-4))&amp;"."&amp;COUNTIFS($R$5:$R104,$R104,$S$5:$S104,"Sub"))))</f>
        <v/>
      </c>
      <c r="B104" s="62" t="n"/>
      <c r="C104" s="63" t="n"/>
      <c r="D104" s="62" t="n"/>
      <c r="E104" s="64" t="n"/>
      <c r="F104" s="64" t="n"/>
      <c r="G104" s="65" t="n"/>
      <c r="H104" s="66" t="n"/>
      <c r="I104" s="66" t="n"/>
      <c r="J104" s="66" t="n"/>
      <c r="K104" s="66" t="n"/>
      <c r="L104" s="67">
        <f>IF(NOT((COUNTA($B104:$K104)+COUNTA($N104))&gt;0),"",IF(N($T104)&gt;0,$AB104,IFERROR(LOOKUP(2,1/(H104:K104&lt;&gt;""),H104:K104),0)))</f>
        <v/>
      </c>
      <c r="M104" s="61">
        <f>IF(L104="","",IF(L104&gt;=1,"Completado",IF(L104&gt;0,"En curso","Pendiente")))</f>
        <v/>
      </c>
      <c r="N104" s="62" t="n"/>
      <c r="O104" s="68">
        <f>IF(NOT((COUNTA($B104:$K104)+COUNTA($N104))&gt;0),"",IF((IF(AND($S104="Macro",$B104=""),"Macroactividad vacía"&amp;" · ","")&amp;IF(AND($B104&lt;&gt;"",$C104&lt;&gt;""),"Escriba la subactividad en otra fila, debajo de su macroactividad"&amp;" · ","")&amp;IF(AND($S104="Sub",N($R104)=0),"Subactividad sin macroactividad arriba"&amp;" · ","")&amp;IF($D104="","Sin responsable"&amp;" · ","")&amp;IF($E104="","Sin fecha de inicio"&amp;" · ","")&amp;IF($F104="","Sin fecha límite"&amp;" · ","")&amp;IF(OR(AND($E104&lt;&gt;"",NOT(ISNUMBER($E104))),AND($F104&lt;&gt;"",NOT(ISNUMBER($F104)))),"Fecha no válida"&amp;" · ","")&amp;IF(AND(ISNUMBER($E104),ISNUMBER($F104),$E104&gt;$F104),"Inicio posterior a fecha límite"&amp;" · ","")&amp;IF(AND($S104="Macro",$G104=""),"Peso vacío"&amp;" · ","")&amp;IF(AND($S104="Macro",$G104&lt;&gt;"",OR(NOT(ISNUMBER($G104)),$G104&lt;=0,$G104&gt;1)),"Peso fuera de rango"&amp;" · ","")&amp;IF(AND($S104="Sub",$G104&lt;&gt;""),"Las subactividades no llevan peso"&amp;" · ","")&amp;IF(AND($S104="Macro",ABS(SUMIFS($G$5:$G$1000,$P$5:$P$1000,$P104,$S$5:$S$1000,"Macro")-1)&gt;0.0001),"Pesos del mes suman "&amp;TEXT(SUMIFS($G$5:$G$1000,$P$5:$P$1000,$P104,$S$5:$S$1000,"Macro"),"0%")&amp;" · ","")&amp;IF(AND(N($T104)&gt;0,COUNT($H104:$K104)&gt;0),"Con subactividades: deje vacías las semanas (se calculan solas)"&amp;"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","")&amp;IF(AND(ObsObligatoria="Sí",ISNUMBER($F104),$F104&lt;FechaRef,N($L104)&lt;1,$N104=""),"Vencida sin observación"&amp;" · ",""))="","✔ OK","⚠ "&amp;LEFT(IF(AND($S104="Macro",$B104=""),"Macroactividad vacía"&amp;" · ","")&amp;IF(AND($B104&lt;&gt;"",$C104&lt;&gt;""),"Escriba la subactividad en otra fila, debajo de su macroactividad"&amp;" · ","")&amp;IF(AND($S104="Sub",N($R104)=0),"Subactividad sin macroactividad arriba"&amp;" · ","")&amp;IF($D104="","Sin responsable"&amp;" · ","")&amp;IF($E104="","Sin fecha de inicio"&amp;" · ","")&amp;IF($F104="","Sin fecha límite"&amp;" · ","")&amp;IF(OR(AND($E104&lt;&gt;"",NOT(ISNUMBER($E104))),AND($F104&lt;&gt;"",NOT(ISNUMBER($F104)))),"Fecha no válida"&amp;" · ","")&amp;IF(AND(ISNUMBER($E104),ISNUMBER($F104),$E104&gt;$F104),"Inicio posterior a fecha límite"&amp;" · ","")&amp;IF(AND($S104="Macro",$G104=""),"Peso vacío"&amp;" · ","")&amp;IF(AND($S104="Macro",$G104&lt;&gt;"",OR(NOT(ISNUMBER($G104)),$G104&lt;=0,$G104&gt;1)),"Peso fuera de rango"&amp;" · ","")&amp;IF(AND($S104="Sub",$G104&lt;&gt;""),"Las subactividades no llevan peso"&amp;" · ","")&amp;IF(AND($S104="Macro",ABS(SUMIFS($G$5:$G$1000,$P$5:$P$1000,$P104,$S$5:$S$1000,"Macro")-1)&gt;0.0001),"Pesos del mes suman "&amp;TEXT(SUMIFS($G$5:$G$1000,$P$5:$P$1000,$P104,$S$5:$S$1000,"Macro"),"0%")&amp;" · ","")&amp;IF(AND(N($T104)&gt;0,COUNT($H104:$K104)&gt;0),"Con subactividades: deje vacías las semanas (se calculan solas)"&amp;"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","")&amp;IF(AND(ObsObligatoria="Sí",ISNUMBER($F104),$F104&lt;FechaRef,N($L104)&lt;1,$N104=""),"Vencida sin observación"&amp;" · ",""),LEN(IF(AND($S104="Macro",$B104=""),"Macroactividad vacía"&amp;" · ","")&amp;IF(AND($B104&lt;&gt;"",$C104&lt;&gt;""),"Escriba la subactividad en otra fila, debajo de su macroactividad"&amp;" · ","")&amp;IF(AND($S104="Sub",N($R104)=0),"Subactividad sin macroactividad arriba"&amp;" · ","")&amp;IF($D104="","Sin responsable"&amp;" · ","")&amp;IF($E104="","Sin fecha de inicio"&amp;" · ","")&amp;IF($F104="","Sin fecha límite"&amp;" · ","")&amp;IF(OR(AND($E104&lt;&gt;"",NOT(ISNUMBER($E104))),AND($F104&lt;&gt;"",NOT(ISNUMBER($F104)))),"Fecha no válida"&amp;" · ","")&amp;IF(AND(ISNUMBER($E104),ISNUMBER($F104),$E104&gt;$F104),"Inicio posterior a fecha límite"&amp;" · ","")&amp;IF(AND($S104="Macro",$G104=""),"Peso vacío"&amp;" · ","")&amp;IF(AND($S104="Macro",$G104&lt;&gt;"",OR(NOT(ISNUMBER($G104)),$G104&lt;=0,$G104&gt;1)),"Peso fuera de rango"&amp;" · ","")&amp;IF(AND($S104="Sub",$G104&lt;&gt;""),"Las subactividades no llevan peso"&amp;" · ","")&amp;IF(AND($S104="Macro",ABS(SUMIFS($G$5:$G$1000,$P$5:$P$1000,$P104,$S$5:$S$1000,"Macro")-1)&gt;0.0001),"Pesos del mes suman "&amp;TEXT(SUMIFS($G$5:$G$1000,$P$5:$P$1000,$P104,$S$5:$S$1000,"Macro"),"0%")&amp;" · ","")&amp;IF(AND(N($T104)&gt;0,COUNT($H104:$K104)&gt;0),"Con subactividades: deje vacías las semanas (se calculan solas)"&amp;"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","")&amp;IF(AND(ObsObligatoria="Sí",ISNUMBER($F104),$F104&lt;FechaRef,N($L104)&lt;1,$N104=""),"Vencida sin observación"&amp;" · ",""))-3)))</f>
        <v/>
      </c>
      <c r="P104" s="69">
        <f>IF(NOT((COUNTA($B104:$K104)+COUNTA($N104))&gt;0),"",IF(AND($S104="Sub",N($R104)&gt;0),IF(ISNUMBER(INDEX($E$5:$E$1000,$R104-4)),DATE(YEAR(INDEX($E$5:$E$1000,$R104-4)),MONTH(INDEX($E$5:$E$1000,$R104-4)),1),IF(ISNUMBER(INDEX($F$5:$F$1000,$R104-4)),DATE(YEAR(INDEX($F$5:$F$1000,$R104-4)),MONTH(INDEX($F$5:$F$1000,$R104-4)),1),MesCiclo)),IF(ISNUMBER($E104),DATE(YEAR($E104),MONTH($E104),1),IF(ISNUMBER($F104),DATE(YEAR($F104),MONTH($F104),1),MesCiclo))))</f>
        <v/>
      </c>
      <c r="Q104" s="70">
        <f>IF(OR($P104="",$P104&lt;&gt;MesCiclo),"",COUNTIF($P$5:$P104,MesCiclo))</f>
        <v/>
      </c>
      <c r="R104" s="70">
        <f>IF($S104="","",IF($S104="Macro",ROW(),IFERROR(LOOKUP(2,1/($S$5:$S104="Macro"),ROW($S$5:$S104)),0)))</f>
        <v/>
      </c>
      <c r="S104" s="70">
        <f>IF(NOT((COUNTA($B104:$K104)+COUNTA($N104))&gt;0),"",IF($B104&lt;&gt;"","Macro",IF($C104&lt;&gt;"","Sub","Macro")))</f>
        <v/>
      </c>
      <c r="T104" s="70">
        <f>IF($S104="Macro",COUNTIFS($R$5:$R$1000,ROW(),$S$5:$S$1000,"Sub"),"")</f>
        <v/>
      </c>
      <c r="U104" s="70">
        <f>IF($S104="","",IF(ISNUMBER($H104),$H104,0))</f>
        <v/>
      </c>
      <c r="V104" s="70">
        <f>IF($S104="","",IF(ISNUMBER($I104),$I104,$U104))</f>
        <v/>
      </c>
      <c r="W104" s="70">
        <f>IF($S104="","",IF(ISNUMBER($J104),$J104,$V104))</f>
        <v/>
      </c>
      <c r="X104" s="70">
        <f>IF($S104="","",IF(ISNUMBER($K104),$K104,$W104))</f>
        <v/>
      </c>
      <c r="Y104" s="70">
        <f>IF($S104="","",IF(N($T104)&gt;0,AVERAGEIFS($U$5:$U$1000,$R$5:$R$1000,ROW(),$S$5:$S$1000,"Sub"),$U104))</f>
        <v/>
      </c>
      <c r="Z104" s="70">
        <f>IF($S104="","",IF(N($T104)&gt;0,AVERAGEIFS($V$5:$V$1000,$R$5:$R$1000,ROW(),$S$5:$S$1000,"Sub"),$V104))</f>
        <v/>
      </c>
      <c r="AA104" s="70">
        <f>IF($S104="","",IF(N($T104)&gt;0,AVERAGEIFS($W$5:$W$1000,$R$5:$R$1000,ROW(),$S$5:$S$1000,"Sub"),$W104))</f>
        <v/>
      </c>
      <c r="AB104" s="70">
        <f>IF($S104="","",IF(N($T104)&gt;0,AVERAGEIFS($X$5:$X$1000,$R$5:$R$1000,ROW(),$S$5:$S$1000,"Sub"),$X104))</f>
        <v/>
      </c>
    </row>
    <row r="105">
      <c r="A105" s="61">
        <f>IF(NOT((COUNTA($B105:$K105)+COUNTA($N105))&gt;0),"",IF($S105="Macro",COUNTIFS($S$5:$S105,"Macro",$P$5:$P105,$P105),IF(N($R105)=0,"?",COUNTIFS(INDEX($S$5:$S$1000,1):INDEX($S$5:$S$1000,$R105-4),"Macro",INDEX($P$5:$P$1000,1):INDEX($P$5:$P$1000,$R105-4),INDEX($P$5:$P$1000,$R105-4))&amp;"."&amp;COUNTIFS($R$5:$R105,$R105,$S$5:$S105,"Sub"))))</f>
        <v/>
      </c>
      <c r="B105" s="62" t="n"/>
      <c r="C105" s="63" t="n"/>
      <c r="D105" s="62" t="n"/>
      <c r="E105" s="64" t="n"/>
      <c r="F105" s="64" t="n"/>
      <c r="G105" s="65" t="n"/>
      <c r="H105" s="66" t="n"/>
      <c r="I105" s="66" t="n"/>
      <c r="J105" s="66" t="n"/>
      <c r="K105" s="66" t="n"/>
      <c r="L105" s="67">
        <f>IF(NOT((COUNTA($B105:$K105)+COUNTA($N105))&gt;0),"",IF(N($T105)&gt;0,$AB105,IFERROR(LOOKUP(2,1/(H105:K105&lt;&gt;""),H105:K105),0)))</f>
        <v/>
      </c>
      <c r="M105" s="61">
        <f>IF(L105="","",IF(L105&gt;=1,"Completado",IF(L105&gt;0,"En curso","Pendiente")))</f>
        <v/>
      </c>
      <c r="N105" s="62" t="n"/>
      <c r="O105" s="68">
        <f>IF(NOT((COUNTA($B105:$K105)+COUNTA($N105))&gt;0),"",IF((IF(AND($S105="Macro",$B105=""),"Macroactividad vacía"&amp;" · ","")&amp;IF(AND($B105&lt;&gt;"",$C105&lt;&gt;""),"Escriba la subactividad en otra fila, debajo de su macroactividad"&amp;" · ","")&amp;IF(AND($S105="Sub",N($R105)=0),"Subactividad sin macroactividad arriba"&amp;" · ","")&amp;IF($D105="","Sin responsable"&amp;" · ","")&amp;IF($E105="","Sin fecha de inicio"&amp;" · ","")&amp;IF($F105="","Sin fecha límite"&amp;" · ","")&amp;IF(OR(AND($E105&lt;&gt;"",NOT(ISNUMBER($E105))),AND($F105&lt;&gt;"",NOT(ISNUMBER($F105)))),"Fecha no válida"&amp;" · ","")&amp;IF(AND(ISNUMBER($E105),ISNUMBER($F105),$E105&gt;$F105),"Inicio posterior a fecha límite"&amp;" · ","")&amp;IF(AND($S105="Macro",$G105=""),"Peso vacío"&amp;" · ","")&amp;IF(AND($S105="Macro",$G105&lt;&gt;"",OR(NOT(ISNUMBER($G105)),$G105&lt;=0,$G105&gt;1)),"Peso fuera de rango"&amp;" · ","")&amp;IF(AND($S105="Sub",$G105&lt;&gt;""),"Las subactividades no llevan peso"&amp;" · ","")&amp;IF(AND($S105="Macro",ABS(SUMIFS($G$5:$G$1000,$P$5:$P$1000,$P105,$S$5:$S$1000,"Macro")-1)&gt;0.0001),"Pesos del mes suman "&amp;TEXT(SUMIFS($G$5:$G$1000,$P$5:$P$1000,$P105,$S$5:$S$1000,"Macro"),"0%")&amp;" · ","")&amp;IF(AND(N($T105)&gt;0,COUNT($H105:$K105)&gt;0),"Con subactividades: deje vacías las semanas (se calculan solas)"&amp;" · ","")&amp;IF((COUNTIF($H105:$K105,"&gt;1")+COUNTIF($H105:$K105,"&lt;0")+COUNTA($H105:$K105)-COUNT($H105:$K105))&gt;0,"Avance fuera de rango 0-100%"&amp;" · ","")&amp;IF(OR(AND($I105&lt;&gt;"",$I105&lt;$H105),AND($J105&lt;&gt;"",$J105&lt;MAX($H105:$I105)),AND($K105&lt;&gt;"",$K105&lt;MAX($H105:$J105))),"Avance semanal decreciente"&amp;" · ","")&amp;IF(AND(ISNUMBER($F105),$F105&lt;FechaRef,N($L105)&lt;1),"Vencida"&amp;" · ","")&amp;IF(AND(ObsObligatoria="Sí",ISNUMBER($F105),$F105&lt;FechaRef,N($L105)&lt;1,$N105=""),"Vencida sin observación"&amp;" · ",""))="","✔ OK","⚠ "&amp;LEFT(IF(AND($S105="Macro",$B105=""),"Macroactividad vacía"&amp;" · ","")&amp;IF(AND($B105&lt;&gt;"",$C105&lt;&gt;""),"Escriba la subactividad en otra fila, debajo de su macroactividad"&amp;" · ","")&amp;IF(AND($S105="Sub",N($R105)=0),"Subactividad sin macroactividad arriba"&amp;" · ","")&amp;IF($D105="","Sin responsable"&amp;" · ","")&amp;IF($E105="","Sin fecha de inicio"&amp;" · ","")&amp;IF($F105="","Sin fecha límite"&amp;" · ","")&amp;IF(OR(AND($E105&lt;&gt;"",NOT(ISNUMBER($E105))),AND($F105&lt;&gt;"",NOT(ISNUMBER($F105)))),"Fecha no válida"&amp;" · ","")&amp;IF(AND(ISNUMBER($E105),ISNUMBER($F105),$E105&gt;$F105),"Inicio posterior a fecha límite"&amp;" · ","")&amp;IF(AND($S105="Macro",$G105=""),"Peso vacío"&amp;" · ","")&amp;IF(AND($S105="Macro",$G105&lt;&gt;"",OR(NOT(ISNUMBER($G105)),$G105&lt;=0,$G105&gt;1)),"Peso fuera de rango"&amp;" · ","")&amp;IF(AND($S105="Sub",$G105&lt;&gt;""),"Las subactividades no llevan peso"&amp;" · ","")&amp;IF(AND($S105="Macro",ABS(SUMIFS($G$5:$G$1000,$P$5:$P$1000,$P105,$S$5:$S$1000,"Macro")-1)&gt;0.0001),"Pesos del mes suman "&amp;TEXT(SUMIFS($G$5:$G$1000,$P$5:$P$1000,$P105,$S$5:$S$1000,"Macro"),"0%")&amp;" · ","")&amp;IF(AND(N($T105)&gt;0,COUNT($H105:$K105)&gt;0),"Con subactividades: deje vacías las semanas (se calculan solas)"&amp;" · ","")&amp;IF((COUNTIF($H105:$K105,"&gt;1")+COUNTIF($H105:$K105,"&lt;0")+COUNTA($H105:$K105)-COUNT($H105:$K105))&gt;0,"Avance fuera de rango 0-100%"&amp;" · ","")&amp;IF(OR(AND($I105&lt;&gt;"",$I105&lt;$H105),AND($J105&lt;&gt;"",$J105&lt;MAX($H105:$I105)),AND($K105&lt;&gt;"",$K105&lt;MAX($H105:$J105))),"Avance semanal decreciente"&amp;" · ","")&amp;IF(AND(ISNUMBER($F105),$F105&lt;FechaRef,N($L105)&lt;1),"Vencida"&amp;" · ","")&amp;IF(AND(ObsObligatoria="Sí",ISNUMBER($F105),$F105&lt;FechaRef,N($L105)&lt;1,$N105=""),"Vencida sin observación"&amp;" · ",""),LEN(IF(AND($S105="Macro",$B105=""),"Macroactividad vacía"&amp;" · ","")&amp;IF(AND($B105&lt;&gt;"",$C105&lt;&gt;""),"Escriba la subactividad en otra fila, debajo de su macroactividad"&amp;" · ","")&amp;IF(AND($S105="Sub",N($R105)=0),"Subactividad sin macroactividad arriba"&amp;" · ","")&amp;IF($D105="","Sin responsable"&amp;" · ","")&amp;IF($E105="","Sin fecha de inicio"&amp;" · ","")&amp;IF($F105="","Sin fecha límite"&amp;" · ","")&amp;IF(OR(AND($E105&lt;&gt;"",NOT(ISNUMBER($E105))),AND($F105&lt;&gt;"",NOT(ISNUMBER($F105)))),"Fecha no válida"&amp;" · ","")&amp;IF(AND(ISNUMBER($E105),ISNUMBER($F105),$E105&gt;$F105),"Inicio posterior a fecha límite"&amp;" · ","")&amp;IF(AND($S105="Macro",$G105=""),"Peso vacío"&amp;" · ","")&amp;IF(AND($S105="Macro",$G105&lt;&gt;"",OR(NOT(ISNUMBER($G105)),$G105&lt;=0,$G105&gt;1)),"Peso fuera de rango"&amp;" · ","")&amp;IF(AND($S105="Sub",$G105&lt;&gt;""),"Las subactividades no llevan peso"&amp;" · ","")&amp;IF(AND($S105="Macro",ABS(SUMIFS($G$5:$G$1000,$P$5:$P$1000,$P105,$S$5:$S$1000,"Macro")-1)&gt;0.0001),"Pesos del mes suman "&amp;TEXT(SUMIFS($G$5:$G$1000,$P$5:$P$1000,$P105,$S$5:$S$1000,"Macro"),"0%")&amp;" · ","")&amp;IF(AND(N($T105)&gt;0,COUNT($H105:$K105)&gt;0),"Con subactividades: deje vacías las semanas (se calculan solas)"&amp;" · ","")&amp;IF((COUNTIF($H105:$K105,"&gt;1")+COUNTIF($H105:$K105,"&lt;0")+COUNTA($H105:$K105)-COUNT($H105:$K105))&gt;0,"Avance fuera de rango 0-100%"&amp;" · ","")&amp;IF(OR(AND($I105&lt;&gt;"",$I105&lt;$H105),AND($J105&lt;&gt;"",$J105&lt;MAX($H105:$I105)),AND($K105&lt;&gt;"",$K105&lt;MAX($H105:$J105))),"Avance semanal decreciente"&amp;" · ","")&amp;IF(AND(ISNUMBER($F105),$F105&lt;FechaRef,N($L105)&lt;1),"Vencida"&amp;" · ","")&amp;IF(AND(ObsObligatoria="Sí",ISNUMBER($F105),$F105&lt;FechaRef,N($L105)&lt;1,$N105=""),"Vencida sin observación"&amp;" · ",""))-3)))</f>
        <v/>
      </c>
      <c r="P105" s="69">
        <f>IF(NOT((COUNTA($B105:$K105)+COUNTA($N105))&gt;0),"",IF(AND($S105="Sub",N($R105)&gt;0),IF(ISNUMBER(INDEX($E$5:$E$1000,$R105-4)),DATE(YEAR(INDEX($E$5:$E$1000,$R105-4)),MONTH(INDEX($E$5:$E$1000,$R105-4)),1),IF(ISNUMBER(INDEX($F$5:$F$1000,$R105-4)),DATE(YEAR(INDEX($F$5:$F$1000,$R105-4)),MONTH(INDEX($F$5:$F$1000,$R105-4)),1),MesCiclo)),IF(ISNUMBER($E105),DATE(YEAR($E105),MONTH($E105),1),IF(ISNUMBER($F105),DATE(YEAR($F105),MONTH($F105),1),MesCiclo))))</f>
        <v/>
      </c>
      <c r="Q105" s="70">
        <f>IF(OR($P105="",$P105&lt;&gt;MesCiclo),"",COUNTIF($P$5:$P105,MesCiclo))</f>
        <v/>
      </c>
      <c r="R105" s="70">
        <f>IF($S105="","",IF($S105="Macro",ROW(),IFERROR(LOOKUP(2,1/($S$5:$S105="Macro"),ROW($S$5:$S105)),0)))</f>
        <v/>
      </c>
      <c r="S105" s="70">
        <f>IF(NOT((COUNTA($B105:$K105)+COUNTA($N105))&gt;0),"",IF($B105&lt;&gt;"","Macro",IF($C105&lt;&gt;"","Sub","Macro")))</f>
        <v/>
      </c>
      <c r="T105" s="70">
        <f>IF($S105="Macro",COUNTIFS($R$5:$R$1000,ROW(),$S$5:$S$1000,"Sub"),"")</f>
        <v/>
      </c>
      <c r="U105" s="70">
        <f>IF($S105="","",IF(ISNUMBER($H105),$H105,0))</f>
        <v/>
      </c>
      <c r="V105" s="70">
        <f>IF($S105="","",IF(ISNUMBER($I105),$I105,$U105))</f>
        <v/>
      </c>
      <c r="W105" s="70">
        <f>IF($S105="","",IF(ISNUMBER($J105),$J105,$V105))</f>
        <v/>
      </c>
      <c r="X105" s="70">
        <f>IF($S105="","",IF(ISNUMBER($K105),$K105,$W105))</f>
        <v/>
      </c>
      <c r="Y105" s="70">
        <f>IF($S105="","",IF(N($T105)&gt;0,AVERAGEIFS($U$5:$U$1000,$R$5:$R$1000,ROW(),$S$5:$S$1000,"Sub"),$U105))</f>
        <v/>
      </c>
      <c r="Z105" s="70">
        <f>IF($S105="","",IF(N($T105)&gt;0,AVERAGEIFS($V$5:$V$1000,$R$5:$R$1000,ROW(),$S$5:$S$1000,"Sub"),$V105))</f>
        <v/>
      </c>
      <c r="AA105" s="70">
        <f>IF($S105="","",IF(N($T105)&gt;0,AVERAGEIFS($W$5:$W$1000,$R$5:$R$1000,ROW(),$S$5:$S$1000,"Sub"),$W105))</f>
        <v/>
      </c>
      <c r="AB105" s="70">
        <f>IF($S105="","",IF(N($T105)&gt;0,AVERAGEIFS($X$5:$X$1000,$R$5:$R$1000,ROW(),$S$5:$S$1000,"Sub"),$X105))</f>
        <v/>
      </c>
    </row>
    <row r="106">
      <c r="A106" s="61">
        <f>IF(NOT((COUNTA($B106:$K106)+COUNTA($N106))&gt;0),"",IF($S106="Macro",COUNTIFS($S$5:$S106,"Macro",$P$5:$P106,$P106),IF(N($R106)=0,"?",COUNTIFS(INDEX($S$5:$S$1000,1):INDEX($S$5:$S$1000,$R106-4),"Macro",INDEX($P$5:$P$1000,1):INDEX($P$5:$P$1000,$R106-4),INDEX($P$5:$P$1000,$R106-4))&amp;"."&amp;COUNTIFS($R$5:$R106,$R106,$S$5:$S106,"Sub"))))</f>
        <v/>
      </c>
      <c r="B106" s="62" t="n"/>
      <c r="C106" s="63" t="n"/>
      <c r="D106" s="62" t="n"/>
      <c r="E106" s="64" t="n"/>
      <c r="F106" s="64" t="n"/>
      <c r="G106" s="65" t="n"/>
      <c r="H106" s="66" t="n"/>
      <c r="I106" s="66" t="n"/>
      <c r="J106" s="66" t="n"/>
      <c r="K106" s="66" t="n"/>
      <c r="L106" s="67">
        <f>IF(NOT((COUNTA($B106:$K106)+COUNTA($N106))&gt;0),"",IF(N($T106)&gt;0,$AB106,IFERROR(LOOKUP(2,1/(H106:K106&lt;&gt;""),H106:K106),0)))</f>
        <v/>
      </c>
      <c r="M106" s="61">
        <f>IF(L106="","",IF(L106&gt;=1,"Completado",IF(L106&gt;0,"En curso","Pendiente")))</f>
        <v/>
      </c>
      <c r="N106" s="62" t="n"/>
      <c r="O106" s="68">
        <f>IF(NOT((COUNTA($B106:$K106)+COUNTA($N106))&gt;0),"",IF((IF(AND($S106="Macro",$B106=""),"Macroactividad vacía"&amp;" · ","")&amp;IF(AND($B106&lt;&gt;"",$C106&lt;&gt;""),"Escriba la subactividad en otra fila, debajo de su macroactividad"&amp;" · ","")&amp;IF(AND($S106="Sub",N($R106)=0),"Subactividad sin macroactividad arriba"&amp;" · ","")&amp;IF($D106="","Sin responsable"&amp;" · ","")&amp;IF($E106="","Sin fecha de inicio"&amp;" · ","")&amp;IF($F106="","Sin fecha límite"&amp;" · ","")&amp;IF(OR(AND($E106&lt;&gt;"",NOT(ISNUMBER($E106))),AND($F106&lt;&gt;"",NOT(ISNUMBER($F106)))),"Fecha no válida"&amp;" · ","")&amp;IF(AND(ISNUMBER($E106),ISNUMBER($F106),$E106&gt;$F106),"Inicio posterior a fecha límite"&amp;" · ","")&amp;IF(AND($S106="Macro",$G106=""),"Peso vacío"&amp;" · ","")&amp;IF(AND($S106="Macro",$G106&lt;&gt;"",OR(NOT(ISNUMBER($G106)),$G106&lt;=0,$G106&gt;1)),"Peso fuera de rango"&amp;" · ","")&amp;IF(AND($S106="Sub",$G106&lt;&gt;""),"Las subactividades no llevan peso"&amp;" · ","")&amp;IF(AND($S106="Macro",ABS(SUMIFS($G$5:$G$1000,$P$5:$P$1000,$P106,$S$5:$S$1000,"Macro")-1)&gt;0.0001),"Pesos del mes suman "&amp;TEXT(SUMIFS($G$5:$G$1000,$P$5:$P$1000,$P106,$S$5:$S$1000,"Macro"),"0%")&amp;" · ","")&amp;IF(AND(N($T106)&gt;0,COUNT($H106:$K106)&gt;0),"Con subactividades: deje vacías las semanas (se calculan solas)"&amp;" · ","")&amp;IF((COUNTIF($H106:$K106,"&gt;1")+COUNTIF($H106:$K106,"&lt;0")+COUNTA($H106:$K106)-COUNT($H106:$K106))&gt;0,"Avance fuera de rango 0-100%"&amp;" · ","")&amp;IF(OR(AND($I106&lt;&gt;"",$I106&lt;$H106),AND($J106&lt;&gt;"",$J106&lt;MAX($H106:$I106)),AND($K106&lt;&gt;"",$K106&lt;MAX($H106:$J106))),"Avance semanal decreciente"&amp;" · ","")&amp;IF(AND(ISNUMBER($F106),$F106&lt;FechaRef,N($L106)&lt;1),"Vencida"&amp;" · ","")&amp;IF(AND(ObsObligatoria="Sí",ISNUMBER($F106),$F106&lt;FechaRef,N($L106)&lt;1,$N106=""),"Vencida sin observación"&amp;" · ",""))="","✔ OK","⚠ "&amp;LEFT(IF(AND($S106="Macro",$B106=""),"Macroactividad vacía"&amp;" · ","")&amp;IF(AND($B106&lt;&gt;"",$C106&lt;&gt;""),"Escriba la subactividad en otra fila, debajo de su macroactividad"&amp;" · ","")&amp;IF(AND($S106="Sub",N($R106)=0),"Subactividad sin macroactividad arriba"&amp;" · ","")&amp;IF($D106="","Sin responsable"&amp;" · ","")&amp;IF($E106="","Sin fecha de inicio"&amp;" · ","")&amp;IF($F106="","Sin fecha límite"&amp;" · ","")&amp;IF(OR(AND($E106&lt;&gt;"",NOT(ISNUMBER($E106))),AND($F106&lt;&gt;"",NOT(ISNUMBER($F106)))),"Fecha no válida"&amp;" · ","")&amp;IF(AND(ISNUMBER($E106),ISNUMBER($F106),$E106&gt;$F106),"Inicio posterior a fecha límite"&amp;" · ","")&amp;IF(AND($S106="Macro",$G106=""),"Peso vacío"&amp;" · ","")&amp;IF(AND($S106="Macro",$G106&lt;&gt;"",OR(NOT(ISNUMBER($G106)),$G106&lt;=0,$G106&gt;1)),"Peso fuera de rango"&amp;" · ","")&amp;IF(AND($S106="Sub",$G106&lt;&gt;""),"Las subactividades no llevan peso"&amp;" · ","")&amp;IF(AND($S106="Macro",ABS(SUMIFS($G$5:$G$1000,$P$5:$P$1000,$P106,$S$5:$S$1000,"Macro")-1)&gt;0.0001),"Pesos del mes suman "&amp;TEXT(SUMIFS($G$5:$G$1000,$P$5:$P$1000,$P106,$S$5:$S$1000,"Macro"),"0%")&amp;" · ","")&amp;IF(AND(N($T106)&gt;0,COUNT($H106:$K106)&gt;0),"Con subactividades: deje vacías las semanas (se calculan solas)"&amp;" · ","")&amp;IF((COUNTIF($H106:$K106,"&gt;1")+COUNTIF($H106:$K106,"&lt;0")+COUNTA($H106:$K106)-COUNT($H106:$K106))&gt;0,"Avance fuera de rango 0-100%"&amp;" · ","")&amp;IF(OR(AND($I106&lt;&gt;"",$I106&lt;$H106),AND($J106&lt;&gt;"",$J106&lt;MAX($H106:$I106)),AND($K106&lt;&gt;"",$K106&lt;MAX($H106:$J106))),"Avance semanal decreciente"&amp;" · ","")&amp;IF(AND(ISNUMBER($F106),$F106&lt;FechaRef,N($L106)&lt;1),"Vencida"&amp;" · ","")&amp;IF(AND(ObsObligatoria="Sí",ISNUMBER($F106),$F106&lt;FechaRef,N($L106)&lt;1,$N106=""),"Vencida sin observación"&amp;" · ",""),LEN(IF(AND($S106="Macro",$B106=""),"Macroactividad vacía"&amp;" · ","")&amp;IF(AND($B106&lt;&gt;"",$C106&lt;&gt;""),"Escriba la subactividad en otra fila, debajo de su macroactividad"&amp;" · ","")&amp;IF(AND($S106="Sub",N($R106)=0),"Subactividad sin macroactividad arriba"&amp;" · ","")&amp;IF($D106="","Sin responsable"&amp;" · ","")&amp;IF($E106="","Sin fecha de inicio"&amp;" · ","")&amp;IF($F106="","Sin fecha límite"&amp;" · ","")&amp;IF(OR(AND($E106&lt;&gt;"",NOT(ISNUMBER($E106))),AND($F106&lt;&gt;"",NOT(ISNUMBER($F106)))),"Fecha no válida"&amp;" · ","")&amp;IF(AND(ISNUMBER($E106),ISNUMBER($F106),$E106&gt;$F106),"Inicio posterior a fecha límite"&amp;" · ","")&amp;IF(AND($S106="Macro",$G106=""),"Peso vacío"&amp;" · ","")&amp;IF(AND($S106="Macro",$G106&lt;&gt;"",OR(NOT(ISNUMBER($G106)),$G106&lt;=0,$G106&gt;1)),"Peso fuera de rango"&amp;" · ","")&amp;IF(AND($S106="Sub",$G106&lt;&gt;""),"Las subactividades no llevan peso"&amp;" · ","")&amp;IF(AND($S106="Macro",ABS(SUMIFS($G$5:$G$1000,$P$5:$P$1000,$P106,$S$5:$S$1000,"Macro")-1)&gt;0.0001),"Pesos del mes suman "&amp;TEXT(SUMIFS($G$5:$G$1000,$P$5:$P$1000,$P106,$S$5:$S$1000,"Macro"),"0%")&amp;" · ","")&amp;IF(AND(N($T106)&gt;0,COUNT($H106:$K106)&gt;0),"Con subactividades: deje vacías las semanas (se calculan solas)"&amp;" · ","")&amp;IF((COUNTIF($H106:$K106,"&gt;1")+COUNTIF($H106:$K106,"&lt;0")+COUNTA($H106:$K106)-COUNT($H106:$K106))&gt;0,"Avance fuera de rango 0-100%"&amp;" · ","")&amp;IF(OR(AND($I106&lt;&gt;"",$I106&lt;$H106),AND($J106&lt;&gt;"",$J106&lt;MAX($H106:$I106)),AND($K106&lt;&gt;"",$K106&lt;MAX($H106:$J106))),"Avance semanal decreciente"&amp;" · ","")&amp;IF(AND(ISNUMBER($F106),$F106&lt;FechaRef,N($L106)&lt;1),"Vencida"&amp;" · ","")&amp;IF(AND(ObsObligatoria="Sí",ISNUMBER($F106),$F106&lt;FechaRef,N($L106)&lt;1,$N106=""),"Vencida sin observación"&amp;" · ",""))-3)))</f>
        <v/>
      </c>
      <c r="P106" s="69">
        <f>IF(NOT((COUNTA($B106:$K106)+COUNTA($N106))&gt;0),"",IF(AND($S106="Sub",N($R106)&gt;0),IF(ISNUMBER(INDEX($E$5:$E$1000,$R106-4)),DATE(YEAR(INDEX($E$5:$E$1000,$R106-4)),MONTH(INDEX($E$5:$E$1000,$R106-4)),1),IF(ISNUMBER(INDEX($F$5:$F$1000,$R106-4)),DATE(YEAR(INDEX($F$5:$F$1000,$R106-4)),MONTH(INDEX($F$5:$F$1000,$R106-4)),1),MesCiclo)),IF(ISNUMBER($E106),DATE(YEAR($E106),MONTH($E106),1),IF(ISNUMBER($F106),DATE(YEAR($F106),MONTH($F106),1),MesCiclo))))</f>
        <v/>
      </c>
      <c r="Q106" s="70">
        <f>IF(OR($P106="",$P106&lt;&gt;MesCiclo),"",COUNTIF($P$5:$P106,MesCiclo))</f>
        <v/>
      </c>
      <c r="R106" s="70">
        <f>IF($S106="","",IF($S106="Macro",ROW(),IFERROR(LOOKUP(2,1/($S$5:$S106="Macro"),ROW($S$5:$S106)),0)))</f>
        <v/>
      </c>
      <c r="S106" s="70">
        <f>IF(NOT((COUNTA($B106:$K106)+COUNTA($N106))&gt;0),"",IF($B106&lt;&gt;"","Macro",IF($C106&lt;&gt;"","Sub","Macro")))</f>
        <v/>
      </c>
      <c r="T106" s="70">
        <f>IF($S106="Macro",COUNTIFS($R$5:$R$1000,ROW(),$S$5:$S$1000,"Sub"),"")</f>
        <v/>
      </c>
      <c r="U106" s="70">
        <f>IF($S106="","",IF(ISNUMBER($H106),$H106,0))</f>
        <v/>
      </c>
      <c r="V106" s="70">
        <f>IF($S106="","",IF(ISNUMBER($I106),$I106,$U106))</f>
        <v/>
      </c>
      <c r="W106" s="70">
        <f>IF($S106="","",IF(ISNUMBER($J106),$J106,$V106))</f>
        <v/>
      </c>
      <c r="X106" s="70">
        <f>IF($S106="","",IF(ISNUMBER($K106),$K106,$W106))</f>
        <v/>
      </c>
      <c r="Y106" s="70">
        <f>IF($S106="","",IF(N($T106)&gt;0,AVERAGEIFS($U$5:$U$1000,$R$5:$R$1000,ROW(),$S$5:$S$1000,"Sub"),$U106))</f>
        <v/>
      </c>
      <c r="Z106" s="70">
        <f>IF($S106="","",IF(N($T106)&gt;0,AVERAGEIFS($V$5:$V$1000,$R$5:$R$1000,ROW(),$S$5:$S$1000,"Sub"),$V106))</f>
        <v/>
      </c>
      <c r="AA106" s="70">
        <f>IF($S106="","",IF(N($T106)&gt;0,AVERAGEIFS($W$5:$W$1000,$R$5:$R$1000,ROW(),$S$5:$S$1000,"Sub"),$W106))</f>
        <v/>
      </c>
      <c r="AB106" s="70">
        <f>IF($S106="","",IF(N($T106)&gt;0,AVERAGEIFS($X$5:$X$1000,$R$5:$R$1000,ROW(),$S$5:$S$1000,"Sub"),$X106))</f>
        <v/>
      </c>
    </row>
    <row r="107">
      <c r="A107" s="61">
        <f>IF(NOT((COUNTA($B107:$K107)+COUNTA($N107))&gt;0),"",IF($S107="Macro",COUNTIFS($S$5:$S107,"Macro",$P$5:$P107,$P107),IF(N($R107)=0,"?",COUNTIFS(INDEX($S$5:$S$1000,1):INDEX($S$5:$S$1000,$R107-4),"Macro",INDEX($P$5:$P$1000,1):INDEX($P$5:$P$1000,$R107-4),INDEX($P$5:$P$1000,$R107-4))&amp;"."&amp;COUNTIFS($R$5:$R107,$R107,$S$5:$S107,"Sub"))))</f>
        <v/>
      </c>
      <c r="B107" s="62" t="n"/>
      <c r="C107" s="63" t="n"/>
      <c r="D107" s="62" t="n"/>
      <c r="E107" s="64" t="n"/>
      <c r="F107" s="64" t="n"/>
      <c r="G107" s="65" t="n"/>
      <c r="H107" s="66" t="n"/>
      <c r="I107" s="66" t="n"/>
      <c r="J107" s="66" t="n"/>
      <c r="K107" s="66" t="n"/>
      <c r="L107" s="67">
        <f>IF(NOT((COUNTA($B107:$K107)+COUNTA($N107))&gt;0),"",IF(N($T107)&gt;0,$AB107,IFERROR(LOOKUP(2,1/(H107:K107&lt;&gt;""),H107:K107),0)))</f>
        <v/>
      </c>
      <c r="M107" s="61">
        <f>IF(L107="","",IF(L107&gt;=1,"Completado",IF(L107&gt;0,"En curso","Pendiente")))</f>
        <v/>
      </c>
      <c r="N107" s="62" t="n"/>
      <c r="O107" s="68">
        <f>IF(NOT((COUNTA($B107:$K107)+COUNTA($N107))&gt;0),"",IF((IF(AND($S107="Macro",$B107=""),"Macroactividad vacía"&amp;" · ","")&amp;IF(AND($B107&lt;&gt;"",$C107&lt;&gt;""),"Escriba la subactividad en otra fila, debajo de su macroactividad"&amp;" · ","")&amp;IF(AND($S107="Sub",N($R107)=0),"Subactividad sin macroactividad arriba"&amp;" · ","")&amp;IF($D107="","Sin responsable"&amp;" · ","")&amp;IF($E107="","Sin fecha de inicio"&amp;" · ","")&amp;IF($F107="","Sin fecha límite"&amp;" · ","")&amp;IF(OR(AND($E107&lt;&gt;"",NOT(ISNUMBER($E107))),AND($F107&lt;&gt;"",NOT(ISNUMBER($F107)))),"Fecha no válida"&amp;" · ","")&amp;IF(AND(ISNUMBER($E107),ISNUMBER($F107),$E107&gt;$F107),"Inicio posterior a fecha límite"&amp;" · ","")&amp;IF(AND($S107="Macro",$G107=""),"Peso vacío"&amp;" · ","")&amp;IF(AND($S107="Macro",$G107&lt;&gt;"",OR(NOT(ISNUMBER($G107)),$G107&lt;=0,$G107&gt;1)),"Peso fuera de rango"&amp;" · ","")&amp;IF(AND($S107="Sub",$G107&lt;&gt;""),"Las subactividades no llevan peso"&amp;" · ","")&amp;IF(AND($S107="Macro",ABS(SUMIFS($G$5:$G$1000,$P$5:$P$1000,$P107,$S$5:$S$1000,"Macro")-1)&gt;0.0001),"Pesos del mes suman "&amp;TEXT(SUMIFS($G$5:$G$1000,$P$5:$P$1000,$P107,$S$5:$S$1000,"Macro"),"0%")&amp;" · ","")&amp;IF(AND(N($T107)&gt;0,COUNT($H107:$K107)&gt;0),"Con subactividades: deje vacías las semanas (se calculan solas)"&amp;" · ","")&amp;IF((COUNTIF($H107:$K107,"&gt;1")+COUNTIF($H107:$K107,"&lt;0")+COUNTA($H107:$K107)-COUNT($H107:$K107))&gt;0,"Avance fuera de rango 0-100%"&amp;" · ","")&amp;IF(OR(AND($I107&lt;&gt;"",$I107&lt;$H107),AND($J107&lt;&gt;"",$J107&lt;MAX($H107:$I107)),AND($K107&lt;&gt;"",$K107&lt;MAX($H107:$J107))),"Avance semanal decreciente"&amp;" · ","")&amp;IF(AND(ISNUMBER($F107),$F107&lt;FechaRef,N($L107)&lt;1),"Vencida"&amp;" · ","")&amp;IF(AND(ObsObligatoria="Sí",ISNUMBER($F107),$F107&lt;FechaRef,N($L107)&lt;1,$N107=""),"Vencida sin observación"&amp;" · ",""))="","✔ OK","⚠ "&amp;LEFT(IF(AND($S107="Macro",$B107=""),"Macroactividad vacía"&amp;" · ","")&amp;IF(AND($B107&lt;&gt;"",$C107&lt;&gt;""),"Escriba la subactividad en otra fila, debajo de su macroactividad"&amp;" · ","")&amp;IF(AND($S107="Sub",N($R107)=0),"Subactividad sin macroactividad arriba"&amp;" · ","")&amp;IF($D107="","Sin responsable"&amp;" · ","")&amp;IF($E107="","Sin fecha de inicio"&amp;" · ","")&amp;IF($F107="","Sin fecha límite"&amp;" · ","")&amp;IF(OR(AND($E107&lt;&gt;"",NOT(ISNUMBER($E107))),AND($F107&lt;&gt;"",NOT(ISNUMBER($F107)))),"Fecha no válida"&amp;" · ","")&amp;IF(AND(ISNUMBER($E107),ISNUMBER($F107),$E107&gt;$F107),"Inicio posterior a fecha límite"&amp;" · ","")&amp;IF(AND($S107="Macro",$G107=""),"Peso vacío"&amp;" · ","")&amp;IF(AND($S107="Macro",$G107&lt;&gt;"",OR(NOT(ISNUMBER($G107)),$G107&lt;=0,$G107&gt;1)),"Peso fuera de rango"&amp;" · ","")&amp;IF(AND($S107="Sub",$G107&lt;&gt;""),"Las subactividades no llevan peso"&amp;" · ","")&amp;IF(AND($S107="Macro",ABS(SUMIFS($G$5:$G$1000,$P$5:$P$1000,$P107,$S$5:$S$1000,"Macro")-1)&gt;0.0001),"Pesos del mes suman "&amp;TEXT(SUMIFS($G$5:$G$1000,$P$5:$P$1000,$P107,$S$5:$S$1000,"Macro"),"0%")&amp;" · ","")&amp;IF(AND(N($T107)&gt;0,COUNT($H107:$K107)&gt;0),"Con subactividades: deje vacías las semanas (se calculan solas)"&amp;" · ","")&amp;IF((COUNTIF($H107:$K107,"&gt;1")+COUNTIF($H107:$K107,"&lt;0")+COUNTA($H107:$K107)-COUNT($H107:$K107))&gt;0,"Avance fuera de rango 0-100%"&amp;" · ","")&amp;IF(OR(AND($I107&lt;&gt;"",$I107&lt;$H107),AND($J107&lt;&gt;"",$J107&lt;MAX($H107:$I107)),AND($K107&lt;&gt;"",$K107&lt;MAX($H107:$J107))),"Avance semanal decreciente"&amp;" · ","")&amp;IF(AND(ISNUMBER($F107),$F107&lt;FechaRef,N($L107)&lt;1),"Vencida"&amp;" · ","")&amp;IF(AND(ObsObligatoria="Sí",ISNUMBER($F107),$F107&lt;FechaRef,N($L107)&lt;1,$N107=""),"Vencida sin observación"&amp;" · ",""),LEN(IF(AND($S107="Macro",$B107=""),"Macroactividad vacía"&amp;" · ","")&amp;IF(AND($B107&lt;&gt;"",$C107&lt;&gt;""),"Escriba la subactividad en otra fila, debajo de su macroactividad"&amp;" · ","")&amp;IF(AND($S107="Sub",N($R107)=0),"Subactividad sin macroactividad arriba"&amp;" · ","")&amp;IF($D107="","Sin responsable"&amp;" · ","")&amp;IF($E107="","Sin fecha de inicio"&amp;" · ","")&amp;IF($F107="","Sin fecha límite"&amp;" · ","")&amp;IF(OR(AND($E107&lt;&gt;"",NOT(ISNUMBER($E107))),AND($F107&lt;&gt;"",NOT(ISNUMBER($F107)))),"Fecha no válida"&amp;" · ","")&amp;IF(AND(ISNUMBER($E107),ISNUMBER($F107),$E107&gt;$F107),"Inicio posterior a fecha límite"&amp;" · ","")&amp;IF(AND($S107="Macro",$G107=""),"Peso vacío"&amp;" · ","")&amp;IF(AND($S107="Macro",$G107&lt;&gt;"",OR(NOT(ISNUMBER($G107)),$G107&lt;=0,$G107&gt;1)),"Peso fuera de rango"&amp;" · ","")&amp;IF(AND($S107="Sub",$G107&lt;&gt;""),"Las subactividades no llevan peso"&amp;" · ","")&amp;IF(AND($S107="Macro",ABS(SUMIFS($G$5:$G$1000,$P$5:$P$1000,$P107,$S$5:$S$1000,"Macro")-1)&gt;0.0001),"Pesos del mes suman "&amp;TEXT(SUMIFS($G$5:$G$1000,$P$5:$P$1000,$P107,$S$5:$S$1000,"Macro"),"0%")&amp;" · ","")&amp;IF(AND(N($T107)&gt;0,COUNT($H107:$K107)&gt;0),"Con subactividades: deje vacías las semanas (se calculan solas)"&amp;" · ","")&amp;IF((COUNTIF($H107:$K107,"&gt;1")+COUNTIF($H107:$K107,"&lt;0")+COUNTA($H107:$K107)-COUNT($H107:$K107))&gt;0,"Avance fuera de rango 0-100%"&amp;" · ","")&amp;IF(OR(AND($I107&lt;&gt;"",$I107&lt;$H107),AND($J107&lt;&gt;"",$J107&lt;MAX($H107:$I107)),AND($K107&lt;&gt;"",$K107&lt;MAX($H107:$J107))),"Avance semanal decreciente"&amp;" · ","")&amp;IF(AND(ISNUMBER($F107),$F107&lt;FechaRef,N($L107)&lt;1),"Vencida"&amp;" · ","")&amp;IF(AND(ObsObligatoria="Sí",ISNUMBER($F107),$F107&lt;FechaRef,N($L107)&lt;1,$N107=""),"Vencida sin observación"&amp;" · ",""))-3)))</f>
        <v/>
      </c>
      <c r="P107" s="69">
        <f>IF(NOT((COUNTA($B107:$K107)+COUNTA($N107))&gt;0),"",IF(AND($S107="Sub",N($R107)&gt;0),IF(ISNUMBER(INDEX($E$5:$E$1000,$R107-4)),DATE(YEAR(INDEX($E$5:$E$1000,$R107-4)),MONTH(INDEX($E$5:$E$1000,$R107-4)),1),IF(ISNUMBER(INDEX($F$5:$F$1000,$R107-4)),DATE(YEAR(INDEX($F$5:$F$1000,$R107-4)),MONTH(INDEX($F$5:$F$1000,$R107-4)),1),MesCiclo)),IF(ISNUMBER($E107),DATE(YEAR($E107),MONTH($E107),1),IF(ISNUMBER($F107),DATE(YEAR($F107),MONTH($F107),1),MesCiclo))))</f>
        <v/>
      </c>
      <c r="Q107" s="70">
        <f>IF(OR($P107="",$P107&lt;&gt;MesCiclo),"",COUNTIF($P$5:$P107,MesCiclo))</f>
        <v/>
      </c>
      <c r="R107" s="70">
        <f>IF($S107="","",IF($S107="Macro",ROW(),IFERROR(LOOKUP(2,1/($S$5:$S107="Macro"),ROW($S$5:$S107)),0)))</f>
        <v/>
      </c>
      <c r="S107" s="70">
        <f>IF(NOT((COUNTA($B107:$K107)+COUNTA($N107))&gt;0),"",IF($B107&lt;&gt;"","Macro",IF($C107&lt;&gt;"","Sub","Macro")))</f>
        <v/>
      </c>
      <c r="T107" s="70">
        <f>IF($S107="Macro",COUNTIFS($R$5:$R$1000,ROW(),$S$5:$S$1000,"Sub"),"")</f>
        <v/>
      </c>
      <c r="U107" s="70">
        <f>IF($S107="","",IF(ISNUMBER($H107),$H107,0))</f>
        <v/>
      </c>
      <c r="V107" s="70">
        <f>IF($S107="","",IF(ISNUMBER($I107),$I107,$U107))</f>
        <v/>
      </c>
      <c r="W107" s="70">
        <f>IF($S107="","",IF(ISNUMBER($J107),$J107,$V107))</f>
        <v/>
      </c>
      <c r="X107" s="70">
        <f>IF($S107="","",IF(ISNUMBER($K107),$K107,$W107))</f>
        <v/>
      </c>
      <c r="Y107" s="70">
        <f>IF($S107="","",IF(N($T107)&gt;0,AVERAGEIFS($U$5:$U$1000,$R$5:$R$1000,ROW(),$S$5:$S$1000,"Sub"),$U107))</f>
        <v/>
      </c>
      <c r="Z107" s="70">
        <f>IF($S107="","",IF(N($T107)&gt;0,AVERAGEIFS($V$5:$V$1000,$R$5:$R$1000,ROW(),$S$5:$S$1000,"Sub"),$V107))</f>
        <v/>
      </c>
      <c r="AA107" s="70">
        <f>IF($S107="","",IF(N($T107)&gt;0,AVERAGEIFS($W$5:$W$1000,$R$5:$R$1000,ROW(),$S$5:$S$1000,"Sub"),$W107))</f>
        <v/>
      </c>
      <c r="AB107" s="70">
        <f>IF($S107="","",IF(N($T107)&gt;0,AVERAGEIFS($X$5:$X$1000,$R$5:$R$1000,ROW(),$S$5:$S$1000,"Sub"),$X107))</f>
        <v/>
      </c>
    </row>
    <row r="108">
      <c r="A108" s="61">
        <f>IF(NOT((COUNTA($B108:$K108)+COUNTA($N108))&gt;0),"",IF($S108="Macro",COUNTIFS($S$5:$S108,"Macro",$P$5:$P108,$P108),IF(N($R108)=0,"?",COUNTIFS(INDEX($S$5:$S$1000,1):INDEX($S$5:$S$1000,$R108-4),"Macro",INDEX($P$5:$P$1000,1):INDEX($P$5:$P$1000,$R108-4),INDEX($P$5:$P$1000,$R108-4))&amp;"."&amp;COUNTIFS($R$5:$R108,$R108,$S$5:$S108,"Sub"))))</f>
        <v/>
      </c>
      <c r="B108" s="62" t="n"/>
      <c r="C108" s="63" t="n"/>
      <c r="D108" s="62" t="n"/>
      <c r="E108" s="64" t="n"/>
      <c r="F108" s="64" t="n"/>
      <c r="G108" s="65" t="n"/>
      <c r="H108" s="66" t="n"/>
      <c r="I108" s="66" t="n"/>
      <c r="J108" s="66" t="n"/>
      <c r="K108" s="66" t="n"/>
      <c r="L108" s="67">
        <f>IF(NOT((COUNTA($B108:$K108)+COUNTA($N108))&gt;0),"",IF(N($T108)&gt;0,$AB108,IFERROR(LOOKUP(2,1/(H108:K108&lt;&gt;""),H108:K108),0)))</f>
        <v/>
      </c>
      <c r="M108" s="61">
        <f>IF(L108="","",IF(L108&gt;=1,"Completado",IF(L108&gt;0,"En curso","Pendiente")))</f>
        <v/>
      </c>
      <c r="N108" s="62" t="n"/>
      <c r="O108" s="68">
        <f>IF(NOT((COUNTA($B108:$K108)+COUNTA($N108))&gt;0),"",IF((IF(AND($S108="Macro",$B108=""),"Macroactividad vacía"&amp;" · ","")&amp;IF(AND($B108&lt;&gt;"",$C108&lt;&gt;""),"Escriba la subactividad en otra fila, debajo de su macroactividad"&amp;" · ","")&amp;IF(AND($S108="Sub",N($R108)=0),"Subactividad sin macroactividad arriba"&amp;" · ","")&amp;IF($D108="","Sin responsable"&amp;" · ","")&amp;IF($E108="","Sin fecha de inicio"&amp;" · ","")&amp;IF($F108="","Sin fecha límite"&amp;" · ","")&amp;IF(OR(AND($E108&lt;&gt;"",NOT(ISNUMBER($E108))),AND($F108&lt;&gt;"",NOT(ISNUMBER($F108)))),"Fecha no válida"&amp;" · ","")&amp;IF(AND(ISNUMBER($E108),ISNUMBER($F108),$E108&gt;$F108),"Inicio posterior a fecha límite"&amp;" · ","")&amp;IF(AND($S108="Macro",$G108=""),"Peso vacío"&amp;" · ","")&amp;IF(AND($S108="Macro",$G108&lt;&gt;"",OR(NOT(ISNUMBER($G108)),$G108&lt;=0,$G108&gt;1)),"Peso fuera de rango"&amp;" · ","")&amp;IF(AND($S108="Sub",$G108&lt;&gt;""),"Las subactividades no llevan peso"&amp;" · ","")&amp;IF(AND($S108="Macro",ABS(SUMIFS($G$5:$G$1000,$P$5:$P$1000,$P108,$S$5:$S$1000,"Macro")-1)&gt;0.0001),"Pesos del mes suman "&amp;TEXT(SUMIFS($G$5:$G$1000,$P$5:$P$1000,$P108,$S$5:$S$1000,"Macro"),"0%")&amp;" · ","")&amp;IF(AND(N($T108)&gt;0,COUNT($H108:$K108)&gt;0),"Con subactividades: deje vacías las semanas (se calculan solas)"&amp;" · ","")&amp;IF((COUNTIF($H108:$K108,"&gt;1")+COUNTIF($H108:$K108,"&lt;0")+COUNTA($H108:$K108)-COUNT($H108:$K108))&gt;0,"Avance fuera de rango 0-100%"&amp;" · ","")&amp;IF(OR(AND($I108&lt;&gt;"",$I108&lt;$H108),AND($J108&lt;&gt;"",$J108&lt;MAX($H108:$I108)),AND($K108&lt;&gt;"",$K108&lt;MAX($H108:$J108))),"Avance semanal decreciente"&amp;" · ","")&amp;IF(AND(ISNUMBER($F108),$F108&lt;FechaRef,N($L108)&lt;1),"Vencida"&amp;" · ","")&amp;IF(AND(ObsObligatoria="Sí",ISNUMBER($F108),$F108&lt;FechaRef,N($L108)&lt;1,$N108=""),"Vencida sin observación"&amp;" · ",""))="","✔ OK","⚠ "&amp;LEFT(IF(AND($S108="Macro",$B108=""),"Macroactividad vacía"&amp;" · ","")&amp;IF(AND($B108&lt;&gt;"",$C108&lt;&gt;""),"Escriba la subactividad en otra fila, debajo de su macroactividad"&amp;" · ","")&amp;IF(AND($S108="Sub",N($R108)=0),"Subactividad sin macroactividad arriba"&amp;" · ","")&amp;IF($D108="","Sin responsable"&amp;" · ","")&amp;IF($E108="","Sin fecha de inicio"&amp;" · ","")&amp;IF($F108="","Sin fecha límite"&amp;" · ","")&amp;IF(OR(AND($E108&lt;&gt;"",NOT(ISNUMBER($E108))),AND($F108&lt;&gt;"",NOT(ISNUMBER($F108)))),"Fecha no válida"&amp;" · ","")&amp;IF(AND(ISNUMBER($E108),ISNUMBER($F108),$E108&gt;$F108),"Inicio posterior a fecha límite"&amp;" · ","")&amp;IF(AND($S108="Macro",$G108=""),"Peso vacío"&amp;" · ","")&amp;IF(AND($S108="Macro",$G108&lt;&gt;"",OR(NOT(ISNUMBER($G108)),$G108&lt;=0,$G108&gt;1)),"Peso fuera de rango"&amp;" · ","")&amp;IF(AND($S108="Sub",$G108&lt;&gt;""),"Las subactividades no llevan peso"&amp;" · ","")&amp;IF(AND($S108="Macro",ABS(SUMIFS($G$5:$G$1000,$P$5:$P$1000,$P108,$S$5:$S$1000,"Macro")-1)&gt;0.0001),"Pesos del mes suman "&amp;TEXT(SUMIFS($G$5:$G$1000,$P$5:$P$1000,$P108,$S$5:$S$1000,"Macro"),"0%")&amp;" · ","")&amp;IF(AND(N($T108)&gt;0,COUNT($H108:$K108)&gt;0),"Con subactividades: deje vacías las semanas (se calculan solas)"&amp;" · ","")&amp;IF((COUNTIF($H108:$K108,"&gt;1")+COUNTIF($H108:$K108,"&lt;0")+COUNTA($H108:$K108)-COUNT($H108:$K108))&gt;0,"Avance fuera de rango 0-100%"&amp;" · ","")&amp;IF(OR(AND($I108&lt;&gt;"",$I108&lt;$H108),AND($J108&lt;&gt;"",$J108&lt;MAX($H108:$I108)),AND($K108&lt;&gt;"",$K108&lt;MAX($H108:$J108))),"Avance semanal decreciente"&amp;" · ","")&amp;IF(AND(ISNUMBER($F108),$F108&lt;FechaRef,N($L108)&lt;1),"Vencida"&amp;" · ","")&amp;IF(AND(ObsObligatoria="Sí",ISNUMBER($F108),$F108&lt;FechaRef,N($L108)&lt;1,$N108=""),"Vencida sin observación"&amp;" · ",""),LEN(IF(AND($S108="Macro",$B108=""),"Macroactividad vacía"&amp;" · ","")&amp;IF(AND($B108&lt;&gt;"",$C108&lt;&gt;""),"Escriba la subactividad en otra fila, debajo de su macroactividad"&amp;" · ","")&amp;IF(AND($S108="Sub",N($R108)=0),"Subactividad sin macroactividad arriba"&amp;" · ","")&amp;IF($D108="","Sin responsable"&amp;" · ","")&amp;IF($E108="","Sin fecha de inicio"&amp;" · ","")&amp;IF($F108="","Sin fecha límite"&amp;" · ","")&amp;IF(OR(AND($E108&lt;&gt;"",NOT(ISNUMBER($E108))),AND($F108&lt;&gt;"",NOT(ISNUMBER($F108)))),"Fecha no válida"&amp;" · ","")&amp;IF(AND(ISNUMBER($E108),ISNUMBER($F108),$E108&gt;$F108),"Inicio posterior a fecha límite"&amp;" · ","")&amp;IF(AND($S108="Macro",$G108=""),"Peso vacío"&amp;" · ","")&amp;IF(AND($S108="Macro",$G108&lt;&gt;"",OR(NOT(ISNUMBER($G108)),$G108&lt;=0,$G108&gt;1)),"Peso fuera de rango"&amp;" · ","")&amp;IF(AND($S108="Sub",$G108&lt;&gt;""),"Las subactividades no llevan peso"&amp;" · ","")&amp;IF(AND($S108="Macro",ABS(SUMIFS($G$5:$G$1000,$P$5:$P$1000,$P108,$S$5:$S$1000,"Macro")-1)&gt;0.0001),"Pesos del mes suman "&amp;TEXT(SUMIFS($G$5:$G$1000,$P$5:$P$1000,$P108,$S$5:$S$1000,"Macro"),"0%")&amp;" · ","")&amp;IF(AND(N($T108)&gt;0,COUNT($H108:$K108)&gt;0),"Con subactividades: deje vacías las semanas (se calculan solas)"&amp;" · ","")&amp;IF((COUNTIF($H108:$K108,"&gt;1")+COUNTIF($H108:$K108,"&lt;0")+COUNTA($H108:$K108)-COUNT($H108:$K108))&gt;0,"Avance fuera de rango 0-100%"&amp;" · ","")&amp;IF(OR(AND($I108&lt;&gt;"",$I108&lt;$H108),AND($J108&lt;&gt;"",$J108&lt;MAX($H108:$I108)),AND($K108&lt;&gt;"",$K108&lt;MAX($H108:$J108))),"Avance semanal decreciente"&amp;" · ","")&amp;IF(AND(ISNUMBER($F108),$F108&lt;FechaRef,N($L108)&lt;1),"Vencida"&amp;" · ","")&amp;IF(AND(ObsObligatoria="Sí",ISNUMBER($F108),$F108&lt;FechaRef,N($L108)&lt;1,$N108=""),"Vencida sin observación"&amp;" · ",""))-3)))</f>
        <v/>
      </c>
      <c r="P108" s="69">
        <f>IF(NOT((COUNTA($B108:$K108)+COUNTA($N108))&gt;0),"",IF(AND($S108="Sub",N($R108)&gt;0),IF(ISNUMBER(INDEX($E$5:$E$1000,$R108-4)),DATE(YEAR(INDEX($E$5:$E$1000,$R108-4)),MONTH(INDEX($E$5:$E$1000,$R108-4)),1),IF(ISNUMBER(INDEX($F$5:$F$1000,$R108-4)),DATE(YEAR(INDEX($F$5:$F$1000,$R108-4)),MONTH(INDEX($F$5:$F$1000,$R108-4)),1),MesCiclo)),IF(ISNUMBER($E108),DATE(YEAR($E108),MONTH($E108),1),IF(ISNUMBER($F108),DATE(YEAR($F108),MONTH($F108),1),MesCiclo))))</f>
        <v/>
      </c>
      <c r="Q108" s="70">
        <f>IF(OR($P108="",$P108&lt;&gt;MesCiclo),"",COUNTIF($P$5:$P108,MesCiclo))</f>
        <v/>
      </c>
      <c r="R108" s="70">
        <f>IF($S108="","",IF($S108="Macro",ROW(),IFERROR(LOOKUP(2,1/($S$5:$S108="Macro"),ROW($S$5:$S108)),0)))</f>
        <v/>
      </c>
      <c r="S108" s="70">
        <f>IF(NOT((COUNTA($B108:$K108)+COUNTA($N108))&gt;0),"",IF($B108&lt;&gt;"","Macro",IF($C108&lt;&gt;"","Sub","Macro")))</f>
        <v/>
      </c>
      <c r="T108" s="70">
        <f>IF($S108="Macro",COUNTIFS($R$5:$R$1000,ROW(),$S$5:$S$1000,"Sub"),"")</f>
        <v/>
      </c>
      <c r="U108" s="70">
        <f>IF($S108="","",IF(ISNUMBER($H108),$H108,0))</f>
        <v/>
      </c>
      <c r="V108" s="70">
        <f>IF($S108="","",IF(ISNUMBER($I108),$I108,$U108))</f>
        <v/>
      </c>
      <c r="W108" s="70">
        <f>IF($S108="","",IF(ISNUMBER($J108),$J108,$V108))</f>
        <v/>
      </c>
      <c r="X108" s="70">
        <f>IF($S108="","",IF(ISNUMBER($K108),$K108,$W108))</f>
        <v/>
      </c>
      <c r="Y108" s="70">
        <f>IF($S108="","",IF(N($T108)&gt;0,AVERAGEIFS($U$5:$U$1000,$R$5:$R$1000,ROW(),$S$5:$S$1000,"Sub"),$U108))</f>
        <v/>
      </c>
      <c r="Z108" s="70">
        <f>IF($S108="","",IF(N($T108)&gt;0,AVERAGEIFS($V$5:$V$1000,$R$5:$R$1000,ROW(),$S$5:$S$1000,"Sub"),$V108))</f>
        <v/>
      </c>
      <c r="AA108" s="70">
        <f>IF($S108="","",IF(N($T108)&gt;0,AVERAGEIFS($W$5:$W$1000,$R$5:$R$1000,ROW(),$S$5:$S$1000,"Sub"),$W108))</f>
        <v/>
      </c>
      <c r="AB108" s="70">
        <f>IF($S108="","",IF(N($T108)&gt;0,AVERAGEIFS($X$5:$X$1000,$R$5:$R$1000,ROW(),$S$5:$S$1000,"Sub"),$X108))</f>
        <v/>
      </c>
    </row>
    <row r="109">
      <c r="A109" s="61">
        <f>IF(NOT((COUNTA($B109:$K109)+COUNTA($N109))&gt;0),"",IF($S109="Macro",COUNTIFS($S$5:$S109,"Macro",$P$5:$P109,$P109),IF(N($R109)=0,"?",COUNTIFS(INDEX($S$5:$S$1000,1):INDEX($S$5:$S$1000,$R109-4),"Macro",INDEX($P$5:$P$1000,1):INDEX($P$5:$P$1000,$R109-4),INDEX($P$5:$P$1000,$R109-4))&amp;"."&amp;COUNTIFS($R$5:$R109,$R109,$S$5:$S109,"Sub"))))</f>
        <v/>
      </c>
      <c r="B109" s="62" t="n"/>
      <c r="C109" s="63" t="n"/>
      <c r="D109" s="62" t="n"/>
      <c r="E109" s="64" t="n"/>
      <c r="F109" s="64" t="n"/>
      <c r="G109" s="65" t="n"/>
      <c r="H109" s="66" t="n"/>
      <c r="I109" s="66" t="n"/>
      <c r="J109" s="66" t="n"/>
      <c r="K109" s="66" t="n"/>
      <c r="L109" s="67">
        <f>IF(NOT((COUNTA($B109:$K109)+COUNTA($N109))&gt;0),"",IF(N($T109)&gt;0,$AB109,IFERROR(LOOKUP(2,1/(H109:K109&lt;&gt;""),H109:K109),0)))</f>
        <v/>
      </c>
      <c r="M109" s="61">
        <f>IF(L109="","",IF(L109&gt;=1,"Completado",IF(L109&gt;0,"En curso","Pendiente")))</f>
        <v/>
      </c>
      <c r="N109" s="62" t="n"/>
      <c r="O109" s="68">
        <f>IF(NOT((COUNTA($B109:$K109)+COUNTA($N109))&gt;0),"",IF((IF(AND($S109="Macro",$B109=""),"Macroactividad vacía"&amp;" · ","")&amp;IF(AND($B109&lt;&gt;"",$C109&lt;&gt;""),"Escriba la subactividad en otra fila, debajo de su macroactividad"&amp;" · ","")&amp;IF(AND($S109="Sub",N($R109)=0),"Subactividad sin macroactividad arriba"&amp;" · ","")&amp;IF($D109="","Sin responsable"&amp;" · ","")&amp;IF($E109="","Sin fecha de inicio"&amp;" · ","")&amp;IF($F109="","Sin fecha límite"&amp;" · ","")&amp;IF(OR(AND($E109&lt;&gt;"",NOT(ISNUMBER($E109))),AND($F109&lt;&gt;"",NOT(ISNUMBER($F109)))),"Fecha no válida"&amp;" · ","")&amp;IF(AND(ISNUMBER($E109),ISNUMBER($F109),$E109&gt;$F109),"Inicio posterior a fecha límite"&amp;" · ","")&amp;IF(AND($S109="Macro",$G109=""),"Peso vacío"&amp;" · ","")&amp;IF(AND($S109="Macro",$G109&lt;&gt;"",OR(NOT(ISNUMBER($G109)),$G109&lt;=0,$G109&gt;1)),"Peso fuera de rango"&amp;" · ","")&amp;IF(AND($S109="Sub",$G109&lt;&gt;""),"Las subactividades no llevan peso"&amp;" · ","")&amp;IF(AND($S109="Macro",ABS(SUMIFS($G$5:$G$1000,$P$5:$P$1000,$P109,$S$5:$S$1000,"Macro")-1)&gt;0.0001),"Pesos del mes suman "&amp;TEXT(SUMIFS($G$5:$G$1000,$P$5:$P$1000,$P109,$S$5:$S$1000,"Macro"),"0%")&amp;" · ","")&amp;IF(AND(N($T109)&gt;0,COUNT($H109:$K109)&gt;0),"Con subactividades: deje vacías las semanas (se calculan solas)"&amp;" · ","")&amp;IF((COUNTIF($H109:$K109,"&gt;1")+COUNTIF($H109:$K109,"&lt;0")+COUNTA($H109:$K109)-COUNT($H109:$K109))&gt;0,"Avance fuera de rango 0-100%"&amp;" · ","")&amp;IF(OR(AND($I109&lt;&gt;"",$I109&lt;$H109),AND($J109&lt;&gt;"",$J109&lt;MAX($H109:$I109)),AND($K109&lt;&gt;"",$K109&lt;MAX($H109:$J109))),"Avance semanal decreciente"&amp;" · ","")&amp;IF(AND(ISNUMBER($F109),$F109&lt;FechaRef,N($L109)&lt;1),"Vencida"&amp;" · ","")&amp;IF(AND(ObsObligatoria="Sí",ISNUMBER($F109),$F109&lt;FechaRef,N($L109)&lt;1,$N109=""),"Vencida sin observación"&amp;" · ",""))="","✔ OK","⚠ "&amp;LEFT(IF(AND($S109="Macro",$B109=""),"Macroactividad vacía"&amp;" · ","")&amp;IF(AND($B109&lt;&gt;"",$C109&lt;&gt;""),"Escriba la subactividad en otra fila, debajo de su macroactividad"&amp;" · ","")&amp;IF(AND($S109="Sub",N($R109)=0),"Subactividad sin macroactividad arriba"&amp;" · ","")&amp;IF($D109="","Sin responsable"&amp;" · ","")&amp;IF($E109="","Sin fecha de inicio"&amp;" · ","")&amp;IF($F109="","Sin fecha límite"&amp;" · ","")&amp;IF(OR(AND($E109&lt;&gt;"",NOT(ISNUMBER($E109))),AND($F109&lt;&gt;"",NOT(ISNUMBER($F109)))),"Fecha no válida"&amp;" · ","")&amp;IF(AND(ISNUMBER($E109),ISNUMBER($F109),$E109&gt;$F109),"Inicio posterior a fecha límite"&amp;" · ","")&amp;IF(AND($S109="Macro",$G109=""),"Peso vacío"&amp;" · ","")&amp;IF(AND($S109="Macro",$G109&lt;&gt;"",OR(NOT(ISNUMBER($G109)),$G109&lt;=0,$G109&gt;1)),"Peso fuera de rango"&amp;" · ","")&amp;IF(AND($S109="Sub",$G109&lt;&gt;""),"Las subactividades no llevan peso"&amp;" · ","")&amp;IF(AND($S109="Macro",ABS(SUMIFS($G$5:$G$1000,$P$5:$P$1000,$P109,$S$5:$S$1000,"Macro")-1)&gt;0.0001),"Pesos del mes suman "&amp;TEXT(SUMIFS($G$5:$G$1000,$P$5:$P$1000,$P109,$S$5:$S$1000,"Macro"),"0%")&amp;" · ","")&amp;IF(AND(N($T109)&gt;0,COUNT($H109:$K109)&gt;0),"Con subactividades: deje vacías las semanas (se calculan solas)"&amp;" · ","")&amp;IF((COUNTIF($H109:$K109,"&gt;1")+COUNTIF($H109:$K109,"&lt;0")+COUNTA($H109:$K109)-COUNT($H109:$K109))&gt;0,"Avance fuera de rango 0-100%"&amp;" · ","")&amp;IF(OR(AND($I109&lt;&gt;"",$I109&lt;$H109),AND($J109&lt;&gt;"",$J109&lt;MAX($H109:$I109)),AND($K109&lt;&gt;"",$K109&lt;MAX($H109:$J109))),"Avance semanal decreciente"&amp;" · ","")&amp;IF(AND(ISNUMBER($F109),$F109&lt;FechaRef,N($L109)&lt;1),"Vencida"&amp;" · ","")&amp;IF(AND(ObsObligatoria="Sí",ISNUMBER($F109),$F109&lt;FechaRef,N($L109)&lt;1,$N109=""),"Vencida sin observación"&amp;" · ",""),LEN(IF(AND($S109="Macro",$B109=""),"Macroactividad vacía"&amp;" · ","")&amp;IF(AND($B109&lt;&gt;"",$C109&lt;&gt;""),"Escriba la subactividad en otra fila, debajo de su macroactividad"&amp;" · ","")&amp;IF(AND($S109="Sub",N($R109)=0),"Subactividad sin macroactividad arriba"&amp;" · ","")&amp;IF($D109="","Sin responsable"&amp;" · ","")&amp;IF($E109="","Sin fecha de inicio"&amp;" · ","")&amp;IF($F109="","Sin fecha límite"&amp;" · ","")&amp;IF(OR(AND($E109&lt;&gt;"",NOT(ISNUMBER($E109))),AND($F109&lt;&gt;"",NOT(ISNUMBER($F109)))),"Fecha no válida"&amp;" · ","")&amp;IF(AND(ISNUMBER($E109),ISNUMBER($F109),$E109&gt;$F109),"Inicio posterior a fecha límite"&amp;" · ","")&amp;IF(AND($S109="Macro",$G109=""),"Peso vacío"&amp;" · ","")&amp;IF(AND($S109="Macro",$G109&lt;&gt;"",OR(NOT(ISNUMBER($G109)),$G109&lt;=0,$G109&gt;1)),"Peso fuera de rango"&amp;" · ","")&amp;IF(AND($S109="Sub",$G109&lt;&gt;""),"Las subactividades no llevan peso"&amp;" · ","")&amp;IF(AND($S109="Macro",ABS(SUMIFS($G$5:$G$1000,$P$5:$P$1000,$P109,$S$5:$S$1000,"Macro")-1)&gt;0.0001),"Pesos del mes suman "&amp;TEXT(SUMIFS($G$5:$G$1000,$P$5:$P$1000,$P109,$S$5:$S$1000,"Macro"),"0%")&amp;" · ","")&amp;IF(AND(N($T109)&gt;0,COUNT($H109:$K109)&gt;0),"Con subactividades: deje vacías las semanas (se calculan solas)"&amp;" · ","")&amp;IF((COUNTIF($H109:$K109,"&gt;1")+COUNTIF($H109:$K109,"&lt;0")+COUNTA($H109:$K109)-COUNT($H109:$K109))&gt;0,"Avance fuera de rango 0-100%"&amp;" · ","")&amp;IF(OR(AND($I109&lt;&gt;"",$I109&lt;$H109),AND($J109&lt;&gt;"",$J109&lt;MAX($H109:$I109)),AND($K109&lt;&gt;"",$K109&lt;MAX($H109:$J109))),"Avance semanal decreciente"&amp;" · ","")&amp;IF(AND(ISNUMBER($F109),$F109&lt;FechaRef,N($L109)&lt;1),"Vencida"&amp;" · ","")&amp;IF(AND(ObsObligatoria="Sí",ISNUMBER($F109),$F109&lt;FechaRef,N($L109)&lt;1,$N109=""),"Vencida sin observación"&amp;" · ",""))-3)))</f>
        <v/>
      </c>
      <c r="P109" s="69">
        <f>IF(NOT((COUNTA($B109:$K109)+COUNTA($N109))&gt;0),"",IF(AND($S109="Sub",N($R109)&gt;0),IF(ISNUMBER(INDEX($E$5:$E$1000,$R109-4)),DATE(YEAR(INDEX($E$5:$E$1000,$R109-4)),MONTH(INDEX($E$5:$E$1000,$R109-4)),1),IF(ISNUMBER(INDEX($F$5:$F$1000,$R109-4)),DATE(YEAR(INDEX($F$5:$F$1000,$R109-4)),MONTH(INDEX($F$5:$F$1000,$R109-4)),1),MesCiclo)),IF(ISNUMBER($E109),DATE(YEAR($E109),MONTH($E109),1),IF(ISNUMBER($F109),DATE(YEAR($F109),MONTH($F109),1),MesCiclo))))</f>
        <v/>
      </c>
      <c r="Q109" s="70">
        <f>IF(OR($P109="",$P109&lt;&gt;MesCiclo),"",COUNTIF($P$5:$P109,MesCiclo))</f>
        <v/>
      </c>
      <c r="R109" s="70">
        <f>IF($S109="","",IF($S109="Macro",ROW(),IFERROR(LOOKUP(2,1/($S$5:$S109="Macro"),ROW($S$5:$S109)),0)))</f>
        <v/>
      </c>
      <c r="S109" s="70">
        <f>IF(NOT((COUNTA($B109:$K109)+COUNTA($N109))&gt;0),"",IF($B109&lt;&gt;"","Macro",IF($C109&lt;&gt;"","Sub","Macro")))</f>
        <v/>
      </c>
      <c r="T109" s="70">
        <f>IF($S109="Macro",COUNTIFS($R$5:$R$1000,ROW(),$S$5:$S$1000,"Sub"),"")</f>
        <v/>
      </c>
      <c r="U109" s="70">
        <f>IF($S109="","",IF(ISNUMBER($H109),$H109,0))</f>
        <v/>
      </c>
      <c r="V109" s="70">
        <f>IF($S109="","",IF(ISNUMBER($I109),$I109,$U109))</f>
        <v/>
      </c>
      <c r="W109" s="70">
        <f>IF($S109="","",IF(ISNUMBER($J109),$J109,$V109))</f>
        <v/>
      </c>
      <c r="X109" s="70">
        <f>IF($S109="","",IF(ISNUMBER($K109),$K109,$W109))</f>
        <v/>
      </c>
      <c r="Y109" s="70">
        <f>IF($S109="","",IF(N($T109)&gt;0,AVERAGEIFS($U$5:$U$1000,$R$5:$R$1000,ROW(),$S$5:$S$1000,"Sub"),$U109))</f>
        <v/>
      </c>
      <c r="Z109" s="70">
        <f>IF($S109="","",IF(N($T109)&gt;0,AVERAGEIFS($V$5:$V$1000,$R$5:$R$1000,ROW(),$S$5:$S$1000,"Sub"),$V109))</f>
        <v/>
      </c>
      <c r="AA109" s="70">
        <f>IF($S109="","",IF(N($T109)&gt;0,AVERAGEIFS($W$5:$W$1000,$R$5:$R$1000,ROW(),$S$5:$S$1000,"Sub"),$W109))</f>
        <v/>
      </c>
      <c r="AB109" s="70">
        <f>IF($S109="","",IF(N($T109)&gt;0,AVERAGEIFS($X$5:$X$1000,$R$5:$R$1000,ROW(),$S$5:$S$1000,"Sub"),$X109))</f>
        <v/>
      </c>
    </row>
    <row r="110">
      <c r="A110" s="61">
        <f>IF(NOT((COUNTA($B110:$K110)+COUNTA($N110))&gt;0),"",IF($S110="Macro",COUNTIFS($S$5:$S110,"Macro",$P$5:$P110,$P110),IF(N($R110)=0,"?",COUNTIFS(INDEX($S$5:$S$1000,1):INDEX($S$5:$S$1000,$R110-4),"Macro",INDEX($P$5:$P$1000,1):INDEX($P$5:$P$1000,$R110-4),INDEX($P$5:$P$1000,$R110-4))&amp;"."&amp;COUNTIFS($R$5:$R110,$R110,$S$5:$S110,"Sub"))))</f>
        <v/>
      </c>
      <c r="B110" s="62" t="n"/>
      <c r="C110" s="63" t="n"/>
      <c r="D110" s="62" t="n"/>
      <c r="E110" s="64" t="n"/>
      <c r="F110" s="64" t="n"/>
      <c r="G110" s="65" t="n"/>
      <c r="H110" s="66" t="n"/>
      <c r="I110" s="66" t="n"/>
      <c r="J110" s="66" t="n"/>
      <c r="K110" s="66" t="n"/>
      <c r="L110" s="67">
        <f>IF(NOT((COUNTA($B110:$K110)+COUNTA($N110))&gt;0),"",IF(N($T110)&gt;0,$AB110,IFERROR(LOOKUP(2,1/(H110:K110&lt;&gt;""),H110:K110),0)))</f>
        <v/>
      </c>
      <c r="M110" s="61">
        <f>IF(L110="","",IF(L110&gt;=1,"Completado",IF(L110&gt;0,"En curso","Pendiente")))</f>
        <v/>
      </c>
      <c r="N110" s="62" t="n"/>
      <c r="O110" s="68">
        <f>IF(NOT((COUNTA($B110:$K110)+COUNTA($N110))&gt;0),"",IF((IF(AND($S110="Macro",$B110=""),"Macroactividad vacía"&amp;" · ","")&amp;IF(AND($B110&lt;&gt;"",$C110&lt;&gt;""),"Escriba la subactividad en otra fila, debajo de su macroactividad"&amp;" · ","")&amp;IF(AND($S110="Sub",N($R110)=0),"Subactividad sin macroactividad arriba"&amp;" · ","")&amp;IF($D110="","Sin responsable"&amp;" · ","")&amp;IF($E110="","Sin fecha de inicio"&amp;" · ","")&amp;IF($F110="","Sin fecha límite"&amp;" · ","")&amp;IF(OR(AND($E110&lt;&gt;"",NOT(ISNUMBER($E110))),AND($F110&lt;&gt;"",NOT(ISNUMBER($F110)))),"Fecha no válida"&amp;" · ","")&amp;IF(AND(ISNUMBER($E110),ISNUMBER($F110),$E110&gt;$F110),"Inicio posterior a fecha límite"&amp;" · ","")&amp;IF(AND($S110="Macro",$G110=""),"Peso vacío"&amp;" · ","")&amp;IF(AND($S110="Macro",$G110&lt;&gt;"",OR(NOT(ISNUMBER($G110)),$G110&lt;=0,$G110&gt;1)),"Peso fuera de rango"&amp;" · ","")&amp;IF(AND($S110="Sub",$G110&lt;&gt;""),"Las subactividades no llevan peso"&amp;" · ","")&amp;IF(AND($S110="Macro",ABS(SUMIFS($G$5:$G$1000,$P$5:$P$1000,$P110,$S$5:$S$1000,"Macro")-1)&gt;0.0001),"Pesos del mes suman "&amp;TEXT(SUMIFS($G$5:$G$1000,$P$5:$P$1000,$P110,$S$5:$S$1000,"Macro"),"0%")&amp;" · ","")&amp;IF(AND(N($T110)&gt;0,COUNT($H110:$K110)&gt;0),"Con subactividades: deje vacías las semanas (se calculan solas)"&amp;" · ","")&amp;IF((COUNTIF($H110:$K110,"&gt;1")+COUNTIF($H110:$K110,"&lt;0")+COUNTA($H110:$K110)-COUNT($H110:$K110))&gt;0,"Avance fuera de rango 0-100%"&amp;" · ","")&amp;IF(OR(AND($I110&lt;&gt;"",$I110&lt;$H110),AND($J110&lt;&gt;"",$J110&lt;MAX($H110:$I110)),AND($K110&lt;&gt;"",$K110&lt;MAX($H110:$J110))),"Avance semanal decreciente"&amp;" · ","")&amp;IF(AND(ISNUMBER($F110),$F110&lt;FechaRef,N($L110)&lt;1),"Vencida"&amp;" · ","")&amp;IF(AND(ObsObligatoria="Sí",ISNUMBER($F110),$F110&lt;FechaRef,N($L110)&lt;1,$N110=""),"Vencida sin observación"&amp;" · ",""))="","✔ OK","⚠ "&amp;LEFT(IF(AND($S110="Macro",$B110=""),"Macroactividad vacía"&amp;" · ","")&amp;IF(AND($B110&lt;&gt;"",$C110&lt;&gt;""),"Escriba la subactividad en otra fila, debajo de su macroactividad"&amp;" · ","")&amp;IF(AND($S110="Sub",N($R110)=0),"Subactividad sin macroactividad arriba"&amp;" · ","")&amp;IF($D110="","Sin responsable"&amp;" · ","")&amp;IF($E110="","Sin fecha de inicio"&amp;" · ","")&amp;IF($F110="","Sin fecha límite"&amp;" · ","")&amp;IF(OR(AND($E110&lt;&gt;"",NOT(ISNUMBER($E110))),AND($F110&lt;&gt;"",NOT(ISNUMBER($F110)))),"Fecha no válida"&amp;" · ","")&amp;IF(AND(ISNUMBER($E110),ISNUMBER($F110),$E110&gt;$F110),"Inicio posterior a fecha límite"&amp;" · ","")&amp;IF(AND($S110="Macro",$G110=""),"Peso vacío"&amp;" · ","")&amp;IF(AND($S110="Macro",$G110&lt;&gt;"",OR(NOT(ISNUMBER($G110)),$G110&lt;=0,$G110&gt;1)),"Peso fuera de rango"&amp;" · ","")&amp;IF(AND($S110="Sub",$G110&lt;&gt;""),"Las subactividades no llevan peso"&amp;" · ","")&amp;IF(AND($S110="Macro",ABS(SUMIFS($G$5:$G$1000,$P$5:$P$1000,$P110,$S$5:$S$1000,"Macro")-1)&gt;0.0001),"Pesos del mes suman "&amp;TEXT(SUMIFS($G$5:$G$1000,$P$5:$P$1000,$P110,$S$5:$S$1000,"Macro"),"0%")&amp;" · ","")&amp;IF(AND(N($T110)&gt;0,COUNT($H110:$K110)&gt;0),"Con subactividades: deje vacías las semanas (se calculan solas)"&amp;" · ","")&amp;IF((COUNTIF($H110:$K110,"&gt;1")+COUNTIF($H110:$K110,"&lt;0")+COUNTA($H110:$K110)-COUNT($H110:$K110))&gt;0,"Avance fuera de rango 0-100%"&amp;" · ","")&amp;IF(OR(AND($I110&lt;&gt;"",$I110&lt;$H110),AND($J110&lt;&gt;"",$J110&lt;MAX($H110:$I110)),AND($K110&lt;&gt;"",$K110&lt;MAX($H110:$J110))),"Avance semanal decreciente"&amp;" · ","")&amp;IF(AND(ISNUMBER($F110),$F110&lt;FechaRef,N($L110)&lt;1),"Vencida"&amp;" · ","")&amp;IF(AND(ObsObligatoria="Sí",ISNUMBER($F110),$F110&lt;FechaRef,N($L110)&lt;1,$N110=""),"Vencida sin observación"&amp;" · ",""),LEN(IF(AND($S110="Macro",$B110=""),"Macroactividad vacía"&amp;" · ","")&amp;IF(AND($B110&lt;&gt;"",$C110&lt;&gt;""),"Escriba la subactividad en otra fila, debajo de su macroactividad"&amp;" · ","")&amp;IF(AND($S110="Sub",N($R110)=0),"Subactividad sin macroactividad arriba"&amp;" · ","")&amp;IF($D110="","Sin responsable"&amp;" · ","")&amp;IF($E110="","Sin fecha de inicio"&amp;" · ","")&amp;IF($F110="","Sin fecha límite"&amp;" · ","")&amp;IF(OR(AND($E110&lt;&gt;"",NOT(ISNUMBER($E110))),AND($F110&lt;&gt;"",NOT(ISNUMBER($F110)))),"Fecha no válida"&amp;" · ","")&amp;IF(AND(ISNUMBER($E110),ISNUMBER($F110),$E110&gt;$F110),"Inicio posterior a fecha límite"&amp;" · ","")&amp;IF(AND($S110="Macro",$G110=""),"Peso vacío"&amp;" · ","")&amp;IF(AND($S110="Macro",$G110&lt;&gt;"",OR(NOT(ISNUMBER($G110)),$G110&lt;=0,$G110&gt;1)),"Peso fuera de rango"&amp;" · ","")&amp;IF(AND($S110="Sub",$G110&lt;&gt;""),"Las subactividades no llevan peso"&amp;" · ","")&amp;IF(AND($S110="Macro",ABS(SUMIFS($G$5:$G$1000,$P$5:$P$1000,$P110,$S$5:$S$1000,"Macro")-1)&gt;0.0001),"Pesos del mes suman "&amp;TEXT(SUMIFS($G$5:$G$1000,$P$5:$P$1000,$P110,$S$5:$S$1000,"Macro"),"0%")&amp;" · ","")&amp;IF(AND(N($T110)&gt;0,COUNT($H110:$K110)&gt;0),"Con subactividades: deje vacías las semanas (se calculan solas)"&amp;" · ","")&amp;IF((COUNTIF($H110:$K110,"&gt;1")+COUNTIF($H110:$K110,"&lt;0")+COUNTA($H110:$K110)-COUNT($H110:$K110))&gt;0,"Avance fuera de rango 0-100%"&amp;" · ","")&amp;IF(OR(AND($I110&lt;&gt;"",$I110&lt;$H110),AND($J110&lt;&gt;"",$J110&lt;MAX($H110:$I110)),AND($K110&lt;&gt;"",$K110&lt;MAX($H110:$J110))),"Avance semanal decreciente"&amp;" · ","")&amp;IF(AND(ISNUMBER($F110),$F110&lt;FechaRef,N($L110)&lt;1),"Vencida"&amp;" · ","")&amp;IF(AND(ObsObligatoria="Sí",ISNUMBER($F110),$F110&lt;FechaRef,N($L110)&lt;1,$N110=""),"Vencida sin observación"&amp;" · ",""))-3)))</f>
        <v/>
      </c>
      <c r="P110" s="69">
        <f>IF(NOT((COUNTA($B110:$K110)+COUNTA($N110))&gt;0),"",IF(AND($S110="Sub",N($R110)&gt;0),IF(ISNUMBER(INDEX($E$5:$E$1000,$R110-4)),DATE(YEAR(INDEX($E$5:$E$1000,$R110-4)),MONTH(INDEX($E$5:$E$1000,$R110-4)),1),IF(ISNUMBER(INDEX($F$5:$F$1000,$R110-4)),DATE(YEAR(INDEX($F$5:$F$1000,$R110-4)),MONTH(INDEX($F$5:$F$1000,$R110-4)),1),MesCiclo)),IF(ISNUMBER($E110),DATE(YEAR($E110),MONTH($E110),1),IF(ISNUMBER($F110),DATE(YEAR($F110),MONTH($F110),1),MesCiclo))))</f>
        <v/>
      </c>
      <c r="Q110" s="70">
        <f>IF(OR($P110="",$P110&lt;&gt;MesCiclo),"",COUNTIF($P$5:$P110,MesCiclo))</f>
        <v/>
      </c>
      <c r="R110" s="70">
        <f>IF($S110="","",IF($S110="Macro",ROW(),IFERROR(LOOKUP(2,1/($S$5:$S110="Macro"),ROW($S$5:$S110)),0)))</f>
        <v/>
      </c>
      <c r="S110" s="70">
        <f>IF(NOT((COUNTA($B110:$K110)+COUNTA($N110))&gt;0),"",IF($B110&lt;&gt;"","Macro",IF($C110&lt;&gt;"","Sub","Macro")))</f>
        <v/>
      </c>
      <c r="T110" s="70">
        <f>IF($S110="Macro",COUNTIFS($R$5:$R$1000,ROW(),$S$5:$S$1000,"Sub"),"")</f>
        <v/>
      </c>
      <c r="U110" s="70">
        <f>IF($S110="","",IF(ISNUMBER($H110),$H110,0))</f>
        <v/>
      </c>
      <c r="V110" s="70">
        <f>IF($S110="","",IF(ISNUMBER($I110),$I110,$U110))</f>
        <v/>
      </c>
      <c r="W110" s="70">
        <f>IF($S110="","",IF(ISNUMBER($J110),$J110,$V110))</f>
        <v/>
      </c>
      <c r="X110" s="70">
        <f>IF($S110="","",IF(ISNUMBER($K110),$K110,$W110))</f>
        <v/>
      </c>
      <c r="Y110" s="70">
        <f>IF($S110="","",IF(N($T110)&gt;0,AVERAGEIFS($U$5:$U$1000,$R$5:$R$1000,ROW(),$S$5:$S$1000,"Sub"),$U110))</f>
        <v/>
      </c>
      <c r="Z110" s="70">
        <f>IF($S110="","",IF(N($T110)&gt;0,AVERAGEIFS($V$5:$V$1000,$R$5:$R$1000,ROW(),$S$5:$S$1000,"Sub"),$V110))</f>
        <v/>
      </c>
      <c r="AA110" s="70">
        <f>IF($S110="","",IF(N($T110)&gt;0,AVERAGEIFS($W$5:$W$1000,$R$5:$R$1000,ROW(),$S$5:$S$1000,"Sub"),$W110))</f>
        <v/>
      </c>
      <c r="AB110" s="70">
        <f>IF($S110="","",IF(N($T110)&gt;0,AVERAGEIFS($X$5:$X$1000,$R$5:$R$1000,ROW(),$S$5:$S$1000,"Sub"),$X110))</f>
        <v/>
      </c>
    </row>
    <row r="111">
      <c r="A111" s="61">
        <f>IF(NOT((COUNTA($B111:$K111)+COUNTA($N111))&gt;0),"",IF($S111="Macro",COUNTIFS($S$5:$S111,"Macro",$P$5:$P111,$P111),IF(N($R111)=0,"?",COUNTIFS(INDEX($S$5:$S$1000,1):INDEX($S$5:$S$1000,$R111-4),"Macro",INDEX($P$5:$P$1000,1):INDEX($P$5:$P$1000,$R111-4),INDEX($P$5:$P$1000,$R111-4))&amp;"."&amp;COUNTIFS($R$5:$R111,$R111,$S$5:$S111,"Sub"))))</f>
        <v/>
      </c>
      <c r="B111" s="62" t="n"/>
      <c r="C111" s="63" t="n"/>
      <c r="D111" s="62" t="n"/>
      <c r="E111" s="64" t="n"/>
      <c r="F111" s="64" t="n"/>
      <c r="G111" s="65" t="n"/>
      <c r="H111" s="66" t="n"/>
      <c r="I111" s="66" t="n"/>
      <c r="J111" s="66" t="n"/>
      <c r="K111" s="66" t="n"/>
      <c r="L111" s="67">
        <f>IF(NOT((COUNTA($B111:$K111)+COUNTA($N111))&gt;0),"",IF(N($T111)&gt;0,$AB111,IFERROR(LOOKUP(2,1/(H111:K111&lt;&gt;""),H111:K111),0)))</f>
        <v/>
      </c>
      <c r="M111" s="61">
        <f>IF(L111="","",IF(L111&gt;=1,"Completado",IF(L111&gt;0,"En curso","Pendiente")))</f>
        <v/>
      </c>
      <c r="N111" s="62" t="n"/>
      <c r="O111" s="68">
        <f>IF(NOT((COUNTA($B111:$K111)+COUNTA($N111))&gt;0),"",IF((IF(AND($S111="Macro",$B111=""),"Macroactividad vacía"&amp;" · ","")&amp;IF(AND($B111&lt;&gt;"",$C111&lt;&gt;""),"Escriba la subactividad en otra fila, debajo de su macroactividad"&amp;" · ","")&amp;IF(AND($S111="Sub",N($R111)=0),"Subactividad sin macroactividad arriba"&amp;" · ","")&amp;IF($D111="","Sin responsable"&amp;" · ","")&amp;IF($E111="","Sin fecha de inicio"&amp;" · ","")&amp;IF($F111="","Sin fecha límite"&amp;" · ","")&amp;IF(OR(AND($E111&lt;&gt;"",NOT(ISNUMBER($E111))),AND($F111&lt;&gt;"",NOT(ISNUMBER($F111)))),"Fecha no válida"&amp;" · ","")&amp;IF(AND(ISNUMBER($E111),ISNUMBER($F111),$E111&gt;$F111),"Inicio posterior a fecha límite"&amp;" · ","")&amp;IF(AND($S111="Macro",$G111=""),"Peso vacío"&amp;" · ","")&amp;IF(AND($S111="Macro",$G111&lt;&gt;"",OR(NOT(ISNUMBER($G111)),$G111&lt;=0,$G111&gt;1)),"Peso fuera de rango"&amp;" · ","")&amp;IF(AND($S111="Sub",$G111&lt;&gt;""),"Las subactividades no llevan peso"&amp;" · ","")&amp;IF(AND($S111="Macro",ABS(SUMIFS($G$5:$G$1000,$P$5:$P$1000,$P111,$S$5:$S$1000,"Macro")-1)&gt;0.0001),"Pesos del mes suman "&amp;TEXT(SUMIFS($G$5:$G$1000,$P$5:$P$1000,$P111,$S$5:$S$1000,"Macro"),"0%")&amp;" · ","")&amp;IF(AND(N($T111)&gt;0,COUNT($H111:$K111)&gt;0),"Con subactividades: deje vacías las semanas (se calculan solas)"&amp;" · ","")&amp;IF((COUNTIF($H111:$K111,"&gt;1")+COUNTIF($H111:$K111,"&lt;0")+COUNTA($H111:$K111)-COUNT($H111:$K111))&gt;0,"Avance fuera de rango 0-100%"&amp;" · ","")&amp;IF(OR(AND($I111&lt;&gt;"",$I111&lt;$H111),AND($J111&lt;&gt;"",$J111&lt;MAX($H111:$I111)),AND($K111&lt;&gt;"",$K111&lt;MAX($H111:$J111))),"Avance semanal decreciente"&amp;" · ","")&amp;IF(AND(ISNUMBER($F111),$F111&lt;FechaRef,N($L111)&lt;1),"Vencida"&amp;" · ","")&amp;IF(AND(ObsObligatoria="Sí",ISNUMBER($F111),$F111&lt;FechaRef,N($L111)&lt;1,$N111=""),"Vencida sin observación"&amp;" · ",""))="","✔ OK","⚠ "&amp;LEFT(IF(AND($S111="Macro",$B111=""),"Macroactividad vacía"&amp;" · ","")&amp;IF(AND($B111&lt;&gt;"",$C111&lt;&gt;""),"Escriba la subactividad en otra fila, debajo de su macroactividad"&amp;" · ","")&amp;IF(AND($S111="Sub",N($R111)=0),"Subactividad sin macroactividad arriba"&amp;" · ","")&amp;IF($D111="","Sin responsable"&amp;" · ","")&amp;IF($E111="","Sin fecha de inicio"&amp;" · ","")&amp;IF($F111="","Sin fecha límite"&amp;" · ","")&amp;IF(OR(AND($E111&lt;&gt;"",NOT(ISNUMBER($E111))),AND($F111&lt;&gt;"",NOT(ISNUMBER($F111)))),"Fecha no válida"&amp;" · ","")&amp;IF(AND(ISNUMBER($E111),ISNUMBER($F111),$E111&gt;$F111),"Inicio posterior a fecha límite"&amp;" · ","")&amp;IF(AND($S111="Macro",$G111=""),"Peso vacío"&amp;" · ","")&amp;IF(AND($S111="Macro",$G111&lt;&gt;"",OR(NOT(ISNUMBER($G111)),$G111&lt;=0,$G111&gt;1)),"Peso fuera de rango"&amp;" · ","")&amp;IF(AND($S111="Sub",$G111&lt;&gt;""),"Las subactividades no llevan peso"&amp;" · ","")&amp;IF(AND($S111="Macro",ABS(SUMIFS($G$5:$G$1000,$P$5:$P$1000,$P111,$S$5:$S$1000,"Macro")-1)&gt;0.0001),"Pesos del mes suman "&amp;TEXT(SUMIFS($G$5:$G$1000,$P$5:$P$1000,$P111,$S$5:$S$1000,"Macro"),"0%")&amp;" · ","")&amp;IF(AND(N($T111)&gt;0,COUNT($H111:$K111)&gt;0),"Con subactividades: deje vacías las semanas (se calculan solas)"&amp;" · ","")&amp;IF((COUNTIF($H111:$K111,"&gt;1")+COUNTIF($H111:$K111,"&lt;0")+COUNTA($H111:$K111)-COUNT($H111:$K111))&gt;0,"Avance fuera de rango 0-100%"&amp;" · ","")&amp;IF(OR(AND($I111&lt;&gt;"",$I111&lt;$H111),AND($J111&lt;&gt;"",$J111&lt;MAX($H111:$I111)),AND($K111&lt;&gt;"",$K111&lt;MAX($H111:$J111))),"Avance semanal decreciente"&amp;" · ","")&amp;IF(AND(ISNUMBER($F111),$F111&lt;FechaRef,N($L111)&lt;1),"Vencida"&amp;" · ","")&amp;IF(AND(ObsObligatoria="Sí",ISNUMBER($F111),$F111&lt;FechaRef,N($L111)&lt;1,$N111=""),"Vencida sin observación"&amp;" · ",""),LEN(IF(AND($S111="Macro",$B111=""),"Macroactividad vacía"&amp;" · ","")&amp;IF(AND($B111&lt;&gt;"",$C111&lt;&gt;""),"Escriba la subactividad en otra fila, debajo de su macroactividad"&amp;" · ","")&amp;IF(AND($S111="Sub",N($R111)=0),"Subactividad sin macroactividad arriba"&amp;" · ","")&amp;IF($D111="","Sin responsable"&amp;" · ","")&amp;IF($E111="","Sin fecha de inicio"&amp;" · ","")&amp;IF($F111="","Sin fecha límite"&amp;" · ","")&amp;IF(OR(AND($E111&lt;&gt;"",NOT(ISNUMBER($E111))),AND($F111&lt;&gt;"",NOT(ISNUMBER($F111)))),"Fecha no válida"&amp;" · ","")&amp;IF(AND(ISNUMBER($E111),ISNUMBER($F111),$E111&gt;$F111),"Inicio posterior a fecha límite"&amp;" · ","")&amp;IF(AND($S111="Macro",$G111=""),"Peso vacío"&amp;" · ","")&amp;IF(AND($S111="Macro",$G111&lt;&gt;"",OR(NOT(ISNUMBER($G111)),$G111&lt;=0,$G111&gt;1)),"Peso fuera de rango"&amp;" · ","")&amp;IF(AND($S111="Sub",$G111&lt;&gt;""),"Las subactividades no llevan peso"&amp;" · ","")&amp;IF(AND($S111="Macro",ABS(SUMIFS($G$5:$G$1000,$P$5:$P$1000,$P111,$S$5:$S$1000,"Macro")-1)&gt;0.0001),"Pesos del mes suman "&amp;TEXT(SUMIFS($G$5:$G$1000,$P$5:$P$1000,$P111,$S$5:$S$1000,"Macro"),"0%")&amp;" · ","")&amp;IF(AND(N($T111)&gt;0,COUNT($H111:$K111)&gt;0),"Con subactividades: deje vacías las semanas (se calculan solas)"&amp;" · ","")&amp;IF((COUNTIF($H111:$K111,"&gt;1")+COUNTIF($H111:$K111,"&lt;0")+COUNTA($H111:$K111)-COUNT($H111:$K111))&gt;0,"Avance fuera de rango 0-100%"&amp;" · ","")&amp;IF(OR(AND($I111&lt;&gt;"",$I111&lt;$H111),AND($J111&lt;&gt;"",$J111&lt;MAX($H111:$I111)),AND($K111&lt;&gt;"",$K111&lt;MAX($H111:$J111))),"Avance semanal decreciente"&amp;" · ","")&amp;IF(AND(ISNUMBER($F111),$F111&lt;FechaRef,N($L111)&lt;1),"Vencida"&amp;" · ","")&amp;IF(AND(ObsObligatoria="Sí",ISNUMBER($F111),$F111&lt;FechaRef,N($L111)&lt;1,$N111=""),"Vencida sin observación"&amp;" · ",""))-3)))</f>
        <v/>
      </c>
      <c r="P111" s="69">
        <f>IF(NOT((COUNTA($B111:$K111)+COUNTA($N111))&gt;0),"",IF(AND($S111="Sub",N($R111)&gt;0),IF(ISNUMBER(INDEX($E$5:$E$1000,$R111-4)),DATE(YEAR(INDEX($E$5:$E$1000,$R111-4)),MONTH(INDEX($E$5:$E$1000,$R111-4)),1),IF(ISNUMBER(INDEX($F$5:$F$1000,$R111-4)),DATE(YEAR(INDEX($F$5:$F$1000,$R111-4)),MONTH(INDEX($F$5:$F$1000,$R111-4)),1),MesCiclo)),IF(ISNUMBER($E111),DATE(YEAR($E111),MONTH($E111),1),IF(ISNUMBER($F111),DATE(YEAR($F111),MONTH($F111),1),MesCiclo))))</f>
        <v/>
      </c>
      <c r="Q111" s="70">
        <f>IF(OR($P111="",$P111&lt;&gt;MesCiclo),"",COUNTIF($P$5:$P111,MesCiclo))</f>
        <v/>
      </c>
      <c r="R111" s="70">
        <f>IF($S111="","",IF($S111="Macro",ROW(),IFERROR(LOOKUP(2,1/($S$5:$S111="Macro"),ROW($S$5:$S111)),0)))</f>
        <v/>
      </c>
      <c r="S111" s="70">
        <f>IF(NOT((COUNTA($B111:$K111)+COUNTA($N111))&gt;0),"",IF($B111&lt;&gt;"","Macro",IF($C111&lt;&gt;"","Sub","Macro")))</f>
        <v/>
      </c>
      <c r="T111" s="70">
        <f>IF($S111="Macro",COUNTIFS($R$5:$R$1000,ROW(),$S$5:$S$1000,"Sub"),"")</f>
        <v/>
      </c>
      <c r="U111" s="70">
        <f>IF($S111="","",IF(ISNUMBER($H111),$H111,0))</f>
        <v/>
      </c>
      <c r="V111" s="70">
        <f>IF($S111="","",IF(ISNUMBER($I111),$I111,$U111))</f>
        <v/>
      </c>
      <c r="W111" s="70">
        <f>IF($S111="","",IF(ISNUMBER($J111),$J111,$V111))</f>
        <v/>
      </c>
      <c r="X111" s="70">
        <f>IF($S111="","",IF(ISNUMBER($K111),$K111,$W111))</f>
        <v/>
      </c>
      <c r="Y111" s="70">
        <f>IF($S111="","",IF(N($T111)&gt;0,AVERAGEIFS($U$5:$U$1000,$R$5:$R$1000,ROW(),$S$5:$S$1000,"Sub"),$U111))</f>
        <v/>
      </c>
      <c r="Z111" s="70">
        <f>IF($S111="","",IF(N($T111)&gt;0,AVERAGEIFS($V$5:$V$1000,$R$5:$R$1000,ROW(),$S$5:$S$1000,"Sub"),$V111))</f>
        <v/>
      </c>
      <c r="AA111" s="70">
        <f>IF($S111="","",IF(N($T111)&gt;0,AVERAGEIFS($W$5:$W$1000,$R$5:$R$1000,ROW(),$S$5:$S$1000,"Sub"),$W111))</f>
        <v/>
      </c>
      <c r="AB111" s="70">
        <f>IF($S111="","",IF(N($T111)&gt;0,AVERAGEIFS($X$5:$X$1000,$R$5:$R$1000,ROW(),$S$5:$S$1000,"Sub"),$X111))</f>
        <v/>
      </c>
    </row>
    <row r="112">
      <c r="A112" s="61">
        <f>IF(NOT((COUNTA($B112:$K112)+COUNTA($N112))&gt;0),"",IF($S112="Macro",COUNTIFS($S$5:$S112,"Macro",$P$5:$P112,$P112),IF(N($R112)=0,"?",COUNTIFS(INDEX($S$5:$S$1000,1):INDEX($S$5:$S$1000,$R112-4),"Macro",INDEX($P$5:$P$1000,1):INDEX($P$5:$P$1000,$R112-4),INDEX($P$5:$P$1000,$R112-4))&amp;"."&amp;COUNTIFS($R$5:$R112,$R112,$S$5:$S112,"Sub"))))</f>
        <v/>
      </c>
      <c r="B112" s="62" t="n"/>
      <c r="C112" s="63" t="n"/>
      <c r="D112" s="62" t="n"/>
      <c r="E112" s="64" t="n"/>
      <c r="F112" s="64" t="n"/>
      <c r="G112" s="65" t="n"/>
      <c r="H112" s="66" t="n"/>
      <c r="I112" s="66" t="n"/>
      <c r="J112" s="66" t="n"/>
      <c r="K112" s="66" t="n"/>
      <c r="L112" s="67">
        <f>IF(NOT((COUNTA($B112:$K112)+COUNTA($N112))&gt;0),"",IF(N($T112)&gt;0,$AB112,IFERROR(LOOKUP(2,1/(H112:K112&lt;&gt;""),H112:K112),0)))</f>
        <v/>
      </c>
      <c r="M112" s="61">
        <f>IF(L112="","",IF(L112&gt;=1,"Completado",IF(L112&gt;0,"En curso","Pendiente")))</f>
        <v/>
      </c>
      <c r="N112" s="62" t="n"/>
      <c r="O112" s="68">
        <f>IF(NOT((COUNTA($B112:$K112)+COUNTA($N112))&gt;0),"",IF((IF(AND($S112="Macro",$B112=""),"Macroactividad vacía"&amp;" · ","")&amp;IF(AND($B112&lt;&gt;"",$C112&lt;&gt;""),"Escriba la subactividad en otra fila, debajo de su macroactividad"&amp;" · ","")&amp;IF(AND($S112="Sub",N($R112)=0),"Subactividad sin macroactividad arriba"&amp;" · ","")&amp;IF($D112="","Sin responsable"&amp;" · ","")&amp;IF($E112="","Sin fecha de inicio"&amp;" · ","")&amp;IF($F112="","Sin fecha límite"&amp;" · ","")&amp;IF(OR(AND($E112&lt;&gt;"",NOT(ISNUMBER($E112))),AND($F112&lt;&gt;"",NOT(ISNUMBER($F112)))),"Fecha no válida"&amp;" · ","")&amp;IF(AND(ISNUMBER($E112),ISNUMBER($F112),$E112&gt;$F112),"Inicio posterior a fecha límite"&amp;" · ","")&amp;IF(AND($S112="Macro",$G112=""),"Peso vacío"&amp;" · ","")&amp;IF(AND($S112="Macro",$G112&lt;&gt;"",OR(NOT(ISNUMBER($G112)),$G112&lt;=0,$G112&gt;1)),"Peso fuera de rango"&amp;" · ","")&amp;IF(AND($S112="Sub",$G112&lt;&gt;""),"Las subactividades no llevan peso"&amp;" · ","")&amp;IF(AND($S112="Macro",ABS(SUMIFS($G$5:$G$1000,$P$5:$P$1000,$P112,$S$5:$S$1000,"Macro")-1)&gt;0.0001),"Pesos del mes suman "&amp;TEXT(SUMIFS($G$5:$G$1000,$P$5:$P$1000,$P112,$S$5:$S$1000,"Macro"),"0%")&amp;" · ","")&amp;IF(AND(N($T112)&gt;0,COUNT($H112:$K112)&gt;0),"Con subactividades: deje vacías las semanas (se calculan solas)"&amp;" · ","")&amp;IF((COUNTIF($H112:$K112,"&gt;1")+COUNTIF($H112:$K112,"&lt;0")+COUNTA($H112:$K112)-COUNT($H112:$K112))&gt;0,"Avance fuera de rango 0-100%"&amp;" · ","")&amp;IF(OR(AND($I112&lt;&gt;"",$I112&lt;$H112),AND($J112&lt;&gt;"",$J112&lt;MAX($H112:$I112)),AND($K112&lt;&gt;"",$K112&lt;MAX($H112:$J112))),"Avance semanal decreciente"&amp;" · ","")&amp;IF(AND(ISNUMBER($F112),$F112&lt;FechaRef,N($L112)&lt;1),"Vencida"&amp;" · ","")&amp;IF(AND(ObsObligatoria="Sí",ISNUMBER($F112),$F112&lt;FechaRef,N($L112)&lt;1,$N112=""),"Vencida sin observación"&amp;" · ",""))="","✔ OK","⚠ "&amp;LEFT(IF(AND($S112="Macro",$B112=""),"Macroactividad vacía"&amp;" · ","")&amp;IF(AND($B112&lt;&gt;"",$C112&lt;&gt;""),"Escriba la subactividad en otra fila, debajo de su macroactividad"&amp;" · ","")&amp;IF(AND($S112="Sub",N($R112)=0),"Subactividad sin macroactividad arriba"&amp;" · ","")&amp;IF($D112="","Sin responsable"&amp;" · ","")&amp;IF($E112="","Sin fecha de inicio"&amp;" · ","")&amp;IF($F112="","Sin fecha límite"&amp;" · ","")&amp;IF(OR(AND($E112&lt;&gt;"",NOT(ISNUMBER($E112))),AND($F112&lt;&gt;"",NOT(ISNUMBER($F112)))),"Fecha no válida"&amp;" · ","")&amp;IF(AND(ISNUMBER($E112),ISNUMBER($F112),$E112&gt;$F112),"Inicio posterior a fecha límite"&amp;" · ","")&amp;IF(AND($S112="Macro",$G112=""),"Peso vacío"&amp;" · ","")&amp;IF(AND($S112="Macro",$G112&lt;&gt;"",OR(NOT(ISNUMBER($G112)),$G112&lt;=0,$G112&gt;1)),"Peso fuera de rango"&amp;" · ","")&amp;IF(AND($S112="Sub",$G112&lt;&gt;""),"Las subactividades no llevan peso"&amp;" · ","")&amp;IF(AND($S112="Macro",ABS(SUMIFS($G$5:$G$1000,$P$5:$P$1000,$P112,$S$5:$S$1000,"Macro")-1)&gt;0.0001),"Pesos del mes suman "&amp;TEXT(SUMIFS($G$5:$G$1000,$P$5:$P$1000,$P112,$S$5:$S$1000,"Macro"),"0%")&amp;" · ","")&amp;IF(AND(N($T112)&gt;0,COUNT($H112:$K112)&gt;0),"Con subactividades: deje vacías las semanas (se calculan solas)"&amp;" · ","")&amp;IF((COUNTIF($H112:$K112,"&gt;1")+COUNTIF($H112:$K112,"&lt;0")+COUNTA($H112:$K112)-COUNT($H112:$K112))&gt;0,"Avance fuera de rango 0-100%"&amp;" · ","")&amp;IF(OR(AND($I112&lt;&gt;"",$I112&lt;$H112),AND($J112&lt;&gt;"",$J112&lt;MAX($H112:$I112)),AND($K112&lt;&gt;"",$K112&lt;MAX($H112:$J112))),"Avance semanal decreciente"&amp;" · ","")&amp;IF(AND(ISNUMBER($F112),$F112&lt;FechaRef,N($L112)&lt;1),"Vencida"&amp;" · ","")&amp;IF(AND(ObsObligatoria="Sí",ISNUMBER($F112),$F112&lt;FechaRef,N($L112)&lt;1,$N112=""),"Vencida sin observación"&amp;" · ",""),LEN(IF(AND($S112="Macro",$B112=""),"Macroactividad vacía"&amp;" · ","")&amp;IF(AND($B112&lt;&gt;"",$C112&lt;&gt;""),"Escriba la subactividad en otra fila, debajo de su macroactividad"&amp;" · ","")&amp;IF(AND($S112="Sub",N($R112)=0),"Subactividad sin macroactividad arriba"&amp;" · ","")&amp;IF($D112="","Sin responsable"&amp;" · ","")&amp;IF($E112="","Sin fecha de inicio"&amp;" · ","")&amp;IF($F112="","Sin fecha límite"&amp;" · ","")&amp;IF(OR(AND($E112&lt;&gt;"",NOT(ISNUMBER($E112))),AND($F112&lt;&gt;"",NOT(ISNUMBER($F112)))),"Fecha no válida"&amp;" · ","")&amp;IF(AND(ISNUMBER($E112),ISNUMBER($F112),$E112&gt;$F112),"Inicio posterior a fecha límite"&amp;" · ","")&amp;IF(AND($S112="Macro",$G112=""),"Peso vacío"&amp;" · ","")&amp;IF(AND($S112="Macro",$G112&lt;&gt;"",OR(NOT(ISNUMBER($G112)),$G112&lt;=0,$G112&gt;1)),"Peso fuera de rango"&amp;" · ","")&amp;IF(AND($S112="Sub",$G112&lt;&gt;""),"Las subactividades no llevan peso"&amp;" · ","")&amp;IF(AND($S112="Macro",ABS(SUMIFS($G$5:$G$1000,$P$5:$P$1000,$P112,$S$5:$S$1000,"Macro")-1)&gt;0.0001),"Pesos del mes suman "&amp;TEXT(SUMIFS($G$5:$G$1000,$P$5:$P$1000,$P112,$S$5:$S$1000,"Macro"),"0%")&amp;" · ","")&amp;IF(AND(N($T112)&gt;0,COUNT($H112:$K112)&gt;0),"Con subactividades: deje vacías las semanas (se calculan solas)"&amp;" · ","")&amp;IF((COUNTIF($H112:$K112,"&gt;1")+COUNTIF($H112:$K112,"&lt;0")+COUNTA($H112:$K112)-COUNT($H112:$K112))&gt;0,"Avance fuera de rango 0-100%"&amp;" · ","")&amp;IF(OR(AND($I112&lt;&gt;"",$I112&lt;$H112),AND($J112&lt;&gt;"",$J112&lt;MAX($H112:$I112)),AND($K112&lt;&gt;"",$K112&lt;MAX($H112:$J112))),"Avance semanal decreciente"&amp;" · ","")&amp;IF(AND(ISNUMBER($F112),$F112&lt;FechaRef,N($L112)&lt;1),"Vencida"&amp;" · ","")&amp;IF(AND(ObsObligatoria="Sí",ISNUMBER($F112),$F112&lt;FechaRef,N($L112)&lt;1,$N112=""),"Vencida sin observación"&amp;" · ",""))-3)))</f>
        <v/>
      </c>
      <c r="P112" s="69">
        <f>IF(NOT((COUNTA($B112:$K112)+COUNTA($N112))&gt;0),"",IF(AND($S112="Sub",N($R112)&gt;0),IF(ISNUMBER(INDEX($E$5:$E$1000,$R112-4)),DATE(YEAR(INDEX($E$5:$E$1000,$R112-4)),MONTH(INDEX($E$5:$E$1000,$R112-4)),1),IF(ISNUMBER(INDEX($F$5:$F$1000,$R112-4)),DATE(YEAR(INDEX($F$5:$F$1000,$R112-4)),MONTH(INDEX($F$5:$F$1000,$R112-4)),1),MesCiclo)),IF(ISNUMBER($E112),DATE(YEAR($E112),MONTH($E112),1),IF(ISNUMBER($F112),DATE(YEAR($F112),MONTH($F112),1),MesCiclo))))</f>
        <v/>
      </c>
      <c r="Q112" s="70">
        <f>IF(OR($P112="",$P112&lt;&gt;MesCiclo),"",COUNTIF($P$5:$P112,MesCiclo))</f>
        <v/>
      </c>
      <c r="R112" s="70">
        <f>IF($S112="","",IF($S112="Macro",ROW(),IFERROR(LOOKUP(2,1/($S$5:$S112="Macro"),ROW($S$5:$S112)),0)))</f>
        <v/>
      </c>
      <c r="S112" s="70">
        <f>IF(NOT((COUNTA($B112:$K112)+COUNTA($N112))&gt;0),"",IF($B112&lt;&gt;"","Macro",IF($C112&lt;&gt;"","Sub","Macro")))</f>
        <v/>
      </c>
      <c r="T112" s="70">
        <f>IF($S112="Macro",COUNTIFS($R$5:$R$1000,ROW(),$S$5:$S$1000,"Sub"),"")</f>
        <v/>
      </c>
      <c r="U112" s="70">
        <f>IF($S112="","",IF(ISNUMBER($H112),$H112,0))</f>
        <v/>
      </c>
      <c r="V112" s="70">
        <f>IF($S112="","",IF(ISNUMBER($I112),$I112,$U112))</f>
        <v/>
      </c>
      <c r="W112" s="70">
        <f>IF($S112="","",IF(ISNUMBER($J112),$J112,$V112))</f>
        <v/>
      </c>
      <c r="X112" s="70">
        <f>IF($S112="","",IF(ISNUMBER($K112),$K112,$W112))</f>
        <v/>
      </c>
      <c r="Y112" s="70">
        <f>IF($S112="","",IF(N($T112)&gt;0,AVERAGEIFS($U$5:$U$1000,$R$5:$R$1000,ROW(),$S$5:$S$1000,"Sub"),$U112))</f>
        <v/>
      </c>
      <c r="Z112" s="70">
        <f>IF($S112="","",IF(N($T112)&gt;0,AVERAGEIFS($V$5:$V$1000,$R$5:$R$1000,ROW(),$S$5:$S$1000,"Sub"),$V112))</f>
        <v/>
      </c>
      <c r="AA112" s="70">
        <f>IF($S112="","",IF(N($T112)&gt;0,AVERAGEIFS($W$5:$W$1000,$R$5:$R$1000,ROW(),$S$5:$S$1000,"Sub"),$W112))</f>
        <v/>
      </c>
      <c r="AB112" s="70">
        <f>IF($S112="","",IF(N($T112)&gt;0,AVERAGEIFS($X$5:$X$1000,$R$5:$R$1000,ROW(),$S$5:$S$1000,"Sub"),$X112))</f>
        <v/>
      </c>
    </row>
    <row r="113">
      <c r="A113" s="61">
        <f>IF(NOT((COUNTA($B113:$K113)+COUNTA($N113))&gt;0),"",IF($S113="Macro",COUNTIFS($S$5:$S113,"Macro",$P$5:$P113,$P113),IF(N($R113)=0,"?",COUNTIFS(INDEX($S$5:$S$1000,1):INDEX($S$5:$S$1000,$R113-4),"Macro",INDEX($P$5:$P$1000,1):INDEX($P$5:$P$1000,$R113-4),INDEX($P$5:$P$1000,$R113-4))&amp;"."&amp;COUNTIFS($R$5:$R113,$R113,$S$5:$S113,"Sub"))))</f>
        <v/>
      </c>
      <c r="B113" s="62" t="n"/>
      <c r="C113" s="63" t="n"/>
      <c r="D113" s="62" t="n"/>
      <c r="E113" s="64" t="n"/>
      <c r="F113" s="64" t="n"/>
      <c r="G113" s="65" t="n"/>
      <c r="H113" s="66" t="n"/>
      <c r="I113" s="66" t="n"/>
      <c r="J113" s="66" t="n"/>
      <c r="K113" s="66" t="n"/>
      <c r="L113" s="67">
        <f>IF(NOT((COUNTA($B113:$K113)+COUNTA($N113))&gt;0),"",IF(N($T113)&gt;0,$AB113,IFERROR(LOOKUP(2,1/(H113:K113&lt;&gt;""),H113:K113),0)))</f>
        <v/>
      </c>
      <c r="M113" s="61">
        <f>IF(L113="","",IF(L113&gt;=1,"Completado",IF(L113&gt;0,"En curso","Pendiente")))</f>
        <v/>
      </c>
      <c r="N113" s="62" t="n"/>
      <c r="O113" s="68">
        <f>IF(NOT((COUNTA($B113:$K113)+COUNTA($N113))&gt;0),"",IF((IF(AND($S113="Macro",$B113=""),"Macroactividad vacía"&amp;" · ","")&amp;IF(AND($B113&lt;&gt;"",$C113&lt;&gt;""),"Escriba la subactividad en otra fila, debajo de su macroactividad"&amp;" · ","")&amp;IF(AND($S113="Sub",N($R113)=0),"Subactividad sin macroactividad arriba"&amp;" · ","")&amp;IF($D113="","Sin responsable"&amp;" · ","")&amp;IF($E113="","Sin fecha de inicio"&amp;" · ","")&amp;IF($F113="","Sin fecha límite"&amp;" · ","")&amp;IF(OR(AND($E113&lt;&gt;"",NOT(ISNUMBER($E113))),AND($F113&lt;&gt;"",NOT(ISNUMBER($F113)))),"Fecha no válida"&amp;" · ","")&amp;IF(AND(ISNUMBER($E113),ISNUMBER($F113),$E113&gt;$F113),"Inicio posterior a fecha límite"&amp;" · ","")&amp;IF(AND($S113="Macro",$G113=""),"Peso vacío"&amp;" · ","")&amp;IF(AND($S113="Macro",$G113&lt;&gt;"",OR(NOT(ISNUMBER($G113)),$G113&lt;=0,$G113&gt;1)),"Peso fuera de rango"&amp;" · ","")&amp;IF(AND($S113="Sub",$G113&lt;&gt;""),"Las subactividades no llevan peso"&amp;" · ","")&amp;IF(AND($S113="Macro",ABS(SUMIFS($G$5:$G$1000,$P$5:$P$1000,$P113,$S$5:$S$1000,"Macro")-1)&gt;0.0001),"Pesos del mes suman "&amp;TEXT(SUMIFS($G$5:$G$1000,$P$5:$P$1000,$P113,$S$5:$S$1000,"Macro"),"0%")&amp;" · ","")&amp;IF(AND(N($T113)&gt;0,COUNT($H113:$K113)&gt;0),"Con subactividades: deje vacías las semanas (se calculan solas)"&amp;" · ","")&amp;IF((COUNTIF($H113:$K113,"&gt;1")+COUNTIF($H113:$K113,"&lt;0")+COUNTA($H113:$K113)-COUNT($H113:$K113))&gt;0,"Avance fuera de rango 0-100%"&amp;" · ","")&amp;IF(OR(AND($I113&lt;&gt;"",$I113&lt;$H113),AND($J113&lt;&gt;"",$J113&lt;MAX($H113:$I113)),AND($K113&lt;&gt;"",$K113&lt;MAX($H113:$J113))),"Avance semanal decreciente"&amp;" · ","")&amp;IF(AND(ISNUMBER($F113),$F113&lt;FechaRef,N($L113)&lt;1),"Vencida"&amp;" · ","")&amp;IF(AND(ObsObligatoria="Sí",ISNUMBER($F113),$F113&lt;FechaRef,N($L113)&lt;1,$N113=""),"Vencida sin observación"&amp;" · ",""))="","✔ OK","⚠ "&amp;LEFT(IF(AND($S113="Macro",$B113=""),"Macroactividad vacía"&amp;" · ","")&amp;IF(AND($B113&lt;&gt;"",$C113&lt;&gt;""),"Escriba la subactividad en otra fila, debajo de su macroactividad"&amp;" · ","")&amp;IF(AND($S113="Sub",N($R113)=0),"Subactividad sin macroactividad arriba"&amp;" · ","")&amp;IF($D113="","Sin responsable"&amp;" · ","")&amp;IF($E113="","Sin fecha de inicio"&amp;" · ","")&amp;IF($F113="","Sin fecha límite"&amp;" · ","")&amp;IF(OR(AND($E113&lt;&gt;"",NOT(ISNUMBER($E113))),AND($F113&lt;&gt;"",NOT(ISNUMBER($F113)))),"Fecha no válida"&amp;" · ","")&amp;IF(AND(ISNUMBER($E113),ISNUMBER($F113),$E113&gt;$F113),"Inicio posterior a fecha límite"&amp;" · ","")&amp;IF(AND($S113="Macro",$G113=""),"Peso vacío"&amp;" · ","")&amp;IF(AND($S113="Macro",$G113&lt;&gt;"",OR(NOT(ISNUMBER($G113)),$G113&lt;=0,$G113&gt;1)),"Peso fuera de rango"&amp;" · ","")&amp;IF(AND($S113="Sub",$G113&lt;&gt;""),"Las subactividades no llevan peso"&amp;" · ","")&amp;IF(AND($S113="Macro",ABS(SUMIFS($G$5:$G$1000,$P$5:$P$1000,$P113,$S$5:$S$1000,"Macro")-1)&gt;0.0001),"Pesos del mes suman "&amp;TEXT(SUMIFS($G$5:$G$1000,$P$5:$P$1000,$P113,$S$5:$S$1000,"Macro"),"0%")&amp;" · ","")&amp;IF(AND(N($T113)&gt;0,COUNT($H113:$K113)&gt;0),"Con subactividades: deje vacías las semanas (se calculan solas)"&amp;" · ","")&amp;IF((COUNTIF($H113:$K113,"&gt;1")+COUNTIF($H113:$K113,"&lt;0")+COUNTA($H113:$K113)-COUNT($H113:$K113))&gt;0,"Avance fuera de rango 0-100%"&amp;" · ","")&amp;IF(OR(AND($I113&lt;&gt;"",$I113&lt;$H113),AND($J113&lt;&gt;"",$J113&lt;MAX($H113:$I113)),AND($K113&lt;&gt;"",$K113&lt;MAX($H113:$J113))),"Avance semanal decreciente"&amp;" · ","")&amp;IF(AND(ISNUMBER($F113),$F113&lt;FechaRef,N($L113)&lt;1),"Vencida"&amp;" · ","")&amp;IF(AND(ObsObligatoria="Sí",ISNUMBER($F113),$F113&lt;FechaRef,N($L113)&lt;1,$N113=""),"Vencida sin observación"&amp;" · ",""),LEN(IF(AND($S113="Macro",$B113=""),"Macroactividad vacía"&amp;" · ","")&amp;IF(AND($B113&lt;&gt;"",$C113&lt;&gt;""),"Escriba la subactividad en otra fila, debajo de su macroactividad"&amp;" · ","")&amp;IF(AND($S113="Sub",N($R113)=0),"Subactividad sin macroactividad arriba"&amp;" · ","")&amp;IF($D113="","Sin responsable"&amp;" · ","")&amp;IF($E113="","Sin fecha de inicio"&amp;" · ","")&amp;IF($F113="","Sin fecha límite"&amp;" · ","")&amp;IF(OR(AND($E113&lt;&gt;"",NOT(ISNUMBER($E113))),AND($F113&lt;&gt;"",NOT(ISNUMBER($F113)))),"Fecha no válida"&amp;" · ","")&amp;IF(AND(ISNUMBER($E113),ISNUMBER($F113),$E113&gt;$F113),"Inicio posterior a fecha límite"&amp;" · ","")&amp;IF(AND($S113="Macro",$G113=""),"Peso vacío"&amp;" · ","")&amp;IF(AND($S113="Macro",$G113&lt;&gt;"",OR(NOT(ISNUMBER($G113)),$G113&lt;=0,$G113&gt;1)),"Peso fuera de rango"&amp;" · ","")&amp;IF(AND($S113="Sub",$G113&lt;&gt;""),"Las subactividades no llevan peso"&amp;" · ","")&amp;IF(AND($S113="Macro",ABS(SUMIFS($G$5:$G$1000,$P$5:$P$1000,$P113,$S$5:$S$1000,"Macro")-1)&gt;0.0001),"Pesos del mes suman "&amp;TEXT(SUMIFS($G$5:$G$1000,$P$5:$P$1000,$P113,$S$5:$S$1000,"Macro"),"0%")&amp;" · ","")&amp;IF(AND(N($T113)&gt;0,COUNT($H113:$K113)&gt;0),"Con subactividades: deje vacías las semanas (se calculan solas)"&amp;" · ","")&amp;IF((COUNTIF($H113:$K113,"&gt;1")+COUNTIF($H113:$K113,"&lt;0")+COUNTA($H113:$K113)-COUNT($H113:$K113))&gt;0,"Avance fuera de rango 0-100%"&amp;" · ","")&amp;IF(OR(AND($I113&lt;&gt;"",$I113&lt;$H113),AND($J113&lt;&gt;"",$J113&lt;MAX($H113:$I113)),AND($K113&lt;&gt;"",$K113&lt;MAX($H113:$J113))),"Avance semanal decreciente"&amp;" · ","")&amp;IF(AND(ISNUMBER($F113),$F113&lt;FechaRef,N($L113)&lt;1),"Vencida"&amp;" · ","")&amp;IF(AND(ObsObligatoria="Sí",ISNUMBER($F113),$F113&lt;FechaRef,N($L113)&lt;1,$N113=""),"Vencida sin observación"&amp;" · ",""))-3)))</f>
        <v/>
      </c>
      <c r="P113" s="69">
        <f>IF(NOT((COUNTA($B113:$K113)+COUNTA($N113))&gt;0),"",IF(AND($S113="Sub",N($R113)&gt;0),IF(ISNUMBER(INDEX($E$5:$E$1000,$R113-4)),DATE(YEAR(INDEX($E$5:$E$1000,$R113-4)),MONTH(INDEX($E$5:$E$1000,$R113-4)),1),IF(ISNUMBER(INDEX($F$5:$F$1000,$R113-4)),DATE(YEAR(INDEX($F$5:$F$1000,$R113-4)),MONTH(INDEX($F$5:$F$1000,$R113-4)),1),MesCiclo)),IF(ISNUMBER($E113),DATE(YEAR($E113),MONTH($E113),1),IF(ISNUMBER($F113),DATE(YEAR($F113),MONTH($F113),1),MesCiclo))))</f>
        <v/>
      </c>
      <c r="Q113" s="70">
        <f>IF(OR($P113="",$P113&lt;&gt;MesCiclo),"",COUNTIF($P$5:$P113,MesCiclo))</f>
        <v/>
      </c>
      <c r="R113" s="70">
        <f>IF($S113="","",IF($S113="Macro",ROW(),IFERROR(LOOKUP(2,1/($S$5:$S113="Macro"),ROW($S$5:$S113)),0)))</f>
        <v/>
      </c>
      <c r="S113" s="70">
        <f>IF(NOT((COUNTA($B113:$K113)+COUNTA($N113))&gt;0),"",IF($B113&lt;&gt;"","Macro",IF($C113&lt;&gt;"","Sub","Macro")))</f>
        <v/>
      </c>
      <c r="T113" s="70">
        <f>IF($S113="Macro",COUNTIFS($R$5:$R$1000,ROW(),$S$5:$S$1000,"Sub"),"")</f>
        <v/>
      </c>
      <c r="U113" s="70">
        <f>IF($S113="","",IF(ISNUMBER($H113),$H113,0))</f>
        <v/>
      </c>
      <c r="V113" s="70">
        <f>IF($S113="","",IF(ISNUMBER($I113),$I113,$U113))</f>
        <v/>
      </c>
      <c r="W113" s="70">
        <f>IF($S113="","",IF(ISNUMBER($J113),$J113,$V113))</f>
        <v/>
      </c>
      <c r="X113" s="70">
        <f>IF($S113="","",IF(ISNUMBER($K113),$K113,$W113))</f>
        <v/>
      </c>
      <c r="Y113" s="70">
        <f>IF($S113="","",IF(N($T113)&gt;0,AVERAGEIFS($U$5:$U$1000,$R$5:$R$1000,ROW(),$S$5:$S$1000,"Sub"),$U113))</f>
        <v/>
      </c>
      <c r="Z113" s="70">
        <f>IF($S113="","",IF(N($T113)&gt;0,AVERAGEIFS($V$5:$V$1000,$R$5:$R$1000,ROW(),$S$5:$S$1000,"Sub"),$V113))</f>
        <v/>
      </c>
      <c r="AA113" s="70">
        <f>IF($S113="","",IF(N($T113)&gt;0,AVERAGEIFS($W$5:$W$1000,$R$5:$R$1000,ROW(),$S$5:$S$1000,"Sub"),$W113))</f>
        <v/>
      </c>
      <c r="AB113" s="70">
        <f>IF($S113="","",IF(N($T113)&gt;0,AVERAGEIFS($X$5:$X$1000,$R$5:$R$1000,ROW(),$S$5:$S$1000,"Sub"),$X113))</f>
        <v/>
      </c>
    </row>
    <row r="114">
      <c r="A114" s="61">
        <f>IF(NOT((COUNTA($B114:$K114)+COUNTA($N114))&gt;0),"",IF($S114="Macro",COUNTIFS($S$5:$S114,"Macro",$P$5:$P114,$P114),IF(N($R114)=0,"?",COUNTIFS(INDEX($S$5:$S$1000,1):INDEX($S$5:$S$1000,$R114-4),"Macro",INDEX($P$5:$P$1000,1):INDEX($P$5:$P$1000,$R114-4),INDEX($P$5:$P$1000,$R114-4))&amp;"."&amp;COUNTIFS($R$5:$R114,$R114,$S$5:$S114,"Sub"))))</f>
        <v/>
      </c>
      <c r="B114" s="62" t="n"/>
      <c r="C114" s="63" t="n"/>
      <c r="D114" s="62" t="n"/>
      <c r="E114" s="64" t="n"/>
      <c r="F114" s="64" t="n"/>
      <c r="G114" s="65" t="n"/>
      <c r="H114" s="66" t="n"/>
      <c r="I114" s="66" t="n"/>
      <c r="J114" s="66" t="n"/>
      <c r="K114" s="66" t="n"/>
      <c r="L114" s="67">
        <f>IF(NOT((COUNTA($B114:$K114)+COUNTA($N114))&gt;0),"",IF(N($T114)&gt;0,$AB114,IFERROR(LOOKUP(2,1/(H114:K114&lt;&gt;""),H114:K114),0)))</f>
        <v/>
      </c>
      <c r="M114" s="61">
        <f>IF(L114="","",IF(L114&gt;=1,"Completado",IF(L114&gt;0,"En curso","Pendiente")))</f>
        <v/>
      </c>
      <c r="N114" s="62" t="n"/>
      <c r="O114" s="68">
        <f>IF(NOT((COUNTA($B114:$K114)+COUNTA($N114))&gt;0),"",IF((IF(AND($S114="Macro",$B114=""),"Macroactividad vacía"&amp;" · ","")&amp;IF(AND($B114&lt;&gt;"",$C114&lt;&gt;""),"Escriba la subactividad en otra fila, debajo de su macroactividad"&amp;" · ","")&amp;IF(AND($S114="Sub",N($R114)=0),"Subactividad sin macroactividad arriba"&amp;" · ","")&amp;IF($D114="","Sin responsable"&amp;" · ","")&amp;IF($E114="","Sin fecha de inicio"&amp;" · ","")&amp;IF($F114="","Sin fecha límite"&amp;" · ","")&amp;IF(OR(AND($E114&lt;&gt;"",NOT(ISNUMBER($E114))),AND($F114&lt;&gt;"",NOT(ISNUMBER($F114)))),"Fecha no válida"&amp;" · ","")&amp;IF(AND(ISNUMBER($E114),ISNUMBER($F114),$E114&gt;$F114),"Inicio posterior a fecha límite"&amp;" · ","")&amp;IF(AND($S114="Macro",$G114=""),"Peso vacío"&amp;" · ","")&amp;IF(AND($S114="Macro",$G114&lt;&gt;"",OR(NOT(ISNUMBER($G114)),$G114&lt;=0,$G114&gt;1)),"Peso fuera de rango"&amp;" · ","")&amp;IF(AND($S114="Sub",$G114&lt;&gt;""),"Las subactividades no llevan peso"&amp;" · ","")&amp;IF(AND($S114="Macro",ABS(SUMIFS($G$5:$G$1000,$P$5:$P$1000,$P114,$S$5:$S$1000,"Macro")-1)&gt;0.0001),"Pesos del mes suman "&amp;TEXT(SUMIFS($G$5:$G$1000,$P$5:$P$1000,$P114,$S$5:$S$1000,"Macro"),"0%")&amp;" · ","")&amp;IF(AND(N($T114)&gt;0,COUNT($H114:$K114)&gt;0),"Con subactividades: deje vacías las semanas (se calculan solas)"&amp;" · ","")&amp;IF((COUNTIF($H114:$K114,"&gt;1")+COUNTIF($H114:$K114,"&lt;0")+COUNTA($H114:$K114)-COUNT($H114:$K114))&gt;0,"Avance fuera de rango 0-100%"&amp;" · ","")&amp;IF(OR(AND($I114&lt;&gt;"",$I114&lt;$H114),AND($J114&lt;&gt;"",$J114&lt;MAX($H114:$I114)),AND($K114&lt;&gt;"",$K114&lt;MAX($H114:$J114))),"Avance semanal decreciente"&amp;" · ","")&amp;IF(AND(ISNUMBER($F114),$F114&lt;FechaRef,N($L114)&lt;1),"Vencida"&amp;" · ","")&amp;IF(AND(ObsObligatoria="Sí",ISNUMBER($F114),$F114&lt;FechaRef,N($L114)&lt;1,$N114=""),"Vencida sin observación"&amp;" · ",""))="","✔ OK","⚠ "&amp;LEFT(IF(AND($S114="Macro",$B114=""),"Macroactividad vacía"&amp;" · ","")&amp;IF(AND($B114&lt;&gt;"",$C114&lt;&gt;""),"Escriba la subactividad en otra fila, debajo de su macroactividad"&amp;" · ","")&amp;IF(AND($S114="Sub",N($R114)=0),"Subactividad sin macroactividad arriba"&amp;" · ","")&amp;IF($D114="","Sin responsable"&amp;" · ","")&amp;IF($E114="","Sin fecha de inicio"&amp;" · ","")&amp;IF($F114="","Sin fecha límite"&amp;" · ","")&amp;IF(OR(AND($E114&lt;&gt;"",NOT(ISNUMBER($E114))),AND($F114&lt;&gt;"",NOT(ISNUMBER($F114)))),"Fecha no válida"&amp;" · ","")&amp;IF(AND(ISNUMBER($E114),ISNUMBER($F114),$E114&gt;$F114),"Inicio posterior a fecha límite"&amp;" · ","")&amp;IF(AND($S114="Macro",$G114=""),"Peso vacío"&amp;" · ","")&amp;IF(AND($S114="Macro",$G114&lt;&gt;"",OR(NOT(ISNUMBER($G114)),$G114&lt;=0,$G114&gt;1)),"Peso fuera de rango"&amp;" · ","")&amp;IF(AND($S114="Sub",$G114&lt;&gt;""),"Las subactividades no llevan peso"&amp;" · ","")&amp;IF(AND($S114="Macro",ABS(SUMIFS($G$5:$G$1000,$P$5:$P$1000,$P114,$S$5:$S$1000,"Macro")-1)&gt;0.0001),"Pesos del mes suman "&amp;TEXT(SUMIFS($G$5:$G$1000,$P$5:$P$1000,$P114,$S$5:$S$1000,"Macro"),"0%")&amp;" · ","")&amp;IF(AND(N($T114)&gt;0,COUNT($H114:$K114)&gt;0),"Con subactividades: deje vacías las semanas (se calculan solas)"&amp;" · ","")&amp;IF((COUNTIF($H114:$K114,"&gt;1")+COUNTIF($H114:$K114,"&lt;0")+COUNTA($H114:$K114)-COUNT($H114:$K114))&gt;0,"Avance fuera de rango 0-100%"&amp;" · ","")&amp;IF(OR(AND($I114&lt;&gt;"",$I114&lt;$H114),AND($J114&lt;&gt;"",$J114&lt;MAX($H114:$I114)),AND($K114&lt;&gt;"",$K114&lt;MAX($H114:$J114))),"Avance semanal decreciente"&amp;" · ","")&amp;IF(AND(ISNUMBER($F114),$F114&lt;FechaRef,N($L114)&lt;1),"Vencida"&amp;" · ","")&amp;IF(AND(ObsObligatoria="Sí",ISNUMBER($F114),$F114&lt;FechaRef,N($L114)&lt;1,$N114=""),"Vencida sin observación"&amp;" · ",""),LEN(IF(AND($S114="Macro",$B114=""),"Macroactividad vacía"&amp;" · ","")&amp;IF(AND($B114&lt;&gt;"",$C114&lt;&gt;""),"Escriba la subactividad en otra fila, debajo de su macroactividad"&amp;" · ","")&amp;IF(AND($S114="Sub",N($R114)=0),"Subactividad sin macroactividad arriba"&amp;" · ","")&amp;IF($D114="","Sin responsable"&amp;" · ","")&amp;IF($E114="","Sin fecha de inicio"&amp;" · ","")&amp;IF($F114="","Sin fecha límite"&amp;" · ","")&amp;IF(OR(AND($E114&lt;&gt;"",NOT(ISNUMBER($E114))),AND($F114&lt;&gt;"",NOT(ISNUMBER($F114)))),"Fecha no válida"&amp;" · ","")&amp;IF(AND(ISNUMBER($E114),ISNUMBER($F114),$E114&gt;$F114),"Inicio posterior a fecha límite"&amp;" · ","")&amp;IF(AND($S114="Macro",$G114=""),"Peso vacío"&amp;" · ","")&amp;IF(AND($S114="Macro",$G114&lt;&gt;"",OR(NOT(ISNUMBER($G114)),$G114&lt;=0,$G114&gt;1)),"Peso fuera de rango"&amp;" · ","")&amp;IF(AND($S114="Sub",$G114&lt;&gt;""),"Las subactividades no llevan peso"&amp;" · ","")&amp;IF(AND($S114="Macro",ABS(SUMIFS($G$5:$G$1000,$P$5:$P$1000,$P114,$S$5:$S$1000,"Macro")-1)&gt;0.0001),"Pesos del mes suman "&amp;TEXT(SUMIFS($G$5:$G$1000,$P$5:$P$1000,$P114,$S$5:$S$1000,"Macro"),"0%")&amp;" · ","")&amp;IF(AND(N($T114)&gt;0,COUNT($H114:$K114)&gt;0),"Con subactividades: deje vacías las semanas (se calculan solas)"&amp;" · ","")&amp;IF((COUNTIF($H114:$K114,"&gt;1")+COUNTIF($H114:$K114,"&lt;0")+COUNTA($H114:$K114)-COUNT($H114:$K114))&gt;0,"Avance fuera de rango 0-100%"&amp;" · ","")&amp;IF(OR(AND($I114&lt;&gt;"",$I114&lt;$H114),AND($J114&lt;&gt;"",$J114&lt;MAX($H114:$I114)),AND($K114&lt;&gt;"",$K114&lt;MAX($H114:$J114))),"Avance semanal decreciente"&amp;" · ","")&amp;IF(AND(ISNUMBER($F114),$F114&lt;FechaRef,N($L114)&lt;1),"Vencida"&amp;" · ","")&amp;IF(AND(ObsObligatoria="Sí",ISNUMBER($F114),$F114&lt;FechaRef,N($L114)&lt;1,$N114=""),"Vencida sin observación"&amp;" · ",""))-3)))</f>
        <v/>
      </c>
      <c r="P114" s="69">
        <f>IF(NOT((COUNTA($B114:$K114)+COUNTA($N114))&gt;0),"",IF(AND($S114="Sub",N($R114)&gt;0),IF(ISNUMBER(INDEX($E$5:$E$1000,$R114-4)),DATE(YEAR(INDEX($E$5:$E$1000,$R114-4)),MONTH(INDEX($E$5:$E$1000,$R114-4)),1),IF(ISNUMBER(INDEX($F$5:$F$1000,$R114-4)),DATE(YEAR(INDEX($F$5:$F$1000,$R114-4)),MONTH(INDEX($F$5:$F$1000,$R114-4)),1),MesCiclo)),IF(ISNUMBER($E114),DATE(YEAR($E114),MONTH($E114),1),IF(ISNUMBER($F114),DATE(YEAR($F114),MONTH($F114),1),MesCiclo))))</f>
        <v/>
      </c>
      <c r="Q114" s="70">
        <f>IF(OR($P114="",$P114&lt;&gt;MesCiclo),"",COUNTIF($P$5:$P114,MesCiclo))</f>
        <v/>
      </c>
      <c r="R114" s="70">
        <f>IF($S114="","",IF($S114="Macro",ROW(),IFERROR(LOOKUP(2,1/($S$5:$S114="Macro"),ROW($S$5:$S114)),0)))</f>
        <v/>
      </c>
      <c r="S114" s="70">
        <f>IF(NOT((COUNTA($B114:$K114)+COUNTA($N114))&gt;0),"",IF($B114&lt;&gt;"","Macro",IF($C114&lt;&gt;"","Sub","Macro")))</f>
        <v/>
      </c>
      <c r="T114" s="70">
        <f>IF($S114="Macro",COUNTIFS($R$5:$R$1000,ROW(),$S$5:$S$1000,"Sub"),"")</f>
        <v/>
      </c>
      <c r="U114" s="70">
        <f>IF($S114="","",IF(ISNUMBER($H114),$H114,0))</f>
        <v/>
      </c>
      <c r="V114" s="70">
        <f>IF($S114="","",IF(ISNUMBER($I114),$I114,$U114))</f>
        <v/>
      </c>
      <c r="W114" s="70">
        <f>IF($S114="","",IF(ISNUMBER($J114),$J114,$V114))</f>
        <v/>
      </c>
      <c r="X114" s="70">
        <f>IF($S114="","",IF(ISNUMBER($K114),$K114,$W114))</f>
        <v/>
      </c>
      <c r="Y114" s="70">
        <f>IF($S114="","",IF(N($T114)&gt;0,AVERAGEIFS($U$5:$U$1000,$R$5:$R$1000,ROW(),$S$5:$S$1000,"Sub"),$U114))</f>
        <v/>
      </c>
      <c r="Z114" s="70">
        <f>IF($S114="","",IF(N($T114)&gt;0,AVERAGEIFS($V$5:$V$1000,$R$5:$R$1000,ROW(),$S$5:$S$1000,"Sub"),$V114))</f>
        <v/>
      </c>
      <c r="AA114" s="70">
        <f>IF($S114="","",IF(N($T114)&gt;0,AVERAGEIFS($W$5:$W$1000,$R$5:$R$1000,ROW(),$S$5:$S$1000,"Sub"),$W114))</f>
        <v/>
      </c>
      <c r="AB114" s="70">
        <f>IF($S114="","",IF(N($T114)&gt;0,AVERAGEIFS($X$5:$X$1000,$R$5:$R$1000,ROW(),$S$5:$S$1000,"Sub"),$X114))</f>
        <v/>
      </c>
    </row>
    <row r="115">
      <c r="A115" s="61">
        <f>IF(NOT((COUNTA($B115:$K115)+COUNTA($N115))&gt;0),"",IF($S115="Macro",COUNTIFS($S$5:$S115,"Macro",$P$5:$P115,$P115),IF(N($R115)=0,"?",COUNTIFS(INDEX($S$5:$S$1000,1):INDEX($S$5:$S$1000,$R115-4),"Macro",INDEX($P$5:$P$1000,1):INDEX($P$5:$P$1000,$R115-4),INDEX($P$5:$P$1000,$R115-4))&amp;"."&amp;COUNTIFS($R$5:$R115,$R115,$S$5:$S115,"Sub"))))</f>
        <v/>
      </c>
      <c r="B115" s="62" t="n"/>
      <c r="C115" s="63" t="n"/>
      <c r="D115" s="62" t="n"/>
      <c r="E115" s="64" t="n"/>
      <c r="F115" s="64" t="n"/>
      <c r="G115" s="65" t="n"/>
      <c r="H115" s="66" t="n"/>
      <c r="I115" s="66" t="n"/>
      <c r="J115" s="66" t="n"/>
      <c r="K115" s="66" t="n"/>
      <c r="L115" s="67">
        <f>IF(NOT((COUNTA($B115:$K115)+COUNTA($N115))&gt;0),"",IF(N($T115)&gt;0,$AB115,IFERROR(LOOKUP(2,1/(H115:K115&lt;&gt;""),H115:K115),0)))</f>
        <v/>
      </c>
      <c r="M115" s="61">
        <f>IF(L115="","",IF(L115&gt;=1,"Completado",IF(L115&gt;0,"En curso","Pendiente")))</f>
        <v/>
      </c>
      <c r="N115" s="62" t="n"/>
      <c r="O115" s="68">
        <f>IF(NOT((COUNTA($B115:$K115)+COUNTA($N115))&gt;0),"",IF((IF(AND($S115="Macro",$B115=""),"Macroactividad vacía"&amp;" · ","")&amp;IF(AND($B115&lt;&gt;"",$C115&lt;&gt;""),"Escriba la subactividad en otra fila, debajo de su macroactividad"&amp;" · ","")&amp;IF(AND($S115="Sub",N($R115)=0),"Subactividad sin macroactividad arriba"&amp;" · ","")&amp;IF($D115="","Sin responsable"&amp;" · ","")&amp;IF($E115="","Sin fecha de inicio"&amp;" · ","")&amp;IF($F115="","Sin fecha límite"&amp;" · ","")&amp;IF(OR(AND($E115&lt;&gt;"",NOT(ISNUMBER($E115))),AND($F115&lt;&gt;"",NOT(ISNUMBER($F115)))),"Fecha no válida"&amp;" · ","")&amp;IF(AND(ISNUMBER($E115),ISNUMBER($F115),$E115&gt;$F115),"Inicio posterior a fecha límite"&amp;" · ","")&amp;IF(AND($S115="Macro",$G115=""),"Peso vacío"&amp;" · ","")&amp;IF(AND($S115="Macro",$G115&lt;&gt;"",OR(NOT(ISNUMBER($G115)),$G115&lt;=0,$G115&gt;1)),"Peso fuera de rango"&amp;" · ","")&amp;IF(AND($S115="Sub",$G115&lt;&gt;""),"Las subactividades no llevan peso"&amp;" · ","")&amp;IF(AND($S115="Macro",ABS(SUMIFS($G$5:$G$1000,$P$5:$P$1000,$P115,$S$5:$S$1000,"Macro")-1)&gt;0.0001),"Pesos del mes suman "&amp;TEXT(SUMIFS($G$5:$G$1000,$P$5:$P$1000,$P115,$S$5:$S$1000,"Macro"),"0%")&amp;" · ","")&amp;IF(AND(N($T115)&gt;0,COUNT($H115:$K115)&gt;0),"Con subactividades: deje vacías las semanas (se calculan solas)"&amp;" · ","")&amp;IF((COUNTIF($H115:$K115,"&gt;1")+COUNTIF($H115:$K115,"&lt;0")+COUNTA($H115:$K115)-COUNT($H115:$K115))&gt;0,"Avance fuera de rango 0-100%"&amp;" · ","")&amp;IF(OR(AND($I115&lt;&gt;"",$I115&lt;$H115),AND($J115&lt;&gt;"",$J115&lt;MAX($H115:$I115)),AND($K115&lt;&gt;"",$K115&lt;MAX($H115:$J115))),"Avance semanal decreciente"&amp;" · ","")&amp;IF(AND(ISNUMBER($F115),$F115&lt;FechaRef,N($L115)&lt;1),"Vencida"&amp;" · ","")&amp;IF(AND(ObsObligatoria="Sí",ISNUMBER($F115),$F115&lt;FechaRef,N($L115)&lt;1,$N115=""),"Vencida sin observación"&amp;" · ",""))="","✔ OK","⚠ "&amp;LEFT(IF(AND($S115="Macro",$B115=""),"Macroactividad vacía"&amp;" · ","")&amp;IF(AND($B115&lt;&gt;"",$C115&lt;&gt;""),"Escriba la subactividad en otra fila, debajo de su macroactividad"&amp;" · ","")&amp;IF(AND($S115="Sub",N($R115)=0),"Subactividad sin macroactividad arriba"&amp;" · ","")&amp;IF($D115="","Sin responsable"&amp;" · ","")&amp;IF($E115="","Sin fecha de inicio"&amp;" · ","")&amp;IF($F115="","Sin fecha límite"&amp;" · ","")&amp;IF(OR(AND($E115&lt;&gt;"",NOT(ISNUMBER($E115))),AND($F115&lt;&gt;"",NOT(ISNUMBER($F115)))),"Fecha no válida"&amp;" · ","")&amp;IF(AND(ISNUMBER($E115),ISNUMBER($F115),$E115&gt;$F115),"Inicio posterior a fecha límite"&amp;" · ","")&amp;IF(AND($S115="Macro",$G115=""),"Peso vacío"&amp;" · ","")&amp;IF(AND($S115="Macro",$G115&lt;&gt;"",OR(NOT(ISNUMBER($G115)),$G115&lt;=0,$G115&gt;1)),"Peso fuera de rango"&amp;" · ","")&amp;IF(AND($S115="Sub",$G115&lt;&gt;""),"Las subactividades no llevan peso"&amp;" · ","")&amp;IF(AND($S115="Macro",ABS(SUMIFS($G$5:$G$1000,$P$5:$P$1000,$P115,$S$5:$S$1000,"Macro")-1)&gt;0.0001),"Pesos del mes suman "&amp;TEXT(SUMIFS($G$5:$G$1000,$P$5:$P$1000,$P115,$S$5:$S$1000,"Macro"),"0%")&amp;" · ","")&amp;IF(AND(N($T115)&gt;0,COUNT($H115:$K115)&gt;0),"Con subactividades: deje vacías las semanas (se calculan solas)"&amp;" · ","")&amp;IF((COUNTIF($H115:$K115,"&gt;1")+COUNTIF($H115:$K115,"&lt;0")+COUNTA($H115:$K115)-COUNT($H115:$K115))&gt;0,"Avance fuera de rango 0-100%"&amp;" · ","")&amp;IF(OR(AND($I115&lt;&gt;"",$I115&lt;$H115),AND($J115&lt;&gt;"",$J115&lt;MAX($H115:$I115)),AND($K115&lt;&gt;"",$K115&lt;MAX($H115:$J115))),"Avance semanal decreciente"&amp;" · ","")&amp;IF(AND(ISNUMBER($F115),$F115&lt;FechaRef,N($L115)&lt;1),"Vencida"&amp;" · ","")&amp;IF(AND(ObsObligatoria="Sí",ISNUMBER($F115),$F115&lt;FechaRef,N($L115)&lt;1,$N115=""),"Vencida sin observación"&amp;" · ",""),LEN(IF(AND($S115="Macro",$B115=""),"Macroactividad vacía"&amp;" · ","")&amp;IF(AND($B115&lt;&gt;"",$C115&lt;&gt;""),"Escriba la subactividad en otra fila, debajo de su macroactividad"&amp;" · ","")&amp;IF(AND($S115="Sub",N($R115)=0),"Subactividad sin macroactividad arriba"&amp;" · ","")&amp;IF($D115="","Sin responsable"&amp;" · ","")&amp;IF($E115="","Sin fecha de inicio"&amp;" · ","")&amp;IF($F115="","Sin fecha límite"&amp;" · ","")&amp;IF(OR(AND($E115&lt;&gt;"",NOT(ISNUMBER($E115))),AND($F115&lt;&gt;"",NOT(ISNUMBER($F115)))),"Fecha no válida"&amp;" · ","")&amp;IF(AND(ISNUMBER($E115),ISNUMBER($F115),$E115&gt;$F115),"Inicio posterior a fecha límite"&amp;" · ","")&amp;IF(AND($S115="Macro",$G115=""),"Peso vacío"&amp;" · ","")&amp;IF(AND($S115="Macro",$G115&lt;&gt;"",OR(NOT(ISNUMBER($G115)),$G115&lt;=0,$G115&gt;1)),"Peso fuera de rango"&amp;" · ","")&amp;IF(AND($S115="Sub",$G115&lt;&gt;""),"Las subactividades no llevan peso"&amp;" · ","")&amp;IF(AND($S115="Macro",ABS(SUMIFS($G$5:$G$1000,$P$5:$P$1000,$P115,$S$5:$S$1000,"Macro")-1)&gt;0.0001),"Pesos del mes suman "&amp;TEXT(SUMIFS($G$5:$G$1000,$P$5:$P$1000,$P115,$S$5:$S$1000,"Macro"),"0%")&amp;" · ","")&amp;IF(AND(N($T115)&gt;0,COUNT($H115:$K115)&gt;0),"Con subactividades: deje vacías las semanas (se calculan solas)"&amp;" · ","")&amp;IF((COUNTIF($H115:$K115,"&gt;1")+COUNTIF($H115:$K115,"&lt;0")+COUNTA($H115:$K115)-COUNT($H115:$K115))&gt;0,"Avance fuera de rango 0-100%"&amp;" · ","")&amp;IF(OR(AND($I115&lt;&gt;"",$I115&lt;$H115),AND($J115&lt;&gt;"",$J115&lt;MAX($H115:$I115)),AND($K115&lt;&gt;"",$K115&lt;MAX($H115:$J115))),"Avance semanal decreciente"&amp;" · ","")&amp;IF(AND(ISNUMBER($F115),$F115&lt;FechaRef,N($L115)&lt;1),"Vencida"&amp;" · ","")&amp;IF(AND(ObsObligatoria="Sí",ISNUMBER($F115),$F115&lt;FechaRef,N($L115)&lt;1,$N115=""),"Vencida sin observación"&amp;" · ",""))-3)))</f>
        <v/>
      </c>
      <c r="P115" s="69">
        <f>IF(NOT((COUNTA($B115:$K115)+COUNTA($N115))&gt;0),"",IF(AND($S115="Sub",N($R115)&gt;0),IF(ISNUMBER(INDEX($E$5:$E$1000,$R115-4)),DATE(YEAR(INDEX($E$5:$E$1000,$R115-4)),MONTH(INDEX($E$5:$E$1000,$R115-4)),1),IF(ISNUMBER(INDEX($F$5:$F$1000,$R115-4)),DATE(YEAR(INDEX($F$5:$F$1000,$R115-4)),MONTH(INDEX($F$5:$F$1000,$R115-4)),1),MesCiclo)),IF(ISNUMBER($E115),DATE(YEAR($E115),MONTH($E115),1),IF(ISNUMBER($F115),DATE(YEAR($F115),MONTH($F115),1),MesCiclo))))</f>
        <v/>
      </c>
      <c r="Q115" s="70">
        <f>IF(OR($P115="",$P115&lt;&gt;MesCiclo),"",COUNTIF($P$5:$P115,MesCiclo))</f>
        <v/>
      </c>
      <c r="R115" s="70">
        <f>IF($S115="","",IF($S115="Macro",ROW(),IFERROR(LOOKUP(2,1/($S$5:$S115="Macro"),ROW($S$5:$S115)),0)))</f>
        <v/>
      </c>
      <c r="S115" s="70">
        <f>IF(NOT((COUNTA($B115:$K115)+COUNTA($N115))&gt;0),"",IF($B115&lt;&gt;"","Macro",IF($C115&lt;&gt;"","Sub","Macro")))</f>
        <v/>
      </c>
      <c r="T115" s="70">
        <f>IF($S115="Macro",COUNTIFS($R$5:$R$1000,ROW(),$S$5:$S$1000,"Sub"),"")</f>
        <v/>
      </c>
      <c r="U115" s="70">
        <f>IF($S115="","",IF(ISNUMBER($H115),$H115,0))</f>
        <v/>
      </c>
      <c r="V115" s="70">
        <f>IF($S115="","",IF(ISNUMBER($I115),$I115,$U115))</f>
        <v/>
      </c>
      <c r="W115" s="70">
        <f>IF($S115="","",IF(ISNUMBER($J115),$J115,$V115))</f>
        <v/>
      </c>
      <c r="X115" s="70">
        <f>IF($S115="","",IF(ISNUMBER($K115),$K115,$W115))</f>
        <v/>
      </c>
      <c r="Y115" s="70">
        <f>IF($S115="","",IF(N($T115)&gt;0,AVERAGEIFS($U$5:$U$1000,$R$5:$R$1000,ROW(),$S$5:$S$1000,"Sub"),$U115))</f>
        <v/>
      </c>
      <c r="Z115" s="70">
        <f>IF($S115="","",IF(N($T115)&gt;0,AVERAGEIFS($V$5:$V$1000,$R$5:$R$1000,ROW(),$S$5:$S$1000,"Sub"),$V115))</f>
        <v/>
      </c>
      <c r="AA115" s="70">
        <f>IF($S115="","",IF(N($T115)&gt;0,AVERAGEIFS($W$5:$W$1000,$R$5:$R$1000,ROW(),$S$5:$S$1000,"Sub"),$W115))</f>
        <v/>
      </c>
      <c r="AB115" s="70">
        <f>IF($S115="","",IF(N($T115)&gt;0,AVERAGEIFS($X$5:$X$1000,$R$5:$R$1000,ROW(),$S$5:$S$1000,"Sub"),$X115))</f>
        <v/>
      </c>
    </row>
    <row r="116">
      <c r="A116" s="61">
        <f>IF(NOT((COUNTA($B116:$K116)+COUNTA($N116))&gt;0),"",IF($S116="Macro",COUNTIFS($S$5:$S116,"Macro",$P$5:$P116,$P116),IF(N($R116)=0,"?",COUNTIFS(INDEX($S$5:$S$1000,1):INDEX($S$5:$S$1000,$R116-4),"Macro",INDEX($P$5:$P$1000,1):INDEX($P$5:$P$1000,$R116-4),INDEX($P$5:$P$1000,$R116-4))&amp;"."&amp;COUNTIFS($R$5:$R116,$R116,$S$5:$S116,"Sub"))))</f>
        <v/>
      </c>
      <c r="B116" s="62" t="n"/>
      <c r="C116" s="63" t="n"/>
      <c r="D116" s="62" t="n"/>
      <c r="E116" s="64" t="n"/>
      <c r="F116" s="64" t="n"/>
      <c r="G116" s="65" t="n"/>
      <c r="H116" s="66" t="n"/>
      <c r="I116" s="66" t="n"/>
      <c r="J116" s="66" t="n"/>
      <c r="K116" s="66" t="n"/>
      <c r="L116" s="67">
        <f>IF(NOT((COUNTA($B116:$K116)+COUNTA($N116))&gt;0),"",IF(N($T116)&gt;0,$AB116,IFERROR(LOOKUP(2,1/(H116:K116&lt;&gt;""),H116:K116),0)))</f>
        <v/>
      </c>
      <c r="M116" s="61">
        <f>IF(L116="","",IF(L116&gt;=1,"Completado",IF(L116&gt;0,"En curso","Pendiente")))</f>
        <v/>
      </c>
      <c r="N116" s="62" t="n"/>
      <c r="O116" s="68">
        <f>IF(NOT((COUNTA($B116:$K116)+COUNTA($N116))&gt;0),"",IF((IF(AND($S116="Macro",$B116=""),"Macroactividad vacía"&amp;" · ","")&amp;IF(AND($B116&lt;&gt;"",$C116&lt;&gt;""),"Escriba la subactividad en otra fila, debajo de su macroactividad"&amp;" · ","")&amp;IF(AND($S116="Sub",N($R116)=0),"Subactividad sin macroactividad arriba"&amp;" · ","")&amp;IF($D116="","Sin responsable"&amp;" · ","")&amp;IF($E116="","Sin fecha de inicio"&amp;" · ","")&amp;IF($F116="","Sin fecha límite"&amp;" · ","")&amp;IF(OR(AND($E116&lt;&gt;"",NOT(ISNUMBER($E116))),AND($F116&lt;&gt;"",NOT(ISNUMBER($F116)))),"Fecha no válida"&amp;" · ","")&amp;IF(AND(ISNUMBER($E116),ISNUMBER($F116),$E116&gt;$F116),"Inicio posterior a fecha límite"&amp;" · ","")&amp;IF(AND($S116="Macro",$G116=""),"Peso vacío"&amp;" · ","")&amp;IF(AND($S116="Macro",$G116&lt;&gt;"",OR(NOT(ISNUMBER($G116)),$G116&lt;=0,$G116&gt;1)),"Peso fuera de rango"&amp;" · ","")&amp;IF(AND($S116="Sub",$G116&lt;&gt;""),"Las subactividades no llevan peso"&amp;" · ","")&amp;IF(AND($S116="Macro",ABS(SUMIFS($G$5:$G$1000,$P$5:$P$1000,$P116,$S$5:$S$1000,"Macro")-1)&gt;0.0001),"Pesos del mes suman "&amp;TEXT(SUMIFS($G$5:$G$1000,$P$5:$P$1000,$P116,$S$5:$S$1000,"Macro"),"0%")&amp;" · ","")&amp;IF(AND(N($T116)&gt;0,COUNT($H116:$K116)&gt;0),"Con subactividades: deje vacías las semanas (se calculan solas)"&amp;" · ","")&amp;IF((COUNTIF($H116:$K116,"&gt;1")+COUNTIF($H116:$K116,"&lt;0")+COUNTA($H116:$K116)-COUNT($H116:$K116))&gt;0,"Avance fuera de rango 0-100%"&amp;" · ","")&amp;IF(OR(AND($I116&lt;&gt;"",$I116&lt;$H116),AND($J116&lt;&gt;"",$J116&lt;MAX($H116:$I116)),AND($K116&lt;&gt;"",$K116&lt;MAX($H116:$J116))),"Avance semanal decreciente"&amp;" · ","")&amp;IF(AND(ISNUMBER($F116),$F116&lt;FechaRef,N($L116)&lt;1),"Vencida"&amp;" · ","")&amp;IF(AND(ObsObligatoria="Sí",ISNUMBER($F116),$F116&lt;FechaRef,N($L116)&lt;1,$N116=""),"Vencida sin observación"&amp;" · ",""))="","✔ OK","⚠ "&amp;LEFT(IF(AND($S116="Macro",$B116=""),"Macroactividad vacía"&amp;" · ","")&amp;IF(AND($B116&lt;&gt;"",$C116&lt;&gt;""),"Escriba la subactividad en otra fila, debajo de su macroactividad"&amp;" · ","")&amp;IF(AND($S116="Sub",N($R116)=0),"Subactividad sin macroactividad arriba"&amp;" · ","")&amp;IF($D116="","Sin responsable"&amp;" · ","")&amp;IF($E116="","Sin fecha de inicio"&amp;" · ","")&amp;IF($F116="","Sin fecha límite"&amp;" · ","")&amp;IF(OR(AND($E116&lt;&gt;"",NOT(ISNUMBER($E116))),AND($F116&lt;&gt;"",NOT(ISNUMBER($F116)))),"Fecha no válida"&amp;" · ","")&amp;IF(AND(ISNUMBER($E116),ISNUMBER($F116),$E116&gt;$F116),"Inicio posterior a fecha límite"&amp;" · ","")&amp;IF(AND($S116="Macro",$G116=""),"Peso vacío"&amp;" · ","")&amp;IF(AND($S116="Macro",$G116&lt;&gt;"",OR(NOT(ISNUMBER($G116)),$G116&lt;=0,$G116&gt;1)),"Peso fuera de rango"&amp;" · ","")&amp;IF(AND($S116="Sub",$G116&lt;&gt;""),"Las subactividades no llevan peso"&amp;" · ","")&amp;IF(AND($S116="Macro",ABS(SUMIFS($G$5:$G$1000,$P$5:$P$1000,$P116,$S$5:$S$1000,"Macro")-1)&gt;0.0001),"Pesos del mes suman "&amp;TEXT(SUMIFS($G$5:$G$1000,$P$5:$P$1000,$P116,$S$5:$S$1000,"Macro"),"0%")&amp;" · ","")&amp;IF(AND(N($T116)&gt;0,COUNT($H116:$K116)&gt;0),"Con subactividades: deje vacías las semanas (se calculan solas)"&amp;" · ","")&amp;IF((COUNTIF($H116:$K116,"&gt;1")+COUNTIF($H116:$K116,"&lt;0")+COUNTA($H116:$K116)-COUNT($H116:$K116))&gt;0,"Avance fuera de rango 0-100%"&amp;" · ","")&amp;IF(OR(AND($I116&lt;&gt;"",$I116&lt;$H116),AND($J116&lt;&gt;"",$J116&lt;MAX($H116:$I116)),AND($K116&lt;&gt;"",$K116&lt;MAX($H116:$J116))),"Avance semanal decreciente"&amp;" · ","")&amp;IF(AND(ISNUMBER($F116),$F116&lt;FechaRef,N($L116)&lt;1),"Vencida"&amp;" · ","")&amp;IF(AND(ObsObligatoria="Sí",ISNUMBER($F116),$F116&lt;FechaRef,N($L116)&lt;1,$N116=""),"Vencida sin observación"&amp;" · ",""),LEN(IF(AND($S116="Macro",$B116=""),"Macroactividad vacía"&amp;" · ","")&amp;IF(AND($B116&lt;&gt;"",$C116&lt;&gt;""),"Escriba la subactividad en otra fila, debajo de su macroactividad"&amp;" · ","")&amp;IF(AND($S116="Sub",N($R116)=0),"Subactividad sin macroactividad arriba"&amp;" · ","")&amp;IF($D116="","Sin responsable"&amp;" · ","")&amp;IF($E116="","Sin fecha de inicio"&amp;" · ","")&amp;IF($F116="","Sin fecha límite"&amp;" · ","")&amp;IF(OR(AND($E116&lt;&gt;"",NOT(ISNUMBER($E116))),AND($F116&lt;&gt;"",NOT(ISNUMBER($F116)))),"Fecha no válida"&amp;" · ","")&amp;IF(AND(ISNUMBER($E116),ISNUMBER($F116),$E116&gt;$F116),"Inicio posterior a fecha límite"&amp;" · ","")&amp;IF(AND($S116="Macro",$G116=""),"Peso vacío"&amp;" · ","")&amp;IF(AND($S116="Macro",$G116&lt;&gt;"",OR(NOT(ISNUMBER($G116)),$G116&lt;=0,$G116&gt;1)),"Peso fuera de rango"&amp;" · ","")&amp;IF(AND($S116="Sub",$G116&lt;&gt;""),"Las subactividades no llevan peso"&amp;" · ","")&amp;IF(AND($S116="Macro",ABS(SUMIFS($G$5:$G$1000,$P$5:$P$1000,$P116,$S$5:$S$1000,"Macro")-1)&gt;0.0001),"Pesos del mes suman "&amp;TEXT(SUMIFS($G$5:$G$1000,$P$5:$P$1000,$P116,$S$5:$S$1000,"Macro"),"0%")&amp;" · ","")&amp;IF(AND(N($T116)&gt;0,COUNT($H116:$K116)&gt;0),"Con subactividades: deje vacías las semanas (se calculan solas)"&amp;" · ","")&amp;IF((COUNTIF($H116:$K116,"&gt;1")+COUNTIF($H116:$K116,"&lt;0")+COUNTA($H116:$K116)-COUNT($H116:$K116))&gt;0,"Avance fuera de rango 0-100%"&amp;" · ","")&amp;IF(OR(AND($I116&lt;&gt;"",$I116&lt;$H116),AND($J116&lt;&gt;"",$J116&lt;MAX($H116:$I116)),AND($K116&lt;&gt;"",$K116&lt;MAX($H116:$J116))),"Avance semanal decreciente"&amp;" · ","")&amp;IF(AND(ISNUMBER($F116),$F116&lt;FechaRef,N($L116)&lt;1),"Vencida"&amp;" · ","")&amp;IF(AND(ObsObligatoria="Sí",ISNUMBER($F116),$F116&lt;FechaRef,N($L116)&lt;1,$N116=""),"Vencida sin observación"&amp;" · ",""))-3)))</f>
        <v/>
      </c>
      <c r="P116" s="69">
        <f>IF(NOT((COUNTA($B116:$K116)+COUNTA($N116))&gt;0),"",IF(AND($S116="Sub",N($R116)&gt;0),IF(ISNUMBER(INDEX($E$5:$E$1000,$R116-4)),DATE(YEAR(INDEX($E$5:$E$1000,$R116-4)),MONTH(INDEX($E$5:$E$1000,$R116-4)),1),IF(ISNUMBER(INDEX($F$5:$F$1000,$R116-4)),DATE(YEAR(INDEX($F$5:$F$1000,$R116-4)),MONTH(INDEX($F$5:$F$1000,$R116-4)),1),MesCiclo)),IF(ISNUMBER($E116),DATE(YEAR($E116),MONTH($E116),1),IF(ISNUMBER($F116),DATE(YEAR($F116),MONTH($F116),1),MesCiclo))))</f>
        <v/>
      </c>
      <c r="Q116" s="70">
        <f>IF(OR($P116="",$P116&lt;&gt;MesCiclo),"",COUNTIF($P$5:$P116,MesCiclo))</f>
        <v/>
      </c>
      <c r="R116" s="70">
        <f>IF($S116="","",IF($S116="Macro",ROW(),IFERROR(LOOKUP(2,1/($S$5:$S116="Macro"),ROW($S$5:$S116)),0)))</f>
        <v/>
      </c>
      <c r="S116" s="70">
        <f>IF(NOT((COUNTA($B116:$K116)+COUNTA($N116))&gt;0),"",IF($B116&lt;&gt;"","Macro",IF($C116&lt;&gt;"","Sub","Macro")))</f>
        <v/>
      </c>
      <c r="T116" s="70">
        <f>IF($S116="Macro",COUNTIFS($R$5:$R$1000,ROW(),$S$5:$S$1000,"Sub"),"")</f>
        <v/>
      </c>
      <c r="U116" s="70">
        <f>IF($S116="","",IF(ISNUMBER($H116),$H116,0))</f>
        <v/>
      </c>
      <c r="V116" s="70">
        <f>IF($S116="","",IF(ISNUMBER($I116),$I116,$U116))</f>
        <v/>
      </c>
      <c r="W116" s="70">
        <f>IF($S116="","",IF(ISNUMBER($J116),$J116,$V116))</f>
        <v/>
      </c>
      <c r="X116" s="70">
        <f>IF($S116="","",IF(ISNUMBER($K116),$K116,$W116))</f>
        <v/>
      </c>
      <c r="Y116" s="70">
        <f>IF($S116="","",IF(N($T116)&gt;0,AVERAGEIFS($U$5:$U$1000,$R$5:$R$1000,ROW(),$S$5:$S$1000,"Sub"),$U116))</f>
        <v/>
      </c>
      <c r="Z116" s="70">
        <f>IF($S116="","",IF(N($T116)&gt;0,AVERAGEIFS($V$5:$V$1000,$R$5:$R$1000,ROW(),$S$5:$S$1000,"Sub"),$V116))</f>
        <v/>
      </c>
      <c r="AA116" s="70">
        <f>IF($S116="","",IF(N($T116)&gt;0,AVERAGEIFS($W$5:$W$1000,$R$5:$R$1000,ROW(),$S$5:$S$1000,"Sub"),$W116))</f>
        <v/>
      </c>
      <c r="AB116" s="70">
        <f>IF($S116="","",IF(N($T116)&gt;0,AVERAGEIFS($X$5:$X$1000,$R$5:$R$1000,ROW(),$S$5:$S$1000,"Sub"),$X116))</f>
        <v/>
      </c>
    </row>
    <row r="117">
      <c r="A117" s="61">
        <f>IF(NOT((COUNTA($B117:$K117)+COUNTA($N117))&gt;0),"",IF($S117="Macro",COUNTIFS($S$5:$S117,"Macro",$P$5:$P117,$P117),IF(N($R117)=0,"?",COUNTIFS(INDEX($S$5:$S$1000,1):INDEX($S$5:$S$1000,$R117-4),"Macro",INDEX($P$5:$P$1000,1):INDEX($P$5:$P$1000,$R117-4),INDEX($P$5:$P$1000,$R117-4))&amp;"."&amp;COUNTIFS($R$5:$R117,$R117,$S$5:$S117,"Sub"))))</f>
        <v/>
      </c>
      <c r="B117" s="62" t="n"/>
      <c r="C117" s="63" t="n"/>
      <c r="D117" s="62" t="n"/>
      <c r="E117" s="64" t="n"/>
      <c r="F117" s="64" t="n"/>
      <c r="G117" s="65" t="n"/>
      <c r="H117" s="66" t="n"/>
      <c r="I117" s="66" t="n"/>
      <c r="J117" s="66" t="n"/>
      <c r="K117" s="66" t="n"/>
      <c r="L117" s="67">
        <f>IF(NOT((COUNTA($B117:$K117)+COUNTA($N117))&gt;0),"",IF(N($T117)&gt;0,$AB117,IFERROR(LOOKUP(2,1/(H117:K117&lt;&gt;""),H117:K117),0)))</f>
        <v/>
      </c>
      <c r="M117" s="61">
        <f>IF(L117="","",IF(L117&gt;=1,"Completado",IF(L117&gt;0,"En curso","Pendiente")))</f>
        <v/>
      </c>
      <c r="N117" s="62" t="n"/>
      <c r="O117" s="68">
        <f>IF(NOT((COUNTA($B117:$K117)+COUNTA($N117))&gt;0),"",IF((IF(AND($S117="Macro",$B117=""),"Macroactividad vacía"&amp;" · ","")&amp;IF(AND($B117&lt;&gt;"",$C117&lt;&gt;""),"Escriba la subactividad en otra fila, debajo de su macroactividad"&amp;" · ","")&amp;IF(AND($S117="Sub",N($R117)=0),"Subactividad sin macroactividad arriba"&amp;" · ","")&amp;IF($D117="","Sin responsable"&amp;" · ","")&amp;IF($E117="","Sin fecha de inicio"&amp;" · ","")&amp;IF($F117="","Sin fecha límite"&amp;" · ","")&amp;IF(OR(AND($E117&lt;&gt;"",NOT(ISNUMBER($E117))),AND($F117&lt;&gt;"",NOT(ISNUMBER($F117)))),"Fecha no válida"&amp;" · ","")&amp;IF(AND(ISNUMBER($E117),ISNUMBER($F117),$E117&gt;$F117),"Inicio posterior a fecha límite"&amp;" · ","")&amp;IF(AND($S117="Macro",$G117=""),"Peso vacío"&amp;" · ","")&amp;IF(AND($S117="Macro",$G117&lt;&gt;"",OR(NOT(ISNUMBER($G117)),$G117&lt;=0,$G117&gt;1)),"Peso fuera de rango"&amp;" · ","")&amp;IF(AND($S117="Sub",$G117&lt;&gt;""),"Las subactividades no llevan peso"&amp;" · ","")&amp;IF(AND($S117="Macro",ABS(SUMIFS($G$5:$G$1000,$P$5:$P$1000,$P117,$S$5:$S$1000,"Macro")-1)&gt;0.0001),"Pesos del mes suman "&amp;TEXT(SUMIFS($G$5:$G$1000,$P$5:$P$1000,$P117,$S$5:$S$1000,"Macro"),"0%")&amp;" · ","")&amp;IF(AND(N($T117)&gt;0,COUNT($H117:$K117)&gt;0),"Con subactividades: deje vacías las semanas (se calculan solas)"&amp;" · ","")&amp;IF((COUNTIF($H117:$K117,"&gt;1")+COUNTIF($H117:$K117,"&lt;0")+COUNTA($H117:$K117)-COUNT($H117:$K117))&gt;0,"Avance fuera de rango 0-100%"&amp;" · ","")&amp;IF(OR(AND($I117&lt;&gt;"",$I117&lt;$H117),AND($J117&lt;&gt;"",$J117&lt;MAX($H117:$I117)),AND($K117&lt;&gt;"",$K117&lt;MAX($H117:$J117))),"Avance semanal decreciente"&amp;" · ","")&amp;IF(AND(ISNUMBER($F117),$F117&lt;FechaRef,N($L117)&lt;1),"Vencida"&amp;" · ","")&amp;IF(AND(ObsObligatoria="Sí",ISNUMBER($F117),$F117&lt;FechaRef,N($L117)&lt;1,$N117=""),"Vencida sin observación"&amp;" · ",""))="","✔ OK","⚠ "&amp;LEFT(IF(AND($S117="Macro",$B117=""),"Macroactividad vacía"&amp;" · ","")&amp;IF(AND($B117&lt;&gt;"",$C117&lt;&gt;""),"Escriba la subactividad en otra fila, debajo de su macroactividad"&amp;" · ","")&amp;IF(AND($S117="Sub",N($R117)=0),"Subactividad sin macroactividad arriba"&amp;" · ","")&amp;IF($D117="","Sin responsable"&amp;" · ","")&amp;IF($E117="","Sin fecha de inicio"&amp;" · ","")&amp;IF($F117="","Sin fecha límite"&amp;" · ","")&amp;IF(OR(AND($E117&lt;&gt;"",NOT(ISNUMBER($E117))),AND($F117&lt;&gt;"",NOT(ISNUMBER($F117)))),"Fecha no válida"&amp;" · ","")&amp;IF(AND(ISNUMBER($E117),ISNUMBER($F117),$E117&gt;$F117),"Inicio posterior a fecha límite"&amp;" · ","")&amp;IF(AND($S117="Macro",$G117=""),"Peso vacío"&amp;" · ","")&amp;IF(AND($S117="Macro",$G117&lt;&gt;"",OR(NOT(ISNUMBER($G117)),$G117&lt;=0,$G117&gt;1)),"Peso fuera de rango"&amp;" · ","")&amp;IF(AND($S117="Sub",$G117&lt;&gt;""),"Las subactividades no llevan peso"&amp;" · ","")&amp;IF(AND($S117="Macro",ABS(SUMIFS($G$5:$G$1000,$P$5:$P$1000,$P117,$S$5:$S$1000,"Macro")-1)&gt;0.0001),"Pesos del mes suman "&amp;TEXT(SUMIFS($G$5:$G$1000,$P$5:$P$1000,$P117,$S$5:$S$1000,"Macro"),"0%")&amp;" · ","")&amp;IF(AND(N($T117)&gt;0,COUNT($H117:$K117)&gt;0),"Con subactividades: deje vacías las semanas (se calculan solas)"&amp;" · ","")&amp;IF((COUNTIF($H117:$K117,"&gt;1")+COUNTIF($H117:$K117,"&lt;0")+COUNTA($H117:$K117)-COUNT($H117:$K117))&gt;0,"Avance fuera de rango 0-100%"&amp;" · ","")&amp;IF(OR(AND($I117&lt;&gt;"",$I117&lt;$H117),AND($J117&lt;&gt;"",$J117&lt;MAX($H117:$I117)),AND($K117&lt;&gt;"",$K117&lt;MAX($H117:$J117))),"Avance semanal decreciente"&amp;" · ","")&amp;IF(AND(ISNUMBER($F117),$F117&lt;FechaRef,N($L117)&lt;1),"Vencida"&amp;" · ","")&amp;IF(AND(ObsObligatoria="Sí",ISNUMBER($F117),$F117&lt;FechaRef,N($L117)&lt;1,$N117=""),"Vencida sin observación"&amp;" · ",""),LEN(IF(AND($S117="Macro",$B117=""),"Macroactividad vacía"&amp;" · ","")&amp;IF(AND($B117&lt;&gt;"",$C117&lt;&gt;""),"Escriba la subactividad en otra fila, debajo de su macroactividad"&amp;" · ","")&amp;IF(AND($S117="Sub",N($R117)=0),"Subactividad sin macroactividad arriba"&amp;" · ","")&amp;IF($D117="","Sin responsable"&amp;" · ","")&amp;IF($E117="","Sin fecha de inicio"&amp;" · ","")&amp;IF($F117="","Sin fecha límite"&amp;" · ","")&amp;IF(OR(AND($E117&lt;&gt;"",NOT(ISNUMBER($E117))),AND($F117&lt;&gt;"",NOT(ISNUMBER($F117)))),"Fecha no válida"&amp;" · ","")&amp;IF(AND(ISNUMBER($E117),ISNUMBER($F117),$E117&gt;$F117),"Inicio posterior a fecha límite"&amp;" · ","")&amp;IF(AND($S117="Macro",$G117=""),"Peso vacío"&amp;" · ","")&amp;IF(AND($S117="Macro",$G117&lt;&gt;"",OR(NOT(ISNUMBER($G117)),$G117&lt;=0,$G117&gt;1)),"Peso fuera de rango"&amp;" · ","")&amp;IF(AND($S117="Sub",$G117&lt;&gt;""),"Las subactividades no llevan peso"&amp;" · ","")&amp;IF(AND($S117="Macro",ABS(SUMIFS($G$5:$G$1000,$P$5:$P$1000,$P117,$S$5:$S$1000,"Macro")-1)&gt;0.0001),"Pesos del mes suman "&amp;TEXT(SUMIFS($G$5:$G$1000,$P$5:$P$1000,$P117,$S$5:$S$1000,"Macro"),"0%")&amp;" · ","")&amp;IF(AND(N($T117)&gt;0,COUNT($H117:$K117)&gt;0),"Con subactividades: deje vacías las semanas (se calculan solas)"&amp;" · ","")&amp;IF((COUNTIF($H117:$K117,"&gt;1")+COUNTIF($H117:$K117,"&lt;0")+COUNTA($H117:$K117)-COUNT($H117:$K117))&gt;0,"Avance fuera de rango 0-100%"&amp;" · ","")&amp;IF(OR(AND($I117&lt;&gt;"",$I117&lt;$H117),AND($J117&lt;&gt;"",$J117&lt;MAX($H117:$I117)),AND($K117&lt;&gt;"",$K117&lt;MAX($H117:$J117))),"Avance semanal decreciente"&amp;" · ","")&amp;IF(AND(ISNUMBER($F117),$F117&lt;FechaRef,N($L117)&lt;1),"Vencida"&amp;" · ","")&amp;IF(AND(ObsObligatoria="Sí",ISNUMBER($F117),$F117&lt;FechaRef,N($L117)&lt;1,$N117=""),"Vencida sin observación"&amp;" · ",""))-3)))</f>
        <v/>
      </c>
      <c r="P117" s="69">
        <f>IF(NOT((COUNTA($B117:$K117)+COUNTA($N117))&gt;0),"",IF(AND($S117="Sub",N($R117)&gt;0),IF(ISNUMBER(INDEX($E$5:$E$1000,$R117-4)),DATE(YEAR(INDEX($E$5:$E$1000,$R117-4)),MONTH(INDEX($E$5:$E$1000,$R117-4)),1),IF(ISNUMBER(INDEX($F$5:$F$1000,$R117-4)),DATE(YEAR(INDEX($F$5:$F$1000,$R117-4)),MONTH(INDEX($F$5:$F$1000,$R117-4)),1),MesCiclo)),IF(ISNUMBER($E117),DATE(YEAR($E117),MONTH($E117),1),IF(ISNUMBER($F117),DATE(YEAR($F117),MONTH($F117),1),MesCiclo))))</f>
        <v/>
      </c>
      <c r="Q117" s="70">
        <f>IF(OR($P117="",$P117&lt;&gt;MesCiclo),"",COUNTIF($P$5:$P117,MesCiclo))</f>
        <v/>
      </c>
      <c r="R117" s="70">
        <f>IF($S117="","",IF($S117="Macro",ROW(),IFERROR(LOOKUP(2,1/($S$5:$S117="Macro"),ROW($S$5:$S117)),0)))</f>
        <v/>
      </c>
      <c r="S117" s="70">
        <f>IF(NOT((COUNTA($B117:$K117)+COUNTA($N117))&gt;0),"",IF($B117&lt;&gt;"","Macro",IF($C117&lt;&gt;"","Sub","Macro")))</f>
        <v/>
      </c>
      <c r="T117" s="70">
        <f>IF($S117="Macro",COUNTIFS($R$5:$R$1000,ROW(),$S$5:$S$1000,"Sub"),"")</f>
        <v/>
      </c>
      <c r="U117" s="70">
        <f>IF($S117="","",IF(ISNUMBER($H117),$H117,0))</f>
        <v/>
      </c>
      <c r="V117" s="70">
        <f>IF($S117="","",IF(ISNUMBER($I117),$I117,$U117))</f>
        <v/>
      </c>
      <c r="W117" s="70">
        <f>IF($S117="","",IF(ISNUMBER($J117),$J117,$V117))</f>
        <v/>
      </c>
      <c r="X117" s="70">
        <f>IF($S117="","",IF(ISNUMBER($K117),$K117,$W117))</f>
        <v/>
      </c>
      <c r="Y117" s="70">
        <f>IF($S117="","",IF(N($T117)&gt;0,AVERAGEIFS($U$5:$U$1000,$R$5:$R$1000,ROW(),$S$5:$S$1000,"Sub"),$U117))</f>
        <v/>
      </c>
      <c r="Z117" s="70">
        <f>IF($S117="","",IF(N($T117)&gt;0,AVERAGEIFS($V$5:$V$1000,$R$5:$R$1000,ROW(),$S$5:$S$1000,"Sub"),$V117))</f>
        <v/>
      </c>
      <c r="AA117" s="70">
        <f>IF($S117="","",IF(N($T117)&gt;0,AVERAGEIFS($W$5:$W$1000,$R$5:$R$1000,ROW(),$S$5:$S$1000,"Sub"),$W117))</f>
        <v/>
      </c>
      <c r="AB117" s="70">
        <f>IF($S117="","",IF(N($T117)&gt;0,AVERAGEIFS($X$5:$X$1000,$R$5:$R$1000,ROW(),$S$5:$S$1000,"Sub"),$X117))</f>
        <v/>
      </c>
    </row>
    <row r="118">
      <c r="A118" s="61">
        <f>IF(NOT((COUNTA($B118:$K118)+COUNTA($N118))&gt;0),"",IF($S118="Macro",COUNTIFS($S$5:$S118,"Macro",$P$5:$P118,$P118),IF(N($R118)=0,"?",COUNTIFS(INDEX($S$5:$S$1000,1):INDEX($S$5:$S$1000,$R118-4),"Macro",INDEX($P$5:$P$1000,1):INDEX($P$5:$P$1000,$R118-4),INDEX($P$5:$P$1000,$R118-4))&amp;"."&amp;COUNTIFS($R$5:$R118,$R118,$S$5:$S118,"Sub"))))</f>
        <v/>
      </c>
      <c r="B118" s="62" t="n"/>
      <c r="C118" s="63" t="n"/>
      <c r="D118" s="62" t="n"/>
      <c r="E118" s="64" t="n"/>
      <c r="F118" s="64" t="n"/>
      <c r="G118" s="65" t="n"/>
      <c r="H118" s="66" t="n"/>
      <c r="I118" s="66" t="n"/>
      <c r="J118" s="66" t="n"/>
      <c r="K118" s="66" t="n"/>
      <c r="L118" s="67">
        <f>IF(NOT((COUNTA($B118:$K118)+COUNTA($N118))&gt;0),"",IF(N($T118)&gt;0,$AB118,IFERROR(LOOKUP(2,1/(H118:K118&lt;&gt;""),H118:K118),0)))</f>
        <v/>
      </c>
      <c r="M118" s="61">
        <f>IF(L118="","",IF(L118&gt;=1,"Completado",IF(L118&gt;0,"En curso","Pendiente")))</f>
        <v/>
      </c>
      <c r="N118" s="62" t="n"/>
      <c r="O118" s="68">
        <f>IF(NOT((COUNTA($B118:$K118)+COUNTA($N118))&gt;0),"",IF((IF(AND($S118="Macro",$B118=""),"Macroactividad vacía"&amp;" · ","")&amp;IF(AND($B118&lt;&gt;"",$C118&lt;&gt;""),"Escriba la subactividad en otra fila, debajo de su macroactividad"&amp;" · ","")&amp;IF(AND($S118="Sub",N($R118)=0),"Subactividad sin macroactividad arriba"&amp;" · ","")&amp;IF($D118="","Sin responsable"&amp;" · ","")&amp;IF($E118="","Sin fecha de inicio"&amp;" · ","")&amp;IF($F118="","Sin fecha límite"&amp;" · ","")&amp;IF(OR(AND($E118&lt;&gt;"",NOT(ISNUMBER($E118))),AND($F118&lt;&gt;"",NOT(ISNUMBER($F118)))),"Fecha no válida"&amp;" · ","")&amp;IF(AND(ISNUMBER($E118),ISNUMBER($F118),$E118&gt;$F118),"Inicio posterior a fecha límite"&amp;" · ","")&amp;IF(AND($S118="Macro",$G118=""),"Peso vacío"&amp;" · ","")&amp;IF(AND($S118="Macro",$G118&lt;&gt;"",OR(NOT(ISNUMBER($G118)),$G118&lt;=0,$G118&gt;1)),"Peso fuera de rango"&amp;" · ","")&amp;IF(AND($S118="Sub",$G118&lt;&gt;""),"Las subactividades no llevan peso"&amp;" · ","")&amp;IF(AND($S118="Macro",ABS(SUMIFS($G$5:$G$1000,$P$5:$P$1000,$P118,$S$5:$S$1000,"Macro")-1)&gt;0.0001),"Pesos del mes suman "&amp;TEXT(SUMIFS($G$5:$G$1000,$P$5:$P$1000,$P118,$S$5:$S$1000,"Macro"),"0%")&amp;" · ","")&amp;IF(AND(N($T118)&gt;0,COUNT($H118:$K118)&gt;0),"Con subactividades: deje vacías las semanas (se calculan solas)"&amp;" · ","")&amp;IF((COUNTIF($H118:$K118,"&gt;1")+COUNTIF($H118:$K118,"&lt;0")+COUNTA($H118:$K118)-COUNT($H118:$K118))&gt;0,"Avance fuera de rango 0-100%"&amp;" · ","")&amp;IF(OR(AND($I118&lt;&gt;"",$I118&lt;$H118),AND($J118&lt;&gt;"",$J118&lt;MAX($H118:$I118)),AND($K118&lt;&gt;"",$K118&lt;MAX($H118:$J118))),"Avance semanal decreciente"&amp;" · ","")&amp;IF(AND(ISNUMBER($F118),$F118&lt;FechaRef,N($L118)&lt;1),"Vencida"&amp;" · ","")&amp;IF(AND(ObsObligatoria="Sí",ISNUMBER($F118),$F118&lt;FechaRef,N($L118)&lt;1,$N118=""),"Vencida sin observación"&amp;" · ",""))="","✔ OK","⚠ "&amp;LEFT(IF(AND($S118="Macro",$B118=""),"Macroactividad vacía"&amp;" · ","")&amp;IF(AND($B118&lt;&gt;"",$C118&lt;&gt;""),"Escriba la subactividad en otra fila, debajo de su macroactividad"&amp;" · ","")&amp;IF(AND($S118="Sub",N($R118)=0),"Subactividad sin macroactividad arriba"&amp;" · ","")&amp;IF($D118="","Sin responsable"&amp;" · ","")&amp;IF($E118="","Sin fecha de inicio"&amp;" · ","")&amp;IF($F118="","Sin fecha límite"&amp;" · ","")&amp;IF(OR(AND($E118&lt;&gt;"",NOT(ISNUMBER($E118))),AND($F118&lt;&gt;"",NOT(ISNUMBER($F118)))),"Fecha no válida"&amp;" · ","")&amp;IF(AND(ISNUMBER($E118),ISNUMBER($F118),$E118&gt;$F118),"Inicio posterior a fecha límite"&amp;" · ","")&amp;IF(AND($S118="Macro",$G118=""),"Peso vacío"&amp;" · ","")&amp;IF(AND($S118="Macro",$G118&lt;&gt;"",OR(NOT(ISNUMBER($G118)),$G118&lt;=0,$G118&gt;1)),"Peso fuera de rango"&amp;" · ","")&amp;IF(AND($S118="Sub",$G118&lt;&gt;""),"Las subactividades no llevan peso"&amp;" · ","")&amp;IF(AND($S118="Macro",ABS(SUMIFS($G$5:$G$1000,$P$5:$P$1000,$P118,$S$5:$S$1000,"Macro")-1)&gt;0.0001),"Pesos del mes suman "&amp;TEXT(SUMIFS($G$5:$G$1000,$P$5:$P$1000,$P118,$S$5:$S$1000,"Macro"),"0%")&amp;" · ","")&amp;IF(AND(N($T118)&gt;0,COUNT($H118:$K118)&gt;0),"Con subactividades: deje vacías las semanas (se calculan solas)"&amp;" · ","")&amp;IF((COUNTIF($H118:$K118,"&gt;1")+COUNTIF($H118:$K118,"&lt;0")+COUNTA($H118:$K118)-COUNT($H118:$K118))&gt;0,"Avance fuera de rango 0-100%"&amp;" · ","")&amp;IF(OR(AND($I118&lt;&gt;"",$I118&lt;$H118),AND($J118&lt;&gt;"",$J118&lt;MAX($H118:$I118)),AND($K118&lt;&gt;"",$K118&lt;MAX($H118:$J118))),"Avance semanal decreciente"&amp;" · ","")&amp;IF(AND(ISNUMBER($F118),$F118&lt;FechaRef,N($L118)&lt;1),"Vencida"&amp;" · ","")&amp;IF(AND(ObsObligatoria="Sí",ISNUMBER($F118),$F118&lt;FechaRef,N($L118)&lt;1,$N118=""),"Vencida sin observación"&amp;" · ",""),LEN(IF(AND($S118="Macro",$B118=""),"Macroactividad vacía"&amp;" · ","")&amp;IF(AND($B118&lt;&gt;"",$C118&lt;&gt;""),"Escriba la subactividad en otra fila, debajo de su macroactividad"&amp;" · ","")&amp;IF(AND($S118="Sub",N($R118)=0),"Subactividad sin macroactividad arriba"&amp;" · ","")&amp;IF($D118="","Sin responsable"&amp;" · ","")&amp;IF($E118="","Sin fecha de inicio"&amp;" · ","")&amp;IF($F118="","Sin fecha límite"&amp;" · ","")&amp;IF(OR(AND($E118&lt;&gt;"",NOT(ISNUMBER($E118))),AND($F118&lt;&gt;"",NOT(ISNUMBER($F118)))),"Fecha no válida"&amp;" · ","")&amp;IF(AND(ISNUMBER($E118),ISNUMBER($F118),$E118&gt;$F118),"Inicio posterior a fecha límite"&amp;" · ","")&amp;IF(AND($S118="Macro",$G118=""),"Peso vacío"&amp;" · ","")&amp;IF(AND($S118="Macro",$G118&lt;&gt;"",OR(NOT(ISNUMBER($G118)),$G118&lt;=0,$G118&gt;1)),"Peso fuera de rango"&amp;" · ","")&amp;IF(AND($S118="Sub",$G118&lt;&gt;""),"Las subactividades no llevan peso"&amp;" · ","")&amp;IF(AND($S118="Macro",ABS(SUMIFS($G$5:$G$1000,$P$5:$P$1000,$P118,$S$5:$S$1000,"Macro")-1)&gt;0.0001),"Pesos del mes suman "&amp;TEXT(SUMIFS($G$5:$G$1000,$P$5:$P$1000,$P118,$S$5:$S$1000,"Macro"),"0%")&amp;" · ","")&amp;IF(AND(N($T118)&gt;0,COUNT($H118:$K118)&gt;0),"Con subactividades: deje vacías las semanas (se calculan solas)"&amp;" · ","")&amp;IF((COUNTIF($H118:$K118,"&gt;1")+COUNTIF($H118:$K118,"&lt;0")+COUNTA($H118:$K118)-COUNT($H118:$K118))&gt;0,"Avance fuera de rango 0-100%"&amp;" · ","")&amp;IF(OR(AND($I118&lt;&gt;"",$I118&lt;$H118),AND($J118&lt;&gt;"",$J118&lt;MAX($H118:$I118)),AND($K118&lt;&gt;"",$K118&lt;MAX($H118:$J118))),"Avance semanal decreciente"&amp;" · ","")&amp;IF(AND(ISNUMBER($F118),$F118&lt;FechaRef,N($L118)&lt;1),"Vencida"&amp;" · ","")&amp;IF(AND(ObsObligatoria="Sí",ISNUMBER($F118),$F118&lt;FechaRef,N($L118)&lt;1,$N118=""),"Vencida sin observación"&amp;" · ",""))-3)))</f>
        <v/>
      </c>
      <c r="P118" s="69">
        <f>IF(NOT((COUNTA($B118:$K118)+COUNTA($N118))&gt;0),"",IF(AND($S118="Sub",N($R118)&gt;0),IF(ISNUMBER(INDEX($E$5:$E$1000,$R118-4)),DATE(YEAR(INDEX($E$5:$E$1000,$R118-4)),MONTH(INDEX($E$5:$E$1000,$R118-4)),1),IF(ISNUMBER(INDEX($F$5:$F$1000,$R118-4)),DATE(YEAR(INDEX($F$5:$F$1000,$R118-4)),MONTH(INDEX($F$5:$F$1000,$R118-4)),1),MesCiclo)),IF(ISNUMBER($E118),DATE(YEAR($E118),MONTH($E118),1),IF(ISNUMBER($F118),DATE(YEAR($F118),MONTH($F118),1),MesCiclo))))</f>
        <v/>
      </c>
      <c r="Q118" s="70">
        <f>IF(OR($P118="",$P118&lt;&gt;MesCiclo),"",COUNTIF($P$5:$P118,MesCiclo))</f>
        <v/>
      </c>
      <c r="R118" s="70">
        <f>IF($S118="","",IF($S118="Macro",ROW(),IFERROR(LOOKUP(2,1/($S$5:$S118="Macro"),ROW($S$5:$S118)),0)))</f>
        <v/>
      </c>
      <c r="S118" s="70">
        <f>IF(NOT((COUNTA($B118:$K118)+COUNTA($N118))&gt;0),"",IF($B118&lt;&gt;"","Macro",IF($C118&lt;&gt;"","Sub","Macro")))</f>
        <v/>
      </c>
      <c r="T118" s="70">
        <f>IF($S118="Macro",COUNTIFS($R$5:$R$1000,ROW(),$S$5:$S$1000,"Sub"),"")</f>
        <v/>
      </c>
      <c r="U118" s="70">
        <f>IF($S118="","",IF(ISNUMBER($H118),$H118,0))</f>
        <v/>
      </c>
      <c r="V118" s="70">
        <f>IF($S118="","",IF(ISNUMBER($I118),$I118,$U118))</f>
        <v/>
      </c>
      <c r="W118" s="70">
        <f>IF($S118="","",IF(ISNUMBER($J118),$J118,$V118))</f>
        <v/>
      </c>
      <c r="X118" s="70">
        <f>IF($S118="","",IF(ISNUMBER($K118),$K118,$W118))</f>
        <v/>
      </c>
      <c r="Y118" s="70">
        <f>IF($S118="","",IF(N($T118)&gt;0,AVERAGEIFS($U$5:$U$1000,$R$5:$R$1000,ROW(),$S$5:$S$1000,"Sub"),$U118))</f>
        <v/>
      </c>
      <c r="Z118" s="70">
        <f>IF($S118="","",IF(N($T118)&gt;0,AVERAGEIFS($V$5:$V$1000,$R$5:$R$1000,ROW(),$S$5:$S$1000,"Sub"),$V118))</f>
        <v/>
      </c>
      <c r="AA118" s="70">
        <f>IF($S118="","",IF(N($T118)&gt;0,AVERAGEIFS($W$5:$W$1000,$R$5:$R$1000,ROW(),$S$5:$S$1000,"Sub"),$W118))</f>
        <v/>
      </c>
      <c r="AB118" s="70">
        <f>IF($S118="","",IF(N($T118)&gt;0,AVERAGEIFS($X$5:$X$1000,$R$5:$R$1000,ROW(),$S$5:$S$1000,"Sub"),$X118))</f>
        <v/>
      </c>
    </row>
    <row r="119">
      <c r="A119" s="61">
        <f>IF(NOT((COUNTA($B119:$K119)+COUNTA($N119))&gt;0),"",IF($S119="Macro",COUNTIFS($S$5:$S119,"Macro",$P$5:$P119,$P119),IF(N($R119)=0,"?",COUNTIFS(INDEX($S$5:$S$1000,1):INDEX($S$5:$S$1000,$R119-4),"Macro",INDEX($P$5:$P$1000,1):INDEX($P$5:$P$1000,$R119-4),INDEX($P$5:$P$1000,$R119-4))&amp;"."&amp;COUNTIFS($R$5:$R119,$R119,$S$5:$S119,"Sub"))))</f>
        <v/>
      </c>
      <c r="B119" s="62" t="n"/>
      <c r="C119" s="63" t="n"/>
      <c r="D119" s="62" t="n"/>
      <c r="E119" s="64" t="n"/>
      <c r="F119" s="64" t="n"/>
      <c r="G119" s="65" t="n"/>
      <c r="H119" s="66" t="n"/>
      <c r="I119" s="66" t="n"/>
      <c r="J119" s="66" t="n"/>
      <c r="K119" s="66" t="n"/>
      <c r="L119" s="67">
        <f>IF(NOT((COUNTA($B119:$K119)+COUNTA($N119))&gt;0),"",IF(N($T119)&gt;0,$AB119,IFERROR(LOOKUP(2,1/(H119:K119&lt;&gt;""),H119:K119),0)))</f>
        <v/>
      </c>
      <c r="M119" s="61">
        <f>IF(L119="","",IF(L119&gt;=1,"Completado",IF(L119&gt;0,"En curso","Pendiente")))</f>
        <v/>
      </c>
      <c r="N119" s="62" t="n"/>
      <c r="O119" s="68">
        <f>IF(NOT((COUNTA($B119:$K119)+COUNTA($N119))&gt;0),"",IF((IF(AND($S119="Macro",$B119=""),"Macroactividad vacía"&amp;" · ","")&amp;IF(AND($B119&lt;&gt;"",$C119&lt;&gt;""),"Escriba la subactividad en otra fila, debajo de su macroactividad"&amp;" · ","")&amp;IF(AND($S119="Sub",N($R119)=0),"Subactividad sin macroactividad arriba"&amp;" · ","")&amp;IF($D119="","Sin responsable"&amp;" · ","")&amp;IF($E119="","Sin fecha de inicio"&amp;" · ","")&amp;IF($F119="","Sin fecha límite"&amp;" · ","")&amp;IF(OR(AND($E119&lt;&gt;"",NOT(ISNUMBER($E119))),AND($F119&lt;&gt;"",NOT(ISNUMBER($F119)))),"Fecha no válida"&amp;" · ","")&amp;IF(AND(ISNUMBER($E119),ISNUMBER($F119),$E119&gt;$F119),"Inicio posterior a fecha límite"&amp;" · ","")&amp;IF(AND($S119="Macro",$G119=""),"Peso vacío"&amp;" · ","")&amp;IF(AND($S119="Macro",$G119&lt;&gt;"",OR(NOT(ISNUMBER($G119)),$G119&lt;=0,$G119&gt;1)),"Peso fuera de rango"&amp;" · ","")&amp;IF(AND($S119="Sub",$G119&lt;&gt;""),"Las subactividades no llevan peso"&amp;" · ","")&amp;IF(AND($S119="Macro",ABS(SUMIFS($G$5:$G$1000,$P$5:$P$1000,$P119,$S$5:$S$1000,"Macro")-1)&gt;0.0001),"Pesos del mes suman "&amp;TEXT(SUMIFS($G$5:$G$1000,$P$5:$P$1000,$P119,$S$5:$S$1000,"Macro"),"0%")&amp;" · ","")&amp;IF(AND(N($T119)&gt;0,COUNT($H119:$K119)&gt;0),"Con subactividades: deje vacías las semanas (se calculan solas)"&amp;" · ","")&amp;IF((COUNTIF($H119:$K119,"&gt;1")+COUNTIF($H119:$K119,"&lt;0")+COUNTA($H119:$K119)-COUNT($H119:$K119))&gt;0,"Avance fuera de rango 0-100%"&amp;" · ","")&amp;IF(OR(AND($I119&lt;&gt;"",$I119&lt;$H119),AND($J119&lt;&gt;"",$J119&lt;MAX($H119:$I119)),AND($K119&lt;&gt;"",$K119&lt;MAX($H119:$J119))),"Avance semanal decreciente"&amp;" · ","")&amp;IF(AND(ISNUMBER($F119),$F119&lt;FechaRef,N($L119)&lt;1),"Vencida"&amp;" · ","")&amp;IF(AND(ObsObligatoria="Sí",ISNUMBER($F119),$F119&lt;FechaRef,N($L119)&lt;1,$N119=""),"Vencida sin observación"&amp;" · ",""))="","✔ OK","⚠ "&amp;LEFT(IF(AND($S119="Macro",$B119=""),"Macroactividad vacía"&amp;" · ","")&amp;IF(AND($B119&lt;&gt;"",$C119&lt;&gt;""),"Escriba la subactividad en otra fila, debajo de su macroactividad"&amp;" · ","")&amp;IF(AND($S119="Sub",N($R119)=0),"Subactividad sin macroactividad arriba"&amp;" · ","")&amp;IF($D119="","Sin responsable"&amp;" · ","")&amp;IF($E119="","Sin fecha de inicio"&amp;" · ","")&amp;IF($F119="","Sin fecha límite"&amp;" · ","")&amp;IF(OR(AND($E119&lt;&gt;"",NOT(ISNUMBER($E119))),AND($F119&lt;&gt;"",NOT(ISNUMBER($F119)))),"Fecha no válida"&amp;" · ","")&amp;IF(AND(ISNUMBER($E119),ISNUMBER($F119),$E119&gt;$F119),"Inicio posterior a fecha límite"&amp;" · ","")&amp;IF(AND($S119="Macro",$G119=""),"Peso vacío"&amp;" · ","")&amp;IF(AND($S119="Macro",$G119&lt;&gt;"",OR(NOT(ISNUMBER($G119)),$G119&lt;=0,$G119&gt;1)),"Peso fuera de rango"&amp;" · ","")&amp;IF(AND($S119="Sub",$G119&lt;&gt;""),"Las subactividades no llevan peso"&amp;" · ","")&amp;IF(AND($S119="Macro",ABS(SUMIFS($G$5:$G$1000,$P$5:$P$1000,$P119,$S$5:$S$1000,"Macro")-1)&gt;0.0001),"Pesos del mes suman "&amp;TEXT(SUMIFS($G$5:$G$1000,$P$5:$P$1000,$P119,$S$5:$S$1000,"Macro"),"0%")&amp;" · ","")&amp;IF(AND(N($T119)&gt;0,COUNT($H119:$K119)&gt;0),"Con subactividades: deje vacías las semanas (se calculan solas)"&amp;" · ","")&amp;IF((COUNTIF($H119:$K119,"&gt;1")+COUNTIF($H119:$K119,"&lt;0")+COUNTA($H119:$K119)-COUNT($H119:$K119))&gt;0,"Avance fuera de rango 0-100%"&amp;" · ","")&amp;IF(OR(AND($I119&lt;&gt;"",$I119&lt;$H119),AND($J119&lt;&gt;"",$J119&lt;MAX($H119:$I119)),AND($K119&lt;&gt;"",$K119&lt;MAX($H119:$J119))),"Avance semanal decreciente"&amp;" · ","")&amp;IF(AND(ISNUMBER($F119),$F119&lt;FechaRef,N($L119)&lt;1),"Vencida"&amp;" · ","")&amp;IF(AND(ObsObligatoria="Sí",ISNUMBER($F119),$F119&lt;FechaRef,N($L119)&lt;1,$N119=""),"Vencida sin observación"&amp;" · ",""),LEN(IF(AND($S119="Macro",$B119=""),"Macroactividad vacía"&amp;" · ","")&amp;IF(AND($B119&lt;&gt;"",$C119&lt;&gt;""),"Escriba la subactividad en otra fila, debajo de su macroactividad"&amp;" · ","")&amp;IF(AND($S119="Sub",N($R119)=0),"Subactividad sin macroactividad arriba"&amp;" · ","")&amp;IF($D119="","Sin responsable"&amp;" · ","")&amp;IF($E119="","Sin fecha de inicio"&amp;" · ","")&amp;IF($F119="","Sin fecha límite"&amp;" · ","")&amp;IF(OR(AND($E119&lt;&gt;"",NOT(ISNUMBER($E119))),AND($F119&lt;&gt;"",NOT(ISNUMBER($F119)))),"Fecha no válida"&amp;" · ","")&amp;IF(AND(ISNUMBER($E119),ISNUMBER($F119),$E119&gt;$F119),"Inicio posterior a fecha límite"&amp;" · ","")&amp;IF(AND($S119="Macro",$G119=""),"Peso vacío"&amp;" · ","")&amp;IF(AND($S119="Macro",$G119&lt;&gt;"",OR(NOT(ISNUMBER($G119)),$G119&lt;=0,$G119&gt;1)),"Peso fuera de rango"&amp;" · ","")&amp;IF(AND($S119="Sub",$G119&lt;&gt;""),"Las subactividades no llevan peso"&amp;" · ","")&amp;IF(AND($S119="Macro",ABS(SUMIFS($G$5:$G$1000,$P$5:$P$1000,$P119,$S$5:$S$1000,"Macro")-1)&gt;0.0001),"Pesos del mes suman "&amp;TEXT(SUMIFS($G$5:$G$1000,$P$5:$P$1000,$P119,$S$5:$S$1000,"Macro"),"0%")&amp;" · ","")&amp;IF(AND(N($T119)&gt;0,COUNT($H119:$K119)&gt;0),"Con subactividades: deje vacías las semanas (se calculan solas)"&amp;" · ","")&amp;IF((COUNTIF($H119:$K119,"&gt;1")+COUNTIF($H119:$K119,"&lt;0")+COUNTA($H119:$K119)-COUNT($H119:$K119))&gt;0,"Avance fuera de rango 0-100%"&amp;" · ","")&amp;IF(OR(AND($I119&lt;&gt;"",$I119&lt;$H119),AND($J119&lt;&gt;"",$J119&lt;MAX($H119:$I119)),AND($K119&lt;&gt;"",$K119&lt;MAX($H119:$J119))),"Avance semanal decreciente"&amp;" · ","")&amp;IF(AND(ISNUMBER($F119),$F119&lt;FechaRef,N($L119)&lt;1),"Vencida"&amp;" · ","")&amp;IF(AND(ObsObligatoria="Sí",ISNUMBER($F119),$F119&lt;FechaRef,N($L119)&lt;1,$N119=""),"Vencida sin observación"&amp;" · ",""))-3)))</f>
        <v/>
      </c>
      <c r="P119" s="69">
        <f>IF(NOT((COUNTA($B119:$K119)+COUNTA($N119))&gt;0),"",IF(AND($S119="Sub",N($R119)&gt;0),IF(ISNUMBER(INDEX($E$5:$E$1000,$R119-4)),DATE(YEAR(INDEX($E$5:$E$1000,$R119-4)),MONTH(INDEX($E$5:$E$1000,$R119-4)),1),IF(ISNUMBER(INDEX($F$5:$F$1000,$R119-4)),DATE(YEAR(INDEX($F$5:$F$1000,$R119-4)),MONTH(INDEX($F$5:$F$1000,$R119-4)),1),MesCiclo)),IF(ISNUMBER($E119),DATE(YEAR($E119),MONTH($E119),1),IF(ISNUMBER($F119),DATE(YEAR($F119),MONTH($F119),1),MesCiclo))))</f>
        <v/>
      </c>
      <c r="Q119" s="70">
        <f>IF(OR($P119="",$P119&lt;&gt;MesCiclo),"",COUNTIF($P$5:$P119,MesCiclo))</f>
        <v/>
      </c>
      <c r="R119" s="70">
        <f>IF($S119="","",IF($S119="Macro",ROW(),IFERROR(LOOKUP(2,1/($S$5:$S119="Macro"),ROW($S$5:$S119)),0)))</f>
        <v/>
      </c>
      <c r="S119" s="70">
        <f>IF(NOT((COUNTA($B119:$K119)+COUNTA($N119))&gt;0),"",IF($B119&lt;&gt;"","Macro",IF($C119&lt;&gt;"","Sub","Macro")))</f>
        <v/>
      </c>
      <c r="T119" s="70">
        <f>IF($S119="Macro",COUNTIFS($R$5:$R$1000,ROW(),$S$5:$S$1000,"Sub"),"")</f>
        <v/>
      </c>
      <c r="U119" s="70">
        <f>IF($S119="","",IF(ISNUMBER($H119),$H119,0))</f>
        <v/>
      </c>
      <c r="V119" s="70">
        <f>IF($S119="","",IF(ISNUMBER($I119),$I119,$U119))</f>
        <v/>
      </c>
      <c r="W119" s="70">
        <f>IF($S119="","",IF(ISNUMBER($J119),$J119,$V119))</f>
        <v/>
      </c>
      <c r="X119" s="70">
        <f>IF($S119="","",IF(ISNUMBER($K119),$K119,$W119))</f>
        <v/>
      </c>
      <c r="Y119" s="70">
        <f>IF($S119="","",IF(N($T119)&gt;0,AVERAGEIFS($U$5:$U$1000,$R$5:$R$1000,ROW(),$S$5:$S$1000,"Sub"),$U119))</f>
        <v/>
      </c>
      <c r="Z119" s="70">
        <f>IF($S119="","",IF(N($T119)&gt;0,AVERAGEIFS($V$5:$V$1000,$R$5:$R$1000,ROW(),$S$5:$S$1000,"Sub"),$V119))</f>
        <v/>
      </c>
      <c r="AA119" s="70">
        <f>IF($S119="","",IF(N($T119)&gt;0,AVERAGEIFS($W$5:$W$1000,$R$5:$R$1000,ROW(),$S$5:$S$1000,"Sub"),$W119))</f>
        <v/>
      </c>
      <c r="AB119" s="70">
        <f>IF($S119="","",IF(N($T119)&gt;0,AVERAGEIFS($X$5:$X$1000,$R$5:$R$1000,ROW(),$S$5:$S$1000,"Sub"),$X119))</f>
        <v/>
      </c>
    </row>
    <row r="120">
      <c r="A120" s="61">
        <f>IF(NOT((COUNTA($B120:$K120)+COUNTA($N120))&gt;0),"",IF($S120="Macro",COUNTIFS($S$5:$S120,"Macro",$P$5:$P120,$P120),IF(N($R120)=0,"?",COUNTIFS(INDEX($S$5:$S$1000,1):INDEX($S$5:$S$1000,$R120-4),"Macro",INDEX($P$5:$P$1000,1):INDEX($P$5:$P$1000,$R120-4),INDEX($P$5:$P$1000,$R120-4))&amp;"."&amp;COUNTIFS($R$5:$R120,$R120,$S$5:$S120,"Sub"))))</f>
        <v/>
      </c>
      <c r="B120" s="62" t="n"/>
      <c r="C120" s="63" t="n"/>
      <c r="D120" s="62" t="n"/>
      <c r="E120" s="64" t="n"/>
      <c r="F120" s="64" t="n"/>
      <c r="G120" s="65" t="n"/>
      <c r="H120" s="66" t="n"/>
      <c r="I120" s="66" t="n"/>
      <c r="J120" s="66" t="n"/>
      <c r="K120" s="66" t="n"/>
      <c r="L120" s="67">
        <f>IF(NOT((COUNTA($B120:$K120)+COUNTA($N120))&gt;0),"",IF(N($T120)&gt;0,$AB120,IFERROR(LOOKUP(2,1/(H120:K120&lt;&gt;""),H120:K120),0)))</f>
        <v/>
      </c>
      <c r="M120" s="61">
        <f>IF(L120="","",IF(L120&gt;=1,"Completado",IF(L120&gt;0,"En curso","Pendiente")))</f>
        <v/>
      </c>
      <c r="N120" s="62" t="n"/>
      <c r="O120" s="68">
        <f>IF(NOT((COUNTA($B120:$K120)+COUNTA($N120))&gt;0),"",IF((IF(AND($S120="Macro",$B120=""),"Macroactividad vacía"&amp;" · ","")&amp;IF(AND($B120&lt;&gt;"",$C120&lt;&gt;""),"Escriba la subactividad en otra fila, debajo de su macroactividad"&amp;" · ","")&amp;IF(AND($S120="Sub",N($R120)=0),"Subactividad sin macroactividad arriba"&amp;" · ","")&amp;IF($D120="","Sin responsable"&amp;" · ","")&amp;IF($E120="","Sin fecha de inicio"&amp;" · ","")&amp;IF($F120="","Sin fecha límite"&amp;" · ","")&amp;IF(OR(AND($E120&lt;&gt;"",NOT(ISNUMBER($E120))),AND($F120&lt;&gt;"",NOT(ISNUMBER($F120)))),"Fecha no válida"&amp;" · ","")&amp;IF(AND(ISNUMBER($E120),ISNUMBER($F120),$E120&gt;$F120),"Inicio posterior a fecha límite"&amp;" · ","")&amp;IF(AND($S120="Macro",$G120=""),"Peso vacío"&amp;" · ","")&amp;IF(AND($S120="Macro",$G120&lt;&gt;"",OR(NOT(ISNUMBER($G120)),$G120&lt;=0,$G120&gt;1)),"Peso fuera de rango"&amp;" · ","")&amp;IF(AND($S120="Sub",$G120&lt;&gt;""),"Las subactividades no llevan peso"&amp;" · ","")&amp;IF(AND($S120="Macro",ABS(SUMIFS($G$5:$G$1000,$P$5:$P$1000,$P120,$S$5:$S$1000,"Macro")-1)&gt;0.0001),"Pesos del mes suman "&amp;TEXT(SUMIFS($G$5:$G$1000,$P$5:$P$1000,$P120,$S$5:$S$1000,"Macro"),"0%")&amp;" · ","")&amp;IF(AND(N($T120)&gt;0,COUNT($H120:$K120)&gt;0),"Con subactividades: deje vacías las semanas (se calculan solas)"&amp;" · ","")&amp;IF((COUNTIF($H120:$K120,"&gt;1")+COUNTIF($H120:$K120,"&lt;0")+COUNTA($H120:$K120)-COUNT($H120:$K120))&gt;0,"Avance fuera de rango 0-100%"&amp;" · ","")&amp;IF(OR(AND($I120&lt;&gt;"",$I120&lt;$H120),AND($J120&lt;&gt;"",$J120&lt;MAX($H120:$I120)),AND($K120&lt;&gt;"",$K120&lt;MAX($H120:$J120))),"Avance semanal decreciente"&amp;" · ","")&amp;IF(AND(ISNUMBER($F120),$F120&lt;FechaRef,N($L120)&lt;1),"Vencida"&amp;" · ","")&amp;IF(AND(ObsObligatoria="Sí",ISNUMBER($F120),$F120&lt;FechaRef,N($L120)&lt;1,$N120=""),"Vencida sin observación"&amp;" · ",""))="","✔ OK","⚠ "&amp;LEFT(IF(AND($S120="Macro",$B120=""),"Macroactividad vacía"&amp;" · ","")&amp;IF(AND($B120&lt;&gt;"",$C120&lt;&gt;""),"Escriba la subactividad en otra fila, debajo de su macroactividad"&amp;" · ","")&amp;IF(AND($S120="Sub",N($R120)=0),"Subactividad sin macroactividad arriba"&amp;" · ","")&amp;IF($D120="","Sin responsable"&amp;" · ","")&amp;IF($E120="","Sin fecha de inicio"&amp;" · ","")&amp;IF($F120="","Sin fecha límite"&amp;" · ","")&amp;IF(OR(AND($E120&lt;&gt;"",NOT(ISNUMBER($E120))),AND($F120&lt;&gt;"",NOT(ISNUMBER($F120)))),"Fecha no válida"&amp;" · ","")&amp;IF(AND(ISNUMBER($E120),ISNUMBER($F120),$E120&gt;$F120),"Inicio posterior a fecha límite"&amp;" · ","")&amp;IF(AND($S120="Macro",$G120=""),"Peso vacío"&amp;" · ","")&amp;IF(AND($S120="Macro",$G120&lt;&gt;"",OR(NOT(ISNUMBER($G120)),$G120&lt;=0,$G120&gt;1)),"Peso fuera de rango"&amp;" · ","")&amp;IF(AND($S120="Sub",$G120&lt;&gt;""),"Las subactividades no llevan peso"&amp;" · ","")&amp;IF(AND($S120="Macro",ABS(SUMIFS($G$5:$G$1000,$P$5:$P$1000,$P120,$S$5:$S$1000,"Macro")-1)&gt;0.0001),"Pesos del mes suman "&amp;TEXT(SUMIFS($G$5:$G$1000,$P$5:$P$1000,$P120,$S$5:$S$1000,"Macro"),"0%")&amp;" · ","")&amp;IF(AND(N($T120)&gt;0,COUNT($H120:$K120)&gt;0),"Con subactividades: deje vacías las semanas (se calculan solas)"&amp;" · ","")&amp;IF((COUNTIF($H120:$K120,"&gt;1")+COUNTIF($H120:$K120,"&lt;0")+COUNTA($H120:$K120)-COUNT($H120:$K120))&gt;0,"Avance fuera de rango 0-100%"&amp;" · ","")&amp;IF(OR(AND($I120&lt;&gt;"",$I120&lt;$H120),AND($J120&lt;&gt;"",$J120&lt;MAX($H120:$I120)),AND($K120&lt;&gt;"",$K120&lt;MAX($H120:$J120))),"Avance semanal decreciente"&amp;" · ","")&amp;IF(AND(ISNUMBER($F120),$F120&lt;FechaRef,N($L120)&lt;1),"Vencida"&amp;" · ","")&amp;IF(AND(ObsObligatoria="Sí",ISNUMBER($F120),$F120&lt;FechaRef,N($L120)&lt;1,$N120=""),"Vencida sin observación"&amp;" · ",""),LEN(IF(AND($S120="Macro",$B120=""),"Macroactividad vacía"&amp;" · ","")&amp;IF(AND($B120&lt;&gt;"",$C120&lt;&gt;""),"Escriba la subactividad en otra fila, debajo de su macroactividad"&amp;" · ","")&amp;IF(AND($S120="Sub",N($R120)=0),"Subactividad sin macroactividad arriba"&amp;" · ","")&amp;IF($D120="","Sin responsable"&amp;" · ","")&amp;IF($E120="","Sin fecha de inicio"&amp;" · ","")&amp;IF($F120="","Sin fecha límite"&amp;" · ","")&amp;IF(OR(AND($E120&lt;&gt;"",NOT(ISNUMBER($E120))),AND($F120&lt;&gt;"",NOT(ISNUMBER($F120)))),"Fecha no válida"&amp;" · ","")&amp;IF(AND(ISNUMBER($E120),ISNUMBER($F120),$E120&gt;$F120),"Inicio posterior a fecha límite"&amp;" · ","")&amp;IF(AND($S120="Macro",$G120=""),"Peso vacío"&amp;" · ","")&amp;IF(AND($S120="Macro",$G120&lt;&gt;"",OR(NOT(ISNUMBER($G120)),$G120&lt;=0,$G120&gt;1)),"Peso fuera de rango"&amp;" · ","")&amp;IF(AND($S120="Sub",$G120&lt;&gt;""),"Las subactividades no llevan peso"&amp;" · ","")&amp;IF(AND($S120="Macro",ABS(SUMIFS($G$5:$G$1000,$P$5:$P$1000,$P120,$S$5:$S$1000,"Macro")-1)&gt;0.0001),"Pesos del mes suman "&amp;TEXT(SUMIFS($G$5:$G$1000,$P$5:$P$1000,$P120,$S$5:$S$1000,"Macro"),"0%")&amp;" · ","")&amp;IF(AND(N($T120)&gt;0,COUNT($H120:$K120)&gt;0),"Con subactividades: deje vacías las semanas (se calculan solas)"&amp;" · ","")&amp;IF((COUNTIF($H120:$K120,"&gt;1")+COUNTIF($H120:$K120,"&lt;0")+COUNTA($H120:$K120)-COUNT($H120:$K120))&gt;0,"Avance fuera de rango 0-100%"&amp;" · ","")&amp;IF(OR(AND($I120&lt;&gt;"",$I120&lt;$H120),AND($J120&lt;&gt;"",$J120&lt;MAX($H120:$I120)),AND($K120&lt;&gt;"",$K120&lt;MAX($H120:$J120))),"Avance semanal decreciente"&amp;" · ","")&amp;IF(AND(ISNUMBER($F120),$F120&lt;FechaRef,N($L120)&lt;1),"Vencida"&amp;" · ","")&amp;IF(AND(ObsObligatoria="Sí",ISNUMBER($F120),$F120&lt;FechaRef,N($L120)&lt;1,$N120=""),"Vencida sin observación"&amp;" · ",""))-3)))</f>
        <v/>
      </c>
      <c r="P120" s="69">
        <f>IF(NOT((COUNTA($B120:$K120)+COUNTA($N120))&gt;0),"",IF(AND($S120="Sub",N($R120)&gt;0),IF(ISNUMBER(INDEX($E$5:$E$1000,$R120-4)),DATE(YEAR(INDEX($E$5:$E$1000,$R120-4)),MONTH(INDEX($E$5:$E$1000,$R120-4)),1),IF(ISNUMBER(INDEX($F$5:$F$1000,$R120-4)),DATE(YEAR(INDEX($F$5:$F$1000,$R120-4)),MONTH(INDEX($F$5:$F$1000,$R120-4)),1),MesCiclo)),IF(ISNUMBER($E120),DATE(YEAR($E120),MONTH($E120),1),IF(ISNUMBER($F120),DATE(YEAR($F120),MONTH($F120),1),MesCiclo))))</f>
        <v/>
      </c>
      <c r="Q120" s="70">
        <f>IF(OR($P120="",$P120&lt;&gt;MesCiclo),"",COUNTIF($P$5:$P120,MesCiclo))</f>
        <v/>
      </c>
      <c r="R120" s="70">
        <f>IF($S120="","",IF($S120="Macro",ROW(),IFERROR(LOOKUP(2,1/($S$5:$S120="Macro"),ROW($S$5:$S120)),0)))</f>
        <v/>
      </c>
      <c r="S120" s="70">
        <f>IF(NOT((COUNTA($B120:$K120)+COUNTA($N120))&gt;0),"",IF($B120&lt;&gt;"","Macro",IF($C120&lt;&gt;"","Sub","Macro")))</f>
        <v/>
      </c>
      <c r="T120" s="70">
        <f>IF($S120="Macro",COUNTIFS($R$5:$R$1000,ROW(),$S$5:$S$1000,"Sub"),"")</f>
        <v/>
      </c>
      <c r="U120" s="70">
        <f>IF($S120="","",IF(ISNUMBER($H120),$H120,0))</f>
        <v/>
      </c>
      <c r="V120" s="70">
        <f>IF($S120="","",IF(ISNUMBER($I120),$I120,$U120))</f>
        <v/>
      </c>
      <c r="W120" s="70">
        <f>IF($S120="","",IF(ISNUMBER($J120),$J120,$V120))</f>
        <v/>
      </c>
      <c r="X120" s="70">
        <f>IF($S120="","",IF(ISNUMBER($K120),$K120,$W120))</f>
        <v/>
      </c>
      <c r="Y120" s="70">
        <f>IF($S120="","",IF(N($T120)&gt;0,AVERAGEIFS($U$5:$U$1000,$R$5:$R$1000,ROW(),$S$5:$S$1000,"Sub"),$U120))</f>
        <v/>
      </c>
      <c r="Z120" s="70">
        <f>IF($S120="","",IF(N($T120)&gt;0,AVERAGEIFS($V$5:$V$1000,$R$5:$R$1000,ROW(),$S$5:$S$1000,"Sub"),$V120))</f>
        <v/>
      </c>
      <c r="AA120" s="70">
        <f>IF($S120="","",IF(N($T120)&gt;0,AVERAGEIFS($W$5:$W$1000,$R$5:$R$1000,ROW(),$S$5:$S$1000,"Sub"),$W120))</f>
        <v/>
      </c>
      <c r="AB120" s="70">
        <f>IF($S120="","",IF(N($T120)&gt;0,AVERAGEIFS($X$5:$X$1000,$R$5:$R$1000,ROW(),$S$5:$S$1000,"Sub"),$X120))</f>
        <v/>
      </c>
    </row>
    <row r="121">
      <c r="A121" s="61">
        <f>IF(NOT((COUNTA($B121:$K121)+COUNTA($N121))&gt;0),"",IF($S121="Macro",COUNTIFS($S$5:$S121,"Macro",$P$5:$P121,$P121),IF(N($R121)=0,"?",COUNTIFS(INDEX($S$5:$S$1000,1):INDEX($S$5:$S$1000,$R121-4),"Macro",INDEX($P$5:$P$1000,1):INDEX($P$5:$P$1000,$R121-4),INDEX($P$5:$P$1000,$R121-4))&amp;"."&amp;COUNTIFS($R$5:$R121,$R121,$S$5:$S121,"Sub"))))</f>
        <v/>
      </c>
      <c r="B121" s="62" t="n"/>
      <c r="C121" s="63" t="n"/>
      <c r="D121" s="62" t="n"/>
      <c r="E121" s="64" t="n"/>
      <c r="F121" s="64" t="n"/>
      <c r="G121" s="65" t="n"/>
      <c r="H121" s="66" t="n"/>
      <c r="I121" s="66" t="n"/>
      <c r="J121" s="66" t="n"/>
      <c r="K121" s="66" t="n"/>
      <c r="L121" s="67">
        <f>IF(NOT((COUNTA($B121:$K121)+COUNTA($N121))&gt;0),"",IF(N($T121)&gt;0,$AB121,IFERROR(LOOKUP(2,1/(H121:K121&lt;&gt;""),H121:K121),0)))</f>
        <v/>
      </c>
      <c r="M121" s="61">
        <f>IF(L121="","",IF(L121&gt;=1,"Completado",IF(L121&gt;0,"En curso","Pendiente")))</f>
        <v/>
      </c>
      <c r="N121" s="62" t="n"/>
      <c r="O121" s="68">
        <f>IF(NOT((COUNTA($B121:$K121)+COUNTA($N121))&gt;0),"",IF((IF(AND($S121="Macro",$B121=""),"Macroactividad vacía"&amp;" · ","")&amp;IF(AND($B121&lt;&gt;"",$C121&lt;&gt;""),"Escriba la subactividad en otra fila, debajo de su macroactividad"&amp;" · ","")&amp;IF(AND($S121="Sub",N($R121)=0),"Subactividad sin macroactividad arriba"&amp;" · ","")&amp;IF($D121="","Sin responsable"&amp;" · ","")&amp;IF($E121="","Sin fecha de inicio"&amp;" · ","")&amp;IF($F121="","Sin fecha límite"&amp;" · ","")&amp;IF(OR(AND($E121&lt;&gt;"",NOT(ISNUMBER($E121))),AND($F121&lt;&gt;"",NOT(ISNUMBER($F121)))),"Fecha no válida"&amp;" · ","")&amp;IF(AND(ISNUMBER($E121),ISNUMBER($F121),$E121&gt;$F121),"Inicio posterior a fecha límite"&amp;" · ","")&amp;IF(AND($S121="Macro",$G121=""),"Peso vacío"&amp;" · ","")&amp;IF(AND($S121="Macro",$G121&lt;&gt;"",OR(NOT(ISNUMBER($G121)),$G121&lt;=0,$G121&gt;1)),"Peso fuera de rango"&amp;" · ","")&amp;IF(AND($S121="Sub",$G121&lt;&gt;""),"Las subactividades no llevan peso"&amp;" · ","")&amp;IF(AND($S121="Macro",ABS(SUMIFS($G$5:$G$1000,$P$5:$P$1000,$P121,$S$5:$S$1000,"Macro")-1)&gt;0.0001),"Pesos del mes suman "&amp;TEXT(SUMIFS($G$5:$G$1000,$P$5:$P$1000,$P121,$S$5:$S$1000,"Macro"),"0%")&amp;" · ","")&amp;IF(AND(N($T121)&gt;0,COUNT($H121:$K121)&gt;0),"Con subactividades: deje vacías las semanas (se calculan solas)"&amp;" · ","")&amp;IF((COUNTIF($H121:$K121,"&gt;1")+COUNTIF($H121:$K121,"&lt;0")+COUNTA($H121:$K121)-COUNT($H121:$K121))&gt;0,"Avance fuera de rango 0-100%"&amp;" · ","")&amp;IF(OR(AND($I121&lt;&gt;"",$I121&lt;$H121),AND($J121&lt;&gt;"",$J121&lt;MAX($H121:$I121)),AND($K121&lt;&gt;"",$K121&lt;MAX($H121:$J121))),"Avance semanal decreciente"&amp;" · ","")&amp;IF(AND(ISNUMBER($F121),$F121&lt;FechaRef,N($L121)&lt;1),"Vencida"&amp;" · ","")&amp;IF(AND(ObsObligatoria="Sí",ISNUMBER($F121),$F121&lt;FechaRef,N($L121)&lt;1,$N121=""),"Vencida sin observación"&amp;" · ",""))="","✔ OK","⚠ "&amp;LEFT(IF(AND($S121="Macro",$B121=""),"Macroactividad vacía"&amp;" · ","")&amp;IF(AND($B121&lt;&gt;"",$C121&lt;&gt;""),"Escriba la subactividad en otra fila, debajo de su macroactividad"&amp;" · ","")&amp;IF(AND($S121="Sub",N($R121)=0),"Subactividad sin macroactividad arriba"&amp;" · ","")&amp;IF($D121="","Sin responsable"&amp;" · ","")&amp;IF($E121="","Sin fecha de inicio"&amp;" · ","")&amp;IF($F121="","Sin fecha límite"&amp;" · ","")&amp;IF(OR(AND($E121&lt;&gt;"",NOT(ISNUMBER($E121))),AND($F121&lt;&gt;"",NOT(ISNUMBER($F121)))),"Fecha no válida"&amp;" · ","")&amp;IF(AND(ISNUMBER($E121),ISNUMBER($F121),$E121&gt;$F121),"Inicio posterior a fecha límite"&amp;" · ","")&amp;IF(AND($S121="Macro",$G121=""),"Peso vacío"&amp;" · ","")&amp;IF(AND($S121="Macro",$G121&lt;&gt;"",OR(NOT(ISNUMBER($G121)),$G121&lt;=0,$G121&gt;1)),"Peso fuera de rango"&amp;" · ","")&amp;IF(AND($S121="Sub",$G121&lt;&gt;""),"Las subactividades no llevan peso"&amp;" · ","")&amp;IF(AND($S121="Macro",ABS(SUMIFS($G$5:$G$1000,$P$5:$P$1000,$P121,$S$5:$S$1000,"Macro")-1)&gt;0.0001),"Pesos del mes suman "&amp;TEXT(SUMIFS($G$5:$G$1000,$P$5:$P$1000,$P121,$S$5:$S$1000,"Macro"),"0%")&amp;" · ","")&amp;IF(AND(N($T121)&gt;0,COUNT($H121:$K121)&gt;0),"Con subactividades: deje vacías las semanas (se calculan solas)"&amp;" · ","")&amp;IF((COUNTIF($H121:$K121,"&gt;1")+COUNTIF($H121:$K121,"&lt;0")+COUNTA($H121:$K121)-COUNT($H121:$K121))&gt;0,"Avance fuera de rango 0-100%"&amp;" · ","")&amp;IF(OR(AND($I121&lt;&gt;"",$I121&lt;$H121),AND($J121&lt;&gt;"",$J121&lt;MAX($H121:$I121)),AND($K121&lt;&gt;"",$K121&lt;MAX($H121:$J121))),"Avance semanal decreciente"&amp;" · ","")&amp;IF(AND(ISNUMBER($F121),$F121&lt;FechaRef,N($L121)&lt;1),"Vencida"&amp;" · ","")&amp;IF(AND(ObsObligatoria="Sí",ISNUMBER($F121),$F121&lt;FechaRef,N($L121)&lt;1,$N121=""),"Vencida sin observación"&amp;" · ",""),LEN(IF(AND($S121="Macro",$B121=""),"Macroactividad vacía"&amp;" · ","")&amp;IF(AND($B121&lt;&gt;"",$C121&lt;&gt;""),"Escriba la subactividad en otra fila, debajo de su macroactividad"&amp;" · ","")&amp;IF(AND($S121="Sub",N($R121)=0),"Subactividad sin macroactividad arriba"&amp;" · ","")&amp;IF($D121="","Sin responsable"&amp;" · ","")&amp;IF($E121="","Sin fecha de inicio"&amp;" · ","")&amp;IF($F121="","Sin fecha límite"&amp;" · ","")&amp;IF(OR(AND($E121&lt;&gt;"",NOT(ISNUMBER($E121))),AND($F121&lt;&gt;"",NOT(ISNUMBER($F121)))),"Fecha no válida"&amp;" · ","")&amp;IF(AND(ISNUMBER($E121),ISNUMBER($F121),$E121&gt;$F121),"Inicio posterior a fecha límite"&amp;" · ","")&amp;IF(AND($S121="Macro",$G121=""),"Peso vacío"&amp;" · ","")&amp;IF(AND($S121="Macro",$G121&lt;&gt;"",OR(NOT(ISNUMBER($G121)),$G121&lt;=0,$G121&gt;1)),"Peso fuera de rango"&amp;" · ","")&amp;IF(AND($S121="Sub",$G121&lt;&gt;""),"Las subactividades no llevan peso"&amp;" · ","")&amp;IF(AND($S121="Macro",ABS(SUMIFS($G$5:$G$1000,$P$5:$P$1000,$P121,$S$5:$S$1000,"Macro")-1)&gt;0.0001),"Pesos del mes suman "&amp;TEXT(SUMIFS($G$5:$G$1000,$P$5:$P$1000,$P121,$S$5:$S$1000,"Macro"),"0%")&amp;" · ","")&amp;IF(AND(N($T121)&gt;0,COUNT($H121:$K121)&gt;0),"Con subactividades: deje vacías las semanas (se calculan solas)"&amp;" · ","")&amp;IF((COUNTIF($H121:$K121,"&gt;1")+COUNTIF($H121:$K121,"&lt;0")+COUNTA($H121:$K121)-COUNT($H121:$K121))&gt;0,"Avance fuera de rango 0-100%"&amp;" · ","")&amp;IF(OR(AND($I121&lt;&gt;"",$I121&lt;$H121),AND($J121&lt;&gt;"",$J121&lt;MAX($H121:$I121)),AND($K121&lt;&gt;"",$K121&lt;MAX($H121:$J121))),"Avance semanal decreciente"&amp;" · ","")&amp;IF(AND(ISNUMBER($F121),$F121&lt;FechaRef,N($L121)&lt;1),"Vencida"&amp;" · ","")&amp;IF(AND(ObsObligatoria="Sí",ISNUMBER($F121),$F121&lt;FechaRef,N($L121)&lt;1,$N121=""),"Vencida sin observación"&amp;" · ",""))-3)))</f>
        <v/>
      </c>
      <c r="P121" s="69">
        <f>IF(NOT((COUNTA($B121:$K121)+COUNTA($N121))&gt;0),"",IF(AND($S121="Sub",N($R121)&gt;0),IF(ISNUMBER(INDEX($E$5:$E$1000,$R121-4)),DATE(YEAR(INDEX($E$5:$E$1000,$R121-4)),MONTH(INDEX($E$5:$E$1000,$R121-4)),1),IF(ISNUMBER(INDEX($F$5:$F$1000,$R121-4)),DATE(YEAR(INDEX($F$5:$F$1000,$R121-4)),MONTH(INDEX($F$5:$F$1000,$R121-4)),1),MesCiclo)),IF(ISNUMBER($E121),DATE(YEAR($E121),MONTH($E121),1),IF(ISNUMBER($F121),DATE(YEAR($F121),MONTH($F121),1),MesCiclo))))</f>
        <v/>
      </c>
      <c r="Q121" s="70">
        <f>IF(OR($P121="",$P121&lt;&gt;MesCiclo),"",COUNTIF($P$5:$P121,MesCiclo))</f>
        <v/>
      </c>
      <c r="R121" s="70">
        <f>IF($S121="","",IF($S121="Macro",ROW(),IFERROR(LOOKUP(2,1/($S$5:$S121="Macro"),ROW($S$5:$S121)),0)))</f>
        <v/>
      </c>
      <c r="S121" s="70">
        <f>IF(NOT((COUNTA($B121:$K121)+COUNTA($N121))&gt;0),"",IF($B121&lt;&gt;"","Macro",IF($C121&lt;&gt;"","Sub","Macro")))</f>
        <v/>
      </c>
      <c r="T121" s="70">
        <f>IF($S121="Macro",COUNTIFS($R$5:$R$1000,ROW(),$S$5:$S$1000,"Sub"),"")</f>
        <v/>
      </c>
      <c r="U121" s="70">
        <f>IF($S121="","",IF(ISNUMBER($H121),$H121,0))</f>
        <v/>
      </c>
      <c r="V121" s="70">
        <f>IF($S121="","",IF(ISNUMBER($I121),$I121,$U121))</f>
        <v/>
      </c>
      <c r="W121" s="70">
        <f>IF($S121="","",IF(ISNUMBER($J121),$J121,$V121))</f>
        <v/>
      </c>
      <c r="X121" s="70">
        <f>IF($S121="","",IF(ISNUMBER($K121),$K121,$W121))</f>
        <v/>
      </c>
      <c r="Y121" s="70">
        <f>IF($S121="","",IF(N($T121)&gt;0,AVERAGEIFS($U$5:$U$1000,$R$5:$R$1000,ROW(),$S$5:$S$1000,"Sub"),$U121))</f>
        <v/>
      </c>
      <c r="Z121" s="70">
        <f>IF($S121="","",IF(N($T121)&gt;0,AVERAGEIFS($V$5:$V$1000,$R$5:$R$1000,ROW(),$S$5:$S$1000,"Sub"),$V121))</f>
        <v/>
      </c>
      <c r="AA121" s="70">
        <f>IF($S121="","",IF(N($T121)&gt;0,AVERAGEIFS($W$5:$W$1000,$R$5:$R$1000,ROW(),$S$5:$S$1000,"Sub"),$W121))</f>
        <v/>
      </c>
      <c r="AB121" s="70">
        <f>IF($S121="","",IF(N($T121)&gt;0,AVERAGEIFS($X$5:$X$1000,$R$5:$R$1000,ROW(),$S$5:$S$1000,"Sub"),$X121))</f>
        <v/>
      </c>
    </row>
    <row r="122">
      <c r="A122" s="61">
        <f>IF(NOT((COUNTA($B122:$K122)+COUNTA($N122))&gt;0),"",IF($S122="Macro",COUNTIFS($S$5:$S122,"Macro",$P$5:$P122,$P122),IF(N($R122)=0,"?",COUNTIFS(INDEX($S$5:$S$1000,1):INDEX($S$5:$S$1000,$R122-4),"Macro",INDEX($P$5:$P$1000,1):INDEX($P$5:$P$1000,$R122-4),INDEX($P$5:$P$1000,$R122-4))&amp;"."&amp;COUNTIFS($R$5:$R122,$R122,$S$5:$S122,"Sub"))))</f>
        <v/>
      </c>
      <c r="B122" s="62" t="n"/>
      <c r="C122" s="63" t="n"/>
      <c r="D122" s="62" t="n"/>
      <c r="E122" s="64" t="n"/>
      <c r="F122" s="64" t="n"/>
      <c r="G122" s="65" t="n"/>
      <c r="H122" s="66" t="n"/>
      <c r="I122" s="66" t="n"/>
      <c r="J122" s="66" t="n"/>
      <c r="K122" s="66" t="n"/>
      <c r="L122" s="67">
        <f>IF(NOT((COUNTA($B122:$K122)+COUNTA($N122))&gt;0),"",IF(N($T122)&gt;0,$AB122,IFERROR(LOOKUP(2,1/(H122:K122&lt;&gt;""),H122:K122),0)))</f>
        <v/>
      </c>
      <c r="M122" s="61">
        <f>IF(L122="","",IF(L122&gt;=1,"Completado",IF(L122&gt;0,"En curso","Pendiente")))</f>
        <v/>
      </c>
      <c r="N122" s="62" t="n"/>
      <c r="O122" s="68">
        <f>IF(NOT((COUNTA($B122:$K122)+COUNTA($N122))&gt;0),"",IF((IF(AND($S122="Macro",$B122=""),"Macroactividad vacía"&amp;" · ","")&amp;IF(AND($B122&lt;&gt;"",$C122&lt;&gt;""),"Escriba la subactividad en otra fila, debajo de su macroactividad"&amp;" · ","")&amp;IF(AND($S122="Sub",N($R122)=0),"Subactividad sin macroactividad arriba"&amp;" · ","")&amp;IF($D122="","Sin responsable"&amp;" · ","")&amp;IF($E122="","Sin fecha de inicio"&amp;" · ","")&amp;IF($F122="","Sin fecha límite"&amp;" · ","")&amp;IF(OR(AND($E122&lt;&gt;"",NOT(ISNUMBER($E122))),AND($F122&lt;&gt;"",NOT(ISNUMBER($F122)))),"Fecha no válida"&amp;" · ","")&amp;IF(AND(ISNUMBER($E122),ISNUMBER($F122),$E122&gt;$F122),"Inicio posterior a fecha límite"&amp;" · ","")&amp;IF(AND($S122="Macro",$G122=""),"Peso vacío"&amp;" · ","")&amp;IF(AND($S122="Macro",$G122&lt;&gt;"",OR(NOT(ISNUMBER($G122)),$G122&lt;=0,$G122&gt;1)),"Peso fuera de rango"&amp;" · ","")&amp;IF(AND($S122="Sub",$G122&lt;&gt;""),"Las subactividades no llevan peso"&amp;" · ","")&amp;IF(AND($S122="Macro",ABS(SUMIFS($G$5:$G$1000,$P$5:$P$1000,$P122,$S$5:$S$1000,"Macro")-1)&gt;0.0001),"Pesos del mes suman "&amp;TEXT(SUMIFS($G$5:$G$1000,$P$5:$P$1000,$P122,$S$5:$S$1000,"Macro"),"0%")&amp;" · ","")&amp;IF(AND(N($T122)&gt;0,COUNT($H122:$K122)&gt;0),"Con subactividades: deje vacías las semanas (se calculan solas)"&amp;" · ","")&amp;IF((COUNTIF($H122:$K122,"&gt;1")+COUNTIF($H122:$K122,"&lt;0")+COUNTA($H122:$K122)-COUNT($H122:$K122))&gt;0,"Avance fuera de rango 0-100%"&amp;" · ","")&amp;IF(OR(AND($I122&lt;&gt;"",$I122&lt;$H122),AND($J122&lt;&gt;"",$J122&lt;MAX($H122:$I122)),AND($K122&lt;&gt;"",$K122&lt;MAX($H122:$J122))),"Avance semanal decreciente"&amp;" · ","")&amp;IF(AND(ISNUMBER($F122),$F122&lt;FechaRef,N($L122)&lt;1),"Vencida"&amp;" · ","")&amp;IF(AND(ObsObligatoria="Sí",ISNUMBER($F122),$F122&lt;FechaRef,N($L122)&lt;1,$N122=""),"Vencida sin observación"&amp;" · ",""))="","✔ OK","⚠ "&amp;LEFT(IF(AND($S122="Macro",$B122=""),"Macroactividad vacía"&amp;" · ","")&amp;IF(AND($B122&lt;&gt;"",$C122&lt;&gt;""),"Escriba la subactividad en otra fila, debajo de su macroactividad"&amp;" · ","")&amp;IF(AND($S122="Sub",N($R122)=0),"Subactividad sin macroactividad arriba"&amp;" · ","")&amp;IF($D122="","Sin responsable"&amp;" · ","")&amp;IF($E122="","Sin fecha de inicio"&amp;" · ","")&amp;IF($F122="","Sin fecha límite"&amp;" · ","")&amp;IF(OR(AND($E122&lt;&gt;"",NOT(ISNUMBER($E122))),AND($F122&lt;&gt;"",NOT(ISNUMBER($F122)))),"Fecha no válida"&amp;" · ","")&amp;IF(AND(ISNUMBER($E122),ISNUMBER($F122),$E122&gt;$F122),"Inicio posterior a fecha límite"&amp;" · ","")&amp;IF(AND($S122="Macro",$G122=""),"Peso vacío"&amp;" · ","")&amp;IF(AND($S122="Macro",$G122&lt;&gt;"",OR(NOT(ISNUMBER($G122)),$G122&lt;=0,$G122&gt;1)),"Peso fuera de rango"&amp;" · ","")&amp;IF(AND($S122="Sub",$G122&lt;&gt;""),"Las subactividades no llevan peso"&amp;" · ","")&amp;IF(AND($S122="Macro",ABS(SUMIFS($G$5:$G$1000,$P$5:$P$1000,$P122,$S$5:$S$1000,"Macro")-1)&gt;0.0001),"Pesos del mes suman "&amp;TEXT(SUMIFS($G$5:$G$1000,$P$5:$P$1000,$P122,$S$5:$S$1000,"Macro"),"0%")&amp;" · ","")&amp;IF(AND(N($T122)&gt;0,COUNT($H122:$K122)&gt;0),"Con subactividades: deje vacías las semanas (se calculan solas)"&amp;" · ","")&amp;IF((COUNTIF($H122:$K122,"&gt;1")+COUNTIF($H122:$K122,"&lt;0")+COUNTA($H122:$K122)-COUNT($H122:$K122))&gt;0,"Avance fuera de rango 0-100%"&amp;" · ","")&amp;IF(OR(AND($I122&lt;&gt;"",$I122&lt;$H122),AND($J122&lt;&gt;"",$J122&lt;MAX($H122:$I122)),AND($K122&lt;&gt;"",$K122&lt;MAX($H122:$J122))),"Avance semanal decreciente"&amp;" · ","")&amp;IF(AND(ISNUMBER($F122),$F122&lt;FechaRef,N($L122)&lt;1),"Vencida"&amp;" · ","")&amp;IF(AND(ObsObligatoria="Sí",ISNUMBER($F122),$F122&lt;FechaRef,N($L122)&lt;1,$N122=""),"Vencida sin observación"&amp;" · ",""),LEN(IF(AND($S122="Macro",$B122=""),"Macroactividad vacía"&amp;" · ","")&amp;IF(AND($B122&lt;&gt;"",$C122&lt;&gt;""),"Escriba la subactividad en otra fila, debajo de su macroactividad"&amp;" · ","")&amp;IF(AND($S122="Sub",N($R122)=0),"Subactividad sin macroactividad arriba"&amp;" · ","")&amp;IF($D122="","Sin responsable"&amp;" · ","")&amp;IF($E122="","Sin fecha de inicio"&amp;" · ","")&amp;IF($F122="","Sin fecha límite"&amp;" · ","")&amp;IF(OR(AND($E122&lt;&gt;"",NOT(ISNUMBER($E122))),AND($F122&lt;&gt;"",NOT(ISNUMBER($F122)))),"Fecha no válida"&amp;" · ","")&amp;IF(AND(ISNUMBER($E122),ISNUMBER($F122),$E122&gt;$F122),"Inicio posterior a fecha límite"&amp;" · ","")&amp;IF(AND($S122="Macro",$G122=""),"Peso vacío"&amp;" · ","")&amp;IF(AND($S122="Macro",$G122&lt;&gt;"",OR(NOT(ISNUMBER($G122)),$G122&lt;=0,$G122&gt;1)),"Peso fuera de rango"&amp;" · ","")&amp;IF(AND($S122="Sub",$G122&lt;&gt;""),"Las subactividades no llevan peso"&amp;" · ","")&amp;IF(AND($S122="Macro",ABS(SUMIFS($G$5:$G$1000,$P$5:$P$1000,$P122,$S$5:$S$1000,"Macro")-1)&gt;0.0001),"Pesos del mes suman "&amp;TEXT(SUMIFS($G$5:$G$1000,$P$5:$P$1000,$P122,$S$5:$S$1000,"Macro"),"0%")&amp;" · ","")&amp;IF(AND(N($T122)&gt;0,COUNT($H122:$K122)&gt;0),"Con subactividades: deje vacías las semanas (se calculan solas)"&amp;" · ","")&amp;IF((COUNTIF($H122:$K122,"&gt;1")+COUNTIF($H122:$K122,"&lt;0")+COUNTA($H122:$K122)-COUNT($H122:$K122))&gt;0,"Avance fuera de rango 0-100%"&amp;" · ","")&amp;IF(OR(AND($I122&lt;&gt;"",$I122&lt;$H122),AND($J122&lt;&gt;"",$J122&lt;MAX($H122:$I122)),AND($K122&lt;&gt;"",$K122&lt;MAX($H122:$J122))),"Avance semanal decreciente"&amp;" · ","")&amp;IF(AND(ISNUMBER($F122),$F122&lt;FechaRef,N($L122)&lt;1),"Vencida"&amp;" · ","")&amp;IF(AND(ObsObligatoria="Sí",ISNUMBER($F122),$F122&lt;FechaRef,N($L122)&lt;1,$N122=""),"Vencida sin observación"&amp;" · ",""))-3)))</f>
        <v/>
      </c>
      <c r="P122" s="69">
        <f>IF(NOT((COUNTA($B122:$K122)+COUNTA($N122))&gt;0),"",IF(AND($S122="Sub",N($R122)&gt;0),IF(ISNUMBER(INDEX($E$5:$E$1000,$R122-4)),DATE(YEAR(INDEX($E$5:$E$1000,$R122-4)),MONTH(INDEX($E$5:$E$1000,$R122-4)),1),IF(ISNUMBER(INDEX($F$5:$F$1000,$R122-4)),DATE(YEAR(INDEX($F$5:$F$1000,$R122-4)),MONTH(INDEX($F$5:$F$1000,$R122-4)),1),MesCiclo)),IF(ISNUMBER($E122),DATE(YEAR($E122),MONTH($E122),1),IF(ISNUMBER($F122),DATE(YEAR($F122),MONTH($F122),1),MesCiclo))))</f>
        <v/>
      </c>
      <c r="Q122" s="70">
        <f>IF(OR($P122="",$P122&lt;&gt;MesCiclo),"",COUNTIF($P$5:$P122,MesCiclo))</f>
        <v/>
      </c>
      <c r="R122" s="70">
        <f>IF($S122="","",IF($S122="Macro",ROW(),IFERROR(LOOKUP(2,1/($S$5:$S122="Macro"),ROW($S$5:$S122)),0)))</f>
        <v/>
      </c>
      <c r="S122" s="70">
        <f>IF(NOT((COUNTA($B122:$K122)+COUNTA($N122))&gt;0),"",IF($B122&lt;&gt;"","Macro",IF($C122&lt;&gt;"","Sub","Macro")))</f>
        <v/>
      </c>
      <c r="T122" s="70">
        <f>IF($S122="Macro",COUNTIFS($R$5:$R$1000,ROW(),$S$5:$S$1000,"Sub"),"")</f>
        <v/>
      </c>
      <c r="U122" s="70">
        <f>IF($S122="","",IF(ISNUMBER($H122),$H122,0))</f>
        <v/>
      </c>
      <c r="V122" s="70">
        <f>IF($S122="","",IF(ISNUMBER($I122),$I122,$U122))</f>
        <v/>
      </c>
      <c r="W122" s="70">
        <f>IF($S122="","",IF(ISNUMBER($J122),$J122,$V122))</f>
        <v/>
      </c>
      <c r="X122" s="70">
        <f>IF($S122="","",IF(ISNUMBER($K122),$K122,$W122))</f>
        <v/>
      </c>
      <c r="Y122" s="70">
        <f>IF($S122="","",IF(N($T122)&gt;0,AVERAGEIFS($U$5:$U$1000,$R$5:$R$1000,ROW(),$S$5:$S$1000,"Sub"),$U122))</f>
        <v/>
      </c>
      <c r="Z122" s="70">
        <f>IF($S122="","",IF(N($T122)&gt;0,AVERAGEIFS($V$5:$V$1000,$R$5:$R$1000,ROW(),$S$5:$S$1000,"Sub"),$V122))</f>
        <v/>
      </c>
      <c r="AA122" s="70">
        <f>IF($S122="","",IF(N($T122)&gt;0,AVERAGEIFS($W$5:$W$1000,$R$5:$R$1000,ROW(),$S$5:$S$1000,"Sub"),$W122))</f>
        <v/>
      </c>
      <c r="AB122" s="70">
        <f>IF($S122="","",IF(N($T122)&gt;0,AVERAGEIFS($X$5:$X$1000,$R$5:$R$1000,ROW(),$S$5:$S$1000,"Sub"),$X122))</f>
        <v/>
      </c>
    </row>
    <row r="123">
      <c r="A123" s="61">
        <f>IF(NOT((COUNTA($B123:$K123)+COUNTA($N123))&gt;0),"",IF($S123="Macro",COUNTIFS($S$5:$S123,"Macro",$P$5:$P123,$P123),IF(N($R123)=0,"?",COUNTIFS(INDEX($S$5:$S$1000,1):INDEX($S$5:$S$1000,$R123-4),"Macro",INDEX($P$5:$P$1000,1):INDEX($P$5:$P$1000,$R123-4),INDEX($P$5:$P$1000,$R123-4))&amp;"."&amp;COUNTIFS($R$5:$R123,$R123,$S$5:$S123,"Sub"))))</f>
        <v/>
      </c>
      <c r="B123" s="62" t="n"/>
      <c r="C123" s="63" t="n"/>
      <c r="D123" s="62" t="n"/>
      <c r="E123" s="64" t="n"/>
      <c r="F123" s="64" t="n"/>
      <c r="G123" s="65" t="n"/>
      <c r="H123" s="66" t="n"/>
      <c r="I123" s="66" t="n"/>
      <c r="J123" s="66" t="n"/>
      <c r="K123" s="66" t="n"/>
      <c r="L123" s="67">
        <f>IF(NOT((COUNTA($B123:$K123)+COUNTA($N123))&gt;0),"",IF(N($T123)&gt;0,$AB123,IFERROR(LOOKUP(2,1/(H123:K123&lt;&gt;""),H123:K123),0)))</f>
        <v/>
      </c>
      <c r="M123" s="61">
        <f>IF(L123="","",IF(L123&gt;=1,"Completado",IF(L123&gt;0,"En curso","Pendiente")))</f>
        <v/>
      </c>
      <c r="N123" s="62" t="n"/>
      <c r="O123" s="68">
        <f>IF(NOT((COUNTA($B123:$K123)+COUNTA($N123))&gt;0),"",IF((IF(AND($S123="Macro",$B123=""),"Macroactividad vacía"&amp;" · ","")&amp;IF(AND($B123&lt;&gt;"",$C123&lt;&gt;""),"Escriba la subactividad en otra fila, debajo de su macroactividad"&amp;" · ","")&amp;IF(AND($S123="Sub",N($R123)=0),"Subactividad sin macroactividad arriba"&amp;" · ","")&amp;IF($D123="","Sin responsable"&amp;" · ","")&amp;IF($E123="","Sin fecha de inicio"&amp;" · ","")&amp;IF($F123="","Sin fecha límite"&amp;" · ","")&amp;IF(OR(AND($E123&lt;&gt;"",NOT(ISNUMBER($E123))),AND($F123&lt;&gt;"",NOT(ISNUMBER($F123)))),"Fecha no válida"&amp;" · ","")&amp;IF(AND(ISNUMBER($E123),ISNUMBER($F123),$E123&gt;$F123),"Inicio posterior a fecha límite"&amp;" · ","")&amp;IF(AND($S123="Macro",$G123=""),"Peso vacío"&amp;" · ","")&amp;IF(AND($S123="Macro",$G123&lt;&gt;"",OR(NOT(ISNUMBER($G123)),$G123&lt;=0,$G123&gt;1)),"Peso fuera de rango"&amp;" · ","")&amp;IF(AND($S123="Sub",$G123&lt;&gt;""),"Las subactividades no llevan peso"&amp;" · ","")&amp;IF(AND($S123="Macro",ABS(SUMIFS($G$5:$G$1000,$P$5:$P$1000,$P123,$S$5:$S$1000,"Macro")-1)&gt;0.0001),"Pesos del mes suman "&amp;TEXT(SUMIFS($G$5:$G$1000,$P$5:$P$1000,$P123,$S$5:$S$1000,"Macro"),"0%")&amp;" · ","")&amp;IF(AND(N($T123)&gt;0,COUNT($H123:$K123)&gt;0),"Con subactividades: deje vacías las semanas (se calculan solas)"&amp;" · ","")&amp;IF((COUNTIF($H123:$K123,"&gt;1")+COUNTIF($H123:$K123,"&lt;0")+COUNTA($H123:$K123)-COUNT($H123:$K123))&gt;0,"Avance fuera de rango 0-100%"&amp;" · ","")&amp;IF(OR(AND($I123&lt;&gt;"",$I123&lt;$H123),AND($J123&lt;&gt;"",$J123&lt;MAX($H123:$I123)),AND($K123&lt;&gt;"",$K123&lt;MAX($H123:$J123))),"Avance semanal decreciente"&amp;" · ","")&amp;IF(AND(ISNUMBER($F123),$F123&lt;FechaRef,N($L123)&lt;1),"Vencida"&amp;" · ","")&amp;IF(AND(ObsObligatoria="Sí",ISNUMBER($F123),$F123&lt;FechaRef,N($L123)&lt;1,$N123=""),"Vencida sin observación"&amp;" · ",""))="","✔ OK","⚠ "&amp;LEFT(IF(AND($S123="Macro",$B123=""),"Macroactividad vacía"&amp;" · ","")&amp;IF(AND($B123&lt;&gt;"",$C123&lt;&gt;""),"Escriba la subactividad en otra fila, debajo de su macroactividad"&amp;" · ","")&amp;IF(AND($S123="Sub",N($R123)=0),"Subactividad sin macroactividad arriba"&amp;" · ","")&amp;IF($D123="","Sin responsable"&amp;" · ","")&amp;IF($E123="","Sin fecha de inicio"&amp;" · ","")&amp;IF($F123="","Sin fecha límite"&amp;" · ","")&amp;IF(OR(AND($E123&lt;&gt;"",NOT(ISNUMBER($E123))),AND($F123&lt;&gt;"",NOT(ISNUMBER($F123)))),"Fecha no válida"&amp;" · ","")&amp;IF(AND(ISNUMBER($E123),ISNUMBER($F123),$E123&gt;$F123),"Inicio posterior a fecha límite"&amp;" · ","")&amp;IF(AND($S123="Macro",$G123=""),"Peso vacío"&amp;" · ","")&amp;IF(AND($S123="Macro",$G123&lt;&gt;"",OR(NOT(ISNUMBER($G123)),$G123&lt;=0,$G123&gt;1)),"Peso fuera de rango"&amp;" · ","")&amp;IF(AND($S123="Sub",$G123&lt;&gt;""),"Las subactividades no llevan peso"&amp;" · ","")&amp;IF(AND($S123="Macro",ABS(SUMIFS($G$5:$G$1000,$P$5:$P$1000,$P123,$S$5:$S$1000,"Macro")-1)&gt;0.0001),"Pesos del mes suman "&amp;TEXT(SUMIFS($G$5:$G$1000,$P$5:$P$1000,$P123,$S$5:$S$1000,"Macro"),"0%")&amp;" · ","")&amp;IF(AND(N($T123)&gt;0,COUNT($H123:$K123)&gt;0),"Con subactividades: deje vacías las semanas (se calculan solas)"&amp;" · ","")&amp;IF((COUNTIF($H123:$K123,"&gt;1")+COUNTIF($H123:$K123,"&lt;0")+COUNTA($H123:$K123)-COUNT($H123:$K123))&gt;0,"Avance fuera de rango 0-100%"&amp;" · ","")&amp;IF(OR(AND($I123&lt;&gt;"",$I123&lt;$H123),AND($J123&lt;&gt;"",$J123&lt;MAX($H123:$I123)),AND($K123&lt;&gt;"",$K123&lt;MAX($H123:$J123))),"Avance semanal decreciente"&amp;" · ","")&amp;IF(AND(ISNUMBER($F123),$F123&lt;FechaRef,N($L123)&lt;1),"Vencida"&amp;" · ","")&amp;IF(AND(ObsObligatoria="Sí",ISNUMBER($F123),$F123&lt;FechaRef,N($L123)&lt;1,$N123=""),"Vencida sin observación"&amp;" · ",""),LEN(IF(AND($S123="Macro",$B123=""),"Macroactividad vacía"&amp;" · ","")&amp;IF(AND($B123&lt;&gt;"",$C123&lt;&gt;""),"Escriba la subactividad en otra fila, debajo de su macroactividad"&amp;" · ","")&amp;IF(AND($S123="Sub",N($R123)=0),"Subactividad sin macroactividad arriba"&amp;" · ","")&amp;IF($D123="","Sin responsable"&amp;" · ","")&amp;IF($E123="","Sin fecha de inicio"&amp;" · ","")&amp;IF($F123="","Sin fecha límite"&amp;" · ","")&amp;IF(OR(AND($E123&lt;&gt;"",NOT(ISNUMBER($E123))),AND($F123&lt;&gt;"",NOT(ISNUMBER($F123)))),"Fecha no válida"&amp;" · ","")&amp;IF(AND(ISNUMBER($E123),ISNUMBER($F123),$E123&gt;$F123),"Inicio posterior a fecha límite"&amp;" · ","")&amp;IF(AND($S123="Macro",$G123=""),"Peso vacío"&amp;" · ","")&amp;IF(AND($S123="Macro",$G123&lt;&gt;"",OR(NOT(ISNUMBER($G123)),$G123&lt;=0,$G123&gt;1)),"Peso fuera de rango"&amp;" · ","")&amp;IF(AND($S123="Sub",$G123&lt;&gt;""),"Las subactividades no llevan peso"&amp;" · ","")&amp;IF(AND($S123="Macro",ABS(SUMIFS($G$5:$G$1000,$P$5:$P$1000,$P123,$S$5:$S$1000,"Macro")-1)&gt;0.0001),"Pesos del mes suman "&amp;TEXT(SUMIFS($G$5:$G$1000,$P$5:$P$1000,$P123,$S$5:$S$1000,"Macro"),"0%")&amp;" · ","")&amp;IF(AND(N($T123)&gt;0,COUNT($H123:$K123)&gt;0),"Con subactividades: deje vacías las semanas (se calculan solas)"&amp;" · ","")&amp;IF((COUNTIF($H123:$K123,"&gt;1")+COUNTIF($H123:$K123,"&lt;0")+COUNTA($H123:$K123)-COUNT($H123:$K123))&gt;0,"Avance fuera de rango 0-100%"&amp;" · ","")&amp;IF(OR(AND($I123&lt;&gt;"",$I123&lt;$H123),AND($J123&lt;&gt;"",$J123&lt;MAX($H123:$I123)),AND($K123&lt;&gt;"",$K123&lt;MAX($H123:$J123))),"Avance semanal decreciente"&amp;" · ","")&amp;IF(AND(ISNUMBER($F123),$F123&lt;FechaRef,N($L123)&lt;1),"Vencida"&amp;" · ","")&amp;IF(AND(ObsObligatoria="Sí",ISNUMBER($F123),$F123&lt;FechaRef,N($L123)&lt;1,$N123=""),"Vencida sin observación"&amp;" · ",""))-3)))</f>
        <v/>
      </c>
      <c r="P123" s="69">
        <f>IF(NOT((COUNTA($B123:$K123)+COUNTA($N123))&gt;0),"",IF(AND($S123="Sub",N($R123)&gt;0),IF(ISNUMBER(INDEX($E$5:$E$1000,$R123-4)),DATE(YEAR(INDEX($E$5:$E$1000,$R123-4)),MONTH(INDEX($E$5:$E$1000,$R123-4)),1),IF(ISNUMBER(INDEX($F$5:$F$1000,$R123-4)),DATE(YEAR(INDEX($F$5:$F$1000,$R123-4)),MONTH(INDEX($F$5:$F$1000,$R123-4)),1),MesCiclo)),IF(ISNUMBER($E123),DATE(YEAR($E123),MONTH($E123),1),IF(ISNUMBER($F123),DATE(YEAR($F123),MONTH($F123),1),MesCiclo))))</f>
        <v/>
      </c>
      <c r="Q123" s="70">
        <f>IF(OR($P123="",$P123&lt;&gt;MesCiclo),"",COUNTIF($P$5:$P123,MesCiclo))</f>
        <v/>
      </c>
      <c r="R123" s="70">
        <f>IF($S123="","",IF($S123="Macro",ROW(),IFERROR(LOOKUP(2,1/($S$5:$S123="Macro"),ROW($S$5:$S123)),0)))</f>
        <v/>
      </c>
      <c r="S123" s="70">
        <f>IF(NOT((COUNTA($B123:$K123)+COUNTA($N123))&gt;0),"",IF($B123&lt;&gt;"","Macro",IF($C123&lt;&gt;"","Sub","Macro")))</f>
        <v/>
      </c>
      <c r="T123" s="70">
        <f>IF($S123="Macro",COUNTIFS($R$5:$R$1000,ROW(),$S$5:$S$1000,"Sub"),"")</f>
        <v/>
      </c>
      <c r="U123" s="70">
        <f>IF($S123="","",IF(ISNUMBER($H123),$H123,0))</f>
        <v/>
      </c>
      <c r="V123" s="70">
        <f>IF($S123="","",IF(ISNUMBER($I123),$I123,$U123))</f>
        <v/>
      </c>
      <c r="W123" s="70">
        <f>IF($S123="","",IF(ISNUMBER($J123),$J123,$V123))</f>
        <v/>
      </c>
      <c r="X123" s="70">
        <f>IF($S123="","",IF(ISNUMBER($K123),$K123,$W123))</f>
        <v/>
      </c>
      <c r="Y123" s="70">
        <f>IF($S123="","",IF(N($T123)&gt;0,AVERAGEIFS($U$5:$U$1000,$R$5:$R$1000,ROW(),$S$5:$S$1000,"Sub"),$U123))</f>
        <v/>
      </c>
      <c r="Z123" s="70">
        <f>IF($S123="","",IF(N($T123)&gt;0,AVERAGEIFS($V$5:$V$1000,$R$5:$R$1000,ROW(),$S$5:$S$1000,"Sub"),$V123))</f>
        <v/>
      </c>
      <c r="AA123" s="70">
        <f>IF($S123="","",IF(N($T123)&gt;0,AVERAGEIFS($W$5:$W$1000,$R$5:$R$1000,ROW(),$S$5:$S$1000,"Sub"),$W123))</f>
        <v/>
      </c>
      <c r="AB123" s="70">
        <f>IF($S123="","",IF(N($T123)&gt;0,AVERAGEIFS($X$5:$X$1000,$R$5:$R$1000,ROW(),$S$5:$S$1000,"Sub"),$X123))</f>
        <v/>
      </c>
    </row>
    <row r="124">
      <c r="A124" s="61">
        <f>IF(NOT((COUNTA($B124:$K124)+COUNTA($N124))&gt;0),"",IF($S124="Macro",COUNTIFS($S$5:$S124,"Macro",$P$5:$P124,$P124),IF(N($R124)=0,"?",COUNTIFS(INDEX($S$5:$S$1000,1):INDEX($S$5:$S$1000,$R124-4),"Macro",INDEX($P$5:$P$1000,1):INDEX($P$5:$P$1000,$R124-4),INDEX($P$5:$P$1000,$R124-4))&amp;"."&amp;COUNTIFS($R$5:$R124,$R124,$S$5:$S124,"Sub"))))</f>
        <v/>
      </c>
      <c r="B124" s="62" t="n"/>
      <c r="C124" s="63" t="n"/>
      <c r="D124" s="62" t="n"/>
      <c r="E124" s="64" t="n"/>
      <c r="F124" s="64" t="n"/>
      <c r="G124" s="65" t="n"/>
      <c r="H124" s="66" t="n"/>
      <c r="I124" s="66" t="n"/>
      <c r="J124" s="66" t="n"/>
      <c r="K124" s="66" t="n"/>
      <c r="L124" s="67">
        <f>IF(NOT((COUNTA($B124:$K124)+COUNTA($N124))&gt;0),"",IF(N($T124)&gt;0,$AB124,IFERROR(LOOKUP(2,1/(H124:K124&lt;&gt;""),H124:K124),0)))</f>
        <v/>
      </c>
      <c r="M124" s="61">
        <f>IF(L124="","",IF(L124&gt;=1,"Completado",IF(L124&gt;0,"En curso","Pendiente")))</f>
        <v/>
      </c>
      <c r="N124" s="62" t="n"/>
      <c r="O124" s="68">
        <f>IF(NOT((COUNTA($B124:$K124)+COUNTA($N124))&gt;0),"",IF((IF(AND($S124="Macro",$B124=""),"Macroactividad vacía"&amp;" · ","")&amp;IF(AND($B124&lt;&gt;"",$C124&lt;&gt;""),"Escriba la subactividad en otra fila, debajo de su macroactividad"&amp;" · ","")&amp;IF(AND($S124="Sub",N($R124)=0),"Subactividad sin macroactividad arriba"&amp;" · ","")&amp;IF($D124="","Sin responsable"&amp;" · ","")&amp;IF($E124="","Sin fecha de inicio"&amp;" · ","")&amp;IF($F124="","Sin fecha límite"&amp;" · ","")&amp;IF(OR(AND($E124&lt;&gt;"",NOT(ISNUMBER($E124))),AND($F124&lt;&gt;"",NOT(ISNUMBER($F124)))),"Fecha no válida"&amp;" · ","")&amp;IF(AND(ISNUMBER($E124),ISNUMBER($F124),$E124&gt;$F124),"Inicio posterior a fecha límite"&amp;" · ","")&amp;IF(AND($S124="Macro",$G124=""),"Peso vacío"&amp;" · ","")&amp;IF(AND($S124="Macro",$G124&lt;&gt;"",OR(NOT(ISNUMBER($G124)),$G124&lt;=0,$G124&gt;1)),"Peso fuera de rango"&amp;" · ","")&amp;IF(AND($S124="Sub",$G124&lt;&gt;""),"Las subactividades no llevan peso"&amp;" · ","")&amp;IF(AND($S124="Macro",ABS(SUMIFS($G$5:$G$1000,$P$5:$P$1000,$P124,$S$5:$S$1000,"Macro")-1)&gt;0.0001),"Pesos del mes suman "&amp;TEXT(SUMIFS($G$5:$G$1000,$P$5:$P$1000,$P124,$S$5:$S$1000,"Macro"),"0%")&amp;" · ","")&amp;IF(AND(N($T124)&gt;0,COUNT($H124:$K124)&gt;0),"Con subactividades: deje vacías las semanas (se calculan solas)"&amp;" · ","")&amp;IF((COUNTIF($H124:$K124,"&gt;1")+COUNTIF($H124:$K124,"&lt;0")+COUNTA($H124:$K124)-COUNT($H124:$K124))&gt;0,"Avance fuera de rango 0-100%"&amp;" · ","")&amp;IF(OR(AND($I124&lt;&gt;"",$I124&lt;$H124),AND($J124&lt;&gt;"",$J124&lt;MAX($H124:$I124)),AND($K124&lt;&gt;"",$K124&lt;MAX($H124:$J124))),"Avance semanal decreciente"&amp;" · ","")&amp;IF(AND(ISNUMBER($F124),$F124&lt;FechaRef,N($L124)&lt;1),"Vencida"&amp;" · ","")&amp;IF(AND(ObsObligatoria="Sí",ISNUMBER($F124),$F124&lt;FechaRef,N($L124)&lt;1,$N124=""),"Vencida sin observación"&amp;" · ",""))="","✔ OK","⚠ "&amp;LEFT(IF(AND($S124="Macro",$B124=""),"Macroactividad vacía"&amp;" · ","")&amp;IF(AND($B124&lt;&gt;"",$C124&lt;&gt;""),"Escriba la subactividad en otra fila, debajo de su macroactividad"&amp;" · ","")&amp;IF(AND($S124="Sub",N($R124)=0),"Subactividad sin macroactividad arriba"&amp;" · ","")&amp;IF($D124="","Sin responsable"&amp;" · ","")&amp;IF($E124="","Sin fecha de inicio"&amp;" · ","")&amp;IF($F124="","Sin fecha límite"&amp;" · ","")&amp;IF(OR(AND($E124&lt;&gt;"",NOT(ISNUMBER($E124))),AND($F124&lt;&gt;"",NOT(ISNUMBER($F124)))),"Fecha no válida"&amp;" · ","")&amp;IF(AND(ISNUMBER($E124),ISNUMBER($F124),$E124&gt;$F124),"Inicio posterior a fecha límite"&amp;" · ","")&amp;IF(AND($S124="Macro",$G124=""),"Peso vacío"&amp;" · ","")&amp;IF(AND($S124="Macro",$G124&lt;&gt;"",OR(NOT(ISNUMBER($G124)),$G124&lt;=0,$G124&gt;1)),"Peso fuera de rango"&amp;" · ","")&amp;IF(AND($S124="Sub",$G124&lt;&gt;""),"Las subactividades no llevan peso"&amp;" · ","")&amp;IF(AND($S124="Macro",ABS(SUMIFS($G$5:$G$1000,$P$5:$P$1000,$P124,$S$5:$S$1000,"Macro")-1)&gt;0.0001),"Pesos del mes suman "&amp;TEXT(SUMIFS($G$5:$G$1000,$P$5:$P$1000,$P124,$S$5:$S$1000,"Macro"),"0%")&amp;" · ","")&amp;IF(AND(N($T124)&gt;0,COUNT($H124:$K124)&gt;0),"Con subactividades: deje vacías las semanas (se calculan solas)"&amp;" · ","")&amp;IF((COUNTIF($H124:$K124,"&gt;1")+COUNTIF($H124:$K124,"&lt;0")+COUNTA($H124:$K124)-COUNT($H124:$K124))&gt;0,"Avance fuera de rango 0-100%"&amp;" · ","")&amp;IF(OR(AND($I124&lt;&gt;"",$I124&lt;$H124),AND($J124&lt;&gt;"",$J124&lt;MAX($H124:$I124)),AND($K124&lt;&gt;"",$K124&lt;MAX($H124:$J124))),"Avance semanal decreciente"&amp;" · ","")&amp;IF(AND(ISNUMBER($F124),$F124&lt;FechaRef,N($L124)&lt;1),"Vencida"&amp;" · ","")&amp;IF(AND(ObsObligatoria="Sí",ISNUMBER($F124),$F124&lt;FechaRef,N($L124)&lt;1,$N124=""),"Vencida sin observación"&amp;" · ",""),LEN(IF(AND($S124="Macro",$B124=""),"Macroactividad vacía"&amp;" · ","")&amp;IF(AND($B124&lt;&gt;"",$C124&lt;&gt;""),"Escriba la subactividad en otra fila, debajo de su macroactividad"&amp;" · ","")&amp;IF(AND($S124="Sub",N($R124)=0),"Subactividad sin macroactividad arriba"&amp;" · ","")&amp;IF($D124="","Sin responsable"&amp;" · ","")&amp;IF($E124="","Sin fecha de inicio"&amp;" · ","")&amp;IF($F124="","Sin fecha límite"&amp;" · ","")&amp;IF(OR(AND($E124&lt;&gt;"",NOT(ISNUMBER($E124))),AND($F124&lt;&gt;"",NOT(ISNUMBER($F124)))),"Fecha no válida"&amp;" · ","")&amp;IF(AND(ISNUMBER($E124),ISNUMBER($F124),$E124&gt;$F124),"Inicio posterior a fecha límite"&amp;" · ","")&amp;IF(AND($S124="Macro",$G124=""),"Peso vacío"&amp;" · ","")&amp;IF(AND($S124="Macro",$G124&lt;&gt;"",OR(NOT(ISNUMBER($G124)),$G124&lt;=0,$G124&gt;1)),"Peso fuera de rango"&amp;" · ","")&amp;IF(AND($S124="Sub",$G124&lt;&gt;""),"Las subactividades no llevan peso"&amp;" · ","")&amp;IF(AND($S124="Macro",ABS(SUMIFS($G$5:$G$1000,$P$5:$P$1000,$P124,$S$5:$S$1000,"Macro")-1)&gt;0.0001),"Pesos del mes suman "&amp;TEXT(SUMIFS($G$5:$G$1000,$P$5:$P$1000,$P124,$S$5:$S$1000,"Macro"),"0%")&amp;" · ","")&amp;IF(AND(N($T124)&gt;0,COUNT($H124:$K124)&gt;0),"Con subactividades: deje vacías las semanas (se calculan solas)"&amp;" · ","")&amp;IF((COUNTIF($H124:$K124,"&gt;1")+COUNTIF($H124:$K124,"&lt;0")+COUNTA($H124:$K124)-COUNT($H124:$K124))&gt;0,"Avance fuera de rango 0-100%"&amp;" · ","")&amp;IF(OR(AND($I124&lt;&gt;"",$I124&lt;$H124),AND($J124&lt;&gt;"",$J124&lt;MAX($H124:$I124)),AND($K124&lt;&gt;"",$K124&lt;MAX($H124:$J124))),"Avance semanal decreciente"&amp;" · ","")&amp;IF(AND(ISNUMBER($F124),$F124&lt;FechaRef,N($L124)&lt;1),"Vencida"&amp;" · ","")&amp;IF(AND(ObsObligatoria="Sí",ISNUMBER($F124),$F124&lt;FechaRef,N($L124)&lt;1,$N124=""),"Vencida sin observación"&amp;" · ",""))-3)))</f>
        <v/>
      </c>
      <c r="P124" s="69">
        <f>IF(NOT((COUNTA($B124:$K124)+COUNTA($N124))&gt;0),"",IF(AND($S124="Sub",N($R124)&gt;0),IF(ISNUMBER(INDEX($E$5:$E$1000,$R124-4)),DATE(YEAR(INDEX($E$5:$E$1000,$R124-4)),MONTH(INDEX($E$5:$E$1000,$R124-4)),1),IF(ISNUMBER(INDEX($F$5:$F$1000,$R124-4)),DATE(YEAR(INDEX($F$5:$F$1000,$R124-4)),MONTH(INDEX($F$5:$F$1000,$R124-4)),1),MesCiclo)),IF(ISNUMBER($E124),DATE(YEAR($E124),MONTH($E124),1),IF(ISNUMBER($F124),DATE(YEAR($F124),MONTH($F124),1),MesCiclo))))</f>
        <v/>
      </c>
      <c r="Q124" s="70">
        <f>IF(OR($P124="",$P124&lt;&gt;MesCiclo),"",COUNTIF($P$5:$P124,MesCiclo))</f>
        <v/>
      </c>
      <c r="R124" s="70">
        <f>IF($S124="","",IF($S124="Macro",ROW(),IFERROR(LOOKUP(2,1/($S$5:$S124="Macro"),ROW($S$5:$S124)),0)))</f>
        <v/>
      </c>
      <c r="S124" s="70">
        <f>IF(NOT((COUNTA($B124:$K124)+COUNTA($N124))&gt;0),"",IF($B124&lt;&gt;"","Macro",IF($C124&lt;&gt;"","Sub","Macro")))</f>
        <v/>
      </c>
      <c r="T124" s="70">
        <f>IF($S124="Macro",COUNTIFS($R$5:$R$1000,ROW(),$S$5:$S$1000,"Sub"),"")</f>
        <v/>
      </c>
      <c r="U124" s="70">
        <f>IF($S124="","",IF(ISNUMBER($H124),$H124,0))</f>
        <v/>
      </c>
      <c r="V124" s="70">
        <f>IF($S124="","",IF(ISNUMBER($I124),$I124,$U124))</f>
        <v/>
      </c>
      <c r="W124" s="70">
        <f>IF($S124="","",IF(ISNUMBER($J124),$J124,$V124))</f>
        <v/>
      </c>
      <c r="X124" s="70">
        <f>IF($S124="","",IF(ISNUMBER($K124),$K124,$W124))</f>
        <v/>
      </c>
      <c r="Y124" s="70">
        <f>IF($S124="","",IF(N($T124)&gt;0,AVERAGEIFS($U$5:$U$1000,$R$5:$R$1000,ROW(),$S$5:$S$1000,"Sub"),$U124))</f>
        <v/>
      </c>
      <c r="Z124" s="70">
        <f>IF($S124="","",IF(N($T124)&gt;0,AVERAGEIFS($V$5:$V$1000,$R$5:$R$1000,ROW(),$S$5:$S$1000,"Sub"),$V124))</f>
        <v/>
      </c>
      <c r="AA124" s="70">
        <f>IF($S124="","",IF(N($T124)&gt;0,AVERAGEIFS($W$5:$W$1000,$R$5:$R$1000,ROW(),$S$5:$S$1000,"Sub"),$W124))</f>
        <v/>
      </c>
      <c r="AB124" s="70">
        <f>IF($S124="","",IF(N($T124)&gt;0,AVERAGEIFS($X$5:$X$1000,$R$5:$R$1000,ROW(),$S$5:$S$1000,"Sub"),$X124))</f>
        <v/>
      </c>
    </row>
    <row r="125">
      <c r="A125" s="61">
        <f>IF(NOT((COUNTA($B125:$K125)+COUNTA($N125))&gt;0),"",IF($S125="Macro",COUNTIFS($S$5:$S125,"Macro",$P$5:$P125,$P125),IF(N($R125)=0,"?",COUNTIFS(INDEX($S$5:$S$1000,1):INDEX($S$5:$S$1000,$R125-4),"Macro",INDEX($P$5:$P$1000,1):INDEX($P$5:$P$1000,$R125-4),INDEX($P$5:$P$1000,$R125-4))&amp;"."&amp;COUNTIFS($R$5:$R125,$R125,$S$5:$S125,"Sub"))))</f>
        <v/>
      </c>
      <c r="B125" s="62" t="n"/>
      <c r="C125" s="63" t="n"/>
      <c r="D125" s="62" t="n"/>
      <c r="E125" s="64" t="n"/>
      <c r="F125" s="64" t="n"/>
      <c r="G125" s="65" t="n"/>
      <c r="H125" s="66" t="n"/>
      <c r="I125" s="66" t="n"/>
      <c r="J125" s="66" t="n"/>
      <c r="K125" s="66" t="n"/>
      <c r="L125" s="67">
        <f>IF(NOT((COUNTA($B125:$K125)+COUNTA($N125))&gt;0),"",IF(N($T125)&gt;0,$AB125,IFERROR(LOOKUP(2,1/(H125:K125&lt;&gt;""),H125:K125),0)))</f>
        <v/>
      </c>
      <c r="M125" s="61">
        <f>IF(L125="","",IF(L125&gt;=1,"Completado",IF(L125&gt;0,"En curso","Pendiente")))</f>
        <v/>
      </c>
      <c r="N125" s="62" t="n"/>
      <c r="O125" s="68">
        <f>IF(NOT((COUNTA($B125:$K125)+COUNTA($N125))&gt;0),"",IF((IF(AND($S125="Macro",$B125=""),"Macroactividad vacía"&amp;" · ","")&amp;IF(AND($B125&lt;&gt;"",$C125&lt;&gt;""),"Escriba la subactividad en otra fila, debajo de su macroactividad"&amp;" · ","")&amp;IF(AND($S125="Sub",N($R125)=0),"Subactividad sin macroactividad arriba"&amp;" · ","")&amp;IF($D125="","Sin responsable"&amp;" · ","")&amp;IF($E125="","Sin fecha de inicio"&amp;" · ","")&amp;IF($F125="","Sin fecha límite"&amp;" · ","")&amp;IF(OR(AND($E125&lt;&gt;"",NOT(ISNUMBER($E125))),AND($F125&lt;&gt;"",NOT(ISNUMBER($F125)))),"Fecha no válida"&amp;" · ","")&amp;IF(AND(ISNUMBER($E125),ISNUMBER($F125),$E125&gt;$F125),"Inicio posterior a fecha límite"&amp;" · ","")&amp;IF(AND($S125="Macro",$G125=""),"Peso vacío"&amp;" · ","")&amp;IF(AND($S125="Macro",$G125&lt;&gt;"",OR(NOT(ISNUMBER($G125)),$G125&lt;=0,$G125&gt;1)),"Peso fuera de rango"&amp;" · ","")&amp;IF(AND($S125="Sub",$G125&lt;&gt;""),"Las subactividades no llevan peso"&amp;" · ","")&amp;IF(AND($S125="Macro",ABS(SUMIFS($G$5:$G$1000,$P$5:$P$1000,$P125,$S$5:$S$1000,"Macro")-1)&gt;0.0001),"Pesos del mes suman "&amp;TEXT(SUMIFS($G$5:$G$1000,$P$5:$P$1000,$P125,$S$5:$S$1000,"Macro"),"0%")&amp;" · ","")&amp;IF(AND(N($T125)&gt;0,COUNT($H125:$K125)&gt;0),"Con subactividades: deje vacías las semanas (se calculan solas)"&amp;" · ","")&amp;IF((COUNTIF($H125:$K125,"&gt;1")+COUNTIF($H125:$K125,"&lt;0")+COUNTA($H125:$K125)-COUNT($H125:$K125))&gt;0,"Avance fuera de rango 0-100%"&amp;" · ","")&amp;IF(OR(AND($I125&lt;&gt;"",$I125&lt;$H125),AND($J125&lt;&gt;"",$J125&lt;MAX($H125:$I125)),AND($K125&lt;&gt;"",$K125&lt;MAX($H125:$J125))),"Avance semanal decreciente"&amp;" · ","")&amp;IF(AND(ISNUMBER($F125),$F125&lt;FechaRef,N($L125)&lt;1),"Vencida"&amp;" · ","")&amp;IF(AND(ObsObligatoria="Sí",ISNUMBER($F125),$F125&lt;FechaRef,N($L125)&lt;1,$N125=""),"Vencida sin observación"&amp;" · ",""))="","✔ OK","⚠ "&amp;LEFT(IF(AND($S125="Macro",$B125=""),"Macroactividad vacía"&amp;" · ","")&amp;IF(AND($B125&lt;&gt;"",$C125&lt;&gt;""),"Escriba la subactividad en otra fila, debajo de su macroactividad"&amp;" · ","")&amp;IF(AND($S125="Sub",N($R125)=0),"Subactividad sin macroactividad arriba"&amp;" · ","")&amp;IF($D125="","Sin responsable"&amp;" · ","")&amp;IF($E125="","Sin fecha de inicio"&amp;" · ","")&amp;IF($F125="","Sin fecha límite"&amp;" · ","")&amp;IF(OR(AND($E125&lt;&gt;"",NOT(ISNUMBER($E125))),AND($F125&lt;&gt;"",NOT(ISNUMBER($F125)))),"Fecha no válida"&amp;" · ","")&amp;IF(AND(ISNUMBER($E125),ISNUMBER($F125),$E125&gt;$F125),"Inicio posterior a fecha límite"&amp;" · ","")&amp;IF(AND($S125="Macro",$G125=""),"Peso vacío"&amp;" · ","")&amp;IF(AND($S125="Macro",$G125&lt;&gt;"",OR(NOT(ISNUMBER($G125)),$G125&lt;=0,$G125&gt;1)),"Peso fuera de rango"&amp;" · ","")&amp;IF(AND($S125="Sub",$G125&lt;&gt;""),"Las subactividades no llevan peso"&amp;" · ","")&amp;IF(AND($S125="Macro",ABS(SUMIFS($G$5:$G$1000,$P$5:$P$1000,$P125,$S$5:$S$1000,"Macro")-1)&gt;0.0001),"Pesos del mes suman "&amp;TEXT(SUMIFS($G$5:$G$1000,$P$5:$P$1000,$P125,$S$5:$S$1000,"Macro"),"0%")&amp;" · ","")&amp;IF(AND(N($T125)&gt;0,COUNT($H125:$K125)&gt;0),"Con subactividades: deje vacías las semanas (se calculan solas)"&amp;" · ","")&amp;IF((COUNTIF($H125:$K125,"&gt;1")+COUNTIF($H125:$K125,"&lt;0")+COUNTA($H125:$K125)-COUNT($H125:$K125))&gt;0,"Avance fuera de rango 0-100%"&amp;" · ","")&amp;IF(OR(AND($I125&lt;&gt;"",$I125&lt;$H125),AND($J125&lt;&gt;"",$J125&lt;MAX($H125:$I125)),AND($K125&lt;&gt;"",$K125&lt;MAX($H125:$J125))),"Avance semanal decreciente"&amp;" · ","")&amp;IF(AND(ISNUMBER($F125),$F125&lt;FechaRef,N($L125)&lt;1),"Vencida"&amp;" · ","")&amp;IF(AND(ObsObligatoria="Sí",ISNUMBER($F125),$F125&lt;FechaRef,N($L125)&lt;1,$N125=""),"Vencida sin observación"&amp;" · ",""),LEN(IF(AND($S125="Macro",$B125=""),"Macroactividad vacía"&amp;" · ","")&amp;IF(AND($B125&lt;&gt;"",$C125&lt;&gt;""),"Escriba la subactividad en otra fila, debajo de su macroactividad"&amp;" · ","")&amp;IF(AND($S125="Sub",N($R125)=0),"Subactividad sin macroactividad arriba"&amp;" · ","")&amp;IF($D125="","Sin responsable"&amp;" · ","")&amp;IF($E125="","Sin fecha de inicio"&amp;" · ","")&amp;IF($F125="","Sin fecha límite"&amp;" · ","")&amp;IF(OR(AND($E125&lt;&gt;"",NOT(ISNUMBER($E125))),AND($F125&lt;&gt;"",NOT(ISNUMBER($F125)))),"Fecha no válida"&amp;" · ","")&amp;IF(AND(ISNUMBER($E125),ISNUMBER($F125),$E125&gt;$F125),"Inicio posterior a fecha límite"&amp;" · ","")&amp;IF(AND($S125="Macro",$G125=""),"Peso vacío"&amp;" · ","")&amp;IF(AND($S125="Macro",$G125&lt;&gt;"",OR(NOT(ISNUMBER($G125)),$G125&lt;=0,$G125&gt;1)),"Peso fuera de rango"&amp;" · ","")&amp;IF(AND($S125="Sub",$G125&lt;&gt;""),"Las subactividades no llevan peso"&amp;" · ","")&amp;IF(AND($S125="Macro",ABS(SUMIFS($G$5:$G$1000,$P$5:$P$1000,$P125,$S$5:$S$1000,"Macro")-1)&gt;0.0001),"Pesos del mes suman "&amp;TEXT(SUMIFS($G$5:$G$1000,$P$5:$P$1000,$P125,$S$5:$S$1000,"Macro"),"0%")&amp;" · ","")&amp;IF(AND(N($T125)&gt;0,COUNT($H125:$K125)&gt;0),"Con subactividades: deje vacías las semanas (se calculan solas)"&amp;" · ","")&amp;IF((COUNTIF($H125:$K125,"&gt;1")+COUNTIF($H125:$K125,"&lt;0")+COUNTA($H125:$K125)-COUNT($H125:$K125))&gt;0,"Avance fuera de rango 0-100%"&amp;" · ","")&amp;IF(OR(AND($I125&lt;&gt;"",$I125&lt;$H125),AND($J125&lt;&gt;"",$J125&lt;MAX($H125:$I125)),AND($K125&lt;&gt;"",$K125&lt;MAX($H125:$J125))),"Avance semanal decreciente"&amp;" · ","")&amp;IF(AND(ISNUMBER($F125),$F125&lt;FechaRef,N($L125)&lt;1),"Vencida"&amp;" · ","")&amp;IF(AND(ObsObligatoria="Sí",ISNUMBER($F125),$F125&lt;FechaRef,N($L125)&lt;1,$N125=""),"Vencida sin observación"&amp;" · ",""))-3)))</f>
        <v/>
      </c>
      <c r="P125" s="69">
        <f>IF(NOT((COUNTA($B125:$K125)+COUNTA($N125))&gt;0),"",IF(AND($S125="Sub",N($R125)&gt;0),IF(ISNUMBER(INDEX($E$5:$E$1000,$R125-4)),DATE(YEAR(INDEX($E$5:$E$1000,$R125-4)),MONTH(INDEX($E$5:$E$1000,$R125-4)),1),IF(ISNUMBER(INDEX($F$5:$F$1000,$R125-4)),DATE(YEAR(INDEX($F$5:$F$1000,$R125-4)),MONTH(INDEX($F$5:$F$1000,$R125-4)),1),MesCiclo)),IF(ISNUMBER($E125),DATE(YEAR($E125),MONTH($E125),1),IF(ISNUMBER($F125),DATE(YEAR($F125),MONTH($F125),1),MesCiclo))))</f>
        <v/>
      </c>
      <c r="Q125" s="70">
        <f>IF(OR($P125="",$P125&lt;&gt;MesCiclo),"",COUNTIF($P$5:$P125,MesCiclo))</f>
        <v/>
      </c>
      <c r="R125" s="70">
        <f>IF($S125="","",IF($S125="Macro",ROW(),IFERROR(LOOKUP(2,1/($S$5:$S125="Macro"),ROW($S$5:$S125)),0)))</f>
        <v/>
      </c>
      <c r="S125" s="70">
        <f>IF(NOT((COUNTA($B125:$K125)+COUNTA($N125))&gt;0),"",IF($B125&lt;&gt;"","Macro",IF($C125&lt;&gt;"","Sub","Macro")))</f>
        <v/>
      </c>
      <c r="T125" s="70">
        <f>IF($S125="Macro",COUNTIFS($R$5:$R$1000,ROW(),$S$5:$S$1000,"Sub"),"")</f>
        <v/>
      </c>
      <c r="U125" s="70">
        <f>IF($S125="","",IF(ISNUMBER($H125),$H125,0))</f>
        <v/>
      </c>
      <c r="V125" s="70">
        <f>IF($S125="","",IF(ISNUMBER($I125),$I125,$U125))</f>
        <v/>
      </c>
      <c r="W125" s="70">
        <f>IF($S125="","",IF(ISNUMBER($J125),$J125,$V125))</f>
        <v/>
      </c>
      <c r="X125" s="70">
        <f>IF($S125="","",IF(ISNUMBER($K125),$K125,$W125))</f>
        <v/>
      </c>
      <c r="Y125" s="70">
        <f>IF($S125="","",IF(N($T125)&gt;0,AVERAGEIFS($U$5:$U$1000,$R$5:$R$1000,ROW(),$S$5:$S$1000,"Sub"),$U125))</f>
        <v/>
      </c>
      <c r="Z125" s="70">
        <f>IF($S125="","",IF(N($T125)&gt;0,AVERAGEIFS($V$5:$V$1000,$R$5:$R$1000,ROW(),$S$5:$S$1000,"Sub"),$V125))</f>
        <v/>
      </c>
      <c r="AA125" s="70">
        <f>IF($S125="","",IF(N($T125)&gt;0,AVERAGEIFS($W$5:$W$1000,$R$5:$R$1000,ROW(),$S$5:$S$1000,"Sub"),$W125))</f>
        <v/>
      </c>
      <c r="AB125" s="70">
        <f>IF($S125="","",IF(N($T125)&gt;0,AVERAGEIFS($X$5:$X$1000,$R$5:$R$1000,ROW(),$S$5:$S$1000,"Sub"),$X125))</f>
        <v/>
      </c>
    </row>
    <row r="126">
      <c r="A126" s="61">
        <f>IF(NOT((COUNTA($B126:$K126)+COUNTA($N126))&gt;0),"",IF($S126="Macro",COUNTIFS($S$5:$S126,"Macro",$P$5:$P126,$P126),IF(N($R126)=0,"?",COUNTIFS(INDEX($S$5:$S$1000,1):INDEX($S$5:$S$1000,$R126-4),"Macro",INDEX($P$5:$P$1000,1):INDEX($P$5:$P$1000,$R126-4),INDEX($P$5:$P$1000,$R126-4))&amp;"."&amp;COUNTIFS($R$5:$R126,$R126,$S$5:$S126,"Sub"))))</f>
        <v/>
      </c>
      <c r="B126" s="62" t="n"/>
      <c r="C126" s="63" t="n"/>
      <c r="D126" s="62" t="n"/>
      <c r="E126" s="64" t="n"/>
      <c r="F126" s="64" t="n"/>
      <c r="G126" s="65" t="n"/>
      <c r="H126" s="66" t="n"/>
      <c r="I126" s="66" t="n"/>
      <c r="J126" s="66" t="n"/>
      <c r="K126" s="66" t="n"/>
      <c r="L126" s="67">
        <f>IF(NOT((COUNTA($B126:$K126)+COUNTA($N126))&gt;0),"",IF(N($T126)&gt;0,$AB126,IFERROR(LOOKUP(2,1/(H126:K126&lt;&gt;""),H126:K126),0)))</f>
        <v/>
      </c>
      <c r="M126" s="61">
        <f>IF(L126="","",IF(L126&gt;=1,"Completado",IF(L126&gt;0,"En curso","Pendiente")))</f>
        <v/>
      </c>
      <c r="N126" s="62" t="n"/>
      <c r="O126" s="68">
        <f>IF(NOT((COUNTA($B126:$K126)+COUNTA($N126))&gt;0),"",IF((IF(AND($S126="Macro",$B126=""),"Macroactividad vacía"&amp;" · ","")&amp;IF(AND($B126&lt;&gt;"",$C126&lt;&gt;""),"Escriba la subactividad en otra fila, debajo de su macroactividad"&amp;" · ","")&amp;IF(AND($S126="Sub",N($R126)=0),"Subactividad sin macroactividad arriba"&amp;" · ","")&amp;IF($D126="","Sin responsable"&amp;" · ","")&amp;IF($E126="","Sin fecha de inicio"&amp;" · ","")&amp;IF($F126="","Sin fecha límite"&amp;" · ","")&amp;IF(OR(AND($E126&lt;&gt;"",NOT(ISNUMBER($E126))),AND($F126&lt;&gt;"",NOT(ISNUMBER($F126)))),"Fecha no válida"&amp;" · ","")&amp;IF(AND(ISNUMBER($E126),ISNUMBER($F126),$E126&gt;$F126),"Inicio posterior a fecha límite"&amp;" · ","")&amp;IF(AND($S126="Macro",$G126=""),"Peso vacío"&amp;" · ","")&amp;IF(AND($S126="Macro",$G126&lt;&gt;"",OR(NOT(ISNUMBER($G126)),$G126&lt;=0,$G126&gt;1)),"Peso fuera de rango"&amp;" · ","")&amp;IF(AND($S126="Sub",$G126&lt;&gt;""),"Las subactividades no llevan peso"&amp;" · ","")&amp;IF(AND($S126="Macro",ABS(SUMIFS($G$5:$G$1000,$P$5:$P$1000,$P126,$S$5:$S$1000,"Macro")-1)&gt;0.0001),"Pesos del mes suman "&amp;TEXT(SUMIFS($G$5:$G$1000,$P$5:$P$1000,$P126,$S$5:$S$1000,"Macro"),"0%")&amp;" · ","")&amp;IF(AND(N($T126)&gt;0,COUNT($H126:$K126)&gt;0),"Con subactividades: deje vacías las semanas (se calculan solas)"&amp;" · ","")&amp;IF((COUNTIF($H126:$K126,"&gt;1")+COUNTIF($H126:$K126,"&lt;0")+COUNTA($H126:$K126)-COUNT($H126:$K126))&gt;0,"Avance fuera de rango 0-100%"&amp;" · ","")&amp;IF(OR(AND($I126&lt;&gt;"",$I126&lt;$H126),AND($J126&lt;&gt;"",$J126&lt;MAX($H126:$I126)),AND($K126&lt;&gt;"",$K126&lt;MAX($H126:$J126))),"Avance semanal decreciente"&amp;" · ","")&amp;IF(AND(ISNUMBER($F126),$F126&lt;FechaRef,N($L126)&lt;1),"Vencida"&amp;" · ","")&amp;IF(AND(ObsObligatoria="Sí",ISNUMBER($F126),$F126&lt;FechaRef,N($L126)&lt;1,$N126=""),"Vencida sin observación"&amp;" · ",""))="","✔ OK","⚠ "&amp;LEFT(IF(AND($S126="Macro",$B126=""),"Macroactividad vacía"&amp;" · ","")&amp;IF(AND($B126&lt;&gt;"",$C126&lt;&gt;""),"Escriba la subactividad en otra fila, debajo de su macroactividad"&amp;" · ","")&amp;IF(AND($S126="Sub",N($R126)=0),"Subactividad sin macroactividad arriba"&amp;" · ","")&amp;IF($D126="","Sin responsable"&amp;" · ","")&amp;IF($E126="","Sin fecha de inicio"&amp;" · ","")&amp;IF($F126="","Sin fecha límite"&amp;" · ","")&amp;IF(OR(AND($E126&lt;&gt;"",NOT(ISNUMBER($E126))),AND($F126&lt;&gt;"",NOT(ISNUMBER($F126)))),"Fecha no válida"&amp;" · ","")&amp;IF(AND(ISNUMBER($E126),ISNUMBER($F126),$E126&gt;$F126),"Inicio posterior a fecha límite"&amp;" · ","")&amp;IF(AND($S126="Macro",$G126=""),"Peso vacío"&amp;" · ","")&amp;IF(AND($S126="Macro",$G126&lt;&gt;"",OR(NOT(ISNUMBER($G126)),$G126&lt;=0,$G126&gt;1)),"Peso fuera de rango"&amp;" · ","")&amp;IF(AND($S126="Sub",$G126&lt;&gt;""),"Las subactividades no llevan peso"&amp;" · ","")&amp;IF(AND($S126="Macro",ABS(SUMIFS($G$5:$G$1000,$P$5:$P$1000,$P126,$S$5:$S$1000,"Macro")-1)&gt;0.0001),"Pesos del mes suman "&amp;TEXT(SUMIFS($G$5:$G$1000,$P$5:$P$1000,$P126,$S$5:$S$1000,"Macro"),"0%")&amp;" · ","")&amp;IF(AND(N($T126)&gt;0,COUNT($H126:$K126)&gt;0),"Con subactividades: deje vacías las semanas (se calculan solas)"&amp;" · ","")&amp;IF((COUNTIF($H126:$K126,"&gt;1")+COUNTIF($H126:$K126,"&lt;0")+COUNTA($H126:$K126)-COUNT($H126:$K126))&gt;0,"Avance fuera de rango 0-100%"&amp;" · ","")&amp;IF(OR(AND($I126&lt;&gt;"",$I126&lt;$H126),AND($J126&lt;&gt;"",$J126&lt;MAX($H126:$I126)),AND($K126&lt;&gt;"",$K126&lt;MAX($H126:$J126))),"Avance semanal decreciente"&amp;" · ","")&amp;IF(AND(ISNUMBER($F126),$F126&lt;FechaRef,N($L126)&lt;1),"Vencida"&amp;" · ","")&amp;IF(AND(ObsObligatoria="Sí",ISNUMBER($F126),$F126&lt;FechaRef,N($L126)&lt;1,$N126=""),"Vencida sin observación"&amp;" · ",""),LEN(IF(AND($S126="Macro",$B126=""),"Macroactividad vacía"&amp;" · ","")&amp;IF(AND($B126&lt;&gt;"",$C126&lt;&gt;""),"Escriba la subactividad en otra fila, debajo de su macroactividad"&amp;" · ","")&amp;IF(AND($S126="Sub",N($R126)=0),"Subactividad sin macroactividad arriba"&amp;" · ","")&amp;IF($D126="","Sin responsable"&amp;" · ","")&amp;IF($E126="","Sin fecha de inicio"&amp;" · ","")&amp;IF($F126="","Sin fecha límite"&amp;" · ","")&amp;IF(OR(AND($E126&lt;&gt;"",NOT(ISNUMBER($E126))),AND($F126&lt;&gt;"",NOT(ISNUMBER($F126)))),"Fecha no válida"&amp;" · ","")&amp;IF(AND(ISNUMBER($E126),ISNUMBER($F126),$E126&gt;$F126),"Inicio posterior a fecha límite"&amp;" · ","")&amp;IF(AND($S126="Macro",$G126=""),"Peso vacío"&amp;" · ","")&amp;IF(AND($S126="Macro",$G126&lt;&gt;"",OR(NOT(ISNUMBER($G126)),$G126&lt;=0,$G126&gt;1)),"Peso fuera de rango"&amp;" · ","")&amp;IF(AND($S126="Sub",$G126&lt;&gt;""),"Las subactividades no llevan peso"&amp;" · ","")&amp;IF(AND($S126="Macro",ABS(SUMIFS($G$5:$G$1000,$P$5:$P$1000,$P126,$S$5:$S$1000,"Macro")-1)&gt;0.0001),"Pesos del mes suman "&amp;TEXT(SUMIFS($G$5:$G$1000,$P$5:$P$1000,$P126,$S$5:$S$1000,"Macro"),"0%")&amp;" · ","")&amp;IF(AND(N($T126)&gt;0,COUNT($H126:$K126)&gt;0),"Con subactividades: deje vacías las semanas (se calculan solas)"&amp;" · ","")&amp;IF((COUNTIF($H126:$K126,"&gt;1")+COUNTIF($H126:$K126,"&lt;0")+COUNTA($H126:$K126)-COUNT($H126:$K126))&gt;0,"Avance fuera de rango 0-100%"&amp;" · ","")&amp;IF(OR(AND($I126&lt;&gt;"",$I126&lt;$H126),AND($J126&lt;&gt;"",$J126&lt;MAX($H126:$I126)),AND($K126&lt;&gt;"",$K126&lt;MAX($H126:$J126))),"Avance semanal decreciente"&amp;" · ","")&amp;IF(AND(ISNUMBER($F126),$F126&lt;FechaRef,N($L126)&lt;1),"Vencida"&amp;" · ","")&amp;IF(AND(ObsObligatoria="Sí",ISNUMBER($F126),$F126&lt;FechaRef,N($L126)&lt;1,$N126=""),"Vencida sin observación"&amp;" · ",""))-3)))</f>
        <v/>
      </c>
      <c r="P126" s="69">
        <f>IF(NOT((COUNTA($B126:$K126)+COUNTA($N126))&gt;0),"",IF(AND($S126="Sub",N($R126)&gt;0),IF(ISNUMBER(INDEX($E$5:$E$1000,$R126-4)),DATE(YEAR(INDEX($E$5:$E$1000,$R126-4)),MONTH(INDEX($E$5:$E$1000,$R126-4)),1),IF(ISNUMBER(INDEX($F$5:$F$1000,$R126-4)),DATE(YEAR(INDEX($F$5:$F$1000,$R126-4)),MONTH(INDEX($F$5:$F$1000,$R126-4)),1),MesCiclo)),IF(ISNUMBER($E126),DATE(YEAR($E126),MONTH($E126),1),IF(ISNUMBER($F126),DATE(YEAR($F126),MONTH($F126),1),MesCiclo))))</f>
        <v/>
      </c>
      <c r="Q126" s="70">
        <f>IF(OR($P126="",$P126&lt;&gt;MesCiclo),"",COUNTIF($P$5:$P126,MesCiclo))</f>
        <v/>
      </c>
      <c r="R126" s="70">
        <f>IF($S126="","",IF($S126="Macro",ROW(),IFERROR(LOOKUP(2,1/($S$5:$S126="Macro"),ROW($S$5:$S126)),0)))</f>
        <v/>
      </c>
      <c r="S126" s="70">
        <f>IF(NOT((COUNTA($B126:$K126)+COUNTA($N126))&gt;0),"",IF($B126&lt;&gt;"","Macro",IF($C126&lt;&gt;"","Sub","Macro")))</f>
        <v/>
      </c>
      <c r="T126" s="70">
        <f>IF($S126="Macro",COUNTIFS($R$5:$R$1000,ROW(),$S$5:$S$1000,"Sub"),"")</f>
        <v/>
      </c>
      <c r="U126" s="70">
        <f>IF($S126="","",IF(ISNUMBER($H126),$H126,0))</f>
        <v/>
      </c>
      <c r="V126" s="70">
        <f>IF($S126="","",IF(ISNUMBER($I126),$I126,$U126))</f>
        <v/>
      </c>
      <c r="W126" s="70">
        <f>IF($S126="","",IF(ISNUMBER($J126),$J126,$V126))</f>
        <v/>
      </c>
      <c r="X126" s="70">
        <f>IF($S126="","",IF(ISNUMBER($K126),$K126,$W126))</f>
        <v/>
      </c>
      <c r="Y126" s="70">
        <f>IF($S126="","",IF(N($T126)&gt;0,AVERAGEIFS($U$5:$U$1000,$R$5:$R$1000,ROW(),$S$5:$S$1000,"Sub"),$U126))</f>
        <v/>
      </c>
      <c r="Z126" s="70">
        <f>IF($S126="","",IF(N($T126)&gt;0,AVERAGEIFS($V$5:$V$1000,$R$5:$R$1000,ROW(),$S$5:$S$1000,"Sub"),$V126))</f>
        <v/>
      </c>
      <c r="AA126" s="70">
        <f>IF($S126="","",IF(N($T126)&gt;0,AVERAGEIFS($W$5:$W$1000,$R$5:$R$1000,ROW(),$S$5:$S$1000,"Sub"),$W126))</f>
        <v/>
      </c>
      <c r="AB126" s="70">
        <f>IF($S126="","",IF(N($T126)&gt;0,AVERAGEIFS($X$5:$X$1000,$R$5:$R$1000,ROW(),$S$5:$S$1000,"Sub"),$X126))</f>
        <v/>
      </c>
    </row>
    <row r="127">
      <c r="A127" s="61">
        <f>IF(NOT((COUNTA($B127:$K127)+COUNTA($N127))&gt;0),"",IF($S127="Macro",COUNTIFS($S$5:$S127,"Macro",$P$5:$P127,$P127),IF(N($R127)=0,"?",COUNTIFS(INDEX($S$5:$S$1000,1):INDEX($S$5:$S$1000,$R127-4),"Macro",INDEX($P$5:$P$1000,1):INDEX($P$5:$P$1000,$R127-4),INDEX($P$5:$P$1000,$R127-4))&amp;"."&amp;COUNTIFS($R$5:$R127,$R127,$S$5:$S127,"Sub"))))</f>
        <v/>
      </c>
      <c r="B127" s="62" t="n"/>
      <c r="C127" s="63" t="n"/>
      <c r="D127" s="62" t="n"/>
      <c r="E127" s="64" t="n"/>
      <c r="F127" s="64" t="n"/>
      <c r="G127" s="65" t="n"/>
      <c r="H127" s="66" t="n"/>
      <c r="I127" s="66" t="n"/>
      <c r="J127" s="66" t="n"/>
      <c r="K127" s="66" t="n"/>
      <c r="L127" s="67">
        <f>IF(NOT((COUNTA($B127:$K127)+COUNTA($N127))&gt;0),"",IF(N($T127)&gt;0,$AB127,IFERROR(LOOKUP(2,1/(H127:K127&lt;&gt;""),H127:K127),0)))</f>
        <v/>
      </c>
      <c r="M127" s="61">
        <f>IF(L127="","",IF(L127&gt;=1,"Completado",IF(L127&gt;0,"En curso","Pendiente")))</f>
        <v/>
      </c>
      <c r="N127" s="62" t="n"/>
      <c r="O127" s="68">
        <f>IF(NOT((COUNTA($B127:$K127)+COUNTA($N127))&gt;0),"",IF((IF(AND($S127="Macro",$B127=""),"Macroactividad vacía"&amp;" · ","")&amp;IF(AND($B127&lt;&gt;"",$C127&lt;&gt;""),"Escriba la subactividad en otra fila, debajo de su macroactividad"&amp;" · ","")&amp;IF(AND($S127="Sub",N($R127)=0),"Subactividad sin macroactividad arriba"&amp;" · ","")&amp;IF($D127="","Sin responsable"&amp;" · ","")&amp;IF($E127="","Sin fecha de inicio"&amp;" · ","")&amp;IF($F127="","Sin fecha límite"&amp;" · ","")&amp;IF(OR(AND($E127&lt;&gt;"",NOT(ISNUMBER($E127))),AND($F127&lt;&gt;"",NOT(ISNUMBER($F127)))),"Fecha no válida"&amp;" · ","")&amp;IF(AND(ISNUMBER($E127),ISNUMBER($F127),$E127&gt;$F127),"Inicio posterior a fecha límite"&amp;" · ","")&amp;IF(AND($S127="Macro",$G127=""),"Peso vacío"&amp;" · ","")&amp;IF(AND($S127="Macro",$G127&lt;&gt;"",OR(NOT(ISNUMBER($G127)),$G127&lt;=0,$G127&gt;1)),"Peso fuera de rango"&amp;" · ","")&amp;IF(AND($S127="Sub",$G127&lt;&gt;""),"Las subactividades no llevan peso"&amp;" · ","")&amp;IF(AND($S127="Macro",ABS(SUMIFS($G$5:$G$1000,$P$5:$P$1000,$P127,$S$5:$S$1000,"Macro")-1)&gt;0.0001),"Pesos del mes suman "&amp;TEXT(SUMIFS($G$5:$G$1000,$P$5:$P$1000,$P127,$S$5:$S$1000,"Macro"),"0%")&amp;" · ","")&amp;IF(AND(N($T127)&gt;0,COUNT($H127:$K127)&gt;0),"Con subactividades: deje vacías las semanas (se calculan solas)"&amp;" · ","")&amp;IF((COUNTIF($H127:$K127,"&gt;1")+COUNTIF($H127:$K127,"&lt;0")+COUNTA($H127:$K127)-COUNT($H127:$K127))&gt;0,"Avance fuera de rango 0-100%"&amp;" · ","")&amp;IF(OR(AND($I127&lt;&gt;"",$I127&lt;$H127),AND($J127&lt;&gt;"",$J127&lt;MAX($H127:$I127)),AND($K127&lt;&gt;"",$K127&lt;MAX($H127:$J127))),"Avance semanal decreciente"&amp;" · ","")&amp;IF(AND(ISNUMBER($F127),$F127&lt;FechaRef,N($L127)&lt;1),"Vencida"&amp;" · ","")&amp;IF(AND(ObsObligatoria="Sí",ISNUMBER($F127),$F127&lt;FechaRef,N($L127)&lt;1,$N127=""),"Vencida sin observación"&amp;" · ",""))="","✔ OK","⚠ "&amp;LEFT(IF(AND($S127="Macro",$B127=""),"Macroactividad vacía"&amp;" · ","")&amp;IF(AND($B127&lt;&gt;"",$C127&lt;&gt;""),"Escriba la subactividad en otra fila, debajo de su macroactividad"&amp;" · ","")&amp;IF(AND($S127="Sub",N($R127)=0),"Subactividad sin macroactividad arriba"&amp;" · ","")&amp;IF($D127="","Sin responsable"&amp;" · ","")&amp;IF($E127="","Sin fecha de inicio"&amp;" · ","")&amp;IF($F127="","Sin fecha límite"&amp;" · ","")&amp;IF(OR(AND($E127&lt;&gt;"",NOT(ISNUMBER($E127))),AND($F127&lt;&gt;"",NOT(ISNUMBER($F127)))),"Fecha no válida"&amp;" · ","")&amp;IF(AND(ISNUMBER($E127),ISNUMBER($F127),$E127&gt;$F127),"Inicio posterior a fecha límite"&amp;" · ","")&amp;IF(AND($S127="Macro",$G127=""),"Peso vacío"&amp;" · ","")&amp;IF(AND($S127="Macro",$G127&lt;&gt;"",OR(NOT(ISNUMBER($G127)),$G127&lt;=0,$G127&gt;1)),"Peso fuera de rango"&amp;" · ","")&amp;IF(AND($S127="Sub",$G127&lt;&gt;""),"Las subactividades no llevan peso"&amp;" · ","")&amp;IF(AND($S127="Macro",ABS(SUMIFS($G$5:$G$1000,$P$5:$P$1000,$P127,$S$5:$S$1000,"Macro")-1)&gt;0.0001),"Pesos del mes suman "&amp;TEXT(SUMIFS($G$5:$G$1000,$P$5:$P$1000,$P127,$S$5:$S$1000,"Macro"),"0%")&amp;" · ","")&amp;IF(AND(N($T127)&gt;0,COUNT($H127:$K127)&gt;0),"Con subactividades: deje vacías las semanas (se calculan solas)"&amp;" · ","")&amp;IF((COUNTIF($H127:$K127,"&gt;1")+COUNTIF($H127:$K127,"&lt;0")+COUNTA($H127:$K127)-COUNT($H127:$K127))&gt;0,"Avance fuera de rango 0-100%"&amp;" · ","")&amp;IF(OR(AND($I127&lt;&gt;"",$I127&lt;$H127),AND($J127&lt;&gt;"",$J127&lt;MAX($H127:$I127)),AND($K127&lt;&gt;"",$K127&lt;MAX($H127:$J127))),"Avance semanal decreciente"&amp;" · ","")&amp;IF(AND(ISNUMBER($F127),$F127&lt;FechaRef,N($L127)&lt;1),"Vencida"&amp;" · ","")&amp;IF(AND(ObsObligatoria="Sí",ISNUMBER($F127),$F127&lt;FechaRef,N($L127)&lt;1,$N127=""),"Vencida sin observación"&amp;" · ",""),LEN(IF(AND($S127="Macro",$B127=""),"Macroactividad vacía"&amp;" · ","")&amp;IF(AND($B127&lt;&gt;"",$C127&lt;&gt;""),"Escriba la subactividad en otra fila, debajo de su macroactividad"&amp;" · ","")&amp;IF(AND($S127="Sub",N($R127)=0),"Subactividad sin macroactividad arriba"&amp;" · ","")&amp;IF($D127="","Sin responsable"&amp;" · ","")&amp;IF($E127="","Sin fecha de inicio"&amp;" · ","")&amp;IF($F127="","Sin fecha límite"&amp;" · ","")&amp;IF(OR(AND($E127&lt;&gt;"",NOT(ISNUMBER($E127))),AND($F127&lt;&gt;"",NOT(ISNUMBER($F127)))),"Fecha no válida"&amp;" · ","")&amp;IF(AND(ISNUMBER($E127),ISNUMBER($F127),$E127&gt;$F127),"Inicio posterior a fecha límite"&amp;" · ","")&amp;IF(AND($S127="Macro",$G127=""),"Peso vacío"&amp;" · ","")&amp;IF(AND($S127="Macro",$G127&lt;&gt;"",OR(NOT(ISNUMBER($G127)),$G127&lt;=0,$G127&gt;1)),"Peso fuera de rango"&amp;" · ","")&amp;IF(AND($S127="Sub",$G127&lt;&gt;""),"Las subactividades no llevan peso"&amp;" · ","")&amp;IF(AND($S127="Macro",ABS(SUMIFS($G$5:$G$1000,$P$5:$P$1000,$P127,$S$5:$S$1000,"Macro")-1)&gt;0.0001),"Pesos del mes suman "&amp;TEXT(SUMIFS($G$5:$G$1000,$P$5:$P$1000,$P127,$S$5:$S$1000,"Macro"),"0%")&amp;" · ","")&amp;IF(AND(N($T127)&gt;0,COUNT($H127:$K127)&gt;0),"Con subactividades: deje vacías las semanas (se calculan solas)"&amp;" · ","")&amp;IF((COUNTIF($H127:$K127,"&gt;1")+COUNTIF($H127:$K127,"&lt;0")+COUNTA($H127:$K127)-COUNT($H127:$K127))&gt;0,"Avance fuera de rango 0-100%"&amp;" · ","")&amp;IF(OR(AND($I127&lt;&gt;"",$I127&lt;$H127),AND($J127&lt;&gt;"",$J127&lt;MAX($H127:$I127)),AND($K127&lt;&gt;"",$K127&lt;MAX($H127:$J127))),"Avance semanal decreciente"&amp;" · ","")&amp;IF(AND(ISNUMBER($F127),$F127&lt;FechaRef,N($L127)&lt;1),"Vencida"&amp;" · ","")&amp;IF(AND(ObsObligatoria="Sí",ISNUMBER($F127),$F127&lt;FechaRef,N($L127)&lt;1,$N127=""),"Vencida sin observación"&amp;" · ",""))-3)))</f>
        <v/>
      </c>
      <c r="P127" s="69">
        <f>IF(NOT((COUNTA($B127:$K127)+COUNTA($N127))&gt;0),"",IF(AND($S127="Sub",N($R127)&gt;0),IF(ISNUMBER(INDEX($E$5:$E$1000,$R127-4)),DATE(YEAR(INDEX($E$5:$E$1000,$R127-4)),MONTH(INDEX($E$5:$E$1000,$R127-4)),1),IF(ISNUMBER(INDEX($F$5:$F$1000,$R127-4)),DATE(YEAR(INDEX($F$5:$F$1000,$R127-4)),MONTH(INDEX($F$5:$F$1000,$R127-4)),1),MesCiclo)),IF(ISNUMBER($E127),DATE(YEAR($E127),MONTH($E127),1),IF(ISNUMBER($F127),DATE(YEAR($F127),MONTH($F127),1),MesCiclo))))</f>
        <v/>
      </c>
      <c r="Q127" s="70">
        <f>IF(OR($P127="",$P127&lt;&gt;MesCiclo),"",COUNTIF($P$5:$P127,MesCiclo))</f>
        <v/>
      </c>
      <c r="R127" s="70">
        <f>IF($S127="","",IF($S127="Macro",ROW(),IFERROR(LOOKUP(2,1/($S$5:$S127="Macro"),ROW($S$5:$S127)),0)))</f>
        <v/>
      </c>
      <c r="S127" s="70">
        <f>IF(NOT((COUNTA($B127:$K127)+COUNTA($N127))&gt;0),"",IF($B127&lt;&gt;"","Macro",IF($C127&lt;&gt;"","Sub","Macro")))</f>
        <v/>
      </c>
      <c r="T127" s="70">
        <f>IF($S127="Macro",COUNTIFS($R$5:$R$1000,ROW(),$S$5:$S$1000,"Sub"),"")</f>
        <v/>
      </c>
      <c r="U127" s="70">
        <f>IF($S127="","",IF(ISNUMBER($H127),$H127,0))</f>
        <v/>
      </c>
      <c r="V127" s="70">
        <f>IF($S127="","",IF(ISNUMBER($I127),$I127,$U127))</f>
        <v/>
      </c>
      <c r="W127" s="70">
        <f>IF($S127="","",IF(ISNUMBER($J127),$J127,$V127))</f>
        <v/>
      </c>
      <c r="X127" s="70">
        <f>IF($S127="","",IF(ISNUMBER($K127),$K127,$W127))</f>
        <v/>
      </c>
      <c r="Y127" s="70">
        <f>IF($S127="","",IF(N($T127)&gt;0,AVERAGEIFS($U$5:$U$1000,$R$5:$R$1000,ROW(),$S$5:$S$1000,"Sub"),$U127))</f>
        <v/>
      </c>
      <c r="Z127" s="70">
        <f>IF($S127="","",IF(N($T127)&gt;0,AVERAGEIFS($V$5:$V$1000,$R$5:$R$1000,ROW(),$S$5:$S$1000,"Sub"),$V127))</f>
        <v/>
      </c>
      <c r="AA127" s="70">
        <f>IF($S127="","",IF(N($T127)&gt;0,AVERAGEIFS($W$5:$W$1000,$R$5:$R$1000,ROW(),$S$5:$S$1000,"Sub"),$W127))</f>
        <v/>
      </c>
      <c r="AB127" s="70">
        <f>IF($S127="","",IF(N($T127)&gt;0,AVERAGEIFS($X$5:$X$1000,$R$5:$R$1000,ROW(),$S$5:$S$1000,"Sub"),$X127))</f>
        <v/>
      </c>
    </row>
    <row r="128">
      <c r="A128" s="61">
        <f>IF(NOT((COUNTA($B128:$K128)+COUNTA($N128))&gt;0),"",IF($S128="Macro",COUNTIFS($S$5:$S128,"Macro",$P$5:$P128,$P128),IF(N($R128)=0,"?",COUNTIFS(INDEX($S$5:$S$1000,1):INDEX($S$5:$S$1000,$R128-4),"Macro",INDEX($P$5:$P$1000,1):INDEX($P$5:$P$1000,$R128-4),INDEX($P$5:$P$1000,$R128-4))&amp;"."&amp;COUNTIFS($R$5:$R128,$R128,$S$5:$S128,"Sub"))))</f>
        <v/>
      </c>
      <c r="B128" s="62" t="n"/>
      <c r="C128" s="63" t="n"/>
      <c r="D128" s="62" t="n"/>
      <c r="E128" s="64" t="n"/>
      <c r="F128" s="64" t="n"/>
      <c r="G128" s="65" t="n"/>
      <c r="H128" s="66" t="n"/>
      <c r="I128" s="66" t="n"/>
      <c r="J128" s="66" t="n"/>
      <c r="K128" s="66" t="n"/>
      <c r="L128" s="67">
        <f>IF(NOT((COUNTA($B128:$K128)+COUNTA($N128))&gt;0),"",IF(N($T128)&gt;0,$AB128,IFERROR(LOOKUP(2,1/(H128:K128&lt;&gt;""),H128:K128),0)))</f>
        <v/>
      </c>
      <c r="M128" s="61">
        <f>IF(L128="","",IF(L128&gt;=1,"Completado",IF(L128&gt;0,"En curso","Pendiente")))</f>
        <v/>
      </c>
      <c r="N128" s="62" t="n"/>
      <c r="O128" s="68">
        <f>IF(NOT((COUNTA($B128:$K128)+COUNTA($N128))&gt;0),"",IF((IF(AND($S128="Macro",$B128=""),"Macroactividad vacía"&amp;" · ","")&amp;IF(AND($B128&lt;&gt;"",$C128&lt;&gt;""),"Escriba la subactividad en otra fila, debajo de su macroactividad"&amp;" · ","")&amp;IF(AND($S128="Sub",N($R128)=0),"Subactividad sin macroactividad arriba"&amp;" · ","")&amp;IF($D128="","Sin responsable"&amp;" · ","")&amp;IF($E128="","Sin fecha de inicio"&amp;" · ","")&amp;IF($F128="","Sin fecha límite"&amp;" · ","")&amp;IF(OR(AND($E128&lt;&gt;"",NOT(ISNUMBER($E128))),AND($F128&lt;&gt;"",NOT(ISNUMBER($F128)))),"Fecha no válida"&amp;" · ","")&amp;IF(AND(ISNUMBER($E128),ISNUMBER($F128),$E128&gt;$F128),"Inicio posterior a fecha límite"&amp;" · ","")&amp;IF(AND($S128="Macro",$G128=""),"Peso vacío"&amp;" · ","")&amp;IF(AND($S128="Macro",$G128&lt;&gt;"",OR(NOT(ISNUMBER($G128)),$G128&lt;=0,$G128&gt;1)),"Peso fuera de rango"&amp;" · ","")&amp;IF(AND($S128="Sub",$G128&lt;&gt;""),"Las subactividades no llevan peso"&amp;" · ","")&amp;IF(AND($S128="Macro",ABS(SUMIFS($G$5:$G$1000,$P$5:$P$1000,$P128,$S$5:$S$1000,"Macro")-1)&gt;0.0001),"Pesos del mes suman "&amp;TEXT(SUMIFS($G$5:$G$1000,$P$5:$P$1000,$P128,$S$5:$S$1000,"Macro"),"0%")&amp;" · ","")&amp;IF(AND(N($T128)&gt;0,COUNT($H128:$K128)&gt;0),"Con subactividades: deje vacías las semanas (se calculan solas)"&amp;" · ","")&amp;IF((COUNTIF($H128:$K128,"&gt;1")+COUNTIF($H128:$K128,"&lt;0")+COUNTA($H128:$K128)-COUNT($H128:$K128))&gt;0,"Avance fuera de rango 0-100%"&amp;" · ","")&amp;IF(OR(AND($I128&lt;&gt;"",$I128&lt;$H128),AND($J128&lt;&gt;"",$J128&lt;MAX($H128:$I128)),AND($K128&lt;&gt;"",$K128&lt;MAX($H128:$J128))),"Avance semanal decreciente"&amp;" · ","")&amp;IF(AND(ISNUMBER($F128),$F128&lt;FechaRef,N($L128)&lt;1),"Vencida"&amp;" · ","")&amp;IF(AND(ObsObligatoria="Sí",ISNUMBER($F128),$F128&lt;FechaRef,N($L128)&lt;1,$N128=""),"Vencida sin observación"&amp;" · ",""))="","✔ OK","⚠ "&amp;LEFT(IF(AND($S128="Macro",$B128=""),"Macroactividad vacía"&amp;" · ","")&amp;IF(AND($B128&lt;&gt;"",$C128&lt;&gt;""),"Escriba la subactividad en otra fila, debajo de su macroactividad"&amp;" · ","")&amp;IF(AND($S128="Sub",N($R128)=0),"Subactividad sin macroactividad arriba"&amp;" · ","")&amp;IF($D128="","Sin responsable"&amp;" · ","")&amp;IF($E128="","Sin fecha de inicio"&amp;" · ","")&amp;IF($F128="","Sin fecha límite"&amp;" · ","")&amp;IF(OR(AND($E128&lt;&gt;"",NOT(ISNUMBER($E128))),AND($F128&lt;&gt;"",NOT(ISNUMBER($F128)))),"Fecha no válida"&amp;" · ","")&amp;IF(AND(ISNUMBER($E128),ISNUMBER($F128),$E128&gt;$F128),"Inicio posterior a fecha límite"&amp;" · ","")&amp;IF(AND($S128="Macro",$G128=""),"Peso vacío"&amp;" · ","")&amp;IF(AND($S128="Macro",$G128&lt;&gt;"",OR(NOT(ISNUMBER($G128)),$G128&lt;=0,$G128&gt;1)),"Peso fuera de rango"&amp;" · ","")&amp;IF(AND($S128="Sub",$G128&lt;&gt;""),"Las subactividades no llevan peso"&amp;" · ","")&amp;IF(AND($S128="Macro",ABS(SUMIFS($G$5:$G$1000,$P$5:$P$1000,$P128,$S$5:$S$1000,"Macro")-1)&gt;0.0001),"Pesos del mes suman "&amp;TEXT(SUMIFS($G$5:$G$1000,$P$5:$P$1000,$P128,$S$5:$S$1000,"Macro"),"0%")&amp;" · ","")&amp;IF(AND(N($T128)&gt;0,COUNT($H128:$K128)&gt;0),"Con subactividades: deje vacías las semanas (se calculan solas)"&amp;" · ","")&amp;IF((COUNTIF($H128:$K128,"&gt;1")+COUNTIF($H128:$K128,"&lt;0")+COUNTA($H128:$K128)-COUNT($H128:$K128))&gt;0,"Avance fuera de rango 0-100%"&amp;" · ","")&amp;IF(OR(AND($I128&lt;&gt;"",$I128&lt;$H128),AND($J128&lt;&gt;"",$J128&lt;MAX($H128:$I128)),AND($K128&lt;&gt;"",$K128&lt;MAX($H128:$J128))),"Avance semanal decreciente"&amp;" · ","")&amp;IF(AND(ISNUMBER($F128),$F128&lt;FechaRef,N($L128)&lt;1),"Vencida"&amp;" · ","")&amp;IF(AND(ObsObligatoria="Sí",ISNUMBER($F128),$F128&lt;FechaRef,N($L128)&lt;1,$N128=""),"Vencida sin observación"&amp;" · ",""),LEN(IF(AND($S128="Macro",$B128=""),"Macroactividad vacía"&amp;" · ","")&amp;IF(AND($B128&lt;&gt;"",$C128&lt;&gt;""),"Escriba la subactividad en otra fila, debajo de su macroactividad"&amp;" · ","")&amp;IF(AND($S128="Sub",N($R128)=0),"Subactividad sin macroactividad arriba"&amp;" · ","")&amp;IF($D128="","Sin responsable"&amp;" · ","")&amp;IF($E128="","Sin fecha de inicio"&amp;" · ","")&amp;IF($F128="","Sin fecha límite"&amp;" · ","")&amp;IF(OR(AND($E128&lt;&gt;"",NOT(ISNUMBER($E128))),AND($F128&lt;&gt;"",NOT(ISNUMBER($F128)))),"Fecha no válida"&amp;" · ","")&amp;IF(AND(ISNUMBER($E128),ISNUMBER($F128),$E128&gt;$F128),"Inicio posterior a fecha límite"&amp;" · ","")&amp;IF(AND($S128="Macro",$G128=""),"Peso vacío"&amp;" · ","")&amp;IF(AND($S128="Macro",$G128&lt;&gt;"",OR(NOT(ISNUMBER($G128)),$G128&lt;=0,$G128&gt;1)),"Peso fuera de rango"&amp;" · ","")&amp;IF(AND($S128="Sub",$G128&lt;&gt;""),"Las subactividades no llevan peso"&amp;" · ","")&amp;IF(AND($S128="Macro",ABS(SUMIFS($G$5:$G$1000,$P$5:$P$1000,$P128,$S$5:$S$1000,"Macro")-1)&gt;0.0001),"Pesos del mes suman "&amp;TEXT(SUMIFS($G$5:$G$1000,$P$5:$P$1000,$P128,$S$5:$S$1000,"Macro"),"0%")&amp;" · ","")&amp;IF(AND(N($T128)&gt;0,COUNT($H128:$K128)&gt;0),"Con subactividades: deje vacías las semanas (se calculan solas)"&amp;" · ","")&amp;IF((COUNTIF($H128:$K128,"&gt;1")+COUNTIF($H128:$K128,"&lt;0")+COUNTA($H128:$K128)-COUNT($H128:$K128))&gt;0,"Avance fuera de rango 0-100%"&amp;" · ","")&amp;IF(OR(AND($I128&lt;&gt;"",$I128&lt;$H128),AND($J128&lt;&gt;"",$J128&lt;MAX($H128:$I128)),AND($K128&lt;&gt;"",$K128&lt;MAX($H128:$J128))),"Avance semanal decreciente"&amp;" · ","")&amp;IF(AND(ISNUMBER($F128),$F128&lt;FechaRef,N($L128)&lt;1),"Vencida"&amp;" · ","")&amp;IF(AND(ObsObligatoria="Sí",ISNUMBER($F128),$F128&lt;FechaRef,N($L128)&lt;1,$N128=""),"Vencida sin observación"&amp;" · ",""))-3)))</f>
        <v/>
      </c>
      <c r="P128" s="69">
        <f>IF(NOT((COUNTA($B128:$K128)+COUNTA($N128))&gt;0),"",IF(AND($S128="Sub",N($R128)&gt;0),IF(ISNUMBER(INDEX($E$5:$E$1000,$R128-4)),DATE(YEAR(INDEX($E$5:$E$1000,$R128-4)),MONTH(INDEX($E$5:$E$1000,$R128-4)),1),IF(ISNUMBER(INDEX($F$5:$F$1000,$R128-4)),DATE(YEAR(INDEX($F$5:$F$1000,$R128-4)),MONTH(INDEX($F$5:$F$1000,$R128-4)),1),MesCiclo)),IF(ISNUMBER($E128),DATE(YEAR($E128),MONTH($E128),1),IF(ISNUMBER($F128),DATE(YEAR($F128),MONTH($F128),1),MesCiclo))))</f>
        <v/>
      </c>
      <c r="Q128" s="70">
        <f>IF(OR($P128="",$P128&lt;&gt;MesCiclo),"",COUNTIF($P$5:$P128,MesCiclo))</f>
        <v/>
      </c>
      <c r="R128" s="70">
        <f>IF($S128="","",IF($S128="Macro",ROW(),IFERROR(LOOKUP(2,1/($S$5:$S128="Macro"),ROW($S$5:$S128)),0)))</f>
        <v/>
      </c>
      <c r="S128" s="70">
        <f>IF(NOT((COUNTA($B128:$K128)+COUNTA($N128))&gt;0),"",IF($B128&lt;&gt;"","Macro",IF($C128&lt;&gt;"","Sub","Macro")))</f>
        <v/>
      </c>
      <c r="T128" s="70">
        <f>IF($S128="Macro",COUNTIFS($R$5:$R$1000,ROW(),$S$5:$S$1000,"Sub"),"")</f>
        <v/>
      </c>
      <c r="U128" s="70">
        <f>IF($S128="","",IF(ISNUMBER($H128),$H128,0))</f>
        <v/>
      </c>
      <c r="V128" s="70">
        <f>IF($S128="","",IF(ISNUMBER($I128),$I128,$U128))</f>
        <v/>
      </c>
      <c r="W128" s="70">
        <f>IF($S128="","",IF(ISNUMBER($J128),$J128,$V128))</f>
        <v/>
      </c>
      <c r="X128" s="70">
        <f>IF($S128="","",IF(ISNUMBER($K128),$K128,$W128))</f>
        <v/>
      </c>
      <c r="Y128" s="70">
        <f>IF($S128="","",IF(N($T128)&gt;0,AVERAGEIFS($U$5:$U$1000,$R$5:$R$1000,ROW(),$S$5:$S$1000,"Sub"),$U128))</f>
        <v/>
      </c>
      <c r="Z128" s="70">
        <f>IF($S128="","",IF(N($T128)&gt;0,AVERAGEIFS($V$5:$V$1000,$R$5:$R$1000,ROW(),$S$5:$S$1000,"Sub"),$V128))</f>
        <v/>
      </c>
      <c r="AA128" s="70">
        <f>IF($S128="","",IF(N($T128)&gt;0,AVERAGEIFS($W$5:$W$1000,$R$5:$R$1000,ROW(),$S$5:$S$1000,"Sub"),$W128))</f>
        <v/>
      </c>
      <c r="AB128" s="70">
        <f>IF($S128="","",IF(N($T128)&gt;0,AVERAGEIFS($X$5:$X$1000,$R$5:$R$1000,ROW(),$S$5:$S$1000,"Sub"),$X128))</f>
        <v/>
      </c>
    </row>
    <row r="129">
      <c r="A129" s="61">
        <f>IF(NOT((COUNTA($B129:$K129)+COUNTA($N129))&gt;0),"",IF($S129="Macro",COUNTIFS($S$5:$S129,"Macro",$P$5:$P129,$P129),IF(N($R129)=0,"?",COUNTIFS(INDEX($S$5:$S$1000,1):INDEX($S$5:$S$1000,$R129-4),"Macro",INDEX($P$5:$P$1000,1):INDEX($P$5:$P$1000,$R129-4),INDEX($P$5:$P$1000,$R129-4))&amp;"."&amp;COUNTIFS($R$5:$R129,$R129,$S$5:$S129,"Sub"))))</f>
        <v/>
      </c>
      <c r="B129" s="62" t="n"/>
      <c r="C129" s="63" t="n"/>
      <c r="D129" s="62" t="n"/>
      <c r="E129" s="64" t="n"/>
      <c r="F129" s="64" t="n"/>
      <c r="G129" s="65" t="n"/>
      <c r="H129" s="66" t="n"/>
      <c r="I129" s="66" t="n"/>
      <c r="J129" s="66" t="n"/>
      <c r="K129" s="66" t="n"/>
      <c r="L129" s="67">
        <f>IF(NOT((COUNTA($B129:$K129)+COUNTA($N129))&gt;0),"",IF(N($T129)&gt;0,$AB129,IFERROR(LOOKUP(2,1/(H129:K129&lt;&gt;""),H129:K129),0)))</f>
        <v/>
      </c>
      <c r="M129" s="61">
        <f>IF(L129="","",IF(L129&gt;=1,"Completado",IF(L129&gt;0,"En curso","Pendiente")))</f>
        <v/>
      </c>
      <c r="N129" s="62" t="n"/>
      <c r="O129" s="68">
        <f>IF(NOT((COUNTA($B129:$K129)+COUNTA($N129))&gt;0),"",IF((IF(AND($S129="Macro",$B129=""),"Macroactividad vacía"&amp;" · ","")&amp;IF(AND($B129&lt;&gt;"",$C129&lt;&gt;""),"Escriba la subactividad en otra fila, debajo de su macroactividad"&amp;" · ","")&amp;IF(AND($S129="Sub",N($R129)=0),"Subactividad sin macroactividad arriba"&amp;" · ","")&amp;IF($D129="","Sin responsable"&amp;" · ","")&amp;IF($E129="","Sin fecha de inicio"&amp;" · ","")&amp;IF($F129="","Sin fecha límite"&amp;" · ","")&amp;IF(OR(AND($E129&lt;&gt;"",NOT(ISNUMBER($E129))),AND($F129&lt;&gt;"",NOT(ISNUMBER($F129)))),"Fecha no válida"&amp;" · ","")&amp;IF(AND(ISNUMBER($E129),ISNUMBER($F129),$E129&gt;$F129),"Inicio posterior a fecha límite"&amp;" · ","")&amp;IF(AND($S129="Macro",$G129=""),"Peso vacío"&amp;" · ","")&amp;IF(AND($S129="Macro",$G129&lt;&gt;"",OR(NOT(ISNUMBER($G129)),$G129&lt;=0,$G129&gt;1)),"Peso fuera de rango"&amp;" · ","")&amp;IF(AND($S129="Sub",$G129&lt;&gt;""),"Las subactividades no llevan peso"&amp;" · ","")&amp;IF(AND($S129="Macro",ABS(SUMIFS($G$5:$G$1000,$P$5:$P$1000,$P129,$S$5:$S$1000,"Macro")-1)&gt;0.0001),"Pesos del mes suman "&amp;TEXT(SUMIFS($G$5:$G$1000,$P$5:$P$1000,$P129,$S$5:$S$1000,"Macro"),"0%")&amp;" · ","")&amp;IF(AND(N($T129)&gt;0,COUNT($H129:$K129)&gt;0),"Con subactividades: deje vacías las semanas (se calculan solas)"&amp;" · ","")&amp;IF((COUNTIF($H129:$K129,"&gt;1")+COUNTIF($H129:$K129,"&lt;0")+COUNTA($H129:$K129)-COUNT($H129:$K129))&gt;0,"Avance fuera de rango 0-100%"&amp;" · ","")&amp;IF(OR(AND($I129&lt;&gt;"",$I129&lt;$H129),AND($J129&lt;&gt;"",$J129&lt;MAX($H129:$I129)),AND($K129&lt;&gt;"",$K129&lt;MAX($H129:$J129))),"Avance semanal decreciente"&amp;" · ","")&amp;IF(AND(ISNUMBER($F129),$F129&lt;FechaRef,N($L129)&lt;1),"Vencida"&amp;" · ","")&amp;IF(AND(ObsObligatoria="Sí",ISNUMBER($F129),$F129&lt;FechaRef,N($L129)&lt;1,$N129=""),"Vencida sin observación"&amp;" · ",""))="","✔ OK","⚠ "&amp;LEFT(IF(AND($S129="Macro",$B129=""),"Macroactividad vacía"&amp;" · ","")&amp;IF(AND($B129&lt;&gt;"",$C129&lt;&gt;""),"Escriba la subactividad en otra fila, debajo de su macroactividad"&amp;" · ","")&amp;IF(AND($S129="Sub",N($R129)=0),"Subactividad sin macroactividad arriba"&amp;" · ","")&amp;IF($D129="","Sin responsable"&amp;" · ","")&amp;IF($E129="","Sin fecha de inicio"&amp;" · ","")&amp;IF($F129="","Sin fecha límite"&amp;" · ","")&amp;IF(OR(AND($E129&lt;&gt;"",NOT(ISNUMBER($E129))),AND($F129&lt;&gt;"",NOT(ISNUMBER($F129)))),"Fecha no válida"&amp;" · ","")&amp;IF(AND(ISNUMBER($E129),ISNUMBER($F129),$E129&gt;$F129),"Inicio posterior a fecha límite"&amp;" · ","")&amp;IF(AND($S129="Macro",$G129=""),"Peso vacío"&amp;" · ","")&amp;IF(AND($S129="Macro",$G129&lt;&gt;"",OR(NOT(ISNUMBER($G129)),$G129&lt;=0,$G129&gt;1)),"Peso fuera de rango"&amp;" · ","")&amp;IF(AND($S129="Sub",$G129&lt;&gt;""),"Las subactividades no llevan peso"&amp;" · ","")&amp;IF(AND($S129="Macro",ABS(SUMIFS($G$5:$G$1000,$P$5:$P$1000,$P129,$S$5:$S$1000,"Macro")-1)&gt;0.0001),"Pesos del mes suman "&amp;TEXT(SUMIFS($G$5:$G$1000,$P$5:$P$1000,$P129,$S$5:$S$1000,"Macro"),"0%")&amp;" · ","")&amp;IF(AND(N($T129)&gt;0,COUNT($H129:$K129)&gt;0),"Con subactividades: deje vacías las semanas (se calculan solas)"&amp;" · ","")&amp;IF((COUNTIF($H129:$K129,"&gt;1")+COUNTIF($H129:$K129,"&lt;0")+COUNTA($H129:$K129)-COUNT($H129:$K129))&gt;0,"Avance fuera de rango 0-100%"&amp;" · ","")&amp;IF(OR(AND($I129&lt;&gt;"",$I129&lt;$H129),AND($J129&lt;&gt;"",$J129&lt;MAX($H129:$I129)),AND($K129&lt;&gt;"",$K129&lt;MAX($H129:$J129))),"Avance semanal decreciente"&amp;" · ","")&amp;IF(AND(ISNUMBER($F129),$F129&lt;FechaRef,N($L129)&lt;1),"Vencida"&amp;" · ","")&amp;IF(AND(ObsObligatoria="Sí",ISNUMBER($F129),$F129&lt;FechaRef,N($L129)&lt;1,$N129=""),"Vencida sin observación"&amp;" · ",""),LEN(IF(AND($S129="Macro",$B129=""),"Macroactividad vacía"&amp;" · ","")&amp;IF(AND($B129&lt;&gt;"",$C129&lt;&gt;""),"Escriba la subactividad en otra fila, debajo de su macroactividad"&amp;" · ","")&amp;IF(AND($S129="Sub",N($R129)=0),"Subactividad sin macroactividad arriba"&amp;" · ","")&amp;IF($D129="","Sin responsable"&amp;" · ","")&amp;IF($E129="","Sin fecha de inicio"&amp;" · ","")&amp;IF($F129="","Sin fecha límite"&amp;" · ","")&amp;IF(OR(AND($E129&lt;&gt;"",NOT(ISNUMBER($E129))),AND($F129&lt;&gt;"",NOT(ISNUMBER($F129)))),"Fecha no válida"&amp;" · ","")&amp;IF(AND(ISNUMBER($E129),ISNUMBER($F129),$E129&gt;$F129),"Inicio posterior a fecha límite"&amp;" · ","")&amp;IF(AND($S129="Macro",$G129=""),"Peso vacío"&amp;" · ","")&amp;IF(AND($S129="Macro",$G129&lt;&gt;"",OR(NOT(ISNUMBER($G129)),$G129&lt;=0,$G129&gt;1)),"Peso fuera de rango"&amp;" · ","")&amp;IF(AND($S129="Sub",$G129&lt;&gt;""),"Las subactividades no llevan peso"&amp;" · ","")&amp;IF(AND($S129="Macro",ABS(SUMIFS($G$5:$G$1000,$P$5:$P$1000,$P129,$S$5:$S$1000,"Macro")-1)&gt;0.0001),"Pesos del mes suman "&amp;TEXT(SUMIFS($G$5:$G$1000,$P$5:$P$1000,$P129,$S$5:$S$1000,"Macro"),"0%")&amp;" · ","")&amp;IF(AND(N($T129)&gt;0,COUNT($H129:$K129)&gt;0),"Con subactividades: deje vacías las semanas (se calculan solas)"&amp;" · ","")&amp;IF((COUNTIF($H129:$K129,"&gt;1")+COUNTIF($H129:$K129,"&lt;0")+COUNTA($H129:$K129)-COUNT($H129:$K129))&gt;0,"Avance fuera de rango 0-100%"&amp;" · ","")&amp;IF(OR(AND($I129&lt;&gt;"",$I129&lt;$H129),AND($J129&lt;&gt;"",$J129&lt;MAX($H129:$I129)),AND($K129&lt;&gt;"",$K129&lt;MAX($H129:$J129))),"Avance semanal decreciente"&amp;" · ","")&amp;IF(AND(ISNUMBER($F129),$F129&lt;FechaRef,N($L129)&lt;1),"Vencida"&amp;" · ","")&amp;IF(AND(ObsObligatoria="Sí",ISNUMBER($F129),$F129&lt;FechaRef,N($L129)&lt;1,$N129=""),"Vencida sin observación"&amp;" · ",""))-3)))</f>
        <v/>
      </c>
      <c r="P129" s="69">
        <f>IF(NOT((COUNTA($B129:$K129)+COUNTA($N129))&gt;0),"",IF(AND($S129="Sub",N($R129)&gt;0),IF(ISNUMBER(INDEX($E$5:$E$1000,$R129-4)),DATE(YEAR(INDEX($E$5:$E$1000,$R129-4)),MONTH(INDEX($E$5:$E$1000,$R129-4)),1),IF(ISNUMBER(INDEX($F$5:$F$1000,$R129-4)),DATE(YEAR(INDEX($F$5:$F$1000,$R129-4)),MONTH(INDEX($F$5:$F$1000,$R129-4)),1),MesCiclo)),IF(ISNUMBER($E129),DATE(YEAR($E129),MONTH($E129),1),IF(ISNUMBER($F129),DATE(YEAR($F129),MONTH($F129),1),MesCiclo))))</f>
        <v/>
      </c>
      <c r="Q129" s="70">
        <f>IF(OR($P129="",$P129&lt;&gt;MesCiclo),"",COUNTIF($P$5:$P129,MesCiclo))</f>
        <v/>
      </c>
      <c r="R129" s="70">
        <f>IF($S129="","",IF($S129="Macro",ROW(),IFERROR(LOOKUP(2,1/($S$5:$S129="Macro"),ROW($S$5:$S129)),0)))</f>
        <v/>
      </c>
      <c r="S129" s="70">
        <f>IF(NOT((COUNTA($B129:$K129)+COUNTA($N129))&gt;0),"",IF($B129&lt;&gt;"","Macro",IF($C129&lt;&gt;"","Sub","Macro")))</f>
        <v/>
      </c>
      <c r="T129" s="70">
        <f>IF($S129="Macro",COUNTIFS($R$5:$R$1000,ROW(),$S$5:$S$1000,"Sub"),"")</f>
        <v/>
      </c>
      <c r="U129" s="70">
        <f>IF($S129="","",IF(ISNUMBER($H129),$H129,0))</f>
        <v/>
      </c>
      <c r="V129" s="70">
        <f>IF($S129="","",IF(ISNUMBER($I129),$I129,$U129))</f>
        <v/>
      </c>
      <c r="W129" s="70">
        <f>IF($S129="","",IF(ISNUMBER($J129),$J129,$V129))</f>
        <v/>
      </c>
      <c r="X129" s="70">
        <f>IF($S129="","",IF(ISNUMBER($K129),$K129,$W129))</f>
        <v/>
      </c>
      <c r="Y129" s="70">
        <f>IF($S129="","",IF(N($T129)&gt;0,AVERAGEIFS($U$5:$U$1000,$R$5:$R$1000,ROW(),$S$5:$S$1000,"Sub"),$U129))</f>
        <v/>
      </c>
      <c r="Z129" s="70">
        <f>IF($S129="","",IF(N($T129)&gt;0,AVERAGEIFS($V$5:$V$1000,$R$5:$R$1000,ROW(),$S$5:$S$1000,"Sub"),$V129))</f>
        <v/>
      </c>
      <c r="AA129" s="70">
        <f>IF($S129="","",IF(N($T129)&gt;0,AVERAGEIFS($W$5:$W$1000,$R$5:$R$1000,ROW(),$S$5:$S$1000,"Sub"),$W129))</f>
        <v/>
      </c>
      <c r="AB129" s="70">
        <f>IF($S129="","",IF(N($T129)&gt;0,AVERAGEIFS($X$5:$X$1000,$R$5:$R$1000,ROW(),$S$5:$S$1000,"Sub"),$X129))</f>
        <v/>
      </c>
    </row>
    <row r="130">
      <c r="A130" s="61">
        <f>IF(NOT((COUNTA($B130:$K130)+COUNTA($N130))&gt;0),"",IF($S130="Macro",COUNTIFS($S$5:$S130,"Macro",$P$5:$P130,$P130),IF(N($R130)=0,"?",COUNTIFS(INDEX($S$5:$S$1000,1):INDEX($S$5:$S$1000,$R130-4),"Macro",INDEX($P$5:$P$1000,1):INDEX($P$5:$P$1000,$R130-4),INDEX($P$5:$P$1000,$R130-4))&amp;"."&amp;COUNTIFS($R$5:$R130,$R130,$S$5:$S130,"Sub"))))</f>
        <v/>
      </c>
      <c r="B130" s="62" t="n"/>
      <c r="C130" s="63" t="n"/>
      <c r="D130" s="62" t="n"/>
      <c r="E130" s="64" t="n"/>
      <c r="F130" s="64" t="n"/>
      <c r="G130" s="65" t="n"/>
      <c r="H130" s="66" t="n"/>
      <c r="I130" s="66" t="n"/>
      <c r="J130" s="66" t="n"/>
      <c r="K130" s="66" t="n"/>
      <c r="L130" s="67">
        <f>IF(NOT((COUNTA($B130:$K130)+COUNTA($N130))&gt;0),"",IF(N($T130)&gt;0,$AB130,IFERROR(LOOKUP(2,1/(H130:K130&lt;&gt;""),H130:K130),0)))</f>
        <v/>
      </c>
      <c r="M130" s="61">
        <f>IF(L130="","",IF(L130&gt;=1,"Completado",IF(L130&gt;0,"En curso","Pendiente")))</f>
        <v/>
      </c>
      <c r="N130" s="62" t="n"/>
      <c r="O130" s="68">
        <f>IF(NOT((COUNTA($B130:$K130)+COUNTA($N130))&gt;0),"",IF((IF(AND($S130="Macro",$B130=""),"Macroactividad vacía"&amp;" · ","")&amp;IF(AND($B130&lt;&gt;"",$C130&lt;&gt;""),"Escriba la subactividad en otra fila, debajo de su macroactividad"&amp;" · ","")&amp;IF(AND($S130="Sub",N($R130)=0),"Subactividad sin macroactividad arriba"&amp;" · ","")&amp;IF($D130="","Sin responsable"&amp;" · ","")&amp;IF($E130="","Sin fecha de inicio"&amp;" · ","")&amp;IF($F130="","Sin fecha límite"&amp;" · ","")&amp;IF(OR(AND($E130&lt;&gt;"",NOT(ISNUMBER($E130))),AND($F130&lt;&gt;"",NOT(ISNUMBER($F130)))),"Fecha no válida"&amp;" · ","")&amp;IF(AND(ISNUMBER($E130),ISNUMBER($F130),$E130&gt;$F130),"Inicio posterior a fecha límite"&amp;" · ","")&amp;IF(AND($S130="Macro",$G130=""),"Peso vacío"&amp;" · ","")&amp;IF(AND($S130="Macro",$G130&lt;&gt;"",OR(NOT(ISNUMBER($G130)),$G130&lt;=0,$G130&gt;1)),"Peso fuera de rango"&amp;" · ","")&amp;IF(AND($S130="Sub",$G130&lt;&gt;""),"Las subactividades no llevan peso"&amp;" · ","")&amp;IF(AND($S130="Macro",ABS(SUMIFS($G$5:$G$1000,$P$5:$P$1000,$P130,$S$5:$S$1000,"Macro")-1)&gt;0.0001),"Pesos del mes suman "&amp;TEXT(SUMIFS($G$5:$G$1000,$P$5:$P$1000,$P130,$S$5:$S$1000,"Macro"),"0%")&amp;" · ","")&amp;IF(AND(N($T130)&gt;0,COUNT($H130:$K130)&gt;0),"Con subactividades: deje vacías las semanas (se calculan solas)"&amp;" · ","")&amp;IF((COUNTIF($H130:$K130,"&gt;1")+COUNTIF($H130:$K130,"&lt;0")+COUNTA($H130:$K130)-COUNT($H130:$K130))&gt;0,"Avance fuera de rango 0-100%"&amp;" · ","")&amp;IF(OR(AND($I130&lt;&gt;"",$I130&lt;$H130),AND($J130&lt;&gt;"",$J130&lt;MAX($H130:$I130)),AND($K130&lt;&gt;"",$K130&lt;MAX($H130:$J130))),"Avance semanal decreciente"&amp;" · ","")&amp;IF(AND(ISNUMBER($F130),$F130&lt;FechaRef,N($L130)&lt;1),"Vencida"&amp;" · ","")&amp;IF(AND(ObsObligatoria="Sí",ISNUMBER($F130),$F130&lt;FechaRef,N($L130)&lt;1,$N130=""),"Vencida sin observación"&amp;" · ",""))="","✔ OK","⚠ "&amp;LEFT(IF(AND($S130="Macro",$B130=""),"Macroactividad vacía"&amp;" · ","")&amp;IF(AND($B130&lt;&gt;"",$C130&lt;&gt;""),"Escriba la subactividad en otra fila, debajo de su macroactividad"&amp;" · ","")&amp;IF(AND($S130="Sub",N($R130)=0),"Subactividad sin macroactividad arriba"&amp;" · ","")&amp;IF($D130="","Sin responsable"&amp;" · ","")&amp;IF($E130="","Sin fecha de inicio"&amp;" · ","")&amp;IF($F130="","Sin fecha límite"&amp;" · ","")&amp;IF(OR(AND($E130&lt;&gt;"",NOT(ISNUMBER($E130))),AND($F130&lt;&gt;"",NOT(ISNUMBER($F130)))),"Fecha no válida"&amp;" · ","")&amp;IF(AND(ISNUMBER($E130),ISNUMBER($F130),$E130&gt;$F130),"Inicio posterior a fecha límite"&amp;" · ","")&amp;IF(AND($S130="Macro",$G130=""),"Peso vacío"&amp;" · ","")&amp;IF(AND($S130="Macro",$G130&lt;&gt;"",OR(NOT(ISNUMBER($G130)),$G130&lt;=0,$G130&gt;1)),"Peso fuera de rango"&amp;" · ","")&amp;IF(AND($S130="Sub",$G130&lt;&gt;""),"Las subactividades no llevan peso"&amp;" · ","")&amp;IF(AND($S130="Macro",ABS(SUMIFS($G$5:$G$1000,$P$5:$P$1000,$P130,$S$5:$S$1000,"Macro")-1)&gt;0.0001),"Pesos del mes suman "&amp;TEXT(SUMIFS($G$5:$G$1000,$P$5:$P$1000,$P130,$S$5:$S$1000,"Macro"),"0%")&amp;" · ","")&amp;IF(AND(N($T130)&gt;0,COUNT($H130:$K130)&gt;0),"Con subactividades: deje vacías las semanas (se calculan solas)"&amp;" · ","")&amp;IF((COUNTIF($H130:$K130,"&gt;1")+COUNTIF($H130:$K130,"&lt;0")+COUNTA($H130:$K130)-COUNT($H130:$K130))&gt;0,"Avance fuera de rango 0-100%"&amp;" · ","")&amp;IF(OR(AND($I130&lt;&gt;"",$I130&lt;$H130),AND($J130&lt;&gt;"",$J130&lt;MAX($H130:$I130)),AND($K130&lt;&gt;"",$K130&lt;MAX($H130:$J130))),"Avance semanal decreciente"&amp;" · ","")&amp;IF(AND(ISNUMBER($F130),$F130&lt;FechaRef,N($L130)&lt;1),"Vencida"&amp;" · ","")&amp;IF(AND(ObsObligatoria="Sí",ISNUMBER($F130),$F130&lt;FechaRef,N($L130)&lt;1,$N130=""),"Vencida sin observación"&amp;" · ",""),LEN(IF(AND($S130="Macro",$B130=""),"Macroactividad vacía"&amp;" · ","")&amp;IF(AND($B130&lt;&gt;"",$C130&lt;&gt;""),"Escriba la subactividad en otra fila, debajo de su macroactividad"&amp;" · ","")&amp;IF(AND($S130="Sub",N($R130)=0),"Subactividad sin macroactividad arriba"&amp;" · ","")&amp;IF($D130="","Sin responsable"&amp;" · ","")&amp;IF($E130="","Sin fecha de inicio"&amp;" · ","")&amp;IF($F130="","Sin fecha límite"&amp;" · ","")&amp;IF(OR(AND($E130&lt;&gt;"",NOT(ISNUMBER($E130))),AND($F130&lt;&gt;"",NOT(ISNUMBER($F130)))),"Fecha no válida"&amp;" · ","")&amp;IF(AND(ISNUMBER($E130),ISNUMBER($F130),$E130&gt;$F130),"Inicio posterior a fecha límite"&amp;" · ","")&amp;IF(AND($S130="Macro",$G130=""),"Peso vacío"&amp;" · ","")&amp;IF(AND($S130="Macro",$G130&lt;&gt;"",OR(NOT(ISNUMBER($G130)),$G130&lt;=0,$G130&gt;1)),"Peso fuera de rango"&amp;" · ","")&amp;IF(AND($S130="Sub",$G130&lt;&gt;""),"Las subactividades no llevan peso"&amp;" · ","")&amp;IF(AND($S130="Macro",ABS(SUMIFS($G$5:$G$1000,$P$5:$P$1000,$P130,$S$5:$S$1000,"Macro")-1)&gt;0.0001),"Pesos del mes suman "&amp;TEXT(SUMIFS($G$5:$G$1000,$P$5:$P$1000,$P130,$S$5:$S$1000,"Macro"),"0%")&amp;" · ","")&amp;IF(AND(N($T130)&gt;0,COUNT($H130:$K130)&gt;0),"Con subactividades: deje vacías las semanas (se calculan solas)"&amp;" · ","")&amp;IF((COUNTIF($H130:$K130,"&gt;1")+COUNTIF($H130:$K130,"&lt;0")+COUNTA($H130:$K130)-COUNT($H130:$K130))&gt;0,"Avance fuera de rango 0-100%"&amp;" · ","")&amp;IF(OR(AND($I130&lt;&gt;"",$I130&lt;$H130),AND($J130&lt;&gt;"",$J130&lt;MAX($H130:$I130)),AND($K130&lt;&gt;"",$K130&lt;MAX($H130:$J130))),"Avance semanal decreciente"&amp;" · ","")&amp;IF(AND(ISNUMBER($F130),$F130&lt;FechaRef,N($L130)&lt;1),"Vencida"&amp;" · ","")&amp;IF(AND(ObsObligatoria="Sí",ISNUMBER($F130),$F130&lt;FechaRef,N($L130)&lt;1,$N130=""),"Vencida sin observación"&amp;" · ",""))-3)))</f>
        <v/>
      </c>
      <c r="P130" s="69">
        <f>IF(NOT((COUNTA($B130:$K130)+COUNTA($N130))&gt;0),"",IF(AND($S130="Sub",N($R130)&gt;0),IF(ISNUMBER(INDEX($E$5:$E$1000,$R130-4)),DATE(YEAR(INDEX($E$5:$E$1000,$R130-4)),MONTH(INDEX($E$5:$E$1000,$R130-4)),1),IF(ISNUMBER(INDEX($F$5:$F$1000,$R130-4)),DATE(YEAR(INDEX($F$5:$F$1000,$R130-4)),MONTH(INDEX($F$5:$F$1000,$R130-4)),1),MesCiclo)),IF(ISNUMBER($E130),DATE(YEAR($E130),MONTH($E130),1),IF(ISNUMBER($F130),DATE(YEAR($F130),MONTH($F130),1),MesCiclo))))</f>
        <v/>
      </c>
      <c r="Q130" s="70">
        <f>IF(OR($P130="",$P130&lt;&gt;MesCiclo),"",COUNTIF($P$5:$P130,MesCiclo))</f>
        <v/>
      </c>
      <c r="R130" s="70">
        <f>IF($S130="","",IF($S130="Macro",ROW(),IFERROR(LOOKUP(2,1/($S$5:$S130="Macro"),ROW($S$5:$S130)),0)))</f>
        <v/>
      </c>
      <c r="S130" s="70">
        <f>IF(NOT((COUNTA($B130:$K130)+COUNTA($N130))&gt;0),"",IF($B130&lt;&gt;"","Macro",IF($C130&lt;&gt;"","Sub","Macro")))</f>
        <v/>
      </c>
      <c r="T130" s="70">
        <f>IF($S130="Macro",COUNTIFS($R$5:$R$1000,ROW(),$S$5:$S$1000,"Sub"),"")</f>
        <v/>
      </c>
      <c r="U130" s="70">
        <f>IF($S130="","",IF(ISNUMBER($H130),$H130,0))</f>
        <v/>
      </c>
      <c r="V130" s="70">
        <f>IF($S130="","",IF(ISNUMBER($I130),$I130,$U130))</f>
        <v/>
      </c>
      <c r="W130" s="70">
        <f>IF($S130="","",IF(ISNUMBER($J130),$J130,$V130))</f>
        <v/>
      </c>
      <c r="X130" s="70">
        <f>IF($S130="","",IF(ISNUMBER($K130),$K130,$W130))</f>
        <v/>
      </c>
      <c r="Y130" s="70">
        <f>IF($S130="","",IF(N($T130)&gt;0,AVERAGEIFS($U$5:$U$1000,$R$5:$R$1000,ROW(),$S$5:$S$1000,"Sub"),$U130))</f>
        <v/>
      </c>
      <c r="Z130" s="70">
        <f>IF($S130="","",IF(N($T130)&gt;0,AVERAGEIFS($V$5:$V$1000,$R$5:$R$1000,ROW(),$S$5:$S$1000,"Sub"),$V130))</f>
        <v/>
      </c>
      <c r="AA130" s="70">
        <f>IF($S130="","",IF(N($T130)&gt;0,AVERAGEIFS($W$5:$W$1000,$R$5:$R$1000,ROW(),$S$5:$S$1000,"Sub"),$W130))</f>
        <v/>
      </c>
      <c r="AB130" s="70">
        <f>IF($S130="","",IF(N($T130)&gt;0,AVERAGEIFS($X$5:$X$1000,$R$5:$R$1000,ROW(),$S$5:$S$1000,"Sub"),$X130))</f>
        <v/>
      </c>
    </row>
    <row r="131">
      <c r="A131" s="61">
        <f>IF(NOT((COUNTA($B131:$K131)+COUNTA($N131))&gt;0),"",IF($S131="Macro",COUNTIFS($S$5:$S131,"Macro",$P$5:$P131,$P131),IF(N($R131)=0,"?",COUNTIFS(INDEX($S$5:$S$1000,1):INDEX($S$5:$S$1000,$R131-4),"Macro",INDEX($P$5:$P$1000,1):INDEX($P$5:$P$1000,$R131-4),INDEX($P$5:$P$1000,$R131-4))&amp;"."&amp;COUNTIFS($R$5:$R131,$R131,$S$5:$S131,"Sub"))))</f>
        <v/>
      </c>
      <c r="B131" s="62" t="n"/>
      <c r="C131" s="63" t="n"/>
      <c r="D131" s="62" t="n"/>
      <c r="E131" s="64" t="n"/>
      <c r="F131" s="64" t="n"/>
      <c r="G131" s="65" t="n"/>
      <c r="H131" s="66" t="n"/>
      <c r="I131" s="66" t="n"/>
      <c r="J131" s="66" t="n"/>
      <c r="K131" s="66" t="n"/>
      <c r="L131" s="67">
        <f>IF(NOT((COUNTA($B131:$K131)+COUNTA($N131))&gt;0),"",IF(N($T131)&gt;0,$AB131,IFERROR(LOOKUP(2,1/(H131:K131&lt;&gt;""),H131:K131),0)))</f>
        <v/>
      </c>
      <c r="M131" s="61">
        <f>IF(L131="","",IF(L131&gt;=1,"Completado",IF(L131&gt;0,"En curso","Pendiente")))</f>
        <v/>
      </c>
      <c r="N131" s="62" t="n"/>
      <c r="O131" s="68">
        <f>IF(NOT((COUNTA($B131:$K131)+COUNTA($N131))&gt;0),"",IF((IF(AND($S131="Macro",$B131=""),"Macroactividad vacía"&amp;" · ","")&amp;IF(AND($B131&lt;&gt;"",$C131&lt;&gt;""),"Escriba la subactividad en otra fila, debajo de su macroactividad"&amp;" · ","")&amp;IF(AND($S131="Sub",N($R131)=0),"Subactividad sin macroactividad arriba"&amp;" · ","")&amp;IF($D131="","Sin responsable"&amp;" · ","")&amp;IF($E131="","Sin fecha de inicio"&amp;" · ","")&amp;IF($F131="","Sin fecha límite"&amp;" · ","")&amp;IF(OR(AND($E131&lt;&gt;"",NOT(ISNUMBER($E131))),AND($F131&lt;&gt;"",NOT(ISNUMBER($F131)))),"Fecha no válida"&amp;" · ","")&amp;IF(AND(ISNUMBER($E131),ISNUMBER($F131),$E131&gt;$F131),"Inicio posterior a fecha límite"&amp;" · ","")&amp;IF(AND($S131="Macro",$G131=""),"Peso vacío"&amp;" · ","")&amp;IF(AND($S131="Macro",$G131&lt;&gt;"",OR(NOT(ISNUMBER($G131)),$G131&lt;=0,$G131&gt;1)),"Peso fuera de rango"&amp;" · ","")&amp;IF(AND($S131="Sub",$G131&lt;&gt;""),"Las subactividades no llevan peso"&amp;" · ","")&amp;IF(AND($S131="Macro",ABS(SUMIFS($G$5:$G$1000,$P$5:$P$1000,$P131,$S$5:$S$1000,"Macro")-1)&gt;0.0001),"Pesos del mes suman "&amp;TEXT(SUMIFS($G$5:$G$1000,$P$5:$P$1000,$P131,$S$5:$S$1000,"Macro"),"0%")&amp;" · ","")&amp;IF(AND(N($T131)&gt;0,COUNT($H131:$K131)&gt;0),"Con subactividades: deje vacías las semanas (se calculan solas)"&amp;" · ","")&amp;IF((COUNTIF($H131:$K131,"&gt;1")+COUNTIF($H131:$K131,"&lt;0")+COUNTA($H131:$K131)-COUNT($H131:$K131))&gt;0,"Avance fuera de rango 0-100%"&amp;" · ","")&amp;IF(OR(AND($I131&lt;&gt;"",$I131&lt;$H131),AND($J131&lt;&gt;"",$J131&lt;MAX($H131:$I131)),AND($K131&lt;&gt;"",$K131&lt;MAX($H131:$J131))),"Avance semanal decreciente"&amp;" · ","")&amp;IF(AND(ISNUMBER($F131),$F131&lt;FechaRef,N($L131)&lt;1),"Vencida"&amp;" · ","")&amp;IF(AND(ObsObligatoria="Sí",ISNUMBER($F131),$F131&lt;FechaRef,N($L131)&lt;1,$N131=""),"Vencida sin observación"&amp;" · ",""))="","✔ OK","⚠ "&amp;LEFT(IF(AND($S131="Macro",$B131=""),"Macroactividad vacía"&amp;" · ","")&amp;IF(AND($B131&lt;&gt;"",$C131&lt;&gt;""),"Escriba la subactividad en otra fila, debajo de su macroactividad"&amp;" · ","")&amp;IF(AND($S131="Sub",N($R131)=0),"Subactividad sin macroactividad arriba"&amp;" · ","")&amp;IF($D131="","Sin responsable"&amp;" · ","")&amp;IF($E131="","Sin fecha de inicio"&amp;" · ","")&amp;IF($F131="","Sin fecha límite"&amp;" · ","")&amp;IF(OR(AND($E131&lt;&gt;"",NOT(ISNUMBER($E131))),AND($F131&lt;&gt;"",NOT(ISNUMBER($F131)))),"Fecha no válida"&amp;" · ","")&amp;IF(AND(ISNUMBER($E131),ISNUMBER($F131),$E131&gt;$F131),"Inicio posterior a fecha límite"&amp;" · ","")&amp;IF(AND($S131="Macro",$G131=""),"Peso vacío"&amp;" · ","")&amp;IF(AND($S131="Macro",$G131&lt;&gt;"",OR(NOT(ISNUMBER($G131)),$G131&lt;=0,$G131&gt;1)),"Peso fuera de rango"&amp;" · ","")&amp;IF(AND($S131="Sub",$G131&lt;&gt;""),"Las subactividades no llevan peso"&amp;" · ","")&amp;IF(AND($S131="Macro",ABS(SUMIFS($G$5:$G$1000,$P$5:$P$1000,$P131,$S$5:$S$1000,"Macro")-1)&gt;0.0001),"Pesos del mes suman "&amp;TEXT(SUMIFS($G$5:$G$1000,$P$5:$P$1000,$P131,$S$5:$S$1000,"Macro"),"0%")&amp;" · ","")&amp;IF(AND(N($T131)&gt;0,COUNT($H131:$K131)&gt;0),"Con subactividades: deje vacías las semanas (se calculan solas)"&amp;" · ","")&amp;IF((COUNTIF($H131:$K131,"&gt;1")+COUNTIF($H131:$K131,"&lt;0")+COUNTA($H131:$K131)-COUNT($H131:$K131))&gt;0,"Avance fuera de rango 0-100%"&amp;" · ","")&amp;IF(OR(AND($I131&lt;&gt;"",$I131&lt;$H131),AND($J131&lt;&gt;"",$J131&lt;MAX($H131:$I131)),AND($K131&lt;&gt;"",$K131&lt;MAX($H131:$J131))),"Avance semanal decreciente"&amp;" · ","")&amp;IF(AND(ISNUMBER($F131),$F131&lt;FechaRef,N($L131)&lt;1),"Vencida"&amp;" · ","")&amp;IF(AND(ObsObligatoria="Sí",ISNUMBER($F131),$F131&lt;FechaRef,N($L131)&lt;1,$N131=""),"Vencida sin observación"&amp;" · ",""),LEN(IF(AND($S131="Macro",$B131=""),"Macroactividad vacía"&amp;" · ","")&amp;IF(AND($B131&lt;&gt;"",$C131&lt;&gt;""),"Escriba la subactividad en otra fila, debajo de su macroactividad"&amp;" · ","")&amp;IF(AND($S131="Sub",N($R131)=0),"Subactividad sin macroactividad arriba"&amp;" · ","")&amp;IF($D131="","Sin responsable"&amp;" · ","")&amp;IF($E131="","Sin fecha de inicio"&amp;" · ","")&amp;IF($F131="","Sin fecha límite"&amp;" · ","")&amp;IF(OR(AND($E131&lt;&gt;"",NOT(ISNUMBER($E131))),AND($F131&lt;&gt;"",NOT(ISNUMBER($F131)))),"Fecha no válida"&amp;" · ","")&amp;IF(AND(ISNUMBER($E131),ISNUMBER($F131),$E131&gt;$F131),"Inicio posterior a fecha límite"&amp;" · ","")&amp;IF(AND($S131="Macro",$G131=""),"Peso vacío"&amp;" · ","")&amp;IF(AND($S131="Macro",$G131&lt;&gt;"",OR(NOT(ISNUMBER($G131)),$G131&lt;=0,$G131&gt;1)),"Peso fuera de rango"&amp;" · ","")&amp;IF(AND($S131="Sub",$G131&lt;&gt;""),"Las subactividades no llevan peso"&amp;" · ","")&amp;IF(AND($S131="Macro",ABS(SUMIFS($G$5:$G$1000,$P$5:$P$1000,$P131,$S$5:$S$1000,"Macro")-1)&gt;0.0001),"Pesos del mes suman "&amp;TEXT(SUMIFS($G$5:$G$1000,$P$5:$P$1000,$P131,$S$5:$S$1000,"Macro"),"0%")&amp;" · ","")&amp;IF(AND(N($T131)&gt;0,COUNT($H131:$K131)&gt;0),"Con subactividades: deje vacías las semanas (se calculan solas)"&amp;" · ","")&amp;IF((COUNTIF($H131:$K131,"&gt;1")+COUNTIF($H131:$K131,"&lt;0")+COUNTA($H131:$K131)-COUNT($H131:$K131))&gt;0,"Avance fuera de rango 0-100%"&amp;" · ","")&amp;IF(OR(AND($I131&lt;&gt;"",$I131&lt;$H131),AND($J131&lt;&gt;"",$J131&lt;MAX($H131:$I131)),AND($K131&lt;&gt;"",$K131&lt;MAX($H131:$J131))),"Avance semanal decreciente"&amp;" · ","")&amp;IF(AND(ISNUMBER($F131),$F131&lt;FechaRef,N($L131)&lt;1),"Vencida"&amp;" · ","")&amp;IF(AND(ObsObligatoria="Sí",ISNUMBER($F131),$F131&lt;FechaRef,N($L131)&lt;1,$N131=""),"Vencida sin observación"&amp;" · ",""))-3)))</f>
        <v/>
      </c>
      <c r="P131" s="69">
        <f>IF(NOT((COUNTA($B131:$K131)+COUNTA($N131))&gt;0),"",IF(AND($S131="Sub",N($R131)&gt;0),IF(ISNUMBER(INDEX($E$5:$E$1000,$R131-4)),DATE(YEAR(INDEX($E$5:$E$1000,$R131-4)),MONTH(INDEX($E$5:$E$1000,$R131-4)),1),IF(ISNUMBER(INDEX($F$5:$F$1000,$R131-4)),DATE(YEAR(INDEX($F$5:$F$1000,$R131-4)),MONTH(INDEX($F$5:$F$1000,$R131-4)),1),MesCiclo)),IF(ISNUMBER($E131),DATE(YEAR($E131),MONTH($E131),1),IF(ISNUMBER($F131),DATE(YEAR($F131),MONTH($F131),1),MesCiclo))))</f>
        <v/>
      </c>
      <c r="Q131" s="70">
        <f>IF(OR($P131="",$P131&lt;&gt;MesCiclo),"",COUNTIF($P$5:$P131,MesCiclo))</f>
        <v/>
      </c>
      <c r="R131" s="70">
        <f>IF($S131="","",IF($S131="Macro",ROW(),IFERROR(LOOKUP(2,1/($S$5:$S131="Macro"),ROW($S$5:$S131)),0)))</f>
        <v/>
      </c>
      <c r="S131" s="70">
        <f>IF(NOT((COUNTA($B131:$K131)+COUNTA($N131))&gt;0),"",IF($B131&lt;&gt;"","Macro",IF($C131&lt;&gt;"","Sub","Macro")))</f>
        <v/>
      </c>
      <c r="T131" s="70">
        <f>IF($S131="Macro",COUNTIFS($R$5:$R$1000,ROW(),$S$5:$S$1000,"Sub"),"")</f>
        <v/>
      </c>
      <c r="U131" s="70">
        <f>IF($S131="","",IF(ISNUMBER($H131),$H131,0))</f>
        <v/>
      </c>
      <c r="V131" s="70">
        <f>IF($S131="","",IF(ISNUMBER($I131),$I131,$U131))</f>
        <v/>
      </c>
      <c r="W131" s="70">
        <f>IF($S131="","",IF(ISNUMBER($J131),$J131,$V131))</f>
        <v/>
      </c>
      <c r="X131" s="70">
        <f>IF($S131="","",IF(ISNUMBER($K131),$K131,$W131))</f>
        <v/>
      </c>
      <c r="Y131" s="70">
        <f>IF($S131="","",IF(N($T131)&gt;0,AVERAGEIFS($U$5:$U$1000,$R$5:$R$1000,ROW(),$S$5:$S$1000,"Sub"),$U131))</f>
        <v/>
      </c>
      <c r="Z131" s="70">
        <f>IF($S131="","",IF(N($T131)&gt;0,AVERAGEIFS($V$5:$V$1000,$R$5:$R$1000,ROW(),$S$5:$S$1000,"Sub"),$V131))</f>
        <v/>
      </c>
      <c r="AA131" s="70">
        <f>IF($S131="","",IF(N($T131)&gt;0,AVERAGEIFS($W$5:$W$1000,$R$5:$R$1000,ROW(),$S$5:$S$1000,"Sub"),$W131))</f>
        <v/>
      </c>
      <c r="AB131" s="70">
        <f>IF($S131="","",IF(N($T131)&gt;0,AVERAGEIFS($X$5:$X$1000,$R$5:$R$1000,ROW(),$S$5:$S$1000,"Sub"),$X131))</f>
        <v/>
      </c>
    </row>
    <row r="132">
      <c r="A132" s="61">
        <f>IF(NOT((COUNTA($B132:$K132)+COUNTA($N132))&gt;0),"",IF($S132="Macro",COUNTIFS($S$5:$S132,"Macro",$P$5:$P132,$P132),IF(N($R132)=0,"?",COUNTIFS(INDEX($S$5:$S$1000,1):INDEX($S$5:$S$1000,$R132-4),"Macro",INDEX($P$5:$P$1000,1):INDEX($P$5:$P$1000,$R132-4),INDEX($P$5:$P$1000,$R132-4))&amp;"."&amp;COUNTIFS($R$5:$R132,$R132,$S$5:$S132,"Sub"))))</f>
        <v/>
      </c>
      <c r="B132" s="62" t="n"/>
      <c r="C132" s="63" t="n"/>
      <c r="D132" s="62" t="n"/>
      <c r="E132" s="64" t="n"/>
      <c r="F132" s="64" t="n"/>
      <c r="G132" s="65" t="n"/>
      <c r="H132" s="66" t="n"/>
      <c r="I132" s="66" t="n"/>
      <c r="J132" s="66" t="n"/>
      <c r="K132" s="66" t="n"/>
      <c r="L132" s="67">
        <f>IF(NOT((COUNTA($B132:$K132)+COUNTA($N132))&gt;0),"",IF(N($T132)&gt;0,$AB132,IFERROR(LOOKUP(2,1/(H132:K132&lt;&gt;""),H132:K132),0)))</f>
        <v/>
      </c>
      <c r="M132" s="61">
        <f>IF(L132="","",IF(L132&gt;=1,"Completado",IF(L132&gt;0,"En curso","Pendiente")))</f>
        <v/>
      </c>
      <c r="N132" s="62" t="n"/>
      <c r="O132" s="68">
        <f>IF(NOT((COUNTA($B132:$K132)+COUNTA($N132))&gt;0),"",IF((IF(AND($S132="Macro",$B132=""),"Macroactividad vacía"&amp;" · ","")&amp;IF(AND($B132&lt;&gt;"",$C132&lt;&gt;""),"Escriba la subactividad en otra fila, debajo de su macroactividad"&amp;" · ","")&amp;IF(AND($S132="Sub",N($R132)=0),"Subactividad sin macroactividad arriba"&amp;" · ","")&amp;IF($D132="","Sin responsable"&amp;" · ","")&amp;IF($E132="","Sin fecha de inicio"&amp;" · ","")&amp;IF($F132="","Sin fecha límite"&amp;" · ","")&amp;IF(OR(AND($E132&lt;&gt;"",NOT(ISNUMBER($E132))),AND($F132&lt;&gt;"",NOT(ISNUMBER($F132)))),"Fecha no válida"&amp;" · ","")&amp;IF(AND(ISNUMBER($E132),ISNUMBER($F132),$E132&gt;$F132),"Inicio posterior a fecha límite"&amp;" · ","")&amp;IF(AND($S132="Macro",$G132=""),"Peso vacío"&amp;" · ","")&amp;IF(AND($S132="Macro",$G132&lt;&gt;"",OR(NOT(ISNUMBER($G132)),$G132&lt;=0,$G132&gt;1)),"Peso fuera de rango"&amp;" · ","")&amp;IF(AND($S132="Sub",$G132&lt;&gt;""),"Las subactividades no llevan peso"&amp;" · ","")&amp;IF(AND($S132="Macro",ABS(SUMIFS($G$5:$G$1000,$P$5:$P$1000,$P132,$S$5:$S$1000,"Macro")-1)&gt;0.0001),"Pesos del mes suman "&amp;TEXT(SUMIFS($G$5:$G$1000,$P$5:$P$1000,$P132,$S$5:$S$1000,"Macro"),"0%")&amp;" · ","")&amp;IF(AND(N($T132)&gt;0,COUNT($H132:$K132)&gt;0),"Con subactividades: deje vacías las semanas (se calculan solas)"&amp;" · ","")&amp;IF((COUNTIF($H132:$K132,"&gt;1")+COUNTIF($H132:$K132,"&lt;0")+COUNTA($H132:$K132)-COUNT($H132:$K132))&gt;0,"Avance fuera de rango 0-100%"&amp;" · ","")&amp;IF(OR(AND($I132&lt;&gt;"",$I132&lt;$H132),AND($J132&lt;&gt;"",$J132&lt;MAX($H132:$I132)),AND($K132&lt;&gt;"",$K132&lt;MAX($H132:$J132))),"Avance semanal decreciente"&amp;" · ","")&amp;IF(AND(ISNUMBER($F132),$F132&lt;FechaRef,N($L132)&lt;1),"Vencida"&amp;" · ","")&amp;IF(AND(ObsObligatoria="Sí",ISNUMBER($F132),$F132&lt;FechaRef,N($L132)&lt;1,$N132=""),"Vencida sin observación"&amp;" · ",""))="","✔ OK","⚠ "&amp;LEFT(IF(AND($S132="Macro",$B132=""),"Macroactividad vacía"&amp;" · ","")&amp;IF(AND($B132&lt;&gt;"",$C132&lt;&gt;""),"Escriba la subactividad en otra fila, debajo de su macroactividad"&amp;" · ","")&amp;IF(AND($S132="Sub",N($R132)=0),"Subactividad sin macroactividad arriba"&amp;" · ","")&amp;IF($D132="","Sin responsable"&amp;" · ","")&amp;IF($E132="","Sin fecha de inicio"&amp;" · ","")&amp;IF($F132="","Sin fecha límite"&amp;" · ","")&amp;IF(OR(AND($E132&lt;&gt;"",NOT(ISNUMBER($E132))),AND($F132&lt;&gt;"",NOT(ISNUMBER($F132)))),"Fecha no válida"&amp;" · ","")&amp;IF(AND(ISNUMBER($E132),ISNUMBER($F132),$E132&gt;$F132),"Inicio posterior a fecha límite"&amp;" · ","")&amp;IF(AND($S132="Macro",$G132=""),"Peso vacío"&amp;" · ","")&amp;IF(AND($S132="Macro",$G132&lt;&gt;"",OR(NOT(ISNUMBER($G132)),$G132&lt;=0,$G132&gt;1)),"Peso fuera de rango"&amp;" · ","")&amp;IF(AND($S132="Sub",$G132&lt;&gt;""),"Las subactividades no llevan peso"&amp;" · ","")&amp;IF(AND($S132="Macro",ABS(SUMIFS($G$5:$G$1000,$P$5:$P$1000,$P132,$S$5:$S$1000,"Macro")-1)&gt;0.0001),"Pesos del mes suman "&amp;TEXT(SUMIFS($G$5:$G$1000,$P$5:$P$1000,$P132,$S$5:$S$1000,"Macro"),"0%")&amp;" · ","")&amp;IF(AND(N($T132)&gt;0,COUNT($H132:$K132)&gt;0),"Con subactividades: deje vacías las semanas (se calculan solas)"&amp;" · ","")&amp;IF((COUNTIF($H132:$K132,"&gt;1")+COUNTIF($H132:$K132,"&lt;0")+COUNTA($H132:$K132)-COUNT($H132:$K132))&gt;0,"Avance fuera de rango 0-100%"&amp;" · ","")&amp;IF(OR(AND($I132&lt;&gt;"",$I132&lt;$H132),AND($J132&lt;&gt;"",$J132&lt;MAX($H132:$I132)),AND($K132&lt;&gt;"",$K132&lt;MAX($H132:$J132))),"Avance semanal decreciente"&amp;" · ","")&amp;IF(AND(ISNUMBER($F132),$F132&lt;FechaRef,N($L132)&lt;1),"Vencida"&amp;" · ","")&amp;IF(AND(ObsObligatoria="Sí",ISNUMBER($F132),$F132&lt;FechaRef,N($L132)&lt;1,$N132=""),"Vencida sin observación"&amp;" · ",""),LEN(IF(AND($S132="Macro",$B132=""),"Macroactividad vacía"&amp;" · ","")&amp;IF(AND($B132&lt;&gt;"",$C132&lt;&gt;""),"Escriba la subactividad en otra fila, debajo de su macroactividad"&amp;" · ","")&amp;IF(AND($S132="Sub",N($R132)=0),"Subactividad sin macroactividad arriba"&amp;" · ","")&amp;IF($D132="","Sin responsable"&amp;" · ","")&amp;IF($E132="","Sin fecha de inicio"&amp;" · ","")&amp;IF($F132="","Sin fecha límite"&amp;" · ","")&amp;IF(OR(AND($E132&lt;&gt;"",NOT(ISNUMBER($E132))),AND($F132&lt;&gt;"",NOT(ISNUMBER($F132)))),"Fecha no válida"&amp;" · ","")&amp;IF(AND(ISNUMBER($E132),ISNUMBER($F132),$E132&gt;$F132),"Inicio posterior a fecha límite"&amp;" · ","")&amp;IF(AND($S132="Macro",$G132=""),"Peso vacío"&amp;" · ","")&amp;IF(AND($S132="Macro",$G132&lt;&gt;"",OR(NOT(ISNUMBER($G132)),$G132&lt;=0,$G132&gt;1)),"Peso fuera de rango"&amp;" · ","")&amp;IF(AND($S132="Sub",$G132&lt;&gt;""),"Las subactividades no llevan peso"&amp;" · ","")&amp;IF(AND($S132="Macro",ABS(SUMIFS($G$5:$G$1000,$P$5:$P$1000,$P132,$S$5:$S$1000,"Macro")-1)&gt;0.0001),"Pesos del mes suman "&amp;TEXT(SUMIFS($G$5:$G$1000,$P$5:$P$1000,$P132,$S$5:$S$1000,"Macro"),"0%")&amp;" · ","")&amp;IF(AND(N($T132)&gt;0,COUNT($H132:$K132)&gt;0),"Con subactividades: deje vacías las semanas (se calculan solas)"&amp;" · ","")&amp;IF((COUNTIF($H132:$K132,"&gt;1")+COUNTIF($H132:$K132,"&lt;0")+COUNTA($H132:$K132)-COUNT($H132:$K132))&gt;0,"Avance fuera de rango 0-100%"&amp;" · ","")&amp;IF(OR(AND($I132&lt;&gt;"",$I132&lt;$H132),AND($J132&lt;&gt;"",$J132&lt;MAX($H132:$I132)),AND($K132&lt;&gt;"",$K132&lt;MAX($H132:$J132))),"Avance semanal decreciente"&amp;" · ","")&amp;IF(AND(ISNUMBER($F132),$F132&lt;FechaRef,N($L132)&lt;1),"Vencida"&amp;" · ","")&amp;IF(AND(ObsObligatoria="Sí",ISNUMBER($F132),$F132&lt;FechaRef,N($L132)&lt;1,$N132=""),"Vencida sin observación"&amp;" · ",""))-3)))</f>
        <v/>
      </c>
      <c r="P132" s="69">
        <f>IF(NOT((COUNTA($B132:$K132)+COUNTA($N132))&gt;0),"",IF(AND($S132="Sub",N($R132)&gt;0),IF(ISNUMBER(INDEX($E$5:$E$1000,$R132-4)),DATE(YEAR(INDEX($E$5:$E$1000,$R132-4)),MONTH(INDEX($E$5:$E$1000,$R132-4)),1),IF(ISNUMBER(INDEX($F$5:$F$1000,$R132-4)),DATE(YEAR(INDEX($F$5:$F$1000,$R132-4)),MONTH(INDEX($F$5:$F$1000,$R132-4)),1),MesCiclo)),IF(ISNUMBER($E132),DATE(YEAR($E132),MONTH($E132),1),IF(ISNUMBER($F132),DATE(YEAR($F132),MONTH($F132),1),MesCiclo))))</f>
        <v/>
      </c>
      <c r="Q132" s="70">
        <f>IF(OR($P132="",$P132&lt;&gt;MesCiclo),"",COUNTIF($P$5:$P132,MesCiclo))</f>
        <v/>
      </c>
      <c r="R132" s="70">
        <f>IF($S132="","",IF($S132="Macro",ROW(),IFERROR(LOOKUP(2,1/($S$5:$S132="Macro"),ROW($S$5:$S132)),0)))</f>
        <v/>
      </c>
      <c r="S132" s="70">
        <f>IF(NOT((COUNTA($B132:$K132)+COUNTA($N132))&gt;0),"",IF($B132&lt;&gt;"","Macro",IF($C132&lt;&gt;"","Sub","Macro")))</f>
        <v/>
      </c>
      <c r="T132" s="70">
        <f>IF($S132="Macro",COUNTIFS($R$5:$R$1000,ROW(),$S$5:$S$1000,"Sub"),"")</f>
        <v/>
      </c>
      <c r="U132" s="70">
        <f>IF($S132="","",IF(ISNUMBER($H132),$H132,0))</f>
        <v/>
      </c>
      <c r="V132" s="70">
        <f>IF($S132="","",IF(ISNUMBER($I132),$I132,$U132))</f>
        <v/>
      </c>
      <c r="W132" s="70">
        <f>IF($S132="","",IF(ISNUMBER($J132),$J132,$V132))</f>
        <v/>
      </c>
      <c r="X132" s="70">
        <f>IF($S132="","",IF(ISNUMBER($K132),$K132,$W132))</f>
        <v/>
      </c>
      <c r="Y132" s="70">
        <f>IF($S132="","",IF(N($T132)&gt;0,AVERAGEIFS($U$5:$U$1000,$R$5:$R$1000,ROW(),$S$5:$S$1000,"Sub"),$U132))</f>
        <v/>
      </c>
      <c r="Z132" s="70">
        <f>IF($S132="","",IF(N($T132)&gt;0,AVERAGEIFS($V$5:$V$1000,$R$5:$R$1000,ROW(),$S$5:$S$1000,"Sub"),$V132))</f>
        <v/>
      </c>
      <c r="AA132" s="70">
        <f>IF($S132="","",IF(N($T132)&gt;0,AVERAGEIFS($W$5:$W$1000,$R$5:$R$1000,ROW(),$S$5:$S$1000,"Sub"),$W132))</f>
        <v/>
      </c>
      <c r="AB132" s="70">
        <f>IF($S132="","",IF(N($T132)&gt;0,AVERAGEIFS($X$5:$X$1000,$R$5:$R$1000,ROW(),$S$5:$S$1000,"Sub"),$X132))</f>
        <v/>
      </c>
    </row>
    <row r="133">
      <c r="A133" s="61">
        <f>IF(NOT((COUNTA($B133:$K133)+COUNTA($N133))&gt;0),"",IF($S133="Macro",COUNTIFS($S$5:$S133,"Macro",$P$5:$P133,$P133),IF(N($R133)=0,"?",COUNTIFS(INDEX($S$5:$S$1000,1):INDEX($S$5:$S$1000,$R133-4),"Macro",INDEX($P$5:$P$1000,1):INDEX($P$5:$P$1000,$R133-4),INDEX($P$5:$P$1000,$R133-4))&amp;"."&amp;COUNTIFS($R$5:$R133,$R133,$S$5:$S133,"Sub"))))</f>
        <v/>
      </c>
      <c r="B133" s="62" t="n"/>
      <c r="C133" s="63" t="n"/>
      <c r="D133" s="62" t="n"/>
      <c r="E133" s="64" t="n"/>
      <c r="F133" s="64" t="n"/>
      <c r="G133" s="65" t="n"/>
      <c r="H133" s="66" t="n"/>
      <c r="I133" s="66" t="n"/>
      <c r="J133" s="66" t="n"/>
      <c r="K133" s="66" t="n"/>
      <c r="L133" s="67">
        <f>IF(NOT((COUNTA($B133:$K133)+COUNTA($N133))&gt;0),"",IF(N($T133)&gt;0,$AB133,IFERROR(LOOKUP(2,1/(H133:K133&lt;&gt;""),H133:K133),0)))</f>
        <v/>
      </c>
      <c r="M133" s="61">
        <f>IF(L133="","",IF(L133&gt;=1,"Completado",IF(L133&gt;0,"En curso","Pendiente")))</f>
        <v/>
      </c>
      <c r="N133" s="62" t="n"/>
      <c r="O133" s="68">
        <f>IF(NOT((COUNTA($B133:$K133)+COUNTA($N133))&gt;0),"",IF((IF(AND($S133="Macro",$B133=""),"Macroactividad vacía"&amp;" · ","")&amp;IF(AND($B133&lt;&gt;"",$C133&lt;&gt;""),"Escriba la subactividad en otra fila, debajo de su macroactividad"&amp;" · ","")&amp;IF(AND($S133="Sub",N($R133)=0),"Subactividad sin macroactividad arriba"&amp;" · ","")&amp;IF($D133="","Sin responsable"&amp;" · ","")&amp;IF($E133="","Sin fecha de inicio"&amp;" · ","")&amp;IF($F133="","Sin fecha límite"&amp;" · ","")&amp;IF(OR(AND($E133&lt;&gt;"",NOT(ISNUMBER($E133))),AND($F133&lt;&gt;"",NOT(ISNUMBER($F133)))),"Fecha no válida"&amp;" · ","")&amp;IF(AND(ISNUMBER($E133),ISNUMBER($F133),$E133&gt;$F133),"Inicio posterior a fecha límite"&amp;" · ","")&amp;IF(AND($S133="Macro",$G133=""),"Peso vacío"&amp;" · ","")&amp;IF(AND($S133="Macro",$G133&lt;&gt;"",OR(NOT(ISNUMBER($G133)),$G133&lt;=0,$G133&gt;1)),"Peso fuera de rango"&amp;" · ","")&amp;IF(AND($S133="Sub",$G133&lt;&gt;""),"Las subactividades no llevan peso"&amp;" · ","")&amp;IF(AND($S133="Macro",ABS(SUMIFS($G$5:$G$1000,$P$5:$P$1000,$P133,$S$5:$S$1000,"Macro")-1)&gt;0.0001),"Pesos del mes suman "&amp;TEXT(SUMIFS($G$5:$G$1000,$P$5:$P$1000,$P133,$S$5:$S$1000,"Macro"),"0%")&amp;" · ","")&amp;IF(AND(N($T133)&gt;0,COUNT($H133:$K133)&gt;0),"Con subactividades: deje vacías las semanas (se calculan solas)"&amp;" · ","")&amp;IF((COUNTIF($H133:$K133,"&gt;1")+COUNTIF($H133:$K133,"&lt;0")+COUNTA($H133:$K133)-COUNT($H133:$K133))&gt;0,"Avance fuera de rango 0-100%"&amp;" · ","")&amp;IF(OR(AND($I133&lt;&gt;"",$I133&lt;$H133),AND($J133&lt;&gt;"",$J133&lt;MAX($H133:$I133)),AND($K133&lt;&gt;"",$K133&lt;MAX($H133:$J133))),"Avance semanal decreciente"&amp;" · ","")&amp;IF(AND(ISNUMBER($F133),$F133&lt;FechaRef,N($L133)&lt;1),"Vencida"&amp;" · ","")&amp;IF(AND(ObsObligatoria="Sí",ISNUMBER($F133),$F133&lt;FechaRef,N($L133)&lt;1,$N133=""),"Vencida sin observación"&amp;" · ",""))="","✔ OK","⚠ "&amp;LEFT(IF(AND($S133="Macro",$B133=""),"Macroactividad vacía"&amp;" · ","")&amp;IF(AND($B133&lt;&gt;"",$C133&lt;&gt;""),"Escriba la subactividad en otra fila, debajo de su macroactividad"&amp;" · ","")&amp;IF(AND($S133="Sub",N($R133)=0),"Subactividad sin macroactividad arriba"&amp;" · ","")&amp;IF($D133="","Sin responsable"&amp;" · ","")&amp;IF($E133="","Sin fecha de inicio"&amp;" · ","")&amp;IF($F133="","Sin fecha límite"&amp;" · ","")&amp;IF(OR(AND($E133&lt;&gt;"",NOT(ISNUMBER($E133))),AND($F133&lt;&gt;"",NOT(ISNUMBER($F133)))),"Fecha no válida"&amp;" · ","")&amp;IF(AND(ISNUMBER($E133),ISNUMBER($F133),$E133&gt;$F133),"Inicio posterior a fecha límite"&amp;" · ","")&amp;IF(AND($S133="Macro",$G133=""),"Peso vacío"&amp;" · ","")&amp;IF(AND($S133="Macro",$G133&lt;&gt;"",OR(NOT(ISNUMBER($G133)),$G133&lt;=0,$G133&gt;1)),"Peso fuera de rango"&amp;" · ","")&amp;IF(AND($S133="Sub",$G133&lt;&gt;""),"Las subactividades no llevan peso"&amp;" · ","")&amp;IF(AND($S133="Macro",ABS(SUMIFS($G$5:$G$1000,$P$5:$P$1000,$P133,$S$5:$S$1000,"Macro")-1)&gt;0.0001),"Pesos del mes suman "&amp;TEXT(SUMIFS($G$5:$G$1000,$P$5:$P$1000,$P133,$S$5:$S$1000,"Macro"),"0%")&amp;" · ","")&amp;IF(AND(N($T133)&gt;0,COUNT($H133:$K133)&gt;0),"Con subactividades: deje vacías las semanas (se calculan solas)"&amp;" · ","")&amp;IF((COUNTIF($H133:$K133,"&gt;1")+COUNTIF($H133:$K133,"&lt;0")+COUNTA($H133:$K133)-COUNT($H133:$K133))&gt;0,"Avance fuera de rango 0-100%"&amp;" · ","")&amp;IF(OR(AND($I133&lt;&gt;"",$I133&lt;$H133),AND($J133&lt;&gt;"",$J133&lt;MAX($H133:$I133)),AND($K133&lt;&gt;"",$K133&lt;MAX($H133:$J133))),"Avance semanal decreciente"&amp;" · ","")&amp;IF(AND(ISNUMBER($F133),$F133&lt;FechaRef,N($L133)&lt;1),"Vencida"&amp;" · ","")&amp;IF(AND(ObsObligatoria="Sí",ISNUMBER($F133),$F133&lt;FechaRef,N($L133)&lt;1,$N133=""),"Vencida sin observación"&amp;" · ",""),LEN(IF(AND($S133="Macro",$B133=""),"Macroactividad vacía"&amp;" · ","")&amp;IF(AND($B133&lt;&gt;"",$C133&lt;&gt;""),"Escriba la subactividad en otra fila, debajo de su macroactividad"&amp;" · ","")&amp;IF(AND($S133="Sub",N($R133)=0),"Subactividad sin macroactividad arriba"&amp;" · ","")&amp;IF($D133="","Sin responsable"&amp;" · ","")&amp;IF($E133="","Sin fecha de inicio"&amp;" · ","")&amp;IF($F133="","Sin fecha límite"&amp;" · ","")&amp;IF(OR(AND($E133&lt;&gt;"",NOT(ISNUMBER($E133))),AND($F133&lt;&gt;"",NOT(ISNUMBER($F133)))),"Fecha no válida"&amp;" · ","")&amp;IF(AND(ISNUMBER($E133),ISNUMBER($F133),$E133&gt;$F133),"Inicio posterior a fecha límite"&amp;" · ","")&amp;IF(AND($S133="Macro",$G133=""),"Peso vacío"&amp;" · ","")&amp;IF(AND($S133="Macro",$G133&lt;&gt;"",OR(NOT(ISNUMBER($G133)),$G133&lt;=0,$G133&gt;1)),"Peso fuera de rango"&amp;" · ","")&amp;IF(AND($S133="Sub",$G133&lt;&gt;""),"Las subactividades no llevan peso"&amp;" · ","")&amp;IF(AND($S133="Macro",ABS(SUMIFS($G$5:$G$1000,$P$5:$P$1000,$P133,$S$5:$S$1000,"Macro")-1)&gt;0.0001),"Pesos del mes suman "&amp;TEXT(SUMIFS($G$5:$G$1000,$P$5:$P$1000,$P133,$S$5:$S$1000,"Macro"),"0%")&amp;" · ","")&amp;IF(AND(N($T133)&gt;0,COUNT($H133:$K133)&gt;0),"Con subactividades: deje vacías las semanas (se calculan solas)"&amp;" · ","")&amp;IF((COUNTIF($H133:$K133,"&gt;1")+COUNTIF($H133:$K133,"&lt;0")+COUNTA($H133:$K133)-COUNT($H133:$K133))&gt;0,"Avance fuera de rango 0-100%"&amp;" · ","")&amp;IF(OR(AND($I133&lt;&gt;"",$I133&lt;$H133),AND($J133&lt;&gt;"",$J133&lt;MAX($H133:$I133)),AND($K133&lt;&gt;"",$K133&lt;MAX($H133:$J133))),"Avance semanal decreciente"&amp;" · ","")&amp;IF(AND(ISNUMBER($F133),$F133&lt;FechaRef,N($L133)&lt;1),"Vencida"&amp;" · ","")&amp;IF(AND(ObsObligatoria="Sí",ISNUMBER($F133),$F133&lt;FechaRef,N($L133)&lt;1,$N133=""),"Vencida sin observación"&amp;" · ",""))-3)))</f>
        <v/>
      </c>
      <c r="P133" s="69">
        <f>IF(NOT((COUNTA($B133:$K133)+COUNTA($N133))&gt;0),"",IF(AND($S133="Sub",N($R133)&gt;0),IF(ISNUMBER(INDEX($E$5:$E$1000,$R133-4)),DATE(YEAR(INDEX($E$5:$E$1000,$R133-4)),MONTH(INDEX($E$5:$E$1000,$R133-4)),1),IF(ISNUMBER(INDEX($F$5:$F$1000,$R133-4)),DATE(YEAR(INDEX($F$5:$F$1000,$R133-4)),MONTH(INDEX($F$5:$F$1000,$R133-4)),1),MesCiclo)),IF(ISNUMBER($E133),DATE(YEAR($E133),MONTH($E133),1),IF(ISNUMBER($F133),DATE(YEAR($F133),MONTH($F133),1),MesCiclo))))</f>
        <v/>
      </c>
      <c r="Q133" s="70">
        <f>IF(OR($P133="",$P133&lt;&gt;MesCiclo),"",COUNTIF($P$5:$P133,MesCiclo))</f>
        <v/>
      </c>
      <c r="R133" s="70">
        <f>IF($S133="","",IF($S133="Macro",ROW(),IFERROR(LOOKUP(2,1/($S$5:$S133="Macro"),ROW($S$5:$S133)),0)))</f>
        <v/>
      </c>
      <c r="S133" s="70">
        <f>IF(NOT((COUNTA($B133:$K133)+COUNTA($N133))&gt;0),"",IF($B133&lt;&gt;"","Macro",IF($C133&lt;&gt;"","Sub","Macro")))</f>
        <v/>
      </c>
      <c r="T133" s="70">
        <f>IF($S133="Macro",COUNTIFS($R$5:$R$1000,ROW(),$S$5:$S$1000,"Sub"),"")</f>
        <v/>
      </c>
      <c r="U133" s="70">
        <f>IF($S133="","",IF(ISNUMBER($H133),$H133,0))</f>
        <v/>
      </c>
      <c r="V133" s="70">
        <f>IF($S133="","",IF(ISNUMBER($I133),$I133,$U133))</f>
        <v/>
      </c>
      <c r="W133" s="70">
        <f>IF($S133="","",IF(ISNUMBER($J133),$J133,$V133))</f>
        <v/>
      </c>
      <c r="X133" s="70">
        <f>IF($S133="","",IF(ISNUMBER($K133),$K133,$W133))</f>
        <v/>
      </c>
      <c r="Y133" s="70">
        <f>IF($S133="","",IF(N($T133)&gt;0,AVERAGEIFS($U$5:$U$1000,$R$5:$R$1000,ROW(),$S$5:$S$1000,"Sub"),$U133))</f>
        <v/>
      </c>
      <c r="Z133" s="70">
        <f>IF($S133="","",IF(N($T133)&gt;0,AVERAGEIFS($V$5:$V$1000,$R$5:$R$1000,ROW(),$S$5:$S$1000,"Sub"),$V133))</f>
        <v/>
      </c>
      <c r="AA133" s="70">
        <f>IF($S133="","",IF(N($T133)&gt;0,AVERAGEIFS($W$5:$W$1000,$R$5:$R$1000,ROW(),$S$5:$S$1000,"Sub"),$W133))</f>
        <v/>
      </c>
      <c r="AB133" s="70">
        <f>IF($S133="","",IF(N($T133)&gt;0,AVERAGEIFS($X$5:$X$1000,$R$5:$R$1000,ROW(),$S$5:$S$1000,"Sub"),$X133))</f>
        <v/>
      </c>
    </row>
    <row r="134">
      <c r="A134" s="61">
        <f>IF(NOT((COUNTA($B134:$K134)+COUNTA($N134))&gt;0),"",IF($S134="Macro",COUNTIFS($S$5:$S134,"Macro",$P$5:$P134,$P134),IF(N($R134)=0,"?",COUNTIFS(INDEX($S$5:$S$1000,1):INDEX($S$5:$S$1000,$R134-4),"Macro",INDEX($P$5:$P$1000,1):INDEX($P$5:$P$1000,$R134-4),INDEX($P$5:$P$1000,$R134-4))&amp;"."&amp;COUNTIFS($R$5:$R134,$R134,$S$5:$S134,"Sub"))))</f>
        <v/>
      </c>
      <c r="B134" s="62" t="n"/>
      <c r="C134" s="63" t="n"/>
      <c r="D134" s="62" t="n"/>
      <c r="E134" s="64" t="n"/>
      <c r="F134" s="64" t="n"/>
      <c r="G134" s="65" t="n"/>
      <c r="H134" s="66" t="n"/>
      <c r="I134" s="66" t="n"/>
      <c r="J134" s="66" t="n"/>
      <c r="K134" s="66" t="n"/>
      <c r="L134" s="67">
        <f>IF(NOT((COUNTA($B134:$K134)+COUNTA($N134))&gt;0),"",IF(N($T134)&gt;0,$AB134,IFERROR(LOOKUP(2,1/(H134:K134&lt;&gt;""),H134:K134),0)))</f>
        <v/>
      </c>
      <c r="M134" s="61">
        <f>IF(L134="","",IF(L134&gt;=1,"Completado",IF(L134&gt;0,"En curso","Pendiente")))</f>
        <v/>
      </c>
      <c r="N134" s="62" t="n"/>
      <c r="O134" s="68">
        <f>IF(NOT((COUNTA($B134:$K134)+COUNTA($N134))&gt;0),"",IF((IF(AND($S134="Macro",$B134=""),"Macroactividad vacía"&amp;" · ","")&amp;IF(AND($B134&lt;&gt;"",$C134&lt;&gt;""),"Escriba la subactividad en otra fila, debajo de su macroactividad"&amp;" · ","")&amp;IF(AND($S134="Sub",N($R134)=0),"Subactividad sin macroactividad arriba"&amp;" · ","")&amp;IF($D134="","Sin responsable"&amp;" · ","")&amp;IF($E134="","Sin fecha de inicio"&amp;" · ","")&amp;IF($F134="","Sin fecha límite"&amp;" · ","")&amp;IF(OR(AND($E134&lt;&gt;"",NOT(ISNUMBER($E134))),AND($F134&lt;&gt;"",NOT(ISNUMBER($F134)))),"Fecha no válida"&amp;" · ","")&amp;IF(AND(ISNUMBER($E134),ISNUMBER($F134),$E134&gt;$F134),"Inicio posterior a fecha límite"&amp;" · ","")&amp;IF(AND($S134="Macro",$G134=""),"Peso vacío"&amp;" · ","")&amp;IF(AND($S134="Macro",$G134&lt;&gt;"",OR(NOT(ISNUMBER($G134)),$G134&lt;=0,$G134&gt;1)),"Peso fuera de rango"&amp;" · ","")&amp;IF(AND($S134="Sub",$G134&lt;&gt;""),"Las subactividades no llevan peso"&amp;" · ","")&amp;IF(AND($S134="Macro",ABS(SUMIFS($G$5:$G$1000,$P$5:$P$1000,$P134,$S$5:$S$1000,"Macro")-1)&gt;0.0001),"Pesos del mes suman "&amp;TEXT(SUMIFS($G$5:$G$1000,$P$5:$P$1000,$P134,$S$5:$S$1000,"Macro"),"0%")&amp;" · ","")&amp;IF(AND(N($T134)&gt;0,COUNT($H134:$K134)&gt;0),"Con subactividades: deje vacías las semanas (se calculan solas)"&amp;" · ","")&amp;IF((COUNTIF($H134:$K134,"&gt;1")+COUNTIF($H134:$K134,"&lt;0")+COUNTA($H134:$K134)-COUNT($H134:$K134))&gt;0,"Avance fuera de rango 0-100%"&amp;" · ","")&amp;IF(OR(AND($I134&lt;&gt;"",$I134&lt;$H134),AND($J134&lt;&gt;"",$J134&lt;MAX($H134:$I134)),AND($K134&lt;&gt;"",$K134&lt;MAX($H134:$J134))),"Avance semanal decreciente"&amp;" · ","")&amp;IF(AND(ISNUMBER($F134),$F134&lt;FechaRef,N($L134)&lt;1),"Vencida"&amp;" · ","")&amp;IF(AND(ObsObligatoria="Sí",ISNUMBER($F134),$F134&lt;FechaRef,N($L134)&lt;1,$N134=""),"Vencida sin observación"&amp;" · ",""))="","✔ OK","⚠ "&amp;LEFT(IF(AND($S134="Macro",$B134=""),"Macroactividad vacía"&amp;" · ","")&amp;IF(AND($B134&lt;&gt;"",$C134&lt;&gt;""),"Escriba la subactividad en otra fila, debajo de su macroactividad"&amp;" · ","")&amp;IF(AND($S134="Sub",N($R134)=0),"Subactividad sin macroactividad arriba"&amp;" · ","")&amp;IF($D134="","Sin responsable"&amp;" · ","")&amp;IF($E134="","Sin fecha de inicio"&amp;" · ","")&amp;IF($F134="","Sin fecha límite"&amp;" · ","")&amp;IF(OR(AND($E134&lt;&gt;"",NOT(ISNUMBER($E134))),AND($F134&lt;&gt;"",NOT(ISNUMBER($F134)))),"Fecha no válida"&amp;" · ","")&amp;IF(AND(ISNUMBER($E134),ISNUMBER($F134),$E134&gt;$F134),"Inicio posterior a fecha límite"&amp;" · ","")&amp;IF(AND($S134="Macro",$G134=""),"Peso vacío"&amp;" · ","")&amp;IF(AND($S134="Macro",$G134&lt;&gt;"",OR(NOT(ISNUMBER($G134)),$G134&lt;=0,$G134&gt;1)),"Peso fuera de rango"&amp;" · ","")&amp;IF(AND($S134="Sub",$G134&lt;&gt;""),"Las subactividades no llevan peso"&amp;" · ","")&amp;IF(AND($S134="Macro",ABS(SUMIFS($G$5:$G$1000,$P$5:$P$1000,$P134,$S$5:$S$1000,"Macro")-1)&gt;0.0001),"Pesos del mes suman "&amp;TEXT(SUMIFS($G$5:$G$1000,$P$5:$P$1000,$P134,$S$5:$S$1000,"Macro"),"0%")&amp;" · ","")&amp;IF(AND(N($T134)&gt;0,COUNT($H134:$K134)&gt;0),"Con subactividades: deje vacías las semanas (se calculan solas)"&amp;" · ","")&amp;IF((COUNTIF($H134:$K134,"&gt;1")+COUNTIF($H134:$K134,"&lt;0")+COUNTA($H134:$K134)-COUNT($H134:$K134))&gt;0,"Avance fuera de rango 0-100%"&amp;" · ","")&amp;IF(OR(AND($I134&lt;&gt;"",$I134&lt;$H134),AND($J134&lt;&gt;"",$J134&lt;MAX($H134:$I134)),AND($K134&lt;&gt;"",$K134&lt;MAX($H134:$J134))),"Avance semanal decreciente"&amp;" · ","")&amp;IF(AND(ISNUMBER($F134),$F134&lt;FechaRef,N($L134)&lt;1),"Vencida"&amp;" · ","")&amp;IF(AND(ObsObligatoria="Sí",ISNUMBER($F134),$F134&lt;FechaRef,N($L134)&lt;1,$N134=""),"Vencida sin observación"&amp;" · ",""),LEN(IF(AND($S134="Macro",$B134=""),"Macroactividad vacía"&amp;" · ","")&amp;IF(AND($B134&lt;&gt;"",$C134&lt;&gt;""),"Escriba la subactividad en otra fila, debajo de su macroactividad"&amp;" · ","")&amp;IF(AND($S134="Sub",N($R134)=0),"Subactividad sin macroactividad arriba"&amp;" · ","")&amp;IF($D134="","Sin responsable"&amp;" · ","")&amp;IF($E134="","Sin fecha de inicio"&amp;" · ","")&amp;IF($F134="","Sin fecha límite"&amp;" · ","")&amp;IF(OR(AND($E134&lt;&gt;"",NOT(ISNUMBER($E134))),AND($F134&lt;&gt;"",NOT(ISNUMBER($F134)))),"Fecha no válida"&amp;" · ","")&amp;IF(AND(ISNUMBER($E134),ISNUMBER($F134),$E134&gt;$F134),"Inicio posterior a fecha límite"&amp;" · ","")&amp;IF(AND($S134="Macro",$G134=""),"Peso vacío"&amp;" · ","")&amp;IF(AND($S134="Macro",$G134&lt;&gt;"",OR(NOT(ISNUMBER($G134)),$G134&lt;=0,$G134&gt;1)),"Peso fuera de rango"&amp;" · ","")&amp;IF(AND($S134="Sub",$G134&lt;&gt;""),"Las subactividades no llevan peso"&amp;" · ","")&amp;IF(AND($S134="Macro",ABS(SUMIFS($G$5:$G$1000,$P$5:$P$1000,$P134,$S$5:$S$1000,"Macro")-1)&gt;0.0001),"Pesos del mes suman "&amp;TEXT(SUMIFS($G$5:$G$1000,$P$5:$P$1000,$P134,$S$5:$S$1000,"Macro"),"0%")&amp;" · ","")&amp;IF(AND(N($T134)&gt;0,COUNT($H134:$K134)&gt;0),"Con subactividades: deje vacías las semanas (se calculan solas)"&amp;" · ","")&amp;IF((COUNTIF($H134:$K134,"&gt;1")+COUNTIF($H134:$K134,"&lt;0")+COUNTA($H134:$K134)-COUNT($H134:$K134))&gt;0,"Avance fuera de rango 0-100%"&amp;" · ","")&amp;IF(OR(AND($I134&lt;&gt;"",$I134&lt;$H134),AND($J134&lt;&gt;"",$J134&lt;MAX($H134:$I134)),AND($K134&lt;&gt;"",$K134&lt;MAX($H134:$J134))),"Avance semanal decreciente"&amp;" · ","")&amp;IF(AND(ISNUMBER($F134),$F134&lt;FechaRef,N($L134)&lt;1),"Vencida"&amp;" · ","")&amp;IF(AND(ObsObligatoria="Sí",ISNUMBER($F134),$F134&lt;FechaRef,N($L134)&lt;1,$N134=""),"Vencida sin observación"&amp;" · ",""))-3)))</f>
        <v/>
      </c>
      <c r="P134" s="69">
        <f>IF(NOT((COUNTA($B134:$K134)+COUNTA($N134))&gt;0),"",IF(AND($S134="Sub",N($R134)&gt;0),IF(ISNUMBER(INDEX($E$5:$E$1000,$R134-4)),DATE(YEAR(INDEX($E$5:$E$1000,$R134-4)),MONTH(INDEX($E$5:$E$1000,$R134-4)),1),IF(ISNUMBER(INDEX($F$5:$F$1000,$R134-4)),DATE(YEAR(INDEX($F$5:$F$1000,$R134-4)),MONTH(INDEX($F$5:$F$1000,$R134-4)),1),MesCiclo)),IF(ISNUMBER($E134),DATE(YEAR($E134),MONTH($E134),1),IF(ISNUMBER($F134),DATE(YEAR($F134),MONTH($F134),1),MesCiclo))))</f>
        <v/>
      </c>
      <c r="Q134" s="70">
        <f>IF(OR($P134="",$P134&lt;&gt;MesCiclo),"",COUNTIF($P$5:$P134,MesCiclo))</f>
        <v/>
      </c>
      <c r="R134" s="70">
        <f>IF($S134="","",IF($S134="Macro",ROW(),IFERROR(LOOKUP(2,1/($S$5:$S134="Macro"),ROW($S$5:$S134)),0)))</f>
        <v/>
      </c>
      <c r="S134" s="70">
        <f>IF(NOT((COUNTA($B134:$K134)+COUNTA($N134))&gt;0),"",IF($B134&lt;&gt;"","Macro",IF($C134&lt;&gt;"","Sub","Macro")))</f>
        <v/>
      </c>
      <c r="T134" s="70">
        <f>IF($S134="Macro",COUNTIFS($R$5:$R$1000,ROW(),$S$5:$S$1000,"Sub"),"")</f>
        <v/>
      </c>
      <c r="U134" s="70">
        <f>IF($S134="","",IF(ISNUMBER($H134),$H134,0))</f>
        <v/>
      </c>
      <c r="V134" s="70">
        <f>IF($S134="","",IF(ISNUMBER($I134),$I134,$U134))</f>
        <v/>
      </c>
      <c r="W134" s="70">
        <f>IF($S134="","",IF(ISNUMBER($J134),$J134,$V134))</f>
        <v/>
      </c>
      <c r="X134" s="70">
        <f>IF($S134="","",IF(ISNUMBER($K134),$K134,$W134))</f>
        <v/>
      </c>
      <c r="Y134" s="70">
        <f>IF($S134="","",IF(N($T134)&gt;0,AVERAGEIFS($U$5:$U$1000,$R$5:$R$1000,ROW(),$S$5:$S$1000,"Sub"),$U134))</f>
        <v/>
      </c>
      <c r="Z134" s="70">
        <f>IF($S134="","",IF(N($T134)&gt;0,AVERAGEIFS($V$5:$V$1000,$R$5:$R$1000,ROW(),$S$5:$S$1000,"Sub"),$V134))</f>
        <v/>
      </c>
      <c r="AA134" s="70">
        <f>IF($S134="","",IF(N($T134)&gt;0,AVERAGEIFS($W$5:$W$1000,$R$5:$R$1000,ROW(),$S$5:$S$1000,"Sub"),$W134))</f>
        <v/>
      </c>
      <c r="AB134" s="70">
        <f>IF($S134="","",IF(N($T134)&gt;0,AVERAGEIFS($X$5:$X$1000,$R$5:$R$1000,ROW(),$S$5:$S$1000,"Sub"),$X134))</f>
        <v/>
      </c>
    </row>
    <row r="135">
      <c r="A135" s="61">
        <f>IF(NOT((COUNTA($B135:$K135)+COUNTA($N135))&gt;0),"",IF($S135="Macro",COUNTIFS($S$5:$S135,"Macro",$P$5:$P135,$P135),IF(N($R135)=0,"?",COUNTIFS(INDEX($S$5:$S$1000,1):INDEX($S$5:$S$1000,$R135-4),"Macro",INDEX($P$5:$P$1000,1):INDEX($P$5:$P$1000,$R135-4),INDEX($P$5:$P$1000,$R135-4))&amp;"."&amp;COUNTIFS($R$5:$R135,$R135,$S$5:$S135,"Sub"))))</f>
        <v/>
      </c>
      <c r="B135" s="62" t="n"/>
      <c r="C135" s="63" t="n"/>
      <c r="D135" s="62" t="n"/>
      <c r="E135" s="64" t="n"/>
      <c r="F135" s="64" t="n"/>
      <c r="G135" s="65" t="n"/>
      <c r="H135" s="66" t="n"/>
      <c r="I135" s="66" t="n"/>
      <c r="J135" s="66" t="n"/>
      <c r="K135" s="66" t="n"/>
      <c r="L135" s="67">
        <f>IF(NOT((COUNTA($B135:$K135)+COUNTA($N135))&gt;0),"",IF(N($T135)&gt;0,$AB135,IFERROR(LOOKUP(2,1/(H135:K135&lt;&gt;""),H135:K135),0)))</f>
        <v/>
      </c>
      <c r="M135" s="61">
        <f>IF(L135="","",IF(L135&gt;=1,"Completado",IF(L135&gt;0,"En curso","Pendiente")))</f>
        <v/>
      </c>
      <c r="N135" s="62" t="n"/>
      <c r="O135" s="68">
        <f>IF(NOT((COUNTA($B135:$K135)+COUNTA($N135))&gt;0),"",IF((IF(AND($S135="Macro",$B135=""),"Macroactividad vacía"&amp;" · ","")&amp;IF(AND($B135&lt;&gt;"",$C135&lt;&gt;""),"Escriba la subactividad en otra fila, debajo de su macroactividad"&amp;" · ","")&amp;IF(AND($S135="Sub",N($R135)=0),"Subactividad sin macroactividad arriba"&amp;" · ","")&amp;IF($D135="","Sin responsable"&amp;" · ","")&amp;IF($E135="","Sin fecha de inicio"&amp;" · ","")&amp;IF($F135="","Sin fecha límite"&amp;" · ","")&amp;IF(OR(AND($E135&lt;&gt;"",NOT(ISNUMBER($E135))),AND($F135&lt;&gt;"",NOT(ISNUMBER($F135)))),"Fecha no válida"&amp;" · ","")&amp;IF(AND(ISNUMBER($E135),ISNUMBER($F135),$E135&gt;$F135),"Inicio posterior a fecha límite"&amp;" · ","")&amp;IF(AND($S135="Macro",$G135=""),"Peso vacío"&amp;" · ","")&amp;IF(AND($S135="Macro",$G135&lt;&gt;"",OR(NOT(ISNUMBER($G135)),$G135&lt;=0,$G135&gt;1)),"Peso fuera de rango"&amp;" · ","")&amp;IF(AND($S135="Sub",$G135&lt;&gt;""),"Las subactividades no llevan peso"&amp;" · ","")&amp;IF(AND($S135="Macro",ABS(SUMIFS($G$5:$G$1000,$P$5:$P$1000,$P135,$S$5:$S$1000,"Macro")-1)&gt;0.0001),"Pesos del mes suman "&amp;TEXT(SUMIFS($G$5:$G$1000,$P$5:$P$1000,$P135,$S$5:$S$1000,"Macro"),"0%")&amp;" · ","")&amp;IF(AND(N($T135)&gt;0,COUNT($H135:$K135)&gt;0),"Con subactividades: deje vacías las semanas (se calculan solas)"&amp;" · ","")&amp;IF((COUNTIF($H135:$K135,"&gt;1")+COUNTIF($H135:$K135,"&lt;0")+COUNTA($H135:$K135)-COUNT($H135:$K135))&gt;0,"Avance fuera de rango 0-100%"&amp;" · ","")&amp;IF(OR(AND($I135&lt;&gt;"",$I135&lt;$H135),AND($J135&lt;&gt;"",$J135&lt;MAX($H135:$I135)),AND($K135&lt;&gt;"",$K135&lt;MAX($H135:$J135))),"Avance semanal decreciente"&amp;" · ","")&amp;IF(AND(ISNUMBER($F135),$F135&lt;FechaRef,N($L135)&lt;1),"Vencida"&amp;" · ","")&amp;IF(AND(ObsObligatoria="Sí",ISNUMBER($F135),$F135&lt;FechaRef,N($L135)&lt;1,$N135=""),"Vencida sin observación"&amp;" · ",""))="","✔ OK","⚠ "&amp;LEFT(IF(AND($S135="Macro",$B135=""),"Macroactividad vacía"&amp;" · ","")&amp;IF(AND($B135&lt;&gt;"",$C135&lt;&gt;""),"Escriba la subactividad en otra fila, debajo de su macroactividad"&amp;" · ","")&amp;IF(AND($S135="Sub",N($R135)=0),"Subactividad sin macroactividad arriba"&amp;" · ","")&amp;IF($D135="","Sin responsable"&amp;" · ","")&amp;IF($E135="","Sin fecha de inicio"&amp;" · ","")&amp;IF($F135="","Sin fecha límite"&amp;" · ","")&amp;IF(OR(AND($E135&lt;&gt;"",NOT(ISNUMBER($E135))),AND($F135&lt;&gt;"",NOT(ISNUMBER($F135)))),"Fecha no válida"&amp;" · ","")&amp;IF(AND(ISNUMBER($E135),ISNUMBER($F135),$E135&gt;$F135),"Inicio posterior a fecha límite"&amp;" · ","")&amp;IF(AND($S135="Macro",$G135=""),"Peso vacío"&amp;" · ","")&amp;IF(AND($S135="Macro",$G135&lt;&gt;"",OR(NOT(ISNUMBER($G135)),$G135&lt;=0,$G135&gt;1)),"Peso fuera de rango"&amp;" · ","")&amp;IF(AND($S135="Sub",$G135&lt;&gt;""),"Las subactividades no llevan peso"&amp;" · ","")&amp;IF(AND($S135="Macro",ABS(SUMIFS($G$5:$G$1000,$P$5:$P$1000,$P135,$S$5:$S$1000,"Macro")-1)&gt;0.0001),"Pesos del mes suman "&amp;TEXT(SUMIFS($G$5:$G$1000,$P$5:$P$1000,$P135,$S$5:$S$1000,"Macro"),"0%")&amp;" · ","")&amp;IF(AND(N($T135)&gt;0,COUNT($H135:$K135)&gt;0),"Con subactividades: deje vacías las semanas (se calculan solas)"&amp;" · ","")&amp;IF((COUNTIF($H135:$K135,"&gt;1")+COUNTIF($H135:$K135,"&lt;0")+COUNTA($H135:$K135)-COUNT($H135:$K135))&gt;0,"Avance fuera de rango 0-100%"&amp;" · ","")&amp;IF(OR(AND($I135&lt;&gt;"",$I135&lt;$H135),AND($J135&lt;&gt;"",$J135&lt;MAX($H135:$I135)),AND($K135&lt;&gt;"",$K135&lt;MAX($H135:$J135))),"Avance semanal decreciente"&amp;" · ","")&amp;IF(AND(ISNUMBER($F135),$F135&lt;FechaRef,N($L135)&lt;1),"Vencida"&amp;" · ","")&amp;IF(AND(ObsObligatoria="Sí",ISNUMBER($F135),$F135&lt;FechaRef,N($L135)&lt;1,$N135=""),"Vencida sin observación"&amp;" · ",""),LEN(IF(AND($S135="Macro",$B135=""),"Macroactividad vacía"&amp;" · ","")&amp;IF(AND($B135&lt;&gt;"",$C135&lt;&gt;""),"Escriba la subactividad en otra fila, debajo de su macroactividad"&amp;" · ","")&amp;IF(AND($S135="Sub",N($R135)=0),"Subactividad sin macroactividad arriba"&amp;" · ","")&amp;IF($D135="","Sin responsable"&amp;" · ","")&amp;IF($E135="","Sin fecha de inicio"&amp;" · ","")&amp;IF($F135="","Sin fecha límite"&amp;" · ","")&amp;IF(OR(AND($E135&lt;&gt;"",NOT(ISNUMBER($E135))),AND($F135&lt;&gt;"",NOT(ISNUMBER($F135)))),"Fecha no válida"&amp;" · ","")&amp;IF(AND(ISNUMBER($E135),ISNUMBER($F135),$E135&gt;$F135),"Inicio posterior a fecha límite"&amp;" · ","")&amp;IF(AND($S135="Macro",$G135=""),"Peso vacío"&amp;" · ","")&amp;IF(AND($S135="Macro",$G135&lt;&gt;"",OR(NOT(ISNUMBER($G135)),$G135&lt;=0,$G135&gt;1)),"Peso fuera de rango"&amp;" · ","")&amp;IF(AND($S135="Sub",$G135&lt;&gt;""),"Las subactividades no llevan peso"&amp;" · ","")&amp;IF(AND($S135="Macro",ABS(SUMIFS($G$5:$G$1000,$P$5:$P$1000,$P135,$S$5:$S$1000,"Macro")-1)&gt;0.0001),"Pesos del mes suman "&amp;TEXT(SUMIFS($G$5:$G$1000,$P$5:$P$1000,$P135,$S$5:$S$1000,"Macro"),"0%")&amp;" · ","")&amp;IF(AND(N($T135)&gt;0,COUNT($H135:$K135)&gt;0),"Con subactividades: deje vacías las semanas (se calculan solas)"&amp;" · ","")&amp;IF((COUNTIF($H135:$K135,"&gt;1")+COUNTIF($H135:$K135,"&lt;0")+COUNTA($H135:$K135)-COUNT($H135:$K135))&gt;0,"Avance fuera de rango 0-100%"&amp;" · ","")&amp;IF(OR(AND($I135&lt;&gt;"",$I135&lt;$H135),AND($J135&lt;&gt;"",$J135&lt;MAX($H135:$I135)),AND($K135&lt;&gt;"",$K135&lt;MAX($H135:$J135))),"Avance semanal decreciente"&amp;" · ","")&amp;IF(AND(ISNUMBER($F135),$F135&lt;FechaRef,N($L135)&lt;1),"Vencida"&amp;" · ","")&amp;IF(AND(ObsObligatoria="Sí",ISNUMBER($F135),$F135&lt;FechaRef,N($L135)&lt;1,$N135=""),"Vencida sin observación"&amp;" · ",""))-3)))</f>
        <v/>
      </c>
      <c r="P135" s="69">
        <f>IF(NOT((COUNTA($B135:$K135)+COUNTA($N135))&gt;0),"",IF(AND($S135="Sub",N($R135)&gt;0),IF(ISNUMBER(INDEX($E$5:$E$1000,$R135-4)),DATE(YEAR(INDEX($E$5:$E$1000,$R135-4)),MONTH(INDEX($E$5:$E$1000,$R135-4)),1),IF(ISNUMBER(INDEX($F$5:$F$1000,$R135-4)),DATE(YEAR(INDEX($F$5:$F$1000,$R135-4)),MONTH(INDEX($F$5:$F$1000,$R135-4)),1),MesCiclo)),IF(ISNUMBER($E135),DATE(YEAR($E135),MONTH($E135),1),IF(ISNUMBER($F135),DATE(YEAR($F135),MONTH($F135),1),MesCiclo))))</f>
        <v/>
      </c>
      <c r="Q135" s="70">
        <f>IF(OR($P135="",$P135&lt;&gt;MesCiclo),"",COUNTIF($P$5:$P135,MesCiclo))</f>
        <v/>
      </c>
      <c r="R135" s="70">
        <f>IF($S135="","",IF($S135="Macro",ROW(),IFERROR(LOOKUP(2,1/($S$5:$S135="Macro"),ROW($S$5:$S135)),0)))</f>
        <v/>
      </c>
      <c r="S135" s="70">
        <f>IF(NOT((COUNTA($B135:$K135)+COUNTA($N135))&gt;0),"",IF($B135&lt;&gt;"","Macro",IF($C135&lt;&gt;"","Sub","Macro")))</f>
        <v/>
      </c>
      <c r="T135" s="70">
        <f>IF($S135="Macro",COUNTIFS($R$5:$R$1000,ROW(),$S$5:$S$1000,"Sub"),"")</f>
        <v/>
      </c>
      <c r="U135" s="70">
        <f>IF($S135="","",IF(ISNUMBER($H135),$H135,0))</f>
        <v/>
      </c>
      <c r="V135" s="70">
        <f>IF($S135="","",IF(ISNUMBER($I135),$I135,$U135))</f>
        <v/>
      </c>
      <c r="W135" s="70">
        <f>IF($S135="","",IF(ISNUMBER($J135),$J135,$V135))</f>
        <v/>
      </c>
      <c r="X135" s="70">
        <f>IF($S135="","",IF(ISNUMBER($K135),$K135,$W135))</f>
        <v/>
      </c>
      <c r="Y135" s="70">
        <f>IF($S135="","",IF(N($T135)&gt;0,AVERAGEIFS($U$5:$U$1000,$R$5:$R$1000,ROW(),$S$5:$S$1000,"Sub"),$U135))</f>
        <v/>
      </c>
      <c r="Z135" s="70">
        <f>IF($S135="","",IF(N($T135)&gt;0,AVERAGEIFS($V$5:$V$1000,$R$5:$R$1000,ROW(),$S$5:$S$1000,"Sub"),$V135))</f>
        <v/>
      </c>
      <c r="AA135" s="70">
        <f>IF($S135="","",IF(N($T135)&gt;0,AVERAGEIFS($W$5:$W$1000,$R$5:$R$1000,ROW(),$S$5:$S$1000,"Sub"),$W135))</f>
        <v/>
      </c>
      <c r="AB135" s="70">
        <f>IF($S135="","",IF(N($T135)&gt;0,AVERAGEIFS($X$5:$X$1000,$R$5:$R$1000,ROW(),$S$5:$S$1000,"Sub"),$X135))</f>
        <v/>
      </c>
    </row>
    <row r="136">
      <c r="A136" s="61">
        <f>IF(NOT((COUNTA($B136:$K136)+COUNTA($N136))&gt;0),"",IF($S136="Macro",COUNTIFS($S$5:$S136,"Macro",$P$5:$P136,$P136),IF(N($R136)=0,"?",COUNTIFS(INDEX($S$5:$S$1000,1):INDEX($S$5:$S$1000,$R136-4),"Macro",INDEX($P$5:$P$1000,1):INDEX($P$5:$P$1000,$R136-4),INDEX($P$5:$P$1000,$R136-4))&amp;"."&amp;COUNTIFS($R$5:$R136,$R136,$S$5:$S136,"Sub"))))</f>
        <v/>
      </c>
      <c r="B136" s="62" t="n"/>
      <c r="C136" s="63" t="n"/>
      <c r="D136" s="62" t="n"/>
      <c r="E136" s="64" t="n"/>
      <c r="F136" s="64" t="n"/>
      <c r="G136" s="65" t="n"/>
      <c r="H136" s="66" t="n"/>
      <c r="I136" s="66" t="n"/>
      <c r="J136" s="66" t="n"/>
      <c r="K136" s="66" t="n"/>
      <c r="L136" s="67">
        <f>IF(NOT((COUNTA($B136:$K136)+COUNTA($N136))&gt;0),"",IF(N($T136)&gt;0,$AB136,IFERROR(LOOKUP(2,1/(H136:K136&lt;&gt;""),H136:K136),0)))</f>
        <v/>
      </c>
      <c r="M136" s="61">
        <f>IF(L136="","",IF(L136&gt;=1,"Completado",IF(L136&gt;0,"En curso","Pendiente")))</f>
        <v/>
      </c>
      <c r="N136" s="62" t="n"/>
      <c r="O136" s="68">
        <f>IF(NOT((COUNTA($B136:$K136)+COUNTA($N136))&gt;0),"",IF((IF(AND($S136="Macro",$B136=""),"Macroactividad vacía"&amp;" · ","")&amp;IF(AND($B136&lt;&gt;"",$C136&lt;&gt;""),"Escriba la subactividad en otra fila, debajo de su macroactividad"&amp;" · ","")&amp;IF(AND($S136="Sub",N($R136)=0),"Subactividad sin macroactividad arriba"&amp;" · ","")&amp;IF($D136="","Sin responsable"&amp;" · ","")&amp;IF($E136="","Sin fecha de inicio"&amp;" · ","")&amp;IF($F136="","Sin fecha límite"&amp;" · ","")&amp;IF(OR(AND($E136&lt;&gt;"",NOT(ISNUMBER($E136))),AND($F136&lt;&gt;"",NOT(ISNUMBER($F136)))),"Fecha no válida"&amp;" · ","")&amp;IF(AND(ISNUMBER($E136),ISNUMBER($F136),$E136&gt;$F136),"Inicio posterior a fecha límite"&amp;" · ","")&amp;IF(AND($S136="Macro",$G136=""),"Peso vacío"&amp;" · ","")&amp;IF(AND($S136="Macro",$G136&lt;&gt;"",OR(NOT(ISNUMBER($G136)),$G136&lt;=0,$G136&gt;1)),"Peso fuera de rango"&amp;" · ","")&amp;IF(AND($S136="Sub",$G136&lt;&gt;""),"Las subactividades no llevan peso"&amp;" · ","")&amp;IF(AND($S136="Macro",ABS(SUMIFS($G$5:$G$1000,$P$5:$P$1000,$P136,$S$5:$S$1000,"Macro")-1)&gt;0.0001),"Pesos del mes suman "&amp;TEXT(SUMIFS($G$5:$G$1000,$P$5:$P$1000,$P136,$S$5:$S$1000,"Macro"),"0%")&amp;" · ","")&amp;IF(AND(N($T136)&gt;0,COUNT($H136:$K136)&gt;0),"Con subactividades: deje vacías las semanas (se calculan solas)"&amp;" · ","")&amp;IF((COUNTIF($H136:$K136,"&gt;1")+COUNTIF($H136:$K136,"&lt;0")+COUNTA($H136:$K136)-COUNT($H136:$K136))&gt;0,"Avance fuera de rango 0-100%"&amp;" · ","")&amp;IF(OR(AND($I136&lt;&gt;"",$I136&lt;$H136),AND($J136&lt;&gt;"",$J136&lt;MAX($H136:$I136)),AND($K136&lt;&gt;"",$K136&lt;MAX($H136:$J136))),"Avance semanal decreciente"&amp;" · ","")&amp;IF(AND(ISNUMBER($F136),$F136&lt;FechaRef,N($L136)&lt;1),"Vencida"&amp;" · ","")&amp;IF(AND(ObsObligatoria="Sí",ISNUMBER($F136),$F136&lt;FechaRef,N($L136)&lt;1,$N136=""),"Vencida sin observación"&amp;" · ",""))="","✔ OK","⚠ "&amp;LEFT(IF(AND($S136="Macro",$B136=""),"Macroactividad vacía"&amp;" · ","")&amp;IF(AND($B136&lt;&gt;"",$C136&lt;&gt;""),"Escriba la subactividad en otra fila, debajo de su macroactividad"&amp;" · ","")&amp;IF(AND($S136="Sub",N($R136)=0),"Subactividad sin macroactividad arriba"&amp;" · ","")&amp;IF($D136="","Sin responsable"&amp;" · ","")&amp;IF($E136="","Sin fecha de inicio"&amp;" · ","")&amp;IF($F136="","Sin fecha límite"&amp;" · ","")&amp;IF(OR(AND($E136&lt;&gt;"",NOT(ISNUMBER($E136))),AND($F136&lt;&gt;"",NOT(ISNUMBER($F136)))),"Fecha no válida"&amp;" · ","")&amp;IF(AND(ISNUMBER($E136),ISNUMBER($F136),$E136&gt;$F136),"Inicio posterior a fecha límite"&amp;" · ","")&amp;IF(AND($S136="Macro",$G136=""),"Peso vacío"&amp;" · ","")&amp;IF(AND($S136="Macro",$G136&lt;&gt;"",OR(NOT(ISNUMBER($G136)),$G136&lt;=0,$G136&gt;1)),"Peso fuera de rango"&amp;" · ","")&amp;IF(AND($S136="Sub",$G136&lt;&gt;""),"Las subactividades no llevan peso"&amp;" · ","")&amp;IF(AND($S136="Macro",ABS(SUMIFS($G$5:$G$1000,$P$5:$P$1000,$P136,$S$5:$S$1000,"Macro")-1)&gt;0.0001),"Pesos del mes suman "&amp;TEXT(SUMIFS($G$5:$G$1000,$P$5:$P$1000,$P136,$S$5:$S$1000,"Macro"),"0%")&amp;" · ","")&amp;IF(AND(N($T136)&gt;0,COUNT($H136:$K136)&gt;0),"Con subactividades: deje vacías las semanas (se calculan solas)"&amp;" · ","")&amp;IF((COUNTIF($H136:$K136,"&gt;1")+COUNTIF($H136:$K136,"&lt;0")+COUNTA($H136:$K136)-COUNT($H136:$K136))&gt;0,"Avance fuera de rango 0-100%"&amp;" · ","")&amp;IF(OR(AND($I136&lt;&gt;"",$I136&lt;$H136),AND($J136&lt;&gt;"",$J136&lt;MAX($H136:$I136)),AND($K136&lt;&gt;"",$K136&lt;MAX($H136:$J136))),"Avance semanal decreciente"&amp;" · ","")&amp;IF(AND(ISNUMBER($F136),$F136&lt;FechaRef,N($L136)&lt;1),"Vencida"&amp;" · ","")&amp;IF(AND(ObsObligatoria="Sí",ISNUMBER($F136),$F136&lt;FechaRef,N($L136)&lt;1,$N136=""),"Vencida sin observación"&amp;" · ",""),LEN(IF(AND($S136="Macro",$B136=""),"Macroactividad vacía"&amp;" · ","")&amp;IF(AND($B136&lt;&gt;"",$C136&lt;&gt;""),"Escriba la subactividad en otra fila, debajo de su macroactividad"&amp;" · ","")&amp;IF(AND($S136="Sub",N($R136)=0),"Subactividad sin macroactividad arriba"&amp;" · ","")&amp;IF($D136="","Sin responsable"&amp;" · ","")&amp;IF($E136="","Sin fecha de inicio"&amp;" · ","")&amp;IF($F136="","Sin fecha límite"&amp;" · ","")&amp;IF(OR(AND($E136&lt;&gt;"",NOT(ISNUMBER($E136))),AND($F136&lt;&gt;"",NOT(ISNUMBER($F136)))),"Fecha no válida"&amp;" · ","")&amp;IF(AND(ISNUMBER($E136),ISNUMBER($F136),$E136&gt;$F136),"Inicio posterior a fecha límite"&amp;" · ","")&amp;IF(AND($S136="Macro",$G136=""),"Peso vacío"&amp;" · ","")&amp;IF(AND($S136="Macro",$G136&lt;&gt;"",OR(NOT(ISNUMBER($G136)),$G136&lt;=0,$G136&gt;1)),"Peso fuera de rango"&amp;" · ","")&amp;IF(AND($S136="Sub",$G136&lt;&gt;""),"Las subactividades no llevan peso"&amp;" · ","")&amp;IF(AND($S136="Macro",ABS(SUMIFS($G$5:$G$1000,$P$5:$P$1000,$P136,$S$5:$S$1000,"Macro")-1)&gt;0.0001),"Pesos del mes suman "&amp;TEXT(SUMIFS($G$5:$G$1000,$P$5:$P$1000,$P136,$S$5:$S$1000,"Macro"),"0%")&amp;" · ","")&amp;IF(AND(N($T136)&gt;0,COUNT($H136:$K136)&gt;0),"Con subactividades: deje vacías las semanas (se calculan solas)"&amp;" · ","")&amp;IF((COUNTIF($H136:$K136,"&gt;1")+COUNTIF($H136:$K136,"&lt;0")+COUNTA($H136:$K136)-COUNT($H136:$K136))&gt;0,"Avance fuera de rango 0-100%"&amp;" · ","")&amp;IF(OR(AND($I136&lt;&gt;"",$I136&lt;$H136),AND($J136&lt;&gt;"",$J136&lt;MAX($H136:$I136)),AND($K136&lt;&gt;"",$K136&lt;MAX($H136:$J136))),"Avance semanal decreciente"&amp;" · ","")&amp;IF(AND(ISNUMBER($F136),$F136&lt;FechaRef,N($L136)&lt;1),"Vencida"&amp;" · ","")&amp;IF(AND(ObsObligatoria="Sí",ISNUMBER($F136),$F136&lt;FechaRef,N($L136)&lt;1,$N136=""),"Vencida sin observación"&amp;" · ",""))-3)))</f>
        <v/>
      </c>
      <c r="P136" s="69">
        <f>IF(NOT((COUNTA($B136:$K136)+COUNTA($N136))&gt;0),"",IF(AND($S136="Sub",N($R136)&gt;0),IF(ISNUMBER(INDEX($E$5:$E$1000,$R136-4)),DATE(YEAR(INDEX($E$5:$E$1000,$R136-4)),MONTH(INDEX($E$5:$E$1000,$R136-4)),1),IF(ISNUMBER(INDEX($F$5:$F$1000,$R136-4)),DATE(YEAR(INDEX($F$5:$F$1000,$R136-4)),MONTH(INDEX($F$5:$F$1000,$R136-4)),1),MesCiclo)),IF(ISNUMBER($E136),DATE(YEAR($E136),MONTH($E136),1),IF(ISNUMBER($F136),DATE(YEAR($F136),MONTH($F136),1),MesCiclo))))</f>
        <v/>
      </c>
      <c r="Q136" s="70">
        <f>IF(OR($P136="",$P136&lt;&gt;MesCiclo),"",COUNTIF($P$5:$P136,MesCiclo))</f>
        <v/>
      </c>
      <c r="R136" s="70">
        <f>IF($S136="","",IF($S136="Macro",ROW(),IFERROR(LOOKUP(2,1/($S$5:$S136="Macro"),ROW($S$5:$S136)),0)))</f>
        <v/>
      </c>
      <c r="S136" s="70">
        <f>IF(NOT((COUNTA($B136:$K136)+COUNTA($N136))&gt;0),"",IF($B136&lt;&gt;"","Macro",IF($C136&lt;&gt;"","Sub","Macro")))</f>
        <v/>
      </c>
      <c r="T136" s="70">
        <f>IF($S136="Macro",COUNTIFS($R$5:$R$1000,ROW(),$S$5:$S$1000,"Sub"),"")</f>
        <v/>
      </c>
      <c r="U136" s="70">
        <f>IF($S136="","",IF(ISNUMBER($H136),$H136,0))</f>
        <v/>
      </c>
      <c r="V136" s="70">
        <f>IF($S136="","",IF(ISNUMBER($I136),$I136,$U136))</f>
        <v/>
      </c>
      <c r="W136" s="70">
        <f>IF($S136="","",IF(ISNUMBER($J136),$J136,$V136))</f>
        <v/>
      </c>
      <c r="X136" s="70">
        <f>IF($S136="","",IF(ISNUMBER($K136),$K136,$W136))</f>
        <v/>
      </c>
      <c r="Y136" s="70">
        <f>IF($S136="","",IF(N($T136)&gt;0,AVERAGEIFS($U$5:$U$1000,$R$5:$R$1000,ROW(),$S$5:$S$1000,"Sub"),$U136))</f>
        <v/>
      </c>
      <c r="Z136" s="70">
        <f>IF($S136="","",IF(N($T136)&gt;0,AVERAGEIFS($V$5:$V$1000,$R$5:$R$1000,ROW(),$S$5:$S$1000,"Sub"),$V136))</f>
        <v/>
      </c>
      <c r="AA136" s="70">
        <f>IF($S136="","",IF(N($T136)&gt;0,AVERAGEIFS($W$5:$W$1000,$R$5:$R$1000,ROW(),$S$5:$S$1000,"Sub"),$W136))</f>
        <v/>
      </c>
      <c r="AB136" s="70">
        <f>IF($S136="","",IF(N($T136)&gt;0,AVERAGEIFS($X$5:$X$1000,$R$5:$R$1000,ROW(),$S$5:$S$1000,"Sub"),$X136))</f>
        <v/>
      </c>
    </row>
    <row r="137">
      <c r="A137" s="61">
        <f>IF(NOT((COUNTA($B137:$K137)+COUNTA($N137))&gt;0),"",IF($S137="Macro",COUNTIFS($S$5:$S137,"Macro",$P$5:$P137,$P137),IF(N($R137)=0,"?",COUNTIFS(INDEX($S$5:$S$1000,1):INDEX($S$5:$S$1000,$R137-4),"Macro",INDEX($P$5:$P$1000,1):INDEX($P$5:$P$1000,$R137-4),INDEX($P$5:$P$1000,$R137-4))&amp;"."&amp;COUNTIFS($R$5:$R137,$R137,$S$5:$S137,"Sub"))))</f>
        <v/>
      </c>
      <c r="B137" s="62" t="n"/>
      <c r="C137" s="63" t="n"/>
      <c r="D137" s="62" t="n"/>
      <c r="E137" s="64" t="n"/>
      <c r="F137" s="64" t="n"/>
      <c r="G137" s="65" t="n"/>
      <c r="H137" s="66" t="n"/>
      <c r="I137" s="66" t="n"/>
      <c r="J137" s="66" t="n"/>
      <c r="K137" s="66" t="n"/>
      <c r="L137" s="67">
        <f>IF(NOT((COUNTA($B137:$K137)+COUNTA($N137))&gt;0),"",IF(N($T137)&gt;0,$AB137,IFERROR(LOOKUP(2,1/(H137:K137&lt;&gt;""),H137:K137),0)))</f>
        <v/>
      </c>
      <c r="M137" s="61">
        <f>IF(L137="","",IF(L137&gt;=1,"Completado",IF(L137&gt;0,"En curso","Pendiente")))</f>
        <v/>
      </c>
      <c r="N137" s="62" t="n"/>
      <c r="O137" s="68">
        <f>IF(NOT((COUNTA($B137:$K137)+COUNTA($N137))&gt;0),"",IF((IF(AND($S137="Macro",$B137=""),"Macroactividad vacía"&amp;" · ","")&amp;IF(AND($B137&lt;&gt;"",$C137&lt;&gt;""),"Escriba la subactividad en otra fila, debajo de su macroactividad"&amp;" · ","")&amp;IF(AND($S137="Sub",N($R137)=0),"Subactividad sin macroactividad arriba"&amp;" · ","")&amp;IF($D137="","Sin responsable"&amp;" · ","")&amp;IF($E137="","Sin fecha de inicio"&amp;" · ","")&amp;IF($F137="","Sin fecha límite"&amp;" · ","")&amp;IF(OR(AND($E137&lt;&gt;"",NOT(ISNUMBER($E137))),AND($F137&lt;&gt;"",NOT(ISNUMBER($F137)))),"Fecha no válida"&amp;" · ","")&amp;IF(AND(ISNUMBER($E137),ISNUMBER($F137),$E137&gt;$F137),"Inicio posterior a fecha límite"&amp;" · ","")&amp;IF(AND($S137="Macro",$G137=""),"Peso vacío"&amp;" · ","")&amp;IF(AND($S137="Macro",$G137&lt;&gt;"",OR(NOT(ISNUMBER($G137)),$G137&lt;=0,$G137&gt;1)),"Peso fuera de rango"&amp;" · ","")&amp;IF(AND($S137="Sub",$G137&lt;&gt;""),"Las subactividades no llevan peso"&amp;" · ","")&amp;IF(AND($S137="Macro",ABS(SUMIFS($G$5:$G$1000,$P$5:$P$1000,$P137,$S$5:$S$1000,"Macro")-1)&gt;0.0001),"Pesos del mes suman "&amp;TEXT(SUMIFS($G$5:$G$1000,$P$5:$P$1000,$P137,$S$5:$S$1000,"Macro"),"0%")&amp;" · ","")&amp;IF(AND(N($T137)&gt;0,COUNT($H137:$K137)&gt;0),"Con subactividades: deje vacías las semanas (se calculan solas)"&amp;" · ","")&amp;IF((COUNTIF($H137:$K137,"&gt;1")+COUNTIF($H137:$K137,"&lt;0")+COUNTA($H137:$K137)-COUNT($H137:$K137))&gt;0,"Avance fuera de rango 0-100%"&amp;" · ","")&amp;IF(OR(AND($I137&lt;&gt;"",$I137&lt;$H137),AND($J137&lt;&gt;"",$J137&lt;MAX($H137:$I137)),AND($K137&lt;&gt;"",$K137&lt;MAX($H137:$J137))),"Avance semanal decreciente"&amp;" · ","")&amp;IF(AND(ISNUMBER($F137),$F137&lt;FechaRef,N($L137)&lt;1),"Vencida"&amp;" · ","")&amp;IF(AND(ObsObligatoria="Sí",ISNUMBER($F137),$F137&lt;FechaRef,N($L137)&lt;1,$N137=""),"Vencida sin observación"&amp;" · ",""))="","✔ OK","⚠ "&amp;LEFT(IF(AND($S137="Macro",$B137=""),"Macroactividad vacía"&amp;" · ","")&amp;IF(AND($B137&lt;&gt;"",$C137&lt;&gt;""),"Escriba la subactividad en otra fila, debajo de su macroactividad"&amp;" · ","")&amp;IF(AND($S137="Sub",N($R137)=0),"Subactividad sin macroactividad arriba"&amp;" · ","")&amp;IF($D137="","Sin responsable"&amp;" · ","")&amp;IF($E137="","Sin fecha de inicio"&amp;" · ","")&amp;IF($F137="","Sin fecha límite"&amp;" · ","")&amp;IF(OR(AND($E137&lt;&gt;"",NOT(ISNUMBER($E137))),AND($F137&lt;&gt;"",NOT(ISNUMBER($F137)))),"Fecha no válida"&amp;" · ","")&amp;IF(AND(ISNUMBER($E137),ISNUMBER($F137),$E137&gt;$F137),"Inicio posterior a fecha límite"&amp;" · ","")&amp;IF(AND($S137="Macro",$G137=""),"Peso vacío"&amp;" · ","")&amp;IF(AND($S137="Macro",$G137&lt;&gt;"",OR(NOT(ISNUMBER($G137)),$G137&lt;=0,$G137&gt;1)),"Peso fuera de rango"&amp;" · ","")&amp;IF(AND($S137="Sub",$G137&lt;&gt;""),"Las subactividades no llevan peso"&amp;" · ","")&amp;IF(AND($S137="Macro",ABS(SUMIFS($G$5:$G$1000,$P$5:$P$1000,$P137,$S$5:$S$1000,"Macro")-1)&gt;0.0001),"Pesos del mes suman "&amp;TEXT(SUMIFS($G$5:$G$1000,$P$5:$P$1000,$P137,$S$5:$S$1000,"Macro"),"0%")&amp;" · ","")&amp;IF(AND(N($T137)&gt;0,COUNT($H137:$K137)&gt;0),"Con subactividades: deje vacías las semanas (se calculan solas)"&amp;" · ","")&amp;IF((COUNTIF($H137:$K137,"&gt;1")+COUNTIF($H137:$K137,"&lt;0")+COUNTA($H137:$K137)-COUNT($H137:$K137))&gt;0,"Avance fuera de rango 0-100%"&amp;" · ","")&amp;IF(OR(AND($I137&lt;&gt;"",$I137&lt;$H137),AND($J137&lt;&gt;"",$J137&lt;MAX($H137:$I137)),AND($K137&lt;&gt;"",$K137&lt;MAX($H137:$J137))),"Avance semanal decreciente"&amp;" · ","")&amp;IF(AND(ISNUMBER($F137),$F137&lt;FechaRef,N($L137)&lt;1),"Vencida"&amp;" · ","")&amp;IF(AND(ObsObligatoria="Sí",ISNUMBER($F137),$F137&lt;FechaRef,N($L137)&lt;1,$N137=""),"Vencida sin observación"&amp;" · ",""),LEN(IF(AND($S137="Macro",$B137=""),"Macroactividad vacía"&amp;" · ","")&amp;IF(AND($B137&lt;&gt;"",$C137&lt;&gt;""),"Escriba la subactividad en otra fila, debajo de su macroactividad"&amp;" · ","")&amp;IF(AND($S137="Sub",N($R137)=0),"Subactividad sin macroactividad arriba"&amp;" · ","")&amp;IF($D137="","Sin responsable"&amp;" · ","")&amp;IF($E137="","Sin fecha de inicio"&amp;" · ","")&amp;IF($F137="","Sin fecha límite"&amp;" · ","")&amp;IF(OR(AND($E137&lt;&gt;"",NOT(ISNUMBER($E137))),AND($F137&lt;&gt;"",NOT(ISNUMBER($F137)))),"Fecha no válida"&amp;" · ","")&amp;IF(AND(ISNUMBER($E137),ISNUMBER($F137),$E137&gt;$F137),"Inicio posterior a fecha límite"&amp;" · ","")&amp;IF(AND($S137="Macro",$G137=""),"Peso vacío"&amp;" · ","")&amp;IF(AND($S137="Macro",$G137&lt;&gt;"",OR(NOT(ISNUMBER($G137)),$G137&lt;=0,$G137&gt;1)),"Peso fuera de rango"&amp;" · ","")&amp;IF(AND($S137="Sub",$G137&lt;&gt;""),"Las subactividades no llevan peso"&amp;" · ","")&amp;IF(AND($S137="Macro",ABS(SUMIFS($G$5:$G$1000,$P$5:$P$1000,$P137,$S$5:$S$1000,"Macro")-1)&gt;0.0001),"Pesos del mes suman "&amp;TEXT(SUMIFS($G$5:$G$1000,$P$5:$P$1000,$P137,$S$5:$S$1000,"Macro"),"0%")&amp;" · ","")&amp;IF(AND(N($T137)&gt;0,COUNT($H137:$K137)&gt;0),"Con subactividades: deje vacías las semanas (se calculan solas)"&amp;" · ","")&amp;IF((COUNTIF($H137:$K137,"&gt;1")+COUNTIF($H137:$K137,"&lt;0")+COUNTA($H137:$K137)-COUNT($H137:$K137))&gt;0,"Avance fuera de rango 0-100%"&amp;" · ","")&amp;IF(OR(AND($I137&lt;&gt;"",$I137&lt;$H137),AND($J137&lt;&gt;"",$J137&lt;MAX($H137:$I137)),AND($K137&lt;&gt;"",$K137&lt;MAX($H137:$J137))),"Avance semanal decreciente"&amp;" · ","")&amp;IF(AND(ISNUMBER($F137),$F137&lt;FechaRef,N($L137)&lt;1),"Vencida"&amp;" · ","")&amp;IF(AND(ObsObligatoria="Sí",ISNUMBER($F137),$F137&lt;FechaRef,N($L137)&lt;1,$N137=""),"Vencida sin observación"&amp;" · ",""))-3)))</f>
        <v/>
      </c>
      <c r="P137" s="69">
        <f>IF(NOT((COUNTA($B137:$K137)+COUNTA($N137))&gt;0),"",IF(AND($S137="Sub",N($R137)&gt;0),IF(ISNUMBER(INDEX($E$5:$E$1000,$R137-4)),DATE(YEAR(INDEX($E$5:$E$1000,$R137-4)),MONTH(INDEX($E$5:$E$1000,$R137-4)),1),IF(ISNUMBER(INDEX($F$5:$F$1000,$R137-4)),DATE(YEAR(INDEX($F$5:$F$1000,$R137-4)),MONTH(INDEX($F$5:$F$1000,$R137-4)),1),MesCiclo)),IF(ISNUMBER($E137),DATE(YEAR($E137),MONTH($E137),1),IF(ISNUMBER($F137),DATE(YEAR($F137),MONTH($F137),1),MesCiclo))))</f>
        <v/>
      </c>
      <c r="Q137" s="70">
        <f>IF(OR($P137="",$P137&lt;&gt;MesCiclo),"",COUNTIF($P$5:$P137,MesCiclo))</f>
        <v/>
      </c>
      <c r="R137" s="70">
        <f>IF($S137="","",IF($S137="Macro",ROW(),IFERROR(LOOKUP(2,1/($S$5:$S137="Macro"),ROW($S$5:$S137)),0)))</f>
        <v/>
      </c>
      <c r="S137" s="70">
        <f>IF(NOT((COUNTA($B137:$K137)+COUNTA($N137))&gt;0),"",IF($B137&lt;&gt;"","Macro",IF($C137&lt;&gt;"","Sub","Macro")))</f>
        <v/>
      </c>
      <c r="T137" s="70">
        <f>IF($S137="Macro",COUNTIFS($R$5:$R$1000,ROW(),$S$5:$S$1000,"Sub"),"")</f>
        <v/>
      </c>
      <c r="U137" s="70">
        <f>IF($S137="","",IF(ISNUMBER($H137),$H137,0))</f>
        <v/>
      </c>
      <c r="V137" s="70">
        <f>IF($S137="","",IF(ISNUMBER($I137),$I137,$U137))</f>
        <v/>
      </c>
      <c r="W137" s="70">
        <f>IF($S137="","",IF(ISNUMBER($J137),$J137,$V137))</f>
        <v/>
      </c>
      <c r="X137" s="70">
        <f>IF($S137="","",IF(ISNUMBER($K137),$K137,$W137))</f>
        <v/>
      </c>
      <c r="Y137" s="70">
        <f>IF($S137="","",IF(N($T137)&gt;0,AVERAGEIFS($U$5:$U$1000,$R$5:$R$1000,ROW(),$S$5:$S$1000,"Sub"),$U137))</f>
        <v/>
      </c>
      <c r="Z137" s="70">
        <f>IF($S137="","",IF(N($T137)&gt;0,AVERAGEIFS($V$5:$V$1000,$R$5:$R$1000,ROW(),$S$5:$S$1000,"Sub"),$V137))</f>
        <v/>
      </c>
      <c r="AA137" s="70">
        <f>IF($S137="","",IF(N($T137)&gt;0,AVERAGEIFS($W$5:$W$1000,$R$5:$R$1000,ROW(),$S$5:$S$1000,"Sub"),$W137))</f>
        <v/>
      </c>
      <c r="AB137" s="70">
        <f>IF($S137="","",IF(N($T137)&gt;0,AVERAGEIFS($X$5:$X$1000,$R$5:$R$1000,ROW(),$S$5:$S$1000,"Sub"),$X137))</f>
        <v/>
      </c>
    </row>
    <row r="138">
      <c r="A138" s="61">
        <f>IF(NOT((COUNTA($B138:$K138)+COUNTA($N138))&gt;0),"",IF($S138="Macro",COUNTIFS($S$5:$S138,"Macro",$P$5:$P138,$P138),IF(N($R138)=0,"?",COUNTIFS(INDEX($S$5:$S$1000,1):INDEX($S$5:$S$1000,$R138-4),"Macro",INDEX($P$5:$P$1000,1):INDEX($P$5:$P$1000,$R138-4),INDEX($P$5:$P$1000,$R138-4))&amp;"."&amp;COUNTIFS($R$5:$R138,$R138,$S$5:$S138,"Sub"))))</f>
        <v/>
      </c>
      <c r="B138" s="62" t="n"/>
      <c r="C138" s="63" t="n"/>
      <c r="D138" s="62" t="n"/>
      <c r="E138" s="64" t="n"/>
      <c r="F138" s="64" t="n"/>
      <c r="G138" s="65" t="n"/>
      <c r="H138" s="66" t="n"/>
      <c r="I138" s="66" t="n"/>
      <c r="J138" s="66" t="n"/>
      <c r="K138" s="66" t="n"/>
      <c r="L138" s="67">
        <f>IF(NOT((COUNTA($B138:$K138)+COUNTA($N138))&gt;0),"",IF(N($T138)&gt;0,$AB138,IFERROR(LOOKUP(2,1/(H138:K138&lt;&gt;""),H138:K138),0)))</f>
        <v/>
      </c>
      <c r="M138" s="61">
        <f>IF(L138="","",IF(L138&gt;=1,"Completado",IF(L138&gt;0,"En curso","Pendiente")))</f>
        <v/>
      </c>
      <c r="N138" s="62" t="n"/>
      <c r="O138" s="68">
        <f>IF(NOT((COUNTA($B138:$K138)+COUNTA($N138))&gt;0),"",IF((IF(AND($S138="Macro",$B138=""),"Macroactividad vacía"&amp;" · ","")&amp;IF(AND($B138&lt;&gt;"",$C138&lt;&gt;""),"Escriba la subactividad en otra fila, debajo de su macroactividad"&amp;" · ","")&amp;IF(AND($S138="Sub",N($R138)=0),"Subactividad sin macroactividad arriba"&amp;" · ","")&amp;IF($D138="","Sin responsable"&amp;" · ","")&amp;IF($E138="","Sin fecha de inicio"&amp;" · ","")&amp;IF($F138="","Sin fecha límite"&amp;" · ","")&amp;IF(OR(AND($E138&lt;&gt;"",NOT(ISNUMBER($E138))),AND($F138&lt;&gt;"",NOT(ISNUMBER($F138)))),"Fecha no válida"&amp;" · ","")&amp;IF(AND(ISNUMBER($E138),ISNUMBER($F138),$E138&gt;$F138),"Inicio posterior a fecha límite"&amp;" · ","")&amp;IF(AND($S138="Macro",$G138=""),"Peso vacío"&amp;" · ","")&amp;IF(AND($S138="Macro",$G138&lt;&gt;"",OR(NOT(ISNUMBER($G138)),$G138&lt;=0,$G138&gt;1)),"Peso fuera de rango"&amp;" · ","")&amp;IF(AND($S138="Sub",$G138&lt;&gt;""),"Las subactividades no llevan peso"&amp;" · ","")&amp;IF(AND($S138="Macro",ABS(SUMIFS($G$5:$G$1000,$P$5:$P$1000,$P138,$S$5:$S$1000,"Macro")-1)&gt;0.0001),"Pesos del mes suman "&amp;TEXT(SUMIFS($G$5:$G$1000,$P$5:$P$1000,$P138,$S$5:$S$1000,"Macro"),"0%")&amp;" · ","")&amp;IF(AND(N($T138)&gt;0,COUNT($H138:$K138)&gt;0),"Con subactividades: deje vacías las semanas (se calculan solas)"&amp;" · ","")&amp;IF((COUNTIF($H138:$K138,"&gt;1")+COUNTIF($H138:$K138,"&lt;0")+COUNTA($H138:$K138)-COUNT($H138:$K138))&gt;0,"Avance fuera de rango 0-100%"&amp;" · ","")&amp;IF(OR(AND($I138&lt;&gt;"",$I138&lt;$H138),AND($J138&lt;&gt;"",$J138&lt;MAX($H138:$I138)),AND($K138&lt;&gt;"",$K138&lt;MAX($H138:$J138))),"Avance semanal decreciente"&amp;" · ","")&amp;IF(AND(ISNUMBER($F138),$F138&lt;FechaRef,N($L138)&lt;1),"Vencida"&amp;" · ","")&amp;IF(AND(ObsObligatoria="Sí",ISNUMBER($F138),$F138&lt;FechaRef,N($L138)&lt;1,$N138=""),"Vencida sin observación"&amp;" · ",""))="","✔ OK","⚠ "&amp;LEFT(IF(AND($S138="Macro",$B138=""),"Macroactividad vacía"&amp;" · ","")&amp;IF(AND($B138&lt;&gt;"",$C138&lt;&gt;""),"Escriba la subactividad en otra fila, debajo de su macroactividad"&amp;" · ","")&amp;IF(AND($S138="Sub",N($R138)=0),"Subactividad sin macroactividad arriba"&amp;" · ","")&amp;IF($D138="","Sin responsable"&amp;" · ","")&amp;IF($E138="","Sin fecha de inicio"&amp;" · ","")&amp;IF($F138="","Sin fecha límite"&amp;" · ","")&amp;IF(OR(AND($E138&lt;&gt;"",NOT(ISNUMBER($E138))),AND($F138&lt;&gt;"",NOT(ISNUMBER($F138)))),"Fecha no válida"&amp;" · ","")&amp;IF(AND(ISNUMBER($E138),ISNUMBER($F138),$E138&gt;$F138),"Inicio posterior a fecha límite"&amp;" · ","")&amp;IF(AND($S138="Macro",$G138=""),"Peso vacío"&amp;" · ","")&amp;IF(AND($S138="Macro",$G138&lt;&gt;"",OR(NOT(ISNUMBER($G138)),$G138&lt;=0,$G138&gt;1)),"Peso fuera de rango"&amp;" · ","")&amp;IF(AND($S138="Sub",$G138&lt;&gt;""),"Las subactividades no llevan peso"&amp;" · ","")&amp;IF(AND($S138="Macro",ABS(SUMIFS($G$5:$G$1000,$P$5:$P$1000,$P138,$S$5:$S$1000,"Macro")-1)&gt;0.0001),"Pesos del mes suman "&amp;TEXT(SUMIFS($G$5:$G$1000,$P$5:$P$1000,$P138,$S$5:$S$1000,"Macro"),"0%")&amp;" · ","")&amp;IF(AND(N($T138)&gt;0,COUNT($H138:$K138)&gt;0),"Con subactividades: deje vacías las semanas (se calculan solas)"&amp;" · ","")&amp;IF((COUNTIF($H138:$K138,"&gt;1")+COUNTIF($H138:$K138,"&lt;0")+COUNTA($H138:$K138)-COUNT($H138:$K138))&gt;0,"Avance fuera de rango 0-100%"&amp;" · ","")&amp;IF(OR(AND($I138&lt;&gt;"",$I138&lt;$H138),AND($J138&lt;&gt;"",$J138&lt;MAX($H138:$I138)),AND($K138&lt;&gt;"",$K138&lt;MAX($H138:$J138))),"Avance semanal decreciente"&amp;" · ","")&amp;IF(AND(ISNUMBER($F138),$F138&lt;FechaRef,N($L138)&lt;1),"Vencida"&amp;" · ","")&amp;IF(AND(ObsObligatoria="Sí",ISNUMBER($F138),$F138&lt;FechaRef,N($L138)&lt;1,$N138=""),"Vencida sin observación"&amp;" · ",""),LEN(IF(AND($S138="Macro",$B138=""),"Macroactividad vacía"&amp;" · ","")&amp;IF(AND($B138&lt;&gt;"",$C138&lt;&gt;""),"Escriba la subactividad en otra fila, debajo de su macroactividad"&amp;" · ","")&amp;IF(AND($S138="Sub",N($R138)=0),"Subactividad sin macroactividad arriba"&amp;" · ","")&amp;IF($D138="","Sin responsable"&amp;" · ","")&amp;IF($E138="","Sin fecha de inicio"&amp;" · ","")&amp;IF($F138="","Sin fecha límite"&amp;" · ","")&amp;IF(OR(AND($E138&lt;&gt;"",NOT(ISNUMBER($E138))),AND($F138&lt;&gt;"",NOT(ISNUMBER($F138)))),"Fecha no válida"&amp;" · ","")&amp;IF(AND(ISNUMBER($E138),ISNUMBER($F138),$E138&gt;$F138),"Inicio posterior a fecha límite"&amp;" · ","")&amp;IF(AND($S138="Macro",$G138=""),"Peso vacío"&amp;" · ","")&amp;IF(AND($S138="Macro",$G138&lt;&gt;"",OR(NOT(ISNUMBER($G138)),$G138&lt;=0,$G138&gt;1)),"Peso fuera de rango"&amp;" · ","")&amp;IF(AND($S138="Sub",$G138&lt;&gt;""),"Las subactividades no llevan peso"&amp;" · ","")&amp;IF(AND($S138="Macro",ABS(SUMIFS($G$5:$G$1000,$P$5:$P$1000,$P138,$S$5:$S$1000,"Macro")-1)&gt;0.0001),"Pesos del mes suman "&amp;TEXT(SUMIFS($G$5:$G$1000,$P$5:$P$1000,$P138,$S$5:$S$1000,"Macro"),"0%")&amp;" · ","")&amp;IF(AND(N($T138)&gt;0,COUNT($H138:$K138)&gt;0),"Con subactividades: deje vacías las semanas (se calculan solas)"&amp;" · ","")&amp;IF((COUNTIF($H138:$K138,"&gt;1")+COUNTIF($H138:$K138,"&lt;0")+COUNTA($H138:$K138)-COUNT($H138:$K138))&gt;0,"Avance fuera de rango 0-100%"&amp;" · ","")&amp;IF(OR(AND($I138&lt;&gt;"",$I138&lt;$H138),AND($J138&lt;&gt;"",$J138&lt;MAX($H138:$I138)),AND($K138&lt;&gt;"",$K138&lt;MAX($H138:$J138))),"Avance semanal decreciente"&amp;" · ","")&amp;IF(AND(ISNUMBER($F138),$F138&lt;FechaRef,N($L138)&lt;1),"Vencida"&amp;" · ","")&amp;IF(AND(ObsObligatoria="Sí",ISNUMBER($F138),$F138&lt;FechaRef,N($L138)&lt;1,$N138=""),"Vencida sin observación"&amp;" · ",""))-3)))</f>
        <v/>
      </c>
      <c r="P138" s="69">
        <f>IF(NOT((COUNTA($B138:$K138)+COUNTA($N138))&gt;0),"",IF(AND($S138="Sub",N($R138)&gt;0),IF(ISNUMBER(INDEX($E$5:$E$1000,$R138-4)),DATE(YEAR(INDEX($E$5:$E$1000,$R138-4)),MONTH(INDEX($E$5:$E$1000,$R138-4)),1),IF(ISNUMBER(INDEX($F$5:$F$1000,$R138-4)),DATE(YEAR(INDEX($F$5:$F$1000,$R138-4)),MONTH(INDEX($F$5:$F$1000,$R138-4)),1),MesCiclo)),IF(ISNUMBER($E138),DATE(YEAR($E138),MONTH($E138),1),IF(ISNUMBER($F138),DATE(YEAR($F138),MONTH($F138),1),MesCiclo))))</f>
        <v/>
      </c>
      <c r="Q138" s="70">
        <f>IF(OR($P138="",$P138&lt;&gt;MesCiclo),"",COUNTIF($P$5:$P138,MesCiclo))</f>
        <v/>
      </c>
      <c r="R138" s="70">
        <f>IF($S138="","",IF($S138="Macro",ROW(),IFERROR(LOOKUP(2,1/($S$5:$S138="Macro"),ROW($S$5:$S138)),0)))</f>
        <v/>
      </c>
      <c r="S138" s="70">
        <f>IF(NOT((COUNTA($B138:$K138)+COUNTA($N138))&gt;0),"",IF($B138&lt;&gt;"","Macro",IF($C138&lt;&gt;"","Sub","Macro")))</f>
        <v/>
      </c>
      <c r="T138" s="70">
        <f>IF($S138="Macro",COUNTIFS($R$5:$R$1000,ROW(),$S$5:$S$1000,"Sub"),"")</f>
        <v/>
      </c>
      <c r="U138" s="70">
        <f>IF($S138="","",IF(ISNUMBER($H138),$H138,0))</f>
        <v/>
      </c>
      <c r="V138" s="70">
        <f>IF($S138="","",IF(ISNUMBER($I138),$I138,$U138))</f>
        <v/>
      </c>
      <c r="W138" s="70">
        <f>IF($S138="","",IF(ISNUMBER($J138),$J138,$V138))</f>
        <v/>
      </c>
      <c r="X138" s="70">
        <f>IF($S138="","",IF(ISNUMBER($K138),$K138,$W138))</f>
        <v/>
      </c>
      <c r="Y138" s="70">
        <f>IF($S138="","",IF(N($T138)&gt;0,AVERAGEIFS($U$5:$U$1000,$R$5:$R$1000,ROW(),$S$5:$S$1000,"Sub"),$U138))</f>
        <v/>
      </c>
      <c r="Z138" s="70">
        <f>IF($S138="","",IF(N($T138)&gt;0,AVERAGEIFS($V$5:$V$1000,$R$5:$R$1000,ROW(),$S$5:$S$1000,"Sub"),$V138))</f>
        <v/>
      </c>
      <c r="AA138" s="70">
        <f>IF($S138="","",IF(N($T138)&gt;0,AVERAGEIFS($W$5:$W$1000,$R$5:$R$1000,ROW(),$S$5:$S$1000,"Sub"),$W138))</f>
        <v/>
      </c>
      <c r="AB138" s="70">
        <f>IF($S138="","",IF(N($T138)&gt;0,AVERAGEIFS($X$5:$X$1000,$R$5:$R$1000,ROW(),$S$5:$S$1000,"Sub"),$X138))</f>
        <v/>
      </c>
    </row>
    <row r="139">
      <c r="A139" s="61">
        <f>IF(NOT((COUNTA($B139:$K139)+COUNTA($N139))&gt;0),"",IF($S139="Macro",COUNTIFS($S$5:$S139,"Macro",$P$5:$P139,$P139),IF(N($R139)=0,"?",COUNTIFS(INDEX($S$5:$S$1000,1):INDEX($S$5:$S$1000,$R139-4),"Macro",INDEX($P$5:$P$1000,1):INDEX($P$5:$P$1000,$R139-4),INDEX($P$5:$P$1000,$R139-4))&amp;"."&amp;COUNTIFS($R$5:$R139,$R139,$S$5:$S139,"Sub"))))</f>
        <v/>
      </c>
      <c r="B139" s="62" t="n"/>
      <c r="C139" s="63" t="n"/>
      <c r="D139" s="62" t="n"/>
      <c r="E139" s="64" t="n"/>
      <c r="F139" s="64" t="n"/>
      <c r="G139" s="65" t="n"/>
      <c r="H139" s="66" t="n"/>
      <c r="I139" s="66" t="n"/>
      <c r="J139" s="66" t="n"/>
      <c r="K139" s="66" t="n"/>
      <c r="L139" s="67">
        <f>IF(NOT((COUNTA($B139:$K139)+COUNTA($N139))&gt;0),"",IF(N($T139)&gt;0,$AB139,IFERROR(LOOKUP(2,1/(H139:K139&lt;&gt;""),H139:K139),0)))</f>
        <v/>
      </c>
      <c r="M139" s="61">
        <f>IF(L139="","",IF(L139&gt;=1,"Completado",IF(L139&gt;0,"En curso","Pendiente")))</f>
        <v/>
      </c>
      <c r="N139" s="62" t="n"/>
      <c r="O139" s="68">
        <f>IF(NOT((COUNTA($B139:$K139)+COUNTA($N139))&gt;0),"",IF((IF(AND($S139="Macro",$B139=""),"Macroactividad vacía"&amp;" · ","")&amp;IF(AND($B139&lt;&gt;"",$C139&lt;&gt;""),"Escriba la subactividad en otra fila, debajo de su macroactividad"&amp;" · ","")&amp;IF(AND($S139="Sub",N($R139)=0),"Subactividad sin macroactividad arriba"&amp;" · ","")&amp;IF($D139="","Sin responsable"&amp;" · ","")&amp;IF($E139="","Sin fecha de inicio"&amp;" · ","")&amp;IF($F139="","Sin fecha límite"&amp;" · ","")&amp;IF(OR(AND($E139&lt;&gt;"",NOT(ISNUMBER($E139))),AND($F139&lt;&gt;"",NOT(ISNUMBER($F139)))),"Fecha no válida"&amp;" · ","")&amp;IF(AND(ISNUMBER($E139),ISNUMBER($F139),$E139&gt;$F139),"Inicio posterior a fecha límite"&amp;" · ","")&amp;IF(AND($S139="Macro",$G139=""),"Peso vacío"&amp;" · ","")&amp;IF(AND($S139="Macro",$G139&lt;&gt;"",OR(NOT(ISNUMBER($G139)),$G139&lt;=0,$G139&gt;1)),"Peso fuera de rango"&amp;" · ","")&amp;IF(AND($S139="Sub",$G139&lt;&gt;""),"Las subactividades no llevan peso"&amp;" · ","")&amp;IF(AND($S139="Macro",ABS(SUMIFS($G$5:$G$1000,$P$5:$P$1000,$P139,$S$5:$S$1000,"Macro")-1)&gt;0.0001),"Pesos del mes suman "&amp;TEXT(SUMIFS($G$5:$G$1000,$P$5:$P$1000,$P139,$S$5:$S$1000,"Macro"),"0%")&amp;" · ","")&amp;IF(AND(N($T139)&gt;0,COUNT($H139:$K139)&gt;0),"Con subactividades: deje vacías las semanas (se calculan solas)"&amp;" · ","")&amp;IF((COUNTIF($H139:$K139,"&gt;1")+COUNTIF($H139:$K139,"&lt;0")+COUNTA($H139:$K139)-COUNT($H139:$K139))&gt;0,"Avance fuera de rango 0-100%"&amp;" · ","")&amp;IF(OR(AND($I139&lt;&gt;"",$I139&lt;$H139),AND($J139&lt;&gt;"",$J139&lt;MAX($H139:$I139)),AND($K139&lt;&gt;"",$K139&lt;MAX($H139:$J139))),"Avance semanal decreciente"&amp;" · ","")&amp;IF(AND(ISNUMBER($F139),$F139&lt;FechaRef,N($L139)&lt;1),"Vencida"&amp;" · ","")&amp;IF(AND(ObsObligatoria="Sí",ISNUMBER($F139),$F139&lt;FechaRef,N($L139)&lt;1,$N139=""),"Vencida sin observación"&amp;" · ",""))="","✔ OK","⚠ "&amp;LEFT(IF(AND($S139="Macro",$B139=""),"Macroactividad vacía"&amp;" · ","")&amp;IF(AND($B139&lt;&gt;"",$C139&lt;&gt;""),"Escriba la subactividad en otra fila, debajo de su macroactividad"&amp;" · ","")&amp;IF(AND($S139="Sub",N($R139)=0),"Subactividad sin macroactividad arriba"&amp;" · ","")&amp;IF($D139="","Sin responsable"&amp;" · ","")&amp;IF($E139="","Sin fecha de inicio"&amp;" · ","")&amp;IF($F139="","Sin fecha límite"&amp;" · ","")&amp;IF(OR(AND($E139&lt;&gt;"",NOT(ISNUMBER($E139))),AND($F139&lt;&gt;"",NOT(ISNUMBER($F139)))),"Fecha no válida"&amp;" · ","")&amp;IF(AND(ISNUMBER($E139),ISNUMBER($F139),$E139&gt;$F139),"Inicio posterior a fecha límite"&amp;" · ","")&amp;IF(AND($S139="Macro",$G139=""),"Peso vacío"&amp;" · ","")&amp;IF(AND($S139="Macro",$G139&lt;&gt;"",OR(NOT(ISNUMBER($G139)),$G139&lt;=0,$G139&gt;1)),"Peso fuera de rango"&amp;" · ","")&amp;IF(AND($S139="Sub",$G139&lt;&gt;""),"Las subactividades no llevan peso"&amp;" · ","")&amp;IF(AND($S139="Macro",ABS(SUMIFS($G$5:$G$1000,$P$5:$P$1000,$P139,$S$5:$S$1000,"Macro")-1)&gt;0.0001),"Pesos del mes suman "&amp;TEXT(SUMIFS($G$5:$G$1000,$P$5:$P$1000,$P139,$S$5:$S$1000,"Macro"),"0%")&amp;" · ","")&amp;IF(AND(N($T139)&gt;0,COUNT($H139:$K139)&gt;0),"Con subactividades: deje vacías las semanas (se calculan solas)"&amp;" · ","")&amp;IF((COUNTIF($H139:$K139,"&gt;1")+COUNTIF($H139:$K139,"&lt;0")+COUNTA($H139:$K139)-COUNT($H139:$K139))&gt;0,"Avance fuera de rango 0-100%"&amp;" · ","")&amp;IF(OR(AND($I139&lt;&gt;"",$I139&lt;$H139),AND($J139&lt;&gt;"",$J139&lt;MAX($H139:$I139)),AND($K139&lt;&gt;"",$K139&lt;MAX($H139:$J139))),"Avance semanal decreciente"&amp;" · ","")&amp;IF(AND(ISNUMBER($F139),$F139&lt;FechaRef,N($L139)&lt;1),"Vencida"&amp;" · ","")&amp;IF(AND(ObsObligatoria="Sí",ISNUMBER($F139),$F139&lt;FechaRef,N($L139)&lt;1,$N139=""),"Vencida sin observación"&amp;" · ",""),LEN(IF(AND($S139="Macro",$B139=""),"Macroactividad vacía"&amp;" · ","")&amp;IF(AND($B139&lt;&gt;"",$C139&lt;&gt;""),"Escriba la subactividad en otra fila, debajo de su macroactividad"&amp;" · ","")&amp;IF(AND($S139="Sub",N($R139)=0),"Subactividad sin macroactividad arriba"&amp;" · ","")&amp;IF($D139="","Sin responsable"&amp;" · ","")&amp;IF($E139="","Sin fecha de inicio"&amp;" · ","")&amp;IF($F139="","Sin fecha límite"&amp;" · ","")&amp;IF(OR(AND($E139&lt;&gt;"",NOT(ISNUMBER($E139))),AND($F139&lt;&gt;"",NOT(ISNUMBER($F139)))),"Fecha no válida"&amp;" · ","")&amp;IF(AND(ISNUMBER($E139),ISNUMBER($F139),$E139&gt;$F139),"Inicio posterior a fecha límite"&amp;" · ","")&amp;IF(AND($S139="Macro",$G139=""),"Peso vacío"&amp;" · ","")&amp;IF(AND($S139="Macro",$G139&lt;&gt;"",OR(NOT(ISNUMBER($G139)),$G139&lt;=0,$G139&gt;1)),"Peso fuera de rango"&amp;" · ","")&amp;IF(AND($S139="Sub",$G139&lt;&gt;""),"Las subactividades no llevan peso"&amp;" · ","")&amp;IF(AND($S139="Macro",ABS(SUMIFS($G$5:$G$1000,$P$5:$P$1000,$P139,$S$5:$S$1000,"Macro")-1)&gt;0.0001),"Pesos del mes suman "&amp;TEXT(SUMIFS($G$5:$G$1000,$P$5:$P$1000,$P139,$S$5:$S$1000,"Macro"),"0%")&amp;" · ","")&amp;IF(AND(N($T139)&gt;0,COUNT($H139:$K139)&gt;0),"Con subactividades: deje vacías las semanas (se calculan solas)"&amp;" · ","")&amp;IF((COUNTIF($H139:$K139,"&gt;1")+COUNTIF($H139:$K139,"&lt;0")+COUNTA($H139:$K139)-COUNT($H139:$K139))&gt;0,"Avance fuera de rango 0-100%"&amp;" · ","")&amp;IF(OR(AND($I139&lt;&gt;"",$I139&lt;$H139),AND($J139&lt;&gt;"",$J139&lt;MAX($H139:$I139)),AND($K139&lt;&gt;"",$K139&lt;MAX($H139:$J139))),"Avance semanal decreciente"&amp;" · ","")&amp;IF(AND(ISNUMBER($F139),$F139&lt;FechaRef,N($L139)&lt;1),"Vencida"&amp;" · ","")&amp;IF(AND(ObsObligatoria="Sí",ISNUMBER($F139),$F139&lt;FechaRef,N($L139)&lt;1,$N139=""),"Vencida sin observación"&amp;" · ",""))-3)))</f>
        <v/>
      </c>
      <c r="P139" s="69">
        <f>IF(NOT((COUNTA($B139:$K139)+COUNTA($N139))&gt;0),"",IF(AND($S139="Sub",N($R139)&gt;0),IF(ISNUMBER(INDEX($E$5:$E$1000,$R139-4)),DATE(YEAR(INDEX($E$5:$E$1000,$R139-4)),MONTH(INDEX($E$5:$E$1000,$R139-4)),1),IF(ISNUMBER(INDEX($F$5:$F$1000,$R139-4)),DATE(YEAR(INDEX($F$5:$F$1000,$R139-4)),MONTH(INDEX($F$5:$F$1000,$R139-4)),1),MesCiclo)),IF(ISNUMBER($E139),DATE(YEAR($E139),MONTH($E139),1),IF(ISNUMBER($F139),DATE(YEAR($F139),MONTH($F139),1),MesCiclo))))</f>
        <v/>
      </c>
      <c r="Q139" s="70">
        <f>IF(OR($P139="",$P139&lt;&gt;MesCiclo),"",COUNTIF($P$5:$P139,MesCiclo))</f>
        <v/>
      </c>
      <c r="R139" s="70">
        <f>IF($S139="","",IF($S139="Macro",ROW(),IFERROR(LOOKUP(2,1/($S$5:$S139="Macro"),ROW($S$5:$S139)),0)))</f>
        <v/>
      </c>
      <c r="S139" s="70">
        <f>IF(NOT((COUNTA($B139:$K139)+COUNTA($N139))&gt;0),"",IF($B139&lt;&gt;"","Macro",IF($C139&lt;&gt;"","Sub","Macro")))</f>
        <v/>
      </c>
      <c r="T139" s="70">
        <f>IF($S139="Macro",COUNTIFS($R$5:$R$1000,ROW(),$S$5:$S$1000,"Sub"),"")</f>
        <v/>
      </c>
      <c r="U139" s="70">
        <f>IF($S139="","",IF(ISNUMBER($H139),$H139,0))</f>
        <v/>
      </c>
      <c r="V139" s="70">
        <f>IF($S139="","",IF(ISNUMBER($I139),$I139,$U139))</f>
        <v/>
      </c>
      <c r="W139" s="70">
        <f>IF($S139="","",IF(ISNUMBER($J139),$J139,$V139))</f>
        <v/>
      </c>
      <c r="X139" s="70">
        <f>IF($S139="","",IF(ISNUMBER($K139),$K139,$W139))</f>
        <v/>
      </c>
      <c r="Y139" s="70">
        <f>IF($S139="","",IF(N($T139)&gt;0,AVERAGEIFS($U$5:$U$1000,$R$5:$R$1000,ROW(),$S$5:$S$1000,"Sub"),$U139))</f>
        <v/>
      </c>
      <c r="Z139" s="70">
        <f>IF($S139="","",IF(N($T139)&gt;0,AVERAGEIFS($V$5:$V$1000,$R$5:$R$1000,ROW(),$S$5:$S$1000,"Sub"),$V139))</f>
        <v/>
      </c>
      <c r="AA139" s="70">
        <f>IF($S139="","",IF(N($T139)&gt;0,AVERAGEIFS($W$5:$W$1000,$R$5:$R$1000,ROW(),$S$5:$S$1000,"Sub"),$W139))</f>
        <v/>
      </c>
      <c r="AB139" s="70">
        <f>IF($S139="","",IF(N($T139)&gt;0,AVERAGEIFS($X$5:$X$1000,$R$5:$R$1000,ROW(),$S$5:$S$1000,"Sub"),$X139))</f>
        <v/>
      </c>
    </row>
    <row r="140">
      <c r="A140" s="61">
        <f>IF(NOT((COUNTA($B140:$K140)+COUNTA($N140))&gt;0),"",IF($S140="Macro",COUNTIFS($S$5:$S140,"Macro",$P$5:$P140,$P140),IF(N($R140)=0,"?",COUNTIFS(INDEX($S$5:$S$1000,1):INDEX($S$5:$S$1000,$R140-4),"Macro",INDEX($P$5:$P$1000,1):INDEX($P$5:$P$1000,$R140-4),INDEX($P$5:$P$1000,$R140-4))&amp;"."&amp;COUNTIFS($R$5:$R140,$R140,$S$5:$S140,"Sub"))))</f>
        <v/>
      </c>
      <c r="B140" s="62" t="n"/>
      <c r="C140" s="63" t="n"/>
      <c r="D140" s="62" t="n"/>
      <c r="E140" s="64" t="n"/>
      <c r="F140" s="64" t="n"/>
      <c r="G140" s="65" t="n"/>
      <c r="H140" s="66" t="n"/>
      <c r="I140" s="66" t="n"/>
      <c r="J140" s="66" t="n"/>
      <c r="K140" s="66" t="n"/>
      <c r="L140" s="67">
        <f>IF(NOT((COUNTA($B140:$K140)+COUNTA($N140))&gt;0),"",IF(N($T140)&gt;0,$AB140,IFERROR(LOOKUP(2,1/(H140:K140&lt;&gt;""),H140:K140),0)))</f>
        <v/>
      </c>
      <c r="M140" s="61">
        <f>IF(L140="","",IF(L140&gt;=1,"Completado",IF(L140&gt;0,"En curso","Pendiente")))</f>
        <v/>
      </c>
      <c r="N140" s="62" t="n"/>
      <c r="O140" s="68">
        <f>IF(NOT((COUNTA($B140:$K140)+COUNTA($N140))&gt;0),"",IF((IF(AND($S140="Macro",$B140=""),"Macroactividad vacía"&amp;" · ","")&amp;IF(AND($B140&lt;&gt;"",$C140&lt;&gt;""),"Escriba la subactividad en otra fila, debajo de su macroactividad"&amp;" · ","")&amp;IF(AND($S140="Sub",N($R140)=0),"Subactividad sin macroactividad arriba"&amp;" · ","")&amp;IF($D140="","Sin responsable"&amp;" · ","")&amp;IF($E140="","Sin fecha de inicio"&amp;" · ","")&amp;IF($F140="","Sin fecha límite"&amp;" · ","")&amp;IF(OR(AND($E140&lt;&gt;"",NOT(ISNUMBER($E140))),AND($F140&lt;&gt;"",NOT(ISNUMBER($F140)))),"Fecha no válida"&amp;" · ","")&amp;IF(AND(ISNUMBER($E140),ISNUMBER($F140),$E140&gt;$F140),"Inicio posterior a fecha límite"&amp;" · ","")&amp;IF(AND($S140="Macro",$G140=""),"Peso vacío"&amp;" · ","")&amp;IF(AND($S140="Macro",$G140&lt;&gt;"",OR(NOT(ISNUMBER($G140)),$G140&lt;=0,$G140&gt;1)),"Peso fuera de rango"&amp;" · ","")&amp;IF(AND($S140="Sub",$G140&lt;&gt;""),"Las subactividades no llevan peso"&amp;" · ","")&amp;IF(AND($S140="Macro",ABS(SUMIFS($G$5:$G$1000,$P$5:$P$1000,$P140,$S$5:$S$1000,"Macro")-1)&gt;0.0001),"Pesos del mes suman "&amp;TEXT(SUMIFS($G$5:$G$1000,$P$5:$P$1000,$P140,$S$5:$S$1000,"Macro"),"0%")&amp;" · ","")&amp;IF(AND(N($T140)&gt;0,COUNT($H140:$K140)&gt;0),"Con subactividades: deje vacías las semanas (se calculan solas)"&amp;" · ","")&amp;IF((COUNTIF($H140:$K140,"&gt;1")+COUNTIF($H140:$K140,"&lt;0")+COUNTA($H140:$K140)-COUNT($H140:$K140))&gt;0,"Avance fuera de rango 0-100%"&amp;" · ","")&amp;IF(OR(AND($I140&lt;&gt;"",$I140&lt;$H140),AND($J140&lt;&gt;"",$J140&lt;MAX($H140:$I140)),AND($K140&lt;&gt;"",$K140&lt;MAX($H140:$J140))),"Avance semanal decreciente"&amp;" · ","")&amp;IF(AND(ISNUMBER($F140),$F140&lt;FechaRef,N($L140)&lt;1),"Vencida"&amp;" · ","")&amp;IF(AND(ObsObligatoria="Sí",ISNUMBER($F140),$F140&lt;FechaRef,N($L140)&lt;1,$N140=""),"Vencida sin observación"&amp;" · ",""))="","✔ OK","⚠ "&amp;LEFT(IF(AND($S140="Macro",$B140=""),"Macroactividad vacía"&amp;" · ","")&amp;IF(AND($B140&lt;&gt;"",$C140&lt;&gt;""),"Escriba la subactividad en otra fila, debajo de su macroactividad"&amp;" · ","")&amp;IF(AND($S140="Sub",N($R140)=0),"Subactividad sin macroactividad arriba"&amp;" · ","")&amp;IF($D140="","Sin responsable"&amp;" · ","")&amp;IF($E140="","Sin fecha de inicio"&amp;" · ","")&amp;IF($F140="","Sin fecha límite"&amp;" · ","")&amp;IF(OR(AND($E140&lt;&gt;"",NOT(ISNUMBER($E140))),AND($F140&lt;&gt;"",NOT(ISNUMBER($F140)))),"Fecha no válida"&amp;" · ","")&amp;IF(AND(ISNUMBER($E140),ISNUMBER($F140),$E140&gt;$F140),"Inicio posterior a fecha límite"&amp;" · ","")&amp;IF(AND($S140="Macro",$G140=""),"Peso vacío"&amp;" · ","")&amp;IF(AND($S140="Macro",$G140&lt;&gt;"",OR(NOT(ISNUMBER($G140)),$G140&lt;=0,$G140&gt;1)),"Peso fuera de rango"&amp;" · ","")&amp;IF(AND($S140="Sub",$G140&lt;&gt;""),"Las subactividades no llevan peso"&amp;" · ","")&amp;IF(AND($S140="Macro",ABS(SUMIFS($G$5:$G$1000,$P$5:$P$1000,$P140,$S$5:$S$1000,"Macro")-1)&gt;0.0001),"Pesos del mes suman "&amp;TEXT(SUMIFS($G$5:$G$1000,$P$5:$P$1000,$P140,$S$5:$S$1000,"Macro"),"0%")&amp;" · ","")&amp;IF(AND(N($T140)&gt;0,COUNT($H140:$K140)&gt;0),"Con subactividades: deje vacías las semanas (se calculan solas)"&amp;" · ","")&amp;IF((COUNTIF($H140:$K140,"&gt;1")+COUNTIF($H140:$K140,"&lt;0")+COUNTA($H140:$K140)-COUNT($H140:$K140))&gt;0,"Avance fuera de rango 0-100%"&amp;" · ","")&amp;IF(OR(AND($I140&lt;&gt;"",$I140&lt;$H140),AND($J140&lt;&gt;"",$J140&lt;MAX($H140:$I140)),AND($K140&lt;&gt;"",$K140&lt;MAX($H140:$J140))),"Avance semanal decreciente"&amp;" · ","")&amp;IF(AND(ISNUMBER($F140),$F140&lt;FechaRef,N($L140)&lt;1),"Vencida"&amp;" · ","")&amp;IF(AND(ObsObligatoria="Sí",ISNUMBER($F140),$F140&lt;FechaRef,N($L140)&lt;1,$N140=""),"Vencida sin observación"&amp;" · ",""),LEN(IF(AND($S140="Macro",$B140=""),"Macroactividad vacía"&amp;" · ","")&amp;IF(AND($B140&lt;&gt;"",$C140&lt;&gt;""),"Escriba la subactividad en otra fila, debajo de su macroactividad"&amp;" · ","")&amp;IF(AND($S140="Sub",N($R140)=0),"Subactividad sin macroactividad arriba"&amp;" · ","")&amp;IF($D140="","Sin responsable"&amp;" · ","")&amp;IF($E140="","Sin fecha de inicio"&amp;" · ","")&amp;IF($F140="","Sin fecha límite"&amp;" · ","")&amp;IF(OR(AND($E140&lt;&gt;"",NOT(ISNUMBER($E140))),AND($F140&lt;&gt;"",NOT(ISNUMBER($F140)))),"Fecha no válida"&amp;" · ","")&amp;IF(AND(ISNUMBER($E140),ISNUMBER($F140),$E140&gt;$F140),"Inicio posterior a fecha límite"&amp;" · ","")&amp;IF(AND($S140="Macro",$G140=""),"Peso vacío"&amp;" · ","")&amp;IF(AND($S140="Macro",$G140&lt;&gt;"",OR(NOT(ISNUMBER($G140)),$G140&lt;=0,$G140&gt;1)),"Peso fuera de rango"&amp;" · ","")&amp;IF(AND($S140="Sub",$G140&lt;&gt;""),"Las subactividades no llevan peso"&amp;" · ","")&amp;IF(AND($S140="Macro",ABS(SUMIFS($G$5:$G$1000,$P$5:$P$1000,$P140,$S$5:$S$1000,"Macro")-1)&gt;0.0001),"Pesos del mes suman "&amp;TEXT(SUMIFS($G$5:$G$1000,$P$5:$P$1000,$P140,$S$5:$S$1000,"Macro"),"0%")&amp;" · ","")&amp;IF(AND(N($T140)&gt;0,COUNT($H140:$K140)&gt;0),"Con subactividades: deje vacías las semanas (se calculan solas)"&amp;" · ","")&amp;IF((COUNTIF($H140:$K140,"&gt;1")+COUNTIF($H140:$K140,"&lt;0")+COUNTA($H140:$K140)-COUNT($H140:$K140))&gt;0,"Avance fuera de rango 0-100%"&amp;" · ","")&amp;IF(OR(AND($I140&lt;&gt;"",$I140&lt;$H140),AND($J140&lt;&gt;"",$J140&lt;MAX($H140:$I140)),AND($K140&lt;&gt;"",$K140&lt;MAX($H140:$J140))),"Avance semanal decreciente"&amp;" · ","")&amp;IF(AND(ISNUMBER($F140),$F140&lt;FechaRef,N($L140)&lt;1),"Vencida"&amp;" · ","")&amp;IF(AND(ObsObligatoria="Sí",ISNUMBER($F140),$F140&lt;FechaRef,N($L140)&lt;1,$N140=""),"Vencida sin observación"&amp;" · ",""))-3)))</f>
        <v/>
      </c>
      <c r="P140" s="69">
        <f>IF(NOT((COUNTA($B140:$K140)+COUNTA($N140))&gt;0),"",IF(AND($S140="Sub",N($R140)&gt;0),IF(ISNUMBER(INDEX($E$5:$E$1000,$R140-4)),DATE(YEAR(INDEX($E$5:$E$1000,$R140-4)),MONTH(INDEX($E$5:$E$1000,$R140-4)),1),IF(ISNUMBER(INDEX($F$5:$F$1000,$R140-4)),DATE(YEAR(INDEX($F$5:$F$1000,$R140-4)),MONTH(INDEX($F$5:$F$1000,$R140-4)),1),MesCiclo)),IF(ISNUMBER($E140),DATE(YEAR($E140),MONTH($E140),1),IF(ISNUMBER($F140),DATE(YEAR($F140),MONTH($F140),1),MesCiclo))))</f>
        <v/>
      </c>
      <c r="Q140" s="70">
        <f>IF(OR($P140="",$P140&lt;&gt;MesCiclo),"",COUNTIF($P$5:$P140,MesCiclo))</f>
        <v/>
      </c>
      <c r="R140" s="70">
        <f>IF($S140="","",IF($S140="Macro",ROW(),IFERROR(LOOKUP(2,1/($S$5:$S140="Macro"),ROW($S$5:$S140)),0)))</f>
        <v/>
      </c>
      <c r="S140" s="70">
        <f>IF(NOT((COUNTA($B140:$K140)+COUNTA($N140))&gt;0),"",IF($B140&lt;&gt;"","Macro",IF($C140&lt;&gt;"","Sub","Macro")))</f>
        <v/>
      </c>
      <c r="T140" s="70">
        <f>IF($S140="Macro",COUNTIFS($R$5:$R$1000,ROW(),$S$5:$S$1000,"Sub"),"")</f>
        <v/>
      </c>
      <c r="U140" s="70">
        <f>IF($S140="","",IF(ISNUMBER($H140),$H140,0))</f>
        <v/>
      </c>
      <c r="V140" s="70">
        <f>IF($S140="","",IF(ISNUMBER($I140),$I140,$U140))</f>
        <v/>
      </c>
      <c r="W140" s="70">
        <f>IF($S140="","",IF(ISNUMBER($J140),$J140,$V140))</f>
        <v/>
      </c>
      <c r="X140" s="70">
        <f>IF($S140="","",IF(ISNUMBER($K140),$K140,$W140))</f>
        <v/>
      </c>
      <c r="Y140" s="70">
        <f>IF($S140="","",IF(N($T140)&gt;0,AVERAGEIFS($U$5:$U$1000,$R$5:$R$1000,ROW(),$S$5:$S$1000,"Sub"),$U140))</f>
        <v/>
      </c>
      <c r="Z140" s="70">
        <f>IF($S140="","",IF(N($T140)&gt;0,AVERAGEIFS($V$5:$V$1000,$R$5:$R$1000,ROW(),$S$5:$S$1000,"Sub"),$V140))</f>
        <v/>
      </c>
      <c r="AA140" s="70">
        <f>IF($S140="","",IF(N($T140)&gt;0,AVERAGEIFS($W$5:$W$1000,$R$5:$R$1000,ROW(),$S$5:$S$1000,"Sub"),$W140))</f>
        <v/>
      </c>
      <c r="AB140" s="70">
        <f>IF($S140="","",IF(N($T140)&gt;0,AVERAGEIFS($X$5:$X$1000,$R$5:$R$1000,ROW(),$S$5:$S$1000,"Sub"),$X140))</f>
        <v/>
      </c>
    </row>
    <row r="141">
      <c r="A141" s="61">
        <f>IF(NOT((COUNTA($B141:$K141)+COUNTA($N141))&gt;0),"",IF($S141="Macro",COUNTIFS($S$5:$S141,"Macro",$P$5:$P141,$P141),IF(N($R141)=0,"?",COUNTIFS(INDEX($S$5:$S$1000,1):INDEX($S$5:$S$1000,$R141-4),"Macro",INDEX($P$5:$P$1000,1):INDEX($P$5:$P$1000,$R141-4),INDEX($P$5:$P$1000,$R141-4))&amp;"."&amp;COUNTIFS($R$5:$R141,$R141,$S$5:$S141,"Sub"))))</f>
        <v/>
      </c>
      <c r="B141" s="62" t="n"/>
      <c r="C141" s="63" t="n"/>
      <c r="D141" s="62" t="n"/>
      <c r="E141" s="64" t="n"/>
      <c r="F141" s="64" t="n"/>
      <c r="G141" s="65" t="n"/>
      <c r="H141" s="66" t="n"/>
      <c r="I141" s="66" t="n"/>
      <c r="J141" s="66" t="n"/>
      <c r="K141" s="66" t="n"/>
      <c r="L141" s="67">
        <f>IF(NOT((COUNTA($B141:$K141)+COUNTA($N141))&gt;0),"",IF(N($T141)&gt;0,$AB141,IFERROR(LOOKUP(2,1/(H141:K141&lt;&gt;""),H141:K141),0)))</f>
        <v/>
      </c>
      <c r="M141" s="61">
        <f>IF(L141="","",IF(L141&gt;=1,"Completado",IF(L141&gt;0,"En curso","Pendiente")))</f>
        <v/>
      </c>
      <c r="N141" s="62" t="n"/>
      <c r="O141" s="68">
        <f>IF(NOT((COUNTA($B141:$K141)+COUNTA($N141))&gt;0),"",IF((IF(AND($S141="Macro",$B141=""),"Macroactividad vacía"&amp;" · ","")&amp;IF(AND($B141&lt;&gt;"",$C141&lt;&gt;""),"Escriba la subactividad en otra fila, debajo de su macroactividad"&amp;" · ","")&amp;IF(AND($S141="Sub",N($R141)=0),"Subactividad sin macroactividad arriba"&amp;" · ","")&amp;IF($D141="","Sin responsable"&amp;" · ","")&amp;IF($E141="","Sin fecha de inicio"&amp;" · ","")&amp;IF($F141="","Sin fecha límite"&amp;" · ","")&amp;IF(OR(AND($E141&lt;&gt;"",NOT(ISNUMBER($E141))),AND($F141&lt;&gt;"",NOT(ISNUMBER($F141)))),"Fecha no válida"&amp;" · ","")&amp;IF(AND(ISNUMBER($E141),ISNUMBER($F141),$E141&gt;$F141),"Inicio posterior a fecha límite"&amp;" · ","")&amp;IF(AND($S141="Macro",$G141=""),"Peso vacío"&amp;" · ","")&amp;IF(AND($S141="Macro",$G141&lt;&gt;"",OR(NOT(ISNUMBER($G141)),$G141&lt;=0,$G141&gt;1)),"Peso fuera de rango"&amp;" · ","")&amp;IF(AND($S141="Sub",$G141&lt;&gt;""),"Las subactividades no llevan peso"&amp;" · ","")&amp;IF(AND($S141="Macro",ABS(SUMIFS($G$5:$G$1000,$P$5:$P$1000,$P141,$S$5:$S$1000,"Macro")-1)&gt;0.0001),"Pesos del mes suman "&amp;TEXT(SUMIFS($G$5:$G$1000,$P$5:$P$1000,$P141,$S$5:$S$1000,"Macro"),"0%")&amp;" · ","")&amp;IF(AND(N($T141)&gt;0,COUNT($H141:$K141)&gt;0),"Con subactividades: deje vacías las semanas (se calculan solas)"&amp;" · ","")&amp;IF((COUNTIF($H141:$K141,"&gt;1")+COUNTIF($H141:$K141,"&lt;0")+COUNTA($H141:$K141)-COUNT($H141:$K141))&gt;0,"Avance fuera de rango 0-100%"&amp;" · ","")&amp;IF(OR(AND($I141&lt;&gt;"",$I141&lt;$H141),AND($J141&lt;&gt;"",$J141&lt;MAX($H141:$I141)),AND($K141&lt;&gt;"",$K141&lt;MAX($H141:$J141))),"Avance semanal decreciente"&amp;" · ","")&amp;IF(AND(ISNUMBER($F141),$F141&lt;FechaRef,N($L141)&lt;1),"Vencida"&amp;" · ","")&amp;IF(AND(ObsObligatoria="Sí",ISNUMBER($F141),$F141&lt;FechaRef,N($L141)&lt;1,$N141=""),"Vencida sin observación"&amp;" · ",""))="","✔ OK","⚠ "&amp;LEFT(IF(AND($S141="Macro",$B141=""),"Macroactividad vacía"&amp;" · ","")&amp;IF(AND($B141&lt;&gt;"",$C141&lt;&gt;""),"Escriba la subactividad en otra fila, debajo de su macroactividad"&amp;" · ","")&amp;IF(AND($S141="Sub",N($R141)=0),"Subactividad sin macroactividad arriba"&amp;" · ","")&amp;IF($D141="","Sin responsable"&amp;" · ","")&amp;IF($E141="","Sin fecha de inicio"&amp;" · ","")&amp;IF($F141="","Sin fecha límite"&amp;" · ","")&amp;IF(OR(AND($E141&lt;&gt;"",NOT(ISNUMBER($E141))),AND($F141&lt;&gt;"",NOT(ISNUMBER($F141)))),"Fecha no válida"&amp;" · ","")&amp;IF(AND(ISNUMBER($E141),ISNUMBER($F141),$E141&gt;$F141),"Inicio posterior a fecha límite"&amp;" · ","")&amp;IF(AND($S141="Macro",$G141=""),"Peso vacío"&amp;" · ","")&amp;IF(AND($S141="Macro",$G141&lt;&gt;"",OR(NOT(ISNUMBER($G141)),$G141&lt;=0,$G141&gt;1)),"Peso fuera de rango"&amp;" · ","")&amp;IF(AND($S141="Sub",$G141&lt;&gt;""),"Las subactividades no llevan peso"&amp;" · ","")&amp;IF(AND($S141="Macro",ABS(SUMIFS($G$5:$G$1000,$P$5:$P$1000,$P141,$S$5:$S$1000,"Macro")-1)&gt;0.0001),"Pesos del mes suman "&amp;TEXT(SUMIFS($G$5:$G$1000,$P$5:$P$1000,$P141,$S$5:$S$1000,"Macro"),"0%")&amp;" · ","")&amp;IF(AND(N($T141)&gt;0,COUNT($H141:$K141)&gt;0),"Con subactividades: deje vacías las semanas (se calculan solas)"&amp;" · ","")&amp;IF((COUNTIF($H141:$K141,"&gt;1")+COUNTIF($H141:$K141,"&lt;0")+COUNTA($H141:$K141)-COUNT($H141:$K141))&gt;0,"Avance fuera de rango 0-100%"&amp;" · ","")&amp;IF(OR(AND($I141&lt;&gt;"",$I141&lt;$H141),AND($J141&lt;&gt;"",$J141&lt;MAX($H141:$I141)),AND($K141&lt;&gt;"",$K141&lt;MAX($H141:$J141))),"Avance semanal decreciente"&amp;" · ","")&amp;IF(AND(ISNUMBER($F141),$F141&lt;FechaRef,N($L141)&lt;1),"Vencida"&amp;" · ","")&amp;IF(AND(ObsObligatoria="Sí",ISNUMBER($F141),$F141&lt;FechaRef,N($L141)&lt;1,$N141=""),"Vencida sin observación"&amp;" · ",""),LEN(IF(AND($S141="Macro",$B141=""),"Macroactividad vacía"&amp;" · ","")&amp;IF(AND($B141&lt;&gt;"",$C141&lt;&gt;""),"Escriba la subactividad en otra fila, debajo de su macroactividad"&amp;" · ","")&amp;IF(AND($S141="Sub",N($R141)=0),"Subactividad sin macroactividad arriba"&amp;" · ","")&amp;IF($D141="","Sin responsable"&amp;" · ","")&amp;IF($E141="","Sin fecha de inicio"&amp;" · ","")&amp;IF($F141="","Sin fecha límite"&amp;" · ","")&amp;IF(OR(AND($E141&lt;&gt;"",NOT(ISNUMBER($E141))),AND($F141&lt;&gt;"",NOT(ISNUMBER($F141)))),"Fecha no válida"&amp;" · ","")&amp;IF(AND(ISNUMBER($E141),ISNUMBER($F141),$E141&gt;$F141),"Inicio posterior a fecha límite"&amp;" · ","")&amp;IF(AND($S141="Macro",$G141=""),"Peso vacío"&amp;" · ","")&amp;IF(AND($S141="Macro",$G141&lt;&gt;"",OR(NOT(ISNUMBER($G141)),$G141&lt;=0,$G141&gt;1)),"Peso fuera de rango"&amp;" · ","")&amp;IF(AND($S141="Sub",$G141&lt;&gt;""),"Las subactividades no llevan peso"&amp;" · ","")&amp;IF(AND($S141="Macro",ABS(SUMIFS($G$5:$G$1000,$P$5:$P$1000,$P141,$S$5:$S$1000,"Macro")-1)&gt;0.0001),"Pesos del mes suman "&amp;TEXT(SUMIFS($G$5:$G$1000,$P$5:$P$1000,$P141,$S$5:$S$1000,"Macro"),"0%")&amp;" · ","")&amp;IF(AND(N($T141)&gt;0,COUNT($H141:$K141)&gt;0),"Con subactividades: deje vacías las semanas (se calculan solas)"&amp;" · ","")&amp;IF((COUNTIF($H141:$K141,"&gt;1")+COUNTIF($H141:$K141,"&lt;0")+COUNTA($H141:$K141)-COUNT($H141:$K141))&gt;0,"Avance fuera de rango 0-100%"&amp;" · ","")&amp;IF(OR(AND($I141&lt;&gt;"",$I141&lt;$H141),AND($J141&lt;&gt;"",$J141&lt;MAX($H141:$I141)),AND($K141&lt;&gt;"",$K141&lt;MAX($H141:$J141))),"Avance semanal decreciente"&amp;" · ","")&amp;IF(AND(ISNUMBER($F141),$F141&lt;FechaRef,N($L141)&lt;1),"Vencida"&amp;" · ","")&amp;IF(AND(ObsObligatoria="Sí",ISNUMBER($F141),$F141&lt;FechaRef,N($L141)&lt;1,$N141=""),"Vencida sin observación"&amp;" · ",""))-3)))</f>
        <v/>
      </c>
      <c r="P141" s="69">
        <f>IF(NOT((COUNTA($B141:$K141)+COUNTA($N141))&gt;0),"",IF(AND($S141="Sub",N($R141)&gt;0),IF(ISNUMBER(INDEX($E$5:$E$1000,$R141-4)),DATE(YEAR(INDEX($E$5:$E$1000,$R141-4)),MONTH(INDEX($E$5:$E$1000,$R141-4)),1),IF(ISNUMBER(INDEX($F$5:$F$1000,$R141-4)),DATE(YEAR(INDEX($F$5:$F$1000,$R141-4)),MONTH(INDEX($F$5:$F$1000,$R141-4)),1),MesCiclo)),IF(ISNUMBER($E141),DATE(YEAR($E141),MONTH($E141),1),IF(ISNUMBER($F141),DATE(YEAR($F141),MONTH($F141),1),MesCiclo))))</f>
        <v/>
      </c>
      <c r="Q141" s="70">
        <f>IF(OR($P141="",$P141&lt;&gt;MesCiclo),"",COUNTIF($P$5:$P141,MesCiclo))</f>
        <v/>
      </c>
      <c r="R141" s="70">
        <f>IF($S141="","",IF($S141="Macro",ROW(),IFERROR(LOOKUP(2,1/($S$5:$S141="Macro"),ROW($S$5:$S141)),0)))</f>
        <v/>
      </c>
      <c r="S141" s="70">
        <f>IF(NOT((COUNTA($B141:$K141)+COUNTA($N141))&gt;0),"",IF($B141&lt;&gt;"","Macro",IF($C141&lt;&gt;"","Sub","Macro")))</f>
        <v/>
      </c>
      <c r="T141" s="70">
        <f>IF($S141="Macro",COUNTIFS($R$5:$R$1000,ROW(),$S$5:$S$1000,"Sub"),"")</f>
        <v/>
      </c>
      <c r="U141" s="70">
        <f>IF($S141="","",IF(ISNUMBER($H141),$H141,0))</f>
        <v/>
      </c>
      <c r="V141" s="70">
        <f>IF($S141="","",IF(ISNUMBER($I141),$I141,$U141))</f>
        <v/>
      </c>
      <c r="W141" s="70">
        <f>IF($S141="","",IF(ISNUMBER($J141),$J141,$V141))</f>
        <v/>
      </c>
      <c r="X141" s="70">
        <f>IF($S141="","",IF(ISNUMBER($K141),$K141,$W141))</f>
        <v/>
      </c>
      <c r="Y141" s="70">
        <f>IF($S141="","",IF(N($T141)&gt;0,AVERAGEIFS($U$5:$U$1000,$R$5:$R$1000,ROW(),$S$5:$S$1000,"Sub"),$U141))</f>
        <v/>
      </c>
      <c r="Z141" s="70">
        <f>IF($S141="","",IF(N($T141)&gt;0,AVERAGEIFS($V$5:$V$1000,$R$5:$R$1000,ROW(),$S$5:$S$1000,"Sub"),$V141))</f>
        <v/>
      </c>
      <c r="AA141" s="70">
        <f>IF($S141="","",IF(N($T141)&gt;0,AVERAGEIFS($W$5:$W$1000,$R$5:$R$1000,ROW(),$S$5:$S$1000,"Sub"),$W141))</f>
        <v/>
      </c>
      <c r="AB141" s="70">
        <f>IF($S141="","",IF(N($T141)&gt;0,AVERAGEIFS($X$5:$X$1000,$R$5:$R$1000,ROW(),$S$5:$S$1000,"Sub"),$X141))</f>
        <v/>
      </c>
    </row>
    <row r="142">
      <c r="A142" s="61">
        <f>IF(NOT((COUNTA($B142:$K142)+COUNTA($N142))&gt;0),"",IF($S142="Macro",COUNTIFS($S$5:$S142,"Macro",$P$5:$P142,$P142),IF(N($R142)=0,"?",COUNTIFS(INDEX($S$5:$S$1000,1):INDEX($S$5:$S$1000,$R142-4),"Macro",INDEX($P$5:$P$1000,1):INDEX($P$5:$P$1000,$R142-4),INDEX($P$5:$P$1000,$R142-4))&amp;"."&amp;COUNTIFS($R$5:$R142,$R142,$S$5:$S142,"Sub"))))</f>
        <v/>
      </c>
      <c r="B142" s="62" t="n"/>
      <c r="C142" s="63" t="n"/>
      <c r="D142" s="62" t="n"/>
      <c r="E142" s="64" t="n"/>
      <c r="F142" s="64" t="n"/>
      <c r="G142" s="65" t="n"/>
      <c r="H142" s="66" t="n"/>
      <c r="I142" s="66" t="n"/>
      <c r="J142" s="66" t="n"/>
      <c r="K142" s="66" t="n"/>
      <c r="L142" s="67">
        <f>IF(NOT((COUNTA($B142:$K142)+COUNTA($N142))&gt;0),"",IF(N($T142)&gt;0,$AB142,IFERROR(LOOKUP(2,1/(H142:K142&lt;&gt;""),H142:K142),0)))</f>
        <v/>
      </c>
      <c r="M142" s="61">
        <f>IF(L142="","",IF(L142&gt;=1,"Completado",IF(L142&gt;0,"En curso","Pendiente")))</f>
        <v/>
      </c>
      <c r="N142" s="62" t="n"/>
      <c r="O142" s="68">
        <f>IF(NOT((COUNTA($B142:$K142)+COUNTA($N142))&gt;0),"",IF((IF(AND($S142="Macro",$B142=""),"Macroactividad vacía"&amp;" · ","")&amp;IF(AND($B142&lt;&gt;"",$C142&lt;&gt;""),"Escriba la subactividad en otra fila, debajo de su macroactividad"&amp;" · ","")&amp;IF(AND($S142="Sub",N($R142)=0),"Subactividad sin macroactividad arriba"&amp;" · ","")&amp;IF($D142="","Sin responsable"&amp;" · ","")&amp;IF($E142="","Sin fecha de inicio"&amp;" · ","")&amp;IF($F142="","Sin fecha límite"&amp;" · ","")&amp;IF(OR(AND($E142&lt;&gt;"",NOT(ISNUMBER($E142))),AND($F142&lt;&gt;"",NOT(ISNUMBER($F142)))),"Fecha no válida"&amp;" · ","")&amp;IF(AND(ISNUMBER($E142),ISNUMBER($F142),$E142&gt;$F142),"Inicio posterior a fecha límite"&amp;" · ","")&amp;IF(AND($S142="Macro",$G142=""),"Peso vacío"&amp;" · ","")&amp;IF(AND($S142="Macro",$G142&lt;&gt;"",OR(NOT(ISNUMBER($G142)),$G142&lt;=0,$G142&gt;1)),"Peso fuera de rango"&amp;" · ","")&amp;IF(AND($S142="Sub",$G142&lt;&gt;""),"Las subactividades no llevan peso"&amp;" · ","")&amp;IF(AND($S142="Macro",ABS(SUMIFS($G$5:$G$1000,$P$5:$P$1000,$P142,$S$5:$S$1000,"Macro")-1)&gt;0.0001),"Pesos del mes suman "&amp;TEXT(SUMIFS($G$5:$G$1000,$P$5:$P$1000,$P142,$S$5:$S$1000,"Macro"),"0%")&amp;" · ","")&amp;IF(AND(N($T142)&gt;0,COUNT($H142:$K142)&gt;0),"Con subactividades: deje vacías las semanas (se calculan solas)"&amp;" · ","")&amp;IF((COUNTIF($H142:$K142,"&gt;1")+COUNTIF($H142:$K142,"&lt;0")+COUNTA($H142:$K142)-COUNT($H142:$K142))&gt;0,"Avance fuera de rango 0-100%"&amp;" · ","")&amp;IF(OR(AND($I142&lt;&gt;"",$I142&lt;$H142),AND($J142&lt;&gt;"",$J142&lt;MAX($H142:$I142)),AND($K142&lt;&gt;"",$K142&lt;MAX($H142:$J142))),"Avance semanal decreciente"&amp;" · ","")&amp;IF(AND(ISNUMBER($F142),$F142&lt;FechaRef,N($L142)&lt;1),"Vencida"&amp;" · ","")&amp;IF(AND(ObsObligatoria="Sí",ISNUMBER($F142),$F142&lt;FechaRef,N($L142)&lt;1,$N142=""),"Vencida sin observación"&amp;" · ",""))="","✔ OK","⚠ "&amp;LEFT(IF(AND($S142="Macro",$B142=""),"Macroactividad vacía"&amp;" · ","")&amp;IF(AND($B142&lt;&gt;"",$C142&lt;&gt;""),"Escriba la subactividad en otra fila, debajo de su macroactividad"&amp;" · ","")&amp;IF(AND($S142="Sub",N($R142)=0),"Subactividad sin macroactividad arriba"&amp;" · ","")&amp;IF($D142="","Sin responsable"&amp;" · ","")&amp;IF($E142="","Sin fecha de inicio"&amp;" · ","")&amp;IF($F142="","Sin fecha límite"&amp;" · ","")&amp;IF(OR(AND($E142&lt;&gt;"",NOT(ISNUMBER($E142))),AND($F142&lt;&gt;"",NOT(ISNUMBER($F142)))),"Fecha no válida"&amp;" · ","")&amp;IF(AND(ISNUMBER($E142),ISNUMBER($F142),$E142&gt;$F142),"Inicio posterior a fecha límite"&amp;" · ","")&amp;IF(AND($S142="Macro",$G142=""),"Peso vacío"&amp;" · ","")&amp;IF(AND($S142="Macro",$G142&lt;&gt;"",OR(NOT(ISNUMBER($G142)),$G142&lt;=0,$G142&gt;1)),"Peso fuera de rango"&amp;" · ","")&amp;IF(AND($S142="Sub",$G142&lt;&gt;""),"Las subactividades no llevan peso"&amp;" · ","")&amp;IF(AND($S142="Macro",ABS(SUMIFS($G$5:$G$1000,$P$5:$P$1000,$P142,$S$5:$S$1000,"Macro")-1)&gt;0.0001),"Pesos del mes suman "&amp;TEXT(SUMIFS($G$5:$G$1000,$P$5:$P$1000,$P142,$S$5:$S$1000,"Macro"),"0%")&amp;" · ","")&amp;IF(AND(N($T142)&gt;0,COUNT($H142:$K142)&gt;0),"Con subactividades: deje vacías las semanas (se calculan solas)"&amp;" · ","")&amp;IF((COUNTIF($H142:$K142,"&gt;1")+COUNTIF($H142:$K142,"&lt;0")+COUNTA($H142:$K142)-COUNT($H142:$K142))&gt;0,"Avance fuera de rango 0-100%"&amp;" · ","")&amp;IF(OR(AND($I142&lt;&gt;"",$I142&lt;$H142),AND($J142&lt;&gt;"",$J142&lt;MAX($H142:$I142)),AND($K142&lt;&gt;"",$K142&lt;MAX($H142:$J142))),"Avance semanal decreciente"&amp;" · ","")&amp;IF(AND(ISNUMBER($F142),$F142&lt;FechaRef,N($L142)&lt;1),"Vencida"&amp;" · ","")&amp;IF(AND(ObsObligatoria="Sí",ISNUMBER($F142),$F142&lt;FechaRef,N($L142)&lt;1,$N142=""),"Vencida sin observación"&amp;" · ",""),LEN(IF(AND($S142="Macro",$B142=""),"Macroactividad vacía"&amp;" · ","")&amp;IF(AND($B142&lt;&gt;"",$C142&lt;&gt;""),"Escriba la subactividad en otra fila, debajo de su macroactividad"&amp;" · ","")&amp;IF(AND($S142="Sub",N($R142)=0),"Subactividad sin macroactividad arriba"&amp;" · ","")&amp;IF($D142="","Sin responsable"&amp;" · ","")&amp;IF($E142="","Sin fecha de inicio"&amp;" · ","")&amp;IF($F142="","Sin fecha límite"&amp;" · ","")&amp;IF(OR(AND($E142&lt;&gt;"",NOT(ISNUMBER($E142))),AND($F142&lt;&gt;"",NOT(ISNUMBER($F142)))),"Fecha no válida"&amp;" · ","")&amp;IF(AND(ISNUMBER($E142),ISNUMBER($F142),$E142&gt;$F142),"Inicio posterior a fecha límite"&amp;" · ","")&amp;IF(AND($S142="Macro",$G142=""),"Peso vacío"&amp;" · ","")&amp;IF(AND($S142="Macro",$G142&lt;&gt;"",OR(NOT(ISNUMBER($G142)),$G142&lt;=0,$G142&gt;1)),"Peso fuera de rango"&amp;" · ","")&amp;IF(AND($S142="Sub",$G142&lt;&gt;""),"Las subactividades no llevan peso"&amp;" · ","")&amp;IF(AND($S142="Macro",ABS(SUMIFS($G$5:$G$1000,$P$5:$P$1000,$P142,$S$5:$S$1000,"Macro")-1)&gt;0.0001),"Pesos del mes suman "&amp;TEXT(SUMIFS($G$5:$G$1000,$P$5:$P$1000,$P142,$S$5:$S$1000,"Macro"),"0%")&amp;" · ","")&amp;IF(AND(N($T142)&gt;0,COUNT($H142:$K142)&gt;0),"Con subactividades: deje vacías las semanas (se calculan solas)"&amp;" · ","")&amp;IF((COUNTIF($H142:$K142,"&gt;1")+COUNTIF($H142:$K142,"&lt;0")+COUNTA($H142:$K142)-COUNT($H142:$K142))&gt;0,"Avance fuera de rango 0-100%"&amp;" · ","")&amp;IF(OR(AND($I142&lt;&gt;"",$I142&lt;$H142),AND($J142&lt;&gt;"",$J142&lt;MAX($H142:$I142)),AND($K142&lt;&gt;"",$K142&lt;MAX($H142:$J142))),"Avance semanal decreciente"&amp;" · ","")&amp;IF(AND(ISNUMBER($F142),$F142&lt;FechaRef,N($L142)&lt;1),"Vencida"&amp;" · ","")&amp;IF(AND(ObsObligatoria="Sí",ISNUMBER($F142),$F142&lt;FechaRef,N($L142)&lt;1,$N142=""),"Vencida sin observación"&amp;" · ",""))-3)))</f>
        <v/>
      </c>
      <c r="P142" s="69">
        <f>IF(NOT((COUNTA($B142:$K142)+COUNTA($N142))&gt;0),"",IF(AND($S142="Sub",N($R142)&gt;0),IF(ISNUMBER(INDEX($E$5:$E$1000,$R142-4)),DATE(YEAR(INDEX($E$5:$E$1000,$R142-4)),MONTH(INDEX($E$5:$E$1000,$R142-4)),1),IF(ISNUMBER(INDEX($F$5:$F$1000,$R142-4)),DATE(YEAR(INDEX($F$5:$F$1000,$R142-4)),MONTH(INDEX($F$5:$F$1000,$R142-4)),1),MesCiclo)),IF(ISNUMBER($E142),DATE(YEAR($E142),MONTH($E142),1),IF(ISNUMBER($F142),DATE(YEAR($F142),MONTH($F142),1),MesCiclo))))</f>
        <v/>
      </c>
      <c r="Q142" s="70">
        <f>IF(OR($P142="",$P142&lt;&gt;MesCiclo),"",COUNTIF($P$5:$P142,MesCiclo))</f>
        <v/>
      </c>
      <c r="R142" s="70">
        <f>IF($S142="","",IF($S142="Macro",ROW(),IFERROR(LOOKUP(2,1/($S$5:$S142="Macro"),ROW($S$5:$S142)),0)))</f>
        <v/>
      </c>
      <c r="S142" s="70">
        <f>IF(NOT((COUNTA($B142:$K142)+COUNTA($N142))&gt;0),"",IF($B142&lt;&gt;"","Macro",IF($C142&lt;&gt;"","Sub","Macro")))</f>
        <v/>
      </c>
      <c r="T142" s="70">
        <f>IF($S142="Macro",COUNTIFS($R$5:$R$1000,ROW(),$S$5:$S$1000,"Sub"),"")</f>
        <v/>
      </c>
      <c r="U142" s="70">
        <f>IF($S142="","",IF(ISNUMBER($H142),$H142,0))</f>
        <v/>
      </c>
      <c r="V142" s="70">
        <f>IF($S142="","",IF(ISNUMBER($I142),$I142,$U142))</f>
        <v/>
      </c>
      <c r="W142" s="70">
        <f>IF($S142="","",IF(ISNUMBER($J142),$J142,$V142))</f>
        <v/>
      </c>
      <c r="X142" s="70">
        <f>IF($S142="","",IF(ISNUMBER($K142),$K142,$W142))</f>
        <v/>
      </c>
      <c r="Y142" s="70">
        <f>IF($S142="","",IF(N($T142)&gt;0,AVERAGEIFS($U$5:$U$1000,$R$5:$R$1000,ROW(),$S$5:$S$1000,"Sub"),$U142))</f>
        <v/>
      </c>
      <c r="Z142" s="70">
        <f>IF($S142="","",IF(N($T142)&gt;0,AVERAGEIFS($V$5:$V$1000,$R$5:$R$1000,ROW(),$S$5:$S$1000,"Sub"),$V142))</f>
        <v/>
      </c>
      <c r="AA142" s="70">
        <f>IF($S142="","",IF(N($T142)&gt;0,AVERAGEIFS($W$5:$W$1000,$R$5:$R$1000,ROW(),$S$5:$S$1000,"Sub"),$W142))</f>
        <v/>
      </c>
      <c r="AB142" s="70">
        <f>IF($S142="","",IF(N($T142)&gt;0,AVERAGEIFS($X$5:$X$1000,$R$5:$R$1000,ROW(),$S$5:$S$1000,"Sub"),$X142))</f>
        <v/>
      </c>
    </row>
    <row r="143">
      <c r="A143" s="61">
        <f>IF(NOT((COUNTA($B143:$K143)+COUNTA($N143))&gt;0),"",IF($S143="Macro",COUNTIFS($S$5:$S143,"Macro",$P$5:$P143,$P143),IF(N($R143)=0,"?",COUNTIFS(INDEX($S$5:$S$1000,1):INDEX($S$5:$S$1000,$R143-4),"Macro",INDEX($P$5:$P$1000,1):INDEX($P$5:$P$1000,$R143-4),INDEX($P$5:$P$1000,$R143-4))&amp;"."&amp;COUNTIFS($R$5:$R143,$R143,$S$5:$S143,"Sub"))))</f>
        <v/>
      </c>
      <c r="B143" s="62" t="n"/>
      <c r="C143" s="63" t="n"/>
      <c r="D143" s="62" t="n"/>
      <c r="E143" s="64" t="n"/>
      <c r="F143" s="64" t="n"/>
      <c r="G143" s="65" t="n"/>
      <c r="H143" s="66" t="n"/>
      <c r="I143" s="66" t="n"/>
      <c r="J143" s="66" t="n"/>
      <c r="K143" s="66" t="n"/>
      <c r="L143" s="67">
        <f>IF(NOT((COUNTA($B143:$K143)+COUNTA($N143))&gt;0),"",IF(N($T143)&gt;0,$AB143,IFERROR(LOOKUP(2,1/(H143:K143&lt;&gt;""),H143:K143),0)))</f>
        <v/>
      </c>
      <c r="M143" s="61">
        <f>IF(L143="","",IF(L143&gt;=1,"Completado",IF(L143&gt;0,"En curso","Pendiente")))</f>
        <v/>
      </c>
      <c r="N143" s="62" t="n"/>
      <c r="O143" s="68">
        <f>IF(NOT((COUNTA($B143:$K143)+COUNTA($N143))&gt;0),"",IF((IF(AND($S143="Macro",$B143=""),"Macroactividad vacía"&amp;" · ","")&amp;IF(AND($B143&lt;&gt;"",$C143&lt;&gt;""),"Escriba la subactividad en otra fila, debajo de su macroactividad"&amp;" · ","")&amp;IF(AND($S143="Sub",N($R143)=0),"Subactividad sin macroactividad arriba"&amp;" · ","")&amp;IF($D143="","Sin responsable"&amp;" · ","")&amp;IF($E143="","Sin fecha de inicio"&amp;" · ","")&amp;IF($F143="","Sin fecha límite"&amp;" · ","")&amp;IF(OR(AND($E143&lt;&gt;"",NOT(ISNUMBER($E143))),AND($F143&lt;&gt;"",NOT(ISNUMBER($F143)))),"Fecha no válida"&amp;" · ","")&amp;IF(AND(ISNUMBER($E143),ISNUMBER($F143),$E143&gt;$F143),"Inicio posterior a fecha límite"&amp;" · ","")&amp;IF(AND($S143="Macro",$G143=""),"Peso vacío"&amp;" · ","")&amp;IF(AND($S143="Macro",$G143&lt;&gt;"",OR(NOT(ISNUMBER($G143)),$G143&lt;=0,$G143&gt;1)),"Peso fuera de rango"&amp;" · ","")&amp;IF(AND($S143="Sub",$G143&lt;&gt;""),"Las subactividades no llevan peso"&amp;" · ","")&amp;IF(AND($S143="Macro",ABS(SUMIFS($G$5:$G$1000,$P$5:$P$1000,$P143,$S$5:$S$1000,"Macro")-1)&gt;0.0001),"Pesos del mes suman "&amp;TEXT(SUMIFS($G$5:$G$1000,$P$5:$P$1000,$P143,$S$5:$S$1000,"Macro"),"0%")&amp;" · ","")&amp;IF(AND(N($T143)&gt;0,COUNT($H143:$K143)&gt;0),"Con subactividades: deje vacías las semanas (se calculan solas)"&amp;" · ","")&amp;IF((COUNTIF($H143:$K143,"&gt;1")+COUNTIF($H143:$K143,"&lt;0")+COUNTA($H143:$K143)-COUNT($H143:$K143))&gt;0,"Avance fuera de rango 0-100%"&amp;" · ","")&amp;IF(OR(AND($I143&lt;&gt;"",$I143&lt;$H143),AND($J143&lt;&gt;"",$J143&lt;MAX($H143:$I143)),AND($K143&lt;&gt;"",$K143&lt;MAX($H143:$J143))),"Avance semanal decreciente"&amp;" · ","")&amp;IF(AND(ISNUMBER($F143),$F143&lt;FechaRef,N($L143)&lt;1),"Vencida"&amp;" · ","")&amp;IF(AND(ObsObligatoria="Sí",ISNUMBER($F143),$F143&lt;FechaRef,N($L143)&lt;1,$N143=""),"Vencida sin observación"&amp;" · ",""))="","✔ OK","⚠ "&amp;LEFT(IF(AND($S143="Macro",$B143=""),"Macroactividad vacía"&amp;" · ","")&amp;IF(AND($B143&lt;&gt;"",$C143&lt;&gt;""),"Escriba la subactividad en otra fila, debajo de su macroactividad"&amp;" · ","")&amp;IF(AND($S143="Sub",N($R143)=0),"Subactividad sin macroactividad arriba"&amp;" · ","")&amp;IF($D143="","Sin responsable"&amp;" · ","")&amp;IF($E143="","Sin fecha de inicio"&amp;" · ","")&amp;IF($F143="","Sin fecha límite"&amp;" · ","")&amp;IF(OR(AND($E143&lt;&gt;"",NOT(ISNUMBER($E143))),AND($F143&lt;&gt;"",NOT(ISNUMBER($F143)))),"Fecha no válida"&amp;" · ","")&amp;IF(AND(ISNUMBER($E143),ISNUMBER($F143),$E143&gt;$F143),"Inicio posterior a fecha límite"&amp;" · ","")&amp;IF(AND($S143="Macro",$G143=""),"Peso vacío"&amp;" · ","")&amp;IF(AND($S143="Macro",$G143&lt;&gt;"",OR(NOT(ISNUMBER($G143)),$G143&lt;=0,$G143&gt;1)),"Peso fuera de rango"&amp;" · ","")&amp;IF(AND($S143="Sub",$G143&lt;&gt;""),"Las subactividades no llevan peso"&amp;" · ","")&amp;IF(AND($S143="Macro",ABS(SUMIFS($G$5:$G$1000,$P$5:$P$1000,$P143,$S$5:$S$1000,"Macro")-1)&gt;0.0001),"Pesos del mes suman "&amp;TEXT(SUMIFS($G$5:$G$1000,$P$5:$P$1000,$P143,$S$5:$S$1000,"Macro"),"0%")&amp;" · ","")&amp;IF(AND(N($T143)&gt;0,COUNT($H143:$K143)&gt;0),"Con subactividades: deje vacías las semanas (se calculan solas)"&amp;" · ","")&amp;IF((COUNTIF($H143:$K143,"&gt;1")+COUNTIF($H143:$K143,"&lt;0")+COUNTA($H143:$K143)-COUNT($H143:$K143))&gt;0,"Avance fuera de rango 0-100%"&amp;" · ","")&amp;IF(OR(AND($I143&lt;&gt;"",$I143&lt;$H143),AND($J143&lt;&gt;"",$J143&lt;MAX($H143:$I143)),AND($K143&lt;&gt;"",$K143&lt;MAX($H143:$J143))),"Avance semanal decreciente"&amp;" · ","")&amp;IF(AND(ISNUMBER($F143),$F143&lt;FechaRef,N($L143)&lt;1),"Vencida"&amp;" · ","")&amp;IF(AND(ObsObligatoria="Sí",ISNUMBER($F143),$F143&lt;FechaRef,N($L143)&lt;1,$N143=""),"Vencida sin observación"&amp;" · ",""),LEN(IF(AND($S143="Macro",$B143=""),"Macroactividad vacía"&amp;" · ","")&amp;IF(AND($B143&lt;&gt;"",$C143&lt;&gt;""),"Escriba la subactividad en otra fila, debajo de su macroactividad"&amp;" · ","")&amp;IF(AND($S143="Sub",N($R143)=0),"Subactividad sin macroactividad arriba"&amp;" · ","")&amp;IF($D143="","Sin responsable"&amp;" · ","")&amp;IF($E143="","Sin fecha de inicio"&amp;" · ","")&amp;IF($F143="","Sin fecha límite"&amp;" · ","")&amp;IF(OR(AND($E143&lt;&gt;"",NOT(ISNUMBER($E143))),AND($F143&lt;&gt;"",NOT(ISNUMBER($F143)))),"Fecha no válida"&amp;" · ","")&amp;IF(AND(ISNUMBER($E143),ISNUMBER($F143),$E143&gt;$F143),"Inicio posterior a fecha límite"&amp;" · ","")&amp;IF(AND($S143="Macro",$G143=""),"Peso vacío"&amp;" · ","")&amp;IF(AND($S143="Macro",$G143&lt;&gt;"",OR(NOT(ISNUMBER($G143)),$G143&lt;=0,$G143&gt;1)),"Peso fuera de rango"&amp;" · ","")&amp;IF(AND($S143="Sub",$G143&lt;&gt;""),"Las subactividades no llevan peso"&amp;" · ","")&amp;IF(AND($S143="Macro",ABS(SUMIFS($G$5:$G$1000,$P$5:$P$1000,$P143,$S$5:$S$1000,"Macro")-1)&gt;0.0001),"Pesos del mes suman "&amp;TEXT(SUMIFS($G$5:$G$1000,$P$5:$P$1000,$P143,$S$5:$S$1000,"Macro"),"0%")&amp;" · ","")&amp;IF(AND(N($T143)&gt;0,COUNT($H143:$K143)&gt;0),"Con subactividades: deje vacías las semanas (se calculan solas)"&amp;" · ","")&amp;IF((COUNTIF($H143:$K143,"&gt;1")+COUNTIF($H143:$K143,"&lt;0")+COUNTA($H143:$K143)-COUNT($H143:$K143))&gt;0,"Avance fuera de rango 0-100%"&amp;" · ","")&amp;IF(OR(AND($I143&lt;&gt;"",$I143&lt;$H143),AND($J143&lt;&gt;"",$J143&lt;MAX($H143:$I143)),AND($K143&lt;&gt;"",$K143&lt;MAX($H143:$J143))),"Avance semanal decreciente"&amp;" · ","")&amp;IF(AND(ISNUMBER($F143),$F143&lt;FechaRef,N($L143)&lt;1),"Vencida"&amp;" · ","")&amp;IF(AND(ObsObligatoria="Sí",ISNUMBER($F143),$F143&lt;FechaRef,N($L143)&lt;1,$N143=""),"Vencida sin observación"&amp;" · ",""))-3)))</f>
        <v/>
      </c>
      <c r="P143" s="69">
        <f>IF(NOT((COUNTA($B143:$K143)+COUNTA($N143))&gt;0),"",IF(AND($S143="Sub",N($R143)&gt;0),IF(ISNUMBER(INDEX($E$5:$E$1000,$R143-4)),DATE(YEAR(INDEX($E$5:$E$1000,$R143-4)),MONTH(INDEX($E$5:$E$1000,$R143-4)),1),IF(ISNUMBER(INDEX($F$5:$F$1000,$R143-4)),DATE(YEAR(INDEX($F$5:$F$1000,$R143-4)),MONTH(INDEX($F$5:$F$1000,$R143-4)),1),MesCiclo)),IF(ISNUMBER($E143),DATE(YEAR($E143),MONTH($E143),1),IF(ISNUMBER($F143),DATE(YEAR($F143),MONTH($F143),1),MesCiclo))))</f>
        <v/>
      </c>
      <c r="Q143" s="70">
        <f>IF(OR($P143="",$P143&lt;&gt;MesCiclo),"",COUNTIF($P$5:$P143,MesCiclo))</f>
        <v/>
      </c>
      <c r="R143" s="70">
        <f>IF($S143="","",IF($S143="Macro",ROW(),IFERROR(LOOKUP(2,1/($S$5:$S143="Macro"),ROW($S$5:$S143)),0)))</f>
        <v/>
      </c>
      <c r="S143" s="70">
        <f>IF(NOT((COUNTA($B143:$K143)+COUNTA($N143))&gt;0),"",IF($B143&lt;&gt;"","Macro",IF($C143&lt;&gt;"","Sub","Macro")))</f>
        <v/>
      </c>
      <c r="T143" s="70">
        <f>IF($S143="Macro",COUNTIFS($R$5:$R$1000,ROW(),$S$5:$S$1000,"Sub"),"")</f>
        <v/>
      </c>
      <c r="U143" s="70">
        <f>IF($S143="","",IF(ISNUMBER($H143),$H143,0))</f>
        <v/>
      </c>
      <c r="V143" s="70">
        <f>IF($S143="","",IF(ISNUMBER($I143),$I143,$U143))</f>
        <v/>
      </c>
      <c r="W143" s="70">
        <f>IF($S143="","",IF(ISNUMBER($J143),$J143,$V143))</f>
        <v/>
      </c>
      <c r="X143" s="70">
        <f>IF($S143="","",IF(ISNUMBER($K143),$K143,$W143))</f>
        <v/>
      </c>
      <c r="Y143" s="70">
        <f>IF($S143="","",IF(N($T143)&gt;0,AVERAGEIFS($U$5:$U$1000,$R$5:$R$1000,ROW(),$S$5:$S$1000,"Sub"),$U143))</f>
        <v/>
      </c>
      <c r="Z143" s="70">
        <f>IF($S143="","",IF(N($T143)&gt;0,AVERAGEIFS($V$5:$V$1000,$R$5:$R$1000,ROW(),$S$5:$S$1000,"Sub"),$V143))</f>
        <v/>
      </c>
      <c r="AA143" s="70">
        <f>IF($S143="","",IF(N($T143)&gt;0,AVERAGEIFS($W$5:$W$1000,$R$5:$R$1000,ROW(),$S$5:$S$1000,"Sub"),$W143))</f>
        <v/>
      </c>
      <c r="AB143" s="70">
        <f>IF($S143="","",IF(N($T143)&gt;0,AVERAGEIFS($X$5:$X$1000,$R$5:$R$1000,ROW(),$S$5:$S$1000,"Sub"),$X143))</f>
        <v/>
      </c>
    </row>
    <row r="144">
      <c r="A144" s="61">
        <f>IF(NOT((COUNTA($B144:$K144)+COUNTA($N144))&gt;0),"",IF($S144="Macro",COUNTIFS($S$5:$S144,"Macro",$P$5:$P144,$P144),IF(N($R144)=0,"?",COUNTIFS(INDEX($S$5:$S$1000,1):INDEX($S$5:$S$1000,$R144-4),"Macro",INDEX($P$5:$P$1000,1):INDEX($P$5:$P$1000,$R144-4),INDEX($P$5:$P$1000,$R144-4))&amp;"."&amp;COUNTIFS($R$5:$R144,$R144,$S$5:$S144,"Sub"))))</f>
        <v/>
      </c>
      <c r="B144" s="62" t="n"/>
      <c r="C144" s="63" t="n"/>
      <c r="D144" s="62" t="n"/>
      <c r="E144" s="64" t="n"/>
      <c r="F144" s="64" t="n"/>
      <c r="G144" s="65" t="n"/>
      <c r="H144" s="66" t="n"/>
      <c r="I144" s="66" t="n"/>
      <c r="J144" s="66" t="n"/>
      <c r="K144" s="66" t="n"/>
      <c r="L144" s="67">
        <f>IF(NOT((COUNTA($B144:$K144)+COUNTA($N144))&gt;0),"",IF(N($T144)&gt;0,$AB144,IFERROR(LOOKUP(2,1/(H144:K144&lt;&gt;""),H144:K144),0)))</f>
        <v/>
      </c>
      <c r="M144" s="61">
        <f>IF(L144="","",IF(L144&gt;=1,"Completado",IF(L144&gt;0,"En curso","Pendiente")))</f>
        <v/>
      </c>
      <c r="N144" s="62" t="n"/>
      <c r="O144" s="68">
        <f>IF(NOT((COUNTA($B144:$K144)+COUNTA($N144))&gt;0),"",IF((IF(AND($S144="Macro",$B144=""),"Macroactividad vacía"&amp;" · ","")&amp;IF(AND($B144&lt;&gt;"",$C144&lt;&gt;""),"Escriba la subactividad en otra fila, debajo de su macroactividad"&amp;" · ","")&amp;IF(AND($S144="Sub",N($R144)=0),"Subactividad sin macroactividad arriba"&amp;" · ","")&amp;IF($D144="","Sin responsable"&amp;" · ","")&amp;IF($E144="","Sin fecha de inicio"&amp;" · ","")&amp;IF($F144="","Sin fecha límite"&amp;" · ","")&amp;IF(OR(AND($E144&lt;&gt;"",NOT(ISNUMBER($E144))),AND($F144&lt;&gt;"",NOT(ISNUMBER($F144)))),"Fecha no válida"&amp;" · ","")&amp;IF(AND(ISNUMBER($E144),ISNUMBER($F144),$E144&gt;$F144),"Inicio posterior a fecha límite"&amp;" · ","")&amp;IF(AND($S144="Macro",$G144=""),"Peso vacío"&amp;" · ","")&amp;IF(AND($S144="Macro",$G144&lt;&gt;"",OR(NOT(ISNUMBER($G144)),$G144&lt;=0,$G144&gt;1)),"Peso fuera de rango"&amp;" · ","")&amp;IF(AND($S144="Sub",$G144&lt;&gt;""),"Las subactividades no llevan peso"&amp;" · ","")&amp;IF(AND($S144="Macro",ABS(SUMIFS($G$5:$G$1000,$P$5:$P$1000,$P144,$S$5:$S$1000,"Macro")-1)&gt;0.0001),"Pesos del mes suman "&amp;TEXT(SUMIFS($G$5:$G$1000,$P$5:$P$1000,$P144,$S$5:$S$1000,"Macro"),"0%")&amp;" · ","")&amp;IF(AND(N($T144)&gt;0,COUNT($H144:$K144)&gt;0),"Con subactividades: deje vacías las semanas (se calculan solas)"&amp;" · ","")&amp;IF((COUNTIF($H144:$K144,"&gt;1")+COUNTIF($H144:$K144,"&lt;0")+COUNTA($H144:$K144)-COUNT($H144:$K144))&gt;0,"Avance fuera de rango 0-100%"&amp;" · ","")&amp;IF(OR(AND($I144&lt;&gt;"",$I144&lt;$H144),AND($J144&lt;&gt;"",$J144&lt;MAX($H144:$I144)),AND($K144&lt;&gt;"",$K144&lt;MAX($H144:$J144))),"Avance semanal decreciente"&amp;" · ","")&amp;IF(AND(ISNUMBER($F144),$F144&lt;FechaRef,N($L144)&lt;1),"Vencida"&amp;" · ","")&amp;IF(AND(ObsObligatoria="Sí",ISNUMBER($F144),$F144&lt;FechaRef,N($L144)&lt;1,$N144=""),"Vencida sin observación"&amp;" · ",""))="","✔ OK","⚠ "&amp;LEFT(IF(AND($S144="Macro",$B144=""),"Macroactividad vacía"&amp;" · ","")&amp;IF(AND($B144&lt;&gt;"",$C144&lt;&gt;""),"Escriba la subactividad en otra fila, debajo de su macroactividad"&amp;" · ","")&amp;IF(AND($S144="Sub",N($R144)=0),"Subactividad sin macroactividad arriba"&amp;" · ","")&amp;IF($D144="","Sin responsable"&amp;" · ","")&amp;IF($E144="","Sin fecha de inicio"&amp;" · ","")&amp;IF($F144="","Sin fecha límite"&amp;" · ","")&amp;IF(OR(AND($E144&lt;&gt;"",NOT(ISNUMBER($E144))),AND($F144&lt;&gt;"",NOT(ISNUMBER($F144)))),"Fecha no válida"&amp;" · ","")&amp;IF(AND(ISNUMBER($E144),ISNUMBER($F144),$E144&gt;$F144),"Inicio posterior a fecha límite"&amp;" · ","")&amp;IF(AND($S144="Macro",$G144=""),"Peso vacío"&amp;" · ","")&amp;IF(AND($S144="Macro",$G144&lt;&gt;"",OR(NOT(ISNUMBER($G144)),$G144&lt;=0,$G144&gt;1)),"Peso fuera de rango"&amp;" · ","")&amp;IF(AND($S144="Sub",$G144&lt;&gt;""),"Las subactividades no llevan peso"&amp;" · ","")&amp;IF(AND($S144="Macro",ABS(SUMIFS($G$5:$G$1000,$P$5:$P$1000,$P144,$S$5:$S$1000,"Macro")-1)&gt;0.0001),"Pesos del mes suman "&amp;TEXT(SUMIFS($G$5:$G$1000,$P$5:$P$1000,$P144,$S$5:$S$1000,"Macro"),"0%")&amp;" · ","")&amp;IF(AND(N($T144)&gt;0,COUNT($H144:$K144)&gt;0),"Con subactividades: deje vacías las semanas (se calculan solas)"&amp;" · ","")&amp;IF((COUNTIF($H144:$K144,"&gt;1")+COUNTIF($H144:$K144,"&lt;0")+COUNTA($H144:$K144)-COUNT($H144:$K144))&gt;0,"Avance fuera de rango 0-100%"&amp;" · ","")&amp;IF(OR(AND($I144&lt;&gt;"",$I144&lt;$H144),AND($J144&lt;&gt;"",$J144&lt;MAX($H144:$I144)),AND($K144&lt;&gt;"",$K144&lt;MAX($H144:$J144))),"Avance semanal decreciente"&amp;" · ","")&amp;IF(AND(ISNUMBER($F144),$F144&lt;FechaRef,N($L144)&lt;1),"Vencida"&amp;" · ","")&amp;IF(AND(ObsObligatoria="Sí",ISNUMBER($F144),$F144&lt;FechaRef,N($L144)&lt;1,$N144=""),"Vencida sin observación"&amp;" · ",""),LEN(IF(AND($S144="Macro",$B144=""),"Macroactividad vacía"&amp;" · ","")&amp;IF(AND($B144&lt;&gt;"",$C144&lt;&gt;""),"Escriba la subactividad en otra fila, debajo de su macroactividad"&amp;" · ","")&amp;IF(AND($S144="Sub",N($R144)=0),"Subactividad sin macroactividad arriba"&amp;" · ","")&amp;IF($D144="","Sin responsable"&amp;" · ","")&amp;IF($E144="","Sin fecha de inicio"&amp;" · ","")&amp;IF($F144="","Sin fecha límite"&amp;" · ","")&amp;IF(OR(AND($E144&lt;&gt;"",NOT(ISNUMBER($E144))),AND($F144&lt;&gt;"",NOT(ISNUMBER($F144)))),"Fecha no válida"&amp;" · ","")&amp;IF(AND(ISNUMBER($E144),ISNUMBER($F144),$E144&gt;$F144),"Inicio posterior a fecha límite"&amp;" · ","")&amp;IF(AND($S144="Macro",$G144=""),"Peso vacío"&amp;" · ","")&amp;IF(AND($S144="Macro",$G144&lt;&gt;"",OR(NOT(ISNUMBER($G144)),$G144&lt;=0,$G144&gt;1)),"Peso fuera de rango"&amp;" · ","")&amp;IF(AND($S144="Sub",$G144&lt;&gt;""),"Las subactividades no llevan peso"&amp;" · ","")&amp;IF(AND($S144="Macro",ABS(SUMIFS($G$5:$G$1000,$P$5:$P$1000,$P144,$S$5:$S$1000,"Macro")-1)&gt;0.0001),"Pesos del mes suman "&amp;TEXT(SUMIFS($G$5:$G$1000,$P$5:$P$1000,$P144,$S$5:$S$1000,"Macro"),"0%")&amp;" · ","")&amp;IF(AND(N($T144)&gt;0,COUNT($H144:$K144)&gt;0),"Con subactividades: deje vacías las semanas (se calculan solas)"&amp;" · ","")&amp;IF((COUNTIF($H144:$K144,"&gt;1")+COUNTIF($H144:$K144,"&lt;0")+COUNTA($H144:$K144)-COUNT($H144:$K144))&gt;0,"Avance fuera de rango 0-100%"&amp;" · ","")&amp;IF(OR(AND($I144&lt;&gt;"",$I144&lt;$H144),AND($J144&lt;&gt;"",$J144&lt;MAX($H144:$I144)),AND($K144&lt;&gt;"",$K144&lt;MAX($H144:$J144))),"Avance semanal decreciente"&amp;" · ","")&amp;IF(AND(ISNUMBER($F144),$F144&lt;FechaRef,N($L144)&lt;1),"Vencida"&amp;" · ","")&amp;IF(AND(ObsObligatoria="Sí",ISNUMBER($F144),$F144&lt;FechaRef,N($L144)&lt;1,$N144=""),"Vencida sin observación"&amp;" · ",""))-3)))</f>
        <v/>
      </c>
      <c r="P144" s="69">
        <f>IF(NOT((COUNTA($B144:$K144)+COUNTA($N144))&gt;0),"",IF(AND($S144="Sub",N($R144)&gt;0),IF(ISNUMBER(INDEX($E$5:$E$1000,$R144-4)),DATE(YEAR(INDEX($E$5:$E$1000,$R144-4)),MONTH(INDEX($E$5:$E$1000,$R144-4)),1),IF(ISNUMBER(INDEX($F$5:$F$1000,$R144-4)),DATE(YEAR(INDEX($F$5:$F$1000,$R144-4)),MONTH(INDEX($F$5:$F$1000,$R144-4)),1),MesCiclo)),IF(ISNUMBER($E144),DATE(YEAR($E144),MONTH($E144),1),IF(ISNUMBER($F144),DATE(YEAR($F144),MONTH($F144),1),MesCiclo))))</f>
        <v/>
      </c>
      <c r="Q144" s="70">
        <f>IF(OR($P144="",$P144&lt;&gt;MesCiclo),"",COUNTIF($P$5:$P144,MesCiclo))</f>
        <v/>
      </c>
      <c r="R144" s="70">
        <f>IF($S144="","",IF($S144="Macro",ROW(),IFERROR(LOOKUP(2,1/($S$5:$S144="Macro"),ROW($S$5:$S144)),0)))</f>
        <v/>
      </c>
      <c r="S144" s="70">
        <f>IF(NOT((COUNTA($B144:$K144)+COUNTA($N144))&gt;0),"",IF($B144&lt;&gt;"","Macro",IF($C144&lt;&gt;"","Sub","Macro")))</f>
        <v/>
      </c>
      <c r="T144" s="70">
        <f>IF($S144="Macro",COUNTIFS($R$5:$R$1000,ROW(),$S$5:$S$1000,"Sub"),"")</f>
        <v/>
      </c>
      <c r="U144" s="70">
        <f>IF($S144="","",IF(ISNUMBER($H144),$H144,0))</f>
        <v/>
      </c>
      <c r="V144" s="70">
        <f>IF($S144="","",IF(ISNUMBER($I144),$I144,$U144))</f>
        <v/>
      </c>
      <c r="W144" s="70">
        <f>IF($S144="","",IF(ISNUMBER($J144),$J144,$V144))</f>
        <v/>
      </c>
      <c r="X144" s="70">
        <f>IF($S144="","",IF(ISNUMBER($K144),$K144,$W144))</f>
        <v/>
      </c>
      <c r="Y144" s="70">
        <f>IF($S144="","",IF(N($T144)&gt;0,AVERAGEIFS($U$5:$U$1000,$R$5:$R$1000,ROW(),$S$5:$S$1000,"Sub"),$U144))</f>
        <v/>
      </c>
      <c r="Z144" s="70">
        <f>IF($S144="","",IF(N($T144)&gt;0,AVERAGEIFS($V$5:$V$1000,$R$5:$R$1000,ROW(),$S$5:$S$1000,"Sub"),$V144))</f>
        <v/>
      </c>
      <c r="AA144" s="70">
        <f>IF($S144="","",IF(N($T144)&gt;0,AVERAGEIFS($W$5:$W$1000,$R$5:$R$1000,ROW(),$S$5:$S$1000,"Sub"),$W144))</f>
        <v/>
      </c>
      <c r="AB144" s="70">
        <f>IF($S144="","",IF(N($T144)&gt;0,AVERAGEIFS($X$5:$X$1000,$R$5:$R$1000,ROW(),$S$5:$S$1000,"Sub"),$X144))</f>
        <v/>
      </c>
    </row>
    <row r="145">
      <c r="A145" s="61">
        <f>IF(NOT((COUNTA($B145:$K145)+COUNTA($N145))&gt;0),"",IF($S145="Macro",COUNTIFS($S$5:$S145,"Macro",$P$5:$P145,$P145),IF(N($R145)=0,"?",COUNTIFS(INDEX($S$5:$S$1000,1):INDEX($S$5:$S$1000,$R145-4),"Macro",INDEX($P$5:$P$1000,1):INDEX($P$5:$P$1000,$R145-4),INDEX($P$5:$P$1000,$R145-4))&amp;"."&amp;COUNTIFS($R$5:$R145,$R145,$S$5:$S145,"Sub"))))</f>
        <v/>
      </c>
      <c r="B145" s="62" t="n"/>
      <c r="C145" s="63" t="n"/>
      <c r="D145" s="62" t="n"/>
      <c r="E145" s="64" t="n"/>
      <c r="F145" s="64" t="n"/>
      <c r="G145" s="65" t="n"/>
      <c r="H145" s="66" t="n"/>
      <c r="I145" s="66" t="n"/>
      <c r="J145" s="66" t="n"/>
      <c r="K145" s="66" t="n"/>
      <c r="L145" s="67">
        <f>IF(NOT((COUNTA($B145:$K145)+COUNTA($N145))&gt;0),"",IF(N($T145)&gt;0,$AB145,IFERROR(LOOKUP(2,1/(H145:K145&lt;&gt;""),H145:K145),0)))</f>
        <v/>
      </c>
      <c r="M145" s="61">
        <f>IF(L145="","",IF(L145&gt;=1,"Completado",IF(L145&gt;0,"En curso","Pendiente")))</f>
        <v/>
      </c>
      <c r="N145" s="62" t="n"/>
      <c r="O145" s="68">
        <f>IF(NOT((COUNTA($B145:$K145)+COUNTA($N145))&gt;0),"",IF((IF(AND($S145="Macro",$B145=""),"Macroactividad vacía"&amp;" · ","")&amp;IF(AND($B145&lt;&gt;"",$C145&lt;&gt;""),"Escriba la subactividad en otra fila, debajo de su macroactividad"&amp;" · ","")&amp;IF(AND($S145="Sub",N($R145)=0),"Subactividad sin macroactividad arriba"&amp;" · ","")&amp;IF($D145="","Sin responsable"&amp;" · ","")&amp;IF($E145="","Sin fecha de inicio"&amp;" · ","")&amp;IF($F145="","Sin fecha límite"&amp;" · ","")&amp;IF(OR(AND($E145&lt;&gt;"",NOT(ISNUMBER($E145))),AND($F145&lt;&gt;"",NOT(ISNUMBER($F145)))),"Fecha no válida"&amp;" · ","")&amp;IF(AND(ISNUMBER($E145),ISNUMBER($F145),$E145&gt;$F145),"Inicio posterior a fecha límite"&amp;" · ","")&amp;IF(AND($S145="Macro",$G145=""),"Peso vacío"&amp;" · ","")&amp;IF(AND($S145="Macro",$G145&lt;&gt;"",OR(NOT(ISNUMBER($G145)),$G145&lt;=0,$G145&gt;1)),"Peso fuera de rango"&amp;" · ","")&amp;IF(AND($S145="Sub",$G145&lt;&gt;""),"Las subactividades no llevan peso"&amp;" · ","")&amp;IF(AND($S145="Macro",ABS(SUMIFS($G$5:$G$1000,$P$5:$P$1000,$P145,$S$5:$S$1000,"Macro")-1)&gt;0.0001),"Pesos del mes suman "&amp;TEXT(SUMIFS($G$5:$G$1000,$P$5:$P$1000,$P145,$S$5:$S$1000,"Macro"),"0%")&amp;" · ","")&amp;IF(AND(N($T145)&gt;0,COUNT($H145:$K145)&gt;0),"Con subactividades: deje vacías las semanas (se calculan solas)"&amp;" · ","")&amp;IF((COUNTIF($H145:$K145,"&gt;1")+COUNTIF($H145:$K145,"&lt;0")+COUNTA($H145:$K145)-COUNT($H145:$K145))&gt;0,"Avance fuera de rango 0-100%"&amp;" · ","")&amp;IF(OR(AND($I145&lt;&gt;"",$I145&lt;$H145),AND($J145&lt;&gt;"",$J145&lt;MAX($H145:$I145)),AND($K145&lt;&gt;"",$K145&lt;MAX($H145:$J145))),"Avance semanal decreciente"&amp;" · ","")&amp;IF(AND(ISNUMBER($F145),$F145&lt;FechaRef,N($L145)&lt;1),"Vencida"&amp;" · ","")&amp;IF(AND(ObsObligatoria="Sí",ISNUMBER($F145),$F145&lt;FechaRef,N($L145)&lt;1,$N145=""),"Vencida sin observación"&amp;" · ",""))="","✔ OK","⚠ "&amp;LEFT(IF(AND($S145="Macro",$B145=""),"Macroactividad vacía"&amp;" · ","")&amp;IF(AND($B145&lt;&gt;"",$C145&lt;&gt;""),"Escriba la subactividad en otra fila, debajo de su macroactividad"&amp;" · ","")&amp;IF(AND($S145="Sub",N($R145)=0),"Subactividad sin macroactividad arriba"&amp;" · ","")&amp;IF($D145="","Sin responsable"&amp;" · ","")&amp;IF($E145="","Sin fecha de inicio"&amp;" · ","")&amp;IF($F145="","Sin fecha límite"&amp;" · ","")&amp;IF(OR(AND($E145&lt;&gt;"",NOT(ISNUMBER($E145))),AND($F145&lt;&gt;"",NOT(ISNUMBER($F145)))),"Fecha no válida"&amp;" · ","")&amp;IF(AND(ISNUMBER($E145),ISNUMBER($F145),$E145&gt;$F145),"Inicio posterior a fecha límite"&amp;" · ","")&amp;IF(AND($S145="Macro",$G145=""),"Peso vacío"&amp;" · ","")&amp;IF(AND($S145="Macro",$G145&lt;&gt;"",OR(NOT(ISNUMBER($G145)),$G145&lt;=0,$G145&gt;1)),"Peso fuera de rango"&amp;" · ","")&amp;IF(AND($S145="Sub",$G145&lt;&gt;""),"Las subactividades no llevan peso"&amp;" · ","")&amp;IF(AND($S145="Macro",ABS(SUMIFS($G$5:$G$1000,$P$5:$P$1000,$P145,$S$5:$S$1000,"Macro")-1)&gt;0.0001),"Pesos del mes suman "&amp;TEXT(SUMIFS($G$5:$G$1000,$P$5:$P$1000,$P145,$S$5:$S$1000,"Macro"),"0%")&amp;" · ","")&amp;IF(AND(N($T145)&gt;0,COUNT($H145:$K145)&gt;0),"Con subactividades: deje vacías las semanas (se calculan solas)"&amp;" · ","")&amp;IF((COUNTIF($H145:$K145,"&gt;1")+COUNTIF($H145:$K145,"&lt;0")+COUNTA($H145:$K145)-COUNT($H145:$K145))&gt;0,"Avance fuera de rango 0-100%"&amp;" · ","")&amp;IF(OR(AND($I145&lt;&gt;"",$I145&lt;$H145),AND($J145&lt;&gt;"",$J145&lt;MAX($H145:$I145)),AND($K145&lt;&gt;"",$K145&lt;MAX($H145:$J145))),"Avance semanal decreciente"&amp;" · ","")&amp;IF(AND(ISNUMBER($F145),$F145&lt;FechaRef,N($L145)&lt;1),"Vencida"&amp;" · ","")&amp;IF(AND(ObsObligatoria="Sí",ISNUMBER($F145),$F145&lt;FechaRef,N($L145)&lt;1,$N145=""),"Vencida sin observación"&amp;" · ",""),LEN(IF(AND($S145="Macro",$B145=""),"Macroactividad vacía"&amp;" · ","")&amp;IF(AND($B145&lt;&gt;"",$C145&lt;&gt;""),"Escriba la subactividad en otra fila, debajo de su macroactividad"&amp;" · ","")&amp;IF(AND($S145="Sub",N($R145)=0),"Subactividad sin macroactividad arriba"&amp;" · ","")&amp;IF($D145="","Sin responsable"&amp;" · ","")&amp;IF($E145="","Sin fecha de inicio"&amp;" · ","")&amp;IF($F145="","Sin fecha límite"&amp;" · ","")&amp;IF(OR(AND($E145&lt;&gt;"",NOT(ISNUMBER($E145))),AND($F145&lt;&gt;"",NOT(ISNUMBER($F145)))),"Fecha no válida"&amp;" · ","")&amp;IF(AND(ISNUMBER($E145),ISNUMBER($F145),$E145&gt;$F145),"Inicio posterior a fecha límite"&amp;" · ","")&amp;IF(AND($S145="Macro",$G145=""),"Peso vacío"&amp;" · ","")&amp;IF(AND($S145="Macro",$G145&lt;&gt;"",OR(NOT(ISNUMBER($G145)),$G145&lt;=0,$G145&gt;1)),"Peso fuera de rango"&amp;" · ","")&amp;IF(AND($S145="Sub",$G145&lt;&gt;""),"Las subactividades no llevan peso"&amp;" · ","")&amp;IF(AND($S145="Macro",ABS(SUMIFS($G$5:$G$1000,$P$5:$P$1000,$P145,$S$5:$S$1000,"Macro")-1)&gt;0.0001),"Pesos del mes suman "&amp;TEXT(SUMIFS($G$5:$G$1000,$P$5:$P$1000,$P145,$S$5:$S$1000,"Macro"),"0%")&amp;" · ","")&amp;IF(AND(N($T145)&gt;0,COUNT($H145:$K145)&gt;0),"Con subactividades: deje vacías las semanas (se calculan solas)"&amp;" · ","")&amp;IF((COUNTIF($H145:$K145,"&gt;1")+COUNTIF($H145:$K145,"&lt;0")+COUNTA($H145:$K145)-COUNT($H145:$K145))&gt;0,"Avance fuera de rango 0-100%"&amp;" · ","")&amp;IF(OR(AND($I145&lt;&gt;"",$I145&lt;$H145),AND($J145&lt;&gt;"",$J145&lt;MAX($H145:$I145)),AND($K145&lt;&gt;"",$K145&lt;MAX($H145:$J145))),"Avance semanal decreciente"&amp;" · ","")&amp;IF(AND(ISNUMBER($F145),$F145&lt;FechaRef,N($L145)&lt;1),"Vencida"&amp;" · ","")&amp;IF(AND(ObsObligatoria="Sí",ISNUMBER($F145),$F145&lt;FechaRef,N($L145)&lt;1,$N145=""),"Vencida sin observación"&amp;" · ",""))-3)))</f>
        <v/>
      </c>
      <c r="P145" s="69">
        <f>IF(NOT((COUNTA($B145:$K145)+COUNTA($N145))&gt;0),"",IF(AND($S145="Sub",N($R145)&gt;0),IF(ISNUMBER(INDEX($E$5:$E$1000,$R145-4)),DATE(YEAR(INDEX($E$5:$E$1000,$R145-4)),MONTH(INDEX($E$5:$E$1000,$R145-4)),1),IF(ISNUMBER(INDEX($F$5:$F$1000,$R145-4)),DATE(YEAR(INDEX($F$5:$F$1000,$R145-4)),MONTH(INDEX($F$5:$F$1000,$R145-4)),1),MesCiclo)),IF(ISNUMBER($E145),DATE(YEAR($E145),MONTH($E145),1),IF(ISNUMBER($F145),DATE(YEAR($F145),MONTH($F145),1),MesCiclo))))</f>
        <v/>
      </c>
      <c r="Q145" s="70">
        <f>IF(OR($P145="",$P145&lt;&gt;MesCiclo),"",COUNTIF($P$5:$P145,MesCiclo))</f>
        <v/>
      </c>
      <c r="R145" s="70">
        <f>IF($S145="","",IF($S145="Macro",ROW(),IFERROR(LOOKUP(2,1/($S$5:$S145="Macro"),ROW($S$5:$S145)),0)))</f>
        <v/>
      </c>
      <c r="S145" s="70">
        <f>IF(NOT((COUNTA($B145:$K145)+COUNTA($N145))&gt;0),"",IF($B145&lt;&gt;"","Macro",IF($C145&lt;&gt;"","Sub","Macro")))</f>
        <v/>
      </c>
      <c r="T145" s="70">
        <f>IF($S145="Macro",COUNTIFS($R$5:$R$1000,ROW(),$S$5:$S$1000,"Sub"),"")</f>
        <v/>
      </c>
      <c r="U145" s="70">
        <f>IF($S145="","",IF(ISNUMBER($H145),$H145,0))</f>
        <v/>
      </c>
      <c r="V145" s="70">
        <f>IF($S145="","",IF(ISNUMBER($I145),$I145,$U145))</f>
        <v/>
      </c>
      <c r="W145" s="70">
        <f>IF($S145="","",IF(ISNUMBER($J145),$J145,$V145))</f>
        <v/>
      </c>
      <c r="X145" s="70">
        <f>IF($S145="","",IF(ISNUMBER($K145),$K145,$W145))</f>
        <v/>
      </c>
      <c r="Y145" s="70">
        <f>IF($S145="","",IF(N($T145)&gt;0,AVERAGEIFS($U$5:$U$1000,$R$5:$R$1000,ROW(),$S$5:$S$1000,"Sub"),$U145))</f>
        <v/>
      </c>
      <c r="Z145" s="70">
        <f>IF($S145="","",IF(N($T145)&gt;0,AVERAGEIFS($V$5:$V$1000,$R$5:$R$1000,ROW(),$S$5:$S$1000,"Sub"),$V145))</f>
        <v/>
      </c>
      <c r="AA145" s="70">
        <f>IF($S145="","",IF(N($T145)&gt;0,AVERAGEIFS($W$5:$W$1000,$R$5:$R$1000,ROW(),$S$5:$S$1000,"Sub"),$W145))</f>
        <v/>
      </c>
      <c r="AB145" s="70">
        <f>IF($S145="","",IF(N($T145)&gt;0,AVERAGEIFS($X$5:$X$1000,$R$5:$R$1000,ROW(),$S$5:$S$1000,"Sub"),$X145))</f>
        <v/>
      </c>
    </row>
    <row r="146">
      <c r="A146" s="61">
        <f>IF(NOT((COUNTA($B146:$K146)+COUNTA($N146))&gt;0),"",IF($S146="Macro",COUNTIFS($S$5:$S146,"Macro",$P$5:$P146,$P146),IF(N($R146)=0,"?",COUNTIFS(INDEX($S$5:$S$1000,1):INDEX($S$5:$S$1000,$R146-4),"Macro",INDEX($P$5:$P$1000,1):INDEX($P$5:$P$1000,$R146-4),INDEX($P$5:$P$1000,$R146-4))&amp;"."&amp;COUNTIFS($R$5:$R146,$R146,$S$5:$S146,"Sub"))))</f>
        <v/>
      </c>
      <c r="B146" s="62" t="n"/>
      <c r="C146" s="63" t="n"/>
      <c r="D146" s="62" t="n"/>
      <c r="E146" s="64" t="n"/>
      <c r="F146" s="64" t="n"/>
      <c r="G146" s="65" t="n"/>
      <c r="H146" s="66" t="n"/>
      <c r="I146" s="66" t="n"/>
      <c r="J146" s="66" t="n"/>
      <c r="K146" s="66" t="n"/>
      <c r="L146" s="67">
        <f>IF(NOT((COUNTA($B146:$K146)+COUNTA($N146))&gt;0),"",IF(N($T146)&gt;0,$AB146,IFERROR(LOOKUP(2,1/(H146:K146&lt;&gt;""),H146:K146),0)))</f>
        <v/>
      </c>
      <c r="M146" s="61">
        <f>IF(L146="","",IF(L146&gt;=1,"Completado",IF(L146&gt;0,"En curso","Pendiente")))</f>
        <v/>
      </c>
      <c r="N146" s="62" t="n"/>
      <c r="O146" s="68">
        <f>IF(NOT((COUNTA($B146:$K146)+COUNTA($N146))&gt;0),"",IF((IF(AND($S146="Macro",$B146=""),"Macroactividad vacía"&amp;" · ","")&amp;IF(AND($B146&lt;&gt;"",$C146&lt;&gt;""),"Escriba la subactividad en otra fila, debajo de su macroactividad"&amp;" · ","")&amp;IF(AND($S146="Sub",N($R146)=0),"Subactividad sin macroactividad arriba"&amp;" · ","")&amp;IF($D146="","Sin responsable"&amp;" · ","")&amp;IF($E146="","Sin fecha de inicio"&amp;" · ","")&amp;IF($F146="","Sin fecha límite"&amp;" · ","")&amp;IF(OR(AND($E146&lt;&gt;"",NOT(ISNUMBER($E146))),AND($F146&lt;&gt;"",NOT(ISNUMBER($F146)))),"Fecha no válida"&amp;" · ","")&amp;IF(AND(ISNUMBER($E146),ISNUMBER($F146),$E146&gt;$F146),"Inicio posterior a fecha límite"&amp;" · ","")&amp;IF(AND($S146="Macro",$G146=""),"Peso vacío"&amp;" · ","")&amp;IF(AND($S146="Macro",$G146&lt;&gt;"",OR(NOT(ISNUMBER($G146)),$G146&lt;=0,$G146&gt;1)),"Peso fuera de rango"&amp;" · ","")&amp;IF(AND($S146="Sub",$G146&lt;&gt;""),"Las subactividades no llevan peso"&amp;" · ","")&amp;IF(AND($S146="Macro",ABS(SUMIFS($G$5:$G$1000,$P$5:$P$1000,$P146,$S$5:$S$1000,"Macro")-1)&gt;0.0001),"Pesos del mes suman "&amp;TEXT(SUMIFS($G$5:$G$1000,$P$5:$P$1000,$P146,$S$5:$S$1000,"Macro"),"0%")&amp;" · ","")&amp;IF(AND(N($T146)&gt;0,COUNT($H146:$K146)&gt;0),"Con subactividades: deje vacías las semanas (se calculan solas)"&amp;" · ","")&amp;IF((COUNTIF($H146:$K146,"&gt;1")+COUNTIF($H146:$K146,"&lt;0")+COUNTA($H146:$K146)-COUNT($H146:$K146))&gt;0,"Avance fuera de rango 0-100%"&amp;" · ","")&amp;IF(OR(AND($I146&lt;&gt;"",$I146&lt;$H146),AND($J146&lt;&gt;"",$J146&lt;MAX($H146:$I146)),AND($K146&lt;&gt;"",$K146&lt;MAX($H146:$J146))),"Avance semanal decreciente"&amp;" · ","")&amp;IF(AND(ISNUMBER($F146),$F146&lt;FechaRef,N($L146)&lt;1),"Vencida"&amp;" · ","")&amp;IF(AND(ObsObligatoria="Sí",ISNUMBER($F146),$F146&lt;FechaRef,N($L146)&lt;1,$N146=""),"Vencida sin observación"&amp;" · ",""))="","✔ OK","⚠ "&amp;LEFT(IF(AND($S146="Macro",$B146=""),"Macroactividad vacía"&amp;" · ","")&amp;IF(AND($B146&lt;&gt;"",$C146&lt;&gt;""),"Escriba la subactividad en otra fila, debajo de su macroactividad"&amp;" · ","")&amp;IF(AND($S146="Sub",N($R146)=0),"Subactividad sin macroactividad arriba"&amp;" · ","")&amp;IF($D146="","Sin responsable"&amp;" · ","")&amp;IF($E146="","Sin fecha de inicio"&amp;" · ","")&amp;IF($F146="","Sin fecha límite"&amp;" · ","")&amp;IF(OR(AND($E146&lt;&gt;"",NOT(ISNUMBER($E146))),AND($F146&lt;&gt;"",NOT(ISNUMBER($F146)))),"Fecha no válida"&amp;" · ","")&amp;IF(AND(ISNUMBER($E146),ISNUMBER($F146),$E146&gt;$F146),"Inicio posterior a fecha límite"&amp;" · ","")&amp;IF(AND($S146="Macro",$G146=""),"Peso vacío"&amp;" · ","")&amp;IF(AND($S146="Macro",$G146&lt;&gt;"",OR(NOT(ISNUMBER($G146)),$G146&lt;=0,$G146&gt;1)),"Peso fuera de rango"&amp;" · ","")&amp;IF(AND($S146="Sub",$G146&lt;&gt;""),"Las subactividades no llevan peso"&amp;" · ","")&amp;IF(AND($S146="Macro",ABS(SUMIFS($G$5:$G$1000,$P$5:$P$1000,$P146,$S$5:$S$1000,"Macro")-1)&gt;0.0001),"Pesos del mes suman "&amp;TEXT(SUMIFS($G$5:$G$1000,$P$5:$P$1000,$P146,$S$5:$S$1000,"Macro"),"0%")&amp;" · ","")&amp;IF(AND(N($T146)&gt;0,COUNT($H146:$K146)&gt;0),"Con subactividades: deje vacías las semanas (se calculan solas)"&amp;" · ","")&amp;IF((COUNTIF($H146:$K146,"&gt;1")+COUNTIF($H146:$K146,"&lt;0")+COUNTA($H146:$K146)-COUNT($H146:$K146))&gt;0,"Avance fuera de rango 0-100%"&amp;" · ","")&amp;IF(OR(AND($I146&lt;&gt;"",$I146&lt;$H146),AND($J146&lt;&gt;"",$J146&lt;MAX($H146:$I146)),AND($K146&lt;&gt;"",$K146&lt;MAX($H146:$J146))),"Avance semanal decreciente"&amp;" · ","")&amp;IF(AND(ISNUMBER($F146),$F146&lt;FechaRef,N($L146)&lt;1),"Vencida"&amp;" · ","")&amp;IF(AND(ObsObligatoria="Sí",ISNUMBER($F146),$F146&lt;FechaRef,N($L146)&lt;1,$N146=""),"Vencida sin observación"&amp;" · ",""),LEN(IF(AND($S146="Macro",$B146=""),"Macroactividad vacía"&amp;" · ","")&amp;IF(AND($B146&lt;&gt;"",$C146&lt;&gt;""),"Escriba la subactividad en otra fila, debajo de su macroactividad"&amp;" · ","")&amp;IF(AND($S146="Sub",N($R146)=0),"Subactividad sin macroactividad arriba"&amp;" · ","")&amp;IF($D146="","Sin responsable"&amp;" · ","")&amp;IF($E146="","Sin fecha de inicio"&amp;" · ","")&amp;IF($F146="","Sin fecha límite"&amp;" · ","")&amp;IF(OR(AND($E146&lt;&gt;"",NOT(ISNUMBER($E146))),AND($F146&lt;&gt;"",NOT(ISNUMBER($F146)))),"Fecha no válida"&amp;" · ","")&amp;IF(AND(ISNUMBER($E146),ISNUMBER($F146),$E146&gt;$F146),"Inicio posterior a fecha límite"&amp;" · ","")&amp;IF(AND($S146="Macro",$G146=""),"Peso vacío"&amp;" · ","")&amp;IF(AND($S146="Macro",$G146&lt;&gt;"",OR(NOT(ISNUMBER($G146)),$G146&lt;=0,$G146&gt;1)),"Peso fuera de rango"&amp;" · ","")&amp;IF(AND($S146="Sub",$G146&lt;&gt;""),"Las subactividades no llevan peso"&amp;" · ","")&amp;IF(AND($S146="Macro",ABS(SUMIFS($G$5:$G$1000,$P$5:$P$1000,$P146,$S$5:$S$1000,"Macro")-1)&gt;0.0001),"Pesos del mes suman "&amp;TEXT(SUMIFS($G$5:$G$1000,$P$5:$P$1000,$P146,$S$5:$S$1000,"Macro"),"0%")&amp;" · ","")&amp;IF(AND(N($T146)&gt;0,COUNT($H146:$K146)&gt;0),"Con subactividades: deje vacías las semanas (se calculan solas)"&amp;" · ","")&amp;IF((COUNTIF($H146:$K146,"&gt;1")+COUNTIF($H146:$K146,"&lt;0")+COUNTA($H146:$K146)-COUNT($H146:$K146))&gt;0,"Avance fuera de rango 0-100%"&amp;" · ","")&amp;IF(OR(AND($I146&lt;&gt;"",$I146&lt;$H146),AND($J146&lt;&gt;"",$J146&lt;MAX($H146:$I146)),AND($K146&lt;&gt;"",$K146&lt;MAX($H146:$J146))),"Avance semanal decreciente"&amp;" · ","")&amp;IF(AND(ISNUMBER($F146),$F146&lt;FechaRef,N($L146)&lt;1),"Vencida"&amp;" · ","")&amp;IF(AND(ObsObligatoria="Sí",ISNUMBER($F146),$F146&lt;FechaRef,N($L146)&lt;1,$N146=""),"Vencida sin observación"&amp;" · ",""))-3)))</f>
        <v/>
      </c>
      <c r="P146" s="69">
        <f>IF(NOT((COUNTA($B146:$K146)+COUNTA($N146))&gt;0),"",IF(AND($S146="Sub",N($R146)&gt;0),IF(ISNUMBER(INDEX($E$5:$E$1000,$R146-4)),DATE(YEAR(INDEX($E$5:$E$1000,$R146-4)),MONTH(INDEX($E$5:$E$1000,$R146-4)),1),IF(ISNUMBER(INDEX($F$5:$F$1000,$R146-4)),DATE(YEAR(INDEX($F$5:$F$1000,$R146-4)),MONTH(INDEX($F$5:$F$1000,$R146-4)),1),MesCiclo)),IF(ISNUMBER($E146),DATE(YEAR($E146),MONTH($E146),1),IF(ISNUMBER($F146),DATE(YEAR($F146),MONTH($F146),1),MesCiclo))))</f>
        <v/>
      </c>
      <c r="Q146" s="70">
        <f>IF(OR($P146="",$P146&lt;&gt;MesCiclo),"",COUNTIF($P$5:$P146,MesCiclo))</f>
        <v/>
      </c>
      <c r="R146" s="70">
        <f>IF($S146="","",IF($S146="Macro",ROW(),IFERROR(LOOKUP(2,1/($S$5:$S146="Macro"),ROW($S$5:$S146)),0)))</f>
        <v/>
      </c>
      <c r="S146" s="70">
        <f>IF(NOT((COUNTA($B146:$K146)+COUNTA($N146))&gt;0),"",IF($B146&lt;&gt;"","Macro",IF($C146&lt;&gt;"","Sub","Macro")))</f>
        <v/>
      </c>
      <c r="T146" s="70">
        <f>IF($S146="Macro",COUNTIFS($R$5:$R$1000,ROW(),$S$5:$S$1000,"Sub"),"")</f>
        <v/>
      </c>
      <c r="U146" s="70">
        <f>IF($S146="","",IF(ISNUMBER($H146),$H146,0))</f>
        <v/>
      </c>
      <c r="V146" s="70">
        <f>IF($S146="","",IF(ISNUMBER($I146),$I146,$U146))</f>
        <v/>
      </c>
      <c r="W146" s="70">
        <f>IF($S146="","",IF(ISNUMBER($J146),$J146,$V146))</f>
        <v/>
      </c>
      <c r="X146" s="70">
        <f>IF($S146="","",IF(ISNUMBER($K146),$K146,$W146))</f>
        <v/>
      </c>
      <c r="Y146" s="70">
        <f>IF($S146="","",IF(N($T146)&gt;0,AVERAGEIFS($U$5:$U$1000,$R$5:$R$1000,ROW(),$S$5:$S$1000,"Sub"),$U146))</f>
        <v/>
      </c>
      <c r="Z146" s="70">
        <f>IF($S146="","",IF(N($T146)&gt;0,AVERAGEIFS($V$5:$V$1000,$R$5:$R$1000,ROW(),$S$5:$S$1000,"Sub"),$V146))</f>
        <v/>
      </c>
      <c r="AA146" s="70">
        <f>IF($S146="","",IF(N($T146)&gt;0,AVERAGEIFS($W$5:$W$1000,$R$5:$R$1000,ROW(),$S$5:$S$1000,"Sub"),$W146))</f>
        <v/>
      </c>
      <c r="AB146" s="70">
        <f>IF($S146="","",IF(N($T146)&gt;0,AVERAGEIFS($X$5:$X$1000,$R$5:$R$1000,ROW(),$S$5:$S$1000,"Sub"),$X146))</f>
        <v/>
      </c>
    </row>
    <row r="147">
      <c r="A147" s="61">
        <f>IF(NOT((COUNTA($B147:$K147)+COUNTA($N147))&gt;0),"",IF($S147="Macro",COUNTIFS($S$5:$S147,"Macro",$P$5:$P147,$P147),IF(N($R147)=0,"?",COUNTIFS(INDEX($S$5:$S$1000,1):INDEX($S$5:$S$1000,$R147-4),"Macro",INDEX($P$5:$P$1000,1):INDEX($P$5:$P$1000,$R147-4),INDEX($P$5:$P$1000,$R147-4))&amp;"."&amp;COUNTIFS($R$5:$R147,$R147,$S$5:$S147,"Sub"))))</f>
        <v/>
      </c>
      <c r="B147" s="62" t="n"/>
      <c r="C147" s="63" t="n"/>
      <c r="D147" s="62" t="n"/>
      <c r="E147" s="64" t="n"/>
      <c r="F147" s="64" t="n"/>
      <c r="G147" s="65" t="n"/>
      <c r="H147" s="66" t="n"/>
      <c r="I147" s="66" t="n"/>
      <c r="J147" s="66" t="n"/>
      <c r="K147" s="66" t="n"/>
      <c r="L147" s="67">
        <f>IF(NOT((COUNTA($B147:$K147)+COUNTA($N147))&gt;0),"",IF(N($T147)&gt;0,$AB147,IFERROR(LOOKUP(2,1/(H147:K147&lt;&gt;""),H147:K147),0)))</f>
        <v/>
      </c>
      <c r="M147" s="61">
        <f>IF(L147="","",IF(L147&gt;=1,"Completado",IF(L147&gt;0,"En curso","Pendiente")))</f>
        <v/>
      </c>
      <c r="N147" s="62" t="n"/>
      <c r="O147" s="68">
        <f>IF(NOT((COUNTA($B147:$K147)+COUNTA($N147))&gt;0),"",IF((IF(AND($S147="Macro",$B147=""),"Macroactividad vacía"&amp;" · ","")&amp;IF(AND($B147&lt;&gt;"",$C147&lt;&gt;""),"Escriba la subactividad en otra fila, debajo de su macroactividad"&amp;" · ","")&amp;IF(AND($S147="Sub",N($R147)=0),"Subactividad sin macroactividad arriba"&amp;" · ","")&amp;IF($D147="","Sin responsable"&amp;" · ","")&amp;IF($E147="","Sin fecha de inicio"&amp;" · ","")&amp;IF($F147="","Sin fecha límite"&amp;" · ","")&amp;IF(OR(AND($E147&lt;&gt;"",NOT(ISNUMBER($E147))),AND($F147&lt;&gt;"",NOT(ISNUMBER($F147)))),"Fecha no válida"&amp;" · ","")&amp;IF(AND(ISNUMBER($E147),ISNUMBER($F147),$E147&gt;$F147),"Inicio posterior a fecha límite"&amp;" · ","")&amp;IF(AND($S147="Macro",$G147=""),"Peso vacío"&amp;" · ","")&amp;IF(AND($S147="Macro",$G147&lt;&gt;"",OR(NOT(ISNUMBER($G147)),$G147&lt;=0,$G147&gt;1)),"Peso fuera de rango"&amp;" · ","")&amp;IF(AND($S147="Sub",$G147&lt;&gt;""),"Las subactividades no llevan peso"&amp;" · ","")&amp;IF(AND($S147="Macro",ABS(SUMIFS($G$5:$G$1000,$P$5:$P$1000,$P147,$S$5:$S$1000,"Macro")-1)&gt;0.0001),"Pesos del mes suman "&amp;TEXT(SUMIFS($G$5:$G$1000,$P$5:$P$1000,$P147,$S$5:$S$1000,"Macro"),"0%")&amp;" · ","")&amp;IF(AND(N($T147)&gt;0,COUNT($H147:$K147)&gt;0),"Con subactividades: deje vacías las semanas (se calculan solas)"&amp;" · ","")&amp;IF((COUNTIF($H147:$K147,"&gt;1")+COUNTIF($H147:$K147,"&lt;0")+COUNTA($H147:$K147)-COUNT($H147:$K147))&gt;0,"Avance fuera de rango 0-100%"&amp;" · ","")&amp;IF(OR(AND($I147&lt;&gt;"",$I147&lt;$H147),AND($J147&lt;&gt;"",$J147&lt;MAX($H147:$I147)),AND($K147&lt;&gt;"",$K147&lt;MAX($H147:$J147))),"Avance semanal decreciente"&amp;" · ","")&amp;IF(AND(ISNUMBER($F147),$F147&lt;FechaRef,N($L147)&lt;1),"Vencida"&amp;" · ","")&amp;IF(AND(ObsObligatoria="Sí",ISNUMBER($F147),$F147&lt;FechaRef,N($L147)&lt;1,$N147=""),"Vencida sin observación"&amp;" · ",""))="","✔ OK","⚠ "&amp;LEFT(IF(AND($S147="Macro",$B147=""),"Macroactividad vacía"&amp;" · ","")&amp;IF(AND($B147&lt;&gt;"",$C147&lt;&gt;""),"Escriba la subactividad en otra fila, debajo de su macroactividad"&amp;" · ","")&amp;IF(AND($S147="Sub",N($R147)=0),"Subactividad sin macroactividad arriba"&amp;" · ","")&amp;IF($D147="","Sin responsable"&amp;" · ","")&amp;IF($E147="","Sin fecha de inicio"&amp;" · ","")&amp;IF($F147="","Sin fecha límite"&amp;" · ","")&amp;IF(OR(AND($E147&lt;&gt;"",NOT(ISNUMBER($E147))),AND($F147&lt;&gt;"",NOT(ISNUMBER($F147)))),"Fecha no válida"&amp;" · ","")&amp;IF(AND(ISNUMBER($E147),ISNUMBER($F147),$E147&gt;$F147),"Inicio posterior a fecha límite"&amp;" · ","")&amp;IF(AND($S147="Macro",$G147=""),"Peso vacío"&amp;" · ","")&amp;IF(AND($S147="Macro",$G147&lt;&gt;"",OR(NOT(ISNUMBER($G147)),$G147&lt;=0,$G147&gt;1)),"Peso fuera de rango"&amp;" · ","")&amp;IF(AND($S147="Sub",$G147&lt;&gt;""),"Las subactividades no llevan peso"&amp;" · ","")&amp;IF(AND($S147="Macro",ABS(SUMIFS($G$5:$G$1000,$P$5:$P$1000,$P147,$S$5:$S$1000,"Macro")-1)&gt;0.0001),"Pesos del mes suman "&amp;TEXT(SUMIFS($G$5:$G$1000,$P$5:$P$1000,$P147,$S$5:$S$1000,"Macro"),"0%")&amp;" · ","")&amp;IF(AND(N($T147)&gt;0,COUNT($H147:$K147)&gt;0),"Con subactividades: deje vacías las semanas (se calculan solas)"&amp;" · ","")&amp;IF((COUNTIF($H147:$K147,"&gt;1")+COUNTIF($H147:$K147,"&lt;0")+COUNTA($H147:$K147)-COUNT($H147:$K147))&gt;0,"Avance fuera de rango 0-100%"&amp;" · ","")&amp;IF(OR(AND($I147&lt;&gt;"",$I147&lt;$H147),AND($J147&lt;&gt;"",$J147&lt;MAX($H147:$I147)),AND($K147&lt;&gt;"",$K147&lt;MAX($H147:$J147))),"Avance semanal decreciente"&amp;" · ","")&amp;IF(AND(ISNUMBER($F147),$F147&lt;FechaRef,N($L147)&lt;1),"Vencida"&amp;" · ","")&amp;IF(AND(ObsObligatoria="Sí",ISNUMBER($F147),$F147&lt;FechaRef,N($L147)&lt;1,$N147=""),"Vencida sin observación"&amp;" · ",""),LEN(IF(AND($S147="Macro",$B147=""),"Macroactividad vacía"&amp;" · ","")&amp;IF(AND($B147&lt;&gt;"",$C147&lt;&gt;""),"Escriba la subactividad en otra fila, debajo de su macroactividad"&amp;" · ","")&amp;IF(AND($S147="Sub",N($R147)=0),"Subactividad sin macroactividad arriba"&amp;" · ","")&amp;IF($D147="","Sin responsable"&amp;" · ","")&amp;IF($E147="","Sin fecha de inicio"&amp;" · ","")&amp;IF($F147="","Sin fecha límite"&amp;" · ","")&amp;IF(OR(AND($E147&lt;&gt;"",NOT(ISNUMBER($E147))),AND($F147&lt;&gt;"",NOT(ISNUMBER($F147)))),"Fecha no válida"&amp;" · ","")&amp;IF(AND(ISNUMBER($E147),ISNUMBER($F147),$E147&gt;$F147),"Inicio posterior a fecha límite"&amp;" · ","")&amp;IF(AND($S147="Macro",$G147=""),"Peso vacío"&amp;" · ","")&amp;IF(AND($S147="Macro",$G147&lt;&gt;"",OR(NOT(ISNUMBER($G147)),$G147&lt;=0,$G147&gt;1)),"Peso fuera de rango"&amp;" · ","")&amp;IF(AND($S147="Sub",$G147&lt;&gt;""),"Las subactividades no llevan peso"&amp;" · ","")&amp;IF(AND($S147="Macro",ABS(SUMIFS($G$5:$G$1000,$P$5:$P$1000,$P147,$S$5:$S$1000,"Macro")-1)&gt;0.0001),"Pesos del mes suman "&amp;TEXT(SUMIFS($G$5:$G$1000,$P$5:$P$1000,$P147,$S$5:$S$1000,"Macro"),"0%")&amp;" · ","")&amp;IF(AND(N($T147)&gt;0,COUNT($H147:$K147)&gt;0),"Con subactividades: deje vacías las semanas (se calculan solas)"&amp;" · ","")&amp;IF((COUNTIF($H147:$K147,"&gt;1")+COUNTIF($H147:$K147,"&lt;0")+COUNTA($H147:$K147)-COUNT($H147:$K147))&gt;0,"Avance fuera de rango 0-100%"&amp;" · ","")&amp;IF(OR(AND($I147&lt;&gt;"",$I147&lt;$H147),AND($J147&lt;&gt;"",$J147&lt;MAX($H147:$I147)),AND($K147&lt;&gt;"",$K147&lt;MAX($H147:$J147))),"Avance semanal decreciente"&amp;" · ","")&amp;IF(AND(ISNUMBER($F147),$F147&lt;FechaRef,N($L147)&lt;1),"Vencida"&amp;" · ","")&amp;IF(AND(ObsObligatoria="Sí",ISNUMBER($F147),$F147&lt;FechaRef,N($L147)&lt;1,$N147=""),"Vencida sin observación"&amp;" · ",""))-3)))</f>
        <v/>
      </c>
      <c r="P147" s="69">
        <f>IF(NOT((COUNTA($B147:$K147)+COUNTA($N147))&gt;0),"",IF(AND($S147="Sub",N($R147)&gt;0),IF(ISNUMBER(INDEX($E$5:$E$1000,$R147-4)),DATE(YEAR(INDEX($E$5:$E$1000,$R147-4)),MONTH(INDEX($E$5:$E$1000,$R147-4)),1),IF(ISNUMBER(INDEX($F$5:$F$1000,$R147-4)),DATE(YEAR(INDEX($F$5:$F$1000,$R147-4)),MONTH(INDEX($F$5:$F$1000,$R147-4)),1),MesCiclo)),IF(ISNUMBER($E147),DATE(YEAR($E147),MONTH($E147),1),IF(ISNUMBER($F147),DATE(YEAR($F147),MONTH($F147),1),MesCiclo))))</f>
        <v/>
      </c>
      <c r="Q147" s="70">
        <f>IF(OR($P147="",$P147&lt;&gt;MesCiclo),"",COUNTIF($P$5:$P147,MesCiclo))</f>
        <v/>
      </c>
      <c r="R147" s="70">
        <f>IF($S147="","",IF($S147="Macro",ROW(),IFERROR(LOOKUP(2,1/($S$5:$S147="Macro"),ROW($S$5:$S147)),0)))</f>
        <v/>
      </c>
      <c r="S147" s="70">
        <f>IF(NOT((COUNTA($B147:$K147)+COUNTA($N147))&gt;0),"",IF($B147&lt;&gt;"","Macro",IF($C147&lt;&gt;"","Sub","Macro")))</f>
        <v/>
      </c>
      <c r="T147" s="70">
        <f>IF($S147="Macro",COUNTIFS($R$5:$R$1000,ROW(),$S$5:$S$1000,"Sub"),"")</f>
        <v/>
      </c>
      <c r="U147" s="70">
        <f>IF($S147="","",IF(ISNUMBER($H147),$H147,0))</f>
        <v/>
      </c>
      <c r="V147" s="70">
        <f>IF($S147="","",IF(ISNUMBER($I147),$I147,$U147))</f>
        <v/>
      </c>
      <c r="W147" s="70">
        <f>IF($S147="","",IF(ISNUMBER($J147),$J147,$V147))</f>
        <v/>
      </c>
      <c r="X147" s="70">
        <f>IF($S147="","",IF(ISNUMBER($K147),$K147,$W147))</f>
        <v/>
      </c>
      <c r="Y147" s="70">
        <f>IF($S147="","",IF(N($T147)&gt;0,AVERAGEIFS($U$5:$U$1000,$R$5:$R$1000,ROW(),$S$5:$S$1000,"Sub"),$U147))</f>
        <v/>
      </c>
      <c r="Z147" s="70">
        <f>IF($S147="","",IF(N($T147)&gt;0,AVERAGEIFS($V$5:$V$1000,$R$5:$R$1000,ROW(),$S$5:$S$1000,"Sub"),$V147))</f>
        <v/>
      </c>
      <c r="AA147" s="70">
        <f>IF($S147="","",IF(N($T147)&gt;0,AVERAGEIFS($W$5:$W$1000,$R$5:$R$1000,ROW(),$S$5:$S$1000,"Sub"),$W147))</f>
        <v/>
      </c>
      <c r="AB147" s="70">
        <f>IF($S147="","",IF(N($T147)&gt;0,AVERAGEIFS($X$5:$X$1000,$R$5:$R$1000,ROW(),$S$5:$S$1000,"Sub"),$X147))</f>
        <v/>
      </c>
    </row>
    <row r="148">
      <c r="A148" s="61">
        <f>IF(NOT((COUNTA($B148:$K148)+COUNTA($N148))&gt;0),"",IF($S148="Macro",COUNTIFS($S$5:$S148,"Macro",$P$5:$P148,$P148),IF(N($R148)=0,"?",COUNTIFS(INDEX($S$5:$S$1000,1):INDEX($S$5:$S$1000,$R148-4),"Macro",INDEX($P$5:$P$1000,1):INDEX($P$5:$P$1000,$R148-4),INDEX($P$5:$P$1000,$R148-4))&amp;"."&amp;COUNTIFS($R$5:$R148,$R148,$S$5:$S148,"Sub"))))</f>
        <v/>
      </c>
      <c r="B148" s="62" t="n"/>
      <c r="C148" s="63" t="n"/>
      <c r="D148" s="62" t="n"/>
      <c r="E148" s="64" t="n"/>
      <c r="F148" s="64" t="n"/>
      <c r="G148" s="65" t="n"/>
      <c r="H148" s="66" t="n"/>
      <c r="I148" s="66" t="n"/>
      <c r="J148" s="66" t="n"/>
      <c r="K148" s="66" t="n"/>
      <c r="L148" s="67">
        <f>IF(NOT((COUNTA($B148:$K148)+COUNTA($N148))&gt;0),"",IF(N($T148)&gt;0,$AB148,IFERROR(LOOKUP(2,1/(H148:K148&lt;&gt;""),H148:K148),0)))</f>
        <v/>
      </c>
      <c r="M148" s="61">
        <f>IF(L148="","",IF(L148&gt;=1,"Completado",IF(L148&gt;0,"En curso","Pendiente")))</f>
        <v/>
      </c>
      <c r="N148" s="62" t="n"/>
      <c r="O148" s="68">
        <f>IF(NOT((COUNTA($B148:$K148)+COUNTA($N148))&gt;0),"",IF((IF(AND($S148="Macro",$B148=""),"Macroactividad vacía"&amp;" · ","")&amp;IF(AND($B148&lt;&gt;"",$C148&lt;&gt;""),"Escriba la subactividad en otra fila, debajo de su macroactividad"&amp;" · ","")&amp;IF(AND($S148="Sub",N($R148)=0),"Subactividad sin macroactividad arriba"&amp;" · ","")&amp;IF($D148="","Sin responsable"&amp;" · ","")&amp;IF($E148="","Sin fecha de inicio"&amp;" · ","")&amp;IF($F148="","Sin fecha límite"&amp;" · ","")&amp;IF(OR(AND($E148&lt;&gt;"",NOT(ISNUMBER($E148))),AND($F148&lt;&gt;"",NOT(ISNUMBER($F148)))),"Fecha no válida"&amp;" · ","")&amp;IF(AND(ISNUMBER($E148),ISNUMBER($F148),$E148&gt;$F148),"Inicio posterior a fecha límite"&amp;" · ","")&amp;IF(AND($S148="Macro",$G148=""),"Peso vacío"&amp;" · ","")&amp;IF(AND($S148="Macro",$G148&lt;&gt;"",OR(NOT(ISNUMBER($G148)),$G148&lt;=0,$G148&gt;1)),"Peso fuera de rango"&amp;" · ","")&amp;IF(AND($S148="Sub",$G148&lt;&gt;""),"Las subactividades no llevan peso"&amp;" · ","")&amp;IF(AND($S148="Macro",ABS(SUMIFS($G$5:$G$1000,$P$5:$P$1000,$P148,$S$5:$S$1000,"Macro")-1)&gt;0.0001),"Pesos del mes suman "&amp;TEXT(SUMIFS($G$5:$G$1000,$P$5:$P$1000,$P148,$S$5:$S$1000,"Macro"),"0%")&amp;" · ","")&amp;IF(AND(N($T148)&gt;0,COUNT($H148:$K148)&gt;0),"Con subactividades: deje vacías las semanas (se calculan solas)"&amp;" · ","")&amp;IF((COUNTIF($H148:$K148,"&gt;1")+COUNTIF($H148:$K148,"&lt;0")+COUNTA($H148:$K148)-COUNT($H148:$K148))&gt;0,"Avance fuera de rango 0-100%"&amp;" · ","")&amp;IF(OR(AND($I148&lt;&gt;"",$I148&lt;$H148),AND($J148&lt;&gt;"",$J148&lt;MAX($H148:$I148)),AND($K148&lt;&gt;"",$K148&lt;MAX($H148:$J148))),"Avance semanal decreciente"&amp;" · ","")&amp;IF(AND(ISNUMBER($F148),$F148&lt;FechaRef,N($L148)&lt;1),"Vencida"&amp;" · ","")&amp;IF(AND(ObsObligatoria="Sí",ISNUMBER($F148),$F148&lt;FechaRef,N($L148)&lt;1,$N148=""),"Vencida sin observación"&amp;" · ",""))="","✔ OK","⚠ "&amp;LEFT(IF(AND($S148="Macro",$B148=""),"Macroactividad vacía"&amp;" · ","")&amp;IF(AND($B148&lt;&gt;"",$C148&lt;&gt;""),"Escriba la subactividad en otra fila, debajo de su macroactividad"&amp;" · ","")&amp;IF(AND($S148="Sub",N($R148)=0),"Subactividad sin macroactividad arriba"&amp;" · ","")&amp;IF($D148="","Sin responsable"&amp;" · ","")&amp;IF($E148="","Sin fecha de inicio"&amp;" · ","")&amp;IF($F148="","Sin fecha límite"&amp;" · ","")&amp;IF(OR(AND($E148&lt;&gt;"",NOT(ISNUMBER($E148))),AND($F148&lt;&gt;"",NOT(ISNUMBER($F148)))),"Fecha no válida"&amp;" · ","")&amp;IF(AND(ISNUMBER($E148),ISNUMBER($F148),$E148&gt;$F148),"Inicio posterior a fecha límite"&amp;" · ","")&amp;IF(AND($S148="Macro",$G148=""),"Peso vacío"&amp;" · ","")&amp;IF(AND($S148="Macro",$G148&lt;&gt;"",OR(NOT(ISNUMBER($G148)),$G148&lt;=0,$G148&gt;1)),"Peso fuera de rango"&amp;" · ","")&amp;IF(AND($S148="Sub",$G148&lt;&gt;""),"Las subactividades no llevan peso"&amp;" · ","")&amp;IF(AND($S148="Macro",ABS(SUMIFS($G$5:$G$1000,$P$5:$P$1000,$P148,$S$5:$S$1000,"Macro")-1)&gt;0.0001),"Pesos del mes suman "&amp;TEXT(SUMIFS($G$5:$G$1000,$P$5:$P$1000,$P148,$S$5:$S$1000,"Macro"),"0%")&amp;" · ","")&amp;IF(AND(N($T148)&gt;0,COUNT($H148:$K148)&gt;0),"Con subactividades: deje vacías las semanas (se calculan solas)"&amp;" · ","")&amp;IF((COUNTIF($H148:$K148,"&gt;1")+COUNTIF($H148:$K148,"&lt;0")+COUNTA($H148:$K148)-COUNT($H148:$K148))&gt;0,"Avance fuera de rango 0-100%"&amp;" · ","")&amp;IF(OR(AND($I148&lt;&gt;"",$I148&lt;$H148),AND($J148&lt;&gt;"",$J148&lt;MAX($H148:$I148)),AND($K148&lt;&gt;"",$K148&lt;MAX($H148:$J148))),"Avance semanal decreciente"&amp;" · ","")&amp;IF(AND(ISNUMBER($F148),$F148&lt;FechaRef,N($L148)&lt;1),"Vencida"&amp;" · ","")&amp;IF(AND(ObsObligatoria="Sí",ISNUMBER($F148),$F148&lt;FechaRef,N($L148)&lt;1,$N148=""),"Vencida sin observación"&amp;" · ",""),LEN(IF(AND($S148="Macro",$B148=""),"Macroactividad vacía"&amp;" · ","")&amp;IF(AND($B148&lt;&gt;"",$C148&lt;&gt;""),"Escriba la subactividad en otra fila, debajo de su macroactividad"&amp;" · ","")&amp;IF(AND($S148="Sub",N($R148)=0),"Subactividad sin macroactividad arriba"&amp;" · ","")&amp;IF($D148="","Sin responsable"&amp;" · ","")&amp;IF($E148="","Sin fecha de inicio"&amp;" · ","")&amp;IF($F148="","Sin fecha límite"&amp;" · ","")&amp;IF(OR(AND($E148&lt;&gt;"",NOT(ISNUMBER($E148))),AND($F148&lt;&gt;"",NOT(ISNUMBER($F148)))),"Fecha no válida"&amp;" · ","")&amp;IF(AND(ISNUMBER($E148),ISNUMBER($F148),$E148&gt;$F148),"Inicio posterior a fecha límite"&amp;" · ","")&amp;IF(AND($S148="Macro",$G148=""),"Peso vacío"&amp;" · ","")&amp;IF(AND($S148="Macro",$G148&lt;&gt;"",OR(NOT(ISNUMBER($G148)),$G148&lt;=0,$G148&gt;1)),"Peso fuera de rango"&amp;" · ","")&amp;IF(AND($S148="Sub",$G148&lt;&gt;""),"Las subactividades no llevan peso"&amp;" · ","")&amp;IF(AND($S148="Macro",ABS(SUMIFS($G$5:$G$1000,$P$5:$P$1000,$P148,$S$5:$S$1000,"Macro")-1)&gt;0.0001),"Pesos del mes suman "&amp;TEXT(SUMIFS($G$5:$G$1000,$P$5:$P$1000,$P148,$S$5:$S$1000,"Macro"),"0%")&amp;" · ","")&amp;IF(AND(N($T148)&gt;0,COUNT($H148:$K148)&gt;0),"Con subactividades: deje vacías las semanas (se calculan solas)"&amp;" · ","")&amp;IF((COUNTIF($H148:$K148,"&gt;1")+COUNTIF($H148:$K148,"&lt;0")+COUNTA($H148:$K148)-COUNT($H148:$K148))&gt;0,"Avance fuera de rango 0-100%"&amp;" · ","")&amp;IF(OR(AND($I148&lt;&gt;"",$I148&lt;$H148),AND($J148&lt;&gt;"",$J148&lt;MAX($H148:$I148)),AND($K148&lt;&gt;"",$K148&lt;MAX($H148:$J148))),"Avance semanal decreciente"&amp;" · ","")&amp;IF(AND(ISNUMBER($F148),$F148&lt;FechaRef,N($L148)&lt;1),"Vencida"&amp;" · ","")&amp;IF(AND(ObsObligatoria="Sí",ISNUMBER($F148),$F148&lt;FechaRef,N($L148)&lt;1,$N148=""),"Vencida sin observación"&amp;" · ",""))-3)))</f>
        <v/>
      </c>
      <c r="P148" s="69">
        <f>IF(NOT((COUNTA($B148:$K148)+COUNTA($N148))&gt;0),"",IF(AND($S148="Sub",N($R148)&gt;0),IF(ISNUMBER(INDEX($E$5:$E$1000,$R148-4)),DATE(YEAR(INDEX($E$5:$E$1000,$R148-4)),MONTH(INDEX($E$5:$E$1000,$R148-4)),1),IF(ISNUMBER(INDEX($F$5:$F$1000,$R148-4)),DATE(YEAR(INDEX($F$5:$F$1000,$R148-4)),MONTH(INDEX($F$5:$F$1000,$R148-4)),1),MesCiclo)),IF(ISNUMBER($E148),DATE(YEAR($E148),MONTH($E148),1),IF(ISNUMBER($F148),DATE(YEAR($F148),MONTH($F148),1),MesCiclo))))</f>
        <v/>
      </c>
      <c r="Q148" s="70">
        <f>IF(OR($P148="",$P148&lt;&gt;MesCiclo),"",COUNTIF($P$5:$P148,MesCiclo))</f>
        <v/>
      </c>
      <c r="R148" s="70">
        <f>IF($S148="","",IF($S148="Macro",ROW(),IFERROR(LOOKUP(2,1/($S$5:$S148="Macro"),ROW($S$5:$S148)),0)))</f>
        <v/>
      </c>
      <c r="S148" s="70">
        <f>IF(NOT((COUNTA($B148:$K148)+COUNTA($N148))&gt;0),"",IF($B148&lt;&gt;"","Macro",IF($C148&lt;&gt;"","Sub","Macro")))</f>
        <v/>
      </c>
      <c r="T148" s="70">
        <f>IF($S148="Macro",COUNTIFS($R$5:$R$1000,ROW(),$S$5:$S$1000,"Sub"),"")</f>
        <v/>
      </c>
      <c r="U148" s="70">
        <f>IF($S148="","",IF(ISNUMBER($H148),$H148,0))</f>
        <v/>
      </c>
      <c r="V148" s="70">
        <f>IF($S148="","",IF(ISNUMBER($I148),$I148,$U148))</f>
        <v/>
      </c>
      <c r="W148" s="70">
        <f>IF($S148="","",IF(ISNUMBER($J148),$J148,$V148))</f>
        <v/>
      </c>
      <c r="X148" s="70">
        <f>IF($S148="","",IF(ISNUMBER($K148),$K148,$W148))</f>
        <v/>
      </c>
      <c r="Y148" s="70">
        <f>IF($S148="","",IF(N($T148)&gt;0,AVERAGEIFS($U$5:$U$1000,$R$5:$R$1000,ROW(),$S$5:$S$1000,"Sub"),$U148))</f>
        <v/>
      </c>
      <c r="Z148" s="70">
        <f>IF($S148="","",IF(N($T148)&gt;0,AVERAGEIFS($V$5:$V$1000,$R$5:$R$1000,ROW(),$S$5:$S$1000,"Sub"),$V148))</f>
        <v/>
      </c>
      <c r="AA148" s="70">
        <f>IF($S148="","",IF(N($T148)&gt;0,AVERAGEIFS($W$5:$W$1000,$R$5:$R$1000,ROW(),$S$5:$S$1000,"Sub"),$W148))</f>
        <v/>
      </c>
      <c r="AB148" s="70">
        <f>IF($S148="","",IF(N($T148)&gt;0,AVERAGEIFS($X$5:$X$1000,$R$5:$R$1000,ROW(),$S$5:$S$1000,"Sub"),$X148))</f>
        <v/>
      </c>
    </row>
    <row r="149">
      <c r="A149" s="61">
        <f>IF(NOT((COUNTA($B149:$K149)+COUNTA($N149))&gt;0),"",IF($S149="Macro",COUNTIFS($S$5:$S149,"Macro",$P$5:$P149,$P149),IF(N($R149)=0,"?",COUNTIFS(INDEX($S$5:$S$1000,1):INDEX($S$5:$S$1000,$R149-4),"Macro",INDEX($P$5:$P$1000,1):INDEX($P$5:$P$1000,$R149-4),INDEX($P$5:$P$1000,$R149-4))&amp;"."&amp;COUNTIFS($R$5:$R149,$R149,$S$5:$S149,"Sub"))))</f>
        <v/>
      </c>
      <c r="B149" s="62" t="n"/>
      <c r="C149" s="63" t="n"/>
      <c r="D149" s="62" t="n"/>
      <c r="E149" s="64" t="n"/>
      <c r="F149" s="64" t="n"/>
      <c r="G149" s="65" t="n"/>
      <c r="H149" s="66" t="n"/>
      <c r="I149" s="66" t="n"/>
      <c r="J149" s="66" t="n"/>
      <c r="K149" s="66" t="n"/>
      <c r="L149" s="67">
        <f>IF(NOT((COUNTA($B149:$K149)+COUNTA($N149))&gt;0),"",IF(N($T149)&gt;0,$AB149,IFERROR(LOOKUP(2,1/(H149:K149&lt;&gt;""),H149:K149),0)))</f>
        <v/>
      </c>
      <c r="M149" s="61">
        <f>IF(L149="","",IF(L149&gt;=1,"Completado",IF(L149&gt;0,"En curso","Pendiente")))</f>
        <v/>
      </c>
      <c r="N149" s="62" t="n"/>
      <c r="O149" s="68">
        <f>IF(NOT((COUNTA($B149:$K149)+COUNTA($N149))&gt;0),"",IF((IF(AND($S149="Macro",$B149=""),"Macroactividad vacía"&amp;" · ","")&amp;IF(AND($B149&lt;&gt;"",$C149&lt;&gt;""),"Escriba la subactividad en otra fila, debajo de su macroactividad"&amp;" · ","")&amp;IF(AND($S149="Sub",N($R149)=0),"Subactividad sin macroactividad arriba"&amp;" · ","")&amp;IF($D149="","Sin responsable"&amp;" · ","")&amp;IF($E149="","Sin fecha de inicio"&amp;" · ","")&amp;IF($F149="","Sin fecha límite"&amp;" · ","")&amp;IF(OR(AND($E149&lt;&gt;"",NOT(ISNUMBER($E149))),AND($F149&lt;&gt;"",NOT(ISNUMBER($F149)))),"Fecha no válida"&amp;" · ","")&amp;IF(AND(ISNUMBER($E149),ISNUMBER($F149),$E149&gt;$F149),"Inicio posterior a fecha límite"&amp;" · ","")&amp;IF(AND($S149="Macro",$G149=""),"Peso vacío"&amp;" · ","")&amp;IF(AND($S149="Macro",$G149&lt;&gt;"",OR(NOT(ISNUMBER($G149)),$G149&lt;=0,$G149&gt;1)),"Peso fuera de rango"&amp;" · ","")&amp;IF(AND($S149="Sub",$G149&lt;&gt;""),"Las subactividades no llevan peso"&amp;" · ","")&amp;IF(AND($S149="Macro",ABS(SUMIFS($G$5:$G$1000,$P$5:$P$1000,$P149,$S$5:$S$1000,"Macro")-1)&gt;0.0001),"Pesos del mes suman "&amp;TEXT(SUMIFS($G$5:$G$1000,$P$5:$P$1000,$P149,$S$5:$S$1000,"Macro"),"0%")&amp;" · ","")&amp;IF(AND(N($T149)&gt;0,COUNT($H149:$K149)&gt;0),"Con subactividades: deje vacías las semanas (se calculan solas)"&amp;" · ","")&amp;IF((COUNTIF($H149:$K149,"&gt;1")+COUNTIF($H149:$K149,"&lt;0")+COUNTA($H149:$K149)-COUNT($H149:$K149))&gt;0,"Avance fuera de rango 0-100%"&amp;" · ","")&amp;IF(OR(AND($I149&lt;&gt;"",$I149&lt;$H149),AND($J149&lt;&gt;"",$J149&lt;MAX($H149:$I149)),AND($K149&lt;&gt;"",$K149&lt;MAX($H149:$J149))),"Avance semanal decreciente"&amp;" · ","")&amp;IF(AND(ISNUMBER($F149),$F149&lt;FechaRef,N($L149)&lt;1),"Vencida"&amp;" · ","")&amp;IF(AND(ObsObligatoria="Sí",ISNUMBER($F149),$F149&lt;FechaRef,N($L149)&lt;1,$N149=""),"Vencida sin observación"&amp;" · ",""))="","✔ OK","⚠ "&amp;LEFT(IF(AND($S149="Macro",$B149=""),"Macroactividad vacía"&amp;" · ","")&amp;IF(AND($B149&lt;&gt;"",$C149&lt;&gt;""),"Escriba la subactividad en otra fila, debajo de su macroactividad"&amp;" · ","")&amp;IF(AND($S149="Sub",N($R149)=0),"Subactividad sin macroactividad arriba"&amp;" · ","")&amp;IF($D149="","Sin responsable"&amp;" · ","")&amp;IF($E149="","Sin fecha de inicio"&amp;" · ","")&amp;IF($F149="","Sin fecha límite"&amp;" · ","")&amp;IF(OR(AND($E149&lt;&gt;"",NOT(ISNUMBER($E149))),AND($F149&lt;&gt;"",NOT(ISNUMBER($F149)))),"Fecha no válida"&amp;" · ","")&amp;IF(AND(ISNUMBER($E149),ISNUMBER($F149),$E149&gt;$F149),"Inicio posterior a fecha límite"&amp;" · ","")&amp;IF(AND($S149="Macro",$G149=""),"Peso vacío"&amp;" · ","")&amp;IF(AND($S149="Macro",$G149&lt;&gt;"",OR(NOT(ISNUMBER($G149)),$G149&lt;=0,$G149&gt;1)),"Peso fuera de rango"&amp;" · ","")&amp;IF(AND($S149="Sub",$G149&lt;&gt;""),"Las subactividades no llevan peso"&amp;" · ","")&amp;IF(AND($S149="Macro",ABS(SUMIFS($G$5:$G$1000,$P$5:$P$1000,$P149,$S$5:$S$1000,"Macro")-1)&gt;0.0001),"Pesos del mes suman "&amp;TEXT(SUMIFS($G$5:$G$1000,$P$5:$P$1000,$P149,$S$5:$S$1000,"Macro"),"0%")&amp;" · ","")&amp;IF(AND(N($T149)&gt;0,COUNT($H149:$K149)&gt;0),"Con subactividades: deje vacías las semanas (se calculan solas)"&amp;" · ","")&amp;IF((COUNTIF($H149:$K149,"&gt;1")+COUNTIF($H149:$K149,"&lt;0")+COUNTA($H149:$K149)-COUNT($H149:$K149))&gt;0,"Avance fuera de rango 0-100%"&amp;" · ","")&amp;IF(OR(AND($I149&lt;&gt;"",$I149&lt;$H149),AND($J149&lt;&gt;"",$J149&lt;MAX($H149:$I149)),AND($K149&lt;&gt;"",$K149&lt;MAX($H149:$J149))),"Avance semanal decreciente"&amp;" · ","")&amp;IF(AND(ISNUMBER($F149),$F149&lt;FechaRef,N($L149)&lt;1),"Vencida"&amp;" · ","")&amp;IF(AND(ObsObligatoria="Sí",ISNUMBER($F149),$F149&lt;FechaRef,N($L149)&lt;1,$N149=""),"Vencida sin observación"&amp;" · ",""),LEN(IF(AND($S149="Macro",$B149=""),"Macroactividad vacía"&amp;" · ","")&amp;IF(AND($B149&lt;&gt;"",$C149&lt;&gt;""),"Escriba la subactividad en otra fila, debajo de su macroactividad"&amp;" · ","")&amp;IF(AND($S149="Sub",N($R149)=0),"Subactividad sin macroactividad arriba"&amp;" · ","")&amp;IF($D149="","Sin responsable"&amp;" · ","")&amp;IF($E149="","Sin fecha de inicio"&amp;" · ","")&amp;IF($F149="","Sin fecha límite"&amp;" · ","")&amp;IF(OR(AND($E149&lt;&gt;"",NOT(ISNUMBER($E149))),AND($F149&lt;&gt;"",NOT(ISNUMBER($F149)))),"Fecha no válida"&amp;" · ","")&amp;IF(AND(ISNUMBER($E149),ISNUMBER($F149),$E149&gt;$F149),"Inicio posterior a fecha límite"&amp;" · ","")&amp;IF(AND($S149="Macro",$G149=""),"Peso vacío"&amp;" · ","")&amp;IF(AND($S149="Macro",$G149&lt;&gt;"",OR(NOT(ISNUMBER($G149)),$G149&lt;=0,$G149&gt;1)),"Peso fuera de rango"&amp;" · ","")&amp;IF(AND($S149="Sub",$G149&lt;&gt;""),"Las subactividades no llevan peso"&amp;" · ","")&amp;IF(AND($S149="Macro",ABS(SUMIFS($G$5:$G$1000,$P$5:$P$1000,$P149,$S$5:$S$1000,"Macro")-1)&gt;0.0001),"Pesos del mes suman "&amp;TEXT(SUMIFS($G$5:$G$1000,$P$5:$P$1000,$P149,$S$5:$S$1000,"Macro"),"0%")&amp;" · ","")&amp;IF(AND(N($T149)&gt;0,COUNT($H149:$K149)&gt;0),"Con subactividades: deje vacías las semanas (se calculan solas)"&amp;" · ","")&amp;IF((COUNTIF($H149:$K149,"&gt;1")+COUNTIF($H149:$K149,"&lt;0")+COUNTA($H149:$K149)-COUNT($H149:$K149))&gt;0,"Avance fuera de rango 0-100%"&amp;" · ","")&amp;IF(OR(AND($I149&lt;&gt;"",$I149&lt;$H149),AND($J149&lt;&gt;"",$J149&lt;MAX($H149:$I149)),AND($K149&lt;&gt;"",$K149&lt;MAX($H149:$J149))),"Avance semanal decreciente"&amp;" · ","")&amp;IF(AND(ISNUMBER($F149),$F149&lt;FechaRef,N($L149)&lt;1),"Vencida"&amp;" · ","")&amp;IF(AND(ObsObligatoria="Sí",ISNUMBER($F149),$F149&lt;FechaRef,N($L149)&lt;1,$N149=""),"Vencida sin observación"&amp;" · ",""))-3)))</f>
        <v/>
      </c>
      <c r="P149" s="69">
        <f>IF(NOT((COUNTA($B149:$K149)+COUNTA($N149))&gt;0),"",IF(AND($S149="Sub",N($R149)&gt;0),IF(ISNUMBER(INDEX($E$5:$E$1000,$R149-4)),DATE(YEAR(INDEX($E$5:$E$1000,$R149-4)),MONTH(INDEX($E$5:$E$1000,$R149-4)),1),IF(ISNUMBER(INDEX($F$5:$F$1000,$R149-4)),DATE(YEAR(INDEX($F$5:$F$1000,$R149-4)),MONTH(INDEX($F$5:$F$1000,$R149-4)),1),MesCiclo)),IF(ISNUMBER($E149),DATE(YEAR($E149),MONTH($E149),1),IF(ISNUMBER($F149),DATE(YEAR($F149),MONTH($F149),1),MesCiclo))))</f>
        <v/>
      </c>
      <c r="Q149" s="70">
        <f>IF(OR($P149="",$P149&lt;&gt;MesCiclo),"",COUNTIF($P$5:$P149,MesCiclo))</f>
        <v/>
      </c>
      <c r="R149" s="70">
        <f>IF($S149="","",IF($S149="Macro",ROW(),IFERROR(LOOKUP(2,1/($S$5:$S149="Macro"),ROW($S$5:$S149)),0)))</f>
        <v/>
      </c>
      <c r="S149" s="70">
        <f>IF(NOT((COUNTA($B149:$K149)+COUNTA($N149))&gt;0),"",IF($B149&lt;&gt;"","Macro",IF($C149&lt;&gt;"","Sub","Macro")))</f>
        <v/>
      </c>
      <c r="T149" s="70">
        <f>IF($S149="Macro",COUNTIFS($R$5:$R$1000,ROW(),$S$5:$S$1000,"Sub"),"")</f>
        <v/>
      </c>
      <c r="U149" s="70">
        <f>IF($S149="","",IF(ISNUMBER($H149),$H149,0))</f>
        <v/>
      </c>
      <c r="V149" s="70">
        <f>IF($S149="","",IF(ISNUMBER($I149),$I149,$U149))</f>
        <v/>
      </c>
      <c r="W149" s="70">
        <f>IF($S149="","",IF(ISNUMBER($J149),$J149,$V149))</f>
        <v/>
      </c>
      <c r="X149" s="70">
        <f>IF($S149="","",IF(ISNUMBER($K149),$K149,$W149))</f>
        <v/>
      </c>
      <c r="Y149" s="70">
        <f>IF($S149="","",IF(N($T149)&gt;0,AVERAGEIFS($U$5:$U$1000,$R$5:$R$1000,ROW(),$S$5:$S$1000,"Sub"),$U149))</f>
        <v/>
      </c>
      <c r="Z149" s="70">
        <f>IF($S149="","",IF(N($T149)&gt;0,AVERAGEIFS($V$5:$V$1000,$R$5:$R$1000,ROW(),$S$5:$S$1000,"Sub"),$V149))</f>
        <v/>
      </c>
      <c r="AA149" s="70">
        <f>IF($S149="","",IF(N($T149)&gt;0,AVERAGEIFS($W$5:$W$1000,$R$5:$R$1000,ROW(),$S$5:$S$1000,"Sub"),$W149))</f>
        <v/>
      </c>
      <c r="AB149" s="70">
        <f>IF($S149="","",IF(N($T149)&gt;0,AVERAGEIFS($X$5:$X$1000,$R$5:$R$1000,ROW(),$S$5:$S$1000,"Sub"),$X149))</f>
        <v/>
      </c>
    </row>
    <row r="150">
      <c r="A150" s="61">
        <f>IF(NOT((COUNTA($B150:$K150)+COUNTA($N150))&gt;0),"",IF($S150="Macro",COUNTIFS($S$5:$S150,"Macro",$P$5:$P150,$P150),IF(N($R150)=0,"?",COUNTIFS(INDEX($S$5:$S$1000,1):INDEX($S$5:$S$1000,$R150-4),"Macro",INDEX($P$5:$P$1000,1):INDEX($P$5:$P$1000,$R150-4),INDEX($P$5:$P$1000,$R150-4))&amp;"."&amp;COUNTIFS($R$5:$R150,$R150,$S$5:$S150,"Sub"))))</f>
        <v/>
      </c>
      <c r="B150" s="62" t="n"/>
      <c r="C150" s="63" t="n"/>
      <c r="D150" s="62" t="n"/>
      <c r="E150" s="64" t="n"/>
      <c r="F150" s="64" t="n"/>
      <c r="G150" s="65" t="n"/>
      <c r="H150" s="66" t="n"/>
      <c r="I150" s="66" t="n"/>
      <c r="J150" s="66" t="n"/>
      <c r="K150" s="66" t="n"/>
      <c r="L150" s="67">
        <f>IF(NOT((COUNTA($B150:$K150)+COUNTA($N150))&gt;0),"",IF(N($T150)&gt;0,$AB150,IFERROR(LOOKUP(2,1/(H150:K150&lt;&gt;""),H150:K150),0)))</f>
        <v/>
      </c>
      <c r="M150" s="61">
        <f>IF(L150="","",IF(L150&gt;=1,"Completado",IF(L150&gt;0,"En curso","Pendiente")))</f>
        <v/>
      </c>
      <c r="N150" s="62" t="n"/>
      <c r="O150" s="68">
        <f>IF(NOT((COUNTA($B150:$K150)+COUNTA($N150))&gt;0),"",IF((IF(AND($S150="Macro",$B150=""),"Macroactividad vacía"&amp;" · ","")&amp;IF(AND($B150&lt;&gt;"",$C150&lt;&gt;""),"Escriba la subactividad en otra fila, debajo de su macroactividad"&amp;" · ","")&amp;IF(AND($S150="Sub",N($R150)=0),"Subactividad sin macroactividad arriba"&amp;" · ","")&amp;IF($D150="","Sin responsable"&amp;" · ","")&amp;IF($E150="","Sin fecha de inicio"&amp;" · ","")&amp;IF($F150="","Sin fecha límite"&amp;" · ","")&amp;IF(OR(AND($E150&lt;&gt;"",NOT(ISNUMBER($E150))),AND($F150&lt;&gt;"",NOT(ISNUMBER($F150)))),"Fecha no válida"&amp;" · ","")&amp;IF(AND(ISNUMBER($E150),ISNUMBER($F150),$E150&gt;$F150),"Inicio posterior a fecha límite"&amp;" · ","")&amp;IF(AND($S150="Macro",$G150=""),"Peso vacío"&amp;" · ","")&amp;IF(AND($S150="Macro",$G150&lt;&gt;"",OR(NOT(ISNUMBER($G150)),$G150&lt;=0,$G150&gt;1)),"Peso fuera de rango"&amp;" · ","")&amp;IF(AND($S150="Sub",$G150&lt;&gt;""),"Las subactividades no llevan peso"&amp;" · ","")&amp;IF(AND($S150="Macro",ABS(SUMIFS($G$5:$G$1000,$P$5:$P$1000,$P150,$S$5:$S$1000,"Macro")-1)&gt;0.0001),"Pesos del mes suman "&amp;TEXT(SUMIFS($G$5:$G$1000,$P$5:$P$1000,$P150,$S$5:$S$1000,"Macro"),"0%")&amp;" · ","")&amp;IF(AND(N($T150)&gt;0,COUNT($H150:$K150)&gt;0),"Con subactividades: deje vacías las semanas (se calculan solas)"&amp;" · ","")&amp;IF((COUNTIF($H150:$K150,"&gt;1")+COUNTIF($H150:$K150,"&lt;0")+COUNTA($H150:$K150)-COUNT($H150:$K150))&gt;0,"Avance fuera de rango 0-100%"&amp;" · ","")&amp;IF(OR(AND($I150&lt;&gt;"",$I150&lt;$H150),AND($J150&lt;&gt;"",$J150&lt;MAX($H150:$I150)),AND($K150&lt;&gt;"",$K150&lt;MAX($H150:$J150))),"Avance semanal decreciente"&amp;" · ","")&amp;IF(AND(ISNUMBER($F150),$F150&lt;FechaRef,N($L150)&lt;1),"Vencida"&amp;" · ","")&amp;IF(AND(ObsObligatoria="Sí",ISNUMBER($F150),$F150&lt;FechaRef,N($L150)&lt;1,$N150=""),"Vencida sin observación"&amp;" · ",""))="","✔ OK","⚠ "&amp;LEFT(IF(AND($S150="Macro",$B150=""),"Macroactividad vacía"&amp;" · ","")&amp;IF(AND($B150&lt;&gt;"",$C150&lt;&gt;""),"Escriba la subactividad en otra fila, debajo de su macroactividad"&amp;" · ","")&amp;IF(AND($S150="Sub",N($R150)=0),"Subactividad sin macroactividad arriba"&amp;" · ","")&amp;IF($D150="","Sin responsable"&amp;" · ","")&amp;IF($E150="","Sin fecha de inicio"&amp;" · ","")&amp;IF($F150="","Sin fecha límite"&amp;" · ","")&amp;IF(OR(AND($E150&lt;&gt;"",NOT(ISNUMBER($E150))),AND($F150&lt;&gt;"",NOT(ISNUMBER($F150)))),"Fecha no válida"&amp;" · ","")&amp;IF(AND(ISNUMBER($E150),ISNUMBER($F150),$E150&gt;$F150),"Inicio posterior a fecha límite"&amp;" · ","")&amp;IF(AND($S150="Macro",$G150=""),"Peso vacío"&amp;" · ","")&amp;IF(AND($S150="Macro",$G150&lt;&gt;"",OR(NOT(ISNUMBER($G150)),$G150&lt;=0,$G150&gt;1)),"Peso fuera de rango"&amp;" · ","")&amp;IF(AND($S150="Sub",$G150&lt;&gt;""),"Las subactividades no llevan peso"&amp;" · ","")&amp;IF(AND($S150="Macro",ABS(SUMIFS($G$5:$G$1000,$P$5:$P$1000,$P150,$S$5:$S$1000,"Macro")-1)&gt;0.0001),"Pesos del mes suman "&amp;TEXT(SUMIFS($G$5:$G$1000,$P$5:$P$1000,$P150,$S$5:$S$1000,"Macro"),"0%")&amp;" · ","")&amp;IF(AND(N($T150)&gt;0,COUNT($H150:$K150)&gt;0),"Con subactividades: deje vacías las semanas (se calculan solas)"&amp;" · ","")&amp;IF((COUNTIF($H150:$K150,"&gt;1")+COUNTIF($H150:$K150,"&lt;0")+COUNTA($H150:$K150)-COUNT($H150:$K150))&gt;0,"Avance fuera de rango 0-100%"&amp;" · ","")&amp;IF(OR(AND($I150&lt;&gt;"",$I150&lt;$H150),AND($J150&lt;&gt;"",$J150&lt;MAX($H150:$I150)),AND($K150&lt;&gt;"",$K150&lt;MAX($H150:$J150))),"Avance semanal decreciente"&amp;" · ","")&amp;IF(AND(ISNUMBER($F150),$F150&lt;FechaRef,N($L150)&lt;1),"Vencida"&amp;" · ","")&amp;IF(AND(ObsObligatoria="Sí",ISNUMBER($F150),$F150&lt;FechaRef,N($L150)&lt;1,$N150=""),"Vencida sin observación"&amp;" · ",""),LEN(IF(AND($S150="Macro",$B150=""),"Macroactividad vacía"&amp;" · ","")&amp;IF(AND($B150&lt;&gt;"",$C150&lt;&gt;""),"Escriba la subactividad en otra fila, debajo de su macroactividad"&amp;" · ","")&amp;IF(AND($S150="Sub",N($R150)=0),"Subactividad sin macroactividad arriba"&amp;" · ","")&amp;IF($D150="","Sin responsable"&amp;" · ","")&amp;IF($E150="","Sin fecha de inicio"&amp;" · ","")&amp;IF($F150="","Sin fecha límite"&amp;" · ","")&amp;IF(OR(AND($E150&lt;&gt;"",NOT(ISNUMBER($E150))),AND($F150&lt;&gt;"",NOT(ISNUMBER($F150)))),"Fecha no válida"&amp;" · ","")&amp;IF(AND(ISNUMBER($E150),ISNUMBER($F150),$E150&gt;$F150),"Inicio posterior a fecha límite"&amp;" · ","")&amp;IF(AND($S150="Macro",$G150=""),"Peso vacío"&amp;" · ","")&amp;IF(AND($S150="Macro",$G150&lt;&gt;"",OR(NOT(ISNUMBER($G150)),$G150&lt;=0,$G150&gt;1)),"Peso fuera de rango"&amp;" · ","")&amp;IF(AND($S150="Sub",$G150&lt;&gt;""),"Las subactividades no llevan peso"&amp;" · ","")&amp;IF(AND($S150="Macro",ABS(SUMIFS($G$5:$G$1000,$P$5:$P$1000,$P150,$S$5:$S$1000,"Macro")-1)&gt;0.0001),"Pesos del mes suman "&amp;TEXT(SUMIFS($G$5:$G$1000,$P$5:$P$1000,$P150,$S$5:$S$1000,"Macro"),"0%")&amp;" · ","")&amp;IF(AND(N($T150)&gt;0,COUNT($H150:$K150)&gt;0),"Con subactividades: deje vacías las semanas (se calculan solas)"&amp;" · ","")&amp;IF((COUNTIF($H150:$K150,"&gt;1")+COUNTIF($H150:$K150,"&lt;0")+COUNTA($H150:$K150)-COUNT($H150:$K150))&gt;0,"Avance fuera de rango 0-100%"&amp;" · ","")&amp;IF(OR(AND($I150&lt;&gt;"",$I150&lt;$H150),AND($J150&lt;&gt;"",$J150&lt;MAX($H150:$I150)),AND($K150&lt;&gt;"",$K150&lt;MAX($H150:$J150))),"Avance semanal decreciente"&amp;" · ","")&amp;IF(AND(ISNUMBER($F150),$F150&lt;FechaRef,N($L150)&lt;1),"Vencida"&amp;" · ","")&amp;IF(AND(ObsObligatoria="Sí",ISNUMBER($F150),$F150&lt;FechaRef,N($L150)&lt;1,$N150=""),"Vencida sin observación"&amp;" · ",""))-3)))</f>
        <v/>
      </c>
      <c r="P150" s="69">
        <f>IF(NOT((COUNTA($B150:$K150)+COUNTA($N150))&gt;0),"",IF(AND($S150="Sub",N($R150)&gt;0),IF(ISNUMBER(INDEX($E$5:$E$1000,$R150-4)),DATE(YEAR(INDEX($E$5:$E$1000,$R150-4)),MONTH(INDEX($E$5:$E$1000,$R150-4)),1),IF(ISNUMBER(INDEX($F$5:$F$1000,$R150-4)),DATE(YEAR(INDEX($F$5:$F$1000,$R150-4)),MONTH(INDEX($F$5:$F$1000,$R150-4)),1),MesCiclo)),IF(ISNUMBER($E150),DATE(YEAR($E150),MONTH($E150),1),IF(ISNUMBER($F150),DATE(YEAR($F150),MONTH($F150),1),MesCiclo))))</f>
        <v/>
      </c>
      <c r="Q150" s="70">
        <f>IF(OR($P150="",$P150&lt;&gt;MesCiclo),"",COUNTIF($P$5:$P150,MesCiclo))</f>
        <v/>
      </c>
      <c r="R150" s="70">
        <f>IF($S150="","",IF($S150="Macro",ROW(),IFERROR(LOOKUP(2,1/($S$5:$S150="Macro"),ROW($S$5:$S150)),0)))</f>
        <v/>
      </c>
      <c r="S150" s="70">
        <f>IF(NOT((COUNTA($B150:$K150)+COUNTA($N150))&gt;0),"",IF($B150&lt;&gt;"","Macro",IF($C150&lt;&gt;"","Sub","Macro")))</f>
        <v/>
      </c>
      <c r="T150" s="70">
        <f>IF($S150="Macro",COUNTIFS($R$5:$R$1000,ROW(),$S$5:$S$1000,"Sub"),"")</f>
        <v/>
      </c>
      <c r="U150" s="70">
        <f>IF($S150="","",IF(ISNUMBER($H150),$H150,0))</f>
        <v/>
      </c>
      <c r="V150" s="70">
        <f>IF($S150="","",IF(ISNUMBER($I150),$I150,$U150))</f>
        <v/>
      </c>
      <c r="W150" s="70">
        <f>IF($S150="","",IF(ISNUMBER($J150),$J150,$V150))</f>
        <v/>
      </c>
      <c r="X150" s="70">
        <f>IF($S150="","",IF(ISNUMBER($K150),$K150,$W150))</f>
        <v/>
      </c>
      <c r="Y150" s="70">
        <f>IF($S150="","",IF(N($T150)&gt;0,AVERAGEIFS($U$5:$U$1000,$R$5:$R$1000,ROW(),$S$5:$S$1000,"Sub"),$U150))</f>
        <v/>
      </c>
      <c r="Z150" s="70">
        <f>IF($S150="","",IF(N($T150)&gt;0,AVERAGEIFS($V$5:$V$1000,$R$5:$R$1000,ROW(),$S$5:$S$1000,"Sub"),$V150))</f>
        <v/>
      </c>
      <c r="AA150" s="70">
        <f>IF($S150="","",IF(N($T150)&gt;0,AVERAGEIFS($W$5:$W$1000,$R$5:$R$1000,ROW(),$S$5:$S$1000,"Sub"),$W150))</f>
        <v/>
      </c>
      <c r="AB150" s="70">
        <f>IF($S150="","",IF(N($T150)&gt;0,AVERAGEIFS($X$5:$X$1000,$R$5:$R$1000,ROW(),$S$5:$S$1000,"Sub"),$X150))</f>
        <v/>
      </c>
    </row>
    <row r="151">
      <c r="A151" s="61">
        <f>IF(NOT((COUNTA($B151:$K151)+COUNTA($N151))&gt;0),"",IF($S151="Macro",COUNTIFS($S$5:$S151,"Macro",$P$5:$P151,$P151),IF(N($R151)=0,"?",COUNTIFS(INDEX($S$5:$S$1000,1):INDEX($S$5:$S$1000,$R151-4),"Macro",INDEX($P$5:$P$1000,1):INDEX($P$5:$P$1000,$R151-4),INDEX($P$5:$P$1000,$R151-4))&amp;"."&amp;COUNTIFS($R$5:$R151,$R151,$S$5:$S151,"Sub"))))</f>
        <v/>
      </c>
      <c r="B151" s="62" t="n"/>
      <c r="C151" s="63" t="n"/>
      <c r="D151" s="62" t="n"/>
      <c r="E151" s="64" t="n"/>
      <c r="F151" s="64" t="n"/>
      <c r="G151" s="65" t="n"/>
      <c r="H151" s="66" t="n"/>
      <c r="I151" s="66" t="n"/>
      <c r="J151" s="66" t="n"/>
      <c r="K151" s="66" t="n"/>
      <c r="L151" s="67">
        <f>IF(NOT((COUNTA($B151:$K151)+COUNTA($N151))&gt;0),"",IF(N($T151)&gt;0,$AB151,IFERROR(LOOKUP(2,1/(H151:K151&lt;&gt;""),H151:K151),0)))</f>
        <v/>
      </c>
      <c r="M151" s="61">
        <f>IF(L151="","",IF(L151&gt;=1,"Completado",IF(L151&gt;0,"En curso","Pendiente")))</f>
        <v/>
      </c>
      <c r="N151" s="62" t="n"/>
      <c r="O151" s="68">
        <f>IF(NOT((COUNTA($B151:$K151)+COUNTA($N151))&gt;0),"",IF((IF(AND($S151="Macro",$B151=""),"Macroactividad vacía"&amp;" · ","")&amp;IF(AND($B151&lt;&gt;"",$C151&lt;&gt;""),"Escriba la subactividad en otra fila, debajo de su macroactividad"&amp;" · ","")&amp;IF(AND($S151="Sub",N($R151)=0),"Subactividad sin macroactividad arriba"&amp;" · ","")&amp;IF($D151="","Sin responsable"&amp;" · ","")&amp;IF($E151="","Sin fecha de inicio"&amp;" · ","")&amp;IF($F151="","Sin fecha límite"&amp;" · ","")&amp;IF(OR(AND($E151&lt;&gt;"",NOT(ISNUMBER($E151))),AND($F151&lt;&gt;"",NOT(ISNUMBER($F151)))),"Fecha no válida"&amp;" · ","")&amp;IF(AND(ISNUMBER($E151),ISNUMBER($F151),$E151&gt;$F151),"Inicio posterior a fecha límite"&amp;" · ","")&amp;IF(AND($S151="Macro",$G151=""),"Peso vacío"&amp;" · ","")&amp;IF(AND($S151="Macro",$G151&lt;&gt;"",OR(NOT(ISNUMBER($G151)),$G151&lt;=0,$G151&gt;1)),"Peso fuera de rango"&amp;" · ","")&amp;IF(AND($S151="Sub",$G151&lt;&gt;""),"Las subactividades no llevan peso"&amp;" · ","")&amp;IF(AND($S151="Macro",ABS(SUMIFS($G$5:$G$1000,$P$5:$P$1000,$P151,$S$5:$S$1000,"Macro")-1)&gt;0.0001),"Pesos del mes suman "&amp;TEXT(SUMIFS($G$5:$G$1000,$P$5:$P$1000,$P151,$S$5:$S$1000,"Macro"),"0%")&amp;" · ","")&amp;IF(AND(N($T151)&gt;0,COUNT($H151:$K151)&gt;0),"Con subactividades: deje vacías las semanas (se calculan solas)"&amp;" · ","")&amp;IF((COUNTIF($H151:$K151,"&gt;1")+COUNTIF($H151:$K151,"&lt;0")+COUNTA($H151:$K151)-COUNT($H151:$K151))&gt;0,"Avance fuera de rango 0-100%"&amp;" · ","")&amp;IF(OR(AND($I151&lt;&gt;"",$I151&lt;$H151),AND($J151&lt;&gt;"",$J151&lt;MAX($H151:$I151)),AND($K151&lt;&gt;"",$K151&lt;MAX($H151:$J151))),"Avance semanal decreciente"&amp;" · ","")&amp;IF(AND(ISNUMBER($F151),$F151&lt;FechaRef,N($L151)&lt;1),"Vencida"&amp;" · ","")&amp;IF(AND(ObsObligatoria="Sí",ISNUMBER($F151),$F151&lt;FechaRef,N($L151)&lt;1,$N151=""),"Vencida sin observación"&amp;" · ",""))="","✔ OK","⚠ "&amp;LEFT(IF(AND($S151="Macro",$B151=""),"Macroactividad vacía"&amp;" · ","")&amp;IF(AND($B151&lt;&gt;"",$C151&lt;&gt;""),"Escriba la subactividad en otra fila, debajo de su macroactividad"&amp;" · ","")&amp;IF(AND($S151="Sub",N($R151)=0),"Subactividad sin macroactividad arriba"&amp;" · ","")&amp;IF($D151="","Sin responsable"&amp;" · ","")&amp;IF($E151="","Sin fecha de inicio"&amp;" · ","")&amp;IF($F151="","Sin fecha límite"&amp;" · ","")&amp;IF(OR(AND($E151&lt;&gt;"",NOT(ISNUMBER($E151))),AND($F151&lt;&gt;"",NOT(ISNUMBER($F151)))),"Fecha no válida"&amp;" · ","")&amp;IF(AND(ISNUMBER($E151),ISNUMBER($F151),$E151&gt;$F151),"Inicio posterior a fecha límite"&amp;" · ","")&amp;IF(AND($S151="Macro",$G151=""),"Peso vacío"&amp;" · ","")&amp;IF(AND($S151="Macro",$G151&lt;&gt;"",OR(NOT(ISNUMBER($G151)),$G151&lt;=0,$G151&gt;1)),"Peso fuera de rango"&amp;" · ","")&amp;IF(AND($S151="Sub",$G151&lt;&gt;""),"Las subactividades no llevan peso"&amp;" · ","")&amp;IF(AND($S151="Macro",ABS(SUMIFS($G$5:$G$1000,$P$5:$P$1000,$P151,$S$5:$S$1000,"Macro")-1)&gt;0.0001),"Pesos del mes suman "&amp;TEXT(SUMIFS($G$5:$G$1000,$P$5:$P$1000,$P151,$S$5:$S$1000,"Macro"),"0%")&amp;" · ","")&amp;IF(AND(N($T151)&gt;0,COUNT($H151:$K151)&gt;0),"Con subactividades: deje vacías las semanas (se calculan solas)"&amp;" · ","")&amp;IF((COUNTIF($H151:$K151,"&gt;1")+COUNTIF($H151:$K151,"&lt;0")+COUNTA($H151:$K151)-COUNT($H151:$K151))&gt;0,"Avance fuera de rango 0-100%"&amp;" · ","")&amp;IF(OR(AND($I151&lt;&gt;"",$I151&lt;$H151),AND($J151&lt;&gt;"",$J151&lt;MAX($H151:$I151)),AND($K151&lt;&gt;"",$K151&lt;MAX($H151:$J151))),"Avance semanal decreciente"&amp;" · ","")&amp;IF(AND(ISNUMBER($F151),$F151&lt;FechaRef,N($L151)&lt;1),"Vencida"&amp;" · ","")&amp;IF(AND(ObsObligatoria="Sí",ISNUMBER($F151),$F151&lt;FechaRef,N($L151)&lt;1,$N151=""),"Vencida sin observación"&amp;" · ",""),LEN(IF(AND($S151="Macro",$B151=""),"Macroactividad vacía"&amp;" · ","")&amp;IF(AND($B151&lt;&gt;"",$C151&lt;&gt;""),"Escriba la subactividad en otra fila, debajo de su macroactividad"&amp;" · ","")&amp;IF(AND($S151="Sub",N($R151)=0),"Subactividad sin macroactividad arriba"&amp;" · ","")&amp;IF($D151="","Sin responsable"&amp;" · ","")&amp;IF($E151="","Sin fecha de inicio"&amp;" · ","")&amp;IF($F151="","Sin fecha límite"&amp;" · ","")&amp;IF(OR(AND($E151&lt;&gt;"",NOT(ISNUMBER($E151))),AND($F151&lt;&gt;"",NOT(ISNUMBER($F151)))),"Fecha no válida"&amp;" · ","")&amp;IF(AND(ISNUMBER($E151),ISNUMBER($F151),$E151&gt;$F151),"Inicio posterior a fecha límite"&amp;" · ","")&amp;IF(AND($S151="Macro",$G151=""),"Peso vacío"&amp;" · ","")&amp;IF(AND($S151="Macro",$G151&lt;&gt;"",OR(NOT(ISNUMBER($G151)),$G151&lt;=0,$G151&gt;1)),"Peso fuera de rango"&amp;" · ","")&amp;IF(AND($S151="Sub",$G151&lt;&gt;""),"Las subactividades no llevan peso"&amp;" · ","")&amp;IF(AND($S151="Macro",ABS(SUMIFS($G$5:$G$1000,$P$5:$P$1000,$P151,$S$5:$S$1000,"Macro")-1)&gt;0.0001),"Pesos del mes suman "&amp;TEXT(SUMIFS($G$5:$G$1000,$P$5:$P$1000,$P151,$S$5:$S$1000,"Macro"),"0%")&amp;" · ","")&amp;IF(AND(N($T151)&gt;0,COUNT($H151:$K151)&gt;0),"Con subactividades: deje vacías las semanas (se calculan solas)"&amp;" · ","")&amp;IF((COUNTIF($H151:$K151,"&gt;1")+COUNTIF($H151:$K151,"&lt;0")+COUNTA($H151:$K151)-COUNT($H151:$K151))&gt;0,"Avance fuera de rango 0-100%"&amp;" · ","")&amp;IF(OR(AND($I151&lt;&gt;"",$I151&lt;$H151),AND($J151&lt;&gt;"",$J151&lt;MAX($H151:$I151)),AND($K151&lt;&gt;"",$K151&lt;MAX($H151:$J151))),"Avance semanal decreciente"&amp;" · ","")&amp;IF(AND(ISNUMBER($F151),$F151&lt;FechaRef,N($L151)&lt;1),"Vencida"&amp;" · ","")&amp;IF(AND(ObsObligatoria="Sí",ISNUMBER($F151),$F151&lt;FechaRef,N($L151)&lt;1,$N151=""),"Vencida sin observación"&amp;" · ",""))-3)))</f>
        <v/>
      </c>
      <c r="P151" s="69">
        <f>IF(NOT((COUNTA($B151:$K151)+COUNTA($N151))&gt;0),"",IF(AND($S151="Sub",N($R151)&gt;0),IF(ISNUMBER(INDEX($E$5:$E$1000,$R151-4)),DATE(YEAR(INDEX($E$5:$E$1000,$R151-4)),MONTH(INDEX($E$5:$E$1000,$R151-4)),1),IF(ISNUMBER(INDEX($F$5:$F$1000,$R151-4)),DATE(YEAR(INDEX($F$5:$F$1000,$R151-4)),MONTH(INDEX($F$5:$F$1000,$R151-4)),1),MesCiclo)),IF(ISNUMBER($E151),DATE(YEAR($E151),MONTH($E151),1),IF(ISNUMBER($F151),DATE(YEAR($F151),MONTH($F151),1),MesCiclo))))</f>
        <v/>
      </c>
      <c r="Q151" s="70">
        <f>IF(OR($P151="",$P151&lt;&gt;MesCiclo),"",COUNTIF($P$5:$P151,MesCiclo))</f>
        <v/>
      </c>
      <c r="R151" s="70">
        <f>IF($S151="","",IF($S151="Macro",ROW(),IFERROR(LOOKUP(2,1/($S$5:$S151="Macro"),ROW($S$5:$S151)),0)))</f>
        <v/>
      </c>
      <c r="S151" s="70">
        <f>IF(NOT((COUNTA($B151:$K151)+COUNTA($N151))&gt;0),"",IF($B151&lt;&gt;"","Macro",IF($C151&lt;&gt;"","Sub","Macro")))</f>
        <v/>
      </c>
      <c r="T151" s="70">
        <f>IF($S151="Macro",COUNTIFS($R$5:$R$1000,ROW(),$S$5:$S$1000,"Sub"),"")</f>
        <v/>
      </c>
      <c r="U151" s="70">
        <f>IF($S151="","",IF(ISNUMBER($H151),$H151,0))</f>
        <v/>
      </c>
      <c r="V151" s="70">
        <f>IF($S151="","",IF(ISNUMBER($I151),$I151,$U151))</f>
        <v/>
      </c>
      <c r="W151" s="70">
        <f>IF($S151="","",IF(ISNUMBER($J151),$J151,$V151))</f>
        <v/>
      </c>
      <c r="X151" s="70">
        <f>IF($S151="","",IF(ISNUMBER($K151),$K151,$W151))</f>
        <v/>
      </c>
      <c r="Y151" s="70">
        <f>IF($S151="","",IF(N($T151)&gt;0,AVERAGEIFS($U$5:$U$1000,$R$5:$R$1000,ROW(),$S$5:$S$1000,"Sub"),$U151))</f>
        <v/>
      </c>
      <c r="Z151" s="70">
        <f>IF($S151="","",IF(N($T151)&gt;0,AVERAGEIFS($V$5:$V$1000,$R$5:$R$1000,ROW(),$S$5:$S$1000,"Sub"),$V151))</f>
        <v/>
      </c>
      <c r="AA151" s="70">
        <f>IF($S151="","",IF(N($T151)&gt;0,AVERAGEIFS($W$5:$W$1000,$R$5:$R$1000,ROW(),$S$5:$S$1000,"Sub"),$W151))</f>
        <v/>
      </c>
      <c r="AB151" s="70">
        <f>IF($S151="","",IF(N($T151)&gt;0,AVERAGEIFS($X$5:$X$1000,$R$5:$R$1000,ROW(),$S$5:$S$1000,"Sub"),$X151))</f>
        <v/>
      </c>
    </row>
    <row r="152">
      <c r="A152" s="61">
        <f>IF(NOT((COUNTA($B152:$K152)+COUNTA($N152))&gt;0),"",IF($S152="Macro",COUNTIFS($S$5:$S152,"Macro",$P$5:$P152,$P152),IF(N($R152)=0,"?",COUNTIFS(INDEX($S$5:$S$1000,1):INDEX($S$5:$S$1000,$R152-4),"Macro",INDEX($P$5:$P$1000,1):INDEX($P$5:$P$1000,$R152-4),INDEX($P$5:$P$1000,$R152-4))&amp;"."&amp;COUNTIFS($R$5:$R152,$R152,$S$5:$S152,"Sub"))))</f>
        <v/>
      </c>
      <c r="B152" s="62" t="n"/>
      <c r="C152" s="63" t="n"/>
      <c r="D152" s="62" t="n"/>
      <c r="E152" s="64" t="n"/>
      <c r="F152" s="64" t="n"/>
      <c r="G152" s="65" t="n"/>
      <c r="H152" s="66" t="n"/>
      <c r="I152" s="66" t="n"/>
      <c r="J152" s="66" t="n"/>
      <c r="K152" s="66" t="n"/>
      <c r="L152" s="67">
        <f>IF(NOT((COUNTA($B152:$K152)+COUNTA($N152))&gt;0),"",IF(N($T152)&gt;0,$AB152,IFERROR(LOOKUP(2,1/(H152:K152&lt;&gt;""),H152:K152),0)))</f>
        <v/>
      </c>
      <c r="M152" s="61">
        <f>IF(L152="","",IF(L152&gt;=1,"Completado",IF(L152&gt;0,"En curso","Pendiente")))</f>
        <v/>
      </c>
      <c r="N152" s="62" t="n"/>
      <c r="O152" s="68">
        <f>IF(NOT((COUNTA($B152:$K152)+COUNTA($N152))&gt;0),"",IF((IF(AND($S152="Macro",$B152=""),"Macroactividad vacía"&amp;" · ","")&amp;IF(AND($B152&lt;&gt;"",$C152&lt;&gt;""),"Escriba la subactividad en otra fila, debajo de su macroactividad"&amp;" · ","")&amp;IF(AND($S152="Sub",N($R152)=0),"Subactividad sin macroactividad arriba"&amp;" · ","")&amp;IF($D152="","Sin responsable"&amp;" · ","")&amp;IF($E152="","Sin fecha de inicio"&amp;" · ","")&amp;IF($F152="","Sin fecha límite"&amp;" · ","")&amp;IF(OR(AND($E152&lt;&gt;"",NOT(ISNUMBER($E152))),AND($F152&lt;&gt;"",NOT(ISNUMBER($F152)))),"Fecha no válida"&amp;" · ","")&amp;IF(AND(ISNUMBER($E152),ISNUMBER($F152),$E152&gt;$F152),"Inicio posterior a fecha límite"&amp;" · ","")&amp;IF(AND($S152="Macro",$G152=""),"Peso vacío"&amp;" · ","")&amp;IF(AND($S152="Macro",$G152&lt;&gt;"",OR(NOT(ISNUMBER($G152)),$G152&lt;=0,$G152&gt;1)),"Peso fuera de rango"&amp;" · ","")&amp;IF(AND($S152="Sub",$G152&lt;&gt;""),"Las subactividades no llevan peso"&amp;" · ","")&amp;IF(AND($S152="Macro",ABS(SUMIFS($G$5:$G$1000,$P$5:$P$1000,$P152,$S$5:$S$1000,"Macro")-1)&gt;0.0001),"Pesos del mes suman "&amp;TEXT(SUMIFS($G$5:$G$1000,$P$5:$P$1000,$P152,$S$5:$S$1000,"Macro"),"0%")&amp;" · ","")&amp;IF(AND(N($T152)&gt;0,COUNT($H152:$K152)&gt;0),"Con subactividades: deje vacías las semanas (se calculan solas)"&amp;" · ","")&amp;IF((COUNTIF($H152:$K152,"&gt;1")+COUNTIF($H152:$K152,"&lt;0")+COUNTA($H152:$K152)-COUNT($H152:$K152))&gt;0,"Avance fuera de rango 0-100%"&amp;" · ","")&amp;IF(OR(AND($I152&lt;&gt;"",$I152&lt;$H152),AND($J152&lt;&gt;"",$J152&lt;MAX($H152:$I152)),AND($K152&lt;&gt;"",$K152&lt;MAX($H152:$J152))),"Avance semanal decreciente"&amp;" · ","")&amp;IF(AND(ISNUMBER($F152),$F152&lt;FechaRef,N($L152)&lt;1),"Vencida"&amp;" · ","")&amp;IF(AND(ObsObligatoria="Sí",ISNUMBER($F152),$F152&lt;FechaRef,N($L152)&lt;1,$N152=""),"Vencida sin observación"&amp;" · ",""))="","✔ OK","⚠ "&amp;LEFT(IF(AND($S152="Macro",$B152=""),"Macroactividad vacía"&amp;" · ","")&amp;IF(AND($B152&lt;&gt;"",$C152&lt;&gt;""),"Escriba la subactividad en otra fila, debajo de su macroactividad"&amp;" · ","")&amp;IF(AND($S152="Sub",N($R152)=0),"Subactividad sin macroactividad arriba"&amp;" · ","")&amp;IF($D152="","Sin responsable"&amp;" · ","")&amp;IF($E152="","Sin fecha de inicio"&amp;" · ","")&amp;IF($F152="","Sin fecha límite"&amp;" · ","")&amp;IF(OR(AND($E152&lt;&gt;"",NOT(ISNUMBER($E152))),AND($F152&lt;&gt;"",NOT(ISNUMBER($F152)))),"Fecha no válida"&amp;" · ","")&amp;IF(AND(ISNUMBER($E152),ISNUMBER($F152),$E152&gt;$F152),"Inicio posterior a fecha límite"&amp;" · ","")&amp;IF(AND($S152="Macro",$G152=""),"Peso vacío"&amp;" · ","")&amp;IF(AND($S152="Macro",$G152&lt;&gt;"",OR(NOT(ISNUMBER($G152)),$G152&lt;=0,$G152&gt;1)),"Peso fuera de rango"&amp;" · ","")&amp;IF(AND($S152="Sub",$G152&lt;&gt;""),"Las subactividades no llevan peso"&amp;" · ","")&amp;IF(AND($S152="Macro",ABS(SUMIFS($G$5:$G$1000,$P$5:$P$1000,$P152,$S$5:$S$1000,"Macro")-1)&gt;0.0001),"Pesos del mes suman "&amp;TEXT(SUMIFS($G$5:$G$1000,$P$5:$P$1000,$P152,$S$5:$S$1000,"Macro"),"0%")&amp;" · ","")&amp;IF(AND(N($T152)&gt;0,COUNT($H152:$K152)&gt;0),"Con subactividades: deje vacías las semanas (se calculan solas)"&amp;" · ","")&amp;IF((COUNTIF($H152:$K152,"&gt;1")+COUNTIF($H152:$K152,"&lt;0")+COUNTA($H152:$K152)-COUNT($H152:$K152))&gt;0,"Avance fuera de rango 0-100%"&amp;" · ","")&amp;IF(OR(AND($I152&lt;&gt;"",$I152&lt;$H152),AND($J152&lt;&gt;"",$J152&lt;MAX($H152:$I152)),AND($K152&lt;&gt;"",$K152&lt;MAX($H152:$J152))),"Avance semanal decreciente"&amp;" · ","")&amp;IF(AND(ISNUMBER($F152),$F152&lt;FechaRef,N($L152)&lt;1),"Vencida"&amp;" · ","")&amp;IF(AND(ObsObligatoria="Sí",ISNUMBER($F152),$F152&lt;FechaRef,N($L152)&lt;1,$N152=""),"Vencida sin observación"&amp;" · ",""),LEN(IF(AND($S152="Macro",$B152=""),"Macroactividad vacía"&amp;" · ","")&amp;IF(AND($B152&lt;&gt;"",$C152&lt;&gt;""),"Escriba la subactividad en otra fila, debajo de su macroactividad"&amp;" · ","")&amp;IF(AND($S152="Sub",N($R152)=0),"Subactividad sin macroactividad arriba"&amp;" · ","")&amp;IF($D152="","Sin responsable"&amp;" · ","")&amp;IF($E152="","Sin fecha de inicio"&amp;" · ","")&amp;IF($F152="","Sin fecha límite"&amp;" · ","")&amp;IF(OR(AND($E152&lt;&gt;"",NOT(ISNUMBER($E152))),AND($F152&lt;&gt;"",NOT(ISNUMBER($F152)))),"Fecha no válida"&amp;" · ","")&amp;IF(AND(ISNUMBER($E152),ISNUMBER($F152),$E152&gt;$F152),"Inicio posterior a fecha límite"&amp;" · ","")&amp;IF(AND($S152="Macro",$G152=""),"Peso vacío"&amp;" · ","")&amp;IF(AND($S152="Macro",$G152&lt;&gt;"",OR(NOT(ISNUMBER($G152)),$G152&lt;=0,$G152&gt;1)),"Peso fuera de rango"&amp;" · ","")&amp;IF(AND($S152="Sub",$G152&lt;&gt;""),"Las subactividades no llevan peso"&amp;" · ","")&amp;IF(AND($S152="Macro",ABS(SUMIFS($G$5:$G$1000,$P$5:$P$1000,$P152,$S$5:$S$1000,"Macro")-1)&gt;0.0001),"Pesos del mes suman "&amp;TEXT(SUMIFS($G$5:$G$1000,$P$5:$P$1000,$P152,$S$5:$S$1000,"Macro"),"0%")&amp;" · ","")&amp;IF(AND(N($T152)&gt;0,COUNT($H152:$K152)&gt;0),"Con subactividades: deje vacías las semanas (se calculan solas)"&amp;" · ","")&amp;IF((COUNTIF($H152:$K152,"&gt;1")+COUNTIF($H152:$K152,"&lt;0")+COUNTA($H152:$K152)-COUNT($H152:$K152))&gt;0,"Avance fuera de rango 0-100%"&amp;" · ","")&amp;IF(OR(AND($I152&lt;&gt;"",$I152&lt;$H152),AND($J152&lt;&gt;"",$J152&lt;MAX($H152:$I152)),AND($K152&lt;&gt;"",$K152&lt;MAX($H152:$J152))),"Avance semanal decreciente"&amp;" · ","")&amp;IF(AND(ISNUMBER($F152),$F152&lt;FechaRef,N($L152)&lt;1),"Vencida"&amp;" · ","")&amp;IF(AND(ObsObligatoria="Sí",ISNUMBER($F152),$F152&lt;FechaRef,N($L152)&lt;1,$N152=""),"Vencida sin observación"&amp;" · ",""))-3)))</f>
        <v/>
      </c>
      <c r="P152" s="69">
        <f>IF(NOT((COUNTA($B152:$K152)+COUNTA($N152))&gt;0),"",IF(AND($S152="Sub",N($R152)&gt;0),IF(ISNUMBER(INDEX($E$5:$E$1000,$R152-4)),DATE(YEAR(INDEX($E$5:$E$1000,$R152-4)),MONTH(INDEX($E$5:$E$1000,$R152-4)),1),IF(ISNUMBER(INDEX($F$5:$F$1000,$R152-4)),DATE(YEAR(INDEX($F$5:$F$1000,$R152-4)),MONTH(INDEX($F$5:$F$1000,$R152-4)),1),MesCiclo)),IF(ISNUMBER($E152),DATE(YEAR($E152),MONTH($E152),1),IF(ISNUMBER($F152),DATE(YEAR($F152),MONTH($F152),1),MesCiclo))))</f>
        <v/>
      </c>
      <c r="Q152" s="70">
        <f>IF(OR($P152="",$P152&lt;&gt;MesCiclo),"",COUNTIF($P$5:$P152,MesCiclo))</f>
        <v/>
      </c>
      <c r="R152" s="70">
        <f>IF($S152="","",IF($S152="Macro",ROW(),IFERROR(LOOKUP(2,1/($S$5:$S152="Macro"),ROW($S$5:$S152)),0)))</f>
        <v/>
      </c>
      <c r="S152" s="70">
        <f>IF(NOT((COUNTA($B152:$K152)+COUNTA($N152))&gt;0),"",IF($B152&lt;&gt;"","Macro",IF($C152&lt;&gt;"","Sub","Macro")))</f>
        <v/>
      </c>
      <c r="T152" s="70">
        <f>IF($S152="Macro",COUNTIFS($R$5:$R$1000,ROW(),$S$5:$S$1000,"Sub"),"")</f>
        <v/>
      </c>
      <c r="U152" s="70">
        <f>IF($S152="","",IF(ISNUMBER($H152),$H152,0))</f>
        <v/>
      </c>
      <c r="V152" s="70">
        <f>IF($S152="","",IF(ISNUMBER($I152),$I152,$U152))</f>
        <v/>
      </c>
      <c r="W152" s="70">
        <f>IF($S152="","",IF(ISNUMBER($J152),$J152,$V152))</f>
        <v/>
      </c>
      <c r="X152" s="70">
        <f>IF($S152="","",IF(ISNUMBER($K152),$K152,$W152))</f>
        <v/>
      </c>
      <c r="Y152" s="70">
        <f>IF($S152="","",IF(N($T152)&gt;0,AVERAGEIFS($U$5:$U$1000,$R$5:$R$1000,ROW(),$S$5:$S$1000,"Sub"),$U152))</f>
        <v/>
      </c>
      <c r="Z152" s="70">
        <f>IF($S152="","",IF(N($T152)&gt;0,AVERAGEIFS($V$5:$V$1000,$R$5:$R$1000,ROW(),$S$5:$S$1000,"Sub"),$V152))</f>
        <v/>
      </c>
      <c r="AA152" s="70">
        <f>IF($S152="","",IF(N($T152)&gt;0,AVERAGEIFS($W$5:$W$1000,$R$5:$R$1000,ROW(),$S$5:$S$1000,"Sub"),$W152))</f>
        <v/>
      </c>
      <c r="AB152" s="70">
        <f>IF($S152="","",IF(N($T152)&gt;0,AVERAGEIFS($X$5:$X$1000,$R$5:$R$1000,ROW(),$S$5:$S$1000,"Sub"),$X152))</f>
        <v/>
      </c>
    </row>
    <row r="153">
      <c r="A153" s="61">
        <f>IF(NOT((COUNTA($B153:$K153)+COUNTA($N153))&gt;0),"",IF($S153="Macro",COUNTIFS($S$5:$S153,"Macro",$P$5:$P153,$P153),IF(N($R153)=0,"?",COUNTIFS(INDEX($S$5:$S$1000,1):INDEX($S$5:$S$1000,$R153-4),"Macro",INDEX($P$5:$P$1000,1):INDEX($P$5:$P$1000,$R153-4),INDEX($P$5:$P$1000,$R153-4))&amp;"."&amp;COUNTIFS($R$5:$R153,$R153,$S$5:$S153,"Sub"))))</f>
        <v/>
      </c>
      <c r="B153" s="62" t="n"/>
      <c r="C153" s="63" t="n"/>
      <c r="D153" s="62" t="n"/>
      <c r="E153" s="64" t="n"/>
      <c r="F153" s="64" t="n"/>
      <c r="G153" s="65" t="n"/>
      <c r="H153" s="66" t="n"/>
      <c r="I153" s="66" t="n"/>
      <c r="J153" s="66" t="n"/>
      <c r="K153" s="66" t="n"/>
      <c r="L153" s="67">
        <f>IF(NOT((COUNTA($B153:$K153)+COUNTA($N153))&gt;0),"",IF(N($T153)&gt;0,$AB153,IFERROR(LOOKUP(2,1/(H153:K153&lt;&gt;""),H153:K153),0)))</f>
        <v/>
      </c>
      <c r="M153" s="61">
        <f>IF(L153="","",IF(L153&gt;=1,"Completado",IF(L153&gt;0,"En curso","Pendiente")))</f>
        <v/>
      </c>
      <c r="N153" s="62" t="n"/>
      <c r="O153" s="68">
        <f>IF(NOT((COUNTA($B153:$K153)+COUNTA($N153))&gt;0),"",IF((IF(AND($S153="Macro",$B153=""),"Macroactividad vacía"&amp;" · ","")&amp;IF(AND($B153&lt;&gt;"",$C153&lt;&gt;""),"Escriba la subactividad en otra fila, debajo de su macroactividad"&amp;" · ","")&amp;IF(AND($S153="Sub",N($R153)=0),"Subactividad sin macroactividad arriba"&amp;" · ","")&amp;IF($D153="","Sin responsable"&amp;" · ","")&amp;IF($E153="","Sin fecha de inicio"&amp;" · ","")&amp;IF($F153="","Sin fecha límite"&amp;" · ","")&amp;IF(OR(AND($E153&lt;&gt;"",NOT(ISNUMBER($E153))),AND($F153&lt;&gt;"",NOT(ISNUMBER($F153)))),"Fecha no válida"&amp;" · ","")&amp;IF(AND(ISNUMBER($E153),ISNUMBER($F153),$E153&gt;$F153),"Inicio posterior a fecha límite"&amp;" · ","")&amp;IF(AND($S153="Macro",$G153=""),"Peso vacío"&amp;" · ","")&amp;IF(AND($S153="Macro",$G153&lt;&gt;"",OR(NOT(ISNUMBER($G153)),$G153&lt;=0,$G153&gt;1)),"Peso fuera de rango"&amp;" · ","")&amp;IF(AND($S153="Sub",$G153&lt;&gt;""),"Las subactividades no llevan peso"&amp;" · ","")&amp;IF(AND($S153="Macro",ABS(SUMIFS($G$5:$G$1000,$P$5:$P$1000,$P153,$S$5:$S$1000,"Macro")-1)&gt;0.0001),"Pesos del mes suman "&amp;TEXT(SUMIFS($G$5:$G$1000,$P$5:$P$1000,$P153,$S$5:$S$1000,"Macro"),"0%")&amp;" · ","")&amp;IF(AND(N($T153)&gt;0,COUNT($H153:$K153)&gt;0),"Con subactividades: deje vacías las semanas (se calculan solas)"&amp;" · ","")&amp;IF((COUNTIF($H153:$K153,"&gt;1")+COUNTIF($H153:$K153,"&lt;0")+COUNTA($H153:$K153)-COUNT($H153:$K153))&gt;0,"Avance fuera de rango 0-100%"&amp;" · ","")&amp;IF(OR(AND($I153&lt;&gt;"",$I153&lt;$H153),AND($J153&lt;&gt;"",$J153&lt;MAX($H153:$I153)),AND($K153&lt;&gt;"",$K153&lt;MAX($H153:$J153))),"Avance semanal decreciente"&amp;" · ","")&amp;IF(AND(ISNUMBER($F153),$F153&lt;FechaRef,N($L153)&lt;1),"Vencida"&amp;" · ","")&amp;IF(AND(ObsObligatoria="Sí",ISNUMBER($F153),$F153&lt;FechaRef,N($L153)&lt;1,$N153=""),"Vencida sin observación"&amp;" · ",""))="","✔ OK","⚠ "&amp;LEFT(IF(AND($S153="Macro",$B153=""),"Macroactividad vacía"&amp;" · ","")&amp;IF(AND($B153&lt;&gt;"",$C153&lt;&gt;""),"Escriba la subactividad en otra fila, debajo de su macroactividad"&amp;" · ","")&amp;IF(AND($S153="Sub",N($R153)=0),"Subactividad sin macroactividad arriba"&amp;" · ","")&amp;IF($D153="","Sin responsable"&amp;" · ","")&amp;IF($E153="","Sin fecha de inicio"&amp;" · ","")&amp;IF($F153="","Sin fecha límite"&amp;" · ","")&amp;IF(OR(AND($E153&lt;&gt;"",NOT(ISNUMBER($E153))),AND($F153&lt;&gt;"",NOT(ISNUMBER($F153)))),"Fecha no válida"&amp;" · ","")&amp;IF(AND(ISNUMBER($E153),ISNUMBER($F153),$E153&gt;$F153),"Inicio posterior a fecha límite"&amp;" · ","")&amp;IF(AND($S153="Macro",$G153=""),"Peso vacío"&amp;" · ","")&amp;IF(AND($S153="Macro",$G153&lt;&gt;"",OR(NOT(ISNUMBER($G153)),$G153&lt;=0,$G153&gt;1)),"Peso fuera de rango"&amp;" · ","")&amp;IF(AND($S153="Sub",$G153&lt;&gt;""),"Las subactividades no llevan peso"&amp;" · ","")&amp;IF(AND($S153="Macro",ABS(SUMIFS($G$5:$G$1000,$P$5:$P$1000,$P153,$S$5:$S$1000,"Macro")-1)&gt;0.0001),"Pesos del mes suman "&amp;TEXT(SUMIFS($G$5:$G$1000,$P$5:$P$1000,$P153,$S$5:$S$1000,"Macro"),"0%")&amp;" · ","")&amp;IF(AND(N($T153)&gt;0,COUNT($H153:$K153)&gt;0),"Con subactividades: deje vacías las semanas (se calculan solas)"&amp;" · ","")&amp;IF((COUNTIF($H153:$K153,"&gt;1")+COUNTIF($H153:$K153,"&lt;0")+COUNTA($H153:$K153)-COUNT($H153:$K153))&gt;0,"Avance fuera de rango 0-100%"&amp;" · ","")&amp;IF(OR(AND($I153&lt;&gt;"",$I153&lt;$H153),AND($J153&lt;&gt;"",$J153&lt;MAX($H153:$I153)),AND($K153&lt;&gt;"",$K153&lt;MAX($H153:$J153))),"Avance semanal decreciente"&amp;" · ","")&amp;IF(AND(ISNUMBER($F153),$F153&lt;FechaRef,N($L153)&lt;1),"Vencida"&amp;" · ","")&amp;IF(AND(ObsObligatoria="Sí",ISNUMBER($F153),$F153&lt;FechaRef,N($L153)&lt;1,$N153=""),"Vencida sin observación"&amp;" · ",""),LEN(IF(AND($S153="Macro",$B153=""),"Macroactividad vacía"&amp;" · ","")&amp;IF(AND($B153&lt;&gt;"",$C153&lt;&gt;""),"Escriba la subactividad en otra fila, debajo de su macroactividad"&amp;" · ","")&amp;IF(AND($S153="Sub",N($R153)=0),"Subactividad sin macroactividad arriba"&amp;" · ","")&amp;IF($D153="","Sin responsable"&amp;" · ","")&amp;IF($E153="","Sin fecha de inicio"&amp;" · ","")&amp;IF($F153="","Sin fecha límite"&amp;" · ","")&amp;IF(OR(AND($E153&lt;&gt;"",NOT(ISNUMBER($E153))),AND($F153&lt;&gt;"",NOT(ISNUMBER($F153)))),"Fecha no válida"&amp;" · ","")&amp;IF(AND(ISNUMBER($E153),ISNUMBER($F153),$E153&gt;$F153),"Inicio posterior a fecha límite"&amp;" · ","")&amp;IF(AND($S153="Macro",$G153=""),"Peso vacío"&amp;" · ","")&amp;IF(AND($S153="Macro",$G153&lt;&gt;"",OR(NOT(ISNUMBER($G153)),$G153&lt;=0,$G153&gt;1)),"Peso fuera de rango"&amp;" · ","")&amp;IF(AND($S153="Sub",$G153&lt;&gt;""),"Las subactividades no llevan peso"&amp;" · ","")&amp;IF(AND($S153="Macro",ABS(SUMIFS($G$5:$G$1000,$P$5:$P$1000,$P153,$S$5:$S$1000,"Macro")-1)&gt;0.0001),"Pesos del mes suman "&amp;TEXT(SUMIFS($G$5:$G$1000,$P$5:$P$1000,$P153,$S$5:$S$1000,"Macro"),"0%")&amp;" · ","")&amp;IF(AND(N($T153)&gt;0,COUNT($H153:$K153)&gt;0),"Con subactividades: deje vacías las semanas (se calculan solas)"&amp;" · ","")&amp;IF((COUNTIF($H153:$K153,"&gt;1")+COUNTIF($H153:$K153,"&lt;0")+COUNTA($H153:$K153)-COUNT($H153:$K153))&gt;0,"Avance fuera de rango 0-100%"&amp;" · ","")&amp;IF(OR(AND($I153&lt;&gt;"",$I153&lt;$H153),AND($J153&lt;&gt;"",$J153&lt;MAX($H153:$I153)),AND($K153&lt;&gt;"",$K153&lt;MAX($H153:$J153))),"Avance semanal decreciente"&amp;" · ","")&amp;IF(AND(ISNUMBER($F153),$F153&lt;FechaRef,N($L153)&lt;1),"Vencida"&amp;" · ","")&amp;IF(AND(ObsObligatoria="Sí",ISNUMBER($F153),$F153&lt;FechaRef,N($L153)&lt;1,$N153=""),"Vencida sin observación"&amp;" · ",""))-3)))</f>
        <v/>
      </c>
      <c r="P153" s="69">
        <f>IF(NOT((COUNTA($B153:$K153)+COUNTA($N153))&gt;0),"",IF(AND($S153="Sub",N($R153)&gt;0),IF(ISNUMBER(INDEX($E$5:$E$1000,$R153-4)),DATE(YEAR(INDEX($E$5:$E$1000,$R153-4)),MONTH(INDEX($E$5:$E$1000,$R153-4)),1),IF(ISNUMBER(INDEX($F$5:$F$1000,$R153-4)),DATE(YEAR(INDEX($F$5:$F$1000,$R153-4)),MONTH(INDEX($F$5:$F$1000,$R153-4)),1),MesCiclo)),IF(ISNUMBER($E153),DATE(YEAR($E153),MONTH($E153),1),IF(ISNUMBER($F153),DATE(YEAR($F153),MONTH($F153),1),MesCiclo))))</f>
        <v/>
      </c>
      <c r="Q153" s="70">
        <f>IF(OR($P153="",$P153&lt;&gt;MesCiclo),"",COUNTIF($P$5:$P153,MesCiclo))</f>
        <v/>
      </c>
      <c r="R153" s="70">
        <f>IF($S153="","",IF($S153="Macro",ROW(),IFERROR(LOOKUP(2,1/($S$5:$S153="Macro"),ROW($S$5:$S153)),0)))</f>
        <v/>
      </c>
      <c r="S153" s="70">
        <f>IF(NOT((COUNTA($B153:$K153)+COUNTA($N153))&gt;0),"",IF($B153&lt;&gt;"","Macro",IF($C153&lt;&gt;"","Sub","Macro")))</f>
        <v/>
      </c>
      <c r="T153" s="70">
        <f>IF($S153="Macro",COUNTIFS($R$5:$R$1000,ROW(),$S$5:$S$1000,"Sub"),"")</f>
        <v/>
      </c>
      <c r="U153" s="70">
        <f>IF($S153="","",IF(ISNUMBER($H153),$H153,0))</f>
        <v/>
      </c>
      <c r="V153" s="70">
        <f>IF($S153="","",IF(ISNUMBER($I153),$I153,$U153))</f>
        <v/>
      </c>
      <c r="W153" s="70">
        <f>IF($S153="","",IF(ISNUMBER($J153),$J153,$V153))</f>
        <v/>
      </c>
      <c r="X153" s="70">
        <f>IF($S153="","",IF(ISNUMBER($K153),$K153,$W153))</f>
        <v/>
      </c>
      <c r="Y153" s="70">
        <f>IF($S153="","",IF(N($T153)&gt;0,AVERAGEIFS($U$5:$U$1000,$R$5:$R$1000,ROW(),$S$5:$S$1000,"Sub"),$U153))</f>
        <v/>
      </c>
      <c r="Z153" s="70">
        <f>IF($S153="","",IF(N($T153)&gt;0,AVERAGEIFS($V$5:$V$1000,$R$5:$R$1000,ROW(),$S$5:$S$1000,"Sub"),$V153))</f>
        <v/>
      </c>
      <c r="AA153" s="70">
        <f>IF($S153="","",IF(N($T153)&gt;0,AVERAGEIFS($W$5:$W$1000,$R$5:$R$1000,ROW(),$S$5:$S$1000,"Sub"),$W153))</f>
        <v/>
      </c>
      <c r="AB153" s="70">
        <f>IF($S153="","",IF(N($T153)&gt;0,AVERAGEIFS($X$5:$X$1000,$R$5:$R$1000,ROW(),$S$5:$S$1000,"Sub"),$X153))</f>
        <v/>
      </c>
    </row>
    <row r="154">
      <c r="A154" s="61">
        <f>IF(NOT((COUNTA($B154:$K154)+COUNTA($N154))&gt;0),"",IF($S154="Macro",COUNTIFS($S$5:$S154,"Macro",$P$5:$P154,$P154),IF(N($R154)=0,"?",COUNTIFS(INDEX($S$5:$S$1000,1):INDEX($S$5:$S$1000,$R154-4),"Macro",INDEX($P$5:$P$1000,1):INDEX($P$5:$P$1000,$R154-4),INDEX($P$5:$P$1000,$R154-4))&amp;"."&amp;COUNTIFS($R$5:$R154,$R154,$S$5:$S154,"Sub"))))</f>
        <v/>
      </c>
      <c r="B154" s="62" t="n"/>
      <c r="C154" s="63" t="n"/>
      <c r="D154" s="62" t="n"/>
      <c r="E154" s="64" t="n"/>
      <c r="F154" s="64" t="n"/>
      <c r="G154" s="65" t="n"/>
      <c r="H154" s="66" t="n"/>
      <c r="I154" s="66" t="n"/>
      <c r="J154" s="66" t="n"/>
      <c r="K154" s="66" t="n"/>
      <c r="L154" s="67">
        <f>IF(NOT((COUNTA($B154:$K154)+COUNTA($N154))&gt;0),"",IF(N($T154)&gt;0,$AB154,IFERROR(LOOKUP(2,1/(H154:K154&lt;&gt;""),H154:K154),0)))</f>
        <v/>
      </c>
      <c r="M154" s="61">
        <f>IF(L154="","",IF(L154&gt;=1,"Completado",IF(L154&gt;0,"En curso","Pendiente")))</f>
        <v/>
      </c>
      <c r="N154" s="62" t="n"/>
      <c r="O154" s="68">
        <f>IF(NOT((COUNTA($B154:$K154)+COUNTA($N154))&gt;0),"",IF((IF(AND($S154="Macro",$B154=""),"Macroactividad vacía"&amp;" · ","")&amp;IF(AND($B154&lt;&gt;"",$C154&lt;&gt;""),"Escriba la subactividad en otra fila, debajo de su macroactividad"&amp;" · ","")&amp;IF(AND($S154="Sub",N($R154)=0),"Subactividad sin macroactividad arriba"&amp;" · ","")&amp;IF($D154="","Sin responsable"&amp;" · ","")&amp;IF($E154="","Sin fecha de inicio"&amp;" · ","")&amp;IF($F154="","Sin fecha límite"&amp;" · ","")&amp;IF(OR(AND($E154&lt;&gt;"",NOT(ISNUMBER($E154))),AND($F154&lt;&gt;"",NOT(ISNUMBER($F154)))),"Fecha no válida"&amp;" · ","")&amp;IF(AND(ISNUMBER($E154),ISNUMBER($F154),$E154&gt;$F154),"Inicio posterior a fecha límite"&amp;" · ","")&amp;IF(AND($S154="Macro",$G154=""),"Peso vacío"&amp;" · ","")&amp;IF(AND($S154="Macro",$G154&lt;&gt;"",OR(NOT(ISNUMBER($G154)),$G154&lt;=0,$G154&gt;1)),"Peso fuera de rango"&amp;" · ","")&amp;IF(AND($S154="Sub",$G154&lt;&gt;""),"Las subactividades no llevan peso"&amp;" · ","")&amp;IF(AND($S154="Macro",ABS(SUMIFS($G$5:$G$1000,$P$5:$P$1000,$P154,$S$5:$S$1000,"Macro")-1)&gt;0.0001),"Pesos del mes suman "&amp;TEXT(SUMIFS($G$5:$G$1000,$P$5:$P$1000,$P154,$S$5:$S$1000,"Macro"),"0%")&amp;" · ","")&amp;IF(AND(N($T154)&gt;0,COUNT($H154:$K154)&gt;0),"Con subactividades: deje vacías las semanas (se calculan solas)"&amp;" · ","")&amp;IF((COUNTIF($H154:$K154,"&gt;1")+COUNTIF($H154:$K154,"&lt;0")+COUNTA($H154:$K154)-COUNT($H154:$K154))&gt;0,"Avance fuera de rango 0-100%"&amp;" · ","")&amp;IF(OR(AND($I154&lt;&gt;"",$I154&lt;$H154),AND($J154&lt;&gt;"",$J154&lt;MAX($H154:$I154)),AND($K154&lt;&gt;"",$K154&lt;MAX($H154:$J154))),"Avance semanal decreciente"&amp;" · ","")&amp;IF(AND(ISNUMBER($F154),$F154&lt;FechaRef,N($L154)&lt;1),"Vencida"&amp;" · ","")&amp;IF(AND(ObsObligatoria="Sí",ISNUMBER($F154),$F154&lt;FechaRef,N($L154)&lt;1,$N154=""),"Vencida sin observación"&amp;" · ",""))="","✔ OK","⚠ "&amp;LEFT(IF(AND($S154="Macro",$B154=""),"Macroactividad vacía"&amp;" · ","")&amp;IF(AND($B154&lt;&gt;"",$C154&lt;&gt;""),"Escriba la subactividad en otra fila, debajo de su macroactividad"&amp;" · ","")&amp;IF(AND($S154="Sub",N($R154)=0),"Subactividad sin macroactividad arriba"&amp;" · ","")&amp;IF($D154="","Sin responsable"&amp;" · ","")&amp;IF($E154="","Sin fecha de inicio"&amp;" · ","")&amp;IF($F154="","Sin fecha límite"&amp;" · ","")&amp;IF(OR(AND($E154&lt;&gt;"",NOT(ISNUMBER($E154))),AND($F154&lt;&gt;"",NOT(ISNUMBER($F154)))),"Fecha no válida"&amp;" · ","")&amp;IF(AND(ISNUMBER($E154),ISNUMBER($F154),$E154&gt;$F154),"Inicio posterior a fecha límite"&amp;" · ","")&amp;IF(AND($S154="Macro",$G154=""),"Peso vacío"&amp;" · ","")&amp;IF(AND($S154="Macro",$G154&lt;&gt;"",OR(NOT(ISNUMBER($G154)),$G154&lt;=0,$G154&gt;1)),"Peso fuera de rango"&amp;" · ","")&amp;IF(AND($S154="Sub",$G154&lt;&gt;""),"Las subactividades no llevan peso"&amp;" · ","")&amp;IF(AND($S154="Macro",ABS(SUMIFS($G$5:$G$1000,$P$5:$P$1000,$P154,$S$5:$S$1000,"Macro")-1)&gt;0.0001),"Pesos del mes suman "&amp;TEXT(SUMIFS($G$5:$G$1000,$P$5:$P$1000,$P154,$S$5:$S$1000,"Macro"),"0%")&amp;" · ","")&amp;IF(AND(N($T154)&gt;0,COUNT($H154:$K154)&gt;0),"Con subactividades: deje vacías las semanas (se calculan solas)"&amp;" · ","")&amp;IF((COUNTIF($H154:$K154,"&gt;1")+COUNTIF($H154:$K154,"&lt;0")+COUNTA($H154:$K154)-COUNT($H154:$K154))&gt;0,"Avance fuera de rango 0-100%"&amp;" · ","")&amp;IF(OR(AND($I154&lt;&gt;"",$I154&lt;$H154),AND($J154&lt;&gt;"",$J154&lt;MAX($H154:$I154)),AND($K154&lt;&gt;"",$K154&lt;MAX($H154:$J154))),"Avance semanal decreciente"&amp;" · ","")&amp;IF(AND(ISNUMBER($F154),$F154&lt;FechaRef,N($L154)&lt;1),"Vencida"&amp;" · ","")&amp;IF(AND(ObsObligatoria="Sí",ISNUMBER($F154),$F154&lt;FechaRef,N($L154)&lt;1,$N154=""),"Vencida sin observación"&amp;" · ",""),LEN(IF(AND($S154="Macro",$B154=""),"Macroactividad vacía"&amp;" · ","")&amp;IF(AND($B154&lt;&gt;"",$C154&lt;&gt;""),"Escriba la subactividad en otra fila, debajo de su macroactividad"&amp;" · ","")&amp;IF(AND($S154="Sub",N($R154)=0),"Subactividad sin macroactividad arriba"&amp;" · ","")&amp;IF($D154="","Sin responsable"&amp;" · ","")&amp;IF($E154="","Sin fecha de inicio"&amp;" · ","")&amp;IF($F154="","Sin fecha límite"&amp;" · ","")&amp;IF(OR(AND($E154&lt;&gt;"",NOT(ISNUMBER($E154))),AND($F154&lt;&gt;"",NOT(ISNUMBER($F154)))),"Fecha no válida"&amp;" · ","")&amp;IF(AND(ISNUMBER($E154),ISNUMBER($F154),$E154&gt;$F154),"Inicio posterior a fecha límite"&amp;" · ","")&amp;IF(AND($S154="Macro",$G154=""),"Peso vacío"&amp;" · ","")&amp;IF(AND($S154="Macro",$G154&lt;&gt;"",OR(NOT(ISNUMBER($G154)),$G154&lt;=0,$G154&gt;1)),"Peso fuera de rango"&amp;" · ","")&amp;IF(AND($S154="Sub",$G154&lt;&gt;""),"Las subactividades no llevan peso"&amp;" · ","")&amp;IF(AND($S154="Macro",ABS(SUMIFS($G$5:$G$1000,$P$5:$P$1000,$P154,$S$5:$S$1000,"Macro")-1)&gt;0.0001),"Pesos del mes suman "&amp;TEXT(SUMIFS($G$5:$G$1000,$P$5:$P$1000,$P154,$S$5:$S$1000,"Macro"),"0%")&amp;" · ","")&amp;IF(AND(N($T154)&gt;0,COUNT($H154:$K154)&gt;0),"Con subactividades: deje vacías las semanas (se calculan solas)"&amp;" · ","")&amp;IF((COUNTIF($H154:$K154,"&gt;1")+COUNTIF($H154:$K154,"&lt;0")+COUNTA($H154:$K154)-COUNT($H154:$K154))&gt;0,"Avance fuera de rango 0-100%"&amp;" · ","")&amp;IF(OR(AND($I154&lt;&gt;"",$I154&lt;$H154),AND($J154&lt;&gt;"",$J154&lt;MAX($H154:$I154)),AND($K154&lt;&gt;"",$K154&lt;MAX($H154:$J154))),"Avance semanal decreciente"&amp;" · ","")&amp;IF(AND(ISNUMBER($F154),$F154&lt;FechaRef,N($L154)&lt;1),"Vencida"&amp;" · ","")&amp;IF(AND(ObsObligatoria="Sí",ISNUMBER($F154),$F154&lt;FechaRef,N($L154)&lt;1,$N154=""),"Vencida sin observación"&amp;" · ",""))-3)))</f>
        <v/>
      </c>
      <c r="P154" s="69">
        <f>IF(NOT((COUNTA($B154:$K154)+COUNTA($N154))&gt;0),"",IF(AND($S154="Sub",N($R154)&gt;0),IF(ISNUMBER(INDEX($E$5:$E$1000,$R154-4)),DATE(YEAR(INDEX($E$5:$E$1000,$R154-4)),MONTH(INDEX($E$5:$E$1000,$R154-4)),1),IF(ISNUMBER(INDEX($F$5:$F$1000,$R154-4)),DATE(YEAR(INDEX($F$5:$F$1000,$R154-4)),MONTH(INDEX($F$5:$F$1000,$R154-4)),1),MesCiclo)),IF(ISNUMBER($E154),DATE(YEAR($E154),MONTH($E154),1),IF(ISNUMBER($F154),DATE(YEAR($F154),MONTH($F154),1),MesCiclo))))</f>
        <v/>
      </c>
      <c r="Q154" s="70">
        <f>IF(OR($P154="",$P154&lt;&gt;MesCiclo),"",COUNTIF($P$5:$P154,MesCiclo))</f>
        <v/>
      </c>
      <c r="R154" s="70">
        <f>IF($S154="","",IF($S154="Macro",ROW(),IFERROR(LOOKUP(2,1/($S$5:$S154="Macro"),ROW($S$5:$S154)),0)))</f>
        <v/>
      </c>
      <c r="S154" s="70">
        <f>IF(NOT((COUNTA($B154:$K154)+COUNTA($N154))&gt;0),"",IF($B154&lt;&gt;"","Macro",IF($C154&lt;&gt;"","Sub","Macro")))</f>
        <v/>
      </c>
      <c r="T154" s="70">
        <f>IF($S154="Macro",COUNTIFS($R$5:$R$1000,ROW(),$S$5:$S$1000,"Sub"),"")</f>
        <v/>
      </c>
      <c r="U154" s="70">
        <f>IF($S154="","",IF(ISNUMBER($H154),$H154,0))</f>
        <v/>
      </c>
      <c r="V154" s="70">
        <f>IF($S154="","",IF(ISNUMBER($I154),$I154,$U154))</f>
        <v/>
      </c>
      <c r="W154" s="70">
        <f>IF($S154="","",IF(ISNUMBER($J154),$J154,$V154))</f>
        <v/>
      </c>
      <c r="X154" s="70">
        <f>IF($S154="","",IF(ISNUMBER($K154),$K154,$W154))</f>
        <v/>
      </c>
      <c r="Y154" s="70">
        <f>IF($S154="","",IF(N($T154)&gt;0,AVERAGEIFS($U$5:$U$1000,$R$5:$R$1000,ROW(),$S$5:$S$1000,"Sub"),$U154))</f>
        <v/>
      </c>
      <c r="Z154" s="70">
        <f>IF($S154="","",IF(N($T154)&gt;0,AVERAGEIFS($V$5:$V$1000,$R$5:$R$1000,ROW(),$S$5:$S$1000,"Sub"),$V154))</f>
        <v/>
      </c>
      <c r="AA154" s="70">
        <f>IF($S154="","",IF(N($T154)&gt;0,AVERAGEIFS($W$5:$W$1000,$R$5:$R$1000,ROW(),$S$5:$S$1000,"Sub"),$W154))</f>
        <v/>
      </c>
      <c r="AB154" s="70">
        <f>IF($S154="","",IF(N($T154)&gt;0,AVERAGEIFS($X$5:$X$1000,$R$5:$R$1000,ROW(),$S$5:$S$1000,"Sub"),$X154))</f>
        <v/>
      </c>
    </row>
    <row r="155">
      <c r="A155" s="61">
        <f>IF(NOT((COUNTA($B155:$K155)+COUNTA($N155))&gt;0),"",IF($S155="Macro",COUNTIFS($S$5:$S155,"Macro",$P$5:$P155,$P155),IF(N($R155)=0,"?",COUNTIFS(INDEX($S$5:$S$1000,1):INDEX($S$5:$S$1000,$R155-4),"Macro",INDEX($P$5:$P$1000,1):INDEX($P$5:$P$1000,$R155-4),INDEX($P$5:$P$1000,$R155-4))&amp;"."&amp;COUNTIFS($R$5:$R155,$R155,$S$5:$S155,"Sub"))))</f>
        <v/>
      </c>
      <c r="B155" s="62" t="n"/>
      <c r="C155" s="63" t="n"/>
      <c r="D155" s="62" t="n"/>
      <c r="E155" s="64" t="n"/>
      <c r="F155" s="64" t="n"/>
      <c r="G155" s="65" t="n"/>
      <c r="H155" s="66" t="n"/>
      <c r="I155" s="66" t="n"/>
      <c r="J155" s="66" t="n"/>
      <c r="K155" s="66" t="n"/>
      <c r="L155" s="67">
        <f>IF(NOT((COUNTA($B155:$K155)+COUNTA($N155))&gt;0),"",IF(N($T155)&gt;0,$AB155,IFERROR(LOOKUP(2,1/(H155:K155&lt;&gt;""),H155:K155),0)))</f>
        <v/>
      </c>
      <c r="M155" s="61">
        <f>IF(L155="","",IF(L155&gt;=1,"Completado",IF(L155&gt;0,"En curso","Pendiente")))</f>
        <v/>
      </c>
      <c r="N155" s="62" t="n"/>
      <c r="O155" s="68">
        <f>IF(NOT((COUNTA($B155:$K155)+COUNTA($N155))&gt;0),"",IF((IF(AND($S155="Macro",$B155=""),"Macroactividad vacía"&amp;" · ","")&amp;IF(AND($B155&lt;&gt;"",$C155&lt;&gt;""),"Escriba la subactividad en otra fila, debajo de su macroactividad"&amp;" · ","")&amp;IF(AND($S155="Sub",N($R155)=0),"Subactividad sin macroactividad arriba"&amp;" · ","")&amp;IF($D155="","Sin responsable"&amp;" · ","")&amp;IF($E155="","Sin fecha de inicio"&amp;" · ","")&amp;IF($F155="","Sin fecha límite"&amp;" · ","")&amp;IF(OR(AND($E155&lt;&gt;"",NOT(ISNUMBER($E155))),AND($F155&lt;&gt;"",NOT(ISNUMBER($F155)))),"Fecha no válida"&amp;" · ","")&amp;IF(AND(ISNUMBER($E155),ISNUMBER($F155),$E155&gt;$F155),"Inicio posterior a fecha límite"&amp;" · ","")&amp;IF(AND($S155="Macro",$G155=""),"Peso vacío"&amp;" · ","")&amp;IF(AND($S155="Macro",$G155&lt;&gt;"",OR(NOT(ISNUMBER($G155)),$G155&lt;=0,$G155&gt;1)),"Peso fuera de rango"&amp;" · ","")&amp;IF(AND($S155="Sub",$G155&lt;&gt;""),"Las subactividades no llevan peso"&amp;" · ","")&amp;IF(AND($S155="Macro",ABS(SUMIFS($G$5:$G$1000,$P$5:$P$1000,$P155,$S$5:$S$1000,"Macro")-1)&gt;0.0001),"Pesos del mes suman "&amp;TEXT(SUMIFS($G$5:$G$1000,$P$5:$P$1000,$P155,$S$5:$S$1000,"Macro"),"0%")&amp;" · ","")&amp;IF(AND(N($T155)&gt;0,COUNT($H155:$K155)&gt;0),"Con subactividades: deje vacías las semanas (se calculan solas)"&amp;" · ","")&amp;IF((COUNTIF($H155:$K155,"&gt;1")+COUNTIF($H155:$K155,"&lt;0")+COUNTA($H155:$K155)-COUNT($H155:$K155))&gt;0,"Avance fuera de rango 0-100%"&amp;" · ","")&amp;IF(OR(AND($I155&lt;&gt;"",$I155&lt;$H155),AND($J155&lt;&gt;"",$J155&lt;MAX($H155:$I155)),AND($K155&lt;&gt;"",$K155&lt;MAX($H155:$J155))),"Avance semanal decreciente"&amp;" · ","")&amp;IF(AND(ISNUMBER($F155),$F155&lt;FechaRef,N($L155)&lt;1),"Vencida"&amp;" · ","")&amp;IF(AND(ObsObligatoria="Sí",ISNUMBER($F155),$F155&lt;FechaRef,N($L155)&lt;1,$N155=""),"Vencida sin observación"&amp;" · ",""))="","✔ OK","⚠ "&amp;LEFT(IF(AND($S155="Macro",$B155=""),"Macroactividad vacía"&amp;" · ","")&amp;IF(AND($B155&lt;&gt;"",$C155&lt;&gt;""),"Escriba la subactividad en otra fila, debajo de su macroactividad"&amp;" · ","")&amp;IF(AND($S155="Sub",N($R155)=0),"Subactividad sin macroactividad arriba"&amp;" · ","")&amp;IF($D155="","Sin responsable"&amp;" · ","")&amp;IF($E155="","Sin fecha de inicio"&amp;" · ","")&amp;IF($F155="","Sin fecha límite"&amp;" · ","")&amp;IF(OR(AND($E155&lt;&gt;"",NOT(ISNUMBER($E155))),AND($F155&lt;&gt;"",NOT(ISNUMBER($F155)))),"Fecha no válida"&amp;" · ","")&amp;IF(AND(ISNUMBER($E155),ISNUMBER($F155),$E155&gt;$F155),"Inicio posterior a fecha límite"&amp;" · ","")&amp;IF(AND($S155="Macro",$G155=""),"Peso vacío"&amp;" · ","")&amp;IF(AND($S155="Macro",$G155&lt;&gt;"",OR(NOT(ISNUMBER($G155)),$G155&lt;=0,$G155&gt;1)),"Peso fuera de rango"&amp;" · ","")&amp;IF(AND($S155="Sub",$G155&lt;&gt;""),"Las subactividades no llevan peso"&amp;" · ","")&amp;IF(AND($S155="Macro",ABS(SUMIFS($G$5:$G$1000,$P$5:$P$1000,$P155,$S$5:$S$1000,"Macro")-1)&gt;0.0001),"Pesos del mes suman "&amp;TEXT(SUMIFS($G$5:$G$1000,$P$5:$P$1000,$P155,$S$5:$S$1000,"Macro"),"0%")&amp;" · ","")&amp;IF(AND(N($T155)&gt;0,COUNT($H155:$K155)&gt;0),"Con subactividades: deje vacías las semanas (se calculan solas)"&amp;" · ","")&amp;IF((COUNTIF($H155:$K155,"&gt;1")+COUNTIF($H155:$K155,"&lt;0")+COUNTA($H155:$K155)-COUNT($H155:$K155))&gt;0,"Avance fuera de rango 0-100%"&amp;" · ","")&amp;IF(OR(AND($I155&lt;&gt;"",$I155&lt;$H155),AND($J155&lt;&gt;"",$J155&lt;MAX($H155:$I155)),AND($K155&lt;&gt;"",$K155&lt;MAX($H155:$J155))),"Avance semanal decreciente"&amp;" · ","")&amp;IF(AND(ISNUMBER($F155),$F155&lt;FechaRef,N($L155)&lt;1),"Vencida"&amp;" · ","")&amp;IF(AND(ObsObligatoria="Sí",ISNUMBER($F155),$F155&lt;FechaRef,N($L155)&lt;1,$N155=""),"Vencida sin observación"&amp;" · ",""),LEN(IF(AND($S155="Macro",$B155=""),"Macroactividad vacía"&amp;" · ","")&amp;IF(AND($B155&lt;&gt;"",$C155&lt;&gt;""),"Escriba la subactividad en otra fila, debajo de su macroactividad"&amp;" · ","")&amp;IF(AND($S155="Sub",N($R155)=0),"Subactividad sin macroactividad arriba"&amp;" · ","")&amp;IF($D155="","Sin responsable"&amp;" · ","")&amp;IF($E155="","Sin fecha de inicio"&amp;" · ","")&amp;IF($F155="","Sin fecha límite"&amp;" · ","")&amp;IF(OR(AND($E155&lt;&gt;"",NOT(ISNUMBER($E155))),AND($F155&lt;&gt;"",NOT(ISNUMBER($F155)))),"Fecha no válida"&amp;" · ","")&amp;IF(AND(ISNUMBER($E155),ISNUMBER($F155),$E155&gt;$F155),"Inicio posterior a fecha límite"&amp;" · ","")&amp;IF(AND($S155="Macro",$G155=""),"Peso vacío"&amp;" · ","")&amp;IF(AND($S155="Macro",$G155&lt;&gt;"",OR(NOT(ISNUMBER($G155)),$G155&lt;=0,$G155&gt;1)),"Peso fuera de rango"&amp;" · ","")&amp;IF(AND($S155="Sub",$G155&lt;&gt;""),"Las subactividades no llevan peso"&amp;" · ","")&amp;IF(AND($S155="Macro",ABS(SUMIFS($G$5:$G$1000,$P$5:$P$1000,$P155,$S$5:$S$1000,"Macro")-1)&gt;0.0001),"Pesos del mes suman "&amp;TEXT(SUMIFS($G$5:$G$1000,$P$5:$P$1000,$P155,$S$5:$S$1000,"Macro"),"0%")&amp;" · ","")&amp;IF(AND(N($T155)&gt;0,COUNT($H155:$K155)&gt;0),"Con subactividades: deje vacías las semanas (se calculan solas)"&amp;" · ","")&amp;IF((COUNTIF($H155:$K155,"&gt;1")+COUNTIF($H155:$K155,"&lt;0")+COUNTA($H155:$K155)-COUNT($H155:$K155))&gt;0,"Avance fuera de rango 0-100%"&amp;" · ","")&amp;IF(OR(AND($I155&lt;&gt;"",$I155&lt;$H155),AND($J155&lt;&gt;"",$J155&lt;MAX($H155:$I155)),AND($K155&lt;&gt;"",$K155&lt;MAX($H155:$J155))),"Avance semanal decreciente"&amp;" · ","")&amp;IF(AND(ISNUMBER($F155),$F155&lt;FechaRef,N($L155)&lt;1),"Vencida"&amp;" · ","")&amp;IF(AND(ObsObligatoria="Sí",ISNUMBER($F155),$F155&lt;FechaRef,N($L155)&lt;1,$N155=""),"Vencida sin observación"&amp;" · ",""))-3)))</f>
        <v/>
      </c>
      <c r="P155" s="69">
        <f>IF(NOT((COUNTA($B155:$K155)+COUNTA($N155))&gt;0),"",IF(AND($S155="Sub",N($R155)&gt;0),IF(ISNUMBER(INDEX($E$5:$E$1000,$R155-4)),DATE(YEAR(INDEX($E$5:$E$1000,$R155-4)),MONTH(INDEX($E$5:$E$1000,$R155-4)),1),IF(ISNUMBER(INDEX($F$5:$F$1000,$R155-4)),DATE(YEAR(INDEX($F$5:$F$1000,$R155-4)),MONTH(INDEX($F$5:$F$1000,$R155-4)),1),MesCiclo)),IF(ISNUMBER($E155),DATE(YEAR($E155),MONTH($E155),1),IF(ISNUMBER($F155),DATE(YEAR($F155),MONTH($F155),1),MesCiclo))))</f>
        <v/>
      </c>
      <c r="Q155" s="70">
        <f>IF(OR($P155="",$P155&lt;&gt;MesCiclo),"",COUNTIF($P$5:$P155,MesCiclo))</f>
        <v/>
      </c>
      <c r="R155" s="70">
        <f>IF($S155="","",IF($S155="Macro",ROW(),IFERROR(LOOKUP(2,1/($S$5:$S155="Macro"),ROW($S$5:$S155)),0)))</f>
        <v/>
      </c>
      <c r="S155" s="70">
        <f>IF(NOT((COUNTA($B155:$K155)+COUNTA($N155))&gt;0),"",IF($B155&lt;&gt;"","Macro",IF($C155&lt;&gt;"","Sub","Macro")))</f>
        <v/>
      </c>
      <c r="T155" s="70">
        <f>IF($S155="Macro",COUNTIFS($R$5:$R$1000,ROW(),$S$5:$S$1000,"Sub"),"")</f>
        <v/>
      </c>
      <c r="U155" s="70">
        <f>IF($S155="","",IF(ISNUMBER($H155),$H155,0))</f>
        <v/>
      </c>
      <c r="V155" s="70">
        <f>IF($S155="","",IF(ISNUMBER($I155),$I155,$U155))</f>
        <v/>
      </c>
      <c r="W155" s="70">
        <f>IF($S155="","",IF(ISNUMBER($J155),$J155,$V155))</f>
        <v/>
      </c>
      <c r="X155" s="70">
        <f>IF($S155="","",IF(ISNUMBER($K155),$K155,$W155))</f>
        <v/>
      </c>
      <c r="Y155" s="70">
        <f>IF($S155="","",IF(N($T155)&gt;0,AVERAGEIFS($U$5:$U$1000,$R$5:$R$1000,ROW(),$S$5:$S$1000,"Sub"),$U155))</f>
        <v/>
      </c>
      <c r="Z155" s="70">
        <f>IF($S155="","",IF(N($T155)&gt;0,AVERAGEIFS($V$5:$V$1000,$R$5:$R$1000,ROW(),$S$5:$S$1000,"Sub"),$V155))</f>
        <v/>
      </c>
      <c r="AA155" s="70">
        <f>IF($S155="","",IF(N($T155)&gt;0,AVERAGEIFS($W$5:$W$1000,$R$5:$R$1000,ROW(),$S$5:$S$1000,"Sub"),$W155))</f>
        <v/>
      </c>
      <c r="AB155" s="70">
        <f>IF($S155="","",IF(N($T155)&gt;0,AVERAGEIFS($X$5:$X$1000,$R$5:$R$1000,ROW(),$S$5:$S$1000,"Sub"),$X155))</f>
        <v/>
      </c>
    </row>
    <row r="156">
      <c r="A156" s="61">
        <f>IF(NOT((COUNTA($B156:$K156)+COUNTA($N156))&gt;0),"",IF($S156="Macro",COUNTIFS($S$5:$S156,"Macro",$P$5:$P156,$P156),IF(N($R156)=0,"?",COUNTIFS(INDEX($S$5:$S$1000,1):INDEX($S$5:$S$1000,$R156-4),"Macro",INDEX($P$5:$P$1000,1):INDEX($P$5:$P$1000,$R156-4),INDEX($P$5:$P$1000,$R156-4))&amp;"."&amp;COUNTIFS($R$5:$R156,$R156,$S$5:$S156,"Sub"))))</f>
        <v/>
      </c>
      <c r="B156" s="62" t="n"/>
      <c r="C156" s="63" t="n"/>
      <c r="D156" s="62" t="n"/>
      <c r="E156" s="64" t="n"/>
      <c r="F156" s="64" t="n"/>
      <c r="G156" s="65" t="n"/>
      <c r="H156" s="66" t="n"/>
      <c r="I156" s="66" t="n"/>
      <c r="J156" s="66" t="n"/>
      <c r="K156" s="66" t="n"/>
      <c r="L156" s="67">
        <f>IF(NOT((COUNTA($B156:$K156)+COUNTA($N156))&gt;0),"",IF(N($T156)&gt;0,$AB156,IFERROR(LOOKUP(2,1/(H156:K156&lt;&gt;""),H156:K156),0)))</f>
        <v/>
      </c>
      <c r="M156" s="61">
        <f>IF(L156="","",IF(L156&gt;=1,"Completado",IF(L156&gt;0,"En curso","Pendiente")))</f>
        <v/>
      </c>
      <c r="N156" s="62" t="n"/>
      <c r="O156" s="68">
        <f>IF(NOT((COUNTA($B156:$K156)+COUNTA($N156))&gt;0),"",IF((IF(AND($S156="Macro",$B156=""),"Macroactividad vacía"&amp;" · ","")&amp;IF(AND($B156&lt;&gt;"",$C156&lt;&gt;""),"Escriba la subactividad en otra fila, debajo de su macroactividad"&amp;" · ","")&amp;IF(AND($S156="Sub",N($R156)=0),"Subactividad sin macroactividad arriba"&amp;" · ","")&amp;IF($D156="","Sin responsable"&amp;" · ","")&amp;IF($E156="","Sin fecha de inicio"&amp;" · ","")&amp;IF($F156="","Sin fecha límite"&amp;" · ","")&amp;IF(OR(AND($E156&lt;&gt;"",NOT(ISNUMBER($E156))),AND($F156&lt;&gt;"",NOT(ISNUMBER($F156)))),"Fecha no válida"&amp;" · ","")&amp;IF(AND(ISNUMBER($E156),ISNUMBER($F156),$E156&gt;$F156),"Inicio posterior a fecha límite"&amp;" · ","")&amp;IF(AND($S156="Macro",$G156=""),"Peso vacío"&amp;" · ","")&amp;IF(AND($S156="Macro",$G156&lt;&gt;"",OR(NOT(ISNUMBER($G156)),$G156&lt;=0,$G156&gt;1)),"Peso fuera de rango"&amp;" · ","")&amp;IF(AND($S156="Sub",$G156&lt;&gt;""),"Las subactividades no llevan peso"&amp;" · ","")&amp;IF(AND($S156="Macro",ABS(SUMIFS($G$5:$G$1000,$P$5:$P$1000,$P156,$S$5:$S$1000,"Macro")-1)&gt;0.0001),"Pesos del mes suman "&amp;TEXT(SUMIFS($G$5:$G$1000,$P$5:$P$1000,$P156,$S$5:$S$1000,"Macro"),"0%")&amp;" · ","")&amp;IF(AND(N($T156)&gt;0,COUNT($H156:$K156)&gt;0),"Con subactividades: deje vacías las semanas (se calculan solas)"&amp;" · ","")&amp;IF((COUNTIF($H156:$K156,"&gt;1")+COUNTIF($H156:$K156,"&lt;0")+COUNTA($H156:$K156)-COUNT($H156:$K156))&gt;0,"Avance fuera de rango 0-100%"&amp;" · ","")&amp;IF(OR(AND($I156&lt;&gt;"",$I156&lt;$H156),AND($J156&lt;&gt;"",$J156&lt;MAX($H156:$I156)),AND($K156&lt;&gt;"",$K156&lt;MAX($H156:$J156))),"Avance semanal decreciente"&amp;" · ","")&amp;IF(AND(ISNUMBER($F156),$F156&lt;FechaRef,N($L156)&lt;1),"Vencida"&amp;" · ","")&amp;IF(AND(ObsObligatoria="Sí",ISNUMBER($F156),$F156&lt;FechaRef,N($L156)&lt;1,$N156=""),"Vencida sin observación"&amp;" · ",""))="","✔ OK","⚠ "&amp;LEFT(IF(AND($S156="Macro",$B156=""),"Macroactividad vacía"&amp;" · ","")&amp;IF(AND($B156&lt;&gt;"",$C156&lt;&gt;""),"Escriba la subactividad en otra fila, debajo de su macroactividad"&amp;" · ","")&amp;IF(AND($S156="Sub",N($R156)=0),"Subactividad sin macroactividad arriba"&amp;" · ","")&amp;IF($D156="","Sin responsable"&amp;" · ","")&amp;IF($E156="","Sin fecha de inicio"&amp;" · ","")&amp;IF($F156="","Sin fecha límite"&amp;" · ","")&amp;IF(OR(AND($E156&lt;&gt;"",NOT(ISNUMBER($E156))),AND($F156&lt;&gt;"",NOT(ISNUMBER($F156)))),"Fecha no válida"&amp;" · ","")&amp;IF(AND(ISNUMBER($E156),ISNUMBER($F156),$E156&gt;$F156),"Inicio posterior a fecha límite"&amp;" · ","")&amp;IF(AND($S156="Macro",$G156=""),"Peso vacío"&amp;" · ","")&amp;IF(AND($S156="Macro",$G156&lt;&gt;"",OR(NOT(ISNUMBER($G156)),$G156&lt;=0,$G156&gt;1)),"Peso fuera de rango"&amp;" · ","")&amp;IF(AND($S156="Sub",$G156&lt;&gt;""),"Las subactividades no llevan peso"&amp;" · ","")&amp;IF(AND($S156="Macro",ABS(SUMIFS($G$5:$G$1000,$P$5:$P$1000,$P156,$S$5:$S$1000,"Macro")-1)&gt;0.0001),"Pesos del mes suman "&amp;TEXT(SUMIFS($G$5:$G$1000,$P$5:$P$1000,$P156,$S$5:$S$1000,"Macro"),"0%")&amp;" · ","")&amp;IF(AND(N($T156)&gt;0,COUNT($H156:$K156)&gt;0),"Con subactividades: deje vacías las semanas (se calculan solas)"&amp;" · ","")&amp;IF((COUNTIF($H156:$K156,"&gt;1")+COUNTIF($H156:$K156,"&lt;0")+COUNTA($H156:$K156)-COUNT($H156:$K156))&gt;0,"Avance fuera de rango 0-100%"&amp;" · ","")&amp;IF(OR(AND($I156&lt;&gt;"",$I156&lt;$H156),AND($J156&lt;&gt;"",$J156&lt;MAX($H156:$I156)),AND($K156&lt;&gt;"",$K156&lt;MAX($H156:$J156))),"Avance semanal decreciente"&amp;" · ","")&amp;IF(AND(ISNUMBER($F156),$F156&lt;FechaRef,N($L156)&lt;1),"Vencida"&amp;" · ","")&amp;IF(AND(ObsObligatoria="Sí",ISNUMBER($F156),$F156&lt;FechaRef,N($L156)&lt;1,$N156=""),"Vencida sin observación"&amp;" · ",""),LEN(IF(AND($S156="Macro",$B156=""),"Macroactividad vacía"&amp;" · ","")&amp;IF(AND($B156&lt;&gt;"",$C156&lt;&gt;""),"Escriba la subactividad en otra fila, debajo de su macroactividad"&amp;" · ","")&amp;IF(AND($S156="Sub",N($R156)=0),"Subactividad sin macroactividad arriba"&amp;" · ","")&amp;IF($D156="","Sin responsable"&amp;" · ","")&amp;IF($E156="","Sin fecha de inicio"&amp;" · ","")&amp;IF($F156="","Sin fecha límite"&amp;" · ","")&amp;IF(OR(AND($E156&lt;&gt;"",NOT(ISNUMBER($E156))),AND($F156&lt;&gt;"",NOT(ISNUMBER($F156)))),"Fecha no válida"&amp;" · ","")&amp;IF(AND(ISNUMBER($E156),ISNUMBER($F156),$E156&gt;$F156),"Inicio posterior a fecha límite"&amp;" · ","")&amp;IF(AND($S156="Macro",$G156=""),"Peso vacío"&amp;" · ","")&amp;IF(AND($S156="Macro",$G156&lt;&gt;"",OR(NOT(ISNUMBER($G156)),$G156&lt;=0,$G156&gt;1)),"Peso fuera de rango"&amp;" · ","")&amp;IF(AND($S156="Sub",$G156&lt;&gt;""),"Las subactividades no llevan peso"&amp;" · ","")&amp;IF(AND($S156="Macro",ABS(SUMIFS($G$5:$G$1000,$P$5:$P$1000,$P156,$S$5:$S$1000,"Macro")-1)&gt;0.0001),"Pesos del mes suman "&amp;TEXT(SUMIFS($G$5:$G$1000,$P$5:$P$1000,$P156,$S$5:$S$1000,"Macro"),"0%")&amp;" · ","")&amp;IF(AND(N($T156)&gt;0,COUNT($H156:$K156)&gt;0),"Con subactividades: deje vacías las semanas (se calculan solas)"&amp;" · ","")&amp;IF((COUNTIF($H156:$K156,"&gt;1")+COUNTIF($H156:$K156,"&lt;0")+COUNTA($H156:$K156)-COUNT($H156:$K156))&gt;0,"Avance fuera de rango 0-100%"&amp;" · ","")&amp;IF(OR(AND($I156&lt;&gt;"",$I156&lt;$H156),AND($J156&lt;&gt;"",$J156&lt;MAX($H156:$I156)),AND($K156&lt;&gt;"",$K156&lt;MAX($H156:$J156))),"Avance semanal decreciente"&amp;" · ","")&amp;IF(AND(ISNUMBER($F156),$F156&lt;FechaRef,N($L156)&lt;1),"Vencida"&amp;" · ","")&amp;IF(AND(ObsObligatoria="Sí",ISNUMBER($F156),$F156&lt;FechaRef,N($L156)&lt;1,$N156=""),"Vencida sin observación"&amp;" · ",""))-3)))</f>
        <v/>
      </c>
      <c r="P156" s="69">
        <f>IF(NOT((COUNTA($B156:$K156)+COUNTA($N156))&gt;0),"",IF(AND($S156="Sub",N($R156)&gt;0),IF(ISNUMBER(INDEX($E$5:$E$1000,$R156-4)),DATE(YEAR(INDEX($E$5:$E$1000,$R156-4)),MONTH(INDEX($E$5:$E$1000,$R156-4)),1),IF(ISNUMBER(INDEX($F$5:$F$1000,$R156-4)),DATE(YEAR(INDEX($F$5:$F$1000,$R156-4)),MONTH(INDEX($F$5:$F$1000,$R156-4)),1),MesCiclo)),IF(ISNUMBER($E156),DATE(YEAR($E156),MONTH($E156),1),IF(ISNUMBER($F156),DATE(YEAR($F156),MONTH($F156),1),MesCiclo))))</f>
        <v/>
      </c>
      <c r="Q156" s="70">
        <f>IF(OR($P156="",$P156&lt;&gt;MesCiclo),"",COUNTIF($P$5:$P156,MesCiclo))</f>
        <v/>
      </c>
      <c r="R156" s="70">
        <f>IF($S156="","",IF($S156="Macro",ROW(),IFERROR(LOOKUP(2,1/($S$5:$S156="Macro"),ROW($S$5:$S156)),0)))</f>
        <v/>
      </c>
      <c r="S156" s="70">
        <f>IF(NOT((COUNTA($B156:$K156)+COUNTA($N156))&gt;0),"",IF($B156&lt;&gt;"","Macro",IF($C156&lt;&gt;"","Sub","Macro")))</f>
        <v/>
      </c>
      <c r="T156" s="70">
        <f>IF($S156="Macro",COUNTIFS($R$5:$R$1000,ROW(),$S$5:$S$1000,"Sub"),"")</f>
        <v/>
      </c>
      <c r="U156" s="70">
        <f>IF($S156="","",IF(ISNUMBER($H156),$H156,0))</f>
        <v/>
      </c>
      <c r="V156" s="70">
        <f>IF($S156="","",IF(ISNUMBER($I156),$I156,$U156))</f>
        <v/>
      </c>
      <c r="W156" s="70">
        <f>IF($S156="","",IF(ISNUMBER($J156),$J156,$V156))</f>
        <v/>
      </c>
      <c r="X156" s="70">
        <f>IF($S156="","",IF(ISNUMBER($K156),$K156,$W156))</f>
        <v/>
      </c>
      <c r="Y156" s="70">
        <f>IF($S156="","",IF(N($T156)&gt;0,AVERAGEIFS($U$5:$U$1000,$R$5:$R$1000,ROW(),$S$5:$S$1000,"Sub"),$U156))</f>
        <v/>
      </c>
      <c r="Z156" s="70">
        <f>IF($S156="","",IF(N($T156)&gt;0,AVERAGEIFS($V$5:$V$1000,$R$5:$R$1000,ROW(),$S$5:$S$1000,"Sub"),$V156))</f>
        <v/>
      </c>
      <c r="AA156" s="70">
        <f>IF($S156="","",IF(N($T156)&gt;0,AVERAGEIFS($W$5:$W$1000,$R$5:$R$1000,ROW(),$S$5:$S$1000,"Sub"),$W156))</f>
        <v/>
      </c>
      <c r="AB156" s="70">
        <f>IF($S156="","",IF(N($T156)&gt;0,AVERAGEIFS($X$5:$X$1000,$R$5:$R$1000,ROW(),$S$5:$S$1000,"Sub"),$X156))</f>
        <v/>
      </c>
    </row>
    <row r="157">
      <c r="A157" s="61">
        <f>IF(NOT((COUNTA($B157:$K157)+COUNTA($N157))&gt;0),"",IF($S157="Macro",COUNTIFS($S$5:$S157,"Macro",$P$5:$P157,$P157),IF(N($R157)=0,"?",COUNTIFS(INDEX($S$5:$S$1000,1):INDEX($S$5:$S$1000,$R157-4),"Macro",INDEX($P$5:$P$1000,1):INDEX($P$5:$P$1000,$R157-4),INDEX($P$5:$P$1000,$R157-4))&amp;"."&amp;COUNTIFS($R$5:$R157,$R157,$S$5:$S157,"Sub"))))</f>
        <v/>
      </c>
      <c r="B157" s="62" t="n"/>
      <c r="C157" s="63" t="n"/>
      <c r="D157" s="62" t="n"/>
      <c r="E157" s="64" t="n"/>
      <c r="F157" s="64" t="n"/>
      <c r="G157" s="65" t="n"/>
      <c r="H157" s="66" t="n"/>
      <c r="I157" s="66" t="n"/>
      <c r="J157" s="66" t="n"/>
      <c r="K157" s="66" t="n"/>
      <c r="L157" s="67">
        <f>IF(NOT((COUNTA($B157:$K157)+COUNTA($N157))&gt;0),"",IF(N($T157)&gt;0,$AB157,IFERROR(LOOKUP(2,1/(H157:K157&lt;&gt;""),H157:K157),0)))</f>
        <v/>
      </c>
      <c r="M157" s="61">
        <f>IF(L157="","",IF(L157&gt;=1,"Completado",IF(L157&gt;0,"En curso","Pendiente")))</f>
        <v/>
      </c>
      <c r="N157" s="62" t="n"/>
      <c r="O157" s="68">
        <f>IF(NOT((COUNTA($B157:$K157)+COUNTA($N157))&gt;0),"",IF((IF(AND($S157="Macro",$B157=""),"Macroactividad vacía"&amp;" · ","")&amp;IF(AND($B157&lt;&gt;"",$C157&lt;&gt;""),"Escriba la subactividad en otra fila, debajo de su macroactividad"&amp;" · ","")&amp;IF(AND($S157="Sub",N($R157)=0),"Subactividad sin macroactividad arriba"&amp;" · ","")&amp;IF($D157="","Sin responsable"&amp;" · ","")&amp;IF($E157="","Sin fecha de inicio"&amp;" · ","")&amp;IF($F157="","Sin fecha límite"&amp;" · ","")&amp;IF(OR(AND($E157&lt;&gt;"",NOT(ISNUMBER($E157))),AND($F157&lt;&gt;"",NOT(ISNUMBER($F157)))),"Fecha no válida"&amp;" · ","")&amp;IF(AND(ISNUMBER($E157),ISNUMBER($F157),$E157&gt;$F157),"Inicio posterior a fecha límite"&amp;" · ","")&amp;IF(AND($S157="Macro",$G157=""),"Peso vacío"&amp;" · ","")&amp;IF(AND($S157="Macro",$G157&lt;&gt;"",OR(NOT(ISNUMBER($G157)),$G157&lt;=0,$G157&gt;1)),"Peso fuera de rango"&amp;" · ","")&amp;IF(AND($S157="Sub",$G157&lt;&gt;""),"Las subactividades no llevan peso"&amp;" · ","")&amp;IF(AND($S157="Macro",ABS(SUMIFS($G$5:$G$1000,$P$5:$P$1000,$P157,$S$5:$S$1000,"Macro")-1)&gt;0.0001),"Pesos del mes suman "&amp;TEXT(SUMIFS($G$5:$G$1000,$P$5:$P$1000,$P157,$S$5:$S$1000,"Macro"),"0%")&amp;" · ","")&amp;IF(AND(N($T157)&gt;0,COUNT($H157:$K157)&gt;0),"Con subactividades: deje vacías las semanas (se calculan solas)"&amp;" · ","")&amp;IF((COUNTIF($H157:$K157,"&gt;1")+COUNTIF($H157:$K157,"&lt;0")+COUNTA($H157:$K157)-COUNT($H157:$K157))&gt;0,"Avance fuera de rango 0-100%"&amp;" · ","")&amp;IF(OR(AND($I157&lt;&gt;"",$I157&lt;$H157),AND($J157&lt;&gt;"",$J157&lt;MAX($H157:$I157)),AND($K157&lt;&gt;"",$K157&lt;MAX($H157:$J157))),"Avance semanal decreciente"&amp;" · ","")&amp;IF(AND(ISNUMBER($F157),$F157&lt;FechaRef,N($L157)&lt;1),"Vencida"&amp;" · ","")&amp;IF(AND(ObsObligatoria="Sí",ISNUMBER($F157),$F157&lt;FechaRef,N($L157)&lt;1,$N157=""),"Vencida sin observación"&amp;" · ",""))="","✔ OK","⚠ "&amp;LEFT(IF(AND($S157="Macro",$B157=""),"Macroactividad vacía"&amp;" · ","")&amp;IF(AND($B157&lt;&gt;"",$C157&lt;&gt;""),"Escriba la subactividad en otra fila, debajo de su macroactividad"&amp;" · ","")&amp;IF(AND($S157="Sub",N($R157)=0),"Subactividad sin macroactividad arriba"&amp;" · ","")&amp;IF($D157="","Sin responsable"&amp;" · ","")&amp;IF($E157="","Sin fecha de inicio"&amp;" · ","")&amp;IF($F157="","Sin fecha límite"&amp;" · ","")&amp;IF(OR(AND($E157&lt;&gt;"",NOT(ISNUMBER($E157))),AND($F157&lt;&gt;"",NOT(ISNUMBER($F157)))),"Fecha no válida"&amp;" · ","")&amp;IF(AND(ISNUMBER($E157),ISNUMBER($F157),$E157&gt;$F157),"Inicio posterior a fecha límite"&amp;" · ","")&amp;IF(AND($S157="Macro",$G157=""),"Peso vacío"&amp;" · ","")&amp;IF(AND($S157="Macro",$G157&lt;&gt;"",OR(NOT(ISNUMBER($G157)),$G157&lt;=0,$G157&gt;1)),"Peso fuera de rango"&amp;" · ","")&amp;IF(AND($S157="Sub",$G157&lt;&gt;""),"Las subactividades no llevan peso"&amp;" · ","")&amp;IF(AND($S157="Macro",ABS(SUMIFS($G$5:$G$1000,$P$5:$P$1000,$P157,$S$5:$S$1000,"Macro")-1)&gt;0.0001),"Pesos del mes suman "&amp;TEXT(SUMIFS($G$5:$G$1000,$P$5:$P$1000,$P157,$S$5:$S$1000,"Macro"),"0%")&amp;" · ","")&amp;IF(AND(N($T157)&gt;0,COUNT($H157:$K157)&gt;0),"Con subactividades: deje vacías las semanas (se calculan solas)"&amp;" · ","")&amp;IF((COUNTIF($H157:$K157,"&gt;1")+COUNTIF($H157:$K157,"&lt;0")+COUNTA($H157:$K157)-COUNT($H157:$K157))&gt;0,"Avance fuera de rango 0-100%"&amp;" · ","")&amp;IF(OR(AND($I157&lt;&gt;"",$I157&lt;$H157),AND($J157&lt;&gt;"",$J157&lt;MAX($H157:$I157)),AND($K157&lt;&gt;"",$K157&lt;MAX($H157:$J157))),"Avance semanal decreciente"&amp;" · ","")&amp;IF(AND(ISNUMBER($F157),$F157&lt;FechaRef,N($L157)&lt;1),"Vencida"&amp;" · ","")&amp;IF(AND(ObsObligatoria="Sí",ISNUMBER($F157),$F157&lt;FechaRef,N($L157)&lt;1,$N157=""),"Vencida sin observación"&amp;" · ",""),LEN(IF(AND($S157="Macro",$B157=""),"Macroactividad vacía"&amp;" · ","")&amp;IF(AND($B157&lt;&gt;"",$C157&lt;&gt;""),"Escriba la subactividad en otra fila, debajo de su macroactividad"&amp;" · ","")&amp;IF(AND($S157="Sub",N($R157)=0),"Subactividad sin macroactividad arriba"&amp;" · ","")&amp;IF($D157="","Sin responsable"&amp;" · ","")&amp;IF($E157="","Sin fecha de inicio"&amp;" · ","")&amp;IF($F157="","Sin fecha límite"&amp;" · ","")&amp;IF(OR(AND($E157&lt;&gt;"",NOT(ISNUMBER($E157))),AND($F157&lt;&gt;"",NOT(ISNUMBER($F157)))),"Fecha no válida"&amp;" · ","")&amp;IF(AND(ISNUMBER($E157),ISNUMBER($F157),$E157&gt;$F157),"Inicio posterior a fecha límite"&amp;" · ","")&amp;IF(AND($S157="Macro",$G157=""),"Peso vacío"&amp;" · ","")&amp;IF(AND($S157="Macro",$G157&lt;&gt;"",OR(NOT(ISNUMBER($G157)),$G157&lt;=0,$G157&gt;1)),"Peso fuera de rango"&amp;" · ","")&amp;IF(AND($S157="Sub",$G157&lt;&gt;""),"Las subactividades no llevan peso"&amp;" · ","")&amp;IF(AND($S157="Macro",ABS(SUMIFS($G$5:$G$1000,$P$5:$P$1000,$P157,$S$5:$S$1000,"Macro")-1)&gt;0.0001),"Pesos del mes suman "&amp;TEXT(SUMIFS($G$5:$G$1000,$P$5:$P$1000,$P157,$S$5:$S$1000,"Macro"),"0%")&amp;" · ","")&amp;IF(AND(N($T157)&gt;0,COUNT($H157:$K157)&gt;0),"Con subactividades: deje vacías las semanas (se calculan solas)"&amp;" · ","")&amp;IF((COUNTIF($H157:$K157,"&gt;1")+COUNTIF($H157:$K157,"&lt;0")+COUNTA($H157:$K157)-COUNT($H157:$K157))&gt;0,"Avance fuera de rango 0-100%"&amp;" · ","")&amp;IF(OR(AND($I157&lt;&gt;"",$I157&lt;$H157),AND($J157&lt;&gt;"",$J157&lt;MAX($H157:$I157)),AND($K157&lt;&gt;"",$K157&lt;MAX($H157:$J157))),"Avance semanal decreciente"&amp;" · ","")&amp;IF(AND(ISNUMBER($F157),$F157&lt;FechaRef,N($L157)&lt;1),"Vencida"&amp;" · ","")&amp;IF(AND(ObsObligatoria="Sí",ISNUMBER($F157),$F157&lt;FechaRef,N($L157)&lt;1,$N157=""),"Vencida sin observación"&amp;" · ",""))-3)))</f>
        <v/>
      </c>
      <c r="P157" s="69">
        <f>IF(NOT((COUNTA($B157:$K157)+COUNTA($N157))&gt;0),"",IF(AND($S157="Sub",N($R157)&gt;0),IF(ISNUMBER(INDEX($E$5:$E$1000,$R157-4)),DATE(YEAR(INDEX($E$5:$E$1000,$R157-4)),MONTH(INDEX($E$5:$E$1000,$R157-4)),1),IF(ISNUMBER(INDEX($F$5:$F$1000,$R157-4)),DATE(YEAR(INDEX($F$5:$F$1000,$R157-4)),MONTH(INDEX($F$5:$F$1000,$R157-4)),1),MesCiclo)),IF(ISNUMBER($E157),DATE(YEAR($E157),MONTH($E157),1),IF(ISNUMBER($F157),DATE(YEAR($F157),MONTH($F157),1),MesCiclo))))</f>
        <v/>
      </c>
      <c r="Q157" s="70">
        <f>IF(OR($P157="",$P157&lt;&gt;MesCiclo),"",COUNTIF($P$5:$P157,MesCiclo))</f>
        <v/>
      </c>
      <c r="R157" s="70">
        <f>IF($S157="","",IF($S157="Macro",ROW(),IFERROR(LOOKUP(2,1/($S$5:$S157="Macro"),ROW($S$5:$S157)),0)))</f>
        <v/>
      </c>
      <c r="S157" s="70">
        <f>IF(NOT((COUNTA($B157:$K157)+COUNTA($N157))&gt;0),"",IF($B157&lt;&gt;"","Macro",IF($C157&lt;&gt;"","Sub","Macro")))</f>
        <v/>
      </c>
      <c r="T157" s="70">
        <f>IF($S157="Macro",COUNTIFS($R$5:$R$1000,ROW(),$S$5:$S$1000,"Sub"),"")</f>
        <v/>
      </c>
      <c r="U157" s="70">
        <f>IF($S157="","",IF(ISNUMBER($H157),$H157,0))</f>
        <v/>
      </c>
      <c r="V157" s="70">
        <f>IF($S157="","",IF(ISNUMBER($I157),$I157,$U157))</f>
        <v/>
      </c>
      <c r="W157" s="70">
        <f>IF($S157="","",IF(ISNUMBER($J157),$J157,$V157))</f>
        <v/>
      </c>
      <c r="X157" s="70">
        <f>IF($S157="","",IF(ISNUMBER($K157),$K157,$W157))</f>
        <v/>
      </c>
      <c r="Y157" s="70">
        <f>IF($S157="","",IF(N($T157)&gt;0,AVERAGEIFS($U$5:$U$1000,$R$5:$R$1000,ROW(),$S$5:$S$1000,"Sub"),$U157))</f>
        <v/>
      </c>
      <c r="Z157" s="70">
        <f>IF($S157="","",IF(N($T157)&gt;0,AVERAGEIFS($V$5:$V$1000,$R$5:$R$1000,ROW(),$S$5:$S$1000,"Sub"),$V157))</f>
        <v/>
      </c>
      <c r="AA157" s="70">
        <f>IF($S157="","",IF(N($T157)&gt;0,AVERAGEIFS($W$5:$W$1000,$R$5:$R$1000,ROW(),$S$5:$S$1000,"Sub"),$W157))</f>
        <v/>
      </c>
      <c r="AB157" s="70">
        <f>IF($S157="","",IF(N($T157)&gt;0,AVERAGEIFS($X$5:$X$1000,$R$5:$R$1000,ROW(),$S$5:$S$1000,"Sub"),$X157))</f>
        <v/>
      </c>
    </row>
    <row r="158">
      <c r="A158" s="61">
        <f>IF(NOT((COUNTA($B158:$K158)+COUNTA($N158))&gt;0),"",IF($S158="Macro",COUNTIFS($S$5:$S158,"Macro",$P$5:$P158,$P158),IF(N($R158)=0,"?",COUNTIFS(INDEX($S$5:$S$1000,1):INDEX($S$5:$S$1000,$R158-4),"Macro",INDEX($P$5:$P$1000,1):INDEX($P$5:$P$1000,$R158-4),INDEX($P$5:$P$1000,$R158-4))&amp;"."&amp;COUNTIFS($R$5:$R158,$R158,$S$5:$S158,"Sub"))))</f>
        <v/>
      </c>
      <c r="B158" s="62" t="n"/>
      <c r="C158" s="63" t="n"/>
      <c r="D158" s="62" t="n"/>
      <c r="E158" s="64" t="n"/>
      <c r="F158" s="64" t="n"/>
      <c r="G158" s="65" t="n"/>
      <c r="H158" s="66" t="n"/>
      <c r="I158" s="66" t="n"/>
      <c r="J158" s="66" t="n"/>
      <c r="K158" s="66" t="n"/>
      <c r="L158" s="67">
        <f>IF(NOT((COUNTA($B158:$K158)+COUNTA($N158))&gt;0),"",IF(N($T158)&gt;0,$AB158,IFERROR(LOOKUP(2,1/(H158:K158&lt;&gt;""),H158:K158),0)))</f>
        <v/>
      </c>
      <c r="M158" s="61">
        <f>IF(L158="","",IF(L158&gt;=1,"Completado",IF(L158&gt;0,"En curso","Pendiente")))</f>
        <v/>
      </c>
      <c r="N158" s="62" t="n"/>
      <c r="O158" s="68">
        <f>IF(NOT((COUNTA($B158:$K158)+COUNTA($N158))&gt;0),"",IF((IF(AND($S158="Macro",$B158=""),"Macroactividad vacía"&amp;" · ","")&amp;IF(AND($B158&lt;&gt;"",$C158&lt;&gt;""),"Escriba la subactividad en otra fila, debajo de su macroactividad"&amp;" · ","")&amp;IF(AND($S158="Sub",N($R158)=0),"Subactividad sin macroactividad arriba"&amp;" · ","")&amp;IF($D158="","Sin responsable"&amp;" · ","")&amp;IF($E158="","Sin fecha de inicio"&amp;" · ","")&amp;IF($F158="","Sin fecha límite"&amp;" · ","")&amp;IF(OR(AND($E158&lt;&gt;"",NOT(ISNUMBER($E158))),AND($F158&lt;&gt;"",NOT(ISNUMBER($F158)))),"Fecha no válida"&amp;" · ","")&amp;IF(AND(ISNUMBER($E158),ISNUMBER($F158),$E158&gt;$F158),"Inicio posterior a fecha límite"&amp;" · ","")&amp;IF(AND($S158="Macro",$G158=""),"Peso vacío"&amp;" · ","")&amp;IF(AND($S158="Macro",$G158&lt;&gt;"",OR(NOT(ISNUMBER($G158)),$G158&lt;=0,$G158&gt;1)),"Peso fuera de rango"&amp;" · ","")&amp;IF(AND($S158="Sub",$G158&lt;&gt;""),"Las subactividades no llevan peso"&amp;" · ","")&amp;IF(AND($S158="Macro",ABS(SUMIFS($G$5:$G$1000,$P$5:$P$1000,$P158,$S$5:$S$1000,"Macro")-1)&gt;0.0001),"Pesos del mes suman "&amp;TEXT(SUMIFS($G$5:$G$1000,$P$5:$P$1000,$P158,$S$5:$S$1000,"Macro"),"0%")&amp;" · ","")&amp;IF(AND(N($T158)&gt;0,COUNT($H158:$K158)&gt;0),"Con subactividades: deje vacías las semanas (se calculan solas)"&amp;" · ","")&amp;IF((COUNTIF($H158:$K158,"&gt;1")+COUNTIF($H158:$K158,"&lt;0")+COUNTA($H158:$K158)-COUNT($H158:$K158))&gt;0,"Avance fuera de rango 0-100%"&amp;" · ","")&amp;IF(OR(AND($I158&lt;&gt;"",$I158&lt;$H158),AND($J158&lt;&gt;"",$J158&lt;MAX($H158:$I158)),AND($K158&lt;&gt;"",$K158&lt;MAX($H158:$J158))),"Avance semanal decreciente"&amp;" · ","")&amp;IF(AND(ISNUMBER($F158),$F158&lt;FechaRef,N($L158)&lt;1),"Vencida"&amp;" · ","")&amp;IF(AND(ObsObligatoria="Sí",ISNUMBER($F158),$F158&lt;FechaRef,N($L158)&lt;1,$N158=""),"Vencida sin observación"&amp;" · ",""))="","✔ OK","⚠ "&amp;LEFT(IF(AND($S158="Macro",$B158=""),"Macroactividad vacía"&amp;" · ","")&amp;IF(AND($B158&lt;&gt;"",$C158&lt;&gt;""),"Escriba la subactividad en otra fila, debajo de su macroactividad"&amp;" · ","")&amp;IF(AND($S158="Sub",N($R158)=0),"Subactividad sin macroactividad arriba"&amp;" · ","")&amp;IF($D158="","Sin responsable"&amp;" · ","")&amp;IF($E158="","Sin fecha de inicio"&amp;" · ","")&amp;IF($F158="","Sin fecha límite"&amp;" · ","")&amp;IF(OR(AND($E158&lt;&gt;"",NOT(ISNUMBER($E158))),AND($F158&lt;&gt;"",NOT(ISNUMBER($F158)))),"Fecha no válida"&amp;" · ","")&amp;IF(AND(ISNUMBER($E158),ISNUMBER($F158),$E158&gt;$F158),"Inicio posterior a fecha límite"&amp;" · ","")&amp;IF(AND($S158="Macro",$G158=""),"Peso vacío"&amp;" · ","")&amp;IF(AND($S158="Macro",$G158&lt;&gt;"",OR(NOT(ISNUMBER($G158)),$G158&lt;=0,$G158&gt;1)),"Peso fuera de rango"&amp;" · ","")&amp;IF(AND($S158="Sub",$G158&lt;&gt;""),"Las subactividades no llevan peso"&amp;" · ","")&amp;IF(AND($S158="Macro",ABS(SUMIFS($G$5:$G$1000,$P$5:$P$1000,$P158,$S$5:$S$1000,"Macro")-1)&gt;0.0001),"Pesos del mes suman "&amp;TEXT(SUMIFS($G$5:$G$1000,$P$5:$P$1000,$P158,$S$5:$S$1000,"Macro"),"0%")&amp;" · ","")&amp;IF(AND(N($T158)&gt;0,COUNT($H158:$K158)&gt;0),"Con subactividades: deje vacías las semanas (se calculan solas)"&amp;" · ","")&amp;IF((COUNTIF($H158:$K158,"&gt;1")+COUNTIF($H158:$K158,"&lt;0")+COUNTA($H158:$K158)-COUNT($H158:$K158))&gt;0,"Avance fuera de rango 0-100%"&amp;" · ","")&amp;IF(OR(AND($I158&lt;&gt;"",$I158&lt;$H158),AND($J158&lt;&gt;"",$J158&lt;MAX($H158:$I158)),AND($K158&lt;&gt;"",$K158&lt;MAX($H158:$J158))),"Avance semanal decreciente"&amp;" · ","")&amp;IF(AND(ISNUMBER($F158),$F158&lt;FechaRef,N($L158)&lt;1),"Vencida"&amp;" · ","")&amp;IF(AND(ObsObligatoria="Sí",ISNUMBER($F158),$F158&lt;FechaRef,N($L158)&lt;1,$N158=""),"Vencida sin observación"&amp;" · ",""),LEN(IF(AND($S158="Macro",$B158=""),"Macroactividad vacía"&amp;" · ","")&amp;IF(AND($B158&lt;&gt;"",$C158&lt;&gt;""),"Escriba la subactividad en otra fila, debajo de su macroactividad"&amp;" · ","")&amp;IF(AND($S158="Sub",N($R158)=0),"Subactividad sin macroactividad arriba"&amp;" · ","")&amp;IF($D158="","Sin responsable"&amp;" · ","")&amp;IF($E158="","Sin fecha de inicio"&amp;" · ","")&amp;IF($F158="","Sin fecha límite"&amp;" · ","")&amp;IF(OR(AND($E158&lt;&gt;"",NOT(ISNUMBER($E158))),AND($F158&lt;&gt;"",NOT(ISNUMBER($F158)))),"Fecha no válida"&amp;" · ","")&amp;IF(AND(ISNUMBER($E158),ISNUMBER($F158),$E158&gt;$F158),"Inicio posterior a fecha límite"&amp;" · ","")&amp;IF(AND($S158="Macro",$G158=""),"Peso vacío"&amp;" · ","")&amp;IF(AND($S158="Macro",$G158&lt;&gt;"",OR(NOT(ISNUMBER($G158)),$G158&lt;=0,$G158&gt;1)),"Peso fuera de rango"&amp;" · ","")&amp;IF(AND($S158="Sub",$G158&lt;&gt;""),"Las subactividades no llevan peso"&amp;" · ","")&amp;IF(AND($S158="Macro",ABS(SUMIFS($G$5:$G$1000,$P$5:$P$1000,$P158,$S$5:$S$1000,"Macro")-1)&gt;0.0001),"Pesos del mes suman "&amp;TEXT(SUMIFS($G$5:$G$1000,$P$5:$P$1000,$P158,$S$5:$S$1000,"Macro"),"0%")&amp;" · ","")&amp;IF(AND(N($T158)&gt;0,COUNT($H158:$K158)&gt;0),"Con subactividades: deje vacías las semanas (se calculan solas)"&amp;" · ","")&amp;IF((COUNTIF($H158:$K158,"&gt;1")+COUNTIF($H158:$K158,"&lt;0")+COUNTA($H158:$K158)-COUNT($H158:$K158))&gt;0,"Avance fuera de rango 0-100%"&amp;" · ","")&amp;IF(OR(AND($I158&lt;&gt;"",$I158&lt;$H158),AND($J158&lt;&gt;"",$J158&lt;MAX($H158:$I158)),AND($K158&lt;&gt;"",$K158&lt;MAX($H158:$J158))),"Avance semanal decreciente"&amp;" · ","")&amp;IF(AND(ISNUMBER($F158),$F158&lt;FechaRef,N($L158)&lt;1),"Vencida"&amp;" · ","")&amp;IF(AND(ObsObligatoria="Sí",ISNUMBER($F158),$F158&lt;FechaRef,N($L158)&lt;1,$N158=""),"Vencida sin observación"&amp;" · ",""))-3)))</f>
        <v/>
      </c>
      <c r="P158" s="69">
        <f>IF(NOT((COUNTA($B158:$K158)+COUNTA($N158))&gt;0),"",IF(AND($S158="Sub",N($R158)&gt;0),IF(ISNUMBER(INDEX($E$5:$E$1000,$R158-4)),DATE(YEAR(INDEX($E$5:$E$1000,$R158-4)),MONTH(INDEX($E$5:$E$1000,$R158-4)),1),IF(ISNUMBER(INDEX($F$5:$F$1000,$R158-4)),DATE(YEAR(INDEX($F$5:$F$1000,$R158-4)),MONTH(INDEX($F$5:$F$1000,$R158-4)),1),MesCiclo)),IF(ISNUMBER($E158),DATE(YEAR($E158),MONTH($E158),1),IF(ISNUMBER($F158),DATE(YEAR($F158),MONTH($F158),1),MesCiclo))))</f>
        <v/>
      </c>
      <c r="Q158" s="70">
        <f>IF(OR($P158="",$P158&lt;&gt;MesCiclo),"",COUNTIF($P$5:$P158,MesCiclo))</f>
        <v/>
      </c>
      <c r="R158" s="70">
        <f>IF($S158="","",IF($S158="Macro",ROW(),IFERROR(LOOKUP(2,1/($S$5:$S158="Macro"),ROW($S$5:$S158)),0)))</f>
        <v/>
      </c>
      <c r="S158" s="70">
        <f>IF(NOT((COUNTA($B158:$K158)+COUNTA($N158))&gt;0),"",IF($B158&lt;&gt;"","Macro",IF($C158&lt;&gt;"","Sub","Macro")))</f>
        <v/>
      </c>
      <c r="T158" s="70">
        <f>IF($S158="Macro",COUNTIFS($R$5:$R$1000,ROW(),$S$5:$S$1000,"Sub"),"")</f>
        <v/>
      </c>
      <c r="U158" s="70">
        <f>IF($S158="","",IF(ISNUMBER($H158),$H158,0))</f>
        <v/>
      </c>
      <c r="V158" s="70">
        <f>IF($S158="","",IF(ISNUMBER($I158),$I158,$U158))</f>
        <v/>
      </c>
      <c r="W158" s="70">
        <f>IF($S158="","",IF(ISNUMBER($J158),$J158,$V158))</f>
        <v/>
      </c>
      <c r="X158" s="70">
        <f>IF($S158="","",IF(ISNUMBER($K158),$K158,$W158))</f>
        <v/>
      </c>
      <c r="Y158" s="70">
        <f>IF($S158="","",IF(N($T158)&gt;0,AVERAGEIFS($U$5:$U$1000,$R$5:$R$1000,ROW(),$S$5:$S$1000,"Sub"),$U158))</f>
        <v/>
      </c>
      <c r="Z158" s="70">
        <f>IF($S158="","",IF(N($T158)&gt;0,AVERAGEIFS($V$5:$V$1000,$R$5:$R$1000,ROW(),$S$5:$S$1000,"Sub"),$V158))</f>
        <v/>
      </c>
      <c r="AA158" s="70">
        <f>IF($S158="","",IF(N($T158)&gt;0,AVERAGEIFS($W$5:$W$1000,$R$5:$R$1000,ROW(),$S$5:$S$1000,"Sub"),$W158))</f>
        <v/>
      </c>
      <c r="AB158" s="70">
        <f>IF($S158="","",IF(N($T158)&gt;0,AVERAGEIFS($X$5:$X$1000,$R$5:$R$1000,ROW(),$S$5:$S$1000,"Sub"),$X158))</f>
        <v/>
      </c>
    </row>
    <row r="159">
      <c r="A159" s="61">
        <f>IF(NOT((COUNTA($B159:$K159)+COUNTA($N159))&gt;0),"",IF($S159="Macro",COUNTIFS($S$5:$S159,"Macro",$P$5:$P159,$P159),IF(N($R159)=0,"?",COUNTIFS(INDEX($S$5:$S$1000,1):INDEX($S$5:$S$1000,$R159-4),"Macro",INDEX($P$5:$P$1000,1):INDEX($P$5:$P$1000,$R159-4),INDEX($P$5:$P$1000,$R159-4))&amp;"."&amp;COUNTIFS($R$5:$R159,$R159,$S$5:$S159,"Sub"))))</f>
        <v/>
      </c>
      <c r="B159" s="62" t="n"/>
      <c r="C159" s="63" t="n"/>
      <c r="D159" s="62" t="n"/>
      <c r="E159" s="64" t="n"/>
      <c r="F159" s="64" t="n"/>
      <c r="G159" s="65" t="n"/>
      <c r="H159" s="66" t="n"/>
      <c r="I159" s="66" t="n"/>
      <c r="J159" s="66" t="n"/>
      <c r="K159" s="66" t="n"/>
      <c r="L159" s="67">
        <f>IF(NOT((COUNTA($B159:$K159)+COUNTA($N159))&gt;0),"",IF(N($T159)&gt;0,$AB159,IFERROR(LOOKUP(2,1/(H159:K159&lt;&gt;""),H159:K159),0)))</f>
        <v/>
      </c>
      <c r="M159" s="61">
        <f>IF(L159="","",IF(L159&gt;=1,"Completado",IF(L159&gt;0,"En curso","Pendiente")))</f>
        <v/>
      </c>
      <c r="N159" s="62" t="n"/>
      <c r="O159" s="68">
        <f>IF(NOT((COUNTA($B159:$K159)+COUNTA($N159))&gt;0),"",IF((IF(AND($S159="Macro",$B159=""),"Macroactividad vacía"&amp;" · ","")&amp;IF(AND($B159&lt;&gt;"",$C159&lt;&gt;""),"Escriba la subactividad en otra fila, debajo de su macroactividad"&amp;" · ","")&amp;IF(AND($S159="Sub",N($R159)=0),"Subactividad sin macroactividad arriba"&amp;" · ","")&amp;IF($D159="","Sin responsable"&amp;" · ","")&amp;IF($E159="","Sin fecha de inicio"&amp;" · ","")&amp;IF($F159="","Sin fecha límite"&amp;" · ","")&amp;IF(OR(AND($E159&lt;&gt;"",NOT(ISNUMBER($E159))),AND($F159&lt;&gt;"",NOT(ISNUMBER($F159)))),"Fecha no válida"&amp;" · ","")&amp;IF(AND(ISNUMBER($E159),ISNUMBER($F159),$E159&gt;$F159),"Inicio posterior a fecha límite"&amp;" · ","")&amp;IF(AND($S159="Macro",$G159=""),"Peso vacío"&amp;" · ","")&amp;IF(AND($S159="Macro",$G159&lt;&gt;"",OR(NOT(ISNUMBER($G159)),$G159&lt;=0,$G159&gt;1)),"Peso fuera de rango"&amp;" · ","")&amp;IF(AND($S159="Sub",$G159&lt;&gt;""),"Las subactividades no llevan peso"&amp;" · ","")&amp;IF(AND($S159="Macro",ABS(SUMIFS($G$5:$G$1000,$P$5:$P$1000,$P159,$S$5:$S$1000,"Macro")-1)&gt;0.0001),"Pesos del mes suman "&amp;TEXT(SUMIFS($G$5:$G$1000,$P$5:$P$1000,$P159,$S$5:$S$1000,"Macro"),"0%")&amp;" · ","")&amp;IF(AND(N($T159)&gt;0,COUNT($H159:$K159)&gt;0),"Con subactividades: deje vacías las semanas (se calculan solas)"&amp;" · ","")&amp;IF((COUNTIF($H159:$K159,"&gt;1")+COUNTIF($H159:$K159,"&lt;0")+COUNTA($H159:$K159)-COUNT($H159:$K159))&gt;0,"Avance fuera de rango 0-100%"&amp;" · ","")&amp;IF(OR(AND($I159&lt;&gt;"",$I159&lt;$H159),AND($J159&lt;&gt;"",$J159&lt;MAX($H159:$I159)),AND($K159&lt;&gt;"",$K159&lt;MAX($H159:$J159))),"Avance semanal decreciente"&amp;" · ","")&amp;IF(AND(ISNUMBER($F159),$F159&lt;FechaRef,N($L159)&lt;1),"Vencida"&amp;" · ","")&amp;IF(AND(ObsObligatoria="Sí",ISNUMBER($F159),$F159&lt;FechaRef,N($L159)&lt;1,$N159=""),"Vencida sin observación"&amp;" · ",""))="","✔ OK","⚠ "&amp;LEFT(IF(AND($S159="Macro",$B159=""),"Macroactividad vacía"&amp;" · ","")&amp;IF(AND($B159&lt;&gt;"",$C159&lt;&gt;""),"Escriba la subactividad en otra fila, debajo de su macroactividad"&amp;" · ","")&amp;IF(AND($S159="Sub",N($R159)=0),"Subactividad sin macroactividad arriba"&amp;" · ","")&amp;IF($D159="","Sin responsable"&amp;" · ","")&amp;IF($E159="","Sin fecha de inicio"&amp;" · ","")&amp;IF($F159="","Sin fecha límite"&amp;" · ","")&amp;IF(OR(AND($E159&lt;&gt;"",NOT(ISNUMBER($E159))),AND($F159&lt;&gt;"",NOT(ISNUMBER($F159)))),"Fecha no válida"&amp;" · ","")&amp;IF(AND(ISNUMBER($E159),ISNUMBER($F159),$E159&gt;$F159),"Inicio posterior a fecha límite"&amp;" · ","")&amp;IF(AND($S159="Macro",$G159=""),"Peso vacío"&amp;" · ","")&amp;IF(AND($S159="Macro",$G159&lt;&gt;"",OR(NOT(ISNUMBER($G159)),$G159&lt;=0,$G159&gt;1)),"Peso fuera de rango"&amp;" · ","")&amp;IF(AND($S159="Sub",$G159&lt;&gt;""),"Las subactividades no llevan peso"&amp;" · ","")&amp;IF(AND($S159="Macro",ABS(SUMIFS($G$5:$G$1000,$P$5:$P$1000,$P159,$S$5:$S$1000,"Macro")-1)&gt;0.0001),"Pesos del mes suman "&amp;TEXT(SUMIFS($G$5:$G$1000,$P$5:$P$1000,$P159,$S$5:$S$1000,"Macro"),"0%")&amp;" · ","")&amp;IF(AND(N($T159)&gt;0,COUNT($H159:$K159)&gt;0),"Con subactividades: deje vacías las semanas (se calculan solas)"&amp;" · ","")&amp;IF((COUNTIF($H159:$K159,"&gt;1")+COUNTIF($H159:$K159,"&lt;0")+COUNTA($H159:$K159)-COUNT($H159:$K159))&gt;0,"Avance fuera de rango 0-100%"&amp;" · ","")&amp;IF(OR(AND($I159&lt;&gt;"",$I159&lt;$H159),AND($J159&lt;&gt;"",$J159&lt;MAX($H159:$I159)),AND($K159&lt;&gt;"",$K159&lt;MAX($H159:$J159))),"Avance semanal decreciente"&amp;" · ","")&amp;IF(AND(ISNUMBER($F159),$F159&lt;FechaRef,N($L159)&lt;1),"Vencida"&amp;" · ","")&amp;IF(AND(ObsObligatoria="Sí",ISNUMBER($F159),$F159&lt;FechaRef,N($L159)&lt;1,$N159=""),"Vencida sin observación"&amp;" · ",""),LEN(IF(AND($S159="Macro",$B159=""),"Macroactividad vacía"&amp;" · ","")&amp;IF(AND($B159&lt;&gt;"",$C159&lt;&gt;""),"Escriba la subactividad en otra fila, debajo de su macroactividad"&amp;" · ","")&amp;IF(AND($S159="Sub",N($R159)=0),"Subactividad sin macroactividad arriba"&amp;" · ","")&amp;IF($D159="","Sin responsable"&amp;" · ","")&amp;IF($E159="","Sin fecha de inicio"&amp;" · ","")&amp;IF($F159="","Sin fecha límite"&amp;" · ","")&amp;IF(OR(AND($E159&lt;&gt;"",NOT(ISNUMBER($E159))),AND($F159&lt;&gt;"",NOT(ISNUMBER($F159)))),"Fecha no válida"&amp;" · ","")&amp;IF(AND(ISNUMBER($E159),ISNUMBER($F159),$E159&gt;$F159),"Inicio posterior a fecha límite"&amp;" · ","")&amp;IF(AND($S159="Macro",$G159=""),"Peso vacío"&amp;" · ","")&amp;IF(AND($S159="Macro",$G159&lt;&gt;"",OR(NOT(ISNUMBER($G159)),$G159&lt;=0,$G159&gt;1)),"Peso fuera de rango"&amp;" · ","")&amp;IF(AND($S159="Sub",$G159&lt;&gt;""),"Las subactividades no llevan peso"&amp;" · ","")&amp;IF(AND($S159="Macro",ABS(SUMIFS($G$5:$G$1000,$P$5:$P$1000,$P159,$S$5:$S$1000,"Macro")-1)&gt;0.0001),"Pesos del mes suman "&amp;TEXT(SUMIFS($G$5:$G$1000,$P$5:$P$1000,$P159,$S$5:$S$1000,"Macro"),"0%")&amp;" · ","")&amp;IF(AND(N($T159)&gt;0,COUNT($H159:$K159)&gt;0),"Con subactividades: deje vacías las semanas (se calculan solas)"&amp;" · ","")&amp;IF((COUNTIF($H159:$K159,"&gt;1")+COUNTIF($H159:$K159,"&lt;0")+COUNTA($H159:$K159)-COUNT($H159:$K159))&gt;0,"Avance fuera de rango 0-100%"&amp;" · ","")&amp;IF(OR(AND($I159&lt;&gt;"",$I159&lt;$H159),AND($J159&lt;&gt;"",$J159&lt;MAX($H159:$I159)),AND($K159&lt;&gt;"",$K159&lt;MAX($H159:$J159))),"Avance semanal decreciente"&amp;" · ","")&amp;IF(AND(ISNUMBER($F159),$F159&lt;FechaRef,N($L159)&lt;1),"Vencida"&amp;" · ","")&amp;IF(AND(ObsObligatoria="Sí",ISNUMBER($F159),$F159&lt;FechaRef,N($L159)&lt;1,$N159=""),"Vencida sin observación"&amp;" · ",""))-3)))</f>
        <v/>
      </c>
      <c r="P159" s="69">
        <f>IF(NOT((COUNTA($B159:$K159)+COUNTA($N159))&gt;0),"",IF(AND($S159="Sub",N($R159)&gt;0),IF(ISNUMBER(INDEX($E$5:$E$1000,$R159-4)),DATE(YEAR(INDEX($E$5:$E$1000,$R159-4)),MONTH(INDEX($E$5:$E$1000,$R159-4)),1),IF(ISNUMBER(INDEX($F$5:$F$1000,$R159-4)),DATE(YEAR(INDEX($F$5:$F$1000,$R159-4)),MONTH(INDEX($F$5:$F$1000,$R159-4)),1),MesCiclo)),IF(ISNUMBER($E159),DATE(YEAR($E159),MONTH($E159),1),IF(ISNUMBER($F159),DATE(YEAR($F159),MONTH($F159),1),MesCiclo))))</f>
        <v/>
      </c>
      <c r="Q159" s="70">
        <f>IF(OR($P159="",$P159&lt;&gt;MesCiclo),"",COUNTIF($P$5:$P159,MesCiclo))</f>
        <v/>
      </c>
      <c r="R159" s="70">
        <f>IF($S159="","",IF($S159="Macro",ROW(),IFERROR(LOOKUP(2,1/($S$5:$S159="Macro"),ROW($S$5:$S159)),0)))</f>
        <v/>
      </c>
      <c r="S159" s="70">
        <f>IF(NOT((COUNTA($B159:$K159)+COUNTA($N159))&gt;0),"",IF($B159&lt;&gt;"","Macro",IF($C159&lt;&gt;"","Sub","Macro")))</f>
        <v/>
      </c>
      <c r="T159" s="70">
        <f>IF($S159="Macro",COUNTIFS($R$5:$R$1000,ROW(),$S$5:$S$1000,"Sub"),"")</f>
        <v/>
      </c>
      <c r="U159" s="70">
        <f>IF($S159="","",IF(ISNUMBER($H159),$H159,0))</f>
        <v/>
      </c>
      <c r="V159" s="70">
        <f>IF($S159="","",IF(ISNUMBER($I159),$I159,$U159))</f>
        <v/>
      </c>
      <c r="W159" s="70">
        <f>IF($S159="","",IF(ISNUMBER($J159),$J159,$V159))</f>
        <v/>
      </c>
      <c r="X159" s="70">
        <f>IF($S159="","",IF(ISNUMBER($K159),$K159,$W159))</f>
        <v/>
      </c>
      <c r="Y159" s="70">
        <f>IF($S159="","",IF(N($T159)&gt;0,AVERAGEIFS($U$5:$U$1000,$R$5:$R$1000,ROW(),$S$5:$S$1000,"Sub"),$U159))</f>
        <v/>
      </c>
      <c r="Z159" s="70">
        <f>IF($S159="","",IF(N($T159)&gt;0,AVERAGEIFS($V$5:$V$1000,$R$5:$R$1000,ROW(),$S$5:$S$1000,"Sub"),$V159))</f>
        <v/>
      </c>
      <c r="AA159" s="70">
        <f>IF($S159="","",IF(N($T159)&gt;0,AVERAGEIFS($W$5:$W$1000,$R$5:$R$1000,ROW(),$S$5:$S$1000,"Sub"),$W159))</f>
        <v/>
      </c>
      <c r="AB159" s="70">
        <f>IF($S159="","",IF(N($T159)&gt;0,AVERAGEIFS($X$5:$X$1000,$R$5:$R$1000,ROW(),$S$5:$S$1000,"Sub"),$X159))</f>
        <v/>
      </c>
    </row>
    <row r="160">
      <c r="A160" s="61">
        <f>IF(NOT((COUNTA($B160:$K160)+COUNTA($N160))&gt;0),"",IF($S160="Macro",COUNTIFS($S$5:$S160,"Macro",$P$5:$P160,$P160),IF(N($R160)=0,"?",COUNTIFS(INDEX($S$5:$S$1000,1):INDEX($S$5:$S$1000,$R160-4),"Macro",INDEX($P$5:$P$1000,1):INDEX($P$5:$P$1000,$R160-4),INDEX($P$5:$P$1000,$R160-4))&amp;"."&amp;COUNTIFS($R$5:$R160,$R160,$S$5:$S160,"Sub"))))</f>
        <v/>
      </c>
      <c r="B160" s="62" t="n"/>
      <c r="C160" s="63" t="n"/>
      <c r="D160" s="62" t="n"/>
      <c r="E160" s="64" t="n"/>
      <c r="F160" s="64" t="n"/>
      <c r="G160" s="65" t="n"/>
      <c r="H160" s="66" t="n"/>
      <c r="I160" s="66" t="n"/>
      <c r="J160" s="66" t="n"/>
      <c r="K160" s="66" t="n"/>
      <c r="L160" s="67">
        <f>IF(NOT((COUNTA($B160:$K160)+COUNTA($N160))&gt;0),"",IF(N($T160)&gt;0,$AB160,IFERROR(LOOKUP(2,1/(H160:K160&lt;&gt;""),H160:K160),0)))</f>
        <v/>
      </c>
      <c r="M160" s="61">
        <f>IF(L160="","",IF(L160&gt;=1,"Completado",IF(L160&gt;0,"En curso","Pendiente")))</f>
        <v/>
      </c>
      <c r="N160" s="62" t="n"/>
      <c r="O160" s="68">
        <f>IF(NOT((COUNTA($B160:$K160)+COUNTA($N160))&gt;0),"",IF((IF(AND($S160="Macro",$B160=""),"Macroactividad vacía"&amp;" · ","")&amp;IF(AND($B160&lt;&gt;"",$C160&lt;&gt;""),"Escriba la subactividad en otra fila, debajo de su macroactividad"&amp;" · ","")&amp;IF(AND($S160="Sub",N($R160)=0),"Subactividad sin macroactividad arriba"&amp;" · ","")&amp;IF($D160="","Sin responsable"&amp;" · ","")&amp;IF($E160="","Sin fecha de inicio"&amp;" · ","")&amp;IF($F160="","Sin fecha límite"&amp;" · ","")&amp;IF(OR(AND($E160&lt;&gt;"",NOT(ISNUMBER($E160))),AND($F160&lt;&gt;"",NOT(ISNUMBER($F160)))),"Fecha no válida"&amp;" · ","")&amp;IF(AND(ISNUMBER($E160),ISNUMBER($F160),$E160&gt;$F160),"Inicio posterior a fecha límite"&amp;" · ","")&amp;IF(AND($S160="Macro",$G160=""),"Peso vacío"&amp;" · ","")&amp;IF(AND($S160="Macro",$G160&lt;&gt;"",OR(NOT(ISNUMBER($G160)),$G160&lt;=0,$G160&gt;1)),"Peso fuera de rango"&amp;" · ","")&amp;IF(AND($S160="Sub",$G160&lt;&gt;""),"Las subactividades no llevan peso"&amp;" · ","")&amp;IF(AND($S160="Macro",ABS(SUMIFS($G$5:$G$1000,$P$5:$P$1000,$P160,$S$5:$S$1000,"Macro")-1)&gt;0.0001),"Pesos del mes suman "&amp;TEXT(SUMIFS($G$5:$G$1000,$P$5:$P$1000,$P160,$S$5:$S$1000,"Macro"),"0%")&amp;" · ","")&amp;IF(AND(N($T160)&gt;0,COUNT($H160:$K160)&gt;0),"Con subactividades: deje vacías las semanas (se calculan solas)"&amp;" · ","")&amp;IF((COUNTIF($H160:$K160,"&gt;1")+COUNTIF($H160:$K160,"&lt;0")+COUNTA($H160:$K160)-COUNT($H160:$K160))&gt;0,"Avance fuera de rango 0-100%"&amp;" · ","")&amp;IF(OR(AND($I160&lt;&gt;"",$I160&lt;$H160),AND($J160&lt;&gt;"",$J160&lt;MAX($H160:$I160)),AND($K160&lt;&gt;"",$K160&lt;MAX($H160:$J160))),"Avance semanal decreciente"&amp;" · ","")&amp;IF(AND(ISNUMBER($F160),$F160&lt;FechaRef,N($L160)&lt;1),"Vencida"&amp;" · ","")&amp;IF(AND(ObsObligatoria="Sí",ISNUMBER($F160),$F160&lt;FechaRef,N($L160)&lt;1,$N160=""),"Vencida sin observación"&amp;" · ",""))="","✔ OK","⚠ "&amp;LEFT(IF(AND($S160="Macro",$B160=""),"Macroactividad vacía"&amp;" · ","")&amp;IF(AND($B160&lt;&gt;"",$C160&lt;&gt;""),"Escriba la subactividad en otra fila, debajo de su macroactividad"&amp;" · ","")&amp;IF(AND($S160="Sub",N($R160)=0),"Subactividad sin macroactividad arriba"&amp;" · ","")&amp;IF($D160="","Sin responsable"&amp;" · ","")&amp;IF($E160="","Sin fecha de inicio"&amp;" · ","")&amp;IF($F160="","Sin fecha límite"&amp;" · ","")&amp;IF(OR(AND($E160&lt;&gt;"",NOT(ISNUMBER($E160))),AND($F160&lt;&gt;"",NOT(ISNUMBER($F160)))),"Fecha no válida"&amp;" · ","")&amp;IF(AND(ISNUMBER($E160),ISNUMBER($F160),$E160&gt;$F160),"Inicio posterior a fecha límite"&amp;" · ","")&amp;IF(AND($S160="Macro",$G160=""),"Peso vacío"&amp;" · ","")&amp;IF(AND($S160="Macro",$G160&lt;&gt;"",OR(NOT(ISNUMBER($G160)),$G160&lt;=0,$G160&gt;1)),"Peso fuera de rango"&amp;" · ","")&amp;IF(AND($S160="Sub",$G160&lt;&gt;""),"Las subactividades no llevan peso"&amp;" · ","")&amp;IF(AND($S160="Macro",ABS(SUMIFS($G$5:$G$1000,$P$5:$P$1000,$P160,$S$5:$S$1000,"Macro")-1)&gt;0.0001),"Pesos del mes suman "&amp;TEXT(SUMIFS($G$5:$G$1000,$P$5:$P$1000,$P160,$S$5:$S$1000,"Macro"),"0%")&amp;" · ","")&amp;IF(AND(N($T160)&gt;0,COUNT($H160:$K160)&gt;0),"Con subactividades: deje vacías las semanas (se calculan solas)"&amp;" · ","")&amp;IF((COUNTIF($H160:$K160,"&gt;1")+COUNTIF($H160:$K160,"&lt;0")+COUNTA($H160:$K160)-COUNT($H160:$K160))&gt;0,"Avance fuera de rango 0-100%"&amp;" · ","")&amp;IF(OR(AND($I160&lt;&gt;"",$I160&lt;$H160),AND($J160&lt;&gt;"",$J160&lt;MAX($H160:$I160)),AND($K160&lt;&gt;"",$K160&lt;MAX($H160:$J160))),"Avance semanal decreciente"&amp;" · ","")&amp;IF(AND(ISNUMBER($F160),$F160&lt;FechaRef,N($L160)&lt;1),"Vencida"&amp;" · ","")&amp;IF(AND(ObsObligatoria="Sí",ISNUMBER($F160),$F160&lt;FechaRef,N($L160)&lt;1,$N160=""),"Vencida sin observación"&amp;" · ",""),LEN(IF(AND($S160="Macro",$B160=""),"Macroactividad vacía"&amp;" · ","")&amp;IF(AND($B160&lt;&gt;"",$C160&lt;&gt;""),"Escriba la subactividad en otra fila, debajo de su macroactividad"&amp;" · ","")&amp;IF(AND($S160="Sub",N($R160)=0),"Subactividad sin macroactividad arriba"&amp;" · ","")&amp;IF($D160="","Sin responsable"&amp;" · ","")&amp;IF($E160="","Sin fecha de inicio"&amp;" · ","")&amp;IF($F160="","Sin fecha límite"&amp;" · ","")&amp;IF(OR(AND($E160&lt;&gt;"",NOT(ISNUMBER($E160))),AND($F160&lt;&gt;"",NOT(ISNUMBER($F160)))),"Fecha no válida"&amp;" · ","")&amp;IF(AND(ISNUMBER($E160),ISNUMBER($F160),$E160&gt;$F160),"Inicio posterior a fecha límite"&amp;" · ","")&amp;IF(AND($S160="Macro",$G160=""),"Peso vacío"&amp;" · ","")&amp;IF(AND($S160="Macro",$G160&lt;&gt;"",OR(NOT(ISNUMBER($G160)),$G160&lt;=0,$G160&gt;1)),"Peso fuera de rango"&amp;" · ","")&amp;IF(AND($S160="Sub",$G160&lt;&gt;""),"Las subactividades no llevan peso"&amp;" · ","")&amp;IF(AND($S160="Macro",ABS(SUMIFS($G$5:$G$1000,$P$5:$P$1000,$P160,$S$5:$S$1000,"Macro")-1)&gt;0.0001),"Pesos del mes suman "&amp;TEXT(SUMIFS($G$5:$G$1000,$P$5:$P$1000,$P160,$S$5:$S$1000,"Macro"),"0%")&amp;" · ","")&amp;IF(AND(N($T160)&gt;0,COUNT($H160:$K160)&gt;0),"Con subactividades: deje vacías las semanas (se calculan solas)"&amp;" · ","")&amp;IF((COUNTIF($H160:$K160,"&gt;1")+COUNTIF($H160:$K160,"&lt;0")+COUNTA($H160:$K160)-COUNT($H160:$K160))&gt;0,"Avance fuera de rango 0-100%"&amp;" · ","")&amp;IF(OR(AND($I160&lt;&gt;"",$I160&lt;$H160),AND($J160&lt;&gt;"",$J160&lt;MAX($H160:$I160)),AND($K160&lt;&gt;"",$K160&lt;MAX($H160:$J160))),"Avance semanal decreciente"&amp;" · ","")&amp;IF(AND(ISNUMBER($F160),$F160&lt;FechaRef,N($L160)&lt;1),"Vencida"&amp;" · ","")&amp;IF(AND(ObsObligatoria="Sí",ISNUMBER($F160),$F160&lt;FechaRef,N($L160)&lt;1,$N160=""),"Vencida sin observación"&amp;" · ",""))-3)))</f>
        <v/>
      </c>
      <c r="P160" s="69">
        <f>IF(NOT((COUNTA($B160:$K160)+COUNTA($N160))&gt;0),"",IF(AND($S160="Sub",N($R160)&gt;0),IF(ISNUMBER(INDEX($E$5:$E$1000,$R160-4)),DATE(YEAR(INDEX($E$5:$E$1000,$R160-4)),MONTH(INDEX($E$5:$E$1000,$R160-4)),1),IF(ISNUMBER(INDEX($F$5:$F$1000,$R160-4)),DATE(YEAR(INDEX($F$5:$F$1000,$R160-4)),MONTH(INDEX($F$5:$F$1000,$R160-4)),1),MesCiclo)),IF(ISNUMBER($E160),DATE(YEAR($E160),MONTH($E160),1),IF(ISNUMBER($F160),DATE(YEAR($F160),MONTH($F160),1),MesCiclo))))</f>
        <v/>
      </c>
      <c r="Q160" s="70">
        <f>IF(OR($P160="",$P160&lt;&gt;MesCiclo),"",COUNTIF($P$5:$P160,MesCiclo))</f>
        <v/>
      </c>
      <c r="R160" s="70">
        <f>IF($S160="","",IF($S160="Macro",ROW(),IFERROR(LOOKUP(2,1/($S$5:$S160="Macro"),ROW($S$5:$S160)),0)))</f>
        <v/>
      </c>
      <c r="S160" s="70">
        <f>IF(NOT((COUNTA($B160:$K160)+COUNTA($N160))&gt;0),"",IF($B160&lt;&gt;"","Macro",IF($C160&lt;&gt;"","Sub","Macro")))</f>
        <v/>
      </c>
      <c r="T160" s="70">
        <f>IF($S160="Macro",COUNTIFS($R$5:$R$1000,ROW(),$S$5:$S$1000,"Sub"),"")</f>
        <v/>
      </c>
      <c r="U160" s="70">
        <f>IF($S160="","",IF(ISNUMBER($H160),$H160,0))</f>
        <v/>
      </c>
      <c r="V160" s="70">
        <f>IF($S160="","",IF(ISNUMBER($I160),$I160,$U160))</f>
        <v/>
      </c>
      <c r="W160" s="70">
        <f>IF($S160="","",IF(ISNUMBER($J160),$J160,$V160))</f>
        <v/>
      </c>
      <c r="X160" s="70">
        <f>IF($S160="","",IF(ISNUMBER($K160),$K160,$W160))</f>
        <v/>
      </c>
      <c r="Y160" s="70">
        <f>IF($S160="","",IF(N($T160)&gt;0,AVERAGEIFS($U$5:$U$1000,$R$5:$R$1000,ROW(),$S$5:$S$1000,"Sub"),$U160))</f>
        <v/>
      </c>
      <c r="Z160" s="70">
        <f>IF($S160="","",IF(N($T160)&gt;0,AVERAGEIFS($V$5:$V$1000,$R$5:$R$1000,ROW(),$S$5:$S$1000,"Sub"),$V160))</f>
        <v/>
      </c>
      <c r="AA160" s="70">
        <f>IF($S160="","",IF(N($T160)&gt;0,AVERAGEIFS($W$5:$W$1000,$R$5:$R$1000,ROW(),$S$5:$S$1000,"Sub"),$W160))</f>
        <v/>
      </c>
      <c r="AB160" s="70">
        <f>IF($S160="","",IF(N($T160)&gt;0,AVERAGEIFS($X$5:$X$1000,$R$5:$R$1000,ROW(),$S$5:$S$1000,"Sub"),$X160))</f>
        <v/>
      </c>
    </row>
    <row r="161">
      <c r="A161" s="61">
        <f>IF(NOT((COUNTA($B161:$K161)+COUNTA($N161))&gt;0),"",IF($S161="Macro",COUNTIFS($S$5:$S161,"Macro",$P$5:$P161,$P161),IF(N($R161)=0,"?",COUNTIFS(INDEX($S$5:$S$1000,1):INDEX($S$5:$S$1000,$R161-4),"Macro",INDEX($P$5:$P$1000,1):INDEX($P$5:$P$1000,$R161-4),INDEX($P$5:$P$1000,$R161-4))&amp;"."&amp;COUNTIFS($R$5:$R161,$R161,$S$5:$S161,"Sub"))))</f>
        <v/>
      </c>
      <c r="B161" s="62" t="n"/>
      <c r="C161" s="63" t="n"/>
      <c r="D161" s="62" t="n"/>
      <c r="E161" s="64" t="n"/>
      <c r="F161" s="64" t="n"/>
      <c r="G161" s="65" t="n"/>
      <c r="H161" s="66" t="n"/>
      <c r="I161" s="66" t="n"/>
      <c r="J161" s="66" t="n"/>
      <c r="K161" s="66" t="n"/>
      <c r="L161" s="67">
        <f>IF(NOT((COUNTA($B161:$K161)+COUNTA($N161))&gt;0),"",IF(N($T161)&gt;0,$AB161,IFERROR(LOOKUP(2,1/(H161:K161&lt;&gt;""),H161:K161),0)))</f>
        <v/>
      </c>
      <c r="M161" s="61">
        <f>IF(L161="","",IF(L161&gt;=1,"Completado",IF(L161&gt;0,"En curso","Pendiente")))</f>
        <v/>
      </c>
      <c r="N161" s="62" t="n"/>
      <c r="O161" s="68">
        <f>IF(NOT((COUNTA($B161:$K161)+COUNTA($N161))&gt;0),"",IF((IF(AND($S161="Macro",$B161=""),"Macroactividad vacía"&amp;" · ","")&amp;IF(AND($B161&lt;&gt;"",$C161&lt;&gt;""),"Escriba la subactividad en otra fila, debajo de su macroactividad"&amp;" · ","")&amp;IF(AND($S161="Sub",N($R161)=0),"Subactividad sin macroactividad arriba"&amp;" · ","")&amp;IF($D161="","Sin responsable"&amp;" · ","")&amp;IF($E161="","Sin fecha de inicio"&amp;" · ","")&amp;IF($F161="","Sin fecha límite"&amp;" · ","")&amp;IF(OR(AND($E161&lt;&gt;"",NOT(ISNUMBER($E161))),AND($F161&lt;&gt;"",NOT(ISNUMBER($F161)))),"Fecha no válida"&amp;" · ","")&amp;IF(AND(ISNUMBER($E161),ISNUMBER($F161),$E161&gt;$F161),"Inicio posterior a fecha límite"&amp;" · ","")&amp;IF(AND($S161="Macro",$G161=""),"Peso vacío"&amp;" · ","")&amp;IF(AND($S161="Macro",$G161&lt;&gt;"",OR(NOT(ISNUMBER($G161)),$G161&lt;=0,$G161&gt;1)),"Peso fuera de rango"&amp;" · ","")&amp;IF(AND($S161="Sub",$G161&lt;&gt;""),"Las subactividades no llevan peso"&amp;" · ","")&amp;IF(AND($S161="Macro",ABS(SUMIFS($G$5:$G$1000,$P$5:$P$1000,$P161,$S$5:$S$1000,"Macro")-1)&gt;0.0001),"Pesos del mes suman "&amp;TEXT(SUMIFS($G$5:$G$1000,$P$5:$P$1000,$P161,$S$5:$S$1000,"Macro"),"0%")&amp;" · ","")&amp;IF(AND(N($T161)&gt;0,COUNT($H161:$K161)&gt;0),"Con subactividades: deje vacías las semanas (se calculan solas)"&amp;" · ","")&amp;IF((COUNTIF($H161:$K161,"&gt;1")+COUNTIF($H161:$K161,"&lt;0")+COUNTA($H161:$K161)-COUNT($H161:$K161))&gt;0,"Avance fuera de rango 0-100%"&amp;" · ","")&amp;IF(OR(AND($I161&lt;&gt;"",$I161&lt;$H161),AND($J161&lt;&gt;"",$J161&lt;MAX($H161:$I161)),AND($K161&lt;&gt;"",$K161&lt;MAX($H161:$J161))),"Avance semanal decreciente"&amp;" · ","")&amp;IF(AND(ISNUMBER($F161),$F161&lt;FechaRef,N($L161)&lt;1),"Vencida"&amp;" · ","")&amp;IF(AND(ObsObligatoria="Sí",ISNUMBER($F161),$F161&lt;FechaRef,N($L161)&lt;1,$N161=""),"Vencida sin observación"&amp;" · ",""))="","✔ OK","⚠ "&amp;LEFT(IF(AND($S161="Macro",$B161=""),"Macroactividad vacía"&amp;" · ","")&amp;IF(AND($B161&lt;&gt;"",$C161&lt;&gt;""),"Escriba la subactividad en otra fila, debajo de su macroactividad"&amp;" · ","")&amp;IF(AND($S161="Sub",N($R161)=0),"Subactividad sin macroactividad arriba"&amp;" · ","")&amp;IF($D161="","Sin responsable"&amp;" · ","")&amp;IF($E161="","Sin fecha de inicio"&amp;" · ","")&amp;IF($F161="","Sin fecha límite"&amp;" · ","")&amp;IF(OR(AND($E161&lt;&gt;"",NOT(ISNUMBER($E161))),AND($F161&lt;&gt;"",NOT(ISNUMBER($F161)))),"Fecha no válida"&amp;" · ","")&amp;IF(AND(ISNUMBER($E161),ISNUMBER($F161),$E161&gt;$F161),"Inicio posterior a fecha límite"&amp;" · ","")&amp;IF(AND($S161="Macro",$G161=""),"Peso vacío"&amp;" · ","")&amp;IF(AND($S161="Macro",$G161&lt;&gt;"",OR(NOT(ISNUMBER($G161)),$G161&lt;=0,$G161&gt;1)),"Peso fuera de rango"&amp;" · ","")&amp;IF(AND($S161="Sub",$G161&lt;&gt;""),"Las subactividades no llevan peso"&amp;" · ","")&amp;IF(AND($S161="Macro",ABS(SUMIFS($G$5:$G$1000,$P$5:$P$1000,$P161,$S$5:$S$1000,"Macro")-1)&gt;0.0001),"Pesos del mes suman "&amp;TEXT(SUMIFS($G$5:$G$1000,$P$5:$P$1000,$P161,$S$5:$S$1000,"Macro"),"0%")&amp;" · ","")&amp;IF(AND(N($T161)&gt;0,COUNT($H161:$K161)&gt;0),"Con subactividades: deje vacías las semanas (se calculan solas)"&amp;" · ","")&amp;IF((COUNTIF($H161:$K161,"&gt;1")+COUNTIF($H161:$K161,"&lt;0")+COUNTA($H161:$K161)-COUNT($H161:$K161))&gt;0,"Avance fuera de rango 0-100%"&amp;" · ","")&amp;IF(OR(AND($I161&lt;&gt;"",$I161&lt;$H161),AND($J161&lt;&gt;"",$J161&lt;MAX($H161:$I161)),AND($K161&lt;&gt;"",$K161&lt;MAX($H161:$J161))),"Avance semanal decreciente"&amp;" · ","")&amp;IF(AND(ISNUMBER($F161),$F161&lt;FechaRef,N($L161)&lt;1),"Vencida"&amp;" · ","")&amp;IF(AND(ObsObligatoria="Sí",ISNUMBER($F161),$F161&lt;FechaRef,N($L161)&lt;1,$N161=""),"Vencida sin observación"&amp;" · ",""),LEN(IF(AND($S161="Macro",$B161=""),"Macroactividad vacía"&amp;" · ","")&amp;IF(AND($B161&lt;&gt;"",$C161&lt;&gt;""),"Escriba la subactividad en otra fila, debajo de su macroactividad"&amp;" · ","")&amp;IF(AND($S161="Sub",N($R161)=0),"Subactividad sin macroactividad arriba"&amp;" · ","")&amp;IF($D161="","Sin responsable"&amp;" · ","")&amp;IF($E161="","Sin fecha de inicio"&amp;" · ","")&amp;IF($F161="","Sin fecha límite"&amp;" · ","")&amp;IF(OR(AND($E161&lt;&gt;"",NOT(ISNUMBER($E161))),AND($F161&lt;&gt;"",NOT(ISNUMBER($F161)))),"Fecha no válida"&amp;" · ","")&amp;IF(AND(ISNUMBER($E161),ISNUMBER($F161),$E161&gt;$F161),"Inicio posterior a fecha límite"&amp;" · ","")&amp;IF(AND($S161="Macro",$G161=""),"Peso vacío"&amp;" · ","")&amp;IF(AND($S161="Macro",$G161&lt;&gt;"",OR(NOT(ISNUMBER($G161)),$G161&lt;=0,$G161&gt;1)),"Peso fuera de rango"&amp;" · ","")&amp;IF(AND($S161="Sub",$G161&lt;&gt;""),"Las subactividades no llevan peso"&amp;" · ","")&amp;IF(AND($S161="Macro",ABS(SUMIFS($G$5:$G$1000,$P$5:$P$1000,$P161,$S$5:$S$1000,"Macro")-1)&gt;0.0001),"Pesos del mes suman "&amp;TEXT(SUMIFS($G$5:$G$1000,$P$5:$P$1000,$P161,$S$5:$S$1000,"Macro"),"0%")&amp;" · ","")&amp;IF(AND(N($T161)&gt;0,COUNT($H161:$K161)&gt;0),"Con subactividades: deje vacías las semanas (se calculan solas)"&amp;" · ","")&amp;IF((COUNTIF($H161:$K161,"&gt;1")+COUNTIF($H161:$K161,"&lt;0")+COUNTA($H161:$K161)-COUNT($H161:$K161))&gt;0,"Avance fuera de rango 0-100%"&amp;" · ","")&amp;IF(OR(AND($I161&lt;&gt;"",$I161&lt;$H161),AND($J161&lt;&gt;"",$J161&lt;MAX($H161:$I161)),AND($K161&lt;&gt;"",$K161&lt;MAX($H161:$J161))),"Avance semanal decreciente"&amp;" · ","")&amp;IF(AND(ISNUMBER($F161),$F161&lt;FechaRef,N($L161)&lt;1),"Vencida"&amp;" · ","")&amp;IF(AND(ObsObligatoria="Sí",ISNUMBER($F161),$F161&lt;FechaRef,N($L161)&lt;1,$N161=""),"Vencida sin observación"&amp;" · ",""))-3)))</f>
        <v/>
      </c>
      <c r="P161" s="69">
        <f>IF(NOT((COUNTA($B161:$K161)+COUNTA($N161))&gt;0),"",IF(AND($S161="Sub",N($R161)&gt;0),IF(ISNUMBER(INDEX($E$5:$E$1000,$R161-4)),DATE(YEAR(INDEX($E$5:$E$1000,$R161-4)),MONTH(INDEX($E$5:$E$1000,$R161-4)),1),IF(ISNUMBER(INDEX($F$5:$F$1000,$R161-4)),DATE(YEAR(INDEX($F$5:$F$1000,$R161-4)),MONTH(INDEX($F$5:$F$1000,$R161-4)),1),MesCiclo)),IF(ISNUMBER($E161),DATE(YEAR($E161),MONTH($E161),1),IF(ISNUMBER($F161),DATE(YEAR($F161),MONTH($F161),1),MesCiclo))))</f>
        <v/>
      </c>
      <c r="Q161" s="70">
        <f>IF(OR($P161="",$P161&lt;&gt;MesCiclo),"",COUNTIF($P$5:$P161,MesCiclo))</f>
        <v/>
      </c>
      <c r="R161" s="70">
        <f>IF($S161="","",IF($S161="Macro",ROW(),IFERROR(LOOKUP(2,1/($S$5:$S161="Macro"),ROW($S$5:$S161)),0)))</f>
        <v/>
      </c>
      <c r="S161" s="70">
        <f>IF(NOT((COUNTA($B161:$K161)+COUNTA($N161))&gt;0),"",IF($B161&lt;&gt;"","Macro",IF($C161&lt;&gt;"","Sub","Macro")))</f>
        <v/>
      </c>
      <c r="T161" s="70">
        <f>IF($S161="Macro",COUNTIFS($R$5:$R$1000,ROW(),$S$5:$S$1000,"Sub"),"")</f>
        <v/>
      </c>
      <c r="U161" s="70">
        <f>IF($S161="","",IF(ISNUMBER($H161),$H161,0))</f>
        <v/>
      </c>
      <c r="V161" s="70">
        <f>IF($S161="","",IF(ISNUMBER($I161),$I161,$U161))</f>
        <v/>
      </c>
      <c r="W161" s="70">
        <f>IF($S161="","",IF(ISNUMBER($J161),$J161,$V161))</f>
        <v/>
      </c>
      <c r="X161" s="70">
        <f>IF($S161="","",IF(ISNUMBER($K161),$K161,$W161))</f>
        <v/>
      </c>
      <c r="Y161" s="70">
        <f>IF($S161="","",IF(N($T161)&gt;0,AVERAGEIFS($U$5:$U$1000,$R$5:$R$1000,ROW(),$S$5:$S$1000,"Sub"),$U161))</f>
        <v/>
      </c>
      <c r="Z161" s="70">
        <f>IF($S161="","",IF(N($T161)&gt;0,AVERAGEIFS($V$5:$V$1000,$R$5:$R$1000,ROW(),$S$5:$S$1000,"Sub"),$V161))</f>
        <v/>
      </c>
      <c r="AA161" s="70">
        <f>IF($S161="","",IF(N($T161)&gt;0,AVERAGEIFS($W$5:$W$1000,$R$5:$R$1000,ROW(),$S$5:$S$1000,"Sub"),$W161))</f>
        <v/>
      </c>
      <c r="AB161" s="70">
        <f>IF($S161="","",IF(N($T161)&gt;0,AVERAGEIFS($X$5:$X$1000,$R$5:$R$1000,ROW(),$S$5:$S$1000,"Sub"),$X161))</f>
        <v/>
      </c>
    </row>
    <row r="162">
      <c r="A162" s="61">
        <f>IF(NOT((COUNTA($B162:$K162)+COUNTA($N162))&gt;0),"",IF($S162="Macro",COUNTIFS($S$5:$S162,"Macro",$P$5:$P162,$P162),IF(N($R162)=0,"?",COUNTIFS(INDEX($S$5:$S$1000,1):INDEX($S$5:$S$1000,$R162-4),"Macro",INDEX($P$5:$P$1000,1):INDEX($P$5:$P$1000,$R162-4),INDEX($P$5:$P$1000,$R162-4))&amp;"."&amp;COUNTIFS($R$5:$R162,$R162,$S$5:$S162,"Sub"))))</f>
        <v/>
      </c>
      <c r="B162" s="62" t="n"/>
      <c r="C162" s="63" t="n"/>
      <c r="D162" s="62" t="n"/>
      <c r="E162" s="64" t="n"/>
      <c r="F162" s="64" t="n"/>
      <c r="G162" s="65" t="n"/>
      <c r="H162" s="66" t="n"/>
      <c r="I162" s="66" t="n"/>
      <c r="J162" s="66" t="n"/>
      <c r="K162" s="66" t="n"/>
      <c r="L162" s="67">
        <f>IF(NOT((COUNTA($B162:$K162)+COUNTA($N162))&gt;0),"",IF(N($T162)&gt;0,$AB162,IFERROR(LOOKUP(2,1/(H162:K162&lt;&gt;""),H162:K162),0)))</f>
        <v/>
      </c>
      <c r="M162" s="61">
        <f>IF(L162="","",IF(L162&gt;=1,"Completado",IF(L162&gt;0,"En curso","Pendiente")))</f>
        <v/>
      </c>
      <c r="N162" s="62" t="n"/>
      <c r="O162" s="68">
        <f>IF(NOT((COUNTA($B162:$K162)+COUNTA($N162))&gt;0),"",IF((IF(AND($S162="Macro",$B162=""),"Macroactividad vacía"&amp;" · ","")&amp;IF(AND($B162&lt;&gt;"",$C162&lt;&gt;""),"Escriba la subactividad en otra fila, debajo de su macroactividad"&amp;" · ","")&amp;IF(AND($S162="Sub",N($R162)=0),"Subactividad sin macroactividad arriba"&amp;" · ","")&amp;IF($D162="","Sin responsable"&amp;" · ","")&amp;IF($E162="","Sin fecha de inicio"&amp;" · ","")&amp;IF($F162="","Sin fecha límite"&amp;" · ","")&amp;IF(OR(AND($E162&lt;&gt;"",NOT(ISNUMBER($E162))),AND($F162&lt;&gt;"",NOT(ISNUMBER($F162)))),"Fecha no válida"&amp;" · ","")&amp;IF(AND(ISNUMBER($E162),ISNUMBER($F162),$E162&gt;$F162),"Inicio posterior a fecha límite"&amp;" · ","")&amp;IF(AND($S162="Macro",$G162=""),"Peso vacío"&amp;" · ","")&amp;IF(AND($S162="Macro",$G162&lt;&gt;"",OR(NOT(ISNUMBER($G162)),$G162&lt;=0,$G162&gt;1)),"Peso fuera de rango"&amp;" · ","")&amp;IF(AND($S162="Sub",$G162&lt;&gt;""),"Las subactividades no llevan peso"&amp;" · ","")&amp;IF(AND($S162="Macro",ABS(SUMIFS($G$5:$G$1000,$P$5:$P$1000,$P162,$S$5:$S$1000,"Macro")-1)&gt;0.0001),"Pesos del mes suman "&amp;TEXT(SUMIFS($G$5:$G$1000,$P$5:$P$1000,$P162,$S$5:$S$1000,"Macro"),"0%")&amp;" · ","")&amp;IF(AND(N($T162)&gt;0,COUNT($H162:$K162)&gt;0),"Con subactividades: deje vacías las semanas (se calculan solas)"&amp;" · ","")&amp;IF((COUNTIF($H162:$K162,"&gt;1")+COUNTIF($H162:$K162,"&lt;0")+COUNTA($H162:$K162)-COUNT($H162:$K162))&gt;0,"Avance fuera de rango 0-100%"&amp;" · ","")&amp;IF(OR(AND($I162&lt;&gt;"",$I162&lt;$H162),AND($J162&lt;&gt;"",$J162&lt;MAX($H162:$I162)),AND($K162&lt;&gt;"",$K162&lt;MAX($H162:$J162))),"Avance semanal decreciente"&amp;" · ","")&amp;IF(AND(ISNUMBER($F162),$F162&lt;FechaRef,N($L162)&lt;1),"Vencida"&amp;" · ","")&amp;IF(AND(ObsObligatoria="Sí",ISNUMBER($F162),$F162&lt;FechaRef,N($L162)&lt;1,$N162=""),"Vencida sin observación"&amp;" · ",""))="","✔ OK","⚠ "&amp;LEFT(IF(AND($S162="Macro",$B162=""),"Macroactividad vacía"&amp;" · ","")&amp;IF(AND($B162&lt;&gt;"",$C162&lt;&gt;""),"Escriba la subactividad en otra fila, debajo de su macroactividad"&amp;" · ","")&amp;IF(AND($S162="Sub",N($R162)=0),"Subactividad sin macroactividad arriba"&amp;" · ","")&amp;IF($D162="","Sin responsable"&amp;" · ","")&amp;IF($E162="","Sin fecha de inicio"&amp;" · ","")&amp;IF($F162="","Sin fecha límite"&amp;" · ","")&amp;IF(OR(AND($E162&lt;&gt;"",NOT(ISNUMBER($E162))),AND($F162&lt;&gt;"",NOT(ISNUMBER($F162)))),"Fecha no válida"&amp;" · ","")&amp;IF(AND(ISNUMBER($E162),ISNUMBER($F162),$E162&gt;$F162),"Inicio posterior a fecha límite"&amp;" · ","")&amp;IF(AND($S162="Macro",$G162=""),"Peso vacío"&amp;" · ","")&amp;IF(AND($S162="Macro",$G162&lt;&gt;"",OR(NOT(ISNUMBER($G162)),$G162&lt;=0,$G162&gt;1)),"Peso fuera de rango"&amp;" · ","")&amp;IF(AND($S162="Sub",$G162&lt;&gt;""),"Las subactividades no llevan peso"&amp;" · ","")&amp;IF(AND($S162="Macro",ABS(SUMIFS($G$5:$G$1000,$P$5:$P$1000,$P162,$S$5:$S$1000,"Macro")-1)&gt;0.0001),"Pesos del mes suman "&amp;TEXT(SUMIFS($G$5:$G$1000,$P$5:$P$1000,$P162,$S$5:$S$1000,"Macro"),"0%")&amp;" · ","")&amp;IF(AND(N($T162)&gt;0,COUNT($H162:$K162)&gt;0),"Con subactividades: deje vacías las semanas (se calculan solas)"&amp;" · ","")&amp;IF((COUNTIF($H162:$K162,"&gt;1")+COUNTIF($H162:$K162,"&lt;0")+COUNTA($H162:$K162)-COUNT($H162:$K162))&gt;0,"Avance fuera de rango 0-100%"&amp;" · ","")&amp;IF(OR(AND($I162&lt;&gt;"",$I162&lt;$H162),AND($J162&lt;&gt;"",$J162&lt;MAX($H162:$I162)),AND($K162&lt;&gt;"",$K162&lt;MAX($H162:$J162))),"Avance semanal decreciente"&amp;" · ","")&amp;IF(AND(ISNUMBER($F162),$F162&lt;FechaRef,N($L162)&lt;1),"Vencida"&amp;" · ","")&amp;IF(AND(ObsObligatoria="Sí",ISNUMBER($F162),$F162&lt;FechaRef,N($L162)&lt;1,$N162=""),"Vencida sin observación"&amp;" · ",""),LEN(IF(AND($S162="Macro",$B162=""),"Macroactividad vacía"&amp;" · ","")&amp;IF(AND($B162&lt;&gt;"",$C162&lt;&gt;""),"Escriba la subactividad en otra fila, debajo de su macroactividad"&amp;" · ","")&amp;IF(AND($S162="Sub",N($R162)=0),"Subactividad sin macroactividad arriba"&amp;" · ","")&amp;IF($D162="","Sin responsable"&amp;" · ","")&amp;IF($E162="","Sin fecha de inicio"&amp;" · ","")&amp;IF($F162="","Sin fecha límite"&amp;" · ","")&amp;IF(OR(AND($E162&lt;&gt;"",NOT(ISNUMBER($E162))),AND($F162&lt;&gt;"",NOT(ISNUMBER($F162)))),"Fecha no válida"&amp;" · ","")&amp;IF(AND(ISNUMBER($E162),ISNUMBER($F162),$E162&gt;$F162),"Inicio posterior a fecha límite"&amp;" · ","")&amp;IF(AND($S162="Macro",$G162=""),"Peso vacío"&amp;" · ","")&amp;IF(AND($S162="Macro",$G162&lt;&gt;"",OR(NOT(ISNUMBER($G162)),$G162&lt;=0,$G162&gt;1)),"Peso fuera de rango"&amp;" · ","")&amp;IF(AND($S162="Sub",$G162&lt;&gt;""),"Las subactividades no llevan peso"&amp;" · ","")&amp;IF(AND($S162="Macro",ABS(SUMIFS($G$5:$G$1000,$P$5:$P$1000,$P162,$S$5:$S$1000,"Macro")-1)&gt;0.0001),"Pesos del mes suman "&amp;TEXT(SUMIFS($G$5:$G$1000,$P$5:$P$1000,$P162,$S$5:$S$1000,"Macro"),"0%")&amp;" · ","")&amp;IF(AND(N($T162)&gt;0,COUNT($H162:$K162)&gt;0),"Con subactividades: deje vacías las semanas (se calculan solas)"&amp;" · ","")&amp;IF((COUNTIF($H162:$K162,"&gt;1")+COUNTIF($H162:$K162,"&lt;0")+COUNTA($H162:$K162)-COUNT($H162:$K162))&gt;0,"Avance fuera de rango 0-100%"&amp;" · ","")&amp;IF(OR(AND($I162&lt;&gt;"",$I162&lt;$H162),AND($J162&lt;&gt;"",$J162&lt;MAX($H162:$I162)),AND($K162&lt;&gt;"",$K162&lt;MAX($H162:$J162))),"Avance semanal decreciente"&amp;" · ","")&amp;IF(AND(ISNUMBER($F162),$F162&lt;FechaRef,N($L162)&lt;1),"Vencida"&amp;" · ","")&amp;IF(AND(ObsObligatoria="Sí",ISNUMBER($F162),$F162&lt;FechaRef,N($L162)&lt;1,$N162=""),"Vencida sin observación"&amp;" · ",""))-3)))</f>
        <v/>
      </c>
      <c r="P162" s="69">
        <f>IF(NOT((COUNTA($B162:$K162)+COUNTA($N162))&gt;0),"",IF(AND($S162="Sub",N($R162)&gt;0),IF(ISNUMBER(INDEX($E$5:$E$1000,$R162-4)),DATE(YEAR(INDEX($E$5:$E$1000,$R162-4)),MONTH(INDEX($E$5:$E$1000,$R162-4)),1),IF(ISNUMBER(INDEX($F$5:$F$1000,$R162-4)),DATE(YEAR(INDEX($F$5:$F$1000,$R162-4)),MONTH(INDEX($F$5:$F$1000,$R162-4)),1),MesCiclo)),IF(ISNUMBER($E162),DATE(YEAR($E162),MONTH($E162),1),IF(ISNUMBER($F162),DATE(YEAR($F162),MONTH($F162),1),MesCiclo))))</f>
        <v/>
      </c>
      <c r="Q162" s="70">
        <f>IF(OR($P162="",$P162&lt;&gt;MesCiclo),"",COUNTIF($P$5:$P162,MesCiclo))</f>
        <v/>
      </c>
      <c r="R162" s="70">
        <f>IF($S162="","",IF($S162="Macro",ROW(),IFERROR(LOOKUP(2,1/($S$5:$S162="Macro"),ROW($S$5:$S162)),0)))</f>
        <v/>
      </c>
      <c r="S162" s="70">
        <f>IF(NOT((COUNTA($B162:$K162)+COUNTA($N162))&gt;0),"",IF($B162&lt;&gt;"","Macro",IF($C162&lt;&gt;"","Sub","Macro")))</f>
        <v/>
      </c>
      <c r="T162" s="70">
        <f>IF($S162="Macro",COUNTIFS($R$5:$R$1000,ROW(),$S$5:$S$1000,"Sub"),"")</f>
        <v/>
      </c>
      <c r="U162" s="70">
        <f>IF($S162="","",IF(ISNUMBER($H162),$H162,0))</f>
        <v/>
      </c>
      <c r="V162" s="70">
        <f>IF($S162="","",IF(ISNUMBER($I162),$I162,$U162))</f>
        <v/>
      </c>
      <c r="W162" s="70">
        <f>IF($S162="","",IF(ISNUMBER($J162),$J162,$V162))</f>
        <v/>
      </c>
      <c r="X162" s="70">
        <f>IF($S162="","",IF(ISNUMBER($K162),$K162,$W162))</f>
        <v/>
      </c>
      <c r="Y162" s="70">
        <f>IF($S162="","",IF(N($T162)&gt;0,AVERAGEIFS($U$5:$U$1000,$R$5:$R$1000,ROW(),$S$5:$S$1000,"Sub"),$U162))</f>
        <v/>
      </c>
      <c r="Z162" s="70">
        <f>IF($S162="","",IF(N($T162)&gt;0,AVERAGEIFS($V$5:$V$1000,$R$5:$R$1000,ROW(),$S$5:$S$1000,"Sub"),$V162))</f>
        <v/>
      </c>
      <c r="AA162" s="70">
        <f>IF($S162="","",IF(N($T162)&gt;0,AVERAGEIFS($W$5:$W$1000,$R$5:$R$1000,ROW(),$S$5:$S$1000,"Sub"),$W162))</f>
        <v/>
      </c>
      <c r="AB162" s="70">
        <f>IF($S162="","",IF(N($T162)&gt;0,AVERAGEIFS($X$5:$X$1000,$R$5:$R$1000,ROW(),$S$5:$S$1000,"Sub"),$X162))</f>
        <v/>
      </c>
    </row>
    <row r="163">
      <c r="A163" s="61">
        <f>IF(NOT((COUNTA($B163:$K163)+COUNTA($N163))&gt;0),"",IF($S163="Macro",COUNTIFS($S$5:$S163,"Macro",$P$5:$P163,$P163),IF(N($R163)=0,"?",COUNTIFS(INDEX($S$5:$S$1000,1):INDEX($S$5:$S$1000,$R163-4),"Macro",INDEX($P$5:$P$1000,1):INDEX($P$5:$P$1000,$R163-4),INDEX($P$5:$P$1000,$R163-4))&amp;"."&amp;COUNTIFS($R$5:$R163,$R163,$S$5:$S163,"Sub"))))</f>
        <v/>
      </c>
      <c r="B163" s="62" t="n"/>
      <c r="C163" s="63" t="n"/>
      <c r="D163" s="62" t="n"/>
      <c r="E163" s="64" t="n"/>
      <c r="F163" s="64" t="n"/>
      <c r="G163" s="65" t="n"/>
      <c r="H163" s="66" t="n"/>
      <c r="I163" s="66" t="n"/>
      <c r="J163" s="66" t="n"/>
      <c r="K163" s="66" t="n"/>
      <c r="L163" s="67">
        <f>IF(NOT((COUNTA($B163:$K163)+COUNTA($N163))&gt;0),"",IF(N($T163)&gt;0,$AB163,IFERROR(LOOKUP(2,1/(H163:K163&lt;&gt;""),H163:K163),0)))</f>
        <v/>
      </c>
      <c r="M163" s="61">
        <f>IF(L163="","",IF(L163&gt;=1,"Completado",IF(L163&gt;0,"En curso","Pendiente")))</f>
        <v/>
      </c>
      <c r="N163" s="62" t="n"/>
      <c r="O163" s="68">
        <f>IF(NOT((COUNTA($B163:$K163)+COUNTA($N163))&gt;0),"",IF((IF(AND($S163="Macro",$B163=""),"Macroactividad vacía"&amp;" · ","")&amp;IF(AND($B163&lt;&gt;"",$C163&lt;&gt;""),"Escriba la subactividad en otra fila, debajo de su macroactividad"&amp;" · ","")&amp;IF(AND($S163="Sub",N($R163)=0),"Subactividad sin macroactividad arriba"&amp;" · ","")&amp;IF($D163="","Sin responsable"&amp;" · ","")&amp;IF($E163="","Sin fecha de inicio"&amp;" · ","")&amp;IF($F163="","Sin fecha límite"&amp;" · ","")&amp;IF(OR(AND($E163&lt;&gt;"",NOT(ISNUMBER($E163))),AND($F163&lt;&gt;"",NOT(ISNUMBER($F163)))),"Fecha no válida"&amp;" · ","")&amp;IF(AND(ISNUMBER($E163),ISNUMBER($F163),$E163&gt;$F163),"Inicio posterior a fecha límite"&amp;" · ","")&amp;IF(AND($S163="Macro",$G163=""),"Peso vacío"&amp;" · ","")&amp;IF(AND($S163="Macro",$G163&lt;&gt;"",OR(NOT(ISNUMBER($G163)),$G163&lt;=0,$G163&gt;1)),"Peso fuera de rango"&amp;" · ","")&amp;IF(AND($S163="Sub",$G163&lt;&gt;""),"Las subactividades no llevan peso"&amp;" · ","")&amp;IF(AND($S163="Macro",ABS(SUMIFS($G$5:$G$1000,$P$5:$P$1000,$P163,$S$5:$S$1000,"Macro")-1)&gt;0.0001),"Pesos del mes suman "&amp;TEXT(SUMIFS($G$5:$G$1000,$P$5:$P$1000,$P163,$S$5:$S$1000,"Macro"),"0%")&amp;" · ","")&amp;IF(AND(N($T163)&gt;0,COUNT($H163:$K163)&gt;0),"Con subactividades: deje vacías las semanas (se calculan solas)"&amp;" · ","")&amp;IF((COUNTIF($H163:$K163,"&gt;1")+COUNTIF($H163:$K163,"&lt;0")+COUNTA($H163:$K163)-COUNT($H163:$K163))&gt;0,"Avance fuera de rango 0-100%"&amp;" · ","")&amp;IF(OR(AND($I163&lt;&gt;"",$I163&lt;$H163),AND($J163&lt;&gt;"",$J163&lt;MAX($H163:$I163)),AND($K163&lt;&gt;"",$K163&lt;MAX($H163:$J163))),"Avance semanal decreciente"&amp;" · ","")&amp;IF(AND(ISNUMBER($F163),$F163&lt;FechaRef,N($L163)&lt;1),"Vencida"&amp;" · ","")&amp;IF(AND(ObsObligatoria="Sí",ISNUMBER($F163),$F163&lt;FechaRef,N($L163)&lt;1,$N163=""),"Vencida sin observación"&amp;" · ",""))="","✔ OK","⚠ "&amp;LEFT(IF(AND($S163="Macro",$B163=""),"Macroactividad vacía"&amp;" · ","")&amp;IF(AND($B163&lt;&gt;"",$C163&lt;&gt;""),"Escriba la subactividad en otra fila, debajo de su macroactividad"&amp;" · ","")&amp;IF(AND($S163="Sub",N($R163)=0),"Subactividad sin macroactividad arriba"&amp;" · ","")&amp;IF($D163="","Sin responsable"&amp;" · ","")&amp;IF($E163="","Sin fecha de inicio"&amp;" · ","")&amp;IF($F163="","Sin fecha límite"&amp;" · ","")&amp;IF(OR(AND($E163&lt;&gt;"",NOT(ISNUMBER($E163))),AND($F163&lt;&gt;"",NOT(ISNUMBER($F163)))),"Fecha no válida"&amp;" · ","")&amp;IF(AND(ISNUMBER($E163),ISNUMBER($F163),$E163&gt;$F163),"Inicio posterior a fecha límite"&amp;" · ","")&amp;IF(AND($S163="Macro",$G163=""),"Peso vacío"&amp;" · ","")&amp;IF(AND($S163="Macro",$G163&lt;&gt;"",OR(NOT(ISNUMBER($G163)),$G163&lt;=0,$G163&gt;1)),"Peso fuera de rango"&amp;" · ","")&amp;IF(AND($S163="Sub",$G163&lt;&gt;""),"Las subactividades no llevan peso"&amp;" · ","")&amp;IF(AND($S163="Macro",ABS(SUMIFS($G$5:$G$1000,$P$5:$P$1000,$P163,$S$5:$S$1000,"Macro")-1)&gt;0.0001),"Pesos del mes suman "&amp;TEXT(SUMIFS($G$5:$G$1000,$P$5:$P$1000,$P163,$S$5:$S$1000,"Macro"),"0%")&amp;" · ","")&amp;IF(AND(N($T163)&gt;0,COUNT($H163:$K163)&gt;0),"Con subactividades: deje vacías las semanas (se calculan solas)"&amp;" · ","")&amp;IF((COUNTIF($H163:$K163,"&gt;1")+COUNTIF($H163:$K163,"&lt;0")+COUNTA($H163:$K163)-COUNT($H163:$K163))&gt;0,"Avance fuera de rango 0-100%"&amp;" · ","")&amp;IF(OR(AND($I163&lt;&gt;"",$I163&lt;$H163),AND($J163&lt;&gt;"",$J163&lt;MAX($H163:$I163)),AND($K163&lt;&gt;"",$K163&lt;MAX($H163:$J163))),"Avance semanal decreciente"&amp;" · ","")&amp;IF(AND(ISNUMBER($F163),$F163&lt;FechaRef,N($L163)&lt;1),"Vencida"&amp;" · ","")&amp;IF(AND(ObsObligatoria="Sí",ISNUMBER($F163),$F163&lt;FechaRef,N($L163)&lt;1,$N163=""),"Vencida sin observación"&amp;" · ",""),LEN(IF(AND($S163="Macro",$B163=""),"Macroactividad vacía"&amp;" · ","")&amp;IF(AND($B163&lt;&gt;"",$C163&lt;&gt;""),"Escriba la subactividad en otra fila, debajo de su macroactividad"&amp;" · ","")&amp;IF(AND($S163="Sub",N($R163)=0),"Subactividad sin macroactividad arriba"&amp;" · ","")&amp;IF($D163="","Sin responsable"&amp;" · ","")&amp;IF($E163="","Sin fecha de inicio"&amp;" · ","")&amp;IF($F163="","Sin fecha límite"&amp;" · ","")&amp;IF(OR(AND($E163&lt;&gt;"",NOT(ISNUMBER($E163))),AND($F163&lt;&gt;"",NOT(ISNUMBER($F163)))),"Fecha no válida"&amp;" · ","")&amp;IF(AND(ISNUMBER($E163),ISNUMBER($F163),$E163&gt;$F163),"Inicio posterior a fecha límite"&amp;" · ","")&amp;IF(AND($S163="Macro",$G163=""),"Peso vacío"&amp;" · ","")&amp;IF(AND($S163="Macro",$G163&lt;&gt;"",OR(NOT(ISNUMBER($G163)),$G163&lt;=0,$G163&gt;1)),"Peso fuera de rango"&amp;" · ","")&amp;IF(AND($S163="Sub",$G163&lt;&gt;""),"Las subactividades no llevan peso"&amp;" · ","")&amp;IF(AND($S163="Macro",ABS(SUMIFS($G$5:$G$1000,$P$5:$P$1000,$P163,$S$5:$S$1000,"Macro")-1)&gt;0.0001),"Pesos del mes suman "&amp;TEXT(SUMIFS($G$5:$G$1000,$P$5:$P$1000,$P163,$S$5:$S$1000,"Macro"),"0%")&amp;" · ","")&amp;IF(AND(N($T163)&gt;0,COUNT($H163:$K163)&gt;0),"Con subactividades: deje vacías las semanas (se calculan solas)"&amp;" · ","")&amp;IF((COUNTIF($H163:$K163,"&gt;1")+COUNTIF($H163:$K163,"&lt;0")+COUNTA($H163:$K163)-COUNT($H163:$K163))&gt;0,"Avance fuera de rango 0-100%"&amp;" · ","")&amp;IF(OR(AND($I163&lt;&gt;"",$I163&lt;$H163),AND($J163&lt;&gt;"",$J163&lt;MAX($H163:$I163)),AND($K163&lt;&gt;"",$K163&lt;MAX($H163:$J163))),"Avance semanal decreciente"&amp;" · ","")&amp;IF(AND(ISNUMBER($F163),$F163&lt;FechaRef,N($L163)&lt;1),"Vencida"&amp;" · ","")&amp;IF(AND(ObsObligatoria="Sí",ISNUMBER($F163),$F163&lt;FechaRef,N($L163)&lt;1,$N163=""),"Vencida sin observación"&amp;" · ",""))-3)))</f>
        <v/>
      </c>
      <c r="P163" s="69">
        <f>IF(NOT((COUNTA($B163:$K163)+COUNTA($N163))&gt;0),"",IF(AND($S163="Sub",N($R163)&gt;0),IF(ISNUMBER(INDEX($E$5:$E$1000,$R163-4)),DATE(YEAR(INDEX($E$5:$E$1000,$R163-4)),MONTH(INDEX($E$5:$E$1000,$R163-4)),1),IF(ISNUMBER(INDEX($F$5:$F$1000,$R163-4)),DATE(YEAR(INDEX($F$5:$F$1000,$R163-4)),MONTH(INDEX($F$5:$F$1000,$R163-4)),1),MesCiclo)),IF(ISNUMBER($E163),DATE(YEAR($E163),MONTH($E163),1),IF(ISNUMBER($F163),DATE(YEAR($F163),MONTH($F163),1),MesCiclo))))</f>
        <v/>
      </c>
      <c r="Q163" s="70">
        <f>IF(OR($P163="",$P163&lt;&gt;MesCiclo),"",COUNTIF($P$5:$P163,MesCiclo))</f>
        <v/>
      </c>
      <c r="R163" s="70">
        <f>IF($S163="","",IF($S163="Macro",ROW(),IFERROR(LOOKUP(2,1/($S$5:$S163="Macro"),ROW($S$5:$S163)),0)))</f>
        <v/>
      </c>
      <c r="S163" s="70">
        <f>IF(NOT((COUNTA($B163:$K163)+COUNTA($N163))&gt;0),"",IF($B163&lt;&gt;"","Macro",IF($C163&lt;&gt;"","Sub","Macro")))</f>
        <v/>
      </c>
      <c r="T163" s="70">
        <f>IF($S163="Macro",COUNTIFS($R$5:$R$1000,ROW(),$S$5:$S$1000,"Sub"),"")</f>
        <v/>
      </c>
      <c r="U163" s="70">
        <f>IF($S163="","",IF(ISNUMBER($H163),$H163,0))</f>
        <v/>
      </c>
      <c r="V163" s="70">
        <f>IF($S163="","",IF(ISNUMBER($I163),$I163,$U163))</f>
        <v/>
      </c>
      <c r="W163" s="70">
        <f>IF($S163="","",IF(ISNUMBER($J163),$J163,$V163))</f>
        <v/>
      </c>
      <c r="X163" s="70">
        <f>IF($S163="","",IF(ISNUMBER($K163),$K163,$W163))</f>
        <v/>
      </c>
      <c r="Y163" s="70">
        <f>IF($S163="","",IF(N($T163)&gt;0,AVERAGEIFS($U$5:$U$1000,$R$5:$R$1000,ROW(),$S$5:$S$1000,"Sub"),$U163))</f>
        <v/>
      </c>
      <c r="Z163" s="70">
        <f>IF($S163="","",IF(N($T163)&gt;0,AVERAGEIFS($V$5:$V$1000,$R$5:$R$1000,ROW(),$S$5:$S$1000,"Sub"),$V163))</f>
        <v/>
      </c>
      <c r="AA163" s="70">
        <f>IF($S163="","",IF(N($T163)&gt;0,AVERAGEIFS($W$5:$W$1000,$R$5:$R$1000,ROW(),$S$5:$S$1000,"Sub"),$W163))</f>
        <v/>
      </c>
      <c r="AB163" s="70">
        <f>IF($S163="","",IF(N($T163)&gt;0,AVERAGEIFS($X$5:$X$1000,$R$5:$R$1000,ROW(),$S$5:$S$1000,"Sub"),$X163))</f>
        <v/>
      </c>
    </row>
    <row r="164">
      <c r="A164" s="61">
        <f>IF(NOT((COUNTA($B164:$K164)+COUNTA($N164))&gt;0),"",IF($S164="Macro",COUNTIFS($S$5:$S164,"Macro",$P$5:$P164,$P164),IF(N($R164)=0,"?",COUNTIFS(INDEX($S$5:$S$1000,1):INDEX($S$5:$S$1000,$R164-4),"Macro",INDEX($P$5:$P$1000,1):INDEX($P$5:$P$1000,$R164-4),INDEX($P$5:$P$1000,$R164-4))&amp;"."&amp;COUNTIFS($R$5:$R164,$R164,$S$5:$S164,"Sub"))))</f>
        <v/>
      </c>
      <c r="B164" s="62" t="n"/>
      <c r="C164" s="63" t="n"/>
      <c r="D164" s="62" t="n"/>
      <c r="E164" s="64" t="n"/>
      <c r="F164" s="64" t="n"/>
      <c r="G164" s="65" t="n"/>
      <c r="H164" s="66" t="n"/>
      <c r="I164" s="66" t="n"/>
      <c r="J164" s="66" t="n"/>
      <c r="K164" s="66" t="n"/>
      <c r="L164" s="67">
        <f>IF(NOT((COUNTA($B164:$K164)+COUNTA($N164))&gt;0),"",IF(N($T164)&gt;0,$AB164,IFERROR(LOOKUP(2,1/(H164:K164&lt;&gt;""),H164:K164),0)))</f>
        <v/>
      </c>
      <c r="M164" s="61">
        <f>IF(L164="","",IF(L164&gt;=1,"Completado",IF(L164&gt;0,"En curso","Pendiente")))</f>
        <v/>
      </c>
      <c r="N164" s="62" t="n"/>
      <c r="O164" s="68">
        <f>IF(NOT((COUNTA($B164:$K164)+COUNTA($N164))&gt;0),"",IF((IF(AND($S164="Macro",$B164=""),"Macroactividad vacía"&amp;" · ","")&amp;IF(AND($B164&lt;&gt;"",$C164&lt;&gt;""),"Escriba la subactividad en otra fila, debajo de su macroactividad"&amp;" · ","")&amp;IF(AND($S164="Sub",N($R164)=0),"Subactividad sin macroactividad arriba"&amp;" · ","")&amp;IF($D164="","Sin responsable"&amp;" · ","")&amp;IF($E164="","Sin fecha de inicio"&amp;" · ","")&amp;IF($F164="","Sin fecha límite"&amp;" · ","")&amp;IF(OR(AND($E164&lt;&gt;"",NOT(ISNUMBER($E164))),AND($F164&lt;&gt;"",NOT(ISNUMBER($F164)))),"Fecha no válida"&amp;" · ","")&amp;IF(AND(ISNUMBER($E164),ISNUMBER($F164),$E164&gt;$F164),"Inicio posterior a fecha límite"&amp;" · ","")&amp;IF(AND($S164="Macro",$G164=""),"Peso vacío"&amp;" · ","")&amp;IF(AND($S164="Macro",$G164&lt;&gt;"",OR(NOT(ISNUMBER($G164)),$G164&lt;=0,$G164&gt;1)),"Peso fuera de rango"&amp;" · ","")&amp;IF(AND($S164="Sub",$G164&lt;&gt;""),"Las subactividades no llevan peso"&amp;" · ","")&amp;IF(AND($S164="Macro",ABS(SUMIFS($G$5:$G$1000,$P$5:$P$1000,$P164,$S$5:$S$1000,"Macro")-1)&gt;0.0001),"Pesos del mes suman "&amp;TEXT(SUMIFS($G$5:$G$1000,$P$5:$P$1000,$P164,$S$5:$S$1000,"Macro"),"0%")&amp;" · ","")&amp;IF(AND(N($T164)&gt;0,COUNT($H164:$K164)&gt;0),"Con subactividades: deje vacías las semanas (se calculan solas)"&amp;" · ","")&amp;IF((COUNTIF($H164:$K164,"&gt;1")+COUNTIF($H164:$K164,"&lt;0")+COUNTA($H164:$K164)-COUNT($H164:$K164))&gt;0,"Avance fuera de rango 0-100%"&amp;" · ","")&amp;IF(OR(AND($I164&lt;&gt;"",$I164&lt;$H164),AND($J164&lt;&gt;"",$J164&lt;MAX($H164:$I164)),AND($K164&lt;&gt;"",$K164&lt;MAX($H164:$J164))),"Avance semanal decreciente"&amp;" · ","")&amp;IF(AND(ISNUMBER($F164),$F164&lt;FechaRef,N($L164)&lt;1),"Vencida"&amp;" · ","")&amp;IF(AND(ObsObligatoria="Sí",ISNUMBER($F164),$F164&lt;FechaRef,N($L164)&lt;1,$N164=""),"Vencida sin observación"&amp;" · ",""))="","✔ OK","⚠ "&amp;LEFT(IF(AND($S164="Macro",$B164=""),"Macroactividad vacía"&amp;" · ","")&amp;IF(AND($B164&lt;&gt;"",$C164&lt;&gt;""),"Escriba la subactividad en otra fila, debajo de su macroactividad"&amp;" · ","")&amp;IF(AND($S164="Sub",N($R164)=0),"Subactividad sin macroactividad arriba"&amp;" · ","")&amp;IF($D164="","Sin responsable"&amp;" · ","")&amp;IF($E164="","Sin fecha de inicio"&amp;" · ","")&amp;IF($F164="","Sin fecha límite"&amp;" · ","")&amp;IF(OR(AND($E164&lt;&gt;"",NOT(ISNUMBER($E164))),AND($F164&lt;&gt;"",NOT(ISNUMBER($F164)))),"Fecha no válida"&amp;" · ","")&amp;IF(AND(ISNUMBER($E164),ISNUMBER($F164),$E164&gt;$F164),"Inicio posterior a fecha límite"&amp;" · ","")&amp;IF(AND($S164="Macro",$G164=""),"Peso vacío"&amp;" · ","")&amp;IF(AND($S164="Macro",$G164&lt;&gt;"",OR(NOT(ISNUMBER($G164)),$G164&lt;=0,$G164&gt;1)),"Peso fuera de rango"&amp;" · ","")&amp;IF(AND($S164="Sub",$G164&lt;&gt;""),"Las subactividades no llevan peso"&amp;" · ","")&amp;IF(AND($S164="Macro",ABS(SUMIFS($G$5:$G$1000,$P$5:$P$1000,$P164,$S$5:$S$1000,"Macro")-1)&gt;0.0001),"Pesos del mes suman "&amp;TEXT(SUMIFS($G$5:$G$1000,$P$5:$P$1000,$P164,$S$5:$S$1000,"Macro"),"0%")&amp;" · ","")&amp;IF(AND(N($T164)&gt;0,COUNT($H164:$K164)&gt;0),"Con subactividades: deje vacías las semanas (se calculan solas)"&amp;" · ","")&amp;IF((COUNTIF($H164:$K164,"&gt;1")+COUNTIF($H164:$K164,"&lt;0")+COUNTA($H164:$K164)-COUNT($H164:$K164))&gt;0,"Avance fuera de rango 0-100%"&amp;" · ","")&amp;IF(OR(AND($I164&lt;&gt;"",$I164&lt;$H164),AND($J164&lt;&gt;"",$J164&lt;MAX($H164:$I164)),AND($K164&lt;&gt;"",$K164&lt;MAX($H164:$J164))),"Avance semanal decreciente"&amp;" · ","")&amp;IF(AND(ISNUMBER($F164),$F164&lt;FechaRef,N($L164)&lt;1),"Vencida"&amp;" · ","")&amp;IF(AND(ObsObligatoria="Sí",ISNUMBER($F164),$F164&lt;FechaRef,N($L164)&lt;1,$N164=""),"Vencida sin observación"&amp;" · ",""),LEN(IF(AND($S164="Macro",$B164=""),"Macroactividad vacía"&amp;" · ","")&amp;IF(AND($B164&lt;&gt;"",$C164&lt;&gt;""),"Escriba la subactividad en otra fila, debajo de su macroactividad"&amp;" · ","")&amp;IF(AND($S164="Sub",N($R164)=0),"Subactividad sin macroactividad arriba"&amp;" · ","")&amp;IF($D164="","Sin responsable"&amp;" · ","")&amp;IF($E164="","Sin fecha de inicio"&amp;" · ","")&amp;IF($F164="","Sin fecha límite"&amp;" · ","")&amp;IF(OR(AND($E164&lt;&gt;"",NOT(ISNUMBER($E164))),AND($F164&lt;&gt;"",NOT(ISNUMBER($F164)))),"Fecha no válida"&amp;" · ","")&amp;IF(AND(ISNUMBER($E164),ISNUMBER($F164),$E164&gt;$F164),"Inicio posterior a fecha límite"&amp;" · ","")&amp;IF(AND($S164="Macro",$G164=""),"Peso vacío"&amp;" · ","")&amp;IF(AND($S164="Macro",$G164&lt;&gt;"",OR(NOT(ISNUMBER($G164)),$G164&lt;=0,$G164&gt;1)),"Peso fuera de rango"&amp;" · ","")&amp;IF(AND($S164="Sub",$G164&lt;&gt;""),"Las subactividades no llevan peso"&amp;" · ","")&amp;IF(AND($S164="Macro",ABS(SUMIFS($G$5:$G$1000,$P$5:$P$1000,$P164,$S$5:$S$1000,"Macro")-1)&gt;0.0001),"Pesos del mes suman "&amp;TEXT(SUMIFS($G$5:$G$1000,$P$5:$P$1000,$P164,$S$5:$S$1000,"Macro"),"0%")&amp;" · ","")&amp;IF(AND(N($T164)&gt;0,COUNT($H164:$K164)&gt;0),"Con subactividades: deje vacías las semanas (se calculan solas)"&amp;" · ","")&amp;IF((COUNTIF($H164:$K164,"&gt;1")+COUNTIF($H164:$K164,"&lt;0")+COUNTA($H164:$K164)-COUNT($H164:$K164))&gt;0,"Avance fuera de rango 0-100%"&amp;" · ","")&amp;IF(OR(AND($I164&lt;&gt;"",$I164&lt;$H164),AND($J164&lt;&gt;"",$J164&lt;MAX($H164:$I164)),AND($K164&lt;&gt;"",$K164&lt;MAX($H164:$J164))),"Avance semanal decreciente"&amp;" · ","")&amp;IF(AND(ISNUMBER($F164),$F164&lt;FechaRef,N($L164)&lt;1),"Vencida"&amp;" · ","")&amp;IF(AND(ObsObligatoria="Sí",ISNUMBER($F164),$F164&lt;FechaRef,N($L164)&lt;1,$N164=""),"Vencida sin observación"&amp;" · ",""))-3)))</f>
        <v/>
      </c>
      <c r="P164" s="69">
        <f>IF(NOT((COUNTA($B164:$K164)+COUNTA($N164))&gt;0),"",IF(AND($S164="Sub",N($R164)&gt;0),IF(ISNUMBER(INDEX($E$5:$E$1000,$R164-4)),DATE(YEAR(INDEX($E$5:$E$1000,$R164-4)),MONTH(INDEX($E$5:$E$1000,$R164-4)),1),IF(ISNUMBER(INDEX($F$5:$F$1000,$R164-4)),DATE(YEAR(INDEX($F$5:$F$1000,$R164-4)),MONTH(INDEX($F$5:$F$1000,$R164-4)),1),MesCiclo)),IF(ISNUMBER($E164),DATE(YEAR($E164),MONTH($E164),1),IF(ISNUMBER($F164),DATE(YEAR($F164),MONTH($F164),1),MesCiclo))))</f>
        <v/>
      </c>
      <c r="Q164" s="70">
        <f>IF(OR($P164="",$P164&lt;&gt;MesCiclo),"",COUNTIF($P$5:$P164,MesCiclo))</f>
        <v/>
      </c>
      <c r="R164" s="70">
        <f>IF($S164="","",IF($S164="Macro",ROW(),IFERROR(LOOKUP(2,1/($S$5:$S164="Macro"),ROW($S$5:$S164)),0)))</f>
        <v/>
      </c>
      <c r="S164" s="70">
        <f>IF(NOT((COUNTA($B164:$K164)+COUNTA($N164))&gt;0),"",IF($B164&lt;&gt;"","Macro",IF($C164&lt;&gt;"","Sub","Macro")))</f>
        <v/>
      </c>
      <c r="T164" s="70">
        <f>IF($S164="Macro",COUNTIFS($R$5:$R$1000,ROW(),$S$5:$S$1000,"Sub"),"")</f>
        <v/>
      </c>
      <c r="U164" s="70">
        <f>IF($S164="","",IF(ISNUMBER($H164),$H164,0))</f>
        <v/>
      </c>
      <c r="V164" s="70">
        <f>IF($S164="","",IF(ISNUMBER($I164),$I164,$U164))</f>
        <v/>
      </c>
      <c r="W164" s="70">
        <f>IF($S164="","",IF(ISNUMBER($J164),$J164,$V164))</f>
        <v/>
      </c>
      <c r="X164" s="70">
        <f>IF($S164="","",IF(ISNUMBER($K164),$K164,$W164))</f>
        <v/>
      </c>
      <c r="Y164" s="70">
        <f>IF($S164="","",IF(N($T164)&gt;0,AVERAGEIFS($U$5:$U$1000,$R$5:$R$1000,ROW(),$S$5:$S$1000,"Sub"),$U164))</f>
        <v/>
      </c>
      <c r="Z164" s="70">
        <f>IF($S164="","",IF(N($T164)&gt;0,AVERAGEIFS($V$5:$V$1000,$R$5:$R$1000,ROW(),$S$5:$S$1000,"Sub"),$V164))</f>
        <v/>
      </c>
      <c r="AA164" s="70">
        <f>IF($S164="","",IF(N($T164)&gt;0,AVERAGEIFS($W$5:$W$1000,$R$5:$R$1000,ROW(),$S$5:$S$1000,"Sub"),$W164))</f>
        <v/>
      </c>
      <c r="AB164" s="70">
        <f>IF($S164="","",IF(N($T164)&gt;0,AVERAGEIFS($X$5:$X$1000,$R$5:$R$1000,ROW(),$S$5:$S$1000,"Sub"),$X164))</f>
        <v/>
      </c>
    </row>
    <row r="165">
      <c r="A165" s="61">
        <f>IF(NOT((COUNTA($B165:$K165)+COUNTA($N165))&gt;0),"",IF($S165="Macro",COUNTIFS($S$5:$S165,"Macro",$P$5:$P165,$P165),IF(N($R165)=0,"?",COUNTIFS(INDEX($S$5:$S$1000,1):INDEX($S$5:$S$1000,$R165-4),"Macro",INDEX($P$5:$P$1000,1):INDEX($P$5:$P$1000,$R165-4),INDEX($P$5:$P$1000,$R165-4))&amp;"."&amp;COUNTIFS($R$5:$R165,$R165,$S$5:$S165,"Sub"))))</f>
        <v/>
      </c>
      <c r="B165" s="62" t="n"/>
      <c r="C165" s="63" t="n"/>
      <c r="D165" s="62" t="n"/>
      <c r="E165" s="64" t="n"/>
      <c r="F165" s="64" t="n"/>
      <c r="G165" s="65" t="n"/>
      <c r="H165" s="66" t="n"/>
      <c r="I165" s="66" t="n"/>
      <c r="J165" s="66" t="n"/>
      <c r="K165" s="66" t="n"/>
      <c r="L165" s="67">
        <f>IF(NOT((COUNTA($B165:$K165)+COUNTA($N165))&gt;0),"",IF(N($T165)&gt;0,$AB165,IFERROR(LOOKUP(2,1/(H165:K165&lt;&gt;""),H165:K165),0)))</f>
        <v/>
      </c>
      <c r="M165" s="61">
        <f>IF(L165="","",IF(L165&gt;=1,"Completado",IF(L165&gt;0,"En curso","Pendiente")))</f>
        <v/>
      </c>
      <c r="N165" s="62" t="n"/>
      <c r="O165" s="68">
        <f>IF(NOT((COUNTA($B165:$K165)+COUNTA($N165))&gt;0),"",IF((IF(AND($S165="Macro",$B165=""),"Macroactividad vacía"&amp;" · ","")&amp;IF(AND($B165&lt;&gt;"",$C165&lt;&gt;""),"Escriba la subactividad en otra fila, debajo de su macroactividad"&amp;" · ","")&amp;IF(AND($S165="Sub",N($R165)=0),"Subactividad sin macroactividad arriba"&amp;" · ","")&amp;IF($D165="","Sin responsable"&amp;" · ","")&amp;IF($E165="","Sin fecha de inicio"&amp;" · ","")&amp;IF($F165="","Sin fecha límite"&amp;" · ","")&amp;IF(OR(AND($E165&lt;&gt;"",NOT(ISNUMBER($E165))),AND($F165&lt;&gt;"",NOT(ISNUMBER($F165)))),"Fecha no válida"&amp;" · ","")&amp;IF(AND(ISNUMBER($E165),ISNUMBER($F165),$E165&gt;$F165),"Inicio posterior a fecha límite"&amp;" · ","")&amp;IF(AND($S165="Macro",$G165=""),"Peso vacío"&amp;" · ","")&amp;IF(AND($S165="Macro",$G165&lt;&gt;"",OR(NOT(ISNUMBER($G165)),$G165&lt;=0,$G165&gt;1)),"Peso fuera de rango"&amp;" · ","")&amp;IF(AND($S165="Sub",$G165&lt;&gt;""),"Las subactividades no llevan peso"&amp;" · ","")&amp;IF(AND($S165="Macro",ABS(SUMIFS($G$5:$G$1000,$P$5:$P$1000,$P165,$S$5:$S$1000,"Macro")-1)&gt;0.0001),"Pesos del mes suman "&amp;TEXT(SUMIFS($G$5:$G$1000,$P$5:$P$1000,$P165,$S$5:$S$1000,"Macro"),"0%")&amp;" · ","")&amp;IF(AND(N($T165)&gt;0,COUNT($H165:$K165)&gt;0),"Con subactividades: deje vacías las semanas (se calculan solas)"&amp;" · ","")&amp;IF((COUNTIF($H165:$K165,"&gt;1")+COUNTIF($H165:$K165,"&lt;0")+COUNTA($H165:$K165)-COUNT($H165:$K165))&gt;0,"Avance fuera de rango 0-100%"&amp;" · ","")&amp;IF(OR(AND($I165&lt;&gt;"",$I165&lt;$H165),AND($J165&lt;&gt;"",$J165&lt;MAX($H165:$I165)),AND($K165&lt;&gt;"",$K165&lt;MAX($H165:$J165))),"Avance semanal decreciente"&amp;" · ","")&amp;IF(AND(ISNUMBER($F165),$F165&lt;FechaRef,N($L165)&lt;1),"Vencida"&amp;" · ","")&amp;IF(AND(ObsObligatoria="Sí",ISNUMBER($F165),$F165&lt;FechaRef,N($L165)&lt;1,$N165=""),"Vencida sin observación"&amp;" · ",""))="","✔ OK","⚠ "&amp;LEFT(IF(AND($S165="Macro",$B165=""),"Macroactividad vacía"&amp;" · ","")&amp;IF(AND($B165&lt;&gt;"",$C165&lt;&gt;""),"Escriba la subactividad en otra fila, debajo de su macroactividad"&amp;" · ","")&amp;IF(AND($S165="Sub",N($R165)=0),"Subactividad sin macroactividad arriba"&amp;" · ","")&amp;IF($D165="","Sin responsable"&amp;" · ","")&amp;IF($E165="","Sin fecha de inicio"&amp;" · ","")&amp;IF($F165="","Sin fecha límite"&amp;" · ","")&amp;IF(OR(AND($E165&lt;&gt;"",NOT(ISNUMBER($E165))),AND($F165&lt;&gt;"",NOT(ISNUMBER($F165)))),"Fecha no válida"&amp;" · ","")&amp;IF(AND(ISNUMBER($E165),ISNUMBER($F165),$E165&gt;$F165),"Inicio posterior a fecha límite"&amp;" · ","")&amp;IF(AND($S165="Macro",$G165=""),"Peso vacío"&amp;" · ","")&amp;IF(AND($S165="Macro",$G165&lt;&gt;"",OR(NOT(ISNUMBER($G165)),$G165&lt;=0,$G165&gt;1)),"Peso fuera de rango"&amp;" · ","")&amp;IF(AND($S165="Sub",$G165&lt;&gt;""),"Las subactividades no llevan peso"&amp;" · ","")&amp;IF(AND($S165="Macro",ABS(SUMIFS($G$5:$G$1000,$P$5:$P$1000,$P165,$S$5:$S$1000,"Macro")-1)&gt;0.0001),"Pesos del mes suman "&amp;TEXT(SUMIFS($G$5:$G$1000,$P$5:$P$1000,$P165,$S$5:$S$1000,"Macro"),"0%")&amp;" · ","")&amp;IF(AND(N($T165)&gt;0,COUNT($H165:$K165)&gt;0),"Con subactividades: deje vacías las semanas (se calculan solas)"&amp;" · ","")&amp;IF((COUNTIF($H165:$K165,"&gt;1")+COUNTIF($H165:$K165,"&lt;0")+COUNTA($H165:$K165)-COUNT($H165:$K165))&gt;0,"Avance fuera de rango 0-100%"&amp;" · ","")&amp;IF(OR(AND($I165&lt;&gt;"",$I165&lt;$H165),AND($J165&lt;&gt;"",$J165&lt;MAX($H165:$I165)),AND($K165&lt;&gt;"",$K165&lt;MAX($H165:$J165))),"Avance semanal decreciente"&amp;" · ","")&amp;IF(AND(ISNUMBER($F165),$F165&lt;FechaRef,N($L165)&lt;1),"Vencida"&amp;" · ","")&amp;IF(AND(ObsObligatoria="Sí",ISNUMBER($F165),$F165&lt;FechaRef,N($L165)&lt;1,$N165=""),"Vencida sin observación"&amp;" · ",""),LEN(IF(AND($S165="Macro",$B165=""),"Macroactividad vacía"&amp;" · ","")&amp;IF(AND($B165&lt;&gt;"",$C165&lt;&gt;""),"Escriba la subactividad en otra fila, debajo de su macroactividad"&amp;" · ","")&amp;IF(AND($S165="Sub",N($R165)=0),"Subactividad sin macroactividad arriba"&amp;" · ","")&amp;IF($D165="","Sin responsable"&amp;" · ","")&amp;IF($E165="","Sin fecha de inicio"&amp;" · ","")&amp;IF($F165="","Sin fecha límite"&amp;" · ","")&amp;IF(OR(AND($E165&lt;&gt;"",NOT(ISNUMBER($E165))),AND($F165&lt;&gt;"",NOT(ISNUMBER($F165)))),"Fecha no válida"&amp;" · ","")&amp;IF(AND(ISNUMBER($E165),ISNUMBER($F165),$E165&gt;$F165),"Inicio posterior a fecha límite"&amp;" · ","")&amp;IF(AND($S165="Macro",$G165=""),"Peso vacío"&amp;" · ","")&amp;IF(AND($S165="Macro",$G165&lt;&gt;"",OR(NOT(ISNUMBER($G165)),$G165&lt;=0,$G165&gt;1)),"Peso fuera de rango"&amp;" · ","")&amp;IF(AND($S165="Sub",$G165&lt;&gt;""),"Las subactividades no llevan peso"&amp;" · ","")&amp;IF(AND($S165="Macro",ABS(SUMIFS($G$5:$G$1000,$P$5:$P$1000,$P165,$S$5:$S$1000,"Macro")-1)&gt;0.0001),"Pesos del mes suman "&amp;TEXT(SUMIFS($G$5:$G$1000,$P$5:$P$1000,$P165,$S$5:$S$1000,"Macro"),"0%")&amp;" · ","")&amp;IF(AND(N($T165)&gt;0,COUNT($H165:$K165)&gt;0),"Con subactividades: deje vacías las semanas (se calculan solas)"&amp;" · ","")&amp;IF((COUNTIF($H165:$K165,"&gt;1")+COUNTIF($H165:$K165,"&lt;0")+COUNTA($H165:$K165)-COUNT($H165:$K165))&gt;0,"Avance fuera de rango 0-100%"&amp;" · ","")&amp;IF(OR(AND($I165&lt;&gt;"",$I165&lt;$H165),AND($J165&lt;&gt;"",$J165&lt;MAX($H165:$I165)),AND($K165&lt;&gt;"",$K165&lt;MAX($H165:$J165))),"Avance semanal decreciente"&amp;" · ","")&amp;IF(AND(ISNUMBER($F165),$F165&lt;FechaRef,N($L165)&lt;1),"Vencida"&amp;" · ","")&amp;IF(AND(ObsObligatoria="Sí",ISNUMBER($F165),$F165&lt;FechaRef,N($L165)&lt;1,$N165=""),"Vencida sin observación"&amp;" · ",""))-3)))</f>
        <v/>
      </c>
      <c r="P165" s="69">
        <f>IF(NOT((COUNTA($B165:$K165)+COUNTA($N165))&gt;0),"",IF(AND($S165="Sub",N($R165)&gt;0),IF(ISNUMBER(INDEX($E$5:$E$1000,$R165-4)),DATE(YEAR(INDEX($E$5:$E$1000,$R165-4)),MONTH(INDEX($E$5:$E$1000,$R165-4)),1),IF(ISNUMBER(INDEX($F$5:$F$1000,$R165-4)),DATE(YEAR(INDEX($F$5:$F$1000,$R165-4)),MONTH(INDEX($F$5:$F$1000,$R165-4)),1),MesCiclo)),IF(ISNUMBER($E165),DATE(YEAR($E165),MONTH($E165),1),IF(ISNUMBER($F165),DATE(YEAR($F165),MONTH($F165),1),MesCiclo))))</f>
        <v/>
      </c>
      <c r="Q165" s="70">
        <f>IF(OR($P165="",$P165&lt;&gt;MesCiclo),"",COUNTIF($P$5:$P165,MesCiclo))</f>
        <v/>
      </c>
      <c r="R165" s="70">
        <f>IF($S165="","",IF($S165="Macro",ROW(),IFERROR(LOOKUP(2,1/($S$5:$S165="Macro"),ROW($S$5:$S165)),0)))</f>
        <v/>
      </c>
      <c r="S165" s="70">
        <f>IF(NOT((COUNTA($B165:$K165)+COUNTA($N165))&gt;0),"",IF($B165&lt;&gt;"","Macro",IF($C165&lt;&gt;"","Sub","Macro")))</f>
        <v/>
      </c>
      <c r="T165" s="70">
        <f>IF($S165="Macro",COUNTIFS($R$5:$R$1000,ROW(),$S$5:$S$1000,"Sub"),"")</f>
        <v/>
      </c>
      <c r="U165" s="70">
        <f>IF($S165="","",IF(ISNUMBER($H165),$H165,0))</f>
        <v/>
      </c>
      <c r="V165" s="70">
        <f>IF($S165="","",IF(ISNUMBER($I165),$I165,$U165))</f>
        <v/>
      </c>
      <c r="W165" s="70">
        <f>IF($S165="","",IF(ISNUMBER($J165),$J165,$V165))</f>
        <v/>
      </c>
      <c r="X165" s="70">
        <f>IF($S165="","",IF(ISNUMBER($K165),$K165,$W165))</f>
        <v/>
      </c>
      <c r="Y165" s="70">
        <f>IF($S165="","",IF(N($T165)&gt;0,AVERAGEIFS($U$5:$U$1000,$R$5:$R$1000,ROW(),$S$5:$S$1000,"Sub"),$U165))</f>
        <v/>
      </c>
      <c r="Z165" s="70">
        <f>IF($S165="","",IF(N($T165)&gt;0,AVERAGEIFS($V$5:$V$1000,$R$5:$R$1000,ROW(),$S$5:$S$1000,"Sub"),$V165))</f>
        <v/>
      </c>
      <c r="AA165" s="70">
        <f>IF($S165="","",IF(N($T165)&gt;0,AVERAGEIFS($W$5:$W$1000,$R$5:$R$1000,ROW(),$S$5:$S$1000,"Sub"),$W165))</f>
        <v/>
      </c>
      <c r="AB165" s="70">
        <f>IF($S165="","",IF(N($T165)&gt;0,AVERAGEIFS($X$5:$X$1000,$R$5:$R$1000,ROW(),$S$5:$S$1000,"Sub"),$X165))</f>
        <v/>
      </c>
    </row>
    <row r="166">
      <c r="A166" s="61">
        <f>IF(NOT((COUNTA($B166:$K166)+COUNTA($N166))&gt;0),"",IF($S166="Macro",COUNTIFS($S$5:$S166,"Macro",$P$5:$P166,$P166),IF(N($R166)=0,"?",COUNTIFS(INDEX($S$5:$S$1000,1):INDEX($S$5:$S$1000,$R166-4),"Macro",INDEX($P$5:$P$1000,1):INDEX($P$5:$P$1000,$R166-4),INDEX($P$5:$P$1000,$R166-4))&amp;"."&amp;COUNTIFS($R$5:$R166,$R166,$S$5:$S166,"Sub"))))</f>
        <v/>
      </c>
      <c r="B166" s="62" t="n"/>
      <c r="C166" s="63" t="n"/>
      <c r="D166" s="62" t="n"/>
      <c r="E166" s="64" t="n"/>
      <c r="F166" s="64" t="n"/>
      <c r="G166" s="65" t="n"/>
      <c r="H166" s="66" t="n"/>
      <c r="I166" s="66" t="n"/>
      <c r="J166" s="66" t="n"/>
      <c r="K166" s="66" t="n"/>
      <c r="L166" s="67">
        <f>IF(NOT((COUNTA($B166:$K166)+COUNTA($N166))&gt;0),"",IF(N($T166)&gt;0,$AB166,IFERROR(LOOKUP(2,1/(H166:K166&lt;&gt;""),H166:K166),0)))</f>
        <v/>
      </c>
      <c r="M166" s="61">
        <f>IF(L166="","",IF(L166&gt;=1,"Completado",IF(L166&gt;0,"En curso","Pendiente")))</f>
        <v/>
      </c>
      <c r="N166" s="62" t="n"/>
      <c r="O166" s="68">
        <f>IF(NOT((COUNTA($B166:$K166)+COUNTA($N166))&gt;0),"",IF((IF(AND($S166="Macro",$B166=""),"Macroactividad vacía"&amp;" · ","")&amp;IF(AND($B166&lt;&gt;"",$C166&lt;&gt;""),"Escriba la subactividad en otra fila, debajo de su macroactividad"&amp;" · ","")&amp;IF(AND($S166="Sub",N($R166)=0),"Subactividad sin macroactividad arriba"&amp;" · ","")&amp;IF($D166="","Sin responsable"&amp;" · ","")&amp;IF($E166="","Sin fecha de inicio"&amp;" · ","")&amp;IF($F166="","Sin fecha límite"&amp;" · ","")&amp;IF(OR(AND($E166&lt;&gt;"",NOT(ISNUMBER($E166))),AND($F166&lt;&gt;"",NOT(ISNUMBER($F166)))),"Fecha no válida"&amp;" · ","")&amp;IF(AND(ISNUMBER($E166),ISNUMBER($F166),$E166&gt;$F166),"Inicio posterior a fecha límite"&amp;" · ","")&amp;IF(AND($S166="Macro",$G166=""),"Peso vacío"&amp;" · ","")&amp;IF(AND($S166="Macro",$G166&lt;&gt;"",OR(NOT(ISNUMBER($G166)),$G166&lt;=0,$G166&gt;1)),"Peso fuera de rango"&amp;" · ","")&amp;IF(AND($S166="Sub",$G166&lt;&gt;""),"Las subactividades no llevan peso"&amp;" · ","")&amp;IF(AND($S166="Macro",ABS(SUMIFS($G$5:$G$1000,$P$5:$P$1000,$P166,$S$5:$S$1000,"Macro")-1)&gt;0.0001),"Pesos del mes suman "&amp;TEXT(SUMIFS($G$5:$G$1000,$P$5:$P$1000,$P166,$S$5:$S$1000,"Macro"),"0%")&amp;" · ","")&amp;IF(AND(N($T166)&gt;0,COUNT($H166:$K166)&gt;0),"Con subactividades: deje vacías las semanas (se calculan solas)"&amp;" · ","")&amp;IF((COUNTIF($H166:$K166,"&gt;1")+COUNTIF($H166:$K166,"&lt;0")+COUNTA($H166:$K166)-COUNT($H166:$K166))&gt;0,"Avance fuera de rango 0-100%"&amp;" · ","")&amp;IF(OR(AND($I166&lt;&gt;"",$I166&lt;$H166),AND($J166&lt;&gt;"",$J166&lt;MAX($H166:$I166)),AND($K166&lt;&gt;"",$K166&lt;MAX($H166:$J166))),"Avance semanal decreciente"&amp;" · ","")&amp;IF(AND(ISNUMBER($F166),$F166&lt;FechaRef,N($L166)&lt;1),"Vencida"&amp;" · ","")&amp;IF(AND(ObsObligatoria="Sí",ISNUMBER($F166),$F166&lt;FechaRef,N($L166)&lt;1,$N166=""),"Vencida sin observación"&amp;" · ",""))="","✔ OK","⚠ "&amp;LEFT(IF(AND($S166="Macro",$B166=""),"Macroactividad vacía"&amp;" · ","")&amp;IF(AND($B166&lt;&gt;"",$C166&lt;&gt;""),"Escriba la subactividad en otra fila, debajo de su macroactividad"&amp;" · ","")&amp;IF(AND($S166="Sub",N($R166)=0),"Subactividad sin macroactividad arriba"&amp;" · ","")&amp;IF($D166="","Sin responsable"&amp;" · ","")&amp;IF($E166="","Sin fecha de inicio"&amp;" · ","")&amp;IF($F166="","Sin fecha límite"&amp;" · ","")&amp;IF(OR(AND($E166&lt;&gt;"",NOT(ISNUMBER($E166))),AND($F166&lt;&gt;"",NOT(ISNUMBER($F166)))),"Fecha no válida"&amp;" · ","")&amp;IF(AND(ISNUMBER($E166),ISNUMBER($F166),$E166&gt;$F166),"Inicio posterior a fecha límite"&amp;" · ","")&amp;IF(AND($S166="Macro",$G166=""),"Peso vacío"&amp;" · ","")&amp;IF(AND($S166="Macro",$G166&lt;&gt;"",OR(NOT(ISNUMBER($G166)),$G166&lt;=0,$G166&gt;1)),"Peso fuera de rango"&amp;" · ","")&amp;IF(AND($S166="Sub",$G166&lt;&gt;""),"Las subactividades no llevan peso"&amp;" · ","")&amp;IF(AND($S166="Macro",ABS(SUMIFS($G$5:$G$1000,$P$5:$P$1000,$P166,$S$5:$S$1000,"Macro")-1)&gt;0.0001),"Pesos del mes suman "&amp;TEXT(SUMIFS($G$5:$G$1000,$P$5:$P$1000,$P166,$S$5:$S$1000,"Macro"),"0%")&amp;" · ","")&amp;IF(AND(N($T166)&gt;0,COUNT($H166:$K166)&gt;0),"Con subactividades: deje vacías las semanas (se calculan solas)"&amp;" · ","")&amp;IF((COUNTIF($H166:$K166,"&gt;1")+COUNTIF($H166:$K166,"&lt;0")+COUNTA($H166:$K166)-COUNT($H166:$K166))&gt;0,"Avance fuera de rango 0-100%"&amp;" · ","")&amp;IF(OR(AND($I166&lt;&gt;"",$I166&lt;$H166),AND($J166&lt;&gt;"",$J166&lt;MAX($H166:$I166)),AND($K166&lt;&gt;"",$K166&lt;MAX($H166:$J166))),"Avance semanal decreciente"&amp;" · ","")&amp;IF(AND(ISNUMBER($F166),$F166&lt;FechaRef,N($L166)&lt;1),"Vencida"&amp;" · ","")&amp;IF(AND(ObsObligatoria="Sí",ISNUMBER($F166),$F166&lt;FechaRef,N($L166)&lt;1,$N166=""),"Vencida sin observación"&amp;" · ",""),LEN(IF(AND($S166="Macro",$B166=""),"Macroactividad vacía"&amp;" · ","")&amp;IF(AND($B166&lt;&gt;"",$C166&lt;&gt;""),"Escriba la subactividad en otra fila, debajo de su macroactividad"&amp;" · ","")&amp;IF(AND($S166="Sub",N($R166)=0),"Subactividad sin macroactividad arriba"&amp;" · ","")&amp;IF($D166="","Sin responsable"&amp;" · ","")&amp;IF($E166="","Sin fecha de inicio"&amp;" · ","")&amp;IF($F166="","Sin fecha límite"&amp;" · ","")&amp;IF(OR(AND($E166&lt;&gt;"",NOT(ISNUMBER($E166))),AND($F166&lt;&gt;"",NOT(ISNUMBER($F166)))),"Fecha no válida"&amp;" · ","")&amp;IF(AND(ISNUMBER($E166),ISNUMBER($F166),$E166&gt;$F166),"Inicio posterior a fecha límite"&amp;" · ","")&amp;IF(AND($S166="Macro",$G166=""),"Peso vacío"&amp;" · ","")&amp;IF(AND($S166="Macro",$G166&lt;&gt;"",OR(NOT(ISNUMBER($G166)),$G166&lt;=0,$G166&gt;1)),"Peso fuera de rango"&amp;" · ","")&amp;IF(AND($S166="Sub",$G166&lt;&gt;""),"Las subactividades no llevan peso"&amp;" · ","")&amp;IF(AND($S166="Macro",ABS(SUMIFS($G$5:$G$1000,$P$5:$P$1000,$P166,$S$5:$S$1000,"Macro")-1)&gt;0.0001),"Pesos del mes suman "&amp;TEXT(SUMIFS($G$5:$G$1000,$P$5:$P$1000,$P166,$S$5:$S$1000,"Macro"),"0%")&amp;" · ","")&amp;IF(AND(N($T166)&gt;0,COUNT($H166:$K166)&gt;0),"Con subactividades: deje vacías las semanas (se calculan solas)"&amp;" · ","")&amp;IF((COUNTIF($H166:$K166,"&gt;1")+COUNTIF($H166:$K166,"&lt;0")+COUNTA($H166:$K166)-COUNT($H166:$K166))&gt;0,"Avance fuera de rango 0-100%"&amp;" · ","")&amp;IF(OR(AND($I166&lt;&gt;"",$I166&lt;$H166),AND($J166&lt;&gt;"",$J166&lt;MAX($H166:$I166)),AND($K166&lt;&gt;"",$K166&lt;MAX($H166:$J166))),"Avance semanal decreciente"&amp;" · ","")&amp;IF(AND(ISNUMBER($F166),$F166&lt;FechaRef,N($L166)&lt;1),"Vencida"&amp;" · ","")&amp;IF(AND(ObsObligatoria="Sí",ISNUMBER($F166),$F166&lt;FechaRef,N($L166)&lt;1,$N166=""),"Vencida sin observación"&amp;" · ",""))-3)))</f>
        <v/>
      </c>
      <c r="P166" s="69">
        <f>IF(NOT((COUNTA($B166:$K166)+COUNTA($N166))&gt;0),"",IF(AND($S166="Sub",N($R166)&gt;0),IF(ISNUMBER(INDEX($E$5:$E$1000,$R166-4)),DATE(YEAR(INDEX($E$5:$E$1000,$R166-4)),MONTH(INDEX($E$5:$E$1000,$R166-4)),1),IF(ISNUMBER(INDEX($F$5:$F$1000,$R166-4)),DATE(YEAR(INDEX($F$5:$F$1000,$R166-4)),MONTH(INDEX($F$5:$F$1000,$R166-4)),1),MesCiclo)),IF(ISNUMBER($E166),DATE(YEAR($E166),MONTH($E166),1),IF(ISNUMBER($F166),DATE(YEAR($F166),MONTH($F166),1),MesCiclo))))</f>
        <v/>
      </c>
      <c r="Q166" s="70">
        <f>IF(OR($P166="",$P166&lt;&gt;MesCiclo),"",COUNTIF($P$5:$P166,MesCiclo))</f>
        <v/>
      </c>
      <c r="R166" s="70">
        <f>IF($S166="","",IF($S166="Macro",ROW(),IFERROR(LOOKUP(2,1/($S$5:$S166="Macro"),ROW($S$5:$S166)),0)))</f>
        <v/>
      </c>
      <c r="S166" s="70">
        <f>IF(NOT((COUNTA($B166:$K166)+COUNTA($N166))&gt;0),"",IF($B166&lt;&gt;"","Macro",IF($C166&lt;&gt;"","Sub","Macro")))</f>
        <v/>
      </c>
      <c r="T166" s="70">
        <f>IF($S166="Macro",COUNTIFS($R$5:$R$1000,ROW(),$S$5:$S$1000,"Sub"),"")</f>
        <v/>
      </c>
      <c r="U166" s="70">
        <f>IF($S166="","",IF(ISNUMBER($H166),$H166,0))</f>
        <v/>
      </c>
      <c r="V166" s="70">
        <f>IF($S166="","",IF(ISNUMBER($I166),$I166,$U166))</f>
        <v/>
      </c>
      <c r="W166" s="70">
        <f>IF($S166="","",IF(ISNUMBER($J166),$J166,$V166))</f>
        <v/>
      </c>
      <c r="X166" s="70">
        <f>IF($S166="","",IF(ISNUMBER($K166),$K166,$W166))</f>
        <v/>
      </c>
      <c r="Y166" s="70">
        <f>IF($S166="","",IF(N($T166)&gt;0,AVERAGEIFS($U$5:$U$1000,$R$5:$R$1000,ROW(),$S$5:$S$1000,"Sub"),$U166))</f>
        <v/>
      </c>
      <c r="Z166" s="70">
        <f>IF($S166="","",IF(N($T166)&gt;0,AVERAGEIFS($V$5:$V$1000,$R$5:$R$1000,ROW(),$S$5:$S$1000,"Sub"),$V166))</f>
        <v/>
      </c>
      <c r="AA166" s="70">
        <f>IF($S166="","",IF(N($T166)&gt;0,AVERAGEIFS($W$5:$W$1000,$R$5:$R$1000,ROW(),$S$5:$S$1000,"Sub"),$W166))</f>
        <v/>
      </c>
      <c r="AB166" s="70">
        <f>IF($S166="","",IF(N($T166)&gt;0,AVERAGEIFS($X$5:$X$1000,$R$5:$R$1000,ROW(),$S$5:$S$1000,"Sub"),$X166))</f>
        <v/>
      </c>
    </row>
    <row r="167">
      <c r="A167" s="61">
        <f>IF(NOT((COUNTA($B167:$K167)+COUNTA($N167))&gt;0),"",IF($S167="Macro",COUNTIFS($S$5:$S167,"Macro",$P$5:$P167,$P167),IF(N($R167)=0,"?",COUNTIFS(INDEX($S$5:$S$1000,1):INDEX($S$5:$S$1000,$R167-4),"Macro",INDEX($P$5:$P$1000,1):INDEX($P$5:$P$1000,$R167-4),INDEX($P$5:$P$1000,$R167-4))&amp;"."&amp;COUNTIFS($R$5:$R167,$R167,$S$5:$S167,"Sub"))))</f>
        <v/>
      </c>
      <c r="B167" s="62" t="n"/>
      <c r="C167" s="63" t="n"/>
      <c r="D167" s="62" t="n"/>
      <c r="E167" s="64" t="n"/>
      <c r="F167" s="64" t="n"/>
      <c r="G167" s="65" t="n"/>
      <c r="H167" s="66" t="n"/>
      <c r="I167" s="66" t="n"/>
      <c r="J167" s="66" t="n"/>
      <c r="K167" s="66" t="n"/>
      <c r="L167" s="67">
        <f>IF(NOT((COUNTA($B167:$K167)+COUNTA($N167))&gt;0),"",IF(N($T167)&gt;0,$AB167,IFERROR(LOOKUP(2,1/(H167:K167&lt;&gt;""),H167:K167),0)))</f>
        <v/>
      </c>
      <c r="M167" s="61">
        <f>IF(L167="","",IF(L167&gt;=1,"Completado",IF(L167&gt;0,"En curso","Pendiente")))</f>
        <v/>
      </c>
      <c r="N167" s="62" t="n"/>
      <c r="O167" s="68">
        <f>IF(NOT((COUNTA($B167:$K167)+COUNTA($N167))&gt;0),"",IF((IF(AND($S167="Macro",$B167=""),"Macroactividad vacía"&amp;" · ","")&amp;IF(AND($B167&lt;&gt;"",$C167&lt;&gt;""),"Escriba la subactividad en otra fila, debajo de su macroactividad"&amp;" · ","")&amp;IF(AND($S167="Sub",N($R167)=0),"Subactividad sin macroactividad arriba"&amp;" · ","")&amp;IF($D167="","Sin responsable"&amp;" · ","")&amp;IF($E167="","Sin fecha de inicio"&amp;" · ","")&amp;IF($F167="","Sin fecha límite"&amp;" · ","")&amp;IF(OR(AND($E167&lt;&gt;"",NOT(ISNUMBER($E167))),AND($F167&lt;&gt;"",NOT(ISNUMBER($F167)))),"Fecha no válida"&amp;" · ","")&amp;IF(AND(ISNUMBER($E167),ISNUMBER($F167),$E167&gt;$F167),"Inicio posterior a fecha límite"&amp;" · ","")&amp;IF(AND($S167="Macro",$G167=""),"Peso vacío"&amp;" · ","")&amp;IF(AND($S167="Macro",$G167&lt;&gt;"",OR(NOT(ISNUMBER($G167)),$G167&lt;=0,$G167&gt;1)),"Peso fuera de rango"&amp;" · ","")&amp;IF(AND($S167="Sub",$G167&lt;&gt;""),"Las subactividades no llevan peso"&amp;" · ","")&amp;IF(AND($S167="Macro",ABS(SUMIFS($G$5:$G$1000,$P$5:$P$1000,$P167,$S$5:$S$1000,"Macro")-1)&gt;0.0001),"Pesos del mes suman "&amp;TEXT(SUMIFS($G$5:$G$1000,$P$5:$P$1000,$P167,$S$5:$S$1000,"Macro"),"0%")&amp;" · ","")&amp;IF(AND(N($T167)&gt;0,COUNT($H167:$K167)&gt;0),"Con subactividades: deje vacías las semanas (se calculan solas)"&amp;" · ","")&amp;IF((COUNTIF($H167:$K167,"&gt;1")+COUNTIF($H167:$K167,"&lt;0")+COUNTA($H167:$K167)-COUNT($H167:$K167))&gt;0,"Avance fuera de rango 0-100%"&amp;" · ","")&amp;IF(OR(AND($I167&lt;&gt;"",$I167&lt;$H167),AND($J167&lt;&gt;"",$J167&lt;MAX($H167:$I167)),AND($K167&lt;&gt;"",$K167&lt;MAX($H167:$J167))),"Avance semanal decreciente"&amp;" · ","")&amp;IF(AND(ISNUMBER($F167),$F167&lt;FechaRef,N($L167)&lt;1),"Vencida"&amp;" · ","")&amp;IF(AND(ObsObligatoria="Sí",ISNUMBER($F167),$F167&lt;FechaRef,N($L167)&lt;1,$N167=""),"Vencida sin observación"&amp;" · ",""))="","✔ OK","⚠ "&amp;LEFT(IF(AND($S167="Macro",$B167=""),"Macroactividad vacía"&amp;" · ","")&amp;IF(AND($B167&lt;&gt;"",$C167&lt;&gt;""),"Escriba la subactividad en otra fila, debajo de su macroactividad"&amp;" · ","")&amp;IF(AND($S167="Sub",N($R167)=0),"Subactividad sin macroactividad arriba"&amp;" · ","")&amp;IF($D167="","Sin responsable"&amp;" · ","")&amp;IF($E167="","Sin fecha de inicio"&amp;" · ","")&amp;IF($F167="","Sin fecha límite"&amp;" · ","")&amp;IF(OR(AND($E167&lt;&gt;"",NOT(ISNUMBER($E167))),AND($F167&lt;&gt;"",NOT(ISNUMBER($F167)))),"Fecha no válida"&amp;" · ","")&amp;IF(AND(ISNUMBER($E167),ISNUMBER($F167),$E167&gt;$F167),"Inicio posterior a fecha límite"&amp;" · ","")&amp;IF(AND($S167="Macro",$G167=""),"Peso vacío"&amp;" · ","")&amp;IF(AND($S167="Macro",$G167&lt;&gt;"",OR(NOT(ISNUMBER($G167)),$G167&lt;=0,$G167&gt;1)),"Peso fuera de rango"&amp;" · ","")&amp;IF(AND($S167="Sub",$G167&lt;&gt;""),"Las subactividades no llevan peso"&amp;" · ","")&amp;IF(AND($S167="Macro",ABS(SUMIFS($G$5:$G$1000,$P$5:$P$1000,$P167,$S$5:$S$1000,"Macro")-1)&gt;0.0001),"Pesos del mes suman "&amp;TEXT(SUMIFS($G$5:$G$1000,$P$5:$P$1000,$P167,$S$5:$S$1000,"Macro"),"0%")&amp;" · ","")&amp;IF(AND(N($T167)&gt;0,COUNT($H167:$K167)&gt;0),"Con subactividades: deje vacías las semanas (se calculan solas)"&amp;" · ","")&amp;IF((COUNTIF($H167:$K167,"&gt;1")+COUNTIF($H167:$K167,"&lt;0")+COUNTA($H167:$K167)-COUNT($H167:$K167))&gt;0,"Avance fuera de rango 0-100%"&amp;" · ","")&amp;IF(OR(AND($I167&lt;&gt;"",$I167&lt;$H167),AND($J167&lt;&gt;"",$J167&lt;MAX($H167:$I167)),AND($K167&lt;&gt;"",$K167&lt;MAX($H167:$J167))),"Avance semanal decreciente"&amp;" · ","")&amp;IF(AND(ISNUMBER($F167),$F167&lt;FechaRef,N($L167)&lt;1),"Vencida"&amp;" · ","")&amp;IF(AND(ObsObligatoria="Sí",ISNUMBER($F167),$F167&lt;FechaRef,N($L167)&lt;1,$N167=""),"Vencida sin observación"&amp;" · ",""),LEN(IF(AND($S167="Macro",$B167=""),"Macroactividad vacía"&amp;" · ","")&amp;IF(AND($B167&lt;&gt;"",$C167&lt;&gt;""),"Escriba la subactividad en otra fila, debajo de su macroactividad"&amp;" · ","")&amp;IF(AND($S167="Sub",N($R167)=0),"Subactividad sin macroactividad arriba"&amp;" · ","")&amp;IF($D167="","Sin responsable"&amp;" · ","")&amp;IF($E167="","Sin fecha de inicio"&amp;" · ","")&amp;IF($F167="","Sin fecha límite"&amp;" · ","")&amp;IF(OR(AND($E167&lt;&gt;"",NOT(ISNUMBER($E167))),AND($F167&lt;&gt;"",NOT(ISNUMBER($F167)))),"Fecha no válida"&amp;" · ","")&amp;IF(AND(ISNUMBER($E167),ISNUMBER($F167),$E167&gt;$F167),"Inicio posterior a fecha límite"&amp;" · ","")&amp;IF(AND($S167="Macro",$G167=""),"Peso vacío"&amp;" · ","")&amp;IF(AND($S167="Macro",$G167&lt;&gt;"",OR(NOT(ISNUMBER($G167)),$G167&lt;=0,$G167&gt;1)),"Peso fuera de rango"&amp;" · ","")&amp;IF(AND($S167="Sub",$G167&lt;&gt;""),"Las subactividades no llevan peso"&amp;" · ","")&amp;IF(AND($S167="Macro",ABS(SUMIFS($G$5:$G$1000,$P$5:$P$1000,$P167,$S$5:$S$1000,"Macro")-1)&gt;0.0001),"Pesos del mes suman "&amp;TEXT(SUMIFS($G$5:$G$1000,$P$5:$P$1000,$P167,$S$5:$S$1000,"Macro"),"0%")&amp;" · ","")&amp;IF(AND(N($T167)&gt;0,COUNT($H167:$K167)&gt;0),"Con subactividades: deje vacías las semanas (se calculan solas)"&amp;" · ","")&amp;IF((COUNTIF($H167:$K167,"&gt;1")+COUNTIF($H167:$K167,"&lt;0")+COUNTA($H167:$K167)-COUNT($H167:$K167))&gt;0,"Avance fuera de rango 0-100%"&amp;" · ","")&amp;IF(OR(AND($I167&lt;&gt;"",$I167&lt;$H167),AND($J167&lt;&gt;"",$J167&lt;MAX($H167:$I167)),AND($K167&lt;&gt;"",$K167&lt;MAX($H167:$J167))),"Avance semanal decreciente"&amp;" · ","")&amp;IF(AND(ISNUMBER($F167),$F167&lt;FechaRef,N($L167)&lt;1),"Vencida"&amp;" · ","")&amp;IF(AND(ObsObligatoria="Sí",ISNUMBER($F167),$F167&lt;FechaRef,N($L167)&lt;1,$N167=""),"Vencida sin observación"&amp;" · ",""))-3)))</f>
        <v/>
      </c>
      <c r="P167" s="69">
        <f>IF(NOT((COUNTA($B167:$K167)+COUNTA($N167))&gt;0),"",IF(AND($S167="Sub",N($R167)&gt;0),IF(ISNUMBER(INDEX($E$5:$E$1000,$R167-4)),DATE(YEAR(INDEX($E$5:$E$1000,$R167-4)),MONTH(INDEX($E$5:$E$1000,$R167-4)),1),IF(ISNUMBER(INDEX($F$5:$F$1000,$R167-4)),DATE(YEAR(INDEX($F$5:$F$1000,$R167-4)),MONTH(INDEX($F$5:$F$1000,$R167-4)),1),MesCiclo)),IF(ISNUMBER($E167),DATE(YEAR($E167),MONTH($E167),1),IF(ISNUMBER($F167),DATE(YEAR($F167),MONTH($F167),1),MesCiclo))))</f>
        <v/>
      </c>
      <c r="Q167" s="70">
        <f>IF(OR($P167="",$P167&lt;&gt;MesCiclo),"",COUNTIF($P$5:$P167,MesCiclo))</f>
        <v/>
      </c>
      <c r="R167" s="70">
        <f>IF($S167="","",IF($S167="Macro",ROW(),IFERROR(LOOKUP(2,1/($S$5:$S167="Macro"),ROW($S$5:$S167)),0)))</f>
        <v/>
      </c>
      <c r="S167" s="70">
        <f>IF(NOT((COUNTA($B167:$K167)+COUNTA($N167))&gt;0),"",IF($B167&lt;&gt;"","Macro",IF($C167&lt;&gt;"","Sub","Macro")))</f>
        <v/>
      </c>
      <c r="T167" s="70">
        <f>IF($S167="Macro",COUNTIFS($R$5:$R$1000,ROW(),$S$5:$S$1000,"Sub"),"")</f>
        <v/>
      </c>
      <c r="U167" s="70">
        <f>IF($S167="","",IF(ISNUMBER($H167),$H167,0))</f>
        <v/>
      </c>
      <c r="V167" s="70">
        <f>IF($S167="","",IF(ISNUMBER($I167),$I167,$U167))</f>
        <v/>
      </c>
      <c r="W167" s="70">
        <f>IF($S167="","",IF(ISNUMBER($J167),$J167,$V167))</f>
        <v/>
      </c>
      <c r="X167" s="70">
        <f>IF($S167="","",IF(ISNUMBER($K167),$K167,$W167))</f>
        <v/>
      </c>
      <c r="Y167" s="70">
        <f>IF($S167="","",IF(N($T167)&gt;0,AVERAGEIFS($U$5:$U$1000,$R$5:$R$1000,ROW(),$S$5:$S$1000,"Sub"),$U167))</f>
        <v/>
      </c>
      <c r="Z167" s="70">
        <f>IF($S167="","",IF(N($T167)&gt;0,AVERAGEIFS($V$5:$V$1000,$R$5:$R$1000,ROW(),$S$5:$S$1000,"Sub"),$V167))</f>
        <v/>
      </c>
      <c r="AA167" s="70">
        <f>IF($S167="","",IF(N($T167)&gt;0,AVERAGEIFS($W$5:$W$1000,$R$5:$R$1000,ROW(),$S$5:$S$1000,"Sub"),$W167))</f>
        <v/>
      </c>
      <c r="AB167" s="70">
        <f>IF($S167="","",IF(N($T167)&gt;0,AVERAGEIFS($X$5:$X$1000,$R$5:$R$1000,ROW(),$S$5:$S$1000,"Sub"),$X167))</f>
        <v/>
      </c>
    </row>
    <row r="168">
      <c r="A168" s="61">
        <f>IF(NOT((COUNTA($B168:$K168)+COUNTA($N168))&gt;0),"",IF($S168="Macro",COUNTIFS($S$5:$S168,"Macro",$P$5:$P168,$P168),IF(N($R168)=0,"?",COUNTIFS(INDEX($S$5:$S$1000,1):INDEX($S$5:$S$1000,$R168-4),"Macro",INDEX($P$5:$P$1000,1):INDEX($P$5:$P$1000,$R168-4),INDEX($P$5:$P$1000,$R168-4))&amp;"."&amp;COUNTIFS($R$5:$R168,$R168,$S$5:$S168,"Sub"))))</f>
        <v/>
      </c>
      <c r="B168" s="62" t="n"/>
      <c r="C168" s="63" t="n"/>
      <c r="D168" s="62" t="n"/>
      <c r="E168" s="64" t="n"/>
      <c r="F168" s="64" t="n"/>
      <c r="G168" s="65" t="n"/>
      <c r="H168" s="66" t="n"/>
      <c r="I168" s="66" t="n"/>
      <c r="J168" s="66" t="n"/>
      <c r="K168" s="66" t="n"/>
      <c r="L168" s="67">
        <f>IF(NOT((COUNTA($B168:$K168)+COUNTA($N168))&gt;0),"",IF(N($T168)&gt;0,$AB168,IFERROR(LOOKUP(2,1/(H168:K168&lt;&gt;""),H168:K168),0)))</f>
        <v/>
      </c>
      <c r="M168" s="61">
        <f>IF(L168="","",IF(L168&gt;=1,"Completado",IF(L168&gt;0,"En curso","Pendiente")))</f>
        <v/>
      </c>
      <c r="N168" s="62" t="n"/>
      <c r="O168" s="68">
        <f>IF(NOT((COUNTA($B168:$K168)+COUNTA($N168))&gt;0),"",IF((IF(AND($S168="Macro",$B168=""),"Macroactividad vacía"&amp;" · ","")&amp;IF(AND($B168&lt;&gt;"",$C168&lt;&gt;""),"Escriba la subactividad en otra fila, debajo de su macroactividad"&amp;" · ","")&amp;IF(AND($S168="Sub",N($R168)=0),"Subactividad sin macroactividad arriba"&amp;" · ","")&amp;IF($D168="","Sin responsable"&amp;" · ","")&amp;IF($E168="","Sin fecha de inicio"&amp;" · ","")&amp;IF($F168="","Sin fecha límite"&amp;" · ","")&amp;IF(OR(AND($E168&lt;&gt;"",NOT(ISNUMBER($E168))),AND($F168&lt;&gt;"",NOT(ISNUMBER($F168)))),"Fecha no válida"&amp;" · ","")&amp;IF(AND(ISNUMBER($E168),ISNUMBER($F168),$E168&gt;$F168),"Inicio posterior a fecha límite"&amp;" · ","")&amp;IF(AND($S168="Macro",$G168=""),"Peso vacío"&amp;" · ","")&amp;IF(AND($S168="Macro",$G168&lt;&gt;"",OR(NOT(ISNUMBER($G168)),$G168&lt;=0,$G168&gt;1)),"Peso fuera de rango"&amp;" · ","")&amp;IF(AND($S168="Sub",$G168&lt;&gt;""),"Las subactividades no llevan peso"&amp;" · ","")&amp;IF(AND($S168="Macro",ABS(SUMIFS($G$5:$G$1000,$P$5:$P$1000,$P168,$S$5:$S$1000,"Macro")-1)&gt;0.0001),"Pesos del mes suman "&amp;TEXT(SUMIFS($G$5:$G$1000,$P$5:$P$1000,$P168,$S$5:$S$1000,"Macro"),"0%")&amp;" · ","")&amp;IF(AND(N($T168)&gt;0,COUNT($H168:$K168)&gt;0),"Con subactividades: deje vacías las semanas (se calculan solas)"&amp;" · ","")&amp;IF((COUNTIF($H168:$K168,"&gt;1")+COUNTIF($H168:$K168,"&lt;0")+COUNTA($H168:$K168)-COUNT($H168:$K168))&gt;0,"Avance fuera de rango 0-100%"&amp;" · ","")&amp;IF(OR(AND($I168&lt;&gt;"",$I168&lt;$H168),AND($J168&lt;&gt;"",$J168&lt;MAX($H168:$I168)),AND($K168&lt;&gt;"",$K168&lt;MAX($H168:$J168))),"Avance semanal decreciente"&amp;" · ","")&amp;IF(AND(ISNUMBER($F168),$F168&lt;FechaRef,N($L168)&lt;1),"Vencida"&amp;" · ","")&amp;IF(AND(ObsObligatoria="Sí",ISNUMBER($F168),$F168&lt;FechaRef,N($L168)&lt;1,$N168=""),"Vencida sin observación"&amp;" · ",""))="","✔ OK","⚠ "&amp;LEFT(IF(AND($S168="Macro",$B168=""),"Macroactividad vacía"&amp;" · ","")&amp;IF(AND($B168&lt;&gt;"",$C168&lt;&gt;""),"Escriba la subactividad en otra fila, debajo de su macroactividad"&amp;" · ","")&amp;IF(AND($S168="Sub",N($R168)=0),"Subactividad sin macroactividad arriba"&amp;" · ","")&amp;IF($D168="","Sin responsable"&amp;" · ","")&amp;IF($E168="","Sin fecha de inicio"&amp;" · ","")&amp;IF($F168="","Sin fecha límite"&amp;" · ","")&amp;IF(OR(AND($E168&lt;&gt;"",NOT(ISNUMBER($E168))),AND($F168&lt;&gt;"",NOT(ISNUMBER($F168)))),"Fecha no válida"&amp;" · ","")&amp;IF(AND(ISNUMBER($E168),ISNUMBER($F168),$E168&gt;$F168),"Inicio posterior a fecha límite"&amp;" · ","")&amp;IF(AND($S168="Macro",$G168=""),"Peso vacío"&amp;" · ","")&amp;IF(AND($S168="Macro",$G168&lt;&gt;"",OR(NOT(ISNUMBER($G168)),$G168&lt;=0,$G168&gt;1)),"Peso fuera de rango"&amp;" · ","")&amp;IF(AND($S168="Sub",$G168&lt;&gt;""),"Las subactividades no llevan peso"&amp;" · ","")&amp;IF(AND($S168="Macro",ABS(SUMIFS($G$5:$G$1000,$P$5:$P$1000,$P168,$S$5:$S$1000,"Macro")-1)&gt;0.0001),"Pesos del mes suman "&amp;TEXT(SUMIFS($G$5:$G$1000,$P$5:$P$1000,$P168,$S$5:$S$1000,"Macro"),"0%")&amp;" · ","")&amp;IF(AND(N($T168)&gt;0,COUNT($H168:$K168)&gt;0),"Con subactividades: deje vacías las semanas (se calculan solas)"&amp;" · ","")&amp;IF((COUNTIF($H168:$K168,"&gt;1")+COUNTIF($H168:$K168,"&lt;0")+COUNTA($H168:$K168)-COUNT($H168:$K168))&gt;0,"Avance fuera de rango 0-100%"&amp;" · ","")&amp;IF(OR(AND($I168&lt;&gt;"",$I168&lt;$H168),AND($J168&lt;&gt;"",$J168&lt;MAX($H168:$I168)),AND($K168&lt;&gt;"",$K168&lt;MAX($H168:$J168))),"Avance semanal decreciente"&amp;" · ","")&amp;IF(AND(ISNUMBER($F168),$F168&lt;FechaRef,N($L168)&lt;1),"Vencida"&amp;" · ","")&amp;IF(AND(ObsObligatoria="Sí",ISNUMBER($F168),$F168&lt;FechaRef,N($L168)&lt;1,$N168=""),"Vencida sin observación"&amp;" · ",""),LEN(IF(AND($S168="Macro",$B168=""),"Macroactividad vacía"&amp;" · ","")&amp;IF(AND($B168&lt;&gt;"",$C168&lt;&gt;""),"Escriba la subactividad en otra fila, debajo de su macroactividad"&amp;" · ","")&amp;IF(AND($S168="Sub",N($R168)=0),"Subactividad sin macroactividad arriba"&amp;" · ","")&amp;IF($D168="","Sin responsable"&amp;" · ","")&amp;IF($E168="","Sin fecha de inicio"&amp;" · ","")&amp;IF($F168="","Sin fecha límite"&amp;" · ","")&amp;IF(OR(AND($E168&lt;&gt;"",NOT(ISNUMBER($E168))),AND($F168&lt;&gt;"",NOT(ISNUMBER($F168)))),"Fecha no válida"&amp;" · ","")&amp;IF(AND(ISNUMBER($E168),ISNUMBER($F168),$E168&gt;$F168),"Inicio posterior a fecha límite"&amp;" · ","")&amp;IF(AND($S168="Macro",$G168=""),"Peso vacío"&amp;" · ","")&amp;IF(AND($S168="Macro",$G168&lt;&gt;"",OR(NOT(ISNUMBER($G168)),$G168&lt;=0,$G168&gt;1)),"Peso fuera de rango"&amp;" · ","")&amp;IF(AND($S168="Sub",$G168&lt;&gt;""),"Las subactividades no llevan peso"&amp;" · ","")&amp;IF(AND($S168="Macro",ABS(SUMIFS($G$5:$G$1000,$P$5:$P$1000,$P168,$S$5:$S$1000,"Macro")-1)&gt;0.0001),"Pesos del mes suman "&amp;TEXT(SUMIFS($G$5:$G$1000,$P$5:$P$1000,$P168,$S$5:$S$1000,"Macro"),"0%")&amp;" · ","")&amp;IF(AND(N($T168)&gt;0,COUNT($H168:$K168)&gt;0),"Con subactividades: deje vacías las semanas (se calculan solas)"&amp;" · ","")&amp;IF((COUNTIF($H168:$K168,"&gt;1")+COUNTIF($H168:$K168,"&lt;0")+COUNTA($H168:$K168)-COUNT($H168:$K168))&gt;0,"Avance fuera de rango 0-100%"&amp;" · ","")&amp;IF(OR(AND($I168&lt;&gt;"",$I168&lt;$H168),AND($J168&lt;&gt;"",$J168&lt;MAX($H168:$I168)),AND($K168&lt;&gt;"",$K168&lt;MAX($H168:$J168))),"Avance semanal decreciente"&amp;" · ","")&amp;IF(AND(ISNUMBER($F168),$F168&lt;FechaRef,N($L168)&lt;1),"Vencida"&amp;" · ","")&amp;IF(AND(ObsObligatoria="Sí",ISNUMBER($F168),$F168&lt;FechaRef,N($L168)&lt;1,$N168=""),"Vencida sin observación"&amp;" · ",""))-3)))</f>
        <v/>
      </c>
      <c r="P168" s="69">
        <f>IF(NOT((COUNTA($B168:$K168)+COUNTA($N168))&gt;0),"",IF(AND($S168="Sub",N($R168)&gt;0),IF(ISNUMBER(INDEX($E$5:$E$1000,$R168-4)),DATE(YEAR(INDEX($E$5:$E$1000,$R168-4)),MONTH(INDEX($E$5:$E$1000,$R168-4)),1),IF(ISNUMBER(INDEX($F$5:$F$1000,$R168-4)),DATE(YEAR(INDEX($F$5:$F$1000,$R168-4)),MONTH(INDEX($F$5:$F$1000,$R168-4)),1),MesCiclo)),IF(ISNUMBER($E168),DATE(YEAR($E168),MONTH($E168),1),IF(ISNUMBER($F168),DATE(YEAR($F168),MONTH($F168),1),MesCiclo))))</f>
        <v/>
      </c>
      <c r="Q168" s="70">
        <f>IF(OR($P168="",$P168&lt;&gt;MesCiclo),"",COUNTIF($P$5:$P168,MesCiclo))</f>
        <v/>
      </c>
      <c r="R168" s="70">
        <f>IF($S168="","",IF($S168="Macro",ROW(),IFERROR(LOOKUP(2,1/($S$5:$S168="Macro"),ROW($S$5:$S168)),0)))</f>
        <v/>
      </c>
      <c r="S168" s="70">
        <f>IF(NOT((COUNTA($B168:$K168)+COUNTA($N168))&gt;0),"",IF($B168&lt;&gt;"","Macro",IF($C168&lt;&gt;"","Sub","Macro")))</f>
        <v/>
      </c>
      <c r="T168" s="70">
        <f>IF($S168="Macro",COUNTIFS($R$5:$R$1000,ROW(),$S$5:$S$1000,"Sub"),"")</f>
        <v/>
      </c>
      <c r="U168" s="70">
        <f>IF($S168="","",IF(ISNUMBER($H168),$H168,0))</f>
        <v/>
      </c>
      <c r="V168" s="70">
        <f>IF($S168="","",IF(ISNUMBER($I168),$I168,$U168))</f>
        <v/>
      </c>
      <c r="W168" s="70">
        <f>IF($S168="","",IF(ISNUMBER($J168),$J168,$V168))</f>
        <v/>
      </c>
      <c r="X168" s="70">
        <f>IF($S168="","",IF(ISNUMBER($K168),$K168,$W168))</f>
        <v/>
      </c>
      <c r="Y168" s="70">
        <f>IF($S168="","",IF(N($T168)&gt;0,AVERAGEIFS($U$5:$U$1000,$R$5:$R$1000,ROW(),$S$5:$S$1000,"Sub"),$U168))</f>
        <v/>
      </c>
      <c r="Z168" s="70">
        <f>IF($S168="","",IF(N($T168)&gt;0,AVERAGEIFS($V$5:$V$1000,$R$5:$R$1000,ROW(),$S$5:$S$1000,"Sub"),$V168))</f>
        <v/>
      </c>
      <c r="AA168" s="70">
        <f>IF($S168="","",IF(N($T168)&gt;0,AVERAGEIFS($W$5:$W$1000,$R$5:$R$1000,ROW(),$S$5:$S$1000,"Sub"),$W168))</f>
        <v/>
      </c>
      <c r="AB168" s="70">
        <f>IF($S168="","",IF(N($T168)&gt;0,AVERAGEIFS($X$5:$X$1000,$R$5:$R$1000,ROW(),$S$5:$S$1000,"Sub"),$X168))</f>
        <v/>
      </c>
    </row>
    <row r="169">
      <c r="A169" s="61">
        <f>IF(NOT((COUNTA($B169:$K169)+COUNTA($N169))&gt;0),"",IF($S169="Macro",COUNTIFS($S$5:$S169,"Macro",$P$5:$P169,$P169),IF(N($R169)=0,"?",COUNTIFS(INDEX($S$5:$S$1000,1):INDEX($S$5:$S$1000,$R169-4),"Macro",INDEX($P$5:$P$1000,1):INDEX($P$5:$P$1000,$R169-4),INDEX($P$5:$P$1000,$R169-4))&amp;"."&amp;COUNTIFS($R$5:$R169,$R169,$S$5:$S169,"Sub"))))</f>
        <v/>
      </c>
      <c r="B169" s="62" t="n"/>
      <c r="C169" s="63" t="n"/>
      <c r="D169" s="62" t="n"/>
      <c r="E169" s="64" t="n"/>
      <c r="F169" s="64" t="n"/>
      <c r="G169" s="65" t="n"/>
      <c r="H169" s="66" t="n"/>
      <c r="I169" s="66" t="n"/>
      <c r="J169" s="66" t="n"/>
      <c r="K169" s="66" t="n"/>
      <c r="L169" s="67">
        <f>IF(NOT((COUNTA($B169:$K169)+COUNTA($N169))&gt;0),"",IF(N($T169)&gt;0,$AB169,IFERROR(LOOKUP(2,1/(H169:K169&lt;&gt;""),H169:K169),0)))</f>
        <v/>
      </c>
      <c r="M169" s="61">
        <f>IF(L169="","",IF(L169&gt;=1,"Completado",IF(L169&gt;0,"En curso","Pendiente")))</f>
        <v/>
      </c>
      <c r="N169" s="62" t="n"/>
      <c r="O169" s="68">
        <f>IF(NOT((COUNTA($B169:$K169)+COUNTA($N169))&gt;0),"",IF((IF(AND($S169="Macro",$B169=""),"Macroactividad vacía"&amp;" · ","")&amp;IF(AND($B169&lt;&gt;"",$C169&lt;&gt;""),"Escriba la subactividad en otra fila, debajo de su macroactividad"&amp;" · ","")&amp;IF(AND($S169="Sub",N($R169)=0),"Subactividad sin macroactividad arriba"&amp;" · ","")&amp;IF($D169="","Sin responsable"&amp;" · ","")&amp;IF($E169="","Sin fecha de inicio"&amp;" · ","")&amp;IF($F169="","Sin fecha límite"&amp;" · ","")&amp;IF(OR(AND($E169&lt;&gt;"",NOT(ISNUMBER($E169))),AND($F169&lt;&gt;"",NOT(ISNUMBER($F169)))),"Fecha no válida"&amp;" · ","")&amp;IF(AND(ISNUMBER($E169),ISNUMBER($F169),$E169&gt;$F169),"Inicio posterior a fecha límite"&amp;" · ","")&amp;IF(AND($S169="Macro",$G169=""),"Peso vacío"&amp;" · ","")&amp;IF(AND($S169="Macro",$G169&lt;&gt;"",OR(NOT(ISNUMBER($G169)),$G169&lt;=0,$G169&gt;1)),"Peso fuera de rango"&amp;" · ","")&amp;IF(AND($S169="Sub",$G169&lt;&gt;""),"Las subactividades no llevan peso"&amp;" · ","")&amp;IF(AND($S169="Macro",ABS(SUMIFS($G$5:$G$1000,$P$5:$P$1000,$P169,$S$5:$S$1000,"Macro")-1)&gt;0.0001),"Pesos del mes suman "&amp;TEXT(SUMIFS($G$5:$G$1000,$P$5:$P$1000,$P169,$S$5:$S$1000,"Macro"),"0%")&amp;" · ","")&amp;IF(AND(N($T169)&gt;0,COUNT($H169:$K169)&gt;0),"Con subactividades: deje vacías las semanas (se calculan solas)"&amp;" · ","")&amp;IF((COUNTIF($H169:$K169,"&gt;1")+COUNTIF($H169:$K169,"&lt;0")+COUNTA($H169:$K169)-COUNT($H169:$K169))&gt;0,"Avance fuera de rango 0-100%"&amp;" · ","")&amp;IF(OR(AND($I169&lt;&gt;"",$I169&lt;$H169),AND($J169&lt;&gt;"",$J169&lt;MAX($H169:$I169)),AND($K169&lt;&gt;"",$K169&lt;MAX($H169:$J169))),"Avance semanal decreciente"&amp;" · ","")&amp;IF(AND(ISNUMBER($F169),$F169&lt;FechaRef,N($L169)&lt;1),"Vencida"&amp;" · ","")&amp;IF(AND(ObsObligatoria="Sí",ISNUMBER($F169),$F169&lt;FechaRef,N($L169)&lt;1,$N169=""),"Vencida sin observación"&amp;" · ",""))="","✔ OK","⚠ "&amp;LEFT(IF(AND($S169="Macro",$B169=""),"Macroactividad vacía"&amp;" · ","")&amp;IF(AND($B169&lt;&gt;"",$C169&lt;&gt;""),"Escriba la subactividad en otra fila, debajo de su macroactividad"&amp;" · ","")&amp;IF(AND($S169="Sub",N($R169)=0),"Subactividad sin macroactividad arriba"&amp;" · ","")&amp;IF($D169="","Sin responsable"&amp;" · ","")&amp;IF($E169="","Sin fecha de inicio"&amp;" · ","")&amp;IF($F169="","Sin fecha límite"&amp;" · ","")&amp;IF(OR(AND($E169&lt;&gt;"",NOT(ISNUMBER($E169))),AND($F169&lt;&gt;"",NOT(ISNUMBER($F169)))),"Fecha no válida"&amp;" · ","")&amp;IF(AND(ISNUMBER($E169),ISNUMBER($F169),$E169&gt;$F169),"Inicio posterior a fecha límite"&amp;" · ","")&amp;IF(AND($S169="Macro",$G169=""),"Peso vacío"&amp;" · ","")&amp;IF(AND($S169="Macro",$G169&lt;&gt;"",OR(NOT(ISNUMBER($G169)),$G169&lt;=0,$G169&gt;1)),"Peso fuera de rango"&amp;" · ","")&amp;IF(AND($S169="Sub",$G169&lt;&gt;""),"Las subactividades no llevan peso"&amp;" · ","")&amp;IF(AND($S169="Macro",ABS(SUMIFS($G$5:$G$1000,$P$5:$P$1000,$P169,$S$5:$S$1000,"Macro")-1)&gt;0.0001),"Pesos del mes suman "&amp;TEXT(SUMIFS($G$5:$G$1000,$P$5:$P$1000,$P169,$S$5:$S$1000,"Macro"),"0%")&amp;" · ","")&amp;IF(AND(N($T169)&gt;0,COUNT($H169:$K169)&gt;0),"Con subactividades: deje vacías las semanas (se calculan solas)"&amp;" · ","")&amp;IF((COUNTIF($H169:$K169,"&gt;1")+COUNTIF($H169:$K169,"&lt;0")+COUNTA($H169:$K169)-COUNT($H169:$K169))&gt;0,"Avance fuera de rango 0-100%"&amp;" · ","")&amp;IF(OR(AND($I169&lt;&gt;"",$I169&lt;$H169),AND($J169&lt;&gt;"",$J169&lt;MAX($H169:$I169)),AND($K169&lt;&gt;"",$K169&lt;MAX($H169:$J169))),"Avance semanal decreciente"&amp;" · ","")&amp;IF(AND(ISNUMBER($F169),$F169&lt;FechaRef,N($L169)&lt;1),"Vencida"&amp;" · ","")&amp;IF(AND(ObsObligatoria="Sí",ISNUMBER($F169),$F169&lt;FechaRef,N($L169)&lt;1,$N169=""),"Vencida sin observación"&amp;" · ",""),LEN(IF(AND($S169="Macro",$B169=""),"Macroactividad vacía"&amp;" · ","")&amp;IF(AND($B169&lt;&gt;"",$C169&lt;&gt;""),"Escriba la subactividad en otra fila, debajo de su macroactividad"&amp;" · ","")&amp;IF(AND($S169="Sub",N($R169)=0),"Subactividad sin macroactividad arriba"&amp;" · ","")&amp;IF($D169="","Sin responsable"&amp;" · ","")&amp;IF($E169="","Sin fecha de inicio"&amp;" · ","")&amp;IF($F169="","Sin fecha límite"&amp;" · ","")&amp;IF(OR(AND($E169&lt;&gt;"",NOT(ISNUMBER($E169))),AND($F169&lt;&gt;"",NOT(ISNUMBER($F169)))),"Fecha no válida"&amp;" · ","")&amp;IF(AND(ISNUMBER($E169),ISNUMBER($F169),$E169&gt;$F169),"Inicio posterior a fecha límite"&amp;" · ","")&amp;IF(AND($S169="Macro",$G169=""),"Peso vacío"&amp;" · ","")&amp;IF(AND($S169="Macro",$G169&lt;&gt;"",OR(NOT(ISNUMBER($G169)),$G169&lt;=0,$G169&gt;1)),"Peso fuera de rango"&amp;" · ","")&amp;IF(AND($S169="Sub",$G169&lt;&gt;""),"Las subactividades no llevan peso"&amp;" · ","")&amp;IF(AND($S169="Macro",ABS(SUMIFS($G$5:$G$1000,$P$5:$P$1000,$P169,$S$5:$S$1000,"Macro")-1)&gt;0.0001),"Pesos del mes suman "&amp;TEXT(SUMIFS($G$5:$G$1000,$P$5:$P$1000,$P169,$S$5:$S$1000,"Macro"),"0%")&amp;" · ","")&amp;IF(AND(N($T169)&gt;0,COUNT($H169:$K169)&gt;0),"Con subactividades: deje vacías las semanas (se calculan solas)"&amp;" · ","")&amp;IF((COUNTIF($H169:$K169,"&gt;1")+COUNTIF($H169:$K169,"&lt;0")+COUNTA($H169:$K169)-COUNT($H169:$K169))&gt;0,"Avance fuera de rango 0-100%"&amp;" · ","")&amp;IF(OR(AND($I169&lt;&gt;"",$I169&lt;$H169),AND($J169&lt;&gt;"",$J169&lt;MAX($H169:$I169)),AND($K169&lt;&gt;"",$K169&lt;MAX($H169:$J169))),"Avance semanal decreciente"&amp;" · ","")&amp;IF(AND(ISNUMBER($F169),$F169&lt;FechaRef,N($L169)&lt;1),"Vencida"&amp;" · ","")&amp;IF(AND(ObsObligatoria="Sí",ISNUMBER($F169),$F169&lt;FechaRef,N($L169)&lt;1,$N169=""),"Vencida sin observación"&amp;" · ",""))-3)))</f>
        <v/>
      </c>
      <c r="P169" s="69">
        <f>IF(NOT((COUNTA($B169:$K169)+COUNTA($N169))&gt;0),"",IF(AND($S169="Sub",N($R169)&gt;0),IF(ISNUMBER(INDEX($E$5:$E$1000,$R169-4)),DATE(YEAR(INDEX($E$5:$E$1000,$R169-4)),MONTH(INDEX($E$5:$E$1000,$R169-4)),1),IF(ISNUMBER(INDEX($F$5:$F$1000,$R169-4)),DATE(YEAR(INDEX($F$5:$F$1000,$R169-4)),MONTH(INDEX($F$5:$F$1000,$R169-4)),1),MesCiclo)),IF(ISNUMBER($E169),DATE(YEAR($E169),MONTH($E169),1),IF(ISNUMBER($F169),DATE(YEAR($F169),MONTH($F169),1),MesCiclo))))</f>
        <v/>
      </c>
      <c r="Q169" s="70">
        <f>IF(OR($P169="",$P169&lt;&gt;MesCiclo),"",COUNTIF($P$5:$P169,MesCiclo))</f>
        <v/>
      </c>
      <c r="R169" s="70">
        <f>IF($S169="","",IF($S169="Macro",ROW(),IFERROR(LOOKUP(2,1/($S$5:$S169="Macro"),ROW($S$5:$S169)),0)))</f>
        <v/>
      </c>
      <c r="S169" s="70">
        <f>IF(NOT((COUNTA($B169:$K169)+COUNTA($N169))&gt;0),"",IF($B169&lt;&gt;"","Macro",IF($C169&lt;&gt;"","Sub","Macro")))</f>
        <v/>
      </c>
      <c r="T169" s="70">
        <f>IF($S169="Macro",COUNTIFS($R$5:$R$1000,ROW(),$S$5:$S$1000,"Sub"),"")</f>
        <v/>
      </c>
      <c r="U169" s="70">
        <f>IF($S169="","",IF(ISNUMBER($H169),$H169,0))</f>
        <v/>
      </c>
      <c r="V169" s="70">
        <f>IF($S169="","",IF(ISNUMBER($I169),$I169,$U169))</f>
        <v/>
      </c>
      <c r="W169" s="70">
        <f>IF($S169="","",IF(ISNUMBER($J169),$J169,$V169))</f>
        <v/>
      </c>
      <c r="X169" s="70">
        <f>IF($S169="","",IF(ISNUMBER($K169),$K169,$W169))</f>
        <v/>
      </c>
      <c r="Y169" s="70">
        <f>IF($S169="","",IF(N($T169)&gt;0,AVERAGEIFS($U$5:$U$1000,$R$5:$R$1000,ROW(),$S$5:$S$1000,"Sub"),$U169))</f>
        <v/>
      </c>
      <c r="Z169" s="70">
        <f>IF($S169="","",IF(N($T169)&gt;0,AVERAGEIFS($V$5:$V$1000,$R$5:$R$1000,ROW(),$S$5:$S$1000,"Sub"),$V169))</f>
        <v/>
      </c>
      <c r="AA169" s="70">
        <f>IF($S169="","",IF(N($T169)&gt;0,AVERAGEIFS($W$5:$W$1000,$R$5:$R$1000,ROW(),$S$5:$S$1000,"Sub"),$W169))</f>
        <v/>
      </c>
      <c r="AB169" s="70">
        <f>IF($S169="","",IF(N($T169)&gt;0,AVERAGEIFS($X$5:$X$1000,$R$5:$R$1000,ROW(),$S$5:$S$1000,"Sub"),$X169))</f>
        <v/>
      </c>
    </row>
    <row r="170">
      <c r="A170" s="61">
        <f>IF(NOT((COUNTA($B170:$K170)+COUNTA($N170))&gt;0),"",IF($S170="Macro",COUNTIFS($S$5:$S170,"Macro",$P$5:$P170,$P170),IF(N($R170)=0,"?",COUNTIFS(INDEX($S$5:$S$1000,1):INDEX($S$5:$S$1000,$R170-4),"Macro",INDEX($P$5:$P$1000,1):INDEX($P$5:$P$1000,$R170-4),INDEX($P$5:$P$1000,$R170-4))&amp;"."&amp;COUNTIFS($R$5:$R170,$R170,$S$5:$S170,"Sub"))))</f>
        <v/>
      </c>
      <c r="B170" s="62" t="n"/>
      <c r="C170" s="63" t="n"/>
      <c r="D170" s="62" t="n"/>
      <c r="E170" s="64" t="n"/>
      <c r="F170" s="64" t="n"/>
      <c r="G170" s="65" t="n"/>
      <c r="H170" s="66" t="n"/>
      <c r="I170" s="66" t="n"/>
      <c r="J170" s="66" t="n"/>
      <c r="K170" s="66" t="n"/>
      <c r="L170" s="67">
        <f>IF(NOT((COUNTA($B170:$K170)+COUNTA($N170))&gt;0),"",IF(N($T170)&gt;0,$AB170,IFERROR(LOOKUP(2,1/(H170:K170&lt;&gt;""),H170:K170),0)))</f>
        <v/>
      </c>
      <c r="M170" s="61">
        <f>IF(L170="","",IF(L170&gt;=1,"Completado",IF(L170&gt;0,"En curso","Pendiente")))</f>
        <v/>
      </c>
      <c r="N170" s="62" t="n"/>
      <c r="O170" s="68">
        <f>IF(NOT((COUNTA($B170:$K170)+COUNTA($N170))&gt;0),"",IF((IF(AND($S170="Macro",$B170=""),"Macroactividad vacía"&amp;" · ","")&amp;IF(AND($B170&lt;&gt;"",$C170&lt;&gt;""),"Escriba la subactividad en otra fila, debajo de su macroactividad"&amp;" · ","")&amp;IF(AND($S170="Sub",N($R170)=0),"Subactividad sin macroactividad arriba"&amp;" · ","")&amp;IF($D170="","Sin responsable"&amp;" · ","")&amp;IF($E170="","Sin fecha de inicio"&amp;" · ","")&amp;IF($F170="","Sin fecha límite"&amp;" · ","")&amp;IF(OR(AND($E170&lt;&gt;"",NOT(ISNUMBER($E170))),AND($F170&lt;&gt;"",NOT(ISNUMBER($F170)))),"Fecha no válida"&amp;" · ","")&amp;IF(AND(ISNUMBER($E170),ISNUMBER($F170),$E170&gt;$F170),"Inicio posterior a fecha límite"&amp;" · ","")&amp;IF(AND($S170="Macro",$G170=""),"Peso vacío"&amp;" · ","")&amp;IF(AND($S170="Macro",$G170&lt;&gt;"",OR(NOT(ISNUMBER($G170)),$G170&lt;=0,$G170&gt;1)),"Peso fuera de rango"&amp;" · ","")&amp;IF(AND($S170="Sub",$G170&lt;&gt;""),"Las subactividades no llevan peso"&amp;" · ","")&amp;IF(AND($S170="Macro",ABS(SUMIFS($G$5:$G$1000,$P$5:$P$1000,$P170,$S$5:$S$1000,"Macro")-1)&gt;0.0001),"Pesos del mes suman "&amp;TEXT(SUMIFS($G$5:$G$1000,$P$5:$P$1000,$P170,$S$5:$S$1000,"Macro"),"0%")&amp;" · ","")&amp;IF(AND(N($T170)&gt;0,COUNT($H170:$K170)&gt;0),"Con subactividades: deje vacías las semanas (se calculan solas)"&amp;" · ","")&amp;IF((COUNTIF($H170:$K170,"&gt;1")+COUNTIF($H170:$K170,"&lt;0")+COUNTA($H170:$K170)-COUNT($H170:$K170))&gt;0,"Avance fuera de rango 0-100%"&amp;" · ","")&amp;IF(OR(AND($I170&lt;&gt;"",$I170&lt;$H170),AND($J170&lt;&gt;"",$J170&lt;MAX($H170:$I170)),AND($K170&lt;&gt;"",$K170&lt;MAX($H170:$J170))),"Avance semanal decreciente"&amp;" · ","")&amp;IF(AND(ISNUMBER($F170),$F170&lt;FechaRef,N($L170)&lt;1),"Vencida"&amp;" · ","")&amp;IF(AND(ObsObligatoria="Sí",ISNUMBER($F170),$F170&lt;FechaRef,N($L170)&lt;1,$N170=""),"Vencida sin observación"&amp;" · ",""))="","✔ OK","⚠ "&amp;LEFT(IF(AND($S170="Macro",$B170=""),"Macroactividad vacía"&amp;" · ","")&amp;IF(AND($B170&lt;&gt;"",$C170&lt;&gt;""),"Escriba la subactividad en otra fila, debajo de su macroactividad"&amp;" · ","")&amp;IF(AND($S170="Sub",N($R170)=0),"Subactividad sin macroactividad arriba"&amp;" · ","")&amp;IF($D170="","Sin responsable"&amp;" · ","")&amp;IF($E170="","Sin fecha de inicio"&amp;" · ","")&amp;IF($F170="","Sin fecha límite"&amp;" · ","")&amp;IF(OR(AND($E170&lt;&gt;"",NOT(ISNUMBER($E170))),AND($F170&lt;&gt;"",NOT(ISNUMBER($F170)))),"Fecha no válida"&amp;" · ","")&amp;IF(AND(ISNUMBER($E170),ISNUMBER($F170),$E170&gt;$F170),"Inicio posterior a fecha límite"&amp;" · ","")&amp;IF(AND($S170="Macro",$G170=""),"Peso vacío"&amp;" · ","")&amp;IF(AND($S170="Macro",$G170&lt;&gt;"",OR(NOT(ISNUMBER($G170)),$G170&lt;=0,$G170&gt;1)),"Peso fuera de rango"&amp;" · ","")&amp;IF(AND($S170="Sub",$G170&lt;&gt;""),"Las subactividades no llevan peso"&amp;" · ","")&amp;IF(AND($S170="Macro",ABS(SUMIFS($G$5:$G$1000,$P$5:$P$1000,$P170,$S$5:$S$1000,"Macro")-1)&gt;0.0001),"Pesos del mes suman "&amp;TEXT(SUMIFS($G$5:$G$1000,$P$5:$P$1000,$P170,$S$5:$S$1000,"Macro"),"0%")&amp;" · ","")&amp;IF(AND(N($T170)&gt;0,COUNT($H170:$K170)&gt;0),"Con subactividades: deje vacías las semanas (se calculan solas)"&amp;" · ","")&amp;IF((COUNTIF($H170:$K170,"&gt;1")+COUNTIF($H170:$K170,"&lt;0")+COUNTA($H170:$K170)-COUNT($H170:$K170))&gt;0,"Avance fuera de rango 0-100%"&amp;" · ","")&amp;IF(OR(AND($I170&lt;&gt;"",$I170&lt;$H170),AND($J170&lt;&gt;"",$J170&lt;MAX($H170:$I170)),AND($K170&lt;&gt;"",$K170&lt;MAX($H170:$J170))),"Avance semanal decreciente"&amp;" · ","")&amp;IF(AND(ISNUMBER($F170),$F170&lt;FechaRef,N($L170)&lt;1),"Vencida"&amp;" · ","")&amp;IF(AND(ObsObligatoria="Sí",ISNUMBER($F170),$F170&lt;FechaRef,N($L170)&lt;1,$N170=""),"Vencida sin observación"&amp;" · ",""),LEN(IF(AND($S170="Macro",$B170=""),"Macroactividad vacía"&amp;" · ","")&amp;IF(AND($B170&lt;&gt;"",$C170&lt;&gt;""),"Escriba la subactividad en otra fila, debajo de su macroactividad"&amp;" · ","")&amp;IF(AND($S170="Sub",N($R170)=0),"Subactividad sin macroactividad arriba"&amp;" · ","")&amp;IF($D170="","Sin responsable"&amp;" · ","")&amp;IF($E170="","Sin fecha de inicio"&amp;" · ","")&amp;IF($F170="","Sin fecha límite"&amp;" · ","")&amp;IF(OR(AND($E170&lt;&gt;"",NOT(ISNUMBER($E170))),AND($F170&lt;&gt;"",NOT(ISNUMBER($F170)))),"Fecha no válida"&amp;" · ","")&amp;IF(AND(ISNUMBER($E170),ISNUMBER($F170),$E170&gt;$F170),"Inicio posterior a fecha límite"&amp;" · ","")&amp;IF(AND($S170="Macro",$G170=""),"Peso vacío"&amp;" · ","")&amp;IF(AND($S170="Macro",$G170&lt;&gt;"",OR(NOT(ISNUMBER($G170)),$G170&lt;=0,$G170&gt;1)),"Peso fuera de rango"&amp;" · ","")&amp;IF(AND($S170="Sub",$G170&lt;&gt;""),"Las subactividades no llevan peso"&amp;" · ","")&amp;IF(AND($S170="Macro",ABS(SUMIFS($G$5:$G$1000,$P$5:$P$1000,$P170,$S$5:$S$1000,"Macro")-1)&gt;0.0001),"Pesos del mes suman "&amp;TEXT(SUMIFS($G$5:$G$1000,$P$5:$P$1000,$P170,$S$5:$S$1000,"Macro"),"0%")&amp;" · ","")&amp;IF(AND(N($T170)&gt;0,COUNT($H170:$K170)&gt;0),"Con subactividades: deje vacías las semanas (se calculan solas)"&amp;" · ","")&amp;IF((COUNTIF($H170:$K170,"&gt;1")+COUNTIF($H170:$K170,"&lt;0")+COUNTA($H170:$K170)-COUNT($H170:$K170))&gt;0,"Avance fuera de rango 0-100%"&amp;" · ","")&amp;IF(OR(AND($I170&lt;&gt;"",$I170&lt;$H170),AND($J170&lt;&gt;"",$J170&lt;MAX($H170:$I170)),AND($K170&lt;&gt;"",$K170&lt;MAX($H170:$J170))),"Avance semanal decreciente"&amp;" · ","")&amp;IF(AND(ISNUMBER($F170),$F170&lt;FechaRef,N($L170)&lt;1),"Vencida"&amp;" · ","")&amp;IF(AND(ObsObligatoria="Sí",ISNUMBER($F170),$F170&lt;FechaRef,N($L170)&lt;1,$N170=""),"Vencida sin observación"&amp;" · ",""))-3)))</f>
        <v/>
      </c>
      <c r="P170" s="69">
        <f>IF(NOT((COUNTA($B170:$K170)+COUNTA($N170))&gt;0),"",IF(AND($S170="Sub",N($R170)&gt;0),IF(ISNUMBER(INDEX($E$5:$E$1000,$R170-4)),DATE(YEAR(INDEX($E$5:$E$1000,$R170-4)),MONTH(INDEX($E$5:$E$1000,$R170-4)),1),IF(ISNUMBER(INDEX($F$5:$F$1000,$R170-4)),DATE(YEAR(INDEX($F$5:$F$1000,$R170-4)),MONTH(INDEX($F$5:$F$1000,$R170-4)),1),MesCiclo)),IF(ISNUMBER($E170),DATE(YEAR($E170),MONTH($E170),1),IF(ISNUMBER($F170),DATE(YEAR($F170),MONTH($F170),1),MesCiclo))))</f>
        <v/>
      </c>
      <c r="Q170" s="70">
        <f>IF(OR($P170="",$P170&lt;&gt;MesCiclo),"",COUNTIF($P$5:$P170,MesCiclo))</f>
        <v/>
      </c>
      <c r="R170" s="70">
        <f>IF($S170="","",IF($S170="Macro",ROW(),IFERROR(LOOKUP(2,1/($S$5:$S170="Macro"),ROW($S$5:$S170)),0)))</f>
        <v/>
      </c>
      <c r="S170" s="70">
        <f>IF(NOT((COUNTA($B170:$K170)+COUNTA($N170))&gt;0),"",IF($B170&lt;&gt;"","Macro",IF($C170&lt;&gt;"","Sub","Macro")))</f>
        <v/>
      </c>
      <c r="T170" s="70">
        <f>IF($S170="Macro",COUNTIFS($R$5:$R$1000,ROW(),$S$5:$S$1000,"Sub"),"")</f>
        <v/>
      </c>
      <c r="U170" s="70">
        <f>IF($S170="","",IF(ISNUMBER($H170),$H170,0))</f>
        <v/>
      </c>
      <c r="V170" s="70">
        <f>IF($S170="","",IF(ISNUMBER($I170),$I170,$U170))</f>
        <v/>
      </c>
      <c r="W170" s="70">
        <f>IF($S170="","",IF(ISNUMBER($J170),$J170,$V170))</f>
        <v/>
      </c>
      <c r="X170" s="70">
        <f>IF($S170="","",IF(ISNUMBER($K170),$K170,$W170))</f>
        <v/>
      </c>
      <c r="Y170" s="70">
        <f>IF($S170="","",IF(N($T170)&gt;0,AVERAGEIFS($U$5:$U$1000,$R$5:$R$1000,ROW(),$S$5:$S$1000,"Sub"),$U170))</f>
        <v/>
      </c>
      <c r="Z170" s="70">
        <f>IF($S170="","",IF(N($T170)&gt;0,AVERAGEIFS($V$5:$V$1000,$R$5:$R$1000,ROW(),$S$5:$S$1000,"Sub"),$V170))</f>
        <v/>
      </c>
      <c r="AA170" s="70">
        <f>IF($S170="","",IF(N($T170)&gt;0,AVERAGEIFS($W$5:$W$1000,$R$5:$R$1000,ROW(),$S$5:$S$1000,"Sub"),$W170))</f>
        <v/>
      </c>
      <c r="AB170" s="70">
        <f>IF($S170="","",IF(N($T170)&gt;0,AVERAGEIFS($X$5:$X$1000,$R$5:$R$1000,ROW(),$S$5:$S$1000,"Sub"),$X170))</f>
        <v/>
      </c>
    </row>
    <row r="171">
      <c r="A171" s="61">
        <f>IF(NOT((COUNTA($B171:$K171)+COUNTA($N171))&gt;0),"",IF($S171="Macro",COUNTIFS($S$5:$S171,"Macro",$P$5:$P171,$P171),IF(N($R171)=0,"?",COUNTIFS(INDEX($S$5:$S$1000,1):INDEX($S$5:$S$1000,$R171-4),"Macro",INDEX($P$5:$P$1000,1):INDEX($P$5:$P$1000,$R171-4),INDEX($P$5:$P$1000,$R171-4))&amp;"."&amp;COUNTIFS($R$5:$R171,$R171,$S$5:$S171,"Sub"))))</f>
        <v/>
      </c>
      <c r="B171" s="62" t="n"/>
      <c r="C171" s="63" t="n"/>
      <c r="D171" s="62" t="n"/>
      <c r="E171" s="64" t="n"/>
      <c r="F171" s="64" t="n"/>
      <c r="G171" s="65" t="n"/>
      <c r="H171" s="66" t="n"/>
      <c r="I171" s="66" t="n"/>
      <c r="J171" s="66" t="n"/>
      <c r="K171" s="66" t="n"/>
      <c r="L171" s="67">
        <f>IF(NOT((COUNTA($B171:$K171)+COUNTA($N171))&gt;0),"",IF(N($T171)&gt;0,$AB171,IFERROR(LOOKUP(2,1/(H171:K171&lt;&gt;""),H171:K171),0)))</f>
        <v/>
      </c>
      <c r="M171" s="61">
        <f>IF(L171="","",IF(L171&gt;=1,"Completado",IF(L171&gt;0,"En curso","Pendiente")))</f>
        <v/>
      </c>
      <c r="N171" s="62" t="n"/>
      <c r="O171" s="68">
        <f>IF(NOT((COUNTA($B171:$K171)+COUNTA($N171))&gt;0),"",IF((IF(AND($S171="Macro",$B171=""),"Macroactividad vacía"&amp;" · ","")&amp;IF(AND($B171&lt;&gt;"",$C171&lt;&gt;""),"Escriba la subactividad en otra fila, debajo de su macroactividad"&amp;" · ","")&amp;IF(AND($S171="Sub",N($R171)=0),"Subactividad sin macroactividad arriba"&amp;" · ","")&amp;IF($D171="","Sin responsable"&amp;" · ","")&amp;IF($E171="","Sin fecha de inicio"&amp;" · ","")&amp;IF($F171="","Sin fecha límite"&amp;" · ","")&amp;IF(OR(AND($E171&lt;&gt;"",NOT(ISNUMBER($E171))),AND($F171&lt;&gt;"",NOT(ISNUMBER($F171)))),"Fecha no válida"&amp;" · ","")&amp;IF(AND(ISNUMBER($E171),ISNUMBER($F171),$E171&gt;$F171),"Inicio posterior a fecha límite"&amp;" · ","")&amp;IF(AND($S171="Macro",$G171=""),"Peso vacío"&amp;" · ","")&amp;IF(AND($S171="Macro",$G171&lt;&gt;"",OR(NOT(ISNUMBER($G171)),$G171&lt;=0,$G171&gt;1)),"Peso fuera de rango"&amp;" · ","")&amp;IF(AND($S171="Sub",$G171&lt;&gt;""),"Las subactividades no llevan peso"&amp;" · ","")&amp;IF(AND($S171="Macro",ABS(SUMIFS($G$5:$G$1000,$P$5:$P$1000,$P171,$S$5:$S$1000,"Macro")-1)&gt;0.0001),"Pesos del mes suman "&amp;TEXT(SUMIFS($G$5:$G$1000,$P$5:$P$1000,$P171,$S$5:$S$1000,"Macro"),"0%")&amp;" · ","")&amp;IF(AND(N($T171)&gt;0,COUNT($H171:$K171)&gt;0),"Con subactividades: deje vacías las semanas (se calculan solas)"&amp;" · ","")&amp;IF((COUNTIF($H171:$K171,"&gt;1")+COUNTIF($H171:$K171,"&lt;0")+COUNTA($H171:$K171)-COUNT($H171:$K171))&gt;0,"Avance fuera de rango 0-100%"&amp;" · ","")&amp;IF(OR(AND($I171&lt;&gt;"",$I171&lt;$H171),AND($J171&lt;&gt;"",$J171&lt;MAX($H171:$I171)),AND($K171&lt;&gt;"",$K171&lt;MAX($H171:$J171))),"Avance semanal decreciente"&amp;" · ","")&amp;IF(AND(ISNUMBER($F171),$F171&lt;FechaRef,N($L171)&lt;1),"Vencida"&amp;" · ","")&amp;IF(AND(ObsObligatoria="Sí",ISNUMBER($F171),$F171&lt;FechaRef,N($L171)&lt;1,$N171=""),"Vencida sin observación"&amp;" · ",""))="","✔ OK","⚠ "&amp;LEFT(IF(AND($S171="Macro",$B171=""),"Macroactividad vacía"&amp;" · ","")&amp;IF(AND($B171&lt;&gt;"",$C171&lt;&gt;""),"Escriba la subactividad en otra fila, debajo de su macroactividad"&amp;" · ","")&amp;IF(AND($S171="Sub",N($R171)=0),"Subactividad sin macroactividad arriba"&amp;" · ","")&amp;IF($D171="","Sin responsable"&amp;" · ","")&amp;IF($E171="","Sin fecha de inicio"&amp;" · ","")&amp;IF($F171="","Sin fecha límite"&amp;" · ","")&amp;IF(OR(AND($E171&lt;&gt;"",NOT(ISNUMBER($E171))),AND($F171&lt;&gt;"",NOT(ISNUMBER($F171)))),"Fecha no válida"&amp;" · ","")&amp;IF(AND(ISNUMBER($E171),ISNUMBER($F171),$E171&gt;$F171),"Inicio posterior a fecha límite"&amp;" · ","")&amp;IF(AND($S171="Macro",$G171=""),"Peso vacío"&amp;" · ","")&amp;IF(AND($S171="Macro",$G171&lt;&gt;"",OR(NOT(ISNUMBER($G171)),$G171&lt;=0,$G171&gt;1)),"Peso fuera de rango"&amp;" · ","")&amp;IF(AND($S171="Sub",$G171&lt;&gt;""),"Las subactividades no llevan peso"&amp;" · ","")&amp;IF(AND($S171="Macro",ABS(SUMIFS($G$5:$G$1000,$P$5:$P$1000,$P171,$S$5:$S$1000,"Macro")-1)&gt;0.0001),"Pesos del mes suman "&amp;TEXT(SUMIFS($G$5:$G$1000,$P$5:$P$1000,$P171,$S$5:$S$1000,"Macro"),"0%")&amp;" · ","")&amp;IF(AND(N($T171)&gt;0,COUNT($H171:$K171)&gt;0),"Con subactividades: deje vacías las semanas (se calculan solas)"&amp;" · ","")&amp;IF((COUNTIF($H171:$K171,"&gt;1")+COUNTIF($H171:$K171,"&lt;0")+COUNTA($H171:$K171)-COUNT($H171:$K171))&gt;0,"Avance fuera de rango 0-100%"&amp;" · ","")&amp;IF(OR(AND($I171&lt;&gt;"",$I171&lt;$H171),AND($J171&lt;&gt;"",$J171&lt;MAX($H171:$I171)),AND($K171&lt;&gt;"",$K171&lt;MAX($H171:$J171))),"Avance semanal decreciente"&amp;" · ","")&amp;IF(AND(ISNUMBER($F171),$F171&lt;FechaRef,N($L171)&lt;1),"Vencida"&amp;" · ","")&amp;IF(AND(ObsObligatoria="Sí",ISNUMBER($F171),$F171&lt;FechaRef,N($L171)&lt;1,$N171=""),"Vencida sin observación"&amp;" · ",""),LEN(IF(AND($S171="Macro",$B171=""),"Macroactividad vacía"&amp;" · ","")&amp;IF(AND($B171&lt;&gt;"",$C171&lt;&gt;""),"Escriba la subactividad en otra fila, debajo de su macroactividad"&amp;" · ","")&amp;IF(AND($S171="Sub",N($R171)=0),"Subactividad sin macroactividad arriba"&amp;" · ","")&amp;IF($D171="","Sin responsable"&amp;" · ","")&amp;IF($E171="","Sin fecha de inicio"&amp;" · ","")&amp;IF($F171="","Sin fecha límite"&amp;" · ","")&amp;IF(OR(AND($E171&lt;&gt;"",NOT(ISNUMBER($E171))),AND($F171&lt;&gt;"",NOT(ISNUMBER($F171)))),"Fecha no válida"&amp;" · ","")&amp;IF(AND(ISNUMBER($E171),ISNUMBER($F171),$E171&gt;$F171),"Inicio posterior a fecha límite"&amp;" · ","")&amp;IF(AND($S171="Macro",$G171=""),"Peso vacío"&amp;" · ","")&amp;IF(AND($S171="Macro",$G171&lt;&gt;"",OR(NOT(ISNUMBER($G171)),$G171&lt;=0,$G171&gt;1)),"Peso fuera de rango"&amp;" · ","")&amp;IF(AND($S171="Sub",$G171&lt;&gt;""),"Las subactividades no llevan peso"&amp;" · ","")&amp;IF(AND($S171="Macro",ABS(SUMIFS($G$5:$G$1000,$P$5:$P$1000,$P171,$S$5:$S$1000,"Macro")-1)&gt;0.0001),"Pesos del mes suman "&amp;TEXT(SUMIFS($G$5:$G$1000,$P$5:$P$1000,$P171,$S$5:$S$1000,"Macro"),"0%")&amp;" · ","")&amp;IF(AND(N($T171)&gt;0,COUNT($H171:$K171)&gt;0),"Con subactividades: deje vacías las semanas (se calculan solas)"&amp;" · ","")&amp;IF((COUNTIF($H171:$K171,"&gt;1")+COUNTIF($H171:$K171,"&lt;0")+COUNTA($H171:$K171)-COUNT($H171:$K171))&gt;0,"Avance fuera de rango 0-100%"&amp;" · ","")&amp;IF(OR(AND($I171&lt;&gt;"",$I171&lt;$H171),AND($J171&lt;&gt;"",$J171&lt;MAX($H171:$I171)),AND($K171&lt;&gt;"",$K171&lt;MAX($H171:$J171))),"Avance semanal decreciente"&amp;" · ","")&amp;IF(AND(ISNUMBER($F171),$F171&lt;FechaRef,N($L171)&lt;1),"Vencida"&amp;" · ","")&amp;IF(AND(ObsObligatoria="Sí",ISNUMBER($F171),$F171&lt;FechaRef,N($L171)&lt;1,$N171=""),"Vencida sin observación"&amp;" · ",""))-3)))</f>
        <v/>
      </c>
      <c r="P171" s="69">
        <f>IF(NOT((COUNTA($B171:$K171)+COUNTA($N171))&gt;0),"",IF(AND($S171="Sub",N($R171)&gt;0),IF(ISNUMBER(INDEX($E$5:$E$1000,$R171-4)),DATE(YEAR(INDEX($E$5:$E$1000,$R171-4)),MONTH(INDEX($E$5:$E$1000,$R171-4)),1),IF(ISNUMBER(INDEX($F$5:$F$1000,$R171-4)),DATE(YEAR(INDEX($F$5:$F$1000,$R171-4)),MONTH(INDEX($F$5:$F$1000,$R171-4)),1),MesCiclo)),IF(ISNUMBER($E171),DATE(YEAR($E171),MONTH($E171),1),IF(ISNUMBER($F171),DATE(YEAR($F171),MONTH($F171),1),MesCiclo))))</f>
        <v/>
      </c>
      <c r="Q171" s="70">
        <f>IF(OR($P171="",$P171&lt;&gt;MesCiclo),"",COUNTIF($P$5:$P171,MesCiclo))</f>
        <v/>
      </c>
      <c r="R171" s="70">
        <f>IF($S171="","",IF($S171="Macro",ROW(),IFERROR(LOOKUP(2,1/($S$5:$S171="Macro"),ROW($S$5:$S171)),0)))</f>
        <v/>
      </c>
      <c r="S171" s="70">
        <f>IF(NOT((COUNTA($B171:$K171)+COUNTA($N171))&gt;0),"",IF($B171&lt;&gt;"","Macro",IF($C171&lt;&gt;"","Sub","Macro")))</f>
        <v/>
      </c>
      <c r="T171" s="70">
        <f>IF($S171="Macro",COUNTIFS($R$5:$R$1000,ROW(),$S$5:$S$1000,"Sub"),"")</f>
        <v/>
      </c>
      <c r="U171" s="70">
        <f>IF($S171="","",IF(ISNUMBER($H171),$H171,0))</f>
        <v/>
      </c>
      <c r="V171" s="70">
        <f>IF($S171="","",IF(ISNUMBER($I171),$I171,$U171))</f>
        <v/>
      </c>
      <c r="W171" s="70">
        <f>IF($S171="","",IF(ISNUMBER($J171),$J171,$V171))</f>
        <v/>
      </c>
      <c r="X171" s="70">
        <f>IF($S171="","",IF(ISNUMBER($K171),$K171,$W171))</f>
        <v/>
      </c>
      <c r="Y171" s="70">
        <f>IF($S171="","",IF(N($T171)&gt;0,AVERAGEIFS($U$5:$U$1000,$R$5:$R$1000,ROW(),$S$5:$S$1000,"Sub"),$U171))</f>
        <v/>
      </c>
      <c r="Z171" s="70">
        <f>IF($S171="","",IF(N($T171)&gt;0,AVERAGEIFS($V$5:$V$1000,$R$5:$R$1000,ROW(),$S$5:$S$1000,"Sub"),$V171))</f>
        <v/>
      </c>
      <c r="AA171" s="70">
        <f>IF($S171="","",IF(N($T171)&gt;0,AVERAGEIFS($W$5:$W$1000,$R$5:$R$1000,ROW(),$S$5:$S$1000,"Sub"),$W171))</f>
        <v/>
      </c>
      <c r="AB171" s="70">
        <f>IF($S171="","",IF(N($T171)&gt;0,AVERAGEIFS($X$5:$X$1000,$R$5:$R$1000,ROW(),$S$5:$S$1000,"Sub"),$X171))</f>
        <v/>
      </c>
    </row>
    <row r="172">
      <c r="A172" s="61">
        <f>IF(NOT((COUNTA($B172:$K172)+COUNTA($N172))&gt;0),"",IF($S172="Macro",COUNTIFS($S$5:$S172,"Macro",$P$5:$P172,$P172),IF(N($R172)=0,"?",COUNTIFS(INDEX($S$5:$S$1000,1):INDEX($S$5:$S$1000,$R172-4),"Macro",INDEX($P$5:$P$1000,1):INDEX($P$5:$P$1000,$R172-4),INDEX($P$5:$P$1000,$R172-4))&amp;"."&amp;COUNTIFS($R$5:$R172,$R172,$S$5:$S172,"Sub"))))</f>
        <v/>
      </c>
      <c r="B172" s="62" t="n"/>
      <c r="C172" s="63" t="n"/>
      <c r="D172" s="62" t="n"/>
      <c r="E172" s="64" t="n"/>
      <c r="F172" s="64" t="n"/>
      <c r="G172" s="65" t="n"/>
      <c r="H172" s="66" t="n"/>
      <c r="I172" s="66" t="n"/>
      <c r="J172" s="66" t="n"/>
      <c r="K172" s="66" t="n"/>
      <c r="L172" s="67">
        <f>IF(NOT((COUNTA($B172:$K172)+COUNTA($N172))&gt;0),"",IF(N($T172)&gt;0,$AB172,IFERROR(LOOKUP(2,1/(H172:K172&lt;&gt;""),H172:K172),0)))</f>
        <v/>
      </c>
      <c r="M172" s="61">
        <f>IF(L172="","",IF(L172&gt;=1,"Completado",IF(L172&gt;0,"En curso","Pendiente")))</f>
        <v/>
      </c>
      <c r="N172" s="62" t="n"/>
      <c r="O172" s="68">
        <f>IF(NOT((COUNTA($B172:$K172)+COUNTA($N172))&gt;0),"",IF((IF(AND($S172="Macro",$B172=""),"Macroactividad vacía"&amp;" · ","")&amp;IF(AND($B172&lt;&gt;"",$C172&lt;&gt;""),"Escriba la subactividad en otra fila, debajo de su macroactividad"&amp;" · ","")&amp;IF(AND($S172="Sub",N($R172)=0),"Subactividad sin macroactividad arriba"&amp;" · ","")&amp;IF($D172="","Sin responsable"&amp;" · ","")&amp;IF($E172="","Sin fecha de inicio"&amp;" · ","")&amp;IF($F172="","Sin fecha límite"&amp;" · ","")&amp;IF(OR(AND($E172&lt;&gt;"",NOT(ISNUMBER($E172))),AND($F172&lt;&gt;"",NOT(ISNUMBER($F172)))),"Fecha no válida"&amp;" · ","")&amp;IF(AND(ISNUMBER($E172),ISNUMBER($F172),$E172&gt;$F172),"Inicio posterior a fecha límite"&amp;" · ","")&amp;IF(AND($S172="Macro",$G172=""),"Peso vacío"&amp;" · ","")&amp;IF(AND($S172="Macro",$G172&lt;&gt;"",OR(NOT(ISNUMBER($G172)),$G172&lt;=0,$G172&gt;1)),"Peso fuera de rango"&amp;" · ","")&amp;IF(AND($S172="Sub",$G172&lt;&gt;""),"Las subactividades no llevan peso"&amp;" · ","")&amp;IF(AND($S172="Macro",ABS(SUMIFS($G$5:$G$1000,$P$5:$P$1000,$P172,$S$5:$S$1000,"Macro")-1)&gt;0.0001),"Pesos del mes suman "&amp;TEXT(SUMIFS($G$5:$G$1000,$P$5:$P$1000,$P172,$S$5:$S$1000,"Macro"),"0%")&amp;" · ","")&amp;IF(AND(N($T172)&gt;0,COUNT($H172:$K172)&gt;0),"Con subactividades: deje vacías las semanas (se calculan solas)"&amp;" · ","")&amp;IF((COUNTIF($H172:$K172,"&gt;1")+COUNTIF($H172:$K172,"&lt;0")+COUNTA($H172:$K172)-COUNT($H172:$K172))&gt;0,"Avance fuera de rango 0-100%"&amp;" · ","")&amp;IF(OR(AND($I172&lt;&gt;"",$I172&lt;$H172),AND($J172&lt;&gt;"",$J172&lt;MAX($H172:$I172)),AND($K172&lt;&gt;"",$K172&lt;MAX($H172:$J172))),"Avance semanal decreciente"&amp;" · ","")&amp;IF(AND(ISNUMBER($F172),$F172&lt;FechaRef,N($L172)&lt;1),"Vencida"&amp;" · ","")&amp;IF(AND(ObsObligatoria="Sí",ISNUMBER($F172),$F172&lt;FechaRef,N($L172)&lt;1,$N172=""),"Vencida sin observación"&amp;" · ",""))="","✔ OK","⚠ "&amp;LEFT(IF(AND($S172="Macro",$B172=""),"Macroactividad vacía"&amp;" · ","")&amp;IF(AND($B172&lt;&gt;"",$C172&lt;&gt;""),"Escriba la subactividad en otra fila, debajo de su macroactividad"&amp;" · ","")&amp;IF(AND($S172="Sub",N($R172)=0),"Subactividad sin macroactividad arriba"&amp;" · ","")&amp;IF($D172="","Sin responsable"&amp;" · ","")&amp;IF($E172="","Sin fecha de inicio"&amp;" · ","")&amp;IF($F172="","Sin fecha límite"&amp;" · ","")&amp;IF(OR(AND($E172&lt;&gt;"",NOT(ISNUMBER($E172))),AND($F172&lt;&gt;"",NOT(ISNUMBER($F172)))),"Fecha no válida"&amp;" · ","")&amp;IF(AND(ISNUMBER($E172),ISNUMBER($F172),$E172&gt;$F172),"Inicio posterior a fecha límite"&amp;" · ","")&amp;IF(AND($S172="Macro",$G172=""),"Peso vacío"&amp;" · ","")&amp;IF(AND($S172="Macro",$G172&lt;&gt;"",OR(NOT(ISNUMBER($G172)),$G172&lt;=0,$G172&gt;1)),"Peso fuera de rango"&amp;" · ","")&amp;IF(AND($S172="Sub",$G172&lt;&gt;""),"Las subactividades no llevan peso"&amp;" · ","")&amp;IF(AND($S172="Macro",ABS(SUMIFS($G$5:$G$1000,$P$5:$P$1000,$P172,$S$5:$S$1000,"Macro")-1)&gt;0.0001),"Pesos del mes suman "&amp;TEXT(SUMIFS($G$5:$G$1000,$P$5:$P$1000,$P172,$S$5:$S$1000,"Macro"),"0%")&amp;" · ","")&amp;IF(AND(N($T172)&gt;0,COUNT($H172:$K172)&gt;0),"Con subactividades: deje vacías las semanas (se calculan solas)"&amp;" · ","")&amp;IF((COUNTIF($H172:$K172,"&gt;1")+COUNTIF($H172:$K172,"&lt;0")+COUNTA($H172:$K172)-COUNT($H172:$K172))&gt;0,"Avance fuera de rango 0-100%"&amp;" · ","")&amp;IF(OR(AND($I172&lt;&gt;"",$I172&lt;$H172),AND($J172&lt;&gt;"",$J172&lt;MAX($H172:$I172)),AND($K172&lt;&gt;"",$K172&lt;MAX($H172:$J172))),"Avance semanal decreciente"&amp;" · ","")&amp;IF(AND(ISNUMBER($F172),$F172&lt;FechaRef,N($L172)&lt;1),"Vencida"&amp;" · ","")&amp;IF(AND(ObsObligatoria="Sí",ISNUMBER($F172),$F172&lt;FechaRef,N($L172)&lt;1,$N172=""),"Vencida sin observación"&amp;" · ",""),LEN(IF(AND($S172="Macro",$B172=""),"Macroactividad vacía"&amp;" · ","")&amp;IF(AND($B172&lt;&gt;"",$C172&lt;&gt;""),"Escriba la subactividad en otra fila, debajo de su macroactividad"&amp;" · ","")&amp;IF(AND($S172="Sub",N($R172)=0),"Subactividad sin macroactividad arriba"&amp;" · ","")&amp;IF($D172="","Sin responsable"&amp;" · ","")&amp;IF($E172="","Sin fecha de inicio"&amp;" · ","")&amp;IF($F172="","Sin fecha límite"&amp;" · ","")&amp;IF(OR(AND($E172&lt;&gt;"",NOT(ISNUMBER($E172))),AND($F172&lt;&gt;"",NOT(ISNUMBER($F172)))),"Fecha no válida"&amp;" · ","")&amp;IF(AND(ISNUMBER($E172),ISNUMBER($F172),$E172&gt;$F172),"Inicio posterior a fecha límite"&amp;" · ","")&amp;IF(AND($S172="Macro",$G172=""),"Peso vacío"&amp;" · ","")&amp;IF(AND($S172="Macro",$G172&lt;&gt;"",OR(NOT(ISNUMBER($G172)),$G172&lt;=0,$G172&gt;1)),"Peso fuera de rango"&amp;" · ","")&amp;IF(AND($S172="Sub",$G172&lt;&gt;""),"Las subactividades no llevan peso"&amp;" · ","")&amp;IF(AND($S172="Macro",ABS(SUMIFS($G$5:$G$1000,$P$5:$P$1000,$P172,$S$5:$S$1000,"Macro")-1)&gt;0.0001),"Pesos del mes suman "&amp;TEXT(SUMIFS($G$5:$G$1000,$P$5:$P$1000,$P172,$S$5:$S$1000,"Macro"),"0%")&amp;" · ","")&amp;IF(AND(N($T172)&gt;0,COUNT($H172:$K172)&gt;0),"Con subactividades: deje vacías las semanas (se calculan solas)"&amp;" · ","")&amp;IF((COUNTIF($H172:$K172,"&gt;1")+COUNTIF($H172:$K172,"&lt;0")+COUNTA($H172:$K172)-COUNT($H172:$K172))&gt;0,"Avance fuera de rango 0-100%"&amp;" · ","")&amp;IF(OR(AND($I172&lt;&gt;"",$I172&lt;$H172),AND($J172&lt;&gt;"",$J172&lt;MAX($H172:$I172)),AND($K172&lt;&gt;"",$K172&lt;MAX($H172:$J172))),"Avance semanal decreciente"&amp;" · ","")&amp;IF(AND(ISNUMBER($F172),$F172&lt;FechaRef,N($L172)&lt;1),"Vencida"&amp;" · ","")&amp;IF(AND(ObsObligatoria="Sí",ISNUMBER($F172),$F172&lt;FechaRef,N($L172)&lt;1,$N172=""),"Vencida sin observación"&amp;" · ",""))-3)))</f>
        <v/>
      </c>
      <c r="P172" s="69">
        <f>IF(NOT((COUNTA($B172:$K172)+COUNTA($N172))&gt;0),"",IF(AND($S172="Sub",N($R172)&gt;0),IF(ISNUMBER(INDEX($E$5:$E$1000,$R172-4)),DATE(YEAR(INDEX($E$5:$E$1000,$R172-4)),MONTH(INDEX($E$5:$E$1000,$R172-4)),1),IF(ISNUMBER(INDEX($F$5:$F$1000,$R172-4)),DATE(YEAR(INDEX($F$5:$F$1000,$R172-4)),MONTH(INDEX($F$5:$F$1000,$R172-4)),1),MesCiclo)),IF(ISNUMBER($E172),DATE(YEAR($E172),MONTH($E172),1),IF(ISNUMBER($F172),DATE(YEAR($F172),MONTH($F172),1),MesCiclo))))</f>
        <v/>
      </c>
      <c r="Q172" s="70">
        <f>IF(OR($P172="",$P172&lt;&gt;MesCiclo),"",COUNTIF($P$5:$P172,MesCiclo))</f>
        <v/>
      </c>
      <c r="R172" s="70">
        <f>IF($S172="","",IF($S172="Macro",ROW(),IFERROR(LOOKUP(2,1/($S$5:$S172="Macro"),ROW($S$5:$S172)),0)))</f>
        <v/>
      </c>
      <c r="S172" s="70">
        <f>IF(NOT((COUNTA($B172:$K172)+COUNTA($N172))&gt;0),"",IF($B172&lt;&gt;"","Macro",IF($C172&lt;&gt;"","Sub","Macro")))</f>
        <v/>
      </c>
      <c r="T172" s="70">
        <f>IF($S172="Macro",COUNTIFS($R$5:$R$1000,ROW(),$S$5:$S$1000,"Sub"),"")</f>
        <v/>
      </c>
      <c r="U172" s="70">
        <f>IF($S172="","",IF(ISNUMBER($H172),$H172,0))</f>
        <v/>
      </c>
      <c r="V172" s="70">
        <f>IF($S172="","",IF(ISNUMBER($I172),$I172,$U172))</f>
        <v/>
      </c>
      <c r="W172" s="70">
        <f>IF($S172="","",IF(ISNUMBER($J172),$J172,$V172))</f>
        <v/>
      </c>
      <c r="X172" s="70">
        <f>IF($S172="","",IF(ISNUMBER($K172),$K172,$W172))</f>
        <v/>
      </c>
      <c r="Y172" s="70">
        <f>IF($S172="","",IF(N($T172)&gt;0,AVERAGEIFS($U$5:$U$1000,$R$5:$R$1000,ROW(),$S$5:$S$1000,"Sub"),$U172))</f>
        <v/>
      </c>
      <c r="Z172" s="70">
        <f>IF($S172="","",IF(N($T172)&gt;0,AVERAGEIFS($V$5:$V$1000,$R$5:$R$1000,ROW(),$S$5:$S$1000,"Sub"),$V172))</f>
        <v/>
      </c>
      <c r="AA172" s="70">
        <f>IF($S172="","",IF(N($T172)&gt;0,AVERAGEIFS($W$5:$W$1000,$R$5:$R$1000,ROW(),$S$5:$S$1000,"Sub"),$W172))</f>
        <v/>
      </c>
      <c r="AB172" s="70">
        <f>IF($S172="","",IF(N($T172)&gt;0,AVERAGEIFS($X$5:$X$1000,$R$5:$R$1000,ROW(),$S$5:$S$1000,"Sub"),$X172))</f>
        <v/>
      </c>
    </row>
    <row r="173">
      <c r="A173" s="61">
        <f>IF(NOT((COUNTA($B173:$K173)+COUNTA($N173))&gt;0),"",IF($S173="Macro",COUNTIFS($S$5:$S173,"Macro",$P$5:$P173,$P173),IF(N($R173)=0,"?",COUNTIFS(INDEX($S$5:$S$1000,1):INDEX($S$5:$S$1000,$R173-4),"Macro",INDEX($P$5:$P$1000,1):INDEX($P$5:$P$1000,$R173-4),INDEX($P$5:$P$1000,$R173-4))&amp;"."&amp;COUNTIFS($R$5:$R173,$R173,$S$5:$S173,"Sub"))))</f>
        <v/>
      </c>
      <c r="B173" s="62" t="n"/>
      <c r="C173" s="63" t="n"/>
      <c r="D173" s="62" t="n"/>
      <c r="E173" s="64" t="n"/>
      <c r="F173" s="64" t="n"/>
      <c r="G173" s="65" t="n"/>
      <c r="H173" s="66" t="n"/>
      <c r="I173" s="66" t="n"/>
      <c r="J173" s="66" t="n"/>
      <c r="K173" s="66" t="n"/>
      <c r="L173" s="67">
        <f>IF(NOT((COUNTA($B173:$K173)+COUNTA($N173))&gt;0),"",IF(N($T173)&gt;0,$AB173,IFERROR(LOOKUP(2,1/(H173:K173&lt;&gt;""),H173:K173),0)))</f>
        <v/>
      </c>
      <c r="M173" s="61">
        <f>IF(L173="","",IF(L173&gt;=1,"Completado",IF(L173&gt;0,"En curso","Pendiente")))</f>
        <v/>
      </c>
      <c r="N173" s="62" t="n"/>
      <c r="O173" s="68">
        <f>IF(NOT((COUNTA($B173:$K173)+COUNTA($N173))&gt;0),"",IF((IF(AND($S173="Macro",$B173=""),"Macroactividad vacía"&amp;" · ","")&amp;IF(AND($B173&lt;&gt;"",$C173&lt;&gt;""),"Escriba la subactividad en otra fila, debajo de su macroactividad"&amp;" · ","")&amp;IF(AND($S173="Sub",N($R173)=0),"Subactividad sin macroactividad arriba"&amp;" · ","")&amp;IF($D173="","Sin responsable"&amp;" · ","")&amp;IF($E173="","Sin fecha de inicio"&amp;" · ","")&amp;IF($F173="","Sin fecha límite"&amp;" · ","")&amp;IF(OR(AND($E173&lt;&gt;"",NOT(ISNUMBER($E173))),AND($F173&lt;&gt;"",NOT(ISNUMBER($F173)))),"Fecha no válida"&amp;" · ","")&amp;IF(AND(ISNUMBER($E173),ISNUMBER($F173),$E173&gt;$F173),"Inicio posterior a fecha límite"&amp;" · ","")&amp;IF(AND($S173="Macro",$G173=""),"Peso vacío"&amp;" · ","")&amp;IF(AND($S173="Macro",$G173&lt;&gt;"",OR(NOT(ISNUMBER($G173)),$G173&lt;=0,$G173&gt;1)),"Peso fuera de rango"&amp;" · ","")&amp;IF(AND($S173="Sub",$G173&lt;&gt;""),"Las subactividades no llevan peso"&amp;" · ","")&amp;IF(AND($S173="Macro",ABS(SUMIFS($G$5:$G$1000,$P$5:$P$1000,$P173,$S$5:$S$1000,"Macro")-1)&gt;0.0001),"Pesos del mes suman "&amp;TEXT(SUMIFS($G$5:$G$1000,$P$5:$P$1000,$P173,$S$5:$S$1000,"Macro"),"0%")&amp;" · ","")&amp;IF(AND(N($T173)&gt;0,COUNT($H173:$K173)&gt;0),"Con subactividades: deje vacías las semanas (se calculan solas)"&amp;" · ","")&amp;IF((COUNTIF($H173:$K173,"&gt;1")+COUNTIF($H173:$K173,"&lt;0")+COUNTA($H173:$K173)-COUNT($H173:$K173))&gt;0,"Avance fuera de rango 0-100%"&amp;" · ","")&amp;IF(OR(AND($I173&lt;&gt;"",$I173&lt;$H173),AND($J173&lt;&gt;"",$J173&lt;MAX($H173:$I173)),AND($K173&lt;&gt;"",$K173&lt;MAX($H173:$J173))),"Avance semanal decreciente"&amp;" · ","")&amp;IF(AND(ISNUMBER($F173),$F173&lt;FechaRef,N($L173)&lt;1),"Vencida"&amp;" · ","")&amp;IF(AND(ObsObligatoria="Sí",ISNUMBER($F173),$F173&lt;FechaRef,N($L173)&lt;1,$N173=""),"Vencida sin observación"&amp;" · ",""))="","✔ OK","⚠ "&amp;LEFT(IF(AND($S173="Macro",$B173=""),"Macroactividad vacía"&amp;" · ","")&amp;IF(AND($B173&lt;&gt;"",$C173&lt;&gt;""),"Escriba la subactividad en otra fila, debajo de su macroactividad"&amp;" · ","")&amp;IF(AND($S173="Sub",N($R173)=0),"Subactividad sin macroactividad arriba"&amp;" · ","")&amp;IF($D173="","Sin responsable"&amp;" · ","")&amp;IF($E173="","Sin fecha de inicio"&amp;" · ","")&amp;IF($F173="","Sin fecha límite"&amp;" · ","")&amp;IF(OR(AND($E173&lt;&gt;"",NOT(ISNUMBER($E173))),AND($F173&lt;&gt;"",NOT(ISNUMBER($F173)))),"Fecha no válida"&amp;" · ","")&amp;IF(AND(ISNUMBER($E173),ISNUMBER($F173),$E173&gt;$F173),"Inicio posterior a fecha límite"&amp;" · ","")&amp;IF(AND($S173="Macro",$G173=""),"Peso vacío"&amp;" · ","")&amp;IF(AND($S173="Macro",$G173&lt;&gt;"",OR(NOT(ISNUMBER($G173)),$G173&lt;=0,$G173&gt;1)),"Peso fuera de rango"&amp;" · ","")&amp;IF(AND($S173="Sub",$G173&lt;&gt;""),"Las subactividades no llevan peso"&amp;" · ","")&amp;IF(AND($S173="Macro",ABS(SUMIFS($G$5:$G$1000,$P$5:$P$1000,$P173,$S$5:$S$1000,"Macro")-1)&gt;0.0001),"Pesos del mes suman "&amp;TEXT(SUMIFS($G$5:$G$1000,$P$5:$P$1000,$P173,$S$5:$S$1000,"Macro"),"0%")&amp;" · ","")&amp;IF(AND(N($T173)&gt;0,COUNT($H173:$K173)&gt;0),"Con subactividades: deje vacías las semanas (se calculan solas)"&amp;" · ","")&amp;IF((COUNTIF($H173:$K173,"&gt;1")+COUNTIF($H173:$K173,"&lt;0")+COUNTA($H173:$K173)-COUNT($H173:$K173))&gt;0,"Avance fuera de rango 0-100%"&amp;" · ","")&amp;IF(OR(AND($I173&lt;&gt;"",$I173&lt;$H173),AND($J173&lt;&gt;"",$J173&lt;MAX($H173:$I173)),AND($K173&lt;&gt;"",$K173&lt;MAX($H173:$J173))),"Avance semanal decreciente"&amp;" · ","")&amp;IF(AND(ISNUMBER($F173),$F173&lt;FechaRef,N($L173)&lt;1),"Vencida"&amp;" · ","")&amp;IF(AND(ObsObligatoria="Sí",ISNUMBER($F173),$F173&lt;FechaRef,N($L173)&lt;1,$N173=""),"Vencida sin observación"&amp;" · ",""),LEN(IF(AND($S173="Macro",$B173=""),"Macroactividad vacía"&amp;" · ","")&amp;IF(AND($B173&lt;&gt;"",$C173&lt;&gt;""),"Escriba la subactividad en otra fila, debajo de su macroactividad"&amp;" · ","")&amp;IF(AND($S173="Sub",N($R173)=0),"Subactividad sin macroactividad arriba"&amp;" · ","")&amp;IF($D173="","Sin responsable"&amp;" · ","")&amp;IF($E173="","Sin fecha de inicio"&amp;" · ","")&amp;IF($F173="","Sin fecha límite"&amp;" · ","")&amp;IF(OR(AND($E173&lt;&gt;"",NOT(ISNUMBER($E173))),AND($F173&lt;&gt;"",NOT(ISNUMBER($F173)))),"Fecha no válida"&amp;" · ","")&amp;IF(AND(ISNUMBER($E173),ISNUMBER($F173),$E173&gt;$F173),"Inicio posterior a fecha límite"&amp;" · ","")&amp;IF(AND($S173="Macro",$G173=""),"Peso vacío"&amp;" · ","")&amp;IF(AND($S173="Macro",$G173&lt;&gt;"",OR(NOT(ISNUMBER($G173)),$G173&lt;=0,$G173&gt;1)),"Peso fuera de rango"&amp;" · ","")&amp;IF(AND($S173="Sub",$G173&lt;&gt;""),"Las subactividades no llevan peso"&amp;" · ","")&amp;IF(AND($S173="Macro",ABS(SUMIFS($G$5:$G$1000,$P$5:$P$1000,$P173,$S$5:$S$1000,"Macro")-1)&gt;0.0001),"Pesos del mes suman "&amp;TEXT(SUMIFS($G$5:$G$1000,$P$5:$P$1000,$P173,$S$5:$S$1000,"Macro"),"0%")&amp;" · ","")&amp;IF(AND(N($T173)&gt;0,COUNT($H173:$K173)&gt;0),"Con subactividades: deje vacías las semanas (se calculan solas)"&amp;" · ","")&amp;IF((COUNTIF($H173:$K173,"&gt;1")+COUNTIF($H173:$K173,"&lt;0")+COUNTA($H173:$K173)-COUNT($H173:$K173))&gt;0,"Avance fuera de rango 0-100%"&amp;" · ","")&amp;IF(OR(AND($I173&lt;&gt;"",$I173&lt;$H173),AND($J173&lt;&gt;"",$J173&lt;MAX($H173:$I173)),AND($K173&lt;&gt;"",$K173&lt;MAX($H173:$J173))),"Avance semanal decreciente"&amp;" · ","")&amp;IF(AND(ISNUMBER($F173),$F173&lt;FechaRef,N($L173)&lt;1),"Vencida"&amp;" · ","")&amp;IF(AND(ObsObligatoria="Sí",ISNUMBER($F173),$F173&lt;FechaRef,N($L173)&lt;1,$N173=""),"Vencida sin observación"&amp;" · ",""))-3)))</f>
        <v/>
      </c>
      <c r="P173" s="69">
        <f>IF(NOT((COUNTA($B173:$K173)+COUNTA($N173))&gt;0),"",IF(AND($S173="Sub",N($R173)&gt;0),IF(ISNUMBER(INDEX($E$5:$E$1000,$R173-4)),DATE(YEAR(INDEX($E$5:$E$1000,$R173-4)),MONTH(INDEX($E$5:$E$1000,$R173-4)),1),IF(ISNUMBER(INDEX($F$5:$F$1000,$R173-4)),DATE(YEAR(INDEX($F$5:$F$1000,$R173-4)),MONTH(INDEX($F$5:$F$1000,$R173-4)),1),MesCiclo)),IF(ISNUMBER($E173),DATE(YEAR($E173),MONTH($E173),1),IF(ISNUMBER($F173),DATE(YEAR($F173),MONTH($F173),1),MesCiclo))))</f>
        <v/>
      </c>
      <c r="Q173" s="70">
        <f>IF(OR($P173="",$P173&lt;&gt;MesCiclo),"",COUNTIF($P$5:$P173,MesCiclo))</f>
        <v/>
      </c>
      <c r="R173" s="70">
        <f>IF($S173="","",IF($S173="Macro",ROW(),IFERROR(LOOKUP(2,1/($S$5:$S173="Macro"),ROW($S$5:$S173)),0)))</f>
        <v/>
      </c>
      <c r="S173" s="70">
        <f>IF(NOT((COUNTA($B173:$K173)+COUNTA($N173))&gt;0),"",IF($B173&lt;&gt;"","Macro",IF($C173&lt;&gt;"","Sub","Macro")))</f>
        <v/>
      </c>
      <c r="T173" s="70">
        <f>IF($S173="Macro",COUNTIFS($R$5:$R$1000,ROW(),$S$5:$S$1000,"Sub"),"")</f>
        <v/>
      </c>
      <c r="U173" s="70">
        <f>IF($S173="","",IF(ISNUMBER($H173),$H173,0))</f>
        <v/>
      </c>
      <c r="V173" s="70">
        <f>IF($S173="","",IF(ISNUMBER($I173),$I173,$U173))</f>
        <v/>
      </c>
      <c r="W173" s="70">
        <f>IF($S173="","",IF(ISNUMBER($J173),$J173,$V173))</f>
        <v/>
      </c>
      <c r="X173" s="70">
        <f>IF($S173="","",IF(ISNUMBER($K173),$K173,$W173))</f>
        <v/>
      </c>
      <c r="Y173" s="70">
        <f>IF($S173="","",IF(N($T173)&gt;0,AVERAGEIFS($U$5:$U$1000,$R$5:$R$1000,ROW(),$S$5:$S$1000,"Sub"),$U173))</f>
        <v/>
      </c>
      <c r="Z173" s="70">
        <f>IF($S173="","",IF(N($T173)&gt;0,AVERAGEIFS($V$5:$V$1000,$R$5:$R$1000,ROW(),$S$5:$S$1000,"Sub"),$V173))</f>
        <v/>
      </c>
      <c r="AA173" s="70">
        <f>IF($S173="","",IF(N($T173)&gt;0,AVERAGEIFS($W$5:$W$1000,$R$5:$R$1000,ROW(),$S$5:$S$1000,"Sub"),$W173))</f>
        <v/>
      </c>
      <c r="AB173" s="70">
        <f>IF($S173="","",IF(N($T173)&gt;0,AVERAGEIFS($X$5:$X$1000,$R$5:$R$1000,ROW(),$S$5:$S$1000,"Sub"),$X173))</f>
        <v/>
      </c>
    </row>
    <row r="174">
      <c r="A174" s="61">
        <f>IF(NOT((COUNTA($B174:$K174)+COUNTA($N174))&gt;0),"",IF($S174="Macro",COUNTIFS($S$5:$S174,"Macro",$P$5:$P174,$P174),IF(N($R174)=0,"?",COUNTIFS(INDEX($S$5:$S$1000,1):INDEX($S$5:$S$1000,$R174-4),"Macro",INDEX($P$5:$P$1000,1):INDEX($P$5:$P$1000,$R174-4),INDEX($P$5:$P$1000,$R174-4))&amp;"."&amp;COUNTIFS($R$5:$R174,$R174,$S$5:$S174,"Sub"))))</f>
        <v/>
      </c>
      <c r="B174" s="62" t="n"/>
      <c r="C174" s="63" t="n"/>
      <c r="D174" s="62" t="n"/>
      <c r="E174" s="64" t="n"/>
      <c r="F174" s="64" t="n"/>
      <c r="G174" s="65" t="n"/>
      <c r="H174" s="66" t="n"/>
      <c r="I174" s="66" t="n"/>
      <c r="J174" s="66" t="n"/>
      <c r="K174" s="66" t="n"/>
      <c r="L174" s="67">
        <f>IF(NOT((COUNTA($B174:$K174)+COUNTA($N174))&gt;0),"",IF(N($T174)&gt;0,$AB174,IFERROR(LOOKUP(2,1/(H174:K174&lt;&gt;""),H174:K174),0)))</f>
        <v/>
      </c>
      <c r="M174" s="61">
        <f>IF(L174="","",IF(L174&gt;=1,"Completado",IF(L174&gt;0,"En curso","Pendiente")))</f>
        <v/>
      </c>
      <c r="N174" s="62" t="n"/>
      <c r="O174" s="68">
        <f>IF(NOT((COUNTA($B174:$K174)+COUNTA($N174))&gt;0),"",IF((IF(AND($S174="Macro",$B174=""),"Macroactividad vacía"&amp;" · ","")&amp;IF(AND($B174&lt;&gt;"",$C174&lt;&gt;""),"Escriba la subactividad en otra fila, debajo de su macroactividad"&amp;" · ","")&amp;IF(AND($S174="Sub",N($R174)=0),"Subactividad sin macroactividad arriba"&amp;" · ","")&amp;IF($D174="","Sin responsable"&amp;" · ","")&amp;IF($E174="","Sin fecha de inicio"&amp;" · ","")&amp;IF($F174="","Sin fecha límite"&amp;" · ","")&amp;IF(OR(AND($E174&lt;&gt;"",NOT(ISNUMBER($E174))),AND($F174&lt;&gt;"",NOT(ISNUMBER($F174)))),"Fecha no válida"&amp;" · ","")&amp;IF(AND(ISNUMBER($E174),ISNUMBER($F174),$E174&gt;$F174),"Inicio posterior a fecha límite"&amp;" · ","")&amp;IF(AND($S174="Macro",$G174=""),"Peso vacío"&amp;" · ","")&amp;IF(AND($S174="Macro",$G174&lt;&gt;"",OR(NOT(ISNUMBER($G174)),$G174&lt;=0,$G174&gt;1)),"Peso fuera de rango"&amp;" · ","")&amp;IF(AND($S174="Sub",$G174&lt;&gt;""),"Las subactividades no llevan peso"&amp;" · ","")&amp;IF(AND($S174="Macro",ABS(SUMIFS($G$5:$G$1000,$P$5:$P$1000,$P174,$S$5:$S$1000,"Macro")-1)&gt;0.0001),"Pesos del mes suman "&amp;TEXT(SUMIFS($G$5:$G$1000,$P$5:$P$1000,$P174,$S$5:$S$1000,"Macro"),"0%")&amp;" · ","")&amp;IF(AND(N($T174)&gt;0,COUNT($H174:$K174)&gt;0),"Con subactividades: deje vacías las semanas (se calculan solas)"&amp;" · ","")&amp;IF((COUNTIF($H174:$K174,"&gt;1")+COUNTIF($H174:$K174,"&lt;0")+COUNTA($H174:$K174)-COUNT($H174:$K174))&gt;0,"Avance fuera de rango 0-100%"&amp;" · ","")&amp;IF(OR(AND($I174&lt;&gt;"",$I174&lt;$H174),AND($J174&lt;&gt;"",$J174&lt;MAX($H174:$I174)),AND($K174&lt;&gt;"",$K174&lt;MAX($H174:$J174))),"Avance semanal decreciente"&amp;" · ","")&amp;IF(AND(ISNUMBER($F174),$F174&lt;FechaRef,N($L174)&lt;1),"Vencida"&amp;" · ","")&amp;IF(AND(ObsObligatoria="Sí",ISNUMBER($F174),$F174&lt;FechaRef,N($L174)&lt;1,$N174=""),"Vencida sin observación"&amp;" · ",""))="","✔ OK","⚠ "&amp;LEFT(IF(AND($S174="Macro",$B174=""),"Macroactividad vacía"&amp;" · ","")&amp;IF(AND($B174&lt;&gt;"",$C174&lt;&gt;""),"Escriba la subactividad en otra fila, debajo de su macroactividad"&amp;" · ","")&amp;IF(AND($S174="Sub",N($R174)=0),"Subactividad sin macroactividad arriba"&amp;" · ","")&amp;IF($D174="","Sin responsable"&amp;" · ","")&amp;IF($E174="","Sin fecha de inicio"&amp;" · ","")&amp;IF($F174="","Sin fecha límite"&amp;" · ","")&amp;IF(OR(AND($E174&lt;&gt;"",NOT(ISNUMBER($E174))),AND($F174&lt;&gt;"",NOT(ISNUMBER($F174)))),"Fecha no válida"&amp;" · ","")&amp;IF(AND(ISNUMBER($E174),ISNUMBER($F174),$E174&gt;$F174),"Inicio posterior a fecha límite"&amp;" · ","")&amp;IF(AND($S174="Macro",$G174=""),"Peso vacío"&amp;" · ","")&amp;IF(AND($S174="Macro",$G174&lt;&gt;"",OR(NOT(ISNUMBER($G174)),$G174&lt;=0,$G174&gt;1)),"Peso fuera de rango"&amp;" · ","")&amp;IF(AND($S174="Sub",$G174&lt;&gt;""),"Las subactividades no llevan peso"&amp;" · ","")&amp;IF(AND($S174="Macro",ABS(SUMIFS($G$5:$G$1000,$P$5:$P$1000,$P174,$S$5:$S$1000,"Macro")-1)&gt;0.0001),"Pesos del mes suman "&amp;TEXT(SUMIFS($G$5:$G$1000,$P$5:$P$1000,$P174,$S$5:$S$1000,"Macro"),"0%")&amp;" · ","")&amp;IF(AND(N($T174)&gt;0,COUNT($H174:$K174)&gt;0),"Con subactividades: deje vacías las semanas (se calculan solas)"&amp;" · ","")&amp;IF((COUNTIF($H174:$K174,"&gt;1")+COUNTIF($H174:$K174,"&lt;0")+COUNTA($H174:$K174)-COUNT($H174:$K174))&gt;0,"Avance fuera de rango 0-100%"&amp;" · ","")&amp;IF(OR(AND($I174&lt;&gt;"",$I174&lt;$H174),AND($J174&lt;&gt;"",$J174&lt;MAX($H174:$I174)),AND($K174&lt;&gt;"",$K174&lt;MAX($H174:$J174))),"Avance semanal decreciente"&amp;" · ","")&amp;IF(AND(ISNUMBER($F174),$F174&lt;FechaRef,N($L174)&lt;1),"Vencida"&amp;" · ","")&amp;IF(AND(ObsObligatoria="Sí",ISNUMBER($F174),$F174&lt;FechaRef,N($L174)&lt;1,$N174=""),"Vencida sin observación"&amp;" · ",""),LEN(IF(AND($S174="Macro",$B174=""),"Macroactividad vacía"&amp;" · ","")&amp;IF(AND($B174&lt;&gt;"",$C174&lt;&gt;""),"Escriba la subactividad en otra fila, debajo de su macroactividad"&amp;" · ","")&amp;IF(AND($S174="Sub",N($R174)=0),"Subactividad sin macroactividad arriba"&amp;" · ","")&amp;IF($D174="","Sin responsable"&amp;" · ","")&amp;IF($E174="","Sin fecha de inicio"&amp;" · ","")&amp;IF($F174="","Sin fecha límite"&amp;" · ","")&amp;IF(OR(AND($E174&lt;&gt;"",NOT(ISNUMBER($E174))),AND($F174&lt;&gt;"",NOT(ISNUMBER($F174)))),"Fecha no válida"&amp;" · ","")&amp;IF(AND(ISNUMBER($E174),ISNUMBER($F174),$E174&gt;$F174),"Inicio posterior a fecha límite"&amp;" · ","")&amp;IF(AND($S174="Macro",$G174=""),"Peso vacío"&amp;" · ","")&amp;IF(AND($S174="Macro",$G174&lt;&gt;"",OR(NOT(ISNUMBER($G174)),$G174&lt;=0,$G174&gt;1)),"Peso fuera de rango"&amp;" · ","")&amp;IF(AND($S174="Sub",$G174&lt;&gt;""),"Las subactividades no llevan peso"&amp;" · ","")&amp;IF(AND($S174="Macro",ABS(SUMIFS($G$5:$G$1000,$P$5:$P$1000,$P174,$S$5:$S$1000,"Macro")-1)&gt;0.0001),"Pesos del mes suman "&amp;TEXT(SUMIFS($G$5:$G$1000,$P$5:$P$1000,$P174,$S$5:$S$1000,"Macro"),"0%")&amp;" · ","")&amp;IF(AND(N($T174)&gt;0,COUNT($H174:$K174)&gt;0),"Con subactividades: deje vacías las semanas (se calculan solas)"&amp;" · ","")&amp;IF((COUNTIF($H174:$K174,"&gt;1")+COUNTIF($H174:$K174,"&lt;0")+COUNTA($H174:$K174)-COUNT($H174:$K174))&gt;0,"Avance fuera de rango 0-100%"&amp;" · ","")&amp;IF(OR(AND($I174&lt;&gt;"",$I174&lt;$H174),AND($J174&lt;&gt;"",$J174&lt;MAX($H174:$I174)),AND($K174&lt;&gt;"",$K174&lt;MAX($H174:$J174))),"Avance semanal decreciente"&amp;" · ","")&amp;IF(AND(ISNUMBER($F174),$F174&lt;FechaRef,N($L174)&lt;1),"Vencida"&amp;" · ","")&amp;IF(AND(ObsObligatoria="Sí",ISNUMBER($F174),$F174&lt;FechaRef,N($L174)&lt;1,$N174=""),"Vencida sin observación"&amp;" · ",""))-3)))</f>
        <v/>
      </c>
      <c r="P174" s="69">
        <f>IF(NOT((COUNTA($B174:$K174)+COUNTA($N174))&gt;0),"",IF(AND($S174="Sub",N($R174)&gt;0),IF(ISNUMBER(INDEX($E$5:$E$1000,$R174-4)),DATE(YEAR(INDEX($E$5:$E$1000,$R174-4)),MONTH(INDEX($E$5:$E$1000,$R174-4)),1),IF(ISNUMBER(INDEX($F$5:$F$1000,$R174-4)),DATE(YEAR(INDEX($F$5:$F$1000,$R174-4)),MONTH(INDEX($F$5:$F$1000,$R174-4)),1),MesCiclo)),IF(ISNUMBER($E174),DATE(YEAR($E174),MONTH($E174),1),IF(ISNUMBER($F174),DATE(YEAR($F174),MONTH($F174),1),MesCiclo))))</f>
        <v/>
      </c>
      <c r="Q174" s="70">
        <f>IF(OR($P174="",$P174&lt;&gt;MesCiclo),"",COUNTIF($P$5:$P174,MesCiclo))</f>
        <v/>
      </c>
      <c r="R174" s="70">
        <f>IF($S174="","",IF($S174="Macro",ROW(),IFERROR(LOOKUP(2,1/($S$5:$S174="Macro"),ROW($S$5:$S174)),0)))</f>
        <v/>
      </c>
      <c r="S174" s="70">
        <f>IF(NOT((COUNTA($B174:$K174)+COUNTA($N174))&gt;0),"",IF($B174&lt;&gt;"","Macro",IF($C174&lt;&gt;"","Sub","Macro")))</f>
        <v/>
      </c>
      <c r="T174" s="70">
        <f>IF($S174="Macro",COUNTIFS($R$5:$R$1000,ROW(),$S$5:$S$1000,"Sub"),"")</f>
        <v/>
      </c>
      <c r="U174" s="70">
        <f>IF($S174="","",IF(ISNUMBER($H174),$H174,0))</f>
        <v/>
      </c>
      <c r="V174" s="70">
        <f>IF($S174="","",IF(ISNUMBER($I174),$I174,$U174))</f>
        <v/>
      </c>
      <c r="W174" s="70">
        <f>IF($S174="","",IF(ISNUMBER($J174),$J174,$V174))</f>
        <v/>
      </c>
      <c r="X174" s="70">
        <f>IF($S174="","",IF(ISNUMBER($K174),$K174,$W174))</f>
        <v/>
      </c>
      <c r="Y174" s="70">
        <f>IF($S174="","",IF(N($T174)&gt;0,AVERAGEIFS($U$5:$U$1000,$R$5:$R$1000,ROW(),$S$5:$S$1000,"Sub"),$U174))</f>
        <v/>
      </c>
      <c r="Z174" s="70">
        <f>IF($S174="","",IF(N($T174)&gt;0,AVERAGEIFS($V$5:$V$1000,$R$5:$R$1000,ROW(),$S$5:$S$1000,"Sub"),$V174))</f>
        <v/>
      </c>
      <c r="AA174" s="70">
        <f>IF($S174="","",IF(N($T174)&gt;0,AVERAGEIFS($W$5:$W$1000,$R$5:$R$1000,ROW(),$S$5:$S$1000,"Sub"),$W174))</f>
        <v/>
      </c>
      <c r="AB174" s="70">
        <f>IF($S174="","",IF(N($T174)&gt;0,AVERAGEIFS($X$5:$X$1000,$R$5:$R$1000,ROW(),$S$5:$S$1000,"Sub"),$X174))</f>
        <v/>
      </c>
    </row>
    <row r="175">
      <c r="A175" s="61">
        <f>IF(NOT((COUNTA($B175:$K175)+COUNTA($N175))&gt;0),"",IF($S175="Macro",COUNTIFS($S$5:$S175,"Macro",$P$5:$P175,$P175),IF(N($R175)=0,"?",COUNTIFS(INDEX($S$5:$S$1000,1):INDEX($S$5:$S$1000,$R175-4),"Macro",INDEX($P$5:$P$1000,1):INDEX($P$5:$P$1000,$R175-4),INDEX($P$5:$P$1000,$R175-4))&amp;"."&amp;COUNTIFS($R$5:$R175,$R175,$S$5:$S175,"Sub"))))</f>
        <v/>
      </c>
      <c r="B175" s="62" t="n"/>
      <c r="C175" s="63" t="n"/>
      <c r="D175" s="62" t="n"/>
      <c r="E175" s="64" t="n"/>
      <c r="F175" s="64" t="n"/>
      <c r="G175" s="65" t="n"/>
      <c r="H175" s="66" t="n"/>
      <c r="I175" s="66" t="n"/>
      <c r="J175" s="66" t="n"/>
      <c r="K175" s="66" t="n"/>
      <c r="L175" s="67">
        <f>IF(NOT((COUNTA($B175:$K175)+COUNTA($N175))&gt;0),"",IF(N($T175)&gt;0,$AB175,IFERROR(LOOKUP(2,1/(H175:K175&lt;&gt;""),H175:K175),0)))</f>
        <v/>
      </c>
      <c r="M175" s="61">
        <f>IF(L175="","",IF(L175&gt;=1,"Completado",IF(L175&gt;0,"En curso","Pendiente")))</f>
        <v/>
      </c>
      <c r="N175" s="62" t="n"/>
      <c r="O175" s="68">
        <f>IF(NOT((COUNTA($B175:$K175)+COUNTA($N175))&gt;0),"",IF((IF(AND($S175="Macro",$B175=""),"Macroactividad vacía"&amp;" · ","")&amp;IF(AND($B175&lt;&gt;"",$C175&lt;&gt;""),"Escriba la subactividad en otra fila, debajo de su macroactividad"&amp;" · ","")&amp;IF(AND($S175="Sub",N($R175)=0),"Subactividad sin macroactividad arriba"&amp;" · ","")&amp;IF($D175="","Sin responsable"&amp;" · ","")&amp;IF($E175="","Sin fecha de inicio"&amp;" · ","")&amp;IF($F175="","Sin fecha límite"&amp;" · ","")&amp;IF(OR(AND($E175&lt;&gt;"",NOT(ISNUMBER($E175))),AND($F175&lt;&gt;"",NOT(ISNUMBER($F175)))),"Fecha no válida"&amp;" · ","")&amp;IF(AND(ISNUMBER($E175),ISNUMBER($F175),$E175&gt;$F175),"Inicio posterior a fecha límite"&amp;" · ","")&amp;IF(AND($S175="Macro",$G175=""),"Peso vacío"&amp;" · ","")&amp;IF(AND($S175="Macro",$G175&lt;&gt;"",OR(NOT(ISNUMBER($G175)),$G175&lt;=0,$G175&gt;1)),"Peso fuera de rango"&amp;" · ","")&amp;IF(AND($S175="Sub",$G175&lt;&gt;""),"Las subactividades no llevan peso"&amp;" · ","")&amp;IF(AND($S175="Macro",ABS(SUMIFS($G$5:$G$1000,$P$5:$P$1000,$P175,$S$5:$S$1000,"Macro")-1)&gt;0.0001),"Pesos del mes suman "&amp;TEXT(SUMIFS($G$5:$G$1000,$P$5:$P$1000,$P175,$S$5:$S$1000,"Macro"),"0%")&amp;" · ","")&amp;IF(AND(N($T175)&gt;0,COUNT($H175:$K175)&gt;0),"Con subactividades: deje vacías las semanas (se calculan solas)"&amp;" · ","")&amp;IF((COUNTIF($H175:$K175,"&gt;1")+COUNTIF($H175:$K175,"&lt;0")+COUNTA($H175:$K175)-COUNT($H175:$K175))&gt;0,"Avance fuera de rango 0-100%"&amp;" · ","")&amp;IF(OR(AND($I175&lt;&gt;"",$I175&lt;$H175),AND($J175&lt;&gt;"",$J175&lt;MAX($H175:$I175)),AND($K175&lt;&gt;"",$K175&lt;MAX($H175:$J175))),"Avance semanal decreciente"&amp;" · ","")&amp;IF(AND(ISNUMBER($F175),$F175&lt;FechaRef,N($L175)&lt;1),"Vencida"&amp;" · ","")&amp;IF(AND(ObsObligatoria="Sí",ISNUMBER($F175),$F175&lt;FechaRef,N($L175)&lt;1,$N175=""),"Vencida sin observación"&amp;" · ",""))="","✔ OK","⚠ "&amp;LEFT(IF(AND($S175="Macro",$B175=""),"Macroactividad vacía"&amp;" · ","")&amp;IF(AND($B175&lt;&gt;"",$C175&lt;&gt;""),"Escriba la subactividad en otra fila, debajo de su macroactividad"&amp;" · ","")&amp;IF(AND($S175="Sub",N($R175)=0),"Subactividad sin macroactividad arriba"&amp;" · ","")&amp;IF($D175="","Sin responsable"&amp;" · ","")&amp;IF($E175="","Sin fecha de inicio"&amp;" · ","")&amp;IF($F175="","Sin fecha límite"&amp;" · ","")&amp;IF(OR(AND($E175&lt;&gt;"",NOT(ISNUMBER($E175))),AND($F175&lt;&gt;"",NOT(ISNUMBER($F175)))),"Fecha no válida"&amp;" · ","")&amp;IF(AND(ISNUMBER($E175),ISNUMBER($F175),$E175&gt;$F175),"Inicio posterior a fecha límite"&amp;" · ","")&amp;IF(AND($S175="Macro",$G175=""),"Peso vacío"&amp;" · ","")&amp;IF(AND($S175="Macro",$G175&lt;&gt;"",OR(NOT(ISNUMBER($G175)),$G175&lt;=0,$G175&gt;1)),"Peso fuera de rango"&amp;" · ","")&amp;IF(AND($S175="Sub",$G175&lt;&gt;""),"Las subactividades no llevan peso"&amp;" · ","")&amp;IF(AND($S175="Macro",ABS(SUMIFS($G$5:$G$1000,$P$5:$P$1000,$P175,$S$5:$S$1000,"Macro")-1)&gt;0.0001),"Pesos del mes suman "&amp;TEXT(SUMIFS($G$5:$G$1000,$P$5:$P$1000,$P175,$S$5:$S$1000,"Macro"),"0%")&amp;" · ","")&amp;IF(AND(N($T175)&gt;0,COUNT($H175:$K175)&gt;0),"Con subactividades: deje vacías las semanas (se calculan solas)"&amp;" · ","")&amp;IF((COUNTIF($H175:$K175,"&gt;1")+COUNTIF($H175:$K175,"&lt;0")+COUNTA($H175:$K175)-COUNT($H175:$K175))&gt;0,"Avance fuera de rango 0-100%"&amp;" · ","")&amp;IF(OR(AND($I175&lt;&gt;"",$I175&lt;$H175),AND($J175&lt;&gt;"",$J175&lt;MAX($H175:$I175)),AND($K175&lt;&gt;"",$K175&lt;MAX($H175:$J175))),"Avance semanal decreciente"&amp;" · ","")&amp;IF(AND(ISNUMBER($F175),$F175&lt;FechaRef,N($L175)&lt;1),"Vencida"&amp;" · ","")&amp;IF(AND(ObsObligatoria="Sí",ISNUMBER($F175),$F175&lt;FechaRef,N($L175)&lt;1,$N175=""),"Vencida sin observación"&amp;" · ",""),LEN(IF(AND($S175="Macro",$B175=""),"Macroactividad vacía"&amp;" · ","")&amp;IF(AND($B175&lt;&gt;"",$C175&lt;&gt;""),"Escriba la subactividad en otra fila, debajo de su macroactividad"&amp;" · ","")&amp;IF(AND($S175="Sub",N($R175)=0),"Subactividad sin macroactividad arriba"&amp;" · ","")&amp;IF($D175="","Sin responsable"&amp;" · ","")&amp;IF($E175="","Sin fecha de inicio"&amp;" · ","")&amp;IF($F175="","Sin fecha límite"&amp;" · ","")&amp;IF(OR(AND($E175&lt;&gt;"",NOT(ISNUMBER($E175))),AND($F175&lt;&gt;"",NOT(ISNUMBER($F175)))),"Fecha no válida"&amp;" · ","")&amp;IF(AND(ISNUMBER($E175),ISNUMBER($F175),$E175&gt;$F175),"Inicio posterior a fecha límite"&amp;" · ","")&amp;IF(AND($S175="Macro",$G175=""),"Peso vacío"&amp;" · ","")&amp;IF(AND($S175="Macro",$G175&lt;&gt;"",OR(NOT(ISNUMBER($G175)),$G175&lt;=0,$G175&gt;1)),"Peso fuera de rango"&amp;" · ","")&amp;IF(AND($S175="Sub",$G175&lt;&gt;""),"Las subactividades no llevan peso"&amp;" · ","")&amp;IF(AND($S175="Macro",ABS(SUMIFS($G$5:$G$1000,$P$5:$P$1000,$P175,$S$5:$S$1000,"Macro")-1)&gt;0.0001),"Pesos del mes suman "&amp;TEXT(SUMIFS($G$5:$G$1000,$P$5:$P$1000,$P175,$S$5:$S$1000,"Macro"),"0%")&amp;" · ","")&amp;IF(AND(N($T175)&gt;0,COUNT($H175:$K175)&gt;0),"Con subactividades: deje vacías las semanas (se calculan solas)"&amp;" · ","")&amp;IF((COUNTIF($H175:$K175,"&gt;1")+COUNTIF($H175:$K175,"&lt;0")+COUNTA($H175:$K175)-COUNT($H175:$K175))&gt;0,"Avance fuera de rango 0-100%"&amp;" · ","")&amp;IF(OR(AND($I175&lt;&gt;"",$I175&lt;$H175),AND($J175&lt;&gt;"",$J175&lt;MAX($H175:$I175)),AND($K175&lt;&gt;"",$K175&lt;MAX($H175:$J175))),"Avance semanal decreciente"&amp;" · ","")&amp;IF(AND(ISNUMBER($F175),$F175&lt;FechaRef,N($L175)&lt;1),"Vencida"&amp;" · ","")&amp;IF(AND(ObsObligatoria="Sí",ISNUMBER($F175),$F175&lt;FechaRef,N($L175)&lt;1,$N175=""),"Vencida sin observación"&amp;" · ",""))-3)))</f>
        <v/>
      </c>
      <c r="P175" s="69">
        <f>IF(NOT((COUNTA($B175:$K175)+COUNTA($N175))&gt;0),"",IF(AND($S175="Sub",N($R175)&gt;0),IF(ISNUMBER(INDEX($E$5:$E$1000,$R175-4)),DATE(YEAR(INDEX($E$5:$E$1000,$R175-4)),MONTH(INDEX($E$5:$E$1000,$R175-4)),1),IF(ISNUMBER(INDEX($F$5:$F$1000,$R175-4)),DATE(YEAR(INDEX($F$5:$F$1000,$R175-4)),MONTH(INDEX($F$5:$F$1000,$R175-4)),1),MesCiclo)),IF(ISNUMBER($E175),DATE(YEAR($E175),MONTH($E175),1),IF(ISNUMBER($F175),DATE(YEAR($F175),MONTH($F175),1),MesCiclo))))</f>
        <v/>
      </c>
      <c r="Q175" s="70">
        <f>IF(OR($P175="",$P175&lt;&gt;MesCiclo),"",COUNTIF($P$5:$P175,MesCiclo))</f>
        <v/>
      </c>
      <c r="R175" s="70">
        <f>IF($S175="","",IF($S175="Macro",ROW(),IFERROR(LOOKUP(2,1/($S$5:$S175="Macro"),ROW($S$5:$S175)),0)))</f>
        <v/>
      </c>
      <c r="S175" s="70">
        <f>IF(NOT((COUNTA($B175:$K175)+COUNTA($N175))&gt;0),"",IF($B175&lt;&gt;"","Macro",IF($C175&lt;&gt;"","Sub","Macro")))</f>
        <v/>
      </c>
      <c r="T175" s="70">
        <f>IF($S175="Macro",COUNTIFS($R$5:$R$1000,ROW(),$S$5:$S$1000,"Sub"),"")</f>
        <v/>
      </c>
      <c r="U175" s="70">
        <f>IF($S175="","",IF(ISNUMBER($H175),$H175,0))</f>
        <v/>
      </c>
      <c r="V175" s="70">
        <f>IF($S175="","",IF(ISNUMBER($I175),$I175,$U175))</f>
        <v/>
      </c>
      <c r="W175" s="70">
        <f>IF($S175="","",IF(ISNUMBER($J175),$J175,$V175))</f>
        <v/>
      </c>
      <c r="X175" s="70">
        <f>IF($S175="","",IF(ISNUMBER($K175),$K175,$W175))</f>
        <v/>
      </c>
      <c r="Y175" s="70">
        <f>IF($S175="","",IF(N($T175)&gt;0,AVERAGEIFS($U$5:$U$1000,$R$5:$R$1000,ROW(),$S$5:$S$1000,"Sub"),$U175))</f>
        <v/>
      </c>
      <c r="Z175" s="70">
        <f>IF($S175="","",IF(N($T175)&gt;0,AVERAGEIFS($V$5:$V$1000,$R$5:$R$1000,ROW(),$S$5:$S$1000,"Sub"),$V175))</f>
        <v/>
      </c>
      <c r="AA175" s="70">
        <f>IF($S175="","",IF(N($T175)&gt;0,AVERAGEIFS($W$5:$W$1000,$R$5:$R$1000,ROW(),$S$5:$S$1000,"Sub"),$W175))</f>
        <v/>
      </c>
      <c r="AB175" s="70">
        <f>IF($S175="","",IF(N($T175)&gt;0,AVERAGEIFS($X$5:$X$1000,$R$5:$R$1000,ROW(),$S$5:$S$1000,"Sub"),$X175))</f>
        <v/>
      </c>
    </row>
    <row r="176">
      <c r="A176" s="61">
        <f>IF(NOT((COUNTA($B176:$K176)+COUNTA($N176))&gt;0),"",IF($S176="Macro",COUNTIFS($S$5:$S176,"Macro",$P$5:$P176,$P176),IF(N($R176)=0,"?",COUNTIFS(INDEX($S$5:$S$1000,1):INDEX($S$5:$S$1000,$R176-4),"Macro",INDEX($P$5:$P$1000,1):INDEX($P$5:$P$1000,$R176-4),INDEX($P$5:$P$1000,$R176-4))&amp;"."&amp;COUNTIFS($R$5:$R176,$R176,$S$5:$S176,"Sub"))))</f>
        <v/>
      </c>
      <c r="B176" s="62" t="n"/>
      <c r="C176" s="63" t="n"/>
      <c r="D176" s="62" t="n"/>
      <c r="E176" s="64" t="n"/>
      <c r="F176" s="64" t="n"/>
      <c r="G176" s="65" t="n"/>
      <c r="H176" s="66" t="n"/>
      <c r="I176" s="66" t="n"/>
      <c r="J176" s="66" t="n"/>
      <c r="K176" s="66" t="n"/>
      <c r="L176" s="67">
        <f>IF(NOT((COUNTA($B176:$K176)+COUNTA($N176))&gt;0),"",IF(N($T176)&gt;0,$AB176,IFERROR(LOOKUP(2,1/(H176:K176&lt;&gt;""),H176:K176),0)))</f>
        <v/>
      </c>
      <c r="M176" s="61">
        <f>IF(L176="","",IF(L176&gt;=1,"Completado",IF(L176&gt;0,"En curso","Pendiente")))</f>
        <v/>
      </c>
      <c r="N176" s="62" t="n"/>
      <c r="O176" s="68">
        <f>IF(NOT((COUNTA($B176:$K176)+COUNTA($N176))&gt;0),"",IF((IF(AND($S176="Macro",$B176=""),"Macroactividad vacía"&amp;" · ","")&amp;IF(AND($B176&lt;&gt;"",$C176&lt;&gt;""),"Escriba la subactividad en otra fila, debajo de su macroactividad"&amp;" · ","")&amp;IF(AND($S176="Sub",N($R176)=0),"Subactividad sin macroactividad arriba"&amp;" · ","")&amp;IF($D176="","Sin responsable"&amp;" · ","")&amp;IF($E176="","Sin fecha de inicio"&amp;" · ","")&amp;IF($F176="","Sin fecha límite"&amp;" · ","")&amp;IF(OR(AND($E176&lt;&gt;"",NOT(ISNUMBER($E176))),AND($F176&lt;&gt;"",NOT(ISNUMBER($F176)))),"Fecha no válida"&amp;" · ","")&amp;IF(AND(ISNUMBER($E176),ISNUMBER($F176),$E176&gt;$F176),"Inicio posterior a fecha límite"&amp;" · ","")&amp;IF(AND($S176="Macro",$G176=""),"Peso vacío"&amp;" · ","")&amp;IF(AND($S176="Macro",$G176&lt;&gt;"",OR(NOT(ISNUMBER($G176)),$G176&lt;=0,$G176&gt;1)),"Peso fuera de rango"&amp;" · ","")&amp;IF(AND($S176="Sub",$G176&lt;&gt;""),"Las subactividades no llevan peso"&amp;" · ","")&amp;IF(AND($S176="Macro",ABS(SUMIFS($G$5:$G$1000,$P$5:$P$1000,$P176,$S$5:$S$1000,"Macro")-1)&gt;0.0001),"Pesos del mes suman "&amp;TEXT(SUMIFS($G$5:$G$1000,$P$5:$P$1000,$P176,$S$5:$S$1000,"Macro"),"0%")&amp;" · ","")&amp;IF(AND(N($T176)&gt;0,COUNT($H176:$K176)&gt;0),"Con subactividades: deje vacías las semanas (se calculan solas)"&amp;" · ","")&amp;IF((COUNTIF($H176:$K176,"&gt;1")+COUNTIF($H176:$K176,"&lt;0")+COUNTA($H176:$K176)-COUNT($H176:$K176))&gt;0,"Avance fuera de rango 0-100%"&amp;" · ","")&amp;IF(OR(AND($I176&lt;&gt;"",$I176&lt;$H176),AND($J176&lt;&gt;"",$J176&lt;MAX($H176:$I176)),AND($K176&lt;&gt;"",$K176&lt;MAX($H176:$J176))),"Avance semanal decreciente"&amp;" · ","")&amp;IF(AND(ISNUMBER($F176),$F176&lt;FechaRef,N($L176)&lt;1),"Vencida"&amp;" · ","")&amp;IF(AND(ObsObligatoria="Sí",ISNUMBER($F176),$F176&lt;FechaRef,N($L176)&lt;1,$N176=""),"Vencida sin observación"&amp;" · ",""))="","✔ OK","⚠ "&amp;LEFT(IF(AND($S176="Macro",$B176=""),"Macroactividad vacía"&amp;" · ","")&amp;IF(AND($B176&lt;&gt;"",$C176&lt;&gt;""),"Escriba la subactividad en otra fila, debajo de su macroactividad"&amp;" · ","")&amp;IF(AND($S176="Sub",N($R176)=0),"Subactividad sin macroactividad arriba"&amp;" · ","")&amp;IF($D176="","Sin responsable"&amp;" · ","")&amp;IF($E176="","Sin fecha de inicio"&amp;" · ","")&amp;IF($F176="","Sin fecha límite"&amp;" · ","")&amp;IF(OR(AND($E176&lt;&gt;"",NOT(ISNUMBER($E176))),AND($F176&lt;&gt;"",NOT(ISNUMBER($F176)))),"Fecha no válida"&amp;" · ","")&amp;IF(AND(ISNUMBER($E176),ISNUMBER($F176),$E176&gt;$F176),"Inicio posterior a fecha límite"&amp;" · ","")&amp;IF(AND($S176="Macro",$G176=""),"Peso vacío"&amp;" · ","")&amp;IF(AND($S176="Macro",$G176&lt;&gt;"",OR(NOT(ISNUMBER($G176)),$G176&lt;=0,$G176&gt;1)),"Peso fuera de rango"&amp;" · ","")&amp;IF(AND($S176="Sub",$G176&lt;&gt;""),"Las subactividades no llevan peso"&amp;" · ","")&amp;IF(AND($S176="Macro",ABS(SUMIFS($G$5:$G$1000,$P$5:$P$1000,$P176,$S$5:$S$1000,"Macro")-1)&gt;0.0001),"Pesos del mes suman "&amp;TEXT(SUMIFS($G$5:$G$1000,$P$5:$P$1000,$P176,$S$5:$S$1000,"Macro"),"0%")&amp;" · ","")&amp;IF(AND(N($T176)&gt;0,COUNT($H176:$K176)&gt;0),"Con subactividades: deje vacías las semanas (se calculan solas)"&amp;" · ","")&amp;IF((COUNTIF($H176:$K176,"&gt;1")+COUNTIF($H176:$K176,"&lt;0")+COUNTA($H176:$K176)-COUNT($H176:$K176))&gt;0,"Avance fuera de rango 0-100%"&amp;" · ","")&amp;IF(OR(AND($I176&lt;&gt;"",$I176&lt;$H176),AND($J176&lt;&gt;"",$J176&lt;MAX($H176:$I176)),AND($K176&lt;&gt;"",$K176&lt;MAX($H176:$J176))),"Avance semanal decreciente"&amp;" · ","")&amp;IF(AND(ISNUMBER($F176),$F176&lt;FechaRef,N($L176)&lt;1),"Vencida"&amp;" · ","")&amp;IF(AND(ObsObligatoria="Sí",ISNUMBER($F176),$F176&lt;FechaRef,N($L176)&lt;1,$N176=""),"Vencida sin observación"&amp;" · ",""),LEN(IF(AND($S176="Macro",$B176=""),"Macroactividad vacía"&amp;" · ","")&amp;IF(AND($B176&lt;&gt;"",$C176&lt;&gt;""),"Escriba la subactividad en otra fila, debajo de su macroactividad"&amp;" · ","")&amp;IF(AND($S176="Sub",N($R176)=0),"Subactividad sin macroactividad arriba"&amp;" · ","")&amp;IF($D176="","Sin responsable"&amp;" · ","")&amp;IF($E176="","Sin fecha de inicio"&amp;" · ","")&amp;IF($F176="","Sin fecha límite"&amp;" · ","")&amp;IF(OR(AND($E176&lt;&gt;"",NOT(ISNUMBER($E176))),AND($F176&lt;&gt;"",NOT(ISNUMBER($F176)))),"Fecha no válida"&amp;" · ","")&amp;IF(AND(ISNUMBER($E176),ISNUMBER($F176),$E176&gt;$F176),"Inicio posterior a fecha límite"&amp;" · ","")&amp;IF(AND($S176="Macro",$G176=""),"Peso vacío"&amp;" · ","")&amp;IF(AND($S176="Macro",$G176&lt;&gt;"",OR(NOT(ISNUMBER($G176)),$G176&lt;=0,$G176&gt;1)),"Peso fuera de rango"&amp;" · ","")&amp;IF(AND($S176="Sub",$G176&lt;&gt;""),"Las subactividades no llevan peso"&amp;" · ","")&amp;IF(AND($S176="Macro",ABS(SUMIFS($G$5:$G$1000,$P$5:$P$1000,$P176,$S$5:$S$1000,"Macro")-1)&gt;0.0001),"Pesos del mes suman "&amp;TEXT(SUMIFS($G$5:$G$1000,$P$5:$P$1000,$P176,$S$5:$S$1000,"Macro"),"0%")&amp;" · ","")&amp;IF(AND(N($T176)&gt;0,COUNT($H176:$K176)&gt;0),"Con subactividades: deje vacías las semanas (se calculan solas)"&amp;" · ","")&amp;IF((COUNTIF($H176:$K176,"&gt;1")+COUNTIF($H176:$K176,"&lt;0")+COUNTA($H176:$K176)-COUNT($H176:$K176))&gt;0,"Avance fuera de rango 0-100%"&amp;" · ","")&amp;IF(OR(AND($I176&lt;&gt;"",$I176&lt;$H176),AND($J176&lt;&gt;"",$J176&lt;MAX($H176:$I176)),AND($K176&lt;&gt;"",$K176&lt;MAX($H176:$J176))),"Avance semanal decreciente"&amp;" · ","")&amp;IF(AND(ISNUMBER($F176),$F176&lt;FechaRef,N($L176)&lt;1),"Vencida"&amp;" · ","")&amp;IF(AND(ObsObligatoria="Sí",ISNUMBER($F176),$F176&lt;FechaRef,N($L176)&lt;1,$N176=""),"Vencida sin observación"&amp;" · ",""))-3)))</f>
        <v/>
      </c>
      <c r="P176" s="69">
        <f>IF(NOT((COUNTA($B176:$K176)+COUNTA($N176))&gt;0),"",IF(AND($S176="Sub",N($R176)&gt;0),IF(ISNUMBER(INDEX($E$5:$E$1000,$R176-4)),DATE(YEAR(INDEX($E$5:$E$1000,$R176-4)),MONTH(INDEX($E$5:$E$1000,$R176-4)),1),IF(ISNUMBER(INDEX($F$5:$F$1000,$R176-4)),DATE(YEAR(INDEX($F$5:$F$1000,$R176-4)),MONTH(INDEX($F$5:$F$1000,$R176-4)),1),MesCiclo)),IF(ISNUMBER($E176),DATE(YEAR($E176),MONTH($E176),1),IF(ISNUMBER($F176),DATE(YEAR($F176),MONTH($F176),1),MesCiclo))))</f>
        <v/>
      </c>
      <c r="Q176" s="70">
        <f>IF(OR($P176="",$P176&lt;&gt;MesCiclo),"",COUNTIF($P$5:$P176,MesCiclo))</f>
        <v/>
      </c>
      <c r="R176" s="70">
        <f>IF($S176="","",IF($S176="Macro",ROW(),IFERROR(LOOKUP(2,1/($S$5:$S176="Macro"),ROW($S$5:$S176)),0)))</f>
        <v/>
      </c>
      <c r="S176" s="70">
        <f>IF(NOT((COUNTA($B176:$K176)+COUNTA($N176))&gt;0),"",IF($B176&lt;&gt;"","Macro",IF($C176&lt;&gt;"","Sub","Macro")))</f>
        <v/>
      </c>
      <c r="T176" s="70">
        <f>IF($S176="Macro",COUNTIFS($R$5:$R$1000,ROW(),$S$5:$S$1000,"Sub"),"")</f>
        <v/>
      </c>
      <c r="U176" s="70">
        <f>IF($S176="","",IF(ISNUMBER($H176),$H176,0))</f>
        <v/>
      </c>
      <c r="V176" s="70">
        <f>IF($S176="","",IF(ISNUMBER($I176),$I176,$U176))</f>
        <v/>
      </c>
      <c r="W176" s="70">
        <f>IF($S176="","",IF(ISNUMBER($J176),$J176,$V176))</f>
        <v/>
      </c>
      <c r="X176" s="70">
        <f>IF($S176="","",IF(ISNUMBER($K176),$K176,$W176))</f>
        <v/>
      </c>
      <c r="Y176" s="70">
        <f>IF($S176="","",IF(N($T176)&gt;0,AVERAGEIFS($U$5:$U$1000,$R$5:$R$1000,ROW(),$S$5:$S$1000,"Sub"),$U176))</f>
        <v/>
      </c>
      <c r="Z176" s="70">
        <f>IF($S176="","",IF(N($T176)&gt;0,AVERAGEIFS($V$5:$V$1000,$R$5:$R$1000,ROW(),$S$5:$S$1000,"Sub"),$V176))</f>
        <v/>
      </c>
      <c r="AA176" s="70">
        <f>IF($S176="","",IF(N($T176)&gt;0,AVERAGEIFS($W$5:$W$1000,$R$5:$R$1000,ROW(),$S$5:$S$1000,"Sub"),$W176))</f>
        <v/>
      </c>
      <c r="AB176" s="70">
        <f>IF($S176="","",IF(N($T176)&gt;0,AVERAGEIFS($X$5:$X$1000,$R$5:$R$1000,ROW(),$S$5:$S$1000,"Sub"),$X176))</f>
        <v/>
      </c>
    </row>
    <row r="177">
      <c r="A177" s="61">
        <f>IF(NOT((COUNTA($B177:$K177)+COUNTA($N177))&gt;0),"",IF($S177="Macro",COUNTIFS($S$5:$S177,"Macro",$P$5:$P177,$P177),IF(N($R177)=0,"?",COUNTIFS(INDEX($S$5:$S$1000,1):INDEX($S$5:$S$1000,$R177-4),"Macro",INDEX($P$5:$P$1000,1):INDEX($P$5:$P$1000,$R177-4),INDEX($P$5:$P$1000,$R177-4))&amp;"."&amp;COUNTIFS($R$5:$R177,$R177,$S$5:$S177,"Sub"))))</f>
        <v/>
      </c>
      <c r="B177" s="62" t="n"/>
      <c r="C177" s="63" t="n"/>
      <c r="D177" s="62" t="n"/>
      <c r="E177" s="64" t="n"/>
      <c r="F177" s="64" t="n"/>
      <c r="G177" s="65" t="n"/>
      <c r="H177" s="66" t="n"/>
      <c r="I177" s="66" t="n"/>
      <c r="J177" s="66" t="n"/>
      <c r="K177" s="66" t="n"/>
      <c r="L177" s="67">
        <f>IF(NOT((COUNTA($B177:$K177)+COUNTA($N177))&gt;0),"",IF(N($T177)&gt;0,$AB177,IFERROR(LOOKUP(2,1/(H177:K177&lt;&gt;""),H177:K177),0)))</f>
        <v/>
      </c>
      <c r="M177" s="61">
        <f>IF(L177="","",IF(L177&gt;=1,"Completado",IF(L177&gt;0,"En curso","Pendiente")))</f>
        <v/>
      </c>
      <c r="N177" s="62" t="n"/>
      <c r="O177" s="68">
        <f>IF(NOT((COUNTA($B177:$K177)+COUNTA($N177))&gt;0),"",IF((IF(AND($S177="Macro",$B177=""),"Macroactividad vacía"&amp;" · ","")&amp;IF(AND($B177&lt;&gt;"",$C177&lt;&gt;""),"Escriba la subactividad en otra fila, debajo de su macroactividad"&amp;" · ","")&amp;IF(AND($S177="Sub",N($R177)=0),"Subactividad sin macroactividad arriba"&amp;" · ","")&amp;IF($D177="","Sin responsable"&amp;" · ","")&amp;IF($E177="","Sin fecha de inicio"&amp;" · ","")&amp;IF($F177="","Sin fecha límite"&amp;" · ","")&amp;IF(OR(AND($E177&lt;&gt;"",NOT(ISNUMBER($E177))),AND($F177&lt;&gt;"",NOT(ISNUMBER($F177)))),"Fecha no válida"&amp;" · ","")&amp;IF(AND(ISNUMBER($E177),ISNUMBER($F177),$E177&gt;$F177),"Inicio posterior a fecha límite"&amp;" · ","")&amp;IF(AND($S177="Macro",$G177=""),"Peso vacío"&amp;" · ","")&amp;IF(AND($S177="Macro",$G177&lt;&gt;"",OR(NOT(ISNUMBER($G177)),$G177&lt;=0,$G177&gt;1)),"Peso fuera de rango"&amp;" · ","")&amp;IF(AND($S177="Sub",$G177&lt;&gt;""),"Las subactividades no llevan peso"&amp;" · ","")&amp;IF(AND($S177="Macro",ABS(SUMIFS($G$5:$G$1000,$P$5:$P$1000,$P177,$S$5:$S$1000,"Macro")-1)&gt;0.0001),"Pesos del mes suman "&amp;TEXT(SUMIFS($G$5:$G$1000,$P$5:$P$1000,$P177,$S$5:$S$1000,"Macro"),"0%")&amp;" · ","")&amp;IF(AND(N($T177)&gt;0,COUNT($H177:$K177)&gt;0),"Con subactividades: deje vacías las semanas (se calculan solas)"&amp;" · ","")&amp;IF((COUNTIF($H177:$K177,"&gt;1")+COUNTIF($H177:$K177,"&lt;0")+COUNTA($H177:$K177)-COUNT($H177:$K177))&gt;0,"Avance fuera de rango 0-100%"&amp;" · ","")&amp;IF(OR(AND($I177&lt;&gt;"",$I177&lt;$H177),AND($J177&lt;&gt;"",$J177&lt;MAX($H177:$I177)),AND($K177&lt;&gt;"",$K177&lt;MAX($H177:$J177))),"Avance semanal decreciente"&amp;" · ","")&amp;IF(AND(ISNUMBER($F177),$F177&lt;FechaRef,N($L177)&lt;1),"Vencida"&amp;" · ","")&amp;IF(AND(ObsObligatoria="Sí",ISNUMBER($F177),$F177&lt;FechaRef,N($L177)&lt;1,$N177=""),"Vencida sin observación"&amp;" · ",""))="","✔ OK","⚠ "&amp;LEFT(IF(AND($S177="Macro",$B177=""),"Macroactividad vacía"&amp;" · ","")&amp;IF(AND($B177&lt;&gt;"",$C177&lt;&gt;""),"Escriba la subactividad en otra fila, debajo de su macroactividad"&amp;" · ","")&amp;IF(AND($S177="Sub",N($R177)=0),"Subactividad sin macroactividad arriba"&amp;" · ","")&amp;IF($D177="","Sin responsable"&amp;" · ","")&amp;IF($E177="","Sin fecha de inicio"&amp;" · ","")&amp;IF($F177="","Sin fecha límite"&amp;" · ","")&amp;IF(OR(AND($E177&lt;&gt;"",NOT(ISNUMBER($E177))),AND($F177&lt;&gt;"",NOT(ISNUMBER($F177)))),"Fecha no válida"&amp;" · ","")&amp;IF(AND(ISNUMBER($E177),ISNUMBER($F177),$E177&gt;$F177),"Inicio posterior a fecha límite"&amp;" · ","")&amp;IF(AND($S177="Macro",$G177=""),"Peso vacío"&amp;" · ","")&amp;IF(AND($S177="Macro",$G177&lt;&gt;"",OR(NOT(ISNUMBER($G177)),$G177&lt;=0,$G177&gt;1)),"Peso fuera de rango"&amp;" · ","")&amp;IF(AND($S177="Sub",$G177&lt;&gt;""),"Las subactividades no llevan peso"&amp;" · ","")&amp;IF(AND($S177="Macro",ABS(SUMIFS($G$5:$G$1000,$P$5:$P$1000,$P177,$S$5:$S$1000,"Macro")-1)&gt;0.0001),"Pesos del mes suman "&amp;TEXT(SUMIFS($G$5:$G$1000,$P$5:$P$1000,$P177,$S$5:$S$1000,"Macro"),"0%")&amp;" · ","")&amp;IF(AND(N($T177)&gt;0,COUNT($H177:$K177)&gt;0),"Con subactividades: deje vacías las semanas (se calculan solas)"&amp;" · ","")&amp;IF((COUNTIF($H177:$K177,"&gt;1")+COUNTIF($H177:$K177,"&lt;0")+COUNTA($H177:$K177)-COUNT($H177:$K177))&gt;0,"Avance fuera de rango 0-100%"&amp;" · ","")&amp;IF(OR(AND($I177&lt;&gt;"",$I177&lt;$H177),AND($J177&lt;&gt;"",$J177&lt;MAX($H177:$I177)),AND($K177&lt;&gt;"",$K177&lt;MAX($H177:$J177))),"Avance semanal decreciente"&amp;" · ","")&amp;IF(AND(ISNUMBER($F177),$F177&lt;FechaRef,N($L177)&lt;1),"Vencida"&amp;" · ","")&amp;IF(AND(ObsObligatoria="Sí",ISNUMBER($F177),$F177&lt;FechaRef,N($L177)&lt;1,$N177=""),"Vencida sin observación"&amp;" · ",""),LEN(IF(AND($S177="Macro",$B177=""),"Macroactividad vacía"&amp;" · ","")&amp;IF(AND($B177&lt;&gt;"",$C177&lt;&gt;""),"Escriba la subactividad en otra fila, debajo de su macroactividad"&amp;" · ","")&amp;IF(AND($S177="Sub",N($R177)=0),"Subactividad sin macroactividad arriba"&amp;" · ","")&amp;IF($D177="","Sin responsable"&amp;" · ","")&amp;IF($E177="","Sin fecha de inicio"&amp;" · ","")&amp;IF($F177="","Sin fecha límite"&amp;" · ","")&amp;IF(OR(AND($E177&lt;&gt;"",NOT(ISNUMBER($E177))),AND($F177&lt;&gt;"",NOT(ISNUMBER($F177)))),"Fecha no válida"&amp;" · ","")&amp;IF(AND(ISNUMBER($E177),ISNUMBER($F177),$E177&gt;$F177),"Inicio posterior a fecha límite"&amp;" · ","")&amp;IF(AND($S177="Macro",$G177=""),"Peso vacío"&amp;" · ","")&amp;IF(AND($S177="Macro",$G177&lt;&gt;"",OR(NOT(ISNUMBER($G177)),$G177&lt;=0,$G177&gt;1)),"Peso fuera de rango"&amp;" · ","")&amp;IF(AND($S177="Sub",$G177&lt;&gt;""),"Las subactividades no llevan peso"&amp;" · ","")&amp;IF(AND($S177="Macro",ABS(SUMIFS($G$5:$G$1000,$P$5:$P$1000,$P177,$S$5:$S$1000,"Macro")-1)&gt;0.0001),"Pesos del mes suman "&amp;TEXT(SUMIFS($G$5:$G$1000,$P$5:$P$1000,$P177,$S$5:$S$1000,"Macro"),"0%")&amp;" · ","")&amp;IF(AND(N($T177)&gt;0,COUNT($H177:$K177)&gt;0),"Con subactividades: deje vacías las semanas (se calculan solas)"&amp;" · ","")&amp;IF((COUNTIF($H177:$K177,"&gt;1")+COUNTIF($H177:$K177,"&lt;0")+COUNTA($H177:$K177)-COUNT($H177:$K177))&gt;0,"Avance fuera de rango 0-100%"&amp;" · ","")&amp;IF(OR(AND($I177&lt;&gt;"",$I177&lt;$H177),AND($J177&lt;&gt;"",$J177&lt;MAX($H177:$I177)),AND($K177&lt;&gt;"",$K177&lt;MAX($H177:$J177))),"Avance semanal decreciente"&amp;" · ","")&amp;IF(AND(ISNUMBER($F177),$F177&lt;FechaRef,N($L177)&lt;1),"Vencida"&amp;" · ","")&amp;IF(AND(ObsObligatoria="Sí",ISNUMBER($F177),$F177&lt;FechaRef,N($L177)&lt;1,$N177=""),"Vencida sin observación"&amp;" · ",""))-3)))</f>
        <v/>
      </c>
      <c r="P177" s="69">
        <f>IF(NOT((COUNTA($B177:$K177)+COUNTA($N177))&gt;0),"",IF(AND($S177="Sub",N($R177)&gt;0),IF(ISNUMBER(INDEX($E$5:$E$1000,$R177-4)),DATE(YEAR(INDEX($E$5:$E$1000,$R177-4)),MONTH(INDEX($E$5:$E$1000,$R177-4)),1),IF(ISNUMBER(INDEX($F$5:$F$1000,$R177-4)),DATE(YEAR(INDEX($F$5:$F$1000,$R177-4)),MONTH(INDEX($F$5:$F$1000,$R177-4)),1),MesCiclo)),IF(ISNUMBER($E177),DATE(YEAR($E177),MONTH($E177),1),IF(ISNUMBER($F177),DATE(YEAR($F177),MONTH($F177),1),MesCiclo))))</f>
        <v/>
      </c>
      <c r="Q177" s="70">
        <f>IF(OR($P177="",$P177&lt;&gt;MesCiclo),"",COUNTIF($P$5:$P177,MesCiclo))</f>
        <v/>
      </c>
      <c r="R177" s="70">
        <f>IF($S177="","",IF($S177="Macro",ROW(),IFERROR(LOOKUP(2,1/($S$5:$S177="Macro"),ROW($S$5:$S177)),0)))</f>
        <v/>
      </c>
      <c r="S177" s="70">
        <f>IF(NOT((COUNTA($B177:$K177)+COUNTA($N177))&gt;0),"",IF($B177&lt;&gt;"","Macro",IF($C177&lt;&gt;"","Sub","Macro")))</f>
        <v/>
      </c>
      <c r="T177" s="70">
        <f>IF($S177="Macro",COUNTIFS($R$5:$R$1000,ROW(),$S$5:$S$1000,"Sub"),"")</f>
        <v/>
      </c>
      <c r="U177" s="70">
        <f>IF($S177="","",IF(ISNUMBER($H177),$H177,0))</f>
        <v/>
      </c>
      <c r="V177" s="70">
        <f>IF($S177="","",IF(ISNUMBER($I177),$I177,$U177))</f>
        <v/>
      </c>
      <c r="W177" s="70">
        <f>IF($S177="","",IF(ISNUMBER($J177),$J177,$V177))</f>
        <v/>
      </c>
      <c r="X177" s="70">
        <f>IF($S177="","",IF(ISNUMBER($K177),$K177,$W177))</f>
        <v/>
      </c>
      <c r="Y177" s="70">
        <f>IF($S177="","",IF(N($T177)&gt;0,AVERAGEIFS($U$5:$U$1000,$R$5:$R$1000,ROW(),$S$5:$S$1000,"Sub"),$U177))</f>
        <v/>
      </c>
      <c r="Z177" s="70">
        <f>IF($S177="","",IF(N($T177)&gt;0,AVERAGEIFS($V$5:$V$1000,$R$5:$R$1000,ROW(),$S$5:$S$1000,"Sub"),$V177))</f>
        <v/>
      </c>
      <c r="AA177" s="70">
        <f>IF($S177="","",IF(N($T177)&gt;0,AVERAGEIFS($W$5:$W$1000,$R$5:$R$1000,ROW(),$S$5:$S$1000,"Sub"),$W177))</f>
        <v/>
      </c>
      <c r="AB177" s="70">
        <f>IF($S177="","",IF(N($T177)&gt;0,AVERAGEIFS($X$5:$X$1000,$R$5:$R$1000,ROW(),$S$5:$S$1000,"Sub"),$X177))</f>
        <v/>
      </c>
    </row>
    <row r="178">
      <c r="A178" s="61">
        <f>IF(NOT((COUNTA($B178:$K178)+COUNTA($N178))&gt;0),"",IF($S178="Macro",COUNTIFS($S$5:$S178,"Macro",$P$5:$P178,$P178),IF(N($R178)=0,"?",COUNTIFS(INDEX($S$5:$S$1000,1):INDEX($S$5:$S$1000,$R178-4),"Macro",INDEX($P$5:$P$1000,1):INDEX($P$5:$P$1000,$R178-4),INDEX($P$5:$P$1000,$R178-4))&amp;"."&amp;COUNTIFS($R$5:$R178,$R178,$S$5:$S178,"Sub"))))</f>
        <v/>
      </c>
      <c r="B178" s="62" t="n"/>
      <c r="C178" s="63" t="n"/>
      <c r="D178" s="62" t="n"/>
      <c r="E178" s="64" t="n"/>
      <c r="F178" s="64" t="n"/>
      <c r="G178" s="65" t="n"/>
      <c r="H178" s="66" t="n"/>
      <c r="I178" s="66" t="n"/>
      <c r="J178" s="66" t="n"/>
      <c r="K178" s="66" t="n"/>
      <c r="L178" s="67">
        <f>IF(NOT((COUNTA($B178:$K178)+COUNTA($N178))&gt;0),"",IF(N($T178)&gt;0,$AB178,IFERROR(LOOKUP(2,1/(H178:K178&lt;&gt;""),H178:K178),0)))</f>
        <v/>
      </c>
      <c r="M178" s="61">
        <f>IF(L178="","",IF(L178&gt;=1,"Completado",IF(L178&gt;0,"En curso","Pendiente")))</f>
        <v/>
      </c>
      <c r="N178" s="62" t="n"/>
      <c r="O178" s="68">
        <f>IF(NOT((COUNTA($B178:$K178)+COUNTA($N178))&gt;0),"",IF((IF(AND($S178="Macro",$B178=""),"Macroactividad vacía"&amp;" · ","")&amp;IF(AND($B178&lt;&gt;"",$C178&lt;&gt;""),"Escriba la subactividad en otra fila, debajo de su macroactividad"&amp;" · ","")&amp;IF(AND($S178="Sub",N($R178)=0),"Subactividad sin macroactividad arriba"&amp;" · ","")&amp;IF($D178="","Sin responsable"&amp;" · ","")&amp;IF($E178="","Sin fecha de inicio"&amp;" · ","")&amp;IF($F178="","Sin fecha límite"&amp;" · ","")&amp;IF(OR(AND($E178&lt;&gt;"",NOT(ISNUMBER($E178))),AND($F178&lt;&gt;"",NOT(ISNUMBER($F178)))),"Fecha no válida"&amp;" · ","")&amp;IF(AND(ISNUMBER($E178),ISNUMBER($F178),$E178&gt;$F178),"Inicio posterior a fecha límite"&amp;" · ","")&amp;IF(AND($S178="Macro",$G178=""),"Peso vacío"&amp;" · ","")&amp;IF(AND($S178="Macro",$G178&lt;&gt;"",OR(NOT(ISNUMBER($G178)),$G178&lt;=0,$G178&gt;1)),"Peso fuera de rango"&amp;" · ","")&amp;IF(AND($S178="Sub",$G178&lt;&gt;""),"Las subactividades no llevan peso"&amp;" · ","")&amp;IF(AND($S178="Macro",ABS(SUMIFS($G$5:$G$1000,$P$5:$P$1000,$P178,$S$5:$S$1000,"Macro")-1)&gt;0.0001),"Pesos del mes suman "&amp;TEXT(SUMIFS($G$5:$G$1000,$P$5:$P$1000,$P178,$S$5:$S$1000,"Macro"),"0%")&amp;" · ","")&amp;IF(AND(N($T178)&gt;0,COUNT($H178:$K178)&gt;0),"Con subactividades: deje vacías las semanas (se calculan solas)"&amp;" · ","")&amp;IF((COUNTIF($H178:$K178,"&gt;1")+COUNTIF($H178:$K178,"&lt;0")+COUNTA($H178:$K178)-COUNT($H178:$K178))&gt;0,"Avance fuera de rango 0-100%"&amp;" · ","")&amp;IF(OR(AND($I178&lt;&gt;"",$I178&lt;$H178),AND($J178&lt;&gt;"",$J178&lt;MAX($H178:$I178)),AND($K178&lt;&gt;"",$K178&lt;MAX($H178:$J178))),"Avance semanal decreciente"&amp;" · ","")&amp;IF(AND(ISNUMBER($F178),$F178&lt;FechaRef,N($L178)&lt;1),"Vencida"&amp;" · ","")&amp;IF(AND(ObsObligatoria="Sí",ISNUMBER($F178),$F178&lt;FechaRef,N($L178)&lt;1,$N178=""),"Vencida sin observación"&amp;" · ",""))="","✔ OK","⚠ "&amp;LEFT(IF(AND($S178="Macro",$B178=""),"Macroactividad vacía"&amp;" · ","")&amp;IF(AND($B178&lt;&gt;"",$C178&lt;&gt;""),"Escriba la subactividad en otra fila, debajo de su macroactividad"&amp;" · ","")&amp;IF(AND($S178="Sub",N($R178)=0),"Subactividad sin macroactividad arriba"&amp;" · ","")&amp;IF($D178="","Sin responsable"&amp;" · ","")&amp;IF($E178="","Sin fecha de inicio"&amp;" · ","")&amp;IF($F178="","Sin fecha límite"&amp;" · ","")&amp;IF(OR(AND($E178&lt;&gt;"",NOT(ISNUMBER($E178))),AND($F178&lt;&gt;"",NOT(ISNUMBER($F178)))),"Fecha no válida"&amp;" · ","")&amp;IF(AND(ISNUMBER($E178),ISNUMBER($F178),$E178&gt;$F178),"Inicio posterior a fecha límite"&amp;" · ","")&amp;IF(AND($S178="Macro",$G178=""),"Peso vacío"&amp;" · ","")&amp;IF(AND($S178="Macro",$G178&lt;&gt;"",OR(NOT(ISNUMBER($G178)),$G178&lt;=0,$G178&gt;1)),"Peso fuera de rango"&amp;" · ","")&amp;IF(AND($S178="Sub",$G178&lt;&gt;""),"Las subactividades no llevan peso"&amp;" · ","")&amp;IF(AND($S178="Macro",ABS(SUMIFS($G$5:$G$1000,$P$5:$P$1000,$P178,$S$5:$S$1000,"Macro")-1)&gt;0.0001),"Pesos del mes suman "&amp;TEXT(SUMIFS($G$5:$G$1000,$P$5:$P$1000,$P178,$S$5:$S$1000,"Macro"),"0%")&amp;" · ","")&amp;IF(AND(N($T178)&gt;0,COUNT($H178:$K178)&gt;0),"Con subactividades: deje vacías las semanas (se calculan solas)"&amp;" · ","")&amp;IF((COUNTIF($H178:$K178,"&gt;1")+COUNTIF($H178:$K178,"&lt;0")+COUNTA($H178:$K178)-COUNT($H178:$K178))&gt;0,"Avance fuera de rango 0-100%"&amp;" · ","")&amp;IF(OR(AND($I178&lt;&gt;"",$I178&lt;$H178),AND($J178&lt;&gt;"",$J178&lt;MAX($H178:$I178)),AND($K178&lt;&gt;"",$K178&lt;MAX($H178:$J178))),"Avance semanal decreciente"&amp;" · ","")&amp;IF(AND(ISNUMBER($F178),$F178&lt;FechaRef,N($L178)&lt;1),"Vencida"&amp;" · ","")&amp;IF(AND(ObsObligatoria="Sí",ISNUMBER($F178),$F178&lt;FechaRef,N($L178)&lt;1,$N178=""),"Vencida sin observación"&amp;" · ",""),LEN(IF(AND($S178="Macro",$B178=""),"Macroactividad vacía"&amp;" · ","")&amp;IF(AND($B178&lt;&gt;"",$C178&lt;&gt;""),"Escriba la subactividad en otra fila, debajo de su macroactividad"&amp;" · ","")&amp;IF(AND($S178="Sub",N($R178)=0),"Subactividad sin macroactividad arriba"&amp;" · ","")&amp;IF($D178="","Sin responsable"&amp;" · ","")&amp;IF($E178="","Sin fecha de inicio"&amp;" · ","")&amp;IF($F178="","Sin fecha límite"&amp;" · ","")&amp;IF(OR(AND($E178&lt;&gt;"",NOT(ISNUMBER($E178))),AND($F178&lt;&gt;"",NOT(ISNUMBER($F178)))),"Fecha no válida"&amp;" · ","")&amp;IF(AND(ISNUMBER($E178),ISNUMBER($F178),$E178&gt;$F178),"Inicio posterior a fecha límite"&amp;" · ","")&amp;IF(AND($S178="Macro",$G178=""),"Peso vacío"&amp;" · ","")&amp;IF(AND($S178="Macro",$G178&lt;&gt;"",OR(NOT(ISNUMBER($G178)),$G178&lt;=0,$G178&gt;1)),"Peso fuera de rango"&amp;" · ","")&amp;IF(AND($S178="Sub",$G178&lt;&gt;""),"Las subactividades no llevan peso"&amp;" · ","")&amp;IF(AND($S178="Macro",ABS(SUMIFS($G$5:$G$1000,$P$5:$P$1000,$P178,$S$5:$S$1000,"Macro")-1)&gt;0.0001),"Pesos del mes suman "&amp;TEXT(SUMIFS($G$5:$G$1000,$P$5:$P$1000,$P178,$S$5:$S$1000,"Macro"),"0%")&amp;" · ","")&amp;IF(AND(N($T178)&gt;0,COUNT($H178:$K178)&gt;0),"Con subactividades: deje vacías las semanas (se calculan solas)"&amp;" · ","")&amp;IF((COUNTIF($H178:$K178,"&gt;1")+COUNTIF($H178:$K178,"&lt;0")+COUNTA($H178:$K178)-COUNT($H178:$K178))&gt;0,"Avance fuera de rango 0-100%"&amp;" · ","")&amp;IF(OR(AND($I178&lt;&gt;"",$I178&lt;$H178),AND($J178&lt;&gt;"",$J178&lt;MAX($H178:$I178)),AND($K178&lt;&gt;"",$K178&lt;MAX($H178:$J178))),"Avance semanal decreciente"&amp;" · ","")&amp;IF(AND(ISNUMBER($F178),$F178&lt;FechaRef,N($L178)&lt;1),"Vencida"&amp;" · ","")&amp;IF(AND(ObsObligatoria="Sí",ISNUMBER($F178),$F178&lt;FechaRef,N($L178)&lt;1,$N178=""),"Vencida sin observación"&amp;" · ",""))-3)))</f>
        <v/>
      </c>
      <c r="P178" s="69">
        <f>IF(NOT((COUNTA($B178:$K178)+COUNTA($N178))&gt;0),"",IF(AND($S178="Sub",N($R178)&gt;0),IF(ISNUMBER(INDEX($E$5:$E$1000,$R178-4)),DATE(YEAR(INDEX($E$5:$E$1000,$R178-4)),MONTH(INDEX($E$5:$E$1000,$R178-4)),1),IF(ISNUMBER(INDEX($F$5:$F$1000,$R178-4)),DATE(YEAR(INDEX($F$5:$F$1000,$R178-4)),MONTH(INDEX($F$5:$F$1000,$R178-4)),1),MesCiclo)),IF(ISNUMBER($E178),DATE(YEAR($E178),MONTH($E178),1),IF(ISNUMBER($F178),DATE(YEAR($F178),MONTH($F178),1),MesCiclo))))</f>
        <v/>
      </c>
      <c r="Q178" s="70">
        <f>IF(OR($P178="",$P178&lt;&gt;MesCiclo),"",COUNTIF($P$5:$P178,MesCiclo))</f>
        <v/>
      </c>
      <c r="R178" s="70">
        <f>IF($S178="","",IF($S178="Macro",ROW(),IFERROR(LOOKUP(2,1/($S$5:$S178="Macro"),ROW($S$5:$S178)),0)))</f>
        <v/>
      </c>
      <c r="S178" s="70">
        <f>IF(NOT((COUNTA($B178:$K178)+COUNTA($N178))&gt;0),"",IF($B178&lt;&gt;"","Macro",IF($C178&lt;&gt;"","Sub","Macro")))</f>
        <v/>
      </c>
      <c r="T178" s="70">
        <f>IF($S178="Macro",COUNTIFS($R$5:$R$1000,ROW(),$S$5:$S$1000,"Sub"),"")</f>
        <v/>
      </c>
      <c r="U178" s="70">
        <f>IF($S178="","",IF(ISNUMBER($H178),$H178,0))</f>
        <v/>
      </c>
      <c r="V178" s="70">
        <f>IF($S178="","",IF(ISNUMBER($I178),$I178,$U178))</f>
        <v/>
      </c>
      <c r="W178" s="70">
        <f>IF($S178="","",IF(ISNUMBER($J178),$J178,$V178))</f>
        <v/>
      </c>
      <c r="X178" s="70">
        <f>IF($S178="","",IF(ISNUMBER($K178),$K178,$W178))</f>
        <v/>
      </c>
      <c r="Y178" s="70">
        <f>IF($S178="","",IF(N($T178)&gt;0,AVERAGEIFS($U$5:$U$1000,$R$5:$R$1000,ROW(),$S$5:$S$1000,"Sub"),$U178))</f>
        <v/>
      </c>
      <c r="Z178" s="70">
        <f>IF($S178="","",IF(N($T178)&gt;0,AVERAGEIFS($V$5:$V$1000,$R$5:$R$1000,ROW(),$S$5:$S$1000,"Sub"),$V178))</f>
        <v/>
      </c>
      <c r="AA178" s="70">
        <f>IF($S178="","",IF(N($T178)&gt;0,AVERAGEIFS($W$5:$W$1000,$R$5:$R$1000,ROW(),$S$5:$S$1000,"Sub"),$W178))</f>
        <v/>
      </c>
      <c r="AB178" s="70">
        <f>IF($S178="","",IF(N($T178)&gt;0,AVERAGEIFS($X$5:$X$1000,$R$5:$R$1000,ROW(),$S$5:$S$1000,"Sub"),$X178))</f>
        <v/>
      </c>
    </row>
    <row r="179">
      <c r="A179" s="61">
        <f>IF(NOT((COUNTA($B179:$K179)+COUNTA($N179))&gt;0),"",IF($S179="Macro",COUNTIFS($S$5:$S179,"Macro",$P$5:$P179,$P179),IF(N($R179)=0,"?",COUNTIFS(INDEX($S$5:$S$1000,1):INDEX($S$5:$S$1000,$R179-4),"Macro",INDEX($P$5:$P$1000,1):INDEX($P$5:$P$1000,$R179-4),INDEX($P$5:$P$1000,$R179-4))&amp;"."&amp;COUNTIFS($R$5:$R179,$R179,$S$5:$S179,"Sub"))))</f>
        <v/>
      </c>
      <c r="B179" s="62" t="n"/>
      <c r="C179" s="63" t="n"/>
      <c r="D179" s="62" t="n"/>
      <c r="E179" s="64" t="n"/>
      <c r="F179" s="64" t="n"/>
      <c r="G179" s="65" t="n"/>
      <c r="H179" s="66" t="n"/>
      <c r="I179" s="66" t="n"/>
      <c r="J179" s="66" t="n"/>
      <c r="K179" s="66" t="n"/>
      <c r="L179" s="67">
        <f>IF(NOT((COUNTA($B179:$K179)+COUNTA($N179))&gt;0),"",IF(N($T179)&gt;0,$AB179,IFERROR(LOOKUP(2,1/(H179:K179&lt;&gt;""),H179:K179),0)))</f>
        <v/>
      </c>
      <c r="M179" s="61">
        <f>IF(L179="","",IF(L179&gt;=1,"Completado",IF(L179&gt;0,"En curso","Pendiente")))</f>
        <v/>
      </c>
      <c r="N179" s="62" t="n"/>
      <c r="O179" s="68">
        <f>IF(NOT((COUNTA($B179:$K179)+COUNTA($N179))&gt;0),"",IF((IF(AND($S179="Macro",$B179=""),"Macroactividad vacía"&amp;" · ","")&amp;IF(AND($B179&lt;&gt;"",$C179&lt;&gt;""),"Escriba la subactividad en otra fila, debajo de su macroactividad"&amp;" · ","")&amp;IF(AND($S179="Sub",N($R179)=0),"Subactividad sin macroactividad arriba"&amp;" · ","")&amp;IF($D179="","Sin responsable"&amp;" · ","")&amp;IF($E179="","Sin fecha de inicio"&amp;" · ","")&amp;IF($F179="","Sin fecha límite"&amp;" · ","")&amp;IF(OR(AND($E179&lt;&gt;"",NOT(ISNUMBER($E179))),AND($F179&lt;&gt;"",NOT(ISNUMBER($F179)))),"Fecha no válida"&amp;" · ","")&amp;IF(AND(ISNUMBER($E179),ISNUMBER($F179),$E179&gt;$F179),"Inicio posterior a fecha límite"&amp;" · ","")&amp;IF(AND($S179="Macro",$G179=""),"Peso vacío"&amp;" · ","")&amp;IF(AND($S179="Macro",$G179&lt;&gt;"",OR(NOT(ISNUMBER($G179)),$G179&lt;=0,$G179&gt;1)),"Peso fuera de rango"&amp;" · ","")&amp;IF(AND($S179="Sub",$G179&lt;&gt;""),"Las subactividades no llevan peso"&amp;" · ","")&amp;IF(AND($S179="Macro",ABS(SUMIFS($G$5:$G$1000,$P$5:$P$1000,$P179,$S$5:$S$1000,"Macro")-1)&gt;0.0001),"Pesos del mes suman "&amp;TEXT(SUMIFS($G$5:$G$1000,$P$5:$P$1000,$P179,$S$5:$S$1000,"Macro"),"0%")&amp;" · ","")&amp;IF(AND(N($T179)&gt;0,COUNT($H179:$K179)&gt;0),"Con subactividades: deje vacías las semanas (se calculan solas)"&amp;" · ","")&amp;IF((COUNTIF($H179:$K179,"&gt;1")+COUNTIF($H179:$K179,"&lt;0")+COUNTA($H179:$K179)-COUNT($H179:$K179))&gt;0,"Avance fuera de rango 0-100%"&amp;" · ","")&amp;IF(OR(AND($I179&lt;&gt;"",$I179&lt;$H179),AND($J179&lt;&gt;"",$J179&lt;MAX($H179:$I179)),AND($K179&lt;&gt;"",$K179&lt;MAX($H179:$J179))),"Avance semanal decreciente"&amp;" · ","")&amp;IF(AND(ISNUMBER($F179),$F179&lt;FechaRef,N($L179)&lt;1),"Vencida"&amp;" · ","")&amp;IF(AND(ObsObligatoria="Sí",ISNUMBER($F179),$F179&lt;FechaRef,N($L179)&lt;1,$N179=""),"Vencida sin observación"&amp;" · ",""))="","✔ OK","⚠ "&amp;LEFT(IF(AND($S179="Macro",$B179=""),"Macroactividad vacía"&amp;" · ","")&amp;IF(AND($B179&lt;&gt;"",$C179&lt;&gt;""),"Escriba la subactividad en otra fila, debajo de su macroactividad"&amp;" · ","")&amp;IF(AND($S179="Sub",N($R179)=0),"Subactividad sin macroactividad arriba"&amp;" · ","")&amp;IF($D179="","Sin responsable"&amp;" · ","")&amp;IF($E179="","Sin fecha de inicio"&amp;" · ","")&amp;IF($F179="","Sin fecha límite"&amp;" · ","")&amp;IF(OR(AND($E179&lt;&gt;"",NOT(ISNUMBER($E179))),AND($F179&lt;&gt;"",NOT(ISNUMBER($F179)))),"Fecha no válida"&amp;" · ","")&amp;IF(AND(ISNUMBER($E179),ISNUMBER($F179),$E179&gt;$F179),"Inicio posterior a fecha límite"&amp;" · ","")&amp;IF(AND($S179="Macro",$G179=""),"Peso vacío"&amp;" · ","")&amp;IF(AND($S179="Macro",$G179&lt;&gt;"",OR(NOT(ISNUMBER($G179)),$G179&lt;=0,$G179&gt;1)),"Peso fuera de rango"&amp;" · ","")&amp;IF(AND($S179="Sub",$G179&lt;&gt;""),"Las subactividades no llevan peso"&amp;" · ","")&amp;IF(AND($S179="Macro",ABS(SUMIFS($G$5:$G$1000,$P$5:$P$1000,$P179,$S$5:$S$1000,"Macro")-1)&gt;0.0001),"Pesos del mes suman "&amp;TEXT(SUMIFS($G$5:$G$1000,$P$5:$P$1000,$P179,$S$5:$S$1000,"Macro"),"0%")&amp;" · ","")&amp;IF(AND(N($T179)&gt;0,COUNT($H179:$K179)&gt;0),"Con subactividades: deje vacías las semanas (se calculan solas)"&amp;" · ","")&amp;IF((COUNTIF($H179:$K179,"&gt;1")+COUNTIF($H179:$K179,"&lt;0")+COUNTA($H179:$K179)-COUNT($H179:$K179))&gt;0,"Avance fuera de rango 0-100%"&amp;" · ","")&amp;IF(OR(AND($I179&lt;&gt;"",$I179&lt;$H179),AND($J179&lt;&gt;"",$J179&lt;MAX($H179:$I179)),AND($K179&lt;&gt;"",$K179&lt;MAX($H179:$J179))),"Avance semanal decreciente"&amp;" · ","")&amp;IF(AND(ISNUMBER($F179),$F179&lt;FechaRef,N($L179)&lt;1),"Vencida"&amp;" · ","")&amp;IF(AND(ObsObligatoria="Sí",ISNUMBER($F179),$F179&lt;FechaRef,N($L179)&lt;1,$N179=""),"Vencida sin observación"&amp;" · ",""),LEN(IF(AND($S179="Macro",$B179=""),"Macroactividad vacía"&amp;" · ","")&amp;IF(AND($B179&lt;&gt;"",$C179&lt;&gt;""),"Escriba la subactividad en otra fila, debajo de su macroactividad"&amp;" · ","")&amp;IF(AND($S179="Sub",N($R179)=0),"Subactividad sin macroactividad arriba"&amp;" · ","")&amp;IF($D179="","Sin responsable"&amp;" · ","")&amp;IF($E179="","Sin fecha de inicio"&amp;" · ","")&amp;IF($F179="","Sin fecha límite"&amp;" · ","")&amp;IF(OR(AND($E179&lt;&gt;"",NOT(ISNUMBER($E179))),AND($F179&lt;&gt;"",NOT(ISNUMBER($F179)))),"Fecha no válida"&amp;" · ","")&amp;IF(AND(ISNUMBER($E179),ISNUMBER($F179),$E179&gt;$F179),"Inicio posterior a fecha límite"&amp;" · ","")&amp;IF(AND($S179="Macro",$G179=""),"Peso vacío"&amp;" · ","")&amp;IF(AND($S179="Macro",$G179&lt;&gt;"",OR(NOT(ISNUMBER($G179)),$G179&lt;=0,$G179&gt;1)),"Peso fuera de rango"&amp;" · ","")&amp;IF(AND($S179="Sub",$G179&lt;&gt;""),"Las subactividades no llevan peso"&amp;" · ","")&amp;IF(AND($S179="Macro",ABS(SUMIFS($G$5:$G$1000,$P$5:$P$1000,$P179,$S$5:$S$1000,"Macro")-1)&gt;0.0001),"Pesos del mes suman "&amp;TEXT(SUMIFS($G$5:$G$1000,$P$5:$P$1000,$P179,$S$5:$S$1000,"Macro"),"0%")&amp;" · ","")&amp;IF(AND(N($T179)&gt;0,COUNT($H179:$K179)&gt;0),"Con subactividades: deje vacías las semanas (se calculan solas)"&amp;" · ","")&amp;IF((COUNTIF($H179:$K179,"&gt;1")+COUNTIF($H179:$K179,"&lt;0")+COUNTA($H179:$K179)-COUNT($H179:$K179))&gt;0,"Avance fuera de rango 0-100%"&amp;" · ","")&amp;IF(OR(AND($I179&lt;&gt;"",$I179&lt;$H179),AND($J179&lt;&gt;"",$J179&lt;MAX($H179:$I179)),AND($K179&lt;&gt;"",$K179&lt;MAX($H179:$J179))),"Avance semanal decreciente"&amp;" · ","")&amp;IF(AND(ISNUMBER($F179),$F179&lt;FechaRef,N($L179)&lt;1),"Vencida"&amp;" · ","")&amp;IF(AND(ObsObligatoria="Sí",ISNUMBER($F179),$F179&lt;FechaRef,N($L179)&lt;1,$N179=""),"Vencida sin observación"&amp;" · ",""))-3)))</f>
        <v/>
      </c>
      <c r="P179" s="69">
        <f>IF(NOT((COUNTA($B179:$K179)+COUNTA($N179))&gt;0),"",IF(AND($S179="Sub",N($R179)&gt;0),IF(ISNUMBER(INDEX($E$5:$E$1000,$R179-4)),DATE(YEAR(INDEX($E$5:$E$1000,$R179-4)),MONTH(INDEX($E$5:$E$1000,$R179-4)),1),IF(ISNUMBER(INDEX($F$5:$F$1000,$R179-4)),DATE(YEAR(INDEX($F$5:$F$1000,$R179-4)),MONTH(INDEX($F$5:$F$1000,$R179-4)),1),MesCiclo)),IF(ISNUMBER($E179),DATE(YEAR($E179),MONTH($E179),1),IF(ISNUMBER($F179),DATE(YEAR($F179),MONTH($F179),1),MesCiclo))))</f>
        <v/>
      </c>
      <c r="Q179" s="70">
        <f>IF(OR($P179="",$P179&lt;&gt;MesCiclo),"",COUNTIF($P$5:$P179,MesCiclo))</f>
        <v/>
      </c>
      <c r="R179" s="70">
        <f>IF($S179="","",IF($S179="Macro",ROW(),IFERROR(LOOKUP(2,1/($S$5:$S179="Macro"),ROW($S$5:$S179)),0)))</f>
        <v/>
      </c>
      <c r="S179" s="70">
        <f>IF(NOT((COUNTA($B179:$K179)+COUNTA($N179))&gt;0),"",IF($B179&lt;&gt;"","Macro",IF($C179&lt;&gt;"","Sub","Macro")))</f>
        <v/>
      </c>
      <c r="T179" s="70">
        <f>IF($S179="Macro",COUNTIFS($R$5:$R$1000,ROW(),$S$5:$S$1000,"Sub"),"")</f>
        <v/>
      </c>
      <c r="U179" s="70">
        <f>IF($S179="","",IF(ISNUMBER($H179),$H179,0))</f>
        <v/>
      </c>
      <c r="V179" s="70">
        <f>IF($S179="","",IF(ISNUMBER($I179),$I179,$U179))</f>
        <v/>
      </c>
      <c r="W179" s="70">
        <f>IF($S179="","",IF(ISNUMBER($J179),$J179,$V179))</f>
        <v/>
      </c>
      <c r="X179" s="70">
        <f>IF($S179="","",IF(ISNUMBER($K179),$K179,$W179))</f>
        <v/>
      </c>
      <c r="Y179" s="70">
        <f>IF($S179="","",IF(N($T179)&gt;0,AVERAGEIFS($U$5:$U$1000,$R$5:$R$1000,ROW(),$S$5:$S$1000,"Sub"),$U179))</f>
        <v/>
      </c>
      <c r="Z179" s="70">
        <f>IF($S179="","",IF(N($T179)&gt;0,AVERAGEIFS($V$5:$V$1000,$R$5:$R$1000,ROW(),$S$5:$S$1000,"Sub"),$V179))</f>
        <v/>
      </c>
      <c r="AA179" s="70">
        <f>IF($S179="","",IF(N($T179)&gt;0,AVERAGEIFS($W$5:$W$1000,$R$5:$R$1000,ROW(),$S$5:$S$1000,"Sub"),$W179))</f>
        <v/>
      </c>
      <c r="AB179" s="70">
        <f>IF($S179="","",IF(N($T179)&gt;0,AVERAGEIFS($X$5:$X$1000,$R$5:$R$1000,ROW(),$S$5:$S$1000,"Sub"),$X179))</f>
        <v/>
      </c>
    </row>
    <row r="180">
      <c r="A180" s="61">
        <f>IF(NOT((COUNTA($B180:$K180)+COUNTA($N180))&gt;0),"",IF($S180="Macro",COUNTIFS($S$5:$S180,"Macro",$P$5:$P180,$P180),IF(N($R180)=0,"?",COUNTIFS(INDEX($S$5:$S$1000,1):INDEX($S$5:$S$1000,$R180-4),"Macro",INDEX($P$5:$P$1000,1):INDEX($P$5:$P$1000,$R180-4),INDEX($P$5:$P$1000,$R180-4))&amp;"."&amp;COUNTIFS($R$5:$R180,$R180,$S$5:$S180,"Sub"))))</f>
        <v/>
      </c>
      <c r="B180" s="62" t="n"/>
      <c r="C180" s="63" t="n"/>
      <c r="D180" s="62" t="n"/>
      <c r="E180" s="64" t="n"/>
      <c r="F180" s="64" t="n"/>
      <c r="G180" s="65" t="n"/>
      <c r="H180" s="66" t="n"/>
      <c r="I180" s="66" t="n"/>
      <c r="J180" s="66" t="n"/>
      <c r="K180" s="66" t="n"/>
      <c r="L180" s="67">
        <f>IF(NOT((COUNTA($B180:$K180)+COUNTA($N180))&gt;0),"",IF(N($T180)&gt;0,$AB180,IFERROR(LOOKUP(2,1/(H180:K180&lt;&gt;""),H180:K180),0)))</f>
        <v/>
      </c>
      <c r="M180" s="61">
        <f>IF(L180="","",IF(L180&gt;=1,"Completado",IF(L180&gt;0,"En curso","Pendiente")))</f>
        <v/>
      </c>
      <c r="N180" s="62" t="n"/>
      <c r="O180" s="68">
        <f>IF(NOT((COUNTA($B180:$K180)+COUNTA($N180))&gt;0),"",IF((IF(AND($S180="Macro",$B180=""),"Macroactividad vacía"&amp;" · ","")&amp;IF(AND($B180&lt;&gt;"",$C180&lt;&gt;""),"Escriba la subactividad en otra fila, debajo de su macroactividad"&amp;" · ","")&amp;IF(AND($S180="Sub",N($R180)=0),"Subactividad sin macroactividad arriba"&amp;" · ","")&amp;IF($D180="","Sin responsable"&amp;" · ","")&amp;IF($E180="","Sin fecha de inicio"&amp;" · ","")&amp;IF($F180="","Sin fecha límite"&amp;" · ","")&amp;IF(OR(AND($E180&lt;&gt;"",NOT(ISNUMBER($E180))),AND($F180&lt;&gt;"",NOT(ISNUMBER($F180)))),"Fecha no válida"&amp;" · ","")&amp;IF(AND(ISNUMBER($E180),ISNUMBER($F180),$E180&gt;$F180),"Inicio posterior a fecha límite"&amp;" · ","")&amp;IF(AND($S180="Macro",$G180=""),"Peso vacío"&amp;" · ","")&amp;IF(AND($S180="Macro",$G180&lt;&gt;"",OR(NOT(ISNUMBER($G180)),$G180&lt;=0,$G180&gt;1)),"Peso fuera de rango"&amp;" · ","")&amp;IF(AND($S180="Sub",$G180&lt;&gt;""),"Las subactividades no llevan peso"&amp;" · ","")&amp;IF(AND($S180="Macro",ABS(SUMIFS($G$5:$G$1000,$P$5:$P$1000,$P180,$S$5:$S$1000,"Macro")-1)&gt;0.0001),"Pesos del mes suman "&amp;TEXT(SUMIFS($G$5:$G$1000,$P$5:$P$1000,$P180,$S$5:$S$1000,"Macro"),"0%")&amp;" · ","")&amp;IF(AND(N($T180)&gt;0,COUNT($H180:$K180)&gt;0),"Con subactividades: deje vacías las semanas (se calculan solas)"&amp;" · ","")&amp;IF((COUNTIF($H180:$K180,"&gt;1")+COUNTIF($H180:$K180,"&lt;0")+COUNTA($H180:$K180)-COUNT($H180:$K180))&gt;0,"Avance fuera de rango 0-100%"&amp;" · ","")&amp;IF(OR(AND($I180&lt;&gt;"",$I180&lt;$H180),AND($J180&lt;&gt;"",$J180&lt;MAX($H180:$I180)),AND($K180&lt;&gt;"",$K180&lt;MAX($H180:$J180))),"Avance semanal decreciente"&amp;" · ","")&amp;IF(AND(ISNUMBER($F180),$F180&lt;FechaRef,N($L180)&lt;1),"Vencida"&amp;" · ","")&amp;IF(AND(ObsObligatoria="Sí",ISNUMBER($F180),$F180&lt;FechaRef,N($L180)&lt;1,$N180=""),"Vencida sin observación"&amp;" · ",""))="","✔ OK","⚠ "&amp;LEFT(IF(AND($S180="Macro",$B180=""),"Macroactividad vacía"&amp;" · ","")&amp;IF(AND($B180&lt;&gt;"",$C180&lt;&gt;""),"Escriba la subactividad en otra fila, debajo de su macroactividad"&amp;" · ","")&amp;IF(AND($S180="Sub",N($R180)=0),"Subactividad sin macroactividad arriba"&amp;" · ","")&amp;IF($D180="","Sin responsable"&amp;" · ","")&amp;IF($E180="","Sin fecha de inicio"&amp;" · ","")&amp;IF($F180="","Sin fecha límite"&amp;" · ","")&amp;IF(OR(AND($E180&lt;&gt;"",NOT(ISNUMBER($E180))),AND($F180&lt;&gt;"",NOT(ISNUMBER($F180)))),"Fecha no válida"&amp;" · ","")&amp;IF(AND(ISNUMBER($E180),ISNUMBER($F180),$E180&gt;$F180),"Inicio posterior a fecha límite"&amp;" · ","")&amp;IF(AND($S180="Macro",$G180=""),"Peso vacío"&amp;" · ","")&amp;IF(AND($S180="Macro",$G180&lt;&gt;"",OR(NOT(ISNUMBER($G180)),$G180&lt;=0,$G180&gt;1)),"Peso fuera de rango"&amp;" · ","")&amp;IF(AND($S180="Sub",$G180&lt;&gt;""),"Las subactividades no llevan peso"&amp;" · ","")&amp;IF(AND($S180="Macro",ABS(SUMIFS($G$5:$G$1000,$P$5:$P$1000,$P180,$S$5:$S$1000,"Macro")-1)&gt;0.0001),"Pesos del mes suman "&amp;TEXT(SUMIFS($G$5:$G$1000,$P$5:$P$1000,$P180,$S$5:$S$1000,"Macro"),"0%")&amp;" · ","")&amp;IF(AND(N($T180)&gt;0,COUNT($H180:$K180)&gt;0),"Con subactividades: deje vacías las semanas (se calculan solas)"&amp;" · ","")&amp;IF((COUNTIF($H180:$K180,"&gt;1")+COUNTIF($H180:$K180,"&lt;0")+COUNTA($H180:$K180)-COUNT($H180:$K180))&gt;0,"Avance fuera de rango 0-100%"&amp;" · ","")&amp;IF(OR(AND($I180&lt;&gt;"",$I180&lt;$H180),AND($J180&lt;&gt;"",$J180&lt;MAX($H180:$I180)),AND($K180&lt;&gt;"",$K180&lt;MAX($H180:$J180))),"Avance semanal decreciente"&amp;" · ","")&amp;IF(AND(ISNUMBER($F180),$F180&lt;FechaRef,N($L180)&lt;1),"Vencida"&amp;" · ","")&amp;IF(AND(ObsObligatoria="Sí",ISNUMBER($F180),$F180&lt;FechaRef,N($L180)&lt;1,$N180=""),"Vencida sin observación"&amp;" · ",""),LEN(IF(AND($S180="Macro",$B180=""),"Macroactividad vacía"&amp;" · ","")&amp;IF(AND($B180&lt;&gt;"",$C180&lt;&gt;""),"Escriba la subactividad en otra fila, debajo de su macroactividad"&amp;" · ","")&amp;IF(AND($S180="Sub",N($R180)=0),"Subactividad sin macroactividad arriba"&amp;" · ","")&amp;IF($D180="","Sin responsable"&amp;" · ","")&amp;IF($E180="","Sin fecha de inicio"&amp;" · ","")&amp;IF($F180="","Sin fecha límite"&amp;" · ","")&amp;IF(OR(AND($E180&lt;&gt;"",NOT(ISNUMBER($E180))),AND($F180&lt;&gt;"",NOT(ISNUMBER($F180)))),"Fecha no válida"&amp;" · ","")&amp;IF(AND(ISNUMBER($E180),ISNUMBER($F180),$E180&gt;$F180),"Inicio posterior a fecha límite"&amp;" · ","")&amp;IF(AND($S180="Macro",$G180=""),"Peso vacío"&amp;" · ","")&amp;IF(AND($S180="Macro",$G180&lt;&gt;"",OR(NOT(ISNUMBER($G180)),$G180&lt;=0,$G180&gt;1)),"Peso fuera de rango"&amp;" · ","")&amp;IF(AND($S180="Sub",$G180&lt;&gt;""),"Las subactividades no llevan peso"&amp;" · ","")&amp;IF(AND($S180="Macro",ABS(SUMIFS($G$5:$G$1000,$P$5:$P$1000,$P180,$S$5:$S$1000,"Macro")-1)&gt;0.0001),"Pesos del mes suman "&amp;TEXT(SUMIFS($G$5:$G$1000,$P$5:$P$1000,$P180,$S$5:$S$1000,"Macro"),"0%")&amp;" · ","")&amp;IF(AND(N($T180)&gt;0,COUNT($H180:$K180)&gt;0),"Con subactividades: deje vacías las semanas (se calculan solas)"&amp;" · ","")&amp;IF((COUNTIF($H180:$K180,"&gt;1")+COUNTIF($H180:$K180,"&lt;0")+COUNTA($H180:$K180)-COUNT($H180:$K180))&gt;0,"Avance fuera de rango 0-100%"&amp;" · ","")&amp;IF(OR(AND($I180&lt;&gt;"",$I180&lt;$H180),AND($J180&lt;&gt;"",$J180&lt;MAX($H180:$I180)),AND($K180&lt;&gt;"",$K180&lt;MAX($H180:$J180))),"Avance semanal decreciente"&amp;" · ","")&amp;IF(AND(ISNUMBER($F180),$F180&lt;FechaRef,N($L180)&lt;1),"Vencida"&amp;" · ","")&amp;IF(AND(ObsObligatoria="Sí",ISNUMBER($F180),$F180&lt;FechaRef,N($L180)&lt;1,$N180=""),"Vencida sin observación"&amp;" · ",""))-3)))</f>
        <v/>
      </c>
      <c r="P180" s="69">
        <f>IF(NOT((COUNTA($B180:$K180)+COUNTA($N180))&gt;0),"",IF(AND($S180="Sub",N($R180)&gt;0),IF(ISNUMBER(INDEX($E$5:$E$1000,$R180-4)),DATE(YEAR(INDEX($E$5:$E$1000,$R180-4)),MONTH(INDEX($E$5:$E$1000,$R180-4)),1),IF(ISNUMBER(INDEX($F$5:$F$1000,$R180-4)),DATE(YEAR(INDEX($F$5:$F$1000,$R180-4)),MONTH(INDEX($F$5:$F$1000,$R180-4)),1),MesCiclo)),IF(ISNUMBER($E180),DATE(YEAR($E180),MONTH($E180),1),IF(ISNUMBER($F180),DATE(YEAR($F180),MONTH($F180),1),MesCiclo))))</f>
        <v/>
      </c>
      <c r="Q180" s="70">
        <f>IF(OR($P180="",$P180&lt;&gt;MesCiclo),"",COUNTIF($P$5:$P180,MesCiclo))</f>
        <v/>
      </c>
      <c r="R180" s="70">
        <f>IF($S180="","",IF($S180="Macro",ROW(),IFERROR(LOOKUP(2,1/($S$5:$S180="Macro"),ROW($S$5:$S180)),0)))</f>
        <v/>
      </c>
      <c r="S180" s="70">
        <f>IF(NOT((COUNTA($B180:$K180)+COUNTA($N180))&gt;0),"",IF($B180&lt;&gt;"","Macro",IF($C180&lt;&gt;"","Sub","Macro")))</f>
        <v/>
      </c>
      <c r="T180" s="70">
        <f>IF($S180="Macro",COUNTIFS($R$5:$R$1000,ROW(),$S$5:$S$1000,"Sub"),"")</f>
        <v/>
      </c>
      <c r="U180" s="70">
        <f>IF($S180="","",IF(ISNUMBER($H180),$H180,0))</f>
        <v/>
      </c>
      <c r="V180" s="70">
        <f>IF($S180="","",IF(ISNUMBER($I180),$I180,$U180))</f>
        <v/>
      </c>
      <c r="W180" s="70">
        <f>IF($S180="","",IF(ISNUMBER($J180),$J180,$V180))</f>
        <v/>
      </c>
      <c r="X180" s="70">
        <f>IF($S180="","",IF(ISNUMBER($K180),$K180,$W180))</f>
        <v/>
      </c>
      <c r="Y180" s="70">
        <f>IF($S180="","",IF(N($T180)&gt;0,AVERAGEIFS($U$5:$U$1000,$R$5:$R$1000,ROW(),$S$5:$S$1000,"Sub"),$U180))</f>
        <v/>
      </c>
      <c r="Z180" s="70">
        <f>IF($S180="","",IF(N($T180)&gt;0,AVERAGEIFS($V$5:$V$1000,$R$5:$R$1000,ROW(),$S$5:$S$1000,"Sub"),$V180))</f>
        <v/>
      </c>
      <c r="AA180" s="70">
        <f>IF($S180="","",IF(N($T180)&gt;0,AVERAGEIFS($W$5:$W$1000,$R$5:$R$1000,ROW(),$S$5:$S$1000,"Sub"),$W180))</f>
        <v/>
      </c>
      <c r="AB180" s="70">
        <f>IF($S180="","",IF(N($T180)&gt;0,AVERAGEIFS($X$5:$X$1000,$R$5:$R$1000,ROW(),$S$5:$S$1000,"Sub"),$X180))</f>
        <v/>
      </c>
    </row>
    <row r="181">
      <c r="A181" s="61">
        <f>IF(NOT((COUNTA($B181:$K181)+COUNTA($N181))&gt;0),"",IF($S181="Macro",COUNTIFS($S$5:$S181,"Macro",$P$5:$P181,$P181),IF(N($R181)=0,"?",COUNTIFS(INDEX($S$5:$S$1000,1):INDEX($S$5:$S$1000,$R181-4),"Macro",INDEX($P$5:$P$1000,1):INDEX($P$5:$P$1000,$R181-4),INDEX($P$5:$P$1000,$R181-4))&amp;"."&amp;COUNTIFS($R$5:$R181,$R181,$S$5:$S181,"Sub"))))</f>
        <v/>
      </c>
      <c r="B181" s="62" t="n"/>
      <c r="C181" s="63" t="n"/>
      <c r="D181" s="62" t="n"/>
      <c r="E181" s="64" t="n"/>
      <c r="F181" s="64" t="n"/>
      <c r="G181" s="65" t="n"/>
      <c r="H181" s="66" t="n"/>
      <c r="I181" s="66" t="n"/>
      <c r="J181" s="66" t="n"/>
      <c r="K181" s="66" t="n"/>
      <c r="L181" s="67">
        <f>IF(NOT((COUNTA($B181:$K181)+COUNTA($N181))&gt;0),"",IF(N($T181)&gt;0,$AB181,IFERROR(LOOKUP(2,1/(H181:K181&lt;&gt;""),H181:K181),0)))</f>
        <v/>
      </c>
      <c r="M181" s="61">
        <f>IF(L181="","",IF(L181&gt;=1,"Completado",IF(L181&gt;0,"En curso","Pendiente")))</f>
        <v/>
      </c>
      <c r="N181" s="62" t="n"/>
      <c r="O181" s="68">
        <f>IF(NOT((COUNTA($B181:$K181)+COUNTA($N181))&gt;0),"",IF((IF(AND($S181="Macro",$B181=""),"Macroactividad vacía"&amp;" · ","")&amp;IF(AND($B181&lt;&gt;"",$C181&lt;&gt;""),"Escriba la subactividad en otra fila, debajo de su macroactividad"&amp;" · ","")&amp;IF(AND($S181="Sub",N($R181)=0),"Subactividad sin macroactividad arriba"&amp;" · ","")&amp;IF($D181="","Sin responsable"&amp;" · ","")&amp;IF($E181="","Sin fecha de inicio"&amp;" · ","")&amp;IF($F181="","Sin fecha límite"&amp;" · ","")&amp;IF(OR(AND($E181&lt;&gt;"",NOT(ISNUMBER($E181))),AND($F181&lt;&gt;"",NOT(ISNUMBER($F181)))),"Fecha no válida"&amp;" · ","")&amp;IF(AND(ISNUMBER($E181),ISNUMBER($F181),$E181&gt;$F181),"Inicio posterior a fecha límite"&amp;" · ","")&amp;IF(AND($S181="Macro",$G181=""),"Peso vacío"&amp;" · ","")&amp;IF(AND($S181="Macro",$G181&lt;&gt;"",OR(NOT(ISNUMBER($G181)),$G181&lt;=0,$G181&gt;1)),"Peso fuera de rango"&amp;" · ","")&amp;IF(AND($S181="Sub",$G181&lt;&gt;""),"Las subactividades no llevan peso"&amp;" · ","")&amp;IF(AND($S181="Macro",ABS(SUMIFS($G$5:$G$1000,$P$5:$P$1000,$P181,$S$5:$S$1000,"Macro")-1)&gt;0.0001),"Pesos del mes suman "&amp;TEXT(SUMIFS($G$5:$G$1000,$P$5:$P$1000,$P181,$S$5:$S$1000,"Macro"),"0%")&amp;" · ","")&amp;IF(AND(N($T181)&gt;0,COUNT($H181:$K181)&gt;0),"Con subactividades: deje vacías las semanas (se calculan solas)"&amp;" · ","")&amp;IF((COUNTIF($H181:$K181,"&gt;1")+COUNTIF($H181:$K181,"&lt;0")+COUNTA($H181:$K181)-COUNT($H181:$K181))&gt;0,"Avance fuera de rango 0-100%"&amp;" · ","")&amp;IF(OR(AND($I181&lt;&gt;"",$I181&lt;$H181),AND($J181&lt;&gt;"",$J181&lt;MAX($H181:$I181)),AND($K181&lt;&gt;"",$K181&lt;MAX($H181:$J181))),"Avance semanal decreciente"&amp;" · ","")&amp;IF(AND(ISNUMBER($F181),$F181&lt;FechaRef,N($L181)&lt;1),"Vencida"&amp;" · ","")&amp;IF(AND(ObsObligatoria="Sí",ISNUMBER($F181),$F181&lt;FechaRef,N($L181)&lt;1,$N181=""),"Vencida sin observación"&amp;" · ",""))="","✔ OK","⚠ "&amp;LEFT(IF(AND($S181="Macro",$B181=""),"Macroactividad vacía"&amp;" · ","")&amp;IF(AND($B181&lt;&gt;"",$C181&lt;&gt;""),"Escriba la subactividad en otra fila, debajo de su macroactividad"&amp;" · ","")&amp;IF(AND($S181="Sub",N($R181)=0),"Subactividad sin macroactividad arriba"&amp;" · ","")&amp;IF($D181="","Sin responsable"&amp;" · ","")&amp;IF($E181="","Sin fecha de inicio"&amp;" · ","")&amp;IF($F181="","Sin fecha límite"&amp;" · ","")&amp;IF(OR(AND($E181&lt;&gt;"",NOT(ISNUMBER($E181))),AND($F181&lt;&gt;"",NOT(ISNUMBER($F181)))),"Fecha no válida"&amp;" · ","")&amp;IF(AND(ISNUMBER($E181),ISNUMBER($F181),$E181&gt;$F181),"Inicio posterior a fecha límite"&amp;" · ","")&amp;IF(AND($S181="Macro",$G181=""),"Peso vacío"&amp;" · ","")&amp;IF(AND($S181="Macro",$G181&lt;&gt;"",OR(NOT(ISNUMBER($G181)),$G181&lt;=0,$G181&gt;1)),"Peso fuera de rango"&amp;" · ","")&amp;IF(AND($S181="Sub",$G181&lt;&gt;""),"Las subactividades no llevan peso"&amp;" · ","")&amp;IF(AND($S181="Macro",ABS(SUMIFS($G$5:$G$1000,$P$5:$P$1000,$P181,$S$5:$S$1000,"Macro")-1)&gt;0.0001),"Pesos del mes suman "&amp;TEXT(SUMIFS($G$5:$G$1000,$P$5:$P$1000,$P181,$S$5:$S$1000,"Macro"),"0%")&amp;" · ","")&amp;IF(AND(N($T181)&gt;0,COUNT($H181:$K181)&gt;0),"Con subactividades: deje vacías las semanas (se calculan solas)"&amp;" · ","")&amp;IF((COUNTIF($H181:$K181,"&gt;1")+COUNTIF($H181:$K181,"&lt;0")+COUNTA($H181:$K181)-COUNT($H181:$K181))&gt;0,"Avance fuera de rango 0-100%"&amp;" · ","")&amp;IF(OR(AND($I181&lt;&gt;"",$I181&lt;$H181),AND($J181&lt;&gt;"",$J181&lt;MAX($H181:$I181)),AND($K181&lt;&gt;"",$K181&lt;MAX($H181:$J181))),"Avance semanal decreciente"&amp;" · ","")&amp;IF(AND(ISNUMBER($F181),$F181&lt;FechaRef,N($L181)&lt;1),"Vencida"&amp;" · ","")&amp;IF(AND(ObsObligatoria="Sí",ISNUMBER($F181),$F181&lt;FechaRef,N($L181)&lt;1,$N181=""),"Vencida sin observación"&amp;" · ",""),LEN(IF(AND($S181="Macro",$B181=""),"Macroactividad vacía"&amp;" · ","")&amp;IF(AND($B181&lt;&gt;"",$C181&lt;&gt;""),"Escriba la subactividad en otra fila, debajo de su macroactividad"&amp;" · ","")&amp;IF(AND($S181="Sub",N($R181)=0),"Subactividad sin macroactividad arriba"&amp;" · ","")&amp;IF($D181="","Sin responsable"&amp;" · ","")&amp;IF($E181="","Sin fecha de inicio"&amp;" · ","")&amp;IF($F181="","Sin fecha límite"&amp;" · ","")&amp;IF(OR(AND($E181&lt;&gt;"",NOT(ISNUMBER($E181))),AND($F181&lt;&gt;"",NOT(ISNUMBER($F181)))),"Fecha no válida"&amp;" · ","")&amp;IF(AND(ISNUMBER($E181),ISNUMBER($F181),$E181&gt;$F181),"Inicio posterior a fecha límite"&amp;" · ","")&amp;IF(AND($S181="Macro",$G181=""),"Peso vacío"&amp;" · ","")&amp;IF(AND($S181="Macro",$G181&lt;&gt;"",OR(NOT(ISNUMBER($G181)),$G181&lt;=0,$G181&gt;1)),"Peso fuera de rango"&amp;" · ","")&amp;IF(AND($S181="Sub",$G181&lt;&gt;""),"Las subactividades no llevan peso"&amp;" · ","")&amp;IF(AND($S181="Macro",ABS(SUMIFS($G$5:$G$1000,$P$5:$P$1000,$P181,$S$5:$S$1000,"Macro")-1)&gt;0.0001),"Pesos del mes suman "&amp;TEXT(SUMIFS($G$5:$G$1000,$P$5:$P$1000,$P181,$S$5:$S$1000,"Macro"),"0%")&amp;" · ","")&amp;IF(AND(N($T181)&gt;0,COUNT($H181:$K181)&gt;0),"Con subactividades: deje vacías las semanas (se calculan solas)"&amp;" · ","")&amp;IF((COUNTIF($H181:$K181,"&gt;1")+COUNTIF($H181:$K181,"&lt;0")+COUNTA($H181:$K181)-COUNT($H181:$K181))&gt;0,"Avance fuera de rango 0-100%"&amp;" · ","")&amp;IF(OR(AND($I181&lt;&gt;"",$I181&lt;$H181),AND($J181&lt;&gt;"",$J181&lt;MAX($H181:$I181)),AND($K181&lt;&gt;"",$K181&lt;MAX($H181:$J181))),"Avance semanal decreciente"&amp;" · ","")&amp;IF(AND(ISNUMBER($F181),$F181&lt;FechaRef,N($L181)&lt;1),"Vencida"&amp;" · ","")&amp;IF(AND(ObsObligatoria="Sí",ISNUMBER($F181),$F181&lt;FechaRef,N($L181)&lt;1,$N181=""),"Vencida sin observación"&amp;" · ",""))-3)))</f>
        <v/>
      </c>
      <c r="P181" s="69">
        <f>IF(NOT((COUNTA($B181:$K181)+COUNTA($N181))&gt;0),"",IF(AND($S181="Sub",N($R181)&gt;0),IF(ISNUMBER(INDEX($E$5:$E$1000,$R181-4)),DATE(YEAR(INDEX($E$5:$E$1000,$R181-4)),MONTH(INDEX($E$5:$E$1000,$R181-4)),1),IF(ISNUMBER(INDEX($F$5:$F$1000,$R181-4)),DATE(YEAR(INDEX($F$5:$F$1000,$R181-4)),MONTH(INDEX($F$5:$F$1000,$R181-4)),1),MesCiclo)),IF(ISNUMBER($E181),DATE(YEAR($E181),MONTH($E181),1),IF(ISNUMBER($F181),DATE(YEAR($F181),MONTH($F181),1),MesCiclo))))</f>
        <v/>
      </c>
      <c r="Q181" s="70">
        <f>IF(OR($P181="",$P181&lt;&gt;MesCiclo),"",COUNTIF($P$5:$P181,MesCiclo))</f>
        <v/>
      </c>
      <c r="R181" s="70">
        <f>IF($S181="","",IF($S181="Macro",ROW(),IFERROR(LOOKUP(2,1/($S$5:$S181="Macro"),ROW($S$5:$S181)),0)))</f>
        <v/>
      </c>
      <c r="S181" s="70">
        <f>IF(NOT((COUNTA($B181:$K181)+COUNTA($N181))&gt;0),"",IF($B181&lt;&gt;"","Macro",IF($C181&lt;&gt;"","Sub","Macro")))</f>
        <v/>
      </c>
      <c r="T181" s="70">
        <f>IF($S181="Macro",COUNTIFS($R$5:$R$1000,ROW(),$S$5:$S$1000,"Sub"),"")</f>
        <v/>
      </c>
      <c r="U181" s="70">
        <f>IF($S181="","",IF(ISNUMBER($H181),$H181,0))</f>
        <v/>
      </c>
      <c r="V181" s="70">
        <f>IF($S181="","",IF(ISNUMBER($I181),$I181,$U181))</f>
        <v/>
      </c>
      <c r="W181" s="70">
        <f>IF($S181="","",IF(ISNUMBER($J181),$J181,$V181))</f>
        <v/>
      </c>
      <c r="X181" s="70">
        <f>IF($S181="","",IF(ISNUMBER($K181),$K181,$W181))</f>
        <v/>
      </c>
      <c r="Y181" s="70">
        <f>IF($S181="","",IF(N($T181)&gt;0,AVERAGEIFS($U$5:$U$1000,$R$5:$R$1000,ROW(),$S$5:$S$1000,"Sub"),$U181))</f>
        <v/>
      </c>
      <c r="Z181" s="70">
        <f>IF($S181="","",IF(N($T181)&gt;0,AVERAGEIFS($V$5:$V$1000,$R$5:$R$1000,ROW(),$S$5:$S$1000,"Sub"),$V181))</f>
        <v/>
      </c>
      <c r="AA181" s="70">
        <f>IF($S181="","",IF(N($T181)&gt;0,AVERAGEIFS($W$5:$W$1000,$R$5:$R$1000,ROW(),$S$5:$S$1000,"Sub"),$W181))</f>
        <v/>
      </c>
      <c r="AB181" s="70">
        <f>IF($S181="","",IF(N($T181)&gt;0,AVERAGEIFS($X$5:$X$1000,$R$5:$R$1000,ROW(),$S$5:$S$1000,"Sub"),$X181))</f>
        <v/>
      </c>
    </row>
    <row r="182">
      <c r="A182" s="61">
        <f>IF(NOT((COUNTA($B182:$K182)+COUNTA($N182))&gt;0),"",IF($S182="Macro",COUNTIFS($S$5:$S182,"Macro",$P$5:$P182,$P182),IF(N($R182)=0,"?",COUNTIFS(INDEX($S$5:$S$1000,1):INDEX($S$5:$S$1000,$R182-4),"Macro",INDEX($P$5:$P$1000,1):INDEX($P$5:$P$1000,$R182-4),INDEX($P$5:$P$1000,$R182-4))&amp;"."&amp;COUNTIFS($R$5:$R182,$R182,$S$5:$S182,"Sub"))))</f>
        <v/>
      </c>
      <c r="B182" s="62" t="n"/>
      <c r="C182" s="63" t="n"/>
      <c r="D182" s="62" t="n"/>
      <c r="E182" s="64" t="n"/>
      <c r="F182" s="64" t="n"/>
      <c r="G182" s="65" t="n"/>
      <c r="H182" s="66" t="n"/>
      <c r="I182" s="66" t="n"/>
      <c r="J182" s="66" t="n"/>
      <c r="K182" s="66" t="n"/>
      <c r="L182" s="67">
        <f>IF(NOT((COUNTA($B182:$K182)+COUNTA($N182))&gt;0),"",IF(N($T182)&gt;0,$AB182,IFERROR(LOOKUP(2,1/(H182:K182&lt;&gt;""),H182:K182),0)))</f>
        <v/>
      </c>
      <c r="M182" s="61">
        <f>IF(L182="","",IF(L182&gt;=1,"Completado",IF(L182&gt;0,"En curso","Pendiente")))</f>
        <v/>
      </c>
      <c r="N182" s="62" t="n"/>
      <c r="O182" s="68">
        <f>IF(NOT((COUNTA($B182:$K182)+COUNTA($N182))&gt;0),"",IF((IF(AND($S182="Macro",$B182=""),"Macroactividad vacía"&amp;" · ","")&amp;IF(AND($B182&lt;&gt;"",$C182&lt;&gt;""),"Escriba la subactividad en otra fila, debajo de su macroactividad"&amp;" · ","")&amp;IF(AND($S182="Sub",N($R182)=0),"Subactividad sin macroactividad arriba"&amp;" · ","")&amp;IF($D182="","Sin responsable"&amp;" · ","")&amp;IF($E182="","Sin fecha de inicio"&amp;" · ","")&amp;IF($F182="","Sin fecha límite"&amp;" · ","")&amp;IF(OR(AND($E182&lt;&gt;"",NOT(ISNUMBER($E182))),AND($F182&lt;&gt;"",NOT(ISNUMBER($F182)))),"Fecha no válida"&amp;" · ","")&amp;IF(AND(ISNUMBER($E182),ISNUMBER($F182),$E182&gt;$F182),"Inicio posterior a fecha límite"&amp;" · ","")&amp;IF(AND($S182="Macro",$G182=""),"Peso vacío"&amp;" · ","")&amp;IF(AND($S182="Macro",$G182&lt;&gt;"",OR(NOT(ISNUMBER($G182)),$G182&lt;=0,$G182&gt;1)),"Peso fuera de rango"&amp;" · ","")&amp;IF(AND($S182="Sub",$G182&lt;&gt;""),"Las subactividades no llevan peso"&amp;" · ","")&amp;IF(AND($S182="Macro",ABS(SUMIFS($G$5:$G$1000,$P$5:$P$1000,$P182,$S$5:$S$1000,"Macro")-1)&gt;0.0001),"Pesos del mes suman "&amp;TEXT(SUMIFS($G$5:$G$1000,$P$5:$P$1000,$P182,$S$5:$S$1000,"Macro"),"0%")&amp;" · ","")&amp;IF(AND(N($T182)&gt;0,COUNT($H182:$K182)&gt;0),"Con subactividades: deje vacías las semanas (se calculan solas)"&amp;" · ","")&amp;IF((COUNTIF($H182:$K182,"&gt;1")+COUNTIF($H182:$K182,"&lt;0")+COUNTA($H182:$K182)-COUNT($H182:$K182))&gt;0,"Avance fuera de rango 0-100%"&amp;" · ","")&amp;IF(OR(AND($I182&lt;&gt;"",$I182&lt;$H182),AND($J182&lt;&gt;"",$J182&lt;MAX($H182:$I182)),AND($K182&lt;&gt;"",$K182&lt;MAX($H182:$J182))),"Avance semanal decreciente"&amp;" · ","")&amp;IF(AND(ISNUMBER($F182),$F182&lt;FechaRef,N($L182)&lt;1),"Vencida"&amp;" · ","")&amp;IF(AND(ObsObligatoria="Sí",ISNUMBER($F182),$F182&lt;FechaRef,N($L182)&lt;1,$N182=""),"Vencida sin observación"&amp;" · ",""))="","✔ OK","⚠ "&amp;LEFT(IF(AND($S182="Macro",$B182=""),"Macroactividad vacía"&amp;" · ","")&amp;IF(AND($B182&lt;&gt;"",$C182&lt;&gt;""),"Escriba la subactividad en otra fila, debajo de su macroactividad"&amp;" · ","")&amp;IF(AND($S182="Sub",N($R182)=0),"Subactividad sin macroactividad arriba"&amp;" · ","")&amp;IF($D182="","Sin responsable"&amp;" · ","")&amp;IF($E182="","Sin fecha de inicio"&amp;" · ","")&amp;IF($F182="","Sin fecha límite"&amp;" · ","")&amp;IF(OR(AND($E182&lt;&gt;"",NOT(ISNUMBER($E182))),AND($F182&lt;&gt;"",NOT(ISNUMBER($F182)))),"Fecha no válida"&amp;" · ","")&amp;IF(AND(ISNUMBER($E182),ISNUMBER($F182),$E182&gt;$F182),"Inicio posterior a fecha límite"&amp;" · ","")&amp;IF(AND($S182="Macro",$G182=""),"Peso vacío"&amp;" · ","")&amp;IF(AND($S182="Macro",$G182&lt;&gt;"",OR(NOT(ISNUMBER($G182)),$G182&lt;=0,$G182&gt;1)),"Peso fuera de rango"&amp;" · ","")&amp;IF(AND($S182="Sub",$G182&lt;&gt;""),"Las subactividades no llevan peso"&amp;" · ","")&amp;IF(AND($S182="Macro",ABS(SUMIFS($G$5:$G$1000,$P$5:$P$1000,$P182,$S$5:$S$1000,"Macro")-1)&gt;0.0001),"Pesos del mes suman "&amp;TEXT(SUMIFS($G$5:$G$1000,$P$5:$P$1000,$P182,$S$5:$S$1000,"Macro"),"0%")&amp;" · ","")&amp;IF(AND(N($T182)&gt;0,COUNT($H182:$K182)&gt;0),"Con subactividades: deje vacías las semanas (se calculan solas)"&amp;" · ","")&amp;IF((COUNTIF($H182:$K182,"&gt;1")+COUNTIF($H182:$K182,"&lt;0")+COUNTA($H182:$K182)-COUNT($H182:$K182))&gt;0,"Avance fuera de rango 0-100%"&amp;" · ","")&amp;IF(OR(AND($I182&lt;&gt;"",$I182&lt;$H182),AND($J182&lt;&gt;"",$J182&lt;MAX($H182:$I182)),AND($K182&lt;&gt;"",$K182&lt;MAX($H182:$J182))),"Avance semanal decreciente"&amp;" · ","")&amp;IF(AND(ISNUMBER($F182),$F182&lt;FechaRef,N($L182)&lt;1),"Vencida"&amp;" · ","")&amp;IF(AND(ObsObligatoria="Sí",ISNUMBER($F182),$F182&lt;FechaRef,N($L182)&lt;1,$N182=""),"Vencida sin observación"&amp;" · ",""),LEN(IF(AND($S182="Macro",$B182=""),"Macroactividad vacía"&amp;" · ","")&amp;IF(AND($B182&lt;&gt;"",$C182&lt;&gt;""),"Escriba la subactividad en otra fila, debajo de su macroactividad"&amp;" · ","")&amp;IF(AND($S182="Sub",N($R182)=0),"Subactividad sin macroactividad arriba"&amp;" · ","")&amp;IF($D182="","Sin responsable"&amp;" · ","")&amp;IF($E182="","Sin fecha de inicio"&amp;" · ","")&amp;IF($F182="","Sin fecha límite"&amp;" · ","")&amp;IF(OR(AND($E182&lt;&gt;"",NOT(ISNUMBER($E182))),AND($F182&lt;&gt;"",NOT(ISNUMBER($F182)))),"Fecha no válida"&amp;" · ","")&amp;IF(AND(ISNUMBER($E182),ISNUMBER($F182),$E182&gt;$F182),"Inicio posterior a fecha límite"&amp;" · ","")&amp;IF(AND($S182="Macro",$G182=""),"Peso vacío"&amp;" · ","")&amp;IF(AND($S182="Macro",$G182&lt;&gt;"",OR(NOT(ISNUMBER($G182)),$G182&lt;=0,$G182&gt;1)),"Peso fuera de rango"&amp;" · ","")&amp;IF(AND($S182="Sub",$G182&lt;&gt;""),"Las subactividades no llevan peso"&amp;" · ","")&amp;IF(AND($S182="Macro",ABS(SUMIFS($G$5:$G$1000,$P$5:$P$1000,$P182,$S$5:$S$1000,"Macro")-1)&gt;0.0001),"Pesos del mes suman "&amp;TEXT(SUMIFS($G$5:$G$1000,$P$5:$P$1000,$P182,$S$5:$S$1000,"Macro"),"0%")&amp;" · ","")&amp;IF(AND(N($T182)&gt;0,COUNT($H182:$K182)&gt;0),"Con subactividades: deje vacías las semanas (se calculan solas)"&amp;" · ","")&amp;IF((COUNTIF($H182:$K182,"&gt;1")+COUNTIF($H182:$K182,"&lt;0")+COUNTA($H182:$K182)-COUNT($H182:$K182))&gt;0,"Avance fuera de rango 0-100%"&amp;" · ","")&amp;IF(OR(AND($I182&lt;&gt;"",$I182&lt;$H182),AND($J182&lt;&gt;"",$J182&lt;MAX($H182:$I182)),AND($K182&lt;&gt;"",$K182&lt;MAX($H182:$J182))),"Avance semanal decreciente"&amp;" · ","")&amp;IF(AND(ISNUMBER($F182),$F182&lt;FechaRef,N($L182)&lt;1),"Vencida"&amp;" · ","")&amp;IF(AND(ObsObligatoria="Sí",ISNUMBER($F182),$F182&lt;FechaRef,N($L182)&lt;1,$N182=""),"Vencida sin observación"&amp;" · ",""))-3)))</f>
        <v/>
      </c>
      <c r="P182" s="69">
        <f>IF(NOT((COUNTA($B182:$K182)+COUNTA($N182))&gt;0),"",IF(AND($S182="Sub",N($R182)&gt;0),IF(ISNUMBER(INDEX($E$5:$E$1000,$R182-4)),DATE(YEAR(INDEX($E$5:$E$1000,$R182-4)),MONTH(INDEX($E$5:$E$1000,$R182-4)),1),IF(ISNUMBER(INDEX($F$5:$F$1000,$R182-4)),DATE(YEAR(INDEX($F$5:$F$1000,$R182-4)),MONTH(INDEX($F$5:$F$1000,$R182-4)),1),MesCiclo)),IF(ISNUMBER($E182),DATE(YEAR($E182),MONTH($E182),1),IF(ISNUMBER($F182),DATE(YEAR($F182),MONTH($F182),1),MesCiclo))))</f>
        <v/>
      </c>
      <c r="Q182" s="70">
        <f>IF(OR($P182="",$P182&lt;&gt;MesCiclo),"",COUNTIF($P$5:$P182,MesCiclo))</f>
        <v/>
      </c>
      <c r="R182" s="70">
        <f>IF($S182="","",IF($S182="Macro",ROW(),IFERROR(LOOKUP(2,1/($S$5:$S182="Macro"),ROW($S$5:$S182)),0)))</f>
        <v/>
      </c>
      <c r="S182" s="70">
        <f>IF(NOT((COUNTA($B182:$K182)+COUNTA($N182))&gt;0),"",IF($B182&lt;&gt;"","Macro",IF($C182&lt;&gt;"","Sub","Macro")))</f>
        <v/>
      </c>
      <c r="T182" s="70">
        <f>IF($S182="Macro",COUNTIFS($R$5:$R$1000,ROW(),$S$5:$S$1000,"Sub"),"")</f>
        <v/>
      </c>
      <c r="U182" s="70">
        <f>IF($S182="","",IF(ISNUMBER($H182),$H182,0))</f>
        <v/>
      </c>
      <c r="V182" s="70">
        <f>IF($S182="","",IF(ISNUMBER($I182),$I182,$U182))</f>
        <v/>
      </c>
      <c r="W182" s="70">
        <f>IF($S182="","",IF(ISNUMBER($J182),$J182,$V182))</f>
        <v/>
      </c>
      <c r="X182" s="70">
        <f>IF($S182="","",IF(ISNUMBER($K182),$K182,$W182))</f>
        <v/>
      </c>
      <c r="Y182" s="70">
        <f>IF($S182="","",IF(N($T182)&gt;0,AVERAGEIFS($U$5:$U$1000,$R$5:$R$1000,ROW(),$S$5:$S$1000,"Sub"),$U182))</f>
        <v/>
      </c>
      <c r="Z182" s="70">
        <f>IF($S182="","",IF(N($T182)&gt;0,AVERAGEIFS($V$5:$V$1000,$R$5:$R$1000,ROW(),$S$5:$S$1000,"Sub"),$V182))</f>
        <v/>
      </c>
      <c r="AA182" s="70">
        <f>IF($S182="","",IF(N($T182)&gt;0,AVERAGEIFS($W$5:$W$1000,$R$5:$R$1000,ROW(),$S$5:$S$1000,"Sub"),$W182))</f>
        <v/>
      </c>
      <c r="AB182" s="70">
        <f>IF($S182="","",IF(N($T182)&gt;0,AVERAGEIFS($X$5:$X$1000,$R$5:$R$1000,ROW(),$S$5:$S$1000,"Sub"),$X182))</f>
        <v/>
      </c>
    </row>
    <row r="183">
      <c r="A183" s="61">
        <f>IF(NOT((COUNTA($B183:$K183)+COUNTA($N183))&gt;0),"",IF($S183="Macro",COUNTIFS($S$5:$S183,"Macro",$P$5:$P183,$P183),IF(N($R183)=0,"?",COUNTIFS(INDEX($S$5:$S$1000,1):INDEX($S$5:$S$1000,$R183-4),"Macro",INDEX($P$5:$P$1000,1):INDEX($P$5:$P$1000,$R183-4),INDEX($P$5:$P$1000,$R183-4))&amp;"."&amp;COUNTIFS($R$5:$R183,$R183,$S$5:$S183,"Sub"))))</f>
        <v/>
      </c>
      <c r="B183" s="62" t="n"/>
      <c r="C183" s="63" t="n"/>
      <c r="D183" s="62" t="n"/>
      <c r="E183" s="64" t="n"/>
      <c r="F183" s="64" t="n"/>
      <c r="G183" s="65" t="n"/>
      <c r="H183" s="66" t="n"/>
      <c r="I183" s="66" t="n"/>
      <c r="J183" s="66" t="n"/>
      <c r="K183" s="66" t="n"/>
      <c r="L183" s="67">
        <f>IF(NOT((COUNTA($B183:$K183)+COUNTA($N183))&gt;0),"",IF(N($T183)&gt;0,$AB183,IFERROR(LOOKUP(2,1/(H183:K183&lt;&gt;""),H183:K183),0)))</f>
        <v/>
      </c>
      <c r="M183" s="61">
        <f>IF(L183="","",IF(L183&gt;=1,"Completado",IF(L183&gt;0,"En curso","Pendiente")))</f>
        <v/>
      </c>
      <c r="N183" s="62" t="n"/>
      <c r="O183" s="68">
        <f>IF(NOT((COUNTA($B183:$K183)+COUNTA($N183))&gt;0),"",IF((IF(AND($S183="Macro",$B183=""),"Macroactividad vacía"&amp;" · ","")&amp;IF(AND($B183&lt;&gt;"",$C183&lt;&gt;""),"Escriba la subactividad en otra fila, debajo de su macroactividad"&amp;" · ","")&amp;IF(AND($S183="Sub",N($R183)=0),"Subactividad sin macroactividad arriba"&amp;" · ","")&amp;IF($D183="","Sin responsable"&amp;" · ","")&amp;IF($E183="","Sin fecha de inicio"&amp;" · ","")&amp;IF($F183="","Sin fecha límite"&amp;" · ","")&amp;IF(OR(AND($E183&lt;&gt;"",NOT(ISNUMBER($E183))),AND($F183&lt;&gt;"",NOT(ISNUMBER($F183)))),"Fecha no válida"&amp;" · ","")&amp;IF(AND(ISNUMBER($E183),ISNUMBER($F183),$E183&gt;$F183),"Inicio posterior a fecha límite"&amp;" · ","")&amp;IF(AND($S183="Macro",$G183=""),"Peso vacío"&amp;" · ","")&amp;IF(AND($S183="Macro",$G183&lt;&gt;"",OR(NOT(ISNUMBER($G183)),$G183&lt;=0,$G183&gt;1)),"Peso fuera de rango"&amp;" · ","")&amp;IF(AND($S183="Sub",$G183&lt;&gt;""),"Las subactividades no llevan peso"&amp;" · ","")&amp;IF(AND($S183="Macro",ABS(SUMIFS($G$5:$G$1000,$P$5:$P$1000,$P183,$S$5:$S$1000,"Macro")-1)&gt;0.0001),"Pesos del mes suman "&amp;TEXT(SUMIFS($G$5:$G$1000,$P$5:$P$1000,$P183,$S$5:$S$1000,"Macro"),"0%")&amp;" · ","")&amp;IF(AND(N($T183)&gt;0,COUNT($H183:$K183)&gt;0),"Con subactividades: deje vacías las semanas (se calculan solas)"&amp;" · ","")&amp;IF((COUNTIF($H183:$K183,"&gt;1")+COUNTIF($H183:$K183,"&lt;0")+COUNTA($H183:$K183)-COUNT($H183:$K183))&gt;0,"Avance fuera de rango 0-100%"&amp;" · ","")&amp;IF(OR(AND($I183&lt;&gt;"",$I183&lt;$H183),AND($J183&lt;&gt;"",$J183&lt;MAX($H183:$I183)),AND($K183&lt;&gt;"",$K183&lt;MAX($H183:$J183))),"Avance semanal decreciente"&amp;" · ","")&amp;IF(AND(ISNUMBER($F183),$F183&lt;FechaRef,N($L183)&lt;1),"Vencida"&amp;" · ","")&amp;IF(AND(ObsObligatoria="Sí",ISNUMBER($F183),$F183&lt;FechaRef,N($L183)&lt;1,$N183=""),"Vencida sin observación"&amp;" · ",""))="","✔ OK","⚠ "&amp;LEFT(IF(AND($S183="Macro",$B183=""),"Macroactividad vacía"&amp;" · ","")&amp;IF(AND($B183&lt;&gt;"",$C183&lt;&gt;""),"Escriba la subactividad en otra fila, debajo de su macroactividad"&amp;" · ","")&amp;IF(AND($S183="Sub",N($R183)=0),"Subactividad sin macroactividad arriba"&amp;" · ","")&amp;IF($D183="","Sin responsable"&amp;" · ","")&amp;IF($E183="","Sin fecha de inicio"&amp;" · ","")&amp;IF($F183="","Sin fecha límite"&amp;" · ","")&amp;IF(OR(AND($E183&lt;&gt;"",NOT(ISNUMBER($E183))),AND($F183&lt;&gt;"",NOT(ISNUMBER($F183)))),"Fecha no válida"&amp;" · ","")&amp;IF(AND(ISNUMBER($E183),ISNUMBER($F183),$E183&gt;$F183),"Inicio posterior a fecha límite"&amp;" · ","")&amp;IF(AND($S183="Macro",$G183=""),"Peso vacío"&amp;" · ","")&amp;IF(AND($S183="Macro",$G183&lt;&gt;"",OR(NOT(ISNUMBER($G183)),$G183&lt;=0,$G183&gt;1)),"Peso fuera de rango"&amp;" · ","")&amp;IF(AND($S183="Sub",$G183&lt;&gt;""),"Las subactividades no llevan peso"&amp;" · ","")&amp;IF(AND($S183="Macro",ABS(SUMIFS($G$5:$G$1000,$P$5:$P$1000,$P183,$S$5:$S$1000,"Macro")-1)&gt;0.0001),"Pesos del mes suman "&amp;TEXT(SUMIFS($G$5:$G$1000,$P$5:$P$1000,$P183,$S$5:$S$1000,"Macro"),"0%")&amp;" · ","")&amp;IF(AND(N($T183)&gt;0,COUNT($H183:$K183)&gt;0),"Con subactividades: deje vacías las semanas (se calculan solas)"&amp;" · ","")&amp;IF((COUNTIF($H183:$K183,"&gt;1")+COUNTIF($H183:$K183,"&lt;0")+COUNTA($H183:$K183)-COUNT($H183:$K183))&gt;0,"Avance fuera de rango 0-100%"&amp;" · ","")&amp;IF(OR(AND($I183&lt;&gt;"",$I183&lt;$H183),AND($J183&lt;&gt;"",$J183&lt;MAX($H183:$I183)),AND($K183&lt;&gt;"",$K183&lt;MAX($H183:$J183))),"Avance semanal decreciente"&amp;" · ","")&amp;IF(AND(ISNUMBER($F183),$F183&lt;FechaRef,N($L183)&lt;1),"Vencida"&amp;" · ","")&amp;IF(AND(ObsObligatoria="Sí",ISNUMBER($F183),$F183&lt;FechaRef,N($L183)&lt;1,$N183=""),"Vencida sin observación"&amp;" · ",""),LEN(IF(AND($S183="Macro",$B183=""),"Macroactividad vacía"&amp;" · ","")&amp;IF(AND($B183&lt;&gt;"",$C183&lt;&gt;""),"Escriba la subactividad en otra fila, debajo de su macroactividad"&amp;" · ","")&amp;IF(AND($S183="Sub",N($R183)=0),"Subactividad sin macroactividad arriba"&amp;" · ","")&amp;IF($D183="","Sin responsable"&amp;" · ","")&amp;IF($E183="","Sin fecha de inicio"&amp;" · ","")&amp;IF($F183="","Sin fecha límite"&amp;" · ","")&amp;IF(OR(AND($E183&lt;&gt;"",NOT(ISNUMBER($E183))),AND($F183&lt;&gt;"",NOT(ISNUMBER($F183)))),"Fecha no válida"&amp;" · ","")&amp;IF(AND(ISNUMBER($E183),ISNUMBER($F183),$E183&gt;$F183),"Inicio posterior a fecha límite"&amp;" · ","")&amp;IF(AND($S183="Macro",$G183=""),"Peso vacío"&amp;" · ","")&amp;IF(AND($S183="Macro",$G183&lt;&gt;"",OR(NOT(ISNUMBER($G183)),$G183&lt;=0,$G183&gt;1)),"Peso fuera de rango"&amp;" · ","")&amp;IF(AND($S183="Sub",$G183&lt;&gt;""),"Las subactividades no llevan peso"&amp;" · ","")&amp;IF(AND($S183="Macro",ABS(SUMIFS($G$5:$G$1000,$P$5:$P$1000,$P183,$S$5:$S$1000,"Macro")-1)&gt;0.0001),"Pesos del mes suman "&amp;TEXT(SUMIFS($G$5:$G$1000,$P$5:$P$1000,$P183,$S$5:$S$1000,"Macro"),"0%")&amp;" · ","")&amp;IF(AND(N($T183)&gt;0,COUNT($H183:$K183)&gt;0),"Con subactividades: deje vacías las semanas (se calculan solas)"&amp;" · ","")&amp;IF((COUNTIF($H183:$K183,"&gt;1")+COUNTIF($H183:$K183,"&lt;0")+COUNTA($H183:$K183)-COUNT($H183:$K183))&gt;0,"Avance fuera de rango 0-100%"&amp;" · ","")&amp;IF(OR(AND($I183&lt;&gt;"",$I183&lt;$H183),AND($J183&lt;&gt;"",$J183&lt;MAX($H183:$I183)),AND($K183&lt;&gt;"",$K183&lt;MAX($H183:$J183))),"Avance semanal decreciente"&amp;" · ","")&amp;IF(AND(ISNUMBER($F183),$F183&lt;FechaRef,N($L183)&lt;1),"Vencida"&amp;" · ","")&amp;IF(AND(ObsObligatoria="Sí",ISNUMBER($F183),$F183&lt;FechaRef,N($L183)&lt;1,$N183=""),"Vencida sin observación"&amp;" · ",""))-3)))</f>
        <v/>
      </c>
      <c r="P183" s="69">
        <f>IF(NOT((COUNTA($B183:$K183)+COUNTA($N183))&gt;0),"",IF(AND($S183="Sub",N($R183)&gt;0),IF(ISNUMBER(INDEX($E$5:$E$1000,$R183-4)),DATE(YEAR(INDEX($E$5:$E$1000,$R183-4)),MONTH(INDEX($E$5:$E$1000,$R183-4)),1),IF(ISNUMBER(INDEX($F$5:$F$1000,$R183-4)),DATE(YEAR(INDEX($F$5:$F$1000,$R183-4)),MONTH(INDEX($F$5:$F$1000,$R183-4)),1),MesCiclo)),IF(ISNUMBER($E183),DATE(YEAR($E183),MONTH($E183),1),IF(ISNUMBER($F183),DATE(YEAR($F183),MONTH($F183),1),MesCiclo))))</f>
        <v/>
      </c>
      <c r="Q183" s="70">
        <f>IF(OR($P183="",$P183&lt;&gt;MesCiclo),"",COUNTIF($P$5:$P183,MesCiclo))</f>
        <v/>
      </c>
      <c r="R183" s="70">
        <f>IF($S183="","",IF($S183="Macro",ROW(),IFERROR(LOOKUP(2,1/($S$5:$S183="Macro"),ROW($S$5:$S183)),0)))</f>
        <v/>
      </c>
      <c r="S183" s="70">
        <f>IF(NOT((COUNTA($B183:$K183)+COUNTA($N183))&gt;0),"",IF($B183&lt;&gt;"","Macro",IF($C183&lt;&gt;"","Sub","Macro")))</f>
        <v/>
      </c>
      <c r="T183" s="70">
        <f>IF($S183="Macro",COUNTIFS($R$5:$R$1000,ROW(),$S$5:$S$1000,"Sub"),"")</f>
        <v/>
      </c>
      <c r="U183" s="70">
        <f>IF($S183="","",IF(ISNUMBER($H183),$H183,0))</f>
        <v/>
      </c>
      <c r="V183" s="70">
        <f>IF($S183="","",IF(ISNUMBER($I183),$I183,$U183))</f>
        <v/>
      </c>
      <c r="W183" s="70">
        <f>IF($S183="","",IF(ISNUMBER($J183),$J183,$V183))</f>
        <v/>
      </c>
      <c r="X183" s="70">
        <f>IF($S183="","",IF(ISNUMBER($K183),$K183,$W183))</f>
        <v/>
      </c>
      <c r="Y183" s="70">
        <f>IF($S183="","",IF(N($T183)&gt;0,AVERAGEIFS($U$5:$U$1000,$R$5:$R$1000,ROW(),$S$5:$S$1000,"Sub"),$U183))</f>
        <v/>
      </c>
      <c r="Z183" s="70">
        <f>IF($S183="","",IF(N($T183)&gt;0,AVERAGEIFS($V$5:$V$1000,$R$5:$R$1000,ROW(),$S$5:$S$1000,"Sub"),$V183))</f>
        <v/>
      </c>
      <c r="AA183" s="70">
        <f>IF($S183="","",IF(N($T183)&gt;0,AVERAGEIFS($W$5:$W$1000,$R$5:$R$1000,ROW(),$S$5:$S$1000,"Sub"),$W183))</f>
        <v/>
      </c>
      <c r="AB183" s="70">
        <f>IF($S183="","",IF(N($T183)&gt;0,AVERAGEIFS($X$5:$X$1000,$R$5:$R$1000,ROW(),$S$5:$S$1000,"Sub"),$X183))</f>
        <v/>
      </c>
    </row>
    <row r="184">
      <c r="A184" s="61">
        <f>IF(NOT((COUNTA($B184:$K184)+COUNTA($N184))&gt;0),"",IF($S184="Macro",COUNTIFS($S$5:$S184,"Macro",$P$5:$P184,$P184),IF(N($R184)=0,"?",COUNTIFS(INDEX($S$5:$S$1000,1):INDEX($S$5:$S$1000,$R184-4),"Macro",INDEX($P$5:$P$1000,1):INDEX($P$5:$P$1000,$R184-4),INDEX($P$5:$P$1000,$R184-4))&amp;"."&amp;COUNTIFS($R$5:$R184,$R184,$S$5:$S184,"Sub"))))</f>
        <v/>
      </c>
      <c r="B184" s="62" t="n"/>
      <c r="C184" s="63" t="n"/>
      <c r="D184" s="62" t="n"/>
      <c r="E184" s="64" t="n"/>
      <c r="F184" s="64" t="n"/>
      <c r="G184" s="65" t="n"/>
      <c r="H184" s="66" t="n"/>
      <c r="I184" s="66" t="n"/>
      <c r="J184" s="66" t="n"/>
      <c r="K184" s="66" t="n"/>
      <c r="L184" s="67">
        <f>IF(NOT((COUNTA($B184:$K184)+COUNTA($N184))&gt;0),"",IF(N($T184)&gt;0,$AB184,IFERROR(LOOKUP(2,1/(H184:K184&lt;&gt;""),H184:K184),0)))</f>
        <v/>
      </c>
      <c r="M184" s="61">
        <f>IF(L184="","",IF(L184&gt;=1,"Completado",IF(L184&gt;0,"En curso","Pendiente")))</f>
        <v/>
      </c>
      <c r="N184" s="62" t="n"/>
      <c r="O184" s="68">
        <f>IF(NOT((COUNTA($B184:$K184)+COUNTA($N184))&gt;0),"",IF((IF(AND($S184="Macro",$B184=""),"Macroactividad vacía"&amp;" · ","")&amp;IF(AND($B184&lt;&gt;"",$C184&lt;&gt;""),"Escriba la subactividad en otra fila, debajo de su macroactividad"&amp;" · ","")&amp;IF(AND($S184="Sub",N($R184)=0),"Subactividad sin macroactividad arriba"&amp;" · ","")&amp;IF($D184="","Sin responsable"&amp;" · ","")&amp;IF($E184="","Sin fecha de inicio"&amp;" · ","")&amp;IF($F184="","Sin fecha límite"&amp;" · ","")&amp;IF(OR(AND($E184&lt;&gt;"",NOT(ISNUMBER($E184))),AND($F184&lt;&gt;"",NOT(ISNUMBER($F184)))),"Fecha no válida"&amp;" · ","")&amp;IF(AND(ISNUMBER($E184),ISNUMBER($F184),$E184&gt;$F184),"Inicio posterior a fecha límite"&amp;" · ","")&amp;IF(AND($S184="Macro",$G184=""),"Peso vacío"&amp;" · ","")&amp;IF(AND($S184="Macro",$G184&lt;&gt;"",OR(NOT(ISNUMBER($G184)),$G184&lt;=0,$G184&gt;1)),"Peso fuera de rango"&amp;" · ","")&amp;IF(AND($S184="Sub",$G184&lt;&gt;""),"Las subactividades no llevan peso"&amp;" · ","")&amp;IF(AND($S184="Macro",ABS(SUMIFS($G$5:$G$1000,$P$5:$P$1000,$P184,$S$5:$S$1000,"Macro")-1)&gt;0.0001),"Pesos del mes suman "&amp;TEXT(SUMIFS($G$5:$G$1000,$P$5:$P$1000,$P184,$S$5:$S$1000,"Macro"),"0%")&amp;" · ","")&amp;IF(AND(N($T184)&gt;0,COUNT($H184:$K184)&gt;0),"Con subactividades: deje vacías las semanas (se calculan solas)"&amp;" · ","")&amp;IF((COUNTIF($H184:$K184,"&gt;1")+COUNTIF($H184:$K184,"&lt;0")+COUNTA($H184:$K184)-COUNT($H184:$K184))&gt;0,"Avance fuera de rango 0-100%"&amp;" · ","")&amp;IF(OR(AND($I184&lt;&gt;"",$I184&lt;$H184),AND($J184&lt;&gt;"",$J184&lt;MAX($H184:$I184)),AND($K184&lt;&gt;"",$K184&lt;MAX($H184:$J184))),"Avance semanal decreciente"&amp;" · ","")&amp;IF(AND(ISNUMBER($F184),$F184&lt;FechaRef,N($L184)&lt;1),"Vencida"&amp;" · ","")&amp;IF(AND(ObsObligatoria="Sí",ISNUMBER($F184),$F184&lt;FechaRef,N($L184)&lt;1,$N184=""),"Vencida sin observación"&amp;" · ",""))="","✔ OK","⚠ "&amp;LEFT(IF(AND($S184="Macro",$B184=""),"Macroactividad vacía"&amp;" · ","")&amp;IF(AND($B184&lt;&gt;"",$C184&lt;&gt;""),"Escriba la subactividad en otra fila, debajo de su macroactividad"&amp;" · ","")&amp;IF(AND($S184="Sub",N($R184)=0),"Subactividad sin macroactividad arriba"&amp;" · ","")&amp;IF($D184="","Sin responsable"&amp;" · ","")&amp;IF($E184="","Sin fecha de inicio"&amp;" · ","")&amp;IF($F184="","Sin fecha límite"&amp;" · ","")&amp;IF(OR(AND($E184&lt;&gt;"",NOT(ISNUMBER($E184))),AND($F184&lt;&gt;"",NOT(ISNUMBER($F184)))),"Fecha no válida"&amp;" · ","")&amp;IF(AND(ISNUMBER($E184),ISNUMBER($F184),$E184&gt;$F184),"Inicio posterior a fecha límite"&amp;" · ","")&amp;IF(AND($S184="Macro",$G184=""),"Peso vacío"&amp;" · ","")&amp;IF(AND($S184="Macro",$G184&lt;&gt;"",OR(NOT(ISNUMBER($G184)),$G184&lt;=0,$G184&gt;1)),"Peso fuera de rango"&amp;" · ","")&amp;IF(AND($S184="Sub",$G184&lt;&gt;""),"Las subactividades no llevan peso"&amp;" · ","")&amp;IF(AND($S184="Macro",ABS(SUMIFS($G$5:$G$1000,$P$5:$P$1000,$P184,$S$5:$S$1000,"Macro")-1)&gt;0.0001),"Pesos del mes suman "&amp;TEXT(SUMIFS($G$5:$G$1000,$P$5:$P$1000,$P184,$S$5:$S$1000,"Macro"),"0%")&amp;" · ","")&amp;IF(AND(N($T184)&gt;0,COUNT($H184:$K184)&gt;0),"Con subactividades: deje vacías las semanas (se calculan solas)"&amp;" · ","")&amp;IF((COUNTIF($H184:$K184,"&gt;1")+COUNTIF($H184:$K184,"&lt;0")+COUNTA($H184:$K184)-COUNT($H184:$K184))&gt;0,"Avance fuera de rango 0-100%"&amp;" · ","")&amp;IF(OR(AND($I184&lt;&gt;"",$I184&lt;$H184),AND($J184&lt;&gt;"",$J184&lt;MAX($H184:$I184)),AND($K184&lt;&gt;"",$K184&lt;MAX($H184:$J184))),"Avance semanal decreciente"&amp;" · ","")&amp;IF(AND(ISNUMBER($F184),$F184&lt;FechaRef,N($L184)&lt;1),"Vencida"&amp;" · ","")&amp;IF(AND(ObsObligatoria="Sí",ISNUMBER($F184),$F184&lt;FechaRef,N($L184)&lt;1,$N184=""),"Vencida sin observación"&amp;" · ",""),LEN(IF(AND($S184="Macro",$B184=""),"Macroactividad vacía"&amp;" · ","")&amp;IF(AND($B184&lt;&gt;"",$C184&lt;&gt;""),"Escriba la subactividad en otra fila, debajo de su macroactividad"&amp;" · ","")&amp;IF(AND($S184="Sub",N($R184)=0),"Subactividad sin macroactividad arriba"&amp;" · ","")&amp;IF($D184="","Sin responsable"&amp;" · ","")&amp;IF($E184="","Sin fecha de inicio"&amp;" · ","")&amp;IF($F184="","Sin fecha límite"&amp;" · ","")&amp;IF(OR(AND($E184&lt;&gt;"",NOT(ISNUMBER($E184))),AND($F184&lt;&gt;"",NOT(ISNUMBER($F184)))),"Fecha no válida"&amp;" · ","")&amp;IF(AND(ISNUMBER($E184),ISNUMBER($F184),$E184&gt;$F184),"Inicio posterior a fecha límite"&amp;" · ","")&amp;IF(AND($S184="Macro",$G184=""),"Peso vacío"&amp;" · ","")&amp;IF(AND($S184="Macro",$G184&lt;&gt;"",OR(NOT(ISNUMBER($G184)),$G184&lt;=0,$G184&gt;1)),"Peso fuera de rango"&amp;" · ","")&amp;IF(AND($S184="Sub",$G184&lt;&gt;""),"Las subactividades no llevan peso"&amp;" · ","")&amp;IF(AND($S184="Macro",ABS(SUMIFS($G$5:$G$1000,$P$5:$P$1000,$P184,$S$5:$S$1000,"Macro")-1)&gt;0.0001),"Pesos del mes suman "&amp;TEXT(SUMIFS($G$5:$G$1000,$P$5:$P$1000,$P184,$S$5:$S$1000,"Macro"),"0%")&amp;" · ","")&amp;IF(AND(N($T184)&gt;0,COUNT($H184:$K184)&gt;0),"Con subactividades: deje vacías las semanas (se calculan solas)"&amp;" · ","")&amp;IF((COUNTIF($H184:$K184,"&gt;1")+COUNTIF($H184:$K184,"&lt;0")+COUNTA($H184:$K184)-COUNT($H184:$K184))&gt;0,"Avance fuera de rango 0-100%"&amp;" · ","")&amp;IF(OR(AND($I184&lt;&gt;"",$I184&lt;$H184),AND($J184&lt;&gt;"",$J184&lt;MAX($H184:$I184)),AND($K184&lt;&gt;"",$K184&lt;MAX($H184:$J184))),"Avance semanal decreciente"&amp;" · ","")&amp;IF(AND(ISNUMBER($F184),$F184&lt;FechaRef,N($L184)&lt;1),"Vencida"&amp;" · ","")&amp;IF(AND(ObsObligatoria="Sí",ISNUMBER($F184),$F184&lt;FechaRef,N($L184)&lt;1,$N184=""),"Vencida sin observación"&amp;" · ",""))-3)))</f>
        <v/>
      </c>
      <c r="P184" s="69">
        <f>IF(NOT((COUNTA($B184:$K184)+COUNTA($N184))&gt;0),"",IF(AND($S184="Sub",N($R184)&gt;0),IF(ISNUMBER(INDEX($E$5:$E$1000,$R184-4)),DATE(YEAR(INDEX($E$5:$E$1000,$R184-4)),MONTH(INDEX($E$5:$E$1000,$R184-4)),1),IF(ISNUMBER(INDEX($F$5:$F$1000,$R184-4)),DATE(YEAR(INDEX($F$5:$F$1000,$R184-4)),MONTH(INDEX($F$5:$F$1000,$R184-4)),1),MesCiclo)),IF(ISNUMBER($E184),DATE(YEAR($E184),MONTH($E184),1),IF(ISNUMBER($F184),DATE(YEAR($F184),MONTH($F184),1),MesCiclo))))</f>
        <v/>
      </c>
      <c r="Q184" s="70">
        <f>IF(OR($P184="",$P184&lt;&gt;MesCiclo),"",COUNTIF($P$5:$P184,MesCiclo))</f>
        <v/>
      </c>
      <c r="R184" s="70">
        <f>IF($S184="","",IF($S184="Macro",ROW(),IFERROR(LOOKUP(2,1/($S$5:$S184="Macro"),ROW($S$5:$S184)),0)))</f>
        <v/>
      </c>
      <c r="S184" s="70">
        <f>IF(NOT((COUNTA($B184:$K184)+COUNTA($N184))&gt;0),"",IF($B184&lt;&gt;"","Macro",IF($C184&lt;&gt;"","Sub","Macro")))</f>
        <v/>
      </c>
      <c r="T184" s="70">
        <f>IF($S184="Macro",COUNTIFS($R$5:$R$1000,ROW(),$S$5:$S$1000,"Sub"),"")</f>
        <v/>
      </c>
      <c r="U184" s="70">
        <f>IF($S184="","",IF(ISNUMBER($H184),$H184,0))</f>
        <v/>
      </c>
      <c r="V184" s="70">
        <f>IF($S184="","",IF(ISNUMBER($I184),$I184,$U184))</f>
        <v/>
      </c>
      <c r="W184" s="70">
        <f>IF($S184="","",IF(ISNUMBER($J184),$J184,$V184))</f>
        <v/>
      </c>
      <c r="X184" s="70">
        <f>IF($S184="","",IF(ISNUMBER($K184),$K184,$W184))</f>
        <v/>
      </c>
      <c r="Y184" s="70">
        <f>IF($S184="","",IF(N($T184)&gt;0,AVERAGEIFS($U$5:$U$1000,$R$5:$R$1000,ROW(),$S$5:$S$1000,"Sub"),$U184))</f>
        <v/>
      </c>
      <c r="Z184" s="70">
        <f>IF($S184="","",IF(N($T184)&gt;0,AVERAGEIFS($V$5:$V$1000,$R$5:$R$1000,ROW(),$S$5:$S$1000,"Sub"),$V184))</f>
        <v/>
      </c>
      <c r="AA184" s="70">
        <f>IF($S184="","",IF(N($T184)&gt;0,AVERAGEIFS($W$5:$W$1000,$R$5:$R$1000,ROW(),$S$5:$S$1000,"Sub"),$W184))</f>
        <v/>
      </c>
      <c r="AB184" s="70">
        <f>IF($S184="","",IF(N($T184)&gt;0,AVERAGEIFS($X$5:$X$1000,$R$5:$R$1000,ROW(),$S$5:$S$1000,"Sub"),$X184))</f>
        <v/>
      </c>
    </row>
    <row r="185">
      <c r="A185" s="61">
        <f>IF(NOT((COUNTA($B185:$K185)+COUNTA($N185))&gt;0),"",IF($S185="Macro",COUNTIFS($S$5:$S185,"Macro",$P$5:$P185,$P185),IF(N($R185)=0,"?",COUNTIFS(INDEX($S$5:$S$1000,1):INDEX($S$5:$S$1000,$R185-4),"Macro",INDEX($P$5:$P$1000,1):INDEX($P$5:$P$1000,$R185-4),INDEX($P$5:$P$1000,$R185-4))&amp;"."&amp;COUNTIFS($R$5:$R185,$R185,$S$5:$S185,"Sub"))))</f>
        <v/>
      </c>
      <c r="B185" s="62" t="n"/>
      <c r="C185" s="63" t="n"/>
      <c r="D185" s="62" t="n"/>
      <c r="E185" s="64" t="n"/>
      <c r="F185" s="64" t="n"/>
      <c r="G185" s="65" t="n"/>
      <c r="H185" s="66" t="n"/>
      <c r="I185" s="66" t="n"/>
      <c r="J185" s="66" t="n"/>
      <c r="K185" s="66" t="n"/>
      <c r="L185" s="67">
        <f>IF(NOT((COUNTA($B185:$K185)+COUNTA($N185))&gt;0),"",IF(N($T185)&gt;0,$AB185,IFERROR(LOOKUP(2,1/(H185:K185&lt;&gt;""),H185:K185),0)))</f>
        <v/>
      </c>
      <c r="M185" s="61">
        <f>IF(L185="","",IF(L185&gt;=1,"Completado",IF(L185&gt;0,"En curso","Pendiente")))</f>
        <v/>
      </c>
      <c r="N185" s="62" t="n"/>
      <c r="O185" s="68">
        <f>IF(NOT((COUNTA($B185:$K185)+COUNTA($N185))&gt;0),"",IF((IF(AND($S185="Macro",$B185=""),"Macroactividad vacía"&amp;" · ","")&amp;IF(AND($B185&lt;&gt;"",$C185&lt;&gt;""),"Escriba la subactividad en otra fila, debajo de su macroactividad"&amp;" · ","")&amp;IF(AND($S185="Sub",N($R185)=0),"Subactividad sin macroactividad arriba"&amp;" · ","")&amp;IF($D185="","Sin responsable"&amp;" · ","")&amp;IF($E185="","Sin fecha de inicio"&amp;" · ","")&amp;IF($F185="","Sin fecha límite"&amp;" · ","")&amp;IF(OR(AND($E185&lt;&gt;"",NOT(ISNUMBER($E185))),AND($F185&lt;&gt;"",NOT(ISNUMBER($F185)))),"Fecha no válida"&amp;" · ","")&amp;IF(AND(ISNUMBER($E185),ISNUMBER($F185),$E185&gt;$F185),"Inicio posterior a fecha límite"&amp;" · ","")&amp;IF(AND($S185="Macro",$G185=""),"Peso vacío"&amp;" · ","")&amp;IF(AND($S185="Macro",$G185&lt;&gt;"",OR(NOT(ISNUMBER($G185)),$G185&lt;=0,$G185&gt;1)),"Peso fuera de rango"&amp;" · ","")&amp;IF(AND($S185="Sub",$G185&lt;&gt;""),"Las subactividades no llevan peso"&amp;" · ","")&amp;IF(AND($S185="Macro",ABS(SUMIFS($G$5:$G$1000,$P$5:$P$1000,$P185,$S$5:$S$1000,"Macro")-1)&gt;0.0001),"Pesos del mes suman "&amp;TEXT(SUMIFS($G$5:$G$1000,$P$5:$P$1000,$P185,$S$5:$S$1000,"Macro"),"0%")&amp;" · ","")&amp;IF(AND(N($T185)&gt;0,COUNT($H185:$K185)&gt;0),"Con subactividades: deje vacías las semanas (se calculan solas)"&amp;" · ","")&amp;IF((COUNTIF($H185:$K185,"&gt;1")+COUNTIF($H185:$K185,"&lt;0")+COUNTA($H185:$K185)-COUNT($H185:$K185))&gt;0,"Avance fuera de rango 0-100%"&amp;" · ","")&amp;IF(OR(AND($I185&lt;&gt;"",$I185&lt;$H185),AND($J185&lt;&gt;"",$J185&lt;MAX($H185:$I185)),AND($K185&lt;&gt;"",$K185&lt;MAX($H185:$J185))),"Avance semanal decreciente"&amp;" · ","")&amp;IF(AND(ISNUMBER($F185),$F185&lt;FechaRef,N($L185)&lt;1),"Vencida"&amp;" · ","")&amp;IF(AND(ObsObligatoria="Sí",ISNUMBER($F185),$F185&lt;FechaRef,N($L185)&lt;1,$N185=""),"Vencida sin observación"&amp;" · ",""))="","✔ OK","⚠ "&amp;LEFT(IF(AND($S185="Macro",$B185=""),"Macroactividad vacía"&amp;" · ","")&amp;IF(AND($B185&lt;&gt;"",$C185&lt;&gt;""),"Escriba la subactividad en otra fila, debajo de su macroactividad"&amp;" · ","")&amp;IF(AND($S185="Sub",N($R185)=0),"Subactividad sin macroactividad arriba"&amp;" · ","")&amp;IF($D185="","Sin responsable"&amp;" · ","")&amp;IF($E185="","Sin fecha de inicio"&amp;" · ","")&amp;IF($F185="","Sin fecha límite"&amp;" · ","")&amp;IF(OR(AND($E185&lt;&gt;"",NOT(ISNUMBER($E185))),AND($F185&lt;&gt;"",NOT(ISNUMBER($F185)))),"Fecha no válida"&amp;" · ","")&amp;IF(AND(ISNUMBER($E185),ISNUMBER($F185),$E185&gt;$F185),"Inicio posterior a fecha límite"&amp;" · ","")&amp;IF(AND($S185="Macro",$G185=""),"Peso vacío"&amp;" · ","")&amp;IF(AND($S185="Macro",$G185&lt;&gt;"",OR(NOT(ISNUMBER($G185)),$G185&lt;=0,$G185&gt;1)),"Peso fuera de rango"&amp;" · ","")&amp;IF(AND($S185="Sub",$G185&lt;&gt;""),"Las subactividades no llevan peso"&amp;" · ","")&amp;IF(AND($S185="Macro",ABS(SUMIFS($G$5:$G$1000,$P$5:$P$1000,$P185,$S$5:$S$1000,"Macro")-1)&gt;0.0001),"Pesos del mes suman "&amp;TEXT(SUMIFS($G$5:$G$1000,$P$5:$P$1000,$P185,$S$5:$S$1000,"Macro"),"0%")&amp;" · ","")&amp;IF(AND(N($T185)&gt;0,COUNT($H185:$K185)&gt;0),"Con subactividades: deje vacías las semanas (se calculan solas)"&amp;" · ","")&amp;IF((COUNTIF($H185:$K185,"&gt;1")+COUNTIF($H185:$K185,"&lt;0")+COUNTA($H185:$K185)-COUNT($H185:$K185))&gt;0,"Avance fuera de rango 0-100%"&amp;" · ","")&amp;IF(OR(AND($I185&lt;&gt;"",$I185&lt;$H185),AND($J185&lt;&gt;"",$J185&lt;MAX($H185:$I185)),AND($K185&lt;&gt;"",$K185&lt;MAX($H185:$J185))),"Avance semanal decreciente"&amp;" · ","")&amp;IF(AND(ISNUMBER($F185),$F185&lt;FechaRef,N($L185)&lt;1),"Vencida"&amp;" · ","")&amp;IF(AND(ObsObligatoria="Sí",ISNUMBER($F185),$F185&lt;FechaRef,N($L185)&lt;1,$N185=""),"Vencida sin observación"&amp;" · ",""),LEN(IF(AND($S185="Macro",$B185=""),"Macroactividad vacía"&amp;" · ","")&amp;IF(AND($B185&lt;&gt;"",$C185&lt;&gt;""),"Escriba la subactividad en otra fila, debajo de su macroactividad"&amp;" · ","")&amp;IF(AND($S185="Sub",N($R185)=0),"Subactividad sin macroactividad arriba"&amp;" · ","")&amp;IF($D185="","Sin responsable"&amp;" · ","")&amp;IF($E185="","Sin fecha de inicio"&amp;" · ","")&amp;IF($F185="","Sin fecha límite"&amp;" · ","")&amp;IF(OR(AND($E185&lt;&gt;"",NOT(ISNUMBER($E185))),AND($F185&lt;&gt;"",NOT(ISNUMBER($F185)))),"Fecha no válida"&amp;" · ","")&amp;IF(AND(ISNUMBER($E185),ISNUMBER($F185),$E185&gt;$F185),"Inicio posterior a fecha límite"&amp;" · ","")&amp;IF(AND($S185="Macro",$G185=""),"Peso vacío"&amp;" · ","")&amp;IF(AND($S185="Macro",$G185&lt;&gt;"",OR(NOT(ISNUMBER($G185)),$G185&lt;=0,$G185&gt;1)),"Peso fuera de rango"&amp;" · ","")&amp;IF(AND($S185="Sub",$G185&lt;&gt;""),"Las subactividades no llevan peso"&amp;" · ","")&amp;IF(AND($S185="Macro",ABS(SUMIFS($G$5:$G$1000,$P$5:$P$1000,$P185,$S$5:$S$1000,"Macro")-1)&gt;0.0001),"Pesos del mes suman "&amp;TEXT(SUMIFS($G$5:$G$1000,$P$5:$P$1000,$P185,$S$5:$S$1000,"Macro"),"0%")&amp;" · ","")&amp;IF(AND(N($T185)&gt;0,COUNT($H185:$K185)&gt;0),"Con subactividades: deje vacías las semanas (se calculan solas)"&amp;" · ","")&amp;IF((COUNTIF($H185:$K185,"&gt;1")+COUNTIF($H185:$K185,"&lt;0")+COUNTA($H185:$K185)-COUNT($H185:$K185))&gt;0,"Avance fuera de rango 0-100%"&amp;" · ","")&amp;IF(OR(AND($I185&lt;&gt;"",$I185&lt;$H185),AND($J185&lt;&gt;"",$J185&lt;MAX($H185:$I185)),AND($K185&lt;&gt;"",$K185&lt;MAX($H185:$J185))),"Avance semanal decreciente"&amp;" · ","")&amp;IF(AND(ISNUMBER($F185),$F185&lt;FechaRef,N($L185)&lt;1),"Vencida"&amp;" · ","")&amp;IF(AND(ObsObligatoria="Sí",ISNUMBER($F185),$F185&lt;FechaRef,N($L185)&lt;1,$N185=""),"Vencida sin observación"&amp;" · ",""))-3)))</f>
        <v/>
      </c>
      <c r="P185" s="69">
        <f>IF(NOT((COUNTA($B185:$K185)+COUNTA($N185))&gt;0),"",IF(AND($S185="Sub",N($R185)&gt;0),IF(ISNUMBER(INDEX($E$5:$E$1000,$R185-4)),DATE(YEAR(INDEX($E$5:$E$1000,$R185-4)),MONTH(INDEX($E$5:$E$1000,$R185-4)),1),IF(ISNUMBER(INDEX($F$5:$F$1000,$R185-4)),DATE(YEAR(INDEX($F$5:$F$1000,$R185-4)),MONTH(INDEX($F$5:$F$1000,$R185-4)),1),MesCiclo)),IF(ISNUMBER($E185),DATE(YEAR($E185),MONTH($E185),1),IF(ISNUMBER($F185),DATE(YEAR($F185),MONTH($F185),1),MesCiclo))))</f>
        <v/>
      </c>
      <c r="Q185" s="70">
        <f>IF(OR($P185="",$P185&lt;&gt;MesCiclo),"",COUNTIF($P$5:$P185,MesCiclo))</f>
        <v/>
      </c>
      <c r="R185" s="70">
        <f>IF($S185="","",IF($S185="Macro",ROW(),IFERROR(LOOKUP(2,1/($S$5:$S185="Macro"),ROW($S$5:$S185)),0)))</f>
        <v/>
      </c>
      <c r="S185" s="70">
        <f>IF(NOT((COUNTA($B185:$K185)+COUNTA($N185))&gt;0),"",IF($B185&lt;&gt;"","Macro",IF($C185&lt;&gt;"","Sub","Macro")))</f>
        <v/>
      </c>
      <c r="T185" s="70">
        <f>IF($S185="Macro",COUNTIFS($R$5:$R$1000,ROW(),$S$5:$S$1000,"Sub"),"")</f>
        <v/>
      </c>
      <c r="U185" s="70">
        <f>IF($S185="","",IF(ISNUMBER($H185),$H185,0))</f>
        <v/>
      </c>
      <c r="V185" s="70">
        <f>IF($S185="","",IF(ISNUMBER($I185),$I185,$U185))</f>
        <v/>
      </c>
      <c r="W185" s="70">
        <f>IF($S185="","",IF(ISNUMBER($J185),$J185,$V185))</f>
        <v/>
      </c>
      <c r="X185" s="70">
        <f>IF($S185="","",IF(ISNUMBER($K185),$K185,$W185))</f>
        <v/>
      </c>
      <c r="Y185" s="70">
        <f>IF($S185="","",IF(N($T185)&gt;0,AVERAGEIFS($U$5:$U$1000,$R$5:$R$1000,ROW(),$S$5:$S$1000,"Sub"),$U185))</f>
        <v/>
      </c>
      <c r="Z185" s="70">
        <f>IF($S185="","",IF(N($T185)&gt;0,AVERAGEIFS($V$5:$V$1000,$R$5:$R$1000,ROW(),$S$5:$S$1000,"Sub"),$V185))</f>
        <v/>
      </c>
      <c r="AA185" s="70">
        <f>IF($S185="","",IF(N($T185)&gt;0,AVERAGEIFS($W$5:$W$1000,$R$5:$R$1000,ROW(),$S$5:$S$1000,"Sub"),$W185))</f>
        <v/>
      </c>
      <c r="AB185" s="70">
        <f>IF($S185="","",IF(N($T185)&gt;0,AVERAGEIFS($X$5:$X$1000,$R$5:$R$1000,ROW(),$S$5:$S$1000,"Sub"),$X185))</f>
        <v/>
      </c>
    </row>
    <row r="186">
      <c r="A186" s="61">
        <f>IF(NOT((COUNTA($B186:$K186)+COUNTA($N186))&gt;0),"",IF($S186="Macro",COUNTIFS($S$5:$S186,"Macro",$P$5:$P186,$P186),IF(N($R186)=0,"?",COUNTIFS(INDEX($S$5:$S$1000,1):INDEX($S$5:$S$1000,$R186-4),"Macro",INDEX($P$5:$P$1000,1):INDEX($P$5:$P$1000,$R186-4),INDEX($P$5:$P$1000,$R186-4))&amp;"."&amp;COUNTIFS($R$5:$R186,$R186,$S$5:$S186,"Sub"))))</f>
        <v/>
      </c>
      <c r="B186" s="62" t="n"/>
      <c r="C186" s="63" t="n"/>
      <c r="D186" s="62" t="n"/>
      <c r="E186" s="64" t="n"/>
      <c r="F186" s="64" t="n"/>
      <c r="G186" s="65" t="n"/>
      <c r="H186" s="66" t="n"/>
      <c r="I186" s="66" t="n"/>
      <c r="J186" s="66" t="n"/>
      <c r="K186" s="66" t="n"/>
      <c r="L186" s="67">
        <f>IF(NOT((COUNTA($B186:$K186)+COUNTA($N186))&gt;0),"",IF(N($T186)&gt;0,$AB186,IFERROR(LOOKUP(2,1/(H186:K186&lt;&gt;""),H186:K186),0)))</f>
        <v/>
      </c>
      <c r="M186" s="61">
        <f>IF(L186="","",IF(L186&gt;=1,"Completado",IF(L186&gt;0,"En curso","Pendiente")))</f>
        <v/>
      </c>
      <c r="N186" s="62" t="n"/>
      <c r="O186" s="68">
        <f>IF(NOT((COUNTA($B186:$K186)+COUNTA($N186))&gt;0),"",IF((IF(AND($S186="Macro",$B186=""),"Macroactividad vacía"&amp;" · ","")&amp;IF(AND($B186&lt;&gt;"",$C186&lt;&gt;""),"Escriba la subactividad en otra fila, debajo de su macroactividad"&amp;" · ","")&amp;IF(AND($S186="Sub",N($R186)=0),"Subactividad sin macroactividad arriba"&amp;" · ","")&amp;IF($D186="","Sin responsable"&amp;" · ","")&amp;IF($E186="","Sin fecha de inicio"&amp;" · ","")&amp;IF($F186="","Sin fecha límite"&amp;" · ","")&amp;IF(OR(AND($E186&lt;&gt;"",NOT(ISNUMBER($E186))),AND($F186&lt;&gt;"",NOT(ISNUMBER($F186)))),"Fecha no válida"&amp;" · ","")&amp;IF(AND(ISNUMBER($E186),ISNUMBER($F186),$E186&gt;$F186),"Inicio posterior a fecha límite"&amp;" · ","")&amp;IF(AND($S186="Macro",$G186=""),"Peso vacío"&amp;" · ","")&amp;IF(AND($S186="Macro",$G186&lt;&gt;"",OR(NOT(ISNUMBER($G186)),$G186&lt;=0,$G186&gt;1)),"Peso fuera de rango"&amp;" · ","")&amp;IF(AND($S186="Sub",$G186&lt;&gt;""),"Las subactividades no llevan peso"&amp;" · ","")&amp;IF(AND($S186="Macro",ABS(SUMIFS($G$5:$G$1000,$P$5:$P$1000,$P186,$S$5:$S$1000,"Macro")-1)&gt;0.0001),"Pesos del mes suman "&amp;TEXT(SUMIFS($G$5:$G$1000,$P$5:$P$1000,$P186,$S$5:$S$1000,"Macro"),"0%")&amp;" · ","")&amp;IF(AND(N($T186)&gt;0,COUNT($H186:$K186)&gt;0),"Con subactividades: deje vacías las semanas (se calculan solas)"&amp;" · ","")&amp;IF((COUNTIF($H186:$K186,"&gt;1")+COUNTIF($H186:$K186,"&lt;0")+COUNTA($H186:$K186)-COUNT($H186:$K186))&gt;0,"Avance fuera de rango 0-100%"&amp;" · ","")&amp;IF(OR(AND($I186&lt;&gt;"",$I186&lt;$H186),AND($J186&lt;&gt;"",$J186&lt;MAX($H186:$I186)),AND($K186&lt;&gt;"",$K186&lt;MAX($H186:$J186))),"Avance semanal decreciente"&amp;" · ","")&amp;IF(AND(ISNUMBER($F186),$F186&lt;FechaRef,N($L186)&lt;1),"Vencida"&amp;" · ","")&amp;IF(AND(ObsObligatoria="Sí",ISNUMBER($F186),$F186&lt;FechaRef,N($L186)&lt;1,$N186=""),"Vencida sin observación"&amp;" · ",""))="","✔ OK","⚠ "&amp;LEFT(IF(AND($S186="Macro",$B186=""),"Macroactividad vacía"&amp;" · ","")&amp;IF(AND($B186&lt;&gt;"",$C186&lt;&gt;""),"Escriba la subactividad en otra fila, debajo de su macroactividad"&amp;" · ","")&amp;IF(AND($S186="Sub",N($R186)=0),"Subactividad sin macroactividad arriba"&amp;" · ","")&amp;IF($D186="","Sin responsable"&amp;" · ","")&amp;IF($E186="","Sin fecha de inicio"&amp;" · ","")&amp;IF($F186="","Sin fecha límite"&amp;" · ","")&amp;IF(OR(AND($E186&lt;&gt;"",NOT(ISNUMBER($E186))),AND($F186&lt;&gt;"",NOT(ISNUMBER($F186)))),"Fecha no válida"&amp;" · ","")&amp;IF(AND(ISNUMBER($E186),ISNUMBER($F186),$E186&gt;$F186),"Inicio posterior a fecha límite"&amp;" · ","")&amp;IF(AND($S186="Macro",$G186=""),"Peso vacío"&amp;" · ","")&amp;IF(AND($S186="Macro",$G186&lt;&gt;"",OR(NOT(ISNUMBER($G186)),$G186&lt;=0,$G186&gt;1)),"Peso fuera de rango"&amp;" · ","")&amp;IF(AND($S186="Sub",$G186&lt;&gt;""),"Las subactividades no llevan peso"&amp;" · ","")&amp;IF(AND($S186="Macro",ABS(SUMIFS($G$5:$G$1000,$P$5:$P$1000,$P186,$S$5:$S$1000,"Macro")-1)&gt;0.0001),"Pesos del mes suman "&amp;TEXT(SUMIFS($G$5:$G$1000,$P$5:$P$1000,$P186,$S$5:$S$1000,"Macro"),"0%")&amp;" · ","")&amp;IF(AND(N($T186)&gt;0,COUNT($H186:$K186)&gt;0),"Con subactividades: deje vacías las semanas (se calculan solas)"&amp;" · ","")&amp;IF((COUNTIF($H186:$K186,"&gt;1")+COUNTIF($H186:$K186,"&lt;0")+COUNTA($H186:$K186)-COUNT($H186:$K186))&gt;0,"Avance fuera de rango 0-100%"&amp;" · ","")&amp;IF(OR(AND($I186&lt;&gt;"",$I186&lt;$H186),AND($J186&lt;&gt;"",$J186&lt;MAX($H186:$I186)),AND($K186&lt;&gt;"",$K186&lt;MAX($H186:$J186))),"Avance semanal decreciente"&amp;" · ","")&amp;IF(AND(ISNUMBER($F186),$F186&lt;FechaRef,N($L186)&lt;1),"Vencida"&amp;" · ","")&amp;IF(AND(ObsObligatoria="Sí",ISNUMBER($F186),$F186&lt;FechaRef,N($L186)&lt;1,$N186=""),"Vencida sin observación"&amp;" · ",""),LEN(IF(AND($S186="Macro",$B186=""),"Macroactividad vacía"&amp;" · ","")&amp;IF(AND($B186&lt;&gt;"",$C186&lt;&gt;""),"Escriba la subactividad en otra fila, debajo de su macroactividad"&amp;" · ","")&amp;IF(AND($S186="Sub",N($R186)=0),"Subactividad sin macroactividad arriba"&amp;" · ","")&amp;IF($D186="","Sin responsable"&amp;" · ","")&amp;IF($E186="","Sin fecha de inicio"&amp;" · ","")&amp;IF($F186="","Sin fecha límite"&amp;" · ","")&amp;IF(OR(AND($E186&lt;&gt;"",NOT(ISNUMBER($E186))),AND($F186&lt;&gt;"",NOT(ISNUMBER($F186)))),"Fecha no válida"&amp;" · ","")&amp;IF(AND(ISNUMBER($E186),ISNUMBER($F186),$E186&gt;$F186),"Inicio posterior a fecha límite"&amp;" · ","")&amp;IF(AND($S186="Macro",$G186=""),"Peso vacío"&amp;" · ","")&amp;IF(AND($S186="Macro",$G186&lt;&gt;"",OR(NOT(ISNUMBER($G186)),$G186&lt;=0,$G186&gt;1)),"Peso fuera de rango"&amp;" · ","")&amp;IF(AND($S186="Sub",$G186&lt;&gt;""),"Las subactividades no llevan peso"&amp;" · ","")&amp;IF(AND($S186="Macro",ABS(SUMIFS($G$5:$G$1000,$P$5:$P$1000,$P186,$S$5:$S$1000,"Macro")-1)&gt;0.0001),"Pesos del mes suman "&amp;TEXT(SUMIFS($G$5:$G$1000,$P$5:$P$1000,$P186,$S$5:$S$1000,"Macro"),"0%")&amp;" · ","")&amp;IF(AND(N($T186)&gt;0,COUNT($H186:$K186)&gt;0),"Con subactividades: deje vacías las semanas (se calculan solas)"&amp;" · ","")&amp;IF((COUNTIF($H186:$K186,"&gt;1")+COUNTIF($H186:$K186,"&lt;0")+COUNTA($H186:$K186)-COUNT($H186:$K186))&gt;0,"Avance fuera de rango 0-100%"&amp;" · ","")&amp;IF(OR(AND($I186&lt;&gt;"",$I186&lt;$H186),AND($J186&lt;&gt;"",$J186&lt;MAX($H186:$I186)),AND($K186&lt;&gt;"",$K186&lt;MAX($H186:$J186))),"Avance semanal decreciente"&amp;" · ","")&amp;IF(AND(ISNUMBER($F186),$F186&lt;FechaRef,N($L186)&lt;1),"Vencida"&amp;" · ","")&amp;IF(AND(ObsObligatoria="Sí",ISNUMBER($F186),$F186&lt;FechaRef,N($L186)&lt;1,$N186=""),"Vencida sin observación"&amp;" · ",""))-3)))</f>
        <v/>
      </c>
      <c r="P186" s="69">
        <f>IF(NOT((COUNTA($B186:$K186)+COUNTA($N186))&gt;0),"",IF(AND($S186="Sub",N($R186)&gt;0),IF(ISNUMBER(INDEX($E$5:$E$1000,$R186-4)),DATE(YEAR(INDEX($E$5:$E$1000,$R186-4)),MONTH(INDEX($E$5:$E$1000,$R186-4)),1),IF(ISNUMBER(INDEX($F$5:$F$1000,$R186-4)),DATE(YEAR(INDEX($F$5:$F$1000,$R186-4)),MONTH(INDEX($F$5:$F$1000,$R186-4)),1),MesCiclo)),IF(ISNUMBER($E186),DATE(YEAR($E186),MONTH($E186),1),IF(ISNUMBER($F186),DATE(YEAR($F186),MONTH($F186),1),MesCiclo))))</f>
        <v/>
      </c>
      <c r="Q186" s="70">
        <f>IF(OR($P186="",$P186&lt;&gt;MesCiclo),"",COUNTIF($P$5:$P186,MesCiclo))</f>
        <v/>
      </c>
      <c r="R186" s="70">
        <f>IF($S186="","",IF($S186="Macro",ROW(),IFERROR(LOOKUP(2,1/($S$5:$S186="Macro"),ROW($S$5:$S186)),0)))</f>
        <v/>
      </c>
      <c r="S186" s="70">
        <f>IF(NOT((COUNTA($B186:$K186)+COUNTA($N186))&gt;0),"",IF($B186&lt;&gt;"","Macro",IF($C186&lt;&gt;"","Sub","Macro")))</f>
        <v/>
      </c>
      <c r="T186" s="70">
        <f>IF($S186="Macro",COUNTIFS($R$5:$R$1000,ROW(),$S$5:$S$1000,"Sub"),"")</f>
        <v/>
      </c>
      <c r="U186" s="70">
        <f>IF($S186="","",IF(ISNUMBER($H186),$H186,0))</f>
        <v/>
      </c>
      <c r="V186" s="70">
        <f>IF($S186="","",IF(ISNUMBER($I186),$I186,$U186))</f>
        <v/>
      </c>
      <c r="W186" s="70">
        <f>IF($S186="","",IF(ISNUMBER($J186),$J186,$V186))</f>
        <v/>
      </c>
      <c r="X186" s="70">
        <f>IF($S186="","",IF(ISNUMBER($K186),$K186,$W186))</f>
        <v/>
      </c>
      <c r="Y186" s="70">
        <f>IF($S186="","",IF(N($T186)&gt;0,AVERAGEIFS($U$5:$U$1000,$R$5:$R$1000,ROW(),$S$5:$S$1000,"Sub"),$U186))</f>
        <v/>
      </c>
      <c r="Z186" s="70">
        <f>IF($S186="","",IF(N($T186)&gt;0,AVERAGEIFS($V$5:$V$1000,$R$5:$R$1000,ROW(),$S$5:$S$1000,"Sub"),$V186))</f>
        <v/>
      </c>
      <c r="AA186" s="70">
        <f>IF($S186="","",IF(N($T186)&gt;0,AVERAGEIFS($W$5:$W$1000,$R$5:$R$1000,ROW(),$S$5:$S$1000,"Sub"),$W186))</f>
        <v/>
      </c>
      <c r="AB186" s="70">
        <f>IF($S186="","",IF(N($T186)&gt;0,AVERAGEIFS($X$5:$X$1000,$R$5:$R$1000,ROW(),$S$5:$S$1000,"Sub"),$X186))</f>
        <v/>
      </c>
    </row>
    <row r="187">
      <c r="A187" s="61">
        <f>IF(NOT((COUNTA($B187:$K187)+COUNTA($N187))&gt;0),"",IF($S187="Macro",COUNTIFS($S$5:$S187,"Macro",$P$5:$P187,$P187),IF(N($R187)=0,"?",COUNTIFS(INDEX($S$5:$S$1000,1):INDEX($S$5:$S$1000,$R187-4),"Macro",INDEX($P$5:$P$1000,1):INDEX($P$5:$P$1000,$R187-4),INDEX($P$5:$P$1000,$R187-4))&amp;"."&amp;COUNTIFS($R$5:$R187,$R187,$S$5:$S187,"Sub"))))</f>
        <v/>
      </c>
      <c r="B187" s="62" t="n"/>
      <c r="C187" s="63" t="n"/>
      <c r="D187" s="62" t="n"/>
      <c r="E187" s="64" t="n"/>
      <c r="F187" s="64" t="n"/>
      <c r="G187" s="65" t="n"/>
      <c r="H187" s="66" t="n"/>
      <c r="I187" s="66" t="n"/>
      <c r="J187" s="66" t="n"/>
      <c r="K187" s="66" t="n"/>
      <c r="L187" s="67">
        <f>IF(NOT((COUNTA($B187:$K187)+COUNTA($N187))&gt;0),"",IF(N($T187)&gt;0,$AB187,IFERROR(LOOKUP(2,1/(H187:K187&lt;&gt;""),H187:K187),0)))</f>
        <v/>
      </c>
      <c r="M187" s="61">
        <f>IF(L187="","",IF(L187&gt;=1,"Completado",IF(L187&gt;0,"En curso","Pendiente")))</f>
        <v/>
      </c>
      <c r="N187" s="62" t="n"/>
      <c r="O187" s="68">
        <f>IF(NOT((COUNTA($B187:$K187)+COUNTA($N187))&gt;0),"",IF((IF(AND($S187="Macro",$B187=""),"Macroactividad vacía"&amp;" · ","")&amp;IF(AND($B187&lt;&gt;"",$C187&lt;&gt;""),"Escriba la subactividad en otra fila, debajo de su macroactividad"&amp;" · ","")&amp;IF(AND($S187="Sub",N($R187)=0),"Subactividad sin macroactividad arriba"&amp;" · ","")&amp;IF($D187="","Sin responsable"&amp;" · ","")&amp;IF($E187="","Sin fecha de inicio"&amp;" · ","")&amp;IF($F187="","Sin fecha límite"&amp;" · ","")&amp;IF(OR(AND($E187&lt;&gt;"",NOT(ISNUMBER($E187))),AND($F187&lt;&gt;"",NOT(ISNUMBER($F187)))),"Fecha no válida"&amp;" · ","")&amp;IF(AND(ISNUMBER($E187),ISNUMBER($F187),$E187&gt;$F187),"Inicio posterior a fecha límite"&amp;" · ","")&amp;IF(AND($S187="Macro",$G187=""),"Peso vacío"&amp;" · ","")&amp;IF(AND($S187="Macro",$G187&lt;&gt;"",OR(NOT(ISNUMBER($G187)),$G187&lt;=0,$G187&gt;1)),"Peso fuera de rango"&amp;" · ","")&amp;IF(AND($S187="Sub",$G187&lt;&gt;""),"Las subactividades no llevan peso"&amp;" · ","")&amp;IF(AND($S187="Macro",ABS(SUMIFS($G$5:$G$1000,$P$5:$P$1000,$P187,$S$5:$S$1000,"Macro")-1)&gt;0.0001),"Pesos del mes suman "&amp;TEXT(SUMIFS($G$5:$G$1000,$P$5:$P$1000,$P187,$S$5:$S$1000,"Macro"),"0%")&amp;" · ","")&amp;IF(AND(N($T187)&gt;0,COUNT($H187:$K187)&gt;0),"Con subactividades: deje vacías las semanas (se calculan solas)"&amp;" · ","")&amp;IF((COUNTIF($H187:$K187,"&gt;1")+COUNTIF($H187:$K187,"&lt;0")+COUNTA($H187:$K187)-COUNT($H187:$K187))&gt;0,"Avance fuera de rango 0-100%"&amp;" · ","")&amp;IF(OR(AND($I187&lt;&gt;"",$I187&lt;$H187),AND($J187&lt;&gt;"",$J187&lt;MAX($H187:$I187)),AND($K187&lt;&gt;"",$K187&lt;MAX($H187:$J187))),"Avance semanal decreciente"&amp;" · ","")&amp;IF(AND(ISNUMBER($F187),$F187&lt;FechaRef,N($L187)&lt;1),"Vencida"&amp;" · ","")&amp;IF(AND(ObsObligatoria="Sí",ISNUMBER($F187),$F187&lt;FechaRef,N($L187)&lt;1,$N187=""),"Vencida sin observación"&amp;" · ",""))="","✔ OK","⚠ "&amp;LEFT(IF(AND($S187="Macro",$B187=""),"Macroactividad vacía"&amp;" · ","")&amp;IF(AND($B187&lt;&gt;"",$C187&lt;&gt;""),"Escriba la subactividad en otra fila, debajo de su macroactividad"&amp;" · ","")&amp;IF(AND($S187="Sub",N($R187)=0),"Subactividad sin macroactividad arriba"&amp;" · ","")&amp;IF($D187="","Sin responsable"&amp;" · ","")&amp;IF($E187="","Sin fecha de inicio"&amp;" · ","")&amp;IF($F187="","Sin fecha límite"&amp;" · ","")&amp;IF(OR(AND($E187&lt;&gt;"",NOT(ISNUMBER($E187))),AND($F187&lt;&gt;"",NOT(ISNUMBER($F187)))),"Fecha no válida"&amp;" · ","")&amp;IF(AND(ISNUMBER($E187),ISNUMBER($F187),$E187&gt;$F187),"Inicio posterior a fecha límite"&amp;" · ","")&amp;IF(AND($S187="Macro",$G187=""),"Peso vacío"&amp;" · ","")&amp;IF(AND($S187="Macro",$G187&lt;&gt;"",OR(NOT(ISNUMBER($G187)),$G187&lt;=0,$G187&gt;1)),"Peso fuera de rango"&amp;" · ","")&amp;IF(AND($S187="Sub",$G187&lt;&gt;""),"Las subactividades no llevan peso"&amp;" · ","")&amp;IF(AND($S187="Macro",ABS(SUMIFS($G$5:$G$1000,$P$5:$P$1000,$P187,$S$5:$S$1000,"Macro")-1)&gt;0.0001),"Pesos del mes suman "&amp;TEXT(SUMIFS($G$5:$G$1000,$P$5:$P$1000,$P187,$S$5:$S$1000,"Macro"),"0%")&amp;" · ","")&amp;IF(AND(N($T187)&gt;0,COUNT($H187:$K187)&gt;0),"Con subactividades: deje vacías las semanas (se calculan solas)"&amp;" · ","")&amp;IF((COUNTIF($H187:$K187,"&gt;1")+COUNTIF($H187:$K187,"&lt;0")+COUNTA($H187:$K187)-COUNT($H187:$K187))&gt;0,"Avance fuera de rango 0-100%"&amp;" · ","")&amp;IF(OR(AND($I187&lt;&gt;"",$I187&lt;$H187),AND($J187&lt;&gt;"",$J187&lt;MAX($H187:$I187)),AND($K187&lt;&gt;"",$K187&lt;MAX($H187:$J187))),"Avance semanal decreciente"&amp;" · ","")&amp;IF(AND(ISNUMBER($F187),$F187&lt;FechaRef,N($L187)&lt;1),"Vencida"&amp;" · ","")&amp;IF(AND(ObsObligatoria="Sí",ISNUMBER($F187),$F187&lt;FechaRef,N($L187)&lt;1,$N187=""),"Vencida sin observación"&amp;" · ",""),LEN(IF(AND($S187="Macro",$B187=""),"Macroactividad vacía"&amp;" · ","")&amp;IF(AND($B187&lt;&gt;"",$C187&lt;&gt;""),"Escriba la subactividad en otra fila, debajo de su macroactividad"&amp;" · ","")&amp;IF(AND($S187="Sub",N($R187)=0),"Subactividad sin macroactividad arriba"&amp;" · ","")&amp;IF($D187="","Sin responsable"&amp;" · ","")&amp;IF($E187="","Sin fecha de inicio"&amp;" · ","")&amp;IF($F187="","Sin fecha límite"&amp;" · ","")&amp;IF(OR(AND($E187&lt;&gt;"",NOT(ISNUMBER($E187))),AND($F187&lt;&gt;"",NOT(ISNUMBER($F187)))),"Fecha no válida"&amp;" · ","")&amp;IF(AND(ISNUMBER($E187),ISNUMBER($F187),$E187&gt;$F187),"Inicio posterior a fecha límite"&amp;" · ","")&amp;IF(AND($S187="Macro",$G187=""),"Peso vacío"&amp;" · ","")&amp;IF(AND($S187="Macro",$G187&lt;&gt;"",OR(NOT(ISNUMBER($G187)),$G187&lt;=0,$G187&gt;1)),"Peso fuera de rango"&amp;" · ","")&amp;IF(AND($S187="Sub",$G187&lt;&gt;""),"Las subactividades no llevan peso"&amp;" · ","")&amp;IF(AND($S187="Macro",ABS(SUMIFS($G$5:$G$1000,$P$5:$P$1000,$P187,$S$5:$S$1000,"Macro")-1)&gt;0.0001),"Pesos del mes suman "&amp;TEXT(SUMIFS($G$5:$G$1000,$P$5:$P$1000,$P187,$S$5:$S$1000,"Macro"),"0%")&amp;" · ","")&amp;IF(AND(N($T187)&gt;0,COUNT($H187:$K187)&gt;0),"Con subactividades: deje vacías las semanas (se calculan solas)"&amp;" · ","")&amp;IF((COUNTIF($H187:$K187,"&gt;1")+COUNTIF($H187:$K187,"&lt;0")+COUNTA($H187:$K187)-COUNT($H187:$K187))&gt;0,"Avance fuera de rango 0-100%"&amp;" · ","")&amp;IF(OR(AND($I187&lt;&gt;"",$I187&lt;$H187),AND($J187&lt;&gt;"",$J187&lt;MAX($H187:$I187)),AND($K187&lt;&gt;"",$K187&lt;MAX($H187:$J187))),"Avance semanal decreciente"&amp;" · ","")&amp;IF(AND(ISNUMBER($F187),$F187&lt;FechaRef,N($L187)&lt;1),"Vencida"&amp;" · ","")&amp;IF(AND(ObsObligatoria="Sí",ISNUMBER($F187),$F187&lt;FechaRef,N($L187)&lt;1,$N187=""),"Vencida sin observación"&amp;" · ",""))-3)))</f>
        <v/>
      </c>
      <c r="P187" s="69">
        <f>IF(NOT((COUNTA($B187:$K187)+COUNTA($N187))&gt;0),"",IF(AND($S187="Sub",N($R187)&gt;0),IF(ISNUMBER(INDEX($E$5:$E$1000,$R187-4)),DATE(YEAR(INDEX($E$5:$E$1000,$R187-4)),MONTH(INDEX($E$5:$E$1000,$R187-4)),1),IF(ISNUMBER(INDEX($F$5:$F$1000,$R187-4)),DATE(YEAR(INDEX($F$5:$F$1000,$R187-4)),MONTH(INDEX($F$5:$F$1000,$R187-4)),1),MesCiclo)),IF(ISNUMBER($E187),DATE(YEAR($E187),MONTH($E187),1),IF(ISNUMBER($F187),DATE(YEAR($F187),MONTH($F187),1),MesCiclo))))</f>
        <v/>
      </c>
      <c r="Q187" s="70">
        <f>IF(OR($P187="",$P187&lt;&gt;MesCiclo),"",COUNTIF($P$5:$P187,MesCiclo))</f>
        <v/>
      </c>
      <c r="R187" s="70">
        <f>IF($S187="","",IF($S187="Macro",ROW(),IFERROR(LOOKUP(2,1/($S$5:$S187="Macro"),ROW($S$5:$S187)),0)))</f>
        <v/>
      </c>
      <c r="S187" s="70">
        <f>IF(NOT((COUNTA($B187:$K187)+COUNTA($N187))&gt;0),"",IF($B187&lt;&gt;"","Macro",IF($C187&lt;&gt;"","Sub","Macro")))</f>
        <v/>
      </c>
      <c r="T187" s="70">
        <f>IF($S187="Macro",COUNTIFS($R$5:$R$1000,ROW(),$S$5:$S$1000,"Sub"),"")</f>
        <v/>
      </c>
      <c r="U187" s="70">
        <f>IF($S187="","",IF(ISNUMBER($H187),$H187,0))</f>
        <v/>
      </c>
      <c r="V187" s="70">
        <f>IF($S187="","",IF(ISNUMBER($I187),$I187,$U187))</f>
        <v/>
      </c>
      <c r="W187" s="70">
        <f>IF($S187="","",IF(ISNUMBER($J187),$J187,$V187))</f>
        <v/>
      </c>
      <c r="X187" s="70">
        <f>IF($S187="","",IF(ISNUMBER($K187),$K187,$W187))</f>
        <v/>
      </c>
      <c r="Y187" s="70">
        <f>IF($S187="","",IF(N($T187)&gt;0,AVERAGEIFS($U$5:$U$1000,$R$5:$R$1000,ROW(),$S$5:$S$1000,"Sub"),$U187))</f>
        <v/>
      </c>
      <c r="Z187" s="70">
        <f>IF($S187="","",IF(N($T187)&gt;0,AVERAGEIFS($V$5:$V$1000,$R$5:$R$1000,ROW(),$S$5:$S$1000,"Sub"),$V187))</f>
        <v/>
      </c>
      <c r="AA187" s="70">
        <f>IF($S187="","",IF(N($T187)&gt;0,AVERAGEIFS($W$5:$W$1000,$R$5:$R$1000,ROW(),$S$5:$S$1000,"Sub"),$W187))</f>
        <v/>
      </c>
      <c r="AB187" s="70">
        <f>IF($S187="","",IF(N($T187)&gt;0,AVERAGEIFS($X$5:$X$1000,$R$5:$R$1000,ROW(),$S$5:$S$1000,"Sub"),$X187))</f>
        <v/>
      </c>
    </row>
    <row r="188">
      <c r="A188" s="61">
        <f>IF(NOT((COUNTA($B188:$K188)+COUNTA($N188))&gt;0),"",IF($S188="Macro",COUNTIFS($S$5:$S188,"Macro",$P$5:$P188,$P188),IF(N($R188)=0,"?",COUNTIFS(INDEX($S$5:$S$1000,1):INDEX($S$5:$S$1000,$R188-4),"Macro",INDEX($P$5:$P$1000,1):INDEX($P$5:$P$1000,$R188-4),INDEX($P$5:$P$1000,$R188-4))&amp;"."&amp;COUNTIFS($R$5:$R188,$R188,$S$5:$S188,"Sub"))))</f>
        <v/>
      </c>
      <c r="B188" s="62" t="n"/>
      <c r="C188" s="63" t="n"/>
      <c r="D188" s="62" t="n"/>
      <c r="E188" s="64" t="n"/>
      <c r="F188" s="64" t="n"/>
      <c r="G188" s="65" t="n"/>
      <c r="H188" s="66" t="n"/>
      <c r="I188" s="66" t="n"/>
      <c r="J188" s="66" t="n"/>
      <c r="K188" s="66" t="n"/>
      <c r="L188" s="67">
        <f>IF(NOT((COUNTA($B188:$K188)+COUNTA($N188))&gt;0),"",IF(N($T188)&gt;0,$AB188,IFERROR(LOOKUP(2,1/(H188:K188&lt;&gt;""),H188:K188),0)))</f>
        <v/>
      </c>
      <c r="M188" s="61">
        <f>IF(L188="","",IF(L188&gt;=1,"Completado",IF(L188&gt;0,"En curso","Pendiente")))</f>
        <v/>
      </c>
      <c r="N188" s="62" t="n"/>
      <c r="O188" s="68">
        <f>IF(NOT((COUNTA($B188:$K188)+COUNTA($N188))&gt;0),"",IF((IF(AND($S188="Macro",$B188=""),"Macroactividad vacía"&amp;" · ","")&amp;IF(AND($B188&lt;&gt;"",$C188&lt;&gt;""),"Escriba la subactividad en otra fila, debajo de su macroactividad"&amp;" · ","")&amp;IF(AND($S188="Sub",N($R188)=0),"Subactividad sin macroactividad arriba"&amp;" · ","")&amp;IF($D188="","Sin responsable"&amp;" · ","")&amp;IF($E188="","Sin fecha de inicio"&amp;" · ","")&amp;IF($F188="","Sin fecha límite"&amp;" · ","")&amp;IF(OR(AND($E188&lt;&gt;"",NOT(ISNUMBER($E188))),AND($F188&lt;&gt;"",NOT(ISNUMBER($F188)))),"Fecha no válida"&amp;" · ","")&amp;IF(AND(ISNUMBER($E188),ISNUMBER($F188),$E188&gt;$F188),"Inicio posterior a fecha límite"&amp;" · ","")&amp;IF(AND($S188="Macro",$G188=""),"Peso vacío"&amp;" · ","")&amp;IF(AND($S188="Macro",$G188&lt;&gt;"",OR(NOT(ISNUMBER($G188)),$G188&lt;=0,$G188&gt;1)),"Peso fuera de rango"&amp;" · ","")&amp;IF(AND($S188="Sub",$G188&lt;&gt;""),"Las subactividades no llevan peso"&amp;" · ","")&amp;IF(AND($S188="Macro",ABS(SUMIFS($G$5:$G$1000,$P$5:$P$1000,$P188,$S$5:$S$1000,"Macro")-1)&gt;0.0001),"Pesos del mes suman "&amp;TEXT(SUMIFS($G$5:$G$1000,$P$5:$P$1000,$P188,$S$5:$S$1000,"Macro"),"0%")&amp;" · ","")&amp;IF(AND(N($T188)&gt;0,COUNT($H188:$K188)&gt;0),"Con subactividades: deje vacías las semanas (se calculan solas)"&amp;" · ","")&amp;IF((COUNTIF($H188:$K188,"&gt;1")+COUNTIF($H188:$K188,"&lt;0")+COUNTA($H188:$K188)-COUNT($H188:$K188))&gt;0,"Avance fuera de rango 0-100%"&amp;" · ","")&amp;IF(OR(AND($I188&lt;&gt;"",$I188&lt;$H188),AND($J188&lt;&gt;"",$J188&lt;MAX($H188:$I188)),AND($K188&lt;&gt;"",$K188&lt;MAX($H188:$J188))),"Avance semanal decreciente"&amp;" · ","")&amp;IF(AND(ISNUMBER($F188),$F188&lt;FechaRef,N($L188)&lt;1),"Vencida"&amp;" · ","")&amp;IF(AND(ObsObligatoria="Sí",ISNUMBER($F188),$F188&lt;FechaRef,N($L188)&lt;1,$N188=""),"Vencida sin observación"&amp;" · ",""))="","✔ OK","⚠ "&amp;LEFT(IF(AND($S188="Macro",$B188=""),"Macroactividad vacía"&amp;" · ","")&amp;IF(AND($B188&lt;&gt;"",$C188&lt;&gt;""),"Escriba la subactividad en otra fila, debajo de su macroactividad"&amp;" · ","")&amp;IF(AND($S188="Sub",N($R188)=0),"Subactividad sin macroactividad arriba"&amp;" · ","")&amp;IF($D188="","Sin responsable"&amp;" · ","")&amp;IF($E188="","Sin fecha de inicio"&amp;" · ","")&amp;IF($F188="","Sin fecha límite"&amp;" · ","")&amp;IF(OR(AND($E188&lt;&gt;"",NOT(ISNUMBER($E188))),AND($F188&lt;&gt;"",NOT(ISNUMBER($F188)))),"Fecha no válida"&amp;" · ","")&amp;IF(AND(ISNUMBER($E188),ISNUMBER($F188),$E188&gt;$F188),"Inicio posterior a fecha límite"&amp;" · ","")&amp;IF(AND($S188="Macro",$G188=""),"Peso vacío"&amp;" · ","")&amp;IF(AND($S188="Macro",$G188&lt;&gt;"",OR(NOT(ISNUMBER($G188)),$G188&lt;=0,$G188&gt;1)),"Peso fuera de rango"&amp;" · ","")&amp;IF(AND($S188="Sub",$G188&lt;&gt;""),"Las subactividades no llevan peso"&amp;" · ","")&amp;IF(AND($S188="Macro",ABS(SUMIFS($G$5:$G$1000,$P$5:$P$1000,$P188,$S$5:$S$1000,"Macro")-1)&gt;0.0001),"Pesos del mes suman "&amp;TEXT(SUMIFS($G$5:$G$1000,$P$5:$P$1000,$P188,$S$5:$S$1000,"Macro"),"0%")&amp;" · ","")&amp;IF(AND(N($T188)&gt;0,COUNT($H188:$K188)&gt;0),"Con subactividades: deje vacías las semanas (se calculan solas)"&amp;" · ","")&amp;IF((COUNTIF($H188:$K188,"&gt;1")+COUNTIF($H188:$K188,"&lt;0")+COUNTA($H188:$K188)-COUNT($H188:$K188))&gt;0,"Avance fuera de rango 0-100%"&amp;" · ","")&amp;IF(OR(AND($I188&lt;&gt;"",$I188&lt;$H188),AND($J188&lt;&gt;"",$J188&lt;MAX($H188:$I188)),AND($K188&lt;&gt;"",$K188&lt;MAX($H188:$J188))),"Avance semanal decreciente"&amp;" · ","")&amp;IF(AND(ISNUMBER($F188),$F188&lt;FechaRef,N($L188)&lt;1),"Vencida"&amp;" · ","")&amp;IF(AND(ObsObligatoria="Sí",ISNUMBER($F188),$F188&lt;FechaRef,N($L188)&lt;1,$N188=""),"Vencida sin observación"&amp;" · ",""),LEN(IF(AND($S188="Macro",$B188=""),"Macroactividad vacía"&amp;" · ","")&amp;IF(AND($B188&lt;&gt;"",$C188&lt;&gt;""),"Escriba la subactividad en otra fila, debajo de su macroactividad"&amp;" · ","")&amp;IF(AND($S188="Sub",N($R188)=0),"Subactividad sin macroactividad arriba"&amp;" · ","")&amp;IF($D188="","Sin responsable"&amp;" · ","")&amp;IF($E188="","Sin fecha de inicio"&amp;" · ","")&amp;IF($F188="","Sin fecha límite"&amp;" · ","")&amp;IF(OR(AND($E188&lt;&gt;"",NOT(ISNUMBER($E188))),AND($F188&lt;&gt;"",NOT(ISNUMBER($F188)))),"Fecha no válida"&amp;" · ","")&amp;IF(AND(ISNUMBER($E188),ISNUMBER($F188),$E188&gt;$F188),"Inicio posterior a fecha límite"&amp;" · ","")&amp;IF(AND($S188="Macro",$G188=""),"Peso vacío"&amp;" · ","")&amp;IF(AND($S188="Macro",$G188&lt;&gt;"",OR(NOT(ISNUMBER($G188)),$G188&lt;=0,$G188&gt;1)),"Peso fuera de rango"&amp;" · ","")&amp;IF(AND($S188="Sub",$G188&lt;&gt;""),"Las subactividades no llevan peso"&amp;" · ","")&amp;IF(AND($S188="Macro",ABS(SUMIFS($G$5:$G$1000,$P$5:$P$1000,$P188,$S$5:$S$1000,"Macro")-1)&gt;0.0001),"Pesos del mes suman "&amp;TEXT(SUMIFS($G$5:$G$1000,$P$5:$P$1000,$P188,$S$5:$S$1000,"Macro"),"0%")&amp;" · ","")&amp;IF(AND(N($T188)&gt;0,COUNT($H188:$K188)&gt;0),"Con subactividades: deje vacías las semanas (se calculan solas)"&amp;" · ","")&amp;IF((COUNTIF($H188:$K188,"&gt;1")+COUNTIF($H188:$K188,"&lt;0")+COUNTA($H188:$K188)-COUNT($H188:$K188))&gt;0,"Avance fuera de rango 0-100%"&amp;" · ","")&amp;IF(OR(AND($I188&lt;&gt;"",$I188&lt;$H188),AND($J188&lt;&gt;"",$J188&lt;MAX($H188:$I188)),AND($K188&lt;&gt;"",$K188&lt;MAX($H188:$J188))),"Avance semanal decreciente"&amp;" · ","")&amp;IF(AND(ISNUMBER($F188),$F188&lt;FechaRef,N($L188)&lt;1),"Vencida"&amp;" · ","")&amp;IF(AND(ObsObligatoria="Sí",ISNUMBER($F188),$F188&lt;FechaRef,N($L188)&lt;1,$N188=""),"Vencida sin observación"&amp;" · ",""))-3)))</f>
        <v/>
      </c>
      <c r="P188" s="69">
        <f>IF(NOT((COUNTA($B188:$K188)+COUNTA($N188))&gt;0),"",IF(AND($S188="Sub",N($R188)&gt;0),IF(ISNUMBER(INDEX($E$5:$E$1000,$R188-4)),DATE(YEAR(INDEX($E$5:$E$1000,$R188-4)),MONTH(INDEX($E$5:$E$1000,$R188-4)),1),IF(ISNUMBER(INDEX($F$5:$F$1000,$R188-4)),DATE(YEAR(INDEX($F$5:$F$1000,$R188-4)),MONTH(INDEX($F$5:$F$1000,$R188-4)),1),MesCiclo)),IF(ISNUMBER($E188),DATE(YEAR($E188),MONTH($E188),1),IF(ISNUMBER($F188),DATE(YEAR($F188),MONTH($F188),1),MesCiclo))))</f>
        <v/>
      </c>
      <c r="Q188" s="70">
        <f>IF(OR($P188="",$P188&lt;&gt;MesCiclo),"",COUNTIF($P$5:$P188,MesCiclo))</f>
        <v/>
      </c>
      <c r="R188" s="70">
        <f>IF($S188="","",IF($S188="Macro",ROW(),IFERROR(LOOKUP(2,1/($S$5:$S188="Macro"),ROW($S$5:$S188)),0)))</f>
        <v/>
      </c>
      <c r="S188" s="70">
        <f>IF(NOT((COUNTA($B188:$K188)+COUNTA($N188))&gt;0),"",IF($B188&lt;&gt;"","Macro",IF($C188&lt;&gt;"","Sub","Macro")))</f>
        <v/>
      </c>
      <c r="T188" s="70">
        <f>IF($S188="Macro",COUNTIFS($R$5:$R$1000,ROW(),$S$5:$S$1000,"Sub"),"")</f>
        <v/>
      </c>
      <c r="U188" s="70">
        <f>IF($S188="","",IF(ISNUMBER($H188),$H188,0))</f>
        <v/>
      </c>
      <c r="V188" s="70">
        <f>IF($S188="","",IF(ISNUMBER($I188),$I188,$U188))</f>
        <v/>
      </c>
      <c r="W188" s="70">
        <f>IF($S188="","",IF(ISNUMBER($J188),$J188,$V188))</f>
        <v/>
      </c>
      <c r="X188" s="70">
        <f>IF($S188="","",IF(ISNUMBER($K188),$K188,$W188))</f>
        <v/>
      </c>
      <c r="Y188" s="70">
        <f>IF($S188="","",IF(N($T188)&gt;0,AVERAGEIFS($U$5:$U$1000,$R$5:$R$1000,ROW(),$S$5:$S$1000,"Sub"),$U188))</f>
        <v/>
      </c>
      <c r="Z188" s="70">
        <f>IF($S188="","",IF(N($T188)&gt;0,AVERAGEIFS($V$5:$V$1000,$R$5:$R$1000,ROW(),$S$5:$S$1000,"Sub"),$V188))</f>
        <v/>
      </c>
      <c r="AA188" s="70">
        <f>IF($S188="","",IF(N($T188)&gt;0,AVERAGEIFS($W$5:$W$1000,$R$5:$R$1000,ROW(),$S$5:$S$1000,"Sub"),$W188))</f>
        <v/>
      </c>
      <c r="AB188" s="70">
        <f>IF($S188="","",IF(N($T188)&gt;0,AVERAGEIFS($X$5:$X$1000,$R$5:$R$1000,ROW(),$S$5:$S$1000,"Sub"),$X188))</f>
        <v/>
      </c>
    </row>
    <row r="189">
      <c r="A189" s="61">
        <f>IF(NOT((COUNTA($B189:$K189)+COUNTA($N189))&gt;0),"",IF($S189="Macro",COUNTIFS($S$5:$S189,"Macro",$P$5:$P189,$P189),IF(N($R189)=0,"?",COUNTIFS(INDEX($S$5:$S$1000,1):INDEX($S$5:$S$1000,$R189-4),"Macro",INDEX($P$5:$P$1000,1):INDEX($P$5:$P$1000,$R189-4),INDEX($P$5:$P$1000,$R189-4))&amp;"."&amp;COUNTIFS($R$5:$R189,$R189,$S$5:$S189,"Sub"))))</f>
        <v/>
      </c>
      <c r="B189" s="62" t="n"/>
      <c r="C189" s="63" t="n"/>
      <c r="D189" s="62" t="n"/>
      <c r="E189" s="64" t="n"/>
      <c r="F189" s="64" t="n"/>
      <c r="G189" s="65" t="n"/>
      <c r="H189" s="66" t="n"/>
      <c r="I189" s="66" t="n"/>
      <c r="J189" s="66" t="n"/>
      <c r="K189" s="66" t="n"/>
      <c r="L189" s="67">
        <f>IF(NOT((COUNTA($B189:$K189)+COUNTA($N189))&gt;0),"",IF(N($T189)&gt;0,$AB189,IFERROR(LOOKUP(2,1/(H189:K189&lt;&gt;""),H189:K189),0)))</f>
        <v/>
      </c>
      <c r="M189" s="61">
        <f>IF(L189="","",IF(L189&gt;=1,"Completado",IF(L189&gt;0,"En curso","Pendiente")))</f>
        <v/>
      </c>
      <c r="N189" s="62" t="n"/>
      <c r="O189" s="68">
        <f>IF(NOT((COUNTA($B189:$K189)+COUNTA($N189))&gt;0),"",IF((IF(AND($S189="Macro",$B189=""),"Macroactividad vacía"&amp;" · ","")&amp;IF(AND($B189&lt;&gt;"",$C189&lt;&gt;""),"Escriba la subactividad en otra fila, debajo de su macroactividad"&amp;" · ","")&amp;IF(AND($S189="Sub",N($R189)=0),"Subactividad sin macroactividad arriba"&amp;" · ","")&amp;IF($D189="","Sin responsable"&amp;" · ","")&amp;IF($E189="","Sin fecha de inicio"&amp;" · ","")&amp;IF($F189="","Sin fecha límite"&amp;" · ","")&amp;IF(OR(AND($E189&lt;&gt;"",NOT(ISNUMBER($E189))),AND($F189&lt;&gt;"",NOT(ISNUMBER($F189)))),"Fecha no válida"&amp;" · ","")&amp;IF(AND(ISNUMBER($E189),ISNUMBER($F189),$E189&gt;$F189),"Inicio posterior a fecha límite"&amp;" · ","")&amp;IF(AND($S189="Macro",$G189=""),"Peso vacío"&amp;" · ","")&amp;IF(AND($S189="Macro",$G189&lt;&gt;"",OR(NOT(ISNUMBER($G189)),$G189&lt;=0,$G189&gt;1)),"Peso fuera de rango"&amp;" · ","")&amp;IF(AND($S189="Sub",$G189&lt;&gt;""),"Las subactividades no llevan peso"&amp;" · ","")&amp;IF(AND($S189="Macro",ABS(SUMIFS($G$5:$G$1000,$P$5:$P$1000,$P189,$S$5:$S$1000,"Macro")-1)&gt;0.0001),"Pesos del mes suman "&amp;TEXT(SUMIFS($G$5:$G$1000,$P$5:$P$1000,$P189,$S$5:$S$1000,"Macro"),"0%")&amp;" · ","")&amp;IF(AND(N($T189)&gt;0,COUNT($H189:$K189)&gt;0),"Con subactividades: deje vacías las semanas (se calculan solas)"&amp;" · ","")&amp;IF((COUNTIF($H189:$K189,"&gt;1")+COUNTIF($H189:$K189,"&lt;0")+COUNTA($H189:$K189)-COUNT($H189:$K189))&gt;0,"Avance fuera de rango 0-100%"&amp;" · ","")&amp;IF(OR(AND($I189&lt;&gt;"",$I189&lt;$H189),AND($J189&lt;&gt;"",$J189&lt;MAX($H189:$I189)),AND($K189&lt;&gt;"",$K189&lt;MAX($H189:$J189))),"Avance semanal decreciente"&amp;" · ","")&amp;IF(AND(ISNUMBER($F189),$F189&lt;FechaRef,N($L189)&lt;1),"Vencida"&amp;" · ","")&amp;IF(AND(ObsObligatoria="Sí",ISNUMBER($F189),$F189&lt;FechaRef,N($L189)&lt;1,$N189=""),"Vencida sin observación"&amp;" · ",""))="","✔ OK","⚠ "&amp;LEFT(IF(AND($S189="Macro",$B189=""),"Macroactividad vacía"&amp;" · ","")&amp;IF(AND($B189&lt;&gt;"",$C189&lt;&gt;""),"Escriba la subactividad en otra fila, debajo de su macroactividad"&amp;" · ","")&amp;IF(AND($S189="Sub",N($R189)=0),"Subactividad sin macroactividad arriba"&amp;" · ","")&amp;IF($D189="","Sin responsable"&amp;" · ","")&amp;IF($E189="","Sin fecha de inicio"&amp;" · ","")&amp;IF($F189="","Sin fecha límite"&amp;" · ","")&amp;IF(OR(AND($E189&lt;&gt;"",NOT(ISNUMBER($E189))),AND($F189&lt;&gt;"",NOT(ISNUMBER($F189)))),"Fecha no válida"&amp;" · ","")&amp;IF(AND(ISNUMBER($E189),ISNUMBER($F189),$E189&gt;$F189),"Inicio posterior a fecha límite"&amp;" · ","")&amp;IF(AND($S189="Macro",$G189=""),"Peso vacío"&amp;" · ","")&amp;IF(AND($S189="Macro",$G189&lt;&gt;"",OR(NOT(ISNUMBER($G189)),$G189&lt;=0,$G189&gt;1)),"Peso fuera de rango"&amp;" · ","")&amp;IF(AND($S189="Sub",$G189&lt;&gt;""),"Las subactividades no llevan peso"&amp;" · ","")&amp;IF(AND($S189="Macro",ABS(SUMIFS($G$5:$G$1000,$P$5:$P$1000,$P189,$S$5:$S$1000,"Macro")-1)&gt;0.0001),"Pesos del mes suman "&amp;TEXT(SUMIFS($G$5:$G$1000,$P$5:$P$1000,$P189,$S$5:$S$1000,"Macro"),"0%")&amp;" · ","")&amp;IF(AND(N($T189)&gt;0,COUNT($H189:$K189)&gt;0),"Con subactividades: deje vacías las semanas (se calculan solas)"&amp;" · ","")&amp;IF((COUNTIF($H189:$K189,"&gt;1")+COUNTIF($H189:$K189,"&lt;0")+COUNTA($H189:$K189)-COUNT($H189:$K189))&gt;0,"Avance fuera de rango 0-100%"&amp;" · ","")&amp;IF(OR(AND($I189&lt;&gt;"",$I189&lt;$H189),AND($J189&lt;&gt;"",$J189&lt;MAX($H189:$I189)),AND($K189&lt;&gt;"",$K189&lt;MAX($H189:$J189))),"Avance semanal decreciente"&amp;" · ","")&amp;IF(AND(ISNUMBER($F189),$F189&lt;FechaRef,N($L189)&lt;1),"Vencida"&amp;" · ","")&amp;IF(AND(ObsObligatoria="Sí",ISNUMBER($F189),$F189&lt;FechaRef,N($L189)&lt;1,$N189=""),"Vencida sin observación"&amp;" · ",""),LEN(IF(AND($S189="Macro",$B189=""),"Macroactividad vacía"&amp;" · ","")&amp;IF(AND($B189&lt;&gt;"",$C189&lt;&gt;""),"Escriba la subactividad en otra fila, debajo de su macroactividad"&amp;" · ","")&amp;IF(AND($S189="Sub",N($R189)=0),"Subactividad sin macroactividad arriba"&amp;" · ","")&amp;IF($D189="","Sin responsable"&amp;" · ","")&amp;IF($E189="","Sin fecha de inicio"&amp;" · ","")&amp;IF($F189="","Sin fecha límite"&amp;" · ","")&amp;IF(OR(AND($E189&lt;&gt;"",NOT(ISNUMBER($E189))),AND($F189&lt;&gt;"",NOT(ISNUMBER($F189)))),"Fecha no válida"&amp;" · ","")&amp;IF(AND(ISNUMBER($E189),ISNUMBER($F189),$E189&gt;$F189),"Inicio posterior a fecha límite"&amp;" · ","")&amp;IF(AND($S189="Macro",$G189=""),"Peso vacío"&amp;" · ","")&amp;IF(AND($S189="Macro",$G189&lt;&gt;"",OR(NOT(ISNUMBER($G189)),$G189&lt;=0,$G189&gt;1)),"Peso fuera de rango"&amp;" · ","")&amp;IF(AND($S189="Sub",$G189&lt;&gt;""),"Las subactividades no llevan peso"&amp;" · ","")&amp;IF(AND($S189="Macro",ABS(SUMIFS($G$5:$G$1000,$P$5:$P$1000,$P189,$S$5:$S$1000,"Macro")-1)&gt;0.0001),"Pesos del mes suman "&amp;TEXT(SUMIFS($G$5:$G$1000,$P$5:$P$1000,$P189,$S$5:$S$1000,"Macro"),"0%")&amp;" · ","")&amp;IF(AND(N($T189)&gt;0,COUNT($H189:$K189)&gt;0),"Con subactividades: deje vacías las semanas (se calculan solas)"&amp;" · ","")&amp;IF((COUNTIF($H189:$K189,"&gt;1")+COUNTIF($H189:$K189,"&lt;0")+COUNTA($H189:$K189)-COUNT($H189:$K189))&gt;0,"Avance fuera de rango 0-100%"&amp;" · ","")&amp;IF(OR(AND($I189&lt;&gt;"",$I189&lt;$H189),AND($J189&lt;&gt;"",$J189&lt;MAX($H189:$I189)),AND($K189&lt;&gt;"",$K189&lt;MAX($H189:$J189))),"Avance semanal decreciente"&amp;" · ","")&amp;IF(AND(ISNUMBER($F189),$F189&lt;FechaRef,N($L189)&lt;1),"Vencida"&amp;" · ","")&amp;IF(AND(ObsObligatoria="Sí",ISNUMBER($F189),$F189&lt;FechaRef,N($L189)&lt;1,$N189=""),"Vencida sin observación"&amp;" · ",""))-3)))</f>
        <v/>
      </c>
      <c r="P189" s="69">
        <f>IF(NOT((COUNTA($B189:$K189)+COUNTA($N189))&gt;0),"",IF(AND($S189="Sub",N($R189)&gt;0),IF(ISNUMBER(INDEX($E$5:$E$1000,$R189-4)),DATE(YEAR(INDEX($E$5:$E$1000,$R189-4)),MONTH(INDEX($E$5:$E$1000,$R189-4)),1),IF(ISNUMBER(INDEX($F$5:$F$1000,$R189-4)),DATE(YEAR(INDEX($F$5:$F$1000,$R189-4)),MONTH(INDEX($F$5:$F$1000,$R189-4)),1),MesCiclo)),IF(ISNUMBER($E189),DATE(YEAR($E189),MONTH($E189),1),IF(ISNUMBER($F189),DATE(YEAR($F189),MONTH($F189),1),MesCiclo))))</f>
        <v/>
      </c>
      <c r="Q189" s="70">
        <f>IF(OR($P189="",$P189&lt;&gt;MesCiclo),"",COUNTIF($P$5:$P189,MesCiclo))</f>
        <v/>
      </c>
      <c r="R189" s="70">
        <f>IF($S189="","",IF($S189="Macro",ROW(),IFERROR(LOOKUP(2,1/($S$5:$S189="Macro"),ROW($S$5:$S189)),0)))</f>
        <v/>
      </c>
      <c r="S189" s="70">
        <f>IF(NOT((COUNTA($B189:$K189)+COUNTA($N189))&gt;0),"",IF($B189&lt;&gt;"","Macro",IF($C189&lt;&gt;"","Sub","Macro")))</f>
        <v/>
      </c>
      <c r="T189" s="70">
        <f>IF($S189="Macro",COUNTIFS($R$5:$R$1000,ROW(),$S$5:$S$1000,"Sub"),"")</f>
        <v/>
      </c>
      <c r="U189" s="70">
        <f>IF($S189="","",IF(ISNUMBER($H189),$H189,0))</f>
        <v/>
      </c>
      <c r="V189" s="70">
        <f>IF($S189="","",IF(ISNUMBER($I189),$I189,$U189))</f>
        <v/>
      </c>
      <c r="W189" s="70">
        <f>IF($S189="","",IF(ISNUMBER($J189),$J189,$V189))</f>
        <v/>
      </c>
      <c r="X189" s="70">
        <f>IF($S189="","",IF(ISNUMBER($K189),$K189,$W189))</f>
        <v/>
      </c>
      <c r="Y189" s="70">
        <f>IF($S189="","",IF(N($T189)&gt;0,AVERAGEIFS($U$5:$U$1000,$R$5:$R$1000,ROW(),$S$5:$S$1000,"Sub"),$U189))</f>
        <v/>
      </c>
      <c r="Z189" s="70">
        <f>IF($S189="","",IF(N($T189)&gt;0,AVERAGEIFS($V$5:$V$1000,$R$5:$R$1000,ROW(),$S$5:$S$1000,"Sub"),$V189))</f>
        <v/>
      </c>
      <c r="AA189" s="70">
        <f>IF($S189="","",IF(N($T189)&gt;0,AVERAGEIFS($W$5:$W$1000,$R$5:$R$1000,ROW(),$S$5:$S$1000,"Sub"),$W189))</f>
        <v/>
      </c>
      <c r="AB189" s="70">
        <f>IF($S189="","",IF(N($T189)&gt;0,AVERAGEIFS($X$5:$X$1000,$R$5:$R$1000,ROW(),$S$5:$S$1000,"Sub"),$X189))</f>
        <v/>
      </c>
    </row>
    <row r="190">
      <c r="A190" s="61">
        <f>IF(NOT((COUNTA($B190:$K190)+COUNTA($N190))&gt;0),"",IF($S190="Macro",COUNTIFS($S$5:$S190,"Macro",$P$5:$P190,$P190),IF(N($R190)=0,"?",COUNTIFS(INDEX($S$5:$S$1000,1):INDEX($S$5:$S$1000,$R190-4),"Macro",INDEX($P$5:$P$1000,1):INDEX($P$5:$P$1000,$R190-4),INDEX($P$5:$P$1000,$R190-4))&amp;"."&amp;COUNTIFS($R$5:$R190,$R190,$S$5:$S190,"Sub"))))</f>
        <v/>
      </c>
      <c r="B190" s="62" t="n"/>
      <c r="C190" s="63" t="n"/>
      <c r="D190" s="62" t="n"/>
      <c r="E190" s="64" t="n"/>
      <c r="F190" s="64" t="n"/>
      <c r="G190" s="65" t="n"/>
      <c r="H190" s="66" t="n"/>
      <c r="I190" s="66" t="n"/>
      <c r="J190" s="66" t="n"/>
      <c r="K190" s="66" t="n"/>
      <c r="L190" s="67">
        <f>IF(NOT((COUNTA($B190:$K190)+COUNTA($N190))&gt;0),"",IF(N($T190)&gt;0,$AB190,IFERROR(LOOKUP(2,1/(H190:K190&lt;&gt;""),H190:K190),0)))</f>
        <v/>
      </c>
      <c r="M190" s="61">
        <f>IF(L190="","",IF(L190&gt;=1,"Completado",IF(L190&gt;0,"En curso","Pendiente")))</f>
        <v/>
      </c>
      <c r="N190" s="62" t="n"/>
      <c r="O190" s="68">
        <f>IF(NOT((COUNTA($B190:$K190)+COUNTA($N190))&gt;0),"",IF((IF(AND($S190="Macro",$B190=""),"Macroactividad vacía"&amp;" · ","")&amp;IF(AND($B190&lt;&gt;"",$C190&lt;&gt;""),"Escriba la subactividad en otra fila, debajo de su macroactividad"&amp;" · ","")&amp;IF(AND($S190="Sub",N($R190)=0),"Subactividad sin macroactividad arriba"&amp;" · ","")&amp;IF($D190="","Sin responsable"&amp;" · ","")&amp;IF($E190="","Sin fecha de inicio"&amp;" · ","")&amp;IF($F190="","Sin fecha límite"&amp;" · ","")&amp;IF(OR(AND($E190&lt;&gt;"",NOT(ISNUMBER($E190))),AND($F190&lt;&gt;"",NOT(ISNUMBER($F190)))),"Fecha no válida"&amp;" · ","")&amp;IF(AND(ISNUMBER($E190),ISNUMBER($F190),$E190&gt;$F190),"Inicio posterior a fecha límite"&amp;" · ","")&amp;IF(AND($S190="Macro",$G190=""),"Peso vacío"&amp;" · ","")&amp;IF(AND($S190="Macro",$G190&lt;&gt;"",OR(NOT(ISNUMBER($G190)),$G190&lt;=0,$G190&gt;1)),"Peso fuera de rango"&amp;" · ","")&amp;IF(AND($S190="Sub",$G190&lt;&gt;""),"Las subactividades no llevan peso"&amp;" · ","")&amp;IF(AND($S190="Macro",ABS(SUMIFS($G$5:$G$1000,$P$5:$P$1000,$P190,$S$5:$S$1000,"Macro")-1)&gt;0.0001),"Pesos del mes suman "&amp;TEXT(SUMIFS($G$5:$G$1000,$P$5:$P$1000,$P190,$S$5:$S$1000,"Macro"),"0%")&amp;" · ","")&amp;IF(AND(N($T190)&gt;0,COUNT($H190:$K190)&gt;0),"Con subactividades: deje vacías las semanas (se calculan solas)"&amp;" · ","")&amp;IF((COUNTIF($H190:$K190,"&gt;1")+COUNTIF($H190:$K190,"&lt;0")+COUNTA($H190:$K190)-COUNT($H190:$K190))&gt;0,"Avance fuera de rango 0-100%"&amp;" · ","")&amp;IF(OR(AND($I190&lt;&gt;"",$I190&lt;$H190),AND($J190&lt;&gt;"",$J190&lt;MAX($H190:$I190)),AND($K190&lt;&gt;"",$K190&lt;MAX($H190:$J190))),"Avance semanal decreciente"&amp;" · ","")&amp;IF(AND(ISNUMBER($F190),$F190&lt;FechaRef,N($L190)&lt;1),"Vencida"&amp;" · ","")&amp;IF(AND(ObsObligatoria="Sí",ISNUMBER($F190),$F190&lt;FechaRef,N($L190)&lt;1,$N190=""),"Vencida sin observación"&amp;" · ",""))="","✔ OK","⚠ "&amp;LEFT(IF(AND($S190="Macro",$B190=""),"Macroactividad vacía"&amp;" · ","")&amp;IF(AND($B190&lt;&gt;"",$C190&lt;&gt;""),"Escriba la subactividad en otra fila, debajo de su macroactividad"&amp;" · ","")&amp;IF(AND($S190="Sub",N($R190)=0),"Subactividad sin macroactividad arriba"&amp;" · ","")&amp;IF($D190="","Sin responsable"&amp;" · ","")&amp;IF($E190="","Sin fecha de inicio"&amp;" · ","")&amp;IF($F190="","Sin fecha límite"&amp;" · ","")&amp;IF(OR(AND($E190&lt;&gt;"",NOT(ISNUMBER($E190))),AND($F190&lt;&gt;"",NOT(ISNUMBER($F190)))),"Fecha no válida"&amp;" · ","")&amp;IF(AND(ISNUMBER($E190),ISNUMBER($F190),$E190&gt;$F190),"Inicio posterior a fecha límite"&amp;" · ","")&amp;IF(AND($S190="Macro",$G190=""),"Peso vacío"&amp;" · ","")&amp;IF(AND($S190="Macro",$G190&lt;&gt;"",OR(NOT(ISNUMBER($G190)),$G190&lt;=0,$G190&gt;1)),"Peso fuera de rango"&amp;" · ","")&amp;IF(AND($S190="Sub",$G190&lt;&gt;""),"Las subactividades no llevan peso"&amp;" · ","")&amp;IF(AND($S190="Macro",ABS(SUMIFS($G$5:$G$1000,$P$5:$P$1000,$P190,$S$5:$S$1000,"Macro")-1)&gt;0.0001),"Pesos del mes suman "&amp;TEXT(SUMIFS($G$5:$G$1000,$P$5:$P$1000,$P190,$S$5:$S$1000,"Macro"),"0%")&amp;" · ","")&amp;IF(AND(N($T190)&gt;0,COUNT($H190:$K190)&gt;0),"Con subactividades: deje vacías las semanas (se calculan solas)"&amp;" · ","")&amp;IF((COUNTIF($H190:$K190,"&gt;1")+COUNTIF($H190:$K190,"&lt;0")+COUNTA($H190:$K190)-COUNT($H190:$K190))&gt;0,"Avance fuera de rango 0-100%"&amp;" · ","")&amp;IF(OR(AND($I190&lt;&gt;"",$I190&lt;$H190),AND($J190&lt;&gt;"",$J190&lt;MAX($H190:$I190)),AND($K190&lt;&gt;"",$K190&lt;MAX($H190:$J190))),"Avance semanal decreciente"&amp;" · ","")&amp;IF(AND(ISNUMBER($F190),$F190&lt;FechaRef,N($L190)&lt;1),"Vencida"&amp;" · ","")&amp;IF(AND(ObsObligatoria="Sí",ISNUMBER($F190),$F190&lt;FechaRef,N($L190)&lt;1,$N190=""),"Vencida sin observación"&amp;" · ",""),LEN(IF(AND($S190="Macro",$B190=""),"Macroactividad vacía"&amp;" · ","")&amp;IF(AND($B190&lt;&gt;"",$C190&lt;&gt;""),"Escriba la subactividad en otra fila, debajo de su macroactividad"&amp;" · ","")&amp;IF(AND($S190="Sub",N($R190)=0),"Subactividad sin macroactividad arriba"&amp;" · ","")&amp;IF($D190="","Sin responsable"&amp;" · ","")&amp;IF($E190="","Sin fecha de inicio"&amp;" · ","")&amp;IF($F190="","Sin fecha límite"&amp;" · ","")&amp;IF(OR(AND($E190&lt;&gt;"",NOT(ISNUMBER($E190))),AND($F190&lt;&gt;"",NOT(ISNUMBER($F190)))),"Fecha no válida"&amp;" · ","")&amp;IF(AND(ISNUMBER($E190),ISNUMBER($F190),$E190&gt;$F190),"Inicio posterior a fecha límite"&amp;" · ","")&amp;IF(AND($S190="Macro",$G190=""),"Peso vacío"&amp;" · ","")&amp;IF(AND($S190="Macro",$G190&lt;&gt;"",OR(NOT(ISNUMBER($G190)),$G190&lt;=0,$G190&gt;1)),"Peso fuera de rango"&amp;" · ","")&amp;IF(AND($S190="Sub",$G190&lt;&gt;""),"Las subactividades no llevan peso"&amp;" · ","")&amp;IF(AND($S190="Macro",ABS(SUMIFS($G$5:$G$1000,$P$5:$P$1000,$P190,$S$5:$S$1000,"Macro")-1)&gt;0.0001),"Pesos del mes suman "&amp;TEXT(SUMIFS($G$5:$G$1000,$P$5:$P$1000,$P190,$S$5:$S$1000,"Macro"),"0%")&amp;" · ","")&amp;IF(AND(N($T190)&gt;0,COUNT($H190:$K190)&gt;0),"Con subactividades: deje vacías las semanas (se calculan solas)"&amp;" · ","")&amp;IF((COUNTIF($H190:$K190,"&gt;1")+COUNTIF($H190:$K190,"&lt;0")+COUNTA($H190:$K190)-COUNT($H190:$K190))&gt;0,"Avance fuera de rango 0-100%"&amp;" · ","")&amp;IF(OR(AND($I190&lt;&gt;"",$I190&lt;$H190),AND($J190&lt;&gt;"",$J190&lt;MAX($H190:$I190)),AND($K190&lt;&gt;"",$K190&lt;MAX($H190:$J190))),"Avance semanal decreciente"&amp;" · ","")&amp;IF(AND(ISNUMBER($F190),$F190&lt;FechaRef,N($L190)&lt;1),"Vencida"&amp;" · ","")&amp;IF(AND(ObsObligatoria="Sí",ISNUMBER($F190),$F190&lt;FechaRef,N($L190)&lt;1,$N190=""),"Vencida sin observación"&amp;" · ",""))-3)))</f>
        <v/>
      </c>
      <c r="P190" s="69">
        <f>IF(NOT((COUNTA($B190:$K190)+COUNTA($N190))&gt;0),"",IF(AND($S190="Sub",N($R190)&gt;0),IF(ISNUMBER(INDEX($E$5:$E$1000,$R190-4)),DATE(YEAR(INDEX($E$5:$E$1000,$R190-4)),MONTH(INDEX($E$5:$E$1000,$R190-4)),1),IF(ISNUMBER(INDEX($F$5:$F$1000,$R190-4)),DATE(YEAR(INDEX($F$5:$F$1000,$R190-4)),MONTH(INDEX($F$5:$F$1000,$R190-4)),1),MesCiclo)),IF(ISNUMBER($E190),DATE(YEAR($E190),MONTH($E190),1),IF(ISNUMBER($F190),DATE(YEAR($F190),MONTH($F190),1),MesCiclo))))</f>
        <v/>
      </c>
      <c r="Q190" s="70">
        <f>IF(OR($P190="",$P190&lt;&gt;MesCiclo),"",COUNTIF($P$5:$P190,MesCiclo))</f>
        <v/>
      </c>
      <c r="R190" s="70">
        <f>IF($S190="","",IF($S190="Macro",ROW(),IFERROR(LOOKUP(2,1/($S$5:$S190="Macro"),ROW($S$5:$S190)),0)))</f>
        <v/>
      </c>
      <c r="S190" s="70">
        <f>IF(NOT((COUNTA($B190:$K190)+COUNTA($N190))&gt;0),"",IF($B190&lt;&gt;"","Macro",IF($C190&lt;&gt;"","Sub","Macro")))</f>
        <v/>
      </c>
      <c r="T190" s="70">
        <f>IF($S190="Macro",COUNTIFS($R$5:$R$1000,ROW(),$S$5:$S$1000,"Sub"),"")</f>
        <v/>
      </c>
      <c r="U190" s="70">
        <f>IF($S190="","",IF(ISNUMBER($H190),$H190,0))</f>
        <v/>
      </c>
      <c r="V190" s="70">
        <f>IF($S190="","",IF(ISNUMBER($I190),$I190,$U190))</f>
        <v/>
      </c>
      <c r="W190" s="70">
        <f>IF($S190="","",IF(ISNUMBER($J190),$J190,$V190))</f>
        <v/>
      </c>
      <c r="X190" s="70">
        <f>IF($S190="","",IF(ISNUMBER($K190),$K190,$W190))</f>
        <v/>
      </c>
      <c r="Y190" s="70">
        <f>IF($S190="","",IF(N($T190)&gt;0,AVERAGEIFS($U$5:$U$1000,$R$5:$R$1000,ROW(),$S$5:$S$1000,"Sub"),$U190))</f>
        <v/>
      </c>
      <c r="Z190" s="70">
        <f>IF($S190="","",IF(N($T190)&gt;0,AVERAGEIFS($V$5:$V$1000,$R$5:$R$1000,ROW(),$S$5:$S$1000,"Sub"),$V190))</f>
        <v/>
      </c>
      <c r="AA190" s="70">
        <f>IF($S190="","",IF(N($T190)&gt;0,AVERAGEIFS($W$5:$W$1000,$R$5:$R$1000,ROW(),$S$5:$S$1000,"Sub"),$W190))</f>
        <v/>
      </c>
      <c r="AB190" s="70">
        <f>IF($S190="","",IF(N($T190)&gt;0,AVERAGEIFS($X$5:$X$1000,$R$5:$R$1000,ROW(),$S$5:$S$1000,"Sub"),$X190))</f>
        <v/>
      </c>
    </row>
    <row r="191">
      <c r="A191" s="61">
        <f>IF(NOT((COUNTA($B191:$K191)+COUNTA($N191))&gt;0),"",IF($S191="Macro",COUNTIFS($S$5:$S191,"Macro",$P$5:$P191,$P191),IF(N($R191)=0,"?",COUNTIFS(INDEX($S$5:$S$1000,1):INDEX($S$5:$S$1000,$R191-4),"Macro",INDEX($P$5:$P$1000,1):INDEX($P$5:$P$1000,$R191-4),INDEX($P$5:$P$1000,$R191-4))&amp;"."&amp;COUNTIFS($R$5:$R191,$R191,$S$5:$S191,"Sub"))))</f>
        <v/>
      </c>
      <c r="B191" s="62" t="n"/>
      <c r="C191" s="63" t="n"/>
      <c r="D191" s="62" t="n"/>
      <c r="E191" s="64" t="n"/>
      <c r="F191" s="64" t="n"/>
      <c r="G191" s="65" t="n"/>
      <c r="H191" s="66" t="n"/>
      <c r="I191" s="66" t="n"/>
      <c r="J191" s="66" t="n"/>
      <c r="K191" s="66" t="n"/>
      <c r="L191" s="67">
        <f>IF(NOT((COUNTA($B191:$K191)+COUNTA($N191))&gt;0),"",IF(N($T191)&gt;0,$AB191,IFERROR(LOOKUP(2,1/(H191:K191&lt;&gt;""),H191:K191),0)))</f>
        <v/>
      </c>
      <c r="M191" s="61">
        <f>IF(L191="","",IF(L191&gt;=1,"Completado",IF(L191&gt;0,"En curso","Pendiente")))</f>
        <v/>
      </c>
      <c r="N191" s="62" t="n"/>
      <c r="O191" s="68">
        <f>IF(NOT((COUNTA($B191:$K191)+COUNTA($N191))&gt;0),"",IF((IF(AND($S191="Macro",$B191=""),"Macroactividad vacía"&amp;" · ","")&amp;IF(AND($B191&lt;&gt;"",$C191&lt;&gt;""),"Escriba la subactividad en otra fila, debajo de su macroactividad"&amp;" · ","")&amp;IF(AND($S191="Sub",N($R191)=0),"Subactividad sin macroactividad arriba"&amp;" · ","")&amp;IF($D191="","Sin responsable"&amp;" · ","")&amp;IF($E191="","Sin fecha de inicio"&amp;" · ","")&amp;IF($F191="","Sin fecha límite"&amp;" · ","")&amp;IF(OR(AND($E191&lt;&gt;"",NOT(ISNUMBER($E191))),AND($F191&lt;&gt;"",NOT(ISNUMBER($F191)))),"Fecha no válida"&amp;" · ","")&amp;IF(AND(ISNUMBER($E191),ISNUMBER($F191),$E191&gt;$F191),"Inicio posterior a fecha límite"&amp;" · ","")&amp;IF(AND($S191="Macro",$G191=""),"Peso vacío"&amp;" · ","")&amp;IF(AND($S191="Macro",$G191&lt;&gt;"",OR(NOT(ISNUMBER($G191)),$G191&lt;=0,$G191&gt;1)),"Peso fuera de rango"&amp;" · ","")&amp;IF(AND($S191="Sub",$G191&lt;&gt;""),"Las subactividades no llevan peso"&amp;" · ","")&amp;IF(AND($S191="Macro",ABS(SUMIFS($G$5:$G$1000,$P$5:$P$1000,$P191,$S$5:$S$1000,"Macro")-1)&gt;0.0001),"Pesos del mes suman "&amp;TEXT(SUMIFS($G$5:$G$1000,$P$5:$P$1000,$P191,$S$5:$S$1000,"Macro"),"0%")&amp;" · ","")&amp;IF(AND(N($T191)&gt;0,COUNT($H191:$K191)&gt;0),"Con subactividades: deje vacías las semanas (se calculan solas)"&amp;" · ","")&amp;IF((COUNTIF($H191:$K191,"&gt;1")+COUNTIF($H191:$K191,"&lt;0")+COUNTA($H191:$K191)-COUNT($H191:$K191))&gt;0,"Avance fuera de rango 0-100%"&amp;" · ","")&amp;IF(OR(AND($I191&lt;&gt;"",$I191&lt;$H191),AND($J191&lt;&gt;"",$J191&lt;MAX($H191:$I191)),AND($K191&lt;&gt;"",$K191&lt;MAX($H191:$J191))),"Avance semanal decreciente"&amp;" · ","")&amp;IF(AND(ISNUMBER($F191),$F191&lt;FechaRef,N($L191)&lt;1),"Vencida"&amp;" · ","")&amp;IF(AND(ObsObligatoria="Sí",ISNUMBER($F191),$F191&lt;FechaRef,N($L191)&lt;1,$N191=""),"Vencida sin observación"&amp;" · ",""))="","✔ OK","⚠ "&amp;LEFT(IF(AND($S191="Macro",$B191=""),"Macroactividad vacía"&amp;" · ","")&amp;IF(AND($B191&lt;&gt;"",$C191&lt;&gt;""),"Escriba la subactividad en otra fila, debajo de su macroactividad"&amp;" · ","")&amp;IF(AND($S191="Sub",N($R191)=0),"Subactividad sin macroactividad arriba"&amp;" · ","")&amp;IF($D191="","Sin responsable"&amp;" · ","")&amp;IF($E191="","Sin fecha de inicio"&amp;" · ","")&amp;IF($F191="","Sin fecha límite"&amp;" · ","")&amp;IF(OR(AND($E191&lt;&gt;"",NOT(ISNUMBER($E191))),AND($F191&lt;&gt;"",NOT(ISNUMBER($F191)))),"Fecha no válida"&amp;" · ","")&amp;IF(AND(ISNUMBER($E191),ISNUMBER($F191),$E191&gt;$F191),"Inicio posterior a fecha límite"&amp;" · ","")&amp;IF(AND($S191="Macro",$G191=""),"Peso vacío"&amp;" · ","")&amp;IF(AND($S191="Macro",$G191&lt;&gt;"",OR(NOT(ISNUMBER($G191)),$G191&lt;=0,$G191&gt;1)),"Peso fuera de rango"&amp;" · ","")&amp;IF(AND($S191="Sub",$G191&lt;&gt;""),"Las subactividades no llevan peso"&amp;" · ","")&amp;IF(AND($S191="Macro",ABS(SUMIFS($G$5:$G$1000,$P$5:$P$1000,$P191,$S$5:$S$1000,"Macro")-1)&gt;0.0001),"Pesos del mes suman "&amp;TEXT(SUMIFS($G$5:$G$1000,$P$5:$P$1000,$P191,$S$5:$S$1000,"Macro"),"0%")&amp;" · ","")&amp;IF(AND(N($T191)&gt;0,COUNT($H191:$K191)&gt;0),"Con subactividades: deje vacías las semanas (se calculan solas)"&amp;" · ","")&amp;IF((COUNTIF($H191:$K191,"&gt;1")+COUNTIF($H191:$K191,"&lt;0")+COUNTA($H191:$K191)-COUNT($H191:$K191))&gt;0,"Avance fuera de rango 0-100%"&amp;" · ","")&amp;IF(OR(AND($I191&lt;&gt;"",$I191&lt;$H191),AND($J191&lt;&gt;"",$J191&lt;MAX($H191:$I191)),AND($K191&lt;&gt;"",$K191&lt;MAX($H191:$J191))),"Avance semanal decreciente"&amp;" · ","")&amp;IF(AND(ISNUMBER($F191),$F191&lt;FechaRef,N($L191)&lt;1),"Vencida"&amp;" · ","")&amp;IF(AND(ObsObligatoria="Sí",ISNUMBER($F191),$F191&lt;FechaRef,N($L191)&lt;1,$N191=""),"Vencida sin observación"&amp;" · ",""),LEN(IF(AND($S191="Macro",$B191=""),"Macroactividad vacía"&amp;" · ","")&amp;IF(AND($B191&lt;&gt;"",$C191&lt;&gt;""),"Escriba la subactividad en otra fila, debajo de su macroactividad"&amp;" · ","")&amp;IF(AND($S191="Sub",N($R191)=0),"Subactividad sin macroactividad arriba"&amp;" · ","")&amp;IF($D191="","Sin responsable"&amp;" · ","")&amp;IF($E191="","Sin fecha de inicio"&amp;" · ","")&amp;IF($F191="","Sin fecha límite"&amp;" · ","")&amp;IF(OR(AND($E191&lt;&gt;"",NOT(ISNUMBER($E191))),AND($F191&lt;&gt;"",NOT(ISNUMBER($F191)))),"Fecha no válida"&amp;" · ","")&amp;IF(AND(ISNUMBER($E191),ISNUMBER($F191),$E191&gt;$F191),"Inicio posterior a fecha límite"&amp;" · ","")&amp;IF(AND($S191="Macro",$G191=""),"Peso vacío"&amp;" · ","")&amp;IF(AND($S191="Macro",$G191&lt;&gt;"",OR(NOT(ISNUMBER($G191)),$G191&lt;=0,$G191&gt;1)),"Peso fuera de rango"&amp;" · ","")&amp;IF(AND($S191="Sub",$G191&lt;&gt;""),"Las subactividades no llevan peso"&amp;" · ","")&amp;IF(AND($S191="Macro",ABS(SUMIFS($G$5:$G$1000,$P$5:$P$1000,$P191,$S$5:$S$1000,"Macro")-1)&gt;0.0001),"Pesos del mes suman "&amp;TEXT(SUMIFS($G$5:$G$1000,$P$5:$P$1000,$P191,$S$5:$S$1000,"Macro"),"0%")&amp;" · ","")&amp;IF(AND(N($T191)&gt;0,COUNT($H191:$K191)&gt;0),"Con subactividades: deje vacías las semanas (se calculan solas)"&amp;" · ","")&amp;IF((COUNTIF($H191:$K191,"&gt;1")+COUNTIF($H191:$K191,"&lt;0")+COUNTA($H191:$K191)-COUNT($H191:$K191))&gt;0,"Avance fuera de rango 0-100%"&amp;" · ","")&amp;IF(OR(AND($I191&lt;&gt;"",$I191&lt;$H191),AND($J191&lt;&gt;"",$J191&lt;MAX($H191:$I191)),AND($K191&lt;&gt;"",$K191&lt;MAX($H191:$J191))),"Avance semanal decreciente"&amp;" · ","")&amp;IF(AND(ISNUMBER($F191),$F191&lt;FechaRef,N($L191)&lt;1),"Vencida"&amp;" · ","")&amp;IF(AND(ObsObligatoria="Sí",ISNUMBER($F191),$F191&lt;FechaRef,N($L191)&lt;1,$N191=""),"Vencida sin observación"&amp;" · ",""))-3)))</f>
        <v/>
      </c>
      <c r="P191" s="69">
        <f>IF(NOT((COUNTA($B191:$K191)+COUNTA($N191))&gt;0),"",IF(AND($S191="Sub",N($R191)&gt;0),IF(ISNUMBER(INDEX($E$5:$E$1000,$R191-4)),DATE(YEAR(INDEX($E$5:$E$1000,$R191-4)),MONTH(INDEX($E$5:$E$1000,$R191-4)),1),IF(ISNUMBER(INDEX($F$5:$F$1000,$R191-4)),DATE(YEAR(INDEX($F$5:$F$1000,$R191-4)),MONTH(INDEX($F$5:$F$1000,$R191-4)),1),MesCiclo)),IF(ISNUMBER($E191),DATE(YEAR($E191),MONTH($E191),1),IF(ISNUMBER($F191),DATE(YEAR($F191),MONTH($F191),1),MesCiclo))))</f>
        <v/>
      </c>
      <c r="Q191" s="70">
        <f>IF(OR($P191="",$P191&lt;&gt;MesCiclo),"",COUNTIF($P$5:$P191,MesCiclo))</f>
        <v/>
      </c>
      <c r="R191" s="70">
        <f>IF($S191="","",IF($S191="Macro",ROW(),IFERROR(LOOKUP(2,1/($S$5:$S191="Macro"),ROW($S$5:$S191)),0)))</f>
        <v/>
      </c>
      <c r="S191" s="70">
        <f>IF(NOT((COUNTA($B191:$K191)+COUNTA($N191))&gt;0),"",IF($B191&lt;&gt;"","Macro",IF($C191&lt;&gt;"","Sub","Macro")))</f>
        <v/>
      </c>
      <c r="T191" s="70">
        <f>IF($S191="Macro",COUNTIFS($R$5:$R$1000,ROW(),$S$5:$S$1000,"Sub"),"")</f>
        <v/>
      </c>
      <c r="U191" s="70">
        <f>IF($S191="","",IF(ISNUMBER($H191),$H191,0))</f>
        <v/>
      </c>
      <c r="V191" s="70">
        <f>IF($S191="","",IF(ISNUMBER($I191),$I191,$U191))</f>
        <v/>
      </c>
      <c r="W191" s="70">
        <f>IF($S191="","",IF(ISNUMBER($J191),$J191,$V191))</f>
        <v/>
      </c>
      <c r="X191" s="70">
        <f>IF($S191="","",IF(ISNUMBER($K191),$K191,$W191))</f>
        <v/>
      </c>
      <c r="Y191" s="70">
        <f>IF($S191="","",IF(N($T191)&gt;0,AVERAGEIFS($U$5:$U$1000,$R$5:$R$1000,ROW(),$S$5:$S$1000,"Sub"),$U191))</f>
        <v/>
      </c>
      <c r="Z191" s="70">
        <f>IF($S191="","",IF(N($T191)&gt;0,AVERAGEIFS($V$5:$V$1000,$R$5:$R$1000,ROW(),$S$5:$S$1000,"Sub"),$V191))</f>
        <v/>
      </c>
      <c r="AA191" s="70">
        <f>IF($S191="","",IF(N($T191)&gt;0,AVERAGEIFS($W$5:$W$1000,$R$5:$R$1000,ROW(),$S$5:$S$1000,"Sub"),$W191))</f>
        <v/>
      </c>
      <c r="AB191" s="70">
        <f>IF($S191="","",IF(N($T191)&gt;0,AVERAGEIFS($X$5:$X$1000,$R$5:$R$1000,ROW(),$S$5:$S$1000,"Sub"),$X191))</f>
        <v/>
      </c>
    </row>
    <row r="192">
      <c r="A192" s="61">
        <f>IF(NOT((COUNTA($B192:$K192)+COUNTA($N192))&gt;0),"",IF($S192="Macro",COUNTIFS($S$5:$S192,"Macro",$P$5:$P192,$P192),IF(N($R192)=0,"?",COUNTIFS(INDEX($S$5:$S$1000,1):INDEX($S$5:$S$1000,$R192-4),"Macro",INDEX($P$5:$P$1000,1):INDEX($P$5:$P$1000,$R192-4),INDEX($P$5:$P$1000,$R192-4))&amp;"."&amp;COUNTIFS($R$5:$R192,$R192,$S$5:$S192,"Sub"))))</f>
        <v/>
      </c>
      <c r="B192" s="62" t="n"/>
      <c r="C192" s="63" t="n"/>
      <c r="D192" s="62" t="n"/>
      <c r="E192" s="64" t="n"/>
      <c r="F192" s="64" t="n"/>
      <c r="G192" s="65" t="n"/>
      <c r="H192" s="66" t="n"/>
      <c r="I192" s="66" t="n"/>
      <c r="J192" s="66" t="n"/>
      <c r="K192" s="66" t="n"/>
      <c r="L192" s="67">
        <f>IF(NOT((COUNTA($B192:$K192)+COUNTA($N192))&gt;0),"",IF(N($T192)&gt;0,$AB192,IFERROR(LOOKUP(2,1/(H192:K192&lt;&gt;""),H192:K192),0)))</f>
        <v/>
      </c>
      <c r="M192" s="61">
        <f>IF(L192="","",IF(L192&gt;=1,"Completado",IF(L192&gt;0,"En curso","Pendiente")))</f>
        <v/>
      </c>
      <c r="N192" s="62" t="n"/>
      <c r="O192" s="68">
        <f>IF(NOT((COUNTA($B192:$K192)+COUNTA($N192))&gt;0),"",IF((IF(AND($S192="Macro",$B192=""),"Macroactividad vacía"&amp;" · ","")&amp;IF(AND($B192&lt;&gt;"",$C192&lt;&gt;""),"Escriba la subactividad en otra fila, debajo de su macroactividad"&amp;" · ","")&amp;IF(AND($S192="Sub",N($R192)=0),"Subactividad sin macroactividad arriba"&amp;" · ","")&amp;IF($D192="","Sin responsable"&amp;" · ","")&amp;IF($E192="","Sin fecha de inicio"&amp;" · ","")&amp;IF($F192="","Sin fecha límite"&amp;" · ","")&amp;IF(OR(AND($E192&lt;&gt;"",NOT(ISNUMBER($E192))),AND($F192&lt;&gt;"",NOT(ISNUMBER($F192)))),"Fecha no válida"&amp;" · ","")&amp;IF(AND(ISNUMBER($E192),ISNUMBER($F192),$E192&gt;$F192),"Inicio posterior a fecha límite"&amp;" · ","")&amp;IF(AND($S192="Macro",$G192=""),"Peso vacío"&amp;" · ","")&amp;IF(AND($S192="Macro",$G192&lt;&gt;"",OR(NOT(ISNUMBER($G192)),$G192&lt;=0,$G192&gt;1)),"Peso fuera de rango"&amp;" · ","")&amp;IF(AND($S192="Sub",$G192&lt;&gt;""),"Las subactividades no llevan peso"&amp;" · ","")&amp;IF(AND($S192="Macro",ABS(SUMIFS($G$5:$G$1000,$P$5:$P$1000,$P192,$S$5:$S$1000,"Macro")-1)&gt;0.0001),"Pesos del mes suman "&amp;TEXT(SUMIFS($G$5:$G$1000,$P$5:$P$1000,$P192,$S$5:$S$1000,"Macro"),"0%")&amp;" · ","")&amp;IF(AND(N($T192)&gt;0,COUNT($H192:$K192)&gt;0),"Con subactividades: deje vacías las semanas (se calculan solas)"&amp;" · ","")&amp;IF((COUNTIF($H192:$K192,"&gt;1")+COUNTIF($H192:$K192,"&lt;0")+COUNTA($H192:$K192)-COUNT($H192:$K192))&gt;0,"Avance fuera de rango 0-100%"&amp;" · ","")&amp;IF(OR(AND($I192&lt;&gt;"",$I192&lt;$H192),AND($J192&lt;&gt;"",$J192&lt;MAX($H192:$I192)),AND($K192&lt;&gt;"",$K192&lt;MAX($H192:$J192))),"Avance semanal decreciente"&amp;" · ","")&amp;IF(AND(ISNUMBER($F192),$F192&lt;FechaRef,N($L192)&lt;1),"Vencida"&amp;" · ","")&amp;IF(AND(ObsObligatoria="Sí",ISNUMBER($F192),$F192&lt;FechaRef,N($L192)&lt;1,$N192=""),"Vencida sin observación"&amp;" · ",""))="","✔ OK","⚠ "&amp;LEFT(IF(AND($S192="Macro",$B192=""),"Macroactividad vacía"&amp;" · ","")&amp;IF(AND($B192&lt;&gt;"",$C192&lt;&gt;""),"Escriba la subactividad en otra fila, debajo de su macroactividad"&amp;" · ","")&amp;IF(AND($S192="Sub",N($R192)=0),"Subactividad sin macroactividad arriba"&amp;" · ","")&amp;IF($D192="","Sin responsable"&amp;" · ","")&amp;IF($E192="","Sin fecha de inicio"&amp;" · ","")&amp;IF($F192="","Sin fecha límite"&amp;" · ","")&amp;IF(OR(AND($E192&lt;&gt;"",NOT(ISNUMBER($E192))),AND($F192&lt;&gt;"",NOT(ISNUMBER($F192)))),"Fecha no válida"&amp;" · ","")&amp;IF(AND(ISNUMBER($E192),ISNUMBER($F192),$E192&gt;$F192),"Inicio posterior a fecha límite"&amp;" · ","")&amp;IF(AND($S192="Macro",$G192=""),"Peso vacío"&amp;" · ","")&amp;IF(AND($S192="Macro",$G192&lt;&gt;"",OR(NOT(ISNUMBER($G192)),$G192&lt;=0,$G192&gt;1)),"Peso fuera de rango"&amp;" · ","")&amp;IF(AND($S192="Sub",$G192&lt;&gt;""),"Las subactividades no llevan peso"&amp;" · ","")&amp;IF(AND($S192="Macro",ABS(SUMIFS($G$5:$G$1000,$P$5:$P$1000,$P192,$S$5:$S$1000,"Macro")-1)&gt;0.0001),"Pesos del mes suman "&amp;TEXT(SUMIFS($G$5:$G$1000,$P$5:$P$1000,$P192,$S$5:$S$1000,"Macro"),"0%")&amp;" · ","")&amp;IF(AND(N($T192)&gt;0,COUNT($H192:$K192)&gt;0),"Con subactividades: deje vacías las semanas (se calculan solas)"&amp;" · ","")&amp;IF((COUNTIF($H192:$K192,"&gt;1")+COUNTIF($H192:$K192,"&lt;0")+COUNTA($H192:$K192)-COUNT($H192:$K192))&gt;0,"Avance fuera de rango 0-100%"&amp;" · ","")&amp;IF(OR(AND($I192&lt;&gt;"",$I192&lt;$H192),AND($J192&lt;&gt;"",$J192&lt;MAX($H192:$I192)),AND($K192&lt;&gt;"",$K192&lt;MAX($H192:$J192))),"Avance semanal decreciente"&amp;" · ","")&amp;IF(AND(ISNUMBER($F192),$F192&lt;FechaRef,N($L192)&lt;1),"Vencida"&amp;" · ","")&amp;IF(AND(ObsObligatoria="Sí",ISNUMBER($F192),$F192&lt;FechaRef,N($L192)&lt;1,$N192=""),"Vencida sin observación"&amp;" · ",""),LEN(IF(AND($S192="Macro",$B192=""),"Macroactividad vacía"&amp;" · ","")&amp;IF(AND($B192&lt;&gt;"",$C192&lt;&gt;""),"Escriba la subactividad en otra fila, debajo de su macroactividad"&amp;" · ","")&amp;IF(AND($S192="Sub",N($R192)=0),"Subactividad sin macroactividad arriba"&amp;" · ","")&amp;IF($D192="","Sin responsable"&amp;" · ","")&amp;IF($E192="","Sin fecha de inicio"&amp;" · ","")&amp;IF($F192="","Sin fecha límite"&amp;" · ","")&amp;IF(OR(AND($E192&lt;&gt;"",NOT(ISNUMBER($E192))),AND($F192&lt;&gt;"",NOT(ISNUMBER($F192)))),"Fecha no válida"&amp;" · ","")&amp;IF(AND(ISNUMBER($E192),ISNUMBER($F192),$E192&gt;$F192),"Inicio posterior a fecha límite"&amp;" · ","")&amp;IF(AND($S192="Macro",$G192=""),"Peso vacío"&amp;" · ","")&amp;IF(AND($S192="Macro",$G192&lt;&gt;"",OR(NOT(ISNUMBER($G192)),$G192&lt;=0,$G192&gt;1)),"Peso fuera de rango"&amp;" · ","")&amp;IF(AND($S192="Sub",$G192&lt;&gt;""),"Las subactividades no llevan peso"&amp;" · ","")&amp;IF(AND($S192="Macro",ABS(SUMIFS($G$5:$G$1000,$P$5:$P$1000,$P192,$S$5:$S$1000,"Macro")-1)&gt;0.0001),"Pesos del mes suman "&amp;TEXT(SUMIFS($G$5:$G$1000,$P$5:$P$1000,$P192,$S$5:$S$1000,"Macro"),"0%")&amp;" · ","")&amp;IF(AND(N($T192)&gt;0,COUNT($H192:$K192)&gt;0),"Con subactividades: deje vacías las semanas (se calculan solas)"&amp;" · ","")&amp;IF((COUNTIF($H192:$K192,"&gt;1")+COUNTIF($H192:$K192,"&lt;0")+COUNTA($H192:$K192)-COUNT($H192:$K192))&gt;0,"Avance fuera de rango 0-100%"&amp;" · ","")&amp;IF(OR(AND($I192&lt;&gt;"",$I192&lt;$H192),AND($J192&lt;&gt;"",$J192&lt;MAX($H192:$I192)),AND($K192&lt;&gt;"",$K192&lt;MAX($H192:$J192))),"Avance semanal decreciente"&amp;" · ","")&amp;IF(AND(ISNUMBER($F192),$F192&lt;FechaRef,N($L192)&lt;1),"Vencida"&amp;" · ","")&amp;IF(AND(ObsObligatoria="Sí",ISNUMBER($F192),$F192&lt;FechaRef,N($L192)&lt;1,$N192=""),"Vencida sin observación"&amp;" · ",""))-3)))</f>
        <v/>
      </c>
      <c r="P192" s="69">
        <f>IF(NOT((COUNTA($B192:$K192)+COUNTA($N192))&gt;0),"",IF(AND($S192="Sub",N($R192)&gt;0),IF(ISNUMBER(INDEX($E$5:$E$1000,$R192-4)),DATE(YEAR(INDEX($E$5:$E$1000,$R192-4)),MONTH(INDEX($E$5:$E$1000,$R192-4)),1),IF(ISNUMBER(INDEX($F$5:$F$1000,$R192-4)),DATE(YEAR(INDEX($F$5:$F$1000,$R192-4)),MONTH(INDEX($F$5:$F$1000,$R192-4)),1),MesCiclo)),IF(ISNUMBER($E192),DATE(YEAR($E192),MONTH($E192),1),IF(ISNUMBER($F192),DATE(YEAR($F192),MONTH($F192),1),MesCiclo))))</f>
        <v/>
      </c>
      <c r="Q192" s="70">
        <f>IF(OR($P192="",$P192&lt;&gt;MesCiclo),"",COUNTIF($P$5:$P192,MesCiclo))</f>
        <v/>
      </c>
      <c r="R192" s="70">
        <f>IF($S192="","",IF($S192="Macro",ROW(),IFERROR(LOOKUP(2,1/($S$5:$S192="Macro"),ROW($S$5:$S192)),0)))</f>
        <v/>
      </c>
      <c r="S192" s="70">
        <f>IF(NOT((COUNTA($B192:$K192)+COUNTA($N192))&gt;0),"",IF($B192&lt;&gt;"","Macro",IF($C192&lt;&gt;"","Sub","Macro")))</f>
        <v/>
      </c>
      <c r="T192" s="70">
        <f>IF($S192="Macro",COUNTIFS($R$5:$R$1000,ROW(),$S$5:$S$1000,"Sub"),"")</f>
        <v/>
      </c>
      <c r="U192" s="70">
        <f>IF($S192="","",IF(ISNUMBER($H192),$H192,0))</f>
        <v/>
      </c>
      <c r="V192" s="70">
        <f>IF($S192="","",IF(ISNUMBER($I192),$I192,$U192))</f>
        <v/>
      </c>
      <c r="W192" s="70">
        <f>IF($S192="","",IF(ISNUMBER($J192),$J192,$V192))</f>
        <v/>
      </c>
      <c r="X192" s="70">
        <f>IF($S192="","",IF(ISNUMBER($K192),$K192,$W192))</f>
        <v/>
      </c>
      <c r="Y192" s="70">
        <f>IF($S192="","",IF(N($T192)&gt;0,AVERAGEIFS($U$5:$U$1000,$R$5:$R$1000,ROW(),$S$5:$S$1000,"Sub"),$U192))</f>
        <v/>
      </c>
      <c r="Z192" s="70">
        <f>IF($S192="","",IF(N($T192)&gt;0,AVERAGEIFS($V$5:$V$1000,$R$5:$R$1000,ROW(),$S$5:$S$1000,"Sub"),$V192))</f>
        <v/>
      </c>
      <c r="AA192" s="70">
        <f>IF($S192="","",IF(N($T192)&gt;0,AVERAGEIFS($W$5:$W$1000,$R$5:$R$1000,ROW(),$S$5:$S$1000,"Sub"),$W192))</f>
        <v/>
      </c>
      <c r="AB192" s="70">
        <f>IF($S192="","",IF(N($T192)&gt;0,AVERAGEIFS($X$5:$X$1000,$R$5:$R$1000,ROW(),$S$5:$S$1000,"Sub"),$X192))</f>
        <v/>
      </c>
    </row>
    <row r="193">
      <c r="A193" s="61">
        <f>IF(NOT((COUNTA($B193:$K193)+COUNTA($N193))&gt;0),"",IF($S193="Macro",COUNTIFS($S$5:$S193,"Macro",$P$5:$P193,$P193),IF(N($R193)=0,"?",COUNTIFS(INDEX($S$5:$S$1000,1):INDEX($S$5:$S$1000,$R193-4),"Macro",INDEX($P$5:$P$1000,1):INDEX($P$5:$P$1000,$R193-4),INDEX($P$5:$P$1000,$R193-4))&amp;"."&amp;COUNTIFS($R$5:$R193,$R193,$S$5:$S193,"Sub"))))</f>
        <v/>
      </c>
      <c r="B193" s="62" t="n"/>
      <c r="C193" s="63" t="n"/>
      <c r="D193" s="62" t="n"/>
      <c r="E193" s="64" t="n"/>
      <c r="F193" s="64" t="n"/>
      <c r="G193" s="65" t="n"/>
      <c r="H193" s="66" t="n"/>
      <c r="I193" s="66" t="n"/>
      <c r="J193" s="66" t="n"/>
      <c r="K193" s="66" t="n"/>
      <c r="L193" s="67">
        <f>IF(NOT((COUNTA($B193:$K193)+COUNTA($N193))&gt;0),"",IF(N($T193)&gt;0,$AB193,IFERROR(LOOKUP(2,1/(H193:K193&lt;&gt;""),H193:K193),0)))</f>
        <v/>
      </c>
      <c r="M193" s="61">
        <f>IF(L193="","",IF(L193&gt;=1,"Completado",IF(L193&gt;0,"En curso","Pendiente")))</f>
        <v/>
      </c>
      <c r="N193" s="62" t="n"/>
      <c r="O193" s="68">
        <f>IF(NOT((COUNTA($B193:$K193)+COUNTA($N193))&gt;0),"",IF((IF(AND($S193="Macro",$B193=""),"Macroactividad vacía"&amp;" · ","")&amp;IF(AND($B193&lt;&gt;"",$C193&lt;&gt;""),"Escriba la subactividad en otra fila, debajo de su macroactividad"&amp;" · ","")&amp;IF(AND($S193="Sub",N($R193)=0),"Subactividad sin macroactividad arriba"&amp;" · ","")&amp;IF($D193="","Sin responsable"&amp;" · ","")&amp;IF($E193="","Sin fecha de inicio"&amp;" · ","")&amp;IF($F193="","Sin fecha límite"&amp;" · ","")&amp;IF(OR(AND($E193&lt;&gt;"",NOT(ISNUMBER($E193))),AND($F193&lt;&gt;"",NOT(ISNUMBER($F193)))),"Fecha no válida"&amp;" · ","")&amp;IF(AND(ISNUMBER($E193),ISNUMBER($F193),$E193&gt;$F193),"Inicio posterior a fecha límite"&amp;" · ","")&amp;IF(AND($S193="Macro",$G193=""),"Peso vacío"&amp;" · ","")&amp;IF(AND($S193="Macro",$G193&lt;&gt;"",OR(NOT(ISNUMBER($G193)),$G193&lt;=0,$G193&gt;1)),"Peso fuera de rango"&amp;" · ","")&amp;IF(AND($S193="Sub",$G193&lt;&gt;""),"Las subactividades no llevan peso"&amp;" · ","")&amp;IF(AND($S193="Macro",ABS(SUMIFS($G$5:$G$1000,$P$5:$P$1000,$P193,$S$5:$S$1000,"Macro")-1)&gt;0.0001),"Pesos del mes suman "&amp;TEXT(SUMIFS($G$5:$G$1000,$P$5:$P$1000,$P193,$S$5:$S$1000,"Macro"),"0%")&amp;" · ","")&amp;IF(AND(N($T193)&gt;0,COUNT($H193:$K193)&gt;0),"Con subactividades: deje vacías las semanas (se calculan solas)"&amp;" · ","")&amp;IF((COUNTIF($H193:$K193,"&gt;1")+COUNTIF($H193:$K193,"&lt;0")+COUNTA($H193:$K193)-COUNT($H193:$K193))&gt;0,"Avance fuera de rango 0-100%"&amp;" · ","")&amp;IF(OR(AND($I193&lt;&gt;"",$I193&lt;$H193),AND($J193&lt;&gt;"",$J193&lt;MAX($H193:$I193)),AND($K193&lt;&gt;"",$K193&lt;MAX($H193:$J193))),"Avance semanal decreciente"&amp;" · ","")&amp;IF(AND(ISNUMBER($F193),$F193&lt;FechaRef,N($L193)&lt;1),"Vencida"&amp;" · ","")&amp;IF(AND(ObsObligatoria="Sí",ISNUMBER($F193),$F193&lt;FechaRef,N($L193)&lt;1,$N193=""),"Vencida sin observación"&amp;" · ",""))="","✔ OK","⚠ "&amp;LEFT(IF(AND($S193="Macro",$B193=""),"Macroactividad vacía"&amp;" · ","")&amp;IF(AND($B193&lt;&gt;"",$C193&lt;&gt;""),"Escriba la subactividad en otra fila, debajo de su macroactividad"&amp;" · ","")&amp;IF(AND($S193="Sub",N($R193)=0),"Subactividad sin macroactividad arriba"&amp;" · ","")&amp;IF($D193="","Sin responsable"&amp;" · ","")&amp;IF($E193="","Sin fecha de inicio"&amp;" · ","")&amp;IF($F193="","Sin fecha límite"&amp;" · ","")&amp;IF(OR(AND($E193&lt;&gt;"",NOT(ISNUMBER($E193))),AND($F193&lt;&gt;"",NOT(ISNUMBER($F193)))),"Fecha no válida"&amp;" · ","")&amp;IF(AND(ISNUMBER($E193),ISNUMBER($F193),$E193&gt;$F193),"Inicio posterior a fecha límite"&amp;" · ","")&amp;IF(AND($S193="Macro",$G193=""),"Peso vacío"&amp;" · ","")&amp;IF(AND($S193="Macro",$G193&lt;&gt;"",OR(NOT(ISNUMBER($G193)),$G193&lt;=0,$G193&gt;1)),"Peso fuera de rango"&amp;" · ","")&amp;IF(AND($S193="Sub",$G193&lt;&gt;""),"Las subactividades no llevan peso"&amp;" · ","")&amp;IF(AND($S193="Macro",ABS(SUMIFS($G$5:$G$1000,$P$5:$P$1000,$P193,$S$5:$S$1000,"Macro")-1)&gt;0.0001),"Pesos del mes suman "&amp;TEXT(SUMIFS($G$5:$G$1000,$P$5:$P$1000,$P193,$S$5:$S$1000,"Macro"),"0%")&amp;" · ","")&amp;IF(AND(N($T193)&gt;0,COUNT($H193:$K193)&gt;0),"Con subactividades: deje vacías las semanas (se calculan solas)"&amp;" · ","")&amp;IF((COUNTIF($H193:$K193,"&gt;1")+COUNTIF($H193:$K193,"&lt;0")+COUNTA($H193:$K193)-COUNT($H193:$K193))&gt;0,"Avance fuera de rango 0-100%"&amp;" · ","")&amp;IF(OR(AND($I193&lt;&gt;"",$I193&lt;$H193),AND($J193&lt;&gt;"",$J193&lt;MAX($H193:$I193)),AND($K193&lt;&gt;"",$K193&lt;MAX($H193:$J193))),"Avance semanal decreciente"&amp;" · ","")&amp;IF(AND(ISNUMBER($F193),$F193&lt;FechaRef,N($L193)&lt;1),"Vencida"&amp;" · ","")&amp;IF(AND(ObsObligatoria="Sí",ISNUMBER($F193),$F193&lt;FechaRef,N($L193)&lt;1,$N193=""),"Vencida sin observación"&amp;" · ",""),LEN(IF(AND($S193="Macro",$B193=""),"Macroactividad vacía"&amp;" · ","")&amp;IF(AND($B193&lt;&gt;"",$C193&lt;&gt;""),"Escriba la subactividad en otra fila, debajo de su macroactividad"&amp;" · ","")&amp;IF(AND($S193="Sub",N($R193)=0),"Subactividad sin macroactividad arriba"&amp;" · ","")&amp;IF($D193="","Sin responsable"&amp;" · ","")&amp;IF($E193="","Sin fecha de inicio"&amp;" · ","")&amp;IF($F193="","Sin fecha límite"&amp;" · ","")&amp;IF(OR(AND($E193&lt;&gt;"",NOT(ISNUMBER($E193))),AND($F193&lt;&gt;"",NOT(ISNUMBER($F193)))),"Fecha no válida"&amp;" · ","")&amp;IF(AND(ISNUMBER($E193),ISNUMBER($F193),$E193&gt;$F193),"Inicio posterior a fecha límite"&amp;" · ","")&amp;IF(AND($S193="Macro",$G193=""),"Peso vacío"&amp;" · ","")&amp;IF(AND($S193="Macro",$G193&lt;&gt;"",OR(NOT(ISNUMBER($G193)),$G193&lt;=0,$G193&gt;1)),"Peso fuera de rango"&amp;" · ","")&amp;IF(AND($S193="Sub",$G193&lt;&gt;""),"Las subactividades no llevan peso"&amp;" · ","")&amp;IF(AND($S193="Macro",ABS(SUMIFS($G$5:$G$1000,$P$5:$P$1000,$P193,$S$5:$S$1000,"Macro")-1)&gt;0.0001),"Pesos del mes suman "&amp;TEXT(SUMIFS($G$5:$G$1000,$P$5:$P$1000,$P193,$S$5:$S$1000,"Macro"),"0%")&amp;" · ","")&amp;IF(AND(N($T193)&gt;0,COUNT($H193:$K193)&gt;0),"Con subactividades: deje vacías las semanas (se calculan solas)"&amp;" · ","")&amp;IF((COUNTIF($H193:$K193,"&gt;1")+COUNTIF($H193:$K193,"&lt;0")+COUNTA($H193:$K193)-COUNT($H193:$K193))&gt;0,"Avance fuera de rango 0-100%"&amp;" · ","")&amp;IF(OR(AND($I193&lt;&gt;"",$I193&lt;$H193),AND($J193&lt;&gt;"",$J193&lt;MAX($H193:$I193)),AND($K193&lt;&gt;"",$K193&lt;MAX($H193:$J193))),"Avance semanal decreciente"&amp;" · ","")&amp;IF(AND(ISNUMBER($F193),$F193&lt;FechaRef,N($L193)&lt;1),"Vencida"&amp;" · ","")&amp;IF(AND(ObsObligatoria="Sí",ISNUMBER($F193),$F193&lt;FechaRef,N($L193)&lt;1,$N193=""),"Vencida sin observación"&amp;" · ",""))-3)))</f>
        <v/>
      </c>
      <c r="P193" s="69">
        <f>IF(NOT((COUNTA($B193:$K193)+COUNTA($N193))&gt;0),"",IF(AND($S193="Sub",N($R193)&gt;0),IF(ISNUMBER(INDEX($E$5:$E$1000,$R193-4)),DATE(YEAR(INDEX($E$5:$E$1000,$R193-4)),MONTH(INDEX($E$5:$E$1000,$R193-4)),1),IF(ISNUMBER(INDEX($F$5:$F$1000,$R193-4)),DATE(YEAR(INDEX($F$5:$F$1000,$R193-4)),MONTH(INDEX($F$5:$F$1000,$R193-4)),1),MesCiclo)),IF(ISNUMBER($E193),DATE(YEAR($E193),MONTH($E193),1),IF(ISNUMBER($F193),DATE(YEAR($F193),MONTH($F193),1),MesCiclo))))</f>
        <v/>
      </c>
      <c r="Q193" s="70">
        <f>IF(OR($P193="",$P193&lt;&gt;MesCiclo),"",COUNTIF($P$5:$P193,MesCiclo))</f>
        <v/>
      </c>
      <c r="R193" s="70">
        <f>IF($S193="","",IF($S193="Macro",ROW(),IFERROR(LOOKUP(2,1/($S$5:$S193="Macro"),ROW($S$5:$S193)),0)))</f>
        <v/>
      </c>
      <c r="S193" s="70">
        <f>IF(NOT((COUNTA($B193:$K193)+COUNTA($N193))&gt;0),"",IF($B193&lt;&gt;"","Macro",IF($C193&lt;&gt;"","Sub","Macro")))</f>
        <v/>
      </c>
      <c r="T193" s="70">
        <f>IF($S193="Macro",COUNTIFS($R$5:$R$1000,ROW(),$S$5:$S$1000,"Sub"),"")</f>
        <v/>
      </c>
      <c r="U193" s="70">
        <f>IF($S193="","",IF(ISNUMBER($H193),$H193,0))</f>
        <v/>
      </c>
      <c r="V193" s="70">
        <f>IF($S193="","",IF(ISNUMBER($I193),$I193,$U193))</f>
        <v/>
      </c>
      <c r="W193" s="70">
        <f>IF($S193="","",IF(ISNUMBER($J193),$J193,$V193))</f>
        <v/>
      </c>
      <c r="X193" s="70">
        <f>IF($S193="","",IF(ISNUMBER($K193),$K193,$W193))</f>
        <v/>
      </c>
      <c r="Y193" s="70">
        <f>IF($S193="","",IF(N($T193)&gt;0,AVERAGEIFS($U$5:$U$1000,$R$5:$R$1000,ROW(),$S$5:$S$1000,"Sub"),$U193))</f>
        <v/>
      </c>
      <c r="Z193" s="70">
        <f>IF($S193="","",IF(N($T193)&gt;0,AVERAGEIFS($V$5:$V$1000,$R$5:$R$1000,ROW(),$S$5:$S$1000,"Sub"),$V193))</f>
        <v/>
      </c>
      <c r="AA193" s="70">
        <f>IF($S193="","",IF(N($T193)&gt;0,AVERAGEIFS($W$5:$W$1000,$R$5:$R$1000,ROW(),$S$5:$S$1000,"Sub"),$W193))</f>
        <v/>
      </c>
      <c r="AB193" s="70">
        <f>IF($S193="","",IF(N($T193)&gt;0,AVERAGEIFS($X$5:$X$1000,$R$5:$R$1000,ROW(),$S$5:$S$1000,"Sub"),$X193))</f>
        <v/>
      </c>
    </row>
    <row r="194">
      <c r="A194" s="61">
        <f>IF(NOT((COUNTA($B194:$K194)+COUNTA($N194))&gt;0),"",IF($S194="Macro",COUNTIFS($S$5:$S194,"Macro",$P$5:$P194,$P194),IF(N($R194)=0,"?",COUNTIFS(INDEX($S$5:$S$1000,1):INDEX($S$5:$S$1000,$R194-4),"Macro",INDEX($P$5:$P$1000,1):INDEX($P$5:$P$1000,$R194-4),INDEX($P$5:$P$1000,$R194-4))&amp;"."&amp;COUNTIFS($R$5:$R194,$R194,$S$5:$S194,"Sub"))))</f>
        <v/>
      </c>
      <c r="B194" s="62" t="n"/>
      <c r="C194" s="63" t="n"/>
      <c r="D194" s="62" t="n"/>
      <c r="E194" s="64" t="n"/>
      <c r="F194" s="64" t="n"/>
      <c r="G194" s="65" t="n"/>
      <c r="H194" s="66" t="n"/>
      <c r="I194" s="66" t="n"/>
      <c r="J194" s="66" t="n"/>
      <c r="K194" s="66" t="n"/>
      <c r="L194" s="67">
        <f>IF(NOT((COUNTA($B194:$K194)+COUNTA($N194))&gt;0),"",IF(N($T194)&gt;0,$AB194,IFERROR(LOOKUP(2,1/(H194:K194&lt;&gt;""),H194:K194),0)))</f>
        <v/>
      </c>
      <c r="M194" s="61">
        <f>IF(L194="","",IF(L194&gt;=1,"Completado",IF(L194&gt;0,"En curso","Pendiente")))</f>
        <v/>
      </c>
      <c r="N194" s="62" t="n"/>
      <c r="O194" s="68">
        <f>IF(NOT((COUNTA($B194:$K194)+COUNTA($N194))&gt;0),"",IF((IF(AND($S194="Macro",$B194=""),"Macroactividad vacía"&amp;" · ","")&amp;IF(AND($B194&lt;&gt;"",$C194&lt;&gt;""),"Escriba la subactividad en otra fila, debajo de su macroactividad"&amp;" · ","")&amp;IF(AND($S194="Sub",N($R194)=0),"Subactividad sin macroactividad arriba"&amp;" · ","")&amp;IF($D194="","Sin responsable"&amp;" · ","")&amp;IF($E194="","Sin fecha de inicio"&amp;" · ","")&amp;IF($F194="","Sin fecha límite"&amp;" · ","")&amp;IF(OR(AND($E194&lt;&gt;"",NOT(ISNUMBER($E194))),AND($F194&lt;&gt;"",NOT(ISNUMBER($F194)))),"Fecha no válida"&amp;" · ","")&amp;IF(AND(ISNUMBER($E194),ISNUMBER($F194),$E194&gt;$F194),"Inicio posterior a fecha límite"&amp;" · ","")&amp;IF(AND($S194="Macro",$G194=""),"Peso vacío"&amp;" · ","")&amp;IF(AND($S194="Macro",$G194&lt;&gt;"",OR(NOT(ISNUMBER($G194)),$G194&lt;=0,$G194&gt;1)),"Peso fuera de rango"&amp;" · ","")&amp;IF(AND($S194="Sub",$G194&lt;&gt;""),"Las subactividades no llevan peso"&amp;" · ","")&amp;IF(AND($S194="Macro",ABS(SUMIFS($G$5:$G$1000,$P$5:$P$1000,$P194,$S$5:$S$1000,"Macro")-1)&gt;0.0001),"Pesos del mes suman "&amp;TEXT(SUMIFS($G$5:$G$1000,$P$5:$P$1000,$P194,$S$5:$S$1000,"Macro"),"0%")&amp;" · ","")&amp;IF(AND(N($T194)&gt;0,COUNT($H194:$K194)&gt;0),"Con subactividades: deje vacías las semanas (se calculan solas)"&amp;" · ","")&amp;IF((COUNTIF($H194:$K194,"&gt;1")+COUNTIF($H194:$K194,"&lt;0")+COUNTA($H194:$K194)-COUNT($H194:$K194))&gt;0,"Avance fuera de rango 0-100%"&amp;" · ","")&amp;IF(OR(AND($I194&lt;&gt;"",$I194&lt;$H194),AND($J194&lt;&gt;"",$J194&lt;MAX($H194:$I194)),AND($K194&lt;&gt;"",$K194&lt;MAX($H194:$J194))),"Avance semanal decreciente"&amp;" · ","")&amp;IF(AND(ISNUMBER($F194),$F194&lt;FechaRef,N($L194)&lt;1),"Vencida"&amp;" · ","")&amp;IF(AND(ObsObligatoria="Sí",ISNUMBER($F194),$F194&lt;FechaRef,N($L194)&lt;1,$N194=""),"Vencida sin observación"&amp;" · ",""))="","✔ OK","⚠ "&amp;LEFT(IF(AND($S194="Macro",$B194=""),"Macroactividad vacía"&amp;" · ","")&amp;IF(AND($B194&lt;&gt;"",$C194&lt;&gt;""),"Escriba la subactividad en otra fila, debajo de su macroactividad"&amp;" · ","")&amp;IF(AND($S194="Sub",N($R194)=0),"Subactividad sin macroactividad arriba"&amp;" · ","")&amp;IF($D194="","Sin responsable"&amp;" · ","")&amp;IF($E194="","Sin fecha de inicio"&amp;" · ","")&amp;IF($F194="","Sin fecha límite"&amp;" · ","")&amp;IF(OR(AND($E194&lt;&gt;"",NOT(ISNUMBER($E194))),AND($F194&lt;&gt;"",NOT(ISNUMBER($F194)))),"Fecha no válida"&amp;" · ","")&amp;IF(AND(ISNUMBER($E194),ISNUMBER($F194),$E194&gt;$F194),"Inicio posterior a fecha límite"&amp;" · ","")&amp;IF(AND($S194="Macro",$G194=""),"Peso vacío"&amp;" · ","")&amp;IF(AND($S194="Macro",$G194&lt;&gt;"",OR(NOT(ISNUMBER($G194)),$G194&lt;=0,$G194&gt;1)),"Peso fuera de rango"&amp;" · ","")&amp;IF(AND($S194="Sub",$G194&lt;&gt;""),"Las subactividades no llevan peso"&amp;" · ","")&amp;IF(AND($S194="Macro",ABS(SUMIFS($G$5:$G$1000,$P$5:$P$1000,$P194,$S$5:$S$1000,"Macro")-1)&gt;0.0001),"Pesos del mes suman "&amp;TEXT(SUMIFS($G$5:$G$1000,$P$5:$P$1000,$P194,$S$5:$S$1000,"Macro"),"0%")&amp;" · ","")&amp;IF(AND(N($T194)&gt;0,COUNT($H194:$K194)&gt;0),"Con subactividades: deje vacías las semanas (se calculan solas)"&amp;" · ","")&amp;IF((COUNTIF($H194:$K194,"&gt;1")+COUNTIF($H194:$K194,"&lt;0")+COUNTA($H194:$K194)-COUNT($H194:$K194))&gt;0,"Avance fuera de rango 0-100%"&amp;" · ","")&amp;IF(OR(AND($I194&lt;&gt;"",$I194&lt;$H194),AND($J194&lt;&gt;"",$J194&lt;MAX($H194:$I194)),AND($K194&lt;&gt;"",$K194&lt;MAX($H194:$J194))),"Avance semanal decreciente"&amp;" · ","")&amp;IF(AND(ISNUMBER($F194),$F194&lt;FechaRef,N($L194)&lt;1),"Vencida"&amp;" · ","")&amp;IF(AND(ObsObligatoria="Sí",ISNUMBER($F194),$F194&lt;FechaRef,N($L194)&lt;1,$N194=""),"Vencida sin observación"&amp;" · ",""),LEN(IF(AND($S194="Macro",$B194=""),"Macroactividad vacía"&amp;" · ","")&amp;IF(AND($B194&lt;&gt;"",$C194&lt;&gt;""),"Escriba la subactividad en otra fila, debajo de su macroactividad"&amp;" · ","")&amp;IF(AND($S194="Sub",N($R194)=0),"Subactividad sin macroactividad arriba"&amp;" · ","")&amp;IF($D194="","Sin responsable"&amp;" · ","")&amp;IF($E194="","Sin fecha de inicio"&amp;" · ","")&amp;IF($F194="","Sin fecha límite"&amp;" · ","")&amp;IF(OR(AND($E194&lt;&gt;"",NOT(ISNUMBER($E194))),AND($F194&lt;&gt;"",NOT(ISNUMBER($F194)))),"Fecha no válida"&amp;" · ","")&amp;IF(AND(ISNUMBER($E194),ISNUMBER($F194),$E194&gt;$F194),"Inicio posterior a fecha límite"&amp;" · ","")&amp;IF(AND($S194="Macro",$G194=""),"Peso vacío"&amp;" · ","")&amp;IF(AND($S194="Macro",$G194&lt;&gt;"",OR(NOT(ISNUMBER($G194)),$G194&lt;=0,$G194&gt;1)),"Peso fuera de rango"&amp;" · ","")&amp;IF(AND($S194="Sub",$G194&lt;&gt;""),"Las subactividades no llevan peso"&amp;" · ","")&amp;IF(AND($S194="Macro",ABS(SUMIFS($G$5:$G$1000,$P$5:$P$1000,$P194,$S$5:$S$1000,"Macro")-1)&gt;0.0001),"Pesos del mes suman "&amp;TEXT(SUMIFS($G$5:$G$1000,$P$5:$P$1000,$P194,$S$5:$S$1000,"Macro"),"0%")&amp;" · ","")&amp;IF(AND(N($T194)&gt;0,COUNT($H194:$K194)&gt;0),"Con subactividades: deje vacías las semanas (se calculan solas)"&amp;" · ","")&amp;IF((COUNTIF($H194:$K194,"&gt;1")+COUNTIF($H194:$K194,"&lt;0")+COUNTA($H194:$K194)-COUNT($H194:$K194))&gt;0,"Avance fuera de rango 0-100%"&amp;" · ","")&amp;IF(OR(AND($I194&lt;&gt;"",$I194&lt;$H194),AND($J194&lt;&gt;"",$J194&lt;MAX($H194:$I194)),AND($K194&lt;&gt;"",$K194&lt;MAX($H194:$J194))),"Avance semanal decreciente"&amp;" · ","")&amp;IF(AND(ISNUMBER($F194),$F194&lt;FechaRef,N($L194)&lt;1),"Vencida"&amp;" · ","")&amp;IF(AND(ObsObligatoria="Sí",ISNUMBER($F194),$F194&lt;FechaRef,N($L194)&lt;1,$N194=""),"Vencida sin observación"&amp;" · ",""))-3)))</f>
        <v/>
      </c>
      <c r="P194" s="69">
        <f>IF(NOT((COUNTA($B194:$K194)+COUNTA($N194))&gt;0),"",IF(AND($S194="Sub",N($R194)&gt;0),IF(ISNUMBER(INDEX($E$5:$E$1000,$R194-4)),DATE(YEAR(INDEX($E$5:$E$1000,$R194-4)),MONTH(INDEX($E$5:$E$1000,$R194-4)),1),IF(ISNUMBER(INDEX($F$5:$F$1000,$R194-4)),DATE(YEAR(INDEX($F$5:$F$1000,$R194-4)),MONTH(INDEX($F$5:$F$1000,$R194-4)),1),MesCiclo)),IF(ISNUMBER($E194),DATE(YEAR($E194),MONTH($E194),1),IF(ISNUMBER($F194),DATE(YEAR($F194),MONTH($F194),1),MesCiclo))))</f>
        <v/>
      </c>
      <c r="Q194" s="70">
        <f>IF(OR($P194="",$P194&lt;&gt;MesCiclo),"",COUNTIF($P$5:$P194,MesCiclo))</f>
        <v/>
      </c>
      <c r="R194" s="70">
        <f>IF($S194="","",IF($S194="Macro",ROW(),IFERROR(LOOKUP(2,1/($S$5:$S194="Macro"),ROW($S$5:$S194)),0)))</f>
        <v/>
      </c>
      <c r="S194" s="70">
        <f>IF(NOT((COUNTA($B194:$K194)+COUNTA($N194))&gt;0),"",IF($B194&lt;&gt;"","Macro",IF($C194&lt;&gt;"","Sub","Macro")))</f>
        <v/>
      </c>
      <c r="T194" s="70">
        <f>IF($S194="Macro",COUNTIFS($R$5:$R$1000,ROW(),$S$5:$S$1000,"Sub"),"")</f>
        <v/>
      </c>
      <c r="U194" s="70">
        <f>IF($S194="","",IF(ISNUMBER($H194),$H194,0))</f>
        <v/>
      </c>
      <c r="V194" s="70">
        <f>IF($S194="","",IF(ISNUMBER($I194),$I194,$U194))</f>
        <v/>
      </c>
      <c r="W194" s="70">
        <f>IF($S194="","",IF(ISNUMBER($J194),$J194,$V194))</f>
        <v/>
      </c>
      <c r="X194" s="70">
        <f>IF($S194="","",IF(ISNUMBER($K194),$K194,$W194))</f>
        <v/>
      </c>
      <c r="Y194" s="70">
        <f>IF($S194="","",IF(N($T194)&gt;0,AVERAGEIFS($U$5:$U$1000,$R$5:$R$1000,ROW(),$S$5:$S$1000,"Sub"),$U194))</f>
        <v/>
      </c>
      <c r="Z194" s="70">
        <f>IF($S194="","",IF(N($T194)&gt;0,AVERAGEIFS($V$5:$V$1000,$R$5:$R$1000,ROW(),$S$5:$S$1000,"Sub"),$V194))</f>
        <v/>
      </c>
      <c r="AA194" s="70">
        <f>IF($S194="","",IF(N($T194)&gt;0,AVERAGEIFS($W$5:$W$1000,$R$5:$R$1000,ROW(),$S$5:$S$1000,"Sub"),$W194))</f>
        <v/>
      </c>
      <c r="AB194" s="70">
        <f>IF($S194="","",IF(N($T194)&gt;0,AVERAGEIFS($X$5:$X$1000,$R$5:$R$1000,ROW(),$S$5:$S$1000,"Sub"),$X194))</f>
        <v/>
      </c>
    </row>
    <row r="195">
      <c r="A195" s="61">
        <f>IF(NOT((COUNTA($B195:$K195)+COUNTA($N195))&gt;0),"",IF($S195="Macro",COUNTIFS($S$5:$S195,"Macro",$P$5:$P195,$P195),IF(N($R195)=0,"?",COUNTIFS(INDEX($S$5:$S$1000,1):INDEX($S$5:$S$1000,$R195-4),"Macro",INDEX($P$5:$P$1000,1):INDEX($P$5:$P$1000,$R195-4),INDEX($P$5:$P$1000,$R195-4))&amp;"."&amp;COUNTIFS($R$5:$R195,$R195,$S$5:$S195,"Sub"))))</f>
        <v/>
      </c>
      <c r="B195" s="62" t="n"/>
      <c r="C195" s="63" t="n"/>
      <c r="D195" s="62" t="n"/>
      <c r="E195" s="64" t="n"/>
      <c r="F195" s="64" t="n"/>
      <c r="G195" s="65" t="n"/>
      <c r="H195" s="66" t="n"/>
      <c r="I195" s="66" t="n"/>
      <c r="J195" s="66" t="n"/>
      <c r="K195" s="66" t="n"/>
      <c r="L195" s="67">
        <f>IF(NOT((COUNTA($B195:$K195)+COUNTA($N195))&gt;0),"",IF(N($T195)&gt;0,$AB195,IFERROR(LOOKUP(2,1/(H195:K195&lt;&gt;""),H195:K195),0)))</f>
        <v/>
      </c>
      <c r="M195" s="61">
        <f>IF(L195="","",IF(L195&gt;=1,"Completado",IF(L195&gt;0,"En curso","Pendiente")))</f>
        <v/>
      </c>
      <c r="N195" s="62" t="n"/>
      <c r="O195" s="68">
        <f>IF(NOT((COUNTA($B195:$K195)+COUNTA($N195))&gt;0),"",IF((IF(AND($S195="Macro",$B195=""),"Macroactividad vacía"&amp;" · ","")&amp;IF(AND($B195&lt;&gt;"",$C195&lt;&gt;""),"Escriba la subactividad en otra fila, debajo de su macroactividad"&amp;" · ","")&amp;IF(AND($S195="Sub",N($R195)=0),"Subactividad sin macroactividad arriba"&amp;" · ","")&amp;IF($D195="","Sin responsable"&amp;" · ","")&amp;IF($E195="","Sin fecha de inicio"&amp;" · ","")&amp;IF($F195="","Sin fecha límite"&amp;" · ","")&amp;IF(OR(AND($E195&lt;&gt;"",NOT(ISNUMBER($E195))),AND($F195&lt;&gt;"",NOT(ISNUMBER($F195)))),"Fecha no válida"&amp;" · ","")&amp;IF(AND(ISNUMBER($E195),ISNUMBER($F195),$E195&gt;$F195),"Inicio posterior a fecha límite"&amp;" · ","")&amp;IF(AND($S195="Macro",$G195=""),"Peso vacío"&amp;" · ","")&amp;IF(AND($S195="Macro",$G195&lt;&gt;"",OR(NOT(ISNUMBER($G195)),$G195&lt;=0,$G195&gt;1)),"Peso fuera de rango"&amp;" · ","")&amp;IF(AND($S195="Sub",$G195&lt;&gt;""),"Las subactividades no llevan peso"&amp;" · ","")&amp;IF(AND($S195="Macro",ABS(SUMIFS($G$5:$G$1000,$P$5:$P$1000,$P195,$S$5:$S$1000,"Macro")-1)&gt;0.0001),"Pesos del mes suman "&amp;TEXT(SUMIFS($G$5:$G$1000,$P$5:$P$1000,$P195,$S$5:$S$1000,"Macro"),"0%")&amp;" · ","")&amp;IF(AND(N($T195)&gt;0,COUNT($H195:$K195)&gt;0),"Con subactividades: deje vacías las semanas (se calculan solas)"&amp;" · ","")&amp;IF((COUNTIF($H195:$K195,"&gt;1")+COUNTIF($H195:$K195,"&lt;0")+COUNTA($H195:$K195)-COUNT($H195:$K195))&gt;0,"Avance fuera de rango 0-100%"&amp;" · ","")&amp;IF(OR(AND($I195&lt;&gt;"",$I195&lt;$H195),AND($J195&lt;&gt;"",$J195&lt;MAX($H195:$I195)),AND($K195&lt;&gt;"",$K195&lt;MAX($H195:$J195))),"Avance semanal decreciente"&amp;" · ","")&amp;IF(AND(ISNUMBER($F195),$F195&lt;FechaRef,N($L195)&lt;1),"Vencida"&amp;" · ","")&amp;IF(AND(ObsObligatoria="Sí",ISNUMBER($F195),$F195&lt;FechaRef,N($L195)&lt;1,$N195=""),"Vencida sin observación"&amp;" · ",""))="","✔ OK","⚠ "&amp;LEFT(IF(AND($S195="Macro",$B195=""),"Macroactividad vacía"&amp;" · ","")&amp;IF(AND($B195&lt;&gt;"",$C195&lt;&gt;""),"Escriba la subactividad en otra fila, debajo de su macroactividad"&amp;" · ","")&amp;IF(AND($S195="Sub",N($R195)=0),"Subactividad sin macroactividad arriba"&amp;" · ","")&amp;IF($D195="","Sin responsable"&amp;" · ","")&amp;IF($E195="","Sin fecha de inicio"&amp;" · ","")&amp;IF($F195="","Sin fecha límite"&amp;" · ","")&amp;IF(OR(AND($E195&lt;&gt;"",NOT(ISNUMBER($E195))),AND($F195&lt;&gt;"",NOT(ISNUMBER($F195)))),"Fecha no válida"&amp;" · ","")&amp;IF(AND(ISNUMBER($E195),ISNUMBER($F195),$E195&gt;$F195),"Inicio posterior a fecha límite"&amp;" · ","")&amp;IF(AND($S195="Macro",$G195=""),"Peso vacío"&amp;" · ","")&amp;IF(AND($S195="Macro",$G195&lt;&gt;"",OR(NOT(ISNUMBER($G195)),$G195&lt;=0,$G195&gt;1)),"Peso fuera de rango"&amp;" · ","")&amp;IF(AND($S195="Sub",$G195&lt;&gt;""),"Las subactividades no llevan peso"&amp;" · ","")&amp;IF(AND($S195="Macro",ABS(SUMIFS($G$5:$G$1000,$P$5:$P$1000,$P195,$S$5:$S$1000,"Macro")-1)&gt;0.0001),"Pesos del mes suman "&amp;TEXT(SUMIFS($G$5:$G$1000,$P$5:$P$1000,$P195,$S$5:$S$1000,"Macro"),"0%")&amp;" · ","")&amp;IF(AND(N($T195)&gt;0,COUNT($H195:$K195)&gt;0),"Con subactividades: deje vacías las semanas (se calculan solas)"&amp;" · ","")&amp;IF((COUNTIF($H195:$K195,"&gt;1")+COUNTIF($H195:$K195,"&lt;0")+COUNTA($H195:$K195)-COUNT($H195:$K195))&gt;0,"Avance fuera de rango 0-100%"&amp;" · ","")&amp;IF(OR(AND($I195&lt;&gt;"",$I195&lt;$H195),AND($J195&lt;&gt;"",$J195&lt;MAX($H195:$I195)),AND($K195&lt;&gt;"",$K195&lt;MAX($H195:$J195))),"Avance semanal decreciente"&amp;" · ","")&amp;IF(AND(ISNUMBER($F195),$F195&lt;FechaRef,N($L195)&lt;1),"Vencida"&amp;" · ","")&amp;IF(AND(ObsObligatoria="Sí",ISNUMBER($F195),$F195&lt;FechaRef,N($L195)&lt;1,$N195=""),"Vencida sin observación"&amp;" · ",""),LEN(IF(AND($S195="Macro",$B195=""),"Macroactividad vacía"&amp;" · ","")&amp;IF(AND($B195&lt;&gt;"",$C195&lt;&gt;""),"Escriba la subactividad en otra fila, debajo de su macroactividad"&amp;" · ","")&amp;IF(AND($S195="Sub",N($R195)=0),"Subactividad sin macroactividad arriba"&amp;" · ","")&amp;IF($D195="","Sin responsable"&amp;" · ","")&amp;IF($E195="","Sin fecha de inicio"&amp;" · ","")&amp;IF($F195="","Sin fecha límite"&amp;" · ","")&amp;IF(OR(AND($E195&lt;&gt;"",NOT(ISNUMBER($E195))),AND($F195&lt;&gt;"",NOT(ISNUMBER($F195)))),"Fecha no válida"&amp;" · ","")&amp;IF(AND(ISNUMBER($E195),ISNUMBER($F195),$E195&gt;$F195),"Inicio posterior a fecha límite"&amp;" · ","")&amp;IF(AND($S195="Macro",$G195=""),"Peso vacío"&amp;" · ","")&amp;IF(AND($S195="Macro",$G195&lt;&gt;"",OR(NOT(ISNUMBER($G195)),$G195&lt;=0,$G195&gt;1)),"Peso fuera de rango"&amp;" · ","")&amp;IF(AND($S195="Sub",$G195&lt;&gt;""),"Las subactividades no llevan peso"&amp;" · ","")&amp;IF(AND($S195="Macro",ABS(SUMIFS($G$5:$G$1000,$P$5:$P$1000,$P195,$S$5:$S$1000,"Macro")-1)&gt;0.0001),"Pesos del mes suman "&amp;TEXT(SUMIFS($G$5:$G$1000,$P$5:$P$1000,$P195,$S$5:$S$1000,"Macro"),"0%")&amp;" · ","")&amp;IF(AND(N($T195)&gt;0,COUNT($H195:$K195)&gt;0),"Con subactividades: deje vacías las semanas (se calculan solas)"&amp;" · ","")&amp;IF((COUNTIF($H195:$K195,"&gt;1")+COUNTIF($H195:$K195,"&lt;0")+COUNTA($H195:$K195)-COUNT($H195:$K195))&gt;0,"Avance fuera de rango 0-100%"&amp;" · ","")&amp;IF(OR(AND($I195&lt;&gt;"",$I195&lt;$H195),AND($J195&lt;&gt;"",$J195&lt;MAX($H195:$I195)),AND($K195&lt;&gt;"",$K195&lt;MAX($H195:$J195))),"Avance semanal decreciente"&amp;" · ","")&amp;IF(AND(ISNUMBER($F195),$F195&lt;FechaRef,N($L195)&lt;1),"Vencida"&amp;" · ","")&amp;IF(AND(ObsObligatoria="Sí",ISNUMBER($F195),$F195&lt;FechaRef,N($L195)&lt;1,$N195=""),"Vencida sin observación"&amp;" · ",""))-3)))</f>
        <v/>
      </c>
      <c r="P195" s="69">
        <f>IF(NOT((COUNTA($B195:$K195)+COUNTA($N195))&gt;0),"",IF(AND($S195="Sub",N($R195)&gt;0),IF(ISNUMBER(INDEX($E$5:$E$1000,$R195-4)),DATE(YEAR(INDEX($E$5:$E$1000,$R195-4)),MONTH(INDEX($E$5:$E$1000,$R195-4)),1),IF(ISNUMBER(INDEX($F$5:$F$1000,$R195-4)),DATE(YEAR(INDEX($F$5:$F$1000,$R195-4)),MONTH(INDEX($F$5:$F$1000,$R195-4)),1),MesCiclo)),IF(ISNUMBER($E195),DATE(YEAR($E195),MONTH($E195),1),IF(ISNUMBER($F195),DATE(YEAR($F195),MONTH($F195),1),MesCiclo))))</f>
        <v/>
      </c>
      <c r="Q195" s="70">
        <f>IF(OR($P195="",$P195&lt;&gt;MesCiclo),"",COUNTIF($P$5:$P195,MesCiclo))</f>
        <v/>
      </c>
      <c r="R195" s="70">
        <f>IF($S195="","",IF($S195="Macro",ROW(),IFERROR(LOOKUP(2,1/($S$5:$S195="Macro"),ROW($S$5:$S195)),0)))</f>
        <v/>
      </c>
      <c r="S195" s="70">
        <f>IF(NOT((COUNTA($B195:$K195)+COUNTA($N195))&gt;0),"",IF($B195&lt;&gt;"","Macro",IF($C195&lt;&gt;"","Sub","Macro")))</f>
        <v/>
      </c>
      <c r="T195" s="70">
        <f>IF($S195="Macro",COUNTIFS($R$5:$R$1000,ROW(),$S$5:$S$1000,"Sub"),"")</f>
        <v/>
      </c>
      <c r="U195" s="70">
        <f>IF($S195="","",IF(ISNUMBER($H195),$H195,0))</f>
        <v/>
      </c>
      <c r="V195" s="70">
        <f>IF($S195="","",IF(ISNUMBER($I195),$I195,$U195))</f>
        <v/>
      </c>
      <c r="W195" s="70">
        <f>IF($S195="","",IF(ISNUMBER($J195),$J195,$V195))</f>
        <v/>
      </c>
      <c r="X195" s="70">
        <f>IF($S195="","",IF(ISNUMBER($K195),$K195,$W195))</f>
        <v/>
      </c>
      <c r="Y195" s="70">
        <f>IF($S195="","",IF(N($T195)&gt;0,AVERAGEIFS($U$5:$U$1000,$R$5:$R$1000,ROW(),$S$5:$S$1000,"Sub"),$U195))</f>
        <v/>
      </c>
      <c r="Z195" s="70">
        <f>IF($S195="","",IF(N($T195)&gt;0,AVERAGEIFS($V$5:$V$1000,$R$5:$R$1000,ROW(),$S$5:$S$1000,"Sub"),$V195))</f>
        <v/>
      </c>
      <c r="AA195" s="70">
        <f>IF($S195="","",IF(N($T195)&gt;0,AVERAGEIFS($W$5:$W$1000,$R$5:$R$1000,ROW(),$S$5:$S$1000,"Sub"),$W195))</f>
        <v/>
      </c>
      <c r="AB195" s="70">
        <f>IF($S195="","",IF(N($T195)&gt;0,AVERAGEIFS($X$5:$X$1000,$R$5:$R$1000,ROW(),$S$5:$S$1000,"Sub"),$X195))</f>
        <v/>
      </c>
    </row>
    <row r="196">
      <c r="A196" s="61">
        <f>IF(NOT((COUNTA($B196:$K196)+COUNTA($N196))&gt;0),"",IF($S196="Macro",COUNTIFS($S$5:$S196,"Macro",$P$5:$P196,$P196),IF(N($R196)=0,"?",COUNTIFS(INDEX($S$5:$S$1000,1):INDEX($S$5:$S$1000,$R196-4),"Macro",INDEX($P$5:$P$1000,1):INDEX($P$5:$P$1000,$R196-4),INDEX($P$5:$P$1000,$R196-4))&amp;"."&amp;COUNTIFS($R$5:$R196,$R196,$S$5:$S196,"Sub"))))</f>
        <v/>
      </c>
      <c r="B196" s="62" t="n"/>
      <c r="C196" s="63" t="n"/>
      <c r="D196" s="62" t="n"/>
      <c r="E196" s="64" t="n"/>
      <c r="F196" s="64" t="n"/>
      <c r="G196" s="65" t="n"/>
      <c r="H196" s="66" t="n"/>
      <c r="I196" s="66" t="n"/>
      <c r="J196" s="66" t="n"/>
      <c r="K196" s="66" t="n"/>
      <c r="L196" s="67">
        <f>IF(NOT((COUNTA($B196:$K196)+COUNTA($N196))&gt;0),"",IF(N($T196)&gt;0,$AB196,IFERROR(LOOKUP(2,1/(H196:K196&lt;&gt;""),H196:K196),0)))</f>
        <v/>
      </c>
      <c r="M196" s="61">
        <f>IF(L196="","",IF(L196&gt;=1,"Completado",IF(L196&gt;0,"En curso","Pendiente")))</f>
        <v/>
      </c>
      <c r="N196" s="62" t="n"/>
      <c r="O196" s="68">
        <f>IF(NOT((COUNTA($B196:$K196)+COUNTA($N196))&gt;0),"",IF((IF(AND($S196="Macro",$B196=""),"Macroactividad vacía"&amp;" · ","")&amp;IF(AND($B196&lt;&gt;"",$C196&lt;&gt;""),"Escriba la subactividad en otra fila, debajo de su macroactividad"&amp;" · ","")&amp;IF(AND($S196="Sub",N($R196)=0),"Subactividad sin macroactividad arriba"&amp;" · ","")&amp;IF($D196="","Sin responsable"&amp;" · ","")&amp;IF($E196="","Sin fecha de inicio"&amp;" · ","")&amp;IF($F196="","Sin fecha límite"&amp;" · ","")&amp;IF(OR(AND($E196&lt;&gt;"",NOT(ISNUMBER($E196))),AND($F196&lt;&gt;"",NOT(ISNUMBER($F196)))),"Fecha no válida"&amp;" · ","")&amp;IF(AND(ISNUMBER($E196),ISNUMBER($F196),$E196&gt;$F196),"Inicio posterior a fecha límite"&amp;" · ","")&amp;IF(AND($S196="Macro",$G196=""),"Peso vacío"&amp;" · ","")&amp;IF(AND($S196="Macro",$G196&lt;&gt;"",OR(NOT(ISNUMBER($G196)),$G196&lt;=0,$G196&gt;1)),"Peso fuera de rango"&amp;" · ","")&amp;IF(AND($S196="Sub",$G196&lt;&gt;""),"Las subactividades no llevan peso"&amp;" · ","")&amp;IF(AND($S196="Macro",ABS(SUMIFS($G$5:$G$1000,$P$5:$P$1000,$P196,$S$5:$S$1000,"Macro")-1)&gt;0.0001),"Pesos del mes suman "&amp;TEXT(SUMIFS($G$5:$G$1000,$P$5:$P$1000,$P196,$S$5:$S$1000,"Macro"),"0%")&amp;" · ","")&amp;IF(AND(N($T196)&gt;0,COUNT($H196:$K196)&gt;0),"Con subactividades: deje vacías las semanas (se calculan solas)"&amp;" · ","")&amp;IF((COUNTIF($H196:$K196,"&gt;1")+COUNTIF($H196:$K196,"&lt;0")+COUNTA($H196:$K196)-COUNT($H196:$K196))&gt;0,"Avance fuera de rango 0-100%"&amp;" · ","")&amp;IF(OR(AND($I196&lt;&gt;"",$I196&lt;$H196),AND($J196&lt;&gt;"",$J196&lt;MAX($H196:$I196)),AND($K196&lt;&gt;"",$K196&lt;MAX($H196:$J196))),"Avance semanal decreciente"&amp;" · ","")&amp;IF(AND(ISNUMBER($F196),$F196&lt;FechaRef,N($L196)&lt;1),"Vencida"&amp;" · ","")&amp;IF(AND(ObsObligatoria="Sí",ISNUMBER($F196),$F196&lt;FechaRef,N($L196)&lt;1,$N196=""),"Vencida sin observación"&amp;" · ",""))="","✔ OK","⚠ "&amp;LEFT(IF(AND($S196="Macro",$B196=""),"Macroactividad vacía"&amp;" · ","")&amp;IF(AND($B196&lt;&gt;"",$C196&lt;&gt;""),"Escriba la subactividad en otra fila, debajo de su macroactividad"&amp;" · ","")&amp;IF(AND($S196="Sub",N($R196)=0),"Subactividad sin macroactividad arriba"&amp;" · ","")&amp;IF($D196="","Sin responsable"&amp;" · ","")&amp;IF($E196="","Sin fecha de inicio"&amp;" · ","")&amp;IF($F196="","Sin fecha límite"&amp;" · ","")&amp;IF(OR(AND($E196&lt;&gt;"",NOT(ISNUMBER($E196))),AND($F196&lt;&gt;"",NOT(ISNUMBER($F196)))),"Fecha no válida"&amp;" · ","")&amp;IF(AND(ISNUMBER($E196),ISNUMBER($F196),$E196&gt;$F196),"Inicio posterior a fecha límite"&amp;" · ","")&amp;IF(AND($S196="Macro",$G196=""),"Peso vacío"&amp;" · ","")&amp;IF(AND($S196="Macro",$G196&lt;&gt;"",OR(NOT(ISNUMBER($G196)),$G196&lt;=0,$G196&gt;1)),"Peso fuera de rango"&amp;" · ","")&amp;IF(AND($S196="Sub",$G196&lt;&gt;""),"Las subactividades no llevan peso"&amp;" · ","")&amp;IF(AND($S196="Macro",ABS(SUMIFS($G$5:$G$1000,$P$5:$P$1000,$P196,$S$5:$S$1000,"Macro")-1)&gt;0.0001),"Pesos del mes suman "&amp;TEXT(SUMIFS($G$5:$G$1000,$P$5:$P$1000,$P196,$S$5:$S$1000,"Macro"),"0%")&amp;" · ","")&amp;IF(AND(N($T196)&gt;0,COUNT($H196:$K196)&gt;0),"Con subactividades: deje vacías las semanas (se calculan solas)"&amp;" · ","")&amp;IF((COUNTIF($H196:$K196,"&gt;1")+COUNTIF($H196:$K196,"&lt;0")+COUNTA($H196:$K196)-COUNT($H196:$K196))&gt;0,"Avance fuera de rango 0-100%"&amp;" · ","")&amp;IF(OR(AND($I196&lt;&gt;"",$I196&lt;$H196),AND($J196&lt;&gt;"",$J196&lt;MAX($H196:$I196)),AND($K196&lt;&gt;"",$K196&lt;MAX($H196:$J196))),"Avance semanal decreciente"&amp;" · ","")&amp;IF(AND(ISNUMBER($F196),$F196&lt;FechaRef,N($L196)&lt;1),"Vencida"&amp;" · ","")&amp;IF(AND(ObsObligatoria="Sí",ISNUMBER($F196),$F196&lt;FechaRef,N($L196)&lt;1,$N196=""),"Vencida sin observación"&amp;" · ",""),LEN(IF(AND($S196="Macro",$B196=""),"Macroactividad vacía"&amp;" · ","")&amp;IF(AND($B196&lt;&gt;"",$C196&lt;&gt;""),"Escriba la subactividad en otra fila, debajo de su macroactividad"&amp;" · ","")&amp;IF(AND($S196="Sub",N($R196)=0),"Subactividad sin macroactividad arriba"&amp;" · ","")&amp;IF($D196="","Sin responsable"&amp;" · ","")&amp;IF($E196="","Sin fecha de inicio"&amp;" · ","")&amp;IF($F196="","Sin fecha límite"&amp;" · ","")&amp;IF(OR(AND($E196&lt;&gt;"",NOT(ISNUMBER($E196))),AND($F196&lt;&gt;"",NOT(ISNUMBER($F196)))),"Fecha no válida"&amp;" · ","")&amp;IF(AND(ISNUMBER($E196),ISNUMBER($F196),$E196&gt;$F196),"Inicio posterior a fecha límite"&amp;" · ","")&amp;IF(AND($S196="Macro",$G196=""),"Peso vacío"&amp;" · ","")&amp;IF(AND($S196="Macro",$G196&lt;&gt;"",OR(NOT(ISNUMBER($G196)),$G196&lt;=0,$G196&gt;1)),"Peso fuera de rango"&amp;" · ","")&amp;IF(AND($S196="Sub",$G196&lt;&gt;""),"Las subactividades no llevan peso"&amp;" · ","")&amp;IF(AND($S196="Macro",ABS(SUMIFS($G$5:$G$1000,$P$5:$P$1000,$P196,$S$5:$S$1000,"Macro")-1)&gt;0.0001),"Pesos del mes suman "&amp;TEXT(SUMIFS($G$5:$G$1000,$P$5:$P$1000,$P196,$S$5:$S$1000,"Macro"),"0%")&amp;" · ","")&amp;IF(AND(N($T196)&gt;0,COUNT($H196:$K196)&gt;0),"Con subactividades: deje vacías las semanas (se calculan solas)"&amp;" · ","")&amp;IF((COUNTIF($H196:$K196,"&gt;1")+COUNTIF($H196:$K196,"&lt;0")+COUNTA($H196:$K196)-COUNT($H196:$K196))&gt;0,"Avance fuera de rango 0-100%"&amp;" · ","")&amp;IF(OR(AND($I196&lt;&gt;"",$I196&lt;$H196),AND($J196&lt;&gt;"",$J196&lt;MAX($H196:$I196)),AND($K196&lt;&gt;"",$K196&lt;MAX($H196:$J196))),"Avance semanal decreciente"&amp;" · ","")&amp;IF(AND(ISNUMBER($F196),$F196&lt;FechaRef,N($L196)&lt;1),"Vencida"&amp;" · ","")&amp;IF(AND(ObsObligatoria="Sí",ISNUMBER($F196),$F196&lt;FechaRef,N($L196)&lt;1,$N196=""),"Vencida sin observación"&amp;" · ",""))-3)))</f>
        <v/>
      </c>
      <c r="P196" s="69">
        <f>IF(NOT((COUNTA($B196:$K196)+COUNTA($N196))&gt;0),"",IF(AND($S196="Sub",N($R196)&gt;0),IF(ISNUMBER(INDEX($E$5:$E$1000,$R196-4)),DATE(YEAR(INDEX($E$5:$E$1000,$R196-4)),MONTH(INDEX($E$5:$E$1000,$R196-4)),1),IF(ISNUMBER(INDEX($F$5:$F$1000,$R196-4)),DATE(YEAR(INDEX($F$5:$F$1000,$R196-4)),MONTH(INDEX($F$5:$F$1000,$R196-4)),1),MesCiclo)),IF(ISNUMBER($E196),DATE(YEAR($E196),MONTH($E196),1),IF(ISNUMBER($F196),DATE(YEAR($F196),MONTH($F196),1),MesCiclo))))</f>
        <v/>
      </c>
      <c r="Q196" s="70">
        <f>IF(OR($P196="",$P196&lt;&gt;MesCiclo),"",COUNTIF($P$5:$P196,MesCiclo))</f>
        <v/>
      </c>
      <c r="R196" s="70">
        <f>IF($S196="","",IF($S196="Macro",ROW(),IFERROR(LOOKUP(2,1/($S$5:$S196="Macro"),ROW($S$5:$S196)),0)))</f>
        <v/>
      </c>
      <c r="S196" s="70">
        <f>IF(NOT((COUNTA($B196:$K196)+COUNTA($N196))&gt;0),"",IF($B196&lt;&gt;"","Macro",IF($C196&lt;&gt;"","Sub","Macro")))</f>
        <v/>
      </c>
      <c r="T196" s="70">
        <f>IF($S196="Macro",COUNTIFS($R$5:$R$1000,ROW(),$S$5:$S$1000,"Sub"),"")</f>
        <v/>
      </c>
      <c r="U196" s="70">
        <f>IF($S196="","",IF(ISNUMBER($H196),$H196,0))</f>
        <v/>
      </c>
      <c r="V196" s="70">
        <f>IF($S196="","",IF(ISNUMBER($I196),$I196,$U196))</f>
        <v/>
      </c>
      <c r="W196" s="70">
        <f>IF($S196="","",IF(ISNUMBER($J196),$J196,$V196))</f>
        <v/>
      </c>
      <c r="X196" s="70">
        <f>IF($S196="","",IF(ISNUMBER($K196),$K196,$W196))</f>
        <v/>
      </c>
      <c r="Y196" s="70">
        <f>IF($S196="","",IF(N($T196)&gt;0,AVERAGEIFS($U$5:$U$1000,$R$5:$R$1000,ROW(),$S$5:$S$1000,"Sub"),$U196))</f>
        <v/>
      </c>
      <c r="Z196" s="70">
        <f>IF($S196="","",IF(N($T196)&gt;0,AVERAGEIFS($V$5:$V$1000,$R$5:$R$1000,ROW(),$S$5:$S$1000,"Sub"),$V196))</f>
        <v/>
      </c>
      <c r="AA196" s="70">
        <f>IF($S196="","",IF(N($T196)&gt;0,AVERAGEIFS($W$5:$W$1000,$R$5:$R$1000,ROW(),$S$5:$S$1000,"Sub"),$W196))</f>
        <v/>
      </c>
      <c r="AB196" s="70">
        <f>IF($S196="","",IF(N($T196)&gt;0,AVERAGEIFS($X$5:$X$1000,$R$5:$R$1000,ROW(),$S$5:$S$1000,"Sub"),$X196))</f>
        <v/>
      </c>
    </row>
    <row r="197">
      <c r="A197" s="61">
        <f>IF(NOT((COUNTA($B197:$K197)+COUNTA($N197))&gt;0),"",IF($S197="Macro",COUNTIFS($S$5:$S197,"Macro",$P$5:$P197,$P197),IF(N($R197)=0,"?",COUNTIFS(INDEX($S$5:$S$1000,1):INDEX($S$5:$S$1000,$R197-4),"Macro",INDEX($P$5:$P$1000,1):INDEX($P$5:$P$1000,$R197-4),INDEX($P$5:$P$1000,$R197-4))&amp;"."&amp;COUNTIFS($R$5:$R197,$R197,$S$5:$S197,"Sub"))))</f>
        <v/>
      </c>
      <c r="B197" s="62" t="n"/>
      <c r="C197" s="63" t="n"/>
      <c r="D197" s="62" t="n"/>
      <c r="E197" s="64" t="n"/>
      <c r="F197" s="64" t="n"/>
      <c r="G197" s="65" t="n"/>
      <c r="H197" s="66" t="n"/>
      <c r="I197" s="66" t="n"/>
      <c r="J197" s="66" t="n"/>
      <c r="K197" s="66" t="n"/>
      <c r="L197" s="67">
        <f>IF(NOT((COUNTA($B197:$K197)+COUNTA($N197))&gt;0),"",IF(N($T197)&gt;0,$AB197,IFERROR(LOOKUP(2,1/(H197:K197&lt;&gt;""),H197:K197),0)))</f>
        <v/>
      </c>
      <c r="M197" s="61">
        <f>IF(L197="","",IF(L197&gt;=1,"Completado",IF(L197&gt;0,"En curso","Pendiente")))</f>
        <v/>
      </c>
      <c r="N197" s="62" t="n"/>
      <c r="O197" s="68">
        <f>IF(NOT((COUNTA($B197:$K197)+COUNTA($N197))&gt;0),"",IF((IF(AND($S197="Macro",$B197=""),"Macroactividad vacía"&amp;" · ","")&amp;IF(AND($B197&lt;&gt;"",$C197&lt;&gt;""),"Escriba la subactividad en otra fila, debajo de su macroactividad"&amp;" · ","")&amp;IF(AND($S197="Sub",N($R197)=0),"Subactividad sin macroactividad arriba"&amp;" · ","")&amp;IF($D197="","Sin responsable"&amp;" · ","")&amp;IF($E197="","Sin fecha de inicio"&amp;" · ","")&amp;IF($F197="","Sin fecha límite"&amp;" · ","")&amp;IF(OR(AND($E197&lt;&gt;"",NOT(ISNUMBER($E197))),AND($F197&lt;&gt;"",NOT(ISNUMBER($F197)))),"Fecha no válida"&amp;" · ","")&amp;IF(AND(ISNUMBER($E197),ISNUMBER($F197),$E197&gt;$F197),"Inicio posterior a fecha límite"&amp;" · ","")&amp;IF(AND($S197="Macro",$G197=""),"Peso vacío"&amp;" · ","")&amp;IF(AND($S197="Macro",$G197&lt;&gt;"",OR(NOT(ISNUMBER($G197)),$G197&lt;=0,$G197&gt;1)),"Peso fuera de rango"&amp;" · ","")&amp;IF(AND($S197="Sub",$G197&lt;&gt;""),"Las subactividades no llevan peso"&amp;" · ","")&amp;IF(AND($S197="Macro",ABS(SUMIFS($G$5:$G$1000,$P$5:$P$1000,$P197,$S$5:$S$1000,"Macro")-1)&gt;0.0001),"Pesos del mes suman "&amp;TEXT(SUMIFS($G$5:$G$1000,$P$5:$P$1000,$P197,$S$5:$S$1000,"Macro"),"0%")&amp;" · ","")&amp;IF(AND(N($T197)&gt;0,COUNT($H197:$K197)&gt;0),"Con subactividades: deje vacías las semanas (se calculan solas)"&amp;" · ","")&amp;IF((COUNTIF($H197:$K197,"&gt;1")+COUNTIF($H197:$K197,"&lt;0")+COUNTA($H197:$K197)-COUNT($H197:$K197))&gt;0,"Avance fuera de rango 0-100%"&amp;" · ","")&amp;IF(OR(AND($I197&lt;&gt;"",$I197&lt;$H197),AND($J197&lt;&gt;"",$J197&lt;MAX($H197:$I197)),AND($K197&lt;&gt;"",$K197&lt;MAX($H197:$J197))),"Avance semanal decreciente"&amp;" · ","")&amp;IF(AND(ISNUMBER($F197),$F197&lt;FechaRef,N($L197)&lt;1),"Vencida"&amp;" · ","")&amp;IF(AND(ObsObligatoria="Sí",ISNUMBER($F197),$F197&lt;FechaRef,N($L197)&lt;1,$N197=""),"Vencida sin observación"&amp;" · ",""))="","✔ OK","⚠ "&amp;LEFT(IF(AND($S197="Macro",$B197=""),"Macroactividad vacía"&amp;" · ","")&amp;IF(AND($B197&lt;&gt;"",$C197&lt;&gt;""),"Escriba la subactividad en otra fila, debajo de su macroactividad"&amp;" · ","")&amp;IF(AND($S197="Sub",N($R197)=0),"Subactividad sin macroactividad arriba"&amp;" · ","")&amp;IF($D197="","Sin responsable"&amp;" · ","")&amp;IF($E197="","Sin fecha de inicio"&amp;" · ","")&amp;IF($F197="","Sin fecha límite"&amp;" · ","")&amp;IF(OR(AND($E197&lt;&gt;"",NOT(ISNUMBER($E197))),AND($F197&lt;&gt;"",NOT(ISNUMBER($F197)))),"Fecha no válida"&amp;" · ","")&amp;IF(AND(ISNUMBER($E197),ISNUMBER($F197),$E197&gt;$F197),"Inicio posterior a fecha límite"&amp;" · ","")&amp;IF(AND($S197="Macro",$G197=""),"Peso vacío"&amp;" · ","")&amp;IF(AND($S197="Macro",$G197&lt;&gt;"",OR(NOT(ISNUMBER($G197)),$G197&lt;=0,$G197&gt;1)),"Peso fuera de rango"&amp;" · ","")&amp;IF(AND($S197="Sub",$G197&lt;&gt;""),"Las subactividades no llevan peso"&amp;" · ","")&amp;IF(AND($S197="Macro",ABS(SUMIFS($G$5:$G$1000,$P$5:$P$1000,$P197,$S$5:$S$1000,"Macro")-1)&gt;0.0001),"Pesos del mes suman "&amp;TEXT(SUMIFS($G$5:$G$1000,$P$5:$P$1000,$P197,$S$5:$S$1000,"Macro"),"0%")&amp;" · ","")&amp;IF(AND(N($T197)&gt;0,COUNT($H197:$K197)&gt;0),"Con subactividades: deje vacías las semanas (se calculan solas)"&amp;" · ","")&amp;IF((COUNTIF($H197:$K197,"&gt;1")+COUNTIF($H197:$K197,"&lt;0")+COUNTA($H197:$K197)-COUNT($H197:$K197))&gt;0,"Avance fuera de rango 0-100%"&amp;" · ","")&amp;IF(OR(AND($I197&lt;&gt;"",$I197&lt;$H197),AND($J197&lt;&gt;"",$J197&lt;MAX($H197:$I197)),AND($K197&lt;&gt;"",$K197&lt;MAX($H197:$J197))),"Avance semanal decreciente"&amp;" · ","")&amp;IF(AND(ISNUMBER($F197),$F197&lt;FechaRef,N($L197)&lt;1),"Vencida"&amp;" · ","")&amp;IF(AND(ObsObligatoria="Sí",ISNUMBER($F197),$F197&lt;FechaRef,N($L197)&lt;1,$N197=""),"Vencida sin observación"&amp;" · ",""),LEN(IF(AND($S197="Macro",$B197=""),"Macroactividad vacía"&amp;" · ","")&amp;IF(AND($B197&lt;&gt;"",$C197&lt;&gt;""),"Escriba la subactividad en otra fila, debajo de su macroactividad"&amp;" · ","")&amp;IF(AND($S197="Sub",N($R197)=0),"Subactividad sin macroactividad arriba"&amp;" · ","")&amp;IF($D197="","Sin responsable"&amp;" · ","")&amp;IF($E197="","Sin fecha de inicio"&amp;" · ","")&amp;IF($F197="","Sin fecha límite"&amp;" · ","")&amp;IF(OR(AND($E197&lt;&gt;"",NOT(ISNUMBER($E197))),AND($F197&lt;&gt;"",NOT(ISNUMBER($F197)))),"Fecha no válida"&amp;" · ","")&amp;IF(AND(ISNUMBER($E197),ISNUMBER($F197),$E197&gt;$F197),"Inicio posterior a fecha límite"&amp;" · ","")&amp;IF(AND($S197="Macro",$G197=""),"Peso vacío"&amp;" · ","")&amp;IF(AND($S197="Macro",$G197&lt;&gt;"",OR(NOT(ISNUMBER($G197)),$G197&lt;=0,$G197&gt;1)),"Peso fuera de rango"&amp;" · ","")&amp;IF(AND($S197="Sub",$G197&lt;&gt;""),"Las subactividades no llevan peso"&amp;" · ","")&amp;IF(AND($S197="Macro",ABS(SUMIFS($G$5:$G$1000,$P$5:$P$1000,$P197,$S$5:$S$1000,"Macro")-1)&gt;0.0001),"Pesos del mes suman "&amp;TEXT(SUMIFS($G$5:$G$1000,$P$5:$P$1000,$P197,$S$5:$S$1000,"Macro"),"0%")&amp;" · ","")&amp;IF(AND(N($T197)&gt;0,COUNT($H197:$K197)&gt;0),"Con subactividades: deje vacías las semanas (se calculan solas)"&amp;" · ","")&amp;IF((COUNTIF($H197:$K197,"&gt;1")+COUNTIF($H197:$K197,"&lt;0")+COUNTA($H197:$K197)-COUNT($H197:$K197))&gt;0,"Avance fuera de rango 0-100%"&amp;" · ","")&amp;IF(OR(AND($I197&lt;&gt;"",$I197&lt;$H197),AND($J197&lt;&gt;"",$J197&lt;MAX($H197:$I197)),AND($K197&lt;&gt;"",$K197&lt;MAX($H197:$J197))),"Avance semanal decreciente"&amp;" · ","")&amp;IF(AND(ISNUMBER($F197),$F197&lt;FechaRef,N($L197)&lt;1),"Vencida"&amp;" · ","")&amp;IF(AND(ObsObligatoria="Sí",ISNUMBER($F197),$F197&lt;FechaRef,N($L197)&lt;1,$N197=""),"Vencida sin observación"&amp;" · ",""))-3)))</f>
        <v/>
      </c>
      <c r="P197" s="69">
        <f>IF(NOT((COUNTA($B197:$K197)+COUNTA($N197))&gt;0),"",IF(AND($S197="Sub",N($R197)&gt;0),IF(ISNUMBER(INDEX($E$5:$E$1000,$R197-4)),DATE(YEAR(INDEX($E$5:$E$1000,$R197-4)),MONTH(INDEX($E$5:$E$1000,$R197-4)),1),IF(ISNUMBER(INDEX($F$5:$F$1000,$R197-4)),DATE(YEAR(INDEX($F$5:$F$1000,$R197-4)),MONTH(INDEX($F$5:$F$1000,$R197-4)),1),MesCiclo)),IF(ISNUMBER($E197),DATE(YEAR($E197),MONTH($E197),1),IF(ISNUMBER($F197),DATE(YEAR($F197),MONTH($F197),1),MesCiclo))))</f>
        <v/>
      </c>
      <c r="Q197" s="70">
        <f>IF(OR($P197="",$P197&lt;&gt;MesCiclo),"",COUNTIF($P$5:$P197,MesCiclo))</f>
        <v/>
      </c>
      <c r="R197" s="70">
        <f>IF($S197="","",IF($S197="Macro",ROW(),IFERROR(LOOKUP(2,1/($S$5:$S197="Macro"),ROW($S$5:$S197)),0)))</f>
        <v/>
      </c>
      <c r="S197" s="70">
        <f>IF(NOT((COUNTA($B197:$K197)+COUNTA($N197))&gt;0),"",IF($B197&lt;&gt;"","Macro",IF($C197&lt;&gt;"","Sub","Macro")))</f>
        <v/>
      </c>
      <c r="T197" s="70">
        <f>IF($S197="Macro",COUNTIFS($R$5:$R$1000,ROW(),$S$5:$S$1000,"Sub"),"")</f>
        <v/>
      </c>
      <c r="U197" s="70">
        <f>IF($S197="","",IF(ISNUMBER($H197),$H197,0))</f>
        <v/>
      </c>
      <c r="V197" s="70">
        <f>IF($S197="","",IF(ISNUMBER($I197),$I197,$U197))</f>
        <v/>
      </c>
      <c r="W197" s="70">
        <f>IF($S197="","",IF(ISNUMBER($J197),$J197,$V197))</f>
        <v/>
      </c>
      <c r="X197" s="70">
        <f>IF($S197="","",IF(ISNUMBER($K197),$K197,$W197))</f>
        <v/>
      </c>
      <c r="Y197" s="70">
        <f>IF($S197="","",IF(N($T197)&gt;0,AVERAGEIFS($U$5:$U$1000,$R$5:$R$1000,ROW(),$S$5:$S$1000,"Sub"),$U197))</f>
        <v/>
      </c>
      <c r="Z197" s="70">
        <f>IF($S197="","",IF(N($T197)&gt;0,AVERAGEIFS($V$5:$V$1000,$R$5:$R$1000,ROW(),$S$5:$S$1000,"Sub"),$V197))</f>
        <v/>
      </c>
      <c r="AA197" s="70">
        <f>IF($S197="","",IF(N($T197)&gt;0,AVERAGEIFS($W$5:$W$1000,$R$5:$R$1000,ROW(),$S$5:$S$1000,"Sub"),$W197))</f>
        <v/>
      </c>
      <c r="AB197" s="70">
        <f>IF($S197="","",IF(N($T197)&gt;0,AVERAGEIFS($X$5:$X$1000,$R$5:$R$1000,ROW(),$S$5:$S$1000,"Sub"),$X197))</f>
        <v/>
      </c>
    </row>
    <row r="198">
      <c r="A198" s="61">
        <f>IF(NOT((COUNTA($B198:$K198)+COUNTA($N198))&gt;0),"",IF($S198="Macro",COUNTIFS($S$5:$S198,"Macro",$P$5:$P198,$P198),IF(N($R198)=0,"?",COUNTIFS(INDEX($S$5:$S$1000,1):INDEX($S$5:$S$1000,$R198-4),"Macro",INDEX($P$5:$P$1000,1):INDEX($P$5:$P$1000,$R198-4),INDEX($P$5:$P$1000,$R198-4))&amp;"."&amp;COUNTIFS($R$5:$R198,$R198,$S$5:$S198,"Sub"))))</f>
        <v/>
      </c>
      <c r="B198" s="62" t="n"/>
      <c r="C198" s="63" t="n"/>
      <c r="D198" s="62" t="n"/>
      <c r="E198" s="64" t="n"/>
      <c r="F198" s="64" t="n"/>
      <c r="G198" s="65" t="n"/>
      <c r="H198" s="66" t="n"/>
      <c r="I198" s="66" t="n"/>
      <c r="J198" s="66" t="n"/>
      <c r="K198" s="66" t="n"/>
      <c r="L198" s="67">
        <f>IF(NOT((COUNTA($B198:$K198)+COUNTA($N198))&gt;0),"",IF(N($T198)&gt;0,$AB198,IFERROR(LOOKUP(2,1/(H198:K198&lt;&gt;""),H198:K198),0)))</f>
        <v/>
      </c>
      <c r="M198" s="61">
        <f>IF(L198="","",IF(L198&gt;=1,"Completado",IF(L198&gt;0,"En curso","Pendiente")))</f>
        <v/>
      </c>
      <c r="N198" s="62" t="n"/>
      <c r="O198" s="68">
        <f>IF(NOT((COUNTA($B198:$K198)+COUNTA($N198))&gt;0),"",IF((IF(AND($S198="Macro",$B198=""),"Macroactividad vacía"&amp;" · ","")&amp;IF(AND($B198&lt;&gt;"",$C198&lt;&gt;""),"Escriba la subactividad en otra fila, debajo de su macroactividad"&amp;" · ","")&amp;IF(AND($S198="Sub",N($R198)=0),"Subactividad sin macroactividad arriba"&amp;" · ","")&amp;IF($D198="","Sin responsable"&amp;" · ","")&amp;IF($E198="","Sin fecha de inicio"&amp;" · ","")&amp;IF($F198="","Sin fecha límite"&amp;" · ","")&amp;IF(OR(AND($E198&lt;&gt;"",NOT(ISNUMBER($E198))),AND($F198&lt;&gt;"",NOT(ISNUMBER($F198)))),"Fecha no válida"&amp;" · ","")&amp;IF(AND(ISNUMBER($E198),ISNUMBER($F198),$E198&gt;$F198),"Inicio posterior a fecha límite"&amp;" · ","")&amp;IF(AND($S198="Macro",$G198=""),"Peso vacío"&amp;" · ","")&amp;IF(AND($S198="Macro",$G198&lt;&gt;"",OR(NOT(ISNUMBER($G198)),$G198&lt;=0,$G198&gt;1)),"Peso fuera de rango"&amp;" · ","")&amp;IF(AND($S198="Sub",$G198&lt;&gt;""),"Las subactividades no llevan peso"&amp;" · ","")&amp;IF(AND($S198="Macro",ABS(SUMIFS($G$5:$G$1000,$P$5:$P$1000,$P198,$S$5:$S$1000,"Macro")-1)&gt;0.0001),"Pesos del mes suman "&amp;TEXT(SUMIFS($G$5:$G$1000,$P$5:$P$1000,$P198,$S$5:$S$1000,"Macro"),"0%")&amp;" · ","")&amp;IF(AND(N($T198)&gt;0,COUNT($H198:$K198)&gt;0),"Con subactividades: deje vacías las semanas (se calculan solas)"&amp;" · ","")&amp;IF((COUNTIF($H198:$K198,"&gt;1")+COUNTIF($H198:$K198,"&lt;0")+COUNTA($H198:$K198)-COUNT($H198:$K198))&gt;0,"Avance fuera de rango 0-100%"&amp;" · ","")&amp;IF(OR(AND($I198&lt;&gt;"",$I198&lt;$H198),AND($J198&lt;&gt;"",$J198&lt;MAX($H198:$I198)),AND($K198&lt;&gt;"",$K198&lt;MAX($H198:$J198))),"Avance semanal decreciente"&amp;" · ","")&amp;IF(AND(ISNUMBER($F198),$F198&lt;FechaRef,N($L198)&lt;1),"Vencida"&amp;" · ","")&amp;IF(AND(ObsObligatoria="Sí",ISNUMBER($F198),$F198&lt;FechaRef,N($L198)&lt;1,$N198=""),"Vencida sin observación"&amp;" · ",""))="","✔ OK","⚠ "&amp;LEFT(IF(AND($S198="Macro",$B198=""),"Macroactividad vacía"&amp;" · ","")&amp;IF(AND($B198&lt;&gt;"",$C198&lt;&gt;""),"Escriba la subactividad en otra fila, debajo de su macroactividad"&amp;" · ","")&amp;IF(AND($S198="Sub",N($R198)=0),"Subactividad sin macroactividad arriba"&amp;" · ","")&amp;IF($D198="","Sin responsable"&amp;" · ","")&amp;IF($E198="","Sin fecha de inicio"&amp;" · ","")&amp;IF($F198="","Sin fecha límite"&amp;" · ","")&amp;IF(OR(AND($E198&lt;&gt;"",NOT(ISNUMBER($E198))),AND($F198&lt;&gt;"",NOT(ISNUMBER($F198)))),"Fecha no válida"&amp;" · ","")&amp;IF(AND(ISNUMBER($E198),ISNUMBER($F198),$E198&gt;$F198),"Inicio posterior a fecha límite"&amp;" · ","")&amp;IF(AND($S198="Macro",$G198=""),"Peso vacío"&amp;" · ","")&amp;IF(AND($S198="Macro",$G198&lt;&gt;"",OR(NOT(ISNUMBER($G198)),$G198&lt;=0,$G198&gt;1)),"Peso fuera de rango"&amp;" · ","")&amp;IF(AND($S198="Sub",$G198&lt;&gt;""),"Las subactividades no llevan peso"&amp;" · ","")&amp;IF(AND($S198="Macro",ABS(SUMIFS($G$5:$G$1000,$P$5:$P$1000,$P198,$S$5:$S$1000,"Macro")-1)&gt;0.0001),"Pesos del mes suman "&amp;TEXT(SUMIFS($G$5:$G$1000,$P$5:$P$1000,$P198,$S$5:$S$1000,"Macro"),"0%")&amp;" · ","")&amp;IF(AND(N($T198)&gt;0,COUNT($H198:$K198)&gt;0),"Con subactividades: deje vacías las semanas (se calculan solas)"&amp;" · ","")&amp;IF((COUNTIF($H198:$K198,"&gt;1")+COUNTIF($H198:$K198,"&lt;0")+COUNTA($H198:$K198)-COUNT($H198:$K198))&gt;0,"Avance fuera de rango 0-100%"&amp;" · ","")&amp;IF(OR(AND($I198&lt;&gt;"",$I198&lt;$H198),AND($J198&lt;&gt;"",$J198&lt;MAX($H198:$I198)),AND($K198&lt;&gt;"",$K198&lt;MAX($H198:$J198))),"Avance semanal decreciente"&amp;" · ","")&amp;IF(AND(ISNUMBER($F198),$F198&lt;FechaRef,N($L198)&lt;1),"Vencida"&amp;" · ","")&amp;IF(AND(ObsObligatoria="Sí",ISNUMBER($F198),$F198&lt;FechaRef,N($L198)&lt;1,$N198=""),"Vencida sin observación"&amp;" · ",""),LEN(IF(AND($S198="Macro",$B198=""),"Macroactividad vacía"&amp;" · ","")&amp;IF(AND($B198&lt;&gt;"",$C198&lt;&gt;""),"Escriba la subactividad en otra fila, debajo de su macroactividad"&amp;" · ","")&amp;IF(AND($S198="Sub",N($R198)=0),"Subactividad sin macroactividad arriba"&amp;" · ","")&amp;IF($D198="","Sin responsable"&amp;" · ","")&amp;IF($E198="","Sin fecha de inicio"&amp;" · ","")&amp;IF($F198="","Sin fecha límite"&amp;" · ","")&amp;IF(OR(AND($E198&lt;&gt;"",NOT(ISNUMBER($E198))),AND($F198&lt;&gt;"",NOT(ISNUMBER($F198)))),"Fecha no válida"&amp;" · ","")&amp;IF(AND(ISNUMBER($E198),ISNUMBER($F198),$E198&gt;$F198),"Inicio posterior a fecha límite"&amp;" · ","")&amp;IF(AND($S198="Macro",$G198=""),"Peso vacío"&amp;" · ","")&amp;IF(AND($S198="Macro",$G198&lt;&gt;"",OR(NOT(ISNUMBER($G198)),$G198&lt;=0,$G198&gt;1)),"Peso fuera de rango"&amp;" · ","")&amp;IF(AND($S198="Sub",$G198&lt;&gt;""),"Las subactividades no llevan peso"&amp;" · ","")&amp;IF(AND($S198="Macro",ABS(SUMIFS($G$5:$G$1000,$P$5:$P$1000,$P198,$S$5:$S$1000,"Macro")-1)&gt;0.0001),"Pesos del mes suman "&amp;TEXT(SUMIFS($G$5:$G$1000,$P$5:$P$1000,$P198,$S$5:$S$1000,"Macro"),"0%")&amp;" · ","")&amp;IF(AND(N($T198)&gt;0,COUNT($H198:$K198)&gt;0),"Con subactividades: deje vacías las semanas (se calculan solas)"&amp;" · ","")&amp;IF((COUNTIF($H198:$K198,"&gt;1")+COUNTIF($H198:$K198,"&lt;0")+COUNTA($H198:$K198)-COUNT($H198:$K198))&gt;0,"Avance fuera de rango 0-100%"&amp;" · ","")&amp;IF(OR(AND($I198&lt;&gt;"",$I198&lt;$H198),AND($J198&lt;&gt;"",$J198&lt;MAX($H198:$I198)),AND($K198&lt;&gt;"",$K198&lt;MAX($H198:$J198))),"Avance semanal decreciente"&amp;" · ","")&amp;IF(AND(ISNUMBER($F198),$F198&lt;FechaRef,N($L198)&lt;1),"Vencida"&amp;" · ","")&amp;IF(AND(ObsObligatoria="Sí",ISNUMBER($F198),$F198&lt;FechaRef,N($L198)&lt;1,$N198=""),"Vencida sin observación"&amp;" · ",""))-3)))</f>
        <v/>
      </c>
      <c r="P198" s="69">
        <f>IF(NOT((COUNTA($B198:$K198)+COUNTA($N198))&gt;0),"",IF(AND($S198="Sub",N($R198)&gt;0),IF(ISNUMBER(INDEX($E$5:$E$1000,$R198-4)),DATE(YEAR(INDEX($E$5:$E$1000,$R198-4)),MONTH(INDEX($E$5:$E$1000,$R198-4)),1),IF(ISNUMBER(INDEX($F$5:$F$1000,$R198-4)),DATE(YEAR(INDEX($F$5:$F$1000,$R198-4)),MONTH(INDEX($F$5:$F$1000,$R198-4)),1),MesCiclo)),IF(ISNUMBER($E198),DATE(YEAR($E198),MONTH($E198),1),IF(ISNUMBER($F198),DATE(YEAR($F198),MONTH($F198),1),MesCiclo))))</f>
        <v/>
      </c>
      <c r="Q198" s="70">
        <f>IF(OR($P198="",$P198&lt;&gt;MesCiclo),"",COUNTIF($P$5:$P198,MesCiclo))</f>
        <v/>
      </c>
      <c r="R198" s="70">
        <f>IF($S198="","",IF($S198="Macro",ROW(),IFERROR(LOOKUP(2,1/($S$5:$S198="Macro"),ROW($S$5:$S198)),0)))</f>
        <v/>
      </c>
      <c r="S198" s="70">
        <f>IF(NOT((COUNTA($B198:$K198)+COUNTA($N198))&gt;0),"",IF($B198&lt;&gt;"","Macro",IF($C198&lt;&gt;"","Sub","Macro")))</f>
        <v/>
      </c>
      <c r="T198" s="70">
        <f>IF($S198="Macro",COUNTIFS($R$5:$R$1000,ROW(),$S$5:$S$1000,"Sub"),"")</f>
        <v/>
      </c>
      <c r="U198" s="70">
        <f>IF($S198="","",IF(ISNUMBER($H198),$H198,0))</f>
        <v/>
      </c>
      <c r="V198" s="70">
        <f>IF($S198="","",IF(ISNUMBER($I198),$I198,$U198))</f>
        <v/>
      </c>
      <c r="W198" s="70">
        <f>IF($S198="","",IF(ISNUMBER($J198),$J198,$V198))</f>
        <v/>
      </c>
      <c r="X198" s="70">
        <f>IF($S198="","",IF(ISNUMBER($K198),$K198,$W198))</f>
        <v/>
      </c>
      <c r="Y198" s="70">
        <f>IF($S198="","",IF(N($T198)&gt;0,AVERAGEIFS($U$5:$U$1000,$R$5:$R$1000,ROW(),$S$5:$S$1000,"Sub"),$U198))</f>
        <v/>
      </c>
      <c r="Z198" s="70">
        <f>IF($S198="","",IF(N($T198)&gt;0,AVERAGEIFS($V$5:$V$1000,$R$5:$R$1000,ROW(),$S$5:$S$1000,"Sub"),$V198))</f>
        <v/>
      </c>
      <c r="AA198" s="70">
        <f>IF($S198="","",IF(N($T198)&gt;0,AVERAGEIFS($W$5:$W$1000,$R$5:$R$1000,ROW(),$S$5:$S$1000,"Sub"),$W198))</f>
        <v/>
      </c>
      <c r="AB198" s="70">
        <f>IF($S198="","",IF(N($T198)&gt;0,AVERAGEIFS($X$5:$X$1000,$R$5:$R$1000,ROW(),$S$5:$S$1000,"Sub"),$X198))</f>
        <v/>
      </c>
    </row>
    <row r="199">
      <c r="A199" s="61">
        <f>IF(NOT((COUNTA($B199:$K199)+COUNTA($N199))&gt;0),"",IF($S199="Macro",COUNTIFS($S$5:$S199,"Macro",$P$5:$P199,$P199),IF(N($R199)=0,"?",COUNTIFS(INDEX($S$5:$S$1000,1):INDEX($S$5:$S$1000,$R199-4),"Macro",INDEX($P$5:$P$1000,1):INDEX($P$5:$P$1000,$R199-4),INDEX($P$5:$P$1000,$R199-4))&amp;"."&amp;COUNTIFS($R$5:$R199,$R199,$S$5:$S199,"Sub"))))</f>
        <v/>
      </c>
      <c r="B199" s="62" t="n"/>
      <c r="C199" s="63" t="n"/>
      <c r="D199" s="62" t="n"/>
      <c r="E199" s="64" t="n"/>
      <c r="F199" s="64" t="n"/>
      <c r="G199" s="65" t="n"/>
      <c r="H199" s="66" t="n"/>
      <c r="I199" s="66" t="n"/>
      <c r="J199" s="66" t="n"/>
      <c r="K199" s="66" t="n"/>
      <c r="L199" s="67">
        <f>IF(NOT((COUNTA($B199:$K199)+COUNTA($N199))&gt;0),"",IF(N($T199)&gt;0,$AB199,IFERROR(LOOKUP(2,1/(H199:K199&lt;&gt;""),H199:K199),0)))</f>
        <v/>
      </c>
      <c r="M199" s="61">
        <f>IF(L199="","",IF(L199&gt;=1,"Completado",IF(L199&gt;0,"En curso","Pendiente")))</f>
        <v/>
      </c>
      <c r="N199" s="62" t="n"/>
      <c r="O199" s="68">
        <f>IF(NOT((COUNTA($B199:$K199)+COUNTA($N199))&gt;0),"",IF((IF(AND($S199="Macro",$B199=""),"Macroactividad vacía"&amp;" · ","")&amp;IF(AND($B199&lt;&gt;"",$C199&lt;&gt;""),"Escriba la subactividad en otra fila, debajo de su macroactividad"&amp;" · ","")&amp;IF(AND($S199="Sub",N($R199)=0),"Subactividad sin macroactividad arriba"&amp;" · ","")&amp;IF($D199="","Sin responsable"&amp;" · ","")&amp;IF($E199="","Sin fecha de inicio"&amp;" · ","")&amp;IF($F199="","Sin fecha límite"&amp;" · ","")&amp;IF(OR(AND($E199&lt;&gt;"",NOT(ISNUMBER($E199))),AND($F199&lt;&gt;"",NOT(ISNUMBER($F199)))),"Fecha no válida"&amp;" · ","")&amp;IF(AND(ISNUMBER($E199),ISNUMBER($F199),$E199&gt;$F199),"Inicio posterior a fecha límite"&amp;" · ","")&amp;IF(AND($S199="Macro",$G199=""),"Peso vacío"&amp;" · ","")&amp;IF(AND($S199="Macro",$G199&lt;&gt;"",OR(NOT(ISNUMBER($G199)),$G199&lt;=0,$G199&gt;1)),"Peso fuera de rango"&amp;" · ","")&amp;IF(AND($S199="Sub",$G199&lt;&gt;""),"Las subactividades no llevan peso"&amp;" · ","")&amp;IF(AND($S199="Macro",ABS(SUMIFS($G$5:$G$1000,$P$5:$P$1000,$P199,$S$5:$S$1000,"Macro")-1)&gt;0.0001),"Pesos del mes suman "&amp;TEXT(SUMIFS($G$5:$G$1000,$P$5:$P$1000,$P199,$S$5:$S$1000,"Macro"),"0%")&amp;" · ","")&amp;IF(AND(N($T199)&gt;0,COUNT($H199:$K199)&gt;0),"Con subactividades: deje vacías las semanas (se calculan solas)"&amp;" · ","")&amp;IF((COUNTIF($H199:$K199,"&gt;1")+COUNTIF($H199:$K199,"&lt;0")+COUNTA($H199:$K199)-COUNT($H199:$K199))&gt;0,"Avance fuera de rango 0-100%"&amp;" · ","")&amp;IF(OR(AND($I199&lt;&gt;"",$I199&lt;$H199),AND($J199&lt;&gt;"",$J199&lt;MAX($H199:$I199)),AND($K199&lt;&gt;"",$K199&lt;MAX($H199:$J199))),"Avance semanal decreciente"&amp;" · ","")&amp;IF(AND(ISNUMBER($F199),$F199&lt;FechaRef,N($L199)&lt;1),"Vencida"&amp;" · ","")&amp;IF(AND(ObsObligatoria="Sí",ISNUMBER($F199),$F199&lt;FechaRef,N($L199)&lt;1,$N199=""),"Vencida sin observación"&amp;" · ",""))="","✔ OK","⚠ "&amp;LEFT(IF(AND($S199="Macro",$B199=""),"Macroactividad vacía"&amp;" · ","")&amp;IF(AND($B199&lt;&gt;"",$C199&lt;&gt;""),"Escriba la subactividad en otra fila, debajo de su macroactividad"&amp;" · ","")&amp;IF(AND($S199="Sub",N($R199)=0),"Subactividad sin macroactividad arriba"&amp;" · ","")&amp;IF($D199="","Sin responsable"&amp;" · ","")&amp;IF($E199="","Sin fecha de inicio"&amp;" · ","")&amp;IF($F199="","Sin fecha límite"&amp;" · ","")&amp;IF(OR(AND($E199&lt;&gt;"",NOT(ISNUMBER($E199))),AND($F199&lt;&gt;"",NOT(ISNUMBER($F199)))),"Fecha no válida"&amp;" · ","")&amp;IF(AND(ISNUMBER($E199),ISNUMBER($F199),$E199&gt;$F199),"Inicio posterior a fecha límite"&amp;" · ","")&amp;IF(AND($S199="Macro",$G199=""),"Peso vacío"&amp;" · ","")&amp;IF(AND($S199="Macro",$G199&lt;&gt;"",OR(NOT(ISNUMBER($G199)),$G199&lt;=0,$G199&gt;1)),"Peso fuera de rango"&amp;" · ","")&amp;IF(AND($S199="Sub",$G199&lt;&gt;""),"Las subactividades no llevan peso"&amp;" · ","")&amp;IF(AND($S199="Macro",ABS(SUMIFS($G$5:$G$1000,$P$5:$P$1000,$P199,$S$5:$S$1000,"Macro")-1)&gt;0.0001),"Pesos del mes suman "&amp;TEXT(SUMIFS($G$5:$G$1000,$P$5:$P$1000,$P199,$S$5:$S$1000,"Macro"),"0%")&amp;" · ","")&amp;IF(AND(N($T199)&gt;0,COUNT($H199:$K199)&gt;0),"Con subactividades: deje vacías las semanas (se calculan solas)"&amp;" · ","")&amp;IF((COUNTIF($H199:$K199,"&gt;1")+COUNTIF($H199:$K199,"&lt;0")+COUNTA($H199:$K199)-COUNT($H199:$K199))&gt;0,"Avance fuera de rango 0-100%"&amp;" · ","")&amp;IF(OR(AND($I199&lt;&gt;"",$I199&lt;$H199),AND($J199&lt;&gt;"",$J199&lt;MAX($H199:$I199)),AND($K199&lt;&gt;"",$K199&lt;MAX($H199:$J199))),"Avance semanal decreciente"&amp;" · ","")&amp;IF(AND(ISNUMBER($F199),$F199&lt;FechaRef,N($L199)&lt;1),"Vencida"&amp;" · ","")&amp;IF(AND(ObsObligatoria="Sí",ISNUMBER($F199),$F199&lt;FechaRef,N($L199)&lt;1,$N199=""),"Vencida sin observación"&amp;" · ",""),LEN(IF(AND($S199="Macro",$B199=""),"Macroactividad vacía"&amp;" · ","")&amp;IF(AND($B199&lt;&gt;"",$C199&lt;&gt;""),"Escriba la subactividad en otra fila, debajo de su macroactividad"&amp;" · ","")&amp;IF(AND($S199="Sub",N($R199)=0),"Subactividad sin macroactividad arriba"&amp;" · ","")&amp;IF($D199="","Sin responsable"&amp;" · ","")&amp;IF($E199="","Sin fecha de inicio"&amp;" · ","")&amp;IF($F199="","Sin fecha límite"&amp;" · ","")&amp;IF(OR(AND($E199&lt;&gt;"",NOT(ISNUMBER($E199))),AND($F199&lt;&gt;"",NOT(ISNUMBER($F199)))),"Fecha no válida"&amp;" · ","")&amp;IF(AND(ISNUMBER($E199),ISNUMBER($F199),$E199&gt;$F199),"Inicio posterior a fecha límite"&amp;" · ","")&amp;IF(AND($S199="Macro",$G199=""),"Peso vacío"&amp;" · ","")&amp;IF(AND($S199="Macro",$G199&lt;&gt;"",OR(NOT(ISNUMBER($G199)),$G199&lt;=0,$G199&gt;1)),"Peso fuera de rango"&amp;" · ","")&amp;IF(AND($S199="Sub",$G199&lt;&gt;""),"Las subactividades no llevan peso"&amp;" · ","")&amp;IF(AND($S199="Macro",ABS(SUMIFS($G$5:$G$1000,$P$5:$P$1000,$P199,$S$5:$S$1000,"Macro")-1)&gt;0.0001),"Pesos del mes suman "&amp;TEXT(SUMIFS($G$5:$G$1000,$P$5:$P$1000,$P199,$S$5:$S$1000,"Macro"),"0%")&amp;" · ","")&amp;IF(AND(N($T199)&gt;0,COUNT($H199:$K199)&gt;0),"Con subactividades: deje vacías las semanas (se calculan solas)"&amp;" · ","")&amp;IF((COUNTIF($H199:$K199,"&gt;1")+COUNTIF($H199:$K199,"&lt;0")+COUNTA($H199:$K199)-COUNT($H199:$K199))&gt;0,"Avance fuera de rango 0-100%"&amp;" · ","")&amp;IF(OR(AND($I199&lt;&gt;"",$I199&lt;$H199),AND($J199&lt;&gt;"",$J199&lt;MAX($H199:$I199)),AND($K199&lt;&gt;"",$K199&lt;MAX($H199:$J199))),"Avance semanal decreciente"&amp;" · ","")&amp;IF(AND(ISNUMBER($F199),$F199&lt;FechaRef,N($L199)&lt;1),"Vencida"&amp;" · ","")&amp;IF(AND(ObsObligatoria="Sí",ISNUMBER($F199),$F199&lt;FechaRef,N($L199)&lt;1,$N199=""),"Vencida sin observación"&amp;" · ",""))-3)))</f>
        <v/>
      </c>
      <c r="P199" s="69">
        <f>IF(NOT((COUNTA($B199:$K199)+COUNTA($N199))&gt;0),"",IF(AND($S199="Sub",N($R199)&gt;0),IF(ISNUMBER(INDEX($E$5:$E$1000,$R199-4)),DATE(YEAR(INDEX($E$5:$E$1000,$R199-4)),MONTH(INDEX($E$5:$E$1000,$R199-4)),1),IF(ISNUMBER(INDEX($F$5:$F$1000,$R199-4)),DATE(YEAR(INDEX($F$5:$F$1000,$R199-4)),MONTH(INDEX($F$5:$F$1000,$R199-4)),1),MesCiclo)),IF(ISNUMBER($E199),DATE(YEAR($E199),MONTH($E199),1),IF(ISNUMBER($F199),DATE(YEAR($F199),MONTH($F199),1),MesCiclo))))</f>
        <v/>
      </c>
      <c r="Q199" s="70">
        <f>IF(OR($P199="",$P199&lt;&gt;MesCiclo),"",COUNTIF($P$5:$P199,MesCiclo))</f>
        <v/>
      </c>
      <c r="R199" s="70">
        <f>IF($S199="","",IF($S199="Macro",ROW(),IFERROR(LOOKUP(2,1/($S$5:$S199="Macro"),ROW($S$5:$S199)),0)))</f>
        <v/>
      </c>
      <c r="S199" s="70">
        <f>IF(NOT((COUNTA($B199:$K199)+COUNTA($N199))&gt;0),"",IF($B199&lt;&gt;"","Macro",IF($C199&lt;&gt;"","Sub","Macro")))</f>
        <v/>
      </c>
      <c r="T199" s="70">
        <f>IF($S199="Macro",COUNTIFS($R$5:$R$1000,ROW(),$S$5:$S$1000,"Sub"),"")</f>
        <v/>
      </c>
      <c r="U199" s="70">
        <f>IF($S199="","",IF(ISNUMBER($H199),$H199,0))</f>
        <v/>
      </c>
      <c r="V199" s="70">
        <f>IF($S199="","",IF(ISNUMBER($I199),$I199,$U199))</f>
        <v/>
      </c>
      <c r="W199" s="70">
        <f>IF($S199="","",IF(ISNUMBER($J199),$J199,$V199))</f>
        <v/>
      </c>
      <c r="X199" s="70">
        <f>IF($S199="","",IF(ISNUMBER($K199),$K199,$W199))</f>
        <v/>
      </c>
      <c r="Y199" s="70">
        <f>IF($S199="","",IF(N($T199)&gt;0,AVERAGEIFS($U$5:$U$1000,$R$5:$R$1000,ROW(),$S$5:$S$1000,"Sub"),$U199))</f>
        <v/>
      </c>
      <c r="Z199" s="70">
        <f>IF($S199="","",IF(N($T199)&gt;0,AVERAGEIFS($V$5:$V$1000,$R$5:$R$1000,ROW(),$S$5:$S$1000,"Sub"),$V199))</f>
        <v/>
      </c>
      <c r="AA199" s="70">
        <f>IF($S199="","",IF(N($T199)&gt;0,AVERAGEIFS($W$5:$W$1000,$R$5:$R$1000,ROW(),$S$5:$S$1000,"Sub"),$W199))</f>
        <v/>
      </c>
      <c r="AB199" s="70">
        <f>IF($S199="","",IF(N($T199)&gt;0,AVERAGEIFS($X$5:$X$1000,$R$5:$R$1000,ROW(),$S$5:$S$1000,"Sub"),$X199))</f>
        <v/>
      </c>
    </row>
    <row r="200">
      <c r="A200" s="61">
        <f>IF(NOT((COUNTA($B200:$K200)+COUNTA($N200))&gt;0),"",IF($S200="Macro",COUNTIFS($S$5:$S200,"Macro",$P$5:$P200,$P200),IF(N($R200)=0,"?",COUNTIFS(INDEX($S$5:$S$1000,1):INDEX($S$5:$S$1000,$R200-4),"Macro",INDEX($P$5:$P$1000,1):INDEX($P$5:$P$1000,$R200-4),INDEX($P$5:$P$1000,$R200-4))&amp;"."&amp;COUNTIFS($R$5:$R200,$R200,$S$5:$S200,"Sub"))))</f>
        <v/>
      </c>
      <c r="B200" s="62" t="n"/>
      <c r="C200" s="63" t="n"/>
      <c r="D200" s="62" t="n"/>
      <c r="E200" s="64" t="n"/>
      <c r="F200" s="64" t="n"/>
      <c r="G200" s="65" t="n"/>
      <c r="H200" s="66" t="n"/>
      <c r="I200" s="66" t="n"/>
      <c r="J200" s="66" t="n"/>
      <c r="K200" s="66" t="n"/>
      <c r="L200" s="67">
        <f>IF(NOT((COUNTA($B200:$K200)+COUNTA($N200))&gt;0),"",IF(N($T200)&gt;0,$AB200,IFERROR(LOOKUP(2,1/(H200:K200&lt;&gt;""),H200:K200),0)))</f>
        <v/>
      </c>
      <c r="M200" s="61">
        <f>IF(L200="","",IF(L200&gt;=1,"Completado",IF(L200&gt;0,"En curso","Pendiente")))</f>
        <v/>
      </c>
      <c r="N200" s="62" t="n"/>
      <c r="O200" s="68">
        <f>IF(NOT((COUNTA($B200:$K200)+COUNTA($N200))&gt;0),"",IF((IF(AND($S200="Macro",$B200=""),"Macroactividad vacía"&amp;" · ","")&amp;IF(AND($B200&lt;&gt;"",$C200&lt;&gt;""),"Escriba la subactividad en otra fila, debajo de su macroactividad"&amp;" · ","")&amp;IF(AND($S200="Sub",N($R200)=0),"Subactividad sin macroactividad arriba"&amp;" · ","")&amp;IF($D200="","Sin responsable"&amp;" · ","")&amp;IF($E200="","Sin fecha de inicio"&amp;" · ","")&amp;IF($F200="","Sin fecha límite"&amp;" · ","")&amp;IF(OR(AND($E200&lt;&gt;"",NOT(ISNUMBER($E200))),AND($F200&lt;&gt;"",NOT(ISNUMBER($F200)))),"Fecha no válida"&amp;" · ","")&amp;IF(AND(ISNUMBER($E200),ISNUMBER($F200),$E200&gt;$F200),"Inicio posterior a fecha límite"&amp;" · ","")&amp;IF(AND($S200="Macro",$G200=""),"Peso vacío"&amp;" · ","")&amp;IF(AND($S200="Macro",$G200&lt;&gt;"",OR(NOT(ISNUMBER($G200)),$G200&lt;=0,$G200&gt;1)),"Peso fuera de rango"&amp;" · ","")&amp;IF(AND($S200="Sub",$G200&lt;&gt;""),"Las subactividades no llevan peso"&amp;" · ","")&amp;IF(AND($S200="Macro",ABS(SUMIFS($G$5:$G$1000,$P$5:$P$1000,$P200,$S$5:$S$1000,"Macro")-1)&gt;0.0001),"Pesos del mes suman "&amp;TEXT(SUMIFS($G$5:$G$1000,$P$5:$P$1000,$P200,$S$5:$S$1000,"Macro"),"0%")&amp;" · ","")&amp;IF(AND(N($T200)&gt;0,COUNT($H200:$K200)&gt;0),"Con subactividades: deje vacías las semanas (se calculan solas)"&amp;" · ","")&amp;IF((COUNTIF($H200:$K200,"&gt;1")+COUNTIF($H200:$K200,"&lt;0")+COUNTA($H200:$K200)-COUNT($H200:$K200))&gt;0,"Avance fuera de rango 0-100%"&amp;" · ","")&amp;IF(OR(AND($I200&lt;&gt;"",$I200&lt;$H200),AND($J200&lt;&gt;"",$J200&lt;MAX($H200:$I200)),AND($K200&lt;&gt;"",$K200&lt;MAX($H200:$J200))),"Avance semanal decreciente"&amp;" · ","")&amp;IF(AND(ISNUMBER($F200),$F200&lt;FechaRef,N($L200)&lt;1),"Vencida"&amp;" · ","")&amp;IF(AND(ObsObligatoria="Sí",ISNUMBER($F200),$F200&lt;FechaRef,N($L200)&lt;1,$N200=""),"Vencida sin observación"&amp;" · ",""))="","✔ OK","⚠ "&amp;LEFT(IF(AND($S200="Macro",$B200=""),"Macroactividad vacía"&amp;" · ","")&amp;IF(AND($B200&lt;&gt;"",$C200&lt;&gt;""),"Escriba la subactividad en otra fila, debajo de su macroactividad"&amp;" · ","")&amp;IF(AND($S200="Sub",N($R200)=0),"Subactividad sin macroactividad arriba"&amp;" · ","")&amp;IF($D200="","Sin responsable"&amp;" · ","")&amp;IF($E200="","Sin fecha de inicio"&amp;" · ","")&amp;IF($F200="","Sin fecha límite"&amp;" · ","")&amp;IF(OR(AND($E200&lt;&gt;"",NOT(ISNUMBER($E200))),AND($F200&lt;&gt;"",NOT(ISNUMBER($F200)))),"Fecha no válida"&amp;" · ","")&amp;IF(AND(ISNUMBER($E200),ISNUMBER($F200),$E200&gt;$F200),"Inicio posterior a fecha límite"&amp;" · ","")&amp;IF(AND($S200="Macro",$G200=""),"Peso vacío"&amp;" · ","")&amp;IF(AND($S200="Macro",$G200&lt;&gt;"",OR(NOT(ISNUMBER($G200)),$G200&lt;=0,$G200&gt;1)),"Peso fuera de rango"&amp;" · ","")&amp;IF(AND($S200="Sub",$G200&lt;&gt;""),"Las subactividades no llevan peso"&amp;" · ","")&amp;IF(AND($S200="Macro",ABS(SUMIFS($G$5:$G$1000,$P$5:$P$1000,$P200,$S$5:$S$1000,"Macro")-1)&gt;0.0001),"Pesos del mes suman "&amp;TEXT(SUMIFS($G$5:$G$1000,$P$5:$P$1000,$P200,$S$5:$S$1000,"Macro"),"0%")&amp;" · ","")&amp;IF(AND(N($T200)&gt;0,COUNT($H200:$K200)&gt;0),"Con subactividades: deje vacías las semanas (se calculan solas)"&amp;" · ","")&amp;IF((COUNTIF($H200:$K200,"&gt;1")+COUNTIF($H200:$K200,"&lt;0")+COUNTA($H200:$K200)-COUNT($H200:$K200))&gt;0,"Avance fuera de rango 0-100%"&amp;" · ","")&amp;IF(OR(AND($I200&lt;&gt;"",$I200&lt;$H200),AND($J200&lt;&gt;"",$J200&lt;MAX($H200:$I200)),AND($K200&lt;&gt;"",$K200&lt;MAX($H200:$J200))),"Avance semanal decreciente"&amp;" · ","")&amp;IF(AND(ISNUMBER($F200),$F200&lt;FechaRef,N($L200)&lt;1),"Vencida"&amp;" · ","")&amp;IF(AND(ObsObligatoria="Sí",ISNUMBER($F200),$F200&lt;FechaRef,N($L200)&lt;1,$N200=""),"Vencida sin observación"&amp;" · ",""),LEN(IF(AND($S200="Macro",$B200=""),"Macroactividad vacía"&amp;" · ","")&amp;IF(AND($B200&lt;&gt;"",$C200&lt;&gt;""),"Escriba la subactividad en otra fila, debajo de su macroactividad"&amp;" · ","")&amp;IF(AND($S200="Sub",N($R200)=0),"Subactividad sin macroactividad arriba"&amp;" · ","")&amp;IF($D200="","Sin responsable"&amp;" · ","")&amp;IF($E200="","Sin fecha de inicio"&amp;" · ","")&amp;IF($F200="","Sin fecha límite"&amp;" · ","")&amp;IF(OR(AND($E200&lt;&gt;"",NOT(ISNUMBER($E200))),AND($F200&lt;&gt;"",NOT(ISNUMBER($F200)))),"Fecha no válida"&amp;" · ","")&amp;IF(AND(ISNUMBER($E200),ISNUMBER($F200),$E200&gt;$F200),"Inicio posterior a fecha límite"&amp;" · ","")&amp;IF(AND($S200="Macro",$G200=""),"Peso vacío"&amp;" · ","")&amp;IF(AND($S200="Macro",$G200&lt;&gt;"",OR(NOT(ISNUMBER($G200)),$G200&lt;=0,$G200&gt;1)),"Peso fuera de rango"&amp;" · ","")&amp;IF(AND($S200="Sub",$G200&lt;&gt;""),"Las subactividades no llevan peso"&amp;" · ","")&amp;IF(AND($S200="Macro",ABS(SUMIFS($G$5:$G$1000,$P$5:$P$1000,$P200,$S$5:$S$1000,"Macro")-1)&gt;0.0001),"Pesos del mes suman "&amp;TEXT(SUMIFS($G$5:$G$1000,$P$5:$P$1000,$P200,$S$5:$S$1000,"Macro"),"0%")&amp;" · ","")&amp;IF(AND(N($T200)&gt;0,COUNT($H200:$K200)&gt;0),"Con subactividades: deje vacías las semanas (se calculan solas)"&amp;" · ","")&amp;IF((COUNTIF($H200:$K200,"&gt;1")+COUNTIF($H200:$K200,"&lt;0")+COUNTA($H200:$K200)-COUNT($H200:$K200))&gt;0,"Avance fuera de rango 0-100%"&amp;" · ","")&amp;IF(OR(AND($I200&lt;&gt;"",$I200&lt;$H200),AND($J200&lt;&gt;"",$J200&lt;MAX($H200:$I200)),AND($K200&lt;&gt;"",$K200&lt;MAX($H200:$J200))),"Avance semanal decreciente"&amp;" · ","")&amp;IF(AND(ISNUMBER($F200),$F200&lt;FechaRef,N($L200)&lt;1),"Vencida"&amp;" · ","")&amp;IF(AND(ObsObligatoria="Sí",ISNUMBER($F200),$F200&lt;FechaRef,N($L200)&lt;1,$N200=""),"Vencida sin observación"&amp;" · ",""))-3)))</f>
        <v/>
      </c>
      <c r="P200" s="69">
        <f>IF(NOT((COUNTA($B200:$K200)+COUNTA($N200))&gt;0),"",IF(AND($S200="Sub",N($R200)&gt;0),IF(ISNUMBER(INDEX($E$5:$E$1000,$R200-4)),DATE(YEAR(INDEX($E$5:$E$1000,$R200-4)),MONTH(INDEX($E$5:$E$1000,$R200-4)),1),IF(ISNUMBER(INDEX($F$5:$F$1000,$R200-4)),DATE(YEAR(INDEX($F$5:$F$1000,$R200-4)),MONTH(INDEX($F$5:$F$1000,$R200-4)),1),MesCiclo)),IF(ISNUMBER($E200),DATE(YEAR($E200),MONTH($E200),1),IF(ISNUMBER($F200),DATE(YEAR($F200),MONTH($F200),1),MesCiclo))))</f>
        <v/>
      </c>
      <c r="Q200" s="70">
        <f>IF(OR($P200="",$P200&lt;&gt;MesCiclo),"",COUNTIF($P$5:$P200,MesCiclo))</f>
        <v/>
      </c>
      <c r="R200" s="70">
        <f>IF($S200="","",IF($S200="Macro",ROW(),IFERROR(LOOKUP(2,1/($S$5:$S200="Macro"),ROW($S$5:$S200)),0)))</f>
        <v/>
      </c>
      <c r="S200" s="70">
        <f>IF(NOT((COUNTA($B200:$K200)+COUNTA($N200))&gt;0),"",IF($B200&lt;&gt;"","Macro",IF($C200&lt;&gt;"","Sub","Macro")))</f>
        <v/>
      </c>
      <c r="T200" s="70">
        <f>IF($S200="Macro",COUNTIFS($R$5:$R$1000,ROW(),$S$5:$S$1000,"Sub"),"")</f>
        <v/>
      </c>
      <c r="U200" s="70">
        <f>IF($S200="","",IF(ISNUMBER($H200),$H200,0))</f>
        <v/>
      </c>
      <c r="V200" s="70">
        <f>IF($S200="","",IF(ISNUMBER($I200),$I200,$U200))</f>
        <v/>
      </c>
      <c r="W200" s="70">
        <f>IF($S200="","",IF(ISNUMBER($J200),$J200,$V200))</f>
        <v/>
      </c>
      <c r="X200" s="70">
        <f>IF($S200="","",IF(ISNUMBER($K200),$K200,$W200))</f>
        <v/>
      </c>
      <c r="Y200" s="70">
        <f>IF($S200="","",IF(N($T200)&gt;0,AVERAGEIFS($U$5:$U$1000,$R$5:$R$1000,ROW(),$S$5:$S$1000,"Sub"),$U200))</f>
        <v/>
      </c>
      <c r="Z200" s="70">
        <f>IF($S200="","",IF(N($T200)&gt;0,AVERAGEIFS($V$5:$V$1000,$R$5:$R$1000,ROW(),$S$5:$S$1000,"Sub"),$V200))</f>
        <v/>
      </c>
      <c r="AA200" s="70">
        <f>IF($S200="","",IF(N($T200)&gt;0,AVERAGEIFS($W$5:$W$1000,$R$5:$R$1000,ROW(),$S$5:$S$1000,"Sub"),$W200))</f>
        <v/>
      </c>
      <c r="AB200" s="70">
        <f>IF($S200="","",IF(N($T200)&gt;0,AVERAGEIFS($X$5:$X$1000,$R$5:$R$1000,ROW(),$S$5:$S$1000,"Sub"),$X200))</f>
        <v/>
      </c>
    </row>
    <row r="201">
      <c r="A201" s="61">
        <f>IF(NOT((COUNTA($B201:$K201)+COUNTA($N201))&gt;0),"",IF($S201="Macro",COUNTIFS($S$5:$S201,"Macro",$P$5:$P201,$P201),IF(N($R201)=0,"?",COUNTIFS(INDEX($S$5:$S$1000,1):INDEX($S$5:$S$1000,$R201-4),"Macro",INDEX($P$5:$P$1000,1):INDEX($P$5:$P$1000,$R201-4),INDEX($P$5:$P$1000,$R201-4))&amp;"."&amp;COUNTIFS($R$5:$R201,$R201,$S$5:$S201,"Sub"))))</f>
        <v/>
      </c>
      <c r="B201" s="62" t="n"/>
      <c r="C201" s="63" t="n"/>
      <c r="D201" s="62" t="n"/>
      <c r="E201" s="64" t="n"/>
      <c r="F201" s="64" t="n"/>
      <c r="G201" s="65" t="n"/>
      <c r="H201" s="66" t="n"/>
      <c r="I201" s="66" t="n"/>
      <c r="J201" s="66" t="n"/>
      <c r="K201" s="66" t="n"/>
      <c r="L201" s="67">
        <f>IF(NOT((COUNTA($B201:$K201)+COUNTA($N201))&gt;0),"",IF(N($T201)&gt;0,$AB201,IFERROR(LOOKUP(2,1/(H201:K201&lt;&gt;""),H201:K201),0)))</f>
        <v/>
      </c>
      <c r="M201" s="61">
        <f>IF(L201="","",IF(L201&gt;=1,"Completado",IF(L201&gt;0,"En curso","Pendiente")))</f>
        <v/>
      </c>
      <c r="N201" s="62" t="n"/>
      <c r="O201" s="68">
        <f>IF(NOT((COUNTA($B201:$K201)+COUNTA($N201))&gt;0),"",IF((IF(AND($S201="Macro",$B201=""),"Macroactividad vacía"&amp;" · ","")&amp;IF(AND($B201&lt;&gt;"",$C201&lt;&gt;""),"Escriba la subactividad en otra fila, debajo de su macroactividad"&amp;" · ","")&amp;IF(AND($S201="Sub",N($R201)=0),"Subactividad sin macroactividad arriba"&amp;" · ","")&amp;IF($D201="","Sin responsable"&amp;" · ","")&amp;IF($E201="","Sin fecha de inicio"&amp;" · ","")&amp;IF($F201="","Sin fecha límite"&amp;" · ","")&amp;IF(OR(AND($E201&lt;&gt;"",NOT(ISNUMBER($E201))),AND($F201&lt;&gt;"",NOT(ISNUMBER($F201)))),"Fecha no válida"&amp;" · ","")&amp;IF(AND(ISNUMBER($E201),ISNUMBER($F201),$E201&gt;$F201),"Inicio posterior a fecha límite"&amp;" · ","")&amp;IF(AND($S201="Macro",$G201=""),"Peso vacío"&amp;" · ","")&amp;IF(AND($S201="Macro",$G201&lt;&gt;"",OR(NOT(ISNUMBER($G201)),$G201&lt;=0,$G201&gt;1)),"Peso fuera de rango"&amp;" · ","")&amp;IF(AND($S201="Sub",$G201&lt;&gt;""),"Las subactividades no llevan peso"&amp;" · ","")&amp;IF(AND($S201="Macro",ABS(SUMIFS($G$5:$G$1000,$P$5:$P$1000,$P201,$S$5:$S$1000,"Macro")-1)&gt;0.0001),"Pesos del mes suman "&amp;TEXT(SUMIFS($G$5:$G$1000,$P$5:$P$1000,$P201,$S$5:$S$1000,"Macro"),"0%")&amp;" · ","")&amp;IF(AND(N($T201)&gt;0,COUNT($H201:$K201)&gt;0),"Con subactividades: deje vacías las semanas (se calculan solas)"&amp;" · ","")&amp;IF((COUNTIF($H201:$K201,"&gt;1")+COUNTIF($H201:$K201,"&lt;0")+COUNTA($H201:$K201)-COUNT($H201:$K201))&gt;0,"Avance fuera de rango 0-100%"&amp;" · ","")&amp;IF(OR(AND($I201&lt;&gt;"",$I201&lt;$H201),AND($J201&lt;&gt;"",$J201&lt;MAX($H201:$I201)),AND($K201&lt;&gt;"",$K201&lt;MAX($H201:$J201))),"Avance semanal decreciente"&amp;" · ","")&amp;IF(AND(ISNUMBER($F201),$F201&lt;FechaRef,N($L201)&lt;1),"Vencida"&amp;" · ","")&amp;IF(AND(ObsObligatoria="Sí",ISNUMBER($F201),$F201&lt;FechaRef,N($L201)&lt;1,$N201=""),"Vencida sin observación"&amp;" · ",""))="","✔ OK","⚠ "&amp;LEFT(IF(AND($S201="Macro",$B201=""),"Macroactividad vacía"&amp;" · ","")&amp;IF(AND($B201&lt;&gt;"",$C201&lt;&gt;""),"Escriba la subactividad en otra fila, debajo de su macroactividad"&amp;" · ","")&amp;IF(AND($S201="Sub",N($R201)=0),"Subactividad sin macroactividad arriba"&amp;" · ","")&amp;IF($D201="","Sin responsable"&amp;" · ","")&amp;IF($E201="","Sin fecha de inicio"&amp;" · ","")&amp;IF($F201="","Sin fecha límite"&amp;" · ","")&amp;IF(OR(AND($E201&lt;&gt;"",NOT(ISNUMBER($E201))),AND($F201&lt;&gt;"",NOT(ISNUMBER($F201)))),"Fecha no válida"&amp;" · ","")&amp;IF(AND(ISNUMBER($E201),ISNUMBER($F201),$E201&gt;$F201),"Inicio posterior a fecha límite"&amp;" · ","")&amp;IF(AND($S201="Macro",$G201=""),"Peso vacío"&amp;" · ","")&amp;IF(AND($S201="Macro",$G201&lt;&gt;"",OR(NOT(ISNUMBER($G201)),$G201&lt;=0,$G201&gt;1)),"Peso fuera de rango"&amp;" · ","")&amp;IF(AND($S201="Sub",$G201&lt;&gt;""),"Las subactividades no llevan peso"&amp;" · ","")&amp;IF(AND($S201="Macro",ABS(SUMIFS($G$5:$G$1000,$P$5:$P$1000,$P201,$S$5:$S$1000,"Macro")-1)&gt;0.0001),"Pesos del mes suman "&amp;TEXT(SUMIFS($G$5:$G$1000,$P$5:$P$1000,$P201,$S$5:$S$1000,"Macro"),"0%")&amp;" · ","")&amp;IF(AND(N($T201)&gt;0,COUNT($H201:$K201)&gt;0),"Con subactividades: deje vacías las semanas (se calculan solas)"&amp;" · ","")&amp;IF((COUNTIF($H201:$K201,"&gt;1")+COUNTIF($H201:$K201,"&lt;0")+COUNTA($H201:$K201)-COUNT($H201:$K201))&gt;0,"Avance fuera de rango 0-100%"&amp;" · ","")&amp;IF(OR(AND($I201&lt;&gt;"",$I201&lt;$H201),AND($J201&lt;&gt;"",$J201&lt;MAX($H201:$I201)),AND($K201&lt;&gt;"",$K201&lt;MAX($H201:$J201))),"Avance semanal decreciente"&amp;" · ","")&amp;IF(AND(ISNUMBER($F201),$F201&lt;FechaRef,N($L201)&lt;1),"Vencida"&amp;" · ","")&amp;IF(AND(ObsObligatoria="Sí",ISNUMBER($F201),$F201&lt;FechaRef,N($L201)&lt;1,$N201=""),"Vencida sin observación"&amp;" · ",""),LEN(IF(AND($S201="Macro",$B201=""),"Macroactividad vacía"&amp;" · ","")&amp;IF(AND($B201&lt;&gt;"",$C201&lt;&gt;""),"Escriba la subactividad en otra fila, debajo de su macroactividad"&amp;" · ","")&amp;IF(AND($S201="Sub",N($R201)=0),"Subactividad sin macroactividad arriba"&amp;" · ","")&amp;IF($D201="","Sin responsable"&amp;" · ","")&amp;IF($E201="","Sin fecha de inicio"&amp;" · ","")&amp;IF($F201="","Sin fecha límite"&amp;" · ","")&amp;IF(OR(AND($E201&lt;&gt;"",NOT(ISNUMBER($E201))),AND($F201&lt;&gt;"",NOT(ISNUMBER($F201)))),"Fecha no válida"&amp;" · ","")&amp;IF(AND(ISNUMBER($E201),ISNUMBER($F201),$E201&gt;$F201),"Inicio posterior a fecha límite"&amp;" · ","")&amp;IF(AND($S201="Macro",$G201=""),"Peso vacío"&amp;" · ","")&amp;IF(AND($S201="Macro",$G201&lt;&gt;"",OR(NOT(ISNUMBER($G201)),$G201&lt;=0,$G201&gt;1)),"Peso fuera de rango"&amp;" · ","")&amp;IF(AND($S201="Sub",$G201&lt;&gt;""),"Las subactividades no llevan peso"&amp;" · ","")&amp;IF(AND($S201="Macro",ABS(SUMIFS($G$5:$G$1000,$P$5:$P$1000,$P201,$S$5:$S$1000,"Macro")-1)&gt;0.0001),"Pesos del mes suman "&amp;TEXT(SUMIFS($G$5:$G$1000,$P$5:$P$1000,$P201,$S$5:$S$1000,"Macro"),"0%")&amp;" · ","")&amp;IF(AND(N($T201)&gt;0,COUNT($H201:$K201)&gt;0),"Con subactividades: deje vacías las semanas (se calculan solas)"&amp;" · ","")&amp;IF((COUNTIF($H201:$K201,"&gt;1")+COUNTIF($H201:$K201,"&lt;0")+COUNTA($H201:$K201)-COUNT($H201:$K201))&gt;0,"Avance fuera de rango 0-100%"&amp;" · ","")&amp;IF(OR(AND($I201&lt;&gt;"",$I201&lt;$H201),AND($J201&lt;&gt;"",$J201&lt;MAX($H201:$I201)),AND($K201&lt;&gt;"",$K201&lt;MAX($H201:$J201))),"Avance semanal decreciente"&amp;" · ","")&amp;IF(AND(ISNUMBER($F201),$F201&lt;FechaRef,N($L201)&lt;1),"Vencida"&amp;" · ","")&amp;IF(AND(ObsObligatoria="Sí",ISNUMBER($F201),$F201&lt;FechaRef,N($L201)&lt;1,$N201=""),"Vencida sin observación"&amp;" · ",""))-3)))</f>
        <v/>
      </c>
      <c r="P201" s="69">
        <f>IF(NOT((COUNTA($B201:$K201)+COUNTA($N201))&gt;0),"",IF(AND($S201="Sub",N($R201)&gt;0),IF(ISNUMBER(INDEX($E$5:$E$1000,$R201-4)),DATE(YEAR(INDEX($E$5:$E$1000,$R201-4)),MONTH(INDEX($E$5:$E$1000,$R201-4)),1),IF(ISNUMBER(INDEX($F$5:$F$1000,$R201-4)),DATE(YEAR(INDEX($F$5:$F$1000,$R201-4)),MONTH(INDEX($F$5:$F$1000,$R201-4)),1),MesCiclo)),IF(ISNUMBER($E201),DATE(YEAR($E201),MONTH($E201),1),IF(ISNUMBER($F201),DATE(YEAR($F201),MONTH($F201),1),MesCiclo))))</f>
        <v/>
      </c>
      <c r="Q201" s="70">
        <f>IF(OR($P201="",$P201&lt;&gt;MesCiclo),"",COUNTIF($P$5:$P201,MesCiclo))</f>
        <v/>
      </c>
      <c r="R201" s="70">
        <f>IF($S201="","",IF($S201="Macro",ROW(),IFERROR(LOOKUP(2,1/($S$5:$S201="Macro"),ROW($S$5:$S201)),0)))</f>
        <v/>
      </c>
      <c r="S201" s="70">
        <f>IF(NOT((COUNTA($B201:$K201)+COUNTA($N201))&gt;0),"",IF($B201&lt;&gt;"","Macro",IF($C201&lt;&gt;"","Sub","Macro")))</f>
        <v/>
      </c>
      <c r="T201" s="70">
        <f>IF($S201="Macro",COUNTIFS($R$5:$R$1000,ROW(),$S$5:$S$1000,"Sub"),"")</f>
        <v/>
      </c>
      <c r="U201" s="70">
        <f>IF($S201="","",IF(ISNUMBER($H201),$H201,0))</f>
        <v/>
      </c>
      <c r="V201" s="70">
        <f>IF($S201="","",IF(ISNUMBER($I201),$I201,$U201))</f>
        <v/>
      </c>
      <c r="W201" s="70">
        <f>IF($S201="","",IF(ISNUMBER($J201),$J201,$V201))</f>
        <v/>
      </c>
      <c r="X201" s="70">
        <f>IF($S201="","",IF(ISNUMBER($K201),$K201,$W201))</f>
        <v/>
      </c>
      <c r="Y201" s="70">
        <f>IF($S201="","",IF(N($T201)&gt;0,AVERAGEIFS($U$5:$U$1000,$R$5:$R$1000,ROW(),$S$5:$S$1000,"Sub"),$U201))</f>
        <v/>
      </c>
      <c r="Z201" s="70">
        <f>IF($S201="","",IF(N($T201)&gt;0,AVERAGEIFS($V$5:$V$1000,$R$5:$R$1000,ROW(),$S$5:$S$1000,"Sub"),$V201))</f>
        <v/>
      </c>
      <c r="AA201" s="70">
        <f>IF($S201="","",IF(N($T201)&gt;0,AVERAGEIFS($W$5:$W$1000,$R$5:$R$1000,ROW(),$S$5:$S$1000,"Sub"),$W201))</f>
        <v/>
      </c>
      <c r="AB201" s="70">
        <f>IF($S201="","",IF(N($T201)&gt;0,AVERAGEIFS($X$5:$X$1000,$R$5:$R$1000,ROW(),$S$5:$S$1000,"Sub"),$X201))</f>
        <v/>
      </c>
    </row>
    <row r="202">
      <c r="A202" s="61">
        <f>IF(NOT((COUNTA($B202:$K202)+COUNTA($N202))&gt;0),"",IF($S202="Macro",COUNTIFS($S$5:$S202,"Macro",$P$5:$P202,$P202),IF(N($R202)=0,"?",COUNTIFS(INDEX($S$5:$S$1000,1):INDEX($S$5:$S$1000,$R202-4),"Macro",INDEX($P$5:$P$1000,1):INDEX($P$5:$P$1000,$R202-4),INDEX($P$5:$P$1000,$R202-4))&amp;"."&amp;COUNTIFS($R$5:$R202,$R202,$S$5:$S202,"Sub"))))</f>
        <v/>
      </c>
      <c r="B202" s="62" t="n"/>
      <c r="C202" s="63" t="n"/>
      <c r="D202" s="62" t="n"/>
      <c r="E202" s="64" t="n"/>
      <c r="F202" s="64" t="n"/>
      <c r="G202" s="65" t="n"/>
      <c r="H202" s="66" t="n"/>
      <c r="I202" s="66" t="n"/>
      <c r="J202" s="66" t="n"/>
      <c r="K202" s="66" t="n"/>
      <c r="L202" s="67">
        <f>IF(NOT((COUNTA($B202:$K202)+COUNTA($N202))&gt;0),"",IF(N($T202)&gt;0,$AB202,IFERROR(LOOKUP(2,1/(H202:K202&lt;&gt;""),H202:K202),0)))</f>
        <v/>
      </c>
      <c r="M202" s="61">
        <f>IF(L202="","",IF(L202&gt;=1,"Completado",IF(L202&gt;0,"En curso","Pendiente")))</f>
        <v/>
      </c>
      <c r="N202" s="62" t="n"/>
      <c r="O202" s="68">
        <f>IF(NOT((COUNTA($B202:$K202)+COUNTA($N202))&gt;0),"",IF((IF(AND($S202="Macro",$B202=""),"Macroactividad vacía"&amp;" · ","")&amp;IF(AND($B202&lt;&gt;"",$C202&lt;&gt;""),"Escriba la subactividad en otra fila, debajo de su macroactividad"&amp;" · ","")&amp;IF(AND($S202="Sub",N($R202)=0),"Subactividad sin macroactividad arriba"&amp;" · ","")&amp;IF($D202="","Sin responsable"&amp;" · ","")&amp;IF($E202="","Sin fecha de inicio"&amp;" · ","")&amp;IF($F202="","Sin fecha límite"&amp;" · ","")&amp;IF(OR(AND($E202&lt;&gt;"",NOT(ISNUMBER($E202))),AND($F202&lt;&gt;"",NOT(ISNUMBER($F202)))),"Fecha no válida"&amp;" · ","")&amp;IF(AND(ISNUMBER($E202),ISNUMBER($F202),$E202&gt;$F202),"Inicio posterior a fecha límite"&amp;" · ","")&amp;IF(AND($S202="Macro",$G202=""),"Peso vacío"&amp;" · ","")&amp;IF(AND($S202="Macro",$G202&lt;&gt;"",OR(NOT(ISNUMBER($G202)),$G202&lt;=0,$G202&gt;1)),"Peso fuera de rango"&amp;" · ","")&amp;IF(AND($S202="Sub",$G202&lt;&gt;""),"Las subactividades no llevan peso"&amp;" · ","")&amp;IF(AND($S202="Macro",ABS(SUMIFS($G$5:$G$1000,$P$5:$P$1000,$P202,$S$5:$S$1000,"Macro")-1)&gt;0.0001),"Pesos del mes suman "&amp;TEXT(SUMIFS($G$5:$G$1000,$P$5:$P$1000,$P202,$S$5:$S$1000,"Macro"),"0%")&amp;" · ","")&amp;IF(AND(N($T202)&gt;0,COUNT($H202:$K202)&gt;0),"Con subactividades: deje vacías las semanas (se calculan solas)"&amp;" · ","")&amp;IF((COUNTIF($H202:$K202,"&gt;1")+COUNTIF($H202:$K202,"&lt;0")+COUNTA($H202:$K202)-COUNT($H202:$K202))&gt;0,"Avance fuera de rango 0-100%"&amp;" · ","")&amp;IF(OR(AND($I202&lt;&gt;"",$I202&lt;$H202),AND($J202&lt;&gt;"",$J202&lt;MAX($H202:$I202)),AND($K202&lt;&gt;"",$K202&lt;MAX($H202:$J202))),"Avance semanal decreciente"&amp;" · ","")&amp;IF(AND(ISNUMBER($F202),$F202&lt;FechaRef,N($L202)&lt;1),"Vencida"&amp;" · ","")&amp;IF(AND(ObsObligatoria="Sí",ISNUMBER($F202),$F202&lt;FechaRef,N($L202)&lt;1,$N202=""),"Vencida sin observación"&amp;" · ",""))="","✔ OK","⚠ "&amp;LEFT(IF(AND($S202="Macro",$B202=""),"Macroactividad vacía"&amp;" · ","")&amp;IF(AND($B202&lt;&gt;"",$C202&lt;&gt;""),"Escriba la subactividad en otra fila, debajo de su macroactividad"&amp;" · ","")&amp;IF(AND($S202="Sub",N($R202)=0),"Subactividad sin macroactividad arriba"&amp;" · ","")&amp;IF($D202="","Sin responsable"&amp;" · ","")&amp;IF($E202="","Sin fecha de inicio"&amp;" · ","")&amp;IF($F202="","Sin fecha límite"&amp;" · ","")&amp;IF(OR(AND($E202&lt;&gt;"",NOT(ISNUMBER($E202))),AND($F202&lt;&gt;"",NOT(ISNUMBER($F202)))),"Fecha no válida"&amp;" · ","")&amp;IF(AND(ISNUMBER($E202),ISNUMBER($F202),$E202&gt;$F202),"Inicio posterior a fecha límite"&amp;" · ","")&amp;IF(AND($S202="Macro",$G202=""),"Peso vacío"&amp;" · ","")&amp;IF(AND($S202="Macro",$G202&lt;&gt;"",OR(NOT(ISNUMBER($G202)),$G202&lt;=0,$G202&gt;1)),"Peso fuera de rango"&amp;" · ","")&amp;IF(AND($S202="Sub",$G202&lt;&gt;""),"Las subactividades no llevan peso"&amp;" · ","")&amp;IF(AND($S202="Macro",ABS(SUMIFS($G$5:$G$1000,$P$5:$P$1000,$P202,$S$5:$S$1000,"Macro")-1)&gt;0.0001),"Pesos del mes suman "&amp;TEXT(SUMIFS($G$5:$G$1000,$P$5:$P$1000,$P202,$S$5:$S$1000,"Macro"),"0%")&amp;" · ","")&amp;IF(AND(N($T202)&gt;0,COUNT($H202:$K202)&gt;0),"Con subactividades: deje vacías las semanas (se calculan solas)"&amp;" · ","")&amp;IF((COUNTIF($H202:$K202,"&gt;1")+COUNTIF($H202:$K202,"&lt;0")+COUNTA($H202:$K202)-COUNT($H202:$K202))&gt;0,"Avance fuera de rango 0-100%"&amp;" · ","")&amp;IF(OR(AND($I202&lt;&gt;"",$I202&lt;$H202),AND($J202&lt;&gt;"",$J202&lt;MAX($H202:$I202)),AND($K202&lt;&gt;"",$K202&lt;MAX($H202:$J202))),"Avance semanal decreciente"&amp;" · ","")&amp;IF(AND(ISNUMBER($F202),$F202&lt;FechaRef,N($L202)&lt;1),"Vencida"&amp;" · ","")&amp;IF(AND(ObsObligatoria="Sí",ISNUMBER($F202),$F202&lt;FechaRef,N($L202)&lt;1,$N202=""),"Vencida sin observación"&amp;" · ",""),LEN(IF(AND($S202="Macro",$B202=""),"Macroactividad vacía"&amp;" · ","")&amp;IF(AND($B202&lt;&gt;"",$C202&lt;&gt;""),"Escriba la subactividad en otra fila, debajo de su macroactividad"&amp;" · ","")&amp;IF(AND($S202="Sub",N($R202)=0),"Subactividad sin macroactividad arriba"&amp;" · ","")&amp;IF($D202="","Sin responsable"&amp;" · ","")&amp;IF($E202="","Sin fecha de inicio"&amp;" · ","")&amp;IF($F202="","Sin fecha límite"&amp;" · ","")&amp;IF(OR(AND($E202&lt;&gt;"",NOT(ISNUMBER($E202))),AND($F202&lt;&gt;"",NOT(ISNUMBER($F202)))),"Fecha no válida"&amp;" · ","")&amp;IF(AND(ISNUMBER($E202),ISNUMBER($F202),$E202&gt;$F202),"Inicio posterior a fecha límite"&amp;" · ","")&amp;IF(AND($S202="Macro",$G202=""),"Peso vacío"&amp;" · ","")&amp;IF(AND($S202="Macro",$G202&lt;&gt;"",OR(NOT(ISNUMBER($G202)),$G202&lt;=0,$G202&gt;1)),"Peso fuera de rango"&amp;" · ","")&amp;IF(AND($S202="Sub",$G202&lt;&gt;""),"Las subactividades no llevan peso"&amp;" · ","")&amp;IF(AND($S202="Macro",ABS(SUMIFS($G$5:$G$1000,$P$5:$P$1000,$P202,$S$5:$S$1000,"Macro")-1)&gt;0.0001),"Pesos del mes suman "&amp;TEXT(SUMIFS($G$5:$G$1000,$P$5:$P$1000,$P202,$S$5:$S$1000,"Macro"),"0%")&amp;" · ","")&amp;IF(AND(N($T202)&gt;0,COUNT($H202:$K202)&gt;0),"Con subactividades: deje vacías las semanas (se calculan solas)"&amp;" · ","")&amp;IF((COUNTIF($H202:$K202,"&gt;1")+COUNTIF($H202:$K202,"&lt;0")+COUNTA($H202:$K202)-COUNT($H202:$K202))&gt;0,"Avance fuera de rango 0-100%"&amp;" · ","")&amp;IF(OR(AND($I202&lt;&gt;"",$I202&lt;$H202),AND($J202&lt;&gt;"",$J202&lt;MAX($H202:$I202)),AND($K202&lt;&gt;"",$K202&lt;MAX($H202:$J202))),"Avance semanal decreciente"&amp;" · ","")&amp;IF(AND(ISNUMBER($F202),$F202&lt;FechaRef,N($L202)&lt;1),"Vencida"&amp;" · ","")&amp;IF(AND(ObsObligatoria="Sí",ISNUMBER($F202),$F202&lt;FechaRef,N($L202)&lt;1,$N202=""),"Vencida sin observación"&amp;" · ",""))-3)))</f>
        <v/>
      </c>
      <c r="P202" s="69">
        <f>IF(NOT((COUNTA($B202:$K202)+COUNTA($N202))&gt;0),"",IF(AND($S202="Sub",N($R202)&gt;0),IF(ISNUMBER(INDEX($E$5:$E$1000,$R202-4)),DATE(YEAR(INDEX($E$5:$E$1000,$R202-4)),MONTH(INDEX($E$5:$E$1000,$R202-4)),1),IF(ISNUMBER(INDEX($F$5:$F$1000,$R202-4)),DATE(YEAR(INDEX($F$5:$F$1000,$R202-4)),MONTH(INDEX($F$5:$F$1000,$R202-4)),1),MesCiclo)),IF(ISNUMBER($E202),DATE(YEAR($E202),MONTH($E202),1),IF(ISNUMBER($F202),DATE(YEAR($F202),MONTH($F202),1),MesCiclo))))</f>
        <v/>
      </c>
      <c r="Q202" s="70">
        <f>IF(OR($P202="",$P202&lt;&gt;MesCiclo),"",COUNTIF($P$5:$P202,MesCiclo))</f>
        <v/>
      </c>
      <c r="R202" s="70">
        <f>IF($S202="","",IF($S202="Macro",ROW(),IFERROR(LOOKUP(2,1/($S$5:$S202="Macro"),ROW($S$5:$S202)),0)))</f>
        <v/>
      </c>
      <c r="S202" s="70">
        <f>IF(NOT((COUNTA($B202:$K202)+COUNTA($N202))&gt;0),"",IF($B202&lt;&gt;"","Macro",IF($C202&lt;&gt;"","Sub","Macro")))</f>
        <v/>
      </c>
      <c r="T202" s="70">
        <f>IF($S202="Macro",COUNTIFS($R$5:$R$1000,ROW(),$S$5:$S$1000,"Sub"),"")</f>
        <v/>
      </c>
      <c r="U202" s="70">
        <f>IF($S202="","",IF(ISNUMBER($H202),$H202,0))</f>
        <v/>
      </c>
      <c r="V202" s="70">
        <f>IF($S202="","",IF(ISNUMBER($I202),$I202,$U202))</f>
        <v/>
      </c>
      <c r="W202" s="70">
        <f>IF($S202="","",IF(ISNUMBER($J202),$J202,$V202))</f>
        <v/>
      </c>
      <c r="X202" s="70">
        <f>IF($S202="","",IF(ISNUMBER($K202),$K202,$W202))</f>
        <v/>
      </c>
      <c r="Y202" s="70">
        <f>IF($S202="","",IF(N($T202)&gt;0,AVERAGEIFS($U$5:$U$1000,$R$5:$R$1000,ROW(),$S$5:$S$1000,"Sub"),$U202))</f>
        <v/>
      </c>
      <c r="Z202" s="70">
        <f>IF($S202="","",IF(N($T202)&gt;0,AVERAGEIFS($V$5:$V$1000,$R$5:$R$1000,ROW(),$S$5:$S$1000,"Sub"),$V202))</f>
        <v/>
      </c>
      <c r="AA202" s="70">
        <f>IF($S202="","",IF(N($T202)&gt;0,AVERAGEIFS($W$5:$W$1000,$R$5:$R$1000,ROW(),$S$5:$S$1000,"Sub"),$W202))</f>
        <v/>
      </c>
      <c r="AB202" s="70">
        <f>IF($S202="","",IF(N($T202)&gt;0,AVERAGEIFS($X$5:$X$1000,$R$5:$R$1000,ROW(),$S$5:$S$1000,"Sub"),$X202))</f>
        <v/>
      </c>
    </row>
    <row r="203">
      <c r="A203" s="61">
        <f>IF(NOT((COUNTA($B203:$K203)+COUNTA($N203))&gt;0),"",IF($S203="Macro",COUNTIFS($S$5:$S203,"Macro",$P$5:$P203,$P203),IF(N($R203)=0,"?",COUNTIFS(INDEX($S$5:$S$1000,1):INDEX($S$5:$S$1000,$R203-4),"Macro",INDEX($P$5:$P$1000,1):INDEX($P$5:$P$1000,$R203-4),INDEX($P$5:$P$1000,$R203-4))&amp;"."&amp;COUNTIFS($R$5:$R203,$R203,$S$5:$S203,"Sub"))))</f>
        <v/>
      </c>
      <c r="B203" s="62" t="n"/>
      <c r="C203" s="63" t="n"/>
      <c r="D203" s="62" t="n"/>
      <c r="E203" s="64" t="n"/>
      <c r="F203" s="64" t="n"/>
      <c r="G203" s="65" t="n"/>
      <c r="H203" s="66" t="n"/>
      <c r="I203" s="66" t="n"/>
      <c r="J203" s="66" t="n"/>
      <c r="K203" s="66" t="n"/>
      <c r="L203" s="67">
        <f>IF(NOT((COUNTA($B203:$K203)+COUNTA($N203))&gt;0),"",IF(N($T203)&gt;0,$AB203,IFERROR(LOOKUP(2,1/(H203:K203&lt;&gt;""),H203:K203),0)))</f>
        <v/>
      </c>
      <c r="M203" s="61">
        <f>IF(L203="","",IF(L203&gt;=1,"Completado",IF(L203&gt;0,"En curso","Pendiente")))</f>
        <v/>
      </c>
      <c r="N203" s="62" t="n"/>
      <c r="O203" s="68">
        <f>IF(NOT((COUNTA($B203:$K203)+COUNTA($N203))&gt;0),"",IF((IF(AND($S203="Macro",$B203=""),"Macroactividad vacía"&amp;" · ","")&amp;IF(AND($B203&lt;&gt;"",$C203&lt;&gt;""),"Escriba la subactividad en otra fila, debajo de su macroactividad"&amp;" · ","")&amp;IF(AND($S203="Sub",N($R203)=0),"Subactividad sin macroactividad arriba"&amp;" · ","")&amp;IF($D203="","Sin responsable"&amp;" · ","")&amp;IF($E203="","Sin fecha de inicio"&amp;" · ","")&amp;IF($F203="","Sin fecha límite"&amp;" · ","")&amp;IF(OR(AND($E203&lt;&gt;"",NOT(ISNUMBER($E203))),AND($F203&lt;&gt;"",NOT(ISNUMBER($F203)))),"Fecha no válida"&amp;" · ","")&amp;IF(AND(ISNUMBER($E203),ISNUMBER($F203),$E203&gt;$F203),"Inicio posterior a fecha límite"&amp;" · ","")&amp;IF(AND($S203="Macro",$G203=""),"Peso vacío"&amp;" · ","")&amp;IF(AND($S203="Macro",$G203&lt;&gt;"",OR(NOT(ISNUMBER($G203)),$G203&lt;=0,$G203&gt;1)),"Peso fuera de rango"&amp;" · ","")&amp;IF(AND($S203="Sub",$G203&lt;&gt;""),"Las subactividades no llevan peso"&amp;" · ","")&amp;IF(AND($S203="Macro",ABS(SUMIFS($G$5:$G$1000,$P$5:$P$1000,$P203,$S$5:$S$1000,"Macro")-1)&gt;0.0001),"Pesos del mes suman "&amp;TEXT(SUMIFS($G$5:$G$1000,$P$5:$P$1000,$P203,$S$5:$S$1000,"Macro"),"0%")&amp;" · ","")&amp;IF(AND(N($T203)&gt;0,COUNT($H203:$K203)&gt;0),"Con subactividades: deje vacías las semanas (se calculan solas)"&amp;" · ","")&amp;IF((COUNTIF($H203:$K203,"&gt;1")+COUNTIF($H203:$K203,"&lt;0")+COUNTA($H203:$K203)-COUNT($H203:$K203))&gt;0,"Avance fuera de rango 0-100%"&amp;" · ","")&amp;IF(OR(AND($I203&lt;&gt;"",$I203&lt;$H203),AND($J203&lt;&gt;"",$J203&lt;MAX($H203:$I203)),AND($K203&lt;&gt;"",$K203&lt;MAX($H203:$J203))),"Avance semanal decreciente"&amp;" · ","")&amp;IF(AND(ISNUMBER($F203),$F203&lt;FechaRef,N($L203)&lt;1),"Vencida"&amp;" · ","")&amp;IF(AND(ObsObligatoria="Sí",ISNUMBER($F203),$F203&lt;FechaRef,N($L203)&lt;1,$N203=""),"Vencida sin observación"&amp;" · ",""))="","✔ OK","⚠ "&amp;LEFT(IF(AND($S203="Macro",$B203=""),"Macroactividad vacía"&amp;" · ","")&amp;IF(AND($B203&lt;&gt;"",$C203&lt;&gt;""),"Escriba la subactividad en otra fila, debajo de su macroactividad"&amp;" · ","")&amp;IF(AND($S203="Sub",N($R203)=0),"Subactividad sin macroactividad arriba"&amp;" · ","")&amp;IF($D203="","Sin responsable"&amp;" · ","")&amp;IF($E203="","Sin fecha de inicio"&amp;" · ","")&amp;IF($F203="","Sin fecha límite"&amp;" · ","")&amp;IF(OR(AND($E203&lt;&gt;"",NOT(ISNUMBER($E203))),AND($F203&lt;&gt;"",NOT(ISNUMBER($F203)))),"Fecha no válida"&amp;" · ","")&amp;IF(AND(ISNUMBER($E203),ISNUMBER($F203),$E203&gt;$F203),"Inicio posterior a fecha límite"&amp;" · ","")&amp;IF(AND($S203="Macro",$G203=""),"Peso vacío"&amp;" · ","")&amp;IF(AND($S203="Macro",$G203&lt;&gt;"",OR(NOT(ISNUMBER($G203)),$G203&lt;=0,$G203&gt;1)),"Peso fuera de rango"&amp;" · ","")&amp;IF(AND($S203="Sub",$G203&lt;&gt;""),"Las subactividades no llevan peso"&amp;" · ","")&amp;IF(AND($S203="Macro",ABS(SUMIFS($G$5:$G$1000,$P$5:$P$1000,$P203,$S$5:$S$1000,"Macro")-1)&gt;0.0001),"Pesos del mes suman "&amp;TEXT(SUMIFS($G$5:$G$1000,$P$5:$P$1000,$P203,$S$5:$S$1000,"Macro"),"0%")&amp;" · ","")&amp;IF(AND(N($T203)&gt;0,COUNT($H203:$K203)&gt;0),"Con subactividades: deje vacías las semanas (se calculan solas)"&amp;" · ","")&amp;IF((COUNTIF($H203:$K203,"&gt;1")+COUNTIF($H203:$K203,"&lt;0")+COUNTA($H203:$K203)-COUNT($H203:$K203))&gt;0,"Avance fuera de rango 0-100%"&amp;" · ","")&amp;IF(OR(AND($I203&lt;&gt;"",$I203&lt;$H203),AND($J203&lt;&gt;"",$J203&lt;MAX($H203:$I203)),AND($K203&lt;&gt;"",$K203&lt;MAX($H203:$J203))),"Avance semanal decreciente"&amp;" · ","")&amp;IF(AND(ISNUMBER($F203),$F203&lt;FechaRef,N($L203)&lt;1),"Vencida"&amp;" · ","")&amp;IF(AND(ObsObligatoria="Sí",ISNUMBER($F203),$F203&lt;FechaRef,N($L203)&lt;1,$N203=""),"Vencida sin observación"&amp;" · ",""),LEN(IF(AND($S203="Macro",$B203=""),"Macroactividad vacía"&amp;" · ","")&amp;IF(AND($B203&lt;&gt;"",$C203&lt;&gt;""),"Escriba la subactividad en otra fila, debajo de su macroactividad"&amp;" · ","")&amp;IF(AND($S203="Sub",N($R203)=0),"Subactividad sin macroactividad arriba"&amp;" · ","")&amp;IF($D203="","Sin responsable"&amp;" · ","")&amp;IF($E203="","Sin fecha de inicio"&amp;" · ","")&amp;IF($F203="","Sin fecha límite"&amp;" · ","")&amp;IF(OR(AND($E203&lt;&gt;"",NOT(ISNUMBER($E203))),AND($F203&lt;&gt;"",NOT(ISNUMBER($F203)))),"Fecha no válida"&amp;" · ","")&amp;IF(AND(ISNUMBER($E203),ISNUMBER($F203),$E203&gt;$F203),"Inicio posterior a fecha límite"&amp;" · ","")&amp;IF(AND($S203="Macro",$G203=""),"Peso vacío"&amp;" · ","")&amp;IF(AND($S203="Macro",$G203&lt;&gt;"",OR(NOT(ISNUMBER($G203)),$G203&lt;=0,$G203&gt;1)),"Peso fuera de rango"&amp;" · ","")&amp;IF(AND($S203="Sub",$G203&lt;&gt;""),"Las subactividades no llevan peso"&amp;" · ","")&amp;IF(AND($S203="Macro",ABS(SUMIFS($G$5:$G$1000,$P$5:$P$1000,$P203,$S$5:$S$1000,"Macro")-1)&gt;0.0001),"Pesos del mes suman "&amp;TEXT(SUMIFS($G$5:$G$1000,$P$5:$P$1000,$P203,$S$5:$S$1000,"Macro"),"0%")&amp;" · ","")&amp;IF(AND(N($T203)&gt;0,COUNT($H203:$K203)&gt;0),"Con subactividades: deje vacías las semanas (se calculan solas)"&amp;" · ","")&amp;IF((COUNTIF($H203:$K203,"&gt;1")+COUNTIF($H203:$K203,"&lt;0")+COUNTA($H203:$K203)-COUNT($H203:$K203))&gt;0,"Avance fuera de rango 0-100%"&amp;" · ","")&amp;IF(OR(AND($I203&lt;&gt;"",$I203&lt;$H203),AND($J203&lt;&gt;"",$J203&lt;MAX($H203:$I203)),AND($K203&lt;&gt;"",$K203&lt;MAX($H203:$J203))),"Avance semanal decreciente"&amp;" · ","")&amp;IF(AND(ISNUMBER($F203),$F203&lt;FechaRef,N($L203)&lt;1),"Vencida"&amp;" · ","")&amp;IF(AND(ObsObligatoria="Sí",ISNUMBER($F203),$F203&lt;FechaRef,N($L203)&lt;1,$N203=""),"Vencida sin observación"&amp;" · ",""))-3)))</f>
        <v/>
      </c>
      <c r="P203" s="69">
        <f>IF(NOT((COUNTA($B203:$K203)+COUNTA($N203))&gt;0),"",IF(AND($S203="Sub",N($R203)&gt;0),IF(ISNUMBER(INDEX($E$5:$E$1000,$R203-4)),DATE(YEAR(INDEX($E$5:$E$1000,$R203-4)),MONTH(INDEX($E$5:$E$1000,$R203-4)),1),IF(ISNUMBER(INDEX($F$5:$F$1000,$R203-4)),DATE(YEAR(INDEX($F$5:$F$1000,$R203-4)),MONTH(INDEX($F$5:$F$1000,$R203-4)),1),MesCiclo)),IF(ISNUMBER($E203),DATE(YEAR($E203),MONTH($E203),1),IF(ISNUMBER($F203),DATE(YEAR($F203),MONTH($F203),1),MesCiclo))))</f>
        <v/>
      </c>
      <c r="Q203" s="70">
        <f>IF(OR($P203="",$P203&lt;&gt;MesCiclo),"",COUNTIF($P$5:$P203,MesCiclo))</f>
        <v/>
      </c>
      <c r="R203" s="70">
        <f>IF($S203="","",IF($S203="Macro",ROW(),IFERROR(LOOKUP(2,1/($S$5:$S203="Macro"),ROW($S$5:$S203)),0)))</f>
        <v/>
      </c>
      <c r="S203" s="70">
        <f>IF(NOT((COUNTA($B203:$K203)+COUNTA($N203))&gt;0),"",IF($B203&lt;&gt;"","Macro",IF($C203&lt;&gt;"","Sub","Macro")))</f>
        <v/>
      </c>
      <c r="T203" s="70">
        <f>IF($S203="Macro",COUNTIFS($R$5:$R$1000,ROW(),$S$5:$S$1000,"Sub"),"")</f>
        <v/>
      </c>
      <c r="U203" s="70">
        <f>IF($S203="","",IF(ISNUMBER($H203),$H203,0))</f>
        <v/>
      </c>
      <c r="V203" s="70">
        <f>IF($S203="","",IF(ISNUMBER($I203),$I203,$U203))</f>
        <v/>
      </c>
      <c r="W203" s="70">
        <f>IF($S203="","",IF(ISNUMBER($J203),$J203,$V203))</f>
        <v/>
      </c>
      <c r="X203" s="70">
        <f>IF($S203="","",IF(ISNUMBER($K203),$K203,$W203))</f>
        <v/>
      </c>
      <c r="Y203" s="70">
        <f>IF($S203="","",IF(N($T203)&gt;0,AVERAGEIFS($U$5:$U$1000,$R$5:$R$1000,ROW(),$S$5:$S$1000,"Sub"),$U203))</f>
        <v/>
      </c>
      <c r="Z203" s="70">
        <f>IF($S203="","",IF(N($T203)&gt;0,AVERAGEIFS($V$5:$V$1000,$R$5:$R$1000,ROW(),$S$5:$S$1000,"Sub"),$V203))</f>
        <v/>
      </c>
      <c r="AA203" s="70">
        <f>IF($S203="","",IF(N($T203)&gt;0,AVERAGEIFS($W$5:$W$1000,$R$5:$R$1000,ROW(),$S$5:$S$1000,"Sub"),$W203))</f>
        <v/>
      </c>
      <c r="AB203" s="70">
        <f>IF($S203="","",IF(N($T203)&gt;0,AVERAGEIFS($X$5:$X$1000,$R$5:$R$1000,ROW(),$S$5:$S$1000,"Sub"),$X203))</f>
        <v/>
      </c>
    </row>
    <row r="204">
      <c r="A204" s="61">
        <f>IF(NOT((COUNTA($B204:$K204)+COUNTA($N204))&gt;0),"",IF($S204="Macro",COUNTIFS($S$5:$S204,"Macro",$P$5:$P204,$P204),IF(N($R204)=0,"?",COUNTIFS(INDEX($S$5:$S$1000,1):INDEX($S$5:$S$1000,$R204-4),"Macro",INDEX($P$5:$P$1000,1):INDEX($P$5:$P$1000,$R204-4),INDEX($P$5:$P$1000,$R204-4))&amp;"."&amp;COUNTIFS($R$5:$R204,$R204,$S$5:$S204,"Sub"))))</f>
        <v/>
      </c>
      <c r="B204" s="62" t="n"/>
      <c r="C204" s="63" t="n"/>
      <c r="D204" s="62" t="n"/>
      <c r="E204" s="64" t="n"/>
      <c r="F204" s="64" t="n"/>
      <c r="G204" s="65" t="n"/>
      <c r="H204" s="66" t="n"/>
      <c r="I204" s="66" t="n"/>
      <c r="J204" s="66" t="n"/>
      <c r="K204" s="66" t="n"/>
      <c r="L204" s="67">
        <f>IF(NOT((COUNTA($B204:$K204)+COUNTA($N204))&gt;0),"",IF(N($T204)&gt;0,$AB204,IFERROR(LOOKUP(2,1/(H204:K204&lt;&gt;""),H204:K204),0)))</f>
        <v/>
      </c>
      <c r="M204" s="61">
        <f>IF(L204="","",IF(L204&gt;=1,"Completado",IF(L204&gt;0,"En curso","Pendiente")))</f>
        <v/>
      </c>
      <c r="N204" s="62" t="n"/>
      <c r="O204" s="68">
        <f>IF(NOT((COUNTA($B204:$K204)+COUNTA($N204))&gt;0),"",IF((IF(AND($S204="Macro",$B204=""),"Macroactividad vacía"&amp;" · ","")&amp;IF(AND($B204&lt;&gt;"",$C204&lt;&gt;""),"Escriba la subactividad en otra fila, debajo de su macroactividad"&amp;" · ","")&amp;IF(AND($S204="Sub",N($R204)=0),"Subactividad sin macroactividad arriba"&amp;" · ","")&amp;IF($D204="","Sin responsable"&amp;" · ","")&amp;IF($E204="","Sin fecha de inicio"&amp;" · ","")&amp;IF($F204="","Sin fecha límite"&amp;" · ","")&amp;IF(OR(AND($E204&lt;&gt;"",NOT(ISNUMBER($E204))),AND($F204&lt;&gt;"",NOT(ISNUMBER($F204)))),"Fecha no válida"&amp;" · ","")&amp;IF(AND(ISNUMBER($E204),ISNUMBER($F204),$E204&gt;$F204),"Inicio posterior a fecha límite"&amp;" · ","")&amp;IF(AND($S204="Macro",$G204=""),"Peso vacío"&amp;" · ","")&amp;IF(AND($S204="Macro",$G204&lt;&gt;"",OR(NOT(ISNUMBER($G204)),$G204&lt;=0,$G204&gt;1)),"Peso fuera de rango"&amp;" · ","")&amp;IF(AND($S204="Sub",$G204&lt;&gt;""),"Las subactividades no llevan peso"&amp;" · ","")&amp;IF(AND($S204="Macro",ABS(SUMIFS($G$5:$G$1000,$P$5:$P$1000,$P204,$S$5:$S$1000,"Macro")-1)&gt;0.0001),"Pesos del mes suman "&amp;TEXT(SUMIFS($G$5:$G$1000,$P$5:$P$1000,$P204,$S$5:$S$1000,"Macro"),"0%")&amp;" · ","")&amp;IF(AND(N($T204)&gt;0,COUNT($H204:$K204)&gt;0),"Con subactividades: deje vacías las semanas (se calculan solas)"&amp;" · ","")&amp;IF((COUNTIF($H204:$K204,"&gt;1")+COUNTIF($H204:$K204,"&lt;0")+COUNTA($H204:$K204)-COUNT($H204:$K204))&gt;0,"Avance fuera de rango 0-100%"&amp;" · ","")&amp;IF(OR(AND($I204&lt;&gt;"",$I204&lt;$H204),AND($J204&lt;&gt;"",$J204&lt;MAX($H204:$I204)),AND($K204&lt;&gt;"",$K204&lt;MAX($H204:$J204))),"Avance semanal decreciente"&amp;" · ","")&amp;IF(AND(ISNUMBER($F204),$F204&lt;FechaRef,N($L204)&lt;1),"Vencida"&amp;" · ","")&amp;IF(AND(ObsObligatoria="Sí",ISNUMBER($F204),$F204&lt;FechaRef,N($L204)&lt;1,$N204=""),"Vencida sin observación"&amp;" · ",""))="","✔ OK","⚠ "&amp;LEFT(IF(AND($S204="Macro",$B204=""),"Macroactividad vacía"&amp;" · ","")&amp;IF(AND($B204&lt;&gt;"",$C204&lt;&gt;""),"Escriba la subactividad en otra fila, debajo de su macroactividad"&amp;" · ","")&amp;IF(AND($S204="Sub",N($R204)=0),"Subactividad sin macroactividad arriba"&amp;" · ","")&amp;IF($D204="","Sin responsable"&amp;" · ","")&amp;IF($E204="","Sin fecha de inicio"&amp;" · ","")&amp;IF($F204="","Sin fecha límite"&amp;" · ","")&amp;IF(OR(AND($E204&lt;&gt;"",NOT(ISNUMBER($E204))),AND($F204&lt;&gt;"",NOT(ISNUMBER($F204)))),"Fecha no válida"&amp;" · ","")&amp;IF(AND(ISNUMBER($E204),ISNUMBER($F204),$E204&gt;$F204),"Inicio posterior a fecha límite"&amp;" · ","")&amp;IF(AND($S204="Macro",$G204=""),"Peso vacío"&amp;" · ","")&amp;IF(AND($S204="Macro",$G204&lt;&gt;"",OR(NOT(ISNUMBER($G204)),$G204&lt;=0,$G204&gt;1)),"Peso fuera de rango"&amp;" · ","")&amp;IF(AND($S204="Sub",$G204&lt;&gt;""),"Las subactividades no llevan peso"&amp;" · ","")&amp;IF(AND($S204="Macro",ABS(SUMIFS($G$5:$G$1000,$P$5:$P$1000,$P204,$S$5:$S$1000,"Macro")-1)&gt;0.0001),"Pesos del mes suman "&amp;TEXT(SUMIFS($G$5:$G$1000,$P$5:$P$1000,$P204,$S$5:$S$1000,"Macro"),"0%")&amp;" · ","")&amp;IF(AND(N($T204)&gt;0,COUNT($H204:$K204)&gt;0),"Con subactividades: deje vacías las semanas (se calculan solas)"&amp;" · ","")&amp;IF((COUNTIF($H204:$K204,"&gt;1")+COUNTIF($H204:$K204,"&lt;0")+COUNTA($H204:$K204)-COUNT($H204:$K204))&gt;0,"Avance fuera de rango 0-100%"&amp;" · ","")&amp;IF(OR(AND($I204&lt;&gt;"",$I204&lt;$H204),AND($J204&lt;&gt;"",$J204&lt;MAX($H204:$I204)),AND($K204&lt;&gt;"",$K204&lt;MAX($H204:$J204))),"Avance semanal decreciente"&amp;" · ","")&amp;IF(AND(ISNUMBER($F204),$F204&lt;FechaRef,N($L204)&lt;1),"Vencida"&amp;" · ","")&amp;IF(AND(ObsObligatoria="Sí",ISNUMBER($F204),$F204&lt;FechaRef,N($L204)&lt;1,$N204=""),"Vencida sin observación"&amp;" · ",""),LEN(IF(AND($S204="Macro",$B204=""),"Macroactividad vacía"&amp;" · ","")&amp;IF(AND($B204&lt;&gt;"",$C204&lt;&gt;""),"Escriba la subactividad en otra fila, debajo de su macroactividad"&amp;" · ","")&amp;IF(AND($S204="Sub",N($R204)=0),"Subactividad sin macroactividad arriba"&amp;" · ","")&amp;IF($D204="","Sin responsable"&amp;" · ","")&amp;IF($E204="","Sin fecha de inicio"&amp;" · ","")&amp;IF($F204="","Sin fecha límite"&amp;" · ","")&amp;IF(OR(AND($E204&lt;&gt;"",NOT(ISNUMBER($E204))),AND($F204&lt;&gt;"",NOT(ISNUMBER($F204)))),"Fecha no válida"&amp;" · ","")&amp;IF(AND(ISNUMBER($E204),ISNUMBER($F204),$E204&gt;$F204),"Inicio posterior a fecha límite"&amp;" · ","")&amp;IF(AND($S204="Macro",$G204=""),"Peso vacío"&amp;" · ","")&amp;IF(AND($S204="Macro",$G204&lt;&gt;"",OR(NOT(ISNUMBER($G204)),$G204&lt;=0,$G204&gt;1)),"Peso fuera de rango"&amp;" · ","")&amp;IF(AND($S204="Sub",$G204&lt;&gt;""),"Las subactividades no llevan peso"&amp;" · ","")&amp;IF(AND($S204="Macro",ABS(SUMIFS($G$5:$G$1000,$P$5:$P$1000,$P204,$S$5:$S$1000,"Macro")-1)&gt;0.0001),"Pesos del mes suman "&amp;TEXT(SUMIFS($G$5:$G$1000,$P$5:$P$1000,$P204,$S$5:$S$1000,"Macro"),"0%")&amp;" · ","")&amp;IF(AND(N($T204)&gt;0,COUNT($H204:$K204)&gt;0),"Con subactividades: deje vacías las semanas (se calculan solas)"&amp;" · ","")&amp;IF((COUNTIF($H204:$K204,"&gt;1")+COUNTIF($H204:$K204,"&lt;0")+COUNTA($H204:$K204)-COUNT($H204:$K204))&gt;0,"Avance fuera de rango 0-100%"&amp;" · ","")&amp;IF(OR(AND($I204&lt;&gt;"",$I204&lt;$H204),AND($J204&lt;&gt;"",$J204&lt;MAX($H204:$I204)),AND($K204&lt;&gt;"",$K204&lt;MAX($H204:$J204))),"Avance semanal decreciente"&amp;" · ","")&amp;IF(AND(ISNUMBER($F204),$F204&lt;FechaRef,N($L204)&lt;1),"Vencida"&amp;" · ","")&amp;IF(AND(ObsObligatoria="Sí",ISNUMBER($F204),$F204&lt;FechaRef,N($L204)&lt;1,$N204=""),"Vencida sin observación"&amp;" · ",""))-3)))</f>
        <v/>
      </c>
      <c r="P204" s="69">
        <f>IF(NOT((COUNTA($B204:$K204)+COUNTA($N204))&gt;0),"",IF(AND($S204="Sub",N($R204)&gt;0),IF(ISNUMBER(INDEX($E$5:$E$1000,$R204-4)),DATE(YEAR(INDEX($E$5:$E$1000,$R204-4)),MONTH(INDEX($E$5:$E$1000,$R204-4)),1),IF(ISNUMBER(INDEX($F$5:$F$1000,$R204-4)),DATE(YEAR(INDEX($F$5:$F$1000,$R204-4)),MONTH(INDEX($F$5:$F$1000,$R204-4)),1),MesCiclo)),IF(ISNUMBER($E204),DATE(YEAR($E204),MONTH($E204),1),IF(ISNUMBER($F204),DATE(YEAR($F204),MONTH($F204),1),MesCiclo))))</f>
        <v/>
      </c>
      <c r="Q204" s="70">
        <f>IF(OR($P204="",$P204&lt;&gt;MesCiclo),"",COUNTIF($P$5:$P204,MesCiclo))</f>
        <v/>
      </c>
      <c r="R204" s="70">
        <f>IF($S204="","",IF($S204="Macro",ROW(),IFERROR(LOOKUP(2,1/($S$5:$S204="Macro"),ROW($S$5:$S204)),0)))</f>
        <v/>
      </c>
      <c r="S204" s="70">
        <f>IF(NOT((COUNTA($B204:$K204)+COUNTA($N204))&gt;0),"",IF($B204&lt;&gt;"","Macro",IF($C204&lt;&gt;"","Sub","Macro")))</f>
        <v/>
      </c>
      <c r="T204" s="70">
        <f>IF($S204="Macro",COUNTIFS($R$5:$R$1000,ROW(),$S$5:$S$1000,"Sub"),"")</f>
        <v/>
      </c>
      <c r="U204" s="70">
        <f>IF($S204="","",IF(ISNUMBER($H204),$H204,0))</f>
        <v/>
      </c>
      <c r="V204" s="70">
        <f>IF($S204="","",IF(ISNUMBER($I204),$I204,$U204))</f>
        <v/>
      </c>
      <c r="W204" s="70">
        <f>IF($S204="","",IF(ISNUMBER($J204),$J204,$V204))</f>
        <v/>
      </c>
      <c r="X204" s="70">
        <f>IF($S204="","",IF(ISNUMBER($K204),$K204,$W204))</f>
        <v/>
      </c>
      <c r="Y204" s="70">
        <f>IF($S204="","",IF(N($T204)&gt;0,AVERAGEIFS($U$5:$U$1000,$R$5:$R$1000,ROW(),$S$5:$S$1000,"Sub"),$U204))</f>
        <v/>
      </c>
      <c r="Z204" s="70">
        <f>IF($S204="","",IF(N($T204)&gt;0,AVERAGEIFS($V$5:$V$1000,$R$5:$R$1000,ROW(),$S$5:$S$1000,"Sub"),$V204))</f>
        <v/>
      </c>
      <c r="AA204" s="70">
        <f>IF($S204="","",IF(N($T204)&gt;0,AVERAGEIFS($W$5:$W$1000,$R$5:$R$1000,ROW(),$S$5:$S$1000,"Sub"),$W204))</f>
        <v/>
      </c>
      <c r="AB204" s="70">
        <f>IF($S204="","",IF(N($T204)&gt;0,AVERAGEIFS($X$5:$X$1000,$R$5:$R$1000,ROW(),$S$5:$S$1000,"Sub"),$X204))</f>
        <v/>
      </c>
    </row>
    <row r="205">
      <c r="A205" s="61">
        <f>IF(NOT((COUNTA($B205:$K205)+COUNTA($N205))&gt;0),"",IF($S205="Macro",COUNTIFS($S$5:$S205,"Macro",$P$5:$P205,$P205),IF(N($R205)=0,"?",COUNTIFS(INDEX($S$5:$S$1000,1):INDEX($S$5:$S$1000,$R205-4),"Macro",INDEX($P$5:$P$1000,1):INDEX($P$5:$P$1000,$R205-4),INDEX($P$5:$P$1000,$R205-4))&amp;"."&amp;COUNTIFS($R$5:$R205,$R205,$S$5:$S205,"Sub"))))</f>
        <v/>
      </c>
      <c r="B205" s="62" t="n"/>
      <c r="C205" s="63" t="n"/>
      <c r="D205" s="62" t="n"/>
      <c r="E205" s="64" t="n"/>
      <c r="F205" s="64" t="n"/>
      <c r="G205" s="65" t="n"/>
      <c r="H205" s="66" t="n"/>
      <c r="I205" s="66" t="n"/>
      <c r="J205" s="66" t="n"/>
      <c r="K205" s="66" t="n"/>
      <c r="L205" s="67">
        <f>IF(NOT((COUNTA($B205:$K205)+COUNTA($N205))&gt;0),"",IF(N($T205)&gt;0,$AB205,IFERROR(LOOKUP(2,1/(H205:K205&lt;&gt;""),H205:K205),0)))</f>
        <v/>
      </c>
      <c r="M205" s="61">
        <f>IF(L205="","",IF(L205&gt;=1,"Completado",IF(L205&gt;0,"En curso","Pendiente")))</f>
        <v/>
      </c>
      <c r="N205" s="62" t="n"/>
      <c r="O205" s="68">
        <f>IF(NOT((COUNTA($B205:$K205)+COUNTA($N205))&gt;0),"",IF((IF(AND($S205="Macro",$B205=""),"Macroactividad vacía"&amp;" · ","")&amp;IF(AND($B205&lt;&gt;"",$C205&lt;&gt;""),"Escriba la subactividad en otra fila, debajo de su macroactividad"&amp;" · ","")&amp;IF(AND($S205="Sub",N($R205)=0),"Subactividad sin macroactividad arriba"&amp;" · ","")&amp;IF($D205="","Sin responsable"&amp;" · ","")&amp;IF($E205="","Sin fecha de inicio"&amp;" · ","")&amp;IF($F205="","Sin fecha límite"&amp;" · ","")&amp;IF(OR(AND($E205&lt;&gt;"",NOT(ISNUMBER($E205))),AND($F205&lt;&gt;"",NOT(ISNUMBER($F205)))),"Fecha no válida"&amp;" · ","")&amp;IF(AND(ISNUMBER($E205),ISNUMBER($F205),$E205&gt;$F205),"Inicio posterior a fecha límite"&amp;" · ","")&amp;IF(AND($S205="Macro",$G205=""),"Peso vacío"&amp;" · ","")&amp;IF(AND($S205="Macro",$G205&lt;&gt;"",OR(NOT(ISNUMBER($G205)),$G205&lt;=0,$G205&gt;1)),"Peso fuera de rango"&amp;" · ","")&amp;IF(AND($S205="Sub",$G205&lt;&gt;""),"Las subactividades no llevan peso"&amp;" · ","")&amp;IF(AND($S205="Macro",ABS(SUMIFS($G$5:$G$1000,$P$5:$P$1000,$P205,$S$5:$S$1000,"Macro")-1)&gt;0.0001),"Pesos del mes suman "&amp;TEXT(SUMIFS($G$5:$G$1000,$P$5:$P$1000,$P205,$S$5:$S$1000,"Macro"),"0%")&amp;" · ","")&amp;IF(AND(N($T205)&gt;0,COUNT($H205:$K205)&gt;0),"Con subactividades: deje vacías las semanas (se calculan solas)"&amp;" · ","")&amp;IF((COUNTIF($H205:$K205,"&gt;1")+COUNTIF($H205:$K205,"&lt;0")+COUNTA($H205:$K205)-COUNT($H205:$K205))&gt;0,"Avance fuera de rango 0-100%"&amp;" · ","")&amp;IF(OR(AND($I205&lt;&gt;"",$I205&lt;$H205),AND($J205&lt;&gt;"",$J205&lt;MAX($H205:$I205)),AND($K205&lt;&gt;"",$K205&lt;MAX($H205:$J205))),"Avance semanal decreciente"&amp;" · ","")&amp;IF(AND(ISNUMBER($F205),$F205&lt;FechaRef,N($L205)&lt;1),"Vencida"&amp;" · ","")&amp;IF(AND(ObsObligatoria="Sí",ISNUMBER($F205),$F205&lt;FechaRef,N($L205)&lt;1,$N205=""),"Vencida sin observación"&amp;" · ",""))="","✔ OK","⚠ "&amp;LEFT(IF(AND($S205="Macro",$B205=""),"Macroactividad vacía"&amp;" · ","")&amp;IF(AND($B205&lt;&gt;"",$C205&lt;&gt;""),"Escriba la subactividad en otra fila, debajo de su macroactividad"&amp;" · ","")&amp;IF(AND($S205="Sub",N($R205)=0),"Subactividad sin macroactividad arriba"&amp;" · ","")&amp;IF($D205="","Sin responsable"&amp;" · ","")&amp;IF($E205="","Sin fecha de inicio"&amp;" · ","")&amp;IF($F205="","Sin fecha límite"&amp;" · ","")&amp;IF(OR(AND($E205&lt;&gt;"",NOT(ISNUMBER($E205))),AND($F205&lt;&gt;"",NOT(ISNUMBER($F205)))),"Fecha no válida"&amp;" · ","")&amp;IF(AND(ISNUMBER($E205),ISNUMBER($F205),$E205&gt;$F205),"Inicio posterior a fecha límite"&amp;" · ","")&amp;IF(AND($S205="Macro",$G205=""),"Peso vacío"&amp;" · ","")&amp;IF(AND($S205="Macro",$G205&lt;&gt;"",OR(NOT(ISNUMBER($G205)),$G205&lt;=0,$G205&gt;1)),"Peso fuera de rango"&amp;" · ","")&amp;IF(AND($S205="Sub",$G205&lt;&gt;""),"Las subactividades no llevan peso"&amp;" · ","")&amp;IF(AND($S205="Macro",ABS(SUMIFS($G$5:$G$1000,$P$5:$P$1000,$P205,$S$5:$S$1000,"Macro")-1)&gt;0.0001),"Pesos del mes suman "&amp;TEXT(SUMIFS($G$5:$G$1000,$P$5:$P$1000,$P205,$S$5:$S$1000,"Macro"),"0%")&amp;" · ","")&amp;IF(AND(N($T205)&gt;0,COUNT($H205:$K205)&gt;0),"Con subactividades: deje vacías las semanas (se calculan solas)"&amp;" · ","")&amp;IF((COUNTIF($H205:$K205,"&gt;1")+COUNTIF($H205:$K205,"&lt;0")+COUNTA($H205:$K205)-COUNT($H205:$K205))&gt;0,"Avance fuera de rango 0-100%"&amp;" · ","")&amp;IF(OR(AND($I205&lt;&gt;"",$I205&lt;$H205),AND($J205&lt;&gt;"",$J205&lt;MAX($H205:$I205)),AND($K205&lt;&gt;"",$K205&lt;MAX($H205:$J205))),"Avance semanal decreciente"&amp;" · ","")&amp;IF(AND(ISNUMBER($F205),$F205&lt;FechaRef,N($L205)&lt;1),"Vencida"&amp;" · ","")&amp;IF(AND(ObsObligatoria="Sí",ISNUMBER($F205),$F205&lt;FechaRef,N($L205)&lt;1,$N205=""),"Vencida sin observación"&amp;" · ",""),LEN(IF(AND($S205="Macro",$B205=""),"Macroactividad vacía"&amp;" · ","")&amp;IF(AND($B205&lt;&gt;"",$C205&lt;&gt;""),"Escriba la subactividad en otra fila, debajo de su macroactividad"&amp;" · ","")&amp;IF(AND($S205="Sub",N($R205)=0),"Subactividad sin macroactividad arriba"&amp;" · ","")&amp;IF($D205="","Sin responsable"&amp;" · ","")&amp;IF($E205="","Sin fecha de inicio"&amp;" · ","")&amp;IF($F205="","Sin fecha límite"&amp;" · ","")&amp;IF(OR(AND($E205&lt;&gt;"",NOT(ISNUMBER($E205))),AND($F205&lt;&gt;"",NOT(ISNUMBER($F205)))),"Fecha no válida"&amp;" · ","")&amp;IF(AND(ISNUMBER($E205),ISNUMBER($F205),$E205&gt;$F205),"Inicio posterior a fecha límite"&amp;" · ","")&amp;IF(AND($S205="Macro",$G205=""),"Peso vacío"&amp;" · ","")&amp;IF(AND($S205="Macro",$G205&lt;&gt;"",OR(NOT(ISNUMBER($G205)),$G205&lt;=0,$G205&gt;1)),"Peso fuera de rango"&amp;" · ","")&amp;IF(AND($S205="Sub",$G205&lt;&gt;""),"Las subactividades no llevan peso"&amp;" · ","")&amp;IF(AND($S205="Macro",ABS(SUMIFS($G$5:$G$1000,$P$5:$P$1000,$P205,$S$5:$S$1000,"Macro")-1)&gt;0.0001),"Pesos del mes suman "&amp;TEXT(SUMIFS($G$5:$G$1000,$P$5:$P$1000,$P205,$S$5:$S$1000,"Macro"),"0%")&amp;" · ","")&amp;IF(AND(N($T205)&gt;0,COUNT($H205:$K205)&gt;0),"Con subactividades: deje vacías las semanas (se calculan solas)"&amp;" · ","")&amp;IF((COUNTIF($H205:$K205,"&gt;1")+COUNTIF($H205:$K205,"&lt;0")+COUNTA($H205:$K205)-COUNT($H205:$K205))&gt;0,"Avance fuera de rango 0-100%"&amp;" · ","")&amp;IF(OR(AND($I205&lt;&gt;"",$I205&lt;$H205),AND($J205&lt;&gt;"",$J205&lt;MAX($H205:$I205)),AND($K205&lt;&gt;"",$K205&lt;MAX($H205:$J205))),"Avance semanal decreciente"&amp;" · ","")&amp;IF(AND(ISNUMBER($F205),$F205&lt;FechaRef,N($L205)&lt;1),"Vencida"&amp;" · ","")&amp;IF(AND(ObsObligatoria="Sí",ISNUMBER($F205),$F205&lt;FechaRef,N($L205)&lt;1,$N205=""),"Vencida sin observación"&amp;" · ",""))-3)))</f>
        <v/>
      </c>
      <c r="P205" s="69">
        <f>IF(NOT((COUNTA($B205:$K205)+COUNTA($N205))&gt;0),"",IF(AND($S205="Sub",N($R205)&gt;0),IF(ISNUMBER(INDEX($E$5:$E$1000,$R205-4)),DATE(YEAR(INDEX($E$5:$E$1000,$R205-4)),MONTH(INDEX($E$5:$E$1000,$R205-4)),1),IF(ISNUMBER(INDEX($F$5:$F$1000,$R205-4)),DATE(YEAR(INDEX($F$5:$F$1000,$R205-4)),MONTH(INDEX($F$5:$F$1000,$R205-4)),1),MesCiclo)),IF(ISNUMBER($E205),DATE(YEAR($E205),MONTH($E205),1),IF(ISNUMBER($F205),DATE(YEAR($F205),MONTH($F205),1),MesCiclo))))</f>
        <v/>
      </c>
      <c r="Q205" s="70">
        <f>IF(OR($P205="",$P205&lt;&gt;MesCiclo),"",COUNTIF($P$5:$P205,MesCiclo))</f>
        <v/>
      </c>
      <c r="R205" s="70">
        <f>IF($S205="","",IF($S205="Macro",ROW(),IFERROR(LOOKUP(2,1/($S$5:$S205="Macro"),ROW($S$5:$S205)),0)))</f>
        <v/>
      </c>
      <c r="S205" s="70">
        <f>IF(NOT((COUNTA($B205:$K205)+COUNTA($N205))&gt;0),"",IF($B205&lt;&gt;"","Macro",IF($C205&lt;&gt;"","Sub","Macro")))</f>
        <v/>
      </c>
      <c r="T205" s="70">
        <f>IF($S205="Macro",COUNTIFS($R$5:$R$1000,ROW(),$S$5:$S$1000,"Sub"),"")</f>
        <v/>
      </c>
      <c r="U205" s="70">
        <f>IF($S205="","",IF(ISNUMBER($H205),$H205,0))</f>
        <v/>
      </c>
      <c r="V205" s="70">
        <f>IF($S205="","",IF(ISNUMBER($I205),$I205,$U205))</f>
        <v/>
      </c>
      <c r="W205" s="70">
        <f>IF($S205="","",IF(ISNUMBER($J205),$J205,$V205))</f>
        <v/>
      </c>
      <c r="X205" s="70">
        <f>IF($S205="","",IF(ISNUMBER($K205),$K205,$W205))</f>
        <v/>
      </c>
      <c r="Y205" s="70">
        <f>IF($S205="","",IF(N($T205)&gt;0,AVERAGEIFS($U$5:$U$1000,$R$5:$R$1000,ROW(),$S$5:$S$1000,"Sub"),$U205))</f>
        <v/>
      </c>
      <c r="Z205" s="70">
        <f>IF($S205="","",IF(N($T205)&gt;0,AVERAGEIFS($V$5:$V$1000,$R$5:$R$1000,ROW(),$S$5:$S$1000,"Sub"),$V205))</f>
        <v/>
      </c>
      <c r="AA205" s="70">
        <f>IF($S205="","",IF(N($T205)&gt;0,AVERAGEIFS($W$5:$W$1000,$R$5:$R$1000,ROW(),$S$5:$S$1000,"Sub"),$W205))</f>
        <v/>
      </c>
      <c r="AB205" s="70">
        <f>IF($S205="","",IF(N($T205)&gt;0,AVERAGEIFS($X$5:$X$1000,$R$5:$R$1000,ROW(),$S$5:$S$1000,"Sub"),$X205))</f>
        <v/>
      </c>
    </row>
    <row r="206">
      <c r="A206" s="61">
        <f>IF(NOT((COUNTA($B206:$K206)+COUNTA($N206))&gt;0),"",IF($S206="Macro",COUNTIFS($S$5:$S206,"Macro",$P$5:$P206,$P206),IF(N($R206)=0,"?",COUNTIFS(INDEX($S$5:$S$1000,1):INDEX($S$5:$S$1000,$R206-4),"Macro",INDEX($P$5:$P$1000,1):INDEX($P$5:$P$1000,$R206-4),INDEX($P$5:$P$1000,$R206-4))&amp;"."&amp;COUNTIFS($R$5:$R206,$R206,$S$5:$S206,"Sub"))))</f>
        <v/>
      </c>
      <c r="B206" s="62" t="n"/>
      <c r="C206" s="63" t="n"/>
      <c r="D206" s="62" t="n"/>
      <c r="E206" s="64" t="n"/>
      <c r="F206" s="64" t="n"/>
      <c r="G206" s="65" t="n"/>
      <c r="H206" s="66" t="n"/>
      <c r="I206" s="66" t="n"/>
      <c r="J206" s="66" t="n"/>
      <c r="K206" s="66" t="n"/>
      <c r="L206" s="67">
        <f>IF(NOT((COUNTA($B206:$K206)+COUNTA($N206))&gt;0),"",IF(N($T206)&gt;0,$AB206,IFERROR(LOOKUP(2,1/(H206:K206&lt;&gt;""),H206:K206),0)))</f>
        <v/>
      </c>
      <c r="M206" s="61">
        <f>IF(L206="","",IF(L206&gt;=1,"Completado",IF(L206&gt;0,"En curso","Pendiente")))</f>
        <v/>
      </c>
      <c r="N206" s="62" t="n"/>
      <c r="O206" s="68">
        <f>IF(NOT((COUNTA($B206:$K206)+COUNTA($N206))&gt;0),"",IF((IF(AND($S206="Macro",$B206=""),"Macroactividad vacía"&amp;" · ","")&amp;IF(AND($B206&lt;&gt;"",$C206&lt;&gt;""),"Escriba la subactividad en otra fila, debajo de su macroactividad"&amp;" · ","")&amp;IF(AND($S206="Sub",N($R206)=0),"Subactividad sin macroactividad arriba"&amp;" · ","")&amp;IF($D206="","Sin responsable"&amp;" · ","")&amp;IF($E206="","Sin fecha de inicio"&amp;" · ","")&amp;IF($F206="","Sin fecha límite"&amp;" · ","")&amp;IF(OR(AND($E206&lt;&gt;"",NOT(ISNUMBER($E206))),AND($F206&lt;&gt;"",NOT(ISNUMBER($F206)))),"Fecha no válida"&amp;" · ","")&amp;IF(AND(ISNUMBER($E206),ISNUMBER($F206),$E206&gt;$F206),"Inicio posterior a fecha límite"&amp;" · ","")&amp;IF(AND($S206="Macro",$G206=""),"Peso vacío"&amp;" · ","")&amp;IF(AND($S206="Macro",$G206&lt;&gt;"",OR(NOT(ISNUMBER($G206)),$G206&lt;=0,$G206&gt;1)),"Peso fuera de rango"&amp;" · ","")&amp;IF(AND($S206="Sub",$G206&lt;&gt;""),"Las subactividades no llevan peso"&amp;" · ","")&amp;IF(AND($S206="Macro",ABS(SUMIFS($G$5:$G$1000,$P$5:$P$1000,$P206,$S$5:$S$1000,"Macro")-1)&gt;0.0001),"Pesos del mes suman "&amp;TEXT(SUMIFS($G$5:$G$1000,$P$5:$P$1000,$P206,$S$5:$S$1000,"Macro"),"0%")&amp;" · ","")&amp;IF(AND(N($T206)&gt;0,COUNT($H206:$K206)&gt;0),"Con subactividades: deje vacías las semanas (se calculan solas)"&amp;" · ","")&amp;IF((COUNTIF($H206:$K206,"&gt;1")+COUNTIF($H206:$K206,"&lt;0")+COUNTA($H206:$K206)-COUNT($H206:$K206))&gt;0,"Avance fuera de rango 0-100%"&amp;" · ","")&amp;IF(OR(AND($I206&lt;&gt;"",$I206&lt;$H206),AND($J206&lt;&gt;"",$J206&lt;MAX($H206:$I206)),AND($K206&lt;&gt;"",$K206&lt;MAX($H206:$J206))),"Avance semanal decreciente"&amp;" · ","")&amp;IF(AND(ISNUMBER($F206),$F206&lt;FechaRef,N($L206)&lt;1),"Vencida"&amp;" · ","")&amp;IF(AND(ObsObligatoria="Sí",ISNUMBER($F206),$F206&lt;FechaRef,N($L206)&lt;1,$N206=""),"Vencida sin observación"&amp;" · ",""))="","✔ OK","⚠ "&amp;LEFT(IF(AND($S206="Macro",$B206=""),"Macroactividad vacía"&amp;" · ","")&amp;IF(AND($B206&lt;&gt;"",$C206&lt;&gt;""),"Escriba la subactividad en otra fila, debajo de su macroactividad"&amp;" · ","")&amp;IF(AND($S206="Sub",N($R206)=0),"Subactividad sin macroactividad arriba"&amp;" · ","")&amp;IF($D206="","Sin responsable"&amp;" · ","")&amp;IF($E206="","Sin fecha de inicio"&amp;" · ","")&amp;IF($F206="","Sin fecha límite"&amp;" · ","")&amp;IF(OR(AND($E206&lt;&gt;"",NOT(ISNUMBER($E206))),AND($F206&lt;&gt;"",NOT(ISNUMBER($F206)))),"Fecha no válida"&amp;" · ","")&amp;IF(AND(ISNUMBER($E206),ISNUMBER($F206),$E206&gt;$F206),"Inicio posterior a fecha límite"&amp;" · ","")&amp;IF(AND($S206="Macro",$G206=""),"Peso vacío"&amp;" · ","")&amp;IF(AND($S206="Macro",$G206&lt;&gt;"",OR(NOT(ISNUMBER($G206)),$G206&lt;=0,$G206&gt;1)),"Peso fuera de rango"&amp;" · ","")&amp;IF(AND($S206="Sub",$G206&lt;&gt;""),"Las subactividades no llevan peso"&amp;" · ","")&amp;IF(AND($S206="Macro",ABS(SUMIFS($G$5:$G$1000,$P$5:$P$1000,$P206,$S$5:$S$1000,"Macro")-1)&gt;0.0001),"Pesos del mes suman "&amp;TEXT(SUMIFS($G$5:$G$1000,$P$5:$P$1000,$P206,$S$5:$S$1000,"Macro"),"0%")&amp;" · ","")&amp;IF(AND(N($T206)&gt;0,COUNT($H206:$K206)&gt;0),"Con subactividades: deje vacías las semanas (se calculan solas)"&amp;" · ","")&amp;IF((COUNTIF($H206:$K206,"&gt;1")+COUNTIF($H206:$K206,"&lt;0")+COUNTA($H206:$K206)-COUNT($H206:$K206))&gt;0,"Avance fuera de rango 0-100%"&amp;" · ","")&amp;IF(OR(AND($I206&lt;&gt;"",$I206&lt;$H206),AND($J206&lt;&gt;"",$J206&lt;MAX($H206:$I206)),AND($K206&lt;&gt;"",$K206&lt;MAX($H206:$J206))),"Avance semanal decreciente"&amp;" · ","")&amp;IF(AND(ISNUMBER($F206),$F206&lt;FechaRef,N($L206)&lt;1),"Vencida"&amp;" · ","")&amp;IF(AND(ObsObligatoria="Sí",ISNUMBER($F206),$F206&lt;FechaRef,N($L206)&lt;1,$N206=""),"Vencida sin observación"&amp;" · ",""),LEN(IF(AND($S206="Macro",$B206=""),"Macroactividad vacía"&amp;" · ","")&amp;IF(AND($B206&lt;&gt;"",$C206&lt;&gt;""),"Escriba la subactividad en otra fila, debajo de su macroactividad"&amp;" · ","")&amp;IF(AND($S206="Sub",N($R206)=0),"Subactividad sin macroactividad arriba"&amp;" · ","")&amp;IF($D206="","Sin responsable"&amp;" · ","")&amp;IF($E206="","Sin fecha de inicio"&amp;" · ","")&amp;IF($F206="","Sin fecha límite"&amp;" · ","")&amp;IF(OR(AND($E206&lt;&gt;"",NOT(ISNUMBER($E206))),AND($F206&lt;&gt;"",NOT(ISNUMBER($F206)))),"Fecha no válida"&amp;" · ","")&amp;IF(AND(ISNUMBER($E206),ISNUMBER($F206),$E206&gt;$F206),"Inicio posterior a fecha límite"&amp;" · ","")&amp;IF(AND($S206="Macro",$G206=""),"Peso vacío"&amp;" · ","")&amp;IF(AND($S206="Macro",$G206&lt;&gt;"",OR(NOT(ISNUMBER($G206)),$G206&lt;=0,$G206&gt;1)),"Peso fuera de rango"&amp;" · ","")&amp;IF(AND($S206="Sub",$G206&lt;&gt;""),"Las subactividades no llevan peso"&amp;" · ","")&amp;IF(AND($S206="Macro",ABS(SUMIFS($G$5:$G$1000,$P$5:$P$1000,$P206,$S$5:$S$1000,"Macro")-1)&gt;0.0001),"Pesos del mes suman "&amp;TEXT(SUMIFS($G$5:$G$1000,$P$5:$P$1000,$P206,$S$5:$S$1000,"Macro"),"0%")&amp;" · ","")&amp;IF(AND(N($T206)&gt;0,COUNT($H206:$K206)&gt;0),"Con subactividades: deje vacías las semanas (se calculan solas)"&amp;" · ","")&amp;IF((COUNTIF($H206:$K206,"&gt;1")+COUNTIF($H206:$K206,"&lt;0")+COUNTA($H206:$K206)-COUNT($H206:$K206))&gt;0,"Avance fuera de rango 0-100%"&amp;" · ","")&amp;IF(OR(AND($I206&lt;&gt;"",$I206&lt;$H206),AND($J206&lt;&gt;"",$J206&lt;MAX($H206:$I206)),AND($K206&lt;&gt;"",$K206&lt;MAX($H206:$J206))),"Avance semanal decreciente"&amp;" · ","")&amp;IF(AND(ISNUMBER($F206),$F206&lt;FechaRef,N($L206)&lt;1),"Vencida"&amp;" · ","")&amp;IF(AND(ObsObligatoria="Sí",ISNUMBER($F206),$F206&lt;FechaRef,N($L206)&lt;1,$N206=""),"Vencida sin observación"&amp;" · ",""))-3)))</f>
        <v/>
      </c>
      <c r="P206" s="69">
        <f>IF(NOT((COUNTA($B206:$K206)+COUNTA($N206))&gt;0),"",IF(AND($S206="Sub",N($R206)&gt;0),IF(ISNUMBER(INDEX($E$5:$E$1000,$R206-4)),DATE(YEAR(INDEX($E$5:$E$1000,$R206-4)),MONTH(INDEX($E$5:$E$1000,$R206-4)),1),IF(ISNUMBER(INDEX($F$5:$F$1000,$R206-4)),DATE(YEAR(INDEX($F$5:$F$1000,$R206-4)),MONTH(INDEX($F$5:$F$1000,$R206-4)),1),MesCiclo)),IF(ISNUMBER($E206),DATE(YEAR($E206),MONTH($E206),1),IF(ISNUMBER($F206),DATE(YEAR($F206),MONTH($F206),1),MesCiclo))))</f>
        <v/>
      </c>
      <c r="Q206" s="70">
        <f>IF(OR($P206="",$P206&lt;&gt;MesCiclo),"",COUNTIF($P$5:$P206,MesCiclo))</f>
        <v/>
      </c>
      <c r="R206" s="70">
        <f>IF($S206="","",IF($S206="Macro",ROW(),IFERROR(LOOKUP(2,1/($S$5:$S206="Macro"),ROW($S$5:$S206)),0)))</f>
        <v/>
      </c>
      <c r="S206" s="70">
        <f>IF(NOT((COUNTA($B206:$K206)+COUNTA($N206))&gt;0),"",IF($B206&lt;&gt;"","Macro",IF($C206&lt;&gt;"","Sub","Macro")))</f>
        <v/>
      </c>
      <c r="T206" s="70">
        <f>IF($S206="Macro",COUNTIFS($R$5:$R$1000,ROW(),$S$5:$S$1000,"Sub"),"")</f>
        <v/>
      </c>
      <c r="U206" s="70">
        <f>IF($S206="","",IF(ISNUMBER($H206),$H206,0))</f>
        <v/>
      </c>
      <c r="V206" s="70">
        <f>IF($S206="","",IF(ISNUMBER($I206),$I206,$U206))</f>
        <v/>
      </c>
      <c r="W206" s="70">
        <f>IF($S206="","",IF(ISNUMBER($J206),$J206,$V206))</f>
        <v/>
      </c>
      <c r="X206" s="70">
        <f>IF($S206="","",IF(ISNUMBER($K206),$K206,$W206))</f>
        <v/>
      </c>
      <c r="Y206" s="70">
        <f>IF($S206="","",IF(N($T206)&gt;0,AVERAGEIFS($U$5:$U$1000,$R$5:$R$1000,ROW(),$S$5:$S$1000,"Sub"),$U206))</f>
        <v/>
      </c>
      <c r="Z206" s="70">
        <f>IF($S206="","",IF(N($T206)&gt;0,AVERAGEIFS($V$5:$V$1000,$R$5:$R$1000,ROW(),$S$5:$S$1000,"Sub"),$V206))</f>
        <v/>
      </c>
      <c r="AA206" s="70">
        <f>IF($S206="","",IF(N($T206)&gt;0,AVERAGEIFS($W$5:$W$1000,$R$5:$R$1000,ROW(),$S$5:$S$1000,"Sub"),$W206))</f>
        <v/>
      </c>
      <c r="AB206" s="70">
        <f>IF($S206="","",IF(N($T206)&gt;0,AVERAGEIFS($X$5:$X$1000,$R$5:$R$1000,ROW(),$S$5:$S$1000,"Sub"),$X206))</f>
        <v/>
      </c>
    </row>
    <row r="207">
      <c r="A207" s="61">
        <f>IF(NOT((COUNTA($B207:$K207)+COUNTA($N207))&gt;0),"",IF($S207="Macro",COUNTIFS($S$5:$S207,"Macro",$P$5:$P207,$P207),IF(N($R207)=0,"?",COUNTIFS(INDEX($S$5:$S$1000,1):INDEX($S$5:$S$1000,$R207-4),"Macro",INDEX($P$5:$P$1000,1):INDEX($P$5:$P$1000,$R207-4),INDEX($P$5:$P$1000,$R207-4))&amp;"."&amp;COUNTIFS($R$5:$R207,$R207,$S$5:$S207,"Sub"))))</f>
        <v/>
      </c>
      <c r="B207" s="62" t="n"/>
      <c r="C207" s="63" t="n"/>
      <c r="D207" s="62" t="n"/>
      <c r="E207" s="64" t="n"/>
      <c r="F207" s="64" t="n"/>
      <c r="G207" s="65" t="n"/>
      <c r="H207" s="66" t="n"/>
      <c r="I207" s="66" t="n"/>
      <c r="J207" s="66" t="n"/>
      <c r="K207" s="66" t="n"/>
      <c r="L207" s="67">
        <f>IF(NOT((COUNTA($B207:$K207)+COUNTA($N207))&gt;0),"",IF(N($T207)&gt;0,$AB207,IFERROR(LOOKUP(2,1/(H207:K207&lt;&gt;""),H207:K207),0)))</f>
        <v/>
      </c>
      <c r="M207" s="61">
        <f>IF(L207="","",IF(L207&gt;=1,"Completado",IF(L207&gt;0,"En curso","Pendiente")))</f>
        <v/>
      </c>
      <c r="N207" s="62" t="n"/>
      <c r="O207" s="68">
        <f>IF(NOT((COUNTA($B207:$K207)+COUNTA($N207))&gt;0),"",IF((IF(AND($S207="Macro",$B207=""),"Macroactividad vacía"&amp;" · ","")&amp;IF(AND($B207&lt;&gt;"",$C207&lt;&gt;""),"Escriba la subactividad en otra fila, debajo de su macroactividad"&amp;" · ","")&amp;IF(AND($S207="Sub",N($R207)=0),"Subactividad sin macroactividad arriba"&amp;" · ","")&amp;IF($D207="","Sin responsable"&amp;" · ","")&amp;IF($E207="","Sin fecha de inicio"&amp;" · ","")&amp;IF($F207="","Sin fecha límite"&amp;" · ","")&amp;IF(OR(AND($E207&lt;&gt;"",NOT(ISNUMBER($E207))),AND($F207&lt;&gt;"",NOT(ISNUMBER($F207)))),"Fecha no válida"&amp;" · ","")&amp;IF(AND(ISNUMBER($E207),ISNUMBER($F207),$E207&gt;$F207),"Inicio posterior a fecha límite"&amp;" · ","")&amp;IF(AND($S207="Macro",$G207=""),"Peso vacío"&amp;" · ","")&amp;IF(AND($S207="Macro",$G207&lt;&gt;"",OR(NOT(ISNUMBER($G207)),$G207&lt;=0,$G207&gt;1)),"Peso fuera de rango"&amp;" · ","")&amp;IF(AND($S207="Sub",$G207&lt;&gt;""),"Las subactividades no llevan peso"&amp;" · ","")&amp;IF(AND($S207="Macro",ABS(SUMIFS($G$5:$G$1000,$P$5:$P$1000,$P207,$S$5:$S$1000,"Macro")-1)&gt;0.0001),"Pesos del mes suman "&amp;TEXT(SUMIFS($G$5:$G$1000,$P$5:$P$1000,$P207,$S$5:$S$1000,"Macro"),"0%")&amp;" · ","")&amp;IF(AND(N($T207)&gt;0,COUNT($H207:$K207)&gt;0),"Con subactividades: deje vacías las semanas (se calculan solas)"&amp;" · ","")&amp;IF((COUNTIF($H207:$K207,"&gt;1")+COUNTIF($H207:$K207,"&lt;0")+COUNTA($H207:$K207)-COUNT($H207:$K207))&gt;0,"Avance fuera de rango 0-100%"&amp;" · ","")&amp;IF(OR(AND($I207&lt;&gt;"",$I207&lt;$H207),AND($J207&lt;&gt;"",$J207&lt;MAX($H207:$I207)),AND($K207&lt;&gt;"",$K207&lt;MAX($H207:$J207))),"Avance semanal decreciente"&amp;" · ","")&amp;IF(AND(ISNUMBER($F207),$F207&lt;FechaRef,N($L207)&lt;1),"Vencida"&amp;" · ","")&amp;IF(AND(ObsObligatoria="Sí",ISNUMBER($F207),$F207&lt;FechaRef,N($L207)&lt;1,$N207=""),"Vencida sin observación"&amp;" · ",""))="","✔ OK","⚠ "&amp;LEFT(IF(AND($S207="Macro",$B207=""),"Macroactividad vacía"&amp;" · ","")&amp;IF(AND($B207&lt;&gt;"",$C207&lt;&gt;""),"Escriba la subactividad en otra fila, debajo de su macroactividad"&amp;" · ","")&amp;IF(AND($S207="Sub",N($R207)=0),"Subactividad sin macroactividad arriba"&amp;" · ","")&amp;IF($D207="","Sin responsable"&amp;" · ","")&amp;IF($E207="","Sin fecha de inicio"&amp;" · ","")&amp;IF($F207="","Sin fecha límite"&amp;" · ","")&amp;IF(OR(AND($E207&lt;&gt;"",NOT(ISNUMBER($E207))),AND($F207&lt;&gt;"",NOT(ISNUMBER($F207)))),"Fecha no válida"&amp;" · ","")&amp;IF(AND(ISNUMBER($E207),ISNUMBER($F207),$E207&gt;$F207),"Inicio posterior a fecha límite"&amp;" · ","")&amp;IF(AND($S207="Macro",$G207=""),"Peso vacío"&amp;" · ","")&amp;IF(AND($S207="Macro",$G207&lt;&gt;"",OR(NOT(ISNUMBER($G207)),$G207&lt;=0,$G207&gt;1)),"Peso fuera de rango"&amp;" · ","")&amp;IF(AND($S207="Sub",$G207&lt;&gt;""),"Las subactividades no llevan peso"&amp;" · ","")&amp;IF(AND($S207="Macro",ABS(SUMIFS($G$5:$G$1000,$P$5:$P$1000,$P207,$S$5:$S$1000,"Macro")-1)&gt;0.0001),"Pesos del mes suman "&amp;TEXT(SUMIFS($G$5:$G$1000,$P$5:$P$1000,$P207,$S$5:$S$1000,"Macro"),"0%")&amp;" · ","")&amp;IF(AND(N($T207)&gt;0,COUNT($H207:$K207)&gt;0),"Con subactividades: deje vacías las semanas (se calculan solas)"&amp;" · ","")&amp;IF((COUNTIF($H207:$K207,"&gt;1")+COUNTIF($H207:$K207,"&lt;0")+COUNTA($H207:$K207)-COUNT($H207:$K207))&gt;0,"Avance fuera de rango 0-100%"&amp;" · ","")&amp;IF(OR(AND($I207&lt;&gt;"",$I207&lt;$H207),AND($J207&lt;&gt;"",$J207&lt;MAX($H207:$I207)),AND($K207&lt;&gt;"",$K207&lt;MAX($H207:$J207))),"Avance semanal decreciente"&amp;" · ","")&amp;IF(AND(ISNUMBER($F207),$F207&lt;FechaRef,N($L207)&lt;1),"Vencida"&amp;" · ","")&amp;IF(AND(ObsObligatoria="Sí",ISNUMBER($F207),$F207&lt;FechaRef,N($L207)&lt;1,$N207=""),"Vencida sin observación"&amp;" · ",""),LEN(IF(AND($S207="Macro",$B207=""),"Macroactividad vacía"&amp;" · ","")&amp;IF(AND($B207&lt;&gt;"",$C207&lt;&gt;""),"Escriba la subactividad en otra fila, debajo de su macroactividad"&amp;" · ","")&amp;IF(AND($S207="Sub",N($R207)=0),"Subactividad sin macroactividad arriba"&amp;" · ","")&amp;IF($D207="","Sin responsable"&amp;" · ","")&amp;IF($E207="","Sin fecha de inicio"&amp;" · ","")&amp;IF($F207="","Sin fecha límite"&amp;" · ","")&amp;IF(OR(AND($E207&lt;&gt;"",NOT(ISNUMBER($E207))),AND($F207&lt;&gt;"",NOT(ISNUMBER($F207)))),"Fecha no válida"&amp;" · ","")&amp;IF(AND(ISNUMBER($E207),ISNUMBER($F207),$E207&gt;$F207),"Inicio posterior a fecha límite"&amp;" · ","")&amp;IF(AND($S207="Macro",$G207=""),"Peso vacío"&amp;" · ","")&amp;IF(AND($S207="Macro",$G207&lt;&gt;"",OR(NOT(ISNUMBER($G207)),$G207&lt;=0,$G207&gt;1)),"Peso fuera de rango"&amp;" · ","")&amp;IF(AND($S207="Sub",$G207&lt;&gt;""),"Las subactividades no llevan peso"&amp;" · ","")&amp;IF(AND($S207="Macro",ABS(SUMIFS($G$5:$G$1000,$P$5:$P$1000,$P207,$S$5:$S$1000,"Macro")-1)&gt;0.0001),"Pesos del mes suman "&amp;TEXT(SUMIFS($G$5:$G$1000,$P$5:$P$1000,$P207,$S$5:$S$1000,"Macro"),"0%")&amp;" · ","")&amp;IF(AND(N($T207)&gt;0,COUNT($H207:$K207)&gt;0),"Con subactividades: deje vacías las semanas (se calculan solas)"&amp;" · ","")&amp;IF((COUNTIF($H207:$K207,"&gt;1")+COUNTIF($H207:$K207,"&lt;0")+COUNTA($H207:$K207)-COUNT($H207:$K207))&gt;0,"Avance fuera de rango 0-100%"&amp;" · ","")&amp;IF(OR(AND($I207&lt;&gt;"",$I207&lt;$H207),AND($J207&lt;&gt;"",$J207&lt;MAX($H207:$I207)),AND($K207&lt;&gt;"",$K207&lt;MAX($H207:$J207))),"Avance semanal decreciente"&amp;" · ","")&amp;IF(AND(ISNUMBER($F207),$F207&lt;FechaRef,N($L207)&lt;1),"Vencida"&amp;" · ","")&amp;IF(AND(ObsObligatoria="Sí",ISNUMBER($F207),$F207&lt;FechaRef,N($L207)&lt;1,$N207=""),"Vencida sin observación"&amp;" · ",""))-3)))</f>
        <v/>
      </c>
      <c r="P207" s="69">
        <f>IF(NOT((COUNTA($B207:$K207)+COUNTA($N207))&gt;0),"",IF(AND($S207="Sub",N($R207)&gt;0),IF(ISNUMBER(INDEX($E$5:$E$1000,$R207-4)),DATE(YEAR(INDEX($E$5:$E$1000,$R207-4)),MONTH(INDEX($E$5:$E$1000,$R207-4)),1),IF(ISNUMBER(INDEX($F$5:$F$1000,$R207-4)),DATE(YEAR(INDEX($F$5:$F$1000,$R207-4)),MONTH(INDEX($F$5:$F$1000,$R207-4)),1),MesCiclo)),IF(ISNUMBER($E207),DATE(YEAR($E207),MONTH($E207),1),IF(ISNUMBER($F207),DATE(YEAR($F207),MONTH($F207),1),MesCiclo))))</f>
        <v/>
      </c>
      <c r="Q207" s="70">
        <f>IF(OR($P207="",$P207&lt;&gt;MesCiclo),"",COUNTIF($P$5:$P207,MesCiclo))</f>
        <v/>
      </c>
      <c r="R207" s="70">
        <f>IF($S207="","",IF($S207="Macro",ROW(),IFERROR(LOOKUP(2,1/($S$5:$S207="Macro"),ROW($S$5:$S207)),0)))</f>
        <v/>
      </c>
      <c r="S207" s="70">
        <f>IF(NOT((COUNTA($B207:$K207)+COUNTA($N207))&gt;0),"",IF($B207&lt;&gt;"","Macro",IF($C207&lt;&gt;"","Sub","Macro")))</f>
        <v/>
      </c>
      <c r="T207" s="70">
        <f>IF($S207="Macro",COUNTIFS($R$5:$R$1000,ROW(),$S$5:$S$1000,"Sub"),"")</f>
        <v/>
      </c>
      <c r="U207" s="70">
        <f>IF($S207="","",IF(ISNUMBER($H207),$H207,0))</f>
        <v/>
      </c>
      <c r="V207" s="70">
        <f>IF($S207="","",IF(ISNUMBER($I207),$I207,$U207))</f>
        <v/>
      </c>
      <c r="W207" s="70">
        <f>IF($S207="","",IF(ISNUMBER($J207),$J207,$V207))</f>
        <v/>
      </c>
      <c r="X207" s="70">
        <f>IF($S207="","",IF(ISNUMBER($K207),$K207,$W207))</f>
        <v/>
      </c>
      <c r="Y207" s="70">
        <f>IF($S207="","",IF(N($T207)&gt;0,AVERAGEIFS($U$5:$U$1000,$R$5:$R$1000,ROW(),$S$5:$S$1000,"Sub"),$U207))</f>
        <v/>
      </c>
      <c r="Z207" s="70">
        <f>IF($S207="","",IF(N($T207)&gt;0,AVERAGEIFS($V$5:$V$1000,$R$5:$R$1000,ROW(),$S$5:$S$1000,"Sub"),$V207))</f>
        <v/>
      </c>
      <c r="AA207" s="70">
        <f>IF($S207="","",IF(N($T207)&gt;0,AVERAGEIFS($W$5:$W$1000,$R$5:$R$1000,ROW(),$S$5:$S$1000,"Sub"),$W207))</f>
        <v/>
      </c>
      <c r="AB207" s="70">
        <f>IF($S207="","",IF(N($T207)&gt;0,AVERAGEIFS($X$5:$X$1000,$R$5:$R$1000,ROW(),$S$5:$S$1000,"Sub"),$X207))</f>
        <v/>
      </c>
    </row>
    <row r="208">
      <c r="A208" s="61">
        <f>IF(NOT((COUNTA($B208:$K208)+COUNTA($N208))&gt;0),"",IF($S208="Macro",COUNTIFS($S$5:$S208,"Macro",$P$5:$P208,$P208),IF(N($R208)=0,"?",COUNTIFS(INDEX($S$5:$S$1000,1):INDEX($S$5:$S$1000,$R208-4),"Macro",INDEX($P$5:$P$1000,1):INDEX($P$5:$P$1000,$R208-4),INDEX($P$5:$P$1000,$R208-4))&amp;"."&amp;COUNTIFS($R$5:$R208,$R208,$S$5:$S208,"Sub"))))</f>
        <v/>
      </c>
      <c r="B208" s="62" t="n"/>
      <c r="C208" s="63" t="n"/>
      <c r="D208" s="62" t="n"/>
      <c r="E208" s="64" t="n"/>
      <c r="F208" s="64" t="n"/>
      <c r="G208" s="65" t="n"/>
      <c r="H208" s="66" t="n"/>
      <c r="I208" s="66" t="n"/>
      <c r="J208" s="66" t="n"/>
      <c r="K208" s="66" t="n"/>
      <c r="L208" s="67">
        <f>IF(NOT((COUNTA($B208:$K208)+COUNTA($N208))&gt;0),"",IF(N($T208)&gt;0,$AB208,IFERROR(LOOKUP(2,1/(H208:K208&lt;&gt;""),H208:K208),0)))</f>
        <v/>
      </c>
      <c r="M208" s="61">
        <f>IF(L208="","",IF(L208&gt;=1,"Completado",IF(L208&gt;0,"En curso","Pendiente")))</f>
        <v/>
      </c>
      <c r="N208" s="62" t="n"/>
      <c r="O208" s="68">
        <f>IF(NOT((COUNTA($B208:$K208)+COUNTA($N208))&gt;0),"",IF((IF(AND($S208="Macro",$B208=""),"Macroactividad vacía"&amp;" · ","")&amp;IF(AND($B208&lt;&gt;"",$C208&lt;&gt;""),"Escriba la subactividad en otra fila, debajo de su macroactividad"&amp;" · ","")&amp;IF(AND($S208="Sub",N($R208)=0),"Subactividad sin macroactividad arriba"&amp;" · ","")&amp;IF($D208="","Sin responsable"&amp;" · ","")&amp;IF($E208="","Sin fecha de inicio"&amp;" · ","")&amp;IF($F208="","Sin fecha límite"&amp;" · ","")&amp;IF(OR(AND($E208&lt;&gt;"",NOT(ISNUMBER($E208))),AND($F208&lt;&gt;"",NOT(ISNUMBER($F208)))),"Fecha no válida"&amp;" · ","")&amp;IF(AND(ISNUMBER($E208),ISNUMBER($F208),$E208&gt;$F208),"Inicio posterior a fecha límite"&amp;" · ","")&amp;IF(AND($S208="Macro",$G208=""),"Peso vacío"&amp;" · ","")&amp;IF(AND($S208="Macro",$G208&lt;&gt;"",OR(NOT(ISNUMBER($G208)),$G208&lt;=0,$G208&gt;1)),"Peso fuera de rango"&amp;" · ","")&amp;IF(AND($S208="Sub",$G208&lt;&gt;""),"Las subactividades no llevan peso"&amp;" · ","")&amp;IF(AND($S208="Macro",ABS(SUMIFS($G$5:$G$1000,$P$5:$P$1000,$P208,$S$5:$S$1000,"Macro")-1)&gt;0.0001),"Pesos del mes suman "&amp;TEXT(SUMIFS($G$5:$G$1000,$P$5:$P$1000,$P208,$S$5:$S$1000,"Macro"),"0%")&amp;" · ","")&amp;IF(AND(N($T208)&gt;0,COUNT($H208:$K208)&gt;0),"Con subactividades: deje vacías las semanas (se calculan solas)"&amp;" · ","")&amp;IF((COUNTIF($H208:$K208,"&gt;1")+COUNTIF($H208:$K208,"&lt;0")+COUNTA($H208:$K208)-COUNT($H208:$K208))&gt;0,"Avance fuera de rango 0-100%"&amp;" · ","")&amp;IF(OR(AND($I208&lt;&gt;"",$I208&lt;$H208),AND($J208&lt;&gt;"",$J208&lt;MAX($H208:$I208)),AND($K208&lt;&gt;"",$K208&lt;MAX($H208:$J208))),"Avance semanal decreciente"&amp;" · ","")&amp;IF(AND(ISNUMBER($F208),$F208&lt;FechaRef,N($L208)&lt;1),"Vencida"&amp;" · ","")&amp;IF(AND(ObsObligatoria="Sí",ISNUMBER($F208),$F208&lt;FechaRef,N($L208)&lt;1,$N208=""),"Vencida sin observación"&amp;" · ",""))="","✔ OK","⚠ "&amp;LEFT(IF(AND($S208="Macro",$B208=""),"Macroactividad vacía"&amp;" · ","")&amp;IF(AND($B208&lt;&gt;"",$C208&lt;&gt;""),"Escriba la subactividad en otra fila, debajo de su macroactividad"&amp;" · ","")&amp;IF(AND($S208="Sub",N($R208)=0),"Subactividad sin macroactividad arriba"&amp;" · ","")&amp;IF($D208="","Sin responsable"&amp;" · ","")&amp;IF($E208="","Sin fecha de inicio"&amp;" · ","")&amp;IF($F208="","Sin fecha límite"&amp;" · ","")&amp;IF(OR(AND($E208&lt;&gt;"",NOT(ISNUMBER($E208))),AND($F208&lt;&gt;"",NOT(ISNUMBER($F208)))),"Fecha no válida"&amp;" · ","")&amp;IF(AND(ISNUMBER($E208),ISNUMBER($F208),$E208&gt;$F208),"Inicio posterior a fecha límite"&amp;" · ","")&amp;IF(AND($S208="Macro",$G208=""),"Peso vacío"&amp;" · ","")&amp;IF(AND($S208="Macro",$G208&lt;&gt;"",OR(NOT(ISNUMBER($G208)),$G208&lt;=0,$G208&gt;1)),"Peso fuera de rango"&amp;" · ","")&amp;IF(AND($S208="Sub",$G208&lt;&gt;""),"Las subactividades no llevan peso"&amp;" · ","")&amp;IF(AND($S208="Macro",ABS(SUMIFS($G$5:$G$1000,$P$5:$P$1000,$P208,$S$5:$S$1000,"Macro")-1)&gt;0.0001),"Pesos del mes suman "&amp;TEXT(SUMIFS($G$5:$G$1000,$P$5:$P$1000,$P208,$S$5:$S$1000,"Macro"),"0%")&amp;" · ","")&amp;IF(AND(N($T208)&gt;0,COUNT($H208:$K208)&gt;0),"Con subactividades: deje vacías las semanas (se calculan solas)"&amp;" · ","")&amp;IF((COUNTIF($H208:$K208,"&gt;1")+COUNTIF($H208:$K208,"&lt;0")+COUNTA($H208:$K208)-COUNT($H208:$K208))&gt;0,"Avance fuera de rango 0-100%"&amp;" · ","")&amp;IF(OR(AND($I208&lt;&gt;"",$I208&lt;$H208),AND($J208&lt;&gt;"",$J208&lt;MAX($H208:$I208)),AND($K208&lt;&gt;"",$K208&lt;MAX($H208:$J208))),"Avance semanal decreciente"&amp;" · ","")&amp;IF(AND(ISNUMBER($F208),$F208&lt;FechaRef,N($L208)&lt;1),"Vencida"&amp;" · ","")&amp;IF(AND(ObsObligatoria="Sí",ISNUMBER($F208),$F208&lt;FechaRef,N($L208)&lt;1,$N208=""),"Vencida sin observación"&amp;" · ",""),LEN(IF(AND($S208="Macro",$B208=""),"Macroactividad vacía"&amp;" · ","")&amp;IF(AND($B208&lt;&gt;"",$C208&lt;&gt;""),"Escriba la subactividad en otra fila, debajo de su macroactividad"&amp;" · ","")&amp;IF(AND($S208="Sub",N($R208)=0),"Subactividad sin macroactividad arriba"&amp;" · ","")&amp;IF($D208="","Sin responsable"&amp;" · ","")&amp;IF($E208="","Sin fecha de inicio"&amp;" · ","")&amp;IF($F208="","Sin fecha límite"&amp;" · ","")&amp;IF(OR(AND($E208&lt;&gt;"",NOT(ISNUMBER($E208))),AND($F208&lt;&gt;"",NOT(ISNUMBER($F208)))),"Fecha no válida"&amp;" · ","")&amp;IF(AND(ISNUMBER($E208),ISNUMBER($F208),$E208&gt;$F208),"Inicio posterior a fecha límite"&amp;" · ","")&amp;IF(AND($S208="Macro",$G208=""),"Peso vacío"&amp;" · ","")&amp;IF(AND($S208="Macro",$G208&lt;&gt;"",OR(NOT(ISNUMBER($G208)),$G208&lt;=0,$G208&gt;1)),"Peso fuera de rango"&amp;" · ","")&amp;IF(AND($S208="Sub",$G208&lt;&gt;""),"Las subactividades no llevan peso"&amp;" · ","")&amp;IF(AND($S208="Macro",ABS(SUMIFS($G$5:$G$1000,$P$5:$P$1000,$P208,$S$5:$S$1000,"Macro")-1)&gt;0.0001),"Pesos del mes suman "&amp;TEXT(SUMIFS($G$5:$G$1000,$P$5:$P$1000,$P208,$S$5:$S$1000,"Macro"),"0%")&amp;" · ","")&amp;IF(AND(N($T208)&gt;0,COUNT($H208:$K208)&gt;0),"Con subactividades: deje vacías las semanas (se calculan solas)"&amp;" · ","")&amp;IF((COUNTIF($H208:$K208,"&gt;1")+COUNTIF($H208:$K208,"&lt;0")+COUNTA($H208:$K208)-COUNT($H208:$K208))&gt;0,"Avance fuera de rango 0-100%"&amp;" · ","")&amp;IF(OR(AND($I208&lt;&gt;"",$I208&lt;$H208),AND($J208&lt;&gt;"",$J208&lt;MAX($H208:$I208)),AND($K208&lt;&gt;"",$K208&lt;MAX($H208:$J208))),"Avance semanal decreciente"&amp;" · ","")&amp;IF(AND(ISNUMBER($F208),$F208&lt;FechaRef,N($L208)&lt;1),"Vencida"&amp;" · ","")&amp;IF(AND(ObsObligatoria="Sí",ISNUMBER($F208),$F208&lt;FechaRef,N($L208)&lt;1,$N208=""),"Vencida sin observación"&amp;" · ",""))-3)))</f>
        <v/>
      </c>
      <c r="P208" s="69">
        <f>IF(NOT((COUNTA($B208:$K208)+COUNTA($N208))&gt;0),"",IF(AND($S208="Sub",N($R208)&gt;0),IF(ISNUMBER(INDEX($E$5:$E$1000,$R208-4)),DATE(YEAR(INDEX($E$5:$E$1000,$R208-4)),MONTH(INDEX($E$5:$E$1000,$R208-4)),1),IF(ISNUMBER(INDEX($F$5:$F$1000,$R208-4)),DATE(YEAR(INDEX($F$5:$F$1000,$R208-4)),MONTH(INDEX($F$5:$F$1000,$R208-4)),1),MesCiclo)),IF(ISNUMBER($E208),DATE(YEAR($E208),MONTH($E208),1),IF(ISNUMBER($F208),DATE(YEAR($F208),MONTH($F208),1),MesCiclo))))</f>
        <v/>
      </c>
      <c r="Q208" s="70">
        <f>IF(OR($P208="",$P208&lt;&gt;MesCiclo),"",COUNTIF($P$5:$P208,MesCiclo))</f>
        <v/>
      </c>
      <c r="R208" s="70">
        <f>IF($S208="","",IF($S208="Macro",ROW(),IFERROR(LOOKUP(2,1/($S$5:$S208="Macro"),ROW($S$5:$S208)),0)))</f>
        <v/>
      </c>
      <c r="S208" s="70">
        <f>IF(NOT((COUNTA($B208:$K208)+COUNTA($N208))&gt;0),"",IF($B208&lt;&gt;"","Macro",IF($C208&lt;&gt;"","Sub","Macro")))</f>
        <v/>
      </c>
      <c r="T208" s="70">
        <f>IF($S208="Macro",COUNTIFS($R$5:$R$1000,ROW(),$S$5:$S$1000,"Sub"),"")</f>
        <v/>
      </c>
      <c r="U208" s="70">
        <f>IF($S208="","",IF(ISNUMBER($H208),$H208,0))</f>
        <v/>
      </c>
      <c r="V208" s="70">
        <f>IF($S208="","",IF(ISNUMBER($I208),$I208,$U208))</f>
        <v/>
      </c>
      <c r="W208" s="70">
        <f>IF($S208="","",IF(ISNUMBER($J208),$J208,$V208))</f>
        <v/>
      </c>
      <c r="X208" s="70">
        <f>IF($S208="","",IF(ISNUMBER($K208),$K208,$W208))</f>
        <v/>
      </c>
      <c r="Y208" s="70">
        <f>IF($S208="","",IF(N($T208)&gt;0,AVERAGEIFS($U$5:$U$1000,$R$5:$R$1000,ROW(),$S$5:$S$1000,"Sub"),$U208))</f>
        <v/>
      </c>
      <c r="Z208" s="70">
        <f>IF($S208="","",IF(N($T208)&gt;0,AVERAGEIFS($V$5:$V$1000,$R$5:$R$1000,ROW(),$S$5:$S$1000,"Sub"),$V208))</f>
        <v/>
      </c>
      <c r="AA208" s="70">
        <f>IF($S208="","",IF(N($T208)&gt;0,AVERAGEIFS($W$5:$W$1000,$R$5:$R$1000,ROW(),$S$5:$S$1000,"Sub"),$W208))</f>
        <v/>
      </c>
      <c r="AB208" s="70">
        <f>IF($S208="","",IF(N($T208)&gt;0,AVERAGEIFS($X$5:$X$1000,$R$5:$R$1000,ROW(),$S$5:$S$1000,"Sub"),$X208))</f>
        <v/>
      </c>
    </row>
    <row r="209">
      <c r="A209" s="61">
        <f>IF(NOT((COUNTA($B209:$K209)+COUNTA($N209))&gt;0),"",IF($S209="Macro",COUNTIFS($S$5:$S209,"Macro",$P$5:$P209,$P209),IF(N($R209)=0,"?",COUNTIFS(INDEX($S$5:$S$1000,1):INDEX($S$5:$S$1000,$R209-4),"Macro",INDEX($P$5:$P$1000,1):INDEX($P$5:$P$1000,$R209-4),INDEX($P$5:$P$1000,$R209-4))&amp;"."&amp;COUNTIFS($R$5:$R209,$R209,$S$5:$S209,"Sub"))))</f>
        <v/>
      </c>
      <c r="B209" s="62" t="n"/>
      <c r="C209" s="63" t="n"/>
      <c r="D209" s="62" t="n"/>
      <c r="E209" s="64" t="n"/>
      <c r="F209" s="64" t="n"/>
      <c r="G209" s="65" t="n"/>
      <c r="H209" s="66" t="n"/>
      <c r="I209" s="66" t="n"/>
      <c r="J209" s="66" t="n"/>
      <c r="K209" s="66" t="n"/>
      <c r="L209" s="67">
        <f>IF(NOT((COUNTA($B209:$K209)+COUNTA($N209))&gt;0),"",IF(N($T209)&gt;0,$AB209,IFERROR(LOOKUP(2,1/(H209:K209&lt;&gt;""),H209:K209),0)))</f>
        <v/>
      </c>
      <c r="M209" s="61">
        <f>IF(L209="","",IF(L209&gt;=1,"Completado",IF(L209&gt;0,"En curso","Pendiente")))</f>
        <v/>
      </c>
      <c r="N209" s="62" t="n"/>
      <c r="O209" s="68">
        <f>IF(NOT((COUNTA($B209:$K209)+COUNTA($N209))&gt;0),"",IF((IF(AND($S209="Macro",$B209=""),"Macroactividad vacía"&amp;" · ","")&amp;IF(AND($B209&lt;&gt;"",$C209&lt;&gt;""),"Escriba la subactividad en otra fila, debajo de su macroactividad"&amp;" · ","")&amp;IF(AND($S209="Sub",N($R209)=0),"Subactividad sin macroactividad arriba"&amp;" · ","")&amp;IF($D209="","Sin responsable"&amp;" · ","")&amp;IF($E209="","Sin fecha de inicio"&amp;" · ","")&amp;IF($F209="","Sin fecha límite"&amp;" · ","")&amp;IF(OR(AND($E209&lt;&gt;"",NOT(ISNUMBER($E209))),AND($F209&lt;&gt;"",NOT(ISNUMBER($F209)))),"Fecha no válida"&amp;" · ","")&amp;IF(AND(ISNUMBER($E209),ISNUMBER($F209),$E209&gt;$F209),"Inicio posterior a fecha límite"&amp;" · ","")&amp;IF(AND($S209="Macro",$G209=""),"Peso vacío"&amp;" · ","")&amp;IF(AND($S209="Macro",$G209&lt;&gt;"",OR(NOT(ISNUMBER($G209)),$G209&lt;=0,$G209&gt;1)),"Peso fuera de rango"&amp;" · ","")&amp;IF(AND($S209="Sub",$G209&lt;&gt;""),"Las subactividades no llevan peso"&amp;" · ","")&amp;IF(AND($S209="Macro",ABS(SUMIFS($G$5:$G$1000,$P$5:$P$1000,$P209,$S$5:$S$1000,"Macro")-1)&gt;0.0001),"Pesos del mes suman "&amp;TEXT(SUMIFS($G$5:$G$1000,$P$5:$P$1000,$P209,$S$5:$S$1000,"Macro"),"0%")&amp;" · ","")&amp;IF(AND(N($T209)&gt;0,COUNT($H209:$K209)&gt;0),"Con subactividades: deje vacías las semanas (se calculan solas)"&amp;" · ","")&amp;IF((COUNTIF($H209:$K209,"&gt;1")+COUNTIF($H209:$K209,"&lt;0")+COUNTA($H209:$K209)-COUNT($H209:$K209))&gt;0,"Avance fuera de rango 0-100%"&amp;" · ","")&amp;IF(OR(AND($I209&lt;&gt;"",$I209&lt;$H209),AND($J209&lt;&gt;"",$J209&lt;MAX($H209:$I209)),AND($K209&lt;&gt;"",$K209&lt;MAX($H209:$J209))),"Avance semanal decreciente"&amp;" · ","")&amp;IF(AND(ISNUMBER($F209),$F209&lt;FechaRef,N($L209)&lt;1),"Vencida"&amp;" · ","")&amp;IF(AND(ObsObligatoria="Sí",ISNUMBER($F209),$F209&lt;FechaRef,N($L209)&lt;1,$N209=""),"Vencida sin observación"&amp;" · ",""))="","✔ OK","⚠ "&amp;LEFT(IF(AND($S209="Macro",$B209=""),"Macroactividad vacía"&amp;" · ","")&amp;IF(AND($B209&lt;&gt;"",$C209&lt;&gt;""),"Escriba la subactividad en otra fila, debajo de su macroactividad"&amp;" · ","")&amp;IF(AND($S209="Sub",N($R209)=0),"Subactividad sin macroactividad arriba"&amp;" · ","")&amp;IF($D209="","Sin responsable"&amp;" · ","")&amp;IF($E209="","Sin fecha de inicio"&amp;" · ","")&amp;IF($F209="","Sin fecha límite"&amp;" · ","")&amp;IF(OR(AND($E209&lt;&gt;"",NOT(ISNUMBER($E209))),AND($F209&lt;&gt;"",NOT(ISNUMBER($F209)))),"Fecha no válida"&amp;" · ","")&amp;IF(AND(ISNUMBER($E209),ISNUMBER($F209),$E209&gt;$F209),"Inicio posterior a fecha límite"&amp;" · ","")&amp;IF(AND($S209="Macro",$G209=""),"Peso vacío"&amp;" · ","")&amp;IF(AND($S209="Macro",$G209&lt;&gt;"",OR(NOT(ISNUMBER($G209)),$G209&lt;=0,$G209&gt;1)),"Peso fuera de rango"&amp;" · ","")&amp;IF(AND($S209="Sub",$G209&lt;&gt;""),"Las subactividades no llevan peso"&amp;" · ","")&amp;IF(AND($S209="Macro",ABS(SUMIFS($G$5:$G$1000,$P$5:$P$1000,$P209,$S$5:$S$1000,"Macro")-1)&gt;0.0001),"Pesos del mes suman "&amp;TEXT(SUMIFS($G$5:$G$1000,$P$5:$P$1000,$P209,$S$5:$S$1000,"Macro"),"0%")&amp;" · ","")&amp;IF(AND(N($T209)&gt;0,COUNT($H209:$K209)&gt;0),"Con subactividades: deje vacías las semanas (se calculan solas)"&amp;" · ","")&amp;IF((COUNTIF($H209:$K209,"&gt;1")+COUNTIF($H209:$K209,"&lt;0")+COUNTA($H209:$K209)-COUNT($H209:$K209))&gt;0,"Avance fuera de rango 0-100%"&amp;" · ","")&amp;IF(OR(AND($I209&lt;&gt;"",$I209&lt;$H209),AND($J209&lt;&gt;"",$J209&lt;MAX($H209:$I209)),AND($K209&lt;&gt;"",$K209&lt;MAX($H209:$J209))),"Avance semanal decreciente"&amp;" · ","")&amp;IF(AND(ISNUMBER($F209),$F209&lt;FechaRef,N($L209)&lt;1),"Vencida"&amp;" · ","")&amp;IF(AND(ObsObligatoria="Sí",ISNUMBER($F209),$F209&lt;FechaRef,N($L209)&lt;1,$N209=""),"Vencida sin observación"&amp;" · ",""),LEN(IF(AND($S209="Macro",$B209=""),"Macroactividad vacía"&amp;" · ","")&amp;IF(AND($B209&lt;&gt;"",$C209&lt;&gt;""),"Escriba la subactividad en otra fila, debajo de su macroactividad"&amp;" · ","")&amp;IF(AND($S209="Sub",N($R209)=0),"Subactividad sin macroactividad arriba"&amp;" · ","")&amp;IF($D209="","Sin responsable"&amp;" · ","")&amp;IF($E209="","Sin fecha de inicio"&amp;" · ","")&amp;IF($F209="","Sin fecha límite"&amp;" · ","")&amp;IF(OR(AND($E209&lt;&gt;"",NOT(ISNUMBER($E209))),AND($F209&lt;&gt;"",NOT(ISNUMBER($F209)))),"Fecha no válida"&amp;" · ","")&amp;IF(AND(ISNUMBER($E209),ISNUMBER($F209),$E209&gt;$F209),"Inicio posterior a fecha límite"&amp;" · ","")&amp;IF(AND($S209="Macro",$G209=""),"Peso vacío"&amp;" · ","")&amp;IF(AND($S209="Macro",$G209&lt;&gt;"",OR(NOT(ISNUMBER($G209)),$G209&lt;=0,$G209&gt;1)),"Peso fuera de rango"&amp;" · ","")&amp;IF(AND($S209="Sub",$G209&lt;&gt;""),"Las subactividades no llevan peso"&amp;" · ","")&amp;IF(AND($S209="Macro",ABS(SUMIFS($G$5:$G$1000,$P$5:$P$1000,$P209,$S$5:$S$1000,"Macro")-1)&gt;0.0001),"Pesos del mes suman "&amp;TEXT(SUMIFS($G$5:$G$1000,$P$5:$P$1000,$P209,$S$5:$S$1000,"Macro"),"0%")&amp;" · ","")&amp;IF(AND(N($T209)&gt;0,COUNT($H209:$K209)&gt;0),"Con subactividades: deje vacías las semanas (se calculan solas)"&amp;" · ","")&amp;IF((COUNTIF($H209:$K209,"&gt;1")+COUNTIF($H209:$K209,"&lt;0")+COUNTA($H209:$K209)-COUNT($H209:$K209))&gt;0,"Avance fuera de rango 0-100%"&amp;" · ","")&amp;IF(OR(AND($I209&lt;&gt;"",$I209&lt;$H209),AND($J209&lt;&gt;"",$J209&lt;MAX($H209:$I209)),AND($K209&lt;&gt;"",$K209&lt;MAX($H209:$J209))),"Avance semanal decreciente"&amp;" · ","")&amp;IF(AND(ISNUMBER($F209),$F209&lt;FechaRef,N($L209)&lt;1),"Vencida"&amp;" · ","")&amp;IF(AND(ObsObligatoria="Sí",ISNUMBER($F209),$F209&lt;FechaRef,N($L209)&lt;1,$N209=""),"Vencida sin observación"&amp;" · ",""))-3)))</f>
        <v/>
      </c>
      <c r="P209" s="69">
        <f>IF(NOT((COUNTA($B209:$K209)+COUNTA($N209))&gt;0),"",IF(AND($S209="Sub",N($R209)&gt;0),IF(ISNUMBER(INDEX($E$5:$E$1000,$R209-4)),DATE(YEAR(INDEX($E$5:$E$1000,$R209-4)),MONTH(INDEX($E$5:$E$1000,$R209-4)),1),IF(ISNUMBER(INDEX($F$5:$F$1000,$R209-4)),DATE(YEAR(INDEX($F$5:$F$1000,$R209-4)),MONTH(INDEX($F$5:$F$1000,$R209-4)),1),MesCiclo)),IF(ISNUMBER($E209),DATE(YEAR($E209),MONTH($E209),1),IF(ISNUMBER($F209),DATE(YEAR($F209),MONTH($F209),1),MesCiclo))))</f>
        <v/>
      </c>
      <c r="Q209" s="70">
        <f>IF(OR($P209="",$P209&lt;&gt;MesCiclo),"",COUNTIF($P$5:$P209,MesCiclo))</f>
        <v/>
      </c>
      <c r="R209" s="70">
        <f>IF($S209="","",IF($S209="Macro",ROW(),IFERROR(LOOKUP(2,1/($S$5:$S209="Macro"),ROW($S$5:$S209)),0)))</f>
        <v/>
      </c>
      <c r="S209" s="70">
        <f>IF(NOT((COUNTA($B209:$K209)+COUNTA($N209))&gt;0),"",IF($B209&lt;&gt;"","Macro",IF($C209&lt;&gt;"","Sub","Macro")))</f>
        <v/>
      </c>
      <c r="T209" s="70">
        <f>IF($S209="Macro",COUNTIFS($R$5:$R$1000,ROW(),$S$5:$S$1000,"Sub"),"")</f>
        <v/>
      </c>
      <c r="U209" s="70">
        <f>IF($S209="","",IF(ISNUMBER($H209),$H209,0))</f>
        <v/>
      </c>
      <c r="V209" s="70">
        <f>IF($S209="","",IF(ISNUMBER($I209),$I209,$U209))</f>
        <v/>
      </c>
      <c r="W209" s="70">
        <f>IF($S209="","",IF(ISNUMBER($J209),$J209,$V209))</f>
        <v/>
      </c>
      <c r="X209" s="70">
        <f>IF($S209="","",IF(ISNUMBER($K209),$K209,$W209))</f>
        <v/>
      </c>
      <c r="Y209" s="70">
        <f>IF($S209="","",IF(N($T209)&gt;0,AVERAGEIFS($U$5:$U$1000,$R$5:$R$1000,ROW(),$S$5:$S$1000,"Sub"),$U209))</f>
        <v/>
      </c>
      <c r="Z209" s="70">
        <f>IF($S209="","",IF(N($T209)&gt;0,AVERAGEIFS($V$5:$V$1000,$R$5:$R$1000,ROW(),$S$5:$S$1000,"Sub"),$V209))</f>
        <v/>
      </c>
      <c r="AA209" s="70">
        <f>IF($S209="","",IF(N($T209)&gt;0,AVERAGEIFS($W$5:$W$1000,$R$5:$R$1000,ROW(),$S$5:$S$1000,"Sub"),$W209))</f>
        <v/>
      </c>
      <c r="AB209" s="70">
        <f>IF($S209="","",IF(N($T209)&gt;0,AVERAGEIFS($X$5:$X$1000,$R$5:$R$1000,ROW(),$S$5:$S$1000,"Sub"),$X209))</f>
        <v/>
      </c>
    </row>
    <row r="210">
      <c r="A210" s="61">
        <f>IF(NOT((COUNTA($B210:$K210)+COUNTA($N210))&gt;0),"",IF($S210="Macro",COUNTIFS($S$5:$S210,"Macro",$P$5:$P210,$P210),IF(N($R210)=0,"?",COUNTIFS(INDEX($S$5:$S$1000,1):INDEX($S$5:$S$1000,$R210-4),"Macro",INDEX($P$5:$P$1000,1):INDEX($P$5:$P$1000,$R210-4),INDEX($P$5:$P$1000,$R210-4))&amp;"."&amp;COUNTIFS($R$5:$R210,$R210,$S$5:$S210,"Sub"))))</f>
        <v/>
      </c>
      <c r="B210" s="62" t="n"/>
      <c r="C210" s="63" t="n"/>
      <c r="D210" s="62" t="n"/>
      <c r="E210" s="64" t="n"/>
      <c r="F210" s="64" t="n"/>
      <c r="G210" s="65" t="n"/>
      <c r="H210" s="66" t="n"/>
      <c r="I210" s="66" t="n"/>
      <c r="J210" s="66" t="n"/>
      <c r="K210" s="66" t="n"/>
      <c r="L210" s="67">
        <f>IF(NOT((COUNTA($B210:$K210)+COUNTA($N210))&gt;0),"",IF(N($T210)&gt;0,$AB210,IFERROR(LOOKUP(2,1/(H210:K210&lt;&gt;""),H210:K210),0)))</f>
        <v/>
      </c>
      <c r="M210" s="61">
        <f>IF(L210="","",IF(L210&gt;=1,"Completado",IF(L210&gt;0,"En curso","Pendiente")))</f>
        <v/>
      </c>
      <c r="N210" s="62" t="n"/>
      <c r="O210" s="68">
        <f>IF(NOT((COUNTA($B210:$K210)+COUNTA($N210))&gt;0),"",IF((IF(AND($S210="Macro",$B210=""),"Macroactividad vacía"&amp;" · ","")&amp;IF(AND($B210&lt;&gt;"",$C210&lt;&gt;""),"Escriba la subactividad en otra fila, debajo de su macroactividad"&amp;" · ","")&amp;IF(AND($S210="Sub",N($R210)=0),"Subactividad sin macroactividad arriba"&amp;" · ","")&amp;IF($D210="","Sin responsable"&amp;" · ","")&amp;IF($E210="","Sin fecha de inicio"&amp;" · ","")&amp;IF($F210="","Sin fecha límite"&amp;" · ","")&amp;IF(OR(AND($E210&lt;&gt;"",NOT(ISNUMBER($E210))),AND($F210&lt;&gt;"",NOT(ISNUMBER($F210)))),"Fecha no válida"&amp;" · ","")&amp;IF(AND(ISNUMBER($E210),ISNUMBER($F210),$E210&gt;$F210),"Inicio posterior a fecha límite"&amp;" · ","")&amp;IF(AND($S210="Macro",$G210=""),"Peso vacío"&amp;" · ","")&amp;IF(AND($S210="Macro",$G210&lt;&gt;"",OR(NOT(ISNUMBER($G210)),$G210&lt;=0,$G210&gt;1)),"Peso fuera de rango"&amp;" · ","")&amp;IF(AND($S210="Sub",$G210&lt;&gt;""),"Las subactividades no llevan peso"&amp;" · ","")&amp;IF(AND($S210="Macro",ABS(SUMIFS($G$5:$G$1000,$P$5:$P$1000,$P210,$S$5:$S$1000,"Macro")-1)&gt;0.0001),"Pesos del mes suman "&amp;TEXT(SUMIFS($G$5:$G$1000,$P$5:$P$1000,$P210,$S$5:$S$1000,"Macro"),"0%")&amp;" · ","")&amp;IF(AND(N($T210)&gt;0,COUNT($H210:$K210)&gt;0),"Con subactividades: deje vacías las semanas (se calculan solas)"&amp;" · ","")&amp;IF((COUNTIF($H210:$K210,"&gt;1")+COUNTIF($H210:$K210,"&lt;0")+COUNTA($H210:$K210)-COUNT($H210:$K210))&gt;0,"Avance fuera de rango 0-100%"&amp;" · ","")&amp;IF(OR(AND($I210&lt;&gt;"",$I210&lt;$H210),AND($J210&lt;&gt;"",$J210&lt;MAX($H210:$I210)),AND($K210&lt;&gt;"",$K210&lt;MAX($H210:$J210))),"Avance semanal decreciente"&amp;" · ","")&amp;IF(AND(ISNUMBER($F210),$F210&lt;FechaRef,N($L210)&lt;1),"Vencida"&amp;" · ","")&amp;IF(AND(ObsObligatoria="Sí",ISNUMBER($F210),$F210&lt;FechaRef,N($L210)&lt;1,$N210=""),"Vencida sin observación"&amp;" · ",""))="","✔ OK","⚠ "&amp;LEFT(IF(AND($S210="Macro",$B210=""),"Macroactividad vacía"&amp;" · ","")&amp;IF(AND($B210&lt;&gt;"",$C210&lt;&gt;""),"Escriba la subactividad en otra fila, debajo de su macroactividad"&amp;" · ","")&amp;IF(AND($S210="Sub",N($R210)=0),"Subactividad sin macroactividad arriba"&amp;" · ","")&amp;IF($D210="","Sin responsable"&amp;" · ","")&amp;IF($E210="","Sin fecha de inicio"&amp;" · ","")&amp;IF($F210="","Sin fecha límite"&amp;" · ","")&amp;IF(OR(AND($E210&lt;&gt;"",NOT(ISNUMBER($E210))),AND($F210&lt;&gt;"",NOT(ISNUMBER($F210)))),"Fecha no válida"&amp;" · ","")&amp;IF(AND(ISNUMBER($E210),ISNUMBER($F210),$E210&gt;$F210),"Inicio posterior a fecha límite"&amp;" · ","")&amp;IF(AND($S210="Macro",$G210=""),"Peso vacío"&amp;" · ","")&amp;IF(AND($S210="Macro",$G210&lt;&gt;"",OR(NOT(ISNUMBER($G210)),$G210&lt;=0,$G210&gt;1)),"Peso fuera de rango"&amp;" · ","")&amp;IF(AND($S210="Sub",$G210&lt;&gt;""),"Las subactividades no llevan peso"&amp;" · ","")&amp;IF(AND($S210="Macro",ABS(SUMIFS($G$5:$G$1000,$P$5:$P$1000,$P210,$S$5:$S$1000,"Macro")-1)&gt;0.0001),"Pesos del mes suman "&amp;TEXT(SUMIFS($G$5:$G$1000,$P$5:$P$1000,$P210,$S$5:$S$1000,"Macro"),"0%")&amp;" · ","")&amp;IF(AND(N($T210)&gt;0,COUNT($H210:$K210)&gt;0),"Con subactividades: deje vacías las semanas (se calculan solas)"&amp;" · ","")&amp;IF((COUNTIF($H210:$K210,"&gt;1")+COUNTIF($H210:$K210,"&lt;0")+COUNTA($H210:$K210)-COUNT($H210:$K210))&gt;0,"Avance fuera de rango 0-100%"&amp;" · ","")&amp;IF(OR(AND($I210&lt;&gt;"",$I210&lt;$H210),AND($J210&lt;&gt;"",$J210&lt;MAX($H210:$I210)),AND($K210&lt;&gt;"",$K210&lt;MAX($H210:$J210))),"Avance semanal decreciente"&amp;" · ","")&amp;IF(AND(ISNUMBER($F210),$F210&lt;FechaRef,N($L210)&lt;1),"Vencida"&amp;" · ","")&amp;IF(AND(ObsObligatoria="Sí",ISNUMBER($F210),$F210&lt;FechaRef,N($L210)&lt;1,$N210=""),"Vencida sin observación"&amp;" · ",""),LEN(IF(AND($S210="Macro",$B210=""),"Macroactividad vacía"&amp;" · ","")&amp;IF(AND($B210&lt;&gt;"",$C210&lt;&gt;""),"Escriba la subactividad en otra fila, debajo de su macroactividad"&amp;" · ","")&amp;IF(AND($S210="Sub",N($R210)=0),"Subactividad sin macroactividad arriba"&amp;" · ","")&amp;IF($D210="","Sin responsable"&amp;" · ","")&amp;IF($E210="","Sin fecha de inicio"&amp;" · ","")&amp;IF($F210="","Sin fecha límite"&amp;" · ","")&amp;IF(OR(AND($E210&lt;&gt;"",NOT(ISNUMBER($E210))),AND($F210&lt;&gt;"",NOT(ISNUMBER($F210)))),"Fecha no válida"&amp;" · ","")&amp;IF(AND(ISNUMBER($E210),ISNUMBER($F210),$E210&gt;$F210),"Inicio posterior a fecha límite"&amp;" · ","")&amp;IF(AND($S210="Macro",$G210=""),"Peso vacío"&amp;" · ","")&amp;IF(AND($S210="Macro",$G210&lt;&gt;"",OR(NOT(ISNUMBER($G210)),$G210&lt;=0,$G210&gt;1)),"Peso fuera de rango"&amp;" · ","")&amp;IF(AND($S210="Sub",$G210&lt;&gt;""),"Las subactividades no llevan peso"&amp;" · ","")&amp;IF(AND($S210="Macro",ABS(SUMIFS($G$5:$G$1000,$P$5:$P$1000,$P210,$S$5:$S$1000,"Macro")-1)&gt;0.0001),"Pesos del mes suman "&amp;TEXT(SUMIFS($G$5:$G$1000,$P$5:$P$1000,$P210,$S$5:$S$1000,"Macro"),"0%")&amp;" · ","")&amp;IF(AND(N($T210)&gt;0,COUNT($H210:$K210)&gt;0),"Con subactividades: deje vacías las semanas (se calculan solas)"&amp;" · ","")&amp;IF((COUNTIF($H210:$K210,"&gt;1")+COUNTIF($H210:$K210,"&lt;0")+COUNTA($H210:$K210)-COUNT($H210:$K210))&gt;0,"Avance fuera de rango 0-100%"&amp;" · ","")&amp;IF(OR(AND($I210&lt;&gt;"",$I210&lt;$H210),AND($J210&lt;&gt;"",$J210&lt;MAX($H210:$I210)),AND($K210&lt;&gt;"",$K210&lt;MAX($H210:$J210))),"Avance semanal decreciente"&amp;" · ","")&amp;IF(AND(ISNUMBER($F210),$F210&lt;FechaRef,N($L210)&lt;1),"Vencida"&amp;" · ","")&amp;IF(AND(ObsObligatoria="Sí",ISNUMBER($F210),$F210&lt;FechaRef,N($L210)&lt;1,$N210=""),"Vencida sin observación"&amp;" · ",""))-3)))</f>
        <v/>
      </c>
      <c r="P210" s="69">
        <f>IF(NOT((COUNTA($B210:$K210)+COUNTA($N210))&gt;0),"",IF(AND($S210="Sub",N($R210)&gt;0),IF(ISNUMBER(INDEX($E$5:$E$1000,$R210-4)),DATE(YEAR(INDEX($E$5:$E$1000,$R210-4)),MONTH(INDEX($E$5:$E$1000,$R210-4)),1),IF(ISNUMBER(INDEX($F$5:$F$1000,$R210-4)),DATE(YEAR(INDEX($F$5:$F$1000,$R210-4)),MONTH(INDEX($F$5:$F$1000,$R210-4)),1),MesCiclo)),IF(ISNUMBER($E210),DATE(YEAR($E210),MONTH($E210),1),IF(ISNUMBER($F210),DATE(YEAR($F210),MONTH($F210),1),MesCiclo))))</f>
        <v/>
      </c>
      <c r="Q210" s="70">
        <f>IF(OR($P210="",$P210&lt;&gt;MesCiclo),"",COUNTIF($P$5:$P210,MesCiclo))</f>
        <v/>
      </c>
      <c r="R210" s="70">
        <f>IF($S210="","",IF($S210="Macro",ROW(),IFERROR(LOOKUP(2,1/($S$5:$S210="Macro"),ROW($S$5:$S210)),0)))</f>
        <v/>
      </c>
      <c r="S210" s="70">
        <f>IF(NOT((COUNTA($B210:$K210)+COUNTA($N210))&gt;0),"",IF($B210&lt;&gt;"","Macro",IF($C210&lt;&gt;"","Sub","Macro")))</f>
        <v/>
      </c>
      <c r="T210" s="70">
        <f>IF($S210="Macro",COUNTIFS($R$5:$R$1000,ROW(),$S$5:$S$1000,"Sub"),"")</f>
        <v/>
      </c>
      <c r="U210" s="70">
        <f>IF($S210="","",IF(ISNUMBER($H210),$H210,0))</f>
        <v/>
      </c>
      <c r="V210" s="70">
        <f>IF($S210="","",IF(ISNUMBER($I210),$I210,$U210))</f>
        <v/>
      </c>
      <c r="W210" s="70">
        <f>IF($S210="","",IF(ISNUMBER($J210),$J210,$V210))</f>
        <v/>
      </c>
      <c r="X210" s="70">
        <f>IF($S210="","",IF(ISNUMBER($K210),$K210,$W210))</f>
        <v/>
      </c>
      <c r="Y210" s="70">
        <f>IF($S210="","",IF(N($T210)&gt;0,AVERAGEIFS($U$5:$U$1000,$R$5:$R$1000,ROW(),$S$5:$S$1000,"Sub"),$U210))</f>
        <v/>
      </c>
      <c r="Z210" s="70">
        <f>IF($S210="","",IF(N($T210)&gt;0,AVERAGEIFS($V$5:$V$1000,$R$5:$R$1000,ROW(),$S$5:$S$1000,"Sub"),$V210))</f>
        <v/>
      </c>
      <c r="AA210" s="70">
        <f>IF($S210="","",IF(N($T210)&gt;0,AVERAGEIFS($W$5:$W$1000,$R$5:$R$1000,ROW(),$S$5:$S$1000,"Sub"),$W210))</f>
        <v/>
      </c>
      <c r="AB210" s="70">
        <f>IF($S210="","",IF(N($T210)&gt;0,AVERAGEIFS($X$5:$X$1000,$R$5:$R$1000,ROW(),$S$5:$S$1000,"Sub"),$X210))</f>
        <v/>
      </c>
    </row>
    <row r="211">
      <c r="A211" s="61">
        <f>IF(NOT((COUNTA($B211:$K211)+COUNTA($N211))&gt;0),"",IF($S211="Macro",COUNTIFS($S$5:$S211,"Macro",$P$5:$P211,$P211),IF(N($R211)=0,"?",COUNTIFS(INDEX($S$5:$S$1000,1):INDEX($S$5:$S$1000,$R211-4),"Macro",INDEX($P$5:$P$1000,1):INDEX($P$5:$P$1000,$R211-4),INDEX($P$5:$P$1000,$R211-4))&amp;"."&amp;COUNTIFS($R$5:$R211,$R211,$S$5:$S211,"Sub"))))</f>
        <v/>
      </c>
      <c r="B211" s="62" t="n"/>
      <c r="C211" s="63" t="n"/>
      <c r="D211" s="62" t="n"/>
      <c r="E211" s="64" t="n"/>
      <c r="F211" s="64" t="n"/>
      <c r="G211" s="65" t="n"/>
      <c r="H211" s="66" t="n"/>
      <c r="I211" s="66" t="n"/>
      <c r="J211" s="66" t="n"/>
      <c r="K211" s="66" t="n"/>
      <c r="L211" s="67">
        <f>IF(NOT((COUNTA($B211:$K211)+COUNTA($N211))&gt;0),"",IF(N($T211)&gt;0,$AB211,IFERROR(LOOKUP(2,1/(H211:K211&lt;&gt;""),H211:K211),0)))</f>
        <v/>
      </c>
      <c r="M211" s="61">
        <f>IF(L211="","",IF(L211&gt;=1,"Completado",IF(L211&gt;0,"En curso","Pendiente")))</f>
        <v/>
      </c>
      <c r="N211" s="62" t="n"/>
      <c r="O211" s="68">
        <f>IF(NOT((COUNTA($B211:$K211)+COUNTA($N211))&gt;0),"",IF((IF(AND($S211="Macro",$B211=""),"Macroactividad vacía"&amp;" · ","")&amp;IF(AND($B211&lt;&gt;"",$C211&lt;&gt;""),"Escriba la subactividad en otra fila, debajo de su macroactividad"&amp;" · ","")&amp;IF(AND($S211="Sub",N($R211)=0),"Subactividad sin macroactividad arriba"&amp;" · ","")&amp;IF($D211="","Sin responsable"&amp;" · ","")&amp;IF($E211="","Sin fecha de inicio"&amp;" · ","")&amp;IF($F211="","Sin fecha límite"&amp;" · ","")&amp;IF(OR(AND($E211&lt;&gt;"",NOT(ISNUMBER($E211))),AND($F211&lt;&gt;"",NOT(ISNUMBER($F211)))),"Fecha no válida"&amp;" · ","")&amp;IF(AND(ISNUMBER($E211),ISNUMBER($F211),$E211&gt;$F211),"Inicio posterior a fecha límite"&amp;" · ","")&amp;IF(AND($S211="Macro",$G211=""),"Peso vacío"&amp;" · ","")&amp;IF(AND($S211="Macro",$G211&lt;&gt;"",OR(NOT(ISNUMBER($G211)),$G211&lt;=0,$G211&gt;1)),"Peso fuera de rango"&amp;" · ","")&amp;IF(AND($S211="Sub",$G211&lt;&gt;""),"Las subactividades no llevan peso"&amp;" · ","")&amp;IF(AND($S211="Macro",ABS(SUMIFS($G$5:$G$1000,$P$5:$P$1000,$P211,$S$5:$S$1000,"Macro")-1)&gt;0.0001),"Pesos del mes suman "&amp;TEXT(SUMIFS($G$5:$G$1000,$P$5:$P$1000,$P211,$S$5:$S$1000,"Macro"),"0%")&amp;" · ","")&amp;IF(AND(N($T211)&gt;0,COUNT($H211:$K211)&gt;0),"Con subactividades: deje vacías las semanas (se calculan solas)"&amp;" · ","")&amp;IF((COUNTIF($H211:$K211,"&gt;1")+COUNTIF($H211:$K211,"&lt;0")+COUNTA($H211:$K211)-COUNT($H211:$K211))&gt;0,"Avance fuera de rango 0-100%"&amp;" · ","")&amp;IF(OR(AND($I211&lt;&gt;"",$I211&lt;$H211),AND($J211&lt;&gt;"",$J211&lt;MAX($H211:$I211)),AND($K211&lt;&gt;"",$K211&lt;MAX($H211:$J211))),"Avance semanal decreciente"&amp;" · ","")&amp;IF(AND(ISNUMBER($F211),$F211&lt;FechaRef,N($L211)&lt;1),"Vencida"&amp;" · ","")&amp;IF(AND(ObsObligatoria="Sí",ISNUMBER($F211),$F211&lt;FechaRef,N($L211)&lt;1,$N211=""),"Vencida sin observación"&amp;" · ",""))="","✔ OK","⚠ "&amp;LEFT(IF(AND($S211="Macro",$B211=""),"Macroactividad vacía"&amp;" · ","")&amp;IF(AND($B211&lt;&gt;"",$C211&lt;&gt;""),"Escriba la subactividad en otra fila, debajo de su macroactividad"&amp;" · ","")&amp;IF(AND($S211="Sub",N($R211)=0),"Subactividad sin macroactividad arriba"&amp;" · ","")&amp;IF($D211="","Sin responsable"&amp;" · ","")&amp;IF($E211="","Sin fecha de inicio"&amp;" · ","")&amp;IF($F211="","Sin fecha límite"&amp;" · ","")&amp;IF(OR(AND($E211&lt;&gt;"",NOT(ISNUMBER($E211))),AND($F211&lt;&gt;"",NOT(ISNUMBER($F211)))),"Fecha no válida"&amp;" · ","")&amp;IF(AND(ISNUMBER($E211),ISNUMBER($F211),$E211&gt;$F211),"Inicio posterior a fecha límite"&amp;" · ","")&amp;IF(AND($S211="Macro",$G211=""),"Peso vacío"&amp;" · ","")&amp;IF(AND($S211="Macro",$G211&lt;&gt;"",OR(NOT(ISNUMBER($G211)),$G211&lt;=0,$G211&gt;1)),"Peso fuera de rango"&amp;" · ","")&amp;IF(AND($S211="Sub",$G211&lt;&gt;""),"Las subactividades no llevan peso"&amp;" · ","")&amp;IF(AND($S211="Macro",ABS(SUMIFS($G$5:$G$1000,$P$5:$P$1000,$P211,$S$5:$S$1000,"Macro")-1)&gt;0.0001),"Pesos del mes suman "&amp;TEXT(SUMIFS($G$5:$G$1000,$P$5:$P$1000,$P211,$S$5:$S$1000,"Macro"),"0%")&amp;" · ","")&amp;IF(AND(N($T211)&gt;0,COUNT($H211:$K211)&gt;0),"Con subactividades: deje vacías las semanas (se calculan solas)"&amp;" · ","")&amp;IF((COUNTIF($H211:$K211,"&gt;1")+COUNTIF($H211:$K211,"&lt;0")+COUNTA($H211:$K211)-COUNT($H211:$K211))&gt;0,"Avance fuera de rango 0-100%"&amp;" · ","")&amp;IF(OR(AND($I211&lt;&gt;"",$I211&lt;$H211),AND($J211&lt;&gt;"",$J211&lt;MAX($H211:$I211)),AND($K211&lt;&gt;"",$K211&lt;MAX($H211:$J211))),"Avance semanal decreciente"&amp;" · ","")&amp;IF(AND(ISNUMBER($F211),$F211&lt;FechaRef,N($L211)&lt;1),"Vencida"&amp;" · ","")&amp;IF(AND(ObsObligatoria="Sí",ISNUMBER($F211),$F211&lt;FechaRef,N($L211)&lt;1,$N211=""),"Vencida sin observación"&amp;" · ",""),LEN(IF(AND($S211="Macro",$B211=""),"Macroactividad vacía"&amp;" · ","")&amp;IF(AND($B211&lt;&gt;"",$C211&lt;&gt;""),"Escriba la subactividad en otra fila, debajo de su macroactividad"&amp;" · ","")&amp;IF(AND($S211="Sub",N($R211)=0),"Subactividad sin macroactividad arriba"&amp;" · ","")&amp;IF($D211="","Sin responsable"&amp;" · ","")&amp;IF($E211="","Sin fecha de inicio"&amp;" · ","")&amp;IF($F211="","Sin fecha límite"&amp;" · ","")&amp;IF(OR(AND($E211&lt;&gt;"",NOT(ISNUMBER($E211))),AND($F211&lt;&gt;"",NOT(ISNUMBER($F211)))),"Fecha no válida"&amp;" · ","")&amp;IF(AND(ISNUMBER($E211),ISNUMBER($F211),$E211&gt;$F211),"Inicio posterior a fecha límite"&amp;" · ","")&amp;IF(AND($S211="Macro",$G211=""),"Peso vacío"&amp;" · ","")&amp;IF(AND($S211="Macro",$G211&lt;&gt;"",OR(NOT(ISNUMBER($G211)),$G211&lt;=0,$G211&gt;1)),"Peso fuera de rango"&amp;" · ","")&amp;IF(AND($S211="Sub",$G211&lt;&gt;""),"Las subactividades no llevan peso"&amp;" · ","")&amp;IF(AND($S211="Macro",ABS(SUMIFS($G$5:$G$1000,$P$5:$P$1000,$P211,$S$5:$S$1000,"Macro")-1)&gt;0.0001),"Pesos del mes suman "&amp;TEXT(SUMIFS($G$5:$G$1000,$P$5:$P$1000,$P211,$S$5:$S$1000,"Macro"),"0%")&amp;" · ","")&amp;IF(AND(N($T211)&gt;0,COUNT($H211:$K211)&gt;0),"Con subactividades: deje vacías las semanas (se calculan solas)"&amp;" · ","")&amp;IF((COUNTIF($H211:$K211,"&gt;1")+COUNTIF($H211:$K211,"&lt;0")+COUNTA($H211:$K211)-COUNT($H211:$K211))&gt;0,"Avance fuera de rango 0-100%"&amp;" · ","")&amp;IF(OR(AND($I211&lt;&gt;"",$I211&lt;$H211),AND($J211&lt;&gt;"",$J211&lt;MAX($H211:$I211)),AND($K211&lt;&gt;"",$K211&lt;MAX($H211:$J211))),"Avance semanal decreciente"&amp;" · ","")&amp;IF(AND(ISNUMBER($F211),$F211&lt;FechaRef,N($L211)&lt;1),"Vencida"&amp;" · ","")&amp;IF(AND(ObsObligatoria="Sí",ISNUMBER($F211),$F211&lt;FechaRef,N($L211)&lt;1,$N211=""),"Vencida sin observación"&amp;" · ",""))-3)))</f>
        <v/>
      </c>
      <c r="P211" s="69">
        <f>IF(NOT((COUNTA($B211:$K211)+COUNTA($N211))&gt;0),"",IF(AND($S211="Sub",N($R211)&gt;0),IF(ISNUMBER(INDEX($E$5:$E$1000,$R211-4)),DATE(YEAR(INDEX($E$5:$E$1000,$R211-4)),MONTH(INDEX($E$5:$E$1000,$R211-4)),1),IF(ISNUMBER(INDEX($F$5:$F$1000,$R211-4)),DATE(YEAR(INDEX($F$5:$F$1000,$R211-4)),MONTH(INDEX($F$5:$F$1000,$R211-4)),1),MesCiclo)),IF(ISNUMBER($E211),DATE(YEAR($E211),MONTH($E211),1),IF(ISNUMBER($F211),DATE(YEAR($F211),MONTH($F211),1),MesCiclo))))</f>
        <v/>
      </c>
      <c r="Q211" s="70">
        <f>IF(OR($P211="",$P211&lt;&gt;MesCiclo),"",COUNTIF($P$5:$P211,MesCiclo))</f>
        <v/>
      </c>
      <c r="R211" s="70">
        <f>IF($S211="","",IF($S211="Macro",ROW(),IFERROR(LOOKUP(2,1/($S$5:$S211="Macro"),ROW($S$5:$S211)),0)))</f>
        <v/>
      </c>
      <c r="S211" s="70">
        <f>IF(NOT((COUNTA($B211:$K211)+COUNTA($N211))&gt;0),"",IF($B211&lt;&gt;"","Macro",IF($C211&lt;&gt;"","Sub","Macro")))</f>
        <v/>
      </c>
      <c r="T211" s="70">
        <f>IF($S211="Macro",COUNTIFS($R$5:$R$1000,ROW(),$S$5:$S$1000,"Sub"),"")</f>
        <v/>
      </c>
      <c r="U211" s="70">
        <f>IF($S211="","",IF(ISNUMBER($H211),$H211,0))</f>
        <v/>
      </c>
      <c r="V211" s="70">
        <f>IF($S211="","",IF(ISNUMBER($I211),$I211,$U211))</f>
        <v/>
      </c>
      <c r="W211" s="70">
        <f>IF($S211="","",IF(ISNUMBER($J211),$J211,$V211))</f>
        <v/>
      </c>
      <c r="X211" s="70">
        <f>IF($S211="","",IF(ISNUMBER($K211),$K211,$W211))</f>
        <v/>
      </c>
      <c r="Y211" s="70">
        <f>IF($S211="","",IF(N($T211)&gt;0,AVERAGEIFS($U$5:$U$1000,$R$5:$R$1000,ROW(),$S$5:$S$1000,"Sub"),$U211))</f>
        <v/>
      </c>
      <c r="Z211" s="70">
        <f>IF($S211="","",IF(N($T211)&gt;0,AVERAGEIFS($V$5:$V$1000,$R$5:$R$1000,ROW(),$S$5:$S$1000,"Sub"),$V211))</f>
        <v/>
      </c>
      <c r="AA211" s="70">
        <f>IF($S211="","",IF(N($T211)&gt;0,AVERAGEIFS($W$5:$W$1000,$R$5:$R$1000,ROW(),$S$5:$S$1000,"Sub"),$W211))</f>
        <v/>
      </c>
      <c r="AB211" s="70">
        <f>IF($S211="","",IF(N($T211)&gt;0,AVERAGEIFS($X$5:$X$1000,$R$5:$R$1000,ROW(),$S$5:$S$1000,"Sub"),$X211))</f>
        <v/>
      </c>
    </row>
    <row r="212">
      <c r="A212" s="61">
        <f>IF(NOT((COUNTA($B212:$K212)+COUNTA($N212))&gt;0),"",IF($S212="Macro",COUNTIFS($S$5:$S212,"Macro",$P$5:$P212,$P212),IF(N($R212)=0,"?",COUNTIFS(INDEX($S$5:$S$1000,1):INDEX($S$5:$S$1000,$R212-4),"Macro",INDEX($P$5:$P$1000,1):INDEX($P$5:$P$1000,$R212-4),INDEX($P$5:$P$1000,$R212-4))&amp;"."&amp;COUNTIFS($R$5:$R212,$R212,$S$5:$S212,"Sub"))))</f>
        <v/>
      </c>
      <c r="B212" s="62" t="n"/>
      <c r="C212" s="63" t="n"/>
      <c r="D212" s="62" t="n"/>
      <c r="E212" s="64" t="n"/>
      <c r="F212" s="64" t="n"/>
      <c r="G212" s="65" t="n"/>
      <c r="H212" s="66" t="n"/>
      <c r="I212" s="66" t="n"/>
      <c r="J212" s="66" t="n"/>
      <c r="K212" s="66" t="n"/>
      <c r="L212" s="67">
        <f>IF(NOT((COUNTA($B212:$K212)+COUNTA($N212))&gt;0),"",IF(N($T212)&gt;0,$AB212,IFERROR(LOOKUP(2,1/(H212:K212&lt;&gt;""),H212:K212),0)))</f>
        <v/>
      </c>
      <c r="M212" s="61">
        <f>IF(L212="","",IF(L212&gt;=1,"Completado",IF(L212&gt;0,"En curso","Pendiente")))</f>
        <v/>
      </c>
      <c r="N212" s="62" t="n"/>
      <c r="O212" s="68">
        <f>IF(NOT((COUNTA($B212:$K212)+COUNTA($N212))&gt;0),"",IF((IF(AND($S212="Macro",$B212=""),"Macroactividad vacía"&amp;" · ","")&amp;IF(AND($B212&lt;&gt;"",$C212&lt;&gt;""),"Escriba la subactividad en otra fila, debajo de su macroactividad"&amp;" · ","")&amp;IF(AND($S212="Sub",N($R212)=0),"Subactividad sin macroactividad arriba"&amp;" · ","")&amp;IF($D212="","Sin responsable"&amp;" · ","")&amp;IF($E212="","Sin fecha de inicio"&amp;" · ","")&amp;IF($F212="","Sin fecha límite"&amp;" · ","")&amp;IF(OR(AND($E212&lt;&gt;"",NOT(ISNUMBER($E212))),AND($F212&lt;&gt;"",NOT(ISNUMBER($F212)))),"Fecha no válida"&amp;" · ","")&amp;IF(AND(ISNUMBER($E212),ISNUMBER($F212),$E212&gt;$F212),"Inicio posterior a fecha límite"&amp;" · ","")&amp;IF(AND($S212="Macro",$G212=""),"Peso vacío"&amp;" · ","")&amp;IF(AND($S212="Macro",$G212&lt;&gt;"",OR(NOT(ISNUMBER($G212)),$G212&lt;=0,$G212&gt;1)),"Peso fuera de rango"&amp;" · ","")&amp;IF(AND($S212="Sub",$G212&lt;&gt;""),"Las subactividades no llevan peso"&amp;" · ","")&amp;IF(AND($S212="Macro",ABS(SUMIFS($G$5:$G$1000,$P$5:$P$1000,$P212,$S$5:$S$1000,"Macro")-1)&gt;0.0001),"Pesos del mes suman "&amp;TEXT(SUMIFS($G$5:$G$1000,$P$5:$P$1000,$P212,$S$5:$S$1000,"Macro"),"0%")&amp;" · ","")&amp;IF(AND(N($T212)&gt;0,COUNT($H212:$K212)&gt;0),"Con subactividades: deje vacías las semanas (se calculan solas)"&amp;" · ","")&amp;IF((COUNTIF($H212:$K212,"&gt;1")+COUNTIF($H212:$K212,"&lt;0")+COUNTA($H212:$K212)-COUNT($H212:$K212))&gt;0,"Avance fuera de rango 0-100%"&amp;" · ","")&amp;IF(OR(AND($I212&lt;&gt;"",$I212&lt;$H212),AND($J212&lt;&gt;"",$J212&lt;MAX($H212:$I212)),AND($K212&lt;&gt;"",$K212&lt;MAX($H212:$J212))),"Avance semanal decreciente"&amp;" · ","")&amp;IF(AND(ISNUMBER($F212),$F212&lt;FechaRef,N($L212)&lt;1),"Vencida"&amp;" · ","")&amp;IF(AND(ObsObligatoria="Sí",ISNUMBER($F212),$F212&lt;FechaRef,N($L212)&lt;1,$N212=""),"Vencida sin observación"&amp;" · ",""))="","✔ OK","⚠ "&amp;LEFT(IF(AND($S212="Macro",$B212=""),"Macroactividad vacía"&amp;" · ","")&amp;IF(AND($B212&lt;&gt;"",$C212&lt;&gt;""),"Escriba la subactividad en otra fila, debajo de su macroactividad"&amp;" · ","")&amp;IF(AND($S212="Sub",N($R212)=0),"Subactividad sin macroactividad arriba"&amp;" · ","")&amp;IF($D212="","Sin responsable"&amp;" · ","")&amp;IF($E212="","Sin fecha de inicio"&amp;" · ","")&amp;IF($F212="","Sin fecha límite"&amp;" · ","")&amp;IF(OR(AND($E212&lt;&gt;"",NOT(ISNUMBER($E212))),AND($F212&lt;&gt;"",NOT(ISNUMBER($F212)))),"Fecha no válida"&amp;" · ","")&amp;IF(AND(ISNUMBER($E212),ISNUMBER($F212),$E212&gt;$F212),"Inicio posterior a fecha límite"&amp;" · ","")&amp;IF(AND($S212="Macro",$G212=""),"Peso vacío"&amp;" · ","")&amp;IF(AND($S212="Macro",$G212&lt;&gt;"",OR(NOT(ISNUMBER($G212)),$G212&lt;=0,$G212&gt;1)),"Peso fuera de rango"&amp;" · ","")&amp;IF(AND($S212="Sub",$G212&lt;&gt;""),"Las subactividades no llevan peso"&amp;" · ","")&amp;IF(AND($S212="Macro",ABS(SUMIFS($G$5:$G$1000,$P$5:$P$1000,$P212,$S$5:$S$1000,"Macro")-1)&gt;0.0001),"Pesos del mes suman "&amp;TEXT(SUMIFS($G$5:$G$1000,$P$5:$P$1000,$P212,$S$5:$S$1000,"Macro"),"0%")&amp;" · ","")&amp;IF(AND(N($T212)&gt;0,COUNT($H212:$K212)&gt;0),"Con subactividades: deje vacías las semanas (se calculan solas)"&amp;" · ","")&amp;IF((COUNTIF($H212:$K212,"&gt;1")+COUNTIF($H212:$K212,"&lt;0")+COUNTA($H212:$K212)-COUNT($H212:$K212))&gt;0,"Avance fuera de rango 0-100%"&amp;" · ","")&amp;IF(OR(AND($I212&lt;&gt;"",$I212&lt;$H212),AND($J212&lt;&gt;"",$J212&lt;MAX($H212:$I212)),AND($K212&lt;&gt;"",$K212&lt;MAX($H212:$J212))),"Avance semanal decreciente"&amp;" · ","")&amp;IF(AND(ISNUMBER($F212),$F212&lt;FechaRef,N($L212)&lt;1),"Vencida"&amp;" · ","")&amp;IF(AND(ObsObligatoria="Sí",ISNUMBER($F212),$F212&lt;FechaRef,N($L212)&lt;1,$N212=""),"Vencida sin observación"&amp;" · ",""),LEN(IF(AND($S212="Macro",$B212=""),"Macroactividad vacía"&amp;" · ","")&amp;IF(AND($B212&lt;&gt;"",$C212&lt;&gt;""),"Escriba la subactividad en otra fila, debajo de su macroactividad"&amp;" · ","")&amp;IF(AND($S212="Sub",N($R212)=0),"Subactividad sin macroactividad arriba"&amp;" · ","")&amp;IF($D212="","Sin responsable"&amp;" · ","")&amp;IF($E212="","Sin fecha de inicio"&amp;" · ","")&amp;IF($F212="","Sin fecha límite"&amp;" · ","")&amp;IF(OR(AND($E212&lt;&gt;"",NOT(ISNUMBER($E212))),AND($F212&lt;&gt;"",NOT(ISNUMBER($F212)))),"Fecha no válida"&amp;" · ","")&amp;IF(AND(ISNUMBER($E212),ISNUMBER($F212),$E212&gt;$F212),"Inicio posterior a fecha límite"&amp;" · ","")&amp;IF(AND($S212="Macro",$G212=""),"Peso vacío"&amp;" · ","")&amp;IF(AND($S212="Macro",$G212&lt;&gt;"",OR(NOT(ISNUMBER($G212)),$G212&lt;=0,$G212&gt;1)),"Peso fuera de rango"&amp;" · ","")&amp;IF(AND($S212="Sub",$G212&lt;&gt;""),"Las subactividades no llevan peso"&amp;" · ","")&amp;IF(AND($S212="Macro",ABS(SUMIFS($G$5:$G$1000,$P$5:$P$1000,$P212,$S$5:$S$1000,"Macro")-1)&gt;0.0001),"Pesos del mes suman "&amp;TEXT(SUMIFS($G$5:$G$1000,$P$5:$P$1000,$P212,$S$5:$S$1000,"Macro"),"0%")&amp;" · ","")&amp;IF(AND(N($T212)&gt;0,COUNT($H212:$K212)&gt;0),"Con subactividades: deje vacías las semanas (se calculan solas)"&amp;" · ","")&amp;IF((COUNTIF($H212:$K212,"&gt;1")+COUNTIF($H212:$K212,"&lt;0")+COUNTA($H212:$K212)-COUNT($H212:$K212))&gt;0,"Avance fuera de rango 0-100%"&amp;" · ","")&amp;IF(OR(AND($I212&lt;&gt;"",$I212&lt;$H212),AND($J212&lt;&gt;"",$J212&lt;MAX($H212:$I212)),AND($K212&lt;&gt;"",$K212&lt;MAX($H212:$J212))),"Avance semanal decreciente"&amp;" · ","")&amp;IF(AND(ISNUMBER($F212),$F212&lt;FechaRef,N($L212)&lt;1),"Vencida"&amp;" · ","")&amp;IF(AND(ObsObligatoria="Sí",ISNUMBER($F212),$F212&lt;FechaRef,N($L212)&lt;1,$N212=""),"Vencida sin observación"&amp;" · ",""))-3)))</f>
        <v/>
      </c>
      <c r="P212" s="69">
        <f>IF(NOT((COUNTA($B212:$K212)+COUNTA($N212))&gt;0),"",IF(AND($S212="Sub",N($R212)&gt;0),IF(ISNUMBER(INDEX($E$5:$E$1000,$R212-4)),DATE(YEAR(INDEX($E$5:$E$1000,$R212-4)),MONTH(INDEX($E$5:$E$1000,$R212-4)),1),IF(ISNUMBER(INDEX($F$5:$F$1000,$R212-4)),DATE(YEAR(INDEX($F$5:$F$1000,$R212-4)),MONTH(INDEX($F$5:$F$1000,$R212-4)),1),MesCiclo)),IF(ISNUMBER($E212),DATE(YEAR($E212),MONTH($E212),1),IF(ISNUMBER($F212),DATE(YEAR($F212),MONTH($F212),1),MesCiclo))))</f>
        <v/>
      </c>
      <c r="Q212" s="70">
        <f>IF(OR($P212="",$P212&lt;&gt;MesCiclo),"",COUNTIF($P$5:$P212,MesCiclo))</f>
        <v/>
      </c>
      <c r="R212" s="70">
        <f>IF($S212="","",IF($S212="Macro",ROW(),IFERROR(LOOKUP(2,1/($S$5:$S212="Macro"),ROW($S$5:$S212)),0)))</f>
        <v/>
      </c>
      <c r="S212" s="70">
        <f>IF(NOT((COUNTA($B212:$K212)+COUNTA($N212))&gt;0),"",IF($B212&lt;&gt;"","Macro",IF($C212&lt;&gt;"","Sub","Macro")))</f>
        <v/>
      </c>
      <c r="T212" s="70">
        <f>IF($S212="Macro",COUNTIFS($R$5:$R$1000,ROW(),$S$5:$S$1000,"Sub"),"")</f>
        <v/>
      </c>
      <c r="U212" s="70">
        <f>IF($S212="","",IF(ISNUMBER($H212),$H212,0))</f>
        <v/>
      </c>
      <c r="V212" s="70">
        <f>IF($S212="","",IF(ISNUMBER($I212),$I212,$U212))</f>
        <v/>
      </c>
      <c r="W212" s="70">
        <f>IF($S212="","",IF(ISNUMBER($J212),$J212,$V212))</f>
        <v/>
      </c>
      <c r="X212" s="70">
        <f>IF($S212="","",IF(ISNUMBER($K212),$K212,$W212))</f>
        <v/>
      </c>
      <c r="Y212" s="70">
        <f>IF($S212="","",IF(N($T212)&gt;0,AVERAGEIFS($U$5:$U$1000,$R$5:$R$1000,ROW(),$S$5:$S$1000,"Sub"),$U212))</f>
        <v/>
      </c>
      <c r="Z212" s="70">
        <f>IF($S212="","",IF(N($T212)&gt;0,AVERAGEIFS($V$5:$V$1000,$R$5:$R$1000,ROW(),$S$5:$S$1000,"Sub"),$V212))</f>
        <v/>
      </c>
      <c r="AA212" s="70">
        <f>IF($S212="","",IF(N($T212)&gt;0,AVERAGEIFS($W$5:$W$1000,$R$5:$R$1000,ROW(),$S$5:$S$1000,"Sub"),$W212))</f>
        <v/>
      </c>
      <c r="AB212" s="70">
        <f>IF($S212="","",IF(N($T212)&gt;0,AVERAGEIFS($X$5:$X$1000,$R$5:$R$1000,ROW(),$S$5:$S$1000,"Sub"),$X212))</f>
        <v/>
      </c>
    </row>
    <row r="213">
      <c r="A213" s="61">
        <f>IF(NOT((COUNTA($B213:$K213)+COUNTA($N213))&gt;0),"",IF($S213="Macro",COUNTIFS($S$5:$S213,"Macro",$P$5:$P213,$P213),IF(N($R213)=0,"?",COUNTIFS(INDEX($S$5:$S$1000,1):INDEX($S$5:$S$1000,$R213-4),"Macro",INDEX($P$5:$P$1000,1):INDEX($P$5:$P$1000,$R213-4),INDEX($P$5:$P$1000,$R213-4))&amp;"."&amp;COUNTIFS($R$5:$R213,$R213,$S$5:$S213,"Sub"))))</f>
        <v/>
      </c>
      <c r="B213" s="62" t="n"/>
      <c r="C213" s="63" t="n"/>
      <c r="D213" s="62" t="n"/>
      <c r="E213" s="64" t="n"/>
      <c r="F213" s="64" t="n"/>
      <c r="G213" s="65" t="n"/>
      <c r="H213" s="66" t="n"/>
      <c r="I213" s="66" t="n"/>
      <c r="J213" s="66" t="n"/>
      <c r="K213" s="66" t="n"/>
      <c r="L213" s="67">
        <f>IF(NOT((COUNTA($B213:$K213)+COUNTA($N213))&gt;0),"",IF(N($T213)&gt;0,$AB213,IFERROR(LOOKUP(2,1/(H213:K213&lt;&gt;""),H213:K213),0)))</f>
        <v/>
      </c>
      <c r="M213" s="61">
        <f>IF(L213="","",IF(L213&gt;=1,"Completado",IF(L213&gt;0,"En curso","Pendiente")))</f>
        <v/>
      </c>
      <c r="N213" s="62" t="n"/>
      <c r="O213" s="68">
        <f>IF(NOT((COUNTA($B213:$K213)+COUNTA($N213))&gt;0),"",IF((IF(AND($S213="Macro",$B213=""),"Macroactividad vacía"&amp;" · ","")&amp;IF(AND($B213&lt;&gt;"",$C213&lt;&gt;""),"Escriba la subactividad en otra fila, debajo de su macroactividad"&amp;" · ","")&amp;IF(AND($S213="Sub",N($R213)=0),"Subactividad sin macroactividad arriba"&amp;" · ","")&amp;IF($D213="","Sin responsable"&amp;" · ","")&amp;IF($E213="","Sin fecha de inicio"&amp;" · ","")&amp;IF($F213="","Sin fecha límite"&amp;" · ","")&amp;IF(OR(AND($E213&lt;&gt;"",NOT(ISNUMBER($E213))),AND($F213&lt;&gt;"",NOT(ISNUMBER($F213)))),"Fecha no válida"&amp;" · ","")&amp;IF(AND(ISNUMBER($E213),ISNUMBER($F213),$E213&gt;$F213),"Inicio posterior a fecha límite"&amp;" · ","")&amp;IF(AND($S213="Macro",$G213=""),"Peso vacío"&amp;" · ","")&amp;IF(AND($S213="Macro",$G213&lt;&gt;"",OR(NOT(ISNUMBER($G213)),$G213&lt;=0,$G213&gt;1)),"Peso fuera de rango"&amp;" · ","")&amp;IF(AND($S213="Sub",$G213&lt;&gt;""),"Las subactividades no llevan peso"&amp;" · ","")&amp;IF(AND($S213="Macro",ABS(SUMIFS($G$5:$G$1000,$P$5:$P$1000,$P213,$S$5:$S$1000,"Macro")-1)&gt;0.0001),"Pesos del mes suman "&amp;TEXT(SUMIFS($G$5:$G$1000,$P$5:$P$1000,$P213,$S$5:$S$1000,"Macro"),"0%")&amp;" · ","")&amp;IF(AND(N($T213)&gt;0,COUNT($H213:$K213)&gt;0),"Con subactividades: deje vacías las semanas (se calculan solas)"&amp;" · ","")&amp;IF((COUNTIF($H213:$K213,"&gt;1")+COUNTIF($H213:$K213,"&lt;0")+COUNTA($H213:$K213)-COUNT($H213:$K213))&gt;0,"Avance fuera de rango 0-100%"&amp;" · ","")&amp;IF(OR(AND($I213&lt;&gt;"",$I213&lt;$H213),AND($J213&lt;&gt;"",$J213&lt;MAX($H213:$I213)),AND($K213&lt;&gt;"",$K213&lt;MAX($H213:$J213))),"Avance semanal decreciente"&amp;" · ","")&amp;IF(AND(ISNUMBER($F213),$F213&lt;FechaRef,N($L213)&lt;1),"Vencida"&amp;" · ","")&amp;IF(AND(ObsObligatoria="Sí",ISNUMBER($F213),$F213&lt;FechaRef,N($L213)&lt;1,$N213=""),"Vencida sin observación"&amp;" · ",""))="","✔ OK","⚠ "&amp;LEFT(IF(AND($S213="Macro",$B213=""),"Macroactividad vacía"&amp;" · ","")&amp;IF(AND($B213&lt;&gt;"",$C213&lt;&gt;""),"Escriba la subactividad en otra fila, debajo de su macroactividad"&amp;" · ","")&amp;IF(AND($S213="Sub",N($R213)=0),"Subactividad sin macroactividad arriba"&amp;" · ","")&amp;IF($D213="","Sin responsable"&amp;" · ","")&amp;IF($E213="","Sin fecha de inicio"&amp;" · ","")&amp;IF($F213="","Sin fecha límite"&amp;" · ","")&amp;IF(OR(AND($E213&lt;&gt;"",NOT(ISNUMBER($E213))),AND($F213&lt;&gt;"",NOT(ISNUMBER($F213)))),"Fecha no válida"&amp;" · ","")&amp;IF(AND(ISNUMBER($E213),ISNUMBER($F213),$E213&gt;$F213),"Inicio posterior a fecha límite"&amp;" · ","")&amp;IF(AND($S213="Macro",$G213=""),"Peso vacío"&amp;" · ","")&amp;IF(AND($S213="Macro",$G213&lt;&gt;"",OR(NOT(ISNUMBER($G213)),$G213&lt;=0,$G213&gt;1)),"Peso fuera de rango"&amp;" · ","")&amp;IF(AND($S213="Sub",$G213&lt;&gt;""),"Las subactividades no llevan peso"&amp;" · ","")&amp;IF(AND($S213="Macro",ABS(SUMIFS($G$5:$G$1000,$P$5:$P$1000,$P213,$S$5:$S$1000,"Macro")-1)&gt;0.0001),"Pesos del mes suman "&amp;TEXT(SUMIFS($G$5:$G$1000,$P$5:$P$1000,$P213,$S$5:$S$1000,"Macro"),"0%")&amp;" · ","")&amp;IF(AND(N($T213)&gt;0,COUNT($H213:$K213)&gt;0),"Con subactividades: deje vacías las semanas (se calculan solas)"&amp;" · ","")&amp;IF((COUNTIF($H213:$K213,"&gt;1")+COUNTIF($H213:$K213,"&lt;0")+COUNTA($H213:$K213)-COUNT($H213:$K213))&gt;0,"Avance fuera de rango 0-100%"&amp;" · ","")&amp;IF(OR(AND($I213&lt;&gt;"",$I213&lt;$H213),AND($J213&lt;&gt;"",$J213&lt;MAX($H213:$I213)),AND($K213&lt;&gt;"",$K213&lt;MAX($H213:$J213))),"Avance semanal decreciente"&amp;" · ","")&amp;IF(AND(ISNUMBER($F213),$F213&lt;FechaRef,N($L213)&lt;1),"Vencida"&amp;" · ","")&amp;IF(AND(ObsObligatoria="Sí",ISNUMBER($F213),$F213&lt;FechaRef,N($L213)&lt;1,$N213=""),"Vencida sin observación"&amp;" · ",""),LEN(IF(AND($S213="Macro",$B213=""),"Macroactividad vacía"&amp;" · ","")&amp;IF(AND($B213&lt;&gt;"",$C213&lt;&gt;""),"Escriba la subactividad en otra fila, debajo de su macroactividad"&amp;" · ","")&amp;IF(AND($S213="Sub",N($R213)=0),"Subactividad sin macroactividad arriba"&amp;" · ","")&amp;IF($D213="","Sin responsable"&amp;" · ","")&amp;IF($E213="","Sin fecha de inicio"&amp;" · ","")&amp;IF($F213="","Sin fecha límite"&amp;" · ","")&amp;IF(OR(AND($E213&lt;&gt;"",NOT(ISNUMBER($E213))),AND($F213&lt;&gt;"",NOT(ISNUMBER($F213)))),"Fecha no válida"&amp;" · ","")&amp;IF(AND(ISNUMBER($E213),ISNUMBER($F213),$E213&gt;$F213),"Inicio posterior a fecha límite"&amp;" · ","")&amp;IF(AND($S213="Macro",$G213=""),"Peso vacío"&amp;" · ","")&amp;IF(AND($S213="Macro",$G213&lt;&gt;"",OR(NOT(ISNUMBER($G213)),$G213&lt;=0,$G213&gt;1)),"Peso fuera de rango"&amp;" · ","")&amp;IF(AND($S213="Sub",$G213&lt;&gt;""),"Las subactividades no llevan peso"&amp;" · ","")&amp;IF(AND($S213="Macro",ABS(SUMIFS($G$5:$G$1000,$P$5:$P$1000,$P213,$S$5:$S$1000,"Macro")-1)&gt;0.0001),"Pesos del mes suman "&amp;TEXT(SUMIFS($G$5:$G$1000,$P$5:$P$1000,$P213,$S$5:$S$1000,"Macro"),"0%")&amp;" · ","")&amp;IF(AND(N($T213)&gt;0,COUNT($H213:$K213)&gt;0),"Con subactividades: deje vacías las semanas (se calculan solas)"&amp;" · ","")&amp;IF((COUNTIF($H213:$K213,"&gt;1")+COUNTIF($H213:$K213,"&lt;0")+COUNTA($H213:$K213)-COUNT($H213:$K213))&gt;0,"Avance fuera de rango 0-100%"&amp;" · ","")&amp;IF(OR(AND($I213&lt;&gt;"",$I213&lt;$H213),AND($J213&lt;&gt;"",$J213&lt;MAX($H213:$I213)),AND($K213&lt;&gt;"",$K213&lt;MAX($H213:$J213))),"Avance semanal decreciente"&amp;" · ","")&amp;IF(AND(ISNUMBER($F213),$F213&lt;FechaRef,N($L213)&lt;1),"Vencida"&amp;" · ","")&amp;IF(AND(ObsObligatoria="Sí",ISNUMBER($F213),$F213&lt;FechaRef,N($L213)&lt;1,$N213=""),"Vencida sin observación"&amp;" · ",""))-3)))</f>
        <v/>
      </c>
      <c r="P213" s="69">
        <f>IF(NOT((COUNTA($B213:$K213)+COUNTA($N213))&gt;0),"",IF(AND($S213="Sub",N($R213)&gt;0),IF(ISNUMBER(INDEX($E$5:$E$1000,$R213-4)),DATE(YEAR(INDEX($E$5:$E$1000,$R213-4)),MONTH(INDEX($E$5:$E$1000,$R213-4)),1),IF(ISNUMBER(INDEX($F$5:$F$1000,$R213-4)),DATE(YEAR(INDEX($F$5:$F$1000,$R213-4)),MONTH(INDEX($F$5:$F$1000,$R213-4)),1),MesCiclo)),IF(ISNUMBER($E213),DATE(YEAR($E213),MONTH($E213),1),IF(ISNUMBER($F213),DATE(YEAR($F213),MONTH($F213),1),MesCiclo))))</f>
        <v/>
      </c>
      <c r="Q213" s="70">
        <f>IF(OR($P213="",$P213&lt;&gt;MesCiclo),"",COUNTIF($P$5:$P213,MesCiclo))</f>
        <v/>
      </c>
      <c r="R213" s="70">
        <f>IF($S213="","",IF($S213="Macro",ROW(),IFERROR(LOOKUP(2,1/($S$5:$S213="Macro"),ROW($S$5:$S213)),0)))</f>
        <v/>
      </c>
      <c r="S213" s="70">
        <f>IF(NOT((COUNTA($B213:$K213)+COUNTA($N213))&gt;0),"",IF($B213&lt;&gt;"","Macro",IF($C213&lt;&gt;"","Sub","Macro")))</f>
        <v/>
      </c>
      <c r="T213" s="70">
        <f>IF($S213="Macro",COUNTIFS($R$5:$R$1000,ROW(),$S$5:$S$1000,"Sub"),"")</f>
        <v/>
      </c>
      <c r="U213" s="70">
        <f>IF($S213="","",IF(ISNUMBER($H213),$H213,0))</f>
        <v/>
      </c>
      <c r="V213" s="70">
        <f>IF($S213="","",IF(ISNUMBER($I213),$I213,$U213))</f>
        <v/>
      </c>
      <c r="W213" s="70">
        <f>IF($S213="","",IF(ISNUMBER($J213),$J213,$V213))</f>
        <v/>
      </c>
      <c r="X213" s="70">
        <f>IF($S213="","",IF(ISNUMBER($K213),$K213,$W213))</f>
        <v/>
      </c>
      <c r="Y213" s="70">
        <f>IF($S213="","",IF(N($T213)&gt;0,AVERAGEIFS($U$5:$U$1000,$R$5:$R$1000,ROW(),$S$5:$S$1000,"Sub"),$U213))</f>
        <v/>
      </c>
      <c r="Z213" s="70">
        <f>IF($S213="","",IF(N($T213)&gt;0,AVERAGEIFS($V$5:$V$1000,$R$5:$R$1000,ROW(),$S$5:$S$1000,"Sub"),$V213))</f>
        <v/>
      </c>
      <c r="AA213" s="70">
        <f>IF($S213="","",IF(N($T213)&gt;0,AVERAGEIFS($W$5:$W$1000,$R$5:$R$1000,ROW(),$S$5:$S$1000,"Sub"),$W213))</f>
        <v/>
      </c>
      <c r="AB213" s="70">
        <f>IF($S213="","",IF(N($T213)&gt;0,AVERAGEIFS($X$5:$X$1000,$R$5:$R$1000,ROW(),$S$5:$S$1000,"Sub"),$X213))</f>
        <v/>
      </c>
    </row>
    <row r="214">
      <c r="A214" s="61">
        <f>IF(NOT((COUNTA($B214:$K214)+COUNTA($N214))&gt;0),"",IF($S214="Macro",COUNTIFS($S$5:$S214,"Macro",$P$5:$P214,$P214),IF(N($R214)=0,"?",COUNTIFS(INDEX($S$5:$S$1000,1):INDEX($S$5:$S$1000,$R214-4),"Macro",INDEX($P$5:$P$1000,1):INDEX($P$5:$P$1000,$R214-4),INDEX($P$5:$P$1000,$R214-4))&amp;"."&amp;COUNTIFS($R$5:$R214,$R214,$S$5:$S214,"Sub"))))</f>
        <v/>
      </c>
      <c r="B214" s="62" t="n"/>
      <c r="C214" s="63" t="n"/>
      <c r="D214" s="62" t="n"/>
      <c r="E214" s="64" t="n"/>
      <c r="F214" s="64" t="n"/>
      <c r="G214" s="65" t="n"/>
      <c r="H214" s="66" t="n"/>
      <c r="I214" s="66" t="n"/>
      <c r="J214" s="66" t="n"/>
      <c r="K214" s="66" t="n"/>
      <c r="L214" s="67">
        <f>IF(NOT((COUNTA($B214:$K214)+COUNTA($N214))&gt;0),"",IF(N($T214)&gt;0,$AB214,IFERROR(LOOKUP(2,1/(H214:K214&lt;&gt;""),H214:K214),0)))</f>
        <v/>
      </c>
      <c r="M214" s="61">
        <f>IF(L214="","",IF(L214&gt;=1,"Completado",IF(L214&gt;0,"En curso","Pendiente")))</f>
        <v/>
      </c>
      <c r="N214" s="62" t="n"/>
      <c r="O214" s="68">
        <f>IF(NOT((COUNTA($B214:$K214)+COUNTA($N214))&gt;0),"",IF((IF(AND($S214="Macro",$B214=""),"Macroactividad vacía"&amp;" · ","")&amp;IF(AND($B214&lt;&gt;"",$C214&lt;&gt;""),"Escriba la subactividad en otra fila, debajo de su macroactividad"&amp;" · ","")&amp;IF(AND($S214="Sub",N($R214)=0),"Subactividad sin macroactividad arriba"&amp;" · ","")&amp;IF($D214="","Sin responsable"&amp;" · ","")&amp;IF($E214="","Sin fecha de inicio"&amp;" · ","")&amp;IF($F214="","Sin fecha límite"&amp;" · ","")&amp;IF(OR(AND($E214&lt;&gt;"",NOT(ISNUMBER($E214))),AND($F214&lt;&gt;"",NOT(ISNUMBER($F214)))),"Fecha no válida"&amp;" · ","")&amp;IF(AND(ISNUMBER($E214),ISNUMBER($F214),$E214&gt;$F214),"Inicio posterior a fecha límite"&amp;" · ","")&amp;IF(AND($S214="Macro",$G214=""),"Peso vacío"&amp;" · ","")&amp;IF(AND($S214="Macro",$G214&lt;&gt;"",OR(NOT(ISNUMBER($G214)),$G214&lt;=0,$G214&gt;1)),"Peso fuera de rango"&amp;" · ","")&amp;IF(AND($S214="Sub",$G214&lt;&gt;""),"Las subactividades no llevan peso"&amp;" · ","")&amp;IF(AND($S214="Macro",ABS(SUMIFS($G$5:$G$1000,$P$5:$P$1000,$P214,$S$5:$S$1000,"Macro")-1)&gt;0.0001),"Pesos del mes suman "&amp;TEXT(SUMIFS($G$5:$G$1000,$P$5:$P$1000,$P214,$S$5:$S$1000,"Macro"),"0%")&amp;" · ","")&amp;IF(AND(N($T214)&gt;0,COUNT($H214:$K214)&gt;0),"Con subactividades: deje vacías las semanas (se calculan solas)"&amp;" · ","")&amp;IF((COUNTIF($H214:$K214,"&gt;1")+COUNTIF($H214:$K214,"&lt;0")+COUNTA($H214:$K214)-COUNT($H214:$K214))&gt;0,"Avance fuera de rango 0-100%"&amp;" · ","")&amp;IF(OR(AND($I214&lt;&gt;"",$I214&lt;$H214),AND($J214&lt;&gt;"",$J214&lt;MAX($H214:$I214)),AND($K214&lt;&gt;"",$K214&lt;MAX($H214:$J214))),"Avance semanal decreciente"&amp;" · ","")&amp;IF(AND(ISNUMBER($F214),$F214&lt;FechaRef,N($L214)&lt;1),"Vencida"&amp;" · ","")&amp;IF(AND(ObsObligatoria="Sí",ISNUMBER($F214),$F214&lt;FechaRef,N($L214)&lt;1,$N214=""),"Vencida sin observación"&amp;" · ",""))="","✔ OK","⚠ "&amp;LEFT(IF(AND($S214="Macro",$B214=""),"Macroactividad vacía"&amp;" · ","")&amp;IF(AND($B214&lt;&gt;"",$C214&lt;&gt;""),"Escriba la subactividad en otra fila, debajo de su macroactividad"&amp;" · ","")&amp;IF(AND($S214="Sub",N($R214)=0),"Subactividad sin macroactividad arriba"&amp;" · ","")&amp;IF($D214="","Sin responsable"&amp;" · ","")&amp;IF($E214="","Sin fecha de inicio"&amp;" · ","")&amp;IF($F214="","Sin fecha límite"&amp;" · ","")&amp;IF(OR(AND($E214&lt;&gt;"",NOT(ISNUMBER($E214))),AND($F214&lt;&gt;"",NOT(ISNUMBER($F214)))),"Fecha no válida"&amp;" · ","")&amp;IF(AND(ISNUMBER($E214),ISNUMBER($F214),$E214&gt;$F214),"Inicio posterior a fecha límite"&amp;" · ","")&amp;IF(AND($S214="Macro",$G214=""),"Peso vacío"&amp;" · ","")&amp;IF(AND($S214="Macro",$G214&lt;&gt;"",OR(NOT(ISNUMBER($G214)),$G214&lt;=0,$G214&gt;1)),"Peso fuera de rango"&amp;" · ","")&amp;IF(AND($S214="Sub",$G214&lt;&gt;""),"Las subactividades no llevan peso"&amp;" · ","")&amp;IF(AND($S214="Macro",ABS(SUMIFS($G$5:$G$1000,$P$5:$P$1000,$P214,$S$5:$S$1000,"Macro")-1)&gt;0.0001),"Pesos del mes suman "&amp;TEXT(SUMIFS($G$5:$G$1000,$P$5:$P$1000,$P214,$S$5:$S$1000,"Macro"),"0%")&amp;" · ","")&amp;IF(AND(N($T214)&gt;0,COUNT($H214:$K214)&gt;0),"Con subactividades: deje vacías las semanas (se calculan solas)"&amp;" · ","")&amp;IF((COUNTIF($H214:$K214,"&gt;1")+COUNTIF($H214:$K214,"&lt;0")+COUNTA($H214:$K214)-COUNT($H214:$K214))&gt;0,"Avance fuera de rango 0-100%"&amp;" · ","")&amp;IF(OR(AND($I214&lt;&gt;"",$I214&lt;$H214),AND($J214&lt;&gt;"",$J214&lt;MAX($H214:$I214)),AND($K214&lt;&gt;"",$K214&lt;MAX($H214:$J214))),"Avance semanal decreciente"&amp;" · ","")&amp;IF(AND(ISNUMBER($F214),$F214&lt;FechaRef,N($L214)&lt;1),"Vencida"&amp;" · ","")&amp;IF(AND(ObsObligatoria="Sí",ISNUMBER($F214),$F214&lt;FechaRef,N($L214)&lt;1,$N214=""),"Vencida sin observación"&amp;" · ",""),LEN(IF(AND($S214="Macro",$B214=""),"Macroactividad vacía"&amp;" · ","")&amp;IF(AND($B214&lt;&gt;"",$C214&lt;&gt;""),"Escriba la subactividad en otra fila, debajo de su macroactividad"&amp;" · ","")&amp;IF(AND($S214="Sub",N($R214)=0),"Subactividad sin macroactividad arriba"&amp;" · ","")&amp;IF($D214="","Sin responsable"&amp;" · ","")&amp;IF($E214="","Sin fecha de inicio"&amp;" · ","")&amp;IF($F214="","Sin fecha límite"&amp;" · ","")&amp;IF(OR(AND($E214&lt;&gt;"",NOT(ISNUMBER($E214))),AND($F214&lt;&gt;"",NOT(ISNUMBER($F214)))),"Fecha no válida"&amp;" · ","")&amp;IF(AND(ISNUMBER($E214),ISNUMBER($F214),$E214&gt;$F214),"Inicio posterior a fecha límite"&amp;" · ","")&amp;IF(AND($S214="Macro",$G214=""),"Peso vacío"&amp;" · ","")&amp;IF(AND($S214="Macro",$G214&lt;&gt;"",OR(NOT(ISNUMBER($G214)),$G214&lt;=0,$G214&gt;1)),"Peso fuera de rango"&amp;" · ","")&amp;IF(AND($S214="Sub",$G214&lt;&gt;""),"Las subactividades no llevan peso"&amp;" · ","")&amp;IF(AND($S214="Macro",ABS(SUMIFS($G$5:$G$1000,$P$5:$P$1000,$P214,$S$5:$S$1000,"Macro")-1)&gt;0.0001),"Pesos del mes suman "&amp;TEXT(SUMIFS($G$5:$G$1000,$P$5:$P$1000,$P214,$S$5:$S$1000,"Macro"),"0%")&amp;" · ","")&amp;IF(AND(N($T214)&gt;0,COUNT($H214:$K214)&gt;0),"Con subactividades: deje vacías las semanas (se calculan solas)"&amp;" · ","")&amp;IF((COUNTIF($H214:$K214,"&gt;1")+COUNTIF($H214:$K214,"&lt;0")+COUNTA($H214:$K214)-COUNT($H214:$K214))&gt;0,"Avance fuera de rango 0-100%"&amp;" · ","")&amp;IF(OR(AND($I214&lt;&gt;"",$I214&lt;$H214),AND($J214&lt;&gt;"",$J214&lt;MAX($H214:$I214)),AND($K214&lt;&gt;"",$K214&lt;MAX($H214:$J214))),"Avance semanal decreciente"&amp;" · ","")&amp;IF(AND(ISNUMBER($F214),$F214&lt;FechaRef,N($L214)&lt;1),"Vencida"&amp;" · ","")&amp;IF(AND(ObsObligatoria="Sí",ISNUMBER($F214),$F214&lt;FechaRef,N($L214)&lt;1,$N214=""),"Vencida sin observación"&amp;" · ",""))-3)))</f>
        <v/>
      </c>
      <c r="P214" s="69">
        <f>IF(NOT((COUNTA($B214:$K214)+COUNTA($N214))&gt;0),"",IF(AND($S214="Sub",N($R214)&gt;0),IF(ISNUMBER(INDEX($E$5:$E$1000,$R214-4)),DATE(YEAR(INDEX($E$5:$E$1000,$R214-4)),MONTH(INDEX($E$5:$E$1000,$R214-4)),1),IF(ISNUMBER(INDEX($F$5:$F$1000,$R214-4)),DATE(YEAR(INDEX($F$5:$F$1000,$R214-4)),MONTH(INDEX($F$5:$F$1000,$R214-4)),1),MesCiclo)),IF(ISNUMBER($E214),DATE(YEAR($E214),MONTH($E214),1),IF(ISNUMBER($F214),DATE(YEAR($F214),MONTH($F214),1),MesCiclo))))</f>
        <v/>
      </c>
      <c r="Q214" s="70">
        <f>IF(OR($P214="",$P214&lt;&gt;MesCiclo),"",COUNTIF($P$5:$P214,MesCiclo))</f>
        <v/>
      </c>
      <c r="R214" s="70">
        <f>IF($S214="","",IF($S214="Macro",ROW(),IFERROR(LOOKUP(2,1/($S$5:$S214="Macro"),ROW($S$5:$S214)),0)))</f>
        <v/>
      </c>
      <c r="S214" s="70">
        <f>IF(NOT((COUNTA($B214:$K214)+COUNTA($N214))&gt;0),"",IF($B214&lt;&gt;"","Macro",IF($C214&lt;&gt;"","Sub","Macro")))</f>
        <v/>
      </c>
      <c r="T214" s="70">
        <f>IF($S214="Macro",COUNTIFS($R$5:$R$1000,ROW(),$S$5:$S$1000,"Sub"),"")</f>
        <v/>
      </c>
      <c r="U214" s="70">
        <f>IF($S214="","",IF(ISNUMBER($H214),$H214,0))</f>
        <v/>
      </c>
      <c r="V214" s="70">
        <f>IF($S214="","",IF(ISNUMBER($I214),$I214,$U214))</f>
        <v/>
      </c>
      <c r="W214" s="70">
        <f>IF($S214="","",IF(ISNUMBER($J214),$J214,$V214))</f>
        <v/>
      </c>
      <c r="X214" s="70">
        <f>IF($S214="","",IF(ISNUMBER($K214),$K214,$W214))</f>
        <v/>
      </c>
      <c r="Y214" s="70">
        <f>IF($S214="","",IF(N($T214)&gt;0,AVERAGEIFS($U$5:$U$1000,$R$5:$R$1000,ROW(),$S$5:$S$1000,"Sub"),$U214))</f>
        <v/>
      </c>
      <c r="Z214" s="70">
        <f>IF($S214="","",IF(N($T214)&gt;0,AVERAGEIFS($V$5:$V$1000,$R$5:$R$1000,ROW(),$S$5:$S$1000,"Sub"),$V214))</f>
        <v/>
      </c>
      <c r="AA214" s="70">
        <f>IF($S214="","",IF(N($T214)&gt;0,AVERAGEIFS($W$5:$W$1000,$R$5:$R$1000,ROW(),$S$5:$S$1000,"Sub"),$W214))</f>
        <v/>
      </c>
      <c r="AB214" s="70">
        <f>IF($S214="","",IF(N($T214)&gt;0,AVERAGEIFS($X$5:$X$1000,$R$5:$R$1000,ROW(),$S$5:$S$1000,"Sub"),$X214))</f>
        <v/>
      </c>
    </row>
    <row r="215">
      <c r="A215" s="61">
        <f>IF(NOT((COUNTA($B215:$K215)+COUNTA($N215))&gt;0),"",IF($S215="Macro",COUNTIFS($S$5:$S215,"Macro",$P$5:$P215,$P215),IF(N($R215)=0,"?",COUNTIFS(INDEX($S$5:$S$1000,1):INDEX($S$5:$S$1000,$R215-4),"Macro",INDEX($P$5:$P$1000,1):INDEX($P$5:$P$1000,$R215-4),INDEX($P$5:$P$1000,$R215-4))&amp;"."&amp;COUNTIFS($R$5:$R215,$R215,$S$5:$S215,"Sub"))))</f>
        <v/>
      </c>
      <c r="B215" s="62" t="n"/>
      <c r="C215" s="63" t="n"/>
      <c r="D215" s="62" t="n"/>
      <c r="E215" s="64" t="n"/>
      <c r="F215" s="64" t="n"/>
      <c r="G215" s="65" t="n"/>
      <c r="H215" s="66" t="n"/>
      <c r="I215" s="66" t="n"/>
      <c r="J215" s="66" t="n"/>
      <c r="K215" s="66" t="n"/>
      <c r="L215" s="67">
        <f>IF(NOT((COUNTA($B215:$K215)+COUNTA($N215))&gt;0),"",IF(N($T215)&gt;0,$AB215,IFERROR(LOOKUP(2,1/(H215:K215&lt;&gt;""),H215:K215),0)))</f>
        <v/>
      </c>
      <c r="M215" s="61">
        <f>IF(L215="","",IF(L215&gt;=1,"Completado",IF(L215&gt;0,"En curso","Pendiente")))</f>
        <v/>
      </c>
      <c r="N215" s="62" t="n"/>
      <c r="O215" s="68">
        <f>IF(NOT((COUNTA($B215:$K215)+COUNTA($N215))&gt;0),"",IF((IF(AND($S215="Macro",$B215=""),"Macroactividad vacía"&amp;" · ","")&amp;IF(AND($B215&lt;&gt;"",$C215&lt;&gt;""),"Escriba la subactividad en otra fila, debajo de su macroactividad"&amp;" · ","")&amp;IF(AND($S215="Sub",N($R215)=0),"Subactividad sin macroactividad arriba"&amp;" · ","")&amp;IF($D215="","Sin responsable"&amp;" · ","")&amp;IF($E215="","Sin fecha de inicio"&amp;" · ","")&amp;IF($F215="","Sin fecha límite"&amp;" · ","")&amp;IF(OR(AND($E215&lt;&gt;"",NOT(ISNUMBER($E215))),AND($F215&lt;&gt;"",NOT(ISNUMBER($F215)))),"Fecha no válida"&amp;" · ","")&amp;IF(AND(ISNUMBER($E215),ISNUMBER($F215),$E215&gt;$F215),"Inicio posterior a fecha límite"&amp;" · ","")&amp;IF(AND($S215="Macro",$G215=""),"Peso vacío"&amp;" · ","")&amp;IF(AND($S215="Macro",$G215&lt;&gt;"",OR(NOT(ISNUMBER($G215)),$G215&lt;=0,$G215&gt;1)),"Peso fuera de rango"&amp;" · ","")&amp;IF(AND($S215="Sub",$G215&lt;&gt;""),"Las subactividades no llevan peso"&amp;" · ","")&amp;IF(AND($S215="Macro",ABS(SUMIFS($G$5:$G$1000,$P$5:$P$1000,$P215,$S$5:$S$1000,"Macro")-1)&gt;0.0001),"Pesos del mes suman "&amp;TEXT(SUMIFS($G$5:$G$1000,$P$5:$P$1000,$P215,$S$5:$S$1000,"Macro"),"0%")&amp;" · ","")&amp;IF(AND(N($T215)&gt;0,COUNT($H215:$K215)&gt;0),"Con subactividades: deje vacías las semanas (se calculan solas)"&amp;" · ","")&amp;IF((COUNTIF($H215:$K215,"&gt;1")+COUNTIF($H215:$K215,"&lt;0")+COUNTA($H215:$K215)-COUNT($H215:$K215))&gt;0,"Avance fuera de rango 0-100%"&amp;" · ","")&amp;IF(OR(AND($I215&lt;&gt;"",$I215&lt;$H215),AND($J215&lt;&gt;"",$J215&lt;MAX($H215:$I215)),AND($K215&lt;&gt;"",$K215&lt;MAX($H215:$J215))),"Avance semanal decreciente"&amp;" · ","")&amp;IF(AND(ISNUMBER($F215),$F215&lt;FechaRef,N($L215)&lt;1),"Vencida"&amp;" · ","")&amp;IF(AND(ObsObligatoria="Sí",ISNUMBER($F215),$F215&lt;FechaRef,N($L215)&lt;1,$N215=""),"Vencida sin observación"&amp;" · ",""))="","✔ OK","⚠ "&amp;LEFT(IF(AND($S215="Macro",$B215=""),"Macroactividad vacía"&amp;" · ","")&amp;IF(AND($B215&lt;&gt;"",$C215&lt;&gt;""),"Escriba la subactividad en otra fila, debajo de su macroactividad"&amp;" · ","")&amp;IF(AND($S215="Sub",N($R215)=0),"Subactividad sin macroactividad arriba"&amp;" · ","")&amp;IF($D215="","Sin responsable"&amp;" · ","")&amp;IF($E215="","Sin fecha de inicio"&amp;" · ","")&amp;IF($F215="","Sin fecha límite"&amp;" · ","")&amp;IF(OR(AND($E215&lt;&gt;"",NOT(ISNUMBER($E215))),AND($F215&lt;&gt;"",NOT(ISNUMBER($F215)))),"Fecha no válida"&amp;" · ","")&amp;IF(AND(ISNUMBER($E215),ISNUMBER($F215),$E215&gt;$F215),"Inicio posterior a fecha límite"&amp;" · ","")&amp;IF(AND($S215="Macro",$G215=""),"Peso vacío"&amp;" · ","")&amp;IF(AND($S215="Macro",$G215&lt;&gt;"",OR(NOT(ISNUMBER($G215)),$G215&lt;=0,$G215&gt;1)),"Peso fuera de rango"&amp;" · ","")&amp;IF(AND($S215="Sub",$G215&lt;&gt;""),"Las subactividades no llevan peso"&amp;" · ","")&amp;IF(AND($S215="Macro",ABS(SUMIFS($G$5:$G$1000,$P$5:$P$1000,$P215,$S$5:$S$1000,"Macro")-1)&gt;0.0001),"Pesos del mes suman "&amp;TEXT(SUMIFS($G$5:$G$1000,$P$5:$P$1000,$P215,$S$5:$S$1000,"Macro"),"0%")&amp;" · ","")&amp;IF(AND(N($T215)&gt;0,COUNT($H215:$K215)&gt;0),"Con subactividades: deje vacías las semanas (se calculan solas)"&amp;" · ","")&amp;IF((COUNTIF($H215:$K215,"&gt;1")+COUNTIF($H215:$K215,"&lt;0")+COUNTA($H215:$K215)-COUNT($H215:$K215))&gt;0,"Avance fuera de rango 0-100%"&amp;" · ","")&amp;IF(OR(AND($I215&lt;&gt;"",$I215&lt;$H215),AND($J215&lt;&gt;"",$J215&lt;MAX($H215:$I215)),AND($K215&lt;&gt;"",$K215&lt;MAX($H215:$J215))),"Avance semanal decreciente"&amp;" · ","")&amp;IF(AND(ISNUMBER($F215),$F215&lt;FechaRef,N($L215)&lt;1),"Vencida"&amp;" · ","")&amp;IF(AND(ObsObligatoria="Sí",ISNUMBER($F215),$F215&lt;FechaRef,N($L215)&lt;1,$N215=""),"Vencida sin observación"&amp;" · ",""),LEN(IF(AND($S215="Macro",$B215=""),"Macroactividad vacía"&amp;" · ","")&amp;IF(AND($B215&lt;&gt;"",$C215&lt;&gt;""),"Escriba la subactividad en otra fila, debajo de su macroactividad"&amp;" · ","")&amp;IF(AND($S215="Sub",N($R215)=0),"Subactividad sin macroactividad arriba"&amp;" · ","")&amp;IF($D215="","Sin responsable"&amp;" · ","")&amp;IF($E215="","Sin fecha de inicio"&amp;" · ","")&amp;IF($F215="","Sin fecha límite"&amp;" · ","")&amp;IF(OR(AND($E215&lt;&gt;"",NOT(ISNUMBER($E215))),AND($F215&lt;&gt;"",NOT(ISNUMBER($F215)))),"Fecha no válida"&amp;" · ","")&amp;IF(AND(ISNUMBER($E215),ISNUMBER($F215),$E215&gt;$F215),"Inicio posterior a fecha límite"&amp;" · ","")&amp;IF(AND($S215="Macro",$G215=""),"Peso vacío"&amp;" · ","")&amp;IF(AND($S215="Macro",$G215&lt;&gt;"",OR(NOT(ISNUMBER($G215)),$G215&lt;=0,$G215&gt;1)),"Peso fuera de rango"&amp;" · ","")&amp;IF(AND($S215="Sub",$G215&lt;&gt;""),"Las subactividades no llevan peso"&amp;" · ","")&amp;IF(AND($S215="Macro",ABS(SUMIFS($G$5:$G$1000,$P$5:$P$1000,$P215,$S$5:$S$1000,"Macro")-1)&gt;0.0001),"Pesos del mes suman "&amp;TEXT(SUMIFS($G$5:$G$1000,$P$5:$P$1000,$P215,$S$5:$S$1000,"Macro"),"0%")&amp;" · ","")&amp;IF(AND(N($T215)&gt;0,COUNT($H215:$K215)&gt;0),"Con subactividades: deje vacías las semanas (se calculan solas)"&amp;" · ","")&amp;IF((COUNTIF($H215:$K215,"&gt;1")+COUNTIF($H215:$K215,"&lt;0")+COUNTA($H215:$K215)-COUNT($H215:$K215))&gt;0,"Avance fuera de rango 0-100%"&amp;" · ","")&amp;IF(OR(AND($I215&lt;&gt;"",$I215&lt;$H215),AND($J215&lt;&gt;"",$J215&lt;MAX($H215:$I215)),AND($K215&lt;&gt;"",$K215&lt;MAX($H215:$J215))),"Avance semanal decreciente"&amp;" · ","")&amp;IF(AND(ISNUMBER($F215),$F215&lt;FechaRef,N($L215)&lt;1),"Vencida"&amp;" · ","")&amp;IF(AND(ObsObligatoria="Sí",ISNUMBER($F215),$F215&lt;FechaRef,N($L215)&lt;1,$N215=""),"Vencida sin observación"&amp;" · ",""))-3)))</f>
        <v/>
      </c>
      <c r="P215" s="69">
        <f>IF(NOT((COUNTA($B215:$K215)+COUNTA($N215))&gt;0),"",IF(AND($S215="Sub",N($R215)&gt;0),IF(ISNUMBER(INDEX($E$5:$E$1000,$R215-4)),DATE(YEAR(INDEX($E$5:$E$1000,$R215-4)),MONTH(INDEX($E$5:$E$1000,$R215-4)),1),IF(ISNUMBER(INDEX($F$5:$F$1000,$R215-4)),DATE(YEAR(INDEX($F$5:$F$1000,$R215-4)),MONTH(INDEX($F$5:$F$1000,$R215-4)),1),MesCiclo)),IF(ISNUMBER($E215),DATE(YEAR($E215),MONTH($E215),1),IF(ISNUMBER($F215),DATE(YEAR($F215),MONTH($F215),1),MesCiclo))))</f>
        <v/>
      </c>
      <c r="Q215" s="70">
        <f>IF(OR($P215="",$P215&lt;&gt;MesCiclo),"",COUNTIF($P$5:$P215,MesCiclo))</f>
        <v/>
      </c>
      <c r="R215" s="70">
        <f>IF($S215="","",IF($S215="Macro",ROW(),IFERROR(LOOKUP(2,1/($S$5:$S215="Macro"),ROW($S$5:$S215)),0)))</f>
        <v/>
      </c>
      <c r="S215" s="70">
        <f>IF(NOT((COUNTA($B215:$K215)+COUNTA($N215))&gt;0),"",IF($B215&lt;&gt;"","Macro",IF($C215&lt;&gt;"","Sub","Macro")))</f>
        <v/>
      </c>
      <c r="T215" s="70">
        <f>IF($S215="Macro",COUNTIFS($R$5:$R$1000,ROW(),$S$5:$S$1000,"Sub"),"")</f>
        <v/>
      </c>
      <c r="U215" s="70">
        <f>IF($S215="","",IF(ISNUMBER($H215),$H215,0))</f>
        <v/>
      </c>
      <c r="V215" s="70">
        <f>IF($S215="","",IF(ISNUMBER($I215),$I215,$U215))</f>
        <v/>
      </c>
      <c r="W215" s="70">
        <f>IF($S215="","",IF(ISNUMBER($J215),$J215,$V215))</f>
        <v/>
      </c>
      <c r="X215" s="70">
        <f>IF($S215="","",IF(ISNUMBER($K215),$K215,$W215))</f>
        <v/>
      </c>
      <c r="Y215" s="70">
        <f>IF($S215="","",IF(N($T215)&gt;0,AVERAGEIFS($U$5:$U$1000,$R$5:$R$1000,ROW(),$S$5:$S$1000,"Sub"),$U215))</f>
        <v/>
      </c>
      <c r="Z215" s="70">
        <f>IF($S215="","",IF(N($T215)&gt;0,AVERAGEIFS($V$5:$V$1000,$R$5:$R$1000,ROW(),$S$5:$S$1000,"Sub"),$V215))</f>
        <v/>
      </c>
      <c r="AA215" s="70">
        <f>IF($S215="","",IF(N($T215)&gt;0,AVERAGEIFS($W$5:$W$1000,$R$5:$R$1000,ROW(),$S$5:$S$1000,"Sub"),$W215))</f>
        <v/>
      </c>
      <c r="AB215" s="70">
        <f>IF($S215="","",IF(N($T215)&gt;0,AVERAGEIFS($X$5:$X$1000,$R$5:$R$1000,ROW(),$S$5:$S$1000,"Sub"),$X215))</f>
        <v/>
      </c>
    </row>
    <row r="216">
      <c r="A216" s="61">
        <f>IF(NOT((COUNTA($B216:$K216)+COUNTA($N216))&gt;0),"",IF($S216="Macro",COUNTIFS($S$5:$S216,"Macro",$P$5:$P216,$P216),IF(N($R216)=0,"?",COUNTIFS(INDEX($S$5:$S$1000,1):INDEX($S$5:$S$1000,$R216-4),"Macro",INDEX($P$5:$P$1000,1):INDEX($P$5:$P$1000,$R216-4),INDEX($P$5:$P$1000,$R216-4))&amp;"."&amp;COUNTIFS($R$5:$R216,$R216,$S$5:$S216,"Sub"))))</f>
        <v/>
      </c>
      <c r="B216" s="62" t="n"/>
      <c r="C216" s="63" t="n"/>
      <c r="D216" s="62" t="n"/>
      <c r="E216" s="64" t="n"/>
      <c r="F216" s="64" t="n"/>
      <c r="G216" s="65" t="n"/>
      <c r="H216" s="66" t="n"/>
      <c r="I216" s="66" t="n"/>
      <c r="J216" s="66" t="n"/>
      <c r="K216" s="66" t="n"/>
      <c r="L216" s="67">
        <f>IF(NOT((COUNTA($B216:$K216)+COUNTA($N216))&gt;0),"",IF(N($T216)&gt;0,$AB216,IFERROR(LOOKUP(2,1/(H216:K216&lt;&gt;""),H216:K216),0)))</f>
        <v/>
      </c>
      <c r="M216" s="61">
        <f>IF(L216="","",IF(L216&gt;=1,"Completado",IF(L216&gt;0,"En curso","Pendiente")))</f>
        <v/>
      </c>
      <c r="N216" s="62" t="n"/>
      <c r="O216" s="68">
        <f>IF(NOT((COUNTA($B216:$K216)+COUNTA($N216))&gt;0),"",IF((IF(AND($S216="Macro",$B216=""),"Macroactividad vacía"&amp;" · ","")&amp;IF(AND($B216&lt;&gt;"",$C216&lt;&gt;""),"Escriba la subactividad en otra fila, debajo de su macroactividad"&amp;" · ","")&amp;IF(AND($S216="Sub",N($R216)=0),"Subactividad sin macroactividad arriba"&amp;" · ","")&amp;IF($D216="","Sin responsable"&amp;" · ","")&amp;IF($E216="","Sin fecha de inicio"&amp;" · ","")&amp;IF($F216="","Sin fecha límite"&amp;" · ","")&amp;IF(OR(AND($E216&lt;&gt;"",NOT(ISNUMBER($E216))),AND($F216&lt;&gt;"",NOT(ISNUMBER($F216)))),"Fecha no válida"&amp;" · ","")&amp;IF(AND(ISNUMBER($E216),ISNUMBER($F216),$E216&gt;$F216),"Inicio posterior a fecha límite"&amp;" · ","")&amp;IF(AND($S216="Macro",$G216=""),"Peso vacío"&amp;" · ","")&amp;IF(AND($S216="Macro",$G216&lt;&gt;"",OR(NOT(ISNUMBER($G216)),$G216&lt;=0,$G216&gt;1)),"Peso fuera de rango"&amp;" · ","")&amp;IF(AND($S216="Sub",$G216&lt;&gt;""),"Las subactividades no llevan peso"&amp;" · ","")&amp;IF(AND($S216="Macro",ABS(SUMIFS($G$5:$G$1000,$P$5:$P$1000,$P216,$S$5:$S$1000,"Macro")-1)&gt;0.0001),"Pesos del mes suman "&amp;TEXT(SUMIFS($G$5:$G$1000,$P$5:$P$1000,$P216,$S$5:$S$1000,"Macro"),"0%")&amp;" · ","")&amp;IF(AND(N($T216)&gt;0,COUNT($H216:$K216)&gt;0),"Con subactividades: deje vacías las semanas (se calculan solas)"&amp;" · ","")&amp;IF((COUNTIF($H216:$K216,"&gt;1")+COUNTIF($H216:$K216,"&lt;0")+COUNTA($H216:$K216)-COUNT($H216:$K216))&gt;0,"Avance fuera de rango 0-100%"&amp;" · ","")&amp;IF(OR(AND($I216&lt;&gt;"",$I216&lt;$H216),AND($J216&lt;&gt;"",$J216&lt;MAX($H216:$I216)),AND($K216&lt;&gt;"",$K216&lt;MAX($H216:$J216))),"Avance semanal decreciente"&amp;" · ","")&amp;IF(AND(ISNUMBER($F216),$F216&lt;FechaRef,N($L216)&lt;1),"Vencida"&amp;" · ","")&amp;IF(AND(ObsObligatoria="Sí",ISNUMBER($F216),$F216&lt;FechaRef,N($L216)&lt;1,$N216=""),"Vencida sin observación"&amp;" · ",""))="","✔ OK","⚠ "&amp;LEFT(IF(AND($S216="Macro",$B216=""),"Macroactividad vacía"&amp;" · ","")&amp;IF(AND($B216&lt;&gt;"",$C216&lt;&gt;""),"Escriba la subactividad en otra fila, debajo de su macroactividad"&amp;" · ","")&amp;IF(AND($S216="Sub",N($R216)=0),"Subactividad sin macroactividad arriba"&amp;" · ","")&amp;IF($D216="","Sin responsable"&amp;" · ","")&amp;IF($E216="","Sin fecha de inicio"&amp;" · ","")&amp;IF($F216="","Sin fecha límite"&amp;" · ","")&amp;IF(OR(AND($E216&lt;&gt;"",NOT(ISNUMBER($E216))),AND($F216&lt;&gt;"",NOT(ISNUMBER($F216)))),"Fecha no válida"&amp;" · ","")&amp;IF(AND(ISNUMBER($E216),ISNUMBER($F216),$E216&gt;$F216),"Inicio posterior a fecha límite"&amp;" · ","")&amp;IF(AND($S216="Macro",$G216=""),"Peso vacío"&amp;" · ","")&amp;IF(AND($S216="Macro",$G216&lt;&gt;"",OR(NOT(ISNUMBER($G216)),$G216&lt;=0,$G216&gt;1)),"Peso fuera de rango"&amp;" · ","")&amp;IF(AND($S216="Sub",$G216&lt;&gt;""),"Las subactividades no llevan peso"&amp;" · ","")&amp;IF(AND($S216="Macro",ABS(SUMIFS($G$5:$G$1000,$P$5:$P$1000,$P216,$S$5:$S$1000,"Macro")-1)&gt;0.0001),"Pesos del mes suman "&amp;TEXT(SUMIFS($G$5:$G$1000,$P$5:$P$1000,$P216,$S$5:$S$1000,"Macro"),"0%")&amp;" · ","")&amp;IF(AND(N($T216)&gt;0,COUNT($H216:$K216)&gt;0),"Con subactividades: deje vacías las semanas (se calculan solas)"&amp;" · ","")&amp;IF((COUNTIF($H216:$K216,"&gt;1")+COUNTIF($H216:$K216,"&lt;0")+COUNTA($H216:$K216)-COUNT($H216:$K216))&gt;0,"Avance fuera de rango 0-100%"&amp;" · ","")&amp;IF(OR(AND($I216&lt;&gt;"",$I216&lt;$H216),AND($J216&lt;&gt;"",$J216&lt;MAX($H216:$I216)),AND($K216&lt;&gt;"",$K216&lt;MAX($H216:$J216))),"Avance semanal decreciente"&amp;" · ","")&amp;IF(AND(ISNUMBER($F216),$F216&lt;FechaRef,N($L216)&lt;1),"Vencida"&amp;" · ","")&amp;IF(AND(ObsObligatoria="Sí",ISNUMBER($F216),$F216&lt;FechaRef,N($L216)&lt;1,$N216=""),"Vencida sin observación"&amp;" · ",""),LEN(IF(AND($S216="Macro",$B216=""),"Macroactividad vacía"&amp;" · ","")&amp;IF(AND($B216&lt;&gt;"",$C216&lt;&gt;""),"Escriba la subactividad en otra fila, debajo de su macroactividad"&amp;" · ","")&amp;IF(AND($S216="Sub",N($R216)=0),"Subactividad sin macroactividad arriba"&amp;" · ","")&amp;IF($D216="","Sin responsable"&amp;" · ","")&amp;IF($E216="","Sin fecha de inicio"&amp;" · ","")&amp;IF($F216="","Sin fecha límite"&amp;" · ","")&amp;IF(OR(AND($E216&lt;&gt;"",NOT(ISNUMBER($E216))),AND($F216&lt;&gt;"",NOT(ISNUMBER($F216)))),"Fecha no válida"&amp;" · ","")&amp;IF(AND(ISNUMBER($E216),ISNUMBER($F216),$E216&gt;$F216),"Inicio posterior a fecha límite"&amp;" · ","")&amp;IF(AND($S216="Macro",$G216=""),"Peso vacío"&amp;" · ","")&amp;IF(AND($S216="Macro",$G216&lt;&gt;"",OR(NOT(ISNUMBER($G216)),$G216&lt;=0,$G216&gt;1)),"Peso fuera de rango"&amp;" · ","")&amp;IF(AND($S216="Sub",$G216&lt;&gt;""),"Las subactividades no llevan peso"&amp;" · ","")&amp;IF(AND($S216="Macro",ABS(SUMIFS($G$5:$G$1000,$P$5:$P$1000,$P216,$S$5:$S$1000,"Macro")-1)&gt;0.0001),"Pesos del mes suman "&amp;TEXT(SUMIFS($G$5:$G$1000,$P$5:$P$1000,$P216,$S$5:$S$1000,"Macro"),"0%")&amp;" · ","")&amp;IF(AND(N($T216)&gt;0,COUNT($H216:$K216)&gt;0),"Con subactividades: deje vacías las semanas (se calculan solas)"&amp;" · ","")&amp;IF((COUNTIF($H216:$K216,"&gt;1")+COUNTIF($H216:$K216,"&lt;0")+COUNTA($H216:$K216)-COUNT($H216:$K216))&gt;0,"Avance fuera de rango 0-100%"&amp;" · ","")&amp;IF(OR(AND($I216&lt;&gt;"",$I216&lt;$H216),AND($J216&lt;&gt;"",$J216&lt;MAX($H216:$I216)),AND($K216&lt;&gt;"",$K216&lt;MAX($H216:$J216))),"Avance semanal decreciente"&amp;" · ","")&amp;IF(AND(ISNUMBER($F216),$F216&lt;FechaRef,N($L216)&lt;1),"Vencida"&amp;" · ","")&amp;IF(AND(ObsObligatoria="Sí",ISNUMBER($F216),$F216&lt;FechaRef,N($L216)&lt;1,$N216=""),"Vencida sin observación"&amp;" · ",""))-3)))</f>
        <v/>
      </c>
      <c r="P216" s="69">
        <f>IF(NOT((COUNTA($B216:$K216)+COUNTA($N216))&gt;0),"",IF(AND($S216="Sub",N($R216)&gt;0),IF(ISNUMBER(INDEX($E$5:$E$1000,$R216-4)),DATE(YEAR(INDEX($E$5:$E$1000,$R216-4)),MONTH(INDEX($E$5:$E$1000,$R216-4)),1),IF(ISNUMBER(INDEX($F$5:$F$1000,$R216-4)),DATE(YEAR(INDEX($F$5:$F$1000,$R216-4)),MONTH(INDEX($F$5:$F$1000,$R216-4)),1),MesCiclo)),IF(ISNUMBER($E216),DATE(YEAR($E216),MONTH($E216),1),IF(ISNUMBER($F216),DATE(YEAR($F216),MONTH($F216),1),MesCiclo))))</f>
        <v/>
      </c>
      <c r="Q216" s="70">
        <f>IF(OR($P216="",$P216&lt;&gt;MesCiclo),"",COUNTIF($P$5:$P216,MesCiclo))</f>
        <v/>
      </c>
      <c r="R216" s="70">
        <f>IF($S216="","",IF($S216="Macro",ROW(),IFERROR(LOOKUP(2,1/($S$5:$S216="Macro"),ROW($S$5:$S216)),0)))</f>
        <v/>
      </c>
      <c r="S216" s="70">
        <f>IF(NOT((COUNTA($B216:$K216)+COUNTA($N216))&gt;0),"",IF($B216&lt;&gt;"","Macro",IF($C216&lt;&gt;"","Sub","Macro")))</f>
        <v/>
      </c>
      <c r="T216" s="70">
        <f>IF($S216="Macro",COUNTIFS($R$5:$R$1000,ROW(),$S$5:$S$1000,"Sub"),"")</f>
        <v/>
      </c>
      <c r="U216" s="70">
        <f>IF($S216="","",IF(ISNUMBER($H216),$H216,0))</f>
        <v/>
      </c>
      <c r="V216" s="70">
        <f>IF($S216="","",IF(ISNUMBER($I216),$I216,$U216))</f>
        <v/>
      </c>
      <c r="W216" s="70">
        <f>IF($S216="","",IF(ISNUMBER($J216),$J216,$V216))</f>
        <v/>
      </c>
      <c r="X216" s="70">
        <f>IF($S216="","",IF(ISNUMBER($K216),$K216,$W216))</f>
        <v/>
      </c>
      <c r="Y216" s="70">
        <f>IF($S216="","",IF(N($T216)&gt;0,AVERAGEIFS($U$5:$U$1000,$R$5:$R$1000,ROW(),$S$5:$S$1000,"Sub"),$U216))</f>
        <v/>
      </c>
      <c r="Z216" s="70">
        <f>IF($S216="","",IF(N($T216)&gt;0,AVERAGEIFS($V$5:$V$1000,$R$5:$R$1000,ROW(),$S$5:$S$1000,"Sub"),$V216))</f>
        <v/>
      </c>
      <c r="AA216" s="70">
        <f>IF($S216="","",IF(N($T216)&gt;0,AVERAGEIFS($W$5:$W$1000,$R$5:$R$1000,ROW(),$S$5:$S$1000,"Sub"),$W216))</f>
        <v/>
      </c>
      <c r="AB216" s="70">
        <f>IF($S216="","",IF(N($T216)&gt;0,AVERAGEIFS($X$5:$X$1000,$R$5:$R$1000,ROW(),$S$5:$S$1000,"Sub"),$X216))</f>
        <v/>
      </c>
    </row>
    <row r="217">
      <c r="A217" s="61">
        <f>IF(NOT((COUNTA($B217:$K217)+COUNTA($N217))&gt;0),"",IF($S217="Macro",COUNTIFS($S$5:$S217,"Macro",$P$5:$P217,$P217),IF(N($R217)=0,"?",COUNTIFS(INDEX($S$5:$S$1000,1):INDEX($S$5:$S$1000,$R217-4),"Macro",INDEX($P$5:$P$1000,1):INDEX($P$5:$P$1000,$R217-4),INDEX($P$5:$P$1000,$R217-4))&amp;"."&amp;COUNTIFS($R$5:$R217,$R217,$S$5:$S217,"Sub"))))</f>
        <v/>
      </c>
      <c r="B217" s="62" t="n"/>
      <c r="C217" s="63" t="n"/>
      <c r="D217" s="62" t="n"/>
      <c r="E217" s="64" t="n"/>
      <c r="F217" s="64" t="n"/>
      <c r="G217" s="65" t="n"/>
      <c r="H217" s="66" t="n"/>
      <c r="I217" s="66" t="n"/>
      <c r="J217" s="66" t="n"/>
      <c r="K217" s="66" t="n"/>
      <c r="L217" s="67">
        <f>IF(NOT((COUNTA($B217:$K217)+COUNTA($N217))&gt;0),"",IF(N($T217)&gt;0,$AB217,IFERROR(LOOKUP(2,1/(H217:K217&lt;&gt;""),H217:K217),0)))</f>
        <v/>
      </c>
      <c r="M217" s="61">
        <f>IF(L217="","",IF(L217&gt;=1,"Completado",IF(L217&gt;0,"En curso","Pendiente")))</f>
        <v/>
      </c>
      <c r="N217" s="62" t="n"/>
      <c r="O217" s="68">
        <f>IF(NOT((COUNTA($B217:$K217)+COUNTA($N217))&gt;0),"",IF((IF(AND($S217="Macro",$B217=""),"Macroactividad vacía"&amp;" · ","")&amp;IF(AND($B217&lt;&gt;"",$C217&lt;&gt;""),"Escriba la subactividad en otra fila, debajo de su macroactividad"&amp;" · ","")&amp;IF(AND($S217="Sub",N($R217)=0),"Subactividad sin macroactividad arriba"&amp;" · ","")&amp;IF($D217="","Sin responsable"&amp;" · ","")&amp;IF($E217="","Sin fecha de inicio"&amp;" · ","")&amp;IF($F217="","Sin fecha límite"&amp;" · ","")&amp;IF(OR(AND($E217&lt;&gt;"",NOT(ISNUMBER($E217))),AND($F217&lt;&gt;"",NOT(ISNUMBER($F217)))),"Fecha no válida"&amp;" · ","")&amp;IF(AND(ISNUMBER($E217),ISNUMBER($F217),$E217&gt;$F217),"Inicio posterior a fecha límite"&amp;" · ","")&amp;IF(AND($S217="Macro",$G217=""),"Peso vacío"&amp;" · ","")&amp;IF(AND($S217="Macro",$G217&lt;&gt;"",OR(NOT(ISNUMBER($G217)),$G217&lt;=0,$G217&gt;1)),"Peso fuera de rango"&amp;" · ","")&amp;IF(AND($S217="Sub",$G217&lt;&gt;""),"Las subactividades no llevan peso"&amp;" · ","")&amp;IF(AND($S217="Macro",ABS(SUMIFS($G$5:$G$1000,$P$5:$P$1000,$P217,$S$5:$S$1000,"Macro")-1)&gt;0.0001),"Pesos del mes suman "&amp;TEXT(SUMIFS($G$5:$G$1000,$P$5:$P$1000,$P217,$S$5:$S$1000,"Macro"),"0%")&amp;" · ","")&amp;IF(AND(N($T217)&gt;0,COUNT($H217:$K217)&gt;0),"Con subactividades: deje vacías las semanas (se calculan solas)"&amp;" · ","")&amp;IF((COUNTIF($H217:$K217,"&gt;1")+COUNTIF($H217:$K217,"&lt;0")+COUNTA($H217:$K217)-COUNT($H217:$K217))&gt;0,"Avance fuera de rango 0-100%"&amp;" · ","")&amp;IF(OR(AND($I217&lt;&gt;"",$I217&lt;$H217),AND($J217&lt;&gt;"",$J217&lt;MAX($H217:$I217)),AND($K217&lt;&gt;"",$K217&lt;MAX($H217:$J217))),"Avance semanal decreciente"&amp;" · ","")&amp;IF(AND(ISNUMBER($F217),$F217&lt;FechaRef,N($L217)&lt;1),"Vencida"&amp;" · ","")&amp;IF(AND(ObsObligatoria="Sí",ISNUMBER($F217),$F217&lt;FechaRef,N($L217)&lt;1,$N217=""),"Vencida sin observación"&amp;" · ",""))="","✔ OK","⚠ "&amp;LEFT(IF(AND($S217="Macro",$B217=""),"Macroactividad vacía"&amp;" · ","")&amp;IF(AND($B217&lt;&gt;"",$C217&lt;&gt;""),"Escriba la subactividad en otra fila, debajo de su macroactividad"&amp;" · ","")&amp;IF(AND($S217="Sub",N($R217)=0),"Subactividad sin macroactividad arriba"&amp;" · ","")&amp;IF($D217="","Sin responsable"&amp;" · ","")&amp;IF($E217="","Sin fecha de inicio"&amp;" · ","")&amp;IF($F217="","Sin fecha límite"&amp;" · ","")&amp;IF(OR(AND($E217&lt;&gt;"",NOT(ISNUMBER($E217))),AND($F217&lt;&gt;"",NOT(ISNUMBER($F217)))),"Fecha no válida"&amp;" · ","")&amp;IF(AND(ISNUMBER($E217),ISNUMBER($F217),$E217&gt;$F217),"Inicio posterior a fecha límite"&amp;" · ","")&amp;IF(AND($S217="Macro",$G217=""),"Peso vacío"&amp;" · ","")&amp;IF(AND($S217="Macro",$G217&lt;&gt;"",OR(NOT(ISNUMBER($G217)),$G217&lt;=0,$G217&gt;1)),"Peso fuera de rango"&amp;" · ","")&amp;IF(AND($S217="Sub",$G217&lt;&gt;""),"Las subactividades no llevan peso"&amp;" · ","")&amp;IF(AND($S217="Macro",ABS(SUMIFS($G$5:$G$1000,$P$5:$P$1000,$P217,$S$5:$S$1000,"Macro")-1)&gt;0.0001),"Pesos del mes suman "&amp;TEXT(SUMIFS($G$5:$G$1000,$P$5:$P$1000,$P217,$S$5:$S$1000,"Macro"),"0%")&amp;" · ","")&amp;IF(AND(N($T217)&gt;0,COUNT($H217:$K217)&gt;0),"Con subactividades: deje vacías las semanas (se calculan solas)"&amp;" · ","")&amp;IF((COUNTIF($H217:$K217,"&gt;1")+COUNTIF($H217:$K217,"&lt;0")+COUNTA($H217:$K217)-COUNT($H217:$K217))&gt;0,"Avance fuera de rango 0-100%"&amp;" · ","")&amp;IF(OR(AND($I217&lt;&gt;"",$I217&lt;$H217),AND($J217&lt;&gt;"",$J217&lt;MAX($H217:$I217)),AND($K217&lt;&gt;"",$K217&lt;MAX($H217:$J217))),"Avance semanal decreciente"&amp;" · ","")&amp;IF(AND(ISNUMBER($F217),$F217&lt;FechaRef,N($L217)&lt;1),"Vencida"&amp;" · ","")&amp;IF(AND(ObsObligatoria="Sí",ISNUMBER($F217),$F217&lt;FechaRef,N($L217)&lt;1,$N217=""),"Vencida sin observación"&amp;" · ",""),LEN(IF(AND($S217="Macro",$B217=""),"Macroactividad vacía"&amp;" · ","")&amp;IF(AND($B217&lt;&gt;"",$C217&lt;&gt;""),"Escriba la subactividad en otra fila, debajo de su macroactividad"&amp;" · ","")&amp;IF(AND($S217="Sub",N($R217)=0),"Subactividad sin macroactividad arriba"&amp;" · ","")&amp;IF($D217="","Sin responsable"&amp;" · ","")&amp;IF($E217="","Sin fecha de inicio"&amp;" · ","")&amp;IF($F217="","Sin fecha límite"&amp;" · ","")&amp;IF(OR(AND($E217&lt;&gt;"",NOT(ISNUMBER($E217))),AND($F217&lt;&gt;"",NOT(ISNUMBER($F217)))),"Fecha no válida"&amp;" · ","")&amp;IF(AND(ISNUMBER($E217),ISNUMBER($F217),$E217&gt;$F217),"Inicio posterior a fecha límite"&amp;" · ","")&amp;IF(AND($S217="Macro",$G217=""),"Peso vacío"&amp;" · ","")&amp;IF(AND($S217="Macro",$G217&lt;&gt;"",OR(NOT(ISNUMBER($G217)),$G217&lt;=0,$G217&gt;1)),"Peso fuera de rango"&amp;" · ","")&amp;IF(AND($S217="Sub",$G217&lt;&gt;""),"Las subactividades no llevan peso"&amp;" · ","")&amp;IF(AND($S217="Macro",ABS(SUMIFS($G$5:$G$1000,$P$5:$P$1000,$P217,$S$5:$S$1000,"Macro")-1)&gt;0.0001),"Pesos del mes suman "&amp;TEXT(SUMIFS($G$5:$G$1000,$P$5:$P$1000,$P217,$S$5:$S$1000,"Macro"),"0%")&amp;" · ","")&amp;IF(AND(N($T217)&gt;0,COUNT($H217:$K217)&gt;0),"Con subactividades: deje vacías las semanas (se calculan solas)"&amp;" · ","")&amp;IF((COUNTIF($H217:$K217,"&gt;1")+COUNTIF($H217:$K217,"&lt;0")+COUNTA($H217:$K217)-COUNT($H217:$K217))&gt;0,"Avance fuera de rango 0-100%"&amp;" · ","")&amp;IF(OR(AND($I217&lt;&gt;"",$I217&lt;$H217),AND($J217&lt;&gt;"",$J217&lt;MAX($H217:$I217)),AND($K217&lt;&gt;"",$K217&lt;MAX($H217:$J217))),"Avance semanal decreciente"&amp;" · ","")&amp;IF(AND(ISNUMBER($F217),$F217&lt;FechaRef,N($L217)&lt;1),"Vencida"&amp;" · ","")&amp;IF(AND(ObsObligatoria="Sí",ISNUMBER($F217),$F217&lt;FechaRef,N($L217)&lt;1,$N217=""),"Vencida sin observación"&amp;" · ",""))-3)))</f>
        <v/>
      </c>
      <c r="P217" s="69">
        <f>IF(NOT((COUNTA($B217:$K217)+COUNTA($N217))&gt;0),"",IF(AND($S217="Sub",N($R217)&gt;0),IF(ISNUMBER(INDEX($E$5:$E$1000,$R217-4)),DATE(YEAR(INDEX($E$5:$E$1000,$R217-4)),MONTH(INDEX($E$5:$E$1000,$R217-4)),1),IF(ISNUMBER(INDEX($F$5:$F$1000,$R217-4)),DATE(YEAR(INDEX($F$5:$F$1000,$R217-4)),MONTH(INDEX($F$5:$F$1000,$R217-4)),1),MesCiclo)),IF(ISNUMBER($E217),DATE(YEAR($E217),MONTH($E217),1),IF(ISNUMBER($F217),DATE(YEAR($F217),MONTH($F217),1),MesCiclo))))</f>
        <v/>
      </c>
      <c r="Q217" s="70">
        <f>IF(OR($P217="",$P217&lt;&gt;MesCiclo),"",COUNTIF($P$5:$P217,MesCiclo))</f>
        <v/>
      </c>
      <c r="R217" s="70">
        <f>IF($S217="","",IF($S217="Macro",ROW(),IFERROR(LOOKUP(2,1/($S$5:$S217="Macro"),ROW($S$5:$S217)),0)))</f>
        <v/>
      </c>
      <c r="S217" s="70">
        <f>IF(NOT((COUNTA($B217:$K217)+COUNTA($N217))&gt;0),"",IF($B217&lt;&gt;"","Macro",IF($C217&lt;&gt;"","Sub","Macro")))</f>
        <v/>
      </c>
      <c r="T217" s="70">
        <f>IF($S217="Macro",COUNTIFS($R$5:$R$1000,ROW(),$S$5:$S$1000,"Sub"),"")</f>
        <v/>
      </c>
      <c r="U217" s="70">
        <f>IF($S217="","",IF(ISNUMBER($H217),$H217,0))</f>
        <v/>
      </c>
      <c r="V217" s="70">
        <f>IF($S217="","",IF(ISNUMBER($I217),$I217,$U217))</f>
        <v/>
      </c>
      <c r="W217" s="70">
        <f>IF($S217="","",IF(ISNUMBER($J217),$J217,$V217))</f>
        <v/>
      </c>
      <c r="X217" s="70">
        <f>IF($S217="","",IF(ISNUMBER($K217),$K217,$W217))</f>
        <v/>
      </c>
      <c r="Y217" s="70">
        <f>IF($S217="","",IF(N($T217)&gt;0,AVERAGEIFS($U$5:$U$1000,$R$5:$R$1000,ROW(),$S$5:$S$1000,"Sub"),$U217))</f>
        <v/>
      </c>
      <c r="Z217" s="70">
        <f>IF($S217="","",IF(N($T217)&gt;0,AVERAGEIFS($V$5:$V$1000,$R$5:$R$1000,ROW(),$S$5:$S$1000,"Sub"),$V217))</f>
        <v/>
      </c>
      <c r="AA217" s="70">
        <f>IF($S217="","",IF(N($T217)&gt;0,AVERAGEIFS($W$5:$W$1000,$R$5:$R$1000,ROW(),$S$5:$S$1000,"Sub"),$W217))</f>
        <v/>
      </c>
      <c r="AB217" s="70">
        <f>IF($S217="","",IF(N($T217)&gt;0,AVERAGEIFS($X$5:$X$1000,$R$5:$R$1000,ROW(),$S$5:$S$1000,"Sub"),$X217))</f>
        <v/>
      </c>
    </row>
    <row r="218">
      <c r="A218" s="61">
        <f>IF(NOT((COUNTA($B218:$K218)+COUNTA($N218))&gt;0),"",IF($S218="Macro",COUNTIFS($S$5:$S218,"Macro",$P$5:$P218,$P218),IF(N($R218)=0,"?",COUNTIFS(INDEX($S$5:$S$1000,1):INDEX($S$5:$S$1000,$R218-4),"Macro",INDEX($P$5:$P$1000,1):INDEX($P$5:$P$1000,$R218-4),INDEX($P$5:$P$1000,$R218-4))&amp;"."&amp;COUNTIFS($R$5:$R218,$R218,$S$5:$S218,"Sub"))))</f>
        <v/>
      </c>
      <c r="B218" s="62" t="n"/>
      <c r="C218" s="63" t="n"/>
      <c r="D218" s="62" t="n"/>
      <c r="E218" s="64" t="n"/>
      <c r="F218" s="64" t="n"/>
      <c r="G218" s="65" t="n"/>
      <c r="H218" s="66" t="n"/>
      <c r="I218" s="66" t="n"/>
      <c r="J218" s="66" t="n"/>
      <c r="K218" s="66" t="n"/>
      <c r="L218" s="67">
        <f>IF(NOT((COUNTA($B218:$K218)+COUNTA($N218))&gt;0),"",IF(N($T218)&gt;0,$AB218,IFERROR(LOOKUP(2,1/(H218:K218&lt;&gt;""),H218:K218),0)))</f>
        <v/>
      </c>
      <c r="M218" s="61">
        <f>IF(L218="","",IF(L218&gt;=1,"Completado",IF(L218&gt;0,"En curso","Pendiente")))</f>
        <v/>
      </c>
      <c r="N218" s="62" t="n"/>
      <c r="O218" s="68">
        <f>IF(NOT((COUNTA($B218:$K218)+COUNTA($N218))&gt;0),"",IF((IF(AND($S218="Macro",$B218=""),"Macroactividad vacía"&amp;" · ","")&amp;IF(AND($B218&lt;&gt;"",$C218&lt;&gt;""),"Escriba la subactividad en otra fila, debajo de su macroactividad"&amp;" · ","")&amp;IF(AND($S218="Sub",N($R218)=0),"Subactividad sin macroactividad arriba"&amp;" · ","")&amp;IF($D218="","Sin responsable"&amp;" · ","")&amp;IF($E218="","Sin fecha de inicio"&amp;" · ","")&amp;IF($F218="","Sin fecha límite"&amp;" · ","")&amp;IF(OR(AND($E218&lt;&gt;"",NOT(ISNUMBER($E218))),AND($F218&lt;&gt;"",NOT(ISNUMBER($F218)))),"Fecha no válida"&amp;" · ","")&amp;IF(AND(ISNUMBER($E218),ISNUMBER($F218),$E218&gt;$F218),"Inicio posterior a fecha límite"&amp;" · ","")&amp;IF(AND($S218="Macro",$G218=""),"Peso vacío"&amp;" · ","")&amp;IF(AND($S218="Macro",$G218&lt;&gt;"",OR(NOT(ISNUMBER($G218)),$G218&lt;=0,$G218&gt;1)),"Peso fuera de rango"&amp;" · ","")&amp;IF(AND($S218="Sub",$G218&lt;&gt;""),"Las subactividades no llevan peso"&amp;" · ","")&amp;IF(AND($S218="Macro",ABS(SUMIFS($G$5:$G$1000,$P$5:$P$1000,$P218,$S$5:$S$1000,"Macro")-1)&gt;0.0001),"Pesos del mes suman "&amp;TEXT(SUMIFS($G$5:$G$1000,$P$5:$P$1000,$P218,$S$5:$S$1000,"Macro"),"0%")&amp;" · ","")&amp;IF(AND(N($T218)&gt;0,COUNT($H218:$K218)&gt;0),"Con subactividades: deje vacías las semanas (se calculan solas)"&amp;" · ","")&amp;IF((COUNTIF($H218:$K218,"&gt;1")+COUNTIF($H218:$K218,"&lt;0")+COUNTA($H218:$K218)-COUNT($H218:$K218))&gt;0,"Avance fuera de rango 0-100%"&amp;" · ","")&amp;IF(OR(AND($I218&lt;&gt;"",$I218&lt;$H218),AND($J218&lt;&gt;"",$J218&lt;MAX($H218:$I218)),AND($K218&lt;&gt;"",$K218&lt;MAX($H218:$J218))),"Avance semanal decreciente"&amp;" · ","")&amp;IF(AND(ISNUMBER($F218),$F218&lt;FechaRef,N($L218)&lt;1),"Vencida"&amp;" · ","")&amp;IF(AND(ObsObligatoria="Sí",ISNUMBER($F218),$F218&lt;FechaRef,N($L218)&lt;1,$N218=""),"Vencida sin observación"&amp;" · ",""))="","✔ OK","⚠ "&amp;LEFT(IF(AND($S218="Macro",$B218=""),"Macroactividad vacía"&amp;" · ","")&amp;IF(AND($B218&lt;&gt;"",$C218&lt;&gt;""),"Escriba la subactividad en otra fila, debajo de su macroactividad"&amp;" · ","")&amp;IF(AND($S218="Sub",N($R218)=0),"Subactividad sin macroactividad arriba"&amp;" · ","")&amp;IF($D218="","Sin responsable"&amp;" · ","")&amp;IF($E218="","Sin fecha de inicio"&amp;" · ","")&amp;IF($F218="","Sin fecha límite"&amp;" · ","")&amp;IF(OR(AND($E218&lt;&gt;"",NOT(ISNUMBER($E218))),AND($F218&lt;&gt;"",NOT(ISNUMBER($F218)))),"Fecha no válida"&amp;" · ","")&amp;IF(AND(ISNUMBER($E218),ISNUMBER($F218),$E218&gt;$F218),"Inicio posterior a fecha límite"&amp;" · ","")&amp;IF(AND($S218="Macro",$G218=""),"Peso vacío"&amp;" · ","")&amp;IF(AND($S218="Macro",$G218&lt;&gt;"",OR(NOT(ISNUMBER($G218)),$G218&lt;=0,$G218&gt;1)),"Peso fuera de rango"&amp;" · ","")&amp;IF(AND($S218="Sub",$G218&lt;&gt;""),"Las subactividades no llevan peso"&amp;" · ","")&amp;IF(AND($S218="Macro",ABS(SUMIFS($G$5:$G$1000,$P$5:$P$1000,$P218,$S$5:$S$1000,"Macro")-1)&gt;0.0001),"Pesos del mes suman "&amp;TEXT(SUMIFS($G$5:$G$1000,$P$5:$P$1000,$P218,$S$5:$S$1000,"Macro"),"0%")&amp;" · ","")&amp;IF(AND(N($T218)&gt;0,COUNT($H218:$K218)&gt;0),"Con subactividades: deje vacías las semanas (se calculan solas)"&amp;" · ","")&amp;IF((COUNTIF($H218:$K218,"&gt;1")+COUNTIF($H218:$K218,"&lt;0")+COUNTA($H218:$K218)-COUNT($H218:$K218))&gt;0,"Avance fuera de rango 0-100%"&amp;" · ","")&amp;IF(OR(AND($I218&lt;&gt;"",$I218&lt;$H218),AND($J218&lt;&gt;"",$J218&lt;MAX($H218:$I218)),AND($K218&lt;&gt;"",$K218&lt;MAX($H218:$J218))),"Avance semanal decreciente"&amp;" · ","")&amp;IF(AND(ISNUMBER($F218),$F218&lt;FechaRef,N($L218)&lt;1),"Vencida"&amp;" · ","")&amp;IF(AND(ObsObligatoria="Sí",ISNUMBER($F218),$F218&lt;FechaRef,N($L218)&lt;1,$N218=""),"Vencida sin observación"&amp;" · ",""),LEN(IF(AND($S218="Macro",$B218=""),"Macroactividad vacía"&amp;" · ","")&amp;IF(AND($B218&lt;&gt;"",$C218&lt;&gt;""),"Escriba la subactividad en otra fila, debajo de su macroactividad"&amp;" · ","")&amp;IF(AND($S218="Sub",N($R218)=0),"Subactividad sin macroactividad arriba"&amp;" · ","")&amp;IF($D218="","Sin responsable"&amp;" · ","")&amp;IF($E218="","Sin fecha de inicio"&amp;" · ","")&amp;IF($F218="","Sin fecha límite"&amp;" · ","")&amp;IF(OR(AND($E218&lt;&gt;"",NOT(ISNUMBER($E218))),AND($F218&lt;&gt;"",NOT(ISNUMBER($F218)))),"Fecha no válida"&amp;" · ","")&amp;IF(AND(ISNUMBER($E218),ISNUMBER($F218),$E218&gt;$F218),"Inicio posterior a fecha límite"&amp;" · ","")&amp;IF(AND($S218="Macro",$G218=""),"Peso vacío"&amp;" · ","")&amp;IF(AND($S218="Macro",$G218&lt;&gt;"",OR(NOT(ISNUMBER($G218)),$G218&lt;=0,$G218&gt;1)),"Peso fuera de rango"&amp;" · ","")&amp;IF(AND($S218="Sub",$G218&lt;&gt;""),"Las subactividades no llevan peso"&amp;" · ","")&amp;IF(AND($S218="Macro",ABS(SUMIFS($G$5:$G$1000,$P$5:$P$1000,$P218,$S$5:$S$1000,"Macro")-1)&gt;0.0001),"Pesos del mes suman "&amp;TEXT(SUMIFS($G$5:$G$1000,$P$5:$P$1000,$P218,$S$5:$S$1000,"Macro"),"0%")&amp;" · ","")&amp;IF(AND(N($T218)&gt;0,COUNT($H218:$K218)&gt;0),"Con subactividades: deje vacías las semanas (se calculan solas)"&amp;" · ","")&amp;IF((COUNTIF($H218:$K218,"&gt;1")+COUNTIF($H218:$K218,"&lt;0")+COUNTA($H218:$K218)-COUNT($H218:$K218))&gt;0,"Avance fuera de rango 0-100%"&amp;" · ","")&amp;IF(OR(AND($I218&lt;&gt;"",$I218&lt;$H218),AND($J218&lt;&gt;"",$J218&lt;MAX($H218:$I218)),AND($K218&lt;&gt;"",$K218&lt;MAX($H218:$J218))),"Avance semanal decreciente"&amp;" · ","")&amp;IF(AND(ISNUMBER($F218),$F218&lt;FechaRef,N($L218)&lt;1),"Vencida"&amp;" · ","")&amp;IF(AND(ObsObligatoria="Sí",ISNUMBER($F218),$F218&lt;FechaRef,N($L218)&lt;1,$N218=""),"Vencida sin observación"&amp;" · ",""))-3)))</f>
        <v/>
      </c>
      <c r="P218" s="69">
        <f>IF(NOT((COUNTA($B218:$K218)+COUNTA($N218))&gt;0),"",IF(AND($S218="Sub",N($R218)&gt;0),IF(ISNUMBER(INDEX($E$5:$E$1000,$R218-4)),DATE(YEAR(INDEX($E$5:$E$1000,$R218-4)),MONTH(INDEX($E$5:$E$1000,$R218-4)),1),IF(ISNUMBER(INDEX($F$5:$F$1000,$R218-4)),DATE(YEAR(INDEX($F$5:$F$1000,$R218-4)),MONTH(INDEX($F$5:$F$1000,$R218-4)),1),MesCiclo)),IF(ISNUMBER($E218),DATE(YEAR($E218),MONTH($E218),1),IF(ISNUMBER($F218),DATE(YEAR($F218),MONTH($F218),1),MesCiclo))))</f>
        <v/>
      </c>
      <c r="Q218" s="70">
        <f>IF(OR($P218="",$P218&lt;&gt;MesCiclo),"",COUNTIF($P$5:$P218,MesCiclo))</f>
        <v/>
      </c>
      <c r="R218" s="70">
        <f>IF($S218="","",IF($S218="Macro",ROW(),IFERROR(LOOKUP(2,1/($S$5:$S218="Macro"),ROW($S$5:$S218)),0)))</f>
        <v/>
      </c>
      <c r="S218" s="70">
        <f>IF(NOT((COUNTA($B218:$K218)+COUNTA($N218))&gt;0),"",IF($B218&lt;&gt;"","Macro",IF($C218&lt;&gt;"","Sub","Macro")))</f>
        <v/>
      </c>
      <c r="T218" s="70">
        <f>IF($S218="Macro",COUNTIFS($R$5:$R$1000,ROW(),$S$5:$S$1000,"Sub"),"")</f>
        <v/>
      </c>
      <c r="U218" s="70">
        <f>IF($S218="","",IF(ISNUMBER($H218),$H218,0))</f>
        <v/>
      </c>
      <c r="V218" s="70">
        <f>IF($S218="","",IF(ISNUMBER($I218),$I218,$U218))</f>
        <v/>
      </c>
      <c r="W218" s="70">
        <f>IF($S218="","",IF(ISNUMBER($J218),$J218,$V218))</f>
        <v/>
      </c>
      <c r="X218" s="70">
        <f>IF($S218="","",IF(ISNUMBER($K218),$K218,$W218))</f>
        <v/>
      </c>
      <c r="Y218" s="70">
        <f>IF($S218="","",IF(N($T218)&gt;0,AVERAGEIFS($U$5:$U$1000,$R$5:$R$1000,ROW(),$S$5:$S$1000,"Sub"),$U218))</f>
        <v/>
      </c>
      <c r="Z218" s="70">
        <f>IF($S218="","",IF(N($T218)&gt;0,AVERAGEIFS($V$5:$V$1000,$R$5:$R$1000,ROW(),$S$5:$S$1000,"Sub"),$V218))</f>
        <v/>
      </c>
      <c r="AA218" s="70">
        <f>IF($S218="","",IF(N($T218)&gt;0,AVERAGEIFS($W$5:$W$1000,$R$5:$R$1000,ROW(),$S$5:$S$1000,"Sub"),$W218))</f>
        <v/>
      </c>
      <c r="AB218" s="70">
        <f>IF($S218="","",IF(N($T218)&gt;0,AVERAGEIFS($X$5:$X$1000,$R$5:$R$1000,ROW(),$S$5:$S$1000,"Sub"),$X218))</f>
        <v/>
      </c>
    </row>
    <row r="219">
      <c r="A219" s="61">
        <f>IF(NOT((COUNTA($B219:$K219)+COUNTA($N219))&gt;0),"",IF($S219="Macro",COUNTIFS($S$5:$S219,"Macro",$P$5:$P219,$P219),IF(N($R219)=0,"?",COUNTIFS(INDEX($S$5:$S$1000,1):INDEX($S$5:$S$1000,$R219-4),"Macro",INDEX($P$5:$P$1000,1):INDEX($P$5:$P$1000,$R219-4),INDEX($P$5:$P$1000,$R219-4))&amp;"."&amp;COUNTIFS($R$5:$R219,$R219,$S$5:$S219,"Sub"))))</f>
        <v/>
      </c>
      <c r="B219" s="62" t="n"/>
      <c r="C219" s="63" t="n"/>
      <c r="D219" s="62" t="n"/>
      <c r="E219" s="64" t="n"/>
      <c r="F219" s="64" t="n"/>
      <c r="G219" s="65" t="n"/>
      <c r="H219" s="66" t="n"/>
      <c r="I219" s="66" t="n"/>
      <c r="J219" s="66" t="n"/>
      <c r="K219" s="66" t="n"/>
      <c r="L219" s="67">
        <f>IF(NOT((COUNTA($B219:$K219)+COUNTA($N219))&gt;0),"",IF(N($T219)&gt;0,$AB219,IFERROR(LOOKUP(2,1/(H219:K219&lt;&gt;""),H219:K219),0)))</f>
        <v/>
      </c>
      <c r="M219" s="61">
        <f>IF(L219="","",IF(L219&gt;=1,"Completado",IF(L219&gt;0,"En curso","Pendiente")))</f>
        <v/>
      </c>
      <c r="N219" s="62" t="n"/>
      <c r="O219" s="68">
        <f>IF(NOT((COUNTA($B219:$K219)+COUNTA($N219))&gt;0),"",IF((IF(AND($S219="Macro",$B219=""),"Macroactividad vacía"&amp;" · ","")&amp;IF(AND($B219&lt;&gt;"",$C219&lt;&gt;""),"Escriba la subactividad en otra fila, debajo de su macroactividad"&amp;" · ","")&amp;IF(AND($S219="Sub",N($R219)=0),"Subactividad sin macroactividad arriba"&amp;" · ","")&amp;IF($D219="","Sin responsable"&amp;" · ","")&amp;IF($E219="","Sin fecha de inicio"&amp;" · ","")&amp;IF($F219="","Sin fecha límite"&amp;" · ","")&amp;IF(OR(AND($E219&lt;&gt;"",NOT(ISNUMBER($E219))),AND($F219&lt;&gt;"",NOT(ISNUMBER($F219)))),"Fecha no válida"&amp;" · ","")&amp;IF(AND(ISNUMBER($E219),ISNUMBER($F219),$E219&gt;$F219),"Inicio posterior a fecha límite"&amp;" · ","")&amp;IF(AND($S219="Macro",$G219=""),"Peso vacío"&amp;" · ","")&amp;IF(AND($S219="Macro",$G219&lt;&gt;"",OR(NOT(ISNUMBER($G219)),$G219&lt;=0,$G219&gt;1)),"Peso fuera de rango"&amp;" · ","")&amp;IF(AND($S219="Sub",$G219&lt;&gt;""),"Las subactividades no llevan peso"&amp;" · ","")&amp;IF(AND($S219="Macro",ABS(SUMIFS($G$5:$G$1000,$P$5:$P$1000,$P219,$S$5:$S$1000,"Macro")-1)&gt;0.0001),"Pesos del mes suman "&amp;TEXT(SUMIFS($G$5:$G$1000,$P$5:$P$1000,$P219,$S$5:$S$1000,"Macro"),"0%")&amp;" · ","")&amp;IF(AND(N($T219)&gt;0,COUNT($H219:$K219)&gt;0),"Con subactividades: deje vacías las semanas (se calculan solas)"&amp;" · ","")&amp;IF((COUNTIF($H219:$K219,"&gt;1")+COUNTIF($H219:$K219,"&lt;0")+COUNTA($H219:$K219)-COUNT($H219:$K219))&gt;0,"Avance fuera de rango 0-100%"&amp;" · ","")&amp;IF(OR(AND($I219&lt;&gt;"",$I219&lt;$H219),AND($J219&lt;&gt;"",$J219&lt;MAX($H219:$I219)),AND($K219&lt;&gt;"",$K219&lt;MAX($H219:$J219))),"Avance semanal decreciente"&amp;" · ","")&amp;IF(AND(ISNUMBER($F219),$F219&lt;FechaRef,N($L219)&lt;1),"Vencida"&amp;" · ","")&amp;IF(AND(ObsObligatoria="Sí",ISNUMBER($F219),$F219&lt;FechaRef,N($L219)&lt;1,$N219=""),"Vencida sin observación"&amp;" · ",""))="","✔ OK","⚠ "&amp;LEFT(IF(AND($S219="Macro",$B219=""),"Macroactividad vacía"&amp;" · ","")&amp;IF(AND($B219&lt;&gt;"",$C219&lt;&gt;""),"Escriba la subactividad en otra fila, debajo de su macroactividad"&amp;" · ","")&amp;IF(AND($S219="Sub",N($R219)=0),"Subactividad sin macroactividad arriba"&amp;" · ","")&amp;IF($D219="","Sin responsable"&amp;" · ","")&amp;IF($E219="","Sin fecha de inicio"&amp;" · ","")&amp;IF($F219="","Sin fecha límite"&amp;" · ","")&amp;IF(OR(AND($E219&lt;&gt;"",NOT(ISNUMBER($E219))),AND($F219&lt;&gt;"",NOT(ISNUMBER($F219)))),"Fecha no válida"&amp;" · ","")&amp;IF(AND(ISNUMBER($E219),ISNUMBER($F219),$E219&gt;$F219),"Inicio posterior a fecha límite"&amp;" · ","")&amp;IF(AND($S219="Macro",$G219=""),"Peso vacío"&amp;" · ","")&amp;IF(AND($S219="Macro",$G219&lt;&gt;"",OR(NOT(ISNUMBER($G219)),$G219&lt;=0,$G219&gt;1)),"Peso fuera de rango"&amp;" · ","")&amp;IF(AND($S219="Sub",$G219&lt;&gt;""),"Las subactividades no llevan peso"&amp;" · ","")&amp;IF(AND($S219="Macro",ABS(SUMIFS($G$5:$G$1000,$P$5:$P$1000,$P219,$S$5:$S$1000,"Macro")-1)&gt;0.0001),"Pesos del mes suman "&amp;TEXT(SUMIFS($G$5:$G$1000,$P$5:$P$1000,$P219,$S$5:$S$1000,"Macro"),"0%")&amp;" · ","")&amp;IF(AND(N($T219)&gt;0,COUNT($H219:$K219)&gt;0),"Con subactividades: deje vacías las semanas (se calculan solas)"&amp;" · ","")&amp;IF((COUNTIF($H219:$K219,"&gt;1")+COUNTIF($H219:$K219,"&lt;0")+COUNTA($H219:$K219)-COUNT($H219:$K219))&gt;0,"Avance fuera de rango 0-100%"&amp;" · ","")&amp;IF(OR(AND($I219&lt;&gt;"",$I219&lt;$H219),AND($J219&lt;&gt;"",$J219&lt;MAX($H219:$I219)),AND($K219&lt;&gt;"",$K219&lt;MAX($H219:$J219))),"Avance semanal decreciente"&amp;" · ","")&amp;IF(AND(ISNUMBER($F219),$F219&lt;FechaRef,N($L219)&lt;1),"Vencida"&amp;" · ","")&amp;IF(AND(ObsObligatoria="Sí",ISNUMBER($F219),$F219&lt;FechaRef,N($L219)&lt;1,$N219=""),"Vencida sin observación"&amp;" · ",""),LEN(IF(AND($S219="Macro",$B219=""),"Macroactividad vacía"&amp;" · ","")&amp;IF(AND($B219&lt;&gt;"",$C219&lt;&gt;""),"Escriba la subactividad en otra fila, debajo de su macroactividad"&amp;" · ","")&amp;IF(AND($S219="Sub",N($R219)=0),"Subactividad sin macroactividad arriba"&amp;" · ","")&amp;IF($D219="","Sin responsable"&amp;" · ","")&amp;IF($E219="","Sin fecha de inicio"&amp;" · ","")&amp;IF($F219="","Sin fecha límite"&amp;" · ","")&amp;IF(OR(AND($E219&lt;&gt;"",NOT(ISNUMBER($E219))),AND($F219&lt;&gt;"",NOT(ISNUMBER($F219)))),"Fecha no válida"&amp;" · ","")&amp;IF(AND(ISNUMBER($E219),ISNUMBER($F219),$E219&gt;$F219),"Inicio posterior a fecha límite"&amp;" · ","")&amp;IF(AND($S219="Macro",$G219=""),"Peso vacío"&amp;" · ","")&amp;IF(AND($S219="Macro",$G219&lt;&gt;"",OR(NOT(ISNUMBER($G219)),$G219&lt;=0,$G219&gt;1)),"Peso fuera de rango"&amp;" · ","")&amp;IF(AND($S219="Sub",$G219&lt;&gt;""),"Las subactividades no llevan peso"&amp;" · ","")&amp;IF(AND($S219="Macro",ABS(SUMIFS($G$5:$G$1000,$P$5:$P$1000,$P219,$S$5:$S$1000,"Macro")-1)&gt;0.0001),"Pesos del mes suman "&amp;TEXT(SUMIFS($G$5:$G$1000,$P$5:$P$1000,$P219,$S$5:$S$1000,"Macro"),"0%")&amp;" · ","")&amp;IF(AND(N($T219)&gt;0,COUNT($H219:$K219)&gt;0),"Con subactividades: deje vacías las semanas (se calculan solas)"&amp;" · ","")&amp;IF((COUNTIF($H219:$K219,"&gt;1")+COUNTIF($H219:$K219,"&lt;0")+COUNTA($H219:$K219)-COUNT($H219:$K219))&gt;0,"Avance fuera de rango 0-100%"&amp;" · ","")&amp;IF(OR(AND($I219&lt;&gt;"",$I219&lt;$H219),AND($J219&lt;&gt;"",$J219&lt;MAX($H219:$I219)),AND($K219&lt;&gt;"",$K219&lt;MAX($H219:$J219))),"Avance semanal decreciente"&amp;" · ","")&amp;IF(AND(ISNUMBER($F219),$F219&lt;FechaRef,N($L219)&lt;1),"Vencida"&amp;" · ","")&amp;IF(AND(ObsObligatoria="Sí",ISNUMBER($F219),$F219&lt;FechaRef,N($L219)&lt;1,$N219=""),"Vencida sin observación"&amp;" · ",""))-3)))</f>
        <v/>
      </c>
      <c r="P219" s="69">
        <f>IF(NOT((COUNTA($B219:$K219)+COUNTA($N219))&gt;0),"",IF(AND($S219="Sub",N($R219)&gt;0),IF(ISNUMBER(INDEX($E$5:$E$1000,$R219-4)),DATE(YEAR(INDEX($E$5:$E$1000,$R219-4)),MONTH(INDEX($E$5:$E$1000,$R219-4)),1),IF(ISNUMBER(INDEX($F$5:$F$1000,$R219-4)),DATE(YEAR(INDEX($F$5:$F$1000,$R219-4)),MONTH(INDEX($F$5:$F$1000,$R219-4)),1),MesCiclo)),IF(ISNUMBER($E219),DATE(YEAR($E219),MONTH($E219),1),IF(ISNUMBER($F219),DATE(YEAR($F219),MONTH($F219),1),MesCiclo))))</f>
        <v/>
      </c>
      <c r="Q219" s="70">
        <f>IF(OR($P219="",$P219&lt;&gt;MesCiclo),"",COUNTIF($P$5:$P219,MesCiclo))</f>
        <v/>
      </c>
      <c r="R219" s="70">
        <f>IF($S219="","",IF($S219="Macro",ROW(),IFERROR(LOOKUP(2,1/($S$5:$S219="Macro"),ROW($S$5:$S219)),0)))</f>
        <v/>
      </c>
      <c r="S219" s="70">
        <f>IF(NOT((COUNTA($B219:$K219)+COUNTA($N219))&gt;0),"",IF($B219&lt;&gt;"","Macro",IF($C219&lt;&gt;"","Sub","Macro")))</f>
        <v/>
      </c>
      <c r="T219" s="70">
        <f>IF($S219="Macro",COUNTIFS($R$5:$R$1000,ROW(),$S$5:$S$1000,"Sub"),"")</f>
        <v/>
      </c>
      <c r="U219" s="70">
        <f>IF($S219="","",IF(ISNUMBER($H219),$H219,0))</f>
        <v/>
      </c>
      <c r="V219" s="70">
        <f>IF($S219="","",IF(ISNUMBER($I219),$I219,$U219))</f>
        <v/>
      </c>
      <c r="W219" s="70">
        <f>IF($S219="","",IF(ISNUMBER($J219),$J219,$V219))</f>
        <v/>
      </c>
      <c r="X219" s="70">
        <f>IF($S219="","",IF(ISNUMBER($K219),$K219,$W219))</f>
        <v/>
      </c>
      <c r="Y219" s="70">
        <f>IF($S219="","",IF(N($T219)&gt;0,AVERAGEIFS($U$5:$U$1000,$R$5:$R$1000,ROW(),$S$5:$S$1000,"Sub"),$U219))</f>
        <v/>
      </c>
      <c r="Z219" s="70">
        <f>IF($S219="","",IF(N($T219)&gt;0,AVERAGEIFS($V$5:$V$1000,$R$5:$R$1000,ROW(),$S$5:$S$1000,"Sub"),$V219))</f>
        <v/>
      </c>
      <c r="AA219" s="70">
        <f>IF($S219="","",IF(N($T219)&gt;0,AVERAGEIFS($W$5:$W$1000,$R$5:$R$1000,ROW(),$S$5:$S$1000,"Sub"),$W219))</f>
        <v/>
      </c>
      <c r="AB219" s="70">
        <f>IF($S219="","",IF(N($T219)&gt;0,AVERAGEIFS($X$5:$X$1000,$R$5:$R$1000,ROW(),$S$5:$S$1000,"Sub"),$X219))</f>
        <v/>
      </c>
    </row>
    <row r="220">
      <c r="A220" s="61">
        <f>IF(NOT((COUNTA($B220:$K220)+COUNTA($N220))&gt;0),"",IF($S220="Macro",COUNTIFS($S$5:$S220,"Macro",$P$5:$P220,$P220),IF(N($R220)=0,"?",COUNTIFS(INDEX($S$5:$S$1000,1):INDEX($S$5:$S$1000,$R220-4),"Macro",INDEX($P$5:$P$1000,1):INDEX($P$5:$P$1000,$R220-4),INDEX($P$5:$P$1000,$R220-4))&amp;"."&amp;COUNTIFS($R$5:$R220,$R220,$S$5:$S220,"Sub"))))</f>
        <v/>
      </c>
      <c r="B220" s="62" t="n"/>
      <c r="C220" s="63" t="n"/>
      <c r="D220" s="62" t="n"/>
      <c r="E220" s="64" t="n"/>
      <c r="F220" s="64" t="n"/>
      <c r="G220" s="65" t="n"/>
      <c r="H220" s="66" t="n"/>
      <c r="I220" s="66" t="n"/>
      <c r="J220" s="66" t="n"/>
      <c r="K220" s="66" t="n"/>
      <c r="L220" s="67">
        <f>IF(NOT((COUNTA($B220:$K220)+COUNTA($N220))&gt;0),"",IF(N($T220)&gt;0,$AB220,IFERROR(LOOKUP(2,1/(H220:K220&lt;&gt;""),H220:K220),0)))</f>
        <v/>
      </c>
      <c r="M220" s="61">
        <f>IF(L220="","",IF(L220&gt;=1,"Completado",IF(L220&gt;0,"En curso","Pendiente")))</f>
        <v/>
      </c>
      <c r="N220" s="62" t="n"/>
      <c r="O220" s="68">
        <f>IF(NOT((COUNTA($B220:$K220)+COUNTA($N220))&gt;0),"",IF((IF(AND($S220="Macro",$B220=""),"Macroactividad vacía"&amp;" · ","")&amp;IF(AND($B220&lt;&gt;"",$C220&lt;&gt;""),"Escriba la subactividad en otra fila, debajo de su macroactividad"&amp;" · ","")&amp;IF(AND($S220="Sub",N($R220)=0),"Subactividad sin macroactividad arriba"&amp;" · ","")&amp;IF($D220="","Sin responsable"&amp;" · ","")&amp;IF($E220="","Sin fecha de inicio"&amp;" · ","")&amp;IF($F220="","Sin fecha límite"&amp;" · ","")&amp;IF(OR(AND($E220&lt;&gt;"",NOT(ISNUMBER($E220))),AND($F220&lt;&gt;"",NOT(ISNUMBER($F220)))),"Fecha no válida"&amp;" · ","")&amp;IF(AND(ISNUMBER($E220),ISNUMBER($F220),$E220&gt;$F220),"Inicio posterior a fecha límite"&amp;" · ","")&amp;IF(AND($S220="Macro",$G220=""),"Peso vacío"&amp;" · ","")&amp;IF(AND($S220="Macro",$G220&lt;&gt;"",OR(NOT(ISNUMBER($G220)),$G220&lt;=0,$G220&gt;1)),"Peso fuera de rango"&amp;" · ","")&amp;IF(AND($S220="Sub",$G220&lt;&gt;""),"Las subactividades no llevan peso"&amp;" · ","")&amp;IF(AND($S220="Macro",ABS(SUMIFS($G$5:$G$1000,$P$5:$P$1000,$P220,$S$5:$S$1000,"Macro")-1)&gt;0.0001),"Pesos del mes suman "&amp;TEXT(SUMIFS($G$5:$G$1000,$P$5:$P$1000,$P220,$S$5:$S$1000,"Macro"),"0%")&amp;" · ","")&amp;IF(AND(N($T220)&gt;0,COUNT($H220:$K220)&gt;0),"Con subactividades: deje vacías las semanas (se calculan solas)"&amp;" · ","")&amp;IF((COUNTIF($H220:$K220,"&gt;1")+COUNTIF($H220:$K220,"&lt;0")+COUNTA($H220:$K220)-COUNT($H220:$K220))&gt;0,"Avance fuera de rango 0-100%"&amp;" · ","")&amp;IF(OR(AND($I220&lt;&gt;"",$I220&lt;$H220),AND($J220&lt;&gt;"",$J220&lt;MAX($H220:$I220)),AND($K220&lt;&gt;"",$K220&lt;MAX($H220:$J220))),"Avance semanal decreciente"&amp;" · ","")&amp;IF(AND(ISNUMBER($F220),$F220&lt;FechaRef,N($L220)&lt;1),"Vencida"&amp;" · ","")&amp;IF(AND(ObsObligatoria="Sí",ISNUMBER($F220),$F220&lt;FechaRef,N($L220)&lt;1,$N220=""),"Vencida sin observación"&amp;" · ",""))="","✔ OK","⚠ "&amp;LEFT(IF(AND($S220="Macro",$B220=""),"Macroactividad vacía"&amp;" · ","")&amp;IF(AND($B220&lt;&gt;"",$C220&lt;&gt;""),"Escriba la subactividad en otra fila, debajo de su macroactividad"&amp;" · ","")&amp;IF(AND($S220="Sub",N($R220)=0),"Subactividad sin macroactividad arriba"&amp;" · ","")&amp;IF($D220="","Sin responsable"&amp;" · ","")&amp;IF($E220="","Sin fecha de inicio"&amp;" · ","")&amp;IF($F220="","Sin fecha límite"&amp;" · ","")&amp;IF(OR(AND($E220&lt;&gt;"",NOT(ISNUMBER($E220))),AND($F220&lt;&gt;"",NOT(ISNUMBER($F220)))),"Fecha no válida"&amp;" · ","")&amp;IF(AND(ISNUMBER($E220),ISNUMBER($F220),$E220&gt;$F220),"Inicio posterior a fecha límite"&amp;" · ","")&amp;IF(AND($S220="Macro",$G220=""),"Peso vacío"&amp;" · ","")&amp;IF(AND($S220="Macro",$G220&lt;&gt;"",OR(NOT(ISNUMBER($G220)),$G220&lt;=0,$G220&gt;1)),"Peso fuera de rango"&amp;" · ","")&amp;IF(AND($S220="Sub",$G220&lt;&gt;""),"Las subactividades no llevan peso"&amp;" · ","")&amp;IF(AND($S220="Macro",ABS(SUMIFS($G$5:$G$1000,$P$5:$P$1000,$P220,$S$5:$S$1000,"Macro")-1)&gt;0.0001),"Pesos del mes suman "&amp;TEXT(SUMIFS($G$5:$G$1000,$P$5:$P$1000,$P220,$S$5:$S$1000,"Macro"),"0%")&amp;" · ","")&amp;IF(AND(N($T220)&gt;0,COUNT($H220:$K220)&gt;0),"Con subactividades: deje vacías las semanas (se calculan solas)"&amp;" · ","")&amp;IF((COUNTIF($H220:$K220,"&gt;1")+COUNTIF($H220:$K220,"&lt;0")+COUNTA($H220:$K220)-COUNT($H220:$K220))&gt;0,"Avance fuera de rango 0-100%"&amp;" · ","")&amp;IF(OR(AND($I220&lt;&gt;"",$I220&lt;$H220),AND($J220&lt;&gt;"",$J220&lt;MAX($H220:$I220)),AND($K220&lt;&gt;"",$K220&lt;MAX($H220:$J220))),"Avance semanal decreciente"&amp;" · ","")&amp;IF(AND(ISNUMBER($F220),$F220&lt;FechaRef,N($L220)&lt;1),"Vencida"&amp;" · ","")&amp;IF(AND(ObsObligatoria="Sí",ISNUMBER($F220),$F220&lt;FechaRef,N($L220)&lt;1,$N220=""),"Vencida sin observación"&amp;" · ",""),LEN(IF(AND($S220="Macro",$B220=""),"Macroactividad vacía"&amp;" · ","")&amp;IF(AND($B220&lt;&gt;"",$C220&lt;&gt;""),"Escriba la subactividad en otra fila, debajo de su macroactividad"&amp;" · ","")&amp;IF(AND($S220="Sub",N($R220)=0),"Subactividad sin macroactividad arriba"&amp;" · ","")&amp;IF($D220="","Sin responsable"&amp;" · ","")&amp;IF($E220="","Sin fecha de inicio"&amp;" · ","")&amp;IF($F220="","Sin fecha límite"&amp;" · ","")&amp;IF(OR(AND($E220&lt;&gt;"",NOT(ISNUMBER($E220))),AND($F220&lt;&gt;"",NOT(ISNUMBER($F220)))),"Fecha no válida"&amp;" · ","")&amp;IF(AND(ISNUMBER($E220),ISNUMBER($F220),$E220&gt;$F220),"Inicio posterior a fecha límite"&amp;" · ","")&amp;IF(AND($S220="Macro",$G220=""),"Peso vacío"&amp;" · ","")&amp;IF(AND($S220="Macro",$G220&lt;&gt;"",OR(NOT(ISNUMBER($G220)),$G220&lt;=0,$G220&gt;1)),"Peso fuera de rango"&amp;" · ","")&amp;IF(AND($S220="Sub",$G220&lt;&gt;""),"Las subactividades no llevan peso"&amp;" · ","")&amp;IF(AND($S220="Macro",ABS(SUMIFS($G$5:$G$1000,$P$5:$P$1000,$P220,$S$5:$S$1000,"Macro")-1)&gt;0.0001),"Pesos del mes suman "&amp;TEXT(SUMIFS($G$5:$G$1000,$P$5:$P$1000,$P220,$S$5:$S$1000,"Macro"),"0%")&amp;" · ","")&amp;IF(AND(N($T220)&gt;0,COUNT($H220:$K220)&gt;0),"Con subactividades: deje vacías las semanas (se calculan solas)"&amp;" · ","")&amp;IF((COUNTIF($H220:$K220,"&gt;1")+COUNTIF($H220:$K220,"&lt;0")+COUNTA($H220:$K220)-COUNT($H220:$K220))&gt;0,"Avance fuera de rango 0-100%"&amp;" · ","")&amp;IF(OR(AND($I220&lt;&gt;"",$I220&lt;$H220),AND($J220&lt;&gt;"",$J220&lt;MAX($H220:$I220)),AND($K220&lt;&gt;"",$K220&lt;MAX($H220:$J220))),"Avance semanal decreciente"&amp;" · ","")&amp;IF(AND(ISNUMBER($F220),$F220&lt;FechaRef,N($L220)&lt;1),"Vencida"&amp;" · ","")&amp;IF(AND(ObsObligatoria="Sí",ISNUMBER($F220),$F220&lt;FechaRef,N($L220)&lt;1,$N220=""),"Vencida sin observación"&amp;" · ",""))-3)))</f>
        <v/>
      </c>
      <c r="P220" s="69">
        <f>IF(NOT((COUNTA($B220:$K220)+COUNTA($N220))&gt;0),"",IF(AND($S220="Sub",N($R220)&gt;0),IF(ISNUMBER(INDEX($E$5:$E$1000,$R220-4)),DATE(YEAR(INDEX($E$5:$E$1000,$R220-4)),MONTH(INDEX($E$5:$E$1000,$R220-4)),1),IF(ISNUMBER(INDEX($F$5:$F$1000,$R220-4)),DATE(YEAR(INDEX($F$5:$F$1000,$R220-4)),MONTH(INDEX($F$5:$F$1000,$R220-4)),1),MesCiclo)),IF(ISNUMBER($E220),DATE(YEAR($E220),MONTH($E220),1),IF(ISNUMBER($F220),DATE(YEAR($F220),MONTH($F220),1),MesCiclo))))</f>
        <v/>
      </c>
      <c r="Q220" s="70">
        <f>IF(OR($P220="",$P220&lt;&gt;MesCiclo),"",COUNTIF($P$5:$P220,MesCiclo))</f>
        <v/>
      </c>
      <c r="R220" s="70">
        <f>IF($S220="","",IF($S220="Macro",ROW(),IFERROR(LOOKUP(2,1/($S$5:$S220="Macro"),ROW($S$5:$S220)),0)))</f>
        <v/>
      </c>
      <c r="S220" s="70">
        <f>IF(NOT((COUNTA($B220:$K220)+COUNTA($N220))&gt;0),"",IF($B220&lt;&gt;"","Macro",IF($C220&lt;&gt;"","Sub","Macro")))</f>
        <v/>
      </c>
      <c r="T220" s="70">
        <f>IF($S220="Macro",COUNTIFS($R$5:$R$1000,ROW(),$S$5:$S$1000,"Sub"),"")</f>
        <v/>
      </c>
      <c r="U220" s="70">
        <f>IF($S220="","",IF(ISNUMBER($H220),$H220,0))</f>
        <v/>
      </c>
      <c r="V220" s="70">
        <f>IF($S220="","",IF(ISNUMBER($I220),$I220,$U220))</f>
        <v/>
      </c>
      <c r="W220" s="70">
        <f>IF($S220="","",IF(ISNUMBER($J220),$J220,$V220))</f>
        <v/>
      </c>
      <c r="X220" s="70">
        <f>IF($S220="","",IF(ISNUMBER($K220),$K220,$W220))</f>
        <v/>
      </c>
      <c r="Y220" s="70">
        <f>IF($S220="","",IF(N($T220)&gt;0,AVERAGEIFS($U$5:$U$1000,$R$5:$R$1000,ROW(),$S$5:$S$1000,"Sub"),$U220))</f>
        <v/>
      </c>
      <c r="Z220" s="70">
        <f>IF($S220="","",IF(N($T220)&gt;0,AVERAGEIFS($V$5:$V$1000,$R$5:$R$1000,ROW(),$S$5:$S$1000,"Sub"),$V220))</f>
        <v/>
      </c>
      <c r="AA220" s="70">
        <f>IF($S220="","",IF(N($T220)&gt;0,AVERAGEIFS($W$5:$W$1000,$R$5:$R$1000,ROW(),$S$5:$S$1000,"Sub"),$W220))</f>
        <v/>
      </c>
      <c r="AB220" s="70">
        <f>IF($S220="","",IF(N($T220)&gt;0,AVERAGEIFS($X$5:$X$1000,$R$5:$R$1000,ROW(),$S$5:$S$1000,"Sub"),$X220))</f>
        <v/>
      </c>
    </row>
    <row r="221">
      <c r="A221" s="61">
        <f>IF(NOT((COUNTA($B221:$K221)+COUNTA($N221))&gt;0),"",IF($S221="Macro",COUNTIFS($S$5:$S221,"Macro",$P$5:$P221,$P221),IF(N($R221)=0,"?",COUNTIFS(INDEX($S$5:$S$1000,1):INDEX($S$5:$S$1000,$R221-4),"Macro",INDEX($P$5:$P$1000,1):INDEX($P$5:$P$1000,$R221-4),INDEX($P$5:$P$1000,$R221-4))&amp;"."&amp;COUNTIFS($R$5:$R221,$R221,$S$5:$S221,"Sub"))))</f>
        <v/>
      </c>
      <c r="B221" s="62" t="n"/>
      <c r="C221" s="63" t="n"/>
      <c r="D221" s="62" t="n"/>
      <c r="E221" s="64" t="n"/>
      <c r="F221" s="64" t="n"/>
      <c r="G221" s="65" t="n"/>
      <c r="H221" s="66" t="n"/>
      <c r="I221" s="66" t="n"/>
      <c r="J221" s="66" t="n"/>
      <c r="K221" s="66" t="n"/>
      <c r="L221" s="67">
        <f>IF(NOT((COUNTA($B221:$K221)+COUNTA($N221))&gt;0),"",IF(N($T221)&gt;0,$AB221,IFERROR(LOOKUP(2,1/(H221:K221&lt;&gt;""),H221:K221),0)))</f>
        <v/>
      </c>
      <c r="M221" s="61">
        <f>IF(L221="","",IF(L221&gt;=1,"Completado",IF(L221&gt;0,"En curso","Pendiente")))</f>
        <v/>
      </c>
      <c r="N221" s="62" t="n"/>
      <c r="O221" s="68">
        <f>IF(NOT((COUNTA($B221:$K221)+COUNTA($N221))&gt;0),"",IF((IF(AND($S221="Macro",$B221=""),"Macroactividad vacía"&amp;" · ","")&amp;IF(AND($B221&lt;&gt;"",$C221&lt;&gt;""),"Escriba la subactividad en otra fila, debajo de su macroactividad"&amp;" · ","")&amp;IF(AND($S221="Sub",N($R221)=0),"Subactividad sin macroactividad arriba"&amp;" · ","")&amp;IF($D221="","Sin responsable"&amp;" · ","")&amp;IF($E221="","Sin fecha de inicio"&amp;" · ","")&amp;IF($F221="","Sin fecha límite"&amp;" · ","")&amp;IF(OR(AND($E221&lt;&gt;"",NOT(ISNUMBER($E221))),AND($F221&lt;&gt;"",NOT(ISNUMBER($F221)))),"Fecha no válida"&amp;" · ","")&amp;IF(AND(ISNUMBER($E221),ISNUMBER($F221),$E221&gt;$F221),"Inicio posterior a fecha límite"&amp;" · ","")&amp;IF(AND($S221="Macro",$G221=""),"Peso vacío"&amp;" · ","")&amp;IF(AND($S221="Macro",$G221&lt;&gt;"",OR(NOT(ISNUMBER($G221)),$G221&lt;=0,$G221&gt;1)),"Peso fuera de rango"&amp;" · ","")&amp;IF(AND($S221="Sub",$G221&lt;&gt;""),"Las subactividades no llevan peso"&amp;" · ","")&amp;IF(AND($S221="Macro",ABS(SUMIFS($G$5:$G$1000,$P$5:$P$1000,$P221,$S$5:$S$1000,"Macro")-1)&gt;0.0001),"Pesos del mes suman "&amp;TEXT(SUMIFS($G$5:$G$1000,$P$5:$P$1000,$P221,$S$5:$S$1000,"Macro"),"0%")&amp;" · ","")&amp;IF(AND(N($T221)&gt;0,COUNT($H221:$K221)&gt;0),"Con subactividades: deje vacías las semanas (se calculan solas)"&amp;" · ","")&amp;IF((COUNTIF($H221:$K221,"&gt;1")+COUNTIF($H221:$K221,"&lt;0")+COUNTA($H221:$K221)-COUNT($H221:$K221))&gt;0,"Avance fuera de rango 0-100%"&amp;" · ","")&amp;IF(OR(AND($I221&lt;&gt;"",$I221&lt;$H221),AND($J221&lt;&gt;"",$J221&lt;MAX($H221:$I221)),AND($K221&lt;&gt;"",$K221&lt;MAX($H221:$J221))),"Avance semanal decreciente"&amp;" · ","")&amp;IF(AND(ISNUMBER($F221),$F221&lt;FechaRef,N($L221)&lt;1),"Vencida"&amp;" · ","")&amp;IF(AND(ObsObligatoria="Sí",ISNUMBER($F221),$F221&lt;FechaRef,N($L221)&lt;1,$N221=""),"Vencida sin observación"&amp;" · ",""))="","✔ OK","⚠ "&amp;LEFT(IF(AND($S221="Macro",$B221=""),"Macroactividad vacía"&amp;" · ","")&amp;IF(AND($B221&lt;&gt;"",$C221&lt;&gt;""),"Escriba la subactividad en otra fila, debajo de su macroactividad"&amp;" · ","")&amp;IF(AND($S221="Sub",N($R221)=0),"Subactividad sin macroactividad arriba"&amp;" · ","")&amp;IF($D221="","Sin responsable"&amp;" · ","")&amp;IF($E221="","Sin fecha de inicio"&amp;" · ","")&amp;IF($F221="","Sin fecha límite"&amp;" · ","")&amp;IF(OR(AND($E221&lt;&gt;"",NOT(ISNUMBER($E221))),AND($F221&lt;&gt;"",NOT(ISNUMBER($F221)))),"Fecha no válida"&amp;" · ","")&amp;IF(AND(ISNUMBER($E221),ISNUMBER($F221),$E221&gt;$F221),"Inicio posterior a fecha límite"&amp;" · ","")&amp;IF(AND($S221="Macro",$G221=""),"Peso vacío"&amp;" · ","")&amp;IF(AND($S221="Macro",$G221&lt;&gt;"",OR(NOT(ISNUMBER($G221)),$G221&lt;=0,$G221&gt;1)),"Peso fuera de rango"&amp;" · ","")&amp;IF(AND($S221="Sub",$G221&lt;&gt;""),"Las subactividades no llevan peso"&amp;" · ","")&amp;IF(AND($S221="Macro",ABS(SUMIFS($G$5:$G$1000,$P$5:$P$1000,$P221,$S$5:$S$1000,"Macro")-1)&gt;0.0001),"Pesos del mes suman "&amp;TEXT(SUMIFS($G$5:$G$1000,$P$5:$P$1000,$P221,$S$5:$S$1000,"Macro"),"0%")&amp;" · ","")&amp;IF(AND(N($T221)&gt;0,COUNT($H221:$K221)&gt;0),"Con subactividades: deje vacías las semanas (se calculan solas)"&amp;" · ","")&amp;IF((COUNTIF($H221:$K221,"&gt;1")+COUNTIF($H221:$K221,"&lt;0")+COUNTA($H221:$K221)-COUNT($H221:$K221))&gt;0,"Avance fuera de rango 0-100%"&amp;" · ","")&amp;IF(OR(AND($I221&lt;&gt;"",$I221&lt;$H221),AND($J221&lt;&gt;"",$J221&lt;MAX($H221:$I221)),AND($K221&lt;&gt;"",$K221&lt;MAX($H221:$J221))),"Avance semanal decreciente"&amp;" · ","")&amp;IF(AND(ISNUMBER($F221),$F221&lt;FechaRef,N($L221)&lt;1),"Vencida"&amp;" · ","")&amp;IF(AND(ObsObligatoria="Sí",ISNUMBER($F221),$F221&lt;FechaRef,N($L221)&lt;1,$N221=""),"Vencida sin observación"&amp;" · ",""),LEN(IF(AND($S221="Macro",$B221=""),"Macroactividad vacía"&amp;" · ","")&amp;IF(AND($B221&lt;&gt;"",$C221&lt;&gt;""),"Escriba la subactividad en otra fila, debajo de su macroactividad"&amp;" · ","")&amp;IF(AND($S221="Sub",N($R221)=0),"Subactividad sin macroactividad arriba"&amp;" · ","")&amp;IF($D221="","Sin responsable"&amp;" · ","")&amp;IF($E221="","Sin fecha de inicio"&amp;" · ","")&amp;IF($F221="","Sin fecha límite"&amp;" · ","")&amp;IF(OR(AND($E221&lt;&gt;"",NOT(ISNUMBER($E221))),AND($F221&lt;&gt;"",NOT(ISNUMBER($F221)))),"Fecha no válida"&amp;" · ","")&amp;IF(AND(ISNUMBER($E221),ISNUMBER($F221),$E221&gt;$F221),"Inicio posterior a fecha límite"&amp;" · ","")&amp;IF(AND($S221="Macro",$G221=""),"Peso vacío"&amp;" · ","")&amp;IF(AND($S221="Macro",$G221&lt;&gt;"",OR(NOT(ISNUMBER($G221)),$G221&lt;=0,$G221&gt;1)),"Peso fuera de rango"&amp;" · ","")&amp;IF(AND($S221="Sub",$G221&lt;&gt;""),"Las subactividades no llevan peso"&amp;" · ","")&amp;IF(AND($S221="Macro",ABS(SUMIFS($G$5:$G$1000,$P$5:$P$1000,$P221,$S$5:$S$1000,"Macro")-1)&gt;0.0001),"Pesos del mes suman "&amp;TEXT(SUMIFS($G$5:$G$1000,$P$5:$P$1000,$P221,$S$5:$S$1000,"Macro"),"0%")&amp;" · ","")&amp;IF(AND(N($T221)&gt;0,COUNT($H221:$K221)&gt;0),"Con subactividades: deje vacías las semanas (se calculan solas)"&amp;" · ","")&amp;IF((COUNTIF($H221:$K221,"&gt;1")+COUNTIF($H221:$K221,"&lt;0")+COUNTA($H221:$K221)-COUNT($H221:$K221))&gt;0,"Avance fuera de rango 0-100%"&amp;" · ","")&amp;IF(OR(AND($I221&lt;&gt;"",$I221&lt;$H221),AND($J221&lt;&gt;"",$J221&lt;MAX($H221:$I221)),AND($K221&lt;&gt;"",$K221&lt;MAX($H221:$J221))),"Avance semanal decreciente"&amp;" · ","")&amp;IF(AND(ISNUMBER($F221),$F221&lt;FechaRef,N($L221)&lt;1),"Vencida"&amp;" · ","")&amp;IF(AND(ObsObligatoria="Sí",ISNUMBER($F221),$F221&lt;FechaRef,N($L221)&lt;1,$N221=""),"Vencida sin observación"&amp;" · ",""))-3)))</f>
        <v/>
      </c>
      <c r="P221" s="69">
        <f>IF(NOT((COUNTA($B221:$K221)+COUNTA($N221))&gt;0),"",IF(AND($S221="Sub",N($R221)&gt;0),IF(ISNUMBER(INDEX($E$5:$E$1000,$R221-4)),DATE(YEAR(INDEX($E$5:$E$1000,$R221-4)),MONTH(INDEX($E$5:$E$1000,$R221-4)),1),IF(ISNUMBER(INDEX($F$5:$F$1000,$R221-4)),DATE(YEAR(INDEX($F$5:$F$1000,$R221-4)),MONTH(INDEX($F$5:$F$1000,$R221-4)),1),MesCiclo)),IF(ISNUMBER($E221),DATE(YEAR($E221),MONTH($E221),1),IF(ISNUMBER($F221),DATE(YEAR($F221),MONTH($F221),1),MesCiclo))))</f>
        <v/>
      </c>
      <c r="Q221" s="70">
        <f>IF(OR($P221="",$P221&lt;&gt;MesCiclo),"",COUNTIF($P$5:$P221,MesCiclo))</f>
        <v/>
      </c>
      <c r="R221" s="70">
        <f>IF($S221="","",IF($S221="Macro",ROW(),IFERROR(LOOKUP(2,1/($S$5:$S221="Macro"),ROW($S$5:$S221)),0)))</f>
        <v/>
      </c>
      <c r="S221" s="70">
        <f>IF(NOT((COUNTA($B221:$K221)+COUNTA($N221))&gt;0),"",IF($B221&lt;&gt;"","Macro",IF($C221&lt;&gt;"","Sub","Macro")))</f>
        <v/>
      </c>
      <c r="T221" s="70">
        <f>IF($S221="Macro",COUNTIFS($R$5:$R$1000,ROW(),$S$5:$S$1000,"Sub"),"")</f>
        <v/>
      </c>
      <c r="U221" s="70">
        <f>IF($S221="","",IF(ISNUMBER($H221),$H221,0))</f>
        <v/>
      </c>
      <c r="V221" s="70">
        <f>IF($S221="","",IF(ISNUMBER($I221),$I221,$U221))</f>
        <v/>
      </c>
      <c r="W221" s="70">
        <f>IF($S221="","",IF(ISNUMBER($J221),$J221,$V221))</f>
        <v/>
      </c>
      <c r="X221" s="70">
        <f>IF($S221="","",IF(ISNUMBER($K221),$K221,$W221))</f>
        <v/>
      </c>
      <c r="Y221" s="70">
        <f>IF($S221="","",IF(N($T221)&gt;0,AVERAGEIFS($U$5:$U$1000,$R$5:$R$1000,ROW(),$S$5:$S$1000,"Sub"),$U221))</f>
        <v/>
      </c>
      <c r="Z221" s="70">
        <f>IF($S221="","",IF(N($T221)&gt;0,AVERAGEIFS($V$5:$V$1000,$R$5:$R$1000,ROW(),$S$5:$S$1000,"Sub"),$V221))</f>
        <v/>
      </c>
      <c r="AA221" s="70">
        <f>IF($S221="","",IF(N($T221)&gt;0,AVERAGEIFS($W$5:$W$1000,$R$5:$R$1000,ROW(),$S$5:$S$1000,"Sub"),$W221))</f>
        <v/>
      </c>
      <c r="AB221" s="70">
        <f>IF($S221="","",IF(N($T221)&gt;0,AVERAGEIFS($X$5:$X$1000,$R$5:$R$1000,ROW(),$S$5:$S$1000,"Sub"),$X221))</f>
        <v/>
      </c>
    </row>
    <row r="222">
      <c r="A222" s="61">
        <f>IF(NOT((COUNTA($B222:$K222)+COUNTA($N222))&gt;0),"",IF($S222="Macro",COUNTIFS($S$5:$S222,"Macro",$P$5:$P222,$P222),IF(N($R222)=0,"?",COUNTIFS(INDEX($S$5:$S$1000,1):INDEX($S$5:$S$1000,$R222-4),"Macro",INDEX($P$5:$P$1000,1):INDEX($P$5:$P$1000,$R222-4),INDEX($P$5:$P$1000,$R222-4))&amp;"."&amp;COUNTIFS($R$5:$R222,$R222,$S$5:$S222,"Sub"))))</f>
        <v/>
      </c>
      <c r="B222" s="62" t="n"/>
      <c r="C222" s="63" t="n"/>
      <c r="D222" s="62" t="n"/>
      <c r="E222" s="64" t="n"/>
      <c r="F222" s="64" t="n"/>
      <c r="G222" s="65" t="n"/>
      <c r="H222" s="66" t="n"/>
      <c r="I222" s="66" t="n"/>
      <c r="J222" s="66" t="n"/>
      <c r="K222" s="66" t="n"/>
      <c r="L222" s="67">
        <f>IF(NOT((COUNTA($B222:$K222)+COUNTA($N222))&gt;0),"",IF(N($T222)&gt;0,$AB222,IFERROR(LOOKUP(2,1/(H222:K222&lt;&gt;""),H222:K222),0)))</f>
        <v/>
      </c>
      <c r="M222" s="61">
        <f>IF(L222="","",IF(L222&gt;=1,"Completado",IF(L222&gt;0,"En curso","Pendiente")))</f>
        <v/>
      </c>
      <c r="N222" s="62" t="n"/>
      <c r="O222" s="68">
        <f>IF(NOT((COUNTA($B222:$K222)+COUNTA($N222))&gt;0),"",IF((IF(AND($S222="Macro",$B222=""),"Macroactividad vacía"&amp;" · ","")&amp;IF(AND($B222&lt;&gt;"",$C222&lt;&gt;""),"Escriba la subactividad en otra fila, debajo de su macroactividad"&amp;" · ","")&amp;IF(AND($S222="Sub",N($R222)=0),"Subactividad sin macroactividad arriba"&amp;" · ","")&amp;IF($D222="","Sin responsable"&amp;" · ","")&amp;IF($E222="","Sin fecha de inicio"&amp;" · ","")&amp;IF($F222="","Sin fecha límite"&amp;" · ","")&amp;IF(OR(AND($E222&lt;&gt;"",NOT(ISNUMBER($E222))),AND($F222&lt;&gt;"",NOT(ISNUMBER($F222)))),"Fecha no válida"&amp;" · ","")&amp;IF(AND(ISNUMBER($E222),ISNUMBER($F222),$E222&gt;$F222),"Inicio posterior a fecha límite"&amp;" · ","")&amp;IF(AND($S222="Macro",$G222=""),"Peso vacío"&amp;" · ","")&amp;IF(AND($S222="Macro",$G222&lt;&gt;"",OR(NOT(ISNUMBER($G222)),$G222&lt;=0,$G222&gt;1)),"Peso fuera de rango"&amp;" · ","")&amp;IF(AND($S222="Sub",$G222&lt;&gt;""),"Las subactividades no llevan peso"&amp;" · ","")&amp;IF(AND($S222="Macro",ABS(SUMIFS($G$5:$G$1000,$P$5:$P$1000,$P222,$S$5:$S$1000,"Macro")-1)&gt;0.0001),"Pesos del mes suman "&amp;TEXT(SUMIFS($G$5:$G$1000,$P$5:$P$1000,$P222,$S$5:$S$1000,"Macro"),"0%")&amp;" · ","")&amp;IF(AND(N($T222)&gt;0,COUNT($H222:$K222)&gt;0),"Con subactividades: deje vacías las semanas (se calculan solas)"&amp;" · ","")&amp;IF((COUNTIF($H222:$K222,"&gt;1")+COUNTIF($H222:$K222,"&lt;0")+COUNTA($H222:$K222)-COUNT($H222:$K222))&gt;0,"Avance fuera de rango 0-100%"&amp;" · ","")&amp;IF(OR(AND($I222&lt;&gt;"",$I222&lt;$H222),AND($J222&lt;&gt;"",$J222&lt;MAX($H222:$I222)),AND($K222&lt;&gt;"",$K222&lt;MAX($H222:$J222))),"Avance semanal decreciente"&amp;" · ","")&amp;IF(AND(ISNUMBER($F222),$F222&lt;FechaRef,N($L222)&lt;1),"Vencida"&amp;" · ","")&amp;IF(AND(ObsObligatoria="Sí",ISNUMBER($F222),$F222&lt;FechaRef,N($L222)&lt;1,$N222=""),"Vencida sin observación"&amp;" · ",""))="","✔ OK","⚠ "&amp;LEFT(IF(AND($S222="Macro",$B222=""),"Macroactividad vacía"&amp;" · ","")&amp;IF(AND($B222&lt;&gt;"",$C222&lt;&gt;""),"Escriba la subactividad en otra fila, debajo de su macroactividad"&amp;" · ","")&amp;IF(AND($S222="Sub",N($R222)=0),"Subactividad sin macroactividad arriba"&amp;" · ","")&amp;IF($D222="","Sin responsable"&amp;" · ","")&amp;IF($E222="","Sin fecha de inicio"&amp;" · ","")&amp;IF($F222="","Sin fecha límite"&amp;" · ","")&amp;IF(OR(AND($E222&lt;&gt;"",NOT(ISNUMBER($E222))),AND($F222&lt;&gt;"",NOT(ISNUMBER($F222)))),"Fecha no válida"&amp;" · ","")&amp;IF(AND(ISNUMBER($E222),ISNUMBER($F222),$E222&gt;$F222),"Inicio posterior a fecha límite"&amp;" · ","")&amp;IF(AND($S222="Macro",$G222=""),"Peso vacío"&amp;" · ","")&amp;IF(AND($S222="Macro",$G222&lt;&gt;"",OR(NOT(ISNUMBER($G222)),$G222&lt;=0,$G222&gt;1)),"Peso fuera de rango"&amp;" · ","")&amp;IF(AND($S222="Sub",$G222&lt;&gt;""),"Las subactividades no llevan peso"&amp;" · ","")&amp;IF(AND($S222="Macro",ABS(SUMIFS($G$5:$G$1000,$P$5:$P$1000,$P222,$S$5:$S$1000,"Macro")-1)&gt;0.0001),"Pesos del mes suman "&amp;TEXT(SUMIFS($G$5:$G$1000,$P$5:$P$1000,$P222,$S$5:$S$1000,"Macro"),"0%")&amp;" · ","")&amp;IF(AND(N($T222)&gt;0,COUNT($H222:$K222)&gt;0),"Con subactividades: deje vacías las semanas (se calculan solas)"&amp;" · ","")&amp;IF((COUNTIF($H222:$K222,"&gt;1")+COUNTIF($H222:$K222,"&lt;0")+COUNTA($H222:$K222)-COUNT($H222:$K222))&gt;0,"Avance fuera de rango 0-100%"&amp;" · ","")&amp;IF(OR(AND($I222&lt;&gt;"",$I222&lt;$H222),AND($J222&lt;&gt;"",$J222&lt;MAX($H222:$I222)),AND($K222&lt;&gt;"",$K222&lt;MAX($H222:$J222))),"Avance semanal decreciente"&amp;" · ","")&amp;IF(AND(ISNUMBER($F222),$F222&lt;FechaRef,N($L222)&lt;1),"Vencida"&amp;" · ","")&amp;IF(AND(ObsObligatoria="Sí",ISNUMBER($F222),$F222&lt;FechaRef,N($L222)&lt;1,$N222=""),"Vencida sin observación"&amp;" · ",""),LEN(IF(AND($S222="Macro",$B222=""),"Macroactividad vacía"&amp;" · ","")&amp;IF(AND($B222&lt;&gt;"",$C222&lt;&gt;""),"Escriba la subactividad en otra fila, debajo de su macroactividad"&amp;" · ","")&amp;IF(AND($S222="Sub",N($R222)=0),"Subactividad sin macroactividad arriba"&amp;" · ","")&amp;IF($D222="","Sin responsable"&amp;" · ","")&amp;IF($E222="","Sin fecha de inicio"&amp;" · ","")&amp;IF($F222="","Sin fecha límite"&amp;" · ","")&amp;IF(OR(AND($E222&lt;&gt;"",NOT(ISNUMBER($E222))),AND($F222&lt;&gt;"",NOT(ISNUMBER($F222)))),"Fecha no válida"&amp;" · ","")&amp;IF(AND(ISNUMBER($E222),ISNUMBER($F222),$E222&gt;$F222),"Inicio posterior a fecha límite"&amp;" · ","")&amp;IF(AND($S222="Macro",$G222=""),"Peso vacío"&amp;" · ","")&amp;IF(AND($S222="Macro",$G222&lt;&gt;"",OR(NOT(ISNUMBER($G222)),$G222&lt;=0,$G222&gt;1)),"Peso fuera de rango"&amp;" · ","")&amp;IF(AND($S222="Sub",$G222&lt;&gt;""),"Las subactividades no llevan peso"&amp;" · ","")&amp;IF(AND($S222="Macro",ABS(SUMIFS($G$5:$G$1000,$P$5:$P$1000,$P222,$S$5:$S$1000,"Macro")-1)&gt;0.0001),"Pesos del mes suman "&amp;TEXT(SUMIFS($G$5:$G$1000,$P$5:$P$1000,$P222,$S$5:$S$1000,"Macro"),"0%")&amp;" · ","")&amp;IF(AND(N($T222)&gt;0,COUNT($H222:$K222)&gt;0),"Con subactividades: deje vacías las semanas (se calculan solas)"&amp;" · ","")&amp;IF((COUNTIF($H222:$K222,"&gt;1")+COUNTIF($H222:$K222,"&lt;0")+COUNTA($H222:$K222)-COUNT($H222:$K222))&gt;0,"Avance fuera de rango 0-100%"&amp;" · ","")&amp;IF(OR(AND($I222&lt;&gt;"",$I222&lt;$H222),AND($J222&lt;&gt;"",$J222&lt;MAX($H222:$I222)),AND($K222&lt;&gt;"",$K222&lt;MAX($H222:$J222))),"Avance semanal decreciente"&amp;" · ","")&amp;IF(AND(ISNUMBER($F222),$F222&lt;FechaRef,N($L222)&lt;1),"Vencida"&amp;" · ","")&amp;IF(AND(ObsObligatoria="Sí",ISNUMBER($F222),$F222&lt;FechaRef,N($L222)&lt;1,$N222=""),"Vencida sin observación"&amp;" · ",""))-3)))</f>
        <v/>
      </c>
      <c r="P222" s="69">
        <f>IF(NOT((COUNTA($B222:$K222)+COUNTA($N222))&gt;0),"",IF(AND($S222="Sub",N($R222)&gt;0),IF(ISNUMBER(INDEX($E$5:$E$1000,$R222-4)),DATE(YEAR(INDEX($E$5:$E$1000,$R222-4)),MONTH(INDEX($E$5:$E$1000,$R222-4)),1),IF(ISNUMBER(INDEX($F$5:$F$1000,$R222-4)),DATE(YEAR(INDEX($F$5:$F$1000,$R222-4)),MONTH(INDEX($F$5:$F$1000,$R222-4)),1),MesCiclo)),IF(ISNUMBER($E222),DATE(YEAR($E222),MONTH($E222),1),IF(ISNUMBER($F222),DATE(YEAR($F222),MONTH($F222),1),MesCiclo))))</f>
        <v/>
      </c>
      <c r="Q222" s="70">
        <f>IF(OR($P222="",$P222&lt;&gt;MesCiclo),"",COUNTIF($P$5:$P222,MesCiclo))</f>
        <v/>
      </c>
      <c r="R222" s="70">
        <f>IF($S222="","",IF($S222="Macro",ROW(),IFERROR(LOOKUP(2,1/($S$5:$S222="Macro"),ROW($S$5:$S222)),0)))</f>
        <v/>
      </c>
      <c r="S222" s="70">
        <f>IF(NOT((COUNTA($B222:$K222)+COUNTA($N222))&gt;0),"",IF($B222&lt;&gt;"","Macro",IF($C222&lt;&gt;"","Sub","Macro")))</f>
        <v/>
      </c>
      <c r="T222" s="70">
        <f>IF($S222="Macro",COUNTIFS($R$5:$R$1000,ROW(),$S$5:$S$1000,"Sub"),"")</f>
        <v/>
      </c>
      <c r="U222" s="70">
        <f>IF($S222="","",IF(ISNUMBER($H222),$H222,0))</f>
        <v/>
      </c>
      <c r="V222" s="70">
        <f>IF($S222="","",IF(ISNUMBER($I222),$I222,$U222))</f>
        <v/>
      </c>
      <c r="W222" s="70">
        <f>IF($S222="","",IF(ISNUMBER($J222),$J222,$V222))</f>
        <v/>
      </c>
      <c r="X222" s="70">
        <f>IF($S222="","",IF(ISNUMBER($K222),$K222,$W222))</f>
        <v/>
      </c>
      <c r="Y222" s="70">
        <f>IF($S222="","",IF(N($T222)&gt;0,AVERAGEIFS($U$5:$U$1000,$R$5:$R$1000,ROW(),$S$5:$S$1000,"Sub"),$U222))</f>
        <v/>
      </c>
      <c r="Z222" s="70">
        <f>IF($S222="","",IF(N($T222)&gt;0,AVERAGEIFS($V$5:$V$1000,$R$5:$R$1000,ROW(),$S$5:$S$1000,"Sub"),$V222))</f>
        <v/>
      </c>
      <c r="AA222" s="70">
        <f>IF($S222="","",IF(N($T222)&gt;0,AVERAGEIFS($W$5:$W$1000,$R$5:$R$1000,ROW(),$S$5:$S$1000,"Sub"),$W222))</f>
        <v/>
      </c>
      <c r="AB222" s="70">
        <f>IF($S222="","",IF(N($T222)&gt;0,AVERAGEIFS($X$5:$X$1000,$R$5:$R$1000,ROW(),$S$5:$S$1000,"Sub"),$X222))</f>
        <v/>
      </c>
    </row>
    <row r="223">
      <c r="A223" s="61">
        <f>IF(NOT((COUNTA($B223:$K223)+COUNTA($N223))&gt;0),"",IF($S223="Macro",COUNTIFS($S$5:$S223,"Macro",$P$5:$P223,$P223),IF(N($R223)=0,"?",COUNTIFS(INDEX($S$5:$S$1000,1):INDEX($S$5:$S$1000,$R223-4),"Macro",INDEX($P$5:$P$1000,1):INDEX($P$5:$P$1000,$R223-4),INDEX($P$5:$P$1000,$R223-4))&amp;"."&amp;COUNTIFS($R$5:$R223,$R223,$S$5:$S223,"Sub"))))</f>
        <v/>
      </c>
      <c r="B223" s="62" t="n"/>
      <c r="C223" s="63" t="n"/>
      <c r="D223" s="62" t="n"/>
      <c r="E223" s="64" t="n"/>
      <c r="F223" s="64" t="n"/>
      <c r="G223" s="65" t="n"/>
      <c r="H223" s="66" t="n"/>
      <c r="I223" s="66" t="n"/>
      <c r="J223" s="66" t="n"/>
      <c r="K223" s="66" t="n"/>
      <c r="L223" s="67">
        <f>IF(NOT((COUNTA($B223:$K223)+COUNTA($N223))&gt;0),"",IF(N($T223)&gt;0,$AB223,IFERROR(LOOKUP(2,1/(H223:K223&lt;&gt;""),H223:K223),0)))</f>
        <v/>
      </c>
      <c r="M223" s="61">
        <f>IF(L223="","",IF(L223&gt;=1,"Completado",IF(L223&gt;0,"En curso","Pendiente")))</f>
        <v/>
      </c>
      <c r="N223" s="62" t="n"/>
      <c r="O223" s="68">
        <f>IF(NOT((COUNTA($B223:$K223)+COUNTA($N223))&gt;0),"",IF((IF(AND($S223="Macro",$B223=""),"Macroactividad vacía"&amp;" · ","")&amp;IF(AND($B223&lt;&gt;"",$C223&lt;&gt;""),"Escriba la subactividad en otra fila, debajo de su macroactividad"&amp;" · ","")&amp;IF(AND($S223="Sub",N($R223)=0),"Subactividad sin macroactividad arriba"&amp;" · ","")&amp;IF($D223="","Sin responsable"&amp;" · ","")&amp;IF($E223="","Sin fecha de inicio"&amp;" · ","")&amp;IF($F223="","Sin fecha límite"&amp;" · ","")&amp;IF(OR(AND($E223&lt;&gt;"",NOT(ISNUMBER($E223))),AND($F223&lt;&gt;"",NOT(ISNUMBER($F223)))),"Fecha no válida"&amp;" · ","")&amp;IF(AND(ISNUMBER($E223),ISNUMBER($F223),$E223&gt;$F223),"Inicio posterior a fecha límite"&amp;" · ","")&amp;IF(AND($S223="Macro",$G223=""),"Peso vacío"&amp;" · ","")&amp;IF(AND($S223="Macro",$G223&lt;&gt;"",OR(NOT(ISNUMBER($G223)),$G223&lt;=0,$G223&gt;1)),"Peso fuera de rango"&amp;" · ","")&amp;IF(AND($S223="Sub",$G223&lt;&gt;""),"Las subactividades no llevan peso"&amp;" · ","")&amp;IF(AND($S223="Macro",ABS(SUMIFS($G$5:$G$1000,$P$5:$P$1000,$P223,$S$5:$S$1000,"Macro")-1)&gt;0.0001),"Pesos del mes suman "&amp;TEXT(SUMIFS($G$5:$G$1000,$P$5:$P$1000,$P223,$S$5:$S$1000,"Macro"),"0%")&amp;" · ","")&amp;IF(AND(N($T223)&gt;0,COUNT($H223:$K223)&gt;0),"Con subactividades: deje vacías las semanas (se calculan solas)"&amp;" · ","")&amp;IF((COUNTIF($H223:$K223,"&gt;1")+COUNTIF($H223:$K223,"&lt;0")+COUNTA($H223:$K223)-COUNT($H223:$K223))&gt;0,"Avance fuera de rango 0-100%"&amp;" · ","")&amp;IF(OR(AND($I223&lt;&gt;"",$I223&lt;$H223),AND($J223&lt;&gt;"",$J223&lt;MAX($H223:$I223)),AND($K223&lt;&gt;"",$K223&lt;MAX($H223:$J223))),"Avance semanal decreciente"&amp;" · ","")&amp;IF(AND(ISNUMBER($F223),$F223&lt;FechaRef,N($L223)&lt;1),"Vencida"&amp;" · ","")&amp;IF(AND(ObsObligatoria="Sí",ISNUMBER($F223),$F223&lt;FechaRef,N($L223)&lt;1,$N223=""),"Vencida sin observación"&amp;" · ",""))="","✔ OK","⚠ "&amp;LEFT(IF(AND($S223="Macro",$B223=""),"Macroactividad vacía"&amp;" · ","")&amp;IF(AND($B223&lt;&gt;"",$C223&lt;&gt;""),"Escriba la subactividad en otra fila, debajo de su macroactividad"&amp;" · ","")&amp;IF(AND($S223="Sub",N($R223)=0),"Subactividad sin macroactividad arriba"&amp;" · ","")&amp;IF($D223="","Sin responsable"&amp;" · ","")&amp;IF($E223="","Sin fecha de inicio"&amp;" · ","")&amp;IF($F223="","Sin fecha límite"&amp;" · ","")&amp;IF(OR(AND($E223&lt;&gt;"",NOT(ISNUMBER($E223))),AND($F223&lt;&gt;"",NOT(ISNUMBER($F223)))),"Fecha no válida"&amp;" · ","")&amp;IF(AND(ISNUMBER($E223),ISNUMBER($F223),$E223&gt;$F223),"Inicio posterior a fecha límite"&amp;" · ","")&amp;IF(AND($S223="Macro",$G223=""),"Peso vacío"&amp;" · ","")&amp;IF(AND($S223="Macro",$G223&lt;&gt;"",OR(NOT(ISNUMBER($G223)),$G223&lt;=0,$G223&gt;1)),"Peso fuera de rango"&amp;" · ","")&amp;IF(AND($S223="Sub",$G223&lt;&gt;""),"Las subactividades no llevan peso"&amp;" · ","")&amp;IF(AND($S223="Macro",ABS(SUMIFS($G$5:$G$1000,$P$5:$P$1000,$P223,$S$5:$S$1000,"Macro")-1)&gt;0.0001),"Pesos del mes suman "&amp;TEXT(SUMIFS($G$5:$G$1000,$P$5:$P$1000,$P223,$S$5:$S$1000,"Macro"),"0%")&amp;" · ","")&amp;IF(AND(N($T223)&gt;0,COUNT($H223:$K223)&gt;0),"Con subactividades: deje vacías las semanas (se calculan solas)"&amp;" · ","")&amp;IF((COUNTIF($H223:$K223,"&gt;1")+COUNTIF($H223:$K223,"&lt;0")+COUNTA($H223:$K223)-COUNT($H223:$K223))&gt;0,"Avance fuera de rango 0-100%"&amp;" · ","")&amp;IF(OR(AND($I223&lt;&gt;"",$I223&lt;$H223),AND($J223&lt;&gt;"",$J223&lt;MAX($H223:$I223)),AND($K223&lt;&gt;"",$K223&lt;MAX($H223:$J223))),"Avance semanal decreciente"&amp;" · ","")&amp;IF(AND(ISNUMBER($F223),$F223&lt;FechaRef,N($L223)&lt;1),"Vencida"&amp;" · ","")&amp;IF(AND(ObsObligatoria="Sí",ISNUMBER($F223),$F223&lt;FechaRef,N($L223)&lt;1,$N223=""),"Vencida sin observación"&amp;" · ",""),LEN(IF(AND($S223="Macro",$B223=""),"Macroactividad vacía"&amp;" · ","")&amp;IF(AND($B223&lt;&gt;"",$C223&lt;&gt;""),"Escriba la subactividad en otra fila, debajo de su macroactividad"&amp;" · ","")&amp;IF(AND($S223="Sub",N($R223)=0),"Subactividad sin macroactividad arriba"&amp;" · ","")&amp;IF($D223="","Sin responsable"&amp;" · ","")&amp;IF($E223="","Sin fecha de inicio"&amp;" · ","")&amp;IF($F223="","Sin fecha límite"&amp;" · ","")&amp;IF(OR(AND($E223&lt;&gt;"",NOT(ISNUMBER($E223))),AND($F223&lt;&gt;"",NOT(ISNUMBER($F223)))),"Fecha no válida"&amp;" · ","")&amp;IF(AND(ISNUMBER($E223),ISNUMBER($F223),$E223&gt;$F223),"Inicio posterior a fecha límite"&amp;" · ","")&amp;IF(AND($S223="Macro",$G223=""),"Peso vacío"&amp;" · ","")&amp;IF(AND($S223="Macro",$G223&lt;&gt;"",OR(NOT(ISNUMBER($G223)),$G223&lt;=0,$G223&gt;1)),"Peso fuera de rango"&amp;" · ","")&amp;IF(AND($S223="Sub",$G223&lt;&gt;""),"Las subactividades no llevan peso"&amp;" · ","")&amp;IF(AND($S223="Macro",ABS(SUMIFS($G$5:$G$1000,$P$5:$P$1000,$P223,$S$5:$S$1000,"Macro")-1)&gt;0.0001),"Pesos del mes suman "&amp;TEXT(SUMIFS($G$5:$G$1000,$P$5:$P$1000,$P223,$S$5:$S$1000,"Macro"),"0%")&amp;" · ","")&amp;IF(AND(N($T223)&gt;0,COUNT($H223:$K223)&gt;0),"Con subactividades: deje vacías las semanas (se calculan solas)"&amp;" · ","")&amp;IF((COUNTIF($H223:$K223,"&gt;1")+COUNTIF($H223:$K223,"&lt;0")+COUNTA($H223:$K223)-COUNT($H223:$K223))&gt;0,"Avance fuera de rango 0-100%"&amp;" · ","")&amp;IF(OR(AND($I223&lt;&gt;"",$I223&lt;$H223),AND($J223&lt;&gt;"",$J223&lt;MAX($H223:$I223)),AND($K223&lt;&gt;"",$K223&lt;MAX($H223:$J223))),"Avance semanal decreciente"&amp;" · ","")&amp;IF(AND(ISNUMBER($F223),$F223&lt;FechaRef,N($L223)&lt;1),"Vencida"&amp;" · ","")&amp;IF(AND(ObsObligatoria="Sí",ISNUMBER($F223),$F223&lt;FechaRef,N($L223)&lt;1,$N223=""),"Vencida sin observación"&amp;" · ",""))-3)))</f>
        <v/>
      </c>
      <c r="P223" s="69">
        <f>IF(NOT((COUNTA($B223:$K223)+COUNTA($N223))&gt;0),"",IF(AND($S223="Sub",N($R223)&gt;0),IF(ISNUMBER(INDEX($E$5:$E$1000,$R223-4)),DATE(YEAR(INDEX($E$5:$E$1000,$R223-4)),MONTH(INDEX($E$5:$E$1000,$R223-4)),1),IF(ISNUMBER(INDEX($F$5:$F$1000,$R223-4)),DATE(YEAR(INDEX($F$5:$F$1000,$R223-4)),MONTH(INDEX($F$5:$F$1000,$R223-4)),1),MesCiclo)),IF(ISNUMBER($E223),DATE(YEAR($E223),MONTH($E223),1),IF(ISNUMBER($F223),DATE(YEAR($F223),MONTH($F223),1),MesCiclo))))</f>
        <v/>
      </c>
      <c r="Q223" s="70">
        <f>IF(OR($P223="",$P223&lt;&gt;MesCiclo),"",COUNTIF($P$5:$P223,MesCiclo))</f>
        <v/>
      </c>
      <c r="R223" s="70">
        <f>IF($S223="","",IF($S223="Macro",ROW(),IFERROR(LOOKUP(2,1/($S$5:$S223="Macro"),ROW($S$5:$S223)),0)))</f>
        <v/>
      </c>
      <c r="S223" s="70">
        <f>IF(NOT((COUNTA($B223:$K223)+COUNTA($N223))&gt;0),"",IF($B223&lt;&gt;"","Macro",IF($C223&lt;&gt;"","Sub","Macro")))</f>
        <v/>
      </c>
      <c r="T223" s="70">
        <f>IF($S223="Macro",COUNTIFS($R$5:$R$1000,ROW(),$S$5:$S$1000,"Sub"),"")</f>
        <v/>
      </c>
      <c r="U223" s="70">
        <f>IF($S223="","",IF(ISNUMBER($H223),$H223,0))</f>
        <v/>
      </c>
      <c r="V223" s="70">
        <f>IF($S223="","",IF(ISNUMBER($I223),$I223,$U223))</f>
        <v/>
      </c>
      <c r="W223" s="70">
        <f>IF($S223="","",IF(ISNUMBER($J223),$J223,$V223))</f>
        <v/>
      </c>
      <c r="X223" s="70">
        <f>IF($S223="","",IF(ISNUMBER($K223),$K223,$W223))</f>
        <v/>
      </c>
      <c r="Y223" s="70">
        <f>IF($S223="","",IF(N($T223)&gt;0,AVERAGEIFS($U$5:$U$1000,$R$5:$R$1000,ROW(),$S$5:$S$1000,"Sub"),$U223))</f>
        <v/>
      </c>
      <c r="Z223" s="70">
        <f>IF($S223="","",IF(N($T223)&gt;0,AVERAGEIFS($V$5:$V$1000,$R$5:$R$1000,ROW(),$S$5:$S$1000,"Sub"),$V223))</f>
        <v/>
      </c>
      <c r="AA223" s="70">
        <f>IF($S223="","",IF(N($T223)&gt;0,AVERAGEIFS($W$5:$W$1000,$R$5:$R$1000,ROW(),$S$5:$S$1000,"Sub"),$W223))</f>
        <v/>
      </c>
      <c r="AB223" s="70">
        <f>IF($S223="","",IF(N($T223)&gt;0,AVERAGEIFS($X$5:$X$1000,$R$5:$R$1000,ROW(),$S$5:$S$1000,"Sub"),$X223))</f>
        <v/>
      </c>
    </row>
    <row r="224">
      <c r="A224" s="61">
        <f>IF(NOT((COUNTA($B224:$K224)+COUNTA($N224))&gt;0),"",IF($S224="Macro",COUNTIFS($S$5:$S224,"Macro",$P$5:$P224,$P224),IF(N($R224)=0,"?",COUNTIFS(INDEX($S$5:$S$1000,1):INDEX($S$5:$S$1000,$R224-4),"Macro",INDEX($P$5:$P$1000,1):INDEX($P$5:$P$1000,$R224-4),INDEX($P$5:$P$1000,$R224-4))&amp;"."&amp;COUNTIFS($R$5:$R224,$R224,$S$5:$S224,"Sub"))))</f>
        <v/>
      </c>
      <c r="B224" s="62" t="n"/>
      <c r="C224" s="63" t="n"/>
      <c r="D224" s="62" t="n"/>
      <c r="E224" s="64" t="n"/>
      <c r="F224" s="64" t="n"/>
      <c r="G224" s="65" t="n"/>
      <c r="H224" s="66" t="n"/>
      <c r="I224" s="66" t="n"/>
      <c r="J224" s="66" t="n"/>
      <c r="K224" s="66" t="n"/>
      <c r="L224" s="67">
        <f>IF(NOT((COUNTA($B224:$K224)+COUNTA($N224))&gt;0),"",IF(N($T224)&gt;0,$AB224,IFERROR(LOOKUP(2,1/(H224:K224&lt;&gt;""),H224:K224),0)))</f>
        <v/>
      </c>
      <c r="M224" s="61">
        <f>IF(L224="","",IF(L224&gt;=1,"Completado",IF(L224&gt;0,"En curso","Pendiente")))</f>
        <v/>
      </c>
      <c r="N224" s="62" t="n"/>
      <c r="O224" s="68">
        <f>IF(NOT((COUNTA($B224:$K224)+COUNTA($N224))&gt;0),"",IF((IF(AND($S224="Macro",$B224=""),"Macroactividad vacía"&amp;" · ","")&amp;IF(AND($B224&lt;&gt;"",$C224&lt;&gt;""),"Escriba la subactividad en otra fila, debajo de su macroactividad"&amp;" · ","")&amp;IF(AND($S224="Sub",N($R224)=0),"Subactividad sin macroactividad arriba"&amp;" · ","")&amp;IF($D224="","Sin responsable"&amp;" · ","")&amp;IF($E224="","Sin fecha de inicio"&amp;" · ","")&amp;IF($F224="","Sin fecha límite"&amp;" · ","")&amp;IF(OR(AND($E224&lt;&gt;"",NOT(ISNUMBER($E224))),AND($F224&lt;&gt;"",NOT(ISNUMBER($F224)))),"Fecha no válida"&amp;" · ","")&amp;IF(AND(ISNUMBER($E224),ISNUMBER($F224),$E224&gt;$F224),"Inicio posterior a fecha límite"&amp;" · ","")&amp;IF(AND($S224="Macro",$G224=""),"Peso vacío"&amp;" · ","")&amp;IF(AND($S224="Macro",$G224&lt;&gt;"",OR(NOT(ISNUMBER($G224)),$G224&lt;=0,$G224&gt;1)),"Peso fuera de rango"&amp;" · ","")&amp;IF(AND($S224="Sub",$G224&lt;&gt;""),"Las subactividades no llevan peso"&amp;" · ","")&amp;IF(AND($S224="Macro",ABS(SUMIFS($G$5:$G$1000,$P$5:$P$1000,$P224,$S$5:$S$1000,"Macro")-1)&gt;0.0001),"Pesos del mes suman "&amp;TEXT(SUMIFS($G$5:$G$1000,$P$5:$P$1000,$P224,$S$5:$S$1000,"Macro"),"0%")&amp;" · ","")&amp;IF(AND(N($T224)&gt;0,COUNT($H224:$K224)&gt;0),"Con subactividades: deje vacías las semanas (se calculan solas)"&amp;" · ","")&amp;IF((COUNTIF($H224:$K224,"&gt;1")+COUNTIF($H224:$K224,"&lt;0")+COUNTA($H224:$K224)-COUNT($H224:$K224))&gt;0,"Avance fuera de rango 0-100%"&amp;" · ","")&amp;IF(OR(AND($I224&lt;&gt;"",$I224&lt;$H224),AND($J224&lt;&gt;"",$J224&lt;MAX($H224:$I224)),AND($K224&lt;&gt;"",$K224&lt;MAX($H224:$J224))),"Avance semanal decreciente"&amp;" · ","")&amp;IF(AND(ISNUMBER($F224),$F224&lt;FechaRef,N($L224)&lt;1),"Vencida"&amp;" · ","")&amp;IF(AND(ObsObligatoria="Sí",ISNUMBER($F224),$F224&lt;FechaRef,N($L224)&lt;1,$N224=""),"Vencida sin observación"&amp;" · ",""))="","✔ OK","⚠ "&amp;LEFT(IF(AND($S224="Macro",$B224=""),"Macroactividad vacía"&amp;" · ","")&amp;IF(AND($B224&lt;&gt;"",$C224&lt;&gt;""),"Escriba la subactividad en otra fila, debajo de su macroactividad"&amp;" · ","")&amp;IF(AND($S224="Sub",N($R224)=0),"Subactividad sin macroactividad arriba"&amp;" · ","")&amp;IF($D224="","Sin responsable"&amp;" · ","")&amp;IF($E224="","Sin fecha de inicio"&amp;" · ","")&amp;IF($F224="","Sin fecha límite"&amp;" · ","")&amp;IF(OR(AND($E224&lt;&gt;"",NOT(ISNUMBER($E224))),AND($F224&lt;&gt;"",NOT(ISNUMBER($F224)))),"Fecha no válida"&amp;" · ","")&amp;IF(AND(ISNUMBER($E224),ISNUMBER($F224),$E224&gt;$F224),"Inicio posterior a fecha límite"&amp;" · ","")&amp;IF(AND($S224="Macro",$G224=""),"Peso vacío"&amp;" · ","")&amp;IF(AND($S224="Macro",$G224&lt;&gt;"",OR(NOT(ISNUMBER($G224)),$G224&lt;=0,$G224&gt;1)),"Peso fuera de rango"&amp;" · ","")&amp;IF(AND($S224="Sub",$G224&lt;&gt;""),"Las subactividades no llevan peso"&amp;" · ","")&amp;IF(AND($S224="Macro",ABS(SUMIFS($G$5:$G$1000,$P$5:$P$1000,$P224,$S$5:$S$1000,"Macro")-1)&gt;0.0001),"Pesos del mes suman "&amp;TEXT(SUMIFS($G$5:$G$1000,$P$5:$P$1000,$P224,$S$5:$S$1000,"Macro"),"0%")&amp;" · ","")&amp;IF(AND(N($T224)&gt;0,COUNT($H224:$K224)&gt;0),"Con subactividades: deje vacías las semanas (se calculan solas)"&amp;" · ","")&amp;IF((COUNTIF($H224:$K224,"&gt;1")+COUNTIF($H224:$K224,"&lt;0")+COUNTA($H224:$K224)-COUNT($H224:$K224))&gt;0,"Avance fuera de rango 0-100%"&amp;" · ","")&amp;IF(OR(AND($I224&lt;&gt;"",$I224&lt;$H224),AND($J224&lt;&gt;"",$J224&lt;MAX($H224:$I224)),AND($K224&lt;&gt;"",$K224&lt;MAX($H224:$J224))),"Avance semanal decreciente"&amp;" · ","")&amp;IF(AND(ISNUMBER($F224),$F224&lt;FechaRef,N($L224)&lt;1),"Vencida"&amp;" · ","")&amp;IF(AND(ObsObligatoria="Sí",ISNUMBER($F224),$F224&lt;FechaRef,N($L224)&lt;1,$N224=""),"Vencida sin observación"&amp;" · ",""),LEN(IF(AND($S224="Macro",$B224=""),"Macroactividad vacía"&amp;" · ","")&amp;IF(AND($B224&lt;&gt;"",$C224&lt;&gt;""),"Escriba la subactividad en otra fila, debajo de su macroactividad"&amp;" · ","")&amp;IF(AND($S224="Sub",N($R224)=0),"Subactividad sin macroactividad arriba"&amp;" · ","")&amp;IF($D224="","Sin responsable"&amp;" · ","")&amp;IF($E224="","Sin fecha de inicio"&amp;" · ","")&amp;IF($F224="","Sin fecha límite"&amp;" · ","")&amp;IF(OR(AND($E224&lt;&gt;"",NOT(ISNUMBER($E224))),AND($F224&lt;&gt;"",NOT(ISNUMBER($F224)))),"Fecha no válida"&amp;" · ","")&amp;IF(AND(ISNUMBER($E224),ISNUMBER($F224),$E224&gt;$F224),"Inicio posterior a fecha límite"&amp;" · ","")&amp;IF(AND($S224="Macro",$G224=""),"Peso vacío"&amp;" · ","")&amp;IF(AND($S224="Macro",$G224&lt;&gt;"",OR(NOT(ISNUMBER($G224)),$G224&lt;=0,$G224&gt;1)),"Peso fuera de rango"&amp;" · ","")&amp;IF(AND($S224="Sub",$G224&lt;&gt;""),"Las subactividades no llevan peso"&amp;" · ","")&amp;IF(AND($S224="Macro",ABS(SUMIFS($G$5:$G$1000,$P$5:$P$1000,$P224,$S$5:$S$1000,"Macro")-1)&gt;0.0001),"Pesos del mes suman "&amp;TEXT(SUMIFS($G$5:$G$1000,$P$5:$P$1000,$P224,$S$5:$S$1000,"Macro"),"0%")&amp;" · ","")&amp;IF(AND(N($T224)&gt;0,COUNT($H224:$K224)&gt;0),"Con subactividades: deje vacías las semanas (se calculan solas)"&amp;" · ","")&amp;IF((COUNTIF($H224:$K224,"&gt;1")+COUNTIF($H224:$K224,"&lt;0")+COUNTA($H224:$K224)-COUNT($H224:$K224))&gt;0,"Avance fuera de rango 0-100%"&amp;" · ","")&amp;IF(OR(AND($I224&lt;&gt;"",$I224&lt;$H224),AND($J224&lt;&gt;"",$J224&lt;MAX($H224:$I224)),AND($K224&lt;&gt;"",$K224&lt;MAX($H224:$J224))),"Avance semanal decreciente"&amp;" · ","")&amp;IF(AND(ISNUMBER($F224),$F224&lt;FechaRef,N($L224)&lt;1),"Vencida"&amp;" · ","")&amp;IF(AND(ObsObligatoria="Sí",ISNUMBER($F224),$F224&lt;FechaRef,N($L224)&lt;1,$N224=""),"Vencida sin observación"&amp;" · ",""))-3)))</f>
        <v/>
      </c>
      <c r="P224" s="69">
        <f>IF(NOT((COUNTA($B224:$K224)+COUNTA($N224))&gt;0),"",IF(AND($S224="Sub",N($R224)&gt;0),IF(ISNUMBER(INDEX($E$5:$E$1000,$R224-4)),DATE(YEAR(INDEX($E$5:$E$1000,$R224-4)),MONTH(INDEX($E$5:$E$1000,$R224-4)),1),IF(ISNUMBER(INDEX($F$5:$F$1000,$R224-4)),DATE(YEAR(INDEX($F$5:$F$1000,$R224-4)),MONTH(INDEX($F$5:$F$1000,$R224-4)),1),MesCiclo)),IF(ISNUMBER($E224),DATE(YEAR($E224),MONTH($E224),1),IF(ISNUMBER($F224),DATE(YEAR($F224),MONTH($F224),1),MesCiclo))))</f>
        <v/>
      </c>
      <c r="Q224" s="70">
        <f>IF(OR($P224="",$P224&lt;&gt;MesCiclo),"",COUNTIF($P$5:$P224,MesCiclo))</f>
        <v/>
      </c>
      <c r="R224" s="70">
        <f>IF($S224="","",IF($S224="Macro",ROW(),IFERROR(LOOKUP(2,1/($S$5:$S224="Macro"),ROW($S$5:$S224)),0)))</f>
        <v/>
      </c>
      <c r="S224" s="70">
        <f>IF(NOT((COUNTA($B224:$K224)+COUNTA($N224))&gt;0),"",IF($B224&lt;&gt;"","Macro",IF($C224&lt;&gt;"","Sub","Macro")))</f>
        <v/>
      </c>
      <c r="T224" s="70">
        <f>IF($S224="Macro",COUNTIFS($R$5:$R$1000,ROW(),$S$5:$S$1000,"Sub"),"")</f>
        <v/>
      </c>
      <c r="U224" s="70">
        <f>IF($S224="","",IF(ISNUMBER($H224),$H224,0))</f>
        <v/>
      </c>
      <c r="V224" s="70">
        <f>IF($S224="","",IF(ISNUMBER($I224),$I224,$U224))</f>
        <v/>
      </c>
      <c r="W224" s="70">
        <f>IF($S224="","",IF(ISNUMBER($J224),$J224,$V224))</f>
        <v/>
      </c>
      <c r="X224" s="70">
        <f>IF($S224="","",IF(ISNUMBER($K224),$K224,$W224))</f>
        <v/>
      </c>
      <c r="Y224" s="70">
        <f>IF($S224="","",IF(N($T224)&gt;0,AVERAGEIFS($U$5:$U$1000,$R$5:$R$1000,ROW(),$S$5:$S$1000,"Sub"),$U224))</f>
        <v/>
      </c>
      <c r="Z224" s="70">
        <f>IF($S224="","",IF(N($T224)&gt;0,AVERAGEIFS($V$5:$V$1000,$R$5:$R$1000,ROW(),$S$5:$S$1000,"Sub"),$V224))</f>
        <v/>
      </c>
      <c r="AA224" s="70">
        <f>IF($S224="","",IF(N($T224)&gt;0,AVERAGEIFS($W$5:$W$1000,$R$5:$R$1000,ROW(),$S$5:$S$1000,"Sub"),$W224))</f>
        <v/>
      </c>
      <c r="AB224" s="70">
        <f>IF($S224="","",IF(N($T224)&gt;0,AVERAGEIFS($X$5:$X$1000,$R$5:$R$1000,ROW(),$S$5:$S$1000,"Sub"),$X224))</f>
        <v/>
      </c>
    </row>
    <row r="225">
      <c r="A225" s="61">
        <f>IF(NOT((COUNTA($B225:$K225)+COUNTA($N225))&gt;0),"",IF($S225="Macro",COUNTIFS($S$5:$S225,"Macro",$P$5:$P225,$P225),IF(N($R225)=0,"?",COUNTIFS(INDEX($S$5:$S$1000,1):INDEX($S$5:$S$1000,$R225-4),"Macro",INDEX($P$5:$P$1000,1):INDEX($P$5:$P$1000,$R225-4),INDEX($P$5:$P$1000,$R225-4))&amp;"."&amp;COUNTIFS($R$5:$R225,$R225,$S$5:$S225,"Sub"))))</f>
        <v/>
      </c>
      <c r="B225" s="62" t="n"/>
      <c r="C225" s="63" t="n"/>
      <c r="D225" s="62" t="n"/>
      <c r="E225" s="64" t="n"/>
      <c r="F225" s="64" t="n"/>
      <c r="G225" s="65" t="n"/>
      <c r="H225" s="66" t="n"/>
      <c r="I225" s="66" t="n"/>
      <c r="J225" s="66" t="n"/>
      <c r="K225" s="66" t="n"/>
      <c r="L225" s="67">
        <f>IF(NOT((COUNTA($B225:$K225)+COUNTA($N225))&gt;0),"",IF(N($T225)&gt;0,$AB225,IFERROR(LOOKUP(2,1/(H225:K225&lt;&gt;""),H225:K225),0)))</f>
        <v/>
      </c>
      <c r="M225" s="61">
        <f>IF(L225="","",IF(L225&gt;=1,"Completado",IF(L225&gt;0,"En curso","Pendiente")))</f>
        <v/>
      </c>
      <c r="N225" s="62" t="n"/>
      <c r="O225" s="68">
        <f>IF(NOT((COUNTA($B225:$K225)+COUNTA($N225))&gt;0),"",IF((IF(AND($S225="Macro",$B225=""),"Macroactividad vacía"&amp;" · ","")&amp;IF(AND($B225&lt;&gt;"",$C225&lt;&gt;""),"Escriba la subactividad en otra fila, debajo de su macroactividad"&amp;" · ","")&amp;IF(AND($S225="Sub",N($R225)=0),"Subactividad sin macroactividad arriba"&amp;" · ","")&amp;IF($D225="","Sin responsable"&amp;" · ","")&amp;IF($E225="","Sin fecha de inicio"&amp;" · ","")&amp;IF($F225="","Sin fecha límite"&amp;" · ","")&amp;IF(OR(AND($E225&lt;&gt;"",NOT(ISNUMBER($E225))),AND($F225&lt;&gt;"",NOT(ISNUMBER($F225)))),"Fecha no válida"&amp;" · ","")&amp;IF(AND(ISNUMBER($E225),ISNUMBER($F225),$E225&gt;$F225),"Inicio posterior a fecha límite"&amp;" · ","")&amp;IF(AND($S225="Macro",$G225=""),"Peso vacío"&amp;" · ","")&amp;IF(AND($S225="Macro",$G225&lt;&gt;"",OR(NOT(ISNUMBER($G225)),$G225&lt;=0,$G225&gt;1)),"Peso fuera de rango"&amp;" · ","")&amp;IF(AND($S225="Sub",$G225&lt;&gt;""),"Las subactividades no llevan peso"&amp;" · ","")&amp;IF(AND($S225="Macro",ABS(SUMIFS($G$5:$G$1000,$P$5:$P$1000,$P225,$S$5:$S$1000,"Macro")-1)&gt;0.0001),"Pesos del mes suman "&amp;TEXT(SUMIFS($G$5:$G$1000,$P$5:$P$1000,$P225,$S$5:$S$1000,"Macro"),"0%")&amp;" · ","")&amp;IF(AND(N($T225)&gt;0,COUNT($H225:$K225)&gt;0),"Con subactividades: deje vacías las semanas (se calculan solas)"&amp;" · ","")&amp;IF((COUNTIF($H225:$K225,"&gt;1")+COUNTIF($H225:$K225,"&lt;0")+COUNTA($H225:$K225)-COUNT($H225:$K225))&gt;0,"Avance fuera de rango 0-100%"&amp;" · ","")&amp;IF(OR(AND($I225&lt;&gt;"",$I225&lt;$H225),AND($J225&lt;&gt;"",$J225&lt;MAX($H225:$I225)),AND($K225&lt;&gt;"",$K225&lt;MAX($H225:$J225))),"Avance semanal decreciente"&amp;" · ","")&amp;IF(AND(ISNUMBER($F225),$F225&lt;FechaRef,N($L225)&lt;1),"Vencida"&amp;" · ","")&amp;IF(AND(ObsObligatoria="Sí",ISNUMBER($F225),$F225&lt;FechaRef,N($L225)&lt;1,$N225=""),"Vencida sin observación"&amp;" · ",""))="","✔ OK","⚠ "&amp;LEFT(IF(AND($S225="Macro",$B225=""),"Macroactividad vacía"&amp;" · ","")&amp;IF(AND($B225&lt;&gt;"",$C225&lt;&gt;""),"Escriba la subactividad en otra fila, debajo de su macroactividad"&amp;" · ","")&amp;IF(AND($S225="Sub",N($R225)=0),"Subactividad sin macroactividad arriba"&amp;" · ","")&amp;IF($D225="","Sin responsable"&amp;" · ","")&amp;IF($E225="","Sin fecha de inicio"&amp;" · ","")&amp;IF($F225="","Sin fecha límite"&amp;" · ","")&amp;IF(OR(AND($E225&lt;&gt;"",NOT(ISNUMBER($E225))),AND($F225&lt;&gt;"",NOT(ISNUMBER($F225)))),"Fecha no válida"&amp;" · ","")&amp;IF(AND(ISNUMBER($E225),ISNUMBER($F225),$E225&gt;$F225),"Inicio posterior a fecha límite"&amp;" · ","")&amp;IF(AND($S225="Macro",$G225=""),"Peso vacío"&amp;" · ","")&amp;IF(AND($S225="Macro",$G225&lt;&gt;"",OR(NOT(ISNUMBER($G225)),$G225&lt;=0,$G225&gt;1)),"Peso fuera de rango"&amp;" · ","")&amp;IF(AND($S225="Sub",$G225&lt;&gt;""),"Las subactividades no llevan peso"&amp;" · ","")&amp;IF(AND($S225="Macro",ABS(SUMIFS($G$5:$G$1000,$P$5:$P$1000,$P225,$S$5:$S$1000,"Macro")-1)&gt;0.0001),"Pesos del mes suman "&amp;TEXT(SUMIFS($G$5:$G$1000,$P$5:$P$1000,$P225,$S$5:$S$1000,"Macro"),"0%")&amp;" · ","")&amp;IF(AND(N($T225)&gt;0,COUNT($H225:$K225)&gt;0),"Con subactividades: deje vacías las semanas (se calculan solas)"&amp;" · ","")&amp;IF((COUNTIF($H225:$K225,"&gt;1")+COUNTIF($H225:$K225,"&lt;0")+COUNTA($H225:$K225)-COUNT($H225:$K225))&gt;0,"Avance fuera de rango 0-100%"&amp;" · ","")&amp;IF(OR(AND($I225&lt;&gt;"",$I225&lt;$H225),AND($J225&lt;&gt;"",$J225&lt;MAX($H225:$I225)),AND($K225&lt;&gt;"",$K225&lt;MAX($H225:$J225))),"Avance semanal decreciente"&amp;" · ","")&amp;IF(AND(ISNUMBER($F225),$F225&lt;FechaRef,N($L225)&lt;1),"Vencida"&amp;" · ","")&amp;IF(AND(ObsObligatoria="Sí",ISNUMBER($F225),$F225&lt;FechaRef,N($L225)&lt;1,$N225=""),"Vencida sin observación"&amp;" · ",""),LEN(IF(AND($S225="Macro",$B225=""),"Macroactividad vacía"&amp;" · ","")&amp;IF(AND($B225&lt;&gt;"",$C225&lt;&gt;""),"Escriba la subactividad en otra fila, debajo de su macroactividad"&amp;" · ","")&amp;IF(AND($S225="Sub",N($R225)=0),"Subactividad sin macroactividad arriba"&amp;" · ","")&amp;IF($D225="","Sin responsable"&amp;" · ","")&amp;IF($E225="","Sin fecha de inicio"&amp;" · ","")&amp;IF($F225="","Sin fecha límite"&amp;" · ","")&amp;IF(OR(AND($E225&lt;&gt;"",NOT(ISNUMBER($E225))),AND($F225&lt;&gt;"",NOT(ISNUMBER($F225)))),"Fecha no válida"&amp;" · ","")&amp;IF(AND(ISNUMBER($E225),ISNUMBER($F225),$E225&gt;$F225),"Inicio posterior a fecha límite"&amp;" · ","")&amp;IF(AND($S225="Macro",$G225=""),"Peso vacío"&amp;" · ","")&amp;IF(AND($S225="Macro",$G225&lt;&gt;"",OR(NOT(ISNUMBER($G225)),$G225&lt;=0,$G225&gt;1)),"Peso fuera de rango"&amp;" · ","")&amp;IF(AND($S225="Sub",$G225&lt;&gt;""),"Las subactividades no llevan peso"&amp;" · ","")&amp;IF(AND($S225="Macro",ABS(SUMIFS($G$5:$G$1000,$P$5:$P$1000,$P225,$S$5:$S$1000,"Macro")-1)&gt;0.0001),"Pesos del mes suman "&amp;TEXT(SUMIFS($G$5:$G$1000,$P$5:$P$1000,$P225,$S$5:$S$1000,"Macro"),"0%")&amp;" · ","")&amp;IF(AND(N($T225)&gt;0,COUNT($H225:$K225)&gt;0),"Con subactividades: deje vacías las semanas (se calculan solas)"&amp;" · ","")&amp;IF((COUNTIF($H225:$K225,"&gt;1")+COUNTIF($H225:$K225,"&lt;0")+COUNTA($H225:$K225)-COUNT($H225:$K225))&gt;0,"Avance fuera de rango 0-100%"&amp;" · ","")&amp;IF(OR(AND($I225&lt;&gt;"",$I225&lt;$H225),AND($J225&lt;&gt;"",$J225&lt;MAX($H225:$I225)),AND($K225&lt;&gt;"",$K225&lt;MAX($H225:$J225))),"Avance semanal decreciente"&amp;" · ","")&amp;IF(AND(ISNUMBER($F225),$F225&lt;FechaRef,N($L225)&lt;1),"Vencida"&amp;" · ","")&amp;IF(AND(ObsObligatoria="Sí",ISNUMBER($F225),$F225&lt;FechaRef,N($L225)&lt;1,$N225=""),"Vencida sin observación"&amp;" · ",""))-3)))</f>
        <v/>
      </c>
      <c r="P225" s="69">
        <f>IF(NOT((COUNTA($B225:$K225)+COUNTA($N225))&gt;0),"",IF(AND($S225="Sub",N($R225)&gt;0),IF(ISNUMBER(INDEX($E$5:$E$1000,$R225-4)),DATE(YEAR(INDEX($E$5:$E$1000,$R225-4)),MONTH(INDEX($E$5:$E$1000,$R225-4)),1),IF(ISNUMBER(INDEX($F$5:$F$1000,$R225-4)),DATE(YEAR(INDEX($F$5:$F$1000,$R225-4)),MONTH(INDEX($F$5:$F$1000,$R225-4)),1),MesCiclo)),IF(ISNUMBER($E225),DATE(YEAR($E225),MONTH($E225),1),IF(ISNUMBER($F225),DATE(YEAR($F225),MONTH($F225),1),MesCiclo))))</f>
        <v/>
      </c>
      <c r="Q225" s="70">
        <f>IF(OR($P225="",$P225&lt;&gt;MesCiclo),"",COUNTIF($P$5:$P225,MesCiclo))</f>
        <v/>
      </c>
      <c r="R225" s="70">
        <f>IF($S225="","",IF($S225="Macro",ROW(),IFERROR(LOOKUP(2,1/($S$5:$S225="Macro"),ROW($S$5:$S225)),0)))</f>
        <v/>
      </c>
      <c r="S225" s="70">
        <f>IF(NOT((COUNTA($B225:$K225)+COUNTA($N225))&gt;0),"",IF($B225&lt;&gt;"","Macro",IF($C225&lt;&gt;"","Sub","Macro")))</f>
        <v/>
      </c>
      <c r="T225" s="70">
        <f>IF($S225="Macro",COUNTIFS($R$5:$R$1000,ROW(),$S$5:$S$1000,"Sub"),"")</f>
        <v/>
      </c>
      <c r="U225" s="70">
        <f>IF($S225="","",IF(ISNUMBER($H225),$H225,0))</f>
        <v/>
      </c>
      <c r="V225" s="70">
        <f>IF($S225="","",IF(ISNUMBER($I225),$I225,$U225))</f>
        <v/>
      </c>
      <c r="W225" s="70">
        <f>IF($S225="","",IF(ISNUMBER($J225),$J225,$V225))</f>
        <v/>
      </c>
      <c r="X225" s="70">
        <f>IF($S225="","",IF(ISNUMBER($K225),$K225,$W225))</f>
        <v/>
      </c>
      <c r="Y225" s="70">
        <f>IF($S225="","",IF(N($T225)&gt;0,AVERAGEIFS($U$5:$U$1000,$R$5:$R$1000,ROW(),$S$5:$S$1000,"Sub"),$U225))</f>
        <v/>
      </c>
      <c r="Z225" s="70">
        <f>IF($S225="","",IF(N($T225)&gt;0,AVERAGEIFS($V$5:$V$1000,$R$5:$R$1000,ROW(),$S$5:$S$1000,"Sub"),$V225))</f>
        <v/>
      </c>
      <c r="AA225" s="70">
        <f>IF($S225="","",IF(N($T225)&gt;0,AVERAGEIFS($W$5:$W$1000,$R$5:$R$1000,ROW(),$S$5:$S$1000,"Sub"),$W225))</f>
        <v/>
      </c>
      <c r="AB225" s="70">
        <f>IF($S225="","",IF(N($T225)&gt;0,AVERAGEIFS($X$5:$X$1000,$R$5:$R$1000,ROW(),$S$5:$S$1000,"Sub"),$X225))</f>
        <v/>
      </c>
    </row>
    <row r="226">
      <c r="A226" s="61">
        <f>IF(NOT((COUNTA($B226:$K226)+COUNTA($N226))&gt;0),"",IF($S226="Macro",COUNTIFS($S$5:$S226,"Macro",$P$5:$P226,$P226),IF(N($R226)=0,"?",COUNTIFS(INDEX($S$5:$S$1000,1):INDEX($S$5:$S$1000,$R226-4),"Macro",INDEX($P$5:$P$1000,1):INDEX($P$5:$P$1000,$R226-4),INDEX($P$5:$P$1000,$R226-4))&amp;"."&amp;COUNTIFS($R$5:$R226,$R226,$S$5:$S226,"Sub"))))</f>
        <v/>
      </c>
      <c r="B226" s="62" t="n"/>
      <c r="C226" s="63" t="n"/>
      <c r="D226" s="62" t="n"/>
      <c r="E226" s="64" t="n"/>
      <c r="F226" s="64" t="n"/>
      <c r="G226" s="65" t="n"/>
      <c r="H226" s="66" t="n"/>
      <c r="I226" s="66" t="n"/>
      <c r="J226" s="66" t="n"/>
      <c r="K226" s="66" t="n"/>
      <c r="L226" s="67">
        <f>IF(NOT((COUNTA($B226:$K226)+COUNTA($N226))&gt;0),"",IF(N($T226)&gt;0,$AB226,IFERROR(LOOKUP(2,1/(H226:K226&lt;&gt;""),H226:K226),0)))</f>
        <v/>
      </c>
      <c r="M226" s="61">
        <f>IF(L226="","",IF(L226&gt;=1,"Completado",IF(L226&gt;0,"En curso","Pendiente")))</f>
        <v/>
      </c>
      <c r="N226" s="62" t="n"/>
      <c r="O226" s="68">
        <f>IF(NOT((COUNTA($B226:$K226)+COUNTA($N226))&gt;0),"",IF((IF(AND($S226="Macro",$B226=""),"Macroactividad vacía"&amp;" · ","")&amp;IF(AND($B226&lt;&gt;"",$C226&lt;&gt;""),"Escriba la subactividad en otra fila, debajo de su macroactividad"&amp;" · ","")&amp;IF(AND($S226="Sub",N($R226)=0),"Subactividad sin macroactividad arriba"&amp;" · ","")&amp;IF($D226="","Sin responsable"&amp;" · ","")&amp;IF($E226="","Sin fecha de inicio"&amp;" · ","")&amp;IF($F226="","Sin fecha límite"&amp;" · ","")&amp;IF(OR(AND($E226&lt;&gt;"",NOT(ISNUMBER($E226))),AND($F226&lt;&gt;"",NOT(ISNUMBER($F226)))),"Fecha no válida"&amp;" · ","")&amp;IF(AND(ISNUMBER($E226),ISNUMBER($F226),$E226&gt;$F226),"Inicio posterior a fecha límite"&amp;" · ","")&amp;IF(AND($S226="Macro",$G226=""),"Peso vacío"&amp;" · ","")&amp;IF(AND($S226="Macro",$G226&lt;&gt;"",OR(NOT(ISNUMBER($G226)),$G226&lt;=0,$G226&gt;1)),"Peso fuera de rango"&amp;" · ","")&amp;IF(AND($S226="Sub",$G226&lt;&gt;""),"Las subactividades no llevan peso"&amp;" · ","")&amp;IF(AND($S226="Macro",ABS(SUMIFS($G$5:$G$1000,$P$5:$P$1000,$P226,$S$5:$S$1000,"Macro")-1)&gt;0.0001),"Pesos del mes suman "&amp;TEXT(SUMIFS($G$5:$G$1000,$P$5:$P$1000,$P226,$S$5:$S$1000,"Macro"),"0%")&amp;" · ","")&amp;IF(AND(N($T226)&gt;0,COUNT($H226:$K226)&gt;0),"Con subactividades: deje vacías las semanas (se calculan solas)"&amp;" · ","")&amp;IF((COUNTIF($H226:$K226,"&gt;1")+COUNTIF($H226:$K226,"&lt;0")+COUNTA($H226:$K226)-COUNT($H226:$K226))&gt;0,"Avance fuera de rango 0-100%"&amp;" · ","")&amp;IF(OR(AND($I226&lt;&gt;"",$I226&lt;$H226),AND($J226&lt;&gt;"",$J226&lt;MAX($H226:$I226)),AND($K226&lt;&gt;"",$K226&lt;MAX($H226:$J226))),"Avance semanal decreciente"&amp;" · ","")&amp;IF(AND(ISNUMBER($F226),$F226&lt;FechaRef,N($L226)&lt;1),"Vencida"&amp;" · ","")&amp;IF(AND(ObsObligatoria="Sí",ISNUMBER($F226),$F226&lt;FechaRef,N($L226)&lt;1,$N226=""),"Vencida sin observación"&amp;" · ",""))="","✔ OK","⚠ "&amp;LEFT(IF(AND($S226="Macro",$B226=""),"Macroactividad vacía"&amp;" · ","")&amp;IF(AND($B226&lt;&gt;"",$C226&lt;&gt;""),"Escriba la subactividad en otra fila, debajo de su macroactividad"&amp;" · ","")&amp;IF(AND($S226="Sub",N($R226)=0),"Subactividad sin macroactividad arriba"&amp;" · ","")&amp;IF($D226="","Sin responsable"&amp;" · ","")&amp;IF($E226="","Sin fecha de inicio"&amp;" · ","")&amp;IF($F226="","Sin fecha límite"&amp;" · ","")&amp;IF(OR(AND($E226&lt;&gt;"",NOT(ISNUMBER($E226))),AND($F226&lt;&gt;"",NOT(ISNUMBER($F226)))),"Fecha no válida"&amp;" · ","")&amp;IF(AND(ISNUMBER($E226),ISNUMBER($F226),$E226&gt;$F226),"Inicio posterior a fecha límite"&amp;" · ","")&amp;IF(AND($S226="Macro",$G226=""),"Peso vacío"&amp;" · ","")&amp;IF(AND($S226="Macro",$G226&lt;&gt;"",OR(NOT(ISNUMBER($G226)),$G226&lt;=0,$G226&gt;1)),"Peso fuera de rango"&amp;" · ","")&amp;IF(AND($S226="Sub",$G226&lt;&gt;""),"Las subactividades no llevan peso"&amp;" · ","")&amp;IF(AND($S226="Macro",ABS(SUMIFS($G$5:$G$1000,$P$5:$P$1000,$P226,$S$5:$S$1000,"Macro")-1)&gt;0.0001),"Pesos del mes suman "&amp;TEXT(SUMIFS($G$5:$G$1000,$P$5:$P$1000,$P226,$S$5:$S$1000,"Macro"),"0%")&amp;" · ","")&amp;IF(AND(N($T226)&gt;0,COUNT($H226:$K226)&gt;0),"Con subactividades: deje vacías las semanas (se calculan solas)"&amp;" · ","")&amp;IF((COUNTIF($H226:$K226,"&gt;1")+COUNTIF($H226:$K226,"&lt;0")+COUNTA($H226:$K226)-COUNT($H226:$K226))&gt;0,"Avance fuera de rango 0-100%"&amp;" · ","")&amp;IF(OR(AND($I226&lt;&gt;"",$I226&lt;$H226),AND($J226&lt;&gt;"",$J226&lt;MAX($H226:$I226)),AND($K226&lt;&gt;"",$K226&lt;MAX($H226:$J226))),"Avance semanal decreciente"&amp;" · ","")&amp;IF(AND(ISNUMBER($F226),$F226&lt;FechaRef,N($L226)&lt;1),"Vencida"&amp;" · ","")&amp;IF(AND(ObsObligatoria="Sí",ISNUMBER($F226),$F226&lt;FechaRef,N($L226)&lt;1,$N226=""),"Vencida sin observación"&amp;" · ",""),LEN(IF(AND($S226="Macro",$B226=""),"Macroactividad vacía"&amp;" · ","")&amp;IF(AND($B226&lt;&gt;"",$C226&lt;&gt;""),"Escriba la subactividad en otra fila, debajo de su macroactividad"&amp;" · ","")&amp;IF(AND($S226="Sub",N($R226)=0),"Subactividad sin macroactividad arriba"&amp;" · ","")&amp;IF($D226="","Sin responsable"&amp;" · ","")&amp;IF($E226="","Sin fecha de inicio"&amp;" · ","")&amp;IF($F226="","Sin fecha límite"&amp;" · ","")&amp;IF(OR(AND($E226&lt;&gt;"",NOT(ISNUMBER($E226))),AND($F226&lt;&gt;"",NOT(ISNUMBER($F226)))),"Fecha no válida"&amp;" · ","")&amp;IF(AND(ISNUMBER($E226),ISNUMBER($F226),$E226&gt;$F226),"Inicio posterior a fecha límite"&amp;" · ","")&amp;IF(AND($S226="Macro",$G226=""),"Peso vacío"&amp;" · ","")&amp;IF(AND($S226="Macro",$G226&lt;&gt;"",OR(NOT(ISNUMBER($G226)),$G226&lt;=0,$G226&gt;1)),"Peso fuera de rango"&amp;" · ","")&amp;IF(AND($S226="Sub",$G226&lt;&gt;""),"Las subactividades no llevan peso"&amp;" · ","")&amp;IF(AND($S226="Macro",ABS(SUMIFS($G$5:$G$1000,$P$5:$P$1000,$P226,$S$5:$S$1000,"Macro")-1)&gt;0.0001),"Pesos del mes suman "&amp;TEXT(SUMIFS($G$5:$G$1000,$P$5:$P$1000,$P226,$S$5:$S$1000,"Macro"),"0%")&amp;" · ","")&amp;IF(AND(N($T226)&gt;0,COUNT($H226:$K226)&gt;0),"Con subactividades: deje vacías las semanas (se calculan solas)"&amp;" · ","")&amp;IF((COUNTIF($H226:$K226,"&gt;1")+COUNTIF($H226:$K226,"&lt;0")+COUNTA($H226:$K226)-COUNT($H226:$K226))&gt;0,"Avance fuera de rango 0-100%"&amp;" · ","")&amp;IF(OR(AND($I226&lt;&gt;"",$I226&lt;$H226),AND($J226&lt;&gt;"",$J226&lt;MAX($H226:$I226)),AND($K226&lt;&gt;"",$K226&lt;MAX($H226:$J226))),"Avance semanal decreciente"&amp;" · ","")&amp;IF(AND(ISNUMBER($F226),$F226&lt;FechaRef,N($L226)&lt;1),"Vencida"&amp;" · ","")&amp;IF(AND(ObsObligatoria="Sí",ISNUMBER($F226),$F226&lt;FechaRef,N($L226)&lt;1,$N226=""),"Vencida sin observación"&amp;" · ",""))-3)))</f>
        <v/>
      </c>
      <c r="P226" s="69">
        <f>IF(NOT((COUNTA($B226:$K226)+COUNTA($N226))&gt;0),"",IF(AND($S226="Sub",N($R226)&gt;0),IF(ISNUMBER(INDEX($E$5:$E$1000,$R226-4)),DATE(YEAR(INDEX($E$5:$E$1000,$R226-4)),MONTH(INDEX($E$5:$E$1000,$R226-4)),1),IF(ISNUMBER(INDEX($F$5:$F$1000,$R226-4)),DATE(YEAR(INDEX($F$5:$F$1000,$R226-4)),MONTH(INDEX($F$5:$F$1000,$R226-4)),1),MesCiclo)),IF(ISNUMBER($E226),DATE(YEAR($E226),MONTH($E226),1),IF(ISNUMBER($F226),DATE(YEAR($F226),MONTH($F226),1),MesCiclo))))</f>
        <v/>
      </c>
      <c r="Q226" s="70">
        <f>IF(OR($P226="",$P226&lt;&gt;MesCiclo),"",COUNTIF($P$5:$P226,MesCiclo))</f>
        <v/>
      </c>
      <c r="R226" s="70">
        <f>IF($S226="","",IF($S226="Macro",ROW(),IFERROR(LOOKUP(2,1/($S$5:$S226="Macro"),ROW($S$5:$S226)),0)))</f>
        <v/>
      </c>
      <c r="S226" s="70">
        <f>IF(NOT((COUNTA($B226:$K226)+COUNTA($N226))&gt;0),"",IF($B226&lt;&gt;"","Macro",IF($C226&lt;&gt;"","Sub","Macro")))</f>
        <v/>
      </c>
      <c r="T226" s="70">
        <f>IF($S226="Macro",COUNTIFS($R$5:$R$1000,ROW(),$S$5:$S$1000,"Sub"),"")</f>
        <v/>
      </c>
      <c r="U226" s="70">
        <f>IF($S226="","",IF(ISNUMBER($H226),$H226,0))</f>
        <v/>
      </c>
      <c r="V226" s="70">
        <f>IF($S226="","",IF(ISNUMBER($I226),$I226,$U226))</f>
        <v/>
      </c>
      <c r="W226" s="70">
        <f>IF($S226="","",IF(ISNUMBER($J226),$J226,$V226))</f>
        <v/>
      </c>
      <c r="X226" s="70">
        <f>IF($S226="","",IF(ISNUMBER($K226),$K226,$W226))</f>
        <v/>
      </c>
      <c r="Y226" s="70">
        <f>IF($S226="","",IF(N($T226)&gt;0,AVERAGEIFS($U$5:$U$1000,$R$5:$R$1000,ROW(),$S$5:$S$1000,"Sub"),$U226))</f>
        <v/>
      </c>
      <c r="Z226" s="70">
        <f>IF($S226="","",IF(N($T226)&gt;0,AVERAGEIFS($V$5:$V$1000,$R$5:$R$1000,ROW(),$S$5:$S$1000,"Sub"),$V226))</f>
        <v/>
      </c>
      <c r="AA226" s="70">
        <f>IF($S226="","",IF(N($T226)&gt;0,AVERAGEIFS($W$5:$W$1000,$R$5:$R$1000,ROW(),$S$5:$S$1000,"Sub"),$W226))</f>
        <v/>
      </c>
      <c r="AB226" s="70">
        <f>IF($S226="","",IF(N($T226)&gt;0,AVERAGEIFS($X$5:$X$1000,$R$5:$R$1000,ROW(),$S$5:$S$1000,"Sub"),$X226))</f>
        <v/>
      </c>
    </row>
    <row r="227">
      <c r="A227" s="61">
        <f>IF(NOT((COUNTA($B227:$K227)+COUNTA($N227))&gt;0),"",IF($S227="Macro",COUNTIFS($S$5:$S227,"Macro",$P$5:$P227,$P227),IF(N($R227)=0,"?",COUNTIFS(INDEX($S$5:$S$1000,1):INDEX($S$5:$S$1000,$R227-4),"Macro",INDEX($P$5:$P$1000,1):INDEX($P$5:$P$1000,$R227-4),INDEX($P$5:$P$1000,$R227-4))&amp;"."&amp;COUNTIFS($R$5:$R227,$R227,$S$5:$S227,"Sub"))))</f>
        <v/>
      </c>
      <c r="B227" s="62" t="n"/>
      <c r="C227" s="63" t="n"/>
      <c r="D227" s="62" t="n"/>
      <c r="E227" s="64" t="n"/>
      <c r="F227" s="64" t="n"/>
      <c r="G227" s="65" t="n"/>
      <c r="H227" s="66" t="n"/>
      <c r="I227" s="66" t="n"/>
      <c r="J227" s="66" t="n"/>
      <c r="K227" s="66" t="n"/>
      <c r="L227" s="67">
        <f>IF(NOT((COUNTA($B227:$K227)+COUNTA($N227))&gt;0),"",IF(N($T227)&gt;0,$AB227,IFERROR(LOOKUP(2,1/(H227:K227&lt;&gt;""),H227:K227),0)))</f>
        <v/>
      </c>
      <c r="M227" s="61">
        <f>IF(L227="","",IF(L227&gt;=1,"Completado",IF(L227&gt;0,"En curso","Pendiente")))</f>
        <v/>
      </c>
      <c r="N227" s="62" t="n"/>
      <c r="O227" s="68">
        <f>IF(NOT((COUNTA($B227:$K227)+COUNTA($N227))&gt;0),"",IF((IF(AND($S227="Macro",$B227=""),"Macroactividad vacía"&amp;" · ","")&amp;IF(AND($B227&lt;&gt;"",$C227&lt;&gt;""),"Escriba la subactividad en otra fila, debajo de su macroactividad"&amp;" · ","")&amp;IF(AND($S227="Sub",N($R227)=0),"Subactividad sin macroactividad arriba"&amp;" · ","")&amp;IF($D227="","Sin responsable"&amp;" · ","")&amp;IF($E227="","Sin fecha de inicio"&amp;" · ","")&amp;IF($F227="","Sin fecha límite"&amp;" · ","")&amp;IF(OR(AND($E227&lt;&gt;"",NOT(ISNUMBER($E227))),AND($F227&lt;&gt;"",NOT(ISNUMBER($F227)))),"Fecha no válida"&amp;" · ","")&amp;IF(AND(ISNUMBER($E227),ISNUMBER($F227),$E227&gt;$F227),"Inicio posterior a fecha límite"&amp;" · ","")&amp;IF(AND($S227="Macro",$G227=""),"Peso vacío"&amp;" · ","")&amp;IF(AND($S227="Macro",$G227&lt;&gt;"",OR(NOT(ISNUMBER($G227)),$G227&lt;=0,$G227&gt;1)),"Peso fuera de rango"&amp;" · ","")&amp;IF(AND($S227="Sub",$G227&lt;&gt;""),"Las subactividades no llevan peso"&amp;" · ","")&amp;IF(AND($S227="Macro",ABS(SUMIFS($G$5:$G$1000,$P$5:$P$1000,$P227,$S$5:$S$1000,"Macro")-1)&gt;0.0001),"Pesos del mes suman "&amp;TEXT(SUMIFS($G$5:$G$1000,$P$5:$P$1000,$P227,$S$5:$S$1000,"Macro"),"0%")&amp;" · ","")&amp;IF(AND(N($T227)&gt;0,COUNT($H227:$K227)&gt;0),"Con subactividades: deje vacías las semanas (se calculan solas)"&amp;" · ","")&amp;IF((COUNTIF($H227:$K227,"&gt;1")+COUNTIF($H227:$K227,"&lt;0")+COUNTA($H227:$K227)-COUNT($H227:$K227))&gt;0,"Avance fuera de rango 0-100%"&amp;" · ","")&amp;IF(OR(AND($I227&lt;&gt;"",$I227&lt;$H227),AND($J227&lt;&gt;"",$J227&lt;MAX($H227:$I227)),AND($K227&lt;&gt;"",$K227&lt;MAX($H227:$J227))),"Avance semanal decreciente"&amp;" · ","")&amp;IF(AND(ISNUMBER($F227),$F227&lt;FechaRef,N($L227)&lt;1),"Vencida"&amp;" · ","")&amp;IF(AND(ObsObligatoria="Sí",ISNUMBER($F227),$F227&lt;FechaRef,N($L227)&lt;1,$N227=""),"Vencida sin observación"&amp;" · ",""))="","✔ OK","⚠ "&amp;LEFT(IF(AND($S227="Macro",$B227=""),"Macroactividad vacía"&amp;" · ","")&amp;IF(AND($B227&lt;&gt;"",$C227&lt;&gt;""),"Escriba la subactividad en otra fila, debajo de su macroactividad"&amp;" · ","")&amp;IF(AND($S227="Sub",N($R227)=0),"Subactividad sin macroactividad arriba"&amp;" · ","")&amp;IF($D227="","Sin responsable"&amp;" · ","")&amp;IF($E227="","Sin fecha de inicio"&amp;" · ","")&amp;IF($F227="","Sin fecha límite"&amp;" · ","")&amp;IF(OR(AND($E227&lt;&gt;"",NOT(ISNUMBER($E227))),AND($F227&lt;&gt;"",NOT(ISNUMBER($F227)))),"Fecha no válida"&amp;" · ","")&amp;IF(AND(ISNUMBER($E227),ISNUMBER($F227),$E227&gt;$F227),"Inicio posterior a fecha límite"&amp;" · ","")&amp;IF(AND($S227="Macro",$G227=""),"Peso vacío"&amp;" · ","")&amp;IF(AND($S227="Macro",$G227&lt;&gt;"",OR(NOT(ISNUMBER($G227)),$G227&lt;=0,$G227&gt;1)),"Peso fuera de rango"&amp;" · ","")&amp;IF(AND($S227="Sub",$G227&lt;&gt;""),"Las subactividades no llevan peso"&amp;" · ","")&amp;IF(AND($S227="Macro",ABS(SUMIFS($G$5:$G$1000,$P$5:$P$1000,$P227,$S$5:$S$1000,"Macro")-1)&gt;0.0001),"Pesos del mes suman "&amp;TEXT(SUMIFS($G$5:$G$1000,$P$5:$P$1000,$P227,$S$5:$S$1000,"Macro"),"0%")&amp;" · ","")&amp;IF(AND(N($T227)&gt;0,COUNT($H227:$K227)&gt;0),"Con subactividades: deje vacías las semanas (se calculan solas)"&amp;" · ","")&amp;IF((COUNTIF($H227:$K227,"&gt;1")+COUNTIF($H227:$K227,"&lt;0")+COUNTA($H227:$K227)-COUNT($H227:$K227))&gt;0,"Avance fuera de rango 0-100%"&amp;" · ","")&amp;IF(OR(AND($I227&lt;&gt;"",$I227&lt;$H227),AND($J227&lt;&gt;"",$J227&lt;MAX($H227:$I227)),AND($K227&lt;&gt;"",$K227&lt;MAX($H227:$J227))),"Avance semanal decreciente"&amp;" · ","")&amp;IF(AND(ISNUMBER($F227),$F227&lt;FechaRef,N($L227)&lt;1),"Vencida"&amp;" · ","")&amp;IF(AND(ObsObligatoria="Sí",ISNUMBER($F227),$F227&lt;FechaRef,N($L227)&lt;1,$N227=""),"Vencida sin observación"&amp;" · ",""),LEN(IF(AND($S227="Macro",$B227=""),"Macroactividad vacía"&amp;" · ","")&amp;IF(AND($B227&lt;&gt;"",$C227&lt;&gt;""),"Escriba la subactividad en otra fila, debajo de su macroactividad"&amp;" · ","")&amp;IF(AND($S227="Sub",N($R227)=0),"Subactividad sin macroactividad arriba"&amp;" · ","")&amp;IF($D227="","Sin responsable"&amp;" · ","")&amp;IF($E227="","Sin fecha de inicio"&amp;" · ","")&amp;IF($F227="","Sin fecha límite"&amp;" · ","")&amp;IF(OR(AND($E227&lt;&gt;"",NOT(ISNUMBER($E227))),AND($F227&lt;&gt;"",NOT(ISNUMBER($F227)))),"Fecha no válida"&amp;" · ","")&amp;IF(AND(ISNUMBER($E227),ISNUMBER($F227),$E227&gt;$F227),"Inicio posterior a fecha límite"&amp;" · ","")&amp;IF(AND($S227="Macro",$G227=""),"Peso vacío"&amp;" · ","")&amp;IF(AND($S227="Macro",$G227&lt;&gt;"",OR(NOT(ISNUMBER($G227)),$G227&lt;=0,$G227&gt;1)),"Peso fuera de rango"&amp;" · ","")&amp;IF(AND($S227="Sub",$G227&lt;&gt;""),"Las subactividades no llevan peso"&amp;" · ","")&amp;IF(AND($S227="Macro",ABS(SUMIFS($G$5:$G$1000,$P$5:$P$1000,$P227,$S$5:$S$1000,"Macro")-1)&gt;0.0001),"Pesos del mes suman "&amp;TEXT(SUMIFS($G$5:$G$1000,$P$5:$P$1000,$P227,$S$5:$S$1000,"Macro"),"0%")&amp;" · ","")&amp;IF(AND(N($T227)&gt;0,COUNT($H227:$K227)&gt;0),"Con subactividades: deje vacías las semanas (se calculan solas)"&amp;" · ","")&amp;IF((COUNTIF($H227:$K227,"&gt;1")+COUNTIF($H227:$K227,"&lt;0")+COUNTA($H227:$K227)-COUNT($H227:$K227))&gt;0,"Avance fuera de rango 0-100%"&amp;" · ","")&amp;IF(OR(AND($I227&lt;&gt;"",$I227&lt;$H227),AND($J227&lt;&gt;"",$J227&lt;MAX($H227:$I227)),AND($K227&lt;&gt;"",$K227&lt;MAX($H227:$J227))),"Avance semanal decreciente"&amp;" · ","")&amp;IF(AND(ISNUMBER($F227),$F227&lt;FechaRef,N($L227)&lt;1),"Vencida"&amp;" · ","")&amp;IF(AND(ObsObligatoria="Sí",ISNUMBER($F227),$F227&lt;FechaRef,N($L227)&lt;1,$N227=""),"Vencida sin observación"&amp;" · ",""))-3)))</f>
        <v/>
      </c>
      <c r="P227" s="69">
        <f>IF(NOT((COUNTA($B227:$K227)+COUNTA($N227))&gt;0),"",IF(AND($S227="Sub",N($R227)&gt;0),IF(ISNUMBER(INDEX($E$5:$E$1000,$R227-4)),DATE(YEAR(INDEX($E$5:$E$1000,$R227-4)),MONTH(INDEX($E$5:$E$1000,$R227-4)),1),IF(ISNUMBER(INDEX($F$5:$F$1000,$R227-4)),DATE(YEAR(INDEX($F$5:$F$1000,$R227-4)),MONTH(INDEX($F$5:$F$1000,$R227-4)),1),MesCiclo)),IF(ISNUMBER($E227),DATE(YEAR($E227),MONTH($E227),1),IF(ISNUMBER($F227),DATE(YEAR($F227),MONTH($F227),1),MesCiclo))))</f>
        <v/>
      </c>
      <c r="Q227" s="70">
        <f>IF(OR($P227="",$P227&lt;&gt;MesCiclo),"",COUNTIF($P$5:$P227,MesCiclo))</f>
        <v/>
      </c>
      <c r="R227" s="70">
        <f>IF($S227="","",IF($S227="Macro",ROW(),IFERROR(LOOKUP(2,1/($S$5:$S227="Macro"),ROW($S$5:$S227)),0)))</f>
        <v/>
      </c>
      <c r="S227" s="70">
        <f>IF(NOT((COUNTA($B227:$K227)+COUNTA($N227))&gt;0),"",IF($B227&lt;&gt;"","Macro",IF($C227&lt;&gt;"","Sub","Macro")))</f>
        <v/>
      </c>
      <c r="T227" s="70">
        <f>IF($S227="Macro",COUNTIFS($R$5:$R$1000,ROW(),$S$5:$S$1000,"Sub"),"")</f>
        <v/>
      </c>
      <c r="U227" s="70">
        <f>IF($S227="","",IF(ISNUMBER($H227),$H227,0))</f>
        <v/>
      </c>
      <c r="V227" s="70">
        <f>IF($S227="","",IF(ISNUMBER($I227),$I227,$U227))</f>
        <v/>
      </c>
      <c r="W227" s="70">
        <f>IF($S227="","",IF(ISNUMBER($J227),$J227,$V227))</f>
        <v/>
      </c>
      <c r="X227" s="70">
        <f>IF($S227="","",IF(ISNUMBER($K227),$K227,$W227))</f>
        <v/>
      </c>
      <c r="Y227" s="70">
        <f>IF($S227="","",IF(N($T227)&gt;0,AVERAGEIFS($U$5:$U$1000,$R$5:$R$1000,ROW(),$S$5:$S$1000,"Sub"),$U227))</f>
        <v/>
      </c>
      <c r="Z227" s="70">
        <f>IF($S227="","",IF(N($T227)&gt;0,AVERAGEIFS($V$5:$V$1000,$R$5:$R$1000,ROW(),$S$5:$S$1000,"Sub"),$V227))</f>
        <v/>
      </c>
      <c r="AA227" s="70">
        <f>IF($S227="","",IF(N($T227)&gt;0,AVERAGEIFS($W$5:$W$1000,$R$5:$R$1000,ROW(),$S$5:$S$1000,"Sub"),$W227))</f>
        <v/>
      </c>
      <c r="AB227" s="70">
        <f>IF($S227="","",IF(N($T227)&gt;0,AVERAGEIFS($X$5:$X$1000,$R$5:$R$1000,ROW(),$S$5:$S$1000,"Sub"),$X227))</f>
        <v/>
      </c>
    </row>
    <row r="228">
      <c r="A228" s="61">
        <f>IF(NOT((COUNTA($B228:$K228)+COUNTA($N228))&gt;0),"",IF($S228="Macro",COUNTIFS($S$5:$S228,"Macro",$P$5:$P228,$P228),IF(N($R228)=0,"?",COUNTIFS(INDEX($S$5:$S$1000,1):INDEX($S$5:$S$1000,$R228-4),"Macro",INDEX($P$5:$P$1000,1):INDEX($P$5:$P$1000,$R228-4),INDEX($P$5:$P$1000,$R228-4))&amp;"."&amp;COUNTIFS($R$5:$R228,$R228,$S$5:$S228,"Sub"))))</f>
        <v/>
      </c>
      <c r="B228" s="62" t="n"/>
      <c r="C228" s="63" t="n"/>
      <c r="D228" s="62" t="n"/>
      <c r="E228" s="64" t="n"/>
      <c r="F228" s="64" t="n"/>
      <c r="G228" s="65" t="n"/>
      <c r="H228" s="66" t="n"/>
      <c r="I228" s="66" t="n"/>
      <c r="J228" s="66" t="n"/>
      <c r="K228" s="66" t="n"/>
      <c r="L228" s="67">
        <f>IF(NOT((COUNTA($B228:$K228)+COUNTA($N228))&gt;0),"",IF(N($T228)&gt;0,$AB228,IFERROR(LOOKUP(2,1/(H228:K228&lt;&gt;""),H228:K228),0)))</f>
        <v/>
      </c>
      <c r="M228" s="61">
        <f>IF(L228="","",IF(L228&gt;=1,"Completado",IF(L228&gt;0,"En curso","Pendiente")))</f>
        <v/>
      </c>
      <c r="N228" s="62" t="n"/>
      <c r="O228" s="68">
        <f>IF(NOT((COUNTA($B228:$K228)+COUNTA($N228))&gt;0),"",IF((IF(AND($S228="Macro",$B228=""),"Macroactividad vacía"&amp;" · ","")&amp;IF(AND($B228&lt;&gt;"",$C228&lt;&gt;""),"Escriba la subactividad en otra fila, debajo de su macroactividad"&amp;" · ","")&amp;IF(AND($S228="Sub",N($R228)=0),"Subactividad sin macroactividad arriba"&amp;" · ","")&amp;IF($D228="","Sin responsable"&amp;" · ","")&amp;IF($E228="","Sin fecha de inicio"&amp;" · ","")&amp;IF($F228="","Sin fecha límite"&amp;" · ","")&amp;IF(OR(AND($E228&lt;&gt;"",NOT(ISNUMBER($E228))),AND($F228&lt;&gt;"",NOT(ISNUMBER($F228)))),"Fecha no válida"&amp;" · ","")&amp;IF(AND(ISNUMBER($E228),ISNUMBER($F228),$E228&gt;$F228),"Inicio posterior a fecha límite"&amp;" · ","")&amp;IF(AND($S228="Macro",$G228=""),"Peso vacío"&amp;" · ","")&amp;IF(AND($S228="Macro",$G228&lt;&gt;"",OR(NOT(ISNUMBER($G228)),$G228&lt;=0,$G228&gt;1)),"Peso fuera de rango"&amp;" · ","")&amp;IF(AND($S228="Sub",$G228&lt;&gt;""),"Las subactividades no llevan peso"&amp;" · ","")&amp;IF(AND($S228="Macro",ABS(SUMIFS($G$5:$G$1000,$P$5:$P$1000,$P228,$S$5:$S$1000,"Macro")-1)&gt;0.0001),"Pesos del mes suman "&amp;TEXT(SUMIFS($G$5:$G$1000,$P$5:$P$1000,$P228,$S$5:$S$1000,"Macro"),"0%")&amp;" · ","")&amp;IF(AND(N($T228)&gt;0,COUNT($H228:$K228)&gt;0),"Con subactividades: deje vacías las semanas (se calculan solas)"&amp;" · ","")&amp;IF((COUNTIF($H228:$K228,"&gt;1")+COUNTIF($H228:$K228,"&lt;0")+COUNTA($H228:$K228)-COUNT($H228:$K228))&gt;0,"Avance fuera de rango 0-100%"&amp;" · ","")&amp;IF(OR(AND($I228&lt;&gt;"",$I228&lt;$H228),AND($J228&lt;&gt;"",$J228&lt;MAX($H228:$I228)),AND($K228&lt;&gt;"",$K228&lt;MAX($H228:$J228))),"Avance semanal decreciente"&amp;" · ","")&amp;IF(AND(ISNUMBER($F228),$F228&lt;FechaRef,N($L228)&lt;1),"Vencida"&amp;" · ","")&amp;IF(AND(ObsObligatoria="Sí",ISNUMBER($F228),$F228&lt;FechaRef,N($L228)&lt;1,$N228=""),"Vencida sin observación"&amp;" · ",""))="","✔ OK","⚠ "&amp;LEFT(IF(AND($S228="Macro",$B228=""),"Macroactividad vacía"&amp;" · ","")&amp;IF(AND($B228&lt;&gt;"",$C228&lt;&gt;""),"Escriba la subactividad en otra fila, debajo de su macroactividad"&amp;" · ","")&amp;IF(AND($S228="Sub",N($R228)=0),"Subactividad sin macroactividad arriba"&amp;" · ","")&amp;IF($D228="","Sin responsable"&amp;" · ","")&amp;IF($E228="","Sin fecha de inicio"&amp;" · ","")&amp;IF($F228="","Sin fecha límite"&amp;" · ","")&amp;IF(OR(AND($E228&lt;&gt;"",NOT(ISNUMBER($E228))),AND($F228&lt;&gt;"",NOT(ISNUMBER($F228)))),"Fecha no válida"&amp;" · ","")&amp;IF(AND(ISNUMBER($E228),ISNUMBER($F228),$E228&gt;$F228),"Inicio posterior a fecha límite"&amp;" · ","")&amp;IF(AND($S228="Macro",$G228=""),"Peso vacío"&amp;" · ","")&amp;IF(AND($S228="Macro",$G228&lt;&gt;"",OR(NOT(ISNUMBER($G228)),$G228&lt;=0,$G228&gt;1)),"Peso fuera de rango"&amp;" · ","")&amp;IF(AND($S228="Sub",$G228&lt;&gt;""),"Las subactividades no llevan peso"&amp;" · ","")&amp;IF(AND($S228="Macro",ABS(SUMIFS($G$5:$G$1000,$P$5:$P$1000,$P228,$S$5:$S$1000,"Macro")-1)&gt;0.0001),"Pesos del mes suman "&amp;TEXT(SUMIFS($G$5:$G$1000,$P$5:$P$1000,$P228,$S$5:$S$1000,"Macro"),"0%")&amp;" · ","")&amp;IF(AND(N($T228)&gt;0,COUNT($H228:$K228)&gt;0),"Con subactividades: deje vacías las semanas (se calculan solas)"&amp;" · ","")&amp;IF((COUNTIF($H228:$K228,"&gt;1")+COUNTIF($H228:$K228,"&lt;0")+COUNTA($H228:$K228)-COUNT($H228:$K228))&gt;0,"Avance fuera de rango 0-100%"&amp;" · ","")&amp;IF(OR(AND($I228&lt;&gt;"",$I228&lt;$H228),AND($J228&lt;&gt;"",$J228&lt;MAX($H228:$I228)),AND($K228&lt;&gt;"",$K228&lt;MAX($H228:$J228))),"Avance semanal decreciente"&amp;" · ","")&amp;IF(AND(ISNUMBER($F228),$F228&lt;FechaRef,N($L228)&lt;1),"Vencida"&amp;" · ","")&amp;IF(AND(ObsObligatoria="Sí",ISNUMBER($F228),$F228&lt;FechaRef,N($L228)&lt;1,$N228=""),"Vencida sin observación"&amp;" · ",""),LEN(IF(AND($S228="Macro",$B228=""),"Macroactividad vacía"&amp;" · ","")&amp;IF(AND($B228&lt;&gt;"",$C228&lt;&gt;""),"Escriba la subactividad en otra fila, debajo de su macroactividad"&amp;" · ","")&amp;IF(AND($S228="Sub",N($R228)=0),"Subactividad sin macroactividad arriba"&amp;" · ","")&amp;IF($D228="","Sin responsable"&amp;" · ","")&amp;IF($E228="","Sin fecha de inicio"&amp;" · ","")&amp;IF($F228="","Sin fecha límite"&amp;" · ","")&amp;IF(OR(AND($E228&lt;&gt;"",NOT(ISNUMBER($E228))),AND($F228&lt;&gt;"",NOT(ISNUMBER($F228)))),"Fecha no válida"&amp;" · ","")&amp;IF(AND(ISNUMBER($E228),ISNUMBER($F228),$E228&gt;$F228),"Inicio posterior a fecha límite"&amp;" · ","")&amp;IF(AND($S228="Macro",$G228=""),"Peso vacío"&amp;" · ","")&amp;IF(AND($S228="Macro",$G228&lt;&gt;"",OR(NOT(ISNUMBER($G228)),$G228&lt;=0,$G228&gt;1)),"Peso fuera de rango"&amp;" · ","")&amp;IF(AND($S228="Sub",$G228&lt;&gt;""),"Las subactividades no llevan peso"&amp;" · ","")&amp;IF(AND($S228="Macro",ABS(SUMIFS($G$5:$G$1000,$P$5:$P$1000,$P228,$S$5:$S$1000,"Macro")-1)&gt;0.0001),"Pesos del mes suman "&amp;TEXT(SUMIFS($G$5:$G$1000,$P$5:$P$1000,$P228,$S$5:$S$1000,"Macro"),"0%")&amp;" · ","")&amp;IF(AND(N($T228)&gt;0,COUNT($H228:$K228)&gt;0),"Con subactividades: deje vacías las semanas (se calculan solas)"&amp;" · ","")&amp;IF((COUNTIF($H228:$K228,"&gt;1")+COUNTIF($H228:$K228,"&lt;0")+COUNTA($H228:$K228)-COUNT($H228:$K228))&gt;0,"Avance fuera de rango 0-100%"&amp;" · ","")&amp;IF(OR(AND($I228&lt;&gt;"",$I228&lt;$H228),AND($J228&lt;&gt;"",$J228&lt;MAX($H228:$I228)),AND($K228&lt;&gt;"",$K228&lt;MAX($H228:$J228))),"Avance semanal decreciente"&amp;" · ","")&amp;IF(AND(ISNUMBER($F228),$F228&lt;FechaRef,N($L228)&lt;1),"Vencida"&amp;" · ","")&amp;IF(AND(ObsObligatoria="Sí",ISNUMBER($F228),$F228&lt;FechaRef,N($L228)&lt;1,$N228=""),"Vencida sin observación"&amp;" · ",""))-3)))</f>
        <v/>
      </c>
      <c r="P228" s="69">
        <f>IF(NOT((COUNTA($B228:$K228)+COUNTA($N228))&gt;0),"",IF(AND($S228="Sub",N($R228)&gt;0),IF(ISNUMBER(INDEX($E$5:$E$1000,$R228-4)),DATE(YEAR(INDEX($E$5:$E$1000,$R228-4)),MONTH(INDEX($E$5:$E$1000,$R228-4)),1),IF(ISNUMBER(INDEX($F$5:$F$1000,$R228-4)),DATE(YEAR(INDEX($F$5:$F$1000,$R228-4)),MONTH(INDEX($F$5:$F$1000,$R228-4)),1),MesCiclo)),IF(ISNUMBER($E228),DATE(YEAR($E228),MONTH($E228),1),IF(ISNUMBER($F228),DATE(YEAR($F228),MONTH($F228),1),MesCiclo))))</f>
        <v/>
      </c>
      <c r="Q228" s="70">
        <f>IF(OR($P228="",$P228&lt;&gt;MesCiclo),"",COUNTIF($P$5:$P228,MesCiclo))</f>
        <v/>
      </c>
      <c r="R228" s="70">
        <f>IF($S228="","",IF($S228="Macro",ROW(),IFERROR(LOOKUP(2,1/($S$5:$S228="Macro"),ROW($S$5:$S228)),0)))</f>
        <v/>
      </c>
      <c r="S228" s="70">
        <f>IF(NOT((COUNTA($B228:$K228)+COUNTA($N228))&gt;0),"",IF($B228&lt;&gt;"","Macro",IF($C228&lt;&gt;"","Sub","Macro")))</f>
        <v/>
      </c>
      <c r="T228" s="70">
        <f>IF($S228="Macro",COUNTIFS($R$5:$R$1000,ROW(),$S$5:$S$1000,"Sub"),"")</f>
        <v/>
      </c>
      <c r="U228" s="70">
        <f>IF($S228="","",IF(ISNUMBER($H228),$H228,0))</f>
        <v/>
      </c>
      <c r="V228" s="70">
        <f>IF($S228="","",IF(ISNUMBER($I228),$I228,$U228))</f>
        <v/>
      </c>
      <c r="W228" s="70">
        <f>IF($S228="","",IF(ISNUMBER($J228),$J228,$V228))</f>
        <v/>
      </c>
      <c r="X228" s="70">
        <f>IF($S228="","",IF(ISNUMBER($K228),$K228,$W228))</f>
        <v/>
      </c>
      <c r="Y228" s="70">
        <f>IF($S228="","",IF(N($T228)&gt;0,AVERAGEIFS($U$5:$U$1000,$R$5:$R$1000,ROW(),$S$5:$S$1000,"Sub"),$U228))</f>
        <v/>
      </c>
      <c r="Z228" s="70">
        <f>IF($S228="","",IF(N($T228)&gt;0,AVERAGEIFS($V$5:$V$1000,$R$5:$R$1000,ROW(),$S$5:$S$1000,"Sub"),$V228))</f>
        <v/>
      </c>
      <c r="AA228" s="70">
        <f>IF($S228="","",IF(N($T228)&gt;0,AVERAGEIFS($W$5:$W$1000,$R$5:$R$1000,ROW(),$S$5:$S$1000,"Sub"),$W228))</f>
        <v/>
      </c>
      <c r="AB228" s="70">
        <f>IF($S228="","",IF(N($T228)&gt;0,AVERAGEIFS($X$5:$X$1000,$R$5:$R$1000,ROW(),$S$5:$S$1000,"Sub"),$X228))</f>
        <v/>
      </c>
    </row>
    <row r="229">
      <c r="A229" s="61">
        <f>IF(NOT((COUNTA($B229:$K229)+COUNTA($N229))&gt;0),"",IF($S229="Macro",COUNTIFS($S$5:$S229,"Macro",$P$5:$P229,$P229),IF(N($R229)=0,"?",COUNTIFS(INDEX($S$5:$S$1000,1):INDEX($S$5:$S$1000,$R229-4),"Macro",INDEX($P$5:$P$1000,1):INDEX($P$5:$P$1000,$R229-4),INDEX($P$5:$P$1000,$R229-4))&amp;"."&amp;COUNTIFS($R$5:$R229,$R229,$S$5:$S229,"Sub"))))</f>
        <v/>
      </c>
      <c r="B229" s="62" t="n"/>
      <c r="C229" s="63" t="n"/>
      <c r="D229" s="62" t="n"/>
      <c r="E229" s="64" t="n"/>
      <c r="F229" s="64" t="n"/>
      <c r="G229" s="65" t="n"/>
      <c r="H229" s="66" t="n"/>
      <c r="I229" s="66" t="n"/>
      <c r="J229" s="66" t="n"/>
      <c r="K229" s="66" t="n"/>
      <c r="L229" s="67">
        <f>IF(NOT((COUNTA($B229:$K229)+COUNTA($N229))&gt;0),"",IF(N($T229)&gt;0,$AB229,IFERROR(LOOKUP(2,1/(H229:K229&lt;&gt;""),H229:K229),0)))</f>
        <v/>
      </c>
      <c r="M229" s="61">
        <f>IF(L229="","",IF(L229&gt;=1,"Completado",IF(L229&gt;0,"En curso","Pendiente")))</f>
        <v/>
      </c>
      <c r="N229" s="62" t="n"/>
      <c r="O229" s="68">
        <f>IF(NOT((COUNTA($B229:$K229)+COUNTA($N229))&gt;0),"",IF((IF(AND($S229="Macro",$B229=""),"Macroactividad vacía"&amp;" · ","")&amp;IF(AND($B229&lt;&gt;"",$C229&lt;&gt;""),"Escriba la subactividad en otra fila, debajo de su macroactividad"&amp;" · ","")&amp;IF(AND($S229="Sub",N($R229)=0),"Subactividad sin macroactividad arriba"&amp;" · ","")&amp;IF($D229="","Sin responsable"&amp;" · ","")&amp;IF($E229="","Sin fecha de inicio"&amp;" · ","")&amp;IF($F229="","Sin fecha límite"&amp;" · ","")&amp;IF(OR(AND($E229&lt;&gt;"",NOT(ISNUMBER($E229))),AND($F229&lt;&gt;"",NOT(ISNUMBER($F229)))),"Fecha no válida"&amp;" · ","")&amp;IF(AND(ISNUMBER($E229),ISNUMBER($F229),$E229&gt;$F229),"Inicio posterior a fecha límite"&amp;" · ","")&amp;IF(AND($S229="Macro",$G229=""),"Peso vacío"&amp;" · ","")&amp;IF(AND($S229="Macro",$G229&lt;&gt;"",OR(NOT(ISNUMBER($G229)),$G229&lt;=0,$G229&gt;1)),"Peso fuera de rango"&amp;" · ","")&amp;IF(AND($S229="Sub",$G229&lt;&gt;""),"Las subactividades no llevan peso"&amp;" · ","")&amp;IF(AND($S229="Macro",ABS(SUMIFS($G$5:$G$1000,$P$5:$P$1000,$P229,$S$5:$S$1000,"Macro")-1)&gt;0.0001),"Pesos del mes suman "&amp;TEXT(SUMIFS($G$5:$G$1000,$P$5:$P$1000,$P229,$S$5:$S$1000,"Macro"),"0%")&amp;" · ","")&amp;IF(AND(N($T229)&gt;0,COUNT($H229:$K229)&gt;0),"Con subactividades: deje vacías las semanas (se calculan solas)"&amp;" · ","")&amp;IF((COUNTIF($H229:$K229,"&gt;1")+COUNTIF($H229:$K229,"&lt;0")+COUNTA($H229:$K229)-COUNT($H229:$K229))&gt;0,"Avance fuera de rango 0-100%"&amp;" · ","")&amp;IF(OR(AND($I229&lt;&gt;"",$I229&lt;$H229),AND($J229&lt;&gt;"",$J229&lt;MAX($H229:$I229)),AND($K229&lt;&gt;"",$K229&lt;MAX($H229:$J229))),"Avance semanal decreciente"&amp;" · ","")&amp;IF(AND(ISNUMBER($F229),$F229&lt;FechaRef,N($L229)&lt;1),"Vencida"&amp;" · ","")&amp;IF(AND(ObsObligatoria="Sí",ISNUMBER($F229),$F229&lt;FechaRef,N($L229)&lt;1,$N229=""),"Vencida sin observación"&amp;" · ",""))="","✔ OK","⚠ "&amp;LEFT(IF(AND($S229="Macro",$B229=""),"Macroactividad vacía"&amp;" · ","")&amp;IF(AND($B229&lt;&gt;"",$C229&lt;&gt;""),"Escriba la subactividad en otra fila, debajo de su macroactividad"&amp;" · ","")&amp;IF(AND($S229="Sub",N($R229)=0),"Subactividad sin macroactividad arriba"&amp;" · ","")&amp;IF($D229="","Sin responsable"&amp;" · ","")&amp;IF($E229="","Sin fecha de inicio"&amp;" · ","")&amp;IF($F229="","Sin fecha límite"&amp;" · ","")&amp;IF(OR(AND($E229&lt;&gt;"",NOT(ISNUMBER($E229))),AND($F229&lt;&gt;"",NOT(ISNUMBER($F229)))),"Fecha no válida"&amp;" · ","")&amp;IF(AND(ISNUMBER($E229),ISNUMBER($F229),$E229&gt;$F229),"Inicio posterior a fecha límite"&amp;" · ","")&amp;IF(AND($S229="Macro",$G229=""),"Peso vacío"&amp;" · ","")&amp;IF(AND($S229="Macro",$G229&lt;&gt;"",OR(NOT(ISNUMBER($G229)),$G229&lt;=0,$G229&gt;1)),"Peso fuera de rango"&amp;" · ","")&amp;IF(AND($S229="Sub",$G229&lt;&gt;""),"Las subactividades no llevan peso"&amp;" · ","")&amp;IF(AND($S229="Macro",ABS(SUMIFS($G$5:$G$1000,$P$5:$P$1000,$P229,$S$5:$S$1000,"Macro")-1)&gt;0.0001),"Pesos del mes suman "&amp;TEXT(SUMIFS($G$5:$G$1000,$P$5:$P$1000,$P229,$S$5:$S$1000,"Macro"),"0%")&amp;" · ","")&amp;IF(AND(N($T229)&gt;0,COUNT($H229:$K229)&gt;0),"Con subactividades: deje vacías las semanas (se calculan solas)"&amp;" · ","")&amp;IF((COUNTIF($H229:$K229,"&gt;1")+COUNTIF($H229:$K229,"&lt;0")+COUNTA($H229:$K229)-COUNT($H229:$K229))&gt;0,"Avance fuera de rango 0-100%"&amp;" · ","")&amp;IF(OR(AND($I229&lt;&gt;"",$I229&lt;$H229),AND($J229&lt;&gt;"",$J229&lt;MAX($H229:$I229)),AND($K229&lt;&gt;"",$K229&lt;MAX($H229:$J229))),"Avance semanal decreciente"&amp;" · ","")&amp;IF(AND(ISNUMBER($F229),$F229&lt;FechaRef,N($L229)&lt;1),"Vencida"&amp;" · ","")&amp;IF(AND(ObsObligatoria="Sí",ISNUMBER($F229),$F229&lt;FechaRef,N($L229)&lt;1,$N229=""),"Vencida sin observación"&amp;" · ",""),LEN(IF(AND($S229="Macro",$B229=""),"Macroactividad vacía"&amp;" · ","")&amp;IF(AND($B229&lt;&gt;"",$C229&lt;&gt;""),"Escriba la subactividad en otra fila, debajo de su macroactividad"&amp;" · ","")&amp;IF(AND($S229="Sub",N($R229)=0),"Subactividad sin macroactividad arriba"&amp;" · ","")&amp;IF($D229="","Sin responsable"&amp;" · ","")&amp;IF($E229="","Sin fecha de inicio"&amp;" · ","")&amp;IF($F229="","Sin fecha límite"&amp;" · ","")&amp;IF(OR(AND($E229&lt;&gt;"",NOT(ISNUMBER($E229))),AND($F229&lt;&gt;"",NOT(ISNUMBER($F229)))),"Fecha no válida"&amp;" · ","")&amp;IF(AND(ISNUMBER($E229),ISNUMBER($F229),$E229&gt;$F229),"Inicio posterior a fecha límite"&amp;" · ","")&amp;IF(AND($S229="Macro",$G229=""),"Peso vacío"&amp;" · ","")&amp;IF(AND($S229="Macro",$G229&lt;&gt;"",OR(NOT(ISNUMBER($G229)),$G229&lt;=0,$G229&gt;1)),"Peso fuera de rango"&amp;" · ","")&amp;IF(AND($S229="Sub",$G229&lt;&gt;""),"Las subactividades no llevan peso"&amp;" · ","")&amp;IF(AND($S229="Macro",ABS(SUMIFS($G$5:$G$1000,$P$5:$P$1000,$P229,$S$5:$S$1000,"Macro")-1)&gt;0.0001),"Pesos del mes suman "&amp;TEXT(SUMIFS($G$5:$G$1000,$P$5:$P$1000,$P229,$S$5:$S$1000,"Macro"),"0%")&amp;" · ","")&amp;IF(AND(N($T229)&gt;0,COUNT($H229:$K229)&gt;0),"Con subactividades: deje vacías las semanas (se calculan solas)"&amp;" · ","")&amp;IF((COUNTIF($H229:$K229,"&gt;1")+COUNTIF($H229:$K229,"&lt;0")+COUNTA($H229:$K229)-COUNT($H229:$K229))&gt;0,"Avance fuera de rango 0-100%"&amp;" · ","")&amp;IF(OR(AND($I229&lt;&gt;"",$I229&lt;$H229),AND($J229&lt;&gt;"",$J229&lt;MAX($H229:$I229)),AND($K229&lt;&gt;"",$K229&lt;MAX($H229:$J229))),"Avance semanal decreciente"&amp;" · ","")&amp;IF(AND(ISNUMBER($F229),$F229&lt;FechaRef,N($L229)&lt;1),"Vencida"&amp;" · ","")&amp;IF(AND(ObsObligatoria="Sí",ISNUMBER($F229),$F229&lt;FechaRef,N($L229)&lt;1,$N229=""),"Vencida sin observación"&amp;" · ",""))-3)))</f>
        <v/>
      </c>
      <c r="P229" s="69">
        <f>IF(NOT((COUNTA($B229:$K229)+COUNTA($N229))&gt;0),"",IF(AND($S229="Sub",N($R229)&gt;0),IF(ISNUMBER(INDEX($E$5:$E$1000,$R229-4)),DATE(YEAR(INDEX($E$5:$E$1000,$R229-4)),MONTH(INDEX($E$5:$E$1000,$R229-4)),1),IF(ISNUMBER(INDEX($F$5:$F$1000,$R229-4)),DATE(YEAR(INDEX($F$5:$F$1000,$R229-4)),MONTH(INDEX($F$5:$F$1000,$R229-4)),1),MesCiclo)),IF(ISNUMBER($E229),DATE(YEAR($E229),MONTH($E229),1),IF(ISNUMBER($F229),DATE(YEAR($F229),MONTH($F229),1),MesCiclo))))</f>
        <v/>
      </c>
      <c r="Q229" s="70">
        <f>IF(OR($P229="",$P229&lt;&gt;MesCiclo),"",COUNTIF($P$5:$P229,MesCiclo))</f>
        <v/>
      </c>
      <c r="R229" s="70">
        <f>IF($S229="","",IF($S229="Macro",ROW(),IFERROR(LOOKUP(2,1/($S$5:$S229="Macro"),ROW($S$5:$S229)),0)))</f>
        <v/>
      </c>
      <c r="S229" s="70">
        <f>IF(NOT((COUNTA($B229:$K229)+COUNTA($N229))&gt;0),"",IF($B229&lt;&gt;"","Macro",IF($C229&lt;&gt;"","Sub","Macro")))</f>
        <v/>
      </c>
      <c r="T229" s="70">
        <f>IF($S229="Macro",COUNTIFS($R$5:$R$1000,ROW(),$S$5:$S$1000,"Sub"),"")</f>
        <v/>
      </c>
      <c r="U229" s="70">
        <f>IF($S229="","",IF(ISNUMBER($H229),$H229,0))</f>
        <v/>
      </c>
      <c r="V229" s="70">
        <f>IF($S229="","",IF(ISNUMBER($I229),$I229,$U229))</f>
        <v/>
      </c>
      <c r="W229" s="70">
        <f>IF($S229="","",IF(ISNUMBER($J229),$J229,$V229))</f>
        <v/>
      </c>
      <c r="X229" s="70">
        <f>IF($S229="","",IF(ISNUMBER($K229),$K229,$W229))</f>
        <v/>
      </c>
      <c r="Y229" s="70">
        <f>IF($S229="","",IF(N($T229)&gt;0,AVERAGEIFS($U$5:$U$1000,$R$5:$R$1000,ROW(),$S$5:$S$1000,"Sub"),$U229))</f>
        <v/>
      </c>
      <c r="Z229" s="70">
        <f>IF($S229="","",IF(N($T229)&gt;0,AVERAGEIFS($V$5:$V$1000,$R$5:$R$1000,ROW(),$S$5:$S$1000,"Sub"),$V229))</f>
        <v/>
      </c>
      <c r="AA229" s="70">
        <f>IF($S229="","",IF(N($T229)&gt;0,AVERAGEIFS($W$5:$W$1000,$R$5:$R$1000,ROW(),$S$5:$S$1000,"Sub"),$W229))</f>
        <v/>
      </c>
      <c r="AB229" s="70">
        <f>IF($S229="","",IF(N($T229)&gt;0,AVERAGEIFS($X$5:$X$1000,$R$5:$R$1000,ROW(),$S$5:$S$1000,"Sub"),$X229))</f>
        <v/>
      </c>
    </row>
    <row r="230">
      <c r="A230" s="61">
        <f>IF(NOT((COUNTA($B230:$K230)+COUNTA($N230))&gt;0),"",IF($S230="Macro",COUNTIFS($S$5:$S230,"Macro",$P$5:$P230,$P230),IF(N($R230)=0,"?",COUNTIFS(INDEX($S$5:$S$1000,1):INDEX($S$5:$S$1000,$R230-4),"Macro",INDEX($P$5:$P$1000,1):INDEX($P$5:$P$1000,$R230-4),INDEX($P$5:$P$1000,$R230-4))&amp;"."&amp;COUNTIFS($R$5:$R230,$R230,$S$5:$S230,"Sub"))))</f>
        <v/>
      </c>
      <c r="B230" s="62" t="n"/>
      <c r="C230" s="63" t="n"/>
      <c r="D230" s="62" t="n"/>
      <c r="E230" s="64" t="n"/>
      <c r="F230" s="64" t="n"/>
      <c r="G230" s="65" t="n"/>
      <c r="H230" s="66" t="n"/>
      <c r="I230" s="66" t="n"/>
      <c r="J230" s="66" t="n"/>
      <c r="K230" s="66" t="n"/>
      <c r="L230" s="67">
        <f>IF(NOT((COUNTA($B230:$K230)+COUNTA($N230))&gt;0),"",IF(N($T230)&gt;0,$AB230,IFERROR(LOOKUP(2,1/(H230:K230&lt;&gt;""),H230:K230),0)))</f>
        <v/>
      </c>
      <c r="M230" s="61">
        <f>IF(L230="","",IF(L230&gt;=1,"Completado",IF(L230&gt;0,"En curso","Pendiente")))</f>
        <v/>
      </c>
      <c r="N230" s="62" t="n"/>
      <c r="O230" s="68">
        <f>IF(NOT((COUNTA($B230:$K230)+COUNTA($N230))&gt;0),"",IF((IF(AND($S230="Macro",$B230=""),"Macroactividad vacía"&amp;" · ","")&amp;IF(AND($B230&lt;&gt;"",$C230&lt;&gt;""),"Escriba la subactividad en otra fila, debajo de su macroactividad"&amp;" · ","")&amp;IF(AND($S230="Sub",N($R230)=0),"Subactividad sin macroactividad arriba"&amp;" · ","")&amp;IF($D230="","Sin responsable"&amp;" · ","")&amp;IF($E230="","Sin fecha de inicio"&amp;" · ","")&amp;IF($F230="","Sin fecha límite"&amp;" · ","")&amp;IF(OR(AND($E230&lt;&gt;"",NOT(ISNUMBER($E230))),AND($F230&lt;&gt;"",NOT(ISNUMBER($F230)))),"Fecha no válida"&amp;" · ","")&amp;IF(AND(ISNUMBER($E230),ISNUMBER($F230),$E230&gt;$F230),"Inicio posterior a fecha límite"&amp;" · ","")&amp;IF(AND($S230="Macro",$G230=""),"Peso vacío"&amp;" · ","")&amp;IF(AND($S230="Macro",$G230&lt;&gt;"",OR(NOT(ISNUMBER($G230)),$G230&lt;=0,$G230&gt;1)),"Peso fuera de rango"&amp;" · ","")&amp;IF(AND($S230="Sub",$G230&lt;&gt;""),"Las subactividades no llevan peso"&amp;" · ","")&amp;IF(AND($S230="Macro",ABS(SUMIFS($G$5:$G$1000,$P$5:$P$1000,$P230,$S$5:$S$1000,"Macro")-1)&gt;0.0001),"Pesos del mes suman "&amp;TEXT(SUMIFS($G$5:$G$1000,$P$5:$P$1000,$P230,$S$5:$S$1000,"Macro"),"0%")&amp;" · ","")&amp;IF(AND(N($T230)&gt;0,COUNT($H230:$K230)&gt;0),"Con subactividades: deje vacías las semanas (se calculan solas)"&amp;" · ","")&amp;IF((COUNTIF($H230:$K230,"&gt;1")+COUNTIF($H230:$K230,"&lt;0")+COUNTA($H230:$K230)-COUNT($H230:$K230))&gt;0,"Avance fuera de rango 0-100%"&amp;" · ","")&amp;IF(OR(AND($I230&lt;&gt;"",$I230&lt;$H230),AND($J230&lt;&gt;"",$J230&lt;MAX($H230:$I230)),AND($K230&lt;&gt;"",$K230&lt;MAX($H230:$J230))),"Avance semanal decreciente"&amp;" · ","")&amp;IF(AND(ISNUMBER($F230),$F230&lt;FechaRef,N($L230)&lt;1),"Vencida"&amp;" · ","")&amp;IF(AND(ObsObligatoria="Sí",ISNUMBER($F230),$F230&lt;FechaRef,N($L230)&lt;1,$N230=""),"Vencida sin observación"&amp;" · ",""))="","✔ OK","⚠ "&amp;LEFT(IF(AND($S230="Macro",$B230=""),"Macroactividad vacía"&amp;" · ","")&amp;IF(AND($B230&lt;&gt;"",$C230&lt;&gt;""),"Escriba la subactividad en otra fila, debajo de su macroactividad"&amp;" · ","")&amp;IF(AND($S230="Sub",N($R230)=0),"Subactividad sin macroactividad arriba"&amp;" · ","")&amp;IF($D230="","Sin responsable"&amp;" · ","")&amp;IF($E230="","Sin fecha de inicio"&amp;" · ","")&amp;IF($F230="","Sin fecha límite"&amp;" · ","")&amp;IF(OR(AND($E230&lt;&gt;"",NOT(ISNUMBER($E230))),AND($F230&lt;&gt;"",NOT(ISNUMBER($F230)))),"Fecha no válida"&amp;" · ","")&amp;IF(AND(ISNUMBER($E230),ISNUMBER($F230),$E230&gt;$F230),"Inicio posterior a fecha límite"&amp;" · ","")&amp;IF(AND($S230="Macro",$G230=""),"Peso vacío"&amp;" · ","")&amp;IF(AND($S230="Macro",$G230&lt;&gt;"",OR(NOT(ISNUMBER($G230)),$G230&lt;=0,$G230&gt;1)),"Peso fuera de rango"&amp;" · ","")&amp;IF(AND($S230="Sub",$G230&lt;&gt;""),"Las subactividades no llevan peso"&amp;" · ","")&amp;IF(AND($S230="Macro",ABS(SUMIFS($G$5:$G$1000,$P$5:$P$1000,$P230,$S$5:$S$1000,"Macro")-1)&gt;0.0001),"Pesos del mes suman "&amp;TEXT(SUMIFS($G$5:$G$1000,$P$5:$P$1000,$P230,$S$5:$S$1000,"Macro"),"0%")&amp;" · ","")&amp;IF(AND(N($T230)&gt;0,COUNT($H230:$K230)&gt;0),"Con subactividades: deje vacías las semanas (se calculan solas)"&amp;" · ","")&amp;IF((COUNTIF($H230:$K230,"&gt;1")+COUNTIF($H230:$K230,"&lt;0")+COUNTA($H230:$K230)-COUNT($H230:$K230))&gt;0,"Avance fuera de rango 0-100%"&amp;" · ","")&amp;IF(OR(AND($I230&lt;&gt;"",$I230&lt;$H230),AND($J230&lt;&gt;"",$J230&lt;MAX($H230:$I230)),AND($K230&lt;&gt;"",$K230&lt;MAX($H230:$J230))),"Avance semanal decreciente"&amp;" · ","")&amp;IF(AND(ISNUMBER($F230),$F230&lt;FechaRef,N($L230)&lt;1),"Vencida"&amp;" · ","")&amp;IF(AND(ObsObligatoria="Sí",ISNUMBER($F230),$F230&lt;FechaRef,N($L230)&lt;1,$N230=""),"Vencida sin observación"&amp;" · ",""),LEN(IF(AND($S230="Macro",$B230=""),"Macroactividad vacía"&amp;" · ","")&amp;IF(AND($B230&lt;&gt;"",$C230&lt;&gt;""),"Escriba la subactividad en otra fila, debajo de su macroactividad"&amp;" · ","")&amp;IF(AND($S230="Sub",N($R230)=0),"Subactividad sin macroactividad arriba"&amp;" · ","")&amp;IF($D230="","Sin responsable"&amp;" · ","")&amp;IF($E230="","Sin fecha de inicio"&amp;" · ","")&amp;IF($F230="","Sin fecha límite"&amp;" · ","")&amp;IF(OR(AND($E230&lt;&gt;"",NOT(ISNUMBER($E230))),AND($F230&lt;&gt;"",NOT(ISNUMBER($F230)))),"Fecha no válida"&amp;" · ","")&amp;IF(AND(ISNUMBER($E230),ISNUMBER($F230),$E230&gt;$F230),"Inicio posterior a fecha límite"&amp;" · ","")&amp;IF(AND($S230="Macro",$G230=""),"Peso vacío"&amp;" · ","")&amp;IF(AND($S230="Macro",$G230&lt;&gt;"",OR(NOT(ISNUMBER($G230)),$G230&lt;=0,$G230&gt;1)),"Peso fuera de rango"&amp;" · ","")&amp;IF(AND($S230="Sub",$G230&lt;&gt;""),"Las subactividades no llevan peso"&amp;" · ","")&amp;IF(AND($S230="Macro",ABS(SUMIFS($G$5:$G$1000,$P$5:$P$1000,$P230,$S$5:$S$1000,"Macro")-1)&gt;0.0001),"Pesos del mes suman "&amp;TEXT(SUMIFS($G$5:$G$1000,$P$5:$P$1000,$P230,$S$5:$S$1000,"Macro"),"0%")&amp;" · ","")&amp;IF(AND(N($T230)&gt;0,COUNT($H230:$K230)&gt;0),"Con subactividades: deje vacías las semanas (se calculan solas)"&amp;" · ","")&amp;IF((COUNTIF($H230:$K230,"&gt;1")+COUNTIF($H230:$K230,"&lt;0")+COUNTA($H230:$K230)-COUNT($H230:$K230))&gt;0,"Avance fuera de rango 0-100%"&amp;" · ","")&amp;IF(OR(AND($I230&lt;&gt;"",$I230&lt;$H230),AND($J230&lt;&gt;"",$J230&lt;MAX($H230:$I230)),AND($K230&lt;&gt;"",$K230&lt;MAX($H230:$J230))),"Avance semanal decreciente"&amp;" · ","")&amp;IF(AND(ISNUMBER($F230),$F230&lt;FechaRef,N($L230)&lt;1),"Vencida"&amp;" · ","")&amp;IF(AND(ObsObligatoria="Sí",ISNUMBER($F230),$F230&lt;FechaRef,N($L230)&lt;1,$N230=""),"Vencida sin observación"&amp;" · ",""))-3)))</f>
        <v/>
      </c>
      <c r="P230" s="69">
        <f>IF(NOT((COUNTA($B230:$K230)+COUNTA($N230))&gt;0),"",IF(AND($S230="Sub",N($R230)&gt;0),IF(ISNUMBER(INDEX($E$5:$E$1000,$R230-4)),DATE(YEAR(INDEX($E$5:$E$1000,$R230-4)),MONTH(INDEX($E$5:$E$1000,$R230-4)),1),IF(ISNUMBER(INDEX($F$5:$F$1000,$R230-4)),DATE(YEAR(INDEX($F$5:$F$1000,$R230-4)),MONTH(INDEX($F$5:$F$1000,$R230-4)),1),MesCiclo)),IF(ISNUMBER($E230),DATE(YEAR($E230),MONTH($E230),1),IF(ISNUMBER($F230),DATE(YEAR($F230),MONTH($F230),1),MesCiclo))))</f>
        <v/>
      </c>
      <c r="Q230" s="70">
        <f>IF(OR($P230="",$P230&lt;&gt;MesCiclo),"",COUNTIF($P$5:$P230,MesCiclo))</f>
        <v/>
      </c>
      <c r="R230" s="70">
        <f>IF($S230="","",IF($S230="Macro",ROW(),IFERROR(LOOKUP(2,1/($S$5:$S230="Macro"),ROW($S$5:$S230)),0)))</f>
        <v/>
      </c>
      <c r="S230" s="70">
        <f>IF(NOT((COUNTA($B230:$K230)+COUNTA($N230))&gt;0),"",IF($B230&lt;&gt;"","Macro",IF($C230&lt;&gt;"","Sub","Macro")))</f>
        <v/>
      </c>
      <c r="T230" s="70">
        <f>IF($S230="Macro",COUNTIFS($R$5:$R$1000,ROW(),$S$5:$S$1000,"Sub"),"")</f>
        <v/>
      </c>
      <c r="U230" s="70">
        <f>IF($S230="","",IF(ISNUMBER($H230),$H230,0))</f>
        <v/>
      </c>
      <c r="V230" s="70">
        <f>IF($S230="","",IF(ISNUMBER($I230),$I230,$U230))</f>
        <v/>
      </c>
      <c r="W230" s="70">
        <f>IF($S230="","",IF(ISNUMBER($J230),$J230,$V230))</f>
        <v/>
      </c>
      <c r="X230" s="70">
        <f>IF($S230="","",IF(ISNUMBER($K230),$K230,$W230))</f>
        <v/>
      </c>
      <c r="Y230" s="70">
        <f>IF($S230="","",IF(N($T230)&gt;0,AVERAGEIFS($U$5:$U$1000,$R$5:$R$1000,ROW(),$S$5:$S$1000,"Sub"),$U230))</f>
        <v/>
      </c>
      <c r="Z230" s="70">
        <f>IF($S230="","",IF(N($T230)&gt;0,AVERAGEIFS($V$5:$V$1000,$R$5:$R$1000,ROW(),$S$5:$S$1000,"Sub"),$V230))</f>
        <v/>
      </c>
      <c r="AA230" s="70">
        <f>IF($S230="","",IF(N($T230)&gt;0,AVERAGEIFS($W$5:$W$1000,$R$5:$R$1000,ROW(),$S$5:$S$1000,"Sub"),$W230))</f>
        <v/>
      </c>
      <c r="AB230" s="70">
        <f>IF($S230="","",IF(N($T230)&gt;0,AVERAGEIFS($X$5:$X$1000,$R$5:$R$1000,ROW(),$S$5:$S$1000,"Sub"),$X230))</f>
        <v/>
      </c>
    </row>
    <row r="231">
      <c r="A231" s="61">
        <f>IF(NOT((COUNTA($B231:$K231)+COUNTA($N231))&gt;0),"",IF($S231="Macro",COUNTIFS($S$5:$S231,"Macro",$P$5:$P231,$P231),IF(N($R231)=0,"?",COUNTIFS(INDEX($S$5:$S$1000,1):INDEX($S$5:$S$1000,$R231-4),"Macro",INDEX($P$5:$P$1000,1):INDEX($P$5:$P$1000,$R231-4),INDEX($P$5:$P$1000,$R231-4))&amp;"."&amp;COUNTIFS($R$5:$R231,$R231,$S$5:$S231,"Sub"))))</f>
        <v/>
      </c>
      <c r="B231" s="62" t="n"/>
      <c r="C231" s="63" t="n"/>
      <c r="D231" s="62" t="n"/>
      <c r="E231" s="64" t="n"/>
      <c r="F231" s="64" t="n"/>
      <c r="G231" s="65" t="n"/>
      <c r="H231" s="66" t="n"/>
      <c r="I231" s="66" t="n"/>
      <c r="J231" s="66" t="n"/>
      <c r="K231" s="66" t="n"/>
      <c r="L231" s="67">
        <f>IF(NOT((COUNTA($B231:$K231)+COUNTA($N231))&gt;0),"",IF(N($T231)&gt;0,$AB231,IFERROR(LOOKUP(2,1/(H231:K231&lt;&gt;""),H231:K231),0)))</f>
        <v/>
      </c>
      <c r="M231" s="61">
        <f>IF(L231="","",IF(L231&gt;=1,"Completado",IF(L231&gt;0,"En curso","Pendiente")))</f>
        <v/>
      </c>
      <c r="N231" s="62" t="n"/>
      <c r="O231" s="68">
        <f>IF(NOT((COUNTA($B231:$K231)+COUNTA($N231))&gt;0),"",IF((IF(AND($S231="Macro",$B231=""),"Macroactividad vacía"&amp;" · ","")&amp;IF(AND($B231&lt;&gt;"",$C231&lt;&gt;""),"Escriba la subactividad en otra fila, debajo de su macroactividad"&amp;" · ","")&amp;IF(AND($S231="Sub",N($R231)=0),"Subactividad sin macroactividad arriba"&amp;" · ","")&amp;IF($D231="","Sin responsable"&amp;" · ","")&amp;IF($E231="","Sin fecha de inicio"&amp;" · ","")&amp;IF($F231="","Sin fecha límite"&amp;" · ","")&amp;IF(OR(AND($E231&lt;&gt;"",NOT(ISNUMBER($E231))),AND($F231&lt;&gt;"",NOT(ISNUMBER($F231)))),"Fecha no válida"&amp;" · ","")&amp;IF(AND(ISNUMBER($E231),ISNUMBER($F231),$E231&gt;$F231),"Inicio posterior a fecha límite"&amp;" · ","")&amp;IF(AND($S231="Macro",$G231=""),"Peso vacío"&amp;" · ","")&amp;IF(AND($S231="Macro",$G231&lt;&gt;"",OR(NOT(ISNUMBER($G231)),$G231&lt;=0,$G231&gt;1)),"Peso fuera de rango"&amp;" · ","")&amp;IF(AND($S231="Sub",$G231&lt;&gt;""),"Las subactividades no llevan peso"&amp;" · ","")&amp;IF(AND($S231="Macro",ABS(SUMIFS($G$5:$G$1000,$P$5:$P$1000,$P231,$S$5:$S$1000,"Macro")-1)&gt;0.0001),"Pesos del mes suman "&amp;TEXT(SUMIFS($G$5:$G$1000,$P$5:$P$1000,$P231,$S$5:$S$1000,"Macro"),"0%")&amp;" · ","")&amp;IF(AND(N($T231)&gt;0,COUNT($H231:$K231)&gt;0),"Con subactividades: deje vacías las semanas (se calculan solas)"&amp;" · ","")&amp;IF((COUNTIF($H231:$K231,"&gt;1")+COUNTIF($H231:$K231,"&lt;0")+COUNTA($H231:$K231)-COUNT($H231:$K231))&gt;0,"Avance fuera de rango 0-100%"&amp;" · ","")&amp;IF(OR(AND($I231&lt;&gt;"",$I231&lt;$H231),AND($J231&lt;&gt;"",$J231&lt;MAX($H231:$I231)),AND($K231&lt;&gt;"",$K231&lt;MAX($H231:$J231))),"Avance semanal decreciente"&amp;" · ","")&amp;IF(AND(ISNUMBER($F231),$F231&lt;FechaRef,N($L231)&lt;1),"Vencida"&amp;" · ","")&amp;IF(AND(ObsObligatoria="Sí",ISNUMBER($F231),$F231&lt;FechaRef,N($L231)&lt;1,$N231=""),"Vencida sin observación"&amp;" · ",""))="","✔ OK","⚠ "&amp;LEFT(IF(AND($S231="Macro",$B231=""),"Macroactividad vacía"&amp;" · ","")&amp;IF(AND($B231&lt;&gt;"",$C231&lt;&gt;""),"Escriba la subactividad en otra fila, debajo de su macroactividad"&amp;" · ","")&amp;IF(AND($S231="Sub",N($R231)=0),"Subactividad sin macroactividad arriba"&amp;" · ","")&amp;IF($D231="","Sin responsable"&amp;" · ","")&amp;IF($E231="","Sin fecha de inicio"&amp;" · ","")&amp;IF($F231="","Sin fecha límite"&amp;" · ","")&amp;IF(OR(AND($E231&lt;&gt;"",NOT(ISNUMBER($E231))),AND($F231&lt;&gt;"",NOT(ISNUMBER($F231)))),"Fecha no válida"&amp;" · ","")&amp;IF(AND(ISNUMBER($E231),ISNUMBER($F231),$E231&gt;$F231),"Inicio posterior a fecha límite"&amp;" · ","")&amp;IF(AND($S231="Macro",$G231=""),"Peso vacío"&amp;" · ","")&amp;IF(AND($S231="Macro",$G231&lt;&gt;"",OR(NOT(ISNUMBER($G231)),$G231&lt;=0,$G231&gt;1)),"Peso fuera de rango"&amp;" · ","")&amp;IF(AND($S231="Sub",$G231&lt;&gt;""),"Las subactividades no llevan peso"&amp;" · ","")&amp;IF(AND($S231="Macro",ABS(SUMIFS($G$5:$G$1000,$P$5:$P$1000,$P231,$S$5:$S$1000,"Macro")-1)&gt;0.0001),"Pesos del mes suman "&amp;TEXT(SUMIFS($G$5:$G$1000,$P$5:$P$1000,$P231,$S$5:$S$1000,"Macro"),"0%")&amp;" · ","")&amp;IF(AND(N($T231)&gt;0,COUNT($H231:$K231)&gt;0),"Con subactividades: deje vacías las semanas (se calculan solas)"&amp;" · ","")&amp;IF((COUNTIF($H231:$K231,"&gt;1")+COUNTIF($H231:$K231,"&lt;0")+COUNTA($H231:$K231)-COUNT($H231:$K231))&gt;0,"Avance fuera de rango 0-100%"&amp;" · ","")&amp;IF(OR(AND($I231&lt;&gt;"",$I231&lt;$H231),AND($J231&lt;&gt;"",$J231&lt;MAX($H231:$I231)),AND($K231&lt;&gt;"",$K231&lt;MAX($H231:$J231))),"Avance semanal decreciente"&amp;" · ","")&amp;IF(AND(ISNUMBER($F231),$F231&lt;FechaRef,N($L231)&lt;1),"Vencida"&amp;" · ","")&amp;IF(AND(ObsObligatoria="Sí",ISNUMBER($F231),$F231&lt;FechaRef,N($L231)&lt;1,$N231=""),"Vencida sin observación"&amp;" · ",""),LEN(IF(AND($S231="Macro",$B231=""),"Macroactividad vacía"&amp;" · ","")&amp;IF(AND($B231&lt;&gt;"",$C231&lt;&gt;""),"Escriba la subactividad en otra fila, debajo de su macroactividad"&amp;" · ","")&amp;IF(AND($S231="Sub",N($R231)=0),"Subactividad sin macroactividad arriba"&amp;" · ","")&amp;IF($D231="","Sin responsable"&amp;" · ","")&amp;IF($E231="","Sin fecha de inicio"&amp;" · ","")&amp;IF($F231="","Sin fecha límite"&amp;" · ","")&amp;IF(OR(AND($E231&lt;&gt;"",NOT(ISNUMBER($E231))),AND($F231&lt;&gt;"",NOT(ISNUMBER($F231)))),"Fecha no válida"&amp;" · ","")&amp;IF(AND(ISNUMBER($E231),ISNUMBER($F231),$E231&gt;$F231),"Inicio posterior a fecha límite"&amp;" · ","")&amp;IF(AND($S231="Macro",$G231=""),"Peso vacío"&amp;" · ","")&amp;IF(AND($S231="Macro",$G231&lt;&gt;"",OR(NOT(ISNUMBER($G231)),$G231&lt;=0,$G231&gt;1)),"Peso fuera de rango"&amp;" · ","")&amp;IF(AND($S231="Sub",$G231&lt;&gt;""),"Las subactividades no llevan peso"&amp;" · ","")&amp;IF(AND($S231="Macro",ABS(SUMIFS($G$5:$G$1000,$P$5:$P$1000,$P231,$S$5:$S$1000,"Macro")-1)&gt;0.0001),"Pesos del mes suman "&amp;TEXT(SUMIFS($G$5:$G$1000,$P$5:$P$1000,$P231,$S$5:$S$1000,"Macro"),"0%")&amp;" · ","")&amp;IF(AND(N($T231)&gt;0,COUNT($H231:$K231)&gt;0),"Con subactividades: deje vacías las semanas (se calculan solas)"&amp;" · ","")&amp;IF((COUNTIF($H231:$K231,"&gt;1")+COUNTIF($H231:$K231,"&lt;0")+COUNTA($H231:$K231)-COUNT($H231:$K231))&gt;0,"Avance fuera de rango 0-100%"&amp;" · ","")&amp;IF(OR(AND($I231&lt;&gt;"",$I231&lt;$H231),AND($J231&lt;&gt;"",$J231&lt;MAX($H231:$I231)),AND($K231&lt;&gt;"",$K231&lt;MAX($H231:$J231))),"Avance semanal decreciente"&amp;" · ","")&amp;IF(AND(ISNUMBER($F231),$F231&lt;FechaRef,N($L231)&lt;1),"Vencida"&amp;" · ","")&amp;IF(AND(ObsObligatoria="Sí",ISNUMBER($F231),$F231&lt;FechaRef,N($L231)&lt;1,$N231=""),"Vencida sin observación"&amp;" · ",""))-3)))</f>
        <v/>
      </c>
      <c r="P231" s="69">
        <f>IF(NOT((COUNTA($B231:$K231)+COUNTA($N231))&gt;0),"",IF(AND($S231="Sub",N($R231)&gt;0),IF(ISNUMBER(INDEX($E$5:$E$1000,$R231-4)),DATE(YEAR(INDEX($E$5:$E$1000,$R231-4)),MONTH(INDEX($E$5:$E$1000,$R231-4)),1),IF(ISNUMBER(INDEX($F$5:$F$1000,$R231-4)),DATE(YEAR(INDEX($F$5:$F$1000,$R231-4)),MONTH(INDEX($F$5:$F$1000,$R231-4)),1),MesCiclo)),IF(ISNUMBER($E231),DATE(YEAR($E231),MONTH($E231),1),IF(ISNUMBER($F231),DATE(YEAR($F231),MONTH($F231),1),MesCiclo))))</f>
        <v/>
      </c>
      <c r="Q231" s="70">
        <f>IF(OR($P231="",$P231&lt;&gt;MesCiclo),"",COUNTIF($P$5:$P231,MesCiclo))</f>
        <v/>
      </c>
      <c r="R231" s="70">
        <f>IF($S231="","",IF($S231="Macro",ROW(),IFERROR(LOOKUP(2,1/($S$5:$S231="Macro"),ROW($S$5:$S231)),0)))</f>
        <v/>
      </c>
      <c r="S231" s="70">
        <f>IF(NOT((COUNTA($B231:$K231)+COUNTA($N231))&gt;0),"",IF($B231&lt;&gt;"","Macro",IF($C231&lt;&gt;"","Sub","Macro")))</f>
        <v/>
      </c>
      <c r="T231" s="70">
        <f>IF($S231="Macro",COUNTIFS($R$5:$R$1000,ROW(),$S$5:$S$1000,"Sub"),"")</f>
        <v/>
      </c>
      <c r="U231" s="70">
        <f>IF($S231="","",IF(ISNUMBER($H231),$H231,0))</f>
        <v/>
      </c>
      <c r="V231" s="70">
        <f>IF($S231="","",IF(ISNUMBER($I231),$I231,$U231))</f>
        <v/>
      </c>
      <c r="W231" s="70">
        <f>IF($S231="","",IF(ISNUMBER($J231),$J231,$V231))</f>
        <v/>
      </c>
      <c r="X231" s="70">
        <f>IF($S231="","",IF(ISNUMBER($K231),$K231,$W231))</f>
        <v/>
      </c>
      <c r="Y231" s="70">
        <f>IF($S231="","",IF(N($T231)&gt;0,AVERAGEIFS($U$5:$U$1000,$R$5:$R$1000,ROW(),$S$5:$S$1000,"Sub"),$U231))</f>
        <v/>
      </c>
      <c r="Z231" s="70">
        <f>IF($S231="","",IF(N($T231)&gt;0,AVERAGEIFS($V$5:$V$1000,$R$5:$R$1000,ROW(),$S$5:$S$1000,"Sub"),$V231))</f>
        <v/>
      </c>
      <c r="AA231" s="70">
        <f>IF($S231="","",IF(N($T231)&gt;0,AVERAGEIFS($W$5:$W$1000,$R$5:$R$1000,ROW(),$S$5:$S$1000,"Sub"),$W231))</f>
        <v/>
      </c>
      <c r="AB231" s="70">
        <f>IF($S231="","",IF(N($T231)&gt;0,AVERAGEIFS($X$5:$X$1000,$R$5:$R$1000,ROW(),$S$5:$S$1000,"Sub"),$X231))</f>
        <v/>
      </c>
    </row>
    <row r="232">
      <c r="A232" s="61">
        <f>IF(NOT((COUNTA($B232:$K232)+COUNTA($N232))&gt;0),"",IF($S232="Macro",COUNTIFS($S$5:$S232,"Macro",$P$5:$P232,$P232),IF(N($R232)=0,"?",COUNTIFS(INDEX($S$5:$S$1000,1):INDEX($S$5:$S$1000,$R232-4),"Macro",INDEX($P$5:$P$1000,1):INDEX($P$5:$P$1000,$R232-4),INDEX($P$5:$P$1000,$R232-4))&amp;"."&amp;COUNTIFS($R$5:$R232,$R232,$S$5:$S232,"Sub"))))</f>
        <v/>
      </c>
      <c r="B232" s="62" t="n"/>
      <c r="C232" s="63" t="n"/>
      <c r="D232" s="62" t="n"/>
      <c r="E232" s="64" t="n"/>
      <c r="F232" s="64" t="n"/>
      <c r="G232" s="65" t="n"/>
      <c r="H232" s="66" t="n"/>
      <c r="I232" s="66" t="n"/>
      <c r="J232" s="66" t="n"/>
      <c r="K232" s="66" t="n"/>
      <c r="L232" s="67">
        <f>IF(NOT((COUNTA($B232:$K232)+COUNTA($N232))&gt;0),"",IF(N($T232)&gt;0,$AB232,IFERROR(LOOKUP(2,1/(H232:K232&lt;&gt;""),H232:K232),0)))</f>
        <v/>
      </c>
      <c r="M232" s="61">
        <f>IF(L232="","",IF(L232&gt;=1,"Completado",IF(L232&gt;0,"En curso","Pendiente")))</f>
        <v/>
      </c>
      <c r="N232" s="62" t="n"/>
      <c r="O232" s="68">
        <f>IF(NOT((COUNTA($B232:$K232)+COUNTA($N232))&gt;0),"",IF((IF(AND($S232="Macro",$B232=""),"Macroactividad vacía"&amp;" · ","")&amp;IF(AND($B232&lt;&gt;"",$C232&lt;&gt;""),"Escriba la subactividad en otra fila, debajo de su macroactividad"&amp;" · ","")&amp;IF(AND($S232="Sub",N($R232)=0),"Subactividad sin macroactividad arriba"&amp;" · ","")&amp;IF($D232="","Sin responsable"&amp;" · ","")&amp;IF($E232="","Sin fecha de inicio"&amp;" · ","")&amp;IF($F232="","Sin fecha límite"&amp;" · ","")&amp;IF(OR(AND($E232&lt;&gt;"",NOT(ISNUMBER($E232))),AND($F232&lt;&gt;"",NOT(ISNUMBER($F232)))),"Fecha no válida"&amp;" · ","")&amp;IF(AND(ISNUMBER($E232),ISNUMBER($F232),$E232&gt;$F232),"Inicio posterior a fecha límite"&amp;" · ","")&amp;IF(AND($S232="Macro",$G232=""),"Peso vacío"&amp;" · ","")&amp;IF(AND($S232="Macro",$G232&lt;&gt;"",OR(NOT(ISNUMBER($G232)),$G232&lt;=0,$G232&gt;1)),"Peso fuera de rango"&amp;" · ","")&amp;IF(AND($S232="Sub",$G232&lt;&gt;""),"Las subactividades no llevan peso"&amp;" · ","")&amp;IF(AND($S232="Macro",ABS(SUMIFS($G$5:$G$1000,$P$5:$P$1000,$P232,$S$5:$S$1000,"Macro")-1)&gt;0.0001),"Pesos del mes suman "&amp;TEXT(SUMIFS($G$5:$G$1000,$P$5:$P$1000,$P232,$S$5:$S$1000,"Macro"),"0%")&amp;" · ","")&amp;IF(AND(N($T232)&gt;0,COUNT($H232:$K232)&gt;0),"Con subactividades: deje vacías las semanas (se calculan solas)"&amp;" · ","")&amp;IF((COUNTIF($H232:$K232,"&gt;1")+COUNTIF($H232:$K232,"&lt;0")+COUNTA($H232:$K232)-COUNT($H232:$K232))&gt;0,"Avance fuera de rango 0-100%"&amp;" · ","")&amp;IF(OR(AND($I232&lt;&gt;"",$I232&lt;$H232),AND($J232&lt;&gt;"",$J232&lt;MAX($H232:$I232)),AND($K232&lt;&gt;"",$K232&lt;MAX($H232:$J232))),"Avance semanal decreciente"&amp;" · ","")&amp;IF(AND(ISNUMBER($F232),$F232&lt;FechaRef,N($L232)&lt;1),"Vencida"&amp;" · ","")&amp;IF(AND(ObsObligatoria="Sí",ISNUMBER($F232),$F232&lt;FechaRef,N($L232)&lt;1,$N232=""),"Vencida sin observación"&amp;" · ",""))="","✔ OK","⚠ "&amp;LEFT(IF(AND($S232="Macro",$B232=""),"Macroactividad vacía"&amp;" · ","")&amp;IF(AND($B232&lt;&gt;"",$C232&lt;&gt;""),"Escriba la subactividad en otra fila, debajo de su macroactividad"&amp;" · ","")&amp;IF(AND($S232="Sub",N($R232)=0),"Subactividad sin macroactividad arriba"&amp;" · ","")&amp;IF($D232="","Sin responsable"&amp;" · ","")&amp;IF($E232="","Sin fecha de inicio"&amp;" · ","")&amp;IF($F232="","Sin fecha límite"&amp;" · ","")&amp;IF(OR(AND($E232&lt;&gt;"",NOT(ISNUMBER($E232))),AND($F232&lt;&gt;"",NOT(ISNUMBER($F232)))),"Fecha no válida"&amp;" · ","")&amp;IF(AND(ISNUMBER($E232),ISNUMBER($F232),$E232&gt;$F232),"Inicio posterior a fecha límite"&amp;" · ","")&amp;IF(AND($S232="Macro",$G232=""),"Peso vacío"&amp;" · ","")&amp;IF(AND($S232="Macro",$G232&lt;&gt;"",OR(NOT(ISNUMBER($G232)),$G232&lt;=0,$G232&gt;1)),"Peso fuera de rango"&amp;" · ","")&amp;IF(AND($S232="Sub",$G232&lt;&gt;""),"Las subactividades no llevan peso"&amp;" · ","")&amp;IF(AND($S232="Macro",ABS(SUMIFS($G$5:$G$1000,$P$5:$P$1000,$P232,$S$5:$S$1000,"Macro")-1)&gt;0.0001),"Pesos del mes suman "&amp;TEXT(SUMIFS($G$5:$G$1000,$P$5:$P$1000,$P232,$S$5:$S$1000,"Macro"),"0%")&amp;" · ","")&amp;IF(AND(N($T232)&gt;0,COUNT($H232:$K232)&gt;0),"Con subactividades: deje vacías las semanas (se calculan solas)"&amp;" · ","")&amp;IF((COUNTIF($H232:$K232,"&gt;1")+COUNTIF($H232:$K232,"&lt;0")+COUNTA($H232:$K232)-COUNT($H232:$K232))&gt;0,"Avance fuera de rango 0-100%"&amp;" · ","")&amp;IF(OR(AND($I232&lt;&gt;"",$I232&lt;$H232),AND($J232&lt;&gt;"",$J232&lt;MAX($H232:$I232)),AND($K232&lt;&gt;"",$K232&lt;MAX($H232:$J232))),"Avance semanal decreciente"&amp;" · ","")&amp;IF(AND(ISNUMBER($F232),$F232&lt;FechaRef,N($L232)&lt;1),"Vencida"&amp;" · ","")&amp;IF(AND(ObsObligatoria="Sí",ISNUMBER($F232),$F232&lt;FechaRef,N($L232)&lt;1,$N232=""),"Vencida sin observación"&amp;" · ",""),LEN(IF(AND($S232="Macro",$B232=""),"Macroactividad vacía"&amp;" · ","")&amp;IF(AND($B232&lt;&gt;"",$C232&lt;&gt;""),"Escriba la subactividad en otra fila, debajo de su macroactividad"&amp;" · ","")&amp;IF(AND($S232="Sub",N($R232)=0),"Subactividad sin macroactividad arriba"&amp;" · ","")&amp;IF($D232="","Sin responsable"&amp;" · ","")&amp;IF($E232="","Sin fecha de inicio"&amp;" · ","")&amp;IF($F232="","Sin fecha límite"&amp;" · ","")&amp;IF(OR(AND($E232&lt;&gt;"",NOT(ISNUMBER($E232))),AND($F232&lt;&gt;"",NOT(ISNUMBER($F232)))),"Fecha no válida"&amp;" · ","")&amp;IF(AND(ISNUMBER($E232),ISNUMBER($F232),$E232&gt;$F232),"Inicio posterior a fecha límite"&amp;" · ","")&amp;IF(AND($S232="Macro",$G232=""),"Peso vacío"&amp;" · ","")&amp;IF(AND($S232="Macro",$G232&lt;&gt;"",OR(NOT(ISNUMBER($G232)),$G232&lt;=0,$G232&gt;1)),"Peso fuera de rango"&amp;" · ","")&amp;IF(AND($S232="Sub",$G232&lt;&gt;""),"Las subactividades no llevan peso"&amp;" · ","")&amp;IF(AND($S232="Macro",ABS(SUMIFS($G$5:$G$1000,$P$5:$P$1000,$P232,$S$5:$S$1000,"Macro")-1)&gt;0.0001),"Pesos del mes suman "&amp;TEXT(SUMIFS($G$5:$G$1000,$P$5:$P$1000,$P232,$S$5:$S$1000,"Macro"),"0%")&amp;" · ","")&amp;IF(AND(N($T232)&gt;0,COUNT($H232:$K232)&gt;0),"Con subactividades: deje vacías las semanas (se calculan solas)"&amp;" · ","")&amp;IF((COUNTIF($H232:$K232,"&gt;1")+COUNTIF($H232:$K232,"&lt;0")+COUNTA($H232:$K232)-COUNT($H232:$K232))&gt;0,"Avance fuera de rango 0-100%"&amp;" · ","")&amp;IF(OR(AND($I232&lt;&gt;"",$I232&lt;$H232),AND($J232&lt;&gt;"",$J232&lt;MAX($H232:$I232)),AND($K232&lt;&gt;"",$K232&lt;MAX($H232:$J232))),"Avance semanal decreciente"&amp;" · ","")&amp;IF(AND(ISNUMBER($F232),$F232&lt;FechaRef,N($L232)&lt;1),"Vencida"&amp;" · ","")&amp;IF(AND(ObsObligatoria="Sí",ISNUMBER($F232),$F232&lt;FechaRef,N($L232)&lt;1,$N232=""),"Vencida sin observación"&amp;" · ",""))-3)))</f>
        <v/>
      </c>
      <c r="P232" s="69">
        <f>IF(NOT((COUNTA($B232:$K232)+COUNTA($N232))&gt;0),"",IF(AND($S232="Sub",N($R232)&gt;0),IF(ISNUMBER(INDEX($E$5:$E$1000,$R232-4)),DATE(YEAR(INDEX($E$5:$E$1000,$R232-4)),MONTH(INDEX($E$5:$E$1000,$R232-4)),1),IF(ISNUMBER(INDEX($F$5:$F$1000,$R232-4)),DATE(YEAR(INDEX($F$5:$F$1000,$R232-4)),MONTH(INDEX($F$5:$F$1000,$R232-4)),1),MesCiclo)),IF(ISNUMBER($E232),DATE(YEAR($E232),MONTH($E232),1),IF(ISNUMBER($F232),DATE(YEAR($F232),MONTH($F232),1),MesCiclo))))</f>
        <v/>
      </c>
      <c r="Q232" s="70">
        <f>IF(OR($P232="",$P232&lt;&gt;MesCiclo),"",COUNTIF($P$5:$P232,MesCiclo))</f>
        <v/>
      </c>
      <c r="R232" s="70">
        <f>IF($S232="","",IF($S232="Macro",ROW(),IFERROR(LOOKUP(2,1/($S$5:$S232="Macro"),ROW($S$5:$S232)),0)))</f>
        <v/>
      </c>
      <c r="S232" s="70">
        <f>IF(NOT((COUNTA($B232:$K232)+COUNTA($N232))&gt;0),"",IF($B232&lt;&gt;"","Macro",IF($C232&lt;&gt;"","Sub","Macro")))</f>
        <v/>
      </c>
      <c r="T232" s="70">
        <f>IF($S232="Macro",COUNTIFS($R$5:$R$1000,ROW(),$S$5:$S$1000,"Sub"),"")</f>
        <v/>
      </c>
      <c r="U232" s="70">
        <f>IF($S232="","",IF(ISNUMBER($H232),$H232,0))</f>
        <v/>
      </c>
      <c r="V232" s="70">
        <f>IF($S232="","",IF(ISNUMBER($I232),$I232,$U232))</f>
        <v/>
      </c>
      <c r="W232" s="70">
        <f>IF($S232="","",IF(ISNUMBER($J232),$J232,$V232))</f>
        <v/>
      </c>
      <c r="X232" s="70">
        <f>IF($S232="","",IF(ISNUMBER($K232),$K232,$W232))</f>
        <v/>
      </c>
      <c r="Y232" s="70">
        <f>IF($S232="","",IF(N($T232)&gt;0,AVERAGEIFS($U$5:$U$1000,$R$5:$R$1000,ROW(),$S$5:$S$1000,"Sub"),$U232))</f>
        <v/>
      </c>
      <c r="Z232" s="70">
        <f>IF($S232="","",IF(N($T232)&gt;0,AVERAGEIFS($V$5:$V$1000,$R$5:$R$1000,ROW(),$S$5:$S$1000,"Sub"),$V232))</f>
        <v/>
      </c>
      <c r="AA232" s="70">
        <f>IF($S232="","",IF(N($T232)&gt;0,AVERAGEIFS($W$5:$W$1000,$R$5:$R$1000,ROW(),$S$5:$S$1000,"Sub"),$W232))</f>
        <v/>
      </c>
      <c r="AB232" s="70">
        <f>IF($S232="","",IF(N($T232)&gt;0,AVERAGEIFS($X$5:$X$1000,$R$5:$R$1000,ROW(),$S$5:$S$1000,"Sub"),$X232))</f>
        <v/>
      </c>
    </row>
    <row r="233">
      <c r="A233" s="61">
        <f>IF(NOT((COUNTA($B233:$K233)+COUNTA($N233))&gt;0),"",IF($S233="Macro",COUNTIFS($S$5:$S233,"Macro",$P$5:$P233,$P233),IF(N($R233)=0,"?",COUNTIFS(INDEX($S$5:$S$1000,1):INDEX($S$5:$S$1000,$R233-4),"Macro",INDEX($P$5:$P$1000,1):INDEX($P$5:$P$1000,$R233-4),INDEX($P$5:$P$1000,$R233-4))&amp;"."&amp;COUNTIFS($R$5:$R233,$R233,$S$5:$S233,"Sub"))))</f>
        <v/>
      </c>
      <c r="B233" s="62" t="n"/>
      <c r="C233" s="63" t="n"/>
      <c r="D233" s="62" t="n"/>
      <c r="E233" s="64" t="n"/>
      <c r="F233" s="64" t="n"/>
      <c r="G233" s="65" t="n"/>
      <c r="H233" s="66" t="n"/>
      <c r="I233" s="66" t="n"/>
      <c r="J233" s="66" t="n"/>
      <c r="K233" s="66" t="n"/>
      <c r="L233" s="67">
        <f>IF(NOT((COUNTA($B233:$K233)+COUNTA($N233))&gt;0),"",IF(N($T233)&gt;0,$AB233,IFERROR(LOOKUP(2,1/(H233:K233&lt;&gt;""),H233:K233),0)))</f>
        <v/>
      </c>
      <c r="M233" s="61">
        <f>IF(L233="","",IF(L233&gt;=1,"Completado",IF(L233&gt;0,"En curso","Pendiente")))</f>
        <v/>
      </c>
      <c r="N233" s="62" t="n"/>
      <c r="O233" s="68">
        <f>IF(NOT((COUNTA($B233:$K233)+COUNTA($N233))&gt;0),"",IF((IF(AND($S233="Macro",$B233=""),"Macroactividad vacía"&amp;" · ","")&amp;IF(AND($B233&lt;&gt;"",$C233&lt;&gt;""),"Escriba la subactividad en otra fila, debajo de su macroactividad"&amp;" · ","")&amp;IF(AND($S233="Sub",N($R233)=0),"Subactividad sin macroactividad arriba"&amp;" · ","")&amp;IF($D233="","Sin responsable"&amp;" · ","")&amp;IF($E233="","Sin fecha de inicio"&amp;" · ","")&amp;IF($F233="","Sin fecha límite"&amp;" · ","")&amp;IF(OR(AND($E233&lt;&gt;"",NOT(ISNUMBER($E233))),AND($F233&lt;&gt;"",NOT(ISNUMBER($F233)))),"Fecha no válida"&amp;" · ","")&amp;IF(AND(ISNUMBER($E233),ISNUMBER($F233),$E233&gt;$F233),"Inicio posterior a fecha límite"&amp;" · ","")&amp;IF(AND($S233="Macro",$G233=""),"Peso vacío"&amp;" · ","")&amp;IF(AND($S233="Macro",$G233&lt;&gt;"",OR(NOT(ISNUMBER($G233)),$G233&lt;=0,$G233&gt;1)),"Peso fuera de rango"&amp;" · ","")&amp;IF(AND($S233="Sub",$G233&lt;&gt;""),"Las subactividades no llevan peso"&amp;" · ","")&amp;IF(AND($S233="Macro",ABS(SUMIFS($G$5:$G$1000,$P$5:$P$1000,$P233,$S$5:$S$1000,"Macro")-1)&gt;0.0001),"Pesos del mes suman "&amp;TEXT(SUMIFS($G$5:$G$1000,$P$5:$P$1000,$P233,$S$5:$S$1000,"Macro"),"0%")&amp;" · ","")&amp;IF(AND(N($T233)&gt;0,COUNT($H233:$K233)&gt;0),"Con subactividades: deje vacías las semanas (se calculan solas)"&amp;" · ","")&amp;IF((COUNTIF($H233:$K233,"&gt;1")+COUNTIF($H233:$K233,"&lt;0")+COUNTA($H233:$K233)-COUNT($H233:$K233))&gt;0,"Avance fuera de rango 0-100%"&amp;" · ","")&amp;IF(OR(AND($I233&lt;&gt;"",$I233&lt;$H233),AND($J233&lt;&gt;"",$J233&lt;MAX($H233:$I233)),AND($K233&lt;&gt;"",$K233&lt;MAX($H233:$J233))),"Avance semanal decreciente"&amp;" · ","")&amp;IF(AND(ISNUMBER($F233),$F233&lt;FechaRef,N($L233)&lt;1),"Vencida"&amp;" · ","")&amp;IF(AND(ObsObligatoria="Sí",ISNUMBER($F233),$F233&lt;FechaRef,N($L233)&lt;1,$N233=""),"Vencida sin observación"&amp;" · ",""))="","✔ OK","⚠ "&amp;LEFT(IF(AND($S233="Macro",$B233=""),"Macroactividad vacía"&amp;" · ","")&amp;IF(AND($B233&lt;&gt;"",$C233&lt;&gt;""),"Escriba la subactividad en otra fila, debajo de su macroactividad"&amp;" · ","")&amp;IF(AND($S233="Sub",N($R233)=0),"Subactividad sin macroactividad arriba"&amp;" · ","")&amp;IF($D233="","Sin responsable"&amp;" · ","")&amp;IF($E233="","Sin fecha de inicio"&amp;" · ","")&amp;IF($F233="","Sin fecha límite"&amp;" · ","")&amp;IF(OR(AND($E233&lt;&gt;"",NOT(ISNUMBER($E233))),AND($F233&lt;&gt;"",NOT(ISNUMBER($F233)))),"Fecha no válida"&amp;" · ","")&amp;IF(AND(ISNUMBER($E233),ISNUMBER($F233),$E233&gt;$F233),"Inicio posterior a fecha límite"&amp;" · ","")&amp;IF(AND($S233="Macro",$G233=""),"Peso vacío"&amp;" · ","")&amp;IF(AND($S233="Macro",$G233&lt;&gt;"",OR(NOT(ISNUMBER($G233)),$G233&lt;=0,$G233&gt;1)),"Peso fuera de rango"&amp;" · ","")&amp;IF(AND($S233="Sub",$G233&lt;&gt;""),"Las subactividades no llevan peso"&amp;" · ","")&amp;IF(AND($S233="Macro",ABS(SUMIFS($G$5:$G$1000,$P$5:$P$1000,$P233,$S$5:$S$1000,"Macro")-1)&gt;0.0001),"Pesos del mes suman "&amp;TEXT(SUMIFS($G$5:$G$1000,$P$5:$P$1000,$P233,$S$5:$S$1000,"Macro"),"0%")&amp;" · ","")&amp;IF(AND(N($T233)&gt;0,COUNT($H233:$K233)&gt;0),"Con subactividades: deje vacías las semanas (se calculan solas)"&amp;" · ","")&amp;IF((COUNTIF($H233:$K233,"&gt;1")+COUNTIF($H233:$K233,"&lt;0")+COUNTA($H233:$K233)-COUNT($H233:$K233))&gt;0,"Avance fuera de rango 0-100%"&amp;" · ","")&amp;IF(OR(AND($I233&lt;&gt;"",$I233&lt;$H233),AND($J233&lt;&gt;"",$J233&lt;MAX($H233:$I233)),AND($K233&lt;&gt;"",$K233&lt;MAX($H233:$J233))),"Avance semanal decreciente"&amp;" · ","")&amp;IF(AND(ISNUMBER($F233),$F233&lt;FechaRef,N($L233)&lt;1),"Vencida"&amp;" · ","")&amp;IF(AND(ObsObligatoria="Sí",ISNUMBER($F233),$F233&lt;FechaRef,N($L233)&lt;1,$N233=""),"Vencida sin observación"&amp;" · ",""),LEN(IF(AND($S233="Macro",$B233=""),"Macroactividad vacía"&amp;" · ","")&amp;IF(AND($B233&lt;&gt;"",$C233&lt;&gt;""),"Escriba la subactividad en otra fila, debajo de su macroactividad"&amp;" · ","")&amp;IF(AND($S233="Sub",N($R233)=0),"Subactividad sin macroactividad arriba"&amp;" · ","")&amp;IF($D233="","Sin responsable"&amp;" · ","")&amp;IF($E233="","Sin fecha de inicio"&amp;" · ","")&amp;IF($F233="","Sin fecha límite"&amp;" · ","")&amp;IF(OR(AND($E233&lt;&gt;"",NOT(ISNUMBER($E233))),AND($F233&lt;&gt;"",NOT(ISNUMBER($F233)))),"Fecha no válida"&amp;" · ","")&amp;IF(AND(ISNUMBER($E233),ISNUMBER($F233),$E233&gt;$F233),"Inicio posterior a fecha límite"&amp;" · ","")&amp;IF(AND($S233="Macro",$G233=""),"Peso vacío"&amp;" · ","")&amp;IF(AND($S233="Macro",$G233&lt;&gt;"",OR(NOT(ISNUMBER($G233)),$G233&lt;=0,$G233&gt;1)),"Peso fuera de rango"&amp;" · ","")&amp;IF(AND($S233="Sub",$G233&lt;&gt;""),"Las subactividades no llevan peso"&amp;" · ","")&amp;IF(AND($S233="Macro",ABS(SUMIFS($G$5:$G$1000,$P$5:$P$1000,$P233,$S$5:$S$1000,"Macro")-1)&gt;0.0001),"Pesos del mes suman "&amp;TEXT(SUMIFS($G$5:$G$1000,$P$5:$P$1000,$P233,$S$5:$S$1000,"Macro"),"0%")&amp;" · ","")&amp;IF(AND(N($T233)&gt;0,COUNT($H233:$K233)&gt;0),"Con subactividades: deje vacías las semanas (se calculan solas)"&amp;" · ","")&amp;IF((COUNTIF($H233:$K233,"&gt;1")+COUNTIF($H233:$K233,"&lt;0")+COUNTA($H233:$K233)-COUNT($H233:$K233))&gt;0,"Avance fuera de rango 0-100%"&amp;" · ","")&amp;IF(OR(AND($I233&lt;&gt;"",$I233&lt;$H233),AND($J233&lt;&gt;"",$J233&lt;MAX($H233:$I233)),AND($K233&lt;&gt;"",$K233&lt;MAX($H233:$J233))),"Avance semanal decreciente"&amp;" · ","")&amp;IF(AND(ISNUMBER($F233),$F233&lt;FechaRef,N($L233)&lt;1),"Vencida"&amp;" · ","")&amp;IF(AND(ObsObligatoria="Sí",ISNUMBER($F233),$F233&lt;FechaRef,N($L233)&lt;1,$N233=""),"Vencida sin observación"&amp;" · ",""))-3)))</f>
        <v/>
      </c>
      <c r="P233" s="69">
        <f>IF(NOT((COUNTA($B233:$K233)+COUNTA($N233))&gt;0),"",IF(AND($S233="Sub",N($R233)&gt;0),IF(ISNUMBER(INDEX($E$5:$E$1000,$R233-4)),DATE(YEAR(INDEX($E$5:$E$1000,$R233-4)),MONTH(INDEX($E$5:$E$1000,$R233-4)),1),IF(ISNUMBER(INDEX($F$5:$F$1000,$R233-4)),DATE(YEAR(INDEX($F$5:$F$1000,$R233-4)),MONTH(INDEX($F$5:$F$1000,$R233-4)),1),MesCiclo)),IF(ISNUMBER($E233),DATE(YEAR($E233),MONTH($E233),1),IF(ISNUMBER($F233),DATE(YEAR($F233),MONTH($F233),1),MesCiclo))))</f>
        <v/>
      </c>
      <c r="Q233" s="70">
        <f>IF(OR($P233="",$P233&lt;&gt;MesCiclo),"",COUNTIF($P$5:$P233,MesCiclo))</f>
        <v/>
      </c>
      <c r="R233" s="70">
        <f>IF($S233="","",IF($S233="Macro",ROW(),IFERROR(LOOKUP(2,1/($S$5:$S233="Macro"),ROW($S$5:$S233)),0)))</f>
        <v/>
      </c>
      <c r="S233" s="70">
        <f>IF(NOT((COUNTA($B233:$K233)+COUNTA($N233))&gt;0),"",IF($B233&lt;&gt;"","Macro",IF($C233&lt;&gt;"","Sub","Macro")))</f>
        <v/>
      </c>
      <c r="T233" s="70">
        <f>IF($S233="Macro",COUNTIFS($R$5:$R$1000,ROW(),$S$5:$S$1000,"Sub"),"")</f>
        <v/>
      </c>
      <c r="U233" s="70">
        <f>IF($S233="","",IF(ISNUMBER($H233),$H233,0))</f>
        <v/>
      </c>
      <c r="V233" s="70">
        <f>IF($S233="","",IF(ISNUMBER($I233),$I233,$U233))</f>
        <v/>
      </c>
      <c r="W233" s="70">
        <f>IF($S233="","",IF(ISNUMBER($J233),$J233,$V233))</f>
        <v/>
      </c>
      <c r="X233" s="70">
        <f>IF($S233="","",IF(ISNUMBER($K233),$K233,$W233))</f>
        <v/>
      </c>
      <c r="Y233" s="70">
        <f>IF($S233="","",IF(N($T233)&gt;0,AVERAGEIFS($U$5:$U$1000,$R$5:$R$1000,ROW(),$S$5:$S$1000,"Sub"),$U233))</f>
        <v/>
      </c>
      <c r="Z233" s="70">
        <f>IF($S233="","",IF(N($T233)&gt;0,AVERAGEIFS($V$5:$V$1000,$R$5:$R$1000,ROW(),$S$5:$S$1000,"Sub"),$V233))</f>
        <v/>
      </c>
      <c r="AA233" s="70">
        <f>IF($S233="","",IF(N($T233)&gt;0,AVERAGEIFS($W$5:$W$1000,$R$5:$R$1000,ROW(),$S$5:$S$1000,"Sub"),$W233))</f>
        <v/>
      </c>
      <c r="AB233" s="70">
        <f>IF($S233="","",IF(N($T233)&gt;0,AVERAGEIFS($X$5:$X$1000,$R$5:$R$1000,ROW(),$S$5:$S$1000,"Sub"),$X233))</f>
        <v/>
      </c>
    </row>
    <row r="234">
      <c r="A234" s="61">
        <f>IF(NOT((COUNTA($B234:$K234)+COUNTA($N234))&gt;0),"",IF($S234="Macro",COUNTIFS($S$5:$S234,"Macro",$P$5:$P234,$P234),IF(N($R234)=0,"?",COUNTIFS(INDEX($S$5:$S$1000,1):INDEX($S$5:$S$1000,$R234-4),"Macro",INDEX($P$5:$P$1000,1):INDEX($P$5:$P$1000,$R234-4),INDEX($P$5:$P$1000,$R234-4))&amp;"."&amp;COUNTIFS($R$5:$R234,$R234,$S$5:$S234,"Sub"))))</f>
        <v/>
      </c>
      <c r="B234" s="62" t="n"/>
      <c r="C234" s="63" t="n"/>
      <c r="D234" s="62" t="n"/>
      <c r="E234" s="64" t="n"/>
      <c r="F234" s="64" t="n"/>
      <c r="G234" s="65" t="n"/>
      <c r="H234" s="66" t="n"/>
      <c r="I234" s="66" t="n"/>
      <c r="J234" s="66" t="n"/>
      <c r="K234" s="66" t="n"/>
      <c r="L234" s="67">
        <f>IF(NOT((COUNTA($B234:$K234)+COUNTA($N234))&gt;0),"",IF(N($T234)&gt;0,$AB234,IFERROR(LOOKUP(2,1/(H234:K234&lt;&gt;""),H234:K234),0)))</f>
        <v/>
      </c>
      <c r="M234" s="61">
        <f>IF(L234="","",IF(L234&gt;=1,"Completado",IF(L234&gt;0,"En curso","Pendiente")))</f>
        <v/>
      </c>
      <c r="N234" s="62" t="n"/>
      <c r="O234" s="68">
        <f>IF(NOT((COUNTA($B234:$K234)+COUNTA($N234))&gt;0),"",IF((IF(AND($S234="Macro",$B234=""),"Macroactividad vacía"&amp;" · ","")&amp;IF(AND($B234&lt;&gt;"",$C234&lt;&gt;""),"Escriba la subactividad en otra fila, debajo de su macroactividad"&amp;" · ","")&amp;IF(AND($S234="Sub",N($R234)=0),"Subactividad sin macroactividad arriba"&amp;" · ","")&amp;IF($D234="","Sin responsable"&amp;" · ","")&amp;IF($E234="","Sin fecha de inicio"&amp;" · ","")&amp;IF($F234="","Sin fecha límite"&amp;" · ","")&amp;IF(OR(AND($E234&lt;&gt;"",NOT(ISNUMBER($E234))),AND($F234&lt;&gt;"",NOT(ISNUMBER($F234)))),"Fecha no válida"&amp;" · ","")&amp;IF(AND(ISNUMBER($E234),ISNUMBER($F234),$E234&gt;$F234),"Inicio posterior a fecha límite"&amp;" · ","")&amp;IF(AND($S234="Macro",$G234=""),"Peso vacío"&amp;" · ","")&amp;IF(AND($S234="Macro",$G234&lt;&gt;"",OR(NOT(ISNUMBER($G234)),$G234&lt;=0,$G234&gt;1)),"Peso fuera de rango"&amp;" · ","")&amp;IF(AND($S234="Sub",$G234&lt;&gt;""),"Las subactividades no llevan peso"&amp;" · ","")&amp;IF(AND($S234="Macro",ABS(SUMIFS($G$5:$G$1000,$P$5:$P$1000,$P234,$S$5:$S$1000,"Macro")-1)&gt;0.0001),"Pesos del mes suman "&amp;TEXT(SUMIFS($G$5:$G$1000,$P$5:$P$1000,$P234,$S$5:$S$1000,"Macro"),"0%")&amp;" · ","")&amp;IF(AND(N($T234)&gt;0,COUNT($H234:$K234)&gt;0),"Con subactividades: deje vacías las semanas (se calculan solas)"&amp;" · ","")&amp;IF((COUNTIF($H234:$K234,"&gt;1")+COUNTIF($H234:$K234,"&lt;0")+COUNTA($H234:$K234)-COUNT($H234:$K234))&gt;0,"Avance fuera de rango 0-100%"&amp;" · ","")&amp;IF(OR(AND($I234&lt;&gt;"",$I234&lt;$H234),AND($J234&lt;&gt;"",$J234&lt;MAX($H234:$I234)),AND($K234&lt;&gt;"",$K234&lt;MAX($H234:$J234))),"Avance semanal decreciente"&amp;" · ","")&amp;IF(AND(ISNUMBER($F234),$F234&lt;FechaRef,N($L234)&lt;1),"Vencida"&amp;" · ","")&amp;IF(AND(ObsObligatoria="Sí",ISNUMBER($F234),$F234&lt;FechaRef,N($L234)&lt;1,$N234=""),"Vencida sin observación"&amp;" · ",""))="","✔ OK","⚠ "&amp;LEFT(IF(AND($S234="Macro",$B234=""),"Macroactividad vacía"&amp;" · ","")&amp;IF(AND($B234&lt;&gt;"",$C234&lt;&gt;""),"Escriba la subactividad en otra fila, debajo de su macroactividad"&amp;" · ","")&amp;IF(AND($S234="Sub",N($R234)=0),"Subactividad sin macroactividad arriba"&amp;" · ","")&amp;IF($D234="","Sin responsable"&amp;" · ","")&amp;IF($E234="","Sin fecha de inicio"&amp;" · ","")&amp;IF($F234="","Sin fecha límite"&amp;" · ","")&amp;IF(OR(AND($E234&lt;&gt;"",NOT(ISNUMBER($E234))),AND($F234&lt;&gt;"",NOT(ISNUMBER($F234)))),"Fecha no válida"&amp;" · ","")&amp;IF(AND(ISNUMBER($E234),ISNUMBER($F234),$E234&gt;$F234),"Inicio posterior a fecha límite"&amp;" · ","")&amp;IF(AND($S234="Macro",$G234=""),"Peso vacío"&amp;" · ","")&amp;IF(AND($S234="Macro",$G234&lt;&gt;"",OR(NOT(ISNUMBER($G234)),$G234&lt;=0,$G234&gt;1)),"Peso fuera de rango"&amp;" · ","")&amp;IF(AND($S234="Sub",$G234&lt;&gt;""),"Las subactividades no llevan peso"&amp;" · ","")&amp;IF(AND($S234="Macro",ABS(SUMIFS($G$5:$G$1000,$P$5:$P$1000,$P234,$S$5:$S$1000,"Macro")-1)&gt;0.0001),"Pesos del mes suman "&amp;TEXT(SUMIFS($G$5:$G$1000,$P$5:$P$1000,$P234,$S$5:$S$1000,"Macro"),"0%")&amp;" · ","")&amp;IF(AND(N($T234)&gt;0,COUNT($H234:$K234)&gt;0),"Con subactividades: deje vacías las semanas (se calculan solas)"&amp;" · ","")&amp;IF((COUNTIF($H234:$K234,"&gt;1")+COUNTIF($H234:$K234,"&lt;0")+COUNTA($H234:$K234)-COUNT($H234:$K234))&gt;0,"Avance fuera de rango 0-100%"&amp;" · ","")&amp;IF(OR(AND($I234&lt;&gt;"",$I234&lt;$H234),AND($J234&lt;&gt;"",$J234&lt;MAX($H234:$I234)),AND($K234&lt;&gt;"",$K234&lt;MAX($H234:$J234))),"Avance semanal decreciente"&amp;" · ","")&amp;IF(AND(ISNUMBER($F234),$F234&lt;FechaRef,N($L234)&lt;1),"Vencida"&amp;" · ","")&amp;IF(AND(ObsObligatoria="Sí",ISNUMBER($F234),$F234&lt;FechaRef,N($L234)&lt;1,$N234=""),"Vencida sin observación"&amp;" · ",""),LEN(IF(AND($S234="Macro",$B234=""),"Macroactividad vacía"&amp;" · ","")&amp;IF(AND($B234&lt;&gt;"",$C234&lt;&gt;""),"Escriba la subactividad en otra fila, debajo de su macroactividad"&amp;" · ","")&amp;IF(AND($S234="Sub",N($R234)=0),"Subactividad sin macroactividad arriba"&amp;" · ","")&amp;IF($D234="","Sin responsable"&amp;" · ","")&amp;IF($E234="","Sin fecha de inicio"&amp;" · ","")&amp;IF($F234="","Sin fecha límite"&amp;" · ","")&amp;IF(OR(AND($E234&lt;&gt;"",NOT(ISNUMBER($E234))),AND($F234&lt;&gt;"",NOT(ISNUMBER($F234)))),"Fecha no válida"&amp;" · ","")&amp;IF(AND(ISNUMBER($E234),ISNUMBER($F234),$E234&gt;$F234),"Inicio posterior a fecha límite"&amp;" · ","")&amp;IF(AND($S234="Macro",$G234=""),"Peso vacío"&amp;" · ","")&amp;IF(AND($S234="Macro",$G234&lt;&gt;"",OR(NOT(ISNUMBER($G234)),$G234&lt;=0,$G234&gt;1)),"Peso fuera de rango"&amp;" · ","")&amp;IF(AND($S234="Sub",$G234&lt;&gt;""),"Las subactividades no llevan peso"&amp;" · ","")&amp;IF(AND($S234="Macro",ABS(SUMIFS($G$5:$G$1000,$P$5:$P$1000,$P234,$S$5:$S$1000,"Macro")-1)&gt;0.0001),"Pesos del mes suman "&amp;TEXT(SUMIFS($G$5:$G$1000,$P$5:$P$1000,$P234,$S$5:$S$1000,"Macro"),"0%")&amp;" · ","")&amp;IF(AND(N($T234)&gt;0,COUNT($H234:$K234)&gt;0),"Con subactividades: deje vacías las semanas (se calculan solas)"&amp;" · ","")&amp;IF((COUNTIF($H234:$K234,"&gt;1")+COUNTIF($H234:$K234,"&lt;0")+COUNTA($H234:$K234)-COUNT($H234:$K234))&gt;0,"Avance fuera de rango 0-100%"&amp;" · ","")&amp;IF(OR(AND($I234&lt;&gt;"",$I234&lt;$H234),AND($J234&lt;&gt;"",$J234&lt;MAX($H234:$I234)),AND($K234&lt;&gt;"",$K234&lt;MAX($H234:$J234))),"Avance semanal decreciente"&amp;" · ","")&amp;IF(AND(ISNUMBER($F234),$F234&lt;FechaRef,N($L234)&lt;1),"Vencida"&amp;" · ","")&amp;IF(AND(ObsObligatoria="Sí",ISNUMBER($F234),$F234&lt;FechaRef,N($L234)&lt;1,$N234=""),"Vencida sin observación"&amp;" · ",""))-3)))</f>
        <v/>
      </c>
      <c r="P234" s="69">
        <f>IF(NOT((COUNTA($B234:$K234)+COUNTA($N234))&gt;0),"",IF(AND($S234="Sub",N($R234)&gt;0),IF(ISNUMBER(INDEX($E$5:$E$1000,$R234-4)),DATE(YEAR(INDEX($E$5:$E$1000,$R234-4)),MONTH(INDEX($E$5:$E$1000,$R234-4)),1),IF(ISNUMBER(INDEX($F$5:$F$1000,$R234-4)),DATE(YEAR(INDEX($F$5:$F$1000,$R234-4)),MONTH(INDEX($F$5:$F$1000,$R234-4)),1),MesCiclo)),IF(ISNUMBER($E234),DATE(YEAR($E234),MONTH($E234),1),IF(ISNUMBER($F234),DATE(YEAR($F234),MONTH($F234),1),MesCiclo))))</f>
        <v/>
      </c>
      <c r="Q234" s="70">
        <f>IF(OR($P234="",$P234&lt;&gt;MesCiclo),"",COUNTIF($P$5:$P234,MesCiclo))</f>
        <v/>
      </c>
      <c r="R234" s="70">
        <f>IF($S234="","",IF($S234="Macro",ROW(),IFERROR(LOOKUP(2,1/($S$5:$S234="Macro"),ROW($S$5:$S234)),0)))</f>
        <v/>
      </c>
      <c r="S234" s="70">
        <f>IF(NOT((COUNTA($B234:$K234)+COUNTA($N234))&gt;0),"",IF($B234&lt;&gt;"","Macro",IF($C234&lt;&gt;"","Sub","Macro")))</f>
        <v/>
      </c>
      <c r="T234" s="70">
        <f>IF($S234="Macro",COUNTIFS($R$5:$R$1000,ROW(),$S$5:$S$1000,"Sub"),"")</f>
        <v/>
      </c>
      <c r="U234" s="70">
        <f>IF($S234="","",IF(ISNUMBER($H234),$H234,0))</f>
        <v/>
      </c>
      <c r="V234" s="70">
        <f>IF($S234="","",IF(ISNUMBER($I234),$I234,$U234))</f>
        <v/>
      </c>
      <c r="W234" s="70">
        <f>IF($S234="","",IF(ISNUMBER($J234),$J234,$V234))</f>
        <v/>
      </c>
      <c r="X234" s="70">
        <f>IF($S234="","",IF(ISNUMBER($K234),$K234,$W234))</f>
        <v/>
      </c>
      <c r="Y234" s="70">
        <f>IF($S234="","",IF(N($T234)&gt;0,AVERAGEIFS($U$5:$U$1000,$R$5:$R$1000,ROW(),$S$5:$S$1000,"Sub"),$U234))</f>
        <v/>
      </c>
      <c r="Z234" s="70">
        <f>IF($S234="","",IF(N($T234)&gt;0,AVERAGEIFS($V$5:$V$1000,$R$5:$R$1000,ROW(),$S$5:$S$1000,"Sub"),$V234))</f>
        <v/>
      </c>
      <c r="AA234" s="70">
        <f>IF($S234="","",IF(N($T234)&gt;0,AVERAGEIFS($W$5:$W$1000,$R$5:$R$1000,ROW(),$S$5:$S$1000,"Sub"),$W234))</f>
        <v/>
      </c>
      <c r="AB234" s="70">
        <f>IF($S234="","",IF(N($T234)&gt;0,AVERAGEIFS($X$5:$X$1000,$R$5:$R$1000,ROW(),$S$5:$S$1000,"Sub"),$X234))</f>
        <v/>
      </c>
    </row>
    <row r="235">
      <c r="A235" s="61">
        <f>IF(NOT((COUNTA($B235:$K235)+COUNTA($N235))&gt;0),"",IF($S235="Macro",COUNTIFS($S$5:$S235,"Macro",$P$5:$P235,$P235),IF(N($R235)=0,"?",COUNTIFS(INDEX($S$5:$S$1000,1):INDEX($S$5:$S$1000,$R235-4),"Macro",INDEX($P$5:$P$1000,1):INDEX($P$5:$P$1000,$R235-4),INDEX($P$5:$P$1000,$R235-4))&amp;"."&amp;COUNTIFS($R$5:$R235,$R235,$S$5:$S235,"Sub"))))</f>
        <v/>
      </c>
      <c r="B235" s="62" t="n"/>
      <c r="C235" s="63" t="n"/>
      <c r="D235" s="62" t="n"/>
      <c r="E235" s="64" t="n"/>
      <c r="F235" s="64" t="n"/>
      <c r="G235" s="65" t="n"/>
      <c r="H235" s="66" t="n"/>
      <c r="I235" s="66" t="n"/>
      <c r="J235" s="66" t="n"/>
      <c r="K235" s="66" t="n"/>
      <c r="L235" s="67">
        <f>IF(NOT((COUNTA($B235:$K235)+COUNTA($N235))&gt;0),"",IF(N($T235)&gt;0,$AB235,IFERROR(LOOKUP(2,1/(H235:K235&lt;&gt;""),H235:K235),0)))</f>
        <v/>
      </c>
      <c r="M235" s="61">
        <f>IF(L235="","",IF(L235&gt;=1,"Completado",IF(L235&gt;0,"En curso","Pendiente")))</f>
        <v/>
      </c>
      <c r="N235" s="62" t="n"/>
      <c r="O235" s="68">
        <f>IF(NOT((COUNTA($B235:$K235)+COUNTA($N235))&gt;0),"",IF((IF(AND($S235="Macro",$B235=""),"Macroactividad vacía"&amp;" · ","")&amp;IF(AND($B235&lt;&gt;"",$C235&lt;&gt;""),"Escriba la subactividad en otra fila, debajo de su macroactividad"&amp;" · ","")&amp;IF(AND($S235="Sub",N($R235)=0),"Subactividad sin macroactividad arriba"&amp;" · ","")&amp;IF($D235="","Sin responsable"&amp;" · ","")&amp;IF($E235="","Sin fecha de inicio"&amp;" · ","")&amp;IF($F235="","Sin fecha límite"&amp;" · ","")&amp;IF(OR(AND($E235&lt;&gt;"",NOT(ISNUMBER($E235))),AND($F235&lt;&gt;"",NOT(ISNUMBER($F235)))),"Fecha no válida"&amp;" · ","")&amp;IF(AND(ISNUMBER($E235),ISNUMBER($F235),$E235&gt;$F235),"Inicio posterior a fecha límite"&amp;" · ","")&amp;IF(AND($S235="Macro",$G235=""),"Peso vacío"&amp;" · ","")&amp;IF(AND($S235="Macro",$G235&lt;&gt;"",OR(NOT(ISNUMBER($G235)),$G235&lt;=0,$G235&gt;1)),"Peso fuera de rango"&amp;" · ","")&amp;IF(AND($S235="Sub",$G235&lt;&gt;""),"Las subactividades no llevan peso"&amp;" · ","")&amp;IF(AND($S235="Macro",ABS(SUMIFS($G$5:$G$1000,$P$5:$P$1000,$P235,$S$5:$S$1000,"Macro")-1)&gt;0.0001),"Pesos del mes suman "&amp;TEXT(SUMIFS($G$5:$G$1000,$P$5:$P$1000,$P235,$S$5:$S$1000,"Macro"),"0%")&amp;" · ","")&amp;IF(AND(N($T235)&gt;0,COUNT($H235:$K235)&gt;0),"Con subactividades: deje vacías las semanas (se calculan solas)"&amp;" · ","")&amp;IF((COUNTIF($H235:$K235,"&gt;1")+COUNTIF($H235:$K235,"&lt;0")+COUNTA($H235:$K235)-COUNT($H235:$K235))&gt;0,"Avance fuera de rango 0-100%"&amp;" · ","")&amp;IF(OR(AND($I235&lt;&gt;"",$I235&lt;$H235),AND($J235&lt;&gt;"",$J235&lt;MAX($H235:$I235)),AND($K235&lt;&gt;"",$K235&lt;MAX($H235:$J235))),"Avance semanal decreciente"&amp;" · ","")&amp;IF(AND(ISNUMBER($F235),$F235&lt;FechaRef,N($L235)&lt;1),"Vencida"&amp;" · ","")&amp;IF(AND(ObsObligatoria="Sí",ISNUMBER($F235),$F235&lt;FechaRef,N($L235)&lt;1,$N235=""),"Vencida sin observación"&amp;" · ",""))="","✔ OK","⚠ "&amp;LEFT(IF(AND($S235="Macro",$B235=""),"Macroactividad vacía"&amp;" · ","")&amp;IF(AND($B235&lt;&gt;"",$C235&lt;&gt;""),"Escriba la subactividad en otra fila, debajo de su macroactividad"&amp;" · ","")&amp;IF(AND($S235="Sub",N($R235)=0),"Subactividad sin macroactividad arriba"&amp;" · ","")&amp;IF($D235="","Sin responsable"&amp;" · ","")&amp;IF($E235="","Sin fecha de inicio"&amp;" · ","")&amp;IF($F235="","Sin fecha límite"&amp;" · ","")&amp;IF(OR(AND($E235&lt;&gt;"",NOT(ISNUMBER($E235))),AND($F235&lt;&gt;"",NOT(ISNUMBER($F235)))),"Fecha no válida"&amp;" · ","")&amp;IF(AND(ISNUMBER($E235),ISNUMBER($F235),$E235&gt;$F235),"Inicio posterior a fecha límite"&amp;" · ","")&amp;IF(AND($S235="Macro",$G235=""),"Peso vacío"&amp;" · ","")&amp;IF(AND($S235="Macro",$G235&lt;&gt;"",OR(NOT(ISNUMBER($G235)),$G235&lt;=0,$G235&gt;1)),"Peso fuera de rango"&amp;" · ","")&amp;IF(AND($S235="Sub",$G235&lt;&gt;""),"Las subactividades no llevan peso"&amp;" · ","")&amp;IF(AND($S235="Macro",ABS(SUMIFS($G$5:$G$1000,$P$5:$P$1000,$P235,$S$5:$S$1000,"Macro")-1)&gt;0.0001),"Pesos del mes suman "&amp;TEXT(SUMIFS($G$5:$G$1000,$P$5:$P$1000,$P235,$S$5:$S$1000,"Macro"),"0%")&amp;" · ","")&amp;IF(AND(N($T235)&gt;0,COUNT($H235:$K235)&gt;0),"Con subactividades: deje vacías las semanas (se calculan solas)"&amp;" · ","")&amp;IF((COUNTIF($H235:$K235,"&gt;1")+COUNTIF($H235:$K235,"&lt;0")+COUNTA($H235:$K235)-COUNT($H235:$K235))&gt;0,"Avance fuera de rango 0-100%"&amp;" · ","")&amp;IF(OR(AND($I235&lt;&gt;"",$I235&lt;$H235),AND($J235&lt;&gt;"",$J235&lt;MAX($H235:$I235)),AND($K235&lt;&gt;"",$K235&lt;MAX($H235:$J235))),"Avance semanal decreciente"&amp;" · ","")&amp;IF(AND(ISNUMBER($F235),$F235&lt;FechaRef,N($L235)&lt;1),"Vencida"&amp;" · ","")&amp;IF(AND(ObsObligatoria="Sí",ISNUMBER($F235),$F235&lt;FechaRef,N($L235)&lt;1,$N235=""),"Vencida sin observación"&amp;" · ",""),LEN(IF(AND($S235="Macro",$B235=""),"Macroactividad vacía"&amp;" · ","")&amp;IF(AND($B235&lt;&gt;"",$C235&lt;&gt;""),"Escriba la subactividad en otra fila, debajo de su macroactividad"&amp;" · ","")&amp;IF(AND($S235="Sub",N($R235)=0),"Subactividad sin macroactividad arriba"&amp;" · ","")&amp;IF($D235="","Sin responsable"&amp;" · ","")&amp;IF($E235="","Sin fecha de inicio"&amp;" · ","")&amp;IF($F235="","Sin fecha límite"&amp;" · ","")&amp;IF(OR(AND($E235&lt;&gt;"",NOT(ISNUMBER($E235))),AND($F235&lt;&gt;"",NOT(ISNUMBER($F235)))),"Fecha no válida"&amp;" · ","")&amp;IF(AND(ISNUMBER($E235),ISNUMBER($F235),$E235&gt;$F235),"Inicio posterior a fecha límite"&amp;" · ","")&amp;IF(AND($S235="Macro",$G235=""),"Peso vacío"&amp;" · ","")&amp;IF(AND($S235="Macro",$G235&lt;&gt;"",OR(NOT(ISNUMBER($G235)),$G235&lt;=0,$G235&gt;1)),"Peso fuera de rango"&amp;" · ","")&amp;IF(AND($S235="Sub",$G235&lt;&gt;""),"Las subactividades no llevan peso"&amp;" · ","")&amp;IF(AND($S235="Macro",ABS(SUMIFS($G$5:$G$1000,$P$5:$P$1000,$P235,$S$5:$S$1000,"Macro")-1)&gt;0.0001),"Pesos del mes suman "&amp;TEXT(SUMIFS($G$5:$G$1000,$P$5:$P$1000,$P235,$S$5:$S$1000,"Macro"),"0%")&amp;" · ","")&amp;IF(AND(N($T235)&gt;0,COUNT($H235:$K235)&gt;0),"Con subactividades: deje vacías las semanas (se calculan solas)"&amp;" · ","")&amp;IF((COUNTIF($H235:$K235,"&gt;1")+COUNTIF($H235:$K235,"&lt;0")+COUNTA($H235:$K235)-COUNT($H235:$K235))&gt;0,"Avance fuera de rango 0-100%"&amp;" · ","")&amp;IF(OR(AND($I235&lt;&gt;"",$I235&lt;$H235),AND($J235&lt;&gt;"",$J235&lt;MAX($H235:$I235)),AND($K235&lt;&gt;"",$K235&lt;MAX($H235:$J235))),"Avance semanal decreciente"&amp;" · ","")&amp;IF(AND(ISNUMBER($F235),$F235&lt;FechaRef,N($L235)&lt;1),"Vencida"&amp;" · ","")&amp;IF(AND(ObsObligatoria="Sí",ISNUMBER($F235),$F235&lt;FechaRef,N($L235)&lt;1,$N235=""),"Vencida sin observación"&amp;" · ",""))-3)))</f>
        <v/>
      </c>
      <c r="P235" s="69">
        <f>IF(NOT((COUNTA($B235:$K235)+COUNTA($N235))&gt;0),"",IF(AND($S235="Sub",N($R235)&gt;0),IF(ISNUMBER(INDEX($E$5:$E$1000,$R235-4)),DATE(YEAR(INDEX($E$5:$E$1000,$R235-4)),MONTH(INDEX($E$5:$E$1000,$R235-4)),1),IF(ISNUMBER(INDEX($F$5:$F$1000,$R235-4)),DATE(YEAR(INDEX($F$5:$F$1000,$R235-4)),MONTH(INDEX($F$5:$F$1000,$R235-4)),1),MesCiclo)),IF(ISNUMBER($E235),DATE(YEAR($E235),MONTH($E235),1),IF(ISNUMBER($F235),DATE(YEAR($F235),MONTH($F235),1),MesCiclo))))</f>
        <v/>
      </c>
      <c r="Q235" s="70">
        <f>IF(OR($P235="",$P235&lt;&gt;MesCiclo),"",COUNTIF($P$5:$P235,MesCiclo))</f>
        <v/>
      </c>
      <c r="R235" s="70">
        <f>IF($S235="","",IF($S235="Macro",ROW(),IFERROR(LOOKUP(2,1/($S$5:$S235="Macro"),ROW($S$5:$S235)),0)))</f>
        <v/>
      </c>
      <c r="S235" s="70">
        <f>IF(NOT((COUNTA($B235:$K235)+COUNTA($N235))&gt;0),"",IF($B235&lt;&gt;"","Macro",IF($C235&lt;&gt;"","Sub","Macro")))</f>
        <v/>
      </c>
      <c r="T235" s="70">
        <f>IF($S235="Macro",COUNTIFS($R$5:$R$1000,ROW(),$S$5:$S$1000,"Sub"),"")</f>
        <v/>
      </c>
      <c r="U235" s="70">
        <f>IF($S235="","",IF(ISNUMBER($H235),$H235,0))</f>
        <v/>
      </c>
      <c r="V235" s="70">
        <f>IF($S235="","",IF(ISNUMBER($I235),$I235,$U235))</f>
        <v/>
      </c>
      <c r="W235" s="70">
        <f>IF($S235="","",IF(ISNUMBER($J235),$J235,$V235))</f>
        <v/>
      </c>
      <c r="X235" s="70">
        <f>IF($S235="","",IF(ISNUMBER($K235),$K235,$W235))</f>
        <v/>
      </c>
      <c r="Y235" s="70">
        <f>IF($S235="","",IF(N($T235)&gt;0,AVERAGEIFS($U$5:$U$1000,$R$5:$R$1000,ROW(),$S$5:$S$1000,"Sub"),$U235))</f>
        <v/>
      </c>
      <c r="Z235" s="70">
        <f>IF($S235="","",IF(N($T235)&gt;0,AVERAGEIFS($V$5:$V$1000,$R$5:$R$1000,ROW(),$S$5:$S$1000,"Sub"),$V235))</f>
        <v/>
      </c>
      <c r="AA235" s="70">
        <f>IF($S235="","",IF(N($T235)&gt;0,AVERAGEIFS($W$5:$W$1000,$R$5:$R$1000,ROW(),$S$5:$S$1000,"Sub"),$W235))</f>
        <v/>
      </c>
      <c r="AB235" s="70">
        <f>IF($S235="","",IF(N($T235)&gt;0,AVERAGEIFS($X$5:$X$1000,$R$5:$R$1000,ROW(),$S$5:$S$1000,"Sub"),$X235))</f>
        <v/>
      </c>
    </row>
    <row r="236">
      <c r="A236" s="61">
        <f>IF(NOT((COUNTA($B236:$K236)+COUNTA($N236))&gt;0),"",IF($S236="Macro",COUNTIFS($S$5:$S236,"Macro",$P$5:$P236,$P236),IF(N($R236)=0,"?",COUNTIFS(INDEX($S$5:$S$1000,1):INDEX($S$5:$S$1000,$R236-4),"Macro",INDEX($P$5:$P$1000,1):INDEX($P$5:$P$1000,$R236-4),INDEX($P$5:$P$1000,$R236-4))&amp;"."&amp;COUNTIFS($R$5:$R236,$R236,$S$5:$S236,"Sub"))))</f>
        <v/>
      </c>
      <c r="B236" s="62" t="n"/>
      <c r="C236" s="63" t="n"/>
      <c r="D236" s="62" t="n"/>
      <c r="E236" s="64" t="n"/>
      <c r="F236" s="64" t="n"/>
      <c r="G236" s="65" t="n"/>
      <c r="H236" s="66" t="n"/>
      <c r="I236" s="66" t="n"/>
      <c r="J236" s="66" t="n"/>
      <c r="K236" s="66" t="n"/>
      <c r="L236" s="67">
        <f>IF(NOT((COUNTA($B236:$K236)+COUNTA($N236))&gt;0),"",IF(N($T236)&gt;0,$AB236,IFERROR(LOOKUP(2,1/(H236:K236&lt;&gt;""),H236:K236),0)))</f>
        <v/>
      </c>
      <c r="M236" s="61">
        <f>IF(L236="","",IF(L236&gt;=1,"Completado",IF(L236&gt;0,"En curso","Pendiente")))</f>
        <v/>
      </c>
      <c r="N236" s="62" t="n"/>
      <c r="O236" s="68">
        <f>IF(NOT((COUNTA($B236:$K236)+COUNTA($N236))&gt;0),"",IF((IF(AND($S236="Macro",$B236=""),"Macroactividad vacía"&amp;" · ","")&amp;IF(AND($B236&lt;&gt;"",$C236&lt;&gt;""),"Escriba la subactividad en otra fila, debajo de su macroactividad"&amp;" · ","")&amp;IF(AND($S236="Sub",N($R236)=0),"Subactividad sin macroactividad arriba"&amp;" · ","")&amp;IF($D236="","Sin responsable"&amp;" · ","")&amp;IF($E236="","Sin fecha de inicio"&amp;" · ","")&amp;IF($F236="","Sin fecha límite"&amp;" · ","")&amp;IF(OR(AND($E236&lt;&gt;"",NOT(ISNUMBER($E236))),AND($F236&lt;&gt;"",NOT(ISNUMBER($F236)))),"Fecha no válida"&amp;" · ","")&amp;IF(AND(ISNUMBER($E236),ISNUMBER($F236),$E236&gt;$F236),"Inicio posterior a fecha límite"&amp;" · ","")&amp;IF(AND($S236="Macro",$G236=""),"Peso vacío"&amp;" · ","")&amp;IF(AND($S236="Macro",$G236&lt;&gt;"",OR(NOT(ISNUMBER($G236)),$G236&lt;=0,$G236&gt;1)),"Peso fuera de rango"&amp;" · ","")&amp;IF(AND($S236="Sub",$G236&lt;&gt;""),"Las subactividades no llevan peso"&amp;" · ","")&amp;IF(AND($S236="Macro",ABS(SUMIFS($G$5:$G$1000,$P$5:$P$1000,$P236,$S$5:$S$1000,"Macro")-1)&gt;0.0001),"Pesos del mes suman "&amp;TEXT(SUMIFS($G$5:$G$1000,$P$5:$P$1000,$P236,$S$5:$S$1000,"Macro"),"0%")&amp;" · ","")&amp;IF(AND(N($T236)&gt;0,COUNT($H236:$K236)&gt;0),"Con subactividades: deje vacías las semanas (se calculan solas)"&amp;" · ","")&amp;IF((COUNTIF($H236:$K236,"&gt;1")+COUNTIF($H236:$K236,"&lt;0")+COUNTA($H236:$K236)-COUNT($H236:$K236))&gt;0,"Avance fuera de rango 0-100%"&amp;" · ","")&amp;IF(OR(AND($I236&lt;&gt;"",$I236&lt;$H236),AND($J236&lt;&gt;"",$J236&lt;MAX($H236:$I236)),AND($K236&lt;&gt;"",$K236&lt;MAX($H236:$J236))),"Avance semanal decreciente"&amp;" · ","")&amp;IF(AND(ISNUMBER($F236),$F236&lt;FechaRef,N($L236)&lt;1),"Vencida"&amp;" · ","")&amp;IF(AND(ObsObligatoria="Sí",ISNUMBER($F236),$F236&lt;FechaRef,N($L236)&lt;1,$N236=""),"Vencida sin observación"&amp;" · ",""))="","✔ OK","⚠ "&amp;LEFT(IF(AND($S236="Macro",$B236=""),"Macroactividad vacía"&amp;" · ","")&amp;IF(AND($B236&lt;&gt;"",$C236&lt;&gt;""),"Escriba la subactividad en otra fila, debajo de su macroactividad"&amp;" · ","")&amp;IF(AND($S236="Sub",N($R236)=0),"Subactividad sin macroactividad arriba"&amp;" · ","")&amp;IF($D236="","Sin responsable"&amp;" · ","")&amp;IF($E236="","Sin fecha de inicio"&amp;" · ","")&amp;IF($F236="","Sin fecha límite"&amp;" · ","")&amp;IF(OR(AND($E236&lt;&gt;"",NOT(ISNUMBER($E236))),AND($F236&lt;&gt;"",NOT(ISNUMBER($F236)))),"Fecha no válida"&amp;" · ","")&amp;IF(AND(ISNUMBER($E236),ISNUMBER($F236),$E236&gt;$F236),"Inicio posterior a fecha límite"&amp;" · ","")&amp;IF(AND($S236="Macro",$G236=""),"Peso vacío"&amp;" · ","")&amp;IF(AND($S236="Macro",$G236&lt;&gt;"",OR(NOT(ISNUMBER($G236)),$G236&lt;=0,$G236&gt;1)),"Peso fuera de rango"&amp;" · ","")&amp;IF(AND($S236="Sub",$G236&lt;&gt;""),"Las subactividades no llevan peso"&amp;" · ","")&amp;IF(AND($S236="Macro",ABS(SUMIFS($G$5:$G$1000,$P$5:$P$1000,$P236,$S$5:$S$1000,"Macro")-1)&gt;0.0001),"Pesos del mes suman "&amp;TEXT(SUMIFS($G$5:$G$1000,$P$5:$P$1000,$P236,$S$5:$S$1000,"Macro"),"0%")&amp;" · ","")&amp;IF(AND(N($T236)&gt;0,COUNT($H236:$K236)&gt;0),"Con subactividades: deje vacías las semanas (se calculan solas)"&amp;" · ","")&amp;IF((COUNTIF($H236:$K236,"&gt;1")+COUNTIF($H236:$K236,"&lt;0")+COUNTA($H236:$K236)-COUNT($H236:$K236))&gt;0,"Avance fuera de rango 0-100%"&amp;" · ","")&amp;IF(OR(AND($I236&lt;&gt;"",$I236&lt;$H236),AND($J236&lt;&gt;"",$J236&lt;MAX($H236:$I236)),AND($K236&lt;&gt;"",$K236&lt;MAX($H236:$J236))),"Avance semanal decreciente"&amp;" · ","")&amp;IF(AND(ISNUMBER($F236),$F236&lt;FechaRef,N($L236)&lt;1),"Vencida"&amp;" · ","")&amp;IF(AND(ObsObligatoria="Sí",ISNUMBER($F236),$F236&lt;FechaRef,N($L236)&lt;1,$N236=""),"Vencida sin observación"&amp;" · ",""),LEN(IF(AND($S236="Macro",$B236=""),"Macroactividad vacía"&amp;" · ","")&amp;IF(AND($B236&lt;&gt;"",$C236&lt;&gt;""),"Escriba la subactividad en otra fila, debajo de su macroactividad"&amp;" · ","")&amp;IF(AND($S236="Sub",N($R236)=0),"Subactividad sin macroactividad arriba"&amp;" · ","")&amp;IF($D236="","Sin responsable"&amp;" · ","")&amp;IF($E236="","Sin fecha de inicio"&amp;" · ","")&amp;IF($F236="","Sin fecha límite"&amp;" · ","")&amp;IF(OR(AND($E236&lt;&gt;"",NOT(ISNUMBER($E236))),AND($F236&lt;&gt;"",NOT(ISNUMBER($F236)))),"Fecha no válida"&amp;" · ","")&amp;IF(AND(ISNUMBER($E236),ISNUMBER($F236),$E236&gt;$F236),"Inicio posterior a fecha límite"&amp;" · ","")&amp;IF(AND($S236="Macro",$G236=""),"Peso vacío"&amp;" · ","")&amp;IF(AND($S236="Macro",$G236&lt;&gt;"",OR(NOT(ISNUMBER($G236)),$G236&lt;=0,$G236&gt;1)),"Peso fuera de rango"&amp;" · ","")&amp;IF(AND($S236="Sub",$G236&lt;&gt;""),"Las subactividades no llevan peso"&amp;" · ","")&amp;IF(AND($S236="Macro",ABS(SUMIFS($G$5:$G$1000,$P$5:$P$1000,$P236,$S$5:$S$1000,"Macro")-1)&gt;0.0001),"Pesos del mes suman "&amp;TEXT(SUMIFS($G$5:$G$1000,$P$5:$P$1000,$P236,$S$5:$S$1000,"Macro"),"0%")&amp;" · ","")&amp;IF(AND(N($T236)&gt;0,COUNT($H236:$K236)&gt;0),"Con subactividades: deje vacías las semanas (se calculan solas)"&amp;" · ","")&amp;IF((COUNTIF($H236:$K236,"&gt;1")+COUNTIF($H236:$K236,"&lt;0")+COUNTA($H236:$K236)-COUNT($H236:$K236))&gt;0,"Avance fuera de rango 0-100%"&amp;" · ","")&amp;IF(OR(AND($I236&lt;&gt;"",$I236&lt;$H236),AND($J236&lt;&gt;"",$J236&lt;MAX($H236:$I236)),AND($K236&lt;&gt;"",$K236&lt;MAX($H236:$J236))),"Avance semanal decreciente"&amp;" · ","")&amp;IF(AND(ISNUMBER($F236),$F236&lt;FechaRef,N($L236)&lt;1),"Vencida"&amp;" · ","")&amp;IF(AND(ObsObligatoria="Sí",ISNUMBER($F236),$F236&lt;FechaRef,N($L236)&lt;1,$N236=""),"Vencida sin observación"&amp;" · ",""))-3)))</f>
        <v/>
      </c>
      <c r="P236" s="69">
        <f>IF(NOT((COUNTA($B236:$K236)+COUNTA($N236))&gt;0),"",IF(AND($S236="Sub",N($R236)&gt;0),IF(ISNUMBER(INDEX($E$5:$E$1000,$R236-4)),DATE(YEAR(INDEX($E$5:$E$1000,$R236-4)),MONTH(INDEX($E$5:$E$1000,$R236-4)),1),IF(ISNUMBER(INDEX($F$5:$F$1000,$R236-4)),DATE(YEAR(INDEX($F$5:$F$1000,$R236-4)),MONTH(INDEX($F$5:$F$1000,$R236-4)),1),MesCiclo)),IF(ISNUMBER($E236),DATE(YEAR($E236),MONTH($E236),1),IF(ISNUMBER($F236),DATE(YEAR($F236),MONTH($F236),1),MesCiclo))))</f>
        <v/>
      </c>
      <c r="Q236" s="70">
        <f>IF(OR($P236="",$P236&lt;&gt;MesCiclo),"",COUNTIF($P$5:$P236,MesCiclo))</f>
        <v/>
      </c>
      <c r="R236" s="70">
        <f>IF($S236="","",IF($S236="Macro",ROW(),IFERROR(LOOKUP(2,1/($S$5:$S236="Macro"),ROW($S$5:$S236)),0)))</f>
        <v/>
      </c>
      <c r="S236" s="70">
        <f>IF(NOT((COUNTA($B236:$K236)+COUNTA($N236))&gt;0),"",IF($B236&lt;&gt;"","Macro",IF($C236&lt;&gt;"","Sub","Macro")))</f>
        <v/>
      </c>
      <c r="T236" s="70">
        <f>IF($S236="Macro",COUNTIFS($R$5:$R$1000,ROW(),$S$5:$S$1000,"Sub"),"")</f>
        <v/>
      </c>
      <c r="U236" s="70">
        <f>IF($S236="","",IF(ISNUMBER($H236),$H236,0))</f>
        <v/>
      </c>
      <c r="V236" s="70">
        <f>IF($S236="","",IF(ISNUMBER($I236),$I236,$U236))</f>
        <v/>
      </c>
      <c r="W236" s="70">
        <f>IF($S236="","",IF(ISNUMBER($J236),$J236,$V236))</f>
        <v/>
      </c>
      <c r="X236" s="70">
        <f>IF($S236="","",IF(ISNUMBER($K236),$K236,$W236))</f>
        <v/>
      </c>
      <c r="Y236" s="70">
        <f>IF($S236="","",IF(N($T236)&gt;0,AVERAGEIFS($U$5:$U$1000,$R$5:$R$1000,ROW(),$S$5:$S$1000,"Sub"),$U236))</f>
        <v/>
      </c>
      <c r="Z236" s="70">
        <f>IF($S236="","",IF(N($T236)&gt;0,AVERAGEIFS($V$5:$V$1000,$R$5:$R$1000,ROW(),$S$5:$S$1000,"Sub"),$V236))</f>
        <v/>
      </c>
      <c r="AA236" s="70">
        <f>IF($S236="","",IF(N($T236)&gt;0,AVERAGEIFS($W$5:$W$1000,$R$5:$R$1000,ROW(),$S$5:$S$1000,"Sub"),$W236))</f>
        <v/>
      </c>
      <c r="AB236" s="70">
        <f>IF($S236="","",IF(N($T236)&gt;0,AVERAGEIFS($X$5:$X$1000,$R$5:$R$1000,ROW(),$S$5:$S$1000,"Sub"),$X236))</f>
        <v/>
      </c>
    </row>
    <row r="237">
      <c r="A237" s="61">
        <f>IF(NOT((COUNTA($B237:$K237)+COUNTA($N237))&gt;0),"",IF($S237="Macro",COUNTIFS($S$5:$S237,"Macro",$P$5:$P237,$P237),IF(N($R237)=0,"?",COUNTIFS(INDEX($S$5:$S$1000,1):INDEX($S$5:$S$1000,$R237-4),"Macro",INDEX($P$5:$P$1000,1):INDEX($P$5:$P$1000,$R237-4),INDEX($P$5:$P$1000,$R237-4))&amp;"."&amp;COUNTIFS($R$5:$R237,$R237,$S$5:$S237,"Sub"))))</f>
        <v/>
      </c>
      <c r="B237" s="62" t="n"/>
      <c r="C237" s="63" t="n"/>
      <c r="D237" s="62" t="n"/>
      <c r="E237" s="64" t="n"/>
      <c r="F237" s="64" t="n"/>
      <c r="G237" s="65" t="n"/>
      <c r="H237" s="66" t="n"/>
      <c r="I237" s="66" t="n"/>
      <c r="J237" s="66" t="n"/>
      <c r="K237" s="66" t="n"/>
      <c r="L237" s="67">
        <f>IF(NOT((COUNTA($B237:$K237)+COUNTA($N237))&gt;0),"",IF(N($T237)&gt;0,$AB237,IFERROR(LOOKUP(2,1/(H237:K237&lt;&gt;""),H237:K237),0)))</f>
        <v/>
      </c>
      <c r="M237" s="61">
        <f>IF(L237="","",IF(L237&gt;=1,"Completado",IF(L237&gt;0,"En curso","Pendiente")))</f>
        <v/>
      </c>
      <c r="N237" s="62" t="n"/>
      <c r="O237" s="68">
        <f>IF(NOT((COUNTA($B237:$K237)+COUNTA($N237))&gt;0),"",IF((IF(AND($S237="Macro",$B237=""),"Macroactividad vacía"&amp;" · ","")&amp;IF(AND($B237&lt;&gt;"",$C237&lt;&gt;""),"Escriba la subactividad en otra fila, debajo de su macroactividad"&amp;" · ","")&amp;IF(AND($S237="Sub",N($R237)=0),"Subactividad sin macroactividad arriba"&amp;" · ","")&amp;IF($D237="","Sin responsable"&amp;" · ","")&amp;IF($E237="","Sin fecha de inicio"&amp;" · ","")&amp;IF($F237="","Sin fecha límite"&amp;" · ","")&amp;IF(OR(AND($E237&lt;&gt;"",NOT(ISNUMBER($E237))),AND($F237&lt;&gt;"",NOT(ISNUMBER($F237)))),"Fecha no válida"&amp;" · ","")&amp;IF(AND(ISNUMBER($E237),ISNUMBER($F237),$E237&gt;$F237),"Inicio posterior a fecha límite"&amp;" · ","")&amp;IF(AND($S237="Macro",$G237=""),"Peso vacío"&amp;" · ","")&amp;IF(AND($S237="Macro",$G237&lt;&gt;"",OR(NOT(ISNUMBER($G237)),$G237&lt;=0,$G237&gt;1)),"Peso fuera de rango"&amp;" · ","")&amp;IF(AND($S237="Sub",$G237&lt;&gt;""),"Las subactividades no llevan peso"&amp;" · ","")&amp;IF(AND($S237="Macro",ABS(SUMIFS($G$5:$G$1000,$P$5:$P$1000,$P237,$S$5:$S$1000,"Macro")-1)&gt;0.0001),"Pesos del mes suman "&amp;TEXT(SUMIFS($G$5:$G$1000,$P$5:$P$1000,$P237,$S$5:$S$1000,"Macro"),"0%")&amp;" · ","")&amp;IF(AND(N($T237)&gt;0,COUNT($H237:$K237)&gt;0),"Con subactividades: deje vacías las semanas (se calculan solas)"&amp;" · ","")&amp;IF((COUNTIF($H237:$K237,"&gt;1")+COUNTIF($H237:$K237,"&lt;0")+COUNTA($H237:$K237)-COUNT($H237:$K237))&gt;0,"Avance fuera de rango 0-100%"&amp;" · ","")&amp;IF(OR(AND($I237&lt;&gt;"",$I237&lt;$H237),AND($J237&lt;&gt;"",$J237&lt;MAX($H237:$I237)),AND($K237&lt;&gt;"",$K237&lt;MAX($H237:$J237))),"Avance semanal decreciente"&amp;" · ","")&amp;IF(AND(ISNUMBER($F237),$F237&lt;FechaRef,N($L237)&lt;1),"Vencida"&amp;" · ","")&amp;IF(AND(ObsObligatoria="Sí",ISNUMBER($F237),$F237&lt;FechaRef,N($L237)&lt;1,$N237=""),"Vencida sin observación"&amp;" · ",""))="","✔ OK","⚠ "&amp;LEFT(IF(AND($S237="Macro",$B237=""),"Macroactividad vacía"&amp;" · ","")&amp;IF(AND($B237&lt;&gt;"",$C237&lt;&gt;""),"Escriba la subactividad en otra fila, debajo de su macroactividad"&amp;" · ","")&amp;IF(AND($S237="Sub",N($R237)=0),"Subactividad sin macroactividad arriba"&amp;" · ","")&amp;IF($D237="","Sin responsable"&amp;" · ","")&amp;IF($E237="","Sin fecha de inicio"&amp;" · ","")&amp;IF($F237="","Sin fecha límite"&amp;" · ","")&amp;IF(OR(AND($E237&lt;&gt;"",NOT(ISNUMBER($E237))),AND($F237&lt;&gt;"",NOT(ISNUMBER($F237)))),"Fecha no válida"&amp;" · ","")&amp;IF(AND(ISNUMBER($E237),ISNUMBER($F237),$E237&gt;$F237),"Inicio posterior a fecha límite"&amp;" · ","")&amp;IF(AND($S237="Macro",$G237=""),"Peso vacío"&amp;" · ","")&amp;IF(AND($S237="Macro",$G237&lt;&gt;"",OR(NOT(ISNUMBER($G237)),$G237&lt;=0,$G237&gt;1)),"Peso fuera de rango"&amp;" · ","")&amp;IF(AND($S237="Sub",$G237&lt;&gt;""),"Las subactividades no llevan peso"&amp;" · ","")&amp;IF(AND($S237="Macro",ABS(SUMIFS($G$5:$G$1000,$P$5:$P$1000,$P237,$S$5:$S$1000,"Macro")-1)&gt;0.0001),"Pesos del mes suman "&amp;TEXT(SUMIFS($G$5:$G$1000,$P$5:$P$1000,$P237,$S$5:$S$1000,"Macro"),"0%")&amp;" · ","")&amp;IF(AND(N($T237)&gt;0,COUNT($H237:$K237)&gt;0),"Con subactividades: deje vacías las semanas (se calculan solas)"&amp;" · ","")&amp;IF((COUNTIF($H237:$K237,"&gt;1")+COUNTIF($H237:$K237,"&lt;0")+COUNTA($H237:$K237)-COUNT($H237:$K237))&gt;0,"Avance fuera de rango 0-100%"&amp;" · ","")&amp;IF(OR(AND($I237&lt;&gt;"",$I237&lt;$H237),AND($J237&lt;&gt;"",$J237&lt;MAX($H237:$I237)),AND($K237&lt;&gt;"",$K237&lt;MAX($H237:$J237))),"Avance semanal decreciente"&amp;" · ","")&amp;IF(AND(ISNUMBER($F237),$F237&lt;FechaRef,N($L237)&lt;1),"Vencida"&amp;" · ","")&amp;IF(AND(ObsObligatoria="Sí",ISNUMBER($F237),$F237&lt;FechaRef,N($L237)&lt;1,$N237=""),"Vencida sin observación"&amp;" · ",""),LEN(IF(AND($S237="Macro",$B237=""),"Macroactividad vacía"&amp;" · ","")&amp;IF(AND($B237&lt;&gt;"",$C237&lt;&gt;""),"Escriba la subactividad en otra fila, debajo de su macroactividad"&amp;" · ","")&amp;IF(AND($S237="Sub",N($R237)=0),"Subactividad sin macroactividad arriba"&amp;" · ","")&amp;IF($D237="","Sin responsable"&amp;" · ","")&amp;IF($E237="","Sin fecha de inicio"&amp;" · ","")&amp;IF($F237="","Sin fecha límite"&amp;" · ","")&amp;IF(OR(AND($E237&lt;&gt;"",NOT(ISNUMBER($E237))),AND($F237&lt;&gt;"",NOT(ISNUMBER($F237)))),"Fecha no válida"&amp;" · ","")&amp;IF(AND(ISNUMBER($E237),ISNUMBER($F237),$E237&gt;$F237),"Inicio posterior a fecha límite"&amp;" · ","")&amp;IF(AND($S237="Macro",$G237=""),"Peso vacío"&amp;" · ","")&amp;IF(AND($S237="Macro",$G237&lt;&gt;"",OR(NOT(ISNUMBER($G237)),$G237&lt;=0,$G237&gt;1)),"Peso fuera de rango"&amp;" · ","")&amp;IF(AND($S237="Sub",$G237&lt;&gt;""),"Las subactividades no llevan peso"&amp;" · ","")&amp;IF(AND($S237="Macro",ABS(SUMIFS($G$5:$G$1000,$P$5:$P$1000,$P237,$S$5:$S$1000,"Macro")-1)&gt;0.0001),"Pesos del mes suman "&amp;TEXT(SUMIFS($G$5:$G$1000,$P$5:$P$1000,$P237,$S$5:$S$1000,"Macro"),"0%")&amp;" · ","")&amp;IF(AND(N($T237)&gt;0,COUNT($H237:$K237)&gt;0),"Con subactividades: deje vacías las semanas (se calculan solas)"&amp;" · ","")&amp;IF((COUNTIF($H237:$K237,"&gt;1")+COUNTIF($H237:$K237,"&lt;0")+COUNTA($H237:$K237)-COUNT($H237:$K237))&gt;0,"Avance fuera de rango 0-100%"&amp;" · ","")&amp;IF(OR(AND($I237&lt;&gt;"",$I237&lt;$H237),AND($J237&lt;&gt;"",$J237&lt;MAX($H237:$I237)),AND($K237&lt;&gt;"",$K237&lt;MAX($H237:$J237))),"Avance semanal decreciente"&amp;" · ","")&amp;IF(AND(ISNUMBER($F237),$F237&lt;FechaRef,N($L237)&lt;1),"Vencida"&amp;" · ","")&amp;IF(AND(ObsObligatoria="Sí",ISNUMBER($F237),$F237&lt;FechaRef,N($L237)&lt;1,$N237=""),"Vencida sin observación"&amp;" · ",""))-3)))</f>
        <v/>
      </c>
      <c r="P237" s="69">
        <f>IF(NOT((COUNTA($B237:$K237)+COUNTA($N237))&gt;0),"",IF(AND($S237="Sub",N($R237)&gt;0),IF(ISNUMBER(INDEX($E$5:$E$1000,$R237-4)),DATE(YEAR(INDEX($E$5:$E$1000,$R237-4)),MONTH(INDEX($E$5:$E$1000,$R237-4)),1),IF(ISNUMBER(INDEX($F$5:$F$1000,$R237-4)),DATE(YEAR(INDEX($F$5:$F$1000,$R237-4)),MONTH(INDEX($F$5:$F$1000,$R237-4)),1),MesCiclo)),IF(ISNUMBER($E237),DATE(YEAR($E237),MONTH($E237),1),IF(ISNUMBER($F237),DATE(YEAR($F237),MONTH($F237),1),MesCiclo))))</f>
        <v/>
      </c>
      <c r="Q237" s="70">
        <f>IF(OR($P237="",$P237&lt;&gt;MesCiclo),"",COUNTIF($P$5:$P237,MesCiclo))</f>
        <v/>
      </c>
      <c r="R237" s="70">
        <f>IF($S237="","",IF($S237="Macro",ROW(),IFERROR(LOOKUP(2,1/($S$5:$S237="Macro"),ROW($S$5:$S237)),0)))</f>
        <v/>
      </c>
      <c r="S237" s="70">
        <f>IF(NOT((COUNTA($B237:$K237)+COUNTA($N237))&gt;0),"",IF($B237&lt;&gt;"","Macro",IF($C237&lt;&gt;"","Sub","Macro")))</f>
        <v/>
      </c>
      <c r="T237" s="70">
        <f>IF($S237="Macro",COUNTIFS($R$5:$R$1000,ROW(),$S$5:$S$1000,"Sub"),"")</f>
        <v/>
      </c>
      <c r="U237" s="70">
        <f>IF($S237="","",IF(ISNUMBER($H237),$H237,0))</f>
        <v/>
      </c>
      <c r="V237" s="70">
        <f>IF($S237="","",IF(ISNUMBER($I237),$I237,$U237))</f>
        <v/>
      </c>
      <c r="W237" s="70">
        <f>IF($S237="","",IF(ISNUMBER($J237),$J237,$V237))</f>
        <v/>
      </c>
      <c r="X237" s="70">
        <f>IF($S237="","",IF(ISNUMBER($K237),$K237,$W237))</f>
        <v/>
      </c>
      <c r="Y237" s="70">
        <f>IF($S237="","",IF(N($T237)&gt;0,AVERAGEIFS($U$5:$U$1000,$R$5:$R$1000,ROW(),$S$5:$S$1000,"Sub"),$U237))</f>
        <v/>
      </c>
      <c r="Z237" s="70">
        <f>IF($S237="","",IF(N($T237)&gt;0,AVERAGEIFS($V$5:$V$1000,$R$5:$R$1000,ROW(),$S$5:$S$1000,"Sub"),$V237))</f>
        <v/>
      </c>
      <c r="AA237" s="70">
        <f>IF($S237="","",IF(N($T237)&gt;0,AVERAGEIFS($W$5:$W$1000,$R$5:$R$1000,ROW(),$S$5:$S$1000,"Sub"),$W237))</f>
        <v/>
      </c>
      <c r="AB237" s="70">
        <f>IF($S237="","",IF(N($T237)&gt;0,AVERAGEIFS($X$5:$X$1000,$R$5:$R$1000,ROW(),$S$5:$S$1000,"Sub"),$X237))</f>
        <v/>
      </c>
    </row>
    <row r="238">
      <c r="A238" s="61">
        <f>IF(NOT((COUNTA($B238:$K238)+COUNTA($N238))&gt;0),"",IF($S238="Macro",COUNTIFS($S$5:$S238,"Macro",$P$5:$P238,$P238),IF(N($R238)=0,"?",COUNTIFS(INDEX($S$5:$S$1000,1):INDEX($S$5:$S$1000,$R238-4),"Macro",INDEX($P$5:$P$1000,1):INDEX($P$5:$P$1000,$R238-4),INDEX($P$5:$P$1000,$R238-4))&amp;"."&amp;COUNTIFS($R$5:$R238,$R238,$S$5:$S238,"Sub"))))</f>
        <v/>
      </c>
      <c r="B238" s="62" t="n"/>
      <c r="C238" s="63" t="n"/>
      <c r="D238" s="62" t="n"/>
      <c r="E238" s="64" t="n"/>
      <c r="F238" s="64" t="n"/>
      <c r="G238" s="65" t="n"/>
      <c r="H238" s="66" t="n"/>
      <c r="I238" s="66" t="n"/>
      <c r="J238" s="66" t="n"/>
      <c r="K238" s="66" t="n"/>
      <c r="L238" s="67">
        <f>IF(NOT((COUNTA($B238:$K238)+COUNTA($N238))&gt;0),"",IF(N($T238)&gt;0,$AB238,IFERROR(LOOKUP(2,1/(H238:K238&lt;&gt;""),H238:K238),0)))</f>
        <v/>
      </c>
      <c r="M238" s="61">
        <f>IF(L238="","",IF(L238&gt;=1,"Completado",IF(L238&gt;0,"En curso","Pendiente")))</f>
        <v/>
      </c>
      <c r="N238" s="62" t="n"/>
      <c r="O238" s="68">
        <f>IF(NOT((COUNTA($B238:$K238)+COUNTA($N238))&gt;0),"",IF((IF(AND($S238="Macro",$B238=""),"Macroactividad vacía"&amp;" · ","")&amp;IF(AND($B238&lt;&gt;"",$C238&lt;&gt;""),"Escriba la subactividad en otra fila, debajo de su macroactividad"&amp;" · ","")&amp;IF(AND($S238="Sub",N($R238)=0),"Subactividad sin macroactividad arriba"&amp;" · ","")&amp;IF($D238="","Sin responsable"&amp;" · ","")&amp;IF($E238="","Sin fecha de inicio"&amp;" · ","")&amp;IF($F238="","Sin fecha límite"&amp;" · ","")&amp;IF(OR(AND($E238&lt;&gt;"",NOT(ISNUMBER($E238))),AND($F238&lt;&gt;"",NOT(ISNUMBER($F238)))),"Fecha no válida"&amp;" · ","")&amp;IF(AND(ISNUMBER($E238),ISNUMBER($F238),$E238&gt;$F238),"Inicio posterior a fecha límite"&amp;" · ","")&amp;IF(AND($S238="Macro",$G238=""),"Peso vacío"&amp;" · ","")&amp;IF(AND($S238="Macro",$G238&lt;&gt;"",OR(NOT(ISNUMBER($G238)),$G238&lt;=0,$G238&gt;1)),"Peso fuera de rango"&amp;" · ","")&amp;IF(AND($S238="Sub",$G238&lt;&gt;""),"Las subactividades no llevan peso"&amp;" · ","")&amp;IF(AND($S238="Macro",ABS(SUMIFS($G$5:$G$1000,$P$5:$P$1000,$P238,$S$5:$S$1000,"Macro")-1)&gt;0.0001),"Pesos del mes suman "&amp;TEXT(SUMIFS($G$5:$G$1000,$P$5:$P$1000,$P238,$S$5:$S$1000,"Macro"),"0%")&amp;" · ","")&amp;IF(AND(N($T238)&gt;0,COUNT($H238:$K238)&gt;0),"Con subactividades: deje vacías las semanas (se calculan solas)"&amp;" · ","")&amp;IF((COUNTIF($H238:$K238,"&gt;1")+COUNTIF($H238:$K238,"&lt;0")+COUNTA($H238:$K238)-COUNT($H238:$K238))&gt;0,"Avance fuera de rango 0-100%"&amp;" · ","")&amp;IF(OR(AND($I238&lt;&gt;"",$I238&lt;$H238),AND($J238&lt;&gt;"",$J238&lt;MAX($H238:$I238)),AND($K238&lt;&gt;"",$K238&lt;MAX($H238:$J238))),"Avance semanal decreciente"&amp;" · ","")&amp;IF(AND(ISNUMBER($F238),$F238&lt;FechaRef,N($L238)&lt;1),"Vencida"&amp;" · ","")&amp;IF(AND(ObsObligatoria="Sí",ISNUMBER($F238),$F238&lt;FechaRef,N($L238)&lt;1,$N238=""),"Vencida sin observación"&amp;" · ",""))="","✔ OK","⚠ "&amp;LEFT(IF(AND($S238="Macro",$B238=""),"Macroactividad vacía"&amp;" · ","")&amp;IF(AND($B238&lt;&gt;"",$C238&lt;&gt;""),"Escriba la subactividad en otra fila, debajo de su macroactividad"&amp;" · ","")&amp;IF(AND($S238="Sub",N($R238)=0),"Subactividad sin macroactividad arriba"&amp;" · ","")&amp;IF($D238="","Sin responsable"&amp;" · ","")&amp;IF($E238="","Sin fecha de inicio"&amp;" · ","")&amp;IF($F238="","Sin fecha límite"&amp;" · ","")&amp;IF(OR(AND($E238&lt;&gt;"",NOT(ISNUMBER($E238))),AND($F238&lt;&gt;"",NOT(ISNUMBER($F238)))),"Fecha no válida"&amp;" · ","")&amp;IF(AND(ISNUMBER($E238),ISNUMBER($F238),$E238&gt;$F238),"Inicio posterior a fecha límite"&amp;" · ","")&amp;IF(AND($S238="Macro",$G238=""),"Peso vacío"&amp;" · ","")&amp;IF(AND($S238="Macro",$G238&lt;&gt;"",OR(NOT(ISNUMBER($G238)),$G238&lt;=0,$G238&gt;1)),"Peso fuera de rango"&amp;" · ","")&amp;IF(AND($S238="Sub",$G238&lt;&gt;""),"Las subactividades no llevan peso"&amp;" · ","")&amp;IF(AND($S238="Macro",ABS(SUMIFS($G$5:$G$1000,$P$5:$P$1000,$P238,$S$5:$S$1000,"Macro")-1)&gt;0.0001),"Pesos del mes suman "&amp;TEXT(SUMIFS($G$5:$G$1000,$P$5:$P$1000,$P238,$S$5:$S$1000,"Macro"),"0%")&amp;" · ","")&amp;IF(AND(N($T238)&gt;0,COUNT($H238:$K238)&gt;0),"Con subactividades: deje vacías las semanas (se calculan solas)"&amp;" · ","")&amp;IF((COUNTIF($H238:$K238,"&gt;1")+COUNTIF($H238:$K238,"&lt;0")+COUNTA($H238:$K238)-COUNT($H238:$K238))&gt;0,"Avance fuera de rango 0-100%"&amp;" · ","")&amp;IF(OR(AND($I238&lt;&gt;"",$I238&lt;$H238),AND($J238&lt;&gt;"",$J238&lt;MAX($H238:$I238)),AND($K238&lt;&gt;"",$K238&lt;MAX($H238:$J238))),"Avance semanal decreciente"&amp;" · ","")&amp;IF(AND(ISNUMBER($F238),$F238&lt;FechaRef,N($L238)&lt;1),"Vencida"&amp;" · ","")&amp;IF(AND(ObsObligatoria="Sí",ISNUMBER($F238),$F238&lt;FechaRef,N($L238)&lt;1,$N238=""),"Vencida sin observación"&amp;" · ",""),LEN(IF(AND($S238="Macro",$B238=""),"Macroactividad vacía"&amp;" · ","")&amp;IF(AND($B238&lt;&gt;"",$C238&lt;&gt;""),"Escriba la subactividad en otra fila, debajo de su macroactividad"&amp;" · ","")&amp;IF(AND($S238="Sub",N($R238)=0),"Subactividad sin macroactividad arriba"&amp;" · ","")&amp;IF($D238="","Sin responsable"&amp;" · ","")&amp;IF($E238="","Sin fecha de inicio"&amp;" · ","")&amp;IF($F238="","Sin fecha límite"&amp;" · ","")&amp;IF(OR(AND($E238&lt;&gt;"",NOT(ISNUMBER($E238))),AND($F238&lt;&gt;"",NOT(ISNUMBER($F238)))),"Fecha no válida"&amp;" · ","")&amp;IF(AND(ISNUMBER($E238),ISNUMBER($F238),$E238&gt;$F238),"Inicio posterior a fecha límite"&amp;" · ","")&amp;IF(AND($S238="Macro",$G238=""),"Peso vacío"&amp;" · ","")&amp;IF(AND($S238="Macro",$G238&lt;&gt;"",OR(NOT(ISNUMBER($G238)),$G238&lt;=0,$G238&gt;1)),"Peso fuera de rango"&amp;" · ","")&amp;IF(AND($S238="Sub",$G238&lt;&gt;""),"Las subactividades no llevan peso"&amp;" · ","")&amp;IF(AND($S238="Macro",ABS(SUMIFS($G$5:$G$1000,$P$5:$P$1000,$P238,$S$5:$S$1000,"Macro")-1)&gt;0.0001),"Pesos del mes suman "&amp;TEXT(SUMIFS($G$5:$G$1000,$P$5:$P$1000,$P238,$S$5:$S$1000,"Macro"),"0%")&amp;" · ","")&amp;IF(AND(N($T238)&gt;0,COUNT($H238:$K238)&gt;0),"Con subactividades: deje vacías las semanas (se calculan solas)"&amp;" · ","")&amp;IF((COUNTIF($H238:$K238,"&gt;1")+COUNTIF($H238:$K238,"&lt;0")+COUNTA($H238:$K238)-COUNT($H238:$K238))&gt;0,"Avance fuera de rango 0-100%"&amp;" · ","")&amp;IF(OR(AND($I238&lt;&gt;"",$I238&lt;$H238),AND($J238&lt;&gt;"",$J238&lt;MAX($H238:$I238)),AND($K238&lt;&gt;"",$K238&lt;MAX($H238:$J238))),"Avance semanal decreciente"&amp;" · ","")&amp;IF(AND(ISNUMBER($F238),$F238&lt;FechaRef,N($L238)&lt;1),"Vencida"&amp;" · ","")&amp;IF(AND(ObsObligatoria="Sí",ISNUMBER($F238),$F238&lt;FechaRef,N($L238)&lt;1,$N238=""),"Vencida sin observación"&amp;" · ",""))-3)))</f>
        <v/>
      </c>
      <c r="P238" s="69">
        <f>IF(NOT((COUNTA($B238:$K238)+COUNTA($N238))&gt;0),"",IF(AND($S238="Sub",N($R238)&gt;0),IF(ISNUMBER(INDEX($E$5:$E$1000,$R238-4)),DATE(YEAR(INDEX($E$5:$E$1000,$R238-4)),MONTH(INDEX($E$5:$E$1000,$R238-4)),1),IF(ISNUMBER(INDEX($F$5:$F$1000,$R238-4)),DATE(YEAR(INDEX($F$5:$F$1000,$R238-4)),MONTH(INDEX($F$5:$F$1000,$R238-4)),1),MesCiclo)),IF(ISNUMBER($E238),DATE(YEAR($E238),MONTH($E238),1),IF(ISNUMBER($F238),DATE(YEAR($F238),MONTH($F238),1),MesCiclo))))</f>
        <v/>
      </c>
      <c r="Q238" s="70">
        <f>IF(OR($P238="",$P238&lt;&gt;MesCiclo),"",COUNTIF($P$5:$P238,MesCiclo))</f>
        <v/>
      </c>
      <c r="R238" s="70">
        <f>IF($S238="","",IF($S238="Macro",ROW(),IFERROR(LOOKUP(2,1/($S$5:$S238="Macro"),ROW($S$5:$S238)),0)))</f>
        <v/>
      </c>
      <c r="S238" s="70">
        <f>IF(NOT((COUNTA($B238:$K238)+COUNTA($N238))&gt;0),"",IF($B238&lt;&gt;"","Macro",IF($C238&lt;&gt;"","Sub","Macro")))</f>
        <v/>
      </c>
      <c r="T238" s="70">
        <f>IF($S238="Macro",COUNTIFS($R$5:$R$1000,ROW(),$S$5:$S$1000,"Sub"),"")</f>
        <v/>
      </c>
      <c r="U238" s="70">
        <f>IF($S238="","",IF(ISNUMBER($H238),$H238,0))</f>
        <v/>
      </c>
      <c r="V238" s="70">
        <f>IF($S238="","",IF(ISNUMBER($I238),$I238,$U238))</f>
        <v/>
      </c>
      <c r="W238" s="70">
        <f>IF($S238="","",IF(ISNUMBER($J238),$J238,$V238))</f>
        <v/>
      </c>
      <c r="X238" s="70">
        <f>IF($S238="","",IF(ISNUMBER($K238),$K238,$W238))</f>
        <v/>
      </c>
      <c r="Y238" s="70">
        <f>IF($S238="","",IF(N($T238)&gt;0,AVERAGEIFS($U$5:$U$1000,$R$5:$R$1000,ROW(),$S$5:$S$1000,"Sub"),$U238))</f>
        <v/>
      </c>
      <c r="Z238" s="70">
        <f>IF($S238="","",IF(N($T238)&gt;0,AVERAGEIFS($V$5:$V$1000,$R$5:$R$1000,ROW(),$S$5:$S$1000,"Sub"),$V238))</f>
        <v/>
      </c>
      <c r="AA238" s="70">
        <f>IF($S238="","",IF(N($T238)&gt;0,AVERAGEIFS($W$5:$W$1000,$R$5:$R$1000,ROW(),$S$5:$S$1000,"Sub"),$W238))</f>
        <v/>
      </c>
      <c r="AB238" s="70">
        <f>IF($S238="","",IF(N($T238)&gt;0,AVERAGEIFS($X$5:$X$1000,$R$5:$R$1000,ROW(),$S$5:$S$1000,"Sub"),$X238))</f>
        <v/>
      </c>
    </row>
    <row r="239">
      <c r="A239" s="61">
        <f>IF(NOT((COUNTA($B239:$K239)+COUNTA($N239))&gt;0),"",IF($S239="Macro",COUNTIFS($S$5:$S239,"Macro",$P$5:$P239,$P239),IF(N($R239)=0,"?",COUNTIFS(INDEX($S$5:$S$1000,1):INDEX($S$5:$S$1000,$R239-4),"Macro",INDEX($P$5:$P$1000,1):INDEX($P$5:$P$1000,$R239-4),INDEX($P$5:$P$1000,$R239-4))&amp;"."&amp;COUNTIFS($R$5:$R239,$R239,$S$5:$S239,"Sub"))))</f>
        <v/>
      </c>
      <c r="B239" s="62" t="n"/>
      <c r="C239" s="63" t="n"/>
      <c r="D239" s="62" t="n"/>
      <c r="E239" s="64" t="n"/>
      <c r="F239" s="64" t="n"/>
      <c r="G239" s="65" t="n"/>
      <c r="H239" s="66" t="n"/>
      <c r="I239" s="66" t="n"/>
      <c r="J239" s="66" t="n"/>
      <c r="K239" s="66" t="n"/>
      <c r="L239" s="67">
        <f>IF(NOT((COUNTA($B239:$K239)+COUNTA($N239))&gt;0),"",IF(N($T239)&gt;0,$AB239,IFERROR(LOOKUP(2,1/(H239:K239&lt;&gt;""),H239:K239),0)))</f>
        <v/>
      </c>
      <c r="M239" s="61">
        <f>IF(L239="","",IF(L239&gt;=1,"Completado",IF(L239&gt;0,"En curso","Pendiente")))</f>
        <v/>
      </c>
      <c r="N239" s="62" t="n"/>
      <c r="O239" s="68">
        <f>IF(NOT((COUNTA($B239:$K239)+COUNTA($N239))&gt;0),"",IF((IF(AND($S239="Macro",$B239=""),"Macroactividad vacía"&amp;" · ","")&amp;IF(AND($B239&lt;&gt;"",$C239&lt;&gt;""),"Escriba la subactividad en otra fila, debajo de su macroactividad"&amp;" · ","")&amp;IF(AND($S239="Sub",N($R239)=0),"Subactividad sin macroactividad arriba"&amp;" · ","")&amp;IF($D239="","Sin responsable"&amp;" · ","")&amp;IF($E239="","Sin fecha de inicio"&amp;" · ","")&amp;IF($F239="","Sin fecha límite"&amp;" · ","")&amp;IF(OR(AND($E239&lt;&gt;"",NOT(ISNUMBER($E239))),AND($F239&lt;&gt;"",NOT(ISNUMBER($F239)))),"Fecha no válida"&amp;" · ","")&amp;IF(AND(ISNUMBER($E239),ISNUMBER($F239),$E239&gt;$F239),"Inicio posterior a fecha límite"&amp;" · ","")&amp;IF(AND($S239="Macro",$G239=""),"Peso vacío"&amp;" · ","")&amp;IF(AND($S239="Macro",$G239&lt;&gt;"",OR(NOT(ISNUMBER($G239)),$G239&lt;=0,$G239&gt;1)),"Peso fuera de rango"&amp;" · ","")&amp;IF(AND($S239="Sub",$G239&lt;&gt;""),"Las subactividades no llevan peso"&amp;" · ","")&amp;IF(AND($S239="Macro",ABS(SUMIFS($G$5:$G$1000,$P$5:$P$1000,$P239,$S$5:$S$1000,"Macro")-1)&gt;0.0001),"Pesos del mes suman "&amp;TEXT(SUMIFS($G$5:$G$1000,$P$5:$P$1000,$P239,$S$5:$S$1000,"Macro"),"0%")&amp;" · ","")&amp;IF(AND(N($T239)&gt;0,COUNT($H239:$K239)&gt;0),"Con subactividades: deje vacías las semanas (se calculan solas)"&amp;" · ","")&amp;IF((COUNTIF($H239:$K239,"&gt;1")+COUNTIF($H239:$K239,"&lt;0")+COUNTA($H239:$K239)-COUNT($H239:$K239))&gt;0,"Avance fuera de rango 0-100%"&amp;" · ","")&amp;IF(OR(AND($I239&lt;&gt;"",$I239&lt;$H239),AND($J239&lt;&gt;"",$J239&lt;MAX($H239:$I239)),AND($K239&lt;&gt;"",$K239&lt;MAX($H239:$J239))),"Avance semanal decreciente"&amp;" · ","")&amp;IF(AND(ISNUMBER($F239),$F239&lt;FechaRef,N($L239)&lt;1),"Vencida"&amp;" · ","")&amp;IF(AND(ObsObligatoria="Sí",ISNUMBER($F239),$F239&lt;FechaRef,N($L239)&lt;1,$N239=""),"Vencida sin observación"&amp;" · ",""))="","✔ OK","⚠ "&amp;LEFT(IF(AND($S239="Macro",$B239=""),"Macroactividad vacía"&amp;" · ","")&amp;IF(AND($B239&lt;&gt;"",$C239&lt;&gt;""),"Escriba la subactividad en otra fila, debajo de su macroactividad"&amp;" · ","")&amp;IF(AND($S239="Sub",N($R239)=0),"Subactividad sin macroactividad arriba"&amp;" · ","")&amp;IF($D239="","Sin responsable"&amp;" · ","")&amp;IF($E239="","Sin fecha de inicio"&amp;" · ","")&amp;IF($F239="","Sin fecha límite"&amp;" · ","")&amp;IF(OR(AND($E239&lt;&gt;"",NOT(ISNUMBER($E239))),AND($F239&lt;&gt;"",NOT(ISNUMBER($F239)))),"Fecha no válida"&amp;" · ","")&amp;IF(AND(ISNUMBER($E239),ISNUMBER($F239),$E239&gt;$F239),"Inicio posterior a fecha límite"&amp;" · ","")&amp;IF(AND($S239="Macro",$G239=""),"Peso vacío"&amp;" · ","")&amp;IF(AND($S239="Macro",$G239&lt;&gt;"",OR(NOT(ISNUMBER($G239)),$G239&lt;=0,$G239&gt;1)),"Peso fuera de rango"&amp;" · ","")&amp;IF(AND($S239="Sub",$G239&lt;&gt;""),"Las subactividades no llevan peso"&amp;" · ","")&amp;IF(AND($S239="Macro",ABS(SUMIFS($G$5:$G$1000,$P$5:$P$1000,$P239,$S$5:$S$1000,"Macro")-1)&gt;0.0001),"Pesos del mes suman "&amp;TEXT(SUMIFS($G$5:$G$1000,$P$5:$P$1000,$P239,$S$5:$S$1000,"Macro"),"0%")&amp;" · ","")&amp;IF(AND(N($T239)&gt;0,COUNT($H239:$K239)&gt;0),"Con subactividades: deje vacías las semanas (se calculan solas)"&amp;" · ","")&amp;IF((COUNTIF($H239:$K239,"&gt;1")+COUNTIF($H239:$K239,"&lt;0")+COUNTA($H239:$K239)-COUNT($H239:$K239))&gt;0,"Avance fuera de rango 0-100%"&amp;" · ","")&amp;IF(OR(AND($I239&lt;&gt;"",$I239&lt;$H239),AND($J239&lt;&gt;"",$J239&lt;MAX($H239:$I239)),AND($K239&lt;&gt;"",$K239&lt;MAX($H239:$J239))),"Avance semanal decreciente"&amp;" · ","")&amp;IF(AND(ISNUMBER($F239),$F239&lt;FechaRef,N($L239)&lt;1),"Vencida"&amp;" · ","")&amp;IF(AND(ObsObligatoria="Sí",ISNUMBER($F239),$F239&lt;FechaRef,N($L239)&lt;1,$N239=""),"Vencida sin observación"&amp;" · ",""),LEN(IF(AND($S239="Macro",$B239=""),"Macroactividad vacía"&amp;" · ","")&amp;IF(AND($B239&lt;&gt;"",$C239&lt;&gt;""),"Escriba la subactividad en otra fila, debajo de su macroactividad"&amp;" · ","")&amp;IF(AND($S239="Sub",N($R239)=0),"Subactividad sin macroactividad arriba"&amp;" · ","")&amp;IF($D239="","Sin responsable"&amp;" · ","")&amp;IF($E239="","Sin fecha de inicio"&amp;" · ","")&amp;IF($F239="","Sin fecha límite"&amp;" · ","")&amp;IF(OR(AND($E239&lt;&gt;"",NOT(ISNUMBER($E239))),AND($F239&lt;&gt;"",NOT(ISNUMBER($F239)))),"Fecha no válida"&amp;" · ","")&amp;IF(AND(ISNUMBER($E239),ISNUMBER($F239),$E239&gt;$F239),"Inicio posterior a fecha límite"&amp;" · ","")&amp;IF(AND($S239="Macro",$G239=""),"Peso vacío"&amp;" · ","")&amp;IF(AND($S239="Macro",$G239&lt;&gt;"",OR(NOT(ISNUMBER($G239)),$G239&lt;=0,$G239&gt;1)),"Peso fuera de rango"&amp;" · ","")&amp;IF(AND($S239="Sub",$G239&lt;&gt;""),"Las subactividades no llevan peso"&amp;" · ","")&amp;IF(AND($S239="Macro",ABS(SUMIFS($G$5:$G$1000,$P$5:$P$1000,$P239,$S$5:$S$1000,"Macro")-1)&gt;0.0001),"Pesos del mes suman "&amp;TEXT(SUMIFS($G$5:$G$1000,$P$5:$P$1000,$P239,$S$5:$S$1000,"Macro"),"0%")&amp;" · ","")&amp;IF(AND(N($T239)&gt;0,COUNT($H239:$K239)&gt;0),"Con subactividades: deje vacías las semanas (se calculan solas)"&amp;" · ","")&amp;IF((COUNTIF($H239:$K239,"&gt;1")+COUNTIF($H239:$K239,"&lt;0")+COUNTA($H239:$K239)-COUNT($H239:$K239))&gt;0,"Avance fuera de rango 0-100%"&amp;" · ","")&amp;IF(OR(AND($I239&lt;&gt;"",$I239&lt;$H239),AND($J239&lt;&gt;"",$J239&lt;MAX($H239:$I239)),AND($K239&lt;&gt;"",$K239&lt;MAX($H239:$J239))),"Avance semanal decreciente"&amp;" · ","")&amp;IF(AND(ISNUMBER($F239),$F239&lt;FechaRef,N($L239)&lt;1),"Vencida"&amp;" · ","")&amp;IF(AND(ObsObligatoria="Sí",ISNUMBER($F239),$F239&lt;FechaRef,N($L239)&lt;1,$N239=""),"Vencida sin observación"&amp;" · ",""))-3)))</f>
        <v/>
      </c>
      <c r="P239" s="69">
        <f>IF(NOT((COUNTA($B239:$K239)+COUNTA($N239))&gt;0),"",IF(AND($S239="Sub",N($R239)&gt;0),IF(ISNUMBER(INDEX($E$5:$E$1000,$R239-4)),DATE(YEAR(INDEX($E$5:$E$1000,$R239-4)),MONTH(INDEX($E$5:$E$1000,$R239-4)),1),IF(ISNUMBER(INDEX($F$5:$F$1000,$R239-4)),DATE(YEAR(INDEX($F$5:$F$1000,$R239-4)),MONTH(INDEX($F$5:$F$1000,$R239-4)),1),MesCiclo)),IF(ISNUMBER($E239),DATE(YEAR($E239),MONTH($E239),1),IF(ISNUMBER($F239),DATE(YEAR($F239),MONTH($F239),1),MesCiclo))))</f>
        <v/>
      </c>
      <c r="Q239" s="70">
        <f>IF(OR($P239="",$P239&lt;&gt;MesCiclo),"",COUNTIF($P$5:$P239,MesCiclo))</f>
        <v/>
      </c>
      <c r="R239" s="70">
        <f>IF($S239="","",IF($S239="Macro",ROW(),IFERROR(LOOKUP(2,1/($S$5:$S239="Macro"),ROW($S$5:$S239)),0)))</f>
        <v/>
      </c>
      <c r="S239" s="70">
        <f>IF(NOT((COUNTA($B239:$K239)+COUNTA($N239))&gt;0),"",IF($B239&lt;&gt;"","Macro",IF($C239&lt;&gt;"","Sub","Macro")))</f>
        <v/>
      </c>
      <c r="T239" s="70">
        <f>IF($S239="Macro",COUNTIFS($R$5:$R$1000,ROW(),$S$5:$S$1000,"Sub"),"")</f>
        <v/>
      </c>
      <c r="U239" s="70">
        <f>IF($S239="","",IF(ISNUMBER($H239),$H239,0))</f>
        <v/>
      </c>
      <c r="V239" s="70">
        <f>IF($S239="","",IF(ISNUMBER($I239),$I239,$U239))</f>
        <v/>
      </c>
      <c r="W239" s="70">
        <f>IF($S239="","",IF(ISNUMBER($J239),$J239,$V239))</f>
        <v/>
      </c>
      <c r="X239" s="70">
        <f>IF($S239="","",IF(ISNUMBER($K239),$K239,$W239))</f>
        <v/>
      </c>
      <c r="Y239" s="70">
        <f>IF($S239="","",IF(N($T239)&gt;0,AVERAGEIFS($U$5:$U$1000,$R$5:$R$1000,ROW(),$S$5:$S$1000,"Sub"),$U239))</f>
        <v/>
      </c>
      <c r="Z239" s="70">
        <f>IF($S239="","",IF(N($T239)&gt;0,AVERAGEIFS($V$5:$V$1000,$R$5:$R$1000,ROW(),$S$5:$S$1000,"Sub"),$V239))</f>
        <v/>
      </c>
      <c r="AA239" s="70">
        <f>IF($S239="","",IF(N($T239)&gt;0,AVERAGEIFS($W$5:$W$1000,$R$5:$R$1000,ROW(),$S$5:$S$1000,"Sub"),$W239))</f>
        <v/>
      </c>
      <c r="AB239" s="70">
        <f>IF($S239="","",IF(N($T239)&gt;0,AVERAGEIFS($X$5:$X$1000,$R$5:$R$1000,ROW(),$S$5:$S$1000,"Sub"),$X239))</f>
        <v/>
      </c>
    </row>
    <row r="240">
      <c r="A240" s="61">
        <f>IF(NOT((COUNTA($B240:$K240)+COUNTA($N240))&gt;0),"",IF($S240="Macro",COUNTIFS($S$5:$S240,"Macro",$P$5:$P240,$P240),IF(N($R240)=0,"?",COUNTIFS(INDEX($S$5:$S$1000,1):INDEX($S$5:$S$1000,$R240-4),"Macro",INDEX($P$5:$P$1000,1):INDEX($P$5:$P$1000,$R240-4),INDEX($P$5:$P$1000,$R240-4))&amp;"."&amp;COUNTIFS($R$5:$R240,$R240,$S$5:$S240,"Sub"))))</f>
        <v/>
      </c>
      <c r="B240" s="62" t="n"/>
      <c r="C240" s="63" t="n"/>
      <c r="D240" s="62" t="n"/>
      <c r="E240" s="64" t="n"/>
      <c r="F240" s="64" t="n"/>
      <c r="G240" s="65" t="n"/>
      <c r="H240" s="66" t="n"/>
      <c r="I240" s="66" t="n"/>
      <c r="J240" s="66" t="n"/>
      <c r="K240" s="66" t="n"/>
      <c r="L240" s="67">
        <f>IF(NOT((COUNTA($B240:$K240)+COUNTA($N240))&gt;0),"",IF(N($T240)&gt;0,$AB240,IFERROR(LOOKUP(2,1/(H240:K240&lt;&gt;""),H240:K240),0)))</f>
        <v/>
      </c>
      <c r="M240" s="61">
        <f>IF(L240="","",IF(L240&gt;=1,"Completado",IF(L240&gt;0,"En curso","Pendiente")))</f>
        <v/>
      </c>
      <c r="N240" s="62" t="n"/>
      <c r="O240" s="68">
        <f>IF(NOT((COUNTA($B240:$K240)+COUNTA($N240))&gt;0),"",IF((IF(AND($S240="Macro",$B240=""),"Macroactividad vacía"&amp;" · ","")&amp;IF(AND($B240&lt;&gt;"",$C240&lt;&gt;""),"Escriba la subactividad en otra fila, debajo de su macroactividad"&amp;" · ","")&amp;IF(AND($S240="Sub",N($R240)=0),"Subactividad sin macroactividad arriba"&amp;" · ","")&amp;IF($D240="","Sin responsable"&amp;" · ","")&amp;IF($E240="","Sin fecha de inicio"&amp;" · ","")&amp;IF($F240="","Sin fecha límite"&amp;" · ","")&amp;IF(OR(AND($E240&lt;&gt;"",NOT(ISNUMBER($E240))),AND($F240&lt;&gt;"",NOT(ISNUMBER($F240)))),"Fecha no válida"&amp;" · ","")&amp;IF(AND(ISNUMBER($E240),ISNUMBER($F240),$E240&gt;$F240),"Inicio posterior a fecha límite"&amp;" · ","")&amp;IF(AND($S240="Macro",$G240=""),"Peso vacío"&amp;" · ","")&amp;IF(AND($S240="Macro",$G240&lt;&gt;"",OR(NOT(ISNUMBER($G240)),$G240&lt;=0,$G240&gt;1)),"Peso fuera de rango"&amp;" · ","")&amp;IF(AND($S240="Sub",$G240&lt;&gt;""),"Las subactividades no llevan peso"&amp;" · ","")&amp;IF(AND($S240="Macro",ABS(SUMIFS($G$5:$G$1000,$P$5:$P$1000,$P240,$S$5:$S$1000,"Macro")-1)&gt;0.0001),"Pesos del mes suman "&amp;TEXT(SUMIFS($G$5:$G$1000,$P$5:$P$1000,$P240,$S$5:$S$1000,"Macro"),"0%")&amp;" · ","")&amp;IF(AND(N($T240)&gt;0,COUNT($H240:$K240)&gt;0),"Con subactividades: deje vacías las semanas (se calculan solas)"&amp;" · ","")&amp;IF((COUNTIF($H240:$K240,"&gt;1")+COUNTIF($H240:$K240,"&lt;0")+COUNTA($H240:$K240)-COUNT($H240:$K240))&gt;0,"Avance fuera de rango 0-100%"&amp;" · ","")&amp;IF(OR(AND($I240&lt;&gt;"",$I240&lt;$H240),AND($J240&lt;&gt;"",$J240&lt;MAX($H240:$I240)),AND($K240&lt;&gt;"",$K240&lt;MAX($H240:$J240))),"Avance semanal decreciente"&amp;" · ","")&amp;IF(AND(ISNUMBER($F240),$F240&lt;FechaRef,N($L240)&lt;1),"Vencida"&amp;" · ","")&amp;IF(AND(ObsObligatoria="Sí",ISNUMBER($F240),$F240&lt;FechaRef,N($L240)&lt;1,$N240=""),"Vencida sin observación"&amp;" · ",""))="","✔ OK","⚠ "&amp;LEFT(IF(AND($S240="Macro",$B240=""),"Macroactividad vacía"&amp;" · ","")&amp;IF(AND($B240&lt;&gt;"",$C240&lt;&gt;""),"Escriba la subactividad en otra fila, debajo de su macroactividad"&amp;" · ","")&amp;IF(AND($S240="Sub",N($R240)=0),"Subactividad sin macroactividad arriba"&amp;" · ","")&amp;IF($D240="","Sin responsable"&amp;" · ","")&amp;IF($E240="","Sin fecha de inicio"&amp;" · ","")&amp;IF($F240="","Sin fecha límite"&amp;" · ","")&amp;IF(OR(AND($E240&lt;&gt;"",NOT(ISNUMBER($E240))),AND($F240&lt;&gt;"",NOT(ISNUMBER($F240)))),"Fecha no válida"&amp;" · ","")&amp;IF(AND(ISNUMBER($E240),ISNUMBER($F240),$E240&gt;$F240),"Inicio posterior a fecha límite"&amp;" · ","")&amp;IF(AND($S240="Macro",$G240=""),"Peso vacío"&amp;" · ","")&amp;IF(AND($S240="Macro",$G240&lt;&gt;"",OR(NOT(ISNUMBER($G240)),$G240&lt;=0,$G240&gt;1)),"Peso fuera de rango"&amp;" · ","")&amp;IF(AND($S240="Sub",$G240&lt;&gt;""),"Las subactividades no llevan peso"&amp;" · ","")&amp;IF(AND($S240="Macro",ABS(SUMIFS($G$5:$G$1000,$P$5:$P$1000,$P240,$S$5:$S$1000,"Macro")-1)&gt;0.0001),"Pesos del mes suman "&amp;TEXT(SUMIFS($G$5:$G$1000,$P$5:$P$1000,$P240,$S$5:$S$1000,"Macro"),"0%")&amp;" · ","")&amp;IF(AND(N($T240)&gt;0,COUNT($H240:$K240)&gt;0),"Con subactividades: deje vacías las semanas (se calculan solas)"&amp;" · ","")&amp;IF((COUNTIF($H240:$K240,"&gt;1")+COUNTIF($H240:$K240,"&lt;0")+COUNTA($H240:$K240)-COUNT($H240:$K240))&gt;0,"Avance fuera de rango 0-100%"&amp;" · ","")&amp;IF(OR(AND($I240&lt;&gt;"",$I240&lt;$H240),AND($J240&lt;&gt;"",$J240&lt;MAX($H240:$I240)),AND($K240&lt;&gt;"",$K240&lt;MAX($H240:$J240))),"Avance semanal decreciente"&amp;" · ","")&amp;IF(AND(ISNUMBER($F240),$F240&lt;FechaRef,N($L240)&lt;1),"Vencida"&amp;" · ","")&amp;IF(AND(ObsObligatoria="Sí",ISNUMBER($F240),$F240&lt;FechaRef,N($L240)&lt;1,$N240=""),"Vencida sin observación"&amp;" · ",""),LEN(IF(AND($S240="Macro",$B240=""),"Macroactividad vacía"&amp;" · ","")&amp;IF(AND($B240&lt;&gt;"",$C240&lt;&gt;""),"Escriba la subactividad en otra fila, debajo de su macroactividad"&amp;" · ","")&amp;IF(AND($S240="Sub",N($R240)=0),"Subactividad sin macroactividad arriba"&amp;" · ","")&amp;IF($D240="","Sin responsable"&amp;" · ","")&amp;IF($E240="","Sin fecha de inicio"&amp;" · ","")&amp;IF($F240="","Sin fecha límite"&amp;" · ","")&amp;IF(OR(AND($E240&lt;&gt;"",NOT(ISNUMBER($E240))),AND($F240&lt;&gt;"",NOT(ISNUMBER($F240)))),"Fecha no válida"&amp;" · ","")&amp;IF(AND(ISNUMBER($E240),ISNUMBER($F240),$E240&gt;$F240),"Inicio posterior a fecha límite"&amp;" · ","")&amp;IF(AND($S240="Macro",$G240=""),"Peso vacío"&amp;" · ","")&amp;IF(AND($S240="Macro",$G240&lt;&gt;"",OR(NOT(ISNUMBER($G240)),$G240&lt;=0,$G240&gt;1)),"Peso fuera de rango"&amp;" · ","")&amp;IF(AND($S240="Sub",$G240&lt;&gt;""),"Las subactividades no llevan peso"&amp;" · ","")&amp;IF(AND($S240="Macro",ABS(SUMIFS($G$5:$G$1000,$P$5:$P$1000,$P240,$S$5:$S$1000,"Macro")-1)&gt;0.0001),"Pesos del mes suman "&amp;TEXT(SUMIFS($G$5:$G$1000,$P$5:$P$1000,$P240,$S$5:$S$1000,"Macro"),"0%")&amp;" · ","")&amp;IF(AND(N($T240)&gt;0,COUNT($H240:$K240)&gt;0),"Con subactividades: deje vacías las semanas (se calculan solas)"&amp;" · ","")&amp;IF((COUNTIF($H240:$K240,"&gt;1")+COUNTIF($H240:$K240,"&lt;0")+COUNTA($H240:$K240)-COUNT($H240:$K240))&gt;0,"Avance fuera de rango 0-100%"&amp;" · ","")&amp;IF(OR(AND($I240&lt;&gt;"",$I240&lt;$H240),AND($J240&lt;&gt;"",$J240&lt;MAX($H240:$I240)),AND($K240&lt;&gt;"",$K240&lt;MAX($H240:$J240))),"Avance semanal decreciente"&amp;" · ","")&amp;IF(AND(ISNUMBER($F240),$F240&lt;FechaRef,N($L240)&lt;1),"Vencida"&amp;" · ","")&amp;IF(AND(ObsObligatoria="Sí",ISNUMBER($F240),$F240&lt;FechaRef,N($L240)&lt;1,$N240=""),"Vencida sin observación"&amp;" · ",""))-3)))</f>
        <v/>
      </c>
      <c r="P240" s="69">
        <f>IF(NOT((COUNTA($B240:$K240)+COUNTA($N240))&gt;0),"",IF(AND($S240="Sub",N($R240)&gt;0),IF(ISNUMBER(INDEX($E$5:$E$1000,$R240-4)),DATE(YEAR(INDEX($E$5:$E$1000,$R240-4)),MONTH(INDEX($E$5:$E$1000,$R240-4)),1),IF(ISNUMBER(INDEX($F$5:$F$1000,$R240-4)),DATE(YEAR(INDEX($F$5:$F$1000,$R240-4)),MONTH(INDEX($F$5:$F$1000,$R240-4)),1),MesCiclo)),IF(ISNUMBER($E240),DATE(YEAR($E240),MONTH($E240),1),IF(ISNUMBER($F240),DATE(YEAR($F240),MONTH($F240),1),MesCiclo))))</f>
        <v/>
      </c>
      <c r="Q240" s="70">
        <f>IF(OR($P240="",$P240&lt;&gt;MesCiclo),"",COUNTIF($P$5:$P240,MesCiclo))</f>
        <v/>
      </c>
      <c r="R240" s="70">
        <f>IF($S240="","",IF($S240="Macro",ROW(),IFERROR(LOOKUP(2,1/($S$5:$S240="Macro"),ROW($S$5:$S240)),0)))</f>
        <v/>
      </c>
      <c r="S240" s="70">
        <f>IF(NOT((COUNTA($B240:$K240)+COUNTA($N240))&gt;0),"",IF($B240&lt;&gt;"","Macro",IF($C240&lt;&gt;"","Sub","Macro")))</f>
        <v/>
      </c>
      <c r="T240" s="70">
        <f>IF($S240="Macro",COUNTIFS($R$5:$R$1000,ROW(),$S$5:$S$1000,"Sub"),"")</f>
        <v/>
      </c>
      <c r="U240" s="70">
        <f>IF($S240="","",IF(ISNUMBER($H240),$H240,0))</f>
        <v/>
      </c>
      <c r="V240" s="70">
        <f>IF($S240="","",IF(ISNUMBER($I240),$I240,$U240))</f>
        <v/>
      </c>
      <c r="W240" s="70">
        <f>IF($S240="","",IF(ISNUMBER($J240),$J240,$V240))</f>
        <v/>
      </c>
      <c r="X240" s="70">
        <f>IF($S240="","",IF(ISNUMBER($K240),$K240,$W240))</f>
        <v/>
      </c>
      <c r="Y240" s="70">
        <f>IF($S240="","",IF(N($T240)&gt;0,AVERAGEIFS($U$5:$U$1000,$R$5:$R$1000,ROW(),$S$5:$S$1000,"Sub"),$U240))</f>
        <v/>
      </c>
      <c r="Z240" s="70">
        <f>IF($S240="","",IF(N($T240)&gt;0,AVERAGEIFS($V$5:$V$1000,$R$5:$R$1000,ROW(),$S$5:$S$1000,"Sub"),$V240))</f>
        <v/>
      </c>
      <c r="AA240" s="70">
        <f>IF($S240="","",IF(N($T240)&gt;0,AVERAGEIFS($W$5:$W$1000,$R$5:$R$1000,ROW(),$S$5:$S$1000,"Sub"),$W240))</f>
        <v/>
      </c>
      <c r="AB240" s="70">
        <f>IF($S240="","",IF(N($T240)&gt;0,AVERAGEIFS($X$5:$X$1000,$R$5:$R$1000,ROW(),$S$5:$S$1000,"Sub"),$X240))</f>
        <v/>
      </c>
    </row>
    <row r="241">
      <c r="A241" s="61">
        <f>IF(NOT((COUNTA($B241:$K241)+COUNTA($N241))&gt;0),"",IF($S241="Macro",COUNTIFS($S$5:$S241,"Macro",$P$5:$P241,$P241),IF(N($R241)=0,"?",COUNTIFS(INDEX($S$5:$S$1000,1):INDEX($S$5:$S$1000,$R241-4),"Macro",INDEX($P$5:$P$1000,1):INDEX($P$5:$P$1000,$R241-4),INDEX($P$5:$P$1000,$R241-4))&amp;"."&amp;COUNTIFS($R$5:$R241,$R241,$S$5:$S241,"Sub"))))</f>
        <v/>
      </c>
      <c r="B241" s="62" t="n"/>
      <c r="C241" s="63" t="n"/>
      <c r="D241" s="62" t="n"/>
      <c r="E241" s="64" t="n"/>
      <c r="F241" s="64" t="n"/>
      <c r="G241" s="65" t="n"/>
      <c r="H241" s="66" t="n"/>
      <c r="I241" s="66" t="n"/>
      <c r="J241" s="66" t="n"/>
      <c r="K241" s="66" t="n"/>
      <c r="L241" s="67">
        <f>IF(NOT((COUNTA($B241:$K241)+COUNTA($N241))&gt;0),"",IF(N($T241)&gt;0,$AB241,IFERROR(LOOKUP(2,1/(H241:K241&lt;&gt;""),H241:K241),0)))</f>
        <v/>
      </c>
      <c r="M241" s="61">
        <f>IF(L241="","",IF(L241&gt;=1,"Completado",IF(L241&gt;0,"En curso","Pendiente")))</f>
        <v/>
      </c>
      <c r="N241" s="62" t="n"/>
      <c r="O241" s="68">
        <f>IF(NOT((COUNTA($B241:$K241)+COUNTA($N241))&gt;0),"",IF((IF(AND($S241="Macro",$B241=""),"Macroactividad vacía"&amp;" · ","")&amp;IF(AND($B241&lt;&gt;"",$C241&lt;&gt;""),"Escriba la subactividad en otra fila, debajo de su macroactividad"&amp;" · ","")&amp;IF(AND($S241="Sub",N($R241)=0),"Subactividad sin macroactividad arriba"&amp;" · ","")&amp;IF($D241="","Sin responsable"&amp;" · ","")&amp;IF($E241="","Sin fecha de inicio"&amp;" · ","")&amp;IF($F241="","Sin fecha límite"&amp;" · ","")&amp;IF(OR(AND($E241&lt;&gt;"",NOT(ISNUMBER($E241))),AND($F241&lt;&gt;"",NOT(ISNUMBER($F241)))),"Fecha no válida"&amp;" · ","")&amp;IF(AND(ISNUMBER($E241),ISNUMBER($F241),$E241&gt;$F241),"Inicio posterior a fecha límite"&amp;" · ","")&amp;IF(AND($S241="Macro",$G241=""),"Peso vacío"&amp;" · ","")&amp;IF(AND($S241="Macro",$G241&lt;&gt;"",OR(NOT(ISNUMBER($G241)),$G241&lt;=0,$G241&gt;1)),"Peso fuera de rango"&amp;" · ","")&amp;IF(AND($S241="Sub",$G241&lt;&gt;""),"Las subactividades no llevan peso"&amp;" · ","")&amp;IF(AND($S241="Macro",ABS(SUMIFS($G$5:$G$1000,$P$5:$P$1000,$P241,$S$5:$S$1000,"Macro")-1)&gt;0.0001),"Pesos del mes suman "&amp;TEXT(SUMIFS($G$5:$G$1000,$P$5:$P$1000,$P241,$S$5:$S$1000,"Macro"),"0%")&amp;" · ","")&amp;IF(AND(N($T241)&gt;0,COUNT($H241:$K241)&gt;0),"Con subactividades: deje vacías las semanas (se calculan solas)"&amp;" · ","")&amp;IF((COUNTIF($H241:$K241,"&gt;1")+COUNTIF($H241:$K241,"&lt;0")+COUNTA($H241:$K241)-COUNT($H241:$K241))&gt;0,"Avance fuera de rango 0-100%"&amp;" · ","")&amp;IF(OR(AND($I241&lt;&gt;"",$I241&lt;$H241),AND($J241&lt;&gt;"",$J241&lt;MAX($H241:$I241)),AND($K241&lt;&gt;"",$K241&lt;MAX($H241:$J241))),"Avance semanal decreciente"&amp;" · ","")&amp;IF(AND(ISNUMBER($F241),$F241&lt;FechaRef,N($L241)&lt;1),"Vencida"&amp;" · ","")&amp;IF(AND(ObsObligatoria="Sí",ISNUMBER($F241),$F241&lt;FechaRef,N($L241)&lt;1,$N241=""),"Vencida sin observación"&amp;" · ",""))="","✔ OK","⚠ "&amp;LEFT(IF(AND($S241="Macro",$B241=""),"Macroactividad vacía"&amp;" · ","")&amp;IF(AND($B241&lt;&gt;"",$C241&lt;&gt;""),"Escriba la subactividad en otra fila, debajo de su macroactividad"&amp;" · ","")&amp;IF(AND($S241="Sub",N($R241)=0),"Subactividad sin macroactividad arriba"&amp;" · ","")&amp;IF($D241="","Sin responsable"&amp;" · ","")&amp;IF($E241="","Sin fecha de inicio"&amp;" · ","")&amp;IF($F241="","Sin fecha límite"&amp;" · ","")&amp;IF(OR(AND($E241&lt;&gt;"",NOT(ISNUMBER($E241))),AND($F241&lt;&gt;"",NOT(ISNUMBER($F241)))),"Fecha no válida"&amp;" · ","")&amp;IF(AND(ISNUMBER($E241),ISNUMBER($F241),$E241&gt;$F241),"Inicio posterior a fecha límite"&amp;" · ","")&amp;IF(AND($S241="Macro",$G241=""),"Peso vacío"&amp;" · ","")&amp;IF(AND($S241="Macro",$G241&lt;&gt;"",OR(NOT(ISNUMBER($G241)),$G241&lt;=0,$G241&gt;1)),"Peso fuera de rango"&amp;" · ","")&amp;IF(AND($S241="Sub",$G241&lt;&gt;""),"Las subactividades no llevan peso"&amp;" · ","")&amp;IF(AND($S241="Macro",ABS(SUMIFS($G$5:$G$1000,$P$5:$P$1000,$P241,$S$5:$S$1000,"Macro")-1)&gt;0.0001),"Pesos del mes suman "&amp;TEXT(SUMIFS($G$5:$G$1000,$P$5:$P$1000,$P241,$S$5:$S$1000,"Macro"),"0%")&amp;" · ","")&amp;IF(AND(N($T241)&gt;0,COUNT($H241:$K241)&gt;0),"Con subactividades: deje vacías las semanas (se calculan solas)"&amp;" · ","")&amp;IF((COUNTIF($H241:$K241,"&gt;1")+COUNTIF($H241:$K241,"&lt;0")+COUNTA($H241:$K241)-COUNT($H241:$K241))&gt;0,"Avance fuera de rango 0-100%"&amp;" · ","")&amp;IF(OR(AND($I241&lt;&gt;"",$I241&lt;$H241),AND($J241&lt;&gt;"",$J241&lt;MAX($H241:$I241)),AND($K241&lt;&gt;"",$K241&lt;MAX($H241:$J241))),"Avance semanal decreciente"&amp;" · ","")&amp;IF(AND(ISNUMBER($F241),$F241&lt;FechaRef,N($L241)&lt;1),"Vencida"&amp;" · ","")&amp;IF(AND(ObsObligatoria="Sí",ISNUMBER($F241),$F241&lt;FechaRef,N($L241)&lt;1,$N241=""),"Vencida sin observación"&amp;" · ",""),LEN(IF(AND($S241="Macro",$B241=""),"Macroactividad vacía"&amp;" · ","")&amp;IF(AND($B241&lt;&gt;"",$C241&lt;&gt;""),"Escriba la subactividad en otra fila, debajo de su macroactividad"&amp;" · ","")&amp;IF(AND($S241="Sub",N($R241)=0),"Subactividad sin macroactividad arriba"&amp;" · ","")&amp;IF($D241="","Sin responsable"&amp;" · ","")&amp;IF($E241="","Sin fecha de inicio"&amp;" · ","")&amp;IF($F241="","Sin fecha límite"&amp;" · ","")&amp;IF(OR(AND($E241&lt;&gt;"",NOT(ISNUMBER($E241))),AND($F241&lt;&gt;"",NOT(ISNUMBER($F241)))),"Fecha no válida"&amp;" · ","")&amp;IF(AND(ISNUMBER($E241),ISNUMBER($F241),$E241&gt;$F241),"Inicio posterior a fecha límite"&amp;" · ","")&amp;IF(AND($S241="Macro",$G241=""),"Peso vacío"&amp;" · ","")&amp;IF(AND($S241="Macro",$G241&lt;&gt;"",OR(NOT(ISNUMBER($G241)),$G241&lt;=0,$G241&gt;1)),"Peso fuera de rango"&amp;" · ","")&amp;IF(AND($S241="Sub",$G241&lt;&gt;""),"Las subactividades no llevan peso"&amp;" · ","")&amp;IF(AND($S241="Macro",ABS(SUMIFS($G$5:$G$1000,$P$5:$P$1000,$P241,$S$5:$S$1000,"Macro")-1)&gt;0.0001),"Pesos del mes suman "&amp;TEXT(SUMIFS($G$5:$G$1000,$P$5:$P$1000,$P241,$S$5:$S$1000,"Macro"),"0%")&amp;" · ","")&amp;IF(AND(N($T241)&gt;0,COUNT($H241:$K241)&gt;0),"Con subactividades: deje vacías las semanas (se calculan solas)"&amp;" · ","")&amp;IF((COUNTIF($H241:$K241,"&gt;1")+COUNTIF($H241:$K241,"&lt;0")+COUNTA($H241:$K241)-COUNT($H241:$K241))&gt;0,"Avance fuera de rango 0-100%"&amp;" · ","")&amp;IF(OR(AND($I241&lt;&gt;"",$I241&lt;$H241),AND($J241&lt;&gt;"",$J241&lt;MAX($H241:$I241)),AND($K241&lt;&gt;"",$K241&lt;MAX($H241:$J241))),"Avance semanal decreciente"&amp;" · ","")&amp;IF(AND(ISNUMBER($F241),$F241&lt;FechaRef,N($L241)&lt;1),"Vencida"&amp;" · ","")&amp;IF(AND(ObsObligatoria="Sí",ISNUMBER($F241),$F241&lt;FechaRef,N($L241)&lt;1,$N241=""),"Vencida sin observación"&amp;" · ",""))-3)))</f>
        <v/>
      </c>
      <c r="P241" s="69">
        <f>IF(NOT((COUNTA($B241:$K241)+COUNTA($N241))&gt;0),"",IF(AND($S241="Sub",N($R241)&gt;0),IF(ISNUMBER(INDEX($E$5:$E$1000,$R241-4)),DATE(YEAR(INDEX($E$5:$E$1000,$R241-4)),MONTH(INDEX($E$5:$E$1000,$R241-4)),1),IF(ISNUMBER(INDEX($F$5:$F$1000,$R241-4)),DATE(YEAR(INDEX($F$5:$F$1000,$R241-4)),MONTH(INDEX($F$5:$F$1000,$R241-4)),1),MesCiclo)),IF(ISNUMBER($E241),DATE(YEAR($E241),MONTH($E241),1),IF(ISNUMBER($F241),DATE(YEAR($F241),MONTH($F241),1),MesCiclo))))</f>
        <v/>
      </c>
      <c r="Q241" s="70">
        <f>IF(OR($P241="",$P241&lt;&gt;MesCiclo),"",COUNTIF($P$5:$P241,MesCiclo))</f>
        <v/>
      </c>
      <c r="R241" s="70">
        <f>IF($S241="","",IF($S241="Macro",ROW(),IFERROR(LOOKUP(2,1/($S$5:$S241="Macro"),ROW($S$5:$S241)),0)))</f>
        <v/>
      </c>
      <c r="S241" s="70">
        <f>IF(NOT((COUNTA($B241:$K241)+COUNTA($N241))&gt;0),"",IF($B241&lt;&gt;"","Macro",IF($C241&lt;&gt;"","Sub","Macro")))</f>
        <v/>
      </c>
      <c r="T241" s="70">
        <f>IF($S241="Macro",COUNTIFS($R$5:$R$1000,ROW(),$S$5:$S$1000,"Sub"),"")</f>
        <v/>
      </c>
      <c r="U241" s="70">
        <f>IF($S241="","",IF(ISNUMBER($H241),$H241,0))</f>
        <v/>
      </c>
      <c r="V241" s="70">
        <f>IF($S241="","",IF(ISNUMBER($I241),$I241,$U241))</f>
        <v/>
      </c>
      <c r="W241" s="70">
        <f>IF($S241="","",IF(ISNUMBER($J241),$J241,$V241))</f>
        <v/>
      </c>
      <c r="X241" s="70">
        <f>IF($S241="","",IF(ISNUMBER($K241),$K241,$W241))</f>
        <v/>
      </c>
      <c r="Y241" s="70">
        <f>IF($S241="","",IF(N($T241)&gt;0,AVERAGEIFS($U$5:$U$1000,$R$5:$R$1000,ROW(),$S$5:$S$1000,"Sub"),$U241))</f>
        <v/>
      </c>
      <c r="Z241" s="70">
        <f>IF($S241="","",IF(N($T241)&gt;0,AVERAGEIFS($V$5:$V$1000,$R$5:$R$1000,ROW(),$S$5:$S$1000,"Sub"),$V241))</f>
        <v/>
      </c>
      <c r="AA241" s="70">
        <f>IF($S241="","",IF(N($T241)&gt;0,AVERAGEIFS($W$5:$W$1000,$R$5:$R$1000,ROW(),$S$5:$S$1000,"Sub"),$W241))</f>
        <v/>
      </c>
      <c r="AB241" s="70">
        <f>IF($S241="","",IF(N($T241)&gt;0,AVERAGEIFS($X$5:$X$1000,$R$5:$R$1000,ROW(),$S$5:$S$1000,"Sub"),$X241))</f>
        <v/>
      </c>
    </row>
    <row r="242">
      <c r="A242" s="61">
        <f>IF(NOT((COUNTA($B242:$K242)+COUNTA($N242))&gt;0),"",IF($S242="Macro",COUNTIFS($S$5:$S242,"Macro",$P$5:$P242,$P242),IF(N($R242)=0,"?",COUNTIFS(INDEX($S$5:$S$1000,1):INDEX($S$5:$S$1000,$R242-4),"Macro",INDEX($P$5:$P$1000,1):INDEX($P$5:$P$1000,$R242-4),INDEX($P$5:$P$1000,$R242-4))&amp;"."&amp;COUNTIFS($R$5:$R242,$R242,$S$5:$S242,"Sub"))))</f>
        <v/>
      </c>
      <c r="B242" s="62" t="n"/>
      <c r="C242" s="63" t="n"/>
      <c r="D242" s="62" t="n"/>
      <c r="E242" s="64" t="n"/>
      <c r="F242" s="64" t="n"/>
      <c r="G242" s="65" t="n"/>
      <c r="H242" s="66" t="n"/>
      <c r="I242" s="66" t="n"/>
      <c r="J242" s="66" t="n"/>
      <c r="K242" s="66" t="n"/>
      <c r="L242" s="67">
        <f>IF(NOT((COUNTA($B242:$K242)+COUNTA($N242))&gt;0),"",IF(N($T242)&gt;0,$AB242,IFERROR(LOOKUP(2,1/(H242:K242&lt;&gt;""),H242:K242),0)))</f>
        <v/>
      </c>
      <c r="M242" s="61">
        <f>IF(L242="","",IF(L242&gt;=1,"Completado",IF(L242&gt;0,"En curso","Pendiente")))</f>
        <v/>
      </c>
      <c r="N242" s="62" t="n"/>
      <c r="O242" s="68">
        <f>IF(NOT((COUNTA($B242:$K242)+COUNTA($N242))&gt;0),"",IF((IF(AND($S242="Macro",$B242=""),"Macroactividad vacía"&amp;" · ","")&amp;IF(AND($B242&lt;&gt;"",$C242&lt;&gt;""),"Escriba la subactividad en otra fila, debajo de su macroactividad"&amp;" · ","")&amp;IF(AND($S242="Sub",N($R242)=0),"Subactividad sin macroactividad arriba"&amp;" · ","")&amp;IF($D242="","Sin responsable"&amp;" · ","")&amp;IF($E242="","Sin fecha de inicio"&amp;" · ","")&amp;IF($F242="","Sin fecha límite"&amp;" · ","")&amp;IF(OR(AND($E242&lt;&gt;"",NOT(ISNUMBER($E242))),AND($F242&lt;&gt;"",NOT(ISNUMBER($F242)))),"Fecha no válida"&amp;" · ","")&amp;IF(AND(ISNUMBER($E242),ISNUMBER($F242),$E242&gt;$F242),"Inicio posterior a fecha límite"&amp;" · ","")&amp;IF(AND($S242="Macro",$G242=""),"Peso vacío"&amp;" · ","")&amp;IF(AND($S242="Macro",$G242&lt;&gt;"",OR(NOT(ISNUMBER($G242)),$G242&lt;=0,$G242&gt;1)),"Peso fuera de rango"&amp;" · ","")&amp;IF(AND($S242="Sub",$G242&lt;&gt;""),"Las subactividades no llevan peso"&amp;" · ","")&amp;IF(AND($S242="Macro",ABS(SUMIFS($G$5:$G$1000,$P$5:$P$1000,$P242,$S$5:$S$1000,"Macro")-1)&gt;0.0001),"Pesos del mes suman "&amp;TEXT(SUMIFS($G$5:$G$1000,$P$5:$P$1000,$P242,$S$5:$S$1000,"Macro"),"0%")&amp;" · ","")&amp;IF(AND(N($T242)&gt;0,COUNT($H242:$K242)&gt;0),"Con subactividades: deje vacías las semanas (se calculan solas)"&amp;" · ","")&amp;IF((COUNTIF($H242:$K242,"&gt;1")+COUNTIF($H242:$K242,"&lt;0")+COUNTA($H242:$K242)-COUNT($H242:$K242))&gt;0,"Avance fuera de rango 0-100%"&amp;" · ","")&amp;IF(OR(AND($I242&lt;&gt;"",$I242&lt;$H242),AND($J242&lt;&gt;"",$J242&lt;MAX($H242:$I242)),AND($K242&lt;&gt;"",$K242&lt;MAX($H242:$J242))),"Avance semanal decreciente"&amp;" · ","")&amp;IF(AND(ISNUMBER($F242),$F242&lt;FechaRef,N($L242)&lt;1),"Vencida"&amp;" · ","")&amp;IF(AND(ObsObligatoria="Sí",ISNUMBER($F242),$F242&lt;FechaRef,N($L242)&lt;1,$N242=""),"Vencida sin observación"&amp;" · ",""))="","✔ OK","⚠ "&amp;LEFT(IF(AND($S242="Macro",$B242=""),"Macroactividad vacía"&amp;" · ","")&amp;IF(AND($B242&lt;&gt;"",$C242&lt;&gt;""),"Escriba la subactividad en otra fila, debajo de su macroactividad"&amp;" · ","")&amp;IF(AND($S242="Sub",N($R242)=0),"Subactividad sin macroactividad arriba"&amp;" · ","")&amp;IF($D242="","Sin responsable"&amp;" · ","")&amp;IF($E242="","Sin fecha de inicio"&amp;" · ","")&amp;IF($F242="","Sin fecha límite"&amp;" · ","")&amp;IF(OR(AND($E242&lt;&gt;"",NOT(ISNUMBER($E242))),AND($F242&lt;&gt;"",NOT(ISNUMBER($F242)))),"Fecha no válida"&amp;" · ","")&amp;IF(AND(ISNUMBER($E242),ISNUMBER($F242),$E242&gt;$F242),"Inicio posterior a fecha límite"&amp;" · ","")&amp;IF(AND($S242="Macro",$G242=""),"Peso vacío"&amp;" · ","")&amp;IF(AND($S242="Macro",$G242&lt;&gt;"",OR(NOT(ISNUMBER($G242)),$G242&lt;=0,$G242&gt;1)),"Peso fuera de rango"&amp;" · ","")&amp;IF(AND($S242="Sub",$G242&lt;&gt;""),"Las subactividades no llevan peso"&amp;" · ","")&amp;IF(AND($S242="Macro",ABS(SUMIFS($G$5:$G$1000,$P$5:$P$1000,$P242,$S$5:$S$1000,"Macro")-1)&gt;0.0001),"Pesos del mes suman "&amp;TEXT(SUMIFS($G$5:$G$1000,$P$5:$P$1000,$P242,$S$5:$S$1000,"Macro"),"0%")&amp;" · ","")&amp;IF(AND(N($T242)&gt;0,COUNT($H242:$K242)&gt;0),"Con subactividades: deje vacías las semanas (se calculan solas)"&amp;" · ","")&amp;IF((COUNTIF($H242:$K242,"&gt;1")+COUNTIF($H242:$K242,"&lt;0")+COUNTA($H242:$K242)-COUNT($H242:$K242))&gt;0,"Avance fuera de rango 0-100%"&amp;" · ","")&amp;IF(OR(AND($I242&lt;&gt;"",$I242&lt;$H242),AND($J242&lt;&gt;"",$J242&lt;MAX($H242:$I242)),AND($K242&lt;&gt;"",$K242&lt;MAX($H242:$J242))),"Avance semanal decreciente"&amp;" · ","")&amp;IF(AND(ISNUMBER($F242),$F242&lt;FechaRef,N($L242)&lt;1),"Vencida"&amp;" · ","")&amp;IF(AND(ObsObligatoria="Sí",ISNUMBER($F242),$F242&lt;FechaRef,N($L242)&lt;1,$N242=""),"Vencida sin observación"&amp;" · ",""),LEN(IF(AND($S242="Macro",$B242=""),"Macroactividad vacía"&amp;" · ","")&amp;IF(AND($B242&lt;&gt;"",$C242&lt;&gt;""),"Escriba la subactividad en otra fila, debajo de su macroactividad"&amp;" · ","")&amp;IF(AND($S242="Sub",N($R242)=0),"Subactividad sin macroactividad arriba"&amp;" · ","")&amp;IF($D242="","Sin responsable"&amp;" · ","")&amp;IF($E242="","Sin fecha de inicio"&amp;" · ","")&amp;IF($F242="","Sin fecha límite"&amp;" · ","")&amp;IF(OR(AND($E242&lt;&gt;"",NOT(ISNUMBER($E242))),AND($F242&lt;&gt;"",NOT(ISNUMBER($F242)))),"Fecha no válida"&amp;" · ","")&amp;IF(AND(ISNUMBER($E242),ISNUMBER($F242),$E242&gt;$F242),"Inicio posterior a fecha límite"&amp;" · ","")&amp;IF(AND($S242="Macro",$G242=""),"Peso vacío"&amp;" · ","")&amp;IF(AND($S242="Macro",$G242&lt;&gt;"",OR(NOT(ISNUMBER($G242)),$G242&lt;=0,$G242&gt;1)),"Peso fuera de rango"&amp;" · ","")&amp;IF(AND($S242="Sub",$G242&lt;&gt;""),"Las subactividades no llevan peso"&amp;" · ","")&amp;IF(AND($S242="Macro",ABS(SUMIFS($G$5:$G$1000,$P$5:$P$1000,$P242,$S$5:$S$1000,"Macro")-1)&gt;0.0001),"Pesos del mes suman "&amp;TEXT(SUMIFS($G$5:$G$1000,$P$5:$P$1000,$P242,$S$5:$S$1000,"Macro"),"0%")&amp;" · ","")&amp;IF(AND(N($T242)&gt;0,COUNT($H242:$K242)&gt;0),"Con subactividades: deje vacías las semanas (se calculan solas)"&amp;" · ","")&amp;IF((COUNTIF($H242:$K242,"&gt;1")+COUNTIF($H242:$K242,"&lt;0")+COUNTA($H242:$K242)-COUNT($H242:$K242))&gt;0,"Avance fuera de rango 0-100%"&amp;" · ","")&amp;IF(OR(AND($I242&lt;&gt;"",$I242&lt;$H242),AND($J242&lt;&gt;"",$J242&lt;MAX($H242:$I242)),AND($K242&lt;&gt;"",$K242&lt;MAX($H242:$J242))),"Avance semanal decreciente"&amp;" · ","")&amp;IF(AND(ISNUMBER($F242),$F242&lt;FechaRef,N($L242)&lt;1),"Vencida"&amp;" · ","")&amp;IF(AND(ObsObligatoria="Sí",ISNUMBER($F242),$F242&lt;FechaRef,N($L242)&lt;1,$N242=""),"Vencida sin observación"&amp;" · ",""))-3)))</f>
        <v/>
      </c>
      <c r="P242" s="69">
        <f>IF(NOT((COUNTA($B242:$K242)+COUNTA($N242))&gt;0),"",IF(AND($S242="Sub",N($R242)&gt;0),IF(ISNUMBER(INDEX($E$5:$E$1000,$R242-4)),DATE(YEAR(INDEX($E$5:$E$1000,$R242-4)),MONTH(INDEX($E$5:$E$1000,$R242-4)),1),IF(ISNUMBER(INDEX($F$5:$F$1000,$R242-4)),DATE(YEAR(INDEX($F$5:$F$1000,$R242-4)),MONTH(INDEX($F$5:$F$1000,$R242-4)),1),MesCiclo)),IF(ISNUMBER($E242),DATE(YEAR($E242),MONTH($E242),1),IF(ISNUMBER($F242),DATE(YEAR($F242),MONTH($F242),1),MesCiclo))))</f>
        <v/>
      </c>
      <c r="Q242" s="70">
        <f>IF(OR($P242="",$P242&lt;&gt;MesCiclo),"",COUNTIF($P$5:$P242,MesCiclo))</f>
        <v/>
      </c>
      <c r="R242" s="70">
        <f>IF($S242="","",IF($S242="Macro",ROW(),IFERROR(LOOKUP(2,1/($S$5:$S242="Macro"),ROW($S$5:$S242)),0)))</f>
        <v/>
      </c>
      <c r="S242" s="70">
        <f>IF(NOT((COUNTA($B242:$K242)+COUNTA($N242))&gt;0),"",IF($B242&lt;&gt;"","Macro",IF($C242&lt;&gt;"","Sub","Macro")))</f>
        <v/>
      </c>
      <c r="T242" s="70">
        <f>IF($S242="Macro",COUNTIFS($R$5:$R$1000,ROW(),$S$5:$S$1000,"Sub"),"")</f>
        <v/>
      </c>
      <c r="U242" s="70">
        <f>IF($S242="","",IF(ISNUMBER($H242),$H242,0))</f>
        <v/>
      </c>
      <c r="V242" s="70">
        <f>IF($S242="","",IF(ISNUMBER($I242),$I242,$U242))</f>
        <v/>
      </c>
      <c r="W242" s="70">
        <f>IF($S242="","",IF(ISNUMBER($J242),$J242,$V242))</f>
        <v/>
      </c>
      <c r="X242" s="70">
        <f>IF($S242="","",IF(ISNUMBER($K242),$K242,$W242))</f>
        <v/>
      </c>
      <c r="Y242" s="70">
        <f>IF($S242="","",IF(N($T242)&gt;0,AVERAGEIFS($U$5:$U$1000,$R$5:$R$1000,ROW(),$S$5:$S$1000,"Sub"),$U242))</f>
        <v/>
      </c>
      <c r="Z242" s="70">
        <f>IF($S242="","",IF(N($T242)&gt;0,AVERAGEIFS($V$5:$V$1000,$R$5:$R$1000,ROW(),$S$5:$S$1000,"Sub"),$V242))</f>
        <v/>
      </c>
      <c r="AA242" s="70">
        <f>IF($S242="","",IF(N($T242)&gt;0,AVERAGEIFS($W$5:$W$1000,$R$5:$R$1000,ROW(),$S$5:$S$1000,"Sub"),$W242))</f>
        <v/>
      </c>
      <c r="AB242" s="70">
        <f>IF($S242="","",IF(N($T242)&gt;0,AVERAGEIFS($X$5:$X$1000,$R$5:$R$1000,ROW(),$S$5:$S$1000,"Sub"),$X242))</f>
        <v/>
      </c>
    </row>
    <row r="243">
      <c r="A243" s="61">
        <f>IF(NOT((COUNTA($B243:$K243)+COUNTA($N243))&gt;0),"",IF($S243="Macro",COUNTIFS($S$5:$S243,"Macro",$P$5:$P243,$P243),IF(N($R243)=0,"?",COUNTIFS(INDEX($S$5:$S$1000,1):INDEX($S$5:$S$1000,$R243-4),"Macro",INDEX($P$5:$P$1000,1):INDEX($P$5:$P$1000,$R243-4),INDEX($P$5:$P$1000,$R243-4))&amp;"."&amp;COUNTIFS($R$5:$R243,$R243,$S$5:$S243,"Sub"))))</f>
        <v/>
      </c>
      <c r="B243" s="62" t="n"/>
      <c r="C243" s="63" t="n"/>
      <c r="D243" s="62" t="n"/>
      <c r="E243" s="64" t="n"/>
      <c r="F243" s="64" t="n"/>
      <c r="G243" s="65" t="n"/>
      <c r="H243" s="66" t="n"/>
      <c r="I243" s="66" t="n"/>
      <c r="J243" s="66" t="n"/>
      <c r="K243" s="66" t="n"/>
      <c r="L243" s="67">
        <f>IF(NOT((COUNTA($B243:$K243)+COUNTA($N243))&gt;0),"",IF(N($T243)&gt;0,$AB243,IFERROR(LOOKUP(2,1/(H243:K243&lt;&gt;""),H243:K243),0)))</f>
        <v/>
      </c>
      <c r="M243" s="61">
        <f>IF(L243="","",IF(L243&gt;=1,"Completado",IF(L243&gt;0,"En curso","Pendiente")))</f>
        <v/>
      </c>
      <c r="N243" s="62" t="n"/>
      <c r="O243" s="68">
        <f>IF(NOT((COUNTA($B243:$K243)+COUNTA($N243))&gt;0),"",IF((IF(AND($S243="Macro",$B243=""),"Macroactividad vacía"&amp;" · ","")&amp;IF(AND($B243&lt;&gt;"",$C243&lt;&gt;""),"Escriba la subactividad en otra fila, debajo de su macroactividad"&amp;" · ","")&amp;IF(AND($S243="Sub",N($R243)=0),"Subactividad sin macroactividad arriba"&amp;" · ","")&amp;IF($D243="","Sin responsable"&amp;" · ","")&amp;IF($E243="","Sin fecha de inicio"&amp;" · ","")&amp;IF($F243="","Sin fecha límite"&amp;" · ","")&amp;IF(OR(AND($E243&lt;&gt;"",NOT(ISNUMBER($E243))),AND($F243&lt;&gt;"",NOT(ISNUMBER($F243)))),"Fecha no válida"&amp;" · ","")&amp;IF(AND(ISNUMBER($E243),ISNUMBER($F243),$E243&gt;$F243),"Inicio posterior a fecha límite"&amp;" · ","")&amp;IF(AND($S243="Macro",$G243=""),"Peso vacío"&amp;" · ","")&amp;IF(AND($S243="Macro",$G243&lt;&gt;"",OR(NOT(ISNUMBER($G243)),$G243&lt;=0,$G243&gt;1)),"Peso fuera de rango"&amp;" · ","")&amp;IF(AND($S243="Sub",$G243&lt;&gt;""),"Las subactividades no llevan peso"&amp;" · ","")&amp;IF(AND($S243="Macro",ABS(SUMIFS($G$5:$G$1000,$P$5:$P$1000,$P243,$S$5:$S$1000,"Macro")-1)&gt;0.0001),"Pesos del mes suman "&amp;TEXT(SUMIFS($G$5:$G$1000,$P$5:$P$1000,$P243,$S$5:$S$1000,"Macro"),"0%")&amp;" · ","")&amp;IF(AND(N($T243)&gt;0,COUNT($H243:$K243)&gt;0),"Con subactividades: deje vacías las semanas (se calculan solas)"&amp;" · ","")&amp;IF((COUNTIF($H243:$K243,"&gt;1")+COUNTIF($H243:$K243,"&lt;0")+COUNTA($H243:$K243)-COUNT($H243:$K243))&gt;0,"Avance fuera de rango 0-100%"&amp;" · ","")&amp;IF(OR(AND($I243&lt;&gt;"",$I243&lt;$H243),AND($J243&lt;&gt;"",$J243&lt;MAX($H243:$I243)),AND($K243&lt;&gt;"",$K243&lt;MAX($H243:$J243))),"Avance semanal decreciente"&amp;" · ","")&amp;IF(AND(ISNUMBER($F243),$F243&lt;FechaRef,N($L243)&lt;1),"Vencida"&amp;" · ","")&amp;IF(AND(ObsObligatoria="Sí",ISNUMBER($F243),$F243&lt;FechaRef,N($L243)&lt;1,$N243=""),"Vencida sin observación"&amp;" · ",""))="","✔ OK","⚠ "&amp;LEFT(IF(AND($S243="Macro",$B243=""),"Macroactividad vacía"&amp;" · ","")&amp;IF(AND($B243&lt;&gt;"",$C243&lt;&gt;""),"Escriba la subactividad en otra fila, debajo de su macroactividad"&amp;" · ","")&amp;IF(AND($S243="Sub",N($R243)=0),"Subactividad sin macroactividad arriba"&amp;" · ","")&amp;IF($D243="","Sin responsable"&amp;" · ","")&amp;IF($E243="","Sin fecha de inicio"&amp;" · ","")&amp;IF($F243="","Sin fecha límite"&amp;" · ","")&amp;IF(OR(AND($E243&lt;&gt;"",NOT(ISNUMBER($E243))),AND($F243&lt;&gt;"",NOT(ISNUMBER($F243)))),"Fecha no válida"&amp;" · ","")&amp;IF(AND(ISNUMBER($E243),ISNUMBER($F243),$E243&gt;$F243),"Inicio posterior a fecha límite"&amp;" · ","")&amp;IF(AND($S243="Macro",$G243=""),"Peso vacío"&amp;" · ","")&amp;IF(AND($S243="Macro",$G243&lt;&gt;"",OR(NOT(ISNUMBER($G243)),$G243&lt;=0,$G243&gt;1)),"Peso fuera de rango"&amp;" · ","")&amp;IF(AND($S243="Sub",$G243&lt;&gt;""),"Las subactividades no llevan peso"&amp;" · ","")&amp;IF(AND($S243="Macro",ABS(SUMIFS($G$5:$G$1000,$P$5:$P$1000,$P243,$S$5:$S$1000,"Macro")-1)&gt;0.0001),"Pesos del mes suman "&amp;TEXT(SUMIFS($G$5:$G$1000,$P$5:$P$1000,$P243,$S$5:$S$1000,"Macro"),"0%")&amp;" · ","")&amp;IF(AND(N($T243)&gt;0,COUNT($H243:$K243)&gt;0),"Con subactividades: deje vacías las semanas (se calculan solas)"&amp;" · ","")&amp;IF((COUNTIF($H243:$K243,"&gt;1")+COUNTIF($H243:$K243,"&lt;0")+COUNTA($H243:$K243)-COUNT($H243:$K243))&gt;0,"Avance fuera de rango 0-100%"&amp;" · ","")&amp;IF(OR(AND($I243&lt;&gt;"",$I243&lt;$H243),AND($J243&lt;&gt;"",$J243&lt;MAX($H243:$I243)),AND($K243&lt;&gt;"",$K243&lt;MAX($H243:$J243))),"Avance semanal decreciente"&amp;" · ","")&amp;IF(AND(ISNUMBER($F243),$F243&lt;FechaRef,N($L243)&lt;1),"Vencida"&amp;" · ","")&amp;IF(AND(ObsObligatoria="Sí",ISNUMBER($F243),$F243&lt;FechaRef,N($L243)&lt;1,$N243=""),"Vencida sin observación"&amp;" · ",""),LEN(IF(AND($S243="Macro",$B243=""),"Macroactividad vacía"&amp;" · ","")&amp;IF(AND($B243&lt;&gt;"",$C243&lt;&gt;""),"Escriba la subactividad en otra fila, debajo de su macroactividad"&amp;" · ","")&amp;IF(AND($S243="Sub",N($R243)=0),"Subactividad sin macroactividad arriba"&amp;" · ","")&amp;IF($D243="","Sin responsable"&amp;" · ","")&amp;IF($E243="","Sin fecha de inicio"&amp;" · ","")&amp;IF($F243="","Sin fecha límite"&amp;" · ","")&amp;IF(OR(AND($E243&lt;&gt;"",NOT(ISNUMBER($E243))),AND($F243&lt;&gt;"",NOT(ISNUMBER($F243)))),"Fecha no válida"&amp;" · ","")&amp;IF(AND(ISNUMBER($E243),ISNUMBER($F243),$E243&gt;$F243),"Inicio posterior a fecha límite"&amp;" · ","")&amp;IF(AND($S243="Macro",$G243=""),"Peso vacío"&amp;" · ","")&amp;IF(AND($S243="Macro",$G243&lt;&gt;"",OR(NOT(ISNUMBER($G243)),$G243&lt;=0,$G243&gt;1)),"Peso fuera de rango"&amp;" · ","")&amp;IF(AND($S243="Sub",$G243&lt;&gt;""),"Las subactividades no llevan peso"&amp;" · ","")&amp;IF(AND($S243="Macro",ABS(SUMIFS($G$5:$G$1000,$P$5:$P$1000,$P243,$S$5:$S$1000,"Macro")-1)&gt;0.0001),"Pesos del mes suman "&amp;TEXT(SUMIFS($G$5:$G$1000,$P$5:$P$1000,$P243,$S$5:$S$1000,"Macro"),"0%")&amp;" · ","")&amp;IF(AND(N($T243)&gt;0,COUNT($H243:$K243)&gt;0),"Con subactividades: deje vacías las semanas (se calculan solas)"&amp;" · ","")&amp;IF((COUNTIF($H243:$K243,"&gt;1")+COUNTIF($H243:$K243,"&lt;0")+COUNTA($H243:$K243)-COUNT($H243:$K243))&gt;0,"Avance fuera de rango 0-100%"&amp;" · ","")&amp;IF(OR(AND($I243&lt;&gt;"",$I243&lt;$H243),AND($J243&lt;&gt;"",$J243&lt;MAX($H243:$I243)),AND($K243&lt;&gt;"",$K243&lt;MAX($H243:$J243))),"Avance semanal decreciente"&amp;" · ","")&amp;IF(AND(ISNUMBER($F243),$F243&lt;FechaRef,N($L243)&lt;1),"Vencida"&amp;" · ","")&amp;IF(AND(ObsObligatoria="Sí",ISNUMBER($F243),$F243&lt;FechaRef,N($L243)&lt;1,$N243=""),"Vencida sin observación"&amp;" · ",""))-3)))</f>
        <v/>
      </c>
      <c r="P243" s="69">
        <f>IF(NOT((COUNTA($B243:$K243)+COUNTA($N243))&gt;0),"",IF(AND($S243="Sub",N($R243)&gt;0),IF(ISNUMBER(INDEX($E$5:$E$1000,$R243-4)),DATE(YEAR(INDEX($E$5:$E$1000,$R243-4)),MONTH(INDEX($E$5:$E$1000,$R243-4)),1),IF(ISNUMBER(INDEX($F$5:$F$1000,$R243-4)),DATE(YEAR(INDEX($F$5:$F$1000,$R243-4)),MONTH(INDEX($F$5:$F$1000,$R243-4)),1),MesCiclo)),IF(ISNUMBER($E243),DATE(YEAR($E243),MONTH($E243),1),IF(ISNUMBER($F243),DATE(YEAR($F243),MONTH($F243),1),MesCiclo))))</f>
        <v/>
      </c>
      <c r="Q243" s="70">
        <f>IF(OR($P243="",$P243&lt;&gt;MesCiclo),"",COUNTIF($P$5:$P243,MesCiclo))</f>
        <v/>
      </c>
      <c r="R243" s="70">
        <f>IF($S243="","",IF($S243="Macro",ROW(),IFERROR(LOOKUP(2,1/($S$5:$S243="Macro"),ROW($S$5:$S243)),0)))</f>
        <v/>
      </c>
      <c r="S243" s="70">
        <f>IF(NOT((COUNTA($B243:$K243)+COUNTA($N243))&gt;0),"",IF($B243&lt;&gt;"","Macro",IF($C243&lt;&gt;"","Sub","Macro")))</f>
        <v/>
      </c>
      <c r="T243" s="70">
        <f>IF($S243="Macro",COUNTIFS($R$5:$R$1000,ROW(),$S$5:$S$1000,"Sub"),"")</f>
        <v/>
      </c>
      <c r="U243" s="70">
        <f>IF($S243="","",IF(ISNUMBER($H243),$H243,0))</f>
        <v/>
      </c>
      <c r="V243" s="70">
        <f>IF($S243="","",IF(ISNUMBER($I243),$I243,$U243))</f>
        <v/>
      </c>
      <c r="W243" s="70">
        <f>IF($S243="","",IF(ISNUMBER($J243),$J243,$V243))</f>
        <v/>
      </c>
      <c r="X243" s="70">
        <f>IF($S243="","",IF(ISNUMBER($K243),$K243,$W243))</f>
        <v/>
      </c>
      <c r="Y243" s="70">
        <f>IF($S243="","",IF(N($T243)&gt;0,AVERAGEIFS($U$5:$U$1000,$R$5:$R$1000,ROW(),$S$5:$S$1000,"Sub"),$U243))</f>
        <v/>
      </c>
      <c r="Z243" s="70">
        <f>IF($S243="","",IF(N($T243)&gt;0,AVERAGEIFS($V$5:$V$1000,$R$5:$R$1000,ROW(),$S$5:$S$1000,"Sub"),$V243))</f>
        <v/>
      </c>
      <c r="AA243" s="70">
        <f>IF($S243="","",IF(N($T243)&gt;0,AVERAGEIFS($W$5:$W$1000,$R$5:$R$1000,ROW(),$S$5:$S$1000,"Sub"),$W243))</f>
        <v/>
      </c>
      <c r="AB243" s="70">
        <f>IF($S243="","",IF(N($T243)&gt;0,AVERAGEIFS($X$5:$X$1000,$R$5:$R$1000,ROW(),$S$5:$S$1000,"Sub"),$X243))</f>
        <v/>
      </c>
    </row>
    <row r="244">
      <c r="A244" s="61">
        <f>IF(NOT((COUNTA($B244:$K244)+COUNTA($N244))&gt;0),"",IF($S244="Macro",COUNTIFS($S$5:$S244,"Macro",$P$5:$P244,$P244),IF(N($R244)=0,"?",COUNTIFS(INDEX($S$5:$S$1000,1):INDEX($S$5:$S$1000,$R244-4),"Macro",INDEX($P$5:$P$1000,1):INDEX($P$5:$P$1000,$R244-4),INDEX($P$5:$P$1000,$R244-4))&amp;"."&amp;COUNTIFS($R$5:$R244,$R244,$S$5:$S244,"Sub"))))</f>
        <v/>
      </c>
      <c r="B244" s="62" t="n"/>
      <c r="C244" s="63" t="n"/>
      <c r="D244" s="62" t="n"/>
      <c r="E244" s="64" t="n"/>
      <c r="F244" s="64" t="n"/>
      <c r="G244" s="65" t="n"/>
      <c r="H244" s="66" t="n"/>
      <c r="I244" s="66" t="n"/>
      <c r="J244" s="66" t="n"/>
      <c r="K244" s="66" t="n"/>
      <c r="L244" s="67">
        <f>IF(NOT((COUNTA($B244:$K244)+COUNTA($N244))&gt;0),"",IF(N($T244)&gt;0,$AB244,IFERROR(LOOKUP(2,1/(H244:K244&lt;&gt;""),H244:K244),0)))</f>
        <v/>
      </c>
      <c r="M244" s="61">
        <f>IF(L244="","",IF(L244&gt;=1,"Completado",IF(L244&gt;0,"En curso","Pendiente")))</f>
        <v/>
      </c>
      <c r="N244" s="62" t="n"/>
      <c r="O244" s="68">
        <f>IF(NOT((COUNTA($B244:$K244)+COUNTA($N244))&gt;0),"",IF((IF(AND($S244="Macro",$B244=""),"Macroactividad vacía"&amp;" · ","")&amp;IF(AND($B244&lt;&gt;"",$C244&lt;&gt;""),"Escriba la subactividad en otra fila, debajo de su macroactividad"&amp;" · ","")&amp;IF(AND($S244="Sub",N($R244)=0),"Subactividad sin macroactividad arriba"&amp;" · ","")&amp;IF($D244="","Sin responsable"&amp;" · ","")&amp;IF($E244="","Sin fecha de inicio"&amp;" · ","")&amp;IF($F244="","Sin fecha límite"&amp;" · ","")&amp;IF(OR(AND($E244&lt;&gt;"",NOT(ISNUMBER($E244))),AND($F244&lt;&gt;"",NOT(ISNUMBER($F244)))),"Fecha no válida"&amp;" · ","")&amp;IF(AND(ISNUMBER($E244),ISNUMBER($F244),$E244&gt;$F244),"Inicio posterior a fecha límite"&amp;" · ","")&amp;IF(AND($S244="Macro",$G244=""),"Peso vacío"&amp;" · ","")&amp;IF(AND($S244="Macro",$G244&lt;&gt;"",OR(NOT(ISNUMBER($G244)),$G244&lt;=0,$G244&gt;1)),"Peso fuera de rango"&amp;" · ","")&amp;IF(AND($S244="Sub",$G244&lt;&gt;""),"Las subactividades no llevan peso"&amp;" · ","")&amp;IF(AND($S244="Macro",ABS(SUMIFS($G$5:$G$1000,$P$5:$P$1000,$P244,$S$5:$S$1000,"Macro")-1)&gt;0.0001),"Pesos del mes suman "&amp;TEXT(SUMIFS($G$5:$G$1000,$P$5:$P$1000,$P244,$S$5:$S$1000,"Macro"),"0%")&amp;" · ","")&amp;IF(AND(N($T244)&gt;0,COUNT($H244:$K244)&gt;0),"Con subactividades: deje vacías las semanas (se calculan solas)"&amp;" · ","")&amp;IF((COUNTIF($H244:$K244,"&gt;1")+COUNTIF($H244:$K244,"&lt;0")+COUNTA($H244:$K244)-COUNT($H244:$K244))&gt;0,"Avance fuera de rango 0-100%"&amp;" · ","")&amp;IF(OR(AND($I244&lt;&gt;"",$I244&lt;$H244),AND($J244&lt;&gt;"",$J244&lt;MAX($H244:$I244)),AND($K244&lt;&gt;"",$K244&lt;MAX($H244:$J244))),"Avance semanal decreciente"&amp;" · ","")&amp;IF(AND(ISNUMBER($F244),$F244&lt;FechaRef,N($L244)&lt;1),"Vencida"&amp;" · ","")&amp;IF(AND(ObsObligatoria="Sí",ISNUMBER($F244),$F244&lt;FechaRef,N($L244)&lt;1,$N244=""),"Vencida sin observación"&amp;" · ",""))="","✔ OK","⚠ "&amp;LEFT(IF(AND($S244="Macro",$B244=""),"Macroactividad vacía"&amp;" · ","")&amp;IF(AND($B244&lt;&gt;"",$C244&lt;&gt;""),"Escriba la subactividad en otra fila, debajo de su macroactividad"&amp;" · ","")&amp;IF(AND($S244="Sub",N($R244)=0),"Subactividad sin macroactividad arriba"&amp;" · ","")&amp;IF($D244="","Sin responsable"&amp;" · ","")&amp;IF($E244="","Sin fecha de inicio"&amp;" · ","")&amp;IF($F244="","Sin fecha límite"&amp;" · ","")&amp;IF(OR(AND($E244&lt;&gt;"",NOT(ISNUMBER($E244))),AND($F244&lt;&gt;"",NOT(ISNUMBER($F244)))),"Fecha no válida"&amp;" · ","")&amp;IF(AND(ISNUMBER($E244),ISNUMBER($F244),$E244&gt;$F244),"Inicio posterior a fecha límite"&amp;" · ","")&amp;IF(AND($S244="Macro",$G244=""),"Peso vacío"&amp;" · ","")&amp;IF(AND($S244="Macro",$G244&lt;&gt;"",OR(NOT(ISNUMBER($G244)),$G244&lt;=0,$G244&gt;1)),"Peso fuera de rango"&amp;" · ","")&amp;IF(AND($S244="Sub",$G244&lt;&gt;""),"Las subactividades no llevan peso"&amp;" · ","")&amp;IF(AND($S244="Macro",ABS(SUMIFS($G$5:$G$1000,$P$5:$P$1000,$P244,$S$5:$S$1000,"Macro")-1)&gt;0.0001),"Pesos del mes suman "&amp;TEXT(SUMIFS($G$5:$G$1000,$P$5:$P$1000,$P244,$S$5:$S$1000,"Macro"),"0%")&amp;" · ","")&amp;IF(AND(N($T244)&gt;0,COUNT($H244:$K244)&gt;0),"Con subactividades: deje vacías las semanas (se calculan solas)"&amp;" · ","")&amp;IF((COUNTIF($H244:$K244,"&gt;1")+COUNTIF($H244:$K244,"&lt;0")+COUNTA($H244:$K244)-COUNT($H244:$K244))&gt;0,"Avance fuera de rango 0-100%"&amp;" · ","")&amp;IF(OR(AND($I244&lt;&gt;"",$I244&lt;$H244),AND($J244&lt;&gt;"",$J244&lt;MAX($H244:$I244)),AND($K244&lt;&gt;"",$K244&lt;MAX($H244:$J244))),"Avance semanal decreciente"&amp;" · ","")&amp;IF(AND(ISNUMBER($F244),$F244&lt;FechaRef,N($L244)&lt;1),"Vencida"&amp;" · ","")&amp;IF(AND(ObsObligatoria="Sí",ISNUMBER($F244),$F244&lt;FechaRef,N($L244)&lt;1,$N244=""),"Vencida sin observación"&amp;" · ",""),LEN(IF(AND($S244="Macro",$B244=""),"Macroactividad vacía"&amp;" · ","")&amp;IF(AND($B244&lt;&gt;"",$C244&lt;&gt;""),"Escriba la subactividad en otra fila, debajo de su macroactividad"&amp;" · ","")&amp;IF(AND($S244="Sub",N($R244)=0),"Subactividad sin macroactividad arriba"&amp;" · ","")&amp;IF($D244="","Sin responsable"&amp;" · ","")&amp;IF($E244="","Sin fecha de inicio"&amp;" · ","")&amp;IF($F244="","Sin fecha límite"&amp;" · ","")&amp;IF(OR(AND($E244&lt;&gt;"",NOT(ISNUMBER($E244))),AND($F244&lt;&gt;"",NOT(ISNUMBER($F244)))),"Fecha no válida"&amp;" · ","")&amp;IF(AND(ISNUMBER($E244),ISNUMBER($F244),$E244&gt;$F244),"Inicio posterior a fecha límite"&amp;" · ","")&amp;IF(AND($S244="Macro",$G244=""),"Peso vacío"&amp;" · ","")&amp;IF(AND($S244="Macro",$G244&lt;&gt;"",OR(NOT(ISNUMBER($G244)),$G244&lt;=0,$G244&gt;1)),"Peso fuera de rango"&amp;" · ","")&amp;IF(AND($S244="Sub",$G244&lt;&gt;""),"Las subactividades no llevan peso"&amp;" · ","")&amp;IF(AND($S244="Macro",ABS(SUMIFS($G$5:$G$1000,$P$5:$P$1000,$P244,$S$5:$S$1000,"Macro")-1)&gt;0.0001),"Pesos del mes suman "&amp;TEXT(SUMIFS($G$5:$G$1000,$P$5:$P$1000,$P244,$S$5:$S$1000,"Macro"),"0%")&amp;" · ","")&amp;IF(AND(N($T244)&gt;0,COUNT($H244:$K244)&gt;0),"Con subactividades: deje vacías las semanas (se calculan solas)"&amp;" · ","")&amp;IF((COUNTIF($H244:$K244,"&gt;1")+COUNTIF($H244:$K244,"&lt;0")+COUNTA($H244:$K244)-COUNT($H244:$K244))&gt;0,"Avance fuera de rango 0-100%"&amp;" · ","")&amp;IF(OR(AND($I244&lt;&gt;"",$I244&lt;$H244),AND($J244&lt;&gt;"",$J244&lt;MAX($H244:$I244)),AND($K244&lt;&gt;"",$K244&lt;MAX($H244:$J244))),"Avance semanal decreciente"&amp;" · ","")&amp;IF(AND(ISNUMBER($F244),$F244&lt;FechaRef,N($L244)&lt;1),"Vencida"&amp;" · ","")&amp;IF(AND(ObsObligatoria="Sí",ISNUMBER($F244),$F244&lt;FechaRef,N($L244)&lt;1,$N244=""),"Vencida sin observación"&amp;" · ",""))-3)))</f>
        <v/>
      </c>
      <c r="P244" s="69">
        <f>IF(NOT((COUNTA($B244:$K244)+COUNTA($N244))&gt;0),"",IF(AND($S244="Sub",N($R244)&gt;0),IF(ISNUMBER(INDEX($E$5:$E$1000,$R244-4)),DATE(YEAR(INDEX($E$5:$E$1000,$R244-4)),MONTH(INDEX($E$5:$E$1000,$R244-4)),1),IF(ISNUMBER(INDEX($F$5:$F$1000,$R244-4)),DATE(YEAR(INDEX($F$5:$F$1000,$R244-4)),MONTH(INDEX($F$5:$F$1000,$R244-4)),1),MesCiclo)),IF(ISNUMBER($E244),DATE(YEAR($E244),MONTH($E244),1),IF(ISNUMBER($F244),DATE(YEAR($F244),MONTH($F244),1),MesCiclo))))</f>
        <v/>
      </c>
      <c r="Q244" s="70">
        <f>IF(OR($P244="",$P244&lt;&gt;MesCiclo),"",COUNTIF($P$5:$P244,MesCiclo))</f>
        <v/>
      </c>
      <c r="R244" s="70">
        <f>IF($S244="","",IF($S244="Macro",ROW(),IFERROR(LOOKUP(2,1/($S$5:$S244="Macro"),ROW($S$5:$S244)),0)))</f>
        <v/>
      </c>
      <c r="S244" s="70">
        <f>IF(NOT((COUNTA($B244:$K244)+COUNTA($N244))&gt;0),"",IF($B244&lt;&gt;"","Macro",IF($C244&lt;&gt;"","Sub","Macro")))</f>
        <v/>
      </c>
      <c r="T244" s="70">
        <f>IF($S244="Macro",COUNTIFS($R$5:$R$1000,ROW(),$S$5:$S$1000,"Sub"),"")</f>
        <v/>
      </c>
      <c r="U244" s="70">
        <f>IF($S244="","",IF(ISNUMBER($H244),$H244,0))</f>
        <v/>
      </c>
      <c r="V244" s="70">
        <f>IF($S244="","",IF(ISNUMBER($I244),$I244,$U244))</f>
        <v/>
      </c>
      <c r="W244" s="70">
        <f>IF($S244="","",IF(ISNUMBER($J244),$J244,$V244))</f>
        <v/>
      </c>
      <c r="X244" s="70">
        <f>IF($S244="","",IF(ISNUMBER($K244),$K244,$W244))</f>
        <v/>
      </c>
      <c r="Y244" s="70">
        <f>IF($S244="","",IF(N($T244)&gt;0,AVERAGEIFS($U$5:$U$1000,$R$5:$R$1000,ROW(),$S$5:$S$1000,"Sub"),$U244))</f>
        <v/>
      </c>
      <c r="Z244" s="70">
        <f>IF($S244="","",IF(N($T244)&gt;0,AVERAGEIFS($V$5:$V$1000,$R$5:$R$1000,ROW(),$S$5:$S$1000,"Sub"),$V244))</f>
        <v/>
      </c>
      <c r="AA244" s="70">
        <f>IF($S244="","",IF(N($T244)&gt;0,AVERAGEIFS($W$5:$W$1000,$R$5:$R$1000,ROW(),$S$5:$S$1000,"Sub"),$W244))</f>
        <v/>
      </c>
      <c r="AB244" s="70">
        <f>IF($S244="","",IF(N($T244)&gt;0,AVERAGEIFS($X$5:$X$1000,$R$5:$R$1000,ROW(),$S$5:$S$1000,"Sub"),$X244))</f>
        <v/>
      </c>
    </row>
    <row r="245">
      <c r="A245" s="61">
        <f>IF(NOT((COUNTA($B245:$K245)+COUNTA($N245))&gt;0),"",IF($S245="Macro",COUNTIFS($S$5:$S245,"Macro",$P$5:$P245,$P245),IF(N($R245)=0,"?",COUNTIFS(INDEX($S$5:$S$1000,1):INDEX($S$5:$S$1000,$R245-4),"Macro",INDEX($P$5:$P$1000,1):INDEX($P$5:$P$1000,$R245-4),INDEX($P$5:$P$1000,$R245-4))&amp;"."&amp;COUNTIFS($R$5:$R245,$R245,$S$5:$S245,"Sub"))))</f>
        <v/>
      </c>
      <c r="B245" s="62" t="n"/>
      <c r="C245" s="63" t="n"/>
      <c r="D245" s="62" t="n"/>
      <c r="E245" s="64" t="n"/>
      <c r="F245" s="64" t="n"/>
      <c r="G245" s="65" t="n"/>
      <c r="H245" s="66" t="n"/>
      <c r="I245" s="66" t="n"/>
      <c r="J245" s="66" t="n"/>
      <c r="K245" s="66" t="n"/>
      <c r="L245" s="67">
        <f>IF(NOT((COUNTA($B245:$K245)+COUNTA($N245))&gt;0),"",IF(N($T245)&gt;0,$AB245,IFERROR(LOOKUP(2,1/(H245:K245&lt;&gt;""),H245:K245),0)))</f>
        <v/>
      </c>
      <c r="M245" s="61">
        <f>IF(L245="","",IF(L245&gt;=1,"Completado",IF(L245&gt;0,"En curso","Pendiente")))</f>
        <v/>
      </c>
      <c r="N245" s="62" t="n"/>
      <c r="O245" s="68">
        <f>IF(NOT((COUNTA($B245:$K245)+COUNTA($N245))&gt;0),"",IF((IF(AND($S245="Macro",$B245=""),"Macroactividad vacía"&amp;" · ","")&amp;IF(AND($B245&lt;&gt;"",$C245&lt;&gt;""),"Escriba la subactividad en otra fila, debajo de su macroactividad"&amp;" · ","")&amp;IF(AND($S245="Sub",N($R245)=0),"Subactividad sin macroactividad arriba"&amp;" · ","")&amp;IF($D245="","Sin responsable"&amp;" · ","")&amp;IF($E245="","Sin fecha de inicio"&amp;" · ","")&amp;IF($F245="","Sin fecha límite"&amp;" · ","")&amp;IF(OR(AND($E245&lt;&gt;"",NOT(ISNUMBER($E245))),AND($F245&lt;&gt;"",NOT(ISNUMBER($F245)))),"Fecha no válida"&amp;" · ","")&amp;IF(AND(ISNUMBER($E245),ISNUMBER($F245),$E245&gt;$F245),"Inicio posterior a fecha límite"&amp;" · ","")&amp;IF(AND($S245="Macro",$G245=""),"Peso vacío"&amp;" · ","")&amp;IF(AND($S245="Macro",$G245&lt;&gt;"",OR(NOT(ISNUMBER($G245)),$G245&lt;=0,$G245&gt;1)),"Peso fuera de rango"&amp;" · ","")&amp;IF(AND($S245="Sub",$G245&lt;&gt;""),"Las subactividades no llevan peso"&amp;" · ","")&amp;IF(AND($S245="Macro",ABS(SUMIFS($G$5:$G$1000,$P$5:$P$1000,$P245,$S$5:$S$1000,"Macro")-1)&gt;0.0001),"Pesos del mes suman "&amp;TEXT(SUMIFS($G$5:$G$1000,$P$5:$P$1000,$P245,$S$5:$S$1000,"Macro"),"0%")&amp;" · ","")&amp;IF(AND(N($T245)&gt;0,COUNT($H245:$K245)&gt;0),"Con subactividades: deje vacías las semanas (se calculan solas)"&amp;" · ","")&amp;IF((COUNTIF($H245:$K245,"&gt;1")+COUNTIF($H245:$K245,"&lt;0")+COUNTA($H245:$K245)-COUNT($H245:$K245))&gt;0,"Avance fuera de rango 0-100%"&amp;" · ","")&amp;IF(OR(AND($I245&lt;&gt;"",$I245&lt;$H245),AND($J245&lt;&gt;"",$J245&lt;MAX($H245:$I245)),AND($K245&lt;&gt;"",$K245&lt;MAX($H245:$J245))),"Avance semanal decreciente"&amp;" · ","")&amp;IF(AND(ISNUMBER($F245),$F245&lt;FechaRef,N($L245)&lt;1),"Vencida"&amp;" · ","")&amp;IF(AND(ObsObligatoria="Sí",ISNUMBER($F245),$F245&lt;FechaRef,N($L245)&lt;1,$N245=""),"Vencida sin observación"&amp;" · ",""))="","✔ OK","⚠ "&amp;LEFT(IF(AND($S245="Macro",$B245=""),"Macroactividad vacía"&amp;" · ","")&amp;IF(AND($B245&lt;&gt;"",$C245&lt;&gt;""),"Escriba la subactividad en otra fila, debajo de su macroactividad"&amp;" · ","")&amp;IF(AND($S245="Sub",N($R245)=0),"Subactividad sin macroactividad arriba"&amp;" · ","")&amp;IF($D245="","Sin responsable"&amp;" · ","")&amp;IF($E245="","Sin fecha de inicio"&amp;" · ","")&amp;IF($F245="","Sin fecha límite"&amp;" · ","")&amp;IF(OR(AND($E245&lt;&gt;"",NOT(ISNUMBER($E245))),AND($F245&lt;&gt;"",NOT(ISNUMBER($F245)))),"Fecha no válida"&amp;" · ","")&amp;IF(AND(ISNUMBER($E245),ISNUMBER($F245),$E245&gt;$F245),"Inicio posterior a fecha límite"&amp;" · ","")&amp;IF(AND($S245="Macro",$G245=""),"Peso vacío"&amp;" · ","")&amp;IF(AND($S245="Macro",$G245&lt;&gt;"",OR(NOT(ISNUMBER($G245)),$G245&lt;=0,$G245&gt;1)),"Peso fuera de rango"&amp;" · ","")&amp;IF(AND($S245="Sub",$G245&lt;&gt;""),"Las subactividades no llevan peso"&amp;" · ","")&amp;IF(AND($S245="Macro",ABS(SUMIFS($G$5:$G$1000,$P$5:$P$1000,$P245,$S$5:$S$1000,"Macro")-1)&gt;0.0001),"Pesos del mes suman "&amp;TEXT(SUMIFS($G$5:$G$1000,$P$5:$P$1000,$P245,$S$5:$S$1000,"Macro"),"0%")&amp;" · ","")&amp;IF(AND(N($T245)&gt;0,COUNT($H245:$K245)&gt;0),"Con subactividades: deje vacías las semanas (se calculan solas)"&amp;" · ","")&amp;IF((COUNTIF($H245:$K245,"&gt;1")+COUNTIF($H245:$K245,"&lt;0")+COUNTA($H245:$K245)-COUNT($H245:$K245))&gt;0,"Avance fuera de rango 0-100%"&amp;" · ","")&amp;IF(OR(AND($I245&lt;&gt;"",$I245&lt;$H245),AND($J245&lt;&gt;"",$J245&lt;MAX($H245:$I245)),AND($K245&lt;&gt;"",$K245&lt;MAX($H245:$J245))),"Avance semanal decreciente"&amp;" · ","")&amp;IF(AND(ISNUMBER($F245),$F245&lt;FechaRef,N($L245)&lt;1),"Vencida"&amp;" · ","")&amp;IF(AND(ObsObligatoria="Sí",ISNUMBER($F245),$F245&lt;FechaRef,N($L245)&lt;1,$N245=""),"Vencida sin observación"&amp;" · ",""),LEN(IF(AND($S245="Macro",$B245=""),"Macroactividad vacía"&amp;" · ","")&amp;IF(AND($B245&lt;&gt;"",$C245&lt;&gt;""),"Escriba la subactividad en otra fila, debajo de su macroactividad"&amp;" · ","")&amp;IF(AND($S245="Sub",N($R245)=0),"Subactividad sin macroactividad arriba"&amp;" · ","")&amp;IF($D245="","Sin responsable"&amp;" · ","")&amp;IF($E245="","Sin fecha de inicio"&amp;" · ","")&amp;IF($F245="","Sin fecha límite"&amp;" · ","")&amp;IF(OR(AND($E245&lt;&gt;"",NOT(ISNUMBER($E245))),AND($F245&lt;&gt;"",NOT(ISNUMBER($F245)))),"Fecha no válida"&amp;" · ","")&amp;IF(AND(ISNUMBER($E245),ISNUMBER($F245),$E245&gt;$F245),"Inicio posterior a fecha límite"&amp;" · ","")&amp;IF(AND($S245="Macro",$G245=""),"Peso vacío"&amp;" · ","")&amp;IF(AND($S245="Macro",$G245&lt;&gt;"",OR(NOT(ISNUMBER($G245)),$G245&lt;=0,$G245&gt;1)),"Peso fuera de rango"&amp;" · ","")&amp;IF(AND($S245="Sub",$G245&lt;&gt;""),"Las subactividades no llevan peso"&amp;" · ","")&amp;IF(AND($S245="Macro",ABS(SUMIFS($G$5:$G$1000,$P$5:$P$1000,$P245,$S$5:$S$1000,"Macro")-1)&gt;0.0001),"Pesos del mes suman "&amp;TEXT(SUMIFS($G$5:$G$1000,$P$5:$P$1000,$P245,$S$5:$S$1000,"Macro"),"0%")&amp;" · ","")&amp;IF(AND(N($T245)&gt;0,COUNT($H245:$K245)&gt;0),"Con subactividades: deje vacías las semanas (se calculan solas)"&amp;" · ","")&amp;IF((COUNTIF($H245:$K245,"&gt;1")+COUNTIF($H245:$K245,"&lt;0")+COUNTA($H245:$K245)-COUNT($H245:$K245))&gt;0,"Avance fuera de rango 0-100%"&amp;" · ","")&amp;IF(OR(AND($I245&lt;&gt;"",$I245&lt;$H245),AND($J245&lt;&gt;"",$J245&lt;MAX($H245:$I245)),AND($K245&lt;&gt;"",$K245&lt;MAX($H245:$J245))),"Avance semanal decreciente"&amp;" · ","")&amp;IF(AND(ISNUMBER($F245),$F245&lt;FechaRef,N($L245)&lt;1),"Vencida"&amp;" · ","")&amp;IF(AND(ObsObligatoria="Sí",ISNUMBER($F245),$F245&lt;FechaRef,N($L245)&lt;1,$N245=""),"Vencida sin observación"&amp;" · ",""))-3)))</f>
        <v/>
      </c>
      <c r="P245" s="69">
        <f>IF(NOT((COUNTA($B245:$K245)+COUNTA($N245))&gt;0),"",IF(AND($S245="Sub",N($R245)&gt;0),IF(ISNUMBER(INDEX($E$5:$E$1000,$R245-4)),DATE(YEAR(INDEX($E$5:$E$1000,$R245-4)),MONTH(INDEX($E$5:$E$1000,$R245-4)),1),IF(ISNUMBER(INDEX($F$5:$F$1000,$R245-4)),DATE(YEAR(INDEX($F$5:$F$1000,$R245-4)),MONTH(INDEX($F$5:$F$1000,$R245-4)),1),MesCiclo)),IF(ISNUMBER($E245),DATE(YEAR($E245),MONTH($E245),1),IF(ISNUMBER($F245),DATE(YEAR($F245),MONTH($F245),1),MesCiclo))))</f>
        <v/>
      </c>
      <c r="Q245" s="70">
        <f>IF(OR($P245="",$P245&lt;&gt;MesCiclo),"",COUNTIF($P$5:$P245,MesCiclo))</f>
        <v/>
      </c>
      <c r="R245" s="70">
        <f>IF($S245="","",IF($S245="Macro",ROW(),IFERROR(LOOKUP(2,1/($S$5:$S245="Macro"),ROW($S$5:$S245)),0)))</f>
        <v/>
      </c>
      <c r="S245" s="70">
        <f>IF(NOT((COUNTA($B245:$K245)+COUNTA($N245))&gt;0),"",IF($B245&lt;&gt;"","Macro",IF($C245&lt;&gt;"","Sub","Macro")))</f>
        <v/>
      </c>
      <c r="T245" s="70">
        <f>IF($S245="Macro",COUNTIFS($R$5:$R$1000,ROW(),$S$5:$S$1000,"Sub"),"")</f>
        <v/>
      </c>
      <c r="U245" s="70">
        <f>IF($S245="","",IF(ISNUMBER($H245),$H245,0))</f>
        <v/>
      </c>
      <c r="V245" s="70">
        <f>IF($S245="","",IF(ISNUMBER($I245),$I245,$U245))</f>
        <v/>
      </c>
      <c r="W245" s="70">
        <f>IF($S245="","",IF(ISNUMBER($J245),$J245,$V245))</f>
        <v/>
      </c>
      <c r="X245" s="70">
        <f>IF($S245="","",IF(ISNUMBER($K245),$K245,$W245))</f>
        <v/>
      </c>
      <c r="Y245" s="70">
        <f>IF($S245="","",IF(N($T245)&gt;0,AVERAGEIFS($U$5:$U$1000,$R$5:$R$1000,ROW(),$S$5:$S$1000,"Sub"),$U245))</f>
        <v/>
      </c>
      <c r="Z245" s="70">
        <f>IF($S245="","",IF(N($T245)&gt;0,AVERAGEIFS($V$5:$V$1000,$R$5:$R$1000,ROW(),$S$5:$S$1000,"Sub"),$V245))</f>
        <v/>
      </c>
      <c r="AA245" s="70">
        <f>IF($S245="","",IF(N($T245)&gt;0,AVERAGEIFS($W$5:$W$1000,$R$5:$R$1000,ROW(),$S$5:$S$1000,"Sub"),$W245))</f>
        <v/>
      </c>
      <c r="AB245" s="70">
        <f>IF($S245="","",IF(N($T245)&gt;0,AVERAGEIFS($X$5:$X$1000,$R$5:$R$1000,ROW(),$S$5:$S$1000,"Sub"),$X245))</f>
        <v/>
      </c>
    </row>
    <row r="246">
      <c r="A246" s="61">
        <f>IF(NOT((COUNTA($B246:$K246)+COUNTA($N246))&gt;0),"",IF($S246="Macro",COUNTIFS($S$5:$S246,"Macro",$P$5:$P246,$P246),IF(N($R246)=0,"?",COUNTIFS(INDEX($S$5:$S$1000,1):INDEX($S$5:$S$1000,$R246-4),"Macro",INDEX($P$5:$P$1000,1):INDEX($P$5:$P$1000,$R246-4),INDEX($P$5:$P$1000,$R246-4))&amp;"."&amp;COUNTIFS($R$5:$R246,$R246,$S$5:$S246,"Sub"))))</f>
        <v/>
      </c>
      <c r="B246" s="62" t="n"/>
      <c r="C246" s="63" t="n"/>
      <c r="D246" s="62" t="n"/>
      <c r="E246" s="64" t="n"/>
      <c r="F246" s="64" t="n"/>
      <c r="G246" s="65" t="n"/>
      <c r="H246" s="66" t="n"/>
      <c r="I246" s="66" t="n"/>
      <c r="J246" s="66" t="n"/>
      <c r="K246" s="66" t="n"/>
      <c r="L246" s="67">
        <f>IF(NOT((COUNTA($B246:$K246)+COUNTA($N246))&gt;0),"",IF(N($T246)&gt;0,$AB246,IFERROR(LOOKUP(2,1/(H246:K246&lt;&gt;""),H246:K246),0)))</f>
        <v/>
      </c>
      <c r="M246" s="61">
        <f>IF(L246="","",IF(L246&gt;=1,"Completado",IF(L246&gt;0,"En curso","Pendiente")))</f>
        <v/>
      </c>
      <c r="N246" s="62" t="n"/>
      <c r="O246" s="68">
        <f>IF(NOT((COUNTA($B246:$K246)+COUNTA($N246))&gt;0),"",IF((IF(AND($S246="Macro",$B246=""),"Macroactividad vacía"&amp;" · ","")&amp;IF(AND($B246&lt;&gt;"",$C246&lt;&gt;""),"Escriba la subactividad en otra fila, debajo de su macroactividad"&amp;" · ","")&amp;IF(AND($S246="Sub",N($R246)=0),"Subactividad sin macroactividad arriba"&amp;" · ","")&amp;IF($D246="","Sin responsable"&amp;" · ","")&amp;IF($E246="","Sin fecha de inicio"&amp;" · ","")&amp;IF($F246="","Sin fecha límite"&amp;" · ","")&amp;IF(OR(AND($E246&lt;&gt;"",NOT(ISNUMBER($E246))),AND($F246&lt;&gt;"",NOT(ISNUMBER($F246)))),"Fecha no válida"&amp;" · ","")&amp;IF(AND(ISNUMBER($E246),ISNUMBER($F246),$E246&gt;$F246),"Inicio posterior a fecha límite"&amp;" · ","")&amp;IF(AND($S246="Macro",$G246=""),"Peso vacío"&amp;" · ","")&amp;IF(AND($S246="Macro",$G246&lt;&gt;"",OR(NOT(ISNUMBER($G246)),$G246&lt;=0,$G246&gt;1)),"Peso fuera de rango"&amp;" · ","")&amp;IF(AND($S246="Sub",$G246&lt;&gt;""),"Las subactividades no llevan peso"&amp;" · ","")&amp;IF(AND($S246="Macro",ABS(SUMIFS($G$5:$G$1000,$P$5:$P$1000,$P246,$S$5:$S$1000,"Macro")-1)&gt;0.0001),"Pesos del mes suman "&amp;TEXT(SUMIFS($G$5:$G$1000,$P$5:$P$1000,$P246,$S$5:$S$1000,"Macro"),"0%")&amp;" · ","")&amp;IF(AND(N($T246)&gt;0,COUNT($H246:$K246)&gt;0),"Con subactividades: deje vacías las semanas (se calculan solas)"&amp;" · ","")&amp;IF((COUNTIF($H246:$K246,"&gt;1")+COUNTIF($H246:$K246,"&lt;0")+COUNTA($H246:$K246)-COUNT($H246:$K246))&gt;0,"Avance fuera de rango 0-100%"&amp;" · ","")&amp;IF(OR(AND($I246&lt;&gt;"",$I246&lt;$H246),AND($J246&lt;&gt;"",$J246&lt;MAX($H246:$I246)),AND($K246&lt;&gt;"",$K246&lt;MAX($H246:$J246))),"Avance semanal decreciente"&amp;" · ","")&amp;IF(AND(ISNUMBER($F246),$F246&lt;FechaRef,N($L246)&lt;1),"Vencida"&amp;" · ","")&amp;IF(AND(ObsObligatoria="Sí",ISNUMBER($F246),$F246&lt;FechaRef,N($L246)&lt;1,$N246=""),"Vencida sin observación"&amp;" · ",""))="","✔ OK","⚠ "&amp;LEFT(IF(AND($S246="Macro",$B246=""),"Macroactividad vacía"&amp;" · ","")&amp;IF(AND($B246&lt;&gt;"",$C246&lt;&gt;""),"Escriba la subactividad en otra fila, debajo de su macroactividad"&amp;" · ","")&amp;IF(AND($S246="Sub",N($R246)=0),"Subactividad sin macroactividad arriba"&amp;" · ","")&amp;IF($D246="","Sin responsable"&amp;" · ","")&amp;IF($E246="","Sin fecha de inicio"&amp;" · ","")&amp;IF($F246="","Sin fecha límite"&amp;" · ","")&amp;IF(OR(AND($E246&lt;&gt;"",NOT(ISNUMBER($E246))),AND($F246&lt;&gt;"",NOT(ISNUMBER($F246)))),"Fecha no válida"&amp;" · ","")&amp;IF(AND(ISNUMBER($E246),ISNUMBER($F246),$E246&gt;$F246),"Inicio posterior a fecha límite"&amp;" · ","")&amp;IF(AND($S246="Macro",$G246=""),"Peso vacío"&amp;" · ","")&amp;IF(AND($S246="Macro",$G246&lt;&gt;"",OR(NOT(ISNUMBER($G246)),$G246&lt;=0,$G246&gt;1)),"Peso fuera de rango"&amp;" · ","")&amp;IF(AND($S246="Sub",$G246&lt;&gt;""),"Las subactividades no llevan peso"&amp;" · ","")&amp;IF(AND($S246="Macro",ABS(SUMIFS($G$5:$G$1000,$P$5:$P$1000,$P246,$S$5:$S$1000,"Macro")-1)&gt;0.0001),"Pesos del mes suman "&amp;TEXT(SUMIFS($G$5:$G$1000,$P$5:$P$1000,$P246,$S$5:$S$1000,"Macro"),"0%")&amp;" · ","")&amp;IF(AND(N($T246)&gt;0,COUNT($H246:$K246)&gt;0),"Con subactividades: deje vacías las semanas (se calculan solas)"&amp;" · ","")&amp;IF((COUNTIF($H246:$K246,"&gt;1")+COUNTIF($H246:$K246,"&lt;0")+COUNTA($H246:$K246)-COUNT($H246:$K246))&gt;0,"Avance fuera de rango 0-100%"&amp;" · ","")&amp;IF(OR(AND($I246&lt;&gt;"",$I246&lt;$H246),AND($J246&lt;&gt;"",$J246&lt;MAX($H246:$I246)),AND($K246&lt;&gt;"",$K246&lt;MAX($H246:$J246))),"Avance semanal decreciente"&amp;" · ","")&amp;IF(AND(ISNUMBER($F246),$F246&lt;FechaRef,N($L246)&lt;1),"Vencida"&amp;" · ","")&amp;IF(AND(ObsObligatoria="Sí",ISNUMBER($F246),$F246&lt;FechaRef,N($L246)&lt;1,$N246=""),"Vencida sin observación"&amp;" · ",""),LEN(IF(AND($S246="Macro",$B246=""),"Macroactividad vacía"&amp;" · ","")&amp;IF(AND($B246&lt;&gt;"",$C246&lt;&gt;""),"Escriba la subactividad en otra fila, debajo de su macroactividad"&amp;" · ","")&amp;IF(AND($S246="Sub",N($R246)=0),"Subactividad sin macroactividad arriba"&amp;" · ","")&amp;IF($D246="","Sin responsable"&amp;" · ","")&amp;IF($E246="","Sin fecha de inicio"&amp;" · ","")&amp;IF($F246="","Sin fecha límite"&amp;" · ","")&amp;IF(OR(AND($E246&lt;&gt;"",NOT(ISNUMBER($E246))),AND($F246&lt;&gt;"",NOT(ISNUMBER($F246)))),"Fecha no válida"&amp;" · ","")&amp;IF(AND(ISNUMBER($E246),ISNUMBER($F246),$E246&gt;$F246),"Inicio posterior a fecha límite"&amp;" · ","")&amp;IF(AND($S246="Macro",$G246=""),"Peso vacío"&amp;" · ","")&amp;IF(AND($S246="Macro",$G246&lt;&gt;"",OR(NOT(ISNUMBER($G246)),$G246&lt;=0,$G246&gt;1)),"Peso fuera de rango"&amp;" · ","")&amp;IF(AND($S246="Sub",$G246&lt;&gt;""),"Las subactividades no llevan peso"&amp;" · ","")&amp;IF(AND($S246="Macro",ABS(SUMIFS($G$5:$G$1000,$P$5:$P$1000,$P246,$S$5:$S$1000,"Macro")-1)&gt;0.0001),"Pesos del mes suman "&amp;TEXT(SUMIFS($G$5:$G$1000,$P$5:$P$1000,$P246,$S$5:$S$1000,"Macro"),"0%")&amp;" · ","")&amp;IF(AND(N($T246)&gt;0,COUNT($H246:$K246)&gt;0),"Con subactividades: deje vacías las semanas (se calculan solas)"&amp;" · ","")&amp;IF((COUNTIF($H246:$K246,"&gt;1")+COUNTIF($H246:$K246,"&lt;0")+COUNTA($H246:$K246)-COUNT($H246:$K246))&gt;0,"Avance fuera de rango 0-100%"&amp;" · ","")&amp;IF(OR(AND($I246&lt;&gt;"",$I246&lt;$H246),AND($J246&lt;&gt;"",$J246&lt;MAX($H246:$I246)),AND($K246&lt;&gt;"",$K246&lt;MAX($H246:$J246))),"Avance semanal decreciente"&amp;" · ","")&amp;IF(AND(ISNUMBER($F246),$F246&lt;FechaRef,N($L246)&lt;1),"Vencida"&amp;" · ","")&amp;IF(AND(ObsObligatoria="Sí",ISNUMBER($F246),$F246&lt;FechaRef,N($L246)&lt;1,$N246=""),"Vencida sin observación"&amp;" · ",""))-3)))</f>
        <v/>
      </c>
      <c r="P246" s="69">
        <f>IF(NOT((COUNTA($B246:$K246)+COUNTA($N246))&gt;0),"",IF(AND($S246="Sub",N($R246)&gt;0),IF(ISNUMBER(INDEX($E$5:$E$1000,$R246-4)),DATE(YEAR(INDEX($E$5:$E$1000,$R246-4)),MONTH(INDEX($E$5:$E$1000,$R246-4)),1),IF(ISNUMBER(INDEX($F$5:$F$1000,$R246-4)),DATE(YEAR(INDEX($F$5:$F$1000,$R246-4)),MONTH(INDEX($F$5:$F$1000,$R246-4)),1),MesCiclo)),IF(ISNUMBER($E246),DATE(YEAR($E246),MONTH($E246),1),IF(ISNUMBER($F246),DATE(YEAR($F246),MONTH($F246),1),MesCiclo))))</f>
        <v/>
      </c>
      <c r="Q246" s="70">
        <f>IF(OR($P246="",$P246&lt;&gt;MesCiclo),"",COUNTIF($P$5:$P246,MesCiclo))</f>
        <v/>
      </c>
      <c r="R246" s="70">
        <f>IF($S246="","",IF($S246="Macro",ROW(),IFERROR(LOOKUP(2,1/($S$5:$S246="Macro"),ROW($S$5:$S246)),0)))</f>
        <v/>
      </c>
      <c r="S246" s="70">
        <f>IF(NOT((COUNTA($B246:$K246)+COUNTA($N246))&gt;0),"",IF($B246&lt;&gt;"","Macro",IF($C246&lt;&gt;"","Sub","Macro")))</f>
        <v/>
      </c>
      <c r="T246" s="70">
        <f>IF($S246="Macro",COUNTIFS($R$5:$R$1000,ROW(),$S$5:$S$1000,"Sub"),"")</f>
        <v/>
      </c>
      <c r="U246" s="70">
        <f>IF($S246="","",IF(ISNUMBER($H246),$H246,0))</f>
        <v/>
      </c>
      <c r="V246" s="70">
        <f>IF($S246="","",IF(ISNUMBER($I246),$I246,$U246))</f>
        <v/>
      </c>
      <c r="W246" s="70">
        <f>IF($S246="","",IF(ISNUMBER($J246),$J246,$V246))</f>
        <v/>
      </c>
      <c r="X246" s="70">
        <f>IF($S246="","",IF(ISNUMBER($K246),$K246,$W246))</f>
        <v/>
      </c>
      <c r="Y246" s="70">
        <f>IF($S246="","",IF(N($T246)&gt;0,AVERAGEIFS($U$5:$U$1000,$R$5:$R$1000,ROW(),$S$5:$S$1000,"Sub"),$U246))</f>
        <v/>
      </c>
      <c r="Z246" s="70">
        <f>IF($S246="","",IF(N($T246)&gt;0,AVERAGEIFS($V$5:$V$1000,$R$5:$R$1000,ROW(),$S$5:$S$1000,"Sub"),$V246))</f>
        <v/>
      </c>
      <c r="AA246" s="70">
        <f>IF($S246="","",IF(N($T246)&gt;0,AVERAGEIFS($W$5:$W$1000,$R$5:$R$1000,ROW(),$S$5:$S$1000,"Sub"),$W246))</f>
        <v/>
      </c>
      <c r="AB246" s="70">
        <f>IF($S246="","",IF(N($T246)&gt;0,AVERAGEIFS($X$5:$X$1000,$R$5:$R$1000,ROW(),$S$5:$S$1000,"Sub"),$X246))</f>
        <v/>
      </c>
    </row>
    <row r="247">
      <c r="A247" s="61">
        <f>IF(NOT((COUNTA($B247:$K247)+COUNTA($N247))&gt;0),"",IF($S247="Macro",COUNTIFS($S$5:$S247,"Macro",$P$5:$P247,$P247),IF(N($R247)=0,"?",COUNTIFS(INDEX($S$5:$S$1000,1):INDEX($S$5:$S$1000,$R247-4),"Macro",INDEX($P$5:$P$1000,1):INDEX($P$5:$P$1000,$R247-4),INDEX($P$5:$P$1000,$R247-4))&amp;"."&amp;COUNTIFS($R$5:$R247,$R247,$S$5:$S247,"Sub"))))</f>
        <v/>
      </c>
      <c r="B247" s="62" t="n"/>
      <c r="C247" s="63" t="n"/>
      <c r="D247" s="62" t="n"/>
      <c r="E247" s="64" t="n"/>
      <c r="F247" s="64" t="n"/>
      <c r="G247" s="65" t="n"/>
      <c r="H247" s="66" t="n"/>
      <c r="I247" s="66" t="n"/>
      <c r="J247" s="66" t="n"/>
      <c r="K247" s="66" t="n"/>
      <c r="L247" s="67">
        <f>IF(NOT((COUNTA($B247:$K247)+COUNTA($N247))&gt;0),"",IF(N($T247)&gt;0,$AB247,IFERROR(LOOKUP(2,1/(H247:K247&lt;&gt;""),H247:K247),0)))</f>
        <v/>
      </c>
      <c r="M247" s="61">
        <f>IF(L247="","",IF(L247&gt;=1,"Completado",IF(L247&gt;0,"En curso","Pendiente")))</f>
        <v/>
      </c>
      <c r="N247" s="62" t="n"/>
      <c r="O247" s="68">
        <f>IF(NOT((COUNTA($B247:$K247)+COUNTA($N247))&gt;0),"",IF((IF(AND($S247="Macro",$B247=""),"Macroactividad vacía"&amp;" · ","")&amp;IF(AND($B247&lt;&gt;"",$C247&lt;&gt;""),"Escriba la subactividad en otra fila, debajo de su macroactividad"&amp;" · ","")&amp;IF(AND($S247="Sub",N($R247)=0),"Subactividad sin macroactividad arriba"&amp;" · ","")&amp;IF($D247="","Sin responsable"&amp;" · ","")&amp;IF($E247="","Sin fecha de inicio"&amp;" · ","")&amp;IF($F247="","Sin fecha límite"&amp;" · ","")&amp;IF(OR(AND($E247&lt;&gt;"",NOT(ISNUMBER($E247))),AND($F247&lt;&gt;"",NOT(ISNUMBER($F247)))),"Fecha no válida"&amp;" · ","")&amp;IF(AND(ISNUMBER($E247),ISNUMBER($F247),$E247&gt;$F247),"Inicio posterior a fecha límite"&amp;" · ","")&amp;IF(AND($S247="Macro",$G247=""),"Peso vacío"&amp;" · ","")&amp;IF(AND($S247="Macro",$G247&lt;&gt;"",OR(NOT(ISNUMBER($G247)),$G247&lt;=0,$G247&gt;1)),"Peso fuera de rango"&amp;" · ","")&amp;IF(AND($S247="Sub",$G247&lt;&gt;""),"Las subactividades no llevan peso"&amp;" · ","")&amp;IF(AND($S247="Macro",ABS(SUMIFS($G$5:$G$1000,$P$5:$P$1000,$P247,$S$5:$S$1000,"Macro")-1)&gt;0.0001),"Pesos del mes suman "&amp;TEXT(SUMIFS($G$5:$G$1000,$P$5:$P$1000,$P247,$S$5:$S$1000,"Macro"),"0%")&amp;" · ","")&amp;IF(AND(N($T247)&gt;0,COUNT($H247:$K247)&gt;0),"Con subactividades: deje vacías las semanas (se calculan solas)"&amp;" · ","")&amp;IF((COUNTIF($H247:$K247,"&gt;1")+COUNTIF($H247:$K247,"&lt;0")+COUNTA($H247:$K247)-COUNT($H247:$K247))&gt;0,"Avance fuera de rango 0-100%"&amp;" · ","")&amp;IF(OR(AND($I247&lt;&gt;"",$I247&lt;$H247),AND($J247&lt;&gt;"",$J247&lt;MAX($H247:$I247)),AND($K247&lt;&gt;"",$K247&lt;MAX($H247:$J247))),"Avance semanal decreciente"&amp;" · ","")&amp;IF(AND(ISNUMBER($F247),$F247&lt;FechaRef,N($L247)&lt;1),"Vencida"&amp;" · ","")&amp;IF(AND(ObsObligatoria="Sí",ISNUMBER($F247),$F247&lt;FechaRef,N($L247)&lt;1,$N247=""),"Vencida sin observación"&amp;" · ",""))="","✔ OK","⚠ "&amp;LEFT(IF(AND($S247="Macro",$B247=""),"Macroactividad vacía"&amp;" · ","")&amp;IF(AND($B247&lt;&gt;"",$C247&lt;&gt;""),"Escriba la subactividad en otra fila, debajo de su macroactividad"&amp;" · ","")&amp;IF(AND($S247="Sub",N($R247)=0),"Subactividad sin macroactividad arriba"&amp;" · ","")&amp;IF($D247="","Sin responsable"&amp;" · ","")&amp;IF($E247="","Sin fecha de inicio"&amp;" · ","")&amp;IF($F247="","Sin fecha límite"&amp;" · ","")&amp;IF(OR(AND($E247&lt;&gt;"",NOT(ISNUMBER($E247))),AND($F247&lt;&gt;"",NOT(ISNUMBER($F247)))),"Fecha no válida"&amp;" · ","")&amp;IF(AND(ISNUMBER($E247),ISNUMBER($F247),$E247&gt;$F247),"Inicio posterior a fecha límite"&amp;" · ","")&amp;IF(AND($S247="Macro",$G247=""),"Peso vacío"&amp;" · ","")&amp;IF(AND($S247="Macro",$G247&lt;&gt;"",OR(NOT(ISNUMBER($G247)),$G247&lt;=0,$G247&gt;1)),"Peso fuera de rango"&amp;" · ","")&amp;IF(AND($S247="Sub",$G247&lt;&gt;""),"Las subactividades no llevan peso"&amp;" · ","")&amp;IF(AND($S247="Macro",ABS(SUMIFS($G$5:$G$1000,$P$5:$P$1000,$P247,$S$5:$S$1000,"Macro")-1)&gt;0.0001),"Pesos del mes suman "&amp;TEXT(SUMIFS($G$5:$G$1000,$P$5:$P$1000,$P247,$S$5:$S$1000,"Macro"),"0%")&amp;" · ","")&amp;IF(AND(N($T247)&gt;0,COUNT($H247:$K247)&gt;0),"Con subactividades: deje vacías las semanas (se calculan solas)"&amp;" · ","")&amp;IF((COUNTIF($H247:$K247,"&gt;1")+COUNTIF($H247:$K247,"&lt;0")+COUNTA($H247:$K247)-COUNT($H247:$K247))&gt;0,"Avance fuera de rango 0-100%"&amp;" · ","")&amp;IF(OR(AND($I247&lt;&gt;"",$I247&lt;$H247),AND($J247&lt;&gt;"",$J247&lt;MAX($H247:$I247)),AND($K247&lt;&gt;"",$K247&lt;MAX($H247:$J247))),"Avance semanal decreciente"&amp;" · ","")&amp;IF(AND(ISNUMBER($F247),$F247&lt;FechaRef,N($L247)&lt;1),"Vencida"&amp;" · ","")&amp;IF(AND(ObsObligatoria="Sí",ISNUMBER($F247),$F247&lt;FechaRef,N($L247)&lt;1,$N247=""),"Vencida sin observación"&amp;" · ",""),LEN(IF(AND($S247="Macro",$B247=""),"Macroactividad vacía"&amp;" · ","")&amp;IF(AND($B247&lt;&gt;"",$C247&lt;&gt;""),"Escriba la subactividad en otra fila, debajo de su macroactividad"&amp;" · ","")&amp;IF(AND($S247="Sub",N($R247)=0),"Subactividad sin macroactividad arriba"&amp;" · ","")&amp;IF($D247="","Sin responsable"&amp;" · ","")&amp;IF($E247="","Sin fecha de inicio"&amp;" · ","")&amp;IF($F247="","Sin fecha límite"&amp;" · ","")&amp;IF(OR(AND($E247&lt;&gt;"",NOT(ISNUMBER($E247))),AND($F247&lt;&gt;"",NOT(ISNUMBER($F247)))),"Fecha no válida"&amp;" · ","")&amp;IF(AND(ISNUMBER($E247),ISNUMBER($F247),$E247&gt;$F247),"Inicio posterior a fecha límite"&amp;" · ","")&amp;IF(AND($S247="Macro",$G247=""),"Peso vacío"&amp;" · ","")&amp;IF(AND($S247="Macro",$G247&lt;&gt;"",OR(NOT(ISNUMBER($G247)),$G247&lt;=0,$G247&gt;1)),"Peso fuera de rango"&amp;" · ","")&amp;IF(AND($S247="Sub",$G247&lt;&gt;""),"Las subactividades no llevan peso"&amp;" · ","")&amp;IF(AND($S247="Macro",ABS(SUMIFS($G$5:$G$1000,$P$5:$P$1000,$P247,$S$5:$S$1000,"Macro")-1)&gt;0.0001),"Pesos del mes suman "&amp;TEXT(SUMIFS($G$5:$G$1000,$P$5:$P$1000,$P247,$S$5:$S$1000,"Macro"),"0%")&amp;" · ","")&amp;IF(AND(N($T247)&gt;0,COUNT($H247:$K247)&gt;0),"Con subactividades: deje vacías las semanas (se calculan solas)"&amp;" · ","")&amp;IF((COUNTIF($H247:$K247,"&gt;1")+COUNTIF($H247:$K247,"&lt;0")+COUNTA($H247:$K247)-COUNT($H247:$K247))&gt;0,"Avance fuera de rango 0-100%"&amp;" · ","")&amp;IF(OR(AND($I247&lt;&gt;"",$I247&lt;$H247),AND($J247&lt;&gt;"",$J247&lt;MAX($H247:$I247)),AND($K247&lt;&gt;"",$K247&lt;MAX($H247:$J247))),"Avance semanal decreciente"&amp;" · ","")&amp;IF(AND(ISNUMBER($F247),$F247&lt;FechaRef,N($L247)&lt;1),"Vencida"&amp;" · ","")&amp;IF(AND(ObsObligatoria="Sí",ISNUMBER($F247),$F247&lt;FechaRef,N($L247)&lt;1,$N247=""),"Vencida sin observación"&amp;" · ",""))-3)))</f>
        <v/>
      </c>
      <c r="P247" s="69">
        <f>IF(NOT((COUNTA($B247:$K247)+COUNTA($N247))&gt;0),"",IF(AND($S247="Sub",N($R247)&gt;0),IF(ISNUMBER(INDEX($E$5:$E$1000,$R247-4)),DATE(YEAR(INDEX($E$5:$E$1000,$R247-4)),MONTH(INDEX($E$5:$E$1000,$R247-4)),1),IF(ISNUMBER(INDEX($F$5:$F$1000,$R247-4)),DATE(YEAR(INDEX($F$5:$F$1000,$R247-4)),MONTH(INDEX($F$5:$F$1000,$R247-4)),1),MesCiclo)),IF(ISNUMBER($E247),DATE(YEAR($E247),MONTH($E247),1),IF(ISNUMBER($F247),DATE(YEAR($F247),MONTH($F247),1),MesCiclo))))</f>
        <v/>
      </c>
      <c r="Q247" s="70">
        <f>IF(OR($P247="",$P247&lt;&gt;MesCiclo),"",COUNTIF($P$5:$P247,MesCiclo))</f>
        <v/>
      </c>
      <c r="R247" s="70">
        <f>IF($S247="","",IF($S247="Macro",ROW(),IFERROR(LOOKUP(2,1/($S$5:$S247="Macro"),ROW($S$5:$S247)),0)))</f>
        <v/>
      </c>
      <c r="S247" s="70">
        <f>IF(NOT((COUNTA($B247:$K247)+COUNTA($N247))&gt;0),"",IF($B247&lt;&gt;"","Macro",IF($C247&lt;&gt;"","Sub","Macro")))</f>
        <v/>
      </c>
      <c r="T247" s="70">
        <f>IF($S247="Macro",COUNTIFS($R$5:$R$1000,ROW(),$S$5:$S$1000,"Sub"),"")</f>
        <v/>
      </c>
      <c r="U247" s="70">
        <f>IF($S247="","",IF(ISNUMBER($H247),$H247,0))</f>
        <v/>
      </c>
      <c r="V247" s="70">
        <f>IF($S247="","",IF(ISNUMBER($I247),$I247,$U247))</f>
        <v/>
      </c>
      <c r="W247" s="70">
        <f>IF($S247="","",IF(ISNUMBER($J247),$J247,$V247))</f>
        <v/>
      </c>
      <c r="X247" s="70">
        <f>IF($S247="","",IF(ISNUMBER($K247),$K247,$W247))</f>
        <v/>
      </c>
      <c r="Y247" s="70">
        <f>IF($S247="","",IF(N($T247)&gt;0,AVERAGEIFS($U$5:$U$1000,$R$5:$R$1000,ROW(),$S$5:$S$1000,"Sub"),$U247))</f>
        <v/>
      </c>
      <c r="Z247" s="70">
        <f>IF($S247="","",IF(N($T247)&gt;0,AVERAGEIFS($V$5:$V$1000,$R$5:$R$1000,ROW(),$S$5:$S$1000,"Sub"),$V247))</f>
        <v/>
      </c>
      <c r="AA247" s="70">
        <f>IF($S247="","",IF(N($T247)&gt;0,AVERAGEIFS($W$5:$W$1000,$R$5:$R$1000,ROW(),$S$5:$S$1000,"Sub"),$W247))</f>
        <v/>
      </c>
      <c r="AB247" s="70">
        <f>IF($S247="","",IF(N($T247)&gt;0,AVERAGEIFS($X$5:$X$1000,$R$5:$R$1000,ROW(),$S$5:$S$1000,"Sub"),$X247))</f>
        <v/>
      </c>
    </row>
    <row r="248">
      <c r="A248" s="61">
        <f>IF(NOT((COUNTA($B248:$K248)+COUNTA($N248))&gt;0),"",IF($S248="Macro",COUNTIFS($S$5:$S248,"Macro",$P$5:$P248,$P248),IF(N($R248)=0,"?",COUNTIFS(INDEX($S$5:$S$1000,1):INDEX($S$5:$S$1000,$R248-4),"Macro",INDEX($P$5:$P$1000,1):INDEX($P$5:$P$1000,$R248-4),INDEX($P$5:$P$1000,$R248-4))&amp;"."&amp;COUNTIFS($R$5:$R248,$R248,$S$5:$S248,"Sub"))))</f>
        <v/>
      </c>
      <c r="B248" s="62" t="n"/>
      <c r="C248" s="63" t="n"/>
      <c r="D248" s="62" t="n"/>
      <c r="E248" s="64" t="n"/>
      <c r="F248" s="64" t="n"/>
      <c r="G248" s="65" t="n"/>
      <c r="H248" s="66" t="n"/>
      <c r="I248" s="66" t="n"/>
      <c r="J248" s="66" t="n"/>
      <c r="K248" s="66" t="n"/>
      <c r="L248" s="67">
        <f>IF(NOT((COUNTA($B248:$K248)+COUNTA($N248))&gt;0),"",IF(N($T248)&gt;0,$AB248,IFERROR(LOOKUP(2,1/(H248:K248&lt;&gt;""),H248:K248),0)))</f>
        <v/>
      </c>
      <c r="M248" s="61">
        <f>IF(L248="","",IF(L248&gt;=1,"Completado",IF(L248&gt;0,"En curso","Pendiente")))</f>
        <v/>
      </c>
      <c r="N248" s="62" t="n"/>
      <c r="O248" s="68">
        <f>IF(NOT((COUNTA($B248:$K248)+COUNTA($N248))&gt;0),"",IF((IF(AND($S248="Macro",$B248=""),"Macroactividad vacía"&amp;" · ","")&amp;IF(AND($B248&lt;&gt;"",$C248&lt;&gt;""),"Escriba la subactividad en otra fila, debajo de su macroactividad"&amp;" · ","")&amp;IF(AND($S248="Sub",N($R248)=0),"Subactividad sin macroactividad arriba"&amp;" · ","")&amp;IF($D248="","Sin responsable"&amp;" · ","")&amp;IF($E248="","Sin fecha de inicio"&amp;" · ","")&amp;IF($F248="","Sin fecha límite"&amp;" · ","")&amp;IF(OR(AND($E248&lt;&gt;"",NOT(ISNUMBER($E248))),AND($F248&lt;&gt;"",NOT(ISNUMBER($F248)))),"Fecha no válida"&amp;" · ","")&amp;IF(AND(ISNUMBER($E248),ISNUMBER($F248),$E248&gt;$F248),"Inicio posterior a fecha límite"&amp;" · ","")&amp;IF(AND($S248="Macro",$G248=""),"Peso vacío"&amp;" · ","")&amp;IF(AND($S248="Macro",$G248&lt;&gt;"",OR(NOT(ISNUMBER($G248)),$G248&lt;=0,$G248&gt;1)),"Peso fuera de rango"&amp;" · ","")&amp;IF(AND($S248="Sub",$G248&lt;&gt;""),"Las subactividades no llevan peso"&amp;" · ","")&amp;IF(AND($S248="Macro",ABS(SUMIFS($G$5:$G$1000,$P$5:$P$1000,$P248,$S$5:$S$1000,"Macro")-1)&gt;0.0001),"Pesos del mes suman "&amp;TEXT(SUMIFS($G$5:$G$1000,$P$5:$P$1000,$P248,$S$5:$S$1000,"Macro"),"0%")&amp;" · ","")&amp;IF(AND(N($T248)&gt;0,COUNT($H248:$K248)&gt;0),"Con subactividades: deje vacías las semanas (se calculan solas)"&amp;" · ","")&amp;IF((COUNTIF($H248:$K248,"&gt;1")+COUNTIF($H248:$K248,"&lt;0")+COUNTA($H248:$K248)-COUNT($H248:$K248))&gt;0,"Avance fuera de rango 0-100%"&amp;" · ","")&amp;IF(OR(AND($I248&lt;&gt;"",$I248&lt;$H248),AND($J248&lt;&gt;"",$J248&lt;MAX($H248:$I248)),AND($K248&lt;&gt;"",$K248&lt;MAX($H248:$J248))),"Avance semanal decreciente"&amp;" · ","")&amp;IF(AND(ISNUMBER($F248),$F248&lt;FechaRef,N($L248)&lt;1),"Vencida"&amp;" · ","")&amp;IF(AND(ObsObligatoria="Sí",ISNUMBER($F248),$F248&lt;FechaRef,N($L248)&lt;1,$N248=""),"Vencida sin observación"&amp;" · ",""))="","✔ OK","⚠ "&amp;LEFT(IF(AND($S248="Macro",$B248=""),"Macroactividad vacía"&amp;" · ","")&amp;IF(AND($B248&lt;&gt;"",$C248&lt;&gt;""),"Escriba la subactividad en otra fila, debajo de su macroactividad"&amp;" · ","")&amp;IF(AND($S248="Sub",N($R248)=0),"Subactividad sin macroactividad arriba"&amp;" · ","")&amp;IF($D248="","Sin responsable"&amp;" · ","")&amp;IF($E248="","Sin fecha de inicio"&amp;" · ","")&amp;IF($F248="","Sin fecha límite"&amp;" · ","")&amp;IF(OR(AND($E248&lt;&gt;"",NOT(ISNUMBER($E248))),AND($F248&lt;&gt;"",NOT(ISNUMBER($F248)))),"Fecha no válida"&amp;" · ","")&amp;IF(AND(ISNUMBER($E248),ISNUMBER($F248),$E248&gt;$F248),"Inicio posterior a fecha límite"&amp;" · ","")&amp;IF(AND($S248="Macro",$G248=""),"Peso vacío"&amp;" · ","")&amp;IF(AND($S248="Macro",$G248&lt;&gt;"",OR(NOT(ISNUMBER($G248)),$G248&lt;=0,$G248&gt;1)),"Peso fuera de rango"&amp;" · ","")&amp;IF(AND($S248="Sub",$G248&lt;&gt;""),"Las subactividades no llevan peso"&amp;" · ","")&amp;IF(AND($S248="Macro",ABS(SUMIFS($G$5:$G$1000,$P$5:$P$1000,$P248,$S$5:$S$1000,"Macro")-1)&gt;0.0001),"Pesos del mes suman "&amp;TEXT(SUMIFS($G$5:$G$1000,$P$5:$P$1000,$P248,$S$5:$S$1000,"Macro"),"0%")&amp;" · ","")&amp;IF(AND(N($T248)&gt;0,COUNT($H248:$K248)&gt;0),"Con subactividades: deje vacías las semanas (se calculan solas)"&amp;" · ","")&amp;IF((COUNTIF($H248:$K248,"&gt;1")+COUNTIF($H248:$K248,"&lt;0")+COUNTA($H248:$K248)-COUNT($H248:$K248))&gt;0,"Avance fuera de rango 0-100%"&amp;" · ","")&amp;IF(OR(AND($I248&lt;&gt;"",$I248&lt;$H248),AND($J248&lt;&gt;"",$J248&lt;MAX($H248:$I248)),AND($K248&lt;&gt;"",$K248&lt;MAX($H248:$J248))),"Avance semanal decreciente"&amp;" · ","")&amp;IF(AND(ISNUMBER($F248),$F248&lt;FechaRef,N($L248)&lt;1),"Vencida"&amp;" · ","")&amp;IF(AND(ObsObligatoria="Sí",ISNUMBER($F248),$F248&lt;FechaRef,N($L248)&lt;1,$N248=""),"Vencida sin observación"&amp;" · ",""),LEN(IF(AND($S248="Macro",$B248=""),"Macroactividad vacía"&amp;" · ","")&amp;IF(AND($B248&lt;&gt;"",$C248&lt;&gt;""),"Escriba la subactividad en otra fila, debajo de su macroactividad"&amp;" · ","")&amp;IF(AND($S248="Sub",N($R248)=0),"Subactividad sin macroactividad arriba"&amp;" · ","")&amp;IF($D248="","Sin responsable"&amp;" · ","")&amp;IF($E248="","Sin fecha de inicio"&amp;" · ","")&amp;IF($F248="","Sin fecha límite"&amp;" · ","")&amp;IF(OR(AND($E248&lt;&gt;"",NOT(ISNUMBER($E248))),AND($F248&lt;&gt;"",NOT(ISNUMBER($F248)))),"Fecha no válida"&amp;" · ","")&amp;IF(AND(ISNUMBER($E248),ISNUMBER($F248),$E248&gt;$F248),"Inicio posterior a fecha límite"&amp;" · ","")&amp;IF(AND($S248="Macro",$G248=""),"Peso vacío"&amp;" · ","")&amp;IF(AND($S248="Macro",$G248&lt;&gt;"",OR(NOT(ISNUMBER($G248)),$G248&lt;=0,$G248&gt;1)),"Peso fuera de rango"&amp;" · ","")&amp;IF(AND($S248="Sub",$G248&lt;&gt;""),"Las subactividades no llevan peso"&amp;" · ","")&amp;IF(AND($S248="Macro",ABS(SUMIFS($G$5:$G$1000,$P$5:$P$1000,$P248,$S$5:$S$1000,"Macro")-1)&gt;0.0001),"Pesos del mes suman "&amp;TEXT(SUMIFS($G$5:$G$1000,$P$5:$P$1000,$P248,$S$5:$S$1000,"Macro"),"0%")&amp;" · ","")&amp;IF(AND(N($T248)&gt;0,COUNT($H248:$K248)&gt;0),"Con subactividades: deje vacías las semanas (se calculan solas)"&amp;" · ","")&amp;IF((COUNTIF($H248:$K248,"&gt;1")+COUNTIF($H248:$K248,"&lt;0")+COUNTA($H248:$K248)-COUNT($H248:$K248))&gt;0,"Avance fuera de rango 0-100%"&amp;" · ","")&amp;IF(OR(AND($I248&lt;&gt;"",$I248&lt;$H248),AND($J248&lt;&gt;"",$J248&lt;MAX($H248:$I248)),AND($K248&lt;&gt;"",$K248&lt;MAX($H248:$J248))),"Avance semanal decreciente"&amp;" · ","")&amp;IF(AND(ISNUMBER($F248),$F248&lt;FechaRef,N($L248)&lt;1),"Vencida"&amp;" · ","")&amp;IF(AND(ObsObligatoria="Sí",ISNUMBER($F248),$F248&lt;FechaRef,N($L248)&lt;1,$N248=""),"Vencida sin observación"&amp;" · ",""))-3)))</f>
        <v/>
      </c>
      <c r="P248" s="69">
        <f>IF(NOT((COUNTA($B248:$K248)+COUNTA($N248))&gt;0),"",IF(AND($S248="Sub",N($R248)&gt;0),IF(ISNUMBER(INDEX($E$5:$E$1000,$R248-4)),DATE(YEAR(INDEX($E$5:$E$1000,$R248-4)),MONTH(INDEX($E$5:$E$1000,$R248-4)),1),IF(ISNUMBER(INDEX($F$5:$F$1000,$R248-4)),DATE(YEAR(INDEX($F$5:$F$1000,$R248-4)),MONTH(INDEX($F$5:$F$1000,$R248-4)),1),MesCiclo)),IF(ISNUMBER($E248),DATE(YEAR($E248),MONTH($E248),1),IF(ISNUMBER($F248),DATE(YEAR($F248),MONTH($F248),1),MesCiclo))))</f>
        <v/>
      </c>
      <c r="Q248" s="70">
        <f>IF(OR($P248="",$P248&lt;&gt;MesCiclo),"",COUNTIF($P$5:$P248,MesCiclo))</f>
        <v/>
      </c>
      <c r="R248" s="70">
        <f>IF($S248="","",IF($S248="Macro",ROW(),IFERROR(LOOKUP(2,1/($S$5:$S248="Macro"),ROW($S$5:$S248)),0)))</f>
        <v/>
      </c>
      <c r="S248" s="70">
        <f>IF(NOT((COUNTA($B248:$K248)+COUNTA($N248))&gt;0),"",IF($B248&lt;&gt;"","Macro",IF($C248&lt;&gt;"","Sub","Macro")))</f>
        <v/>
      </c>
      <c r="T248" s="70">
        <f>IF($S248="Macro",COUNTIFS($R$5:$R$1000,ROW(),$S$5:$S$1000,"Sub"),"")</f>
        <v/>
      </c>
      <c r="U248" s="70">
        <f>IF($S248="","",IF(ISNUMBER($H248),$H248,0))</f>
        <v/>
      </c>
      <c r="V248" s="70">
        <f>IF($S248="","",IF(ISNUMBER($I248),$I248,$U248))</f>
        <v/>
      </c>
      <c r="W248" s="70">
        <f>IF($S248="","",IF(ISNUMBER($J248),$J248,$V248))</f>
        <v/>
      </c>
      <c r="X248" s="70">
        <f>IF($S248="","",IF(ISNUMBER($K248),$K248,$W248))</f>
        <v/>
      </c>
      <c r="Y248" s="70">
        <f>IF($S248="","",IF(N($T248)&gt;0,AVERAGEIFS($U$5:$U$1000,$R$5:$R$1000,ROW(),$S$5:$S$1000,"Sub"),$U248))</f>
        <v/>
      </c>
      <c r="Z248" s="70">
        <f>IF($S248="","",IF(N($T248)&gt;0,AVERAGEIFS($V$5:$V$1000,$R$5:$R$1000,ROW(),$S$5:$S$1000,"Sub"),$V248))</f>
        <v/>
      </c>
      <c r="AA248" s="70">
        <f>IF($S248="","",IF(N($T248)&gt;0,AVERAGEIFS($W$5:$W$1000,$R$5:$R$1000,ROW(),$S$5:$S$1000,"Sub"),$W248))</f>
        <v/>
      </c>
      <c r="AB248" s="70">
        <f>IF($S248="","",IF(N($T248)&gt;0,AVERAGEIFS($X$5:$X$1000,$R$5:$R$1000,ROW(),$S$5:$S$1000,"Sub"),$X248))</f>
        <v/>
      </c>
    </row>
    <row r="249">
      <c r="A249" s="61">
        <f>IF(NOT((COUNTA($B249:$K249)+COUNTA($N249))&gt;0),"",IF($S249="Macro",COUNTIFS($S$5:$S249,"Macro",$P$5:$P249,$P249),IF(N($R249)=0,"?",COUNTIFS(INDEX($S$5:$S$1000,1):INDEX($S$5:$S$1000,$R249-4),"Macro",INDEX($P$5:$P$1000,1):INDEX($P$5:$P$1000,$R249-4),INDEX($P$5:$P$1000,$R249-4))&amp;"."&amp;COUNTIFS($R$5:$R249,$R249,$S$5:$S249,"Sub"))))</f>
        <v/>
      </c>
      <c r="B249" s="62" t="n"/>
      <c r="C249" s="63" t="n"/>
      <c r="D249" s="62" t="n"/>
      <c r="E249" s="64" t="n"/>
      <c r="F249" s="64" t="n"/>
      <c r="G249" s="65" t="n"/>
      <c r="H249" s="66" t="n"/>
      <c r="I249" s="66" t="n"/>
      <c r="J249" s="66" t="n"/>
      <c r="K249" s="66" t="n"/>
      <c r="L249" s="67">
        <f>IF(NOT((COUNTA($B249:$K249)+COUNTA($N249))&gt;0),"",IF(N($T249)&gt;0,$AB249,IFERROR(LOOKUP(2,1/(H249:K249&lt;&gt;""),H249:K249),0)))</f>
        <v/>
      </c>
      <c r="M249" s="61">
        <f>IF(L249="","",IF(L249&gt;=1,"Completado",IF(L249&gt;0,"En curso","Pendiente")))</f>
        <v/>
      </c>
      <c r="N249" s="62" t="n"/>
      <c r="O249" s="68">
        <f>IF(NOT((COUNTA($B249:$K249)+COUNTA($N249))&gt;0),"",IF((IF(AND($S249="Macro",$B249=""),"Macroactividad vacía"&amp;" · ","")&amp;IF(AND($B249&lt;&gt;"",$C249&lt;&gt;""),"Escriba la subactividad en otra fila, debajo de su macroactividad"&amp;" · ","")&amp;IF(AND($S249="Sub",N($R249)=0),"Subactividad sin macroactividad arriba"&amp;" · ","")&amp;IF($D249="","Sin responsable"&amp;" · ","")&amp;IF($E249="","Sin fecha de inicio"&amp;" · ","")&amp;IF($F249="","Sin fecha límite"&amp;" · ","")&amp;IF(OR(AND($E249&lt;&gt;"",NOT(ISNUMBER($E249))),AND($F249&lt;&gt;"",NOT(ISNUMBER($F249)))),"Fecha no válida"&amp;" · ","")&amp;IF(AND(ISNUMBER($E249),ISNUMBER($F249),$E249&gt;$F249),"Inicio posterior a fecha límite"&amp;" · ","")&amp;IF(AND($S249="Macro",$G249=""),"Peso vacío"&amp;" · ","")&amp;IF(AND($S249="Macro",$G249&lt;&gt;"",OR(NOT(ISNUMBER($G249)),$G249&lt;=0,$G249&gt;1)),"Peso fuera de rango"&amp;" · ","")&amp;IF(AND($S249="Sub",$G249&lt;&gt;""),"Las subactividades no llevan peso"&amp;" · ","")&amp;IF(AND($S249="Macro",ABS(SUMIFS($G$5:$G$1000,$P$5:$P$1000,$P249,$S$5:$S$1000,"Macro")-1)&gt;0.0001),"Pesos del mes suman "&amp;TEXT(SUMIFS($G$5:$G$1000,$P$5:$P$1000,$P249,$S$5:$S$1000,"Macro"),"0%")&amp;" · ","")&amp;IF(AND(N($T249)&gt;0,COUNT($H249:$K249)&gt;0),"Con subactividades: deje vacías las semanas (se calculan solas)"&amp;" · ","")&amp;IF((COUNTIF($H249:$K249,"&gt;1")+COUNTIF($H249:$K249,"&lt;0")+COUNTA($H249:$K249)-COUNT($H249:$K249))&gt;0,"Avance fuera de rango 0-100%"&amp;" · ","")&amp;IF(OR(AND($I249&lt;&gt;"",$I249&lt;$H249),AND($J249&lt;&gt;"",$J249&lt;MAX($H249:$I249)),AND($K249&lt;&gt;"",$K249&lt;MAX($H249:$J249))),"Avance semanal decreciente"&amp;" · ","")&amp;IF(AND(ISNUMBER($F249),$F249&lt;FechaRef,N($L249)&lt;1),"Vencida"&amp;" · ","")&amp;IF(AND(ObsObligatoria="Sí",ISNUMBER($F249),$F249&lt;FechaRef,N($L249)&lt;1,$N249=""),"Vencida sin observación"&amp;" · ",""))="","✔ OK","⚠ "&amp;LEFT(IF(AND($S249="Macro",$B249=""),"Macroactividad vacía"&amp;" · ","")&amp;IF(AND($B249&lt;&gt;"",$C249&lt;&gt;""),"Escriba la subactividad en otra fila, debajo de su macroactividad"&amp;" · ","")&amp;IF(AND($S249="Sub",N($R249)=0),"Subactividad sin macroactividad arriba"&amp;" · ","")&amp;IF($D249="","Sin responsable"&amp;" · ","")&amp;IF($E249="","Sin fecha de inicio"&amp;" · ","")&amp;IF($F249="","Sin fecha límite"&amp;" · ","")&amp;IF(OR(AND($E249&lt;&gt;"",NOT(ISNUMBER($E249))),AND($F249&lt;&gt;"",NOT(ISNUMBER($F249)))),"Fecha no válida"&amp;" · ","")&amp;IF(AND(ISNUMBER($E249),ISNUMBER($F249),$E249&gt;$F249),"Inicio posterior a fecha límite"&amp;" · ","")&amp;IF(AND($S249="Macro",$G249=""),"Peso vacío"&amp;" · ","")&amp;IF(AND($S249="Macro",$G249&lt;&gt;"",OR(NOT(ISNUMBER($G249)),$G249&lt;=0,$G249&gt;1)),"Peso fuera de rango"&amp;" · ","")&amp;IF(AND($S249="Sub",$G249&lt;&gt;""),"Las subactividades no llevan peso"&amp;" · ","")&amp;IF(AND($S249="Macro",ABS(SUMIFS($G$5:$G$1000,$P$5:$P$1000,$P249,$S$5:$S$1000,"Macro")-1)&gt;0.0001),"Pesos del mes suman "&amp;TEXT(SUMIFS($G$5:$G$1000,$P$5:$P$1000,$P249,$S$5:$S$1000,"Macro"),"0%")&amp;" · ","")&amp;IF(AND(N($T249)&gt;0,COUNT($H249:$K249)&gt;0),"Con subactividades: deje vacías las semanas (se calculan solas)"&amp;" · ","")&amp;IF((COUNTIF($H249:$K249,"&gt;1")+COUNTIF($H249:$K249,"&lt;0")+COUNTA($H249:$K249)-COUNT($H249:$K249))&gt;0,"Avance fuera de rango 0-100%"&amp;" · ","")&amp;IF(OR(AND($I249&lt;&gt;"",$I249&lt;$H249),AND($J249&lt;&gt;"",$J249&lt;MAX($H249:$I249)),AND($K249&lt;&gt;"",$K249&lt;MAX($H249:$J249))),"Avance semanal decreciente"&amp;" · ","")&amp;IF(AND(ISNUMBER($F249),$F249&lt;FechaRef,N($L249)&lt;1),"Vencida"&amp;" · ","")&amp;IF(AND(ObsObligatoria="Sí",ISNUMBER($F249),$F249&lt;FechaRef,N($L249)&lt;1,$N249=""),"Vencida sin observación"&amp;" · ",""),LEN(IF(AND($S249="Macro",$B249=""),"Macroactividad vacía"&amp;" · ","")&amp;IF(AND($B249&lt;&gt;"",$C249&lt;&gt;""),"Escriba la subactividad en otra fila, debajo de su macroactividad"&amp;" · ","")&amp;IF(AND($S249="Sub",N($R249)=0),"Subactividad sin macroactividad arriba"&amp;" · ","")&amp;IF($D249="","Sin responsable"&amp;" · ","")&amp;IF($E249="","Sin fecha de inicio"&amp;" · ","")&amp;IF($F249="","Sin fecha límite"&amp;" · ","")&amp;IF(OR(AND($E249&lt;&gt;"",NOT(ISNUMBER($E249))),AND($F249&lt;&gt;"",NOT(ISNUMBER($F249)))),"Fecha no válida"&amp;" · ","")&amp;IF(AND(ISNUMBER($E249),ISNUMBER($F249),$E249&gt;$F249),"Inicio posterior a fecha límite"&amp;" · ","")&amp;IF(AND($S249="Macro",$G249=""),"Peso vacío"&amp;" · ","")&amp;IF(AND($S249="Macro",$G249&lt;&gt;"",OR(NOT(ISNUMBER($G249)),$G249&lt;=0,$G249&gt;1)),"Peso fuera de rango"&amp;" · ","")&amp;IF(AND($S249="Sub",$G249&lt;&gt;""),"Las subactividades no llevan peso"&amp;" · ","")&amp;IF(AND($S249="Macro",ABS(SUMIFS($G$5:$G$1000,$P$5:$P$1000,$P249,$S$5:$S$1000,"Macro")-1)&gt;0.0001),"Pesos del mes suman "&amp;TEXT(SUMIFS($G$5:$G$1000,$P$5:$P$1000,$P249,$S$5:$S$1000,"Macro"),"0%")&amp;" · ","")&amp;IF(AND(N($T249)&gt;0,COUNT($H249:$K249)&gt;0),"Con subactividades: deje vacías las semanas (se calculan solas)"&amp;" · ","")&amp;IF((COUNTIF($H249:$K249,"&gt;1")+COUNTIF($H249:$K249,"&lt;0")+COUNTA($H249:$K249)-COUNT($H249:$K249))&gt;0,"Avance fuera de rango 0-100%"&amp;" · ","")&amp;IF(OR(AND($I249&lt;&gt;"",$I249&lt;$H249),AND($J249&lt;&gt;"",$J249&lt;MAX($H249:$I249)),AND($K249&lt;&gt;"",$K249&lt;MAX($H249:$J249))),"Avance semanal decreciente"&amp;" · ","")&amp;IF(AND(ISNUMBER($F249),$F249&lt;FechaRef,N($L249)&lt;1),"Vencida"&amp;" · ","")&amp;IF(AND(ObsObligatoria="Sí",ISNUMBER($F249),$F249&lt;FechaRef,N($L249)&lt;1,$N249=""),"Vencida sin observación"&amp;" · ",""))-3)))</f>
        <v/>
      </c>
      <c r="P249" s="69">
        <f>IF(NOT((COUNTA($B249:$K249)+COUNTA($N249))&gt;0),"",IF(AND($S249="Sub",N($R249)&gt;0),IF(ISNUMBER(INDEX($E$5:$E$1000,$R249-4)),DATE(YEAR(INDEX($E$5:$E$1000,$R249-4)),MONTH(INDEX($E$5:$E$1000,$R249-4)),1),IF(ISNUMBER(INDEX($F$5:$F$1000,$R249-4)),DATE(YEAR(INDEX($F$5:$F$1000,$R249-4)),MONTH(INDEX($F$5:$F$1000,$R249-4)),1),MesCiclo)),IF(ISNUMBER($E249),DATE(YEAR($E249),MONTH($E249),1),IF(ISNUMBER($F249),DATE(YEAR($F249),MONTH($F249),1),MesCiclo))))</f>
        <v/>
      </c>
      <c r="Q249" s="70">
        <f>IF(OR($P249="",$P249&lt;&gt;MesCiclo),"",COUNTIF($P$5:$P249,MesCiclo))</f>
        <v/>
      </c>
      <c r="R249" s="70">
        <f>IF($S249="","",IF($S249="Macro",ROW(),IFERROR(LOOKUP(2,1/($S$5:$S249="Macro"),ROW($S$5:$S249)),0)))</f>
        <v/>
      </c>
      <c r="S249" s="70">
        <f>IF(NOT((COUNTA($B249:$K249)+COUNTA($N249))&gt;0),"",IF($B249&lt;&gt;"","Macro",IF($C249&lt;&gt;"","Sub","Macro")))</f>
        <v/>
      </c>
      <c r="T249" s="70">
        <f>IF($S249="Macro",COUNTIFS($R$5:$R$1000,ROW(),$S$5:$S$1000,"Sub"),"")</f>
        <v/>
      </c>
      <c r="U249" s="70">
        <f>IF($S249="","",IF(ISNUMBER($H249),$H249,0))</f>
        <v/>
      </c>
      <c r="V249" s="70">
        <f>IF($S249="","",IF(ISNUMBER($I249),$I249,$U249))</f>
        <v/>
      </c>
      <c r="W249" s="70">
        <f>IF($S249="","",IF(ISNUMBER($J249),$J249,$V249))</f>
        <v/>
      </c>
      <c r="X249" s="70">
        <f>IF($S249="","",IF(ISNUMBER($K249),$K249,$W249))</f>
        <v/>
      </c>
      <c r="Y249" s="70">
        <f>IF($S249="","",IF(N($T249)&gt;0,AVERAGEIFS($U$5:$U$1000,$R$5:$R$1000,ROW(),$S$5:$S$1000,"Sub"),$U249))</f>
        <v/>
      </c>
      <c r="Z249" s="70">
        <f>IF($S249="","",IF(N($T249)&gt;0,AVERAGEIFS($V$5:$V$1000,$R$5:$R$1000,ROW(),$S$5:$S$1000,"Sub"),$V249))</f>
        <v/>
      </c>
      <c r="AA249" s="70">
        <f>IF($S249="","",IF(N($T249)&gt;0,AVERAGEIFS($W$5:$W$1000,$R$5:$R$1000,ROW(),$S$5:$S$1000,"Sub"),$W249))</f>
        <v/>
      </c>
      <c r="AB249" s="70">
        <f>IF($S249="","",IF(N($T249)&gt;0,AVERAGEIFS($X$5:$X$1000,$R$5:$R$1000,ROW(),$S$5:$S$1000,"Sub"),$X249))</f>
        <v/>
      </c>
    </row>
    <row r="250">
      <c r="A250" s="61">
        <f>IF(NOT((COUNTA($B250:$K250)+COUNTA($N250))&gt;0),"",IF($S250="Macro",COUNTIFS($S$5:$S250,"Macro",$P$5:$P250,$P250),IF(N($R250)=0,"?",COUNTIFS(INDEX($S$5:$S$1000,1):INDEX($S$5:$S$1000,$R250-4),"Macro",INDEX($P$5:$P$1000,1):INDEX($P$5:$P$1000,$R250-4),INDEX($P$5:$P$1000,$R250-4))&amp;"."&amp;COUNTIFS($R$5:$R250,$R250,$S$5:$S250,"Sub"))))</f>
        <v/>
      </c>
      <c r="B250" s="62" t="n"/>
      <c r="C250" s="63" t="n"/>
      <c r="D250" s="62" t="n"/>
      <c r="E250" s="64" t="n"/>
      <c r="F250" s="64" t="n"/>
      <c r="G250" s="65" t="n"/>
      <c r="H250" s="66" t="n"/>
      <c r="I250" s="66" t="n"/>
      <c r="J250" s="66" t="n"/>
      <c r="K250" s="66" t="n"/>
      <c r="L250" s="67">
        <f>IF(NOT((COUNTA($B250:$K250)+COUNTA($N250))&gt;0),"",IF(N($T250)&gt;0,$AB250,IFERROR(LOOKUP(2,1/(H250:K250&lt;&gt;""),H250:K250),0)))</f>
        <v/>
      </c>
      <c r="M250" s="61">
        <f>IF(L250="","",IF(L250&gt;=1,"Completado",IF(L250&gt;0,"En curso","Pendiente")))</f>
        <v/>
      </c>
      <c r="N250" s="62" t="n"/>
      <c r="O250" s="68">
        <f>IF(NOT((COUNTA($B250:$K250)+COUNTA($N250))&gt;0),"",IF((IF(AND($S250="Macro",$B250=""),"Macroactividad vacía"&amp;" · ","")&amp;IF(AND($B250&lt;&gt;"",$C250&lt;&gt;""),"Escriba la subactividad en otra fila, debajo de su macroactividad"&amp;" · ","")&amp;IF(AND($S250="Sub",N($R250)=0),"Subactividad sin macroactividad arriba"&amp;" · ","")&amp;IF($D250="","Sin responsable"&amp;" · ","")&amp;IF($E250="","Sin fecha de inicio"&amp;" · ","")&amp;IF($F250="","Sin fecha límite"&amp;" · ","")&amp;IF(OR(AND($E250&lt;&gt;"",NOT(ISNUMBER($E250))),AND($F250&lt;&gt;"",NOT(ISNUMBER($F250)))),"Fecha no válida"&amp;" · ","")&amp;IF(AND(ISNUMBER($E250),ISNUMBER($F250),$E250&gt;$F250),"Inicio posterior a fecha límite"&amp;" · ","")&amp;IF(AND($S250="Macro",$G250=""),"Peso vacío"&amp;" · ","")&amp;IF(AND($S250="Macro",$G250&lt;&gt;"",OR(NOT(ISNUMBER($G250)),$G250&lt;=0,$G250&gt;1)),"Peso fuera de rango"&amp;" · ","")&amp;IF(AND($S250="Sub",$G250&lt;&gt;""),"Las subactividades no llevan peso"&amp;" · ","")&amp;IF(AND($S250="Macro",ABS(SUMIFS($G$5:$G$1000,$P$5:$P$1000,$P250,$S$5:$S$1000,"Macro")-1)&gt;0.0001),"Pesos del mes suman "&amp;TEXT(SUMIFS($G$5:$G$1000,$P$5:$P$1000,$P250,$S$5:$S$1000,"Macro"),"0%")&amp;" · ","")&amp;IF(AND(N($T250)&gt;0,COUNT($H250:$K250)&gt;0),"Con subactividades: deje vacías las semanas (se calculan solas)"&amp;" · ","")&amp;IF((COUNTIF($H250:$K250,"&gt;1")+COUNTIF($H250:$K250,"&lt;0")+COUNTA($H250:$K250)-COUNT($H250:$K250))&gt;0,"Avance fuera de rango 0-100%"&amp;" · ","")&amp;IF(OR(AND($I250&lt;&gt;"",$I250&lt;$H250),AND($J250&lt;&gt;"",$J250&lt;MAX($H250:$I250)),AND($K250&lt;&gt;"",$K250&lt;MAX($H250:$J250))),"Avance semanal decreciente"&amp;" · ","")&amp;IF(AND(ISNUMBER($F250),$F250&lt;FechaRef,N($L250)&lt;1),"Vencida"&amp;" · ","")&amp;IF(AND(ObsObligatoria="Sí",ISNUMBER($F250),$F250&lt;FechaRef,N($L250)&lt;1,$N250=""),"Vencida sin observación"&amp;" · ",""))="","✔ OK","⚠ "&amp;LEFT(IF(AND($S250="Macro",$B250=""),"Macroactividad vacía"&amp;" · ","")&amp;IF(AND($B250&lt;&gt;"",$C250&lt;&gt;""),"Escriba la subactividad en otra fila, debajo de su macroactividad"&amp;" · ","")&amp;IF(AND($S250="Sub",N($R250)=0),"Subactividad sin macroactividad arriba"&amp;" · ","")&amp;IF($D250="","Sin responsable"&amp;" · ","")&amp;IF($E250="","Sin fecha de inicio"&amp;" · ","")&amp;IF($F250="","Sin fecha límite"&amp;" · ","")&amp;IF(OR(AND($E250&lt;&gt;"",NOT(ISNUMBER($E250))),AND($F250&lt;&gt;"",NOT(ISNUMBER($F250)))),"Fecha no válida"&amp;" · ","")&amp;IF(AND(ISNUMBER($E250),ISNUMBER($F250),$E250&gt;$F250),"Inicio posterior a fecha límite"&amp;" · ","")&amp;IF(AND($S250="Macro",$G250=""),"Peso vacío"&amp;" · ","")&amp;IF(AND($S250="Macro",$G250&lt;&gt;"",OR(NOT(ISNUMBER($G250)),$G250&lt;=0,$G250&gt;1)),"Peso fuera de rango"&amp;" · ","")&amp;IF(AND($S250="Sub",$G250&lt;&gt;""),"Las subactividades no llevan peso"&amp;" · ","")&amp;IF(AND($S250="Macro",ABS(SUMIFS($G$5:$G$1000,$P$5:$P$1000,$P250,$S$5:$S$1000,"Macro")-1)&gt;0.0001),"Pesos del mes suman "&amp;TEXT(SUMIFS($G$5:$G$1000,$P$5:$P$1000,$P250,$S$5:$S$1000,"Macro"),"0%")&amp;" · ","")&amp;IF(AND(N($T250)&gt;0,COUNT($H250:$K250)&gt;0),"Con subactividades: deje vacías las semanas (se calculan solas)"&amp;" · ","")&amp;IF((COUNTIF($H250:$K250,"&gt;1")+COUNTIF($H250:$K250,"&lt;0")+COUNTA($H250:$K250)-COUNT($H250:$K250))&gt;0,"Avance fuera de rango 0-100%"&amp;" · ","")&amp;IF(OR(AND($I250&lt;&gt;"",$I250&lt;$H250),AND($J250&lt;&gt;"",$J250&lt;MAX($H250:$I250)),AND($K250&lt;&gt;"",$K250&lt;MAX($H250:$J250))),"Avance semanal decreciente"&amp;" · ","")&amp;IF(AND(ISNUMBER($F250),$F250&lt;FechaRef,N($L250)&lt;1),"Vencida"&amp;" · ","")&amp;IF(AND(ObsObligatoria="Sí",ISNUMBER($F250),$F250&lt;FechaRef,N($L250)&lt;1,$N250=""),"Vencida sin observación"&amp;" · ",""),LEN(IF(AND($S250="Macro",$B250=""),"Macroactividad vacía"&amp;" · ","")&amp;IF(AND($B250&lt;&gt;"",$C250&lt;&gt;""),"Escriba la subactividad en otra fila, debajo de su macroactividad"&amp;" · ","")&amp;IF(AND($S250="Sub",N($R250)=0),"Subactividad sin macroactividad arriba"&amp;" · ","")&amp;IF($D250="","Sin responsable"&amp;" · ","")&amp;IF($E250="","Sin fecha de inicio"&amp;" · ","")&amp;IF($F250="","Sin fecha límite"&amp;" · ","")&amp;IF(OR(AND($E250&lt;&gt;"",NOT(ISNUMBER($E250))),AND($F250&lt;&gt;"",NOT(ISNUMBER($F250)))),"Fecha no válida"&amp;" · ","")&amp;IF(AND(ISNUMBER($E250),ISNUMBER($F250),$E250&gt;$F250),"Inicio posterior a fecha límite"&amp;" · ","")&amp;IF(AND($S250="Macro",$G250=""),"Peso vacío"&amp;" · ","")&amp;IF(AND($S250="Macro",$G250&lt;&gt;"",OR(NOT(ISNUMBER($G250)),$G250&lt;=0,$G250&gt;1)),"Peso fuera de rango"&amp;" · ","")&amp;IF(AND($S250="Sub",$G250&lt;&gt;""),"Las subactividades no llevan peso"&amp;" · ","")&amp;IF(AND($S250="Macro",ABS(SUMIFS($G$5:$G$1000,$P$5:$P$1000,$P250,$S$5:$S$1000,"Macro")-1)&gt;0.0001),"Pesos del mes suman "&amp;TEXT(SUMIFS($G$5:$G$1000,$P$5:$P$1000,$P250,$S$5:$S$1000,"Macro"),"0%")&amp;" · ","")&amp;IF(AND(N($T250)&gt;0,COUNT($H250:$K250)&gt;0),"Con subactividades: deje vacías las semanas (se calculan solas)"&amp;" · ","")&amp;IF((COUNTIF($H250:$K250,"&gt;1")+COUNTIF($H250:$K250,"&lt;0")+COUNTA($H250:$K250)-COUNT($H250:$K250))&gt;0,"Avance fuera de rango 0-100%"&amp;" · ","")&amp;IF(OR(AND($I250&lt;&gt;"",$I250&lt;$H250),AND($J250&lt;&gt;"",$J250&lt;MAX($H250:$I250)),AND($K250&lt;&gt;"",$K250&lt;MAX($H250:$J250))),"Avance semanal decreciente"&amp;" · ","")&amp;IF(AND(ISNUMBER($F250),$F250&lt;FechaRef,N($L250)&lt;1),"Vencida"&amp;" · ","")&amp;IF(AND(ObsObligatoria="Sí",ISNUMBER($F250),$F250&lt;FechaRef,N($L250)&lt;1,$N250=""),"Vencida sin observación"&amp;" · ",""))-3)))</f>
        <v/>
      </c>
      <c r="P250" s="69">
        <f>IF(NOT((COUNTA($B250:$K250)+COUNTA($N250))&gt;0),"",IF(AND($S250="Sub",N($R250)&gt;0),IF(ISNUMBER(INDEX($E$5:$E$1000,$R250-4)),DATE(YEAR(INDEX($E$5:$E$1000,$R250-4)),MONTH(INDEX($E$5:$E$1000,$R250-4)),1),IF(ISNUMBER(INDEX($F$5:$F$1000,$R250-4)),DATE(YEAR(INDEX($F$5:$F$1000,$R250-4)),MONTH(INDEX($F$5:$F$1000,$R250-4)),1),MesCiclo)),IF(ISNUMBER($E250),DATE(YEAR($E250),MONTH($E250),1),IF(ISNUMBER($F250),DATE(YEAR($F250),MONTH($F250),1),MesCiclo))))</f>
        <v/>
      </c>
      <c r="Q250" s="70">
        <f>IF(OR($P250="",$P250&lt;&gt;MesCiclo),"",COUNTIF($P$5:$P250,MesCiclo))</f>
        <v/>
      </c>
      <c r="R250" s="70">
        <f>IF($S250="","",IF($S250="Macro",ROW(),IFERROR(LOOKUP(2,1/($S$5:$S250="Macro"),ROW($S$5:$S250)),0)))</f>
        <v/>
      </c>
      <c r="S250" s="70">
        <f>IF(NOT((COUNTA($B250:$K250)+COUNTA($N250))&gt;0),"",IF($B250&lt;&gt;"","Macro",IF($C250&lt;&gt;"","Sub","Macro")))</f>
        <v/>
      </c>
      <c r="T250" s="70">
        <f>IF($S250="Macro",COUNTIFS($R$5:$R$1000,ROW(),$S$5:$S$1000,"Sub"),"")</f>
        <v/>
      </c>
      <c r="U250" s="70">
        <f>IF($S250="","",IF(ISNUMBER($H250),$H250,0))</f>
        <v/>
      </c>
      <c r="V250" s="70">
        <f>IF($S250="","",IF(ISNUMBER($I250),$I250,$U250))</f>
        <v/>
      </c>
      <c r="W250" s="70">
        <f>IF($S250="","",IF(ISNUMBER($J250),$J250,$V250))</f>
        <v/>
      </c>
      <c r="X250" s="70">
        <f>IF($S250="","",IF(ISNUMBER($K250),$K250,$W250))</f>
        <v/>
      </c>
      <c r="Y250" s="70">
        <f>IF($S250="","",IF(N($T250)&gt;0,AVERAGEIFS($U$5:$U$1000,$R$5:$R$1000,ROW(),$S$5:$S$1000,"Sub"),$U250))</f>
        <v/>
      </c>
      <c r="Z250" s="70">
        <f>IF($S250="","",IF(N($T250)&gt;0,AVERAGEIFS($V$5:$V$1000,$R$5:$R$1000,ROW(),$S$5:$S$1000,"Sub"),$V250))</f>
        <v/>
      </c>
      <c r="AA250" s="70">
        <f>IF($S250="","",IF(N($T250)&gt;0,AVERAGEIFS($W$5:$W$1000,$R$5:$R$1000,ROW(),$S$5:$S$1000,"Sub"),$W250))</f>
        <v/>
      </c>
      <c r="AB250" s="70">
        <f>IF($S250="","",IF(N($T250)&gt;0,AVERAGEIFS($X$5:$X$1000,$R$5:$R$1000,ROW(),$S$5:$S$1000,"Sub"),$X250))</f>
        <v/>
      </c>
    </row>
    <row r="251">
      <c r="A251" s="61">
        <f>IF(NOT((COUNTA($B251:$K251)+COUNTA($N251))&gt;0),"",IF($S251="Macro",COUNTIFS($S$5:$S251,"Macro",$P$5:$P251,$P251),IF(N($R251)=0,"?",COUNTIFS(INDEX($S$5:$S$1000,1):INDEX($S$5:$S$1000,$R251-4),"Macro",INDEX($P$5:$P$1000,1):INDEX($P$5:$P$1000,$R251-4),INDEX($P$5:$P$1000,$R251-4))&amp;"."&amp;COUNTIFS($R$5:$R251,$R251,$S$5:$S251,"Sub"))))</f>
        <v/>
      </c>
      <c r="B251" s="62" t="n"/>
      <c r="C251" s="63" t="n"/>
      <c r="D251" s="62" t="n"/>
      <c r="E251" s="64" t="n"/>
      <c r="F251" s="64" t="n"/>
      <c r="G251" s="65" t="n"/>
      <c r="H251" s="66" t="n"/>
      <c r="I251" s="66" t="n"/>
      <c r="J251" s="66" t="n"/>
      <c r="K251" s="66" t="n"/>
      <c r="L251" s="67">
        <f>IF(NOT((COUNTA($B251:$K251)+COUNTA($N251))&gt;0),"",IF(N($T251)&gt;0,$AB251,IFERROR(LOOKUP(2,1/(H251:K251&lt;&gt;""),H251:K251),0)))</f>
        <v/>
      </c>
      <c r="M251" s="61">
        <f>IF(L251="","",IF(L251&gt;=1,"Completado",IF(L251&gt;0,"En curso","Pendiente")))</f>
        <v/>
      </c>
      <c r="N251" s="62" t="n"/>
      <c r="O251" s="68">
        <f>IF(NOT((COUNTA($B251:$K251)+COUNTA($N251))&gt;0),"",IF((IF(AND($S251="Macro",$B251=""),"Macroactividad vacía"&amp;" · ","")&amp;IF(AND($B251&lt;&gt;"",$C251&lt;&gt;""),"Escriba la subactividad en otra fila, debajo de su macroactividad"&amp;" · ","")&amp;IF(AND($S251="Sub",N($R251)=0),"Subactividad sin macroactividad arriba"&amp;" · ","")&amp;IF($D251="","Sin responsable"&amp;" · ","")&amp;IF($E251="","Sin fecha de inicio"&amp;" · ","")&amp;IF($F251="","Sin fecha límite"&amp;" · ","")&amp;IF(OR(AND($E251&lt;&gt;"",NOT(ISNUMBER($E251))),AND($F251&lt;&gt;"",NOT(ISNUMBER($F251)))),"Fecha no válida"&amp;" · ","")&amp;IF(AND(ISNUMBER($E251),ISNUMBER($F251),$E251&gt;$F251),"Inicio posterior a fecha límite"&amp;" · ","")&amp;IF(AND($S251="Macro",$G251=""),"Peso vacío"&amp;" · ","")&amp;IF(AND($S251="Macro",$G251&lt;&gt;"",OR(NOT(ISNUMBER($G251)),$G251&lt;=0,$G251&gt;1)),"Peso fuera de rango"&amp;" · ","")&amp;IF(AND($S251="Sub",$G251&lt;&gt;""),"Las subactividades no llevan peso"&amp;" · ","")&amp;IF(AND($S251="Macro",ABS(SUMIFS($G$5:$G$1000,$P$5:$P$1000,$P251,$S$5:$S$1000,"Macro")-1)&gt;0.0001),"Pesos del mes suman "&amp;TEXT(SUMIFS($G$5:$G$1000,$P$5:$P$1000,$P251,$S$5:$S$1000,"Macro"),"0%")&amp;" · ","")&amp;IF(AND(N($T251)&gt;0,COUNT($H251:$K251)&gt;0),"Con subactividades: deje vacías las semanas (se calculan solas)"&amp;" · ","")&amp;IF((COUNTIF($H251:$K251,"&gt;1")+COUNTIF($H251:$K251,"&lt;0")+COUNTA($H251:$K251)-COUNT($H251:$K251))&gt;0,"Avance fuera de rango 0-100%"&amp;" · ","")&amp;IF(OR(AND($I251&lt;&gt;"",$I251&lt;$H251),AND($J251&lt;&gt;"",$J251&lt;MAX($H251:$I251)),AND($K251&lt;&gt;"",$K251&lt;MAX($H251:$J251))),"Avance semanal decreciente"&amp;" · ","")&amp;IF(AND(ISNUMBER($F251),$F251&lt;FechaRef,N($L251)&lt;1),"Vencida"&amp;" · ","")&amp;IF(AND(ObsObligatoria="Sí",ISNUMBER($F251),$F251&lt;FechaRef,N($L251)&lt;1,$N251=""),"Vencida sin observación"&amp;" · ",""))="","✔ OK","⚠ "&amp;LEFT(IF(AND($S251="Macro",$B251=""),"Macroactividad vacía"&amp;" · ","")&amp;IF(AND($B251&lt;&gt;"",$C251&lt;&gt;""),"Escriba la subactividad en otra fila, debajo de su macroactividad"&amp;" · ","")&amp;IF(AND($S251="Sub",N($R251)=0),"Subactividad sin macroactividad arriba"&amp;" · ","")&amp;IF($D251="","Sin responsable"&amp;" · ","")&amp;IF($E251="","Sin fecha de inicio"&amp;" · ","")&amp;IF($F251="","Sin fecha límite"&amp;" · ","")&amp;IF(OR(AND($E251&lt;&gt;"",NOT(ISNUMBER($E251))),AND($F251&lt;&gt;"",NOT(ISNUMBER($F251)))),"Fecha no válida"&amp;" · ","")&amp;IF(AND(ISNUMBER($E251),ISNUMBER($F251),$E251&gt;$F251),"Inicio posterior a fecha límite"&amp;" · ","")&amp;IF(AND($S251="Macro",$G251=""),"Peso vacío"&amp;" · ","")&amp;IF(AND($S251="Macro",$G251&lt;&gt;"",OR(NOT(ISNUMBER($G251)),$G251&lt;=0,$G251&gt;1)),"Peso fuera de rango"&amp;" · ","")&amp;IF(AND($S251="Sub",$G251&lt;&gt;""),"Las subactividades no llevan peso"&amp;" · ","")&amp;IF(AND($S251="Macro",ABS(SUMIFS($G$5:$G$1000,$P$5:$P$1000,$P251,$S$5:$S$1000,"Macro")-1)&gt;0.0001),"Pesos del mes suman "&amp;TEXT(SUMIFS($G$5:$G$1000,$P$5:$P$1000,$P251,$S$5:$S$1000,"Macro"),"0%")&amp;" · ","")&amp;IF(AND(N($T251)&gt;0,COUNT($H251:$K251)&gt;0),"Con subactividades: deje vacías las semanas (se calculan solas)"&amp;" · ","")&amp;IF((COUNTIF($H251:$K251,"&gt;1")+COUNTIF($H251:$K251,"&lt;0")+COUNTA($H251:$K251)-COUNT($H251:$K251))&gt;0,"Avance fuera de rango 0-100%"&amp;" · ","")&amp;IF(OR(AND($I251&lt;&gt;"",$I251&lt;$H251),AND($J251&lt;&gt;"",$J251&lt;MAX($H251:$I251)),AND($K251&lt;&gt;"",$K251&lt;MAX($H251:$J251))),"Avance semanal decreciente"&amp;" · ","")&amp;IF(AND(ISNUMBER($F251),$F251&lt;FechaRef,N($L251)&lt;1),"Vencida"&amp;" · ","")&amp;IF(AND(ObsObligatoria="Sí",ISNUMBER($F251),$F251&lt;FechaRef,N($L251)&lt;1,$N251=""),"Vencida sin observación"&amp;" · ",""),LEN(IF(AND($S251="Macro",$B251=""),"Macroactividad vacía"&amp;" · ","")&amp;IF(AND($B251&lt;&gt;"",$C251&lt;&gt;""),"Escriba la subactividad en otra fila, debajo de su macroactividad"&amp;" · ","")&amp;IF(AND($S251="Sub",N($R251)=0),"Subactividad sin macroactividad arriba"&amp;" · ","")&amp;IF($D251="","Sin responsable"&amp;" · ","")&amp;IF($E251="","Sin fecha de inicio"&amp;" · ","")&amp;IF($F251="","Sin fecha límite"&amp;" · ","")&amp;IF(OR(AND($E251&lt;&gt;"",NOT(ISNUMBER($E251))),AND($F251&lt;&gt;"",NOT(ISNUMBER($F251)))),"Fecha no válida"&amp;" · ","")&amp;IF(AND(ISNUMBER($E251),ISNUMBER($F251),$E251&gt;$F251),"Inicio posterior a fecha límite"&amp;" · ","")&amp;IF(AND($S251="Macro",$G251=""),"Peso vacío"&amp;" · ","")&amp;IF(AND($S251="Macro",$G251&lt;&gt;"",OR(NOT(ISNUMBER($G251)),$G251&lt;=0,$G251&gt;1)),"Peso fuera de rango"&amp;" · ","")&amp;IF(AND($S251="Sub",$G251&lt;&gt;""),"Las subactividades no llevan peso"&amp;" · ","")&amp;IF(AND($S251="Macro",ABS(SUMIFS($G$5:$G$1000,$P$5:$P$1000,$P251,$S$5:$S$1000,"Macro")-1)&gt;0.0001),"Pesos del mes suman "&amp;TEXT(SUMIFS($G$5:$G$1000,$P$5:$P$1000,$P251,$S$5:$S$1000,"Macro"),"0%")&amp;" · ","")&amp;IF(AND(N($T251)&gt;0,COUNT($H251:$K251)&gt;0),"Con subactividades: deje vacías las semanas (se calculan solas)"&amp;" · ","")&amp;IF((COUNTIF($H251:$K251,"&gt;1")+COUNTIF($H251:$K251,"&lt;0")+COUNTA($H251:$K251)-COUNT($H251:$K251))&gt;0,"Avance fuera de rango 0-100%"&amp;" · ","")&amp;IF(OR(AND($I251&lt;&gt;"",$I251&lt;$H251),AND($J251&lt;&gt;"",$J251&lt;MAX($H251:$I251)),AND($K251&lt;&gt;"",$K251&lt;MAX($H251:$J251))),"Avance semanal decreciente"&amp;" · ","")&amp;IF(AND(ISNUMBER($F251),$F251&lt;FechaRef,N($L251)&lt;1),"Vencida"&amp;" · ","")&amp;IF(AND(ObsObligatoria="Sí",ISNUMBER($F251),$F251&lt;FechaRef,N($L251)&lt;1,$N251=""),"Vencida sin observación"&amp;" · ",""))-3)))</f>
        <v/>
      </c>
      <c r="P251" s="69">
        <f>IF(NOT((COUNTA($B251:$K251)+COUNTA($N251))&gt;0),"",IF(AND($S251="Sub",N($R251)&gt;0),IF(ISNUMBER(INDEX($E$5:$E$1000,$R251-4)),DATE(YEAR(INDEX($E$5:$E$1000,$R251-4)),MONTH(INDEX($E$5:$E$1000,$R251-4)),1),IF(ISNUMBER(INDEX($F$5:$F$1000,$R251-4)),DATE(YEAR(INDEX($F$5:$F$1000,$R251-4)),MONTH(INDEX($F$5:$F$1000,$R251-4)),1),MesCiclo)),IF(ISNUMBER($E251),DATE(YEAR($E251),MONTH($E251),1),IF(ISNUMBER($F251),DATE(YEAR($F251),MONTH($F251),1),MesCiclo))))</f>
        <v/>
      </c>
      <c r="Q251" s="70">
        <f>IF(OR($P251="",$P251&lt;&gt;MesCiclo),"",COUNTIF($P$5:$P251,MesCiclo))</f>
        <v/>
      </c>
      <c r="R251" s="70">
        <f>IF($S251="","",IF($S251="Macro",ROW(),IFERROR(LOOKUP(2,1/($S$5:$S251="Macro"),ROW($S$5:$S251)),0)))</f>
        <v/>
      </c>
      <c r="S251" s="70">
        <f>IF(NOT((COUNTA($B251:$K251)+COUNTA($N251))&gt;0),"",IF($B251&lt;&gt;"","Macro",IF($C251&lt;&gt;"","Sub","Macro")))</f>
        <v/>
      </c>
      <c r="T251" s="70">
        <f>IF($S251="Macro",COUNTIFS($R$5:$R$1000,ROW(),$S$5:$S$1000,"Sub"),"")</f>
        <v/>
      </c>
      <c r="U251" s="70">
        <f>IF($S251="","",IF(ISNUMBER($H251),$H251,0))</f>
        <v/>
      </c>
      <c r="V251" s="70">
        <f>IF($S251="","",IF(ISNUMBER($I251),$I251,$U251))</f>
        <v/>
      </c>
      <c r="W251" s="70">
        <f>IF($S251="","",IF(ISNUMBER($J251),$J251,$V251))</f>
        <v/>
      </c>
      <c r="X251" s="70">
        <f>IF($S251="","",IF(ISNUMBER($K251),$K251,$W251))</f>
        <v/>
      </c>
      <c r="Y251" s="70">
        <f>IF($S251="","",IF(N($T251)&gt;0,AVERAGEIFS($U$5:$U$1000,$R$5:$R$1000,ROW(),$S$5:$S$1000,"Sub"),$U251))</f>
        <v/>
      </c>
      <c r="Z251" s="70">
        <f>IF($S251="","",IF(N($T251)&gt;0,AVERAGEIFS($V$5:$V$1000,$R$5:$R$1000,ROW(),$S$5:$S$1000,"Sub"),$V251))</f>
        <v/>
      </c>
      <c r="AA251" s="70">
        <f>IF($S251="","",IF(N($T251)&gt;0,AVERAGEIFS($W$5:$W$1000,$R$5:$R$1000,ROW(),$S$5:$S$1000,"Sub"),$W251))</f>
        <v/>
      </c>
      <c r="AB251" s="70">
        <f>IF($S251="","",IF(N($T251)&gt;0,AVERAGEIFS($X$5:$X$1000,$R$5:$R$1000,ROW(),$S$5:$S$1000,"Sub"),$X251))</f>
        <v/>
      </c>
    </row>
    <row r="252">
      <c r="A252" s="61">
        <f>IF(NOT((COUNTA($B252:$K252)+COUNTA($N252))&gt;0),"",IF($S252="Macro",COUNTIFS($S$5:$S252,"Macro",$P$5:$P252,$P252),IF(N($R252)=0,"?",COUNTIFS(INDEX($S$5:$S$1000,1):INDEX($S$5:$S$1000,$R252-4),"Macro",INDEX($P$5:$P$1000,1):INDEX($P$5:$P$1000,$R252-4),INDEX($P$5:$P$1000,$R252-4))&amp;"."&amp;COUNTIFS($R$5:$R252,$R252,$S$5:$S252,"Sub"))))</f>
        <v/>
      </c>
      <c r="B252" s="62" t="n"/>
      <c r="C252" s="63" t="n"/>
      <c r="D252" s="62" t="n"/>
      <c r="E252" s="64" t="n"/>
      <c r="F252" s="64" t="n"/>
      <c r="G252" s="65" t="n"/>
      <c r="H252" s="66" t="n"/>
      <c r="I252" s="66" t="n"/>
      <c r="J252" s="66" t="n"/>
      <c r="K252" s="66" t="n"/>
      <c r="L252" s="67">
        <f>IF(NOT((COUNTA($B252:$K252)+COUNTA($N252))&gt;0),"",IF(N($T252)&gt;0,$AB252,IFERROR(LOOKUP(2,1/(H252:K252&lt;&gt;""),H252:K252),0)))</f>
        <v/>
      </c>
      <c r="M252" s="61">
        <f>IF(L252="","",IF(L252&gt;=1,"Completado",IF(L252&gt;0,"En curso","Pendiente")))</f>
        <v/>
      </c>
      <c r="N252" s="62" t="n"/>
      <c r="O252" s="68">
        <f>IF(NOT((COUNTA($B252:$K252)+COUNTA($N252))&gt;0),"",IF((IF(AND($S252="Macro",$B252=""),"Macroactividad vacía"&amp;" · ","")&amp;IF(AND($B252&lt;&gt;"",$C252&lt;&gt;""),"Escriba la subactividad en otra fila, debajo de su macroactividad"&amp;" · ","")&amp;IF(AND($S252="Sub",N($R252)=0),"Subactividad sin macroactividad arriba"&amp;" · ","")&amp;IF($D252="","Sin responsable"&amp;" · ","")&amp;IF($E252="","Sin fecha de inicio"&amp;" · ","")&amp;IF($F252="","Sin fecha límite"&amp;" · ","")&amp;IF(OR(AND($E252&lt;&gt;"",NOT(ISNUMBER($E252))),AND($F252&lt;&gt;"",NOT(ISNUMBER($F252)))),"Fecha no válida"&amp;" · ","")&amp;IF(AND(ISNUMBER($E252),ISNUMBER($F252),$E252&gt;$F252),"Inicio posterior a fecha límite"&amp;" · ","")&amp;IF(AND($S252="Macro",$G252=""),"Peso vacío"&amp;" · ","")&amp;IF(AND($S252="Macro",$G252&lt;&gt;"",OR(NOT(ISNUMBER($G252)),$G252&lt;=0,$G252&gt;1)),"Peso fuera de rango"&amp;" · ","")&amp;IF(AND($S252="Sub",$G252&lt;&gt;""),"Las subactividades no llevan peso"&amp;" · ","")&amp;IF(AND($S252="Macro",ABS(SUMIFS($G$5:$G$1000,$P$5:$P$1000,$P252,$S$5:$S$1000,"Macro")-1)&gt;0.0001),"Pesos del mes suman "&amp;TEXT(SUMIFS($G$5:$G$1000,$P$5:$P$1000,$P252,$S$5:$S$1000,"Macro"),"0%")&amp;" · ","")&amp;IF(AND(N($T252)&gt;0,COUNT($H252:$K252)&gt;0),"Con subactividades: deje vacías las semanas (se calculan solas)"&amp;" · ","")&amp;IF((COUNTIF($H252:$K252,"&gt;1")+COUNTIF($H252:$K252,"&lt;0")+COUNTA($H252:$K252)-COUNT($H252:$K252))&gt;0,"Avance fuera de rango 0-100%"&amp;" · ","")&amp;IF(OR(AND($I252&lt;&gt;"",$I252&lt;$H252),AND($J252&lt;&gt;"",$J252&lt;MAX($H252:$I252)),AND($K252&lt;&gt;"",$K252&lt;MAX($H252:$J252))),"Avance semanal decreciente"&amp;" · ","")&amp;IF(AND(ISNUMBER($F252),$F252&lt;FechaRef,N($L252)&lt;1),"Vencida"&amp;" · ","")&amp;IF(AND(ObsObligatoria="Sí",ISNUMBER($F252),$F252&lt;FechaRef,N($L252)&lt;1,$N252=""),"Vencida sin observación"&amp;" · ",""))="","✔ OK","⚠ "&amp;LEFT(IF(AND($S252="Macro",$B252=""),"Macroactividad vacía"&amp;" · ","")&amp;IF(AND($B252&lt;&gt;"",$C252&lt;&gt;""),"Escriba la subactividad en otra fila, debajo de su macroactividad"&amp;" · ","")&amp;IF(AND($S252="Sub",N($R252)=0),"Subactividad sin macroactividad arriba"&amp;" · ","")&amp;IF($D252="","Sin responsable"&amp;" · ","")&amp;IF($E252="","Sin fecha de inicio"&amp;" · ","")&amp;IF($F252="","Sin fecha límite"&amp;" · ","")&amp;IF(OR(AND($E252&lt;&gt;"",NOT(ISNUMBER($E252))),AND($F252&lt;&gt;"",NOT(ISNUMBER($F252)))),"Fecha no válida"&amp;" · ","")&amp;IF(AND(ISNUMBER($E252),ISNUMBER($F252),$E252&gt;$F252),"Inicio posterior a fecha límite"&amp;" · ","")&amp;IF(AND($S252="Macro",$G252=""),"Peso vacío"&amp;" · ","")&amp;IF(AND($S252="Macro",$G252&lt;&gt;"",OR(NOT(ISNUMBER($G252)),$G252&lt;=0,$G252&gt;1)),"Peso fuera de rango"&amp;" · ","")&amp;IF(AND($S252="Sub",$G252&lt;&gt;""),"Las subactividades no llevan peso"&amp;" · ","")&amp;IF(AND($S252="Macro",ABS(SUMIFS($G$5:$G$1000,$P$5:$P$1000,$P252,$S$5:$S$1000,"Macro")-1)&gt;0.0001),"Pesos del mes suman "&amp;TEXT(SUMIFS($G$5:$G$1000,$P$5:$P$1000,$P252,$S$5:$S$1000,"Macro"),"0%")&amp;" · ","")&amp;IF(AND(N($T252)&gt;0,COUNT($H252:$K252)&gt;0),"Con subactividades: deje vacías las semanas (se calculan solas)"&amp;" · ","")&amp;IF((COUNTIF($H252:$K252,"&gt;1")+COUNTIF($H252:$K252,"&lt;0")+COUNTA($H252:$K252)-COUNT($H252:$K252))&gt;0,"Avance fuera de rango 0-100%"&amp;" · ","")&amp;IF(OR(AND($I252&lt;&gt;"",$I252&lt;$H252),AND($J252&lt;&gt;"",$J252&lt;MAX($H252:$I252)),AND($K252&lt;&gt;"",$K252&lt;MAX($H252:$J252))),"Avance semanal decreciente"&amp;" · ","")&amp;IF(AND(ISNUMBER($F252),$F252&lt;FechaRef,N($L252)&lt;1),"Vencida"&amp;" · ","")&amp;IF(AND(ObsObligatoria="Sí",ISNUMBER($F252),$F252&lt;FechaRef,N($L252)&lt;1,$N252=""),"Vencida sin observación"&amp;" · ",""),LEN(IF(AND($S252="Macro",$B252=""),"Macroactividad vacía"&amp;" · ","")&amp;IF(AND($B252&lt;&gt;"",$C252&lt;&gt;""),"Escriba la subactividad en otra fila, debajo de su macroactividad"&amp;" · ","")&amp;IF(AND($S252="Sub",N($R252)=0),"Subactividad sin macroactividad arriba"&amp;" · ","")&amp;IF($D252="","Sin responsable"&amp;" · ","")&amp;IF($E252="","Sin fecha de inicio"&amp;" · ","")&amp;IF($F252="","Sin fecha límite"&amp;" · ","")&amp;IF(OR(AND($E252&lt;&gt;"",NOT(ISNUMBER($E252))),AND($F252&lt;&gt;"",NOT(ISNUMBER($F252)))),"Fecha no válida"&amp;" · ","")&amp;IF(AND(ISNUMBER($E252),ISNUMBER($F252),$E252&gt;$F252),"Inicio posterior a fecha límite"&amp;" · ","")&amp;IF(AND($S252="Macro",$G252=""),"Peso vacío"&amp;" · ","")&amp;IF(AND($S252="Macro",$G252&lt;&gt;"",OR(NOT(ISNUMBER($G252)),$G252&lt;=0,$G252&gt;1)),"Peso fuera de rango"&amp;" · ","")&amp;IF(AND($S252="Sub",$G252&lt;&gt;""),"Las subactividades no llevan peso"&amp;" · ","")&amp;IF(AND($S252="Macro",ABS(SUMIFS($G$5:$G$1000,$P$5:$P$1000,$P252,$S$5:$S$1000,"Macro")-1)&gt;0.0001),"Pesos del mes suman "&amp;TEXT(SUMIFS($G$5:$G$1000,$P$5:$P$1000,$P252,$S$5:$S$1000,"Macro"),"0%")&amp;" · ","")&amp;IF(AND(N($T252)&gt;0,COUNT($H252:$K252)&gt;0),"Con subactividades: deje vacías las semanas (se calculan solas)"&amp;" · ","")&amp;IF((COUNTIF($H252:$K252,"&gt;1")+COUNTIF($H252:$K252,"&lt;0")+COUNTA($H252:$K252)-COUNT($H252:$K252))&gt;0,"Avance fuera de rango 0-100%"&amp;" · ","")&amp;IF(OR(AND($I252&lt;&gt;"",$I252&lt;$H252),AND($J252&lt;&gt;"",$J252&lt;MAX($H252:$I252)),AND($K252&lt;&gt;"",$K252&lt;MAX($H252:$J252))),"Avance semanal decreciente"&amp;" · ","")&amp;IF(AND(ISNUMBER($F252),$F252&lt;FechaRef,N($L252)&lt;1),"Vencida"&amp;" · ","")&amp;IF(AND(ObsObligatoria="Sí",ISNUMBER($F252),$F252&lt;FechaRef,N($L252)&lt;1,$N252=""),"Vencida sin observación"&amp;" · ",""))-3)))</f>
        <v/>
      </c>
      <c r="P252" s="69">
        <f>IF(NOT((COUNTA($B252:$K252)+COUNTA($N252))&gt;0),"",IF(AND($S252="Sub",N($R252)&gt;0),IF(ISNUMBER(INDEX($E$5:$E$1000,$R252-4)),DATE(YEAR(INDEX($E$5:$E$1000,$R252-4)),MONTH(INDEX($E$5:$E$1000,$R252-4)),1),IF(ISNUMBER(INDEX($F$5:$F$1000,$R252-4)),DATE(YEAR(INDEX($F$5:$F$1000,$R252-4)),MONTH(INDEX($F$5:$F$1000,$R252-4)),1),MesCiclo)),IF(ISNUMBER($E252),DATE(YEAR($E252),MONTH($E252),1),IF(ISNUMBER($F252),DATE(YEAR($F252),MONTH($F252),1),MesCiclo))))</f>
        <v/>
      </c>
      <c r="Q252" s="70">
        <f>IF(OR($P252="",$P252&lt;&gt;MesCiclo),"",COUNTIF($P$5:$P252,MesCiclo))</f>
        <v/>
      </c>
      <c r="R252" s="70">
        <f>IF($S252="","",IF($S252="Macro",ROW(),IFERROR(LOOKUP(2,1/($S$5:$S252="Macro"),ROW($S$5:$S252)),0)))</f>
        <v/>
      </c>
      <c r="S252" s="70">
        <f>IF(NOT((COUNTA($B252:$K252)+COUNTA($N252))&gt;0),"",IF($B252&lt;&gt;"","Macro",IF($C252&lt;&gt;"","Sub","Macro")))</f>
        <v/>
      </c>
      <c r="T252" s="70">
        <f>IF($S252="Macro",COUNTIFS($R$5:$R$1000,ROW(),$S$5:$S$1000,"Sub"),"")</f>
        <v/>
      </c>
      <c r="U252" s="70">
        <f>IF($S252="","",IF(ISNUMBER($H252),$H252,0))</f>
        <v/>
      </c>
      <c r="V252" s="70">
        <f>IF($S252="","",IF(ISNUMBER($I252),$I252,$U252))</f>
        <v/>
      </c>
      <c r="W252" s="70">
        <f>IF($S252="","",IF(ISNUMBER($J252),$J252,$V252))</f>
        <v/>
      </c>
      <c r="X252" s="70">
        <f>IF($S252="","",IF(ISNUMBER($K252),$K252,$W252))</f>
        <v/>
      </c>
      <c r="Y252" s="70">
        <f>IF($S252="","",IF(N($T252)&gt;0,AVERAGEIFS($U$5:$U$1000,$R$5:$R$1000,ROW(),$S$5:$S$1000,"Sub"),$U252))</f>
        <v/>
      </c>
      <c r="Z252" s="70">
        <f>IF($S252="","",IF(N($T252)&gt;0,AVERAGEIFS($V$5:$V$1000,$R$5:$R$1000,ROW(),$S$5:$S$1000,"Sub"),$V252))</f>
        <v/>
      </c>
      <c r="AA252" s="70">
        <f>IF($S252="","",IF(N($T252)&gt;0,AVERAGEIFS($W$5:$W$1000,$R$5:$R$1000,ROW(),$S$5:$S$1000,"Sub"),$W252))</f>
        <v/>
      </c>
      <c r="AB252" s="70">
        <f>IF($S252="","",IF(N($T252)&gt;0,AVERAGEIFS($X$5:$X$1000,$R$5:$R$1000,ROW(),$S$5:$S$1000,"Sub"),$X252))</f>
        <v/>
      </c>
    </row>
    <row r="253">
      <c r="A253" s="61">
        <f>IF(NOT((COUNTA($B253:$K253)+COUNTA($N253))&gt;0),"",IF($S253="Macro",COUNTIFS($S$5:$S253,"Macro",$P$5:$P253,$P253),IF(N($R253)=0,"?",COUNTIFS(INDEX($S$5:$S$1000,1):INDEX($S$5:$S$1000,$R253-4),"Macro",INDEX($P$5:$P$1000,1):INDEX($P$5:$P$1000,$R253-4),INDEX($P$5:$P$1000,$R253-4))&amp;"."&amp;COUNTIFS($R$5:$R253,$R253,$S$5:$S253,"Sub"))))</f>
        <v/>
      </c>
      <c r="B253" s="62" t="n"/>
      <c r="C253" s="63" t="n"/>
      <c r="D253" s="62" t="n"/>
      <c r="E253" s="64" t="n"/>
      <c r="F253" s="64" t="n"/>
      <c r="G253" s="65" t="n"/>
      <c r="H253" s="66" t="n"/>
      <c r="I253" s="66" t="n"/>
      <c r="J253" s="66" t="n"/>
      <c r="K253" s="66" t="n"/>
      <c r="L253" s="67">
        <f>IF(NOT((COUNTA($B253:$K253)+COUNTA($N253))&gt;0),"",IF(N($T253)&gt;0,$AB253,IFERROR(LOOKUP(2,1/(H253:K253&lt;&gt;""),H253:K253),0)))</f>
        <v/>
      </c>
      <c r="M253" s="61">
        <f>IF(L253="","",IF(L253&gt;=1,"Completado",IF(L253&gt;0,"En curso","Pendiente")))</f>
        <v/>
      </c>
      <c r="N253" s="62" t="n"/>
      <c r="O253" s="68">
        <f>IF(NOT((COUNTA($B253:$K253)+COUNTA($N253))&gt;0),"",IF((IF(AND($S253="Macro",$B253=""),"Macroactividad vacía"&amp;" · ","")&amp;IF(AND($B253&lt;&gt;"",$C253&lt;&gt;""),"Escriba la subactividad en otra fila, debajo de su macroactividad"&amp;" · ","")&amp;IF(AND($S253="Sub",N($R253)=0),"Subactividad sin macroactividad arriba"&amp;" · ","")&amp;IF($D253="","Sin responsable"&amp;" · ","")&amp;IF($E253="","Sin fecha de inicio"&amp;" · ","")&amp;IF($F253="","Sin fecha límite"&amp;" · ","")&amp;IF(OR(AND($E253&lt;&gt;"",NOT(ISNUMBER($E253))),AND($F253&lt;&gt;"",NOT(ISNUMBER($F253)))),"Fecha no válida"&amp;" · ","")&amp;IF(AND(ISNUMBER($E253),ISNUMBER($F253),$E253&gt;$F253),"Inicio posterior a fecha límite"&amp;" · ","")&amp;IF(AND($S253="Macro",$G253=""),"Peso vacío"&amp;" · ","")&amp;IF(AND($S253="Macro",$G253&lt;&gt;"",OR(NOT(ISNUMBER($G253)),$G253&lt;=0,$G253&gt;1)),"Peso fuera de rango"&amp;" · ","")&amp;IF(AND($S253="Sub",$G253&lt;&gt;""),"Las subactividades no llevan peso"&amp;" · ","")&amp;IF(AND($S253="Macro",ABS(SUMIFS($G$5:$G$1000,$P$5:$P$1000,$P253,$S$5:$S$1000,"Macro")-1)&gt;0.0001),"Pesos del mes suman "&amp;TEXT(SUMIFS($G$5:$G$1000,$P$5:$P$1000,$P253,$S$5:$S$1000,"Macro"),"0%")&amp;" · ","")&amp;IF(AND(N($T253)&gt;0,COUNT($H253:$K253)&gt;0),"Con subactividades: deje vacías las semanas (se calculan solas)"&amp;" · ","")&amp;IF((COUNTIF($H253:$K253,"&gt;1")+COUNTIF($H253:$K253,"&lt;0")+COUNTA($H253:$K253)-COUNT($H253:$K253))&gt;0,"Avance fuera de rango 0-100%"&amp;" · ","")&amp;IF(OR(AND($I253&lt;&gt;"",$I253&lt;$H253),AND($J253&lt;&gt;"",$J253&lt;MAX($H253:$I253)),AND($K253&lt;&gt;"",$K253&lt;MAX($H253:$J253))),"Avance semanal decreciente"&amp;" · ","")&amp;IF(AND(ISNUMBER($F253),$F253&lt;FechaRef,N($L253)&lt;1),"Vencida"&amp;" · ","")&amp;IF(AND(ObsObligatoria="Sí",ISNUMBER($F253),$F253&lt;FechaRef,N($L253)&lt;1,$N253=""),"Vencida sin observación"&amp;" · ",""))="","✔ OK","⚠ "&amp;LEFT(IF(AND($S253="Macro",$B253=""),"Macroactividad vacía"&amp;" · ","")&amp;IF(AND($B253&lt;&gt;"",$C253&lt;&gt;""),"Escriba la subactividad en otra fila, debajo de su macroactividad"&amp;" · ","")&amp;IF(AND($S253="Sub",N($R253)=0),"Subactividad sin macroactividad arriba"&amp;" · ","")&amp;IF($D253="","Sin responsable"&amp;" · ","")&amp;IF($E253="","Sin fecha de inicio"&amp;" · ","")&amp;IF($F253="","Sin fecha límite"&amp;" · ","")&amp;IF(OR(AND($E253&lt;&gt;"",NOT(ISNUMBER($E253))),AND($F253&lt;&gt;"",NOT(ISNUMBER($F253)))),"Fecha no válida"&amp;" · ","")&amp;IF(AND(ISNUMBER($E253),ISNUMBER($F253),$E253&gt;$F253),"Inicio posterior a fecha límite"&amp;" · ","")&amp;IF(AND($S253="Macro",$G253=""),"Peso vacío"&amp;" · ","")&amp;IF(AND($S253="Macro",$G253&lt;&gt;"",OR(NOT(ISNUMBER($G253)),$G253&lt;=0,$G253&gt;1)),"Peso fuera de rango"&amp;" · ","")&amp;IF(AND($S253="Sub",$G253&lt;&gt;""),"Las subactividades no llevan peso"&amp;" · ","")&amp;IF(AND($S253="Macro",ABS(SUMIFS($G$5:$G$1000,$P$5:$P$1000,$P253,$S$5:$S$1000,"Macro")-1)&gt;0.0001),"Pesos del mes suman "&amp;TEXT(SUMIFS($G$5:$G$1000,$P$5:$P$1000,$P253,$S$5:$S$1000,"Macro"),"0%")&amp;" · ","")&amp;IF(AND(N($T253)&gt;0,COUNT($H253:$K253)&gt;0),"Con subactividades: deje vacías las semanas (se calculan solas)"&amp;" · ","")&amp;IF((COUNTIF($H253:$K253,"&gt;1")+COUNTIF($H253:$K253,"&lt;0")+COUNTA($H253:$K253)-COUNT($H253:$K253))&gt;0,"Avance fuera de rango 0-100%"&amp;" · ","")&amp;IF(OR(AND($I253&lt;&gt;"",$I253&lt;$H253),AND($J253&lt;&gt;"",$J253&lt;MAX($H253:$I253)),AND($K253&lt;&gt;"",$K253&lt;MAX($H253:$J253))),"Avance semanal decreciente"&amp;" · ","")&amp;IF(AND(ISNUMBER($F253),$F253&lt;FechaRef,N($L253)&lt;1),"Vencida"&amp;" · ","")&amp;IF(AND(ObsObligatoria="Sí",ISNUMBER($F253),$F253&lt;FechaRef,N($L253)&lt;1,$N253=""),"Vencida sin observación"&amp;" · ",""),LEN(IF(AND($S253="Macro",$B253=""),"Macroactividad vacía"&amp;" · ","")&amp;IF(AND($B253&lt;&gt;"",$C253&lt;&gt;""),"Escriba la subactividad en otra fila, debajo de su macroactividad"&amp;" · ","")&amp;IF(AND($S253="Sub",N($R253)=0),"Subactividad sin macroactividad arriba"&amp;" · ","")&amp;IF($D253="","Sin responsable"&amp;" · ","")&amp;IF($E253="","Sin fecha de inicio"&amp;" · ","")&amp;IF($F253="","Sin fecha límite"&amp;" · ","")&amp;IF(OR(AND($E253&lt;&gt;"",NOT(ISNUMBER($E253))),AND($F253&lt;&gt;"",NOT(ISNUMBER($F253)))),"Fecha no válida"&amp;" · ","")&amp;IF(AND(ISNUMBER($E253),ISNUMBER($F253),$E253&gt;$F253),"Inicio posterior a fecha límite"&amp;" · ","")&amp;IF(AND($S253="Macro",$G253=""),"Peso vacío"&amp;" · ","")&amp;IF(AND($S253="Macro",$G253&lt;&gt;"",OR(NOT(ISNUMBER($G253)),$G253&lt;=0,$G253&gt;1)),"Peso fuera de rango"&amp;" · ","")&amp;IF(AND($S253="Sub",$G253&lt;&gt;""),"Las subactividades no llevan peso"&amp;" · ","")&amp;IF(AND($S253="Macro",ABS(SUMIFS($G$5:$G$1000,$P$5:$P$1000,$P253,$S$5:$S$1000,"Macro")-1)&gt;0.0001),"Pesos del mes suman "&amp;TEXT(SUMIFS($G$5:$G$1000,$P$5:$P$1000,$P253,$S$5:$S$1000,"Macro"),"0%")&amp;" · ","")&amp;IF(AND(N($T253)&gt;0,COUNT($H253:$K253)&gt;0),"Con subactividades: deje vacías las semanas (se calculan solas)"&amp;" · ","")&amp;IF((COUNTIF($H253:$K253,"&gt;1")+COUNTIF($H253:$K253,"&lt;0")+COUNTA($H253:$K253)-COUNT($H253:$K253))&gt;0,"Avance fuera de rango 0-100%"&amp;" · ","")&amp;IF(OR(AND($I253&lt;&gt;"",$I253&lt;$H253),AND($J253&lt;&gt;"",$J253&lt;MAX($H253:$I253)),AND($K253&lt;&gt;"",$K253&lt;MAX($H253:$J253))),"Avance semanal decreciente"&amp;" · ","")&amp;IF(AND(ISNUMBER($F253),$F253&lt;FechaRef,N($L253)&lt;1),"Vencida"&amp;" · ","")&amp;IF(AND(ObsObligatoria="Sí",ISNUMBER($F253),$F253&lt;FechaRef,N($L253)&lt;1,$N253=""),"Vencida sin observación"&amp;" · ",""))-3)))</f>
        <v/>
      </c>
      <c r="P253" s="69">
        <f>IF(NOT((COUNTA($B253:$K253)+COUNTA($N253))&gt;0),"",IF(AND($S253="Sub",N($R253)&gt;0),IF(ISNUMBER(INDEX($E$5:$E$1000,$R253-4)),DATE(YEAR(INDEX($E$5:$E$1000,$R253-4)),MONTH(INDEX($E$5:$E$1000,$R253-4)),1),IF(ISNUMBER(INDEX($F$5:$F$1000,$R253-4)),DATE(YEAR(INDEX($F$5:$F$1000,$R253-4)),MONTH(INDEX($F$5:$F$1000,$R253-4)),1),MesCiclo)),IF(ISNUMBER($E253),DATE(YEAR($E253),MONTH($E253),1),IF(ISNUMBER($F253),DATE(YEAR($F253),MONTH($F253),1),MesCiclo))))</f>
        <v/>
      </c>
      <c r="Q253" s="70">
        <f>IF(OR($P253="",$P253&lt;&gt;MesCiclo),"",COUNTIF($P$5:$P253,MesCiclo))</f>
        <v/>
      </c>
      <c r="R253" s="70">
        <f>IF($S253="","",IF($S253="Macro",ROW(),IFERROR(LOOKUP(2,1/($S$5:$S253="Macro"),ROW($S$5:$S253)),0)))</f>
        <v/>
      </c>
      <c r="S253" s="70">
        <f>IF(NOT((COUNTA($B253:$K253)+COUNTA($N253))&gt;0),"",IF($B253&lt;&gt;"","Macro",IF($C253&lt;&gt;"","Sub","Macro")))</f>
        <v/>
      </c>
      <c r="T253" s="70">
        <f>IF($S253="Macro",COUNTIFS($R$5:$R$1000,ROW(),$S$5:$S$1000,"Sub"),"")</f>
        <v/>
      </c>
      <c r="U253" s="70">
        <f>IF($S253="","",IF(ISNUMBER($H253),$H253,0))</f>
        <v/>
      </c>
      <c r="V253" s="70">
        <f>IF($S253="","",IF(ISNUMBER($I253),$I253,$U253))</f>
        <v/>
      </c>
      <c r="W253" s="70">
        <f>IF($S253="","",IF(ISNUMBER($J253),$J253,$V253))</f>
        <v/>
      </c>
      <c r="X253" s="70">
        <f>IF($S253="","",IF(ISNUMBER($K253),$K253,$W253))</f>
        <v/>
      </c>
      <c r="Y253" s="70">
        <f>IF($S253="","",IF(N($T253)&gt;0,AVERAGEIFS($U$5:$U$1000,$R$5:$R$1000,ROW(),$S$5:$S$1000,"Sub"),$U253))</f>
        <v/>
      </c>
      <c r="Z253" s="70">
        <f>IF($S253="","",IF(N($T253)&gt;0,AVERAGEIFS($V$5:$V$1000,$R$5:$R$1000,ROW(),$S$5:$S$1000,"Sub"),$V253))</f>
        <v/>
      </c>
      <c r="AA253" s="70">
        <f>IF($S253="","",IF(N($T253)&gt;0,AVERAGEIFS($W$5:$W$1000,$R$5:$R$1000,ROW(),$S$5:$S$1000,"Sub"),$W253))</f>
        <v/>
      </c>
      <c r="AB253" s="70">
        <f>IF($S253="","",IF(N($T253)&gt;0,AVERAGEIFS($X$5:$X$1000,$R$5:$R$1000,ROW(),$S$5:$S$1000,"Sub"),$X253))</f>
        <v/>
      </c>
    </row>
    <row r="254">
      <c r="A254" s="61">
        <f>IF(NOT((COUNTA($B254:$K254)+COUNTA($N254))&gt;0),"",IF($S254="Macro",COUNTIFS($S$5:$S254,"Macro",$P$5:$P254,$P254),IF(N($R254)=0,"?",COUNTIFS(INDEX($S$5:$S$1000,1):INDEX($S$5:$S$1000,$R254-4),"Macro",INDEX($P$5:$P$1000,1):INDEX($P$5:$P$1000,$R254-4),INDEX($P$5:$P$1000,$R254-4))&amp;"."&amp;COUNTIFS($R$5:$R254,$R254,$S$5:$S254,"Sub"))))</f>
        <v/>
      </c>
      <c r="B254" s="62" t="n"/>
      <c r="C254" s="63" t="n"/>
      <c r="D254" s="62" t="n"/>
      <c r="E254" s="64" t="n"/>
      <c r="F254" s="64" t="n"/>
      <c r="G254" s="65" t="n"/>
      <c r="H254" s="66" t="n"/>
      <c r="I254" s="66" t="n"/>
      <c r="J254" s="66" t="n"/>
      <c r="K254" s="66" t="n"/>
      <c r="L254" s="67">
        <f>IF(NOT((COUNTA($B254:$K254)+COUNTA($N254))&gt;0),"",IF(N($T254)&gt;0,$AB254,IFERROR(LOOKUP(2,1/(H254:K254&lt;&gt;""),H254:K254),0)))</f>
        <v/>
      </c>
      <c r="M254" s="61">
        <f>IF(L254="","",IF(L254&gt;=1,"Completado",IF(L254&gt;0,"En curso","Pendiente")))</f>
        <v/>
      </c>
      <c r="N254" s="62" t="n"/>
      <c r="O254" s="68">
        <f>IF(NOT((COUNTA($B254:$K254)+COUNTA($N254))&gt;0),"",IF((IF(AND($S254="Macro",$B254=""),"Macroactividad vacía"&amp;" · ","")&amp;IF(AND($B254&lt;&gt;"",$C254&lt;&gt;""),"Escriba la subactividad en otra fila, debajo de su macroactividad"&amp;" · ","")&amp;IF(AND($S254="Sub",N($R254)=0),"Subactividad sin macroactividad arriba"&amp;" · ","")&amp;IF($D254="","Sin responsable"&amp;" · ","")&amp;IF($E254="","Sin fecha de inicio"&amp;" · ","")&amp;IF($F254="","Sin fecha límite"&amp;" · ","")&amp;IF(OR(AND($E254&lt;&gt;"",NOT(ISNUMBER($E254))),AND($F254&lt;&gt;"",NOT(ISNUMBER($F254)))),"Fecha no válida"&amp;" · ","")&amp;IF(AND(ISNUMBER($E254),ISNUMBER($F254),$E254&gt;$F254),"Inicio posterior a fecha límite"&amp;" · ","")&amp;IF(AND($S254="Macro",$G254=""),"Peso vacío"&amp;" · ","")&amp;IF(AND($S254="Macro",$G254&lt;&gt;"",OR(NOT(ISNUMBER($G254)),$G254&lt;=0,$G254&gt;1)),"Peso fuera de rango"&amp;" · ","")&amp;IF(AND($S254="Sub",$G254&lt;&gt;""),"Las subactividades no llevan peso"&amp;" · ","")&amp;IF(AND($S254="Macro",ABS(SUMIFS($G$5:$G$1000,$P$5:$P$1000,$P254,$S$5:$S$1000,"Macro")-1)&gt;0.0001),"Pesos del mes suman "&amp;TEXT(SUMIFS($G$5:$G$1000,$P$5:$P$1000,$P254,$S$5:$S$1000,"Macro"),"0%")&amp;" · ","")&amp;IF(AND(N($T254)&gt;0,COUNT($H254:$K254)&gt;0),"Con subactividades: deje vacías las semanas (se calculan solas)"&amp;" · ","")&amp;IF((COUNTIF($H254:$K254,"&gt;1")+COUNTIF($H254:$K254,"&lt;0")+COUNTA($H254:$K254)-COUNT($H254:$K254))&gt;0,"Avance fuera de rango 0-100%"&amp;" · ","")&amp;IF(OR(AND($I254&lt;&gt;"",$I254&lt;$H254),AND($J254&lt;&gt;"",$J254&lt;MAX($H254:$I254)),AND($K254&lt;&gt;"",$K254&lt;MAX($H254:$J254))),"Avance semanal decreciente"&amp;" · ","")&amp;IF(AND(ISNUMBER($F254),$F254&lt;FechaRef,N($L254)&lt;1),"Vencida"&amp;" · ","")&amp;IF(AND(ObsObligatoria="Sí",ISNUMBER($F254),$F254&lt;FechaRef,N($L254)&lt;1,$N254=""),"Vencida sin observación"&amp;" · ",""))="","✔ OK","⚠ "&amp;LEFT(IF(AND($S254="Macro",$B254=""),"Macroactividad vacía"&amp;" · ","")&amp;IF(AND($B254&lt;&gt;"",$C254&lt;&gt;""),"Escriba la subactividad en otra fila, debajo de su macroactividad"&amp;" · ","")&amp;IF(AND($S254="Sub",N($R254)=0),"Subactividad sin macroactividad arriba"&amp;" · ","")&amp;IF($D254="","Sin responsable"&amp;" · ","")&amp;IF($E254="","Sin fecha de inicio"&amp;" · ","")&amp;IF($F254="","Sin fecha límite"&amp;" · ","")&amp;IF(OR(AND($E254&lt;&gt;"",NOT(ISNUMBER($E254))),AND($F254&lt;&gt;"",NOT(ISNUMBER($F254)))),"Fecha no válida"&amp;" · ","")&amp;IF(AND(ISNUMBER($E254),ISNUMBER($F254),$E254&gt;$F254),"Inicio posterior a fecha límite"&amp;" · ","")&amp;IF(AND($S254="Macro",$G254=""),"Peso vacío"&amp;" · ","")&amp;IF(AND($S254="Macro",$G254&lt;&gt;"",OR(NOT(ISNUMBER($G254)),$G254&lt;=0,$G254&gt;1)),"Peso fuera de rango"&amp;" · ","")&amp;IF(AND($S254="Sub",$G254&lt;&gt;""),"Las subactividades no llevan peso"&amp;" · ","")&amp;IF(AND($S254="Macro",ABS(SUMIFS($G$5:$G$1000,$P$5:$P$1000,$P254,$S$5:$S$1000,"Macro")-1)&gt;0.0001),"Pesos del mes suman "&amp;TEXT(SUMIFS($G$5:$G$1000,$P$5:$P$1000,$P254,$S$5:$S$1000,"Macro"),"0%")&amp;" · ","")&amp;IF(AND(N($T254)&gt;0,COUNT($H254:$K254)&gt;0),"Con subactividades: deje vacías las semanas (se calculan solas)"&amp;" · ","")&amp;IF((COUNTIF($H254:$K254,"&gt;1")+COUNTIF($H254:$K254,"&lt;0")+COUNTA($H254:$K254)-COUNT($H254:$K254))&gt;0,"Avance fuera de rango 0-100%"&amp;" · ","")&amp;IF(OR(AND($I254&lt;&gt;"",$I254&lt;$H254),AND($J254&lt;&gt;"",$J254&lt;MAX($H254:$I254)),AND($K254&lt;&gt;"",$K254&lt;MAX($H254:$J254))),"Avance semanal decreciente"&amp;" · ","")&amp;IF(AND(ISNUMBER($F254),$F254&lt;FechaRef,N($L254)&lt;1),"Vencida"&amp;" · ","")&amp;IF(AND(ObsObligatoria="Sí",ISNUMBER($F254),$F254&lt;FechaRef,N($L254)&lt;1,$N254=""),"Vencida sin observación"&amp;" · ",""),LEN(IF(AND($S254="Macro",$B254=""),"Macroactividad vacía"&amp;" · ","")&amp;IF(AND($B254&lt;&gt;"",$C254&lt;&gt;""),"Escriba la subactividad en otra fila, debajo de su macroactividad"&amp;" · ","")&amp;IF(AND($S254="Sub",N($R254)=0),"Subactividad sin macroactividad arriba"&amp;" · ","")&amp;IF($D254="","Sin responsable"&amp;" · ","")&amp;IF($E254="","Sin fecha de inicio"&amp;" · ","")&amp;IF($F254="","Sin fecha límite"&amp;" · ","")&amp;IF(OR(AND($E254&lt;&gt;"",NOT(ISNUMBER($E254))),AND($F254&lt;&gt;"",NOT(ISNUMBER($F254)))),"Fecha no válida"&amp;" · ","")&amp;IF(AND(ISNUMBER($E254),ISNUMBER($F254),$E254&gt;$F254),"Inicio posterior a fecha límite"&amp;" · ","")&amp;IF(AND($S254="Macro",$G254=""),"Peso vacío"&amp;" · ","")&amp;IF(AND($S254="Macro",$G254&lt;&gt;"",OR(NOT(ISNUMBER($G254)),$G254&lt;=0,$G254&gt;1)),"Peso fuera de rango"&amp;" · ","")&amp;IF(AND($S254="Sub",$G254&lt;&gt;""),"Las subactividades no llevan peso"&amp;" · ","")&amp;IF(AND($S254="Macro",ABS(SUMIFS($G$5:$G$1000,$P$5:$P$1000,$P254,$S$5:$S$1000,"Macro")-1)&gt;0.0001),"Pesos del mes suman "&amp;TEXT(SUMIFS($G$5:$G$1000,$P$5:$P$1000,$P254,$S$5:$S$1000,"Macro"),"0%")&amp;" · ","")&amp;IF(AND(N($T254)&gt;0,COUNT($H254:$K254)&gt;0),"Con subactividades: deje vacías las semanas (se calculan solas)"&amp;" · ","")&amp;IF((COUNTIF($H254:$K254,"&gt;1")+COUNTIF($H254:$K254,"&lt;0")+COUNTA($H254:$K254)-COUNT($H254:$K254))&gt;0,"Avance fuera de rango 0-100%"&amp;" · ","")&amp;IF(OR(AND($I254&lt;&gt;"",$I254&lt;$H254),AND($J254&lt;&gt;"",$J254&lt;MAX($H254:$I254)),AND($K254&lt;&gt;"",$K254&lt;MAX($H254:$J254))),"Avance semanal decreciente"&amp;" · ","")&amp;IF(AND(ISNUMBER($F254),$F254&lt;FechaRef,N($L254)&lt;1),"Vencida"&amp;" · ","")&amp;IF(AND(ObsObligatoria="Sí",ISNUMBER($F254),$F254&lt;FechaRef,N($L254)&lt;1,$N254=""),"Vencida sin observación"&amp;" · ",""))-3)))</f>
        <v/>
      </c>
      <c r="P254" s="69">
        <f>IF(NOT((COUNTA($B254:$K254)+COUNTA($N254))&gt;0),"",IF(AND($S254="Sub",N($R254)&gt;0),IF(ISNUMBER(INDEX($E$5:$E$1000,$R254-4)),DATE(YEAR(INDEX($E$5:$E$1000,$R254-4)),MONTH(INDEX($E$5:$E$1000,$R254-4)),1),IF(ISNUMBER(INDEX($F$5:$F$1000,$R254-4)),DATE(YEAR(INDEX($F$5:$F$1000,$R254-4)),MONTH(INDEX($F$5:$F$1000,$R254-4)),1),MesCiclo)),IF(ISNUMBER($E254),DATE(YEAR($E254),MONTH($E254),1),IF(ISNUMBER($F254),DATE(YEAR($F254),MONTH($F254),1),MesCiclo))))</f>
        <v/>
      </c>
      <c r="Q254" s="70">
        <f>IF(OR($P254="",$P254&lt;&gt;MesCiclo),"",COUNTIF($P$5:$P254,MesCiclo))</f>
        <v/>
      </c>
      <c r="R254" s="70">
        <f>IF($S254="","",IF($S254="Macro",ROW(),IFERROR(LOOKUP(2,1/($S$5:$S254="Macro"),ROW($S$5:$S254)),0)))</f>
        <v/>
      </c>
      <c r="S254" s="70">
        <f>IF(NOT((COUNTA($B254:$K254)+COUNTA($N254))&gt;0),"",IF($B254&lt;&gt;"","Macro",IF($C254&lt;&gt;"","Sub","Macro")))</f>
        <v/>
      </c>
      <c r="T254" s="70">
        <f>IF($S254="Macro",COUNTIFS($R$5:$R$1000,ROW(),$S$5:$S$1000,"Sub"),"")</f>
        <v/>
      </c>
      <c r="U254" s="70">
        <f>IF($S254="","",IF(ISNUMBER($H254),$H254,0))</f>
        <v/>
      </c>
      <c r="V254" s="70">
        <f>IF($S254="","",IF(ISNUMBER($I254),$I254,$U254))</f>
        <v/>
      </c>
      <c r="W254" s="70">
        <f>IF($S254="","",IF(ISNUMBER($J254),$J254,$V254))</f>
        <v/>
      </c>
      <c r="X254" s="70">
        <f>IF($S254="","",IF(ISNUMBER($K254),$K254,$W254))</f>
        <v/>
      </c>
      <c r="Y254" s="70">
        <f>IF($S254="","",IF(N($T254)&gt;0,AVERAGEIFS($U$5:$U$1000,$R$5:$R$1000,ROW(),$S$5:$S$1000,"Sub"),$U254))</f>
        <v/>
      </c>
      <c r="Z254" s="70">
        <f>IF($S254="","",IF(N($T254)&gt;0,AVERAGEIFS($V$5:$V$1000,$R$5:$R$1000,ROW(),$S$5:$S$1000,"Sub"),$V254))</f>
        <v/>
      </c>
      <c r="AA254" s="70">
        <f>IF($S254="","",IF(N($T254)&gt;0,AVERAGEIFS($W$5:$W$1000,$R$5:$R$1000,ROW(),$S$5:$S$1000,"Sub"),$W254))</f>
        <v/>
      </c>
      <c r="AB254" s="70">
        <f>IF($S254="","",IF(N($T254)&gt;0,AVERAGEIFS($X$5:$X$1000,$R$5:$R$1000,ROW(),$S$5:$S$1000,"Sub"),$X254))</f>
        <v/>
      </c>
    </row>
    <row r="255">
      <c r="A255" s="61">
        <f>IF(NOT((COUNTA($B255:$K255)+COUNTA($N255))&gt;0),"",IF($S255="Macro",COUNTIFS($S$5:$S255,"Macro",$P$5:$P255,$P255),IF(N($R255)=0,"?",COUNTIFS(INDEX($S$5:$S$1000,1):INDEX($S$5:$S$1000,$R255-4),"Macro",INDEX($P$5:$P$1000,1):INDEX($P$5:$P$1000,$R255-4),INDEX($P$5:$P$1000,$R255-4))&amp;"."&amp;COUNTIFS($R$5:$R255,$R255,$S$5:$S255,"Sub"))))</f>
        <v/>
      </c>
      <c r="B255" s="62" t="n"/>
      <c r="C255" s="63" t="n"/>
      <c r="D255" s="62" t="n"/>
      <c r="E255" s="64" t="n"/>
      <c r="F255" s="64" t="n"/>
      <c r="G255" s="65" t="n"/>
      <c r="H255" s="66" t="n"/>
      <c r="I255" s="66" t="n"/>
      <c r="J255" s="66" t="n"/>
      <c r="K255" s="66" t="n"/>
      <c r="L255" s="67">
        <f>IF(NOT((COUNTA($B255:$K255)+COUNTA($N255))&gt;0),"",IF(N($T255)&gt;0,$AB255,IFERROR(LOOKUP(2,1/(H255:K255&lt;&gt;""),H255:K255),0)))</f>
        <v/>
      </c>
      <c r="M255" s="61">
        <f>IF(L255="","",IF(L255&gt;=1,"Completado",IF(L255&gt;0,"En curso","Pendiente")))</f>
        <v/>
      </c>
      <c r="N255" s="62" t="n"/>
      <c r="O255" s="68">
        <f>IF(NOT((COUNTA($B255:$K255)+COUNTA($N255))&gt;0),"",IF((IF(AND($S255="Macro",$B255=""),"Macroactividad vacía"&amp;" · ","")&amp;IF(AND($B255&lt;&gt;"",$C255&lt;&gt;""),"Escriba la subactividad en otra fila, debajo de su macroactividad"&amp;" · ","")&amp;IF(AND($S255="Sub",N($R255)=0),"Subactividad sin macroactividad arriba"&amp;" · ","")&amp;IF($D255="","Sin responsable"&amp;" · ","")&amp;IF($E255="","Sin fecha de inicio"&amp;" · ","")&amp;IF($F255="","Sin fecha límite"&amp;" · ","")&amp;IF(OR(AND($E255&lt;&gt;"",NOT(ISNUMBER($E255))),AND($F255&lt;&gt;"",NOT(ISNUMBER($F255)))),"Fecha no válida"&amp;" · ","")&amp;IF(AND(ISNUMBER($E255),ISNUMBER($F255),$E255&gt;$F255),"Inicio posterior a fecha límite"&amp;" · ","")&amp;IF(AND($S255="Macro",$G255=""),"Peso vacío"&amp;" · ","")&amp;IF(AND($S255="Macro",$G255&lt;&gt;"",OR(NOT(ISNUMBER($G255)),$G255&lt;=0,$G255&gt;1)),"Peso fuera de rango"&amp;" · ","")&amp;IF(AND($S255="Sub",$G255&lt;&gt;""),"Las subactividades no llevan peso"&amp;" · ","")&amp;IF(AND($S255="Macro",ABS(SUMIFS($G$5:$G$1000,$P$5:$P$1000,$P255,$S$5:$S$1000,"Macro")-1)&gt;0.0001),"Pesos del mes suman "&amp;TEXT(SUMIFS($G$5:$G$1000,$P$5:$P$1000,$P255,$S$5:$S$1000,"Macro"),"0%")&amp;" · ","")&amp;IF(AND(N($T255)&gt;0,COUNT($H255:$K255)&gt;0),"Con subactividades: deje vacías las semanas (se calculan solas)"&amp;" · ","")&amp;IF((COUNTIF($H255:$K255,"&gt;1")+COUNTIF($H255:$K255,"&lt;0")+COUNTA($H255:$K255)-COUNT($H255:$K255))&gt;0,"Avance fuera de rango 0-100%"&amp;" · ","")&amp;IF(OR(AND($I255&lt;&gt;"",$I255&lt;$H255),AND($J255&lt;&gt;"",$J255&lt;MAX($H255:$I255)),AND($K255&lt;&gt;"",$K255&lt;MAX($H255:$J255))),"Avance semanal decreciente"&amp;" · ","")&amp;IF(AND(ISNUMBER($F255),$F255&lt;FechaRef,N($L255)&lt;1),"Vencida"&amp;" · ","")&amp;IF(AND(ObsObligatoria="Sí",ISNUMBER($F255),$F255&lt;FechaRef,N($L255)&lt;1,$N255=""),"Vencida sin observación"&amp;" · ",""))="","✔ OK","⚠ "&amp;LEFT(IF(AND($S255="Macro",$B255=""),"Macroactividad vacía"&amp;" · ","")&amp;IF(AND($B255&lt;&gt;"",$C255&lt;&gt;""),"Escriba la subactividad en otra fila, debajo de su macroactividad"&amp;" · ","")&amp;IF(AND($S255="Sub",N($R255)=0),"Subactividad sin macroactividad arriba"&amp;" · ","")&amp;IF($D255="","Sin responsable"&amp;" · ","")&amp;IF($E255="","Sin fecha de inicio"&amp;" · ","")&amp;IF($F255="","Sin fecha límite"&amp;" · ","")&amp;IF(OR(AND($E255&lt;&gt;"",NOT(ISNUMBER($E255))),AND($F255&lt;&gt;"",NOT(ISNUMBER($F255)))),"Fecha no válida"&amp;" · ","")&amp;IF(AND(ISNUMBER($E255),ISNUMBER($F255),$E255&gt;$F255),"Inicio posterior a fecha límite"&amp;" · ","")&amp;IF(AND($S255="Macro",$G255=""),"Peso vacío"&amp;" · ","")&amp;IF(AND($S255="Macro",$G255&lt;&gt;"",OR(NOT(ISNUMBER($G255)),$G255&lt;=0,$G255&gt;1)),"Peso fuera de rango"&amp;" · ","")&amp;IF(AND($S255="Sub",$G255&lt;&gt;""),"Las subactividades no llevan peso"&amp;" · ","")&amp;IF(AND($S255="Macro",ABS(SUMIFS($G$5:$G$1000,$P$5:$P$1000,$P255,$S$5:$S$1000,"Macro")-1)&gt;0.0001),"Pesos del mes suman "&amp;TEXT(SUMIFS($G$5:$G$1000,$P$5:$P$1000,$P255,$S$5:$S$1000,"Macro"),"0%")&amp;" · ","")&amp;IF(AND(N($T255)&gt;0,COUNT($H255:$K255)&gt;0),"Con subactividades: deje vacías las semanas (se calculan solas)"&amp;" · ","")&amp;IF((COUNTIF($H255:$K255,"&gt;1")+COUNTIF($H255:$K255,"&lt;0")+COUNTA($H255:$K255)-COUNT($H255:$K255))&gt;0,"Avance fuera de rango 0-100%"&amp;" · ","")&amp;IF(OR(AND($I255&lt;&gt;"",$I255&lt;$H255),AND($J255&lt;&gt;"",$J255&lt;MAX($H255:$I255)),AND($K255&lt;&gt;"",$K255&lt;MAX($H255:$J255))),"Avance semanal decreciente"&amp;" · ","")&amp;IF(AND(ISNUMBER($F255),$F255&lt;FechaRef,N($L255)&lt;1),"Vencida"&amp;" · ","")&amp;IF(AND(ObsObligatoria="Sí",ISNUMBER($F255),$F255&lt;FechaRef,N($L255)&lt;1,$N255=""),"Vencida sin observación"&amp;" · ",""),LEN(IF(AND($S255="Macro",$B255=""),"Macroactividad vacía"&amp;" · ","")&amp;IF(AND($B255&lt;&gt;"",$C255&lt;&gt;""),"Escriba la subactividad en otra fila, debajo de su macroactividad"&amp;" · ","")&amp;IF(AND($S255="Sub",N($R255)=0),"Subactividad sin macroactividad arriba"&amp;" · ","")&amp;IF($D255="","Sin responsable"&amp;" · ","")&amp;IF($E255="","Sin fecha de inicio"&amp;" · ","")&amp;IF($F255="","Sin fecha límite"&amp;" · ","")&amp;IF(OR(AND($E255&lt;&gt;"",NOT(ISNUMBER($E255))),AND($F255&lt;&gt;"",NOT(ISNUMBER($F255)))),"Fecha no válida"&amp;" · ","")&amp;IF(AND(ISNUMBER($E255),ISNUMBER($F255),$E255&gt;$F255),"Inicio posterior a fecha límite"&amp;" · ","")&amp;IF(AND($S255="Macro",$G255=""),"Peso vacío"&amp;" · ","")&amp;IF(AND($S255="Macro",$G255&lt;&gt;"",OR(NOT(ISNUMBER($G255)),$G255&lt;=0,$G255&gt;1)),"Peso fuera de rango"&amp;" · ","")&amp;IF(AND($S255="Sub",$G255&lt;&gt;""),"Las subactividades no llevan peso"&amp;" · ","")&amp;IF(AND($S255="Macro",ABS(SUMIFS($G$5:$G$1000,$P$5:$P$1000,$P255,$S$5:$S$1000,"Macro")-1)&gt;0.0001),"Pesos del mes suman "&amp;TEXT(SUMIFS($G$5:$G$1000,$P$5:$P$1000,$P255,$S$5:$S$1000,"Macro"),"0%")&amp;" · ","")&amp;IF(AND(N($T255)&gt;0,COUNT($H255:$K255)&gt;0),"Con subactividades: deje vacías las semanas (se calculan solas)"&amp;" · ","")&amp;IF((COUNTIF($H255:$K255,"&gt;1")+COUNTIF($H255:$K255,"&lt;0")+COUNTA($H255:$K255)-COUNT($H255:$K255))&gt;0,"Avance fuera de rango 0-100%"&amp;" · ","")&amp;IF(OR(AND($I255&lt;&gt;"",$I255&lt;$H255),AND($J255&lt;&gt;"",$J255&lt;MAX($H255:$I255)),AND($K255&lt;&gt;"",$K255&lt;MAX($H255:$J255))),"Avance semanal decreciente"&amp;" · ","")&amp;IF(AND(ISNUMBER($F255),$F255&lt;FechaRef,N($L255)&lt;1),"Vencida"&amp;" · ","")&amp;IF(AND(ObsObligatoria="Sí",ISNUMBER($F255),$F255&lt;FechaRef,N($L255)&lt;1,$N255=""),"Vencida sin observación"&amp;" · ",""))-3)))</f>
        <v/>
      </c>
      <c r="P255" s="69">
        <f>IF(NOT((COUNTA($B255:$K255)+COUNTA($N255))&gt;0),"",IF(AND($S255="Sub",N($R255)&gt;0),IF(ISNUMBER(INDEX($E$5:$E$1000,$R255-4)),DATE(YEAR(INDEX($E$5:$E$1000,$R255-4)),MONTH(INDEX($E$5:$E$1000,$R255-4)),1),IF(ISNUMBER(INDEX($F$5:$F$1000,$R255-4)),DATE(YEAR(INDEX($F$5:$F$1000,$R255-4)),MONTH(INDEX($F$5:$F$1000,$R255-4)),1),MesCiclo)),IF(ISNUMBER($E255),DATE(YEAR($E255),MONTH($E255),1),IF(ISNUMBER($F255),DATE(YEAR($F255),MONTH($F255),1),MesCiclo))))</f>
        <v/>
      </c>
      <c r="Q255" s="70">
        <f>IF(OR($P255="",$P255&lt;&gt;MesCiclo),"",COUNTIF($P$5:$P255,MesCiclo))</f>
        <v/>
      </c>
      <c r="R255" s="70">
        <f>IF($S255="","",IF($S255="Macro",ROW(),IFERROR(LOOKUP(2,1/($S$5:$S255="Macro"),ROW($S$5:$S255)),0)))</f>
        <v/>
      </c>
      <c r="S255" s="70">
        <f>IF(NOT((COUNTA($B255:$K255)+COUNTA($N255))&gt;0),"",IF($B255&lt;&gt;"","Macro",IF($C255&lt;&gt;"","Sub","Macro")))</f>
        <v/>
      </c>
      <c r="T255" s="70">
        <f>IF($S255="Macro",COUNTIFS($R$5:$R$1000,ROW(),$S$5:$S$1000,"Sub"),"")</f>
        <v/>
      </c>
      <c r="U255" s="70">
        <f>IF($S255="","",IF(ISNUMBER($H255),$H255,0))</f>
        <v/>
      </c>
      <c r="V255" s="70">
        <f>IF($S255="","",IF(ISNUMBER($I255),$I255,$U255))</f>
        <v/>
      </c>
      <c r="W255" s="70">
        <f>IF($S255="","",IF(ISNUMBER($J255),$J255,$V255))</f>
        <v/>
      </c>
      <c r="X255" s="70">
        <f>IF($S255="","",IF(ISNUMBER($K255),$K255,$W255))</f>
        <v/>
      </c>
      <c r="Y255" s="70">
        <f>IF($S255="","",IF(N($T255)&gt;0,AVERAGEIFS($U$5:$U$1000,$R$5:$R$1000,ROW(),$S$5:$S$1000,"Sub"),$U255))</f>
        <v/>
      </c>
      <c r="Z255" s="70">
        <f>IF($S255="","",IF(N($T255)&gt;0,AVERAGEIFS($V$5:$V$1000,$R$5:$R$1000,ROW(),$S$5:$S$1000,"Sub"),$V255))</f>
        <v/>
      </c>
      <c r="AA255" s="70">
        <f>IF($S255="","",IF(N($T255)&gt;0,AVERAGEIFS($W$5:$W$1000,$R$5:$R$1000,ROW(),$S$5:$S$1000,"Sub"),$W255))</f>
        <v/>
      </c>
      <c r="AB255" s="70">
        <f>IF($S255="","",IF(N($T255)&gt;0,AVERAGEIFS($X$5:$X$1000,$R$5:$R$1000,ROW(),$S$5:$S$1000,"Sub"),$X255))</f>
        <v/>
      </c>
    </row>
    <row r="256">
      <c r="A256" s="61">
        <f>IF(NOT((COUNTA($B256:$K256)+COUNTA($N256))&gt;0),"",IF($S256="Macro",COUNTIFS($S$5:$S256,"Macro",$P$5:$P256,$P256),IF(N($R256)=0,"?",COUNTIFS(INDEX($S$5:$S$1000,1):INDEX($S$5:$S$1000,$R256-4),"Macro",INDEX($P$5:$P$1000,1):INDEX($P$5:$P$1000,$R256-4),INDEX($P$5:$P$1000,$R256-4))&amp;"."&amp;COUNTIFS($R$5:$R256,$R256,$S$5:$S256,"Sub"))))</f>
        <v/>
      </c>
      <c r="B256" s="62" t="n"/>
      <c r="C256" s="63" t="n"/>
      <c r="D256" s="62" t="n"/>
      <c r="E256" s="64" t="n"/>
      <c r="F256" s="64" t="n"/>
      <c r="G256" s="65" t="n"/>
      <c r="H256" s="66" t="n"/>
      <c r="I256" s="66" t="n"/>
      <c r="J256" s="66" t="n"/>
      <c r="K256" s="66" t="n"/>
      <c r="L256" s="67">
        <f>IF(NOT((COUNTA($B256:$K256)+COUNTA($N256))&gt;0),"",IF(N($T256)&gt;0,$AB256,IFERROR(LOOKUP(2,1/(H256:K256&lt;&gt;""),H256:K256),0)))</f>
        <v/>
      </c>
      <c r="M256" s="61">
        <f>IF(L256="","",IF(L256&gt;=1,"Completado",IF(L256&gt;0,"En curso","Pendiente")))</f>
        <v/>
      </c>
      <c r="N256" s="62" t="n"/>
      <c r="O256" s="68">
        <f>IF(NOT((COUNTA($B256:$K256)+COUNTA($N256))&gt;0),"",IF((IF(AND($S256="Macro",$B256=""),"Macroactividad vacía"&amp;" · ","")&amp;IF(AND($B256&lt;&gt;"",$C256&lt;&gt;""),"Escriba la subactividad en otra fila, debajo de su macroactividad"&amp;" · ","")&amp;IF(AND($S256="Sub",N($R256)=0),"Subactividad sin macroactividad arriba"&amp;" · ","")&amp;IF($D256="","Sin responsable"&amp;" · ","")&amp;IF($E256="","Sin fecha de inicio"&amp;" · ","")&amp;IF($F256="","Sin fecha límite"&amp;" · ","")&amp;IF(OR(AND($E256&lt;&gt;"",NOT(ISNUMBER($E256))),AND($F256&lt;&gt;"",NOT(ISNUMBER($F256)))),"Fecha no válida"&amp;" · ","")&amp;IF(AND(ISNUMBER($E256),ISNUMBER($F256),$E256&gt;$F256),"Inicio posterior a fecha límite"&amp;" · ","")&amp;IF(AND($S256="Macro",$G256=""),"Peso vacío"&amp;" · ","")&amp;IF(AND($S256="Macro",$G256&lt;&gt;"",OR(NOT(ISNUMBER($G256)),$G256&lt;=0,$G256&gt;1)),"Peso fuera de rango"&amp;" · ","")&amp;IF(AND($S256="Sub",$G256&lt;&gt;""),"Las subactividades no llevan peso"&amp;" · ","")&amp;IF(AND($S256="Macro",ABS(SUMIFS($G$5:$G$1000,$P$5:$P$1000,$P256,$S$5:$S$1000,"Macro")-1)&gt;0.0001),"Pesos del mes suman "&amp;TEXT(SUMIFS($G$5:$G$1000,$P$5:$P$1000,$P256,$S$5:$S$1000,"Macro"),"0%")&amp;" · ","")&amp;IF(AND(N($T256)&gt;0,COUNT($H256:$K256)&gt;0),"Con subactividades: deje vacías las semanas (se calculan solas)"&amp;" · ","")&amp;IF((COUNTIF($H256:$K256,"&gt;1")+COUNTIF($H256:$K256,"&lt;0")+COUNTA($H256:$K256)-COUNT($H256:$K256))&gt;0,"Avance fuera de rango 0-100%"&amp;" · ","")&amp;IF(OR(AND($I256&lt;&gt;"",$I256&lt;$H256),AND($J256&lt;&gt;"",$J256&lt;MAX($H256:$I256)),AND($K256&lt;&gt;"",$K256&lt;MAX($H256:$J256))),"Avance semanal decreciente"&amp;" · ","")&amp;IF(AND(ISNUMBER($F256),$F256&lt;FechaRef,N($L256)&lt;1),"Vencida"&amp;" · ","")&amp;IF(AND(ObsObligatoria="Sí",ISNUMBER($F256),$F256&lt;FechaRef,N($L256)&lt;1,$N256=""),"Vencida sin observación"&amp;" · ",""))="","✔ OK","⚠ "&amp;LEFT(IF(AND($S256="Macro",$B256=""),"Macroactividad vacía"&amp;" · ","")&amp;IF(AND($B256&lt;&gt;"",$C256&lt;&gt;""),"Escriba la subactividad en otra fila, debajo de su macroactividad"&amp;" · ","")&amp;IF(AND($S256="Sub",N($R256)=0),"Subactividad sin macroactividad arriba"&amp;" · ","")&amp;IF($D256="","Sin responsable"&amp;" · ","")&amp;IF($E256="","Sin fecha de inicio"&amp;" · ","")&amp;IF($F256="","Sin fecha límite"&amp;" · ","")&amp;IF(OR(AND($E256&lt;&gt;"",NOT(ISNUMBER($E256))),AND($F256&lt;&gt;"",NOT(ISNUMBER($F256)))),"Fecha no válida"&amp;" · ","")&amp;IF(AND(ISNUMBER($E256),ISNUMBER($F256),$E256&gt;$F256),"Inicio posterior a fecha límite"&amp;" · ","")&amp;IF(AND($S256="Macro",$G256=""),"Peso vacío"&amp;" · ","")&amp;IF(AND($S256="Macro",$G256&lt;&gt;"",OR(NOT(ISNUMBER($G256)),$G256&lt;=0,$G256&gt;1)),"Peso fuera de rango"&amp;" · ","")&amp;IF(AND($S256="Sub",$G256&lt;&gt;""),"Las subactividades no llevan peso"&amp;" · ","")&amp;IF(AND($S256="Macro",ABS(SUMIFS($G$5:$G$1000,$P$5:$P$1000,$P256,$S$5:$S$1000,"Macro")-1)&gt;0.0001),"Pesos del mes suman "&amp;TEXT(SUMIFS($G$5:$G$1000,$P$5:$P$1000,$P256,$S$5:$S$1000,"Macro"),"0%")&amp;" · ","")&amp;IF(AND(N($T256)&gt;0,COUNT($H256:$K256)&gt;0),"Con subactividades: deje vacías las semanas (se calculan solas)"&amp;" · ","")&amp;IF((COUNTIF($H256:$K256,"&gt;1")+COUNTIF($H256:$K256,"&lt;0")+COUNTA($H256:$K256)-COUNT($H256:$K256))&gt;0,"Avance fuera de rango 0-100%"&amp;" · ","")&amp;IF(OR(AND($I256&lt;&gt;"",$I256&lt;$H256),AND($J256&lt;&gt;"",$J256&lt;MAX($H256:$I256)),AND($K256&lt;&gt;"",$K256&lt;MAX($H256:$J256))),"Avance semanal decreciente"&amp;" · ","")&amp;IF(AND(ISNUMBER($F256),$F256&lt;FechaRef,N($L256)&lt;1),"Vencida"&amp;" · ","")&amp;IF(AND(ObsObligatoria="Sí",ISNUMBER($F256),$F256&lt;FechaRef,N($L256)&lt;1,$N256=""),"Vencida sin observación"&amp;" · ",""),LEN(IF(AND($S256="Macro",$B256=""),"Macroactividad vacía"&amp;" · ","")&amp;IF(AND($B256&lt;&gt;"",$C256&lt;&gt;""),"Escriba la subactividad en otra fila, debajo de su macroactividad"&amp;" · ","")&amp;IF(AND($S256="Sub",N($R256)=0),"Subactividad sin macroactividad arriba"&amp;" · ","")&amp;IF($D256="","Sin responsable"&amp;" · ","")&amp;IF($E256="","Sin fecha de inicio"&amp;" · ","")&amp;IF($F256="","Sin fecha límite"&amp;" · ","")&amp;IF(OR(AND($E256&lt;&gt;"",NOT(ISNUMBER($E256))),AND($F256&lt;&gt;"",NOT(ISNUMBER($F256)))),"Fecha no válida"&amp;" · ","")&amp;IF(AND(ISNUMBER($E256),ISNUMBER($F256),$E256&gt;$F256),"Inicio posterior a fecha límite"&amp;" · ","")&amp;IF(AND($S256="Macro",$G256=""),"Peso vacío"&amp;" · ","")&amp;IF(AND($S256="Macro",$G256&lt;&gt;"",OR(NOT(ISNUMBER($G256)),$G256&lt;=0,$G256&gt;1)),"Peso fuera de rango"&amp;" · ","")&amp;IF(AND($S256="Sub",$G256&lt;&gt;""),"Las subactividades no llevan peso"&amp;" · ","")&amp;IF(AND($S256="Macro",ABS(SUMIFS($G$5:$G$1000,$P$5:$P$1000,$P256,$S$5:$S$1000,"Macro")-1)&gt;0.0001),"Pesos del mes suman "&amp;TEXT(SUMIFS($G$5:$G$1000,$P$5:$P$1000,$P256,$S$5:$S$1000,"Macro"),"0%")&amp;" · ","")&amp;IF(AND(N($T256)&gt;0,COUNT($H256:$K256)&gt;0),"Con subactividades: deje vacías las semanas (se calculan solas)"&amp;" · ","")&amp;IF((COUNTIF($H256:$K256,"&gt;1")+COUNTIF($H256:$K256,"&lt;0")+COUNTA($H256:$K256)-COUNT($H256:$K256))&gt;0,"Avance fuera de rango 0-100%"&amp;" · ","")&amp;IF(OR(AND($I256&lt;&gt;"",$I256&lt;$H256),AND($J256&lt;&gt;"",$J256&lt;MAX($H256:$I256)),AND($K256&lt;&gt;"",$K256&lt;MAX($H256:$J256))),"Avance semanal decreciente"&amp;" · ","")&amp;IF(AND(ISNUMBER($F256),$F256&lt;FechaRef,N($L256)&lt;1),"Vencida"&amp;" · ","")&amp;IF(AND(ObsObligatoria="Sí",ISNUMBER($F256),$F256&lt;FechaRef,N($L256)&lt;1,$N256=""),"Vencida sin observación"&amp;" · ",""))-3)))</f>
        <v/>
      </c>
      <c r="P256" s="69">
        <f>IF(NOT((COUNTA($B256:$K256)+COUNTA($N256))&gt;0),"",IF(AND($S256="Sub",N($R256)&gt;0),IF(ISNUMBER(INDEX($E$5:$E$1000,$R256-4)),DATE(YEAR(INDEX($E$5:$E$1000,$R256-4)),MONTH(INDEX($E$5:$E$1000,$R256-4)),1),IF(ISNUMBER(INDEX($F$5:$F$1000,$R256-4)),DATE(YEAR(INDEX($F$5:$F$1000,$R256-4)),MONTH(INDEX($F$5:$F$1000,$R256-4)),1),MesCiclo)),IF(ISNUMBER($E256),DATE(YEAR($E256),MONTH($E256),1),IF(ISNUMBER($F256),DATE(YEAR($F256),MONTH($F256),1),MesCiclo))))</f>
        <v/>
      </c>
      <c r="Q256" s="70">
        <f>IF(OR($P256="",$P256&lt;&gt;MesCiclo),"",COUNTIF($P$5:$P256,MesCiclo))</f>
        <v/>
      </c>
      <c r="R256" s="70">
        <f>IF($S256="","",IF($S256="Macro",ROW(),IFERROR(LOOKUP(2,1/($S$5:$S256="Macro"),ROW($S$5:$S256)),0)))</f>
        <v/>
      </c>
      <c r="S256" s="70">
        <f>IF(NOT((COUNTA($B256:$K256)+COUNTA($N256))&gt;0),"",IF($B256&lt;&gt;"","Macro",IF($C256&lt;&gt;"","Sub","Macro")))</f>
        <v/>
      </c>
      <c r="T256" s="70">
        <f>IF($S256="Macro",COUNTIFS($R$5:$R$1000,ROW(),$S$5:$S$1000,"Sub"),"")</f>
        <v/>
      </c>
      <c r="U256" s="70">
        <f>IF($S256="","",IF(ISNUMBER($H256),$H256,0))</f>
        <v/>
      </c>
      <c r="V256" s="70">
        <f>IF($S256="","",IF(ISNUMBER($I256),$I256,$U256))</f>
        <v/>
      </c>
      <c r="W256" s="70">
        <f>IF($S256="","",IF(ISNUMBER($J256),$J256,$V256))</f>
        <v/>
      </c>
      <c r="X256" s="70">
        <f>IF($S256="","",IF(ISNUMBER($K256),$K256,$W256))</f>
        <v/>
      </c>
      <c r="Y256" s="70">
        <f>IF($S256="","",IF(N($T256)&gt;0,AVERAGEIFS($U$5:$U$1000,$R$5:$R$1000,ROW(),$S$5:$S$1000,"Sub"),$U256))</f>
        <v/>
      </c>
      <c r="Z256" s="70">
        <f>IF($S256="","",IF(N($T256)&gt;0,AVERAGEIFS($V$5:$V$1000,$R$5:$R$1000,ROW(),$S$5:$S$1000,"Sub"),$V256))</f>
        <v/>
      </c>
      <c r="AA256" s="70">
        <f>IF($S256="","",IF(N($T256)&gt;0,AVERAGEIFS($W$5:$W$1000,$R$5:$R$1000,ROW(),$S$5:$S$1000,"Sub"),$W256))</f>
        <v/>
      </c>
      <c r="AB256" s="70">
        <f>IF($S256="","",IF(N($T256)&gt;0,AVERAGEIFS($X$5:$X$1000,$R$5:$R$1000,ROW(),$S$5:$S$1000,"Sub"),$X256))</f>
        <v/>
      </c>
    </row>
    <row r="257">
      <c r="A257" s="61">
        <f>IF(NOT((COUNTA($B257:$K257)+COUNTA($N257))&gt;0),"",IF($S257="Macro",COUNTIFS($S$5:$S257,"Macro",$P$5:$P257,$P257),IF(N($R257)=0,"?",COUNTIFS(INDEX($S$5:$S$1000,1):INDEX($S$5:$S$1000,$R257-4),"Macro",INDEX($P$5:$P$1000,1):INDEX($P$5:$P$1000,$R257-4),INDEX($P$5:$P$1000,$R257-4))&amp;"."&amp;COUNTIFS($R$5:$R257,$R257,$S$5:$S257,"Sub"))))</f>
        <v/>
      </c>
      <c r="B257" s="62" t="n"/>
      <c r="C257" s="63" t="n"/>
      <c r="D257" s="62" t="n"/>
      <c r="E257" s="64" t="n"/>
      <c r="F257" s="64" t="n"/>
      <c r="G257" s="65" t="n"/>
      <c r="H257" s="66" t="n"/>
      <c r="I257" s="66" t="n"/>
      <c r="J257" s="66" t="n"/>
      <c r="K257" s="66" t="n"/>
      <c r="L257" s="67">
        <f>IF(NOT((COUNTA($B257:$K257)+COUNTA($N257))&gt;0),"",IF(N($T257)&gt;0,$AB257,IFERROR(LOOKUP(2,1/(H257:K257&lt;&gt;""),H257:K257),0)))</f>
        <v/>
      </c>
      <c r="M257" s="61">
        <f>IF(L257="","",IF(L257&gt;=1,"Completado",IF(L257&gt;0,"En curso","Pendiente")))</f>
        <v/>
      </c>
      <c r="N257" s="62" t="n"/>
      <c r="O257" s="68">
        <f>IF(NOT((COUNTA($B257:$K257)+COUNTA($N257))&gt;0),"",IF((IF(AND($S257="Macro",$B257=""),"Macroactividad vacía"&amp;" · ","")&amp;IF(AND($B257&lt;&gt;"",$C257&lt;&gt;""),"Escriba la subactividad en otra fila, debajo de su macroactividad"&amp;" · ","")&amp;IF(AND($S257="Sub",N($R257)=0),"Subactividad sin macroactividad arriba"&amp;" · ","")&amp;IF($D257="","Sin responsable"&amp;" · ","")&amp;IF($E257="","Sin fecha de inicio"&amp;" · ","")&amp;IF($F257="","Sin fecha límite"&amp;" · ","")&amp;IF(OR(AND($E257&lt;&gt;"",NOT(ISNUMBER($E257))),AND($F257&lt;&gt;"",NOT(ISNUMBER($F257)))),"Fecha no válida"&amp;" · ","")&amp;IF(AND(ISNUMBER($E257),ISNUMBER($F257),$E257&gt;$F257),"Inicio posterior a fecha límite"&amp;" · ","")&amp;IF(AND($S257="Macro",$G257=""),"Peso vacío"&amp;" · ","")&amp;IF(AND($S257="Macro",$G257&lt;&gt;"",OR(NOT(ISNUMBER($G257)),$G257&lt;=0,$G257&gt;1)),"Peso fuera de rango"&amp;" · ","")&amp;IF(AND($S257="Sub",$G257&lt;&gt;""),"Las subactividades no llevan peso"&amp;" · ","")&amp;IF(AND($S257="Macro",ABS(SUMIFS($G$5:$G$1000,$P$5:$P$1000,$P257,$S$5:$S$1000,"Macro")-1)&gt;0.0001),"Pesos del mes suman "&amp;TEXT(SUMIFS($G$5:$G$1000,$P$5:$P$1000,$P257,$S$5:$S$1000,"Macro"),"0%")&amp;" · ","")&amp;IF(AND(N($T257)&gt;0,COUNT($H257:$K257)&gt;0),"Con subactividades: deje vacías las semanas (se calculan solas)"&amp;" · ","")&amp;IF((COUNTIF($H257:$K257,"&gt;1")+COUNTIF($H257:$K257,"&lt;0")+COUNTA($H257:$K257)-COUNT($H257:$K257))&gt;0,"Avance fuera de rango 0-100%"&amp;" · ","")&amp;IF(OR(AND($I257&lt;&gt;"",$I257&lt;$H257),AND($J257&lt;&gt;"",$J257&lt;MAX($H257:$I257)),AND($K257&lt;&gt;"",$K257&lt;MAX($H257:$J257))),"Avance semanal decreciente"&amp;" · ","")&amp;IF(AND(ISNUMBER($F257),$F257&lt;FechaRef,N($L257)&lt;1),"Vencida"&amp;" · ","")&amp;IF(AND(ObsObligatoria="Sí",ISNUMBER($F257),$F257&lt;FechaRef,N($L257)&lt;1,$N257=""),"Vencida sin observación"&amp;" · ",""))="","✔ OK","⚠ "&amp;LEFT(IF(AND($S257="Macro",$B257=""),"Macroactividad vacía"&amp;" · ","")&amp;IF(AND($B257&lt;&gt;"",$C257&lt;&gt;""),"Escriba la subactividad en otra fila, debajo de su macroactividad"&amp;" · ","")&amp;IF(AND($S257="Sub",N($R257)=0),"Subactividad sin macroactividad arriba"&amp;" · ","")&amp;IF($D257="","Sin responsable"&amp;" · ","")&amp;IF($E257="","Sin fecha de inicio"&amp;" · ","")&amp;IF($F257="","Sin fecha límite"&amp;" · ","")&amp;IF(OR(AND($E257&lt;&gt;"",NOT(ISNUMBER($E257))),AND($F257&lt;&gt;"",NOT(ISNUMBER($F257)))),"Fecha no válida"&amp;" · ","")&amp;IF(AND(ISNUMBER($E257),ISNUMBER($F257),$E257&gt;$F257),"Inicio posterior a fecha límite"&amp;" · ","")&amp;IF(AND($S257="Macro",$G257=""),"Peso vacío"&amp;" · ","")&amp;IF(AND($S257="Macro",$G257&lt;&gt;"",OR(NOT(ISNUMBER($G257)),$G257&lt;=0,$G257&gt;1)),"Peso fuera de rango"&amp;" · ","")&amp;IF(AND($S257="Sub",$G257&lt;&gt;""),"Las subactividades no llevan peso"&amp;" · ","")&amp;IF(AND($S257="Macro",ABS(SUMIFS($G$5:$G$1000,$P$5:$P$1000,$P257,$S$5:$S$1000,"Macro")-1)&gt;0.0001),"Pesos del mes suman "&amp;TEXT(SUMIFS($G$5:$G$1000,$P$5:$P$1000,$P257,$S$5:$S$1000,"Macro"),"0%")&amp;" · ","")&amp;IF(AND(N($T257)&gt;0,COUNT($H257:$K257)&gt;0),"Con subactividades: deje vacías las semanas (se calculan solas)"&amp;" · ","")&amp;IF((COUNTIF($H257:$K257,"&gt;1")+COUNTIF($H257:$K257,"&lt;0")+COUNTA($H257:$K257)-COUNT($H257:$K257))&gt;0,"Avance fuera de rango 0-100%"&amp;" · ","")&amp;IF(OR(AND($I257&lt;&gt;"",$I257&lt;$H257),AND($J257&lt;&gt;"",$J257&lt;MAX($H257:$I257)),AND($K257&lt;&gt;"",$K257&lt;MAX($H257:$J257))),"Avance semanal decreciente"&amp;" · ","")&amp;IF(AND(ISNUMBER($F257),$F257&lt;FechaRef,N($L257)&lt;1),"Vencida"&amp;" · ","")&amp;IF(AND(ObsObligatoria="Sí",ISNUMBER($F257),$F257&lt;FechaRef,N($L257)&lt;1,$N257=""),"Vencida sin observación"&amp;" · ",""),LEN(IF(AND($S257="Macro",$B257=""),"Macroactividad vacía"&amp;" · ","")&amp;IF(AND($B257&lt;&gt;"",$C257&lt;&gt;""),"Escriba la subactividad en otra fila, debajo de su macroactividad"&amp;" · ","")&amp;IF(AND($S257="Sub",N($R257)=0),"Subactividad sin macroactividad arriba"&amp;" · ","")&amp;IF($D257="","Sin responsable"&amp;" · ","")&amp;IF($E257="","Sin fecha de inicio"&amp;" · ","")&amp;IF($F257="","Sin fecha límite"&amp;" · ","")&amp;IF(OR(AND($E257&lt;&gt;"",NOT(ISNUMBER($E257))),AND($F257&lt;&gt;"",NOT(ISNUMBER($F257)))),"Fecha no válida"&amp;" · ","")&amp;IF(AND(ISNUMBER($E257),ISNUMBER($F257),$E257&gt;$F257),"Inicio posterior a fecha límite"&amp;" · ","")&amp;IF(AND($S257="Macro",$G257=""),"Peso vacío"&amp;" · ","")&amp;IF(AND($S257="Macro",$G257&lt;&gt;"",OR(NOT(ISNUMBER($G257)),$G257&lt;=0,$G257&gt;1)),"Peso fuera de rango"&amp;" · ","")&amp;IF(AND($S257="Sub",$G257&lt;&gt;""),"Las subactividades no llevan peso"&amp;" · ","")&amp;IF(AND($S257="Macro",ABS(SUMIFS($G$5:$G$1000,$P$5:$P$1000,$P257,$S$5:$S$1000,"Macro")-1)&gt;0.0001),"Pesos del mes suman "&amp;TEXT(SUMIFS($G$5:$G$1000,$P$5:$P$1000,$P257,$S$5:$S$1000,"Macro"),"0%")&amp;" · ","")&amp;IF(AND(N($T257)&gt;0,COUNT($H257:$K257)&gt;0),"Con subactividades: deje vacías las semanas (se calculan solas)"&amp;" · ","")&amp;IF((COUNTIF($H257:$K257,"&gt;1")+COUNTIF($H257:$K257,"&lt;0")+COUNTA($H257:$K257)-COUNT($H257:$K257))&gt;0,"Avance fuera de rango 0-100%"&amp;" · ","")&amp;IF(OR(AND($I257&lt;&gt;"",$I257&lt;$H257),AND($J257&lt;&gt;"",$J257&lt;MAX($H257:$I257)),AND($K257&lt;&gt;"",$K257&lt;MAX($H257:$J257))),"Avance semanal decreciente"&amp;" · ","")&amp;IF(AND(ISNUMBER($F257),$F257&lt;FechaRef,N($L257)&lt;1),"Vencida"&amp;" · ","")&amp;IF(AND(ObsObligatoria="Sí",ISNUMBER($F257),$F257&lt;FechaRef,N($L257)&lt;1,$N257=""),"Vencida sin observación"&amp;" · ",""))-3)))</f>
        <v/>
      </c>
      <c r="P257" s="69">
        <f>IF(NOT((COUNTA($B257:$K257)+COUNTA($N257))&gt;0),"",IF(AND($S257="Sub",N($R257)&gt;0),IF(ISNUMBER(INDEX($E$5:$E$1000,$R257-4)),DATE(YEAR(INDEX($E$5:$E$1000,$R257-4)),MONTH(INDEX($E$5:$E$1000,$R257-4)),1),IF(ISNUMBER(INDEX($F$5:$F$1000,$R257-4)),DATE(YEAR(INDEX($F$5:$F$1000,$R257-4)),MONTH(INDEX($F$5:$F$1000,$R257-4)),1),MesCiclo)),IF(ISNUMBER($E257),DATE(YEAR($E257),MONTH($E257),1),IF(ISNUMBER($F257),DATE(YEAR($F257),MONTH($F257),1),MesCiclo))))</f>
        <v/>
      </c>
      <c r="Q257" s="70">
        <f>IF(OR($P257="",$P257&lt;&gt;MesCiclo),"",COUNTIF($P$5:$P257,MesCiclo))</f>
        <v/>
      </c>
      <c r="R257" s="70">
        <f>IF($S257="","",IF($S257="Macro",ROW(),IFERROR(LOOKUP(2,1/($S$5:$S257="Macro"),ROW($S$5:$S257)),0)))</f>
        <v/>
      </c>
      <c r="S257" s="70">
        <f>IF(NOT((COUNTA($B257:$K257)+COUNTA($N257))&gt;0),"",IF($B257&lt;&gt;"","Macro",IF($C257&lt;&gt;"","Sub","Macro")))</f>
        <v/>
      </c>
      <c r="T257" s="70">
        <f>IF($S257="Macro",COUNTIFS($R$5:$R$1000,ROW(),$S$5:$S$1000,"Sub"),"")</f>
        <v/>
      </c>
      <c r="U257" s="70">
        <f>IF($S257="","",IF(ISNUMBER($H257),$H257,0))</f>
        <v/>
      </c>
      <c r="V257" s="70">
        <f>IF($S257="","",IF(ISNUMBER($I257),$I257,$U257))</f>
        <v/>
      </c>
      <c r="W257" s="70">
        <f>IF($S257="","",IF(ISNUMBER($J257),$J257,$V257))</f>
        <v/>
      </c>
      <c r="X257" s="70">
        <f>IF($S257="","",IF(ISNUMBER($K257),$K257,$W257))</f>
        <v/>
      </c>
      <c r="Y257" s="70">
        <f>IF($S257="","",IF(N($T257)&gt;0,AVERAGEIFS($U$5:$U$1000,$R$5:$R$1000,ROW(),$S$5:$S$1000,"Sub"),$U257))</f>
        <v/>
      </c>
      <c r="Z257" s="70">
        <f>IF($S257="","",IF(N($T257)&gt;0,AVERAGEIFS($V$5:$V$1000,$R$5:$R$1000,ROW(),$S$5:$S$1000,"Sub"),$V257))</f>
        <v/>
      </c>
      <c r="AA257" s="70">
        <f>IF($S257="","",IF(N($T257)&gt;0,AVERAGEIFS($W$5:$W$1000,$R$5:$R$1000,ROW(),$S$5:$S$1000,"Sub"),$W257))</f>
        <v/>
      </c>
      <c r="AB257" s="70">
        <f>IF($S257="","",IF(N($T257)&gt;0,AVERAGEIFS($X$5:$X$1000,$R$5:$R$1000,ROW(),$S$5:$S$1000,"Sub"),$X257))</f>
        <v/>
      </c>
    </row>
    <row r="258">
      <c r="A258" s="61">
        <f>IF(NOT((COUNTA($B258:$K258)+COUNTA($N258))&gt;0),"",IF($S258="Macro",COUNTIFS($S$5:$S258,"Macro",$P$5:$P258,$P258),IF(N($R258)=0,"?",COUNTIFS(INDEX($S$5:$S$1000,1):INDEX($S$5:$S$1000,$R258-4),"Macro",INDEX($P$5:$P$1000,1):INDEX($P$5:$P$1000,$R258-4),INDEX($P$5:$P$1000,$R258-4))&amp;"."&amp;COUNTIFS($R$5:$R258,$R258,$S$5:$S258,"Sub"))))</f>
        <v/>
      </c>
      <c r="B258" s="62" t="n"/>
      <c r="C258" s="63" t="n"/>
      <c r="D258" s="62" t="n"/>
      <c r="E258" s="64" t="n"/>
      <c r="F258" s="64" t="n"/>
      <c r="G258" s="65" t="n"/>
      <c r="H258" s="66" t="n"/>
      <c r="I258" s="66" t="n"/>
      <c r="J258" s="66" t="n"/>
      <c r="K258" s="66" t="n"/>
      <c r="L258" s="67">
        <f>IF(NOT((COUNTA($B258:$K258)+COUNTA($N258))&gt;0),"",IF(N($T258)&gt;0,$AB258,IFERROR(LOOKUP(2,1/(H258:K258&lt;&gt;""),H258:K258),0)))</f>
        <v/>
      </c>
      <c r="M258" s="61">
        <f>IF(L258="","",IF(L258&gt;=1,"Completado",IF(L258&gt;0,"En curso","Pendiente")))</f>
        <v/>
      </c>
      <c r="N258" s="62" t="n"/>
      <c r="O258" s="68">
        <f>IF(NOT((COUNTA($B258:$K258)+COUNTA($N258))&gt;0),"",IF((IF(AND($S258="Macro",$B258=""),"Macroactividad vacía"&amp;" · ","")&amp;IF(AND($B258&lt;&gt;"",$C258&lt;&gt;""),"Escriba la subactividad en otra fila, debajo de su macroactividad"&amp;" · ","")&amp;IF(AND($S258="Sub",N($R258)=0),"Subactividad sin macroactividad arriba"&amp;" · ","")&amp;IF($D258="","Sin responsable"&amp;" · ","")&amp;IF($E258="","Sin fecha de inicio"&amp;" · ","")&amp;IF($F258="","Sin fecha límite"&amp;" · ","")&amp;IF(OR(AND($E258&lt;&gt;"",NOT(ISNUMBER($E258))),AND($F258&lt;&gt;"",NOT(ISNUMBER($F258)))),"Fecha no válida"&amp;" · ","")&amp;IF(AND(ISNUMBER($E258),ISNUMBER($F258),$E258&gt;$F258),"Inicio posterior a fecha límite"&amp;" · ","")&amp;IF(AND($S258="Macro",$G258=""),"Peso vacío"&amp;" · ","")&amp;IF(AND($S258="Macro",$G258&lt;&gt;"",OR(NOT(ISNUMBER($G258)),$G258&lt;=0,$G258&gt;1)),"Peso fuera de rango"&amp;" · ","")&amp;IF(AND($S258="Sub",$G258&lt;&gt;""),"Las subactividades no llevan peso"&amp;" · ","")&amp;IF(AND($S258="Macro",ABS(SUMIFS($G$5:$G$1000,$P$5:$P$1000,$P258,$S$5:$S$1000,"Macro")-1)&gt;0.0001),"Pesos del mes suman "&amp;TEXT(SUMIFS($G$5:$G$1000,$P$5:$P$1000,$P258,$S$5:$S$1000,"Macro"),"0%")&amp;" · ","")&amp;IF(AND(N($T258)&gt;0,COUNT($H258:$K258)&gt;0),"Con subactividades: deje vacías las semanas (se calculan solas)"&amp;" · ","")&amp;IF((COUNTIF($H258:$K258,"&gt;1")+COUNTIF($H258:$K258,"&lt;0")+COUNTA($H258:$K258)-COUNT($H258:$K258))&gt;0,"Avance fuera de rango 0-100%"&amp;" · ","")&amp;IF(OR(AND($I258&lt;&gt;"",$I258&lt;$H258),AND($J258&lt;&gt;"",$J258&lt;MAX($H258:$I258)),AND($K258&lt;&gt;"",$K258&lt;MAX($H258:$J258))),"Avance semanal decreciente"&amp;" · ","")&amp;IF(AND(ISNUMBER($F258),$F258&lt;FechaRef,N($L258)&lt;1),"Vencida"&amp;" · ","")&amp;IF(AND(ObsObligatoria="Sí",ISNUMBER($F258),$F258&lt;FechaRef,N($L258)&lt;1,$N258=""),"Vencida sin observación"&amp;" · ",""))="","✔ OK","⚠ "&amp;LEFT(IF(AND($S258="Macro",$B258=""),"Macroactividad vacía"&amp;" · ","")&amp;IF(AND($B258&lt;&gt;"",$C258&lt;&gt;""),"Escriba la subactividad en otra fila, debajo de su macroactividad"&amp;" · ","")&amp;IF(AND($S258="Sub",N($R258)=0),"Subactividad sin macroactividad arriba"&amp;" · ","")&amp;IF($D258="","Sin responsable"&amp;" · ","")&amp;IF($E258="","Sin fecha de inicio"&amp;" · ","")&amp;IF($F258="","Sin fecha límite"&amp;" · ","")&amp;IF(OR(AND($E258&lt;&gt;"",NOT(ISNUMBER($E258))),AND($F258&lt;&gt;"",NOT(ISNUMBER($F258)))),"Fecha no válida"&amp;" · ","")&amp;IF(AND(ISNUMBER($E258),ISNUMBER($F258),$E258&gt;$F258),"Inicio posterior a fecha límite"&amp;" · ","")&amp;IF(AND($S258="Macro",$G258=""),"Peso vacío"&amp;" · ","")&amp;IF(AND($S258="Macro",$G258&lt;&gt;"",OR(NOT(ISNUMBER($G258)),$G258&lt;=0,$G258&gt;1)),"Peso fuera de rango"&amp;" · ","")&amp;IF(AND($S258="Sub",$G258&lt;&gt;""),"Las subactividades no llevan peso"&amp;" · ","")&amp;IF(AND($S258="Macro",ABS(SUMIFS($G$5:$G$1000,$P$5:$P$1000,$P258,$S$5:$S$1000,"Macro")-1)&gt;0.0001),"Pesos del mes suman "&amp;TEXT(SUMIFS($G$5:$G$1000,$P$5:$P$1000,$P258,$S$5:$S$1000,"Macro"),"0%")&amp;" · ","")&amp;IF(AND(N($T258)&gt;0,COUNT($H258:$K258)&gt;0),"Con subactividades: deje vacías las semanas (se calculan solas)"&amp;" · ","")&amp;IF((COUNTIF($H258:$K258,"&gt;1")+COUNTIF($H258:$K258,"&lt;0")+COUNTA($H258:$K258)-COUNT($H258:$K258))&gt;0,"Avance fuera de rango 0-100%"&amp;" · ","")&amp;IF(OR(AND($I258&lt;&gt;"",$I258&lt;$H258),AND($J258&lt;&gt;"",$J258&lt;MAX($H258:$I258)),AND($K258&lt;&gt;"",$K258&lt;MAX($H258:$J258))),"Avance semanal decreciente"&amp;" · ","")&amp;IF(AND(ISNUMBER($F258),$F258&lt;FechaRef,N($L258)&lt;1),"Vencida"&amp;" · ","")&amp;IF(AND(ObsObligatoria="Sí",ISNUMBER($F258),$F258&lt;FechaRef,N($L258)&lt;1,$N258=""),"Vencida sin observación"&amp;" · ",""),LEN(IF(AND($S258="Macro",$B258=""),"Macroactividad vacía"&amp;" · ","")&amp;IF(AND($B258&lt;&gt;"",$C258&lt;&gt;""),"Escriba la subactividad en otra fila, debajo de su macroactividad"&amp;" · ","")&amp;IF(AND($S258="Sub",N($R258)=0),"Subactividad sin macroactividad arriba"&amp;" · ","")&amp;IF($D258="","Sin responsable"&amp;" · ","")&amp;IF($E258="","Sin fecha de inicio"&amp;" · ","")&amp;IF($F258="","Sin fecha límite"&amp;" · ","")&amp;IF(OR(AND($E258&lt;&gt;"",NOT(ISNUMBER($E258))),AND($F258&lt;&gt;"",NOT(ISNUMBER($F258)))),"Fecha no válida"&amp;" · ","")&amp;IF(AND(ISNUMBER($E258),ISNUMBER($F258),$E258&gt;$F258),"Inicio posterior a fecha límite"&amp;" · ","")&amp;IF(AND($S258="Macro",$G258=""),"Peso vacío"&amp;" · ","")&amp;IF(AND($S258="Macro",$G258&lt;&gt;"",OR(NOT(ISNUMBER($G258)),$G258&lt;=0,$G258&gt;1)),"Peso fuera de rango"&amp;" · ","")&amp;IF(AND($S258="Sub",$G258&lt;&gt;""),"Las subactividades no llevan peso"&amp;" · ","")&amp;IF(AND($S258="Macro",ABS(SUMIFS($G$5:$G$1000,$P$5:$P$1000,$P258,$S$5:$S$1000,"Macro")-1)&gt;0.0001),"Pesos del mes suman "&amp;TEXT(SUMIFS($G$5:$G$1000,$P$5:$P$1000,$P258,$S$5:$S$1000,"Macro"),"0%")&amp;" · ","")&amp;IF(AND(N($T258)&gt;0,COUNT($H258:$K258)&gt;0),"Con subactividades: deje vacías las semanas (se calculan solas)"&amp;" · ","")&amp;IF((COUNTIF($H258:$K258,"&gt;1")+COUNTIF($H258:$K258,"&lt;0")+COUNTA($H258:$K258)-COUNT($H258:$K258))&gt;0,"Avance fuera de rango 0-100%"&amp;" · ","")&amp;IF(OR(AND($I258&lt;&gt;"",$I258&lt;$H258),AND($J258&lt;&gt;"",$J258&lt;MAX($H258:$I258)),AND($K258&lt;&gt;"",$K258&lt;MAX($H258:$J258))),"Avance semanal decreciente"&amp;" · ","")&amp;IF(AND(ISNUMBER($F258),$F258&lt;FechaRef,N($L258)&lt;1),"Vencida"&amp;" · ","")&amp;IF(AND(ObsObligatoria="Sí",ISNUMBER($F258),$F258&lt;FechaRef,N($L258)&lt;1,$N258=""),"Vencida sin observación"&amp;" · ",""))-3)))</f>
        <v/>
      </c>
      <c r="P258" s="69">
        <f>IF(NOT((COUNTA($B258:$K258)+COUNTA($N258))&gt;0),"",IF(AND($S258="Sub",N($R258)&gt;0),IF(ISNUMBER(INDEX($E$5:$E$1000,$R258-4)),DATE(YEAR(INDEX($E$5:$E$1000,$R258-4)),MONTH(INDEX($E$5:$E$1000,$R258-4)),1),IF(ISNUMBER(INDEX($F$5:$F$1000,$R258-4)),DATE(YEAR(INDEX($F$5:$F$1000,$R258-4)),MONTH(INDEX($F$5:$F$1000,$R258-4)),1),MesCiclo)),IF(ISNUMBER($E258),DATE(YEAR($E258),MONTH($E258),1),IF(ISNUMBER($F258),DATE(YEAR($F258),MONTH($F258),1),MesCiclo))))</f>
        <v/>
      </c>
      <c r="Q258" s="70">
        <f>IF(OR($P258="",$P258&lt;&gt;MesCiclo),"",COUNTIF($P$5:$P258,MesCiclo))</f>
        <v/>
      </c>
      <c r="R258" s="70">
        <f>IF($S258="","",IF($S258="Macro",ROW(),IFERROR(LOOKUP(2,1/($S$5:$S258="Macro"),ROW($S$5:$S258)),0)))</f>
        <v/>
      </c>
      <c r="S258" s="70">
        <f>IF(NOT((COUNTA($B258:$K258)+COUNTA($N258))&gt;0),"",IF($B258&lt;&gt;"","Macro",IF($C258&lt;&gt;"","Sub","Macro")))</f>
        <v/>
      </c>
      <c r="T258" s="70">
        <f>IF($S258="Macro",COUNTIFS($R$5:$R$1000,ROW(),$S$5:$S$1000,"Sub"),"")</f>
        <v/>
      </c>
      <c r="U258" s="70">
        <f>IF($S258="","",IF(ISNUMBER($H258),$H258,0))</f>
        <v/>
      </c>
      <c r="V258" s="70">
        <f>IF($S258="","",IF(ISNUMBER($I258),$I258,$U258))</f>
        <v/>
      </c>
      <c r="W258" s="70">
        <f>IF($S258="","",IF(ISNUMBER($J258),$J258,$V258))</f>
        <v/>
      </c>
      <c r="X258" s="70">
        <f>IF($S258="","",IF(ISNUMBER($K258),$K258,$W258))</f>
        <v/>
      </c>
      <c r="Y258" s="70">
        <f>IF($S258="","",IF(N($T258)&gt;0,AVERAGEIFS($U$5:$U$1000,$R$5:$R$1000,ROW(),$S$5:$S$1000,"Sub"),$U258))</f>
        <v/>
      </c>
      <c r="Z258" s="70">
        <f>IF($S258="","",IF(N($T258)&gt;0,AVERAGEIFS($V$5:$V$1000,$R$5:$R$1000,ROW(),$S$5:$S$1000,"Sub"),$V258))</f>
        <v/>
      </c>
      <c r="AA258" s="70">
        <f>IF($S258="","",IF(N($T258)&gt;0,AVERAGEIFS($W$5:$W$1000,$R$5:$R$1000,ROW(),$S$5:$S$1000,"Sub"),$W258))</f>
        <v/>
      </c>
      <c r="AB258" s="70">
        <f>IF($S258="","",IF(N($T258)&gt;0,AVERAGEIFS($X$5:$X$1000,$R$5:$R$1000,ROW(),$S$5:$S$1000,"Sub"),$X258))</f>
        <v/>
      </c>
    </row>
    <row r="259">
      <c r="A259" s="61">
        <f>IF(NOT((COUNTA($B259:$K259)+COUNTA($N259))&gt;0),"",IF($S259="Macro",COUNTIFS($S$5:$S259,"Macro",$P$5:$P259,$P259),IF(N($R259)=0,"?",COUNTIFS(INDEX($S$5:$S$1000,1):INDEX($S$5:$S$1000,$R259-4),"Macro",INDEX($P$5:$P$1000,1):INDEX($P$5:$P$1000,$R259-4),INDEX($P$5:$P$1000,$R259-4))&amp;"."&amp;COUNTIFS($R$5:$R259,$R259,$S$5:$S259,"Sub"))))</f>
        <v/>
      </c>
      <c r="B259" s="62" t="n"/>
      <c r="C259" s="63" t="n"/>
      <c r="D259" s="62" t="n"/>
      <c r="E259" s="64" t="n"/>
      <c r="F259" s="64" t="n"/>
      <c r="G259" s="65" t="n"/>
      <c r="H259" s="66" t="n"/>
      <c r="I259" s="66" t="n"/>
      <c r="J259" s="66" t="n"/>
      <c r="K259" s="66" t="n"/>
      <c r="L259" s="67">
        <f>IF(NOT((COUNTA($B259:$K259)+COUNTA($N259))&gt;0),"",IF(N($T259)&gt;0,$AB259,IFERROR(LOOKUP(2,1/(H259:K259&lt;&gt;""),H259:K259),0)))</f>
        <v/>
      </c>
      <c r="M259" s="61">
        <f>IF(L259="","",IF(L259&gt;=1,"Completado",IF(L259&gt;0,"En curso","Pendiente")))</f>
        <v/>
      </c>
      <c r="N259" s="62" t="n"/>
      <c r="O259" s="68">
        <f>IF(NOT((COUNTA($B259:$K259)+COUNTA($N259))&gt;0),"",IF((IF(AND($S259="Macro",$B259=""),"Macroactividad vacía"&amp;" · ","")&amp;IF(AND($B259&lt;&gt;"",$C259&lt;&gt;""),"Escriba la subactividad en otra fila, debajo de su macroactividad"&amp;" · ","")&amp;IF(AND($S259="Sub",N($R259)=0),"Subactividad sin macroactividad arriba"&amp;" · ","")&amp;IF($D259="","Sin responsable"&amp;" · ","")&amp;IF($E259="","Sin fecha de inicio"&amp;" · ","")&amp;IF($F259="","Sin fecha límite"&amp;" · ","")&amp;IF(OR(AND($E259&lt;&gt;"",NOT(ISNUMBER($E259))),AND($F259&lt;&gt;"",NOT(ISNUMBER($F259)))),"Fecha no válida"&amp;" · ","")&amp;IF(AND(ISNUMBER($E259),ISNUMBER($F259),$E259&gt;$F259),"Inicio posterior a fecha límite"&amp;" · ","")&amp;IF(AND($S259="Macro",$G259=""),"Peso vacío"&amp;" · ","")&amp;IF(AND($S259="Macro",$G259&lt;&gt;"",OR(NOT(ISNUMBER($G259)),$G259&lt;=0,$G259&gt;1)),"Peso fuera de rango"&amp;" · ","")&amp;IF(AND($S259="Sub",$G259&lt;&gt;""),"Las subactividades no llevan peso"&amp;" · ","")&amp;IF(AND($S259="Macro",ABS(SUMIFS($G$5:$G$1000,$P$5:$P$1000,$P259,$S$5:$S$1000,"Macro")-1)&gt;0.0001),"Pesos del mes suman "&amp;TEXT(SUMIFS($G$5:$G$1000,$P$5:$P$1000,$P259,$S$5:$S$1000,"Macro"),"0%")&amp;" · ","")&amp;IF(AND(N($T259)&gt;0,COUNT($H259:$K259)&gt;0),"Con subactividades: deje vacías las semanas (se calculan solas)"&amp;" · ","")&amp;IF((COUNTIF($H259:$K259,"&gt;1")+COUNTIF($H259:$K259,"&lt;0")+COUNTA($H259:$K259)-COUNT($H259:$K259))&gt;0,"Avance fuera de rango 0-100%"&amp;" · ","")&amp;IF(OR(AND($I259&lt;&gt;"",$I259&lt;$H259),AND($J259&lt;&gt;"",$J259&lt;MAX($H259:$I259)),AND($K259&lt;&gt;"",$K259&lt;MAX($H259:$J259))),"Avance semanal decreciente"&amp;" · ","")&amp;IF(AND(ISNUMBER($F259),$F259&lt;FechaRef,N($L259)&lt;1),"Vencida"&amp;" · ","")&amp;IF(AND(ObsObligatoria="Sí",ISNUMBER($F259),$F259&lt;FechaRef,N($L259)&lt;1,$N259=""),"Vencida sin observación"&amp;" · ",""))="","✔ OK","⚠ "&amp;LEFT(IF(AND($S259="Macro",$B259=""),"Macroactividad vacía"&amp;" · ","")&amp;IF(AND($B259&lt;&gt;"",$C259&lt;&gt;""),"Escriba la subactividad en otra fila, debajo de su macroactividad"&amp;" · ","")&amp;IF(AND($S259="Sub",N($R259)=0),"Subactividad sin macroactividad arriba"&amp;" · ","")&amp;IF($D259="","Sin responsable"&amp;" · ","")&amp;IF($E259="","Sin fecha de inicio"&amp;" · ","")&amp;IF($F259="","Sin fecha límite"&amp;" · ","")&amp;IF(OR(AND($E259&lt;&gt;"",NOT(ISNUMBER($E259))),AND($F259&lt;&gt;"",NOT(ISNUMBER($F259)))),"Fecha no válida"&amp;" · ","")&amp;IF(AND(ISNUMBER($E259),ISNUMBER($F259),$E259&gt;$F259),"Inicio posterior a fecha límite"&amp;" · ","")&amp;IF(AND($S259="Macro",$G259=""),"Peso vacío"&amp;" · ","")&amp;IF(AND($S259="Macro",$G259&lt;&gt;"",OR(NOT(ISNUMBER($G259)),$G259&lt;=0,$G259&gt;1)),"Peso fuera de rango"&amp;" · ","")&amp;IF(AND($S259="Sub",$G259&lt;&gt;""),"Las subactividades no llevan peso"&amp;" · ","")&amp;IF(AND($S259="Macro",ABS(SUMIFS($G$5:$G$1000,$P$5:$P$1000,$P259,$S$5:$S$1000,"Macro")-1)&gt;0.0001),"Pesos del mes suman "&amp;TEXT(SUMIFS($G$5:$G$1000,$P$5:$P$1000,$P259,$S$5:$S$1000,"Macro"),"0%")&amp;" · ","")&amp;IF(AND(N($T259)&gt;0,COUNT($H259:$K259)&gt;0),"Con subactividades: deje vacías las semanas (se calculan solas)"&amp;" · ","")&amp;IF((COUNTIF($H259:$K259,"&gt;1")+COUNTIF($H259:$K259,"&lt;0")+COUNTA($H259:$K259)-COUNT($H259:$K259))&gt;0,"Avance fuera de rango 0-100%"&amp;" · ","")&amp;IF(OR(AND($I259&lt;&gt;"",$I259&lt;$H259),AND($J259&lt;&gt;"",$J259&lt;MAX($H259:$I259)),AND($K259&lt;&gt;"",$K259&lt;MAX($H259:$J259))),"Avance semanal decreciente"&amp;" · ","")&amp;IF(AND(ISNUMBER($F259),$F259&lt;FechaRef,N($L259)&lt;1),"Vencida"&amp;" · ","")&amp;IF(AND(ObsObligatoria="Sí",ISNUMBER($F259),$F259&lt;FechaRef,N($L259)&lt;1,$N259=""),"Vencida sin observación"&amp;" · ",""),LEN(IF(AND($S259="Macro",$B259=""),"Macroactividad vacía"&amp;" · ","")&amp;IF(AND($B259&lt;&gt;"",$C259&lt;&gt;""),"Escriba la subactividad en otra fila, debajo de su macroactividad"&amp;" · ","")&amp;IF(AND($S259="Sub",N($R259)=0),"Subactividad sin macroactividad arriba"&amp;" · ","")&amp;IF($D259="","Sin responsable"&amp;" · ","")&amp;IF($E259="","Sin fecha de inicio"&amp;" · ","")&amp;IF($F259="","Sin fecha límite"&amp;" · ","")&amp;IF(OR(AND($E259&lt;&gt;"",NOT(ISNUMBER($E259))),AND($F259&lt;&gt;"",NOT(ISNUMBER($F259)))),"Fecha no válida"&amp;" · ","")&amp;IF(AND(ISNUMBER($E259),ISNUMBER($F259),$E259&gt;$F259),"Inicio posterior a fecha límite"&amp;" · ","")&amp;IF(AND($S259="Macro",$G259=""),"Peso vacío"&amp;" · ","")&amp;IF(AND($S259="Macro",$G259&lt;&gt;"",OR(NOT(ISNUMBER($G259)),$G259&lt;=0,$G259&gt;1)),"Peso fuera de rango"&amp;" · ","")&amp;IF(AND($S259="Sub",$G259&lt;&gt;""),"Las subactividades no llevan peso"&amp;" · ","")&amp;IF(AND($S259="Macro",ABS(SUMIFS($G$5:$G$1000,$P$5:$P$1000,$P259,$S$5:$S$1000,"Macro")-1)&gt;0.0001),"Pesos del mes suman "&amp;TEXT(SUMIFS($G$5:$G$1000,$P$5:$P$1000,$P259,$S$5:$S$1000,"Macro"),"0%")&amp;" · ","")&amp;IF(AND(N($T259)&gt;0,COUNT($H259:$K259)&gt;0),"Con subactividades: deje vacías las semanas (se calculan solas)"&amp;" · ","")&amp;IF((COUNTIF($H259:$K259,"&gt;1")+COUNTIF($H259:$K259,"&lt;0")+COUNTA($H259:$K259)-COUNT($H259:$K259))&gt;0,"Avance fuera de rango 0-100%"&amp;" · ","")&amp;IF(OR(AND($I259&lt;&gt;"",$I259&lt;$H259),AND($J259&lt;&gt;"",$J259&lt;MAX($H259:$I259)),AND($K259&lt;&gt;"",$K259&lt;MAX($H259:$J259))),"Avance semanal decreciente"&amp;" · ","")&amp;IF(AND(ISNUMBER($F259),$F259&lt;FechaRef,N($L259)&lt;1),"Vencida"&amp;" · ","")&amp;IF(AND(ObsObligatoria="Sí",ISNUMBER($F259),$F259&lt;FechaRef,N($L259)&lt;1,$N259=""),"Vencida sin observación"&amp;" · ",""))-3)))</f>
        <v/>
      </c>
      <c r="P259" s="69">
        <f>IF(NOT((COUNTA($B259:$K259)+COUNTA($N259))&gt;0),"",IF(AND($S259="Sub",N($R259)&gt;0),IF(ISNUMBER(INDEX($E$5:$E$1000,$R259-4)),DATE(YEAR(INDEX($E$5:$E$1000,$R259-4)),MONTH(INDEX($E$5:$E$1000,$R259-4)),1),IF(ISNUMBER(INDEX($F$5:$F$1000,$R259-4)),DATE(YEAR(INDEX($F$5:$F$1000,$R259-4)),MONTH(INDEX($F$5:$F$1000,$R259-4)),1),MesCiclo)),IF(ISNUMBER($E259),DATE(YEAR($E259),MONTH($E259),1),IF(ISNUMBER($F259),DATE(YEAR($F259),MONTH($F259),1),MesCiclo))))</f>
        <v/>
      </c>
      <c r="Q259" s="70">
        <f>IF(OR($P259="",$P259&lt;&gt;MesCiclo),"",COUNTIF($P$5:$P259,MesCiclo))</f>
        <v/>
      </c>
      <c r="R259" s="70">
        <f>IF($S259="","",IF($S259="Macro",ROW(),IFERROR(LOOKUP(2,1/($S$5:$S259="Macro"),ROW($S$5:$S259)),0)))</f>
        <v/>
      </c>
      <c r="S259" s="70">
        <f>IF(NOT((COUNTA($B259:$K259)+COUNTA($N259))&gt;0),"",IF($B259&lt;&gt;"","Macro",IF($C259&lt;&gt;"","Sub","Macro")))</f>
        <v/>
      </c>
      <c r="T259" s="70">
        <f>IF($S259="Macro",COUNTIFS($R$5:$R$1000,ROW(),$S$5:$S$1000,"Sub"),"")</f>
        <v/>
      </c>
      <c r="U259" s="70">
        <f>IF($S259="","",IF(ISNUMBER($H259),$H259,0))</f>
        <v/>
      </c>
      <c r="V259" s="70">
        <f>IF($S259="","",IF(ISNUMBER($I259),$I259,$U259))</f>
        <v/>
      </c>
      <c r="W259" s="70">
        <f>IF($S259="","",IF(ISNUMBER($J259),$J259,$V259))</f>
        <v/>
      </c>
      <c r="X259" s="70">
        <f>IF($S259="","",IF(ISNUMBER($K259),$K259,$W259))</f>
        <v/>
      </c>
      <c r="Y259" s="70">
        <f>IF($S259="","",IF(N($T259)&gt;0,AVERAGEIFS($U$5:$U$1000,$R$5:$R$1000,ROW(),$S$5:$S$1000,"Sub"),$U259))</f>
        <v/>
      </c>
      <c r="Z259" s="70">
        <f>IF($S259="","",IF(N($T259)&gt;0,AVERAGEIFS($V$5:$V$1000,$R$5:$R$1000,ROW(),$S$5:$S$1000,"Sub"),$V259))</f>
        <v/>
      </c>
      <c r="AA259" s="70">
        <f>IF($S259="","",IF(N($T259)&gt;0,AVERAGEIFS($W$5:$W$1000,$R$5:$R$1000,ROW(),$S$5:$S$1000,"Sub"),$W259))</f>
        <v/>
      </c>
      <c r="AB259" s="70">
        <f>IF($S259="","",IF(N($T259)&gt;0,AVERAGEIFS($X$5:$X$1000,$R$5:$R$1000,ROW(),$S$5:$S$1000,"Sub"),$X259))</f>
        <v/>
      </c>
    </row>
    <row r="260">
      <c r="A260" s="61">
        <f>IF(NOT((COUNTA($B260:$K260)+COUNTA($N260))&gt;0),"",IF($S260="Macro",COUNTIFS($S$5:$S260,"Macro",$P$5:$P260,$P260),IF(N($R260)=0,"?",COUNTIFS(INDEX($S$5:$S$1000,1):INDEX($S$5:$S$1000,$R260-4),"Macro",INDEX($P$5:$P$1000,1):INDEX($P$5:$P$1000,$R260-4),INDEX($P$5:$P$1000,$R260-4))&amp;"."&amp;COUNTIFS($R$5:$R260,$R260,$S$5:$S260,"Sub"))))</f>
        <v/>
      </c>
      <c r="B260" s="62" t="n"/>
      <c r="C260" s="63" t="n"/>
      <c r="D260" s="62" t="n"/>
      <c r="E260" s="64" t="n"/>
      <c r="F260" s="64" t="n"/>
      <c r="G260" s="65" t="n"/>
      <c r="H260" s="66" t="n"/>
      <c r="I260" s="66" t="n"/>
      <c r="J260" s="66" t="n"/>
      <c r="K260" s="66" t="n"/>
      <c r="L260" s="67">
        <f>IF(NOT((COUNTA($B260:$K260)+COUNTA($N260))&gt;0),"",IF(N($T260)&gt;0,$AB260,IFERROR(LOOKUP(2,1/(H260:K260&lt;&gt;""),H260:K260),0)))</f>
        <v/>
      </c>
      <c r="M260" s="61">
        <f>IF(L260="","",IF(L260&gt;=1,"Completado",IF(L260&gt;0,"En curso","Pendiente")))</f>
        <v/>
      </c>
      <c r="N260" s="62" t="n"/>
      <c r="O260" s="68">
        <f>IF(NOT((COUNTA($B260:$K260)+COUNTA($N260))&gt;0),"",IF((IF(AND($S260="Macro",$B260=""),"Macroactividad vacía"&amp;" · ","")&amp;IF(AND($B260&lt;&gt;"",$C260&lt;&gt;""),"Escriba la subactividad en otra fila, debajo de su macroactividad"&amp;" · ","")&amp;IF(AND($S260="Sub",N($R260)=0),"Subactividad sin macroactividad arriba"&amp;" · ","")&amp;IF($D260="","Sin responsable"&amp;" · ","")&amp;IF($E260="","Sin fecha de inicio"&amp;" · ","")&amp;IF($F260="","Sin fecha límite"&amp;" · ","")&amp;IF(OR(AND($E260&lt;&gt;"",NOT(ISNUMBER($E260))),AND($F260&lt;&gt;"",NOT(ISNUMBER($F260)))),"Fecha no válida"&amp;" · ","")&amp;IF(AND(ISNUMBER($E260),ISNUMBER($F260),$E260&gt;$F260),"Inicio posterior a fecha límite"&amp;" · ","")&amp;IF(AND($S260="Macro",$G260=""),"Peso vacío"&amp;" · ","")&amp;IF(AND($S260="Macro",$G260&lt;&gt;"",OR(NOT(ISNUMBER($G260)),$G260&lt;=0,$G260&gt;1)),"Peso fuera de rango"&amp;" · ","")&amp;IF(AND($S260="Sub",$G260&lt;&gt;""),"Las subactividades no llevan peso"&amp;" · ","")&amp;IF(AND($S260="Macro",ABS(SUMIFS($G$5:$G$1000,$P$5:$P$1000,$P260,$S$5:$S$1000,"Macro")-1)&gt;0.0001),"Pesos del mes suman "&amp;TEXT(SUMIFS($G$5:$G$1000,$P$5:$P$1000,$P260,$S$5:$S$1000,"Macro"),"0%")&amp;" · ","")&amp;IF(AND(N($T260)&gt;0,COUNT($H260:$K260)&gt;0),"Con subactividades: deje vacías las semanas (se calculan solas)"&amp;" · ","")&amp;IF((COUNTIF($H260:$K260,"&gt;1")+COUNTIF($H260:$K260,"&lt;0")+COUNTA($H260:$K260)-COUNT($H260:$K260))&gt;0,"Avance fuera de rango 0-100%"&amp;" · ","")&amp;IF(OR(AND($I260&lt;&gt;"",$I260&lt;$H260),AND($J260&lt;&gt;"",$J260&lt;MAX($H260:$I260)),AND($K260&lt;&gt;"",$K260&lt;MAX($H260:$J260))),"Avance semanal decreciente"&amp;" · ","")&amp;IF(AND(ISNUMBER($F260),$F260&lt;FechaRef,N($L260)&lt;1),"Vencida"&amp;" · ","")&amp;IF(AND(ObsObligatoria="Sí",ISNUMBER($F260),$F260&lt;FechaRef,N($L260)&lt;1,$N260=""),"Vencida sin observación"&amp;" · ",""))="","✔ OK","⚠ "&amp;LEFT(IF(AND($S260="Macro",$B260=""),"Macroactividad vacía"&amp;" · ","")&amp;IF(AND($B260&lt;&gt;"",$C260&lt;&gt;""),"Escriba la subactividad en otra fila, debajo de su macroactividad"&amp;" · ","")&amp;IF(AND($S260="Sub",N($R260)=0),"Subactividad sin macroactividad arriba"&amp;" · ","")&amp;IF($D260="","Sin responsable"&amp;" · ","")&amp;IF($E260="","Sin fecha de inicio"&amp;" · ","")&amp;IF($F260="","Sin fecha límite"&amp;" · ","")&amp;IF(OR(AND($E260&lt;&gt;"",NOT(ISNUMBER($E260))),AND($F260&lt;&gt;"",NOT(ISNUMBER($F260)))),"Fecha no válida"&amp;" · ","")&amp;IF(AND(ISNUMBER($E260),ISNUMBER($F260),$E260&gt;$F260),"Inicio posterior a fecha límite"&amp;" · ","")&amp;IF(AND($S260="Macro",$G260=""),"Peso vacío"&amp;" · ","")&amp;IF(AND($S260="Macro",$G260&lt;&gt;"",OR(NOT(ISNUMBER($G260)),$G260&lt;=0,$G260&gt;1)),"Peso fuera de rango"&amp;" · ","")&amp;IF(AND($S260="Sub",$G260&lt;&gt;""),"Las subactividades no llevan peso"&amp;" · ","")&amp;IF(AND($S260="Macro",ABS(SUMIFS($G$5:$G$1000,$P$5:$P$1000,$P260,$S$5:$S$1000,"Macro")-1)&gt;0.0001),"Pesos del mes suman "&amp;TEXT(SUMIFS($G$5:$G$1000,$P$5:$P$1000,$P260,$S$5:$S$1000,"Macro"),"0%")&amp;" · ","")&amp;IF(AND(N($T260)&gt;0,COUNT($H260:$K260)&gt;0),"Con subactividades: deje vacías las semanas (se calculan solas)"&amp;" · ","")&amp;IF((COUNTIF($H260:$K260,"&gt;1")+COUNTIF($H260:$K260,"&lt;0")+COUNTA($H260:$K260)-COUNT($H260:$K260))&gt;0,"Avance fuera de rango 0-100%"&amp;" · ","")&amp;IF(OR(AND($I260&lt;&gt;"",$I260&lt;$H260),AND($J260&lt;&gt;"",$J260&lt;MAX($H260:$I260)),AND($K260&lt;&gt;"",$K260&lt;MAX($H260:$J260))),"Avance semanal decreciente"&amp;" · ","")&amp;IF(AND(ISNUMBER($F260),$F260&lt;FechaRef,N($L260)&lt;1),"Vencida"&amp;" · ","")&amp;IF(AND(ObsObligatoria="Sí",ISNUMBER($F260),$F260&lt;FechaRef,N($L260)&lt;1,$N260=""),"Vencida sin observación"&amp;" · ",""),LEN(IF(AND($S260="Macro",$B260=""),"Macroactividad vacía"&amp;" · ","")&amp;IF(AND($B260&lt;&gt;"",$C260&lt;&gt;""),"Escriba la subactividad en otra fila, debajo de su macroactividad"&amp;" · ","")&amp;IF(AND($S260="Sub",N($R260)=0),"Subactividad sin macroactividad arriba"&amp;" · ","")&amp;IF($D260="","Sin responsable"&amp;" · ","")&amp;IF($E260="","Sin fecha de inicio"&amp;" · ","")&amp;IF($F260="","Sin fecha límite"&amp;" · ","")&amp;IF(OR(AND($E260&lt;&gt;"",NOT(ISNUMBER($E260))),AND($F260&lt;&gt;"",NOT(ISNUMBER($F260)))),"Fecha no válida"&amp;" · ","")&amp;IF(AND(ISNUMBER($E260),ISNUMBER($F260),$E260&gt;$F260),"Inicio posterior a fecha límite"&amp;" · ","")&amp;IF(AND($S260="Macro",$G260=""),"Peso vacío"&amp;" · ","")&amp;IF(AND($S260="Macro",$G260&lt;&gt;"",OR(NOT(ISNUMBER($G260)),$G260&lt;=0,$G260&gt;1)),"Peso fuera de rango"&amp;" · ","")&amp;IF(AND($S260="Sub",$G260&lt;&gt;""),"Las subactividades no llevan peso"&amp;" · ","")&amp;IF(AND($S260="Macro",ABS(SUMIFS($G$5:$G$1000,$P$5:$P$1000,$P260,$S$5:$S$1000,"Macro")-1)&gt;0.0001),"Pesos del mes suman "&amp;TEXT(SUMIFS($G$5:$G$1000,$P$5:$P$1000,$P260,$S$5:$S$1000,"Macro"),"0%")&amp;" · ","")&amp;IF(AND(N($T260)&gt;0,COUNT($H260:$K260)&gt;0),"Con subactividades: deje vacías las semanas (se calculan solas)"&amp;" · ","")&amp;IF((COUNTIF($H260:$K260,"&gt;1")+COUNTIF($H260:$K260,"&lt;0")+COUNTA($H260:$K260)-COUNT($H260:$K260))&gt;0,"Avance fuera de rango 0-100%"&amp;" · ","")&amp;IF(OR(AND($I260&lt;&gt;"",$I260&lt;$H260),AND($J260&lt;&gt;"",$J260&lt;MAX($H260:$I260)),AND($K260&lt;&gt;"",$K260&lt;MAX($H260:$J260))),"Avance semanal decreciente"&amp;" · ","")&amp;IF(AND(ISNUMBER($F260),$F260&lt;FechaRef,N($L260)&lt;1),"Vencida"&amp;" · ","")&amp;IF(AND(ObsObligatoria="Sí",ISNUMBER($F260),$F260&lt;FechaRef,N($L260)&lt;1,$N260=""),"Vencida sin observación"&amp;" · ",""))-3)))</f>
        <v/>
      </c>
      <c r="P260" s="69">
        <f>IF(NOT((COUNTA($B260:$K260)+COUNTA($N260))&gt;0),"",IF(AND($S260="Sub",N($R260)&gt;0),IF(ISNUMBER(INDEX($E$5:$E$1000,$R260-4)),DATE(YEAR(INDEX($E$5:$E$1000,$R260-4)),MONTH(INDEX($E$5:$E$1000,$R260-4)),1),IF(ISNUMBER(INDEX($F$5:$F$1000,$R260-4)),DATE(YEAR(INDEX($F$5:$F$1000,$R260-4)),MONTH(INDEX($F$5:$F$1000,$R260-4)),1),MesCiclo)),IF(ISNUMBER($E260),DATE(YEAR($E260),MONTH($E260),1),IF(ISNUMBER($F260),DATE(YEAR($F260),MONTH($F260),1),MesCiclo))))</f>
        <v/>
      </c>
      <c r="Q260" s="70">
        <f>IF(OR($P260="",$P260&lt;&gt;MesCiclo),"",COUNTIF($P$5:$P260,MesCiclo))</f>
        <v/>
      </c>
      <c r="R260" s="70">
        <f>IF($S260="","",IF($S260="Macro",ROW(),IFERROR(LOOKUP(2,1/($S$5:$S260="Macro"),ROW($S$5:$S260)),0)))</f>
        <v/>
      </c>
      <c r="S260" s="70">
        <f>IF(NOT((COUNTA($B260:$K260)+COUNTA($N260))&gt;0),"",IF($B260&lt;&gt;"","Macro",IF($C260&lt;&gt;"","Sub","Macro")))</f>
        <v/>
      </c>
      <c r="T260" s="70">
        <f>IF($S260="Macro",COUNTIFS($R$5:$R$1000,ROW(),$S$5:$S$1000,"Sub"),"")</f>
        <v/>
      </c>
      <c r="U260" s="70">
        <f>IF($S260="","",IF(ISNUMBER($H260),$H260,0))</f>
        <v/>
      </c>
      <c r="V260" s="70">
        <f>IF($S260="","",IF(ISNUMBER($I260),$I260,$U260))</f>
        <v/>
      </c>
      <c r="W260" s="70">
        <f>IF($S260="","",IF(ISNUMBER($J260),$J260,$V260))</f>
        <v/>
      </c>
      <c r="X260" s="70">
        <f>IF($S260="","",IF(ISNUMBER($K260),$K260,$W260))</f>
        <v/>
      </c>
      <c r="Y260" s="70">
        <f>IF($S260="","",IF(N($T260)&gt;0,AVERAGEIFS($U$5:$U$1000,$R$5:$R$1000,ROW(),$S$5:$S$1000,"Sub"),$U260))</f>
        <v/>
      </c>
      <c r="Z260" s="70">
        <f>IF($S260="","",IF(N($T260)&gt;0,AVERAGEIFS($V$5:$V$1000,$R$5:$R$1000,ROW(),$S$5:$S$1000,"Sub"),$V260))</f>
        <v/>
      </c>
      <c r="AA260" s="70">
        <f>IF($S260="","",IF(N($T260)&gt;0,AVERAGEIFS($W$5:$W$1000,$R$5:$R$1000,ROW(),$S$5:$S$1000,"Sub"),$W260))</f>
        <v/>
      </c>
      <c r="AB260" s="70">
        <f>IF($S260="","",IF(N($T260)&gt;0,AVERAGEIFS($X$5:$X$1000,$R$5:$R$1000,ROW(),$S$5:$S$1000,"Sub"),$X260))</f>
        <v/>
      </c>
    </row>
    <row r="261">
      <c r="A261" s="61">
        <f>IF(NOT((COUNTA($B261:$K261)+COUNTA($N261))&gt;0),"",IF($S261="Macro",COUNTIFS($S$5:$S261,"Macro",$P$5:$P261,$P261),IF(N($R261)=0,"?",COUNTIFS(INDEX($S$5:$S$1000,1):INDEX($S$5:$S$1000,$R261-4),"Macro",INDEX($P$5:$P$1000,1):INDEX($P$5:$P$1000,$R261-4),INDEX($P$5:$P$1000,$R261-4))&amp;"."&amp;COUNTIFS($R$5:$R261,$R261,$S$5:$S261,"Sub"))))</f>
        <v/>
      </c>
      <c r="B261" s="62" t="n"/>
      <c r="C261" s="63" t="n"/>
      <c r="D261" s="62" t="n"/>
      <c r="E261" s="64" t="n"/>
      <c r="F261" s="64" t="n"/>
      <c r="G261" s="65" t="n"/>
      <c r="H261" s="66" t="n"/>
      <c r="I261" s="66" t="n"/>
      <c r="J261" s="66" t="n"/>
      <c r="K261" s="66" t="n"/>
      <c r="L261" s="67">
        <f>IF(NOT((COUNTA($B261:$K261)+COUNTA($N261))&gt;0),"",IF(N($T261)&gt;0,$AB261,IFERROR(LOOKUP(2,1/(H261:K261&lt;&gt;""),H261:K261),0)))</f>
        <v/>
      </c>
      <c r="M261" s="61">
        <f>IF(L261="","",IF(L261&gt;=1,"Completado",IF(L261&gt;0,"En curso","Pendiente")))</f>
        <v/>
      </c>
      <c r="N261" s="62" t="n"/>
      <c r="O261" s="68">
        <f>IF(NOT((COUNTA($B261:$K261)+COUNTA($N261))&gt;0),"",IF((IF(AND($S261="Macro",$B261=""),"Macroactividad vacía"&amp;" · ","")&amp;IF(AND($B261&lt;&gt;"",$C261&lt;&gt;""),"Escriba la subactividad en otra fila, debajo de su macroactividad"&amp;" · ","")&amp;IF(AND($S261="Sub",N($R261)=0),"Subactividad sin macroactividad arriba"&amp;" · ","")&amp;IF($D261="","Sin responsable"&amp;" · ","")&amp;IF($E261="","Sin fecha de inicio"&amp;" · ","")&amp;IF($F261="","Sin fecha límite"&amp;" · ","")&amp;IF(OR(AND($E261&lt;&gt;"",NOT(ISNUMBER($E261))),AND($F261&lt;&gt;"",NOT(ISNUMBER($F261)))),"Fecha no válida"&amp;" · ","")&amp;IF(AND(ISNUMBER($E261),ISNUMBER($F261),$E261&gt;$F261),"Inicio posterior a fecha límite"&amp;" · ","")&amp;IF(AND($S261="Macro",$G261=""),"Peso vacío"&amp;" · ","")&amp;IF(AND($S261="Macro",$G261&lt;&gt;"",OR(NOT(ISNUMBER($G261)),$G261&lt;=0,$G261&gt;1)),"Peso fuera de rango"&amp;" · ","")&amp;IF(AND($S261="Sub",$G261&lt;&gt;""),"Las subactividades no llevan peso"&amp;" · ","")&amp;IF(AND($S261="Macro",ABS(SUMIFS($G$5:$G$1000,$P$5:$P$1000,$P261,$S$5:$S$1000,"Macro")-1)&gt;0.0001),"Pesos del mes suman "&amp;TEXT(SUMIFS($G$5:$G$1000,$P$5:$P$1000,$P261,$S$5:$S$1000,"Macro"),"0%")&amp;" · ","")&amp;IF(AND(N($T261)&gt;0,COUNT($H261:$K261)&gt;0),"Con subactividades: deje vacías las semanas (se calculan solas)"&amp;" · ","")&amp;IF((COUNTIF($H261:$K261,"&gt;1")+COUNTIF($H261:$K261,"&lt;0")+COUNTA($H261:$K261)-COUNT($H261:$K261))&gt;0,"Avance fuera de rango 0-100%"&amp;" · ","")&amp;IF(OR(AND($I261&lt;&gt;"",$I261&lt;$H261),AND($J261&lt;&gt;"",$J261&lt;MAX($H261:$I261)),AND($K261&lt;&gt;"",$K261&lt;MAX($H261:$J261))),"Avance semanal decreciente"&amp;" · ","")&amp;IF(AND(ISNUMBER($F261),$F261&lt;FechaRef,N($L261)&lt;1),"Vencida"&amp;" · ","")&amp;IF(AND(ObsObligatoria="Sí",ISNUMBER($F261),$F261&lt;FechaRef,N($L261)&lt;1,$N261=""),"Vencida sin observación"&amp;" · ",""))="","✔ OK","⚠ "&amp;LEFT(IF(AND($S261="Macro",$B261=""),"Macroactividad vacía"&amp;" · ","")&amp;IF(AND($B261&lt;&gt;"",$C261&lt;&gt;""),"Escriba la subactividad en otra fila, debajo de su macroactividad"&amp;" · ","")&amp;IF(AND($S261="Sub",N($R261)=0),"Subactividad sin macroactividad arriba"&amp;" · ","")&amp;IF($D261="","Sin responsable"&amp;" · ","")&amp;IF($E261="","Sin fecha de inicio"&amp;" · ","")&amp;IF($F261="","Sin fecha límite"&amp;" · ","")&amp;IF(OR(AND($E261&lt;&gt;"",NOT(ISNUMBER($E261))),AND($F261&lt;&gt;"",NOT(ISNUMBER($F261)))),"Fecha no válida"&amp;" · ","")&amp;IF(AND(ISNUMBER($E261),ISNUMBER($F261),$E261&gt;$F261),"Inicio posterior a fecha límite"&amp;" · ","")&amp;IF(AND($S261="Macro",$G261=""),"Peso vacío"&amp;" · ","")&amp;IF(AND($S261="Macro",$G261&lt;&gt;"",OR(NOT(ISNUMBER($G261)),$G261&lt;=0,$G261&gt;1)),"Peso fuera de rango"&amp;" · ","")&amp;IF(AND($S261="Sub",$G261&lt;&gt;""),"Las subactividades no llevan peso"&amp;" · ","")&amp;IF(AND($S261="Macro",ABS(SUMIFS($G$5:$G$1000,$P$5:$P$1000,$P261,$S$5:$S$1000,"Macro")-1)&gt;0.0001),"Pesos del mes suman "&amp;TEXT(SUMIFS($G$5:$G$1000,$P$5:$P$1000,$P261,$S$5:$S$1000,"Macro"),"0%")&amp;" · ","")&amp;IF(AND(N($T261)&gt;0,COUNT($H261:$K261)&gt;0),"Con subactividades: deje vacías las semanas (se calculan solas)"&amp;" · ","")&amp;IF((COUNTIF($H261:$K261,"&gt;1")+COUNTIF($H261:$K261,"&lt;0")+COUNTA($H261:$K261)-COUNT($H261:$K261))&gt;0,"Avance fuera de rango 0-100%"&amp;" · ","")&amp;IF(OR(AND($I261&lt;&gt;"",$I261&lt;$H261),AND($J261&lt;&gt;"",$J261&lt;MAX($H261:$I261)),AND($K261&lt;&gt;"",$K261&lt;MAX($H261:$J261))),"Avance semanal decreciente"&amp;" · ","")&amp;IF(AND(ISNUMBER($F261),$F261&lt;FechaRef,N($L261)&lt;1),"Vencida"&amp;" · ","")&amp;IF(AND(ObsObligatoria="Sí",ISNUMBER($F261),$F261&lt;FechaRef,N($L261)&lt;1,$N261=""),"Vencida sin observación"&amp;" · ",""),LEN(IF(AND($S261="Macro",$B261=""),"Macroactividad vacía"&amp;" · ","")&amp;IF(AND($B261&lt;&gt;"",$C261&lt;&gt;""),"Escriba la subactividad en otra fila, debajo de su macroactividad"&amp;" · ","")&amp;IF(AND($S261="Sub",N($R261)=0),"Subactividad sin macroactividad arriba"&amp;" · ","")&amp;IF($D261="","Sin responsable"&amp;" · ","")&amp;IF($E261="","Sin fecha de inicio"&amp;" · ","")&amp;IF($F261="","Sin fecha límite"&amp;" · ","")&amp;IF(OR(AND($E261&lt;&gt;"",NOT(ISNUMBER($E261))),AND($F261&lt;&gt;"",NOT(ISNUMBER($F261)))),"Fecha no válida"&amp;" · ","")&amp;IF(AND(ISNUMBER($E261),ISNUMBER($F261),$E261&gt;$F261),"Inicio posterior a fecha límite"&amp;" · ","")&amp;IF(AND($S261="Macro",$G261=""),"Peso vacío"&amp;" · ","")&amp;IF(AND($S261="Macro",$G261&lt;&gt;"",OR(NOT(ISNUMBER($G261)),$G261&lt;=0,$G261&gt;1)),"Peso fuera de rango"&amp;" · ","")&amp;IF(AND($S261="Sub",$G261&lt;&gt;""),"Las subactividades no llevan peso"&amp;" · ","")&amp;IF(AND($S261="Macro",ABS(SUMIFS($G$5:$G$1000,$P$5:$P$1000,$P261,$S$5:$S$1000,"Macro")-1)&gt;0.0001),"Pesos del mes suman "&amp;TEXT(SUMIFS($G$5:$G$1000,$P$5:$P$1000,$P261,$S$5:$S$1000,"Macro"),"0%")&amp;" · ","")&amp;IF(AND(N($T261)&gt;0,COUNT($H261:$K261)&gt;0),"Con subactividades: deje vacías las semanas (se calculan solas)"&amp;" · ","")&amp;IF((COUNTIF($H261:$K261,"&gt;1")+COUNTIF($H261:$K261,"&lt;0")+COUNTA($H261:$K261)-COUNT($H261:$K261))&gt;0,"Avance fuera de rango 0-100%"&amp;" · ","")&amp;IF(OR(AND($I261&lt;&gt;"",$I261&lt;$H261),AND($J261&lt;&gt;"",$J261&lt;MAX($H261:$I261)),AND($K261&lt;&gt;"",$K261&lt;MAX($H261:$J261))),"Avance semanal decreciente"&amp;" · ","")&amp;IF(AND(ISNUMBER($F261),$F261&lt;FechaRef,N($L261)&lt;1),"Vencida"&amp;" · ","")&amp;IF(AND(ObsObligatoria="Sí",ISNUMBER($F261),$F261&lt;FechaRef,N($L261)&lt;1,$N261=""),"Vencida sin observación"&amp;" · ",""))-3)))</f>
        <v/>
      </c>
      <c r="P261" s="69">
        <f>IF(NOT((COUNTA($B261:$K261)+COUNTA($N261))&gt;0),"",IF(AND($S261="Sub",N($R261)&gt;0),IF(ISNUMBER(INDEX($E$5:$E$1000,$R261-4)),DATE(YEAR(INDEX($E$5:$E$1000,$R261-4)),MONTH(INDEX($E$5:$E$1000,$R261-4)),1),IF(ISNUMBER(INDEX($F$5:$F$1000,$R261-4)),DATE(YEAR(INDEX($F$5:$F$1000,$R261-4)),MONTH(INDEX($F$5:$F$1000,$R261-4)),1),MesCiclo)),IF(ISNUMBER($E261),DATE(YEAR($E261),MONTH($E261),1),IF(ISNUMBER($F261),DATE(YEAR($F261),MONTH($F261),1),MesCiclo))))</f>
        <v/>
      </c>
      <c r="Q261" s="70">
        <f>IF(OR($P261="",$P261&lt;&gt;MesCiclo),"",COUNTIF($P$5:$P261,MesCiclo))</f>
        <v/>
      </c>
      <c r="R261" s="70">
        <f>IF($S261="","",IF($S261="Macro",ROW(),IFERROR(LOOKUP(2,1/($S$5:$S261="Macro"),ROW($S$5:$S261)),0)))</f>
        <v/>
      </c>
      <c r="S261" s="70">
        <f>IF(NOT((COUNTA($B261:$K261)+COUNTA($N261))&gt;0),"",IF($B261&lt;&gt;"","Macro",IF($C261&lt;&gt;"","Sub","Macro")))</f>
        <v/>
      </c>
      <c r="T261" s="70">
        <f>IF($S261="Macro",COUNTIFS($R$5:$R$1000,ROW(),$S$5:$S$1000,"Sub"),"")</f>
        <v/>
      </c>
      <c r="U261" s="70">
        <f>IF($S261="","",IF(ISNUMBER($H261),$H261,0))</f>
        <v/>
      </c>
      <c r="V261" s="70">
        <f>IF($S261="","",IF(ISNUMBER($I261),$I261,$U261))</f>
        <v/>
      </c>
      <c r="W261" s="70">
        <f>IF($S261="","",IF(ISNUMBER($J261),$J261,$V261))</f>
        <v/>
      </c>
      <c r="X261" s="70">
        <f>IF($S261="","",IF(ISNUMBER($K261),$K261,$W261))</f>
        <v/>
      </c>
      <c r="Y261" s="70">
        <f>IF($S261="","",IF(N($T261)&gt;0,AVERAGEIFS($U$5:$U$1000,$R$5:$R$1000,ROW(),$S$5:$S$1000,"Sub"),$U261))</f>
        <v/>
      </c>
      <c r="Z261" s="70">
        <f>IF($S261="","",IF(N($T261)&gt;0,AVERAGEIFS($V$5:$V$1000,$R$5:$R$1000,ROW(),$S$5:$S$1000,"Sub"),$V261))</f>
        <v/>
      </c>
      <c r="AA261" s="70">
        <f>IF($S261="","",IF(N($T261)&gt;0,AVERAGEIFS($W$5:$W$1000,$R$5:$R$1000,ROW(),$S$5:$S$1000,"Sub"),$W261))</f>
        <v/>
      </c>
      <c r="AB261" s="70">
        <f>IF($S261="","",IF(N($T261)&gt;0,AVERAGEIFS($X$5:$X$1000,$R$5:$R$1000,ROW(),$S$5:$S$1000,"Sub"),$X261))</f>
        <v/>
      </c>
    </row>
    <row r="262">
      <c r="A262" s="61">
        <f>IF(NOT((COUNTA($B262:$K262)+COUNTA($N262))&gt;0),"",IF($S262="Macro",COUNTIFS($S$5:$S262,"Macro",$P$5:$P262,$P262),IF(N($R262)=0,"?",COUNTIFS(INDEX($S$5:$S$1000,1):INDEX($S$5:$S$1000,$R262-4),"Macro",INDEX($P$5:$P$1000,1):INDEX($P$5:$P$1000,$R262-4),INDEX($P$5:$P$1000,$R262-4))&amp;"."&amp;COUNTIFS($R$5:$R262,$R262,$S$5:$S262,"Sub"))))</f>
        <v/>
      </c>
      <c r="B262" s="62" t="n"/>
      <c r="C262" s="63" t="n"/>
      <c r="D262" s="62" t="n"/>
      <c r="E262" s="64" t="n"/>
      <c r="F262" s="64" t="n"/>
      <c r="G262" s="65" t="n"/>
      <c r="H262" s="66" t="n"/>
      <c r="I262" s="66" t="n"/>
      <c r="J262" s="66" t="n"/>
      <c r="K262" s="66" t="n"/>
      <c r="L262" s="67">
        <f>IF(NOT((COUNTA($B262:$K262)+COUNTA($N262))&gt;0),"",IF(N($T262)&gt;0,$AB262,IFERROR(LOOKUP(2,1/(H262:K262&lt;&gt;""),H262:K262),0)))</f>
        <v/>
      </c>
      <c r="M262" s="61">
        <f>IF(L262="","",IF(L262&gt;=1,"Completado",IF(L262&gt;0,"En curso","Pendiente")))</f>
        <v/>
      </c>
      <c r="N262" s="62" t="n"/>
      <c r="O262" s="68">
        <f>IF(NOT((COUNTA($B262:$K262)+COUNTA($N262))&gt;0),"",IF((IF(AND($S262="Macro",$B262=""),"Macroactividad vacía"&amp;" · ","")&amp;IF(AND($B262&lt;&gt;"",$C262&lt;&gt;""),"Escriba la subactividad en otra fila, debajo de su macroactividad"&amp;" · ","")&amp;IF(AND($S262="Sub",N($R262)=0),"Subactividad sin macroactividad arriba"&amp;" · ","")&amp;IF($D262="","Sin responsable"&amp;" · ","")&amp;IF($E262="","Sin fecha de inicio"&amp;" · ","")&amp;IF($F262="","Sin fecha límite"&amp;" · ","")&amp;IF(OR(AND($E262&lt;&gt;"",NOT(ISNUMBER($E262))),AND($F262&lt;&gt;"",NOT(ISNUMBER($F262)))),"Fecha no válida"&amp;" · ","")&amp;IF(AND(ISNUMBER($E262),ISNUMBER($F262),$E262&gt;$F262),"Inicio posterior a fecha límite"&amp;" · ","")&amp;IF(AND($S262="Macro",$G262=""),"Peso vacío"&amp;" · ","")&amp;IF(AND($S262="Macro",$G262&lt;&gt;"",OR(NOT(ISNUMBER($G262)),$G262&lt;=0,$G262&gt;1)),"Peso fuera de rango"&amp;" · ","")&amp;IF(AND($S262="Sub",$G262&lt;&gt;""),"Las subactividades no llevan peso"&amp;" · ","")&amp;IF(AND($S262="Macro",ABS(SUMIFS($G$5:$G$1000,$P$5:$P$1000,$P262,$S$5:$S$1000,"Macro")-1)&gt;0.0001),"Pesos del mes suman "&amp;TEXT(SUMIFS($G$5:$G$1000,$P$5:$P$1000,$P262,$S$5:$S$1000,"Macro"),"0%")&amp;" · ","")&amp;IF(AND(N($T262)&gt;0,COUNT($H262:$K262)&gt;0),"Con subactividades: deje vacías las semanas (se calculan solas)"&amp;" · ","")&amp;IF((COUNTIF($H262:$K262,"&gt;1")+COUNTIF($H262:$K262,"&lt;0")+COUNTA($H262:$K262)-COUNT($H262:$K262))&gt;0,"Avance fuera de rango 0-100%"&amp;" · ","")&amp;IF(OR(AND($I262&lt;&gt;"",$I262&lt;$H262),AND($J262&lt;&gt;"",$J262&lt;MAX($H262:$I262)),AND($K262&lt;&gt;"",$K262&lt;MAX($H262:$J262))),"Avance semanal decreciente"&amp;" · ","")&amp;IF(AND(ISNUMBER($F262),$F262&lt;FechaRef,N($L262)&lt;1),"Vencida"&amp;" · ","")&amp;IF(AND(ObsObligatoria="Sí",ISNUMBER($F262),$F262&lt;FechaRef,N($L262)&lt;1,$N262=""),"Vencida sin observación"&amp;" · ",""))="","✔ OK","⚠ "&amp;LEFT(IF(AND($S262="Macro",$B262=""),"Macroactividad vacía"&amp;" · ","")&amp;IF(AND($B262&lt;&gt;"",$C262&lt;&gt;""),"Escriba la subactividad en otra fila, debajo de su macroactividad"&amp;" · ","")&amp;IF(AND($S262="Sub",N($R262)=0),"Subactividad sin macroactividad arriba"&amp;" · ","")&amp;IF($D262="","Sin responsable"&amp;" · ","")&amp;IF($E262="","Sin fecha de inicio"&amp;" · ","")&amp;IF($F262="","Sin fecha límite"&amp;" · ","")&amp;IF(OR(AND($E262&lt;&gt;"",NOT(ISNUMBER($E262))),AND($F262&lt;&gt;"",NOT(ISNUMBER($F262)))),"Fecha no válida"&amp;" · ","")&amp;IF(AND(ISNUMBER($E262),ISNUMBER($F262),$E262&gt;$F262),"Inicio posterior a fecha límite"&amp;" · ","")&amp;IF(AND($S262="Macro",$G262=""),"Peso vacío"&amp;" · ","")&amp;IF(AND($S262="Macro",$G262&lt;&gt;"",OR(NOT(ISNUMBER($G262)),$G262&lt;=0,$G262&gt;1)),"Peso fuera de rango"&amp;" · ","")&amp;IF(AND($S262="Sub",$G262&lt;&gt;""),"Las subactividades no llevan peso"&amp;" · ","")&amp;IF(AND($S262="Macro",ABS(SUMIFS($G$5:$G$1000,$P$5:$P$1000,$P262,$S$5:$S$1000,"Macro")-1)&gt;0.0001),"Pesos del mes suman "&amp;TEXT(SUMIFS($G$5:$G$1000,$P$5:$P$1000,$P262,$S$5:$S$1000,"Macro"),"0%")&amp;" · ","")&amp;IF(AND(N($T262)&gt;0,COUNT($H262:$K262)&gt;0),"Con subactividades: deje vacías las semanas (se calculan solas)"&amp;" · ","")&amp;IF((COUNTIF($H262:$K262,"&gt;1")+COUNTIF($H262:$K262,"&lt;0")+COUNTA($H262:$K262)-COUNT($H262:$K262))&gt;0,"Avance fuera de rango 0-100%"&amp;" · ","")&amp;IF(OR(AND($I262&lt;&gt;"",$I262&lt;$H262),AND($J262&lt;&gt;"",$J262&lt;MAX($H262:$I262)),AND($K262&lt;&gt;"",$K262&lt;MAX($H262:$J262))),"Avance semanal decreciente"&amp;" · ","")&amp;IF(AND(ISNUMBER($F262),$F262&lt;FechaRef,N($L262)&lt;1),"Vencida"&amp;" · ","")&amp;IF(AND(ObsObligatoria="Sí",ISNUMBER($F262),$F262&lt;FechaRef,N($L262)&lt;1,$N262=""),"Vencida sin observación"&amp;" · ",""),LEN(IF(AND($S262="Macro",$B262=""),"Macroactividad vacía"&amp;" · ","")&amp;IF(AND($B262&lt;&gt;"",$C262&lt;&gt;""),"Escriba la subactividad en otra fila, debajo de su macroactividad"&amp;" · ","")&amp;IF(AND($S262="Sub",N($R262)=0),"Subactividad sin macroactividad arriba"&amp;" · ","")&amp;IF($D262="","Sin responsable"&amp;" · ","")&amp;IF($E262="","Sin fecha de inicio"&amp;" · ","")&amp;IF($F262="","Sin fecha límite"&amp;" · ","")&amp;IF(OR(AND($E262&lt;&gt;"",NOT(ISNUMBER($E262))),AND($F262&lt;&gt;"",NOT(ISNUMBER($F262)))),"Fecha no válida"&amp;" · ","")&amp;IF(AND(ISNUMBER($E262),ISNUMBER($F262),$E262&gt;$F262),"Inicio posterior a fecha límite"&amp;" · ","")&amp;IF(AND($S262="Macro",$G262=""),"Peso vacío"&amp;" · ","")&amp;IF(AND($S262="Macro",$G262&lt;&gt;"",OR(NOT(ISNUMBER($G262)),$G262&lt;=0,$G262&gt;1)),"Peso fuera de rango"&amp;" · ","")&amp;IF(AND($S262="Sub",$G262&lt;&gt;""),"Las subactividades no llevan peso"&amp;" · ","")&amp;IF(AND($S262="Macro",ABS(SUMIFS($G$5:$G$1000,$P$5:$P$1000,$P262,$S$5:$S$1000,"Macro")-1)&gt;0.0001),"Pesos del mes suman "&amp;TEXT(SUMIFS($G$5:$G$1000,$P$5:$P$1000,$P262,$S$5:$S$1000,"Macro"),"0%")&amp;" · ","")&amp;IF(AND(N($T262)&gt;0,COUNT($H262:$K262)&gt;0),"Con subactividades: deje vacías las semanas (se calculan solas)"&amp;" · ","")&amp;IF((COUNTIF($H262:$K262,"&gt;1")+COUNTIF($H262:$K262,"&lt;0")+COUNTA($H262:$K262)-COUNT($H262:$K262))&gt;0,"Avance fuera de rango 0-100%"&amp;" · ","")&amp;IF(OR(AND($I262&lt;&gt;"",$I262&lt;$H262),AND($J262&lt;&gt;"",$J262&lt;MAX($H262:$I262)),AND($K262&lt;&gt;"",$K262&lt;MAX($H262:$J262))),"Avance semanal decreciente"&amp;" · ","")&amp;IF(AND(ISNUMBER($F262),$F262&lt;FechaRef,N($L262)&lt;1),"Vencida"&amp;" · ","")&amp;IF(AND(ObsObligatoria="Sí",ISNUMBER($F262),$F262&lt;FechaRef,N($L262)&lt;1,$N262=""),"Vencida sin observación"&amp;" · ",""))-3)))</f>
        <v/>
      </c>
      <c r="P262" s="69">
        <f>IF(NOT((COUNTA($B262:$K262)+COUNTA($N262))&gt;0),"",IF(AND($S262="Sub",N($R262)&gt;0),IF(ISNUMBER(INDEX($E$5:$E$1000,$R262-4)),DATE(YEAR(INDEX($E$5:$E$1000,$R262-4)),MONTH(INDEX($E$5:$E$1000,$R262-4)),1),IF(ISNUMBER(INDEX($F$5:$F$1000,$R262-4)),DATE(YEAR(INDEX($F$5:$F$1000,$R262-4)),MONTH(INDEX($F$5:$F$1000,$R262-4)),1),MesCiclo)),IF(ISNUMBER($E262),DATE(YEAR($E262),MONTH($E262),1),IF(ISNUMBER($F262),DATE(YEAR($F262),MONTH($F262),1),MesCiclo))))</f>
        <v/>
      </c>
      <c r="Q262" s="70">
        <f>IF(OR($P262="",$P262&lt;&gt;MesCiclo),"",COUNTIF($P$5:$P262,MesCiclo))</f>
        <v/>
      </c>
      <c r="R262" s="70">
        <f>IF($S262="","",IF($S262="Macro",ROW(),IFERROR(LOOKUP(2,1/($S$5:$S262="Macro"),ROW($S$5:$S262)),0)))</f>
        <v/>
      </c>
      <c r="S262" s="70">
        <f>IF(NOT((COUNTA($B262:$K262)+COUNTA($N262))&gt;0),"",IF($B262&lt;&gt;"","Macro",IF($C262&lt;&gt;"","Sub","Macro")))</f>
        <v/>
      </c>
      <c r="T262" s="70">
        <f>IF($S262="Macro",COUNTIFS($R$5:$R$1000,ROW(),$S$5:$S$1000,"Sub"),"")</f>
        <v/>
      </c>
      <c r="U262" s="70">
        <f>IF($S262="","",IF(ISNUMBER($H262),$H262,0))</f>
        <v/>
      </c>
      <c r="V262" s="70">
        <f>IF($S262="","",IF(ISNUMBER($I262),$I262,$U262))</f>
        <v/>
      </c>
      <c r="W262" s="70">
        <f>IF($S262="","",IF(ISNUMBER($J262),$J262,$V262))</f>
        <v/>
      </c>
      <c r="X262" s="70">
        <f>IF($S262="","",IF(ISNUMBER($K262),$K262,$W262))</f>
        <v/>
      </c>
      <c r="Y262" s="70">
        <f>IF($S262="","",IF(N($T262)&gt;0,AVERAGEIFS($U$5:$U$1000,$R$5:$R$1000,ROW(),$S$5:$S$1000,"Sub"),$U262))</f>
        <v/>
      </c>
      <c r="Z262" s="70">
        <f>IF($S262="","",IF(N($T262)&gt;0,AVERAGEIFS($V$5:$V$1000,$R$5:$R$1000,ROW(),$S$5:$S$1000,"Sub"),$V262))</f>
        <v/>
      </c>
      <c r="AA262" s="70">
        <f>IF($S262="","",IF(N($T262)&gt;0,AVERAGEIFS($W$5:$W$1000,$R$5:$R$1000,ROW(),$S$5:$S$1000,"Sub"),$W262))</f>
        <v/>
      </c>
      <c r="AB262" s="70">
        <f>IF($S262="","",IF(N($T262)&gt;0,AVERAGEIFS($X$5:$X$1000,$R$5:$R$1000,ROW(),$S$5:$S$1000,"Sub"),$X262))</f>
        <v/>
      </c>
    </row>
    <row r="263">
      <c r="A263" s="61">
        <f>IF(NOT((COUNTA($B263:$K263)+COUNTA($N263))&gt;0),"",IF($S263="Macro",COUNTIFS($S$5:$S263,"Macro",$P$5:$P263,$P263),IF(N($R263)=0,"?",COUNTIFS(INDEX($S$5:$S$1000,1):INDEX($S$5:$S$1000,$R263-4),"Macro",INDEX($P$5:$P$1000,1):INDEX($P$5:$P$1000,$R263-4),INDEX($P$5:$P$1000,$R263-4))&amp;"."&amp;COUNTIFS($R$5:$R263,$R263,$S$5:$S263,"Sub"))))</f>
        <v/>
      </c>
      <c r="B263" s="62" t="n"/>
      <c r="C263" s="63" t="n"/>
      <c r="D263" s="62" t="n"/>
      <c r="E263" s="64" t="n"/>
      <c r="F263" s="64" t="n"/>
      <c r="G263" s="65" t="n"/>
      <c r="H263" s="66" t="n"/>
      <c r="I263" s="66" t="n"/>
      <c r="J263" s="66" t="n"/>
      <c r="K263" s="66" t="n"/>
      <c r="L263" s="67">
        <f>IF(NOT((COUNTA($B263:$K263)+COUNTA($N263))&gt;0),"",IF(N($T263)&gt;0,$AB263,IFERROR(LOOKUP(2,1/(H263:K263&lt;&gt;""),H263:K263),0)))</f>
        <v/>
      </c>
      <c r="M263" s="61">
        <f>IF(L263="","",IF(L263&gt;=1,"Completado",IF(L263&gt;0,"En curso","Pendiente")))</f>
        <v/>
      </c>
      <c r="N263" s="62" t="n"/>
      <c r="O263" s="68">
        <f>IF(NOT((COUNTA($B263:$K263)+COUNTA($N263))&gt;0),"",IF((IF(AND($S263="Macro",$B263=""),"Macroactividad vacía"&amp;" · ","")&amp;IF(AND($B263&lt;&gt;"",$C263&lt;&gt;""),"Escriba la subactividad en otra fila, debajo de su macroactividad"&amp;" · ","")&amp;IF(AND($S263="Sub",N($R263)=0),"Subactividad sin macroactividad arriba"&amp;" · ","")&amp;IF($D263="","Sin responsable"&amp;" · ","")&amp;IF($E263="","Sin fecha de inicio"&amp;" · ","")&amp;IF($F263="","Sin fecha límite"&amp;" · ","")&amp;IF(OR(AND($E263&lt;&gt;"",NOT(ISNUMBER($E263))),AND($F263&lt;&gt;"",NOT(ISNUMBER($F263)))),"Fecha no válida"&amp;" · ","")&amp;IF(AND(ISNUMBER($E263),ISNUMBER($F263),$E263&gt;$F263),"Inicio posterior a fecha límite"&amp;" · ","")&amp;IF(AND($S263="Macro",$G263=""),"Peso vacío"&amp;" · ","")&amp;IF(AND($S263="Macro",$G263&lt;&gt;"",OR(NOT(ISNUMBER($G263)),$G263&lt;=0,$G263&gt;1)),"Peso fuera de rango"&amp;" · ","")&amp;IF(AND($S263="Sub",$G263&lt;&gt;""),"Las subactividades no llevan peso"&amp;" · ","")&amp;IF(AND($S263="Macro",ABS(SUMIFS($G$5:$G$1000,$P$5:$P$1000,$P263,$S$5:$S$1000,"Macro")-1)&gt;0.0001),"Pesos del mes suman "&amp;TEXT(SUMIFS($G$5:$G$1000,$P$5:$P$1000,$P263,$S$5:$S$1000,"Macro"),"0%")&amp;" · ","")&amp;IF(AND(N($T263)&gt;0,COUNT($H263:$K263)&gt;0),"Con subactividades: deje vacías las semanas (se calculan solas)"&amp;" · ","")&amp;IF((COUNTIF($H263:$K263,"&gt;1")+COUNTIF($H263:$K263,"&lt;0")+COUNTA($H263:$K263)-COUNT($H263:$K263))&gt;0,"Avance fuera de rango 0-100%"&amp;" · ","")&amp;IF(OR(AND($I263&lt;&gt;"",$I263&lt;$H263),AND($J263&lt;&gt;"",$J263&lt;MAX($H263:$I263)),AND($K263&lt;&gt;"",$K263&lt;MAX($H263:$J263))),"Avance semanal decreciente"&amp;" · ","")&amp;IF(AND(ISNUMBER($F263),$F263&lt;FechaRef,N($L263)&lt;1),"Vencida"&amp;" · ","")&amp;IF(AND(ObsObligatoria="Sí",ISNUMBER($F263),$F263&lt;FechaRef,N($L263)&lt;1,$N263=""),"Vencida sin observación"&amp;" · ",""))="","✔ OK","⚠ "&amp;LEFT(IF(AND($S263="Macro",$B263=""),"Macroactividad vacía"&amp;" · ","")&amp;IF(AND($B263&lt;&gt;"",$C263&lt;&gt;""),"Escriba la subactividad en otra fila, debajo de su macroactividad"&amp;" · ","")&amp;IF(AND($S263="Sub",N($R263)=0),"Subactividad sin macroactividad arriba"&amp;" · ","")&amp;IF($D263="","Sin responsable"&amp;" · ","")&amp;IF($E263="","Sin fecha de inicio"&amp;" · ","")&amp;IF($F263="","Sin fecha límite"&amp;" · ","")&amp;IF(OR(AND($E263&lt;&gt;"",NOT(ISNUMBER($E263))),AND($F263&lt;&gt;"",NOT(ISNUMBER($F263)))),"Fecha no válida"&amp;" · ","")&amp;IF(AND(ISNUMBER($E263),ISNUMBER($F263),$E263&gt;$F263),"Inicio posterior a fecha límite"&amp;" · ","")&amp;IF(AND($S263="Macro",$G263=""),"Peso vacío"&amp;" · ","")&amp;IF(AND($S263="Macro",$G263&lt;&gt;"",OR(NOT(ISNUMBER($G263)),$G263&lt;=0,$G263&gt;1)),"Peso fuera de rango"&amp;" · ","")&amp;IF(AND($S263="Sub",$G263&lt;&gt;""),"Las subactividades no llevan peso"&amp;" · ","")&amp;IF(AND($S263="Macro",ABS(SUMIFS($G$5:$G$1000,$P$5:$P$1000,$P263,$S$5:$S$1000,"Macro")-1)&gt;0.0001),"Pesos del mes suman "&amp;TEXT(SUMIFS($G$5:$G$1000,$P$5:$P$1000,$P263,$S$5:$S$1000,"Macro"),"0%")&amp;" · ","")&amp;IF(AND(N($T263)&gt;0,COUNT($H263:$K263)&gt;0),"Con subactividades: deje vacías las semanas (se calculan solas)"&amp;" · ","")&amp;IF((COUNTIF($H263:$K263,"&gt;1")+COUNTIF($H263:$K263,"&lt;0")+COUNTA($H263:$K263)-COUNT($H263:$K263))&gt;0,"Avance fuera de rango 0-100%"&amp;" · ","")&amp;IF(OR(AND($I263&lt;&gt;"",$I263&lt;$H263),AND($J263&lt;&gt;"",$J263&lt;MAX($H263:$I263)),AND($K263&lt;&gt;"",$K263&lt;MAX($H263:$J263))),"Avance semanal decreciente"&amp;" · ","")&amp;IF(AND(ISNUMBER($F263),$F263&lt;FechaRef,N($L263)&lt;1),"Vencida"&amp;" · ","")&amp;IF(AND(ObsObligatoria="Sí",ISNUMBER($F263),$F263&lt;FechaRef,N($L263)&lt;1,$N263=""),"Vencida sin observación"&amp;" · ",""),LEN(IF(AND($S263="Macro",$B263=""),"Macroactividad vacía"&amp;" · ","")&amp;IF(AND($B263&lt;&gt;"",$C263&lt;&gt;""),"Escriba la subactividad en otra fila, debajo de su macroactividad"&amp;" · ","")&amp;IF(AND($S263="Sub",N($R263)=0),"Subactividad sin macroactividad arriba"&amp;" · ","")&amp;IF($D263="","Sin responsable"&amp;" · ","")&amp;IF($E263="","Sin fecha de inicio"&amp;" · ","")&amp;IF($F263="","Sin fecha límite"&amp;" · ","")&amp;IF(OR(AND($E263&lt;&gt;"",NOT(ISNUMBER($E263))),AND($F263&lt;&gt;"",NOT(ISNUMBER($F263)))),"Fecha no válida"&amp;" · ","")&amp;IF(AND(ISNUMBER($E263),ISNUMBER($F263),$E263&gt;$F263),"Inicio posterior a fecha límite"&amp;" · ","")&amp;IF(AND($S263="Macro",$G263=""),"Peso vacío"&amp;" · ","")&amp;IF(AND($S263="Macro",$G263&lt;&gt;"",OR(NOT(ISNUMBER($G263)),$G263&lt;=0,$G263&gt;1)),"Peso fuera de rango"&amp;" · ","")&amp;IF(AND($S263="Sub",$G263&lt;&gt;""),"Las subactividades no llevan peso"&amp;" · ","")&amp;IF(AND($S263="Macro",ABS(SUMIFS($G$5:$G$1000,$P$5:$P$1000,$P263,$S$5:$S$1000,"Macro")-1)&gt;0.0001),"Pesos del mes suman "&amp;TEXT(SUMIFS($G$5:$G$1000,$P$5:$P$1000,$P263,$S$5:$S$1000,"Macro"),"0%")&amp;" · ","")&amp;IF(AND(N($T263)&gt;0,COUNT($H263:$K263)&gt;0),"Con subactividades: deje vacías las semanas (se calculan solas)"&amp;" · ","")&amp;IF((COUNTIF($H263:$K263,"&gt;1")+COUNTIF($H263:$K263,"&lt;0")+COUNTA($H263:$K263)-COUNT($H263:$K263))&gt;0,"Avance fuera de rango 0-100%"&amp;" · ","")&amp;IF(OR(AND($I263&lt;&gt;"",$I263&lt;$H263),AND($J263&lt;&gt;"",$J263&lt;MAX($H263:$I263)),AND($K263&lt;&gt;"",$K263&lt;MAX($H263:$J263))),"Avance semanal decreciente"&amp;" · ","")&amp;IF(AND(ISNUMBER($F263),$F263&lt;FechaRef,N($L263)&lt;1),"Vencida"&amp;" · ","")&amp;IF(AND(ObsObligatoria="Sí",ISNUMBER($F263),$F263&lt;FechaRef,N($L263)&lt;1,$N263=""),"Vencida sin observación"&amp;" · ",""))-3)))</f>
        <v/>
      </c>
      <c r="P263" s="69">
        <f>IF(NOT((COUNTA($B263:$K263)+COUNTA($N263))&gt;0),"",IF(AND($S263="Sub",N($R263)&gt;0),IF(ISNUMBER(INDEX($E$5:$E$1000,$R263-4)),DATE(YEAR(INDEX($E$5:$E$1000,$R263-4)),MONTH(INDEX($E$5:$E$1000,$R263-4)),1),IF(ISNUMBER(INDEX($F$5:$F$1000,$R263-4)),DATE(YEAR(INDEX($F$5:$F$1000,$R263-4)),MONTH(INDEX($F$5:$F$1000,$R263-4)),1),MesCiclo)),IF(ISNUMBER($E263),DATE(YEAR($E263),MONTH($E263),1),IF(ISNUMBER($F263),DATE(YEAR($F263),MONTH($F263),1),MesCiclo))))</f>
        <v/>
      </c>
      <c r="Q263" s="70">
        <f>IF(OR($P263="",$P263&lt;&gt;MesCiclo),"",COUNTIF($P$5:$P263,MesCiclo))</f>
        <v/>
      </c>
      <c r="R263" s="70">
        <f>IF($S263="","",IF($S263="Macro",ROW(),IFERROR(LOOKUP(2,1/($S$5:$S263="Macro"),ROW($S$5:$S263)),0)))</f>
        <v/>
      </c>
      <c r="S263" s="70">
        <f>IF(NOT((COUNTA($B263:$K263)+COUNTA($N263))&gt;0),"",IF($B263&lt;&gt;"","Macro",IF($C263&lt;&gt;"","Sub","Macro")))</f>
        <v/>
      </c>
      <c r="T263" s="70">
        <f>IF($S263="Macro",COUNTIFS($R$5:$R$1000,ROW(),$S$5:$S$1000,"Sub"),"")</f>
        <v/>
      </c>
      <c r="U263" s="70">
        <f>IF($S263="","",IF(ISNUMBER($H263),$H263,0))</f>
        <v/>
      </c>
      <c r="V263" s="70">
        <f>IF($S263="","",IF(ISNUMBER($I263),$I263,$U263))</f>
        <v/>
      </c>
      <c r="W263" s="70">
        <f>IF($S263="","",IF(ISNUMBER($J263),$J263,$V263))</f>
        <v/>
      </c>
      <c r="X263" s="70">
        <f>IF($S263="","",IF(ISNUMBER($K263),$K263,$W263))</f>
        <v/>
      </c>
      <c r="Y263" s="70">
        <f>IF($S263="","",IF(N($T263)&gt;0,AVERAGEIFS($U$5:$U$1000,$R$5:$R$1000,ROW(),$S$5:$S$1000,"Sub"),$U263))</f>
        <v/>
      </c>
      <c r="Z263" s="70">
        <f>IF($S263="","",IF(N($T263)&gt;0,AVERAGEIFS($V$5:$V$1000,$R$5:$R$1000,ROW(),$S$5:$S$1000,"Sub"),$V263))</f>
        <v/>
      </c>
      <c r="AA263" s="70">
        <f>IF($S263="","",IF(N($T263)&gt;0,AVERAGEIFS($W$5:$W$1000,$R$5:$R$1000,ROW(),$S$5:$S$1000,"Sub"),$W263))</f>
        <v/>
      </c>
      <c r="AB263" s="70">
        <f>IF($S263="","",IF(N($T263)&gt;0,AVERAGEIFS($X$5:$X$1000,$R$5:$R$1000,ROW(),$S$5:$S$1000,"Sub"),$X263))</f>
        <v/>
      </c>
    </row>
    <row r="264">
      <c r="A264" s="61">
        <f>IF(NOT((COUNTA($B264:$K264)+COUNTA($N264))&gt;0),"",IF($S264="Macro",COUNTIFS($S$5:$S264,"Macro",$P$5:$P264,$P264),IF(N($R264)=0,"?",COUNTIFS(INDEX($S$5:$S$1000,1):INDEX($S$5:$S$1000,$R264-4),"Macro",INDEX($P$5:$P$1000,1):INDEX($P$5:$P$1000,$R264-4),INDEX($P$5:$P$1000,$R264-4))&amp;"."&amp;COUNTIFS($R$5:$R264,$R264,$S$5:$S264,"Sub"))))</f>
        <v/>
      </c>
      <c r="B264" s="62" t="n"/>
      <c r="C264" s="63" t="n"/>
      <c r="D264" s="62" t="n"/>
      <c r="E264" s="64" t="n"/>
      <c r="F264" s="64" t="n"/>
      <c r="G264" s="65" t="n"/>
      <c r="H264" s="66" t="n"/>
      <c r="I264" s="66" t="n"/>
      <c r="J264" s="66" t="n"/>
      <c r="K264" s="66" t="n"/>
      <c r="L264" s="67">
        <f>IF(NOT((COUNTA($B264:$K264)+COUNTA($N264))&gt;0),"",IF(N($T264)&gt;0,$AB264,IFERROR(LOOKUP(2,1/(H264:K264&lt;&gt;""),H264:K264),0)))</f>
        <v/>
      </c>
      <c r="M264" s="61">
        <f>IF(L264="","",IF(L264&gt;=1,"Completado",IF(L264&gt;0,"En curso","Pendiente")))</f>
        <v/>
      </c>
      <c r="N264" s="62" t="n"/>
      <c r="O264" s="68">
        <f>IF(NOT((COUNTA($B264:$K264)+COUNTA($N264))&gt;0),"",IF((IF(AND($S264="Macro",$B264=""),"Macroactividad vacía"&amp;" · ","")&amp;IF(AND($B264&lt;&gt;"",$C264&lt;&gt;""),"Escriba la subactividad en otra fila, debajo de su macroactividad"&amp;" · ","")&amp;IF(AND($S264="Sub",N($R264)=0),"Subactividad sin macroactividad arriba"&amp;" · ","")&amp;IF($D264="","Sin responsable"&amp;" · ","")&amp;IF($E264="","Sin fecha de inicio"&amp;" · ","")&amp;IF($F264="","Sin fecha límite"&amp;" · ","")&amp;IF(OR(AND($E264&lt;&gt;"",NOT(ISNUMBER($E264))),AND($F264&lt;&gt;"",NOT(ISNUMBER($F264)))),"Fecha no válida"&amp;" · ","")&amp;IF(AND(ISNUMBER($E264),ISNUMBER($F264),$E264&gt;$F264),"Inicio posterior a fecha límite"&amp;" · ","")&amp;IF(AND($S264="Macro",$G264=""),"Peso vacío"&amp;" · ","")&amp;IF(AND($S264="Macro",$G264&lt;&gt;"",OR(NOT(ISNUMBER($G264)),$G264&lt;=0,$G264&gt;1)),"Peso fuera de rango"&amp;" · ","")&amp;IF(AND($S264="Sub",$G264&lt;&gt;""),"Las subactividades no llevan peso"&amp;" · ","")&amp;IF(AND($S264="Macro",ABS(SUMIFS($G$5:$G$1000,$P$5:$P$1000,$P264,$S$5:$S$1000,"Macro")-1)&gt;0.0001),"Pesos del mes suman "&amp;TEXT(SUMIFS($G$5:$G$1000,$P$5:$P$1000,$P264,$S$5:$S$1000,"Macro"),"0%")&amp;" · ","")&amp;IF(AND(N($T264)&gt;0,COUNT($H264:$K264)&gt;0),"Con subactividades: deje vacías las semanas (se calculan solas)"&amp;" · ","")&amp;IF((COUNTIF($H264:$K264,"&gt;1")+COUNTIF($H264:$K264,"&lt;0")+COUNTA($H264:$K264)-COUNT($H264:$K264))&gt;0,"Avance fuera de rango 0-100%"&amp;" · ","")&amp;IF(OR(AND($I264&lt;&gt;"",$I264&lt;$H264),AND($J264&lt;&gt;"",$J264&lt;MAX($H264:$I264)),AND($K264&lt;&gt;"",$K264&lt;MAX($H264:$J264))),"Avance semanal decreciente"&amp;" · ","")&amp;IF(AND(ISNUMBER($F264),$F264&lt;FechaRef,N($L264)&lt;1),"Vencida"&amp;" · ","")&amp;IF(AND(ObsObligatoria="Sí",ISNUMBER($F264),$F264&lt;FechaRef,N($L264)&lt;1,$N264=""),"Vencida sin observación"&amp;" · ",""))="","✔ OK","⚠ "&amp;LEFT(IF(AND($S264="Macro",$B264=""),"Macroactividad vacía"&amp;" · ","")&amp;IF(AND($B264&lt;&gt;"",$C264&lt;&gt;""),"Escriba la subactividad en otra fila, debajo de su macroactividad"&amp;" · ","")&amp;IF(AND($S264="Sub",N($R264)=0),"Subactividad sin macroactividad arriba"&amp;" · ","")&amp;IF($D264="","Sin responsable"&amp;" · ","")&amp;IF($E264="","Sin fecha de inicio"&amp;" · ","")&amp;IF($F264="","Sin fecha límite"&amp;" · ","")&amp;IF(OR(AND($E264&lt;&gt;"",NOT(ISNUMBER($E264))),AND($F264&lt;&gt;"",NOT(ISNUMBER($F264)))),"Fecha no válida"&amp;" · ","")&amp;IF(AND(ISNUMBER($E264),ISNUMBER($F264),$E264&gt;$F264),"Inicio posterior a fecha límite"&amp;" · ","")&amp;IF(AND($S264="Macro",$G264=""),"Peso vacío"&amp;" · ","")&amp;IF(AND($S264="Macro",$G264&lt;&gt;"",OR(NOT(ISNUMBER($G264)),$G264&lt;=0,$G264&gt;1)),"Peso fuera de rango"&amp;" · ","")&amp;IF(AND($S264="Sub",$G264&lt;&gt;""),"Las subactividades no llevan peso"&amp;" · ","")&amp;IF(AND($S264="Macro",ABS(SUMIFS($G$5:$G$1000,$P$5:$P$1000,$P264,$S$5:$S$1000,"Macro")-1)&gt;0.0001),"Pesos del mes suman "&amp;TEXT(SUMIFS($G$5:$G$1000,$P$5:$P$1000,$P264,$S$5:$S$1000,"Macro"),"0%")&amp;" · ","")&amp;IF(AND(N($T264)&gt;0,COUNT($H264:$K264)&gt;0),"Con subactividades: deje vacías las semanas (se calculan solas)"&amp;" · ","")&amp;IF((COUNTIF($H264:$K264,"&gt;1")+COUNTIF($H264:$K264,"&lt;0")+COUNTA($H264:$K264)-COUNT($H264:$K264))&gt;0,"Avance fuera de rango 0-100%"&amp;" · ","")&amp;IF(OR(AND($I264&lt;&gt;"",$I264&lt;$H264),AND($J264&lt;&gt;"",$J264&lt;MAX($H264:$I264)),AND($K264&lt;&gt;"",$K264&lt;MAX($H264:$J264))),"Avance semanal decreciente"&amp;" · ","")&amp;IF(AND(ISNUMBER($F264),$F264&lt;FechaRef,N($L264)&lt;1),"Vencida"&amp;" · ","")&amp;IF(AND(ObsObligatoria="Sí",ISNUMBER($F264),$F264&lt;FechaRef,N($L264)&lt;1,$N264=""),"Vencida sin observación"&amp;" · ",""),LEN(IF(AND($S264="Macro",$B264=""),"Macroactividad vacía"&amp;" · ","")&amp;IF(AND($B264&lt;&gt;"",$C264&lt;&gt;""),"Escriba la subactividad en otra fila, debajo de su macroactividad"&amp;" · ","")&amp;IF(AND($S264="Sub",N($R264)=0),"Subactividad sin macroactividad arriba"&amp;" · ","")&amp;IF($D264="","Sin responsable"&amp;" · ","")&amp;IF($E264="","Sin fecha de inicio"&amp;" · ","")&amp;IF($F264="","Sin fecha límite"&amp;" · ","")&amp;IF(OR(AND($E264&lt;&gt;"",NOT(ISNUMBER($E264))),AND($F264&lt;&gt;"",NOT(ISNUMBER($F264)))),"Fecha no válida"&amp;" · ","")&amp;IF(AND(ISNUMBER($E264),ISNUMBER($F264),$E264&gt;$F264),"Inicio posterior a fecha límite"&amp;" · ","")&amp;IF(AND($S264="Macro",$G264=""),"Peso vacío"&amp;" · ","")&amp;IF(AND($S264="Macro",$G264&lt;&gt;"",OR(NOT(ISNUMBER($G264)),$G264&lt;=0,$G264&gt;1)),"Peso fuera de rango"&amp;" · ","")&amp;IF(AND($S264="Sub",$G264&lt;&gt;""),"Las subactividades no llevan peso"&amp;" · ","")&amp;IF(AND($S264="Macro",ABS(SUMIFS($G$5:$G$1000,$P$5:$P$1000,$P264,$S$5:$S$1000,"Macro")-1)&gt;0.0001),"Pesos del mes suman "&amp;TEXT(SUMIFS($G$5:$G$1000,$P$5:$P$1000,$P264,$S$5:$S$1000,"Macro"),"0%")&amp;" · ","")&amp;IF(AND(N($T264)&gt;0,COUNT($H264:$K264)&gt;0),"Con subactividades: deje vacías las semanas (se calculan solas)"&amp;" · ","")&amp;IF((COUNTIF($H264:$K264,"&gt;1")+COUNTIF($H264:$K264,"&lt;0")+COUNTA($H264:$K264)-COUNT($H264:$K264))&gt;0,"Avance fuera de rango 0-100%"&amp;" · ","")&amp;IF(OR(AND($I264&lt;&gt;"",$I264&lt;$H264),AND($J264&lt;&gt;"",$J264&lt;MAX($H264:$I264)),AND($K264&lt;&gt;"",$K264&lt;MAX($H264:$J264))),"Avance semanal decreciente"&amp;" · ","")&amp;IF(AND(ISNUMBER($F264),$F264&lt;FechaRef,N($L264)&lt;1),"Vencida"&amp;" · ","")&amp;IF(AND(ObsObligatoria="Sí",ISNUMBER($F264),$F264&lt;FechaRef,N($L264)&lt;1,$N264=""),"Vencida sin observación"&amp;" · ",""))-3)))</f>
        <v/>
      </c>
      <c r="P264" s="69">
        <f>IF(NOT((COUNTA($B264:$K264)+COUNTA($N264))&gt;0),"",IF(AND($S264="Sub",N($R264)&gt;0),IF(ISNUMBER(INDEX($E$5:$E$1000,$R264-4)),DATE(YEAR(INDEX($E$5:$E$1000,$R264-4)),MONTH(INDEX($E$5:$E$1000,$R264-4)),1),IF(ISNUMBER(INDEX($F$5:$F$1000,$R264-4)),DATE(YEAR(INDEX($F$5:$F$1000,$R264-4)),MONTH(INDEX($F$5:$F$1000,$R264-4)),1),MesCiclo)),IF(ISNUMBER($E264),DATE(YEAR($E264),MONTH($E264),1),IF(ISNUMBER($F264),DATE(YEAR($F264),MONTH($F264),1),MesCiclo))))</f>
        <v/>
      </c>
      <c r="Q264" s="70">
        <f>IF(OR($P264="",$P264&lt;&gt;MesCiclo),"",COUNTIF($P$5:$P264,MesCiclo))</f>
        <v/>
      </c>
      <c r="R264" s="70">
        <f>IF($S264="","",IF($S264="Macro",ROW(),IFERROR(LOOKUP(2,1/($S$5:$S264="Macro"),ROW($S$5:$S264)),0)))</f>
        <v/>
      </c>
      <c r="S264" s="70">
        <f>IF(NOT((COUNTA($B264:$K264)+COUNTA($N264))&gt;0),"",IF($B264&lt;&gt;"","Macro",IF($C264&lt;&gt;"","Sub","Macro")))</f>
        <v/>
      </c>
      <c r="T264" s="70">
        <f>IF($S264="Macro",COUNTIFS($R$5:$R$1000,ROW(),$S$5:$S$1000,"Sub"),"")</f>
        <v/>
      </c>
      <c r="U264" s="70">
        <f>IF($S264="","",IF(ISNUMBER($H264),$H264,0))</f>
        <v/>
      </c>
      <c r="V264" s="70">
        <f>IF($S264="","",IF(ISNUMBER($I264),$I264,$U264))</f>
        <v/>
      </c>
      <c r="W264" s="70">
        <f>IF($S264="","",IF(ISNUMBER($J264),$J264,$V264))</f>
        <v/>
      </c>
      <c r="X264" s="70">
        <f>IF($S264="","",IF(ISNUMBER($K264),$K264,$W264))</f>
        <v/>
      </c>
      <c r="Y264" s="70">
        <f>IF($S264="","",IF(N($T264)&gt;0,AVERAGEIFS($U$5:$U$1000,$R$5:$R$1000,ROW(),$S$5:$S$1000,"Sub"),$U264))</f>
        <v/>
      </c>
      <c r="Z264" s="70">
        <f>IF($S264="","",IF(N($T264)&gt;0,AVERAGEIFS($V$5:$V$1000,$R$5:$R$1000,ROW(),$S$5:$S$1000,"Sub"),$V264))</f>
        <v/>
      </c>
      <c r="AA264" s="70">
        <f>IF($S264="","",IF(N($T264)&gt;0,AVERAGEIFS($W$5:$W$1000,$R$5:$R$1000,ROW(),$S$5:$S$1000,"Sub"),$W264))</f>
        <v/>
      </c>
      <c r="AB264" s="70">
        <f>IF($S264="","",IF(N($T264)&gt;0,AVERAGEIFS($X$5:$X$1000,$R$5:$R$1000,ROW(),$S$5:$S$1000,"Sub"),$X264))</f>
        <v/>
      </c>
    </row>
    <row r="265">
      <c r="A265" s="61">
        <f>IF(NOT((COUNTA($B265:$K265)+COUNTA($N265))&gt;0),"",IF($S265="Macro",COUNTIFS($S$5:$S265,"Macro",$P$5:$P265,$P265),IF(N($R265)=0,"?",COUNTIFS(INDEX($S$5:$S$1000,1):INDEX($S$5:$S$1000,$R265-4),"Macro",INDEX($P$5:$P$1000,1):INDEX($P$5:$P$1000,$R265-4),INDEX($P$5:$P$1000,$R265-4))&amp;"."&amp;COUNTIFS($R$5:$R265,$R265,$S$5:$S265,"Sub"))))</f>
        <v/>
      </c>
      <c r="B265" s="62" t="n"/>
      <c r="C265" s="63" t="n"/>
      <c r="D265" s="62" t="n"/>
      <c r="E265" s="64" t="n"/>
      <c r="F265" s="64" t="n"/>
      <c r="G265" s="65" t="n"/>
      <c r="H265" s="66" t="n"/>
      <c r="I265" s="66" t="n"/>
      <c r="J265" s="66" t="n"/>
      <c r="K265" s="66" t="n"/>
      <c r="L265" s="67">
        <f>IF(NOT((COUNTA($B265:$K265)+COUNTA($N265))&gt;0),"",IF(N($T265)&gt;0,$AB265,IFERROR(LOOKUP(2,1/(H265:K265&lt;&gt;""),H265:K265),0)))</f>
        <v/>
      </c>
      <c r="M265" s="61">
        <f>IF(L265="","",IF(L265&gt;=1,"Completado",IF(L265&gt;0,"En curso","Pendiente")))</f>
        <v/>
      </c>
      <c r="N265" s="62" t="n"/>
      <c r="O265" s="68">
        <f>IF(NOT((COUNTA($B265:$K265)+COUNTA($N265))&gt;0),"",IF((IF(AND($S265="Macro",$B265=""),"Macroactividad vacía"&amp;" · ","")&amp;IF(AND($B265&lt;&gt;"",$C265&lt;&gt;""),"Escriba la subactividad en otra fila, debajo de su macroactividad"&amp;" · ","")&amp;IF(AND($S265="Sub",N($R265)=0),"Subactividad sin macroactividad arriba"&amp;" · ","")&amp;IF($D265="","Sin responsable"&amp;" · ","")&amp;IF($E265="","Sin fecha de inicio"&amp;" · ","")&amp;IF($F265="","Sin fecha límite"&amp;" · ","")&amp;IF(OR(AND($E265&lt;&gt;"",NOT(ISNUMBER($E265))),AND($F265&lt;&gt;"",NOT(ISNUMBER($F265)))),"Fecha no válida"&amp;" · ","")&amp;IF(AND(ISNUMBER($E265),ISNUMBER($F265),$E265&gt;$F265),"Inicio posterior a fecha límite"&amp;" · ","")&amp;IF(AND($S265="Macro",$G265=""),"Peso vacío"&amp;" · ","")&amp;IF(AND($S265="Macro",$G265&lt;&gt;"",OR(NOT(ISNUMBER($G265)),$G265&lt;=0,$G265&gt;1)),"Peso fuera de rango"&amp;" · ","")&amp;IF(AND($S265="Sub",$G265&lt;&gt;""),"Las subactividades no llevan peso"&amp;" · ","")&amp;IF(AND($S265="Macro",ABS(SUMIFS($G$5:$G$1000,$P$5:$P$1000,$P265,$S$5:$S$1000,"Macro")-1)&gt;0.0001),"Pesos del mes suman "&amp;TEXT(SUMIFS($G$5:$G$1000,$P$5:$P$1000,$P265,$S$5:$S$1000,"Macro"),"0%")&amp;" · ","")&amp;IF(AND(N($T265)&gt;0,COUNT($H265:$K265)&gt;0),"Con subactividades: deje vacías las semanas (se calculan solas)"&amp;" · ","")&amp;IF((COUNTIF($H265:$K265,"&gt;1")+COUNTIF($H265:$K265,"&lt;0")+COUNTA($H265:$K265)-COUNT($H265:$K265))&gt;0,"Avance fuera de rango 0-100%"&amp;" · ","")&amp;IF(OR(AND($I265&lt;&gt;"",$I265&lt;$H265),AND($J265&lt;&gt;"",$J265&lt;MAX($H265:$I265)),AND($K265&lt;&gt;"",$K265&lt;MAX($H265:$J265))),"Avance semanal decreciente"&amp;" · ","")&amp;IF(AND(ISNUMBER($F265),$F265&lt;FechaRef,N($L265)&lt;1),"Vencida"&amp;" · ","")&amp;IF(AND(ObsObligatoria="Sí",ISNUMBER($F265),$F265&lt;FechaRef,N($L265)&lt;1,$N265=""),"Vencida sin observación"&amp;" · ",""))="","✔ OK","⚠ "&amp;LEFT(IF(AND($S265="Macro",$B265=""),"Macroactividad vacía"&amp;" · ","")&amp;IF(AND($B265&lt;&gt;"",$C265&lt;&gt;""),"Escriba la subactividad en otra fila, debajo de su macroactividad"&amp;" · ","")&amp;IF(AND($S265="Sub",N($R265)=0),"Subactividad sin macroactividad arriba"&amp;" · ","")&amp;IF($D265="","Sin responsable"&amp;" · ","")&amp;IF($E265="","Sin fecha de inicio"&amp;" · ","")&amp;IF($F265="","Sin fecha límite"&amp;" · ","")&amp;IF(OR(AND($E265&lt;&gt;"",NOT(ISNUMBER($E265))),AND($F265&lt;&gt;"",NOT(ISNUMBER($F265)))),"Fecha no válida"&amp;" · ","")&amp;IF(AND(ISNUMBER($E265),ISNUMBER($F265),$E265&gt;$F265),"Inicio posterior a fecha límite"&amp;" · ","")&amp;IF(AND($S265="Macro",$G265=""),"Peso vacío"&amp;" · ","")&amp;IF(AND($S265="Macro",$G265&lt;&gt;"",OR(NOT(ISNUMBER($G265)),$G265&lt;=0,$G265&gt;1)),"Peso fuera de rango"&amp;" · ","")&amp;IF(AND($S265="Sub",$G265&lt;&gt;""),"Las subactividades no llevan peso"&amp;" · ","")&amp;IF(AND($S265="Macro",ABS(SUMIFS($G$5:$G$1000,$P$5:$P$1000,$P265,$S$5:$S$1000,"Macro")-1)&gt;0.0001),"Pesos del mes suman "&amp;TEXT(SUMIFS($G$5:$G$1000,$P$5:$P$1000,$P265,$S$5:$S$1000,"Macro"),"0%")&amp;" · ","")&amp;IF(AND(N($T265)&gt;0,COUNT($H265:$K265)&gt;0),"Con subactividades: deje vacías las semanas (se calculan solas)"&amp;" · ","")&amp;IF((COUNTIF($H265:$K265,"&gt;1")+COUNTIF($H265:$K265,"&lt;0")+COUNTA($H265:$K265)-COUNT($H265:$K265))&gt;0,"Avance fuera de rango 0-100%"&amp;" · ","")&amp;IF(OR(AND($I265&lt;&gt;"",$I265&lt;$H265),AND($J265&lt;&gt;"",$J265&lt;MAX($H265:$I265)),AND($K265&lt;&gt;"",$K265&lt;MAX($H265:$J265))),"Avance semanal decreciente"&amp;" · ","")&amp;IF(AND(ISNUMBER($F265),$F265&lt;FechaRef,N($L265)&lt;1),"Vencida"&amp;" · ","")&amp;IF(AND(ObsObligatoria="Sí",ISNUMBER($F265),$F265&lt;FechaRef,N($L265)&lt;1,$N265=""),"Vencida sin observación"&amp;" · ",""),LEN(IF(AND($S265="Macro",$B265=""),"Macroactividad vacía"&amp;" · ","")&amp;IF(AND($B265&lt;&gt;"",$C265&lt;&gt;""),"Escriba la subactividad en otra fila, debajo de su macroactividad"&amp;" · ","")&amp;IF(AND($S265="Sub",N($R265)=0),"Subactividad sin macroactividad arriba"&amp;" · ","")&amp;IF($D265="","Sin responsable"&amp;" · ","")&amp;IF($E265="","Sin fecha de inicio"&amp;" · ","")&amp;IF($F265="","Sin fecha límite"&amp;" · ","")&amp;IF(OR(AND($E265&lt;&gt;"",NOT(ISNUMBER($E265))),AND($F265&lt;&gt;"",NOT(ISNUMBER($F265)))),"Fecha no válida"&amp;" · ","")&amp;IF(AND(ISNUMBER($E265),ISNUMBER($F265),$E265&gt;$F265),"Inicio posterior a fecha límite"&amp;" · ","")&amp;IF(AND($S265="Macro",$G265=""),"Peso vacío"&amp;" · ","")&amp;IF(AND($S265="Macro",$G265&lt;&gt;"",OR(NOT(ISNUMBER($G265)),$G265&lt;=0,$G265&gt;1)),"Peso fuera de rango"&amp;" · ","")&amp;IF(AND($S265="Sub",$G265&lt;&gt;""),"Las subactividades no llevan peso"&amp;" · ","")&amp;IF(AND($S265="Macro",ABS(SUMIFS($G$5:$G$1000,$P$5:$P$1000,$P265,$S$5:$S$1000,"Macro")-1)&gt;0.0001),"Pesos del mes suman "&amp;TEXT(SUMIFS($G$5:$G$1000,$P$5:$P$1000,$P265,$S$5:$S$1000,"Macro"),"0%")&amp;" · ","")&amp;IF(AND(N($T265)&gt;0,COUNT($H265:$K265)&gt;0),"Con subactividades: deje vacías las semanas (se calculan solas)"&amp;" · ","")&amp;IF((COUNTIF($H265:$K265,"&gt;1")+COUNTIF($H265:$K265,"&lt;0")+COUNTA($H265:$K265)-COUNT($H265:$K265))&gt;0,"Avance fuera de rango 0-100%"&amp;" · ","")&amp;IF(OR(AND($I265&lt;&gt;"",$I265&lt;$H265),AND($J265&lt;&gt;"",$J265&lt;MAX($H265:$I265)),AND($K265&lt;&gt;"",$K265&lt;MAX($H265:$J265))),"Avance semanal decreciente"&amp;" · ","")&amp;IF(AND(ISNUMBER($F265),$F265&lt;FechaRef,N($L265)&lt;1),"Vencida"&amp;" · ","")&amp;IF(AND(ObsObligatoria="Sí",ISNUMBER($F265),$F265&lt;FechaRef,N($L265)&lt;1,$N265=""),"Vencida sin observación"&amp;" · ",""))-3)))</f>
        <v/>
      </c>
      <c r="P265" s="69">
        <f>IF(NOT((COUNTA($B265:$K265)+COUNTA($N265))&gt;0),"",IF(AND($S265="Sub",N($R265)&gt;0),IF(ISNUMBER(INDEX($E$5:$E$1000,$R265-4)),DATE(YEAR(INDEX($E$5:$E$1000,$R265-4)),MONTH(INDEX($E$5:$E$1000,$R265-4)),1),IF(ISNUMBER(INDEX($F$5:$F$1000,$R265-4)),DATE(YEAR(INDEX($F$5:$F$1000,$R265-4)),MONTH(INDEX($F$5:$F$1000,$R265-4)),1),MesCiclo)),IF(ISNUMBER($E265),DATE(YEAR($E265),MONTH($E265),1),IF(ISNUMBER($F265),DATE(YEAR($F265),MONTH($F265),1),MesCiclo))))</f>
        <v/>
      </c>
      <c r="Q265" s="70">
        <f>IF(OR($P265="",$P265&lt;&gt;MesCiclo),"",COUNTIF($P$5:$P265,MesCiclo))</f>
        <v/>
      </c>
      <c r="R265" s="70">
        <f>IF($S265="","",IF($S265="Macro",ROW(),IFERROR(LOOKUP(2,1/($S$5:$S265="Macro"),ROW($S$5:$S265)),0)))</f>
        <v/>
      </c>
      <c r="S265" s="70">
        <f>IF(NOT((COUNTA($B265:$K265)+COUNTA($N265))&gt;0),"",IF($B265&lt;&gt;"","Macro",IF($C265&lt;&gt;"","Sub","Macro")))</f>
        <v/>
      </c>
      <c r="T265" s="70">
        <f>IF($S265="Macro",COUNTIFS($R$5:$R$1000,ROW(),$S$5:$S$1000,"Sub"),"")</f>
        <v/>
      </c>
      <c r="U265" s="70">
        <f>IF($S265="","",IF(ISNUMBER($H265),$H265,0))</f>
        <v/>
      </c>
      <c r="V265" s="70">
        <f>IF($S265="","",IF(ISNUMBER($I265),$I265,$U265))</f>
        <v/>
      </c>
      <c r="W265" s="70">
        <f>IF($S265="","",IF(ISNUMBER($J265),$J265,$V265))</f>
        <v/>
      </c>
      <c r="X265" s="70">
        <f>IF($S265="","",IF(ISNUMBER($K265),$K265,$W265))</f>
        <v/>
      </c>
      <c r="Y265" s="70">
        <f>IF($S265="","",IF(N($T265)&gt;0,AVERAGEIFS($U$5:$U$1000,$R$5:$R$1000,ROW(),$S$5:$S$1000,"Sub"),$U265))</f>
        <v/>
      </c>
      <c r="Z265" s="70">
        <f>IF($S265="","",IF(N($T265)&gt;0,AVERAGEIFS($V$5:$V$1000,$R$5:$R$1000,ROW(),$S$5:$S$1000,"Sub"),$V265))</f>
        <v/>
      </c>
      <c r="AA265" s="70">
        <f>IF($S265="","",IF(N($T265)&gt;0,AVERAGEIFS($W$5:$W$1000,$R$5:$R$1000,ROW(),$S$5:$S$1000,"Sub"),$W265))</f>
        <v/>
      </c>
      <c r="AB265" s="70">
        <f>IF($S265="","",IF(N($T265)&gt;0,AVERAGEIFS($X$5:$X$1000,$R$5:$R$1000,ROW(),$S$5:$S$1000,"Sub"),$X265))</f>
        <v/>
      </c>
    </row>
    <row r="266">
      <c r="A266" s="61">
        <f>IF(NOT((COUNTA($B266:$K266)+COUNTA($N266))&gt;0),"",IF($S266="Macro",COUNTIFS($S$5:$S266,"Macro",$P$5:$P266,$P266),IF(N($R266)=0,"?",COUNTIFS(INDEX($S$5:$S$1000,1):INDEX($S$5:$S$1000,$R266-4),"Macro",INDEX($P$5:$P$1000,1):INDEX($P$5:$P$1000,$R266-4),INDEX($P$5:$P$1000,$R266-4))&amp;"."&amp;COUNTIFS($R$5:$R266,$R266,$S$5:$S266,"Sub"))))</f>
        <v/>
      </c>
      <c r="B266" s="62" t="n"/>
      <c r="C266" s="63" t="n"/>
      <c r="D266" s="62" t="n"/>
      <c r="E266" s="64" t="n"/>
      <c r="F266" s="64" t="n"/>
      <c r="G266" s="65" t="n"/>
      <c r="H266" s="66" t="n"/>
      <c r="I266" s="66" t="n"/>
      <c r="J266" s="66" t="n"/>
      <c r="K266" s="66" t="n"/>
      <c r="L266" s="67">
        <f>IF(NOT((COUNTA($B266:$K266)+COUNTA($N266))&gt;0),"",IF(N($T266)&gt;0,$AB266,IFERROR(LOOKUP(2,1/(H266:K266&lt;&gt;""),H266:K266),0)))</f>
        <v/>
      </c>
      <c r="M266" s="61">
        <f>IF(L266="","",IF(L266&gt;=1,"Completado",IF(L266&gt;0,"En curso","Pendiente")))</f>
        <v/>
      </c>
      <c r="N266" s="62" t="n"/>
      <c r="O266" s="68">
        <f>IF(NOT((COUNTA($B266:$K266)+COUNTA($N266))&gt;0),"",IF((IF(AND($S266="Macro",$B266=""),"Macroactividad vacía"&amp;" · ","")&amp;IF(AND($B266&lt;&gt;"",$C266&lt;&gt;""),"Escriba la subactividad en otra fila, debajo de su macroactividad"&amp;" · ","")&amp;IF(AND($S266="Sub",N($R266)=0),"Subactividad sin macroactividad arriba"&amp;" · ","")&amp;IF($D266="","Sin responsable"&amp;" · ","")&amp;IF($E266="","Sin fecha de inicio"&amp;" · ","")&amp;IF($F266="","Sin fecha límite"&amp;" · ","")&amp;IF(OR(AND($E266&lt;&gt;"",NOT(ISNUMBER($E266))),AND($F266&lt;&gt;"",NOT(ISNUMBER($F266)))),"Fecha no válida"&amp;" · ","")&amp;IF(AND(ISNUMBER($E266),ISNUMBER($F266),$E266&gt;$F266),"Inicio posterior a fecha límite"&amp;" · ","")&amp;IF(AND($S266="Macro",$G266=""),"Peso vacío"&amp;" · ","")&amp;IF(AND($S266="Macro",$G266&lt;&gt;"",OR(NOT(ISNUMBER($G266)),$G266&lt;=0,$G266&gt;1)),"Peso fuera de rango"&amp;" · ","")&amp;IF(AND($S266="Sub",$G266&lt;&gt;""),"Las subactividades no llevan peso"&amp;" · ","")&amp;IF(AND($S266="Macro",ABS(SUMIFS($G$5:$G$1000,$P$5:$P$1000,$P266,$S$5:$S$1000,"Macro")-1)&gt;0.0001),"Pesos del mes suman "&amp;TEXT(SUMIFS($G$5:$G$1000,$P$5:$P$1000,$P266,$S$5:$S$1000,"Macro"),"0%")&amp;" · ","")&amp;IF(AND(N($T266)&gt;0,COUNT($H266:$K266)&gt;0),"Con subactividades: deje vacías las semanas (se calculan solas)"&amp;" · ","")&amp;IF((COUNTIF($H266:$K266,"&gt;1")+COUNTIF($H266:$K266,"&lt;0")+COUNTA($H266:$K266)-COUNT($H266:$K266))&gt;0,"Avance fuera de rango 0-100%"&amp;" · ","")&amp;IF(OR(AND($I266&lt;&gt;"",$I266&lt;$H266),AND($J266&lt;&gt;"",$J266&lt;MAX($H266:$I266)),AND($K266&lt;&gt;"",$K266&lt;MAX($H266:$J266))),"Avance semanal decreciente"&amp;" · ","")&amp;IF(AND(ISNUMBER($F266),$F266&lt;FechaRef,N($L266)&lt;1),"Vencida"&amp;" · ","")&amp;IF(AND(ObsObligatoria="Sí",ISNUMBER($F266),$F266&lt;FechaRef,N($L266)&lt;1,$N266=""),"Vencida sin observación"&amp;" · ",""))="","✔ OK","⚠ "&amp;LEFT(IF(AND($S266="Macro",$B266=""),"Macroactividad vacía"&amp;" · ","")&amp;IF(AND($B266&lt;&gt;"",$C266&lt;&gt;""),"Escriba la subactividad en otra fila, debajo de su macroactividad"&amp;" · ","")&amp;IF(AND($S266="Sub",N($R266)=0),"Subactividad sin macroactividad arriba"&amp;" · ","")&amp;IF($D266="","Sin responsable"&amp;" · ","")&amp;IF($E266="","Sin fecha de inicio"&amp;" · ","")&amp;IF($F266="","Sin fecha límite"&amp;" · ","")&amp;IF(OR(AND($E266&lt;&gt;"",NOT(ISNUMBER($E266))),AND($F266&lt;&gt;"",NOT(ISNUMBER($F266)))),"Fecha no válida"&amp;" · ","")&amp;IF(AND(ISNUMBER($E266),ISNUMBER($F266),$E266&gt;$F266),"Inicio posterior a fecha límite"&amp;" · ","")&amp;IF(AND($S266="Macro",$G266=""),"Peso vacío"&amp;" · ","")&amp;IF(AND($S266="Macro",$G266&lt;&gt;"",OR(NOT(ISNUMBER($G266)),$G266&lt;=0,$G266&gt;1)),"Peso fuera de rango"&amp;" · ","")&amp;IF(AND($S266="Sub",$G266&lt;&gt;""),"Las subactividades no llevan peso"&amp;" · ","")&amp;IF(AND($S266="Macro",ABS(SUMIFS($G$5:$G$1000,$P$5:$P$1000,$P266,$S$5:$S$1000,"Macro")-1)&gt;0.0001),"Pesos del mes suman "&amp;TEXT(SUMIFS($G$5:$G$1000,$P$5:$P$1000,$P266,$S$5:$S$1000,"Macro"),"0%")&amp;" · ","")&amp;IF(AND(N($T266)&gt;0,COUNT($H266:$K266)&gt;0),"Con subactividades: deje vacías las semanas (se calculan solas)"&amp;" · ","")&amp;IF((COUNTIF($H266:$K266,"&gt;1")+COUNTIF($H266:$K266,"&lt;0")+COUNTA($H266:$K266)-COUNT($H266:$K266))&gt;0,"Avance fuera de rango 0-100%"&amp;" · ","")&amp;IF(OR(AND($I266&lt;&gt;"",$I266&lt;$H266),AND($J266&lt;&gt;"",$J266&lt;MAX($H266:$I266)),AND($K266&lt;&gt;"",$K266&lt;MAX($H266:$J266))),"Avance semanal decreciente"&amp;" · ","")&amp;IF(AND(ISNUMBER($F266),$F266&lt;FechaRef,N($L266)&lt;1),"Vencida"&amp;" · ","")&amp;IF(AND(ObsObligatoria="Sí",ISNUMBER($F266),$F266&lt;FechaRef,N($L266)&lt;1,$N266=""),"Vencida sin observación"&amp;" · ",""),LEN(IF(AND($S266="Macro",$B266=""),"Macroactividad vacía"&amp;" · ","")&amp;IF(AND($B266&lt;&gt;"",$C266&lt;&gt;""),"Escriba la subactividad en otra fila, debajo de su macroactividad"&amp;" · ","")&amp;IF(AND($S266="Sub",N($R266)=0),"Subactividad sin macroactividad arriba"&amp;" · ","")&amp;IF($D266="","Sin responsable"&amp;" · ","")&amp;IF($E266="","Sin fecha de inicio"&amp;" · ","")&amp;IF($F266="","Sin fecha límite"&amp;" · ","")&amp;IF(OR(AND($E266&lt;&gt;"",NOT(ISNUMBER($E266))),AND($F266&lt;&gt;"",NOT(ISNUMBER($F266)))),"Fecha no válida"&amp;" · ","")&amp;IF(AND(ISNUMBER($E266),ISNUMBER($F266),$E266&gt;$F266),"Inicio posterior a fecha límite"&amp;" · ","")&amp;IF(AND($S266="Macro",$G266=""),"Peso vacío"&amp;" · ","")&amp;IF(AND($S266="Macro",$G266&lt;&gt;"",OR(NOT(ISNUMBER($G266)),$G266&lt;=0,$G266&gt;1)),"Peso fuera de rango"&amp;" · ","")&amp;IF(AND($S266="Sub",$G266&lt;&gt;""),"Las subactividades no llevan peso"&amp;" · ","")&amp;IF(AND($S266="Macro",ABS(SUMIFS($G$5:$G$1000,$P$5:$P$1000,$P266,$S$5:$S$1000,"Macro")-1)&gt;0.0001),"Pesos del mes suman "&amp;TEXT(SUMIFS($G$5:$G$1000,$P$5:$P$1000,$P266,$S$5:$S$1000,"Macro"),"0%")&amp;" · ","")&amp;IF(AND(N($T266)&gt;0,COUNT($H266:$K266)&gt;0),"Con subactividades: deje vacías las semanas (se calculan solas)"&amp;" · ","")&amp;IF((COUNTIF($H266:$K266,"&gt;1")+COUNTIF($H266:$K266,"&lt;0")+COUNTA($H266:$K266)-COUNT($H266:$K266))&gt;0,"Avance fuera de rango 0-100%"&amp;" · ","")&amp;IF(OR(AND($I266&lt;&gt;"",$I266&lt;$H266),AND($J266&lt;&gt;"",$J266&lt;MAX($H266:$I266)),AND($K266&lt;&gt;"",$K266&lt;MAX($H266:$J266))),"Avance semanal decreciente"&amp;" · ","")&amp;IF(AND(ISNUMBER($F266),$F266&lt;FechaRef,N($L266)&lt;1),"Vencida"&amp;" · ","")&amp;IF(AND(ObsObligatoria="Sí",ISNUMBER($F266),$F266&lt;FechaRef,N($L266)&lt;1,$N266=""),"Vencida sin observación"&amp;" · ",""))-3)))</f>
        <v/>
      </c>
      <c r="P266" s="69">
        <f>IF(NOT((COUNTA($B266:$K266)+COUNTA($N266))&gt;0),"",IF(AND($S266="Sub",N($R266)&gt;0),IF(ISNUMBER(INDEX($E$5:$E$1000,$R266-4)),DATE(YEAR(INDEX($E$5:$E$1000,$R266-4)),MONTH(INDEX($E$5:$E$1000,$R266-4)),1),IF(ISNUMBER(INDEX($F$5:$F$1000,$R266-4)),DATE(YEAR(INDEX($F$5:$F$1000,$R266-4)),MONTH(INDEX($F$5:$F$1000,$R266-4)),1),MesCiclo)),IF(ISNUMBER($E266),DATE(YEAR($E266),MONTH($E266),1),IF(ISNUMBER($F266),DATE(YEAR($F266),MONTH($F266),1),MesCiclo))))</f>
        <v/>
      </c>
      <c r="Q266" s="70">
        <f>IF(OR($P266="",$P266&lt;&gt;MesCiclo),"",COUNTIF($P$5:$P266,MesCiclo))</f>
        <v/>
      </c>
      <c r="R266" s="70">
        <f>IF($S266="","",IF($S266="Macro",ROW(),IFERROR(LOOKUP(2,1/($S$5:$S266="Macro"),ROW($S$5:$S266)),0)))</f>
        <v/>
      </c>
      <c r="S266" s="70">
        <f>IF(NOT((COUNTA($B266:$K266)+COUNTA($N266))&gt;0),"",IF($B266&lt;&gt;"","Macro",IF($C266&lt;&gt;"","Sub","Macro")))</f>
        <v/>
      </c>
      <c r="T266" s="70">
        <f>IF($S266="Macro",COUNTIFS($R$5:$R$1000,ROW(),$S$5:$S$1000,"Sub"),"")</f>
        <v/>
      </c>
      <c r="U266" s="70">
        <f>IF($S266="","",IF(ISNUMBER($H266),$H266,0))</f>
        <v/>
      </c>
      <c r="V266" s="70">
        <f>IF($S266="","",IF(ISNUMBER($I266),$I266,$U266))</f>
        <v/>
      </c>
      <c r="W266" s="70">
        <f>IF($S266="","",IF(ISNUMBER($J266),$J266,$V266))</f>
        <v/>
      </c>
      <c r="X266" s="70">
        <f>IF($S266="","",IF(ISNUMBER($K266),$K266,$W266))</f>
        <v/>
      </c>
      <c r="Y266" s="70">
        <f>IF($S266="","",IF(N($T266)&gt;0,AVERAGEIFS($U$5:$U$1000,$R$5:$R$1000,ROW(),$S$5:$S$1000,"Sub"),$U266))</f>
        <v/>
      </c>
      <c r="Z266" s="70">
        <f>IF($S266="","",IF(N($T266)&gt;0,AVERAGEIFS($V$5:$V$1000,$R$5:$R$1000,ROW(),$S$5:$S$1000,"Sub"),$V266))</f>
        <v/>
      </c>
      <c r="AA266" s="70">
        <f>IF($S266="","",IF(N($T266)&gt;0,AVERAGEIFS($W$5:$W$1000,$R$5:$R$1000,ROW(),$S$5:$S$1000,"Sub"),$W266))</f>
        <v/>
      </c>
      <c r="AB266" s="70">
        <f>IF($S266="","",IF(N($T266)&gt;0,AVERAGEIFS($X$5:$X$1000,$R$5:$R$1000,ROW(),$S$5:$S$1000,"Sub"),$X266))</f>
        <v/>
      </c>
    </row>
    <row r="267">
      <c r="A267" s="61">
        <f>IF(NOT((COUNTA($B267:$K267)+COUNTA($N267))&gt;0),"",IF($S267="Macro",COUNTIFS($S$5:$S267,"Macro",$P$5:$P267,$P267),IF(N($R267)=0,"?",COUNTIFS(INDEX($S$5:$S$1000,1):INDEX($S$5:$S$1000,$R267-4),"Macro",INDEX($P$5:$P$1000,1):INDEX($P$5:$P$1000,$R267-4),INDEX($P$5:$P$1000,$R267-4))&amp;"."&amp;COUNTIFS($R$5:$R267,$R267,$S$5:$S267,"Sub"))))</f>
        <v/>
      </c>
      <c r="B267" s="62" t="n"/>
      <c r="C267" s="63" t="n"/>
      <c r="D267" s="62" t="n"/>
      <c r="E267" s="64" t="n"/>
      <c r="F267" s="64" t="n"/>
      <c r="G267" s="65" t="n"/>
      <c r="H267" s="66" t="n"/>
      <c r="I267" s="66" t="n"/>
      <c r="J267" s="66" t="n"/>
      <c r="K267" s="66" t="n"/>
      <c r="L267" s="67">
        <f>IF(NOT((COUNTA($B267:$K267)+COUNTA($N267))&gt;0),"",IF(N($T267)&gt;0,$AB267,IFERROR(LOOKUP(2,1/(H267:K267&lt;&gt;""),H267:K267),0)))</f>
        <v/>
      </c>
      <c r="M267" s="61">
        <f>IF(L267="","",IF(L267&gt;=1,"Completado",IF(L267&gt;0,"En curso","Pendiente")))</f>
        <v/>
      </c>
      <c r="N267" s="62" t="n"/>
      <c r="O267" s="68">
        <f>IF(NOT((COUNTA($B267:$K267)+COUNTA($N267))&gt;0),"",IF((IF(AND($S267="Macro",$B267=""),"Macroactividad vacía"&amp;" · ","")&amp;IF(AND($B267&lt;&gt;"",$C267&lt;&gt;""),"Escriba la subactividad en otra fila, debajo de su macroactividad"&amp;" · ","")&amp;IF(AND($S267="Sub",N($R267)=0),"Subactividad sin macroactividad arriba"&amp;" · ","")&amp;IF($D267="","Sin responsable"&amp;" · ","")&amp;IF($E267="","Sin fecha de inicio"&amp;" · ","")&amp;IF($F267="","Sin fecha límite"&amp;" · ","")&amp;IF(OR(AND($E267&lt;&gt;"",NOT(ISNUMBER($E267))),AND($F267&lt;&gt;"",NOT(ISNUMBER($F267)))),"Fecha no válida"&amp;" · ","")&amp;IF(AND(ISNUMBER($E267),ISNUMBER($F267),$E267&gt;$F267),"Inicio posterior a fecha límite"&amp;" · ","")&amp;IF(AND($S267="Macro",$G267=""),"Peso vacío"&amp;" · ","")&amp;IF(AND($S267="Macro",$G267&lt;&gt;"",OR(NOT(ISNUMBER($G267)),$G267&lt;=0,$G267&gt;1)),"Peso fuera de rango"&amp;" · ","")&amp;IF(AND($S267="Sub",$G267&lt;&gt;""),"Las subactividades no llevan peso"&amp;" · ","")&amp;IF(AND($S267="Macro",ABS(SUMIFS($G$5:$G$1000,$P$5:$P$1000,$P267,$S$5:$S$1000,"Macro")-1)&gt;0.0001),"Pesos del mes suman "&amp;TEXT(SUMIFS($G$5:$G$1000,$P$5:$P$1000,$P267,$S$5:$S$1000,"Macro"),"0%")&amp;" · ","")&amp;IF(AND(N($T267)&gt;0,COUNT($H267:$K267)&gt;0),"Con subactividades: deje vacías las semanas (se calculan solas)"&amp;" · ","")&amp;IF((COUNTIF($H267:$K267,"&gt;1")+COUNTIF($H267:$K267,"&lt;0")+COUNTA($H267:$K267)-COUNT($H267:$K267))&gt;0,"Avance fuera de rango 0-100%"&amp;" · ","")&amp;IF(OR(AND($I267&lt;&gt;"",$I267&lt;$H267),AND($J267&lt;&gt;"",$J267&lt;MAX($H267:$I267)),AND($K267&lt;&gt;"",$K267&lt;MAX($H267:$J267))),"Avance semanal decreciente"&amp;" · ","")&amp;IF(AND(ISNUMBER($F267),$F267&lt;FechaRef,N($L267)&lt;1),"Vencida"&amp;" · ","")&amp;IF(AND(ObsObligatoria="Sí",ISNUMBER($F267),$F267&lt;FechaRef,N($L267)&lt;1,$N267=""),"Vencida sin observación"&amp;" · ",""))="","✔ OK","⚠ "&amp;LEFT(IF(AND($S267="Macro",$B267=""),"Macroactividad vacía"&amp;" · ","")&amp;IF(AND($B267&lt;&gt;"",$C267&lt;&gt;""),"Escriba la subactividad en otra fila, debajo de su macroactividad"&amp;" · ","")&amp;IF(AND($S267="Sub",N($R267)=0),"Subactividad sin macroactividad arriba"&amp;" · ","")&amp;IF($D267="","Sin responsable"&amp;" · ","")&amp;IF($E267="","Sin fecha de inicio"&amp;" · ","")&amp;IF($F267="","Sin fecha límite"&amp;" · ","")&amp;IF(OR(AND($E267&lt;&gt;"",NOT(ISNUMBER($E267))),AND($F267&lt;&gt;"",NOT(ISNUMBER($F267)))),"Fecha no válida"&amp;" · ","")&amp;IF(AND(ISNUMBER($E267),ISNUMBER($F267),$E267&gt;$F267),"Inicio posterior a fecha límite"&amp;" · ","")&amp;IF(AND($S267="Macro",$G267=""),"Peso vacío"&amp;" · ","")&amp;IF(AND($S267="Macro",$G267&lt;&gt;"",OR(NOT(ISNUMBER($G267)),$G267&lt;=0,$G267&gt;1)),"Peso fuera de rango"&amp;" · ","")&amp;IF(AND($S267="Sub",$G267&lt;&gt;""),"Las subactividades no llevan peso"&amp;" · ","")&amp;IF(AND($S267="Macro",ABS(SUMIFS($G$5:$G$1000,$P$5:$P$1000,$P267,$S$5:$S$1000,"Macro")-1)&gt;0.0001),"Pesos del mes suman "&amp;TEXT(SUMIFS($G$5:$G$1000,$P$5:$P$1000,$P267,$S$5:$S$1000,"Macro"),"0%")&amp;" · ","")&amp;IF(AND(N($T267)&gt;0,COUNT($H267:$K267)&gt;0),"Con subactividades: deje vacías las semanas (se calculan solas)"&amp;" · ","")&amp;IF((COUNTIF($H267:$K267,"&gt;1")+COUNTIF($H267:$K267,"&lt;0")+COUNTA($H267:$K267)-COUNT($H267:$K267))&gt;0,"Avance fuera de rango 0-100%"&amp;" · ","")&amp;IF(OR(AND($I267&lt;&gt;"",$I267&lt;$H267),AND($J267&lt;&gt;"",$J267&lt;MAX($H267:$I267)),AND($K267&lt;&gt;"",$K267&lt;MAX($H267:$J267))),"Avance semanal decreciente"&amp;" · ","")&amp;IF(AND(ISNUMBER($F267),$F267&lt;FechaRef,N($L267)&lt;1),"Vencida"&amp;" · ","")&amp;IF(AND(ObsObligatoria="Sí",ISNUMBER($F267),$F267&lt;FechaRef,N($L267)&lt;1,$N267=""),"Vencida sin observación"&amp;" · ",""),LEN(IF(AND($S267="Macro",$B267=""),"Macroactividad vacía"&amp;" · ","")&amp;IF(AND($B267&lt;&gt;"",$C267&lt;&gt;""),"Escriba la subactividad en otra fila, debajo de su macroactividad"&amp;" · ","")&amp;IF(AND($S267="Sub",N($R267)=0),"Subactividad sin macroactividad arriba"&amp;" · ","")&amp;IF($D267="","Sin responsable"&amp;" · ","")&amp;IF($E267="","Sin fecha de inicio"&amp;" · ","")&amp;IF($F267="","Sin fecha límite"&amp;" · ","")&amp;IF(OR(AND($E267&lt;&gt;"",NOT(ISNUMBER($E267))),AND($F267&lt;&gt;"",NOT(ISNUMBER($F267)))),"Fecha no válida"&amp;" · ","")&amp;IF(AND(ISNUMBER($E267),ISNUMBER($F267),$E267&gt;$F267),"Inicio posterior a fecha límite"&amp;" · ","")&amp;IF(AND($S267="Macro",$G267=""),"Peso vacío"&amp;" · ","")&amp;IF(AND($S267="Macro",$G267&lt;&gt;"",OR(NOT(ISNUMBER($G267)),$G267&lt;=0,$G267&gt;1)),"Peso fuera de rango"&amp;" · ","")&amp;IF(AND($S267="Sub",$G267&lt;&gt;""),"Las subactividades no llevan peso"&amp;" · ","")&amp;IF(AND($S267="Macro",ABS(SUMIFS($G$5:$G$1000,$P$5:$P$1000,$P267,$S$5:$S$1000,"Macro")-1)&gt;0.0001),"Pesos del mes suman "&amp;TEXT(SUMIFS($G$5:$G$1000,$P$5:$P$1000,$P267,$S$5:$S$1000,"Macro"),"0%")&amp;" · ","")&amp;IF(AND(N($T267)&gt;0,COUNT($H267:$K267)&gt;0),"Con subactividades: deje vacías las semanas (se calculan solas)"&amp;" · ","")&amp;IF((COUNTIF($H267:$K267,"&gt;1")+COUNTIF($H267:$K267,"&lt;0")+COUNTA($H267:$K267)-COUNT($H267:$K267))&gt;0,"Avance fuera de rango 0-100%"&amp;" · ","")&amp;IF(OR(AND($I267&lt;&gt;"",$I267&lt;$H267),AND($J267&lt;&gt;"",$J267&lt;MAX($H267:$I267)),AND($K267&lt;&gt;"",$K267&lt;MAX($H267:$J267))),"Avance semanal decreciente"&amp;" · ","")&amp;IF(AND(ISNUMBER($F267),$F267&lt;FechaRef,N($L267)&lt;1),"Vencida"&amp;" · ","")&amp;IF(AND(ObsObligatoria="Sí",ISNUMBER($F267),$F267&lt;FechaRef,N($L267)&lt;1,$N267=""),"Vencida sin observación"&amp;" · ",""))-3)))</f>
        <v/>
      </c>
      <c r="P267" s="69">
        <f>IF(NOT((COUNTA($B267:$K267)+COUNTA($N267))&gt;0),"",IF(AND($S267="Sub",N($R267)&gt;0),IF(ISNUMBER(INDEX($E$5:$E$1000,$R267-4)),DATE(YEAR(INDEX($E$5:$E$1000,$R267-4)),MONTH(INDEX($E$5:$E$1000,$R267-4)),1),IF(ISNUMBER(INDEX($F$5:$F$1000,$R267-4)),DATE(YEAR(INDEX($F$5:$F$1000,$R267-4)),MONTH(INDEX($F$5:$F$1000,$R267-4)),1),MesCiclo)),IF(ISNUMBER($E267),DATE(YEAR($E267),MONTH($E267),1),IF(ISNUMBER($F267),DATE(YEAR($F267),MONTH($F267),1),MesCiclo))))</f>
        <v/>
      </c>
      <c r="Q267" s="70">
        <f>IF(OR($P267="",$P267&lt;&gt;MesCiclo),"",COUNTIF($P$5:$P267,MesCiclo))</f>
        <v/>
      </c>
      <c r="R267" s="70">
        <f>IF($S267="","",IF($S267="Macro",ROW(),IFERROR(LOOKUP(2,1/($S$5:$S267="Macro"),ROW($S$5:$S267)),0)))</f>
        <v/>
      </c>
      <c r="S267" s="70">
        <f>IF(NOT((COUNTA($B267:$K267)+COUNTA($N267))&gt;0),"",IF($B267&lt;&gt;"","Macro",IF($C267&lt;&gt;"","Sub","Macro")))</f>
        <v/>
      </c>
      <c r="T267" s="70">
        <f>IF($S267="Macro",COUNTIFS($R$5:$R$1000,ROW(),$S$5:$S$1000,"Sub"),"")</f>
        <v/>
      </c>
      <c r="U267" s="70">
        <f>IF($S267="","",IF(ISNUMBER($H267),$H267,0))</f>
        <v/>
      </c>
      <c r="V267" s="70">
        <f>IF($S267="","",IF(ISNUMBER($I267),$I267,$U267))</f>
        <v/>
      </c>
      <c r="W267" s="70">
        <f>IF($S267="","",IF(ISNUMBER($J267),$J267,$V267))</f>
        <v/>
      </c>
      <c r="X267" s="70">
        <f>IF($S267="","",IF(ISNUMBER($K267),$K267,$W267))</f>
        <v/>
      </c>
      <c r="Y267" s="70">
        <f>IF($S267="","",IF(N($T267)&gt;0,AVERAGEIFS($U$5:$U$1000,$R$5:$R$1000,ROW(),$S$5:$S$1000,"Sub"),$U267))</f>
        <v/>
      </c>
      <c r="Z267" s="70">
        <f>IF($S267="","",IF(N($T267)&gt;0,AVERAGEIFS($V$5:$V$1000,$R$5:$R$1000,ROW(),$S$5:$S$1000,"Sub"),$V267))</f>
        <v/>
      </c>
      <c r="AA267" s="70">
        <f>IF($S267="","",IF(N($T267)&gt;0,AVERAGEIFS($W$5:$W$1000,$R$5:$R$1000,ROW(),$S$5:$S$1000,"Sub"),$W267))</f>
        <v/>
      </c>
      <c r="AB267" s="70">
        <f>IF($S267="","",IF(N($T267)&gt;0,AVERAGEIFS($X$5:$X$1000,$R$5:$R$1000,ROW(),$S$5:$S$1000,"Sub"),$X267))</f>
        <v/>
      </c>
    </row>
    <row r="268">
      <c r="A268" s="61">
        <f>IF(NOT((COUNTA($B268:$K268)+COUNTA($N268))&gt;0),"",IF($S268="Macro",COUNTIFS($S$5:$S268,"Macro",$P$5:$P268,$P268),IF(N($R268)=0,"?",COUNTIFS(INDEX($S$5:$S$1000,1):INDEX($S$5:$S$1000,$R268-4),"Macro",INDEX($P$5:$P$1000,1):INDEX($P$5:$P$1000,$R268-4),INDEX($P$5:$P$1000,$R268-4))&amp;"."&amp;COUNTIFS($R$5:$R268,$R268,$S$5:$S268,"Sub"))))</f>
        <v/>
      </c>
      <c r="B268" s="62" t="n"/>
      <c r="C268" s="63" t="n"/>
      <c r="D268" s="62" t="n"/>
      <c r="E268" s="64" t="n"/>
      <c r="F268" s="64" t="n"/>
      <c r="G268" s="65" t="n"/>
      <c r="H268" s="66" t="n"/>
      <c r="I268" s="66" t="n"/>
      <c r="J268" s="66" t="n"/>
      <c r="K268" s="66" t="n"/>
      <c r="L268" s="67">
        <f>IF(NOT((COUNTA($B268:$K268)+COUNTA($N268))&gt;0),"",IF(N($T268)&gt;0,$AB268,IFERROR(LOOKUP(2,1/(H268:K268&lt;&gt;""),H268:K268),0)))</f>
        <v/>
      </c>
      <c r="M268" s="61">
        <f>IF(L268="","",IF(L268&gt;=1,"Completado",IF(L268&gt;0,"En curso","Pendiente")))</f>
        <v/>
      </c>
      <c r="N268" s="62" t="n"/>
      <c r="O268" s="68">
        <f>IF(NOT((COUNTA($B268:$K268)+COUNTA($N268))&gt;0),"",IF((IF(AND($S268="Macro",$B268=""),"Macroactividad vacía"&amp;" · ","")&amp;IF(AND($B268&lt;&gt;"",$C268&lt;&gt;""),"Escriba la subactividad en otra fila, debajo de su macroactividad"&amp;" · ","")&amp;IF(AND($S268="Sub",N($R268)=0),"Subactividad sin macroactividad arriba"&amp;" · ","")&amp;IF($D268="","Sin responsable"&amp;" · ","")&amp;IF($E268="","Sin fecha de inicio"&amp;" · ","")&amp;IF($F268="","Sin fecha límite"&amp;" · ","")&amp;IF(OR(AND($E268&lt;&gt;"",NOT(ISNUMBER($E268))),AND($F268&lt;&gt;"",NOT(ISNUMBER($F268)))),"Fecha no válida"&amp;" · ","")&amp;IF(AND(ISNUMBER($E268),ISNUMBER($F268),$E268&gt;$F268),"Inicio posterior a fecha límite"&amp;" · ","")&amp;IF(AND($S268="Macro",$G268=""),"Peso vacío"&amp;" · ","")&amp;IF(AND($S268="Macro",$G268&lt;&gt;"",OR(NOT(ISNUMBER($G268)),$G268&lt;=0,$G268&gt;1)),"Peso fuera de rango"&amp;" · ","")&amp;IF(AND($S268="Sub",$G268&lt;&gt;""),"Las subactividades no llevan peso"&amp;" · ","")&amp;IF(AND($S268="Macro",ABS(SUMIFS($G$5:$G$1000,$P$5:$P$1000,$P268,$S$5:$S$1000,"Macro")-1)&gt;0.0001),"Pesos del mes suman "&amp;TEXT(SUMIFS($G$5:$G$1000,$P$5:$P$1000,$P268,$S$5:$S$1000,"Macro"),"0%")&amp;" · ","")&amp;IF(AND(N($T268)&gt;0,COUNT($H268:$K268)&gt;0),"Con subactividades: deje vacías las semanas (se calculan solas)"&amp;" · ","")&amp;IF((COUNTIF($H268:$K268,"&gt;1")+COUNTIF($H268:$K268,"&lt;0")+COUNTA($H268:$K268)-COUNT($H268:$K268))&gt;0,"Avance fuera de rango 0-100%"&amp;" · ","")&amp;IF(OR(AND($I268&lt;&gt;"",$I268&lt;$H268),AND($J268&lt;&gt;"",$J268&lt;MAX($H268:$I268)),AND($K268&lt;&gt;"",$K268&lt;MAX($H268:$J268))),"Avance semanal decreciente"&amp;" · ","")&amp;IF(AND(ISNUMBER($F268),$F268&lt;FechaRef,N($L268)&lt;1),"Vencida"&amp;" · ","")&amp;IF(AND(ObsObligatoria="Sí",ISNUMBER($F268),$F268&lt;FechaRef,N($L268)&lt;1,$N268=""),"Vencida sin observación"&amp;" · ",""))="","✔ OK","⚠ "&amp;LEFT(IF(AND($S268="Macro",$B268=""),"Macroactividad vacía"&amp;" · ","")&amp;IF(AND($B268&lt;&gt;"",$C268&lt;&gt;""),"Escriba la subactividad en otra fila, debajo de su macroactividad"&amp;" · ","")&amp;IF(AND($S268="Sub",N($R268)=0),"Subactividad sin macroactividad arriba"&amp;" · ","")&amp;IF($D268="","Sin responsable"&amp;" · ","")&amp;IF($E268="","Sin fecha de inicio"&amp;" · ","")&amp;IF($F268="","Sin fecha límite"&amp;" · ","")&amp;IF(OR(AND($E268&lt;&gt;"",NOT(ISNUMBER($E268))),AND($F268&lt;&gt;"",NOT(ISNUMBER($F268)))),"Fecha no válida"&amp;" · ","")&amp;IF(AND(ISNUMBER($E268),ISNUMBER($F268),$E268&gt;$F268),"Inicio posterior a fecha límite"&amp;" · ","")&amp;IF(AND($S268="Macro",$G268=""),"Peso vacío"&amp;" · ","")&amp;IF(AND($S268="Macro",$G268&lt;&gt;"",OR(NOT(ISNUMBER($G268)),$G268&lt;=0,$G268&gt;1)),"Peso fuera de rango"&amp;" · ","")&amp;IF(AND($S268="Sub",$G268&lt;&gt;""),"Las subactividades no llevan peso"&amp;" · ","")&amp;IF(AND($S268="Macro",ABS(SUMIFS($G$5:$G$1000,$P$5:$P$1000,$P268,$S$5:$S$1000,"Macro")-1)&gt;0.0001),"Pesos del mes suman "&amp;TEXT(SUMIFS($G$5:$G$1000,$P$5:$P$1000,$P268,$S$5:$S$1000,"Macro"),"0%")&amp;" · ","")&amp;IF(AND(N($T268)&gt;0,COUNT($H268:$K268)&gt;0),"Con subactividades: deje vacías las semanas (se calculan solas)"&amp;" · ","")&amp;IF((COUNTIF($H268:$K268,"&gt;1")+COUNTIF($H268:$K268,"&lt;0")+COUNTA($H268:$K268)-COUNT($H268:$K268))&gt;0,"Avance fuera de rango 0-100%"&amp;" · ","")&amp;IF(OR(AND($I268&lt;&gt;"",$I268&lt;$H268),AND($J268&lt;&gt;"",$J268&lt;MAX($H268:$I268)),AND($K268&lt;&gt;"",$K268&lt;MAX($H268:$J268))),"Avance semanal decreciente"&amp;" · ","")&amp;IF(AND(ISNUMBER($F268),$F268&lt;FechaRef,N($L268)&lt;1),"Vencida"&amp;" · ","")&amp;IF(AND(ObsObligatoria="Sí",ISNUMBER($F268),$F268&lt;FechaRef,N($L268)&lt;1,$N268=""),"Vencida sin observación"&amp;" · ",""),LEN(IF(AND($S268="Macro",$B268=""),"Macroactividad vacía"&amp;" · ","")&amp;IF(AND($B268&lt;&gt;"",$C268&lt;&gt;""),"Escriba la subactividad en otra fila, debajo de su macroactividad"&amp;" · ","")&amp;IF(AND($S268="Sub",N($R268)=0),"Subactividad sin macroactividad arriba"&amp;" · ","")&amp;IF($D268="","Sin responsable"&amp;" · ","")&amp;IF($E268="","Sin fecha de inicio"&amp;" · ","")&amp;IF($F268="","Sin fecha límite"&amp;" · ","")&amp;IF(OR(AND($E268&lt;&gt;"",NOT(ISNUMBER($E268))),AND($F268&lt;&gt;"",NOT(ISNUMBER($F268)))),"Fecha no válida"&amp;" · ","")&amp;IF(AND(ISNUMBER($E268),ISNUMBER($F268),$E268&gt;$F268),"Inicio posterior a fecha límite"&amp;" · ","")&amp;IF(AND($S268="Macro",$G268=""),"Peso vacío"&amp;" · ","")&amp;IF(AND($S268="Macro",$G268&lt;&gt;"",OR(NOT(ISNUMBER($G268)),$G268&lt;=0,$G268&gt;1)),"Peso fuera de rango"&amp;" · ","")&amp;IF(AND($S268="Sub",$G268&lt;&gt;""),"Las subactividades no llevan peso"&amp;" · ","")&amp;IF(AND($S268="Macro",ABS(SUMIFS($G$5:$G$1000,$P$5:$P$1000,$P268,$S$5:$S$1000,"Macro")-1)&gt;0.0001),"Pesos del mes suman "&amp;TEXT(SUMIFS($G$5:$G$1000,$P$5:$P$1000,$P268,$S$5:$S$1000,"Macro"),"0%")&amp;" · ","")&amp;IF(AND(N($T268)&gt;0,COUNT($H268:$K268)&gt;0),"Con subactividades: deje vacías las semanas (se calculan solas)"&amp;" · ","")&amp;IF((COUNTIF($H268:$K268,"&gt;1")+COUNTIF($H268:$K268,"&lt;0")+COUNTA($H268:$K268)-COUNT($H268:$K268))&gt;0,"Avance fuera de rango 0-100%"&amp;" · ","")&amp;IF(OR(AND($I268&lt;&gt;"",$I268&lt;$H268),AND($J268&lt;&gt;"",$J268&lt;MAX($H268:$I268)),AND($K268&lt;&gt;"",$K268&lt;MAX($H268:$J268))),"Avance semanal decreciente"&amp;" · ","")&amp;IF(AND(ISNUMBER($F268),$F268&lt;FechaRef,N($L268)&lt;1),"Vencida"&amp;" · ","")&amp;IF(AND(ObsObligatoria="Sí",ISNUMBER($F268),$F268&lt;FechaRef,N($L268)&lt;1,$N268=""),"Vencida sin observación"&amp;" · ",""))-3)))</f>
        <v/>
      </c>
      <c r="P268" s="69">
        <f>IF(NOT((COUNTA($B268:$K268)+COUNTA($N268))&gt;0),"",IF(AND($S268="Sub",N($R268)&gt;0),IF(ISNUMBER(INDEX($E$5:$E$1000,$R268-4)),DATE(YEAR(INDEX($E$5:$E$1000,$R268-4)),MONTH(INDEX($E$5:$E$1000,$R268-4)),1),IF(ISNUMBER(INDEX($F$5:$F$1000,$R268-4)),DATE(YEAR(INDEX($F$5:$F$1000,$R268-4)),MONTH(INDEX($F$5:$F$1000,$R268-4)),1),MesCiclo)),IF(ISNUMBER($E268),DATE(YEAR($E268),MONTH($E268),1),IF(ISNUMBER($F268),DATE(YEAR($F268),MONTH($F268),1),MesCiclo))))</f>
        <v/>
      </c>
      <c r="Q268" s="70">
        <f>IF(OR($P268="",$P268&lt;&gt;MesCiclo),"",COUNTIF($P$5:$P268,MesCiclo))</f>
        <v/>
      </c>
      <c r="R268" s="70">
        <f>IF($S268="","",IF($S268="Macro",ROW(),IFERROR(LOOKUP(2,1/($S$5:$S268="Macro"),ROW($S$5:$S268)),0)))</f>
        <v/>
      </c>
      <c r="S268" s="70">
        <f>IF(NOT((COUNTA($B268:$K268)+COUNTA($N268))&gt;0),"",IF($B268&lt;&gt;"","Macro",IF($C268&lt;&gt;"","Sub","Macro")))</f>
        <v/>
      </c>
      <c r="T268" s="70">
        <f>IF($S268="Macro",COUNTIFS($R$5:$R$1000,ROW(),$S$5:$S$1000,"Sub"),"")</f>
        <v/>
      </c>
      <c r="U268" s="70">
        <f>IF($S268="","",IF(ISNUMBER($H268),$H268,0))</f>
        <v/>
      </c>
      <c r="V268" s="70">
        <f>IF($S268="","",IF(ISNUMBER($I268),$I268,$U268))</f>
        <v/>
      </c>
      <c r="W268" s="70">
        <f>IF($S268="","",IF(ISNUMBER($J268),$J268,$V268))</f>
        <v/>
      </c>
      <c r="X268" s="70">
        <f>IF($S268="","",IF(ISNUMBER($K268),$K268,$W268))</f>
        <v/>
      </c>
      <c r="Y268" s="70">
        <f>IF($S268="","",IF(N($T268)&gt;0,AVERAGEIFS($U$5:$U$1000,$R$5:$R$1000,ROW(),$S$5:$S$1000,"Sub"),$U268))</f>
        <v/>
      </c>
      <c r="Z268" s="70">
        <f>IF($S268="","",IF(N($T268)&gt;0,AVERAGEIFS($V$5:$V$1000,$R$5:$R$1000,ROW(),$S$5:$S$1000,"Sub"),$V268))</f>
        <v/>
      </c>
      <c r="AA268" s="70">
        <f>IF($S268="","",IF(N($T268)&gt;0,AVERAGEIFS($W$5:$W$1000,$R$5:$R$1000,ROW(),$S$5:$S$1000,"Sub"),$W268))</f>
        <v/>
      </c>
      <c r="AB268" s="70">
        <f>IF($S268="","",IF(N($T268)&gt;0,AVERAGEIFS($X$5:$X$1000,$R$5:$R$1000,ROW(),$S$5:$S$1000,"Sub"),$X268))</f>
        <v/>
      </c>
    </row>
    <row r="269">
      <c r="A269" s="61">
        <f>IF(NOT((COUNTA($B269:$K269)+COUNTA($N269))&gt;0),"",IF($S269="Macro",COUNTIFS($S$5:$S269,"Macro",$P$5:$P269,$P269),IF(N($R269)=0,"?",COUNTIFS(INDEX($S$5:$S$1000,1):INDEX($S$5:$S$1000,$R269-4),"Macro",INDEX($P$5:$P$1000,1):INDEX($P$5:$P$1000,$R269-4),INDEX($P$5:$P$1000,$R269-4))&amp;"."&amp;COUNTIFS($R$5:$R269,$R269,$S$5:$S269,"Sub"))))</f>
        <v/>
      </c>
      <c r="B269" s="62" t="n"/>
      <c r="C269" s="63" t="n"/>
      <c r="D269" s="62" t="n"/>
      <c r="E269" s="64" t="n"/>
      <c r="F269" s="64" t="n"/>
      <c r="G269" s="65" t="n"/>
      <c r="H269" s="66" t="n"/>
      <c r="I269" s="66" t="n"/>
      <c r="J269" s="66" t="n"/>
      <c r="K269" s="66" t="n"/>
      <c r="L269" s="67">
        <f>IF(NOT((COUNTA($B269:$K269)+COUNTA($N269))&gt;0),"",IF(N($T269)&gt;0,$AB269,IFERROR(LOOKUP(2,1/(H269:K269&lt;&gt;""),H269:K269),0)))</f>
        <v/>
      </c>
      <c r="M269" s="61">
        <f>IF(L269="","",IF(L269&gt;=1,"Completado",IF(L269&gt;0,"En curso","Pendiente")))</f>
        <v/>
      </c>
      <c r="N269" s="62" t="n"/>
      <c r="O269" s="68">
        <f>IF(NOT((COUNTA($B269:$K269)+COUNTA($N269))&gt;0),"",IF((IF(AND($S269="Macro",$B269=""),"Macroactividad vacía"&amp;" · ","")&amp;IF(AND($B269&lt;&gt;"",$C269&lt;&gt;""),"Escriba la subactividad en otra fila, debajo de su macroactividad"&amp;" · ","")&amp;IF(AND($S269="Sub",N($R269)=0),"Subactividad sin macroactividad arriba"&amp;" · ","")&amp;IF($D269="","Sin responsable"&amp;" · ","")&amp;IF($E269="","Sin fecha de inicio"&amp;" · ","")&amp;IF($F269="","Sin fecha límite"&amp;" · ","")&amp;IF(OR(AND($E269&lt;&gt;"",NOT(ISNUMBER($E269))),AND($F269&lt;&gt;"",NOT(ISNUMBER($F269)))),"Fecha no válida"&amp;" · ","")&amp;IF(AND(ISNUMBER($E269),ISNUMBER($F269),$E269&gt;$F269),"Inicio posterior a fecha límite"&amp;" · ","")&amp;IF(AND($S269="Macro",$G269=""),"Peso vacío"&amp;" · ","")&amp;IF(AND($S269="Macro",$G269&lt;&gt;"",OR(NOT(ISNUMBER($G269)),$G269&lt;=0,$G269&gt;1)),"Peso fuera de rango"&amp;" · ","")&amp;IF(AND($S269="Sub",$G269&lt;&gt;""),"Las subactividades no llevan peso"&amp;" · ","")&amp;IF(AND($S269="Macro",ABS(SUMIFS($G$5:$G$1000,$P$5:$P$1000,$P269,$S$5:$S$1000,"Macro")-1)&gt;0.0001),"Pesos del mes suman "&amp;TEXT(SUMIFS($G$5:$G$1000,$P$5:$P$1000,$P269,$S$5:$S$1000,"Macro"),"0%")&amp;" · ","")&amp;IF(AND(N($T269)&gt;0,COUNT($H269:$K269)&gt;0),"Con subactividades: deje vacías las semanas (se calculan solas)"&amp;" · ","")&amp;IF((COUNTIF($H269:$K269,"&gt;1")+COUNTIF($H269:$K269,"&lt;0")+COUNTA($H269:$K269)-COUNT($H269:$K269))&gt;0,"Avance fuera de rango 0-100%"&amp;" · ","")&amp;IF(OR(AND($I269&lt;&gt;"",$I269&lt;$H269),AND($J269&lt;&gt;"",$J269&lt;MAX($H269:$I269)),AND($K269&lt;&gt;"",$K269&lt;MAX($H269:$J269))),"Avance semanal decreciente"&amp;" · ","")&amp;IF(AND(ISNUMBER($F269),$F269&lt;FechaRef,N($L269)&lt;1),"Vencida"&amp;" · ","")&amp;IF(AND(ObsObligatoria="Sí",ISNUMBER($F269),$F269&lt;FechaRef,N($L269)&lt;1,$N269=""),"Vencida sin observación"&amp;" · ",""))="","✔ OK","⚠ "&amp;LEFT(IF(AND($S269="Macro",$B269=""),"Macroactividad vacía"&amp;" · ","")&amp;IF(AND($B269&lt;&gt;"",$C269&lt;&gt;""),"Escriba la subactividad en otra fila, debajo de su macroactividad"&amp;" · ","")&amp;IF(AND($S269="Sub",N($R269)=0),"Subactividad sin macroactividad arriba"&amp;" · ","")&amp;IF($D269="","Sin responsable"&amp;" · ","")&amp;IF($E269="","Sin fecha de inicio"&amp;" · ","")&amp;IF($F269="","Sin fecha límite"&amp;" · ","")&amp;IF(OR(AND($E269&lt;&gt;"",NOT(ISNUMBER($E269))),AND($F269&lt;&gt;"",NOT(ISNUMBER($F269)))),"Fecha no válida"&amp;" · ","")&amp;IF(AND(ISNUMBER($E269),ISNUMBER($F269),$E269&gt;$F269),"Inicio posterior a fecha límite"&amp;" · ","")&amp;IF(AND($S269="Macro",$G269=""),"Peso vacío"&amp;" · ","")&amp;IF(AND($S269="Macro",$G269&lt;&gt;"",OR(NOT(ISNUMBER($G269)),$G269&lt;=0,$G269&gt;1)),"Peso fuera de rango"&amp;" · ","")&amp;IF(AND($S269="Sub",$G269&lt;&gt;""),"Las subactividades no llevan peso"&amp;" · ","")&amp;IF(AND($S269="Macro",ABS(SUMIFS($G$5:$G$1000,$P$5:$P$1000,$P269,$S$5:$S$1000,"Macro")-1)&gt;0.0001),"Pesos del mes suman "&amp;TEXT(SUMIFS($G$5:$G$1000,$P$5:$P$1000,$P269,$S$5:$S$1000,"Macro"),"0%")&amp;" · ","")&amp;IF(AND(N($T269)&gt;0,COUNT($H269:$K269)&gt;0),"Con subactividades: deje vacías las semanas (se calculan solas)"&amp;" · ","")&amp;IF((COUNTIF($H269:$K269,"&gt;1")+COUNTIF($H269:$K269,"&lt;0")+COUNTA($H269:$K269)-COUNT($H269:$K269))&gt;0,"Avance fuera de rango 0-100%"&amp;" · ","")&amp;IF(OR(AND($I269&lt;&gt;"",$I269&lt;$H269),AND($J269&lt;&gt;"",$J269&lt;MAX($H269:$I269)),AND($K269&lt;&gt;"",$K269&lt;MAX($H269:$J269))),"Avance semanal decreciente"&amp;" · ","")&amp;IF(AND(ISNUMBER($F269),$F269&lt;FechaRef,N($L269)&lt;1),"Vencida"&amp;" · ","")&amp;IF(AND(ObsObligatoria="Sí",ISNUMBER($F269),$F269&lt;FechaRef,N($L269)&lt;1,$N269=""),"Vencida sin observación"&amp;" · ",""),LEN(IF(AND($S269="Macro",$B269=""),"Macroactividad vacía"&amp;" · ","")&amp;IF(AND($B269&lt;&gt;"",$C269&lt;&gt;""),"Escriba la subactividad en otra fila, debajo de su macroactividad"&amp;" · ","")&amp;IF(AND($S269="Sub",N($R269)=0),"Subactividad sin macroactividad arriba"&amp;" · ","")&amp;IF($D269="","Sin responsable"&amp;" · ","")&amp;IF($E269="","Sin fecha de inicio"&amp;" · ","")&amp;IF($F269="","Sin fecha límite"&amp;" · ","")&amp;IF(OR(AND($E269&lt;&gt;"",NOT(ISNUMBER($E269))),AND($F269&lt;&gt;"",NOT(ISNUMBER($F269)))),"Fecha no válida"&amp;" · ","")&amp;IF(AND(ISNUMBER($E269),ISNUMBER($F269),$E269&gt;$F269),"Inicio posterior a fecha límite"&amp;" · ","")&amp;IF(AND($S269="Macro",$G269=""),"Peso vacío"&amp;" · ","")&amp;IF(AND($S269="Macro",$G269&lt;&gt;"",OR(NOT(ISNUMBER($G269)),$G269&lt;=0,$G269&gt;1)),"Peso fuera de rango"&amp;" · ","")&amp;IF(AND($S269="Sub",$G269&lt;&gt;""),"Las subactividades no llevan peso"&amp;" · ","")&amp;IF(AND($S269="Macro",ABS(SUMIFS($G$5:$G$1000,$P$5:$P$1000,$P269,$S$5:$S$1000,"Macro")-1)&gt;0.0001),"Pesos del mes suman "&amp;TEXT(SUMIFS($G$5:$G$1000,$P$5:$P$1000,$P269,$S$5:$S$1000,"Macro"),"0%")&amp;" · ","")&amp;IF(AND(N($T269)&gt;0,COUNT($H269:$K269)&gt;0),"Con subactividades: deje vacías las semanas (se calculan solas)"&amp;" · ","")&amp;IF((COUNTIF($H269:$K269,"&gt;1")+COUNTIF($H269:$K269,"&lt;0")+COUNTA($H269:$K269)-COUNT($H269:$K269))&gt;0,"Avance fuera de rango 0-100%"&amp;" · ","")&amp;IF(OR(AND($I269&lt;&gt;"",$I269&lt;$H269),AND($J269&lt;&gt;"",$J269&lt;MAX($H269:$I269)),AND($K269&lt;&gt;"",$K269&lt;MAX($H269:$J269))),"Avance semanal decreciente"&amp;" · ","")&amp;IF(AND(ISNUMBER($F269),$F269&lt;FechaRef,N($L269)&lt;1),"Vencida"&amp;" · ","")&amp;IF(AND(ObsObligatoria="Sí",ISNUMBER($F269),$F269&lt;FechaRef,N($L269)&lt;1,$N269=""),"Vencida sin observación"&amp;" · ",""))-3)))</f>
        <v/>
      </c>
      <c r="P269" s="69">
        <f>IF(NOT((COUNTA($B269:$K269)+COUNTA($N269))&gt;0),"",IF(AND($S269="Sub",N($R269)&gt;0),IF(ISNUMBER(INDEX($E$5:$E$1000,$R269-4)),DATE(YEAR(INDEX($E$5:$E$1000,$R269-4)),MONTH(INDEX($E$5:$E$1000,$R269-4)),1),IF(ISNUMBER(INDEX($F$5:$F$1000,$R269-4)),DATE(YEAR(INDEX($F$5:$F$1000,$R269-4)),MONTH(INDEX($F$5:$F$1000,$R269-4)),1),MesCiclo)),IF(ISNUMBER($E269),DATE(YEAR($E269),MONTH($E269),1),IF(ISNUMBER($F269),DATE(YEAR($F269),MONTH($F269),1),MesCiclo))))</f>
        <v/>
      </c>
      <c r="Q269" s="70">
        <f>IF(OR($P269="",$P269&lt;&gt;MesCiclo),"",COUNTIF($P$5:$P269,MesCiclo))</f>
        <v/>
      </c>
      <c r="R269" s="70">
        <f>IF($S269="","",IF($S269="Macro",ROW(),IFERROR(LOOKUP(2,1/($S$5:$S269="Macro"),ROW($S$5:$S269)),0)))</f>
        <v/>
      </c>
      <c r="S269" s="70">
        <f>IF(NOT((COUNTA($B269:$K269)+COUNTA($N269))&gt;0),"",IF($B269&lt;&gt;"","Macro",IF($C269&lt;&gt;"","Sub","Macro")))</f>
        <v/>
      </c>
      <c r="T269" s="70">
        <f>IF($S269="Macro",COUNTIFS($R$5:$R$1000,ROW(),$S$5:$S$1000,"Sub"),"")</f>
        <v/>
      </c>
      <c r="U269" s="70">
        <f>IF($S269="","",IF(ISNUMBER($H269),$H269,0))</f>
        <v/>
      </c>
      <c r="V269" s="70">
        <f>IF($S269="","",IF(ISNUMBER($I269),$I269,$U269))</f>
        <v/>
      </c>
      <c r="W269" s="70">
        <f>IF($S269="","",IF(ISNUMBER($J269),$J269,$V269))</f>
        <v/>
      </c>
      <c r="X269" s="70">
        <f>IF($S269="","",IF(ISNUMBER($K269),$K269,$W269))</f>
        <v/>
      </c>
      <c r="Y269" s="70">
        <f>IF($S269="","",IF(N($T269)&gt;0,AVERAGEIFS($U$5:$U$1000,$R$5:$R$1000,ROW(),$S$5:$S$1000,"Sub"),$U269))</f>
        <v/>
      </c>
      <c r="Z269" s="70">
        <f>IF($S269="","",IF(N($T269)&gt;0,AVERAGEIFS($V$5:$V$1000,$R$5:$R$1000,ROW(),$S$5:$S$1000,"Sub"),$V269))</f>
        <v/>
      </c>
      <c r="AA269" s="70">
        <f>IF($S269="","",IF(N($T269)&gt;0,AVERAGEIFS($W$5:$W$1000,$R$5:$R$1000,ROW(),$S$5:$S$1000,"Sub"),$W269))</f>
        <v/>
      </c>
      <c r="AB269" s="70">
        <f>IF($S269="","",IF(N($T269)&gt;0,AVERAGEIFS($X$5:$X$1000,$R$5:$R$1000,ROW(),$S$5:$S$1000,"Sub"),$X269))</f>
        <v/>
      </c>
    </row>
    <row r="270">
      <c r="A270" s="61">
        <f>IF(NOT((COUNTA($B270:$K270)+COUNTA($N270))&gt;0),"",IF($S270="Macro",COUNTIFS($S$5:$S270,"Macro",$P$5:$P270,$P270),IF(N($R270)=0,"?",COUNTIFS(INDEX($S$5:$S$1000,1):INDEX($S$5:$S$1000,$R270-4),"Macro",INDEX($P$5:$P$1000,1):INDEX($P$5:$P$1000,$R270-4),INDEX($P$5:$P$1000,$R270-4))&amp;"."&amp;COUNTIFS($R$5:$R270,$R270,$S$5:$S270,"Sub"))))</f>
        <v/>
      </c>
      <c r="B270" s="62" t="n"/>
      <c r="C270" s="63" t="n"/>
      <c r="D270" s="62" t="n"/>
      <c r="E270" s="64" t="n"/>
      <c r="F270" s="64" t="n"/>
      <c r="G270" s="65" t="n"/>
      <c r="H270" s="66" t="n"/>
      <c r="I270" s="66" t="n"/>
      <c r="J270" s="66" t="n"/>
      <c r="K270" s="66" t="n"/>
      <c r="L270" s="67">
        <f>IF(NOT((COUNTA($B270:$K270)+COUNTA($N270))&gt;0),"",IF(N($T270)&gt;0,$AB270,IFERROR(LOOKUP(2,1/(H270:K270&lt;&gt;""),H270:K270),0)))</f>
        <v/>
      </c>
      <c r="M270" s="61">
        <f>IF(L270="","",IF(L270&gt;=1,"Completado",IF(L270&gt;0,"En curso","Pendiente")))</f>
        <v/>
      </c>
      <c r="N270" s="62" t="n"/>
      <c r="O270" s="68">
        <f>IF(NOT((COUNTA($B270:$K270)+COUNTA($N270))&gt;0),"",IF((IF(AND($S270="Macro",$B270=""),"Macroactividad vacía"&amp;" · ","")&amp;IF(AND($B270&lt;&gt;"",$C270&lt;&gt;""),"Escriba la subactividad en otra fila, debajo de su macroactividad"&amp;" · ","")&amp;IF(AND($S270="Sub",N($R270)=0),"Subactividad sin macroactividad arriba"&amp;" · ","")&amp;IF($D270="","Sin responsable"&amp;" · ","")&amp;IF($E270="","Sin fecha de inicio"&amp;" · ","")&amp;IF($F270="","Sin fecha límite"&amp;" · ","")&amp;IF(OR(AND($E270&lt;&gt;"",NOT(ISNUMBER($E270))),AND($F270&lt;&gt;"",NOT(ISNUMBER($F270)))),"Fecha no válida"&amp;" · ","")&amp;IF(AND(ISNUMBER($E270),ISNUMBER($F270),$E270&gt;$F270),"Inicio posterior a fecha límite"&amp;" · ","")&amp;IF(AND($S270="Macro",$G270=""),"Peso vacío"&amp;" · ","")&amp;IF(AND($S270="Macro",$G270&lt;&gt;"",OR(NOT(ISNUMBER($G270)),$G270&lt;=0,$G270&gt;1)),"Peso fuera de rango"&amp;" · ","")&amp;IF(AND($S270="Sub",$G270&lt;&gt;""),"Las subactividades no llevan peso"&amp;" · ","")&amp;IF(AND($S270="Macro",ABS(SUMIFS($G$5:$G$1000,$P$5:$P$1000,$P270,$S$5:$S$1000,"Macro")-1)&gt;0.0001),"Pesos del mes suman "&amp;TEXT(SUMIFS($G$5:$G$1000,$P$5:$P$1000,$P270,$S$5:$S$1000,"Macro"),"0%")&amp;" · ","")&amp;IF(AND(N($T270)&gt;0,COUNT($H270:$K270)&gt;0),"Con subactividades: deje vacías las semanas (se calculan solas)"&amp;" · ","")&amp;IF((COUNTIF($H270:$K270,"&gt;1")+COUNTIF($H270:$K270,"&lt;0")+COUNTA($H270:$K270)-COUNT($H270:$K270))&gt;0,"Avance fuera de rango 0-100%"&amp;" · ","")&amp;IF(OR(AND($I270&lt;&gt;"",$I270&lt;$H270),AND($J270&lt;&gt;"",$J270&lt;MAX($H270:$I270)),AND($K270&lt;&gt;"",$K270&lt;MAX($H270:$J270))),"Avance semanal decreciente"&amp;" · ","")&amp;IF(AND(ISNUMBER($F270),$F270&lt;FechaRef,N($L270)&lt;1),"Vencida"&amp;" · ","")&amp;IF(AND(ObsObligatoria="Sí",ISNUMBER($F270),$F270&lt;FechaRef,N($L270)&lt;1,$N270=""),"Vencida sin observación"&amp;" · ",""))="","✔ OK","⚠ "&amp;LEFT(IF(AND($S270="Macro",$B270=""),"Macroactividad vacía"&amp;" · ","")&amp;IF(AND($B270&lt;&gt;"",$C270&lt;&gt;""),"Escriba la subactividad en otra fila, debajo de su macroactividad"&amp;" · ","")&amp;IF(AND($S270="Sub",N($R270)=0),"Subactividad sin macroactividad arriba"&amp;" · ","")&amp;IF($D270="","Sin responsable"&amp;" · ","")&amp;IF($E270="","Sin fecha de inicio"&amp;" · ","")&amp;IF($F270="","Sin fecha límite"&amp;" · ","")&amp;IF(OR(AND($E270&lt;&gt;"",NOT(ISNUMBER($E270))),AND($F270&lt;&gt;"",NOT(ISNUMBER($F270)))),"Fecha no válida"&amp;" · ","")&amp;IF(AND(ISNUMBER($E270),ISNUMBER($F270),$E270&gt;$F270),"Inicio posterior a fecha límite"&amp;" · ","")&amp;IF(AND($S270="Macro",$G270=""),"Peso vacío"&amp;" · ","")&amp;IF(AND($S270="Macro",$G270&lt;&gt;"",OR(NOT(ISNUMBER($G270)),$G270&lt;=0,$G270&gt;1)),"Peso fuera de rango"&amp;" · ","")&amp;IF(AND($S270="Sub",$G270&lt;&gt;""),"Las subactividades no llevan peso"&amp;" · ","")&amp;IF(AND($S270="Macro",ABS(SUMIFS($G$5:$G$1000,$P$5:$P$1000,$P270,$S$5:$S$1000,"Macro")-1)&gt;0.0001),"Pesos del mes suman "&amp;TEXT(SUMIFS($G$5:$G$1000,$P$5:$P$1000,$P270,$S$5:$S$1000,"Macro"),"0%")&amp;" · ","")&amp;IF(AND(N($T270)&gt;0,COUNT($H270:$K270)&gt;0),"Con subactividades: deje vacías las semanas (se calculan solas)"&amp;" · ","")&amp;IF((COUNTIF($H270:$K270,"&gt;1")+COUNTIF($H270:$K270,"&lt;0")+COUNTA($H270:$K270)-COUNT($H270:$K270))&gt;0,"Avance fuera de rango 0-100%"&amp;" · ","")&amp;IF(OR(AND($I270&lt;&gt;"",$I270&lt;$H270),AND($J270&lt;&gt;"",$J270&lt;MAX($H270:$I270)),AND($K270&lt;&gt;"",$K270&lt;MAX($H270:$J270))),"Avance semanal decreciente"&amp;" · ","")&amp;IF(AND(ISNUMBER($F270),$F270&lt;FechaRef,N($L270)&lt;1),"Vencida"&amp;" · ","")&amp;IF(AND(ObsObligatoria="Sí",ISNUMBER($F270),$F270&lt;FechaRef,N($L270)&lt;1,$N270=""),"Vencida sin observación"&amp;" · ",""),LEN(IF(AND($S270="Macro",$B270=""),"Macroactividad vacía"&amp;" · ","")&amp;IF(AND($B270&lt;&gt;"",$C270&lt;&gt;""),"Escriba la subactividad en otra fila, debajo de su macroactividad"&amp;" · ","")&amp;IF(AND($S270="Sub",N($R270)=0),"Subactividad sin macroactividad arriba"&amp;" · ","")&amp;IF($D270="","Sin responsable"&amp;" · ","")&amp;IF($E270="","Sin fecha de inicio"&amp;" · ","")&amp;IF($F270="","Sin fecha límite"&amp;" · ","")&amp;IF(OR(AND($E270&lt;&gt;"",NOT(ISNUMBER($E270))),AND($F270&lt;&gt;"",NOT(ISNUMBER($F270)))),"Fecha no válida"&amp;" · ","")&amp;IF(AND(ISNUMBER($E270),ISNUMBER($F270),$E270&gt;$F270),"Inicio posterior a fecha límite"&amp;" · ","")&amp;IF(AND($S270="Macro",$G270=""),"Peso vacío"&amp;" · ","")&amp;IF(AND($S270="Macro",$G270&lt;&gt;"",OR(NOT(ISNUMBER($G270)),$G270&lt;=0,$G270&gt;1)),"Peso fuera de rango"&amp;" · ","")&amp;IF(AND($S270="Sub",$G270&lt;&gt;""),"Las subactividades no llevan peso"&amp;" · ","")&amp;IF(AND($S270="Macro",ABS(SUMIFS($G$5:$G$1000,$P$5:$P$1000,$P270,$S$5:$S$1000,"Macro")-1)&gt;0.0001),"Pesos del mes suman "&amp;TEXT(SUMIFS($G$5:$G$1000,$P$5:$P$1000,$P270,$S$5:$S$1000,"Macro"),"0%")&amp;" · ","")&amp;IF(AND(N($T270)&gt;0,COUNT($H270:$K270)&gt;0),"Con subactividades: deje vacías las semanas (se calculan solas)"&amp;" · ","")&amp;IF((COUNTIF($H270:$K270,"&gt;1")+COUNTIF($H270:$K270,"&lt;0")+COUNTA($H270:$K270)-COUNT($H270:$K270))&gt;0,"Avance fuera de rango 0-100%"&amp;" · ","")&amp;IF(OR(AND($I270&lt;&gt;"",$I270&lt;$H270),AND($J270&lt;&gt;"",$J270&lt;MAX($H270:$I270)),AND($K270&lt;&gt;"",$K270&lt;MAX($H270:$J270))),"Avance semanal decreciente"&amp;" · ","")&amp;IF(AND(ISNUMBER($F270),$F270&lt;FechaRef,N($L270)&lt;1),"Vencida"&amp;" · ","")&amp;IF(AND(ObsObligatoria="Sí",ISNUMBER($F270),$F270&lt;FechaRef,N($L270)&lt;1,$N270=""),"Vencida sin observación"&amp;" · ",""))-3)))</f>
        <v/>
      </c>
      <c r="P270" s="69">
        <f>IF(NOT((COUNTA($B270:$K270)+COUNTA($N270))&gt;0),"",IF(AND($S270="Sub",N($R270)&gt;0),IF(ISNUMBER(INDEX($E$5:$E$1000,$R270-4)),DATE(YEAR(INDEX($E$5:$E$1000,$R270-4)),MONTH(INDEX($E$5:$E$1000,$R270-4)),1),IF(ISNUMBER(INDEX($F$5:$F$1000,$R270-4)),DATE(YEAR(INDEX($F$5:$F$1000,$R270-4)),MONTH(INDEX($F$5:$F$1000,$R270-4)),1),MesCiclo)),IF(ISNUMBER($E270),DATE(YEAR($E270),MONTH($E270),1),IF(ISNUMBER($F270),DATE(YEAR($F270),MONTH($F270),1),MesCiclo))))</f>
        <v/>
      </c>
      <c r="Q270" s="70">
        <f>IF(OR($P270="",$P270&lt;&gt;MesCiclo),"",COUNTIF($P$5:$P270,MesCiclo))</f>
        <v/>
      </c>
      <c r="R270" s="70">
        <f>IF($S270="","",IF($S270="Macro",ROW(),IFERROR(LOOKUP(2,1/($S$5:$S270="Macro"),ROW($S$5:$S270)),0)))</f>
        <v/>
      </c>
      <c r="S270" s="70">
        <f>IF(NOT((COUNTA($B270:$K270)+COUNTA($N270))&gt;0),"",IF($B270&lt;&gt;"","Macro",IF($C270&lt;&gt;"","Sub","Macro")))</f>
        <v/>
      </c>
      <c r="T270" s="70">
        <f>IF($S270="Macro",COUNTIFS($R$5:$R$1000,ROW(),$S$5:$S$1000,"Sub"),"")</f>
        <v/>
      </c>
      <c r="U270" s="70">
        <f>IF($S270="","",IF(ISNUMBER($H270),$H270,0))</f>
        <v/>
      </c>
      <c r="V270" s="70">
        <f>IF($S270="","",IF(ISNUMBER($I270),$I270,$U270))</f>
        <v/>
      </c>
      <c r="W270" s="70">
        <f>IF($S270="","",IF(ISNUMBER($J270),$J270,$V270))</f>
        <v/>
      </c>
      <c r="X270" s="70">
        <f>IF($S270="","",IF(ISNUMBER($K270),$K270,$W270))</f>
        <v/>
      </c>
      <c r="Y270" s="70">
        <f>IF($S270="","",IF(N($T270)&gt;0,AVERAGEIFS($U$5:$U$1000,$R$5:$R$1000,ROW(),$S$5:$S$1000,"Sub"),$U270))</f>
        <v/>
      </c>
      <c r="Z270" s="70">
        <f>IF($S270="","",IF(N($T270)&gt;0,AVERAGEIFS($V$5:$V$1000,$R$5:$R$1000,ROW(),$S$5:$S$1000,"Sub"),$V270))</f>
        <v/>
      </c>
      <c r="AA270" s="70">
        <f>IF($S270="","",IF(N($T270)&gt;0,AVERAGEIFS($W$5:$W$1000,$R$5:$R$1000,ROW(),$S$5:$S$1000,"Sub"),$W270))</f>
        <v/>
      </c>
      <c r="AB270" s="70">
        <f>IF($S270="","",IF(N($T270)&gt;0,AVERAGEIFS($X$5:$X$1000,$R$5:$R$1000,ROW(),$S$5:$S$1000,"Sub"),$X270))</f>
        <v/>
      </c>
    </row>
    <row r="271">
      <c r="A271" s="61">
        <f>IF(NOT((COUNTA($B271:$K271)+COUNTA($N271))&gt;0),"",IF($S271="Macro",COUNTIFS($S$5:$S271,"Macro",$P$5:$P271,$P271),IF(N($R271)=0,"?",COUNTIFS(INDEX($S$5:$S$1000,1):INDEX($S$5:$S$1000,$R271-4),"Macro",INDEX($P$5:$P$1000,1):INDEX($P$5:$P$1000,$R271-4),INDEX($P$5:$P$1000,$R271-4))&amp;"."&amp;COUNTIFS($R$5:$R271,$R271,$S$5:$S271,"Sub"))))</f>
        <v/>
      </c>
      <c r="B271" s="62" t="n"/>
      <c r="C271" s="63" t="n"/>
      <c r="D271" s="62" t="n"/>
      <c r="E271" s="64" t="n"/>
      <c r="F271" s="64" t="n"/>
      <c r="G271" s="65" t="n"/>
      <c r="H271" s="66" t="n"/>
      <c r="I271" s="66" t="n"/>
      <c r="J271" s="66" t="n"/>
      <c r="K271" s="66" t="n"/>
      <c r="L271" s="67">
        <f>IF(NOT((COUNTA($B271:$K271)+COUNTA($N271))&gt;0),"",IF(N($T271)&gt;0,$AB271,IFERROR(LOOKUP(2,1/(H271:K271&lt;&gt;""),H271:K271),0)))</f>
        <v/>
      </c>
      <c r="M271" s="61">
        <f>IF(L271="","",IF(L271&gt;=1,"Completado",IF(L271&gt;0,"En curso","Pendiente")))</f>
        <v/>
      </c>
      <c r="N271" s="62" t="n"/>
      <c r="O271" s="68">
        <f>IF(NOT((COUNTA($B271:$K271)+COUNTA($N271))&gt;0),"",IF((IF(AND($S271="Macro",$B271=""),"Macroactividad vacía"&amp;" · ","")&amp;IF(AND($B271&lt;&gt;"",$C271&lt;&gt;""),"Escriba la subactividad en otra fila, debajo de su macroactividad"&amp;" · ","")&amp;IF(AND($S271="Sub",N($R271)=0),"Subactividad sin macroactividad arriba"&amp;" · ","")&amp;IF($D271="","Sin responsable"&amp;" · ","")&amp;IF($E271="","Sin fecha de inicio"&amp;" · ","")&amp;IF($F271="","Sin fecha límite"&amp;" · ","")&amp;IF(OR(AND($E271&lt;&gt;"",NOT(ISNUMBER($E271))),AND($F271&lt;&gt;"",NOT(ISNUMBER($F271)))),"Fecha no válida"&amp;" · ","")&amp;IF(AND(ISNUMBER($E271),ISNUMBER($F271),$E271&gt;$F271),"Inicio posterior a fecha límite"&amp;" · ","")&amp;IF(AND($S271="Macro",$G271=""),"Peso vacío"&amp;" · ","")&amp;IF(AND($S271="Macro",$G271&lt;&gt;"",OR(NOT(ISNUMBER($G271)),$G271&lt;=0,$G271&gt;1)),"Peso fuera de rango"&amp;" · ","")&amp;IF(AND($S271="Sub",$G271&lt;&gt;""),"Las subactividades no llevan peso"&amp;" · ","")&amp;IF(AND($S271="Macro",ABS(SUMIFS($G$5:$G$1000,$P$5:$P$1000,$P271,$S$5:$S$1000,"Macro")-1)&gt;0.0001),"Pesos del mes suman "&amp;TEXT(SUMIFS($G$5:$G$1000,$P$5:$P$1000,$P271,$S$5:$S$1000,"Macro"),"0%")&amp;" · ","")&amp;IF(AND(N($T271)&gt;0,COUNT($H271:$K271)&gt;0),"Con subactividades: deje vacías las semanas (se calculan solas)"&amp;" · ","")&amp;IF((COUNTIF($H271:$K271,"&gt;1")+COUNTIF($H271:$K271,"&lt;0")+COUNTA($H271:$K271)-COUNT($H271:$K271))&gt;0,"Avance fuera de rango 0-100%"&amp;" · ","")&amp;IF(OR(AND($I271&lt;&gt;"",$I271&lt;$H271),AND($J271&lt;&gt;"",$J271&lt;MAX($H271:$I271)),AND($K271&lt;&gt;"",$K271&lt;MAX($H271:$J271))),"Avance semanal decreciente"&amp;" · ","")&amp;IF(AND(ISNUMBER($F271),$F271&lt;FechaRef,N($L271)&lt;1),"Vencida"&amp;" · ","")&amp;IF(AND(ObsObligatoria="Sí",ISNUMBER($F271),$F271&lt;FechaRef,N($L271)&lt;1,$N271=""),"Vencida sin observación"&amp;" · ",""))="","✔ OK","⚠ "&amp;LEFT(IF(AND($S271="Macro",$B271=""),"Macroactividad vacía"&amp;" · ","")&amp;IF(AND($B271&lt;&gt;"",$C271&lt;&gt;""),"Escriba la subactividad en otra fila, debajo de su macroactividad"&amp;" · ","")&amp;IF(AND($S271="Sub",N($R271)=0),"Subactividad sin macroactividad arriba"&amp;" · ","")&amp;IF($D271="","Sin responsable"&amp;" · ","")&amp;IF($E271="","Sin fecha de inicio"&amp;" · ","")&amp;IF($F271="","Sin fecha límite"&amp;" · ","")&amp;IF(OR(AND($E271&lt;&gt;"",NOT(ISNUMBER($E271))),AND($F271&lt;&gt;"",NOT(ISNUMBER($F271)))),"Fecha no válida"&amp;" · ","")&amp;IF(AND(ISNUMBER($E271),ISNUMBER($F271),$E271&gt;$F271),"Inicio posterior a fecha límite"&amp;" · ","")&amp;IF(AND($S271="Macro",$G271=""),"Peso vacío"&amp;" · ","")&amp;IF(AND($S271="Macro",$G271&lt;&gt;"",OR(NOT(ISNUMBER($G271)),$G271&lt;=0,$G271&gt;1)),"Peso fuera de rango"&amp;" · ","")&amp;IF(AND($S271="Sub",$G271&lt;&gt;""),"Las subactividades no llevan peso"&amp;" · ","")&amp;IF(AND($S271="Macro",ABS(SUMIFS($G$5:$G$1000,$P$5:$P$1000,$P271,$S$5:$S$1000,"Macro")-1)&gt;0.0001),"Pesos del mes suman "&amp;TEXT(SUMIFS($G$5:$G$1000,$P$5:$P$1000,$P271,$S$5:$S$1000,"Macro"),"0%")&amp;" · ","")&amp;IF(AND(N($T271)&gt;0,COUNT($H271:$K271)&gt;0),"Con subactividades: deje vacías las semanas (se calculan solas)"&amp;" · ","")&amp;IF((COUNTIF($H271:$K271,"&gt;1")+COUNTIF($H271:$K271,"&lt;0")+COUNTA($H271:$K271)-COUNT($H271:$K271))&gt;0,"Avance fuera de rango 0-100%"&amp;" · ","")&amp;IF(OR(AND($I271&lt;&gt;"",$I271&lt;$H271),AND($J271&lt;&gt;"",$J271&lt;MAX($H271:$I271)),AND($K271&lt;&gt;"",$K271&lt;MAX($H271:$J271))),"Avance semanal decreciente"&amp;" · ","")&amp;IF(AND(ISNUMBER($F271),$F271&lt;FechaRef,N($L271)&lt;1),"Vencida"&amp;" · ","")&amp;IF(AND(ObsObligatoria="Sí",ISNUMBER($F271),$F271&lt;FechaRef,N($L271)&lt;1,$N271=""),"Vencida sin observación"&amp;" · ",""),LEN(IF(AND($S271="Macro",$B271=""),"Macroactividad vacía"&amp;" · ","")&amp;IF(AND($B271&lt;&gt;"",$C271&lt;&gt;""),"Escriba la subactividad en otra fila, debajo de su macroactividad"&amp;" · ","")&amp;IF(AND($S271="Sub",N($R271)=0),"Subactividad sin macroactividad arriba"&amp;" · ","")&amp;IF($D271="","Sin responsable"&amp;" · ","")&amp;IF($E271="","Sin fecha de inicio"&amp;" · ","")&amp;IF($F271="","Sin fecha límite"&amp;" · ","")&amp;IF(OR(AND($E271&lt;&gt;"",NOT(ISNUMBER($E271))),AND($F271&lt;&gt;"",NOT(ISNUMBER($F271)))),"Fecha no válida"&amp;" · ","")&amp;IF(AND(ISNUMBER($E271),ISNUMBER($F271),$E271&gt;$F271),"Inicio posterior a fecha límite"&amp;" · ","")&amp;IF(AND($S271="Macro",$G271=""),"Peso vacío"&amp;" · ","")&amp;IF(AND($S271="Macro",$G271&lt;&gt;"",OR(NOT(ISNUMBER($G271)),$G271&lt;=0,$G271&gt;1)),"Peso fuera de rango"&amp;" · ","")&amp;IF(AND($S271="Sub",$G271&lt;&gt;""),"Las subactividades no llevan peso"&amp;" · ","")&amp;IF(AND($S271="Macro",ABS(SUMIFS($G$5:$G$1000,$P$5:$P$1000,$P271,$S$5:$S$1000,"Macro")-1)&gt;0.0001),"Pesos del mes suman "&amp;TEXT(SUMIFS($G$5:$G$1000,$P$5:$P$1000,$P271,$S$5:$S$1000,"Macro"),"0%")&amp;" · ","")&amp;IF(AND(N($T271)&gt;0,COUNT($H271:$K271)&gt;0),"Con subactividades: deje vacías las semanas (se calculan solas)"&amp;" · ","")&amp;IF((COUNTIF($H271:$K271,"&gt;1")+COUNTIF($H271:$K271,"&lt;0")+COUNTA($H271:$K271)-COUNT($H271:$K271))&gt;0,"Avance fuera de rango 0-100%"&amp;" · ","")&amp;IF(OR(AND($I271&lt;&gt;"",$I271&lt;$H271),AND($J271&lt;&gt;"",$J271&lt;MAX($H271:$I271)),AND($K271&lt;&gt;"",$K271&lt;MAX($H271:$J271))),"Avance semanal decreciente"&amp;" · ","")&amp;IF(AND(ISNUMBER($F271),$F271&lt;FechaRef,N($L271)&lt;1),"Vencida"&amp;" · ","")&amp;IF(AND(ObsObligatoria="Sí",ISNUMBER($F271),$F271&lt;FechaRef,N($L271)&lt;1,$N271=""),"Vencida sin observación"&amp;" · ",""))-3)))</f>
        <v/>
      </c>
      <c r="P271" s="69">
        <f>IF(NOT((COUNTA($B271:$K271)+COUNTA($N271))&gt;0),"",IF(AND($S271="Sub",N($R271)&gt;0),IF(ISNUMBER(INDEX($E$5:$E$1000,$R271-4)),DATE(YEAR(INDEX($E$5:$E$1000,$R271-4)),MONTH(INDEX($E$5:$E$1000,$R271-4)),1),IF(ISNUMBER(INDEX($F$5:$F$1000,$R271-4)),DATE(YEAR(INDEX($F$5:$F$1000,$R271-4)),MONTH(INDEX($F$5:$F$1000,$R271-4)),1),MesCiclo)),IF(ISNUMBER($E271),DATE(YEAR($E271),MONTH($E271),1),IF(ISNUMBER($F271),DATE(YEAR($F271),MONTH($F271),1),MesCiclo))))</f>
        <v/>
      </c>
      <c r="Q271" s="70">
        <f>IF(OR($P271="",$P271&lt;&gt;MesCiclo),"",COUNTIF($P$5:$P271,MesCiclo))</f>
        <v/>
      </c>
      <c r="R271" s="70">
        <f>IF($S271="","",IF($S271="Macro",ROW(),IFERROR(LOOKUP(2,1/($S$5:$S271="Macro"),ROW($S$5:$S271)),0)))</f>
        <v/>
      </c>
      <c r="S271" s="70">
        <f>IF(NOT((COUNTA($B271:$K271)+COUNTA($N271))&gt;0),"",IF($B271&lt;&gt;"","Macro",IF($C271&lt;&gt;"","Sub","Macro")))</f>
        <v/>
      </c>
      <c r="T271" s="70">
        <f>IF($S271="Macro",COUNTIFS($R$5:$R$1000,ROW(),$S$5:$S$1000,"Sub"),"")</f>
        <v/>
      </c>
      <c r="U271" s="70">
        <f>IF($S271="","",IF(ISNUMBER($H271),$H271,0))</f>
        <v/>
      </c>
      <c r="V271" s="70">
        <f>IF($S271="","",IF(ISNUMBER($I271),$I271,$U271))</f>
        <v/>
      </c>
      <c r="W271" s="70">
        <f>IF($S271="","",IF(ISNUMBER($J271),$J271,$V271))</f>
        <v/>
      </c>
      <c r="X271" s="70">
        <f>IF($S271="","",IF(ISNUMBER($K271),$K271,$W271))</f>
        <v/>
      </c>
      <c r="Y271" s="70">
        <f>IF($S271="","",IF(N($T271)&gt;0,AVERAGEIFS($U$5:$U$1000,$R$5:$R$1000,ROW(),$S$5:$S$1000,"Sub"),$U271))</f>
        <v/>
      </c>
      <c r="Z271" s="70">
        <f>IF($S271="","",IF(N($T271)&gt;0,AVERAGEIFS($V$5:$V$1000,$R$5:$R$1000,ROW(),$S$5:$S$1000,"Sub"),$V271))</f>
        <v/>
      </c>
      <c r="AA271" s="70">
        <f>IF($S271="","",IF(N($T271)&gt;0,AVERAGEIFS($W$5:$W$1000,$R$5:$R$1000,ROW(),$S$5:$S$1000,"Sub"),$W271))</f>
        <v/>
      </c>
      <c r="AB271" s="70">
        <f>IF($S271="","",IF(N($T271)&gt;0,AVERAGEIFS($X$5:$X$1000,$R$5:$R$1000,ROW(),$S$5:$S$1000,"Sub"),$X271))</f>
        <v/>
      </c>
    </row>
    <row r="272">
      <c r="A272" s="61">
        <f>IF(NOT((COUNTA($B272:$K272)+COUNTA($N272))&gt;0),"",IF($S272="Macro",COUNTIFS($S$5:$S272,"Macro",$P$5:$P272,$P272),IF(N($R272)=0,"?",COUNTIFS(INDEX($S$5:$S$1000,1):INDEX($S$5:$S$1000,$R272-4),"Macro",INDEX($P$5:$P$1000,1):INDEX($P$5:$P$1000,$R272-4),INDEX($P$5:$P$1000,$R272-4))&amp;"."&amp;COUNTIFS($R$5:$R272,$R272,$S$5:$S272,"Sub"))))</f>
        <v/>
      </c>
      <c r="B272" s="62" t="n"/>
      <c r="C272" s="63" t="n"/>
      <c r="D272" s="62" t="n"/>
      <c r="E272" s="64" t="n"/>
      <c r="F272" s="64" t="n"/>
      <c r="G272" s="65" t="n"/>
      <c r="H272" s="66" t="n"/>
      <c r="I272" s="66" t="n"/>
      <c r="J272" s="66" t="n"/>
      <c r="K272" s="66" t="n"/>
      <c r="L272" s="67">
        <f>IF(NOT((COUNTA($B272:$K272)+COUNTA($N272))&gt;0),"",IF(N($T272)&gt;0,$AB272,IFERROR(LOOKUP(2,1/(H272:K272&lt;&gt;""),H272:K272),0)))</f>
        <v/>
      </c>
      <c r="M272" s="61">
        <f>IF(L272="","",IF(L272&gt;=1,"Completado",IF(L272&gt;0,"En curso","Pendiente")))</f>
        <v/>
      </c>
      <c r="N272" s="62" t="n"/>
      <c r="O272" s="68">
        <f>IF(NOT((COUNTA($B272:$K272)+COUNTA($N272))&gt;0),"",IF((IF(AND($S272="Macro",$B272=""),"Macroactividad vacía"&amp;" · ","")&amp;IF(AND($B272&lt;&gt;"",$C272&lt;&gt;""),"Escriba la subactividad en otra fila, debajo de su macroactividad"&amp;" · ","")&amp;IF(AND($S272="Sub",N($R272)=0),"Subactividad sin macroactividad arriba"&amp;" · ","")&amp;IF($D272="","Sin responsable"&amp;" · ","")&amp;IF($E272="","Sin fecha de inicio"&amp;" · ","")&amp;IF($F272="","Sin fecha límite"&amp;" · ","")&amp;IF(OR(AND($E272&lt;&gt;"",NOT(ISNUMBER($E272))),AND($F272&lt;&gt;"",NOT(ISNUMBER($F272)))),"Fecha no válida"&amp;" · ","")&amp;IF(AND(ISNUMBER($E272),ISNUMBER($F272),$E272&gt;$F272),"Inicio posterior a fecha límite"&amp;" · ","")&amp;IF(AND($S272="Macro",$G272=""),"Peso vacío"&amp;" · ","")&amp;IF(AND($S272="Macro",$G272&lt;&gt;"",OR(NOT(ISNUMBER($G272)),$G272&lt;=0,$G272&gt;1)),"Peso fuera de rango"&amp;" · ","")&amp;IF(AND($S272="Sub",$G272&lt;&gt;""),"Las subactividades no llevan peso"&amp;" · ","")&amp;IF(AND($S272="Macro",ABS(SUMIFS($G$5:$G$1000,$P$5:$P$1000,$P272,$S$5:$S$1000,"Macro")-1)&gt;0.0001),"Pesos del mes suman "&amp;TEXT(SUMIFS($G$5:$G$1000,$P$5:$P$1000,$P272,$S$5:$S$1000,"Macro"),"0%")&amp;" · ","")&amp;IF(AND(N($T272)&gt;0,COUNT($H272:$K272)&gt;0),"Con subactividades: deje vacías las semanas (se calculan solas)"&amp;" · ","")&amp;IF((COUNTIF($H272:$K272,"&gt;1")+COUNTIF($H272:$K272,"&lt;0")+COUNTA($H272:$K272)-COUNT($H272:$K272))&gt;0,"Avance fuera de rango 0-100%"&amp;" · ","")&amp;IF(OR(AND($I272&lt;&gt;"",$I272&lt;$H272),AND($J272&lt;&gt;"",$J272&lt;MAX($H272:$I272)),AND($K272&lt;&gt;"",$K272&lt;MAX($H272:$J272))),"Avance semanal decreciente"&amp;" · ","")&amp;IF(AND(ISNUMBER($F272),$F272&lt;FechaRef,N($L272)&lt;1),"Vencida"&amp;" · ","")&amp;IF(AND(ObsObligatoria="Sí",ISNUMBER($F272),$F272&lt;FechaRef,N($L272)&lt;1,$N272=""),"Vencida sin observación"&amp;" · ",""))="","✔ OK","⚠ "&amp;LEFT(IF(AND($S272="Macro",$B272=""),"Macroactividad vacía"&amp;" · ","")&amp;IF(AND($B272&lt;&gt;"",$C272&lt;&gt;""),"Escriba la subactividad en otra fila, debajo de su macroactividad"&amp;" · ","")&amp;IF(AND($S272="Sub",N($R272)=0),"Subactividad sin macroactividad arriba"&amp;" · ","")&amp;IF($D272="","Sin responsable"&amp;" · ","")&amp;IF($E272="","Sin fecha de inicio"&amp;" · ","")&amp;IF($F272="","Sin fecha límite"&amp;" · ","")&amp;IF(OR(AND($E272&lt;&gt;"",NOT(ISNUMBER($E272))),AND($F272&lt;&gt;"",NOT(ISNUMBER($F272)))),"Fecha no válida"&amp;" · ","")&amp;IF(AND(ISNUMBER($E272),ISNUMBER($F272),$E272&gt;$F272),"Inicio posterior a fecha límite"&amp;" · ","")&amp;IF(AND($S272="Macro",$G272=""),"Peso vacío"&amp;" · ","")&amp;IF(AND($S272="Macro",$G272&lt;&gt;"",OR(NOT(ISNUMBER($G272)),$G272&lt;=0,$G272&gt;1)),"Peso fuera de rango"&amp;" · ","")&amp;IF(AND($S272="Sub",$G272&lt;&gt;""),"Las subactividades no llevan peso"&amp;" · ","")&amp;IF(AND($S272="Macro",ABS(SUMIFS($G$5:$G$1000,$P$5:$P$1000,$P272,$S$5:$S$1000,"Macro")-1)&gt;0.0001),"Pesos del mes suman "&amp;TEXT(SUMIFS($G$5:$G$1000,$P$5:$P$1000,$P272,$S$5:$S$1000,"Macro"),"0%")&amp;" · ","")&amp;IF(AND(N($T272)&gt;0,COUNT($H272:$K272)&gt;0),"Con subactividades: deje vacías las semanas (se calculan solas)"&amp;" · ","")&amp;IF((COUNTIF($H272:$K272,"&gt;1")+COUNTIF($H272:$K272,"&lt;0")+COUNTA($H272:$K272)-COUNT($H272:$K272))&gt;0,"Avance fuera de rango 0-100%"&amp;" · ","")&amp;IF(OR(AND($I272&lt;&gt;"",$I272&lt;$H272),AND($J272&lt;&gt;"",$J272&lt;MAX($H272:$I272)),AND($K272&lt;&gt;"",$K272&lt;MAX($H272:$J272))),"Avance semanal decreciente"&amp;" · ","")&amp;IF(AND(ISNUMBER($F272),$F272&lt;FechaRef,N($L272)&lt;1),"Vencida"&amp;" · ","")&amp;IF(AND(ObsObligatoria="Sí",ISNUMBER($F272),$F272&lt;FechaRef,N($L272)&lt;1,$N272=""),"Vencida sin observación"&amp;" · ",""),LEN(IF(AND($S272="Macro",$B272=""),"Macroactividad vacía"&amp;" · ","")&amp;IF(AND($B272&lt;&gt;"",$C272&lt;&gt;""),"Escriba la subactividad en otra fila, debajo de su macroactividad"&amp;" · ","")&amp;IF(AND($S272="Sub",N($R272)=0),"Subactividad sin macroactividad arriba"&amp;" · ","")&amp;IF($D272="","Sin responsable"&amp;" · ","")&amp;IF($E272="","Sin fecha de inicio"&amp;" · ","")&amp;IF($F272="","Sin fecha límite"&amp;" · ","")&amp;IF(OR(AND($E272&lt;&gt;"",NOT(ISNUMBER($E272))),AND($F272&lt;&gt;"",NOT(ISNUMBER($F272)))),"Fecha no válida"&amp;" · ","")&amp;IF(AND(ISNUMBER($E272),ISNUMBER($F272),$E272&gt;$F272),"Inicio posterior a fecha límite"&amp;" · ","")&amp;IF(AND($S272="Macro",$G272=""),"Peso vacío"&amp;" · ","")&amp;IF(AND($S272="Macro",$G272&lt;&gt;"",OR(NOT(ISNUMBER($G272)),$G272&lt;=0,$G272&gt;1)),"Peso fuera de rango"&amp;" · ","")&amp;IF(AND($S272="Sub",$G272&lt;&gt;""),"Las subactividades no llevan peso"&amp;" · ","")&amp;IF(AND($S272="Macro",ABS(SUMIFS($G$5:$G$1000,$P$5:$P$1000,$P272,$S$5:$S$1000,"Macro")-1)&gt;0.0001),"Pesos del mes suman "&amp;TEXT(SUMIFS($G$5:$G$1000,$P$5:$P$1000,$P272,$S$5:$S$1000,"Macro"),"0%")&amp;" · ","")&amp;IF(AND(N($T272)&gt;0,COUNT($H272:$K272)&gt;0),"Con subactividades: deje vacías las semanas (se calculan solas)"&amp;" · ","")&amp;IF((COUNTIF($H272:$K272,"&gt;1")+COUNTIF($H272:$K272,"&lt;0")+COUNTA($H272:$K272)-COUNT($H272:$K272))&gt;0,"Avance fuera de rango 0-100%"&amp;" · ","")&amp;IF(OR(AND($I272&lt;&gt;"",$I272&lt;$H272),AND($J272&lt;&gt;"",$J272&lt;MAX($H272:$I272)),AND($K272&lt;&gt;"",$K272&lt;MAX($H272:$J272))),"Avance semanal decreciente"&amp;" · ","")&amp;IF(AND(ISNUMBER($F272),$F272&lt;FechaRef,N($L272)&lt;1),"Vencida"&amp;" · ","")&amp;IF(AND(ObsObligatoria="Sí",ISNUMBER($F272),$F272&lt;FechaRef,N($L272)&lt;1,$N272=""),"Vencida sin observación"&amp;" · ",""))-3)))</f>
        <v/>
      </c>
      <c r="P272" s="69">
        <f>IF(NOT((COUNTA($B272:$K272)+COUNTA($N272))&gt;0),"",IF(AND($S272="Sub",N($R272)&gt;0),IF(ISNUMBER(INDEX($E$5:$E$1000,$R272-4)),DATE(YEAR(INDEX($E$5:$E$1000,$R272-4)),MONTH(INDEX($E$5:$E$1000,$R272-4)),1),IF(ISNUMBER(INDEX($F$5:$F$1000,$R272-4)),DATE(YEAR(INDEX($F$5:$F$1000,$R272-4)),MONTH(INDEX($F$5:$F$1000,$R272-4)),1),MesCiclo)),IF(ISNUMBER($E272),DATE(YEAR($E272),MONTH($E272),1),IF(ISNUMBER($F272),DATE(YEAR($F272),MONTH($F272),1),MesCiclo))))</f>
        <v/>
      </c>
      <c r="Q272" s="70">
        <f>IF(OR($P272="",$P272&lt;&gt;MesCiclo),"",COUNTIF($P$5:$P272,MesCiclo))</f>
        <v/>
      </c>
      <c r="R272" s="70">
        <f>IF($S272="","",IF($S272="Macro",ROW(),IFERROR(LOOKUP(2,1/($S$5:$S272="Macro"),ROW($S$5:$S272)),0)))</f>
        <v/>
      </c>
      <c r="S272" s="70">
        <f>IF(NOT((COUNTA($B272:$K272)+COUNTA($N272))&gt;0),"",IF($B272&lt;&gt;"","Macro",IF($C272&lt;&gt;"","Sub","Macro")))</f>
        <v/>
      </c>
      <c r="T272" s="70">
        <f>IF($S272="Macro",COUNTIFS($R$5:$R$1000,ROW(),$S$5:$S$1000,"Sub"),"")</f>
        <v/>
      </c>
      <c r="U272" s="70">
        <f>IF($S272="","",IF(ISNUMBER($H272),$H272,0))</f>
        <v/>
      </c>
      <c r="V272" s="70">
        <f>IF($S272="","",IF(ISNUMBER($I272),$I272,$U272))</f>
        <v/>
      </c>
      <c r="W272" s="70">
        <f>IF($S272="","",IF(ISNUMBER($J272),$J272,$V272))</f>
        <v/>
      </c>
      <c r="X272" s="70">
        <f>IF($S272="","",IF(ISNUMBER($K272),$K272,$W272))</f>
        <v/>
      </c>
      <c r="Y272" s="70">
        <f>IF($S272="","",IF(N($T272)&gt;0,AVERAGEIFS($U$5:$U$1000,$R$5:$R$1000,ROW(),$S$5:$S$1000,"Sub"),$U272))</f>
        <v/>
      </c>
      <c r="Z272" s="70">
        <f>IF($S272="","",IF(N($T272)&gt;0,AVERAGEIFS($V$5:$V$1000,$R$5:$R$1000,ROW(),$S$5:$S$1000,"Sub"),$V272))</f>
        <v/>
      </c>
      <c r="AA272" s="70">
        <f>IF($S272="","",IF(N($T272)&gt;0,AVERAGEIFS($W$5:$W$1000,$R$5:$R$1000,ROW(),$S$5:$S$1000,"Sub"),$W272))</f>
        <v/>
      </c>
      <c r="AB272" s="70">
        <f>IF($S272="","",IF(N($T272)&gt;0,AVERAGEIFS($X$5:$X$1000,$R$5:$R$1000,ROW(),$S$5:$S$1000,"Sub"),$X272))</f>
        <v/>
      </c>
    </row>
    <row r="273">
      <c r="A273" s="61">
        <f>IF(NOT((COUNTA($B273:$K273)+COUNTA($N273))&gt;0),"",IF($S273="Macro",COUNTIFS($S$5:$S273,"Macro",$P$5:$P273,$P273),IF(N($R273)=0,"?",COUNTIFS(INDEX($S$5:$S$1000,1):INDEX($S$5:$S$1000,$R273-4),"Macro",INDEX($P$5:$P$1000,1):INDEX($P$5:$P$1000,$R273-4),INDEX($P$5:$P$1000,$R273-4))&amp;"."&amp;COUNTIFS($R$5:$R273,$R273,$S$5:$S273,"Sub"))))</f>
        <v/>
      </c>
      <c r="B273" s="62" t="n"/>
      <c r="C273" s="63" t="n"/>
      <c r="D273" s="62" t="n"/>
      <c r="E273" s="64" t="n"/>
      <c r="F273" s="64" t="n"/>
      <c r="G273" s="65" t="n"/>
      <c r="H273" s="66" t="n"/>
      <c r="I273" s="66" t="n"/>
      <c r="J273" s="66" t="n"/>
      <c r="K273" s="66" t="n"/>
      <c r="L273" s="67">
        <f>IF(NOT((COUNTA($B273:$K273)+COUNTA($N273))&gt;0),"",IF(N($T273)&gt;0,$AB273,IFERROR(LOOKUP(2,1/(H273:K273&lt;&gt;""),H273:K273),0)))</f>
        <v/>
      </c>
      <c r="M273" s="61">
        <f>IF(L273="","",IF(L273&gt;=1,"Completado",IF(L273&gt;0,"En curso","Pendiente")))</f>
        <v/>
      </c>
      <c r="N273" s="62" t="n"/>
      <c r="O273" s="68">
        <f>IF(NOT((COUNTA($B273:$K273)+COUNTA($N273))&gt;0),"",IF((IF(AND($S273="Macro",$B273=""),"Macroactividad vacía"&amp;" · ","")&amp;IF(AND($B273&lt;&gt;"",$C273&lt;&gt;""),"Escriba la subactividad en otra fila, debajo de su macroactividad"&amp;" · ","")&amp;IF(AND($S273="Sub",N($R273)=0),"Subactividad sin macroactividad arriba"&amp;" · ","")&amp;IF($D273="","Sin responsable"&amp;" · ","")&amp;IF($E273="","Sin fecha de inicio"&amp;" · ","")&amp;IF($F273="","Sin fecha límite"&amp;" · ","")&amp;IF(OR(AND($E273&lt;&gt;"",NOT(ISNUMBER($E273))),AND($F273&lt;&gt;"",NOT(ISNUMBER($F273)))),"Fecha no válida"&amp;" · ","")&amp;IF(AND(ISNUMBER($E273),ISNUMBER($F273),$E273&gt;$F273),"Inicio posterior a fecha límite"&amp;" · ","")&amp;IF(AND($S273="Macro",$G273=""),"Peso vacío"&amp;" · ","")&amp;IF(AND($S273="Macro",$G273&lt;&gt;"",OR(NOT(ISNUMBER($G273)),$G273&lt;=0,$G273&gt;1)),"Peso fuera de rango"&amp;" · ","")&amp;IF(AND($S273="Sub",$G273&lt;&gt;""),"Las subactividades no llevan peso"&amp;" · ","")&amp;IF(AND($S273="Macro",ABS(SUMIFS($G$5:$G$1000,$P$5:$P$1000,$P273,$S$5:$S$1000,"Macro")-1)&gt;0.0001),"Pesos del mes suman "&amp;TEXT(SUMIFS($G$5:$G$1000,$P$5:$P$1000,$P273,$S$5:$S$1000,"Macro"),"0%")&amp;" · ","")&amp;IF(AND(N($T273)&gt;0,COUNT($H273:$K273)&gt;0),"Con subactividades: deje vacías las semanas (se calculan solas)"&amp;" · ","")&amp;IF((COUNTIF($H273:$K273,"&gt;1")+COUNTIF($H273:$K273,"&lt;0")+COUNTA($H273:$K273)-COUNT($H273:$K273))&gt;0,"Avance fuera de rango 0-100%"&amp;" · ","")&amp;IF(OR(AND($I273&lt;&gt;"",$I273&lt;$H273),AND($J273&lt;&gt;"",$J273&lt;MAX($H273:$I273)),AND($K273&lt;&gt;"",$K273&lt;MAX($H273:$J273))),"Avance semanal decreciente"&amp;" · ","")&amp;IF(AND(ISNUMBER($F273),$F273&lt;FechaRef,N($L273)&lt;1),"Vencida"&amp;" · ","")&amp;IF(AND(ObsObligatoria="Sí",ISNUMBER($F273),$F273&lt;FechaRef,N($L273)&lt;1,$N273=""),"Vencida sin observación"&amp;" · ",""))="","✔ OK","⚠ "&amp;LEFT(IF(AND($S273="Macro",$B273=""),"Macroactividad vacía"&amp;" · ","")&amp;IF(AND($B273&lt;&gt;"",$C273&lt;&gt;""),"Escriba la subactividad en otra fila, debajo de su macroactividad"&amp;" · ","")&amp;IF(AND($S273="Sub",N($R273)=0),"Subactividad sin macroactividad arriba"&amp;" · ","")&amp;IF($D273="","Sin responsable"&amp;" · ","")&amp;IF($E273="","Sin fecha de inicio"&amp;" · ","")&amp;IF($F273="","Sin fecha límite"&amp;" · ","")&amp;IF(OR(AND($E273&lt;&gt;"",NOT(ISNUMBER($E273))),AND($F273&lt;&gt;"",NOT(ISNUMBER($F273)))),"Fecha no válida"&amp;" · ","")&amp;IF(AND(ISNUMBER($E273),ISNUMBER($F273),$E273&gt;$F273),"Inicio posterior a fecha límite"&amp;" · ","")&amp;IF(AND($S273="Macro",$G273=""),"Peso vacío"&amp;" · ","")&amp;IF(AND($S273="Macro",$G273&lt;&gt;"",OR(NOT(ISNUMBER($G273)),$G273&lt;=0,$G273&gt;1)),"Peso fuera de rango"&amp;" · ","")&amp;IF(AND($S273="Sub",$G273&lt;&gt;""),"Las subactividades no llevan peso"&amp;" · ","")&amp;IF(AND($S273="Macro",ABS(SUMIFS($G$5:$G$1000,$P$5:$P$1000,$P273,$S$5:$S$1000,"Macro")-1)&gt;0.0001),"Pesos del mes suman "&amp;TEXT(SUMIFS($G$5:$G$1000,$P$5:$P$1000,$P273,$S$5:$S$1000,"Macro"),"0%")&amp;" · ","")&amp;IF(AND(N($T273)&gt;0,COUNT($H273:$K273)&gt;0),"Con subactividades: deje vacías las semanas (se calculan solas)"&amp;" · ","")&amp;IF((COUNTIF($H273:$K273,"&gt;1")+COUNTIF($H273:$K273,"&lt;0")+COUNTA($H273:$K273)-COUNT($H273:$K273))&gt;0,"Avance fuera de rango 0-100%"&amp;" · ","")&amp;IF(OR(AND($I273&lt;&gt;"",$I273&lt;$H273),AND($J273&lt;&gt;"",$J273&lt;MAX($H273:$I273)),AND($K273&lt;&gt;"",$K273&lt;MAX($H273:$J273))),"Avance semanal decreciente"&amp;" · ","")&amp;IF(AND(ISNUMBER($F273),$F273&lt;FechaRef,N($L273)&lt;1),"Vencida"&amp;" · ","")&amp;IF(AND(ObsObligatoria="Sí",ISNUMBER($F273),$F273&lt;FechaRef,N($L273)&lt;1,$N273=""),"Vencida sin observación"&amp;" · ",""),LEN(IF(AND($S273="Macro",$B273=""),"Macroactividad vacía"&amp;" · ","")&amp;IF(AND($B273&lt;&gt;"",$C273&lt;&gt;""),"Escriba la subactividad en otra fila, debajo de su macroactividad"&amp;" · ","")&amp;IF(AND($S273="Sub",N($R273)=0),"Subactividad sin macroactividad arriba"&amp;" · ","")&amp;IF($D273="","Sin responsable"&amp;" · ","")&amp;IF($E273="","Sin fecha de inicio"&amp;" · ","")&amp;IF($F273="","Sin fecha límite"&amp;" · ","")&amp;IF(OR(AND($E273&lt;&gt;"",NOT(ISNUMBER($E273))),AND($F273&lt;&gt;"",NOT(ISNUMBER($F273)))),"Fecha no válida"&amp;" · ","")&amp;IF(AND(ISNUMBER($E273),ISNUMBER($F273),$E273&gt;$F273),"Inicio posterior a fecha límite"&amp;" · ","")&amp;IF(AND($S273="Macro",$G273=""),"Peso vacío"&amp;" · ","")&amp;IF(AND($S273="Macro",$G273&lt;&gt;"",OR(NOT(ISNUMBER($G273)),$G273&lt;=0,$G273&gt;1)),"Peso fuera de rango"&amp;" · ","")&amp;IF(AND($S273="Sub",$G273&lt;&gt;""),"Las subactividades no llevan peso"&amp;" · ","")&amp;IF(AND($S273="Macro",ABS(SUMIFS($G$5:$G$1000,$P$5:$P$1000,$P273,$S$5:$S$1000,"Macro")-1)&gt;0.0001),"Pesos del mes suman "&amp;TEXT(SUMIFS($G$5:$G$1000,$P$5:$P$1000,$P273,$S$5:$S$1000,"Macro"),"0%")&amp;" · ","")&amp;IF(AND(N($T273)&gt;0,COUNT($H273:$K273)&gt;0),"Con subactividades: deje vacías las semanas (se calculan solas)"&amp;" · ","")&amp;IF((COUNTIF($H273:$K273,"&gt;1")+COUNTIF($H273:$K273,"&lt;0")+COUNTA($H273:$K273)-COUNT($H273:$K273))&gt;0,"Avance fuera de rango 0-100%"&amp;" · ","")&amp;IF(OR(AND($I273&lt;&gt;"",$I273&lt;$H273),AND($J273&lt;&gt;"",$J273&lt;MAX($H273:$I273)),AND($K273&lt;&gt;"",$K273&lt;MAX($H273:$J273))),"Avance semanal decreciente"&amp;" · ","")&amp;IF(AND(ISNUMBER($F273),$F273&lt;FechaRef,N($L273)&lt;1),"Vencida"&amp;" · ","")&amp;IF(AND(ObsObligatoria="Sí",ISNUMBER($F273),$F273&lt;FechaRef,N($L273)&lt;1,$N273=""),"Vencida sin observación"&amp;" · ",""))-3)))</f>
        <v/>
      </c>
      <c r="P273" s="69">
        <f>IF(NOT((COUNTA($B273:$K273)+COUNTA($N273))&gt;0),"",IF(AND($S273="Sub",N($R273)&gt;0),IF(ISNUMBER(INDEX($E$5:$E$1000,$R273-4)),DATE(YEAR(INDEX($E$5:$E$1000,$R273-4)),MONTH(INDEX($E$5:$E$1000,$R273-4)),1),IF(ISNUMBER(INDEX($F$5:$F$1000,$R273-4)),DATE(YEAR(INDEX($F$5:$F$1000,$R273-4)),MONTH(INDEX($F$5:$F$1000,$R273-4)),1),MesCiclo)),IF(ISNUMBER($E273),DATE(YEAR($E273),MONTH($E273),1),IF(ISNUMBER($F273),DATE(YEAR($F273),MONTH($F273),1),MesCiclo))))</f>
        <v/>
      </c>
      <c r="Q273" s="70">
        <f>IF(OR($P273="",$P273&lt;&gt;MesCiclo),"",COUNTIF($P$5:$P273,MesCiclo))</f>
        <v/>
      </c>
      <c r="R273" s="70">
        <f>IF($S273="","",IF($S273="Macro",ROW(),IFERROR(LOOKUP(2,1/($S$5:$S273="Macro"),ROW($S$5:$S273)),0)))</f>
        <v/>
      </c>
      <c r="S273" s="70">
        <f>IF(NOT((COUNTA($B273:$K273)+COUNTA($N273))&gt;0),"",IF($B273&lt;&gt;"","Macro",IF($C273&lt;&gt;"","Sub","Macro")))</f>
        <v/>
      </c>
      <c r="T273" s="70">
        <f>IF($S273="Macro",COUNTIFS($R$5:$R$1000,ROW(),$S$5:$S$1000,"Sub"),"")</f>
        <v/>
      </c>
      <c r="U273" s="70">
        <f>IF($S273="","",IF(ISNUMBER($H273),$H273,0))</f>
        <v/>
      </c>
      <c r="V273" s="70">
        <f>IF($S273="","",IF(ISNUMBER($I273),$I273,$U273))</f>
        <v/>
      </c>
      <c r="W273" s="70">
        <f>IF($S273="","",IF(ISNUMBER($J273),$J273,$V273))</f>
        <v/>
      </c>
      <c r="X273" s="70">
        <f>IF($S273="","",IF(ISNUMBER($K273),$K273,$W273))</f>
        <v/>
      </c>
      <c r="Y273" s="70">
        <f>IF($S273="","",IF(N($T273)&gt;0,AVERAGEIFS($U$5:$U$1000,$R$5:$R$1000,ROW(),$S$5:$S$1000,"Sub"),$U273))</f>
        <v/>
      </c>
      <c r="Z273" s="70">
        <f>IF($S273="","",IF(N($T273)&gt;0,AVERAGEIFS($V$5:$V$1000,$R$5:$R$1000,ROW(),$S$5:$S$1000,"Sub"),$V273))</f>
        <v/>
      </c>
      <c r="AA273" s="70">
        <f>IF($S273="","",IF(N($T273)&gt;0,AVERAGEIFS($W$5:$W$1000,$R$5:$R$1000,ROW(),$S$5:$S$1000,"Sub"),$W273))</f>
        <v/>
      </c>
      <c r="AB273" s="70">
        <f>IF($S273="","",IF(N($T273)&gt;0,AVERAGEIFS($X$5:$X$1000,$R$5:$R$1000,ROW(),$S$5:$S$1000,"Sub"),$X273))</f>
        <v/>
      </c>
    </row>
    <row r="274">
      <c r="A274" s="61">
        <f>IF(NOT((COUNTA($B274:$K274)+COUNTA($N274))&gt;0),"",IF($S274="Macro",COUNTIFS($S$5:$S274,"Macro",$P$5:$P274,$P274),IF(N($R274)=0,"?",COUNTIFS(INDEX($S$5:$S$1000,1):INDEX($S$5:$S$1000,$R274-4),"Macro",INDEX($P$5:$P$1000,1):INDEX($P$5:$P$1000,$R274-4),INDEX($P$5:$P$1000,$R274-4))&amp;"."&amp;COUNTIFS($R$5:$R274,$R274,$S$5:$S274,"Sub"))))</f>
        <v/>
      </c>
      <c r="B274" s="62" t="n"/>
      <c r="C274" s="63" t="n"/>
      <c r="D274" s="62" t="n"/>
      <c r="E274" s="64" t="n"/>
      <c r="F274" s="64" t="n"/>
      <c r="G274" s="65" t="n"/>
      <c r="H274" s="66" t="n"/>
      <c r="I274" s="66" t="n"/>
      <c r="J274" s="66" t="n"/>
      <c r="K274" s="66" t="n"/>
      <c r="L274" s="67">
        <f>IF(NOT((COUNTA($B274:$K274)+COUNTA($N274))&gt;0),"",IF(N($T274)&gt;0,$AB274,IFERROR(LOOKUP(2,1/(H274:K274&lt;&gt;""),H274:K274),0)))</f>
        <v/>
      </c>
      <c r="M274" s="61">
        <f>IF(L274="","",IF(L274&gt;=1,"Completado",IF(L274&gt;0,"En curso","Pendiente")))</f>
        <v/>
      </c>
      <c r="N274" s="62" t="n"/>
      <c r="O274" s="68">
        <f>IF(NOT((COUNTA($B274:$K274)+COUNTA($N274))&gt;0),"",IF((IF(AND($S274="Macro",$B274=""),"Macroactividad vacía"&amp;" · ","")&amp;IF(AND($B274&lt;&gt;"",$C274&lt;&gt;""),"Escriba la subactividad en otra fila, debajo de su macroactividad"&amp;" · ","")&amp;IF(AND($S274="Sub",N($R274)=0),"Subactividad sin macroactividad arriba"&amp;" · ","")&amp;IF($D274="","Sin responsable"&amp;" · ","")&amp;IF($E274="","Sin fecha de inicio"&amp;" · ","")&amp;IF($F274="","Sin fecha límite"&amp;" · ","")&amp;IF(OR(AND($E274&lt;&gt;"",NOT(ISNUMBER($E274))),AND($F274&lt;&gt;"",NOT(ISNUMBER($F274)))),"Fecha no válida"&amp;" · ","")&amp;IF(AND(ISNUMBER($E274),ISNUMBER($F274),$E274&gt;$F274),"Inicio posterior a fecha límite"&amp;" · ","")&amp;IF(AND($S274="Macro",$G274=""),"Peso vacío"&amp;" · ","")&amp;IF(AND($S274="Macro",$G274&lt;&gt;"",OR(NOT(ISNUMBER($G274)),$G274&lt;=0,$G274&gt;1)),"Peso fuera de rango"&amp;" · ","")&amp;IF(AND($S274="Sub",$G274&lt;&gt;""),"Las subactividades no llevan peso"&amp;" · ","")&amp;IF(AND($S274="Macro",ABS(SUMIFS($G$5:$G$1000,$P$5:$P$1000,$P274,$S$5:$S$1000,"Macro")-1)&gt;0.0001),"Pesos del mes suman "&amp;TEXT(SUMIFS($G$5:$G$1000,$P$5:$P$1000,$P274,$S$5:$S$1000,"Macro"),"0%")&amp;" · ","")&amp;IF(AND(N($T274)&gt;0,COUNT($H274:$K274)&gt;0),"Con subactividades: deje vacías las semanas (se calculan solas)"&amp;" · ","")&amp;IF((COUNTIF($H274:$K274,"&gt;1")+COUNTIF($H274:$K274,"&lt;0")+COUNTA($H274:$K274)-COUNT($H274:$K274))&gt;0,"Avance fuera de rango 0-100%"&amp;" · ","")&amp;IF(OR(AND($I274&lt;&gt;"",$I274&lt;$H274),AND($J274&lt;&gt;"",$J274&lt;MAX($H274:$I274)),AND($K274&lt;&gt;"",$K274&lt;MAX($H274:$J274))),"Avance semanal decreciente"&amp;" · ","")&amp;IF(AND(ISNUMBER($F274),$F274&lt;FechaRef,N($L274)&lt;1),"Vencida"&amp;" · ","")&amp;IF(AND(ObsObligatoria="Sí",ISNUMBER($F274),$F274&lt;FechaRef,N($L274)&lt;1,$N274=""),"Vencida sin observación"&amp;" · ",""))="","✔ OK","⚠ "&amp;LEFT(IF(AND($S274="Macro",$B274=""),"Macroactividad vacía"&amp;" · ","")&amp;IF(AND($B274&lt;&gt;"",$C274&lt;&gt;""),"Escriba la subactividad en otra fila, debajo de su macroactividad"&amp;" · ","")&amp;IF(AND($S274="Sub",N($R274)=0),"Subactividad sin macroactividad arriba"&amp;" · ","")&amp;IF($D274="","Sin responsable"&amp;" · ","")&amp;IF($E274="","Sin fecha de inicio"&amp;" · ","")&amp;IF($F274="","Sin fecha límite"&amp;" · ","")&amp;IF(OR(AND($E274&lt;&gt;"",NOT(ISNUMBER($E274))),AND($F274&lt;&gt;"",NOT(ISNUMBER($F274)))),"Fecha no válida"&amp;" · ","")&amp;IF(AND(ISNUMBER($E274),ISNUMBER($F274),$E274&gt;$F274),"Inicio posterior a fecha límite"&amp;" · ","")&amp;IF(AND($S274="Macro",$G274=""),"Peso vacío"&amp;" · ","")&amp;IF(AND($S274="Macro",$G274&lt;&gt;"",OR(NOT(ISNUMBER($G274)),$G274&lt;=0,$G274&gt;1)),"Peso fuera de rango"&amp;" · ","")&amp;IF(AND($S274="Sub",$G274&lt;&gt;""),"Las subactividades no llevan peso"&amp;" · ","")&amp;IF(AND($S274="Macro",ABS(SUMIFS($G$5:$G$1000,$P$5:$P$1000,$P274,$S$5:$S$1000,"Macro")-1)&gt;0.0001),"Pesos del mes suman "&amp;TEXT(SUMIFS($G$5:$G$1000,$P$5:$P$1000,$P274,$S$5:$S$1000,"Macro"),"0%")&amp;" · ","")&amp;IF(AND(N($T274)&gt;0,COUNT($H274:$K274)&gt;0),"Con subactividades: deje vacías las semanas (se calculan solas)"&amp;" · ","")&amp;IF((COUNTIF($H274:$K274,"&gt;1")+COUNTIF($H274:$K274,"&lt;0")+COUNTA($H274:$K274)-COUNT($H274:$K274))&gt;0,"Avance fuera de rango 0-100%"&amp;" · ","")&amp;IF(OR(AND($I274&lt;&gt;"",$I274&lt;$H274),AND($J274&lt;&gt;"",$J274&lt;MAX($H274:$I274)),AND($K274&lt;&gt;"",$K274&lt;MAX($H274:$J274))),"Avance semanal decreciente"&amp;" · ","")&amp;IF(AND(ISNUMBER($F274),$F274&lt;FechaRef,N($L274)&lt;1),"Vencida"&amp;" · ","")&amp;IF(AND(ObsObligatoria="Sí",ISNUMBER($F274),$F274&lt;FechaRef,N($L274)&lt;1,$N274=""),"Vencida sin observación"&amp;" · ",""),LEN(IF(AND($S274="Macro",$B274=""),"Macroactividad vacía"&amp;" · ","")&amp;IF(AND($B274&lt;&gt;"",$C274&lt;&gt;""),"Escriba la subactividad en otra fila, debajo de su macroactividad"&amp;" · ","")&amp;IF(AND($S274="Sub",N($R274)=0),"Subactividad sin macroactividad arriba"&amp;" · ","")&amp;IF($D274="","Sin responsable"&amp;" · ","")&amp;IF($E274="","Sin fecha de inicio"&amp;" · ","")&amp;IF($F274="","Sin fecha límite"&amp;" · ","")&amp;IF(OR(AND($E274&lt;&gt;"",NOT(ISNUMBER($E274))),AND($F274&lt;&gt;"",NOT(ISNUMBER($F274)))),"Fecha no válida"&amp;" · ","")&amp;IF(AND(ISNUMBER($E274),ISNUMBER($F274),$E274&gt;$F274),"Inicio posterior a fecha límite"&amp;" · ","")&amp;IF(AND($S274="Macro",$G274=""),"Peso vacío"&amp;" · ","")&amp;IF(AND($S274="Macro",$G274&lt;&gt;"",OR(NOT(ISNUMBER($G274)),$G274&lt;=0,$G274&gt;1)),"Peso fuera de rango"&amp;" · ","")&amp;IF(AND($S274="Sub",$G274&lt;&gt;""),"Las subactividades no llevan peso"&amp;" · ","")&amp;IF(AND($S274="Macro",ABS(SUMIFS($G$5:$G$1000,$P$5:$P$1000,$P274,$S$5:$S$1000,"Macro")-1)&gt;0.0001),"Pesos del mes suman "&amp;TEXT(SUMIFS($G$5:$G$1000,$P$5:$P$1000,$P274,$S$5:$S$1000,"Macro"),"0%")&amp;" · ","")&amp;IF(AND(N($T274)&gt;0,COUNT($H274:$K274)&gt;0),"Con subactividades: deje vacías las semanas (se calculan solas)"&amp;" · ","")&amp;IF((COUNTIF($H274:$K274,"&gt;1")+COUNTIF($H274:$K274,"&lt;0")+COUNTA($H274:$K274)-COUNT($H274:$K274))&gt;0,"Avance fuera de rango 0-100%"&amp;" · ","")&amp;IF(OR(AND($I274&lt;&gt;"",$I274&lt;$H274),AND($J274&lt;&gt;"",$J274&lt;MAX($H274:$I274)),AND($K274&lt;&gt;"",$K274&lt;MAX($H274:$J274))),"Avance semanal decreciente"&amp;" · ","")&amp;IF(AND(ISNUMBER($F274),$F274&lt;FechaRef,N($L274)&lt;1),"Vencida"&amp;" · ","")&amp;IF(AND(ObsObligatoria="Sí",ISNUMBER($F274),$F274&lt;FechaRef,N($L274)&lt;1,$N274=""),"Vencida sin observación"&amp;" · ",""))-3)))</f>
        <v/>
      </c>
      <c r="P274" s="69">
        <f>IF(NOT((COUNTA($B274:$K274)+COUNTA($N274))&gt;0),"",IF(AND($S274="Sub",N($R274)&gt;0),IF(ISNUMBER(INDEX($E$5:$E$1000,$R274-4)),DATE(YEAR(INDEX($E$5:$E$1000,$R274-4)),MONTH(INDEX($E$5:$E$1000,$R274-4)),1),IF(ISNUMBER(INDEX($F$5:$F$1000,$R274-4)),DATE(YEAR(INDEX($F$5:$F$1000,$R274-4)),MONTH(INDEX($F$5:$F$1000,$R274-4)),1),MesCiclo)),IF(ISNUMBER($E274),DATE(YEAR($E274),MONTH($E274),1),IF(ISNUMBER($F274),DATE(YEAR($F274),MONTH($F274),1),MesCiclo))))</f>
        <v/>
      </c>
      <c r="Q274" s="70">
        <f>IF(OR($P274="",$P274&lt;&gt;MesCiclo),"",COUNTIF($P$5:$P274,MesCiclo))</f>
        <v/>
      </c>
      <c r="R274" s="70">
        <f>IF($S274="","",IF($S274="Macro",ROW(),IFERROR(LOOKUP(2,1/($S$5:$S274="Macro"),ROW($S$5:$S274)),0)))</f>
        <v/>
      </c>
      <c r="S274" s="70">
        <f>IF(NOT((COUNTA($B274:$K274)+COUNTA($N274))&gt;0),"",IF($B274&lt;&gt;"","Macro",IF($C274&lt;&gt;"","Sub","Macro")))</f>
        <v/>
      </c>
      <c r="T274" s="70">
        <f>IF($S274="Macro",COUNTIFS($R$5:$R$1000,ROW(),$S$5:$S$1000,"Sub"),"")</f>
        <v/>
      </c>
      <c r="U274" s="70">
        <f>IF($S274="","",IF(ISNUMBER($H274),$H274,0))</f>
        <v/>
      </c>
      <c r="V274" s="70">
        <f>IF($S274="","",IF(ISNUMBER($I274),$I274,$U274))</f>
        <v/>
      </c>
      <c r="W274" s="70">
        <f>IF($S274="","",IF(ISNUMBER($J274),$J274,$V274))</f>
        <v/>
      </c>
      <c r="X274" s="70">
        <f>IF($S274="","",IF(ISNUMBER($K274),$K274,$W274))</f>
        <v/>
      </c>
      <c r="Y274" s="70">
        <f>IF($S274="","",IF(N($T274)&gt;0,AVERAGEIFS($U$5:$U$1000,$R$5:$R$1000,ROW(),$S$5:$S$1000,"Sub"),$U274))</f>
        <v/>
      </c>
      <c r="Z274" s="70">
        <f>IF($S274="","",IF(N($T274)&gt;0,AVERAGEIFS($V$5:$V$1000,$R$5:$R$1000,ROW(),$S$5:$S$1000,"Sub"),$V274))</f>
        <v/>
      </c>
      <c r="AA274" s="70">
        <f>IF($S274="","",IF(N($T274)&gt;0,AVERAGEIFS($W$5:$W$1000,$R$5:$R$1000,ROW(),$S$5:$S$1000,"Sub"),$W274))</f>
        <v/>
      </c>
      <c r="AB274" s="70">
        <f>IF($S274="","",IF(N($T274)&gt;0,AVERAGEIFS($X$5:$X$1000,$R$5:$R$1000,ROW(),$S$5:$S$1000,"Sub"),$X274))</f>
        <v/>
      </c>
    </row>
    <row r="275">
      <c r="A275" s="61">
        <f>IF(NOT((COUNTA($B275:$K275)+COUNTA($N275))&gt;0),"",IF($S275="Macro",COUNTIFS($S$5:$S275,"Macro",$P$5:$P275,$P275),IF(N($R275)=0,"?",COUNTIFS(INDEX($S$5:$S$1000,1):INDEX($S$5:$S$1000,$R275-4),"Macro",INDEX($P$5:$P$1000,1):INDEX($P$5:$P$1000,$R275-4),INDEX($P$5:$P$1000,$R275-4))&amp;"."&amp;COUNTIFS($R$5:$R275,$R275,$S$5:$S275,"Sub"))))</f>
        <v/>
      </c>
      <c r="B275" s="62" t="n"/>
      <c r="C275" s="63" t="n"/>
      <c r="D275" s="62" t="n"/>
      <c r="E275" s="64" t="n"/>
      <c r="F275" s="64" t="n"/>
      <c r="G275" s="65" t="n"/>
      <c r="H275" s="66" t="n"/>
      <c r="I275" s="66" t="n"/>
      <c r="J275" s="66" t="n"/>
      <c r="K275" s="66" t="n"/>
      <c r="L275" s="67">
        <f>IF(NOT((COUNTA($B275:$K275)+COUNTA($N275))&gt;0),"",IF(N($T275)&gt;0,$AB275,IFERROR(LOOKUP(2,1/(H275:K275&lt;&gt;""),H275:K275),0)))</f>
        <v/>
      </c>
      <c r="M275" s="61">
        <f>IF(L275="","",IF(L275&gt;=1,"Completado",IF(L275&gt;0,"En curso","Pendiente")))</f>
        <v/>
      </c>
      <c r="N275" s="62" t="n"/>
      <c r="O275" s="68">
        <f>IF(NOT((COUNTA($B275:$K275)+COUNTA($N275))&gt;0),"",IF((IF(AND($S275="Macro",$B275=""),"Macroactividad vacía"&amp;" · ","")&amp;IF(AND($B275&lt;&gt;"",$C275&lt;&gt;""),"Escriba la subactividad en otra fila, debajo de su macroactividad"&amp;" · ","")&amp;IF(AND($S275="Sub",N($R275)=0),"Subactividad sin macroactividad arriba"&amp;" · ","")&amp;IF($D275="","Sin responsable"&amp;" · ","")&amp;IF($E275="","Sin fecha de inicio"&amp;" · ","")&amp;IF($F275="","Sin fecha límite"&amp;" · ","")&amp;IF(OR(AND($E275&lt;&gt;"",NOT(ISNUMBER($E275))),AND($F275&lt;&gt;"",NOT(ISNUMBER($F275)))),"Fecha no válida"&amp;" · ","")&amp;IF(AND(ISNUMBER($E275),ISNUMBER($F275),$E275&gt;$F275),"Inicio posterior a fecha límite"&amp;" · ","")&amp;IF(AND($S275="Macro",$G275=""),"Peso vacío"&amp;" · ","")&amp;IF(AND($S275="Macro",$G275&lt;&gt;"",OR(NOT(ISNUMBER($G275)),$G275&lt;=0,$G275&gt;1)),"Peso fuera de rango"&amp;" · ","")&amp;IF(AND($S275="Sub",$G275&lt;&gt;""),"Las subactividades no llevan peso"&amp;" · ","")&amp;IF(AND($S275="Macro",ABS(SUMIFS($G$5:$G$1000,$P$5:$P$1000,$P275,$S$5:$S$1000,"Macro")-1)&gt;0.0001),"Pesos del mes suman "&amp;TEXT(SUMIFS($G$5:$G$1000,$P$5:$P$1000,$P275,$S$5:$S$1000,"Macro"),"0%")&amp;" · ","")&amp;IF(AND(N($T275)&gt;0,COUNT($H275:$K275)&gt;0),"Con subactividades: deje vacías las semanas (se calculan solas)"&amp;" · ","")&amp;IF((COUNTIF($H275:$K275,"&gt;1")+COUNTIF($H275:$K275,"&lt;0")+COUNTA($H275:$K275)-COUNT($H275:$K275))&gt;0,"Avance fuera de rango 0-100%"&amp;" · ","")&amp;IF(OR(AND($I275&lt;&gt;"",$I275&lt;$H275),AND($J275&lt;&gt;"",$J275&lt;MAX($H275:$I275)),AND($K275&lt;&gt;"",$K275&lt;MAX($H275:$J275))),"Avance semanal decreciente"&amp;" · ","")&amp;IF(AND(ISNUMBER($F275),$F275&lt;FechaRef,N($L275)&lt;1),"Vencida"&amp;" · ","")&amp;IF(AND(ObsObligatoria="Sí",ISNUMBER($F275),$F275&lt;FechaRef,N($L275)&lt;1,$N275=""),"Vencida sin observación"&amp;" · ",""))="","✔ OK","⚠ "&amp;LEFT(IF(AND($S275="Macro",$B275=""),"Macroactividad vacía"&amp;" · ","")&amp;IF(AND($B275&lt;&gt;"",$C275&lt;&gt;""),"Escriba la subactividad en otra fila, debajo de su macroactividad"&amp;" · ","")&amp;IF(AND($S275="Sub",N($R275)=0),"Subactividad sin macroactividad arriba"&amp;" · ","")&amp;IF($D275="","Sin responsable"&amp;" · ","")&amp;IF($E275="","Sin fecha de inicio"&amp;" · ","")&amp;IF($F275="","Sin fecha límite"&amp;" · ","")&amp;IF(OR(AND($E275&lt;&gt;"",NOT(ISNUMBER($E275))),AND($F275&lt;&gt;"",NOT(ISNUMBER($F275)))),"Fecha no válida"&amp;" · ","")&amp;IF(AND(ISNUMBER($E275),ISNUMBER($F275),$E275&gt;$F275),"Inicio posterior a fecha límite"&amp;" · ","")&amp;IF(AND($S275="Macro",$G275=""),"Peso vacío"&amp;" · ","")&amp;IF(AND($S275="Macro",$G275&lt;&gt;"",OR(NOT(ISNUMBER($G275)),$G275&lt;=0,$G275&gt;1)),"Peso fuera de rango"&amp;" · ","")&amp;IF(AND($S275="Sub",$G275&lt;&gt;""),"Las subactividades no llevan peso"&amp;" · ","")&amp;IF(AND($S275="Macro",ABS(SUMIFS($G$5:$G$1000,$P$5:$P$1000,$P275,$S$5:$S$1000,"Macro")-1)&gt;0.0001),"Pesos del mes suman "&amp;TEXT(SUMIFS($G$5:$G$1000,$P$5:$P$1000,$P275,$S$5:$S$1000,"Macro"),"0%")&amp;" · ","")&amp;IF(AND(N($T275)&gt;0,COUNT($H275:$K275)&gt;0),"Con subactividades: deje vacías las semanas (se calculan solas)"&amp;" · ","")&amp;IF((COUNTIF($H275:$K275,"&gt;1")+COUNTIF($H275:$K275,"&lt;0")+COUNTA($H275:$K275)-COUNT($H275:$K275))&gt;0,"Avance fuera de rango 0-100%"&amp;" · ","")&amp;IF(OR(AND($I275&lt;&gt;"",$I275&lt;$H275),AND($J275&lt;&gt;"",$J275&lt;MAX($H275:$I275)),AND($K275&lt;&gt;"",$K275&lt;MAX($H275:$J275))),"Avance semanal decreciente"&amp;" · ","")&amp;IF(AND(ISNUMBER($F275),$F275&lt;FechaRef,N($L275)&lt;1),"Vencida"&amp;" · ","")&amp;IF(AND(ObsObligatoria="Sí",ISNUMBER($F275),$F275&lt;FechaRef,N($L275)&lt;1,$N275=""),"Vencida sin observación"&amp;" · ",""),LEN(IF(AND($S275="Macro",$B275=""),"Macroactividad vacía"&amp;" · ","")&amp;IF(AND($B275&lt;&gt;"",$C275&lt;&gt;""),"Escriba la subactividad en otra fila, debajo de su macroactividad"&amp;" · ","")&amp;IF(AND($S275="Sub",N($R275)=0),"Subactividad sin macroactividad arriba"&amp;" · ","")&amp;IF($D275="","Sin responsable"&amp;" · ","")&amp;IF($E275="","Sin fecha de inicio"&amp;" · ","")&amp;IF($F275="","Sin fecha límite"&amp;" · ","")&amp;IF(OR(AND($E275&lt;&gt;"",NOT(ISNUMBER($E275))),AND($F275&lt;&gt;"",NOT(ISNUMBER($F275)))),"Fecha no válida"&amp;" · ","")&amp;IF(AND(ISNUMBER($E275),ISNUMBER($F275),$E275&gt;$F275),"Inicio posterior a fecha límite"&amp;" · ","")&amp;IF(AND($S275="Macro",$G275=""),"Peso vacío"&amp;" · ","")&amp;IF(AND($S275="Macro",$G275&lt;&gt;"",OR(NOT(ISNUMBER($G275)),$G275&lt;=0,$G275&gt;1)),"Peso fuera de rango"&amp;" · ","")&amp;IF(AND($S275="Sub",$G275&lt;&gt;""),"Las subactividades no llevan peso"&amp;" · ","")&amp;IF(AND($S275="Macro",ABS(SUMIFS($G$5:$G$1000,$P$5:$P$1000,$P275,$S$5:$S$1000,"Macro")-1)&gt;0.0001),"Pesos del mes suman "&amp;TEXT(SUMIFS($G$5:$G$1000,$P$5:$P$1000,$P275,$S$5:$S$1000,"Macro"),"0%")&amp;" · ","")&amp;IF(AND(N($T275)&gt;0,COUNT($H275:$K275)&gt;0),"Con subactividades: deje vacías las semanas (se calculan solas)"&amp;" · ","")&amp;IF((COUNTIF($H275:$K275,"&gt;1")+COUNTIF($H275:$K275,"&lt;0")+COUNTA($H275:$K275)-COUNT($H275:$K275))&gt;0,"Avance fuera de rango 0-100%"&amp;" · ","")&amp;IF(OR(AND($I275&lt;&gt;"",$I275&lt;$H275),AND($J275&lt;&gt;"",$J275&lt;MAX($H275:$I275)),AND($K275&lt;&gt;"",$K275&lt;MAX($H275:$J275))),"Avance semanal decreciente"&amp;" · ","")&amp;IF(AND(ISNUMBER($F275),$F275&lt;FechaRef,N($L275)&lt;1),"Vencida"&amp;" · ","")&amp;IF(AND(ObsObligatoria="Sí",ISNUMBER($F275),$F275&lt;FechaRef,N($L275)&lt;1,$N275=""),"Vencida sin observación"&amp;" · ",""))-3)))</f>
        <v/>
      </c>
      <c r="P275" s="69">
        <f>IF(NOT((COUNTA($B275:$K275)+COUNTA($N275))&gt;0),"",IF(AND($S275="Sub",N($R275)&gt;0),IF(ISNUMBER(INDEX($E$5:$E$1000,$R275-4)),DATE(YEAR(INDEX($E$5:$E$1000,$R275-4)),MONTH(INDEX($E$5:$E$1000,$R275-4)),1),IF(ISNUMBER(INDEX($F$5:$F$1000,$R275-4)),DATE(YEAR(INDEX($F$5:$F$1000,$R275-4)),MONTH(INDEX($F$5:$F$1000,$R275-4)),1),MesCiclo)),IF(ISNUMBER($E275),DATE(YEAR($E275),MONTH($E275),1),IF(ISNUMBER($F275),DATE(YEAR($F275),MONTH($F275),1),MesCiclo))))</f>
        <v/>
      </c>
      <c r="Q275" s="70">
        <f>IF(OR($P275="",$P275&lt;&gt;MesCiclo),"",COUNTIF($P$5:$P275,MesCiclo))</f>
        <v/>
      </c>
      <c r="R275" s="70">
        <f>IF($S275="","",IF($S275="Macro",ROW(),IFERROR(LOOKUP(2,1/($S$5:$S275="Macro"),ROW($S$5:$S275)),0)))</f>
        <v/>
      </c>
      <c r="S275" s="70">
        <f>IF(NOT((COUNTA($B275:$K275)+COUNTA($N275))&gt;0),"",IF($B275&lt;&gt;"","Macro",IF($C275&lt;&gt;"","Sub","Macro")))</f>
        <v/>
      </c>
      <c r="T275" s="70">
        <f>IF($S275="Macro",COUNTIFS($R$5:$R$1000,ROW(),$S$5:$S$1000,"Sub"),"")</f>
        <v/>
      </c>
      <c r="U275" s="70">
        <f>IF($S275="","",IF(ISNUMBER($H275),$H275,0))</f>
        <v/>
      </c>
      <c r="V275" s="70">
        <f>IF($S275="","",IF(ISNUMBER($I275),$I275,$U275))</f>
        <v/>
      </c>
      <c r="W275" s="70">
        <f>IF($S275="","",IF(ISNUMBER($J275),$J275,$V275))</f>
        <v/>
      </c>
      <c r="X275" s="70">
        <f>IF($S275="","",IF(ISNUMBER($K275),$K275,$W275))</f>
        <v/>
      </c>
      <c r="Y275" s="70">
        <f>IF($S275="","",IF(N($T275)&gt;0,AVERAGEIFS($U$5:$U$1000,$R$5:$R$1000,ROW(),$S$5:$S$1000,"Sub"),$U275))</f>
        <v/>
      </c>
      <c r="Z275" s="70">
        <f>IF($S275="","",IF(N($T275)&gt;0,AVERAGEIFS($V$5:$V$1000,$R$5:$R$1000,ROW(),$S$5:$S$1000,"Sub"),$V275))</f>
        <v/>
      </c>
      <c r="AA275" s="70">
        <f>IF($S275="","",IF(N($T275)&gt;0,AVERAGEIFS($W$5:$W$1000,$R$5:$R$1000,ROW(),$S$5:$S$1000,"Sub"),$W275))</f>
        <v/>
      </c>
      <c r="AB275" s="70">
        <f>IF($S275="","",IF(N($T275)&gt;0,AVERAGEIFS($X$5:$X$1000,$R$5:$R$1000,ROW(),$S$5:$S$1000,"Sub"),$X275))</f>
        <v/>
      </c>
    </row>
    <row r="276">
      <c r="A276" s="61">
        <f>IF(NOT((COUNTA($B276:$K276)+COUNTA($N276))&gt;0),"",IF($S276="Macro",COUNTIFS($S$5:$S276,"Macro",$P$5:$P276,$P276),IF(N($R276)=0,"?",COUNTIFS(INDEX($S$5:$S$1000,1):INDEX($S$5:$S$1000,$R276-4),"Macro",INDEX($P$5:$P$1000,1):INDEX($P$5:$P$1000,$R276-4),INDEX($P$5:$P$1000,$R276-4))&amp;"."&amp;COUNTIFS($R$5:$R276,$R276,$S$5:$S276,"Sub"))))</f>
        <v/>
      </c>
      <c r="B276" s="62" t="n"/>
      <c r="C276" s="63" t="n"/>
      <c r="D276" s="62" t="n"/>
      <c r="E276" s="64" t="n"/>
      <c r="F276" s="64" t="n"/>
      <c r="G276" s="65" t="n"/>
      <c r="H276" s="66" t="n"/>
      <c r="I276" s="66" t="n"/>
      <c r="J276" s="66" t="n"/>
      <c r="K276" s="66" t="n"/>
      <c r="L276" s="67">
        <f>IF(NOT((COUNTA($B276:$K276)+COUNTA($N276))&gt;0),"",IF(N($T276)&gt;0,$AB276,IFERROR(LOOKUP(2,1/(H276:K276&lt;&gt;""),H276:K276),0)))</f>
        <v/>
      </c>
      <c r="M276" s="61">
        <f>IF(L276="","",IF(L276&gt;=1,"Completado",IF(L276&gt;0,"En curso","Pendiente")))</f>
        <v/>
      </c>
      <c r="N276" s="62" t="n"/>
      <c r="O276" s="68">
        <f>IF(NOT((COUNTA($B276:$K276)+COUNTA($N276))&gt;0),"",IF((IF(AND($S276="Macro",$B276=""),"Macroactividad vacía"&amp;" · ","")&amp;IF(AND($B276&lt;&gt;"",$C276&lt;&gt;""),"Escriba la subactividad en otra fila, debajo de su macroactividad"&amp;" · ","")&amp;IF(AND($S276="Sub",N($R276)=0),"Subactividad sin macroactividad arriba"&amp;" · ","")&amp;IF($D276="","Sin responsable"&amp;" · ","")&amp;IF($E276="","Sin fecha de inicio"&amp;" · ","")&amp;IF($F276="","Sin fecha límite"&amp;" · ","")&amp;IF(OR(AND($E276&lt;&gt;"",NOT(ISNUMBER($E276))),AND($F276&lt;&gt;"",NOT(ISNUMBER($F276)))),"Fecha no válida"&amp;" · ","")&amp;IF(AND(ISNUMBER($E276),ISNUMBER($F276),$E276&gt;$F276),"Inicio posterior a fecha límite"&amp;" · ","")&amp;IF(AND($S276="Macro",$G276=""),"Peso vacío"&amp;" · ","")&amp;IF(AND($S276="Macro",$G276&lt;&gt;"",OR(NOT(ISNUMBER($G276)),$G276&lt;=0,$G276&gt;1)),"Peso fuera de rango"&amp;" · ","")&amp;IF(AND($S276="Sub",$G276&lt;&gt;""),"Las subactividades no llevan peso"&amp;" · ","")&amp;IF(AND($S276="Macro",ABS(SUMIFS($G$5:$G$1000,$P$5:$P$1000,$P276,$S$5:$S$1000,"Macro")-1)&gt;0.0001),"Pesos del mes suman "&amp;TEXT(SUMIFS($G$5:$G$1000,$P$5:$P$1000,$P276,$S$5:$S$1000,"Macro"),"0%")&amp;" · ","")&amp;IF(AND(N($T276)&gt;0,COUNT($H276:$K276)&gt;0),"Con subactividades: deje vacías las semanas (se calculan solas)"&amp;" · ","")&amp;IF((COUNTIF($H276:$K276,"&gt;1")+COUNTIF($H276:$K276,"&lt;0")+COUNTA($H276:$K276)-COUNT($H276:$K276))&gt;0,"Avance fuera de rango 0-100%"&amp;" · ","")&amp;IF(OR(AND($I276&lt;&gt;"",$I276&lt;$H276),AND($J276&lt;&gt;"",$J276&lt;MAX($H276:$I276)),AND($K276&lt;&gt;"",$K276&lt;MAX($H276:$J276))),"Avance semanal decreciente"&amp;" · ","")&amp;IF(AND(ISNUMBER($F276),$F276&lt;FechaRef,N($L276)&lt;1),"Vencida"&amp;" · ","")&amp;IF(AND(ObsObligatoria="Sí",ISNUMBER($F276),$F276&lt;FechaRef,N($L276)&lt;1,$N276=""),"Vencida sin observación"&amp;" · ",""))="","✔ OK","⚠ "&amp;LEFT(IF(AND($S276="Macro",$B276=""),"Macroactividad vacía"&amp;" · ","")&amp;IF(AND($B276&lt;&gt;"",$C276&lt;&gt;""),"Escriba la subactividad en otra fila, debajo de su macroactividad"&amp;" · ","")&amp;IF(AND($S276="Sub",N($R276)=0),"Subactividad sin macroactividad arriba"&amp;" · ","")&amp;IF($D276="","Sin responsable"&amp;" · ","")&amp;IF($E276="","Sin fecha de inicio"&amp;" · ","")&amp;IF($F276="","Sin fecha límite"&amp;" · ","")&amp;IF(OR(AND($E276&lt;&gt;"",NOT(ISNUMBER($E276))),AND($F276&lt;&gt;"",NOT(ISNUMBER($F276)))),"Fecha no válida"&amp;" · ","")&amp;IF(AND(ISNUMBER($E276),ISNUMBER($F276),$E276&gt;$F276),"Inicio posterior a fecha límite"&amp;" · ","")&amp;IF(AND($S276="Macro",$G276=""),"Peso vacío"&amp;" · ","")&amp;IF(AND($S276="Macro",$G276&lt;&gt;"",OR(NOT(ISNUMBER($G276)),$G276&lt;=0,$G276&gt;1)),"Peso fuera de rango"&amp;" · ","")&amp;IF(AND($S276="Sub",$G276&lt;&gt;""),"Las subactividades no llevan peso"&amp;" · ","")&amp;IF(AND($S276="Macro",ABS(SUMIFS($G$5:$G$1000,$P$5:$P$1000,$P276,$S$5:$S$1000,"Macro")-1)&gt;0.0001),"Pesos del mes suman "&amp;TEXT(SUMIFS($G$5:$G$1000,$P$5:$P$1000,$P276,$S$5:$S$1000,"Macro"),"0%")&amp;" · ","")&amp;IF(AND(N($T276)&gt;0,COUNT($H276:$K276)&gt;0),"Con subactividades: deje vacías las semanas (se calculan solas)"&amp;" · ","")&amp;IF((COUNTIF($H276:$K276,"&gt;1")+COUNTIF($H276:$K276,"&lt;0")+COUNTA($H276:$K276)-COUNT($H276:$K276))&gt;0,"Avance fuera de rango 0-100%"&amp;" · ","")&amp;IF(OR(AND($I276&lt;&gt;"",$I276&lt;$H276),AND($J276&lt;&gt;"",$J276&lt;MAX($H276:$I276)),AND($K276&lt;&gt;"",$K276&lt;MAX($H276:$J276))),"Avance semanal decreciente"&amp;" · ","")&amp;IF(AND(ISNUMBER($F276),$F276&lt;FechaRef,N($L276)&lt;1),"Vencida"&amp;" · ","")&amp;IF(AND(ObsObligatoria="Sí",ISNUMBER($F276),$F276&lt;FechaRef,N($L276)&lt;1,$N276=""),"Vencida sin observación"&amp;" · ",""),LEN(IF(AND($S276="Macro",$B276=""),"Macroactividad vacía"&amp;" · ","")&amp;IF(AND($B276&lt;&gt;"",$C276&lt;&gt;""),"Escriba la subactividad en otra fila, debajo de su macroactividad"&amp;" · ","")&amp;IF(AND($S276="Sub",N($R276)=0),"Subactividad sin macroactividad arriba"&amp;" · ","")&amp;IF($D276="","Sin responsable"&amp;" · ","")&amp;IF($E276="","Sin fecha de inicio"&amp;" · ","")&amp;IF($F276="","Sin fecha límite"&amp;" · ","")&amp;IF(OR(AND($E276&lt;&gt;"",NOT(ISNUMBER($E276))),AND($F276&lt;&gt;"",NOT(ISNUMBER($F276)))),"Fecha no válida"&amp;" · ","")&amp;IF(AND(ISNUMBER($E276),ISNUMBER($F276),$E276&gt;$F276),"Inicio posterior a fecha límite"&amp;" · ","")&amp;IF(AND($S276="Macro",$G276=""),"Peso vacío"&amp;" · ","")&amp;IF(AND($S276="Macro",$G276&lt;&gt;"",OR(NOT(ISNUMBER($G276)),$G276&lt;=0,$G276&gt;1)),"Peso fuera de rango"&amp;" · ","")&amp;IF(AND($S276="Sub",$G276&lt;&gt;""),"Las subactividades no llevan peso"&amp;" · ","")&amp;IF(AND($S276="Macro",ABS(SUMIFS($G$5:$G$1000,$P$5:$P$1000,$P276,$S$5:$S$1000,"Macro")-1)&gt;0.0001),"Pesos del mes suman "&amp;TEXT(SUMIFS($G$5:$G$1000,$P$5:$P$1000,$P276,$S$5:$S$1000,"Macro"),"0%")&amp;" · ","")&amp;IF(AND(N($T276)&gt;0,COUNT($H276:$K276)&gt;0),"Con subactividades: deje vacías las semanas (se calculan solas)"&amp;" · ","")&amp;IF((COUNTIF($H276:$K276,"&gt;1")+COUNTIF($H276:$K276,"&lt;0")+COUNTA($H276:$K276)-COUNT($H276:$K276))&gt;0,"Avance fuera de rango 0-100%"&amp;" · ","")&amp;IF(OR(AND($I276&lt;&gt;"",$I276&lt;$H276),AND($J276&lt;&gt;"",$J276&lt;MAX($H276:$I276)),AND($K276&lt;&gt;"",$K276&lt;MAX($H276:$J276))),"Avance semanal decreciente"&amp;" · ","")&amp;IF(AND(ISNUMBER($F276),$F276&lt;FechaRef,N($L276)&lt;1),"Vencida"&amp;" · ","")&amp;IF(AND(ObsObligatoria="Sí",ISNUMBER($F276),$F276&lt;FechaRef,N($L276)&lt;1,$N276=""),"Vencida sin observación"&amp;" · ",""))-3)))</f>
        <v/>
      </c>
      <c r="P276" s="69">
        <f>IF(NOT((COUNTA($B276:$K276)+COUNTA($N276))&gt;0),"",IF(AND($S276="Sub",N($R276)&gt;0),IF(ISNUMBER(INDEX($E$5:$E$1000,$R276-4)),DATE(YEAR(INDEX($E$5:$E$1000,$R276-4)),MONTH(INDEX($E$5:$E$1000,$R276-4)),1),IF(ISNUMBER(INDEX($F$5:$F$1000,$R276-4)),DATE(YEAR(INDEX($F$5:$F$1000,$R276-4)),MONTH(INDEX($F$5:$F$1000,$R276-4)),1),MesCiclo)),IF(ISNUMBER($E276),DATE(YEAR($E276),MONTH($E276),1),IF(ISNUMBER($F276),DATE(YEAR($F276),MONTH($F276),1),MesCiclo))))</f>
        <v/>
      </c>
      <c r="Q276" s="70">
        <f>IF(OR($P276="",$P276&lt;&gt;MesCiclo),"",COUNTIF($P$5:$P276,MesCiclo))</f>
        <v/>
      </c>
      <c r="R276" s="70">
        <f>IF($S276="","",IF($S276="Macro",ROW(),IFERROR(LOOKUP(2,1/($S$5:$S276="Macro"),ROW($S$5:$S276)),0)))</f>
        <v/>
      </c>
      <c r="S276" s="70">
        <f>IF(NOT((COUNTA($B276:$K276)+COUNTA($N276))&gt;0),"",IF($B276&lt;&gt;"","Macro",IF($C276&lt;&gt;"","Sub","Macro")))</f>
        <v/>
      </c>
      <c r="T276" s="70">
        <f>IF($S276="Macro",COUNTIFS($R$5:$R$1000,ROW(),$S$5:$S$1000,"Sub"),"")</f>
        <v/>
      </c>
      <c r="U276" s="70">
        <f>IF($S276="","",IF(ISNUMBER($H276),$H276,0))</f>
        <v/>
      </c>
      <c r="V276" s="70">
        <f>IF($S276="","",IF(ISNUMBER($I276),$I276,$U276))</f>
        <v/>
      </c>
      <c r="W276" s="70">
        <f>IF($S276="","",IF(ISNUMBER($J276),$J276,$V276))</f>
        <v/>
      </c>
      <c r="X276" s="70">
        <f>IF($S276="","",IF(ISNUMBER($K276),$K276,$W276))</f>
        <v/>
      </c>
      <c r="Y276" s="70">
        <f>IF($S276="","",IF(N($T276)&gt;0,AVERAGEIFS($U$5:$U$1000,$R$5:$R$1000,ROW(),$S$5:$S$1000,"Sub"),$U276))</f>
        <v/>
      </c>
      <c r="Z276" s="70">
        <f>IF($S276="","",IF(N($T276)&gt;0,AVERAGEIFS($V$5:$V$1000,$R$5:$R$1000,ROW(),$S$5:$S$1000,"Sub"),$V276))</f>
        <v/>
      </c>
      <c r="AA276" s="70">
        <f>IF($S276="","",IF(N($T276)&gt;0,AVERAGEIFS($W$5:$W$1000,$R$5:$R$1000,ROW(),$S$5:$S$1000,"Sub"),$W276))</f>
        <v/>
      </c>
      <c r="AB276" s="70">
        <f>IF($S276="","",IF(N($T276)&gt;0,AVERAGEIFS($X$5:$X$1000,$R$5:$R$1000,ROW(),$S$5:$S$1000,"Sub"),$X276))</f>
        <v/>
      </c>
    </row>
    <row r="277">
      <c r="A277" s="61">
        <f>IF(NOT((COUNTA($B277:$K277)+COUNTA($N277))&gt;0),"",IF($S277="Macro",COUNTIFS($S$5:$S277,"Macro",$P$5:$P277,$P277),IF(N($R277)=0,"?",COUNTIFS(INDEX($S$5:$S$1000,1):INDEX($S$5:$S$1000,$R277-4),"Macro",INDEX($P$5:$P$1000,1):INDEX($P$5:$P$1000,$R277-4),INDEX($P$5:$P$1000,$R277-4))&amp;"."&amp;COUNTIFS($R$5:$R277,$R277,$S$5:$S277,"Sub"))))</f>
        <v/>
      </c>
      <c r="B277" s="62" t="n"/>
      <c r="C277" s="63" t="n"/>
      <c r="D277" s="62" t="n"/>
      <c r="E277" s="64" t="n"/>
      <c r="F277" s="64" t="n"/>
      <c r="G277" s="65" t="n"/>
      <c r="H277" s="66" t="n"/>
      <c r="I277" s="66" t="n"/>
      <c r="J277" s="66" t="n"/>
      <c r="K277" s="66" t="n"/>
      <c r="L277" s="67">
        <f>IF(NOT((COUNTA($B277:$K277)+COUNTA($N277))&gt;0),"",IF(N($T277)&gt;0,$AB277,IFERROR(LOOKUP(2,1/(H277:K277&lt;&gt;""),H277:K277),0)))</f>
        <v/>
      </c>
      <c r="M277" s="61">
        <f>IF(L277="","",IF(L277&gt;=1,"Completado",IF(L277&gt;0,"En curso","Pendiente")))</f>
        <v/>
      </c>
      <c r="N277" s="62" t="n"/>
      <c r="O277" s="68">
        <f>IF(NOT((COUNTA($B277:$K277)+COUNTA($N277))&gt;0),"",IF((IF(AND($S277="Macro",$B277=""),"Macroactividad vacía"&amp;" · ","")&amp;IF(AND($B277&lt;&gt;"",$C277&lt;&gt;""),"Escriba la subactividad en otra fila, debajo de su macroactividad"&amp;" · ","")&amp;IF(AND($S277="Sub",N($R277)=0),"Subactividad sin macroactividad arriba"&amp;" · ","")&amp;IF($D277="","Sin responsable"&amp;" · ","")&amp;IF($E277="","Sin fecha de inicio"&amp;" · ","")&amp;IF($F277="","Sin fecha límite"&amp;" · ","")&amp;IF(OR(AND($E277&lt;&gt;"",NOT(ISNUMBER($E277))),AND($F277&lt;&gt;"",NOT(ISNUMBER($F277)))),"Fecha no válida"&amp;" · ","")&amp;IF(AND(ISNUMBER($E277),ISNUMBER($F277),$E277&gt;$F277),"Inicio posterior a fecha límite"&amp;" · ","")&amp;IF(AND($S277="Macro",$G277=""),"Peso vacío"&amp;" · ","")&amp;IF(AND($S277="Macro",$G277&lt;&gt;"",OR(NOT(ISNUMBER($G277)),$G277&lt;=0,$G277&gt;1)),"Peso fuera de rango"&amp;" · ","")&amp;IF(AND($S277="Sub",$G277&lt;&gt;""),"Las subactividades no llevan peso"&amp;" · ","")&amp;IF(AND($S277="Macro",ABS(SUMIFS($G$5:$G$1000,$P$5:$P$1000,$P277,$S$5:$S$1000,"Macro")-1)&gt;0.0001),"Pesos del mes suman "&amp;TEXT(SUMIFS($G$5:$G$1000,$P$5:$P$1000,$P277,$S$5:$S$1000,"Macro"),"0%")&amp;" · ","")&amp;IF(AND(N($T277)&gt;0,COUNT($H277:$K277)&gt;0),"Con subactividades: deje vacías las semanas (se calculan solas)"&amp;" · ","")&amp;IF((COUNTIF($H277:$K277,"&gt;1")+COUNTIF($H277:$K277,"&lt;0")+COUNTA($H277:$K277)-COUNT($H277:$K277))&gt;0,"Avance fuera de rango 0-100%"&amp;" · ","")&amp;IF(OR(AND($I277&lt;&gt;"",$I277&lt;$H277),AND($J277&lt;&gt;"",$J277&lt;MAX($H277:$I277)),AND($K277&lt;&gt;"",$K277&lt;MAX($H277:$J277))),"Avance semanal decreciente"&amp;" · ","")&amp;IF(AND(ISNUMBER($F277),$F277&lt;FechaRef,N($L277)&lt;1),"Vencida"&amp;" · ","")&amp;IF(AND(ObsObligatoria="Sí",ISNUMBER($F277),$F277&lt;FechaRef,N($L277)&lt;1,$N277=""),"Vencida sin observación"&amp;" · ",""))="","✔ OK","⚠ "&amp;LEFT(IF(AND($S277="Macro",$B277=""),"Macroactividad vacía"&amp;" · ","")&amp;IF(AND($B277&lt;&gt;"",$C277&lt;&gt;""),"Escriba la subactividad en otra fila, debajo de su macroactividad"&amp;" · ","")&amp;IF(AND($S277="Sub",N($R277)=0),"Subactividad sin macroactividad arriba"&amp;" · ","")&amp;IF($D277="","Sin responsable"&amp;" · ","")&amp;IF($E277="","Sin fecha de inicio"&amp;" · ","")&amp;IF($F277="","Sin fecha límite"&amp;" · ","")&amp;IF(OR(AND($E277&lt;&gt;"",NOT(ISNUMBER($E277))),AND($F277&lt;&gt;"",NOT(ISNUMBER($F277)))),"Fecha no válida"&amp;" · ","")&amp;IF(AND(ISNUMBER($E277),ISNUMBER($F277),$E277&gt;$F277),"Inicio posterior a fecha límite"&amp;" · ","")&amp;IF(AND($S277="Macro",$G277=""),"Peso vacío"&amp;" · ","")&amp;IF(AND($S277="Macro",$G277&lt;&gt;"",OR(NOT(ISNUMBER($G277)),$G277&lt;=0,$G277&gt;1)),"Peso fuera de rango"&amp;" · ","")&amp;IF(AND($S277="Sub",$G277&lt;&gt;""),"Las subactividades no llevan peso"&amp;" · ","")&amp;IF(AND($S277="Macro",ABS(SUMIFS($G$5:$G$1000,$P$5:$P$1000,$P277,$S$5:$S$1000,"Macro")-1)&gt;0.0001),"Pesos del mes suman "&amp;TEXT(SUMIFS($G$5:$G$1000,$P$5:$P$1000,$P277,$S$5:$S$1000,"Macro"),"0%")&amp;" · ","")&amp;IF(AND(N($T277)&gt;0,COUNT($H277:$K277)&gt;0),"Con subactividades: deje vacías las semanas (se calculan solas)"&amp;" · ","")&amp;IF((COUNTIF($H277:$K277,"&gt;1")+COUNTIF($H277:$K277,"&lt;0")+COUNTA($H277:$K277)-COUNT($H277:$K277))&gt;0,"Avance fuera de rango 0-100%"&amp;" · ","")&amp;IF(OR(AND($I277&lt;&gt;"",$I277&lt;$H277),AND($J277&lt;&gt;"",$J277&lt;MAX($H277:$I277)),AND($K277&lt;&gt;"",$K277&lt;MAX($H277:$J277))),"Avance semanal decreciente"&amp;" · ","")&amp;IF(AND(ISNUMBER($F277),$F277&lt;FechaRef,N($L277)&lt;1),"Vencida"&amp;" · ","")&amp;IF(AND(ObsObligatoria="Sí",ISNUMBER($F277),$F277&lt;FechaRef,N($L277)&lt;1,$N277=""),"Vencida sin observación"&amp;" · ",""),LEN(IF(AND($S277="Macro",$B277=""),"Macroactividad vacía"&amp;" · ","")&amp;IF(AND($B277&lt;&gt;"",$C277&lt;&gt;""),"Escriba la subactividad en otra fila, debajo de su macroactividad"&amp;" · ","")&amp;IF(AND($S277="Sub",N($R277)=0),"Subactividad sin macroactividad arriba"&amp;" · ","")&amp;IF($D277="","Sin responsable"&amp;" · ","")&amp;IF($E277="","Sin fecha de inicio"&amp;" · ","")&amp;IF($F277="","Sin fecha límite"&amp;" · ","")&amp;IF(OR(AND($E277&lt;&gt;"",NOT(ISNUMBER($E277))),AND($F277&lt;&gt;"",NOT(ISNUMBER($F277)))),"Fecha no válida"&amp;" · ","")&amp;IF(AND(ISNUMBER($E277),ISNUMBER($F277),$E277&gt;$F277),"Inicio posterior a fecha límite"&amp;" · ","")&amp;IF(AND($S277="Macro",$G277=""),"Peso vacío"&amp;" · ","")&amp;IF(AND($S277="Macro",$G277&lt;&gt;"",OR(NOT(ISNUMBER($G277)),$G277&lt;=0,$G277&gt;1)),"Peso fuera de rango"&amp;" · ","")&amp;IF(AND($S277="Sub",$G277&lt;&gt;""),"Las subactividades no llevan peso"&amp;" · ","")&amp;IF(AND($S277="Macro",ABS(SUMIFS($G$5:$G$1000,$P$5:$P$1000,$P277,$S$5:$S$1000,"Macro")-1)&gt;0.0001),"Pesos del mes suman "&amp;TEXT(SUMIFS($G$5:$G$1000,$P$5:$P$1000,$P277,$S$5:$S$1000,"Macro"),"0%")&amp;" · ","")&amp;IF(AND(N($T277)&gt;0,COUNT($H277:$K277)&gt;0),"Con subactividades: deje vacías las semanas (se calculan solas)"&amp;" · ","")&amp;IF((COUNTIF($H277:$K277,"&gt;1")+COUNTIF($H277:$K277,"&lt;0")+COUNTA($H277:$K277)-COUNT($H277:$K277))&gt;0,"Avance fuera de rango 0-100%"&amp;" · ","")&amp;IF(OR(AND($I277&lt;&gt;"",$I277&lt;$H277),AND($J277&lt;&gt;"",$J277&lt;MAX($H277:$I277)),AND($K277&lt;&gt;"",$K277&lt;MAX($H277:$J277))),"Avance semanal decreciente"&amp;" · ","")&amp;IF(AND(ISNUMBER($F277),$F277&lt;FechaRef,N($L277)&lt;1),"Vencida"&amp;" · ","")&amp;IF(AND(ObsObligatoria="Sí",ISNUMBER($F277),$F277&lt;FechaRef,N($L277)&lt;1,$N277=""),"Vencida sin observación"&amp;" · ",""))-3)))</f>
        <v/>
      </c>
      <c r="P277" s="69">
        <f>IF(NOT((COUNTA($B277:$K277)+COUNTA($N277))&gt;0),"",IF(AND($S277="Sub",N($R277)&gt;0),IF(ISNUMBER(INDEX($E$5:$E$1000,$R277-4)),DATE(YEAR(INDEX($E$5:$E$1000,$R277-4)),MONTH(INDEX($E$5:$E$1000,$R277-4)),1),IF(ISNUMBER(INDEX($F$5:$F$1000,$R277-4)),DATE(YEAR(INDEX($F$5:$F$1000,$R277-4)),MONTH(INDEX($F$5:$F$1000,$R277-4)),1),MesCiclo)),IF(ISNUMBER($E277),DATE(YEAR($E277),MONTH($E277),1),IF(ISNUMBER($F277),DATE(YEAR($F277),MONTH($F277),1),MesCiclo))))</f>
        <v/>
      </c>
      <c r="Q277" s="70">
        <f>IF(OR($P277="",$P277&lt;&gt;MesCiclo),"",COUNTIF($P$5:$P277,MesCiclo))</f>
        <v/>
      </c>
      <c r="R277" s="70">
        <f>IF($S277="","",IF($S277="Macro",ROW(),IFERROR(LOOKUP(2,1/($S$5:$S277="Macro"),ROW($S$5:$S277)),0)))</f>
        <v/>
      </c>
      <c r="S277" s="70">
        <f>IF(NOT((COUNTA($B277:$K277)+COUNTA($N277))&gt;0),"",IF($B277&lt;&gt;"","Macro",IF($C277&lt;&gt;"","Sub","Macro")))</f>
        <v/>
      </c>
      <c r="T277" s="70">
        <f>IF($S277="Macro",COUNTIFS($R$5:$R$1000,ROW(),$S$5:$S$1000,"Sub"),"")</f>
        <v/>
      </c>
      <c r="U277" s="70">
        <f>IF($S277="","",IF(ISNUMBER($H277),$H277,0))</f>
        <v/>
      </c>
      <c r="V277" s="70">
        <f>IF($S277="","",IF(ISNUMBER($I277),$I277,$U277))</f>
        <v/>
      </c>
      <c r="W277" s="70">
        <f>IF($S277="","",IF(ISNUMBER($J277),$J277,$V277))</f>
        <v/>
      </c>
      <c r="X277" s="70">
        <f>IF($S277="","",IF(ISNUMBER($K277),$K277,$W277))</f>
        <v/>
      </c>
      <c r="Y277" s="70">
        <f>IF($S277="","",IF(N($T277)&gt;0,AVERAGEIFS($U$5:$U$1000,$R$5:$R$1000,ROW(),$S$5:$S$1000,"Sub"),$U277))</f>
        <v/>
      </c>
      <c r="Z277" s="70">
        <f>IF($S277="","",IF(N($T277)&gt;0,AVERAGEIFS($V$5:$V$1000,$R$5:$R$1000,ROW(),$S$5:$S$1000,"Sub"),$V277))</f>
        <v/>
      </c>
      <c r="AA277" s="70">
        <f>IF($S277="","",IF(N($T277)&gt;0,AVERAGEIFS($W$5:$W$1000,$R$5:$R$1000,ROW(),$S$5:$S$1000,"Sub"),$W277))</f>
        <v/>
      </c>
      <c r="AB277" s="70">
        <f>IF($S277="","",IF(N($T277)&gt;0,AVERAGEIFS($X$5:$X$1000,$R$5:$R$1000,ROW(),$S$5:$S$1000,"Sub"),$X277))</f>
        <v/>
      </c>
    </row>
    <row r="278">
      <c r="A278" s="61">
        <f>IF(NOT((COUNTA($B278:$K278)+COUNTA($N278))&gt;0),"",IF($S278="Macro",COUNTIFS($S$5:$S278,"Macro",$P$5:$P278,$P278),IF(N($R278)=0,"?",COUNTIFS(INDEX($S$5:$S$1000,1):INDEX($S$5:$S$1000,$R278-4),"Macro",INDEX($P$5:$P$1000,1):INDEX($P$5:$P$1000,$R278-4),INDEX($P$5:$P$1000,$R278-4))&amp;"."&amp;COUNTIFS($R$5:$R278,$R278,$S$5:$S278,"Sub"))))</f>
        <v/>
      </c>
      <c r="B278" s="62" t="n"/>
      <c r="C278" s="63" t="n"/>
      <c r="D278" s="62" t="n"/>
      <c r="E278" s="64" t="n"/>
      <c r="F278" s="64" t="n"/>
      <c r="G278" s="65" t="n"/>
      <c r="H278" s="66" t="n"/>
      <c r="I278" s="66" t="n"/>
      <c r="J278" s="66" t="n"/>
      <c r="K278" s="66" t="n"/>
      <c r="L278" s="67">
        <f>IF(NOT((COUNTA($B278:$K278)+COUNTA($N278))&gt;0),"",IF(N($T278)&gt;0,$AB278,IFERROR(LOOKUP(2,1/(H278:K278&lt;&gt;""),H278:K278),0)))</f>
        <v/>
      </c>
      <c r="M278" s="61">
        <f>IF(L278="","",IF(L278&gt;=1,"Completado",IF(L278&gt;0,"En curso","Pendiente")))</f>
        <v/>
      </c>
      <c r="N278" s="62" t="n"/>
      <c r="O278" s="68">
        <f>IF(NOT((COUNTA($B278:$K278)+COUNTA($N278))&gt;0),"",IF((IF(AND($S278="Macro",$B278=""),"Macroactividad vacía"&amp;" · ","")&amp;IF(AND($B278&lt;&gt;"",$C278&lt;&gt;""),"Escriba la subactividad en otra fila, debajo de su macroactividad"&amp;" · ","")&amp;IF(AND($S278="Sub",N($R278)=0),"Subactividad sin macroactividad arriba"&amp;" · ","")&amp;IF($D278="","Sin responsable"&amp;" · ","")&amp;IF($E278="","Sin fecha de inicio"&amp;" · ","")&amp;IF($F278="","Sin fecha límite"&amp;" · ","")&amp;IF(OR(AND($E278&lt;&gt;"",NOT(ISNUMBER($E278))),AND($F278&lt;&gt;"",NOT(ISNUMBER($F278)))),"Fecha no válida"&amp;" · ","")&amp;IF(AND(ISNUMBER($E278),ISNUMBER($F278),$E278&gt;$F278),"Inicio posterior a fecha límite"&amp;" · ","")&amp;IF(AND($S278="Macro",$G278=""),"Peso vacío"&amp;" · ","")&amp;IF(AND($S278="Macro",$G278&lt;&gt;"",OR(NOT(ISNUMBER($G278)),$G278&lt;=0,$G278&gt;1)),"Peso fuera de rango"&amp;" · ","")&amp;IF(AND($S278="Sub",$G278&lt;&gt;""),"Las subactividades no llevan peso"&amp;" · ","")&amp;IF(AND($S278="Macro",ABS(SUMIFS($G$5:$G$1000,$P$5:$P$1000,$P278,$S$5:$S$1000,"Macro")-1)&gt;0.0001),"Pesos del mes suman "&amp;TEXT(SUMIFS($G$5:$G$1000,$P$5:$P$1000,$P278,$S$5:$S$1000,"Macro"),"0%")&amp;" · ","")&amp;IF(AND(N($T278)&gt;0,COUNT($H278:$K278)&gt;0),"Con subactividades: deje vacías las semanas (se calculan solas)"&amp;" · ","")&amp;IF((COUNTIF($H278:$K278,"&gt;1")+COUNTIF($H278:$K278,"&lt;0")+COUNTA($H278:$K278)-COUNT($H278:$K278))&gt;0,"Avance fuera de rango 0-100%"&amp;" · ","")&amp;IF(OR(AND($I278&lt;&gt;"",$I278&lt;$H278),AND($J278&lt;&gt;"",$J278&lt;MAX($H278:$I278)),AND($K278&lt;&gt;"",$K278&lt;MAX($H278:$J278))),"Avance semanal decreciente"&amp;" · ","")&amp;IF(AND(ISNUMBER($F278),$F278&lt;FechaRef,N($L278)&lt;1),"Vencida"&amp;" · ","")&amp;IF(AND(ObsObligatoria="Sí",ISNUMBER($F278),$F278&lt;FechaRef,N($L278)&lt;1,$N278=""),"Vencida sin observación"&amp;" · ",""))="","✔ OK","⚠ "&amp;LEFT(IF(AND($S278="Macro",$B278=""),"Macroactividad vacía"&amp;" · ","")&amp;IF(AND($B278&lt;&gt;"",$C278&lt;&gt;""),"Escriba la subactividad en otra fila, debajo de su macroactividad"&amp;" · ","")&amp;IF(AND($S278="Sub",N($R278)=0),"Subactividad sin macroactividad arriba"&amp;" · ","")&amp;IF($D278="","Sin responsable"&amp;" · ","")&amp;IF($E278="","Sin fecha de inicio"&amp;" · ","")&amp;IF($F278="","Sin fecha límite"&amp;" · ","")&amp;IF(OR(AND($E278&lt;&gt;"",NOT(ISNUMBER($E278))),AND($F278&lt;&gt;"",NOT(ISNUMBER($F278)))),"Fecha no válida"&amp;" · ","")&amp;IF(AND(ISNUMBER($E278),ISNUMBER($F278),$E278&gt;$F278),"Inicio posterior a fecha límite"&amp;" · ","")&amp;IF(AND($S278="Macro",$G278=""),"Peso vacío"&amp;" · ","")&amp;IF(AND($S278="Macro",$G278&lt;&gt;"",OR(NOT(ISNUMBER($G278)),$G278&lt;=0,$G278&gt;1)),"Peso fuera de rango"&amp;" · ","")&amp;IF(AND($S278="Sub",$G278&lt;&gt;""),"Las subactividades no llevan peso"&amp;" · ","")&amp;IF(AND($S278="Macro",ABS(SUMIFS($G$5:$G$1000,$P$5:$P$1000,$P278,$S$5:$S$1000,"Macro")-1)&gt;0.0001),"Pesos del mes suman "&amp;TEXT(SUMIFS($G$5:$G$1000,$P$5:$P$1000,$P278,$S$5:$S$1000,"Macro"),"0%")&amp;" · ","")&amp;IF(AND(N($T278)&gt;0,COUNT($H278:$K278)&gt;0),"Con subactividades: deje vacías las semanas (se calculan solas)"&amp;" · ","")&amp;IF((COUNTIF($H278:$K278,"&gt;1")+COUNTIF($H278:$K278,"&lt;0")+COUNTA($H278:$K278)-COUNT($H278:$K278))&gt;0,"Avance fuera de rango 0-100%"&amp;" · ","")&amp;IF(OR(AND($I278&lt;&gt;"",$I278&lt;$H278),AND($J278&lt;&gt;"",$J278&lt;MAX($H278:$I278)),AND($K278&lt;&gt;"",$K278&lt;MAX($H278:$J278))),"Avance semanal decreciente"&amp;" · ","")&amp;IF(AND(ISNUMBER($F278),$F278&lt;FechaRef,N($L278)&lt;1),"Vencida"&amp;" · ","")&amp;IF(AND(ObsObligatoria="Sí",ISNUMBER($F278),$F278&lt;FechaRef,N($L278)&lt;1,$N278=""),"Vencida sin observación"&amp;" · ",""),LEN(IF(AND($S278="Macro",$B278=""),"Macroactividad vacía"&amp;" · ","")&amp;IF(AND($B278&lt;&gt;"",$C278&lt;&gt;""),"Escriba la subactividad en otra fila, debajo de su macroactividad"&amp;" · ","")&amp;IF(AND($S278="Sub",N($R278)=0),"Subactividad sin macroactividad arriba"&amp;" · ","")&amp;IF($D278="","Sin responsable"&amp;" · ","")&amp;IF($E278="","Sin fecha de inicio"&amp;" · ","")&amp;IF($F278="","Sin fecha límite"&amp;" · ","")&amp;IF(OR(AND($E278&lt;&gt;"",NOT(ISNUMBER($E278))),AND($F278&lt;&gt;"",NOT(ISNUMBER($F278)))),"Fecha no válida"&amp;" · ","")&amp;IF(AND(ISNUMBER($E278),ISNUMBER($F278),$E278&gt;$F278),"Inicio posterior a fecha límite"&amp;" · ","")&amp;IF(AND($S278="Macro",$G278=""),"Peso vacío"&amp;" · ","")&amp;IF(AND($S278="Macro",$G278&lt;&gt;"",OR(NOT(ISNUMBER($G278)),$G278&lt;=0,$G278&gt;1)),"Peso fuera de rango"&amp;" · ","")&amp;IF(AND($S278="Sub",$G278&lt;&gt;""),"Las subactividades no llevan peso"&amp;" · ","")&amp;IF(AND($S278="Macro",ABS(SUMIFS($G$5:$G$1000,$P$5:$P$1000,$P278,$S$5:$S$1000,"Macro")-1)&gt;0.0001),"Pesos del mes suman "&amp;TEXT(SUMIFS($G$5:$G$1000,$P$5:$P$1000,$P278,$S$5:$S$1000,"Macro"),"0%")&amp;" · ","")&amp;IF(AND(N($T278)&gt;0,COUNT($H278:$K278)&gt;0),"Con subactividades: deje vacías las semanas (se calculan solas)"&amp;" · ","")&amp;IF((COUNTIF($H278:$K278,"&gt;1")+COUNTIF($H278:$K278,"&lt;0")+COUNTA($H278:$K278)-COUNT($H278:$K278))&gt;0,"Avance fuera de rango 0-100%"&amp;" · ","")&amp;IF(OR(AND($I278&lt;&gt;"",$I278&lt;$H278),AND($J278&lt;&gt;"",$J278&lt;MAX($H278:$I278)),AND($K278&lt;&gt;"",$K278&lt;MAX($H278:$J278))),"Avance semanal decreciente"&amp;" · ","")&amp;IF(AND(ISNUMBER($F278),$F278&lt;FechaRef,N($L278)&lt;1),"Vencida"&amp;" · ","")&amp;IF(AND(ObsObligatoria="Sí",ISNUMBER($F278),$F278&lt;FechaRef,N($L278)&lt;1,$N278=""),"Vencida sin observación"&amp;" · ",""))-3)))</f>
        <v/>
      </c>
      <c r="P278" s="69">
        <f>IF(NOT((COUNTA($B278:$K278)+COUNTA($N278))&gt;0),"",IF(AND($S278="Sub",N($R278)&gt;0),IF(ISNUMBER(INDEX($E$5:$E$1000,$R278-4)),DATE(YEAR(INDEX($E$5:$E$1000,$R278-4)),MONTH(INDEX($E$5:$E$1000,$R278-4)),1),IF(ISNUMBER(INDEX($F$5:$F$1000,$R278-4)),DATE(YEAR(INDEX($F$5:$F$1000,$R278-4)),MONTH(INDEX($F$5:$F$1000,$R278-4)),1),MesCiclo)),IF(ISNUMBER($E278),DATE(YEAR($E278),MONTH($E278),1),IF(ISNUMBER($F278),DATE(YEAR($F278),MONTH($F278),1),MesCiclo))))</f>
        <v/>
      </c>
      <c r="Q278" s="70">
        <f>IF(OR($P278="",$P278&lt;&gt;MesCiclo),"",COUNTIF($P$5:$P278,MesCiclo))</f>
        <v/>
      </c>
      <c r="R278" s="70">
        <f>IF($S278="","",IF($S278="Macro",ROW(),IFERROR(LOOKUP(2,1/($S$5:$S278="Macro"),ROW($S$5:$S278)),0)))</f>
        <v/>
      </c>
      <c r="S278" s="70">
        <f>IF(NOT((COUNTA($B278:$K278)+COUNTA($N278))&gt;0),"",IF($B278&lt;&gt;"","Macro",IF($C278&lt;&gt;"","Sub","Macro")))</f>
        <v/>
      </c>
      <c r="T278" s="70">
        <f>IF($S278="Macro",COUNTIFS($R$5:$R$1000,ROW(),$S$5:$S$1000,"Sub"),"")</f>
        <v/>
      </c>
      <c r="U278" s="70">
        <f>IF($S278="","",IF(ISNUMBER($H278),$H278,0))</f>
        <v/>
      </c>
      <c r="V278" s="70">
        <f>IF($S278="","",IF(ISNUMBER($I278),$I278,$U278))</f>
        <v/>
      </c>
      <c r="W278" s="70">
        <f>IF($S278="","",IF(ISNUMBER($J278),$J278,$V278))</f>
        <v/>
      </c>
      <c r="X278" s="70">
        <f>IF($S278="","",IF(ISNUMBER($K278),$K278,$W278))</f>
        <v/>
      </c>
      <c r="Y278" s="70">
        <f>IF($S278="","",IF(N($T278)&gt;0,AVERAGEIFS($U$5:$U$1000,$R$5:$R$1000,ROW(),$S$5:$S$1000,"Sub"),$U278))</f>
        <v/>
      </c>
      <c r="Z278" s="70">
        <f>IF($S278="","",IF(N($T278)&gt;0,AVERAGEIFS($V$5:$V$1000,$R$5:$R$1000,ROW(),$S$5:$S$1000,"Sub"),$V278))</f>
        <v/>
      </c>
      <c r="AA278" s="70">
        <f>IF($S278="","",IF(N($T278)&gt;0,AVERAGEIFS($W$5:$W$1000,$R$5:$R$1000,ROW(),$S$5:$S$1000,"Sub"),$W278))</f>
        <v/>
      </c>
      <c r="AB278" s="70">
        <f>IF($S278="","",IF(N($T278)&gt;0,AVERAGEIFS($X$5:$X$1000,$R$5:$R$1000,ROW(),$S$5:$S$1000,"Sub"),$X278))</f>
        <v/>
      </c>
    </row>
    <row r="279">
      <c r="A279" s="61">
        <f>IF(NOT((COUNTA($B279:$K279)+COUNTA($N279))&gt;0),"",IF($S279="Macro",COUNTIFS($S$5:$S279,"Macro",$P$5:$P279,$P279),IF(N($R279)=0,"?",COUNTIFS(INDEX($S$5:$S$1000,1):INDEX($S$5:$S$1000,$R279-4),"Macro",INDEX($P$5:$P$1000,1):INDEX($P$5:$P$1000,$R279-4),INDEX($P$5:$P$1000,$R279-4))&amp;"."&amp;COUNTIFS($R$5:$R279,$R279,$S$5:$S279,"Sub"))))</f>
        <v/>
      </c>
      <c r="B279" s="62" t="n"/>
      <c r="C279" s="63" t="n"/>
      <c r="D279" s="62" t="n"/>
      <c r="E279" s="64" t="n"/>
      <c r="F279" s="64" t="n"/>
      <c r="G279" s="65" t="n"/>
      <c r="H279" s="66" t="n"/>
      <c r="I279" s="66" t="n"/>
      <c r="J279" s="66" t="n"/>
      <c r="K279" s="66" t="n"/>
      <c r="L279" s="67">
        <f>IF(NOT((COUNTA($B279:$K279)+COUNTA($N279))&gt;0),"",IF(N($T279)&gt;0,$AB279,IFERROR(LOOKUP(2,1/(H279:K279&lt;&gt;""),H279:K279),0)))</f>
        <v/>
      </c>
      <c r="M279" s="61">
        <f>IF(L279="","",IF(L279&gt;=1,"Completado",IF(L279&gt;0,"En curso","Pendiente")))</f>
        <v/>
      </c>
      <c r="N279" s="62" t="n"/>
      <c r="O279" s="68">
        <f>IF(NOT((COUNTA($B279:$K279)+COUNTA($N279))&gt;0),"",IF((IF(AND($S279="Macro",$B279=""),"Macroactividad vacía"&amp;" · ","")&amp;IF(AND($B279&lt;&gt;"",$C279&lt;&gt;""),"Escriba la subactividad en otra fila, debajo de su macroactividad"&amp;" · ","")&amp;IF(AND($S279="Sub",N($R279)=0),"Subactividad sin macroactividad arriba"&amp;" · ","")&amp;IF($D279="","Sin responsable"&amp;" · ","")&amp;IF($E279="","Sin fecha de inicio"&amp;" · ","")&amp;IF($F279="","Sin fecha límite"&amp;" · ","")&amp;IF(OR(AND($E279&lt;&gt;"",NOT(ISNUMBER($E279))),AND($F279&lt;&gt;"",NOT(ISNUMBER($F279)))),"Fecha no válida"&amp;" · ","")&amp;IF(AND(ISNUMBER($E279),ISNUMBER($F279),$E279&gt;$F279),"Inicio posterior a fecha límite"&amp;" · ","")&amp;IF(AND($S279="Macro",$G279=""),"Peso vacío"&amp;" · ","")&amp;IF(AND($S279="Macro",$G279&lt;&gt;"",OR(NOT(ISNUMBER($G279)),$G279&lt;=0,$G279&gt;1)),"Peso fuera de rango"&amp;" · ","")&amp;IF(AND($S279="Sub",$G279&lt;&gt;""),"Las subactividades no llevan peso"&amp;" · ","")&amp;IF(AND($S279="Macro",ABS(SUMIFS($G$5:$G$1000,$P$5:$P$1000,$P279,$S$5:$S$1000,"Macro")-1)&gt;0.0001),"Pesos del mes suman "&amp;TEXT(SUMIFS($G$5:$G$1000,$P$5:$P$1000,$P279,$S$5:$S$1000,"Macro"),"0%")&amp;" · ","")&amp;IF(AND(N($T279)&gt;0,COUNT($H279:$K279)&gt;0),"Con subactividades: deje vacías las semanas (se calculan solas)"&amp;" · ","")&amp;IF((COUNTIF($H279:$K279,"&gt;1")+COUNTIF($H279:$K279,"&lt;0")+COUNTA($H279:$K279)-COUNT($H279:$K279))&gt;0,"Avance fuera de rango 0-100%"&amp;" · ","")&amp;IF(OR(AND($I279&lt;&gt;"",$I279&lt;$H279),AND($J279&lt;&gt;"",$J279&lt;MAX($H279:$I279)),AND($K279&lt;&gt;"",$K279&lt;MAX($H279:$J279))),"Avance semanal decreciente"&amp;" · ","")&amp;IF(AND(ISNUMBER($F279),$F279&lt;FechaRef,N($L279)&lt;1),"Vencida"&amp;" · ","")&amp;IF(AND(ObsObligatoria="Sí",ISNUMBER($F279),$F279&lt;FechaRef,N($L279)&lt;1,$N279=""),"Vencida sin observación"&amp;" · ",""))="","✔ OK","⚠ "&amp;LEFT(IF(AND($S279="Macro",$B279=""),"Macroactividad vacía"&amp;" · ","")&amp;IF(AND($B279&lt;&gt;"",$C279&lt;&gt;""),"Escriba la subactividad en otra fila, debajo de su macroactividad"&amp;" · ","")&amp;IF(AND($S279="Sub",N($R279)=0),"Subactividad sin macroactividad arriba"&amp;" · ","")&amp;IF($D279="","Sin responsable"&amp;" · ","")&amp;IF($E279="","Sin fecha de inicio"&amp;" · ","")&amp;IF($F279="","Sin fecha límite"&amp;" · ","")&amp;IF(OR(AND($E279&lt;&gt;"",NOT(ISNUMBER($E279))),AND($F279&lt;&gt;"",NOT(ISNUMBER($F279)))),"Fecha no válida"&amp;" · ","")&amp;IF(AND(ISNUMBER($E279),ISNUMBER($F279),$E279&gt;$F279),"Inicio posterior a fecha límite"&amp;" · ","")&amp;IF(AND($S279="Macro",$G279=""),"Peso vacío"&amp;" · ","")&amp;IF(AND($S279="Macro",$G279&lt;&gt;"",OR(NOT(ISNUMBER($G279)),$G279&lt;=0,$G279&gt;1)),"Peso fuera de rango"&amp;" · ","")&amp;IF(AND($S279="Sub",$G279&lt;&gt;""),"Las subactividades no llevan peso"&amp;" · ","")&amp;IF(AND($S279="Macro",ABS(SUMIFS($G$5:$G$1000,$P$5:$P$1000,$P279,$S$5:$S$1000,"Macro")-1)&gt;0.0001),"Pesos del mes suman "&amp;TEXT(SUMIFS($G$5:$G$1000,$P$5:$P$1000,$P279,$S$5:$S$1000,"Macro"),"0%")&amp;" · ","")&amp;IF(AND(N($T279)&gt;0,COUNT($H279:$K279)&gt;0),"Con subactividades: deje vacías las semanas (se calculan solas)"&amp;" · ","")&amp;IF((COUNTIF($H279:$K279,"&gt;1")+COUNTIF($H279:$K279,"&lt;0")+COUNTA($H279:$K279)-COUNT($H279:$K279))&gt;0,"Avance fuera de rango 0-100%"&amp;" · ","")&amp;IF(OR(AND($I279&lt;&gt;"",$I279&lt;$H279),AND($J279&lt;&gt;"",$J279&lt;MAX($H279:$I279)),AND($K279&lt;&gt;"",$K279&lt;MAX($H279:$J279))),"Avance semanal decreciente"&amp;" · ","")&amp;IF(AND(ISNUMBER($F279),$F279&lt;FechaRef,N($L279)&lt;1),"Vencida"&amp;" · ","")&amp;IF(AND(ObsObligatoria="Sí",ISNUMBER($F279),$F279&lt;FechaRef,N($L279)&lt;1,$N279=""),"Vencida sin observación"&amp;" · ",""),LEN(IF(AND($S279="Macro",$B279=""),"Macroactividad vacía"&amp;" · ","")&amp;IF(AND($B279&lt;&gt;"",$C279&lt;&gt;""),"Escriba la subactividad en otra fila, debajo de su macroactividad"&amp;" · ","")&amp;IF(AND($S279="Sub",N($R279)=0),"Subactividad sin macroactividad arriba"&amp;" · ","")&amp;IF($D279="","Sin responsable"&amp;" · ","")&amp;IF($E279="","Sin fecha de inicio"&amp;" · ","")&amp;IF($F279="","Sin fecha límite"&amp;" · ","")&amp;IF(OR(AND($E279&lt;&gt;"",NOT(ISNUMBER($E279))),AND($F279&lt;&gt;"",NOT(ISNUMBER($F279)))),"Fecha no válida"&amp;" · ","")&amp;IF(AND(ISNUMBER($E279),ISNUMBER($F279),$E279&gt;$F279),"Inicio posterior a fecha límite"&amp;" · ","")&amp;IF(AND($S279="Macro",$G279=""),"Peso vacío"&amp;" · ","")&amp;IF(AND($S279="Macro",$G279&lt;&gt;"",OR(NOT(ISNUMBER($G279)),$G279&lt;=0,$G279&gt;1)),"Peso fuera de rango"&amp;" · ","")&amp;IF(AND($S279="Sub",$G279&lt;&gt;""),"Las subactividades no llevan peso"&amp;" · ","")&amp;IF(AND($S279="Macro",ABS(SUMIFS($G$5:$G$1000,$P$5:$P$1000,$P279,$S$5:$S$1000,"Macro")-1)&gt;0.0001),"Pesos del mes suman "&amp;TEXT(SUMIFS($G$5:$G$1000,$P$5:$P$1000,$P279,$S$5:$S$1000,"Macro"),"0%")&amp;" · ","")&amp;IF(AND(N($T279)&gt;0,COUNT($H279:$K279)&gt;0),"Con subactividades: deje vacías las semanas (se calculan solas)"&amp;" · ","")&amp;IF((COUNTIF($H279:$K279,"&gt;1")+COUNTIF($H279:$K279,"&lt;0")+COUNTA($H279:$K279)-COUNT($H279:$K279))&gt;0,"Avance fuera de rango 0-100%"&amp;" · ","")&amp;IF(OR(AND($I279&lt;&gt;"",$I279&lt;$H279),AND($J279&lt;&gt;"",$J279&lt;MAX($H279:$I279)),AND($K279&lt;&gt;"",$K279&lt;MAX($H279:$J279))),"Avance semanal decreciente"&amp;" · ","")&amp;IF(AND(ISNUMBER($F279),$F279&lt;FechaRef,N($L279)&lt;1),"Vencida"&amp;" · ","")&amp;IF(AND(ObsObligatoria="Sí",ISNUMBER($F279),$F279&lt;FechaRef,N($L279)&lt;1,$N279=""),"Vencida sin observación"&amp;" · ",""))-3)))</f>
        <v/>
      </c>
      <c r="P279" s="69">
        <f>IF(NOT((COUNTA($B279:$K279)+COUNTA($N279))&gt;0),"",IF(AND($S279="Sub",N($R279)&gt;0),IF(ISNUMBER(INDEX($E$5:$E$1000,$R279-4)),DATE(YEAR(INDEX($E$5:$E$1000,$R279-4)),MONTH(INDEX($E$5:$E$1000,$R279-4)),1),IF(ISNUMBER(INDEX($F$5:$F$1000,$R279-4)),DATE(YEAR(INDEX($F$5:$F$1000,$R279-4)),MONTH(INDEX($F$5:$F$1000,$R279-4)),1),MesCiclo)),IF(ISNUMBER($E279),DATE(YEAR($E279),MONTH($E279),1),IF(ISNUMBER($F279),DATE(YEAR($F279),MONTH($F279),1),MesCiclo))))</f>
        <v/>
      </c>
      <c r="Q279" s="70">
        <f>IF(OR($P279="",$P279&lt;&gt;MesCiclo),"",COUNTIF($P$5:$P279,MesCiclo))</f>
        <v/>
      </c>
      <c r="R279" s="70">
        <f>IF($S279="","",IF($S279="Macro",ROW(),IFERROR(LOOKUP(2,1/($S$5:$S279="Macro"),ROW($S$5:$S279)),0)))</f>
        <v/>
      </c>
      <c r="S279" s="70">
        <f>IF(NOT((COUNTA($B279:$K279)+COUNTA($N279))&gt;0),"",IF($B279&lt;&gt;"","Macro",IF($C279&lt;&gt;"","Sub","Macro")))</f>
        <v/>
      </c>
      <c r="T279" s="70">
        <f>IF($S279="Macro",COUNTIFS($R$5:$R$1000,ROW(),$S$5:$S$1000,"Sub"),"")</f>
        <v/>
      </c>
      <c r="U279" s="70">
        <f>IF($S279="","",IF(ISNUMBER($H279),$H279,0))</f>
        <v/>
      </c>
      <c r="V279" s="70">
        <f>IF($S279="","",IF(ISNUMBER($I279),$I279,$U279))</f>
        <v/>
      </c>
      <c r="W279" s="70">
        <f>IF($S279="","",IF(ISNUMBER($J279),$J279,$V279))</f>
        <v/>
      </c>
      <c r="X279" s="70">
        <f>IF($S279="","",IF(ISNUMBER($K279),$K279,$W279))</f>
        <v/>
      </c>
      <c r="Y279" s="70">
        <f>IF($S279="","",IF(N($T279)&gt;0,AVERAGEIFS($U$5:$U$1000,$R$5:$R$1000,ROW(),$S$5:$S$1000,"Sub"),$U279))</f>
        <v/>
      </c>
      <c r="Z279" s="70">
        <f>IF($S279="","",IF(N($T279)&gt;0,AVERAGEIFS($V$5:$V$1000,$R$5:$R$1000,ROW(),$S$5:$S$1000,"Sub"),$V279))</f>
        <v/>
      </c>
      <c r="AA279" s="70">
        <f>IF($S279="","",IF(N($T279)&gt;0,AVERAGEIFS($W$5:$W$1000,$R$5:$R$1000,ROW(),$S$5:$S$1000,"Sub"),$W279))</f>
        <v/>
      </c>
      <c r="AB279" s="70">
        <f>IF($S279="","",IF(N($T279)&gt;0,AVERAGEIFS($X$5:$X$1000,$R$5:$R$1000,ROW(),$S$5:$S$1000,"Sub"),$X279))</f>
        <v/>
      </c>
    </row>
    <row r="280">
      <c r="A280" s="61">
        <f>IF(NOT((COUNTA($B280:$K280)+COUNTA($N280))&gt;0),"",IF($S280="Macro",COUNTIFS($S$5:$S280,"Macro",$P$5:$P280,$P280),IF(N($R280)=0,"?",COUNTIFS(INDEX($S$5:$S$1000,1):INDEX($S$5:$S$1000,$R280-4),"Macro",INDEX($P$5:$P$1000,1):INDEX($P$5:$P$1000,$R280-4),INDEX($P$5:$P$1000,$R280-4))&amp;"."&amp;COUNTIFS($R$5:$R280,$R280,$S$5:$S280,"Sub"))))</f>
        <v/>
      </c>
      <c r="B280" s="62" t="n"/>
      <c r="C280" s="63" t="n"/>
      <c r="D280" s="62" t="n"/>
      <c r="E280" s="64" t="n"/>
      <c r="F280" s="64" t="n"/>
      <c r="G280" s="65" t="n"/>
      <c r="H280" s="66" t="n"/>
      <c r="I280" s="66" t="n"/>
      <c r="J280" s="66" t="n"/>
      <c r="K280" s="66" t="n"/>
      <c r="L280" s="67">
        <f>IF(NOT((COUNTA($B280:$K280)+COUNTA($N280))&gt;0),"",IF(N($T280)&gt;0,$AB280,IFERROR(LOOKUP(2,1/(H280:K280&lt;&gt;""),H280:K280),0)))</f>
        <v/>
      </c>
      <c r="M280" s="61">
        <f>IF(L280="","",IF(L280&gt;=1,"Completado",IF(L280&gt;0,"En curso","Pendiente")))</f>
        <v/>
      </c>
      <c r="N280" s="62" t="n"/>
      <c r="O280" s="68">
        <f>IF(NOT((COUNTA($B280:$K280)+COUNTA($N280))&gt;0),"",IF((IF(AND($S280="Macro",$B280=""),"Macroactividad vacía"&amp;" · ","")&amp;IF(AND($B280&lt;&gt;"",$C280&lt;&gt;""),"Escriba la subactividad en otra fila, debajo de su macroactividad"&amp;" · ","")&amp;IF(AND($S280="Sub",N($R280)=0),"Subactividad sin macroactividad arriba"&amp;" · ","")&amp;IF($D280="","Sin responsable"&amp;" · ","")&amp;IF($E280="","Sin fecha de inicio"&amp;" · ","")&amp;IF($F280="","Sin fecha límite"&amp;" · ","")&amp;IF(OR(AND($E280&lt;&gt;"",NOT(ISNUMBER($E280))),AND($F280&lt;&gt;"",NOT(ISNUMBER($F280)))),"Fecha no válida"&amp;" · ","")&amp;IF(AND(ISNUMBER($E280),ISNUMBER($F280),$E280&gt;$F280),"Inicio posterior a fecha límite"&amp;" · ","")&amp;IF(AND($S280="Macro",$G280=""),"Peso vacío"&amp;" · ","")&amp;IF(AND($S280="Macro",$G280&lt;&gt;"",OR(NOT(ISNUMBER($G280)),$G280&lt;=0,$G280&gt;1)),"Peso fuera de rango"&amp;" · ","")&amp;IF(AND($S280="Sub",$G280&lt;&gt;""),"Las subactividades no llevan peso"&amp;" · ","")&amp;IF(AND($S280="Macro",ABS(SUMIFS($G$5:$G$1000,$P$5:$P$1000,$P280,$S$5:$S$1000,"Macro")-1)&gt;0.0001),"Pesos del mes suman "&amp;TEXT(SUMIFS($G$5:$G$1000,$P$5:$P$1000,$P280,$S$5:$S$1000,"Macro"),"0%")&amp;" · ","")&amp;IF(AND(N($T280)&gt;0,COUNT($H280:$K280)&gt;0),"Con subactividades: deje vacías las semanas (se calculan solas)"&amp;" · ","")&amp;IF((COUNTIF($H280:$K280,"&gt;1")+COUNTIF($H280:$K280,"&lt;0")+COUNTA($H280:$K280)-COUNT($H280:$K280))&gt;0,"Avance fuera de rango 0-100%"&amp;" · ","")&amp;IF(OR(AND($I280&lt;&gt;"",$I280&lt;$H280),AND($J280&lt;&gt;"",$J280&lt;MAX($H280:$I280)),AND($K280&lt;&gt;"",$K280&lt;MAX($H280:$J280))),"Avance semanal decreciente"&amp;" · ","")&amp;IF(AND(ISNUMBER($F280),$F280&lt;FechaRef,N($L280)&lt;1),"Vencida"&amp;" · ","")&amp;IF(AND(ObsObligatoria="Sí",ISNUMBER($F280),$F280&lt;FechaRef,N($L280)&lt;1,$N280=""),"Vencida sin observación"&amp;" · ",""))="","✔ OK","⚠ "&amp;LEFT(IF(AND($S280="Macro",$B280=""),"Macroactividad vacía"&amp;" · ","")&amp;IF(AND($B280&lt;&gt;"",$C280&lt;&gt;""),"Escriba la subactividad en otra fila, debajo de su macroactividad"&amp;" · ","")&amp;IF(AND($S280="Sub",N($R280)=0),"Subactividad sin macroactividad arriba"&amp;" · ","")&amp;IF($D280="","Sin responsable"&amp;" · ","")&amp;IF($E280="","Sin fecha de inicio"&amp;" · ","")&amp;IF($F280="","Sin fecha límite"&amp;" · ","")&amp;IF(OR(AND($E280&lt;&gt;"",NOT(ISNUMBER($E280))),AND($F280&lt;&gt;"",NOT(ISNUMBER($F280)))),"Fecha no válida"&amp;" · ","")&amp;IF(AND(ISNUMBER($E280),ISNUMBER($F280),$E280&gt;$F280),"Inicio posterior a fecha límite"&amp;" · ","")&amp;IF(AND($S280="Macro",$G280=""),"Peso vacío"&amp;" · ","")&amp;IF(AND($S280="Macro",$G280&lt;&gt;"",OR(NOT(ISNUMBER($G280)),$G280&lt;=0,$G280&gt;1)),"Peso fuera de rango"&amp;" · ","")&amp;IF(AND($S280="Sub",$G280&lt;&gt;""),"Las subactividades no llevan peso"&amp;" · ","")&amp;IF(AND($S280="Macro",ABS(SUMIFS($G$5:$G$1000,$P$5:$P$1000,$P280,$S$5:$S$1000,"Macro")-1)&gt;0.0001),"Pesos del mes suman "&amp;TEXT(SUMIFS($G$5:$G$1000,$P$5:$P$1000,$P280,$S$5:$S$1000,"Macro"),"0%")&amp;" · ","")&amp;IF(AND(N($T280)&gt;0,COUNT($H280:$K280)&gt;0),"Con subactividades: deje vacías las semanas (se calculan solas)"&amp;" · ","")&amp;IF((COUNTIF($H280:$K280,"&gt;1")+COUNTIF($H280:$K280,"&lt;0")+COUNTA($H280:$K280)-COUNT($H280:$K280))&gt;0,"Avance fuera de rango 0-100%"&amp;" · ","")&amp;IF(OR(AND($I280&lt;&gt;"",$I280&lt;$H280),AND($J280&lt;&gt;"",$J280&lt;MAX($H280:$I280)),AND($K280&lt;&gt;"",$K280&lt;MAX($H280:$J280))),"Avance semanal decreciente"&amp;" · ","")&amp;IF(AND(ISNUMBER($F280),$F280&lt;FechaRef,N($L280)&lt;1),"Vencida"&amp;" · ","")&amp;IF(AND(ObsObligatoria="Sí",ISNUMBER($F280),$F280&lt;FechaRef,N($L280)&lt;1,$N280=""),"Vencida sin observación"&amp;" · ",""),LEN(IF(AND($S280="Macro",$B280=""),"Macroactividad vacía"&amp;" · ","")&amp;IF(AND($B280&lt;&gt;"",$C280&lt;&gt;""),"Escriba la subactividad en otra fila, debajo de su macroactividad"&amp;" · ","")&amp;IF(AND($S280="Sub",N($R280)=0),"Subactividad sin macroactividad arriba"&amp;" · ","")&amp;IF($D280="","Sin responsable"&amp;" · ","")&amp;IF($E280="","Sin fecha de inicio"&amp;" · ","")&amp;IF($F280="","Sin fecha límite"&amp;" · ","")&amp;IF(OR(AND($E280&lt;&gt;"",NOT(ISNUMBER($E280))),AND($F280&lt;&gt;"",NOT(ISNUMBER($F280)))),"Fecha no válida"&amp;" · ","")&amp;IF(AND(ISNUMBER($E280),ISNUMBER($F280),$E280&gt;$F280),"Inicio posterior a fecha límite"&amp;" · ","")&amp;IF(AND($S280="Macro",$G280=""),"Peso vacío"&amp;" · ","")&amp;IF(AND($S280="Macro",$G280&lt;&gt;"",OR(NOT(ISNUMBER($G280)),$G280&lt;=0,$G280&gt;1)),"Peso fuera de rango"&amp;" · ","")&amp;IF(AND($S280="Sub",$G280&lt;&gt;""),"Las subactividades no llevan peso"&amp;" · ","")&amp;IF(AND($S280="Macro",ABS(SUMIFS($G$5:$G$1000,$P$5:$P$1000,$P280,$S$5:$S$1000,"Macro")-1)&gt;0.0001),"Pesos del mes suman "&amp;TEXT(SUMIFS($G$5:$G$1000,$P$5:$P$1000,$P280,$S$5:$S$1000,"Macro"),"0%")&amp;" · ","")&amp;IF(AND(N($T280)&gt;0,COUNT($H280:$K280)&gt;0),"Con subactividades: deje vacías las semanas (se calculan solas)"&amp;" · ","")&amp;IF((COUNTIF($H280:$K280,"&gt;1")+COUNTIF($H280:$K280,"&lt;0")+COUNTA($H280:$K280)-COUNT($H280:$K280))&gt;0,"Avance fuera de rango 0-100%"&amp;" · ","")&amp;IF(OR(AND($I280&lt;&gt;"",$I280&lt;$H280),AND($J280&lt;&gt;"",$J280&lt;MAX($H280:$I280)),AND($K280&lt;&gt;"",$K280&lt;MAX($H280:$J280))),"Avance semanal decreciente"&amp;" · ","")&amp;IF(AND(ISNUMBER($F280),$F280&lt;FechaRef,N($L280)&lt;1),"Vencida"&amp;" · ","")&amp;IF(AND(ObsObligatoria="Sí",ISNUMBER($F280),$F280&lt;FechaRef,N($L280)&lt;1,$N280=""),"Vencida sin observación"&amp;" · ",""))-3)))</f>
        <v/>
      </c>
      <c r="P280" s="69">
        <f>IF(NOT((COUNTA($B280:$K280)+COUNTA($N280))&gt;0),"",IF(AND($S280="Sub",N($R280)&gt;0),IF(ISNUMBER(INDEX($E$5:$E$1000,$R280-4)),DATE(YEAR(INDEX($E$5:$E$1000,$R280-4)),MONTH(INDEX($E$5:$E$1000,$R280-4)),1),IF(ISNUMBER(INDEX($F$5:$F$1000,$R280-4)),DATE(YEAR(INDEX($F$5:$F$1000,$R280-4)),MONTH(INDEX($F$5:$F$1000,$R280-4)),1),MesCiclo)),IF(ISNUMBER($E280),DATE(YEAR($E280),MONTH($E280),1),IF(ISNUMBER($F280),DATE(YEAR($F280),MONTH($F280),1),MesCiclo))))</f>
        <v/>
      </c>
      <c r="Q280" s="70">
        <f>IF(OR($P280="",$P280&lt;&gt;MesCiclo),"",COUNTIF($P$5:$P280,MesCiclo))</f>
        <v/>
      </c>
      <c r="R280" s="70">
        <f>IF($S280="","",IF($S280="Macro",ROW(),IFERROR(LOOKUP(2,1/($S$5:$S280="Macro"),ROW($S$5:$S280)),0)))</f>
        <v/>
      </c>
      <c r="S280" s="70">
        <f>IF(NOT((COUNTA($B280:$K280)+COUNTA($N280))&gt;0),"",IF($B280&lt;&gt;"","Macro",IF($C280&lt;&gt;"","Sub","Macro")))</f>
        <v/>
      </c>
      <c r="T280" s="70">
        <f>IF($S280="Macro",COUNTIFS($R$5:$R$1000,ROW(),$S$5:$S$1000,"Sub"),"")</f>
        <v/>
      </c>
      <c r="U280" s="70">
        <f>IF($S280="","",IF(ISNUMBER($H280),$H280,0))</f>
        <v/>
      </c>
      <c r="V280" s="70">
        <f>IF($S280="","",IF(ISNUMBER($I280),$I280,$U280))</f>
        <v/>
      </c>
      <c r="W280" s="70">
        <f>IF($S280="","",IF(ISNUMBER($J280),$J280,$V280))</f>
        <v/>
      </c>
      <c r="X280" s="70">
        <f>IF($S280="","",IF(ISNUMBER($K280),$K280,$W280))</f>
        <v/>
      </c>
      <c r="Y280" s="70">
        <f>IF($S280="","",IF(N($T280)&gt;0,AVERAGEIFS($U$5:$U$1000,$R$5:$R$1000,ROW(),$S$5:$S$1000,"Sub"),$U280))</f>
        <v/>
      </c>
      <c r="Z280" s="70">
        <f>IF($S280="","",IF(N($T280)&gt;0,AVERAGEIFS($V$5:$V$1000,$R$5:$R$1000,ROW(),$S$5:$S$1000,"Sub"),$V280))</f>
        <v/>
      </c>
      <c r="AA280" s="70">
        <f>IF($S280="","",IF(N($T280)&gt;0,AVERAGEIFS($W$5:$W$1000,$R$5:$R$1000,ROW(),$S$5:$S$1000,"Sub"),$W280))</f>
        <v/>
      </c>
      <c r="AB280" s="70">
        <f>IF($S280="","",IF(N($T280)&gt;0,AVERAGEIFS($X$5:$X$1000,$R$5:$R$1000,ROW(),$S$5:$S$1000,"Sub"),$X280))</f>
        <v/>
      </c>
    </row>
    <row r="281">
      <c r="A281" s="61">
        <f>IF(NOT((COUNTA($B281:$K281)+COUNTA($N281))&gt;0),"",IF($S281="Macro",COUNTIFS($S$5:$S281,"Macro",$P$5:$P281,$P281),IF(N($R281)=0,"?",COUNTIFS(INDEX($S$5:$S$1000,1):INDEX($S$5:$S$1000,$R281-4),"Macro",INDEX($P$5:$P$1000,1):INDEX($P$5:$P$1000,$R281-4),INDEX($P$5:$P$1000,$R281-4))&amp;"."&amp;COUNTIFS($R$5:$R281,$R281,$S$5:$S281,"Sub"))))</f>
        <v/>
      </c>
      <c r="B281" s="62" t="n"/>
      <c r="C281" s="63" t="n"/>
      <c r="D281" s="62" t="n"/>
      <c r="E281" s="64" t="n"/>
      <c r="F281" s="64" t="n"/>
      <c r="G281" s="65" t="n"/>
      <c r="H281" s="66" t="n"/>
      <c r="I281" s="66" t="n"/>
      <c r="J281" s="66" t="n"/>
      <c r="K281" s="66" t="n"/>
      <c r="L281" s="67">
        <f>IF(NOT((COUNTA($B281:$K281)+COUNTA($N281))&gt;0),"",IF(N($T281)&gt;0,$AB281,IFERROR(LOOKUP(2,1/(H281:K281&lt;&gt;""),H281:K281),0)))</f>
        <v/>
      </c>
      <c r="M281" s="61">
        <f>IF(L281="","",IF(L281&gt;=1,"Completado",IF(L281&gt;0,"En curso","Pendiente")))</f>
        <v/>
      </c>
      <c r="N281" s="62" t="n"/>
      <c r="O281" s="68">
        <f>IF(NOT((COUNTA($B281:$K281)+COUNTA($N281))&gt;0),"",IF((IF(AND($S281="Macro",$B281=""),"Macroactividad vacía"&amp;" · ","")&amp;IF(AND($B281&lt;&gt;"",$C281&lt;&gt;""),"Escriba la subactividad en otra fila, debajo de su macroactividad"&amp;" · ","")&amp;IF(AND($S281="Sub",N($R281)=0),"Subactividad sin macroactividad arriba"&amp;" · ","")&amp;IF($D281="","Sin responsable"&amp;" · ","")&amp;IF($E281="","Sin fecha de inicio"&amp;" · ","")&amp;IF($F281="","Sin fecha límite"&amp;" · ","")&amp;IF(OR(AND($E281&lt;&gt;"",NOT(ISNUMBER($E281))),AND($F281&lt;&gt;"",NOT(ISNUMBER($F281)))),"Fecha no válida"&amp;" · ","")&amp;IF(AND(ISNUMBER($E281),ISNUMBER($F281),$E281&gt;$F281),"Inicio posterior a fecha límite"&amp;" · ","")&amp;IF(AND($S281="Macro",$G281=""),"Peso vacío"&amp;" · ","")&amp;IF(AND($S281="Macro",$G281&lt;&gt;"",OR(NOT(ISNUMBER($G281)),$G281&lt;=0,$G281&gt;1)),"Peso fuera de rango"&amp;" · ","")&amp;IF(AND($S281="Sub",$G281&lt;&gt;""),"Las subactividades no llevan peso"&amp;" · ","")&amp;IF(AND($S281="Macro",ABS(SUMIFS($G$5:$G$1000,$P$5:$P$1000,$P281,$S$5:$S$1000,"Macro")-1)&gt;0.0001),"Pesos del mes suman "&amp;TEXT(SUMIFS($G$5:$G$1000,$P$5:$P$1000,$P281,$S$5:$S$1000,"Macro"),"0%")&amp;" · ","")&amp;IF(AND(N($T281)&gt;0,COUNT($H281:$K281)&gt;0),"Con subactividades: deje vacías las semanas (se calculan solas)"&amp;" · ","")&amp;IF((COUNTIF($H281:$K281,"&gt;1")+COUNTIF($H281:$K281,"&lt;0")+COUNTA($H281:$K281)-COUNT($H281:$K281))&gt;0,"Avance fuera de rango 0-100%"&amp;" · ","")&amp;IF(OR(AND($I281&lt;&gt;"",$I281&lt;$H281),AND($J281&lt;&gt;"",$J281&lt;MAX($H281:$I281)),AND($K281&lt;&gt;"",$K281&lt;MAX($H281:$J281))),"Avance semanal decreciente"&amp;" · ","")&amp;IF(AND(ISNUMBER($F281),$F281&lt;FechaRef,N($L281)&lt;1),"Vencida"&amp;" · ","")&amp;IF(AND(ObsObligatoria="Sí",ISNUMBER($F281),$F281&lt;FechaRef,N($L281)&lt;1,$N281=""),"Vencida sin observación"&amp;" · ",""))="","✔ OK","⚠ "&amp;LEFT(IF(AND($S281="Macro",$B281=""),"Macroactividad vacía"&amp;" · ","")&amp;IF(AND($B281&lt;&gt;"",$C281&lt;&gt;""),"Escriba la subactividad en otra fila, debajo de su macroactividad"&amp;" · ","")&amp;IF(AND($S281="Sub",N($R281)=0),"Subactividad sin macroactividad arriba"&amp;" · ","")&amp;IF($D281="","Sin responsable"&amp;" · ","")&amp;IF($E281="","Sin fecha de inicio"&amp;" · ","")&amp;IF($F281="","Sin fecha límite"&amp;" · ","")&amp;IF(OR(AND($E281&lt;&gt;"",NOT(ISNUMBER($E281))),AND($F281&lt;&gt;"",NOT(ISNUMBER($F281)))),"Fecha no válida"&amp;" · ","")&amp;IF(AND(ISNUMBER($E281),ISNUMBER($F281),$E281&gt;$F281),"Inicio posterior a fecha límite"&amp;" · ","")&amp;IF(AND($S281="Macro",$G281=""),"Peso vacío"&amp;" · ","")&amp;IF(AND($S281="Macro",$G281&lt;&gt;"",OR(NOT(ISNUMBER($G281)),$G281&lt;=0,$G281&gt;1)),"Peso fuera de rango"&amp;" · ","")&amp;IF(AND($S281="Sub",$G281&lt;&gt;""),"Las subactividades no llevan peso"&amp;" · ","")&amp;IF(AND($S281="Macro",ABS(SUMIFS($G$5:$G$1000,$P$5:$P$1000,$P281,$S$5:$S$1000,"Macro")-1)&gt;0.0001),"Pesos del mes suman "&amp;TEXT(SUMIFS($G$5:$G$1000,$P$5:$P$1000,$P281,$S$5:$S$1000,"Macro"),"0%")&amp;" · ","")&amp;IF(AND(N($T281)&gt;0,COUNT($H281:$K281)&gt;0),"Con subactividades: deje vacías las semanas (se calculan solas)"&amp;" · ","")&amp;IF((COUNTIF($H281:$K281,"&gt;1")+COUNTIF($H281:$K281,"&lt;0")+COUNTA($H281:$K281)-COUNT($H281:$K281))&gt;0,"Avance fuera de rango 0-100%"&amp;" · ","")&amp;IF(OR(AND($I281&lt;&gt;"",$I281&lt;$H281),AND($J281&lt;&gt;"",$J281&lt;MAX($H281:$I281)),AND($K281&lt;&gt;"",$K281&lt;MAX($H281:$J281))),"Avance semanal decreciente"&amp;" · ","")&amp;IF(AND(ISNUMBER($F281),$F281&lt;FechaRef,N($L281)&lt;1),"Vencida"&amp;" · ","")&amp;IF(AND(ObsObligatoria="Sí",ISNUMBER($F281),$F281&lt;FechaRef,N($L281)&lt;1,$N281=""),"Vencida sin observación"&amp;" · ",""),LEN(IF(AND($S281="Macro",$B281=""),"Macroactividad vacía"&amp;" · ","")&amp;IF(AND($B281&lt;&gt;"",$C281&lt;&gt;""),"Escriba la subactividad en otra fila, debajo de su macroactividad"&amp;" · ","")&amp;IF(AND($S281="Sub",N($R281)=0),"Subactividad sin macroactividad arriba"&amp;" · ","")&amp;IF($D281="","Sin responsable"&amp;" · ","")&amp;IF($E281="","Sin fecha de inicio"&amp;" · ","")&amp;IF($F281="","Sin fecha límite"&amp;" · ","")&amp;IF(OR(AND($E281&lt;&gt;"",NOT(ISNUMBER($E281))),AND($F281&lt;&gt;"",NOT(ISNUMBER($F281)))),"Fecha no válida"&amp;" · ","")&amp;IF(AND(ISNUMBER($E281),ISNUMBER($F281),$E281&gt;$F281),"Inicio posterior a fecha límite"&amp;" · ","")&amp;IF(AND($S281="Macro",$G281=""),"Peso vacío"&amp;" · ","")&amp;IF(AND($S281="Macro",$G281&lt;&gt;"",OR(NOT(ISNUMBER($G281)),$G281&lt;=0,$G281&gt;1)),"Peso fuera de rango"&amp;" · ","")&amp;IF(AND($S281="Sub",$G281&lt;&gt;""),"Las subactividades no llevan peso"&amp;" · ","")&amp;IF(AND($S281="Macro",ABS(SUMIFS($G$5:$G$1000,$P$5:$P$1000,$P281,$S$5:$S$1000,"Macro")-1)&gt;0.0001),"Pesos del mes suman "&amp;TEXT(SUMIFS($G$5:$G$1000,$P$5:$P$1000,$P281,$S$5:$S$1000,"Macro"),"0%")&amp;" · ","")&amp;IF(AND(N($T281)&gt;0,COUNT($H281:$K281)&gt;0),"Con subactividades: deje vacías las semanas (se calculan solas)"&amp;" · ","")&amp;IF((COUNTIF($H281:$K281,"&gt;1")+COUNTIF($H281:$K281,"&lt;0")+COUNTA($H281:$K281)-COUNT($H281:$K281))&gt;0,"Avance fuera de rango 0-100%"&amp;" · ","")&amp;IF(OR(AND($I281&lt;&gt;"",$I281&lt;$H281),AND($J281&lt;&gt;"",$J281&lt;MAX($H281:$I281)),AND($K281&lt;&gt;"",$K281&lt;MAX($H281:$J281))),"Avance semanal decreciente"&amp;" · ","")&amp;IF(AND(ISNUMBER($F281),$F281&lt;FechaRef,N($L281)&lt;1),"Vencida"&amp;" · ","")&amp;IF(AND(ObsObligatoria="Sí",ISNUMBER($F281),$F281&lt;FechaRef,N($L281)&lt;1,$N281=""),"Vencida sin observación"&amp;" · ",""))-3)))</f>
        <v/>
      </c>
      <c r="P281" s="69">
        <f>IF(NOT((COUNTA($B281:$K281)+COUNTA($N281))&gt;0),"",IF(AND($S281="Sub",N($R281)&gt;0),IF(ISNUMBER(INDEX($E$5:$E$1000,$R281-4)),DATE(YEAR(INDEX($E$5:$E$1000,$R281-4)),MONTH(INDEX($E$5:$E$1000,$R281-4)),1),IF(ISNUMBER(INDEX($F$5:$F$1000,$R281-4)),DATE(YEAR(INDEX($F$5:$F$1000,$R281-4)),MONTH(INDEX($F$5:$F$1000,$R281-4)),1),MesCiclo)),IF(ISNUMBER($E281),DATE(YEAR($E281),MONTH($E281),1),IF(ISNUMBER($F281),DATE(YEAR($F281),MONTH($F281),1),MesCiclo))))</f>
        <v/>
      </c>
      <c r="Q281" s="70">
        <f>IF(OR($P281="",$P281&lt;&gt;MesCiclo),"",COUNTIF($P$5:$P281,MesCiclo))</f>
        <v/>
      </c>
      <c r="R281" s="70">
        <f>IF($S281="","",IF($S281="Macro",ROW(),IFERROR(LOOKUP(2,1/($S$5:$S281="Macro"),ROW($S$5:$S281)),0)))</f>
        <v/>
      </c>
      <c r="S281" s="70">
        <f>IF(NOT((COUNTA($B281:$K281)+COUNTA($N281))&gt;0),"",IF($B281&lt;&gt;"","Macro",IF($C281&lt;&gt;"","Sub","Macro")))</f>
        <v/>
      </c>
      <c r="T281" s="70">
        <f>IF($S281="Macro",COUNTIFS($R$5:$R$1000,ROW(),$S$5:$S$1000,"Sub"),"")</f>
        <v/>
      </c>
      <c r="U281" s="70">
        <f>IF($S281="","",IF(ISNUMBER($H281),$H281,0))</f>
        <v/>
      </c>
      <c r="V281" s="70">
        <f>IF($S281="","",IF(ISNUMBER($I281),$I281,$U281))</f>
        <v/>
      </c>
      <c r="W281" s="70">
        <f>IF($S281="","",IF(ISNUMBER($J281),$J281,$V281))</f>
        <v/>
      </c>
      <c r="X281" s="70">
        <f>IF($S281="","",IF(ISNUMBER($K281),$K281,$W281))</f>
        <v/>
      </c>
      <c r="Y281" s="70">
        <f>IF($S281="","",IF(N($T281)&gt;0,AVERAGEIFS($U$5:$U$1000,$R$5:$R$1000,ROW(),$S$5:$S$1000,"Sub"),$U281))</f>
        <v/>
      </c>
      <c r="Z281" s="70">
        <f>IF($S281="","",IF(N($T281)&gt;0,AVERAGEIFS($V$5:$V$1000,$R$5:$R$1000,ROW(),$S$5:$S$1000,"Sub"),$V281))</f>
        <v/>
      </c>
      <c r="AA281" s="70">
        <f>IF($S281="","",IF(N($T281)&gt;0,AVERAGEIFS($W$5:$W$1000,$R$5:$R$1000,ROW(),$S$5:$S$1000,"Sub"),$W281))</f>
        <v/>
      </c>
      <c r="AB281" s="70">
        <f>IF($S281="","",IF(N($T281)&gt;0,AVERAGEIFS($X$5:$X$1000,$R$5:$R$1000,ROW(),$S$5:$S$1000,"Sub"),$X281))</f>
        <v/>
      </c>
    </row>
    <row r="282">
      <c r="A282" s="61">
        <f>IF(NOT((COUNTA($B282:$K282)+COUNTA($N282))&gt;0),"",IF($S282="Macro",COUNTIFS($S$5:$S282,"Macro",$P$5:$P282,$P282),IF(N($R282)=0,"?",COUNTIFS(INDEX($S$5:$S$1000,1):INDEX($S$5:$S$1000,$R282-4),"Macro",INDEX($P$5:$P$1000,1):INDEX($P$5:$P$1000,$R282-4),INDEX($P$5:$P$1000,$R282-4))&amp;"."&amp;COUNTIFS($R$5:$R282,$R282,$S$5:$S282,"Sub"))))</f>
        <v/>
      </c>
      <c r="B282" s="62" t="n"/>
      <c r="C282" s="63" t="n"/>
      <c r="D282" s="62" t="n"/>
      <c r="E282" s="64" t="n"/>
      <c r="F282" s="64" t="n"/>
      <c r="G282" s="65" t="n"/>
      <c r="H282" s="66" t="n"/>
      <c r="I282" s="66" t="n"/>
      <c r="J282" s="66" t="n"/>
      <c r="K282" s="66" t="n"/>
      <c r="L282" s="67">
        <f>IF(NOT((COUNTA($B282:$K282)+COUNTA($N282))&gt;0),"",IF(N($T282)&gt;0,$AB282,IFERROR(LOOKUP(2,1/(H282:K282&lt;&gt;""),H282:K282),0)))</f>
        <v/>
      </c>
      <c r="M282" s="61">
        <f>IF(L282="","",IF(L282&gt;=1,"Completado",IF(L282&gt;0,"En curso","Pendiente")))</f>
        <v/>
      </c>
      <c r="N282" s="62" t="n"/>
      <c r="O282" s="68">
        <f>IF(NOT((COUNTA($B282:$K282)+COUNTA($N282))&gt;0),"",IF((IF(AND($S282="Macro",$B282=""),"Macroactividad vacía"&amp;" · ","")&amp;IF(AND($B282&lt;&gt;"",$C282&lt;&gt;""),"Escriba la subactividad en otra fila, debajo de su macroactividad"&amp;" · ","")&amp;IF(AND($S282="Sub",N($R282)=0),"Subactividad sin macroactividad arriba"&amp;" · ","")&amp;IF($D282="","Sin responsable"&amp;" · ","")&amp;IF($E282="","Sin fecha de inicio"&amp;" · ","")&amp;IF($F282="","Sin fecha límite"&amp;" · ","")&amp;IF(OR(AND($E282&lt;&gt;"",NOT(ISNUMBER($E282))),AND($F282&lt;&gt;"",NOT(ISNUMBER($F282)))),"Fecha no válida"&amp;" · ","")&amp;IF(AND(ISNUMBER($E282),ISNUMBER($F282),$E282&gt;$F282),"Inicio posterior a fecha límite"&amp;" · ","")&amp;IF(AND($S282="Macro",$G282=""),"Peso vacío"&amp;" · ","")&amp;IF(AND($S282="Macro",$G282&lt;&gt;"",OR(NOT(ISNUMBER($G282)),$G282&lt;=0,$G282&gt;1)),"Peso fuera de rango"&amp;" · ","")&amp;IF(AND($S282="Sub",$G282&lt;&gt;""),"Las subactividades no llevan peso"&amp;" · ","")&amp;IF(AND($S282="Macro",ABS(SUMIFS($G$5:$G$1000,$P$5:$P$1000,$P282,$S$5:$S$1000,"Macro")-1)&gt;0.0001),"Pesos del mes suman "&amp;TEXT(SUMIFS($G$5:$G$1000,$P$5:$P$1000,$P282,$S$5:$S$1000,"Macro"),"0%")&amp;" · ","")&amp;IF(AND(N($T282)&gt;0,COUNT($H282:$K282)&gt;0),"Con subactividades: deje vacías las semanas (se calculan solas)"&amp;" · ","")&amp;IF((COUNTIF($H282:$K282,"&gt;1")+COUNTIF($H282:$K282,"&lt;0")+COUNTA($H282:$K282)-COUNT($H282:$K282))&gt;0,"Avance fuera de rango 0-100%"&amp;" · ","")&amp;IF(OR(AND($I282&lt;&gt;"",$I282&lt;$H282),AND($J282&lt;&gt;"",$J282&lt;MAX($H282:$I282)),AND($K282&lt;&gt;"",$K282&lt;MAX($H282:$J282))),"Avance semanal decreciente"&amp;" · ","")&amp;IF(AND(ISNUMBER($F282),$F282&lt;FechaRef,N($L282)&lt;1),"Vencida"&amp;" · ","")&amp;IF(AND(ObsObligatoria="Sí",ISNUMBER($F282),$F282&lt;FechaRef,N($L282)&lt;1,$N282=""),"Vencida sin observación"&amp;" · ",""))="","✔ OK","⚠ "&amp;LEFT(IF(AND($S282="Macro",$B282=""),"Macroactividad vacía"&amp;" · ","")&amp;IF(AND($B282&lt;&gt;"",$C282&lt;&gt;""),"Escriba la subactividad en otra fila, debajo de su macroactividad"&amp;" · ","")&amp;IF(AND($S282="Sub",N($R282)=0),"Subactividad sin macroactividad arriba"&amp;" · ","")&amp;IF($D282="","Sin responsable"&amp;" · ","")&amp;IF($E282="","Sin fecha de inicio"&amp;" · ","")&amp;IF($F282="","Sin fecha límite"&amp;" · ","")&amp;IF(OR(AND($E282&lt;&gt;"",NOT(ISNUMBER($E282))),AND($F282&lt;&gt;"",NOT(ISNUMBER($F282)))),"Fecha no válida"&amp;" · ","")&amp;IF(AND(ISNUMBER($E282),ISNUMBER($F282),$E282&gt;$F282),"Inicio posterior a fecha límite"&amp;" · ","")&amp;IF(AND($S282="Macro",$G282=""),"Peso vacío"&amp;" · ","")&amp;IF(AND($S282="Macro",$G282&lt;&gt;"",OR(NOT(ISNUMBER($G282)),$G282&lt;=0,$G282&gt;1)),"Peso fuera de rango"&amp;" · ","")&amp;IF(AND($S282="Sub",$G282&lt;&gt;""),"Las subactividades no llevan peso"&amp;" · ","")&amp;IF(AND($S282="Macro",ABS(SUMIFS($G$5:$G$1000,$P$5:$P$1000,$P282,$S$5:$S$1000,"Macro")-1)&gt;0.0001),"Pesos del mes suman "&amp;TEXT(SUMIFS($G$5:$G$1000,$P$5:$P$1000,$P282,$S$5:$S$1000,"Macro"),"0%")&amp;" · ","")&amp;IF(AND(N($T282)&gt;0,COUNT($H282:$K282)&gt;0),"Con subactividades: deje vacías las semanas (se calculan solas)"&amp;" · ","")&amp;IF((COUNTIF($H282:$K282,"&gt;1")+COUNTIF($H282:$K282,"&lt;0")+COUNTA($H282:$K282)-COUNT($H282:$K282))&gt;0,"Avance fuera de rango 0-100%"&amp;" · ","")&amp;IF(OR(AND($I282&lt;&gt;"",$I282&lt;$H282),AND($J282&lt;&gt;"",$J282&lt;MAX($H282:$I282)),AND($K282&lt;&gt;"",$K282&lt;MAX($H282:$J282))),"Avance semanal decreciente"&amp;" · ","")&amp;IF(AND(ISNUMBER($F282),$F282&lt;FechaRef,N($L282)&lt;1),"Vencida"&amp;" · ","")&amp;IF(AND(ObsObligatoria="Sí",ISNUMBER($F282),$F282&lt;FechaRef,N($L282)&lt;1,$N282=""),"Vencida sin observación"&amp;" · ",""),LEN(IF(AND($S282="Macro",$B282=""),"Macroactividad vacía"&amp;" · ","")&amp;IF(AND($B282&lt;&gt;"",$C282&lt;&gt;""),"Escriba la subactividad en otra fila, debajo de su macroactividad"&amp;" · ","")&amp;IF(AND($S282="Sub",N($R282)=0),"Subactividad sin macroactividad arriba"&amp;" · ","")&amp;IF($D282="","Sin responsable"&amp;" · ","")&amp;IF($E282="","Sin fecha de inicio"&amp;" · ","")&amp;IF($F282="","Sin fecha límite"&amp;" · ","")&amp;IF(OR(AND($E282&lt;&gt;"",NOT(ISNUMBER($E282))),AND($F282&lt;&gt;"",NOT(ISNUMBER($F282)))),"Fecha no válida"&amp;" · ","")&amp;IF(AND(ISNUMBER($E282),ISNUMBER($F282),$E282&gt;$F282),"Inicio posterior a fecha límite"&amp;" · ","")&amp;IF(AND($S282="Macro",$G282=""),"Peso vacío"&amp;" · ","")&amp;IF(AND($S282="Macro",$G282&lt;&gt;"",OR(NOT(ISNUMBER($G282)),$G282&lt;=0,$G282&gt;1)),"Peso fuera de rango"&amp;" · ","")&amp;IF(AND($S282="Sub",$G282&lt;&gt;""),"Las subactividades no llevan peso"&amp;" · ","")&amp;IF(AND($S282="Macro",ABS(SUMIFS($G$5:$G$1000,$P$5:$P$1000,$P282,$S$5:$S$1000,"Macro")-1)&gt;0.0001),"Pesos del mes suman "&amp;TEXT(SUMIFS($G$5:$G$1000,$P$5:$P$1000,$P282,$S$5:$S$1000,"Macro"),"0%")&amp;" · ","")&amp;IF(AND(N($T282)&gt;0,COUNT($H282:$K282)&gt;0),"Con subactividades: deje vacías las semanas (se calculan solas)"&amp;" · ","")&amp;IF((COUNTIF($H282:$K282,"&gt;1")+COUNTIF($H282:$K282,"&lt;0")+COUNTA($H282:$K282)-COUNT($H282:$K282))&gt;0,"Avance fuera de rango 0-100%"&amp;" · ","")&amp;IF(OR(AND($I282&lt;&gt;"",$I282&lt;$H282),AND($J282&lt;&gt;"",$J282&lt;MAX($H282:$I282)),AND($K282&lt;&gt;"",$K282&lt;MAX($H282:$J282))),"Avance semanal decreciente"&amp;" · ","")&amp;IF(AND(ISNUMBER($F282),$F282&lt;FechaRef,N($L282)&lt;1),"Vencida"&amp;" · ","")&amp;IF(AND(ObsObligatoria="Sí",ISNUMBER($F282),$F282&lt;FechaRef,N($L282)&lt;1,$N282=""),"Vencida sin observación"&amp;" · ",""))-3)))</f>
        <v/>
      </c>
      <c r="P282" s="69">
        <f>IF(NOT((COUNTA($B282:$K282)+COUNTA($N282))&gt;0),"",IF(AND($S282="Sub",N($R282)&gt;0),IF(ISNUMBER(INDEX($E$5:$E$1000,$R282-4)),DATE(YEAR(INDEX($E$5:$E$1000,$R282-4)),MONTH(INDEX($E$5:$E$1000,$R282-4)),1),IF(ISNUMBER(INDEX($F$5:$F$1000,$R282-4)),DATE(YEAR(INDEX($F$5:$F$1000,$R282-4)),MONTH(INDEX($F$5:$F$1000,$R282-4)),1),MesCiclo)),IF(ISNUMBER($E282),DATE(YEAR($E282),MONTH($E282),1),IF(ISNUMBER($F282),DATE(YEAR($F282),MONTH($F282),1),MesCiclo))))</f>
        <v/>
      </c>
      <c r="Q282" s="70">
        <f>IF(OR($P282="",$P282&lt;&gt;MesCiclo),"",COUNTIF($P$5:$P282,MesCiclo))</f>
        <v/>
      </c>
      <c r="R282" s="70">
        <f>IF($S282="","",IF($S282="Macro",ROW(),IFERROR(LOOKUP(2,1/($S$5:$S282="Macro"),ROW($S$5:$S282)),0)))</f>
        <v/>
      </c>
      <c r="S282" s="70">
        <f>IF(NOT((COUNTA($B282:$K282)+COUNTA($N282))&gt;0),"",IF($B282&lt;&gt;"","Macro",IF($C282&lt;&gt;"","Sub","Macro")))</f>
        <v/>
      </c>
      <c r="T282" s="70">
        <f>IF($S282="Macro",COUNTIFS($R$5:$R$1000,ROW(),$S$5:$S$1000,"Sub"),"")</f>
        <v/>
      </c>
      <c r="U282" s="70">
        <f>IF($S282="","",IF(ISNUMBER($H282),$H282,0))</f>
        <v/>
      </c>
      <c r="V282" s="70">
        <f>IF($S282="","",IF(ISNUMBER($I282),$I282,$U282))</f>
        <v/>
      </c>
      <c r="W282" s="70">
        <f>IF($S282="","",IF(ISNUMBER($J282),$J282,$V282))</f>
        <v/>
      </c>
      <c r="X282" s="70">
        <f>IF($S282="","",IF(ISNUMBER($K282),$K282,$W282))</f>
        <v/>
      </c>
      <c r="Y282" s="70">
        <f>IF($S282="","",IF(N($T282)&gt;0,AVERAGEIFS($U$5:$U$1000,$R$5:$R$1000,ROW(),$S$5:$S$1000,"Sub"),$U282))</f>
        <v/>
      </c>
      <c r="Z282" s="70">
        <f>IF($S282="","",IF(N($T282)&gt;0,AVERAGEIFS($V$5:$V$1000,$R$5:$R$1000,ROW(),$S$5:$S$1000,"Sub"),$V282))</f>
        <v/>
      </c>
      <c r="AA282" s="70">
        <f>IF($S282="","",IF(N($T282)&gt;0,AVERAGEIFS($W$5:$W$1000,$R$5:$R$1000,ROW(),$S$5:$S$1000,"Sub"),$W282))</f>
        <v/>
      </c>
      <c r="AB282" s="70">
        <f>IF($S282="","",IF(N($T282)&gt;0,AVERAGEIFS($X$5:$X$1000,$R$5:$R$1000,ROW(),$S$5:$S$1000,"Sub"),$X282))</f>
        <v/>
      </c>
    </row>
    <row r="283">
      <c r="A283" s="61">
        <f>IF(NOT((COUNTA($B283:$K283)+COUNTA($N283))&gt;0),"",IF($S283="Macro",COUNTIFS($S$5:$S283,"Macro",$P$5:$P283,$P283),IF(N($R283)=0,"?",COUNTIFS(INDEX($S$5:$S$1000,1):INDEX($S$5:$S$1000,$R283-4),"Macro",INDEX($P$5:$P$1000,1):INDEX($P$5:$P$1000,$R283-4),INDEX($P$5:$P$1000,$R283-4))&amp;"."&amp;COUNTIFS($R$5:$R283,$R283,$S$5:$S283,"Sub"))))</f>
        <v/>
      </c>
      <c r="B283" s="62" t="n"/>
      <c r="C283" s="63" t="n"/>
      <c r="D283" s="62" t="n"/>
      <c r="E283" s="64" t="n"/>
      <c r="F283" s="64" t="n"/>
      <c r="G283" s="65" t="n"/>
      <c r="H283" s="66" t="n"/>
      <c r="I283" s="66" t="n"/>
      <c r="J283" s="66" t="n"/>
      <c r="K283" s="66" t="n"/>
      <c r="L283" s="67">
        <f>IF(NOT((COUNTA($B283:$K283)+COUNTA($N283))&gt;0),"",IF(N($T283)&gt;0,$AB283,IFERROR(LOOKUP(2,1/(H283:K283&lt;&gt;""),H283:K283),0)))</f>
        <v/>
      </c>
      <c r="M283" s="61">
        <f>IF(L283="","",IF(L283&gt;=1,"Completado",IF(L283&gt;0,"En curso","Pendiente")))</f>
        <v/>
      </c>
      <c r="N283" s="62" t="n"/>
      <c r="O283" s="68">
        <f>IF(NOT((COUNTA($B283:$K283)+COUNTA($N283))&gt;0),"",IF((IF(AND($S283="Macro",$B283=""),"Macroactividad vacía"&amp;" · ","")&amp;IF(AND($B283&lt;&gt;"",$C283&lt;&gt;""),"Escriba la subactividad en otra fila, debajo de su macroactividad"&amp;" · ","")&amp;IF(AND($S283="Sub",N($R283)=0),"Subactividad sin macroactividad arriba"&amp;" · ","")&amp;IF($D283="","Sin responsable"&amp;" · ","")&amp;IF($E283="","Sin fecha de inicio"&amp;" · ","")&amp;IF($F283="","Sin fecha límite"&amp;" · ","")&amp;IF(OR(AND($E283&lt;&gt;"",NOT(ISNUMBER($E283))),AND($F283&lt;&gt;"",NOT(ISNUMBER($F283)))),"Fecha no válida"&amp;" · ","")&amp;IF(AND(ISNUMBER($E283),ISNUMBER($F283),$E283&gt;$F283),"Inicio posterior a fecha límite"&amp;" · ","")&amp;IF(AND($S283="Macro",$G283=""),"Peso vacío"&amp;" · ","")&amp;IF(AND($S283="Macro",$G283&lt;&gt;"",OR(NOT(ISNUMBER($G283)),$G283&lt;=0,$G283&gt;1)),"Peso fuera de rango"&amp;" · ","")&amp;IF(AND($S283="Sub",$G283&lt;&gt;""),"Las subactividades no llevan peso"&amp;" · ","")&amp;IF(AND($S283="Macro",ABS(SUMIFS($G$5:$G$1000,$P$5:$P$1000,$P283,$S$5:$S$1000,"Macro")-1)&gt;0.0001),"Pesos del mes suman "&amp;TEXT(SUMIFS($G$5:$G$1000,$P$5:$P$1000,$P283,$S$5:$S$1000,"Macro"),"0%")&amp;" · ","")&amp;IF(AND(N($T283)&gt;0,COUNT($H283:$K283)&gt;0),"Con subactividades: deje vacías las semanas (se calculan solas)"&amp;" · ","")&amp;IF((COUNTIF($H283:$K283,"&gt;1")+COUNTIF($H283:$K283,"&lt;0")+COUNTA($H283:$K283)-COUNT($H283:$K283))&gt;0,"Avance fuera de rango 0-100%"&amp;" · ","")&amp;IF(OR(AND($I283&lt;&gt;"",$I283&lt;$H283),AND($J283&lt;&gt;"",$J283&lt;MAX($H283:$I283)),AND($K283&lt;&gt;"",$K283&lt;MAX($H283:$J283))),"Avance semanal decreciente"&amp;" · ","")&amp;IF(AND(ISNUMBER($F283),$F283&lt;FechaRef,N($L283)&lt;1),"Vencida"&amp;" · ","")&amp;IF(AND(ObsObligatoria="Sí",ISNUMBER($F283),$F283&lt;FechaRef,N($L283)&lt;1,$N283=""),"Vencida sin observación"&amp;" · ",""))="","✔ OK","⚠ "&amp;LEFT(IF(AND($S283="Macro",$B283=""),"Macroactividad vacía"&amp;" · ","")&amp;IF(AND($B283&lt;&gt;"",$C283&lt;&gt;""),"Escriba la subactividad en otra fila, debajo de su macroactividad"&amp;" · ","")&amp;IF(AND($S283="Sub",N($R283)=0),"Subactividad sin macroactividad arriba"&amp;" · ","")&amp;IF($D283="","Sin responsable"&amp;" · ","")&amp;IF($E283="","Sin fecha de inicio"&amp;" · ","")&amp;IF($F283="","Sin fecha límite"&amp;" · ","")&amp;IF(OR(AND($E283&lt;&gt;"",NOT(ISNUMBER($E283))),AND($F283&lt;&gt;"",NOT(ISNUMBER($F283)))),"Fecha no válida"&amp;" · ","")&amp;IF(AND(ISNUMBER($E283),ISNUMBER($F283),$E283&gt;$F283),"Inicio posterior a fecha límite"&amp;" · ","")&amp;IF(AND($S283="Macro",$G283=""),"Peso vacío"&amp;" · ","")&amp;IF(AND($S283="Macro",$G283&lt;&gt;"",OR(NOT(ISNUMBER($G283)),$G283&lt;=0,$G283&gt;1)),"Peso fuera de rango"&amp;" · ","")&amp;IF(AND($S283="Sub",$G283&lt;&gt;""),"Las subactividades no llevan peso"&amp;" · ","")&amp;IF(AND($S283="Macro",ABS(SUMIFS($G$5:$G$1000,$P$5:$P$1000,$P283,$S$5:$S$1000,"Macro")-1)&gt;0.0001),"Pesos del mes suman "&amp;TEXT(SUMIFS($G$5:$G$1000,$P$5:$P$1000,$P283,$S$5:$S$1000,"Macro"),"0%")&amp;" · ","")&amp;IF(AND(N($T283)&gt;0,COUNT($H283:$K283)&gt;0),"Con subactividades: deje vacías las semanas (se calculan solas)"&amp;" · ","")&amp;IF((COUNTIF($H283:$K283,"&gt;1")+COUNTIF($H283:$K283,"&lt;0")+COUNTA($H283:$K283)-COUNT($H283:$K283))&gt;0,"Avance fuera de rango 0-100%"&amp;" · ","")&amp;IF(OR(AND($I283&lt;&gt;"",$I283&lt;$H283),AND($J283&lt;&gt;"",$J283&lt;MAX($H283:$I283)),AND($K283&lt;&gt;"",$K283&lt;MAX($H283:$J283))),"Avance semanal decreciente"&amp;" · ","")&amp;IF(AND(ISNUMBER($F283),$F283&lt;FechaRef,N($L283)&lt;1),"Vencida"&amp;" · ","")&amp;IF(AND(ObsObligatoria="Sí",ISNUMBER($F283),$F283&lt;FechaRef,N($L283)&lt;1,$N283=""),"Vencida sin observación"&amp;" · ",""),LEN(IF(AND($S283="Macro",$B283=""),"Macroactividad vacía"&amp;" · ","")&amp;IF(AND($B283&lt;&gt;"",$C283&lt;&gt;""),"Escriba la subactividad en otra fila, debajo de su macroactividad"&amp;" · ","")&amp;IF(AND($S283="Sub",N($R283)=0),"Subactividad sin macroactividad arriba"&amp;" · ","")&amp;IF($D283="","Sin responsable"&amp;" · ","")&amp;IF($E283="","Sin fecha de inicio"&amp;" · ","")&amp;IF($F283="","Sin fecha límite"&amp;" · ","")&amp;IF(OR(AND($E283&lt;&gt;"",NOT(ISNUMBER($E283))),AND($F283&lt;&gt;"",NOT(ISNUMBER($F283)))),"Fecha no válida"&amp;" · ","")&amp;IF(AND(ISNUMBER($E283),ISNUMBER($F283),$E283&gt;$F283),"Inicio posterior a fecha límite"&amp;" · ","")&amp;IF(AND($S283="Macro",$G283=""),"Peso vacío"&amp;" · ","")&amp;IF(AND($S283="Macro",$G283&lt;&gt;"",OR(NOT(ISNUMBER($G283)),$G283&lt;=0,$G283&gt;1)),"Peso fuera de rango"&amp;" · ","")&amp;IF(AND($S283="Sub",$G283&lt;&gt;""),"Las subactividades no llevan peso"&amp;" · ","")&amp;IF(AND($S283="Macro",ABS(SUMIFS($G$5:$G$1000,$P$5:$P$1000,$P283,$S$5:$S$1000,"Macro")-1)&gt;0.0001),"Pesos del mes suman "&amp;TEXT(SUMIFS($G$5:$G$1000,$P$5:$P$1000,$P283,$S$5:$S$1000,"Macro"),"0%")&amp;" · ","")&amp;IF(AND(N($T283)&gt;0,COUNT($H283:$K283)&gt;0),"Con subactividades: deje vacías las semanas (se calculan solas)"&amp;" · ","")&amp;IF((COUNTIF($H283:$K283,"&gt;1")+COUNTIF($H283:$K283,"&lt;0")+COUNTA($H283:$K283)-COUNT($H283:$K283))&gt;0,"Avance fuera de rango 0-100%"&amp;" · ","")&amp;IF(OR(AND($I283&lt;&gt;"",$I283&lt;$H283),AND($J283&lt;&gt;"",$J283&lt;MAX($H283:$I283)),AND($K283&lt;&gt;"",$K283&lt;MAX($H283:$J283))),"Avance semanal decreciente"&amp;" · ","")&amp;IF(AND(ISNUMBER($F283),$F283&lt;FechaRef,N($L283)&lt;1),"Vencida"&amp;" · ","")&amp;IF(AND(ObsObligatoria="Sí",ISNUMBER($F283),$F283&lt;FechaRef,N($L283)&lt;1,$N283=""),"Vencida sin observación"&amp;" · ",""))-3)))</f>
        <v/>
      </c>
      <c r="P283" s="69">
        <f>IF(NOT((COUNTA($B283:$K283)+COUNTA($N283))&gt;0),"",IF(AND($S283="Sub",N($R283)&gt;0),IF(ISNUMBER(INDEX($E$5:$E$1000,$R283-4)),DATE(YEAR(INDEX($E$5:$E$1000,$R283-4)),MONTH(INDEX($E$5:$E$1000,$R283-4)),1),IF(ISNUMBER(INDEX($F$5:$F$1000,$R283-4)),DATE(YEAR(INDEX($F$5:$F$1000,$R283-4)),MONTH(INDEX($F$5:$F$1000,$R283-4)),1),MesCiclo)),IF(ISNUMBER($E283),DATE(YEAR($E283),MONTH($E283),1),IF(ISNUMBER($F283),DATE(YEAR($F283),MONTH($F283),1),MesCiclo))))</f>
        <v/>
      </c>
      <c r="Q283" s="70">
        <f>IF(OR($P283="",$P283&lt;&gt;MesCiclo),"",COUNTIF($P$5:$P283,MesCiclo))</f>
        <v/>
      </c>
      <c r="R283" s="70">
        <f>IF($S283="","",IF($S283="Macro",ROW(),IFERROR(LOOKUP(2,1/($S$5:$S283="Macro"),ROW($S$5:$S283)),0)))</f>
        <v/>
      </c>
      <c r="S283" s="70">
        <f>IF(NOT((COUNTA($B283:$K283)+COUNTA($N283))&gt;0),"",IF($B283&lt;&gt;"","Macro",IF($C283&lt;&gt;"","Sub","Macro")))</f>
        <v/>
      </c>
      <c r="T283" s="70">
        <f>IF($S283="Macro",COUNTIFS($R$5:$R$1000,ROW(),$S$5:$S$1000,"Sub"),"")</f>
        <v/>
      </c>
      <c r="U283" s="70">
        <f>IF($S283="","",IF(ISNUMBER($H283),$H283,0))</f>
        <v/>
      </c>
      <c r="V283" s="70">
        <f>IF($S283="","",IF(ISNUMBER($I283),$I283,$U283))</f>
        <v/>
      </c>
      <c r="W283" s="70">
        <f>IF($S283="","",IF(ISNUMBER($J283),$J283,$V283))</f>
        <v/>
      </c>
      <c r="X283" s="70">
        <f>IF($S283="","",IF(ISNUMBER($K283),$K283,$W283))</f>
        <v/>
      </c>
      <c r="Y283" s="70">
        <f>IF($S283="","",IF(N($T283)&gt;0,AVERAGEIFS($U$5:$U$1000,$R$5:$R$1000,ROW(),$S$5:$S$1000,"Sub"),$U283))</f>
        <v/>
      </c>
      <c r="Z283" s="70">
        <f>IF($S283="","",IF(N($T283)&gt;0,AVERAGEIFS($V$5:$V$1000,$R$5:$R$1000,ROW(),$S$5:$S$1000,"Sub"),$V283))</f>
        <v/>
      </c>
      <c r="AA283" s="70">
        <f>IF($S283="","",IF(N($T283)&gt;0,AVERAGEIFS($W$5:$W$1000,$R$5:$R$1000,ROW(),$S$5:$S$1000,"Sub"),$W283))</f>
        <v/>
      </c>
      <c r="AB283" s="70">
        <f>IF($S283="","",IF(N($T283)&gt;0,AVERAGEIFS($X$5:$X$1000,$R$5:$R$1000,ROW(),$S$5:$S$1000,"Sub"),$X283))</f>
        <v/>
      </c>
    </row>
    <row r="284">
      <c r="A284" s="61">
        <f>IF(NOT((COUNTA($B284:$K284)+COUNTA($N284))&gt;0),"",IF($S284="Macro",COUNTIFS($S$5:$S284,"Macro",$P$5:$P284,$P284),IF(N($R284)=0,"?",COUNTIFS(INDEX($S$5:$S$1000,1):INDEX($S$5:$S$1000,$R284-4),"Macro",INDEX($P$5:$P$1000,1):INDEX($P$5:$P$1000,$R284-4),INDEX($P$5:$P$1000,$R284-4))&amp;"."&amp;COUNTIFS($R$5:$R284,$R284,$S$5:$S284,"Sub"))))</f>
        <v/>
      </c>
      <c r="B284" s="62" t="n"/>
      <c r="C284" s="63" t="n"/>
      <c r="D284" s="62" t="n"/>
      <c r="E284" s="64" t="n"/>
      <c r="F284" s="64" t="n"/>
      <c r="G284" s="65" t="n"/>
      <c r="H284" s="66" t="n"/>
      <c r="I284" s="66" t="n"/>
      <c r="J284" s="66" t="n"/>
      <c r="K284" s="66" t="n"/>
      <c r="L284" s="67">
        <f>IF(NOT((COUNTA($B284:$K284)+COUNTA($N284))&gt;0),"",IF(N($T284)&gt;0,$AB284,IFERROR(LOOKUP(2,1/(H284:K284&lt;&gt;""),H284:K284),0)))</f>
        <v/>
      </c>
      <c r="M284" s="61">
        <f>IF(L284="","",IF(L284&gt;=1,"Completado",IF(L284&gt;0,"En curso","Pendiente")))</f>
        <v/>
      </c>
      <c r="N284" s="62" t="n"/>
      <c r="O284" s="68">
        <f>IF(NOT((COUNTA($B284:$K284)+COUNTA($N284))&gt;0),"",IF((IF(AND($S284="Macro",$B284=""),"Macroactividad vacía"&amp;" · ","")&amp;IF(AND($B284&lt;&gt;"",$C284&lt;&gt;""),"Escriba la subactividad en otra fila, debajo de su macroactividad"&amp;" · ","")&amp;IF(AND($S284="Sub",N($R284)=0),"Subactividad sin macroactividad arriba"&amp;" · ","")&amp;IF($D284="","Sin responsable"&amp;" · ","")&amp;IF($E284="","Sin fecha de inicio"&amp;" · ","")&amp;IF($F284="","Sin fecha límite"&amp;" · ","")&amp;IF(OR(AND($E284&lt;&gt;"",NOT(ISNUMBER($E284))),AND($F284&lt;&gt;"",NOT(ISNUMBER($F284)))),"Fecha no válida"&amp;" · ","")&amp;IF(AND(ISNUMBER($E284),ISNUMBER($F284),$E284&gt;$F284),"Inicio posterior a fecha límite"&amp;" · ","")&amp;IF(AND($S284="Macro",$G284=""),"Peso vacío"&amp;" · ","")&amp;IF(AND($S284="Macro",$G284&lt;&gt;"",OR(NOT(ISNUMBER($G284)),$G284&lt;=0,$G284&gt;1)),"Peso fuera de rango"&amp;" · ","")&amp;IF(AND($S284="Sub",$G284&lt;&gt;""),"Las subactividades no llevan peso"&amp;" · ","")&amp;IF(AND($S284="Macro",ABS(SUMIFS($G$5:$G$1000,$P$5:$P$1000,$P284,$S$5:$S$1000,"Macro")-1)&gt;0.0001),"Pesos del mes suman "&amp;TEXT(SUMIFS($G$5:$G$1000,$P$5:$P$1000,$P284,$S$5:$S$1000,"Macro"),"0%")&amp;" · ","")&amp;IF(AND(N($T284)&gt;0,COUNT($H284:$K284)&gt;0),"Con subactividades: deje vacías las semanas (se calculan solas)"&amp;" · ","")&amp;IF((COUNTIF($H284:$K284,"&gt;1")+COUNTIF($H284:$K284,"&lt;0")+COUNTA($H284:$K284)-COUNT($H284:$K284))&gt;0,"Avance fuera de rango 0-100%"&amp;" · ","")&amp;IF(OR(AND($I284&lt;&gt;"",$I284&lt;$H284),AND($J284&lt;&gt;"",$J284&lt;MAX($H284:$I284)),AND($K284&lt;&gt;"",$K284&lt;MAX($H284:$J284))),"Avance semanal decreciente"&amp;" · ","")&amp;IF(AND(ISNUMBER($F284),$F284&lt;FechaRef,N($L284)&lt;1),"Vencida"&amp;" · ","")&amp;IF(AND(ObsObligatoria="Sí",ISNUMBER($F284),$F284&lt;FechaRef,N($L284)&lt;1,$N284=""),"Vencida sin observación"&amp;" · ",""))="","✔ OK","⚠ "&amp;LEFT(IF(AND($S284="Macro",$B284=""),"Macroactividad vacía"&amp;" · ","")&amp;IF(AND($B284&lt;&gt;"",$C284&lt;&gt;""),"Escriba la subactividad en otra fila, debajo de su macroactividad"&amp;" · ","")&amp;IF(AND($S284="Sub",N($R284)=0),"Subactividad sin macroactividad arriba"&amp;" · ","")&amp;IF($D284="","Sin responsable"&amp;" · ","")&amp;IF($E284="","Sin fecha de inicio"&amp;" · ","")&amp;IF($F284="","Sin fecha límite"&amp;" · ","")&amp;IF(OR(AND($E284&lt;&gt;"",NOT(ISNUMBER($E284))),AND($F284&lt;&gt;"",NOT(ISNUMBER($F284)))),"Fecha no válida"&amp;" · ","")&amp;IF(AND(ISNUMBER($E284),ISNUMBER($F284),$E284&gt;$F284),"Inicio posterior a fecha límite"&amp;" · ","")&amp;IF(AND($S284="Macro",$G284=""),"Peso vacío"&amp;" · ","")&amp;IF(AND($S284="Macro",$G284&lt;&gt;"",OR(NOT(ISNUMBER($G284)),$G284&lt;=0,$G284&gt;1)),"Peso fuera de rango"&amp;" · ","")&amp;IF(AND($S284="Sub",$G284&lt;&gt;""),"Las subactividades no llevan peso"&amp;" · ","")&amp;IF(AND($S284="Macro",ABS(SUMIFS($G$5:$G$1000,$P$5:$P$1000,$P284,$S$5:$S$1000,"Macro")-1)&gt;0.0001),"Pesos del mes suman "&amp;TEXT(SUMIFS($G$5:$G$1000,$P$5:$P$1000,$P284,$S$5:$S$1000,"Macro"),"0%")&amp;" · ","")&amp;IF(AND(N($T284)&gt;0,COUNT($H284:$K284)&gt;0),"Con subactividades: deje vacías las semanas (se calculan solas)"&amp;" · ","")&amp;IF((COUNTIF($H284:$K284,"&gt;1")+COUNTIF($H284:$K284,"&lt;0")+COUNTA($H284:$K284)-COUNT($H284:$K284))&gt;0,"Avance fuera de rango 0-100%"&amp;" · ","")&amp;IF(OR(AND($I284&lt;&gt;"",$I284&lt;$H284),AND($J284&lt;&gt;"",$J284&lt;MAX($H284:$I284)),AND($K284&lt;&gt;"",$K284&lt;MAX($H284:$J284))),"Avance semanal decreciente"&amp;" · ","")&amp;IF(AND(ISNUMBER($F284),$F284&lt;FechaRef,N($L284)&lt;1),"Vencida"&amp;" · ","")&amp;IF(AND(ObsObligatoria="Sí",ISNUMBER($F284),$F284&lt;FechaRef,N($L284)&lt;1,$N284=""),"Vencida sin observación"&amp;" · ",""),LEN(IF(AND($S284="Macro",$B284=""),"Macroactividad vacía"&amp;" · ","")&amp;IF(AND($B284&lt;&gt;"",$C284&lt;&gt;""),"Escriba la subactividad en otra fila, debajo de su macroactividad"&amp;" · ","")&amp;IF(AND($S284="Sub",N($R284)=0),"Subactividad sin macroactividad arriba"&amp;" · ","")&amp;IF($D284="","Sin responsable"&amp;" · ","")&amp;IF($E284="","Sin fecha de inicio"&amp;" · ","")&amp;IF($F284="","Sin fecha límite"&amp;" · ","")&amp;IF(OR(AND($E284&lt;&gt;"",NOT(ISNUMBER($E284))),AND($F284&lt;&gt;"",NOT(ISNUMBER($F284)))),"Fecha no válida"&amp;" · ","")&amp;IF(AND(ISNUMBER($E284),ISNUMBER($F284),$E284&gt;$F284),"Inicio posterior a fecha límite"&amp;" · ","")&amp;IF(AND($S284="Macro",$G284=""),"Peso vacío"&amp;" · ","")&amp;IF(AND($S284="Macro",$G284&lt;&gt;"",OR(NOT(ISNUMBER($G284)),$G284&lt;=0,$G284&gt;1)),"Peso fuera de rango"&amp;" · ","")&amp;IF(AND($S284="Sub",$G284&lt;&gt;""),"Las subactividades no llevan peso"&amp;" · ","")&amp;IF(AND($S284="Macro",ABS(SUMIFS($G$5:$G$1000,$P$5:$P$1000,$P284,$S$5:$S$1000,"Macro")-1)&gt;0.0001),"Pesos del mes suman "&amp;TEXT(SUMIFS($G$5:$G$1000,$P$5:$P$1000,$P284,$S$5:$S$1000,"Macro"),"0%")&amp;" · ","")&amp;IF(AND(N($T284)&gt;0,COUNT($H284:$K284)&gt;0),"Con subactividades: deje vacías las semanas (se calculan solas)"&amp;" · ","")&amp;IF((COUNTIF($H284:$K284,"&gt;1")+COUNTIF($H284:$K284,"&lt;0")+COUNTA($H284:$K284)-COUNT($H284:$K284))&gt;0,"Avance fuera de rango 0-100%"&amp;" · ","")&amp;IF(OR(AND($I284&lt;&gt;"",$I284&lt;$H284),AND($J284&lt;&gt;"",$J284&lt;MAX($H284:$I284)),AND($K284&lt;&gt;"",$K284&lt;MAX($H284:$J284))),"Avance semanal decreciente"&amp;" · ","")&amp;IF(AND(ISNUMBER($F284),$F284&lt;FechaRef,N($L284)&lt;1),"Vencida"&amp;" · ","")&amp;IF(AND(ObsObligatoria="Sí",ISNUMBER($F284),$F284&lt;FechaRef,N($L284)&lt;1,$N284=""),"Vencida sin observación"&amp;" · ",""))-3)))</f>
        <v/>
      </c>
      <c r="P284" s="69">
        <f>IF(NOT((COUNTA($B284:$K284)+COUNTA($N284))&gt;0),"",IF(AND($S284="Sub",N($R284)&gt;0),IF(ISNUMBER(INDEX($E$5:$E$1000,$R284-4)),DATE(YEAR(INDEX($E$5:$E$1000,$R284-4)),MONTH(INDEX($E$5:$E$1000,$R284-4)),1),IF(ISNUMBER(INDEX($F$5:$F$1000,$R284-4)),DATE(YEAR(INDEX($F$5:$F$1000,$R284-4)),MONTH(INDEX($F$5:$F$1000,$R284-4)),1),MesCiclo)),IF(ISNUMBER($E284),DATE(YEAR($E284),MONTH($E284),1),IF(ISNUMBER($F284),DATE(YEAR($F284),MONTH($F284),1),MesCiclo))))</f>
        <v/>
      </c>
      <c r="Q284" s="70">
        <f>IF(OR($P284="",$P284&lt;&gt;MesCiclo),"",COUNTIF($P$5:$P284,MesCiclo))</f>
        <v/>
      </c>
      <c r="R284" s="70">
        <f>IF($S284="","",IF($S284="Macro",ROW(),IFERROR(LOOKUP(2,1/($S$5:$S284="Macro"),ROW($S$5:$S284)),0)))</f>
        <v/>
      </c>
      <c r="S284" s="70">
        <f>IF(NOT((COUNTA($B284:$K284)+COUNTA($N284))&gt;0),"",IF($B284&lt;&gt;"","Macro",IF($C284&lt;&gt;"","Sub","Macro")))</f>
        <v/>
      </c>
      <c r="T284" s="70">
        <f>IF($S284="Macro",COUNTIFS($R$5:$R$1000,ROW(),$S$5:$S$1000,"Sub"),"")</f>
        <v/>
      </c>
      <c r="U284" s="70">
        <f>IF($S284="","",IF(ISNUMBER($H284),$H284,0))</f>
        <v/>
      </c>
      <c r="V284" s="70">
        <f>IF($S284="","",IF(ISNUMBER($I284),$I284,$U284))</f>
        <v/>
      </c>
      <c r="W284" s="70">
        <f>IF($S284="","",IF(ISNUMBER($J284),$J284,$V284))</f>
        <v/>
      </c>
      <c r="X284" s="70">
        <f>IF($S284="","",IF(ISNUMBER($K284),$K284,$W284))</f>
        <v/>
      </c>
      <c r="Y284" s="70">
        <f>IF($S284="","",IF(N($T284)&gt;0,AVERAGEIFS($U$5:$U$1000,$R$5:$R$1000,ROW(),$S$5:$S$1000,"Sub"),$U284))</f>
        <v/>
      </c>
      <c r="Z284" s="70">
        <f>IF($S284="","",IF(N($T284)&gt;0,AVERAGEIFS($V$5:$V$1000,$R$5:$R$1000,ROW(),$S$5:$S$1000,"Sub"),$V284))</f>
        <v/>
      </c>
      <c r="AA284" s="70">
        <f>IF($S284="","",IF(N($T284)&gt;0,AVERAGEIFS($W$5:$W$1000,$R$5:$R$1000,ROW(),$S$5:$S$1000,"Sub"),$W284))</f>
        <v/>
      </c>
      <c r="AB284" s="70">
        <f>IF($S284="","",IF(N($T284)&gt;0,AVERAGEIFS($X$5:$X$1000,$R$5:$R$1000,ROW(),$S$5:$S$1000,"Sub"),$X284))</f>
        <v/>
      </c>
    </row>
    <row r="285">
      <c r="A285" s="61">
        <f>IF(NOT((COUNTA($B285:$K285)+COUNTA($N285))&gt;0),"",IF($S285="Macro",COUNTIFS($S$5:$S285,"Macro",$P$5:$P285,$P285),IF(N($R285)=0,"?",COUNTIFS(INDEX($S$5:$S$1000,1):INDEX($S$5:$S$1000,$R285-4),"Macro",INDEX($P$5:$P$1000,1):INDEX($P$5:$P$1000,$R285-4),INDEX($P$5:$P$1000,$R285-4))&amp;"."&amp;COUNTIFS($R$5:$R285,$R285,$S$5:$S285,"Sub"))))</f>
        <v/>
      </c>
      <c r="B285" s="62" t="n"/>
      <c r="C285" s="63" t="n"/>
      <c r="D285" s="62" t="n"/>
      <c r="E285" s="64" t="n"/>
      <c r="F285" s="64" t="n"/>
      <c r="G285" s="65" t="n"/>
      <c r="H285" s="66" t="n"/>
      <c r="I285" s="66" t="n"/>
      <c r="J285" s="66" t="n"/>
      <c r="K285" s="66" t="n"/>
      <c r="L285" s="67">
        <f>IF(NOT((COUNTA($B285:$K285)+COUNTA($N285))&gt;0),"",IF(N($T285)&gt;0,$AB285,IFERROR(LOOKUP(2,1/(H285:K285&lt;&gt;""),H285:K285),0)))</f>
        <v/>
      </c>
      <c r="M285" s="61">
        <f>IF(L285="","",IF(L285&gt;=1,"Completado",IF(L285&gt;0,"En curso","Pendiente")))</f>
        <v/>
      </c>
      <c r="N285" s="62" t="n"/>
      <c r="O285" s="68">
        <f>IF(NOT((COUNTA($B285:$K285)+COUNTA($N285))&gt;0),"",IF((IF(AND($S285="Macro",$B285=""),"Macroactividad vacía"&amp;" · ","")&amp;IF(AND($B285&lt;&gt;"",$C285&lt;&gt;""),"Escriba la subactividad en otra fila, debajo de su macroactividad"&amp;" · ","")&amp;IF(AND($S285="Sub",N($R285)=0),"Subactividad sin macroactividad arriba"&amp;" · ","")&amp;IF($D285="","Sin responsable"&amp;" · ","")&amp;IF($E285="","Sin fecha de inicio"&amp;" · ","")&amp;IF($F285="","Sin fecha límite"&amp;" · ","")&amp;IF(OR(AND($E285&lt;&gt;"",NOT(ISNUMBER($E285))),AND($F285&lt;&gt;"",NOT(ISNUMBER($F285)))),"Fecha no válida"&amp;" · ","")&amp;IF(AND(ISNUMBER($E285),ISNUMBER($F285),$E285&gt;$F285),"Inicio posterior a fecha límite"&amp;" · ","")&amp;IF(AND($S285="Macro",$G285=""),"Peso vacío"&amp;" · ","")&amp;IF(AND($S285="Macro",$G285&lt;&gt;"",OR(NOT(ISNUMBER($G285)),$G285&lt;=0,$G285&gt;1)),"Peso fuera de rango"&amp;" · ","")&amp;IF(AND($S285="Sub",$G285&lt;&gt;""),"Las subactividades no llevan peso"&amp;" · ","")&amp;IF(AND($S285="Macro",ABS(SUMIFS($G$5:$G$1000,$P$5:$P$1000,$P285,$S$5:$S$1000,"Macro")-1)&gt;0.0001),"Pesos del mes suman "&amp;TEXT(SUMIFS($G$5:$G$1000,$P$5:$P$1000,$P285,$S$5:$S$1000,"Macro"),"0%")&amp;" · ","")&amp;IF(AND(N($T285)&gt;0,COUNT($H285:$K285)&gt;0),"Con subactividades: deje vacías las semanas (se calculan solas)"&amp;" · ","")&amp;IF((COUNTIF($H285:$K285,"&gt;1")+COUNTIF($H285:$K285,"&lt;0")+COUNTA($H285:$K285)-COUNT($H285:$K285))&gt;0,"Avance fuera de rango 0-100%"&amp;" · ","")&amp;IF(OR(AND($I285&lt;&gt;"",$I285&lt;$H285),AND($J285&lt;&gt;"",$J285&lt;MAX($H285:$I285)),AND($K285&lt;&gt;"",$K285&lt;MAX($H285:$J285))),"Avance semanal decreciente"&amp;" · ","")&amp;IF(AND(ISNUMBER($F285),$F285&lt;FechaRef,N($L285)&lt;1),"Vencida"&amp;" · ","")&amp;IF(AND(ObsObligatoria="Sí",ISNUMBER($F285),$F285&lt;FechaRef,N($L285)&lt;1,$N285=""),"Vencida sin observación"&amp;" · ",""))="","✔ OK","⚠ "&amp;LEFT(IF(AND($S285="Macro",$B285=""),"Macroactividad vacía"&amp;" · ","")&amp;IF(AND($B285&lt;&gt;"",$C285&lt;&gt;""),"Escriba la subactividad en otra fila, debajo de su macroactividad"&amp;" · ","")&amp;IF(AND($S285="Sub",N($R285)=0),"Subactividad sin macroactividad arriba"&amp;" · ","")&amp;IF($D285="","Sin responsable"&amp;" · ","")&amp;IF($E285="","Sin fecha de inicio"&amp;" · ","")&amp;IF($F285="","Sin fecha límite"&amp;" · ","")&amp;IF(OR(AND($E285&lt;&gt;"",NOT(ISNUMBER($E285))),AND($F285&lt;&gt;"",NOT(ISNUMBER($F285)))),"Fecha no válida"&amp;" · ","")&amp;IF(AND(ISNUMBER($E285),ISNUMBER($F285),$E285&gt;$F285),"Inicio posterior a fecha límite"&amp;" · ","")&amp;IF(AND($S285="Macro",$G285=""),"Peso vacío"&amp;" · ","")&amp;IF(AND($S285="Macro",$G285&lt;&gt;"",OR(NOT(ISNUMBER($G285)),$G285&lt;=0,$G285&gt;1)),"Peso fuera de rango"&amp;" · ","")&amp;IF(AND($S285="Sub",$G285&lt;&gt;""),"Las subactividades no llevan peso"&amp;" · ","")&amp;IF(AND($S285="Macro",ABS(SUMIFS($G$5:$G$1000,$P$5:$P$1000,$P285,$S$5:$S$1000,"Macro")-1)&gt;0.0001),"Pesos del mes suman "&amp;TEXT(SUMIFS($G$5:$G$1000,$P$5:$P$1000,$P285,$S$5:$S$1000,"Macro"),"0%")&amp;" · ","")&amp;IF(AND(N($T285)&gt;0,COUNT($H285:$K285)&gt;0),"Con subactividades: deje vacías las semanas (se calculan solas)"&amp;" · ","")&amp;IF((COUNTIF($H285:$K285,"&gt;1")+COUNTIF($H285:$K285,"&lt;0")+COUNTA($H285:$K285)-COUNT($H285:$K285))&gt;0,"Avance fuera de rango 0-100%"&amp;" · ","")&amp;IF(OR(AND($I285&lt;&gt;"",$I285&lt;$H285),AND($J285&lt;&gt;"",$J285&lt;MAX($H285:$I285)),AND($K285&lt;&gt;"",$K285&lt;MAX($H285:$J285))),"Avance semanal decreciente"&amp;" · ","")&amp;IF(AND(ISNUMBER($F285),$F285&lt;FechaRef,N($L285)&lt;1),"Vencida"&amp;" · ","")&amp;IF(AND(ObsObligatoria="Sí",ISNUMBER($F285),$F285&lt;FechaRef,N($L285)&lt;1,$N285=""),"Vencida sin observación"&amp;" · ",""),LEN(IF(AND($S285="Macro",$B285=""),"Macroactividad vacía"&amp;" · ","")&amp;IF(AND($B285&lt;&gt;"",$C285&lt;&gt;""),"Escriba la subactividad en otra fila, debajo de su macroactividad"&amp;" · ","")&amp;IF(AND($S285="Sub",N($R285)=0),"Subactividad sin macroactividad arriba"&amp;" · ","")&amp;IF($D285="","Sin responsable"&amp;" · ","")&amp;IF($E285="","Sin fecha de inicio"&amp;" · ","")&amp;IF($F285="","Sin fecha límite"&amp;" · ","")&amp;IF(OR(AND($E285&lt;&gt;"",NOT(ISNUMBER($E285))),AND($F285&lt;&gt;"",NOT(ISNUMBER($F285)))),"Fecha no válida"&amp;" · ","")&amp;IF(AND(ISNUMBER($E285),ISNUMBER($F285),$E285&gt;$F285),"Inicio posterior a fecha límite"&amp;" · ","")&amp;IF(AND($S285="Macro",$G285=""),"Peso vacío"&amp;" · ","")&amp;IF(AND($S285="Macro",$G285&lt;&gt;"",OR(NOT(ISNUMBER($G285)),$G285&lt;=0,$G285&gt;1)),"Peso fuera de rango"&amp;" · ","")&amp;IF(AND($S285="Sub",$G285&lt;&gt;""),"Las subactividades no llevan peso"&amp;" · ","")&amp;IF(AND($S285="Macro",ABS(SUMIFS($G$5:$G$1000,$P$5:$P$1000,$P285,$S$5:$S$1000,"Macro")-1)&gt;0.0001),"Pesos del mes suman "&amp;TEXT(SUMIFS($G$5:$G$1000,$P$5:$P$1000,$P285,$S$5:$S$1000,"Macro"),"0%")&amp;" · ","")&amp;IF(AND(N($T285)&gt;0,COUNT($H285:$K285)&gt;0),"Con subactividades: deje vacías las semanas (se calculan solas)"&amp;" · ","")&amp;IF((COUNTIF($H285:$K285,"&gt;1")+COUNTIF($H285:$K285,"&lt;0")+COUNTA($H285:$K285)-COUNT($H285:$K285))&gt;0,"Avance fuera de rango 0-100%"&amp;" · ","")&amp;IF(OR(AND($I285&lt;&gt;"",$I285&lt;$H285),AND($J285&lt;&gt;"",$J285&lt;MAX($H285:$I285)),AND($K285&lt;&gt;"",$K285&lt;MAX($H285:$J285))),"Avance semanal decreciente"&amp;" · ","")&amp;IF(AND(ISNUMBER($F285),$F285&lt;FechaRef,N($L285)&lt;1),"Vencida"&amp;" · ","")&amp;IF(AND(ObsObligatoria="Sí",ISNUMBER($F285),$F285&lt;FechaRef,N($L285)&lt;1,$N285=""),"Vencida sin observación"&amp;" · ",""))-3)))</f>
        <v/>
      </c>
      <c r="P285" s="69">
        <f>IF(NOT((COUNTA($B285:$K285)+COUNTA($N285))&gt;0),"",IF(AND($S285="Sub",N($R285)&gt;0),IF(ISNUMBER(INDEX($E$5:$E$1000,$R285-4)),DATE(YEAR(INDEX($E$5:$E$1000,$R285-4)),MONTH(INDEX($E$5:$E$1000,$R285-4)),1),IF(ISNUMBER(INDEX($F$5:$F$1000,$R285-4)),DATE(YEAR(INDEX($F$5:$F$1000,$R285-4)),MONTH(INDEX($F$5:$F$1000,$R285-4)),1),MesCiclo)),IF(ISNUMBER($E285),DATE(YEAR($E285),MONTH($E285),1),IF(ISNUMBER($F285),DATE(YEAR($F285),MONTH($F285),1),MesCiclo))))</f>
        <v/>
      </c>
      <c r="Q285" s="70">
        <f>IF(OR($P285="",$P285&lt;&gt;MesCiclo),"",COUNTIF($P$5:$P285,MesCiclo))</f>
        <v/>
      </c>
      <c r="R285" s="70">
        <f>IF($S285="","",IF($S285="Macro",ROW(),IFERROR(LOOKUP(2,1/($S$5:$S285="Macro"),ROW($S$5:$S285)),0)))</f>
        <v/>
      </c>
      <c r="S285" s="70">
        <f>IF(NOT((COUNTA($B285:$K285)+COUNTA($N285))&gt;0),"",IF($B285&lt;&gt;"","Macro",IF($C285&lt;&gt;"","Sub","Macro")))</f>
        <v/>
      </c>
      <c r="T285" s="70">
        <f>IF($S285="Macro",COUNTIFS($R$5:$R$1000,ROW(),$S$5:$S$1000,"Sub"),"")</f>
        <v/>
      </c>
      <c r="U285" s="70">
        <f>IF($S285="","",IF(ISNUMBER($H285),$H285,0))</f>
        <v/>
      </c>
      <c r="V285" s="70">
        <f>IF($S285="","",IF(ISNUMBER($I285),$I285,$U285))</f>
        <v/>
      </c>
      <c r="W285" s="70">
        <f>IF($S285="","",IF(ISNUMBER($J285),$J285,$V285))</f>
        <v/>
      </c>
      <c r="X285" s="70">
        <f>IF($S285="","",IF(ISNUMBER($K285),$K285,$W285))</f>
        <v/>
      </c>
      <c r="Y285" s="70">
        <f>IF($S285="","",IF(N($T285)&gt;0,AVERAGEIFS($U$5:$U$1000,$R$5:$R$1000,ROW(),$S$5:$S$1000,"Sub"),$U285))</f>
        <v/>
      </c>
      <c r="Z285" s="70">
        <f>IF($S285="","",IF(N($T285)&gt;0,AVERAGEIFS($V$5:$V$1000,$R$5:$R$1000,ROW(),$S$5:$S$1000,"Sub"),$V285))</f>
        <v/>
      </c>
      <c r="AA285" s="70">
        <f>IF($S285="","",IF(N($T285)&gt;0,AVERAGEIFS($W$5:$W$1000,$R$5:$R$1000,ROW(),$S$5:$S$1000,"Sub"),$W285))</f>
        <v/>
      </c>
      <c r="AB285" s="70">
        <f>IF($S285="","",IF(N($T285)&gt;0,AVERAGEIFS($X$5:$X$1000,$R$5:$R$1000,ROW(),$S$5:$S$1000,"Sub"),$X285))</f>
        <v/>
      </c>
    </row>
    <row r="286">
      <c r="A286" s="61">
        <f>IF(NOT((COUNTA($B286:$K286)+COUNTA($N286))&gt;0),"",IF($S286="Macro",COUNTIFS($S$5:$S286,"Macro",$P$5:$P286,$P286),IF(N($R286)=0,"?",COUNTIFS(INDEX($S$5:$S$1000,1):INDEX($S$5:$S$1000,$R286-4),"Macro",INDEX($P$5:$P$1000,1):INDEX($P$5:$P$1000,$R286-4),INDEX($P$5:$P$1000,$R286-4))&amp;"."&amp;COUNTIFS($R$5:$R286,$R286,$S$5:$S286,"Sub"))))</f>
        <v/>
      </c>
      <c r="B286" s="62" t="n"/>
      <c r="C286" s="63" t="n"/>
      <c r="D286" s="62" t="n"/>
      <c r="E286" s="64" t="n"/>
      <c r="F286" s="64" t="n"/>
      <c r="G286" s="65" t="n"/>
      <c r="H286" s="66" t="n"/>
      <c r="I286" s="66" t="n"/>
      <c r="J286" s="66" t="n"/>
      <c r="K286" s="66" t="n"/>
      <c r="L286" s="67">
        <f>IF(NOT((COUNTA($B286:$K286)+COUNTA($N286))&gt;0),"",IF(N($T286)&gt;0,$AB286,IFERROR(LOOKUP(2,1/(H286:K286&lt;&gt;""),H286:K286),0)))</f>
        <v/>
      </c>
      <c r="M286" s="61">
        <f>IF(L286="","",IF(L286&gt;=1,"Completado",IF(L286&gt;0,"En curso","Pendiente")))</f>
        <v/>
      </c>
      <c r="N286" s="62" t="n"/>
      <c r="O286" s="68">
        <f>IF(NOT((COUNTA($B286:$K286)+COUNTA($N286))&gt;0),"",IF((IF(AND($S286="Macro",$B286=""),"Macroactividad vacía"&amp;" · ","")&amp;IF(AND($B286&lt;&gt;"",$C286&lt;&gt;""),"Escriba la subactividad en otra fila, debajo de su macroactividad"&amp;" · ","")&amp;IF(AND($S286="Sub",N($R286)=0),"Subactividad sin macroactividad arriba"&amp;" · ","")&amp;IF($D286="","Sin responsable"&amp;" · ","")&amp;IF($E286="","Sin fecha de inicio"&amp;" · ","")&amp;IF($F286="","Sin fecha límite"&amp;" · ","")&amp;IF(OR(AND($E286&lt;&gt;"",NOT(ISNUMBER($E286))),AND($F286&lt;&gt;"",NOT(ISNUMBER($F286)))),"Fecha no válida"&amp;" · ","")&amp;IF(AND(ISNUMBER($E286),ISNUMBER($F286),$E286&gt;$F286),"Inicio posterior a fecha límite"&amp;" · ","")&amp;IF(AND($S286="Macro",$G286=""),"Peso vacío"&amp;" · ","")&amp;IF(AND($S286="Macro",$G286&lt;&gt;"",OR(NOT(ISNUMBER($G286)),$G286&lt;=0,$G286&gt;1)),"Peso fuera de rango"&amp;" · ","")&amp;IF(AND($S286="Sub",$G286&lt;&gt;""),"Las subactividades no llevan peso"&amp;" · ","")&amp;IF(AND($S286="Macro",ABS(SUMIFS($G$5:$G$1000,$P$5:$P$1000,$P286,$S$5:$S$1000,"Macro")-1)&gt;0.0001),"Pesos del mes suman "&amp;TEXT(SUMIFS($G$5:$G$1000,$P$5:$P$1000,$P286,$S$5:$S$1000,"Macro"),"0%")&amp;" · ","")&amp;IF(AND(N($T286)&gt;0,COUNT($H286:$K286)&gt;0),"Con subactividades: deje vacías las semanas (se calculan solas)"&amp;" · ","")&amp;IF((COUNTIF($H286:$K286,"&gt;1")+COUNTIF($H286:$K286,"&lt;0")+COUNTA($H286:$K286)-COUNT($H286:$K286))&gt;0,"Avance fuera de rango 0-100%"&amp;" · ","")&amp;IF(OR(AND($I286&lt;&gt;"",$I286&lt;$H286),AND($J286&lt;&gt;"",$J286&lt;MAX($H286:$I286)),AND($K286&lt;&gt;"",$K286&lt;MAX($H286:$J286))),"Avance semanal decreciente"&amp;" · ","")&amp;IF(AND(ISNUMBER($F286),$F286&lt;FechaRef,N($L286)&lt;1),"Vencida"&amp;" · ","")&amp;IF(AND(ObsObligatoria="Sí",ISNUMBER($F286),$F286&lt;FechaRef,N($L286)&lt;1,$N286=""),"Vencida sin observación"&amp;" · ",""))="","✔ OK","⚠ "&amp;LEFT(IF(AND($S286="Macro",$B286=""),"Macroactividad vacía"&amp;" · ","")&amp;IF(AND($B286&lt;&gt;"",$C286&lt;&gt;""),"Escriba la subactividad en otra fila, debajo de su macroactividad"&amp;" · ","")&amp;IF(AND($S286="Sub",N($R286)=0),"Subactividad sin macroactividad arriba"&amp;" · ","")&amp;IF($D286="","Sin responsable"&amp;" · ","")&amp;IF($E286="","Sin fecha de inicio"&amp;" · ","")&amp;IF($F286="","Sin fecha límite"&amp;" · ","")&amp;IF(OR(AND($E286&lt;&gt;"",NOT(ISNUMBER($E286))),AND($F286&lt;&gt;"",NOT(ISNUMBER($F286)))),"Fecha no válida"&amp;" · ","")&amp;IF(AND(ISNUMBER($E286),ISNUMBER($F286),$E286&gt;$F286),"Inicio posterior a fecha límite"&amp;" · ","")&amp;IF(AND($S286="Macro",$G286=""),"Peso vacío"&amp;" · ","")&amp;IF(AND($S286="Macro",$G286&lt;&gt;"",OR(NOT(ISNUMBER($G286)),$G286&lt;=0,$G286&gt;1)),"Peso fuera de rango"&amp;" · ","")&amp;IF(AND($S286="Sub",$G286&lt;&gt;""),"Las subactividades no llevan peso"&amp;" · ","")&amp;IF(AND($S286="Macro",ABS(SUMIFS($G$5:$G$1000,$P$5:$P$1000,$P286,$S$5:$S$1000,"Macro")-1)&gt;0.0001),"Pesos del mes suman "&amp;TEXT(SUMIFS($G$5:$G$1000,$P$5:$P$1000,$P286,$S$5:$S$1000,"Macro"),"0%")&amp;" · ","")&amp;IF(AND(N($T286)&gt;0,COUNT($H286:$K286)&gt;0),"Con subactividades: deje vacías las semanas (se calculan solas)"&amp;" · ","")&amp;IF((COUNTIF($H286:$K286,"&gt;1")+COUNTIF($H286:$K286,"&lt;0")+COUNTA($H286:$K286)-COUNT($H286:$K286))&gt;0,"Avance fuera de rango 0-100%"&amp;" · ","")&amp;IF(OR(AND($I286&lt;&gt;"",$I286&lt;$H286),AND($J286&lt;&gt;"",$J286&lt;MAX($H286:$I286)),AND($K286&lt;&gt;"",$K286&lt;MAX($H286:$J286))),"Avance semanal decreciente"&amp;" · ","")&amp;IF(AND(ISNUMBER($F286),$F286&lt;FechaRef,N($L286)&lt;1),"Vencida"&amp;" · ","")&amp;IF(AND(ObsObligatoria="Sí",ISNUMBER($F286),$F286&lt;FechaRef,N($L286)&lt;1,$N286=""),"Vencida sin observación"&amp;" · ",""),LEN(IF(AND($S286="Macro",$B286=""),"Macroactividad vacía"&amp;" · ","")&amp;IF(AND($B286&lt;&gt;"",$C286&lt;&gt;""),"Escriba la subactividad en otra fila, debajo de su macroactividad"&amp;" · ","")&amp;IF(AND($S286="Sub",N($R286)=0),"Subactividad sin macroactividad arriba"&amp;" · ","")&amp;IF($D286="","Sin responsable"&amp;" · ","")&amp;IF($E286="","Sin fecha de inicio"&amp;" · ","")&amp;IF($F286="","Sin fecha límite"&amp;" · ","")&amp;IF(OR(AND($E286&lt;&gt;"",NOT(ISNUMBER($E286))),AND($F286&lt;&gt;"",NOT(ISNUMBER($F286)))),"Fecha no válida"&amp;" · ","")&amp;IF(AND(ISNUMBER($E286),ISNUMBER($F286),$E286&gt;$F286),"Inicio posterior a fecha límite"&amp;" · ","")&amp;IF(AND($S286="Macro",$G286=""),"Peso vacío"&amp;" · ","")&amp;IF(AND($S286="Macro",$G286&lt;&gt;"",OR(NOT(ISNUMBER($G286)),$G286&lt;=0,$G286&gt;1)),"Peso fuera de rango"&amp;" · ","")&amp;IF(AND($S286="Sub",$G286&lt;&gt;""),"Las subactividades no llevan peso"&amp;" · ","")&amp;IF(AND($S286="Macro",ABS(SUMIFS($G$5:$G$1000,$P$5:$P$1000,$P286,$S$5:$S$1000,"Macro")-1)&gt;0.0001),"Pesos del mes suman "&amp;TEXT(SUMIFS($G$5:$G$1000,$P$5:$P$1000,$P286,$S$5:$S$1000,"Macro"),"0%")&amp;" · ","")&amp;IF(AND(N($T286)&gt;0,COUNT($H286:$K286)&gt;0),"Con subactividades: deje vacías las semanas (se calculan solas)"&amp;" · ","")&amp;IF((COUNTIF($H286:$K286,"&gt;1")+COUNTIF($H286:$K286,"&lt;0")+COUNTA($H286:$K286)-COUNT($H286:$K286))&gt;0,"Avance fuera de rango 0-100%"&amp;" · ","")&amp;IF(OR(AND($I286&lt;&gt;"",$I286&lt;$H286),AND($J286&lt;&gt;"",$J286&lt;MAX($H286:$I286)),AND($K286&lt;&gt;"",$K286&lt;MAX($H286:$J286))),"Avance semanal decreciente"&amp;" · ","")&amp;IF(AND(ISNUMBER($F286),$F286&lt;FechaRef,N($L286)&lt;1),"Vencida"&amp;" · ","")&amp;IF(AND(ObsObligatoria="Sí",ISNUMBER($F286),$F286&lt;FechaRef,N($L286)&lt;1,$N286=""),"Vencida sin observación"&amp;" · ",""))-3)))</f>
        <v/>
      </c>
      <c r="P286" s="69">
        <f>IF(NOT((COUNTA($B286:$K286)+COUNTA($N286))&gt;0),"",IF(AND($S286="Sub",N($R286)&gt;0),IF(ISNUMBER(INDEX($E$5:$E$1000,$R286-4)),DATE(YEAR(INDEX($E$5:$E$1000,$R286-4)),MONTH(INDEX($E$5:$E$1000,$R286-4)),1),IF(ISNUMBER(INDEX($F$5:$F$1000,$R286-4)),DATE(YEAR(INDEX($F$5:$F$1000,$R286-4)),MONTH(INDEX($F$5:$F$1000,$R286-4)),1),MesCiclo)),IF(ISNUMBER($E286),DATE(YEAR($E286),MONTH($E286),1),IF(ISNUMBER($F286),DATE(YEAR($F286),MONTH($F286),1),MesCiclo))))</f>
        <v/>
      </c>
      <c r="Q286" s="70">
        <f>IF(OR($P286="",$P286&lt;&gt;MesCiclo),"",COUNTIF($P$5:$P286,MesCiclo))</f>
        <v/>
      </c>
      <c r="R286" s="70">
        <f>IF($S286="","",IF($S286="Macro",ROW(),IFERROR(LOOKUP(2,1/($S$5:$S286="Macro"),ROW($S$5:$S286)),0)))</f>
        <v/>
      </c>
      <c r="S286" s="70">
        <f>IF(NOT((COUNTA($B286:$K286)+COUNTA($N286))&gt;0),"",IF($B286&lt;&gt;"","Macro",IF($C286&lt;&gt;"","Sub","Macro")))</f>
        <v/>
      </c>
      <c r="T286" s="70">
        <f>IF($S286="Macro",COUNTIFS($R$5:$R$1000,ROW(),$S$5:$S$1000,"Sub"),"")</f>
        <v/>
      </c>
      <c r="U286" s="70">
        <f>IF($S286="","",IF(ISNUMBER($H286),$H286,0))</f>
        <v/>
      </c>
      <c r="V286" s="70">
        <f>IF($S286="","",IF(ISNUMBER($I286),$I286,$U286))</f>
        <v/>
      </c>
      <c r="W286" s="70">
        <f>IF($S286="","",IF(ISNUMBER($J286),$J286,$V286))</f>
        <v/>
      </c>
      <c r="X286" s="70">
        <f>IF($S286="","",IF(ISNUMBER($K286),$K286,$W286))</f>
        <v/>
      </c>
      <c r="Y286" s="70">
        <f>IF($S286="","",IF(N($T286)&gt;0,AVERAGEIFS($U$5:$U$1000,$R$5:$R$1000,ROW(),$S$5:$S$1000,"Sub"),$U286))</f>
        <v/>
      </c>
      <c r="Z286" s="70">
        <f>IF($S286="","",IF(N($T286)&gt;0,AVERAGEIFS($V$5:$V$1000,$R$5:$R$1000,ROW(),$S$5:$S$1000,"Sub"),$V286))</f>
        <v/>
      </c>
      <c r="AA286" s="70">
        <f>IF($S286="","",IF(N($T286)&gt;0,AVERAGEIFS($W$5:$W$1000,$R$5:$R$1000,ROW(),$S$5:$S$1000,"Sub"),$W286))</f>
        <v/>
      </c>
      <c r="AB286" s="70">
        <f>IF($S286="","",IF(N($T286)&gt;0,AVERAGEIFS($X$5:$X$1000,$R$5:$R$1000,ROW(),$S$5:$S$1000,"Sub"),$X286))</f>
        <v/>
      </c>
    </row>
    <row r="287">
      <c r="A287" s="61">
        <f>IF(NOT((COUNTA($B287:$K287)+COUNTA($N287))&gt;0),"",IF($S287="Macro",COUNTIFS($S$5:$S287,"Macro",$P$5:$P287,$P287),IF(N($R287)=0,"?",COUNTIFS(INDEX($S$5:$S$1000,1):INDEX($S$5:$S$1000,$R287-4),"Macro",INDEX($P$5:$P$1000,1):INDEX($P$5:$P$1000,$R287-4),INDEX($P$5:$P$1000,$R287-4))&amp;"."&amp;COUNTIFS($R$5:$R287,$R287,$S$5:$S287,"Sub"))))</f>
        <v/>
      </c>
      <c r="B287" s="62" t="n"/>
      <c r="C287" s="63" t="n"/>
      <c r="D287" s="62" t="n"/>
      <c r="E287" s="64" t="n"/>
      <c r="F287" s="64" t="n"/>
      <c r="G287" s="65" t="n"/>
      <c r="H287" s="66" t="n"/>
      <c r="I287" s="66" t="n"/>
      <c r="J287" s="66" t="n"/>
      <c r="K287" s="66" t="n"/>
      <c r="L287" s="67">
        <f>IF(NOT((COUNTA($B287:$K287)+COUNTA($N287))&gt;0),"",IF(N($T287)&gt;0,$AB287,IFERROR(LOOKUP(2,1/(H287:K287&lt;&gt;""),H287:K287),0)))</f>
        <v/>
      </c>
      <c r="M287" s="61">
        <f>IF(L287="","",IF(L287&gt;=1,"Completado",IF(L287&gt;0,"En curso","Pendiente")))</f>
        <v/>
      </c>
      <c r="N287" s="62" t="n"/>
      <c r="O287" s="68">
        <f>IF(NOT((COUNTA($B287:$K287)+COUNTA($N287))&gt;0),"",IF((IF(AND($S287="Macro",$B287=""),"Macroactividad vacía"&amp;" · ","")&amp;IF(AND($B287&lt;&gt;"",$C287&lt;&gt;""),"Escriba la subactividad en otra fila, debajo de su macroactividad"&amp;" · ","")&amp;IF(AND($S287="Sub",N($R287)=0),"Subactividad sin macroactividad arriba"&amp;" · ","")&amp;IF($D287="","Sin responsable"&amp;" · ","")&amp;IF($E287="","Sin fecha de inicio"&amp;" · ","")&amp;IF($F287="","Sin fecha límite"&amp;" · ","")&amp;IF(OR(AND($E287&lt;&gt;"",NOT(ISNUMBER($E287))),AND($F287&lt;&gt;"",NOT(ISNUMBER($F287)))),"Fecha no válida"&amp;" · ","")&amp;IF(AND(ISNUMBER($E287),ISNUMBER($F287),$E287&gt;$F287),"Inicio posterior a fecha límite"&amp;" · ","")&amp;IF(AND($S287="Macro",$G287=""),"Peso vacío"&amp;" · ","")&amp;IF(AND($S287="Macro",$G287&lt;&gt;"",OR(NOT(ISNUMBER($G287)),$G287&lt;=0,$G287&gt;1)),"Peso fuera de rango"&amp;" · ","")&amp;IF(AND($S287="Sub",$G287&lt;&gt;""),"Las subactividades no llevan peso"&amp;" · ","")&amp;IF(AND($S287="Macro",ABS(SUMIFS($G$5:$G$1000,$P$5:$P$1000,$P287,$S$5:$S$1000,"Macro")-1)&gt;0.0001),"Pesos del mes suman "&amp;TEXT(SUMIFS($G$5:$G$1000,$P$5:$P$1000,$P287,$S$5:$S$1000,"Macro"),"0%")&amp;" · ","")&amp;IF(AND(N($T287)&gt;0,COUNT($H287:$K287)&gt;0),"Con subactividades: deje vacías las semanas (se calculan solas)"&amp;" · ","")&amp;IF((COUNTIF($H287:$K287,"&gt;1")+COUNTIF($H287:$K287,"&lt;0")+COUNTA($H287:$K287)-COUNT($H287:$K287))&gt;0,"Avance fuera de rango 0-100%"&amp;" · ","")&amp;IF(OR(AND($I287&lt;&gt;"",$I287&lt;$H287),AND($J287&lt;&gt;"",$J287&lt;MAX($H287:$I287)),AND($K287&lt;&gt;"",$K287&lt;MAX($H287:$J287))),"Avance semanal decreciente"&amp;" · ","")&amp;IF(AND(ISNUMBER($F287),$F287&lt;FechaRef,N($L287)&lt;1),"Vencida"&amp;" · ","")&amp;IF(AND(ObsObligatoria="Sí",ISNUMBER($F287),$F287&lt;FechaRef,N($L287)&lt;1,$N287=""),"Vencida sin observación"&amp;" · ",""))="","✔ OK","⚠ "&amp;LEFT(IF(AND($S287="Macro",$B287=""),"Macroactividad vacía"&amp;" · ","")&amp;IF(AND($B287&lt;&gt;"",$C287&lt;&gt;""),"Escriba la subactividad en otra fila, debajo de su macroactividad"&amp;" · ","")&amp;IF(AND($S287="Sub",N($R287)=0),"Subactividad sin macroactividad arriba"&amp;" · ","")&amp;IF($D287="","Sin responsable"&amp;" · ","")&amp;IF($E287="","Sin fecha de inicio"&amp;" · ","")&amp;IF($F287="","Sin fecha límite"&amp;" · ","")&amp;IF(OR(AND($E287&lt;&gt;"",NOT(ISNUMBER($E287))),AND($F287&lt;&gt;"",NOT(ISNUMBER($F287)))),"Fecha no válida"&amp;" · ","")&amp;IF(AND(ISNUMBER($E287),ISNUMBER($F287),$E287&gt;$F287),"Inicio posterior a fecha límite"&amp;" · ","")&amp;IF(AND($S287="Macro",$G287=""),"Peso vacío"&amp;" · ","")&amp;IF(AND($S287="Macro",$G287&lt;&gt;"",OR(NOT(ISNUMBER($G287)),$G287&lt;=0,$G287&gt;1)),"Peso fuera de rango"&amp;" · ","")&amp;IF(AND($S287="Sub",$G287&lt;&gt;""),"Las subactividades no llevan peso"&amp;" · ","")&amp;IF(AND($S287="Macro",ABS(SUMIFS($G$5:$G$1000,$P$5:$P$1000,$P287,$S$5:$S$1000,"Macro")-1)&gt;0.0001),"Pesos del mes suman "&amp;TEXT(SUMIFS($G$5:$G$1000,$P$5:$P$1000,$P287,$S$5:$S$1000,"Macro"),"0%")&amp;" · ","")&amp;IF(AND(N($T287)&gt;0,COUNT($H287:$K287)&gt;0),"Con subactividades: deje vacías las semanas (se calculan solas)"&amp;" · ","")&amp;IF((COUNTIF($H287:$K287,"&gt;1")+COUNTIF($H287:$K287,"&lt;0")+COUNTA($H287:$K287)-COUNT($H287:$K287))&gt;0,"Avance fuera de rango 0-100%"&amp;" · ","")&amp;IF(OR(AND($I287&lt;&gt;"",$I287&lt;$H287),AND($J287&lt;&gt;"",$J287&lt;MAX($H287:$I287)),AND($K287&lt;&gt;"",$K287&lt;MAX($H287:$J287))),"Avance semanal decreciente"&amp;" · ","")&amp;IF(AND(ISNUMBER($F287),$F287&lt;FechaRef,N($L287)&lt;1),"Vencida"&amp;" · ","")&amp;IF(AND(ObsObligatoria="Sí",ISNUMBER($F287),$F287&lt;FechaRef,N($L287)&lt;1,$N287=""),"Vencida sin observación"&amp;" · ",""),LEN(IF(AND($S287="Macro",$B287=""),"Macroactividad vacía"&amp;" · ","")&amp;IF(AND($B287&lt;&gt;"",$C287&lt;&gt;""),"Escriba la subactividad en otra fila, debajo de su macroactividad"&amp;" · ","")&amp;IF(AND($S287="Sub",N($R287)=0),"Subactividad sin macroactividad arriba"&amp;" · ","")&amp;IF($D287="","Sin responsable"&amp;" · ","")&amp;IF($E287="","Sin fecha de inicio"&amp;" · ","")&amp;IF($F287="","Sin fecha límite"&amp;" · ","")&amp;IF(OR(AND($E287&lt;&gt;"",NOT(ISNUMBER($E287))),AND($F287&lt;&gt;"",NOT(ISNUMBER($F287)))),"Fecha no válida"&amp;" · ","")&amp;IF(AND(ISNUMBER($E287),ISNUMBER($F287),$E287&gt;$F287),"Inicio posterior a fecha límite"&amp;" · ","")&amp;IF(AND($S287="Macro",$G287=""),"Peso vacío"&amp;" · ","")&amp;IF(AND($S287="Macro",$G287&lt;&gt;"",OR(NOT(ISNUMBER($G287)),$G287&lt;=0,$G287&gt;1)),"Peso fuera de rango"&amp;" · ","")&amp;IF(AND($S287="Sub",$G287&lt;&gt;""),"Las subactividades no llevan peso"&amp;" · ","")&amp;IF(AND($S287="Macro",ABS(SUMIFS($G$5:$G$1000,$P$5:$P$1000,$P287,$S$5:$S$1000,"Macro")-1)&gt;0.0001),"Pesos del mes suman "&amp;TEXT(SUMIFS($G$5:$G$1000,$P$5:$P$1000,$P287,$S$5:$S$1000,"Macro"),"0%")&amp;" · ","")&amp;IF(AND(N($T287)&gt;0,COUNT($H287:$K287)&gt;0),"Con subactividades: deje vacías las semanas (se calculan solas)"&amp;" · ","")&amp;IF((COUNTIF($H287:$K287,"&gt;1")+COUNTIF($H287:$K287,"&lt;0")+COUNTA($H287:$K287)-COUNT($H287:$K287))&gt;0,"Avance fuera de rango 0-100%"&amp;" · ","")&amp;IF(OR(AND($I287&lt;&gt;"",$I287&lt;$H287),AND($J287&lt;&gt;"",$J287&lt;MAX($H287:$I287)),AND($K287&lt;&gt;"",$K287&lt;MAX($H287:$J287))),"Avance semanal decreciente"&amp;" · ","")&amp;IF(AND(ISNUMBER($F287),$F287&lt;FechaRef,N($L287)&lt;1),"Vencida"&amp;" · ","")&amp;IF(AND(ObsObligatoria="Sí",ISNUMBER($F287),$F287&lt;FechaRef,N($L287)&lt;1,$N287=""),"Vencida sin observación"&amp;" · ",""))-3)))</f>
        <v/>
      </c>
      <c r="P287" s="69">
        <f>IF(NOT((COUNTA($B287:$K287)+COUNTA($N287))&gt;0),"",IF(AND($S287="Sub",N($R287)&gt;0),IF(ISNUMBER(INDEX($E$5:$E$1000,$R287-4)),DATE(YEAR(INDEX($E$5:$E$1000,$R287-4)),MONTH(INDEX($E$5:$E$1000,$R287-4)),1),IF(ISNUMBER(INDEX($F$5:$F$1000,$R287-4)),DATE(YEAR(INDEX($F$5:$F$1000,$R287-4)),MONTH(INDEX($F$5:$F$1000,$R287-4)),1),MesCiclo)),IF(ISNUMBER($E287),DATE(YEAR($E287),MONTH($E287),1),IF(ISNUMBER($F287),DATE(YEAR($F287),MONTH($F287),1),MesCiclo))))</f>
        <v/>
      </c>
      <c r="Q287" s="70">
        <f>IF(OR($P287="",$P287&lt;&gt;MesCiclo),"",COUNTIF($P$5:$P287,MesCiclo))</f>
        <v/>
      </c>
      <c r="R287" s="70">
        <f>IF($S287="","",IF($S287="Macro",ROW(),IFERROR(LOOKUP(2,1/($S$5:$S287="Macro"),ROW($S$5:$S287)),0)))</f>
        <v/>
      </c>
      <c r="S287" s="70">
        <f>IF(NOT((COUNTA($B287:$K287)+COUNTA($N287))&gt;0),"",IF($B287&lt;&gt;"","Macro",IF($C287&lt;&gt;"","Sub","Macro")))</f>
        <v/>
      </c>
      <c r="T287" s="70">
        <f>IF($S287="Macro",COUNTIFS($R$5:$R$1000,ROW(),$S$5:$S$1000,"Sub"),"")</f>
        <v/>
      </c>
      <c r="U287" s="70">
        <f>IF($S287="","",IF(ISNUMBER($H287),$H287,0))</f>
        <v/>
      </c>
      <c r="V287" s="70">
        <f>IF($S287="","",IF(ISNUMBER($I287),$I287,$U287))</f>
        <v/>
      </c>
      <c r="W287" s="70">
        <f>IF($S287="","",IF(ISNUMBER($J287),$J287,$V287))</f>
        <v/>
      </c>
      <c r="X287" s="70">
        <f>IF($S287="","",IF(ISNUMBER($K287),$K287,$W287))</f>
        <v/>
      </c>
      <c r="Y287" s="70">
        <f>IF($S287="","",IF(N($T287)&gt;0,AVERAGEIFS($U$5:$U$1000,$R$5:$R$1000,ROW(),$S$5:$S$1000,"Sub"),$U287))</f>
        <v/>
      </c>
      <c r="Z287" s="70">
        <f>IF($S287="","",IF(N($T287)&gt;0,AVERAGEIFS($V$5:$V$1000,$R$5:$R$1000,ROW(),$S$5:$S$1000,"Sub"),$V287))</f>
        <v/>
      </c>
      <c r="AA287" s="70">
        <f>IF($S287="","",IF(N($T287)&gt;0,AVERAGEIFS($W$5:$W$1000,$R$5:$R$1000,ROW(),$S$5:$S$1000,"Sub"),$W287))</f>
        <v/>
      </c>
      <c r="AB287" s="70">
        <f>IF($S287="","",IF(N($T287)&gt;0,AVERAGEIFS($X$5:$X$1000,$R$5:$R$1000,ROW(),$S$5:$S$1000,"Sub"),$X287))</f>
        <v/>
      </c>
    </row>
    <row r="288">
      <c r="A288" s="61">
        <f>IF(NOT((COUNTA($B288:$K288)+COUNTA($N288))&gt;0),"",IF($S288="Macro",COUNTIFS($S$5:$S288,"Macro",$P$5:$P288,$P288),IF(N($R288)=0,"?",COUNTIFS(INDEX($S$5:$S$1000,1):INDEX($S$5:$S$1000,$R288-4),"Macro",INDEX($P$5:$P$1000,1):INDEX($P$5:$P$1000,$R288-4),INDEX($P$5:$P$1000,$R288-4))&amp;"."&amp;COUNTIFS($R$5:$R288,$R288,$S$5:$S288,"Sub"))))</f>
        <v/>
      </c>
      <c r="B288" s="62" t="n"/>
      <c r="C288" s="63" t="n"/>
      <c r="D288" s="62" t="n"/>
      <c r="E288" s="64" t="n"/>
      <c r="F288" s="64" t="n"/>
      <c r="G288" s="65" t="n"/>
      <c r="H288" s="66" t="n"/>
      <c r="I288" s="66" t="n"/>
      <c r="J288" s="66" t="n"/>
      <c r="K288" s="66" t="n"/>
      <c r="L288" s="67">
        <f>IF(NOT((COUNTA($B288:$K288)+COUNTA($N288))&gt;0),"",IF(N($T288)&gt;0,$AB288,IFERROR(LOOKUP(2,1/(H288:K288&lt;&gt;""),H288:K288),0)))</f>
        <v/>
      </c>
      <c r="M288" s="61">
        <f>IF(L288="","",IF(L288&gt;=1,"Completado",IF(L288&gt;0,"En curso","Pendiente")))</f>
        <v/>
      </c>
      <c r="N288" s="62" t="n"/>
      <c r="O288" s="68">
        <f>IF(NOT((COUNTA($B288:$K288)+COUNTA($N288))&gt;0),"",IF((IF(AND($S288="Macro",$B288=""),"Macroactividad vacía"&amp;" · ","")&amp;IF(AND($B288&lt;&gt;"",$C288&lt;&gt;""),"Escriba la subactividad en otra fila, debajo de su macroactividad"&amp;" · ","")&amp;IF(AND($S288="Sub",N($R288)=0),"Subactividad sin macroactividad arriba"&amp;" · ","")&amp;IF($D288="","Sin responsable"&amp;" · ","")&amp;IF($E288="","Sin fecha de inicio"&amp;" · ","")&amp;IF($F288="","Sin fecha límite"&amp;" · ","")&amp;IF(OR(AND($E288&lt;&gt;"",NOT(ISNUMBER($E288))),AND($F288&lt;&gt;"",NOT(ISNUMBER($F288)))),"Fecha no válida"&amp;" · ","")&amp;IF(AND(ISNUMBER($E288),ISNUMBER($F288),$E288&gt;$F288),"Inicio posterior a fecha límite"&amp;" · ","")&amp;IF(AND($S288="Macro",$G288=""),"Peso vacío"&amp;" · ","")&amp;IF(AND($S288="Macro",$G288&lt;&gt;"",OR(NOT(ISNUMBER($G288)),$G288&lt;=0,$G288&gt;1)),"Peso fuera de rango"&amp;" · ","")&amp;IF(AND($S288="Sub",$G288&lt;&gt;""),"Las subactividades no llevan peso"&amp;" · ","")&amp;IF(AND($S288="Macro",ABS(SUMIFS($G$5:$G$1000,$P$5:$P$1000,$P288,$S$5:$S$1000,"Macro")-1)&gt;0.0001),"Pesos del mes suman "&amp;TEXT(SUMIFS($G$5:$G$1000,$P$5:$P$1000,$P288,$S$5:$S$1000,"Macro"),"0%")&amp;" · ","")&amp;IF(AND(N($T288)&gt;0,COUNT($H288:$K288)&gt;0),"Con subactividades: deje vacías las semanas (se calculan solas)"&amp;" · ","")&amp;IF((COUNTIF($H288:$K288,"&gt;1")+COUNTIF($H288:$K288,"&lt;0")+COUNTA($H288:$K288)-COUNT($H288:$K288))&gt;0,"Avance fuera de rango 0-100%"&amp;" · ","")&amp;IF(OR(AND($I288&lt;&gt;"",$I288&lt;$H288),AND($J288&lt;&gt;"",$J288&lt;MAX($H288:$I288)),AND($K288&lt;&gt;"",$K288&lt;MAX($H288:$J288))),"Avance semanal decreciente"&amp;" · ","")&amp;IF(AND(ISNUMBER($F288),$F288&lt;FechaRef,N($L288)&lt;1),"Vencida"&amp;" · ","")&amp;IF(AND(ObsObligatoria="Sí",ISNUMBER($F288),$F288&lt;FechaRef,N($L288)&lt;1,$N288=""),"Vencida sin observación"&amp;" · ",""))="","✔ OK","⚠ "&amp;LEFT(IF(AND($S288="Macro",$B288=""),"Macroactividad vacía"&amp;" · ","")&amp;IF(AND($B288&lt;&gt;"",$C288&lt;&gt;""),"Escriba la subactividad en otra fila, debajo de su macroactividad"&amp;" · ","")&amp;IF(AND($S288="Sub",N($R288)=0),"Subactividad sin macroactividad arriba"&amp;" · ","")&amp;IF($D288="","Sin responsable"&amp;" · ","")&amp;IF($E288="","Sin fecha de inicio"&amp;" · ","")&amp;IF($F288="","Sin fecha límite"&amp;" · ","")&amp;IF(OR(AND($E288&lt;&gt;"",NOT(ISNUMBER($E288))),AND($F288&lt;&gt;"",NOT(ISNUMBER($F288)))),"Fecha no válida"&amp;" · ","")&amp;IF(AND(ISNUMBER($E288),ISNUMBER($F288),$E288&gt;$F288),"Inicio posterior a fecha límite"&amp;" · ","")&amp;IF(AND($S288="Macro",$G288=""),"Peso vacío"&amp;" · ","")&amp;IF(AND($S288="Macro",$G288&lt;&gt;"",OR(NOT(ISNUMBER($G288)),$G288&lt;=0,$G288&gt;1)),"Peso fuera de rango"&amp;" · ","")&amp;IF(AND($S288="Sub",$G288&lt;&gt;""),"Las subactividades no llevan peso"&amp;" · ","")&amp;IF(AND($S288="Macro",ABS(SUMIFS($G$5:$G$1000,$P$5:$P$1000,$P288,$S$5:$S$1000,"Macro")-1)&gt;0.0001),"Pesos del mes suman "&amp;TEXT(SUMIFS($G$5:$G$1000,$P$5:$P$1000,$P288,$S$5:$S$1000,"Macro"),"0%")&amp;" · ","")&amp;IF(AND(N($T288)&gt;0,COUNT($H288:$K288)&gt;0),"Con subactividades: deje vacías las semanas (se calculan solas)"&amp;" · ","")&amp;IF((COUNTIF($H288:$K288,"&gt;1")+COUNTIF($H288:$K288,"&lt;0")+COUNTA($H288:$K288)-COUNT($H288:$K288))&gt;0,"Avance fuera de rango 0-100%"&amp;" · ","")&amp;IF(OR(AND($I288&lt;&gt;"",$I288&lt;$H288),AND($J288&lt;&gt;"",$J288&lt;MAX($H288:$I288)),AND($K288&lt;&gt;"",$K288&lt;MAX($H288:$J288))),"Avance semanal decreciente"&amp;" · ","")&amp;IF(AND(ISNUMBER($F288),$F288&lt;FechaRef,N($L288)&lt;1),"Vencida"&amp;" · ","")&amp;IF(AND(ObsObligatoria="Sí",ISNUMBER($F288),$F288&lt;FechaRef,N($L288)&lt;1,$N288=""),"Vencida sin observación"&amp;" · ",""),LEN(IF(AND($S288="Macro",$B288=""),"Macroactividad vacía"&amp;" · ","")&amp;IF(AND($B288&lt;&gt;"",$C288&lt;&gt;""),"Escriba la subactividad en otra fila, debajo de su macroactividad"&amp;" · ","")&amp;IF(AND($S288="Sub",N($R288)=0),"Subactividad sin macroactividad arriba"&amp;" · ","")&amp;IF($D288="","Sin responsable"&amp;" · ","")&amp;IF($E288="","Sin fecha de inicio"&amp;" · ","")&amp;IF($F288="","Sin fecha límite"&amp;" · ","")&amp;IF(OR(AND($E288&lt;&gt;"",NOT(ISNUMBER($E288))),AND($F288&lt;&gt;"",NOT(ISNUMBER($F288)))),"Fecha no válida"&amp;" · ","")&amp;IF(AND(ISNUMBER($E288),ISNUMBER($F288),$E288&gt;$F288),"Inicio posterior a fecha límite"&amp;" · ","")&amp;IF(AND($S288="Macro",$G288=""),"Peso vacío"&amp;" · ","")&amp;IF(AND($S288="Macro",$G288&lt;&gt;"",OR(NOT(ISNUMBER($G288)),$G288&lt;=0,$G288&gt;1)),"Peso fuera de rango"&amp;" · ","")&amp;IF(AND($S288="Sub",$G288&lt;&gt;""),"Las subactividades no llevan peso"&amp;" · ","")&amp;IF(AND($S288="Macro",ABS(SUMIFS($G$5:$G$1000,$P$5:$P$1000,$P288,$S$5:$S$1000,"Macro")-1)&gt;0.0001),"Pesos del mes suman "&amp;TEXT(SUMIFS($G$5:$G$1000,$P$5:$P$1000,$P288,$S$5:$S$1000,"Macro"),"0%")&amp;" · ","")&amp;IF(AND(N($T288)&gt;0,COUNT($H288:$K288)&gt;0),"Con subactividades: deje vacías las semanas (se calculan solas)"&amp;" · ","")&amp;IF((COUNTIF($H288:$K288,"&gt;1")+COUNTIF($H288:$K288,"&lt;0")+COUNTA($H288:$K288)-COUNT($H288:$K288))&gt;0,"Avance fuera de rango 0-100%"&amp;" · ","")&amp;IF(OR(AND($I288&lt;&gt;"",$I288&lt;$H288),AND($J288&lt;&gt;"",$J288&lt;MAX($H288:$I288)),AND($K288&lt;&gt;"",$K288&lt;MAX($H288:$J288))),"Avance semanal decreciente"&amp;" · ","")&amp;IF(AND(ISNUMBER($F288),$F288&lt;FechaRef,N($L288)&lt;1),"Vencida"&amp;" · ","")&amp;IF(AND(ObsObligatoria="Sí",ISNUMBER($F288),$F288&lt;FechaRef,N($L288)&lt;1,$N288=""),"Vencida sin observación"&amp;" · ",""))-3)))</f>
        <v/>
      </c>
      <c r="P288" s="69">
        <f>IF(NOT((COUNTA($B288:$K288)+COUNTA($N288))&gt;0),"",IF(AND($S288="Sub",N($R288)&gt;0),IF(ISNUMBER(INDEX($E$5:$E$1000,$R288-4)),DATE(YEAR(INDEX($E$5:$E$1000,$R288-4)),MONTH(INDEX($E$5:$E$1000,$R288-4)),1),IF(ISNUMBER(INDEX($F$5:$F$1000,$R288-4)),DATE(YEAR(INDEX($F$5:$F$1000,$R288-4)),MONTH(INDEX($F$5:$F$1000,$R288-4)),1),MesCiclo)),IF(ISNUMBER($E288),DATE(YEAR($E288),MONTH($E288),1),IF(ISNUMBER($F288),DATE(YEAR($F288),MONTH($F288),1),MesCiclo))))</f>
        <v/>
      </c>
      <c r="Q288" s="70">
        <f>IF(OR($P288="",$P288&lt;&gt;MesCiclo),"",COUNTIF($P$5:$P288,MesCiclo))</f>
        <v/>
      </c>
      <c r="R288" s="70">
        <f>IF($S288="","",IF($S288="Macro",ROW(),IFERROR(LOOKUP(2,1/($S$5:$S288="Macro"),ROW($S$5:$S288)),0)))</f>
        <v/>
      </c>
      <c r="S288" s="70">
        <f>IF(NOT((COUNTA($B288:$K288)+COUNTA($N288))&gt;0),"",IF($B288&lt;&gt;"","Macro",IF($C288&lt;&gt;"","Sub","Macro")))</f>
        <v/>
      </c>
      <c r="T288" s="70">
        <f>IF($S288="Macro",COUNTIFS($R$5:$R$1000,ROW(),$S$5:$S$1000,"Sub"),"")</f>
        <v/>
      </c>
      <c r="U288" s="70">
        <f>IF($S288="","",IF(ISNUMBER($H288),$H288,0))</f>
        <v/>
      </c>
      <c r="V288" s="70">
        <f>IF($S288="","",IF(ISNUMBER($I288),$I288,$U288))</f>
        <v/>
      </c>
      <c r="W288" s="70">
        <f>IF($S288="","",IF(ISNUMBER($J288),$J288,$V288))</f>
        <v/>
      </c>
      <c r="X288" s="70">
        <f>IF($S288="","",IF(ISNUMBER($K288),$K288,$W288))</f>
        <v/>
      </c>
      <c r="Y288" s="70">
        <f>IF($S288="","",IF(N($T288)&gt;0,AVERAGEIFS($U$5:$U$1000,$R$5:$R$1000,ROW(),$S$5:$S$1000,"Sub"),$U288))</f>
        <v/>
      </c>
      <c r="Z288" s="70">
        <f>IF($S288="","",IF(N($T288)&gt;0,AVERAGEIFS($V$5:$V$1000,$R$5:$R$1000,ROW(),$S$5:$S$1000,"Sub"),$V288))</f>
        <v/>
      </c>
      <c r="AA288" s="70">
        <f>IF($S288="","",IF(N($T288)&gt;0,AVERAGEIFS($W$5:$W$1000,$R$5:$R$1000,ROW(),$S$5:$S$1000,"Sub"),$W288))</f>
        <v/>
      </c>
      <c r="AB288" s="70">
        <f>IF($S288="","",IF(N($T288)&gt;0,AVERAGEIFS($X$5:$X$1000,$R$5:$R$1000,ROW(),$S$5:$S$1000,"Sub"),$X288))</f>
        <v/>
      </c>
    </row>
    <row r="289">
      <c r="A289" s="61">
        <f>IF(NOT((COUNTA($B289:$K289)+COUNTA($N289))&gt;0),"",IF($S289="Macro",COUNTIFS($S$5:$S289,"Macro",$P$5:$P289,$P289),IF(N($R289)=0,"?",COUNTIFS(INDEX($S$5:$S$1000,1):INDEX($S$5:$S$1000,$R289-4),"Macro",INDEX($P$5:$P$1000,1):INDEX($P$5:$P$1000,$R289-4),INDEX($P$5:$P$1000,$R289-4))&amp;"."&amp;COUNTIFS($R$5:$R289,$R289,$S$5:$S289,"Sub"))))</f>
        <v/>
      </c>
      <c r="B289" s="62" t="n"/>
      <c r="C289" s="63" t="n"/>
      <c r="D289" s="62" t="n"/>
      <c r="E289" s="64" t="n"/>
      <c r="F289" s="64" t="n"/>
      <c r="G289" s="65" t="n"/>
      <c r="H289" s="66" t="n"/>
      <c r="I289" s="66" t="n"/>
      <c r="J289" s="66" t="n"/>
      <c r="K289" s="66" t="n"/>
      <c r="L289" s="67">
        <f>IF(NOT((COUNTA($B289:$K289)+COUNTA($N289))&gt;0),"",IF(N($T289)&gt;0,$AB289,IFERROR(LOOKUP(2,1/(H289:K289&lt;&gt;""),H289:K289),0)))</f>
        <v/>
      </c>
      <c r="M289" s="61">
        <f>IF(L289="","",IF(L289&gt;=1,"Completado",IF(L289&gt;0,"En curso","Pendiente")))</f>
        <v/>
      </c>
      <c r="N289" s="62" t="n"/>
      <c r="O289" s="68">
        <f>IF(NOT((COUNTA($B289:$K289)+COUNTA($N289))&gt;0),"",IF((IF(AND($S289="Macro",$B289=""),"Macroactividad vacía"&amp;" · ","")&amp;IF(AND($B289&lt;&gt;"",$C289&lt;&gt;""),"Escriba la subactividad en otra fila, debajo de su macroactividad"&amp;" · ","")&amp;IF(AND($S289="Sub",N($R289)=0),"Subactividad sin macroactividad arriba"&amp;" · ","")&amp;IF($D289="","Sin responsable"&amp;" · ","")&amp;IF($E289="","Sin fecha de inicio"&amp;" · ","")&amp;IF($F289="","Sin fecha límite"&amp;" · ","")&amp;IF(OR(AND($E289&lt;&gt;"",NOT(ISNUMBER($E289))),AND($F289&lt;&gt;"",NOT(ISNUMBER($F289)))),"Fecha no válida"&amp;" · ","")&amp;IF(AND(ISNUMBER($E289),ISNUMBER($F289),$E289&gt;$F289),"Inicio posterior a fecha límite"&amp;" · ","")&amp;IF(AND($S289="Macro",$G289=""),"Peso vacío"&amp;" · ","")&amp;IF(AND($S289="Macro",$G289&lt;&gt;"",OR(NOT(ISNUMBER($G289)),$G289&lt;=0,$G289&gt;1)),"Peso fuera de rango"&amp;" · ","")&amp;IF(AND($S289="Sub",$G289&lt;&gt;""),"Las subactividades no llevan peso"&amp;" · ","")&amp;IF(AND($S289="Macro",ABS(SUMIFS($G$5:$G$1000,$P$5:$P$1000,$P289,$S$5:$S$1000,"Macro")-1)&gt;0.0001),"Pesos del mes suman "&amp;TEXT(SUMIFS($G$5:$G$1000,$P$5:$P$1000,$P289,$S$5:$S$1000,"Macro"),"0%")&amp;" · ","")&amp;IF(AND(N($T289)&gt;0,COUNT($H289:$K289)&gt;0),"Con subactividades: deje vacías las semanas (se calculan solas)"&amp;" · ","")&amp;IF((COUNTIF($H289:$K289,"&gt;1")+COUNTIF($H289:$K289,"&lt;0")+COUNTA($H289:$K289)-COUNT($H289:$K289))&gt;0,"Avance fuera de rango 0-100%"&amp;" · ","")&amp;IF(OR(AND($I289&lt;&gt;"",$I289&lt;$H289),AND($J289&lt;&gt;"",$J289&lt;MAX($H289:$I289)),AND($K289&lt;&gt;"",$K289&lt;MAX($H289:$J289))),"Avance semanal decreciente"&amp;" · ","")&amp;IF(AND(ISNUMBER($F289),$F289&lt;FechaRef,N($L289)&lt;1),"Vencida"&amp;" · ","")&amp;IF(AND(ObsObligatoria="Sí",ISNUMBER($F289),$F289&lt;FechaRef,N($L289)&lt;1,$N289=""),"Vencida sin observación"&amp;" · ",""))="","✔ OK","⚠ "&amp;LEFT(IF(AND($S289="Macro",$B289=""),"Macroactividad vacía"&amp;" · ","")&amp;IF(AND($B289&lt;&gt;"",$C289&lt;&gt;""),"Escriba la subactividad en otra fila, debajo de su macroactividad"&amp;" · ","")&amp;IF(AND($S289="Sub",N($R289)=0),"Subactividad sin macroactividad arriba"&amp;" · ","")&amp;IF($D289="","Sin responsable"&amp;" · ","")&amp;IF($E289="","Sin fecha de inicio"&amp;" · ","")&amp;IF($F289="","Sin fecha límite"&amp;" · ","")&amp;IF(OR(AND($E289&lt;&gt;"",NOT(ISNUMBER($E289))),AND($F289&lt;&gt;"",NOT(ISNUMBER($F289)))),"Fecha no válida"&amp;" · ","")&amp;IF(AND(ISNUMBER($E289),ISNUMBER($F289),$E289&gt;$F289),"Inicio posterior a fecha límite"&amp;" · ","")&amp;IF(AND($S289="Macro",$G289=""),"Peso vacío"&amp;" · ","")&amp;IF(AND($S289="Macro",$G289&lt;&gt;"",OR(NOT(ISNUMBER($G289)),$G289&lt;=0,$G289&gt;1)),"Peso fuera de rango"&amp;" · ","")&amp;IF(AND($S289="Sub",$G289&lt;&gt;""),"Las subactividades no llevan peso"&amp;" · ","")&amp;IF(AND($S289="Macro",ABS(SUMIFS($G$5:$G$1000,$P$5:$P$1000,$P289,$S$5:$S$1000,"Macro")-1)&gt;0.0001),"Pesos del mes suman "&amp;TEXT(SUMIFS($G$5:$G$1000,$P$5:$P$1000,$P289,$S$5:$S$1000,"Macro"),"0%")&amp;" · ","")&amp;IF(AND(N($T289)&gt;0,COUNT($H289:$K289)&gt;0),"Con subactividades: deje vacías las semanas (se calculan solas)"&amp;" · ","")&amp;IF((COUNTIF($H289:$K289,"&gt;1")+COUNTIF($H289:$K289,"&lt;0")+COUNTA($H289:$K289)-COUNT($H289:$K289))&gt;0,"Avance fuera de rango 0-100%"&amp;" · ","")&amp;IF(OR(AND($I289&lt;&gt;"",$I289&lt;$H289),AND($J289&lt;&gt;"",$J289&lt;MAX($H289:$I289)),AND($K289&lt;&gt;"",$K289&lt;MAX($H289:$J289))),"Avance semanal decreciente"&amp;" · ","")&amp;IF(AND(ISNUMBER($F289),$F289&lt;FechaRef,N($L289)&lt;1),"Vencida"&amp;" · ","")&amp;IF(AND(ObsObligatoria="Sí",ISNUMBER($F289),$F289&lt;FechaRef,N($L289)&lt;1,$N289=""),"Vencida sin observación"&amp;" · ",""),LEN(IF(AND($S289="Macro",$B289=""),"Macroactividad vacía"&amp;" · ","")&amp;IF(AND($B289&lt;&gt;"",$C289&lt;&gt;""),"Escriba la subactividad en otra fila, debajo de su macroactividad"&amp;" · ","")&amp;IF(AND($S289="Sub",N($R289)=0),"Subactividad sin macroactividad arriba"&amp;" · ","")&amp;IF($D289="","Sin responsable"&amp;" · ","")&amp;IF($E289="","Sin fecha de inicio"&amp;" · ","")&amp;IF($F289="","Sin fecha límite"&amp;" · ","")&amp;IF(OR(AND($E289&lt;&gt;"",NOT(ISNUMBER($E289))),AND($F289&lt;&gt;"",NOT(ISNUMBER($F289)))),"Fecha no válida"&amp;" · ","")&amp;IF(AND(ISNUMBER($E289),ISNUMBER($F289),$E289&gt;$F289),"Inicio posterior a fecha límite"&amp;" · ","")&amp;IF(AND($S289="Macro",$G289=""),"Peso vacío"&amp;" · ","")&amp;IF(AND($S289="Macro",$G289&lt;&gt;"",OR(NOT(ISNUMBER($G289)),$G289&lt;=0,$G289&gt;1)),"Peso fuera de rango"&amp;" · ","")&amp;IF(AND($S289="Sub",$G289&lt;&gt;""),"Las subactividades no llevan peso"&amp;" · ","")&amp;IF(AND($S289="Macro",ABS(SUMIFS($G$5:$G$1000,$P$5:$P$1000,$P289,$S$5:$S$1000,"Macro")-1)&gt;0.0001),"Pesos del mes suman "&amp;TEXT(SUMIFS($G$5:$G$1000,$P$5:$P$1000,$P289,$S$5:$S$1000,"Macro"),"0%")&amp;" · ","")&amp;IF(AND(N($T289)&gt;0,COUNT($H289:$K289)&gt;0),"Con subactividades: deje vacías las semanas (se calculan solas)"&amp;" · ","")&amp;IF((COUNTIF($H289:$K289,"&gt;1")+COUNTIF($H289:$K289,"&lt;0")+COUNTA($H289:$K289)-COUNT($H289:$K289))&gt;0,"Avance fuera de rango 0-100%"&amp;" · ","")&amp;IF(OR(AND($I289&lt;&gt;"",$I289&lt;$H289),AND($J289&lt;&gt;"",$J289&lt;MAX($H289:$I289)),AND($K289&lt;&gt;"",$K289&lt;MAX($H289:$J289))),"Avance semanal decreciente"&amp;" · ","")&amp;IF(AND(ISNUMBER($F289),$F289&lt;FechaRef,N($L289)&lt;1),"Vencida"&amp;" · ","")&amp;IF(AND(ObsObligatoria="Sí",ISNUMBER($F289),$F289&lt;FechaRef,N($L289)&lt;1,$N289=""),"Vencida sin observación"&amp;" · ",""))-3)))</f>
        <v/>
      </c>
      <c r="P289" s="69">
        <f>IF(NOT((COUNTA($B289:$K289)+COUNTA($N289))&gt;0),"",IF(AND($S289="Sub",N($R289)&gt;0),IF(ISNUMBER(INDEX($E$5:$E$1000,$R289-4)),DATE(YEAR(INDEX($E$5:$E$1000,$R289-4)),MONTH(INDEX($E$5:$E$1000,$R289-4)),1),IF(ISNUMBER(INDEX($F$5:$F$1000,$R289-4)),DATE(YEAR(INDEX($F$5:$F$1000,$R289-4)),MONTH(INDEX($F$5:$F$1000,$R289-4)),1),MesCiclo)),IF(ISNUMBER($E289),DATE(YEAR($E289),MONTH($E289),1),IF(ISNUMBER($F289),DATE(YEAR($F289),MONTH($F289),1),MesCiclo))))</f>
        <v/>
      </c>
      <c r="Q289" s="70">
        <f>IF(OR($P289="",$P289&lt;&gt;MesCiclo),"",COUNTIF($P$5:$P289,MesCiclo))</f>
        <v/>
      </c>
      <c r="R289" s="70">
        <f>IF($S289="","",IF($S289="Macro",ROW(),IFERROR(LOOKUP(2,1/($S$5:$S289="Macro"),ROW($S$5:$S289)),0)))</f>
        <v/>
      </c>
      <c r="S289" s="70">
        <f>IF(NOT((COUNTA($B289:$K289)+COUNTA($N289))&gt;0),"",IF($B289&lt;&gt;"","Macro",IF($C289&lt;&gt;"","Sub","Macro")))</f>
        <v/>
      </c>
      <c r="T289" s="70">
        <f>IF($S289="Macro",COUNTIFS($R$5:$R$1000,ROW(),$S$5:$S$1000,"Sub"),"")</f>
        <v/>
      </c>
      <c r="U289" s="70">
        <f>IF($S289="","",IF(ISNUMBER($H289),$H289,0))</f>
        <v/>
      </c>
      <c r="V289" s="70">
        <f>IF($S289="","",IF(ISNUMBER($I289),$I289,$U289))</f>
        <v/>
      </c>
      <c r="W289" s="70">
        <f>IF($S289="","",IF(ISNUMBER($J289),$J289,$V289))</f>
        <v/>
      </c>
      <c r="X289" s="70">
        <f>IF($S289="","",IF(ISNUMBER($K289),$K289,$W289))</f>
        <v/>
      </c>
      <c r="Y289" s="70">
        <f>IF($S289="","",IF(N($T289)&gt;0,AVERAGEIFS($U$5:$U$1000,$R$5:$R$1000,ROW(),$S$5:$S$1000,"Sub"),$U289))</f>
        <v/>
      </c>
      <c r="Z289" s="70">
        <f>IF($S289="","",IF(N($T289)&gt;0,AVERAGEIFS($V$5:$V$1000,$R$5:$R$1000,ROW(),$S$5:$S$1000,"Sub"),$V289))</f>
        <v/>
      </c>
      <c r="AA289" s="70">
        <f>IF($S289="","",IF(N($T289)&gt;0,AVERAGEIFS($W$5:$W$1000,$R$5:$R$1000,ROW(),$S$5:$S$1000,"Sub"),$W289))</f>
        <v/>
      </c>
      <c r="AB289" s="70">
        <f>IF($S289="","",IF(N($T289)&gt;0,AVERAGEIFS($X$5:$X$1000,$R$5:$R$1000,ROW(),$S$5:$S$1000,"Sub"),$X289))</f>
        <v/>
      </c>
    </row>
    <row r="290">
      <c r="A290" s="61">
        <f>IF(NOT((COUNTA($B290:$K290)+COUNTA($N290))&gt;0),"",IF($S290="Macro",COUNTIFS($S$5:$S290,"Macro",$P$5:$P290,$P290),IF(N($R290)=0,"?",COUNTIFS(INDEX($S$5:$S$1000,1):INDEX($S$5:$S$1000,$R290-4),"Macro",INDEX($P$5:$P$1000,1):INDEX($P$5:$P$1000,$R290-4),INDEX($P$5:$P$1000,$R290-4))&amp;"."&amp;COUNTIFS($R$5:$R290,$R290,$S$5:$S290,"Sub"))))</f>
        <v/>
      </c>
      <c r="B290" s="62" t="n"/>
      <c r="C290" s="63" t="n"/>
      <c r="D290" s="62" t="n"/>
      <c r="E290" s="64" t="n"/>
      <c r="F290" s="64" t="n"/>
      <c r="G290" s="65" t="n"/>
      <c r="H290" s="66" t="n"/>
      <c r="I290" s="66" t="n"/>
      <c r="J290" s="66" t="n"/>
      <c r="K290" s="66" t="n"/>
      <c r="L290" s="67">
        <f>IF(NOT((COUNTA($B290:$K290)+COUNTA($N290))&gt;0),"",IF(N($T290)&gt;0,$AB290,IFERROR(LOOKUP(2,1/(H290:K290&lt;&gt;""),H290:K290),0)))</f>
        <v/>
      </c>
      <c r="M290" s="61">
        <f>IF(L290="","",IF(L290&gt;=1,"Completado",IF(L290&gt;0,"En curso","Pendiente")))</f>
        <v/>
      </c>
      <c r="N290" s="62" t="n"/>
      <c r="O290" s="68">
        <f>IF(NOT((COUNTA($B290:$K290)+COUNTA($N290))&gt;0),"",IF((IF(AND($S290="Macro",$B290=""),"Macroactividad vacía"&amp;" · ","")&amp;IF(AND($B290&lt;&gt;"",$C290&lt;&gt;""),"Escriba la subactividad en otra fila, debajo de su macroactividad"&amp;" · ","")&amp;IF(AND($S290="Sub",N($R290)=0),"Subactividad sin macroactividad arriba"&amp;" · ","")&amp;IF($D290="","Sin responsable"&amp;" · ","")&amp;IF($E290="","Sin fecha de inicio"&amp;" · ","")&amp;IF($F290="","Sin fecha límite"&amp;" · ","")&amp;IF(OR(AND($E290&lt;&gt;"",NOT(ISNUMBER($E290))),AND($F290&lt;&gt;"",NOT(ISNUMBER($F290)))),"Fecha no válida"&amp;" · ","")&amp;IF(AND(ISNUMBER($E290),ISNUMBER($F290),$E290&gt;$F290),"Inicio posterior a fecha límite"&amp;" · ","")&amp;IF(AND($S290="Macro",$G290=""),"Peso vacío"&amp;" · ","")&amp;IF(AND($S290="Macro",$G290&lt;&gt;"",OR(NOT(ISNUMBER($G290)),$G290&lt;=0,$G290&gt;1)),"Peso fuera de rango"&amp;" · ","")&amp;IF(AND($S290="Sub",$G290&lt;&gt;""),"Las subactividades no llevan peso"&amp;" · ","")&amp;IF(AND($S290="Macro",ABS(SUMIFS($G$5:$G$1000,$P$5:$P$1000,$P290,$S$5:$S$1000,"Macro")-1)&gt;0.0001),"Pesos del mes suman "&amp;TEXT(SUMIFS($G$5:$G$1000,$P$5:$P$1000,$P290,$S$5:$S$1000,"Macro"),"0%")&amp;" · ","")&amp;IF(AND(N($T290)&gt;0,COUNT($H290:$K290)&gt;0),"Con subactividades: deje vacías las semanas (se calculan solas)"&amp;" · ","")&amp;IF((COUNTIF($H290:$K290,"&gt;1")+COUNTIF($H290:$K290,"&lt;0")+COUNTA($H290:$K290)-COUNT($H290:$K290))&gt;0,"Avance fuera de rango 0-100%"&amp;" · ","")&amp;IF(OR(AND($I290&lt;&gt;"",$I290&lt;$H290),AND($J290&lt;&gt;"",$J290&lt;MAX($H290:$I290)),AND($K290&lt;&gt;"",$K290&lt;MAX($H290:$J290))),"Avance semanal decreciente"&amp;" · ","")&amp;IF(AND(ISNUMBER($F290),$F290&lt;FechaRef,N($L290)&lt;1),"Vencida"&amp;" · ","")&amp;IF(AND(ObsObligatoria="Sí",ISNUMBER($F290),$F290&lt;FechaRef,N($L290)&lt;1,$N290=""),"Vencida sin observación"&amp;" · ",""))="","✔ OK","⚠ "&amp;LEFT(IF(AND($S290="Macro",$B290=""),"Macroactividad vacía"&amp;" · ","")&amp;IF(AND($B290&lt;&gt;"",$C290&lt;&gt;""),"Escriba la subactividad en otra fila, debajo de su macroactividad"&amp;" · ","")&amp;IF(AND($S290="Sub",N($R290)=0),"Subactividad sin macroactividad arriba"&amp;" · ","")&amp;IF($D290="","Sin responsable"&amp;" · ","")&amp;IF($E290="","Sin fecha de inicio"&amp;" · ","")&amp;IF($F290="","Sin fecha límite"&amp;" · ","")&amp;IF(OR(AND($E290&lt;&gt;"",NOT(ISNUMBER($E290))),AND($F290&lt;&gt;"",NOT(ISNUMBER($F290)))),"Fecha no válida"&amp;" · ","")&amp;IF(AND(ISNUMBER($E290),ISNUMBER($F290),$E290&gt;$F290),"Inicio posterior a fecha límite"&amp;" · ","")&amp;IF(AND($S290="Macro",$G290=""),"Peso vacío"&amp;" · ","")&amp;IF(AND($S290="Macro",$G290&lt;&gt;"",OR(NOT(ISNUMBER($G290)),$G290&lt;=0,$G290&gt;1)),"Peso fuera de rango"&amp;" · ","")&amp;IF(AND($S290="Sub",$G290&lt;&gt;""),"Las subactividades no llevan peso"&amp;" · ","")&amp;IF(AND($S290="Macro",ABS(SUMIFS($G$5:$G$1000,$P$5:$P$1000,$P290,$S$5:$S$1000,"Macro")-1)&gt;0.0001),"Pesos del mes suman "&amp;TEXT(SUMIFS($G$5:$G$1000,$P$5:$P$1000,$P290,$S$5:$S$1000,"Macro"),"0%")&amp;" · ","")&amp;IF(AND(N($T290)&gt;0,COUNT($H290:$K290)&gt;0),"Con subactividades: deje vacías las semanas (se calculan solas)"&amp;" · ","")&amp;IF((COUNTIF($H290:$K290,"&gt;1")+COUNTIF($H290:$K290,"&lt;0")+COUNTA($H290:$K290)-COUNT($H290:$K290))&gt;0,"Avance fuera de rango 0-100%"&amp;" · ","")&amp;IF(OR(AND($I290&lt;&gt;"",$I290&lt;$H290),AND($J290&lt;&gt;"",$J290&lt;MAX($H290:$I290)),AND($K290&lt;&gt;"",$K290&lt;MAX($H290:$J290))),"Avance semanal decreciente"&amp;" · ","")&amp;IF(AND(ISNUMBER($F290),$F290&lt;FechaRef,N($L290)&lt;1),"Vencida"&amp;" · ","")&amp;IF(AND(ObsObligatoria="Sí",ISNUMBER($F290),$F290&lt;FechaRef,N($L290)&lt;1,$N290=""),"Vencida sin observación"&amp;" · ",""),LEN(IF(AND($S290="Macro",$B290=""),"Macroactividad vacía"&amp;" · ","")&amp;IF(AND($B290&lt;&gt;"",$C290&lt;&gt;""),"Escriba la subactividad en otra fila, debajo de su macroactividad"&amp;" · ","")&amp;IF(AND($S290="Sub",N($R290)=0),"Subactividad sin macroactividad arriba"&amp;" · ","")&amp;IF($D290="","Sin responsable"&amp;" · ","")&amp;IF($E290="","Sin fecha de inicio"&amp;" · ","")&amp;IF($F290="","Sin fecha límite"&amp;" · ","")&amp;IF(OR(AND($E290&lt;&gt;"",NOT(ISNUMBER($E290))),AND($F290&lt;&gt;"",NOT(ISNUMBER($F290)))),"Fecha no válida"&amp;" · ","")&amp;IF(AND(ISNUMBER($E290),ISNUMBER($F290),$E290&gt;$F290),"Inicio posterior a fecha límite"&amp;" · ","")&amp;IF(AND($S290="Macro",$G290=""),"Peso vacío"&amp;" · ","")&amp;IF(AND($S290="Macro",$G290&lt;&gt;"",OR(NOT(ISNUMBER($G290)),$G290&lt;=0,$G290&gt;1)),"Peso fuera de rango"&amp;" · ","")&amp;IF(AND($S290="Sub",$G290&lt;&gt;""),"Las subactividades no llevan peso"&amp;" · ","")&amp;IF(AND($S290="Macro",ABS(SUMIFS($G$5:$G$1000,$P$5:$P$1000,$P290,$S$5:$S$1000,"Macro")-1)&gt;0.0001),"Pesos del mes suman "&amp;TEXT(SUMIFS($G$5:$G$1000,$P$5:$P$1000,$P290,$S$5:$S$1000,"Macro"),"0%")&amp;" · ","")&amp;IF(AND(N($T290)&gt;0,COUNT($H290:$K290)&gt;0),"Con subactividades: deje vacías las semanas (se calculan solas)"&amp;" · ","")&amp;IF((COUNTIF($H290:$K290,"&gt;1")+COUNTIF($H290:$K290,"&lt;0")+COUNTA($H290:$K290)-COUNT($H290:$K290))&gt;0,"Avance fuera de rango 0-100%"&amp;" · ","")&amp;IF(OR(AND($I290&lt;&gt;"",$I290&lt;$H290),AND($J290&lt;&gt;"",$J290&lt;MAX($H290:$I290)),AND($K290&lt;&gt;"",$K290&lt;MAX($H290:$J290))),"Avance semanal decreciente"&amp;" · ","")&amp;IF(AND(ISNUMBER($F290),$F290&lt;FechaRef,N($L290)&lt;1),"Vencida"&amp;" · ","")&amp;IF(AND(ObsObligatoria="Sí",ISNUMBER($F290),$F290&lt;FechaRef,N($L290)&lt;1,$N290=""),"Vencida sin observación"&amp;" · ",""))-3)))</f>
        <v/>
      </c>
      <c r="P290" s="69">
        <f>IF(NOT((COUNTA($B290:$K290)+COUNTA($N290))&gt;0),"",IF(AND($S290="Sub",N($R290)&gt;0),IF(ISNUMBER(INDEX($E$5:$E$1000,$R290-4)),DATE(YEAR(INDEX($E$5:$E$1000,$R290-4)),MONTH(INDEX($E$5:$E$1000,$R290-4)),1),IF(ISNUMBER(INDEX($F$5:$F$1000,$R290-4)),DATE(YEAR(INDEX($F$5:$F$1000,$R290-4)),MONTH(INDEX($F$5:$F$1000,$R290-4)),1),MesCiclo)),IF(ISNUMBER($E290),DATE(YEAR($E290),MONTH($E290),1),IF(ISNUMBER($F290),DATE(YEAR($F290),MONTH($F290),1),MesCiclo))))</f>
        <v/>
      </c>
      <c r="Q290" s="70">
        <f>IF(OR($P290="",$P290&lt;&gt;MesCiclo),"",COUNTIF($P$5:$P290,MesCiclo))</f>
        <v/>
      </c>
      <c r="R290" s="70">
        <f>IF($S290="","",IF($S290="Macro",ROW(),IFERROR(LOOKUP(2,1/($S$5:$S290="Macro"),ROW($S$5:$S290)),0)))</f>
        <v/>
      </c>
      <c r="S290" s="70">
        <f>IF(NOT((COUNTA($B290:$K290)+COUNTA($N290))&gt;0),"",IF($B290&lt;&gt;"","Macro",IF($C290&lt;&gt;"","Sub","Macro")))</f>
        <v/>
      </c>
      <c r="T290" s="70">
        <f>IF($S290="Macro",COUNTIFS($R$5:$R$1000,ROW(),$S$5:$S$1000,"Sub"),"")</f>
        <v/>
      </c>
      <c r="U290" s="70">
        <f>IF($S290="","",IF(ISNUMBER($H290),$H290,0))</f>
        <v/>
      </c>
      <c r="V290" s="70">
        <f>IF($S290="","",IF(ISNUMBER($I290),$I290,$U290))</f>
        <v/>
      </c>
      <c r="W290" s="70">
        <f>IF($S290="","",IF(ISNUMBER($J290),$J290,$V290))</f>
        <v/>
      </c>
      <c r="X290" s="70">
        <f>IF($S290="","",IF(ISNUMBER($K290),$K290,$W290))</f>
        <v/>
      </c>
      <c r="Y290" s="70">
        <f>IF($S290="","",IF(N($T290)&gt;0,AVERAGEIFS($U$5:$U$1000,$R$5:$R$1000,ROW(),$S$5:$S$1000,"Sub"),$U290))</f>
        <v/>
      </c>
      <c r="Z290" s="70">
        <f>IF($S290="","",IF(N($T290)&gt;0,AVERAGEIFS($V$5:$V$1000,$R$5:$R$1000,ROW(),$S$5:$S$1000,"Sub"),$V290))</f>
        <v/>
      </c>
      <c r="AA290" s="70">
        <f>IF($S290="","",IF(N($T290)&gt;0,AVERAGEIFS($W$5:$W$1000,$R$5:$R$1000,ROW(),$S$5:$S$1000,"Sub"),$W290))</f>
        <v/>
      </c>
      <c r="AB290" s="70">
        <f>IF($S290="","",IF(N($T290)&gt;0,AVERAGEIFS($X$5:$X$1000,$R$5:$R$1000,ROW(),$S$5:$S$1000,"Sub"),$X290))</f>
        <v/>
      </c>
    </row>
    <row r="291">
      <c r="A291" s="61">
        <f>IF(NOT((COUNTA($B291:$K291)+COUNTA($N291))&gt;0),"",IF($S291="Macro",COUNTIFS($S$5:$S291,"Macro",$P$5:$P291,$P291),IF(N($R291)=0,"?",COUNTIFS(INDEX($S$5:$S$1000,1):INDEX($S$5:$S$1000,$R291-4),"Macro",INDEX($P$5:$P$1000,1):INDEX($P$5:$P$1000,$R291-4),INDEX($P$5:$P$1000,$R291-4))&amp;"."&amp;COUNTIFS($R$5:$R291,$R291,$S$5:$S291,"Sub"))))</f>
        <v/>
      </c>
      <c r="B291" s="62" t="n"/>
      <c r="C291" s="63" t="n"/>
      <c r="D291" s="62" t="n"/>
      <c r="E291" s="64" t="n"/>
      <c r="F291" s="64" t="n"/>
      <c r="G291" s="65" t="n"/>
      <c r="H291" s="66" t="n"/>
      <c r="I291" s="66" t="n"/>
      <c r="J291" s="66" t="n"/>
      <c r="K291" s="66" t="n"/>
      <c r="L291" s="67">
        <f>IF(NOT((COUNTA($B291:$K291)+COUNTA($N291))&gt;0),"",IF(N($T291)&gt;0,$AB291,IFERROR(LOOKUP(2,1/(H291:K291&lt;&gt;""),H291:K291),0)))</f>
        <v/>
      </c>
      <c r="M291" s="61">
        <f>IF(L291="","",IF(L291&gt;=1,"Completado",IF(L291&gt;0,"En curso","Pendiente")))</f>
        <v/>
      </c>
      <c r="N291" s="62" t="n"/>
      <c r="O291" s="68">
        <f>IF(NOT((COUNTA($B291:$K291)+COUNTA($N291))&gt;0),"",IF((IF(AND($S291="Macro",$B291=""),"Macroactividad vacía"&amp;" · ","")&amp;IF(AND($B291&lt;&gt;"",$C291&lt;&gt;""),"Escriba la subactividad en otra fila, debajo de su macroactividad"&amp;" · ","")&amp;IF(AND($S291="Sub",N($R291)=0),"Subactividad sin macroactividad arriba"&amp;" · ","")&amp;IF($D291="","Sin responsable"&amp;" · ","")&amp;IF($E291="","Sin fecha de inicio"&amp;" · ","")&amp;IF($F291="","Sin fecha límite"&amp;" · ","")&amp;IF(OR(AND($E291&lt;&gt;"",NOT(ISNUMBER($E291))),AND($F291&lt;&gt;"",NOT(ISNUMBER($F291)))),"Fecha no válida"&amp;" · ","")&amp;IF(AND(ISNUMBER($E291),ISNUMBER($F291),$E291&gt;$F291),"Inicio posterior a fecha límite"&amp;" · ","")&amp;IF(AND($S291="Macro",$G291=""),"Peso vacío"&amp;" · ","")&amp;IF(AND($S291="Macro",$G291&lt;&gt;"",OR(NOT(ISNUMBER($G291)),$G291&lt;=0,$G291&gt;1)),"Peso fuera de rango"&amp;" · ","")&amp;IF(AND($S291="Sub",$G291&lt;&gt;""),"Las subactividades no llevan peso"&amp;" · ","")&amp;IF(AND($S291="Macro",ABS(SUMIFS($G$5:$G$1000,$P$5:$P$1000,$P291,$S$5:$S$1000,"Macro")-1)&gt;0.0001),"Pesos del mes suman "&amp;TEXT(SUMIFS($G$5:$G$1000,$P$5:$P$1000,$P291,$S$5:$S$1000,"Macro"),"0%")&amp;" · ","")&amp;IF(AND(N($T291)&gt;0,COUNT($H291:$K291)&gt;0),"Con subactividades: deje vacías las semanas (se calculan solas)"&amp;" · ","")&amp;IF((COUNTIF($H291:$K291,"&gt;1")+COUNTIF($H291:$K291,"&lt;0")+COUNTA($H291:$K291)-COUNT($H291:$K291))&gt;0,"Avance fuera de rango 0-100%"&amp;" · ","")&amp;IF(OR(AND($I291&lt;&gt;"",$I291&lt;$H291),AND($J291&lt;&gt;"",$J291&lt;MAX($H291:$I291)),AND($K291&lt;&gt;"",$K291&lt;MAX($H291:$J291))),"Avance semanal decreciente"&amp;" · ","")&amp;IF(AND(ISNUMBER($F291),$F291&lt;FechaRef,N($L291)&lt;1),"Vencida"&amp;" · ","")&amp;IF(AND(ObsObligatoria="Sí",ISNUMBER($F291),$F291&lt;FechaRef,N($L291)&lt;1,$N291=""),"Vencida sin observación"&amp;" · ",""))="","✔ OK","⚠ "&amp;LEFT(IF(AND($S291="Macro",$B291=""),"Macroactividad vacía"&amp;" · ","")&amp;IF(AND($B291&lt;&gt;"",$C291&lt;&gt;""),"Escriba la subactividad en otra fila, debajo de su macroactividad"&amp;" · ","")&amp;IF(AND($S291="Sub",N($R291)=0),"Subactividad sin macroactividad arriba"&amp;" · ","")&amp;IF($D291="","Sin responsable"&amp;" · ","")&amp;IF($E291="","Sin fecha de inicio"&amp;" · ","")&amp;IF($F291="","Sin fecha límite"&amp;" · ","")&amp;IF(OR(AND($E291&lt;&gt;"",NOT(ISNUMBER($E291))),AND($F291&lt;&gt;"",NOT(ISNUMBER($F291)))),"Fecha no válida"&amp;" · ","")&amp;IF(AND(ISNUMBER($E291),ISNUMBER($F291),$E291&gt;$F291),"Inicio posterior a fecha límite"&amp;" · ","")&amp;IF(AND($S291="Macro",$G291=""),"Peso vacío"&amp;" · ","")&amp;IF(AND($S291="Macro",$G291&lt;&gt;"",OR(NOT(ISNUMBER($G291)),$G291&lt;=0,$G291&gt;1)),"Peso fuera de rango"&amp;" · ","")&amp;IF(AND($S291="Sub",$G291&lt;&gt;""),"Las subactividades no llevan peso"&amp;" · ","")&amp;IF(AND($S291="Macro",ABS(SUMIFS($G$5:$G$1000,$P$5:$P$1000,$P291,$S$5:$S$1000,"Macro")-1)&gt;0.0001),"Pesos del mes suman "&amp;TEXT(SUMIFS($G$5:$G$1000,$P$5:$P$1000,$P291,$S$5:$S$1000,"Macro"),"0%")&amp;" · ","")&amp;IF(AND(N($T291)&gt;0,COUNT($H291:$K291)&gt;0),"Con subactividades: deje vacías las semanas (se calculan solas)"&amp;" · ","")&amp;IF((COUNTIF($H291:$K291,"&gt;1")+COUNTIF($H291:$K291,"&lt;0")+COUNTA($H291:$K291)-COUNT($H291:$K291))&gt;0,"Avance fuera de rango 0-100%"&amp;" · ","")&amp;IF(OR(AND($I291&lt;&gt;"",$I291&lt;$H291),AND($J291&lt;&gt;"",$J291&lt;MAX($H291:$I291)),AND($K291&lt;&gt;"",$K291&lt;MAX($H291:$J291))),"Avance semanal decreciente"&amp;" · ","")&amp;IF(AND(ISNUMBER($F291),$F291&lt;FechaRef,N($L291)&lt;1),"Vencida"&amp;" · ","")&amp;IF(AND(ObsObligatoria="Sí",ISNUMBER($F291),$F291&lt;FechaRef,N($L291)&lt;1,$N291=""),"Vencida sin observación"&amp;" · ",""),LEN(IF(AND($S291="Macro",$B291=""),"Macroactividad vacía"&amp;" · ","")&amp;IF(AND($B291&lt;&gt;"",$C291&lt;&gt;""),"Escriba la subactividad en otra fila, debajo de su macroactividad"&amp;" · ","")&amp;IF(AND($S291="Sub",N($R291)=0),"Subactividad sin macroactividad arriba"&amp;" · ","")&amp;IF($D291="","Sin responsable"&amp;" · ","")&amp;IF($E291="","Sin fecha de inicio"&amp;" · ","")&amp;IF($F291="","Sin fecha límite"&amp;" · ","")&amp;IF(OR(AND($E291&lt;&gt;"",NOT(ISNUMBER($E291))),AND($F291&lt;&gt;"",NOT(ISNUMBER($F291)))),"Fecha no válida"&amp;" · ","")&amp;IF(AND(ISNUMBER($E291),ISNUMBER($F291),$E291&gt;$F291),"Inicio posterior a fecha límite"&amp;" · ","")&amp;IF(AND($S291="Macro",$G291=""),"Peso vacío"&amp;" · ","")&amp;IF(AND($S291="Macro",$G291&lt;&gt;"",OR(NOT(ISNUMBER($G291)),$G291&lt;=0,$G291&gt;1)),"Peso fuera de rango"&amp;" · ","")&amp;IF(AND($S291="Sub",$G291&lt;&gt;""),"Las subactividades no llevan peso"&amp;" · ","")&amp;IF(AND($S291="Macro",ABS(SUMIFS($G$5:$G$1000,$P$5:$P$1000,$P291,$S$5:$S$1000,"Macro")-1)&gt;0.0001),"Pesos del mes suman "&amp;TEXT(SUMIFS($G$5:$G$1000,$P$5:$P$1000,$P291,$S$5:$S$1000,"Macro"),"0%")&amp;" · ","")&amp;IF(AND(N($T291)&gt;0,COUNT($H291:$K291)&gt;0),"Con subactividades: deje vacías las semanas (se calculan solas)"&amp;" · ","")&amp;IF((COUNTIF($H291:$K291,"&gt;1")+COUNTIF($H291:$K291,"&lt;0")+COUNTA($H291:$K291)-COUNT($H291:$K291))&gt;0,"Avance fuera de rango 0-100%"&amp;" · ","")&amp;IF(OR(AND($I291&lt;&gt;"",$I291&lt;$H291),AND($J291&lt;&gt;"",$J291&lt;MAX($H291:$I291)),AND($K291&lt;&gt;"",$K291&lt;MAX($H291:$J291))),"Avance semanal decreciente"&amp;" · ","")&amp;IF(AND(ISNUMBER($F291),$F291&lt;FechaRef,N($L291)&lt;1),"Vencida"&amp;" · ","")&amp;IF(AND(ObsObligatoria="Sí",ISNUMBER($F291),$F291&lt;FechaRef,N($L291)&lt;1,$N291=""),"Vencida sin observación"&amp;" · ",""))-3)))</f>
        <v/>
      </c>
      <c r="P291" s="69">
        <f>IF(NOT((COUNTA($B291:$K291)+COUNTA($N291))&gt;0),"",IF(AND($S291="Sub",N($R291)&gt;0),IF(ISNUMBER(INDEX($E$5:$E$1000,$R291-4)),DATE(YEAR(INDEX($E$5:$E$1000,$R291-4)),MONTH(INDEX($E$5:$E$1000,$R291-4)),1),IF(ISNUMBER(INDEX($F$5:$F$1000,$R291-4)),DATE(YEAR(INDEX($F$5:$F$1000,$R291-4)),MONTH(INDEX($F$5:$F$1000,$R291-4)),1),MesCiclo)),IF(ISNUMBER($E291),DATE(YEAR($E291),MONTH($E291),1),IF(ISNUMBER($F291),DATE(YEAR($F291),MONTH($F291),1),MesCiclo))))</f>
        <v/>
      </c>
      <c r="Q291" s="70">
        <f>IF(OR($P291="",$P291&lt;&gt;MesCiclo),"",COUNTIF($P$5:$P291,MesCiclo))</f>
        <v/>
      </c>
      <c r="R291" s="70">
        <f>IF($S291="","",IF($S291="Macro",ROW(),IFERROR(LOOKUP(2,1/($S$5:$S291="Macro"),ROW($S$5:$S291)),0)))</f>
        <v/>
      </c>
      <c r="S291" s="70">
        <f>IF(NOT((COUNTA($B291:$K291)+COUNTA($N291))&gt;0),"",IF($B291&lt;&gt;"","Macro",IF($C291&lt;&gt;"","Sub","Macro")))</f>
        <v/>
      </c>
      <c r="T291" s="70">
        <f>IF($S291="Macro",COUNTIFS($R$5:$R$1000,ROW(),$S$5:$S$1000,"Sub"),"")</f>
        <v/>
      </c>
      <c r="U291" s="70">
        <f>IF($S291="","",IF(ISNUMBER($H291),$H291,0))</f>
        <v/>
      </c>
      <c r="V291" s="70">
        <f>IF($S291="","",IF(ISNUMBER($I291),$I291,$U291))</f>
        <v/>
      </c>
      <c r="W291" s="70">
        <f>IF($S291="","",IF(ISNUMBER($J291),$J291,$V291))</f>
        <v/>
      </c>
      <c r="X291" s="70">
        <f>IF($S291="","",IF(ISNUMBER($K291),$K291,$W291))</f>
        <v/>
      </c>
      <c r="Y291" s="70">
        <f>IF($S291="","",IF(N($T291)&gt;0,AVERAGEIFS($U$5:$U$1000,$R$5:$R$1000,ROW(),$S$5:$S$1000,"Sub"),$U291))</f>
        <v/>
      </c>
      <c r="Z291" s="70">
        <f>IF($S291="","",IF(N($T291)&gt;0,AVERAGEIFS($V$5:$V$1000,$R$5:$R$1000,ROW(),$S$5:$S$1000,"Sub"),$V291))</f>
        <v/>
      </c>
      <c r="AA291" s="70">
        <f>IF($S291="","",IF(N($T291)&gt;0,AVERAGEIFS($W$5:$W$1000,$R$5:$R$1000,ROW(),$S$5:$S$1000,"Sub"),$W291))</f>
        <v/>
      </c>
      <c r="AB291" s="70">
        <f>IF($S291="","",IF(N($T291)&gt;0,AVERAGEIFS($X$5:$X$1000,$R$5:$R$1000,ROW(),$S$5:$S$1000,"Sub"),$X291))</f>
        <v/>
      </c>
    </row>
    <row r="292">
      <c r="A292" s="61">
        <f>IF(NOT((COUNTA($B292:$K292)+COUNTA($N292))&gt;0),"",IF($S292="Macro",COUNTIFS($S$5:$S292,"Macro",$P$5:$P292,$P292),IF(N($R292)=0,"?",COUNTIFS(INDEX($S$5:$S$1000,1):INDEX($S$5:$S$1000,$R292-4),"Macro",INDEX($P$5:$P$1000,1):INDEX($P$5:$P$1000,$R292-4),INDEX($P$5:$P$1000,$R292-4))&amp;"."&amp;COUNTIFS($R$5:$R292,$R292,$S$5:$S292,"Sub"))))</f>
        <v/>
      </c>
      <c r="B292" s="62" t="n"/>
      <c r="C292" s="63" t="n"/>
      <c r="D292" s="62" t="n"/>
      <c r="E292" s="64" t="n"/>
      <c r="F292" s="64" t="n"/>
      <c r="G292" s="65" t="n"/>
      <c r="H292" s="66" t="n"/>
      <c r="I292" s="66" t="n"/>
      <c r="J292" s="66" t="n"/>
      <c r="K292" s="66" t="n"/>
      <c r="L292" s="67">
        <f>IF(NOT((COUNTA($B292:$K292)+COUNTA($N292))&gt;0),"",IF(N($T292)&gt;0,$AB292,IFERROR(LOOKUP(2,1/(H292:K292&lt;&gt;""),H292:K292),0)))</f>
        <v/>
      </c>
      <c r="M292" s="61">
        <f>IF(L292="","",IF(L292&gt;=1,"Completado",IF(L292&gt;0,"En curso","Pendiente")))</f>
        <v/>
      </c>
      <c r="N292" s="62" t="n"/>
      <c r="O292" s="68">
        <f>IF(NOT((COUNTA($B292:$K292)+COUNTA($N292))&gt;0),"",IF((IF(AND($S292="Macro",$B292=""),"Macroactividad vacía"&amp;" · ","")&amp;IF(AND($B292&lt;&gt;"",$C292&lt;&gt;""),"Escriba la subactividad en otra fila, debajo de su macroactividad"&amp;" · ","")&amp;IF(AND($S292="Sub",N($R292)=0),"Subactividad sin macroactividad arriba"&amp;" · ","")&amp;IF($D292="","Sin responsable"&amp;" · ","")&amp;IF($E292="","Sin fecha de inicio"&amp;" · ","")&amp;IF($F292="","Sin fecha límite"&amp;" · ","")&amp;IF(OR(AND($E292&lt;&gt;"",NOT(ISNUMBER($E292))),AND($F292&lt;&gt;"",NOT(ISNUMBER($F292)))),"Fecha no válida"&amp;" · ","")&amp;IF(AND(ISNUMBER($E292),ISNUMBER($F292),$E292&gt;$F292),"Inicio posterior a fecha límite"&amp;" · ","")&amp;IF(AND($S292="Macro",$G292=""),"Peso vacío"&amp;" · ","")&amp;IF(AND($S292="Macro",$G292&lt;&gt;"",OR(NOT(ISNUMBER($G292)),$G292&lt;=0,$G292&gt;1)),"Peso fuera de rango"&amp;" · ","")&amp;IF(AND($S292="Sub",$G292&lt;&gt;""),"Las subactividades no llevan peso"&amp;" · ","")&amp;IF(AND($S292="Macro",ABS(SUMIFS($G$5:$G$1000,$P$5:$P$1000,$P292,$S$5:$S$1000,"Macro")-1)&gt;0.0001),"Pesos del mes suman "&amp;TEXT(SUMIFS($G$5:$G$1000,$P$5:$P$1000,$P292,$S$5:$S$1000,"Macro"),"0%")&amp;" · ","")&amp;IF(AND(N($T292)&gt;0,COUNT($H292:$K292)&gt;0),"Con subactividades: deje vacías las semanas (se calculan solas)"&amp;" · ","")&amp;IF((COUNTIF($H292:$K292,"&gt;1")+COUNTIF($H292:$K292,"&lt;0")+COUNTA($H292:$K292)-COUNT($H292:$K292))&gt;0,"Avance fuera de rango 0-100%"&amp;" · ","")&amp;IF(OR(AND($I292&lt;&gt;"",$I292&lt;$H292),AND($J292&lt;&gt;"",$J292&lt;MAX($H292:$I292)),AND($K292&lt;&gt;"",$K292&lt;MAX($H292:$J292))),"Avance semanal decreciente"&amp;" · ","")&amp;IF(AND(ISNUMBER($F292),$F292&lt;FechaRef,N($L292)&lt;1),"Vencida"&amp;" · ","")&amp;IF(AND(ObsObligatoria="Sí",ISNUMBER($F292),$F292&lt;FechaRef,N($L292)&lt;1,$N292=""),"Vencida sin observación"&amp;" · ",""))="","✔ OK","⚠ "&amp;LEFT(IF(AND($S292="Macro",$B292=""),"Macroactividad vacía"&amp;" · ","")&amp;IF(AND($B292&lt;&gt;"",$C292&lt;&gt;""),"Escriba la subactividad en otra fila, debajo de su macroactividad"&amp;" · ","")&amp;IF(AND($S292="Sub",N($R292)=0),"Subactividad sin macroactividad arriba"&amp;" · ","")&amp;IF($D292="","Sin responsable"&amp;" · ","")&amp;IF($E292="","Sin fecha de inicio"&amp;" · ","")&amp;IF($F292="","Sin fecha límite"&amp;" · ","")&amp;IF(OR(AND($E292&lt;&gt;"",NOT(ISNUMBER($E292))),AND($F292&lt;&gt;"",NOT(ISNUMBER($F292)))),"Fecha no válida"&amp;" · ","")&amp;IF(AND(ISNUMBER($E292),ISNUMBER($F292),$E292&gt;$F292),"Inicio posterior a fecha límite"&amp;" · ","")&amp;IF(AND($S292="Macro",$G292=""),"Peso vacío"&amp;" · ","")&amp;IF(AND($S292="Macro",$G292&lt;&gt;"",OR(NOT(ISNUMBER($G292)),$G292&lt;=0,$G292&gt;1)),"Peso fuera de rango"&amp;" · ","")&amp;IF(AND($S292="Sub",$G292&lt;&gt;""),"Las subactividades no llevan peso"&amp;" · ","")&amp;IF(AND($S292="Macro",ABS(SUMIFS($G$5:$G$1000,$P$5:$P$1000,$P292,$S$5:$S$1000,"Macro")-1)&gt;0.0001),"Pesos del mes suman "&amp;TEXT(SUMIFS($G$5:$G$1000,$P$5:$P$1000,$P292,$S$5:$S$1000,"Macro"),"0%")&amp;" · ","")&amp;IF(AND(N($T292)&gt;0,COUNT($H292:$K292)&gt;0),"Con subactividades: deje vacías las semanas (se calculan solas)"&amp;" · ","")&amp;IF((COUNTIF($H292:$K292,"&gt;1")+COUNTIF($H292:$K292,"&lt;0")+COUNTA($H292:$K292)-COUNT($H292:$K292))&gt;0,"Avance fuera de rango 0-100%"&amp;" · ","")&amp;IF(OR(AND($I292&lt;&gt;"",$I292&lt;$H292),AND($J292&lt;&gt;"",$J292&lt;MAX($H292:$I292)),AND($K292&lt;&gt;"",$K292&lt;MAX($H292:$J292))),"Avance semanal decreciente"&amp;" · ","")&amp;IF(AND(ISNUMBER($F292),$F292&lt;FechaRef,N($L292)&lt;1),"Vencida"&amp;" · ","")&amp;IF(AND(ObsObligatoria="Sí",ISNUMBER($F292),$F292&lt;FechaRef,N($L292)&lt;1,$N292=""),"Vencida sin observación"&amp;" · ",""),LEN(IF(AND($S292="Macro",$B292=""),"Macroactividad vacía"&amp;" · ","")&amp;IF(AND($B292&lt;&gt;"",$C292&lt;&gt;""),"Escriba la subactividad en otra fila, debajo de su macroactividad"&amp;" · ","")&amp;IF(AND($S292="Sub",N($R292)=0),"Subactividad sin macroactividad arriba"&amp;" · ","")&amp;IF($D292="","Sin responsable"&amp;" · ","")&amp;IF($E292="","Sin fecha de inicio"&amp;" · ","")&amp;IF($F292="","Sin fecha límite"&amp;" · ","")&amp;IF(OR(AND($E292&lt;&gt;"",NOT(ISNUMBER($E292))),AND($F292&lt;&gt;"",NOT(ISNUMBER($F292)))),"Fecha no válida"&amp;" · ","")&amp;IF(AND(ISNUMBER($E292),ISNUMBER($F292),$E292&gt;$F292),"Inicio posterior a fecha límite"&amp;" · ","")&amp;IF(AND($S292="Macro",$G292=""),"Peso vacío"&amp;" · ","")&amp;IF(AND($S292="Macro",$G292&lt;&gt;"",OR(NOT(ISNUMBER($G292)),$G292&lt;=0,$G292&gt;1)),"Peso fuera de rango"&amp;" · ","")&amp;IF(AND($S292="Sub",$G292&lt;&gt;""),"Las subactividades no llevan peso"&amp;" · ","")&amp;IF(AND($S292="Macro",ABS(SUMIFS($G$5:$G$1000,$P$5:$P$1000,$P292,$S$5:$S$1000,"Macro")-1)&gt;0.0001),"Pesos del mes suman "&amp;TEXT(SUMIFS($G$5:$G$1000,$P$5:$P$1000,$P292,$S$5:$S$1000,"Macro"),"0%")&amp;" · ","")&amp;IF(AND(N($T292)&gt;0,COUNT($H292:$K292)&gt;0),"Con subactividades: deje vacías las semanas (se calculan solas)"&amp;" · ","")&amp;IF((COUNTIF($H292:$K292,"&gt;1")+COUNTIF($H292:$K292,"&lt;0")+COUNTA($H292:$K292)-COUNT($H292:$K292))&gt;0,"Avance fuera de rango 0-100%"&amp;" · ","")&amp;IF(OR(AND($I292&lt;&gt;"",$I292&lt;$H292),AND($J292&lt;&gt;"",$J292&lt;MAX($H292:$I292)),AND($K292&lt;&gt;"",$K292&lt;MAX($H292:$J292))),"Avance semanal decreciente"&amp;" · ","")&amp;IF(AND(ISNUMBER($F292),$F292&lt;FechaRef,N($L292)&lt;1),"Vencida"&amp;" · ","")&amp;IF(AND(ObsObligatoria="Sí",ISNUMBER($F292),$F292&lt;FechaRef,N($L292)&lt;1,$N292=""),"Vencida sin observación"&amp;" · ",""))-3)))</f>
        <v/>
      </c>
      <c r="P292" s="69">
        <f>IF(NOT((COUNTA($B292:$K292)+COUNTA($N292))&gt;0),"",IF(AND($S292="Sub",N($R292)&gt;0),IF(ISNUMBER(INDEX($E$5:$E$1000,$R292-4)),DATE(YEAR(INDEX($E$5:$E$1000,$R292-4)),MONTH(INDEX($E$5:$E$1000,$R292-4)),1),IF(ISNUMBER(INDEX($F$5:$F$1000,$R292-4)),DATE(YEAR(INDEX($F$5:$F$1000,$R292-4)),MONTH(INDEX($F$5:$F$1000,$R292-4)),1),MesCiclo)),IF(ISNUMBER($E292),DATE(YEAR($E292),MONTH($E292),1),IF(ISNUMBER($F292),DATE(YEAR($F292),MONTH($F292),1),MesCiclo))))</f>
        <v/>
      </c>
      <c r="Q292" s="70">
        <f>IF(OR($P292="",$P292&lt;&gt;MesCiclo),"",COUNTIF($P$5:$P292,MesCiclo))</f>
        <v/>
      </c>
      <c r="R292" s="70">
        <f>IF($S292="","",IF($S292="Macro",ROW(),IFERROR(LOOKUP(2,1/($S$5:$S292="Macro"),ROW($S$5:$S292)),0)))</f>
        <v/>
      </c>
      <c r="S292" s="70">
        <f>IF(NOT((COUNTA($B292:$K292)+COUNTA($N292))&gt;0),"",IF($B292&lt;&gt;"","Macro",IF($C292&lt;&gt;"","Sub","Macro")))</f>
        <v/>
      </c>
      <c r="T292" s="70">
        <f>IF($S292="Macro",COUNTIFS($R$5:$R$1000,ROW(),$S$5:$S$1000,"Sub"),"")</f>
        <v/>
      </c>
      <c r="U292" s="70">
        <f>IF($S292="","",IF(ISNUMBER($H292),$H292,0))</f>
        <v/>
      </c>
      <c r="V292" s="70">
        <f>IF($S292="","",IF(ISNUMBER($I292),$I292,$U292))</f>
        <v/>
      </c>
      <c r="W292" s="70">
        <f>IF($S292="","",IF(ISNUMBER($J292),$J292,$V292))</f>
        <v/>
      </c>
      <c r="X292" s="70">
        <f>IF($S292="","",IF(ISNUMBER($K292),$K292,$W292))</f>
        <v/>
      </c>
      <c r="Y292" s="70">
        <f>IF($S292="","",IF(N($T292)&gt;0,AVERAGEIFS($U$5:$U$1000,$R$5:$R$1000,ROW(),$S$5:$S$1000,"Sub"),$U292))</f>
        <v/>
      </c>
      <c r="Z292" s="70">
        <f>IF($S292="","",IF(N($T292)&gt;0,AVERAGEIFS($V$5:$V$1000,$R$5:$R$1000,ROW(),$S$5:$S$1000,"Sub"),$V292))</f>
        <v/>
      </c>
      <c r="AA292" s="70">
        <f>IF($S292="","",IF(N($T292)&gt;0,AVERAGEIFS($W$5:$W$1000,$R$5:$R$1000,ROW(),$S$5:$S$1000,"Sub"),$W292))</f>
        <v/>
      </c>
      <c r="AB292" s="70">
        <f>IF($S292="","",IF(N($T292)&gt;0,AVERAGEIFS($X$5:$X$1000,$R$5:$R$1000,ROW(),$S$5:$S$1000,"Sub"),$X292))</f>
        <v/>
      </c>
    </row>
    <row r="293">
      <c r="A293" s="61">
        <f>IF(NOT((COUNTA($B293:$K293)+COUNTA($N293))&gt;0),"",IF($S293="Macro",COUNTIFS($S$5:$S293,"Macro",$P$5:$P293,$P293),IF(N($R293)=0,"?",COUNTIFS(INDEX($S$5:$S$1000,1):INDEX($S$5:$S$1000,$R293-4),"Macro",INDEX($P$5:$P$1000,1):INDEX($P$5:$P$1000,$R293-4),INDEX($P$5:$P$1000,$R293-4))&amp;"."&amp;COUNTIFS($R$5:$R293,$R293,$S$5:$S293,"Sub"))))</f>
        <v/>
      </c>
      <c r="B293" s="62" t="n"/>
      <c r="C293" s="63" t="n"/>
      <c r="D293" s="62" t="n"/>
      <c r="E293" s="64" t="n"/>
      <c r="F293" s="64" t="n"/>
      <c r="G293" s="65" t="n"/>
      <c r="H293" s="66" t="n"/>
      <c r="I293" s="66" t="n"/>
      <c r="J293" s="66" t="n"/>
      <c r="K293" s="66" t="n"/>
      <c r="L293" s="67">
        <f>IF(NOT((COUNTA($B293:$K293)+COUNTA($N293))&gt;0),"",IF(N($T293)&gt;0,$AB293,IFERROR(LOOKUP(2,1/(H293:K293&lt;&gt;""),H293:K293),0)))</f>
        <v/>
      </c>
      <c r="M293" s="61">
        <f>IF(L293="","",IF(L293&gt;=1,"Completado",IF(L293&gt;0,"En curso","Pendiente")))</f>
        <v/>
      </c>
      <c r="N293" s="62" t="n"/>
      <c r="O293" s="68">
        <f>IF(NOT((COUNTA($B293:$K293)+COUNTA($N293))&gt;0),"",IF((IF(AND($S293="Macro",$B293=""),"Macroactividad vacía"&amp;" · ","")&amp;IF(AND($B293&lt;&gt;"",$C293&lt;&gt;""),"Escriba la subactividad en otra fila, debajo de su macroactividad"&amp;" · ","")&amp;IF(AND($S293="Sub",N($R293)=0),"Subactividad sin macroactividad arriba"&amp;" · ","")&amp;IF($D293="","Sin responsable"&amp;" · ","")&amp;IF($E293="","Sin fecha de inicio"&amp;" · ","")&amp;IF($F293="","Sin fecha límite"&amp;" · ","")&amp;IF(OR(AND($E293&lt;&gt;"",NOT(ISNUMBER($E293))),AND($F293&lt;&gt;"",NOT(ISNUMBER($F293)))),"Fecha no válida"&amp;" · ","")&amp;IF(AND(ISNUMBER($E293),ISNUMBER($F293),$E293&gt;$F293),"Inicio posterior a fecha límite"&amp;" · ","")&amp;IF(AND($S293="Macro",$G293=""),"Peso vacío"&amp;" · ","")&amp;IF(AND($S293="Macro",$G293&lt;&gt;"",OR(NOT(ISNUMBER($G293)),$G293&lt;=0,$G293&gt;1)),"Peso fuera de rango"&amp;" · ","")&amp;IF(AND($S293="Sub",$G293&lt;&gt;""),"Las subactividades no llevan peso"&amp;" · ","")&amp;IF(AND($S293="Macro",ABS(SUMIFS($G$5:$G$1000,$P$5:$P$1000,$P293,$S$5:$S$1000,"Macro")-1)&gt;0.0001),"Pesos del mes suman "&amp;TEXT(SUMIFS($G$5:$G$1000,$P$5:$P$1000,$P293,$S$5:$S$1000,"Macro"),"0%")&amp;" · ","")&amp;IF(AND(N($T293)&gt;0,COUNT($H293:$K293)&gt;0),"Con subactividades: deje vacías las semanas (se calculan solas)"&amp;" · ","")&amp;IF((COUNTIF($H293:$K293,"&gt;1")+COUNTIF($H293:$K293,"&lt;0")+COUNTA($H293:$K293)-COUNT($H293:$K293))&gt;0,"Avance fuera de rango 0-100%"&amp;" · ","")&amp;IF(OR(AND($I293&lt;&gt;"",$I293&lt;$H293),AND($J293&lt;&gt;"",$J293&lt;MAX($H293:$I293)),AND($K293&lt;&gt;"",$K293&lt;MAX($H293:$J293))),"Avance semanal decreciente"&amp;" · ","")&amp;IF(AND(ISNUMBER($F293),$F293&lt;FechaRef,N($L293)&lt;1),"Vencida"&amp;" · ","")&amp;IF(AND(ObsObligatoria="Sí",ISNUMBER($F293),$F293&lt;FechaRef,N($L293)&lt;1,$N293=""),"Vencida sin observación"&amp;" · ",""))="","✔ OK","⚠ "&amp;LEFT(IF(AND($S293="Macro",$B293=""),"Macroactividad vacía"&amp;" · ","")&amp;IF(AND($B293&lt;&gt;"",$C293&lt;&gt;""),"Escriba la subactividad en otra fila, debajo de su macroactividad"&amp;" · ","")&amp;IF(AND($S293="Sub",N($R293)=0),"Subactividad sin macroactividad arriba"&amp;" · ","")&amp;IF($D293="","Sin responsable"&amp;" · ","")&amp;IF($E293="","Sin fecha de inicio"&amp;" · ","")&amp;IF($F293="","Sin fecha límite"&amp;" · ","")&amp;IF(OR(AND($E293&lt;&gt;"",NOT(ISNUMBER($E293))),AND($F293&lt;&gt;"",NOT(ISNUMBER($F293)))),"Fecha no válida"&amp;" · ","")&amp;IF(AND(ISNUMBER($E293),ISNUMBER($F293),$E293&gt;$F293),"Inicio posterior a fecha límite"&amp;" · ","")&amp;IF(AND($S293="Macro",$G293=""),"Peso vacío"&amp;" · ","")&amp;IF(AND($S293="Macro",$G293&lt;&gt;"",OR(NOT(ISNUMBER($G293)),$G293&lt;=0,$G293&gt;1)),"Peso fuera de rango"&amp;" · ","")&amp;IF(AND($S293="Sub",$G293&lt;&gt;""),"Las subactividades no llevan peso"&amp;" · ","")&amp;IF(AND($S293="Macro",ABS(SUMIFS($G$5:$G$1000,$P$5:$P$1000,$P293,$S$5:$S$1000,"Macro")-1)&gt;0.0001),"Pesos del mes suman "&amp;TEXT(SUMIFS($G$5:$G$1000,$P$5:$P$1000,$P293,$S$5:$S$1000,"Macro"),"0%")&amp;" · ","")&amp;IF(AND(N($T293)&gt;0,COUNT($H293:$K293)&gt;0),"Con subactividades: deje vacías las semanas (se calculan solas)"&amp;" · ","")&amp;IF((COUNTIF($H293:$K293,"&gt;1")+COUNTIF($H293:$K293,"&lt;0")+COUNTA($H293:$K293)-COUNT($H293:$K293))&gt;0,"Avance fuera de rango 0-100%"&amp;" · ","")&amp;IF(OR(AND($I293&lt;&gt;"",$I293&lt;$H293),AND($J293&lt;&gt;"",$J293&lt;MAX($H293:$I293)),AND($K293&lt;&gt;"",$K293&lt;MAX($H293:$J293))),"Avance semanal decreciente"&amp;" · ","")&amp;IF(AND(ISNUMBER($F293),$F293&lt;FechaRef,N($L293)&lt;1),"Vencida"&amp;" · ","")&amp;IF(AND(ObsObligatoria="Sí",ISNUMBER($F293),$F293&lt;FechaRef,N($L293)&lt;1,$N293=""),"Vencida sin observación"&amp;" · ",""),LEN(IF(AND($S293="Macro",$B293=""),"Macroactividad vacía"&amp;" · ","")&amp;IF(AND($B293&lt;&gt;"",$C293&lt;&gt;""),"Escriba la subactividad en otra fila, debajo de su macroactividad"&amp;" · ","")&amp;IF(AND($S293="Sub",N($R293)=0),"Subactividad sin macroactividad arriba"&amp;" · ","")&amp;IF($D293="","Sin responsable"&amp;" · ","")&amp;IF($E293="","Sin fecha de inicio"&amp;" · ","")&amp;IF($F293="","Sin fecha límite"&amp;" · ","")&amp;IF(OR(AND($E293&lt;&gt;"",NOT(ISNUMBER($E293))),AND($F293&lt;&gt;"",NOT(ISNUMBER($F293)))),"Fecha no válida"&amp;" · ","")&amp;IF(AND(ISNUMBER($E293),ISNUMBER($F293),$E293&gt;$F293),"Inicio posterior a fecha límite"&amp;" · ","")&amp;IF(AND($S293="Macro",$G293=""),"Peso vacío"&amp;" · ","")&amp;IF(AND($S293="Macro",$G293&lt;&gt;"",OR(NOT(ISNUMBER($G293)),$G293&lt;=0,$G293&gt;1)),"Peso fuera de rango"&amp;" · ","")&amp;IF(AND($S293="Sub",$G293&lt;&gt;""),"Las subactividades no llevan peso"&amp;" · ","")&amp;IF(AND($S293="Macro",ABS(SUMIFS($G$5:$G$1000,$P$5:$P$1000,$P293,$S$5:$S$1000,"Macro")-1)&gt;0.0001),"Pesos del mes suman "&amp;TEXT(SUMIFS($G$5:$G$1000,$P$5:$P$1000,$P293,$S$5:$S$1000,"Macro"),"0%")&amp;" · ","")&amp;IF(AND(N($T293)&gt;0,COUNT($H293:$K293)&gt;0),"Con subactividades: deje vacías las semanas (se calculan solas)"&amp;" · ","")&amp;IF((COUNTIF($H293:$K293,"&gt;1")+COUNTIF($H293:$K293,"&lt;0")+COUNTA($H293:$K293)-COUNT($H293:$K293))&gt;0,"Avance fuera de rango 0-100%"&amp;" · ","")&amp;IF(OR(AND($I293&lt;&gt;"",$I293&lt;$H293),AND($J293&lt;&gt;"",$J293&lt;MAX($H293:$I293)),AND($K293&lt;&gt;"",$K293&lt;MAX($H293:$J293))),"Avance semanal decreciente"&amp;" · ","")&amp;IF(AND(ISNUMBER($F293),$F293&lt;FechaRef,N($L293)&lt;1),"Vencida"&amp;" · ","")&amp;IF(AND(ObsObligatoria="Sí",ISNUMBER($F293),$F293&lt;FechaRef,N($L293)&lt;1,$N293=""),"Vencida sin observación"&amp;" · ",""))-3)))</f>
        <v/>
      </c>
      <c r="P293" s="69">
        <f>IF(NOT((COUNTA($B293:$K293)+COUNTA($N293))&gt;0),"",IF(AND($S293="Sub",N($R293)&gt;0),IF(ISNUMBER(INDEX($E$5:$E$1000,$R293-4)),DATE(YEAR(INDEX($E$5:$E$1000,$R293-4)),MONTH(INDEX($E$5:$E$1000,$R293-4)),1),IF(ISNUMBER(INDEX($F$5:$F$1000,$R293-4)),DATE(YEAR(INDEX($F$5:$F$1000,$R293-4)),MONTH(INDEX($F$5:$F$1000,$R293-4)),1),MesCiclo)),IF(ISNUMBER($E293),DATE(YEAR($E293),MONTH($E293),1),IF(ISNUMBER($F293),DATE(YEAR($F293),MONTH($F293),1),MesCiclo))))</f>
        <v/>
      </c>
      <c r="Q293" s="70">
        <f>IF(OR($P293="",$P293&lt;&gt;MesCiclo),"",COUNTIF($P$5:$P293,MesCiclo))</f>
        <v/>
      </c>
      <c r="R293" s="70">
        <f>IF($S293="","",IF($S293="Macro",ROW(),IFERROR(LOOKUP(2,1/($S$5:$S293="Macro"),ROW($S$5:$S293)),0)))</f>
        <v/>
      </c>
      <c r="S293" s="70">
        <f>IF(NOT((COUNTA($B293:$K293)+COUNTA($N293))&gt;0),"",IF($B293&lt;&gt;"","Macro",IF($C293&lt;&gt;"","Sub","Macro")))</f>
        <v/>
      </c>
      <c r="T293" s="70">
        <f>IF($S293="Macro",COUNTIFS($R$5:$R$1000,ROW(),$S$5:$S$1000,"Sub"),"")</f>
        <v/>
      </c>
      <c r="U293" s="70">
        <f>IF($S293="","",IF(ISNUMBER($H293),$H293,0))</f>
        <v/>
      </c>
      <c r="V293" s="70">
        <f>IF($S293="","",IF(ISNUMBER($I293),$I293,$U293))</f>
        <v/>
      </c>
      <c r="W293" s="70">
        <f>IF($S293="","",IF(ISNUMBER($J293),$J293,$V293))</f>
        <v/>
      </c>
      <c r="X293" s="70">
        <f>IF($S293="","",IF(ISNUMBER($K293),$K293,$W293))</f>
        <v/>
      </c>
      <c r="Y293" s="70">
        <f>IF($S293="","",IF(N($T293)&gt;0,AVERAGEIFS($U$5:$U$1000,$R$5:$R$1000,ROW(),$S$5:$S$1000,"Sub"),$U293))</f>
        <v/>
      </c>
      <c r="Z293" s="70">
        <f>IF($S293="","",IF(N($T293)&gt;0,AVERAGEIFS($V$5:$V$1000,$R$5:$R$1000,ROW(),$S$5:$S$1000,"Sub"),$V293))</f>
        <v/>
      </c>
      <c r="AA293" s="70">
        <f>IF($S293="","",IF(N($T293)&gt;0,AVERAGEIFS($W$5:$W$1000,$R$5:$R$1000,ROW(),$S$5:$S$1000,"Sub"),$W293))</f>
        <v/>
      </c>
      <c r="AB293" s="70">
        <f>IF($S293="","",IF(N($T293)&gt;0,AVERAGEIFS($X$5:$X$1000,$R$5:$R$1000,ROW(),$S$5:$S$1000,"Sub"),$X293))</f>
        <v/>
      </c>
    </row>
    <row r="294">
      <c r="A294" s="61">
        <f>IF(NOT((COUNTA($B294:$K294)+COUNTA($N294))&gt;0),"",IF($S294="Macro",COUNTIFS($S$5:$S294,"Macro",$P$5:$P294,$P294),IF(N($R294)=0,"?",COUNTIFS(INDEX($S$5:$S$1000,1):INDEX($S$5:$S$1000,$R294-4),"Macro",INDEX($P$5:$P$1000,1):INDEX($P$5:$P$1000,$R294-4),INDEX($P$5:$P$1000,$R294-4))&amp;"."&amp;COUNTIFS($R$5:$R294,$R294,$S$5:$S294,"Sub"))))</f>
        <v/>
      </c>
      <c r="B294" s="62" t="n"/>
      <c r="C294" s="63" t="n"/>
      <c r="D294" s="62" t="n"/>
      <c r="E294" s="64" t="n"/>
      <c r="F294" s="64" t="n"/>
      <c r="G294" s="65" t="n"/>
      <c r="H294" s="66" t="n"/>
      <c r="I294" s="66" t="n"/>
      <c r="J294" s="66" t="n"/>
      <c r="K294" s="66" t="n"/>
      <c r="L294" s="67">
        <f>IF(NOT((COUNTA($B294:$K294)+COUNTA($N294))&gt;0),"",IF(N($T294)&gt;0,$AB294,IFERROR(LOOKUP(2,1/(H294:K294&lt;&gt;""),H294:K294),0)))</f>
        <v/>
      </c>
      <c r="M294" s="61">
        <f>IF(L294="","",IF(L294&gt;=1,"Completado",IF(L294&gt;0,"En curso","Pendiente")))</f>
        <v/>
      </c>
      <c r="N294" s="62" t="n"/>
      <c r="O294" s="68">
        <f>IF(NOT((COUNTA($B294:$K294)+COUNTA($N294))&gt;0),"",IF((IF(AND($S294="Macro",$B294=""),"Macroactividad vacía"&amp;" · ","")&amp;IF(AND($B294&lt;&gt;"",$C294&lt;&gt;""),"Escriba la subactividad en otra fila, debajo de su macroactividad"&amp;" · ","")&amp;IF(AND($S294="Sub",N($R294)=0),"Subactividad sin macroactividad arriba"&amp;" · ","")&amp;IF($D294="","Sin responsable"&amp;" · ","")&amp;IF($E294="","Sin fecha de inicio"&amp;" · ","")&amp;IF($F294="","Sin fecha límite"&amp;" · ","")&amp;IF(OR(AND($E294&lt;&gt;"",NOT(ISNUMBER($E294))),AND($F294&lt;&gt;"",NOT(ISNUMBER($F294)))),"Fecha no válida"&amp;" · ","")&amp;IF(AND(ISNUMBER($E294),ISNUMBER($F294),$E294&gt;$F294),"Inicio posterior a fecha límite"&amp;" · ","")&amp;IF(AND($S294="Macro",$G294=""),"Peso vacío"&amp;" · ","")&amp;IF(AND($S294="Macro",$G294&lt;&gt;"",OR(NOT(ISNUMBER($G294)),$G294&lt;=0,$G294&gt;1)),"Peso fuera de rango"&amp;" · ","")&amp;IF(AND($S294="Sub",$G294&lt;&gt;""),"Las subactividades no llevan peso"&amp;" · ","")&amp;IF(AND($S294="Macro",ABS(SUMIFS($G$5:$G$1000,$P$5:$P$1000,$P294,$S$5:$S$1000,"Macro")-1)&gt;0.0001),"Pesos del mes suman "&amp;TEXT(SUMIFS($G$5:$G$1000,$P$5:$P$1000,$P294,$S$5:$S$1000,"Macro"),"0%")&amp;" · ","")&amp;IF(AND(N($T294)&gt;0,COUNT($H294:$K294)&gt;0),"Con subactividades: deje vacías las semanas (se calculan solas)"&amp;" · ","")&amp;IF((COUNTIF($H294:$K294,"&gt;1")+COUNTIF($H294:$K294,"&lt;0")+COUNTA($H294:$K294)-COUNT($H294:$K294))&gt;0,"Avance fuera de rango 0-100%"&amp;" · ","")&amp;IF(OR(AND($I294&lt;&gt;"",$I294&lt;$H294),AND($J294&lt;&gt;"",$J294&lt;MAX($H294:$I294)),AND($K294&lt;&gt;"",$K294&lt;MAX($H294:$J294))),"Avance semanal decreciente"&amp;" · ","")&amp;IF(AND(ISNUMBER($F294),$F294&lt;FechaRef,N($L294)&lt;1),"Vencida"&amp;" · ","")&amp;IF(AND(ObsObligatoria="Sí",ISNUMBER($F294),$F294&lt;FechaRef,N($L294)&lt;1,$N294=""),"Vencida sin observación"&amp;" · ",""))="","✔ OK","⚠ "&amp;LEFT(IF(AND($S294="Macro",$B294=""),"Macroactividad vacía"&amp;" · ","")&amp;IF(AND($B294&lt;&gt;"",$C294&lt;&gt;""),"Escriba la subactividad en otra fila, debajo de su macroactividad"&amp;" · ","")&amp;IF(AND($S294="Sub",N($R294)=0),"Subactividad sin macroactividad arriba"&amp;" · ","")&amp;IF($D294="","Sin responsable"&amp;" · ","")&amp;IF($E294="","Sin fecha de inicio"&amp;" · ","")&amp;IF($F294="","Sin fecha límite"&amp;" · ","")&amp;IF(OR(AND($E294&lt;&gt;"",NOT(ISNUMBER($E294))),AND($F294&lt;&gt;"",NOT(ISNUMBER($F294)))),"Fecha no válida"&amp;" · ","")&amp;IF(AND(ISNUMBER($E294),ISNUMBER($F294),$E294&gt;$F294),"Inicio posterior a fecha límite"&amp;" · ","")&amp;IF(AND($S294="Macro",$G294=""),"Peso vacío"&amp;" · ","")&amp;IF(AND($S294="Macro",$G294&lt;&gt;"",OR(NOT(ISNUMBER($G294)),$G294&lt;=0,$G294&gt;1)),"Peso fuera de rango"&amp;" · ","")&amp;IF(AND($S294="Sub",$G294&lt;&gt;""),"Las subactividades no llevan peso"&amp;" · ","")&amp;IF(AND($S294="Macro",ABS(SUMIFS($G$5:$G$1000,$P$5:$P$1000,$P294,$S$5:$S$1000,"Macro")-1)&gt;0.0001),"Pesos del mes suman "&amp;TEXT(SUMIFS($G$5:$G$1000,$P$5:$P$1000,$P294,$S$5:$S$1000,"Macro"),"0%")&amp;" · ","")&amp;IF(AND(N($T294)&gt;0,COUNT($H294:$K294)&gt;0),"Con subactividades: deje vacías las semanas (se calculan solas)"&amp;" · ","")&amp;IF((COUNTIF($H294:$K294,"&gt;1")+COUNTIF($H294:$K294,"&lt;0")+COUNTA($H294:$K294)-COUNT($H294:$K294))&gt;0,"Avance fuera de rango 0-100%"&amp;" · ","")&amp;IF(OR(AND($I294&lt;&gt;"",$I294&lt;$H294),AND($J294&lt;&gt;"",$J294&lt;MAX($H294:$I294)),AND($K294&lt;&gt;"",$K294&lt;MAX($H294:$J294))),"Avance semanal decreciente"&amp;" · ","")&amp;IF(AND(ISNUMBER($F294),$F294&lt;FechaRef,N($L294)&lt;1),"Vencida"&amp;" · ","")&amp;IF(AND(ObsObligatoria="Sí",ISNUMBER($F294),$F294&lt;FechaRef,N($L294)&lt;1,$N294=""),"Vencida sin observación"&amp;" · ",""),LEN(IF(AND($S294="Macro",$B294=""),"Macroactividad vacía"&amp;" · ","")&amp;IF(AND($B294&lt;&gt;"",$C294&lt;&gt;""),"Escriba la subactividad en otra fila, debajo de su macroactividad"&amp;" · ","")&amp;IF(AND($S294="Sub",N($R294)=0),"Subactividad sin macroactividad arriba"&amp;" · ","")&amp;IF($D294="","Sin responsable"&amp;" · ","")&amp;IF($E294="","Sin fecha de inicio"&amp;" · ","")&amp;IF($F294="","Sin fecha límite"&amp;" · ","")&amp;IF(OR(AND($E294&lt;&gt;"",NOT(ISNUMBER($E294))),AND($F294&lt;&gt;"",NOT(ISNUMBER($F294)))),"Fecha no válida"&amp;" · ","")&amp;IF(AND(ISNUMBER($E294),ISNUMBER($F294),$E294&gt;$F294),"Inicio posterior a fecha límite"&amp;" · ","")&amp;IF(AND($S294="Macro",$G294=""),"Peso vacío"&amp;" · ","")&amp;IF(AND($S294="Macro",$G294&lt;&gt;"",OR(NOT(ISNUMBER($G294)),$G294&lt;=0,$G294&gt;1)),"Peso fuera de rango"&amp;" · ","")&amp;IF(AND($S294="Sub",$G294&lt;&gt;""),"Las subactividades no llevan peso"&amp;" · ","")&amp;IF(AND($S294="Macro",ABS(SUMIFS($G$5:$G$1000,$P$5:$P$1000,$P294,$S$5:$S$1000,"Macro")-1)&gt;0.0001),"Pesos del mes suman "&amp;TEXT(SUMIFS($G$5:$G$1000,$P$5:$P$1000,$P294,$S$5:$S$1000,"Macro"),"0%")&amp;" · ","")&amp;IF(AND(N($T294)&gt;0,COUNT($H294:$K294)&gt;0),"Con subactividades: deje vacías las semanas (se calculan solas)"&amp;" · ","")&amp;IF((COUNTIF($H294:$K294,"&gt;1")+COUNTIF($H294:$K294,"&lt;0")+COUNTA($H294:$K294)-COUNT($H294:$K294))&gt;0,"Avance fuera de rango 0-100%"&amp;" · ","")&amp;IF(OR(AND($I294&lt;&gt;"",$I294&lt;$H294),AND($J294&lt;&gt;"",$J294&lt;MAX($H294:$I294)),AND($K294&lt;&gt;"",$K294&lt;MAX($H294:$J294))),"Avance semanal decreciente"&amp;" · ","")&amp;IF(AND(ISNUMBER($F294),$F294&lt;FechaRef,N($L294)&lt;1),"Vencida"&amp;" · ","")&amp;IF(AND(ObsObligatoria="Sí",ISNUMBER($F294),$F294&lt;FechaRef,N($L294)&lt;1,$N294=""),"Vencida sin observación"&amp;" · ",""))-3)))</f>
        <v/>
      </c>
      <c r="P294" s="69">
        <f>IF(NOT((COUNTA($B294:$K294)+COUNTA($N294))&gt;0),"",IF(AND($S294="Sub",N($R294)&gt;0),IF(ISNUMBER(INDEX($E$5:$E$1000,$R294-4)),DATE(YEAR(INDEX($E$5:$E$1000,$R294-4)),MONTH(INDEX($E$5:$E$1000,$R294-4)),1),IF(ISNUMBER(INDEX($F$5:$F$1000,$R294-4)),DATE(YEAR(INDEX($F$5:$F$1000,$R294-4)),MONTH(INDEX($F$5:$F$1000,$R294-4)),1),MesCiclo)),IF(ISNUMBER($E294),DATE(YEAR($E294),MONTH($E294),1),IF(ISNUMBER($F294),DATE(YEAR($F294),MONTH($F294),1),MesCiclo))))</f>
        <v/>
      </c>
      <c r="Q294" s="70">
        <f>IF(OR($P294="",$P294&lt;&gt;MesCiclo),"",COUNTIF($P$5:$P294,MesCiclo))</f>
        <v/>
      </c>
      <c r="R294" s="70">
        <f>IF($S294="","",IF($S294="Macro",ROW(),IFERROR(LOOKUP(2,1/($S$5:$S294="Macro"),ROW($S$5:$S294)),0)))</f>
        <v/>
      </c>
      <c r="S294" s="70">
        <f>IF(NOT((COUNTA($B294:$K294)+COUNTA($N294))&gt;0),"",IF($B294&lt;&gt;"","Macro",IF($C294&lt;&gt;"","Sub","Macro")))</f>
        <v/>
      </c>
      <c r="T294" s="70">
        <f>IF($S294="Macro",COUNTIFS($R$5:$R$1000,ROW(),$S$5:$S$1000,"Sub"),"")</f>
        <v/>
      </c>
      <c r="U294" s="70">
        <f>IF($S294="","",IF(ISNUMBER($H294),$H294,0))</f>
        <v/>
      </c>
      <c r="V294" s="70">
        <f>IF($S294="","",IF(ISNUMBER($I294),$I294,$U294))</f>
        <v/>
      </c>
      <c r="W294" s="70">
        <f>IF($S294="","",IF(ISNUMBER($J294),$J294,$V294))</f>
        <v/>
      </c>
      <c r="X294" s="70">
        <f>IF($S294="","",IF(ISNUMBER($K294),$K294,$W294))</f>
        <v/>
      </c>
      <c r="Y294" s="70">
        <f>IF($S294="","",IF(N($T294)&gt;0,AVERAGEIFS($U$5:$U$1000,$R$5:$R$1000,ROW(),$S$5:$S$1000,"Sub"),$U294))</f>
        <v/>
      </c>
      <c r="Z294" s="70">
        <f>IF($S294="","",IF(N($T294)&gt;0,AVERAGEIFS($V$5:$V$1000,$R$5:$R$1000,ROW(),$S$5:$S$1000,"Sub"),$V294))</f>
        <v/>
      </c>
      <c r="AA294" s="70">
        <f>IF($S294="","",IF(N($T294)&gt;0,AVERAGEIFS($W$5:$W$1000,$R$5:$R$1000,ROW(),$S$5:$S$1000,"Sub"),$W294))</f>
        <v/>
      </c>
      <c r="AB294" s="70">
        <f>IF($S294="","",IF(N($T294)&gt;0,AVERAGEIFS($X$5:$X$1000,$R$5:$R$1000,ROW(),$S$5:$S$1000,"Sub"),$X294))</f>
        <v/>
      </c>
    </row>
    <row r="295">
      <c r="A295" s="61">
        <f>IF(NOT((COUNTA($B295:$K295)+COUNTA($N295))&gt;0),"",IF($S295="Macro",COUNTIFS($S$5:$S295,"Macro",$P$5:$P295,$P295),IF(N($R295)=0,"?",COUNTIFS(INDEX($S$5:$S$1000,1):INDEX($S$5:$S$1000,$R295-4),"Macro",INDEX($P$5:$P$1000,1):INDEX($P$5:$P$1000,$R295-4),INDEX($P$5:$P$1000,$R295-4))&amp;"."&amp;COUNTIFS($R$5:$R295,$R295,$S$5:$S295,"Sub"))))</f>
        <v/>
      </c>
      <c r="B295" s="62" t="n"/>
      <c r="C295" s="63" t="n"/>
      <c r="D295" s="62" t="n"/>
      <c r="E295" s="64" t="n"/>
      <c r="F295" s="64" t="n"/>
      <c r="G295" s="65" t="n"/>
      <c r="H295" s="66" t="n"/>
      <c r="I295" s="66" t="n"/>
      <c r="J295" s="66" t="n"/>
      <c r="K295" s="66" t="n"/>
      <c r="L295" s="67">
        <f>IF(NOT((COUNTA($B295:$K295)+COUNTA($N295))&gt;0),"",IF(N($T295)&gt;0,$AB295,IFERROR(LOOKUP(2,1/(H295:K295&lt;&gt;""),H295:K295),0)))</f>
        <v/>
      </c>
      <c r="M295" s="61">
        <f>IF(L295="","",IF(L295&gt;=1,"Completado",IF(L295&gt;0,"En curso","Pendiente")))</f>
        <v/>
      </c>
      <c r="N295" s="62" t="n"/>
      <c r="O295" s="68">
        <f>IF(NOT((COUNTA($B295:$K295)+COUNTA($N295))&gt;0),"",IF((IF(AND($S295="Macro",$B295=""),"Macroactividad vacía"&amp;" · ","")&amp;IF(AND($B295&lt;&gt;"",$C295&lt;&gt;""),"Escriba la subactividad en otra fila, debajo de su macroactividad"&amp;" · ","")&amp;IF(AND($S295="Sub",N($R295)=0),"Subactividad sin macroactividad arriba"&amp;" · ","")&amp;IF($D295="","Sin responsable"&amp;" · ","")&amp;IF($E295="","Sin fecha de inicio"&amp;" · ","")&amp;IF($F295="","Sin fecha límite"&amp;" · ","")&amp;IF(OR(AND($E295&lt;&gt;"",NOT(ISNUMBER($E295))),AND($F295&lt;&gt;"",NOT(ISNUMBER($F295)))),"Fecha no válida"&amp;" · ","")&amp;IF(AND(ISNUMBER($E295),ISNUMBER($F295),$E295&gt;$F295),"Inicio posterior a fecha límite"&amp;" · ","")&amp;IF(AND($S295="Macro",$G295=""),"Peso vacío"&amp;" · ","")&amp;IF(AND($S295="Macro",$G295&lt;&gt;"",OR(NOT(ISNUMBER($G295)),$G295&lt;=0,$G295&gt;1)),"Peso fuera de rango"&amp;" · ","")&amp;IF(AND($S295="Sub",$G295&lt;&gt;""),"Las subactividades no llevan peso"&amp;" · ","")&amp;IF(AND($S295="Macro",ABS(SUMIFS($G$5:$G$1000,$P$5:$P$1000,$P295,$S$5:$S$1000,"Macro")-1)&gt;0.0001),"Pesos del mes suman "&amp;TEXT(SUMIFS($G$5:$G$1000,$P$5:$P$1000,$P295,$S$5:$S$1000,"Macro"),"0%")&amp;" · ","")&amp;IF(AND(N($T295)&gt;0,COUNT($H295:$K295)&gt;0),"Con subactividades: deje vacías las semanas (se calculan solas)"&amp;" · ","")&amp;IF((COUNTIF($H295:$K295,"&gt;1")+COUNTIF($H295:$K295,"&lt;0")+COUNTA($H295:$K295)-COUNT($H295:$K295))&gt;0,"Avance fuera de rango 0-100%"&amp;" · ","")&amp;IF(OR(AND($I295&lt;&gt;"",$I295&lt;$H295),AND($J295&lt;&gt;"",$J295&lt;MAX($H295:$I295)),AND($K295&lt;&gt;"",$K295&lt;MAX($H295:$J295))),"Avance semanal decreciente"&amp;" · ","")&amp;IF(AND(ISNUMBER($F295),$F295&lt;FechaRef,N($L295)&lt;1),"Vencida"&amp;" · ","")&amp;IF(AND(ObsObligatoria="Sí",ISNUMBER($F295),$F295&lt;FechaRef,N($L295)&lt;1,$N295=""),"Vencida sin observación"&amp;" · ",""))="","✔ OK","⚠ "&amp;LEFT(IF(AND($S295="Macro",$B295=""),"Macroactividad vacía"&amp;" · ","")&amp;IF(AND($B295&lt;&gt;"",$C295&lt;&gt;""),"Escriba la subactividad en otra fila, debajo de su macroactividad"&amp;" · ","")&amp;IF(AND($S295="Sub",N($R295)=0),"Subactividad sin macroactividad arriba"&amp;" · ","")&amp;IF($D295="","Sin responsable"&amp;" · ","")&amp;IF($E295="","Sin fecha de inicio"&amp;" · ","")&amp;IF($F295="","Sin fecha límite"&amp;" · ","")&amp;IF(OR(AND($E295&lt;&gt;"",NOT(ISNUMBER($E295))),AND($F295&lt;&gt;"",NOT(ISNUMBER($F295)))),"Fecha no válida"&amp;" · ","")&amp;IF(AND(ISNUMBER($E295),ISNUMBER($F295),$E295&gt;$F295),"Inicio posterior a fecha límite"&amp;" · ","")&amp;IF(AND($S295="Macro",$G295=""),"Peso vacío"&amp;" · ","")&amp;IF(AND($S295="Macro",$G295&lt;&gt;"",OR(NOT(ISNUMBER($G295)),$G295&lt;=0,$G295&gt;1)),"Peso fuera de rango"&amp;" · ","")&amp;IF(AND($S295="Sub",$G295&lt;&gt;""),"Las subactividades no llevan peso"&amp;" · ","")&amp;IF(AND($S295="Macro",ABS(SUMIFS($G$5:$G$1000,$P$5:$P$1000,$P295,$S$5:$S$1000,"Macro")-1)&gt;0.0001),"Pesos del mes suman "&amp;TEXT(SUMIFS($G$5:$G$1000,$P$5:$P$1000,$P295,$S$5:$S$1000,"Macro"),"0%")&amp;" · ","")&amp;IF(AND(N($T295)&gt;0,COUNT($H295:$K295)&gt;0),"Con subactividades: deje vacías las semanas (se calculan solas)"&amp;" · ","")&amp;IF((COUNTIF($H295:$K295,"&gt;1")+COUNTIF($H295:$K295,"&lt;0")+COUNTA($H295:$K295)-COUNT($H295:$K295))&gt;0,"Avance fuera de rango 0-100%"&amp;" · ","")&amp;IF(OR(AND($I295&lt;&gt;"",$I295&lt;$H295),AND($J295&lt;&gt;"",$J295&lt;MAX($H295:$I295)),AND($K295&lt;&gt;"",$K295&lt;MAX($H295:$J295))),"Avance semanal decreciente"&amp;" · ","")&amp;IF(AND(ISNUMBER($F295),$F295&lt;FechaRef,N($L295)&lt;1),"Vencida"&amp;" · ","")&amp;IF(AND(ObsObligatoria="Sí",ISNUMBER($F295),$F295&lt;FechaRef,N($L295)&lt;1,$N295=""),"Vencida sin observación"&amp;" · ",""),LEN(IF(AND($S295="Macro",$B295=""),"Macroactividad vacía"&amp;" · ","")&amp;IF(AND($B295&lt;&gt;"",$C295&lt;&gt;""),"Escriba la subactividad en otra fila, debajo de su macroactividad"&amp;" · ","")&amp;IF(AND($S295="Sub",N($R295)=0),"Subactividad sin macroactividad arriba"&amp;" · ","")&amp;IF($D295="","Sin responsable"&amp;" · ","")&amp;IF($E295="","Sin fecha de inicio"&amp;" · ","")&amp;IF($F295="","Sin fecha límite"&amp;" · ","")&amp;IF(OR(AND($E295&lt;&gt;"",NOT(ISNUMBER($E295))),AND($F295&lt;&gt;"",NOT(ISNUMBER($F295)))),"Fecha no válida"&amp;" · ","")&amp;IF(AND(ISNUMBER($E295),ISNUMBER($F295),$E295&gt;$F295),"Inicio posterior a fecha límite"&amp;" · ","")&amp;IF(AND($S295="Macro",$G295=""),"Peso vacío"&amp;" · ","")&amp;IF(AND($S295="Macro",$G295&lt;&gt;"",OR(NOT(ISNUMBER($G295)),$G295&lt;=0,$G295&gt;1)),"Peso fuera de rango"&amp;" · ","")&amp;IF(AND($S295="Sub",$G295&lt;&gt;""),"Las subactividades no llevan peso"&amp;" · ","")&amp;IF(AND($S295="Macro",ABS(SUMIFS($G$5:$G$1000,$P$5:$P$1000,$P295,$S$5:$S$1000,"Macro")-1)&gt;0.0001),"Pesos del mes suman "&amp;TEXT(SUMIFS($G$5:$G$1000,$P$5:$P$1000,$P295,$S$5:$S$1000,"Macro"),"0%")&amp;" · ","")&amp;IF(AND(N($T295)&gt;0,COUNT($H295:$K295)&gt;0),"Con subactividades: deje vacías las semanas (se calculan solas)"&amp;" · ","")&amp;IF((COUNTIF($H295:$K295,"&gt;1")+COUNTIF($H295:$K295,"&lt;0")+COUNTA($H295:$K295)-COUNT($H295:$K295))&gt;0,"Avance fuera de rango 0-100%"&amp;" · ","")&amp;IF(OR(AND($I295&lt;&gt;"",$I295&lt;$H295),AND($J295&lt;&gt;"",$J295&lt;MAX($H295:$I295)),AND($K295&lt;&gt;"",$K295&lt;MAX($H295:$J295))),"Avance semanal decreciente"&amp;" · ","")&amp;IF(AND(ISNUMBER($F295),$F295&lt;FechaRef,N($L295)&lt;1),"Vencida"&amp;" · ","")&amp;IF(AND(ObsObligatoria="Sí",ISNUMBER($F295),$F295&lt;FechaRef,N($L295)&lt;1,$N295=""),"Vencida sin observación"&amp;" · ",""))-3)))</f>
        <v/>
      </c>
      <c r="P295" s="69">
        <f>IF(NOT((COUNTA($B295:$K295)+COUNTA($N295))&gt;0),"",IF(AND($S295="Sub",N($R295)&gt;0),IF(ISNUMBER(INDEX($E$5:$E$1000,$R295-4)),DATE(YEAR(INDEX($E$5:$E$1000,$R295-4)),MONTH(INDEX($E$5:$E$1000,$R295-4)),1),IF(ISNUMBER(INDEX($F$5:$F$1000,$R295-4)),DATE(YEAR(INDEX($F$5:$F$1000,$R295-4)),MONTH(INDEX($F$5:$F$1000,$R295-4)),1),MesCiclo)),IF(ISNUMBER($E295),DATE(YEAR($E295),MONTH($E295),1),IF(ISNUMBER($F295),DATE(YEAR($F295),MONTH($F295),1),MesCiclo))))</f>
        <v/>
      </c>
      <c r="Q295" s="70">
        <f>IF(OR($P295="",$P295&lt;&gt;MesCiclo),"",COUNTIF($P$5:$P295,MesCiclo))</f>
        <v/>
      </c>
      <c r="R295" s="70">
        <f>IF($S295="","",IF($S295="Macro",ROW(),IFERROR(LOOKUP(2,1/($S$5:$S295="Macro"),ROW($S$5:$S295)),0)))</f>
        <v/>
      </c>
      <c r="S295" s="70">
        <f>IF(NOT((COUNTA($B295:$K295)+COUNTA($N295))&gt;0),"",IF($B295&lt;&gt;"","Macro",IF($C295&lt;&gt;"","Sub","Macro")))</f>
        <v/>
      </c>
      <c r="T295" s="70">
        <f>IF($S295="Macro",COUNTIFS($R$5:$R$1000,ROW(),$S$5:$S$1000,"Sub"),"")</f>
        <v/>
      </c>
      <c r="U295" s="70">
        <f>IF($S295="","",IF(ISNUMBER($H295),$H295,0))</f>
        <v/>
      </c>
      <c r="V295" s="70">
        <f>IF($S295="","",IF(ISNUMBER($I295),$I295,$U295))</f>
        <v/>
      </c>
      <c r="W295" s="70">
        <f>IF($S295="","",IF(ISNUMBER($J295),$J295,$V295))</f>
        <v/>
      </c>
      <c r="X295" s="70">
        <f>IF($S295="","",IF(ISNUMBER($K295),$K295,$W295))</f>
        <v/>
      </c>
      <c r="Y295" s="70">
        <f>IF($S295="","",IF(N($T295)&gt;0,AVERAGEIFS($U$5:$U$1000,$R$5:$R$1000,ROW(),$S$5:$S$1000,"Sub"),$U295))</f>
        <v/>
      </c>
      <c r="Z295" s="70">
        <f>IF($S295="","",IF(N($T295)&gt;0,AVERAGEIFS($V$5:$V$1000,$R$5:$R$1000,ROW(),$S$5:$S$1000,"Sub"),$V295))</f>
        <v/>
      </c>
      <c r="AA295" s="70">
        <f>IF($S295="","",IF(N($T295)&gt;0,AVERAGEIFS($W$5:$W$1000,$R$5:$R$1000,ROW(),$S$5:$S$1000,"Sub"),$W295))</f>
        <v/>
      </c>
      <c r="AB295" s="70">
        <f>IF($S295="","",IF(N($T295)&gt;0,AVERAGEIFS($X$5:$X$1000,$R$5:$R$1000,ROW(),$S$5:$S$1000,"Sub"),$X295))</f>
        <v/>
      </c>
    </row>
    <row r="296">
      <c r="A296" s="61">
        <f>IF(NOT((COUNTA($B296:$K296)+COUNTA($N296))&gt;0),"",IF($S296="Macro",COUNTIFS($S$5:$S296,"Macro",$P$5:$P296,$P296),IF(N($R296)=0,"?",COUNTIFS(INDEX($S$5:$S$1000,1):INDEX($S$5:$S$1000,$R296-4),"Macro",INDEX($P$5:$P$1000,1):INDEX($P$5:$P$1000,$R296-4),INDEX($P$5:$P$1000,$R296-4))&amp;"."&amp;COUNTIFS($R$5:$R296,$R296,$S$5:$S296,"Sub"))))</f>
        <v/>
      </c>
      <c r="B296" s="62" t="n"/>
      <c r="C296" s="63" t="n"/>
      <c r="D296" s="62" t="n"/>
      <c r="E296" s="64" t="n"/>
      <c r="F296" s="64" t="n"/>
      <c r="G296" s="65" t="n"/>
      <c r="H296" s="66" t="n"/>
      <c r="I296" s="66" t="n"/>
      <c r="J296" s="66" t="n"/>
      <c r="K296" s="66" t="n"/>
      <c r="L296" s="67">
        <f>IF(NOT((COUNTA($B296:$K296)+COUNTA($N296))&gt;0),"",IF(N($T296)&gt;0,$AB296,IFERROR(LOOKUP(2,1/(H296:K296&lt;&gt;""),H296:K296),0)))</f>
        <v/>
      </c>
      <c r="M296" s="61">
        <f>IF(L296="","",IF(L296&gt;=1,"Completado",IF(L296&gt;0,"En curso","Pendiente")))</f>
        <v/>
      </c>
      <c r="N296" s="62" t="n"/>
      <c r="O296" s="68">
        <f>IF(NOT((COUNTA($B296:$K296)+COUNTA($N296))&gt;0),"",IF((IF(AND($S296="Macro",$B296=""),"Macroactividad vacía"&amp;" · ","")&amp;IF(AND($B296&lt;&gt;"",$C296&lt;&gt;""),"Escriba la subactividad en otra fila, debajo de su macroactividad"&amp;" · ","")&amp;IF(AND($S296="Sub",N($R296)=0),"Subactividad sin macroactividad arriba"&amp;" · ","")&amp;IF($D296="","Sin responsable"&amp;" · ","")&amp;IF($E296="","Sin fecha de inicio"&amp;" · ","")&amp;IF($F296="","Sin fecha límite"&amp;" · ","")&amp;IF(OR(AND($E296&lt;&gt;"",NOT(ISNUMBER($E296))),AND($F296&lt;&gt;"",NOT(ISNUMBER($F296)))),"Fecha no válida"&amp;" · ","")&amp;IF(AND(ISNUMBER($E296),ISNUMBER($F296),$E296&gt;$F296),"Inicio posterior a fecha límite"&amp;" · ","")&amp;IF(AND($S296="Macro",$G296=""),"Peso vacío"&amp;" · ","")&amp;IF(AND($S296="Macro",$G296&lt;&gt;"",OR(NOT(ISNUMBER($G296)),$G296&lt;=0,$G296&gt;1)),"Peso fuera de rango"&amp;" · ","")&amp;IF(AND($S296="Sub",$G296&lt;&gt;""),"Las subactividades no llevan peso"&amp;" · ","")&amp;IF(AND($S296="Macro",ABS(SUMIFS($G$5:$G$1000,$P$5:$P$1000,$P296,$S$5:$S$1000,"Macro")-1)&gt;0.0001),"Pesos del mes suman "&amp;TEXT(SUMIFS($G$5:$G$1000,$P$5:$P$1000,$P296,$S$5:$S$1000,"Macro"),"0%")&amp;" · ","")&amp;IF(AND(N($T296)&gt;0,COUNT($H296:$K296)&gt;0),"Con subactividades: deje vacías las semanas (se calculan solas)"&amp;" · ","")&amp;IF((COUNTIF($H296:$K296,"&gt;1")+COUNTIF($H296:$K296,"&lt;0")+COUNTA($H296:$K296)-COUNT($H296:$K296))&gt;0,"Avance fuera de rango 0-100%"&amp;" · ","")&amp;IF(OR(AND($I296&lt;&gt;"",$I296&lt;$H296),AND($J296&lt;&gt;"",$J296&lt;MAX($H296:$I296)),AND($K296&lt;&gt;"",$K296&lt;MAX($H296:$J296))),"Avance semanal decreciente"&amp;" · ","")&amp;IF(AND(ISNUMBER($F296),$F296&lt;FechaRef,N($L296)&lt;1),"Vencida"&amp;" · ","")&amp;IF(AND(ObsObligatoria="Sí",ISNUMBER($F296),$F296&lt;FechaRef,N($L296)&lt;1,$N296=""),"Vencida sin observación"&amp;" · ",""))="","✔ OK","⚠ "&amp;LEFT(IF(AND($S296="Macro",$B296=""),"Macroactividad vacía"&amp;" · ","")&amp;IF(AND($B296&lt;&gt;"",$C296&lt;&gt;""),"Escriba la subactividad en otra fila, debajo de su macroactividad"&amp;" · ","")&amp;IF(AND($S296="Sub",N($R296)=0),"Subactividad sin macroactividad arriba"&amp;" · ","")&amp;IF($D296="","Sin responsable"&amp;" · ","")&amp;IF($E296="","Sin fecha de inicio"&amp;" · ","")&amp;IF($F296="","Sin fecha límite"&amp;" · ","")&amp;IF(OR(AND($E296&lt;&gt;"",NOT(ISNUMBER($E296))),AND($F296&lt;&gt;"",NOT(ISNUMBER($F296)))),"Fecha no válida"&amp;" · ","")&amp;IF(AND(ISNUMBER($E296),ISNUMBER($F296),$E296&gt;$F296),"Inicio posterior a fecha límite"&amp;" · ","")&amp;IF(AND($S296="Macro",$G296=""),"Peso vacío"&amp;" · ","")&amp;IF(AND($S296="Macro",$G296&lt;&gt;"",OR(NOT(ISNUMBER($G296)),$G296&lt;=0,$G296&gt;1)),"Peso fuera de rango"&amp;" · ","")&amp;IF(AND($S296="Sub",$G296&lt;&gt;""),"Las subactividades no llevan peso"&amp;" · ","")&amp;IF(AND($S296="Macro",ABS(SUMIFS($G$5:$G$1000,$P$5:$P$1000,$P296,$S$5:$S$1000,"Macro")-1)&gt;0.0001),"Pesos del mes suman "&amp;TEXT(SUMIFS($G$5:$G$1000,$P$5:$P$1000,$P296,$S$5:$S$1000,"Macro"),"0%")&amp;" · ","")&amp;IF(AND(N($T296)&gt;0,COUNT($H296:$K296)&gt;0),"Con subactividades: deje vacías las semanas (se calculan solas)"&amp;" · ","")&amp;IF((COUNTIF($H296:$K296,"&gt;1")+COUNTIF($H296:$K296,"&lt;0")+COUNTA($H296:$K296)-COUNT($H296:$K296))&gt;0,"Avance fuera de rango 0-100%"&amp;" · ","")&amp;IF(OR(AND($I296&lt;&gt;"",$I296&lt;$H296),AND($J296&lt;&gt;"",$J296&lt;MAX($H296:$I296)),AND($K296&lt;&gt;"",$K296&lt;MAX($H296:$J296))),"Avance semanal decreciente"&amp;" · ","")&amp;IF(AND(ISNUMBER($F296),$F296&lt;FechaRef,N($L296)&lt;1),"Vencida"&amp;" · ","")&amp;IF(AND(ObsObligatoria="Sí",ISNUMBER($F296),$F296&lt;FechaRef,N($L296)&lt;1,$N296=""),"Vencida sin observación"&amp;" · ",""),LEN(IF(AND($S296="Macro",$B296=""),"Macroactividad vacía"&amp;" · ","")&amp;IF(AND($B296&lt;&gt;"",$C296&lt;&gt;""),"Escriba la subactividad en otra fila, debajo de su macroactividad"&amp;" · ","")&amp;IF(AND($S296="Sub",N($R296)=0),"Subactividad sin macroactividad arriba"&amp;" · ","")&amp;IF($D296="","Sin responsable"&amp;" · ","")&amp;IF($E296="","Sin fecha de inicio"&amp;" · ","")&amp;IF($F296="","Sin fecha límite"&amp;" · ","")&amp;IF(OR(AND($E296&lt;&gt;"",NOT(ISNUMBER($E296))),AND($F296&lt;&gt;"",NOT(ISNUMBER($F296)))),"Fecha no válida"&amp;" · ","")&amp;IF(AND(ISNUMBER($E296),ISNUMBER($F296),$E296&gt;$F296),"Inicio posterior a fecha límite"&amp;" · ","")&amp;IF(AND($S296="Macro",$G296=""),"Peso vacío"&amp;" · ","")&amp;IF(AND($S296="Macro",$G296&lt;&gt;"",OR(NOT(ISNUMBER($G296)),$G296&lt;=0,$G296&gt;1)),"Peso fuera de rango"&amp;" · ","")&amp;IF(AND($S296="Sub",$G296&lt;&gt;""),"Las subactividades no llevan peso"&amp;" · ","")&amp;IF(AND($S296="Macro",ABS(SUMIFS($G$5:$G$1000,$P$5:$P$1000,$P296,$S$5:$S$1000,"Macro")-1)&gt;0.0001),"Pesos del mes suman "&amp;TEXT(SUMIFS($G$5:$G$1000,$P$5:$P$1000,$P296,$S$5:$S$1000,"Macro"),"0%")&amp;" · ","")&amp;IF(AND(N($T296)&gt;0,COUNT($H296:$K296)&gt;0),"Con subactividades: deje vacías las semanas (se calculan solas)"&amp;" · ","")&amp;IF((COUNTIF($H296:$K296,"&gt;1")+COUNTIF($H296:$K296,"&lt;0")+COUNTA($H296:$K296)-COUNT($H296:$K296))&gt;0,"Avance fuera de rango 0-100%"&amp;" · ","")&amp;IF(OR(AND($I296&lt;&gt;"",$I296&lt;$H296),AND($J296&lt;&gt;"",$J296&lt;MAX($H296:$I296)),AND($K296&lt;&gt;"",$K296&lt;MAX($H296:$J296))),"Avance semanal decreciente"&amp;" · ","")&amp;IF(AND(ISNUMBER($F296),$F296&lt;FechaRef,N($L296)&lt;1),"Vencida"&amp;" · ","")&amp;IF(AND(ObsObligatoria="Sí",ISNUMBER($F296),$F296&lt;FechaRef,N($L296)&lt;1,$N296=""),"Vencida sin observación"&amp;" · ",""))-3)))</f>
        <v/>
      </c>
      <c r="P296" s="69">
        <f>IF(NOT((COUNTA($B296:$K296)+COUNTA($N296))&gt;0),"",IF(AND($S296="Sub",N($R296)&gt;0),IF(ISNUMBER(INDEX($E$5:$E$1000,$R296-4)),DATE(YEAR(INDEX($E$5:$E$1000,$R296-4)),MONTH(INDEX($E$5:$E$1000,$R296-4)),1),IF(ISNUMBER(INDEX($F$5:$F$1000,$R296-4)),DATE(YEAR(INDEX($F$5:$F$1000,$R296-4)),MONTH(INDEX($F$5:$F$1000,$R296-4)),1),MesCiclo)),IF(ISNUMBER($E296),DATE(YEAR($E296),MONTH($E296),1),IF(ISNUMBER($F296),DATE(YEAR($F296),MONTH($F296),1),MesCiclo))))</f>
        <v/>
      </c>
      <c r="Q296" s="70">
        <f>IF(OR($P296="",$P296&lt;&gt;MesCiclo),"",COUNTIF($P$5:$P296,MesCiclo))</f>
        <v/>
      </c>
      <c r="R296" s="70">
        <f>IF($S296="","",IF($S296="Macro",ROW(),IFERROR(LOOKUP(2,1/($S$5:$S296="Macro"),ROW($S$5:$S296)),0)))</f>
        <v/>
      </c>
      <c r="S296" s="70">
        <f>IF(NOT((COUNTA($B296:$K296)+COUNTA($N296))&gt;0),"",IF($B296&lt;&gt;"","Macro",IF($C296&lt;&gt;"","Sub","Macro")))</f>
        <v/>
      </c>
      <c r="T296" s="70">
        <f>IF($S296="Macro",COUNTIFS($R$5:$R$1000,ROW(),$S$5:$S$1000,"Sub"),"")</f>
        <v/>
      </c>
      <c r="U296" s="70">
        <f>IF($S296="","",IF(ISNUMBER($H296),$H296,0))</f>
        <v/>
      </c>
      <c r="V296" s="70">
        <f>IF($S296="","",IF(ISNUMBER($I296),$I296,$U296))</f>
        <v/>
      </c>
      <c r="W296" s="70">
        <f>IF($S296="","",IF(ISNUMBER($J296),$J296,$V296))</f>
        <v/>
      </c>
      <c r="X296" s="70">
        <f>IF($S296="","",IF(ISNUMBER($K296),$K296,$W296))</f>
        <v/>
      </c>
      <c r="Y296" s="70">
        <f>IF($S296="","",IF(N($T296)&gt;0,AVERAGEIFS($U$5:$U$1000,$R$5:$R$1000,ROW(),$S$5:$S$1000,"Sub"),$U296))</f>
        <v/>
      </c>
      <c r="Z296" s="70">
        <f>IF($S296="","",IF(N($T296)&gt;0,AVERAGEIFS($V$5:$V$1000,$R$5:$R$1000,ROW(),$S$5:$S$1000,"Sub"),$V296))</f>
        <v/>
      </c>
      <c r="AA296" s="70">
        <f>IF($S296="","",IF(N($T296)&gt;0,AVERAGEIFS($W$5:$W$1000,$R$5:$R$1000,ROW(),$S$5:$S$1000,"Sub"),$W296))</f>
        <v/>
      </c>
      <c r="AB296" s="70">
        <f>IF($S296="","",IF(N($T296)&gt;0,AVERAGEIFS($X$5:$X$1000,$R$5:$R$1000,ROW(),$S$5:$S$1000,"Sub"),$X296))</f>
        <v/>
      </c>
    </row>
    <row r="297">
      <c r="A297" s="61">
        <f>IF(NOT((COUNTA($B297:$K297)+COUNTA($N297))&gt;0),"",IF($S297="Macro",COUNTIFS($S$5:$S297,"Macro",$P$5:$P297,$P297),IF(N($R297)=0,"?",COUNTIFS(INDEX($S$5:$S$1000,1):INDEX($S$5:$S$1000,$R297-4),"Macro",INDEX($P$5:$P$1000,1):INDEX($P$5:$P$1000,$R297-4),INDEX($P$5:$P$1000,$R297-4))&amp;"."&amp;COUNTIFS($R$5:$R297,$R297,$S$5:$S297,"Sub"))))</f>
        <v/>
      </c>
      <c r="B297" s="62" t="n"/>
      <c r="C297" s="63" t="n"/>
      <c r="D297" s="62" t="n"/>
      <c r="E297" s="64" t="n"/>
      <c r="F297" s="64" t="n"/>
      <c r="G297" s="65" t="n"/>
      <c r="H297" s="66" t="n"/>
      <c r="I297" s="66" t="n"/>
      <c r="J297" s="66" t="n"/>
      <c r="K297" s="66" t="n"/>
      <c r="L297" s="67">
        <f>IF(NOT((COUNTA($B297:$K297)+COUNTA($N297))&gt;0),"",IF(N($T297)&gt;0,$AB297,IFERROR(LOOKUP(2,1/(H297:K297&lt;&gt;""),H297:K297),0)))</f>
        <v/>
      </c>
      <c r="M297" s="61">
        <f>IF(L297="","",IF(L297&gt;=1,"Completado",IF(L297&gt;0,"En curso","Pendiente")))</f>
        <v/>
      </c>
      <c r="N297" s="62" t="n"/>
      <c r="O297" s="68">
        <f>IF(NOT((COUNTA($B297:$K297)+COUNTA($N297))&gt;0),"",IF((IF(AND($S297="Macro",$B297=""),"Macroactividad vacía"&amp;" · ","")&amp;IF(AND($B297&lt;&gt;"",$C297&lt;&gt;""),"Escriba la subactividad en otra fila, debajo de su macroactividad"&amp;" · ","")&amp;IF(AND($S297="Sub",N($R297)=0),"Subactividad sin macroactividad arriba"&amp;" · ","")&amp;IF($D297="","Sin responsable"&amp;" · ","")&amp;IF($E297="","Sin fecha de inicio"&amp;" · ","")&amp;IF($F297="","Sin fecha límite"&amp;" · ","")&amp;IF(OR(AND($E297&lt;&gt;"",NOT(ISNUMBER($E297))),AND($F297&lt;&gt;"",NOT(ISNUMBER($F297)))),"Fecha no válida"&amp;" · ","")&amp;IF(AND(ISNUMBER($E297),ISNUMBER($F297),$E297&gt;$F297),"Inicio posterior a fecha límite"&amp;" · ","")&amp;IF(AND($S297="Macro",$G297=""),"Peso vacío"&amp;" · ","")&amp;IF(AND($S297="Macro",$G297&lt;&gt;"",OR(NOT(ISNUMBER($G297)),$G297&lt;=0,$G297&gt;1)),"Peso fuera de rango"&amp;" · ","")&amp;IF(AND($S297="Sub",$G297&lt;&gt;""),"Las subactividades no llevan peso"&amp;" · ","")&amp;IF(AND($S297="Macro",ABS(SUMIFS($G$5:$G$1000,$P$5:$P$1000,$P297,$S$5:$S$1000,"Macro")-1)&gt;0.0001),"Pesos del mes suman "&amp;TEXT(SUMIFS($G$5:$G$1000,$P$5:$P$1000,$P297,$S$5:$S$1000,"Macro"),"0%")&amp;" · ","")&amp;IF(AND(N($T297)&gt;0,COUNT($H297:$K297)&gt;0),"Con subactividades: deje vacías las semanas (se calculan solas)"&amp;" · ","")&amp;IF((COUNTIF($H297:$K297,"&gt;1")+COUNTIF($H297:$K297,"&lt;0")+COUNTA($H297:$K297)-COUNT($H297:$K297))&gt;0,"Avance fuera de rango 0-100%"&amp;" · ","")&amp;IF(OR(AND($I297&lt;&gt;"",$I297&lt;$H297),AND($J297&lt;&gt;"",$J297&lt;MAX($H297:$I297)),AND($K297&lt;&gt;"",$K297&lt;MAX($H297:$J297))),"Avance semanal decreciente"&amp;" · ","")&amp;IF(AND(ISNUMBER($F297),$F297&lt;FechaRef,N($L297)&lt;1),"Vencida"&amp;" · ","")&amp;IF(AND(ObsObligatoria="Sí",ISNUMBER($F297),$F297&lt;FechaRef,N($L297)&lt;1,$N297=""),"Vencida sin observación"&amp;" · ",""))="","✔ OK","⚠ "&amp;LEFT(IF(AND($S297="Macro",$B297=""),"Macroactividad vacía"&amp;" · ","")&amp;IF(AND($B297&lt;&gt;"",$C297&lt;&gt;""),"Escriba la subactividad en otra fila, debajo de su macroactividad"&amp;" · ","")&amp;IF(AND($S297="Sub",N($R297)=0),"Subactividad sin macroactividad arriba"&amp;" · ","")&amp;IF($D297="","Sin responsable"&amp;" · ","")&amp;IF($E297="","Sin fecha de inicio"&amp;" · ","")&amp;IF($F297="","Sin fecha límite"&amp;" · ","")&amp;IF(OR(AND($E297&lt;&gt;"",NOT(ISNUMBER($E297))),AND($F297&lt;&gt;"",NOT(ISNUMBER($F297)))),"Fecha no válida"&amp;" · ","")&amp;IF(AND(ISNUMBER($E297),ISNUMBER($F297),$E297&gt;$F297),"Inicio posterior a fecha límite"&amp;" · ","")&amp;IF(AND($S297="Macro",$G297=""),"Peso vacío"&amp;" · ","")&amp;IF(AND($S297="Macro",$G297&lt;&gt;"",OR(NOT(ISNUMBER($G297)),$G297&lt;=0,$G297&gt;1)),"Peso fuera de rango"&amp;" · ","")&amp;IF(AND($S297="Sub",$G297&lt;&gt;""),"Las subactividades no llevan peso"&amp;" · ","")&amp;IF(AND($S297="Macro",ABS(SUMIFS($G$5:$G$1000,$P$5:$P$1000,$P297,$S$5:$S$1000,"Macro")-1)&gt;0.0001),"Pesos del mes suman "&amp;TEXT(SUMIFS($G$5:$G$1000,$P$5:$P$1000,$P297,$S$5:$S$1000,"Macro"),"0%")&amp;" · ","")&amp;IF(AND(N($T297)&gt;0,COUNT($H297:$K297)&gt;0),"Con subactividades: deje vacías las semanas (se calculan solas)"&amp;" · ","")&amp;IF((COUNTIF($H297:$K297,"&gt;1")+COUNTIF($H297:$K297,"&lt;0")+COUNTA($H297:$K297)-COUNT($H297:$K297))&gt;0,"Avance fuera de rango 0-100%"&amp;" · ","")&amp;IF(OR(AND($I297&lt;&gt;"",$I297&lt;$H297),AND($J297&lt;&gt;"",$J297&lt;MAX($H297:$I297)),AND($K297&lt;&gt;"",$K297&lt;MAX($H297:$J297))),"Avance semanal decreciente"&amp;" · ","")&amp;IF(AND(ISNUMBER($F297),$F297&lt;FechaRef,N($L297)&lt;1),"Vencida"&amp;" · ","")&amp;IF(AND(ObsObligatoria="Sí",ISNUMBER($F297),$F297&lt;FechaRef,N($L297)&lt;1,$N297=""),"Vencida sin observación"&amp;" · ",""),LEN(IF(AND($S297="Macro",$B297=""),"Macroactividad vacía"&amp;" · ","")&amp;IF(AND($B297&lt;&gt;"",$C297&lt;&gt;""),"Escriba la subactividad en otra fila, debajo de su macroactividad"&amp;" · ","")&amp;IF(AND($S297="Sub",N($R297)=0),"Subactividad sin macroactividad arriba"&amp;" · ","")&amp;IF($D297="","Sin responsable"&amp;" · ","")&amp;IF($E297="","Sin fecha de inicio"&amp;" · ","")&amp;IF($F297="","Sin fecha límite"&amp;" · ","")&amp;IF(OR(AND($E297&lt;&gt;"",NOT(ISNUMBER($E297))),AND($F297&lt;&gt;"",NOT(ISNUMBER($F297)))),"Fecha no válida"&amp;" · ","")&amp;IF(AND(ISNUMBER($E297),ISNUMBER($F297),$E297&gt;$F297),"Inicio posterior a fecha límite"&amp;" · ","")&amp;IF(AND($S297="Macro",$G297=""),"Peso vacío"&amp;" · ","")&amp;IF(AND($S297="Macro",$G297&lt;&gt;"",OR(NOT(ISNUMBER($G297)),$G297&lt;=0,$G297&gt;1)),"Peso fuera de rango"&amp;" · ","")&amp;IF(AND($S297="Sub",$G297&lt;&gt;""),"Las subactividades no llevan peso"&amp;" · ","")&amp;IF(AND($S297="Macro",ABS(SUMIFS($G$5:$G$1000,$P$5:$P$1000,$P297,$S$5:$S$1000,"Macro")-1)&gt;0.0001),"Pesos del mes suman "&amp;TEXT(SUMIFS($G$5:$G$1000,$P$5:$P$1000,$P297,$S$5:$S$1000,"Macro"),"0%")&amp;" · ","")&amp;IF(AND(N($T297)&gt;0,COUNT($H297:$K297)&gt;0),"Con subactividades: deje vacías las semanas (se calculan solas)"&amp;" · ","")&amp;IF((COUNTIF($H297:$K297,"&gt;1")+COUNTIF($H297:$K297,"&lt;0")+COUNTA($H297:$K297)-COUNT($H297:$K297))&gt;0,"Avance fuera de rango 0-100%"&amp;" · ","")&amp;IF(OR(AND($I297&lt;&gt;"",$I297&lt;$H297),AND($J297&lt;&gt;"",$J297&lt;MAX($H297:$I297)),AND($K297&lt;&gt;"",$K297&lt;MAX($H297:$J297))),"Avance semanal decreciente"&amp;" · ","")&amp;IF(AND(ISNUMBER($F297),$F297&lt;FechaRef,N($L297)&lt;1),"Vencida"&amp;" · ","")&amp;IF(AND(ObsObligatoria="Sí",ISNUMBER($F297),$F297&lt;FechaRef,N($L297)&lt;1,$N297=""),"Vencida sin observación"&amp;" · ",""))-3)))</f>
        <v/>
      </c>
      <c r="P297" s="69">
        <f>IF(NOT((COUNTA($B297:$K297)+COUNTA($N297))&gt;0),"",IF(AND($S297="Sub",N($R297)&gt;0),IF(ISNUMBER(INDEX($E$5:$E$1000,$R297-4)),DATE(YEAR(INDEX($E$5:$E$1000,$R297-4)),MONTH(INDEX($E$5:$E$1000,$R297-4)),1),IF(ISNUMBER(INDEX($F$5:$F$1000,$R297-4)),DATE(YEAR(INDEX($F$5:$F$1000,$R297-4)),MONTH(INDEX($F$5:$F$1000,$R297-4)),1),MesCiclo)),IF(ISNUMBER($E297),DATE(YEAR($E297),MONTH($E297),1),IF(ISNUMBER($F297),DATE(YEAR($F297),MONTH($F297),1),MesCiclo))))</f>
        <v/>
      </c>
      <c r="Q297" s="70">
        <f>IF(OR($P297="",$P297&lt;&gt;MesCiclo),"",COUNTIF($P$5:$P297,MesCiclo))</f>
        <v/>
      </c>
      <c r="R297" s="70">
        <f>IF($S297="","",IF($S297="Macro",ROW(),IFERROR(LOOKUP(2,1/($S$5:$S297="Macro"),ROW($S$5:$S297)),0)))</f>
        <v/>
      </c>
      <c r="S297" s="70">
        <f>IF(NOT((COUNTA($B297:$K297)+COUNTA($N297))&gt;0),"",IF($B297&lt;&gt;"","Macro",IF($C297&lt;&gt;"","Sub","Macro")))</f>
        <v/>
      </c>
      <c r="T297" s="70">
        <f>IF($S297="Macro",COUNTIFS($R$5:$R$1000,ROW(),$S$5:$S$1000,"Sub"),"")</f>
        <v/>
      </c>
      <c r="U297" s="70">
        <f>IF($S297="","",IF(ISNUMBER($H297),$H297,0))</f>
        <v/>
      </c>
      <c r="V297" s="70">
        <f>IF($S297="","",IF(ISNUMBER($I297),$I297,$U297))</f>
        <v/>
      </c>
      <c r="W297" s="70">
        <f>IF($S297="","",IF(ISNUMBER($J297),$J297,$V297))</f>
        <v/>
      </c>
      <c r="X297" s="70">
        <f>IF($S297="","",IF(ISNUMBER($K297),$K297,$W297))</f>
        <v/>
      </c>
      <c r="Y297" s="70">
        <f>IF($S297="","",IF(N($T297)&gt;0,AVERAGEIFS($U$5:$U$1000,$R$5:$R$1000,ROW(),$S$5:$S$1000,"Sub"),$U297))</f>
        <v/>
      </c>
      <c r="Z297" s="70">
        <f>IF($S297="","",IF(N($T297)&gt;0,AVERAGEIFS($V$5:$V$1000,$R$5:$R$1000,ROW(),$S$5:$S$1000,"Sub"),$V297))</f>
        <v/>
      </c>
      <c r="AA297" s="70">
        <f>IF($S297="","",IF(N($T297)&gt;0,AVERAGEIFS($W$5:$W$1000,$R$5:$R$1000,ROW(),$S$5:$S$1000,"Sub"),$W297))</f>
        <v/>
      </c>
      <c r="AB297" s="70">
        <f>IF($S297="","",IF(N($T297)&gt;0,AVERAGEIFS($X$5:$X$1000,$R$5:$R$1000,ROW(),$S$5:$S$1000,"Sub"),$X297))</f>
        <v/>
      </c>
    </row>
    <row r="298">
      <c r="A298" s="61">
        <f>IF(NOT((COUNTA($B298:$K298)+COUNTA($N298))&gt;0),"",IF($S298="Macro",COUNTIFS($S$5:$S298,"Macro",$P$5:$P298,$P298),IF(N($R298)=0,"?",COUNTIFS(INDEX($S$5:$S$1000,1):INDEX($S$5:$S$1000,$R298-4),"Macro",INDEX($P$5:$P$1000,1):INDEX($P$5:$P$1000,$R298-4),INDEX($P$5:$P$1000,$R298-4))&amp;"."&amp;COUNTIFS($R$5:$R298,$R298,$S$5:$S298,"Sub"))))</f>
        <v/>
      </c>
      <c r="B298" s="62" t="n"/>
      <c r="C298" s="63" t="n"/>
      <c r="D298" s="62" t="n"/>
      <c r="E298" s="64" t="n"/>
      <c r="F298" s="64" t="n"/>
      <c r="G298" s="65" t="n"/>
      <c r="H298" s="66" t="n"/>
      <c r="I298" s="66" t="n"/>
      <c r="J298" s="66" t="n"/>
      <c r="K298" s="66" t="n"/>
      <c r="L298" s="67">
        <f>IF(NOT((COUNTA($B298:$K298)+COUNTA($N298))&gt;0),"",IF(N($T298)&gt;0,$AB298,IFERROR(LOOKUP(2,1/(H298:K298&lt;&gt;""),H298:K298),0)))</f>
        <v/>
      </c>
      <c r="M298" s="61">
        <f>IF(L298="","",IF(L298&gt;=1,"Completado",IF(L298&gt;0,"En curso","Pendiente")))</f>
        <v/>
      </c>
      <c r="N298" s="62" t="n"/>
      <c r="O298" s="68">
        <f>IF(NOT((COUNTA($B298:$K298)+COUNTA($N298))&gt;0),"",IF((IF(AND($S298="Macro",$B298=""),"Macroactividad vacía"&amp;" · ","")&amp;IF(AND($B298&lt;&gt;"",$C298&lt;&gt;""),"Escriba la subactividad en otra fila, debajo de su macroactividad"&amp;" · ","")&amp;IF(AND($S298="Sub",N($R298)=0),"Subactividad sin macroactividad arriba"&amp;" · ","")&amp;IF($D298="","Sin responsable"&amp;" · ","")&amp;IF($E298="","Sin fecha de inicio"&amp;" · ","")&amp;IF($F298="","Sin fecha límite"&amp;" · ","")&amp;IF(OR(AND($E298&lt;&gt;"",NOT(ISNUMBER($E298))),AND($F298&lt;&gt;"",NOT(ISNUMBER($F298)))),"Fecha no válida"&amp;" · ","")&amp;IF(AND(ISNUMBER($E298),ISNUMBER($F298),$E298&gt;$F298),"Inicio posterior a fecha límite"&amp;" · ","")&amp;IF(AND($S298="Macro",$G298=""),"Peso vacío"&amp;" · ","")&amp;IF(AND($S298="Macro",$G298&lt;&gt;"",OR(NOT(ISNUMBER($G298)),$G298&lt;=0,$G298&gt;1)),"Peso fuera de rango"&amp;" · ","")&amp;IF(AND($S298="Sub",$G298&lt;&gt;""),"Las subactividades no llevan peso"&amp;" · ","")&amp;IF(AND($S298="Macro",ABS(SUMIFS($G$5:$G$1000,$P$5:$P$1000,$P298,$S$5:$S$1000,"Macro")-1)&gt;0.0001),"Pesos del mes suman "&amp;TEXT(SUMIFS($G$5:$G$1000,$P$5:$P$1000,$P298,$S$5:$S$1000,"Macro"),"0%")&amp;" · ","")&amp;IF(AND(N($T298)&gt;0,COUNT($H298:$K298)&gt;0),"Con subactividades: deje vacías las semanas (se calculan solas)"&amp;" · ","")&amp;IF((COUNTIF($H298:$K298,"&gt;1")+COUNTIF($H298:$K298,"&lt;0")+COUNTA($H298:$K298)-COUNT($H298:$K298))&gt;0,"Avance fuera de rango 0-100%"&amp;" · ","")&amp;IF(OR(AND($I298&lt;&gt;"",$I298&lt;$H298),AND($J298&lt;&gt;"",$J298&lt;MAX($H298:$I298)),AND($K298&lt;&gt;"",$K298&lt;MAX($H298:$J298))),"Avance semanal decreciente"&amp;" · ","")&amp;IF(AND(ISNUMBER($F298),$F298&lt;FechaRef,N($L298)&lt;1),"Vencida"&amp;" · ","")&amp;IF(AND(ObsObligatoria="Sí",ISNUMBER($F298),$F298&lt;FechaRef,N($L298)&lt;1,$N298=""),"Vencida sin observación"&amp;" · ",""))="","✔ OK","⚠ "&amp;LEFT(IF(AND($S298="Macro",$B298=""),"Macroactividad vacía"&amp;" · ","")&amp;IF(AND($B298&lt;&gt;"",$C298&lt;&gt;""),"Escriba la subactividad en otra fila, debajo de su macroactividad"&amp;" · ","")&amp;IF(AND($S298="Sub",N($R298)=0),"Subactividad sin macroactividad arriba"&amp;" · ","")&amp;IF($D298="","Sin responsable"&amp;" · ","")&amp;IF($E298="","Sin fecha de inicio"&amp;" · ","")&amp;IF($F298="","Sin fecha límite"&amp;" · ","")&amp;IF(OR(AND($E298&lt;&gt;"",NOT(ISNUMBER($E298))),AND($F298&lt;&gt;"",NOT(ISNUMBER($F298)))),"Fecha no válida"&amp;" · ","")&amp;IF(AND(ISNUMBER($E298),ISNUMBER($F298),$E298&gt;$F298),"Inicio posterior a fecha límite"&amp;" · ","")&amp;IF(AND($S298="Macro",$G298=""),"Peso vacío"&amp;" · ","")&amp;IF(AND($S298="Macro",$G298&lt;&gt;"",OR(NOT(ISNUMBER($G298)),$G298&lt;=0,$G298&gt;1)),"Peso fuera de rango"&amp;" · ","")&amp;IF(AND($S298="Sub",$G298&lt;&gt;""),"Las subactividades no llevan peso"&amp;" · ","")&amp;IF(AND($S298="Macro",ABS(SUMIFS($G$5:$G$1000,$P$5:$P$1000,$P298,$S$5:$S$1000,"Macro")-1)&gt;0.0001),"Pesos del mes suman "&amp;TEXT(SUMIFS($G$5:$G$1000,$P$5:$P$1000,$P298,$S$5:$S$1000,"Macro"),"0%")&amp;" · ","")&amp;IF(AND(N($T298)&gt;0,COUNT($H298:$K298)&gt;0),"Con subactividades: deje vacías las semanas (se calculan solas)"&amp;" · ","")&amp;IF((COUNTIF($H298:$K298,"&gt;1")+COUNTIF($H298:$K298,"&lt;0")+COUNTA($H298:$K298)-COUNT($H298:$K298))&gt;0,"Avance fuera de rango 0-100%"&amp;" · ","")&amp;IF(OR(AND($I298&lt;&gt;"",$I298&lt;$H298),AND($J298&lt;&gt;"",$J298&lt;MAX($H298:$I298)),AND($K298&lt;&gt;"",$K298&lt;MAX($H298:$J298))),"Avance semanal decreciente"&amp;" · ","")&amp;IF(AND(ISNUMBER($F298),$F298&lt;FechaRef,N($L298)&lt;1),"Vencida"&amp;" · ","")&amp;IF(AND(ObsObligatoria="Sí",ISNUMBER($F298),$F298&lt;FechaRef,N($L298)&lt;1,$N298=""),"Vencida sin observación"&amp;" · ",""),LEN(IF(AND($S298="Macro",$B298=""),"Macroactividad vacía"&amp;" · ","")&amp;IF(AND($B298&lt;&gt;"",$C298&lt;&gt;""),"Escriba la subactividad en otra fila, debajo de su macroactividad"&amp;" · ","")&amp;IF(AND($S298="Sub",N($R298)=0),"Subactividad sin macroactividad arriba"&amp;" · ","")&amp;IF($D298="","Sin responsable"&amp;" · ","")&amp;IF($E298="","Sin fecha de inicio"&amp;" · ","")&amp;IF($F298="","Sin fecha límite"&amp;" · ","")&amp;IF(OR(AND($E298&lt;&gt;"",NOT(ISNUMBER($E298))),AND($F298&lt;&gt;"",NOT(ISNUMBER($F298)))),"Fecha no válida"&amp;" · ","")&amp;IF(AND(ISNUMBER($E298),ISNUMBER($F298),$E298&gt;$F298),"Inicio posterior a fecha límite"&amp;" · ","")&amp;IF(AND($S298="Macro",$G298=""),"Peso vacío"&amp;" · ","")&amp;IF(AND($S298="Macro",$G298&lt;&gt;"",OR(NOT(ISNUMBER($G298)),$G298&lt;=0,$G298&gt;1)),"Peso fuera de rango"&amp;" · ","")&amp;IF(AND($S298="Sub",$G298&lt;&gt;""),"Las subactividades no llevan peso"&amp;" · ","")&amp;IF(AND($S298="Macro",ABS(SUMIFS($G$5:$G$1000,$P$5:$P$1000,$P298,$S$5:$S$1000,"Macro")-1)&gt;0.0001),"Pesos del mes suman "&amp;TEXT(SUMIFS($G$5:$G$1000,$P$5:$P$1000,$P298,$S$5:$S$1000,"Macro"),"0%")&amp;" · ","")&amp;IF(AND(N($T298)&gt;0,COUNT($H298:$K298)&gt;0),"Con subactividades: deje vacías las semanas (se calculan solas)"&amp;" · ","")&amp;IF((COUNTIF($H298:$K298,"&gt;1")+COUNTIF($H298:$K298,"&lt;0")+COUNTA($H298:$K298)-COUNT($H298:$K298))&gt;0,"Avance fuera de rango 0-100%"&amp;" · ","")&amp;IF(OR(AND($I298&lt;&gt;"",$I298&lt;$H298),AND($J298&lt;&gt;"",$J298&lt;MAX($H298:$I298)),AND($K298&lt;&gt;"",$K298&lt;MAX($H298:$J298))),"Avance semanal decreciente"&amp;" · ","")&amp;IF(AND(ISNUMBER($F298),$F298&lt;FechaRef,N($L298)&lt;1),"Vencida"&amp;" · ","")&amp;IF(AND(ObsObligatoria="Sí",ISNUMBER($F298),$F298&lt;FechaRef,N($L298)&lt;1,$N298=""),"Vencida sin observación"&amp;" · ",""))-3)))</f>
        <v/>
      </c>
      <c r="P298" s="69">
        <f>IF(NOT((COUNTA($B298:$K298)+COUNTA($N298))&gt;0),"",IF(AND($S298="Sub",N($R298)&gt;0),IF(ISNUMBER(INDEX($E$5:$E$1000,$R298-4)),DATE(YEAR(INDEX($E$5:$E$1000,$R298-4)),MONTH(INDEX($E$5:$E$1000,$R298-4)),1),IF(ISNUMBER(INDEX($F$5:$F$1000,$R298-4)),DATE(YEAR(INDEX($F$5:$F$1000,$R298-4)),MONTH(INDEX($F$5:$F$1000,$R298-4)),1),MesCiclo)),IF(ISNUMBER($E298),DATE(YEAR($E298),MONTH($E298),1),IF(ISNUMBER($F298),DATE(YEAR($F298),MONTH($F298),1),MesCiclo))))</f>
        <v/>
      </c>
      <c r="Q298" s="70">
        <f>IF(OR($P298="",$P298&lt;&gt;MesCiclo),"",COUNTIF($P$5:$P298,MesCiclo))</f>
        <v/>
      </c>
      <c r="R298" s="70">
        <f>IF($S298="","",IF($S298="Macro",ROW(),IFERROR(LOOKUP(2,1/($S$5:$S298="Macro"),ROW($S$5:$S298)),0)))</f>
        <v/>
      </c>
      <c r="S298" s="70">
        <f>IF(NOT((COUNTA($B298:$K298)+COUNTA($N298))&gt;0),"",IF($B298&lt;&gt;"","Macro",IF($C298&lt;&gt;"","Sub","Macro")))</f>
        <v/>
      </c>
      <c r="T298" s="70">
        <f>IF($S298="Macro",COUNTIFS($R$5:$R$1000,ROW(),$S$5:$S$1000,"Sub"),"")</f>
        <v/>
      </c>
      <c r="U298" s="70">
        <f>IF($S298="","",IF(ISNUMBER($H298),$H298,0))</f>
        <v/>
      </c>
      <c r="V298" s="70">
        <f>IF($S298="","",IF(ISNUMBER($I298),$I298,$U298))</f>
        <v/>
      </c>
      <c r="W298" s="70">
        <f>IF($S298="","",IF(ISNUMBER($J298),$J298,$V298))</f>
        <v/>
      </c>
      <c r="X298" s="70">
        <f>IF($S298="","",IF(ISNUMBER($K298),$K298,$W298))</f>
        <v/>
      </c>
      <c r="Y298" s="70">
        <f>IF($S298="","",IF(N($T298)&gt;0,AVERAGEIFS($U$5:$U$1000,$R$5:$R$1000,ROW(),$S$5:$S$1000,"Sub"),$U298))</f>
        <v/>
      </c>
      <c r="Z298" s="70">
        <f>IF($S298="","",IF(N($T298)&gt;0,AVERAGEIFS($V$5:$V$1000,$R$5:$R$1000,ROW(),$S$5:$S$1000,"Sub"),$V298))</f>
        <v/>
      </c>
      <c r="AA298" s="70">
        <f>IF($S298="","",IF(N($T298)&gt;0,AVERAGEIFS($W$5:$W$1000,$R$5:$R$1000,ROW(),$S$5:$S$1000,"Sub"),$W298))</f>
        <v/>
      </c>
      <c r="AB298" s="70">
        <f>IF($S298="","",IF(N($T298)&gt;0,AVERAGEIFS($X$5:$X$1000,$R$5:$R$1000,ROW(),$S$5:$S$1000,"Sub"),$X298))</f>
        <v/>
      </c>
    </row>
    <row r="299">
      <c r="A299" s="61">
        <f>IF(NOT((COUNTA($B299:$K299)+COUNTA($N299))&gt;0),"",IF($S299="Macro",COUNTIFS($S$5:$S299,"Macro",$P$5:$P299,$P299),IF(N($R299)=0,"?",COUNTIFS(INDEX($S$5:$S$1000,1):INDEX($S$5:$S$1000,$R299-4),"Macro",INDEX($P$5:$P$1000,1):INDEX($P$5:$P$1000,$R299-4),INDEX($P$5:$P$1000,$R299-4))&amp;"."&amp;COUNTIFS($R$5:$R299,$R299,$S$5:$S299,"Sub"))))</f>
        <v/>
      </c>
      <c r="B299" s="62" t="n"/>
      <c r="C299" s="63" t="n"/>
      <c r="D299" s="62" t="n"/>
      <c r="E299" s="64" t="n"/>
      <c r="F299" s="64" t="n"/>
      <c r="G299" s="65" t="n"/>
      <c r="H299" s="66" t="n"/>
      <c r="I299" s="66" t="n"/>
      <c r="J299" s="66" t="n"/>
      <c r="K299" s="66" t="n"/>
      <c r="L299" s="67">
        <f>IF(NOT((COUNTA($B299:$K299)+COUNTA($N299))&gt;0),"",IF(N($T299)&gt;0,$AB299,IFERROR(LOOKUP(2,1/(H299:K299&lt;&gt;""),H299:K299),0)))</f>
        <v/>
      </c>
      <c r="M299" s="61">
        <f>IF(L299="","",IF(L299&gt;=1,"Completado",IF(L299&gt;0,"En curso","Pendiente")))</f>
        <v/>
      </c>
      <c r="N299" s="62" t="n"/>
      <c r="O299" s="68">
        <f>IF(NOT((COUNTA($B299:$K299)+COUNTA($N299))&gt;0),"",IF((IF(AND($S299="Macro",$B299=""),"Macroactividad vacía"&amp;" · ","")&amp;IF(AND($B299&lt;&gt;"",$C299&lt;&gt;""),"Escriba la subactividad en otra fila, debajo de su macroactividad"&amp;" · ","")&amp;IF(AND($S299="Sub",N($R299)=0),"Subactividad sin macroactividad arriba"&amp;" · ","")&amp;IF($D299="","Sin responsable"&amp;" · ","")&amp;IF($E299="","Sin fecha de inicio"&amp;" · ","")&amp;IF($F299="","Sin fecha límite"&amp;" · ","")&amp;IF(OR(AND($E299&lt;&gt;"",NOT(ISNUMBER($E299))),AND($F299&lt;&gt;"",NOT(ISNUMBER($F299)))),"Fecha no válida"&amp;" · ","")&amp;IF(AND(ISNUMBER($E299),ISNUMBER($F299),$E299&gt;$F299),"Inicio posterior a fecha límite"&amp;" · ","")&amp;IF(AND($S299="Macro",$G299=""),"Peso vacío"&amp;" · ","")&amp;IF(AND($S299="Macro",$G299&lt;&gt;"",OR(NOT(ISNUMBER($G299)),$G299&lt;=0,$G299&gt;1)),"Peso fuera de rango"&amp;" · ","")&amp;IF(AND($S299="Sub",$G299&lt;&gt;""),"Las subactividades no llevan peso"&amp;" · ","")&amp;IF(AND($S299="Macro",ABS(SUMIFS($G$5:$G$1000,$P$5:$P$1000,$P299,$S$5:$S$1000,"Macro")-1)&gt;0.0001),"Pesos del mes suman "&amp;TEXT(SUMIFS($G$5:$G$1000,$P$5:$P$1000,$P299,$S$5:$S$1000,"Macro"),"0%")&amp;" · ","")&amp;IF(AND(N($T299)&gt;0,COUNT($H299:$K299)&gt;0),"Con subactividades: deje vacías las semanas (se calculan solas)"&amp;" · ","")&amp;IF((COUNTIF($H299:$K299,"&gt;1")+COUNTIF($H299:$K299,"&lt;0")+COUNTA($H299:$K299)-COUNT($H299:$K299))&gt;0,"Avance fuera de rango 0-100%"&amp;" · ","")&amp;IF(OR(AND($I299&lt;&gt;"",$I299&lt;$H299),AND($J299&lt;&gt;"",$J299&lt;MAX($H299:$I299)),AND($K299&lt;&gt;"",$K299&lt;MAX($H299:$J299))),"Avance semanal decreciente"&amp;" · ","")&amp;IF(AND(ISNUMBER($F299),$F299&lt;FechaRef,N($L299)&lt;1),"Vencida"&amp;" · ","")&amp;IF(AND(ObsObligatoria="Sí",ISNUMBER($F299),$F299&lt;FechaRef,N($L299)&lt;1,$N299=""),"Vencida sin observación"&amp;" · ",""))="","✔ OK","⚠ "&amp;LEFT(IF(AND($S299="Macro",$B299=""),"Macroactividad vacía"&amp;" · ","")&amp;IF(AND($B299&lt;&gt;"",$C299&lt;&gt;""),"Escriba la subactividad en otra fila, debajo de su macroactividad"&amp;" · ","")&amp;IF(AND($S299="Sub",N($R299)=0),"Subactividad sin macroactividad arriba"&amp;" · ","")&amp;IF($D299="","Sin responsable"&amp;" · ","")&amp;IF($E299="","Sin fecha de inicio"&amp;" · ","")&amp;IF($F299="","Sin fecha límite"&amp;" · ","")&amp;IF(OR(AND($E299&lt;&gt;"",NOT(ISNUMBER($E299))),AND($F299&lt;&gt;"",NOT(ISNUMBER($F299)))),"Fecha no válida"&amp;" · ","")&amp;IF(AND(ISNUMBER($E299),ISNUMBER($F299),$E299&gt;$F299),"Inicio posterior a fecha límite"&amp;" · ","")&amp;IF(AND($S299="Macro",$G299=""),"Peso vacío"&amp;" · ","")&amp;IF(AND($S299="Macro",$G299&lt;&gt;"",OR(NOT(ISNUMBER($G299)),$G299&lt;=0,$G299&gt;1)),"Peso fuera de rango"&amp;" · ","")&amp;IF(AND($S299="Sub",$G299&lt;&gt;""),"Las subactividades no llevan peso"&amp;" · ","")&amp;IF(AND($S299="Macro",ABS(SUMIFS($G$5:$G$1000,$P$5:$P$1000,$P299,$S$5:$S$1000,"Macro")-1)&gt;0.0001),"Pesos del mes suman "&amp;TEXT(SUMIFS($G$5:$G$1000,$P$5:$P$1000,$P299,$S$5:$S$1000,"Macro"),"0%")&amp;" · ","")&amp;IF(AND(N($T299)&gt;0,COUNT($H299:$K299)&gt;0),"Con subactividades: deje vacías las semanas (se calculan solas)"&amp;" · ","")&amp;IF((COUNTIF($H299:$K299,"&gt;1")+COUNTIF($H299:$K299,"&lt;0")+COUNTA($H299:$K299)-COUNT($H299:$K299))&gt;0,"Avance fuera de rango 0-100%"&amp;" · ","")&amp;IF(OR(AND($I299&lt;&gt;"",$I299&lt;$H299),AND($J299&lt;&gt;"",$J299&lt;MAX($H299:$I299)),AND($K299&lt;&gt;"",$K299&lt;MAX($H299:$J299))),"Avance semanal decreciente"&amp;" · ","")&amp;IF(AND(ISNUMBER($F299),$F299&lt;FechaRef,N($L299)&lt;1),"Vencida"&amp;" · ","")&amp;IF(AND(ObsObligatoria="Sí",ISNUMBER($F299),$F299&lt;FechaRef,N($L299)&lt;1,$N299=""),"Vencida sin observación"&amp;" · ",""),LEN(IF(AND($S299="Macro",$B299=""),"Macroactividad vacía"&amp;" · ","")&amp;IF(AND($B299&lt;&gt;"",$C299&lt;&gt;""),"Escriba la subactividad en otra fila, debajo de su macroactividad"&amp;" · ","")&amp;IF(AND($S299="Sub",N($R299)=0),"Subactividad sin macroactividad arriba"&amp;" · ","")&amp;IF($D299="","Sin responsable"&amp;" · ","")&amp;IF($E299="","Sin fecha de inicio"&amp;" · ","")&amp;IF($F299="","Sin fecha límite"&amp;" · ","")&amp;IF(OR(AND($E299&lt;&gt;"",NOT(ISNUMBER($E299))),AND($F299&lt;&gt;"",NOT(ISNUMBER($F299)))),"Fecha no válida"&amp;" · ","")&amp;IF(AND(ISNUMBER($E299),ISNUMBER($F299),$E299&gt;$F299),"Inicio posterior a fecha límite"&amp;" · ","")&amp;IF(AND($S299="Macro",$G299=""),"Peso vacío"&amp;" · ","")&amp;IF(AND($S299="Macro",$G299&lt;&gt;"",OR(NOT(ISNUMBER($G299)),$G299&lt;=0,$G299&gt;1)),"Peso fuera de rango"&amp;" · ","")&amp;IF(AND($S299="Sub",$G299&lt;&gt;""),"Las subactividades no llevan peso"&amp;" · ","")&amp;IF(AND($S299="Macro",ABS(SUMIFS($G$5:$G$1000,$P$5:$P$1000,$P299,$S$5:$S$1000,"Macro")-1)&gt;0.0001),"Pesos del mes suman "&amp;TEXT(SUMIFS($G$5:$G$1000,$P$5:$P$1000,$P299,$S$5:$S$1000,"Macro"),"0%")&amp;" · ","")&amp;IF(AND(N($T299)&gt;0,COUNT($H299:$K299)&gt;0),"Con subactividades: deje vacías las semanas (se calculan solas)"&amp;" · ","")&amp;IF((COUNTIF($H299:$K299,"&gt;1")+COUNTIF($H299:$K299,"&lt;0")+COUNTA($H299:$K299)-COUNT($H299:$K299))&gt;0,"Avance fuera de rango 0-100%"&amp;" · ","")&amp;IF(OR(AND($I299&lt;&gt;"",$I299&lt;$H299),AND($J299&lt;&gt;"",$J299&lt;MAX($H299:$I299)),AND($K299&lt;&gt;"",$K299&lt;MAX($H299:$J299))),"Avance semanal decreciente"&amp;" · ","")&amp;IF(AND(ISNUMBER($F299),$F299&lt;FechaRef,N($L299)&lt;1),"Vencida"&amp;" · ","")&amp;IF(AND(ObsObligatoria="Sí",ISNUMBER($F299),$F299&lt;FechaRef,N($L299)&lt;1,$N299=""),"Vencida sin observación"&amp;" · ",""))-3)))</f>
        <v/>
      </c>
      <c r="P299" s="69">
        <f>IF(NOT((COUNTA($B299:$K299)+COUNTA($N299))&gt;0),"",IF(AND($S299="Sub",N($R299)&gt;0),IF(ISNUMBER(INDEX($E$5:$E$1000,$R299-4)),DATE(YEAR(INDEX($E$5:$E$1000,$R299-4)),MONTH(INDEX($E$5:$E$1000,$R299-4)),1),IF(ISNUMBER(INDEX($F$5:$F$1000,$R299-4)),DATE(YEAR(INDEX($F$5:$F$1000,$R299-4)),MONTH(INDEX($F$5:$F$1000,$R299-4)),1),MesCiclo)),IF(ISNUMBER($E299),DATE(YEAR($E299),MONTH($E299),1),IF(ISNUMBER($F299),DATE(YEAR($F299),MONTH($F299),1),MesCiclo))))</f>
        <v/>
      </c>
      <c r="Q299" s="70">
        <f>IF(OR($P299="",$P299&lt;&gt;MesCiclo),"",COUNTIF($P$5:$P299,MesCiclo))</f>
        <v/>
      </c>
      <c r="R299" s="70">
        <f>IF($S299="","",IF($S299="Macro",ROW(),IFERROR(LOOKUP(2,1/($S$5:$S299="Macro"),ROW($S$5:$S299)),0)))</f>
        <v/>
      </c>
      <c r="S299" s="70">
        <f>IF(NOT((COUNTA($B299:$K299)+COUNTA($N299))&gt;0),"",IF($B299&lt;&gt;"","Macro",IF($C299&lt;&gt;"","Sub","Macro")))</f>
        <v/>
      </c>
      <c r="T299" s="70">
        <f>IF($S299="Macro",COUNTIFS($R$5:$R$1000,ROW(),$S$5:$S$1000,"Sub"),"")</f>
        <v/>
      </c>
      <c r="U299" s="70">
        <f>IF($S299="","",IF(ISNUMBER($H299),$H299,0))</f>
        <v/>
      </c>
      <c r="V299" s="70">
        <f>IF($S299="","",IF(ISNUMBER($I299),$I299,$U299))</f>
        <v/>
      </c>
      <c r="W299" s="70">
        <f>IF($S299="","",IF(ISNUMBER($J299),$J299,$V299))</f>
        <v/>
      </c>
      <c r="X299" s="70">
        <f>IF($S299="","",IF(ISNUMBER($K299),$K299,$W299))</f>
        <v/>
      </c>
      <c r="Y299" s="70">
        <f>IF($S299="","",IF(N($T299)&gt;0,AVERAGEIFS($U$5:$U$1000,$R$5:$R$1000,ROW(),$S$5:$S$1000,"Sub"),$U299))</f>
        <v/>
      </c>
      <c r="Z299" s="70">
        <f>IF($S299="","",IF(N($T299)&gt;0,AVERAGEIFS($V$5:$V$1000,$R$5:$R$1000,ROW(),$S$5:$S$1000,"Sub"),$V299))</f>
        <v/>
      </c>
      <c r="AA299" s="70">
        <f>IF($S299="","",IF(N($T299)&gt;0,AVERAGEIFS($W$5:$W$1000,$R$5:$R$1000,ROW(),$S$5:$S$1000,"Sub"),$W299))</f>
        <v/>
      </c>
      <c r="AB299" s="70">
        <f>IF($S299="","",IF(N($T299)&gt;0,AVERAGEIFS($X$5:$X$1000,$R$5:$R$1000,ROW(),$S$5:$S$1000,"Sub"),$X299))</f>
        <v/>
      </c>
    </row>
    <row r="300">
      <c r="A300" s="61">
        <f>IF(NOT((COUNTA($B300:$K300)+COUNTA($N300))&gt;0),"",IF($S300="Macro",COUNTIFS($S$5:$S300,"Macro",$P$5:$P300,$P300),IF(N($R300)=0,"?",COUNTIFS(INDEX($S$5:$S$1000,1):INDEX($S$5:$S$1000,$R300-4),"Macro",INDEX($P$5:$P$1000,1):INDEX($P$5:$P$1000,$R300-4),INDEX($P$5:$P$1000,$R300-4))&amp;"."&amp;COUNTIFS($R$5:$R300,$R300,$S$5:$S300,"Sub"))))</f>
        <v/>
      </c>
      <c r="B300" s="62" t="n"/>
      <c r="C300" s="63" t="n"/>
      <c r="D300" s="62" t="n"/>
      <c r="E300" s="64" t="n"/>
      <c r="F300" s="64" t="n"/>
      <c r="G300" s="65" t="n"/>
      <c r="H300" s="66" t="n"/>
      <c r="I300" s="66" t="n"/>
      <c r="J300" s="66" t="n"/>
      <c r="K300" s="66" t="n"/>
      <c r="L300" s="67">
        <f>IF(NOT((COUNTA($B300:$K300)+COUNTA($N300))&gt;0),"",IF(N($T300)&gt;0,$AB300,IFERROR(LOOKUP(2,1/(H300:K300&lt;&gt;""),H300:K300),0)))</f>
        <v/>
      </c>
      <c r="M300" s="61">
        <f>IF(L300="","",IF(L300&gt;=1,"Completado",IF(L300&gt;0,"En curso","Pendiente")))</f>
        <v/>
      </c>
      <c r="N300" s="62" t="n"/>
      <c r="O300" s="68">
        <f>IF(NOT((COUNTA($B300:$K300)+COUNTA($N300))&gt;0),"",IF((IF(AND($S300="Macro",$B300=""),"Macroactividad vacía"&amp;" · ","")&amp;IF(AND($B300&lt;&gt;"",$C300&lt;&gt;""),"Escriba la subactividad en otra fila, debajo de su macroactividad"&amp;" · ","")&amp;IF(AND($S300="Sub",N($R300)=0),"Subactividad sin macroactividad arriba"&amp;" · ","")&amp;IF($D300="","Sin responsable"&amp;" · ","")&amp;IF($E300="","Sin fecha de inicio"&amp;" · ","")&amp;IF($F300="","Sin fecha límite"&amp;" · ","")&amp;IF(OR(AND($E300&lt;&gt;"",NOT(ISNUMBER($E300))),AND($F300&lt;&gt;"",NOT(ISNUMBER($F300)))),"Fecha no válida"&amp;" · ","")&amp;IF(AND(ISNUMBER($E300),ISNUMBER($F300),$E300&gt;$F300),"Inicio posterior a fecha límite"&amp;" · ","")&amp;IF(AND($S300="Macro",$G300=""),"Peso vacío"&amp;" · ","")&amp;IF(AND($S300="Macro",$G300&lt;&gt;"",OR(NOT(ISNUMBER($G300)),$G300&lt;=0,$G300&gt;1)),"Peso fuera de rango"&amp;" · ","")&amp;IF(AND($S300="Sub",$G300&lt;&gt;""),"Las subactividades no llevan peso"&amp;" · ","")&amp;IF(AND($S300="Macro",ABS(SUMIFS($G$5:$G$1000,$P$5:$P$1000,$P300,$S$5:$S$1000,"Macro")-1)&gt;0.0001),"Pesos del mes suman "&amp;TEXT(SUMIFS($G$5:$G$1000,$P$5:$P$1000,$P300,$S$5:$S$1000,"Macro"),"0%")&amp;" · ","")&amp;IF(AND(N($T300)&gt;0,COUNT($H300:$K300)&gt;0),"Con subactividades: deje vacías las semanas (se calculan solas)"&amp;" · ","")&amp;IF((COUNTIF($H300:$K300,"&gt;1")+COUNTIF($H300:$K300,"&lt;0")+COUNTA($H300:$K300)-COUNT($H300:$K300))&gt;0,"Avance fuera de rango 0-100%"&amp;" · ","")&amp;IF(OR(AND($I300&lt;&gt;"",$I300&lt;$H300),AND($J300&lt;&gt;"",$J300&lt;MAX($H300:$I300)),AND($K300&lt;&gt;"",$K300&lt;MAX($H300:$J300))),"Avance semanal decreciente"&amp;" · ","")&amp;IF(AND(ISNUMBER($F300),$F300&lt;FechaRef,N($L300)&lt;1),"Vencida"&amp;" · ","")&amp;IF(AND(ObsObligatoria="Sí",ISNUMBER($F300),$F300&lt;FechaRef,N($L300)&lt;1,$N300=""),"Vencida sin observación"&amp;" · ",""))="","✔ OK","⚠ "&amp;LEFT(IF(AND($S300="Macro",$B300=""),"Macroactividad vacía"&amp;" · ","")&amp;IF(AND($B300&lt;&gt;"",$C300&lt;&gt;""),"Escriba la subactividad en otra fila, debajo de su macroactividad"&amp;" · ","")&amp;IF(AND($S300="Sub",N($R300)=0),"Subactividad sin macroactividad arriba"&amp;" · ","")&amp;IF($D300="","Sin responsable"&amp;" · ","")&amp;IF($E300="","Sin fecha de inicio"&amp;" · ","")&amp;IF($F300="","Sin fecha límite"&amp;" · ","")&amp;IF(OR(AND($E300&lt;&gt;"",NOT(ISNUMBER($E300))),AND($F300&lt;&gt;"",NOT(ISNUMBER($F300)))),"Fecha no válida"&amp;" · ","")&amp;IF(AND(ISNUMBER($E300),ISNUMBER($F300),$E300&gt;$F300),"Inicio posterior a fecha límite"&amp;" · ","")&amp;IF(AND($S300="Macro",$G300=""),"Peso vacío"&amp;" · ","")&amp;IF(AND($S300="Macro",$G300&lt;&gt;"",OR(NOT(ISNUMBER($G300)),$G300&lt;=0,$G300&gt;1)),"Peso fuera de rango"&amp;" · ","")&amp;IF(AND($S300="Sub",$G300&lt;&gt;""),"Las subactividades no llevan peso"&amp;" · ","")&amp;IF(AND($S300="Macro",ABS(SUMIFS($G$5:$G$1000,$P$5:$P$1000,$P300,$S$5:$S$1000,"Macro")-1)&gt;0.0001),"Pesos del mes suman "&amp;TEXT(SUMIFS($G$5:$G$1000,$P$5:$P$1000,$P300,$S$5:$S$1000,"Macro"),"0%")&amp;" · ","")&amp;IF(AND(N($T300)&gt;0,COUNT($H300:$K300)&gt;0),"Con subactividades: deje vacías las semanas (se calculan solas)"&amp;" · ","")&amp;IF((COUNTIF($H300:$K300,"&gt;1")+COUNTIF($H300:$K300,"&lt;0")+COUNTA($H300:$K300)-COUNT($H300:$K300))&gt;0,"Avance fuera de rango 0-100%"&amp;" · ","")&amp;IF(OR(AND($I300&lt;&gt;"",$I300&lt;$H300),AND($J300&lt;&gt;"",$J300&lt;MAX($H300:$I300)),AND($K300&lt;&gt;"",$K300&lt;MAX($H300:$J300))),"Avance semanal decreciente"&amp;" · ","")&amp;IF(AND(ISNUMBER($F300),$F300&lt;FechaRef,N($L300)&lt;1),"Vencida"&amp;" · ","")&amp;IF(AND(ObsObligatoria="Sí",ISNUMBER($F300),$F300&lt;FechaRef,N($L300)&lt;1,$N300=""),"Vencida sin observación"&amp;" · ",""),LEN(IF(AND($S300="Macro",$B300=""),"Macroactividad vacía"&amp;" · ","")&amp;IF(AND($B300&lt;&gt;"",$C300&lt;&gt;""),"Escriba la subactividad en otra fila, debajo de su macroactividad"&amp;" · ","")&amp;IF(AND($S300="Sub",N($R300)=0),"Subactividad sin macroactividad arriba"&amp;" · ","")&amp;IF($D300="","Sin responsable"&amp;" · ","")&amp;IF($E300="","Sin fecha de inicio"&amp;" · ","")&amp;IF($F300="","Sin fecha límite"&amp;" · ","")&amp;IF(OR(AND($E300&lt;&gt;"",NOT(ISNUMBER($E300))),AND($F300&lt;&gt;"",NOT(ISNUMBER($F300)))),"Fecha no válida"&amp;" · ","")&amp;IF(AND(ISNUMBER($E300),ISNUMBER($F300),$E300&gt;$F300),"Inicio posterior a fecha límite"&amp;" · ","")&amp;IF(AND($S300="Macro",$G300=""),"Peso vacío"&amp;" · ","")&amp;IF(AND($S300="Macro",$G300&lt;&gt;"",OR(NOT(ISNUMBER($G300)),$G300&lt;=0,$G300&gt;1)),"Peso fuera de rango"&amp;" · ","")&amp;IF(AND($S300="Sub",$G300&lt;&gt;""),"Las subactividades no llevan peso"&amp;" · ","")&amp;IF(AND($S300="Macro",ABS(SUMIFS($G$5:$G$1000,$P$5:$P$1000,$P300,$S$5:$S$1000,"Macro")-1)&gt;0.0001),"Pesos del mes suman "&amp;TEXT(SUMIFS($G$5:$G$1000,$P$5:$P$1000,$P300,$S$5:$S$1000,"Macro"),"0%")&amp;" · ","")&amp;IF(AND(N($T300)&gt;0,COUNT($H300:$K300)&gt;0),"Con subactividades: deje vacías las semanas (se calculan solas)"&amp;" · ","")&amp;IF((COUNTIF($H300:$K300,"&gt;1")+COUNTIF($H300:$K300,"&lt;0")+COUNTA($H300:$K300)-COUNT($H300:$K300))&gt;0,"Avance fuera de rango 0-100%"&amp;" · ","")&amp;IF(OR(AND($I300&lt;&gt;"",$I300&lt;$H300),AND($J300&lt;&gt;"",$J300&lt;MAX($H300:$I300)),AND($K300&lt;&gt;"",$K300&lt;MAX($H300:$J300))),"Avance semanal decreciente"&amp;" · ","")&amp;IF(AND(ISNUMBER($F300),$F300&lt;FechaRef,N($L300)&lt;1),"Vencida"&amp;" · ","")&amp;IF(AND(ObsObligatoria="Sí",ISNUMBER($F300),$F300&lt;FechaRef,N($L300)&lt;1,$N300=""),"Vencida sin observación"&amp;" · ",""))-3)))</f>
        <v/>
      </c>
      <c r="P300" s="69">
        <f>IF(NOT((COUNTA($B300:$K300)+COUNTA($N300))&gt;0),"",IF(AND($S300="Sub",N($R300)&gt;0),IF(ISNUMBER(INDEX($E$5:$E$1000,$R300-4)),DATE(YEAR(INDEX($E$5:$E$1000,$R300-4)),MONTH(INDEX($E$5:$E$1000,$R300-4)),1),IF(ISNUMBER(INDEX($F$5:$F$1000,$R300-4)),DATE(YEAR(INDEX($F$5:$F$1000,$R300-4)),MONTH(INDEX($F$5:$F$1000,$R300-4)),1),MesCiclo)),IF(ISNUMBER($E300),DATE(YEAR($E300),MONTH($E300),1),IF(ISNUMBER($F300),DATE(YEAR($F300),MONTH($F300),1),MesCiclo))))</f>
        <v/>
      </c>
      <c r="Q300" s="70">
        <f>IF(OR($P300="",$P300&lt;&gt;MesCiclo),"",COUNTIF($P$5:$P300,MesCiclo))</f>
        <v/>
      </c>
      <c r="R300" s="70">
        <f>IF($S300="","",IF($S300="Macro",ROW(),IFERROR(LOOKUP(2,1/($S$5:$S300="Macro"),ROW($S$5:$S300)),0)))</f>
        <v/>
      </c>
      <c r="S300" s="70">
        <f>IF(NOT((COUNTA($B300:$K300)+COUNTA($N300))&gt;0),"",IF($B300&lt;&gt;"","Macro",IF($C300&lt;&gt;"","Sub","Macro")))</f>
        <v/>
      </c>
      <c r="T300" s="70">
        <f>IF($S300="Macro",COUNTIFS($R$5:$R$1000,ROW(),$S$5:$S$1000,"Sub"),"")</f>
        <v/>
      </c>
      <c r="U300" s="70">
        <f>IF($S300="","",IF(ISNUMBER($H300),$H300,0))</f>
        <v/>
      </c>
      <c r="V300" s="70">
        <f>IF($S300="","",IF(ISNUMBER($I300),$I300,$U300))</f>
        <v/>
      </c>
      <c r="W300" s="70">
        <f>IF($S300="","",IF(ISNUMBER($J300),$J300,$V300))</f>
        <v/>
      </c>
      <c r="X300" s="70">
        <f>IF($S300="","",IF(ISNUMBER($K300),$K300,$W300))</f>
        <v/>
      </c>
      <c r="Y300" s="70">
        <f>IF($S300="","",IF(N($T300)&gt;0,AVERAGEIFS($U$5:$U$1000,$R$5:$R$1000,ROW(),$S$5:$S$1000,"Sub"),$U300))</f>
        <v/>
      </c>
      <c r="Z300" s="70">
        <f>IF($S300="","",IF(N($T300)&gt;0,AVERAGEIFS($V$5:$V$1000,$R$5:$R$1000,ROW(),$S$5:$S$1000,"Sub"),$V300))</f>
        <v/>
      </c>
      <c r="AA300" s="70">
        <f>IF($S300="","",IF(N($T300)&gt;0,AVERAGEIFS($W$5:$W$1000,$R$5:$R$1000,ROW(),$S$5:$S$1000,"Sub"),$W300))</f>
        <v/>
      </c>
      <c r="AB300" s="70">
        <f>IF($S300="","",IF(N($T300)&gt;0,AVERAGEIFS($X$5:$X$1000,$R$5:$R$1000,ROW(),$S$5:$S$1000,"Sub"),$X300))</f>
        <v/>
      </c>
    </row>
    <row r="301">
      <c r="A301" s="61">
        <f>IF(NOT((COUNTA($B301:$K301)+COUNTA($N301))&gt;0),"",IF($S301="Macro",COUNTIFS($S$5:$S301,"Macro",$P$5:$P301,$P301),IF(N($R301)=0,"?",COUNTIFS(INDEX($S$5:$S$1000,1):INDEX($S$5:$S$1000,$R301-4),"Macro",INDEX($P$5:$P$1000,1):INDEX($P$5:$P$1000,$R301-4),INDEX($P$5:$P$1000,$R301-4))&amp;"."&amp;COUNTIFS($R$5:$R301,$R301,$S$5:$S301,"Sub"))))</f>
        <v/>
      </c>
      <c r="B301" s="62" t="n"/>
      <c r="C301" s="63" t="n"/>
      <c r="D301" s="62" t="n"/>
      <c r="E301" s="64" t="n"/>
      <c r="F301" s="64" t="n"/>
      <c r="G301" s="65" t="n"/>
      <c r="H301" s="66" t="n"/>
      <c r="I301" s="66" t="n"/>
      <c r="J301" s="66" t="n"/>
      <c r="K301" s="66" t="n"/>
      <c r="L301" s="67">
        <f>IF(NOT((COUNTA($B301:$K301)+COUNTA($N301))&gt;0),"",IF(N($T301)&gt;0,$AB301,IFERROR(LOOKUP(2,1/(H301:K301&lt;&gt;""),H301:K301),0)))</f>
        <v/>
      </c>
      <c r="M301" s="61">
        <f>IF(L301="","",IF(L301&gt;=1,"Completado",IF(L301&gt;0,"En curso","Pendiente")))</f>
        <v/>
      </c>
      <c r="N301" s="62" t="n"/>
      <c r="O301" s="68">
        <f>IF(NOT((COUNTA($B301:$K301)+COUNTA($N301))&gt;0),"",IF((IF(AND($S301="Macro",$B301=""),"Macroactividad vacía"&amp;" · ","")&amp;IF(AND($B301&lt;&gt;"",$C301&lt;&gt;""),"Escriba la subactividad en otra fila, debajo de su macroactividad"&amp;" · ","")&amp;IF(AND($S301="Sub",N($R301)=0),"Subactividad sin macroactividad arriba"&amp;" · ","")&amp;IF($D301="","Sin responsable"&amp;" · ","")&amp;IF($E301="","Sin fecha de inicio"&amp;" · ","")&amp;IF($F301="","Sin fecha límite"&amp;" · ","")&amp;IF(OR(AND($E301&lt;&gt;"",NOT(ISNUMBER($E301))),AND($F301&lt;&gt;"",NOT(ISNUMBER($F301)))),"Fecha no válida"&amp;" · ","")&amp;IF(AND(ISNUMBER($E301),ISNUMBER($F301),$E301&gt;$F301),"Inicio posterior a fecha límite"&amp;" · ","")&amp;IF(AND($S301="Macro",$G301=""),"Peso vacío"&amp;" · ","")&amp;IF(AND($S301="Macro",$G301&lt;&gt;"",OR(NOT(ISNUMBER($G301)),$G301&lt;=0,$G301&gt;1)),"Peso fuera de rango"&amp;" · ","")&amp;IF(AND($S301="Sub",$G301&lt;&gt;""),"Las subactividades no llevan peso"&amp;" · ","")&amp;IF(AND($S301="Macro",ABS(SUMIFS($G$5:$G$1000,$P$5:$P$1000,$P301,$S$5:$S$1000,"Macro")-1)&gt;0.0001),"Pesos del mes suman "&amp;TEXT(SUMIFS($G$5:$G$1000,$P$5:$P$1000,$P301,$S$5:$S$1000,"Macro"),"0%")&amp;" · ","")&amp;IF(AND(N($T301)&gt;0,COUNT($H301:$K301)&gt;0),"Con subactividades: deje vacías las semanas (se calculan solas)"&amp;" · ","")&amp;IF((COUNTIF($H301:$K301,"&gt;1")+COUNTIF($H301:$K301,"&lt;0")+COUNTA($H301:$K301)-COUNT($H301:$K301))&gt;0,"Avance fuera de rango 0-100%"&amp;" · ","")&amp;IF(OR(AND($I301&lt;&gt;"",$I301&lt;$H301),AND($J301&lt;&gt;"",$J301&lt;MAX($H301:$I301)),AND($K301&lt;&gt;"",$K301&lt;MAX($H301:$J301))),"Avance semanal decreciente"&amp;" · ","")&amp;IF(AND(ISNUMBER($F301),$F301&lt;FechaRef,N($L301)&lt;1),"Vencida"&amp;" · ","")&amp;IF(AND(ObsObligatoria="Sí",ISNUMBER($F301),$F301&lt;FechaRef,N($L301)&lt;1,$N301=""),"Vencida sin observación"&amp;" · ",""))="","✔ OK","⚠ "&amp;LEFT(IF(AND($S301="Macro",$B301=""),"Macroactividad vacía"&amp;" · ","")&amp;IF(AND($B301&lt;&gt;"",$C301&lt;&gt;""),"Escriba la subactividad en otra fila, debajo de su macroactividad"&amp;" · ","")&amp;IF(AND($S301="Sub",N($R301)=0),"Subactividad sin macroactividad arriba"&amp;" · ","")&amp;IF($D301="","Sin responsable"&amp;" · ","")&amp;IF($E301="","Sin fecha de inicio"&amp;" · ","")&amp;IF($F301="","Sin fecha límite"&amp;" · ","")&amp;IF(OR(AND($E301&lt;&gt;"",NOT(ISNUMBER($E301))),AND($F301&lt;&gt;"",NOT(ISNUMBER($F301)))),"Fecha no válida"&amp;" · ","")&amp;IF(AND(ISNUMBER($E301),ISNUMBER($F301),$E301&gt;$F301),"Inicio posterior a fecha límite"&amp;" · ","")&amp;IF(AND($S301="Macro",$G301=""),"Peso vacío"&amp;" · ","")&amp;IF(AND($S301="Macro",$G301&lt;&gt;"",OR(NOT(ISNUMBER($G301)),$G301&lt;=0,$G301&gt;1)),"Peso fuera de rango"&amp;" · ","")&amp;IF(AND($S301="Sub",$G301&lt;&gt;""),"Las subactividades no llevan peso"&amp;" · ","")&amp;IF(AND($S301="Macro",ABS(SUMIFS($G$5:$G$1000,$P$5:$P$1000,$P301,$S$5:$S$1000,"Macro")-1)&gt;0.0001),"Pesos del mes suman "&amp;TEXT(SUMIFS($G$5:$G$1000,$P$5:$P$1000,$P301,$S$5:$S$1000,"Macro"),"0%")&amp;" · ","")&amp;IF(AND(N($T301)&gt;0,COUNT($H301:$K301)&gt;0),"Con subactividades: deje vacías las semanas (se calculan solas)"&amp;" · ","")&amp;IF((COUNTIF($H301:$K301,"&gt;1")+COUNTIF($H301:$K301,"&lt;0")+COUNTA($H301:$K301)-COUNT($H301:$K301))&gt;0,"Avance fuera de rango 0-100%"&amp;" · ","")&amp;IF(OR(AND($I301&lt;&gt;"",$I301&lt;$H301),AND($J301&lt;&gt;"",$J301&lt;MAX($H301:$I301)),AND($K301&lt;&gt;"",$K301&lt;MAX($H301:$J301))),"Avance semanal decreciente"&amp;" · ","")&amp;IF(AND(ISNUMBER($F301),$F301&lt;FechaRef,N($L301)&lt;1),"Vencida"&amp;" · ","")&amp;IF(AND(ObsObligatoria="Sí",ISNUMBER($F301),$F301&lt;FechaRef,N($L301)&lt;1,$N301=""),"Vencida sin observación"&amp;" · ",""),LEN(IF(AND($S301="Macro",$B301=""),"Macroactividad vacía"&amp;" · ","")&amp;IF(AND($B301&lt;&gt;"",$C301&lt;&gt;""),"Escriba la subactividad en otra fila, debajo de su macroactividad"&amp;" · ","")&amp;IF(AND($S301="Sub",N($R301)=0),"Subactividad sin macroactividad arriba"&amp;" · ","")&amp;IF($D301="","Sin responsable"&amp;" · ","")&amp;IF($E301="","Sin fecha de inicio"&amp;" · ","")&amp;IF($F301="","Sin fecha límite"&amp;" · ","")&amp;IF(OR(AND($E301&lt;&gt;"",NOT(ISNUMBER($E301))),AND($F301&lt;&gt;"",NOT(ISNUMBER($F301)))),"Fecha no válida"&amp;" · ","")&amp;IF(AND(ISNUMBER($E301),ISNUMBER($F301),$E301&gt;$F301),"Inicio posterior a fecha límite"&amp;" · ","")&amp;IF(AND($S301="Macro",$G301=""),"Peso vacío"&amp;" · ","")&amp;IF(AND($S301="Macro",$G301&lt;&gt;"",OR(NOT(ISNUMBER($G301)),$G301&lt;=0,$G301&gt;1)),"Peso fuera de rango"&amp;" · ","")&amp;IF(AND($S301="Sub",$G301&lt;&gt;""),"Las subactividades no llevan peso"&amp;" · ","")&amp;IF(AND($S301="Macro",ABS(SUMIFS($G$5:$G$1000,$P$5:$P$1000,$P301,$S$5:$S$1000,"Macro")-1)&gt;0.0001),"Pesos del mes suman "&amp;TEXT(SUMIFS($G$5:$G$1000,$P$5:$P$1000,$P301,$S$5:$S$1000,"Macro"),"0%")&amp;" · ","")&amp;IF(AND(N($T301)&gt;0,COUNT($H301:$K301)&gt;0),"Con subactividades: deje vacías las semanas (se calculan solas)"&amp;" · ","")&amp;IF((COUNTIF($H301:$K301,"&gt;1")+COUNTIF($H301:$K301,"&lt;0")+COUNTA($H301:$K301)-COUNT($H301:$K301))&gt;0,"Avance fuera de rango 0-100%"&amp;" · ","")&amp;IF(OR(AND($I301&lt;&gt;"",$I301&lt;$H301),AND($J301&lt;&gt;"",$J301&lt;MAX($H301:$I301)),AND($K301&lt;&gt;"",$K301&lt;MAX($H301:$J301))),"Avance semanal decreciente"&amp;" · ","")&amp;IF(AND(ISNUMBER($F301),$F301&lt;FechaRef,N($L301)&lt;1),"Vencida"&amp;" · ","")&amp;IF(AND(ObsObligatoria="Sí",ISNUMBER($F301),$F301&lt;FechaRef,N($L301)&lt;1,$N301=""),"Vencida sin observación"&amp;" · ",""))-3)))</f>
        <v/>
      </c>
      <c r="P301" s="69">
        <f>IF(NOT((COUNTA($B301:$K301)+COUNTA($N301))&gt;0),"",IF(AND($S301="Sub",N($R301)&gt;0),IF(ISNUMBER(INDEX($E$5:$E$1000,$R301-4)),DATE(YEAR(INDEX($E$5:$E$1000,$R301-4)),MONTH(INDEX($E$5:$E$1000,$R301-4)),1),IF(ISNUMBER(INDEX($F$5:$F$1000,$R301-4)),DATE(YEAR(INDEX($F$5:$F$1000,$R301-4)),MONTH(INDEX($F$5:$F$1000,$R301-4)),1),MesCiclo)),IF(ISNUMBER($E301),DATE(YEAR($E301),MONTH($E301),1),IF(ISNUMBER($F301),DATE(YEAR($F301),MONTH($F301),1),MesCiclo))))</f>
        <v/>
      </c>
      <c r="Q301" s="70">
        <f>IF(OR($P301="",$P301&lt;&gt;MesCiclo),"",COUNTIF($P$5:$P301,MesCiclo))</f>
        <v/>
      </c>
      <c r="R301" s="70">
        <f>IF($S301="","",IF($S301="Macro",ROW(),IFERROR(LOOKUP(2,1/($S$5:$S301="Macro"),ROW($S$5:$S301)),0)))</f>
        <v/>
      </c>
      <c r="S301" s="70">
        <f>IF(NOT((COUNTA($B301:$K301)+COUNTA($N301))&gt;0),"",IF($B301&lt;&gt;"","Macro",IF($C301&lt;&gt;"","Sub","Macro")))</f>
        <v/>
      </c>
      <c r="T301" s="70">
        <f>IF($S301="Macro",COUNTIFS($R$5:$R$1000,ROW(),$S$5:$S$1000,"Sub"),"")</f>
        <v/>
      </c>
      <c r="U301" s="70">
        <f>IF($S301="","",IF(ISNUMBER($H301),$H301,0))</f>
        <v/>
      </c>
      <c r="V301" s="70">
        <f>IF($S301="","",IF(ISNUMBER($I301),$I301,$U301))</f>
        <v/>
      </c>
      <c r="W301" s="70">
        <f>IF($S301="","",IF(ISNUMBER($J301),$J301,$V301))</f>
        <v/>
      </c>
      <c r="X301" s="70">
        <f>IF($S301="","",IF(ISNUMBER($K301),$K301,$W301))</f>
        <v/>
      </c>
      <c r="Y301" s="70">
        <f>IF($S301="","",IF(N($T301)&gt;0,AVERAGEIFS($U$5:$U$1000,$R$5:$R$1000,ROW(),$S$5:$S$1000,"Sub"),$U301))</f>
        <v/>
      </c>
      <c r="Z301" s="70">
        <f>IF($S301="","",IF(N($T301)&gt;0,AVERAGEIFS($V$5:$V$1000,$R$5:$R$1000,ROW(),$S$5:$S$1000,"Sub"),$V301))</f>
        <v/>
      </c>
      <c r="AA301" s="70">
        <f>IF($S301="","",IF(N($T301)&gt;0,AVERAGEIFS($W$5:$W$1000,$R$5:$R$1000,ROW(),$S$5:$S$1000,"Sub"),$W301))</f>
        <v/>
      </c>
      <c r="AB301" s="70">
        <f>IF($S301="","",IF(N($T301)&gt;0,AVERAGEIFS($X$5:$X$1000,$R$5:$R$1000,ROW(),$S$5:$S$1000,"Sub"),$X301))</f>
        <v/>
      </c>
    </row>
    <row r="302">
      <c r="A302" s="61">
        <f>IF(NOT((COUNTA($B302:$K302)+COUNTA($N302))&gt;0),"",IF($S302="Macro",COUNTIFS($S$5:$S302,"Macro",$P$5:$P302,$P302),IF(N($R302)=0,"?",COUNTIFS(INDEX($S$5:$S$1000,1):INDEX($S$5:$S$1000,$R302-4),"Macro",INDEX($P$5:$P$1000,1):INDEX($P$5:$P$1000,$R302-4),INDEX($P$5:$P$1000,$R302-4))&amp;"."&amp;COUNTIFS($R$5:$R302,$R302,$S$5:$S302,"Sub"))))</f>
        <v/>
      </c>
      <c r="B302" s="62" t="n"/>
      <c r="C302" s="63" t="n"/>
      <c r="D302" s="62" t="n"/>
      <c r="E302" s="64" t="n"/>
      <c r="F302" s="64" t="n"/>
      <c r="G302" s="65" t="n"/>
      <c r="H302" s="66" t="n"/>
      <c r="I302" s="66" t="n"/>
      <c r="J302" s="66" t="n"/>
      <c r="K302" s="66" t="n"/>
      <c r="L302" s="67">
        <f>IF(NOT((COUNTA($B302:$K302)+COUNTA($N302))&gt;0),"",IF(N($T302)&gt;0,$AB302,IFERROR(LOOKUP(2,1/(H302:K302&lt;&gt;""),H302:K302),0)))</f>
        <v/>
      </c>
      <c r="M302" s="61">
        <f>IF(L302="","",IF(L302&gt;=1,"Completado",IF(L302&gt;0,"En curso","Pendiente")))</f>
        <v/>
      </c>
      <c r="N302" s="62" t="n"/>
      <c r="O302" s="68">
        <f>IF(NOT((COUNTA($B302:$K302)+COUNTA($N302))&gt;0),"",IF((IF(AND($S302="Macro",$B302=""),"Macroactividad vacía"&amp;" · ","")&amp;IF(AND($B302&lt;&gt;"",$C302&lt;&gt;""),"Escriba la subactividad en otra fila, debajo de su macroactividad"&amp;" · ","")&amp;IF(AND($S302="Sub",N($R302)=0),"Subactividad sin macroactividad arriba"&amp;" · ","")&amp;IF($D302="","Sin responsable"&amp;" · ","")&amp;IF($E302="","Sin fecha de inicio"&amp;" · ","")&amp;IF($F302="","Sin fecha límite"&amp;" · ","")&amp;IF(OR(AND($E302&lt;&gt;"",NOT(ISNUMBER($E302))),AND($F302&lt;&gt;"",NOT(ISNUMBER($F302)))),"Fecha no válida"&amp;" · ","")&amp;IF(AND(ISNUMBER($E302),ISNUMBER($F302),$E302&gt;$F302),"Inicio posterior a fecha límite"&amp;" · ","")&amp;IF(AND($S302="Macro",$G302=""),"Peso vacío"&amp;" · ","")&amp;IF(AND($S302="Macro",$G302&lt;&gt;"",OR(NOT(ISNUMBER($G302)),$G302&lt;=0,$G302&gt;1)),"Peso fuera de rango"&amp;" · ","")&amp;IF(AND($S302="Sub",$G302&lt;&gt;""),"Las subactividades no llevan peso"&amp;" · ","")&amp;IF(AND($S302="Macro",ABS(SUMIFS($G$5:$G$1000,$P$5:$P$1000,$P302,$S$5:$S$1000,"Macro")-1)&gt;0.0001),"Pesos del mes suman "&amp;TEXT(SUMIFS($G$5:$G$1000,$P$5:$P$1000,$P302,$S$5:$S$1000,"Macro"),"0%")&amp;" · ","")&amp;IF(AND(N($T302)&gt;0,COUNT($H302:$K302)&gt;0),"Con subactividades: deje vacías las semanas (se calculan solas)"&amp;" · ","")&amp;IF((COUNTIF($H302:$K302,"&gt;1")+COUNTIF($H302:$K302,"&lt;0")+COUNTA($H302:$K302)-COUNT($H302:$K302))&gt;0,"Avance fuera de rango 0-100%"&amp;" · ","")&amp;IF(OR(AND($I302&lt;&gt;"",$I302&lt;$H302),AND($J302&lt;&gt;"",$J302&lt;MAX($H302:$I302)),AND($K302&lt;&gt;"",$K302&lt;MAX($H302:$J302))),"Avance semanal decreciente"&amp;" · ","")&amp;IF(AND(ISNUMBER($F302),$F302&lt;FechaRef,N($L302)&lt;1),"Vencida"&amp;" · ","")&amp;IF(AND(ObsObligatoria="Sí",ISNUMBER($F302),$F302&lt;FechaRef,N($L302)&lt;1,$N302=""),"Vencida sin observación"&amp;" · ",""))="","✔ OK","⚠ "&amp;LEFT(IF(AND($S302="Macro",$B302=""),"Macroactividad vacía"&amp;" · ","")&amp;IF(AND($B302&lt;&gt;"",$C302&lt;&gt;""),"Escriba la subactividad en otra fila, debajo de su macroactividad"&amp;" · ","")&amp;IF(AND($S302="Sub",N($R302)=0),"Subactividad sin macroactividad arriba"&amp;" · ","")&amp;IF($D302="","Sin responsable"&amp;" · ","")&amp;IF($E302="","Sin fecha de inicio"&amp;" · ","")&amp;IF($F302="","Sin fecha límite"&amp;" · ","")&amp;IF(OR(AND($E302&lt;&gt;"",NOT(ISNUMBER($E302))),AND($F302&lt;&gt;"",NOT(ISNUMBER($F302)))),"Fecha no válida"&amp;" · ","")&amp;IF(AND(ISNUMBER($E302),ISNUMBER($F302),$E302&gt;$F302),"Inicio posterior a fecha límite"&amp;" · ","")&amp;IF(AND($S302="Macro",$G302=""),"Peso vacío"&amp;" · ","")&amp;IF(AND($S302="Macro",$G302&lt;&gt;"",OR(NOT(ISNUMBER($G302)),$G302&lt;=0,$G302&gt;1)),"Peso fuera de rango"&amp;" · ","")&amp;IF(AND($S302="Sub",$G302&lt;&gt;""),"Las subactividades no llevan peso"&amp;" · ","")&amp;IF(AND($S302="Macro",ABS(SUMIFS($G$5:$G$1000,$P$5:$P$1000,$P302,$S$5:$S$1000,"Macro")-1)&gt;0.0001),"Pesos del mes suman "&amp;TEXT(SUMIFS($G$5:$G$1000,$P$5:$P$1000,$P302,$S$5:$S$1000,"Macro"),"0%")&amp;" · ","")&amp;IF(AND(N($T302)&gt;0,COUNT($H302:$K302)&gt;0),"Con subactividades: deje vacías las semanas (se calculan solas)"&amp;" · ","")&amp;IF((COUNTIF($H302:$K302,"&gt;1")+COUNTIF($H302:$K302,"&lt;0")+COUNTA($H302:$K302)-COUNT($H302:$K302))&gt;0,"Avance fuera de rango 0-100%"&amp;" · ","")&amp;IF(OR(AND($I302&lt;&gt;"",$I302&lt;$H302),AND($J302&lt;&gt;"",$J302&lt;MAX($H302:$I302)),AND($K302&lt;&gt;"",$K302&lt;MAX($H302:$J302))),"Avance semanal decreciente"&amp;" · ","")&amp;IF(AND(ISNUMBER($F302),$F302&lt;FechaRef,N($L302)&lt;1),"Vencida"&amp;" · ","")&amp;IF(AND(ObsObligatoria="Sí",ISNUMBER($F302),$F302&lt;FechaRef,N($L302)&lt;1,$N302=""),"Vencida sin observación"&amp;" · ",""),LEN(IF(AND($S302="Macro",$B302=""),"Macroactividad vacía"&amp;" · ","")&amp;IF(AND($B302&lt;&gt;"",$C302&lt;&gt;""),"Escriba la subactividad en otra fila, debajo de su macroactividad"&amp;" · ","")&amp;IF(AND($S302="Sub",N($R302)=0),"Subactividad sin macroactividad arriba"&amp;" · ","")&amp;IF($D302="","Sin responsable"&amp;" · ","")&amp;IF($E302="","Sin fecha de inicio"&amp;" · ","")&amp;IF($F302="","Sin fecha límite"&amp;" · ","")&amp;IF(OR(AND($E302&lt;&gt;"",NOT(ISNUMBER($E302))),AND($F302&lt;&gt;"",NOT(ISNUMBER($F302)))),"Fecha no válida"&amp;" · ","")&amp;IF(AND(ISNUMBER($E302),ISNUMBER($F302),$E302&gt;$F302),"Inicio posterior a fecha límite"&amp;" · ","")&amp;IF(AND($S302="Macro",$G302=""),"Peso vacío"&amp;" · ","")&amp;IF(AND($S302="Macro",$G302&lt;&gt;"",OR(NOT(ISNUMBER($G302)),$G302&lt;=0,$G302&gt;1)),"Peso fuera de rango"&amp;" · ","")&amp;IF(AND($S302="Sub",$G302&lt;&gt;""),"Las subactividades no llevan peso"&amp;" · ","")&amp;IF(AND($S302="Macro",ABS(SUMIFS($G$5:$G$1000,$P$5:$P$1000,$P302,$S$5:$S$1000,"Macro")-1)&gt;0.0001),"Pesos del mes suman "&amp;TEXT(SUMIFS($G$5:$G$1000,$P$5:$P$1000,$P302,$S$5:$S$1000,"Macro"),"0%")&amp;" · ","")&amp;IF(AND(N($T302)&gt;0,COUNT($H302:$K302)&gt;0),"Con subactividades: deje vacías las semanas (se calculan solas)"&amp;" · ","")&amp;IF((COUNTIF($H302:$K302,"&gt;1")+COUNTIF($H302:$K302,"&lt;0")+COUNTA($H302:$K302)-COUNT($H302:$K302))&gt;0,"Avance fuera de rango 0-100%"&amp;" · ","")&amp;IF(OR(AND($I302&lt;&gt;"",$I302&lt;$H302),AND($J302&lt;&gt;"",$J302&lt;MAX($H302:$I302)),AND($K302&lt;&gt;"",$K302&lt;MAX($H302:$J302))),"Avance semanal decreciente"&amp;" · ","")&amp;IF(AND(ISNUMBER($F302),$F302&lt;FechaRef,N($L302)&lt;1),"Vencida"&amp;" · ","")&amp;IF(AND(ObsObligatoria="Sí",ISNUMBER($F302),$F302&lt;FechaRef,N($L302)&lt;1,$N302=""),"Vencida sin observación"&amp;" · ",""))-3)))</f>
        <v/>
      </c>
      <c r="P302" s="69">
        <f>IF(NOT((COUNTA($B302:$K302)+COUNTA($N302))&gt;0),"",IF(AND($S302="Sub",N($R302)&gt;0),IF(ISNUMBER(INDEX($E$5:$E$1000,$R302-4)),DATE(YEAR(INDEX($E$5:$E$1000,$R302-4)),MONTH(INDEX($E$5:$E$1000,$R302-4)),1),IF(ISNUMBER(INDEX($F$5:$F$1000,$R302-4)),DATE(YEAR(INDEX($F$5:$F$1000,$R302-4)),MONTH(INDEX($F$5:$F$1000,$R302-4)),1),MesCiclo)),IF(ISNUMBER($E302),DATE(YEAR($E302),MONTH($E302),1),IF(ISNUMBER($F302),DATE(YEAR($F302),MONTH($F302),1),MesCiclo))))</f>
        <v/>
      </c>
      <c r="Q302" s="70">
        <f>IF(OR($P302="",$P302&lt;&gt;MesCiclo),"",COUNTIF($P$5:$P302,MesCiclo))</f>
        <v/>
      </c>
      <c r="R302" s="70">
        <f>IF($S302="","",IF($S302="Macro",ROW(),IFERROR(LOOKUP(2,1/($S$5:$S302="Macro"),ROW($S$5:$S302)),0)))</f>
        <v/>
      </c>
      <c r="S302" s="70">
        <f>IF(NOT((COUNTA($B302:$K302)+COUNTA($N302))&gt;0),"",IF($B302&lt;&gt;"","Macro",IF($C302&lt;&gt;"","Sub","Macro")))</f>
        <v/>
      </c>
      <c r="T302" s="70">
        <f>IF($S302="Macro",COUNTIFS($R$5:$R$1000,ROW(),$S$5:$S$1000,"Sub"),"")</f>
        <v/>
      </c>
      <c r="U302" s="70">
        <f>IF($S302="","",IF(ISNUMBER($H302),$H302,0))</f>
        <v/>
      </c>
      <c r="V302" s="70">
        <f>IF($S302="","",IF(ISNUMBER($I302),$I302,$U302))</f>
        <v/>
      </c>
      <c r="W302" s="70">
        <f>IF($S302="","",IF(ISNUMBER($J302),$J302,$V302))</f>
        <v/>
      </c>
      <c r="X302" s="70">
        <f>IF($S302="","",IF(ISNUMBER($K302),$K302,$W302))</f>
        <v/>
      </c>
      <c r="Y302" s="70">
        <f>IF($S302="","",IF(N($T302)&gt;0,AVERAGEIFS($U$5:$U$1000,$R$5:$R$1000,ROW(),$S$5:$S$1000,"Sub"),$U302))</f>
        <v/>
      </c>
      <c r="Z302" s="70">
        <f>IF($S302="","",IF(N($T302)&gt;0,AVERAGEIFS($V$5:$V$1000,$R$5:$R$1000,ROW(),$S$5:$S$1000,"Sub"),$V302))</f>
        <v/>
      </c>
      <c r="AA302" s="70">
        <f>IF($S302="","",IF(N($T302)&gt;0,AVERAGEIFS($W$5:$W$1000,$R$5:$R$1000,ROW(),$S$5:$S$1000,"Sub"),$W302))</f>
        <v/>
      </c>
      <c r="AB302" s="70">
        <f>IF($S302="","",IF(N($T302)&gt;0,AVERAGEIFS($X$5:$X$1000,$R$5:$R$1000,ROW(),$S$5:$S$1000,"Sub"),$X302))</f>
        <v/>
      </c>
    </row>
    <row r="303">
      <c r="A303" s="61">
        <f>IF(NOT((COUNTA($B303:$K303)+COUNTA($N303))&gt;0),"",IF($S303="Macro",COUNTIFS($S$5:$S303,"Macro",$P$5:$P303,$P303),IF(N($R303)=0,"?",COUNTIFS(INDEX($S$5:$S$1000,1):INDEX($S$5:$S$1000,$R303-4),"Macro",INDEX($P$5:$P$1000,1):INDEX($P$5:$P$1000,$R303-4),INDEX($P$5:$P$1000,$R303-4))&amp;"."&amp;COUNTIFS($R$5:$R303,$R303,$S$5:$S303,"Sub"))))</f>
        <v/>
      </c>
      <c r="B303" s="62" t="n"/>
      <c r="C303" s="63" t="n"/>
      <c r="D303" s="62" t="n"/>
      <c r="E303" s="64" t="n"/>
      <c r="F303" s="64" t="n"/>
      <c r="G303" s="65" t="n"/>
      <c r="H303" s="66" t="n"/>
      <c r="I303" s="66" t="n"/>
      <c r="J303" s="66" t="n"/>
      <c r="K303" s="66" t="n"/>
      <c r="L303" s="67">
        <f>IF(NOT((COUNTA($B303:$K303)+COUNTA($N303))&gt;0),"",IF(N($T303)&gt;0,$AB303,IFERROR(LOOKUP(2,1/(H303:K303&lt;&gt;""),H303:K303),0)))</f>
        <v/>
      </c>
      <c r="M303" s="61">
        <f>IF(L303="","",IF(L303&gt;=1,"Completado",IF(L303&gt;0,"En curso","Pendiente")))</f>
        <v/>
      </c>
      <c r="N303" s="62" t="n"/>
      <c r="O303" s="68">
        <f>IF(NOT((COUNTA($B303:$K303)+COUNTA($N303))&gt;0),"",IF((IF(AND($S303="Macro",$B303=""),"Macroactividad vacía"&amp;" · ","")&amp;IF(AND($B303&lt;&gt;"",$C303&lt;&gt;""),"Escriba la subactividad en otra fila, debajo de su macroactividad"&amp;" · ","")&amp;IF(AND($S303="Sub",N($R303)=0),"Subactividad sin macroactividad arriba"&amp;" · ","")&amp;IF($D303="","Sin responsable"&amp;" · ","")&amp;IF($E303="","Sin fecha de inicio"&amp;" · ","")&amp;IF($F303="","Sin fecha límite"&amp;" · ","")&amp;IF(OR(AND($E303&lt;&gt;"",NOT(ISNUMBER($E303))),AND($F303&lt;&gt;"",NOT(ISNUMBER($F303)))),"Fecha no válida"&amp;" · ","")&amp;IF(AND(ISNUMBER($E303),ISNUMBER($F303),$E303&gt;$F303),"Inicio posterior a fecha límite"&amp;" · ","")&amp;IF(AND($S303="Macro",$G303=""),"Peso vacío"&amp;" · ","")&amp;IF(AND($S303="Macro",$G303&lt;&gt;"",OR(NOT(ISNUMBER($G303)),$G303&lt;=0,$G303&gt;1)),"Peso fuera de rango"&amp;" · ","")&amp;IF(AND($S303="Sub",$G303&lt;&gt;""),"Las subactividades no llevan peso"&amp;" · ","")&amp;IF(AND($S303="Macro",ABS(SUMIFS($G$5:$G$1000,$P$5:$P$1000,$P303,$S$5:$S$1000,"Macro")-1)&gt;0.0001),"Pesos del mes suman "&amp;TEXT(SUMIFS($G$5:$G$1000,$P$5:$P$1000,$P303,$S$5:$S$1000,"Macro"),"0%")&amp;" · ","")&amp;IF(AND(N($T303)&gt;0,COUNT($H303:$K303)&gt;0),"Con subactividades: deje vacías las semanas (se calculan solas)"&amp;" · ","")&amp;IF((COUNTIF($H303:$K303,"&gt;1")+COUNTIF($H303:$K303,"&lt;0")+COUNTA($H303:$K303)-COUNT($H303:$K303))&gt;0,"Avance fuera de rango 0-100%"&amp;" · ","")&amp;IF(OR(AND($I303&lt;&gt;"",$I303&lt;$H303),AND($J303&lt;&gt;"",$J303&lt;MAX($H303:$I303)),AND($K303&lt;&gt;"",$K303&lt;MAX($H303:$J303))),"Avance semanal decreciente"&amp;" · ","")&amp;IF(AND(ISNUMBER($F303),$F303&lt;FechaRef,N($L303)&lt;1),"Vencida"&amp;" · ","")&amp;IF(AND(ObsObligatoria="Sí",ISNUMBER($F303),$F303&lt;FechaRef,N($L303)&lt;1,$N303=""),"Vencida sin observación"&amp;" · ",""))="","✔ OK","⚠ "&amp;LEFT(IF(AND($S303="Macro",$B303=""),"Macroactividad vacía"&amp;" · ","")&amp;IF(AND($B303&lt;&gt;"",$C303&lt;&gt;""),"Escriba la subactividad en otra fila, debajo de su macroactividad"&amp;" · ","")&amp;IF(AND($S303="Sub",N($R303)=0),"Subactividad sin macroactividad arriba"&amp;" · ","")&amp;IF($D303="","Sin responsable"&amp;" · ","")&amp;IF($E303="","Sin fecha de inicio"&amp;" · ","")&amp;IF($F303="","Sin fecha límite"&amp;" · ","")&amp;IF(OR(AND($E303&lt;&gt;"",NOT(ISNUMBER($E303))),AND($F303&lt;&gt;"",NOT(ISNUMBER($F303)))),"Fecha no válida"&amp;" · ","")&amp;IF(AND(ISNUMBER($E303),ISNUMBER($F303),$E303&gt;$F303),"Inicio posterior a fecha límite"&amp;" · ","")&amp;IF(AND($S303="Macro",$G303=""),"Peso vacío"&amp;" · ","")&amp;IF(AND($S303="Macro",$G303&lt;&gt;"",OR(NOT(ISNUMBER($G303)),$G303&lt;=0,$G303&gt;1)),"Peso fuera de rango"&amp;" · ","")&amp;IF(AND($S303="Sub",$G303&lt;&gt;""),"Las subactividades no llevan peso"&amp;" · ","")&amp;IF(AND($S303="Macro",ABS(SUMIFS($G$5:$G$1000,$P$5:$P$1000,$P303,$S$5:$S$1000,"Macro")-1)&gt;0.0001),"Pesos del mes suman "&amp;TEXT(SUMIFS($G$5:$G$1000,$P$5:$P$1000,$P303,$S$5:$S$1000,"Macro"),"0%")&amp;" · ","")&amp;IF(AND(N($T303)&gt;0,COUNT($H303:$K303)&gt;0),"Con subactividades: deje vacías las semanas (se calculan solas)"&amp;" · ","")&amp;IF((COUNTIF($H303:$K303,"&gt;1")+COUNTIF($H303:$K303,"&lt;0")+COUNTA($H303:$K303)-COUNT($H303:$K303))&gt;0,"Avance fuera de rango 0-100%"&amp;" · ","")&amp;IF(OR(AND($I303&lt;&gt;"",$I303&lt;$H303),AND($J303&lt;&gt;"",$J303&lt;MAX($H303:$I303)),AND($K303&lt;&gt;"",$K303&lt;MAX($H303:$J303))),"Avance semanal decreciente"&amp;" · ","")&amp;IF(AND(ISNUMBER($F303),$F303&lt;FechaRef,N($L303)&lt;1),"Vencida"&amp;" · ","")&amp;IF(AND(ObsObligatoria="Sí",ISNUMBER($F303),$F303&lt;FechaRef,N($L303)&lt;1,$N303=""),"Vencida sin observación"&amp;" · ",""),LEN(IF(AND($S303="Macro",$B303=""),"Macroactividad vacía"&amp;" · ","")&amp;IF(AND($B303&lt;&gt;"",$C303&lt;&gt;""),"Escriba la subactividad en otra fila, debajo de su macroactividad"&amp;" · ","")&amp;IF(AND($S303="Sub",N($R303)=0),"Subactividad sin macroactividad arriba"&amp;" · ","")&amp;IF($D303="","Sin responsable"&amp;" · ","")&amp;IF($E303="","Sin fecha de inicio"&amp;" · ","")&amp;IF($F303="","Sin fecha límite"&amp;" · ","")&amp;IF(OR(AND($E303&lt;&gt;"",NOT(ISNUMBER($E303))),AND($F303&lt;&gt;"",NOT(ISNUMBER($F303)))),"Fecha no válida"&amp;" · ","")&amp;IF(AND(ISNUMBER($E303),ISNUMBER($F303),$E303&gt;$F303),"Inicio posterior a fecha límite"&amp;" · ","")&amp;IF(AND($S303="Macro",$G303=""),"Peso vacío"&amp;" · ","")&amp;IF(AND($S303="Macro",$G303&lt;&gt;"",OR(NOT(ISNUMBER($G303)),$G303&lt;=0,$G303&gt;1)),"Peso fuera de rango"&amp;" · ","")&amp;IF(AND($S303="Sub",$G303&lt;&gt;""),"Las subactividades no llevan peso"&amp;" · ","")&amp;IF(AND($S303="Macro",ABS(SUMIFS($G$5:$G$1000,$P$5:$P$1000,$P303,$S$5:$S$1000,"Macro")-1)&gt;0.0001),"Pesos del mes suman "&amp;TEXT(SUMIFS($G$5:$G$1000,$P$5:$P$1000,$P303,$S$5:$S$1000,"Macro"),"0%")&amp;" · ","")&amp;IF(AND(N($T303)&gt;0,COUNT($H303:$K303)&gt;0),"Con subactividades: deje vacías las semanas (se calculan solas)"&amp;" · ","")&amp;IF((COUNTIF($H303:$K303,"&gt;1")+COUNTIF($H303:$K303,"&lt;0")+COUNTA($H303:$K303)-COUNT($H303:$K303))&gt;0,"Avance fuera de rango 0-100%"&amp;" · ","")&amp;IF(OR(AND($I303&lt;&gt;"",$I303&lt;$H303),AND($J303&lt;&gt;"",$J303&lt;MAX($H303:$I303)),AND($K303&lt;&gt;"",$K303&lt;MAX($H303:$J303))),"Avance semanal decreciente"&amp;" · ","")&amp;IF(AND(ISNUMBER($F303),$F303&lt;FechaRef,N($L303)&lt;1),"Vencida"&amp;" · ","")&amp;IF(AND(ObsObligatoria="Sí",ISNUMBER($F303),$F303&lt;FechaRef,N($L303)&lt;1,$N303=""),"Vencida sin observación"&amp;" · ",""))-3)))</f>
        <v/>
      </c>
      <c r="P303" s="69">
        <f>IF(NOT((COUNTA($B303:$K303)+COUNTA($N303))&gt;0),"",IF(AND($S303="Sub",N($R303)&gt;0),IF(ISNUMBER(INDEX($E$5:$E$1000,$R303-4)),DATE(YEAR(INDEX($E$5:$E$1000,$R303-4)),MONTH(INDEX($E$5:$E$1000,$R303-4)),1),IF(ISNUMBER(INDEX($F$5:$F$1000,$R303-4)),DATE(YEAR(INDEX($F$5:$F$1000,$R303-4)),MONTH(INDEX($F$5:$F$1000,$R303-4)),1),MesCiclo)),IF(ISNUMBER($E303),DATE(YEAR($E303),MONTH($E303),1),IF(ISNUMBER($F303),DATE(YEAR($F303),MONTH($F303),1),MesCiclo))))</f>
        <v/>
      </c>
      <c r="Q303" s="70">
        <f>IF(OR($P303="",$P303&lt;&gt;MesCiclo),"",COUNTIF($P$5:$P303,MesCiclo))</f>
        <v/>
      </c>
      <c r="R303" s="70">
        <f>IF($S303="","",IF($S303="Macro",ROW(),IFERROR(LOOKUP(2,1/($S$5:$S303="Macro"),ROW($S$5:$S303)),0)))</f>
        <v/>
      </c>
      <c r="S303" s="70">
        <f>IF(NOT((COUNTA($B303:$K303)+COUNTA($N303))&gt;0),"",IF($B303&lt;&gt;"","Macro",IF($C303&lt;&gt;"","Sub","Macro")))</f>
        <v/>
      </c>
      <c r="T303" s="70">
        <f>IF($S303="Macro",COUNTIFS($R$5:$R$1000,ROW(),$S$5:$S$1000,"Sub"),"")</f>
        <v/>
      </c>
      <c r="U303" s="70">
        <f>IF($S303="","",IF(ISNUMBER($H303),$H303,0))</f>
        <v/>
      </c>
      <c r="V303" s="70">
        <f>IF($S303="","",IF(ISNUMBER($I303),$I303,$U303))</f>
        <v/>
      </c>
      <c r="W303" s="70">
        <f>IF($S303="","",IF(ISNUMBER($J303),$J303,$V303))</f>
        <v/>
      </c>
      <c r="X303" s="70">
        <f>IF($S303="","",IF(ISNUMBER($K303),$K303,$W303))</f>
        <v/>
      </c>
      <c r="Y303" s="70">
        <f>IF($S303="","",IF(N($T303)&gt;0,AVERAGEIFS($U$5:$U$1000,$R$5:$R$1000,ROW(),$S$5:$S$1000,"Sub"),$U303))</f>
        <v/>
      </c>
      <c r="Z303" s="70">
        <f>IF($S303="","",IF(N($T303)&gt;0,AVERAGEIFS($V$5:$V$1000,$R$5:$R$1000,ROW(),$S$5:$S$1000,"Sub"),$V303))</f>
        <v/>
      </c>
      <c r="AA303" s="70">
        <f>IF($S303="","",IF(N($T303)&gt;0,AVERAGEIFS($W$5:$W$1000,$R$5:$R$1000,ROW(),$S$5:$S$1000,"Sub"),$W303))</f>
        <v/>
      </c>
      <c r="AB303" s="70">
        <f>IF($S303="","",IF(N($T303)&gt;0,AVERAGEIFS($X$5:$X$1000,$R$5:$R$1000,ROW(),$S$5:$S$1000,"Sub"),$X303))</f>
        <v/>
      </c>
    </row>
    <row r="304">
      <c r="A304" s="61">
        <f>IF(NOT((COUNTA($B304:$K304)+COUNTA($N304))&gt;0),"",IF($S304="Macro",COUNTIFS($S$5:$S304,"Macro",$P$5:$P304,$P304),IF(N($R304)=0,"?",COUNTIFS(INDEX($S$5:$S$1000,1):INDEX($S$5:$S$1000,$R304-4),"Macro",INDEX($P$5:$P$1000,1):INDEX($P$5:$P$1000,$R304-4),INDEX($P$5:$P$1000,$R304-4))&amp;"."&amp;COUNTIFS($R$5:$R304,$R304,$S$5:$S304,"Sub"))))</f>
        <v/>
      </c>
      <c r="B304" s="62" t="n"/>
      <c r="C304" s="63" t="n"/>
      <c r="D304" s="62" t="n"/>
      <c r="E304" s="64" t="n"/>
      <c r="F304" s="64" t="n"/>
      <c r="G304" s="65" t="n"/>
      <c r="H304" s="66" t="n"/>
      <c r="I304" s="66" t="n"/>
      <c r="J304" s="66" t="n"/>
      <c r="K304" s="66" t="n"/>
      <c r="L304" s="67">
        <f>IF(NOT((COUNTA($B304:$K304)+COUNTA($N304))&gt;0),"",IF(N($T304)&gt;0,$AB304,IFERROR(LOOKUP(2,1/(H304:K304&lt;&gt;""),H304:K304),0)))</f>
        <v/>
      </c>
      <c r="M304" s="61">
        <f>IF(L304="","",IF(L304&gt;=1,"Completado",IF(L304&gt;0,"En curso","Pendiente")))</f>
        <v/>
      </c>
      <c r="N304" s="62" t="n"/>
      <c r="O304" s="68">
        <f>IF(NOT((COUNTA($B304:$K304)+COUNTA($N304))&gt;0),"",IF((IF(AND($S304="Macro",$B304=""),"Macroactividad vacía"&amp;" · ","")&amp;IF(AND($B304&lt;&gt;"",$C304&lt;&gt;""),"Escriba la subactividad en otra fila, debajo de su macroactividad"&amp;" · ","")&amp;IF(AND($S304="Sub",N($R304)=0),"Subactividad sin macroactividad arriba"&amp;" · ","")&amp;IF($D304="","Sin responsable"&amp;" · ","")&amp;IF($E304="","Sin fecha de inicio"&amp;" · ","")&amp;IF($F304="","Sin fecha límite"&amp;" · ","")&amp;IF(OR(AND($E304&lt;&gt;"",NOT(ISNUMBER($E304))),AND($F304&lt;&gt;"",NOT(ISNUMBER($F304)))),"Fecha no válida"&amp;" · ","")&amp;IF(AND(ISNUMBER($E304),ISNUMBER($F304),$E304&gt;$F304),"Inicio posterior a fecha límite"&amp;" · ","")&amp;IF(AND($S304="Macro",$G304=""),"Peso vacío"&amp;" · ","")&amp;IF(AND($S304="Macro",$G304&lt;&gt;"",OR(NOT(ISNUMBER($G304)),$G304&lt;=0,$G304&gt;1)),"Peso fuera de rango"&amp;" · ","")&amp;IF(AND($S304="Sub",$G304&lt;&gt;""),"Las subactividades no llevan peso"&amp;" · ","")&amp;IF(AND($S304="Macro",ABS(SUMIFS($G$5:$G$1000,$P$5:$P$1000,$P304,$S$5:$S$1000,"Macro")-1)&gt;0.0001),"Pesos del mes suman "&amp;TEXT(SUMIFS($G$5:$G$1000,$P$5:$P$1000,$P304,$S$5:$S$1000,"Macro"),"0%")&amp;" · ","")&amp;IF(AND(N($T304)&gt;0,COUNT($H304:$K304)&gt;0),"Con subactividades: deje vacías las semanas (se calculan solas)"&amp;" · ","")&amp;IF((COUNTIF($H304:$K304,"&gt;1")+COUNTIF($H304:$K304,"&lt;0")+COUNTA($H304:$K304)-COUNT($H304:$K304))&gt;0,"Avance fuera de rango 0-100%"&amp;" · ","")&amp;IF(OR(AND($I304&lt;&gt;"",$I304&lt;$H304),AND($J304&lt;&gt;"",$J304&lt;MAX($H304:$I304)),AND($K304&lt;&gt;"",$K304&lt;MAX($H304:$J304))),"Avance semanal decreciente"&amp;" · ","")&amp;IF(AND(ISNUMBER($F304),$F304&lt;FechaRef,N($L304)&lt;1),"Vencida"&amp;" · ","")&amp;IF(AND(ObsObligatoria="Sí",ISNUMBER($F304),$F304&lt;FechaRef,N($L304)&lt;1,$N304=""),"Vencida sin observación"&amp;" · ",""))="","✔ OK","⚠ "&amp;LEFT(IF(AND($S304="Macro",$B304=""),"Macroactividad vacía"&amp;" · ","")&amp;IF(AND($B304&lt;&gt;"",$C304&lt;&gt;""),"Escriba la subactividad en otra fila, debajo de su macroactividad"&amp;" · ","")&amp;IF(AND($S304="Sub",N($R304)=0),"Subactividad sin macroactividad arriba"&amp;" · ","")&amp;IF($D304="","Sin responsable"&amp;" · ","")&amp;IF($E304="","Sin fecha de inicio"&amp;" · ","")&amp;IF($F304="","Sin fecha límite"&amp;" · ","")&amp;IF(OR(AND($E304&lt;&gt;"",NOT(ISNUMBER($E304))),AND($F304&lt;&gt;"",NOT(ISNUMBER($F304)))),"Fecha no válida"&amp;" · ","")&amp;IF(AND(ISNUMBER($E304),ISNUMBER($F304),$E304&gt;$F304),"Inicio posterior a fecha límite"&amp;" · ","")&amp;IF(AND($S304="Macro",$G304=""),"Peso vacío"&amp;" · ","")&amp;IF(AND($S304="Macro",$G304&lt;&gt;"",OR(NOT(ISNUMBER($G304)),$G304&lt;=0,$G304&gt;1)),"Peso fuera de rango"&amp;" · ","")&amp;IF(AND($S304="Sub",$G304&lt;&gt;""),"Las subactividades no llevan peso"&amp;" · ","")&amp;IF(AND($S304="Macro",ABS(SUMIFS($G$5:$G$1000,$P$5:$P$1000,$P304,$S$5:$S$1000,"Macro")-1)&gt;0.0001),"Pesos del mes suman "&amp;TEXT(SUMIFS($G$5:$G$1000,$P$5:$P$1000,$P304,$S$5:$S$1000,"Macro"),"0%")&amp;" · ","")&amp;IF(AND(N($T304)&gt;0,COUNT($H304:$K304)&gt;0),"Con subactividades: deje vacías las semanas (se calculan solas)"&amp;" · ","")&amp;IF((COUNTIF($H304:$K304,"&gt;1")+COUNTIF($H304:$K304,"&lt;0")+COUNTA($H304:$K304)-COUNT($H304:$K304))&gt;0,"Avance fuera de rango 0-100%"&amp;" · ","")&amp;IF(OR(AND($I304&lt;&gt;"",$I304&lt;$H304),AND($J304&lt;&gt;"",$J304&lt;MAX($H304:$I304)),AND($K304&lt;&gt;"",$K304&lt;MAX($H304:$J304))),"Avance semanal decreciente"&amp;" · ","")&amp;IF(AND(ISNUMBER($F304),$F304&lt;FechaRef,N($L304)&lt;1),"Vencida"&amp;" · ","")&amp;IF(AND(ObsObligatoria="Sí",ISNUMBER($F304),$F304&lt;FechaRef,N($L304)&lt;1,$N304=""),"Vencida sin observación"&amp;" · ",""),LEN(IF(AND($S304="Macro",$B304=""),"Macroactividad vacía"&amp;" · ","")&amp;IF(AND($B304&lt;&gt;"",$C304&lt;&gt;""),"Escriba la subactividad en otra fila, debajo de su macroactividad"&amp;" · ","")&amp;IF(AND($S304="Sub",N($R304)=0),"Subactividad sin macroactividad arriba"&amp;" · ","")&amp;IF($D304="","Sin responsable"&amp;" · ","")&amp;IF($E304="","Sin fecha de inicio"&amp;" · ","")&amp;IF($F304="","Sin fecha límite"&amp;" · ","")&amp;IF(OR(AND($E304&lt;&gt;"",NOT(ISNUMBER($E304))),AND($F304&lt;&gt;"",NOT(ISNUMBER($F304)))),"Fecha no válida"&amp;" · ","")&amp;IF(AND(ISNUMBER($E304),ISNUMBER($F304),$E304&gt;$F304),"Inicio posterior a fecha límite"&amp;" · ","")&amp;IF(AND($S304="Macro",$G304=""),"Peso vacío"&amp;" · ","")&amp;IF(AND($S304="Macro",$G304&lt;&gt;"",OR(NOT(ISNUMBER($G304)),$G304&lt;=0,$G304&gt;1)),"Peso fuera de rango"&amp;" · ","")&amp;IF(AND($S304="Sub",$G304&lt;&gt;""),"Las subactividades no llevan peso"&amp;" · ","")&amp;IF(AND($S304="Macro",ABS(SUMIFS($G$5:$G$1000,$P$5:$P$1000,$P304,$S$5:$S$1000,"Macro")-1)&gt;0.0001),"Pesos del mes suman "&amp;TEXT(SUMIFS($G$5:$G$1000,$P$5:$P$1000,$P304,$S$5:$S$1000,"Macro"),"0%")&amp;" · ","")&amp;IF(AND(N($T304)&gt;0,COUNT($H304:$K304)&gt;0),"Con subactividades: deje vacías las semanas (se calculan solas)"&amp;" · ","")&amp;IF((COUNTIF($H304:$K304,"&gt;1")+COUNTIF($H304:$K304,"&lt;0")+COUNTA($H304:$K304)-COUNT($H304:$K304))&gt;0,"Avance fuera de rango 0-100%"&amp;" · ","")&amp;IF(OR(AND($I304&lt;&gt;"",$I304&lt;$H304),AND($J304&lt;&gt;"",$J304&lt;MAX($H304:$I304)),AND($K304&lt;&gt;"",$K304&lt;MAX($H304:$J304))),"Avance semanal decreciente"&amp;" · ","")&amp;IF(AND(ISNUMBER($F304),$F304&lt;FechaRef,N($L304)&lt;1),"Vencida"&amp;" · ","")&amp;IF(AND(ObsObligatoria="Sí",ISNUMBER($F304),$F304&lt;FechaRef,N($L304)&lt;1,$N304=""),"Vencida sin observación"&amp;" · ",""))-3)))</f>
        <v/>
      </c>
      <c r="P304" s="69">
        <f>IF(NOT((COUNTA($B304:$K304)+COUNTA($N304))&gt;0),"",IF(AND($S304="Sub",N($R304)&gt;0),IF(ISNUMBER(INDEX($E$5:$E$1000,$R304-4)),DATE(YEAR(INDEX($E$5:$E$1000,$R304-4)),MONTH(INDEX($E$5:$E$1000,$R304-4)),1),IF(ISNUMBER(INDEX($F$5:$F$1000,$R304-4)),DATE(YEAR(INDEX($F$5:$F$1000,$R304-4)),MONTH(INDEX($F$5:$F$1000,$R304-4)),1),MesCiclo)),IF(ISNUMBER($E304),DATE(YEAR($E304),MONTH($E304),1),IF(ISNUMBER($F304),DATE(YEAR($F304),MONTH($F304),1),MesCiclo))))</f>
        <v/>
      </c>
      <c r="Q304" s="70">
        <f>IF(OR($P304="",$P304&lt;&gt;MesCiclo),"",COUNTIF($P$5:$P304,MesCiclo))</f>
        <v/>
      </c>
      <c r="R304" s="70">
        <f>IF($S304="","",IF($S304="Macro",ROW(),IFERROR(LOOKUP(2,1/($S$5:$S304="Macro"),ROW($S$5:$S304)),0)))</f>
        <v/>
      </c>
      <c r="S304" s="70">
        <f>IF(NOT((COUNTA($B304:$K304)+COUNTA($N304))&gt;0),"",IF($B304&lt;&gt;"","Macro",IF($C304&lt;&gt;"","Sub","Macro")))</f>
        <v/>
      </c>
      <c r="T304" s="70">
        <f>IF($S304="Macro",COUNTIFS($R$5:$R$1000,ROW(),$S$5:$S$1000,"Sub"),"")</f>
        <v/>
      </c>
      <c r="U304" s="70">
        <f>IF($S304="","",IF(ISNUMBER($H304),$H304,0))</f>
        <v/>
      </c>
      <c r="V304" s="70">
        <f>IF($S304="","",IF(ISNUMBER($I304),$I304,$U304))</f>
        <v/>
      </c>
      <c r="W304" s="70">
        <f>IF($S304="","",IF(ISNUMBER($J304),$J304,$V304))</f>
        <v/>
      </c>
      <c r="X304" s="70">
        <f>IF($S304="","",IF(ISNUMBER($K304),$K304,$W304))</f>
        <v/>
      </c>
      <c r="Y304" s="70">
        <f>IF($S304="","",IF(N($T304)&gt;0,AVERAGEIFS($U$5:$U$1000,$R$5:$R$1000,ROW(),$S$5:$S$1000,"Sub"),$U304))</f>
        <v/>
      </c>
      <c r="Z304" s="70">
        <f>IF($S304="","",IF(N($T304)&gt;0,AVERAGEIFS($V$5:$V$1000,$R$5:$R$1000,ROW(),$S$5:$S$1000,"Sub"),$V304))</f>
        <v/>
      </c>
      <c r="AA304" s="70">
        <f>IF($S304="","",IF(N($T304)&gt;0,AVERAGEIFS($W$5:$W$1000,$R$5:$R$1000,ROW(),$S$5:$S$1000,"Sub"),$W304))</f>
        <v/>
      </c>
      <c r="AB304" s="70">
        <f>IF($S304="","",IF(N($T304)&gt;0,AVERAGEIFS($X$5:$X$1000,$R$5:$R$1000,ROW(),$S$5:$S$1000,"Sub"),$X304))</f>
        <v/>
      </c>
    </row>
  </sheetData>
  <sheetProtection selectLockedCells="0" selectUnlockedCells="0" sheet="1" objects="0" insertRows="1" insertHyperlinks="1" autoFilter="0" scenarios="0" formatColumns="0" deleteColumns="1" insertColumns="1" pivotTables="1" deleteRows="1" formatCells="1" formatRows="0" sort="0"/>
  <mergeCells count="3">
    <mergeCell ref="F3:G3"/>
    <mergeCell ref="A1:P1"/>
    <mergeCell ref="A2:P2"/>
  </mergeCells>
  <conditionalFormatting sqref="F3:G3">
    <cfRule type="expression" priority="1" dxfId="1">
      <formula>LEFT($F$3,1)="⚠"</formula>
    </cfRule>
    <cfRule type="expression" priority="2" dxfId="0">
      <formula>LEFT($F$3,1)="✔"</formula>
    </cfRule>
  </conditionalFormatting>
  <conditionalFormatting sqref="M5:M1000">
    <cfRule type="expression" priority="3" dxfId="0">
      <formula>$M5="Completado"</formula>
    </cfRule>
    <cfRule type="expression" priority="4" dxfId="4">
      <formula>$M5="En curso"</formula>
    </cfRule>
    <cfRule type="expression" priority="5" dxfId="5">
      <formula>$M5="Pendiente"</formula>
    </cfRule>
  </conditionalFormatting>
  <conditionalFormatting sqref="L5:L1000">
    <cfRule type="expression" priority="6" dxfId="0">
      <formula>AND(ISNUMBER($L5),$L5&gt;=1)</formula>
    </cfRule>
    <cfRule type="dataBar" priority="7">
      <dataBar showValue="1">
        <cfvo type="num" val="0"/>
        <cfvo type="num" val="1"/>
        <color rgb="005B9BD5"/>
      </dataBar>
    </cfRule>
  </conditionalFormatting>
  <conditionalFormatting sqref="F5:F1000">
    <cfRule type="expression" priority="8" dxfId="6" stopIfTrue="1">
      <formula>AND(ISNUMBER($F5),$F5&lt;FechaRef,N($L5)&lt;1)</formula>
    </cfRule>
    <cfRule type="expression" priority="9" dxfId="7">
      <formula>AND(ISNUMBER($F5),$F5&gt;=FechaRef,$F5-FechaRef&lt;=DiasAlerta,N($L5)&lt;1)</formula>
    </cfRule>
  </conditionalFormatting>
  <conditionalFormatting sqref="B5:B1000">
    <cfRule type="expression" priority="10" dxfId="5" stopIfTrue="1">
      <formula>AND($S5="Macro",$B5="")</formula>
    </cfRule>
    <cfRule type="expression" priority="11" dxfId="17">
      <formula>$S5="Macro"</formula>
    </cfRule>
  </conditionalFormatting>
  <conditionalFormatting sqref="C5:C1000">
    <cfRule type="expression" priority="12" dxfId="5">
      <formula>AND($B5&lt;&gt;"",$C5&lt;&gt;"")</formula>
    </cfRule>
  </conditionalFormatting>
  <conditionalFormatting sqref="D5:D1000">
    <cfRule type="expression" priority="13" dxfId="5">
      <formula>AND((COUNTA($B5:$K5)+COUNTA($N5))&gt;0,D5="")</formula>
    </cfRule>
  </conditionalFormatting>
  <conditionalFormatting sqref="E5:F1000">
    <cfRule type="expression" priority="14" dxfId="5" stopIfTrue="1">
      <formula>AND((COUNTA($B5:$K5)+COUNTA($N5))&gt;0,E5="")</formula>
    </cfRule>
    <cfRule type="expression" priority="15" dxfId="6">
      <formula>AND(ISNUMBER($E5),ISNUMBER($F5),$E5&gt;$F5)</formula>
    </cfRule>
  </conditionalFormatting>
  <conditionalFormatting sqref="G5:G1000">
    <cfRule type="expression" priority="16" dxfId="11" stopIfTrue="1">
      <formula>$S5="Sub"</formula>
    </cfRule>
    <cfRule type="expression" priority="17" dxfId="5" stopIfTrue="1">
      <formula>AND($S5="Macro",G5="")</formula>
    </cfRule>
    <cfRule type="expression" priority="18" dxfId="7">
      <formula>AND($S5="Macro",ABS(SUMIFS($G$5:$G$1000,$P$5:$P$1000,$P5,$S$5:$S$1000,"Macro")-1)&gt;0.0001)</formula>
    </cfRule>
  </conditionalFormatting>
  <conditionalFormatting sqref="H5:K1000">
    <cfRule type="expression" priority="19" dxfId="5" stopIfTrue="1">
      <formula>AND(N($T5)&gt;0,H5&lt;&gt;"")</formula>
    </cfRule>
    <cfRule type="expression" priority="20" dxfId="12" stopIfTrue="1">
      <formula>N($T5)&gt;0</formula>
    </cfRule>
    <cfRule type="expression" priority="21" dxfId="5" stopIfTrue="1">
      <formula>AND(H5&lt;&gt;"",OR(NOT(ISNUMBER(H5)),H5&gt;1,H5&lt;0))</formula>
    </cfRule>
  </conditionalFormatting>
  <conditionalFormatting sqref="I5:K1000">
    <cfRule type="expression" priority="22" dxfId="6">
      <formula>AND(I5&lt;&gt;"",I5&lt;MAX($H5:H5))</formula>
    </cfRule>
  </conditionalFormatting>
  <conditionalFormatting sqref="N5:N1000">
    <cfRule type="expression" priority="23" dxfId="5">
      <formula>AND(ObsObligatoria="Sí",ISNUMBER($F5),$F5&lt;FechaRef,N($L5)&lt;1,$N5="")</formula>
    </cfRule>
  </conditionalFormatting>
  <conditionalFormatting sqref="O5:O1000">
    <cfRule type="expression" priority="24" dxfId="5">
      <formula>LEFT($O5,1)="⚠"</formula>
    </cfRule>
    <cfRule type="expression" priority="25" dxfId="13">
      <formula>LEFT($O5,1)="✔"</formula>
    </cfRule>
  </conditionalFormatting>
  <conditionalFormatting sqref="P5:P1000">
    <cfRule type="expression" priority="26" dxfId="1">
      <formula>AND($P5&lt;&gt;"",$P5=MesCiclo)</formula>
    </cfRule>
  </conditionalFormatting>
  <conditionalFormatting sqref="A5:A1000">
    <cfRule type="expression" priority="27" dxfId="17">
      <formula>$S5="Macro"</formula>
    </cfRule>
  </conditionalFormatting>
  <dataValidations count="4">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Peso no válido" error="Ingrese un porcentaje entre 0% y 100% (por ejemplo 25%)." promptTitle="Peso (solo macroactividades)" prompt="Qué tanto vale la macroactividad en el mes. Las subactividades no llevan peso." type="decimal" operator="between">
      <formula1>0</formula1>
      <formula2>1</formula2>
    </dataValidation>
    <dataValidation sqref="H5:K1000" showDropDown="0" showInputMessage="1" showErrorMessage="1" allowBlank="1" errorTitle="Avance no válido" error="Ingrese un porcentaje entre 0% y 100%. Deje la celda vacía si la semana no ha llegado." promptTitle="Avance acumulado" prompt="% TOTAL logrado hasta esta semana. Si la macroactividad tiene subactividades, déjelo vacío: se calcula solo." type="decimal" operator="between">
      <formula1>0</formula1>
      <formula2>1</formula2>
    </dataValidation>
    <dataValidation sqref="C5:C1000" showDropDown="0" showInputMessage="1" showErrorMessage="0" allowBlank="1" promptTitle="Subactividad" prompt="Escríbala en la fila de abajo de su macroactividad, dejando vacía «Macro Actividad». Puede agregar todas las que necesite." type="textLength" operator="greaterThan">
      <formula1>0</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548235"/>
    <outlinePr summaryBelow="1" summaryRight="1"/>
    <pageSetUpPr fitToPage="1"/>
  </sheetPr>
  <dimension ref="A1:P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22" customWidth="1" min="3" max="3"/>
    <col width="12" customWidth="1" min="4" max="4"/>
    <col width="12" customWidth="1" min="5" max="5"/>
    <col width="16" customWidth="1" min="6" max="6"/>
    <col width="11" customWidth="1" min="7" max="7"/>
    <col width="11" customWidth="1" min="8" max="8"/>
    <col width="11" customWidth="1" min="9" max="9"/>
    <col width="11" customWidth="1" min="10" max="10"/>
    <col width="12" customWidth="1" min="11" max="11"/>
    <col width="13" customWidth="1" min="12" max="12"/>
    <col width="46" customWidth="1" min="13" max="13"/>
    <col hidden="1" width="13" customWidth="1" min="14" max="14"/>
    <col hidden="1" width="13" customWidth="1" min="15" max="15"/>
    <col hidden="1" width="13" customWidth="1" min="16" max="16"/>
  </cols>
  <sheetData>
    <row r="1" ht="28" customHeight="1">
      <c r="A1" s="79" t="inlineStr">
        <is>
          <t>Actividades del mes por semana – Riesgo Financiero</t>
        </is>
      </c>
      <c r="B1" s="79" t="n"/>
      <c r="C1" s="79" t="n"/>
      <c r="D1" s="79" t="n"/>
      <c r="E1" s="79" t="n"/>
      <c r="F1" s="79" t="n"/>
      <c r="G1" s="79" t="n"/>
      <c r="H1" s="79" t="n"/>
      <c r="I1" s="79" t="n"/>
      <c r="J1" s="79" t="n"/>
      <c r="K1" s="79" t="n"/>
      <c r="L1" s="79" t="n"/>
      <c r="M1" s="79" t="n"/>
    </row>
    <row r="2" ht="32" customHeight="1">
      <c r="A2" s="71" t="inlineStr">
        <is>
          <t>HOJA AUTOMÁTICA Y BLOQUEADA: muestra solo las actividades del mes indicado abajo, tomadas de «Cronograma R. Financiero». No hay que escribir nada aquí. La barra de color marca las semanas en que cada actividad está programada (de la fecha de inicio a la fecha límite) y dentro aparece el avance registrado en esa semana.</t>
        </is>
      </c>
      <c r="B2" s="71" t="n"/>
      <c r="C2" s="71" t="n"/>
      <c r="D2" s="71" t="n"/>
      <c r="E2" s="71" t="n"/>
      <c r="F2" s="71" t="n"/>
      <c r="G2" s="71" t="n"/>
      <c r="H2" s="71" t="n"/>
      <c r="I2" s="71" t="n"/>
      <c r="J2" s="71" t="n"/>
      <c r="K2" s="71" t="n"/>
      <c r="L2" s="71" t="n"/>
      <c r="M2" s="71" t="n"/>
    </row>
    <row r="3">
      <c r="A3" s="72" t="inlineStr">
        <is>
          <t>Mes:</t>
        </is>
      </c>
      <c r="B3" s="73">
        <f>MesCiclo</f>
        <v/>
      </c>
      <c r="F3" s="74" t="inlineStr">
        <is>
          <t>Semana del:</t>
        </is>
      </c>
      <c r="G3" s="75">
        <f>(InicioCiclo+0)</f>
        <v/>
      </c>
      <c r="H3" s="75">
        <f>(InicioCiclo+7)</f>
        <v/>
      </c>
      <c r="I3" s="75">
        <f>(InicioCiclo+14)</f>
        <v/>
      </c>
      <c r="J3" s="75">
        <f>(InicioCiclo+21)</f>
        <v/>
      </c>
    </row>
    <row r="4" ht="34" customHeight="1">
      <c r="A4" s="60" t="inlineStr">
        <is>
          <t>N°</t>
        </is>
      </c>
      <c r="B4" s="60" t="inlineStr">
        <is>
          <t>Macro Actividad / Subactividad</t>
        </is>
      </c>
      <c r="C4" s="60" t="inlineStr">
        <is>
          <t>Responsable</t>
        </is>
      </c>
      <c r="D4" s="60" t="inlineStr">
        <is>
          <t>Fecha de inicio</t>
        </is>
      </c>
      <c r="E4" s="60" t="inlineStr">
        <is>
          <t>Fecha límite</t>
        </is>
      </c>
      <c r="F4" s="60" t="inlineStr">
        <is>
          <t>Semana de entrega</t>
        </is>
      </c>
      <c r="G4" s="50" t="inlineStr">
        <is>
          <t>Semana 1</t>
        </is>
      </c>
      <c r="H4" s="50" t="inlineStr">
        <is>
          <t>Semana 2</t>
        </is>
      </c>
      <c r="I4" s="50" t="inlineStr">
        <is>
          <t>Semana 3</t>
        </is>
      </c>
      <c r="J4" s="50" t="inlineStr">
        <is>
          <t>Semana 4</t>
        </is>
      </c>
      <c r="K4" s="60" t="inlineStr">
        <is>
          <t>% Avance actual</t>
        </is>
      </c>
      <c r="L4" s="60" t="inlineStr">
        <is>
          <t>Estado</t>
        </is>
      </c>
      <c r="M4" s="60" t="inlineStr">
        <is>
          <t>Observaciones</t>
        </is>
      </c>
      <c r="N4" t="inlineStr">
        <is>
          <t>Fila origen (aux)</t>
        </is>
      </c>
      <c r="O4" t="inlineStr">
        <is>
          <t>Tipo (aux)</t>
        </is>
      </c>
      <c r="P4" t="inlineStr">
        <is>
          <t>N subactividades (aux)</t>
        </is>
      </c>
    </row>
    <row r="5">
      <c r="A5" s="61">
        <f>IF($N5="","",INDEX('Cronograma R. Financiero'!$A$5:$A$1000,$N5))</f>
        <v/>
      </c>
      <c r="B5" s="70">
        <f>IF($N5="","",IF($O5="Sub","     ↳ "&amp;INDEX('Cronograma R. Financiero'!$C$5:$C$1000,$N5),INDEX('Cronograma R. Financiero'!$B$5:$B$1000,$N5)&amp;""))</f>
        <v/>
      </c>
      <c r="C5" s="70">
        <f>IF($N5="","",INDEX('Cronograma R. Financiero'!$D$5:$D$1000,$N5)&amp;"")</f>
        <v/>
      </c>
      <c r="D5" s="76">
        <f>IF($N5="","",IF(INDEX('Cronograma R. Financiero'!$E$5:$E$1000,$N5)="","",INDEX('Cronograma R. Financiero'!$E$5:$E$1000,$N5)))</f>
        <v/>
      </c>
      <c r="E5" s="76">
        <f>IF($N5="","",IF(INDEX('Cronograma R. Financiero'!$F$5:$F$1000,$N5)="","",INDEX('Cronograma R. Financiero'!$F$5:$F$1000,$N5)))</f>
        <v/>
      </c>
      <c r="F5" s="61">
        <f>IF($N5="","",IF(NOT(ISNUMBER($E5)),"",IF($E5&lt;InicioCiclo,"Antes del ciclo",IF($E5&gt;=InicioCiclo+28,"Después del ciclo","Semana "&amp;(INT(($E5-InicioCiclo)/7)+1)))))</f>
        <v/>
      </c>
      <c r="G5" s="67">
        <f>IF($N5="","",IF($P5&gt;0,IF(1&lt;=SemanaActual,INDEX('Cronograma R. Financiero'!$Y$5:$Y$1000,$N5),""),IF(INDEX('Cronograma R. Financiero'!$H$5:$H$1000,$N5)="","",INDEX('Cronograma R. Financiero'!$H$5:$H$1000,$N5))))</f>
        <v/>
      </c>
      <c r="H5" s="67">
        <f>IF($N5="","",IF($P5&gt;0,IF(2&lt;=SemanaActual,INDEX('Cronograma R. Financiero'!$Z$5:$Z$1000,$N5),""),IF(INDEX('Cronograma R. Financiero'!$I$5:$I$1000,$N5)="","",INDEX('Cronograma R. Financiero'!$I$5:$I$1000,$N5))))</f>
        <v/>
      </c>
      <c r="I5" s="67">
        <f>IF($N5="","",IF($P5&gt;0,IF(3&lt;=SemanaActual,INDEX('Cronograma R. Financiero'!$AA$5:$AA$1000,$N5),""),IF(INDEX('Cronograma R. Financiero'!$J$5:$J$1000,$N5)="","",INDEX('Cronograma R. Financiero'!$J$5:$J$1000,$N5))))</f>
        <v/>
      </c>
      <c r="J5" s="67">
        <f>IF($N5="","",IF($P5&gt;0,IF(4&lt;=SemanaActual,INDEX('Cronograma R. Financiero'!$AB$5:$AB$1000,$N5),""),IF(INDEX('Cronograma R. Financiero'!$K$5:$K$1000,$N5)="","",INDEX('Cronograma R. Financiero'!$K$5:$K$1000,$N5))))</f>
        <v/>
      </c>
      <c r="K5" s="67">
        <f>IF($N5="","",INDEX('Cronograma R. Financiero'!$L$5:$L$1000,$N5))</f>
        <v/>
      </c>
      <c r="L5" s="61">
        <f>IF($N5="","",IF(N($K5)&gt;=1,"Completado",IF(AND(ISNUMBER($E5),$E5&lt;FechaRef),"Vencida",IF(N($K5)&gt;0,"En curso","Pendiente"))))</f>
        <v/>
      </c>
      <c r="M5" s="70">
        <f>IF($N5="","",INDEX('Cronograma R. Financiero'!$N$5:$N$1000,$N5)&amp;"")</f>
        <v/>
      </c>
      <c r="N5">
        <f>IFERROR(MATCH(ROW()-4,rOrden_RF,0),"")</f>
        <v/>
      </c>
      <c r="O5">
        <f>IF($N5="","",INDEX('Cronograma R. Financiero'!$S$5:$S$1000,$N5))</f>
        <v/>
      </c>
      <c r="P5">
        <f>IF($N5="","",N(INDEX('Cronograma R. Financiero'!$T$5:$T$1000,$N5)))</f>
        <v/>
      </c>
    </row>
    <row r="6">
      <c r="A6" s="61">
        <f>IF($N6="","",INDEX('Cronograma R. Financiero'!$A$5:$A$1000,$N6))</f>
        <v/>
      </c>
      <c r="B6" s="70">
        <f>IF($N6="","",IF($O6="Sub","     ↳ "&amp;INDEX('Cronograma R. Financiero'!$C$5:$C$1000,$N6),INDEX('Cronograma R. Financiero'!$B$5:$B$1000,$N6)&amp;""))</f>
        <v/>
      </c>
      <c r="C6" s="70">
        <f>IF($N6="","",INDEX('Cronograma R. Financiero'!$D$5:$D$1000,$N6)&amp;"")</f>
        <v/>
      </c>
      <c r="D6" s="76">
        <f>IF($N6="","",IF(INDEX('Cronograma R. Financiero'!$E$5:$E$1000,$N6)="","",INDEX('Cronograma R. Financiero'!$E$5:$E$1000,$N6)))</f>
        <v/>
      </c>
      <c r="E6" s="76">
        <f>IF($N6="","",IF(INDEX('Cronograma R. Financiero'!$F$5:$F$1000,$N6)="","",INDEX('Cronograma R. Financiero'!$F$5:$F$1000,$N6)))</f>
        <v/>
      </c>
      <c r="F6" s="61">
        <f>IF($N6="","",IF(NOT(ISNUMBER($E6)),"",IF($E6&lt;InicioCiclo,"Antes del ciclo",IF($E6&gt;=InicioCiclo+28,"Después del ciclo","Semana "&amp;(INT(($E6-InicioCiclo)/7)+1)))))</f>
        <v/>
      </c>
      <c r="G6" s="67">
        <f>IF($N6="","",IF($P6&gt;0,IF(1&lt;=SemanaActual,INDEX('Cronograma R. Financiero'!$Y$5:$Y$1000,$N6),""),IF(INDEX('Cronograma R. Financiero'!$H$5:$H$1000,$N6)="","",INDEX('Cronograma R. Financiero'!$H$5:$H$1000,$N6))))</f>
        <v/>
      </c>
      <c r="H6" s="67">
        <f>IF($N6="","",IF($P6&gt;0,IF(2&lt;=SemanaActual,INDEX('Cronograma R. Financiero'!$Z$5:$Z$1000,$N6),""),IF(INDEX('Cronograma R. Financiero'!$I$5:$I$1000,$N6)="","",INDEX('Cronograma R. Financiero'!$I$5:$I$1000,$N6))))</f>
        <v/>
      </c>
      <c r="I6" s="67">
        <f>IF($N6="","",IF($P6&gt;0,IF(3&lt;=SemanaActual,INDEX('Cronograma R. Financiero'!$AA$5:$AA$1000,$N6),""),IF(INDEX('Cronograma R. Financiero'!$J$5:$J$1000,$N6)="","",INDEX('Cronograma R. Financiero'!$J$5:$J$1000,$N6))))</f>
        <v/>
      </c>
      <c r="J6" s="67">
        <f>IF($N6="","",IF($P6&gt;0,IF(4&lt;=SemanaActual,INDEX('Cronograma R. Financiero'!$AB$5:$AB$1000,$N6),""),IF(INDEX('Cronograma R. Financiero'!$K$5:$K$1000,$N6)="","",INDEX('Cronograma R. Financiero'!$K$5:$K$1000,$N6))))</f>
        <v/>
      </c>
      <c r="K6" s="67">
        <f>IF($N6="","",INDEX('Cronograma R. Financiero'!$L$5:$L$1000,$N6))</f>
        <v/>
      </c>
      <c r="L6" s="61">
        <f>IF($N6="","",IF(N($K6)&gt;=1,"Completado",IF(AND(ISNUMBER($E6),$E6&lt;FechaRef),"Vencida",IF(N($K6)&gt;0,"En curso","Pendiente"))))</f>
        <v/>
      </c>
      <c r="M6" s="70">
        <f>IF($N6="","",INDEX('Cronograma R. Financiero'!$N$5:$N$1000,$N6)&amp;"")</f>
        <v/>
      </c>
      <c r="N6">
        <f>IFERROR(MATCH(ROW()-4,rOrden_RF,0),"")</f>
        <v/>
      </c>
      <c r="O6">
        <f>IF($N6="","",INDEX('Cronograma R. Financiero'!$S$5:$S$1000,$N6))</f>
        <v/>
      </c>
      <c r="P6">
        <f>IF($N6="","",N(INDEX('Cronograma R. Financiero'!$T$5:$T$1000,$N6)))</f>
        <v/>
      </c>
    </row>
    <row r="7">
      <c r="A7" s="61">
        <f>IF($N7="","",INDEX('Cronograma R. Financiero'!$A$5:$A$1000,$N7))</f>
        <v/>
      </c>
      <c r="B7" s="70">
        <f>IF($N7="","",IF($O7="Sub","     ↳ "&amp;INDEX('Cronograma R. Financiero'!$C$5:$C$1000,$N7),INDEX('Cronograma R. Financiero'!$B$5:$B$1000,$N7)&amp;""))</f>
        <v/>
      </c>
      <c r="C7" s="70">
        <f>IF($N7="","",INDEX('Cronograma R. Financiero'!$D$5:$D$1000,$N7)&amp;"")</f>
        <v/>
      </c>
      <c r="D7" s="76">
        <f>IF($N7="","",IF(INDEX('Cronograma R. Financiero'!$E$5:$E$1000,$N7)="","",INDEX('Cronograma R. Financiero'!$E$5:$E$1000,$N7)))</f>
        <v/>
      </c>
      <c r="E7" s="76">
        <f>IF($N7="","",IF(INDEX('Cronograma R. Financiero'!$F$5:$F$1000,$N7)="","",INDEX('Cronograma R. Financiero'!$F$5:$F$1000,$N7)))</f>
        <v/>
      </c>
      <c r="F7" s="61">
        <f>IF($N7="","",IF(NOT(ISNUMBER($E7)),"",IF($E7&lt;InicioCiclo,"Antes del ciclo",IF($E7&gt;=InicioCiclo+28,"Después del ciclo","Semana "&amp;(INT(($E7-InicioCiclo)/7)+1)))))</f>
        <v/>
      </c>
      <c r="G7" s="67">
        <f>IF($N7="","",IF($P7&gt;0,IF(1&lt;=SemanaActual,INDEX('Cronograma R. Financiero'!$Y$5:$Y$1000,$N7),""),IF(INDEX('Cronograma R. Financiero'!$H$5:$H$1000,$N7)="","",INDEX('Cronograma R. Financiero'!$H$5:$H$1000,$N7))))</f>
        <v/>
      </c>
      <c r="H7" s="67">
        <f>IF($N7="","",IF($P7&gt;0,IF(2&lt;=SemanaActual,INDEX('Cronograma R. Financiero'!$Z$5:$Z$1000,$N7),""),IF(INDEX('Cronograma R. Financiero'!$I$5:$I$1000,$N7)="","",INDEX('Cronograma R. Financiero'!$I$5:$I$1000,$N7))))</f>
        <v/>
      </c>
      <c r="I7" s="67">
        <f>IF($N7="","",IF($P7&gt;0,IF(3&lt;=SemanaActual,INDEX('Cronograma R. Financiero'!$AA$5:$AA$1000,$N7),""),IF(INDEX('Cronograma R. Financiero'!$J$5:$J$1000,$N7)="","",INDEX('Cronograma R. Financiero'!$J$5:$J$1000,$N7))))</f>
        <v/>
      </c>
      <c r="J7" s="67">
        <f>IF($N7="","",IF($P7&gt;0,IF(4&lt;=SemanaActual,INDEX('Cronograma R. Financiero'!$AB$5:$AB$1000,$N7),""),IF(INDEX('Cronograma R. Financiero'!$K$5:$K$1000,$N7)="","",INDEX('Cronograma R. Financiero'!$K$5:$K$1000,$N7))))</f>
        <v/>
      </c>
      <c r="K7" s="67">
        <f>IF($N7="","",INDEX('Cronograma R. Financiero'!$L$5:$L$1000,$N7))</f>
        <v/>
      </c>
      <c r="L7" s="61">
        <f>IF($N7="","",IF(N($K7)&gt;=1,"Completado",IF(AND(ISNUMBER($E7),$E7&lt;FechaRef),"Vencida",IF(N($K7)&gt;0,"En curso","Pendiente"))))</f>
        <v/>
      </c>
      <c r="M7" s="70">
        <f>IF($N7="","",INDEX('Cronograma R. Financiero'!$N$5:$N$1000,$N7)&amp;"")</f>
        <v/>
      </c>
      <c r="N7">
        <f>IFERROR(MATCH(ROW()-4,rOrden_RF,0),"")</f>
        <v/>
      </c>
      <c r="O7">
        <f>IF($N7="","",INDEX('Cronograma R. Financiero'!$S$5:$S$1000,$N7))</f>
        <v/>
      </c>
      <c r="P7">
        <f>IF($N7="","",N(INDEX('Cronograma R. Financiero'!$T$5:$T$1000,$N7)))</f>
        <v/>
      </c>
    </row>
    <row r="8">
      <c r="A8" s="61">
        <f>IF($N8="","",INDEX('Cronograma R. Financiero'!$A$5:$A$1000,$N8))</f>
        <v/>
      </c>
      <c r="B8" s="70">
        <f>IF($N8="","",IF($O8="Sub","     ↳ "&amp;INDEX('Cronograma R. Financiero'!$C$5:$C$1000,$N8),INDEX('Cronograma R. Financiero'!$B$5:$B$1000,$N8)&amp;""))</f>
        <v/>
      </c>
      <c r="C8" s="70">
        <f>IF($N8="","",INDEX('Cronograma R. Financiero'!$D$5:$D$1000,$N8)&amp;"")</f>
        <v/>
      </c>
      <c r="D8" s="76">
        <f>IF($N8="","",IF(INDEX('Cronograma R. Financiero'!$E$5:$E$1000,$N8)="","",INDEX('Cronograma R. Financiero'!$E$5:$E$1000,$N8)))</f>
        <v/>
      </c>
      <c r="E8" s="76">
        <f>IF($N8="","",IF(INDEX('Cronograma R. Financiero'!$F$5:$F$1000,$N8)="","",INDEX('Cronograma R. Financiero'!$F$5:$F$1000,$N8)))</f>
        <v/>
      </c>
      <c r="F8" s="61">
        <f>IF($N8="","",IF(NOT(ISNUMBER($E8)),"",IF($E8&lt;InicioCiclo,"Antes del ciclo",IF($E8&gt;=InicioCiclo+28,"Después del ciclo","Semana "&amp;(INT(($E8-InicioCiclo)/7)+1)))))</f>
        <v/>
      </c>
      <c r="G8" s="67">
        <f>IF($N8="","",IF($P8&gt;0,IF(1&lt;=SemanaActual,INDEX('Cronograma R. Financiero'!$Y$5:$Y$1000,$N8),""),IF(INDEX('Cronograma R. Financiero'!$H$5:$H$1000,$N8)="","",INDEX('Cronograma R. Financiero'!$H$5:$H$1000,$N8))))</f>
        <v/>
      </c>
      <c r="H8" s="67">
        <f>IF($N8="","",IF($P8&gt;0,IF(2&lt;=SemanaActual,INDEX('Cronograma R. Financiero'!$Z$5:$Z$1000,$N8),""),IF(INDEX('Cronograma R. Financiero'!$I$5:$I$1000,$N8)="","",INDEX('Cronograma R. Financiero'!$I$5:$I$1000,$N8))))</f>
        <v/>
      </c>
      <c r="I8" s="67">
        <f>IF($N8="","",IF($P8&gt;0,IF(3&lt;=SemanaActual,INDEX('Cronograma R. Financiero'!$AA$5:$AA$1000,$N8),""),IF(INDEX('Cronograma R. Financiero'!$J$5:$J$1000,$N8)="","",INDEX('Cronograma R. Financiero'!$J$5:$J$1000,$N8))))</f>
        <v/>
      </c>
      <c r="J8" s="67">
        <f>IF($N8="","",IF($P8&gt;0,IF(4&lt;=SemanaActual,INDEX('Cronograma R. Financiero'!$AB$5:$AB$1000,$N8),""),IF(INDEX('Cronograma R. Financiero'!$K$5:$K$1000,$N8)="","",INDEX('Cronograma R. Financiero'!$K$5:$K$1000,$N8))))</f>
        <v/>
      </c>
      <c r="K8" s="67">
        <f>IF($N8="","",INDEX('Cronograma R. Financiero'!$L$5:$L$1000,$N8))</f>
        <v/>
      </c>
      <c r="L8" s="61">
        <f>IF($N8="","",IF(N($K8)&gt;=1,"Completado",IF(AND(ISNUMBER($E8),$E8&lt;FechaRef),"Vencida",IF(N($K8)&gt;0,"En curso","Pendiente"))))</f>
        <v/>
      </c>
      <c r="M8" s="70">
        <f>IF($N8="","",INDEX('Cronograma R. Financiero'!$N$5:$N$1000,$N8)&amp;"")</f>
        <v/>
      </c>
      <c r="N8">
        <f>IFERROR(MATCH(ROW()-4,rOrden_RF,0),"")</f>
        <v/>
      </c>
      <c r="O8">
        <f>IF($N8="","",INDEX('Cronograma R. Financiero'!$S$5:$S$1000,$N8))</f>
        <v/>
      </c>
      <c r="P8">
        <f>IF($N8="","",N(INDEX('Cronograma R. Financiero'!$T$5:$T$1000,$N8)))</f>
        <v/>
      </c>
    </row>
    <row r="9">
      <c r="A9" s="61">
        <f>IF($N9="","",INDEX('Cronograma R. Financiero'!$A$5:$A$1000,$N9))</f>
        <v/>
      </c>
      <c r="B9" s="70">
        <f>IF($N9="","",IF($O9="Sub","     ↳ "&amp;INDEX('Cronograma R. Financiero'!$C$5:$C$1000,$N9),INDEX('Cronograma R. Financiero'!$B$5:$B$1000,$N9)&amp;""))</f>
        <v/>
      </c>
      <c r="C9" s="70">
        <f>IF($N9="","",INDEX('Cronograma R. Financiero'!$D$5:$D$1000,$N9)&amp;"")</f>
        <v/>
      </c>
      <c r="D9" s="76">
        <f>IF($N9="","",IF(INDEX('Cronograma R. Financiero'!$E$5:$E$1000,$N9)="","",INDEX('Cronograma R. Financiero'!$E$5:$E$1000,$N9)))</f>
        <v/>
      </c>
      <c r="E9" s="76">
        <f>IF($N9="","",IF(INDEX('Cronograma R. Financiero'!$F$5:$F$1000,$N9)="","",INDEX('Cronograma R. Financiero'!$F$5:$F$1000,$N9)))</f>
        <v/>
      </c>
      <c r="F9" s="61">
        <f>IF($N9="","",IF(NOT(ISNUMBER($E9)),"",IF($E9&lt;InicioCiclo,"Antes del ciclo",IF($E9&gt;=InicioCiclo+28,"Después del ciclo","Semana "&amp;(INT(($E9-InicioCiclo)/7)+1)))))</f>
        <v/>
      </c>
      <c r="G9" s="67">
        <f>IF($N9="","",IF($P9&gt;0,IF(1&lt;=SemanaActual,INDEX('Cronograma R. Financiero'!$Y$5:$Y$1000,$N9),""),IF(INDEX('Cronograma R. Financiero'!$H$5:$H$1000,$N9)="","",INDEX('Cronograma R. Financiero'!$H$5:$H$1000,$N9))))</f>
        <v/>
      </c>
      <c r="H9" s="67">
        <f>IF($N9="","",IF($P9&gt;0,IF(2&lt;=SemanaActual,INDEX('Cronograma R. Financiero'!$Z$5:$Z$1000,$N9),""),IF(INDEX('Cronograma R. Financiero'!$I$5:$I$1000,$N9)="","",INDEX('Cronograma R. Financiero'!$I$5:$I$1000,$N9))))</f>
        <v/>
      </c>
      <c r="I9" s="67">
        <f>IF($N9="","",IF($P9&gt;0,IF(3&lt;=SemanaActual,INDEX('Cronograma R. Financiero'!$AA$5:$AA$1000,$N9),""),IF(INDEX('Cronograma R. Financiero'!$J$5:$J$1000,$N9)="","",INDEX('Cronograma R. Financiero'!$J$5:$J$1000,$N9))))</f>
        <v/>
      </c>
      <c r="J9" s="67">
        <f>IF($N9="","",IF($P9&gt;0,IF(4&lt;=SemanaActual,INDEX('Cronograma R. Financiero'!$AB$5:$AB$1000,$N9),""),IF(INDEX('Cronograma R. Financiero'!$K$5:$K$1000,$N9)="","",INDEX('Cronograma R. Financiero'!$K$5:$K$1000,$N9))))</f>
        <v/>
      </c>
      <c r="K9" s="67">
        <f>IF($N9="","",INDEX('Cronograma R. Financiero'!$L$5:$L$1000,$N9))</f>
        <v/>
      </c>
      <c r="L9" s="61">
        <f>IF($N9="","",IF(N($K9)&gt;=1,"Completado",IF(AND(ISNUMBER($E9),$E9&lt;FechaRef),"Vencida",IF(N($K9)&gt;0,"En curso","Pendiente"))))</f>
        <v/>
      </c>
      <c r="M9" s="70">
        <f>IF($N9="","",INDEX('Cronograma R. Financiero'!$N$5:$N$1000,$N9)&amp;"")</f>
        <v/>
      </c>
      <c r="N9">
        <f>IFERROR(MATCH(ROW()-4,rOrden_RF,0),"")</f>
        <v/>
      </c>
      <c r="O9">
        <f>IF($N9="","",INDEX('Cronograma R. Financiero'!$S$5:$S$1000,$N9))</f>
        <v/>
      </c>
      <c r="P9">
        <f>IF($N9="","",N(INDEX('Cronograma R. Financiero'!$T$5:$T$1000,$N9)))</f>
        <v/>
      </c>
    </row>
    <row r="10">
      <c r="A10" s="61">
        <f>IF($N10="","",INDEX('Cronograma R. Financiero'!$A$5:$A$1000,$N10))</f>
        <v/>
      </c>
      <c r="B10" s="70">
        <f>IF($N10="","",IF($O10="Sub","     ↳ "&amp;INDEX('Cronograma R. Financiero'!$C$5:$C$1000,$N10),INDEX('Cronograma R. Financiero'!$B$5:$B$1000,$N10)&amp;""))</f>
        <v/>
      </c>
      <c r="C10" s="70">
        <f>IF($N10="","",INDEX('Cronograma R. Financiero'!$D$5:$D$1000,$N10)&amp;"")</f>
        <v/>
      </c>
      <c r="D10" s="76">
        <f>IF($N10="","",IF(INDEX('Cronograma R. Financiero'!$E$5:$E$1000,$N10)="","",INDEX('Cronograma R. Financiero'!$E$5:$E$1000,$N10)))</f>
        <v/>
      </c>
      <c r="E10" s="76">
        <f>IF($N10="","",IF(INDEX('Cronograma R. Financiero'!$F$5:$F$1000,$N10)="","",INDEX('Cronograma R. Financiero'!$F$5:$F$1000,$N10)))</f>
        <v/>
      </c>
      <c r="F10" s="61">
        <f>IF($N10="","",IF(NOT(ISNUMBER($E10)),"",IF($E10&lt;InicioCiclo,"Antes del ciclo",IF($E10&gt;=InicioCiclo+28,"Después del ciclo","Semana "&amp;(INT(($E10-InicioCiclo)/7)+1)))))</f>
        <v/>
      </c>
      <c r="G10" s="67">
        <f>IF($N10="","",IF($P10&gt;0,IF(1&lt;=SemanaActual,INDEX('Cronograma R. Financiero'!$Y$5:$Y$1000,$N10),""),IF(INDEX('Cronograma R. Financiero'!$H$5:$H$1000,$N10)="","",INDEX('Cronograma R. Financiero'!$H$5:$H$1000,$N10))))</f>
        <v/>
      </c>
      <c r="H10" s="67">
        <f>IF($N10="","",IF($P10&gt;0,IF(2&lt;=SemanaActual,INDEX('Cronograma R. Financiero'!$Z$5:$Z$1000,$N10),""),IF(INDEX('Cronograma R. Financiero'!$I$5:$I$1000,$N10)="","",INDEX('Cronograma R. Financiero'!$I$5:$I$1000,$N10))))</f>
        <v/>
      </c>
      <c r="I10" s="67">
        <f>IF($N10="","",IF($P10&gt;0,IF(3&lt;=SemanaActual,INDEX('Cronograma R. Financiero'!$AA$5:$AA$1000,$N10),""),IF(INDEX('Cronograma R. Financiero'!$J$5:$J$1000,$N10)="","",INDEX('Cronograma R. Financiero'!$J$5:$J$1000,$N10))))</f>
        <v/>
      </c>
      <c r="J10" s="67">
        <f>IF($N10="","",IF($P10&gt;0,IF(4&lt;=SemanaActual,INDEX('Cronograma R. Financiero'!$AB$5:$AB$1000,$N10),""),IF(INDEX('Cronograma R. Financiero'!$K$5:$K$1000,$N10)="","",INDEX('Cronograma R. Financiero'!$K$5:$K$1000,$N10))))</f>
        <v/>
      </c>
      <c r="K10" s="67">
        <f>IF($N10="","",INDEX('Cronograma R. Financiero'!$L$5:$L$1000,$N10))</f>
        <v/>
      </c>
      <c r="L10" s="61">
        <f>IF($N10="","",IF(N($K10)&gt;=1,"Completado",IF(AND(ISNUMBER($E10),$E10&lt;FechaRef),"Vencida",IF(N($K10)&gt;0,"En curso","Pendiente"))))</f>
        <v/>
      </c>
      <c r="M10" s="70">
        <f>IF($N10="","",INDEX('Cronograma R. Financiero'!$N$5:$N$1000,$N10)&amp;"")</f>
        <v/>
      </c>
      <c r="N10">
        <f>IFERROR(MATCH(ROW()-4,rOrden_RF,0),"")</f>
        <v/>
      </c>
      <c r="O10">
        <f>IF($N10="","",INDEX('Cronograma R. Financiero'!$S$5:$S$1000,$N10))</f>
        <v/>
      </c>
      <c r="P10">
        <f>IF($N10="","",N(INDEX('Cronograma R. Financiero'!$T$5:$T$1000,$N10)))</f>
        <v/>
      </c>
    </row>
    <row r="11">
      <c r="A11" s="61">
        <f>IF($N11="","",INDEX('Cronograma R. Financiero'!$A$5:$A$1000,$N11))</f>
        <v/>
      </c>
      <c r="B11" s="70">
        <f>IF($N11="","",IF($O11="Sub","     ↳ "&amp;INDEX('Cronograma R. Financiero'!$C$5:$C$1000,$N11),INDEX('Cronograma R. Financiero'!$B$5:$B$1000,$N11)&amp;""))</f>
        <v/>
      </c>
      <c r="C11" s="70">
        <f>IF($N11="","",INDEX('Cronograma R. Financiero'!$D$5:$D$1000,$N11)&amp;"")</f>
        <v/>
      </c>
      <c r="D11" s="76">
        <f>IF($N11="","",IF(INDEX('Cronograma R. Financiero'!$E$5:$E$1000,$N11)="","",INDEX('Cronograma R. Financiero'!$E$5:$E$1000,$N11)))</f>
        <v/>
      </c>
      <c r="E11" s="76">
        <f>IF($N11="","",IF(INDEX('Cronograma R. Financiero'!$F$5:$F$1000,$N11)="","",INDEX('Cronograma R. Financiero'!$F$5:$F$1000,$N11)))</f>
        <v/>
      </c>
      <c r="F11" s="61">
        <f>IF($N11="","",IF(NOT(ISNUMBER($E11)),"",IF($E11&lt;InicioCiclo,"Antes del ciclo",IF($E11&gt;=InicioCiclo+28,"Después del ciclo","Semana "&amp;(INT(($E11-InicioCiclo)/7)+1)))))</f>
        <v/>
      </c>
      <c r="G11" s="67">
        <f>IF($N11="","",IF($P11&gt;0,IF(1&lt;=SemanaActual,INDEX('Cronograma R. Financiero'!$Y$5:$Y$1000,$N11),""),IF(INDEX('Cronograma R. Financiero'!$H$5:$H$1000,$N11)="","",INDEX('Cronograma R. Financiero'!$H$5:$H$1000,$N11))))</f>
        <v/>
      </c>
      <c r="H11" s="67">
        <f>IF($N11="","",IF($P11&gt;0,IF(2&lt;=SemanaActual,INDEX('Cronograma R. Financiero'!$Z$5:$Z$1000,$N11),""),IF(INDEX('Cronograma R. Financiero'!$I$5:$I$1000,$N11)="","",INDEX('Cronograma R. Financiero'!$I$5:$I$1000,$N11))))</f>
        <v/>
      </c>
      <c r="I11" s="67">
        <f>IF($N11="","",IF($P11&gt;0,IF(3&lt;=SemanaActual,INDEX('Cronograma R. Financiero'!$AA$5:$AA$1000,$N11),""),IF(INDEX('Cronograma R. Financiero'!$J$5:$J$1000,$N11)="","",INDEX('Cronograma R. Financiero'!$J$5:$J$1000,$N11))))</f>
        <v/>
      </c>
      <c r="J11" s="67">
        <f>IF($N11="","",IF($P11&gt;0,IF(4&lt;=SemanaActual,INDEX('Cronograma R. Financiero'!$AB$5:$AB$1000,$N11),""),IF(INDEX('Cronograma R. Financiero'!$K$5:$K$1000,$N11)="","",INDEX('Cronograma R. Financiero'!$K$5:$K$1000,$N11))))</f>
        <v/>
      </c>
      <c r="K11" s="67">
        <f>IF($N11="","",INDEX('Cronograma R. Financiero'!$L$5:$L$1000,$N11))</f>
        <v/>
      </c>
      <c r="L11" s="61">
        <f>IF($N11="","",IF(N($K11)&gt;=1,"Completado",IF(AND(ISNUMBER($E11),$E11&lt;FechaRef),"Vencida",IF(N($K11)&gt;0,"En curso","Pendiente"))))</f>
        <v/>
      </c>
      <c r="M11" s="70">
        <f>IF($N11="","",INDEX('Cronograma R. Financiero'!$N$5:$N$1000,$N11)&amp;"")</f>
        <v/>
      </c>
      <c r="N11">
        <f>IFERROR(MATCH(ROW()-4,rOrden_RF,0),"")</f>
        <v/>
      </c>
      <c r="O11">
        <f>IF($N11="","",INDEX('Cronograma R. Financiero'!$S$5:$S$1000,$N11))</f>
        <v/>
      </c>
      <c r="P11">
        <f>IF($N11="","",N(INDEX('Cronograma R. Financiero'!$T$5:$T$1000,$N11)))</f>
        <v/>
      </c>
    </row>
    <row r="12">
      <c r="A12" s="61">
        <f>IF($N12="","",INDEX('Cronograma R. Financiero'!$A$5:$A$1000,$N12))</f>
        <v/>
      </c>
      <c r="B12" s="70">
        <f>IF($N12="","",IF($O12="Sub","     ↳ "&amp;INDEX('Cronograma R. Financiero'!$C$5:$C$1000,$N12),INDEX('Cronograma R. Financiero'!$B$5:$B$1000,$N12)&amp;""))</f>
        <v/>
      </c>
      <c r="C12" s="70">
        <f>IF($N12="","",INDEX('Cronograma R. Financiero'!$D$5:$D$1000,$N12)&amp;"")</f>
        <v/>
      </c>
      <c r="D12" s="76">
        <f>IF($N12="","",IF(INDEX('Cronograma R. Financiero'!$E$5:$E$1000,$N12)="","",INDEX('Cronograma R. Financiero'!$E$5:$E$1000,$N12)))</f>
        <v/>
      </c>
      <c r="E12" s="76">
        <f>IF($N12="","",IF(INDEX('Cronograma R. Financiero'!$F$5:$F$1000,$N12)="","",INDEX('Cronograma R. Financiero'!$F$5:$F$1000,$N12)))</f>
        <v/>
      </c>
      <c r="F12" s="61">
        <f>IF($N12="","",IF(NOT(ISNUMBER($E12)),"",IF($E12&lt;InicioCiclo,"Antes del ciclo",IF($E12&gt;=InicioCiclo+28,"Después del ciclo","Semana "&amp;(INT(($E12-InicioCiclo)/7)+1)))))</f>
        <v/>
      </c>
      <c r="G12" s="67">
        <f>IF($N12="","",IF($P12&gt;0,IF(1&lt;=SemanaActual,INDEX('Cronograma R. Financiero'!$Y$5:$Y$1000,$N12),""),IF(INDEX('Cronograma R. Financiero'!$H$5:$H$1000,$N12)="","",INDEX('Cronograma R. Financiero'!$H$5:$H$1000,$N12))))</f>
        <v/>
      </c>
      <c r="H12" s="67">
        <f>IF($N12="","",IF($P12&gt;0,IF(2&lt;=SemanaActual,INDEX('Cronograma R. Financiero'!$Z$5:$Z$1000,$N12),""),IF(INDEX('Cronograma R. Financiero'!$I$5:$I$1000,$N12)="","",INDEX('Cronograma R. Financiero'!$I$5:$I$1000,$N12))))</f>
        <v/>
      </c>
      <c r="I12" s="67">
        <f>IF($N12="","",IF($P12&gt;0,IF(3&lt;=SemanaActual,INDEX('Cronograma R. Financiero'!$AA$5:$AA$1000,$N12),""),IF(INDEX('Cronograma R. Financiero'!$J$5:$J$1000,$N12)="","",INDEX('Cronograma R. Financiero'!$J$5:$J$1000,$N12))))</f>
        <v/>
      </c>
      <c r="J12" s="67">
        <f>IF($N12="","",IF($P12&gt;0,IF(4&lt;=SemanaActual,INDEX('Cronograma R. Financiero'!$AB$5:$AB$1000,$N12),""),IF(INDEX('Cronograma R. Financiero'!$K$5:$K$1000,$N12)="","",INDEX('Cronograma R. Financiero'!$K$5:$K$1000,$N12))))</f>
        <v/>
      </c>
      <c r="K12" s="67">
        <f>IF($N12="","",INDEX('Cronograma R. Financiero'!$L$5:$L$1000,$N12))</f>
        <v/>
      </c>
      <c r="L12" s="61">
        <f>IF($N12="","",IF(N($K12)&gt;=1,"Completado",IF(AND(ISNUMBER($E12),$E12&lt;FechaRef),"Vencida",IF(N($K12)&gt;0,"En curso","Pendiente"))))</f>
        <v/>
      </c>
      <c r="M12" s="70">
        <f>IF($N12="","",INDEX('Cronograma R. Financiero'!$N$5:$N$1000,$N12)&amp;"")</f>
        <v/>
      </c>
      <c r="N12">
        <f>IFERROR(MATCH(ROW()-4,rOrden_RF,0),"")</f>
        <v/>
      </c>
      <c r="O12">
        <f>IF($N12="","",INDEX('Cronograma R. Financiero'!$S$5:$S$1000,$N12))</f>
        <v/>
      </c>
      <c r="P12">
        <f>IF($N12="","",N(INDEX('Cronograma R. Financiero'!$T$5:$T$1000,$N12)))</f>
        <v/>
      </c>
    </row>
    <row r="13">
      <c r="A13" s="61">
        <f>IF($N13="","",INDEX('Cronograma R. Financiero'!$A$5:$A$1000,$N13))</f>
        <v/>
      </c>
      <c r="B13" s="70">
        <f>IF($N13="","",IF($O13="Sub","     ↳ "&amp;INDEX('Cronograma R. Financiero'!$C$5:$C$1000,$N13),INDEX('Cronograma R. Financiero'!$B$5:$B$1000,$N13)&amp;""))</f>
        <v/>
      </c>
      <c r="C13" s="70">
        <f>IF($N13="","",INDEX('Cronograma R. Financiero'!$D$5:$D$1000,$N13)&amp;"")</f>
        <v/>
      </c>
      <c r="D13" s="76">
        <f>IF($N13="","",IF(INDEX('Cronograma R. Financiero'!$E$5:$E$1000,$N13)="","",INDEX('Cronograma R. Financiero'!$E$5:$E$1000,$N13)))</f>
        <v/>
      </c>
      <c r="E13" s="76">
        <f>IF($N13="","",IF(INDEX('Cronograma R. Financiero'!$F$5:$F$1000,$N13)="","",INDEX('Cronograma R. Financiero'!$F$5:$F$1000,$N13)))</f>
        <v/>
      </c>
      <c r="F13" s="61">
        <f>IF($N13="","",IF(NOT(ISNUMBER($E13)),"",IF($E13&lt;InicioCiclo,"Antes del ciclo",IF($E13&gt;=InicioCiclo+28,"Después del ciclo","Semana "&amp;(INT(($E13-InicioCiclo)/7)+1)))))</f>
        <v/>
      </c>
      <c r="G13" s="67">
        <f>IF($N13="","",IF($P13&gt;0,IF(1&lt;=SemanaActual,INDEX('Cronograma R. Financiero'!$Y$5:$Y$1000,$N13),""),IF(INDEX('Cronograma R. Financiero'!$H$5:$H$1000,$N13)="","",INDEX('Cronograma R. Financiero'!$H$5:$H$1000,$N13))))</f>
        <v/>
      </c>
      <c r="H13" s="67">
        <f>IF($N13="","",IF($P13&gt;0,IF(2&lt;=SemanaActual,INDEX('Cronograma R. Financiero'!$Z$5:$Z$1000,$N13),""),IF(INDEX('Cronograma R. Financiero'!$I$5:$I$1000,$N13)="","",INDEX('Cronograma R. Financiero'!$I$5:$I$1000,$N13))))</f>
        <v/>
      </c>
      <c r="I13" s="67">
        <f>IF($N13="","",IF($P13&gt;0,IF(3&lt;=SemanaActual,INDEX('Cronograma R. Financiero'!$AA$5:$AA$1000,$N13),""),IF(INDEX('Cronograma R. Financiero'!$J$5:$J$1000,$N13)="","",INDEX('Cronograma R. Financiero'!$J$5:$J$1000,$N13))))</f>
        <v/>
      </c>
      <c r="J13" s="67">
        <f>IF($N13="","",IF($P13&gt;0,IF(4&lt;=SemanaActual,INDEX('Cronograma R. Financiero'!$AB$5:$AB$1000,$N13),""),IF(INDEX('Cronograma R. Financiero'!$K$5:$K$1000,$N13)="","",INDEX('Cronograma R. Financiero'!$K$5:$K$1000,$N13))))</f>
        <v/>
      </c>
      <c r="K13" s="67">
        <f>IF($N13="","",INDEX('Cronograma R. Financiero'!$L$5:$L$1000,$N13))</f>
        <v/>
      </c>
      <c r="L13" s="61">
        <f>IF($N13="","",IF(N($K13)&gt;=1,"Completado",IF(AND(ISNUMBER($E13),$E13&lt;FechaRef),"Vencida",IF(N($K13)&gt;0,"En curso","Pendiente"))))</f>
        <v/>
      </c>
      <c r="M13" s="70">
        <f>IF($N13="","",INDEX('Cronograma R. Financiero'!$N$5:$N$1000,$N13)&amp;"")</f>
        <v/>
      </c>
      <c r="N13">
        <f>IFERROR(MATCH(ROW()-4,rOrden_RF,0),"")</f>
        <v/>
      </c>
      <c r="O13">
        <f>IF($N13="","",INDEX('Cronograma R. Financiero'!$S$5:$S$1000,$N13))</f>
        <v/>
      </c>
      <c r="P13">
        <f>IF($N13="","",N(INDEX('Cronograma R. Financiero'!$T$5:$T$1000,$N13)))</f>
        <v/>
      </c>
    </row>
    <row r="14">
      <c r="A14" s="61">
        <f>IF($N14="","",INDEX('Cronograma R. Financiero'!$A$5:$A$1000,$N14))</f>
        <v/>
      </c>
      <c r="B14" s="70">
        <f>IF($N14="","",IF($O14="Sub","     ↳ "&amp;INDEX('Cronograma R. Financiero'!$C$5:$C$1000,$N14),INDEX('Cronograma R. Financiero'!$B$5:$B$1000,$N14)&amp;""))</f>
        <v/>
      </c>
      <c r="C14" s="70">
        <f>IF($N14="","",INDEX('Cronograma R. Financiero'!$D$5:$D$1000,$N14)&amp;"")</f>
        <v/>
      </c>
      <c r="D14" s="76">
        <f>IF($N14="","",IF(INDEX('Cronograma R. Financiero'!$E$5:$E$1000,$N14)="","",INDEX('Cronograma R. Financiero'!$E$5:$E$1000,$N14)))</f>
        <v/>
      </c>
      <c r="E14" s="76">
        <f>IF($N14="","",IF(INDEX('Cronograma R. Financiero'!$F$5:$F$1000,$N14)="","",INDEX('Cronograma R. Financiero'!$F$5:$F$1000,$N14)))</f>
        <v/>
      </c>
      <c r="F14" s="61">
        <f>IF($N14="","",IF(NOT(ISNUMBER($E14)),"",IF($E14&lt;InicioCiclo,"Antes del ciclo",IF($E14&gt;=InicioCiclo+28,"Después del ciclo","Semana "&amp;(INT(($E14-InicioCiclo)/7)+1)))))</f>
        <v/>
      </c>
      <c r="G14" s="67">
        <f>IF($N14="","",IF($P14&gt;0,IF(1&lt;=SemanaActual,INDEX('Cronograma R. Financiero'!$Y$5:$Y$1000,$N14),""),IF(INDEX('Cronograma R. Financiero'!$H$5:$H$1000,$N14)="","",INDEX('Cronograma R. Financiero'!$H$5:$H$1000,$N14))))</f>
        <v/>
      </c>
      <c r="H14" s="67">
        <f>IF($N14="","",IF($P14&gt;0,IF(2&lt;=SemanaActual,INDEX('Cronograma R. Financiero'!$Z$5:$Z$1000,$N14),""),IF(INDEX('Cronograma R. Financiero'!$I$5:$I$1000,$N14)="","",INDEX('Cronograma R. Financiero'!$I$5:$I$1000,$N14))))</f>
        <v/>
      </c>
      <c r="I14" s="67">
        <f>IF($N14="","",IF($P14&gt;0,IF(3&lt;=SemanaActual,INDEX('Cronograma R. Financiero'!$AA$5:$AA$1000,$N14),""),IF(INDEX('Cronograma R. Financiero'!$J$5:$J$1000,$N14)="","",INDEX('Cronograma R. Financiero'!$J$5:$J$1000,$N14))))</f>
        <v/>
      </c>
      <c r="J14" s="67">
        <f>IF($N14="","",IF($P14&gt;0,IF(4&lt;=SemanaActual,INDEX('Cronograma R. Financiero'!$AB$5:$AB$1000,$N14),""),IF(INDEX('Cronograma R. Financiero'!$K$5:$K$1000,$N14)="","",INDEX('Cronograma R. Financiero'!$K$5:$K$1000,$N14))))</f>
        <v/>
      </c>
      <c r="K14" s="67">
        <f>IF($N14="","",INDEX('Cronograma R. Financiero'!$L$5:$L$1000,$N14))</f>
        <v/>
      </c>
      <c r="L14" s="61">
        <f>IF($N14="","",IF(N($K14)&gt;=1,"Completado",IF(AND(ISNUMBER($E14),$E14&lt;FechaRef),"Vencida",IF(N($K14)&gt;0,"En curso","Pendiente"))))</f>
        <v/>
      </c>
      <c r="M14" s="70">
        <f>IF($N14="","",INDEX('Cronograma R. Financiero'!$N$5:$N$1000,$N14)&amp;"")</f>
        <v/>
      </c>
      <c r="N14">
        <f>IFERROR(MATCH(ROW()-4,rOrden_RF,0),"")</f>
        <v/>
      </c>
      <c r="O14">
        <f>IF($N14="","",INDEX('Cronograma R. Financiero'!$S$5:$S$1000,$N14))</f>
        <v/>
      </c>
      <c r="P14">
        <f>IF($N14="","",N(INDEX('Cronograma R. Financiero'!$T$5:$T$1000,$N14)))</f>
        <v/>
      </c>
    </row>
    <row r="15">
      <c r="A15" s="61">
        <f>IF($N15="","",INDEX('Cronograma R. Financiero'!$A$5:$A$1000,$N15))</f>
        <v/>
      </c>
      <c r="B15" s="70">
        <f>IF($N15="","",IF($O15="Sub","     ↳ "&amp;INDEX('Cronograma R. Financiero'!$C$5:$C$1000,$N15),INDEX('Cronograma R. Financiero'!$B$5:$B$1000,$N15)&amp;""))</f>
        <v/>
      </c>
      <c r="C15" s="70">
        <f>IF($N15="","",INDEX('Cronograma R. Financiero'!$D$5:$D$1000,$N15)&amp;"")</f>
        <v/>
      </c>
      <c r="D15" s="76">
        <f>IF($N15="","",IF(INDEX('Cronograma R. Financiero'!$E$5:$E$1000,$N15)="","",INDEX('Cronograma R. Financiero'!$E$5:$E$1000,$N15)))</f>
        <v/>
      </c>
      <c r="E15" s="76">
        <f>IF($N15="","",IF(INDEX('Cronograma R. Financiero'!$F$5:$F$1000,$N15)="","",INDEX('Cronograma R. Financiero'!$F$5:$F$1000,$N15)))</f>
        <v/>
      </c>
      <c r="F15" s="61">
        <f>IF($N15="","",IF(NOT(ISNUMBER($E15)),"",IF($E15&lt;InicioCiclo,"Antes del ciclo",IF($E15&gt;=InicioCiclo+28,"Después del ciclo","Semana "&amp;(INT(($E15-InicioCiclo)/7)+1)))))</f>
        <v/>
      </c>
      <c r="G15" s="67">
        <f>IF($N15="","",IF($P15&gt;0,IF(1&lt;=SemanaActual,INDEX('Cronograma R. Financiero'!$Y$5:$Y$1000,$N15),""),IF(INDEX('Cronograma R. Financiero'!$H$5:$H$1000,$N15)="","",INDEX('Cronograma R. Financiero'!$H$5:$H$1000,$N15))))</f>
        <v/>
      </c>
      <c r="H15" s="67">
        <f>IF($N15="","",IF($P15&gt;0,IF(2&lt;=SemanaActual,INDEX('Cronograma R. Financiero'!$Z$5:$Z$1000,$N15),""),IF(INDEX('Cronograma R. Financiero'!$I$5:$I$1000,$N15)="","",INDEX('Cronograma R. Financiero'!$I$5:$I$1000,$N15))))</f>
        <v/>
      </c>
      <c r="I15" s="67">
        <f>IF($N15="","",IF($P15&gt;0,IF(3&lt;=SemanaActual,INDEX('Cronograma R. Financiero'!$AA$5:$AA$1000,$N15),""),IF(INDEX('Cronograma R. Financiero'!$J$5:$J$1000,$N15)="","",INDEX('Cronograma R. Financiero'!$J$5:$J$1000,$N15))))</f>
        <v/>
      </c>
      <c r="J15" s="67">
        <f>IF($N15="","",IF($P15&gt;0,IF(4&lt;=SemanaActual,INDEX('Cronograma R. Financiero'!$AB$5:$AB$1000,$N15),""),IF(INDEX('Cronograma R. Financiero'!$K$5:$K$1000,$N15)="","",INDEX('Cronograma R. Financiero'!$K$5:$K$1000,$N15))))</f>
        <v/>
      </c>
      <c r="K15" s="67">
        <f>IF($N15="","",INDEX('Cronograma R. Financiero'!$L$5:$L$1000,$N15))</f>
        <v/>
      </c>
      <c r="L15" s="61">
        <f>IF($N15="","",IF(N($K15)&gt;=1,"Completado",IF(AND(ISNUMBER($E15),$E15&lt;FechaRef),"Vencida",IF(N($K15)&gt;0,"En curso","Pendiente"))))</f>
        <v/>
      </c>
      <c r="M15" s="70">
        <f>IF($N15="","",INDEX('Cronograma R. Financiero'!$N$5:$N$1000,$N15)&amp;"")</f>
        <v/>
      </c>
      <c r="N15">
        <f>IFERROR(MATCH(ROW()-4,rOrden_RF,0),"")</f>
        <v/>
      </c>
      <c r="O15">
        <f>IF($N15="","",INDEX('Cronograma R. Financiero'!$S$5:$S$1000,$N15))</f>
        <v/>
      </c>
      <c r="P15">
        <f>IF($N15="","",N(INDEX('Cronograma R. Financiero'!$T$5:$T$1000,$N15)))</f>
        <v/>
      </c>
    </row>
    <row r="16">
      <c r="A16" s="61">
        <f>IF($N16="","",INDEX('Cronograma R. Financiero'!$A$5:$A$1000,$N16))</f>
        <v/>
      </c>
      <c r="B16" s="70">
        <f>IF($N16="","",IF($O16="Sub","     ↳ "&amp;INDEX('Cronograma R. Financiero'!$C$5:$C$1000,$N16),INDEX('Cronograma R. Financiero'!$B$5:$B$1000,$N16)&amp;""))</f>
        <v/>
      </c>
      <c r="C16" s="70">
        <f>IF($N16="","",INDEX('Cronograma R. Financiero'!$D$5:$D$1000,$N16)&amp;"")</f>
        <v/>
      </c>
      <c r="D16" s="76">
        <f>IF($N16="","",IF(INDEX('Cronograma R. Financiero'!$E$5:$E$1000,$N16)="","",INDEX('Cronograma R. Financiero'!$E$5:$E$1000,$N16)))</f>
        <v/>
      </c>
      <c r="E16" s="76">
        <f>IF($N16="","",IF(INDEX('Cronograma R. Financiero'!$F$5:$F$1000,$N16)="","",INDEX('Cronograma R. Financiero'!$F$5:$F$1000,$N16)))</f>
        <v/>
      </c>
      <c r="F16" s="61">
        <f>IF($N16="","",IF(NOT(ISNUMBER($E16)),"",IF($E16&lt;InicioCiclo,"Antes del ciclo",IF($E16&gt;=InicioCiclo+28,"Después del ciclo","Semana "&amp;(INT(($E16-InicioCiclo)/7)+1)))))</f>
        <v/>
      </c>
      <c r="G16" s="67">
        <f>IF($N16="","",IF($P16&gt;0,IF(1&lt;=SemanaActual,INDEX('Cronograma R. Financiero'!$Y$5:$Y$1000,$N16),""),IF(INDEX('Cronograma R. Financiero'!$H$5:$H$1000,$N16)="","",INDEX('Cronograma R. Financiero'!$H$5:$H$1000,$N16))))</f>
        <v/>
      </c>
      <c r="H16" s="67">
        <f>IF($N16="","",IF($P16&gt;0,IF(2&lt;=SemanaActual,INDEX('Cronograma R. Financiero'!$Z$5:$Z$1000,$N16),""),IF(INDEX('Cronograma R. Financiero'!$I$5:$I$1000,$N16)="","",INDEX('Cronograma R. Financiero'!$I$5:$I$1000,$N16))))</f>
        <v/>
      </c>
      <c r="I16" s="67">
        <f>IF($N16="","",IF($P16&gt;0,IF(3&lt;=SemanaActual,INDEX('Cronograma R. Financiero'!$AA$5:$AA$1000,$N16),""),IF(INDEX('Cronograma R. Financiero'!$J$5:$J$1000,$N16)="","",INDEX('Cronograma R. Financiero'!$J$5:$J$1000,$N16))))</f>
        <v/>
      </c>
      <c r="J16" s="67">
        <f>IF($N16="","",IF($P16&gt;0,IF(4&lt;=SemanaActual,INDEX('Cronograma R. Financiero'!$AB$5:$AB$1000,$N16),""),IF(INDEX('Cronograma R. Financiero'!$K$5:$K$1000,$N16)="","",INDEX('Cronograma R. Financiero'!$K$5:$K$1000,$N16))))</f>
        <v/>
      </c>
      <c r="K16" s="67">
        <f>IF($N16="","",INDEX('Cronograma R. Financiero'!$L$5:$L$1000,$N16))</f>
        <v/>
      </c>
      <c r="L16" s="61">
        <f>IF($N16="","",IF(N($K16)&gt;=1,"Completado",IF(AND(ISNUMBER($E16),$E16&lt;FechaRef),"Vencida",IF(N($K16)&gt;0,"En curso","Pendiente"))))</f>
        <v/>
      </c>
      <c r="M16" s="70">
        <f>IF($N16="","",INDEX('Cronograma R. Financiero'!$N$5:$N$1000,$N16)&amp;"")</f>
        <v/>
      </c>
      <c r="N16">
        <f>IFERROR(MATCH(ROW()-4,rOrden_RF,0),"")</f>
        <v/>
      </c>
      <c r="O16">
        <f>IF($N16="","",INDEX('Cronograma R. Financiero'!$S$5:$S$1000,$N16))</f>
        <v/>
      </c>
      <c r="P16">
        <f>IF($N16="","",N(INDEX('Cronograma R. Financiero'!$T$5:$T$1000,$N16)))</f>
        <v/>
      </c>
    </row>
    <row r="17">
      <c r="A17" s="61">
        <f>IF($N17="","",INDEX('Cronograma R. Financiero'!$A$5:$A$1000,$N17))</f>
        <v/>
      </c>
      <c r="B17" s="70">
        <f>IF($N17="","",IF($O17="Sub","     ↳ "&amp;INDEX('Cronograma R. Financiero'!$C$5:$C$1000,$N17),INDEX('Cronograma R. Financiero'!$B$5:$B$1000,$N17)&amp;""))</f>
        <v/>
      </c>
      <c r="C17" s="70">
        <f>IF($N17="","",INDEX('Cronograma R. Financiero'!$D$5:$D$1000,$N17)&amp;"")</f>
        <v/>
      </c>
      <c r="D17" s="76">
        <f>IF($N17="","",IF(INDEX('Cronograma R. Financiero'!$E$5:$E$1000,$N17)="","",INDEX('Cronograma R. Financiero'!$E$5:$E$1000,$N17)))</f>
        <v/>
      </c>
      <c r="E17" s="76">
        <f>IF($N17="","",IF(INDEX('Cronograma R. Financiero'!$F$5:$F$1000,$N17)="","",INDEX('Cronograma R. Financiero'!$F$5:$F$1000,$N17)))</f>
        <v/>
      </c>
      <c r="F17" s="61">
        <f>IF($N17="","",IF(NOT(ISNUMBER($E17)),"",IF($E17&lt;InicioCiclo,"Antes del ciclo",IF($E17&gt;=InicioCiclo+28,"Después del ciclo","Semana "&amp;(INT(($E17-InicioCiclo)/7)+1)))))</f>
        <v/>
      </c>
      <c r="G17" s="67">
        <f>IF($N17="","",IF($P17&gt;0,IF(1&lt;=SemanaActual,INDEX('Cronograma R. Financiero'!$Y$5:$Y$1000,$N17),""),IF(INDEX('Cronograma R. Financiero'!$H$5:$H$1000,$N17)="","",INDEX('Cronograma R. Financiero'!$H$5:$H$1000,$N17))))</f>
        <v/>
      </c>
      <c r="H17" s="67">
        <f>IF($N17="","",IF($P17&gt;0,IF(2&lt;=SemanaActual,INDEX('Cronograma R. Financiero'!$Z$5:$Z$1000,$N17),""),IF(INDEX('Cronograma R. Financiero'!$I$5:$I$1000,$N17)="","",INDEX('Cronograma R. Financiero'!$I$5:$I$1000,$N17))))</f>
        <v/>
      </c>
      <c r="I17" s="67">
        <f>IF($N17="","",IF($P17&gt;0,IF(3&lt;=SemanaActual,INDEX('Cronograma R. Financiero'!$AA$5:$AA$1000,$N17),""),IF(INDEX('Cronograma R. Financiero'!$J$5:$J$1000,$N17)="","",INDEX('Cronograma R. Financiero'!$J$5:$J$1000,$N17))))</f>
        <v/>
      </c>
      <c r="J17" s="67">
        <f>IF($N17="","",IF($P17&gt;0,IF(4&lt;=SemanaActual,INDEX('Cronograma R. Financiero'!$AB$5:$AB$1000,$N17),""),IF(INDEX('Cronograma R. Financiero'!$K$5:$K$1000,$N17)="","",INDEX('Cronograma R. Financiero'!$K$5:$K$1000,$N17))))</f>
        <v/>
      </c>
      <c r="K17" s="67">
        <f>IF($N17="","",INDEX('Cronograma R. Financiero'!$L$5:$L$1000,$N17))</f>
        <v/>
      </c>
      <c r="L17" s="61">
        <f>IF($N17="","",IF(N($K17)&gt;=1,"Completado",IF(AND(ISNUMBER($E17),$E17&lt;FechaRef),"Vencida",IF(N($K17)&gt;0,"En curso","Pendiente"))))</f>
        <v/>
      </c>
      <c r="M17" s="70">
        <f>IF($N17="","",INDEX('Cronograma R. Financiero'!$N$5:$N$1000,$N17)&amp;"")</f>
        <v/>
      </c>
      <c r="N17">
        <f>IFERROR(MATCH(ROW()-4,rOrden_RF,0),"")</f>
        <v/>
      </c>
      <c r="O17">
        <f>IF($N17="","",INDEX('Cronograma R. Financiero'!$S$5:$S$1000,$N17))</f>
        <v/>
      </c>
      <c r="P17">
        <f>IF($N17="","",N(INDEX('Cronograma R. Financiero'!$T$5:$T$1000,$N17)))</f>
        <v/>
      </c>
    </row>
    <row r="18">
      <c r="A18" s="61">
        <f>IF($N18="","",INDEX('Cronograma R. Financiero'!$A$5:$A$1000,$N18))</f>
        <v/>
      </c>
      <c r="B18" s="70">
        <f>IF($N18="","",IF($O18="Sub","     ↳ "&amp;INDEX('Cronograma R. Financiero'!$C$5:$C$1000,$N18),INDEX('Cronograma R. Financiero'!$B$5:$B$1000,$N18)&amp;""))</f>
        <v/>
      </c>
      <c r="C18" s="70">
        <f>IF($N18="","",INDEX('Cronograma R. Financiero'!$D$5:$D$1000,$N18)&amp;"")</f>
        <v/>
      </c>
      <c r="D18" s="76">
        <f>IF($N18="","",IF(INDEX('Cronograma R. Financiero'!$E$5:$E$1000,$N18)="","",INDEX('Cronograma R. Financiero'!$E$5:$E$1000,$N18)))</f>
        <v/>
      </c>
      <c r="E18" s="76">
        <f>IF($N18="","",IF(INDEX('Cronograma R. Financiero'!$F$5:$F$1000,$N18)="","",INDEX('Cronograma R. Financiero'!$F$5:$F$1000,$N18)))</f>
        <v/>
      </c>
      <c r="F18" s="61">
        <f>IF($N18="","",IF(NOT(ISNUMBER($E18)),"",IF($E18&lt;InicioCiclo,"Antes del ciclo",IF($E18&gt;=InicioCiclo+28,"Después del ciclo","Semana "&amp;(INT(($E18-InicioCiclo)/7)+1)))))</f>
        <v/>
      </c>
      <c r="G18" s="67">
        <f>IF($N18="","",IF($P18&gt;0,IF(1&lt;=SemanaActual,INDEX('Cronograma R. Financiero'!$Y$5:$Y$1000,$N18),""),IF(INDEX('Cronograma R. Financiero'!$H$5:$H$1000,$N18)="","",INDEX('Cronograma R. Financiero'!$H$5:$H$1000,$N18))))</f>
        <v/>
      </c>
      <c r="H18" s="67">
        <f>IF($N18="","",IF($P18&gt;0,IF(2&lt;=SemanaActual,INDEX('Cronograma R. Financiero'!$Z$5:$Z$1000,$N18),""),IF(INDEX('Cronograma R. Financiero'!$I$5:$I$1000,$N18)="","",INDEX('Cronograma R. Financiero'!$I$5:$I$1000,$N18))))</f>
        <v/>
      </c>
      <c r="I18" s="67">
        <f>IF($N18="","",IF($P18&gt;0,IF(3&lt;=SemanaActual,INDEX('Cronograma R. Financiero'!$AA$5:$AA$1000,$N18),""),IF(INDEX('Cronograma R. Financiero'!$J$5:$J$1000,$N18)="","",INDEX('Cronograma R. Financiero'!$J$5:$J$1000,$N18))))</f>
        <v/>
      </c>
      <c r="J18" s="67">
        <f>IF($N18="","",IF($P18&gt;0,IF(4&lt;=SemanaActual,INDEX('Cronograma R. Financiero'!$AB$5:$AB$1000,$N18),""),IF(INDEX('Cronograma R. Financiero'!$K$5:$K$1000,$N18)="","",INDEX('Cronograma R. Financiero'!$K$5:$K$1000,$N18))))</f>
        <v/>
      </c>
      <c r="K18" s="67">
        <f>IF($N18="","",INDEX('Cronograma R. Financiero'!$L$5:$L$1000,$N18))</f>
        <v/>
      </c>
      <c r="L18" s="61">
        <f>IF($N18="","",IF(N($K18)&gt;=1,"Completado",IF(AND(ISNUMBER($E18),$E18&lt;FechaRef),"Vencida",IF(N($K18)&gt;0,"En curso","Pendiente"))))</f>
        <v/>
      </c>
      <c r="M18" s="70">
        <f>IF($N18="","",INDEX('Cronograma R. Financiero'!$N$5:$N$1000,$N18)&amp;"")</f>
        <v/>
      </c>
      <c r="N18">
        <f>IFERROR(MATCH(ROW()-4,rOrden_RF,0),"")</f>
        <v/>
      </c>
      <c r="O18">
        <f>IF($N18="","",INDEX('Cronograma R. Financiero'!$S$5:$S$1000,$N18))</f>
        <v/>
      </c>
      <c r="P18">
        <f>IF($N18="","",N(INDEX('Cronograma R. Financiero'!$T$5:$T$1000,$N18)))</f>
        <v/>
      </c>
    </row>
    <row r="19">
      <c r="A19" s="61">
        <f>IF($N19="","",INDEX('Cronograma R. Financiero'!$A$5:$A$1000,$N19))</f>
        <v/>
      </c>
      <c r="B19" s="70">
        <f>IF($N19="","",IF($O19="Sub","     ↳ "&amp;INDEX('Cronograma R. Financiero'!$C$5:$C$1000,$N19),INDEX('Cronograma R. Financiero'!$B$5:$B$1000,$N19)&amp;""))</f>
        <v/>
      </c>
      <c r="C19" s="70">
        <f>IF($N19="","",INDEX('Cronograma R. Financiero'!$D$5:$D$1000,$N19)&amp;"")</f>
        <v/>
      </c>
      <c r="D19" s="76">
        <f>IF($N19="","",IF(INDEX('Cronograma R. Financiero'!$E$5:$E$1000,$N19)="","",INDEX('Cronograma R. Financiero'!$E$5:$E$1000,$N19)))</f>
        <v/>
      </c>
      <c r="E19" s="76">
        <f>IF($N19="","",IF(INDEX('Cronograma R. Financiero'!$F$5:$F$1000,$N19)="","",INDEX('Cronograma R. Financiero'!$F$5:$F$1000,$N19)))</f>
        <v/>
      </c>
      <c r="F19" s="61">
        <f>IF($N19="","",IF(NOT(ISNUMBER($E19)),"",IF($E19&lt;InicioCiclo,"Antes del ciclo",IF($E19&gt;=InicioCiclo+28,"Después del ciclo","Semana "&amp;(INT(($E19-InicioCiclo)/7)+1)))))</f>
        <v/>
      </c>
      <c r="G19" s="67">
        <f>IF($N19="","",IF($P19&gt;0,IF(1&lt;=SemanaActual,INDEX('Cronograma R. Financiero'!$Y$5:$Y$1000,$N19),""),IF(INDEX('Cronograma R. Financiero'!$H$5:$H$1000,$N19)="","",INDEX('Cronograma R. Financiero'!$H$5:$H$1000,$N19))))</f>
        <v/>
      </c>
      <c r="H19" s="67">
        <f>IF($N19="","",IF($P19&gt;0,IF(2&lt;=SemanaActual,INDEX('Cronograma R. Financiero'!$Z$5:$Z$1000,$N19),""),IF(INDEX('Cronograma R. Financiero'!$I$5:$I$1000,$N19)="","",INDEX('Cronograma R. Financiero'!$I$5:$I$1000,$N19))))</f>
        <v/>
      </c>
      <c r="I19" s="67">
        <f>IF($N19="","",IF($P19&gt;0,IF(3&lt;=SemanaActual,INDEX('Cronograma R. Financiero'!$AA$5:$AA$1000,$N19),""),IF(INDEX('Cronograma R. Financiero'!$J$5:$J$1000,$N19)="","",INDEX('Cronograma R. Financiero'!$J$5:$J$1000,$N19))))</f>
        <v/>
      </c>
      <c r="J19" s="67">
        <f>IF($N19="","",IF($P19&gt;0,IF(4&lt;=SemanaActual,INDEX('Cronograma R. Financiero'!$AB$5:$AB$1000,$N19),""),IF(INDEX('Cronograma R. Financiero'!$K$5:$K$1000,$N19)="","",INDEX('Cronograma R. Financiero'!$K$5:$K$1000,$N19))))</f>
        <v/>
      </c>
      <c r="K19" s="67">
        <f>IF($N19="","",INDEX('Cronograma R. Financiero'!$L$5:$L$1000,$N19))</f>
        <v/>
      </c>
      <c r="L19" s="61">
        <f>IF($N19="","",IF(N($K19)&gt;=1,"Completado",IF(AND(ISNUMBER($E19),$E19&lt;FechaRef),"Vencida",IF(N($K19)&gt;0,"En curso","Pendiente"))))</f>
        <v/>
      </c>
      <c r="M19" s="70">
        <f>IF($N19="","",INDEX('Cronograma R. Financiero'!$N$5:$N$1000,$N19)&amp;"")</f>
        <v/>
      </c>
      <c r="N19">
        <f>IFERROR(MATCH(ROW()-4,rOrden_RF,0),"")</f>
        <v/>
      </c>
      <c r="O19">
        <f>IF($N19="","",INDEX('Cronograma R. Financiero'!$S$5:$S$1000,$N19))</f>
        <v/>
      </c>
      <c r="P19">
        <f>IF($N19="","",N(INDEX('Cronograma R. Financiero'!$T$5:$T$1000,$N19)))</f>
        <v/>
      </c>
    </row>
    <row r="20">
      <c r="A20" s="61">
        <f>IF($N20="","",INDEX('Cronograma R. Financiero'!$A$5:$A$1000,$N20))</f>
        <v/>
      </c>
      <c r="B20" s="70">
        <f>IF($N20="","",IF($O20="Sub","     ↳ "&amp;INDEX('Cronograma R. Financiero'!$C$5:$C$1000,$N20),INDEX('Cronograma R. Financiero'!$B$5:$B$1000,$N20)&amp;""))</f>
        <v/>
      </c>
      <c r="C20" s="70">
        <f>IF($N20="","",INDEX('Cronograma R. Financiero'!$D$5:$D$1000,$N20)&amp;"")</f>
        <v/>
      </c>
      <c r="D20" s="76">
        <f>IF($N20="","",IF(INDEX('Cronograma R. Financiero'!$E$5:$E$1000,$N20)="","",INDEX('Cronograma R. Financiero'!$E$5:$E$1000,$N20)))</f>
        <v/>
      </c>
      <c r="E20" s="76">
        <f>IF($N20="","",IF(INDEX('Cronograma R. Financiero'!$F$5:$F$1000,$N20)="","",INDEX('Cronograma R. Financiero'!$F$5:$F$1000,$N20)))</f>
        <v/>
      </c>
      <c r="F20" s="61">
        <f>IF($N20="","",IF(NOT(ISNUMBER($E20)),"",IF($E20&lt;InicioCiclo,"Antes del ciclo",IF($E20&gt;=InicioCiclo+28,"Después del ciclo","Semana "&amp;(INT(($E20-InicioCiclo)/7)+1)))))</f>
        <v/>
      </c>
      <c r="G20" s="67">
        <f>IF($N20="","",IF($P20&gt;0,IF(1&lt;=SemanaActual,INDEX('Cronograma R. Financiero'!$Y$5:$Y$1000,$N20),""),IF(INDEX('Cronograma R. Financiero'!$H$5:$H$1000,$N20)="","",INDEX('Cronograma R. Financiero'!$H$5:$H$1000,$N20))))</f>
        <v/>
      </c>
      <c r="H20" s="67">
        <f>IF($N20="","",IF($P20&gt;0,IF(2&lt;=SemanaActual,INDEX('Cronograma R. Financiero'!$Z$5:$Z$1000,$N20),""),IF(INDEX('Cronograma R. Financiero'!$I$5:$I$1000,$N20)="","",INDEX('Cronograma R. Financiero'!$I$5:$I$1000,$N20))))</f>
        <v/>
      </c>
      <c r="I20" s="67">
        <f>IF($N20="","",IF($P20&gt;0,IF(3&lt;=SemanaActual,INDEX('Cronograma R. Financiero'!$AA$5:$AA$1000,$N20),""),IF(INDEX('Cronograma R. Financiero'!$J$5:$J$1000,$N20)="","",INDEX('Cronograma R. Financiero'!$J$5:$J$1000,$N20))))</f>
        <v/>
      </c>
      <c r="J20" s="67">
        <f>IF($N20="","",IF($P20&gt;0,IF(4&lt;=SemanaActual,INDEX('Cronograma R. Financiero'!$AB$5:$AB$1000,$N20),""),IF(INDEX('Cronograma R. Financiero'!$K$5:$K$1000,$N20)="","",INDEX('Cronograma R. Financiero'!$K$5:$K$1000,$N20))))</f>
        <v/>
      </c>
      <c r="K20" s="67">
        <f>IF($N20="","",INDEX('Cronograma R. Financiero'!$L$5:$L$1000,$N20))</f>
        <v/>
      </c>
      <c r="L20" s="61">
        <f>IF($N20="","",IF(N($K20)&gt;=1,"Completado",IF(AND(ISNUMBER($E20),$E20&lt;FechaRef),"Vencida",IF(N($K20)&gt;0,"En curso","Pendiente"))))</f>
        <v/>
      </c>
      <c r="M20" s="70">
        <f>IF($N20="","",INDEX('Cronograma R. Financiero'!$N$5:$N$1000,$N20)&amp;"")</f>
        <v/>
      </c>
      <c r="N20">
        <f>IFERROR(MATCH(ROW()-4,rOrden_RF,0),"")</f>
        <v/>
      </c>
      <c r="O20">
        <f>IF($N20="","",INDEX('Cronograma R. Financiero'!$S$5:$S$1000,$N20))</f>
        <v/>
      </c>
      <c r="P20">
        <f>IF($N20="","",N(INDEX('Cronograma R. Financiero'!$T$5:$T$1000,$N20)))</f>
        <v/>
      </c>
    </row>
    <row r="21">
      <c r="A21" s="61">
        <f>IF($N21="","",INDEX('Cronograma R. Financiero'!$A$5:$A$1000,$N21))</f>
        <v/>
      </c>
      <c r="B21" s="70">
        <f>IF($N21="","",IF($O21="Sub","     ↳ "&amp;INDEX('Cronograma R. Financiero'!$C$5:$C$1000,$N21),INDEX('Cronograma R. Financiero'!$B$5:$B$1000,$N21)&amp;""))</f>
        <v/>
      </c>
      <c r="C21" s="70">
        <f>IF($N21="","",INDEX('Cronograma R. Financiero'!$D$5:$D$1000,$N21)&amp;"")</f>
        <v/>
      </c>
      <c r="D21" s="76">
        <f>IF($N21="","",IF(INDEX('Cronograma R. Financiero'!$E$5:$E$1000,$N21)="","",INDEX('Cronograma R. Financiero'!$E$5:$E$1000,$N21)))</f>
        <v/>
      </c>
      <c r="E21" s="76">
        <f>IF($N21="","",IF(INDEX('Cronograma R. Financiero'!$F$5:$F$1000,$N21)="","",INDEX('Cronograma R. Financiero'!$F$5:$F$1000,$N21)))</f>
        <v/>
      </c>
      <c r="F21" s="61">
        <f>IF($N21="","",IF(NOT(ISNUMBER($E21)),"",IF($E21&lt;InicioCiclo,"Antes del ciclo",IF($E21&gt;=InicioCiclo+28,"Después del ciclo","Semana "&amp;(INT(($E21-InicioCiclo)/7)+1)))))</f>
        <v/>
      </c>
      <c r="G21" s="67">
        <f>IF($N21="","",IF($P21&gt;0,IF(1&lt;=SemanaActual,INDEX('Cronograma R. Financiero'!$Y$5:$Y$1000,$N21),""),IF(INDEX('Cronograma R. Financiero'!$H$5:$H$1000,$N21)="","",INDEX('Cronograma R. Financiero'!$H$5:$H$1000,$N21))))</f>
        <v/>
      </c>
      <c r="H21" s="67">
        <f>IF($N21="","",IF($P21&gt;0,IF(2&lt;=SemanaActual,INDEX('Cronograma R. Financiero'!$Z$5:$Z$1000,$N21),""),IF(INDEX('Cronograma R. Financiero'!$I$5:$I$1000,$N21)="","",INDEX('Cronograma R. Financiero'!$I$5:$I$1000,$N21))))</f>
        <v/>
      </c>
      <c r="I21" s="67">
        <f>IF($N21="","",IF($P21&gt;0,IF(3&lt;=SemanaActual,INDEX('Cronograma R. Financiero'!$AA$5:$AA$1000,$N21),""),IF(INDEX('Cronograma R. Financiero'!$J$5:$J$1000,$N21)="","",INDEX('Cronograma R. Financiero'!$J$5:$J$1000,$N21))))</f>
        <v/>
      </c>
      <c r="J21" s="67">
        <f>IF($N21="","",IF($P21&gt;0,IF(4&lt;=SemanaActual,INDEX('Cronograma R. Financiero'!$AB$5:$AB$1000,$N21),""),IF(INDEX('Cronograma R. Financiero'!$K$5:$K$1000,$N21)="","",INDEX('Cronograma R. Financiero'!$K$5:$K$1000,$N21))))</f>
        <v/>
      </c>
      <c r="K21" s="67">
        <f>IF($N21="","",INDEX('Cronograma R. Financiero'!$L$5:$L$1000,$N21))</f>
        <v/>
      </c>
      <c r="L21" s="61">
        <f>IF($N21="","",IF(N($K21)&gt;=1,"Completado",IF(AND(ISNUMBER($E21),$E21&lt;FechaRef),"Vencida",IF(N($K21)&gt;0,"En curso","Pendiente"))))</f>
        <v/>
      </c>
      <c r="M21" s="70">
        <f>IF($N21="","",INDEX('Cronograma R. Financiero'!$N$5:$N$1000,$N21)&amp;"")</f>
        <v/>
      </c>
      <c r="N21">
        <f>IFERROR(MATCH(ROW()-4,rOrden_RF,0),"")</f>
        <v/>
      </c>
      <c r="O21">
        <f>IF($N21="","",INDEX('Cronograma R. Financiero'!$S$5:$S$1000,$N21))</f>
        <v/>
      </c>
      <c r="P21">
        <f>IF($N21="","",N(INDEX('Cronograma R. Financiero'!$T$5:$T$1000,$N21)))</f>
        <v/>
      </c>
    </row>
    <row r="22">
      <c r="A22" s="61">
        <f>IF($N22="","",INDEX('Cronograma R. Financiero'!$A$5:$A$1000,$N22))</f>
        <v/>
      </c>
      <c r="B22" s="70">
        <f>IF($N22="","",IF($O22="Sub","     ↳ "&amp;INDEX('Cronograma R. Financiero'!$C$5:$C$1000,$N22),INDEX('Cronograma R. Financiero'!$B$5:$B$1000,$N22)&amp;""))</f>
        <v/>
      </c>
      <c r="C22" s="70">
        <f>IF($N22="","",INDEX('Cronograma R. Financiero'!$D$5:$D$1000,$N22)&amp;"")</f>
        <v/>
      </c>
      <c r="D22" s="76">
        <f>IF($N22="","",IF(INDEX('Cronograma R. Financiero'!$E$5:$E$1000,$N22)="","",INDEX('Cronograma R. Financiero'!$E$5:$E$1000,$N22)))</f>
        <v/>
      </c>
      <c r="E22" s="76">
        <f>IF($N22="","",IF(INDEX('Cronograma R. Financiero'!$F$5:$F$1000,$N22)="","",INDEX('Cronograma R. Financiero'!$F$5:$F$1000,$N22)))</f>
        <v/>
      </c>
      <c r="F22" s="61">
        <f>IF($N22="","",IF(NOT(ISNUMBER($E22)),"",IF($E22&lt;InicioCiclo,"Antes del ciclo",IF($E22&gt;=InicioCiclo+28,"Después del ciclo","Semana "&amp;(INT(($E22-InicioCiclo)/7)+1)))))</f>
        <v/>
      </c>
      <c r="G22" s="67">
        <f>IF($N22="","",IF($P22&gt;0,IF(1&lt;=SemanaActual,INDEX('Cronograma R. Financiero'!$Y$5:$Y$1000,$N22),""),IF(INDEX('Cronograma R. Financiero'!$H$5:$H$1000,$N22)="","",INDEX('Cronograma R. Financiero'!$H$5:$H$1000,$N22))))</f>
        <v/>
      </c>
      <c r="H22" s="67">
        <f>IF($N22="","",IF($P22&gt;0,IF(2&lt;=SemanaActual,INDEX('Cronograma R. Financiero'!$Z$5:$Z$1000,$N22),""),IF(INDEX('Cronograma R. Financiero'!$I$5:$I$1000,$N22)="","",INDEX('Cronograma R. Financiero'!$I$5:$I$1000,$N22))))</f>
        <v/>
      </c>
      <c r="I22" s="67">
        <f>IF($N22="","",IF($P22&gt;0,IF(3&lt;=SemanaActual,INDEX('Cronograma R. Financiero'!$AA$5:$AA$1000,$N22),""),IF(INDEX('Cronograma R. Financiero'!$J$5:$J$1000,$N22)="","",INDEX('Cronograma R. Financiero'!$J$5:$J$1000,$N22))))</f>
        <v/>
      </c>
      <c r="J22" s="67">
        <f>IF($N22="","",IF($P22&gt;0,IF(4&lt;=SemanaActual,INDEX('Cronograma R. Financiero'!$AB$5:$AB$1000,$N22),""),IF(INDEX('Cronograma R. Financiero'!$K$5:$K$1000,$N22)="","",INDEX('Cronograma R. Financiero'!$K$5:$K$1000,$N22))))</f>
        <v/>
      </c>
      <c r="K22" s="67">
        <f>IF($N22="","",INDEX('Cronograma R. Financiero'!$L$5:$L$1000,$N22))</f>
        <v/>
      </c>
      <c r="L22" s="61">
        <f>IF($N22="","",IF(N($K22)&gt;=1,"Completado",IF(AND(ISNUMBER($E22),$E22&lt;FechaRef),"Vencida",IF(N($K22)&gt;0,"En curso","Pendiente"))))</f>
        <v/>
      </c>
      <c r="M22" s="70">
        <f>IF($N22="","",INDEX('Cronograma R. Financiero'!$N$5:$N$1000,$N22)&amp;"")</f>
        <v/>
      </c>
      <c r="N22">
        <f>IFERROR(MATCH(ROW()-4,rOrden_RF,0),"")</f>
        <v/>
      </c>
      <c r="O22">
        <f>IF($N22="","",INDEX('Cronograma R. Financiero'!$S$5:$S$1000,$N22))</f>
        <v/>
      </c>
      <c r="P22">
        <f>IF($N22="","",N(INDEX('Cronograma R. Financiero'!$T$5:$T$1000,$N22)))</f>
        <v/>
      </c>
    </row>
    <row r="23">
      <c r="A23" s="61">
        <f>IF($N23="","",INDEX('Cronograma R. Financiero'!$A$5:$A$1000,$N23))</f>
        <v/>
      </c>
      <c r="B23" s="70">
        <f>IF($N23="","",IF($O23="Sub","     ↳ "&amp;INDEX('Cronograma R. Financiero'!$C$5:$C$1000,$N23),INDEX('Cronograma R. Financiero'!$B$5:$B$1000,$N23)&amp;""))</f>
        <v/>
      </c>
      <c r="C23" s="70">
        <f>IF($N23="","",INDEX('Cronograma R. Financiero'!$D$5:$D$1000,$N23)&amp;"")</f>
        <v/>
      </c>
      <c r="D23" s="76">
        <f>IF($N23="","",IF(INDEX('Cronograma R. Financiero'!$E$5:$E$1000,$N23)="","",INDEX('Cronograma R. Financiero'!$E$5:$E$1000,$N23)))</f>
        <v/>
      </c>
      <c r="E23" s="76">
        <f>IF($N23="","",IF(INDEX('Cronograma R. Financiero'!$F$5:$F$1000,$N23)="","",INDEX('Cronograma R. Financiero'!$F$5:$F$1000,$N23)))</f>
        <v/>
      </c>
      <c r="F23" s="61">
        <f>IF($N23="","",IF(NOT(ISNUMBER($E23)),"",IF($E23&lt;InicioCiclo,"Antes del ciclo",IF($E23&gt;=InicioCiclo+28,"Después del ciclo","Semana "&amp;(INT(($E23-InicioCiclo)/7)+1)))))</f>
        <v/>
      </c>
      <c r="G23" s="67">
        <f>IF($N23="","",IF($P23&gt;0,IF(1&lt;=SemanaActual,INDEX('Cronograma R. Financiero'!$Y$5:$Y$1000,$N23),""),IF(INDEX('Cronograma R. Financiero'!$H$5:$H$1000,$N23)="","",INDEX('Cronograma R. Financiero'!$H$5:$H$1000,$N23))))</f>
        <v/>
      </c>
      <c r="H23" s="67">
        <f>IF($N23="","",IF($P23&gt;0,IF(2&lt;=SemanaActual,INDEX('Cronograma R. Financiero'!$Z$5:$Z$1000,$N23),""),IF(INDEX('Cronograma R. Financiero'!$I$5:$I$1000,$N23)="","",INDEX('Cronograma R. Financiero'!$I$5:$I$1000,$N23))))</f>
        <v/>
      </c>
      <c r="I23" s="67">
        <f>IF($N23="","",IF($P23&gt;0,IF(3&lt;=SemanaActual,INDEX('Cronograma R. Financiero'!$AA$5:$AA$1000,$N23),""),IF(INDEX('Cronograma R. Financiero'!$J$5:$J$1000,$N23)="","",INDEX('Cronograma R. Financiero'!$J$5:$J$1000,$N23))))</f>
        <v/>
      </c>
      <c r="J23" s="67">
        <f>IF($N23="","",IF($P23&gt;0,IF(4&lt;=SemanaActual,INDEX('Cronograma R. Financiero'!$AB$5:$AB$1000,$N23),""),IF(INDEX('Cronograma R. Financiero'!$K$5:$K$1000,$N23)="","",INDEX('Cronograma R. Financiero'!$K$5:$K$1000,$N23))))</f>
        <v/>
      </c>
      <c r="K23" s="67">
        <f>IF($N23="","",INDEX('Cronograma R. Financiero'!$L$5:$L$1000,$N23))</f>
        <v/>
      </c>
      <c r="L23" s="61">
        <f>IF($N23="","",IF(N($K23)&gt;=1,"Completado",IF(AND(ISNUMBER($E23),$E23&lt;FechaRef),"Vencida",IF(N($K23)&gt;0,"En curso","Pendiente"))))</f>
        <v/>
      </c>
      <c r="M23" s="70">
        <f>IF($N23="","",INDEX('Cronograma R. Financiero'!$N$5:$N$1000,$N23)&amp;"")</f>
        <v/>
      </c>
      <c r="N23">
        <f>IFERROR(MATCH(ROW()-4,rOrden_RF,0),"")</f>
        <v/>
      </c>
      <c r="O23">
        <f>IF($N23="","",INDEX('Cronograma R. Financiero'!$S$5:$S$1000,$N23))</f>
        <v/>
      </c>
      <c r="P23">
        <f>IF($N23="","",N(INDEX('Cronograma R. Financiero'!$T$5:$T$1000,$N23)))</f>
        <v/>
      </c>
    </row>
    <row r="24">
      <c r="A24" s="61">
        <f>IF($N24="","",INDEX('Cronograma R. Financiero'!$A$5:$A$1000,$N24))</f>
        <v/>
      </c>
      <c r="B24" s="70">
        <f>IF($N24="","",IF($O24="Sub","     ↳ "&amp;INDEX('Cronograma R. Financiero'!$C$5:$C$1000,$N24),INDEX('Cronograma R. Financiero'!$B$5:$B$1000,$N24)&amp;""))</f>
        <v/>
      </c>
      <c r="C24" s="70">
        <f>IF($N24="","",INDEX('Cronograma R. Financiero'!$D$5:$D$1000,$N24)&amp;"")</f>
        <v/>
      </c>
      <c r="D24" s="76">
        <f>IF($N24="","",IF(INDEX('Cronograma R. Financiero'!$E$5:$E$1000,$N24)="","",INDEX('Cronograma R. Financiero'!$E$5:$E$1000,$N24)))</f>
        <v/>
      </c>
      <c r="E24" s="76">
        <f>IF($N24="","",IF(INDEX('Cronograma R. Financiero'!$F$5:$F$1000,$N24)="","",INDEX('Cronograma R. Financiero'!$F$5:$F$1000,$N24)))</f>
        <v/>
      </c>
      <c r="F24" s="61">
        <f>IF($N24="","",IF(NOT(ISNUMBER($E24)),"",IF($E24&lt;InicioCiclo,"Antes del ciclo",IF($E24&gt;=InicioCiclo+28,"Después del ciclo","Semana "&amp;(INT(($E24-InicioCiclo)/7)+1)))))</f>
        <v/>
      </c>
      <c r="G24" s="67">
        <f>IF($N24="","",IF($P24&gt;0,IF(1&lt;=SemanaActual,INDEX('Cronograma R. Financiero'!$Y$5:$Y$1000,$N24),""),IF(INDEX('Cronograma R. Financiero'!$H$5:$H$1000,$N24)="","",INDEX('Cronograma R. Financiero'!$H$5:$H$1000,$N24))))</f>
        <v/>
      </c>
      <c r="H24" s="67">
        <f>IF($N24="","",IF($P24&gt;0,IF(2&lt;=SemanaActual,INDEX('Cronograma R. Financiero'!$Z$5:$Z$1000,$N24),""),IF(INDEX('Cronograma R. Financiero'!$I$5:$I$1000,$N24)="","",INDEX('Cronograma R. Financiero'!$I$5:$I$1000,$N24))))</f>
        <v/>
      </c>
      <c r="I24" s="67">
        <f>IF($N24="","",IF($P24&gt;0,IF(3&lt;=SemanaActual,INDEX('Cronograma R. Financiero'!$AA$5:$AA$1000,$N24),""),IF(INDEX('Cronograma R. Financiero'!$J$5:$J$1000,$N24)="","",INDEX('Cronograma R. Financiero'!$J$5:$J$1000,$N24))))</f>
        <v/>
      </c>
      <c r="J24" s="67">
        <f>IF($N24="","",IF($P24&gt;0,IF(4&lt;=SemanaActual,INDEX('Cronograma R. Financiero'!$AB$5:$AB$1000,$N24),""),IF(INDEX('Cronograma R. Financiero'!$K$5:$K$1000,$N24)="","",INDEX('Cronograma R. Financiero'!$K$5:$K$1000,$N24))))</f>
        <v/>
      </c>
      <c r="K24" s="67">
        <f>IF($N24="","",INDEX('Cronograma R. Financiero'!$L$5:$L$1000,$N24))</f>
        <v/>
      </c>
      <c r="L24" s="61">
        <f>IF($N24="","",IF(N($K24)&gt;=1,"Completado",IF(AND(ISNUMBER($E24),$E24&lt;FechaRef),"Vencida",IF(N($K24)&gt;0,"En curso","Pendiente"))))</f>
        <v/>
      </c>
      <c r="M24" s="70">
        <f>IF($N24="","",INDEX('Cronograma R. Financiero'!$N$5:$N$1000,$N24)&amp;"")</f>
        <v/>
      </c>
      <c r="N24">
        <f>IFERROR(MATCH(ROW()-4,rOrden_RF,0),"")</f>
        <v/>
      </c>
      <c r="O24">
        <f>IF($N24="","",INDEX('Cronograma R. Financiero'!$S$5:$S$1000,$N24))</f>
        <v/>
      </c>
      <c r="P24">
        <f>IF($N24="","",N(INDEX('Cronograma R. Financiero'!$T$5:$T$1000,$N24)))</f>
        <v/>
      </c>
    </row>
    <row r="25">
      <c r="A25" s="61">
        <f>IF($N25="","",INDEX('Cronograma R. Financiero'!$A$5:$A$1000,$N25))</f>
        <v/>
      </c>
      <c r="B25" s="70">
        <f>IF($N25="","",IF($O25="Sub","     ↳ "&amp;INDEX('Cronograma R. Financiero'!$C$5:$C$1000,$N25),INDEX('Cronograma R. Financiero'!$B$5:$B$1000,$N25)&amp;""))</f>
        <v/>
      </c>
      <c r="C25" s="70">
        <f>IF($N25="","",INDEX('Cronograma R. Financiero'!$D$5:$D$1000,$N25)&amp;"")</f>
        <v/>
      </c>
      <c r="D25" s="76">
        <f>IF($N25="","",IF(INDEX('Cronograma R. Financiero'!$E$5:$E$1000,$N25)="","",INDEX('Cronograma R. Financiero'!$E$5:$E$1000,$N25)))</f>
        <v/>
      </c>
      <c r="E25" s="76">
        <f>IF($N25="","",IF(INDEX('Cronograma R. Financiero'!$F$5:$F$1000,$N25)="","",INDEX('Cronograma R. Financiero'!$F$5:$F$1000,$N25)))</f>
        <v/>
      </c>
      <c r="F25" s="61">
        <f>IF($N25="","",IF(NOT(ISNUMBER($E25)),"",IF($E25&lt;InicioCiclo,"Antes del ciclo",IF($E25&gt;=InicioCiclo+28,"Después del ciclo","Semana "&amp;(INT(($E25-InicioCiclo)/7)+1)))))</f>
        <v/>
      </c>
      <c r="G25" s="67">
        <f>IF($N25="","",IF($P25&gt;0,IF(1&lt;=SemanaActual,INDEX('Cronograma R. Financiero'!$Y$5:$Y$1000,$N25),""),IF(INDEX('Cronograma R. Financiero'!$H$5:$H$1000,$N25)="","",INDEX('Cronograma R. Financiero'!$H$5:$H$1000,$N25))))</f>
        <v/>
      </c>
      <c r="H25" s="67">
        <f>IF($N25="","",IF($P25&gt;0,IF(2&lt;=SemanaActual,INDEX('Cronograma R. Financiero'!$Z$5:$Z$1000,$N25),""),IF(INDEX('Cronograma R. Financiero'!$I$5:$I$1000,$N25)="","",INDEX('Cronograma R. Financiero'!$I$5:$I$1000,$N25))))</f>
        <v/>
      </c>
      <c r="I25" s="67">
        <f>IF($N25="","",IF($P25&gt;0,IF(3&lt;=SemanaActual,INDEX('Cronograma R. Financiero'!$AA$5:$AA$1000,$N25),""),IF(INDEX('Cronograma R. Financiero'!$J$5:$J$1000,$N25)="","",INDEX('Cronograma R. Financiero'!$J$5:$J$1000,$N25))))</f>
        <v/>
      </c>
      <c r="J25" s="67">
        <f>IF($N25="","",IF($P25&gt;0,IF(4&lt;=SemanaActual,INDEX('Cronograma R. Financiero'!$AB$5:$AB$1000,$N25),""),IF(INDEX('Cronograma R. Financiero'!$K$5:$K$1000,$N25)="","",INDEX('Cronograma R. Financiero'!$K$5:$K$1000,$N25))))</f>
        <v/>
      </c>
      <c r="K25" s="67">
        <f>IF($N25="","",INDEX('Cronograma R. Financiero'!$L$5:$L$1000,$N25))</f>
        <v/>
      </c>
      <c r="L25" s="61">
        <f>IF($N25="","",IF(N($K25)&gt;=1,"Completado",IF(AND(ISNUMBER($E25),$E25&lt;FechaRef),"Vencida",IF(N($K25)&gt;0,"En curso","Pendiente"))))</f>
        <v/>
      </c>
      <c r="M25" s="70">
        <f>IF($N25="","",INDEX('Cronograma R. Financiero'!$N$5:$N$1000,$N25)&amp;"")</f>
        <v/>
      </c>
      <c r="N25">
        <f>IFERROR(MATCH(ROW()-4,rOrden_RF,0),"")</f>
        <v/>
      </c>
      <c r="O25">
        <f>IF($N25="","",INDEX('Cronograma R. Financiero'!$S$5:$S$1000,$N25))</f>
        <v/>
      </c>
      <c r="P25">
        <f>IF($N25="","",N(INDEX('Cronograma R. Financiero'!$T$5:$T$1000,$N25)))</f>
        <v/>
      </c>
    </row>
    <row r="26">
      <c r="A26" s="61">
        <f>IF($N26="","",INDEX('Cronograma R. Financiero'!$A$5:$A$1000,$N26))</f>
        <v/>
      </c>
      <c r="B26" s="70">
        <f>IF($N26="","",IF($O26="Sub","     ↳ "&amp;INDEX('Cronograma R. Financiero'!$C$5:$C$1000,$N26),INDEX('Cronograma R. Financiero'!$B$5:$B$1000,$N26)&amp;""))</f>
        <v/>
      </c>
      <c r="C26" s="70">
        <f>IF($N26="","",INDEX('Cronograma R. Financiero'!$D$5:$D$1000,$N26)&amp;"")</f>
        <v/>
      </c>
      <c r="D26" s="76">
        <f>IF($N26="","",IF(INDEX('Cronograma R. Financiero'!$E$5:$E$1000,$N26)="","",INDEX('Cronograma R. Financiero'!$E$5:$E$1000,$N26)))</f>
        <v/>
      </c>
      <c r="E26" s="76">
        <f>IF($N26="","",IF(INDEX('Cronograma R. Financiero'!$F$5:$F$1000,$N26)="","",INDEX('Cronograma R. Financiero'!$F$5:$F$1000,$N26)))</f>
        <v/>
      </c>
      <c r="F26" s="61">
        <f>IF($N26="","",IF(NOT(ISNUMBER($E26)),"",IF($E26&lt;InicioCiclo,"Antes del ciclo",IF($E26&gt;=InicioCiclo+28,"Después del ciclo","Semana "&amp;(INT(($E26-InicioCiclo)/7)+1)))))</f>
        <v/>
      </c>
      <c r="G26" s="67">
        <f>IF($N26="","",IF($P26&gt;0,IF(1&lt;=SemanaActual,INDEX('Cronograma R. Financiero'!$Y$5:$Y$1000,$N26),""),IF(INDEX('Cronograma R. Financiero'!$H$5:$H$1000,$N26)="","",INDEX('Cronograma R. Financiero'!$H$5:$H$1000,$N26))))</f>
        <v/>
      </c>
      <c r="H26" s="67">
        <f>IF($N26="","",IF($P26&gt;0,IF(2&lt;=SemanaActual,INDEX('Cronograma R. Financiero'!$Z$5:$Z$1000,$N26),""),IF(INDEX('Cronograma R. Financiero'!$I$5:$I$1000,$N26)="","",INDEX('Cronograma R. Financiero'!$I$5:$I$1000,$N26))))</f>
        <v/>
      </c>
      <c r="I26" s="67">
        <f>IF($N26="","",IF($P26&gt;0,IF(3&lt;=SemanaActual,INDEX('Cronograma R. Financiero'!$AA$5:$AA$1000,$N26),""),IF(INDEX('Cronograma R. Financiero'!$J$5:$J$1000,$N26)="","",INDEX('Cronograma R. Financiero'!$J$5:$J$1000,$N26))))</f>
        <v/>
      </c>
      <c r="J26" s="67">
        <f>IF($N26="","",IF($P26&gt;0,IF(4&lt;=SemanaActual,INDEX('Cronograma R. Financiero'!$AB$5:$AB$1000,$N26),""),IF(INDEX('Cronograma R. Financiero'!$K$5:$K$1000,$N26)="","",INDEX('Cronograma R. Financiero'!$K$5:$K$1000,$N26))))</f>
        <v/>
      </c>
      <c r="K26" s="67">
        <f>IF($N26="","",INDEX('Cronograma R. Financiero'!$L$5:$L$1000,$N26))</f>
        <v/>
      </c>
      <c r="L26" s="61">
        <f>IF($N26="","",IF(N($K26)&gt;=1,"Completado",IF(AND(ISNUMBER($E26),$E26&lt;FechaRef),"Vencida",IF(N($K26)&gt;0,"En curso","Pendiente"))))</f>
        <v/>
      </c>
      <c r="M26" s="70">
        <f>IF($N26="","",INDEX('Cronograma R. Financiero'!$N$5:$N$1000,$N26)&amp;"")</f>
        <v/>
      </c>
      <c r="N26">
        <f>IFERROR(MATCH(ROW()-4,rOrden_RF,0),"")</f>
        <v/>
      </c>
      <c r="O26">
        <f>IF($N26="","",INDEX('Cronograma R. Financiero'!$S$5:$S$1000,$N26))</f>
        <v/>
      </c>
      <c r="P26">
        <f>IF($N26="","",N(INDEX('Cronograma R. Financiero'!$T$5:$T$1000,$N26)))</f>
        <v/>
      </c>
    </row>
    <row r="27">
      <c r="A27" s="61">
        <f>IF($N27="","",INDEX('Cronograma R. Financiero'!$A$5:$A$1000,$N27))</f>
        <v/>
      </c>
      <c r="B27" s="70">
        <f>IF($N27="","",IF($O27="Sub","     ↳ "&amp;INDEX('Cronograma R. Financiero'!$C$5:$C$1000,$N27),INDEX('Cronograma R. Financiero'!$B$5:$B$1000,$N27)&amp;""))</f>
        <v/>
      </c>
      <c r="C27" s="70">
        <f>IF($N27="","",INDEX('Cronograma R. Financiero'!$D$5:$D$1000,$N27)&amp;"")</f>
        <v/>
      </c>
      <c r="D27" s="76">
        <f>IF($N27="","",IF(INDEX('Cronograma R. Financiero'!$E$5:$E$1000,$N27)="","",INDEX('Cronograma R. Financiero'!$E$5:$E$1000,$N27)))</f>
        <v/>
      </c>
      <c r="E27" s="76">
        <f>IF($N27="","",IF(INDEX('Cronograma R. Financiero'!$F$5:$F$1000,$N27)="","",INDEX('Cronograma R. Financiero'!$F$5:$F$1000,$N27)))</f>
        <v/>
      </c>
      <c r="F27" s="61">
        <f>IF($N27="","",IF(NOT(ISNUMBER($E27)),"",IF($E27&lt;InicioCiclo,"Antes del ciclo",IF($E27&gt;=InicioCiclo+28,"Después del ciclo","Semana "&amp;(INT(($E27-InicioCiclo)/7)+1)))))</f>
        <v/>
      </c>
      <c r="G27" s="67">
        <f>IF($N27="","",IF($P27&gt;0,IF(1&lt;=SemanaActual,INDEX('Cronograma R. Financiero'!$Y$5:$Y$1000,$N27),""),IF(INDEX('Cronograma R. Financiero'!$H$5:$H$1000,$N27)="","",INDEX('Cronograma R. Financiero'!$H$5:$H$1000,$N27))))</f>
        <v/>
      </c>
      <c r="H27" s="67">
        <f>IF($N27="","",IF($P27&gt;0,IF(2&lt;=SemanaActual,INDEX('Cronograma R. Financiero'!$Z$5:$Z$1000,$N27),""),IF(INDEX('Cronograma R. Financiero'!$I$5:$I$1000,$N27)="","",INDEX('Cronograma R. Financiero'!$I$5:$I$1000,$N27))))</f>
        <v/>
      </c>
      <c r="I27" s="67">
        <f>IF($N27="","",IF($P27&gt;0,IF(3&lt;=SemanaActual,INDEX('Cronograma R. Financiero'!$AA$5:$AA$1000,$N27),""),IF(INDEX('Cronograma R. Financiero'!$J$5:$J$1000,$N27)="","",INDEX('Cronograma R. Financiero'!$J$5:$J$1000,$N27))))</f>
        <v/>
      </c>
      <c r="J27" s="67">
        <f>IF($N27="","",IF($P27&gt;0,IF(4&lt;=SemanaActual,INDEX('Cronograma R. Financiero'!$AB$5:$AB$1000,$N27),""),IF(INDEX('Cronograma R. Financiero'!$K$5:$K$1000,$N27)="","",INDEX('Cronograma R. Financiero'!$K$5:$K$1000,$N27))))</f>
        <v/>
      </c>
      <c r="K27" s="67">
        <f>IF($N27="","",INDEX('Cronograma R. Financiero'!$L$5:$L$1000,$N27))</f>
        <v/>
      </c>
      <c r="L27" s="61">
        <f>IF($N27="","",IF(N($K27)&gt;=1,"Completado",IF(AND(ISNUMBER($E27),$E27&lt;FechaRef),"Vencida",IF(N($K27)&gt;0,"En curso","Pendiente"))))</f>
        <v/>
      </c>
      <c r="M27" s="70">
        <f>IF($N27="","",INDEX('Cronograma R. Financiero'!$N$5:$N$1000,$N27)&amp;"")</f>
        <v/>
      </c>
      <c r="N27">
        <f>IFERROR(MATCH(ROW()-4,rOrden_RF,0),"")</f>
        <v/>
      </c>
      <c r="O27">
        <f>IF($N27="","",INDEX('Cronograma R. Financiero'!$S$5:$S$1000,$N27))</f>
        <v/>
      </c>
      <c r="P27">
        <f>IF($N27="","",N(INDEX('Cronograma R. Financiero'!$T$5:$T$1000,$N27)))</f>
        <v/>
      </c>
    </row>
    <row r="28">
      <c r="A28" s="61">
        <f>IF($N28="","",INDEX('Cronograma R. Financiero'!$A$5:$A$1000,$N28))</f>
        <v/>
      </c>
      <c r="B28" s="70">
        <f>IF($N28="","",IF($O28="Sub","     ↳ "&amp;INDEX('Cronograma R. Financiero'!$C$5:$C$1000,$N28),INDEX('Cronograma R. Financiero'!$B$5:$B$1000,$N28)&amp;""))</f>
        <v/>
      </c>
      <c r="C28" s="70">
        <f>IF($N28="","",INDEX('Cronograma R. Financiero'!$D$5:$D$1000,$N28)&amp;"")</f>
        <v/>
      </c>
      <c r="D28" s="76">
        <f>IF($N28="","",IF(INDEX('Cronograma R. Financiero'!$E$5:$E$1000,$N28)="","",INDEX('Cronograma R. Financiero'!$E$5:$E$1000,$N28)))</f>
        <v/>
      </c>
      <c r="E28" s="76">
        <f>IF($N28="","",IF(INDEX('Cronograma R. Financiero'!$F$5:$F$1000,$N28)="","",INDEX('Cronograma R. Financiero'!$F$5:$F$1000,$N28)))</f>
        <v/>
      </c>
      <c r="F28" s="61">
        <f>IF($N28="","",IF(NOT(ISNUMBER($E28)),"",IF($E28&lt;InicioCiclo,"Antes del ciclo",IF($E28&gt;=InicioCiclo+28,"Después del ciclo","Semana "&amp;(INT(($E28-InicioCiclo)/7)+1)))))</f>
        <v/>
      </c>
      <c r="G28" s="67">
        <f>IF($N28="","",IF($P28&gt;0,IF(1&lt;=SemanaActual,INDEX('Cronograma R. Financiero'!$Y$5:$Y$1000,$N28),""),IF(INDEX('Cronograma R. Financiero'!$H$5:$H$1000,$N28)="","",INDEX('Cronograma R. Financiero'!$H$5:$H$1000,$N28))))</f>
        <v/>
      </c>
      <c r="H28" s="67">
        <f>IF($N28="","",IF($P28&gt;0,IF(2&lt;=SemanaActual,INDEX('Cronograma R. Financiero'!$Z$5:$Z$1000,$N28),""),IF(INDEX('Cronograma R. Financiero'!$I$5:$I$1000,$N28)="","",INDEX('Cronograma R. Financiero'!$I$5:$I$1000,$N28))))</f>
        <v/>
      </c>
      <c r="I28" s="67">
        <f>IF($N28="","",IF($P28&gt;0,IF(3&lt;=SemanaActual,INDEX('Cronograma R. Financiero'!$AA$5:$AA$1000,$N28),""),IF(INDEX('Cronograma R. Financiero'!$J$5:$J$1000,$N28)="","",INDEX('Cronograma R. Financiero'!$J$5:$J$1000,$N28))))</f>
        <v/>
      </c>
      <c r="J28" s="67">
        <f>IF($N28="","",IF($P28&gt;0,IF(4&lt;=SemanaActual,INDEX('Cronograma R. Financiero'!$AB$5:$AB$1000,$N28),""),IF(INDEX('Cronograma R. Financiero'!$K$5:$K$1000,$N28)="","",INDEX('Cronograma R. Financiero'!$K$5:$K$1000,$N28))))</f>
        <v/>
      </c>
      <c r="K28" s="67">
        <f>IF($N28="","",INDEX('Cronograma R. Financiero'!$L$5:$L$1000,$N28))</f>
        <v/>
      </c>
      <c r="L28" s="61">
        <f>IF($N28="","",IF(N($K28)&gt;=1,"Completado",IF(AND(ISNUMBER($E28),$E28&lt;FechaRef),"Vencida",IF(N($K28)&gt;0,"En curso","Pendiente"))))</f>
        <v/>
      </c>
      <c r="M28" s="70">
        <f>IF($N28="","",INDEX('Cronograma R. Financiero'!$N$5:$N$1000,$N28)&amp;"")</f>
        <v/>
      </c>
      <c r="N28">
        <f>IFERROR(MATCH(ROW()-4,rOrden_RF,0),"")</f>
        <v/>
      </c>
      <c r="O28">
        <f>IF($N28="","",INDEX('Cronograma R. Financiero'!$S$5:$S$1000,$N28))</f>
        <v/>
      </c>
      <c r="P28">
        <f>IF($N28="","",N(INDEX('Cronograma R. Financiero'!$T$5:$T$1000,$N28)))</f>
        <v/>
      </c>
    </row>
    <row r="29">
      <c r="A29" s="61">
        <f>IF($N29="","",INDEX('Cronograma R. Financiero'!$A$5:$A$1000,$N29))</f>
        <v/>
      </c>
      <c r="B29" s="70">
        <f>IF($N29="","",IF($O29="Sub","     ↳ "&amp;INDEX('Cronograma R. Financiero'!$C$5:$C$1000,$N29),INDEX('Cronograma R. Financiero'!$B$5:$B$1000,$N29)&amp;""))</f>
        <v/>
      </c>
      <c r="C29" s="70">
        <f>IF($N29="","",INDEX('Cronograma R. Financiero'!$D$5:$D$1000,$N29)&amp;"")</f>
        <v/>
      </c>
      <c r="D29" s="76">
        <f>IF($N29="","",IF(INDEX('Cronograma R. Financiero'!$E$5:$E$1000,$N29)="","",INDEX('Cronograma R. Financiero'!$E$5:$E$1000,$N29)))</f>
        <v/>
      </c>
      <c r="E29" s="76">
        <f>IF($N29="","",IF(INDEX('Cronograma R. Financiero'!$F$5:$F$1000,$N29)="","",INDEX('Cronograma R. Financiero'!$F$5:$F$1000,$N29)))</f>
        <v/>
      </c>
      <c r="F29" s="61">
        <f>IF($N29="","",IF(NOT(ISNUMBER($E29)),"",IF($E29&lt;InicioCiclo,"Antes del ciclo",IF($E29&gt;=InicioCiclo+28,"Después del ciclo","Semana "&amp;(INT(($E29-InicioCiclo)/7)+1)))))</f>
        <v/>
      </c>
      <c r="G29" s="67">
        <f>IF($N29="","",IF($P29&gt;0,IF(1&lt;=SemanaActual,INDEX('Cronograma R. Financiero'!$Y$5:$Y$1000,$N29),""),IF(INDEX('Cronograma R. Financiero'!$H$5:$H$1000,$N29)="","",INDEX('Cronograma R. Financiero'!$H$5:$H$1000,$N29))))</f>
        <v/>
      </c>
      <c r="H29" s="67">
        <f>IF($N29="","",IF($P29&gt;0,IF(2&lt;=SemanaActual,INDEX('Cronograma R. Financiero'!$Z$5:$Z$1000,$N29),""),IF(INDEX('Cronograma R. Financiero'!$I$5:$I$1000,$N29)="","",INDEX('Cronograma R. Financiero'!$I$5:$I$1000,$N29))))</f>
        <v/>
      </c>
      <c r="I29" s="67">
        <f>IF($N29="","",IF($P29&gt;0,IF(3&lt;=SemanaActual,INDEX('Cronograma R. Financiero'!$AA$5:$AA$1000,$N29),""),IF(INDEX('Cronograma R. Financiero'!$J$5:$J$1000,$N29)="","",INDEX('Cronograma R. Financiero'!$J$5:$J$1000,$N29))))</f>
        <v/>
      </c>
      <c r="J29" s="67">
        <f>IF($N29="","",IF($P29&gt;0,IF(4&lt;=SemanaActual,INDEX('Cronograma R. Financiero'!$AB$5:$AB$1000,$N29),""),IF(INDEX('Cronograma R. Financiero'!$K$5:$K$1000,$N29)="","",INDEX('Cronograma R. Financiero'!$K$5:$K$1000,$N29))))</f>
        <v/>
      </c>
      <c r="K29" s="67">
        <f>IF($N29="","",INDEX('Cronograma R. Financiero'!$L$5:$L$1000,$N29))</f>
        <v/>
      </c>
      <c r="L29" s="61">
        <f>IF($N29="","",IF(N($K29)&gt;=1,"Completado",IF(AND(ISNUMBER($E29),$E29&lt;FechaRef),"Vencida",IF(N($K29)&gt;0,"En curso","Pendiente"))))</f>
        <v/>
      </c>
      <c r="M29" s="70">
        <f>IF($N29="","",INDEX('Cronograma R. Financiero'!$N$5:$N$1000,$N29)&amp;"")</f>
        <v/>
      </c>
      <c r="N29">
        <f>IFERROR(MATCH(ROW()-4,rOrden_RF,0),"")</f>
        <v/>
      </c>
      <c r="O29">
        <f>IF($N29="","",INDEX('Cronograma R. Financiero'!$S$5:$S$1000,$N29))</f>
        <v/>
      </c>
      <c r="P29">
        <f>IF($N29="","",N(INDEX('Cronograma R. Financiero'!$T$5:$T$1000,$N29)))</f>
        <v/>
      </c>
    </row>
    <row r="30">
      <c r="A30" s="61">
        <f>IF($N30="","",INDEX('Cronograma R. Financiero'!$A$5:$A$1000,$N30))</f>
        <v/>
      </c>
      <c r="B30" s="70">
        <f>IF($N30="","",IF($O30="Sub","     ↳ "&amp;INDEX('Cronograma R. Financiero'!$C$5:$C$1000,$N30),INDEX('Cronograma R. Financiero'!$B$5:$B$1000,$N30)&amp;""))</f>
        <v/>
      </c>
      <c r="C30" s="70">
        <f>IF($N30="","",INDEX('Cronograma R. Financiero'!$D$5:$D$1000,$N30)&amp;"")</f>
        <v/>
      </c>
      <c r="D30" s="76">
        <f>IF($N30="","",IF(INDEX('Cronograma R. Financiero'!$E$5:$E$1000,$N30)="","",INDEX('Cronograma R. Financiero'!$E$5:$E$1000,$N30)))</f>
        <v/>
      </c>
      <c r="E30" s="76">
        <f>IF($N30="","",IF(INDEX('Cronograma R. Financiero'!$F$5:$F$1000,$N30)="","",INDEX('Cronograma R. Financiero'!$F$5:$F$1000,$N30)))</f>
        <v/>
      </c>
      <c r="F30" s="61">
        <f>IF($N30="","",IF(NOT(ISNUMBER($E30)),"",IF($E30&lt;InicioCiclo,"Antes del ciclo",IF($E30&gt;=InicioCiclo+28,"Después del ciclo","Semana "&amp;(INT(($E30-InicioCiclo)/7)+1)))))</f>
        <v/>
      </c>
      <c r="G30" s="67">
        <f>IF($N30="","",IF($P30&gt;0,IF(1&lt;=SemanaActual,INDEX('Cronograma R. Financiero'!$Y$5:$Y$1000,$N30),""),IF(INDEX('Cronograma R. Financiero'!$H$5:$H$1000,$N30)="","",INDEX('Cronograma R. Financiero'!$H$5:$H$1000,$N30))))</f>
        <v/>
      </c>
      <c r="H30" s="67">
        <f>IF($N30="","",IF($P30&gt;0,IF(2&lt;=SemanaActual,INDEX('Cronograma R. Financiero'!$Z$5:$Z$1000,$N30),""),IF(INDEX('Cronograma R. Financiero'!$I$5:$I$1000,$N30)="","",INDEX('Cronograma R. Financiero'!$I$5:$I$1000,$N30))))</f>
        <v/>
      </c>
      <c r="I30" s="67">
        <f>IF($N30="","",IF($P30&gt;0,IF(3&lt;=SemanaActual,INDEX('Cronograma R. Financiero'!$AA$5:$AA$1000,$N30),""),IF(INDEX('Cronograma R. Financiero'!$J$5:$J$1000,$N30)="","",INDEX('Cronograma R. Financiero'!$J$5:$J$1000,$N30))))</f>
        <v/>
      </c>
      <c r="J30" s="67">
        <f>IF($N30="","",IF($P30&gt;0,IF(4&lt;=SemanaActual,INDEX('Cronograma R. Financiero'!$AB$5:$AB$1000,$N30),""),IF(INDEX('Cronograma R. Financiero'!$K$5:$K$1000,$N30)="","",INDEX('Cronograma R. Financiero'!$K$5:$K$1000,$N30))))</f>
        <v/>
      </c>
      <c r="K30" s="67">
        <f>IF($N30="","",INDEX('Cronograma R. Financiero'!$L$5:$L$1000,$N30))</f>
        <v/>
      </c>
      <c r="L30" s="61">
        <f>IF($N30="","",IF(N($K30)&gt;=1,"Completado",IF(AND(ISNUMBER($E30),$E30&lt;FechaRef),"Vencida",IF(N($K30)&gt;0,"En curso","Pendiente"))))</f>
        <v/>
      </c>
      <c r="M30" s="70">
        <f>IF($N30="","",INDEX('Cronograma R. Financiero'!$N$5:$N$1000,$N30)&amp;"")</f>
        <v/>
      </c>
      <c r="N30">
        <f>IFERROR(MATCH(ROW()-4,rOrden_RF,0),"")</f>
        <v/>
      </c>
      <c r="O30">
        <f>IF($N30="","",INDEX('Cronograma R. Financiero'!$S$5:$S$1000,$N30))</f>
        <v/>
      </c>
      <c r="P30">
        <f>IF($N30="","",N(INDEX('Cronograma R. Financiero'!$T$5:$T$1000,$N30)))</f>
        <v/>
      </c>
    </row>
    <row r="31">
      <c r="A31" s="61">
        <f>IF($N31="","",INDEX('Cronograma R. Financiero'!$A$5:$A$1000,$N31))</f>
        <v/>
      </c>
      <c r="B31" s="70">
        <f>IF($N31="","",IF($O31="Sub","     ↳ "&amp;INDEX('Cronograma R. Financiero'!$C$5:$C$1000,$N31),INDEX('Cronograma R. Financiero'!$B$5:$B$1000,$N31)&amp;""))</f>
        <v/>
      </c>
      <c r="C31" s="70">
        <f>IF($N31="","",INDEX('Cronograma R. Financiero'!$D$5:$D$1000,$N31)&amp;"")</f>
        <v/>
      </c>
      <c r="D31" s="76">
        <f>IF($N31="","",IF(INDEX('Cronograma R. Financiero'!$E$5:$E$1000,$N31)="","",INDEX('Cronograma R. Financiero'!$E$5:$E$1000,$N31)))</f>
        <v/>
      </c>
      <c r="E31" s="76">
        <f>IF($N31="","",IF(INDEX('Cronograma R. Financiero'!$F$5:$F$1000,$N31)="","",INDEX('Cronograma R. Financiero'!$F$5:$F$1000,$N31)))</f>
        <v/>
      </c>
      <c r="F31" s="61">
        <f>IF($N31="","",IF(NOT(ISNUMBER($E31)),"",IF($E31&lt;InicioCiclo,"Antes del ciclo",IF($E31&gt;=InicioCiclo+28,"Después del ciclo","Semana "&amp;(INT(($E31-InicioCiclo)/7)+1)))))</f>
        <v/>
      </c>
      <c r="G31" s="67">
        <f>IF($N31="","",IF($P31&gt;0,IF(1&lt;=SemanaActual,INDEX('Cronograma R. Financiero'!$Y$5:$Y$1000,$N31),""),IF(INDEX('Cronograma R. Financiero'!$H$5:$H$1000,$N31)="","",INDEX('Cronograma R. Financiero'!$H$5:$H$1000,$N31))))</f>
        <v/>
      </c>
      <c r="H31" s="67">
        <f>IF($N31="","",IF($P31&gt;0,IF(2&lt;=SemanaActual,INDEX('Cronograma R. Financiero'!$Z$5:$Z$1000,$N31),""),IF(INDEX('Cronograma R. Financiero'!$I$5:$I$1000,$N31)="","",INDEX('Cronograma R. Financiero'!$I$5:$I$1000,$N31))))</f>
        <v/>
      </c>
      <c r="I31" s="67">
        <f>IF($N31="","",IF($P31&gt;0,IF(3&lt;=SemanaActual,INDEX('Cronograma R. Financiero'!$AA$5:$AA$1000,$N31),""),IF(INDEX('Cronograma R. Financiero'!$J$5:$J$1000,$N31)="","",INDEX('Cronograma R. Financiero'!$J$5:$J$1000,$N31))))</f>
        <v/>
      </c>
      <c r="J31" s="67">
        <f>IF($N31="","",IF($P31&gt;0,IF(4&lt;=SemanaActual,INDEX('Cronograma R. Financiero'!$AB$5:$AB$1000,$N31),""),IF(INDEX('Cronograma R. Financiero'!$K$5:$K$1000,$N31)="","",INDEX('Cronograma R. Financiero'!$K$5:$K$1000,$N31))))</f>
        <v/>
      </c>
      <c r="K31" s="67">
        <f>IF($N31="","",INDEX('Cronograma R. Financiero'!$L$5:$L$1000,$N31))</f>
        <v/>
      </c>
      <c r="L31" s="61">
        <f>IF($N31="","",IF(N($K31)&gt;=1,"Completado",IF(AND(ISNUMBER($E31),$E31&lt;FechaRef),"Vencida",IF(N($K31)&gt;0,"En curso","Pendiente"))))</f>
        <v/>
      </c>
      <c r="M31" s="70">
        <f>IF($N31="","",INDEX('Cronograma R. Financiero'!$N$5:$N$1000,$N31)&amp;"")</f>
        <v/>
      </c>
      <c r="N31">
        <f>IFERROR(MATCH(ROW()-4,rOrden_RF,0),"")</f>
        <v/>
      </c>
      <c r="O31">
        <f>IF($N31="","",INDEX('Cronograma R. Financiero'!$S$5:$S$1000,$N31))</f>
        <v/>
      </c>
      <c r="P31">
        <f>IF($N31="","",N(INDEX('Cronograma R. Financiero'!$T$5:$T$1000,$N31)))</f>
        <v/>
      </c>
    </row>
    <row r="32">
      <c r="A32" s="61">
        <f>IF($N32="","",INDEX('Cronograma R. Financiero'!$A$5:$A$1000,$N32))</f>
        <v/>
      </c>
      <c r="B32" s="70">
        <f>IF($N32="","",IF($O32="Sub","     ↳ "&amp;INDEX('Cronograma R. Financiero'!$C$5:$C$1000,$N32),INDEX('Cronograma R. Financiero'!$B$5:$B$1000,$N32)&amp;""))</f>
        <v/>
      </c>
      <c r="C32" s="70">
        <f>IF($N32="","",INDEX('Cronograma R. Financiero'!$D$5:$D$1000,$N32)&amp;"")</f>
        <v/>
      </c>
      <c r="D32" s="76">
        <f>IF($N32="","",IF(INDEX('Cronograma R. Financiero'!$E$5:$E$1000,$N32)="","",INDEX('Cronograma R. Financiero'!$E$5:$E$1000,$N32)))</f>
        <v/>
      </c>
      <c r="E32" s="76">
        <f>IF($N32="","",IF(INDEX('Cronograma R. Financiero'!$F$5:$F$1000,$N32)="","",INDEX('Cronograma R. Financiero'!$F$5:$F$1000,$N32)))</f>
        <v/>
      </c>
      <c r="F32" s="61">
        <f>IF($N32="","",IF(NOT(ISNUMBER($E32)),"",IF($E32&lt;InicioCiclo,"Antes del ciclo",IF($E32&gt;=InicioCiclo+28,"Después del ciclo","Semana "&amp;(INT(($E32-InicioCiclo)/7)+1)))))</f>
        <v/>
      </c>
      <c r="G32" s="67">
        <f>IF($N32="","",IF($P32&gt;0,IF(1&lt;=SemanaActual,INDEX('Cronograma R. Financiero'!$Y$5:$Y$1000,$N32),""),IF(INDEX('Cronograma R. Financiero'!$H$5:$H$1000,$N32)="","",INDEX('Cronograma R. Financiero'!$H$5:$H$1000,$N32))))</f>
        <v/>
      </c>
      <c r="H32" s="67">
        <f>IF($N32="","",IF($P32&gt;0,IF(2&lt;=SemanaActual,INDEX('Cronograma R. Financiero'!$Z$5:$Z$1000,$N32),""),IF(INDEX('Cronograma R. Financiero'!$I$5:$I$1000,$N32)="","",INDEX('Cronograma R. Financiero'!$I$5:$I$1000,$N32))))</f>
        <v/>
      </c>
      <c r="I32" s="67">
        <f>IF($N32="","",IF($P32&gt;0,IF(3&lt;=SemanaActual,INDEX('Cronograma R. Financiero'!$AA$5:$AA$1000,$N32),""),IF(INDEX('Cronograma R. Financiero'!$J$5:$J$1000,$N32)="","",INDEX('Cronograma R. Financiero'!$J$5:$J$1000,$N32))))</f>
        <v/>
      </c>
      <c r="J32" s="67">
        <f>IF($N32="","",IF($P32&gt;0,IF(4&lt;=SemanaActual,INDEX('Cronograma R. Financiero'!$AB$5:$AB$1000,$N32),""),IF(INDEX('Cronograma R. Financiero'!$K$5:$K$1000,$N32)="","",INDEX('Cronograma R. Financiero'!$K$5:$K$1000,$N32))))</f>
        <v/>
      </c>
      <c r="K32" s="67">
        <f>IF($N32="","",INDEX('Cronograma R. Financiero'!$L$5:$L$1000,$N32))</f>
        <v/>
      </c>
      <c r="L32" s="61">
        <f>IF($N32="","",IF(N($K32)&gt;=1,"Completado",IF(AND(ISNUMBER($E32),$E32&lt;FechaRef),"Vencida",IF(N($K32)&gt;0,"En curso","Pendiente"))))</f>
        <v/>
      </c>
      <c r="M32" s="70">
        <f>IF($N32="","",INDEX('Cronograma R. Financiero'!$N$5:$N$1000,$N32)&amp;"")</f>
        <v/>
      </c>
      <c r="N32">
        <f>IFERROR(MATCH(ROW()-4,rOrden_RF,0),"")</f>
        <v/>
      </c>
      <c r="O32">
        <f>IF($N32="","",INDEX('Cronograma R. Financiero'!$S$5:$S$1000,$N32))</f>
        <v/>
      </c>
      <c r="P32">
        <f>IF($N32="","",N(INDEX('Cronograma R. Financiero'!$T$5:$T$1000,$N32)))</f>
        <v/>
      </c>
    </row>
    <row r="33">
      <c r="A33" s="61">
        <f>IF($N33="","",INDEX('Cronograma R. Financiero'!$A$5:$A$1000,$N33))</f>
        <v/>
      </c>
      <c r="B33" s="70">
        <f>IF($N33="","",IF($O33="Sub","     ↳ "&amp;INDEX('Cronograma R. Financiero'!$C$5:$C$1000,$N33),INDEX('Cronograma R. Financiero'!$B$5:$B$1000,$N33)&amp;""))</f>
        <v/>
      </c>
      <c r="C33" s="70">
        <f>IF($N33="","",INDEX('Cronograma R. Financiero'!$D$5:$D$1000,$N33)&amp;"")</f>
        <v/>
      </c>
      <c r="D33" s="76">
        <f>IF($N33="","",IF(INDEX('Cronograma R. Financiero'!$E$5:$E$1000,$N33)="","",INDEX('Cronograma R. Financiero'!$E$5:$E$1000,$N33)))</f>
        <v/>
      </c>
      <c r="E33" s="76">
        <f>IF($N33="","",IF(INDEX('Cronograma R. Financiero'!$F$5:$F$1000,$N33)="","",INDEX('Cronograma R. Financiero'!$F$5:$F$1000,$N33)))</f>
        <v/>
      </c>
      <c r="F33" s="61">
        <f>IF($N33="","",IF(NOT(ISNUMBER($E33)),"",IF($E33&lt;InicioCiclo,"Antes del ciclo",IF($E33&gt;=InicioCiclo+28,"Después del ciclo","Semana "&amp;(INT(($E33-InicioCiclo)/7)+1)))))</f>
        <v/>
      </c>
      <c r="G33" s="67">
        <f>IF($N33="","",IF($P33&gt;0,IF(1&lt;=SemanaActual,INDEX('Cronograma R. Financiero'!$Y$5:$Y$1000,$N33),""),IF(INDEX('Cronograma R. Financiero'!$H$5:$H$1000,$N33)="","",INDEX('Cronograma R. Financiero'!$H$5:$H$1000,$N33))))</f>
        <v/>
      </c>
      <c r="H33" s="67">
        <f>IF($N33="","",IF($P33&gt;0,IF(2&lt;=SemanaActual,INDEX('Cronograma R. Financiero'!$Z$5:$Z$1000,$N33),""),IF(INDEX('Cronograma R. Financiero'!$I$5:$I$1000,$N33)="","",INDEX('Cronograma R. Financiero'!$I$5:$I$1000,$N33))))</f>
        <v/>
      </c>
      <c r="I33" s="67">
        <f>IF($N33="","",IF($P33&gt;0,IF(3&lt;=SemanaActual,INDEX('Cronograma R. Financiero'!$AA$5:$AA$1000,$N33),""),IF(INDEX('Cronograma R. Financiero'!$J$5:$J$1000,$N33)="","",INDEX('Cronograma R. Financiero'!$J$5:$J$1000,$N33))))</f>
        <v/>
      </c>
      <c r="J33" s="67">
        <f>IF($N33="","",IF($P33&gt;0,IF(4&lt;=SemanaActual,INDEX('Cronograma R. Financiero'!$AB$5:$AB$1000,$N33),""),IF(INDEX('Cronograma R. Financiero'!$K$5:$K$1000,$N33)="","",INDEX('Cronograma R. Financiero'!$K$5:$K$1000,$N33))))</f>
        <v/>
      </c>
      <c r="K33" s="67">
        <f>IF($N33="","",INDEX('Cronograma R. Financiero'!$L$5:$L$1000,$N33))</f>
        <v/>
      </c>
      <c r="L33" s="61">
        <f>IF($N33="","",IF(N($K33)&gt;=1,"Completado",IF(AND(ISNUMBER($E33),$E33&lt;FechaRef),"Vencida",IF(N($K33)&gt;0,"En curso","Pendiente"))))</f>
        <v/>
      </c>
      <c r="M33" s="70">
        <f>IF($N33="","",INDEX('Cronograma R. Financiero'!$N$5:$N$1000,$N33)&amp;"")</f>
        <v/>
      </c>
      <c r="N33">
        <f>IFERROR(MATCH(ROW()-4,rOrden_RF,0),"")</f>
        <v/>
      </c>
      <c r="O33">
        <f>IF($N33="","",INDEX('Cronograma R. Financiero'!$S$5:$S$1000,$N33))</f>
        <v/>
      </c>
      <c r="P33">
        <f>IF($N33="","",N(INDEX('Cronograma R. Financiero'!$T$5:$T$1000,$N33)))</f>
        <v/>
      </c>
    </row>
    <row r="34">
      <c r="A34" s="61">
        <f>IF($N34="","",INDEX('Cronograma R. Financiero'!$A$5:$A$1000,$N34))</f>
        <v/>
      </c>
      <c r="B34" s="70">
        <f>IF($N34="","",IF($O34="Sub","     ↳ "&amp;INDEX('Cronograma R. Financiero'!$C$5:$C$1000,$N34),INDEX('Cronograma R. Financiero'!$B$5:$B$1000,$N34)&amp;""))</f>
        <v/>
      </c>
      <c r="C34" s="70">
        <f>IF($N34="","",INDEX('Cronograma R. Financiero'!$D$5:$D$1000,$N34)&amp;"")</f>
        <v/>
      </c>
      <c r="D34" s="76">
        <f>IF($N34="","",IF(INDEX('Cronograma R. Financiero'!$E$5:$E$1000,$N34)="","",INDEX('Cronograma R. Financiero'!$E$5:$E$1000,$N34)))</f>
        <v/>
      </c>
      <c r="E34" s="76">
        <f>IF($N34="","",IF(INDEX('Cronograma R. Financiero'!$F$5:$F$1000,$N34)="","",INDEX('Cronograma R. Financiero'!$F$5:$F$1000,$N34)))</f>
        <v/>
      </c>
      <c r="F34" s="61">
        <f>IF($N34="","",IF(NOT(ISNUMBER($E34)),"",IF($E34&lt;InicioCiclo,"Antes del ciclo",IF($E34&gt;=InicioCiclo+28,"Después del ciclo","Semana "&amp;(INT(($E34-InicioCiclo)/7)+1)))))</f>
        <v/>
      </c>
      <c r="G34" s="67">
        <f>IF($N34="","",IF($P34&gt;0,IF(1&lt;=SemanaActual,INDEX('Cronograma R. Financiero'!$Y$5:$Y$1000,$N34),""),IF(INDEX('Cronograma R. Financiero'!$H$5:$H$1000,$N34)="","",INDEX('Cronograma R. Financiero'!$H$5:$H$1000,$N34))))</f>
        <v/>
      </c>
      <c r="H34" s="67">
        <f>IF($N34="","",IF($P34&gt;0,IF(2&lt;=SemanaActual,INDEX('Cronograma R. Financiero'!$Z$5:$Z$1000,$N34),""),IF(INDEX('Cronograma R. Financiero'!$I$5:$I$1000,$N34)="","",INDEX('Cronograma R. Financiero'!$I$5:$I$1000,$N34))))</f>
        <v/>
      </c>
      <c r="I34" s="67">
        <f>IF($N34="","",IF($P34&gt;0,IF(3&lt;=SemanaActual,INDEX('Cronograma R. Financiero'!$AA$5:$AA$1000,$N34),""),IF(INDEX('Cronograma R. Financiero'!$J$5:$J$1000,$N34)="","",INDEX('Cronograma R. Financiero'!$J$5:$J$1000,$N34))))</f>
        <v/>
      </c>
      <c r="J34" s="67">
        <f>IF($N34="","",IF($P34&gt;0,IF(4&lt;=SemanaActual,INDEX('Cronograma R. Financiero'!$AB$5:$AB$1000,$N34),""),IF(INDEX('Cronograma R. Financiero'!$K$5:$K$1000,$N34)="","",INDEX('Cronograma R. Financiero'!$K$5:$K$1000,$N34))))</f>
        <v/>
      </c>
      <c r="K34" s="67">
        <f>IF($N34="","",INDEX('Cronograma R. Financiero'!$L$5:$L$1000,$N34))</f>
        <v/>
      </c>
      <c r="L34" s="61">
        <f>IF($N34="","",IF(N($K34)&gt;=1,"Completado",IF(AND(ISNUMBER($E34),$E34&lt;FechaRef),"Vencida",IF(N($K34)&gt;0,"En curso","Pendiente"))))</f>
        <v/>
      </c>
      <c r="M34" s="70">
        <f>IF($N34="","",INDEX('Cronograma R. Financiero'!$N$5:$N$1000,$N34)&amp;"")</f>
        <v/>
      </c>
      <c r="N34">
        <f>IFERROR(MATCH(ROW()-4,rOrden_RF,0),"")</f>
        <v/>
      </c>
      <c r="O34">
        <f>IF($N34="","",INDEX('Cronograma R. Financiero'!$S$5:$S$1000,$N34))</f>
        <v/>
      </c>
      <c r="P34">
        <f>IF($N34="","",N(INDEX('Cronograma R. Financiero'!$T$5:$T$1000,$N34)))</f>
        <v/>
      </c>
    </row>
    <row r="35">
      <c r="A35" s="61">
        <f>IF($N35="","",INDEX('Cronograma R. Financiero'!$A$5:$A$1000,$N35))</f>
        <v/>
      </c>
      <c r="B35" s="70">
        <f>IF($N35="","",IF($O35="Sub","     ↳ "&amp;INDEX('Cronograma R. Financiero'!$C$5:$C$1000,$N35),INDEX('Cronograma R. Financiero'!$B$5:$B$1000,$N35)&amp;""))</f>
        <v/>
      </c>
      <c r="C35" s="70">
        <f>IF($N35="","",INDEX('Cronograma R. Financiero'!$D$5:$D$1000,$N35)&amp;"")</f>
        <v/>
      </c>
      <c r="D35" s="76">
        <f>IF($N35="","",IF(INDEX('Cronograma R. Financiero'!$E$5:$E$1000,$N35)="","",INDEX('Cronograma R. Financiero'!$E$5:$E$1000,$N35)))</f>
        <v/>
      </c>
      <c r="E35" s="76">
        <f>IF($N35="","",IF(INDEX('Cronograma R. Financiero'!$F$5:$F$1000,$N35)="","",INDEX('Cronograma R. Financiero'!$F$5:$F$1000,$N35)))</f>
        <v/>
      </c>
      <c r="F35" s="61">
        <f>IF($N35="","",IF(NOT(ISNUMBER($E35)),"",IF($E35&lt;InicioCiclo,"Antes del ciclo",IF($E35&gt;=InicioCiclo+28,"Después del ciclo","Semana "&amp;(INT(($E35-InicioCiclo)/7)+1)))))</f>
        <v/>
      </c>
      <c r="G35" s="67">
        <f>IF($N35="","",IF($P35&gt;0,IF(1&lt;=SemanaActual,INDEX('Cronograma R. Financiero'!$Y$5:$Y$1000,$N35),""),IF(INDEX('Cronograma R. Financiero'!$H$5:$H$1000,$N35)="","",INDEX('Cronograma R. Financiero'!$H$5:$H$1000,$N35))))</f>
        <v/>
      </c>
      <c r="H35" s="67">
        <f>IF($N35="","",IF($P35&gt;0,IF(2&lt;=SemanaActual,INDEX('Cronograma R. Financiero'!$Z$5:$Z$1000,$N35),""),IF(INDEX('Cronograma R. Financiero'!$I$5:$I$1000,$N35)="","",INDEX('Cronograma R. Financiero'!$I$5:$I$1000,$N35))))</f>
        <v/>
      </c>
      <c r="I35" s="67">
        <f>IF($N35="","",IF($P35&gt;0,IF(3&lt;=SemanaActual,INDEX('Cronograma R. Financiero'!$AA$5:$AA$1000,$N35),""),IF(INDEX('Cronograma R. Financiero'!$J$5:$J$1000,$N35)="","",INDEX('Cronograma R. Financiero'!$J$5:$J$1000,$N35))))</f>
        <v/>
      </c>
      <c r="J35" s="67">
        <f>IF($N35="","",IF($P35&gt;0,IF(4&lt;=SemanaActual,INDEX('Cronograma R. Financiero'!$AB$5:$AB$1000,$N35),""),IF(INDEX('Cronograma R. Financiero'!$K$5:$K$1000,$N35)="","",INDEX('Cronograma R. Financiero'!$K$5:$K$1000,$N35))))</f>
        <v/>
      </c>
      <c r="K35" s="67">
        <f>IF($N35="","",INDEX('Cronograma R. Financiero'!$L$5:$L$1000,$N35))</f>
        <v/>
      </c>
      <c r="L35" s="61">
        <f>IF($N35="","",IF(N($K35)&gt;=1,"Completado",IF(AND(ISNUMBER($E35),$E35&lt;FechaRef),"Vencida",IF(N($K35)&gt;0,"En curso","Pendiente"))))</f>
        <v/>
      </c>
      <c r="M35" s="70">
        <f>IF($N35="","",INDEX('Cronograma R. Financiero'!$N$5:$N$1000,$N35)&amp;"")</f>
        <v/>
      </c>
      <c r="N35">
        <f>IFERROR(MATCH(ROW()-4,rOrden_RF,0),"")</f>
        <v/>
      </c>
      <c r="O35">
        <f>IF($N35="","",INDEX('Cronograma R. Financiero'!$S$5:$S$1000,$N35))</f>
        <v/>
      </c>
      <c r="P35">
        <f>IF($N35="","",N(INDEX('Cronograma R. Financiero'!$T$5:$T$1000,$N35)))</f>
        <v/>
      </c>
    </row>
    <row r="36">
      <c r="A36" s="61">
        <f>IF($N36="","",INDEX('Cronograma R. Financiero'!$A$5:$A$1000,$N36))</f>
        <v/>
      </c>
      <c r="B36" s="70">
        <f>IF($N36="","",IF($O36="Sub","     ↳ "&amp;INDEX('Cronograma R. Financiero'!$C$5:$C$1000,$N36),INDEX('Cronograma R. Financiero'!$B$5:$B$1000,$N36)&amp;""))</f>
        <v/>
      </c>
      <c r="C36" s="70">
        <f>IF($N36="","",INDEX('Cronograma R. Financiero'!$D$5:$D$1000,$N36)&amp;"")</f>
        <v/>
      </c>
      <c r="D36" s="76">
        <f>IF($N36="","",IF(INDEX('Cronograma R. Financiero'!$E$5:$E$1000,$N36)="","",INDEX('Cronograma R. Financiero'!$E$5:$E$1000,$N36)))</f>
        <v/>
      </c>
      <c r="E36" s="76">
        <f>IF($N36="","",IF(INDEX('Cronograma R. Financiero'!$F$5:$F$1000,$N36)="","",INDEX('Cronograma R. Financiero'!$F$5:$F$1000,$N36)))</f>
        <v/>
      </c>
      <c r="F36" s="61">
        <f>IF($N36="","",IF(NOT(ISNUMBER($E36)),"",IF($E36&lt;InicioCiclo,"Antes del ciclo",IF($E36&gt;=InicioCiclo+28,"Después del ciclo","Semana "&amp;(INT(($E36-InicioCiclo)/7)+1)))))</f>
        <v/>
      </c>
      <c r="G36" s="67">
        <f>IF($N36="","",IF($P36&gt;0,IF(1&lt;=SemanaActual,INDEX('Cronograma R. Financiero'!$Y$5:$Y$1000,$N36),""),IF(INDEX('Cronograma R. Financiero'!$H$5:$H$1000,$N36)="","",INDEX('Cronograma R. Financiero'!$H$5:$H$1000,$N36))))</f>
        <v/>
      </c>
      <c r="H36" s="67">
        <f>IF($N36="","",IF($P36&gt;0,IF(2&lt;=SemanaActual,INDEX('Cronograma R. Financiero'!$Z$5:$Z$1000,$N36),""),IF(INDEX('Cronograma R. Financiero'!$I$5:$I$1000,$N36)="","",INDEX('Cronograma R. Financiero'!$I$5:$I$1000,$N36))))</f>
        <v/>
      </c>
      <c r="I36" s="67">
        <f>IF($N36="","",IF($P36&gt;0,IF(3&lt;=SemanaActual,INDEX('Cronograma R. Financiero'!$AA$5:$AA$1000,$N36),""),IF(INDEX('Cronograma R. Financiero'!$J$5:$J$1000,$N36)="","",INDEX('Cronograma R. Financiero'!$J$5:$J$1000,$N36))))</f>
        <v/>
      </c>
      <c r="J36" s="67">
        <f>IF($N36="","",IF($P36&gt;0,IF(4&lt;=SemanaActual,INDEX('Cronograma R. Financiero'!$AB$5:$AB$1000,$N36),""),IF(INDEX('Cronograma R. Financiero'!$K$5:$K$1000,$N36)="","",INDEX('Cronograma R. Financiero'!$K$5:$K$1000,$N36))))</f>
        <v/>
      </c>
      <c r="K36" s="67">
        <f>IF($N36="","",INDEX('Cronograma R. Financiero'!$L$5:$L$1000,$N36))</f>
        <v/>
      </c>
      <c r="L36" s="61">
        <f>IF($N36="","",IF(N($K36)&gt;=1,"Completado",IF(AND(ISNUMBER($E36),$E36&lt;FechaRef),"Vencida",IF(N($K36)&gt;0,"En curso","Pendiente"))))</f>
        <v/>
      </c>
      <c r="M36" s="70">
        <f>IF($N36="","",INDEX('Cronograma R. Financiero'!$N$5:$N$1000,$N36)&amp;"")</f>
        <v/>
      </c>
      <c r="N36">
        <f>IFERROR(MATCH(ROW()-4,rOrden_RF,0),"")</f>
        <v/>
      </c>
      <c r="O36">
        <f>IF($N36="","",INDEX('Cronograma R. Financiero'!$S$5:$S$1000,$N36))</f>
        <v/>
      </c>
      <c r="P36">
        <f>IF($N36="","",N(INDEX('Cronograma R. Financiero'!$T$5:$T$1000,$N36)))</f>
        <v/>
      </c>
    </row>
    <row r="37">
      <c r="A37" s="61">
        <f>IF($N37="","",INDEX('Cronograma R. Financiero'!$A$5:$A$1000,$N37))</f>
        <v/>
      </c>
      <c r="B37" s="70">
        <f>IF($N37="","",IF($O37="Sub","     ↳ "&amp;INDEX('Cronograma R. Financiero'!$C$5:$C$1000,$N37),INDEX('Cronograma R. Financiero'!$B$5:$B$1000,$N37)&amp;""))</f>
        <v/>
      </c>
      <c r="C37" s="70">
        <f>IF($N37="","",INDEX('Cronograma R. Financiero'!$D$5:$D$1000,$N37)&amp;"")</f>
        <v/>
      </c>
      <c r="D37" s="76">
        <f>IF($N37="","",IF(INDEX('Cronograma R. Financiero'!$E$5:$E$1000,$N37)="","",INDEX('Cronograma R. Financiero'!$E$5:$E$1000,$N37)))</f>
        <v/>
      </c>
      <c r="E37" s="76">
        <f>IF($N37="","",IF(INDEX('Cronograma R. Financiero'!$F$5:$F$1000,$N37)="","",INDEX('Cronograma R. Financiero'!$F$5:$F$1000,$N37)))</f>
        <v/>
      </c>
      <c r="F37" s="61">
        <f>IF($N37="","",IF(NOT(ISNUMBER($E37)),"",IF($E37&lt;InicioCiclo,"Antes del ciclo",IF($E37&gt;=InicioCiclo+28,"Después del ciclo","Semana "&amp;(INT(($E37-InicioCiclo)/7)+1)))))</f>
        <v/>
      </c>
      <c r="G37" s="67">
        <f>IF($N37="","",IF($P37&gt;0,IF(1&lt;=SemanaActual,INDEX('Cronograma R. Financiero'!$Y$5:$Y$1000,$N37),""),IF(INDEX('Cronograma R. Financiero'!$H$5:$H$1000,$N37)="","",INDEX('Cronograma R. Financiero'!$H$5:$H$1000,$N37))))</f>
        <v/>
      </c>
      <c r="H37" s="67">
        <f>IF($N37="","",IF($P37&gt;0,IF(2&lt;=SemanaActual,INDEX('Cronograma R. Financiero'!$Z$5:$Z$1000,$N37),""),IF(INDEX('Cronograma R. Financiero'!$I$5:$I$1000,$N37)="","",INDEX('Cronograma R. Financiero'!$I$5:$I$1000,$N37))))</f>
        <v/>
      </c>
      <c r="I37" s="67">
        <f>IF($N37="","",IF($P37&gt;0,IF(3&lt;=SemanaActual,INDEX('Cronograma R. Financiero'!$AA$5:$AA$1000,$N37),""),IF(INDEX('Cronograma R. Financiero'!$J$5:$J$1000,$N37)="","",INDEX('Cronograma R. Financiero'!$J$5:$J$1000,$N37))))</f>
        <v/>
      </c>
      <c r="J37" s="67">
        <f>IF($N37="","",IF($P37&gt;0,IF(4&lt;=SemanaActual,INDEX('Cronograma R. Financiero'!$AB$5:$AB$1000,$N37),""),IF(INDEX('Cronograma R. Financiero'!$K$5:$K$1000,$N37)="","",INDEX('Cronograma R. Financiero'!$K$5:$K$1000,$N37))))</f>
        <v/>
      </c>
      <c r="K37" s="67">
        <f>IF($N37="","",INDEX('Cronograma R. Financiero'!$L$5:$L$1000,$N37))</f>
        <v/>
      </c>
      <c r="L37" s="61">
        <f>IF($N37="","",IF(N($K37)&gt;=1,"Completado",IF(AND(ISNUMBER($E37),$E37&lt;FechaRef),"Vencida",IF(N($K37)&gt;0,"En curso","Pendiente"))))</f>
        <v/>
      </c>
      <c r="M37" s="70">
        <f>IF($N37="","",INDEX('Cronograma R. Financiero'!$N$5:$N$1000,$N37)&amp;"")</f>
        <v/>
      </c>
      <c r="N37">
        <f>IFERROR(MATCH(ROW()-4,rOrden_RF,0),"")</f>
        <v/>
      </c>
      <c r="O37">
        <f>IF($N37="","",INDEX('Cronograma R. Financiero'!$S$5:$S$1000,$N37))</f>
        <v/>
      </c>
      <c r="P37">
        <f>IF($N37="","",N(INDEX('Cronograma R. Financiero'!$T$5:$T$1000,$N37)))</f>
        <v/>
      </c>
    </row>
    <row r="38">
      <c r="A38" s="61">
        <f>IF($N38="","",INDEX('Cronograma R. Financiero'!$A$5:$A$1000,$N38))</f>
        <v/>
      </c>
      <c r="B38" s="70">
        <f>IF($N38="","",IF($O38="Sub","     ↳ "&amp;INDEX('Cronograma R. Financiero'!$C$5:$C$1000,$N38),INDEX('Cronograma R. Financiero'!$B$5:$B$1000,$N38)&amp;""))</f>
        <v/>
      </c>
      <c r="C38" s="70">
        <f>IF($N38="","",INDEX('Cronograma R. Financiero'!$D$5:$D$1000,$N38)&amp;"")</f>
        <v/>
      </c>
      <c r="D38" s="76">
        <f>IF($N38="","",IF(INDEX('Cronograma R. Financiero'!$E$5:$E$1000,$N38)="","",INDEX('Cronograma R. Financiero'!$E$5:$E$1000,$N38)))</f>
        <v/>
      </c>
      <c r="E38" s="76">
        <f>IF($N38="","",IF(INDEX('Cronograma R. Financiero'!$F$5:$F$1000,$N38)="","",INDEX('Cronograma R. Financiero'!$F$5:$F$1000,$N38)))</f>
        <v/>
      </c>
      <c r="F38" s="61">
        <f>IF($N38="","",IF(NOT(ISNUMBER($E38)),"",IF($E38&lt;InicioCiclo,"Antes del ciclo",IF($E38&gt;=InicioCiclo+28,"Después del ciclo","Semana "&amp;(INT(($E38-InicioCiclo)/7)+1)))))</f>
        <v/>
      </c>
      <c r="G38" s="67">
        <f>IF($N38="","",IF($P38&gt;0,IF(1&lt;=SemanaActual,INDEX('Cronograma R. Financiero'!$Y$5:$Y$1000,$N38),""),IF(INDEX('Cronograma R. Financiero'!$H$5:$H$1000,$N38)="","",INDEX('Cronograma R. Financiero'!$H$5:$H$1000,$N38))))</f>
        <v/>
      </c>
      <c r="H38" s="67">
        <f>IF($N38="","",IF($P38&gt;0,IF(2&lt;=SemanaActual,INDEX('Cronograma R. Financiero'!$Z$5:$Z$1000,$N38),""),IF(INDEX('Cronograma R. Financiero'!$I$5:$I$1000,$N38)="","",INDEX('Cronograma R. Financiero'!$I$5:$I$1000,$N38))))</f>
        <v/>
      </c>
      <c r="I38" s="67">
        <f>IF($N38="","",IF($P38&gt;0,IF(3&lt;=SemanaActual,INDEX('Cronograma R. Financiero'!$AA$5:$AA$1000,$N38),""),IF(INDEX('Cronograma R. Financiero'!$J$5:$J$1000,$N38)="","",INDEX('Cronograma R. Financiero'!$J$5:$J$1000,$N38))))</f>
        <v/>
      </c>
      <c r="J38" s="67">
        <f>IF($N38="","",IF($P38&gt;0,IF(4&lt;=SemanaActual,INDEX('Cronograma R. Financiero'!$AB$5:$AB$1000,$N38),""),IF(INDEX('Cronograma R. Financiero'!$K$5:$K$1000,$N38)="","",INDEX('Cronograma R. Financiero'!$K$5:$K$1000,$N38))))</f>
        <v/>
      </c>
      <c r="K38" s="67">
        <f>IF($N38="","",INDEX('Cronograma R. Financiero'!$L$5:$L$1000,$N38))</f>
        <v/>
      </c>
      <c r="L38" s="61">
        <f>IF($N38="","",IF(N($K38)&gt;=1,"Completado",IF(AND(ISNUMBER($E38),$E38&lt;FechaRef),"Vencida",IF(N($K38)&gt;0,"En curso","Pendiente"))))</f>
        <v/>
      </c>
      <c r="M38" s="70">
        <f>IF($N38="","",INDEX('Cronograma R. Financiero'!$N$5:$N$1000,$N38)&amp;"")</f>
        <v/>
      </c>
      <c r="N38">
        <f>IFERROR(MATCH(ROW()-4,rOrden_RF,0),"")</f>
        <v/>
      </c>
      <c r="O38">
        <f>IF($N38="","",INDEX('Cronograma R. Financiero'!$S$5:$S$1000,$N38))</f>
        <v/>
      </c>
      <c r="P38">
        <f>IF($N38="","",N(INDEX('Cronograma R. Financiero'!$T$5:$T$1000,$N38)))</f>
        <v/>
      </c>
    </row>
    <row r="39">
      <c r="A39" s="61">
        <f>IF($N39="","",INDEX('Cronograma R. Financiero'!$A$5:$A$1000,$N39))</f>
        <v/>
      </c>
      <c r="B39" s="70">
        <f>IF($N39="","",IF($O39="Sub","     ↳ "&amp;INDEX('Cronograma R. Financiero'!$C$5:$C$1000,$N39),INDEX('Cronograma R. Financiero'!$B$5:$B$1000,$N39)&amp;""))</f>
        <v/>
      </c>
      <c r="C39" s="70">
        <f>IF($N39="","",INDEX('Cronograma R. Financiero'!$D$5:$D$1000,$N39)&amp;"")</f>
        <v/>
      </c>
      <c r="D39" s="76">
        <f>IF($N39="","",IF(INDEX('Cronograma R. Financiero'!$E$5:$E$1000,$N39)="","",INDEX('Cronograma R. Financiero'!$E$5:$E$1000,$N39)))</f>
        <v/>
      </c>
      <c r="E39" s="76">
        <f>IF($N39="","",IF(INDEX('Cronograma R. Financiero'!$F$5:$F$1000,$N39)="","",INDEX('Cronograma R. Financiero'!$F$5:$F$1000,$N39)))</f>
        <v/>
      </c>
      <c r="F39" s="61">
        <f>IF($N39="","",IF(NOT(ISNUMBER($E39)),"",IF($E39&lt;InicioCiclo,"Antes del ciclo",IF($E39&gt;=InicioCiclo+28,"Después del ciclo","Semana "&amp;(INT(($E39-InicioCiclo)/7)+1)))))</f>
        <v/>
      </c>
      <c r="G39" s="67">
        <f>IF($N39="","",IF($P39&gt;0,IF(1&lt;=SemanaActual,INDEX('Cronograma R. Financiero'!$Y$5:$Y$1000,$N39),""),IF(INDEX('Cronograma R. Financiero'!$H$5:$H$1000,$N39)="","",INDEX('Cronograma R. Financiero'!$H$5:$H$1000,$N39))))</f>
        <v/>
      </c>
      <c r="H39" s="67">
        <f>IF($N39="","",IF($P39&gt;0,IF(2&lt;=SemanaActual,INDEX('Cronograma R. Financiero'!$Z$5:$Z$1000,$N39),""),IF(INDEX('Cronograma R. Financiero'!$I$5:$I$1000,$N39)="","",INDEX('Cronograma R. Financiero'!$I$5:$I$1000,$N39))))</f>
        <v/>
      </c>
      <c r="I39" s="67">
        <f>IF($N39="","",IF($P39&gt;0,IF(3&lt;=SemanaActual,INDEX('Cronograma R. Financiero'!$AA$5:$AA$1000,$N39),""),IF(INDEX('Cronograma R. Financiero'!$J$5:$J$1000,$N39)="","",INDEX('Cronograma R. Financiero'!$J$5:$J$1000,$N39))))</f>
        <v/>
      </c>
      <c r="J39" s="67">
        <f>IF($N39="","",IF($P39&gt;0,IF(4&lt;=SemanaActual,INDEX('Cronograma R. Financiero'!$AB$5:$AB$1000,$N39),""),IF(INDEX('Cronograma R. Financiero'!$K$5:$K$1000,$N39)="","",INDEX('Cronograma R. Financiero'!$K$5:$K$1000,$N39))))</f>
        <v/>
      </c>
      <c r="K39" s="67">
        <f>IF($N39="","",INDEX('Cronograma R. Financiero'!$L$5:$L$1000,$N39))</f>
        <v/>
      </c>
      <c r="L39" s="61">
        <f>IF($N39="","",IF(N($K39)&gt;=1,"Completado",IF(AND(ISNUMBER($E39),$E39&lt;FechaRef),"Vencida",IF(N($K39)&gt;0,"En curso","Pendiente"))))</f>
        <v/>
      </c>
      <c r="M39" s="70">
        <f>IF($N39="","",INDEX('Cronograma R. Financiero'!$N$5:$N$1000,$N39)&amp;"")</f>
        <v/>
      </c>
      <c r="N39">
        <f>IFERROR(MATCH(ROW()-4,rOrden_RF,0),"")</f>
        <v/>
      </c>
      <c r="O39">
        <f>IF($N39="","",INDEX('Cronograma R. Financiero'!$S$5:$S$1000,$N39))</f>
        <v/>
      </c>
      <c r="P39">
        <f>IF($N39="","",N(INDEX('Cronograma R. Financiero'!$T$5:$T$1000,$N39)))</f>
        <v/>
      </c>
    </row>
    <row r="40">
      <c r="A40" s="61">
        <f>IF($N40="","",INDEX('Cronograma R. Financiero'!$A$5:$A$1000,$N40))</f>
        <v/>
      </c>
      <c r="B40" s="70">
        <f>IF($N40="","",IF($O40="Sub","     ↳ "&amp;INDEX('Cronograma R. Financiero'!$C$5:$C$1000,$N40),INDEX('Cronograma R. Financiero'!$B$5:$B$1000,$N40)&amp;""))</f>
        <v/>
      </c>
      <c r="C40" s="70">
        <f>IF($N40="","",INDEX('Cronograma R. Financiero'!$D$5:$D$1000,$N40)&amp;"")</f>
        <v/>
      </c>
      <c r="D40" s="76">
        <f>IF($N40="","",IF(INDEX('Cronograma R. Financiero'!$E$5:$E$1000,$N40)="","",INDEX('Cronograma R. Financiero'!$E$5:$E$1000,$N40)))</f>
        <v/>
      </c>
      <c r="E40" s="76">
        <f>IF($N40="","",IF(INDEX('Cronograma R. Financiero'!$F$5:$F$1000,$N40)="","",INDEX('Cronograma R. Financiero'!$F$5:$F$1000,$N40)))</f>
        <v/>
      </c>
      <c r="F40" s="61">
        <f>IF($N40="","",IF(NOT(ISNUMBER($E40)),"",IF($E40&lt;InicioCiclo,"Antes del ciclo",IF($E40&gt;=InicioCiclo+28,"Después del ciclo","Semana "&amp;(INT(($E40-InicioCiclo)/7)+1)))))</f>
        <v/>
      </c>
      <c r="G40" s="67">
        <f>IF($N40="","",IF($P40&gt;0,IF(1&lt;=SemanaActual,INDEX('Cronograma R. Financiero'!$Y$5:$Y$1000,$N40),""),IF(INDEX('Cronograma R. Financiero'!$H$5:$H$1000,$N40)="","",INDEX('Cronograma R. Financiero'!$H$5:$H$1000,$N40))))</f>
        <v/>
      </c>
      <c r="H40" s="67">
        <f>IF($N40="","",IF($P40&gt;0,IF(2&lt;=SemanaActual,INDEX('Cronograma R. Financiero'!$Z$5:$Z$1000,$N40),""),IF(INDEX('Cronograma R. Financiero'!$I$5:$I$1000,$N40)="","",INDEX('Cronograma R. Financiero'!$I$5:$I$1000,$N40))))</f>
        <v/>
      </c>
      <c r="I40" s="67">
        <f>IF($N40="","",IF($P40&gt;0,IF(3&lt;=SemanaActual,INDEX('Cronograma R. Financiero'!$AA$5:$AA$1000,$N40),""),IF(INDEX('Cronograma R. Financiero'!$J$5:$J$1000,$N40)="","",INDEX('Cronograma R. Financiero'!$J$5:$J$1000,$N40))))</f>
        <v/>
      </c>
      <c r="J40" s="67">
        <f>IF($N40="","",IF($P40&gt;0,IF(4&lt;=SemanaActual,INDEX('Cronograma R. Financiero'!$AB$5:$AB$1000,$N40),""),IF(INDEX('Cronograma R. Financiero'!$K$5:$K$1000,$N40)="","",INDEX('Cronograma R. Financiero'!$K$5:$K$1000,$N40))))</f>
        <v/>
      </c>
      <c r="K40" s="67">
        <f>IF($N40="","",INDEX('Cronograma R. Financiero'!$L$5:$L$1000,$N40))</f>
        <v/>
      </c>
      <c r="L40" s="61">
        <f>IF($N40="","",IF(N($K40)&gt;=1,"Completado",IF(AND(ISNUMBER($E40),$E40&lt;FechaRef),"Vencida",IF(N($K40)&gt;0,"En curso","Pendiente"))))</f>
        <v/>
      </c>
      <c r="M40" s="70">
        <f>IF($N40="","",INDEX('Cronograma R. Financiero'!$N$5:$N$1000,$N40)&amp;"")</f>
        <v/>
      </c>
      <c r="N40">
        <f>IFERROR(MATCH(ROW()-4,rOrden_RF,0),"")</f>
        <v/>
      </c>
      <c r="O40">
        <f>IF($N40="","",INDEX('Cronograma R. Financiero'!$S$5:$S$1000,$N40))</f>
        <v/>
      </c>
      <c r="P40">
        <f>IF($N40="","",N(INDEX('Cronograma R. Financiero'!$T$5:$T$1000,$N40)))</f>
        <v/>
      </c>
    </row>
    <row r="41">
      <c r="A41" s="61">
        <f>IF($N41="","",INDEX('Cronograma R. Financiero'!$A$5:$A$1000,$N41))</f>
        <v/>
      </c>
      <c r="B41" s="70">
        <f>IF($N41="","",IF($O41="Sub","     ↳ "&amp;INDEX('Cronograma R. Financiero'!$C$5:$C$1000,$N41),INDEX('Cronograma R. Financiero'!$B$5:$B$1000,$N41)&amp;""))</f>
        <v/>
      </c>
      <c r="C41" s="70">
        <f>IF($N41="","",INDEX('Cronograma R. Financiero'!$D$5:$D$1000,$N41)&amp;"")</f>
        <v/>
      </c>
      <c r="D41" s="76">
        <f>IF($N41="","",IF(INDEX('Cronograma R. Financiero'!$E$5:$E$1000,$N41)="","",INDEX('Cronograma R. Financiero'!$E$5:$E$1000,$N41)))</f>
        <v/>
      </c>
      <c r="E41" s="76">
        <f>IF($N41="","",IF(INDEX('Cronograma R. Financiero'!$F$5:$F$1000,$N41)="","",INDEX('Cronograma R. Financiero'!$F$5:$F$1000,$N41)))</f>
        <v/>
      </c>
      <c r="F41" s="61">
        <f>IF($N41="","",IF(NOT(ISNUMBER($E41)),"",IF($E41&lt;InicioCiclo,"Antes del ciclo",IF($E41&gt;=InicioCiclo+28,"Después del ciclo","Semana "&amp;(INT(($E41-InicioCiclo)/7)+1)))))</f>
        <v/>
      </c>
      <c r="G41" s="67">
        <f>IF($N41="","",IF($P41&gt;0,IF(1&lt;=SemanaActual,INDEX('Cronograma R. Financiero'!$Y$5:$Y$1000,$N41),""),IF(INDEX('Cronograma R. Financiero'!$H$5:$H$1000,$N41)="","",INDEX('Cronograma R. Financiero'!$H$5:$H$1000,$N41))))</f>
        <v/>
      </c>
      <c r="H41" s="67">
        <f>IF($N41="","",IF($P41&gt;0,IF(2&lt;=SemanaActual,INDEX('Cronograma R. Financiero'!$Z$5:$Z$1000,$N41),""),IF(INDEX('Cronograma R. Financiero'!$I$5:$I$1000,$N41)="","",INDEX('Cronograma R. Financiero'!$I$5:$I$1000,$N41))))</f>
        <v/>
      </c>
      <c r="I41" s="67">
        <f>IF($N41="","",IF($P41&gt;0,IF(3&lt;=SemanaActual,INDEX('Cronograma R. Financiero'!$AA$5:$AA$1000,$N41),""),IF(INDEX('Cronograma R. Financiero'!$J$5:$J$1000,$N41)="","",INDEX('Cronograma R. Financiero'!$J$5:$J$1000,$N41))))</f>
        <v/>
      </c>
      <c r="J41" s="67">
        <f>IF($N41="","",IF($P41&gt;0,IF(4&lt;=SemanaActual,INDEX('Cronograma R. Financiero'!$AB$5:$AB$1000,$N41),""),IF(INDEX('Cronograma R. Financiero'!$K$5:$K$1000,$N41)="","",INDEX('Cronograma R. Financiero'!$K$5:$K$1000,$N41))))</f>
        <v/>
      </c>
      <c r="K41" s="67">
        <f>IF($N41="","",INDEX('Cronograma R. Financiero'!$L$5:$L$1000,$N41))</f>
        <v/>
      </c>
      <c r="L41" s="61">
        <f>IF($N41="","",IF(N($K41)&gt;=1,"Completado",IF(AND(ISNUMBER($E41),$E41&lt;FechaRef),"Vencida",IF(N($K41)&gt;0,"En curso","Pendiente"))))</f>
        <v/>
      </c>
      <c r="M41" s="70">
        <f>IF($N41="","",INDEX('Cronograma R. Financiero'!$N$5:$N$1000,$N41)&amp;"")</f>
        <v/>
      </c>
      <c r="N41">
        <f>IFERROR(MATCH(ROW()-4,rOrden_RF,0),"")</f>
        <v/>
      </c>
      <c r="O41">
        <f>IF($N41="","",INDEX('Cronograma R. Financiero'!$S$5:$S$1000,$N41))</f>
        <v/>
      </c>
      <c r="P41">
        <f>IF($N41="","",N(INDEX('Cronograma R. Financiero'!$T$5:$T$1000,$N41)))</f>
        <v/>
      </c>
    </row>
    <row r="42">
      <c r="A42" s="61">
        <f>IF($N42="","",INDEX('Cronograma R. Financiero'!$A$5:$A$1000,$N42))</f>
        <v/>
      </c>
      <c r="B42" s="70">
        <f>IF($N42="","",IF($O42="Sub","     ↳ "&amp;INDEX('Cronograma R. Financiero'!$C$5:$C$1000,$N42),INDEX('Cronograma R. Financiero'!$B$5:$B$1000,$N42)&amp;""))</f>
        <v/>
      </c>
      <c r="C42" s="70">
        <f>IF($N42="","",INDEX('Cronograma R. Financiero'!$D$5:$D$1000,$N42)&amp;"")</f>
        <v/>
      </c>
      <c r="D42" s="76">
        <f>IF($N42="","",IF(INDEX('Cronograma R. Financiero'!$E$5:$E$1000,$N42)="","",INDEX('Cronograma R. Financiero'!$E$5:$E$1000,$N42)))</f>
        <v/>
      </c>
      <c r="E42" s="76">
        <f>IF($N42="","",IF(INDEX('Cronograma R. Financiero'!$F$5:$F$1000,$N42)="","",INDEX('Cronograma R. Financiero'!$F$5:$F$1000,$N42)))</f>
        <v/>
      </c>
      <c r="F42" s="61">
        <f>IF($N42="","",IF(NOT(ISNUMBER($E42)),"",IF($E42&lt;InicioCiclo,"Antes del ciclo",IF($E42&gt;=InicioCiclo+28,"Después del ciclo","Semana "&amp;(INT(($E42-InicioCiclo)/7)+1)))))</f>
        <v/>
      </c>
      <c r="G42" s="67">
        <f>IF($N42="","",IF($P42&gt;0,IF(1&lt;=SemanaActual,INDEX('Cronograma R. Financiero'!$Y$5:$Y$1000,$N42),""),IF(INDEX('Cronograma R. Financiero'!$H$5:$H$1000,$N42)="","",INDEX('Cronograma R. Financiero'!$H$5:$H$1000,$N42))))</f>
        <v/>
      </c>
      <c r="H42" s="67">
        <f>IF($N42="","",IF($P42&gt;0,IF(2&lt;=SemanaActual,INDEX('Cronograma R. Financiero'!$Z$5:$Z$1000,$N42),""),IF(INDEX('Cronograma R. Financiero'!$I$5:$I$1000,$N42)="","",INDEX('Cronograma R. Financiero'!$I$5:$I$1000,$N42))))</f>
        <v/>
      </c>
      <c r="I42" s="67">
        <f>IF($N42="","",IF($P42&gt;0,IF(3&lt;=SemanaActual,INDEX('Cronograma R. Financiero'!$AA$5:$AA$1000,$N42),""),IF(INDEX('Cronograma R. Financiero'!$J$5:$J$1000,$N42)="","",INDEX('Cronograma R. Financiero'!$J$5:$J$1000,$N42))))</f>
        <v/>
      </c>
      <c r="J42" s="67">
        <f>IF($N42="","",IF($P42&gt;0,IF(4&lt;=SemanaActual,INDEX('Cronograma R. Financiero'!$AB$5:$AB$1000,$N42),""),IF(INDEX('Cronograma R. Financiero'!$K$5:$K$1000,$N42)="","",INDEX('Cronograma R. Financiero'!$K$5:$K$1000,$N42))))</f>
        <v/>
      </c>
      <c r="K42" s="67">
        <f>IF($N42="","",INDEX('Cronograma R. Financiero'!$L$5:$L$1000,$N42))</f>
        <v/>
      </c>
      <c r="L42" s="61">
        <f>IF($N42="","",IF(N($K42)&gt;=1,"Completado",IF(AND(ISNUMBER($E42),$E42&lt;FechaRef),"Vencida",IF(N($K42)&gt;0,"En curso","Pendiente"))))</f>
        <v/>
      </c>
      <c r="M42" s="70">
        <f>IF($N42="","",INDEX('Cronograma R. Financiero'!$N$5:$N$1000,$N42)&amp;"")</f>
        <v/>
      </c>
      <c r="N42">
        <f>IFERROR(MATCH(ROW()-4,rOrden_RF,0),"")</f>
        <v/>
      </c>
      <c r="O42">
        <f>IF($N42="","",INDEX('Cronograma R. Financiero'!$S$5:$S$1000,$N42))</f>
        <v/>
      </c>
      <c r="P42">
        <f>IF($N42="","",N(INDEX('Cronograma R. Financiero'!$T$5:$T$1000,$N42)))</f>
        <v/>
      </c>
    </row>
    <row r="43">
      <c r="A43" s="61">
        <f>IF($N43="","",INDEX('Cronograma R. Financiero'!$A$5:$A$1000,$N43))</f>
        <v/>
      </c>
      <c r="B43" s="70">
        <f>IF($N43="","",IF($O43="Sub","     ↳ "&amp;INDEX('Cronograma R. Financiero'!$C$5:$C$1000,$N43),INDEX('Cronograma R. Financiero'!$B$5:$B$1000,$N43)&amp;""))</f>
        <v/>
      </c>
      <c r="C43" s="70">
        <f>IF($N43="","",INDEX('Cronograma R. Financiero'!$D$5:$D$1000,$N43)&amp;"")</f>
        <v/>
      </c>
      <c r="D43" s="76">
        <f>IF($N43="","",IF(INDEX('Cronograma R. Financiero'!$E$5:$E$1000,$N43)="","",INDEX('Cronograma R. Financiero'!$E$5:$E$1000,$N43)))</f>
        <v/>
      </c>
      <c r="E43" s="76">
        <f>IF($N43="","",IF(INDEX('Cronograma R. Financiero'!$F$5:$F$1000,$N43)="","",INDEX('Cronograma R. Financiero'!$F$5:$F$1000,$N43)))</f>
        <v/>
      </c>
      <c r="F43" s="61">
        <f>IF($N43="","",IF(NOT(ISNUMBER($E43)),"",IF($E43&lt;InicioCiclo,"Antes del ciclo",IF($E43&gt;=InicioCiclo+28,"Después del ciclo","Semana "&amp;(INT(($E43-InicioCiclo)/7)+1)))))</f>
        <v/>
      </c>
      <c r="G43" s="67">
        <f>IF($N43="","",IF($P43&gt;0,IF(1&lt;=SemanaActual,INDEX('Cronograma R. Financiero'!$Y$5:$Y$1000,$N43),""),IF(INDEX('Cronograma R. Financiero'!$H$5:$H$1000,$N43)="","",INDEX('Cronograma R. Financiero'!$H$5:$H$1000,$N43))))</f>
        <v/>
      </c>
      <c r="H43" s="67">
        <f>IF($N43="","",IF($P43&gt;0,IF(2&lt;=SemanaActual,INDEX('Cronograma R. Financiero'!$Z$5:$Z$1000,$N43),""),IF(INDEX('Cronograma R. Financiero'!$I$5:$I$1000,$N43)="","",INDEX('Cronograma R. Financiero'!$I$5:$I$1000,$N43))))</f>
        <v/>
      </c>
      <c r="I43" s="67">
        <f>IF($N43="","",IF($P43&gt;0,IF(3&lt;=SemanaActual,INDEX('Cronograma R. Financiero'!$AA$5:$AA$1000,$N43),""),IF(INDEX('Cronograma R. Financiero'!$J$5:$J$1000,$N43)="","",INDEX('Cronograma R. Financiero'!$J$5:$J$1000,$N43))))</f>
        <v/>
      </c>
      <c r="J43" s="67">
        <f>IF($N43="","",IF($P43&gt;0,IF(4&lt;=SemanaActual,INDEX('Cronograma R. Financiero'!$AB$5:$AB$1000,$N43),""),IF(INDEX('Cronograma R. Financiero'!$K$5:$K$1000,$N43)="","",INDEX('Cronograma R. Financiero'!$K$5:$K$1000,$N43))))</f>
        <v/>
      </c>
      <c r="K43" s="67">
        <f>IF($N43="","",INDEX('Cronograma R. Financiero'!$L$5:$L$1000,$N43))</f>
        <v/>
      </c>
      <c r="L43" s="61">
        <f>IF($N43="","",IF(N($K43)&gt;=1,"Completado",IF(AND(ISNUMBER($E43),$E43&lt;FechaRef),"Vencida",IF(N($K43)&gt;0,"En curso","Pendiente"))))</f>
        <v/>
      </c>
      <c r="M43" s="70">
        <f>IF($N43="","",INDEX('Cronograma R. Financiero'!$N$5:$N$1000,$N43)&amp;"")</f>
        <v/>
      </c>
      <c r="N43">
        <f>IFERROR(MATCH(ROW()-4,rOrden_RF,0),"")</f>
        <v/>
      </c>
      <c r="O43">
        <f>IF($N43="","",INDEX('Cronograma R. Financiero'!$S$5:$S$1000,$N43))</f>
        <v/>
      </c>
      <c r="P43">
        <f>IF($N43="","",N(INDEX('Cronograma R. Financiero'!$T$5:$T$1000,$N43)))</f>
        <v/>
      </c>
    </row>
    <row r="44">
      <c r="A44" s="61">
        <f>IF($N44="","",INDEX('Cronograma R. Financiero'!$A$5:$A$1000,$N44))</f>
        <v/>
      </c>
      <c r="B44" s="70">
        <f>IF($N44="","",IF($O44="Sub","     ↳ "&amp;INDEX('Cronograma R. Financiero'!$C$5:$C$1000,$N44),INDEX('Cronograma R. Financiero'!$B$5:$B$1000,$N44)&amp;""))</f>
        <v/>
      </c>
      <c r="C44" s="70">
        <f>IF($N44="","",INDEX('Cronograma R. Financiero'!$D$5:$D$1000,$N44)&amp;"")</f>
        <v/>
      </c>
      <c r="D44" s="76">
        <f>IF($N44="","",IF(INDEX('Cronograma R. Financiero'!$E$5:$E$1000,$N44)="","",INDEX('Cronograma R. Financiero'!$E$5:$E$1000,$N44)))</f>
        <v/>
      </c>
      <c r="E44" s="76">
        <f>IF($N44="","",IF(INDEX('Cronograma R. Financiero'!$F$5:$F$1000,$N44)="","",INDEX('Cronograma R. Financiero'!$F$5:$F$1000,$N44)))</f>
        <v/>
      </c>
      <c r="F44" s="61">
        <f>IF($N44="","",IF(NOT(ISNUMBER($E44)),"",IF($E44&lt;InicioCiclo,"Antes del ciclo",IF($E44&gt;=InicioCiclo+28,"Después del ciclo","Semana "&amp;(INT(($E44-InicioCiclo)/7)+1)))))</f>
        <v/>
      </c>
      <c r="G44" s="67">
        <f>IF($N44="","",IF($P44&gt;0,IF(1&lt;=SemanaActual,INDEX('Cronograma R. Financiero'!$Y$5:$Y$1000,$N44),""),IF(INDEX('Cronograma R. Financiero'!$H$5:$H$1000,$N44)="","",INDEX('Cronograma R. Financiero'!$H$5:$H$1000,$N44))))</f>
        <v/>
      </c>
      <c r="H44" s="67">
        <f>IF($N44="","",IF($P44&gt;0,IF(2&lt;=SemanaActual,INDEX('Cronograma R. Financiero'!$Z$5:$Z$1000,$N44),""),IF(INDEX('Cronograma R. Financiero'!$I$5:$I$1000,$N44)="","",INDEX('Cronograma R. Financiero'!$I$5:$I$1000,$N44))))</f>
        <v/>
      </c>
      <c r="I44" s="67">
        <f>IF($N44="","",IF($P44&gt;0,IF(3&lt;=SemanaActual,INDEX('Cronograma R. Financiero'!$AA$5:$AA$1000,$N44),""),IF(INDEX('Cronograma R. Financiero'!$J$5:$J$1000,$N44)="","",INDEX('Cronograma R. Financiero'!$J$5:$J$1000,$N44))))</f>
        <v/>
      </c>
      <c r="J44" s="67">
        <f>IF($N44="","",IF($P44&gt;0,IF(4&lt;=SemanaActual,INDEX('Cronograma R. Financiero'!$AB$5:$AB$1000,$N44),""),IF(INDEX('Cronograma R. Financiero'!$K$5:$K$1000,$N44)="","",INDEX('Cronograma R. Financiero'!$K$5:$K$1000,$N44))))</f>
        <v/>
      </c>
      <c r="K44" s="67">
        <f>IF($N44="","",INDEX('Cronograma R. Financiero'!$L$5:$L$1000,$N44))</f>
        <v/>
      </c>
      <c r="L44" s="61">
        <f>IF($N44="","",IF(N($K44)&gt;=1,"Completado",IF(AND(ISNUMBER($E44),$E44&lt;FechaRef),"Vencida",IF(N($K44)&gt;0,"En curso","Pendiente"))))</f>
        <v/>
      </c>
      <c r="M44" s="70">
        <f>IF($N44="","",INDEX('Cronograma R. Financiero'!$N$5:$N$1000,$N44)&amp;"")</f>
        <v/>
      </c>
      <c r="N44">
        <f>IFERROR(MATCH(ROW()-4,rOrden_RF,0),"")</f>
        <v/>
      </c>
      <c r="O44">
        <f>IF($N44="","",INDEX('Cronograma R. Financiero'!$S$5:$S$1000,$N44))</f>
        <v/>
      </c>
      <c r="P44">
        <f>IF($N44="","",N(INDEX('Cronograma R. Financiero'!$T$5:$T$1000,$N44)))</f>
        <v/>
      </c>
    </row>
    <row r="45">
      <c r="A45" s="61">
        <f>IF($N45="","",INDEX('Cronograma R. Financiero'!$A$5:$A$1000,$N45))</f>
        <v/>
      </c>
      <c r="B45" s="70">
        <f>IF($N45="","",IF($O45="Sub","     ↳ "&amp;INDEX('Cronograma R. Financiero'!$C$5:$C$1000,$N45),INDEX('Cronograma R. Financiero'!$B$5:$B$1000,$N45)&amp;""))</f>
        <v/>
      </c>
      <c r="C45" s="70">
        <f>IF($N45="","",INDEX('Cronograma R. Financiero'!$D$5:$D$1000,$N45)&amp;"")</f>
        <v/>
      </c>
      <c r="D45" s="76">
        <f>IF($N45="","",IF(INDEX('Cronograma R. Financiero'!$E$5:$E$1000,$N45)="","",INDEX('Cronograma R. Financiero'!$E$5:$E$1000,$N45)))</f>
        <v/>
      </c>
      <c r="E45" s="76">
        <f>IF($N45="","",IF(INDEX('Cronograma R. Financiero'!$F$5:$F$1000,$N45)="","",INDEX('Cronograma R. Financiero'!$F$5:$F$1000,$N45)))</f>
        <v/>
      </c>
      <c r="F45" s="61">
        <f>IF($N45="","",IF(NOT(ISNUMBER($E45)),"",IF($E45&lt;InicioCiclo,"Antes del ciclo",IF($E45&gt;=InicioCiclo+28,"Después del ciclo","Semana "&amp;(INT(($E45-InicioCiclo)/7)+1)))))</f>
        <v/>
      </c>
      <c r="G45" s="67">
        <f>IF($N45="","",IF($P45&gt;0,IF(1&lt;=SemanaActual,INDEX('Cronograma R. Financiero'!$Y$5:$Y$1000,$N45),""),IF(INDEX('Cronograma R. Financiero'!$H$5:$H$1000,$N45)="","",INDEX('Cronograma R. Financiero'!$H$5:$H$1000,$N45))))</f>
        <v/>
      </c>
      <c r="H45" s="67">
        <f>IF($N45="","",IF($P45&gt;0,IF(2&lt;=SemanaActual,INDEX('Cronograma R. Financiero'!$Z$5:$Z$1000,$N45),""),IF(INDEX('Cronograma R. Financiero'!$I$5:$I$1000,$N45)="","",INDEX('Cronograma R. Financiero'!$I$5:$I$1000,$N45))))</f>
        <v/>
      </c>
      <c r="I45" s="67">
        <f>IF($N45="","",IF($P45&gt;0,IF(3&lt;=SemanaActual,INDEX('Cronograma R. Financiero'!$AA$5:$AA$1000,$N45),""),IF(INDEX('Cronograma R. Financiero'!$J$5:$J$1000,$N45)="","",INDEX('Cronograma R. Financiero'!$J$5:$J$1000,$N45))))</f>
        <v/>
      </c>
      <c r="J45" s="67">
        <f>IF($N45="","",IF($P45&gt;0,IF(4&lt;=SemanaActual,INDEX('Cronograma R. Financiero'!$AB$5:$AB$1000,$N45),""),IF(INDEX('Cronograma R. Financiero'!$K$5:$K$1000,$N45)="","",INDEX('Cronograma R. Financiero'!$K$5:$K$1000,$N45))))</f>
        <v/>
      </c>
      <c r="K45" s="67">
        <f>IF($N45="","",INDEX('Cronograma R. Financiero'!$L$5:$L$1000,$N45))</f>
        <v/>
      </c>
      <c r="L45" s="61">
        <f>IF($N45="","",IF(N($K45)&gt;=1,"Completado",IF(AND(ISNUMBER($E45),$E45&lt;FechaRef),"Vencida",IF(N($K45)&gt;0,"En curso","Pendiente"))))</f>
        <v/>
      </c>
      <c r="M45" s="70">
        <f>IF($N45="","",INDEX('Cronograma R. Financiero'!$N$5:$N$1000,$N45)&amp;"")</f>
        <v/>
      </c>
      <c r="N45">
        <f>IFERROR(MATCH(ROW()-4,rOrden_RF,0),"")</f>
        <v/>
      </c>
      <c r="O45">
        <f>IF($N45="","",INDEX('Cronograma R. Financiero'!$S$5:$S$1000,$N45))</f>
        <v/>
      </c>
      <c r="P45">
        <f>IF($N45="","",N(INDEX('Cronograma R. Financiero'!$T$5:$T$1000,$N45)))</f>
        <v/>
      </c>
    </row>
    <row r="46">
      <c r="A46" s="61">
        <f>IF($N46="","",INDEX('Cronograma R. Financiero'!$A$5:$A$1000,$N46))</f>
        <v/>
      </c>
      <c r="B46" s="70">
        <f>IF($N46="","",IF($O46="Sub","     ↳ "&amp;INDEX('Cronograma R. Financiero'!$C$5:$C$1000,$N46),INDEX('Cronograma R. Financiero'!$B$5:$B$1000,$N46)&amp;""))</f>
        <v/>
      </c>
      <c r="C46" s="70">
        <f>IF($N46="","",INDEX('Cronograma R. Financiero'!$D$5:$D$1000,$N46)&amp;"")</f>
        <v/>
      </c>
      <c r="D46" s="76">
        <f>IF($N46="","",IF(INDEX('Cronograma R. Financiero'!$E$5:$E$1000,$N46)="","",INDEX('Cronograma R. Financiero'!$E$5:$E$1000,$N46)))</f>
        <v/>
      </c>
      <c r="E46" s="76">
        <f>IF($N46="","",IF(INDEX('Cronograma R. Financiero'!$F$5:$F$1000,$N46)="","",INDEX('Cronograma R. Financiero'!$F$5:$F$1000,$N46)))</f>
        <v/>
      </c>
      <c r="F46" s="61">
        <f>IF($N46="","",IF(NOT(ISNUMBER($E46)),"",IF($E46&lt;InicioCiclo,"Antes del ciclo",IF($E46&gt;=InicioCiclo+28,"Después del ciclo","Semana "&amp;(INT(($E46-InicioCiclo)/7)+1)))))</f>
        <v/>
      </c>
      <c r="G46" s="67">
        <f>IF($N46="","",IF($P46&gt;0,IF(1&lt;=SemanaActual,INDEX('Cronograma R. Financiero'!$Y$5:$Y$1000,$N46),""),IF(INDEX('Cronograma R. Financiero'!$H$5:$H$1000,$N46)="","",INDEX('Cronograma R. Financiero'!$H$5:$H$1000,$N46))))</f>
        <v/>
      </c>
      <c r="H46" s="67">
        <f>IF($N46="","",IF($P46&gt;0,IF(2&lt;=SemanaActual,INDEX('Cronograma R. Financiero'!$Z$5:$Z$1000,$N46),""),IF(INDEX('Cronograma R. Financiero'!$I$5:$I$1000,$N46)="","",INDEX('Cronograma R. Financiero'!$I$5:$I$1000,$N46))))</f>
        <v/>
      </c>
      <c r="I46" s="67">
        <f>IF($N46="","",IF($P46&gt;0,IF(3&lt;=SemanaActual,INDEX('Cronograma R. Financiero'!$AA$5:$AA$1000,$N46),""),IF(INDEX('Cronograma R. Financiero'!$J$5:$J$1000,$N46)="","",INDEX('Cronograma R. Financiero'!$J$5:$J$1000,$N46))))</f>
        <v/>
      </c>
      <c r="J46" s="67">
        <f>IF($N46="","",IF($P46&gt;0,IF(4&lt;=SemanaActual,INDEX('Cronograma R. Financiero'!$AB$5:$AB$1000,$N46),""),IF(INDEX('Cronograma R. Financiero'!$K$5:$K$1000,$N46)="","",INDEX('Cronograma R. Financiero'!$K$5:$K$1000,$N46))))</f>
        <v/>
      </c>
      <c r="K46" s="67">
        <f>IF($N46="","",INDEX('Cronograma R. Financiero'!$L$5:$L$1000,$N46))</f>
        <v/>
      </c>
      <c r="L46" s="61">
        <f>IF($N46="","",IF(N($K46)&gt;=1,"Completado",IF(AND(ISNUMBER($E46),$E46&lt;FechaRef),"Vencida",IF(N($K46)&gt;0,"En curso","Pendiente"))))</f>
        <v/>
      </c>
      <c r="M46" s="70">
        <f>IF($N46="","",INDEX('Cronograma R. Financiero'!$N$5:$N$1000,$N46)&amp;"")</f>
        <v/>
      </c>
      <c r="N46">
        <f>IFERROR(MATCH(ROW()-4,rOrden_RF,0),"")</f>
        <v/>
      </c>
      <c r="O46">
        <f>IF($N46="","",INDEX('Cronograma R. Financiero'!$S$5:$S$1000,$N46))</f>
        <v/>
      </c>
      <c r="P46">
        <f>IF($N46="","",N(INDEX('Cronograma R. Financiero'!$T$5:$T$1000,$N46)))</f>
        <v/>
      </c>
    </row>
    <row r="47">
      <c r="A47" s="61">
        <f>IF($N47="","",INDEX('Cronograma R. Financiero'!$A$5:$A$1000,$N47))</f>
        <v/>
      </c>
      <c r="B47" s="70">
        <f>IF($N47="","",IF($O47="Sub","     ↳ "&amp;INDEX('Cronograma R. Financiero'!$C$5:$C$1000,$N47),INDEX('Cronograma R. Financiero'!$B$5:$B$1000,$N47)&amp;""))</f>
        <v/>
      </c>
      <c r="C47" s="70">
        <f>IF($N47="","",INDEX('Cronograma R. Financiero'!$D$5:$D$1000,$N47)&amp;"")</f>
        <v/>
      </c>
      <c r="D47" s="76">
        <f>IF($N47="","",IF(INDEX('Cronograma R. Financiero'!$E$5:$E$1000,$N47)="","",INDEX('Cronograma R. Financiero'!$E$5:$E$1000,$N47)))</f>
        <v/>
      </c>
      <c r="E47" s="76">
        <f>IF($N47="","",IF(INDEX('Cronograma R. Financiero'!$F$5:$F$1000,$N47)="","",INDEX('Cronograma R. Financiero'!$F$5:$F$1000,$N47)))</f>
        <v/>
      </c>
      <c r="F47" s="61">
        <f>IF($N47="","",IF(NOT(ISNUMBER($E47)),"",IF($E47&lt;InicioCiclo,"Antes del ciclo",IF($E47&gt;=InicioCiclo+28,"Después del ciclo","Semana "&amp;(INT(($E47-InicioCiclo)/7)+1)))))</f>
        <v/>
      </c>
      <c r="G47" s="67">
        <f>IF($N47="","",IF($P47&gt;0,IF(1&lt;=SemanaActual,INDEX('Cronograma R. Financiero'!$Y$5:$Y$1000,$N47),""),IF(INDEX('Cronograma R. Financiero'!$H$5:$H$1000,$N47)="","",INDEX('Cronograma R. Financiero'!$H$5:$H$1000,$N47))))</f>
        <v/>
      </c>
      <c r="H47" s="67">
        <f>IF($N47="","",IF($P47&gt;0,IF(2&lt;=SemanaActual,INDEX('Cronograma R. Financiero'!$Z$5:$Z$1000,$N47),""),IF(INDEX('Cronograma R. Financiero'!$I$5:$I$1000,$N47)="","",INDEX('Cronograma R. Financiero'!$I$5:$I$1000,$N47))))</f>
        <v/>
      </c>
      <c r="I47" s="67">
        <f>IF($N47="","",IF($P47&gt;0,IF(3&lt;=SemanaActual,INDEX('Cronograma R. Financiero'!$AA$5:$AA$1000,$N47),""),IF(INDEX('Cronograma R. Financiero'!$J$5:$J$1000,$N47)="","",INDEX('Cronograma R. Financiero'!$J$5:$J$1000,$N47))))</f>
        <v/>
      </c>
      <c r="J47" s="67">
        <f>IF($N47="","",IF($P47&gt;0,IF(4&lt;=SemanaActual,INDEX('Cronograma R. Financiero'!$AB$5:$AB$1000,$N47),""),IF(INDEX('Cronograma R. Financiero'!$K$5:$K$1000,$N47)="","",INDEX('Cronograma R. Financiero'!$K$5:$K$1000,$N47))))</f>
        <v/>
      </c>
      <c r="K47" s="67">
        <f>IF($N47="","",INDEX('Cronograma R. Financiero'!$L$5:$L$1000,$N47))</f>
        <v/>
      </c>
      <c r="L47" s="61">
        <f>IF($N47="","",IF(N($K47)&gt;=1,"Completado",IF(AND(ISNUMBER($E47),$E47&lt;FechaRef),"Vencida",IF(N($K47)&gt;0,"En curso","Pendiente"))))</f>
        <v/>
      </c>
      <c r="M47" s="70">
        <f>IF($N47="","",INDEX('Cronograma R. Financiero'!$N$5:$N$1000,$N47)&amp;"")</f>
        <v/>
      </c>
      <c r="N47">
        <f>IFERROR(MATCH(ROW()-4,rOrden_RF,0),"")</f>
        <v/>
      </c>
      <c r="O47">
        <f>IF($N47="","",INDEX('Cronograma R. Financiero'!$S$5:$S$1000,$N47))</f>
        <v/>
      </c>
      <c r="P47">
        <f>IF($N47="","",N(INDEX('Cronograma R. Financiero'!$T$5:$T$1000,$N47)))</f>
        <v/>
      </c>
    </row>
    <row r="48">
      <c r="A48" s="61">
        <f>IF($N48="","",INDEX('Cronograma R. Financiero'!$A$5:$A$1000,$N48))</f>
        <v/>
      </c>
      <c r="B48" s="70">
        <f>IF($N48="","",IF($O48="Sub","     ↳ "&amp;INDEX('Cronograma R. Financiero'!$C$5:$C$1000,$N48),INDEX('Cronograma R. Financiero'!$B$5:$B$1000,$N48)&amp;""))</f>
        <v/>
      </c>
      <c r="C48" s="70">
        <f>IF($N48="","",INDEX('Cronograma R. Financiero'!$D$5:$D$1000,$N48)&amp;"")</f>
        <v/>
      </c>
      <c r="D48" s="76">
        <f>IF($N48="","",IF(INDEX('Cronograma R. Financiero'!$E$5:$E$1000,$N48)="","",INDEX('Cronograma R. Financiero'!$E$5:$E$1000,$N48)))</f>
        <v/>
      </c>
      <c r="E48" s="76">
        <f>IF($N48="","",IF(INDEX('Cronograma R. Financiero'!$F$5:$F$1000,$N48)="","",INDEX('Cronograma R. Financiero'!$F$5:$F$1000,$N48)))</f>
        <v/>
      </c>
      <c r="F48" s="61">
        <f>IF($N48="","",IF(NOT(ISNUMBER($E48)),"",IF($E48&lt;InicioCiclo,"Antes del ciclo",IF($E48&gt;=InicioCiclo+28,"Después del ciclo","Semana "&amp;(INT(($E48-InicioCiclo)/7)+1)))))</f>
        <v/>
      </c>
      <c r="G48" s="67">
        <f>IF($N48="","",IF($P48&gt;0,IF(1&lt;=SemanaActual,INDEX('Cronograma R. Financiero'!$Y$5:$Y$1000,$N48),""),IF(INDEX('Cronograma R. Financiero'!$H$5:$H$1000,$N48)="","",INDEX('Cronograma R. Financiero'!$H$5:$H$1000,$N48))))</f>
        <v/>
      </c>
      <c r="H48" s="67">
        <f>IF($N48="","",IF($P48&gt;0,IF(2&lt;=SemanaActual,INDEX('Cronograma R. Financiero'!$Z$5:$Z$1000,$N48),""),IF(INDEX('Cronograma R. Financiero'!$I$5:$I$1000,$N48)="","",INDEX('Cronograma R. Financiero'!$I$5:$I$1000,$N48))))</f>
        <v/>
      </c>
      <c r="I48" s="67">
        <f>IF($N48="","",IF($P48&gt;0,IF(3&lt;=SemanaActual,INDEX('Cronograma R. Financiero'!$AA$5:$AA$1000,$N48),""),IF(INDEX('Cronograma R. Financiero'!$J$5:$J$1000,$N48)="","",INDEX('Cronograma R. Financiero'!$J$5:$J$1000,$N48))))</f>
        <v/>
      </c>
      <c r="J48" s="67">
        <f>IF($N48="","",IF($P48&gt;0,IF(4&lt;=SemanaActual,INDEX('Cronograma R. Financiero'!$AB$5:$AB$1000,$N48),""),IF(INDEX('Cronograma R. Financiero'!$K$5:$K$1000,$N48)="","",INDEX('Cronograma R. Financiero'!$K$5:$K$1000,$N48))))</f>
        <v/>
      </c>
      <c r="K48" s="67">
        <f>IF($N48="","",INDEX('Cronograma R. Financiero'!$L$5:$L$1000,$N48))</f>
        <v/>
      </c>
      <c r="L48" s="61">
        <f>IF($N48="","",IF(N($K48)&gt;=1,"Completado",IF(AND(ISNUMBER($E48),$E48&lt;FechaRef),"Vencida",IF(N($K48)&gt;0,"En curso","Pendiente"))))</f>
        <v/>
      </c>
      <c r="M48" s="70">
        <f>IF($N48="","",INDEX('Cronograma R. Financiero'!$N$5:$N$1000,$N48)&amp;"")</f>
        <v/>
      </c>
      <c r="N48">
        <f>IFERROR(MATCH(ROW()-4,rOrden_RF,0),"")</f>
        <v/>
      </c>
      <c r="O48">
        <f>IF($N48="","",INDEX('Cronograma R. Financiero'!$S$5:$S$1000,$N48))</f>
        <v/>
      </c>
      <c r="P48">
        <f>IF($N48="","",N(INDEX('Cronograma R. Financiero'!$T$5:$T$1000,$N48)))</f>
        <v/>
      </c>
    </row>
    <row r="49">
      <c r="A49" s="61">
        <f>IF($N49="","",INDEX('Cronograma R. Financiero'!$A$5:$A$1000,$N49))</f>
        <v/>
      </c>
      <c r="B49" s="70">
        <f>IF($N49="","",IF($O49="Sub","     ↳ "&amp;INDEX('Cronograma R. Financiero'!$C$5:$C$1000,$N49),INDEX('Cronograma R. Financiero'!$B$5:$B$1000,$N49)&amp;""))</f>
        <v/>
      </c>
      <c r="C49" s="70">
        <f>IF($N49="","",INDEX('Cronograma R. Financiero'!$D$5:$D$1000,$N49)&amp;"")</f>
        <v/>
      </c>
      <c r="D49" s="76">
        <f>IF($N49="","",IF(INDEX('Cronograma R. Financiero'!$E$5:$E$1000,$N49)="","",INDEX('Cronograma R. Financiero'!$E$5:$E$1000,$N49)))</f>
        <v/>
      </c>
      <c r="E49" s="76">
        <f>IF($N49="","",IF(INDEX('Cronograma R. Financiero'!$F$5:$F$1000,$N49)="","",INDEX('Cronograma R. Financiero'!$F$5:$F$1000,$N49)))</f>
        <v/>
      </c>
      <c r="F49" s="61">
        <f>IF($N49="","",IF(NOT(ISNUMBER($E49)),"",IF($E49&lt;InicioCiclo,"Antes del ciclo",IF($E49&gt;=InicioCiclo+28,"Después del ciclo","Semana "&amp;(INT(($E49-InicioCiclo)/7)+1)))))</f>
        <v/>
      </c>
      <c r="G49" s="67">
        <f>IF($N49="","",IF($P49&gt;0,IF(1&lt;=SemanaActual,INDEX('Cronograma R. Financiero'!$Y$5:$Y$1000,$N49),""),IF(INDEX('Cronograma R. Financiero'!$H$5:$H$1000,$N49)="","",INDEX('Cronograma R. Financiero'!$H$5:$H$1000,$N49))))</f>
        <v/>
      </c>
      <c r="H49" s="67">
        <f>IF($N49="","",IF($P49&gt;0,IF(2&lt;=SemanaActual,INDEX('Cronograma R. Financiero'!$Z$5:$Z$1000,$N49),""),IF(INDEX('Cronograma R. Financiero'!$I$5:$I$1000,$N49)="","",INDEX('Cronograma R. Financiero'!$I$5:$I$1000,$N49))))</f>
        <v/>
      </c>
      <c r="I49" s="67">
        <f>IF($N49="","",IF($P49&gt;0,IF(3&lt;=SemanaActual,INDEX('Cronograma R. Financiero'!$AA$5:$AA$1000,$N49),""),IF(INDEX('Cronograma R. Financiero'!$J$5:$J$1000,$N49)="","",INDEX('Cronograma R. Financiero'!$J$5:$J$1000,$N49))))</f>
        <v/>
      </c>
      <c r="J49" s="67">
        <f>IF($N49="","",IF($P49&gt;0,IF(4&lt;=SemanaActual,INDEX('Cronograma R. Financiero'!$AB$5:$AB$1000,$N49),""),IF(INDEX('Cronograma R. Financiero'!$K$5:$K$1000,$N49)="","",INDEX('Cronograma R. Financiero'!$K$5:$K$1000,$N49))))</f>
        <v/>
      </c>
      <c r="K49" s="67">
        <f>IF($N49="","",INDEX('Cronograma R. Financiero'!$L$5:$L$1000,$N49))</f>
        <v/>
      </c>
      <c r="L49" s="61">
        <f>IF($N49="","",IF(N($K49)&gt;=1,"Completado",IF(AND(ISNUMBER($E49),$E49&lt;FechaRef),"Vencida",IF(N($K49)&gt;0,"En curso","Pendiente"))))</f>
        <v/>
      </c>
      <c r="M49" s="70">
        <f>IF($N49="","",INDEX('Cronograma R. Financiero'!$N$5:$N$1000,$N49)&amp;"")</f>
        <v/>
      </c>
      <c r="N49">
        <f>IFERROR(MATCH(ROW()-4,rOrden_RF,0),"")</f>
        <v/>
      </c>
      <c r="O49">
        <f>IF($N49="","",INDEX('Cronograma R. Financiero'!$S$5:$S$1000,$N49))</f>
        <v/>
      </c>
      <c r="P49">
        <f>IF($N49="","",N(INDEX('Cronograma R. Financiero'!$T$5:$T$1000,$N49)))</f>
        <v/>
      </c>
    </row>
    <row r="50">
      <c r="A50" s="61">
        <f>IF($N50="","",INDEX('Cronograma R. Financiero'!$A$5:$A$1000,$N50))</f>
        <v/>
      </c>
      <c r="B50" s="70">
        <f>IF($N50="","",IF($O50="Sub","     ↳ "&amp;INDEX('Cronograma R. Financiero'!$C$5:$C$1000,$N50),INDEX('Cronograma R. Financiero'!$B$5:$B$1000,$N50)&amp;""))</f>
        <v/>
      </c>
      <c r="C50" s="70">
        <f>IF($N50="","",INDEX('Cronograma R. Financiero'!$D$5:$D$1000,$N50)&amp;"")</f>
        <v/>
      </c>
      <c r="D50" s="76">
        <f>IF($N50="","",IF(INDEX('Cronograma R. Financiero'!$E$5:$E$1000,$N50)="","",INDEX('Cronograma R. Financiero'!$E$5:$E$1000,$N50)))</f>
        <v/>
      </c>
      <c r="E50" s="76">
        <f>IF($N50="","",IF(INDEX('Cronograma R. Financiero'!$F$5:$F$1000,$N50)="","",INDEX('Cronograma R. Financiero'!$F$5:$F$1000,$N50)))</f>
        <v/>
      </c>
      <c r="F50" s="61">
        <f>IF($N50="","",IF(NOT(ISNUMBER($E50)),"",IF($E50&lt;InicioCiclo,"Antes del ciclo",IF($E50&gt;=InicioCiclo+28,"Después del ciclo","Semana "&amp;(INT(($E50-InicioCiclo)/7)+1)))))</f>
        <v/>
      </c>
      <c r="G50" s="67">
        <f>IF($N50="","",IF($P50&gt;0,IF(1&lt;=SemanaActual,INDEX('Cronograma R. Financiero'!$Y$5:$Y$1000,$N50),""),IF(INDEX('Cronograma R. Financiero'!$H$5:$H$1000,$N50)="","",INDEX('Cronograma R. Financiero'!$H$5:$H$1000,$N50))))</f>
        <v/>
      </c>
      <c r="H50" s="67">
        <f>IF($N50="","",IF($P50&gt;0,IF(2&lt;=SemanaActual,INDEX('Cronograma R. Financiero'!$Z$5:$Z$1000,$N50),""),IF(INDEX('Cronograma R. Financiero'!$I$5:$I$1000,$N50)="","",INDEX('Cronograma R. Financiero'!$I$5:$I$1000,$N50))))</f>
        <v/>
      </c>
      <c r="I50" s="67">
        <f>IF($N50="","",IF($P50&gt;0,IF(3&lt;=SemanaActual,INDEX('Cronograma R. Financiero'!$AA$5:$AA$1000,$N50),""),IF(INDEX('Cronograma R. Financiero'!$J$5:$J$1000,$N50)="","",INDEX('Cronograma R. Financiero'!$J$5:$J$1000,$N50))))</f>
        <v/>
      </c>
      <c r="J50" s="67">
        <f>IF($N50="","",IF($P50&gt;0,IF(4&lt;=SemanaActual,INDEX('Cronograma R. Financiero'!$AB$5:$AB$1000,$N50),""),IF(INDEX('Cronograma R. Financiero'!$K$5:$K$1000,$N50)="","",INDEX('Cronograma R. Financiero'!$K$5:$K$1000,$N50))))</f>
        <v/>
      </c>
      <c r="K50" s="67">
        <f>IF($N50="","",INDEX('Cronograma R. Financiero'!$L$5:$L$1000,$N50))</f>
        <v/>
      </c>
      <c r="L50" s="61">
        <f>IF($N50="","",IF(N($K50)&gt;=1,"Completado",IF(AND(ISNUMBER($E50),$E50&lt;FechaRef),"Vencida",IF(N($K50)&gt;0,"En curso","Pendiente"))))</f>
        <v/>
      </c>
      <c r="M50" s="70">
        <f>IF($N50="","",INDEX('Cronograma R. Financiero'!$N$5:$N$1000,$N50)&amp;"")</f>
        <v/>
      </c>
      <c r="N50">
        <f>IFERROR(MATCH(ROW()-4,rOrden_RF,0),"")</f>
        <v/>
      </c>
      <c r="O50">
        <f>IF($N50="","",INDEX('Cronograma R. Financiero'!$S$5:$S$1000,$N50))</f>
        <v/>
      </c>
      <c r="P50">
        <f>IF($N50="","",N(INDEX('Cronograma R. Financiero'!$T$5:$T$1000,$N50)))</f>
        <v/>
      </c>
    </row>
    <row r="51">
      <c r="A51" s="61">
        <f>IF($N51="","",INDEX('Cronograma R. Financiero'!$A$5:$A$1000,$N51))</f>
        <v/>
      </c>
      <c r="B51" s="70">
        <f>IF($N51="","",IF($O51="Sub","     ↳ "&amp;INDEX('Cronograma R. Financiero'!$C$5:$C$1000,$N51),INDEX('Cronograma R. Financiero'!$B$5:$B$1000,$N51)&amp;""))</f>
        <v/>
      </c>
      <c r="C51" s="70">
        <f>IF($N51="","",INDEX('Cronograma R. Financiero'!$D$5:$D$1000,$N51)&amp;"")</f>
        <v/>
      </c>
      <c r="D51" s="76">
        <f>IF($N51="","",IF(INDEX('Cronograma R. Financiero'!$E$5:$E$1000,$N51)="","",INDEX('Cronograma R. Financiero'!$E$5:$E$1000,$N51)))</f>
        <v/>
      </c>
      <c r="E51" s="76">
        <f>IF($N51="","",IF(INDEX('Cronograma R. Financiero'!$F$5:$F$1000,$N51)="","",INDEX('Cronograma R. Financiero'!$F$5:$F$1000,$N51)))</f>
        <v/>
      </c>
      <c r="F51" s="61">
        <f>IF($N51="","",IF(NOT(ISNUMBER($E51)),"",IF($E51&lt;InicioCiclo,"Antes del ciclo",IF($E51&gt;=InicioCiclo+28,"Después del ciclo","Semana "&amp;(INT(($E51-InicioCiclo)/7)+1)))))</f>
        <v/>
      </c>
      <c r="G51" s="67">
        <f>IF($N51="","",IF($P51&gt;0,IF(1&lt;=SemanaActual,INDEX('Cronograma R. Financiero'!$Y$5:$Y$1000,$N51),""),IF(INDEX('Cronograma R. Financiero'!$H$5:$H$1000,$N51)="","",INDEX('Cronograma R. Financiero'!$H$5:$H$1000,$N51))))</f>
        <v/>
      </c>
      <c r="H51" s="67">
        <f>IF($N51="","",IF($P51&gt;0,IF(2&lt;=SemanaActual,INDEX('Cronograma R. Financiero'!$Z$5:$Z$1000,$N51),""),IF(INDEX('Cronograma R. Financiero'!$I$5:$I$1000,$N51)="","",INDEX('Cronograma R. Financiero'!$I$5:$I$1000,$N51))))</f>
        <v/>
      </c>
      <c r="I51" s="67">
        <f>IF($N51="","",IF($P51&gt;0,IF(3&lt;=SemanaActual,INDEX('Cronograma R. Financiero'!$AA$5:$AA$1000,$N51),""),IF(INDEX('Cronograma R. Financiero'!$J$5:$J$1000,$N51)="","",INDEX('Cronograma R. Financiero'!$J$5:$J$1000,$N51))))</f>
        <v/>
      </c>
      <c r="J51" s="67">
        <f>IF($N51="","",IF($P51&gt;0,IF(4&lt;=SemanaActual,INDEX('Cronograma R. Financiero'!$AB$5:$AB$1000,$N51),""),IF(INDEX('Cronograma R. Financiero'!$K$5:$K$1000,$N51)="","",INDEX('Cronograma R. Financiero'!$K$5:$K$1000,$N51))))</f>
        <v/>
      </c>
      <c r="K51" s="67">
        <f>IF($N51="","",INDEX('Cronograma R. Financiero'!$L$5:$L$1000,$N51))</f>
        <v/>
      </c>
      <c r="L51" s="61">
        <f>IF($N51="","",IF(N($K51)&gt;=1,"Completado",IF(AND(ISNUMBER($E51),$E51&lt;FechaRef),"Vencida",IF(N($K51)&gt;0,"En curso","Pendiente"))))</f>
        <v/>
      </c>
      <c r="M51" s="70">
        <f>IF($N51="","",INDEX('Cronograma R. Financiero'!$N$5:$N$1000,$N51)&amp;"")</f>
        <v/>
      </c>
      <c r="N51">
        <f>IFERROR(MATCH(ROW()-4,rOrden_RF,0),"")</f>
        <v/>
      </c>
      <c r="O51">
        <f>IF($N51="","",INDEX('Cronograma R. Financiero'!$S$5:$S$1000,$N51))</f>
        <v/>
      </c>
      <c r="P51">
        <f>IF($N51="","",N(INDEX('Cronograma R. Financiero'!$T$5:$T$1000,$N51)))</f>
        <v/>
      </c>
    </row>
    <row r="52">
      <c r="A52" s="61">
        <f>IF($N52="","",INDEX('Cronograma R. Financiero'!$A$5:$A$1000,$N52))</f>
        <v/>
      </c>
      <c r="B52" s="70">
        <f>IF($N52="","",IF($O52="Sub","     ↳ "&amp;INDEX('Cronograma R. Financiero'!$C$5:$C$1000,$N52),INDEX('Cronograma R. Financiero'!$B$5:$B$1000,$N52)&amp;""))</f>
        <v/>
      </c>
      <c r="C52" s="70">
        <f>IF($N52="","",INDEX('Cronograma R. Financiero'!$D$5:$D$1000,$N52)&amp;"")</f>
        <v/>
      </c>
      <c r="D52" s="76">
        <f>IF($N52="","",IF(INDEX('Cronograma R. Financiero'!$E$5:$E$1000,$N52)="","",INDEX('Cronograma R. Financiero'!$E$5:$E$1000,$N52)))</f>
        <v/>
      </c>
      <c r="E52" s="76">
        <f>IF($N52="","",IF(INDEX('Cronograma R. Financiero'!$F$5:$F$1000,$N52)="","",INDEX('Cronograma R. Financiero'!$F$5:$F$1000,$N52)))</f>
        <v/>
      </c>
      <c r="F52" s="61">
        <f>IF($N52="","",IF(NOT(ISNUMBER($E52)),"",IF($E52&lt;InicioCiclo,"Antes del ciclo",IF($E52&gt;=InicioCiclo+28,"Después del ciclo","Semana "&amp;(INT(($E52-InicioCiclo)/7)+1)))))</f>
        <v/>
      </c>
      <c r="G52" s="67">
        <f>IF($N52="","",IF($P52&gt;0,IF(1&lt;=SemanaActual,INDEX('Cronograma R. Financiero'!$Y$5:$Y$1000,$N52),""),IF(INDEX('Cronograma R. Financiero'!$H$5:$H$1000,$N52)="","",INDEX('Cronograma R. Financiero'!$H$5:$H$1000,$N52))))</f>
        <v/>
      </c>
      <c r="H52" s="67">
        <f>IF($N52="","",IF($P52&gt;0,IF(2&lt;=SemanaActual,INDEX('Cronograma R. Financiero'!$Z$5:$Z$1000,$N52),""),IF(INDEX('Cronograma R. Financiero'!$I$5:$I$1000,$N52)="","",INDEX('Cronograma R. Financiero'!$I$5:$I$1000,$N52))))</f>
        <v/>
      </c>
      <c r="I52" s="67">
        <f>IF($N52="","",IF($P52&gt;0,IF(3&lt;=SemanaActual,INDEX('Cronograma R. Financiero'!$AA$5:$AA$1000,$N52),""),IF(INDEX('Cronograma R. Financiero'!$J$5:$J$1000,$N52)="","",INDEX('Cronograma R. Financiero'!$J$5:$J$1000,$N52))))</f>
        <v/>
      </c>
      <c r="J52" s="67">
        <f>IF($N52="","",IF($P52&gt;0,IF(4&lt;=SemanaActual,INDEX('Cronograma R. Financiero'!$AB$5:$AB$1000,$N52),""),IF(INDEX('Cronograma R. Financiero'!$K$5:$K$1000,$N52)="","",INDEX('Cronograma R. Financiero'!$K$5:$K$1000,$N52))))</f>
        <v/>
      </c>
      <c r="K52" s="67">
        <f>IF($N52="","",INDEX('Cronograma R. Financiero'!$L$5:$L$1000,$N52))</f>
        <v/>
      </c>
      <c r="L52" s="61">
        <f>IF($N52="","",IF(N($K52)&gt;=1,"Completado",IF(AND(ISNUMBER($E52),$E52&lt;FechaRef),"Vencida",IF(N($K52)&gt;0,"En curso","Pendiente"))))</f>
        <v/>
      </c>
      <c r="M52" s="70">
        <f>IF($N52="","",INDEX('Cronograma R. Financiero'!$N$5:$N$1000,$N52)&amp;"")</f>
        <v/>
      </c>
      <c r="N52">
        <f>IFERROR(MATCH(ROW()-4,rOrden_RF,0),"")</f>
        <v/>
      </c>
      <c r="O52">
        <f>IF($N52="","",INDEX('Cronograma R. Financiero'!$S$5:$S$1000,$N52))</f>
        <v/>
      </c>
      <c r="P52">
        <f>IF($N52="","",N(INDEX('Cronograma R. Financiero'!$T$5:$T$1000,$N52)))</f>
        <v/>
      </c>
    </row>
    <row r="53">
      <c r="A53" s="61">
        <f>IF($N53="","",INDEX('Cronograma R. Financiero'!$A$5:$A$1000,$N53))</f>
        <v/>
      </c>
      <c r="B53" s="70">
        <f>IF($N53="","",IF($O53="Sub","     ↳ "&amp;INDEX('Cronograma R. Financiero'!$C$5:$C$1000,$N53),INDEX('Cronograma R. Financiero'!$B$5:$B$1000,$N53)&amp;""))</f>
        <v/>
      </c>
      <c r="C53" s="70">
        <f>IF($N53="","",INDEX('Cronograma R. Financiero'!$D$5:$D$1000,$N53)&amp;"")</f>
        <v/>
      </c>
      <c r="D53" s="76">
        <f>IF($N53="","",IF(INDEX('Cronograma R. Financiero'!$E$5:$E$1000,$N53)="","",INDEX('Cronograma R. Financiero'!$E$5:$E$1000,$N53)))</f>
        <v/>
      </c>
      <c r="E53" s="76">
        <f>IF($N53="","",IF(INDEX('Cronograma R. Financiero'!$F$5:$F$1000,$N53)="","",INDEX('Cronograma R. Financiero'!$F$5:$F$1000,$N53)))</f>
        <v/>
      </c>
      <c r="F53" s="61">
        <f>IF($N53="","",IF(NOT(ISNUMBER($E53)),"",IF($E53&lt;InicioCiclo,"Antes del ciclo",IF($E53&gt;=InicioCiclo+28,"Después del ciclo","Semana "&amp;(INT(($E53-InicioCiclo)/7)+1)))))</f>
        <v/>
      </c>
      <c r="G53" s="67">
        <f>IF($N53="","",IF($P53&gt;0,IF(1&lt;=SemanaActual,INDEX('Cronograma R. Financiero'!$Y$5:$Y$1000,$N53),""),IF(INDEX('Cronograma R. Financiero'!$H$5:$H$1000,$N53)="","",INDEX('Cronograma R. Financiero'!$H$5:$H$1000,$N53))))</f>
        <v/>
      </c>
      <c r="H53" s="67">
        <f>IF($N53="","",IF($P53&gt;0,IF(2&lt;=SemanaActual,INDEX('Cronograma R. Financiero'!$Z$5:$Z$1000,$N53),""),IF(INDEX('Cronograma R. Financiero'!$I$5:$I$1000,$N53)="","",INDEX('Cronograma R. Financiero'!$I$5:$I$1000,$N53))))</f>
        <v/>
      </c>
      <c r="I53" s="67">
        <f>IF($N53="","",IF($P53&gt;0,IF(3&lt;=SemanaActual,INDEX('Cronograma R. Financiero'!$AA$5:$AA$1000,$N53),""),IF(INDEX('Cronograma R. Financiero'!$J$5:$J$1000,$N53)="","",INDEX('Cronograma R. Financiero'!$J$5:$J$1000,$N53))))</f>
        <v/>
      </c>
      <c r="J53" s="67">
        <f>IF($N53="","",IF($P53&gt;0,IF(4&lt;=SemanaActual,INDEX('Cronograma R. Financiero'!$AB$5:$AB$1000,$N53),""),IF(INDEX('Cronograma R. Financiero'!$K$5:$K$1000,$N53)="","",INDEX('Cronograma R. Financiero'!$K$5:$K$1000,$N53))))</f>
        <v/>
      </c>
      <c r="K53" s="67">
        <f>IF($N53="","",INDEX('Cronograma R. Financiero'!$L$5:$L$1000,$N53))</f>
        <v/>
      </c>
      <c r="L53" s="61">
        <f>IF($N53="","",IF(N($K53)&gt;=1,"Completado",IF(AND(ISNUMBER($E53),$E53&lt;FechaRef),"Vencida",IF(N($K53)&gt;0,"En curso","Pendiente"))))</f>
        <v/>
      </c>
      <c r="M53" s="70">
        <f>IF($N53="","",INDEX('Cronograma R. Financiero'!$N$5:$N$1000,$N53)&amp;"")</f>
        <v/>
      </c>
      <c r="N53">
        <f>IFERROR(MATCH(ROW()-4,rOrden_RF,0),"")</f>
        <v/>
      </c>
      <c r="O53">
        <f>IF($N53="","",INDEX('Cronograma R. Financiero'!$S$5:$S$1000,$N53))</f>
        <v/>
      </c>
      <c r="P53">
        <f>IF($N53="","",N(INDEX('Cronograma R. Financiero'!$T$5:$T$1000,$N53)))</f>
        <v/>
      </c>
    </row>
    <row r="54">
      <c r="A54" s="61">
        <f>IF($N54="","",INDEX('Cronograma R. Financiero'!$A$5:$A$1000,$N54))</f>
        <v/>
      </c>
      <c r="B54" s="70">
        <f>IF($N54="","",IF($O54="Sub","     ↳ "&amp;INDEX('Cronograma R. Financiero'!$C$5:$C$1000,$N54),INDEX('Cronograma R. Financiero'!$B$5:$B$1000,$N54)&amp;""))</f>
        <v/>
      </c>
      <c r="C54" s="70">
        <f>IF($N54="","",INDEX('Cronograma R. Financiero'!$D$5:$D$1000,$N54)&amp;"")</f>
        <v/>
      </c>
      <c r="D54" s="76">
        <f>IF($N54="","",IF(INDEX('Cronograma R. Financiero'!$E$5:$E$1000,$N54)="","",INDEX('Cronograma R. Financiero'!$E$5:$E$1000,$N54)))</f>
        <v/>
      </c>
      <c r="E54" s="76">
        <f>IF($N54="","",IF(INDEX('Cronograma R. Financiero'!$F$5:$F$1000,$N54)="","",INDEX('Cronograma R. Financiero'!$F$5:$F$1000,$N54)))</f>
        <v/>
      </c>
      <c r="F54" s="61">
        <f>IF($N54="","",IF(NOT(ISNUMBER($E54)),"",IF($E54&lt;InicioCiclo,"Antes del ciclo",IF($E54&gt;=InicioCiclo+28,"Después del ciclo","Semana "&amp;(INT(($E54-InicioCiclo)/7)+1)))))</f>
        <v/>
      </c>
      <c r="G54" s="67">
        <f>IF($N54="","",IF($P54&gt;0,IF(1&lt;=SemanaActual,INDEX('Cronograma R. Financiero'!$Y$5:$Y$1000,$N54),""),IF(INDEX('Cronograma R. Financiero'!$H$5:$H$1000,$N54)="","",INDEX('Cronograma R. Financiero'!$H$5:$H$1000,$N54))))</f>
        <v/>
      </c>
      <c r="H54" s="67">
        <f>IF($N54="","",IF($P54&gt;0,IF(2&lt;=SemanaActual,INDEX('Cronograma R. Financiero'!$Z$5:$Z$1000,$N54),""),IF(INDEX('Cronograma R. Financiero'!$I$5:$I$1000,$N54)="","",INDEX('Cronograma R. Financiero'!$I$5:$I$1000,$N54))))</f>
        <v/>
      </c>
      <c r="I54" s="67">
        <f>IF($N54="","",IF($P54&gt;0,IF(3&lt;=SemanaActual,INDEX('Cronograma R. Financiero'!$AA$5:$AA$1000,$N54),""),IF(INDEX('Cronograma R. Financiero'!$J$5:$J$1000,$N54)="","",INDEX('Cronograma R. Financiero'!$J$5:$J$1000,$N54))))</f>
        <v/>
      </c>
      <c r="J54" s="67">
        <f>IF($N54="","",IF($P54&gt;0,IF(4&lt;=SemanaActual,INDEX('Cronograma R. Financiero'!$AB$5:$AB$1000,$N54),""),IF(INDEX('Cronograma R. Financiero'!$K$5:$K$1000,$N54)="","",INDEX('Cronograma R. Financiero'!$K$5:$K$1000,$N54))))</f>
        <v/>
      </c>
      <c r="K54" s="67">
        <f>IF($N54="","",INDEX('Cronograma R. Financiero'!$L$5:$L$1000,$N54))</f>
        <v/>
      </c>
      <c r="L54" s="61">
        <f>IF($N54="","",IF(N($K54)&gt;=1,"Completado",IF(AND(ISNUMBER($E54),$E54&lt;FechaRef),"Vencida",IF(N($K54)&gt;0,"En curso","Pendiente"))))</f>
        <v/>
      </c>
      <c r="M54" s="70">
        <f>IF($N54="","",INDEX('Cronograma R. Financiero'!$N$5:$N$1000,$N54)&amp;"")</f>
        <v/>
      </c>
      <c r="N54">
        <f>IFERROR(MATCH(ROW()-4,rOrden_RF,0),"")</f>
        <v/>
      </c>
      <c r="O54">
        <f>IF($N54="","",INDEX('Cronograma R. Financiero'!$S$5:$S$1000,$N54))</f>
        <v/>
      </c>
      <c r="P54">
        <f>IF($N54="","",N(INDEX('Cronograma R. Financiero'!$T$5:$T$1000,$N54)))</f>
        <v/>
      </c>
    </row>
    <row r="55">
      <c r="A55" s="61">
        <f>IF($N55="","",INDEX('Cronograma R. Financiero'!$A$5:$A$1000,$N55))</f>
        <v/>
      </c>
      <c r="B55" s="70">
        <f>IF($N55="","",IF($O55="Sub","     ↳ "&amp;INDEX('Cronograma R. Financiero'!$C$5:$C$1000,$N55),INDEX('Cronograma R. Financiero'!$B$5:$B$1000,$N55)&amp;""))</f>
        <v/>
      </c>
      <c r="C55" s="70">
        <f>IF($N55="","",INDEX('Cronograma R. Financiero'!$D$5:$D$1000,$N55)&amp;"")</f>
        <v/>
      </c>
      <c r="D55" s="76">
        <f>IF($N55="","",IF(INDEX('Cronograma R. Financiero'!$E$5:$E$1000,$N55)="","",INDEX('Cronograma R. Financiero'!$E$5:$E$1000,$N55)))</f>
        <v/>
      </c>
      <c r="E55" s="76">
        <f>IF($N55="","",IF(INDEX('Cronograma R. Financiero'!$F$5:$F$1000,$N55)="","",INDEX('Cronograma R. Financiero'!$F$5:$F$1000,$N55)))</f>
        <v/>
      </c>
      <c r="F55" s="61">
        <f>IF($N55="","",IF(NOT(ISNUMBER($E55)),"",IF($E55&lt;InicioCiclo,"Antes del ciclo",IF($E55&gt;=InicioCiclo+28,"Después del ciclo","Semana "&amp;(INT(($E55-InicioCiclo)/7)+1)))))</f>
        <v/>
      </c>
      <c r="G55" s="67">
        <f>IF($N55="","",IF($P55&gt;0,IF(1&lt;=SemanaActual,INDEX('Cronograma R. Financiero'!$Y$5:$Y$1000,$N55),""),IF(INDEX('Cronograma R. Financiero'!$H$5:$H$1000,$N55)="","",INDEX('Cronograma R. Financiero'!$H$5:$H$1000,$N55))))</f>
        <v/>
      </c>
      <c r="H55" s="67">
        <f>IF($N55="","",IF($P55&gt;0,IF(2&lt;=SemanaActual,INDEX('Cronograma R. Financiero'!$Z$5:$Z$1000,$N55),""),IF(INDEX('Cronograma R. Financiero'!$I$5:$I$1000,$N55)="","",INDEX('Cronograma R. Financiero'!$I$5:$I$1000,$N55))))</f>
        <v/>
      </c>
      <c r="I55" s="67">
        <f>IF($N55="","",IF($P55&gt;0,IF(3&lt;=SemanaActual,INDEX('Cronograma R. Financiero'!$AA$5:$AA$1000,$N55),""),IF(INDEX('Cronograma R. Financiero'!$J$5:$J$1000,$N55)="","",INDEX('Cronograma R. Financiero'!$J$5:$J$1000,$N55))))</f>
        <v/>
      </c>
      <c r="J55" s="67">
        <f>IF($N55="","",IF($P55&gt;0,IF(4&lt;=SemanaActual,INDEX('Cronograma R. Financiero'!$AB$5:$AB$1000,$N55),""),IF(INDEX('Cronograma R. Financiero'!$K$5:$K$1000,$N55)="","",INDEX('Cronograma R. Financiero'!$K$5:$K$1000,$N55))))</f>
        <v/>
      </c>
      <c r="K55" s="67">
        <f>IF($N55="","",INDEX('Cronograma R. Financiero'!$L$5:$L$1000,$N55))</f>
        <v/>
      </c>
      <c r="L55" s="61">
        <f>IF($N55="","",IF(N($K55)&gt;=1,"Completado",IF(AND(ISNUMBER($E55),$E55&lt;FechaRef),"Vencida",IF(N($K55)&gt;0,"En curso","Pendiente"))))</f>
        <v/>
      </c>
      <c r="M55" s="70">
        <f>IF($N55="","",INDEX('Cronograma R. Financiero'!$N$5:$N$1000,$N55)&amp;"")</f>
        <v/>
      </c>
      <c r="N55">
        <f>IFERROR(MATCH(ROW()-4,rOrden_RF,0),"")</f>
        <v/>
      </c>
      <c r="O55">
        <f>IF($N55="","",INDEX('Cronograma R. Financiero'!$S$5:$S$1000,$N55))</f>
        <v/>
      </c>
      <c r="P55">
        <f>IF($N55="","",N(INDEX('Cronograma R. Financiero'!$T$5:$T$1000,$N55)))</f>
        <v/>
      </c>
    </row>
    <row r="56">
      <c r="A56" s="61">
        <f>IF($N56="","",INDEX('Cronograma R. Financiero'!$A$5:$A$1000,$N56))</f>
        <v/>
      </c>
      <c r="B56" s="70">
        <f>IF($N56="","",IF($O56="Sub","     ↳ "&amp;INDEX('Cronograma R. Financiero'!$C$5:$C$1000,$N56),INDEX('Cronograma R. Financiero'!$B$5:$B$1000,$N56)&amp;""))</f>
        <v/>
      </c>
      <c r="C56" s="70">
        <f>IF($N56="","",INDEX('Cronograma R. Financiero'!$D$5:$D$1000,$N56)&amp;"")</f>
        <v/>
      </c>
      <c r="D56" s="76">
        <f>IF($N56="","",IF(INDEX('Cronograma R. Financiero'!$E$5:$E$1000,$N56)="","",INDEX('Cronograma R. Financiero'!$E$5:$E$1000,$N56)))</f>
        <v/>
      </c>
      <c r="E56" s="76">
        <f>IF($N56="","",IF(INDEX('Cronograma R. Financiero'!$F$5:$F$1000,$N56)="","",INDEX('Cronograma R. Financiero'!$F$5:$F$1000,$N56)))</f>
        <v/>
      </c>
      <c r="F56" s="61">
        <f>IF($N56="","",IF(NOT(ISNUMBER($E56)),"",IF($E56&lt;InicioCiclo,"Antes del ciclo",IF($E56&gt;=InicioCiclo+28,"Después del ciclo","Semana "&amp;(INT(($E56-InicioCiclo)/7)+1)))))</f>
        <v/>
      </c>
      <c r="G56" s="67">
        <f>IF($N56="","",IF($P56&gt;0,IF(1&lt;=SemanaActual,INDEX('Cronograma R. Financiero'!$Y$5:$Y$1000,$N56),""),IF(INDEX('Cronograma R. Financiero'!$H$5:$H$1000,$N56)="","",INDEX('Cronograma R. Financiero'!$H$5:$H$1000,$N56))))</f>
        <v/>
      </c>
      <c r="H56" s="67">
        <f>IF($N56="","",IF($P56&gt;0,IF(2&lt;=SemanaActual,INDEX('Cronograma R. Financiero'!$Z$5:$Z$1000,$N56),""),IF(INDEX('Cronograma R. Financiero'!$I$5:$I$1000,$N56)="","",INDEX('Cronograma R. Financiero'!$I$5:$I$1000,$N56))))</f>
        <v/>
      </c>
      <c r="I56" s="67">
        <f>IF($N56="","",IF($P56&gt;0,IF(3&lt;=SemanaActual,INDEX('Cronograma R. Financiero'!$AA$5:$AA$1000,$N56),""),IF(INDEX('Cronograma R. Financiero'!$J$5:$J$1000,$N56)="","",INDEX('Cronograma R. Financiero'!$J$5:$J$1000,$N56))))</f>
        <v/>
      </c>
      <c r="J56" s="67">
        <f>IF($N56="","",IF($P56&gt;0,IF(4&lt;=SemanaActual,INDEX('Cronograma R. Financiero'!$AB$5:$AB$1000,$N56),""),IF(INDEX('Cronograma R. Financiero'!$K$5:$K$1000,$N56)="","",INDEX('Cronograma R. Financiero'!$K$5:$K$1000,$N56))))</f>
        <v/>
      </c>
      <c r="K56" s="67">
        <f>IF($N56="","",INDEX('Cronograma R. Financiero'!$L$5:$L$1000,$N56))</f>
        <v/>
      </c>
      <c r="L56" s="61">
        <f>IF($N56="","",IF(N($K56)&gt;=1,"Completado",IF(AND(ISNUMBER($E56),$E56&lt;FechaRef),"Vencida",IF(N($K56)&gt;0,"En curso","Pendiente"))))</f>
        <v/>
      </c>
      <c r="M56" s="70">
        <f>IF($N56="","",INDEX('Cronograma R. Financiero'!$N$5:$N$1000,$N56)&amp;"")</f>
        <v/>
      </c>
      <c r="N56">
        <f>IFERROR(MATCH(ROW()-4,rOrden_RF,0),"")</f>
        <v/>
      </c>
      <c r="O56">
        <f>IF($N56="","",INDEX('Cronograma R. Financiero'!$S$5:$S$1000,$N56))</f>
        <v/>
      </c>
      <c r="P56">
        <f>IF($N56="","",N(INDEX('Cronograma R. Financiero'!$T$5:$T$1000,$N56)))</f>
        <v/>
      </c>
    </row>
    <row r="57">
      <c r="A57" s="61">
        <f>IF($N57="","",INDEX('Cronograma R. Financiero'!$A$5:$A$1000,$N57))</f>
        <v/>
      </c>
      <c r="B57" s="70">
        <f>IF($N57="","",IF($O57="Sub","     ↳ "&amp;INDEX('Cronograma R. Financiero'!$C$5:$C$1000,$N57),INDEX('Cronograma R. Financiero'!$B$5:$B$1000,$N57)&amp;""))</f>
        <v/>
      </c>
      <c r="C57" s="70">
        <f>IF($N57="","",INDEX('Cronograma R. Financiero'!$D$5:$D$1000,$N57)&amp;"")</f>
        <v/>
      </c>
      <c r="D57" s="76">
        <f>IF($N57="","",IF(INDEX('Cronograma R. Financiero'!$E$5:$E$1000,$N57)="","",INDEX('Cronograma R. Financiero'!$E$5:$E$1000,$N57)))</f>
        <v/>
      </c>
      <c r="E57" s="76">
        <f>IF($N57="","",IF(INDEX('Cronograma R. Financiero'!$F$5:$F$1000,$N57)="","",INDEX('Cronograma R. Financiero'!$F$5:$F$1000,$N57)))</f>
        <v/>
      </c>
      <c r="F57" s="61">
        <f>IF($N57="","",IF(NOT(ISNUMBER($E57)),"",IF($E57&lt;InicioCiclo,"Antes del ciclo",IF($E57&gt;=InicioCiclo+28,"Después del ciclo","Semana "&amp;(INT(($E57-InicioCiclo)/7)+1)))))</f>
        <v/>
      </c>
      <c r="G57" s="67">
        <f>IF($N57="","",IF($P57&gt;0,IF(1&lt;=SemanaActual,INDEX('Cronograma R. Financiero'!$Y$5:$Y$1000,$N57),""),IF(INDEX('Cronograma R. Financiero'!$H$5:$H$1000,$N57)="","",INDEX('Cronograma R. Financiero'!$H$5:$H$1000,$N57))))</f>
        <v/>
      </c>
      <c r="H57" s="67">
        <f>IF($N57="","",IF($P57&gt;0,IF(2&lt;=SemanaActual,INDEX('Cronograma R. Financiero'!$Z$5:$Z$1000,$N57),""),IF(INDEX('Cronograma R. Financiero'!$I$5:$I$1000,$N57)="","",INDEX('Cronograma R. Financiero'!$I$5:$I$1000,$N57))))</f>
        <v/>
      </c>
      <c r="I57" s="67">
        <f>IF($N57="","",IF($P57&gt;0,IF(3&lt;=SemanaActual,INDEX('Cronograma R. Financiero'!$AA$5:$AA$1000,$N57),""),IF(INDEX('Cronograma R. Financiero'!$J$5:$J$1000,$N57)="","",INDEX('Cronograma R. Financiero'!$J$5:$J$1000,$N57))))</f>
        <v/>
      </c>
      <c r="J57" s="67">
        <f>IF($N57="","",IF($P57&gt;0,IF(4&lt;=SemanaActual,INDEX('Cronograma R. Financiero'!$AB$5:$AB$1000,$N57),""),IF(INDEX('Cronograma R. Financiero'!$K$5:$K$1000,$N57)="","",INDEX('Cronograma R. Financiero'!$K$5:$K$1000,$N57))))</f>
        <v/>
      </c>
      <c r="K57" s="67">
        <f>IF($N57="","",INDEX('Cronograma R. Financiero'!$L$5:$L$1000,$N57))</f>
        <v/>
      </c>
      <c r="L57" s="61">
        <f>IF($N57="","",IF(N($K57)&gt;=1,"Completado",IF(AND(ISNUMBER($E57),$E57&lt;FechaRef),"Vencida",IF(N($K57)&gt;0,"En curso","Pendiente"))))</f>
        <v/>
      </c>
      <c r="M57" s="70">
        <f>IF($N57="","",INDEX('Cronograma R. Financiero'!$N$5:$N$1000,$N57)&amp;"")</f>
        <v/>
      </c>
      <c r="N57">
        <f>IFERROR(MATCH(ROW()-4,rOrden_RF,0),"")</f>
        <v/>
      </c>
      <c r="O57">
        <f>IF($N57="","",INDEX('Cronograma R. Financiero'!$S$5:$S$1000,$N57))</f>
        <v/>
      </c>
      <c r="P57">
        <f>IF($N57="","",N(INDEX('Cronograma R. Financiero'!$T$5:$T$1000,$N57)))</f>
        <v/>
      </c>
    </row>
    <row r="58">
      <c r="A58" s="61">
        <f>IF($N58="","",INDEX('Cronograma R. Financiero'!$A$5:$A$1000,$N58))</f>
        <v/>
      </c>
      <c r="B58" s="70">
        <f>IF($N58="","",IF($O58="Sub","     ↳ "&amp;INDEX('Cronograma R. Financiero'!$C$5:$C$1000,$N58),INDEX('Cronograma R. Financiero'!$B$5:$B$1000,$N58)&amp;""))</f>
        <v/>
      </c>
      <c r="C58" s="70">
        <f>IF($N58="","",INDEX('Cronograma R. Financiero'!$D$5:$D$1000,$N58)&amp;"")</f>
        <v/>
      </c>
      <c r="D58" s="76">
        <f>IF($N58="","",IF(INDEX('Cronograma R. Financiero'!$E$5:$E$1000,$N58)="","",INDEX('Cronograma R. Financiero'!$E$5:$E$1000,$N58)))</f>
        <v/>
      </c>
      <c r="E58" s="76">
        <f>IF($N58="","",IF(INDEX('Cronograma R. Financiero'!$F$5:$F$1000,$N58)="","",INDEX('Cronograma R. Financiero'!$F$5:$F$1000,$N58)))</f>
        <v/>
      </c>
      <c r="F58" s="61">
        <f>IF($N58="","",IF(NOT(ISNUMBER($E58)),"",IF($E58&lt;InicioCiclo,"Antes del ciclo",IF($E58&gt;=InicioCiclo+28,"Después del ciclo","Semana "&amp;(INT(($E58-InicioCiclo)/7)+1)))))</f>
        <v/>
      </c>
      <c r="G58" s="67">
        <f>IF($N58="","",IF($P58&gt;0,IF(1&lt;=SemanaActual,INDEX('Cronograma R. Financiero'!$Y$5:$Y$1000,$N58),""),IF(INDEX('Cronograma R. Financiero'!$H$5:$H$1000,$N58)="","",INDEX('Cronograma R. Financiero'!$H$5:$H$1000,$N58))))</f>
        <v/>
      </c>
      <c r="H58" s="67">
        <f>IF($N58="","",IF($P58&gt;0,IF(2&lt;=SemanaActual,INDEX('Cronograma R. Financiero'!$Z$5:$Z$1000,$N58),""),IF(INDEX('Cronograma R. Financiero'!$I$5:$I$1000,$N58)="","",INDEX('Cronograma R. Financiero'!$I$5:$I$1000,$N58))))</f>
        <v/>
      </c>
      <c r="I58" s="67">
        <f>IF($N58="","",IF($P58&gt;0,IF(3&lt;=SemanaActual,INDEX('Cronograma R. Financiero'!$AA$5:$AA$1000,$N58),""),IF(INDEX('Cronograma R. Financiero'!$J$5:$J$1000,$N58)="","",INDEX('Cronograma R. Financiero'!$J$5:$J$1000,$N58))))</f>
        <v/>
      </c>
      <c r="J58" s="67">
        <f>IF($N58="","",IF($P58&gt;0,IF(4&lt;=SemanaActual,INDEX('Cronograma R. Financiero'!$AB$5:$AB$1000,$N58),""),IF(INDEX('Cronograma R. Financiero'!$K$5:$K$1000,$N58)="","",INDEX('Cronograma R. Financiero'!$K$5:$K$1000,$N58))))</f>
        <v/>
      </c>
      <c r="K58" s="67">
        <f>IF($N58="","",INDEX('Cronograma R. Financiero'!$L$5:$L$1000,$N58))</f>
        <v/>
      </c>
      <c r="L58" s="61">
        <f>IF($N58="","",IF(N($K58)&gt;=1,"Completado",IF(AND(ISNUMBER($E58),$E58&lt;FechaRef),"Vencida",IF(N($K58)&gt;0,"En curso","Pendiente"))))</f>
        <v/>
      </c>
      <c r="M58" s="70">
        <f>IF($N58="","",INDEX('Cronograma R. Financiero'!$N$5:$N$1000,$N58)&amp;"")</f>
        <v/>
      </c>
      <c r="N58">
        <f>IFERROR(MATCH(ROW()-4,rOrden_RF,0),"")</f>
        <v/>
      </c>
      <c r="O58">
        <f>IF($N58="","",INDEX('Cronograma R. Financiero'!$S$5:$S$1000,$N58))</f>
        <v/>
      </c>
      <c r="P58">
        <f>IF($N58="","",N(INDEX('Cronograma R. Financiero'!$T$5:$T$1000,$N58)))</f>
        <v/>
      </c>
    </row>
    <row r="59">
      <c r="A59" s="61">
        <f>IF($N59="","",INDEX('Cronograma R. Financiero'!$A$5:$A$1000,$N59))</f>
        <v/>
      </c>
      <c r="B59" s="70">
        <f>IF($N59="","",IF($O59="Sub","     ↳ "&amp;INDEX('Cronograma R. Financiero'!$C$5:$C$1000,$N59),INDEX('Cronograma R. Financiero'!$B$5:$B$1000,$N59)&amp;""))</f>
        <v/>
      </c>
      <c r="C59" s="70">
        <f>IF($N59="","",INDEX('Cronograma R. Financiero'!$D$5:$D$1000,$N59)&amp;"")</f>
        <v/>
      </c>
      <c r="D59" s="76">
        <f>IF($N59="","",IF(INDEX('Cronograma R. Financiero'!$E$5:$E$1000,$N59)="","",INDEX('Cronograma R. Financiero'!$E$5:$E$1000,$N59)))</f>
        <v/>
      </c>
      <c r="E59" s="76">
        <f>IF($N59="","",IF(INDEX('Cronograma R. Financiero'!$F$5:$F$1000,$N59)="","",INDEX('Cronograma R. Financiero'!$F$5:$F$1000,$N59)))</f>
        <v/>
      </c>
      <c r="F59" s="61">
        <f>IF($N59="","",IF(NOT(ISNUMBER($E59)),"",IF($E59&lt;InicioCiclo,"Antes del ciclo",IF($E59&gt;=InicioCiclo+28,"Después del ciclo","Semana "&amp;(INT(($E59-InicioCiclo)/7)+1)))))</f>
        <v/>
      </c>
      <c r="G59" s="67">
        <f>IF($N59="","",IF($P59&gt;0,IF(1&lt;=SemanaActual,INDEX('Cronograma R. Financiero'!$Y$5:$Y$1000,$N59),""),IF(INDEX('Cronograma R. Financiero'!$H$5:$H$1000,$N59)="","",INDEX('Cronograma R. Financiero'!$H$5:$H$1000,$N59))))</f>
        <v/>
      </c>
      <c r="H59" s="67">
        <f>IF($N59="","",IF($P59&gt;0,IF(2&lt;=SemanaActual,INDEX('Cronograma R. Financiero'!$Z$5:$Z$1000,$N59),""),IF(INDEX('Cronograma R. Financiero'!$I$5:$I$1000,$N59)="","",INDEX('Cronograma R. Financiero'!$I$5:$I$1000,$N59))))</f>
        <v/>
      </c>
      <c r="I59" s="67">
        <f>IF($N59="","",IF($P59&gt;0,IF(3&lt;=SemanaActual,INDEX('Cronograma R. Financiero'!$AA$5:$AA$1000,$N59),""),IF(INDEX('Cronograma R. Financiero'!$J$5:$J$1000,$N59)="","",INDEX('Cronograma R. Financiero'!$J$5:$J$1000,$N59))))</f>
        <v/>
      </c>
      <c r="J59" s="67">
        <f>IF($N59="","",IF($P59&gt;0,IF(4&lt;=SemanaActual,INDEX('Cronograma R. Financiero'!$AB$5:$AB$1000,$N59),""),IF(INDEX('Cronograma R. Financiero'!$K$5:$K$1000,$N59)="","",INDEX('Cronograma R. Financiero'!$K$5:$K$1000,$N59))))</f>
        <v/>
      </c>
      <c r="K59" s="67">
        <f>IF($N59="","",INDEX('Cronograma R. Financiero'!$L$5:$L$1000,$N59))</f>
        <v/>
      </c>
      <c r="L59" s="61">
        <f>IF($N59="","",IF(N($K59)&gt;=1,"Completado",IF(AND(ISNUMBER($E59),$E59&lt;FechaRef),"Vencida",IF(N($K59)&gt;0,"En curso","Pendiente"))))</f>
        <v/>
      </c>
      <c r="M59" s="70">
        <f>IF($N59="","",INDEX('Cronograma R. Financiero'!$N$5:$N$1000,$N59)&amp;"")</f>
        <v/>
      </c>
      <c r="N59">
        <f>IFERROR(MATCH(ROW()-4,rOrden_RF,0),"")</f>
        <v/>
      </c>
      <c r="O59">
        <f>IF($N59="","",INDEX('Cronograma R. Financiero'!$S$5:$S$1000,$N59))</f>
        <v/>
      </c>
      <c r="P59">
        <f>IF($N59="","",N(INDEX('Cronograma R. Financiero'!$T$5:$T$1000,$N59)))</f>
        <v/>
      </c>
    </row>
    <row r="60">
      <c r="A60" s="61">
        <f>IF($N60="","",INDEX('Cronograma R. Financiero'!$A$5:$A$1000,$N60))</f>
        <v/>
      </c>
      <c r="B60" s="70">
        <f>IF($N60="","",IF($O60="Sub","     ↳ "&amp;INDEX('Cronograma R. Financiero'!$C$5:$C$1000,$N60),INDEX('Cronograma R. Financiero'!$B$5:$B$1000,$N60)&amp;""))</f>
        <v/>
      </c>
      <c r="C60" s="70">
        <f>IF($N60="","",INDEX('Cronograma R. Financiero'!$D$5:$D$1000,$N60)&amp;"")</f>
        <v/>
      </c>
      <c r="D60" s="76">
        <f>IF($N60="","",IF(INDEX('Cronograma R. Financiero'!$E$5:$E$1000,$N60)="","",INDEX('Cronograma R. Financiero'!$E$5:$E$1000,$N60)))</f>
        <v/>
      </c>
      <c r="E60" s="76">
        <f>IF($N60="","",IF(INDEX('Cronograma R. Financiero'!$F$5:$F$1000,$N60)="","",INDEX('Cronograma R. Financiero'!$F$5:$F$1000,$N60)))</f>
        <v/>
      </c>
      <c r="F60" s="61">
        <f>IF($N60="","",IF(NOT(ISNUMBER($E60)),"",IF($E60&lt;InicioCiclo,"Antes del ciclo",IF($E60&gt;=InicioCiclo+28,"Después del ciclo","Semana "&amp;(INT(($E60-InicioCiclo)/7)+1)))))</f>
        <v/>
      </c>
      <c r="G60" s="67">
        <f>IF($N60="","",IF($P60&gt;0,IF(1&lt;=SemanaActual,INDEX('Cronograma R. Financiero'!$Y$5:$Y$1000,$N60),""),IF(INDEX('Cronograma R. Financiero'!$H$5:$H$1000,$N60)="","",INDEX('Cronograma R. Financiero'!$H$5:$H$1000,$N60))))</f>
        <v/>
      </c>
      <c r="H60" s="67">
        <f>IF($N60="","",IF($P60&gt;0,IF(2&lt;=SemanaActual,INDEX('Cronograma R. Financiero'!$Z$5:$Z$1000,$N60),""),IF(INDEX('Cronograma R. Financiero'!$I$5:$I$1000,$N60)="","",INDEX('Cronograma R. Financiero'!$I$5:$I$1000,$N60))))</f>
        <v/>
      </c>
      <c r="I60" s="67">
        <f>IF($N60="","",IF($P60&gt;0,IF(3&lt;=SemanaActual,INDEX('Cronograma R. Financiero'!$AA$5:$AA$1000,$N60),""),IF(INDEX('Cronograma R. Financiero'!$J$5:$J$1000,$N60)="","",INDEX('Cronograma R. Financiero'!$J$5:$J$1000,$N60))))</f>
        <v/>
      </c>
      <c r="J60" s="67">
        <f>IF($N60="","",IF($P60&gt;0,IF(4&lt;=SemanaActual,INDEX('Cronograma R. Financiero'!$AB$5:$AB$1000,$N60),""),IF(INDEX('Cronograma R. Financiero'!$K$5:$K$1000,$N60)="","",INDEX('Cronograma R. Financiero'!$K$5:$K$1000,$N60))))</f>
        <v/>
      </c>
      <c r="K60" s="67">
        <f>IF($N60="","",INDEX('Cronograma R. Financiero'!$L$5:$L$1000,$N60))</f>
        <v/>
      </c>
      <c r="L60" s="61">
        <f>IF($N60="","",IF(N($K60)&gt;=1,"Completado",IF(AND(ISNUMBER($E60),$E60&lt;FechaRef),"Vencida",IF(N($K60)&gt;0,"En curso","Pendiente"))))</f>
        <v/>
      </c>
      <c r="M60" s="70">
        <f>IF($N60="","",INDEX('Cronograma R. Financiero'!$N$5:$N$1000,$N60)&amp;"")</f>
        <v/>
      </c>
      <c r="N60">
        <f>IFERROR(MATCH(ROW()-4,rOrden_RF,0),"")</f>
        <v/>
      </c>
      <c r="O60">
        <f>IF($N60="","",INDEX('Cronograma R. Financiero'!$S$5:$S$1000,$N60))</f>
        <v/>
      </c>
      <c r="P60">
        <f>IF($N60="","",N(INDEX('Cronograma R. Financiero'!$T$5:$T$1000,$N60)))</f>
        <v/>
      </c>
    </row>
    <row r="61">
      <c r="A61" s="61">
        <f>IF($N61="","",INDEX('Cronograma R. Financiero'!$A$5:$A$1000,$N61))</f>
        <v/>
      </c>
      <c r="B61" s="70">
        <f>IF($N61="","",IF($O61="Sub","     ↳ "&amp;INDEX('Cronograma R. Financiero'!$C$5:$C$1000,$N61),INDEX('Cronograma R. Financiero'!$B$5:$B$1000,$N61)&amp;""))</f>
        <v/>
      </c>
      <c r="C61" s="70">
        <f>IF($N61="","",INDEX('Cronograma R. Financiero'!$D$5:$D$1000,$N61)&amp;"")</f>
        <v/>
      </c>
      <c r="D61" s="76">
        <f>IF($N61="","",IF(INDEX('Cronograma R. Financiero'!$E$5:$E$1000,$N61)="","",INDEX('Cronograma R. Financiero'!$E$5:$E$1000,$N61)))</f>
        <v/>
      </c>
      <c r="E61" s="76">
        <f>IF($N61="","",IF(INDEX('Cronograma R. Financiero'!$F$5:$F$1000,$N61)="","",INDEX('Cronograma R. Financiero'!$F$5:$F$1000,$N61)))</f>
        <v/>
      </c>
      <c r="F61" s="61">
        <f>IF($N61="","",IF(NOT(ISNUMBER($E61)),"",IF($E61&lt;InicioCiclo,"Antes del ciclo",IF($E61&gt;=InicioCiclo+28,"Después del ciclo","Semana "&amp;(INT(($E61-InicioCiclo)/7)+1)))))</f>
        <v/>
      </c>
      <c r="G61" s="67">
        <f>IF($N61="","",IF($P61&gt;0,IF(1&lt;=SemanaActual,INDEX('Cronograma R. Financiero'!$Y$5:$Y$1000,$N61),""),IF(INDEX('Cronograma R. Financiero'!$H$5:$H$1000,$N61)="","",INDEX('Cronograma R. Financiero'!$H$5:$H$1000,$N61))))</f>
        <v/>
      </c>
      <c r="H61" s="67">
        <f>IF($N61="","",IF($P61&gt;0,IF(2&lt;=SemanaActual,INDEX('Cronograma R. Financiero'!$Z$5:$Z$1000,$N61),""),IF(INDEX('Cronograma R. Financiero'!$I$5:$I$1000,$N61)="","",INDEX('Cronograma R. Financiero'!$I$5:$I$1000,$N61))))</f>
        <v/>
      </c>
      <c r="I61" s="67">
        <f>IF($N61="","",IF($P61&gt;0,IF(3&lt;=SemanaActual,INDEX('Cronograma R. Financiero'!$AA$5:$AA$1000,$N61),""),IF(INDEX('Cronograma R. Financiero'!$J$5:$J$1000,$N61)="","",INDEX('Cronograma R. Financiero'!$J$5:$J$1000,$N61))))</f>
        <v/>
      </c>
      <c r="J61" s="67">
        <f>IF($N61="","",IF($P61&gt;0,IF(4&lt;=SemanaActual,INDEX('Cronograma R. Financiero'!$AB$5:$AB$1000,$N61),""),IF(INDEX('Cronograma R. Financiero'!$K$5:$K$1000,$N61)="","",INDEX('Cronograma R. Financiero'!$K$5:$K$1000,$N61))))</f>
        <v/>
      </c>
      <c r="K61" s="67">
        <f>IF($N61="","",INDEX('Cronograma R. Financiero'!$L$5:$L$1000,$N61))</f>
        <v/>
      </c>
      <c r="L61" s="61">
        <f>IF($N61="","",IF(N($K61)&gt;=1,"Completado",IF(AND(ISNUMBER($E61),$E61&lt;FechaRef),"Vencida",IF(N($K61)&gt;0,"En curso","Pendiente"))))</f>
        <v/>
      </c>
      <c r="M61" s="70">
        <f>IF($N61="","",INDEX('Cronograma R. Financiero'!$N$5:$N$1000,$N61)&amp;"")</f>
        <v/>
      </c>
      <c r="N61">
        <f>IFERROR(MATCH(ROW()-4,rOrden_RF,0),"")</f>
        <v/>
      </c>
      <c r="O61">
        <f>IF($N61="","",INDEX('Cronograma R. Financiero'!$S$5:$S$1000,$N61))</f>
        <v/>
      </c>
      <c r="P61">
        <f>IF($N61="","",N(INDEX('Cronograma R. Financiero'!$T$5:$T$1000,$N61)))</f>
        <v/>
      </c>
    </row>
    <row r="62">
      <c r="A62" s="61">
        <f>IF($N62="","",INDEX('Cronograma R. Financiero'!$A$5:$A$1000,$N62))</f>
        <v/>
      </c>
      <c r="B62" s="70">
        <f>IF($N62="","",IF($O62="Sub","     ↳ "&amp;INDEX('Cronograma R. Financiero'!$C$5:$C$1000,$N62),INDEX('Cronograma R. Financiero'!$B$5:$B$1000,$N62)&amp;""))</f>
        <v/>
      </c>
      <c r="C62" s="70">
        <f>IF($N62="","",INDEX('Cronograma R. Financiero'!$D$5:$D$1000,$N62)&amp;"")</f>
        <v/>
      </c>
      <c r="D62" s="76">
        <f>IF($N62="","",IF(INDEX('Cronograma R. Financiero'!$E$5:$E$1000,$N62)="","",INDEX('Cronograma R. Financiero'!$E$5:$E$1000,$N62)))</f>
        <v/>
      </c>
      <c r="E62" s="76">
        <f>IF($N62="","",IF(INDEX('Cronograma R. Financiero'!$F$5:$F$1000,$N62)="","",INDEX('Cronograma R. Financiero'!$F$5:$F$1000,$N62)))</f>
        <v/>
      </c>
      <c r="F62" s="61">
        <f>IF($N62="","",IF(NOT(ISNUMBER($E62)),"",IF($E62&lt;InicioCiclo,"Antes del ciclo",IF($E62&gt;=InicioCiclo+28,"Después del ciclo","Semana "&amp;(INT(($E62-InicioCiclo)/7)+1)))))</f>
        <v/>
      </c>
      <c r="G62" s="67">
        <f>IF($N62="","",IF($P62&gt;0,IF(1&lt;=SemanaActual,INDEX('Cronograma R. Financiero'!$Y$5:$Y$1000,$N62),""),IF(INDEX('Cronograma R. Financiero'!$H$5:$H$1000,$N62)="","",INDEX('Cronograma R. Financiero'!$H$5:$H$1000,$N62))))</f>
        <v/>
      </c>
      <c r="H62" s="67">
        <f>IF($N62="","",IF($P62&gt;0,IF(2&lt;=SemanaActual,INDEX('Cronograma R. Financiero'!$Z$5:$Z$1000,$N62),""),IF(INDEX('Cronograma R. Financiero'!$I$5:$I$1000,$N62)="","",INDEX('Cronograma R. Financiero'!$I$5:$I$1000,$N62))))</f>
        <v/>
      </c>
      <c r="I62" s="67">
        <f>IF($N62="","",IF($P62&gt;0,IF(3&lt;=SemanaActual,INDEX('Cronograma R. Financiero'!$AA$5:$AA$1000,$N62),""),IF(INDEX('Cronograma R. Financiero'!$J$5:$J$1000,$N62)="","",INDEX('Cronograma R. Financiero'!$J$5:$J$1000,$N62))))</f>
        <v/>
      </c>
      <c r="J62" s="67">
        <f>IF($N62="","",IF($P62&gt;0,IF(4&lt;=SemanaActual,INDEX('Cronograma R. Financiero'!$AB$5:$AB$1000,$N62),""),IF(INDEX('Cronograma R. Financiero'!$K$5:$K$1000,$N62)="","",INDEX('Cronograma R. Financiero'!$K$5:$K$1000,$N62))))</f>
        <v/>
      </c>
      <c r="K62" s="67">
        <f>IF($N62="","",INDEX('Cronograma R. Financiero'!$L$5:$L$1000,$N62))</f>
        <v/>
      </c>
      <c r="L62" s="61">
        <f>IF($N62="","",IF(N($K62)&gt;=1,"Completado",IF(AND(ISNUMBER($E62),$E62&lt;FechaRef),"Vencida",IF(N($K62)&gt;0,"En curso","Pendiente"))))</f>
        <v/>
      </c>
      <c r="M62" s="70">
        <f>IF($N62="","",INDEX('Cronograma R. Financiero'!$N$5:$N$1000,$N62)&amp;"")</f>
        <v/>
      </c>
      <c r="N62">
        <f>IFERROR(MATCH(ROW()-4,rOrden_RF,0),"")</f>
        <v/>
      </c>
      <c r="O62">
        <f>IF($N62="","",INDEX('Cronograma R. Financiero'!$S$5:$S$1000,$N62))</f>
        <v/>
      </c>
      <c r="P62">
        <f>IF($N62="","",N(INDEX('Cronograma R. Financiero'!$T$5:$T$1000,$N62)))</f>
        <v/>
      </c>
    </row>
    <row r="63">
      <c r="A63" s="61">
        <f>IF($N63="","",INDEX('Cronograma R. Financiero'!$A$5:$A$1000,$N63))</f>
        <v/>
      </c>
      <c r="B63" s="70">
        <f>IF($N63="","",IF($O63="Sub","     ↳ "&amp;INDEX('Cronograma R. Financiero'!$C$5:$C$1000,$N63),INDEX('Cronograma R. Financiero'!$B$5:$B$1000,$N63)&amp;""))</f>
        <v/>
      </c>
      <c r="C63" s="70">
        <f>IF($N63="","",INDEX('Cronograma R. Financiero'!$D$5:$D$1000,$N63)&amp;"")</f>
        <v/>
      </c>
      <c r="D63" s="76">
        <f>IF($N63="","",IF(INDEX('Cronograma R. Financiero'!$E$5:$E$1000,$N63)="","",INDEX('Cronograma R. Financiero'!$E$5:$E$1000,$N63)))</f>
        <v/>
      </c>
      <c r="E63" s="76">
        <f>IF($N63="","",IF(INDEX('Cronograma R. Financiero'!$F$5:$F$1000,$N63)="","",INDEX('Cronograma R. Financiero'!$F$5:$F$1000,$N63)))</f>
        <v/>
      </c>
      <c r="F63" s="61">
        <f>IF($N63="","",IF(NOT(ISNUMBER($E63)),"",IF($E63&lt;InicioCiclo,"Antes del ciclo",IF($E63&gt;=InicioCiclo+28,"Después del ciclo","Semana "&amp;(INT(($E63-InicioCiclo)/7)+1)))))</f>
        <v/>
      </c>
      <c r="G63" s="67">
        <f>IF($N63="","",IF($P63&gt;0,IF(1&lt;=SemanaActual,INDEX('Cronograma R. Financiero'!$Y$5:$Y$1000,$N63),""),IF(INDEX('Cronograma R. Financiero'!$H$5:$H$1000,$N63)="","",INDEX('Cronograma R. Financiero'!$H$5:$H$1000,$N63))))</f>
        <v/>
      </c>
      <c r="H63" s="67">
        <f>IF($N63="","",IF($P63&gt;0,IF(2&lt;=SemanaActual,INDEX('Cronograma R. Financiero'!$Z$5:$Z$1000,$N63),""),IF(INDEX('Cronograma R. Financiero'!$I$5:$I$1000,$N63)="","",INDEX('Cronograma R. Financiero'!$I$5:$I$1000,$N63))))</f>
        <v/>
      </c>
      <c r="I63" s="67">
        <f>IF($N63="","",IF($P63&gt;0,IF(3&lt;=SemanaActual,INDEX('Cronograma R. Financiero'!$AA$5:$AA$1000,$N63),""),IF(INDEX('Cronograma R. Financiero'!$J$5:$J$1000,$N63)="","",INDEX('Cronograma R. Financiero'!$J$5:$J$1000,$N63))))</f>
        <v/>
      </c>
      <c r="J63" s="67">
        <f>IF($N63="","",IF($P63&gt;0,IF(4&lt;=SemanaActual,INDEX('Cronograma R. Financiero'!$AB$5:$AB$1000,$N63),""),IF(INDEX('Cronograma R. Financiero'!$K$5:$K$1000,$N63)="","",INDEX('Cronograma R. Financiero'!$K$5:$K$1000,$N63))))</f>
        <v/>
      </c>
      <c r="K63" s="67">
        <f>IF($N63="","",INDEX('Cronograma R. Financiero'!$L$5:$L$1000,$N63))</f>
        <v/>
      </c>
      <c r="L63" s="61">
        <f>IF($N63="","",IF(N($K63)&gt;=1,"Completado",IF(AND(ISNUMBER($E63),$E63&lt;FechaRef),"Vencida",IF(N($K63)&gt;0,"En curso","Pendiente"))))</f>
        <v/>
      </c>
      <c r="M63" s="70">
        <f>IF($N63="","",INDEX('Cronograma R. Financiero'!$N$5:$N$1000,$N63)&amp;"")</f>
        <v/>
      </c>
      <c r="N63">
        <f>IFERROR(MATCH(ROW()-4,rOrden_RF,0),"")</f>
        <v/>
      </c>
      <c r="O63">
        <f>IF($N63="","",INDEX('Cronograma R. Financiero'!$S$5:$S$1000,$N63))</f>
        <v/>
      </c>
      <c r="P63">
        <f>IF($N63="","",N(INDEX('Cronograma R. Financiero'!$T$5:$T$1000,$N63)))</f>
        <v/>
      </c>
    </row>
    <row r="64">
      <c r="A64" s="61">
        <f>IF($N64="","",INDEX('Cronograma R. Financiero'!$A$5:$A$1000,$N64))</f>
        <v/>
      </c>
      <c r="B64" s="70">
        <f>IF($N64="","",IF($O64="Sub","     ↳ "&amp;INDEX('Cronograma R. Financiero'!$C$5:$C$1000,$N64),INDEX('Cronograma R. Financiero'!$B$5:$B$1000,$N64)&amp;""))</f>
        <v/>
      </c>
      <c r="C64" s="70">
        <f>IF($N64="","",INDEX('Cronograma R. Financiero'!$D$5:$D$1000,$N64)&amp;"")</f>
        <v/>
      </c>
      <c r="D64" s="76">
        <f>IF($N64="","",IF(INDEX('Cronograma R. Financiero'!$E$5:$E$1000,$N64)="","",INDEX('Cronograma R. Financiero'!$E$5:$E$1000,$N64)))</f>
        <v/>
      </c>
      <c r="E64" s="76">
        <f>IF($N64="","",IF(INDEX('Cronograma R. Financiero'!$F$5:$F$1000,$N64)="","",INDEX('Cronograma R. Financiero'!$F$5:$F$1000,$N64)))</f>
        <v/>
      </c>
      <c r="F64" s="61">
        <f>IF($N64="","",IF(NOT(ISNUMBER($E64)),"",IF($E64&lt;InicioCiclo,"Antes del ciclo",IF($E64&gt;=InicioCiclo+28,"Después del ciclo","Semana "&amp;(INT(($E64-InicioCiclo)/7)+1)))))</f>
        <v/>
      </c>
      <c r="G64" s="67">
        <f>IF($N64="","",IF($P64&gt;0,IF(1&lt;=SemanaActual,INDEX('Cronograma R. Financiero'!$Y$5:$Y$1000,$N64),""),IF(INDEX('Cronograma R. Financiero'!$H$5:$H$1000,$N64)="","",INDEX('Cronograma R. Financiero'!$H$5:$H$1000,$N64))))</f>
        <v/>
      </c>
      <c r="H64" s="67">
        <f>IF($N64="","",IF($P64&gt;0,IF(2&lt;=SemanaActual,INDEX('Cronograma R. Financiero'!$Z$5:$Z$1000,$N64),""),IF(INDEX('Cronograma R. Financiero'!$I$5:$I$1000,$N64)="","",INDEX('Cronograma R. Financiero'!$I$5:$I$1000,$N64))))</f>
        <v/>
      </c>
      <c r="I64" s="67">
        <f>IF($N64="","",IF($P64&gt;0,IF(3&lt;=SemanaActual,INDEX('Cronograma R. Financiero'!$AA$5:$AA$1000,$N64),""),IF(INDEX('Cronograma R. Financiero'!$J$5:$J$1000,$N64)="","",INDEX('Cronograma R. Financiero'!$J$5:$J$1000,$N64))))</f>
        <v/>
      </c>
      <c r="J64" s="67">
        <f>IF($N64="","",IF($P64&gt;0,IF(4&lt;=SemanaActual,INDEX('Cronograma R. Financiero'!$AB$5:$AB$1000,$N64),""),IF(INDEX('Cronograma R. Financiero'!$K$5:$K$1000,$N64)="","",INDEX('Cronograma R. Financiero'!$K$5:$K$1000,$N64))))</f>
        <v/>
      </c>
      <c r="K64" s="67">
        <f>IF($N64="","",INDEX('Cronograma R. Financiero'!$L$5:$L$1000,$N64))</f>
        <v/>
      </c>
      <c r="L64" s="61">
        <f>IF($N64="","",IF(N($K64)&gt;=1,"Completado",IF(AND(ISNUMBER($E64),$E64&lt;FechaRef),"Vencida",IF(N($K64)&gt;0,"En curso","Pendiente"))))</f>
        <v/>
      </c>
      <c r="M64" s="70">
        <f>IF($N64="","",INDEX('Cronograma R. Financiero'!$N$5:$N$1000,$N64)&amp;"")</f>
        <v/>
      </c>
      <c r="N64">
        <f>IFERROR(MATCH(ROW()-4,rOrden_RF,0),"")</f>
        <v/>
      </c>
      <c r="O64">
        <f>IF($N64="","",INDEX('Cronograma R. Financiero'!$S$5:$S$1000,$N64))</f>
        <v/>
      </c>
      <c r="P64">
        <f>IF($N64="","",N(INDEX('Cronograma R. Financiero'!$T$5:$T$1000,$N64)))</f>
        <v/>
      </c>
    </row>
    <row r="65">
      <c r="A65" s="61">
        <f>IF($N65="","",INDEX('Cronograma R. Financiero'!$A$5:$A$1000,$N65))</f>
        <v/>
      </c>
      <c r="B65" s="70">
        <f>IF($N65="","",IF($O65="Sub","     ↳ "&amp;INDEX('Cronograma R. Financiero'!$C$5:$C$1000,$N65),INDEX('Cronograma R. Financiero'!$B$5:$B$1000,$N65)&amp;""))</f>
        <v/>
      </c>
      <c r="C65" s="70">
        <f>IF($N65="","",INDEX('Cronograma R. Financiero'!$D$5:$D$1000,$N65)&amp;"")</f>
        <v/>
      </c>
      <c r="D65" s="76">
        <f>IF($N65="","",IF(INDEX('Cronograma R. Financiero'!$E$5:$E$1000,$N65)="","",INDEX('Cronograma R. Financiero'!$E$5:$E$1000,$N65)))</f>
        <v/>
      </c>
      <c r="E65" s="76">
        <f>IF($N65="","",IF(INDEX('Cronograma R. Financiero'!$F$5:$F$1000,$N65)="","",INDEX('Cronograma R. Financiero'!$F$5:$F$1000,$N65)))</f>
        <v/>
      </c>
      <c r="F65" s="61">
        <f>IF($N65="","",IF(NOT(ISNUMBER($E65)),"",IF($E65&lt;InicioCiclo,"Antes del ciclo",IF($E65&gt;=InicioCiclo+28,"Después del ciclo","Semana "&amp;(INT(($E65-InicioCiclo)/7)+1)))))</f>
        <v/>
      </c>
      <c r="G65" s="67">
        <f>IF($N65="","",IF($P65&gt;0,IF(1&lt;=SemanaActual,INDEX('Cronograma R. Financiero'!$Y$5:$Y$1000,$N65),""),IF(INDEX('Cronograma R. Financiero'!$H$5:$H$1000,$N65)="","",INDEX('Cronograma R. Financiero'!$H$5:$H$1000,$N65))))</f>
        <v/>
      </c>
      <c r="H65" s="67">
        <f>IF($N65="","",IF($P65&gt;0,IF(2&lt;=SemanaActual,INDEX('Cronograma R. Financiero'!$Z$5:$Z$1000,$N65),""),IF(INDEX('Cronograma R. Financiero'!$I$5:$I$1000,$N65)="","",INDEX('Cronograma R. Financiero'!$I$5:$I$1000,$N65))))</f>
        <v/>
      </c>
      <c r="I65" s="67">
        <f>IF($N65="","",IF($P65&gt;0,IF(3&lt;=SemanaActual,INDEX('Cronograma R. Financiero'!$AA$5:$AA$1000,$N65),""),IF(INDEX('Cronograma R. Financiero'!$J$5:$J$1000,$N65)="","",INDEX('Cronograma R. Financiero'!$J$5:$J$1000,$N65))))</f>
        <v/>
      </c>
      <c r="J65" s="67">
        <f>IF($N65="","",IF($P65&gt;0,IF(4&lt;=SemanaActual,INDEX('Cronograma R. Financiero'!$AB$5:$AB$1000,$N65),""),IF(INDEX('Cronograma R. Financiero'!$K$5:$K$1000,$N65)="","",INDEX('Cronograma R. Financiero'!$K$5:$K$1000,$N65))))</f>
        <v/>
      </c>
      <c r="K65" s="67">
        <f>IF($N65="","",INDEX('Cronograma R. Financiero'!$L$5:$L$1000,$N65))</f>
        <v/>
      </c>
      <c r="L65" s="61">
        <f>IF($N65="","",IF(N($K65)&gt;=1,"Completado",IF(AND(ISNUMBER($E65),$E65&lt;FechaRef),"Vencida",IF(N($K65)&gt;0,"En curso","Pendiente"))))</f>
        <v/>
      </c>
      <c r="M65" s="70">
        <f>IF($N65="","",INDEX('Cronograma R. Financiero'!$N$5:$N$1000,$N65)&amp;"")</f>
        <v/>
      </c>
      <c r="N65">
        <f>IFERROR(MATCH(ROW()-4,rOrden_RF,0),"")</f>
        <v/>
      </c>
      <c r="O65">
        <f>IF($N65="","",INDEX('Cronograma R. Financiero'!$S$5:$S$1000,$N65))</f>
        <v/>
      </c>
      <c r="P65">
        <f>IF($N65="","",N(INDEX('Cronograma R. Financiero'!$T$5:$T$1000,$N65)))</f>
        <v/>
      </c>
    </row>
    <row r="66">
      <c r="A66" s="61">
        <f>IF($N66="","",INDEX('Cronograma R. Financiero'!$A$5:$A$1000,$N66))</f>
        <v/>
      </c>
      <c r="B66" s="70">
        <f>IF($N66="","",IF($O66="Sub","     ↳ "&amp;INDEX('Cronograma R. Financiero'!$C$5:$C$1000,$N66),INDEX('Cronograma R. Financiero'!$B$5:$B$1000,$N66)&amp;""))</f>
        <v/>
      </c>
      <c r="C66" s="70">
        <f>IF($N66="","",INDEX('Cronograma R. Financiero'!$D$5:$D$1000,$N66)&amp;"")</f>
        <v/>
      </c>
      <c r="D66" s="76">
        <f>IF($N66="","",IF(INDEX('Cronograma R. Financiero'!$E$5:$E$1000,$N66)="","",INDEX('Cronograma R. Financiero'!$E$5:$E$1000,$N66)))</f>
        <v/>
      </c>
      <c r="E66" s="76">
        <f>IF($N66="","",IF(INDEX('Cronograma R. Financiero'!$F$5:$F$1000,$N66)="","",INDEX('Cronograma R. Financiero'!$F$5:$F$1000,$N66)))</f>
        <v/>
      </c>
      <c r="F66" s="61">
        <f>IF($N66="","",IF(NOT(ISNUMBER($E66)),"",IF($E66&lt;InicioCiclo,"Antes del ciclo",IF($E66&gt;=InicioCiclo+28,"Después del ciclo","Semana "&amp;(INT(($E66-InicioCiclo)/7)+1)))))</f>
        <v/>
      </c>
      <c r="G66" s="67">
        <f>IF($N66="","",IF($P66&gt;0,IF(1&lt;=SemanaActual,INDEX('Cronograma R. Financiero'!$Y$5:$Y$1000,$N66),""),IF(INDEX('Cronograma R. Financiero'!$H$5:$H$1000,$N66)="","",INDEX('Cronograma R. Financiero'!$H$5:$H$1000,$N66))))</f>
        <v/>
      </c>
      <c r="H66" s="67">
        <f>IF($N66="","",IF($P66&gt;0,IF(2&lt;=SemanaActual,INDEX('Cronograma R. Financiero'!$Z$5:$Z$1000,$N66),""),IF(INDEX('Cronograma R. Financiero'!$I$5:$I$1000,$N66)="","",INDEX('Cronograma R. Financiero'!$I$5:$I$1000,$N66))))</f>
        <v/>
      </c>
      <c r="I66" s="67">
        <f>IF($N66="","",IF($P66&gt;0,IF(3&lt;=SemanaActual,INDEX('Cronograma R. Financiero'!$AA$5:$AA$1000,$N66),""),IF(INDEX('Cronograma R. Financiero'!$J$5:$J$1000,$N66)="","",INDEX('Cronograma R. Financiero'!$J$5:$J$1000,$N66))))</f>
        <v/>
      </c>
      <c r="J66" s="67">
        <f>IF($N66="","",IF($P66&gt;0,IF(4&lt;=SemanaActual,INDEX('Cronograma R. Financiero'!$AB$5:$AB$1000,$N66),""),IF(INDEX('Cronograma R. Financiero'!$K$5:$K$1000,$N66)="","",INDEX('Cronograma R. Financiero'!$K$5:$K$1000,$N66))))</f>
        <v/>
      </c>
      <c r="K66" s="67">
        <f>IF($N66="","",INDEX('Cronograma R. Financiero'!$L$5:$L$1000,$N66))</f>
        <v/>
      </c>
      <c r="L66" s="61">
        <f>IF($N66="","",IF(N($K66)&gt;=1,"Completado",IF(AND(ISNUMBER($E66),$E66&lt;FechaRef),"Vencida",IF(N($K66)&gt;0,"En curso","Pendiente"))))</f>
        <v/>
      </c>
      <c r="M66" s="70">
        <f>IF($N66="","",INDEX('Cronograma R. Financiero'!$N$5:$N$1000,$N66)&amp;"")</f>
        <v/>
      </c>
      <c r="N66">
        <f>IFERROR(MATCH(ROW()-4,rOrden_RF,0),"")</f>
        <v/>
      </c>
      <c r="O66">
        <f>IF($N66="","",INDEX('Cronograma R. Financiero'!$S$5:$S$1000,$N66))</f>
        <v/>
      </c>
      <c r="P66">
        <f>IF($N66="","",N(INDEX('Cronograma R. Financiero'!$T$5:$T$1000,$N66)))</f>
        <v/>
      </c>
    </row>
    <row r="67">
      <c r="A67" s="61">
        <f>IF($N67="","",INDEX('Cronograma R. Financiero'!$A$5:$A$1000,$N67))</f>
        <v/>
      </c>
      <c r="B67" s="70">
        <f>IF($N67="","",IF($O67="Sub","     ↳ "&amp;INDEX('Cronograma R. Financiero'!$C$5:$C$1000,$N67),INDEX('Cronograma R. Financiero'!$B$5:$B$1000,$N67)&amp;""))</f>
        <v/>
      </c>
      <c r="C67" s="70">
        <f>IF($N67="","",INDEX('Cronograma R. Financiero'!$D$5:$D$1000,$N67)&amp;"")</f>
        <v/>
      </c>
      <c r="D67" s="76">
        <f>IF($N67="","",IF(INDEX('Cronograma R. Financiero'!$E$5:$E$1000,$N67)="","",INDEX('Cronograma R. Financiero'!$E$5:$E$1000,$N67)))</f>
        <v/>
      </c>
      <c r="E67" s="76">
        <f>IF($N67="","",IF(INDEX('Cronograma R. Financiero'!$F$5:$F$1000,$N67)="","",INDEX('Cronograma R. Financiero'!$F$5:$F$1000,$N67)))</f>
        <v/>
      </c>
      <c r="F67" s="61">
        <f>IF($N67="","",IF(NOT(ISNUMBER($E67)),"",IF($E67&lt;InicioCiclo,"Antes del ciclo",IF($E67&gt;=InicioCiclo+28,"Después del ciclo","Semana "&amp;(INT(($E67-InicioCiclo)/7)+1)))))</f>
        <v/>
      </c>
      <c r="G67" s="67">
        <f>IF($N67="","",IF($P67&gt;0,IF(1&lt;=SemanaActual,INDEX('Cronograma R. Financiero'!$Y$5:$Y$1000,$N67),""),IF(INDEX('Cronograma R. Financiero'!$H$5:$H$1000,$N67)="","",INDEX('Cronograma R. Financiero'!$H$5:$H$1000,$N67))))</f>
        <v/>
      </c>
      <c r="H67" s="67">
        <f>IF($N67="","",IF($P67&gt;0,IF(2&lt;=SemanaActual,INDEX('Cronograma R. Financiero'!$Z$5:$Z$1000,$N67),""),IF(INDEX('Cronograma R. Financiero'!$I$5:$I$1000,$N67)="","",INDEX('Cronograma R. Financiero'!$I$5:$I$1000,$N67))))</f>
        <v/>
      </c>
      <c r="I67" s="67">
        <f>IF($N67="","",IF($P67&gt;0,IF(3&lt;=SemanaActual,INDEX('Cronograma R. Financiero'!$AA$5:$AA$1000,$N67),""),IF(INDEX('Cronograma R. Financiero'!$J$5:$J$1000,$N67)="","",INDEX('Cronograma R. Financiero'!$J$5:$J$1000,$N67))))</f>
        <v/>
      </c>
      <c r="J67" s="67">
        <f>IF($N67="","",IF($P67&gt;0,IF(4&lt;=SemanaActual,INDEX('Cronograma R. Financiero'!$AB$5:$AB$1000,$N67),""),IF(INDEX('Cronograma R. Financiero'!$K$5:$K$1000,$N67)="","",INDEX('Cronograma R. Financiero'!$K$5:$K$1000,$N67))))</f>
        <v/>
      </c>
      <c r="K67" s="67">
        <f>IF($N67="","",INDEX('Cronograma R. Financiero'!$L$5:$L$1000,$N67))</f>
        <v/>
      </c>
      <c r="L67" s="61">
        <f>IF($N67="","",IF(N($K67)&gt;=1,"Completado",IF(AND(ISNUMBER($E67),$E67&lt;FechaRef),"Vencida",IF(N($K67)&gt;0,"En curso","Pendiente"))))</f>
        <v/>
      </c>
      <c r="M67" s="70">
        <f>IF($N67="","",INDEX('Cronograma R. Financiero'!$N$5:$N$1000,$N67)&amp;"")</f>
        <v/>
      </c>
      <c r="N67">
        <f>IFERROR(MATCH(ROW()-4,rOrden_RF,0),"")</f>
        <v/>
      </c>
      <c r="O67">
        <f>IF($N67="","",INDEX('Cronograma R. Financiero'!$S$5:$S$1000,$N67))</f>
        <v/>
      </c>
      <c r="P67">
        <f>IF($N67="","",N(INDEX('Cronograma R. Financiero'!$T$5:$T$1000,$N67)))</f>
        <v/>
      </c>
    </row>
    <row r="68">
      <c r="A68" s="61">
        <f>IF($N68="","",INDEX('Cronograma R. Financiero'!$A$5:$A$1000,$N68))</f>
        <v/>
      </c>
      <c r="B68" s="70">
        <f>IF($N68="","",IF($O68="Sub","     ↳ "&amp;INDEX('Cronograma R. Financiero'!$C$5:$C$1000,$N68),INDEX('Cronograma R. Financiero'!$B$5:$B$1000,$N68)&amp;""))</f>
        <v/>
      </c>
      <c r="C68" s="70">
        <f>IF($N68="","",INDEX('Cronograma R. Financiero'!$D$5:$D$1000,$N68)&amp;"")</f>
        <v/>
      </c>
      <c r="D68" s="76">
        <f>IF($N68="","",IF(INDEX('Cronograma R. Financiero'!$E$5:$E$1000,$N68)="","",INDEX('Cronograma R. Financiero'!$E$5:$E$1000,$N68)))</f>
        <v/>
      </c>
      <c r="E68" s="76">
        <f>IF($N68="","",IF(INDEX('Cronograma R. Financiero'!$F$5:$F$1000,$N68)="","",INDEX('Cronograma R. Financiero'!$F$5:$F$1000,$N68)))</f>
        <v/>
      </c>
      <c r="F68" s="61">
        <f>IF($N68="","",IF(NOT(ISNUMBER($E68)),"",IF($E68&lt;InicioCiclo,"Antes del ciclo",IF($E68&gt;=InicioCiclo+28,"Después del ciclo","Semana "&amp;(INT(($E68-InicioCiclo)/7)+1)))))</f>
        <v/>
      </c>
      <c r="G68" s="67">
        <f>IF($N68="","",IF($P68&gt;0,IF(1&lt;=SemanaActual,INDEX('Cronograma R. Financiero'!$Y$5:$Y$1000,$N68),""),IF(INDEX('Cronograma R. Financiero'!$H$5:$H$1000,$N68)="","",INDEX('Cronograma R. Financiero'!$H$5:$H$1000,$N68))))</f>
        <v/>
      </c>
      <c r="H68" s="67">
        <f>IF($N68="","",IF($P68&gt;0,IF(2&lt;=SemanaActual,INDEX('Cronograma R. Financiero'!$Z$5:$Z$1000,$N68),""),IF(INDEX('Cronograma R. Financiero'!$I$5:$I$1000,$N68)="","",INDEX('Cronograma R. Financiero'!$I$5:$I$1000,$N68))))</f>
        <v/>
      </c>
      <c r="I68" s="67">
        <f>IF($N68="","",IF($P68&gt;0,IF(3&lt;=SemanaActual,INDEX('Cronograma R. Financiero'!$AA$5:$AA$1000,$N68),""),IF(INDEX('Cronograma R. Financiero'!$J$5:$J$1000,$N68)="","",INDEX('Cronograma R. Financiero'!$J$5:$J$1000,$N68))))</f>
        <v/>
      </c>
      <c r="J68" s="67">
        <f>IF($N68="","",IF($P68&gt;0,IF(4&lt;=SemanaActual,INDEX('Cronograma R. Financiero'!$AB$5:$AB$1000,$N68),""),IF(INDEX('Cronograma R. Financiero'!$K$5:$K$1000,$N68)="","",INDEX('Cronograma R. Financiero'!$K$5:$K$1000,$N68))))</f>
        <v/>
      </c>
      <c r="K68" s="67">
        <f>IF($N68="","",INDEX('Cronograma R. Financiero'!$L$5:$L$1000,$N68))</f>
        <v/>
      </c>
      <c r="L68" s="61">
        <f>IF($N68="","",IF(N($K68)&gt;=1,"Completado",IF(AND(ISNUMBER($E68),$E68&lt;FechaRef),"Vencida",IF(N($K68)&gt;0,"En curso","Pendiente"))))</f>
        <v/>
      </c>
      <c r="M68" s="70">
        <f>IF($N68="","",INDEX('Cronograma R. Financiero'!$N$5:$N$1000,$N68)&amp;"")</f>
        <v/>
      </c>
      <c r="N68">
        <f>IFERROR(MATCH(ROW()-4,rOrden_RF,0),"")</f>
        <v/>
      </c>
      <c r="O68">
        <f>IF($N68="","",INDEX('Cronograma R. Financiero'!$S$5:$S$1000,$N68))</f>
        <v/>
      </c>
      <c r="P68">
        <f>IF($N68="","",N(INDEX('Cronograma R. Financiero'!$T$5:$T$1000,$N68)))</f>
        <v/>
      </c>
    </row>
    <row r="69">
      <c r="A69" s="61">
        <f>IF($N69="","",INDEX('Cronograma R. Financiero'!$A$5:$A$1000,$N69))</f>
        <v/>
      </c>
      <c r="B69" s="70">
        <f>IF($N69="","",IF($O69="Sub","     ↳ "&amp;INDEX('Cronograma R. Financiero'!$C$5:$C$1000,$N69),INDEX('Cronograma R. Financiero'!$B$5:$B$1000,$N69)&amp;""))</f>
        <v/>
      </c>
      <c r="C69" s="70">
        <f>IF($N69="","",INDEX('Cronograma R. Financiero'!$D$5:$D$1000,$N69)&amp;"")</f>
        <v/>
      </c>
      <c r="D69" s="76">
        <f>IF($N69="","",IF(INDEX('Cronograma R. Financiero'!$E$5:$E$1000,$N69)="","",INDEX('Cronograma R. Financiero'!$E$5:$E$1000,$N69)))</f>
        <v/>
      </c>
      <c r="E69" s="76">
        <f>IF($N69="","",IF(INDEX('Cronograma R. Financiero'!$F$5:$F$1000,$N69)="","",INDEX('Cronograma R. Financiero'!$F$5:$F$1000,$N69)))</f>
        <v/>
      </c>
      <c r="F69" s="61">
        <f>IF($N69="","",IF(NOT(ISNUMBER($E69)),"",IF($E69&lt;InicioCiclo,"Antes del ciclo",IF($E69&gt;=InicioCiclo+28,"Después del ciclo","Semana "&amp;(INT(($E69-InicioCiclo)/7)+1)))))</f>
        <v/>
      </c>
      <c r="G69" s="67">
        <f>IF($N69="","",IF($P69&gt;0,IF(1&lt;=SemanaActual,INDEX('Cronograma R. Financiero'!$Y$5:$Y$1000,$N69),""),IF(INDEX('Cronograma R. Financiero'!$H$5:$H$1000,$N69)="","",INDEX('Cronograma R. Financiero'!$H$5:$H$1000,$N69))))</f>
        <v/>
      </c>
      <c r="H69" s="67">
        <f>IF($N69="","",IF($P69&gt;0,IF(2&lt;=SemanaActual,INDEX('Cronograma R. Financiero'!$Z$5:$Z$1000,$N69),""),IF(INDEX('Cronograma R. Financiero'!$I$5:$I$1000,$N69)="","",INDEX('Cronograma R. Financiero'!$I$5:$I$1000,$N69))))</f>
        <v/>
      </c>
      <c r="I69" s="67">
        <f>IF($N69="","",IF($P69&gt;0,IF(3&lt;=SemanaActual,INDEX('Cronograma R. Financiero'!$AA$5:$AA$1000,$N69),""),IF(INDEX('Cronograma R. Financiero'!$J$5:$J$1000,$N69)="","",INDEX('Cronograma R. Financiero'!$J$5:$J$1000,$N69))))</f>
        <v/>
      </c>
      <c r="J69" s="67">
        <f>IF($N69="","",IF($P69&gt;0,IF(4&lt;=SemanaActual,INDEX('Cronograma R. Financiero'!$AB$5:$AB$1000,$N69),""),IF(INDEX('Cronograma R. Financiero'!$K$5:$K$1000,$N69)="","",INDEX('Cronograma R. Financiero'!$K$5:$K$1000,$N69))))</f>
        <v/>
      </c>
      <c r="K69" s="67">
        <f>IF($N69="","",INDEX('Cronograma R. Financiero'!$L$5:$L$1000,$N69))</f>
        <v/>
      </c>
      <c r="L69" s="61">
        <f>IF($N69="","",IF(N($K69)&gt;=1,"Completado",IF(AND(ISNUMBER($E69),$E69&lt;FechaRef),"Vencida",IF(N($K69)&gt;0,"En curso","Pendiente"))))</f>
        <v/>
      </c>
      <c r="M69" s="70">
        <f>IF($N69="","",INDEX('Cronograma R. Financiero'!$N$5:$N$1000,$N69)&amp;"")</f>
        <v/>
      </c>
      <c r="N69">
        <f>IFERROR(MATCH(ROW()-4,rOrden_RF,0),"")</f>
        <v/>
      </c>
      <c r="O69">
        <f>IF($N69="","",INDEX('Cronograma R. Financiero'!$S$5:$S$1000,$N69))</f>
        <v/>
      </c>
      <c r="P69">
        <f>IF($N69="","",N(INDEX('Cronograma R. Financiero'!$T$5:$T$1000,$N69)))</f>
        <v/>
      </c>
    </row>
    <row r="70">
      <c r="A70" s="61">
        <f>IF($N70="","",INDEX('Cronograma R. Financiero'!$A$5:$A$1000,$N70))</f>
        <v/>
      </c>
      <c r="B70" s="70">
        <f>IF($N70="","",IF($O70="Sub","     ↳ "&amp;INDEX('Cronograma R. Financiero'!$C$5:$C$1000,$N70),INDEX('Cronograma R. Financiero'!$B$5:$B$1000,$N70)&amp;""))</f>
        <v/>
      </c>
      <c r="C70" s="70">
        <f>IF($N70="","",INDEX('Cronograma R. Financiero'!$D$5:$D$1000,$N70)&amp;"")</f>
        <v/>
      </c>
      <c r="D70" s="76">
        <f>IF($N70="","",IF(INDEX('Cronograma R. Financiero'!$E$5:$E$1000,$N70)="","",INDEX('Cronograma R. Financiero'!$E$5:$E$1000,$N70)))</f>
        <v/>
      </c>
      <c r="E70" s="76">
        <f>IF($N70="","",IF(INDEX('Cronograma R. Financiero'!$F$5:$F$1000,$N70)="","",INDEX('Cronograma R. Financiero'!$F$5:$F$1000,$N70)))</f>
        <v/>
      </c>
      <c r="F70" s="61">
        <f>IF($N70="","",IF(NOT(ISNUMBER($E70)),"",IF($E70&lt;InicioCiclo,"Antes del ciclo",IF($E70&gt;=InicioCiclo+28,"Después del ciclo","Semana "&amp;(INT(($E70-InicioCiclo)/7)+1)))))</f>
        <v/>
      </c>
      <c r="G70" s="67">
        <f>IF($N70="","",IF($P70&gt;0,IF(1&lt;=SemanaActual,INDEX('Cronograma R. Financiero'!$Y$5:$Y$1000,$N70),""),IF(INDEX('Cronograma R. Financiero'!$H$5:$H$1000,$N70)="","",INDEX('Cronograma R. Financiero'!$H$5:$H$1000,$N70))))</f>
        <v/>
      </c>
      <c r="H70" s="67">
        <f>IF($N70="","",IF($P70&gt;0,IF(2&lt;=SemanaActual,INDEX('Cronograma R. Financiero'!$Z$5:$Z$1000,$N70),""),IF(INDEX('Cronograma R. Financiero'!$I$5:$I$1000,$N70)="","",INDEX('Cronograma R. Financiero'!$I$5:$I$1000,$N70))))</f>
        <v/>
      </c>
      <c r="I70" s="67">
        <f>IF($N70="","",IF($P70&gt;0,IF(3&lt;=SemanaActual,INDEX('Cronograma R. Financiero'!$AA$5:$AA$1000,$N70),""),IF(INDEX('Cronograma R. Financiero'!$J$5:$J$1000,$N70)="","",INDEX('Cronograma R. Financiero'!$J$5:$J$1000,$N70))))</f>
        <v/>
      </c>
      <c r="J70" s="67">
        <f>IF($N70="","",IF($P70&gt;0,IF(4&lt;=SemanaActual,INDEX('Cronograma R. Financiero'!$AB$5:$AB$1000,$N70),""),IF(INDEX('Cronograma R. Financiero'!$K$5:$K$1000,$N70)="","",INDEX('Cronograma R. Financiero'!$K$5:$K$1000,$N70))))</f>
        <v/>
      </c>
      <c r="K70" s="67">
        <f>IF($N70="","",INDEX('Cronograma R. Financiero'!$L$5:$L$1000,$N70))</f>
        <v/>
      </c>
      <c r="L70" s="61">
        <f>IF($N70="","",IF(N($K70)&gt;=1,"Completado",IF(AND(ISNUMBER($E70),$E70&lt;FechaRef),"Vencida",IF(N($K70)&gt;0,"En curso","Pendiente"))))</f>
        <v/>
      </c>
      <c r="M70" s="70">
        <f>IF($N70="","",INDEX('Cronograma R. Financiero'!$N$5:$N$1000,$N70)&amp;"")</f>
        <v/>
      </c>
      <c r="N70">
        <f>IFERROR(MATCH(ROW()-4,rOrden_RF,0),"")</f>
        <v/>
      </c>
      <c r="O70">
        <f>IF($N70="","",INDEX('Cronograma R. Financiero'!$S$5:$S$1000,$N70))</f>
        <v/>
      </c>
      <c r="P70">
        <f>IF($N70="","",N(INDEX('Cronograma R. Financiero'!$T$5:$T$1000,$N70)))</f>
        <v/>
      </c>
    </row>
    <row r="71">
      <c r="A71" s="61">
        <f>IF($N71="","",INDEX('Cronograma R. Financiero'!$A$5:$A$1000,$N71))</f>
        <v/>
      </c>
      <c r="B71" s="70">
        <f>IF($N71="","",IF($O71="Sub","     ↳ "&amp;INDEX('Cronograma R. Financiero'!$C$5:$C$1000,$N71),INDEX('Cronograma R. Financiero'!$B$5:$B$1000,$N71)&amp;""))</f>
        <v/>
      </c>
      <c r="C71" s="70">
        <f>IF($N71="","",INDEX('Cronograma R. Financiero'!$D$5:$D$1000,$N71)&amp;"")</f>
        <v/>
      </c>
      <c r="D71" s="76">
        <f>IF($N71="","",IF(INDEX('Cronograma R. Financiero'!$E$5:$E$1000,$N71)="","",INDEX('Cronograma R. Financiero'!$E$5:$E$1000,$N71)))</f>
        <v/>
      </c>
      <c r="E71" s="76">
        <f>IF($N71="","",IF(INDEX('Cronograma R. Financiero'!$F$5:$F$1000,$N71)="","",INDEX('Cronograma R. Financiero'!$F$5:$F$1000,$N71)))</f>
        <v/>
      </c>
      <c r="F71" s="61">
        <f>IF($N71="","",IF(NOT(ISNUMBER($E71)),"",IF($E71&lt;InicioCiclo,"Antes del ciclo",IF($E71&gt;=InicioCiclo+28,"Después del ciclo","Semana "&amp;(INT(($E71-InicioCiclo)/7)+1)))))</f>
        <v/>
      </c>
      <c r="G71" s="67">
        <f>IF($N71="","",IF($P71&gt;0,IF(1&lt;=SemanaActual,INDEX('Cronograma R. Financiero'!$Y$5:$Y$1000,$N71),""),IF(INDEX('Cronograma R. Financiero'!$H$5:$H$1000,$N71)="","",INDEX('Cronograma R. Financiero'!$H$5:$H$1000,$N71))))</f>
        <v/>
      </c>
      <c r="H71" s="67">
        <f>IF($N71="","",IF($P71&gt;0,IF(2&lt;=SemanaActual,INDEX('Cronograma R. Financiero'!$Z$5:$Z$1000,$N71),""),IF(INDEX('Cronograma R. Financiero'!$I$5:$I$1000,$N71)="","",INDEX('Cronograma R. Financiero'!$I$5:$I$1000,$N71))))</f>
        <v/>
      </c>
      <c r="I71" s="67">
        <f>IF($N71="","",IF($P71&gt;0,IF(3&lt;=SemanaActual,INDEX('Cronograma R. Financiero'!$AA$5:$AA$1000,$N71),""),IF(INDEX('Cronograma R. Financiero'!$J$5:$J$1000,$N71)="","",INDEX('Cronograma R. Financiero'!$J$5:$J$1000,$N71))))</f>
        <v/>
      </c>
      <c r="J71" s="67">
        <f>IF($N71="","",IF($P71&gt;0,IF(4&lt;=SemanaActual,INDEX('Cronograma R. Financiero'!$AB$5:$AB$1000,$N71),""),IF(INDEX('Cronograma R. Financiero'!$K$5:$K$1000,$N71)="","",INDEX('Cronograma R. Financiero'!$K$5:$K$1000,$N71))))</f>
        <v/>
      </c>
      <c r="K71" s="67">
        <f>IF($N71="","",INDEX('Cronograma R. Financiero'!$L$5:$L$1000,$N71))</f>
        <v/>
      </c>
      <c r="L71" s="61">
        <f>IF($N71="","",IF(N($K71)&gt;=1,"Completado",IF(AND(ISNUMBER($E71),$E71&lt;FechaRef),"Vencida",IF(N($K71)&gt;0,"En curso","Pendiente"))))</f>
        <v/>
      </c>
      <c r="M71" s="70">
        <f>IF($N71="","",INDEX('Cronograma R. Financiero'!$N$5:$N$1000,$N71)&amp;"")</f>
        <v/>
      </c>
      <c r="N71">
        <f>IFERROR(MATCH(ROW()-4,rOrden_RF,0),"")</f>
        <v/>
      </c>
      <c r="O71">
        <f>IF($N71="","",INDEX('Cronograma R. Financiero'!$S$5:$S$1000,$N71))</f>
        <v/>
      </c>
      <c r="P71">
        <f>IF($N71="","",N(INDEX('Cronograma R. Financiero'!$T$5:$T$1000,$N71)))</f>
        <v/>
      </c>
    </row>
    <row r="72">
      <c r="A72" s="61">
        <f>IF($N72="","",INDEX('Cronograma R. Financiero'!$A$5:$A$1000,$N72))</f>
        <v/>
      </c>
      <c r="B72" s="70">
        <f>IF($N72="","",IF($O72="Sub","     ↳ "&amp;INDEX('Cronograma R. Financiero'!$C$5:$C$1000,$N72),INDEX('Cronograma R. Financiero'!$B$5:$B$1000,$N72)&amp;""))</f>
        <v/>
      </c>
      <c r="C72" s="70">
        <f>IF($N72="","",INDEX('Cronograma R. Financiero'!$D$5:$D$1000,$N72)&amp;"")</f>
        <v/>
      </c>
      <c r="D72" s="76">
        <f>IF($N72="","",IF(INDEX('Cronograma R. Financiero'!$E$5:$E$1000,$N72)="","",INDEX('Cronograma R. Financiero'!$E$5:$E$1000,$N72)))</f>
        <v/>
      </c>
      <c r="E72" s="76">
        <f>IF($N72="","",IF(INDEX('Cronograma R. Financiero'!$F$5:$F$1000,$N72)="","",INDEX('Cronograma R. Financiero'!$F$5:$F$1000,$N72)))</f>
        <v/>
      </c>
      <c r="F72" s="61">
        <f>IF($N72="","",IF(NOT(ISNUMBER($E72)),"",IF($E72&lt;InicioCiclo,"Antes del ciclo",IF($E72&gt;=InicioCiclo+28,"Después del ciclo","Semana "&amp;(INT(($E72-InicioCiclo)/7)+1)))))</f>
        <v/>
      </c>
      <c r="G72" s="67">
        <f>IF($N72="","",IF($P72&gt;0,IF(1&lt;=SemanaActual,INDEX('Cronograma R. Financiero'!$Y$5:$Y$1000,$N72),""),IF(INDEX('Cronograma R. Financiero'!$H$5:$H$1000,$N72)="","",INDEX('Cronograma R. Financiero'!$H$5:$H$1000,$N72))))</f>
        <v/>
      </c>
      <c r="H72" s="67">
        <f>IF($N72="","",IF($P72&gt;0,IF(2&lt;=SemanaActual,INDEX('Cronograma R. Financiero'!$Z$5:$Z$1000,$N72),""),IF(INDEX('Cronograma R. Financiero'!$I$5:$I$1000,$N72)="","",INDEX('Cronograma R. Financiero'!$I$5:$I$1000,$N72))))</f>
        <v/>
      </c>
      <c r="I72" s="67">
        <f>IF($N72="","",IF($P72&gt;0,IF(3&lt;=SemanaActual,INDEX('Cronograma R. Financiero'!$AA$5:$AA$1000,$N72),""),IF(INDEX('Cronograma R. Financiero'!$J$5:$J$1000,$N72)="","",INDEX('Cronograma R. Financiero'!$J$5:$J$1000,$N72))))</f>
        <v/>
      </c>
      <c r="J72" s="67">
        <f>IF($N72="","",IF($P72&gt;0,IF(4&lt;=SemanaActual,INDEX('Cronograma R. Financiero'!$AB$5:$AB$1000,$N72),""),IF(INDEX('Cronograma R. Financiero'!$K$5:$K$1000,$N72)="","",INDEX('Cronograma R. Financiero'!$K$5:$K$1000,$N72))))</f>
        <v/>
      </c>
      <c r="K72" s="67">
        <f>IF($N72="","",INDEX('Cronograma R. Financiero'!$L$5:$L$1000,$N72))</f>
        <v/>
      </c>
      <c r="L72" s="61">
        <f>IF($N72="","",IF(N($K72)&gt;=1,"Completado",IF(AND(ISNUMBER($E72),$E72&lt;FechaRef),"Vencida",IF(N($K72)&gt;0,"En curso","Pendiente"))))</f>
        <v/>
      </c>
      <c r="M72" s="70">
        <f>IF($N72="","",INDEX('Cronograma R. Financiero'!$N$5:$N$1000,$N72)&amp;"")</f>
        <v/>
      </c>
      <c r="N72">
        <f>IFERROR(MATCH(ROW()-4,rOrden_RF,0),"")</f>
        <v/>
      </c>
      <c r="O72">
        <f>IF($N72="","",INDEX('Cronograma R. Financiero'!$S$5:$S$1000,$N72))</f>
        <v/>
      </c>
      <c r="P72">
        <f>IF($N72="","",N(INDEX('Cronograma R. Financiero'!$T$5:$T$1000,$N72)))</f>
        <v/>
      </c>
    </row>
    <row r="73">
      <c r="A73" s="61">
        <f>IF($N73="","",INDEX('Cronograma R. Financiero'!$A$5:$A$1000,$N73))</f>
        <v/>
      </c>
      <c r="B73" s="70">
        <f>IF($N73="","",IF($O73="Sub","     ↳ "&amp;INDEX('Cronograma R. Financiero'!$C$5:$C$1000,$N73),INDEX('Cronograma R. Financiero'!$B$5:$B$1000,$N73)&amp;""))</f>
        <v/>
      </c>
      <c r="C73" s="70">
        <f>IF($N73="","",INDEX('Cronograma R. Financiero'!$D$5:$D$1000,$N73)&amp;"")</f>
        <v/>
      </c>
      <c r="D73" s="76">
        <f>IF($N73="","",IF(INDEX('Cronograma R. Financiero'!$E$5:$E$1000,$N73)="","",INDEX('Cronograma R. Financiero'!$E$5:$E$1000,$N73)))</f>
        <v/>
      </c>
      <c r="E73" s="76">
        <f>IF($N73="","",IF(INDEX('Cronograma R. Financiero'!$F$5:$F$1000,$N73)="","",INDEX('Cronograma R. Financiero'!$F$5:$F$1000,$N73)))</f>
        <v/>
      </c>
      <c r="F73" s="61">
        <f>IF($N73="","",IF(NOT(ISNUMBER($E73)),"",IF($E73&lt;InicioCiclo,"Antes del ciclo",IF($E73&gt;=InicioCiclo+28,"Después del ciclo","Semana "&amp;(INT(($E73-InicioCiclo)/7)+1)))))</f>
        <v/>
      </c>
      <c r="G73" s="67">
        <f>IF($N73="","",IF($P73&gt;0,IF(1&lt;=SemanaActual,INDEX('Cronograma R. Financiero'!$Y$5:$Y$1000,$N73),""),IF(INDEX('Cronograma R. Financiero'!$H$5:$H$1000,$N73)="","",INDEX('Cronograma R. Financiero'!$H$5:$H$1000,$N73))))</f>
        <v/>
      </c>
      <c r="H73" s="67">
        <f>IF($N73="","",IF($P73&gt;0,IF(2&lt;=SemanaActual,INDEX('Cronograma R. Financiero'!$Z$5:$Z$1000,$N73),""),IF(INDEX('Cronograma R. Financiero'!$I$5:$I$1000,$N73)="","",INDEX('Cronograma R. Financiero'!$I$5:$I$1000,$N73))))</f>
        <v/>
      </c>
      <c r="I73" s="67">
        <f>IF($N73="","",IF($P73&gt;0,IF(3&lt;=SemanaActual,INDEX('Cronograma R. Financiero'!$AA$5:$AA$1000,$N73),""),IF(INDEX('Cronograma R. Financiero'!$J$5:$J$1000,$N73)="","",INDEX('Cronograma R. Financiero'!$J$5:$J$1000,$N73))))</f>
        <v/>
      </c>
      <c r="J73" s="67">
        <f>IF($N73="","",IF($P73&gt;0,IF(4&lt;=SemanaActual,INDEX('Cronograma R. Financiero'!$AB$5:$AB$1000,$N73),""),IF(INDEX('Cronograma R. Financiero'!$K$5:$K$1000,$N73)="","",INDEX('Cronograma R. Financiero'!$K$5:$K$1000,$N73))))</f>
        <v/>
      </c>
      <c r="K73" s="67">
        <f>IF($N73="","",INDEX('Cronograma R. Financiero'!$L$5:$L$1000,$N73))</f>
        <v/>
      </c>
      <c r="L73" s="61">
        <f>IF($N73="","",IF(N($K73)&gt;=1,"Completado",IF(AND(ISNUMBER($E73),$E73&lt;FechaRef),"Vencida",IF(N($K73)&gt;0,"En curso","Pendiente"))))</f>
        <v/>
      </c>
      <c r="M73" s="70">
        <f>IF($N73="","",INDEX('Cronograma R. Financiero'!$N$5:$N$1000,$N73)&amp;"")</f>
        <v/>
      </c>
      <c r="N73">
        <f>IFERROR(MATCH(ROW()-4,rOrden_RF,0),"")</f>
        <v/>
      </c>
      <c r="O73">
        <f>IF($N73="","",INDEX('Cronograma R. Financiero'!$S$5:$S$1000,$N73))</f>
        <v/>
      </c>
      <c r="P73">
        <f>IF($N73="","",N(INDEX('Cronograma R. Financiero'!$T$5:$T$1000,$N73)))</f>
        <v/>
      </c>
    </row>
    <row r="74">
      <c r="A74" s="61">
        <f>IF($N74="","",INDEX('Cronograma R. Financiero'!$A$5:$A$1000,$N74))</f>
        <v/>
      </c>
      <c r="B74" s="70">
        <f>IF($N74="","",IF($O74="Sub","     ↳ "&amp;INDEX('Cronograma R. Financiero'!$C$5:$C$1000,$N74),INDEX('Cronograma R. Financiero'!$B$5:$B$1000,$N74)&amp;""))</f>
        <v/>
      </c>
      <c r="C74" s="70">
        <f>IF($N74="","",INDEX('Cronograma R. Financiero'!$D$5:$D$1000,$N74)&amp;"")</f>
        <v/>
      </c>
      <c r="D74" s="76">
        <f>IF($N74="","",IF(INDEX('Cronograma R. Financiero'!$E$5:$E$1000,$N74)="","",INDEX('Cronograma R. Financiero'!$E$5:$E$1000,$N74)))</f>
        <v/>
      </c>
      <c r="E74" s="76">
        <f>IF($N74="","",IF(INDEX('Cronograma R. Financiero'!$F$5:$F$1000,$N74)="","",INDEX('Cronograma R. Financiero'!$F$5:$F$1000,$N74)))</f>
        <v/>
      </c>
      <c r="F74" s="61">
        <f>IF($N74="","",IF(NOT(ISNUMBER($E74)),"",IF($E74&lt;InicioCiclo,"Antes del ciclo",IF($E74&gt;=InicioCiclo+28,"Después del ciclo","Semana "&amp;(INT(($E74-InicioCiclo)/7)+1)))))</f>
        <v/>
      </c>
      <c r="G74" s="67">
        <f>IF($N74="","",IF($P74&gt;0,IF(1&lt;=SemanaActual,INDEX('Cronograma R. Financiero'!$Y$5:$Y$1000,$N74),""),IF(INDEX('Cronograma R. Financiero'!$H$5:$H$1000,$N74)="","",INDEX('Cronograma R. Financiero'!$H$5:$H$1000,$N74))))</f>
        <v/>
      </c>
      <c r="H74" s="67">
        <f>IF($N74="","",IF($P74&gt;0,IF(2&lt;=SemanaActual,INDEX('Cronograma R. Financiero'!$Z$5:$Z$1000,$N74),""),IF(INDEX('Cronograma R. Financiero'!$I$5:$I$1000,$N74)="","",INDEX('Cronograma R. Financiero'!$I$5:$I$1000,$N74))))</f>
        <v/>
      </c>
      <c r="I74" s="67">
        <f>IF($N74="","",IF($P74&gt;0,IF(3&lt;=SemanaActual,INDEX('Cronograma R. Financiero'!$AA$5:$AA$1000,$N74),""),IF(INDEX('Cronograma R. Financiero'!$J$5:$J$1000,$N74)="","",INDEX('Cronograma R. Financiero'!$J$5:$J$1000,$N74))))</f>
        <v/>
      </c>
      <c r="J74" s="67">
        <f>IF($N74="","",IF($P74&gt;0,IF(4&lt;=SemanaActual,INDEX('Cronograma R. Financiero'!$AB$5:$AB$1000,$N74),""),IF(INDEX('Cronograma R. Financiero'!$K$5:$K$1000,$N74)="","",INDEX('Cronograma R. Financiero'!$K$5:$K$1000,$N74))))</f>
        <v/>
      </c>
      <c r="K74" s="67">
        <f>IF($N74="","",INDEX('Cronograma R. Financiero'!$L$5:$L$1000,$N74))</f>
        <v/>
      </c>
      <c r="L74" s="61">
        <f>IF($N74="","",IF(N($K74)&gt;=1,"Completado",IF(AND(ISNUMBER($E74),$E74&lt;FechaRef),"Vencida",IF(N($K74)&gt;0,"En curso","Pendiente"))))</f>
        <v/>
      </c>
      <c r="M74" s="70">
        <f>IF($N74="","",INDEX('Cronograma R. Financiero'!$N$5:$N$1000,$N74)&amp;"")</f>
        <v/>
      </c>
      <c r="N74">
        <f>IFERROR(MATCH(ROW()-4,rOrden_RF,0),"")</f>
        <v/>
      </c>
      <c r="O74">
        <f>IF($N74="","",INDEX('Cronograma R. Financiero'!$S$5:$S$1000,$N74))</f>
        <v/>
      </c>
      <c r="P74">
        <f>IF($N74="","",N(INDEX('Cronograma R. Financiero'!$T$5:$T$1000,$N74)))</f>
        <v/>
      </c>
    </row>
    <row r="75">
      <c r="A75" s="61">
        <f>IF($N75="","",INDEX('Cronograma R. Financiero'!$A$5:$A$1000,$N75))</f>
        <v/>
      </c>
      <c r="B75" s="70">
        <f>IF($N75="","",IF($O75="Sub","     ↳ "&amp;INDEX('Cronograma R. Financiero'!$C$5:$C$1000,$N75),INDEX('Cronograma R. Financiero'!$B$5:$B$1000,$N75)&amp;""))</f>
        <v/>
      </c>
      <c r="C75" s="70">
        <f>IF($N75="","",INDEX('Cronograma R. Financiero'!$D$5:$D$1000,$N75)&amp;"")</f>
        <v/>
      </c>
      <c r="D75" s="76">
        <f>IF($N75="","",IF(INDEX('Cronograma R. Financiero'!$E$5:$E$1000,$N75)="","",INDEX('Cronograma R. Financiero'!$E$5:$E$1000,$N75)))</f>
        <v/>
      </c>
      <c r="E75" s="76">
        <f>IF($N75="","",IF(INDEX('Cronograma R. Financiero'!$F$5:$F$1000,$N75)="","",INDEX('Cronograma R. Financiero'!$F$5:$F$1000,$N75)))</f>
        <v/>
      </c>
      <c r="F75" s="61">
        <f>IF($N75="","",IF(NOT(ISNUMBER($E75)),"",IF($E75&lt;InicioCiclo,"Antes del ciclo",IF($E75&gt;=InicioCiclo+28,"Después del ciclo","Semana "&amp;(INT(($E75-InicioCiclo)/7)+1)))))</f>
        <v/>
      </c>
      <c r="G75" s="67">
        <f>IF($N75="","",IF($P75&gt;0,IF(1&lt;=SemanaActual,INDEX('Cronograma R. Financiero'!$Y$5:$Y$1000,$N75),""),IF(INDEX('Cronograma R. Financiero'!$H$5:$H$1000,$N75)="","",INDEX('Cronograma R. Financiero'!$H$5:$H$1000,$N75))))</f>
        <v/>
      </c>
      <c r="H75" s="67">
        <f>IF($N75="","",IF($P75&gt;0,IF(2&lt;=SemanaActual,INDEX('Cronograma R. Financiero'!$Z$5:$Z$1000,$N75),""),IF(INDEX('Cronograma R. Financiero'!$I$5:$I$1000,$N75)="","",INDEX('Cronograma R. Financiero'!$I$5:$I$1000,$N75))))</f>
        <v/>
      </c>
      <c r="I75" s="67">
        <f>IF($N75="","",IF($P75&gt;0,IF(3&lt;=SemanaActual,INDEX('Cronograma R. Financiero'!$AA$5:$AA$1000,$N75),""),IF(INDEX('Cronograma R. Financiero'!$J$5:$J$1000,$N75)="","",INDEX('Cronograma R. Financiero'!$J$5:$J$1000,$N75))))</f>
        <v/>
      </c>
      <c r="J75" s="67">
        <f>IF($N75="","",IF($P75&gt;0,IF(4&lt;=SemanaActual,INDEX('Cronograma R. Financiero'!$AB$5:$AB$1000,$N75),""),IF(INDEX('Cronograma R. Financiero'!$K$5:$K$1000,$N75)="","",INDEX('Cronograma R. Financiero'!$K$5:$K$1000,$N75))))</f>
        <v/>
      </c>
      <c r="K75" s="67">
        <f>IF($N75="","",INDEX('Cronograma R. Financiero'!$L$5:$L$1000,$N75))</f>
        <v/>
      </c>
      <c r="L75" s="61">
        <f>IF($N75="","",IF(N($K75)&gt;=1,"Completado",IF(AND(ISNUMBER($E75),$E75&lt;FechaRef),"Vencida",IF(N($K75)&gt;0,"En curso","Pendiente"))))</f>
        <v/>
      </c>
      <c r="M75" s="70">
        <f>IF($N75="","",INDEX('Cronograma R. Financiero'!$N$5:$N$1000,$N75)&amp;"")</f>
        <v/>
      </c>
      <c r="N75">
        <f>IFERROR(MATCH(ROW()-4,rOrden_RF,0),"")</f>
        <v/>
      </c>
      <c r="O75">
        <f>IF($N75="","",INDEX('Cronograma R. Financiero'!$S$5:$S$1000,$N75))</f>
        <v/>
      </c>
      <c r="P75">
        <f>IF($N75="","",N(INDEX('Cronograma R. Financiero'!$T$5:$T$1000,$N75)))</f>
        <v/>
      </c>
    </row>
    <row r="76">
      <c r="A76" s="61">
        <f>IF($N76="","",INDEX('Cronograma R. Financiero'!$A$5:$A$1000,$N76))</f>
        <v/>
      </c>
      <c r="B76" s="70">
        <f>IF($N76="","",IF($O76="Sub","     ↳ "&amp;INDEX('Cronograma R. Financiero'!$C$5:$C$1000,$N76),INDEX('Cronograma R. Financiero'!$B$5:$B$1000,$N76)&amp;""))</f>
        <v/>
      </c>
      <c r="C76" s="70">
        <f>IF($N76="","",INDEX('Cronograma R. Financiero'!$D$5:$D$1000,$N76)&amp;"")</f>
        <v/>
      </c>
      <c r="D76" s="76">
        <f>IF($N76="","",IF(INDEX('Cronograma R. Financiero'!$E$5:$E$1000,$N76)="","",INDEX('Cronograma R. Financiero'!$E$5:$E$1000,$N76)))</f>
        <v/>
      </c>
      <c r="E76" s="76">
        <f>IF($N76="","",IF(INDEX('Cronograma R. Financiero'!$F$5:$F$1000,$N76)="","",INDEX('Cronograma R. Financiero'!$F$5:$F$1000,$N76)))</f>
        <v/>
      </c>
      <c r="F76" s="61">
        <f>IF($N76="","",IF(NOT(ISNUMBER($E76)),"",IF($E76&lt;InicioCiclo,"Antes del ciclo",IF($E76&gt;=InicioCiclo+28,"Después del ciclo","Semana "&amp;(INT(($E76-InicioCiclo)/7)+1)))))</f>
        <v/>
      </c>
      <c r="G76" s="67">
        <f>IF($N76="","",IF($P76&gt;0,IF(1&lt;=SemanaActual,INDEX('Cronograma R. Financiero'!$Y$5:$Y$1000,$N76),""),IF(INDEX('Cronograma R. Financiero'!$H$5:$H$1000,$N76)="","",INDEX('Cronograma R. Financiero'!$H$5:$H$1000,$N76))))</f>
        <v/>
      </c>
      <c r="H76" s="67">
        <f>IF($N76="","",IF($P76&gt;0,IF(2&lt;=SemanaActual,INDEX('Cronograma R. Financiero'!$Z$5:$Z$1000,$N76),""),IF(INDEX('Cronograma R. Financiero'!$I$5:$I$1000,$N76)="","",INDEX('Cronograma R. Financiero'!$I$5:$I$1000,$N76))))</f>
        <v/>
      </c>
      <c r="I76" s="67">
        <f>IF($N76="","",IF($P76&gt;0,IF(3&lt;=SemanaActual,INDEX('Cronograma R. Financiero'!$AA$5:$AA$1000,$N76),""),IF(INDEX('Cronograma R. Financiero'!$J$5:$J$1000,$N76)="","",INDEX('Cronograma R. Financiero'!$J$5:$J$1000,$N76))))</f>
        <v/>
      </c>
      <c r="J76" s="67">
        <f>IF($N76="","",IF($P76&gt;0,IF(4&lt;=SemanaActual,INDEX('Cronograma R. Financiero'!$AB$5:$AB$1000,$N76),""),IF(INDEX('Cronograma R. Financiero'!$K$5:$K$1000,$N76)="","",INDEX('Cronograma R. Financiero'!$K$5:$K$1000,$N76))))</f>
        <v/>
      </c>
      <c r="K76" s="67">
        <f>IF($N76="","",INDEX('Cronograma R. Financiero'!$L$5:$L$1000,$N76))</f>
        <v/>
      </c>
      <c r="L76" s="61">
        <f>IF($N76="","",IF(N($K76)&gt;=1,"Completado",IF(AND(ISNUMBER($E76),$E76&lt;FechaRef),"Vencida",IF(N($K76)&gt;0,"En curso","Pendiente"))))</f>
        <v/>
      </c>
      <c r="M76" s="70">
        <f>IF($N76="","",INDEX('Cronograma R. Financiero'!$N$5:$N$1000,$N76)&amp;"")</f>
        <v/>
      </c>
      <c r="N76">
        <f>IFERROR(MATCH(ROW()-4,rOrden_RF,0),"")</f>
        <v/>
      </c>
      <c r="O76">
        <f>IF($N76="","",INDEX('Cronograma R. Financiero'!$S$5:$S$1000,$N76))</f>
        <v/>
      </c>
      <c r="P76">
        <f>IF($N76="","",N(INDEX('Cronograma R. Financiero'!$T$5:$T$1000,$N76)))</f>
        <v/>
      </c>
    </row>
    <row r="77">
      <c r="A77" s="61">
        <f>IF($N77="","",INDEX('Cronograma R. Financiero'!$A$5:$A$1000,$N77))</f>
        <v/>
      </c>
      <c r="B77" s="70">
        <f>IF($N77="","",IF($O77="Sub","     ↳ "&amp;INDEX('Cronograma R. Financiero'!$C$5:$C$1000,$N77),INDEX('Cronograma R. Financiero'!$B$5:$B$1000,$N77)&amp;""))</f>
        <v/>
      </c>
      <c r="C77" s="70">
        <f>IF($N77="","",INDEX('Cronograma R. Financiero'!$D$5:$D$1000,$N77)&amp;"")</f>
        <v/>
      </c>
      <c r="D77" s="76">
        <f>IF($N77="","",IF(INDEX('Cronograma R. Financiero'!$E$5:$E$1000,$N77)="","",INDEX('Cronograma R. Financiero'!$E$5:$E$1000,$N77)))</f>
        <v/>
      </c>
      <c r="E77" s="76">
        <f>IF($N77="","",IF(INDEX('Cronograma R. Financiero'!$F$5:$F$1000,$N77)="","",INDEX('Cronograma R. Financiero'!$F$5:$F$1000,$N77)))</f>
        <v/>
      </c>
      <c r="F77" s="61">
        <f>IF($N77="","",IF(NOT(ISNUMBER($E77)),"",IF($E77&lt;InicioCiclo,"Antes del ciclo",IF($E77&gt;=InicioCiclo+28,"Después del ciclo","Semana "&amp;(INT(($E77-InicioCiclo)/7)+1)))))</f>
        <v/>
      </c>
      <c r="G77" s="67">
        <f>IF($N77="","",IF($P77&gt;0,IF(1&lt;=SemanaActual,INDEX('Cronograma R. Financiero'!$Y$5:$Y$1000,$N77),""),IF(INDEX('Cronograma R. Financiero'!$H$5:$H$1000,$N77)="","",INDEX('Cronograma R. Financiero'!$H$5:$H$1000,$N77))))</f>
        <v/>
      </c>
      <c r="H77" s="67">
        <f>IF($N77="","",IF($P77&gt;0,IF(2&lt;=SemanaActual,INDEX('Cronograma R. Financiero'!$Z$5:$Z$1000,$N77),""),IF(INDEX('Cronograma R. Financiero'!$I$5:$I$1000,$N77)="","",INDEX('Cronograma R. Financiero'!$I$5:$I$1000,$N77))))</f>
        <v/>
      </c>
      <c r="I77" s="67">
        <f>IF($N77="","",IF($P77&gt;0,IF(3&lt;=SemanaActual,INDEX('Cronograma R. Financiero'!$AA$5:$AA$1000,$N77),""),IF(INDEX('Cronograma R. Financiero'!$J$5:$J$1000,$N77)="","",INDEX('Cronograma R. Financiero'!$J$5:$J$1000,$N77))))</f>
        <v/>
      </c>
      <c r="J77" s="67">
        <f>IF($N77="","",IF($P77&gt;0,IF(4&lt;=SemanaActual,INDEX('Cronograma R. Financiero'!$AB$5:$AB$1000,$N77),""),IF(INDEX('Cronograma R. Financiero'!$K$5:$K$1000,$N77)="","",INDEX('Cronograma R. Financiero'!$K$5:$K$1000,$N77))))</f>
        <v/>
      </c>
      <c r="K77" s="67">
        <f>IF($N77="","",INDEX('Cronograma R. Financiero'!$L$5:$L$1000,$N77))</f>
        <v/>
      </c>
      <c r="L77" s="61">
        <f>IF($N77="","",IF(N($K77)&gt;=1,"Completado",IF(AND(ISNUMBER($E77),$E77&lt;FechaRef),"Vencida",IF(N($K77)&gt;0,"En curso","Pendiente"))))</f>
        <v/>
      </c>
      <c r="M77" s="70">
        <f>IF($N77="","",INDEX('Cronograma R. Financiero'!$N$5:$N$1000,$N77)&amp;"")</f>
        <v/>
      </c>
      <c r="N77">
        <f>IFERROR(MATCH(ROW()-4,rOrden_RF,0),"")</f>
        <v/>
      </c>
      <c r="O77">
        <f>IF($N77="","",INDEX('Cronograma R. Financiero'!$S$5:$S$1000,$N77))</f>
        <v/>
      </c>
      <c r="P77">
        <f>IF($N77="","",N(INDEX('Cronograma R. Financiero'!$T$5:$T$1000,$N77)))</f>
        <v/>
      </c>
    </row>
    <row r="78">
      <c r="A78" s="61">
        <f>IF($N78="","",INDEX('Cronograma R. Financiero'!$A$5:$A$1000,$N78))</f>
        <v/>
      </c>
      <c r="B78" s="70">
        <f>IF($N78="","",IF($O78="Sub","     ↳ "&amp;INDEX('Cronograma R. Financiero'!$C$5:$C$1000,$N78),INDEX('Cronograma R. Financiero'!$B$5:$B$1000,$N78)&amp;""))</f>
        <v/>
      </c>
      <c r="C78" s="70">
        <f>IF($N78="","",INDEX('Cronograma R. Financiero'!$D$5:$D$1000,$N78)&amp;"")</f>
        <v/>
      </c>
      <c r="D78" s="76">
        <f>IF($N78="","",IF(INDEX('Cronograma R. Financiero'!$E$5:$E$1000,$N78)="","",INDEX('Cronograma R. Financiero'!$E$5:$E$1000,$N78)))</f>
        <v/>
      </c>
      <c r="E78" s="76">
        <f>IF($N78="","",IF(INDEX('Cronograma R. Financiero'!$F$5:$F$1000,$N78)="","",INDEX('Cronograma R. Financiero'!$F$5:$F$1000,$N78)))</f>
        <v/>
      </c>
      <c r="F78" s="61">
        <f>IF($N78="","",IF(NOT(ISNUMBER($E78)),"",IF($E78&lt;InicioCiclo,"Antes del ciclo",IF($E78&gt;=InicioCiclo+28,"Después del ciclo","Semana "&amp;(INT(($E78-InicioCiclo)/7)+1)))))</f>
        <v/>
      </c>
      <c r="G78" s="67">
        <f>IF($N78="","",IF($P78&gt;0,IF(1&lt;=SemanaActual,INDEX('Cronograma R. Financiero'!$Y$5:$Y$1000,$N78),""),IF(INDEX('Cronograma R. Financiero'!$H$5:$H$1000,$N78)="","",INDEX('Cronograma R. Financiero'!$H$5:$H$1000,$N78))))</f>
        <v/>
      </c>
      <c r="H78" s="67">
        <f>IF($N78="","",IF($P78&gt;0,IF(2&lt;=SemanaActual,INDEX('Cronograma R. Financiero'!$Z$5:$Z$1000,$N78),""),IF(INDEX('Cronograma R. Financiero'!$I$5:$I$1000,$N78)="","",INDEX('Cronograma R. Financiero'!$I$5:$I$1000,$N78))))</f>
        <v/>
      </c>
      <c r="I78" s="67">
        <f>IF($N78="","",IF($P78&gt;0,IF(3&lt;=SemanaActual,INDEX('Cronograma R. Financiero'!$AA$5:$AA$1000,$N78),""),IF(INDEX('Cronograma R. Financiero'!$J$5:$J$1000,$N78)="","",INDEX('Cronograma R. Financiero'!$J$5:$J$1000,$N78))))</f>
        <v/>
      </c>
      <c r="J78" s="67">
        <f>IF($N78="","",IF($P78&gt;0,IF(4&lt;=SemanaActual,INDEX('Cronograma R. Financiero'!$AB$5:$AB$1000,$N78),""),IF(INDEX('Cronograma R. Financiero'!$K$5:$K$1000,$N78)="","",INDEX('Cronograma R. Financiero'!$K$5:$K$1000,$N78))))</f>
        <v/>
      </c>
      <c r="K78" s="67">
        <f>IF($N78="","",INDEX('Cronograma R. Financiero'!$L$5:$L$1000,$N78))</f>
        <v/>
      </c>
      <c r="L78" s="61">
        <f>IF($N78="","",IF(N($K78)&gt;=1,"Completado",IF(AND(ISNUMBER($E78),$E78&lt;FechaRef),"Vencida",IF(N($K78)&gt;0,"En curso","Pendiente"))))</f>
        <v/>
      </c>
      <c r="M78" s="70">
        <f>IF($N78="","",INDEX('Cronograma R. Financiero'!$N$5:$N$1000,$N78)&amp;"")</f>
        <v/>
      </c>
      <c r="N78">
        <f>IFERROR(MATCH(ROW()-4,rOrden_RF,0),"")</f>
        <v/>
      </c>
      <c r="O78">
        <f>IF($N78="","",INDEX('Cronograma R. Financiero'!$S$5:$S$1000,$N78))</f>
        <v/>
      </c>
      <c r="P78">
        <f>IF($N78="","",N(INDEX('Cronograma R. Financiero'!$T$5:$T$1000,$N78)))</f>
        <v/>
      </c>
    </row>
    <row r="79">
      <c r="A79" s="61">
        <f>IF($N79="","",INDEX('Cronograma R. Financiero'!$A$5:$A$1000,$N79))</f>
        <v/>
      </c>
      <c r="B79" s="70">
        <f>IF($N79="","",IF($O79="Sub","     ↳ "&amp;INDEX('Cronograma R. Financiero'!$C$5:$C$1000,$N79),INDEX('Cronograma R. Financiero'!$B$5:$B$1000,$N79)&amp;""))</f>
        <v/>
      </c>
      <c r="C79" s="70">
        <f>IF($N79="","",INDEX('Cronograma R. Financiero'!$D$5:$D$1000,$N79)&amp;"")</f>
        <v/>
      </c>
      <c r="D79" s="76">
        <f>IF($N79="","",IF(INDEX('Cronograma R. Financiero'!$E$5:$E$1000,$N79)="","",INDEX('Cronograma R. Financiero'!$E$5:$E$1000,$N79)))</f>
        <v/>
      </c>
      <c r="E79" s="76">
        <f>IF($N79="","",IF(INDEX('Cronograma R. Financiero'!$F$5:$F$1000,$N79)="","",INDEX('Cronograma R. Financiero'!$F$5:$F$1000,$N79)))</f>
        <v/>
      </c>
      <c r="F79" s="61">
        <f>IF($N79="","",IF(NOT(ISNUMBER($E79)),"",IF($E79&lt;InicioCiclo,"Antes del ciclo",IF($E79&gt;=InicioCiclo+28,"Después del ciclo","Semana "&amp;(INT(($E79-InicioCiclo)/7)+1)))))</f>
        <v/>
      </c>
      <c r="G79" s="67">
        <f>IF($N79="","",IF($P79&gt;0,IF(1&lt;=SemanaActual,INDEX('Cronograma R. Financiero'!$Y$5:$Y$1000,$N79),""),IF(INDEX('Cronograma R. Financiero'!$H$5:$H$1000,$N79)="","",INDEX('Cronograma R. Financiero'!$H$5:$H$1000,$N79))))</f>
        <v/>
      </c>
      <c r="H79" s="67">
        <f>IF($N79="","",IF($P79&gt;0,IF(2&lt;=SemanaActual,INDEX('Cronograma R. Financiero'!$Z$5:$Z$1000,$N79),""),IF(INDEX('Cronograma R. Financiero'!$I$5:$I$1000,$N79)="","",INDEX('Cronograma R. Financiero'!$I$5:$I$1000,$N79))))</f>
        <v/>
      </c>
      <c r="I79" s="67">
        <f>IF($N79="","",IF($P79&gt;0,IF(3&lt;=SemanaActual,INDEX('Cronograma R. Financiero'!$AA$5:$AA$1000,$N79),""),IF(INDEX('Cronograma R. Financiero'!$J$5:$J$1000,$N79)="","",INDEX('Cronograma R. Financiero'!$J$5:$J$1000,$N79))))</f>
        <v/>
      </c>
      <c r="J79" s="67">
        <f>IF($N79="","",IF($P79&gt;0,IF(4&lt;=SemanaActual,INDEX('Cronograma R. Financiero'!$AB$5:$AB$1000,$N79),""),IF(INDEX('Cronograma R. Financiero'!$K$5:$K$1000,$N79)="","",INDEX('Cronograma R. Financiero'!$K$5:$K$1000,$N79))))</f>
        <v/>
      </c>
      <c r="K79" s="67">
        <f>IF($N79="","",INDEX('Cronograma R. Financiero'!$L$5:$L$1000,$N79))</f>
        <v/>
      </c>
      <c r="L79" s="61">
        <f>IF($N79="","",IF(N($K79)&gt;=1,"Completado",IF(AND(ISNUMBER($E79),$E79&lt;FechaRef),"Vencida",IF(N($K79)&gt;0,"En curso","Pendiente"))))</f>
        <v/>
      </c>
      <c r="M79" s="70">
        <f>IF($N79="","",INDEX('Cronograma R. Financiero'!$N$5:$N$1000,$N79)&amp;"")</f>
        <v/>
      </c>
      <c r="N79">
        <f>IFERROR(MATCH(ROW()-4,rOrden_RF,0),"")</f>
        <v/>
      </c>
      <c r="O79">
        <f>IF($N79="","",INDEX('Cronograma R. Financiero'!$S$5:$S$1000,$N79))</f>
        <v/>
      </c>
      <c r="P79">
        <f>IF($N79="","",N(INDEX('Cronograma R. Financiero'!$T$5:$T$1000,$N79)))</f>
        <v/>
      </c>
    </row>
    <row r="80">
      <c r="A80" s="61">
        <f>IF($N80="","",INDEX('Cronograma R. Financiero'!$A$5:$A$1000,$N80))</f>
        <v/>
      </c>
      <c r="B80" s="70">
        <f>IF($N80="","",IF($O80="Sub","     ↳ "&amp;INDEX('Cronograma R. Financiero'!$C$5:$C$1000,$N80),INDEX('Cronograma R. Financiero'!$B$5:$B$1000,$N80)&amp;""))</f>
        <v/>
      </c>
      <c r="C80" s="70">
        <f>IF($N80="","",INDEX('Cronograma R. Financiero'!$D$5:$D$1000,$N80)&amp;"")</f>
        <v/>
      </c>
      <c r="D80" s="76">
        <f>IF($N80="","",IF(INDEX('Cronograma R. Financiero'!$E$5:$E$1000,$N80)="","",INDEX('Cronograma R. Financiero'!$E$5:$E$1000,$N80)))</f>
        <v/>
      </c>
      <c r="E80" s="76">
        <f>IF($N80="","",IF(INDEX('Cronograma R. Financiero'!$F$5:$F$1000,$N80)="","",INDEX('Cronograma R. Financiero'!$F$5:$F$1000,$N80)))</f>
        <v/>
      </c>
      <c r="F80" s="61">
        <f>IF($N80="","",IF(NOT(ISNUMBER($E80)),"",IF($E80&lt;InicioCiclo,"Antes del ciclo",IF($E80&gt;=InicioCiclo+28,"Después del ciclo","Semana "&amp;(INT(($E80-InicioCiclo)/7)+1)))))</f>
        <v/>
      </c>
      <c r="G80" s="67">
        <f>IF($N80="","",IF($P80&gt;0,IF(1&lt;=SemanaActual,INDEX('Cronograma R. Financiero'!$Y$5:$Y$1000,$N80),""),IF(INDEX('Cronograma R. Financiero'!$H$5:$H$1000,$N80)="","",INDEX('Cronograma R. Financiero'!$H$5:$H$1000,$N80))))</f>
        <v/>
      </c>
      <c r="H80" s="67">
        <f>IF($N80="","",IF($P80&gt;0,IF(2&lt;=SemanaActual,INDEX('Cronograma R. Financiero'!$Z$5:$Z$1000,$N80),""),IF(INDEX('Cronograma R. Financiero'!$I$5:$I$1000,$N80)="","",INDEX('Cronograma R. Financiero'!$I$5:$I$1000,$N80))))</f>
        <v/>
      </c>
      <c r="I80" s="67">
        <f>IF($N80="","",IF($P80&gt;0,IF(3&lt;=SemanaActual,INDEX('Cronograma R. Financiero'!$AA$5:$AA$1000,$N80),""),IF(INDEX('Cronograma R. Financiero'!$J$5:$J$1000,$N80)="","",INDEX('Cronograma R. Financiero'!$J$5:$J$1000,$N80))))</f>
        <v/>
      </c>
      <c r="J80" s="67">
        <f>IF($N80="","",IF($P80&gt;0,IF(4&lt;=SemanaActual,INDEX('Cronograma R. Financiero'!$AB$5:$AB$1000,$N80),""),IF(INDEX('Cronograma R. Financiero'!$K$5:$K$1000,$N80)="","",INDEX('Cronograma R. Financiero'!$K$5:$K$1000,$N80))))</f>
        <v/>
      </c>
      <c r="K80" s="67">
        <f>IF($N80="","",INDEX('Cronograma R. Financiero'!$L$5:$L$1000,$N80))</f>
        <v/>
      </c>
      <c r="L80" s="61">
        <f>IF($N80="","",IF(N($K80)&gt;=1,"Completado",IF(AND(ISNUMBER($E80),$E80&lt;FechaRef),"Vencida",IF(N($K80)&gt;0,"En curso","Pendiente"))))</f>
        <v/>
      </c>
      <c r="M80" s="70">
        <f>IF($N80="","",INDEX('Cronograma R. Financiero'!$N$5:$N$1000,$N80)&amp;"")</f>
        <v/>
      </c>
      <c r="N80">
        <f>IFERROR(MATCH(ROW()-4,rOrden_RF,0),"")</f>
        <v/>
      </c>
      <c r="O80">
        <f>IF($N80="","",INDEX('Cronograma R. Financiero'!$S$5:$S$1000,$N80))</f>
        <v/>
      </c>
      <c r="P80">
        <f>IF($N80="","",N(INDEX('Cronograma R. Financiero'!$T$5:$T$1000,$N80)))</f>
        <v/>
      </c>
    </row>
    <row r="81">
      <c r="A81" s="61">
        <f>IF($N81="","",INDEX('Cronograma R. Financiero'!$A$5:$A$1000,$N81))</f>
        <v/>
      </c>
      <c r="B81" s="70">
        <f>IF($N81="","",IF($O81="Sub","     ↳ "&amp;INDEX('Cronograma R. Financiero'!$C$5:$C$1000,$N81),INDEX('Cronograma R. Financiero'!$B$5:$B$1000,$N81)&amp;""))</f>
        <v/>
      </c>
      <c r="C81" s="70">
        <f>IF($N81="","",INDEX('Cronograma R. Financiero'!$D$5:$D$1000,$N81)&amp;"")</f>
        <v/>
      </c>
      <c r="D81" s="76">
        <f>IF($N81="","",IF(INDEX('Cronograma R. Financiero'!$E$5:$E$1000,$N81)="","",INDEX('Cronograma R. Financiero'!$E$5:$E$1000,$N81)))</f>
        <v/>
      </c>
      <c r="E81" s="76">
        <f>IF($N81="","",IF(INDEX('Cronograma R. Financiero'!$F$5:$F$1000,$N81)="","",INDEX('Cronograma R. Financiero'!$F$5:$F$1000,$N81)))</f>
        <v/>
      </c>
      <c r="F81" s="61">
        <f>IF($N81="","",IF(NOT(ISNUMBER($E81)),"",IF($E81&lt;InicioCiclo,"Antes del ciclo",IF($E81&gt;=InicioCiclo+28,"Después del ciclo","Semana "&amp;(INT(($E81-InicioCiclo)/7)+1)))))</f>
        <v/>
      </c>
      <c r="G81" s="67">
        <f>IF($N81="","",IF($P81&gt;0,IF(1&lt;=SemanaActual,INDEX('Cronograma R. Financiero'!$Y$5:$Y$1000,$N81),""),IF(INDEX('Cronograma R. Financiero'!$H$5:$H$1000,$N81)="","",INDEX('Cronograma R. Financiero'!$H$5:$H$1000,$N81))))</f>
        <v/>
      </c>
      <c r="H81" s="67">
        <f>IF($N81="","",IF($P81&gt;0,IF(2&lt;=SemanaActual,INDEX('Cronograma R. Financiero'!$Z$5:$Z$1000,$N81),""),IF(INDEX('Cronograma R. Financiero'!$I$5:$I$1000,$N81)="","",INDEX('Cronograma R. Financiero'!$I$5:$I$1000,$N81))))</f>
        <v/>
      </c>
      <c r="I81" s="67">
        <f>IF($N81="","",IF($P81&gt;0,IF(3&lt;=SemanaActual,INDEX('Cronograma R. Financiero'!$AA$5:$AA$1000,$N81),""),IF(INDEX('Cronograma R. Financiero'!$J$5:$J$1000,$N81)="","",INDEX('Cronograma R. Financiero'!$J$5:$J$1000,$N81))))</f>
        <v/>
      </c>
      <c r="J81" s="67">
        <f>IF($N81="","",IF($P81&gt;0,IF(4&lt;=SemanaActual,INDEX('Cronograma R. Financiero'!$AB$5:$AB$1000,$N81),""),IF(INDEX('Cronograma R. Financiero'!$K$5:$K$1000,$N81)="","",INDEX('Cronograma R. Financiero'!$K$5:$K$1000,$N81))))</f>
        <v/>
      </c>
      <c r="K81" s="67">
        <f>IF($N81="","",INDEX('Cronograma R. Financiero'!$L$5:$L$1000,$N81))</f>
        <v/>
      </c>
      <c r="L81" s="61">
        <f>IF($N81="","",IF(N($K81)&gt;=1,"Completado",IF(AND(ISNUMBER($E81),$E81&lt;FechaRef),"Vencida",IF(N($K81)&gt;0,"En curso","Pendiente"))))</f>
        <v/>
      </c>
      <c r="M81" s="70">
        <f>IF($N81="","",INDEX('Cronograma R. Financiero'!$N$5:$N$1000,$N81)&amp;"")</f>
        <v/>
      </c>
      <c r="N81">
        <f>IFERROR(MATCH(ROW()-4,rOrden_RF,0),"")</f>
        <v/>
      </c>
      <c r="O81">
        <f>IF($N81="","",INDEX('Cronograma R. Financiero'!$S$5:$S$1000,$N81))</f>
        <v/>
      </c>
      <c r="P81">
        <f>IF($N81="","",N(INDEX('Cronograma R. Financiero'!$T$5:$T$1000,$N81)))</f>
        <v/>
      </c>
    </row>
    <row r="82">
      <c r="A82" s="61">
        <f>IF($N82="","",INDEX('Cronograma R. Financiero'!$A$5:$A$1000,$N82))</f>
        <v/>
      </c>
      <c r="B82" s="70">
        <f>IF($N82="","",IF($O82="Sub","     ↳ "&amp;INDEX('Cronograma R. Financiero'!$C$5:$C$1000,$N82),INDEX('Cronograma R. Financiero'!$B$5:$B$1000,$N82)&amp;""))</f>
        <v/>
      </c>
      <c r="C82" s="70">
        <f>IF($N82="","",INDEX('Cronograma R. Financiero'!$D$5:$D$1000,$N82)&amp;"")</f>
        <v/>
      </c>
      <c r="D82" s="76">
        <f>IF($N82="","",IF(INDEX('Cronograma R. Financiero'!$E$5:$E$1000,$N82)="","",INDEX('Cronograma R. Financiero'!$E$5:$E$1000,$N82)))</f>
        <v/>
      </c>
      <c r="E82" s="76">
        <f>IF($N82="","",IF(INDEX('Cronograma R. Financiero'!$F$5:$F$1000,$N82)="","",INDEX('Cronograma R. Financiero'!$F$5:$F$1000,$N82)))</f>
        <v/>
      </c>
      <c r="F82" s="61">
        <f>IF($N82="","",IF(NOT(ISNUMBER($E82)),"",IF($E82&lt;InicioCiclo,"Antes del ciclo",IF($E82&gt;=InicioCiclo+28,"Después del ciclo","Semana "&amp;(INT(($E82-InicioCiclo)/7)+1)))))</f>
        <v/>
      </c>
      <c r="G82" s="67">
        <f>IF($N82="","",IF($P82&gt;0,IF(1&lt;=SemanaActual,INDEX('Cronograma R. Financiero'!$Y$5:$Y$1000,$N82),""),IF(INDEX('Cronograma R. Financiero'!$H$5:$H$1000,$N82)="","",INDEX('Cronograma R. Financiero'!$H$5:$H$1000,$N82))))</f>
        <v/>
      </c>
      <c r="H82" s="67">
        <f>IF($N82="","",IF($P82&gt;0,IF(2&lt;=SemanaActual,INDEX('Cronograma R. Financiero'!$Z$5:$Z$1000,$N82),""),IF(INDEX('Cronograma R. Financiero'!$I$5:$I$1000,$N82)="","",INDEX('Cronograma R. Financiero'!$I$5:$I$1000,$N82))))</f>
        <v/>
      </c>
      <c r="I82" s="67">
        <f>IF($N82="","",IF($P82&gt;0,IF(3&lt;=SemanaActual,INDEX('Cronograma R. Financiero'!$AA$5:$AA$1000,$N82),""),IF(INDEX('Cronograma R. Financiero'!$J$5:$J$1000,$N82)="","",INDEX('Cronograma R. Financiero'!$J$5:$J$1000,$N82))))</f>
        <v/>
      </c>
      <c r="J82" s="67">
        <f>IF($N82="","",IF($P82&gt;0,IF(4&lt;=SemanaActual,INDEX('Cronograma R. Financiero'!$AB$5:$AB$1000,$N82),""),IF(INDEX('Cronograma R. Financiero'!$K$5:$K$1000,$N82)="","",INDEX('Cronograma R. Financiero'!$K$5:$K$1000,$N82))))</f>
        <v/>
      </c>
      <c r="K82" s="67">
        <f>IF($N82="","",INDEX('Cronograma R. Financiero'!$L$5:$L$1000,$N82))</f>
        <v/>
      </c>
      <c r="L82" s="61">
        <f>IF($N82="","",IF(N($K82)&gt;=1,"Completado",IF(AND(ISNUMBER($E82),$E82&lt;FechaRef),"Vencida",IF(N($K82)&gt;0,"En curso","Pendiente"))))</f>
        <v/>
      </c>
      <c r="M82" s="70">
        <f>IF($N82="","",INDEX('Cronograma R. Financiero'!$N$5:$N$1000,$N82)&amp;"")</f>
        <v/>
      </c>
      <c r="N82">
        <f>IFERROR(MATCH(ROW()-4,rOrden_RF,0),"")</f>
        <v/>
      </c>
      <c r="O82">
        <f>IF($N82="","",INDEX('Cronograma R. Financiero'!$S$5:$S$1000,$N82))</f>
        <v/>
      </c>
      <c r="P82">
        <f>IF($N82="","",N(INDEX('Cronograma R. Financiero'!$T$5:$T$1000,$N82)))</f>
        <v/>
      </c>
    </row>
    <row r="83">
      <c r="A83" s="61">
        <f>IF($N83="","",INDEX('Cronograma R. Financiero'!$A$5:$A$1000,$N83))</f>
        <v/>
      </c>
      <c r="B83" s="70">
        <f>IF($N83="","",IF($O83="Sub","     ↳ "&amp;INDEX('Cronograma R. Financiero'!$C$5:$C$1000,$N83),INDEX('Cronograma R. Financiero'!$B$5:$B$1000,$N83)&amp;""))</f>
        <v/>
      </c>
      <c r="C83" s="70">
        <f>IF($N83="","",INDEX('Cronograma R. Financiero'!$D$5:$D$1000,$N83)&amp;"")</f>
        <v/>
      </c>
      <c r="D83" s="76">
        <f>IF($N83="","",IF(INDEX('Cronograma R. Financiero'!$E$5:$E$1000,$N83)="","",INDEX('Cronograma R. Financiero'!$E$5:$E$1000,$N83)))</f>
        <v/>
      </c>
      <c r="E83" s="76">
        <f>IF($N83="","",IF(INDEX('Cronograma R. Financiero'!$F$5:$F$1000,$N83)="","",INDEX('Cronograma R. Financiero'!$F$5:$F$1000,$N83)))</f>
        <v/>
      </c>
      <c r="F83" s="61">
        <f>IF($N83="","",IF(NOT(ISNUMBER($E83)),"",IF($E83&lt;InicioCiclo,"Antes del ciclo",IF($E83&gt;=InicioCiclo+28,"Después del ciclo","Semana "&amp;(INT(($E83-InicioCiclo)/7)+1)))))</f>
        <v/>
      </c>
      <c r="G83" s="67">
        <f>IF($N83="","",IF($P83&gt;0,IF(1&lt;=SemanaActual,INDEX('Cronograma R. Financiero'!$Y$5:$Y$1000,$N83),""),IF(INDEX('Cronograma R. Financiero'!$H$5:$H$1000,$N83)="","",INDEX('Cronograma R. Financiero'!$H$5:$H$1000,$N83))))</f>
        <v/>
      </c>
      <c r="H83" s="67">
        <f>IF($N83="","",IF($P83&gt;0,IF(2&lt;=SemanaActual,INDEX('Cronograma R. Financiero'!$Z$5:$Z$1000,$N83),""),IF(INDEX('Cronograma R. Financiero'!$I$5:$I$1000,$N83)="","",INDEX('Cronograma R. Financiero'!$I$5:$I$1000,$N83))))</f>
        <v/>
      </c>
      <c r="I83" s="67">
        <f>IF($N83="","",IF($P83&gt;0,IF(3&lt;=SemanaActual,INDEX('Cronograma R. Financiero'!$AA$5:$AA$1000,$N83),""),IF(INDEX('Cronograma R. Financiero'!$J$5:$J$1000,$N83)="","",INDEX('Cronograma R. Financiero'!$J$5:$J$1000,$N83))))</f>
        <v/>
      </c>
      <c r="J83" s="67">
        <f>IF($N83="","",IF($P83&gt;0,IF(4&lt;=SemanaActual,INDEX('Cronograma R. Financiero'!$AB$5:$AB$1000,$N83),""),IF(INDEX('Cronograma R. Financiero'!$K$5:$K$1000,$N83)="","",INDEX('Cronograma R. Financiero'!$K$5:$K$1000,$N83))))</f>
        <v/>
      </c>
      <c r="K83" s="67">
        <f>IF($N83="","",INDEX('Cronograma R. Financiero'!$L$5:$L$1000,$N83))</f>
        <v/>
      </c>
      <c r="L83" s="61">
        <f>IF($N83="","",IF(N($K83)&gt;=1,"Completado",IF(AND(ISNUMBER($E83),$E83&lt;FechaRef),"Vencida",IF(N($K83)&gt;0,"En curso","Pendiente"))))</f>
        <v/>
      </c>
      <c r="M83" s="70">
        <f>IF($N83="","",INDEX('Cronograma R. Financiero'!$N$5:$N$1000,$N83)&amp;"")</f>
        <v/>
      </c>
      <c r="N83">
        <f>IFERROR(MATCH(ROW()-4,rOrden_RF,0),"")</f>
        <v/>
      </c>
      <c r="O83">
        <f>IF($N83="","",INDEX('Cronograma R. Financiero'!$S$5:$S$1000,$N83))</f>
        <v/>
      </c>
      <c r="P83">
        <f>IF($N83="","",N(INDEX('Cronograma R. Financiero'!$T$5:$T$1000,$N83)))</f>
        <v/>
      </c>
    </row>
    <row r="84">
      <c r="A84" s="61">
        <f>IF($N84="","",INDEX('Cronograma R. Financiero'!$A$5:$A$1000,$N84))</f>
        <v/>
      </c>
      <c r="B84" s="70">
        <f>IF($N84="","",IF($O84="Sub","     ↳ "&amp;INDEX('Cronograma R. Financiero'!$C$5:$C$1000,$N84),INDEX('Cronograma R. Financiero'!$B$5:$B$1000,$N84)&amp;""))</f>
        <v/>
      </c>
      <c r="C84" s="70">
        <f>IF($N84="","",INDEX('Cronograma R. Financiero'!$D$5:$D$1000,$N84)&amp;"")</f>
        <v/>
      </c>
      <c r="D84" s="76">
        <f>IF($N84="","",IF(INDEX('Cronograma R. Financiero'!$E$5:$E$1000,$N84)="","",INDEX('Cronograma R. Financiero'!$E$5:$E$1000,$N84)))</f>
        <v/>
      </c>
      <c r="E84" s="76">
        <f>IF($N84="","",IF(INDEX('Cronograma R. Financiero'!$F$5:$F$1000,$N84)="","",INDEX('Cronograma R. Financiero'!$F$5:$F$1000,$N84)))</f>
        <v/>
      </c>
      <c r="F84" s="61">
        <f>IF($N84="","",IF(NOT(ISNUMBER($E84)),"",IF($E84&lt;InicioCiclo,"Antes del ciclo",IF($E84&gt;=InicioCiclo+28,"Después del ciclo","Semana "&amp;(INT(($E84-InicioCiclo)/7)+1)))))</f>
        <v/>
      </c>
      <c r="G84" s="67">
        <f>IF($N84="","",IF($P84&gt;0,IF(1&lt;=SemanaActual,INDEX('Cronograma R. Financiero'!$Y$5:$Y$1000,$N84),""),IF(INDEX('Cronograma R. Financiero'!$H$5:$H$1000,$N84)="","",INDEX('Cronograma R. Financiero'!$H$5:$H$1000,$N84))))</f>
        <v/>
      </c>
      <c r="H84" s="67">
        <f>IF($N84="","",IF($P84&gt;0,IF(2&lt;=SemanaActual,INDEX('Cronograma R. Financiero'!$Z$5:$Z$1000,$N84),""),IF(INDEX('Cronograma R. Financiero'!$I$5:$I$1000,$N84)="","",INDEX('Cronograma R. Financiero'!$I$5:$I$1000,$N84))))</f>
        <v/>
      </c>
      <c r="I84" s="67">
        <f>IF($N84="","",IF($P84&gt;0,IF(3&lt;=SemanaActual,INDEX('Cronograma R. Financiero'!$AA$5:$AA$1000,$N84),""),IF(INDEX('Cronograma R. Financiero'!$J$5:$J$1000,$N84)="","",INDEX('Cronograma R. Financiero'!$J$5:$J$1000,$N84))))</f>
        <v/>
      </c>
      <c r="J84" s="67">
        <f>IF($N84="","",IF($P84&gt;0,IF(4&lt;=SemanaActual,INDEX('Cronograma R. Financiero'!$AB$5:$AB$1000,$N84),""),IF(INDEX('Cronograma R. Financiero'!$K$5:$K$1000,$N84)="","",INDEX('Cronograma R. Financiero'!$K$5:$K$1000,$N84))))</f>
        <v/>
      </c>
      <c r="K84" s="67">
        <f>IF($N84="","",INDEX('Cronograma R. Financiero'!$L$5:$L$1000,$N84))</f>
        <v/>
      </c>
      <c r="L84" s="61">
        <f>IF($N84="","",IF(N($K84)&gt;=1,"Completado",IF(AND(ISNUMBER($E84),$E84&lt;FechaRef),"Vencida",IF(N($K84)&gt;0,"En curso","Pendiente"))))</f>
        <v/>
      </c>
      <c r="M84" s="70">
        <f>IF($N84="","",INDEX('Cronograma R. Financiero'!$N$5:$N$1000,$N84)&amp;"")</f>
        <v/>
      </c>
      <c r="N84">
        <f>IFERROR(MATCH(ROW()-4,rOrden_RF,0),"")</f>
        <v/>
      </c>
      <c r="O84">
        <f>IF($N84="","",INDEX('Cronograma R. Financiero'!$S$5:$S$1000,$N84))</f>
        <v/>
      </c>
      <c r="P84">
        <f>IF($N84="","",N(INDEX('Cronograma R. Financiero'!$T$5:$T$1000,$N84)))</f>
        <v/>
      </c>
    </row>
    <row r="85">
      <c r="A85" s="61">
        <f>IF($N85="","",INDEX('Cronograma R. Financiero'!$A$5:$A$1000,$N85))</f>
        <v/>
      </c>
      <c r="B85" s="70">
        <f>IF($N85="","",IF($O85="Sub","     ↳ "&amp;INDEX('Cronograma R. Financiero'!$C$5:$C$1000,$N85),INDEX('Cronograma R. Financiero'!$B$5:$B$1000,$N85)&amp;""))</f>
        <v/>
      </c>
      <c r="C85" s="70">
        <f>IF($N85="","",INDEX('Cronograma R. Financiero'!$D$5:$D$1000,$N85)&amp;"")</f>
        <v/>
      </c>
      <c r="D85" s="76">
        <f>IF($N85="","",IF(INDEX('Cronograma R. Financiero'!$E$5:$E$1000,$N85)="","",INDEX('Cronograma R. Financiero'!$E$5:$E$1000,$N85)))</f>
        <v/>
      </c>
      <c r="E85" s="76">
        <f>IF($N85="","",IF(INDEX('Cronograma R. Financiero'!$F$5:$F$1000,$N85)="","",INDEX('Cronograma R. Financiero'!$F$5:$F$1000,$N85)))</f>
        <v/>
      </c>
      <c r="F85" s="61">
        <f>IF($N85="","",IF(NOT(ISNUMBER($E85)),"",IF($E85&lt;InicioCiclo,"Antes del ciclo",IF($E85&gt;=InicioCiclo+28,"Después del ciclo","Semana "&amp;(INT(($E85-InicioCiclo)/7)+1)))))</f>
        <v/>
      </c>
      <c r="G85" s="67">
        <f>IF($N85="","",IF($P85&gt;0,IF(1&lt;=SemanaActual,INDEX('Cronograma R. Financiero'!$Y$5:$Y$1000,$N85),""),IF(INDEX('Cronograma R. Financiero'!$H$5:$H$1000,$N85)="","",INDEX('Cronograma R. Financiero'!$H$5:$H$1000,$N85))))</f>
        <v/>
      </c>
      <c r="H85" s="67">
        <f>IF($N85="","",IF($P85&gt;0,IF(2&lt;=SemanaActual,INDEX('Cronograma R. Financiero'!$Z$5:$Z$1000,$N85),""),IF(INDEX('Cronograma R. Financiero'!$I$5:$I$1000,$N85)="","",INDEX('Cronograma R. Financiero'!$I$5:$I$1000,$N85))))</f>
        <v/>
      </c>
      <c r="I85" s="67">
        <f>IF($N85="","",IF($P85&gt;0,IF(3&lt;=SemanaActual,INDEX('Cronograma R. Financiero'!$AA$5:$AA$1000,$N85),""),IF(INDEX('Cronograma R. Financiero'!$J$5:$J$1000,$N85)="","",INDEX('Cronograma R. Financiero'!$J$5:$J$1000,$N85))))</f>
        <v/>
      </c>
      <c r="J85" s="67">
        <f>IF($N85="","",IF($P85&gt;0,IF(4&lt;=SemanaActual,INDEX('Cronograma R. Financiero'!$AB$5:$AB$1000,$N85),""),IF(INDEX('Cronograma R. Financiero'!$K$5:$K$1000,$N85)="","",INDEX('Cronograma R. Financiero'!$K$5:$K$1000,$N85))))</f>
        <v/>
      </c>
      <c r="K85" s="67">
        <f>IF($N85="","",INDEX('Cronograma R. Financiero'!$L$5:$L$1000,$N85))</f>
        <v/>
      </c>
      <c r="L85" s="61">
        <f>IF($N85="","",IF(N($K85)&gt;=1,"Completado",IF(AND(ISNUMBER($E85),$E85&lt;FechaRef),"Vencida",IF(N($K85)&gt;0,"En curso","Pendiente"))))</f>
        <v/>
      </c>
      <c r="M85" s="70">
        <f>IF($N85="","",INDEX('Cronograma R. Financiero'!$N$5:$N$1000,$N85)&amp;"")</f>
        <v/>
      </c>
      <c r="N85">
        <f>IFERROR(MATCH(ROW()-4,rOrden_RF,0),"")</f>
        <v/>
      </c>
      <c r="O85">
        <f>IF($N85="","",INDEX('Cronograma R. Financiero'!$S$5:$S$1000,$N85))</f>
        <v/>
      </c>
      <c r="P85">
        <f>IF($N85="","",N(INDEX('Cronograma R. Financiero'!$T$5:$T$1000,$N85)))</f>
        <v/>
      </c>
    </row>
    <row r="86">
      <c r="A86" s="61">
        <f>IF($N86="","",INDEX('Cronograma R. Financiero'!$A$5:$A$1000,$N86))</f>
        <v/>
      </c>
      <c r="B86" s="70">
        <f>IF($N86="","",IF($O86="Sub","     ↳ "&amp;INDEX('Cronograma R. Financiero'!$C$5:$C$1000,$N86),INDEX('Cronograma R. Financiero'!$B$5:$B$1000,$N86)&amp;""))</f>
        <v/>
      </c>
      <c r="C86" s="70">
        <f>IF($N86="","",INDEX('Cronograma R. Financiero'!$D$5:$D$1000,$N86)&amp;"")</f>
        <v/>
      </c>
      <c r="D86" s="76">
        <f>IF($N86="","",IF(INDEX('Cronograma R. Financiero'!$E$5:$E$1000,$N86)="","",INDEX('Cronograma R. Financiero'!$E$5:$E$1000,$N86)))</f>
        <v/>
      </c>
      <c r="E86" s="76">
        <f>IF($N86="","",IF(INDEX('Cronograma R. Financiero'!$F$5:$F$1000,$N86)="","",INDEX('Cronograma R. Financiero'!$F$5:$F$1000,$N86)))</f>
        <v/>
      </c>
      <c r="F86" s="61">
        <f>IF($N86="","",IF(NOT(ISNUMBER($E86)),"",IF($E86&lt;InicioCiclo,"Antes del ciclo",IF($E86&gt;=InicioCiclo+28,"Después del ciclo","Semana "&amp;(INT(($E86-InicioCiclo)/7)+1)))))</f>
        <v/>
      </c>
      <c r="G86" s="67">
        <f>IF($N86="","",IF($P86&gt;0,IF(1&lt;=SemanaActual,INDEX('Cronograma R. Financiero'!$Y$5:$Y$1000,$N86),""),IF(INDEX('Cronograma R. Financiero'!$H$5:$H$1000,$N86)="","",INDEX('Cronograma R. Financiero'!$H$5:$H$1000,$N86))))</f>
        <v/>
      </c>
      <c r="H86" s="67">
        <f>IF($N86="","",IF($P86&gt;0,IF(2&lt;=SemanaActual,INDEX('Cronograma R. Financiero'!$Z$5:$Z$1000,$N86),""),IF(INDEX('Cronograma R. Financiero'!$I$5:$I$1000,$N86)="","",INDEX('Cronograma R. Financiero'!$I$5:$I$1000,$N86))))</f>
        <v/>
      </c>
      <c r="I86" s="67">
        <f>IF($N86="","",IF($P86&gt;0,IF(3&lt;=SemanaActual,INDEX('Cronograma R. Financiero'!$AA$5:$AA$1000,$N86),""),IF(INDEX('Cronograma R. Financiero'!$J$5:$J$1000,$N86)="","",INDEX('Cronograma R. Financiero'!$J$5:$J$1000,$N86))))</f>
        <v/>
      </c>
      <c r="J86" s="67">
        <f>IF($N86="","",IF($P86&gt;0,IF(4&lt;=SemanaActual,INDEX('Cronograma R. Financiero'!$AB$5:$AB$1000,$N86),""),IF(INDEX('Cronograma R. Financiero'!$K$5:$K$1000,$N86)="","",INDEX('Cronograma R. Financiero'!$K$5:$K$1000,$N86))))</f>
        <v/>
      </c>
      <c r="K86" s="67">
        <f>IF($N86="","",INDEX('Cronograma R. Financiero'!$L$5:$L$1000,$N86))</f>
        <v/>
      </c>
      <c r="L86" s="61">
        <f>IF($N86="","",IF(N($K86)&gt;=1,"Completado",IF(AND(ISNUMBER($E86),$E86&lt;FechaRef),"Vencida",IF(N($K86)&gt;0,"En curso","Pendiente"))))</f>
        <v/>
      </c>
      <c r="M86" s="70">
        <f>IF($N86="","",INDEX('Cronograma R. Financiero'!$N$5:$N$1000,$N86)&amp;"")</f>
        <v/>
      </c>
      <c r="N86">
        <f>IFERROR(MATCH(ROW()-4,rOrden_RF,0),"")</f>
        <v/>
      </c>
      <c r="O86">
        <f>IF($N86="","",INDEX('Cronograma R. Financiero'!$S$5:$S$1000,$N86))</f>
        <v/>
      </c>
      <c r="P86">
        <f>IF($N86="","",N(INDEX('Cronograma R. Financiero'!$T$5:$T$1000,$N86)))</f>
        <v/>
      </c>
    </row>
    <row r="87">
      <c r="A87" s="61">
        <f>IF($N87="","",INDEX('Cronograma R. Financiero'!$A$5:$A$1000,$N87))</f>
        <v/>
      </c>
      <c r="B87" s="70">
        <f>IF($N87="","",IF($O87="Sub","     ↳ "&amp;INDEX('Cronograma R. Financiero'!$C$5:$C$1000,$N87),INDEX('Cronograma R. Financiero'!$B$5:$B$1000,$N87)&amp;""))</f>
        <v/>
      </c>
      <c r="C87" s="70">
        <f>IF($N87="","",INDEX('Cronograma R. Financiero'!$D$5:$D$1000,$N87)&amp;"")</f>
        <v/>
      </c>
      <c r="D87" s="76">
        <f>IF($N87="","",IF(INDEX('Cronograma R. Financiero'!$E$5:$E$1000,$N87)="","",INDEX('Cronograma R. Financiero'!$E$5:$E$1000,$N87)))</f>
        <v/>
      </c>
      <c r="E87" s="76">
        <f>IF($N87="","",IF(INDEX('Cronograma R. Financiero'!$F$5:$F$1000,$N87)="","",INDEX('Cronograma R. Financiero'!$F$5:$F$1000,$N87)))</f>
        <v/>
      </c>
      <c r="F87" s="61">
        <f>IF($N87="","",IF(NOT(ISNUMBER($E87)),"",IF($E87&lt;InicioCiclo,"Antes del ciclo",IF($E87&gt;=InicioCiclo+28,"Después del ciclo","Semana "&amp;(INT(($E87-InicioCiclo)/7)+1)))))</f>
        <v/>
      </c>
      <c r="G87" s="67">
        <f>IF($N87="","",IF($P87&gt;0,IF(1&lt;=SemanaActual,INDEX('Cronograma R. Financiero'!$Y$5:$Y$1000,$N87),""),IF(INDEX('Cronograma R. Financiero'!$H$5:$H$1000,$N87)="","",INDEX('Cronograma R. Financiero'!$H$5:$H$1000,$N87))))</f>
        <v/>
      </c>
      <c r="H87" s="67">
        <f>IF($N87="","",IF($P87&gt;0,IF(2&lt;=SemanaActual,INDEX('Cronograma R. Financiero'!$Z$5:$Z$1000,$N87),""),IF(INDEX('Cronograma R. Financiero'!$I$5:$I$1000,$N87)="","",INDEX('Cronograma R. Financiero'!$I$5:$I$1000,$N87))))</f>
        <v/>
      </c>
      <c r="I87" s="67">
        <f>IF($N87="","",IF($P87&gt;0,IF(3&lt;=SemanaActual,INDEX('Cronograma R. Financiero'!$AA$5:$AA$1000,$N87),""),IF(INDEX('Cronograma R. Financiero'!$J$5:$J$1000,$N87)="","",INDEX('Cronograma R. Financiero'!$J$5:$J$1000,$N87))))</f>
        <v/>
      </c>
      <c r="J87" s="67">
        <f>IF($N87="","",IF($P87&gt;0,IF(4&lt;=SemanaActual,INDEX('Cronograma R. Financiero'!$AB$5:$AB$1000,$N87),""),IF(INDEX('Cronograma R. Financiero'!$K$5:$K$1000,$N87)="","",INDEX('Cronograma R. Financiero'!$K$5:$K$1000,$N87))))</f>
        <v/>
      </c>
      <c r="K87" s="67">
        <f>IF($N87="","",INDEX('Cronograma R. Financiero'!$L$5:$L$1000,$N87))</f>
        <v/>
      </c>
      <c r="L87" s="61">
        <f>IF($N87="","",IF(N($K87)&gt;=1,"Completado",IF(AND(ISNUMBER($E87),$E87&lt;FechaRef),"Vencida",IF(N($K87)&gt;0,"En curso","Pendiente"))))</f>
        <v/>
      </c>
      <c r="M87" s="70">
        <f>IF($N87="","",INDEX('Cronograma R. Financiero'!$N$5:$N$1000,$N87)&amp;"")</f>
        <v/>
      </c>
      <c r="N87">
        <f>IFERROR(MATCH(ROW()-4,rOrden_RF,0),"")</f>
        <v/>
      </c>
      <c r="O87">
        <f>IF($N87="","",INDEX('Cronograma R. Financiero'!$S$5:$S$1000,$N87))</f>
        <v/>
      </c>
      <c r="P87">
        <f>IF($N87="","",N(INDEX('Cronograma R. Financiero'!$T$5:$T$1000,$N87)))</f>
        <v/>
      </c>
    </row>
    <row r="88">
      <c r="A88" s="61">
        <f>IF($N88="","",INDEX('Cronograma R. Financiero'!$A$5:$A$1000,$N88))</f>
        <v/>
      </c>
      <c r="B88" s="70">
        <f>IF($N88="","",IF($O88="Sub","     ↳ "&amp;INDEX('Cronograma R. Financiero'!$C$5:$C$1000,$N88),INDEX('Cronograma R. Financiero'!$B$5:$B$1000,$N88)&amp;""))</f>
        <v/>
      </c>
      <c r="C88" s="70">
        <f>IF($N88="","",INDEX('Cronograma R. Financiero'!$D$5:$D$1000,$N88)&amp;"")</f>
        <v/>
      </c>
      <c r="D88" s="76">
        <f>IF($N88="","",IF(INDEX('Cronograma R. Financiero'!$E$5:$E$1000,$N88)="","",INDEX('Cronograma R. Financiero'!$E$5:$E$1000,$N88)))</f>
        <v/>
      </c>
      <c r="E88" s="76">
        <f>IF($N88="","",IF(INDEX('Cronograma R. Financiero'!$F$5:$F$1000,$N88)="","",INDEX('Cronograma R. Financiero'!$F$5:$F$1000,$N88)))</f>
        <v/>
      </c>
      <c r="F88" s="61">
        <f>IF($N88="","",IF(NOT(ISNUMBER($E88)),"",IF($E88&lt;InicioCiclo,"Antes del ciclo",IF($E88&gt;=InicioCiclo+28,"Después del ciclo","Semana "&amp;(INT(($E88-InicioCiclo)/7)+1)))))</f>
        <v/>
      </c>
      <c r="G88" s="67">
        <f>IF($N88="","",IF($P88&gt;0,IF(1&lt;=SemanaActual,INDEX('Cronograma R. Financiero'!$Y$5:$Y$1000,$N88),""),IF(INDEX('Cronograma R. Financiero'!$H$5:$H$1000,$N88)="","",INDEX('Cronograma R. Financiero'!$H$5:$H$1000,$N88))))</f>
        <v/>
      </c>
      <c r="H88" s="67">
        <f>IF($N88="","",IF($P88&gt;0,IF(2&lt;=SemanaActual,INDEX('Cronograma R. Financiero'!$Z$5:$Z$1000,$N88),""),IF(INDEX('Cronograma R. Financiero'!$I$5:$I$1000,$N88)="","",INDEX('Cronograma R. Financiero'!$I$5:$I$1000,$N88))))</f>
        <v/>
      </c>
      <c r="I88" s="67">
        <f>IF($N88="","",IF($P88&gt;0,IF(3&lt;=SemanaActual,INDEX('Cronograma R. Financiero'!$AA$5:$AA$1000,$N88),""),IF(INDEX('Cronograma R. Financiero'!$J$5:$J$1000,$N88)="","",INDEX('Cronograma R. Financiero'!$J$5:$J$1000,$N88))))</f>
        <v/>
      </c>
      <c r="J88" s="67">
        <f>IF($N88="","",IF($P88&gt;0,IF(4&lt;=SemanaActual,INDEX('Cronograma R. Financiero'!$AB$5:$AB$1000,$N88),""),IF(INDEX('Cronograma R. Financiero'!$K$5:$K$1000,$N88)="","",INDEX('Cronograma R. Financiero'!$K$5:$K$1000,$N88))))</f>
        <v/>
      </c>
      <c r="K88" s="67">
        <f>IF($N88="","",INDEX('Cronograma R. Financiero'!$L$5:$L$1000,$N88))</f>
        <v/>
      </c>
      <c r="L88" s="61">
        <f>IF($N88="","",IF(N($K88)&gt;=1,"Completado",IF(AND(ISNUMBER($E88),$E88&lt;FechaRef),"Vencida",IF(N($K88)&gt;0,"En curso","Pendiente"))))</f>
        <v/>
      </c>
      <c r="M88" s="70">
        <f>IF($N88="","",INDEX('Cronograma R. Financiero'!$N$5:$N$1000,$N88)&amp;"")</f>
        <v/>
      </c>
      <c r="N88">
        <f>IFERROR(MATCH(ROW()-4,rOrden_RF,0),"")</f>
        <v/>
      </c>
      <c r="O88">
        <f>IF($N88="","",INDEX('Cronograma R. Financiero'!$S$5:$S$1000,$N88))</f>
        <v/>
      </c>
      <c r="P88">
        <f>IF($N88="","",N(INDEX('Cronograma R. Financiero'!$T$5:$T$1000,$N88)))</f>
        <v/>
      </c>
    </row>
    <row r="89">
      <c r="A89" s="61">
        <f>IF($N89="","",INDEX('Cronograma R. Financiero'!$A$5:$A$1000,$N89))</f>
        <v/>
      </c>
      <c r="B89" s="70">
        <f>IF($N89="","",IF($O89="Sub","     ↳ "&amp;INDEX('Cronograma R. Financiero'!$C$5:$C$1000,$N89),INDEX('Cronograma R. Financiero'!$B$5:$B$1000,$N89)&amp;""))</f>
        <v/>
      </c>
      <c r="C89" s="70">
        <f>IF($N89="","",INDEX('Cronograma R. Financiero'!$D$5:$D$1000,$N89)&amp;"")</f>
        <v/>
      </c>
      <c r="D89" s="76">
        <f>IF($N89="","",IF(INDEX('Cronograma R. Financiero'!$E$5:$E$1000,$N89)="","",INDEX('Cronograma R. Financiero'!$E$5:$E$1000,$N89)))</f>
        <v/>
      </c>
      <c r="E89" s="76">
        <f>IF($N89="","",IF(INDEX('Cronograma R. Financiero'!$F$5:$F$1000,$N89)="","",INDEX('Cronograma R. Financiero'!$F$5:$F$1000,$N89)))</f>
        <v/>
      </c>
      <c r="F89" s="61">
        <f>IF($N89="","",IF(NOT(ISNUMBER($E89)),"",IF($E89&lt;InicioCiclo,"Antes del ciclo",IF($E89&gt;=InicioCiclo+28,"Después del ciclo","Semana "&amp;(INT(($E89-InicioCiclo)/7)+1)))))</f>
        <v/>
      </c>
      <c r="G89" s="67">
        <f>IF($N89="","",IF($P89&gt;0,IF(1&lt;=SemanaActual,INDEX('Cronograma R. Financiero'!$Y$5:$Y$1000,$N89),""),IF(INDEX('Cronograma R. Financiero'!$H$5:$H$1000,$N89)="","",INDEX('Cronograma R. Financiero'!$H$5:$H$1000,$N89))))</f>
        <v/>
      </c>
      <c r="H89" s="67">
        <f>IF($N89="","",IF($P89&gt;0,IF(2&lt;=SemanaActual,INDEX('Cronograma R. Financiero'!$Z$5:$Z$1000,$N89),""),IF(INDEX('Cronograma R. Financiero'!$I$5:$I$1000,$N89)="","",INDEX('Cronograma R. Financiero'!$I$5:$I$1000,$N89))))</f>
        <v/>
      </c>
      <c r="I89" s="67">
        <f>IF($N89="","",IF($P89&gt;0,IF(3&lt;=SemanaActual,INDEX('Cronograma R. Financiero'!$AA$5:$AA$1000,$N89),""),IF(INDEX('Cronograma R. Financiero'!$J$5:$J$1000,$N89)="","",INDEX('Cronograma R. Financiero'!$J$5:$J$1000,$N89))))</f>
        <v/>
      </c>
      <c r="J89" s="67">
        <f>IF($N89="","",IF($P89&gt;0,IF(4&lt;=SemanaActual,INDEX('Cronograma R. Financiero'!$AB$5:$AB$1000,$N89),""),IF(INDEX('Cronograma R. Financiero'!$K$5:$K$1000,$N89)="","",INDEX('Cronograma R. Financiero'!$K$5:$K$1000,$N89))))</f>
        <v/>
      </c>
      <c r="K89" s="67">
        <f>IF($N89="","",INDEX('Cronograma R. Financiero'!$L$5:$L$1000,$N89))</f>
        <v/>
      </c>
      <c r="L89" s="61">
        <f>IF($N89="","",IF(N($K89)&gt;=1,"Completado",IF(AND(ISNUMBER($E89),$E89&lt;FechaRef),"Vencida",IF(N($K89)&gt;0,"En curso","Pendiente"))))</f>
        <v/>
      </c>
      <c r="M89" s="70">
        <f>IF($N89="","",INDEX('Cronograma R. Financiero'!$N$5:$N$1000,$N89)&amp;"")</f>
        <v/>
      </c>
      <c r="N89">
        <f>IFERROR(MATCH(ROW()-4,rOrden_RF,0),"")</f>
        <v/>
      </c>
      <c r="O89">
        <f>IF($N89="","",INDEX('Cronograma R. Financiero'!$S$5:$S$1000,$N89))</f>
        <v/>
      </c>
      <c r="P89">
        <f>IF($N89="","",N(INDEX('Cronograma R. Financiero'!$T$5:$T$1000,$N89)))</f>
        <v/>
      </c>
    </row>
    <row r="90">
      <c r="A90" s="61">
        <f>IF($N90="","",INDEX('Cronograma R. Financiero'!$A$5:$A$1000,$N90))</f>
        <v/>
      </c>
      <c r="B90" s="70">
        <f>IF($N90="","",IF($O90="Sub","     ↳ "&amp;INDEX('Cronograma R. Financiero'!$C$5:$C$1000,$N90),INDEX('Cronograma R. Financiero'!$B$5:$B$1000,$N90)&amp;""))</f>
        <v/>
      </c>
      <c r="C90" s="70">
        <f>IF($N90="","",INDEX('Cronograma R. Financiero'!$D$5:$D$1000,$N90)&amp;"")</f>
        <v/>
      </c>
      <c r="D90" s="76">
        <f>IF($N90="","",IF(INDEX('Cronograma R. Financiero'!$E$5:$E$1000,$N90)="","",INDEX('Cronograma R. Financiero'!$E$5:$E$1000,$N90)))</f>
        <v/>
      </c>
      <c r="E90" s="76">
        <f>IF($N90="","",IF(INDEX('Cronograma R. Financiero'!$F$5:$F$1000,$N90)="","",INDEX('Cronograma R. Financiero'!$F$5:$F$1000,$N90)))</f>
        <v/>
      </c>
      <c r="F90" s="61">
        <f>IF($N90="","",IF(NOT(ISNUMBER($E90)),"",IF($E90&lt;InicioCiclo,"Antes del ciclo",IF($E90&gt;=InicioCiclo+28,"Después del ciclo","Semana "&amp;(INT(($E90-InicioCiclo)/7)+1)))))</f>
        <v/>
      </c>
      <c r="G90" s="67">
        <f>IF($N90="","",IF($P90&gt;0,IF(1&lt;=SemanaActual,INDEX('Cronograma R. Financiero'!$Y$5:$Y$1000,$N90),""),IF(INDEX('Cronograma R. Financiero'!$H$5:$H$1000,$N90)="","",INDEX('Cronograma R. Financiero'!$H$5:$H$1000,$N90))))</f>
        <v/>
      </c>
      <c r="H90" s="67">
        <f>IF($N90="","",IF($P90&gt;0,IF(2&lt;=SemanaActual,INDEX('Cronograma R. Financiero'!$Z$5:$Z$1000,$N90),""),IF(INDEX('Cronograma R. Financiero'!$I$5:$I$1000,$N90)="","",INDEX('Cronograma R. Financiero'!$I$5:$I$1000,$N90))))</f>
        <v/>
      </c>
      <c r="I90" s="67">
        <f>IF($N90="","",IF($P90&gt;0,IF(3&lt;=SemanaActual,INDEX('Cronograma R. Financiero'!$AA$5:$AA$1000,$N90),""),IF(INDEX('Cronograma R. Financiero'!$J$5:$J$1000,$N90)="","",INDEX('Cronograma R. Financiero'!$J$5:$J$1000,$N90))))</f>
        <v/>
      </c>
      <c r="J90" s="67">
        <f>IF($N90="","",IF($P90&gt;0,IF(4&lt;=SemanaActual,INDEX('Cronograma R. Financiero'!$AB$5:$AB$1000,$N90),""),IF(INDEX('Cronograma R. Financiero'!$K$5:$K$1000,$N90)="","",INDEX('Cronograma R. Financiero'!$K$5:$K$1000,$N90))))</f>
        <v/>
      </c>
      <c r="K90" s="67">
        <f>IF($N90="","",INDEX('Cronograma R. Financiero'!$L$5:$L$1000,$N90))</f>
        <v/>
      </c>
      <c r="L90" s="61">
        <f>IF($N90="","",IF(N($K90)&gt;=1,"Completado",IF(AND(ISNUMBER($E90),$E90&lt;FechaRef),"Vencida",IF(N($K90)&gt;0,"En curso","Pendiente"))))</f>
        <v/>
      </c>
      <c r="M90" s="70">
        <f>IF($N90="","",INDEX('Cronograma R. Financiero'!$N$5:$N$1000,$N90)&amp;"")</f>
        <v/>
      </c>
      <c r="N90">
        <f>IFERROR(MATCH(ROW()-4,rOrden_RF,0),"")</f>
        <v/>
      </c>
      <c r="O90">
        <f>IF($N90="","",INDEX('Cronograma R. Financiero'!$S$5:$S$1000,$N90))</f>
        <v/>
      </c>
      <c r="P90">
        <f>IF($N90="","",N(INDEX('Cronograma R. Financiero'!$T$5:$T$1000,$N90)))</f>
        <v/>
      </c>
    </row>
    <row r="91">
      <c r="A91" s="61">
        <f>IF($N91="","",INDEX('Cronograma R. Financiero'!$A$5:$A$1000,$N91))</f>
        <v/>
      </c>
      <c r="B91" s="70">
        <f>IF($N91="","",IF($O91="Sub","     ↳ "&amp;INDEX('Cronograma R. Financiero'!$C$5:$C$1000,$N91),INDEX('Cronograma R. Financiero'!$B$5:$B$1000,$N91)&amp;""))</f>
        <v/>
      </c>
      <c r="C91" s="70">
        <f>IF($N91="","",INDEX('Cronograma R. Financiero'!$D$5:$D$1000,$N91)&amp;"")</f>
        <v/>
      </c>
      <c r="D91" s="76">
        <f>IF($N91="","",IF(INDEX('Cronograma R. Financiero'!$E$5:$E$1000,$N91)="","",INDEX('Cronograma R. Financiero'!$E$5:$E$1000,$N91)))</f>
        <v/>
      </c>
      <c r="E91" s="76">
        <f>IF($N91="","",IF(INDEX('Cronograma R. Financiero'!$F$5:$F$1000,$N91)="","",INDEX('Cronograma R. Financiero'!$F$5:$F$1000,$N91)))</f>
        <v/>
      </c>
      <c r="F91" s="61">
        <f>IF($N91="","",IF(NOT(ISNUMBER($E91)),"",IF($E91&lt;InicioCiclo,"Antes del ciclo",IF($E91&gt;=InicioCiclo+28,"Después del ciclo","Semana "&amp;(INT(($E91-InicioCiclo)/7)+1)))))</f>
        <v/>
      </c>
      <c r="G91" s="67">
        <f>IF($N91="","",IF($P91&gt;0,IF(1&lt;=SemanaActual,INDEX('Cronograma R. Financiero'!$Y$5:$Y$1000,$N91),""),IF(INDEX('Cronograma R. Financiero'!$H$5:$H$1000,$N91)="","",INDEX('Cronograma R. Financiero'!$H$5:$H$1000,$N91))))</f>
        <v/>
      </c>
      <c r="H91" s="67">
        <f>IF($N91="","",IF($P91&gt;0,IF(2&lt;=SemanaActual,INDEX('Cronograma R. Financiero'!$Z$5:$Z$1000,$N91),""),IF(INDEX('Cronograma R. Financiero'!$I$5:$I$1000,$N91)="","",INDEX('Cronograma R. Financiero'!$I$5:$I$1000,$N91))))</f>
        <v/>
      </c>
      <c r="I91" s="67">
        <f>IF($N91="","",IF($P91&gt;0,IF(3&lt;=SemanaActual,INDEX('Cronograma R. Financiero'!$AA$5:$AA$1000,$N91),""),IF(INDEX('Cronograma R. Financiero'!$J$5:$J$1000,$N91)="","",INDEX('Cronograma R. Financiero'!$J$5:$J$1000,$N91))))</f>
        <v/>
      </c>
      <c r="J91" s="67">
        <f>IF($N91="","",IF($P91&gt;0,IF(4&lt;=SemanaActual,INDEX('Cronograma R. Financiero'!$AB$5:$AB$1000,$N91),""),IF(INDEX('Cronograma R. Financiero'!$K$5:$K$1000,$N91)="","",INDEX('Cronograma R. Financiero'!$K$5:$K$1000,$N91))))</f>
        <v/>
      </c>
      <c r="K91" s="67">
        <f>IF($N91="","",INDEX('Cronograma R. Financiero'!$L$5:$L$1000,$N91))</f>
        <v/>
      </c>
      <c r="L91" s="61">
        <f>IF($N91="","",IF(N($K91)&gt;=1,"Completado",IF(AND(ISNUMBER($E91),$E91&lt;FechaRef),"Vencida",IF(N($K91)&gt;0,"En curso","Pendiente"))))</f>
        <v/>
      </c>
      <c r="M91" s="70">
        <f>IF($N91="","",INDEX('Cronograma R. Financiero'!$N$5:$N$1000,$N91)&amp;"")</f>
        <v/>
      </c>
      <c r="N91">
        <f>IFERROR(MATCH(ROW()-4,rOrden_RF,0),"")</f>
        <v/>
      </c>
      <c r="O91">
        <f>IF($N91="","",INDEX('Cronograma R. Financiero'!$S$5:$S$1000,$N91))</f>
        <v/>
      </c>
      <c r="P91">
        <f>IF($N91="","",N(INDEX('Cronograma R. Financiero'!$T$5:$T$1000,$N91)))</f>
        <v/>
      </c>
    </row>
    <row r="92">
      <c r="A92" s="61">
        <f>IF($N92="","",INDEX('Cronograma R. Financiero'!$A$5:$A$1000,$N92))</f>
        <v/>
      </c>
      <c r="B92" s="70">
        <f>IF($N92="","",IF($O92="Sub","     ↳ "&amp;INDEX('Cronograma R. Financiero'!$C$5:$C$1000,$N92),INDEX('Cronograma R. Financiero'!$B$5:$B$1000,$N92)&amp;""))</f>
        <v/>
      </c>
      <c r="C92" s="70">
        <f>IF($N92="","",INDEX('Cronograma R. Financiero'!$D$5:$D$1000,$N92)&amp;"")</f>
        <v/>
      </c>
      <c r="D92" s="76">
        <f>IF($N92="","",IF(INDEX('Cronograma R. Financiero'!$E$5:$E$1000,$N92)="","",INDEX('Cronograma R. Financiero'!$E$5:$E$1000,$N92)))</f>
        <v/>
      </c>
      <c r="E92" s="76">
        <f>IF($N92="","",IF(INDEX('Cronograma R. Financiero'!$F$5:$F$1000,$N92)="","",INDEX('Cronograma R. Financiero'!$F$5:$F$1000,$N92)))</f>
        <v/>
      </c>
      <c r="F92" s="61">
        <f>IF($N92="","",IF(NOT(ISNUMBER($E92)),"",IF($E92&lt;InicioCiclo,"Antes del ciclo",IF($E92&gt;=InicioCiclo+28,"Después del ciclo","Semana "&amp;(INT(($E92-InicioCiclo)/7)+1)))))</f>
        <v/>
      </c>
      <c r="G92" s="67">
        <f>IF($N92="","",IF($P92&gt;0,IF(1&lt;=SemanaActual,INDEX('Cronograma R. Financiero'!$Y$5:$Y$1000,$N92),""),IF(INDEX('Cronograma R. Financiero'!$H$5:$H$1000,$N92)="","",INDEX('Cronograma R. Financiero'!$H$5:$H$1000,$N92))))</f>
        <v/>
      </c>
      <c r="H92" s="67">
        <f>IF($N92="","",IF($P92&gt;0,IF(2&lt;=SemanaActual,INDEX('Cronograma R. Financiero'!$Z$5:$Z$1000,$N92),""),IF(INDEX('Cronograma R. Financiero'!$I$5:$I$1000,$N92)="","",INDEX('Cronograma R. Financiero'!$I$5:$I$1000,$N92))))</f>
        <v/>
      </c>
      <c r="I92" s="67">
        <f>IF($N92="","",IF($P92&gt;0,IF(3&lt;=SemanaActual,INDEX('Cronograma R. Financiero'!$AA$5:$AA$1000,$N92),""),IF(INDEX('Cronograma R. Financiero'!$J$5:$J$1000,$N92)="","",INDEX('Cronograma R. Financiero'!$J$5:$J$1000,$N92))))</f>
        <v/>
      </c>
      <c r="J92" s="67">
        <f>IF($N92="","",IF($P92&gt;0,IF(4&lt;=SemanaActual,INDEX('Cronograma R. Financiero'!$AB$5:$AB$1000,$N92),""),IF(INDEX('Cronograma R. Financiero'!$K$5:$K$1000,$N92)="","",INDEX('Cronograma R. Financiero'!$K$5:$K$1000,$N92))))</f>
        <v/>
      </c>
      <c r="K92" s="67">
        <f>IF($N92="","",INDEX('Cronograma R. Financiero'!$L$5:$L$1000,$N92))</f>
        <v/>
      </c>
      <c r="L92" s="61">
        <f>IF($N92="","",IF(N($K92)&gt;=1,"Completado",IF(AND(ISNUMBER($E92),$E92&lt;FechaRef),"Vencida",IF(N($K92)&gt;0,"En curso","Pendiente"))))</f>
        <v/>
      </c>
      <c r="M92" s="70">
        <f>IF($N92="","",INDEX('Cronograma R. Financiero'!$N$5:$N$1000,$N92)&amp;"")</f>
        <v/>
      </c>
      <c r="N92">
        <f>IFERROR(MATCH(ROW()-4,rOrden_RF,0),"")</f>
        <v/>
      </c>
      <c r="O92">
        <f>IF($N92="","",INDEX('Cronograma R. Financiero'!$S$5:$S$1000,$N92))</f>
        <v/>
      </c>
      <c r="P92">
        <f>IF($N92="","",N(INDEX('Cronograma R. Financiero'!$T$5:$T$1000,$N92)))</f>
        <v/>
      </c>
    </row>
    <row r="93">
      <c r="A93" s="61">
        <f>IF($N93="","",INDEX('Cronograma R. Financiero'!$A$5:$A$1000,$N93))</f>
        <v/>
      </c>
      <c r="B93" s="70">
        <f>IF($N93="","",IF($O93="Sub","     ↳ "&amp;INDEX('Cronograma R. Financiero'!$C$5:$C$1000,$N93),INDEX('Cronograma R. Financiero'!$B$5:$B$1000,$N93)&amp;""))</f>
        <v/>
      </c>
      <c r="C93" s="70">
        <f>IF($N93="","",INDEX('Cronograma R. Financiero'!$D$5:$D$1000,$N93)&amp;"")</f>
        <v/>
      </c>
      <c r="D93" s="76">
        <f>IF($N93="","",IF(INDEX('Cronograma R. Financiero'!$E$5:$E$1000,$N93)="","",INDEX('Cronograma R. Financiero'!$E$5:$E$1000,$N93)))</f>
        <v/>
      </c>
      <c r="E93" s="76">
        <f>IF($N93="","",IF(INDEX('Cronograma R. Financiero'!$F$5:$F$1000,$N93)="","",INDEX('Cronograma R. Financiero'!$F$5:$F$1000,$N93)))</f>
        <v/>
      </c>
      <c r="F93" s="61">
        <f>IF($N93="","",IF(NOT(ISNUMBER($E93)),"",IF($E93&lt;InicioCiclo,"Antes del ciclo",IF($E93&gt;=InicioCiclo+28,"Después del ciclo","Semana "&amp;(INT(($E93-InicioCiclo)/7)+1)))))</f>
        <v/>
      </c>
      <c r="G93" s="67">
        <f>IF($N93="","",IF($P93&gt;0,IF(1&lt;=SemanaActual,INDEX('Cronograma R. Financiero'!$Y$5:$Y$1000,$N93),""),IF(INDEX('Cronograma R. Financiero'!$H$5:$H$1000,$N93)="","",INDEX('Cronograma R. Financiero'!$H$5:$H$1000,$N93))))</f>
        <v/>
      </c>
      <c r="H93" s="67">
        <f>IF($N93="","",IF($P93&gt;0,IF(2&lt;=SemanaActual,INDEX('Cronograma R. Financiero'!$Z$5:$Z$1000,$N93),""),IF(INDEX('Cronograma R. Financiero'!$I$5:$I$1000,$N93)="","",INDEX('Cronograma R. Financiero'!$I$5:$I$1000,$N93))))</f>
        <v/>
      </c>
      <c r="I93" s="67">
        <f>IF($N93="","",IF($P93&gt;0,IF(3&lt;=SemanaActual,INDEX('Cronograma R. Financiero'!$AA$5:$AA$1000,$N93),""),IF(INDEX('Cronograma R. Financiero'!$J$5:$J$1000,$N93)="","",INDEX('Cronograma R. Financiero'!$J$5:$J$1000,$N93))))</f>
        <v/>
      </c>
      <c r="J93" s="67">
        <f>IF($N93="","",IF($P93&gt;0,IF(4&lt;=SemanaActual,INDEX('Cronograma R. Financiero'!$AB$5:$AB$1000,$N93),""),IF(INDEX('Cronograma R. Financiero'!$K$5:$K$1000,$N93)="","",INDEX('Cronograma R. Financiero'!$K$5:$K$1000,$N93))))</f>
        <v/>
      </c>
      <c r="K93" s="67">
        <f>IF($N93="","",INDEX('Cronograma R. Financiero'!$L$5:$L$1000,$N93))</f>
        <v/>
      </c>
      <c r="L93" s="61">
        <f>IF($N93="","",IF(N($K93)&gt;=1,"Completado",IF(AND(ISNUMBER($E93),$E93&lt;FechaRef),"Vencida",IF(N($K93)&gt;0,"En curso","Pendiente"))))</f>
        <v/>
      </c>
      <c r="M93" s="70">
        <f>IF($N93="","",INDEX('Cronograma R. Financiero'!$N$5:$N$1000,$N93)&amp;"")</f>
        <v/>
      </c>
      <c r="N93">
        <f>IFERROR(MATCH(ROW()-4,rOrden_RF,0),"")</f>
        <v/>
      </c>
      <c r="O93">
        <f>IF($N93="","",INDEX('Cronograma R. Financiero'!$S$5:$S$1000,$N93))</f>
        <v/>
      </c>
      <c r="P93">
        <f>IF($N93="","",N(INDEX('Cronograma R. Financiero'!$T$5:$T$1000,$N93)))</f>
        <v/>
      </c>
    </row>
    <row r="94">
      <c r="A94" s="61">
        <f>IF($N94="","",INDEX('Cronograma R. Financiero'!$A$5:$A$1000,$N94))</f>
        <v/>
      </c>
      <c r="B94" s="70">
        <f>IF($N94="","",IF($O94="Sub","     ↳ "&amp;INDEX('Cronograma R. Financiero'!$C$5:$C$1000,$N94),INDEX('Cronograma R. Financiero'!$B$5:$B$1000,$N94)&amp;""))</f>
        <v/>
      </c>
      <c r="C94" s="70">
        <f>IF($N94="","",INDEX('Cronograma R. Financiero'!$D$5:$D$1000,$N94)&amp;"")</f>
        <v/>
      </c>
      <c r="D94" s="76">
        <f>IF($N94="","",IF(INDEX('Cronograma R. Financiero'!$E$5:$E$1000,$N94)="","",INDEX('Cronograma R. Financiero'!$E$5:$E$1000,$N94)))</f>
        <v/>
      </c>
      <c r="E94" s="76">
        <f>IF($N94="","",IF(INDEX('Cronograma R. Financiero'!$F$5:$F$1000,$N94)="","",INDEX('Cronograma R. Financiero'!$F$5:$F$1000,$N94)))</f>
        <v/>
      </c>
      <c r="F94" s="61">
        <f>IF($N94="","",IF(NOT(ISNUMBER($E94)),"",IF($E94&lt;InicioCiclo,"Antes del ciclo",IF($E94&gt;=InicioCiclo+28,"Después del ciclo","Semana "&amp;(INT(($E94-InicioCiclo)/7)+1)))))</f>
        <v/>
      </c>
      <c r="G94" s="67">
        <f>IF($N94="","",IF($P94&gt;0,IF(1&lt;=SemanaActual,INDEX('Cronograma R. Financiero'!$Y$5:$Y$1000,$N94),""),IF(INDEX('Cronograma R. Financiero'!$H$5:$H$1000,$N94)="","",INDEX('Cronograma R. Financiero'!$H$5:$H$1000,$N94))))</f>
        <v/>
      </c>
      <c r="H94" s="67">
        <f>IF($N94="","",IF($P94&gt;0,IF(2&lt;=SemanaActual,INDEX('Cronograma R. Financiero'!$Z$5:$Z$1000,$N94),""),IF(INDEX('Cronograma R. Financiero'!$I$5:$I$1000,$N94)="","",INDEX('Cronograma R. Financiero'!$I$5:$I$1000,$N94))))</f>
        <v/>
      </c>
      <c r="I94" s="67">
        <f>IF($N94="","",IF($P94&gt;0,IF(3&lt;=SemanaActual,INDEX('Cronograma R. Financiero'!$AA$5:$AA$1000,$N94),""),IF(INDEX('Cronograma R. Financiero'!$J$5:$J$1000,$N94)="","",INDEX('Cronograma R. Financiero'!$J$5:$J$1000,$N94))))</f>
        <v/>
      </c>
      <c r="J94" s="67">
        <f>IF($N94="","",IF($P94&gt;0,IF(4&lt;=SemanaActual,INDEX('Cronograma R. Financiero'!$AB$5:$AB$1000,$N94),""),IF(INDEX('Cronograma R. Financiero'!$K$5:$K$1000,$N94)="","",INDEX('Cronograma R. Financiero'!$K$5:$K$1000,$N94))))</f>
        <v/>
      </c>
      <c r="K94" s="67">
        <f>IF($N94="","",INDEX('Cronograma R. Financiero'!$L$5:$L$1000,$N94))</f>
        <v/>
      </c>
      <c r="L94" s="61">
        <f>IF($N94="","",IF(N($K94)&gt;=1,"Completado",IF(AND(ISNUMBER($E94),$E94&lt;FechaRef),"Vencida",IF(N($K94)&gt;0,"En curso","Pendiente"))))</f>
        <v/>
      </c>
      <c r="M94" s="70">
        <f>IF($N94="","",INDEX('Cronograma R. Financiero'!$N$5:$N$1000,$N94)&amp;"")</f>
        <v/>
      </c>
      <c r="N94">
        <f>IFERROR(MATCH(ROW()-4,rOrden_RF,0),"")</f>
        <v/>
      </c>
      <c r="O94">
        <f>IF($N94="","",INDEX('Cronograma R. Financiero'!$S$5:$S$1000,$N94))</f>
        <v/>
      </c>
      <c r="P94">
        <f>IF($N94="","",N(INDEX('Cronograma R. Financiero'!$T$5:$T$1000,$N94)))</f>
        <v/>
      </c>
    </row>
    <row r="95">
      <c r="A95" s="61">
        <f>IF($N95="","",INDEX('Cronograma R. Financiero'!$A$5:$A$1000,$N95))</f>
        <v/>
      </c>
      <c r="B95" s="70">
        <f>IF($N95="","",IF($O95="Sub","     ↳ "&amp;INDEX('Cronograma R. Financiero'!$C$5:$C$1000,$N95),INDEX('Cronograma R. Financiero'!$B$5:$B$1000,$N95)&amp;""))</f>
        <v/>
      </c>
      <c r="C95" s="70">
        <f>IF($N95="","",INDEX('Cronograma R. Financiero'!$D$5:$D$1000,$N95)&amp;"")</f>
        <v/>
      </c>
      <c r="D95" s="76">
        <f>IF($N95="","",IF(INDEX('Cronograma R. Financiero'!$E$5:$E$1000,$N95)="","",INDEX('Cronograma R. Financiero'!$E$5:$E$1000,$N95)))</f>
        <v/>
      </c>
      <c r="E95" s="76">
        <f>IF($N95="","",IF(INDEX('Cronograma R. Financiero'!$F$5:$F$1000,$N95)="","",INDEX('Cronograma R. Financiero'!$F$5:$F$1000,$N95)))</f>
        <v/>
      </c>
      <c r="F95" s="61">
        <f>IF($N95="","",IF(NOT(ISNUMBER($E95)),"",IF($E95&lt;InicioCiclo,"Antes del ciclo",IF($E95&gt;=InicioCiclo+28,"Después del ciclo","Semana "&amp;(INT(($E95-InicioCiclo)/7)+1)))))</f>
        <v/>
      </c>
      <c r="G95" s="67">
        <f>IF($N95="","",IF($P95&gt;0,IF(1&lt;=SemanaActual,INDEX('Cronograma R. Financiero'!$Y$5:$Y$1000,$N95),""),IF(INDEX('Cronograma R. Financiero'!$H$5:$H$1000,$N95)="","",INDEX('Cronograma R. Financiero'!$H$5:$H$1000,$N95))))</f>
        <v/>
      </c>
      <c r="H95" s="67">
        <f>IF($N95="","",IF($P95&gt;0,IF(2&lt;=SemanaActual,INDEX('Cronograma R. Financiero'!$Z$5:$Z$1000,$N95),""),IF(INDEX('Cronograma R. Financiero'!$I$5:$I$1000,$N95)="","",INDEX('Cronograma R. Financiero'!$I$5:$I$1000,$N95))))</f>
        <v/>
      </c>
      <c r="I95" s="67">
        <f>IF($N95="","",IF($P95&gt;0,IF(3&lt;=SemanaActual,INDEX('Cronograma R. Financiero'!$AA$5:$AA$1000,$N95),""),IF(INDEX('Cronograma R. Financiero'!$J$5:$J$1000,$N95)="","",INDEX('Cronograma R. Financiero'!$J$5:$J$1000,$N95))))</f>
        <v/>
      </c>
      <c r="J95" s="67">
        <f>IF($N95="","",IF($P95&gt;0,IF(4&lt;=SemanaActual,INDEX('Cronograma R. Financiero'!$AB$5:$AB$1000,$N95),""),IF(INDEX('Cronograma R. Financiero'!$K$5:$K$1000,$N95)="","",INDEX('Cronograma R. Financiero'!$K$5:$K$1000,$N95))))</f>
        <v/>
      </c>
      <c r="K95" s="67">
        <f>IF($N95="","",INDEX('Cronograma R. Financiero'!$L$5:$L$1000,$N95))</f>
        <v/>
      </c>
      <c r="L95" s="61">
        <f>IF($N95="","",IF(N($K95)&gt;=1,"Completado",IF(AND(ISNUMBER($E95),$E95&lt;FechaRef),"Vencida",IF(N($K95)&gt;0,"En curso","Pendiente"))))</f>
        <v/>
      </c>
      <c r="M95" s="70">
        <f>IF($N95="","",INDEX('Cronograma R. Financiero'!$N$5:$N$1000,$N95)&amp;"")</f>
        <v/>
      </c>
      <c r="N95">
        <f>IFERROR(MATCH(ROW()-4,rOrden_RF,0),"")</f>
        <v/>
      </c>
      <c r="O95">
        <f>IF($N95="","",INDEX('Cronograma R. Financiero'!$S$5:$S$1000,$N95))</f>
        <v/>
      </c>
      <c r="P95">
        <f>IF($N95="","",N(INDEX('Cronograma R. Financiero'!$T$5:$T$1000,$N95)))</f>
        <v/>
      </c>
    </row>
    <row r="96">
      <c r="A96" s="61">
        <f>IF($N96="","",INDEX('Cronograma R. Financiero'!$A$5:$A$1000,$N96))</f>
        <v/>
      </c>
      <c r="B96" s="70">
        <f>IF($N96="","",IF($O96="Sub","     ↳ "&amp;INDEX('Cronograma R. Financiero'!$C$5:$C$1000,$N96),INDEX('Cronograma R. Financiero'!$B$5:$B$1000,$N96)&amp;""))</f>
        <v/>
      </c>
      <c r="C96" s="70">
        <f>IF($N96="","",INDEX('Cronograma R. Financiero'!$D$5:$D$1000,$N96)&amp;"")</f>
        <v/>
      </c>
      <c r="D96" s="76">
        <f>IF($N96="","",IF(INDEX('Cronograma R. Financiero'!$E$5:$E$1000,$N96)="","",INDEX('Cronograma R. Financiero'!$E$5:$E$1000,$N96)))</f>
        <v/>
      </c>
      <c r="E96" s="76">
        <f>IF($N96="","",IF(INDEX('Cronograma R. Financiero'!$F$5:$F$1000,$N96)="","",INDEX('Cronograma R. Financiero'!$F$5:$F$1000,$N96)))</f>
        <v/>
      </c>
      <c r="F96" s="61">
        <f>IF($N96="","",IF(NOT(ISNUMBER($E96)),"",IF($E96&lt;InicioCiclo,"Antes del ciclo",IF($E96&gt;=InicioCiclo+28,"Después del ciclo","Semana "&amp;(INT(($E96-InicioCiclo)/7)+1)))))</f>
        <v/>
      </c>
      <c r="G96" s="67">
        <f>IF($N96="","",IF($P96&gt;0,IF(1&lt;=SemanaActual,INDEX('Cronograma R. Financiero'!$Y$5:$Y$1000,$N96),""),IF(INDEX('Cronograma R. Financiero'!$H$5:$H$1000,$N96)="","",INDEX('Cronograma R. Financiero'!$H$5:$H$1000,$N96))))</f>
        <v/>
      </c>
      <c r="H96" s="67">
        <f>IF($N96="","",IF($P96&gt;0,IF(2&lt;=SemanaActual,INDEX('Cronograma R. Financiero'!$Z$5:$Z$1000,$N96),""),IF(INDEX('Cronograma R. Financiero'!$I$5:$I$1000,$N96)="","",INDEX('Cronograma R. Financiero'!$I$5:$I$1000,$N96))))</f>
        <v/>
      </c>
      <c r="I96" s="67">
        <f>IF($N96="","",IF($P96&gt;0,IF(3&lt;=SemanaActual,INDEX('Cronograma R. Financiero'!$AA$5:$AA$1000,$N96),""),IF(INDEX('Cronograma R. Financiero'!$J$5:$J$1000,$N96)="","",INDEX('Cronograma R. Financiero'!$J$5:$J$1000,$N96))))</f>
        <v/>
      </c>
      <c r="J96" s="67">
        <f>IF($N96="","",IF($P96&gt;0,IF(4&lt;=SemanaActual,INDEX('Cronograma R. Financiero'!$AB$5:$AB$1000,$N96),""),IF(INDEX('Cronograma R. Financiero'!$K$5:$K$1000,$N96)="","",INDEX('Cronograma R. Financiero'!$K$5:$K$1000,$N96))))</f>
        <v/>
      </c>
      <c r="K96" s="67">
        <f>IF($N96="","",INDEX('Cronograma R. Financiero'!$L$5:$L$1000,$N96))</f>
        <v/>
      </c>
      <c r="L96" s="61">
        <f>IF($N96="","",IF(N($K96)&gt;=1,"Completado",IF(AND(ISNUMBER($E96),$E96&lt;FechaRef),"Vencida",IF(N($K96)&gt;0,"En curso","Pendiente"))))</f>
        <v/>
      </c>
      <c r="M96" s="70">
        <f>IF($N96="","",INDEX('Cronograma R. Financiero'!$N$5:$N$1000,$N96)&amp;"")</f>
        <v/>
      </c>
      <c r="N96">
        <f>IFERROR(MATCH(ROW()-4,rOrden_RF,0),"")</f>
        <v/>
      </c>
      <c r="O96">
        <f>IF($N96="","",INDEX('Cronograma R. Financiero'!$S$5:$S$1000,$N96))</f>
        <v/>
      </c>
      <c r="P96">
        <f>IF($N96="","",N(INDEX('Cronograma R. Financiero'!$T$5:$T$1000,$N96)))</f>
        <v/>
      </c>
    </row>
    <row r="97">
      <c r="A97" s="61">
        <f>IF($N97="","",INDEX('Cronograma R. Financiero'!$A$5:$A$1000,$N97))</f>
        <v/>
      </c>
      <c r="B97" s="70">
        <f>IF($N97="","",IF($O97="Sub","     ↳ "&amp;INDEX('Cronograma R. Financiero'!$C$5:$C$1000,$N97),INDEX('Cronograma R. Financiero'!$B$5:$B$1000,$N97)&amp;""))</f>
        <v/>
      </c>
      <c r="C97" s="70">
        <f>IF($N97="","",INDEX('Cronograma R. Financiero'!$D$5:$D$1000,$N97)&amp;"")</f>
        <v/>
      </c>
      <c r="D97" s="76">
        <f>IF($N97="","",IF(INDEX('Cronograma R. Financiero'!$E$5:$E$1000,$N97)="","",INDEX('Cronograma R. Financiero'!$E$5:$E$1000,$N97)))</f>
        <v/>
      </c>
      <c r="E97" s="76">
        <f>IF($N97="","",IF(INDEX('Cronograma R. Financiero'!$F$5:$F$1000,$N97)="","",INDEX('Cronograma R. Financiero'!$F$5:$F$1000,$N97)))</f>
        <v/>
      </c>
      <c r="F97" s="61">
        <f>IF($N97="","",IF(NOT(ISNUMBER($E97)),"",IF($E97&lt;InicioCiclo,"Antes del ciclo",IF($E97&gt;=InicioCiclo+28,"Después del ciclo","Semana "&amp;(INT(($E97-InicioCiclo)/7)+1)))))</f>
        <v/>
      </c>
      <c r="G97" s="67">
        <f>IF($N97="","",IF($P97&gt;0,IF(1&lt;=SemanaActual,INDEX('Cronograma R. Financiero'!$Y$5:$Y$1000,$N97),""),IF(INDEX('Cronograma R. Financiero'!$H$5:$H$1000,$N97)="","",INDEX('Cronograma R. Financiero'!$H$5:$H$1000,$N97))))</f>
        <v/>
      </c>
      <c r="H97" s="67">
        <f>IF($N97="","",IF($P97&gt;0,IF(2&lt;=SemanaActual,INDEX('Cronograma R. Financiero'!$Z$5:$Z$1000,$N97),""),IF(INDEX('Cronograma R. Financiero'!$I$5:$I$1000,$N97)="","",INDEX('Cronograma R. Financiero'!$I$5:$I$1000,$N97))))</f>
        <v/>
      </c>
      <c r="I97" s="67">
        <f>IF($N97="","",IF($P97&gt;0,IF(3&lt;=SemanaActual,INDEX('Cronograma R. Financiero'!$AA$5:$AA$1000,$N97),""),IF(INDEX('Cronograma R. Financiero'!$J$5:$J$1000,$N97)="","",INDEX('Cronograma R. Financiero'!$J$5:$J$1000,$N97))))</f>
        <v/>
      </c>
      <c r="J97" s="67">
        <f>IF($N97="","",IF($P97&gt;0,IF(4&lt;=SemanaActual,INDEX('Cronograma R. Financiero'!$AB$5:$AB$1000,$N97),""),IF(INDEX('Cronograma R. Financiero'!$K$5:$K$1000,$N97)="","",INDEX('Cronograma R. Financiero'!$K$5:$K$1000,$N97))))</f>
        <v/>
      </c>
      <c r="K97" s="67">
        <f>IF($N97="","",INDEX('Cronograma R. Financiero'!$L$5:$L$1000,$N97))</f>
        <v/>
      </c>
      <c r="L97" s="61">
        <f>IF($N97="","",IF(N($K97)&gt;=1,"Completado",IF(AND(ISNUMBER($E97),$E97&lt;FechaRef),"Vencida",IF(N($K97)&gt;0,"En curso","Pendiente"))))</f>
        <v/>
      </c>
      <c r="M97" s="70">
        <f>IF($N97="","",INDEX('Cronograma R. Financiero'!$N$5:$N$1000,$N97)&amp;"")</f>
        <v/>
      </c>
      <c r="N97">
        <f>IFERROR(MATCH(ROW()-4,rOrden_RF,0),"")</f>
        <v/>
      </c>
      <c r="O97">
        <f>IF($N97="","",INDEX('Cronograma R. Financiero'!$S$5:$S$1000,$N97))</f>
        <v/>
      </c>
      <c r="P97">
        <f>IF($N97="","",N(INDEX('Cronograma R. Financiero'!$T$5:$T$1000,$N97)))</f>
        <v/>
      </c>
    </row>
    <row r="98">
      <c r="A98" s="61">
        <f>IF($N98="","",INDEX('Cronograma R. Financiero'!$A$5:$A$1000,$N98))</f>
        <v/>
      </c>
      <c r="B98" s="70">
        <f>IF($N98="","",IF($O98="Sub","     ↳ "&amp;INDEX('Cronograma R. Financiero'!$C$5:$C$1000,$N98),INDEX('Cronograma R. Financiero'!$B$5:$B$1000,$N98)&amp;""))</f>
        <v/>
      </c>
      <c r="C98" s="70">
        <f>IF($N98="","",INDEX('Cronograma R. Financiero'!$D$5:$D$1000,$N98)&amp;"")</f>
        <v/>
      </c>
      <c r="D98" s="76">
        <f>IF($N98="","",IF(INDEX('Cronograma R. Financiero'!$E$5:$E$1000,$N98)="","",INDEX('Cronograma R. Financiero'!$E$5:$E$1000,$N98)))</f>
        <v/>
      </c>
      <c r="E98" s="76">
        <f>IF($N98="","",IF(INDEX('Cronograma R. Financiero'!$F$5:$F$1000,$N98)="","",INDEX('Cronograma R. Financiero'!$F$5:$F$1000,$N98)))</f>
        <v/>
      </c>
      <c r="F98" s="61">
        <f>IF($N98="","",IF(NOT(ISNUMBER($E98)),"",IF($E98&lt;InicioCiclo,"Antes del ciclo",IF($E98&gt;=InicioCiclo+28,"Después del ciclo","Semana "&amp;(INT(($E98-InicioCiclo)/7)+1)))))</f>
        <v/>
      </c>
      <c r="G98" s="67">
        <f>IF($N98="","",IF($P98&gt;0,IF(1&lt;=SemanaActual,INDEX('Cronograma R. Financiero'!$Y$5:$Y$1000,$N98),""),IF(INDEX('Cronograma R. Financiero'!$H$5:$H$1000,$N98)="","",INDEX('Cronograma R. Financiero'!$H$5:$H$1000,$N98))))</f>
        <v/>
      </c>
      <c r="H98" s="67">
        <f>IF($N98="","",IF($P98&gt;0,IF(2&lt;=SemanaActual,INDEX('Cronograma R. Financiero'!$Z$5:$Z$1000,$N98),""),IF(INDEX('Cronograma R. Financiero'!$I$5:$I$1000,$N98)="","",INDEX('Cronograma R. Financiero'!$I$5:$I$1000,$N98))))</f>
        <v/>
      </c>
      <c r="I98" s="67">
        <f>IF($N98="","",IF($P98&gt;0,IF(3&lt;=SemanaActual,INDEX('Cronograma R. Financiero'!$AA$5:$AA$1000,$N98),""),IF(INDEX('Cronograma R. Financiero'!$J$5:$J$1000,$N98)="","",INDEX('Cronograma R. Financiero'!$J$5:$J$1000,$N98))))</f>
        <v/>
      </c>
      <c r="J98" s="67">
        <f>IF($N98="","",IF($P98&gt;0,IF(4&lt;=SemanaActual,INDEX('Cronograma R. Financiero'!$AB$5:$AB$1000,$N98),""),IF(INDEX('Cronograma R. Financiero'!$K$5:$K$1000,$N98)="","",INDEX('Cronograma R. Financiero'!$K$5:$K$1000,$N98))))</f>
        <v/>
      </c>
      <c r="K98" s="67">
        <f>IF($N98="","",INDEX('Cronograma R. Financiero'!$L$5:$L$1000,$N98))</f>
        <v/>
      </c>
      <c r="L98" s="61">
        <f>IF($N98="","",IF(N($K98)&gt;=1,"Completado",IF(AND(ISNUMBER($E98),$E98&lt;FechaRef),"Vencida",IF(N($K98)&gt;0,"En curso","Pendiente"))))</f>
        <v/>
      </c>
      <c r="M98" s="70">
        <f>IF($N98="","",INDEX('Cronograma R. Financiero'!$N$5:$N$1000,$N98)&amp;"")</f>
        <v/>
      </c>
      <c r="N98">
        <f>IFERROR(MATCH(ROW()-4,rOrden_RF,0),"")</f>
        <v/>
      </c>
      <c r="O98">
        <f>IF($N98="","",INDEX('Cronograma R. Financiero'!$S$5:$S$1000,$N98))</f>
        <v/>
      </c>
      <c r="P98">
        <f>IF($N98="","",N(INDEX('Cronograma R. Financiero'!$T$5:$T$1000,$N98)))</f>
        <v/>
      </c>
    </row>
    <row r="99">
      <c r="A99" s="61">
        <f>IF($N99="","",INDEX('Cronograma R. Financiero'!$A$5:$A$1000,$N99))</f>
        <v/>
      </c>
      <c r="B99" s="70">
        <f>IF($N99="","",IF($O99="Sub","     ↳ "&amp;INDEX('Cronograma R. Financiero'!$C$5:$C$1000,$N99),INDEX('Cronograma R. Financiero'!$B$5:$B$1000,$N99)&amp;""))</f>
        <v/>
      </c>
      <c r="C99" s="70">
        <f>IF($N99="","",INDEX('Cronograma R. Financiero'!$D$5:$D$1000,$N99)&amp;"")</f>
        <v/>
      </c>
      <c r="D99" s="76">
        <f>IF($N99="","",IF(INDEX('Cronograma R. Financiero'!$E$5:$E$1000,$N99)="","",INDEX('Cronograma R. Financiero'!$E$5:$E$1000,$N99)))</f>
        <v/>
      </c>
      <c r="E99" s="76">
        <f>IF($N99="","",IF(INDEX('Cronograma R. Financiero'!$F$5:$F$1000,$N99)="","",INDEX('Cronograma R. Financiero'!$F$5:$F$1000,$N99)))</f>
        <v/>
      </c>
      <c r="F99" s="61">
        <f>IF($N99="","",IF(NOT(ISNUMBER($E99)),"",IF($E99&lt;InicioCiclo,"Antes del ciclo",IF($E99&gt;=InicioCiclo+28,"Después del ciclo","Semana "&amp;(INT(($E99-InicioCiclo)/7)+1)))))</f>
        <v/>
      </c>
      <c r="G99" s="67">
        <f>IF($N99="","",IF($P99&gt;0,IF(1&lt;=SemanaActual,INDEX('Cronograma R. Financiero'!$Y$5:$Y$1000,$N99),""),IF(INDEX('Cronograma R. Financiero'!$H$5:$H$1000,$N99)="","",INDEX('Cronograma R. Financiero'!$H$5:$H$1000,$N99))))</f>
        <v/>
      </c>
      <c r="H99" s="67">
        <f>IF($N99="","",IF($P99&gt;0,IF(2&lt;=SemanaActual,INDEX('Cronograma R. Financiero'!$Z$5:$Z$1000,$N99),""),IF(INDEX('Cronograma R. Financiero'!$I$5:$I$1000,$N99)="","",INDEX('Cronograma R. Financiero'!$I$5:$I$1000,$N99))))</f>
        <v/>
      </c>
      <c r="I99" s="67">
        <f>IF($N99="","",IF($P99&gt;0,IF(3&lt;=SemanaActual,INDEX('Cronograma R. Financiero'!$AA$5:$AA$1000,$N99),""),IF(INDEX('Cronograma R. Financiero'!$J$5:$J$1000,$N99)="","",INDEX('Cronograma R. Financiero'!$J$5:$J$1000,$N99))))</f>
        <v/>
      </c>
      <c r="J99" s="67">
        <f>IF($N99="","",IF($P99&gt;0,IF(4&lt;=SemanaActual,INDEX('Cronograma R. Financiero'!$AB$5:$AB$1000,$N99),""),IF(INDEX('Cronograma R. Financiero'!$K$5:$K$1000,$N99)="","",INDEX('Cronograma R. Financiero'!$K$5:$K$1000,$N99))))</f>
        <v/>
      </c>
      <c r="K99" s="67">
        <f>IF($N99="","",INDEX('Cronograma R. Financiero'!$L$5:$L$1000,$N99))</f>
        <v/>
      </c>
      <c r="L99" s="61">
        <f>IF($N99="","",IF(N($K99)&gt;=1,"Completado",IF(AND(ISNUMBER($E99),$E99&lt;FechaRef),"Vencida",IF(N($K99)&gt;0,"En curso","Pendiente"))))</f>
        <v/>
      </c>
      <c r="M99" s="70">
        <f>IF($N99="","",INDEX('Cronograma R. Financiero'!$N$5:$N$1000,$N99)&amp;"")</f>
        <v/>
      </c>
      <c r="N99">
        <f>IFERROR(MATCH(ROW()-4,rOrden_RF,0),"")</f>
        <v/>
      </c>
      <c r="O99">
        <f>IF($N99="","",INDEX('Cronograma R. Financiero'!$S$5:$S$1000,$N99))</f>
        <v/>
      </c>
      <c r="P99">
        <f>IF($N99="","",N(INDEX('Cronograma R. Financiero'!$T$5:$T$1000,$N99)))</f>
        <v/>
      </c>
    </row>
    <row r="100">
      <c r="A100" s="61">
        <f>IF($N100="","",INDEX('Cronograma R. Financiero'!$A$5:$A$1000,$N100))</f>
        <v/>
      </c>
      <c r="B100" s="70">
        <f>IF($N100="","",IF($O100="Sub","     ↳ "&amp;INDEX('Cronograma R. Financiero'!$C$5:$C$1000,$N100),INDEX('Cronograma R. Financiero'!$B$5:$B$1000,$N100)&amp;""))</f>
        <v/>
      </c>
      <c r="C100" s="70">
        <f>IF($N100="","",INDEX('Cronograma R. Financiero'!$D$5:$D$1000,$N100)&amp;"")</f>
        <v/>
      </c>
      <c r="D100" s="76">
        <f>IF($N100="","",IF(INDEX('Cronograma R. Financiero'!$E$5:$E$1000,$N100)="","",INDEX('Cronograma R. Financiero'!$E$5:$E$1000,$N100)))</f>
        <v/>
      </c>
      <c r="E100" s="76">
        <f>IF($N100="","",IF(INDEX('Cronograma R. Financiero'!$F$5:$F$1000,$N100)="","",INDEX('Cronograma R. Financiero'!$F$5:$F$1000,$N100)))</f>
        <v/>
      </c>
      <c r="F100" s="61">
        <f>IF($N100="","",IF(NOT(ISNUMBER($E100)),"",IF($E100&lt;InicioCiclo,"Antes del ciclo",IF($E100&gt;=InicioCiclo+28,"Después del ciclo","Semana "&amp;(INT(($E100-InicioCiclo)/7)+1)))))</f>
        <v/>
      </c>
      <c r="G100" s="67">
        <f>IF($N100="","",IF($P100&gt;0,IF(1&lt;=SemanaActual,INDEX('Cronograma R. Financiero'!$Y$5:$Y$1000,$N100),""),IF(INDEX('Cronograma R. Financiero'!$H$5:$H$1000,$N100)="","",INDEX('Cronograma R. Financiero'!$H$5:$H$1000,$N100))))</f>
        <v/>
      </c>
      <c r="H100" s="67">
        <f>IF($N100="","",IF($P100&gt;0,IF(2&lt;=SemanaActual,INDEX('Cronograma R. Financiero'!$Z$5:$Z$1000,$N100),""),IF(INDEX('Cronograma R. Financiero'!$I$5:$I$1000,$N100)="","",INDEX('Cronograma R. Financiero'!$I$5:$I$1000,$N100))))</f>
        <v/>
      </c>
      <c r="I100" s="67">
        <f>IF($N100="","",IF($P100&gt;0,IF(3&lt;=SemanaActual,INDEX('Cronograma R. Financiero'!$AA$5:$AA$1000,$N100),""),IF(INDEX('Cronograma R. Financiero'!$J$5:$J$1000,$N100)="","",INDEX('Cronograma R. Financiero'!$J$5:$J$1000,$N100))))</f>
        <v/>
      </c>
      <c r="J100" s="67">
        <f>IF($N100="","",IF($P100&gt;0,IF(4&lt;=SemanaActual,INDEX('Cronograma R. Financiero'!$AB$5:$AB$1000,$N100),""),IF(INDEX('Cronograma R. Financiero'!$K$5:$K$1000,$N100)="","",INDEX('Cronograma R. Financiero'!$K$5:$K$1000,$N100))))</f>
        <v/>
      </c>
      <c r="K100" s="67">
        <f>IF($N100="","",INDEX('Cronograma R. Financiero'!$L$5:$L$1000,$N100))</f>
        <v/>
      </c>
      <c r="L100" s="61">
        <f>IF($N100="","",IF(N($K100)&gt;=1,"Completado",IF(AND(ISNUMBER($E100),$E100&lt;FechaRef),"Vencida",IF(N($K100)&gt;0,"En curso","Pendiente"))))</f>
        <v/>
      </c>
      <c r="M100" s="70">
        <f>IF($N100="","",INDEX('Cronograma R. Financiero'!$N$5:$N$1000,$N100)&amp;"")</f>
        <v/>
      </c>
      <c r="N100">
        <f>IFERROR(MATCH(ROW()-4,rOrden_RF,0),"")</f>
        <v/>
      </c>
      <c r="O100">
        <f>IF($N100="","",INDEX('Cronograma R. Financiero'!$S$5:$S$1000,$N100))</f>
        <v/>
      </c>
      <c r="P100">
        <f>IF($N100="","",N(INDEX('Cronograma R. Financiero'!$T$5:$T$1000,$N100)))</f>
        <v/>
      </c>
    </row>
    <row r="101">
      <c r="A101" s="61">
        <f>IF($N101="","",INDEX('Cronograma R. Financiero'!$A$5:$A$1000,$N101))</f>
        <v/>
      </c>
      <c r="B101" s="70">
        <f>IF($N101="","",IF($O101="Sub","     ↳ "&amp;INDEX('Cronograma R. Financiero'!$C$5:$C$1000,$N101),INDEX('Cronograma R. Financiero'!$B$5:$B$1000,$N101)&amp;""))</f>
        <v/>
      </c>
      <c r="C101" s="70">
        <f>IF($N101="","",INDEX('Cronograma R. Financiero'!$D$5:$D$1000,$N101)&amp;"")</f>
        <v/>
      </c>
      <c r="D101" s="76">
        <f>IF($N101="","",IF(INDEX('Cronograma R. Financiero'!$E$5:$E$1000,$N101)="","",INDEX('Cronograma R. Financiero'!$E$5:$E$1000,$N101)))</f>
        <v/>
      </c>
      <c r="E101" s="76">
        <f>IF($N101="","",IF(INDEX('Cronograma R. Financiero'!$F$5:$F$1000,$N101)="","",INDEX('Cronograma R. Financiero'!$F$5:$F$1000,$N101)))</f>
        <v/>
      </c>
      <c r="F101" s="61">
        <f>IF($N101="","",IF(NOT(ISNUMBER($E101)),"",IF($E101&lt;InicioCiclo,"Antes del ciclo",IF($E101&gt;=InicioCiclo+28,"Después del ciclo","Semana "&amp;(INT(($E101-InicioCiclo)/7)+1)))))</f>
        <v/>
      </c>
      <c r="G101" s="67">
        <f>IF($N101="","",IF($P101&gt;0,IF(1&lt;=SemanaActual,INDEX('Cronograma R. Financiero'!$Y$5:$Y$1000,$N101),""),IF(INDEX('Cronograma R. Financiero'!$H$5:$H$1000,$N101)="","",INDEX('Cronograma R. Financiero'!$H$5:$H$1000,$N101))))</f>
        <v/>
      </c>
      <c r="H101" s="67">
        <f>IF($N101="","",IF($P101&gt;0,IF(2&lt;=SemanaActual,INDEX('Cronograma R. Financiero'!$Z$5:$Z$1000,$N101),""),IF(INDEX('Cronograma R. Financiero'!$I$5:$I$1000,$N101)="","",INDEX('Cronograma R. Financiero'!$I$5:$I$1000,$N101))))</f>
        <v/>
      </c>
      <c r="I101" s="67">
        <f>IF($N101="","",IF($P101&gt;0,IF(3&lt;=SemanaActual,INDEX('Cronograma R. Financiero'!$AA$5:$AA$1000,$N101),""),IF(INDEX('Cronograma R. Financiero'!$J$5:$J$1000,$N101)="","",INDEX('Cronograma R. Financiero'!$J$5:$J$1000,$N101))))</f>
        <v/>
      </c>
      <c r="J101" s="67">
        <f>IF($N101="","",IF($P101&gt;0,IF(4&lt;=SemanaActual,INDEX('Cronograma R. Financiero'!$AB$5:$AB$1000,$N101),""),IF(INDEX('Cronograma R. Financiero'!$K$5:$K$1000,$N101)="","",INDEX('Cronograma R. Financiero'!$K$5:$K$1000,$N101))))</f>
        <v/>
      </c>
      <c r="K101" s="67">
        <f>IF($N101="","",INDEX('Cronograma R. Financiero'!$L$5:$L$1000,$N101))</f>
        <v/>
      </c>
      <c r="L101" s="61">
        <f>IF($N101="","",IF(N($K101)&gt;=1,"Completado",IF(AND(ISNUMBER($E101),$E101&lt;FechaRef),"Vencida",IF(N($K101)&gt;0,"En curso","Pendiente"))))</f>
        <v/>
      </c>
      <c r="M101" s="70">
        <f>IF($N101="","",INDEX('Cronograma R. Financiero'!$N$5:$N$1000,$N101)&amp;"")</f>
        <v/>
      </c>
      <c r="N101">
        <f>IFERROR(MATCH(ROW()-4,rOrden_RF,0),"")</f>
        <v/>
      </c>
      <c r="O101">
        <f>IF($N101="","",INDEX('Cronograma R. Financiero'!$S$5:$S$1000,$N101))</f>
        <v/>
      </c>
      <c r="P101">
        <f>IF($N101="","",N(INDEX('Cronograma R. Financiero'!$T$5:$T$1000,$N101)))</f>
        <v/>
      </c>
    </row>
    <row r="102">
      <c r="A102" s="61">
        <f>IF($N102="","",INDEX('Cronograma R. Financiero'!$A$5:$A$1000,$N102))</f>
        <v/>
      </c>
      <c r="B102" s="70">
        <f>IF($N102="","",IF($O102="Sub","     ↳ "&amp;INDEX('Cronograma R. Financiero'!$C$5:$C$1000,$N102),INDEX('Cronograma R. Financiero'!$B$5:$B$1000,$N102)&amp;""))</f>
        <v/>
      </c>
      <c r="C102" s="70">
        <f>IF($N102="","",INDEX('Cronograma R. Financiero'!$D$5:$D$1000,$N102)&amp;"")</f>
        <v/>
      </c>
      <c r="D102" s="76">
        <f>IF($N102="","",IF(INDEX('Cronograma R. Financiero'!$E$5:$E$1000,$N102)="","",INDEX('Cronograma R. Financiero'!$E$5:$E$1000,$N102)))</f>
        <v/>
      </c>
      <c r="E102" s="76">
        <f>IF($N102="","",IF(INDEX('Cronograma R. Financiero'!$F$5:$F$1000,$N102)="","",INDEX('Cronograma R. Financiero'!$F$5:$F$1000,$N102)))</f>
        <v/>
      </c>
      <c r="F102" s="61">
        <f>IF($N102="","",IF(NOT(ISNUMBER($E102)),"",IF($E102&lt;InicioCiclo,"Antes del ciclo",IF($E102&gt;=InicioCiclo+28,"Después del ciclo","Semana "&amp;(INT(($E102-InicioCiclo)/7)+1)))))</f>
        <v/>
      </c>
      <c r="G102" s="67">
        <f>IF($N102="","",IF($P102&gt;0,IF(1&lt;=SemanaActual,INDEX('Cronograma R. Financiero'!$Y$5:$Y$1000,$N102),""),IF(INDEX('Cronograma R. Financiero'!$H$5:$H$1000,$N102)="","",INDEX('Cronograma R. Financiero'!$H$5:$H$1000,$N102))))</f>
        <v/>
      </c>
      <c r="H102" s="67">
        <f>IF($N102="","",IF($P102&gt;0,IF(2&lt;=SemanaActual,INDEX('Cronograma R. Financiero'!$Z$5:$Z$1000,$N102),""),IF(INDEX('Cronograma R. Financiero'!$I$5:$I$1000,$N102)="","",INDEX('Cronograma R. Financiero'!$I$5:$I$1000,$N102))))</f>
        <v/>
      </c>
      <c r="I102" s="67">
        <f>IF($N102="","",IF($P102&gt;0,IF(3&lt;=SemanaActual,INDEX('Cronograma R. Financiero'!$AA$5:$AA$1000,$N102),""),IF(INDEX('Cronograma R. Financiero'!$J$5:$J$1000,$N102)="","",INDEX('Cronograma R. Financiero'!$J$5:$J$1000,$N102))))</f>
        <v/>
      </c>
      <c r="J102" s="67">
        <f>IF($N102="","",IF($P102&gt;0,IF(4&lt;=SemanaActual,INDEX('Cronograma R. Financiero'!$AB$5:$AB$1000,$N102),""),IF(INDEX('Cronograma R. Financiero'!$K$5:$K$1000,$N102)="","",INDEX('Cronograma R. Financiero'!$K$5:$K$1000,$N102))))</f>
        <v/>
      </c>
      <c r="K102" s="67">
        <f>IF($N102="","",INDEX('Cronograma R. Financiero'!$L$5:$L$1000,$N102))</f>
        <v/>
      </c>
      <c r="L102" s="61">
        <f>IF($N102="","",IF(N($K102)&gt;=1,"Completado",IF(AND(ISNUMBER($E102),$E102&lt;FechaRef),"Vencida",IF(N($K102)&gt;0,"En curso","Pendiente"))))</f>
        <v/>
      </c>
      <c r="M102" s="70">
        <f>IF($N102="","",INDEX('Cronograma R. Financiero'!$N$5:$N$1000,$N102)&amp;"")</f>
        <v/>
      </c>
      <c r="N102">
        <f>IFERROR(MATCH(ROW()-4,rOrden_RF,0),"")</f>
        <v/>
      </c>
      <c r="O102">
        <f>IF($N102="","",INDEX('Cronograma R. Financiero'!$S$5:$S$1000,$N102))</f>
        <v/>
      </c>
      <c r="P102">
        <f>IF($N102="","",N(INDEX('Cronograma R. Financiero'!$T$5:$T$1000,$N102)))</f>
        <v/>
      </c>
    </row>
    <row r="103">
      <c r="A103" s="61">
        <f>IF($N103="","",INDEX('Cronograma R. Financiero'!$A$5:$A$1000,$N103))</f>
        <v/>
      </c>
      <c r="B103" s="70">
        <f>IF($N103="","",IF($O103="Sub","     ↳ "&amp;INDEX('Cronograma R. Financiero'!$C$5:$C$1000,$N103),INDEX('Cronograma R. Financiero'!$B$5:$B$1000,$N103)&amp;""))</f>
        <v/>
      </c>
      <c r="C103" s="70">
        <f>IF($N103="","",INDEX('Cronograma R. Financiero'!$D$5:$D$1000,$N103)&amp;"")</f>
        <v/>
      </c>
      <c r="D103" s="76">
        <f>IF($N103="","",IF(INDEX('Cronograma R. Financiero'!$E$5:$E$1000,$N103)="","",INDEX('Cronograma R. Financiero'!$E$5:$E$1000,$N103)))</f>
        <v/>
      </c>
      <c r="E103" s="76">
        <f>IF($N103="","",IF(INDEX('Cronograma R. Financiero'!$F$5:$F$1000,$N103)="","",INDEX('Cronograma R. Financiero'!$F$5:$F$1000,$N103)))</f>
        <v/>
      </c>
      <c r="F103" s="61">
        <f>IF($N103="","",IF(NOT(ISNUMBER($E103)),"",IF($E103&lt;InicioCiclo,"Antes del ciclo",IF($E103&gt;=InicioCiclo+28,"Después del ciclo","Semana "&amp;(INT(($E103-InicioCiclo)/7)+1)))))</f>
        <v/>
      </c>
      <c r="G103" s="67">
        <f>IF($N103="","",IF($P103&gt;0,IF(1&lt;=SemanaActual,INDEX('Cronograma R. Financiero'!$Y$5:$Y$1000,$N103),""),IF(INDEX('Cronograma R. Financiero'!$H$5:$H$1000,$N103)="","",INDEX('Cronograma R. Financiero'!$H$5:$H$1000,$N103))))</f>
        <v/>
      </c>
      <c r="H103" s="67">
        <f>IF($N103="","",IF($P103&gt;0,IF(2&lt;=SemanaActual,INDEX('Cronograma R. Financiero'!$Z$5:$Z$1000,$N103),""),IF(INDEX('Cronograma R. Financiero'!$I$5:$I$1000,$N103)="","",INDEX('Cronograma R. Financiero'!$I$5:$I$1000,$N103))))</f>
        <v/>
      </c>
      <c r="I103" s="67">
        <f>IF($N103="","",IF($P103&gt;0,IF(3&lt;=SemanaActual,INDEX('Cronograma R. Financiero'!$AA$5:$AA$1000,$N103),""),IF(INDEX('Cronograma R. Financiero'!$J$5:$J$1000,$N103)="","",INDEX('Cronograma R. Financiero'!$J$5:$J$1000,$N103))))</f>
        <v/>
      </c>
      <c r="J103" s="67">
        <f>IF($N103="","",IF($P103&gt;0,IF(4&lt;=SemanaActual,INDEX('Cronograma R. Financiero'!$AB$5:$AB$1000,$N103),""),IF(INDEX('Cronograma R. Financiero'!$K$5:$K$1000,$N103)="","",INDEX('Cronograma R. Financiero'!$K$5:$K$1000,$N103))))</f>
        <v/>
      </c>
      <c r="K103" s="67">
        <f>IF($N103="","",INDEX('Cronograma R. Financiero'!$L$5:$L$1000,$N103))</f>
        <v/>
      </c>
      <c r="L103" s="61">
        <f>IF($N103="","",IF(N($K103)&gt;=1,"Completado",IF(AND(ISNUMBER($E103),$E103&lt;FechaRef),"Vencida",IF(N($K103)&gt;0,"En curso","Pendiente"))))</f>
        <v/>
      </c>
      <c r="M103" s="70">
        <f>IF($N103="","",INDEX('Cronograma R. Financiero'!$N$5:$N$1000,$N103)&amp;"")</f>
        <v/>
      </c>
      <c r="N103">
        <f>IFERROR(MATCH(ROW()-4,rOrden_RF,0),"")</f>
        <v/>
      </c>
      <c r="O103">
        <f>IF($N103="","",INDEX('Cronograma R. Financiero'!$S$5:$S$1000,$N103))</f>
        <v/>
      </c>
      <c r="P103">
        <f>IF($N103="","",N(INDEX('Cronograma R. Financiero'!$T$5:$T$1000,$N103)))</f>
        <v/>
      </c>
    </row>
    <row r="104">
      <c r="A104" s="61">
        <f>IF($N104="","",INDEX('Cronograma R. Financiero'!$A$5:$A$1000,$N104))</f>
        <v/>
      </c>
      <c r="B104" s="70">
        <f>IF($N104="","",IF($O104="Sub","     ↳ "&amp;INDEX('Cronograma R. Financiero'!$C$5:$C$1000,$N104),INDEX('Cronograma R. Financiero'!$B$5:$B$1000,$N104)&amp;""))</f>
        <v/>
      </c>
      <c r="C104" s="70">
        <f>IF($N104="","",INDEX('Cronograma R. Financiero'!$D$5:$D$1000,$N104)&amp;"")</f>
        <v/>
      </c>
      <c r="D104" s="76">
        <f>IF($N104="","",IF(INDEX('Cronograma R. Financiero'!$E$5:$E$1000,$N104)="","",INDEX('Cronograma R. Financiero'!$E$5:$E$1000,$N104)))</f>
        <v/>
      </c>
      <c r="E104" s="76">
        <f>IF($N104="","",IF(INDEX('Cronograma R. Financiero'!$F$5:$F$1000,$N104)="","",INDEX('Cronograma R. Financiero'!$F$5:$F$1000,$N104)))</f>
        <v/>
      </c>
      <c r="F104" s="61">
        <f>IF($N104="","",IF(NOT(ISNUMBER($E104)),"",IF($E104&lt;InicioCiclo,"Antes del ciclo",IF($E104&gt;=InicioCiclo+28,"Después del ciclo","Semana "&amp;(INT(($E104-InicioCiclo)/7)+1)))))</f>
        <v/>
      </c>
      <c r="G104" s="67">
        <f>IF($N104="","",IF($P104&gt;0,IF(1&lt;=SemanaActual,INDEX('Cronograma R. Financiero'!$Y$5:$Y$1000,$N104),""),IF(INDEX('Cronograma R. Financiero'!$H$5:$H$1000,$N104)="","",INDEX('Cronograma R. Financiero'!$H$5:$H$1000,$N104))))</f>
        <v/>
      </c>
      <c r="H104" s="67">
        <f>IF($N104="","",IF($P104&gt;0,IF(2&lt;=SemanaActual,INDEX('Cronograma R. Financiero'!$Z$5:$Z$1000,$N104),""),IF(INDEX('Cronograma R. Financiero'!$I$5:$I$1000,$N104)="","",INDEX('Cronograma R. Financiero'!$I$5:$I$1000,$N104))))</f>
        <v/>
      </c>
      <c r="I104" s="67">
        <f>IF($N104="","",IF($P104&gt;0,IF(3&lt;=SemanaActual,INDEX('Cronograma R. Financiero'!$AA$5:$AA$1000,$N104),""),IF(INDEX('Cronograma R. Financiero'!$J$5:$J$1000,$N104)="","",INDEX('Cronograma R. Financiero'!$J$5:$J$1000,$N104))))</f>
        <v/>
      </c>
      <c r="J104" s="67">
        <f>IF($N104="","",IF($P104&gt;0,IF(4&lt;=SemanaActual,INDEX('Cronograma R. Financiero'!$AB$5:$AB$1000,$N104),""),IF(INDEX('Cronograma R. Financiero'!$K$5:$K$1000,$N104)="","",INDEX('Cronograma R. Financiero'!$K$5:$K$1000,$N104))))</f>
        <v/>
      </c>
      <c r="K104" s="67">
        <f>IF($N104="","",INDEX('Cronograma R. Financiero'!$L$5:$L$1000,$N104))</f>
        <v/>
      </c>
      <c r="L104" s="61">
        <f>IF($N104="","",IF(N($K104)&gt;=1,"Completado",IF(AND(ISNUMBER($E104),$E104&lt;FechaRef),"Vencida",IF(N($K104)&gt;0,"En curso","Pendiente"))))</f>
        <v/>
      </c>
      <c r="M104" s="70">
        <f>IF($N104="","",INDEX('Cronograma R. Financiero'!$N$5:$N$1000,$N104)&amp;"")</f>
        <v/>
      </c>
      <c r="N104">
        <f>IFERROR(MATCH(ROW()-4,rOrden_RF,0),"")</f>
        <v/>
      </c>
      <c r="O104">
        <f>IF($N104="","",INDEX('Cronograma R. Financiero'!$S$5:$S$1000,$N104))</f>
        <v/>
      </c>
      <c r="P104">
        <f>IF($N104="","",N(INDEX('Cronograma R. Financiero'!$T$5:$T$1000,$N104)))</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G5:J104">
    <cfRule type="expression" priority="1" dxfId="6" stopIfTrue="1">
      <formula>AND(AND(ISNUMBER($D5),ISNUMBER($E5),$D5&lt;=InicioCiclo+7*(COLUMN(G5)-7)+6,$E5&gt;=InicioCiclo+7*(COLUMN(G5)-7)),$L5="Vencida")</formula>
    </cfRule>
    <cfRule type="expression" priority="2" dxfId="18">
      <formula>AND(ISNUMBER($D5),ISNUMBER($E5),$D5&lt;=InicioCiclo+7*(COLUMN(G5)-7)+6,$E5&gt;=InicioCiclo+7*(COLUMN(G5)-7))</formula>
    </cfRule>
  </conditionalFormatting>
  <conditionalFormatting sqref="A5:B104">
    <cfRule type="expression" priority="3" dxfId="17">
      <formula>$O5="Macro"</formula>
    </cfRule>
  </conditionalFormatting>
  <conditionalFormatting sqref="L5:L104">
    <cfRule type="expression" priority="4" dxfId="0">
      <formula>$L5="Completado"</formula>
    </cfRule>
    <cfRule type="expression" priority="5" dxfId="6">
      <formula>$L5="Vencida"</formula>
    </cfRule>
    <cfRule type="expression" priority="6" dxfId="4">
      <formula>$L5="En curso"</formula>
    </cfRule>
    <cfRule type="expression" priority="7" dxfId="5">
      <formula>$L5="Pendiente"</formula>
    </cfRule>
  </conditionalFormatting>
  <conditionalFormatting sqref="F5:F104">
    <cfRule type="expression" priority="8" dxfId="1">
      <formula>$F5="Semana "&amp;SemanaActual</formula>
    </cfRule>
  </conditionalFormatting>
  <conditionalFormatting sqref="K5:K104">
    <cfRule type="dataBar" priority="9">
      <dataBar showValue="1">
        <cfvo type="num" val="0"/>
        <cfvo type="num" val="1"/>
        <color rgb="005B9BD5"/>
      </dataBar>
    </cfRule>
  </conditionalFormatting>
  <conditionalFormatting sqref="G4:J4">
    <cfRule type="expression" priority="10" dxfId="1">
      <formula>COLUMN(G4)-6=SemanaActual</formula>
    </cfRule>
  </conditionalFormatting>
  <conditionalFormatting sqref="G3:J3">
    <cfRule type="expression" priority="11" dxfId="1">
      <formula>COLUMN(G3)-6=SemanaActual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2E75B6"/>
    <outlinePr summaryBelow="1" summaryRight="1"/>
    <pageSetUpPr fitToPage="1"/>
  </sheetPr>
  <dimension ref="A1:AB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36" customWidth="1" min="3" max="3"/>
    <col width="20" customWidth="1" min="4" max="4"/>
    <col width="12" customWidth="1" min="5" max="5"/>
    <col width="12" customWidth="1" min="6" max="6"/>
    <col width="11" customWidth="1" min="7" max="7"/>
    <col width="11" customWidth="1" min="8" max="8"/>
    <col width="11" customWidth="1" min="9" max="9"/>
    <col width="11" customWidth="1" min="10" max="10"/>
    <col width="11" customWidth="1" min="11" max="11"/>
    <col width="12" customWidth="1" min="12" max="12"/>
    <col width="13" customWidth="1" min="13" max="13"/>
    <col width="38" customWidth="1" min="14" max="14"/>
    <col width="50" customWidth="1" min="15" max="15"/>
    <col width="15"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s>
  <sheetData>
    <row r="1" ht="28" customHeight="1">
      <c r="A1" s="81" t="inlineStr">
        <is>
          <t>Cronograma – Asistente Técnico de Riesgo</t>
        </is>
      </c>
      <c r="B1" s="81" t="n"/>
      <c r="C1" s="81" t="n"/>
      <c r="D1" s="81" t="n"/>
      <c r="E1" s="81" t="n"/>
      <c r="F1" s="81" t="n"/>
      <c r="G1" s="81" t="n"/>
      <c r="H1" s="81" t="n"/>
      <c r="I1" s="81" t="n"/>
      <c r="J1" s="81" t="n"/>
      <c r="K1" s="81" t="n"/>
      <c r="L1" s="81" t="n"/>
      <c r="M1" s="81" t="n"/>
      <c r="N1" s="81" t="n"/>
      <c r="O1" s="81" t="n"/>
      <c r="P1" s="81" t="n"/>
    </row>
    <row r="2" ht="52" customHeight="1">
      <c r="A2" s="46" t="inlineStr">
        <is>
          <t>Llene solo las celdas GRIS SUAVE; las AZUL CLARO son automáticas y están bloqueadas. MACROACTIVIDAD: escriba el nombre en «Macro Actividad» y su peso. SUBACTIVIDADES (todas las que necesite): en las filas de abajo, escríbalas en «Subactividad» dejando vacía «Macro Actividad»; cada una lleva su propio avance semanal y el % de la macroactividad se calcula solo (promedio de sus subactividades). Si no tiene subactividades, escriba su avance directamente. En cada semana escriba el % TOTAL logrado hasta esa semana. Cada mes agregue sus actividades debajo de las anteriores (no borre los meses pasados: quedan como historial).</t>
        </is>
      </c>
      <c r="B2" s="46" t="n"/>
      <c r="C2" s="46" t="n"/>
      <c r="D2" s="46" t="n"/>
      <c r="E2" s="46" t="n"/>
      <c r="F2" s="46" t="n"/>
      <c r="G2" s="46" t="n"/>
      <c r="H2" s="46" t="n"/>
      <c r="I2" s="46" t="n"/>
      <c r="J2" s="46" t="n"/>
      <c r="K2" s="46" t="n"/>
      <c r="L2" s="46" t="n"/>
      <c r="M2" s="46" t="n"/>
      <c r="N2" s="46" t="n"/>
      <c r="O2" s="46" t="n"/>
      <c r="P2" s="46" t="n"/>
    </row>
    <row r="3">
      <c r="A3" s="54" t="inlineStr">
        <is>
          <t>Llenar</t>
        </is>
      </c>
      <c r="B3" s="55" t="inlineStr">
        <is>
          <t>Automático (bloqueado)</t>
        </is>
      </c>
      <c r="C3" s="82" t="inlineStr">
        <is>
          <t>Macroactividad</t>
        </is>
      </c>
      <c r="D3" s="57" t="inlineStr">
        <is>
          <t>Pesos del mes:</t>
        </is>
      </c>
      <c r="E3" s="58">
        <f>SUMIFS($G$5:$G$1000,$P$5:$P$1000,MesCiclo,$S$5:$S$1000,"Macro")</f>
        <v/>
      </c>
      <c r="F3" s="59">
        <f>IF(COUNTIFS($S$5:$S$1000,"Macro",$P$5:$P$1000,MesCiclo)=0,"",IF(ABS(E3-1)&lt;=0.0001,"✔ 100%","⚠ Debe sumar 100%"))</f>
        <v/>
      </c>
      <c r="G3" s="59" t="n"/>
    </row>
    <row r="4" ht="42" customHeight="1">
      <c r="A4" s="60" t="inlineStr">
        <is>
          <t>N°</t>
        </is>
      </c>
      <c r="B4" s="7" t="inlineStr">
        <is>
          <t>Macro Actividad</t>
        </is>
      </c>
      <c r="C4" s="7" t="inlineStr">
        <is>
          <t>Subactividad</t>
        </is>
      </c>
      <c r="D4" s="7" t="inlineStr">
        <is>
          <t>Responsable</t>
        </is>
      </c>
      <c r="E4" s="7" t="inlineStr">
        <is>
          <t>Fecha de inicio</t>
        </is>
      </c>
      <c r="F4" s="7" t="inlineStr">
        <is>
          <t>Fecha límite</t>
        </is>
      </c>
      <c r="G4" s="7" t="inlineStr">
        <is>
          <t>Peso de actividad (%)</t>
        </is>
      </c>
      <c r="H4" s="7" t="inlineStr">
        <is>
          <t>Avance Semana 1 (%)</t>
        </is>
      </c>
      <c r="I4" s="7" t="inlineStr">
        <is>
          <t>Avance Semana 2 (%)</t>
        </is>
      </c>
      <c r="J4" s="7" t="inlineStr">
        <is>
          <t>Avance Semana 3 (%)</t>
        </is>
      </c>
      <c r="K4" s="7" t="inlineStr">
        <is>
          <t>Avance Semana 4 (%)</t>
        </is>
      </c>
      <c r="L4" s="60" t="inlineStr">
        <is>
          <t>% de Avance Total Actual</t>
        </is>
      </c>
      <c r="M4" s="60" t="inlineStr">
        <is>
          <t>Estado</t>
        </is>
      </c>
      <c r="N4" s="7" t="inlineStr">
        <is>
          <t>Observaciones</t>
        </is>
      </c>
      <c r="O4" s="60" t="inlineStr">
        <is>
          <t>Revisión automática (alertas)</t>
        </is>
      </c>
      <c r="P4" s="60" t="inlineStr">
        <is>
          <t>Mes</t>
        </is>
      </c>
      <c r="Q4" s="60" t="inlineStr">
        <is>
          <t>Orden en el mes (aux)</t>
        </is>
      </c>
      <c r="R4" s="60" t="inlineStr">
        <is>
          <t>Grupo (aux)</t>
        </is>
      </c>
      <c r="S4" s="60" t="inlineStr">
        <is>
          <t>Tipo (aux)</t>
        </is>
      </c>
      <c r="T4" s="60" t="inlineStr">
        <is>
          <t>N subactividades (aux)</t>
        </is>
      </c>
      <c r="U4" s="60" t="inlineStr">
        <is>
          <t>Propio S1 (aux)</t>
        </is>
      </c>
      <c r="V4" s="60" t="inlineStr">
        <is>
          <t>Propio S2 (aux)</t>
        </is>
      </c>
      <c r="W4" s="60" t="inlineStr">
        <is>
          <t>Propio S3 (aux)</t>
        </is>
      </c>
      <c r="X4" s="60" t="inlineStr">
        <is>
          <t>Propio S4 (aux)</t>
        </is>
      </c>
      <c r="Y4" s="60" t="inlineStr">
        <is>
          <t>Efectivo S1 (aux)</t>
        </is>
      </c>
      <c r="Z4" s="60" t="inlineStr">
        <is>
          <t>Efectivo S2 (aux)</t>
        </is>
      </c>
      <c r="AA4" s="60" t="inlineStr">
        <is>
          <t>Efectivo S3 (aux)</t>
        </is>
      </c>
      <c r="AB4" s="60" t="inlineStr">
        <is>
          <t>Efectivo S4 (aux)</t>
        </is>
      </c>
    </row>
    <row r="5">
      <c r="A5" s="61">
        <f>IF(NOT((COUNTA($B5:$K5)+COUNTA($N5))&gt;0),"",IF($S5="Macro",COUNTIFS($S$5:$S5,"Macro",$P$5:$P5,$P5),IF(N($R5)=0,"?",COUNTIFS(INDEX($S$5:$S$1000,1):INDEX($S$5:$S$1000,$R5-4),"Macro",INDEX($P$5:$P$1000,1):INDEX($P$5:$P$1000,$R5-4),INDEX($P$5:$P$1000,$R5-4))&amp;"."&amp;COUNTIFS($R$5:$R5,$R5,$S$5:$S5,"Sub"))))</f>
        <v/>
      </c>
      <c r="B5" s="62" t="n"/>
      <c r="C5" s="63" t="n"/>
      <c r="D5" s="62" t="n"/>
      <c r="E5" s="64" t="n"/>
      <c r="F5" s="64" t="n"/>
      <c r="G5" s="65" t="n"/>
      <c r="H5" s="66" t="n"/>
      <c r="I5" s="66" t="n"/>
      <c r="J5" s="66" t="n"/>
      <c r="K5" s="66" t="n"/>
      <c r="L5" s="67">
        <f>IF(NOT((COUNTA($B5:$K5)+COUNTA($N5))&gt;0),"",IF(N($T5)&gt;0,$AB5,IFERROR(LOOKUP(2,1/(H5:K5&lt;&gt;""),H5:K5),0)))</f>
        <v/>
      </c>
      <c r="M5" s="61">
        <f>IF(L5="","",IF(L5&gt;=1,"Completado",IF(L5&gt;0,"En curso","Pendiente")))</f>
        <v/>
      </c>
      <c r="N5" s="62" t="n"/>
      <c r="O5" s="68">
        <f>IF(NOT((COUNTA($B5:$K5)+COUNTA($N5))&gt;0),"",IF((IF(AND($S5="Macro",$B5=""),"Macroactividad vacía"&amp;" · ","")&amp;IF(AND($B5&lt;&gt;"",$C5&lt;&gt;""),"Escriba la subactividad en otra fila, debajo de su macroactividad"&amp;" · ","")&amp;IF(AND($S5="Sub",N($R5)=0),"Subactividad sin macroactividad arriba"&amp;" · ","")&amp;IF($D5="","Sin responsable"&amp;" · ","")&amp;IF($E5="","Sin fecha de inicio"&amp;" · ","")&amp;IF($F5="","Sin fecha límite"&amp;" · ","")&amp;IF(OR(AND($E5&lt;&gt;"",NOT(ISNUMBER($E5))),AND($F5&lt;&gt;"",NOT(ISNUMBER($F5)))),"Fecha no válida"&amp;" · ","")&amp;IF(AND(ISNUMBER($E5),ISNUMBER($F5),$E5&gt;$F5),"Inicio posterior a fecha límite"&amp;" · ","")&amp;IF(AND($S5="Macro",$G5=""),"Peso vacío"&amp;" · ","")&amp;IF(AND($S5="Macro",$G5&lt;&gt;"",OR(NOT(ISNUMBER($G5)),$G5&lt;=0,$G5&gt;1)),"Peso fuera de rango"&amp;" · ","")&amp;IF(AND($S5="Sub",$G5&lt;&gt;""),"Las subactividades no llevan peso"&amp;" · ","")&amp;IF(AND($S5="Macro",ABS(SUMIFS($G$5:$G$1000,$P$5:$P$1000,$P5,$S$5:$S$1000,"Macro")-1)&gt;0.0001),"Pesos del mes suman "&amp;TEXT(SUMIFS($G$5:$G$1000,$P$5:$P$1000,$P5,$S$5:$S$1000,"Macro"),"0%")&amp;" · ","")&amp;IF(AND(N($T5)&gt;0,COUNT($H5:$K5)&gt;0),"Con subactividades: deje vacías las semanas (se calculan solas)"&amp;" · ","")&amp;IF((COUNTIF($H5:$K5,"&gt;1")+COUNTIF($H5:$K5,"&lt;0")+COUNTA($H5:$K5)-COUNT($H5:$K5))&gt;0,"Avance fuera de rango 0-100%"&amp;" · ","")&amp;IF(OR(AND($I5&lt;&gt;"",$I5&lt;$H5),AND($J5&lt;&gt;"",$J5&lt;MAX($H5:$I5)),AND($K5&lt;&gt;"",$K5&lt;MAX($H5:$J5))),"Avance semanal decreciente"&amp;" · ","")&amp;IF(AND(ISNUMBER($F5),$F5&lt;FechaRef,N($L5)&lt;1),"Vencida"&amp;" · ","")&amp;IF(AND(ObsObligatoria="Sí",ISNUMBER($F5),$F5&lt;FechaRef,N($L5)&lt;1,$N5=""),"Vencida sin observación"&amp;" · ",""))="","✔ OK","⚠ "&amp;LEFT(IF(AND($S5="Macro",$B5=""),"Macroactividad vacía"&amp;" · ","")&amp;IF(AND($B5&lt;&gt;"",$C5&lt;&gt;""),"Escriba la subactividad en otra fila, debajo de su macroactividad"&amp;" · ","")&amp;IF(AND($S5="Sub",N($R5)=0),"Subactividad sin macroactividad arriba"&amp;" · ","")&amp;IF($D5="","Sin responsable"&amp;" · ","")&amp;IF($E5="","Sin fecha de inicio"&amp;" · ","")&amp;IF($F5="","Sin fecha límite"&amp;" · ","")&amp;IF(OR(AND($E5&lt;&gt;"",NOT(ISNUMBER($E5))),AND($F5&lt;&gt;"",NOT(ISNUMBER($F5)))),"Fecha no válida"&amp;" · ","")&amp;IF(AND(ISNUMBER($E5),ISNUMBER($F5),$E5&gt;$F5),"Inicio posterior a fecha límite"&amp;" · ","")&amp;IF(AND($S5="Macro",$G5=""),"Peso vacío"&amp;" · ","")&amp;IF(AND($S5="Macro",$G5&lt;&gt;"",OR(NOT(ISNUMBER($G5)),$G5&lt;=0,$G5&gt;1)),"Peso fuera de rango"&amp;" · ","")&amp;IF(AND($S5="Sub",$G5&lt;&gt;""),"Las subactividades no llevan peso"&amp;" · ","")&amp;IF(AND($S5="Macro",ABS(SUMIFS($G$5:$G$1000,$P$5:$P$1000,$P5,$S$5:$S$1000,"Macro")-1)&gt;0.0001),"Pesos del mes suman "&amp;TEXT(SUMIFS($G$5:$G$1000,$P$5:$P$1000,$P5,$S$5:$S$1000,"Macro"),"0%")&amp;" · ","")&amp;IF(AND(N($T5)&gt;0,COUNT($H5:$K5)&gt;0),"Con subactividades: deje vacías las semanas (se calculan solas)"&amp;" · ","")&amp;IF((COUNTIF($H5:$K5,"&gt;1")+COUNTIF($H5:$K5,"&lt;0")+COUNTA($H5:$K5)-COUNT($H5:$K5))&gt;0,"Avance fuera de rango 0-100%"&amp;" · ","")&amp;IF(OR(AND($I5&lt;&gt;"",$I5&lt;$H5),AND($J5&lt;&gt;"",$J5&lt;MAX($H5:$I5)),AND($K5&lt;&gt;"",$K5&lt;MAX($H5:$J5))),"Avance semanal decreciente"&amp;" · ","")&amp;IF(AND(ISNUMBER($F5),$F5&lt;FechaRef,N($L5)&lt;1),"Vencida"&amp;" · ","")&amp;IF(AND(ObsObligatoria="Sí",ISNUMBER($F5),$F5&lt;FechaRef,N($L5)&lt;1,$N5=""),"Vencida sin observación"&amp;" · ",""),LEN(IF(AND($S5="Macro",$B5=""),"Macroactividad vacía"&amp;" · ","")&amp;IF(AND($B5&lt;&gt;"",$C5&lt;&gt;""),"Escriba la subactividad en otra fila, debajo de su macroactividad"&amp;" · ","")&amp;IF(AND($S5="Sub",N($R5)=0),"Subactividad sin macroactividad arriba"&amp;" · ","")&amp;IF($D5="","Sin responsable"&amp;" · ","")&amp;IF($E5="","Sin fecha de inicio"&amp;" · ","")&amp;IF($F5="","Sin fecha límite"&amp;" · ","")&amp;IF(OR(AND($E5&lt;&gt;"",NOT(ISNUMBER($E5))),AND($F5&lt;&gt;"",NOT(ISNUMBER($F5)))),"Fecha no válida"&amp;" · ","")&amp;IF(AND(ISNUMBER($E5),ISNUMBER($F5),$E5&gt;$F5),"Inicio posterior a fecha límite"&amp;" · ","")&amp;IF(AND($S5="Macro",$G5=""),"Peso vacío"&amp;" · ","")&amp;IF(AND($S5="Macro",$G5&lt;&gt;"",OR(NOT(ISNUMBER($G5)),$G5&lt;=0,$G5&gt;1)),"Peso fuera de rango"&amp;" · ","")&amp;IF(AND($S5="Sub",$G5&lt;&gt;""),"Las subactividades no llevan peso"&amp;" · ","")&amp;IF(AND($S5="Macro",ABS(SUMIFS($G$5:$G$1000,$P$5:$P$1000,$P5,$S$5:$S$1000,"Macro")-1)&gt;0.0001),"Pesos del mes suman "&amp;TEXT(SUMIFS($G$5:$G$1000,$P$5:$P$1000,$P5,$S$5:$S$1000,"Macro"),"0%")&amp;" · ","")&amp;IF(AND(N($T5)&gt;0,COUNT($H5:$K5)&gt;0),"Con subactividades: deje vacías las semanas (se calculan solas)"&amp;" · ","")&amp;IF((COUNTIF($H5:$K5,"&gt;1")+COUNTIF($H5:$K5,"&lt;0")+COUNTA($H5:$K5)-COUNT($H5:$K5))&gt;0,"Avance fuera de rango 0-100%"&amp;" · ","")&amp;IF(OR(AND($I5&lt;&gt;"",$I5&lt;$H5),AND($J5&lt;&gt;"",$J5&lt;MAX($H5:$I5)),AND($K5&lt;&gt;"",$K5&lt;MAX($H5:$J5))),"Avance semanal decreciente"&amp;" · ","")&amp;IF(AND(ISNUMBER($F5),$F5&lt;FechaRef,N($L5)&lt;1),"Vencida"&amp;" · ","")&amp;IF(AND(ObsObligatoria="Sí",ISNUMBER($F5),$F5&lt;FechaRef,N($L5)&lt;1,$N5=""),"Vencida sin observación"&amp;" · ",""))-3)))</f>
        <v/>
      </c>
      <c r="P5" s="69">
        <f>IF(NOT((COUNTA($B5:$K5)+COUNTA($N5))&gt;0),"",IF(AND($S5="Sub",N($R5)&gt;0),IF(ISNUMBER(INDEX($E$5:$E$1000,$R5-4)),DATE(YEAR(INDEX($E$5:$E$1000,$R5-4)),MONTH(INDEX($E$5:$E$1000,$R5-4)),1),IF(ISNUMBER(INDEX($F$5:$F$1000,$R5-4)),DATE(YEAR(INDEX($F$5:$F$1000,$R5-4)),MONTH(INDEX($F$5:$F$1000,$R5-4)),1),MesCiclo)),IF(ISNUMBER($E5),DATE(YEAR($E5),MONTH($E5),1),IF(ISNUMBER($F5),DATE(YEAR($F5),MONTH($F5),1),MesCiclo))))</f>
        <v/>
      </c>
      <c r="Q5" s="70">
        <f>IF(OR($P5="",$P5&lt;&gt;MesCiclo),"",COUNTIF($P$5:$P5,MesCiclo))</f>
        <v/>
      </c>
      <c r="R5" s="70">
        <f>IF($S5="","",IF($S5="Macro",ROW(),IFERROR(LOOKUP(2,1/($S$5:$S5="Macro"),ROW($S$5:$S5)),0)))</f>
        <v/>
      </c>
      <c r="S5" s="70">
        <f>IF(NOT((COUNTA($B5:$K5)+COUNTA($N5))&gt;0),"",IF($B5&lt;&gt;"","Macro",IF($C5&lt;&gt;"","Sub","Macro")))</f>
        <v/>
      </c>
      <c r="T5" s="70">
        <f>IF($S5="Macro",COUNTIFS($R$5:$R$1000,ROW(),$S$5:$S$1000,"Sub"),"")</f>
        <v/>
      </c>
      <c r="U5" s="70">
        <f>IF($S5="","",IF(ISNUMBER($H5),$H5,0))</f>
        <v/>
      </c>
      <c r="V5" s="70">
        <f>IF($S5="","",IF(ISNUMBER($I5),$I5,$U5))</f>
        <v/>
      </c>
      <c r="W5" s="70">
        <f>IF($S5="","",IF(ISNUMBER($J5),$J5,$V5))</f>
        <v/>
      </c>
      <c r="X5" s="70">
        <f>IF($S5="","",IF(ISNUMBER($K5),$K5,$W5))</f>
        <v/>
      </c>
      <c r="Y5" s="70">
        <f>IF($S5="","",IF(N($T5)&gt;0,AVERAGEIFS($U$5:$U$1000,$R$5:$R$1000,ROW(),$S$5:$S$1000,"Sub"),$U5))</f>
        <v/>
      </c>
      <c r="Z5" s="70">
        <f>IF($S5="","",IF(N($T5)&gt;0,AVERAGEIFS($V$5:$V$1000,$R$5:$R$1000,ROW(),$S$5:$S$1000,"Sub"),$V5))</f>
        <v/>
      </c>
      <c r="AA5" s="70">
        <f>IF($S5="","",IF(N($T5)&gt;0,AVERAGEIFS($W$5:$W$1000,$R$5:$R$1000,ROW(),$S$5:$S$1000,"Sub"),$W5))</f>
        <v/>
      </c>
      <c r="AB5" s="70">
        <f>IF($S5="","",IF(N($T5)&gt;0,AVERAGEIFS($X$5:$X$1000,$R$5:$R$1000,ROW(),$S$5:$S$1000,"Sub"),$X5))</f>
        <v/>
      </c>
    </row>
    <row r="6">
      <c r="A6" s="61">
        <f>IF(NOT((COUNTA($B6:$K6)+COUNTA($N6))&gt;0),"",IF($S6="Macro",COUNTIFS($S$5:$S6,"Macro",$P$5:$P6,$P6),IF(N($R6)=0,"?",COUNTIFS(INDEX($S$5:$S$1000,1):INDEX($S$5:$S$1000,$R6-4),"Macro",INDEX($P$5:$P$1000,1):INDEX($P$5:$P$1000,$R6-4),INDEX($P$5:$P$1000,$R6-4))&amp;"."&amp;COUNTIFS($R$5:$R6,$R6,$S$5:$S6,"Sub"))))</f>
        <v/>
      </c>
      <c r="B6" s="62" t="n"/>
      <c r="C6" s="63" t="n"/>
      <c r="D6" s="62" t="n"/>
      <c r="E6" s="64" t="n"/>
      <c r="F6" s="64" t="n"/>
      <c r="G6" s="65" t="n"/>
      <c r="H6" s="66" t="n"/>
      <c r="I6" s="66" t="n"/>
      <c r="J6" s="66" t="n"/>
      <c r="K6" s="66" t="n"/>
      <c r="L6" s="67">
        <f>IF(NOT((COUNTA($B6:$K6)+COUNTA($N6))&gt;0),"",IF(N($T6)&gt;0,$AB6,IFERROR(LOOKUP(2,1/(H6:K6&lt;&gt;""),H6:K6),0)))</f>
        <v/>
      </c>
      <c r="M6" s="61">
        <f>IF(L6="","",IF(L6&gt;=1,"Completado",IF(L6&gt;0,"En curso","Pendiente")))</f>
        <v/>
      </c>
      <c r="N6" s="62" t="n"/>
      <c r="O6" s="68">
        <f>IF(NOT((COUNTA($B6:$K6)+COUNTA($N6))&gt;0),"",IF((IF(AND($S6="Macro",$B6=""),"Macroactividad vacía"&amp;" · ","")&amp;IF(AND($B6&lt;&gt;"",$C6&lt;&gt;""),"Escriba la subactividad en otra fila, debajo de su macroactividad"&amp;" · ","")&amp;IF(AND($S6="Sub",N($R6)=0),"Subactividad sin macroactividad arriba"&amp;" · ","")&amp;IF($D6="","Sin responsable"&amp;" · ","")&amp;IF($E6="","Sin fecha de inicio"&amp;" · ","")&amp;IF($F6="","Sin fecha límite"&amp;" · ","")&amp;IF(OR(AND($E6&lt;&gt;"",NOT(ISNUMBER($E6))),AND($F6&lt;&gt;"",NOT(ISNUMBER($F6)))),"Fecha no válida"&amp;" · ","")&amp;IF(AND(ISNUMBER($E6),ISNUMBER($F6),$E6&gt;$F6),"Inicio posterior a fecha límite"&amp;" · ","")&amp;IF(AND($S6="Macro",$G6=""),"Peso vacío"&amp;" · ","")&amp;IF(AND($S6="Macro",$G6&lt;&gt;"",OR(NOT(ISNUMBER($G6)),$G6&lt;=0,$G6&gt;1)),"Peso fuera de rango"&amp;" · ","")&amp;IF(AND($S6="Sub",$G6&lt;&gt;""),"Las subactividades no llevan peso"&amp;" · ","")&amp;IF(AND($S6="Macro",ABS(SUMIFS($G$5:$G$1000,$P$5:$P$1000,$P6,$S$5:$S$1000,"Macro")-1)&gt;0.0001),"Pesos del mes suman "&amp;TEXT(SUMIFS($G$5:$G$1000,$P$5:$P$1000,$P6,$S$5:$S$1000,"Macro"),"0%")&amp;" · ","")&amp;IF(AND(N($T6)&gt;0,COUNT($H6:$K6)&gt;0),"Con subactividades: deje vacías las semanas (se calculan solas)"&amp;" · ","")&amp;IF((COUNTIF($H6:$K6,"&gt;1")+COUNTIF($H6:$K6,"&lt;0")+COUNTA($H6:$K6)-COUNT($H6:$K6))&gt;0,"Avance fuera de rango 0-100%"&amp;" · ","")&amp;IF(OR(AND($I6&lt;&gt;"",$I6&lt;$H6),AND($J6&lt;&gt;"",$J6&lt;MAX($H6:$I6)),AND($K6&lt;&gt;"",$K6&lt;MAX($H6:$J6))),"Avance semanal decreciente"&amp;" · ","")&amp;IF(AND(ISNUMBER($F6),$F6&lt;FechaRef,N($L6)&lt;1),"Vencida"&amp;" · ","")&amp;IF(AND(ObsObligatoria="Sí",ISNUMBER($F6),$F6&lt;FechaRef,N($L6)&lt;1,$N6=""),"Vencida sin observación"&amp;" · ",""))="","✔ OK","⚠ "&amp;LEFT(IF(AND($S6="Macro",$B6=""),"Macroactividad vacía"&amp;" · ","")&amp;IF(AND($B6&lt;&gt;"",$C6&lt;&gt;""),"Escriba la subactividad en otra fila, debajo de su macroactividad"&amp;" · ","")&amp;IF(AND($S6="Sub",N($R6)=0),"Subactividad sin macroactividad arriba"&amp;" · ","")&amp;IF($D6="","Sin responsable"&amp;" · ","")&amp;IF($E6="","Sin fecha de inicio"&amp;" · ","")&amp;IF($F6="","Sin fecha límite"&amp;" · ","")&amp;IF(OR(AND($E6&lt;&gt;"",NOT(ISNUMBER($E6))),AND($F6&lt;&gt;"",NOT(ISNUMBER($F6)))),"Fecha no válida"&amp;" · ","")&amp;IF(AND(ISNUMBER($E6),ISNUMBER($F6),$E6&gt;$F6),"Inicio posterior a fecha límite"&amp;" · ","")&amp;IF(AND($S6="Macro",$G6=""),"Peso vacío"&amp;" · ","")&amp;IF(AND($S6="Macro",$G6&lt;&gt;"",OR(NOT(ISNUMBER($G6)),$G6&lt;=0,$G6&gt;1)),"Peso fuera de rango"&amp;" · ","")&amp;IF(AND($S6="Sub",$G6&lt;&gt;""),"Las subactividades no llevan peso"&amp;" · ","")&amp;IF(AND($S6="Macro",ABS(SUMIFS($G$5:$G$1000,$P$5:$P$1000,$P6,$S$5:$S$1000,"Macro")-1)&gt;0.0001),"Pesos del mes suman "&amp;TEXT(SUMIFS($G$5:$G$1000,$P$5:$P$1000,$P6,$S$5:$S$1000,"Macro"),"0%")&amp;" · ","")&amp;IF(AND(N($T6)&gt;0,COUNT($H6:$K6)&gt;0),"Con subactividades: deje vacías las semanas (se calculan solas)"&amp;" · ","")&amp;IF((COUNTIF($H6:$K6,"&gt;1")+COUNTIF($H6:$K6,"&lt;0")+COUNTA($H6:$K6)-COUNT($H6:$K6))&gt;0,"Avance fuera de rango 0-100%"&amp;" · ","")&amp;IF(OR(AND($I6&lt;&gt;"",$I6&lt;$H6),AND($J6&lt;&gt;"",$J6&lt;MAX($H6:$I6)),AND($K6&lt;&gt;"",$K6&lt;MAX($H6:$J6))),"Avance semanal decreciente"&amp;" · ","")&amp;IF(AND(ISNUMBER($F6),$F6&lt;FechaRef,N($L6)&lt;1),"Vencida"&amp;" · ","")&amp;IF(AND(ObsObligatoria="Sí",ISNUMBER($F6),$F6&lt;FechaRef,N($L6)&lt;1,$N6=""),"Vencida sin observación"&amp;" · ",""),LEN(IF(AND($S6="Macro",$B6=""),"Macroactividad vacía"&amp;" · ","")&amp;IF(AND($B6&lt;&gt;"",$C6&lt;&gt;""),"Escriba la subactividad en otra fila, debajo de su macroactividad"&amp;" · ","")&amp;IF(AND($S6="Sub",N($R6)=0),"Subactividad sin macroactividad arriba"&amp;" · ","")&amp;IF($D6="","Sin responsable"&amp;" · ","")&amp;IF($E6="","Sin fecha de inicio"&amp;" · ","")&amp;IF($F6="","Sin fecha límite"&amp;" · ","")&amp;IF(OR(AND($E6&lt;&gt;"",NOT(ISNUMBER($E6))),AND($F6&lt;&gt;"",NOT(ISNUMBER($F6)))),"Fecha no válida"&amp;" · ","")&amp;IF(AND(ISNUMBER($E6),ISNUMBER($F6),$E6&gt;$F6),"Inicio posterior a fecha límite"&amp;" · ","")&amp;IF(AND($S6="Macro",$G6=""),"Peso vacío"&amp;" · ","")&amp;IF(AND($S6="Macro",$G6&lt;&gt;"",OR(NOT(ISNUMBER($G6)),$G6&lt;=0,$G6&gt;1)),"Peso fuera de rango"&amp;" · ","")&amp;IF(AND($S6="Sub",$G6&lt;&gt;""),"Las subactividades no llevan peso"&amp;" · ","")&amp;IF(AND($S6="Macro",ABS(SUMIFS($G$5:$G$1000,$P$5:$P$1000,$P6,$S$5:$S$1000,"Macro")-1)&gt;0.0001),"Pesos del mes suman "&amp;TEXT(SUMIFS($G$5:$G$1000,$P$5:$P$1000,$P6,$S$5:$S$1000,"Macro"),"0%")&amp;" · ","")&amp;IF(AND(N($T6)&gt;0,COUNT($H6:$K6)&gt;0),"Con subactividades: deje vacías las semanas (se calculan solas)"&amp;" · ","")&amp;IF((COUNTIF($H6:$K6,"&gt;1")+COUNTIF($H6:$K6,"&lt;0")+COUNTA($H6:$K6)-COUNT($H6:$K6))&gt;0,"Avance fuera de rango 0-100%"&amp;" · ","")&amp;IF(OR(AND($I6&lt;&gt;"",$I6&lt;$H6),AND($J6&lt;&gt;"",$J6&lt;MAX($H6:$I6)),AND($K6&lt;&gt;"",$K6&lt;MAX($H6:$J6))),"Avance semanal decreciente"&amp;" · ","")&amp;IF(AND(ISNUMBER($F6),$F6&lt;FechaRef,N($L6)&lt;1),"Vencida"&amp;" · ","")&amp;IF(AND(ObsObligatoria="Sí",ISNUMBER($F6),$F6&lt;FechaRef,N($L6)&lt;1,$N6=""),"Vencida sin observación"&amp;" · ",""))-3)))</f>
        <v/>
      </c>
      <c r="P6" s="69">
        <f>IF(NOT((COUNTA($B6:$K6)+COUNTA($N6))&gt;0),"",IF(AND($S6="Sub",N($R6)&gt;0),IF(ISNUMBER(INDEX($E$5:$E$1000,$R6-4)),DATE(YEAR(INDEX($E$5:$E$1000,$R6-4)),MONTH(INDEX($E$5:$E$1000,$R6-4)),1),IF(ISNUMBER(INDEX($F$5:$F$1000,$R6-4)),DATE(YEAR(INDEX($F$5:$F$1000,$R6-4)),MONTH(INDEX($F$5:$F$1000,$R6-4)),1),MesCiclo)),IF(ISNUMBER($E6),DATE(YEAR($E6),MONTH($E6),1),IF(ISNUMBER($F6),DATE(YEAR($F6),MONTH($F6),1),MesCiclo))))</f>
        <v/>
      </c>
      <c r="Q6" s="70">
        <f>IF(OR($P6="",$P6&lt;&gt;MesCiclo),"",COUNTIF($P$5:$P6,MesCiclo))</f>
        <v/>
      </c>
      <c r="R6" s="70">
        <f>IF($S6="","",IF($S6="Macro",ROW(),IFERROR(LOOKUP(2,1/($S$5:$S6="Macro"),ROW($S$5:$S6)),0)))</f>
        <v/>
      </c>
      <c r="S6" s="70">
        <f>IF(NOT((COUNTA($B6:$K6)+COUNTA($N6))&gt;0),"",IF($B6&lt;&gt;"","Macro",IF($C6&lt;&gt;"","Sub","Macro")))</f>
        <v/>
      </c>
      <c r="T6" s="70">
        <f>IF($S6="Macro",COUNTIFS($R$5:$R$1000,ROW(),$S$5:$S$1000,"Sub"),"")</f>
        <v/>
      </c>
      <c r="U6" s="70">
        <f>IF($S6="","",IF(ISNUMBER($H6),$H6,0))</f>
        <v/>
      </c>
      <c r="V6" s="70">
        <f>IF($S6="","",IF(ISNUMBER($I6),$I6,$U6))</f>
        <v/>
      </c>
      <c r="W6" s="70">
        <f>IF($S6="","",IF(ISNUMBER($J6),$J6,$V6))</f>
        <v/>
      </c>
      <c r="X6" s="70">
        <f>IF($S6="","",IF(ISNUMBER($K6),$K6,$W6))</f>
        <v/>
      </c>
      <c r="Y6" s="70">
        <f>IF($S6="","",IF(N($T6)&gt;0,AVERAGEIFS($U$5:$U$1000,$R$5:$R$1000,ROW(),$S$5:$S$1000,"Sub"),$U6))</f>
        <v/>
      </c>
      <c r="Z6" s="70">
        <f>IF($S6="","",IF(N($T6)&gt;0,AVERAGEIFS($V$5:$V$1000,$R$5:$R$1000,ROW(),$S$5:$S$1000,"Sub"),$V6))</f>
        <v/>
      </c>
      <c r="AA6" s="70">
        <f>IF($S6="","",IF(N($T6)&gt;0,AVERAGEIFS($W$5:$W$1000,$R$5:$R$1000,ROW(),$S$5:$S$1000,"Sub"),$W6))</f>
        <v/>
      </c>
      <c r="AB6" s="70">
        <f>IF($S6="","",IF(N($T6)&gt;0,AVERAGEIFS($X$5:$X$1000,$R$5:$R$1000,ROW(),$S$5:$S$1000,"Sub"),$X6))</f>
        <v/>
      </c>
    </row>
    <row r="7">
      <c r="A7" s="61">
        <f>IF(NOT((COUNTA($B7:$K7)+COUNTA($N7))&gt;0),"",IF($S7="Macro",COUNTIFS($S$5:$S7,"Macro",$P$5:$P7,$P7),IF(N($R7)=0,"?",COUNTIFS(INDEX($S$5:$S$1000,1):INDEX($S$5:$S$1000,$R7-4),"Macro",INDEX($P$5:$P$1000,1):INDEX($P$5:$P$1000,$R7-4),INDEX($P$5:$P$1000,$R7-4))&amp;"."&amp;COUNTIFS($R$5:$R7,$R7,$S$5:$S7,"Sub"))))</f>
        <v/>
      </c>
      <c r="B7" s="62" t="n"/>
      <c r="C7" s="63" t="n"/>
      <c r="D7" s="62" t="n"/>
      <c r="E7" s="64" t="n"/>
      <c r="F7" s="64" t="n"/>
      <c r="G7" s="65" t="n"/>
      <c r="H7" s="66" t="n"/>
      <c r="I7" s="66" t="n"/>
      <c r="J7" s="66" t="n"/>
      <c r="K7" s="66" t="n"/>
      <c r="L7" s="67">
        <f>IF(NOT((COUNTA($B7:$K7)+COUNTA($N7))&gt;0),"",IF(N($T7)&gt;0,$AB7,IFERROR(LOOKUP(2,1/(H7:K7&lt;&gt;""),H7:K7),0)))</f>
        <v/>
      </c>
      <c r="M7" s="61">
        <f>IF(L7="","",IF(L7&gt;=1,"Completado",IF(L7&gt;0,"En curso","Pendiente")))</f>
        <v/>
      </c>
      <c r="N7" s="62" t="n"/>
      <c r="O7" s="68">
        <f>IF(NOT((COUNTA($B7:$K7)+COUNTA($N7))&gt;0),"",IF((IF(AND($S7="Macro",$B7=""),"Macroactividad vacía"&amp;" · ","")&amp;IF(AND($B7&lt;&gt;"",$C7&lt;&gt;""),"Escriba la subactividad en otra fila, debajo de su macroactividad"&amp;" · ","")&amp;IF(AND($S7="Sub",N($R7)=0),"Subactividad sin macroactividad arriba"&amp;" · ","")&amp;IF($D7="","Sin responsable"&amp;" · ","")&amp;IF($E7="","Sin fecha de inicio"&amp;" · ","")&amp;IF($F7="","Sin fecha límite"&amp;" · ","")&amp;IF(OR(AND($E7&lt;&gt;"",NOT(ISNUMBER($E7))),AND($F7&lt;&gt;"",NOT(ISNUMBER($F7)))),"Fecha no válida"&amp;" · ","")&amp;IF(AND(ISNUMBER($E7),ISNUMBER($F7),$E7&gt;$F7),"Inicio posterior a fecha límite"&amp;" · ","")&amp;IF(AND($S7="Macro",$G7=""),"Peso vacío"&amp;" · ","")&amp;IF(AND($S7="Macro",$G7&lt;&gt;"",OR(NOT(ISNUMBER($G7)),$G7&lt;=0,$G7&gt;1)),"Peso fuera de rango"&amp;" · ","")&amp;IF(AND($S7="Sub",$G7&lt;&gt;""),"Las subactividades no llevan peso"&amp;" · ","")&amp;IF(AND($S7="Macro",ABS(SUMIFS($G$5:$G$1000,$P$5:$P$1000,$P7,$S$5:$S$1000,"Macro")-1)&gt;0.0001),"Pesos del mes suman "&amp;TEXT(SUMIFS($G$5:$G$1000,$P$5:$P$1000,$P7,$S$5:$S$1000,"Macro"),"0%")&amp;" · ","")&amp;IF(AND(N($T7)&gt;0,COUNT($H7:$K7)&gt;0),"Con subactividades: deje vacías las semanas (se calculan solas)"&amp;" · ","")&amp;IF((COUNTIF($H7:$K7,"&gt;1")+COUNTIF($H7:$K7,"&lt;0")+COUNTA($H7:$K7)-COUNT($H7:$K7))&gt;0,"Avance fuera de rango 0-100%"&amp;" · ","")&amp;IF(OR(AND($I7&lt;&gt;"",$I7&lt;$H7),AND($J7&lt;&gt;"",$J7&lt;MAX($H7:$I7)),AND($K7&lt;&gt;"",$K7&lt;MAX($H7:$J7))),"Avance semanal decreciente"&amp;" · ","")&amp;IF(AND(ISNUMBER($F7),$F7&lt;FechaRef,N($L7)&lt;1),"Vencida"&amp;" · ","")&amp;IF(AND(ObsObligatoria="Sí",ISNUMBER($F7),$F7&lt;FechaRef,N($L7)&lt;1,$N7=""),"Vencida sin observación"&amp;" · ",""))="","✔ OK","⚠ "&amp;LEFT(IF(AND($S7="Macro",$B7=""),"Macroactividad vacía"&amp;" · ","")&amp;IF(AND($B7&lt;&gt;"",$C7&lt;&gt;""),"Escriba la subactividad en otra fila, debajo de su macroactividad"&amp;" · ","")&amp;IF(AND($S7="Sub",N($R7)=0),"Subactividad sin macroactividad arriba"&amp;" · ","")&amp;IF($D7="","Sin responsable"&amp;" · ","")&amp;IF($E7="","Sin fecha de inicio"&amp;" · ","")&amp;IF($F7="","Sin fecha límite"&amp;" · ","")&amp;IF(OR(AND($E7&lt;&gt;"",NOT(ISNUMBER($E7))),AND($F7&lt;&gt;"",NOT(ISNUMBER($F7)))),"Fecha no válida"&amp;" · ","")&amp;IF(AND(ISNUMBER($E7),ISNUMBER($F7),$E7&gt;$F7),"Inicio posterior a fecha límite"&amp;" · ","")&amp;IF(AND($S7="Macro",$G7=""),"Peso vacío"&amp;" · ","")&amp;IF(AND($S7="Macro",$G7&lt;&gt;"",OR(NOT(ISNUMBER($G7)),$G7&lt;=0,$G7&gt;1)),"Peso fuera de rango"&amp;" · ","")&amp;IF(AND($S7="Sub",$G7&lt;&gt;""),"Las subactividades no llevan peso"&amp;" · ","")&amp;IF(AND($S7="Macro",ABS(SUMIFS($G$5:$G$1000,$P$5:$P$1000,$P7,$S$5:$S$1000,"Macro")-1)&gt;0.0001),"Pesos del mes suman "&amp;TEXT(SUMIFS($G$5:$G$1000,$P$5:$P$1000,$P7,$S$5:$S$1000,"Macro"),"0%")&amp;" · ","")&amp;IF(AND(N($T7)&gt;0,COUNT($H7:$K7)&gt;0),"Con subactividades: deje vacías las semanas (se calculan solas)"&amp;" · ","")&amp;IF((COUNTIF($H7:$K7,"&gt;1")+COUNTIF($H7:$K7,"&lt;0")+COUNTA($H7:$K7)-COUNT($H7:$K7))&gt;0,"Avance fuera de rango 0-100%"&amp;" · ","")&amp;IF(OR(AND($I7&lt;&gt;"",$I7&lt;$H7),AND($J7&lt;&gt;"",$J7&lt;MAX($H7:$I7)),AND($K7&lt;&gt;"",$K7&lt;MAX($H7:$J7))),"Avance semanal decreciente"&amp;" · ","")&amp;IF(AND(ISNUMBER($F7),$F7&lt;FechaRef,N($L7)&lt;1),"Vencida"&amp;" · ","")&amp;IF(AND(ObsObligatoria="Sí",ISNUMBER($F7),$F7&lt;FechaRef,N($L7)&lt;1,$N7=""),"Vencida sin observación"&amp;" · ",""),LEN(IF(AND($S7="Macro",$B7=""),"Macroactividad vacía"&amp;" · ","")&amp;IF(AND($B7&lt;&gt;"",$C7&lt;&gt;""),"Escriba la subactividad en otra fila, debajo de su macroactividad"&amp;" · ","")&amp;IF(AND($S7="Sub",N($R7)=0),"Subactividad sin macroactividad arriba"&amp;" · ","")&amp;IF($D7="","Sin responsable"&amp;" · ","")&amp;IF($E7="","Sin fecha de inicio"&amp;" · ","")&amp;IF($F7="","Sin fecha límite"&amp;" · ","")&amp;IF(OR(AND($E7&lt;&gt;"",NOT(ISNUMBER($E7))),AND($F7&lt;&gt;"",NOT(ISNUMBER($F7)))),"Fecha no válida"&amp;" · ","")&amp;IF(AND(ISNUMBER($E7),ISNUMBER($F7),$E7&gt;$F7),"Inicio posterior a fecha límite"&amp;" · ","")&amp;IF(AND($S7="Macro",$G7=""),"Peso vacío"&amp;" · ","")&amp;IF(AND($S7="Macro",$G7&lt;&gt;"",OR(NOT(ISNUMBER($G7)),$G7&lt;=0,$G7&gt;1)),"Peso fuera de rango"&amp;" · ","")&amp;IF(AND($S7="Sub",$G7&lt;&gt;""),"Las subactividades no llevan peso"&amp;" · ","")&amp;IF(AND($S7="Macro",ABS(SUMIFS($G$5:$G$1000,$P$5:$P$1000,$P7,$S$5:$S$1000,"Macro")-1)&gt;0.0001),"Pesos del mes suman "&amp;TEXT(SUMIFS($G$5:$G$1000,$P$5:$P$1000,$P7,$S$5:$S$1000,"Macro"),"0%")&amp;" · ","")&amp;IF(AND(N($T7)&gt;0,COUNT($H7:$K7)&gt;0),"Con subactividades: deje vacías las semanas (se calculan solas)"&amp;" · ","")&amp;IF((COUNTIF($H7:$K7,"&gt;1")+COUNTIF($H7:$K7,"&lt;0")+COUNTA($H7:$K7)-COUNT($H7:$K7))&gt;0,"Avance fuera de rango 0-100%"&amp;" · ","")&amp;IF(OR(AND($I7&lt;&gt;"",$I7&lt;$H7),AND($J7&lt;&gt;"",$J7&lt;MAX($H7:$I7)),AND($K7&lt;&gt;"",$K7&lt;MAX($H7:$J7))),"Avance semanal decreciente"&amp;" · ","")&amp;IF(AND(ISNUMBER($F7),$F7&lt;FechaRef,N($L7)&lt;1),"Vencida"&amp;" · ","")&amp;IF(AND(ObsObligatoria="Sí",ISNUMBER($F7),$F7&lt;FechaRef,N($L7)&lt;1,$N7=""),"Vencida sin observación"&amp;" · ",""))-3)))</f>
        <v/>
      </c>
      <c r="P7" s="69">
        <f>IF(NOT((COUNTA($B7:$K7)+COUNTA($N7))&gt;0),"",IF(AND($S7="Sub",N($R7)&gt;0),IF(ISNUMBER(INDEX($E$5:$E$1000,$R7-4)),DATE(YEAR(INDEX($E$5:$E$1000,$R7-4)),MONTH(INDEX($E$5:$E$1000,$R7-4)),1),IF(ISNUMBER(INDEX($F$5:$F$1000,$R7-4)),DATE(YEAR(INDEX($F$5:$F$1000,$R7-4)),MONTH(INDEX($F$5:$F$1000,$R7-4)),1),MesCiclo)),IF(ISNUMBER($E7),DATE(YEAR($E7),MONTH($E7),1),IF(ISNUMBER($F7),DATE(YEAR($F7),MONTH($F7),1),MesCiclo))))</f>
        <v/>
      </c>
      <c r="Q7" s="70">
        <f>IF(OR($P7="",$P7&lt;&gt;MesCiclo),"",COUNTIF($P$5:$P7,MesCiclo))</f>
        <v/>
      </c>
      <c r="R7" s="70">
        <f>IF($S7="","",IF($S7="Macro",ROW(),IFERROR(LOOKUP(2,1/($S$5:$S7="Macro"),ROW($S$5:$S7)),0)))</f>
        <v/>
      </c>
      <c r="S7" s="70">
        <f>IF(NOT((COUNTA($B7:$K7)+COUNTA($N7))&gt;0),"",IF($B7&lt;&gt;"","Macro",IF($C7&lt;&gt;"","Sub","Macro")))</f>
        <v/>
      </c>
      <c r="T7" s="70">
        <f>IF($S7="Macro",COUNTIFS($R$5:$R$1000,ROW(),$S$5:$S$1000,"Sub"),"")</f>
        <v/>
      </c>
      <c r="U7" s="70">
        <f>IF($S7="","",IF(ISNUMBER($H7),$H7,0))</f>
        <v/>
      </c>
      <c r="V7" s="70">
        <f>IF($S7="","",IF(ISNUMBER($I7),$I7,$U7))</f>
        <v/>
      </c>
      <c r="W7" s="70">
        <f>IF($S7="","",IF(ISNUMBER($J7),$J7,$V7))</f>
        <v/>
      </c>
      <c r="X7" s="70">
        <f>IF($S7="","",IF(ISNUMBER($K7),$K7,$W7))</f>
        <v/>
      </c>
      <c r="Y7" s="70">
        <f>IF($S7="","",IF(N($T7)&gt;0,AVERAGEIFS($U$5:$U$1000,$R$5:$R$1000,ROW(),$S$5:$S$1000,"Sub"),$U7))</f>
        <v/>
      </c>
      <c r="Z7" s="70">
        <f>IF($S7="","",IF(N($T7)&gt;0,AVERAGEIFS($V$5:$V$1000,$R$5:$R$1000,ROW(),$S$5:$S$1000,"Sub"),$V7))</f>
        <v/>
      </c>
      <c r="AA7" s="70">
        <f>IF($S7="","",IF(N($T7)&gt;0,AVERAGEIFS($W$5:$W$1000,$R$5:$R$1000,ROW(),$S$5:$S$1000,"Sub"),$W7))</f>
        <v/>
      </c>
      <c r="AB7" s="70">
        <f>IF($S7="","",IF(N($T7)&gt;0,AVERAGEIFS($X$5:$X$1000,$R$5:$R$1000,ROW(),$S$5:$S$1000,"Sub"),$X7))</f>
        <v/>
      </c>
    </row>
    <row r="8">
      <c r="A8" s="61">
        <f>IF(NOT((COUNTA($B8:$K8)+COUNTA($N8))&gt;0),"",IF($S8="Macro",COUNTIFS($S$5:$S8,"Macro",$P$5:$P8,$P8),IF(N($R8)=0,"?",COUNTIFS(INDEX($S$5:$S$1000,1):INDEX($S$5:$S$1000,$R8-4),"Macro",INDEX($P$5:$P$1000,1):INDEX($P$5:$P$1000,$R8-4),INDEX($P$5:$P$1000,$R8-4))&amp;"."&amp;COUNTIFS($R$5:$R8,$R8,$S$5:$S8,"Sub"))))</f>
        <v/>
      </c>
      <c r="B8" s="62" t="n"/>
      <c r="C8" s="63" t="n"/>
      <c r="D8" s="62" t="n"/>
      <c r="E8" s="64" t="n"/>
      <c r="F8" s="64" t="n"/>
      <c r="G8" s="65" t="n"/>
      <c r="H8" s="66" t="n"/>
      <c r="I8" s="66" t="n"/>
      <c r="J8" s="66" t="n"/>
      <c r="K8" s="66" t="n"/>
      <c r="L8" s="67">
        <f>IF(NOT((COUNTA($B8:$K8)+COUNTA($N8))&gt;0),"",IF(N($T8)&gt;0,$AB8,IFERROR(LOOKUP(2,1/(H8:K8&lt;&gt;""),H8:K8),0)))</f>
        <v/>
      </c>
      <c r="M8" s="61">
        <f>IF(L8="","",IF(L8&gt;=1,"Completado",IF(L8&gt;0,"En curso","Pendiente")))</f>
        <v/>
      </c>
      <c r="N8" s="62" t="n"/>
      <c r="O8" s="68">
        <f>IF(NOT((COUNTA($B8:$K8)+COUNTA($N8))&gt;0),"",IF((IF(AND($S8="Macro",$B8=""),"Macroactividad vacía"&amp;" · ","")&amp;IF(AND($B8&lt;&gt;"",$C8&lt;&gt;""),"Escriba la subactividad en otra fila, debajo de su macroactividad"&amp;" · ","")&amp;IF(AND($S8="Sub",N($R8)=0),"Subactividad sin macroactividad arriba"&amp;" · ","")&amp;IF($D8="","Sin responsable"&amp;" · ","")&amp;IF($E8="","Sin fecha de inicio"&amp;" · ","")&amp;IF($F8="","Sin fecha límite"&amp;" · ","")&amp;IF(OR(AND($E8&lt;&gt;"",NOT(ISNUMBER($E8))),AND($F8&lt;&gt;"",NOT(ISNUMBER($F8)))),"Fecha no válida"&amp;" · ","")&amp;IF(AND(ISNUMBER($E8),ISNUMBER($F8),$E8&gt;$F8),"Inicio posterior a fecha límite"&amp;" · ","")&amp;IF(AND($S8="Macro",$G8=""),"Peso vacío"&amp;" · ","")&amp;IF(AND($S8="Macro",$G8&lt;&gt;"",OR(NOT(ISNUMBER($G8)),$G8&lt;=0,$G8&gt;1)),"Peso fuera de rango"&amp;" · ","")&amp;IF(AND($S8="Sub",$G8&lt;&gt;""),"Las subactividades no llevan peso"&amp;" · ","")&amp;IF(AND($S8="Macro",ABS(SUMIFS($G$5:$G$1000,$P$5:$P$1000,$P8,$S$5:$S$1000,"Macro")-1)&gt;0.0001),"Pesos del mes suman "&amp;TEXT(SUMIFS($G$5:$G$1000,$P$5:$P$1000,$P8,$S$5:$S$1000,"Macro"),"0%")&amp;" · ","")&amp;IF(AND(N($T8)&gt;0,COUNT($H8:$K8)&gt;0),"Con subactividades: deje vacías las semanas (se calculan solas)"&amp;" · ","")&amp;IF((COUNTIF($H8:$K8,"&gt;1")+COUNTIF($H8:$K8,"&lt;0")+COUNTA($H8:$K8)-COUNT($H8:$K8))&gt;0,"Avance fuera de rango 0-100%"&amp;" · ","")&amp;IF(OR(AND($I8&lt;&gt;"",$I8&lt;$H8),AND($J8&lt;&gt;"",$J8&lt;MAX($H8:$I8)),AND($K8&lt;&gt;"",$K8&lt;MAX($H8:$J8))),"Avance semanal decreciente"&amp;" · ","")&amp;IF(AND(ISNUMBER($F8),$F8&lt;FechaRef,N($L8)&lt;1),"Vencida"&amp;" · ","")&amp;IF(AND(ObsObligatoria="Sí",ISNUMBER($F8),$F8&lt;FechaRef,N($L8)&lt;1,$N8=""),"Vencida sin observación"&amp;" · ",""))="","✔ OK","⚠ "&amp;LEFT(IF(AND($S8="Macro",$B8=""),"Macroactividad vacía"&amp;" · ","")&amp;IF(AND($B8&lt;&gt;"",$C8&lt;&gt;""),"Escriba la subactividad en otra fila, debajo de su macroactividad"&amp;" · ","")&amp;IF(AND($S8="Sub",N($R8)=0),"Subactividad sin macroactividad arriba"&amp;" · ","")&amp;IF($D8="","Sin responsable"&amp;" · ","")&amp;IF($E8="","Sin fecha de inicio"&amp;" · ","")&amp;IF($F8="","Sin fecha límite"&amp;" · ","")&amp;IF(OR(AND($E8&lt;&gt;"",NOT(ISNUMBER($E8))),AND($F8&lt;&gt;"",NOT(ISNUMBER($F8)))),"Fecha no válida"&amp;" · ","")&amp;IF(AND(ISNUMBER($E8),ISNUMBER($F8),$E8&gt;$F8),"Inicio posterior a fecha límite"&amp;" · ","")&amp;IF(AND($S8="Macro",$G8=""),"Peso vacío"&amp;" · ","")&amp;IF(AND($S8="Macro",$G8&lt;&gt;"",OR(NOT(ISNUMBER($G8)),$G8&lt;=0,$G8&gt;1)),"Peso fuera de rango"&amp;" · ","")&amp;IF(AND($S8="Sub",$G8&lt;&gt;""),"Las subactividades no llevan peso"&amp;" · ","")&amp;IF(AND($S8="Macro",ABS(SUMIFS($G$5:$G$1000,$P$5:$P$1000,$P8,$S$5:$S$1000,"Macro")-1)&gt;0.0001),"Pesos del mes suman "&amp;TEXT(SUMIFS($G$5:$G$1000,$P$5:$P$1000,$P8,$S$5:$S$1000,"Macro"),"0%")&amp;" · ","")&amp;IF(AND(N($T8)&gt;0,COUNT($H8:$K8)&gt;0),"Con subactividades: deje vacías las semanas (se calculan solas)"&amp;" · ","")&amp;IF((COUNTIF($H8:$K8,"&gt;1")+COUNTIF($H8:$K8,"&lt;0")+COUNTA($H8:$K8)-COUNT($H8:$K8))&gt;0,"Avance fuera de rango 0-100%"&amp;" · ","")&amp;IF(OR(AND($I8&lt;&gt;"",$I8&lt;$H8),AND($J8&lt;&gt;"",$J8&lt;MAX($H8:$I8)),AND($K8&lt;&gt;"",$K8&lt;MAX($H8:$J8))),"Avance semanal decreciente"&amp;" · ","")&amp;IF(AND(ISNUMBER($F8),$F8&lt;FechaRef,N($L8)&lt;1),"Vencida"&amp;" · ","")&amp;IF(AND(ObsObligatoria="Sí",ISNUMBER($F8),$F8&lt;FechaRef,N($L8)&lt;1,$N8=""),"Vencida sin observación"&amp;" · ",""),LEN(IF(AND($S8="Macro",$B8=""),"Macroactividad vacía"&amp;" · ","")&amp;IF(AND($B8&lt;&gt;"",$C8&lt;&gt;""),"Escriba la subactividad en otra fila, debajo de su macroactividad"&amp;" · ","")&amp;IF(AND($S8="Sub",N($R8)=0),"Subactividad sin macroactividad arriba"&amp;" · ","")&amp;IF($D8="","Sin responsable"&amp;" · ","")&amp;IF($E8="","Sin fecha de inicio"&amp;" · ","")&amp;IF($F8="","Sin fecha límite"&amp;" · ","")&amp;IF(OR(AND($E8&lt;&gt;"",NOT(ISNUMBER($E8))),AND($F8&lt;&gt;"",NOT(ISNUMBER($F8)))),"Fecha no válida"&amp;" · ","")&amp;IF(AND(ISNUMBER($E8),ISNUMBER($F8),$E8&gt;$F8),"Inicio posterior a fecha límite"&amp;" · ","")&amp;IF(AND($S8="Macro",$G8=""),"Peso vacío"&amp;" · ","")&amp;IF(AND($S8="Macro",$G8&lt;&gt;"",OR(NOT(ISNUMBER($G8)),$G8&lt;=0,$G8&gt;1)),"Peso fuera de rango"&amp;" · ","")&amp;IF(AND($S8="Sub",$G8&lt;&gt;""),"Las subactividades no llevan peso"&amp;" · ","")&amp;IF(AND($S8="Macro",ABS(SUMIFS($G$5:$G$1000,$P$5:$P$1000,$P8,$S$5:$S$1000,"Macro")-1)&gt;0.0001),"Pesos del mes suman "&amp;TEXT(SUMIFS($G$5:$G$1000,$P$5:$P$1000,$P8,$S$5:$S$1000,"Macro"),"0%")&amp;" · ","")&amp;IF(AND(N($T8)&gt;0,COUNT($H8:$K8)&gt;0),"Con subactividades: deje vacías las semanas (se calculan solas)"&amp;" · ","")&amp;IF((COUNTIF($H8:$K8,"&gt;1")+COUNTIF($H8:$K8,"&lt;0")+COUNTA($H8:$K8)-COUNT($H8:$K8))&gt;0,"Avance fuera de rango 0-100%"&amp;" · ","")&amp;IF(OR(AND($I8&lt;&gt;"",$I8&lt;$H8),AND($J8&lt;&gt;"",$J8&lt;MAX($H8:$I8)),AND($K8&lt;&gt;"",$K8&lt;MAX($H8:$J8))),"Avance semanal decreciente"&amp;" · ","")&amp;IF(AND(ISNUMBER($F8),$F8&lt;FechaRef,N($L8)&lt;1),"Vencida"&amp;" · ","")&amp;IF(AND(ObsObligatoria="Sí",ISNUMBER($F8),$F8&lt;FechaRef,N($L8)&lt;1,$N8=""),"Vencida sin observación"&amp;" · ",""))-3)))</f>
        <v/>
      </c>
      <c r="P8" s="69">
        <f>IF(NOT((COUNTA($B8:$K8)+COUNTA($N8))&gt;0),"",IF(AND($S8="Sub",N($R8)&gt;0),IF(ISNUMBER(INDEX($E$5:$E$1000,$R8-4)),DATE(YEAR(INDEX($E$5:$E$1000,$R8-4)),MONTH(INDEX($E$5:$E$1000,$R8-4)),1),IF(ISNUMBER(INDEX($F$5:$F$1000,$R8-4)),DATE(YEAR(INDEX($F$5:$F$1000,$R8-4)),MONTH(INDEX($F$5:$F$1000,$R8-4)),1),MesCiclo)),IF(ISNUMBER($E8),DATE(YEAR($E8),MONTH($E8),1),IF(ISNUMBER($F8),DATE(YEAR($F8),MONTH($F8),1),MesCiclo))))</f>
        <v/>
      </c>
      <c r="Q8" s="70">
        <f>IF(OR($P8="",$P8&lt;&gt;MesCiclo),"",COUNTIF($P$5:$P8,MesCiclo))</f>
        <v/>
      </c>
      <c r="R8" s="70">
        <f>IF($S8="","",IF($S8="Macro",ROW(),IFERROR(LOOKUP(2,1/($S$5:$S8="Macro"),ROW($S$5:$S8)),0)))</f>
        <v/>
      </c>
      <c r="S8" s="70">
        <f>IF(NOT((COUNTA($B8:$K8)+COUNTA($N8))&gt;0),"",IF($B8&lt;&gt;"","Macro",IF($C8&lt;&gt;"","Sub","Macro")))</f>
        <v/>
      </c>
      <c r="T8" s="70">
        <f>IF($S8="Macro",COUNTIFS($R$5:$R$1000,ROW(),$S$5:$S$1000,"Sub"),"")</f>
        <v/>
      </c>
      <c r="U8" s="70">
        <f>IF($S8="","",IF(ISNUMBER($H8),$H8,0))</f>
        <v/>
      </c>
      <c r="V8" s="70">
        <f>IF($S8="","",IF(ISNUMBER($I8),$I8,$U8))</f>
        <v/>
      </c>
      <c r="W8" s="70">
        <f>IF($S8="","",IF(ISNUMBER($J8),$J8,$V8))</f>
        <v/>
      </c>
      <c r="X8" s="70">
        <f>IF($S8="","",IF(ISNUMBER($K8),$K8,$W8))</f>
        <v/>
      </c>
      <c r="Y8" s="70">
        <f>IF($S8="","",IF(N($T8)&gt;0,AVERAGEIFS($U$5:$U$1000,$R$5:$R$1000,ROW(),$S$5:$S$1000,"Sub"),$U8))</f>
        <v/>
      </c>
      <c r="Z8" s="70">
        <f>IF($S8="","",IF(N($T8)&gt;0,AVERAGEIFS($V$5:$V$1000,$R$5:$R$1000,ROW(),$S$5:$S$1000,"Sub"),$V8))</f>
        <v/>
      </c>
      <c r="AA8" s="70">
        <f>IF($S8="","",IF(N($T8)&gt;0,AVERAGEIFS($W$5:$W$1000,$R$5:$R$1000,ROW(),$S$5:$S$1000,"Sub"),$W8))</f>
        <v/>
      </c>
      <c r="AB8" s="70">
        <f>IF($S8="","",IF(N($T8)&gt;0,AVERAGEIFS($X$5:$X$1000,$R$5:$R$1000,ROW(),$S$5:$S$1000,"Sub"),$X8))</f>
        <v/>
      </c>
    </row>
    <row r="9">
      <c r="A9" s="61">
        <f>IF(NOT((COUNTA($B9:$K9)+COUNTA($N9))&gt;0),"",IF($S9="Macro",COUNTIFS($S$5:$S9,"Macro",$P$5:$P9,$P9),IF(N($R9)=0,"?",COUNTIFS(INDEX($S$5:$S$1000,1):INDEX($S$5:$S$1000,$R9-4),"Macro",INDEX($P$5:$P$1000,1):INDEX($P$5:$P$1000,$R9-4),INDEX($P$5:$P$1000,$R9-4))&amp;"."&amp;COUNTIFS($R$5:$R9,$R9,$S$5:$S9,"Sub"))))</f>
        <v/>
      </c>
      <c r="B9" s="62" t="n"/>
      <c r="C9" s="63" t="n"/>
      <c r="D9" s="62" t="n"/>
      <c r="E9" s="64" t="n"/>
      <c r="F9" s="64" t="n"/>
      <c r="G9" s="65" t="n"/>
      <c r="H9" s="66" t="n"/>
      <c r="I9" s="66" t="n"/>
      <c r="J9" s="66" t="n"/>
      <c r="K9" s="66" t="n"/>
      <c r="L9" s="67">
        <f>IF(NOT((COUNTA($B9:$K9)+COUNTA($N9))&gt;0),"",IF(N($T9)&gt;0,$AB9,IFERROR(LOOKUP(2,1/(H9:K9&lt;&gt;""),H9:K9),0)))</f>
        <v/>
      </c>
      <c r="M9" s="61">
        <f>IF(L9="","",IF(L9&gt;=1,"Completado",IF(L9&gt;0,"En curso","Pendiente")))</f>
        <v/>
      </c>
      <c r="N9" s="62" t="n"/>
      <c r="O9" s="68">
        <f>IF(NOT((COUNTA($B9:$K9)+COUNTA($N9))&gt;0),"",IF((IF(AND($S9="Macro",$B9=""),"Macroactividad vacía"&amp;" · ","")&amp;IF(AND($B9&lt;&gt;"",$C9&lt;&gt;""),"Escriba la subactividad en otra fila, debajo de su macroactividad"&amp;" · ","")&amp;IF(AND($S9="Sub",N($R9)=0),"Subactividad sin macroactividad arriba"&amp;" · ","")&amp;IF($D9="","Sin responsable"&amp;" · ","")&amp;IF($E9="","Sin fecha de inicio"&amp;" · ","")&amp;IF($F9="","Sin fecha límite"&amp;" · ","")&amp;IF(OR(AND($E9&lt;&gt;"",NOT(ISNUMBER($E9))),AND($F9&lt;&gt;"",NOT(ISNUMBER($F9)))),"Fecha no válida"&amp;" · ","")&amp;IF(AND(ISNUMBER($E9),ISNUMBER($F9),$E9&gt;$F9),"Inicio posterior a fecha límite"&amp;" · ","")&amp;IF(AND($S9="Macro",$G9=""),"Peso vacío"&amp;" · ","")&amp;IF(AND($S9="Macro",$G9&lt;&gt;"",OR(NOT(ISNUMBER($G9)),$G9&lt;=0,$G9&gt;1)),"Peso fuera de rango"&amp;" · ","")&amp;IF(AND($S9="Sub",$G9&lt;&gt;""),"Las subactividades no llevan peso"&amp;" · ","")&amp;IF(AND($S9="Macro",ABS(SUMIFS($G$5:$G$1000,$P$5:$P$1000,$P9,$S$5:$S$1000,"Macro")-1)&gt;0.0001),"Pesos del mes suman "&amp;TEXT(SUMIFS($G$5:$G$1000,$P$5:$P$1000,$P9,$S$5:$S$1000,"Macro"),"0%")&amp;" · ","")&amp;IF(AND(N($T9)&gt;0,COUNT($H9:$K9)&gt;0),"Con subactividades: deje vacías las semanas (se calculan solas)"&amp;" · ","")&amp;IF((COUNTIF($H9:$K9,"&gt;1")+COUNTIF($H9:$K9,"&lt;0")+COUNTA($H9:$K9)-COUNT($H9:$K9))&gt;0,"Avance fuera de rango 0-100%"&amp;" · ","")&amp;IF(OR(AND($I9&lt;&gt;"",$I9&lt;$H9),AND($J9&lt;&gt;"",$J9&lt;MAX($H9:$I9)),AND($K9&lt;&gt;"",$K9&lt;MAX($H9:$J9))),"Avance semanal decreciente"&amp;" · ","")&amp;IF(AND(ISNUMBER($F9),$F9&lt;FechaRef,N($L9)&lt;1),"Vencida"&amp;" · ","")&amp;IF(AND(ObsObligatoria="Sí",ISNUMBER($F9),$F9&lt;FechaRef,N($L9)&lt;1,$N9=""),"Vencida sin observación"&amp;" · ",""))="","✔ OK","⚠ "&amp;LEFT(IF(AND($S9="Macro",$B9=""),"Macroactividad vacía"&amp;" · ","")&amp;IF(AND($B9&lt;&gt;"",$C9&lt;&gt;""),"Escriba la subactividad en otra fila, debajo de su macroactividad"&amp;" · ","")&amp;IF(AND($S9="Sub",N($R9)=0),"Subactividad sin macroactividad arriba"&amp;" · ","")&amp;IF($D9="","Sin responsable"&amp;" · ","")&amp;IF($E9="","Sin fecha de inicio"&amp;" · ","")&amp;IF($F9="","Sin fecha límite"&amp;" · ","")&amp;IF(OR(AND($E9&lt;&gt;"",NOT(ISNUMBER($E9))),AND($F9&lt;&gt;"",NOT(ISNUMBER($F9)))),"Fecha no válida"&amp;" · ","")&amp;IF(AND(ISNUMBER($E9),ISNUMBER($F9),$E9&gt;$F9),"Inicio posterior a fecha límite"&amp;" · ","")&amp;IF(AND($S9="Macro",$G9=""),"Peso vacío"&amp;" · ","")&amp;IF(AND($S9="Macro",$G9&lt;&gt;"",OR(NOT(ISNUMBER($G9)),$G9&lt;=0,$G9&gt;1)),"Peso fuera de rango"&amp;" · ","")&amp;IF(AND($S9="Sub",$G9&lt;&gt;""),"Las subactividades no llevan peso"&amp;" · ","")&amp;IF(AND($S9="Macro",ABS(SUMIFS($G$5:$G$1000,$P$5:$P$1000,$P9,$S$5:$S$1000,"Macro")-1)&gt;0.0001),"Pesos del mes suman "&amp;TEXT(SUMIFS($G$5:$G$1000,$P$5:$P$1000,$P9,$S$5:$S$1000,"Macro"),"0%")&amp;" · ","")&amp;IF(AND(N($T9)&gt;0,COUNT($H9:$K9)&gt;0),"Con subactividades: deje vacías las semanas (se calculan solas)"&amp;" · ","")&amp;IF((COUNTIF($H9:$K9,"&gt;1")+COUNTIF($H9:$K9,"&lt;0")+COUNTA($H9:$K9)-COUNT($H9:$K9))&gt;0,"Avance fuera de rango 0-100%"&amp;" · ","")&amp;IF(OR(AND($I9&lt;&gt;"",$I9&lt;$H9),AND($J9&lt;&gt;"",$J9&lt;MAX($H9:$I9)),AND($K9&lt;&gt;"",$K9&lt;MAX($H9:$J9))),"Avance semanal decreciente"&amp;" · ","")&amp;IF(AND(ISNUMBER($F9),$F9&lt;FechaRef,N($L9)&lt;1),"Vencida"&amp;" · ","")&amp;IF(AND(ObsObligatoria="Sí",ISNUMBER($F9),$F9&lt;FechaRef,N($L9)&lt;1,$N9=""),"Vencida sin observación"&amp;" · ",""),LEN(IF(AND($S9="Macro",$B9=""),"Macroactividad vacía"&amp;" · ","")&amp;IF(AND($B9&lt;&gt;"",$C9&lt;&gt;""),"Escriba la subactividad en otra fila, debajo de su macroactividad"&amp;" · ","")&amp;IF(AND($S9="Sub",N($R9)=0),"Subactividad sin macroactividad arriba"&amp;" · ","")&amp;IF($D9="","Sin responsable"&amp;" · ","")&amp;IF($E9="","Sin fecha de inicio"&amp;" · ","")&amp;IF($F9="","Sin fecha límite"&amp;" · ","")&amp;IF(OR(AND($E9&lt;&gt;"",NOT(ISNUMBER($E9))),AND($F9&lt;&gt;"",NOT(ISNUMBER($F9)))),"Fecha no válida"&amp;" · ","")&amp;IF(AND(ISNUMBER($E9),ISNUMBER($F9),$E9&gt;$F9),"Inicio posterior a fecha límite"&amp;" · ","")&amp;IF(AND($S9="Macro",$G9=""),"Peso vacío"&amp;" · ","")&amp;IF(AND($S9="Macro",$G9&lt;&gt;"",OR(NOT(ISNUMBER($G9)),$G9&lt;=0,$G9&gt;1)),"Peso fuera de rango"&amp;" · ","")&amp;IF(AND($S9="Sub",$G9&lt;&gt;""),"Las subactividades no llevan peso"&amp;" · ","")&amp;IF(AND($S9="Macro",ABS(SUMIFS($G$5:$G$1000,$P$5:$P$1000,$P9,$S$5:$S$1000,"Macro")-1)&gt;0.0001),"Pesos del mes suman "&amp;TEXT(SUMIFS($G$5:$G$1000,$P$5:$P$1000,$P9,$S$5:$S$1000,"Macro"),"0%")&amp;" · ","")&amp;IF(AND(N($T9)&gt;0,COUNT($H9:$K9)&gt;0),"Con subactividades: deje vacías las semanas (se calculan solas)"&amp;" · ","")&amp;IF((COUNTIF($H9:$K9,"&gt;1")+COUNTIF($H9:$K9,"&lt;0")+COUNTA($H9:$K9)-COUNT($H9:$K9))&gt;0,"Avance fuera de rango 0-100%"&amp;" · ","")&amp;IF(OR(AND($I9&lt;&gt;"",$I9&lt;$H9),AND($J9&lt;&gt;"",$J9&lt;MAX($H9:$I9)),AND($K9&lt;&gt;"",$K9&lt;MAX($H9:$J9))),"Avance semanal decreciente"&amp;" · ","")&amp;IF(AND(ISNUMBER($F9),$F9&lt;FechaRef,N($L9)&lt;1),"Vencida"&amp;" · ","")&amp;IF(AND(ObsObligatoria="Sí",ISNUMBER($F9),$F9&lt;FechaRef,N($L9)&lt;1,$N9=""),"Vencida sin observación"&amp;" · ",""))-3)))</f>
        <v/>
      </c>
      <c r="P9" s="69">
        <f>IF(NOT((COUNTA($B9:$K9)+COUNTA($N9))&gt;0),"",IF(AND($S9="Sub",N($R9)&gt;0),IF(ISNUMBER(INDEX($E$5:$E$1000,$R9-4)),DATE(YEAR(INDEX($E$5:$E$1000,$R9-4)),MONTH(INDEX($E$5:$E$1000,$R9-4)),1),IF(ISNUMBER(INDEX($F$5:$F$1000,$R9-4)),DATE(YEAR(INDEX($F$5:$F$1000,$R9-4)),MONTH(INDEX($F$5:$F$1000,$R9-4)),1),MesCiclo)),IF(ISNUMBER($E9),DATE(YEAR($E9),MONTH($E9),1),IF(ISNUMBER($F9),DATE(YEAR($F9),MONTH($F9),1),MesCiclo))))</f>
        <v/>
      </c>
      <c r="Q9" s="70">
        <f>IF(OR($P9="",$P9&lt;&gt;MesCiclo),"",COUNTIF($P$5:$P9,MesCiclo))</f>
        <v/>
      </c>
      <c r="R9" s="70">
        <f>IF($S9="","",IF($S9="Macro",ROW(),IFERROR(LOOKUP(2,1/($S$5:$S9="Macro"),ROW($S$5:$S9)),0)))</f>
        <v/>
      </c>
      <c r="S9" s="70">
        <f>IF(NOT((COUNTA($B9:$K9)+COUNTA($N9))&gt;0),"",IF($B9&lt;&gt;"","Macro",IF($C9&lt;&gt;"","Sub","Macro")))</f>
        <v/>
      </c>
      <c r="T9" s="70">
        <f>IF($S9="Macro",COUNTIFS($R$5:$R$1000,ROW(),$S$5:$S$1000,"Sub"),"")</f>
        <v/>
      </c>
      <c r="U9" s="70">
        <f>IF($S9="","",IF(ISNUMBER($H9),$H9,0))</f>
        <v/>
      </c>
      <c r="V9" s="70">
        <f>IF($S9="","",IF(ISNUMBER($I9),$I9,$U9))</f>
        <v/>
      </c>
      <c r="W9" s="70">
        <f>IF($S9="","",IF(ISNUMBER($J9),$J9,$V9))</f>
        <v/>
      </c>
      <c r="X9" s="70">
        <f>IF($S9="","",IF(ISNUMBER($K9),$K9,$W9))</f>
        <v/>
      </c>
      <c r="Y9" s="70">
        <f>IF($S9="","",IF(N($T9)&gt;0,AVERAGEIFS($U$5:$U$1000,$R$5:$R$1000,ROW(),$S$5:$S$1000,"Sub"),$U9))</f>
        <v/>
      </c>
      <c r="Z9" s="70">
        <f>IF($S9="","",IF(N($T9)&gt;0,AVERAGEIFS($V$5:$V$1000,$R$5:$R$1000,ROW(),$S$5:$S$1000,"Sub"),$V9))</f>
        <v/>
      </c>
      <c r="AA9" s="70">
        <f>IF($S9="","",IF(N($T9)&gt;0,AVERAGEIFS($W$5:$W$1000,$R$5:$R$1000,ROW(),$S$5:$S$1000,"Sub"),$W9))</f>
        <v/>
      </c>
      <c r="AB9" s="70">
        <f>IF($S9="","",IF(N($T9)&gt;0,AVERAGEIFS($X$5:$X$1000,$R$5:$R$1000,ROW(),$S$5:$S$1000,"Sub"),$X9))</f>
        <v/>
      </c>
    </row>
    <row r="10">
      <c r="A10" s="61">
        <f>IF(NOT((COUNTA($B10:$K10)+COUNTA($N10))&gt;0),"",IF($S10="Macro",COUNTIFS($S$5:$S10,"Macro",$P$5:$P10,$P10),IF(N($R10)=0,"?",COUNTIFS(INDEX($S$5:$S$1000,1):INDEX($S$5:$S$1000,$R10-4),"Macro",INDEX($P$5:$P$1000,1):INDEX($P$5:$P$1000,$R10-4),INDEX($P$5:$P$1000,$R10-4))&amp;"."&amp;COUNTIFS($R$5:$R10,$R10,$S$5:$S10,"Sub"))))</f>
        <v/>
      </c>
      <c r="B10" s="62" t="n"/>
      <c r="C10" s="63" t="n"/>
      <c r="D10" s="62" t="n"/>
      <c r="E10" s="64" t="n"/>
      <c r="F10" s="64" t="n"/>
      <c r="G10" s="65" t="n"/>
      <c r="H10" s="66" t="n"/>
      <c r="I10" s="66" t="n"/>
      <c r="J10" s="66" t="n"/>
      <c r="K10" s="66" t="n"/>
      <c r="L10" s="67">
        <f>IF(NOT((COUNTA($B10:$K10)+COUNTA($N10))&gt;0),"",IF(N($T10)&gt;0,$AB10,IFERROR(LOOKUP(2,1/(H10:K10&lt;&gt;""),H10:K10),0)))</f>
        <v/>
      </c>
      <c r="M10" s="61">
        <f>IF(L10="","",IF(L10&gt;=1,"Completado",IF(L10&gt;0,"En curso","Pendiente")))</f>
        <v/>
      </c>
      <c r="N10" s="62" t="n"/>
      <c r="O10" s="68">
        <f>IF(NOT((COUNTA($B10:$K10)+COUNTA($N10))&gt;0),"",IF((IF(AND($S10="Macro",$B10=""),"Macroactividad vacía"&amp;" · ","")&amp;IF(AND($B10&lt;&gt;"",$C10&lt;&gt;""),"Escriba la subactividad en otra fila, debajo de su macroactividad"&amp;" · ","")&amp;IF(AND($S10="Sub",N($R10)=0),"Subactividad sin macroactividad arriba"&amp;" · ","")&amp;IF($D10="","Sin responsable"&amp;" · ","")&amp;IF($E10="","Sin fecha de inicio"&amp;" · ","")&amp;IF($F10="","Sin fecha límite"&amp;" · ","")&amp;IF(OR(AND($E10&lt;&gt;"",NOT(ISNUMBER($E10))),AND($F10&lt;&gt;"",NOT(ISNUMBER($F10)))),"Fecha no válida"&amp;" · ","")&amp;IF(AND(ISNUMBER($E10),ISNUMBER($F10),$E10&gt;$F10),"Inicio posterior a fecha límite"&amp;" · ","")&amp;IF(AND($S10="Macro",$G10=""),"Peso vacío"&amp;" · ","")&amp;IF(AND($S10="Macro",$G10&lt;&gt;"",OR(NOT(ISNUMBER($G10)),$G10&lt;=0,$G10&gt;1)),"Peso fuera de rango"&amp;" · ","")&amp;IF(AND($S10="Sub",$G10&lt;&gt;""),"Las subactividades no llevan peso"&amp;" · ","")&amp;IF(AND($S10="Macro",ABS(SUMIFS($G$5:$G$1000,$P$5:$P$1000,$P10,$S$5:$S$1000,"Macro")-1)&gt;0.0001),"Pesos del mes suman "&amp;TEXT(SUMIFS($G$5:$G$1000,$P$5:$P$1000,$P10,$S$5:$S$1000,"Macro"),"0%")&amp;" · ","")&amp;IF(AND(N($T10)&gt;0,COUNT($H10:$K10)&gt;0),"Con subactividades: deje vacías las semanas (se calculan solas)"&amp;" · ","")&amp;IF((COUNTIF($H10:$K10,"&gt;1")+COUNTIF($H10:$K10,"&lt;0")+COUNTA($H10:$K10)-COUNT($H10:$K10))&gt;0,"Avance fuera de rango 0-100%"&amp;" · ","")&amp;IF(OR(AND($I10&lt;&gt;"",$I10&lt;$H10),AND($J10&lt;&gt;"",$J10&lt;MAX($H10:$I10)),AND($K10&lt;&gt;"",$K10&lt;MAX($H10:$J10))),"Avance semanal decreciente"&amp;" · ","")&amp;IF(AND(ISNUMBER($F10),$F10&lt;FechaRef,N($L10)&lt;1),"Vencida"&amp;" · ","")&amp;IF(AND(ObsObligatoria="Sí",ISNUMBER($F10),$F10&lt;FechaRef,N($L10)&lt;1,$N10=""),"Vencida sin observación"&amp;" · ",""))="","✔ OK","⚠ "&amp;LEFT(IF(AND($S10="Macro",$B10=""),"Macroactividad vacía"&amp;" · ","")&amp;IF(AND($B10&lt;&gt;"",$C10&lt;&gt;""),"Escriba la subactividad en otra fila, debajo de su macroactividad"&amp;" · ","")&amp;IF(AND($S10="Sub",N($R10)=0),"Subactividad sin macroactividad arriba"&amp;" · ","")&amp;IF($D10="","Sin responsable"&amp;" · ","")&amp;IF($E10="","Sin fecha de inicio"&amp;" · ","")&amp;IF($F10="","Sin fecha límite"&amp;" · ","")&amp;IF(OR(AND($E10&lt;&gt;"",NOT(ISNUMBER($E10))),AND($F10&lt;&gt;"",NOT(ISNUMBER($F10)))),"Fecha no válida"&amp;" · ","")&amp;IF(AND(ISNUMBER($E10),ISNUMBER($F10),$E10&gt;$F10),"Inicio posterior a fecha límite"&amp;" · ","")&amp;IF(AND($S10="Macro",$G10=""),"Peso vacío"&amp;" · ","")&amp;IF(AND($S10="Macro",$G10&lt;&gt;"",OR(NOT(ISNUMBER($G10)),$G10&lt;=0,$G10&gt;1)),"Peso fuera de rango"&amp;" · ","")&amp;IF(AND($S10="Sub",$G10&lt;&gt;""),"Las subactividades no llevan peso"&amp;" · ","")&amp;IF(AND($S10="Macro",ABS(SUMIFS($G$5:$G$1000,$P$5:$P$1000,$P10,$S$5:$S$1000,"Macro")-1)&gt;0.0001),"Pesos del mes suman "&amp;TEXT(SUMIFS($G$5:$G$1000,$P$5:$P$1000,$P10,$S$5:$S$1000,"Macro"),"0%")&amp;" · ","")&amp;IF(AND(N($T10)&gt;0,COUNT($H10:$K10)&gt;0),"Con subactividades: deje vacías las semanas (se calculan solas)"&amp;" · ","")&amp;IF((COUNTIF($H10:$K10,"&gt;1")+COUNTIF($H10:$K10,"&lt;0")+COUNTA($H10:$K10)-COUNT($H10:$K10))&gt;0,"Avance fuera de rango 0-100%"&amp;" · ","")&amp;IF(OR(AND($I10&lt;&gt;"",$I10&lt;$H10),AND($J10&lt;&gt;"",$J10&lt;MAX($H10:$I10)),AND($K10&lt;&gt;"",$K10&lt;MAX($H10:$J10))),"Avance semanal decreciente"&amp;" · ","")&amp;IF(AND(ISNUMBER($F10),$F10&lt;FechaRef,N($L10)&lt;1),"Vencida"&amp;" · ","")&amp;IF(AND(ObsObligatoria="Sí",ISNUMBER($F10),$F10&lt;FechaRef,N($L10)&lt;1,$N10=""),"Vencida sin observación"&amp;" · ",""),LEN(IF(AND($S10="Macro",$B10=""),"Macroactividad vacía"&amp;" · ","")&amp;IF(AND($B10&lt;&gt;"",$C10&lt;&gt;""),"Escriba la subactividad en otra fila, debajo de su macroactividad"&amp;" · ","")&amp;IF(AND($S10="Sub",N($R10)=0),"Subactividad sin macroactividad arriba"&amp;" · ","")&amp;IF($D10="","Sin responsable"&amp;" · ","")&amp;IF($E10="","Sin fecha de inicio"&amp;" · ","")&amp;IF($F10="","Sin fecha límite"&amp;" · ","")&amp;IF(OR(AND($E10&lt;&gt;"",NOT(ISNUMBER($E10))),AND($F10&lt;&gt;"",NOT(ISNUMBER($F10)))),"Fecha no válida"&amp;" · ","")&amp;IF(AND(ISNUMBER($E10),ISNUMBER($F10),$E10&gt;$F10),"Inicio posterior a fecha límite"&amp;" · ","")&amp;IF(AND($S10="Macro",$G10=""),"Peso vacío"&amp;" · ","")&amp;IF(AND($S10="Macro",$G10&lt;&gt;"",OR(NOT(ISNUMBER($G10)),$G10&lt;=0,$G10&gt;1)),"Peso fuera de rango"&amp;" · ","")&amp;IF(AND($S10="Sub",$G10&lt;&gt;""),"Las subactividades no llevan peso"&amp;" · ","")&amp;IF(AND($S10="Macro",ABS(SUMIFS($G$5:$G$1000,$P$5:$P$1000,$P10,$S$5:$S$1000,"Macro")-1)&gt;0.0001),"Pesos del mes suman "&amp;TEXT(SUMIFS($G$5:$G$1000,$P$5:$P$1000,$P10,$S$5:$S$1000,"Macro"),"0%")&amp;" · ","")&amp;IF(AND(N($T10)&gt;0,COUNT($H10:$K10)&gt;0),"Con subactividades: deje vacías las semanas (se calculan solas)"&amp;" · ","")&amp;IF((COUNTIF($H10:$K10,"&gt;1")+COUNTIF($H10:$K10,"&lt;0")+COUNTA($H10:$K10)-COUNT($H10:$K10))&gt;0,"Avance fuera de rango 0-100%"&amp;" · ","")&amp;IF(OR(AND($I10&lt;&gt;"",$I10&lt;$H10),AND($J10&lt;&gt;"",$J10&lt;MAX($H10:$I10)),AND($K10&lt;&gt;"",$K10&lt;MAX($H10:$J10))),"Avance semanal decreciente"&amp;" · ","")&amp;IF(AND(ISNUMBER($F10),$F10&lt;FechaRef,N($L10)&lt;1),"Vencida"&amp;" · ","")&amp;IF(AND(ObsObligatoria="Sí",ISNUMBER($F10),$F10&lt;FechaRef,N($L10)&lt;1,$N10=""),"Vencida sin observación"&amp;" · ",""))-3)))</f>
        <v/>
      </c>
      <c r="P10" s="69">
        <f>IF(NOT((COUNTA($B10:$K10)+COUNTA($N10))&gt;0),"",IF(AND($S10="Sub",N($R10)&gt;0),IF(ISNUMBER(INDEX($E$5:$E$1000,$R10-4)),DATE(YEAR(INDEX($E$5:$E$1000,$R10-4)),MONTH(INDEX($E$5:$E$1000,$R10-4)),1),IF(ISNUMBER(INDEX($F$5:$F$1000,$R10-4)),DATE(YEAR(INDEX($F$5:$F$1000,$R10-4)),MONTH(INDEX($F$5:$F$1000,$R10-4)),1),MesCiclo)),IF(ISNUMBER($E10),DATE(YEAR($E10),MONTH($E10),1),IF(ISNUMBER($F10),DATE(YEAR($F10),MONTH($F10),1),MesCiclo))))</f>
        <v/>
      </c>
      <c r="Q10" s="70">
        <f>IF(OR($P10="",$P10&lt;&gt;MesCiclo),"",COUNTIF($P$5:$P10,MesCiclo))</f>
        <v/>
      </c>
      <c r="R10" s="70">
        <f>IF($S10="","",IF($S10="Macro",ROW(),IFERROR(LOOKUP(2,1/($S$5:$S10="Macro"),ROW($S$5:$S10)),0)))</f>
        <v/>
      </c>
      <c r="S10" s="70">
        <f>IF(NOT((COUNTA($B10:$K10)+COUNTA($N10))&gt;0),"",IF($B10&lt;&gt;"","Macro",IF($C10&lt;&gt;"","Sub","Macro")))</f>
        <v/>
      </c>
      <c r="T10" s="70">
        <f>IF($S10="Macro",COUNTIFS($R$5:$R$1000,ROW(),$S$5:$S$1000,"Sub"),"")</f>
        <v/>
      </c>
      <c r="U10" s="70">
        <f>IF($S10="","",IF(ISNUMBER($H10),$H10,0))</f>
        <v/>
      </c>
      <c r="V10" s="70">
        <f>IF($S10="","",IF(ISNUMBER($I10),$I10,$U10))</f>
        <v/>
      </c>
      <c r="W10" s="70">
        <f>IF($S10="","",IF(ISNUMBER($J10),$J10,$V10))</f>
        <v/>
      </c>
      <c r="X10" s="70">
        <f>IF($S10="","",IF(ISNUMBER($K10),$K10,$W10))</f>
        <v/>
      </c>
      <c r="Y10" s="70">
        <f>IF($S10="","",IF(N($T10)&gt;0,AVERAGEIFS($U$5:$U$1000,$R$5:$R$1000,ROW(),$S$5:$S$1000,"Sub"),$U10))</f>
        <v/>
      </c>
      <c r="Z10" s="70">
        <f>IF($S10="","",IF(N($T10)&gt;0,AVERAGEIFS($V$5:$V$1000,$R$5:$R$1000,ROW(),$S$5:$S$1000,"Sub"),$V10))</f>
        <v/>
      </c>
      <c r="AA10" s="70">
        <f>IF($S10="","",IF(N($T10)&gt;0,AVERAGEIFS($W$5:$W$1000,$R$5:$R$1000,ROW(),$S$5:$S$1000,"Sub"),$W10))</f>
        <v/>
      </c>
      <c r="AB10" s="70">
        <f>IF($S10="","",IF(N($T10)&gt;0,AVERAGEIFS($X$5:$X$1000,$R$5:$R$1000,ROW(),$S$5:$S$1000,"Sub"),$X10))</f>
        <v/>
      </c>
    </row>
    <row r="11">
      <c r="A11" s="61">
        <f>IF(NOT((COUNTA($B11:$K11)+COUNTA($N11))&gt;0),"",IF($S11="Macro",COUNTIFS($S$5:$S11,"Macro",$P$5:$P11,$P11),IF(N($R11)=0,"?",COUNTIFS(INDEX($S$5:$S$1000,1):INDEX($S$5:$S$1000,$R11-4),"Macro",INDEX($P$5:$P$1000,1):INDEX($P$5:$P$1000,$R11-4),INDEX($P$5:$P$1000,$R11-4))&amp;"."&amp;COUNTIFS($R$5:$R11,$R11,$S$5:$S11,"Sub"))))</f>
        <v/>
      </c>
      <c r="B11" s="62" t="n"/>
      <c r="C11" s="63" t="n"/>
      <c r="D11" s="62" t="n"/>
      <c r="E11" s="64" t="n"/>
      <c r="F11" s="64" t="n"/>
      <c r="G11" s="65" t="n"/>
      <c r="H11" s="66" t="n"/>
      <c r="I11" s="66" t="n"/>
      <c r="J11" s="66" t="n"/>
      <c r="K11" s="66" t="n"/>
      <c r="L11" s="67">
        <f>IF(NOT((COUNTA($B11:$K11)+COUNTA($N11))&gt;0),"",IF(N($T11)&gt;0,$AB11,IFERROR(LOOKUP(2,1/(H11:K11&lt;&gt;""),H11:K11),0)))</f>
        <v/>
      </c>
      <c r="M11" s="61">
        <f>IF(L11="","",IF(L11&gt;=1,"Completado",IF(L11&gt;0,"En curso","Pendiente")))</f>
        <v/>
      </c>
      <c r="N11" s="62" t="n"/>
      <c r="O11" s="68">
        <f>IF(NOT((COUNTA($B11:$K11)+COUNTA($N11))&gt;0),"",IF((IF(AND($S11="Macro",$B11=""),"Macroactividad vacía"&amp;" · ","")&amp;IF(AND($B11&lt;&gt;"",$C11&lt;&gt;""),"Escriba la subactividad en otra fila, debajo de su macroactividad"&amp;" · ","")&amp;IF(AND($S11="Sub",N($R11)=0),"Subactividad sin macroactividad arriba"&amp;" · ","")&amp;IF($D11="","Sin responsable"&amp;" · ","")&amp;IF($E11="","Sin fecha de inicio"&amp;" · ","")&amp;IF($F11="","Sin fecha límite"&amp;" · ","")&amp;IF(OR(AND($E11&lt;&gt;"",NOT(ISNUMBER($E11))),AND($F11&lt;&gt;"",NOT(ISNUMBER($F11)))),"Fecha no válida"&amp;" · ","")&amp;IF(AND(ISNUMBER($E11),ISNUMBER($F11),$E11&gt;$F11),"Inicio posterior a fecha límite"&amp;" · ","")&amp;IF(AND($S11="Macro",$G11=""),"Peso vacío"&amp;" · ","")&amp;IF(AND($S11="Macro",$G11&lt;&gt;"",OR(NOT(ISNUMBER($G11)),$G11&lt;=0,$G11&gt;1)),"Peso fuera de rango"&amp;" · ","")&amp;IF(AND($S11="Sub",$G11&lt;&gt;""),"Las subactividades no llevan peso"&amp;" · ","")&amp;IF(AND($S11="Macro",ABS(SUMIFS($G$5:$G$1000,$P$5:$P$1000,$P11,$S$5:$S$1000,"Macro")-1)&gt;0.0001),"Pesos del mes suman "&amp;TEXT(SUMIFS($G$5:$G$1000,$P$5:$P$1000,$P11,$S$5:$S$1000,"Macro"),"0%")&amp;" · ","")&amp;IF(AND(N($T11)&gt;0,COUNT($H11:$K11)&gt;0),"Con subactividades: deje vacías las semanas (se calculan solas)"&amp;" · ","")&amp;IF((COUNTIF($H11:$K11,"&gt;1")+COUNTIF($H11:$K11,"&lt;0")+COUNTA($H11:$K11)-COUNT($H11:$K11))&gt;0,"Avance fuera de rango 0-100%"&amp;" · ","")&amp;IF(OR(AND($I11&lt;&gt;"",$I11&lt;$H11),AND($J11&lt;&gt;"",$J11&lt;MAX($H11:$I11)),AND($K11&lt;&gt;"",$K11&lt;MAX($H11:$J11))),"Avance semanal decreciente"&amp;" · ","")&amp;IF(AND(ISNUMBER($F11),$F11&lt;FechaRef,N($L11)&lt;1),"Vencida"&amp;" · ","")&amp;IF(AND(ObsObligatoria="Sí",ISNUMBER($F11),$F11&lt;FechaRef,N($L11)&lt;1,$N11=""),"Vencida sin observación"&amp;" · ",""))="","✔ OK","⚠ "&amp;LEFT(IF(AND($S11="Macro",$B11=""),"Macroactividad vacía"&amp;" · ","")&amp;IF(AND($B11&lt;&gt;"",$C11&lt;&gt;""),"Escriba la subactividad en otra fila, debajo de su macroactividad"&amp;" · ","")&amp;IF(AND($S11="Sub",N($R11)=0),"Subactividad sin macroactividad arriba"&amp;" · ","")&amp;IF($D11="","Sin responsable"&amp;" · ","")&amp;IF($E11="","Sin fecha de inicio"&amp;" · ","")&amp;IF($F11="","Sin fecha límite"&amp;" · ","")&amp;IF(OR(AND($E11&lt;&gt;"",NOT(ISNUMBER($E11))),AND($F11&lt;&gt;"",NOT(ISNUMBER($F11)))),"Fecha no válida"&amp;" · ","")&amp;IF(AND(ISNUMBER($E11),ISNUMBER($F11),$E11&gt;$F11),"Inicio posterior a fecha límite"&amp;" · ","")&amp;IF(AND($S11="Macro",$G11=""),"Peso vacío"&amp;" · ","")&amp;IF(AND($S11="Macro",$G11&lt;&gt;"",OR(NOT(ISNUMBER($G11)),$G11&lt;=0,$G11&gt;1)),"Peso fuera de rango"&amp;" · ","")&amp;IF(AND($S11="Sub",$G11&lt;&gt;""),"Las subactividades no llevan peso"&amp;" · ","")&amp;IF(AND($S11="Macro",ABS(SUMIFS($G$5:$G$1000,$P$5:$P$1000,$P11,$S$5:$S$1000,"Macro")-1)&gt;0.0001),"Pesos del mes suman "&amp;TEXT(SUMIFS($G$5:$G$1000,$P$5:$P$1000,$P11,$S$5:$S$1000,"Macro"),"0%")&amp;" · ","")&amp;IF(AND(N($T11)&gt;0,COUNT($H11:$K11)&gt;0),"Con subactividades: deje vacías las semanas (se calculan solas)"&amp;" · ","")&amp;IF((COUNTIF($H11:$K11,"&gt;1")+COUNTIF($H11:$K11,"&lt;0")+COUNTA($H11:$K11)-COUNT($H11:$K11))&gt;0,"Avance fuera de rango 0-100%"&amp;" · ","")&amp;IF(OR(AND($I11&lt;&gt;"",$I11&lt;$H11),AND($J11&lt;&gt;"",$J11&lt;MAX($H11:$I11)),AND($K11&lt;&gt;"",$K11&lt;MAX($H11:$J11))),"Avance semanal decreciente"&amp;" · ","")&amp;IF(AND(ISNUMBER($F11),$F11&lt;FechaRef,N($L11)&lt;1),"Vencida"&amp;" · ","")&amp;IF(AND(ObsObligatoria="Sí",ISNUMBER($F11),$F11&lt;FechaRef,N($L11)&lt;1,$N11=""),"Vencida sin observación"&amp;" · ",""),LEN(IF(AND($S11="Macro",$B11=""),"Macroactividad vacía"&amp;" · ","")&amp;IF(AND($B11&lt;&gt;"",$C11&lt;&gt;""),"Escriba la subactividad en otra fila, debajo de su macroactividad"&amp;" · ","")&amp;IF(AND($S11="Sub",N($R11)=0),"Subactividad sin macroactividad arriba"&amp;" · ","")&amp;IF($D11="","Sin responsable"&amp;" · ","")&amp;IF($E11="","Sin fecha de inicio"&amp;" · ","")&amp;IF($F11="","Sin fecha límite"&amp;" · ","")&amp;IF(OR(AND($E11&lt;&gt;"",NOT(ISNUMBER($E11))),AND($F11&lt;&gt;"",NOT(ISNUMBER($F11)))),"Fecha no válida"&amp;" · ","")&amp;IF(AND(ISNUMBER($E11),ISNUMBER($F11),$E11&gt;$F11),"Inicio posterior a fecha límite"&amp;" · ","")&amp;IF(AND($S11="Macro",$G11=""),"Peso vacío"&amp;" · ","")&amp;IF(AND($S11="Macro",$G11&lt;&gt;"",OR(NOT(ISNUMBER($G11)),$G11&lt;=0,$G11&gt;1)),"Peso fuera de rango"&amp;" · ","")&amp;IF(AND($S11="Sub",$G11&lt;&gt;""),"Las subactividades no llevan peso"&amp;" · ","")&amp;IF(AND($S11="Macro",ABS(SUMIFS($G$5:$G$1000,$P$5:$P$1000,$P11,$S$5:$S$1000,"Macro")-1)&gt;0.0001),"Pesos del mes suman "&amp;TEXT(SUMIFS($G$5:$G$1000,$P$5:$P$1000,$P11,$S$5:$S$1000,"Macro"),"0%")&amp;" · ","")&amp;IF(AND(N($T11)&gt;0,COUNT($H11:$K11)&gt;0),"Con subactividades: deje vacías las semanas (se calculan solas)"&amp;" · ","")&amp;IF((COUNTIF($H11:$K11,"&gt;1")+COUNTIF($H11:$K11,"&lt;0")+COUNTA($H11:$K11)-COUNT($H11:$K11))&gt;0,"Avance fuera de rango 0-100%"&amp;" · ","")&amp;IF(OR(AND($I11&lt;&gt;"",$I11&lt;$H11),AND($J11&lt;&gt;"",$J11&lt;MAX($H11:$I11)),AND($K11&lt;&gt;"",$K11&lt;MAX($H11:$J11))),"Avance semanal decreciente"&amp;" · ","")&amp;IF(AND(ISNUMBER($F11),$F11&lt;FechaRef,N($L11)&lt;1),"Vencida"&amp;" · ","")&amp;IF(AND(ObsObligatoria="Sí",ISNUMBER($F11),$F11&lt;FechaRef,N($L11)&lt;1,$N11=""),"Vencida sin observación"&amp;" · ",""))-3)))</f>
        <v/>
      </c>
      <c r="P11" s="69">
        <f>IF(NOT((COUNTA($B11:$K11)+COUNTA($N11))&gt;0),"",IF(AND($S11="Sub",N($R11)&gt;0),IF(ISNUMBER(INDEX($E$5:$E$1000,$R11-4)),DATE(YEAR(INDEX($E$5:$E$1000,$R11-4)),MONTH(INDEX($E$5:$E$1000,$R11-4)),1),IF(ISNUMBER(INDEX($F$5:$F$1000,$R11-4)),DATE(YEAR(INDEX($F$5:$F$1000,$R11-4)),MONTH(INDEX($F$5:$F$1000,$R11-4)),1),MesCiclo)),IF(ISNUMBER($E11),DATE(YEAR($E11),MONTH($E11),1),IF(ISNUMBER($F11),DATE(YEAR($F11),MONTH($F11),1),MesCiclo))))</f>
        <v/>
      </c>
      <c r="Q11" s="70">
        <f>IF(OR($P11="",$P11&lt;&gt;MesCiclo),"",COUNTIF($P$5:$P11,MesCiclo))</f>
        <v/>
      </c>
      <c r="R11" s="70">
        <f>IF($S11="","",IF($S11="Macro",ROW(),IFERROR(LOOKUP(2,1/($S$5:$S11="Macro"),ROW($S$5:$S11)),0)))</f>
        <v/>
      </c>
      <c r="S11" s="70">
        <f>IF(NOT((COUNTA($B11:$K11)+COUNTA($N11))&gt;0),"",IF($B11&lt;&gt;"","Macro",IF($C11&lt;&gt;"","Sub","Macro")))</f>
        <v/>
      </c>
      <c r="T11" s="70">
        <f>IF($S11="Macro",COUNTIFS($R$5:$R$1000,ROW(),$S$5:$S$1000,"Sub"),"")</f>
        <v/>
      </c>
      <c r="U11" s="70">
        <f>IF($S11="","",IF(ISNUMBER($H11),$H11,0))</f>
        <v/>
      </c>
      <c r="V11" s="70">
        <f>IF($S11="","",IF(ISNUMBER($I11),$I11,$U11))</f>
        <v/>
      </c>
      <c r="W11" s="70">
        <f>IF($S11="","",IF(ISNUMBER($J11),$J11,$V11))</f>
        <v/>
      </c>
      <c r="X11" s="70">
        <f>IF($S11="","",IF(ISNUMBER($K11),$K11,$W11))</f>
        <v/>
      </c>
      <c r="Y11" s="70">
        <f>IF($S11="","",IF(N($T11)&gt;0,AVERAGEIFS($U$5:$U$1000,$R$5:$R$1000,ROW(),$S$5:$S$1000,"Sub"),$U11))</f>
        <v/>
      </c>
      <c r="Z11" s="70">
        <f>IF($S11="","",IF(N($T11)&gt;0,AVERAGEIFS($V$5:$V$1000,$R$5:$R$1000,ROW(),$S$5:$S$1000,"Sub"),$V11))</f>
        <v/>
      </c>
      <c r="AA11" s="70">
        <f>IF($S11="","",IF(N($T11)&gt;0,AVERAGEIFS($W$5:$W$1000,$R$5:$R$1000,ROW(),$S$5:$S$1000,"Sub"),$W11))</f>
        <v/>
      </c>
      <c r="AB11" s="70">
        <f>IF($S11="","",IF(N($T11)&gt;0,AVERAGEIFS($X$5:$X$1000,$R$5:$R$1000,ROW(),$S$5:$S$1000,"Sub"),$X11))</f>
        <v/>
      </c>
    </row>
    <row r="12">
      <c r="A12" s="61">
        <f>IF(NOT((COUNTA($B12:$K12)+COUNTA($N12))&gt;0),"",IF($S12="Macro",COUNTIFS($S$5:$S12,"Macro",$P$5:$P12,$P12),IF(N($R12)=0,"?",COUNTIFS(INDEX($S$5:$S$1000,1):INDEX($S$5:$S$1000,$R12-4),"Macro",INDEX($P$5:$P$1000,1):INDEX($P$5:$P$1000,$R12-4),INDEX($P$5:$P$1000,$R12-4))&amp;"."&amp;COUNTIFS($R$5:$R12,$R12,$S$5:$S12,"Sub"))))</f>
        <v/>
      </c>
      <c r="B12" s="62" t="n"/>
      <c r="C12" s="63" t="n"/>
      <c r="D12" s="62" t="n"/>
      <c r="E12" s="64" t="n"/>
      <c r="F12" s="64" t="n"/>
      <c r="G12" s="65" t="n"/>
      <c r="H12" s="66" t="n"/>
      <c r="I12" s="66" t="n"/>
      <c r="J12" s="66" t="n"/>
      <c r="K12" s="66" t="n"/>
      <c r="L12" s="67">
        <f>IF(NOT((COUNTA($B12:$K12)+COUNTA($N12))&gt;0),"",IF(N($T12)&gt;0,$AB12,IFERROR(LOOKUP(2,1/(H12:K12&lt;&gt;""),H12:K12),0)))</f>
        <v/>
      </c>
      <c r="M12" s="61">
        <f>IF(L12="","",IF(L12&gt;=1,"Completado",IF(L12&gt;0,"En curso","Pendiente")))</f>
        <v/>
      </c>
      <c r="N12" s="62" t="n"/>
      <c r="O12" s="68">
        <f>IF(NOT((COUNTA($B12:$K12)+COUNTA($N12))&gt;0),"",IF((IF(AND($S12="Macro",$B12=""),"Macroactividad vacía"&amp;" · ","")&amp;IF(AND($B12&lt;&gt;"",$C12&lt;&gt;""),"Escriba la subactividad en otra fila, debajo de su macroactividad"&amp;" · ","")&amp;IF(AND($S12="Sub",N($R12)=0),"Subactividad sin macroactividad arriba"&amp;" · ","")&amp;IF($D12="","Sin responsable"&amp;" · ","")&amp;IF($E12="","Sin fecha de inicio"&amp;" · ","")&amp;IF($F12="","Sin fecha límite"&amp;" · ","")&amp;IF(OR(AND($E12&lt;&gt;"",NOT(ISNUMBER($E12))),AND($F12&lt;&gt;"",NOT(ISNUMBER($F12)))),"Fecha no válida"&amp;" · ","")&amp;IF(AND(ISNUMBER($E12),ISNUMBER($F12),$E12&gt;$F12),"Inicio posterior a fecha límite"&amp;" · ","")&amp;IF(AND($S12="Macro",$G12=""),"Peso vacío"&amp;" · ","")&amp;IF(AND($S12="Macro",$G12&lt;&gt;"",OR(NOT(ISNUMBER($G12)),$G12&lt;=0,$G12&gt;1)),"Peso fuera de rango"&amp;" · ","")&amp;IF(AND($S12="Sub",$G12&lt;&gt;""),"Las subactividades no llevan peso"&amp;" · ","")&amp;IF(AND($S12="Macro",ABS(SUMIFS($G$5:$G$1000,$P$5:$P$1000,$P12,$S$5:$S$1000,"Macro")-1)&gt;0.0001),"Pesos del mes suman "&amp;TEXT(SUMIFS($G$5:$G$1000,$P$5:$P$1000,$P12,$S$5:$S$1000,"Macro"),"0%")&amp;" · ","")&amp;IF(AND(N($T12)&gt;0,COUNT($H12:$K12)&gt;0),"Con subactividades: deje vacías las semanas (se calculan solas)"&amp;" · ","")&amp;IF((COUNTIF($H12:$K12,"&gt;1")+COUNTIF($H12:$K12,"&lt;0")+COUNTA($H12:$K12)-COUNT($H12:$K12))&gt;0,"Avance fuera de rango 0-100%"&amp;" · ","")&amp;IF(OR(AND($I12&lt;&gt;"",$I12&lt;$H12),AND($J12&lt;&gt;"",$J12&lt;MAX($H12:$I12)),AND($K12&lt;&gt;"",$K12&lt;MAX($H12:$J12))),"Avance semanal decreciente"&amp;" · ","")&amp;IF(AND(ISNUMBER($F12),$F12&lt;FechaRef,N($L12)&lt;1),"Vencida"&amp;" · ","")&amp;IF(AND(ObsObligatoria="Sí",ISNUMBER($F12),$F12&lt;FechaRef,N($L12)&lt;1,$N12=""),"Vencida sin observación"&amp;" · ",""))="","✔ OK","⚠ "&amp;LEFT(IF(AND($S12="Macro",$B12=""),"Macroactividad vacía"&amp;" · ","")&amp;IF(AND($B12&lt;&gt;"",$C12&lt;&gt;""),"Escriba la subactividad en otra fila, debajo de su macroactividad"&amp;" · ","")&amp;IF(AND($S12="Sub",N($R12)=0),"Subactividad sin macroactividad arriba"&amp;" · ","")&amp;IF($D12="","Sin responsable"&amp;" · ","")&amp;IF($E12="","Sin fecha de inicio"&amp;" · ","")&amp;IF($F12="","Sin fecha límite"&amp;" · ","")&amp;IF(OR(AND($E12&lt;&gt;"",NOT(ISNUMBER($E12))),AND($F12&lt;&gt;"",NOT(ISNUMBER($F12)))),"Fecha no válida"&amp;" · ","")&amp;IF(AND(ISNUMBER($E12),ISNUMBER($F12),$E12&gt;$F12),"Inicio posterior a fecha límite"&amp;" · ","")&amp;IF(AND($S12="Macro",$G12=""),"Peso vacío"&amp;" · ","")&amp;IF(AND($S12="Macro",$G12&lt;&gt;"",OR(NOT(ISNUMBER($G12)),$G12&lt;=0,$G12&gt;1)),"Peso fuera de rango"&amp;" · ","")&amp;IF(AND($S12="Sub",$G12&lt;&gt;""),"Las subactividades no llevan peso"&amp;" · ","")&amp;IF(AND($S12="Macro",ABS(SUMIFS($G$5:$G$1000,$P$5:$P$1000,$P12,$S$5:$S$1000,"Macro")-1)&gt;0.0001),"Pesos del mes suman "&amp;TEXT(SUMIFS($G$5:$G$1000,$P$5:$P$1000,$P12,$S$5:$S$1000,"Macro"),"0%")&amp;" · ","")&amp;IF(AND(N($T12)&gt;0,COUNT($H12:$K12)&gt;0),"Con subactividades: deje vacías las semanas (se calculan solas)"&amp;" · ","")&amp;IF((COUNTIF($H12:$K12,"&gt;1")+COUNTIF($H12:$K12,"&lt;0")+COUNTA($H12:$K12)-COUNT($H12:$K12))&gt;0,"Avance fuera de rango 0-100%"&amp;" · ","")&amp;IF(OR(AND($I12&lt;&gt;"",$I12&lt;$H12),AND($J12&lt;&gt;"",$J12&lt;MAX($H12:$I12)),AND($K12&lt;&gt;"",$K12&lt;MAX($H12:$J12))),"Avance semanal decreciente"&amp;" · ","")&amp;IF(AND(ISNUMBER($F12),$F12&lt;FechaRef,N($L12)&lt;1),"Vencida"&amp;" · ","")&amp;IF(AND(ObsObligatoria="Sí",ISNUMBER($F12),$F12&lt;FechaRef,N($L12)&lt;1,$N12=""),"Vencida sin observación"&amp;" · ",""),LEN(IF(AND($S12="Macro",$B12=""),"Macroactividad vacía"&amp;" · ","")&amp;IF(AND($B12&lt;&gt;"",$C12&lt;&gt;""),"Escriba la subactividad en otra fila, debajo de su macroactividad"&amp;" · ","")&amp;IF(AND($S12="Sub",N($R12)=0),"Subactividad sin macroactividad arriba"&amp;" · ","")&amp;IF($D12="","Sin responsable"&amp;" · ","")&amp;IF($E12="","Sin fecha de inicio"&amp;" · ","")&amp;IF($F12="","Sin fecha límite"&amp;" · ","")&amp;IF(OR(AND($E12&lt;&gt;"",NOT(ISNUMBER($E12))),AND($F12&lt;&gt;"",NOT(ISNUMBER($F12)))),"Fecha no válida"&amp;" · ","")&amp;IF(AND(ISNUMBER($E12),ISNUMBER($F12),$E12&gt;$F12),"Inicio posterior a fecha límite"&amp;" · ","")&amp;IF(AND($S12="Macro",$G12=""),"Peso vacío"&amp;" · ","")&amp;IF(AND($S12="Macro",$G12&lt;&gt;"",OR(NOT(ISNUMBER($G12)),$G12&lt;=0,$G12&gt;1)),"Peso fuera de rango"&amp;" · ","")&amp;IF(AND($S12="Sub",$G12&lt;&gt;""),"Las subactividades no llevan peso"&amp;" · ","")&amp;IF(AND($S12="Macro",ABS(SUMIFS($G$5:$G$1000,$P$5:$P$1000,$P12,$S$5:$S$1000,"Macro")-1)&gt;0.0001),"Pesos del mes suman "&amp;TEXT(SUMIFS($G$5:$G$1000,$P$5:$P$1000,$P12,$S$5:$S$1000,"Macro"),"0%")&amp;" · ","")&amp;IF(AND(N($T12)&gt;0,COUNT($H12:$K12)&gt;0),"Con subactividades: deje vacías las semanas (se calculan solas)"&amp;" · ","")&amp;IF((COUNTIF($H12:$K12,"&gt;1")+COUNTIF($H12:$K12,"&lt;0")+COUNTA($H12:$K12)-COUNT($H12:$K12))&gt;0,"Avance fuera de rango 0-100%"&amp;" · ","")&amp;IF(OR(AND($I12&lt;&gt;"",$I12&lt;$H12),AND($J12&lt;&gt;"",$J12&lt;MAX($H12:$I12)),AND($K12&lt;&gt;"",$K12&lt;MAX($H12:$J12))),"Avance semanal decreciente"&amp;" · ","")&amp;IF(AND(ISNUMBER($F12),$F12&lt;FechaRef,N($L12)&lt;1),"Vencida"&amp;" · ","")&amp;IF(AND(ObsObligatoria="Sí",ISNUMBER($F12),$F12&lt;FechaRef,N($L12)&lt;1,$N12=""),"Vencida sin observación"&amp;" · ",""))-3)))</f>
        <v/>
      </c>
      <c r="P12" s="69">
        <f>IF(NOT((COUNTA($B12:$K12)+COUNTA($N12))&gt;0),"",IF(AND($S12="Sub",N($R12)&gt;0),IF(ISNUMBER(INDEX($E$5:$E$1000,$R12-4)),DATE(YEAR(INDEX($E$5:$E$1000,$R12-4)),MONTH(INDEX($E$5:$E$1000,$R12-4)),1),IF(ISNUMBER(INDEX($F$5:$F$1000,$R12-4)),DATE(YEAR(INDEX($F$5:$F$1000,$R12-4)),MONTH(INDEX($F$5:$F$1000,$R12-4)),1),MesCiclo)),IF(ISNUMBER($E12),DATE(YEAR($E12),MONTH($E12),1),IF(ISNUMBER($F12),DATE(YEAR($F12),MONTH($F12),1),MesCiclo))))</f>
        <v/>
      </c>
      <c r="Q12" s="70">
        <f>IF(OR($P12="",$P12&lt;&gt;MesCiclo),"",COUNTIF($P$5:$P12,MesCiclo))</f>
        <v/>
      </c>
      <c r="R12" s="70">
        <f>IF($S12="","",IF($S12="Macro",ROW(),IFERROR(LOOKUP(2,1/($S$5:$S12="Macro"),ROW($S$5:$S12)),0)))</f>
        <v/>
      </c>
      <c r="S12" s="70">
        <f>IF(NOT((COUNTA($B12:$K12)+COUNTA($N12))&gt;0),"",IF($B12&lt;&gt;"","Macro",IF($C12&lt;&gt;"","Sub","Macro")))</f>
        <v/>
      </c>
      <c r="T12" s="70">
        <f>IF($S12="Macro",COUNTIFS($R$5:$R$1000,ROW(),$S$5:$S$1000,"Sub"),"")</f>
        <v/>
      </c>
      <c r="U12" s="70">
        <f>IF($S12="","",IF(ISNUMBER($H12),$H12,0))</f>
        <v/>
      </c>
      <c r="V12" s="70">
        <f>IF($S12="","",IF(ISNUMBER($I12),$I12,$U12))</f>
        <v/>
      </c>
      <c r="W12" s="70">
        <f>IF($S12="","",IF(ISNUMBER($J12),$J12,$V12))</f>
        <v/>
      </c>
      <c r="X12" s="70">
        <f>IF($S12="","",IF(ISNUMBER($K12),$K12,$W12))</f>
        <v/>
      </c>
      <c r="Y12" s="70">
        <f>IF($S12="","",IF(N($T12)&gt;0,AVERAGEIFS($U$5:$U$1000,$R$5:$R$1000,ROW(),$S$5:$S$1000,"Sub"),$U12))</f>
        <v/>
      </c>
      <c r="Z12" s="70">
        <f>IF($S12="","",IF(N($T12)&gt;0,AVERAGEIFS($V$5:$V$1000,$R$5:$R$1000,ROW(),$S$5:$S$1000,"Sub"),$V12))</f>
        <v/>
      </c>
      <c r="AA12" s="70">
        <f>IF($S12="","",IF(N($T12)&gt;0,AVERAGEIFS($W$5:$W$1000,$R$5:$R$1000,ROW(),$S$5:$S$1000,"Sub"),$W12))</f>
        <v/>
      </c>
      <c r="AB12" s="70">
        <f>IF($S12="","",IF(N($T12)&gt;0,AVERAGEIFS($X$5:$X$1000,$R$5:$R$1000,ROW(),$S$5:$S$1000,"Sub"),$X12))</f>
        <v/>
      </c>
    </row>
    <row r="13">
      <c r="A13" s="61">
        <f>IF(NOT((COUNTA($B13:$K13)+COUNTA($N13))&gt;0),"",IF($S13="Macro",COUNTIFS($S$5:$S13,"Macro",$P$5:$P13,$P13),IF(N($R13)=0,"?",COUNTIFS(INDEX($S$5:$S$1000,1):INDEX($S$5:$S$1000,$R13-4),"Macro",INDEX($P$5:$P$1000,1):INDEX($P$5:$P$1000,$R13-4),INDEX($P$5:$P$1000,$R13-4))&amp;"."&amp;COUNTIFS($R$5:$R13,$R13,$S$5:$S13,"Sub"))))</f>
        <v/>
      </c>
      <c r="B13" s="62" t="n"/>
      <c r="C13" s="63" t="n"/>
      <c r="D13" s="62" t="n"/>
      <c r="E13" s="64" t="n"/>
      <c r="F13" s="64" t="n"/>
      <c r="G13" s="65" t="n"/>
      <c r="H13" s="66" t="n"/>
      <c r="I13" s="66" t="n"/>
      <c r="J13" s="66" t="n"/>
      <c r="K13" s="66" t="n"/>
      <c r="L13" s="67">
        <f>IF(NOT((COUNTA($B13:$K13)+COUNTA($N13))&gt;0),"",IF(N($T13)&gt;0,$AB13,IFERROR(LOOKUP(2,1/(H13:K13&lt;&gt;""),H13:K13),0)))</f>
        <v/>
      </c>
      <c r="M13" s="61">
        <f>IF(L13="","",IF(L13&gt;=1,"Completado",IF(L13&gt;0,"En curso","Pendiente")))</f>
        <v/>
      </c>
      <c r="N13" s="62" t="n"/>
      <c r="O13" s="68">
        <f>IF(NOT((COUNTA($B13:$K13)+COUNTA($N13))&gt;0),"",IF((IF(AND($S13="Macro",$B13=""),"Macroactividad vacía"&amp;" · ","")&amp;IF(AND($B13&lt;&gt;"",$C13&lt;&gt;""),"Escriba la subactividad en otra fila, debajo de su macroactividad"&amp;" · ","")&amp;IF(AND($S13="Sub",N($R13)=0),"Subactividad sin macroactividad arriba"&amp;" · ","")&amp;IF($D13="","Sin responsable"&amp;" · ","")&amp;IF($E13="","Sin fecha de inicio"&amp;" · ","")&amp;IF($F13="","Sin fecha límite"&amp;" · ","")&amp;IF(OR(AND($E13&lt;&gt;"",NOT(ISNUMBER($E13))),AND($F13&lt;&gt;"",NOT(ISNUMBER($F13)))),"Fecha no válida"&amp;" · ","")&amp;IF(AND(ISNUMBER($E13),ISNUMBER($F13),$E13&gt;$F13),"Inicio posterior a fecha límite"&amp;" · ","")&amp;IF(AND($S13="Macro",$G13=""),"Peso vacío"&amp;" · ","")&amp;IF(AND($S13="Macro",$G13&lt;&gt;"",OR(NOT(ISNUMBER($G13)),$G13&lt;=0,$G13&gt;1)),"Peso fuera de rango"&amp;" · ","")&amp;IF(AND($S13="Sub",$G13&lt;&gt;""),"Las subactividades no llevan peso"&amp;" · ","")&amp;IF(AND($S13="Macro",ABS(SUMIFS($G$5:$G$1000,$P$5:$P$1000,$P13,$S$5:$S$1000,"Macro")-1)&gt;0.0001),"Pesos del mes suman "&amp;TEXT(SUMIFS($G$5:$G$1000,$P$5:$P$1000,$P13,$S$5:$S$1000,"Macro"),"0%")&amp;" · ","")&amp;IF(AND(N($T13)&gt;0,COUNT($H13:$K13)&gt;0),"Con subactividades: deje vacías las semanas (se calculan solas)"&amp;" · ","")&amp;IF((COUNTIF($H13:$K13,"&gt;1")+COUNTIF($H13:$K13,"&lt;0")+COUNTA($H13:$K13)-COUNT($H13:$K13))&gt;0,"Avance fuera de rango 0-100%"&amp;" · ","")&amp;IF(OR(AND($I13&lt;&gt;"",$I13&lt;$H13),AND($J13&lt;&gt;"",$J13&lt;MAX($H13:$I13)),AND($K13&lt;&gt;"",$K13&lt;MAX($H13:$J13))),"Avance semanal decreciente"&amp;" · ","")&amp;IF(AND(ISNUMBER($F13),$F13&lt;FechaRef,N($L13)&lt;1),"Vencida"&amp;" · ","")&amp;IF(AND(ObsObligatoria="Sí",ISNUMBER($F13),$F13&lt;FechaRef,N($L13)&lt;1,$N13=""),"Vencida sin observación"&amp;" · ",""))="","✔ OK","⚠ "&amp;LEFT(IF(AND($S13="Macro",$B13=""),"Macroactividad vacía"&amp;" · ","")&amp;IF(AND($B13&lt;&gt;"",$C13&lt;&gt;""),"Escriba la subactividad en otra fila, debajo de su macroactividad"&amp;" · ","")&amp;IF(AND($S13="Sub",N($R13)=0),"Subactividad sin macroactividad arriba"&amp;" · ","")&amp;IF($D13="","Sin responsable"&amp;" · ","")&amp;IF($E13="","Sin fecha de inicio"&amp;" · ","")&amp;IF($F13="","Sin fecha límite"&amp;" · ","")&amp;IF(OR(AND($E13&lt;&gt;"",NOT(ISNUMBER($E13))),AND($F13&lt;&gt;"",NOT(ISNUMBER($F13)))),"Fecha no válida"&amp;" · ","")&amp;IF(AND(ISNUMBER($E13),ISNUMBER($F13),$E13&gt;$F13),"Inicio posterior a fecha límite"&amp;" · ","")&amp;IF(AND($S13="Macro",$G13=""),"Peso vacío"&amp;" · ","")&amp;IF(AND($S13="Macro",$G13&lt;&gt;"",OR(NOT(ISNUMBER($G13)),$G13&lt;=0,$G13&gt;1)),"Peso fuera de rango"&amp;" · ","")&amp;IF(AND($S13="Sub",$G13&lt;&gt;""),"Las subactividades no llevan peso"&amp;" · ","")&amp;IF(AND($S13="Macro",ABS(SUMIFS($G$5:$G$1000,$P$5:$P$1000,$P13,$S$5:$S$1000,"Macro")-1)&gt;0.0001),"Pesos del mes suman "&amp;TEXT(SUMIFS($G$5:$G$1000,$P$5:$P$1000,$P13,$S$5:$S$1000,"Macro"),"0%")&amp;" · ","")&amp;IF(AND(N($T13)&gt;0,COUNT($H13:$K13)&gt;0),"Con subactividades: deje vacías las semanas (se calculan solas)"&amp;" · ","")&amp;IF((COUNTIF($H13:$K13,"&gt;1")+COUNTIF($H13:$K13,"&lt;0")+COUNTA($H13:$K13)-COUNT($H13:$K13))&gt;0,"Avance fuera de rango 0-100%"&amp;" · ","")&amp;IF(OR(AND($I13&lt;&gt;"",$I13&lt;$H13),AND($J13&lt;&gt;"",$J13&lt;MAX($H13:$I13)),AND($K13&lt;&gt;"",$K13&lt;MAX($H13:$J13))),"Avance semanal decreciente"&amp;" · ","")&amp;IF(AND(ISNUMBER($F13),$F13&lt;FechaRef,N($L13)&lt;1),"Vencida"&amp;" · ","")&amp;IF(AND(ObsObligatoria="Sí",ISNUMBER($F13),$F13&lt;FechaRef,N($L13)&lt;1,$N13=""),"Vencida sin observación"&amp;" · ",""),LEN(IF(AND($S13="Macro",$B13=""),"Macroactividad vacía"&amp;" · ","")&amp;IF(AND($B13&lt;&gt;"",$C13&lt;&gt;""),"Escriba la subactividad en otra fila, debajo de su macroactividad"&amp;" · ","")&amp;IF(AND($S13="Sub",N($R13)=0),"Subactividad sin macroactividad arriba"&amp;" · ","")&amp;IF($D13="","Sin responsable"&amp;" · ","")&amp;IF($E13="","Sin fecha de inicio"&amp;" · ","")&amp;IF($F13="","Sin fecha límite"&amp;" · ","")&amp;IF(OR(AND($E13&lt;&gt;"",NOT(ISNUMBER($E13))),AND($F13&lt;&gt;"",NOT(ISNUMBER($F13)))),"Fecha no válida"&amp;" · ","")&amp;IF(AND(ISNUMBER($E13),ISNUMBER($F13),$E13&gt;$F13),"Inicio posterior a fecha límite"&amp;" · ","")&amp;IF(AND($S13="Macro",$G13=""),"Peso vacío"&amp;" · ","")&amp;IF(AND($S13="Macro",$G13&lt;&gt;"",OR(NOT(ISNUMBER($G13)),$G13&lt;=0,$G13&gt;1)),"Peso fuera de rango"&amp;" · ","")&amp;IF(AND($S13="Sub",$G13&lt;&gt;""),"Las subactividades no llevan peso"&amp;" · ","")&amp;IF(AND($S13="Macro",ABS(SUMIFS($G$5:$G$1000,$P$5:$P$1000,$P13,$S$5:$S$1000,"Macro")-1)&gt;0.0001),"Pesos del mes suman "&amp;TEXT(SUMIFS($G$5:$G$1000,$P$5:$P$1000,$P13,$S$5:$S$1000,"Macro"),"0%")&amp;" · ","")&amp;IF(AND(N($T13)&gt;0,COUNT($H13:$K13)&gt;0),"Con subactividades: deje vacías las semanas (se calculan solas)"&amp;" · ","")&amp;IF((COUNTIF($H13:$K13,"&gt;1")+COUNTIF($H13:$K13,"&lt;0")+COUNTA($H13:$K13)-COUNT($H13:$K13))&gt;0,"Avance fuera de rango 0-100%"&amp;" · ","")&amp;IF(OR(AND($I13&lt;&gt;"",$I13&lt;$H13),AND($J13&lt;&gt;"",$J13&lt;MAX($H13:$I13)),AND($K13&lt;&gt;"",$K13&lt;MAX($H13:$J13))),"Avance semanal decreciente"&amp;" · ","")&amp;IF(AND(ISNUMBER($F13),$F13&lt;FechaRef,N($L13)&lt;1),"Vencida"&amp;" · ","")&amp;IF(AND(ObsObligatoria="Sí",ISNUMBER($F13),$F13&lt;FechaRef,N($L13)&lt;1,$N13=""),"Vencida sin observación"&amp;" · ",""))-3)))</f>
        <v/>
      </c>
      <c r="P13" s="69">
        <f>IF(NOT((COUNTA($B13:$K13)+COUNTA($N13))&gt;0),"",IF(AND($S13="Sub",N($R13)&gt;0),IF(ISNUMBER(INDEX($E$5:$E$1000,$R13-4)),DATE(YEAR(INDEX($E$5:$E$1000,$R13-4)),MONTH(INDEX($E$5:$E$1000,$R13-4)),1),IF(ISNUMBER(INDEX($F$5:$F$1000,$R13-4)),DATE(YEAR(INDEX($F$5:$F$1000,$R13-4)),MONTH(INDEX($F$5:$F$1000,$R13-4)),1),MesCiclo)),IF(ISNUMBER($E13),DATE(YEAR($E13),MONTH($E13),1),IF(ISNUMBER($F13),DATE(YEAR($F13),MONTH($F13),1),MesCiclo))))</f>
        <v/>
      </c>
      <c r="Q13" s="70">
        <f>IF(OR($P13="",$P13&lt;&gt;MesCiclo),"",COUNTIF($P$5:$P13,MesCiclo))</f>
        <v/>
      </c>
      <c r="R13" s="70">
        <f>IF($S13="","",IF($S13="Macro",ROW(),IFERROR(LOOKUP(2,1/($S$5:$S13="Macro"),ROW($S$5:$S13)),0)))</f>
        <v/>
      </c>
      <c r="S13" s="70">
        <f>IF(NOT((COUNTA($B13:$K13)+COUNTA($N13))&gt;0),"",IF($B13&lt;&gt;"","Macro",IF($C13&lt;&gt;"","Sub","Macro")))</f>
        <v/>
      </c>
      <c r="T13" s="70">
        <f>IF($S13="Macro",COUNTIFS($R$5:$R$1000,ROW(),$S$5:$S$1000,"Sub"),"")</f>
        <v/>
      </c>
      <c r="U13" s="70">
        <f>IF($S13="","",IF(ISNUMBER($H13),$H13,0))</f>
        <v/>
      </c>
      <c r="V13" s="70">
        <f>IF($S13="","",IF(ISNUMBER($I13),$I13,$U13))</f>
        <v/>
      </c>
      <c r="W13" s="70">
        <f>IF($S13="","",IF(ISNUMBER($J13),$J13,$V13))</f>
        <v/>
      </c>
      <c r="X13" s="70">
        <f>IF($S13="","",IF(ISNUMBER($K13),$K13,$W13))</f>
        <v/>
      </c>
      <c r="Y13" s="70">
        <f>IF($S13="","",IF(N($T13)&gt;0,AVERAGEIFS($U$5:$U$1000,$R$5:$R$1000,ROW(),$S$5:$S$1000,"Sub"),$U13))</f>
        <v/>
      </c>
      <c r="Z13" s="70">
        <f>IF($S13="","",IF(N($T13)&gt;0,AVERAGEIFS($V$5:$V$1000,$R$5:$R$1000,ROW(),$S$5:$S$1000,"Sub"),$V13))</f>
        <v/>
      </c>
      <c r="AA13" s="70">
        <f>IF($S13="","",IF(N($T13)&gt;0,AVERAGEIFS($W$5:$W$1000,$R$5:$R$1000,ROW(),$S$5:$S$1000,"Sub"),$W13))</f>
        <v/>
      </c>
      <c r="AB13" s="70">
        <f>IF($S13="","",IF(N($T13)&gt;0,AVERAGEIFS($X$5:$X$1000,$R$5:$R$1000,ROW(),$S$5:$S$1000,"Sub"),$X13))</f>
        <v/>
      </c>
    </row>
    <row r="14">
      <c r="A14" s="61">
        <f>IF(NOT((COUNTA($B14:$K14)+COUNTA($N14))&gt;0),"",IF($S14="Macro",COUNTIFS($S$5:$S14,"Macro",$P$5:$P14,$P14),IF(N($R14)=0,"?",COUNTIFS(INDEX($S$5:$S$1000,1):INDEX($S$5:$S$1000,$R14-4),"Macro",INDEX($P$5:$P$1000,1):INDEX($P$5:$P$1000,$R14-4),INDEX($P$5:$P$1000,$R14-4))&amp;"."&amp;COUNTIFS($R$5:$R14,$R14,$S$5:$S14,"Sub"))))</f>
        <v/>
      </c>
      <c r="B14" s="62" t="n"/>
      <c r="C14" s="63" t="n"/>
      <c r="D14" s="62" t="n"/>
      <c r="E14" s="64" t="n"/>
      <c r="F14" s="64" t="n"/>
      <c r="G14" s="65" t="n"/>
      <c r="H14" s="66" t="n"/>
      <c r="I14" s="66" t="n"/>
      <c r="J14" s="66" t="n"/>
      <c r="K14" s="66" t="n"/>
      <c r="L14" s="67">
        <f>IF(NOT((COUNTA($B14:$K14)+COUNTA($N14))&gt;0),"",IF(N($T14)&gt;0,$AB14,IFERROR(LOOKUP(2,1/(H14:K14&lt;&gt;""),H14:K14),0)))</f>
        <v/>
      </c>
      <c r="M14" s="61">
        <f>IF(L14="","",IF(L14&gt;=1,"Completado",IF(L14&gt;0,"En curso","Pendiente")))</f>
        <v/>
      </c>
      <c r="N14" s="62" t="n"/>
      <c r="O14" s="68">
        <f>IF(NOT((COUNTA($B14:$K14)+COUNTA($N14))&gt;0),"",IF((IF(AND($S14="Macro",$B14=""),"Macroactividad vacía"&amp;" · ","")&amp;IF(AND($B14&lt;&gt;"",$C14&lt;&gt;""),"Escriba la subactividad en otra fila, debajo de su macroactividad"&amp;" · ","")&amp;IF(AND($S14="Sub",N($R14)=0),"Subactividad sin macroactividad arriba"&amp;" · ","")&amp;IF($D14="","Sin responsable"&amp;" · ","")&amp;IF($E14="","Sin fecha de inicio"&amp;" · ","")&amp;IF($F14="","Sin fecha límite"&amp;" · ","")&amp;IF(OR(AND($E14&lt;&gt;"",NOT(ISNUMBER($E14))),AND($F14&lt;&gt;"",NOT(ISNUMBER($F14)))),"Fecha no válida"&amp;" · ","")&amp;IF(AND(ISNUMBER($E14),ISNUMBER($F14),$E14&gt;$F14),"Inicio posterior a fecha límite"&amp;" · ","")&amp;IF(AND($S14="Macro",$G14=""),"Peso vacío"&amp;" · ","")&amp;IF(AND($S14="Macro",$G14&lt;&gt;"",OR(NOT(ISNUMBER($G14)),$G14&lt;=0,$G14&gt;1)),"Peso fuera de rango"&amp;" · ","")&amp;IF(AND($S14="Sub",$G14&lt;&gt;""),"Las subactividades no llevan peso"&amp;" · ","")&amp;IF(AND($S14="Macro",ABS(SUMIFS($G$5:$G$1000,$P$5:$P$1000,$P14,$S$5:$S$1000,"Macro")-1)&gt;0.0001),"Pesos del mes suman "&amp;TEXT(SUMIFS($G$5:$G$1000,$P$5:$P$1000,$P14,$S$5:$S$1000,"Macro"),"0%")&amp;" · ","")&amp;IF(AND(N($T14)&gt;0,COUNT($H14:$K14)&gt;0),"Con subactividades: deje vacías las semanas (se calculan solas)"&amp;" · ","")&amp;IF((COUNTIF($H14:$K14,"&gt;1")+COUNTIF($H14:$K14,"&lt;0")+COUNTA($H14:$K14)-COUNT($H14:$K14))&gt;0,"Avance fuera de rango 0-100%"&amp;" · ","")&amp;IF(OR(AND($I14&lt;&gt;"",$I14&lt;$H14),AND($J14&lt;&gt;"",$J14&lt;MAX($H14:$I14)),AND($K14&lt;&gt;"",$K14&lt;MAX($H14:$J14))),"Avance semanal decreciente"&amp;" · ","")&amp;IF(AND(ISNUMBER($F14),$F14&lt;FechaRef,N($L14)&lt;1),"Vencida"&amp;" · ","")&amp;IF(AND(ObsObligatoria="Sí",ISNUMBER($F14),$F14&lt;FechaRef,N($L14)&lt;1,$N14=""),"Vencida sin observación"&amp;" · ",""))="","✔ OK","⚠ "&amp;LEFT(IF(AND($S14="Macro",$B14=""),"Macroactividad vacía"&amp;" · ","")&amp;IF(AND($B14&lt;&gt;"",$C14&lt;&gt;""),"Escriba la subactividad en otra fila, debajo de su macroactividad"&amp;" · ","")&amp;IF(AND($S14="Sub",N($R14)=0),"Subactividad sin macroactividad arriba"&amp;" · ","")&amp;IF($D14="","Sin responsable"&amp;" · ","")&amp;IF($E14="","Sin fecha de inicio"&amp;" · ","")&amp;IF($F14="","Sin fecha límite"&amp;" · ","")&amp;IF(OR(AND($E14&lt;&gt;"",NOT(ISNUMBER($E14))),AND($F14&lt;&gt;"",NOT(ISNUMBER($F14)))),"Fecha no válida"&amp;" · ","")&amp;IF(AND(ISNUMBER($E14),ISNUMBER($F14),$E14&gt;$F14),"Inicio posterior a fecha límite"&amp;" · ","")&amp;IF(AND($S14="Macro",$G14=""),"Peso vacío"&amp;" · ","")&amp;IF(AND($S14="Macro",$G14&lt;&gt;"",OR(NOT(ISNUMBER($G14)),$G14&lt;=0,$G14&gt;1)),"Peso fuera de rango"&amp;" · ","")&amp;IF(AND($S14="Sub",$G14&lt;&gt;""),"Las subactividades no llevan peso"&amp;" · ","")&amp;IF(AND($S14="Macro",ABS(SUMIFS($G$5:$G$1000,$P$5:$P$1000,$P14,$S$5:$S$1000,"Macro")-1)&gt;0.0001),"Pesos del mes suman "&amp;TEXT(SUMIFS($G$5:$G$1000,$P$5:$P$1000,$P14,$S$5:$S$1000,"Macro"),"0%")&amp;" · ","")&amp;IF(AND(N($T14)&gt;0,COUNT($H14:$K14)&gt;0),"Con subactividades: deje vacías las semanas (se calculan solas)"&amp;" · ","")&amp;IF((COUNTIF($H14:$K14,"&gt;1")+COUNTIF($H14:$K14,"&lt;0")+COUNTA($H14:$K14)-COUNT($H14:$K14))&gt;0,"Avance fuera de rango 0-100%"&amp;" · ","")&amp;IF(OR(AND($I14&lt;&gt;"",$I14&lt;$H14),AND($J14&lt;&gt;"",$J14&lt;MAX($H14:$I14)),AND($K14&lt;&gt;"",$K14&lt;MAX($H14:$J14))),"Avance semanal decreciente"&amp;" · ","")&amp;IF(AND(ISNUMBER($F14),$F14&lt;FechaRef,N($L14)&lt;1),"Vencida"&amp;" · ","")&amp;IF(AND(ObsObligatoria="Sí",ISNUMBER($F14),$F14&lt;FechaRef,N($L14)&lt;1,$N14=""),"Vencida sin observación"&amp;" · ",""),LEN(IF(AND($S14="Macro",$B14=""),"Macroactividad vacía"&amp;" · ","")&amp;IF(AND($B14&lt;&gt;"",$C14&lt;&gt;""),"Escriba la subactividad en otra fila, debajo de su macroactividad"&amp;" · ","")&amp;IF(AND($S14="Sub",N($R14)=0),"Subactividad sin macroactividad arriba"&amp;" · ","")&amp;IF($D14="","Sin responsable"&amp;" · ","")&amp;IF($E14="","Sin fecha de inicio"&amp;" · ","")&amp;IF($F14="","Sin fecha límite"&amp;" · ","")&amp;IF(OR(AND($E14&lt;&gt;"",NOT(ISNUMBER($E14))),AND($F14&lt;&gt;"",NOT(ISNUMBER($F14)))),"Fecha no válida"&amp;" · ","")&amp;IF(AND(ISNUMBER($E14),ISNUMBER($F14),$E14&gt;$F14),"Inicio posterior a fecha límite"&amp;" · ","")&amp;IF(AND($S14="Macro",$G14=""),"Peso vacío"&amp;" · ","")&amp;IF(AND($S14="Macro",$G14&lt;&gt;"",OR(NOT(ISNUMBER($G14)),$G14&lt;=0,$G14&gt;1)),"Peso fuera de rango"&amp;" · ","")&amp;IF(AND($S14="Sub",$G14&lt;&gt;""),"Las subactividades no llevan peso"&amp;" · ","")&amp;IF(AND($S14="Macro",ABS(SUMIFS($G$5:$G$1000,$P$5:$P$1000,$P14,$S$5:$S$1000,"Macro")-1)&gt;0.0001),"Pesos del mes suman "&amp;TEXT(SUMIFS($G$5:$G$1000,$P$5:$P$1000,$P14,$S$5:$S$1000,"Macro"),"0%")&amp;" · ","")&amp;IF(AND(N($T14)&gt;0,COUNT($H14:$K14)&gt;0),"Con subactividades: deje vacías las semanas (se calculan solas)"&amp;" · ","")&amp;IF((COUNTIF($H14:$K14,"&gt;1")+COUNTIF($H14:$K14,"&lt;0")+COUNTA($H14:$K14)-COUNT($H14:$K14))&gt;0,"Avance fuera de rango 0-100%"&amp;" · ","")&amp;IF(OR(AND($I14&lt;&gt;"",$I14&lt;$H14),AND($J14&lt;&gt;"",$J14&lt;MAX($H14:$I14)),AND($K14&lt;&gt;"",$K14&lt;MAX($H14:$J14))),"Avance semanal decreciente"&amp;" · ","")&amp;IF(AND(ISNUMBER($F14),$F14&lt;FechaRef,N($L14)&lt;1),"Vencida"&amp;" · ","")&amp;IF(AND(ObsObligatoria="Sí",ISNUMBER($F14),$F14&lt;FechaRef,N($L14)&lt;1,$N14=""),"Vencida sin observación"&amp;" · ",""))-3)))</f>
        <v/>
      </c>
      <c r="P14" s="69">
        <f>IF(NOT((COUNTA($B14:$K14)+COUNTA($N14))&gt;0),"",IF(AND($S14="Sub",N($R14)&gt;0),IF(ISNUMBER(INDEX($E$5:$E$1000,$R14-4)),DATE(YEAR(INDEX($E$5:$E$1000,$R14-4)),MONTH(INDEX($E$5:$E$1000,$R14-4)),1),IF(ISNUMBER(INDEX($F$5:$F$1000,$R14-4)),DATE(YEAR(INDEX($F$5:$F$1000,$R14-4)),MONTH(INDEX($F$5:$F$1000,$R14-4)),1),MesCiclo)),IF(ISNUMBER($E14),DATE(YEAR($E14),MONTH($E14),1),IF(ISNUMBER($F14),DATE(YEAR($F14),MONTH($F14),1),MesCiclo))))</f>
        <v/>
      </c>
      <c r="Q14" s="70">
        <f>IF(OR($P14="",$P14&lt;&gt;MesCiclo),"",COUNTIF($P$5:$P14,MesCiclo))</f>
        <v/>
      </c>
      <c r="R14" s="70">
        <f>IF($S14="","",IF($S14="Macro",ROW(),IFERROR(LOOKUP(2,1/($S$5:$S14="Macro"),ROW($S$5:$S14)),0)))</f>
        <v/>
      </c>
      <c r="S14" s="70">
        <f>IF(NOT((COUNTA($B14:$K14)+COUNTA($N14))&gt;0),"",IF($B14&lt;&gt;"","Macro",IF($C14&lt;&gt;"","Sub","Macro")))</f>
        <v/>
      </c>
      <c r="T14" s="70">
        <f>IF($S14="Macro",COUNTIFS($R$5:$R$1000,ROW(),$S$5:$S$1000,"Sub"),"")</f>
        <v/>
      </c>
      <c r="U14" s="70">
        <f>IF($S14="","",IF(ISNUMBER($H14),$H14,0))</f>
        <v/>
      </c>
      <c r="V14" s="70">
        <f>IF($S14="","",IF(ISNUMBER($I14),$I14,$U14))</f>
        <v/>
      </c>
      <c r="W14" s="70">
        <f>IF($S14="","",IF(ISNUMBER($J14),$J14,$V14))</f>
        <v/>
      </c>
      <c r="X14" s="70">
        <f>IF($S14="","",IF(ISNUMBER($K14),$K14,$W14))</f>
        <v/>
      </c>
      <c r="Y14" s="70">
        <f>IF($S14="","",IF(N($T14)&gt;0,AVERAGEIFS($U$5:$U$1000,$R$5:$R$1000,ROW(),$S$5:$S$1000,"Sub"),$U14))</f>
        <v/>
      </c>
      <c r="Z14" s="70">
        <f>IF($S14="","",IF(N($T14)&gt;0,AVERAGEIFS($V$5:$V$1000,$R$5:$R$1000,ROW(),$S$5:$S$1000,"Sub"),$V14))</f>
        <v/>
      </c>
      <c r="AA14" s="70">
        <f>IF($S14="","",IF(N($T14)&gt;0,AVERAGEIFS($W$5:$W$1000,$R$5:$R$1000,ROW(),$S$5:$S$1000,"Sub"),$W14))</f>
        <v/>
      </c>
      <c r="AB14" s="70">
        <f>IF($S14="","",IF(N($T14)&gt;0,AVERAGEIFS($X$5:$X$1000,$R$5:$R$1000,ROW(),$S$5:$S$1000,"Sub"),$X14))</f>
        <v/>
      </c>
    </row>
    <row r="15">
      <c r="A15" s="61">
        <f>IF(NOT((COUNTA($B15:$K15)+COUNTA($N15))&gt;0),"",IF($S15="Macro",COUNTIFS($S$5:$S15,"Macro",$P$5:$P15,$P15),IF(N($R15)=0,"?",COUNTIFS(INDEX($S$5:$S$1000,1):INDEX($S$5:$S$1000,$R15-4),"Macro",INDEX($P$5:$P$1000,1):INDEX($P$5:$P$1000,$R15-4),INDEX($P$5:$P$1000,$R15-4))&amp;"."&amp;COUNTIFS($R$5:$R15,$R15,$S$5:$S15,"Sub"))))</f>
        <v/>
      </c>
      <c r="B15" s="62" t="n"/>
      <c r="C15" s="63" t="n"/>
      <c r="D15" s="62" t="n"/>
      <c r="E15" s="64" t="n"/>
      <c r="F15" s="64" t="n"/>
      <c r="G15" s="65" t="n"/>
      <c r="H15" s="66" t="n"/>
      <c r="I15" s="66" t="n"/>
      <c r="J15" s="66" t="n"/>
      <c r="K15" s="66" t="n"/>
      <c r="L15" s="67">
        <f>IF(NOT((COUNTA($B15:$K15)+COUNTA($N15))&gt;0),"",IF(N($T15)&gt;0,$AB15,IFERROR(LOOKUP(2,1/(H15:K15&lt;&gt;""),H15:K15),0)))</f>
        <v/>
      </c>
      <c r="M15" s="61">
        <f>IF(L15="","",IF(L15&gt;=1,"Completado",IF(L15&gt;0,"En curso","Pendiente")))</f>
        <v/>
      </c>
      <c r="N15" s="62" t="n"/>
      <c r="O15" s="68">
        <f>IF(NOT((COUNTA($B15:$K15)+COUNTA($N15))&gt;0),"",IF((IF(AND($S15="Macro",$B15=""),"Macroactividad vacía"&amp;" · ","")&amp;IF(AND($B15&lt;&gt;"",$C15&lt;&gt;""),"Escriba la subactividad en otra fila, debajo de su macroactividad"&amp;" · ","")&amp;IF(AND($S15="Sub",N($R15)=0),"Subactividad sin macroactividad arriba"&amp;" · ","")&amp;IF($D15="","Sin responsable"&amp;" · ","")&amp;IF($E15="","Sin fecha de inicio"&amp;" · ","")&amp;IF($F15="","Sin fecha límite"&amp;" · ","")&amp;IF(OR(AND($E15&lt;&gt;"",NOT(ISNUMBER($E15))),AND($F15&lt;&gt;"",NOT(ISNUMBER($F15)))),"Fecha no válida"&amp;" · ","")&amp;IF(AND(ISNUMBER($E15),ISNUMBER($F15),$E15&gt;$F15),"Inicio posterior a fecha límite"&amp;" · ","")&amp;IF(AND($S15="Macro",$G15=""),"Peso vacío"&amp;" · ","")&amp;IF(AND($S15="Macro",$G15&lt;&gt;"",OR(NOT(ISNUMBER($G15)),$G15&lt;=0,$G15&gt;1)),"Peso fuera de rango"&amp;" · ","")&amp;IF(AND($S15="Sub",$G15&lt;&gt;""),"Las subactividades no llevan peso"&amp;" · ","")&amp;IF(AND($S15="Macro",ABS(SUMIFS($G$5:$G$1000,$P$5:$P$1000,$P15,$S$5:$S$1000,"Macro")-1)&gt;0.0001),"Pesos del mes suman "&amp;TEXT(SUMIFS($G$5:$G$1000,$P$5:$P$1000,$P15,$S$5:$S$1000,"Macro"),"0%")&amp;" · ","")&amp;IF(AND(N($T15)&gt;0,COUNT($H15:$K15)&gt;0),"Con subactividades: deje vacías las semanas (se calculan solas)"&amp;" · ","")&amp;IF((COUNTIF($H15:$K15,"&gt;1")+COUNTIF($H15:$K15,"&lt;0")+COUNTA($H15:$K15)-COUNT($H15:$K15))&gt;0,"Avance fuera de rango 0-100%"&amp;" · ","")&amp;IF(OR(AND($I15&lt;&gt;"",$I15&lt;$H15),AND($J15&lt;&gt;"",$J15&lt;MAX($H15:$I15)),AND($K15&lt;&gt;"",$K15&lt;MAX($H15:$J15))),"Avance semanal decreciente"&amp;" · ","")&amp;IF(AND(ISNUMBER($F15),$F15&lt;FechaRef,N($L15)&lt;1),"Vencida"&amp;" · ","")&amp;IF(AND(ObsObligatoria="Sí",ISNUMBER($F15),$F15&lt;FechaRef,N($L15)&lt;1,$N15=""),"Vencida sin observación"&amp;" · ",""))="","✔ OK","⚠ "&amp;LEFT(IF(AND($S15="Macro",$B15=""),"Macroactividad vacía"&amp;" · ","")&amp;IF(AND($B15&lt;&gt;"",$C15&lt;&gt;""),"Escriba la subactividad en otra fila, debajo de su macroactividad"&amp;" · ","")&amp;IF(AND($S15="Sub",N($R15)=0),"Subactividad sin macroactividad arriba"&amp;" · ","")&amp;IF($D15="","Sin responsable"&amp;" · ","")&amp;IF($E15="","Sin fecha de inicio"&amp;" · ","")&amp;IF($F15="","Sin fecha límite"&amp;" · ","")&amp;IF(OR(AND($E15&lt;&gt;"",NOT(ISNUMBER($E15))),AND($F15&lt;&gt;"",NOT(ISNUMBER($F15)))),"Fecha no válida"&amp;" · ","")&amp;IF(AND(ISNUMBER($E15),ISNUMBER($F15),$E15&gt;$F15),"Inicio posterior a fecha límite"&amp;" · ","")&amp;IF(AND($S15="Macro",$G15=""),"Peso vacío"&amp;" · ","")&amp;IF(AND($S15="Macro",$G15&lt;&gt;"",OR(NOT(ISNUMBER($G15)),$G15&lt;=0,$G15&gt;1)),"Peso fuera de rango"&amp;" · ","")&amp;IF(AND($S15="Sub",$G15&lt;&gt;""),"Las subactividades no llevan peso"&amp;" · ","")&amp;IF(AND($S15="Macro",ABS(SUMIFS($G$5:$G$1000,$P$5:$P$1000,$P15,$S$5:$S$1000,"Macro")-1)&gt;0.0001),"Pesos del mes suman "&amp;TEXT(SUMIFS($G$5:$G$1000,$P$5:$P$1000,$P15,$S$5:$S$1000,"Macro"),"0%")&amp;" · ","")&amp;IF(AND(N($T15)&gt;0,COUNT($H15:$K15)&gt;0),"Con subactividades: deje vacías las semanas (se calculan solas)"&amp;" · ","")&amp;IF((COUNTIF($H15:$K15,"&gt;1")+COUNTIF($H15:$K15,"&lt;0")+COUNTA($H15:$K15)-COUNT($H15:$K15))&gt;0,"Avance fuera de rango 0-100%"&amp;" · ","")&amp;IF(OR(AND($I15&lt;&gt;"",$I15&lt;$H15),AND($J15&lt;&gt;"",$J15&lt;MAX($H15:$I15)),AND($K15&lt;&gt;"",$K15&lt;MAX($H15:$J15))),"Avance semanal decreciente"&amp;" · ","")&amp;IF(AND(ISNUMBER($F15),$F15&lt;FechaRef,N($L15)&lt;1),"Vencida"&amp;" · ","")&amp;IF(AND(ObsObligatoria="Sí",ISNUMBER($F15),$F15&lt;FechaRef,N($L15)&lt;1,$N15=""),"Vencida sin observación"&amp;" · ",""),LEN(IF(AND($S15="Macro",$B15=""),"Macroactividad vacía"&amp;" · ","")&amp;IF(AND($B15&lt;&gt;"",$C15&lt;&gt;""),"Escriba la subactividad en otra fila, debajo de su macroactividad"&amp;" · ","")&amp;IF(AND($S15="Sub",N($R15)=0),"Subactividad sin macroactividad arriba"&amp;" · ","")&amp;IF($D15="","Sin responsable"&amp;" · ","")&amp;IF($E15="","Sin fecha de inicio"&amp;" · ","")&amp;IF($F15="","Sin fecha límite"&amp;" · ","")&amp;IF(OR(AND($E15&lt;&gt;"",NOT(ISNUMBER($E15))),AND($F15&lt;&gt;"",NOT(ISNUMBER($F15)))),"Fecha no válida"&amp;" · ","")&amp;IF(AND(ISNUMBER($E15),ISNUMBER($F15),$E15&gt;$F15),"Inicio posterior a fecha límite"&amp;" · ","")&amp;IF(AND($S15="Macro",$G15=""),"Peso vacío"&amp;" · ","")&amp;IF(AND($S15="Macro",$G15&lt;&gt;"",OR(NOT(ISNUMBER($G15)),$G15&lt;=0,$G15&gt;1)),"Peso fuera de rango"&amp;" · ","")&amp;IF(AND($S15="Sub",$G15&lt;&gt;""),"Las subactividades no llevan peso"&amp;" · ","")&amp;IF(AND($S15="Macro",ABS(SUMIFS($G$5:$G$1000,$P$5:$P$1000,$P15,$S$5:$S$1000,"Macro")-1)&gt;0.0001),"Pesos del mes suman "&amp;TEXT(SUMIFS($G$5:$G$1000,$P$5:$P$1000,$P15,$S$5:$S$1000,"Macro"),"0%")&amp;" · ","")&amp;IF(AND(N($T15)&gt;0,COUNT($H15:$K15)&gt;0),"Con subactividades: deje vacías las semanas (se calculan solas)"&amp;" · ","")&amp;IF((COUNTIF($H15:$K15,"&gt;1")+COUNTIF($H15:$K15,"&lt;0")+COUNTA($H15:$K15)-COUNT($H15:$K15))&gt;0,"Avance fuera de rango 0-100%"&amp;" · ","")&amp;IF(OR(AND($I15&lt;&gt;"",$I15&lt;$H15),AND($J15&lt;&gt;"",$J15&lt;MAX($H15:$I15)),AND($K15&lt;&gt;"",$K15&lt;MAX($H15:$J15))),"Avance semanal decreciente"&amp;" · ","")&amp;IF(AND(ISNUMBER($F15),$F15&lt;FechaRef,N($L15)&lt;1),"Vencida"&amp;" · ","")&amp;IF(AND(ObsObligatoria="Sí",ISNUMBER($F15),$F15&lt;FechaRef,N($L15)&lt;1,$N15=""),"Vencida sin observación"&amp;" · ",""))-3)))</f>
        <v/>
      </c>
      <c r="P15" s="69">
        <f>IF(NOT((COUNTA($B15:$K15)+COUNTA($N15))&gt;0),"",IF(AND($S15="Sub",N($R15)&gt;0),IF(ISNUMBER(INDEX($E$5:$E$1000,$R15-4)),DATE(YEAR(INDEX($E$5:$E$1000,$R15-4)),MONTH(INDEX($E$5:$E$1000,$R15-4)),1),IF(ISNUMBER(INDEX($F$5:$F$1000,$R15-4)),DATE(YEAR(INDEX($F$5:$F$1000,$R15-4)),MONTH(INDEX($F$5:$F$1000,$R15-4)),1),MesCiclo)),IF(ISNUMBER($E15),DATE(YEAR($E15),MONTH($E15),1),IF(ISNUMBER($F15),DATE(YEAR($F15),MONTH($F15),1),MesCiclo))))</f>
        <v/>
      </c>
      <c r="Q15" s="70">
        <f>IF(OR($P15="",$P15&lt;&gt;MesCiclo),"",COUNTIF($P$5:$P15,MesCiclo))</f>
        <v/>
      </c>
      <c r="R15" s="70">
        <f>IF($S15="","",IF($S15="Macro",ROW(),IFERROR(LOOKUP(2,1/($S$5:$S15="Macro"),ROW($S$5:$S15)),0)))</f>
        <v/>
      </c>
      <c r="S15" s="70">
        <f>IF(NOT((COUNTA($B15:$K15)+COUNTA($N15))&gt;0),"",IF($B15&lt;&gt;"","Macro",IF($C15&lt;&gt;"","Sub","Macro")))</f>
        <v/>
      </c>
      <c r="T15" s="70">
        <f>IF($S15="Macro",COUNTIFS($R$5:$R$1000,ROW(),$S$5:$S$1000,"Sub"),"")</f>
        <v/>
      </c>
      <c r="U15" s="70">
        <f>IF($S15="","",IF(ISNUMBER($H15),$H15,0))</f>
        <v/>
      </c>
      <c r="V15" s="70">
        <f>IF($S15="","",IF(ISNUMBER($I15),$I15,$U15))</f>
        <v/>
      </c>
      <c r="W15" s="70">
        <f>IF($S15="","",IF(ISNUMBER($J15),$J15,$V15))</f>
        <v/>
      </c>
      <c r="X15" s="70">
        <f>IF($S15="","",IF(ISNUMBER($K15),$K15,$W15))</f>
        <v/>
      </c>
      <c r="Y15" s="70">
        <f>IF($S15="","",IF(N($T15)&gt;0,AVERAGEIFS($U$5:$U$1000,$R$5:$R$1000,ROW(),$S$5:$S$1000,"Sub"),$U15))</f>
        <v/>
      </c>
      <c r="Z15" s="70">
        <f>IF($S15="","",IF(N($T15)&gt;0,AVERAGEIFS($V$5:$V$1000,$R$5:$R$1000,ROW(),$S$5:$S$1000,"Sub"),$V15))</f>
        <v/>
      </c>
      <c r="AA15" s="70">
        <f>IF($S15="","",IF(N($T15)&gt;0,AVERAGEIFS($W$5:$W$1000,$R$5:$R$1000,ROW(),$S$5:$S$1000,"Sub"),$W15))</f>
        <v/>
      </c>
      <c r="AB15" s="70">
        <f>IF($S15="","",IF(N($T15)&gt;0,AVERAGEIFS($X$5:$X$1000,$R$5:$R$1000,ROW(),$S$5:$S$1000,"Sub"),$X15))</f>
        <v/>
      </c>
    </row>
    <row r="16">
      <c r="A16" s="61">
        <f>IF(NOT((COUNTA($B16:$K16)+COUNTA($N16))&gt;0),"",IF($S16="Macro",COUNTIFS($S$5:$S16,"Macro",$P$5:$P16,$P16),IF(N($R16)=0,"?",COUNTIFS(INDEX($S$5:$S$1000,1):INDEX($S$5:$S$1000,$R16-4),"Macro",INDEX($P$5:$P$1000,1):INDEX($P$5:$P$1000,$R16-4),INDEX($P$5:$P$1000,$R16-4))&amp;"."&amp;COUNTIFS($R$5:$R16,$R16,$S$5:$S16,"Sub"))))</f>
        <v/>
      </c>
      <c r="B16" s="62" t="n"/>
      <c r="C16" s="63" t="n"/>
      <c r="D16" s="62" t="n"/>
      <c r="E16" s="64" t="n"/>
      <c r="F16" s="64" t="n"/>
      <c r="G16" s="65" t="n"/>
      <c r="H16" s="66" t="n"/>
      <c r="I16" s="66" t="n"/>
      <c r="J16" s="66" t="n"/>
      <c r="K16" s="66" t="n"/>
      <c r="L16" s="67">
        <f>IF(NOT((COUNTA($B16:$K16)+COUNTA($N16))&gt;0),"",IF(N($T16)&gt;0,$AB16,IFERROR(LOOKUP(2,1/(H16:K16&lt;&gt;""),H16:K16),0)))</f>
        <v/>
      </c>
      <c r="M16" s="61">
        <f>IF(L16="","",IF(L16&gt;=1,"Completado",IF(L16&gt;0,"En curso","Pendiente")))</f>
        <v/>
      </c>
      <c r="N16" s="62" t="n"/>
      <c r="O16" s="68">
        <f>IF(NOT((COUNTA($B16:$K16)+COUNTA($N16))&gt;0),"",IF((IF(AND($S16="Macro",$B16=""),"Macroactividad vacía"&amp;" · ","")&amp;IF(AND($B16&lt;&gt;"",$C16&lt;&gt;""),"Escriba la subactividad en otra fila, debajo de su macroactividad"&amp;" · ","")&amp;IF(AND($S16="Sub",N($R16)=0),"Subactividad sin macroactividad arriba"&amp;" · ","")&amp;IF($D16="","Sin responsable"&amp;" · ","")&amp;IF($E16="","Sin fecha de inicio"&amp;" · ","")&amp;IF($F16="","Sin fecha límite"&amp;" · ","")&amp;IF(OR(AND($E16&lt;&gt;"",NOT(ISNUMBER($E16))),AND($F16&lt;&gt;"",NOT(ISNUMBER($F16)))),"Fecha no válida"&amp;" · ","")&amp;IF(AND(ISNUMBER($E16),ISNUMBER($F16),$E16&gt;$F16),"Inicio posterior a fecha límite"&amp;" · ","")&amp;IF(AND($S16="Macro",$G16=""),"Peso vacío"&amp;" · ","")&amp;IF(AND($S16="Macro",$G16&lt;&gt;"",OR(NOT(ISNUMBER($G16)),$G16&lt;=0,$G16&gt;1)),"Peso fuera de rango"&amp;" · ","")&amp;IF(AND($S16="Sub",$G16&lt;&gt;""),"Las subactividades no llevan peso"&amp;" · ","")&amp;IF(AND($S16="Macro",ABS(SUMIFS($G$5:$G$1000,$P$5:$P$1000,$P16,$S$5:$S$1000,"Macro")-1)&gt;0.0001),"Pesos del mes suman "&amp;TEXT(SUMIFS($G$5:$G$1000,$P$5:$P$1000,$P16,$S$5:$S$1000,"Macro"),"0%")&amp;" · ","")&amp;IF(AND(N($T16)&gt;0,COUNT($H16:$K16)&gt;0),"Con subactividades: deje vacías las semanas (se calculan solas)"&amp;" · ","")&amp;IF((COUNTIF($H16:$K16,"&gt;1")+COUNTIF($H16:$K16,"&lt;0")+COUNTA($H16:$K16)-COUNT($H16:$K16))&gt;0,"Avance fuera de rango 0-100%"&amp;" · ","")&amp;IF(OR(AND($I16&lt;&gt;"",$I16&lt;$H16),AND($J16&lt;&gt;"",$J16&lt;MAX($H16:$I16)),AND($K16&lt;&gt;"",$K16&lt;MAX($H16:$J16))),"Avance semanal decreciente"&amp;" · ","")&amp;IF(AND(ISNUMBER($F16),$F16&lt;FechaRef,N($L16)&lt;1),"Vencida"&amp;" · ","")&amp;IF(AND(ObsObligatoria="Sí",ISNUMBER($F16),$F16&lt;FechaRef,N($L16)&lt;1,$N16=""),"Vencida sin observación"&amp;" · ",""))="","✔ OK","⚠ "&amp;LEFT(IF(AND($S16="Macro",$B16=""),"Macroactividad vacía"&amp;" · ","")&amp;IF(AND($B16&lt;&gt;"",$C16&lt;&gt;""),"Escriba la subactividad en otra fila, debajo de su macroactividad"&amp;" · ","")&amp;IF(AND($S16="Sub",N($R16)=0),"Subactividad sin macroactividad arriba"&amp;" · ","")&amp;IF($D16="","Sin responsable"&amp;" · ","")&amp;IF($E16="","Sin fecha de inicio"&amp;" · ","")&amp;IF($F16="","Sin fecha límite"&amp;" · ","")&amp;IF(OR(AND($E16&lt;&gt;"",NOT(ISNUMBER($E16))),AND($F16&lt;&gt;"",NOT(ISNUMBER($F16)))),"Fecha no válida"&amp;" · ","")&amp;IF(AND(ISNUMBER($E16),ISNUMBER($F16),$E16&gt;$F16),"Inicio posterior a fecha límite"&amp;" · ","")&amp;IF(AND($S16="Macro",$G16=""),"Peso vacío"&amp;" · ","")&amp;IF(AND($S16="Macro",$G16&lt;&gt;"",OR(NOT(ISNUMBER($G16)),$G16&lt;=0,$G16&gt;1)),"Peso fuera de rango"&amp;" · ","")&amp;IF(AND($S16="Sub",$G16&lt;&gt;""),"Las subactividades no llevan peso"&amp;" · ","")&amp;IF(AND($S16="Macro",ABS(SUMIFS($G$5:$G$1000,$P$5:$P$1000,$P16,$S$5:$S$1000,"Macro")-1)&gt;0.0001),"Pesos del mes suman "&amp;TEXT(SUMIFS($G$5:$G$1000,$P$5:$P$1000,$P16,$S$5:$S$1000,"Macro"),"0%")&amp;" · ","")&amp;IF(AND(N($T16)&gt;0,COUNT($H16:$K16)&gt;0),"Con subactividades: deje vacías las semanas (se calculan solas)"&amp;" · ","")&amp;IF((COUNTIF($H16:$K16,"&gt;1")+COUNTIF($H16:$K16,"&lt;0")+COUNTA($H16:$K16)-COUNT($H16:$K16))&gt;0,"Avance fuera de rango 0-100%"&amp;" · ","")&amp;IF(OR(AND($I16&lt;&gt;"",$I16&lt;$H16),AND($J16&lt;&gt;"",$J16&lt;MAX($H16:$I16)),AND($K16&lt;&gt;"",$K16&lt;MAX($H16:$J16))),"Avance semanal decreciente"&amp;" · ","")&amp;IF(AND(ISNUMBER($F16),$F16&lt;FechaRef,N($L16)&lt;1),"Vencida"&amp;" · ","")&amp;IF(AND(ObsObligatoria="Sí",ISNUMBER($F16),$F16&lt;FechaRef,N($L16)&lt;1,$N16=""),"Vencida sin observación"&amp;" · ",""),LEN(IF(AND($S16="Macro",$B16=""),"Macroactividad vacía"&amp;" · ","")&amp;IF(AND($B16&lt;&gt;"",$C16&lt;&gt;""),"Escriba la subactividad en otra fila, debajo de su macroactividad"&amp;" · ","")&amp;IF(AND($S16="Sub",N($R16)=0),"Subactividad sin macroactividad arriba"&amp;" · ","")&amp;IF($D16="","Sin responsable"&amp;" · ","")&amp;IF($E16="","Sin fecha de inicio"&amp;" · ","")&amp;IF($F16="","Sin fecha límite"&amp;" · ","")&amp;IF(OR(AND($E16&lt;&gt;"",NOT(ISNUMBER($E16))),AND($F16&lt;&gt;"",NOT(ISNUMBER($F16)))),"Fecha no válida"&amp;" · ","")&amp;IF(AND(ISNUMBER($E16),ISNUMBER($F16),$E16&gt;$F16),"Inicio posterior a fecha límite"&amp;" · ","")&amp;IF(AND($S16="Macro",$G16=""),"Peso vacío"&amp;" · ","")&amp;IF(AND($S16="Macro",$G16&lt;&gt;"",OR(NOT(ISNUMBER($G16)),$G16&lt;=0,$G16&gt;1)),"Peso fuera de rango"&amp;" · ","")&amp;IF(AND($S16="Sub",$G16&lt;&gt;""),"Las subactividades no llevan peso"&amp;" · ","")&amp;IF(AND($S16="Macro",ABS(SUMIFS($G$5:$G$1000,$P$5:$P$1000,$P16,$S$5:$S$1000,"Macro")-1)&gt;0.0001),"Pesos del mes suman "&amp;TEXT(SUMIFS($G$5:$G$1000,$P$5:$P$1000,$P16,$S$5:$S$1000,"Macro"),"0%")&amp;" · ","")&amp;IF(AND(N($T16)&gt;0,COUNT($H16:$K16)&gt;0),"Con subactividades: deje vacías las semanas (se calculan solas)"&amp;" · ","")&amp;IF((COUNTIF($H16:$K16,"&gt;1")+COUNTIF($H16:$K16,"&lt;0")+COUNTA($H16:$K16)-COUNT($H16:$K16))&gt;0,"Avance fuera de rango 0-100%"&amp;" · ","")&amp;IF(OR(AND($I16&lt;&gt;"",$I16&lt;$H16),AND($J16&lt;&gt;"",$J16&lt;MAX($H16:$I16)),AND($K16&lt;&gt;"",$K16&lt;MAX($H16:$J16))),"Avance semanal decreciente"&amp;" · ","")&amp;IF(AND(ISNUMBER($F16),$F16&lt;FechaRef,N($L16)&lt;1),"Vencida"&amp;" · ","")&amp;IF(AND(ObsObligatoria="Sí",ISNUMBER($F16),$F16&lt;FechaRef,N($L16)&lt;1,$N16=""),"Vencida sin observación"&amp;" · ",""))-3)))</f>
        <v/>
      </c>
      <c r="P16" s="69">
        <f>IF(NOT((COUNTA($B16:$K16)+COUNTA($N16))&gt;0),"",IF(AND($S16="Sub",N($R16)&gt;0),IF(ISNUMBER(INDEX($E$5:$E$1000,$R16-4)),DATE(YEAR(INDEX($E$5:$E$1000,$R16-4)),MONTH(INDEX($E$5:$E$1000,$R16-4)),1),IF(ISNUMBER(INDEX($F$5:$F$1000,$R16-4)),DATE(YEAR(INDEX($F$5:$F$1000,$R16-4)),MONTH(INDEX($F$5:$F$1000,$R16-4)),1),MesCiclo)),IF(ISNUMBER($E16),DATE(YEAR($E16),MONTH($E16),1),IF(ISNUMBER($F16),DATE(YEAR($F16),MONTH($F16),1),MesCiclo))))</f>
        <v/>
      </c>
      <c r="Q16" s="70">
        <f>IF(OR($P16="",$P16&lt;&gt;MesCiclo),"",COUNTIF($P$5:$P16,MesCiclo))</f>
        <v/>
      </c>
      <c r="R16" s="70">
        <f>IF($S16="","",IF($S16="Macro",ROW(),IFERROR(LOOKUP(2,1/($S$5:$S16="Macro"),ROW($S$5:$S16)),0)))</f>
        <v/>
      </c>
      <c r="S16" s="70">
        <f>IF(NOT((COUNTA($B16:$K16)+COUNTA($N16))&gt;0),"",IF($B16&lt;&gt;"","Macro",IF($C16&lt;&gt;"","Sub","Macro")))</f>
        <v/>
      </c>
      <c r="T16" s="70">
        <f>IF($S16="Macro",COUNTIFS($R$5:$R$1000,ROW(),$S$5:$S$1000,"Sub"),"")</f>
        <v/>
      </c>
      <c r="U16" s="70">
        <f>IF($S16="","",IF(ISNUMBER($H16),$H16,0))</f>
        <v/>
      </c>
      <c r="V16" s="70">
        <f>IF($S16="","",IF(ISNUMBER($I16),$I16,$U16))</f>
        <v/>
      </c>
      <c r="W16" s="70">
        <f>IF($S16="","",IF(ISNUMBER($J16),$J16,$V16))</f>
        <v/>
      </c>
      <c r="X16" s="70">
        <f>IF($S16="","",IF(ISNUMBER($K16),$K16,$W16))</f>
        <v/>
      </c>
      <c r="Y16" s="70">
        <f>IF($S16="","",IF(N($T16)&gt;0,AVERAGEIFS($U$5:$U$1000,$R$5:$R$1000,ROW(),$S$5:$S$1000,"Sub"),$U16))</f>
        <v/>
      </c>
      <c r="Z16" s="70">
        <f>IF($S16="","",IF(N($T16)&gt;0,AVERAGEIFS($V$5:$V$1000,$R$5:$R$1000,ROW(),$S$5:$S$1000,"Sub"),$V16))</f>
        <v/>
      </c>
      <c r="AA16" s="70">
        <f>IF($S16="","",IF(N($T16)&gt;0,AVERAGEIFS($W$5:$W$1000,$R$5:$R$1000,ROW(),$S$5:$S$1000,"Sub"),$W16))</f>
        <v/>
      </c>
      <c r="AB16" s="70">
        <f>IF($S16="","",IF(N($T16)&gt;0,AVERAGEIFS($X$5:$X$1000,$R$5:$R$1000,ROW(),$S$5:$S$1000,"Sub"),$X16))</f>
        <v/>
      </c>
    </row>
    <row r="17">
      <c r="A17" s="61">
        <f>IF(NOT((COUNTA($B17:$K17)+COUNTA($N17))&gt;0),"",IF($S17="Macro",COUNTIFS($S$5:$S17,"Macro",$P$5:$P17,$P17),IF(N($R17)=0,"?",COUNTIFS(INDEX($S$5:$S$1000,1):INDEX($S$5:$S$1000,$R17-4),"Macro",INDEX($P$5:$P$1000,1):INDEX($P$5:$P$1000,$R17-4),INDEX($P$5:$P$1000,$R17-4))&amp;"."&amp;COUNTIFS($R$5:$R17,$R17,$S$5:$S17,"Sub"))))</f>
        <v/>
      </c>
      <c r="B17" s="62" t="n"/>
      <c r="C17" s="63" t="n"/>
      <c r="D17" s="62" t="n"/>
      <c r="E17" s="64" t="n"/>
      <c r="F17" s="64" t="n"/>
      <c r="G17" s="65" t="n"/>
      <c r="H17" s="66" t="n"/>
      <c r="I17" s="66" t="n"/>
      <c r="J17" s="66" t="n"/>
      <c r="K17" s="66" t="n"/>
      <c r="L17" s="67">
        <f>IF(NOT((COUNTA($B17:$K17)+COUNTA($N17))&gt;0),"",IF(N($T17)&gt;0,$AB17,IFERROR(LOOKUP(2,1/(H17:K17&lt;&gt;""),H17:K17),0)))</f>
        <v/>
      </c>
      <c r="M17" s="61">
        <f>IF(L17="","",IF(L17&gt;=1,"Completado",IF(L17&gt;0,"En curso","Pendiente")))</f>
        <v/>
      </c>
      <c r="N17" s="62" t="n"/>
      <c r="O17" s="68">
        <f>IF(NOT((COUNTA($B17:$K17)+COUNTA($N17))&gt;0),"",IF((IF(AND($S17="Macro",$B17=""),"Macroactividad vacía"&amp;" · ","")&amp;IF(AND($B17&lt;&gt;"",$C17&lt;&gt;""),"Escriba la subactividad en otra fila, debajo de su macroactividad"&amp;" · ","")&amp;IF(AND($S17="Sub",N($R17)=0),"Subactividad sin macroactividad arriba"&amp;" · ","")&amp;IF($D17="","Sin responsable"&amp;" · ","")&amp;IF($E17="","Sin fecha de inicio"&amp;" · ","")&amp;IF($F17="","Sin fecha límite"&amp;" · ","")&amp;IF(OR(AND($E17&lt;&gt;"",NOT(ISNUMBER($E17))),AND($F17&lt;&gt;"",NOT(ISNUMBER($F17)))),"Fecha no válida"&amp;" · ","")&amp;IF(AND(ISNUMBER($E17),ISNUMBER($F17),$E17&gt;$F17),"Inicio posterior a fecha límite"&amp;" · ","")&amp;IF(AND($S17="Macro",$G17=""),"Peso vacío"&amp;" · ","")&amp;IF(AND($S17="Macro",$G17&lt;&gt;"",OR(NOT(ISNUMBER($G17)),$G17&lt;=0,$G17&gt;1)),"Peso fuera de rango"&amp;" · ","")&amp;IF(AND($S17="Sub",$G17&lt;&gt;""),"Las subactividades no llevan peso"&amp;" · ","")&amp;IF(AND($S17="Macro",ABS(SUMIFS($G$5:$G$1000,$P$5:$P$1000,$P17,$S$5:$S$1000,"Macro")-1)&gt;0.0001),"Pesos del mes suman "&amp;TEXT(SUMIFS($G$5:$G$1000,$P$5:$P$1000,$P17,$S$5:$S$1000,"Macro"),"0%")&amp;" · ","")&amp;IF(AND(N($T17)&gt;0,COUNT($H17:$K17)&gt;0),"Con subactividades: deje vacías las semanas (se calculan solas)"&amp;" · ","")&amp;IF((COUNTIF($H17:$K17,"&gt;1")+COUNTIF($H17:$K17,"&lt;0")+COUNTA($H17:$K17)-COUNT($H17:$K17))&gt;0,"Avance fuera de rango 0-100%"&amp;" · ","")&amp;IF(OR(AND($I17&lt;&gt;"",$I17&lt;$H17),AND($J17&lt;&gt;"",$J17&lt;MAX($H17:$I17)),AND($K17&lt;&gt;"",$K17&lt;MAX($H17:$J17))),"Avance semanal decreciente"&amp;" · ","")&amp;IF(AND(ISNUMBER($F17),$F17&lt;FechaRef,N($L17)&lt;1),"Vencida"&amp;" · ","")&amp;IF(AND(ObsObligatoria="Sí",ISNUMBER($F17),$F17&lt;FechaRef,N($L17)&lt;1,$N17=""),"Vencida sin observación"&amp;" · ",""))="","✔ OK","⚠ "&amp;LEFT(IF(AND($S17="Macro",$B17=""),"Macroactividad vacía"&amp;" · ","")&amp;IF(AND($B17&lt;&gt;"",$C17&lt;&gt;""),"Escriba la subactividad en otra fila, debajo de su macroactividad"&amp;" · ","")&amp;IF(AND($S17="Sub",N($R17)=0),"Subactividad sin macroactividad arriba"&amp;" · ","")&amp;IF($D17="","Sin responsable"&amp;" · ","")&amp;IF($E17="","Sin fecha de inicio"&amp;" · ","")&amp;IF($F17="","Sin fecha límite"&amp;" · ","")&amp;IF(OR(AND($E17&lt;&gt;"",NOT(ISNUMBER($E17))),AND($F17&lt;&gt;"",NOT(ISNUMBER($F17)))),"Fecha no válida"&amp;" · ","")&amp;IF(AND(ISNUMBER($E17),ISNUMBER($F17),$E17&gt;$F17),"Inicio posterior a fecha límite"&amp;" · ","")&amp;IF(AND($S17="Macro",$G17=""),"Peso vacío"&amp;" · ","")&amp;IF(AND($S17="Macro",$G17&lt;&gt;"",OR(NOT(ISNUMBER($G17)),$G17&lt;=0,$G17&gt;1)),"Peso fuera de rango"&amp;" · ","")&amp;IF(AND($S17="Sub",$G17&lt;&gt;""),"Las subactividades no llevan peso"&amp;" · ","")&amp;IF(AND($S17="Macro",ABS(SUMIFS($G$5:$G$1000,$P$5:$P$1000,$P17,$S$5:$S$1000,"Macro")-1)&gt;0.0001),"Pesos del mes suman "&amp;TEXT(SUMIFS($G$5:$G$1000,$P$5:$P$1000,$P17,$S$5:$S$1000,"Macro"),"0%")&amp;" · ","")&amp;IF(AND(N($T17)&gt;0,COUNT($H17:$K17)&gt;0),"Con subactividades: deje vacías las semanas (se calculan solas)"&amp;" · ","")&amp;IF((COUNTIF($H17:$K17,"&gt;1")+COUNTIF($H17:$K17,"&lt;0")+COUNTA($H17:$K17)-COUNT($H17:$K17))&gt;0,"Avance fuera de rango 0-100%"&amp;" · ","")&amp;IF(OR(AND($I17&lt;&gt;"",$I17&lt;$H17),AND($J17&lt;&gt;"",$J17&lt;MAX($H17:$I17)),AND($K17&lt;&gt;"",$K17&lt;MAX($H17:$J17))),"Avance semanal decreciente"&amp;" · ","")&amp;IF(AND(ISNUMBER($F17),$F17&lt;FechaRef,N($L17)&lt;1),"Vencida"&amp;" · ","")&amp;IF(AND(ObsObligatoria="Sí",ISNUMBER($F17),$F17&lt;FechaRef,N($L17)&lt;1,$N17=""),"Vencida sin observación"&amp;" · ",""),LEN(IF(AND($S17="Macro",$B17=""),"Macroactividad vacía"&amp;" · ","")&amp;IF(AND($B17&lt;&gt;"",$C17&lt;&gt;""),"Escriba la subactividad en otra fila, debajo de su macroactividad"&amp;" · ","")&amp;IF(AND($S17="Sub",N($R17)=0),"Subactividad sin macroactividad arriba"&amp;" · ","")&amp;IF($D17="","Sin responsable"&amp;" · ","")&amp;IF($E17="","Sin fecha de inicio"&amp;" · ","")&amp;IF($F17="","Sin fecha límite"&amp;" · ","")&amp;IF(OR(AND($E17&lt;&gt;"",NOT(ISNUMBER($E17))),AND($F17&lt;&gt;"",NOT(ISNUMBER($F17)))),"Fecha no válida"&amp;" · ","")&amp;IF(AND(ISNUMBER($E17),ISNUMBER($F17),$E17&gt;$F17),"Inicio posterior a fecha límite"&amp;" · ","")&amp;IF(AND($S17="Macro",$G17=""),"Peso vacío"&amp;" · ","")&amp;IF(AND($S17="Macro",$G17&lt;&gt;"",OR(NOT(ISNUMBER($G17)),$G17&lt;=0,$G17&gt;1)),"Peso fuera de rango"&amp;" · ","")&amp;IF(AND($S17="Sub",$G17&lt;&gt;""),"Las subactividades no llevan peso"&amp;" · ","")&amp;IF(AND($S17="Macro",ABS(SUMIFS($G$5:$G$1000,$P$5:$P$1000,$P17,$S$5:$S$1000,"Macro")-1)&gt;0.0001),"Pesos del mes suman "&amp;TEXT(SUMIFS($G$5:$G$1000,$P$5:$P$1000,$P17,$S$5:$S$1000,"Macro"),"0%")&amp;" · ","")&amp;IF(AND(N($T17)&gt;0,COUNT($H17:$K17)&gt;0),"Con subactividades: deje vacías las semanas (se calculan solas)"&amp;" · ","")&amp;IF((COUNTIF($H17:$K17,"&gt;1")+COUNTIF($H17:$K17,"&lt;0")+COUNTA($H17:$K17)-COUNT($H17:$K17))&gt;0,"Avance fuera de rango 0-100%"&amp;" · ","")&amp;IF(OR(AND($I17&lt;&gt;"",$I17&lt;$H17),AND($J17&lt;&gt;"",$J17&lt;MAX($H17:$I17)),AND($K17&lt;&gt;"",$K17&lt;MAX($H17:$J17))),"Avance semanal decreciente"&amp;" · ","")&amp;IF(AND(ISNUMBER($F17),$F17&lt;FechaRef,N($L17)&lt;1),"Vencida"&amp;" · ","")&amp;IF(AND(ObsObligatoria="Sí",ISNUMBER($F17),$F17&lt;FechaRef,N($L17)&lt;1,$N17=""),"Vencida sin observación"&amp;" · ",""))-3)))</f>
        <v/>
      </c>
      <c r="P17" s="69">
        <f>IF(NOT((COUNTA($B17:$K17)+COUNTA($N17))&gt;0),"",IF(AND($S17="Sub",N($R17)&gt;0),IF(ISNUMBER(INDEX($E$5:$E$1000,$R17-4)),DATE(YEAR(INDEX($E$5:$E$1000,$R17-4)),MONTH(INDEX($E$5:$E$1000,$R17-4)),1),IF(ISNUMBER(INDEX($F$5:$F$1000,$R17-4)),DATE(YEAR(INDEX($F$5:$F$1000,$R17-4)),MONTH(INDEX($F$5:$F$1000,$R17-4)),1),MesCiclo)),IF(ISNUMBER($E17),DATE(YEAR($E17),MONTH($E17),1),IF(ISNUMBER($F17),DATE(YEAR($F17),MONTH($F17),1),MesCiclo))))</f>
        <v/>
      </c>
      <c r="Q17" s="70">
        <f>IF(OR($P17="",$P17&lt;&gt;MesCiclo),"",COUNTIF($P$5:$P17,MesCiclo))</f>
        <v/>
      </c>
      <c r="R17" s="70">
        <f>IF($S17="","",IF($S17="Macro",ROW(),IFERROR(LOOKUP(2,1/($S$5:$S17="Macro"),ROW($S$5:$S17)),0)))</f>
        <v/>
      </c>
      <c r="S17" s="70">
        <f>IF(NOT((COUNTA($B17:$K17)+COUNTA($N17))&gt;0),"",IF($B17&lt;&gt;"","Macro",IF($C17&lt;&gt;"","Sub","Macro")))</f>
        <v/>
      </c>
      <c r="T17" s="70">
        <f>IF($S17="Macro",COUNTIFS($R$5:$R$1000,ROW(),$S$5:$S$1000,"Sub"),"")</f>
        <v/>
      </c>
      <c r="U17" s="70">
        <f>IF($S17="","",IF(ISNUMBER($H17),$H17,0))</f>
        <v/>
      </c>
      <c r="V17" s="70">
        <f>IF($S17="","",IF(ISNUMBER($I17),$I17,$U17))</f>
        <v/>
      </c>
      <c r="W17" s="70">
        <f>IF($S17="","",IF(ISNUMBER($J17),$J17,$V17))</f>
        <v/>
      </c>
      <c r="X17" s="70">
        <f>IF($S17="","",IF(ISNUMBER($K17),$K17,$W17))</f>
        <v/>
      </c>
      <c r="Y17" s="70">
        <f>IF($S17="","",IF(N($T17)&gt;0,AVERAGEIFS($U$5:$U$1000,$R$5:$R$1000,ROW(),$S$5:$S$1000,"Sub"),$U17))</f>
        <v/>
      </c>
      <c r="Z17" s="70">
        <f>IF($S17="","",IF(N($T17)&gt;0,AVERAGEIFS($V$5:$V$1000,$R$5:$R$1000,ROW(),$S$5:$S$1000,"Sub"),$V17))</f>
        <v/>
      </c>
      <c r="AA17" s="70">
        <f>IF($S17="","",IF(N($T17)&gt;0,AVERAGEIFS($W$5:$W$1000,$R$5:$R$1000,ROW(),$S$5:$S$1000,"Sub"),$W17))</f>
        <v/>
      </c>
      <c r="AB17" s="70">
        <f>IF($S17="","",IF(N($T17)&gt;0,AVERAGEIFS($X$5:$X$1000,$R$5:$R$1000,ROW(),$S$5:$S$1000,"Sub"),$X17))</f>
        <v/>
      </c>
    </row>
    <row r="18">
      <c r="A18" s="61">
        <f>IF(NOT((COUNTA($B18:$K18)+COUNTA($N18))&gt;0),"",IF($S18="Macro",COUNTIFS($S$5:$S18,"Macro",$P$5:$P18,$P18),IF(N($R18)=0,"?",COUNTIFS(INDEX($S$5:$S$1000,1):INDEX($S$5:$S$1000,$R18-4),"Macro",INDEX($P$5:$P$1000,1):INDEX($P$5:$P$1000,$R18-4),INDEX($P$5:$P$1000,$R18-4))&amp;"."&amp;COUNTIFS($R$5:$R18,$R18,$S$5:$S18,"Sub"))))</f>
        <v/>
      </c>
      <c r="B18" s="62" t="n"/>
      <c r="C18" s="63" t="n"/>
      <c r="D18" s="62" t="n"/>
      <c r="E18" s="64" t="n"/>
      <c r="F18" s="64" t="n"/>
      <c r="G18" s="65" t="n"/>
      <c r="H18" s="66" t="n"/>
      <c r="I18" s="66" t="n"/>
      <c r="J18" s="66" t="n"/>
      <c r="K18" s="66" t="n"/>
      <c r="L18" s="67">
        <f>IF(NOT((COUNTA($B18:$K18)+COUNTA($N18))&gt;0),"",IF(N($T18)&gt;0,$AB18,IFERROR(LOOKUP(2,1/(H18:K18&lt;&gt;""),H18:K18),0)))</f>
        <v/>
      </c>
      <c r="M18" s="61">
        <f>IF(L18="","",IF(L18&gt;=1,"Completado",IF(L18&gt;0,"En curso","Pendiente")))</f>
        <v/>
      </c>
      <c r="N18" s="62" t="n"/>
      <c r="O18" s="68">
        <f>IF(NOT((COUNTA($B18:$K18)+COUNTA($N18))&gt;0),"",IF((IF(AND($S18="Macro",$B18=""),"Macroactividad vacía"&amp;" · ","")&amp;IF(AND($B18&lt;&gt;"",$C18&lt;&gt;""),"Escriba la subactividad en otra fila, debajo de su macroactividad"&amp;" · ","")&amp;IF(AND($S18="Sub",N($R18)=0),"Subactividad sin macroactividad arriba"&amp;" · ","")&amp;IF($D18="","Sin responsable"&amp;" · ","")&amp;IF($E18="","Sin fecha de inicio"&amp;" · ","")&amp;IF($F18="","Sin fecha límite"&amp;" · ","")&amp;IF(OR(AND($E18&lt;&gt;"",NOT(ISNUMBER($E18))),AND($F18&lt;&gt;"",NOT(ISNUMBER($F18)))),"Fecha no válida"&amp;" · ","")&amp;IF(AND(ISNUMBER($E18),ISNUMBER($F18),$E18&gt;$F18),"Inicio posterior a fecha límite"&amp;" · ","")&amp;IF(AND($S18="Macro",$G18=""),"Peso vacío"&amp;" · ","")&amp;IF(AND($S18="Macro",$G18&lt;&gt;"",OR(NOT(ISNUMBER($G18)),$G18&lt;=0,$G18&gt;1)),"Peso fuera de rango"&amp;" · ","")&amp;IF(AND($S18="Sub",$G18&lt;&gt;""),"Las subactividades no llevan peso"&amp;" · ","")&amp;IF(AND($S18="Macro",ABS(SUMIFS($G$5:$G$1000,$P$5:$P$1000,$P18,$S$5:$S$1000,"Macro")-1)&gt;0.0001),"Pesos del mes suman "&amp;TEXT(SUMIFS($G$5:$G$1000,$P$5:$P$1000,$P18,$S$5:$S$1000,"Macro"),"0%")&amp;" · ","")&amp;IF(AND(N($T18)&gt;0,COUNT($H18:$K18)&gt;0),"Con subactividades: deje vacías las semanas (se calculan solas)"&amp;" · ","")&amp;IF((COUNTIF($H18:$K18,"&gt;1")+COUNTIF($H18:$K18,"&lt;0")+COUNTA($H18:$K18)-COUNT($H18:$K18))&gt;0,"Avance fuera de rango 0-100%"&amp;" · ","")&amp;IF(OR(AND($I18&lt;&gt;"",$I18&lt;$H18),AND($J18&lt;&gt;"",$J18&lt;MAX($H18:$I18)),AND($K18&lt;&gt;"",$K18&lt;MAX($H18:$J18))),"Avance semanal decreciente"&amp;" · ","")&amp;IF(AND(ISNUMBER($F18),$F18&lt;FechaRef,N($L18)&lt;1),"Vencida"&amp;" · ","")&amp;IF(AND(ObsObligatoria="Sí",ISNUMBER($F18),$F18&lt;FechaRef,N($L18)&lt;1,$N18=""),"Vencida sin observación"&amp;" · ",""))="","✔ OK","⚠ "&amp;LEFT(IF(AND($S18="Macro",$B18=""),"Macroactividad vacía"&amp;" · ","")&amp;IF(AND($B18&lt;&gt;"",$C18&lt;&gt;""),"Escriba la subactividad en otra fila, debajo de su macroactividad"&amp;" · ","")&amp;IF(AND($S18="Sub",N($R18)=0),"Subactividad sin macroactividad arriba"&amp;" · ","")&amp;IF($D18="","Sin responsable"&amp;" · ","")&amp;IF($E18="","Sin fecha de inicio"&amp;" · ","")&amp;IF($F18="","Sin fecha límite"&amp;" · ","")&amp;IF(OR(AND($E18&lt;&gt;"",NOT(ISNUMBER($E18))),AND($F18&lt;&gt;"",NOT(ISNUMBER($F18)))),"Fecha no válida"&amp;" · ","")&amp;IF(AND(ISNUMBER($E18),ISNUMBER($F18),$E18&gt;$F18),"Inicio posterior a fecha límite"&amp;" · ","")&amp;IF(AND($S18="Macro",$G18=""),"Peso vacío"&amp;" · ","")&amp;IF(AND($S18="Macro",$G18&lt;&gt;"",OR(NOT(ISNUMBER($G18)),$G18&lt;=0,$G18&gt;1)),"Peso fuera de rango"&amp;" · ","")&amp;IF(AND($S18="Sub",$G18&lt;&gt;""),"Las subactividades no llevan peso"&amp;" · ","")&amp;IF(AND($S18="Macro",ABS(SUMIFS($G$5:$G$1000,$P$5:$P$1000,$P18,$S$5:$S$1000,"Macro")-1)&gt;0.0001),"Pesos del mes suman "&amp;TEXT(SUMIFS($G$5:$G$1000,$P$5:$P$1000,$P18,$S$5:$S$1000,"Macro"),"0%")&amp;" · ","")&amp;IF(AND(N($T18)&gt;0,COUNT($H18:$K18)&gt;0),"Con subactividades: deje vacías las semanas (se calculan solas)"&amp;" · ","")&amp;IF((COUNTIF($H18:$K18,"&gt;1")+COUNTIF($H18:$K18,"&lt;0")+COUNTA($H18:$K18)-COUNT($H18:$K18))&gt;0,"Avance fuera de rango 0-100%"&amp;" · ","")&amp;IF(OR(AND($I18&lt;&gt;"",$I18&lt;$H18),AND($J18&lt;&gt;"",$J18&lt;MAX($H18:$I18)),AND($K18&lt;&gt;"",$K18&lt;MAX($H18:$J18))),"Avance semanal decreciente"&amp;" · ","")&amp;IF(AND(ISNUMBER($F18),$F18&lt;FechaRef,N($L18)&lt;1),"Vencida"&amp;" · ","")&amp;IF(AND(ObsObligatoria="Sí",ISNUMBER($F18),$F18&lt;FechaRef,N($L18)&lt;1,$N18=""),"Vencida sin observación"&amp;" · ",""),LEN(IF(AND($S18="Macro",$B18=""),"Macroactividad vacía"&amp;" · ","")&amp;IF(AND($B18&lt;&gt;"",$C18&lt;&gt;""),"Escriba la subactividad en otra fila, debajo de su macroactividad"&amp;" · ","")&amp;IF(AND($S18="Sub",N($R18)=0),"Subactividad sin macroactividad arriba"&amp;" · ","")&amp;IF($D18="","Sin responsable"&amp;" · ","")&amp;IF($E18="","Sin fecha de inicio"&amp;" · ","")&amp;IF($F18="","Sin fecha límite"&amp;" · ","")&amp;IF(OR(AND($E18&lt;&gt;"",NOT(ISNUMBER($E18))),AND($F18&lt;&gt;"",NOT(ISNUMBER($F18)))),"Fecha no válida"&amp;" · ","")&amp;IF(AND(ISNUMBER($E18),ISNUMBER($F18),$E18&gt;$F18),"Inicio posterior a fecha límite"&amp;" · ","")&amp;IF(AND($S18="Macro",$G18=""),"Peso vacío"&amp;" · ","")&amp;IF(AND($S18="Macro",$G18&lt;&gt;"",OR(NOT(ISNUMBER($G18)),$G18&lt;=0,$G18&gt;1)),"Peso fuera de rango"&amp;" · ","")&amp;IF(AND($S18="Sub",$G18&lt;&gt;""),"Las subactividades no llevan peso"&amp;" · ","")&amp;IF(AND($S18="Macro",ABS(SUMIFS($G$5:$G$1000,$P$5:$P$1000,$P18,$S$5:$S$1000,"Macro")-1)&gt;0.0001),"Pesos del mes suman "&amp;TEXT(SUMIFS($G$5:$G$1000,$P$5:$P$1000,$P18,$S$5:$S$1000,"Macro"),"0%")&amp;" · ","")&amp;IF(AND(N($T18)&gt;0,COUNT($H18:$K18)&gt;0),"Con subactividades: deje vacías las semanas (se calculan solas)"&amp;" · ","")&amp;IF((COUNTIF($H18:$K18,"&gt;1")+COUNTIF($H18:$K18,"&lt;0")+COUNTA($H18:$K18)-COUNT($H18:$K18))&gt;0,"Avance fuera de rango 0-100%"&amp;" · ","")&amp;IF(OR(AND($I18&lt;&gt;"",$I18&lt;$H18),AND($J18&lt;&gt;"",$J18&lt;MAX($H18:$I18)),AND($K18&lt;&gt;"",$K18&lt;MAX($H18:$J18))),"Avance semanal decreciente"&amp;" · ","")&amp;IF(AND(ISNUMBER($F18),$F18&lt;FechaRef,N($L18)&lt;1),"Vencida"&amp;" · ","")&amp;IF(AND(ObsObligatoria="Sí",ISNUMBER($F18),$F18&lt;FechaRef,N($L18)&lt;1,$N18=""),"Vencida sin observación"&amp;" · ",""))-3)))</f>
        <v/>
      </c>
      <c r="P18" s="69">
        <f>IF(NOT((COUNTA($B18:$K18)+COUNTA($N18))&gt;0),"",IF(AND($S18="Sub",N($R18)&gt;0),IF(ISNUMBER(INDEX($E$5:$E$1000,$R18-4)),DATE(YEAR(INDEX($E$5:$E$1000,$R18-4)),MONTH(INDEX($E$5:$E$1000,$R18-4)),1),IF(ISNUMBER(INDEX($F$5:$F$1000,$R18-4)),DATE(YEAR(INDEX($F$5:$F$1000,$R18-4)),MONTH(INDEX($F$5:$F$1000,$R18-4)),1),MesCiclo)),IF(ISNUMBER($E18),DATE(YEAR($E18),MONTH($E18),1),IF(ISNUMBER($F18),DATE(YEAR($F18),MONTH($F18),1),MesCiclo))))</f>
        <v/>
      </c>
      <c r="Q18" s="70">
        <f>IF(OR($P18="",$P18&lt;&gt;MesCiclo),"",COUNTIF($P$5:$P18,MesCiclo))</f>
        <v/>
      </c>
      <c r="R18" s="70">
        <f>IF($S18="","",IF($S18="Macro",ROW(),IFERROR(LOOKUP(2,1/($S$5:$S18="Macro"),ROW($S$5:$S18)),0)))</f>
        <v/>
      </c>
      <c r="S18" s="70">
        <f>IF(NOT((COUNTA($B18:$K18)+COUNTA($N18))&gt;0),"",IF($B18&lt;&gt;"","Macro",IF($C18&lt;&gt;"","Sub","Macro")))</f>
        <v/>
      </c>
      <c r="T18" s="70">
        <f>IF($S18="Macro",COUNTIFS($R$5:$R$1000,ROW(),$S$5:$S$1000,"Sub"),"")</f>
        <v/>
      </c>
      <c r="U18" s="70">
        <f>IF($S18="","",IF(ISNUMBER($H18),$H18,0))</f>
        <v/>
      </c>
      <c r="V18" s="70">
        <f>IF($S18="","",IF(ISNUMBER($I18),$I18,$U18))</f>
        <v/>
      </c>
      <c r="W18" s="70">
        <f>IF($S18="","",IF(ISNUMBER($J18),$J18,$V18))</f>
        <v/>
      </c>
      <c r="X18" s="70">
        <f>IF($S18="","",IF(ISNUMBER($K18),$K18,$W18))</f>
        <v/>
      </c>
      <c r="Y18" s="70">
        <f>IF($S18="","",IF(N($T18)&gt;0,AVERAGEIFS($U$5:$U$1000,$R$5:$R$1000,ROW(),$S$5:$S$1000,"Sub"),$U18))</f>
        <v/>
      </c>
      <c r="Z18" s="70">
        <f>IF($S18="","",IF(N($T18)&gt;0,AVERAGEIFS($V$5:$V$1000,$R$5:$R$1000,ROW(),$S$5:$S$1000,"Sub"),$V18))</f>
        <v/>
      </c>
      <c r="AA18" s="70">
        <f>IF($S18="","",IF(N($T18)&gt;0,AVERAGEIFS($W$5:$W$1000,$R$5:$R$1000,ROW(),$S$5:$S$1000,"Sub"),$W18))</f>
        <v/>
      </c>
      <c r="AB18" s="70">
        <f>IF($S18="","",IF(N($T18)&gt;0,AVERAGEIFS($X$5:$X$1000,$R$5:$R$1000,ROW(),$S$5:$S$1000,"Sub"),$X18))</f>
        <v/>
      </c>
    </row>
    <row r="19">
      <c r="A19" s="61">
        <f>IF(NOT((COUNTA($B19:$K19)+COUNTA($N19))&gt;0),"",IF($S19="Macro",COUNTIFS($S$5:$S19,"Macro",$P$5:$P19,$P19),IF(N($R19)=0,"?",COUNTIFS(INDEX($S$5:$S$1000,1):INDEX($S$5:$S$1000,$R19-4),"Macro",INDEX($P$5:$P$1000,1):INDEX($P$5:$P$1000,$R19-4),INDEX($P$5:$P$1000,$R19-4))&amp;"."&amp;COUNTIFS($R$5:$R19,$R19,$S$5:$S19,"Sub"))))</f>
        <v/>
      </c>
      <c r="B19" s="62" t="n"/>
      <c r="C19" s="63" t="n"/>
      <c r="D19" s="62" t="n"/>
      <c r="E19" s="64" t="n"/>
      <c r="F19" s="64" t="n"/>
      <c r="G19" s="65" t="n"/>
      <c r="H19" s="66" t="n"/>
      <c r="I19" s="66" t="n"/>
      <c r="J19" s="66" t="n"/>
      <c r="K19" s="66" t="n"/>
      <c r="L19" s="67">
        <f>IF(NOT((COUNTA($B19:$K19)+COUNTA($N19))&gt;0),"",IF(N($T19)&gt;0,$AB19,IFERROR(LOOKUP(2,1/(H19:K19&lt;&gt;""),H19:K19),0)))</f>
        <v/>
      </c>
      <c r="M19" s="61">
        <f>IF(L19="","",IF(L19&gt;=1,"Completado",IF(L19&gt;0,"En curso","Pendiente")))</f>
        <v/>
      </c>
      <c r="N19" s="62" t="n"/>
      <c r="O19" s="68">
        <f>IF(NOT((COUNTA($B19:$K19)+COUNTA($N19))&gt;0),"",IF((IF(AND($S19="Macro",$B19=""),"Macroactividad vacía"&amp;" · ","")&amp;IF(AND($B19&lt;&gt;"",$C19&lt;&gt;""),"Escriba la subactividad en otra fila, debajo de su macroactividad"&amp;" · ","")&amp;IF(AND($S19="Sub",N($R19)=0),"Subactividad sin macroactividad arriba"&amp;" · ","")&amp;IF($D19="","Sin responsable"&amp;" · ","")&amp;IF($E19="","Sin fecha de inicio"&amp;" · ","")&amp;IF($F19="","Sin fecha límite"&amp;" · ","")&amp;IF(OR(AND($E19&lt;&gt;"",NOT(ISNUMBER($E19))),AND($F19&lt;&gt;"",NOT(ISNUMBER($F19)))),"Fecha no válida"&amp;" · ","")&amp;IF(AND(ISNUMBER($E19),ISNUMBER($F19),$E19&gt;$F19),"Inicio posterior a fecha límite"&amp;" · ","")&amp;IF(AND($S19="Macro",$G19=""),"Peso vacío"&amp;" · ","")&amp;IF(AND($S19="Macro",$G19&lt;&gt;"",OR(NOT(ISNUMBER($G19)),$G19&lt;=0,$G19&gt;1)),"Peso fuera de rango"&amp;" · ","")&amp;IF(AND($S19="Sub",$G19&lt;&gt;""),"Las subactividades no llevan peso"&amp;" · ","")&amp;IF(AND($S19="Macro",ABS(SUMIFS($G$5:$G$1000,$P$5:$P$1000,$P19,$S$5:$S$1000,"Macro")-1)&gt;0.0001),"Pesos del mes suman "&amp;TEXT(SUMIFS($G$5:$G$1000,$P$5:$P$1000,$P19,$S$5:$S$1000,"Macro"),"0%")&amp;" · ","")&amp;IF(AND(N($T19)&gt;0,COUNT($H19:$K19)&gt;0),"Con subactividades: deje vacías las semanas (se calculan solas)"&amp;" · ","")&amp;IF((COUNTIF($H19:$K19,"&gt;1")+COUNTIF($H19:$K19,"&lt;0")+COUNTA($H19:$K19)-COUNT($H19:$K19))&gt;0,"Avance fuera de rango 0-100%"&amp;" · ","")&amp;IF(OR(AND($I19&lt;&gt;"",$I19&lt;$H19),AND($J19&lt;&gt;"",$J19&lt;MAX($H19:$I19)),AND($K19&lt;&gt;"",$K19&lt;MAX($H19:$J19))),"Avance semanal decreciente"&amp;" · ","")&amp;IF(AND(ISNUMBER($F19),$F19&lt;FechaRef,N($L19)&lt;1),"Vencida"&amp;" · ","")&amp;IF(AND(ObsObligatoria="Sí",ISNUMBER($F19),$F19&lt;FechaRef,N($L19)&lt;1,$N19=""),"Vencida sin observación"&amp;" · ",""))="","✔ OK","⚠ "&amp;LEFT(IF(AND($S19="Macro",$B19=""),"Macroactividad vacía"&amp;" · ","")&amp;IF(AND($B19&lt;&gt;"",$C19&lt;&gt;""),"Escriba la subactividad en otra fila, debajo de su macroactividad"&amp;" · ","")&amp;IF(AND($S19="Sub",N($R19)=0),"Subactividad sin macroactividad arriba"&amp;" · ","")&amp;IF($D19="","Sin responsable"&amp;" · ","")&amp;IF($E19="","Sin fecha de inicio"&amp;" · ","")&amp;IF($F19="","Sin fecha límite"&amp;" · ","")&amp;IF(OR(AND($E19&lt;&gt;"",NOT(ISNUMBER($E19))),AND($F19&lt;&gt;"",NOT(ISNUMBER($F19)))),"Fecha no válida"&amp;" · ","")&amp;IF(AND(ISNUMBER($E19),ISNUMBER($F19),$E19&gt;$F19),"Inicio posterior a fecha límite"&amp;" · ","")&amp;IF(AND($S19="Macro",$G19=""),"Peso vacío"&amp;" · ","")&amp;IF(AND($S19="Macro",$G19&lt;&gt;"",OR(NOT(ISNUMBER($G19)),$G19&lt;=0,$G19&gt;1)),"Peso fuera de rango"&amp;" · ","")&amp;IF(AND($S19="Sub",$G19&lt;&gt;""),"Las subactividades no llevan peso"&amp;" · ","")&amp;IF(AND($S19="Macro",ABS(SUMIFS($G$5:$G$1000,$P$5:$P$1000,$P19,$S$5:$S$1000,"Macro")-1)&gt;0.0001),"Pesos del mes suman "&amp;TEXT(SUMIFS($G$5:$G$1000,$P$5:$P$1000,$P19,$S$5:$S$1000,"Macro"),"0%")&amp;" · ","")&amp;IF(AND(N($T19)&gt;0,COUNT($H19:$K19)&gt;0),"Con subactividades: deje vacías las semanas (se calculan solas)"&amp;" · ","")&amp;IF((COUNTIF($H19:$K19,"&gt;1")+COUNTIF($H19:$K19,"&lt;0")+COUNTA($H19:$K19)-COUNT($H19:$K19))&gt;0,"Avance fuera de rango 0-100%"&amp;" · ","")&amp;IF(OR(AND($I19&lt;&gt;"",$I19&lt;$H19),AND($J19&lt;&gt;"",$J19&lt;MAX($H19:$I19)),AND($K19&lt;&gt;"",$K19&lt;MAX($H19:$J19))),"Avance semanal decreciente"&amp;" · ","")&amp;IF(AND(ISNUMBER($F19),$F19&lt;FechaRef,N($L19)&lt;1),"Vencida"&amp;" · ","")&amp;IF(AND(ObsObligatoria="Sí",ISNUMBER($F19),$F19&lt;FechaRef,N($L19)&lt;1,$N19=""),"Vencida sin observación"&amp;" · ",""),LEN(IF(AND($S19="Macro",$B19=""),"Macroactividad vacía"&amp;" · ","")&amp;IF(AND($B19&lt;&gt;"",$C19&lt;&gt;""),"Escriba la subactividad en otra fila, debajo de su macroactividad"&amp;" · ","")&amp;IF(AND($S19="Sub",N($R19)=0),"Subactividad sin macroactividad arriba"&amp;" · ","")&amp;IF($D19="","Sin responsable"&amp;" · ","")&amp;IF($E19="","Sin fecha de inicio"&amp;" · ","")&amp;IF($F19="","Sin fecha límite"&amp;" · ","")&amp;IF(OR(AND($E19&lt;&gt;"",NOT(ISNUMBER($E19))),AND($F19&lt;&gt;"",NOT(ISNUMBER($F19)))),"Fecha no válida"&amp;" · ","")&amp;IF(AND(ISNUMBER($E19),ISNUMBER($F19),$E19&gt;$F19),"Inicio posterior a fecha límite"&amp;" · ","")&amp;IF(AND($S19="Macro",$G19=""),"Peso vacío"&amp;" · ","")&amp;IF(AND($S19="Macro",$G19&lt;&gt;"",OR(NOT(ISNUMBER($G19)),$G19&lt;=0,$G19&gt;1)),"Peso fuera de rango"&amp;" · ","")&amp;IF(AND($S19="Sub",$G19&lt;&gt;""),"Las subactividades no llevan peso"&amp;" · ","")&amp;IF(AND($S19="Macro",ABS(SUMIFS($G$5:$G$1000,$P$5:$P$1000,$P19,$S$5:$S$1000,"Macro")-1)&gt;0.0001),"Pesos del mes suman "&amp;TEXT(SUMIFS($G$5:$G$1000,$P$5:$P$1000,$P19,$S$5:$S$1000,"Macro"),"0%")&amp;" · ","")&amp;IF(AND(N($T19)&gt;0,COUNT($H19:$K19)&gt;0),"Con subactividades: deje vacías las semanas (se calculan solas)"&amp;" · ","")&amp;IF((COUNTIF($H19:$K19,"&gt;1")+COUNTIF($H19:$K19,"&lt;0")+COUNTA($H19:$K19)-COUNT($H19:$K19))&gt;0,"Avance fuera de rango 0-100%"&amp;" · ","")&amp;IF(OR(AND($I19&lt;&gt;"",$I19&lt;$H19),AND($J19&lt;&gt;"",$J19&lt;MAX($H19:$I19)),AND($K19&lt;&gt;"",$K19&lt;MAX($H19:$J19))),"Avance semanal decreciente"&amp;" · ","")&amp;IF(AND(ISNUMBER($F19),$F19&lt;FechaRef,N($L19)&lt;1),"Vencida"&amp;" · ","")&amp;IF(AND(ObsObligatoria="Sí",ISNUMBER($F19),$F19&lt;FechaRef,N($L19)&lt;1,$N19=""),"Vencida sin observación"&amp;" · ",""))-3)))</f>
        <v/>
      </c>
      <c r="P19" s="69">
        <f>IF(NOT((COUNTA($B19:$K19)+COUNTA($N19))&gt;0),"",IF(AND($S19="Sub",N($R19)&gt;0),IF(ISNUMBER(INDEX($E$5:$E$1000,$R19-4)),DATE(YEAR(INDEX($E$5:$E$1000,$R19-4)),MONTH(INDEX($E$5:$E$1000,$R19-4)),1),IF(ISNUMBER(INDEX($F$5:$F$1000,$R19-4)),DATE(YEAR(INDEX($F$5:$F$1000,$R19-4)),MONTH(INDEX($F$5:$F$1000,$R19-4)),1),MesCiclo)),IF(ISNUMBER($E19),DATE(YEAR($E19),MONTH($E19),1),IF(ISNUMBER($F19),DATE(YEAR($F19),MONTH($F19),1),MesCiclo))))</f>
        <v/>
      </c>
      <c r="Q19" s="70">
        <f>IF(OR($P19="",$P19&lt;&gt;MesCiclo),"",COUNTIF($P$5:$P19,MesCiclo))</f>
        <v/>
      </c>
      <c r="R19" s="70">
        <f>IF($S19="","",IF($S19="Macro",ROW(),IFERROR(LOOKUP(2,1/($S$5:$S19="Macro"),ROW($S$5:$S19)),0)))</f>
        <v/>
      </c>
      <c r="S19" s="70">
        <f>IF(NOT((COUNTA($B19:$K19)+COUNTA($N19))&gt;0),"",IF($B19&lt;&gt;"","Macro",IF($C19&lt;&gt;"","Sub","Macro")))</f>
        <v/>
      </c>
      <c r="T19" s="70">
        <f>IF($S19="Macro",COUNTIFS($R$5:$R$1000,ROW(),$S$5:$S$1000,"Sub"),"")</f>
        <v/>
      </c>
      <c r="U19" s="70">
        <f>IF($S19="","",IF(ISNUMBER($H19),$H19,0))</f>
        <v/>
      </c>
      <c r="V19" s="70">
        <f>IF($S19="","",IF(ISNUMBER($I19),$I19,$U19))</f>
        <v/>
      </c>
      <c r="W19" s="70">
        <f>IF($S19="","",IF(ISNUMBER($J19),$J19,$V19))</f>
        <v/>
      </c>
      <c r="X19" s="70">
        <f>IF($S19="","",IF(ISNUMBER($K19),$K19,$W19))</f>
        <v/>
      </c>
      <c r="Y19" s="70">
        <f>IF($S19="","",IF(N($T19)&gt;0,AVERAGEIFS($U$5:$U$1000,$R$5:$R$1000,ROW(),$S$5:$S$1000,"Sub"),$U19))</f>
        <v/>
      </c>
      <c r="Z19" s="70">
        <f>IF($S19="","",IF(N($T19)&gt;0,AVERAGEIFS($V$5:$V$1000,$R$5:$R$1000,ROW(),$S$5:$S$1000,"Sub"),$V19))</f>
        <v/>
      </c>
      <c r="AA19" s="70">
        <f>IF($S19="","",IF(N($T19)&gt;0,AVERAGEIFS($W$5:$W$1000,$R$5:$R$1000,ROW(),$S$5:$S$1000,"Sub"),$W19))</f>
        <v/>
      </c>
      <c r="AB19" s="70">
        <f>IF($S19="","",IF(N($T19)&gt;0,AVERAGEIFS($X$5:$X$1000,$R$5:$R$1000,ROW(),$S$5:$S$1000,"Sub"),$X19))</f>
        <v/>
      </c>
    </row>
    <row r="20">
      <c r="A20" s="61">
        <f>IF(NOT((COUNTA($B20:$K20)+COUNTA($N20))&gt;0),"",IF($S20="Macro",COUNTIFS($S$5:$S20,"Macro",$P$5:$P20,$P20),IF(N($R20)=0,"?",COUNTIFS(INDEX($S$5:$S$1000,1):INDEX($S$5:$S$1000,$R20-4),"Macro",INDEX($P$5:$P$1000,1):INDEX($P$5:$P$1000,$R20-4),INDEX($P$5:$P$1000,$R20-4))&amp;"."&amp;COUNTIFS($R$5:$R20,$R20,$S$5:$S20,"Sub"))))</f>
        <v/>
      </c>
      <c r="B20" s="62" t="n"/>
      <c r="C20" s="63" t="n"/>
      <c r="D20" s="62" t="n"/>
      <c r="E20" s="64" t="n"/>
      <c r="F20" s="64" t="n"/>
      <c r="G20" s="65" t="n"/>
      <c r="H20" s="66" t="n"/>
      <c r="I20" s="66" t="n"/>
      <c r="J20" s="66" t="n"/>
      <c r="K20" s="66" t="n"/>
      <c r="L20" s="67">
        <f>IF(NOT((COUNTA($B20:$K20)+COUNTA($N20))&gt;0),"",IF(N($T20)&gt;0,$AB20,IFERROR(LOOKUP(2,1/(H20:K20&lt;&gt;""),H20:K20),0)))</f>
        <v/>
      </c>
      <c r="M20" s="61">
        <f>IF(L20="","",IF(L20&gt;=1,"Completado",IF(L20&gt;0,"En curso","Pendiente")))</f>
        <v/>
      </c>
      <c r="N20" s="62" t="n"/>
      <c r="O20" s="68">
        <f>IF(NOT((COUNTA($B20:$K20)+COUNTA($N20))&gt;0),"",IF((IF(AND($S20="Macro",$B20=""),"Macroactividad vacía"&amp;" · ","")&amp;IF(AND($B20&lt;&gt;"",$C20&lt;&gt;""),"Escriba la subactividad en otra fila, debajo de su macroactividad"&amp;" · ","")&amp;IF(AND($S20="Sub",N($R20)=0),"Subactividad sin macroactividad arriba"&amp;" · ","")&amp;IF($D20="","Sin responsable"&amp;" · ","")&amp;IF($E20="","Sin fecha de inicio"&amp;" · ","")&amp;IF($F20="","Sin fecha límite"&amp;" · ","")&amp;IF(OR(AND($E20&lt;&gt;"",NOT(ISNUMBER($E20))),AND($F20&lt;&gt;"",NOT(ISNUMBER($F20)))),"Fecha no válida"&amp;" · ","")&amp;IF(AND(ISNUMBER($E20),ISNUMBER($F20),$E20&gt;$F20),"Inicio posterior a fecha límite"&amp;" · ","")&amp;IF(AND($S20="Macro",$G20=""),"Peso vacío"&amp;" · ","")&amp;IF(AND($S20="Macro",$G20&lt;&gt;"",OR(NOT(ISNUMBER($G20)),$G20&lt;=0,$G20&gt;1)),"Peso fuera de rango"&amp;" · ","")&amp;IF(AND($S20="Sub",$G20&lt;&gt;""),"Las subactividades no llevan peso"&amp;" · ","")&amp;IF(AND($S20="Macro",ABS(SUMIFS($G$5:$G$1000,$P$5:$P$1000,$P20,$S$5:$S$1000,"Macro")-1)&gt;0.0001),"Pesos del mes suman "&amp;TEXT(SUMIFS($G$5:$G$1000,$P$5:$P$1000,$P20,$S$5:$S$1000,"Macro"),"0%")&amp;" · ","")&amp;IF(AND(N($T20)&gt;0,COUNT($H20:$K20)&gt;0),"Con subactividades: deje vacías las semanas (se calculan solas)"&amp;" · ","")&amp;IF((COUNTIF($H20:$K20,"&gt;1")+COUNTIF($H20:$K20,"&lt;0")+COUNTA($H20:$K20)-COUNT($H20:$K20))&gt;0,"Avance fuera de rango 0-100%"&amp;" · ","")&amp;IF(OR(AND($I20&lt;&gt;"",$I20&lt;$H20),AND($J20&lt;&gt;"",$J20&lt;MAX($H20:$I20)),AND($K20&lt;&gt;"",$K20&lt;MAX($H20:$J20))),"Avance semanal decreciente"&amp;" · ","")&amp;IF(AND(ISNUMBER($F20),$F20&lt;FechaRef,N($L20)&lt;1),"Vencida"&amp;" · ","")&amp;IF(AND(ObsObligatoria="Sí",ISNUMBER($F20),$F20&lt;FechaRef,N($L20)&lt;1,$N20=""),"Vencida sin observación"&amp;" · ",""))="","✔ OK","⚠ "&amp;LEFT(IF(AND($S20="Macro",$B20=""),"Macroactividad vacía"&amp;" · ","")&amp;IF(AND($B20&lt;&gt;"",$C20&lt;&gt;""),"Escriba la subactividad en otra fila, debajo de su macroactividad"&amp;" · ","")&amp;IF(AND($S20="Sub",N($R20)=0),"Subactividad sin macroactividad arriba"&amp;" · ","")&amp;IF($D20="","Sin responsable"&amp;" · ","")&amp;IF($E20="","Sin fecha de inicio"&amp;" · ","")&amp;IF($F20="","Sin fecha límite"&amp;" · ","")&amp;IF(OR(AND($E20&lt;&gt;"",NOT(ISNUMBER($E20))),AND($F20&lt;&gt;"",NOT(ISNUMBER($F20)))),"Fecha no válida"&amp;" · ","")&amp;IF(AND(ISNUMBER($E20),ISNUMBER($F20),$E20&gt;$F20),"Inicio posterior a fecha límite"&amp;" · ","")&amp;IF(AND($S20="Macro",$G20=""),"Peso vacío"&amp;" · ","")&amp;IF(AND($S20="Macro",$G20&lt;&gt;"",OR(NOT(ISNUMBER($G20)),$G20&lt;=0,$G20&gt;1)),"Peso fuera de rango"&amp;" · ","")&amp;IF(AND($S20="Sub",$G20&lt;&gt;""),"Las subactividades no llevan peso"&amp;" · ","")&amp;IF(AND($S20="Macro",ABS(SUMIFS($G$5:$G$1000,$P$5:$P$1000,$P20,$S$5:$S$1000,"Macro")-1)&gt;0.0001),"Pesos del mes suman "&amp;TEXT(SUMIFS($G$5:$G$1000,$P$5:$P$1000,$P20,$S$5:$S$1000,"Macro"),"0%")&amp;" · ","")&amp;IF(AND(N($T20)&gt;0,COUNT($H20:$K20)&gt;0),"Con subactividades: deje vacías las semanas (se calculan solas)"&amp;" · ","")&amp;IF((COUNTIF($H20:$K20,"&gt;1")+COUNTIF($H20:$K20,"&lt;0")+COUNTA($H20:$K20)-COUNT($H20:$K20))&gt;0,"Avance fuera de rango 0-100%"&amp;" · ","")&amp;IF(OR(AND($I20&lt;&gt;"",$I20&lt;$H20),AND($J20&lt;&gt;"",$J20&lt;MAX($H20:$I20)),AND($K20&lt;&gt;"",$K20&lt;MAX($H20:$J20))),"Avance semanal decreciente"&amp;" · ","")&amp;IF(AND(ISNUMBER($F20),$F20&lt;FechaRef,N($L20)&lt;1),"Vencida"&amp;" · ","")&amp;IF(AND(ObsObligatoria="Sí",ISNUMBER($F20),$F20&lt;FechaRef,N($L20)&lt;1,$N20=""),"Vencida sin observación"&amp;" · ",""),LEN(IF(AND($S20="Macro",$B20=""),"Macroactividad vacía"&amp;" · ","")&amp;IF(AND($B20&lt;&gt;"",$C20&lt;&gt;""),"Escriba la subactividad en otra fila, debajo de su macroactividad"&amp;" · ","")&amp;IF(AND($S20="Sub",N($R20)=0),"Subactividad sin macroactividad arriba"&amp;" · ","")&amp;IF($D20="","Sin responsable"&amp;" · ","")&amp;IF($E20="","Sin fecha de inicio"&amp;" · ","")&amp;IF($F20="","Sin fecha límite"&amp;" · ","")&amp;IF(OR(AND($E20&lt;&gt;"",NOT(ISNUMBER($E20))),AND($F20&lt;&gt;"",NOT(ISNUMBER($F20)))),"Fecha no válida"&amp;" · ","")&amp;IF(AND(ISNUMBER($E20),ISNUMBER($F20),$E20&gt;$F20),"Inicio posterior a fecha límite"&amp;" · ","")&amp;IF(AND($S20="Macro",$G20=""),"Peso vacío"&amp;" · ","")&amp;IF(AND($S20="Macro",$G20&lt;&gt;"",OR(NOT(ISNUMBER($G20)),$G20&lt;=0,$G20&gt;1)),"Peso fuera de rango"&amp;" · ","")&amp;IF(AND($S20="Sub",$G20&lt;&gt;""),"Las subactividades no llevan peso"&amp;" · ","")&amp;IF(AND($S20="Macro",ABS(SUMIFS($G$5:$G$1000,$P$5:$P$1000,$P20,$S$5:$S$1000,"Macro")-1)&gt;0.0001),"Pesos del mes suman "&amp;TEXT(SUMIFS($G$5:$G$1000,$P$5:$P$1000,$P20,$S$5:$S$1000,"Macro"),"0%")&amp;" · ","")&amp;IF(AND(N($T20)&gt;0,COUNT($H20:$K20)&gt;0),"Con subactividades: deje vacías las semanas (se calculan solas)"&amp;" · ","")&amp;IF((COUNTIF($H20:$K20,"&gt;1")+COUNTIF($H20:$K20,"&lt;0")+COUNTA($H20:$K20)-COUNT($H20:$K20))&gt;0,"Avance fuera de rango 0-100%"&amp;" · ","")&amp;IF(OR(AND($I20&lt;&gt;"",$I20&lt;$H20),AND($J20&lt;&gt;"",$J20&lt;MAX($H20:$I20)),AND($K20&lt;&gt;"",$K20&lt;MAX($H20:$J20))),"Avance semanal decreciente"&amp;" · ","")&amp;IF(AND(ISNUMBER($F20),$F20&lt;FechaRef,N($L20)&lt;1),"Vencida"&amp;" · ","")&amp;IF(AND(ObsObligatoria="Sí",ISNUMBER($F20),$F20&lt;FechaRef,N($L20)&lt;1,$N20=""),"Vencida sin observación"&amp;" · ",""))-3)))</f>
        <v/>
      </c>
      <c r="P20" s="69">
        <f>IF(NOT((COUNTA($B20:$K20)+COUNTA($N20))&gt;0),"",IF(AND($S20="Sub",N($R20)&gt;0),IF(ISNUMBER(INDEX($E$5:$E$1000,$R20-4)),DATE(YEAR(INDEX($E$5:$E$1000,$R20-4)),MONTH(INDEX($E$5:$E$1000,$R20-4)),1),IF(ISNUMBER(INDEX($F$5:$F$1000,$R20-4)),DATE(YEAR(INDEX($F$5:$F$1000,$R20-4)),MONTH(INDEX($F$5:$F$1000,$R20-4)),1),MesCiclo)),IF(ISNUMBER($E20),DATE(YEAR($E20),MONTH($E20),1),IF(ISNUMBER($F20),DATE(YEAR($F20),MONTH($F20),1),MesCiclo))))</f>
        <v/>
      </c>
      <c r="Q20" s="70">
        <f>IF(OR($P20="",$P20&lt;&gt;MesCiclo),"",COUNTIF($P$5:$P20,MesCiclo))</f>
        <v/>
      </c>
      <c r="R20" s="70">
        <f>IF($S20="","",IF($S20="Macro",ROW(),IFERROR(LOOKUP(2,1/($S$5:$S20="Macro"),ROW($S$5:$S20)),0)))</f>
        <v/>
      </c>
      <c r="S20" s="70">
        <f>IF(NOT((COUNTA($B20:$K20)+COUNTA($N20))&gt;0),"",IF($B20&lt;&gt;"","Macro",IF($C20&lt;&gt;"","Sub","Macro")))</f>
        <v/>
      </c>
      <c r="T20" s="70">
        <f>IF($S20="Macro",COUNTIFS($R$5:$R$1000,ROW(),$S$5:$S$1000,"Sub"),"")</f>
        <v/>
      </c>
      <c r="U20" s="70">
        <f>IF($S20="","",IF(ISNUMBER($H20),$H20,0))</f>
        <v/>
      </c>
      <c r="V20" s="70">
        <f>IF($S20="","",IF(ISNUMBER($I20),$I20,$U20))</f>
        <v/>
      </c>
      <c r="W20" s="70">
        <f>IF($S20="","",IF(ISNUMBER($J20),$J20,$V20))</f>
        <v/>
      </c>
      <c r="X20" s="70">
        <f>IF($S20="","",IF(ISNUMBER($K20),$K20,$W20))</f>
        <v/>
      </c>
      <c r="Y20" s="70">
        <f>IF($S20="","",IF(N($T20)&gt;0,AVERAGEIFS($U$5:$U$1000,$R$5:$R$1000,ROW(),$S$5:$S$1000,"Sub"),$U20))</f>
        <v/>
      </c>
      <c r="Z20" s="70">
        <f>IF($S20="","",IF(N($T20)&gt;0,AVERAGEIFS($V$5:$V$1000,$R$5:$R$1000,ROW(),$S$5:$S$1000,"Sub"),$V20))</f>
        <v/>
      </c>
      <c r="AA20" s="70">
        <f>IF($S20="","",IF(N($T20)&gt;0,AVERAGEIFS($W$5:$W$1000,$R$5:$R$1000,ROW(),$S$5:$S$1000,"Sub"),$W20))</f>
        <v/>
      </c>
      <c r="AB20" s="70">
        <f>IF($S20="","",IF(N($T20)&gt;0,AVERAGEIFS($X$5:$X$1000,$R$5:$R$1000,ROW(),$S$5:$S$1000,"Sub"),$X20))</f>
        <v/>
      </c>
    </row>
    <row r="21">
      <c r="A21" s="61">
        <f>IF(NOT((COUNTA($B21:$K21)+COUNTA($N21))&gt;0),"",IF($S21="Macro",COUNTIFS($S$5:$S21,"Macro",$P$5:$P21,$P21),IF(N($R21)=0,"?",COUNTIFS(INDEX($S$5:$S$1000,1):INDEX($S$5:$S$1000,$R21-4),"Macro",INDEX($P$5:$P$1000,1):INDEX($P$5:$P$1000,$R21-4),INDEX($P$5:$P$1000,$R21-4))&amp;"."&amp;COUNTIFS($R$5:$R21,$R21,$S$5:$S21,"Sub"))))</f>
        <v/>
      </c>
      <c r="B21" s="62" t="n"/>
      <c r="C21" s="63" t="n"/>
      <c r="D21" s="62" t="n"/>
      <c r="E21" s="64" t="n"/>
      <c r="F21" s="64" t="n"/>
      <c r="G21" s="65" t="n"/>
      <c r="H21" s="66" t="n"/>
      <c r="I21" s="66" t="n"/>
      <c r="J21" s="66" t="n"/>
      <c r="K21" s="66" t="n"/>
      <c r="L21" s="67">
        <f>IF(NOT((COUNTA($B21:$K21)+COUNTA($N21))&gt;0),"",IF(N($T21)&gt;0,$AB21,IFERROR(LOOKUP(2,1/(H21:K21&lt;&gt;""),H21:K21),0)))</f>
        <v/>
      </c>
      <c r="M21" s="61">
        <f>IF(L21="","",IF(L21&gt;=1,"Completado",IF(L21&gt;0,"En curso","Pendiente")))</f>
        <v/>
      </c>
      <c r="N21" s="62" t="n"/>
      <c r="O21" s="68">
        <f>IF(NOT((COUNTA($B21:$K21)+COUNTA($N21))&gt;0),"",IF((IF(AND($S21="Macro",$B21=""),"Macroactividad vacía"&amp;" · ","")&amp;IF(AND($B21&lt;&gt;"",$C21&lt;&gt;""),"Escriba la subactividad en otra fila, debajo de su macroactividad"&amp;" · ","")&amp;IF(AND($S21="Sub",N($R21)=0),"Subactividad sin macroactividad arriba"&amp;" · ","")&amp;IF($D21="","Sin responsable"&amp;" · ","")&amp;IF($E21="","Sin fecha de inicio"&amp;" · ","")&amp;IF($F21="","Sin fecha límite"&amp;" · ","")&amp;IF(OR(AND($E21&lt;&gt;"",NOT(ISNUMBER($E21))),AND($F21&lt;&gt;"",NOT(ISNUMBER($F21)))),"Fecha no válida"&amp;" · ","")&amp;IF(AND(ISNUMBER($E21),ISNUMBER($F21),$E21&gt;$F21),"Inicio posterior a fecha límite"&amp;" · ","")&amp;IF(AND($S21="Macro",$G21=""),"Peso vacío"&amp;" · ","")&amp;IF(AND($S21="Macro",$G21&lt;&gt;"",OR(NOT(ISNUMBER($G21)),$G21&lt;=0,$G21&gt;1)),"Peso fuera de rango"&amp;" · ","")&amp;IF(AND($S21="Sub",$G21&lt;&gt;""),"Las subactividades no llevan peso"&amp;" · ","")&amp;IF(AND($S21="Macro",ABS(SUMIFS($G$5:$G$1000,$P$5:$P$1000,$P21,$S$5:$S$1000,"Macro")-1)&gt;0.0001),"Pesos del mes suman "&amp;TEXT(SUMIFS($G$5:$G$1000,$P$5:$P$1000,$P21,$S$5:$S$1000,"Macro"),"0%")&amp;" · ","")&amp;IF(AND(N($T21)&gt;0,COUNT($H21:$K21)&gt;0),"Con subactividades: deje vacías las semanas (se calculan solas)"&amp;" · ","")&amp;IF((COUNTIF($H21:$K21,"&gt;1")+COUNTIF($H21:$K21,"&lt;0")+COUNTA($H21:$K21)-COUNT($H21:$K21))&gt;0,"Avance fuera de rango 0-100%"&amp;" · ","")&amp;IF(OR(AND($I21&lt;&gt;"",$I21&lt;$H21),AND($J21&lt;&gt;"",$J21&lt;MAX($H21:$I21)),AND($K21&lt;&gt;"",$K21&lt;MAX($H21:$J21))),"Avance semanal decreciente"&amp;" · ","")&amp;IF(AND(ISNUMBER($F21),$F21&lt;FechaRef,N($L21)&lt;1),"Vencida"&amp;" · ","")&amp;IF(AND(ObsObligatoria="Sí",ISNUMBER($F21),$F21&lt;FechaRef,N($L21)&lt;1,$N21=""),"Vencida sin observación"&amp;" · ",""))="","✔ OK","⚠ "&amp;LEFT(IF(AND($S21="Macro",$B21=""),"Macroactividad vacía"&amp;" · ","")&amp;IF(AND($B21&lt;&gt;"",$C21&lt;&gt;""),"Escriba la subactividad en otra fila, debajo de su macroactividad"&amp;" · ","")&amp;IF(AND($S21="Sub",N($R21)=0),"Subactividad sin macroactividad arriba"&amp;" · ","")&amp;IF($D21="","Sin responsable"&amp;" · ","")&amp;IF($E21="","Sin fecha de inicio"&amp;" · ","")&amp;IF($F21="","Sin fecha límite"&amp;" · ","")&amp;IF(OR(AND($E21&lt;&gt;"",NOT(ISNUMBER($E21))),AND($F21&lt;&gt;"",NOT(ISNUMBER($F21)))),"Fecha no válida"&amp;" · ","")&amp;IF(AND(ISNUMBER($E21),ISNUMBER($F21),$E21&gt;$F21),"Inicio posterior a fecha límite"&amp;" · ","")&amp;IF(AND($S21="Macro",$G21=""),"Peso vacío"&amp;" · ","")&amp;IF(AND($S21="Macro",$G21&lt;&gt;"",OR(NOT(ISNUMBER($G21)),$G21&lt;=0,$G21&gt;1)),"Peso fuera de rango"&amp;" · ","")&amp;IF(AND($S21="Sub",$G21&lt;&gt;""),"Las subactividades no llevan peso"&amp;" · ","")&amp;IF(AND($S21="Macro",ABS(SUMIFS($G$5:$G$1000,$P$5:$P$1000,$P21,$S$5:$S$1000,"Macro")-1)&gt;0.0001),"Pesos del mes suman "&amp;TEXT(SUMIFS($G$5:$G$1000,$P$5:$P$1000,$P21,$S$5:$S$1000,"Macro"),"0%")&amp;" · ","")&amp;IF(AND(N($T21)&gt;0,COUNT($H21:$K21)&gt;0),"Con subactividades: deje vacías las semanas (se calculan solas)"&amp;" · ","")&amp;IF((COUNTIF($H21:$K21,"&gt;1")+COUNTIF($H21:$K21,"&lt;0")+COUNTA($H21:$K21)-COUNT($H21:$K21))&gt;0,"Avance fuera de rango 0-100%"&amp;" · ","")&amp;IF(OR(AND($I21&lt;&gt;"",$I21&lt;$H21),AND($J21&lt;&gt;"",$J21&lt;MAX($H21:$I21)),AND($K21&lt;&gt;"",$K21&lt;MAX($H21:$J21))),"Avance semanal decreciente"&amp;" · ","")&amp;IF(AND(ISNUMBER($F21),$F21&lt;FechaRef,N($L21)&lt;1),"Vencida"&amp;" · ","")&amp;IF(AND(ObsObligatoria="Sí",ISNUMBER($F21),$F21&lt;FechaRef,N($L21)&lt;1,$N21=""),"Vencida sin observación"&amp;" · ",""),LEN(IF(AND($S21="Macro",$B21=""),"Macroactividad vacía"&amp;" · ","")&amp;IF(AND($B21&lt;&gt;"",$C21&lt;&gt;""),"Escriba la subactividad en otra fila, debajo de su macroactividad"&amp;" · ","")&amp;IF(AND($S21="Sub",N($R21)=0),"Subactividad sin macroactividad arriba"&amp;" · ","")&amp;IF($D21="","Sin responsable"&amp;" · ","")&amp;IF($E21="","Sin fecha de inicio"&amp;" · ","")&amp;IF($F21="","Sin fecha límite"&amp;" · ","")&amp;IF(OR(AND($E21&lt;&gt;"",NOT(ISNUMBER($E21))),AND($F21&lt;&gt;"",NOT(ISNUMBER($F21)))),"Fecha no válida"&amp;" · ","")&amp;IF(AND(ISNUMBER($E21),ISNUMBER($F21),$E21&gt;$F21),"Inicio posterior a fecha límite"&amp;" · ","")&amp;IF(AND($S21="Macro",$G21=""),"Peso vacío"&amp;" · ","")&amp;IF(AND($S21="Macro",$G21&lt;&gt;"",OR(NOT(ISNUMBER($G21)),$G21&lt;=0,$G21&gt;1)),"Peso fuera de rango"&amp;" · ","")&amp;IF(AND($S21="Sub",$G21&lt;&gt;""),"Las subactividades no llevan peso"&amp;" · ","")&amp;IF(AND($S21="Macro",ABS(SUMIFS($G$5:$G$1000,$P$5:$P$1000,$P21,$S$5:$S$1000,"Macro")-1)&gt;0.0001),"Pesos del mes suman "&amp;TEXT(SUMIFS($G$5:$G$1000,$P$5:$P$1000,$P21,$S$5:$S$1000,"Macro"),"0%")&amp;" · ","")&amp;IF(AND(N($T21)&gt;0,COUNT($H21:$K21)&gt;0),"Con subactividades: deje vacías las semanas (se calculan solas)"&amp;" · ","")&amp;IF((COUNTIF($H21:$K21,"&gt;1")+COUNTIF($H21:$K21,"&lt;0")+COUNTA($H21:$K21)-COUNT($H21:$K21))&gt;0,"Avance fuera de rango 0-100%"&amp;" · ","")&amp;IF(OR(AND($I21&lt;&gt;"",$I21&lt;$H21),AND($J21&lt;&gt;"",$J21&lt;MAX($H21:$I21)),AND($K21&lt;&gt;"",$K21&lt;MAX($H21:$J21))),"Avance semanal decreciente"&amp;" · ","")&amp;IF(AND(ISNUMBER($F21),$F21&lt;FechaRef,N($L21)&lt;1),"Vencida"&amp;" · ","")&amp;IF(AND(ObsObligatoria="Sí",ISNUMBER($F21),$F21&lt;FechaRef,N($L21)&lt;1,$N21=""),"Vencida sin observación"&amp;" · ",""))-3)))</f>
        <v/>
      </c>
      <c r="P21" s="69">
        <f>IF(NOT((COUNTA($B21:$K21)+COUNTA($N21))&gt;0),"",IF(AND($S21="Sub",N($R21)&gt;0),IF(ISNUMBER(INDEX($E$5:$E$1000,$R21-4)),DATE(YEAR(INDEX($E$5:$E$1000,$R21-4)),MONTH(INDEX($E$5:$E$1000,$R21-4)),1),IF(ISNUMBER(INDEX($F$5:$F$1000,$R21-4)),DATE(YEAR(INDEX($F$5:$F$1000,$R21-4)),MONTH(INDEX($F$5:$F$1000,$R21-4)),1),MesCiclo)),IF(ISNUMBER($E21),DATE(YEAR($E21),MONTH($E21),1),IF(ISNUMBER($F21),DATE(YEAR($F21),MONTH($F21),1),MesCiclo))))</f>
        <v/>
      </c>
      <c r="Q21" s="70">
        <f>IF(OR($P21="",$P21&lt;&gt;MesCiclo),"",COUNTIF($P$5:$P21,MesCiclo))</f>
        <v/>
      </c>
      <c r="R21" s="70">
        <f>IF($S21="","",IF($S21="Macro",ROW(),IFERROR(LOOKUP(2,1/($S$5:$S21="Macro"),ROW($S$5:$S21)),0)))</f>
        <v/>
      </c>
      <c r="S21" s="70">
        <f>IF(NOT((COUNTA($B21:$K21)+COUNTA($N21))&gt;0),"",IF($B21&lt;&gt;"","Macro",IF($C21&lt;&gt;"","Sub","Macro")))</f>
        <v/>
      </c>
      <c r="T21" s="70">
        <f>IF($S21="Macro",COUNTIFS($R$5:$R$1000,ROW(),$S$5:$S$1000,"Sub"),"")</f>
        <v/>
      </c>
      <c r="U21" s="70">
        <f>IF($S21="","",IF(ISNUMBER($H21),$H21,0))</f>
        <v/>
      </c>
      <c r="V21" s="70">
        <f>IF($S21="","",IF(ISNUMBER($I21),$I21,$U21))</f>
        <v/>
      </c>
      <c r="W21" s="70">
        <f>IF($S21="","",IF(ISNUMBER($J21),$J21,$V21))</f>
        <v/>
      </c>
      <c r="X21" s="70">
        <f>IF($S21="","",IF(ISNUMBER($K21),$K21,$W21))</f>
        <v/>
      </c>
      <c r="Y21" s="70">
        <f>IF($S21="","",IF(N($T21)&gt;0,AVERAGEIFS($U$5:$U$1000,$R$5:$R$1000,ROW(),$S$5:$S$1000,"Sub"),$U21))</f>
        <v/>
      </c>
      <c r="Z21" s="70">
        <f>IF($S21="","",IF(N($T21)&gt;0,AVERAGEIFS($V$5:$V$1000,$R$5:$R$1000,ROW(),$S$5:$S$1000,"Sub"),$V21))</f>
        <v/>
      </c>
      <c r="AA21" s="70">
        <f>IF($S21="","",IF(N($T21)&gt;0,AVERAGEIFS($W$5:$W$1000,$R$5:$R$1000,ROW(),$S$5:$S$1000,"Sub"),$W21))</f>
        <v/>
      </c>
      <c r="AB21" s="70">
        <f>IF($S21="","",IF(N($T21)&gt;0,AVERAGEIFS($X$5:$X$1000,$R$5:$R$1000,ROW(),$S$5:$S$1000,"Sub"),$X21))</f>
        <v/>
      </c>
    </row>
    <row r="22">
      <c r="A22" s="61">
        <f>IF(NOT((COUNTA($B22:$K22)+COUNTA($N22))&gt;0),"",IF($S22="Macro",COUNTIFS($S$5:$S22,"Macro",$P$5:$P22,$P22),IF(N($R22)=0,"?",COUNTIFS(INDEX($S$5:$S$1000,1):INDEX($S$5:$S$1000,$R22-4),"Macro",INDEX($P$5:$P$1000,1):INDEX($P$5:$P$1000,$R22-4),INDEX($P$5:$P$1000,$R22-4))&amp;"."&amp;COUNTIFS($R$5:$R22,$R22,$S$5:$S22,"Sub"))))</f>
        <v/>
      </c>
      <c r="B22" s="62" t="n"/>
      <c r="C22" s="63" t="n"/>
      <c r="D22" s="62" t="n"/>
      <c r="E22" s="64" t="n"/>
      <c r="F22" s="64" t="n"/>
      <c r="G22" s="65" t="n"/>
      <c r="H22" s="66" t="n"/>
      <c r="I22" s="66" t="n"/>
      <c r="J22" s="66" t="n"/>
      <c r="K22" s="66" t="n"/>
      <c r="L22" s="67">
        <f>IF(NOT((COUNTA($B22:$K22)+COUNTA($N22))&gt;0),"",IF(N($T22)&gt;0,$AB22,IFERROR(LOOKUP(2,1/(H22:K22&lt;&gt;""),H22:K22),0)))</f>
        <v/>
      </c>
      <c r="M22" s="61">
        <f>IF(L22="","",IF(L22&gt;=1,"Completado",IF(L22&gt;0,"En curso","Pendiente")))</f>
        <v/>
      </c>
      <c r="N22" s="62" t="n"/>
      <c r="O22" s="68">
        <f>IF(NOT((COUNTA($B22:$K22)+COUNTA($N22))&gt;0),"",IF((IF(AND($S22="Macro",$B22=""),"Macroactividad vacía"&amp;" · ","")&amp;IF(AND($B22&lt;&gt;"",$C22&lt;&gt;""),"Escriba la subactividad en otra fila, debajo de su macroactividad"&amp;" · ","")&amp;IF(AND($S22="Sub",N($R22)=0),"Subactividad sin macroactividad arriba"&amp;" · ","")&amp;IF($D22="","Sin responsable"&amp;" · ","")&amp;IF($E22="","Sin fecha de inicio"&amp;" · ","")&amp;IF($F22="","Sin fecha límite"&amp;" · ","")&amp;IF(OR(AND($E22&lt;&gt;"",NOT(ISNUMBER($E22))),AND($F22&lt;&gt;"",NOT(ISNUMBER($F22)))),"Fecha no válida"&amp;" · ","")&amp;IF(AND(ISNUMBER($E22),ISNUMBER($F22),$E22&gt;$F22),"Inicio posterior a fecha límite"&amp;" · ","")&amp;IF(AND($S22="Macro",$G22=""),"Peso vacío"&amp;" · ","")&amp;IF(AND($S22="Macro",$G22&lt;&gt;"",OR(NOT(ISNUMBER($G22)),$G22&lt;=0,$G22&gt;1)),"Peso fuera de rango"&amp;" · ","")&amp;IF(AND($S22="Sub",$G22&lt;&gt;""),"Las subactividades no llevan peso"&amp;" · ","")&amp;IF(AND($S22="Macro",ABS(SUMIFS($G$5:$G$1000,$P$5:$P$1000,$P22,$S$5:$S$1000,"Macro")-1)&gt;0.0001),"Pesos del mes suman "&amp;TEXT(SUMIFS($G$5:$G$1000,$P$5:$P$1000,$P22,$S$5:$S$1000,"Macro"),"0%")&amp;" · ","")&amp;IF(AND(N($T22)&gt;0,COUNT($H22:$K22)&gt;0),"Con subactividades: deje vacías las semanas (se calculan solas)"&amp;" · ","")&amp;IF((COUNTIF($H22:$K22,"&gt;1")+COUNTIF($H22:$K22,"&lt;0")+COUNTA($H22:$K22)-COUNT($H22:$K22))&gt;0,"Avance fuera de rango 0-100%"&amp;" · ","")&amp;IF(OR(AND($I22&lt;&gt;"",$I22&lt;$H22),AND($J22&lt;&gt;"",$J22&lt;MAX($H22:$I22)),AND($K22&lt;&gt;"",$K22&lt;MAX($H22:$J22))),"Avance semanal decreciente"&amp;" · ","")&amp;IF(AND(ISNUMBER($F22),$F22&lt;FechaRef,N($L22)&lt;1),"Vencida"&amp;" · ","")&amp;IF(AND(ObsObligatoria="Sí",ISNUMBER($F22),$F22&lt;FechaRef,N($L22)&lt;1,$N22=""),"Vencida sin observación"&amp;" · ",""))="","✔ OK","⚠ "&amp;LEFT(IF(AND($S22="Macro",$B22=""),"Macroactividad vacía"&amp;" · ","")&amp;IF(AND($B22&lt;&gt;"",$C22&lt;&gt;""),"Escriba la subactividad en otra fila, debajo de su macroactividad"&amp;" · ","")&amp;IF(AND($S22="Sub",N($R22)=0),"Subactividad sin macroactividad arriba"&amp;" · ","")&amp;IF($D22="","Sin responsable"&amp;" · ","")&amp;IF($E22="","Sin fecha de inicio"&amp;" · ","")&amp;IF($F22="","Sin fecha límite"&amp;" · ","")&amp;IF(OR(AND($E22&lt;&gt;"",NOT(ISNUMBER($E22))),AND($F22&lt;&gt;"",NOT(ISNUMBER($F22)))),"Fecha no válida"&amp;" · ","")&amp;IF(AND(ISNUMBER($E22),ISNUMBER($F22),$E22&gt;$F22),"Inicio posterior a fecha límite"&amp;" · ","")&amp;IF(AND($S22="Macro",$G22=""),"Peso vacío"&amp;" · ","")&amp;IF(AND($S22="Macro",$G22&lt;&gt;"",OR(NOT(ISNUMBER($G22)),$G22&lt;=0,$G22&gt;1)),"Peso fuera de rango"&amp;" · ","")&amp;IF(AND($S22="Sub",$G22&lt;&gt;""),"Las subactividades no llevan peso"&amp;" · ","")&amp;IF(AND($S22="Macro",ABS(SUMIFS($G$5:$G$1000,$P$5:$P$1000,$P22,$S$5:$S$1000,"Macro")-1)&gt;0.0001),"Pesos del mes suman "&amp;TEXT(SUMIFS($G$5:$G$1000,$P$5:$P$1000,$P22,$S$5:$S$1000,"Macro"),"0%")&amp;" · ","")&amp;IF(AND(N($T22)&gt;0,COUNT($H22:$K22)&gt;0),"Con subactividades: deje vacías las semanas (se calculan solas)"&amp;" · ","")&amp;IF((COUNTIF($H22:$K22,"&gt;1")+COUNTIF($H22:$K22,"&lt;0")+COUNTA($H22:$K22)-COUNT($H22:$K22))&gt;0,"Avance fuera de rango 0-100%"&amp;" · ","")&amp;IF(OR(AND($I22&lt;&gt;"",$I22&lt;$H22),AND($J22&lt;&gt;"",$J22&lt;MAX($H22:$I22)),AND($K22&lt;&gt;"",$K22&lt;MAX($H22:$J22))),"Avance semanal decreciente"&amp;" · ","")&amp;IF(AND(ISNUMBER($F22),$F22&lt;FechaRef,N($L22)&lt;1),"Vencida"&amp;" · ","")&amp;IF(AND(ObsObligatoria="Sí",ISNUMBER($F22),$F22&lt;FechaRef,N($L22)&lt;1,$N22=""),"Vencida sin observación"&amp;" · ",""),LEN(IF(AND($S22="Macro",$B22=""),"Macroactividad vacía"&amp;" · ","")&amp;IF(AND($B22&lt;&gt;"",$C22&lt;&gt;""),"Escriba la subactividad en otra fila, debajo de su macroactividad"&amp;" · ","")&amp;IF(AND($S22="Sub",N($R22)=0),"Subactividad sin macroactividad arriba"&amp;" · ","")&amp;IF($D22="","Sin responsable"&amp;" · ","")&amp;IF($E22="","Sin fecha de inicio"&amp;" · ","")&amp;IF($F22="","Sin fecha límite"&amp;" · ","")&amp;IF(OR(AND($E22&lt;&gt;"",NOT(ISNUMBER($E22))),AND($F22&lt;&gt;"",NOT(ISNUMBER($F22)))),"Fecha no válida"&amp;" · ","")&amp;IF(AND(ISNUMBER($E22),ISNUMBER($F22),$E22&gt;$F22),"Inicio posterior a fecha límite"&amp;" · ","")&amp;IF(AND($S22="Macro",$G22=""),"Peso vacío"&amp;" · ","")&amp;IF(AND($S22="Macro",$G22&lt;&gt;"",OR(NOT(ISNUMBER($G22)),$G22&lt;=0,$G22&gt;1)),"Peso fuera de rango"&amp;" · ","")&amp;IF(AND($S22="Sub",$G22&lt;&gt;""),"Las subactividades no llevan peso"&amp;" · ","")&amp;IF(AND($S22="Macro",ABS(SUMIFS($G$5:$G$1000,$P$5:$P$1000,$P22,$S$5:$S$1000,"Macro")-1)&gt;0.0001),"Pesos del mes suman "&amp;TEXT(SUMIFS($G$5:$G$1000,$P$5:$P$1000,$P22,$S$5:$S$1000,"Macro"),"0%")&amp;" · ","")&amp;IF(AND(N($T22)&gt;0,COUNT($H22:$K22)&gt;0),"Con subactividades: deje vacías las semanas (se calculan solas)"&amp;" · ","")&amp;IF((COUNTIF($H22:$K22,"&gt;1")+COUNTIF($H22:$K22,"&lt;0")+COUNTA($H22:$K22)-COUNT($H22:$K22))&gt;0,"Avance fuera de rango 0-100%"&amp;" · ","")&amp;IF(OR(AND($I22&lt;&gt;"",$I22&lt;$H22),AND($J22&lt;&gt;"",$J22&lt;MAX($H22:$I22)),AND($K22&lt;&gt;"",$K22&lt;MAX($H22:$J22))),"Avance semanal decreciente"&amp;" · ","")&amp;IF(AND(ISNUMBER($F22),$F22&lt;FechaRef,N($L22)&lt;1),"Vencida"&amp;" · ","")&amp;IF(AND(ObsObligatoria="Sí",ISNUMBER($F22),$F22&lt;FechaRef,N($L22)&lt;1,$N22=""),"Vencida sin observación"&amp;" · ",""))-3)))</f>
        <v/>
      </c>
      <c r="P22" s="69">
        <f>IF(NOT((COUNTA($B22:$K22)+COUNTA($N22))&gt;0),"",IF(AND($S22="Sub",N($R22)&gt;0),IF(ISNUMBER(INDEX($E$5:$E$1000,$R22-4)),DATE(YEAR(INDEX($E$5:$E$1000,$R22-4)),MONTH(INDEX($E$5:$E$1000,$R22-4)),1),IF(ISNUMBER(INDEX($F$5:$F$1000,$R22-4)),DATE(YEAR(INDEX($F$5:$F$1000,$R22-4)),MONTH(INDEX($F$5:$F$1000,$R22-4)),1),MesCiclo)),IF(ISNUMBER($E22),DATE(YEAR($E22),MONTH($E22),1),IF(ISNUMBER($F22),DATE(YEAR($F22),MONTH($F22),1),MesCiclo))))</f>
        <v/>
      </c>
      <c r="Q22" s="70">
        <f>IF(OR($P22="",$P22&lt;&gt;MesCiclo),"",COUNTIF($P$5:$P22,MesCiclo))</f>
        <v/>
      </c>
      <c r="R22" s="70">
        <f>IF($S22="","",IF($S22="Macro",ROW(),IFERROR(LOOKUP(2,1/($S$5:$S22="Macro"),ROW($S$5:$S22)),0)))</f>
        <v/>
      </c>
      <c r="S22" s="70">
        <f>IF(NOT((COUNTA($B22:$K22)+COUNTA($N22))&gt;0),"",IF($B22&lt;&gt;"","Macro",IF($C22&lt;&gt;"","Sub","Macro")))</f>
        <v/>
      </c>
      <c r="T22" s="70">
        <f>IF($S22="Macro",COUNTIFS($R$5:$R$1000,ROW(),$S$5:$S$1000,"Sub"),"")</f>
        <v/>
      </c>
      <c r="U22" s="70">
        <f>IF($S22="","",IF(ISNUMBER($H22),$H22,0))</f>
        <v/>
      </c>
      <c r="V22" s="70">
        <f>IF($S22="","",IF(ISNUMBER($I22),$I22,$U22))</f>
        <v/>
      </c>
      <c r="W22" s="70">
        <f>IF($S22="","",IF(ISNUMBER($J22),$J22,$V22))</f>
        <v/>
      </c>
      <c r="X22" s="70">
        <f>IF($S22="","",IF(ISNUMBER($K22),$K22,$W22))</f>
        <v/>
      </c>
      <c r="Y22" s="70">
        <f>IF($S22="","",IF(N($T22)&gt;0,AVERAGEIFS($U$5:$U$1000,$R$5:$R$1000,ROW(),$S$5:$S$1000,"Sub"),$U22))</f>
        <v/>
      </c>
      <c r="Z22" s="70">
        <f>IF($S22="","",IF(N($T22)&gt;0,AVERAGEIFS($V$5:$V$1000,$R$5:$R$1000,ROW(),$S$5:$S$1000,"Sub"),$V22))</f>
        <v/>
      </c>
      <c r="AA22" s="70">
        <f>IF($S22="","",IF(N($T22)&gt;0,AVERAGEIFS($W$5:$W$1000,$R$5:$R$1000,ROW(),$S$5:$S$1000,"Sub"),$W22))</f>
        <v/>
      </c>
      <c r="AB22" s="70">
        <f>IF($S22="","",IF(N($T22)&gt;0,AVERAGEIFS($X$5:$X$1000,$R$5:$R$1000,ROW(),$S$5:$S$1000,"Sub"),$X22))</f>
        <v/>
      </c>
    </row>
    <row r="23">
      <c r="A23" s="61">
        <f>IF(NOT((COUNTA($B23:$K23)+COUNTA($N23))&gt;0),"",IF($S23="Macro",COUNTIFS($S$5:$S23,"Macro",$P$5:$P23,$P23),IF(N($R23)=0,"?",COUNTIFS(INDEX($S$5:$S$1000,1):INDEX($S$5:$S$1000,$R23-4),"Macro",INDEX($P$5:$P$1000,1):INDEX($P$5:$P$1000,$R23-4),INDEX($P$5:$P$1000,$R23-4))&amp;"."&amp;COUNTIFS($R$5:$R23,$R23,$S$5:$S23,"Sub"))))</f>
        <v/>
      </c>
      <c r="B23" s="62" t="n"/>
      <c r="C23" s="63" t="n"/>
      <c r="D23" s="62" t="n"/>
      <c r="E23" s="64" t="n"/>
      <c r="F23" s="64" t="n"/>
      <c r="G23" s="65" t="n"/>
      <c r="H23" s="66" t="n"/>
      <c r="I23" s="66" t="n"/>
      <c r="J23" s="66" t="n"/>
      <c r="K23" s="66" t="n"/>
      <c r="L23" s="67">
        <f>IF(NOT((COUNTA($B23:$K23)+COUNTA($N23))&gt;0),"",IF(N($T23)&gt;0,$AB23,IFERROR(LOOKUP(2,1/(H23:K23&lt;&gt;""),H23:K23),0)))</f>
        <v/>
      </c>
      <c r="M23" s="61">
        <f>IF(L23="","",IF(L23&gt;=1,"Completado",IF(L23&gt;0,"En curso","Pendiente")))</f>
        <v/>
      </c>
      <c r="N23" s="62" t="n"/>
      <c r="O23" s="68">
        <f>IF(NOT((COUNTA($B23:$K23)+COUNTA($N23))&gt;0),"",IF((IF(AND($S23="Macro",$B23=""),"Macroactividad vacía"&amp;" · ","")&amp;IF(AND($B23&lt;&gt;"",$C23&lt;&gt;""),"Escriba la subactividad en otra fila, debajo de su macroactividad"&amp;" · ","")&amp;IF(AND($S23="Sub",N($R23)=0),"Subactividad sin macroactividad arriba"&amp;" · ","")&amp;IF($D23="","Sin responsable"&amp;" · ","")&amp;IF($E23="","Sin fecha de inicio"&amp;" · ","")&amp;IF($F23="","Sin fecha límite"&amp;" · ","")&amp;IF(OR(AND($E23&lt;&gt;"",NOT(ISNUMBER($E23))),AND($F23&lt;&gt;"",NOT(ISNUMBER($F23)))),"Fecha no válida"&amp;" · ","")&amp;IF(AND(ISNUMBER($E23),ISNUMBER($F23),$E23&gt;$F23),"Inicio posterior a fecha límite"&amp;" · ","")&amp;IF(AND($S23="Macro",$G23=""),"Peso vacío"&amp;" · ","")&amp;IF(AND($S23="Macro",$G23&lt;&gt;"",OR(NOT(ISNUMBER($G23)),$G23&lt;=0,$G23&gt;1)),"Peso fuera de rango"&amp;" · ","")&amp;IF(AND($S23="Sub",$G23&lt;&gt;""),"Las subactividades no llevan peso"&amp;" · ","")&amp;IF(AND($S23="Macro",ABS(SUMIFS($G$5:$G$1000,$P$5:$P$1000,$P23,$S$5:$S$1000,"Macro")-1)&gt;0.0001),"Pesos del mes suman "&amp;TEXT(SUMIFS($G$5:$G$1000,$P$5:$P$1000,$P23,$S$5:$S$1000,"Macro"),"0%")&amp;" · ","")&amp;IF(AND(N($T23)&gt;0,COUNT($H23:$K23)&gt;0),"Con subactividades: deje vacías las semanas (se calculan solas)"&amp;" · ","")&amp;IF((COUNTIF($H23:$K23,"&gt;1")+COUNTIF($H23:$K23,"&lt;0")+COUNTA($H23:$K23)-COUNT($H23:$K23))&gt;0,"Avance fuera de rango 0-100%"&amp;" · ","")&amp;IF(OR(AND($I23&lt;&gt;"",$I23&lt;$H23),AND($J23&lt;&gt;"",$J23&lt;MAX($H23:$I23)),AND($K23&lt;&gt;"",$K23&lt;MAX($H23:$J23))),"Avance semanal decreciente"&amp;" · ","")&amp;IF(AND(ISNUMBER($F23),$F23&lt;FechaRef,N($L23)&lt;1),"Vencida"&amp;" · ","")&amp;IF(AND(ObsObligatoria="Sí",ISNUMBER($F23),$F23&lt;FechaRef,N($L23)&lt;1,$N23=""),"Vencida sin observación"&amp;" · ",""))="","✔ OK","⚠ "&amp;LEFT(IF(AND($S23="Macro",$B23=""),"Macroactividad vacía"&amp;" · ","")&amp;IF(AND($B23&lt;&gt;"",$C23&lt;&gt;""),"Escriba la subactividad en otra fila, debajo de su macroactividad"&amp;" · ","")&amp;IF(AND($S23="Sub",N($R23)=0),"Subactividad sin macroactividad arriba"&amp;" · ","")&amp;IF($D23="","Sin responsable"&amp;" · ","")&amp;IF($E23="","Sin fecha de inicio"&amp;" · ","")&amp;IF($F23="","Sin fecha límite"&amp;" · ","")&amp;IF(OR(AND($E23&lt;&gt;"",NOT(ISNUMBER($E23))),AND($F23&lt;&gt;"",NOT(ISNUMBER($F23)))),"Fecha no válida"&amp;" · ","")&amp;IF(AND(ISNUMBER($E23),ISNUMBER($F23),$E23&gt;$F23),"Inicio posterior a fecha límite"&amp;" · ","")&amp;IF(AND($S23="Macro",$G23=""),"Peso vacío"&amp;" · ","")&amp;IF(AND($S23="Macro",$G23&lt;&gt;"",OR(NOT(ISNUMBER($G23)),$G23&lt;=0,$G23&gt;1)),"Peso fuera de rango"&amp;" · ","")&amp;IF(AND($S23="Sub",$G23&lt;&gt;""),"Las subactividades no llevan peso"&amp;" · ","")&amp;IF(AND($S23="Macro",ABS(SUMIFS($G$5:$G$1000,$P$5:$P$1000,$P23,$S$5:$S$1000,"Macro")-1)&gt;0.0001),"Pesos del mes suman "&amp;TEXT(SUMIFS($G$5:$G$1000,$P$5:$P$1000,$P23,$S$5:$S$1000,"Macro"),"0%")&amp;" · ","")&amp;IF(AND(N($T23)&gt;0,COUNT($H23:$K23)&gt;0),"Con subactividades: deje vacías las semanas (se calculan solas)"&amp;" · ","")&amp;IF((COUNTIF($H23:$K23,"&gt;1")+COUNTIF($H23:$K23,"&lt;0")+COUNTA($H23:$K23)-COUNT($H23:$K23))&gt;0,"Avance fuera de rango 0-100%"&amp;" · ","")&amp;IF(OR(AND($I23&lt;&gt;"",$I23&lt;$H23),AND($J23&lt;&gt;"",$J23&lt;MAX($H23:$I23)),AND($K23&lt;&gt;"",$K23&lt;MAX($H23:$J23))),"Avance semanal decreciente"&amp;" · ","")&amp;IF(AND(ISNUMBER($F23),$F23&lt;FechaRef,N($L23)&lt;1),"Vencida"&amp;" · ","")&amp;IF(AND(ObsObligatoria="Sí",ISNUMBER($F23),$F23&lt;FechaRef,N($L23)&lt;1,$N23=""),"Vencida sin observación"&amp;" · ",""),LEN(IF(AND($S23="Macro",$B23=""),"Macroactividad vacía"&amp;" · ","")&amp;IF(AND($B23&lt;&gt;"",$C23&lt;&gt;""),"Escriba la subactividad en otra fila, debajo de su macroactividad"&amp;" · ","")&amp;IF(AND($S23="Sub",N($R23)=0),"Subactividad sin macroactividad arriba"&amp;" · ","")&amp;IF($D23="","Sin responsable"&amp;" · ","")&amp;IF($E23="","Sin fecha de inicio"&amp;" · ","")&amp;IF($F23="","Sin fecha límite"&amp;" · ","")&amp;IF(OR(AND($E23&lt;&gt;"",NOT(ISNUMBER($E23))),AND($F23&lt;&gt;"",NOT(ISNUMBER($F23)))),"Fecha no válida"&amp;" · ","")&amp;IF(AND(ISNUMBER($E23),ISNUMBER($F23),$E23&gt;$F23),"Inicio posterior a fecha límite"&amp;" · ","")&amp;IF(AND($S23="Macro",$G23=""),"Peso vacío"&amp;" · ","")&amp;IF(AND($S23="Macro",$G23&lt;&gt;"",OR(NOT(ISNUMBER($G23)),$G23&lt;=0,$G23&gt;1)),"Peso fuera de rango"&amp;" · ","")&amp;IF(AND($S23="Sub",$G23&lt;&gt;""),"Las subactividades no llevan peso"&amp;" · ","")&amp;IF(AND($S23="Macro",ABS(SUMIFS($G$5:$G$1000,$P$5:$P$1000,$P23,$S$5:$S$1000,"Macro")-1)&gt;0.0001),"Pesos del mes suman "&amp;TEXT(SUMIFS($G$5:$G$1000,$P$5:$P$1000,$P23,$S$5:$S$1000,"Macro"),"0%")&amp;" · ","")&amp;IF(AND(N($T23)&gt;0,COUNT($H23:$K23)&gt;0),"Con subactividades: deje vacías las semanas (se calculan solas)"&amp;" · ","")&amp;IF((COUNTIF($H23:$K23,"&gt;1")+COUNTIF($H23:$K23,"&lt;0")+COUNTA($H23:$K23)-COUNT($H23:$K23))&gt;0,"Avance fuera de rango 0-100%"&amp;" · ","")&amp;IF(OR(AND($I23&lt;&gt;"",$I23&lt;$H23),AND($J23&lt;&gt;"",$J23&lt;MAX($H23:$I23)),AND($K23&lt;&gt;"",$K23&lt;MAX($H23:$J23))),"Avance semanal decreciente"&amp;" · ","")&amp;IF(AND(ISNUMBER($F23),$F23&lt;FechaRef,N($L23)&lt;1),"Vencida"&amp;" · ","")&amp;IF(AND(ObsObligatoria="Sí",ISNUMBER($F23),$F23&lt;FechaRef,N($L23)&lt;1,$N23=""),"Vencida sin observación"&amp;" · ",""))-3)))</f>
        <v/>
      </c>
      <c r="P23" s="69">
        <f>IF(NOT((COUNTA($B23:$K23)+COUNTA($N23))&gt;0),"",IF(AND($S23="Sub",N($R23)&gt;0),IF(ISNUMBER(INDEX($E$5:$E$1000,$R23-4)),DATE(YEAR(INDEX($E$5:$E$1000,$R23-4)),MONTH(INDEX($E$5:$E$1000,$R23-4)),1),IF(ISNUMBER(INDEX($F$5:$F$1000,$R23-4)),DATE(YEAR(INDEX($F$5:$F$1000,$R23-4)),MONTH(INDEX($F$5:$F$1000,$R23-4)),1),MesCiclo)),IF(ISNUMBER($E23),DATE(YEAR($E23),MONTH($E23),1),IF(ISNUMBER($F23),DATE(YEAR($F23),MONTH($F23),1),MesCiclo))))</f>
        <v/>
      </c>
      <c r="Q23" s="70">
        <f>IF(OR($P23="",$P23&lt;&gt;MesCiclo),"",COUNTIF($P$5:$P23,MesCiclo))</f>
        <v/>
      </c>
      <c r="R23" s="70">
        <f>IF($S23="","",IF($S23="Macro",ROW(),IFERROR(LOOKUP(2,1/($S$5:$S23="Macro"),ROW($S$5:$S23)),0)))</f>
        <v/>
      </c>
      <c r="S23" s="70">
        <f>IF(NOT((COUNTA($B23:$K23)+COUNTA($N23))&gt;0),"",IF($B23&lt;&gt;"","Macro",IF($C23&lt;&gt;"","Sub","Macro")))</f>
        <v/>
      </c>
      <c r="T23" s="70">
        <f>IF($S23="Macro",COUNTIFS($R$5:$R$1000,ROW(),$S$5:$S$1000,"Sub"),"")</f>
        <v/>
      </c>
      <c r="U23" s="70">
        <f>IF($S23="","",IF(ISNUMBER($H23),$H23,0))</f>
        <v/>
      </c>
      <c r="V23" s="70">
        <f>IF($S23="","",IF(ISNUMBER($I23),$I23,$U23))</f>
        <v/>
      </c>
      <c r="W23" s="70">
        <f>IF($S23="","",IF(ISNUMBER($J23),$J23,$V23))</f>
        <v/>
      </c>
      <c r="X23" s="70">
        <f>IF($S23="","",IF(ISNUMBER($K23),$K23,$W23))</f>
        <v/>
      </c>
      <c r="Y23" s="70">
        <f>IF($S23="","",IF(N($T23)&gt;0,AVERAGEIFS($U$5:$U$1000,$R$5:$R$1000,ROW(),$S$5:$S$1000,"Sub"),$U23))</f>
        <v/>
      </c>
      <c r="Z23" s="70">
        <f>IF($S23="","",IF(N($T23)&gt;0,AVERAGEIFS($V$5:$V$1000,$R$5:$R$1000,ROW(),$S$5:$S$1000,"Sub"),$V23))</f>
        <v/>
      </c>
      <c r="AA23" s="70">
        <f>IF($S23="","",IF(N($T23)&gt;0,AVERAGEIFS($W$5:$W$1000,$R$5:$R$1000,ROW(),$S$5:$S$1000,"Sub"),$W23))</f>
        <v/>
      </c>
      <c r="AB23" s="70">
        <f>IF($S23="","",IF(N($T23)&gt;0,AVERAGEIFS($X$5:$X$1000,$R$5:$R$1000,ROW(),$S$5:$S$1000,"Sub"),$X23))</f>
        <v/>
      </c>
    </row>
    <row r="24">
      <c r="A24" s="61">
        <f>IF(NOT((COUNTA($B24:$K24)+COUNTA($N24))&gt;0),"",IF($S24="Macro",COUNTIFS($S$5:$S24,"Macro",$P$5:$P24,$P24),IF(N($R24)=0,"?",COUNTIFS(INDEX($S$5:$S$1000,1):INDEX($S$5:$S$1000,$R24-4),"Macro",INDEX($P$5:$P$1000,1):INDEX($P$5:$P$1000,$R24-4),INDEX($P$5:$P$1000,$R24-4))&amp;"."&amp;COUNTIFS($R$5:$R24,$R24,$S$5:$S24,"Sub"))))</f>
        <v/>
      </c>
      <c r="B24" s="62" t="n"/>
      <c r="C24" s="63" t="n"/>
      <c r="D24" s="62" t="n"/>
      <c r="E24" s="64" t="n"/>
      <c r="F24" s="64" t="n"/>
      <c r="G24" s="65" t="n"/>
      <c r="H24" s="66" t="n"/>
      <c r="I24" s="66" t="n"/>
      <c r="J24" s="66" t="n"/>
      <c r="K24" s="66" t="n"/>
      <c r="L24" s="67">
        <f>IF(NOT((COUNTA($B24:$K24)+COUNTA($N24))&gt;0),"",IF(N($T24)&gt;0,$AB24,IFERROR(LOOKUP(2,1/(H24:K24&lt;&gt;""),H24:K24),0)))</f>
        <v/>
      </c>
      <c r="M24" s="61">
        <f>IF(L24="","",IF(L24&gt;=1,"Completado",IF(L24&gt;0,"En curso","Pendiente")))</f>
        <v/>
      </c>
      <c r="N24" s="62" t="n"/>
      <c r="O24" s="68">
        <f>IF(NOT((COUNTA($B24:$K24)+COUNTA($N24))&gt;0),"",IF((IF(AND($S24="Macro",$B24=""),"Macroactividad vacía"&amp;" · ","")&amp;IF(AND($B24&lt;&gt;"",$C24&lt;&gt;""),"Escriba la subactividad en otra fila, debajo de su macroactividad"&amp;" · ","")&amp;IF(AND($S24="Sub",N($R24)=0),"Subactividad sin macroactividad arriba"&amp;" · ","")&amp;IF($D24="","Sin responsable"&amp;" · ","")&amp;IF($E24="","Sin fecha de inicio"&amp;" · ","")&amp;IF($F24="","Sin fecha límite"&amp;" · ","")&amp;IF(OR(AND($E24&lt;&gt;"",NOT(ISNUMBER($E24))),AND($F24&lt;&gt;"",NOT(ISNUMBER($F24)))),"Fecha no válida"&amp;" · ","")&amp;IF(AND(ISNUMBER($E24),ISNUMBER($F24),$E24&gt;$F24),"Inicio posterior a fecha límite"&amp;" · ","")&amp;IF(AND($S24="Macro",$G24=""),"Peso vacío"&amp;" · ","")&amp;IF(AND($S24="Macro",$G24&lt;&gt;"",OR(NOT(ISNUMBER($G24)),$G24&lt;=0,$G24&gt;1)),"Peso fuera de rango"&amp;" · ","")&amp;IF(AND($S24="Sub",$G24&lt;&gt;""),"Las subactividades no llevan peso"&amp;" · ","")&amp;IF(AND($S24="Macro",ABS(SUMIFS($G$5:$G$1000,$P$5:$P$1000,$P24,$S$5:$S$1000,"Macro")-1)&gt;0.0001),"Pesos del mes suman "&amp;TEXT(SUMIFS($G$5:$G$1000,$P$5:$P$1000,$P24,$S$5:$S$1000,"Macro"),"0%")&amp;" · ","")&amp;IF(AND(N($T24)&gt;0,COUNT($H24:$K24)&gt;0),"Con subactividades: deje vacías las semanas (se calculan solas)"&amp;" · ","")&amp;IF((COUNTIF($H24:$K24,"&gt;1")+COUNTIF($H24:$K24,"&lt;0")+COUNTA($H24:$K24)-COUNT($H24:$K24))&gt;0,"Avance fuera de rango 0-100%"&amp;" · ","")&amp;IF(OR(AND($I24&lt;&gt;"",$I24&lt;$H24),AND($J24&lt;&gt;"",$J24&lt;MAX($H24:$I24)),AND($K24&lt;&gt;"",$K24&lt;MAX($H24:$J24))),"Avance semanal decreciente"&amp;" · ","")&amp;IF(AND(ISNUMBER($F24),$F24&lt;FechaRef,N($L24)&lt;1),"Vencida"&amp;" · ","")&amp;IF(AND(ObsObligatoria="Sí",ISNUMBER($F24),$F24&lt;FechaRef,N($L24)&lt;1,$N24=""),"Vencida sin observación"&amp;" · ",""))="","✔ OK","⚠ "&amp;LEFT(IF(AND($S24="Macro",$B24=""),"Macroactividad vacía"&amp;" · ","")&amp;IF(AND($B24&lt;&gt;"",$C24&lt;&gt;""),"Escriba la subactividad en otra fila, debajo de su macroactividad"&amp;" · ","")&amp;IF(AND($S24="Sub",N($R24)=0),"Subactividad sin macroactividad arriba"&amp;" · ","")&amp;IF($D24="","Sin responsable"&amp;" · ","")&amp;IF($E24="","Sin fecha de inicio"&amp;" · ","")&amp;IF($F24="","Sin fecha límite"&amp;" · ","")&amp;IF(OR(AND($E24&lt;&gt;"",NOT(ISNUMBER($E24))),AND($F24&lt;&gt;"",NOT(ISNUMBER($F24)))),"Fecha no válida"&amp;" · ","")&amp;IF(AND(ISNUMBER($E24),ISNUMBER($F24),$E24&gt;$F24),"Inicio posterior a fecha límite"&amp;" · ","")&amp;IF(AND($S24="Macro",$G24=""),"Peso vacío"&amp;" · ","")&amp;IF(AND($S24="Macro",$G24&lt;&gt;"",OR(NOT(ISNUMBER($G24)),$G24&lt;=0,$G24&gt;1)),"Peso fuera de rango"&amp;" · ","")&amp;IF(AND($S24="Sub",$G24&lt;&gt;""),"Las subactividades no llevan peso"&amp;" · ","")&amp;IF(AND($S24="Macro",ABS(SUMIFS($G$5:$G$1000,$P$5:$P$1000,$P24,$S$5:$S$1000,"Macro")-1)&gt;0.0001),"Pesos del mes suman "&amp;TEXT(SUMIFS($G$5:$G$1000,$P$5:$P$1000,$P24,$S$5:$S$1000,"Macro"),"0%")&amp;" · ","")&amp;IF(AND(N($T24)&gt;0,COUNT($H24:$K24)&gt;0),"Con subactividades: deje vacías las semanas (se calculan solas)"&amp;" · ","")&amp;IF((COUNTIF($H24:$K24,"&gt;1")+COUNTIF($H24:$K24,"&lt;0")+COUNTA($H24:$K24)-COUNT($H24:$K24))&gt;0,"Avance fuera de rango 0-100%"&amp;" · ","")&amp;IF(OR(AND($I24&lt;&gt;"",$I24&lt;$H24),AND($J24&lt;&gt;"",$J24&lt;MAX($H24:$I24)),AND($K24&lt;&gt;"",$K24&lt;MAX($H24:$J24))),"Avance semanal decreciente"&amp;" · ","")&amp;IF(AND(ISNUMBER($F24),$F24&lt;FechaRef,N($L24)&lt;1),"Vencida"&amp;" · ","")&amp;IF(AND(ObsObligatoria="Sí",ISNUMBER($F24),$F24&lt;FechaRef,N($L24)&lt;1,$N24=""),"Vencida sin observación"&amp;" · ",""),LEN(IF(AND($S24="Macro",$B24=""),"Macroactividad vacía"&amp;" · ","")&amp;IF(AND($B24&lt;&gt;"",$C24&lt;&gt;""),"Escriba la subactividad en otra fila, debajo de su macroactividad"&amp;" · ","")&amp;IF(AND($S24="Sub",N($R24)=0),"Subactividad sin macroactividad arriba"&amp;" · ","")&amp;IF($D24="","Sin responsable"&amp;" · ","")&amp;IF($E24="","Sin fecha de inicio"&amp;" · ","")&amp;IF($F24="","Sin fecha límite"&amp;" · ","")&amp;IF(OR(AND($E24&lt;&gt;"",NOT(ISNUMBER($E24))),AND($F24&lt;&gt;"",NOT(ISNUMBER($F24)))),"Fecha no válida"&amp;" · ","")&amp;IF(AND(ISNUMBER($E24),ISNUMBER($F24),$E24&gt;$F24),"Inicio posterior a fecha límite"&amp;" · ","")&amp;IF(AND($S24="Macro",$G24=""),"Peso vacío"&amp;" · ","")&amp;IF(AND($S24="Macro",$G24&lt;&gt;"",OR(NOT(ISNUMBER($G24)),$G24&lt;=0,$G24&gt;1)),"Peso fuera de rango"&amp;" · ","")&amp;IF(AND($S24="Sub",$G24&lt;&gt;""),"Las subactividades no llevan peso"&amp;" · ","")&amp;IF(AND($S24="Macro",ABS(SUMIFS($G$5:$G$1000,$P$5:$P$1000,$P24,$S$5:$S$1000,"Macro")-1)&gt;0.0001),"Pesos del mes suman "&amp;TEXT(SUMIFS($G$5:$G$1000,$P$5:$P$1000,$P24,$S$5:$S$1000,"Macro"),"0%")&amp;" · ","")&amp;IF(AND(N($T24)&gt;0,COUNT($H24:$K24)&gt;0),"Con subactividades: deje vacías las semanas (se calculan solas)"&amp;" · ","")&amp;IF((COUNTIF($H24:$K24,"&gt;1")+COUNTIF($H24:$K24,"&lt;0")+COUNTA($H24:$K24)-COUNT($H24:$K24))&gt;0,"Avance fuera de rango 0-100%"&amp;" · ","")&amp;IF(OR(AND($I24&lt;&gt;"",$I24&lt;$H24),AND($J24&lt;&gt;"",$J24&lt;MAX($H24:$I24)),AND($K24&lt;&gt;"",$K24&lt;MAX($H24:$J24))),"Avance semanal decreciente"&amp;" · ","")&amp;IF(AND(ISNUMBER($F24),$F24&lt;FechaRef,N($L24)&lt;1),"Vencida"&amp;" · ","")&amp;IF(AND(ObsObligatoria="Sí",ISNUMBER($F24),$F24&lt;FechaRef,N($L24)&lt;1,$N24=""),"Vencida sin observación"&amp;" · ",""))-3)))</f>
        <v/>
      </c>
      <c r="P24" s="69">
        <f>IF(NOT((COUNTA($B24:$K24)+COUNTA($N24))&gt;0),"",IF(AND($S24="Sub",N($R24)&gt;0),IF(ISNUMBER(INDEX($E$5:$E$1000,$R24-4)),DATE(YEAR(INDEX($E$5:$E$1000,$R24-4)),MONTH(INDEX($E$5:$E$1000,$R24-4)),1),IF(ISNUMBER(INDEX($F$5:$F$1000,$R24-4)),DATE(YEAR(INDEX($F$5:$F$1000,$R24-4)),MONTH(INDEX($F$5:$F$1000,$R24-4)),1),MesCiclo)),IF(ISNUMBER($E24),DATE(YEAR($E24),MONTH($E24),1),IF(ISNUMBER($F24),DATE(YEAR($F24),MONTH($F24),1),MesCiclo))))</f>
        <v/>
      </c>
      <c r="Q24" s="70">
        <f>IF(OR($P24="",$P24&lt;&gt;MesCiclo),"",COUNTIF($P$5:$P24,MesCiclo))</f>
        <v/>
      </c>
      <c r="R24" s="70">
        <f>IF($S24="","",IF($S24="Macro",ROW(),IFERROR(LOOKUP(2,1/($S$5:$S24="Macro"),ROW($S$5:$S24)),0)))</f>
        <v/>
      </c>
      <c r="S24" s="70">
        <f>IF(NOT((COUNTA($B24:$K24)+COUNTA($N24))&gt;0),"",IF($B24&lt;&gt;"","Macro",IF($C24&lt;&gt;"","Sub","Macro")))</f>
        <v/>
      </c>
      <c r="T24" s="70">
        <f>IF($S24="Macro",COUNTIFS($R$5:$R$1000,ROW(),$S$5:$S$1000,"Sub"),"")</f>
        <v/>
      </c>
      <c r="U24" s="70">
        <f>IF($S24="","",IF(ISNUMBER($H24),$H24,0))</f>
        <v/>
      </c>
      <c r="V24" s="70">
        <f>IF($S24="","",IF(ISNUMBER($I24),$I24,$U24))</f>
        <v/>
      </c>
      <c r="W24" s="70">
        <f>IF($S24="","",IF(ISNUMBER($J24),$J24,$V24))</f>
        <v/>
      </c>
      <c r="X24" s="70">
        <f>IF($S24="","",IF(ISNUMBER($K24),$K24,$W24))</f>
        <v/>
      </c>
      <c r="Y24" s="70">
        <f>IF($S24="","",IF(N($T24)&gt;0,AVERAGEIFS($U$5:$U$1000,$R$5:$R$1000,ROW(),$S$5:$S$1000,"Sub"),$U24))</f>
        <v/>
      </c>
      <c r="Z24" s="70">
        <f>IF($S24="","",IF(N($T24)&gt;0,AVERAGEIFS($V$5:$V$1000,$R$5:$R$1000,ROW(),$S$5:$S$1000,"Sub"),$V24))</f>
        <v/>
      </c>
      <c r="AA24" s="70">
        <f>IF($S24="","",IF(N($T24)&gt;0,AVERAGEIFS($W$5:$W$1000,$R$5:$R$1000,ROW(),$S$5:$S$1000,"Sub"),$W24))</f>
        <v/>
      </c>
      <c r="AB24" s="70">
        <f>IF($S24="","",IF(N($T24)&gt;0,AVERAGEIFS($X$5:$X$1000,$R$5:$R$1000,ROW(),$S$5:$S$1000,"Sub"),$X24))</f>
        <v/>
      </c>
    </row>
    <row r="25">
      <c r="A25" s="61">
        <f>IF(NOT((COUNTA($B25:$K25)+COUNTA($N25))&gt;0),"",IF($S25="Macro",COUNTIFS($S$5:$S25,"Macro",$P$5:$P25,$P25),IF(N($R25)=0,"?",COUNTIFS(INDEX($S$5:$S$1000,1):INDEX($S$5:$S$1000,$R25-4),"Macro",INDEX($P$5:$P$1000,1):INDEX($P$5:$P$1000,$R25-4),INDEX($P$5:$P$1000,$R25-4))&amp;"."&amp;COUNTIFS($R$5:$R25,$R25,$S$5:$S25,"Sub"))))</f>
        <v/>
      </c>
      <c r="B25" s="62" t="n"/>
      <c r="C25" s="63" t="n"/>
      <c r="D25" s="62" t="n"/>
      <c r="E25" s="64" t="n"/>
      <c r="F25" s="64" t="n"/>
      <c r="G25" s="65" t="n"/>
      <c r="H25" s="66" t="n"/>
      <c r="I25" s="66" t="n"/>
      <c r="J25" s="66" t="n"/>
      <c r="K25" s="66" t="n"/>
      <c r="L25" s="67">
        <f>IF(NOT((COUNTA($B25:$K25)+COUNTA($N25))&gt;0),"",IF(N($T25)&gt;0,$AB25,IFERROR(LOOKUP(2,1/(H25:K25&lt;&gt;""),H25:K25),0)))</f>
        <v/>
      </c>
      <c r="M25" s="61">
        <f>IF(L25="","",IF(L25&gt;=1,"Completado",IF(L25&gt;0,"En curso","Pendiente")))</f>
        <v/>
      </c>
      <c r="N25" s="62" t="n"/>
      <c r="O25" s="68">
        <f>IF(NOT((COUNTA($B25:$K25)+COUNTA($N25))&gt;0),"",IF((IF(AND($S25="Macro",$B25=""),"Macroactividad vacía"&amp;" · ","")&amp;IF(AND($B25&lt;&gt;"",$C25&lt;&gt;""),"Escriba la subactividad en otra fila, debajo de su macroactividad"&amp;" · ","")&amp;IF(AND($S25="Sub",N($R25)=0),"Subactividad sin macroactividad arriba"&amp;" · ","")&amp;IF($D25="","Sin responsable"&amp;" · ","")&amp;IF($E25="","Sin fecha de inicio"&amp;" · ","")&amp;IF($F25="","Sin fecha límite"&amp;" · ","")&amp;IF(OR(AND($E25&lt;&gt;"",NOT(ISNUMBER($E25))),AND($F25&lt;&gt;"",NOT(ISNUMBER($F25)))),"Fecha no válida"&amp;" · ","")&amp;IF(AND(ISNUMBER($E25),ISNUMBER($F25),$E25&gt;$F25),"Inicio posterior a fecha límite"&amp;" · ","")&amp;IF(AND($S25="Macro",$G25=""),"Peso vacío"&amp;" · ","")&amp;IF(AND($S25="Macro",$G25&lt;&gt;"",OR(NOT(ISNUMBER($G25)),$G25&lt;=0,$G25&gt;1)),"Peso fuera de rango"&amp;" · ","")&amp;IF(AND($S25="Sub",$G25&lt;&gt;""),"Las subactividades no llevan peso"&amp;" · ","")&amp;IF(AND($S25="Macro",ABS(SUMIFS($G$5:$G$1000,$P$5:$P$1000,$P25,$S$5:$S$1000,"Macro")-1)&gt;0.0001),"Pesos del mes suman "&amp;TEXT(SUMIFS($G$5:$G$1000,$P$5:$P$1000,$P25,$S$5:$S$1000,"Macro"),"0%")&amp;" · ","")&amp;IF(AND(N($T25)&gt;0,COUNT($H25:$K25)&gt;0),"Con subactividades: deje vacías las semanas (se calculan solas)"&amp;" · ","")&amp;IF((COUNTIF($H25:$K25,"&gt;1")+COUNTIF($H25:$K25,"&lt;0")+COUNTA($H25:$K25)-COUNT($H25:$K25))&gt;0,"Avance fuera de rango 0-100%"&amp;" · ","")&amp;IF(OR(AND($I25&lt;&gt;"",$I25&lt;$H25),AND($J25&lt;&gt;"",$J25&lt;MAX($H25:$I25)),AND($K25&lt;&gt;"",$K25&lt;MAX($H25:$J25))),"Avance semanal decreciente"&amp;" · ","")&amp;IF(AND(ISNUMBER($F25),$F25&lt;FechaRef,N($L25)&lt;1),"Vencida"&amp;" · ","")&amp;IF(AND(ObsObligatoria="Sí",ISNUMBER($F25),$F25&lt;FechaRef,N($L25)&lt;1,$N25=""),"Vencida sin observación"&amp;" · ",""))="","✔ OK","⚠ "&amp;LEFT(IF(AND($S25="Macro",$B25=""),"Macroactividad vacía"&amp;" · ","")&amp;IF(AND($B25&lt;&gt;"",$C25&lt;&gt;""),"Escriba la subactividad en otra fila, debajo de su macroactividad"&amp;" · ","")&amp;IF(AND($S25="Sub",N($R25)=0),"Subactividad sin macroactividad arriba"&amp;" · ","")&amp;IF($D25="","Sin responsable"&amp;" · ","")&amp;IF($E25="","Sin fecha de inicio"&amp;" · ","")&amp;IF($F25="","Sin fecha límite"&amp;" · ","")&amp;IF(OR(AND($E25&lt;&gt;"",NOT(ISNUMBER($E25))),AND($F25&lt;&gt;"",NOT(ISNUMBER($F25)))),"Fecha no válida"&amp;" · ","")&amp;IF(AND(ISNUMBER($E25),ISNUMBER($F25),$E25&gt;$F25),"Inicio posterior a fecha límite"&amp;" · ","")&amp;IF(AND($S25="Macro",$G25=""),"Peso vacío"&amp;" · ","")&amp;IF(AND($S25="Macro",$G25&lt;&gt;"",OR(NOT(ISNUMBER($G25)),$G25&lt;=0,$G25&gt;1)),"Peso fuera de rango"&amp;" · ","")&amp;IF(AND($S25="Sub",$G25&lt;&gt;""),"Las subactividades no llevan peso"&amp;" · ","")&amp;IF(AND($S25="Macro",ABS(SUMIFS($G$5:$G$1000,$P$5:$P$1000,$P25,$S$5:$S$1000,"Macro")-1)&gt;0.0001),"Pesos del mes suman "&amp;TEXT(SUMIFS($G$5:$G$1000,$P$5:$P$1000,$P25,$S$5:$S$1000,"Macro"),"0%")&amp;" · ","")&amp;IF(AND(N($T25)&gt;0,COUNT($H25:$K25)&gt;0),"Con subactividades: deje vacías las semanas (se calculan solas)"&amp;" · ","")&amp;IF((COUNTIF($H25:$K25,"&gt;1")+COUNTIF($H25:$K25,"&lt;0")+COUNTA($H25:$K25)-COUNT($H25:$K25))&gt;0,"Avance fuera de rango 0-100%"&amp;" · ","")&amp;IF(OR(AND($I25&lt;&gt;"",$I25&lt;$H25),AND($J25&lt;&gt;"",$J25&lt;MAX($H25:$I25)),AND($K25&lt;&gt;"",$K25&lt;MAX($H25:$J25))),"Avance semanal decreciente"&amp;" · ","")&amp;IF(AND(ISNUMBER($F25),$F25&lt;FechaRef,N($L25)&lt;1),"Vencida"&amp;" · ","")&amp;IF(AND(ObsObligatoria="Sí",ISNUMBER($F25),$F25&lt;FechaRef,N($L25)&lt;1,$N25=""),"Vencida sin observación"&amp;" · ",""),LEN(IF(AND($S25="Macro",$B25=""),"Macroactividad vacía"&amp;" · ","")&amp;IF(AND($B25&lt;&gt;"",$C25&lt;&gt;""),"Escriba la subactividad en otra fila, debajo de su macroactividad"&amp;" · ","")&amp;IF(AND($S25="Sub",N($R25)=0),"Subactividad sin macroactividad arriba"&amp;" · ","")&amp;IF($D25="","Sin responsable"&amp;" · ","")&amp;IF($E25="","Sin fecha de inicio"&amp;" · ","")&amp;IF($F25="","Sin fecha límite"&amp;" · ","")&amp;IF(OR(AND($E25&lt;&gt;"",NOT(ISNUMBER($E25))),AND($F25&lt;&gt;"",NOT(ISNUMBER($F25)))),"Fecha no válida"&amp;" · ","")&amp;IF(AND(ISNUMBER($E25),ISNUMBER($F25),$E25&gt;$F25),"Inicio posterior a fecha límite"&amp;" · ","")&amp;IF(AND($S25="Macro",$G25=""),"Peso vacío"&amp;" · ","")&amp;IF(AND($S25="Macro",$G25&lt;&gt;"",OR(NOT(ISNUMBER($G25)),$G25&lt;=0,$G25&gt;1)),"Peso fuera de rango"&amp;" · ","")&amp;IF(AND($S25="Sub",$G25&lt;&gt;""),"Las subactividades no llevan peso"&amp;" · ","")&amp;IF(AND($S25="Macro",ABS(SUMIFS($G$5:$G$1000,$P$5:$P$1000,$P25,$S$5:$S$1000,"Macro")-1)&gt;0.0001),"Pesos del mes suman "&amp;TEXT(SUMIFS($G$5:$G$1000,$P$5:$P$1000,$P25,$S$5:$S$1000,"Macro"),"0%")&amp;" · ","")&amp;IF(AND(N($T25)&gt;0,COUNT($H25:$K25)&gt;0),"Con subactividades: deje vacías las semanas (se calculan solas)"&amp;" · ","")&amp;IF((COUNTIF($H25:$K25,"&gt;1")+COUNTIF($H25:$K25,"&lt;0")+COUNTA($H25:$K25)-COUNT($H25:$K25))&gt;0,"Avance fuera de rango 0-100%"&amp;" · ","")&amp;IF(OR(AND($I25&lt;&gt;"",$I25&lt;$H25),AND($J25&lt;&gt;"",$J25&lt;MAX($H25:$I25)),AND($K25&lt;&gt;"",$K25&lt;MAX($H25:$J25))),"Avance semanal decreciente"&amp;" · ","")&amp;IF(AND(ISNUMBER($F25),$F25&lt;FechaRef,N($L25)&lt;1),"Vencida"&amp;" · ","")&amp;IF(AND(ObsObligatoria="Sí",ISNUMBER($F25),$F25&lt;FechaRef,N($L25)&lt;1,$N25=""),"Vencida sin observación"&amp;" · ",""))-3)))</f>
        <v/>
      </c>
      <c r="P25" s="69">
        <f>IF(NOT((COUNTA($B25:$K25)+COUNTA($N25))&gt;0),"",IF(AND($S25="Sub",N($R25)&gt;0),IF(ISNUMBER(INDEX($E$5:$E$1000,$R25-4)),DATE(YEAR(INDEX($E$5:$E$1000,$R25-4)),MONTH(INDEX($E$5:$E$1000,$R25-4)),1),IF(ISNUMBER(INDEX($F$5:$F$1000,$R25-4)),DATE(YEAR(INDEX($F$5:$F$1000,$R25-4)),MONTH(INDEX($F$5:$F$1000,$R25-4)),1),MesCiclo)),IF(ISNUMBER($E25),DATE(YEAR($E25),MONTH($E25),1),IF(ISNUMBER($F25),DATE(YEAR($F25),MONTH($F25),1),MesCiclo))))</f>
        <v/>
      </c>
      <c r="Q25" s="70">
        <f>IF(OR($P25="",$P25&lt;&gt;MesCiclo),"",COUNTIF($P$5:$P25,MesCiclo))</f>
        <v/>
      </c>
      <c r="R25" s="70">
        <f>IF($S25="","",IF($S25="Macro",ROW(),IFERROR(LOOKUP(2,1/($S$5:$S25="Macro"),ROW($S$5:$S25)),0)))</f>
        <v/>
      </c>
      <c r="S25" s="70">
        <f>IF(NOT((COUNTA($B25:$K25)+COUNTA($N25))&gt;0),"",IF($B25&lt;&gt;"","Macro",IF($C25&lt;&gt;"","Sub","Macro")))</f>
        <v/>
      </c>
      <c r="T25" s="70">
        <f>IF($S25="Macro",COUNTIFS($R$5:$R$1000,ROW(),$S$5:$S$1000,"Sub"),"")</f>
        <v/>
      </c>
      <c r="U25" s="70">
        <f>IF($S25="","",IF(ISNUMBER($H25),$H25,0))</f>
        <v/>
      </c>
      <c r="V25" s="70">
        <f>IF($S25="","",IF(ISNUMBER($I25),$I25,$U25))</f>
        <v/>
      </c>
      <c r="W25" s="70">
        <f>IF($S25="","",IF(ISNUMBER($J25),$J25,$V25))</f>
        <v/>
      </c>
      <c r="X25" s="70">
        <f>IF($S25="","",IF(ISNUMBER($K25),$K25,$W25))</f>
        <v/>
      </c>
      <c r="Y25" s="70">
        <f>IF($S25="","",IF(N($T25)&gt;0,AVERAGEIFS($U$5:$U$1000,$R$5:$R$1000,ROW(),$S$5:$S$1000,"Sub"),$U25))</f>
        <v/>
      </c>
      <c r="Z25" s="70">
        <f>IF($S25="","",IF(N($T25)&gt;0,AVERAGEIFS($V$5:$V$1000,$R$5:$R$1000,ROW(),$S$5:$S$1000,"Sub"),$V25))</f>
        <v/>
      </c>
      <c r="AA25" s="70">
        <f>IF($S25="","",IF(N($T25)&gt;0,AVERAGEIFS($W$5:$W$1000,$R$5:$R$1000,ROW(),$S$5:$S$1000,"Sub"),$W25))</f>
        <v/>
      </c>
      <c r="AB25" s="70">
        <f>IF($S25="","",IF(N($T25)&gt;0,AVERAGEIFS($X$5:$X$1000,$R$5:$R$1000,ROW(),$S$5:$S$1000,"Sub"),$X25))</f>
        <v/>
      </c>
    </row>
    <row r="26">
      <c r="A26" s="61">
        <f>IF(NOT((COUNTA($B26:$K26)+COUNTA($N26))&gt;0),"",IF($S26="Macro",COUNTIFS($S$5:$S26,"Macro",$P$5:$P26,$P26),IF(N($R26)=0,"?",COUNTIFS(INDEX($S$5:$S$1000,1):INDEX($S$5:$S$1000,$R26-4),"Macro",INDEX($P$5:$P$1000,1):INDEX($P$5:$P$1000,$R26-4),INDEX($P$5:$P$1000,$R26-4))&amp;"."&amp;COUNTIFS($R$5:$R26,$R26,$S$5:$S26,"Sub"))))</f>
        <v/>
      </c>
      <c r="B26" s="62" t="n"/>
      <c r="C26" s="63" t="n"/>
      <c r="D26" s="62" t="n"/>
      <c r="E26" s="64" t="n"/>
      <c r="F26" s="64" t="n"/>
      <c r="G26" s="65" t="n"/>
      <c r="H26" s="66" t="n"/>
      <c r="I26" s="66" t="n"/>
      <c r="J26" s="66" t="n"/>
      <c r="K26" s="66" t="n"/>
      <c r="L26" s="67">
        <f>IF(NOT((COUNTA($B26:$K26)+COUNTA($N26))&gt;0),"",IF(N($T26)&gt;0,$AB26,IFERROR(LOOKUP(2,1/(H26:K26&lt;&gt;""),H26:K26),0)))</f>
        <v/>
      </c>
      <c r="M26" s="61">
        <f>IF(L26="","",IF(L26&gt;=1,"Completado",IF(L26&gt;0,"En curso","Pendiente")))</f>
        <v/>
      </c>
      <c r="N26" s="62" t="n"/>
      <c r="O26" s="68">
        <f>IF(NOT((COUNTA($B26:$K26)+COUNTA($N26))&gt;0),"",IF((IF(AND($S26="Macro",$B26=""),"Macroactividad vacía"&amp;" · ","")&amp;IF(AND($B26&lt;&gt;"",$C26&lt;&gt;""),"Escriba la subactividad en otra fila, debajo de su macroactividad"&amp;" · ","")&amp;IF(AND($S26="Sub",N($R26)=0),"Subactividad sin macroactividad arriba"&amp;" · ","")&amp;IF($D26="","Sin responsable"&amp;" · ","")&amp;IF($E26="","Sin fecha de inicio"&amp;" · ","")&amp;IF($F26="","Sin fecha límite"&amp;" · ","")&amp;IF(OR(AND($E26&lt;&gt;"",NOT(ISNUMBER($E26))),AND($F26&lt;&gt;"",NOT(ISNUMBER($F26)))),"Fecha no válida"&amp;" · ","")&amp;IF(AND(ISNUMBER($E26),ISNUMBER($F26),$E26&gt;$F26),"Inicio posterior a fecha límite"&amp;" · ","")&amp;IF(AND($S26="Macro",$G26=""),"Peso vacío"&amp;" · ","")&amp;IF(AND($S26="Macro",$G26&lt;&gt;"",OR(NOT(ISNUMBER($G26)),$G26&lt;=0,$G26&gt;1)),"Peso fuera de rango"&amp;" · ","")&amp;IF(AND($S26="Sub",$G26&lt;&gt;""),"Las subactividades no llevan peso"&amp;" · ","")&amp;IF(AND($S26="Macro",ABS(SUMIFS($G$5:$G$1000,$P$5:$P$1000,$P26,$S$5:$S$1000,"Macro")-1)&gt;0.0001),"Pesos del mes suman "&amp;TEXT(SUMIFS($G$5:$G$1000,$P$5:$P$1000,$P26,$S$5:$S$1000,"Macro"),"0%")&amp;" · ","")&amp;IF(AND(N($T26)&gt;0,COUNT($H26:$K26)&gt;0),"Con subactividades: deje vacías las semanas (se calculan solas)"&amp;" · ","")&amp;IF((COUNTIF($H26:$K26,"&gt;1")+COUNTIF($H26:$K26,"&lt;0")+COUNTA($H26:$K26)-COUNT($H26:$K26))&gt;0,"Avance fuera de rango 0-100%"&amp;" · ","")&amp;IF(OR(AND($I26&lt;&gt;"",$I26&lt;$H26),AND($J26&lt;&gt;"",$J26&lt;MAX($H26:$I26)),AND($K26&lt;&gt;"",$K26&lt;MAX($H26:$J26))),"Avance semanal decreciente"&amp;" · ","")&amp;IF(AND(ISNUMBER($F26),$F26&lt;FechaRef,N($L26)&lt;1),"Vencida"&amp;" · ","")&amp;IF(AND(ObsObligatoria="Sí",ISNUMBER($F26),$F26&lt;FechaRef,N($L26)&lt;1,$N26=""),"Vencida sin observación"&amp;" · ",""))="","✔ OK","⚠ "&amp;LEFT(IF(AND($S26="Macro",$B26=""),"Macroactividad vacía"&amp;" · ","")&amp;IF(AND($B26&lt;&gt;"",$C26&lt;&gt;""),"Escriba la subactividad en otra fila, debajo de su macroactividad"&amp;" · ","")&amp;IF(AND($S26="Sub",N($R26)=0),"Subactividad sin macroactividad arriba"&amp;" · ","")&amp;IF($D26="","Sin responsable"&amp;" · ","")&amp;IF($E26="","Sin fecha de inicio"&amp;" · ","")&amp;IF($F26="","Sin fecha límite"&amp;" · ","")&amp;IF(OR(AND($E26&lt;&gt;"",NOT(ISNUMBER($E26))),AND($F26&lt;&gt;"",NOT(ISNUMBER($F26)))),"Fecha no válida"&amp;" · ","")&amp;IF(AND(ISNUMBER($E26),ISNUMBER($F26),$E26&gt;$F26),"Inicio posterior a fecha límite"&amp;" · ","")&amp;IF(AND($S26="Macro",$G26=""),"Peso vacío"&amp;" · ","")&amp;IF(AND($S26="Macro",$G26&lt;&gt;"",OR(NOT(ISNUMBER($G26)),$G26&lt;=0,$G26&gt;1)),"Peso fuera de rango"&amp;" · ","")&amp;IF(AND($S26="Sub",$G26&lt;&gt;""),"Las subactividades no llevan peso"&amp;" · ","")&amp;IF(AND($S26="Macro",ABS(SUMIFS($G$5:$G$1000,$P$5:$P$1000,$P26,$S$5:$S$1000,"Macro")-1)&gt;0.0001),"Pesos del mes suman "&amp;TEXT(SUMIFS($G$5:$G$1000,$P$5:$P$1000,$P26,$S$5:$S$1000,"Macro"),"0%")&amp;" · ","")&amp;IF(AND(N($T26)&gt;0,COUNT($H26:$K26)&gt;0),"Con subactividades: deje vacías las semanas (se calculan solas)"&amp;" · ","")&amp;IF((COUNTIF($H26:$K26,"&gt;1")+COUNTIF($H26:$K26,"&lt;0")+COUNTA($H26:$K26)-COUNT($H26:$K26))&gt;0,"Avance fuera de rango 0-100%"&amp;" · ","")&amp;IF(OR(AND($I26&lt;&gt;"",$I26&lt;$H26),AND($J26&lt;&gt;"",$J26&lt;MAX($H26:$I26)),AND($K26&lt;&gt;"",$K26&lt;MAX($H26:$J26))),"Avance semanal decreciente"&amp;" · ","")&amp;IF(AND(ISNUMBER($F26),$F26&lt;FechaRef,N($L26)&lt;1),"Vencida"&amp;" · ","")&amp;IF(AND(ObsObligatoria="Sí",ISNUMBER($F26),$F26&lt;FechaRef,N($L26)&lt;1,$N26=""),"Vencida sin observación"&amp;" · ",""),LEN(IF(AND($S26="Macro",$B26=""),"Macroactividad vacía"&amp;" · ","")&amp;IF(AND($B26&lt;&gt;"",$C26&lt;&gt;""),"Escriba la subactividad en otra fila, debajo de su macroactividad"&amp;" · ","")&amp;IF(AND($S26="Sub",N($R26)=0),"Subactividad sin macroactividad arriba"&amp;" · ","")&amp;IF($D26="","Sin responsable"&amp;" · ","")&amp;IF($E26="","Sin fecha de inicio"&amp;" · ","")&amp;IF($F26="","Sin fecha límite"&amp;" · ","")&amp;IF(OR(AND($E26&lt;&gt;"",NOT(ISNUMBER($E26))),AND($F26&lt;&gt;"",NOT(ISNUMBER($F26)))),"Fecha no válida"&amp;" · ","")&amp;IF(AND(ISNUMBER($E26),ISNUMBER($F26),$E26&gt;$F26),"Inicio posterior a fecha límite"&amp;" · ","")&amp;IF(AND($S26="Macro",$G26=""),"Peso vacío"&amp;" · ","")&amp;IF(AND($S26="Macro",$G26&lt;&gt;"",OR(NOT(ISNUMBER($G26)),$G26&lt;=0,$G26&gt;1)),"Peso fuera de rango"&amp;" · ","")&amp;IF(AND($S26="Sub",$G26&lt;&gt;""),"Las subactividades no llevan peso"&amp;" · ","")&amp;IF(AND($S26="Macro",ABS(SUMIFS($G$5:$G$1000,$P$5:$P$1000,$P26,$S$5:$S$1000,"Macro")-1)&gt;0.0001),"Pesos del mes suman "&amp;TEXT(SUMIFS($G$5:$G$1000,$P$5:$P$1000,$P26,$S$5:$S$1000,"Macro"),"0%")&amp;" · ","")&amp;IF(AND(N($T26)&gt;0,COUNT($H26:$K26)&gt;0),"Con subactividades: deje vacías las semanas (se calculan solas)"&amp;" · ","")&amp;IF((COUNTIF($H26:$K26,"&gt;1")+COUNTIF($H26:$K26,"&lt;0")+COUNTA($H26:$K26)-COUNT($H26:$K26))&gt;0,"Avance fuera de rango 0-100%"&amp;" · ","")&amp;IF(OR(AND($I26&lt;&gt;"",$I26&lt;$H26),AND($J26&lt;&gt;"",$J26&lt;MAX($H26:$I26)),AND($K26&lt;&gt;"",$K26&lt;MAX($H26:$J26))),"Avance semanal decreciente"&amp;" · ","")&amp;IF(AND(ISNUMBER($F26),$F26&lt;FechaRef,N($L26)&lt;1),"Vencida"&amp;" · ","")&amp;IF(AND(ObsObligatoria="Sí",ISNUMBER($F26),$F26&lt;FechaRef,N($L26)&lt;1,$N26=""),"Vencida sin observación"&amp;" · ",""))-3)))</f>
        <v/>
      </c>
      <c r="P26" s="69">
        <f>IF(NOT((COUNTA($B26:$K26)+COUNTA($N26))&gt;0),"",IF(AND($S26="Sub",N($R26)&gt;0),IF(ISNUMBER(INDEX($E$5:$E$1000,$R26-4)),DATE(YEAR(INDEX($E$5:$E$1000,$R26-4)),MONTH(INDEX($E$5:$E$1000,$R26-4)),1),IF(ISNUMBER(INDEX($F$5:$F$1000,$R26-4)),DATE(YEAR(INDEX($F$5:$F$1000,$R26-4)),MONTH(INDEX($F$5:$F$1000,$R26-4)),1),MesCiclo)),IF(ISNUMBER($E26),DATE(YEAR($E26),MONTH($E26),1),IF(ISNUMBER($F26),DATE(YEAR($F26),MONTH($F26),1),MesCiclo))))</f>
        <v/>
      </c>
      <c r="Q26" s="70">
        <f>IF(OR($P26="",$P26&lt;&gt;MesCiclo),"",COUNTIF($P$5:$P26,MesCiclo))</f>
        <v/>
      </c>
      <c r="R26" s="70">
        <f>IF($S26="","",IF($S26="Macro",ROW(),IFERROR(LOOKUP(2,1/($S$5:$S26="Macro"),ROW($S$5:$S26)),0)))</f>
        <v/>
      </c>
      <c r="S26" s="70">
        <f>IF(NOT((COUNTA($B26:$K26)+COUNTA($N26))&gt;0),"",IF($B26&lt;&gt;"","Macro",IF($C26&lt;&gt;"","Sub","Macro")))</f>
        <v/>
      </c>
      <c r="T26" s="70">
        <f>IF($S26="Macro",COUNTIFS($R$5:$R$1000,ROW(),$S$5:$S$1000,"Sub"),"")</f>
        <v/>
      </c>
      <c r="U26" s="70">
        <f>IF($S26="","",IF(ISNUMBER($H26),$H26,0))</f>
        <v/>
      </c>
      <c r="V26" s="70">
        <f>IF($S26="","",IF(ISNUMBER($I26),$I26,$U26))</f>
        <v/>
      </c>
      <c r="W26" s="70">
        <f>IF($S26="","",IF(ISNUMBER($J26),$J26,$V26))</f>
        <v/>
      </c>
      <c r="X26" s="70">
        <f>IF($S26="","",IF(ISNUMBER($K26),$K26,$W26))</f>
        <v/>
      </c>
      <c r="Y26" s="70">
        <f>IF($S26="","",IF(N($T26)&gt;0,AVERAGEIFS($U$5:$U$1000,$R$5:$R$1000,ROW(),$S$5:$S$1000,"Sub"),$U26))</f>
        <v/>
      </c>
      <c r="Z26" s="70">
        <f>IF($S26="","",IF(N($T26)&gt;0,AVERAGEIFS($V$5:$V$1000,$R$5:$R$1000,ROW(),$S$5:$S$1000,"Sub"),$V26))</f>
        <v/>
      </c>
      <c r="AA26" s="70">
        <f>IF($S26="","",IF(N($T26)&gt;0,AVERAGEIFS($W$5:$W$1000,$R$5:$R$1000,ROW(),$S$5:$S$1000,"Sub"),$W26))</f>
        <v/>
      </c>
      <c r="AB26" s="70">
        <f>IF($S26="","",IF(N($T26)&gt;0,AVERAGEIFS($X$5:$X$1000,$R$5:$R$1000,ROW(),$S$5:$S$1000,"Sub"),$X26))</f>
        <v/>
      </c>
    </row>
    <row r="27">
      <c r="A27" s="61">
        <f>IF(NOT((COUNTA($B27:$K27)+COUNTA($N27))&gt;0),"",IF($S27="Macro",COUNTIFS($S$5:$S27,"Macro",$P$5:$P27,$P27),IF(N($R27)=0,"?",COUNTIFS(INDEX($S$5:$S$1000,1):INDEX($S$5:$S$1000,$R27-4),"Macro",INDEX($P$5:$P$1000,1):INDEX($P$5:$P$1000,$R27-4),INDEX($P$5:$P$1000,$R27-4))&amp;"."&amp;COUNTIFS($R$5:$R27,$R27,$S$5:$S27,"Sub"))))</f>
        <v/>
      </c>
      <c r="B27" s="62" t="n"/>
      <c r="C27" s="63" t="n"/>
      <c r="D27" s="62" t="n"/>
      <c r="E27" s="64" t="n"/>
      <c r="F27" s="64" t="n"/>
      <c r="G27" s="65" t="n"/>
      <c r="H27" s="66" t="n"/>
      <c r="I27" s="66" t="n"/>
      <c r="J27" s="66" t="n"/>
      <c r="K27" s="66" t="n"/>
      <c r="L27" s="67">
        <f>IF(NOT((COUNTA($B27:$K27)+COUNTA($N27))&gt;0),"",IF(N($T27)&gt;0,$AB27,IFERROR(LOOKUP(2,1/(H27:K27&lt;&gt;""),H27:K27),0)))</f>
        <v/>
      </c>
      <c r="M27" s="61">
        <f>IF(L27="","",IF(L27&gt;=1,"Completado",IF(L27&gt;0,"En curso","Pendiente")))</f>
        <v/>
      </c>
      <c r="N27" s="62" t="n"/>
      <c r="O27" s="68">
        <f>IF(NOT((COUNTA($B27:$K27)+COUNTA($N27))&gt;0),"",IF((IF(AND($S27="Macro",$B27=""),"Macroactividad vacía"&amp;" · ","")&amp;IF(AND($B27&lt;&gt;"",$C27&lt;&gt;""),"Escriba la subactividad en otra fila, debajo de su macroactividad"&amp;" · ","")&amp;IF(AND($S27="Sub",N($R27)=0),"Subactividad sin macroactividad arriba"&amp;" · ","")&amp;IF($D27="","Sin responsable"&amp;" · ","")&amp;IF($E27="","Sin fecha de inicio"&amp;" · ","")&amp;IF($F27="","Sin fecha límite"&amp;" · ","")&amp;IF(OR(AND($E27&lt;&gt;"",NOT(ISNUMBER($E27))),AND($F27&lt;&gt;"",NOT(ISNUMBER($F27)))),"Fecha no válida"&amp;" · ","")&amp;IF(AND(ISNUMBER($E27),ISNUMBER($F27),$E27&gt;$F27),"Inicio posterior a fecha límite"&amp;" · ","")&amp;IF(AND($S27="Macro",$G27=""),"Peso vacío"&amp;" · ","")&amp;IF(AND($S27="Macro",$G27&lt;&gt;"",OR(NOT(ISNUMBER($G27)),$G27&lt;=0,$G27&gt;1)),"Peso fuera de rango"&amp;" · ","")&amp;IF(AND($S27="Sub",$G27&lt;&gt;""),"Las subactividades no llevan peso"&amp;" · ","")&amp;IF(AND($S27="Macro",ABS(SUMIFS($G$5:$G$1000,$P$5:$P$1000,$P27,$S$5:$S$1000,"Macro")-1)&gt;0.0001),"Pesos del mes suman "&amp;TEXT(SUMIFS($G$5:$G$1000,$P$5:$P$1000,$P27,$S$5:$S$1000,"Macro"),"0%")&amp;" · ","")&amp;IF(AND(N($T27)&gt;0,COUNT($H27:$K27)&gt;0),"Con subactividades: deje vacías las semanas (se calculan solas)"&amp;" · ","")&amp;IF((COUNTIF($H27:$K27,"&gt;1")+COUNTIF($H27:$K27,"&lt;0")+COUNTA($H27:$K27)-COUNT($H27:$K27))&gt;0,"Avance fuera de rango 0-100%"&amp;" · ","")&amp;IF(OR(AND($I27&lt;&gt;"",$I27&lt;$H27),AND($J27&lt;&gt;"",$J27&lt;MAX($H27:$I27)),AND($K27&lt;&gt;"",$K27&lt;MAX($H27:$J27))),"Avance semanal decreciente"&amp;" · ","")&amp;IF(AND(ISNUMBER($F27),$F27&lt;FechaRef,N($L27)&lt;1),"Vencida"&amp;" · ","")&amp;IF(AND(ObsObligatoria="Sí",ISNUMBER($F27),$F27&lt;FechaRef,N($L27)&lt;1,$N27=""),"Vencida sin observación"&amp;" · ",""))="","✔ OK","⚠ "&amp;LEFT(IF(AND($S27="Macro",$B27=""),"Macroactividad vacía"&amp;" · ","")&amp;IF(AND($B27&lt;&gt;"",$C27&lt;&gt;""),"Escriba la subactividad en otra fila, debajo de su macroactividad"&amp;" · ","")&amp;IF(AND($S27="Sub",N($R27)=0),"Subactividad sin macroactividad arriba"&amp;" · ","")&amp;IF($D27="","Sin responsable"&amp;" · ","")&amp;IF($E27="","Sin fecha de inicio"&amp;" · ","")&amp;IF($F27="","Sin fecha límite"&amp;" · ","")&amp;IF(OR(AND($E27&lt;&gt;"",NOT(ISNUMBER($E27))),AND($F27&lt;&gt;"",NOT(ISNUMBER($F27)))),"Fecha no válida"&amp;" · ","")&amp;IF(AND(ISNUMBER($E27),ISNUMBER($F27),$E27&gt;$F27),"Inicio posterior a fecha límite"&amp;" · ","")&amp;IF(AND($S27="Macro",$G27=""),"Peso vacío"&amp;" · ","")&amp;IF(AND($S27="Macro",$G27&lt;&gt;"",OR(NOT(ISNUMBER($G27)),$G27&lt;=0,$G27&gt;1)),"Peso fuera de rango"&amp;" · ","")&amp;IF(AND($S27="Sub",$G27&lt;&gt;""),"Las subactividades no llevan peso"&amp;" · ","")&amp;IF(AND($S27="Macro",ABS(SUMIFS($G$5:$G$1000,$P$5:$P$1000,$P27,$S$5:$S$1000,"Macro")-1)&gt;0.0001),"Pesos del mes suman "&amp;TEXT(SUMIFS($G$5:$G$1000,$P$5:$P$1000,$P27,$S$5:$S$1000,"Macro"),"0%")&amp;" · ","")&amp;IF(AND(N($T27)&gt;0,COUNT($H27:$K27)&gt;0),"Con subactividades: deje vacías las semanas (se calculan solas)"&amp;" · ","")&amp;IF((COUNTIF($H27:$K27,"&gt;1")+COUNTIF($H27:$K27,"&lt;0")+COUNTA($H27:$K27)-COUNT($H27:$K27))&gt;0,"Avance fuera de rango 0-100%"&amp;" · ","")&amp;IF(OR(AND($I27&lt;&gt;"",$I27&lt;$H27),AND($J27&lt;&gt;"",$J27&lt;MAX($H27:$I27)),AND($K27&lt;&gt;"",$K27&lt;MAX($H27:$J27))),"Avance semanal decreciente"&amp;" · ","")&amp;IF(AND(ISNUMBER($F27),$F27&lt;FechaRef,N($L27)&lt;1),"Vencida"&amp;" · ","")&amp;IF(AND(ObsObligatoria="Sí",ISNUMBER($F27),$F27&lt;FechaRef,N($L27)&lt;1,$N27=""),"Vencida sin observación"&amp;" · ",""),LEN(IF(AND($S27="Macro",$B27=""),"Macroactividad vacía"&amp;" · ","")&amp;IF(AND($B27&lt;&gt;"",$C27&lt;&gt;""),"Escriba la subactividad en otra fila, debajo de su macroactividad"&amp;" · ","")&amp;IF(AND($S27="Sub",N($R27)=0),"Subactividad sin macroactividad arriba"&amp;" · ","")&amp;IF($D27="","Sin responsable"&amp;" · ","")&amp;IF($E27="","Sin fecha de inicio"&amp;" · ","")&amp;IF($F27="","Sin fecha límite"&amp;" · ","")&amp;IF(OR(AND($E27&lt;&gt;"",NOT(ISNUMBER($E27))),AND($F27&lt;&gt;"",NOT(ISNUMBER($F27)))),"Fecha no válida"&amp;" · ","")&amp;IF(AND(ISNUMBER($E27),ISNUMBER($F27),$E27&gt;$F27),"Inicio posterior a fecha límite"&amp;" · ","")&amp;IF(AND($S27="Macro",$G27=""),"Peso vacío"&amp;" · ","")&amp;IF(AND($S27="Macro",$G27&lt;&gt;"",OR(NOT(ISNUMBER($G27)),$G27&lt;=0,$G27&gt;1)),"Peso fuera de rango"&amp;" · ","")&amp;IF(AND($S27="Sub",$G27&lt;&gt;""),"Las subactividades no llevan peso"&amp;" · ","")&amp;IF(AND($S27="Macro",ABS(SUMIFS($G$5:$G$1000,$P$5:$P$1000,$P27,$S$5:$S$1000,"Macro")-1)&gt;0.0001),"Pesos del mes suman "&amp;TEXT(SUMIFS($G$5:$G$1000,$P$5:$P$1000,$P27,$S$5:$S$1000,"Macro"),"0%")&amp;" · ","")&amp;IF(AND(N($T27)&gt;0,COUNT($H27:$K27)&gt;0),"Con subactividades: deje vacías las semanas (se calculan solas)"&amp;" · ","")&amp;IF((COUNTIF($H27:$K27,"&gt;1")+COUNTIF($H27:$K27,"&lt;0")+COUNTA($H27:$K27)-COUNT($H27:$K27))&gt;0,"Avance fuera de rango 0-100%"&amp;" · ","")&amp;IF(OR(AND($I27&lt;&gt;"",$I27&lt;$H27),AND($J27&lt;&gt;"",$J27&lt;MAX($H27:$I27)),AND($K27&lt;&gt;"",$K27&lt;MAX($H27:$J27))),"Avance semanal decreciente"&amp;" · ","")&amp;IF(AND(ISNUMBER($F27),$F27&lt;FechaRef,N($L27)&lt;1),"Vencida"&amp;" · ","")&amp;IF(AND(ObsObligatoria="Sí",ISNUMBER($F27),$F27&lt;FechaRef,N($L27)&lt;1,$N27=""),"Vencida sin observación"&amp;" · ",""))-3)))</f>
        <v/>
      </c>
      <c r="P27" s="69">
        <f>IF(NOT((COUNTA($B27:$K27)+COUNTA($N27))&gt;0),"",IF(AND($S27="Sub",N($R27)&gt;0),IF(ISNUMBER(INDEX($E$5:$E$1000,$R27-4)),DATE(YEAR(INDEX($E$5:$E$1000,$R27-4)),MONTH(INDEX($E$5:$E$1000,$R27-4)),1),IF(ISNUMBER(INDEX($F$5:$F$1000,$R27-4)),DATE(YEAR(INDEX($F$5:$F$1000,$R27-4)),MONTH(INDEX($F$5:$F$1000,$R27-4)),1),MesCiclo)),IF(ISNUMBER($E27),DATE(YEAR($E27),MONTH($E27),1),IF(ISNUMBER($F27),DATE(YEAR($F27),MONTH($F27),1),MesCiclo))))</f>
        <v/>
      </c>
      <c r="Q27" s="70">
        <f>IF(OR($P27="",$P27&lt;&gt;MesCiclo),"",COUNTIF($P$5:$P27,MesCiclo))</f>
        <v/>
      </c>
      <c r="R27" s="70">
        <f>IF($S27="","",IF($S27="Macro",ROW(),IFERROR(LOOKUP(2,1/($S$5:$S27="Macro"),ROW($S$5:$S27)),0)))</f>
        <v/>
      </c>
      <c r="S27" s="70">
        <f>IF(NOT((COUNTA($B27:$K27)+COUNTA($N27))&gt;0),"",IF($B27&lt;&gt;"","Macro",IF($C27&lt;&gt;"","Sub","Macro")))</f>
        <v/>
      </c>
      <c r="T27" s="70">
        <f>IF($S27="Macro",COUNTIFS($R$5:$R$1000,ROW(),$S$5:$S$1000,"Sub"),"")</f>
        <v/>
      </c>
      <c r="U27" s="70">
        <f>IF($S27="","",IF(ISNUMBER($H27),$H27,0))</f>
        <v/>
      </c>
      <c r="V27" s="70">
        <f>IF($S27="","",IF(ISNUMBER($I27),$I27,$U27))</f>
        <v/>
      </c>
      <c r="W27" s="70">
        <f>IF($S27="","",IF(ISNUMBER($J27),$J27,$V27))</f>
        <v/>
      </c>
      <c r="X27" s="70">
        <f>IF($S27="","",IF(ISNUMBER($K27),$K27,$W27))</f>
        <v/>
      </c>
      <c r="Y27" s="70">
        <f>IF($S27="","",IF(N($T27)&gt;0,AVERAGEIFS($U$5:$U$1000,$R$5:$R$1000,ROW(),$S$5:$S$1000,"Sub"),$U27))</f>
        <v/>
      </c>
      <c r="Z27" s="70">
        <f>IF($S27="","",IF(N($T27)&gt;0,AVERAGEIFS($V$5:$V$1000,$R$5:$R$1000,ROW(),$S$5:$S$1000,"Sub"),$V27))</f>
        <v/>
      </c>
      <c r="AA27" s="70">
        <f>IF($S27="","",IF(N($T27)&gt;0,AVERAGEIFS($W$5:$W$1000,$R$5:$R$1000,ROW(),$S$5:$S$1000,"Sub"),$W27))</f>
        <v/>
      </c>
      <c r="AB27" s="70">
        <f>IF($S27="","",IF(N($T27)&gt;0,AVERAGEIFS($X$5:$X$1000,$R$5:$R$1000,ROW(),$S$5:$S$1000,"Sub"),$X27))</f>
        <v/>
      </c>
    </row>
    <row r="28">
      <c r="A28" s="61">
        <f>IF(NOT((COUNTA($B28:$K28)+COUNTA($N28))&gt;0),"",IF($S28="Macro",COUNTIFS($S$5:$S28,"Macro",$P$5:$P28,$P28),IF(N($R28)=0,"?",COUNTIFS(INDEX($S$5:$S$1000,1):INDEX($S$5:$S$1000,$R28-4),"Macro",INDEX($P$5:$P$1000,1):INDEX($P$5:$P$1000,$R28-4),INDEX($P$5:$P$1000,$R28-4))&amp;"."&amp;COUNTIFS($R$5:$R28,$R28,$S$5:$S28,"Sub"))))</f>
        <v/>
      </c>
      <c r="B28" s="62" t="n"/>
      <c r="C28" s="63" t="n"/>
      <c r="D28" s="62" t="n"/>
      <c r="E28" s="64" t="n"/>
      <c r="F28" s="64" t="n"/>
      <c r="G28" s="65" t="n"/>
      <c r="H28" s="66" t="n"/>
      <c r="I28" s="66" t="n"/>
      <c r="J28" s="66" t="n"/>
      <c r="K28" s="66" t="n"/>
      <c r="L28" s="67">
        <f>IF(NOT((COUNTA($B28:$K28)+COUNTA($N28))&gt;0),"",IF(N($T28)&gt;0,$AB28,IFERROR(LOOKUP(2,1/(H28:K28&lt;&gt;""),H28:K28),0)))</f>
        <v/>
      </c>
      <c r="M28" s="61">
        <f>IF(L28="","",IF(L28&gt;=1,"Completado",IF(L28&gt;0,"En curso","Pendiente")))</f>
        <v/>
      </c>
      <c r="N28" s="62" t="n"/>
      <c r="O28" s="68">
        <f>IF(NOT((COUNTA($B28:$K28)+COUNTA($N28))&gt;0),"",IF((IF(AND($S28="Macro",$B28=""),"Macroactividad vacía"&amp;" · ","")&amp;IF(AND($B28&lt;&gt;"",$C28&lt;&gt;""),"Escriba la subactividad en otra fila, debajo de su macroactividad"&amp;" · ","")&amp;IF(AND($S28="Sub",N($R28)=0),"Subactividad sin macroactividad arriba"&amp;" · ","")&amp;IF($D28="","Sin responsable"&amp;" · ","")&amp;IF($E28="","Sin fecha de inicio"&amp;" · ","")&amp;IF($F28="","Sin fecha límite"&amp;" · ","")&amp;IF(OR(AND($E28&lt;&gt;"",NOT(ISNUMBER($E28))),AND($F28&lt;&gt;"",NOT(ISNUMBER($F28)))),"Fecha no válida"&amp;" · ","")&amp;IF(AND(ISNUMBER($E28),ISNUMBER($F28),$E28&gt;$F28),"Inicio posterior a fecha límite"&amp;" · ","")&amp;IF(AND($S28="Macro",$G28=""),"Peso vacío"&amp;" · ","")&amp;IF(AND($S28="Macro",$G28&lt;&gt;"",OR(NOT(ISNUMBER($G28)),$G28&lt;=0,$G28&gt;1)),"Peso fuera de rango"&amp;" · ","")&amp;IF(AND($S28="Sub",$G28&lt;&gt;""),"Las subactividades no llevan peso"&amp;" · ","")&amp;IF(AND($S28="Macro",ABS(SUMIFS($G$5:$G$1000,$P$5:$P$1000,$P28,$S$5:$S$1000,"Macro")-1)&gt;0.0001),"Pesos del mes suman "&amp;TEXT(SUMIFS($G$5:$G$1000,$P$5:$P$1000,$P28,$S$5:$S$1000,"Macro"),"0%")&amp;" · ","")&amp;IF(AND(N($T28)&gt;0,COUNT($H28:$K28)&gt;0),"Con subactividades: deje vacías las semanas (se calculan solas)"&amp;" · ","")&amp;IF((COUNTIF($H28:$K28,"&gt;1")+COUNTIF($H28:$K28,"&lt;0")+COUNTA($H28:$K28)-COUNT($H28:$K28))&gt;0,"Avance fuera de rango 0-100%"&amp;" · ","")&amp;IF(OR(AND($I28&lt;&gt;"",$I28&lt;$H28),AND($J28&lt;&gt;"",$J28&lt;MAX($H28:$I28)),AND($K28&lt;&gt;"",$K28&lt;MAX($H28:$J28))),"Avance semanal decreciente"&amp;" · ","")&amp;IF(AND(ISNUMBER($F28),$F28&lt;FechaRef,N($L28)&lt;1),"Vencida"&amp;" · ","")&amp;IF(AND(ObsObligatoria="Sí",ISNUMBER($F28),$F28&lt;FechaRef,N($L28)&lt;1,$N28=""),"Vencida sin observación"&amp;" · ",""))="","✔ OK","⚠ "&amp;LEFT(IF(AND($S28="Macro",$B28=""),"Macroactividad vacía"&amp;" · ","")&amp;IF(AND($B28&lt;&gt;"",$C28&lt;&gt;""),"Escriba la subactividad en otra fila, debajo de su macroactividad"&amp;" · ","")&amp;IF(AND($S28="Sub",N($R28)=0),"Subactividad sin macroactividad arriba"&amp;" · ","")&amp;IF($D28="","Sin responsable"&amp;" · ","")&amp;IF($E28="","Sin fecha de inicio"&amp;" · ","")&amp;IF($F28="","Sin fecha límite"&amp;" · ","")&amp;IF(OR(AND($E28&lt;&gt;"",NOT(ISNUMBER($E28))),AND($F28&lt;&gt;"",NOT(ISNUMBER($F28)))),"Fecha no válida"&amp;" · ","")&amp;IF(AND(ISNUMBER($E28),ISNUMBER($F28),$E28&gt;$F28),"Inicio posterior a fecha límite"&amp;" · ","")&amp;IF(AND($S28="Macro",$G28=""),"Peso vacío"&amp;" · ","")&amp;IF(AND($S28="Macro",$G28&lt;&gt;"",OR(NOT(ISNUMBER($G28)),$G28&lt;=0,$G28&gt;1)),"Peso fuera de rango"&amp;" · ","")&amp;IF(AND($S28="Sub",$G28&lt;&gt;""),"Las subactividades no llevan peso"&amp;" · ","")&amp;IF(AND($S28="Macro",ABS(SUMIFS($G$5:$G$1000,$P$5:$P$1000,$P28,$S$5:$S$1000,"Macro")-1)&gt;0.0001),"Pesos del mes suman "&amp;TEXT(SUMIFS($G$5:$G$1000,$P$5:$P$1000,$P28,$S$5:$S$1000,"Macro"),"0%")&amp;" · ","")&amp;IF(AND(N($T28)&gt;0,COUNT($H28:$K28)&gt;0),"Con subactividades: deje vacías las semanas (se calculan solas)"&amp;" · ","")&amp;IF((COUNTIF($H28:$K28,"&gt;1")+COUNTIF($H28:$K28,"&lt;0")+COUNTA($H28:$K28)-COUNT($H28:$K28))&gt;0,"Avance fuera de rango 0-100%"&amp;" · ","")&amp;IF(OR(AND($I28&lt;&gt;"",$I28&lt;$H28),AND($J28&lt;&gt;"",$J28&lt;MAX($H28:$I28)),AND($K28&lt;&gt;"",$K28&lt;MAX($H28:$J28))),"Avance semanal decreciente"&amp;" · ","")&amp;IF(AND(ISNUMBER($F28),$F28&lt;FechaRef,N($L28)&lt;1),"Vencida"&amp;" · ","")&amp;IF(AND(ObsObligatoria="Sí",ISNUMBER($F28),$F28&lt;FechaRef,N($L28)&lt;1,$N28=""),"Vencida sin observación"&amp;" · ",""),LEN(IF(AND($S28="Macro",$B28=""),"Macroactividad vacía"&amp;" · ","")&amp;IF(AND($B28&lt;&gt;"",$C28&lt;&gt;""),"Escriba la subactividad en otra fila, debajo de su macroactividad"&amp;" · ","")&amp;IF(AND($S28="Sub",N($R28)=0),"Subactividad sin macroactividad arriba"&amp;" · ","")&amp;IF($D28="","Sin responsable"&amp;" · ","")&amp;IF($E28="","Sin fecha de inicio"&amp;" · ","")&amp;IF($F28="","Sin fecha límite"&amp;" · ","")&amp;IF(OR(AND($E28&lt;&gt;"",NOT(ISNUMBER($E28))),AND($F28&lt;&gt;"",NOT(ISNUMBER($F28)))),"Fecha no válida"&amp;" · ","")&amp;IF(AND(ISNUMBER($E28),ISNUMBER($F28),$E28&gt;$F28),"Inicio posterior a fecha límite"&amp;" · ","")&amp;IF(AND($S28="Macro",$G28=""),"Peso vacío"&amp;" · ","")&amp;IF(AND($S28="Macro",$G28&lt;&gt;"",OR(NOT(ISNUMBER($G28)),$G28&lt;=0,$G28&gt;1)),"Peso fuera de rango"&amp;" · ","")&amp;IF(AND($S28="Sub",$G28&lt;&gt;""),"Las subactividades no llevan peso"&amp;" · ","")&amp;IF(AND($S28="Macro",ABS(SUMIFS($G$5:$G$1000,$P$5:$P$1000,$P28,$S$5:$S$1000,"Macro")-1)&gt;0.0001),"Pesos del mes suman "&amp;TEXT(SUMIFS($G$5:$G$1000,$P$5:$P$1000,$P28,$S$5:$S$1000,"Macro"),"0%")&amp;" · ","")&amp;IF(AND(N($T28)&gt;0,COUNT($H28:$K28)&gt;0),"Con subactividades: deje vacías las semanas (se calculan solas)"&amp;" · ","")&amp;IF((COUNTIF($H28:$K28,"&gt;1")+COUNTIF($H28:$K28,"&lt;0")+COUNTA($H28:$K28)-COUNT($H28:$K28))&gt;0,"Avance fuera de rango 0-100%"&amp;" · ","")&amp;IF(OR(AND($I28&lt;&gt;"",$I28&lt;$H28),AND($J28&lt;&gt;"",$J28&lt;MAX($H28:$I28)),AND($K28&lt;&gt;"",$K28&lt;MAX($H28:$J28))),"Avance semanal decreciente"&amp;" · ","")&amp;IF(AND(ISNUMBER($F28),$F28&lt;FechaRef,N($L28)&lt;1),"Vencida"&amp;" · ","")&amp;IF(AND(ObsObligatoria="Sí",ISNUMBER($F28),$F28&lt;FechaRef,N($L28)&lt;1,$N28=""),"Vencida sin observación"&amp;" · ",""))-3)))</f>
        <v/>
      </c>
      <c r="P28" s="69">
        <f>IF(NOT((COUNTA($B28:$K28)+COUNTA($N28))&gt;0),"",IF(AND($S28="Sub",N($R28)&gt;0),IF(ISNUMBER(INDEX($E$5:$E$1000,$R28-4)),DATE(YEAR(INDEX($E$5:$E$1000,$R28-4)),MONTH(INDEX($E$5:$E$1000,$R28-4)),1),IF(ISNUMBER(INDEX($F$5:$F$1000,$R28-4)),DATE(YEAR(INDEX($F$5:$F$1000,$R28-4)),MONTH(INDEX($F$5:$F$1000,$R28-4)),1),MesCiclo)),IF(ISNUMBER($E28),DATE(YEAR($E28),MONTH($E28),1),IF(ISNUMBER($F28),DATE(YEAR($F28),MONTH($F28),1),MesCiclo))))</f>
        <v/>
      </c>
      <c r="Q28" s="70">
        <f>IF(OR($P28="",$P28&lt;&gt;MesCiclo),"",COUNTIF($P$5:$P28,MesCiclo))</f>
        <v/>
      </c>
      <c r="R28" s="70">
        <f>IF($S28="","",IF($S28="Macro",ROW(),IFERROR(LOOKUP(2,1/($S$5:$S28="Macro"),ROW($S$5:$S28)),0)))</f>
        <v/>
      </c>
      <c r="S28" s="70">
        <f>IF(NOT((COUNTA($B28:$K28)+COUNTA($N28))&gt;0),"",IF($B28&lt;&gt;"","Macro",IF($C28&lt;&gt;"","Sub","Macro")))</f>
        <v/>
      </c>
      <c r="T28" s="70">
        <f>IF($S28="Macro",COUNTIFS($R$5:$R$1000,ROW(),$S$5:$S$1000,"Sub"),"")</f>
        <v/>
      </c>
      <c r="U28" s="70">
        <f>IF($S28="","",IF(ISNUMBER($H28),$H28,0))</f>
        <v/>
      </c>
      <c r="V28" s="70">
        <f>IF($S28="","",IF(ISNUMBER($I28),$I28,$U28))</f>
        <v/>
      </c>
      <c r="W28" s="70">
        <f>IF($S28="","",IF(ISNUMBER($J28),$J28,$V28))</f>
        <v/>
      </c>
      <c r="X28" s="70">
        <f>IF($S28="","",IF(ISNUMBER($K28),$K28,$W28))</f>
        <v/>
      </c>
      <c r="Y28" s="70">
        <f>IF($S28="","",IF(N($T28)&gt;0,AVERAGEIFS($U$5:$U$1000,$R$5:$R$1000,ROW(),$S$5:$S$1000,"Sub"),$U28))</f>
        <v/>
      </c>
      <c r="Z28" s="70">
        <f>IF($S28="","",IF(N($T28)&gt;0,AVERAGEIFS($V$5:$V$1000,$R$5:$R$1000,ROW(),$S$5:$S$1000,"Sub"),$V28))</f>
        <v/>
      </c>
      <c r="AA28" s="70">
        <f>IF($S28="","",IF(N($T28)&gt;0,AVERAGEIFS($W$5:$W$1000,$R$5:$R$1000,ROW(),$S$5:$S$1000,"Sub"),$W28))</f>
        <v/>
      </c>
      <c r="AB28" s="70">
        <f>IF($S28="","",IF(N($T28)&gt;0,AVERAGEIFS($X$5:$X$1000,$R$5:$R$1000,ROW(),$S$5:$S$1000,"Sub"),$X28))</f>
        <v/>
      </c>
    </row>
    <row r="29">
      <c r="A29" s="61">
        <f>IF(NOT((COUNTA($B29:$K29)+COUNTA($N29))&gt;0),"",IF($S29="Macro",COUNTIFS($S$5:$S29,"Macro",$P$5:$P29,$P29),IF(N($R29)=0,"?",COUNTIFS(INDEX($S$5:$S$1000,1):INDEX($S$5:$S$1000,$R29-4),"Macro",INDEX($P$5:$P$1000,1):INDEX($P$5:$P$1000,$R29-4),INDEX($P$5:$P$1000,$R29-4))&amp;"."&amp;COUNTIFS($R$5:$R29,$R29,$S$5:$S29,"Sub"))))</f>
        <v/>
      </c>
      <c r="B29" s="62" t="n"/>
      <c r="C29" s="63" t="n"/>
      <c r="D29" s="62" t="n"/>
      <c r="E29" s="64" t="n"/>
      <c r="F29" s="64" t="n"/>
      <c r="G29" s="65" t="n"/>
      <c r="H29" s="66" t="n"/>
      <c r="I29" s="66" t="n"/>
      <c r="J29" s="66" t="n"/>
      <c r="K29" s="66" t="n"/>
      <c r="L29" s="67">
        <f>IF(NOT((COUNTA($B29:$K29)+COUNTA($N29))&gt;0),"",IF(N($T29)&gt;0,$AB29,IFERROR(LOOKUP(2,1/(H29:K29&lt;&gt;""),H29:K29),0)))</f>
        <v/>
      </c>
      <c r="M29" s="61">
        <f>IF(L29="","",IF(L29&gt;=1,"Completado",IF(L29&gt;0,"En curso","Pendiente")))</f>
        <v/>
      </c>
      <c r="N29" s="62" t="n"/>
      <c r="O29" s="68">
        <f>IF(NOT((COUNTA($B29:$K29)+COUNTA($N29))&gt;0),"",IF((IF(AND($S29="Macro",$B29=""),"Macroactividad vacía"&amp;" · ","")&amp;IF(AND($B29&lt;&gt;"",$C29&lt;&gt;""),"Escriba la subactividad en otra fila, debajo de su macroactividad"&amp;" · ","")&amp;IF(AND($S29="Sub",N($R29)=0),"Subactividad sin macroactividad arriba"&amp;" · ","")&amp;IF($D29="","Sin responsable"&amp;" · ","")&amp;IF($E29="","Sin fecha de inicio"&amp;" · ","")&amp;IF($F29="","Sin fecha límite"&amp;" · ","")&amp;IF(OR(AND($E29&lt;&gt;"",NOT(ISNUMBER($E29))),AND($F29&lt;&gt;"",NOT(ISNUMBER($F29)))),"Fecha no válida"&amp;" · ","")&amp;IF(AND(ISNUMBER($E29),ISNUMBER($F29),$E29&gt;$F29),"Inicio posterior a fecha límite"&amp;" · ","")&amp;IF(AND($S29="Macro",$G29=""),"Peso vacío"&amp;" · ","")&amp;IF(AND($S29="Macro",$G29&lt;&gt;"",OR(NOT(ISNUMBER($G29)),$G29&lt;=0,$G29&gt;1)),"Peso fuera de rango"&amp;" · ","")&amp;IF(AND($S29="Sub",$G29&lt;&gt;""),"Las subactividades no llevan peso"&amp;" · ","")&amp;IF(AND($S29="Macro",ABS(SUMIFS($G$5:$G$1000,$P$5:$P$1000,$P29,$S$5:$S$1000,"Macro")-1)&gt;0.0001),"Pesos del mes suman "&amp;TEXT(SUMIFS($G$5:$G$1000,$P$5:$P$1000,$P29,$S$5:$S$1000,"Macro"),"0%")&amp;" · ","")&amp;IF(AND(N($T29)&gt;0,COUNT($H29:$K29)&gt;0),"Con subactividades: deje vacías las semanas (se calculan solas)"&amp;" · ","")&amp;IF((COUNTIF($H29:$K29,"&gt;1")+COUNTIF($H29:$K29,"&lt;0")+COUNTA($H29:$K29)-COUNT($H29:$K29))&gt;0,"Avance fuera de rango 0-100%"&amp;" · ","")&amp;IF(OR(AND($I29&lt;&gt;"",$I29&lt;$H29),AND($J29&lt;&gt;"",$J29&lt;MAX($H29:$I29)),AND($K29&lt;&gt;"",$K29&lt;MAX($H29:$J29))),"Avance semanal decreciente"&amp;" · ","")&amp;IF(AND(ISNUMBER($F29),$F29&lt;FechaRef,N($L29)&lt;1),"Vencida"&amp;" · ","")&amp;IF(AND(ObsObligatoria="Sí",ISNUMBER($F29),$F29&lt;FechaRef,N($L29)&lt;1,$N29=""),"Vencida sin observación"&amp;" · ",""))="","✔ OK","⚠ "&amp;LEFT(IF(AND($S29="Macro",$B29=""),"Macroactividad vacía"&amp;" · ","")&amp;IF(AND($B29&lt;&gt;"",$C29&lt;&gt;""),"Escriba la subactividad en otra fila, debajo de su macroactividad"&amp;" · ","")&amp;IF(AND($S29="Sub",N($R29)=0),"Subactividad sin macroactividad arriba"&amp;" · ","")&amp;IF($D29="","Sin responsable"&amp;" · ","")&amp;IF($E29="","Sin fecha de inicio"&amp;" · ","")&amp;IF($F29="","Sin fecha límite"&amp;" · ","")&amp;IF(OR(AND($E29&lt;&gt;"",NOT(ISNUMBER($E29))),AND($F29&lt;&gt;"",NOT(ISNUMBER($F29)))),"Fecha no válida"&amp;" · ","")&amp;IF(AND(ISNUMBER($E29),ISNUMBER($F29),$E29&gt;$F29),"Inicio posterior a fecha límite"&amp;" · ","")&amp;IF(AND($S29="Macro",$G29=""),"Peso vacío"&amp;" · ","")&amp;IF(AND($S29="Macro",$G29&lt;&gt;"",OR(NOT(ISNUMBER($G29)),$G29&lt;=0,$G29&gt;1)),"Peso fuera de rango"&amp;" · ","")&amp;IF(AND($S29="Sub",$G29&lt;&gt;""),"Las subactividades no llevan peso"&amp;" · ","")&amp;IF(AND($S29="Macro",ABS(SUMIFS($G$5:$G$1000,$P$5:$P$1000,$P29,$S$5:$S$1000,"Macro")-1)&gt;0.0001),"Pesos del mes suman "&amp;TEXT(SUMIFS($G$5:$G$1000,$P$5:$P$1000,$P29,$S$5:$S$1000,"Macro"),"0%")&amp;" · ","")&amp;IF(AND(N($T29)&gt;0,COUNT($H29:$K29)&gt;0),"Con subactividades: deje vacías las semanas (se calculan solas)"&amp;" · ","")&amp;IF((COUNTIF($H29:$K29,"&gt;1")+COUNTIF($H29:$K29,"&lt;0")+COUNTA($H29:$K29)-COUNT($H29:$K29))&gt;0,"Avance fuera de rango 0-100%"&amp;" · ","")&amp;IF(OR(AND($I29&lt;&gt;"",$I29&lt;$H29),AND($J29&lt;&gt;"",$J29&lt;MAX($H29:$I29)),AND($K29&lt;&gt;"",$K29&lt;MAX($H29:$J29))),"Avance semanal decreciente"&amp;" · ","")&amp;IF(AND(ISNUMBER($F29),$F29&lt;FechaRef,N($L29)&lt;1),"Vencida"&amp;" · ","")&amp;IF(AND(ObsObligatoria="Sí",ISNUMBER($F29),$F29&lt;FechaRef,N($L29)&lt;1,$N29=""),"Vencida sin observación"&amp;" · ",""),LEN(IF(AND($S29="Macro",$B29=""),"Macroactividad vacía"&amp;" · ","")&amp;IF(AND($B29&lt;&gt;"",$C29&lt;&gt;""),"Escriba la subactividad en otra fila, debajo de su macroactividad"&amp;" · ","")&amp;IF(AND($S29="Sub",N($R29)=0),"Subactividad sin macroactividad arriba"&amp;" · ","")&amp;IF($D29="","Sin responsable"&amp;" · ","")&amp;IF($E29="","Sin fecha de inicio"&amp;" · ","")&amp;IF($F29="","Sin fecha límite"&amp;" · ","")&amp;IF(OR(AND($E29&lt;&gt;"",NOT(ISNUMBER($E29))),AND($F29&lt;&gt;"",NOT(ISNUMBER($F29)))),"Fecha no válida"&amp;" · ","")&amp;IF(AND(ISNUMBER($E29),ISNUMBER($F29),$E29&gt;$F29),"Inicio posterior a fecha límite"&amp;" · ","")&amp;IF(AND($S29="Macro",$G29=""),"Peso vacío"&amp;" · ","")&amp;IF(AND($S29="Macro",$G29&lt;&gt;"",OR(NOT(ISNUMBER($G29)),$G29&lt;=0,$G29&gt;1)),"Peso fuera de rango"&amp;" · ","")&amp;IF(AND($S29="Sub",$G29&lt;&gt;""),"Las subactividades no llevan peso"&amp;" · ","")&amp;IF(AND($S29="Macro",ABS(SUMIFS($G$5:$G$1000,$P$5:$P$1000,$P29,$S$5:$S$1000,"Macro")-1)&gt;0.0001),"Pesos del mes suman "&amp;TEXT(SUMIFS($G$5:$G$1000,$P$5:$P$1000,$P29,$S$5:$S$1000,"Macro"),"0%")&amp;" · ","")&amp;IF(AND(N($T29)&gt;0,COUNT($H29:$K29)&gt;0),"Con subactividades: deje vacías las semanas (se calculan solas)"&amp;" · ","")&amp;IF((COUNTIF($H29:$K29,"&gt;1")+COUNTIF($H29:$K29,"&lt;0")+COUNTA($H29:$K29)-COUNT($H29:$K29))&gt;0,"Avance fuera de rango 0-100%"&amp;" · ","")&amp;IF(OR(AND($I29&lt;&gt;"",$I29&lt;$H29),AND($J29&lt;&gt;"",$J29&lt;MAX($H29:$I29)),AND($K29&lt;&gt;"",$K29&lt;MAX($H29:$J29))),"Avance semanal decreciente"&amp;" · ","")&amp;IF(AND(ISNUMBER($F29),$F29&lt;FechaRef,N($L29)&lt;1),"Vencida"&amp;" · ","")&amp;IF(AND(ObsObligatoria="Sí",ISNUMBER($F29),$F29&lt;FechaRef,N($L29)&lt;1,$N29=""),"Vencida sin observación"&amp;" · ",""))-3)))</f>
        <v/>
      </c>
      <c r="P29" s="69">
        <f>IF(NOT((COUNTA($B29:$K29)+COUNTA($N29))&gt;0),"",IF(AND($S29="Sub",N($R29)&gt;0),IF(ISNUMBER(INDEX($E$5:$E$1000,$R29-4)),DATE(YEAR(INDEX($E$5:$E$1000,$R29-4)),MONTH(INDEX($E$5:$E$1000,$R29-4)),1),IF(ISNUMBER(INDEX($F$5:$F$1000,$R29-4)),DATE(YEAR(INDEX($F$5:$F$1000,$R29-4)),MONTH(INDEX($F$5:$F$1000,$R29-4)),1),MesCiclo)),IF(ISNUMBER($E29),DATE(YEAR($E29),MONTH($E29),1),IF(ISNUMBER($F29),DATE(YEAR($F29),MONTH($F29),1),MesCiclo))))</f>
        <v/>
      </c>
      <c r="Q29" s="70">
        <f>IF(OR($P29="",$P29&lt;&gt;MesCiclo),"",COUNTIF($P$5:$P29,MesCiclo))</f>
        <v/>
      </c>
      <c r="R29" s="70">
        <f>IF($S29="","",IF($S29="Macro",ROW(),IFERROR(LOOKUP(2,1/($S$5:$S29="Macro"),ROW($S$5:$S29)),0)))</f>
        <v/>
      </c>
      <c r="S29" s="70">
        <f>IF(NOT((COUNTA($B29:$K29)+COUNTA($N29))&gt;0),"",IF($B29&lt;&gt;"","Macro",IF($C29&lt;&gt;"","Sub","Macro")))</f>
        <v/>
      </c>
      <c r="T29" s="70">
        <f>IF($S29="Macro",COUNTIFS($R$5:$R$1000,ROW(),$S$5:$S$1000,"Sub"),"")</f>
        <v/>
      </c>
      <c r="U29" s="70">
        <f>IF($S29="","",IF(ISNUMBER($H29),$H29,0))</f>
        <v/>
      </c>
      <c r="V29" s="70">
        <f>IF($S29="","",IF(ISNUMBER($I29),$I29,$U29))</f>
        <v/>
      </c>
      <c r="W29" s="70">
        <f>IF($S29="","",IF(ISNUMBER($J29),$J29,$V29))</f>
        <v/>
      </c>
      <c r="X29" s="70">
        <f>IF($S29="","",IF(ISNUMBER($K29),$K29,$W29))</f>
        <v/>
      </c>
      <c r="Y29" s="70">
        <f>IF($S29="","",IF(N($T29)&gt;0,AVERAGEIFS($U$5:$U$1000,$R$5:$R$1000,ROW(),$S$5:$S$1000,"Sub"),$U29))</f>
        <v/>
      </c>
      <c r="Z29" s="70">
        <f>IF($S29="","",IF(N($T29)&gt;0,AVERAGEIFS($V$5:$V$1000,$R$5:$R$1000,ROW(),$S$5:$S$1000,"Sub"),$V29))</f>
        <v/>
      </c>
      <c r="AA29" s="70">
        <f>IF($S29="","",IF(N($T29)&gt;0,AVERAGEIFS($W$5:$W$1000,$R$5:$R$1000,ROW(),$S$5:$S$1000,"Sub"),$W29))</f>
        <v/>
      </c>
      <c r="AB29" s="70">
        <f>IF($S29="","",IF(N($T29)&gt;0,AVERAGEIFS($X$5:$X$1000,$R$5:$R$1000,ROW(),$S$5:$S$1000,"Sub"),$X29))</f>
        <v/>
      </c>
    </row>
    <row r="30">
      <c r="A30" s="61">
        <f>IF(NOT((COUNTA($B30:$K30)+COUNTA($N30))&gt;0),"",IF($S30="Macro",COUNTIFS($S$5:$S30,"Macro",$P$5:$P30,$P30),IF(N($R30)=0,"?",COUNTIFS(INDEX($S$5:$S$1000,1):INDEX($S$5:$S$1000,$R30-4),"Macro",INDEX($P$5:$P$1000,1):INDEX($P$5:$P$1000,$R30-4),INDEX($P$5:$P$1000,$R30-4))&amp;"."&amp;COUNTIFS($R$5:$R30,$R30,$S$5:$S30,"Sub"))))</f>
        <v/>
      </c>
      <c r="B30" s="62" t="n"/>
      <c r="C30" s="63" t="n"/>
      <c r="D30" s="62" t="n"/>
      <c r="E30" s="64" t="n"/>
      <c r="F30" s="64" t="n"/>
      <c r="G30" s="65" t="n"/>
      <c r="H30" s="66" t="n"/>
      <c r="I30" s="66" t="n"/>
      <c r="J30" s="66" t="n"/>
      <c r="K30" s="66" t="n"/>
      <c r="L30" s="67">
        <f>IF(NOT((COUNTA($B30:$K30)+COUNTA($N30))&gt;0),"",IF(N($T30)&gt;0,$AB30,IFERROR(LOOKUP(2,1/(H30:K30&lt;&gt;""),H30:K30),0)))</f>
        <v/>
      </c>
      <c r="M30" s="61">
        <f>IF(L30="","",IF(L30&gt;=1,"Completado",IF(L30&gt;0,"En curso","Pendiente")))</f>
        <v/>
      </c>
      <c r="N30" s="62" t="n"/>
      <c r="O30" s="68">
        <f>IF(NOT((COUNTA($B30:$K30)+COUNTA($N30))&gt;0),"",IF((IF(AND($S30="Macro",$B30=""),"Macroactividad vacía"&amp;" · ","")&amp;IF(AND($B30&lt;&gt;"",$C30&lt;&gt;""),"Escriba la subactividad en otra fila, debajo de su macroactividad"&amp;" · ","")&amp;IF(AND($S30="Sub",N($R30)=0),"Subactividad sin macroactividad arriba"&amp;" · ","")&amp;IF($D30="","Sin responsable"&amp;" · ","")&amp;IF($E30="","Sin fecha de inicio"&amp;" · ","")&amp;IF($F30="","Sin fecha límite"&amp;" · ","")&amp;IF(OR(AND($E30&lt;&gt;"",NOT(ISNUMBER($E30))),AND($F30&lt;&gt;"",NOT(ISNUMBER($F30)))),"Fecha no válida"&amp;" · ","")&amp;IF(AND(ISNUMBER($E30),ISNUMBER($F30),$E30&gt;$F30),"Inicio posterior a fecha límite"&amp;" · ","")&amp;IF(AND($S30="Macro",$G30=""),"Peso vacío"&amp;" · ","")&amp;IF(AND($S30="Macro",$G30&lt;&gt;"",OR(NOT(ISNUMBER($G30)),$G30&lt;=0,$G30&gt;1)),"Peso fuera de rango"&amp;" · ","")&amp;IF(AND($S30="Sub",$G30&lt;&gt;""),"Las subactividades no llevan peso"&amp;" · ","")&amp;IF(AND($S30="Macro",ABS(SUMIFS($G$5:$G$1000,$P$5:$P$1000,$P30,$S$5:$S$1000,"Macro")-1)&gt;0.0001),"Pesos del mes suman "&amp;TEXT(SUMIFS($G$5:$G$1000,$P$5:$P$1000,$P30,$S$5:$S$1000,"Macro"),"0%")&amp;" · ","")&amp;IF(AND(N($T30)&gt;0,COUNT($H30:$K30)&gt;0),"Con subactividades: deje vacías las semanas (se calculan solas)"&amp;" · ","")&amp;IF((COUNTIF($H30:$K30,"&gt;1")+COUNTIF($H30:$K30,"&lt;0")+COUNTA($H30:$K30)-COUNT($H30:$K30))&gt;0,"Avance fuera de rango 0-100%"&amp;" · ","")&amp;IF(OR(AND($I30&lt;&gt;"",$I30&lt;$H30),AND($J30&lt;&gt;"",$J30&lt;MAX($H30:$I30)),AND($K30&lt;&gt;"",$K30&lt;MAX($H30:$J30))),"Avance semanal decreciente"&amp;" · ","")&amp;IF(AND(ISNUMBER($F30),$F30&lt;FechaRef,N($L30)&lt;1),"Vencida"&amp;" · ","")&amp;IF(AND(ObsObligatoria="Sí",ISNUMBER($F30),$F30&lt;FechaRef,N($L30)&lt;1,$N30=""),"Vencida sin observación"&amp;" · ",""))="","✔ OK","⚠ "&amp;LEFT(IF(AND($S30="Macro",$B30=""),"Macroactividad vacía"&amp;" · ","")&amp;IF(AND($B30&lt;&gt;"",$C30&lt;&gt;""),"Escriba la subactividad en otra fila, debajo de su macroactividad"&amp;" · ","")&amp;IF(AND($S30="Sub",N($R30)=0),"Subactividad sin macroactividad arriba"&amp;" · ","")&amp;IF($D30="","Sin responsable"&amp;" · ","")&amp;IF($E30="","Sin fecha de inicio"&amp;" · ","")&amp;IF($F30="","Sin fecha límite"&amp;" · ","")&amp;IF(OR(AND($E30&lt;&gt;"",NOT(ISNUMBER($E30))),AND($F30&lt;&gt;"",NOT(ISNUMBER($F30)))),"Fecha no válida"&amp;" · ","")&amp;IF(AND(ISNUMBER($E30),ISNUMBER($F30),$E30&gt;$F30),"Inicio posterior a fecha límite"&amp;" · ","")&amp;IF(AND($S30="Macro",$G30=""),"Peso vacío"&amp;" · ","")&amp;IF(AND($S30="Macro",$G30&lt;&gt;"",OR(NOT(ISNUMBER($G30)),$G30&lt;=0,$G30&gt;1)),"Peso fuera de rango"&amp;" · ","")&amp;IF(AND($S30="Sub",$G30&lt;&gt;""),"Las subactividades no llevan peso"&amp;" · ","")&amp;IF(AND($S30="Macro",ABS(SUMIFS($G$5:$G$1000,$P$5:$P$1000,$P30,$S$5:$S$1000,"Macro")-1)&gt;0.0001),"Pesos del mes suman "&amp;TEXT(SUMIFS($G$5:$G$1000,$P$5:$P$1000,$P30,$S$5:$S$1000,"Macro"),"0%")&amp;" · ","")&amp;IF(AND(N($T30)&gt;0,COUNT($H30:$K30)&gt;0),"Con subactividades: deje vacías las semanas (se calculan solas)"&amp;" · ","")&amp;IF((COUNTIF($H30:$K30,"&gt;1")+COUNTIF($H30:$K30,"&lt;0")+COUNTA($H30:$K30)-COUNT($H30:$K30))&gt;0,"Avance fuera de rango 0-100%"&amp;" · ","")&amp;IF(OR(AND($I30&lt;&gt;"",$I30&lt;$H30),AND($J30&lt;&gt;"",$J30&lt;MAX($H30:$I30)),AND($K30&lt;&gt;"",$K30&lt;MAX($H30:$J30))),"Avance semanal decreciente"&amp;" · ","")&amp;IF(AND(ISNUMBER($F30),$F30&lt;FechaRef,N($L30)&lt;1),"Vencida"&amp;" · ","")&amp;IF(AND(ObsObligatoria="Sí",ISNUMBER($F30),$F30&lt;FechaRef,N($L30)&lt;1,$N30=""),"Vencida sin observación"&amp;" · ",""),LEN(IF(AND($S30="Macro",$B30=""),"Macroactividad vacía"&amp;" · ","")&amp;IF(AND($B30&lt;&gt;"",$C30&lt;&gt;""),"Escriba la subactividad en otra fila, debajo de su macroactividad"&amp;" · ","")&amp;IF(AND($S30="Sub",N($R30)=0),"Subactividad sin macroactividad arriba"&amp;" · ","")&amp;IF($D30="","Sin responsable"&amp;" · ","")&amp;IF($E30="","Sin fecha de inicio"&amp;" · ","")&amp;IF($F30="","Sin fecha límite"&amp;" · ","")&amp;IF(OR(AND($E30&lt;&gt;"",NOT(ISNUMBER($E30))),AND($F30&lt;&gt;"",NOT(ISNUMBER($F30)))),"Fecha no válida"&amp;" · ","")&amp;IF(AND(ISNUMBER($E30),ISNUMBER($F30),$E30&gt;$F30),"Inicio posterior a fecha límite"&amp;" · ","")&amp;IF(AND($S30="Macro",$G30=""),"Peso vacío"&amp;" · ","")&amp;IF(AND($S30="Macro",$G30&lt;&gt;"",OR(NOT(ISNUMBER($G30)),$G30&lt;=0,$G30&gt;1)),"Peso fuera de rango"&amp;" · ","")&amp;IF(AND($S30="Sub",$G30&lt;&gt;""),"Las subactividades no llevan peso"&amp;" · ","")&amp;IF(AND($S30="Macro",ABS(SUMIFS($G$5:$G$1000,$P$5:$P$1000,$P30,$S$5:$S$1000,"Macro")-1)&gt;0.0001),"Pesos del mes suman "&amp;TEXT(SUMIFS($G$5:$G$1000,$P$5:$P$1000,$P30,$S$5:$S$1000,"Macro"),"0%")&amp;" · ","")&amp;IF(AND(N($T30)&gt;0,COUNT($H30:$K30)&gt;0),"Con subactividades: deje vacías las semanas (se calculan solas)"&amp;" · ","")&amp;IF((COUNTIF($H30:$K30,"&gt;1")+COUNTIF($H30:$K30,"&lt;0")+COUNTA($H30:$K30)-COUNT($H30:$K30))&gt;0,"Avance fuera de rango 0-100%"&amp;" · ","")&amp;IF(OR(AND($I30&lt;&gt;"",$I30&lt;$H30),AND($J30&lt;&gt;"",$J30&lt;MAX($H30:$I30)),AND($K30&lt;&gt;"",$K30&lt;MAX($H30:$J30))),"Avance semanal decreciente"&amp;" · ","")&amp;IF(AND(ISNUMBER($F30),$F30&lt;FechaRef,N($L30)&lt;1),"Vencida"&amp;" · ","")&amp;IF(AND(ObsObligatoria="Sí",ISNUMBER($F30),$F30&lt;FechaRef,N($L30)&lt;1,$N30=""),"Vencida sin observación"&amp;" · ",""))-3)))</f>
        <v/>
      </c>
      <c r="P30" s="69">
        <f>IF(NOT((COUNTA($B30:$K30)+COUNTA($N30))&gt;0),"",IF(AND($S30="Sub",N($R30)&gt;0),IF(ISNUMBER(INDEX($E$5:$E$1000,$R30-4)),DATE(YEAR(INDEX($E$5:$E$1000,$R30-4)),MONTH(INDEX($E$5:$E$1000,$R30-4)),1),IF(ISNUMBER(INDEX($F$5:$F$1000,$R30-4)),DATE(YEAR(INDEX($F$5:$F$1000,$R30-4)),MONTH(INDEX($F$5:$F$1000,$R30-4)),1),MesCiclo)),IF(ISNUMBER($E30),DATE(YEAR($E30),MONTH($E30),1),IF(ISNUMBER($F30),DATE(YEAR($F30),MONTH($F30),1),MesCiclo))))</f>
        <v/>
      </c>
      <c r="Q30" s="70">
        <f>IF(OR($P30="",$P30&lt;&gt;MesCiclo),"",COUNTIF($P$5:$P30,MesCiclo))</f>
        <v/>
      </c>
      <c r="R30" s="70">
        <f>IF($S30="","",IF($S30="Macro",ROW(),IFERROR(LOOKUP(2,1/($S$5:$S30="Macro"),ROW($S$5:$S30)),0)))</f>
        <v/>
      </c>
      <c r="S30" s="70">
        <f>IF(NOT((COUNTA($B30:$K30)+COUNTA($N30))&gt;0),"",IF($B30&lt;&gt;"","Macro",IF($C30&lt;&gt;"","Sub","Macro")))</f>
        <v/>
      </c>
      <c r="T30" s="70">
        <f>IF($S30="Macro",COUNTIFS($R$5:$R$1000,ROW(),$S$5:$S$1000,"Sub"),"")</f>
        <v/>
      </c>
      <c r="U30" s="70">
        <f>IF($S30="","",IF(ISNUMBER($H30),$H30,0))</f>
        <v/>
      </c>
      <c r="V30" s="70">
        <f>IF($S30="","",IF(ISNUMBER($I30),$I30,$U30))</f>
        <v/>
      </c>
      <c r="W30" s="70">
        <f>IF($S30="","",IF(ISNUMBER($J30),$J30,$V30))</f>
        <v/>
      </c>
      <c r="X30" s="70">
        <f>IF($S30="","",IF(ISNUMBER($K30),$K30,$W30))</f>
        <v/>
      </c>
      <c r="Y30" s="70">
        <f>IF($S30="","",IF(N($T30)&gt;0,AVERAGEIFS($U$5:$U$1000,$R$5:$R$1000,ROW(),$S$5:$S$1000,"Sub"),$U30))</f>
        <v/>
      </c>
      <c r="Z30" s="70">
        <f>IF($S30="","",IF(N($T30)&gt;0,AVERAGEIFS($V$5:$V$1000,$R$5:$R$1000,ROW(),$S$5:$S$1000,"Sub"),$V30))</f>
        <v/>
      </c>
      <c r="AA30" s="70">
        <f>IF($S30="","",IF(N($T30)&gt;0,AVERAGEIFS($W$5:$W$1000,$R$5:$R$1000,ROW(),$S$5:$S$1000,"Sub"),$W30))</f>
        <v/>
      </c>
      <c r="AB30" s="70">
        <f>IF($S30="","",IF(N($T30)&gt;0,AVERAGEIFS($X$5:$X$1000,$R$5:$R$1000,ROW(),$S$5:$S$1000,"Sub"),$X30))</f>
        <v/>
      </c>
    </row>
    <row r="31">
      <c r="A31" s="61">
        <f>IF(NOT((COUNTA($B31:$K31)+COUNTA($N31))&gt;0),"",IF($S31="Macro",COUNTIFS($S$5:$S31,"Macro",$P$5:$P31,$P31),IF(N($R31)=0,"?",COUNTIFS(INDEX($S$5:$S$1000,1):INDEX($S$5:$S$1000,$R31-4),"Macro",INDEX($P$5:$P$1000,1):INDEX($P$5:$P$1000,$R31-4),INDEX($P$5:$P$1000,$R31-4))&amp;"."&amp;COUNTIFS($R$5:$R31,$R31,$S$5:$S31,"Sub"))))</f>
        <v/>
      </c>
      <c r="B31" s="62" t="n"/>
      <c r="C31" s="63" t="n"/>
      <c r="D31" s="62" t="n"/>
      <c r="E31" s="64" t="n"/>
      <c r="F31" s="64" t="n"/>
      <c r="G31" s="65" t="n"/>
      <c r="H31" s="66" t="n"/>
      <c r="I31" s="66" t="n"/>
      <c r="J31" s="66" t="n"/>
      <c r="K31" s="66" t="n"/>
      <c r="L31" s="67">
        <f>IF(NOT((COUNTA($B31:$K31)+COUNTA($N31))&gt;0),"",IF(N($T31)&gt;0,$AB31,IFERROR(LOOKUP(2,1/(H31:K31&lt;&gt;""),H31:K31),0)))</f>
        <v/>
      </c>
      <c r="M31" s="61">
        <f>IF(L31="","",IF(L31&gt;=1,"Completado",IF(L31&gt;0,"En curso","Pendiente")))</f>
        <v/>
      </c>
      <c r="N31" s="62" t="n"/>
      <c r="O31" s="68">
        <f>IF(NOT((COUNTA($B31:$K31)+COUNTA($N31))&gt;0),"",IF((IF(AND($S31="Macro",$B31=""),"Macroactividad vacía"&amp;" · ","")&amp;IF(AND($B31&lt;&gt;"",$C31&lt;&gt;""),"Escriba la subactividad en otra fila, debajo de su macroactividad"&amp;" · ","")&amp;IF(AND($S31="Sub",N($R31)=0),"Subactividad sin macroactividad arriba"&amp;" · ","")&amp;IF($D31="","Sin responsable"&amp;" · ","")&amp;IF($E31="","Sin fecha de inicio"&amp;" · ","")&amp;IF($F31="","Sin fecha límite"&amp;" · ","")&amp;IF(OR(AND($E31&lt;&gt;"",NOT(ISNUMBER($E31))),AND($F31&lt;&gt;"",NOT(ISNUMBER($F31)))),"Fecha no válida"&amp;" · ","")&amp;IF(AND(ISNUMBER($E31),ISNUMBER($F31),$E31&gt;$F31),"Inicio posterior a fecha límite"&amp;" · ","")&amp;IF(AND($S31="Macro",$G31=""),"Peso vacío"&amp;" · ","")&amp;IF(AND($S31="Macro",$G31&lt;&gt;"",OR(NOT(ISNUMBER($G31)),$G31&lt;=0,$G31&gt;1)),"Peso fuera de rango"&amp;" · ","")&amp;IF(AND($S31="Sub",$G31&lt;&gt;""),"Las subactividades no llevan peso"&amp;" · ","")&amp;IF(AND($S31="Macro",ABS(SUMIFS($G$5:$G$1000,$P$5:$P$1000,$P31,$S$5:$S$1000,"Macro")-1)&gt;0.0001),"Pesos del mes suman "&amp;TEXT(SUMIFS($G$5:$G$1000,$P$5:$P$1000,$P31,$S$5:$S$1000,"Macro"),"0%")&amp;" · ","")&amp;IF(AND(N($T31)&gt;0,COUNT($H31:$K31)&gt;0),"Con subactividades: deje vacías las semanas (se calculan solas)"&amp;" · ","")&amp;IF((COUNTIF($H31:$K31,"&gt;1")+COUNTIF($H31:$K31,"&lt;0")+COUNTA($H31:$K31)-COUNT($H31:$K31))&gt;0,"Avance fuera de rango 0-100%"&amp;" · ","")&amp;IF(OR(AND($I31&lt;&gt;"",$I31&lt;$H31),AND($J31&lt;&gt;"",$J31&lt;MAX($H31:$I31)),AND($K31&lt;&gt;"",$K31&lt;MAX($H31:$J31))),"Avance semanal decreciente"&amp;" · ","")&amp;IF(AND(ISNUMBER($F31),$F31&lt;FechaRef,N($L31)&lt;1),"Vencida"&amp;" · ","")&amp;IF(AND(ObsObligatoria="Sí",ISNUMBER($F31),$F31&lt;FechaRef,N($L31)&lt;1,$N31=""),"Vencida sin observación"&amp;" · ",""))="","✔ OK","⚠ "&amp;LEFT(IF(AND($S31="Macro",$B31=""),"Macroactividad vacía"&amp;" · ","")&amp;IF(AND($B31&lt;&gt;"",$C31&lt;&gt;""),"Escriba la subactividad en otra fila, debajo de su macroactividad"&amp;" · ","")&amp;IF(AND($S31="Sub",N($R31)=0),"Subactividad sin macroactividad arriba"&amp;" · ","")&amp;IF($D31="","Sin responsable"&amp;" · ","")&amp;IF($E31="","Sin fecha de inicio"&amp;" · ","")&amp;IF($F31="","Sin fecha límite"&amp;" · ","")&amp;IF(OR(AND($E31&lt;&gt;"",NOT(ISNUMBER($E31))),AND($F31&lt;&gt;"",NOT(ISNUMBER($F31)))),"Fecha no válida"&amp;" · ","")&amp;IF(AND(ISNUMBER($E31),ISNUMBER($F31),$E31&gt;$F31),"Inicio posterior a fecha límite"&amp;" · ","")&amp;IF(AND($S31="Macro",$G31=""),"Peso vacío"&amp;" · ","")&amp;IF(AND($S31="Macro",$G31&lt;&gt;"",OR(NOT(ISNUMBER($G31)),$G31&lt;=0,$G31&gt;1)),"Peso fuera de rango"&amp;" · ","")&amp;IF(AND($S31="Sub",$G31&lt;&gt;""),"Las subactividades no llevan peso"&amp;" · ","")&amp;IF(AND($S31="Macro",ABS(SUMIFS($G$5:$G$1000,$P$5:$P$1000,$P31,$S$5:$S$1000,"Macro")-1)&gt;0.0001),"Pesos del mes suman "&amp;TEXT(SUMIFS($G$5:$G$1000,$P$5:$P$1000,$P31,$S$5:$S$1000,"Macro"),"0%")&amp;" · ","")&amp;IF(AND(N($T31)&gt;0,COUNT($H31:$K31)&gt;0),"Con subactividades: deje vacías las semanas (se calculan solas)"&amp;" · ","")&amp;IF((COUNTIF($H31:$K31,"&gt;1")+COUNTIF($H31:$K31,"&lt;0")+COUNTA($H31:$K31)-COUNT($H31:$K31))&gt;0,"Avance fuera de rango 0-100%"&amp;" · ","")&amp;IF(OR(AND($I31&lt;&gt;"",$I31&lt;$H31),AND($J31&lt;&gt;"",$J31&lt;MAX($H31:$I31)),AND($K31&lt;&gt;"",$K31&lt;MAX($H31:$J31))),"Avance semanal decreciente"&amp;" · ","")&amp;IF(AND(ISNUMBER($F31),$F31&lt;FechaRef,N($L31)&lt;1),"Vencida"&amp;" · ","")&amp;IF(AND(ObsObligatoria="Sí",ISNUMBER($F31),$F31&lt;FechaRef,N($L31)&lt;1,$N31=""),"Vencida sin observación"&amp;" · ",""),LEN(IF(AND($S31="Macro",$B31=""),"Macroactividad vacía"&amp;" · ","")&amp;IF(AND($B31&lt;&gt;"",$C31&lt;&gt;""),"Escriba la subactividad en otra fila, debajo de su macroactividad"&amp;" · ","")&amp;IF(AND($S31="Sub",N($R31)=0),"Subactividad sin macroactividad arriba"&amp;" · ","")&amp;IF($D31="","Sin responsable"&amp;" · ","")&amp;IF($E31="","Sin fecha de inicio"&amp;" · ","")&amp;IF($F31="","Sin fecha límite"&amp;" · ","")&amp;IF(OR(AND($E31&lt;&gt;"",NOT(ISNUMBER($E31))),AND($F31&lt;&gt;"",NOT(ISNUMBER($F31)))),"Fecha no válida"&amp;" · ","")&amp;IF(AND(ISNUMBER($E31),ISNUMBER($F31),$E31&gt;$F31),"Inicio posterior a fecha límite"&amp;" · ","")&amp;IF(AND($S31="Macro",$G31=""),"Peso vacío"&amp;" · ","")&amp;IF(AND($S31="Macro",$G31&lt;&gt;"",OR(NOT(ISNUMBER($G31)),$G31&lt;=0,$G31&gt;1)),"Peso fuera de rango"&amp;" · ","")&amp;IF(AND($S31="Sub",$G31&lt;&gt;""),"Las subactividades no llevan peso"&amp;" · ","")&amp;IF(AND($S31="Macro",ABS(SUMIFS($G$5:$G$1000,$P$5:$P$1000,$P31,$S$5:$S$1000,"Macro")-1)&gt;0.0001),"Pesos del mes suman "&amp;TEXT(SUMIFS($G$5:$G$1000,$P$5:$P$1000,$P31,$S$5:$S$1000,"Macro"),"0%")&amp;" · ","")&amp;IF(AND(N($T31)&gt;0,COUNT($H31:$K31)&gt;0),"Con subactividades: deje vacías las semanas (se calculan solas)"&amp;" · ","")&amp;IF((COUNTIF($H31:$K31,"&gt;1")+COUNTIF($H31:$K31,"&lt;0")+COUNTA($H31:$K31)-COUNT($H31:$K31))&gt;0,"Avance fuera de rango 0-100%"&amp;" · ","")&amp;IF(OR(AND($I31&lt;&gt;"",$I31&lt;$H31),AND($J31&lt;&gt;"",$J31&lt;MAX($H31:$I31)),AND($K31&lt;&gt;"",$K31&lt;MAX($H31:$J31))),"Avance semanal decreciente"&amp;" · ","")&amp;IF(AND(ISNUMBER($F31),$F31&lt;FechaRef,N($L31)&lt;1),"Vencida"&amp;" · ","")&amp;IF(AND(ObsObligatoria="Sí",ISNUMBER($F31),$F31&lt;FechaRef,N($L31)&lt;1,$N31=""),"Vencida sin observación"&amp;" · ",""))-3)))</f>
        <v/>
      </c>
      <c r="P31" s="69">
        <f>IF(NOT((COUNTA($B31:$K31)+COUNTA($N31))&gt;0),"",IF(AND($S31="Sub",N($R31)&gt;0),IF(ISNUMBER(INDEX($E$5:$E$1000,$R31-4)),DATE(YEAR(INDEX($E$5:$E$1000,$R31-4)),MONTH(INDEX($E$5:$E$1000,$R31-4)),1),IF(ISNUMBER(INDEX($F$5:$F$1000,$R31-4)),DATE(YEAR(INDEX($F$5:$F$1000,$R31-4)),MONTH(INDEX($F$5:$F$1000,$R31-4)),1),MesCiclo)),IF(ISNUMBER($E31),DATE(YEAR($E31),MONTH($E31),1),IF(ISNUMBER($F31),DATE(YEAR($F31),MONTH($F31),1),MesCiclo))))</f>
        <v/>
      </c>
      <c r="Q31" s="70">
        <f>IF(OR($P31="",$P31&lt;&gt;MesCiclo),"",COUNTIF($P$5:$P31,MesCiclo))</f>
        <v/>
      </c>
      <c r="R31" s="70">
        <f>IF($S31="","",IF($S31="Macro",ROW(),IFERROR(LOOKUP(2,1/($S$5:$S31="Macro"),ROW($S$5:$S31)),0)))</f>
        <v/>
      </c>
      <c r="S31" s="70">
        <f>IF(NOT((COUNTA($B31:$K31)+COUNTA($N31))&gt;0),"",IF($B31&lt;&gt;"","Macro",IF($C31&lt;&gt;"","Sub","Macro")))</f>
        <v/>
      </c>
      <c r="T31" s="70">
        <f>IF($S31="Macro",COUNTIFS($R$5:$R$1000,ROW(),$S$5:$S$1000,"Sub"),"")</f>
        <v/>
      </c>
      <c r="U31" s="70">
        <f>IF($S31="","",IF(ISNUMBER($H31),$H31,0))</f>
        <v/>
      </c>
      <c r="V31" s="70">
        <f>IF($S31="","",IF(ISNUMBER($I31),$I31,$U31))</f>
        <v/>
      </c>
      <c r="W31" s="70">
        <f>IF($S31="","",IF(ISNUMBER($J31),$J31,$V31))</f>
        <v/>
      </c>
      <c r="X31" s="70">
        <f>IF($S31="","",IF(ISNUMBER($K31),$K31,$W31))</f>
        <v/>
      </c>
      <c r="Y31" s="70">
        <f>IF($S31="","",IF(N($T31)&gt;0,AVERAGEIFS($U$5:$U$1000,$R$5:$R$1000,ROW(),$S$5:$S$1000,"Sub"),$U31))</f>
        <v/>
      </c>
      <c r="Z31" s="70">
        <f>IF($S31="","",IF(N($T31)&gt;0,AVERAGEIFS($V$5:$V$1000,$R$5:$R$1000,ROW(),$S$5:$S$1000,"Sub"),$V31))</f>
        <v/>
      </c>
      <c r="AA31" s="70">
        <f>IF($S31="","",IF(N($T31)&gt;0,AVERAGEIFS($W$5:$W$1000,$R$5:$R$1000,ROW(),$S$5:$S$1000,"Sub"),$W31))</f>
        <v/>
      </c>
      <c r="AB31" s="70">
        <f>IF($S31="","",IF(N($T31)&gt;0,AVERAGEIFS($X$5:$X$1000,$R$5:$R$1000,ROW(),$S$5:$S$1000,"Sub"),$X31))</f>
        <v/>
      </c>
    </row>
    <row r="32">
      <c r="A32" s="61">
        <f>IF(NOT((COUNTA($B32:$K32)+COUNTA($N32))&gt;0),"",IF($S32="Macro",COUNTIFS($S$5:$S32,"Macro",$P$5:$P32,$P32),IF(N($R32)=0,"?",COUNTIFS(INDEX($S$5:$S$1000,1):INDEX($S$5:$S$1000,$R32-4),"Macro",INDEX($P$5:$P$1000,1):INDEX($P$5:$P$1000,$R32-4),INDEX($P$5:$P$1000,$R32-4))&amp;"."&amp;COUNTIFS($R$5:$R32,$R32,$S$5:$S32,"Sub"))))</f>
        <v/>
      </c>
      <c r="B32" s="62" t="n"/>
      <c r="C32" s="63" t="n"/>
      <c r="D32" s="62" t="n"/>
      <c r="E32" s="64" t="n"/>
      <c r="F32" s="64" t="n"/>
      <c r="G32" s="65" t="n"/>
      <c r="H32" s="66" t="n"/>
      <c r="I32" s="66" t="n"/>
      <c r="J32" s="66" t="n"/>
      <c r="K32" s="66" t="n"/>
      <c r="L32" s="67">
        <f>IF(NOT((COUNTA($B32:$K32)+COUNTA($N32))&gt;0),"",IF(N($T32)&gt;0,$AB32,IFERROR(LOOKUP(2,1/(H32:K32&lt;&gt;""),H32:K32),0)))</f>
        <v/>
      </c>
      <c r="M32" s="61">
        <f>IF(L32="","",IF(L32&gt;=1,"Completado",IF(L32&gt;0,"En curso","Pendiente")))</f>
        <v/>
      </c>
      <c r="N32" s="62" t="n"/>
      <c r="O32" s="68">
        <f>IF(NOT((COUNTA($B32:$K32)+COUNTA($N32))&gt;0),"",IF((IF(AND($S32="Macro",$B32=""),"Macroactividad vacía"&amp;" · ","")&amp;IF(AND($B32&lt;&gt;"",$C32&lt;&gt;""),"Escriba la subactividad en otra fila, debajo de su macroactividad"&amp;" · ","")&amp;IF(AND($S32="Sub",N($R32)=0),"Subactividad sin macroactividad arriba"&amp;" · ","")&amp;IF($D32="","Sin responsable"&amp;" · ","")&amp;IF($E32="","Sin fecha de inicio"&amp;" · ","")&amp;IF($F32="","Sin fecha límite"&amp;" · ","")&amp;IF(OR(AND($E32&lt;&gt;"",NOT(ISNUMBER($E32))),AND($F32&lt;&gt;"",NOT(ISNUMBER($F32)))),"Fecha no válida"&amp;" · ","")&amp;IF(AND(ISNUMBER($E32),ISNUMBER($F32),$E32&gt;$F32),"Inicio posterior a fecha límite"&amp;" · ","")&amp;IF(AND($S32="Macro",$G32=""),"Peso vacío"&amp;" · ","")&amp;IF(AND($S32="Macro",$G32&lt;&gt;"",OR(NOT(ISNUMBER($G32)),$G32&lt;=0,$G32&gt;1)),"Peso fuera de rango"&amp;" · ","")&amp;IF(AND($S32="Sub",$G32&lt;&gt;""),"Las subactividades no llevan peso"&amp;" · ","")&amp;IF(AND($S32="Macro",ABS(SUMIFS($G$5:$G$1000,$P$5:$P$1000,$P32,$S$5:$S$1000,"Macro")-1)&gt;0.0001),"Pesos del mes suman "&amp;TEXT(SUMIFS($G$5:$G$1000,$P$5:$P$1000,$P32,$S$5:$S$1000,"Macro"),"0%")&amp;" · ","")&amp;IF(AND(N($T32)&gt;0,COUNT($H32:$K32)&gt;0),"Con subactividades: deje vacías las semanas (se calculan solas)"&amp;" · ","")&amp;IF((COUNTIF($H32:$K32,"&gt;1")+COUNTIF($H32:$K32,"&lt;0")+COUNTA($H32:$K32)-COUNT($H32:$K32))&gt;0,"Avance fuera de rango 0-100%"&amp;" · ","")&amp;IF(OR(AND($I32&lt;&gt;"",$I32&lt;$H32),AND($J32&lt;&gt;"",$J32&lt;MAX($H32:$I32)),AND($K32&lt;&gt;"",$K32&lt;MAX($H32:$J32))),"Avance semanal decreciente"&amp;" · ","")&amp;IF(AND(ISNUMBER($F32),$F32&lt;FechaRef,N($L32)&lt;1),"Vencida"&amp;" · ","")&amp;IF(AND(ObsObligatoria="Sí",ISNUMBER($F32),$F32&lt;FechaRef,N($L32)&lt;1,$N32=""),"Vencida sin observación"&amp;" · ",""))="","✔ OK","⚠ "&amp;LEFT(IF(AND($S32="Macro",$B32=""),"Macroactividad vacía"&amp;" · ","")&amp;IF(AND($B32&lt;&gt;"",$C32&lt;&gt;""),"Escriba la subactividad en otra fila, debajo de su macroactividad"&amp;" · ","")&amp;IF(AND($S32="Sub",N($R32)=0),"Subactividad sin macroactividad arriba"&amp;" · ","")&amp;IF($D32="","Sin responsable"&amp;" · ","")&amp;IF($E32="","Sin fecha de inicio"&amp;" · ","")&amp;IF($F32="","Sin fecha límite"&amp;" · ","")&amp;IF(OR(AND($E32&lt;&gt;"",NOT(ISNUMBER($E32))),AND($F32&lt;&gt;"",NOT(ISNUMBER($F32)))),"Fecha no válida"&amp;" · ","")&amp;IF(AND(ISNUMBER($E32),ISNUMBER($F32),$E32&gt;$F32),"Inicio posterior a fecha límite"&amp;" · ","")&amp;IF(AND($S32="Macro",$G32=""),"Peso vacío"&amp;" · ","")&amp;IF(AND($S32="Macro",$G32&lt;&gt;"",OR(NOT(ISNUMBER($G32)),$G32&lt;=0,$G32&gt;1)),"Peso fuera de rango"&amp;" · ","")&amp;IF(AND($S32="Sub",$G32&lt;&gt;""),"Las subactividades no llevan peso"&amp;" · ","")&amp;IF(AND($S32="Macro",ABS(SUMIFS($G$5:$G$1000,$P$5:$P$1000,$P32,$S$5:$S$1000,"Macro")-1)&gt;0.0001),"Pesos del mes suman "&amp;TEXT(SUMIFS($G$5:$G$1000,$P$5:$P$1000,$P32,$S$5:$S$1000,"Macro"),"0%")&amp;" · ","")&amp;IF(AND(N($T32)&gt;0,COUNT($H32:$K32)&gt;0),"Con subactividades: deje vacías las semanas (se calculan solas)"&amp;" · ","")&amp;IF((COUNTIF($H32:$K32,"&gt;1")+COUNTIF($H32:$K32,"&lt;0")+COUNTA($H32:$K32)-COUNT($H32:$K32))&gt;0,"Avance fuera de rango 0-100%"&amp;" · ","")&amp;IF(OR(AND($I32&lt;&gt;"",$I32&lt;$H32),AND($J32&lt;&gt;"",$J32&lt;MAX($H32:$I32)),AND($K32&lt;&gt;"",$K32&lt;MAX($H32:$J32))),"Avance semanal decreciente"&amp;" · ","")&amp;IF(AND(ISNUMBER($F32),$F32&lt;FechaRef,N($L32)&lt;1),"Vencida"&amp;" · ","")&amp;IF(AND(ObsObligatoria="Sí",ISNUMBER($F32),$F32&lt;FechaRef,N($L32)&lt;1,$N32=""),"Vencida sin observación"&amp;" · ",""),LEN(IF(AND($S32="Macro",$B32=""),"Macroactividad vacía"&amp;" · ","")&amp;IF(AND($B32&lt;&gt;"",$C32&lt;&gt;""),"Escriba la subactividad en otra fila, debajo de su macroactividad"&amp;" · ","")&amp;IF(AND($S32="Sub",N($R32)=0),"Subactividad sin macroactividad arriba"&amp;" · ","")&amp;IF($D32="","Sin responsable"&amp;" · ","")&amp;IF($E32="","Sin fecha de inicio"&amp;" · ","")&amp;IF($F32="","Sin fecha límite"&amp;" · ","")&amp;IF(OR(AND($E32&lt;&gt;"",NOT(ISNUMBER($E32))),AND($F32&lt;&gt;"",NOT(ISNUMBER($F32)))),"Fecha no válida"&amp;" · ","")&amp;IF(AND(ISNUMBER($E32),ISNUMBER($F32),$E32&gt;$F32),"Inicio posterior a fecha límite"&amp;" · ","")&amp;IF(AND($S32="Macro",$G32=""),"Peso vacío"&amp;" · ","")&amp;IF(AND($S32="Macro",$G32&lt;&gt;"",OR(NOT(ISNUMBER($G32)),$G32&lt;=0,$G32&gt;1)),"Peso fuera de rango"&amp;" · ","")&amp;IF(AND($S32="Sub",$G32&lt;&gt;""),"Las subactividades no llevan peso"&amp;" · ","")&amp;IF(AND($S32="Macro",ABS(SUMIFS($G$5:$G$1000,$P$5:$P$1000,$P32,$S$5:$S$1000,"Macro")-1)&gt;0.0001),"Pesos del mes suman "&amp;TEXT(SUMIFS($G$5:$G$1000,$P$5:$P$1000,$P32,$S$5:$S$1000,"Macro"),"0%")&amp;" · ","")&amp;IF(AND(N($T32)&gt;0,COUNT($H32:$K32)&gt;0),"Con subactividades: deje vacías las semanas (se calculan solas)"&amp;" · ","")&amp;IF((COUNTIF($H32:$K32,"&gt;1")+COUNTIF($H32:$K32,"&lt;0")+COUNTA($H32:$K32)-COUNT($H32:$K32))&gt;0,"Avance fuera de rango 0-100%"&amp;" · ","")&amp;IF(OR(AND($I32&lt;&gt;"",$I32&lt;$H32),AND($J32&lt;&gt;"",$J32&lt;MAX($H32:$I32)),AND($K32&lt;&gt;"",$K32&lt;MAX($H32:$J32))),"Avance semanal decreciente"&amp;" · ","")&amp;IF(AND(ISNUMBER($F32),$F32&lt;FechaRef,N($L32)&lt;1),"Vencida"&amp;" · ","")&amp;IF(AND(ObsObligatoria="Sí",ISNUMBER($F32),$F32&lt;FechaRef,N($L32)&lt;1,$N32=""),"Vencida sin observación"&amp;" · ",""))-3)))</f>
        <v/>
      </c>
      <c r="P32" s="69">
        <f>IF(NOT((COUNTA($B32:$K32)+COUNTA($N32))&gt;0),"",IF(AND($S32="Sub",N($R32)&gt;0),IF(ISNUMBER(INDEX($E$5:$E$1000,$R32-4)),DATE(YEAR(INDEX($E$5:$E$1000,$R32-4)),MONTH(INDEX($E$5:$E$1000,$R32-4)),1),IF(ISNUMBER(INDEX($F$5:$F$1000,$R32-4)),DATE(YEAR(INDEX($F$5:$F$1000,$R32-4)),MONTH(INDEX($F$5:$F$1000,$R32-4)),1),MesCiclo)),IF(ISNUMBER($E32),DATE(YEAR($E32),MONTH($E32),1),IF(ISNUMBER($F32),DATE(YEAR($F32),MONTH($F32),1),MesCiclo))))</f>
        <v/>
      </c>
      <c r="Q32" s="70">
        <f>IF(OR($P32="",$P32&lt;&gt;MesCiclo),"",COUNTIF($P$5:$P32,MesCiclo))</f>
        <v/>
      </c>
      <c r="R32" s="70">
        <f>IF($S32="","",IF($S32="Macro",ROW(),IFERROR(LOOKUP(2,1/($S$5:$S32="Macro"),ROW($S$5:$S32)),0)))</f>
        <v/>
      </c>
      <c r="S32" s="70">
        <f>IF(NOT((COUNTA($B32:$K32)+COUNTA($N32))&gt;0),"",IF($B32&lt;&gt;"","Macro",IF($C32&lt;&gt;"","Sub","Macro")))</f>
        <v/>
      </c>
      <c r="T32" s="70">
        <f>IF($S32="Macro",COUNTIFS($R$5:$R$1000,ROW(),$S$5:$S$1000,"Sub"),"")</f>
        <v/>
      </c>
      <c r="U32" s="70">
        <f>IF($S32="","",IF(ISNUMBER($H32),$H32,0))</f>
        <v/>
      </c>
      <c r="V32" s="70">
        <f>IF($S32="","",IF(ISNUMBER($I32),$I32,$U32))</f>
        <v/>
      </c>
      <c r="W32" s="70">
        <f>IF($S32="","",IF(ISNUMBER($J32),$J32,$V32))</f>
        <v/>
      </c>
      <c r="X32" s="70">
        <f>IF($S32="","",IF(ISNUMBER($K32),$K32,$W32))</f>
        <v/>
      </c>
      <c r="Y32" s="70">
        <f>IF($S32="","",IF(N($T32)&gt;0,AVERAGEIFS($U$5:$U$1000,$R$5:$R$1000,ROW(),$S$5:$S$1000,"Sub"),$U32))</f>
        <v/>
      </c>
      <c r="Z32" s="70">
        <f>IF($S32="","",IF(N($T32)&gt;0,AVERAGEIFS($V$5:$V$1000,$R$5:$R$1000,ROW(),$S$5:$S$1000,"Sub"),$V32))</f>
        <v/>
      </c>
      <c r="AA32" s="70">
        <f>IF($S32="","",IF(N($T32)&gt;0,AVERAGEIFS($W$5:$W$1000,$R$5:$R$1000,ROW(),$S$5:$S$1000,"Sub"),$W32))</f>
        <v/>
      </c>
      <c r="AB32" s="70">
        <f>IF($S32="","",IF(N($T32)&gt;0,AVERAGEIFS($X$5:$X$1000,$R$5:$R$1000,ROW(),$S$5:$S$1000,"Sub"),$X32))</f>
        <v/>
      </c>
    </row>
    <row r="33">
      <c r="A33" s="61">
        <f>IF(NOT((COUNTA($B33:$K33)+COUNTA($N33))&gt;0),"",IF($S33="Macro",COUNTIFS($S$5:$S33,"Macro",$P$5:$P33,$P33),IF(N($R33)=0,"?",COUNTIFS(INDEX($S$5:$S$1000,1):INDEX($S$5:$S$1000,$R33-4),"Macro",INDEX($P$5:$P$1000,1):INDEX($P$5:$P$1000,$R33-4),INDEX($P$5:$P$1000,$R33-4))&amp;"."&amp;COUNTIFS($R$5:$R33,$R33,$S$5:$S33,"Sub"))))</f>
        <v/>
      </c>
      <c r="B33" s="62" t="n"/>
      <c r="C33" s="63" t="n"/>
      <c r="D33" s="62" t="n"/>
      <c r="E33" s="64" t="n"/>
      <c r="F33" s="64" t="n"/>
      <c r="G33" s="65" t="n"/>
      <c r="H33" s="66" t="n"/>
      <c r="I33" s="66" t="n"/>
      <c r="J33" s="66" t="n"/>
      <c r="K33" s="66" t="n"/>
      <c r="L33" s="67">
        <f>IF(NOT((COUNTA($B33:$K33)+COUNTA($N33))&gt;0),"",IF(N($T33)&gt;0,$AB33,IFERROR(LOOKUP(2,1/(H33:K33&lt;&gt;""),H33:K33),0)))</f>
        <v/>
      </c>
      <c r="M33" s="61">
        <f>IF(L33="","",IF(L33&gt;=1,"Completado",IF(L33&gt;0,"En curso","Pendiente")))</f>
        <v/>
      </c>
      <c r="N33" s="62" t="n"/>
      <c r="O33" s="68">
        <f>IF(NOT((COUNTA($B33:$K33)+COUNTA($N33))&gt;0),"",IF((IF(AND($S33="Macro",$B33=""),"Macroactividad vacía"&amp;" · ","")&amp;IF(AND($B33&lt;&gt;"",$C33&lt;&gt;""),"Escriba la subactividad en otra fila, debajo de su macroactividad"&amp;" · ","")&amp;IF(AND($S33="Sub",N($R33)=0),"Subactividad sin macroactividad arriba"&amp;" · ","")&amp;IF($D33="","Sin responsable"&amp;" · ","")&amp;IF($E33="","Sin fecha de inicio"&amp;" · ","")&amp;IF($F33="","Sin fecha límite"&amp;" · ","")&amp;IF(OR(AND($E33&lt;&gt;"",NOT(ISNUMBER($E33))),AND($F33&lt;&gt;"",NOT(ISNUMBER($F33)))),"Fecha no válida"&amp;" · ","")&amp;IF(AND(ISNUMBER($E33),ISNUMBER($F33),$E33&gt;$F33),"Inicio posterior a fecha límite"&amp;" · ","")&amp;IF(AND($S33="Macro",$G33=""),"Peso vacío"&amp;" · ","")&amp;IF(AND($S33="Macro",$G33&lt;&gt;"",OR(NOT(ISNUMBER($G33)),$G33&lt;=0,$G33&gt;1)),"Peso fuera de rango"&amp;" · ","")&amp;IF(AND($S33="Sub",$G33&lt;&gt;""),"Las subactividades no llevan peso"&amp;" · ","")&amp;IF(AND($S33="Macro",ABS(SUMIFS($G$5:$G$1000,$P$5:$P$1000,$P33,$S$5:$S$1000,"Macro")-1)&gt;0.0001),"Pesos del mes suman "&amp;TEXT(SUMIFS($G$5:$G$1000,$P$5:$P$1000,$P33,$S$5:$S$1000,"Macro"),"0%")&amp;" · ","")&amp;IF(AND(N($T33)&gt;0,COUNT($H33:$K33)&gt;0),"Con subactividades: deje vacías las semanas (se calculan solas)"&amp;" · ","")&amp;IF((COUNTIF($H33:$K33,"&gt;1")+COUNTIF($H33:$K33,"&lt;0")+COUNTA($H33:$K33)-COUNT($H33:$K33))&gt;0,"Avance fuera de rango 0-100%"&amp;" · ","")&amp;IF(OR(AND($I33&lt;&gt;"",$I33&lt;$H33),AND($J33&lt;&gt;"",$J33&lt;MAX($H33:$I33)),AND($K33&lt;&gt;"",$K33&lt;MAX($H33:$J33))),"Avance semanal decreciente"&amp;" · ","")&amp;IF(AND(ISNUMBER($F33),$F33&lt;FechaRef,N($L33)&lt;1),"Vencida"&amp;" · ","")&amp;IF(AND(ObsObligatoria="Sí",ISNUMBER($F33),$F33&lt;FechaRef,N($L33)&lt;1,$N33=""),"Vencida sin observación"&amp;" · ",""))="","✔ OK","⚠ "&amp;LEFT(IF(AND($S33="Macro",$B33=""),"Macroactividad vacía"&amp;" · ","")&amp;IF(AND($B33&lt;&gt;"",$C33&lt;&gt;""),"Escriba la subactividad en otra fila, debajo de su macroactividad"&amp;" · ","")&amp;IF(AND($S33="Sub",N($R33)=0),"Subactividad sin macroactividad arriba"&amp;" · ","")&amp;IF($D33="","Sin responsable"&amp;" · ","")&amp;IF($E33="","Sin fecha de inicio"&amp;" · ","")&amp;IF($F33="","Sin fecha límite"&amp;" · ","")&amp;IF(OR(AND($E33&lt;&gt;"",NOT(ISNUMBER($E33))),AND($F33&lt;&gt;"",NOT(ISNUMBER($F33)))),"Fecha no válida"&amp;" · ","")&amp;IF(AND(ISNUMBER($E33),ISNUMBER($F33),$E33&gt;$F33),"Inicio posterior a fecha límite"&amp;" · ","")&amp;IF(AND($S33="Macro",$G33=""),"Peso vacío"&amp;" · ","")&amp;IF(AND($S33="Macro",$G33&lt;&gt;"",OR(NOT(ISNUMBER($G33)),$G33&lt;=0,$G33&gt;1)),"Peso fuera de rango"&amp;" · ","")&amp;IF(AND($S33="Sub",$G33&lt;&gt;""),"Las subactividades no llevan peso"&amp;" · ","")&amp;IF(AND($S33="Macro",ABS(SUMIFS($G$5:$G$1000,$P$5:$P$1000,$P33,$S$5:$S$1000,"Macro")-1)&gt;0.0001),"Pesos del mes suman "&amp;TEXT(SUMIFS($G$5:$G$1000,$P$5:$P$1000,$P33,$S$5:$S$1000,"Macro"),"0%")&amp;" · ","")&amp;IF(AND(N($T33)&gt;0,COUNT($H33:$K33)&gt;0),"Con subactividades: deje vacías las semanas (se calculan solas)"&amp;" · ","")&amp;IF((COUNTIF($H33:$K33,"&gt;1")+COUNTIF($H33:$K33,"&lt;0")+COUNTA($H33:$K33)-COUNT($H33:$K33))&gt;0,"Avance fuera de rango 0-100%"&amp;" · ","")&amp;IF(OR(AND($I33&lt;&gt;"",$I33&lt;$H33),AND($J33&lt;&gt;"",$J33&lt;MAX($H33:$I33)),AND($K33&lt;&gt;"",$K33&lt;MAX($H33:$J33))),"Avance semanal decreciente"&amp;" · ","")&amp;IF(AND(ISNUMBER($F33),$F33&lt;FechaRef,N($L33)&lt;1),"Vencida"&amp;" · ","")&amp;IF(AND(ObsObligatoria="Sí",ISNUMBER($F33),$F33&lt;FechaRef,N($L33)&lt;1,$N33=""),"Vencida sin observación"&amp;" · ",""),LEN(IF(AND($S33="Macro",$B33=""),"Macroactividad vacía"&amp;" · ","")&amp;IF(AND($B33&lt;&gt;"",$C33&lt;&gt;""),"Escriba la subactividad en otra fila, debajo de su macroactividad"&amp;" · ","")&amp;IF(AND($S33="Sub",N($R33)=0),"Subactividad sin macroactividad arriba"&amp;" · ","")&amp;IF($D33="","Sin responsable"&amp;" · ","")&amp;IF($E33="","Sin fecha de inicio"&amp;" · ","")&amp;IF($F33="","Sin fecha límite"&amp;" · ","")&amp;IF(OR(AND($E33&lt;&gt;"",NOT(ISNUMBER($E33))),AND($F33&lt;&gt;"",NOT(ISNUMBER($F33)))),"Fecha no válida"&amp;" · ","")&amp;IF(AND(ISNUMBER($E33),ISNUMBER($F33),$E33&gt;$F33),"Inicio posterior a fecha límite"&amp;" · ","")&amp;IF(AND($S33="Macro",$G33=""),"Peso vacío"&amp;" · ","")&amp;IF(AND($S33="Macro",$G33&lt;&gt;"",OR(NOT(ISNUMBER($G33)),$G33&lt;=0,$G33&gt;1)),"Peso fuera de rango"&amp;" · ","")&amp;IF(AND($S33="Sub",$G33&lt;&gt;""),"Las subactividades no llevan peso"&amp;" · ","")&amp;IF(AND($S33="Macro",ABS(SUMIFS($G$5:$G$1000,$P$5:$P$1000,$P33,$S$5:$S$1000,"Macro")-1)&gt;0.0001),"Pesos del mes suman "&amp;TEXT(SUMIFS($G$5:$G$1000,$P$5:$P$1000,$P33,$S$5:$S$1000,"Macro"),"0%")&amp;" · ","")&amp;IF(AND(N($T33)&gt;0,COUNT($H33:$K33)&gt;0),"Con subactividades: deje vacías las semanas (se calculan solas)"&amp;" · ","")&amp;IF((COUNTIF($H33:$K33,"&gt;1")+COUNTIF($H33:$K33,"&lt;0")+COUNTA($H33:$K33)-COUNT($H33:$K33))&gt;0,"Avance fuera de rango 0-100%"&amp;" · ","")&amp;IF(OR(AND($I33&lt;&gt;"",$I33&lt;$H33),AND($J33&lt;&gt;"",$J33&lt;MAX($H33:$I33)),AND($K33&lt;&gt;"",$K33&lt;MAX($H33:$J33))),"Avance semanal decreciente"&amp;" · ","")&amp;IF(AND(ISNUMBER($F33),$F33&lt;FechaRef,N($L33)&lt;1),"Vencida"&amp;" · ","")&amp;IF(AND(ObsObligatoria="Sí",ISNUMBER($F33),$F33&lt;FechaRef,N($L33)&lt;1,$N33=""),"Vencida sin observación"&amp;" · ",""))-3)))</f>
        <v/>
      </c>
      <c r="P33" s="69">
        <f>IF(NOT((COUNTA($B33:$K33)+COUNTA($N33))&gt;0),"",IF(AND($S33="Sub",N($R33)&gt;0),IF(ISNUMBER(INDEX($E$5:$E$1000,$R33-4)),DATE(YEAR(INDEX($E$5:$E$1000,$R33-4)),MONTH(INDEX($E$5:$E$1000,$R33-4)),1),IF(ISNUMBER(INDEX($F$5:$F$1000,$R33-4)),DATE(YEAR(INDEX($F$5:$F$1000,$R33-4)),MONTH(INDEX($F$5:$F$1000,$R33-4)),1),MesCiclo)),IF(ISNUMBER($E33),DATE(YEAR($E33),MONTH($E33),1),IF(ISNUMBER($F33),DATE(YEAR($F33),MONTH($F33),1),MesCiclo))))</f>
        <v/>
      </c>
      <c r="Q33" s="70">
        <f>IF(OR($P33="",$P33&lt;&gt;MesCiclo),"",COUNTIF($P$5:$P33,MesCiclo))</f>
        <v/>
      </c>
      <c r="R33" s="70">
        <f>IF($S33="","",IF($S33="Macro",ROW(),IFERROR(LOOKUP(2,1/($S$5:$S33="Macro"),ROW($S$5:$S33)),0)))</f>
        <v/>
      </c>
      <c r="S33" s="70">
        <f>IF(NOT((COUNTA($B33:$K33)+COUNTA($N33))&gt;0),"",IF($B33&lt;&gt;"","Macro",IF($C33&lt;&gt;"","Sub","Macro")))</f>
        <v/>
      </c>
      <c r="T33" s="70">
        <f>IF($S33="Macro",COUNTIFS($R$5:$R$1000,ROW(),$S$5:$S$1000,"Sub"),"")</f>
        <v/>
      </c>
      <c r="U33" s="70">
        <f>IF($S33="","",IF(ISNUMBER($H33),$H33,0))</f>
        <v/>
      </c>
      <c r="V33" s="70">
        <f>IF($S33="","",IF(ISNUMBER($I33),$I33,$U33))</f>
        <v/>
      </c>
      <c r="W33" s="70">
        <f>IF($S33="","",IF(ISNUMBER($J33),$J33,$V33))</f>
        <v/>
      </c>
      <c r="X33" s="70">
        <f>IF($S33="","",IF(ISNUMBER($K33),$K33,$W33))</f>
        <v/>
      </c>
      <c r="Y33" s="70">
        <f>IF($S33="","",IF(N($T33)&gt;0,AVERAGEIFS($U$5:$U$1000,$R$5:$R$1000,ROW(),$S$5:$S$1000,"Sub"),$U33))</f>
        <v/>
      </c>
      <c r="Z33" s="70">
        <f>IF($S33="","",IF(N($T33)&gt;0,AVERAGEIFS($V$5:$V$1000,$R$5:$R$1000,ROW(),$S$5:$S$1000,"Sub"),$V33))</f>
        <v/>
      </c>
      <c r="AA33" s="70">
        <f>IF($S33="","",IF(N($T33)&gt;0,AVERAGEIFS($W$5:$W$1000,$R$5:$R$1000,ROW(),$S$5:$S$1000,"Sub"),$W33))</f>
        <v/>
      </c>
      <c r="AB33" s="70">
        <f>IF($S33="","",IF(N($T33)&gt;0,AVERAGEIFS($X$5:$X$1000,$R$5:$R$1000,ROW(),$S$5:$S$1000,"Sub"),$X33))</f>
        <v/>
      </c>
    </row>
    <row r="34">
      <c r="A34" s="61">
        <f>IF(NOT((COUNTA($B34:$K34)+COUNTA($N34))&gt;0),"",IF($S34="Macro",COUNTIFS($S$5:$S34,"Macro",$P$5:$P34,$P34),IF(N($R34)=0,"?",COUNTIFS(INDEX($S$5:$S$1000,1):INDEX($S$5:$S$1000,$R34-4),"Macro",INDEX($P$5:$P$1000,1):INDEX($P$5:$P$1000,$R34-4),INDEX($P$5:$P$1000,$R34-4))&amp;"."&amp;COUNTIFS($R$5:$R34,$R34,$S$5:$S34,"Sub"))))</f>
        <v/>
      </c>
      <c r="B34" s="62" t="n"/>
      <c r="C34" s="63" t="n"/>
      <c r="D34" s="62" t="n"/>
      <c r="E34" s="64" t="n"/>
      <c r="F34" s="64" t="n"/>
      <c r="G34" s="65" t="n"/>
      <c r="H34" s="66" t="n"/>
      <c r="I34" s="66" t="n"/>
      <c r="J34" s="66" t="n"/>
      <c r="K34" s="66" t="n"/>
      <c r="L34" s="67">
        <f>IF(NOT((COUNTA($B34:$K34)+COUNTA($N34))&gt;0),"",IF(N($T34)&gt;0,$AB34,IFERROR(LOOKUP(2,1/(H34:K34&lt;&gt;""),H34:K34),0)))</f>
        <v/>
      </c>
      <c r="M34" s="61">
        <f>IF(L34="","",IF(L34&gt;=1,"Completado",IF(L34&gt;0,"En curso","Pendiente")))</f>
        <v/>
      </c>
      <c r="N34" s="62" t="n"/>
      <c r="O34" s="68">
        <f>IF(NOT((COUNTA($B34:$K34)+COUNTA($N34))&gt;0),"",IF((IF(AND($S34="Macro",$B34=""),"Macroactividad vacía"&amp;" · ","")&amp;IF(AND($B34&lt;&gt;"",$C34&lt;&gt;""),"Escriba la subactividad en otra fila, debajo de su macroactividad"&amp;" · ","")&amp;IF(AND($S34="Sub",N($R34)=0),"Subactividad sin macroactividad arriba"&amp;" · ","")&amp;IF($D34="","Sin responsable"&amp;" · ","")&amp;IF($E34="","Sin fecha de inicio"&amp;" · ","")&amp;IF($F34="","Sin fecha límite"&amp;" · ","")&amp;IF(OR(AND($E34&lt;&gt;"",NOT(ISNUMBER($E34))),AND($F34&lt;&gt;"",NOT(ISNUMBER($F34)))),"Fecha no válida"&amp;" · ","")&amp;IF(AND(ISNUMBER($E34),ISNUMBER($F34),$E34&gt;$F34),"Inicio posterior a fecha límite"&amp;" · ","")&amp;IF(AND($S34="Macro",$G34=""),"Peso vacío"&amp;" · ","")&amp;IF(AND($S34="Macro",$G34&lt;&gt;"",OR(NOT(ISNUMBER($G34)),$G34&lt;=0,$G34&gt;1)),"Peso fuera de rango"&amp;" · ","")&amp;IF(AND($S34="Sub",$G34&lt;&gt;""),"Las subactividades no llevan peso"&amp;" · ","")&amp;IF(AND($S34="Macro",ABS(SUMIFS($G$5:$G$1000,$P$5:$P$1000,$P34,$S$5:$S$1000,"Macro")-1)&gt;0.0001),"Pesos del mes suman "&amp;TEXT(SUMIFS($G$5:$G$1000,$P$5:$P$1000,$P34,$S$5:$S$1000,"Macro"),"0%")&amp;" · ","")&amp;IF(AND(N($T34)&gt;0,COUNT($H34:$K34)&gt;0),"Con subactividades: deje vacías las semanas (se calculan solas)"&amp;" · ","")&amp;IF((COUNTIF($H34:$K34,"&gt;1")+COUNTIF($H34:$K34,"&lt;0")+COUNTA($H34:$K34)-COUNT($H34:$K34))&gt;0,"Avance fuera de rango 0-100%"&amp;" · ","")&amp;IF(OR(AND($I34&lt;&gt;"",$I34&lt;$H34),AND($J34&lt;&gt;"",$J34&lt;MAX($H34:$I34)),AND($K34&lt;&gt;"",$K34&lt;MAX($H34:$J34))),"Avance semanal decreciente"&amp;" · ","")&amp;IF(AND(ISNUMBER($F34),$F34&lt;FechaRef,N($L34)&lt;1),"Vencida"&amp;" · ","")&amp;IF(AND(ObsObligatoria="Sí",ISNUMBER($F34),$F34&lt;FechaRef,N($L34)&lt;1,$N34=""),"Vencida sin observación"&amp;" · ",""))="","✔ OK","⚠ "&amp;LEFT(IF(AND($S34="Macro",$B34=""),"Macroactividad vacía"&amp;" · ","")&amp;IF(AND($B34&lt;&gt;"",$C34&lt;&gt;""),"Escriba la subactividad en otra fila, debajo de su macroactividad"&amp;" · ","")&amp;IF(AND($S34="Sub",N($R34)=0),"Subactividad sin macroactividad arriba"&amp;" · ","")&amp;IF($D34="","Sin responsable"&amp;" · ","")&amp;IF($E34="","Sin fecha de inicio"&amp;" · ","")&amp;IF($F34="","Sin fecha límite"&amp;" · ","")&amp;IF(OR(AND($E34&lt;&gt;"",NOT(ISNUMBER($E34))),AND($F34&lt;&gt;"",NOT(ISNUMBER($F34)))),"Fecha no válida"&amp;" · ","")&amp;IF(AND(ISNUMBER($E34),ISNUMBER($F34),$E34&gt;$F34),"Inicio posterior a fecha límite"&amp;" · ","")&amp;IF(AND($S34="Macro",$G34=""),"Peso vacío"&amp;" · ","")&amp;IF(AND($S34="Macro",$G34&lt;&gt;"",OR(NOT(ISNUMBER($G34)),$G34&lt;=0,$G34&gt;1)),"Peso fuera de rango"&amp;" · ","")&amp;IF(AND($S34="Sub",$G34&lt;&gt;""),"Las subactividades no llevan peso"&amp;" · ","")&amp;IF(AND($S34="Macro",ABS(SUMIFS($G$5:$G$1000,$P$5:$P$1000,$P34,$S$5:$S$1000,"Macro")-1)&gt;0.0001),"Pesos del mes suman "&amp;TEXT(SUMIFS($G$5:$G$1000,$P$5:$P$1000,$P34,$S$5:$S$1000,"Macro"),"0%")&amp;" · ","")&amp;IF(AND(N($T34)&gt;0,COUNT($H34:$K34)&gt;0),"Con subactividades: deje vacías las semanas (se calculan solas)"&amp;" · ","")&amp;IF((COUNTIF($H34:$K34,"&gt;1")+COUNTIF($H34:$K34,"&lt;0")+COUNTA($H34:$K34)-COUNT($H34:$K34))&gt;0,"Avance fuera de rango 0-100%"&amp;" · ","")&amp;IF(OR(AND($I34&lt;&gt;"",$I34&lt;$H34),AND($J34&lt;&gt;"",$J34&lt;MAX($H34:$I34)),AND($K34&lt;&gt;"",$K34&lt;MAX($H34:$J34))),"Avance semanal decreciente"&amp;" · ","")&amp;IF(AND(ISNUMBER($F34),$F34&lt;FechaRef,N($L34)&lt;1),"Vencida"&amp;" · ","")&amp;IF(AND(ObsObligatoria="Sí",ISNUMBER($F34),$F34&lt;FechaRef,N($L34)&lt;1,$N34=""),"Vencida sin observación"&amp;" · ",""),LEN(IF(AND($S34="Macro",$B34=""),"Macroactividad vacía"&amp;" · ","")&amp;IF(AND($B34&lt;&gt;"",$C34&lt;&gt;""),"Escriba la subactividad en otra fila, debajo de su macroactividad"&amp;" · ","")&amp;IF(AND($S34="Sub",N($R34)=0),"Subactividad sin macroactividad arriba"&amp;" · ","")&amp;IF($D34="","Sin responsable"&amp;" · ","")&amp;IF($E34="","Sin fecha de inicio"&amp;" · ","")&amp;IF($F34="","Sin fecha límite"&amp;" · ","")&amp;IF(OR(AND($E34&lt;&gt;"",NOT(ISNUMBER($E34))),AND($F34&lt;&gt;"",NOT(ISNUMBER($F34)))),"Fecha no válida"&amp;" · ","")&amp;IF(AND(ISNUMBER($E34),ISNUMBER($F34),$E34&gt;$F34),"Inicio posterior a fecha límite"&amp;" · ","")&amp;IF(AND($S34="Macro",$G34=""),"Peso vacío"&amp;" · ","")&amp;IF(AND($S34="Macro",$G34&lt;&gt;"",OR(NOT(ISNUMBER($G34)),$G34&lt;=0,$G34&gt;1)),"Peso fuera de rango"&amp;" · ","")&amp;IF(AND($S34="Sub",$G34&lt;&gt;""),"Las subactividades no llevan peso"&amp;" · ","")&amp;IF(AND($S34="Macro",ABS(SUMIFS($G$5:$G$1000,$P$5:$P$1000,$P34,$S$5:$S$1000,"Macro")-1)&gt;0.0001),"Pesos del mes suman "&amp;TEXT(SUMIFS($G$5:$G$1000,$P$5:$P$1000,$P34,$S$5:$S$1000,"Macro"),"0%")&amp;" · ","")&amp;IF(AND(N($T34)&gt;0,COUNT($H34:$K34)&gt;0),"Con subactividades: deje vacías las semanas (se calculan solas)"&amp;" · ","")&amp;IF((COUNTIF($H34:$K34,"&gt;1")+COUNTIF($H34:$K34,"&lt;0")+COUNTA($H34:$K34)-COUNT($H34:$K34))&gt;0,"Avance fuera de rango 0-100%"&amp;" · ","")&amp;IF(OR(AND($I34&lt;&gt;"",$I34&lt;$H34),AND($J34&lt;&gt;"",$J34&lt;MAX($H34:$I34)),AND($K34&lt;&gt;"",$K34&lt;MAX($H34:$J34))),"Avance semanal decreciente"&amp;" · ","")&amp;IF(AND(ISNUMBER($F34),$F34&lt;FechaRef,N($L34)&lt;1),"Vencida"&amp;" · ","")&amp;IF(AND(ObsObligatoria="Sí",ISNUMBER($F34),$F34&lt;FechaRef,N($L34)&lt;1,$N34=""),"Vencida sin observación"&amp;" · ",""))-3)))</f>
        <v/>
      </c>
      <c r="P34" s="69">
        <f>IF(NOT((COUNTA($B34:$K34)+COUNTA($N34))&gt;0),"",IF(AND($S34="Sub",N($R34)&gt;0),IF(ISNUMBER(INDEX($E$5:$E$1000,$R34-4)),DATE(YEAR(INDEX($E$5:$E$1000,$R34-4)),MONTH(INDEX($E$5:$E$1000,$R34-4)),1),IF(ISNUMBER(INDEX($F$5:$F$1000,$R34-4)),DATE(YEAR(INDEX($F$5:$F$1000,$R34-4)),MONTH(INDEX($F$5:$F$1000,$R34-4)),1),MesCiclo)),IF(ISNUMBER($E34),DATE(YEAR($E34),MONTH($E34),1),IF(ISNUMBER($F34),DATE(YEAR($F34),MONTH($F34),1),MesCiclo))))</f>
        <v/>
      </c>
      <c r="Q34" s="70">
        <f>IF(OR($P34="",$P34&lt;&gt;MesCiclo),"",COUNTIF($P$5:$P34,MesCiclo))</f>
        <v/>
      </c>
      <c r="R34" s="70">
        <f>IF($S34="","",IF($S34="Macro",ROW(),IFERROR(LOOKUP(2,1/($S$5:$S34="Macro"),ROW($S$5:$S34)),0)))</f>
        <v/>
      </c>
      <c r="S34" s="70">
        <f>IF(NOT((COUNTA($B34:$K34)+COUNTA($N34))&gt;0),"",IF($B34&lt;&gt;"","Macro",IF($C34&lt;&gt;"","Sub","Macro")))</f>
        <v/>
      </c>
      <c r="T34" s="70">
        <f>IF($S34="Macro",COUNTIFS($R$5:$R$1000,ROW(),$S$5:$S$1000,"Sub"),"")</f>
        <v/>
      </c>
      <c r="U34" s="70">
        <f>IF($S34="","",IF(ISNUMBER($H34),$H34,0))</f>
        <v/>
      </c>
      <c r="V34" s="70">
        <f>IF($S34="","",IF(ISNUMBER($I34),$I34,$U34))</f>
        <v/>
      </c>
      <c r="W34" s="70">
        <f>IF($S34="","",IF(ISNUMBER($J34),$J34,$V34))</f>
        <v/>
      </c>
      <c r="X34" s="70">
        <f>IF($S34="","",IF(ISNUMBER($K34),$K34,$W34))</f>
        <v/>
      </c>
      <c r="Y34" s="70">
        <f>IF($S34="","",IF(N($T34)&gt;0,AVERAGEIFS($U$5:$U$1000,$R$5:$R$1000,ROW(),$S$5:$S$1000,"Sub"),$U34))</f>
        <v/>
      </c>
      <c r="Z34" s="70">
        <f>IF($S34="","",IF(N($T34)&gt;0,AVERAGEIFS($V$5:$V$1000,$R$5:$R$1000,ROW(),$S$5:$S$1000,"Sub"),$V34))</f>
        <v/>
      </c>
      <c r="AA34" s="70">
        <f>IF($S34="","",IF(N($T34)&gt;0,AVERAGEIFS($W$5:$W$1000,$R$5:$R$1000,ROW(),$S$5:$S$1000,"Sub"),$W34))</f>
        <v/>
      </c>
      <c r="AB34" s="70">
        <f>IF($S34="","",IF(N($T34)&gt;0,AVERAGEIFS($X$5:$X$1000,$R$5:$R$1000,ROW(),$S$5:$S$1000,"Sub"),$X34))</f>
        <v/>
      </c>
    </row>
    <row r="35">
      <c r="A35" s="61">
        <f>IF(NOT((COUNTA($B35:$K35)+COUNTA($N35))&gt;0),"",IF($S35="Macro",COUNTIFS($S$5:$S35,"Macro",$P$5:$P35,$P35),IF(N($R35)=0,"?",COUNTIFS(INDEX($S$5:$S$1000,1):INDEX($S$5:$S$1000,$R35-4),"Macro",INDEX($P$5:$P$1000,1):INDEX($P$5:$P$1000,$R35-4),INDEX($P$5:$P$1000,$R35-4))&amp;"."&amp;COUNTIFS($R$5:$R35,$R35,$S$5:$S35,"Sub"))))</f>
        <v/>
      </c>
      <c r="B35" s="62" t="n"/>
      <c r="C35" s="63" t="n"/>
      <c r="D35" s="62" t="n"/>
      <c r="E35" s="64" t="n"/>
      <c r="F35" s="64" t="n"/>
      <c r="G35" s="65" t="n"/>
      <c r="H35" s="66" t="n"/>
      <c r="I35" s="66" t="n"/>
      <c r="J35" s="66" t="n"/>
      <c r="K35" s="66" t="n"/>
      <c r="L35" s="67">
        <f>IF(NOT((COUNTA($B35:$K35)+COUNTA($N35))&gt;0),"",IF(N($T35)&gt;0,$AB35,IFERROR(LOOKUP(2,1/(H35:K35&lt;&gt;""),H35:K35),0)))</f>
        <v/>
      </c>
      <c r="M35" s="61">
        <f>IF(L35="","",IF(L35&gt;=1,"Completado",IF(L35&gt;0,"En curso","Pendiente")))</f>
        <v/>
      </c>
      <c r="N35" s="62" t="n"/>
      <c r="O35" s="68">
        <f>IF(NOT((COUNTA($B35:$K35)+COUNTA($N35))&gt;0),"",IF((IF(AND($S35="Macro",$B35=""),"Macroactividad vacía"&amp;" · ","")&amp;IF(AND($B35&lt;&gt;"",$C35&lt;&gt;""),"Escriba la subactividad en otra fila, debajo de su macroactividad"&amp;" · ","")&amp;IF(AND($S35="Sub",N($R35)=0),"Subactividad sin macroactividad arriba"&amp;" · ","")&amp;IF($D35="","Sin responsable"&amp;" · ","")&amp;IF($E35="","Sin fecha de inicio"&amp;" · ","")&amp;IF($F35="","Sin fecha límite"&amp;" · ","")&amp;IF(OR(AND($E35&lt;&gt;"",NOT(ISNUMBER($E35))),AND($F35&lt;&gt;"",NOT(ISNUMBER($F35)))),"Fecha no válida"&amp;" · ","")&amp;IF(AND(ISNUMBER($E35),ISNUMBER($F35),$E35&gt;$F35),"Inicio posterior a fecha límite"&amp;" · ","")&amp;IF(AND($S35="Macro",$G35=""),"Peso vacío"&amp;" · ","")&amp;IF(AND($S35="Macro",$G35&lt;&gt;"",OR(NOT(ISNUMBER($G35)),$G35&lt;=0,$G35&gt;1)),"Peso fuera de rango"&amp;" · ","")&amp;IF(AND($S35="Sub",$G35&lt;&gt;""),"Las subactividades no llevan peso"&amp;" · ","")&amp;IF(AND($S35="Macro",ABS(SUMIFS($G$5:$G$1000,$P$5:$P$1000,$P35,$S$5:$S$1000,"Macro")-1)&gt;0.0001),"Pesos del mes suman "&amp;TEXT(SUMIFS($G$5:$G$1000,$P$5:$P$1000,$P35,$S$5:$S$1000,"Macro"),"0%")&amp;" · ","")&amp;IF(AND(N($T35)&gt;0,COUNT($H35:$K35)&gt;0),"Con subactividades: deje vacías las semanas (se calculan solas)"&amp;" · ","")&amp;IF((COUNTIF($H35:$K35,"&gt;1")+COUNTIF($H35:$K35,"&lt;0")+COUNTA($H35:$K35)-COUNT($H35:$K35))&gt;0,"Avance fuera de rango 0-100%"&amp;" · ","")&amp;IF(OR(AND($I35&lt;&gt;"",$I35&lt;$H35),AND($J35&lt;&gt;"",$J35&lt;MAX($H35:$I35)),AND($K35&lt;&gt;"",$K35&lt;MAX($H35:$J35))),"Avance semanal decreciente"&amp;" · ","")&amp;IF(AND(ISNUMBER($F35),$F35&lt;FechaRef,N($L35)&lt;1),"Vencida"&amp;" · ","")&amp;IF(AND(ObsObligatoria="Sí",ISNUMBER($F35),$F35&lt;FechaRef,N($L35)&lt;1,$N35=""),"Vencida sin observación"&amp;" · ",""))="","✔ OK","⚠ "&amp;LEFT(IF(AND($S35="Macro",$B35=""),"Macroactividad vacía"&amp;" · ","")&amp;IF(AND($B35&lt;&gt;"",$C35&lt;&gt;""),"Escriba la subactividad en otra fila, debajo de su macroactividad"&amp;" · ","")&amp;IF(AND($S35="Sub",N($R35)=0),"Subactividad sin macroactividad arriba"&amp;" · ","")&amp;IF($D35="","Sin responsable"&amp;" · ","")&amp;IF($E35="","Sin fecha de inicio"&amp;" · ","")&amp;IF($F35="","Sin fecha límite"&amp;" · ","")&amp;IF(OR(AND($E35&lt;&gt;"",NOT(ISNUMBER($E35))),AND($F35&lt;&gt;"",NOT(ISNUMBER($F35)))),"Fecha no válida"&amp;" · ","")&amp;IF(AND(ISNUMBER($E35),ISNUMBER($F35),$E35&gt;$F35),"Inicio posterior a fecha límite"&amp;" · ","")&amp;IF(AND($S35="Macro",$G35=""),"Peso vacío"&amp;" · ","")&amp;IF(AND($S35="Macro",$G35&lt;&gt;"",OR(NOT(ISNUMBER($G35)),$G35&lt;=0,$G35&gt;1)),"Peso fuera de rango"&amp;" · ","")&amp;IF(AND($S35="Sub",$G35&lt;&gt;""),"Las subactividades no llevan peso"&amp;" · ","")&amp;IF(AND($S35="Macro",ABS(SUMIFS($G$5:$G$1000,$P$5:$P$1000,$P35,$S$5:$S$1000,"Macro")-1)&gt;0.0001),"Pesos del mes suman "&amp;TEXT(SUMIFS($G$5:$G$1000,$P$5:$P$1000,$P35,$S$5:$S$1000,"Macro"),"0%")&amp;" · ","")&amp;IF(AND(N($T35)&gt;0,COUNT($H35:$K35)&gt;0),"Con subactividades: deje vacías las semanas (se calculan solas)"&amp;" · ","")&amp;IF((COUNTIF($H35:$K35,"&gt;1")+COUNTIF($H35:$K35,"&lt;0")+COUNTA($H35:$K35)-COUNT($H35:$K35))&gt;0,"Avance fuera de rango 0-100%"&amp;" · ","")&amp;IF(OR(AND($I35&lt;&gt;"",$I35&lt;$H35),AND($J35&lt;&gt;"",$J35&lt;MAX($H35:$I35)),AND($K35&lt;&gt;"",$K35&lt;MAX($H35:$J35))),"Avance semanal decreciente"&amp;" · ","")&amp;IF(AND(ISNUMBER($F35),$F35&lt;FechaRef,N($L35)&lt;1),"Vencida"&amp;" · ","")&amp;IF(AND(ObsObligatoria="Sí",ISNUMBER($F35),$F35&lt;FechaRef,N($L35)&lt;1,$N35=""),"Vencida sin observación"&amp;" · ",""),LEN(IF(AND($S35="Macro",$B35=""),"Macroactividad vacía"&amp;" · ","")&amp;IF(AND($B35&lt;&gt;"",$C35&lt;&gt;""),"Escriba la subactividad en otra fila, debajo de su macroactividad"&amp;" · ","")&amp;IF(AND($S35="Sub",N($R35)=0),"Subactividad sin macroactividad arriba"&amp;" · ","")&amp;IF($D35="","Sin responsable"&amp;" · ","")&amp;IF($E35="","Sin fecha de inicio"&amp;" · ","")&amp;IF($F35="","Sin fecha límite"&amp;" · ","")&amp;IF(OR(AND($E35&lt;&gt;"",NOT(ISNUMBER($E35))),AND($F35&lt;&gt;"",NOT(ISNUMBER($F35)))),"Fecha no válida"&amp;" · ","")&amp;IF(AND(ISNUMBER($E35),ISNUMBER($F35),$E35&gt;$F35),"Inicio posterior a fecha límite"&amp;" · ","")&amp;IF(AND($S35="Macro",$G35=""),"Peso vacío"&amp;" · ","")&amp;IF(AND($S35="Macro",$G35&lt;&gt;"",OR(NOT(ISNUMBER($G35)),$G35&lt;=0,$G35&gt;1)),"Peso fuera de rango"&amp;" · ","")&amp;IF(AND($S35="Sub",$G35&lt;&gt;""),"Las subactividades no llevan peso"&amp;" · ","")&amp;IF(AND($S35="Macro",ABS(SUMIFS($G$5:$G$1000,$P$5:$P$1000,$P35,$S$5:$S$1000,"Macro")-1)&gt;0.0001),"Pesos del mes suman "&amp;TEXT(SUMIFS($G$5:$G$1000,$P$5:$P$1000,$P35,$S$5:$S$1000,"Macro"),"0%")&amp;" · ","")&amp;IF(AND(N($T35)&gt;0,COUNT($H35:$K35)&gt;0),"Con subactividades: deje vacías las semanas (se calculan solas)"&amp;" · ","")&amp;IF((COUNTIF($H35:$K35,"&gt;1")+COUNTIF($H35:$K35,"&lt;0")+COUNTA($H35:$K35)-COUNT($H35:$K35))&gt;0,"Avance fuera de rango 0-100%"&amp;" · ","")&amp;IF(OR(AND($I35&lt;&gt;"",$I35&lt;$H35),AND($J35&lt;&gt;"",$J35&lt;MAX($H35:$I35)),AND($K35&lt;&gt;"",$K35&lt;MAX($H35:$J35))),"Avance semanal decreciente"&amp;" · ","")&amp;IF(AND(ISNUMBER($F35),$F35&lt;FechaRef,N($L35)&lt;1),"Vencida"&amp;" · ","")&amp;IF(AND(ObsObligatoria="Sí",ISNUMBER($F35),$F35&lt;FechaRef,N($L35)&lt;1,$N35=""),"Vencida sin observación"&amp;" · ",""))-3)))</f>
        <v/>
      </c>
      <c r="P35" s="69">
        <f>IF(NOT((COUNTA($B35:$K35)+COUNTA($N35))&gt;0),"",IF(AND($S35="Sub",N($R35)&gt;0),IF(ISNUMBER(INDEX($E$5:$E$1000,$R35-4)),DATE(YEAR(INDEX($E$5:$E$1000,$R35-4)),MONTH(INDEX($E$5:$E$1000,$R35-4)),1),IF(ISNUMBER(INDEX($F$5:$F$1000,$R35-4)),DATE(YEAR(INDEX($F$5:$F$1000,$R35-4)),MONTH(INDEX($F$5:$F$1000,$R35-4)),1),MesCiclo)),IF(ISNUMBER($E35),DATE(YEAR($E35),MONTH($E35),1),IF(ISNUMBER($F35),DATE(YEAR($F35),MONTH($F35),1),MesCiclo))))</f>
        <v/>
      </c>
      <c r="Q35" s="70">
        <f>IF(OR($P35="",$P35&lt;&gt;MesCiclo),"",COUNTIF($P$5:$P35,MesCiclo))</f>
        <v/>
      </c>
      <c r="R35" s="70">
        <f>IF($S35="","",IF($S35="Macro",ROW(),IFERROR(LOOKUP(2,1/($S$5:$S35="Macro"),ROW($S$5:$S35)),0)))</f>
        <v/>
      </c>
      <c r="S35" s="70">
        <f>IF(NOT((COUNTA($B35:$K35)+COUNTA($N35))&gt;0),"",IF($B35&lt;&gt;"","Macro",IF($C35&lt;&gt;"","Sub","Macro")))</f>
        <v/>
      </c>
      <c r="T35" s="70">
        <f>IF($S35="Macro",COUNTIFS($R$5:$R$1000,ROW(),$S$5:$S$1000,"Sub"),"")</f>
        <v/>
      </c>
      <c r="U35" s="70">
        <f>IF($S35="","",IF(ISNUMBER($H35),$H35,0))</f>
        <v/>
      </c>
      <c r="V35" s="70">
        <f>IF($S35="","",IF(ISNUMBER($I35),$I35,$U35))</f>
        <v/>
      </c>
      <c r="W35" s="70">
        <f>IF($S35="","",IF(ISNUMBER($J35),$J35,$V35))</f>
        <v/>
      </c>
      <c r="X35" s="70">
        <f>IF($S35="","",IF(ISNUMBER($K35),$K35,$W35))</f>
        <v/>
      </c>
      <c r="Y35" s="70">
        <f>IF($S35="","",IF(N($T35)&gt;0,AVERAGEIFS($U$5:$U$1000,$R$5:$R$1000,ROW(),$S$5:$S$1000,"Sub"),$U35))</f>
        <v/>
      </c>
      <c r="Z35" s="70">
        <f>IF($S35="","",IF(N($T35)&gt;0,AVERAGEIFS($V$5:$V$1000,$R$5:$R$1000,ROW(),$S$5:$S$1000,"Sub"),$V35))</f>
        <v/>
      </c>
      <c r="AA35" s="70">
        <f>IF($S35="","",IF(N($T35)&gt;0,AVERAGEIFS($W$5:$W$1000,$R$5:$R$1000,ROW(),$S$5:$S$1000,"Sub"),$W35))</f>
        <v/>
      </c>
      <c r="AB35" s="70">
        <f>IF($S35="","",IF(N($T35)&gt;0,AVERAGEIFS($X$5:$X$1000,$R$5:$R$1000,ROW(),$S$5:$S$1000,"Sub"),$X35))</f>
        <v/>
      </c>
    </row>
    <row r="36">
      <c r="A36" s="61">
        <f>IF(NOT((COUNTA($B36:$K36)+COUNTA($N36))&gt;0),"",IF($S36="Macro",COUNTIFS($S$5:$S36,"Macro",$P$5:$P36,$P36),IF(N($R36)=0,"?",COUNTIFS(INDEX($S$5:$S$1000,1):INDEX($S$5:$S$1000,$R36-4),"Macro",INDEX($P$5:$P$1000,1):INDEX($P$5:$P$1000,$R36-4),INDEX($P$5:$P$1000,$R36-4))&amp;"."&amp;COUNTIFS($R$5:$R36,$R36,$S$5:$S36,"Sub"))))</f>
        <v/>
      </c>
      <c r="B36" s="62" t="n"/>
      <c r="C36" s="63" t="n"/>
      <c r="D36" s="62" t="n"/>
      <c r="E36" s="64" t="n"/>
      <c r="F36" s="64" t="n"/>
      <c r="G36" s="65" t="n"/>
      <c r="H36" s="66" t="n"/>
      <c r="I36" s="66" t="n"/>
      <c r="J36" s="66" t="n"/>
      <c r="K36" s="66" t="n"/>
      <c r="L36" s="67">
        <f>IF(NOT((COUNTA($B36:$K36)+COUNTA($N36))&gt;0),"",IF(N($T36)&gt;0,$AB36,IFERROR(LOOKUP(2,1/(H36:K36&lt;&gt;""),H36:K36),0)))</f>
        <v/>
      </c>
      <c r="M36" s="61">
        <f>IF(L36="","",IF(L36&gt;=1,"Completado",IF(L36&gt;0,"En curso","Pendiente")))</f>
        <v/>
      </c>
      <c r="N36" s="62" t="n"/>
      <c r="O36" s="68">
        <f>IF(NOT((COUNTA($B36:$K36)+COUNTA($N36))&gt;0),"",IF((IF(AND($S36="Macro",$B36=""),"Macroactividad vacía"&amp;" · ","")&amp;IF(AND($B36&lt;&gt;"",$C36&lt;&gt;""),"Escriba la subactividad en otra fila, debajo de su macroactividad"&amp;" · ","")&amp;IF(AND($S36="Sub",N($R36)=0),"Subactividad sin macroactividad arriba"&amp;" · ","")&amp;IF($D36="","Sin responsable"&amp;" · ","")&amp;IF($E36="","Sin fecha de inicio"&amp;" · ","")&amp;IF($F36="","Sin fecha límite"&amp;" · ","")&amp;IF(OR(AND($E36&lt;&gt;"",NOT(ISNUMBER($E36))),AND($F36&lt;&gt;"",NOT(ISNUMBER($F36)))),"Fecha no válida"&amp;" · ","")&amp;IF(AND(ISNUMBER($E36),ISNUMBER($F36),$E36&gt;$F36),"Inicio posterior a fecha límite"&amp;" · ","")&amp;IF(AND($S36="Macro",$G36=""),"Peso vacío"&amp;" · ","")&amp;IF(AND($S36="Macro",$G36&lt;&gt;"",OR(NOT(ISNUMBER($G36)),$G36&lt;=0,$G36&gt;1)),"Peso fuera de rango"&amp;" · ","")&amp;IF(AND($S36="Sub",$G36&lt;&gt;""),"Las subactividades no llevan peso"&amp;" · ","")&amp;IF(AND($S36="Macro",ABS(SUMIFS($G$5:$G$1000,$P$5:$P$1000,$P36,$S$5:$S$1000,"Macro")-1)&gt;0.0001),"Pesos del mes suman "&amp;TEXT(SUMIFS($G$5:$G$1000,$P$5:$P$1000,$P36,$S$5:$S$1000,"Macro"),"0%")&amp;" · ","")&amp;IF(AND(N($T36)&gt;0,COUNT($H36:$K36)&gt;0),"Con subactividades: deje vacías las semanas (se calculan solas)"&amp;" · ","")&amp;IF((COUNTIF($H36:$K36,"&gt;1")+COUNTIF($H36:$K36,"&lt;0")+COUNTA($H36:$K36)-COUNT($H36:$K36))&gt;0,"Avance fuera de rango 0-100%"&amp;" · ","")&amp;IF(OR(AND($I36&lt;&gt;"",$I36&lt;$H36),AND($J36&lt;&gt;"",$J36&lt;MAX($H36:$I36)),AND($K36&lt;&gt;"",$K36&lt;MAX($H36:$J36))),"Avance semanal decreciente"&amp;" · ","")&amp;IF(AND(ISNUMBER($F36),$F36&lt;FechaRef,N($L36)&lt;1),"Vencida"&amp;" · ","")&amp;IF(AND(ObsObligatoria="Sí",ISNUMBER($F36),$F36&lt;FechaRef,N($L36)&lt;1,$N36=""),"Vencida sin observación"&amp;" · ",""))="","✔ OK","⚠ "&amp;LEFT(IF(AND($S36="Macro",$B36=""),"Macroactividad vacía"&amp;" · ","")&amp;IF(AND($B36&lt;&gt;"",$C36&lt;&gt;""),"Escriba la subactividad en otra fila, debajo de su macroactividad"&amp;" · ","")&amp;IF(AND($S36="Sub",N($R36)=0),"Subactividad sin macroactividad arriba"&amp;" · ","")&amp;IF($D36="","Sin responsable"&amp;" · ","")&amp;IF($E36="","Sin fecha de inicio"&amp;" · ","")&amp;IF($F36="","Sin fecha límite"&amp;" · ","")&amp;IF(OR(AND($E36&lt;&gt;"",NOT(ISNUMBER($E36))),AND($F36&lt;&gt;"",NOT(ISNUMBER($F36)))),"Fecha no válida"&amp;" · ","")&amp;IF(AND(ISNUMBER($E36),ISNUMBER($F36),$E36&gt;$F36),"Inicio posterior a fecha límite"&amp;" · ","")&amp;IF(AND($S36="Macro",$G36=""),"Peso vacío"&amp;" · ","")&amp;IF(AND($S36="Macro",$G36&lt;&gt;"",OR(NOT(ISNUMBER($G36)),$G36&lt;=0,$G36&gt;1)),"Peso fuera de rango"&amp;" · ","")&amp;IF(AND($S36="Sub",$G36&lt;&gt;""),"Las subactividades no llevan peso"&amp;" · ","")&amp;IF(AND($S36="Macro",ABS(SUMIFS($G$5:$G$1000,$P$5:$P$1000,$P36,$S$5:$S$1000,"Macro")-1)&gt;0.0001),"Pesos del mes suman "&amp;TEXT(SUMIFS($G$5:$G$1000,$P$5:$P$1000,$P36,$S$5:$S$1000,"Macro"),"0%")&amp;" · ","")&amp;IF(AND(N($T36)&gt;0,COUNT($H36:$K36)&gt;0),"Con subactividades: deje vacías las semanas (se calculan solas)"&amp;" · ","")&amp;IF((COUNTIF($H36:$K36,"&gt;1")+COUNTIF($H36:$K36,"&lt;0")+COUNTA($H36:$K36)-COUNT($H36:$K36))&gt;0,"Avance fuera de rango 0-100%"&amp;" · ","")&amp;IF(OR(AND($I36&lt;&gt;"",$I36&lt;$H36),AND($J36&lt;&gt;"",$J36&lt;MAX($H36:$I36)),AND($K36&lt;&gt;"",$K36&lt;MAX($H36:$J36))),"Avance semanal decreciente"&amp;" · ","")&amp;IF(AND(ISNUMBER($F36),$F36&lt;FechaRef,N($L36)&lt;1),"Vencida"&amp;" · ","")&amp;IF(AND(ObsObligatoria="Sí",ISNUMBER($F36),$F36&lt;FechaRef,N($L36)&lt;1,$N36=""),"Vencida sin observación"&amp;" · ",""),LEN(IF(AND($S36="Macro",$B36=""),"Macroactividad vacía"&amp;" · ","")&amp;IF(AND($B36&lt;&gt;"",$C36&lt;&gt;""),"Escriba la subactividad en otra fila, debajo de su macroactividad"&amp;" · ","")&amp;IF(AND($S36="Sub",N($R36)=0),"Subactividad sin macroactividad arriba"&amp;" · ","")&amp;IF($D36="","Sin responsable"&amp;" · ","")&amp;IF($E36="","Sin fecha de inicio"&amp;" · ","")&amp;IF($F36="","Sin fecha límite"&amp;" · ","")&amp;IF(OR(AND($E36&lt;&gt;"",NOT(ISNUMBER($E36))),AND($F36&lt;&gt;"",NOT(ISNUMBER($F36)))),"Fecha no válida"&amp;" · ","")&amp;IF(AND(ISNUMBER($E36),ISNUMBER($F36),$E36&gt;$F36),"Inicio posterior a fecha límite"&amp;" · ","")&amp;IF(AND($S36="Macro",$G36=""),"Peso vacío"&amp;" · ","")&amp;IF(AND($S36="Macro",$G36&lt;&gt;"",OR(NOT(ISNUMBER($G36)),$G36&lt;=0,$G36&gt;1)),"Peso fuera de rango"&amp;" · ","")&amp;IF(AND($S36="Sub",$G36&lt;&gt;""),"Las subactividades no llevan peso"&amp;" · ","")&amp;IF(AND($S36="Macro",ABS(SUMIFS($G$5:$G$1000,$P$5:$P$1000,$P36,$S$5:$S$1000,"Macro")-1)&gt;0.0001),"Pesos del mes suman "&amp;TEXT(SUMIFS($G$5:$G$1000,$P$5:$P$1000,$P36,$S$5:$S$1000,"Macro"),"0%")&amp;" · ","")&amp;IF(AND(N($T36)&gt;0,COUNT($H36:$K36)&gt;0),"Con subactividades: deje vacías las semanas (se calculan solas)"&amp;" · ","")&amp;IF((COUNTIF($H36:$K36,"&gt;1")+COUNTIF($H36:$K36,"&lt;0")+COUNTA($H36:$K36)-COUNT($H36:$K36))&gt;0,"Avance fuera de rango 0-100%"&amp;" · ","")&amp;IF(OR(AND($I36&lt;&gt;"",$I36&lt;$H36),AND($J36&lt;&gt;"",$J36&lt;MAX($H36:$I36)),AND($K36&lt;&gt;"",$K36&lt;MAX($H36:$J36))),"Avance semanal decreciente"&amp;" · ","")&amp;IF(AND(ISNUMBER($F36),$F36&lt;FechaRef,N($L36)&lt;1),"Vencida"&amp;" · ","")&amp;IF(AND(ObsObligatoria="Sí",ISNUMBER($F36),$F36&lt;FechaRef,N($L36)&lt;1,$N36=""),"Vencida sin observación"&amp;" · ",""))-3)))</f>
        <v/>
      </c>
      <c r="P36" s="69">
        <f>IF(NOT((COUNTA($B36:$K36)+COUNTA($N36))&gt;0),"",IF(AND($S36="Sub",N($R36)&gt;0),IF(ISNUMBER(INDEX($E$5:$E$1000,$R36-4)),DATE(YEAR(INDEX($E$5:$E$1000,$R36-4)),MONTH(INDEX($E$5:$E$1000,$R36-4)),1),IF(ISNUMBER(INDEX($F$5:$F$1000,$R36-4)),DATE(YEAR(INDEX($F$5:$F$1000,$R36-4)),MONTH(INDEX($F$5:$F$1000,$R36-4)),1),MesCiclo)),IF(ISNUMBER($E36),DATE(YEAR($E36),MONTH($E36),1),IF(ISNUMBER($F36),DATE(YEAR($F36),MONTH($F36),1),MesCiclo))))</f>
        <v/>
      </c>
      <c r="Q36" s="70">
        <f>IF(OR($P36="",$P36&lt;&gt;MesCiclo),"",COUNTIF($P$5:$P36,MesCiclo))</f>
        <v/>
      </c>
      <c r="R36" s="70">
        <f>IF($S36="","",IF($S36="Macro",ROW(),IFERROR(LOOKUP(2,1/($S$5:$S36="Macro"),ROW($S$5:$S36)),0)))</f>
        <v/>
      </c>
      <c r="S36" s="70">
        <f>IF(NOT((COUNTA($B36:$K36)+COUNTA($N36))&gt;0),"",IF($B36&lt;&gt;"","Macro",IF($C36&lt;&gt;"","Sub","Macro")))</f>
        <v/>
      </c>
      <c r="T36" s="70">
        <f>IF($S36="Macro",COUNTIFS($R$5:$R$1000,ROW(),$S$5:$S$1000,"Sub"),"")</f>
        <v/>
      </c>
      <c r="U36" s="70">
        <f>IF($S36="","",IF(ISNUMBER($H36),$H36,0))</f>
        <v/>
      </c>
      <c r="V36" s="70">
        <f>IF($S36="","",IF(ISNUMBER($I36),$I36,$U36))</f>
        <v/>
      </c>
      <c r="W36" s="70">
        <f>IF($S36="","",IF(ISNUMBER($J36),$J36,$V36))</f>
        <v/>
      </c>
      <c r="X36" s="70">
        <f>IF($S36="","",IF(ISNUMBER($K36),$K36,$W36))</f>
        <v/>
      </c>
      <c r="Y36" s="70">
        <f>IF($S36="","",IF(N($T36)&gt;0,AVERAGEIFS($U$5:$U$1000,$R$5:$R$1000,ROW(),$S$5:$S$1000,"Sub"),$U36))</f>
        <v/>
      </c>
      <c r="Z36" s="70">
        <f>IF($S36="","",IF(N($T36)&gt;0,AVERAGEIFS($V$5:$V$1000,$R$5:$R$1000,ROW(),$S$5:$S$1000,"Sub"),$V36))</f>
        <v/>
      </c>
      <c r="AA36" s="70">
        <f>IF($S36="","",IF(N($T36)&gt;0,AVERAGEIFS($W$5:$W$1000,$R$5:$R$1000,ROW(),$S$5:$S$1000,"Sub"),$W36))</f>
        <v/>
      </c>
      <c r="AB36" s="70">
        <f>IF($S36="","",IF(N($T36)&gt;0,AVERAGEIFS($X$5:$X$1000,$R$5:$R$1000,ROW(),$S$5:$S$1000,"Sub"),$X36))</f>
        <v/>
      </c>
    </row>
    <row r="37">
      <c r="A37" s="61">
        <f>IF(NOT((COUNTA($B37:$K37)+COUNTA($N37))&gt;0),"",IF($S37="Macro",COUNTIFS($S$5:$S37,"Macro",$P$5:$P37,$P37),IF(N($R37)=0,"?",COUNTIFS(INDEX($S$5:$S$1000,1):INDEX($S$5:$S$1000,$R37-4),"Macro",INDEX($P$5:$P$1000,1):INDEX($P$5:$P$1000,$R37-4),INDEX($P$5:$P$1000,$R37-4))&amp;"."&amp;COUNTIFS($R$5:$R37,$R37,$S$5:$S37,"Sub"))))</f>
        <v/>
      </c>
      <c r="B37" s="62" t="n"/>
      <c r="C37" s="63" t="n"/>
      <c r="D37" s="62" t="n"/>
      <c r="E37" s="64" t="n"/>
      <c r="F37" s="64" t="n"/>
      <c r="G37" s="65" t="n"/>
      <c r="H37" s="66" t="n"/>
      <c r="I37" s="66" t="n"/>
      <c r="J37" s="66" t="n"/>
      <c r="K37" s="66" t="n"/>
      <c r="L37" s="67">
        <f>IF(NOT((COUNTA($B37:$K37)+COUNTA($N37))&gt;0),"",IF(N($T37)&gt;0,$AB37,IFERROR(LOOKUP(2,1/(H37:K37&lt;&gt;""),H37:K37),0)))</f>
        <v/>
      </c>
      <c r="M37" s="61">
        <f>IF(L37="","",IF(L37&gt;=1,"Completado",IF(L37&gt;0,"En curso","Pendiente")))</f>
        <v/>
      </c>
      <c r="N37" s="62" t="n"/>
      <c r="O37" s="68">
        <f>IF(NOT((COUNTA($B37:$K37)+COUNTA($N37))&gt;0),"",IF((IF(AND($S37="Macro",$B37=""),"Macroactividad vacía"&amp;" · ","")&amp;IF(AND($B37&lt;&gt;"",$C37&lt;&gt;""),"Escriba la subactividad en otra fila, debajo de su macroactividad"&amp;" · ","")&amp;IF(AND($S37="Sub",N($R37)=0),"Subactividad sin macroactividad arriba"&amp;" · ","")&amp;IF($D37="","Sin responsable"&amp;" · ","")&amp;IF($E37="","Sin fecha de inicio"&amp;" · ","")&amp;IF($F37="","Sin fecha límite"&amp;" · ","")&amp;IF(OR(AND($E37&lt;&gt;"",NOT(ISNUMBER($E37))),AND($F37&lt;&gt;"",NOT(ISNUMBER($F37)))),"Fecha no válida"&amp;" · ","")&amp;IF(AND(ISNUMBER($E37),ISNUMBER($F37),$E37&gt;$F37),"Inicio posterior a fecha límite"&amp;" · ","")&amp;IF(AND($S37="Macro",$G37=""),"Peso vacío"&amp;" · ","")&amp;IF(AND($S37="Macro",$G37&lt;&gt;"",OR(NOT(ISNUMBER($G37)),$G37&lt;=0,$G37&gt;1)),"Peso fuera de rango"&amp;" · ","")&amp;IF(AND($S37="Sub",$G37&lt;&gt;""),"Las subactividades no llevan peso"&amp;" · ","")&amp;IF(AND($S37="Macro",ABS(SUMIFS($G$5:$G$1000,$P$5:$P$1000,$P37,$S$5:$S$1000,"Macro")-1)&gt;0.0001),"Pesos del mes suman "&amp;TEXT(SUMIFS($G$5:$G$1000,$P$5:$P$1000,$P37,$S$5:$S$1000,"Macro"),"0%")&amp;" · ","")&amp;IF(AND(N($T37)&gt;0,COUNT($H37:$K37)&gt;0),"Con subactividades: deje vacías las semanas (se calculan solas)"&amp;" · ","")&amp;IF((COUNTIF($H37:$K37,"&gt;1")+COUNTIF($H37:$K37,"&lt;0")+COUNTA($H37:$K37)-COUNT($H37:$K37))&gt;0,"Avance fuera de rango 0-100%"&amp;" · ","")&amp;IF(OR(AND($I37&lt;&gt;"",$I37&lt;$H37),AND($J37&lt;&gt;"",$J37&lt;MAX($H37:$I37)),AND($K37&lt;&gt;"",$K37&lt;MAX($H37:$J37))),"Avance semanal decreciente"&amp;" · ","")&amp;IF(AND(ISNUMBER($F37),$F37&lt;FechaRef,N($L37)&lt;1),"Vencida"&amp;" · ","")&amp;IF(AND(ObsObligatoria="Sí",ISNUMBER($F37),$F37&lt;FechaRef,N($L37)&lt;1,$N37=""),"Vencida sin observación"&amp;" · ",""))="","✔ OK","⚠ "&amp;LEFT(IF(AND($S37="Macro",$B37=""),"Macroactividad vacía"&amp;" · ","")&amp;IF(AND($B37&lt;&gt;"",$C37&lt;&gt;""),"Escriba la subactividad en otra fila, debajo de su macroactividad"&amp;" · ","")&amp;IF(AND($S37="Sub",N($R37)=0),"Subactividad sin macroactividad arriba"&amp;" · ","")&amp;IF($D37="","Sin responsable"&amp;" · ","")&amp;IF($E37="","Sin fecha de inicio"&amp;" · ","")&amp;IF($F37="","Sin fecha límite"&amp;" · ","")&amp;IF(OR(AND($E37&lt;&gt;"",NOT(ISNUMBER($E37))),AND($F37&lt;&gt;"",NOT(ISNUMBER($F37)))),"Fecha no válida"&amp;" · ","")&amp;IF(AND(ISNUMBER($E37),ISNUMBER($F37),$E37&gt;$F37),"Inicio posterior a fecha límite"&amp;" · ","")&amp;IF(AND($S37="Macro",$G37=""),"Peso vacío"&amp;" · ","")&amp;IF(AND($S37="Macro",$G37&lt;&gt;"",OR(NOT(ISNUMBER($G37)),$G37&lt;=0,$G37&gt;1)),"Peso fuera de rango"&amp;" · ","")&amp;IF(AND($S37="Sub",$G37&lt;&gt;""),"Las subactividades no llevan peso"&amp;" · ","")&amp;IF(AND($S37="Macro",ABS(SUMIFS($G$5:$G$1000,$P$5:$P$1000,$P37,$S$5:$S$1000,"Macro")-1)&gt;0.0001),"Pesos del mes suman "&amp;TEXT(SUMIFS($G$5:$G$1000,$P$5:$P$1000,$P37,$S$5:$S$1000,"Macro"),"0%")&amp;" · ","")&amp;IF(AND(N($T37)&gt;0,COUNT($H37:$K37)&gt;0),"Con subactividades: deje vacías las semanas (se calculan solas)"&amp;" · ","")&amp;IF((COUNTIF($H37:$K37,"&gt;1")+COUNTIF($H37:$K37,"&lt;0")+COUNTA($H37:$K37)-COUNT($H37:$K37))&gt;0,"Avance fuera de rango 0-100%"&amp;" · ","")&amp;IF(OR(AND($I37&lt;&gt;"",$I37&lt;$H37),AND($J37&lt;&gt;"",$J37&lt;MAX($H37:$I37)),AND($K37&lt;&gt;"",$K37&lt;MAX($H37:$J37))),"Avance semanal decreciente"&amp;" · ","")&amp;IF(AND(ISNUMBER($F37),$F37&lt;FechaRef,N($L37)&lt;1),"Vencida"&amp;" · ","")&amp;IF(AND(ObsObligatoria="Sí",ISNUMBER($F37),$F37&lt;FechaRef,N($L37)&lt;1,$N37=""),"Vencida sin observación"&amp;" · ",""),LEN(IF(AND($S37="Macro",$B37=""),"Macroactividad vacía"&amp;" · ","")&amp;IF(AND($B37&lt;&gt;"",$C37&lt;&gt;""),"Escriba la subactividad en otra fila, debajo de su macroactividad"&amp;" · ","")&amp;IF(AND($S37="Sub",N($R37)=0),"Subactividad sin macroactividad arriba"&amp;" · ","")&amp;IF($D37="","Sin responsable"&amp;" · ","")&amp;IF($E37="","Sin fecha de inicio"&amp;" · ","")&amp;IF($F37="","Sin fecha límite"&amp;" · ","")&amp;IF(OR(AND($E37&lt;&gt;"",NOT(ISNUMBER($E37))),AND($F37&lt;&gt;"",NOT(ISNUMBER($F37)))),"Fecha no válida"&amp;" · ","")&amp;IF(AND(ISNUMBER($E37),ISNUMBER($F37),$E37&gt;$F37),"Inicio posterior a fecha límite"&amp;" · ","")&amp;IF(AND($S37="Macro",$G37=""),"Peso vacío"&amp;" · ","")&amp;IF(AND($S37="Macro",$G37&lt;&gt;"",OR(NOT(ISNUMBER($G37)),$G37&lt;=0,$G37&gt;1)),"Peso fuera de rango"&amp;" · ","")&amp;IF(AND($S37="Sub",$G37&lt;&gt;""),"Las subactividades no llevan peso"&amp;" · ","")&amp;IF(AND($S37="Macro",ABS(SUMIFS($G$5:$G$1000,$P$5:$P$1000,$P37,$S$5:$S$1000,"Macro")-1)&gt;0.0001),"Pesos del mes suman "&amp;TEXT(SUMIFS($G$5:$G$1000,$P$5:$P$1000,$P37,$S$5:$S$1000,"Macro"),"0%")&amp;" · ","")&amp;IF(AND(N($T37)&gt;0,COUNT($H37:$K37)&gt;0),"Con subactividades: deje vacías las semanas (se calculan solas)"&amp;" · ","")&amp;IF((COUNTIF($H37:$K37,"&gt;1")+COUNTIF($H37:$K37,"&lt;0")+COUNTA($H37:$K37)-COUNT($H37:$K37))&gt;0,"Avance fuera de rango 0-100%"&amp;" · ","")&amp;IF(OR(AND($I37&lt;&gt;"",$I37&lt;$H37),AND($J37&lt;&gt;"",$J37&lt;MAX($H37:$I37)),AND($K37&lt;&gt;"",$K37&lt;MAX($H37:$J37))),"Avance semanal decreciente"&amp;" · ","")&amp;IF(AND(ISNUMBER($F37),$F37&lt;FechaRef,N($L37)&lt;1),"Vencida"&amp;" · ","")&amp;IF(AND(ObsObligatoria="Sí",ISNUMBER($F37),$F37&lt;FechaRef,N($L37)&lt;1,$N37=""),"Vencida sin observación"&amp;" · ",""))-3)))</f>
        <v/>
      </c>
      <c r="P37" s="69">
        <f>IF(NOT((COUNTA($B37:$K37)+COUNTA($N37))&gt;0),"",IF(AND($S37="Sub",N($R37)&gt;0),IF(ISNUMBER(INDEX($E$5:$E$1000,$R37-4)),DATE(YEAR(INDEX($E$5:$E$1000,$R37-4)),MONTH(INDEX($E$5:$E$1000,$R37-4)),1),IF(ISNUMBER(INDEX($F$5:$F$1000,$R37-4)),DATE(YEAR(INDEX($F$5:$F$1000,$R37-4)),MONTH(INDEX($F$5:$F$1000,$R37-4)),1),MesCiclo)),IF(ISNUMBER($E37),DATE(YEAR($E37),MONTH($E37),1),IF(ISNUMBER($F37),DATE(YEAR($F37),MONTH($F37),1),MesCiclo))))</f>
        <v/>
      </c>
      <c r="Q37" s="70">
        <f>IF(OR($P37="",$P37&lt;&gt;MesCiclo),"",COUNTIF($P$5:$P37,MesCiclo))</f>
        <v/>
      </c>
      <c r="R37" s="70">
        <f>IF($S37="","",IF($S37="Macro",ROW(),IFERROR(LOOKUP(2,1/($S$5:$S37="Macro"),ROW($S$5:$S37)),0)))</f>
        <v/>
      </c>
      <c r="S37" s="70">
        <f>IF(NOT((COUNTA($B37:$K37)+COUNTA($N37))&gt;0),"",IF($B37&lt;&gt;"","Macro",IF($C37&lt;&gt;"","Sub","Macro")))</f>
        <v/>
      </c>
      <c r="T37" s="70">
        <f>IF($S37="Macro",COUNTIFS($R$5:$R$1000,ROW(),$S$5:$S$1000,"Sub"),"")</f>
        <v/>
      </c>
      <c r="U37" s="70">
        <f>IF($S37="","",IF(ISNUMBER($H37),$H37,0))</f>
        <v/>
      </c>
      <c r="V37" s="70">
        <f>IF($S37="","",IF(ISNUMBER($I37),$I37,$U37))</f>
        <v/>
      </c>
      <c r="W37" s="70">
        <f>IF($S37="","",IF(ISNUMBER($J37),$J37,$V37))</f>
        <v/>
      </c>
      <c r="X37" s="70">
        <f>IF($S37="","",IF(ISNUMBER($K37),$K37,$W37))</f>
        <v/>
      </c>
      <c r="Y37" s="70">
        <f>IF($S37="","",IF(N($T37)&gt;0,AVERAGEIFS($U$5:$U$1000,$R$5:$R$1000,ROW(),$S$5:$S$1000,"Sub"),$U37))</f>
        <v/>
      </c>
      <c r="Z37" s="70">
        <f>IF($S37="","",IF(N($T37)&gt;0,AVERAGEIFS($V$5:$V$1000,$R$5:$R$1000,ROW(),$S$5:$S$1000,"Sub"),$V37))</f>
        <v/>
      </c>
      <c r="AA37" s="70">
        <f>IF($S37="","",IF(N($T37)&gt;0,AVERAGEIFS($W$5:$W$1000,$R$5:$R$1000,ROW(),$S$5:$S$1000,"Sub"),$W37))</f>
        <v/>
      </c>
      <c r="AB37" s="70">
        <f>IF($S37="","",IF(N($T37)&gt;0,AVERAGEIFS($X$5:$X$1000,$R$5:$R$1000,ROW(),$S$5:$S$1000,"Sub"),$X37))</f>
        <v/>
      </c>
    </row>
    <row r="38">
      <c r="A38" s="61">
        <f>IF(NOT((COUNTA($B38:$K38)+COUNTA($N38))&gt;0),"",IF($S38="Macro",COUNTIFS($S$5:$S38,"Macro",$P$5:$P38,$P38),IF(N($R38)=0,"?",COUNTIFS(INDEX($S$5:$S$1000,1):INDEX($S$5:$S$1000,$R38-4),"Macro",INDEX($P$5:$P$1000,1):INDEX($P$5:$P$1000,$R38-4),INDEX($P$5:$P$1000,$R38-4))&amp;"."&amp;COUNTIFS($R$5:$R38,$R38,$S$5:$S38,"Sub"))))</f>
        <v/>
      </c>
      <c r="B38" s="62" t="n"/>
      <c r="C38" s="63" t="n"/>
      <c r="D38" s="62" t="n"/>
      <c r="E38" s="64" t="n"/>
      <c r="F38" s="64" t="n"/>
      <c r="G38" s="65" t="n"/>
      <c r="H38" s="66" t="n"/>
      <c r="I38" s="66" t="n"/>
      <c r="J38" s="66" t="n"/>
      <c r="K38" s="66" t="n"/>
      <c r="L38" s="67">
        <f>IF(NOT((COUNTA($B38:$K38)+COUNTA($N38))&gt;0),"",IF(N($T38)&gt;0,$AB38,IFERROR(LOOKUP(2,1/(H38:K38&lt;&gt;""),H38:K38),0)))</f>
        <v/>
      </c>
      <c r="M38" s="61">
        <f>IF(L38="","",IF(L38&gt;=1,"Completado",IF(L38&gt;0,"En curso","Pendiente")))</f>
        <v/>
      </c>
      <c r="N38" s="62" t="n"/>
      <c r="O38" s="68">
        <f>IF(NOT((COUNTA($B38:$K38)+COUNTA($N38))&gt;0),"",IF((IF(AND($S38="Macro",$B38=""),"Macroactividad vacía"&amp;" · ","")&amp;IF(AND($B38&lt;&gt;"",$C38&lt;&gt;""),"Escriba la subactividad en otra fila, debajo de su macroactividad"&amp;" · ","")&amp;IF(AND($S38="Sub",N($R38)=0),"Subactividad sin macroactividad arriba"&amp;" · ","")&amp;IF($D38="","Sin responsable"&amp;" · ","")&amp;IF($E38="","Sin fecha de inicio"&amp;" · ","")&amp;IF($F38="","Sin fecha límite"&amp;" · ","")&amp;IF(OR(AND($E38&lt;&gt;"",NOT(ISNUMBER($E38))),AND($F38&lt;&gt;"",NOT(ISNUMBER($F38)))),"Fecha no válida"&amp;" · ","")&amp;IF(AND(ISNUMBER($E38),ISNUMBER($F38),$E38&gt;$F38),"Inicio posterior a fecha límite"&amp;" · ","")&amp;IF(AND($S38="Macro",$G38=""),"Peso vacío"&amp;" · ","")&amp;IF(AND($S38="Macro",$G38&lt;&gt;"",OR(NOT(ISNUMBER($G38)),$G38&lt;=0,$G38&gt;1)),"Peso fuera de rango"&amp;" · ","")&amp;IF(AND($S38="Sub",$G38&lt;&gt;""),"Las subactividades no llevan peso"&amp;" · ","")&amp;IF(AND($S38="Macro",ABS(SUMIFS($G$5:$G$1000,$P$5:$P$1000,$P38,$S$5:$S$1000,"Macro")-1)&gt;0.0001),"Pesos del mes suman "&amp;TEXT(SUMIFS($G$5:$G$1000,$P$5:$P$1000,$P38,$S$5:$S$1000,"Macro"),"0%")&amp;" · ","")&amp;IF(AND(N($T38)&gt;0,COUNT($H38:$K38)&gt;0),"Con subactividades: deje vacías las semanas (se calculan solas)"&amp;" · ","")&amp;IF((COUNTIF($H38:$K38,"&gt;1")+COUNTIF($H38:$K38,"&lt;0")+COUNTA($H38:$K38)-COUNT($H38:$K38))&gt;0,"Avance fuera de rango 0-100%"&amp;" · ","")&amp;IF(OR(AND($I38&lt;&gt;"",$I38&lt;$H38),AND($J38&lt;&gt;"",$J38&lt;MAX($H38:$I38)),AND($K38&lt;&gt;"",$K38&lt;MAX($H38:$J38))),"Avance semanal decreciente"&amp;" · ","")&amp;IF(AND(ISNUMBER($F38),$F38&lt;FechaRef,N($L38)&lt;1),"Vencida"&amp;" · ","")&amp;IF(AND(ObsObligatoria="Sí",ISNUMBER($F38),$F38&lt;FechaRef,N($L38)&lt;1,$N38=""),"Vencida sin observación"&amp;" · ",""))="","✔ OK","⚠ "&amp;LEFT(IF(AND($S38="Macro",$B38=""),"Macroactividad vacía"&amp;" · ","")&amp;IF(AND($B38&lt;&gt;"",$C38&lt;&gt;""),"Escriba la subactividad en otra fila, debajo de su macroactividad"&amp;" · ","")&amp;IF(AND($S38="Sub",N($R38)=0),"Subactividad sin macroactividad arriba"&amp;" · ","")&amp;IF($D38="","Sin responsable"&amp;" · ","")&amp;IF($E38="","Sin fecha de inicio"&amp;" · ","")&amp;IF($F38="","Sin fecha límite"&amp;" · ","")&amp;IF(OR(AND($E38&lt;&gt;"",NOT(ISNUMBER($E38))),AND($F38&lt;&gt;"",NOT(ISNUMBER($F38)))),"Fecha no válida"&amp;" · ","")&amp;IF(AND(ISNUMBER($E38),ISNUMBER($F38),$E38&gt;$F38),"Inicio posterior a fecha límite"&amp;" · ","")&amp;IF(AND($S38="Macro",$G38=""),"Peso vacío"&amp;" · ","")&amp;IF(AND($S38="Macro",$G38&lt;&gt;"",OR(NOT(ISNUMBER($G38)),$G38&lt;=0,$G38&gt;1)),"Peso fuera de rango"&amp;" · ","")&amp;IF(AND($S38="Sub",$G38&lt;&gt;""),"Las subactividades no llevan peso"&amp;" · ","")&amp;IF(AND($S38="Macro",ABS(SUMIFS($G$5:$G$1000,$P$5:$P$1000,$P38,$S$5:$S$1000,"Macro")-1)&gt;0.0001),"Pesos del mes suman "&amp;TEXT(SUMIFS($G$5:$G$1000,$P$5:$P$1000,$P38,$S$5:$S$1000,"Macro"),"0%")&amp;" · ","")&amp;IF(AND(N($T38)&gt;0,COUNT($H38:$K38)&gt;0),"Con subactividades: deje vacías las semanas (se calculan solas)"&amp;" · ","")&amp;IF((COUNTIF($H38:$K38,"&gt;1")+COUNTIF($H38:$K38,"&lt;0")+COUNTA($H38:$K38)-COUNT($H38:$K38))&gt;0,"Avance fuera de rango 0-100%"&amp;" · ","")&amp;IF(OR(AND($I38&lt;&gt;"",$I38&lt;$H38),AND($J38&lt;&gt;"",$J38&lt;MAX($H38:$I38)),AND($K38&lt;&gt;"",$K38&lt;MAX($H38:$J38))),"Avance semanal decreciente"&amp;" · ","")&amp;IF(AND(ISNUMBER($F38),$F38&lt;FechaRef,N($L38)&lt;1),"Vencida"&amp;" · ","")&amp;IF(AND(ObsObligatoria="Sí",ISNUMBER($F38),$F38&lt;FechaRef,N($L38)&lt;1,$N38=""),"Vencida sin observación"&amp;" · ",""),LEN(IF(AND($S38="Macro",$B38=""),"Macroactividad vacía"&amp;" · ","")&amp;IF(AND($B38&lt;&gt;"",$C38&lt;&gt;""),"Escriba la subactividad en otra fila, debajo de su macroactividad"&amp;" · ","")&amp;IF(AND($S38="Sub",N($R38)=0),"Subactividad sin macroactividad arriba"&amp;" · ","")&amp;IF($D38="","Sin responsable"&amp;" · ","")&amp;IF($E38="","Sin fecha de inicio"&amp;" · ","")&amp;IF($F38="","Sin fecha límite"&amp;" · ","")&amp;IF(OR(AND($E38&lt;&gt;"",NOT(ISNUMBER($E38))),AND($F38&lt;&gt;"",NOT(ISNUMBER($F38)))),"Fecha no válida"&amp;" · ","")&amp;IF(AND(ISNUMBER($E38),ISNUMBER($F38),$E38&gt;$F38),"Inicio posterior a fecha límite"&amp;" · ","")&amp;IF(AND($S38="Macro",$G38=""),"Peso vacío"&amp;" · ","")&amp;IF(AND($S38="Macro",$G38&lt;&gt;"",OR(NOT(ISNUMBER($G38)),$G38&lt;=0,$G38&gt;1)),"Peso fuera de rango"&amp;" · ","")&amp;IF(AND($S38="Sub",$G38&lt;&gt;""),"Las subactividades no llevan peso"&amp;" · ","")&amp;IF(AND($S38="Macro",ABS(SUMIFS($G$5:$G$1000,$P$5:$P$1000,$P38,$S$5:$S$1000,"Macro")-1)&gt;0.0001),"Pesos del mes suman "&amp;TEXT(SUMIFS($G$5:$G$1000,$P$5:$P$1000,$P38,$S$5:$S$1000,"Macro"),"0%")&amp;" · ","")&amp;IF(AND(N($T38)&gt;0,COUNT($H38:$K38)&gt;0),"Con subactividades: deje vacías las semanas (se calculan solas)"&amp;" · ","")&amp;IF((COUNTIF($H38:$K38,"&gt;1")+COUNTIF($H38:$K38,"&lt;0")+COUNTA($H38:$K38)-COUNT($H38:$K38))&gt;0,"Avance fuera de rango 0-100%"&amp;" · ","")&amp;IF(OR(AND($I38&lt;&gt;"",$I38&lt;$H38),AND($J38&lt;&gt;"",$J38&lt;MAX($H38:$I38)),AND($K38&lt;&gt;"",$K38&lt;MAX($H38:$J38))),"Avance semanal decreciente"&amp;" · ","")&amp;IF(AND(ISNUMBER($F38),$F38&lt;FechaRef,N($L38)&lt;1),"Vencida"&amp;" · ","")&amp;IF(AND(ObsObligatoria="Sí",ISNUMBER($F38),$F38&lt;FechaRef,N($L38)&lt;1,$N38=""),"Vencida sin observación"&amp;" · ",""))-3)))</f>
        <v/>
      </c>
      <c r="P38" s="69">
        <f>IF(NOT((COUNTA($B38:$K38)+COUNTA($N38))&gt;0),"",IF(AND($S38="Sub",N($R38)&gt;0),IF(ISNUMBER(INDEX($E$5:$E$1000,$R38-4)),DATE(YEAR(INDEX($E$5:$E$1000,$R38-4)),MONTH(INDEX($E$5:$E$1000,$R38-4)),1),IF(ISNUMBER(INDEX($F$5:$F$1000,$R38-4)),DATE(YEAR(INDEX($F$5:$F$1000,$R38-4)),MONTH(INDEX($F$5:$F$1000,$R38-4)),1),MesCiclo)),IF(ISNUMBER($E38),DATE(YEAR($E38),MONTH($E38),1),IF(ISNUMBER($F38),DATE(YEAR($F38),MONTH($F38),1),MesCiclo))))</f>
        <v/>
      </c>
      <c r="Q38" s="70">
        <f>IF(OR($P38="",$P38&lt;&gt;MesCiclo),"",COUNTIF($P$5:$P38,MesCiclo))</f>
        <v/>
      </c>
      <c r="R38" s="70">
        <f>IF($S38="","",IF($S38="Macro",ROW(),IFERROR(LOOKUP(2,1/($S$5:$S38="Macro"),ROW($S$5:$S38)),0)))</f>
        <v/>
      </c>
      <c r="S38" s="70">
        <f>IF(NOT((COUNTA($B38:$K38)+COUNTA($N38))&gt;0),"",IF($B38&lt;&gt;"","Macro",IF($C38&lt;&gt;"","Sub","Macro")))</f>
        <v/>
      </c>
      <c r="T38" s="70">
        <f>IF($S38="Macro",COUNTIFS($R$5:$R$1000,ROW(),$S$5:$S$1000,"Sub"),"")</f>
        <v/>
      </c>
      <c r="U38" s="70">
        <f>IF($S38="","",IF(ISNUMBER($H38),$H38,0))</f>
        <v/>
      </c>
      <c r="V38" s="70">
        <f>IF($S38="","",IF(ISNUMBER($I38),$I38,$U38))</f>
        <v/>
      </c>
      <c r="W38" s="70">
        <f>IF($S38="","",IF(ISNUMBER($J38),$J38,$V38))</f>
        <v/>
      </c>
      <c r="X38" s="70">
        <f>IF($S38="","",IF(ISNUMBER($K38),$K38,$W38))</f>
        <v/>
      </c>
      <c r="Y38" s="70">
        <f>IF($S38="","",IF(N($T38)&gt;0,AVERAGEIFS($U$5:$U$1000,$R$5:$R$1000,ROW(),$S$5:$S$1000,"Sub"),$U38))</f>
        <v/>
      </c>
      <c r="Z38" s="70">
        <f>IF($S38="","",IF(N($T38)&gt;0,AVERAGEIFS($V$5:$V$1000,$R$5:$R$1000,ROW(),$S$5:$S$1000,"Sub"),$V38))</f>
        <v/>
      </c>
      <c r="AA38" s="70">
        <f>IF($S38="","",IF(N($T38)&gt;0,AVERAGEIFS($W$5:$W$1000,$R$5:$R$1000,ROW(),$S$5:$S$1000,"Sub"),$W38))</f>
        <v/>
      </c>
      <c r="AB38" s="70">
        <f>IF($S38="","",IF(N($T38)&gt;0,AVERAGEIFS($X$5:$X$1000,$R$5:$R$1000,ROW(),$S$5:$S$1000,"Sub"),$X38))</f>
        <v/>
      </c>
    </row>
    <row r="39">
      <c r="A39" s="61">
        <f>IF(NOT((COUNTA($B39:$K39)+COUNTA($N39))&gt;0),"",IF($S39="Macro",COUNTIFS($S$5:$S39,"Macro",$P$5:$P39,$P39),IF(N($R39)=0,"?",COUNTIFS(INDEX($S$5:$S$1000,1):INDEX($S$5:$S$1000,$R39-4),"Macro",INDEX($P$5:$P$1000,1):INDEX($P$5:$P$1000,$R39-4),INDEX($P$5:$P$1000,$R39-4))&amp;"."&amp;COUNTIFS($R$5:$R39,$R39,$S$5:$S39,"Sub"))))</f>
        <v/>
      </c>
      <c r="B39" s="62" t="n"/>
      <c r="C39" s="63" t="n"/>
      <c r="D39" s="62" t="n"/>
      <c r="E39" s="64" t="n"/>
      <c r="F39" s="64" t="n"/>
      <c r="G39" s="65" t="n"/>
      <c r="H39" s="66" t="n"/>
      <c r="I39" s="66" t="n"/>
      <c r="J39" s="66" t="n"/>
      <c r="K39" s="66" t="n"/>
      <c r="L39" s="67">
        <f>IF(NOT((COUNTA($B39:$K39)+COUNTA($N39))&gt;0),"",IF(N($T39)&gt;0,$AB39,IFERROR(LOOKUP(2,1/(H39:K39&lt;&gt;""),H39:K39),0)))</f>
        <v/>
      </c>
      <c r="M39" s="61">
        <f>IF(L39="","",IF(L39&gt;=1,"Completado",IF(L39&gt;0,"En curso","Pendiente")))</f>
        <v/>
      </c>
      <c r="N39" s="62" t="n"/>
      <c r="O39" s="68">
        <f>IF(NOT((COUNTA($B39:$K39)+COUNTA($N39))&gt;0),"",IF((IF(AND($S39="Macro",$B39=""),"Macroactividad vacía"&amp;" · ","")&amp;IF(AND($B39&lt;&gt;"",$C39&lt;&gt;""),"Escriba la subactividad en otra fila, debajo de su macroactividad"&amp;" · ","")&amp;IF(AND($S39="Sub",N($R39)=0),"Subactividad sin macroactividad arriba"&amp;" · ","")&amp;IF($D39="","Sin responsable"&amp;" · ","")&amp;IF($E39="","Sin fecha de inicio"&amp;" · ","")&amp;IF($F39="","Sin fecha límite"&amp;" · ","")&amp;IF(OR(AND($E39&lt;&gt;"",NOT(ISNUMBER($E39))),AND($F39&lt;&gt;"",NOT(ISNUMBER($F39)))),"Fecha no válida"&amp;" · ","")&amp;IF(AND(ISNUMBER($E39),ISNUMBER($F39),$E39&gt;$F39),"Inicio posterior a fecha límite"&amp;" · ","")&amp;IF(AND($S39="Macro",$G39=""),"Peso vacío"&amp;" · ","")&amp;IF(AND($S39="Macro",$G39&lt;&gt;"",OR(NOT(ISNUMBER($G39)),$G39&lt;=0,$G39&gt;1)),"Peso fuera de rango"&amp;" · ","")&amp;IF(AND($S39="Sub",$G39&lt;&gt;""),"Las subactividades no llevan peso"&amp;" · ","")&amp;IF(AND($S39="Macro",ABS(SUMIFS($G$5:$G$1000,$P$5:$P$1000,$P39,$S$5:$S$1000,"Macro")-1)&gt;0.0001),"Pesos del mes suman "&amp;TEXT(SUMIFS($G$5:$G$1000,$P$5:$P$1000,$P39,$S$5:$S$1000,"Macro"),"0%")&amp;" · ","")&amp;IF(AND(N($T39)&gt;0,COUNT($H39:$K39)&gt;0),"Con subactividades: deje vacías las semanas (se calculan solas)"&amp;" · ","")&amp;IF((COUNTIF($H39:$K39,"&gt;1")+COUNTIF($H39:$K39,"&lt;0")+COUNTA($H39:$K39)-COUNT($H39:$K39))&gt;0,"Avance fuera de rango 0-100%"&amp;" · ","")&amp;IF(OR(AND($I39&lt;&gt;"",$I39&lt;$H39),AND($J39&lt;&gt;"",$J39&lt;MAX($H39:$I39)),AND($K39&lt;&gt;"",$K39&lt;MAX($H39:$J39))),"Avance semanal decreciente"&amp;" · ","")&amp;IF(AND(ISNUMBER($F39),$F39&lt;FechaRef,N($L39)&lt;1),"Vencida"&amp;" · ","")&amp;IF(AND(ObsObligatoria="Sí",ISNUMBER($F39),$F39&lt;FechaRef,N($L39)&lt;1,$N39=""),"Vencida sin observación"&amp;" · ",""))="","✔ OK","⚠ "&amp;LEFT(IF(AND($S39="Macro",$B39=""),"Macroactividad vacía"&amp;" · ","")&amp;IF(AND($B39&lt;&gt;"",$C39&lt;&gt;""),"Escriba la subactividad en otra fila, debajo de su macroactividad"&amp;" · ","")&amp;IF(AND($S39="Sub",N($R39)=0),"Subactividad sin macroactividad arriba"&amp;" · ","")&amp;IF($D39="","Sin responsable"&amp;" · ","")&amp;IF($E39="","Sin fecha de inicio"&amp;" · ","")&amp;IF($F39="","Sin fecha límite"&amp;" · ","")&amp;IF(OR(AND($E39&lt;&gt;"",NOT(ISNUMBER($E39))),AND($F39&lt;&gt;"",NOT(ISNUMBER($F39)))),"Fecha no válida"&amp;" · ","")&amp;IF(AND(ISNUMBER($E39),ISNUMBER($F39),$E39&gt;$F39),"Inicio posterior a fecha límite"&amp;" · ","")&amp;IF(AND($S39="Macro",$G39=""),"Peso vacío"&amp;" · ","")&amp;IF(AND($S39="Macro",$G39&lt;&gt;"",OR(NOT(ISNUMBER($G39)),$G39&lt;=0,$G39&gt;1)),"Peso fuera de rango"&amp;" · ","")&amp;IF(AND($S39="Sub",$G39&lt;&gt;""),"Las subactividades no llevan peso"&amp;" · ","")&amp;IF(AND($S39="Macro",ABS(SUMIFS($G$5:$G$1000,$P$5:$P$1000,$P39,$S$5:$S$1000,"Macro")-1)&gt;0.0001),"Pesos del mes suman "&amp;TEXT(SUMIFS($G$5:$G$1000,$P$5:$P$1000,$P39,$S$5:$S$1000,"Macro"),"0%")&amp;" · ","")&amp;IF(AND(N($T39)&gt;0,COUNT($H39:$K39)&gt;0),"Con subactividades: deje vacías las semanas (se calculan solas)"&amp;" · ","")&amp;IF((COUNTIF($H39:$K39,"&gt;1")+COUNTIF($H39:$K39,"&lt;0")+COUNTA($H39:$K39)-COUNT($H39:$K39))&gt;0,"Avance fuera de rango 0-100%"&amp;" · ","")&amp;IF(OR(AND($I39&lt;&gt;"",$I39&lt;$H39),AND($J39&lt;&gt;"",$J39&lt;MAX($H39:$I39)),AND($K39&lt;&gt;"",$K39&lt;MAX($H39:$J39))),"Avance semanal decreciente"&amp;" · ","")&amp;IF(AND(ISNUMBER($F39),$F39&lt;FechaRef,N($L39)&lt;1),"Vencida"&amp;" · ","")&amp;IF(AND(ObsObligatoria="Sí",ISNUMBER($F39),$F39&lt;FechaRef,N($L39)&lt;1,$N39=""),"Vencida sin observación"&amp;" · ",""),LEN(IF(AND($S39="Macro",$B39=""),"Macroactividad vacía"&amp;" · ","")&amp;IF(AND($B39&lt;&gt;"",$C39&lt;&gt;""),"Escriba la subactividad en otra fila, debajo de su macroactividad"&amp;" · ","")&amp;IF(AND($S39="Sub",N($R39)=0),"Subactividad sin macroactividad arriba"&amp;" · ","")&amp;IF($D39="","Sin responsable"&amp;" · ","")&amp;IF($E39="","Sin fecha de inicio"&amp;" · ","")&amp;IF($F39="","Sin fecha límite"&amp;" · ","")&amp;IF(OR(AND($E39&lt;&gt;"",NOT(ISNUMBER($E39))),AND($F39&lt;&gt;"",NOT(ISNUMBER($F39)))),"Fecha no válida"&amp;" · ","")&amp;IF(AND(ISNUMBER($E39),ISNUMBER($F39),$E39&gt;$F39),"Inicio posterior a fecha límite"&amp;" · ","")&amp;IF(AND($S39="Macro",$G39=""),"Peso vacío"&amp;" · ","")&amp;IF(AND($S39="Macro",$G39&lt;&gt;"",OR(NOT(ISNUMBER($G39)),$G39&lt;=0,$G39&gt;1)),"Peso fuera de rango"&amp;" · ","")&amp;IF(AND($S39="Sub",$G39&lt;&gt;""),"Las subactividades no llevan peso"&amp;" · ","")&amp;IF(AND($S39="Macro",ABS(SUMIFS($G$5:$G$1000,$P$5:$P$1000,$P39,$S$5:$S$1000,"Macro")-1)&gt;0.0001),"Pesos del mes suman "&amp;TEXT(SUMIFS($G$5:$G$1000,$P$5:$P$1000,$P39,$S$5:$S$1000,"Macro"),"0%")&amp;" · ","")&amp;IF(AND(N($T39)&gt;0,COUNT($H39:$K39)&gt;0),"Con subactividades: deje vacías las semanas (se calculan solas)"&amp;" · ","")&amp;IF((COUNTIF($H39:$K39,"&gt;1")+COUNTIF($H39:$K39,"&lt;0")+COUNTA($H39:$K39)-COUNT($H39:$K39))&gt;0,"Avance fuera de rango 0-100%"&amp;" · ","")&amp;IF(OR(AND($I39&lt;&gt;"",$I39&lt;$H39),AND($J39&lt;&gt;"",$J39&lt;MAX($H39:$I39)),AND($K39&lt;&gt;"",$K39&lt;MAX($H39:$J39))),"Avance semanal decreciente"&amp;" · ","")&amp;IF(AND(ISNUMBER($F39),$F39&lt;FechaRef,N($L39)&lt;1),"Vencida"&amp;" · ","")&amp;IF(AND(ObsObligatoria="Sí",ISNUMBER($F39),$F39&lt;FechaRef,N($L39)&lt;1,$N39=""),"Vencida sin observación"&amp;" · ",""))-3)))</f>
        <v/>
      </c>
      <c r="P39" s="69">
        <f>IF(NOT((COUNTA($B39:$K39)+COUNTA($N39))&gt;0),"",IF(AND($S39="Sub",N($R39)&gt;0),IF(ISNUMBER(INDEX($E$5:$E$1000,$R39-4)),DATE(YEAR(INDEX($E$5:$E$1000,$R39-4)),MONTH(INDEX($E$5:$E$1000,$R39-4)),1),IF(ISNUMBER(INDEX($F$5:$F$1000,$R39-4)),DATE(YEAR(INDEX($F$5:$F$1000,$R39-4)),MONTH(INDEX($F$5:$F$1000,$R39-4)),1),MesCiclo)),IF(ISNUMBER($E39),DATE(YEAR($E39),MONTH($E39),1),IF(ISNUMBER($F39),DATE(YEAR($F39),MONTH($F39),1),MesCiclo))))</f>
        <v/>
      </c>
      <c r="Q39" s="70">
        <f>IF(OR($P39="",$P39&lt;&gt;MesCiclo),"",COUNTIF($P$5:$P39,MesCiclo))</f>
        <v/>
      </c>
      <c r="R39" s="70">
        <f>IF($S39="","",IF($S39="Macro",ROW(),IFERROR(LOOKUP(2,1/($S$5:$S39="Macro"),ROW($S$5:$S39)),0)))</f>
        <v/>
      </c>
      <c r="S39" s="70">
        <f>IF(NOT((COUNTA($B39:$K39)+COUNTA($N39))&gt;0),"",IF($B39&lt;&gt;"","Macro",IF($C39&lt;&gt;"","Sub","Macro")))</f>
        <v/>
      </c>
      <c r="T39" s="70">
        <f>IF($S39="Macro",COUNTIFS($R$5:$R$1000,ROW(),$S$5:$S$1000,"Sub"),"")</f>
        <v/>
      </c>
      <c r="U39" s="70">
        <f>IF($S39="","",IF(ISNUMBER($H39),$H39,0))</f>
        <v/>
      </c>
      <c r="V39" s="70">
        <f>IF($S39="","",IF(ISNUMBER($I39),$I39,$U39))</f>
        <v/>
      </c>
      <c r="W39" s="70">
        <f>IF($S39="","",IF(ISNUMBER($J39),$J39,$V39))</f>
        <v/>
      </c>
      <c r="X39" s="70">
        <f>IF($S39="","",IF(ISNUMBER($K39),$K39,$W39))</f>
        <v/>
      </c>
      <c r="Y39" s="70">
        <f>IF($S39="","",IF(N($T39)&gt;0,AVERAGEIFS($U$5:$U$1000,$R$5:$R$1000,ROW(),$S$5:$S$1000,"Sub"),$U39))</f>
        <v/>
      </c>
      <c r="Z39" s="70">
        <f>IF($S39="","",IF(N($T39)&gt;0,AVERAGEIFS($V$5:$V$1000,$R$5:$R$1000,ROW(),$S$5:$S$1000,"Sub"),$V39))</f>
        <v/>
      </c>
      <c r="AA39" s="70">
        <f>IF($S39="","",IF(N($T39)&gt;0,AVERAGEIFS($W$5:$W$1000,$R$5:$R$1000,ROW(),$S$5:$S$1000,"Sub"),$W39))</f>
        <v/>
      </c>
      <c r="AB39" s="70">
        <f>IF($S39="","",IF(N($T39)&gt;0,AVERAGEIFS($X$5:$X$1000,$R$5:$R$1000,ROW(),$S$5:$S$1000,"Sub"),$X39))</f>
        <v/>
      </c>
    </row>
    <row r="40">
      <c r="A40" s="61">
        <f>IF(NOT((COUNTA($B40:$K40)+COUNTA($N40))&gt;0),"",IF($S40="Macro",COUNTIFS($S$5:$S40,"Macro",$P$5:$P40,$P40),IF(N($R40)=0,"?",COUNTIFS(INDEX($S$5:$S$1000,1):INDEX($S$5:$S$1000,$R40-4),"Macro",INDEX($P$5:$P$1000,1):INDEX($P$5:$P$1000,$R40-4),INDEX($P$5:$P$1000,$R40-4))&amp;"."&amp;COUNTIFS($R$5:$R40,$R40,$S$5:$S40,"Sub"))))</f>
        <v/>
      </c>
      <c r="B40" s="62" t="n"/>
      <c r="C40" s="63" t="n"/>
      <c r="D40" s="62" t="n"/>
      <c r="E40" s="64" t="n"/>
      <c r="F40" s="64" t="n"/>
      <c r="G40" s="65" t="n"/>
      <c r="H40" s="66" t="n"/>
      <c r="I40" s="66" t="n"/>
      <c r="J40" s="66" t="n"/>
      <c r="K40" s="66" t="n"/>
      <c r="L40" s="67">
        <f>IF(NOT((COUNTA($B40:$K40)+COUNTA($N40))&gt;0),"",IF(N($T40)&gt;0,$AB40,IFERROR(LOOKUP(2,1/(H40:K40&lt;&gt;""),H40:K40),0)))</f>
        <v/>
      </c>
      <c r="M40" s="61">
        <f>IF(L40="","",IF(L40&gt;=1,"Completado",IF(L40&gt;0,"En curso","Pendiente")))</f>
        <v/>
      </c>
      <c r="N40" s="62" t="n"/>
      <c r="O40" s="68">
        <f>IF(NOT((COUNTA($B40:$K40)+COUNTA($N40))&gt;0),"",IF((IF(AND($S40="Macro",$B40=""),"Macroactividad vacía"&amp;" · ","")&amp;IF(AND($B40&lt;&gt;"",$C40&lt;&gt;""),"Escriba la subactividad en otra fila, debajo de su macroactividad"&amp;" · ","")&amp;IF(AND($S40="Sub",N($R40)=0),"Subactividad sin macroactividad arriba"&amp;" · ","")&amp;IF($D40="","Sin responsable"&amp;" · ","")&amp;IF($E40="","Sin fecha de inicio"&amp;" · ","")&amp;IF($F40="","Sin fecha límite"&amp;" · ","")&amp;IF(OR(AND($E40&lt;&gt;"",NOT(ISNUMBER($E40))),AND($F40&lt;&gt;"",NOT(ISNUMBER($F40)))),"Fecha no válida"&amp;" · ","")&amp;IF(AND(ISNUMBER($E40),ISNUMBER($F40),$E40&gt;$F40),"Inicio posterior a fecha límite"&amp;" · ","")&amp;IF(AND($S40="Macro",$G40=""),"Peso vacío"&amp;" · ","")&amp;IF(AND($S40="Macro",$G40&lt;&gt;"",OR(NOT(ISNUMBER($G40)),$G40&lt;=0,$G40&gt;1)),"Peso fuera de rango"&amp;" · ","")&amp;IF(AND($S40="Sub",$G40&lt;&gt;""),"Las subactividades no llevan peso"&amp;" · ","")&amp;IF(AND($S40="Macro",ABS(SUMIFS($G$5:$G$1000,$P$5:$P$1000,$P40,$S$5:$S$1000,"Macro")-1)&gt;0.0001),"Pesos del mes suman "&amp;TEXT(SUMIFS($G$5:$G$1000,$P$5:$P$1000,$P40,$S$5:$S$1000,"Macro"),"0%")&amp;" · ","")&amp;IF(AND(N($T40)&gt;0,COUNT($H40:$K40)&gt;0),"Con subactividades: deje vacías las semanas (se calculan solas)"&amp;" · ","")&amp;IF((COUNTIF($H40:$K40,"&gt;1")+COUNTIF($H40:$K40,"&lt;0")+COUNTA($H40:$K40)-COUNT($H40:$K40))&gt;0,"Avance fuera de rango 0-100%"&amp;" · ","")&amp;IF(OR(AND($I40&lt;&gt;"",$I40&lt;$H40),AND($J40&lt;&gt;"",$J40&lt;MAX($H40:$I40)),AND($K40&lt;&gt;"",$K40&lt;MAX($H40:$J40))),"Avance semanal decreciente"&amp;" · ","")&amp;IF(AND(ISNUMBER($F40),$F40&lt;FechaRef,N($L40)&lt;1),"Vencida"&amp;" · ","")&amp;IF(AND(ObsObligatoria="Sí",ISNUMBER($F40),$F40&lt;FechaRef,N($L40)&lt;1,$N40=""),"Vencida sin observación"&amp;" · ",""))="","✔ OK","⚠ "&amp;LEFT(IF(AND($S40="Macro",$B40=""),"Macroactividad vacía"&amp;" · ","")&amp;IF(AND($B40&lt;&gt;"",$C40&lt;&gt;""),"Escriba la subactividad en otra fila, debajo de su macroactividad"&amp;" · ","")&amp;IF(AND($S40="Sub",N($R40)=0),"Subactividad sin macroactividad arriba"&amp;" · ","")&amp;IF($D40="","Sin responsable"&amp;" · ","")&amp;IF($E40="","Sin fecha de inicio"&amp;" · ","")&amp;IF($F40="","Sin fecha límite"&amp;" · ","")&amp;IF(OR(AND($E40&lt;&gt;"",NOT(ISNUMBER($E40))),AND($F40&lt;&gt;"",NOT(ISNUMBER($F40)))),"Fecha no válida"&amp;" · ","")&amp;IF(AND(ISNUMBER($E40),ISNUMBER($F40),$E40&gt;$F40),"Inicio posterior a fecha límite"&amp;" · ","")&amp;IF(AND($S40="Macro",$G40=""),"Peso vacío"&amp;" · ","")&amp;IF(AND($S40="Macro",$G40&lt;&gt;"",OR(NOT(ISNUMBER($G40)),$G40&lt;=0,$G40&gt;1)),"Peso fuera de rango"&amp;" · ","")&amp;IF(AND($S40="Sub",$G40&lt;&gt;""),"Las subactividades no llevan peso"&amp;" · ","")&amp;IF(AND($S40="Macro",ABS(SUMIFS($G$5:$G$1000,$P$5:$P$1000,$P40,$S$5:$S$1000,"Macro")-1)&gt;0.0001),"Pesos del mes suman "&amp;TEXT(SUMIFS($G$5:$G$1000,$P$5:$P$1000,$P40,$S$5:$S$1000,"Macro"),"0%")&amp;" · ","")&amp;IF(AND(N($T40)&gt;0,COUNT($H40:$K40)&gt;0),"Con subactividades: deje vacías las semanas (se calculan solas)"&amp;" · ","")&amp;IF((COUNTIF($H40:$K40,"&gt;1")+COUNTIF($H40:$K40,"&lt;0")+COUNTA($H40:$K40)-COUNT($H40:$K40))&gt;0,"Avance fuera de rango 0-100%"&amp;" · ","")&amp;IF(OR(AND($I40&lt;&gt;"",$I40&lt;$H40),AND($J40&lt;&gt;"",$J40&lt;MAX($H40:$I40)),AND($K40&lt;&gt;"",$K40&lt;MAX($H40:$J40))),"Avance semanal decreciente"&amp;" · ","")&amp;IF(AND(ISNUMBER($F40),$F40&lt;FechaRef,N($L40)&lt;1),"Vencida"&amp;" · ","")&amp;IF(AND(ObsObligatoria="Sí",ISNUMBER($F40),$F40&lt;FechaRef,N($L40)&lt;1,$N40=""),"Vencida sin observación"&amp;" · ",""),LEN(IF(AND($S40="Macro",$B40=""),"Macroactividad vacía"&amp;" · ","")&amp;IF(AND($B40&lt;&gt;"",$C40&lt;&gt;""),"Escriba la subactividad en otra fila, debajo de su macroactividad"&amp;" · ","")&amp;IF(AND($S40="Sub",N($R40)=0),"Subactividad sin macroactividad arriba"&amp;" · ","")&amp;IF($D40="","Sin responsable"&amp;" · ","")&amp;IF($E40="","Sin fecha de inicio"&amp;" · ","")&amp;IF($F40="","Sin fecha límite"&amp;" · ","")&amp;IF(OR(AND($E40&lt;&gt;"",NOT(ISNUMBER($E40))),AND($F40&lt;&gt;"",NOT(ISNUMBER($F40)))),"Fecha no válida"&amp;" · ","")&amp;IF(AND(ISNUMBER($E40),ISNUMBER($F40),$E40&gt;$F40),"Inicio posterior a fecha límite"&amp;" · ","")&amp;IF(AND($S40="Macro",$G40=""),"Peso vacío"&amp;" · ","")&amp;IF(AND($S40="Macro",$G40&lt;&gt;"",OR(NOT(ISNUMBER($G40)),$G40&lt;=0,$G40&gt;1)),"Peso fuera de rango"&amp;" · ","")&amp;IF(AND($S40="Sub",$G40&lt;&gt;""),"Las subactividades no llevan peso"&amp;" · ","")&amp;IF(AND($S40="Macro",ABS(SUMIFS($G$5:$G$1000,$P$5:$P$1000,$P40,$S$5:$S$1000,"Macro")-1)&gt;0.0001),"Pesos del mes suman "&amp;TEXT(SUMIFS($G$5:$G$1000,$P$5:$P$1000,$P40,$S$5:$S$1000,"Macro"),"0%")&amp;" · ","")&amp;IF(AND(N($T40)&gt;0,COUNT($H40:$K40)&gt;0),"Con subactividades: deje vacías las semanas (se calculan solas)"&amp;" · ","")&amp;IF((COUNTIF($H40:$K40,"&gt;1")+COUNTIF($H40:$K40,"&lt;0")+COUNTA($H40:$K40)-COUNT($H40:$K40))&gt;0,"Avance fuera de rango 0-100%"&amp;" · ","")&amp;IF(OR(AND($I40&lt;&gt;"",$I40&lt;$H40),AND($J40&lt;&gt;"",$J40&lt;MAX($H40:$I40)),AND($K40&lt;&gt;"",$K40&lt;MAX($H40:$J40))),"Avance semanal decreciente"&amp;" · ","")&amp;IF(AND(ISNUMBER($F40),$F40&lt;FechaRef,N($L40)&lt;1),"Vencida"&amp;" · ","")&amp;IF(AND(ObsObligatoria="Sí",ISNUMBER($F40),$F40&lt;FechaRef,N($L40)&lt;1,$N40=""),"Vencida sin observación"&amp;" · ",""))-3)))</f>
        <v/>
      </c>
      <c r="P40" s="69">
        <f>IF(NOT((COUNTA($B40:$K40)+COUNTA($N40))&gt;0),"",IF(AND($S40="Sub",N($R40)&gt;0),IF(ISNUMBER(INDEX($E$5:$E$1000,$R40-4)),DATE(YEAR(INDEX($E$5:$E$1000,$R40-4)),MONTH(INDEX($E$5:$E$1000,$R40-4)),1),IF(ISNUMBER(INDEX($F$5:$F$1000,$R40-4)),DATE(YEAR(INDEX($F$5:$F$1000,$R40-4)),MONTH(INDEX($F$5:$F$1000,$R40-4)),1),MesCiclo)),IF(ISNUMBER($E40),DATE(YEAR($E40),MONTH($E40),1),IF(ISNUMBER($F40),DATE(YEAR($F40),MONTH($F40),1),MesCiclo))))</f>
        <v/>
      </c>
      <c r="Q40" s="70">
        <f>IF(OR($P40="",$P40&lt;&gt;MesCiclo),"",COUNTIF($P$5:$P40,MesCiclo))</f>
        <v/>
      </c>
      <c r="R40" s="70">
        <f>IF($S40="","",IF($S40="Macro",ROW(),IFERROR(LOOKUP(2,1/($S$5:$S40="Macro"),ROW($S$5:$S40)),0)))</f>
        <v/>
      </c>
      <c r="S40" s="70">
        <f>IF(NOT((COUNTA($B40:$K40)+COUNTA($N40))&gt;0),"",IF($B40&lt;&gt;"","Macro",IF($C40&lt;&gt;"","Sub","Macro")))</f>
        <v/>
      </c>
      <c r="T40" s="70">
        <f>IF($S40="Macro",COUNTIFS($R$5:$R$1000,ROW(),$S$5:$S$1000,"Sub"),"")</f>
        <v/>
      </c>
      <c r="U40" s="70">
        <f>IF($S40="","",IF(ISNUMBER($H40),$H40,0))</f>
        <v/>
      </c>
      <c r="V40" s="70">
        <f>IF($S40="","",IF(ISNUMBER($I40),$I40,$U40))</f>
        <v/>
      </c>
      <c r="W40" s="70">
        <f>IF($S40="","",IF(ISNUMBER($J40),$J40,$V40))</f>
        <v/>
      </c>
      <c r="X40" s="70">
        <f>IF($S40="","",IF(ISNUMBER($K40),$K40,$W40))</f>
        <v/>
      </c>
      <c r="Y40" s="70">
        <f>IF($S40="","",IF(N($T40)&gt;0,AVERAGEIFS($U$5:$U$1000,$R$5:$R$1000,ROW(),$S$5:$S$1000,"Sub"),$U40))</f>
        <v/>
      </c>
      <c r="Z40" s="70">
        <f>IF($S40="","",IF(N($T40)&gt;0,AVERAGEIFS($V$5:$V$1000,$R$5:$R$1000,ROW(),$S$5:$S$1000,"Sub"),$V40))</f>
        <v/>
      </c>
      <c r="AA40" s="70">
        <f>IF($S40="","",IF(N($T40)&gt;0,AVERAGEIFS($W$5:$W$1000,$R$5:$R$1000,ROW(),$S$5:$S$1000,"Sub"),$W40))</f>
        <v/>
      </c>
      <c r="AB40" s="70">
        <f>IF($S40="","",IF(N($T40)&gt;0,AVERAGEIFS($X$5:$X$1000,$R$5:$R$1000,ROW(),$S$5:$S$1000,"Sub"),$X40))</f>
        <v/>
      </c>
    </row>
    <row r="41">
      <c r="A41" s="61">
        <f>IF(NOT((COUNTA($B41:$K41)+COUNTA($N41))&gt;0),"",IF($S41="Macro",COUNTIFS($S$5:$S41,"Macro",$P$5:$P41,$P41),IF(N($R41)=0,"?",COUNTIFS(INDEX($S$5:$S$1000,1):INDEX($S$5:$S$1000,$R41-4),"Macro",INDEX($P$5:$P$1000,1):INDEX($P$5:$P$1000,$R41-4),INDEX($P$5:$P$1000,$R41-4))&amp;"."&amp;COUNTIFS($R$5:$R41,$R41,$S$5:$S41,"Sub"))))</f>
        <v/>
      </c>
      <c r="B41" s="62" t="n"/>
      <c r="C41" s="63" t="n"/>
      <c r="D41" s="62" t="n"/>
      <c r="E41" s="64" t="n"/>
      <c r="F41" s="64" t="n"/>
      <c r="G41" s="65" t="n"/>
      <c r="H41" s="66" t="n"/>
      <c r="I41" s="66" t="n"/>
      <c r="J41" s="66" t="n"/>
      <c r="K41" s="66" t="n"/>
      <c r="L41" s="67">
        <f>IF(NOT((COUNTA($B41:$K41)+COUNTA($N41))&gt;0),"",IF(N($T41)&gt;0,$AB41,IFERROR(LOOKUP(2,1/(H41:K41&lt;&gt;""),H41:K41),0)))</f>
        <v/>
      </c>
      <c r="M41" s="61">
        <f>IF(L41="","",IF(L41&gt;=1,"Completado",IF(L41&gt;0,"En curso","Pendiente")))</f>
        <v/>
      </c>
      <c r="N41" s="62" t="n"/>
      <c r="O41" s="68">
        <f>IF(NOT((COUNTA($B41:$K41)+COUNTA($N41))&gt;0),"",IF((IF(AND($S41="Macro",$B41=""),"Macroactividad vacía"&amp;" · ","")&amp;IF(AND($B41&lt;&gt;"",$C41&lt;&gt;""),"Escriba la subactividad en otra fila, debajo de su macroactividad"&amp;" · ","")&amp;IF(AND($S41="Sub",N($R41)=0),"Subactividad sin macroactividad arriba"&amp;" · ","")&amp;IF($D41="","Sin responsable"&amp;" · ","")&amp;IF($E41="","Sin fecha de inicio"&amp;" · ","")&amp;IF($F41="","Sin fecha límite"&amp;" · ","")&amp;IF(OR(AND($E41&lt;&gt;"",NOT(ISNUMBER($E41))),AND($F41&lt;&gt;"",NOT(ISNUMBER($F41)))),"Fecha no válida"&amp;" · ","")&amp;IF(AND(ISNUMBER($E41),ISNUMBER($F41),$E41&gt;$F41),"Inicio posterior a fecha límite"&amp;" · ","")&amp;IF(AND($S41="Macro",$G41=""),"Peso vacío"&amp;" · ","")&amp;IF(AND($S41="Macro",$G41&lt;&gt;"",OR(NOT(ISNUMBER($G41)),$G41&lt;=0,$G41&gt;1)),"Peso fuera de rango"&amp;" · ","")&amp;IF(AND($S41="Sub",$G41&lt;&gt;""),"Las subactividades no llevan peso"&amp;" · ","")&amp;IF(AND($S41="Macro",ABS(SUMIFS($G$5:$G$1000,$P$5:$P$1000,$P41,$S$5:$S$1000,"Macro")-1)&gt;0.0001),"Pesos del mes suman "&amp;TEXT(SUMIFS($G$5:$G$1000,$P$5:$P$1000,$P41,$S$5:$S$1000,"Macro"),"0%")&amp;" · ","")&amp;IF(AND(N($T41)&gt;0,COUNT($H41:$K41)&gt;0),"Con subactividades: deje vacías las semanas (se calculan solas)"&amp;" · ","")&amp;IF((COUNTIF($H41:$K41,"&gt;1")+COUNTIF($H41:$K41,"&lt;0")+COUNTA($H41:$K41)-COUNT($H41:$K41))&gt;0,"Avance fuera de rango 0-100%"&amp;" · ","")&amp;IF(OR(AND($I41&lt;&gt;"",$I41&lt;$H41),AND($J41&lt;&gt;"",$J41&lt;MAX($H41:$I41)),AND($K41&lt;&gt;"",$K41&lt;MAX($H41:$J41))),"Avance semanal decreciente"&amp;" · ","")&amp;IF(AND(ISNUMBER($F41),$F41&lt;FechaRef,N($L41)&lt;1),"Vencida"&amp;" · ","")&amp;IF(AND(ObsObligatoria="Sí",ISNUMBER($F41),$F41&lt;FechaRef,N($L41)&lt;1,$N41=""),"Vencida sin observación"&amp;" · ",""))="","✔ OK","⚠ "&amp;LEFT(IF(AND($S41="Macro",$B41=""),"Macroactividad vacía"&amp;" · ","")&amp;IF(AND($B41&lt;&gt;"",$C41&lt;&gt;""),"Escriba la subactividad en otra fila, debajo de su macroactividad"&amp;" · ","")&amp;IF(AND($S41="Sub",N($R41)=0),"Subactividad sin macroactividad arriba"&amp;" · ","")&amp;IF($D41="","Sin responsable"&amp;" · ","")&amp;IF($E41="","Sin fecha de inicio"&amp;" · ","")&amp;IF($F41="","Sin fecha límite"&amp;" · ","")&amp;IF(OR(AND($E41&lt;&gt;"",NOT(ISNUMBER($E41))),AND($F41&lt;&gt;"",NOT(ISNUMBER($F41)))),"Fecha no válida"&amp;" · ","")&amp;IF(AND(ISNUMBER($E41),ISNUMBER($F41),$E41&gt;$F41),"Inicio posterior a fecha límite"&amp;" · ","")&amp;IF(AND($S41="Macro",$G41=""),"Peso vacío"&amp;" · ","")&amp;IF(AND($S41="Macro",$G41&lt;&gt;"",OR(NOT(ISNUMBER($G41)),$G41&lt;=0,$G41&gt;1)),"Peso fuera de rango"&amp;" · ","")&amp;IF(AND($S41="Sub",$G41&lt;&gt;""),"Las subactividades no llevan peso"&amp;" · ","")&amp;IF(AND($S41="Macro",ABS(SUMIFS($G$5:$G$1000,$P$5:$P$1000,$P41,$S$5:$S$1000,"Macro")-1)&gt;0.0001),"Pesos del mes suman "&amp;TEXT(SUMIFS($G$5:$G$1000,$P$5:$P$1000,$P41,$S$5:$S$1000,"Macro"),"0%")&amp;" · ","")&amp;IF(AND(N($T41)&gt;0,COUNT($H41:$K41)&gt;0),"Con subactividades: deje vacías las semanas (se calculan solas)"&amp;" · ","")&amp;IF((COUNTIF($H41:$K41,"&gt;1")+COUNTIF($H41:$K41,"&lt;0")+COUNTA($H41:$K41)-COUNT($H41:$K41))&gt;0,"Avance fuera de rango 0-100%"&amp;" · ","")&amp;IF(OR(AND($I41&lt;&gt;"",$I41&lt;$H41),AND($J41&lt;&gt;"",$J41&lt;MAX($H41:$I41)),AND($K41&lt;&gt;"",$K41&lt;MAX($H41:$J41))),"Avance semanal decreciente"&amp;" · ","")&amp;IF(AND(ISNUMBER($F41),$F41&lt;FechaRef,N($L41)&lt;1),"Vencida"&amp;" · ","")&amp;IF(AND(ObsObligatoria="Sí",ISNUMBER($F41),$F41&lt;FechaRef,N($L41)&lt;1,$N41=""),"Vencida sin observación"&amp;" · ",""),LEN(IF(AND($S41="Macro",$B41=""),"Macroactividad vacía"&amp;" · ","")&amp;IF(AND($B41&lt;&gt;"",$C41&lt;&gt;""),"Escriba la subactividad en otra fila, debajo de su macroactividad"&amp;" · ","")&amp;IF(AND($S41="Sub",N($R41)=0),"Subactividad sin macroactividad arriba"&amp;" · ","")&amp;IF($D41="","Sin responsable"&amp;" · ","")&amp;IF($E41="","Sin fecha de inicio"&amp;" · ","")&amp;IF($F41="","Sin fecha límite"&amp;" · ","")&amp;IF(OR(AND($E41&lt;&gt;"",NOT(ISNUMBER($E41))),AND($F41&lt;&gt;"",NOT(ISNUMBER($F41)))),"Fecha no válida"&amp;" · ","")&amp;IF(AND(ISNUMBER($E41),ISNUMBER($F41),$E41&gt;$F41),"Inicio posterior a fecha límite"&amp;" · ","")&amp;IF(AND($S41="Macro",$G41=""),"Peso vacío"&amp;" · ","")&amp;IF(AND($S41="Macro",$G41&lt;&gt;"",OR(NOT(ISNUMBER($G41)),$G41&lt;=0,$G41&gt;1)),"Peso fuera de rango"&amp;" · ","")&amp;IF(AND($S41="Sub",$G41&lt;&gt;""),"Las subactividades no llevan peso"&amp;" · ","")&amp;IF(AND($S41="Macro",ABS(SUMIFS($G$5:$G$1000,$P$5:$P$1000,$P41,$S$5:$S$1000,"Macro")-1)&gt;0.0001),"Pesos del mes suman "&amp;TEXT(SUMIFS($G$5:$G$1000,$P$5:$P$1000,$P41,$S$5:$S$1000,"Macro"),"0%")&amp;" · ","")&amp;IF(AND(N($T41)&gt;0,COUNT($H41:$K41)&gt;0),"Con subactividades: deje vacías las semanas (se calculan solas)"&amp;" · ","")&amp;IF((COUNTIF($H41:$K41,"&gt;1")+COUNTIF($H41:$K41,"&lt;0")+COUNTA($H41:$K41)-COUNT($H41:$K41))&gt;0,"Avance fuera de rango 0-100%"&amp;" · ","")&amp;IF(OR(AND($I41&lt;&gt;"",$I41&lt;$H41),AND($J41&lt;&gt;"",$J41&lt;MAX($H41:$I41)),AND($K41&lt;&gt;"",$K41&lt;MAX($H41:$J41))),"Avance semanal decreciente"&amp;" · ","")&amp;IF(AND(ISNUMBER($F41),$F41&lt;FechaRef,N($L41)&lt;1),"Vencida"&amp;" · ","")&amp;IF(AND(ObsObligatoria="Sí",ISNUMBER($F41),$F41&lt;FechaRef,N($L41)&lt;1,$N41=""),"Vencida sin observación"&amp;" · ",""))-3)))</f>
        <v/>
      </c>
      <c r="P41" s="69">
        <f>IF(NOT((COUNTA($B41:$K41)+COUNTA($N41))&gt;0),"",IF(AND($S41="Sub",N($R41)&gt;0),IF(ISNUMBER(INDEX($E$5:$E$1000,$R41-4)),DATE(YEAR(INDEX($E$5:$E$1000,$R41-4)),MONTH(INDEX($E$5:$E$1000,$R41-4)),1),IF(ISNUMBER(INDEX($F$5:$F$1000,$R41-4)),DATE(YEAR(INDEX($F$5:$F$1000,$R41-4)),MONTH(INDEX($F$5:$F$1000,$R41-4)),1),MesCiclo)),IF(ISNUMBER($E41),DATE(YEAR($E41),MONTH($E41),1),IF(ISNUMBER($F41),DATE(YEAR($F41),MONTH($F41),1),MesCiclo))))</f>
        <v/>
      </c>
      <c r="Q41" s="70">
        <f>IF(OR($P41="",$P41&lt;&gt;MesCiclo),"",COUNTIF($P$5:$P41,MesCiclo))</f>
        <v/>
      </c>
      <c r="R41" s="70">
        <f>IF($S41="","",IF($S41="Macro",ROW(),IFERROR(LOOKUP(2,1/($S$5:$S41="Macro"),ROW($S$5:$S41)),0)))</f>
        <v/>
      </c>
      <c r="S41" s="70">
        <f>IF(NOT((COUNTA($B41:$K41)+COUNTA($N41))&gt;0),"",IF($B41&lt;&gt;"","Macro",IF($C41&lt;&gt;"","Sub","Macro")))</f>
        <v/>
      </c>
      <c r="T41" s="70">
        <f>IF($S41="Macro",COUNTIFS($R$5:$R$1000,ROW(),$S$5:$S$1000,"Sub"),"")</f>
        <v/>
      </c>
      <c r="U41" s="70">
        <f>IF($S41="","",IF(ISNUMBER($H41),$H41,0))</f>
        <v/>
      </c>
      <c r="V41" s="70">
        <f>IF($S41="","",IF(ISNUMBER($I41),$I41,$U41))</f>
        <v/>
      </c>
      <c r="W41" s="70">
        <f>IF($S41="","",IF(ISNUMBER($J41),$J41,$V41))</f>
        <v/>
      </c>
      <c r="X41" s="70">
        <f>IF($S41="","",IF(ISNUMBER($K41),$K41,$W41))</f>
        <v/>
      </c>
      <c r="Y41" s="70">
        <f>IF($S41="","",IF(N($T41)&gt;0,AVERAGEIFS($U$5:$U$1000,$R$5:$R$1000,ROW(),$S$5:$S$1000,"Sub"),$U41))</f>
        <v/>
      </c>
      <c r="Z41" s="70">
        <f>IF($S41="","",IF(N($T41)&gt;0,AVERAGEIFS($V$5:$V$1000,$R$5:$R$1000,ROW(),$S$5:$S$1000,"Sub"),$V41))</f>
        <v/>
      </c>
      <c r="AA41" s="70">
        <f>IF($S41="","",IF(N($T41)&gt;0,AVERAGEIFS($W$5:$W$1000,$R$5:$R$1000,ROW(),$S$5:$S$1000,"Sub"),$W41))</f>
        <v/>
      </c>
      <c r="AB41" s="70">
        <f>IF($S41="","",IF(N($T41)&gt;0,AVERAGEIFS($X$5:$X$1000,$R$5:$R$1000,ROW(),$S$5:$S$1000,"Sub"),$X41))</f>
        <v/>
      </c>
    </row>
    <row r="42">
      <c r="A42" s="61">
        <f>IF(NOT((COUNTA($B42:$K42)+COUNTA($N42))&gt;0),"",IF($S42="Macro",COUNTIFS($S$5:$S42,"Macro",$P$5:$P42,$P42),IF(N($R42)=0,"?",COUNTIFS(INDEX($S$5:$S$1000,1):INDEX($S$5:$S$1000,$R42-4),"Macro",INDEX($P$5:$P$1000,1):INDEX($P$5:$P$1000,$R42-4),INDEX($P$5:$P$1000,$R42-4))&amp;"."&amp;COUNTIFS($R$5:$R42,$R42,$S$5:$S42,"Sub"))))</f>
        <v/>
      </c>
      <c r="B42" s="62" t="n"/>
      <c r="C42" s="63" t="n"/>
      <c r="D42" s="62" t="n"/>
      <c r="E42" s="64" t="n"/>
      <c r="F42" s="64" t="n"/>
      <c r="G42" s="65" t="n"/>
      <c r="H42" s="66" t="n"/>
      <c r="I42" s="66" t="n"/>
      <c r="J42" s="66" t="n"/>
      <c r="K42" s="66" t="n"/>
      <c r="L42" s="67">
        <f>IF(NOT((COUNTA($B42:$K42)+COUNTA($N42))&gt;0),"",IF(N($T42)&gt;0,$AB42,IFERROR(LOOKUP(2,1/(H42:K42&lt;&gt;""),H42:K42),0)))</f>
        <v/>
      </c>
      <c r="M42" s="61">
        <f>IF(L42="","",IF(L42&gt;=1,"Completado",IF(L42&gt;0,"En curso","Pendiente")))</f>
        <v/>
      </c>
      <c r="N42" s="62" t="n"/>
      <c r="O42" s="68">
        <f>IF(NOT((COUNTA($B42:$K42)+COUNTA($N42))&gt;0),"",IF((IF(AND($S42="Macro",$B42=""),"Macroactividad vacía"&amp;" · ","")&amp;IF(AND($B42&lt;&gt;"",$C42&lt;&gt;""),"Escriba la subactividad en otra fila, debajo de su macroactividad"&amp;" · ","")&amp;IF(AND($S42="Sub",N($R42)=0),"Subactividad sin macroactividad arriba"&amp;" · ","")&amp;IF($D42="","Sin responsable"&amp;" · ","")&amp;IF($E42="","Sin fecha de inicio"&amp;" · ","")&amp;IF($F42="","Sin fecha límite"&amp;" · ","")&amp;IF(OR(AND($E42&lt;&gt;"",NOT(ISNUMBER($E42))),AND($F42&lt;&gt;"",NOT(ISNUMBER($F42)))),"Fecha no válida"&amp;" · ","")&amp;IF(AND(ISNUMBER($E42),ISNUMBER($F42),$E42&gt;$F42),"Inicio posterior a fecha límite"&amp;" · ","")&amp;IF(AND($S42="Macro",$G42=""),"Peso vacío"&amp;" · ","")&amp;IF(AND($S42="Macro",$G42&lt;&gt;"",OR(NOT(ISNUMBER($G42)),$G42&lt;=0,$G42&gt;1)),"Peso fuera de rango"&amp;" · ","")&amp;IF(AND($S42="Sub",$G42&lt;&gt;""),"Las subactividades no llevan peso"&amp;" · ","")&amp;IF(AND($S42="Macro",ABS(SUMIFS($G$5:$G$1000,$P$5:$P$1000,$P42,$S$5:$S$1000,"Macro")-1)&gt;0.0001),"Pesos del mes suman "&amp;TEXT(SUMIFS($G$5:$G$1000,$P$5:$P$1000,$P42,$S$5:$S$1000,"Macro"),"0%")&amp;" · ","")&amp;IF(AND(N($T42)&gt;0,COUNT($H42:$K42)&gt;0),"Con subactividades: deje vacías las semanas (se calculan solas)"&amp;" · ","")&amp;IF((COUNTIF($H42:$K42,"&gt;1")+COUNTIF($H42:$K42,"&lt;0")+COUNTA($H42:$K42)-COUNT($H42:$K42))&gt;0,"Avance fuera de rango 0-100%"&amp;" · ","")&amp;IF(OR(AND($I42&lt;&gt;"",$I42&lt;$H42),AND($J42&lt;&gt;"",$J42&lt;MAX($H42:$I42)),AND($K42&lt;&gt;"",$K42&lt;MAX($H42:$J42))),"Avance semanal decreciente"&amp;" · ","")&amp;IF(AND(ISNUMBER($F42),$F42&lt;FechaRef,N($L42)&lt;1),"Vencida"&amp;" · ","")&amp;IF(AND(ObsObligatoria="Sí",ISNUMBER($F42),$F42&lt;FechaRef,N($L42)&lt;1,$N42=""),"Vencida sin observación"&amp;" · ",""))="","✔ OK","⚠ "&amp;LEFT(IF(AND($S42="Macro",$B42=""),"Macroactividad vacía"&amp;" · ","")&amp;IF(AND($B42&lt;&gt;"",$C42&lt;&gt;""),"Escriba la subactividad en otra fila, debajo de su macroactividad"&amp;" · ","")&amp;IF(AND($S42="Sub",N($R42)=0),"Subactividad sin macroactividad arriba"&amp;" · ","")&amp;IF($D42="","Sin responsable"&amp;" · ","")&amp;IF($E42="","Sin fecha de inicio"&amp;" · ","")&amp;IF($F42="","Sin fecha límite"&amp;" · ","")&amp;IF(OR(AND($E42&lt;&gt;"",NOT(ISNUMBER($E42))),AND($F42&lt;&gt;"",NOT(ISNUMBER($F42)))),"Fecha no válida"&amp;" · ","")&amp;IF(AND(ISNUMBER($E42),ISNUMBER($F42),$E42&gt;$F42),"Inicio posterior a fecha límite"&amp;" · ","")&amp;IF(AND($S42="Macro",$G42=""),"Peso vacío"&amp;" · ","")&amp;IF(AND($S42="Macro",$G42&lt;&gt;"",OR(NOT(ISNUMBER($G42)),$G42&lt;=0,$G42&gt;1)),"Peso fuera de rango"&amp;" · ","")&amp;IF(AND($S42="Sub",$G42&lt;&gt;""),"Las subactividades no llevan peso"&amp;" · ","")&amp;IF(AND($S42="Macro",ABS(SUMIFS($G$5:$G$1000,$P$5:$P$1000,$P42,$S$5:$S$1000,"Macro")-1)&gt;0.0001),"Pesos del mes suman "&amp;TEXT(SUMIFS($G$5:$G$1000,$P$5:$P$1000,$P42,$S$5:$S$1000,"Macro"),"0%")&amp;" · ","")&amp;IF(AND(N($T42)&gt;0,COUNT($H42:$K42)&gt;0),"Con subactividades: deje vacías las semanas (se calculan solas)"&amp;" · ","")&amp;IF((COUNTIF($H42:$K42,"&gt;1")+COUNTIF($H42:$K42,"&lt;0")+COUNTA($H42:$K42)-COUNT($H42:$K42))&gt;0,"Avance fuera de rango 0-100%"&amp;" · ","")&amp;IF(OR(AND($I42&lt;&gt;"",$I42&lt;$H42),AND($J42&lt;&gt;"",$J42&lt;MAX($H42:$I42)),AND($K42&lt;&gt;"",$K42&lt;MAX($H42:$J42))),"Avance semanal decreciente"&amp;" · ","")&amp;IF(AND(ISNUMBER($F42),$F42&lt;FechaRef,N($L42)&lt;1),"Vencida"&amp;" · ","")&amp;IF(AND(ObsObligatoria="Sí",ISNUMBER($F42),$F42&lt;FechaRef,N($L42)&lt;1,$N42=""),"Vencida sin observación"&amp;" · ",""),LEN(IF(AND($S42="Macro",$B42=""),"Macroactividad vacía"&amp;" · ","")&amp;IF(AND($B42&lt;&gt;"",$C42&lt;&gt;""),"Escriba la subactividad en otra fila, debajo de su macroactividad"&amp;" · ","")&amp;IF(AND($S42="Sub",N($R42)=0),"Subactividad sin macroactividad arriba"&amp;" · ","")&amp;IF($D42="","Sin responsable"&amp;" · ","")&amp;IF($E42="","Sin fecha de inicio"&amp;" · ","")&amp;IF($F42="","Sin fecha límite"&amp;" · ","")&amp;IF(OR(AND($E42&lt;&gt;"",NOT(ISNUMBER($E42))),AND($F42&lt;&gt;"",NOT(ISNUMBER($F42)))),"Fecha no válida"&amp;" · ","")&amp;IF(AND(ISNUMBER($E42),ISNUMBER($F42),$E42&gt;$F42),"Inicio posterior a fecha límite"&amp;" · ","")&amp;IF(AND($S42="Macro",$G42=""),"Peso vacío"&amp;" · ","")&amp;IF(AND($S42="Macro",$G42&lt;&gt;"",OR(NOT(ISNUMBER($G42)),$G42&lt;=0,$G42&gt;1)),"Peso fuera de rango"&amp;" · ","")&amp;IF(AND($S42="Sub",$G42&lt;&gt;""),"Las subactividades no llevan peso"&amp;" · ","")&amp;IF(AND($S42="Macro",ABS(SUMIFS($G$5:$G$1000,$P$5:$P$1000,$P42,$S$5:$S$1000,"Macro")-1)&gt;0.0001),"Pesos del mes suman "&amp;TEXT(SUMIFS($G$5:$G$1000,$P$5:$P$1000,$P42,$S$5:$S$1000,"Macro"),"0%")&amp;" · ","")&amp;IF(AND(N($T42)&gt;0,COUNT($H42:$K42)&gt;0),"Con subactividades: deje vacías las semanas (se calculan solas)"&amp;" · ","")&amp;IF((COUNTIF($H42:$K42,"&gt;1")+COUNTIF($H42:$K42,"&lt;0")+COUNTA($H42:$K42)-COUNT($H42:$K42))&gt;0,"Avance fuera de rango 0-100%"&amp;" · ","")&amp;IF(OR(AND($I42&lt;&gt;"",$I42&lt;$H42),AND($J42&lt;&gt;"",$J42&lt;MAX($H42:$I42)),AND($K42&lt;&gt;"",$K42&lt;MAX($H42:$J42))),"Avance semanal decreciente"&amp;" · ","")&amp;IF(AND(ISNUMBER($F42),$F42&lt;FechaRef,N($L42)&lt;1),"Vencida"&amp;" · ","")&amp;IF(AND(ObsObligatoria="Sí",ISNUMBER($F42),$F42&lt;FechaRef,N($L42)&lt;1,$N42=""),"Vencida sin observación"&amp;" · ",""))-3)))</f>
        <v/>
      </c>
      <c r="P42" s="69">
        <f>IF(NOT((COUNTA($B42:$K42)+COUNTA($N42))&gt;0),"",IF(AND($S42="Sub",N($R42)&gt;0),IF(ISNUMBER(INDEX($E$5:$E$1000,$R42-4)),DATE(YEAR(INDEX($E$5:$E$1000,$R42-4)),MONTH(INDEX($E$5:$E$1000,$R42-4)),1),IF(ISNUMBER(INDEX($F$5:$F$1000,$R42-4)),DATE(YEAR(INDEX($F$5:$F$1000,$R42-4)),MONTH(INDEX($F$5:$F$1000,$R42-4)),1),MesCiclo)),IF(ISNUMBER($E42),DATE(YEAR($E42),MONTH($E42),1),IF(ISNUMBER($F42),DATE(YEAR($F42),MONTH($F42),1),MesCiclo))))</f>
        <v/>
      </c>
      <c r="Q42" s="70">
        <f>IF(OR($P42="",$P42&lt;&gt;MesCiclo),"",COUNTIF($P$5:$P42,MesCiclo))</f>
        <v/>
      </c>
      <c r="R42" s="70">
        <f>IF($S42="","",IF($S42="Macro",ROW(),IFERROR(LOOKUP(2,1/($S$5:$S42="Macro"),ROW($S$5:$S42)),0)))</f>
        <v/>
      </c>
      <c r="S42" s="70">
        <f>IF(NOT((COUNTA($B42:$K42)+COUNTA($N42))&gt;0),"",IF($B42&lt;&gt;"","Macro",IF($C42&lt;&gt;"","Sub","Macro")))</f>
        <v/>
      </c>
      <c r="T42" s="70">
        <f>IF($S42="Macro",COUNTIFS($R$5:$R$1000,ROW(),$S$5:$S$1000,"Sub"),"")</f>
        <v/>
      </c>
      <c r="U42" s="70">
        <f>IF($S42="","",IF(ISNUMBER($H42),$H42,0))</f>
        <v/>
      </c>
      <c r="V42" s="70">
        <f>IF($S42="","",IF(ISNUMBER($I42),$I42,$U42))</f>
        <v/>
      </c>
      <c r="W42" s="70">
        <f>IF($S42="","",IF(ISNUMBER($J42),$J42,$V42))</f>
        <v/>
      </c>
      <c r="X42" s="70">
        <f>IF($S42="","",IF(ISNUMBER($K42),$K42,$W42))</f>
        <v/>
      </c>
      <c r="Y42" s="70">
        <f>IF($S42="","",IF(N($T42)&gt;0,AVERAGEIFS($U$5:$U$1000,$R$5:$R$1000,ROW(),$S$5:$S$1000,"Sub"),$U42))</f>
        <v/>
      </c>
      <c r="Z42" s="70">
        <f>IF($S42="","",IF(N($T42)&gt;0,AVERAGEIFS($V$5:$V$1000,$R$5:$R$1000,ROW(),$S$5:$S$1000,"Sub"),$V42))</f>
        <v/>
      </c>
      <c r="AA42" s="70">
        <f>IF($S42="","",IF(N($T42)&gt;0,AVERAGEIFS($W$5:$W$1000,$R$5:$R$1000,ROW(),$S$5:$S$1000,"Sub"),$W42))</f>
        <v/>
      </c>
      <c r="AB42" s="70">
        <f>IF($S42="","",IF(N($T42)&gt;0,AVERAGEIFS($X$5:$X$1000,$R$5:$R$1000,ROW(),$S$5:$S$1000,"Sub"),$X42))</f>
        <v/>
      </c>
    </row>
    <row r="43">
      <c r="A43" s="61">
        <f>IF(NOT((COUNTA($B43:$K43)+COUNTA($N43))&gt;0),"",IF($S43="Macro",COUNTIFS($S$5:$S43,"Macro",$P$5:$P43,$P43),IF(N($R43)=0,"?",COUNTIFS(INDEX($S$5:$S$1000,1):INDEX($S$5:$S$1000,$R43-4),"Macro",INDEX($P$5:$P$1000,1):INDEX($P$5:$P$1000,$R43-4),INDEX($P$5:$P$1000,$R43-4))&amp;"."&amp;COUNTIFS($R$5:$R43,$R43,$S$5:$S43,"Sub"))))</f>
        <v/>
      </c>
      <c r="B43" s="62" t="n"/>
      <c r="C43" s="63" t="n"/>
      <c r="D43" s="62" t="n"/>
      <c r="E43" s="64" t="n"/>
      <c r="F43" s="64" t="n"/>
      <c r="G43" s="65" t="n"/>
      <c r="H43" s="66" t="n"/>
      <c r="I43" s="66" t="n"/>
      <c r="J43" s="66" t="n"/>
      <c r="K43" s="66" t="n"/>
      <c r="L43" s="67">
        <f>IF(NOT((COUNTA($B43:$K43)+COUNTA($N43))&gt;0),"",IF(N($T43)&gt;0,$AB43,IFERROR(LOOKUP(2,1/(H43:K43&lt;&gt;""),H43:K43),0)))</f>
        <v/>
      </c>
      <c r="M43" s="61">
        <f>IF(L43="","",IF(L43&gt;=1,"Completado",IF(L43&gt;0,"En curso","Pendiente")))</f>
        <v/>
      </c>
      <c r="N43" s="62" t="n"/>
      <c r="O43" s="68">
        <f>IF(NOT((COUNTA($B43:$K43)+COUNTA($N43))&gt;0),"",IF((IF(AND($S43="Macro",$B43=""),"Macroactividad vacía"&amp;" · ","")&amp;IF(AND($B43&lt;&gt;"",$C43&lt;&gt;""),"Escriba la subactividad en otra fila, debajo de su macroactividad"&amp;" · ","")&amp;IF(AND($S43="Sub",N($R43)=0),"Subactividad sin macroactividad arriba"&amp;" · ","")&amp;IF($D43="","Sin responsable"&amp;" · ","")&amp;IF($E43="","Sin fecha de inicio"&amp;" · ","")&amp;IF($F43="","Sin fecha límite"&amp;" · ","")&amp;IF(OR(AND($E43&lt;&gt;"",NOT(ISNUMBER($E43))),AND($F43&lt;&gt;"",NOT(ISNUMBER($F43)))),"Fecha no válida"&amp;" · ","")&amp;IF(AND(ISNUMBER($E43),ISNUMBER($F43),$E43&gt;$F43),"Inicio posterior a fecha límite"&amp;" · ","")&amp;IF(AND($S43="Macro",$G43=""),"Peso vacío"&amp;" · ","")&amp;IF(AND($S43="Macro",$G43&lt;&gt;"",OR(NOT(ISNUMBER($G43)),$G43&lt;=0,$G43&gt;1)),"Peso fuera de rango"&amp;" · ","")&amp;IF(AND($S43="Sub",$G43&lt;&gt;""),"Las subactividades no llevan peso"&amp;" · ","")&amp;IF(AND($S43="Macro",ABS(SUMIFS($G$5:$G$1000,$P$5:$P$1000,$P43,$S$5:$S$1000,"Macro")-1)&gt;0.0001),"Pesos del mes suman "&amp;TEXT(SUMIFS($G$5:$G$1000,$P$5:$P$1000,$P43,$S$5:$S$1000,"Macro"),"0%")&amp;" · ","")&amp;IF(AND(N($T43)&gt;0,COUNT($H43:$K43)&gt;0),"Con subactividades: deje vacías las semanas (se calculan solas)"&amp;" · ","")&amp;IF((COUNTIF($H43:$K43,"&gt;1")+COUNTIF($H43:$K43,"&lt;0")+COUNTA($H43:$K43)-COUNT($H43:$K43))&gt;0,"Avance fuera de rango 0-100%"&amp;" · ","")&amp;IF(OR(AND($I43&lt;&gt;"",$I43&lt;$H43),AND($J43&lt;&gt;"",$J43&lt;MAX($H43:$I43)),AND($K43&lt;&gt;"",$K43&lt;MAX($H43:$J43))),"Avance semanal decreciente"&amp;" · ","")&amp;IF(AND(ISNUMBER($F43),$F43&lt;FechaRef,N($L43)&lt;1),"Vencida"&amp;" · ","")&amp;IF(AND(ObsObligatoria="Sí",ISNUMBER($F43),$F43&lt;FechaRef,N($L43)&lt;1,$N43=""),"Vencida sin observación"&amp;" · ",""))="","✔ OK","⚠ "&amp;LEFT(IF(AND($S43="Macro",$B43=""),"Macroactividad vacía"&amp;" · ","")&amp;IF(AND($B43&lt;&gt;"",$C43&lt;&gt;""),"Escriba la subactividad en otra fila, debajo de su macroactividad"&amp;" · ","")&amp;IF(AND($S43="Sub",N($R43)=0),"Subactividad sin macroactividad arriba"&amp;" · ","")&amp;IF($D43="","Sin responsable"&amp;" · ","")&amp;IF($E43="","Sin fecha de inicio"&amp;" · ","")&amp;IF($F43="","Sin fecha límite"&amp;" · ","")&amp;IF(OR(AND($E43&lt;&gt;"",NOT(ISNUMBER($E43))),AND($F43&lt;&gt;"",NOT(ISNUMBER($F43)))),"Fecha no válida"&amp;" · ","")&amp;IF(AND(ISNUMBER($E43),ISNUMBER($F43),$E43&gt;$F43),"Inicio posterior a fecha límite"&amp;" · ","")&amp;IF(AND($S43="Macro",$G43=""),"Peso vacío"&amp;" · ","")&amp;IF(AND($S43="Macro",$G43&lt;&gt;"",OR(NOT(ISNUMBER($G43)),$G43&lt;=0,$G43&gt;1)),"Peso fuera de rango"&amp;" · ","")&amp;IF(AND($S43="Sub",$G43&lt;&gt;""),"Las subactividades no llevan peso"&amp;" · ","")&amp;IF(AND($S43="Macro",ABS(SUMIFS($G$5:$G$1000,$P$5:$P$1000,$P43,$S$5:$S$1000,"Macro")-1)&gt;0.0001),"Pesos del mes suman "&amp;TEXT(SUMIFS($G$5:$G$1000,$P$5:$P$1000,$P43,$S$5:$S$1000,"Macro"),"0%")&amp;" · ","")&amp;IF(AND(N($T43)&gt;0,COUNT($H43:$K43)&gt;0),"Con subactividades: deje vacías las semanas (se calculan solas)"&amp;" · ","")&amp;IF((COUNTIF($H43:$K43,"&gt;1")+COUNTIF($H43:$K43,"&lt;0")+COUNTA($H43:$K43)-COUNT($H43:$K43))&gt;0,"Avance fuera de rango 0-100%"&amp;" · ","")&amp;IF(OR(AND($I43&lt;&gt;"",$I43&lt;$H43),AND($J43&lt;&gt;"",$J43&lt;MAX($H43:$I43)),AND($K43&lt;&gt;"",$K43&lt;MAX($H43:$J43))),"Avance semanal decreciente"&amp;" · ","")&amp;IF(AND(ISNUMBER($F43),$F43&lt;FechaRef,N($L43)&lt;1),"Vencida"&amp;" · ","")&amp;IF(AND(ObsObligatoria="Sí",ISNUMBER($F43),$F43&lt;FechaRef,N($L43)&lt;1,$N43=""),"Vencida sin observación"&amp;" · ",""),LEN(IF(AND($S43="Macro",$B43=""),"Macroactividad vacía"&amp;" · ","")&amp;IF(AND($B43&lt;&gt;"",$C43&lt;&gt;""),"Escriba la subactividad en otra fila, debajo de su macroactividad"&amp;" · ","")&amp;IF(AND($S43="Sub",N($R43)=0),"Subactividad sin macroactividad arriba"&amp;" · ","")&amp;IF($D43="","Sin responsable"&amp;" · ","")&amp;IF($E43="","Sin fecha de inicio"&amp;" · ","")&amp;IF($F43="","Sin fecha límite"&amp;" · ","")&amp;IF(OR(AND($E43&lt;&gt;"",NOT(ISNUMBER($E43))),AND($F43&lt;&gt;"",NOT(ISNUMBER($F43)))),"Fecha no válida"&amp;" · ","")&amp;IF(AND(ISNUMBER($E43),ISNUMBER($F43),$E43&gt;$F43),"Inicio posterior a fecha límite"&amp;" · ","")&amp;IF(AND($S43="Macro",$G43=""),"Peso vacío"&amp;" · ","")&amp;IF(AND($S43="Macro",$G43&lt;&gt;"",OR(NOT(ISNUMBER($G43)),$G43&lt;=0,$G43&gt;1)),"Peso fuera de rango"&amp;" · ","")&amp;IF(AND($S43="Sub",$G43&lt;&gt;""),"Las subactividades no llevan peso"&amp;" · ","")&amp;IF(AND($S43="Macro",ABS(SUMIFS($G$5:$G$1000,$P$5:$P$1000,$P43,$S$5:$S$1000,"Macro")-1)&gt;0.0001),"Pesos del mes suman "&amp;TEXT(SUMIFS($G$5:$G$1000,$P$5:$P$1000,$P43,$S$5:$S$1000,"Macro"),"0%")&amp;" · ","")&amp;IF(AND(N($T43)&gt;0,COUNT($H43:$K43)&gt;0),"Con subactividades: deje vacías las semanas (se calculan solas)"&amp;" · ","")&amp;IF((COUNTIF($H43:$K43,"&gt;1")+COUNTIF($H43:$K43,"&lt;0")+COUNTA($H43:$K43)-COUNT($H43:$K43))&gt;0,"Avance fuera de rango 0-100%"&amp;" · ","")&amp;IF(OR(AND($I43&lt;&gt;"",$I43&lt;$H43),AND($J43&lt;&gt;"",$J43&lt;MAX($H43:$I43)),AND($K43&lt;&gt;"",$K43&lt;MAX($H43:$J43))),"Avance semanal decreciente"&amp;" · ","")&amp;IF(AND(ISNUMBER($F43),$F43&lt;FechaRef,N($L43)&lt;1),"Vencida"&amp;" · ","")&amp;IF(AND(ObsObligatoria="Sí",ISNUMBER($F43),$F43&lt;FechaRef,N($L43)&lt;1,$N43=""),"Vencida sin observación"&amp;" · ",""))-3)))</f>
        <v/>
      </c>
      <c r="P43" s="69">
        <f>IF(NOT((COUNTA($B43:$K43)+COUNTA($N43))&gt;0),"",IF(AND($S43="Sub",N($R43)&gt;0),IF(ISNUMBER(INDEX($E$5:$E$1000,$R43-4)),DATE(YEAR(INDEX($E$5:$E$1000,$R43-4)),MONTH(INDEX($E$5:$E$1000,$R43-4)),1),IF(ISNUMBER(INDEX($F$5:$F$1000,$R43-4)),DATE(YEAR(INDEX($F$5:$F$1000,$R43-4)),MONTH(INDEX($F$5:$F$1000,$R43-4)),1),MesCiclo)),IF(ISNUMBER($E43),DATE(YEAR($E43),MONTH($E43),1),IF(ISNUMBER($F43),DATE(YEAR($F43),MONTH($F43),1),MesCiclo))))</f>
        <v/>
      </c>
      <c r="Q43" s="70">
        <f>IF(OR($P43="",$P43&lt;&gt;MesCiclo),"",COUNTIF($P$5:$P43,MesCiclo))</f>
        <v/>
      </c>
      <c r="R43" s="70">
        <f>IF($S43="","",IF($S43="Macro",ROW(),IFERROR(LOOKUP(2,1/($S$5:$S43="Macro"),ROW($S$5:$S43)),0)))</f>
        <v/>
      </c>
      <c r="S43" s="70">
        <f>IF(NOT((COUNTA($B43:$K43)+COUNTA($N43))&gt;0),"",IF($B43&lt;&gt;"","Macro",IF($C43&lt;&gt;"","Sub","Macro")))</f>
        <v/>
      </c>
      <c r="T43" s="70">
        <f>IF($S43="Macro",COUNTIFS($R$5:$R$1000,ROW(),$S$5:$S$1000,"Sub"),"")</f>
        <v/>
      </c>
      <c r="U43" s="70">
        <f>IF($S43="","",IF(ISNUMBER($H43),$H43,0))</f>
        <v/>
      </c>
      <c r="V43" s="70">
        <f>IF($S43="","",IF(ISNUMBER($I43),$I43,$U43))</f>
        <v/>
      </c>
      <c r="W43" s="70">
        <f>IF($S43="","",IF(ISNUMBER($J43),$J43,$V43))</f>
        <v/>
      </c>
      <c r="X43" s="70">
        <f>IF($S43="","",IF(ISNUMBER($K43),$K43,$W43))</f>
        <v/>
      </c>
      <c r="Y43" s="70">
        <f>IF($S43="","",IF(N($T43)&gt;0,AVERAGEIFS($U$5:$U$1000,$R$5:$R$1000,ROW(),$S$5:$S$1000,"Sub"),$U43))</f>
        <v/>
      </c>
      <c r="Z43" s="70">
        <f>IF($S43="","",IF(N($T43)&gt;0,AVERAGEIFS($V$5:$V$1000,$R$5:$R$1000,ROW(),$S$5:$S$1000,"Sub"),$V43))</f>
        <v/>
      </c>
      <c r="AA43" s="70">
        <f>IF($S43="","",IF(N($T43)&gt;0,AVERAGEIFS($W$5:$W$1000,$R$5:$R$1000,ROW(),$S$5:$S$1000,"Sub"),$W43))</f>
        <v/>
      </c>
      <c r="AB43" s="70">
        <f>IF($S43="","",IF(N($T43)&gt;0,AVERAGEIFS($X$5:$X$1000,$R$5:$R$1000,ROW(),$S$5:$S$1000,"Sub"),$X43))</f>
        <v/>
      </c>
    </row>
    <row r="44">
      <c r="A44" s="61">
        <f>IF(NOT((COUNTA($B44:$K44)+COUNTA($N44))&gt;0),"",IF($S44="Macro",COUNTIFS($S$5:$S44,"Macro",$P$5:$P44,$P44),IF(N($R44)=0,"?",COUNTIFS(INDEX($S$5:$S$1000,1):INDEX($S$5:$S$1000,$R44-4),"Macro",INDEX($P$5:$P$1000,1):INDEX($P$5:$P$1000,$R44-4),INDEX($P$5:$P$1000,$R44-4))&amp;"."&amp;COUNTIFS($R$5:$R44,$R44,$S$5:$S44,"Sub"))))</f>
        <v/>
      </c>
      <c r="B44" s="62" t="n"/>
      <c r="C44" s="63" t="n"/>
      <c r="D44" s="62" t="n"/>
      <c r="E44" s="64" t="n"/>
      <c r="F44" s="64" t="n"/>
      <c r="G44" s="65" t="n"/>
      <c r="H44" s="66" t="n"/>
      <c r="I44" s="66" t="n"/>
      <c r="J44" s="66" t="n"/>
      <c r="K44" s="66" t="n"/>
      <c r="L44" s="67">
        <f>IF(NOT((COUNTA($B44:$K44)+COUNTA($N44))&gt;0),"",IF(N($T44)&gt;0,$AB44,IFERROR(LOOKUP(2,1/(H44:K44&lt;&gt;""),H44:K44),0)))</f>
        <v/>
      </c>
      <c r="M44" s="61">
        <f>IF(L44="","",IF(L44&gt;=1,"Completado",IF(L44&gt;0,"En curso","Pendiente")))</f>
        <v/>
      </c>
      <c r="N44" s="62" t="n"/>
      <c r="O44" s="68">
        <f>IF(NOT((COUNTA($B44:$K44)+COUNTA($N44))&gt;0),"",IF((IF(AND($S44="Macro",$B44=""),"Macroactividad vacía"&amp;" · ","")&amp;IF(AND($B44&lt;&gt;"",$C44&lt;&gt;""),"Escriba la subactividad en otra fila, debajo de su macroactividad"&amp;" · ","")&amp;IF(AND($S44="Sub",N($R44)=0),"Subactividad sin macroactividad arriba"&amp;" · ","")&amp;IF($D44="","Sin responsable"&amp;" · ","")&amp;IF($E44="","Sin fecha de inicio"&amp;" · ","")&amp;IF($F44="","Sin fecha límite"&amp;" · ","")&amp;IF(OR(AND($E44&lt;&gt;"",NOT(ISNUMBER($E44))),AND($F44&lt;&gt;"",NOT(ISNUMBER($F44)))),"Fecha no válida"&amp;" · ","")&amp;IF(AND(ISNUMBER($E44),ISNUMBER($F44),$E44&gt;$F44),"Inicio posterior a fecha límite"&amp;" · ","")&amp;IF(AND($S44="Macro",$G44=""),"Peso vacío"&amp;" · ","")&amp;IF(AND($S44="Macro",$G44&lt;&gt;"",OR(NOT(ISNUMBER($G44)),$G44&lt;=0,$G44&gt;1)),"Peso fuera de rango"&amp;" · ","")&amp;IF(AND($S44="Sub",$G44&lt;&gt;""),"Las subactividades no llevan peso"&amp;" · ","")&amp;IF(AND($S44="Macro",ABS(SUMIFS($G$5:$G$1000,$P$5:$P$1000,$P44,$S$5:$S$1000,"Macro")-1)&gt;0.0001),"Pesos del mes suman "&amp;TEXT(SUMIFS($G$5:$G$1000,$P$5:$P$1000,$P44,$S$5:$S$1000,"Macro"),"0%")&amp;" · ","")&amp;IF(AND(N($T44)&gt;0,COUNT($H44:$K44)&gt;0),"Con subactividades: deje vacías las semanas (se calculan solas)"&amp;" · ","")&amp;IF((COUNTIF($H44:$K44,"&gt;1")+COUNTIF($H44:$K44,"&lt;0")+COUNTA($H44:$K44)-COUNT($H44:$K44))&gt;0,"Avance fuera de rango 0-100%"&amp;" · ","")&amp;IF(OR(AND($I44&lt;&gt;"",$I44&lt;$H44),AND($J44&lt;&gt;"",$J44&lt;MAX($H44:$I44)),AND($K44&lt;&gt;"",$K44&lt;MAX($H44:$J44))),"Avance semanal decreciente"&amp;" · ","")&amp;IF(AND(ISNUMBER($F44),$F44&lt;FechaRef,N($L44)&lt;1),"Vencida"&amp;" · ","")&amp;IF(AND(ObsObligatoria="Sí",ISNUMBER($F44),$F44&lt;FechaRef,N($L44)&lt;1,$N44=""),"Vencida sin observación"&amp;" · ",""))="","✔ OK","⚠ "&amp;LEFT(IF(AND($S44="Macro",$B44=""),"Macroactividad vacía"&amp;" · ","")&amp;IF(AND($B44&lt;&gt;"",$C44&lt;&gt;""),"Escriba la subactividad en otra fila, debajo de su macroactividad"&amp;" · ","")&amp;IF(AND($S44="Sub",N($R44)=0),"Subactividad sin macroactividad arriba"&amp;" · ","")&amp;IF($D44="","Sin responsable"&amp;" · ","")&amp;IF($E44="","Sin fecha de inicio"&amp;" · ","")&amp;IF($F44="","Sin fecha límite"&amp;" · ","")&amp;IF(OR(AND($E44&lt;&gt;"",NOT(ISNUMBER($E44))),AND($F44&lt;&gt;"",NOT(ISNUMBER($F44)))),"Fecha no válida"&amp;" · ","")&amp;IF(AND(ISNUMBER($E44),ISNUMBER($F44),$E44&gt;$F44),"Inicio posterior a fecha límite"&amp;" · ","")&amp;IF(AND($S44="Macro",$G44=""),"Peso vacío"&amp;" · ","")&amp;IF(AND($S44="Macro",$G44&lt;&gt;"",OR(NOT(ISNUMBER($G44)),$G44&lt;=0,$G44&gt;1)),"Peso fuera de rango"&amp;" · ","")&amp;IF(AND($S44="Sub",$G44&lt;&gt;""),"Las subactividades no llevan peso"&amp;" · ","")&amp;IF(AND($S44="Macro",ABS(SUMIFS($G$5:$G$1000,$P$5:$P$1000,$P44,$S$5:$S$1000,"Macro")-1)&gt;0.0001),"Pesos del mes suman "&amp;TEXT(SUMIFS($G$5:$G$1000,$P$5:$P$1000,$P44,$S$5:$S$1000,"Macro"),"0%")&amp;" · ","")&amp;IF(AND(N($T44)&gt;0,COUNT($H44:$K44)&gt;0),"Con subactividades: deje vacías las semanas (se calculan solas)"&amp;" · ","")&amp;IF((COUNTIF($H44:$K44,"&gt;1")+COUNTIF($H44:$K44,"&lt;0")+COUNTA($H44:$K44)-COUNT($H44:$K44))&gt;0,"Avance fuera de rango 0-100%"&amp;" · ","")&amp;IF(OR(AND($I44&lt;&gt;"",$I44&lt;$H44),AND($J44&lt;&gt;"",$J44&lt;MAX($H44:$I44)),AND($K44&lt;&gt;"",$K44&lt;MAX($H44:$J44))),"Avance semanal decreciente"&amp;" · ","")&amp;IF(AND(ISNUMBER($F44),$F44&lt;FechaRef,N($L44)&lt;1),"Vencida"&amp;" · ","")&amp;IF(AND(ObsObligatoria="Sí",ISNUMBER($F44),$F44&lt;FechaRef,N($L44)&lt;1,$N44=""),"Vencida sin observación"&amp;" · ",""),LEN(IF(AND($S44="Macro",$B44=""),"Macroactividad vacía"&amp;" · ","")&amp;IF(AND($B44&lt;&gt;"",$C44&lt;&gt;""),"Escriba la subactividad en otra fila, debajo de su macroactividad"&amp;" · ","")&amp;IF(AND($S44="Sub",N($R44)=0),"Subactividad sin macroactividad arriba"&amp;" · ","")&amp;IF($D44="","Sin responsable"&amp;" · ","")&amp;IF($E44="","Sin fecha de inicio"&amp;" · ","")&amp;IF($F44="","Sin fecha límite"&amp;" · ","")&amp;IF(OR(AND($E44&lt;&gt;"",NOT(ISNUMBER($E44))),AND($F44&lt;&gt;"",NOT(ISNUMBER($F44)))),"Fecha no válida"&amp;" · ","")&amp;IF(AND(ISNUMBER($E44),ISNUMBER($F44),$E44&gt;$F44),"Inicio posterior a fecha límite"&amp;" · ","")&amp;IF(AND($S44="Macro",$G44=""),"Peso vacío"&amp;" · ","")&amp;IF(AND($S44="Macro",$G44&lt;&gt;"",OR(NOT(ISNUMBER($G44)),$G44&lt;=0,$G44&gt;1)),"Peso fuera de rango"&amp;" · ","")&amp;IF(AND($S44="Sub",$G44&lt;&gt;""),"Las subactividades no llevan peso"&amp;" · ","")&amp;IF(AND($S44="Macro",ABS(SUMIFS($G$5:$G$1000,$P$5:$P$1000,$P44,$S$5:$S$1000,"Macro")-1)&gt;0.0001),"Pesos del mes suman "&amp;TEXT(SUMIFS($G$5:$G$1000,$P$5:$P$1000,$P44,$S$5:$S$1000,"Macro"),"0%")&amp;" · ","")&amp;IF(AND(N($T44)&gt;0,COUNT($H44:$K44)&gt;0),"Con subactividades: deje vacías las semanas (se calculan solas)"&amp;" · ","")&amp;IF((COUNTIF($H44:$K44,"&gt;1")+COUNTIF($H44:$K44,"&lt;0")+COUNTA($H44:$K44)-COUNT($H44:$K44))&gt;0,"Avance fuera de rango 0-100%"&amp;" · ","")&amp;IF(OR(AND($I44&lt;&gt;"",$I44&lt;$H44),AND($J44&lt;&gt;"",$J44&lt;MAX($H44:$I44)),AND($K44&lt;&gt;"",$K44&lt;MAX($H44:$J44))),"Avance semanal decreciente"&amp;" · ","")&amp;IF(AND(ISNUMBER($F44),$F44&lt;FechaRef,N($L44)&lt;1),"Vencida"&amp;" · ","")&amp;IF(AND(ObsObligatoria="Sí",ISNUMBER($F44),$F44&lt;FechaRef,N($L44)&lt;1,$N44=""),"Vencida sin observación"&amp;" · ",""))-3)))</f>
        <v/>
      </c>
      <c r="P44" s="69">
        <f>IF(NOT((COUNTA($B44:$K44)+COUNTA($N44))&gt;0),"",IF(AND($S44="Sub",N($R44)&gt;0),IF(ISNUMBER(INDEX($E$5:$E$1000,$R44-4)),DATE(YEAR(INDEX($E$5:$E$1000,$R44-4)),MONTH(INDEX($E$5:$E$1000,$R44-4)),1),IF(ISNUMBER(INDEX($F$5:$F$1000,$R44-4)),DATE(YEAR(INDEX($F$5:$F$1000,$R44-4)),MONTH(INDEX($F$5:$F$1000,$R44-4)),1),MesCiclo)),IF(ISNUMBER($E44),DATE(YEAR($E44),MONTH($E44),1),IF(ISNUMBER($F44),DATE(YEAR($F44),MONTH($F44),1),MesCiclo))))</f>
        <v/>
      </c>
      <c r="Q44" s="70">
        <f>IF(OR($P44="",$P44&lt;&gt;MesCiclo),"",COUNTIF($P$5:$P44,MesCiclo))</f>
        <v/>
      </c>
      <c r="R44" s="70">
        <f>IF($S44="","",IF($S44="Macro",ROW(),IFERROR(LOOKUP(2,1/($S$5:$S44="Macro"),ROW($S$5:$S44)),0)))</f>
        <v/>
      </c>
      <c r="S44" s="70">
        <f>IF(NOT((COUNTA($B44:$K44)+COUNTA($N44))&gt;0),"",IF($B44&lt;&gt;"","Macro",IF($C44&lt;&gt;"","Sub","Macro")))</f>
        <v/>
      </c>
      <c r="T44" s="70">
        <f>IF($S44="Macro",COUNTIFS($R$5:$R$1000,ROW(),$S$5:$S$1000,"Sub"),"")</f>
        <v/>
      </c>
      <c r="U44" s="70">
        <f>IF($S44="","",IF(ISNUMBER($H44),$H44,0))</f>
        <v/>
      </c>
      <c r="V44" s="70">
        <f>IF($S44="","",IF(ISNUMBER($I44),$I44,$U44))</f>
        <v/>
      </c>
      <c r="W44" s="70">
        <f>IF($S44="","",IF(ISNUMBER($J44),$J44,$V44))</f>
        <v/>
      </c>
      <c r="X44" s="70">
        <f>IF($S44="","",IF(ISNUMBER($K44),$K44,$W44))</f>
        <v/>
      </c>
      <c r="Y44" s="70">
        <f>IF($S44="","",IF(N($T44)&gt;0,AVERAGEIFS($U$5:$U$1000,$R$5:$R$1000,ROW(),$S$5:$S$1000,"Sub"),$U44))</f>
        <v/>
      </c>
      <c r="Z44" s="70">
        <f>IF($S44="","",IF(N($T44)&gt;0,AVERAGEIFS($V$5:$V$1000,$R$5:$R$1000,ROW(),$S$5:$S$1000,"Sub"),$V44))</f>
        <v/>
      </c>
      <c r="AA44" s="70">
        <f>IF($S44="","",IF(N($T44)&gt;0,AVERAGEIFS($W$5:$W$1000,$R$5:$R$1000,ROW(),$S$5:$S$1000,"Sub"),$W44))</f>
        <v/>
      </c>
      <c r="AB44" s="70">
        <f>IF($S44="","",IF(N($T44)&gt;0,AVERAGEIFS($X$5:$X$1000,$R$5:$R$1000,ROW(),$S$5:$S$1000,"Sub"),$X44))</f>
        <v/>
      </c>
    </row>
    <row r="45">
      <c r="A45" s="61">
        <f>IF(NOT((COUNTA($B45:$K45)+COUNTA($N45))&gt;0),"",IF($S45="Macro",COUNTIFS($S$5:$S45,"Macro",$P$5:$P45,$P45),IF(N($R45)=0,"?",COUNTIFS(INDEX($S$5:$S$1000,1):INDEX($S$5:$S$1000,$R45-4),"Macro",INDEX($P$5:$P$1000,1):INDEX($P$5:$P$1000,$R45-4),INDEX($P$5:$P$1000,$R45-4))&amp;"."&amp;COUNTIFS($R$5:$R45,$R45,$S$5:$S45,"Sub"))))</f>
        <v/>
      </c>
      <c r="B45" s="62" t="n"/>
      <c r="C45" s="63" t="n"/>
      <c r="D45" s="62" t="n"/>
      <c r="E45" s="64" t="n"/>
      <c r="F45" s="64" t="n"/>
      <c r="G45" s="65" t="n"/>
      <c r="H45" s="66" t="n"/>
      <c r="I45" s="66" t="n"/>
      <c r="J45" s="66" t="n"/>
      <c r="K45" s="66" t="n"/>
      <c r="L45" s="67">
        <f>IF(NOT((COUNTA($B45:$K45)+COUNTA($N45))&gt;0),"",IF(N($T45)&gt;0,$AB45,IFERROR(LOOKUP(2,1/(H45:K45&lt;&gt;""),H45:K45),0)))</f>
        <v/>
      </c>
      <c r="M45" s="61">
        <f>IF(L45="","",IF(L45&gt;=1,"Completado",IF(L45&gt;0,"En curso","Pendiente")))</f>
        <v/>
      </c>
      <c r="N45" s="62" t="n"/>
      <c r="O45" s="68">
        <f>IF(NOT((COUNTA($B45:$K45)+COUNTA($N45))&gt;0),"",IF((IF(AND($S45="Macro",$B45=""),"Macroactividad vacía"&amp;" · ","")&amp;IF(AND($B45&lt;&gt;"",$C45&lt;&gt;""),"Escriba la subactividad en otra fila, debajo de su macroactividad"&amp;" · ","")&amp;IF(AND($S45="Sub",N($R45)=0),"Subactividad sin macroactividad arriba"&amp;" · ","")&amp;IF($D45="","Sin responsable"&amp;" · ","")&amp;IF($E45="","Sin fecha de inicio"&amp;" · ","")&amp;IF($F45="","Sin fecha límite"&amp;" · ","")&amp;IF(OR(AND($E45&lt;&gt;"",NOT(ISNUMBER($E45))),AND($F45&lt;&gt;"",NOT(ISNUMBER($F45)))),"Fecha no válida"&amp;" · ","")&amp;IF(AND(ISNUMBER($E45),ISNUMBER($F45),$E45&gt;$F45),"Inicio posterior a fecha límite"&amp;" · ","")&amp;IF(AND($S45="Macro",$G45=""),"Peso vacío"&amp;" · ","")&amp;IF(AND($S45="Macro",$G45&lt;&gt;"",OR(NOT(ISNUMBER($G45)),$G45&lt;=0,$G45&gt;1)),"Peso fuera de rango"&amp;" · ","")&amp;IF(AND($S45="Sub",$G45&lt;&gt;""),"Las subactividades no llevan peso"&amp;" · ","")&amp;IF(AND($S45="Macro",ABS(SUMIFS($G$5:$G$1000,$P$5:$P$1000,$P45,$S$5:$S$1000,"Macro")-1)&gt;0.0001),"Pesos del mes suman "&amp;TEXT(SUMIFS($G$5:$G$1000,$P$5:$P$1000,$P45,$S$5:$S$1000,"Macro"),"0%")&amp;" · ","")&amp;IF(AND(N($T45)&gt;0,COUNT($H45:$K45)&gt;0),"Con subactividades: deje vacías las semanas (se calculan solas)"&amp;" · ","")&amp;IF((COUNTIF($H45:$K45,"&gt;1")+COUNTIF($H45:$K45,"&lt;0")+COUNTA($H45:$K45)-COUNT($H45:$K45))&gt;0,"Avance fuera de rango 0-100%"&amp;" · ","")&amp;IF(OR(AND($I45&lt;&gt;"",$I45&lt;$H45),AND($J45&lt;&gt;"",$J45&lt;MAX($H45:$I45)),AND($K45&lt;&gt;"",$K45&lt;MAX($H45:$J45))),"Avance semanal decreciente"&amp;" · ","")&amp;IF(AND(ISNUMBER($F45),$F45&lt;FechaRef,N($L45)&lt;1),"Vencida"&amp;" · ","")&amp;IF(AND(ObsObligatoria="Sí",ISNUMBER($F45),$F45&lt;FechaRef,N($L45)&lt;1,$N45=""),"Vencida sin observación"&amp;" · ",""))="","✔ OK","⚠ "&amp;LEFT(IF(AND($S45="Macro",$B45=""),"Macroactividad vacía"&amp;" · ","")&amp;IF(AND($B45&lt;&gt;"",$C45&lt;&gt;""),"Escriba la subactividad en otra fila, debajo de su macroactividad"&amp;" · ","")&amp;IF(AND($S45="Sub",N($R45)=0),"Subactividad sin macroactividad arriba"&amp;" · ","")&amp;IF($D45="","Sin responsable"&amp;" · ","")&amp;IF($E45="","Sin fecha de inicio"&amp;" · ","")&amp;IF($F45="","Sin fecha límite"&amp;" · ","")&amp;IF(OR(AND($E45&lt;&gt;"",NOT(ISNUMBER($E45))),AND($F45&lt;&gt;"",NOT(ISNUMBER($F45)))),"Fecha no válida"&amp;" · ","")&amp;IF(AND(ISNUMBER($E45),ISNUMBER($F45),$E45&gt;$F45),"Inicio posterior a fecha límite"&amp;" · ","")&amp;IF(AND($S45="Macro",$G45=""),"Peso vacío"&amp;" · ","")&amp;IF(AND($S45="Macro",$G45&lt;&gt;"",OR(NOT(ISNUMBER($G45)),$G45&lt;=0,$G45&gt;1)),"Peso fuera de rango"&amp;" · ","")&amp;IF(AND($S45="Sub",$G45&lt;&gt;""),"Las subactividades no llevan peso"&amp;" · ","")&amp;IF(AND($S45="Macro",ABS(SUMIFS($G$5:$G$1000,$P$5:$P$1000,$P45,$S$5:$S$1000,"Macro")-1)&gt;0.0001),"Pesos del mes suman "&amp;TEXT(SUMIFS($G$5:$G$1000,$P$5:$P$1000,$P45,$S$5:$S$1000,"Macro"),"0%")&amp;" · ","")&amp;IF(AND(N($T45)&gt;0,COUNT($H45:$K45)&gt;0),"Con subactividades: deje vacías las semanas (se calculan solas)"&amp;" · ","")&amp;IF((COUNTIF($H45:$K45,"&gt;1")+COUNTIF($H45:$K45,"&lt;0")+COUNTA($H45:$K45)-COUNT($H45:$K45))&gt;0,"Avance fuera de rango 0-100%"&amp;" · ","")&amp;IF(OR(AND($I45&lt;&gt;"",$I45&lt;$H45),AND($J45&lt;&gt;"",$J45&lt;MAX($H45:$I45)),AND($K45&lt;&gt;"",$K45&lt;MAX($H45:$J45))),"Avance semanal decreciente"&amp;" · ","")&amp;IF(AND(ISNUMBER($F45),$F45&lt;FechaRef,N($L45)&lt;1),"Vencida"&amp;" · ","")&amp;IF(AND(ObsObligatoria="Sí",ISNUMBER($F45),$F45&lt;FechaRef,N($L45)&lt;1,$N45=""),"Vencida sin observación"&amp;" · ",""),LEN(IF(AND($S45="Macro",$B45=""),"Macroactividad vacía"&amp;" · ","")&amp;IF(AND($B45&lt;&gt;"",$C45&lt;&gt;""),"Escriba la subactividad en otra fila, debajo de su macroactividad"&amp;" · ","")&amp;IF(AND($S45="Sub",N($R45)=0),"Subactividad sin macroactividad arriba"&amp;" · ","")&amp;IF($D45="","Sin responsable"&amp;" · ","")&amp;IF($E45="","Sin fecha de inicio"&amp;" · ","")&amp;IF($F45="","Sin fecha límite"&amp;" · ","")&amp;IF(OR(AND($E45&lt;&gt;"",NOT(ISNUMBER($E45))),AND($F45&lt;&gt;"",NOT(ISNUMBER($F45)))),"Fecha no válida"&amp;" · ","")&amp;IF(AND(ISNUMBER($E45),ISNUMBER($F45),$E45&gt;$F45),"Inicio posterior a fecha límite"&amp;" · ","")&amp;IF(AND($S45="Macro",$G45=""),"Peso vacío"&amp;" · ","")&amp;IF(AND($S45="Macro",$G45&lt;&gt;"",OR(NOT(ISNUMBER($G45)),$G45&lt;=0,$G45&gt;1)),"Peso fuera de rango"&amp;" · ","")&amp;IF(AND($S45="Sub",$G45&lt;&gt;""),"Las subactividades no llevan peso"&amp;" · ","")&amp;IF(AND($S45="Macro",ABS(SUMIFS($G$5:$G$1000,$P$5:$P$1000,$P45,$S$5:$S$1000,"Macro")-1)&gt;0.0001),"Pesos del mes suman "&amp;TEXT(SUMIFS($G$5:$G$1000,$P$5:$P$1000,$P45,$S$5:$S$1000,"Macro"),"0%")&amp;" · ","")&amp;IF(AND(N($T45)&gt;0,COUNT($H45:$K45)&gt;0),"Con subactividades: deje vacías las semanas (se calculan solas)"&amp;" · ","")&amp;IF((COUNTIF($H45:$K45,"&gt;1")+COUNTIF($H45:$K45,"&lt;0")+COUNTA($H45:$K45)-COUNT($H45:$K45))&gt;0,"Avance fuera de rango 0-100%"&amp;" · ","")&amp;IF(OR(AND($I45&lt;&gt;"",$I45&lt;$H45),AND($J45&lt;&gt;"",$J45&lt;MAX($H45:$I45)),AND($K45&lt;&gt;"",$K45&lt;MAX($H45:$J45))),"Avance semanal decreciente"&amp;" · ","")&amp;IF(AND(ISNUMBER($F45),$F45&lt;FechaRef,N($L45)&lt;1),"Vencida"&amp;" · ","")&amp;IF(AND(ObsObligatoria="Sí",ISNUMBER($F45),$F45&lt;FechaRef,N($L45)&lt;1,$N45=""),"Vencida sin observación"&amp;" · ",""))-3)))</f>
        <v/>
      </c>
      <c r="P45" s="69">
        <f>IF(NOT((COUNTA($B45:$K45)+COUNTA($N45))&gt;0),"",IF(AND($S45="Sub",N($R45)&gt;0),IF(ISNUMBER(INDEX($E$5:$E$1000,$R45-4)),DATE(YEAR(INDEX($E$5:$E$1000,$R45-4)),MONTH(INDEX($E$5:$E$1000,$R45-4)),1),IF(ISNUMBER(INDEX($F$5:$F$1000,$R45-4)),DATE(YEAR(INDEX($F$5:$F$1000,$R45-4)),MONTH(INDEX($F$5:$F$1000,$R45-4)),1),MesCiclo)),IF(ISNUMBER($E45),DATE(YEAR($E45),MONTH($E45),1),IF(ISNUMBER($F45),DATE(YEAR($F45),MONTH($F45),1),MesCiclo))))</f>
        <v/>
      </c>
      <c r="Q45" s="70">
        <f>IF(OR($P45="",$P45&lt;&gt;MesCiclo),"",COUNTIF($P$5:$P45,MesCiclo))</f>
        <v/>
      </c>
      <c r="R45" s="70">
        <f>IF($S45="","",IF($S45="Macro",ROW(),IFERROR(LOOKUP(2,1/($S$5:$S45="Macro"),ROW($S$5:$S45)),0)))</f>
        <v/>
      </c>
      <c r="S45" s="70">
        <f>IF(NOT((COUNTA($B45:$K45)+COUNTA($N45))&gt;0),"",IF($B45&lt;&gt;"","Macro",IF($C45&lt;&gt;"","Sub","Macro")))</f>
        <v/>
      </c>
      <c r="T45" s="70">
        <f>IF($S45="Macro",COUNTIFS($R$5:$R$1000,ROW(),$S$5:$S$1000,"Sub"),"")</f>
        <v/>
      </c>
      <c r="U45" s="70">
        <f>IF($S45="","",IF(ISNUMBER($H45),$H45,0))</f>
        <v/>
      </c>
      <c r="V45" s="70">
        <f>IF($S45="","",IF(ISNUMBER($I45),$I45,$U45))</f>
        <v/>
      </c>
      <c r="W45" s="70">
        <f>IF($S45="","",IF(ISNUMBER($J45),$J45,$V45))</f>
        <v/>
      </c>
      <c r="X45" s="70">
        <f>IF($S45="","",IF(ISNUMBER($K45),$K45,$W45))</f>
        <v/>
      </c>
      <c r="Y45" s="70">
        <f>IF($S45="","",IF(N($T45)&gt;0,AVERAGEIFS($U$5:$U$1000,$R$5:$R$1000,ROW(),$S$5:$S$1000,"Sub"),$U45))</f>
        <v/>
      </c>
      <c r="Z45" s="70">
        <f>IF($S45="","",IF(N($T45)&gt;0,AVERAGEIFS($V$5:$V$1000,$R$5:$R$1000,ROW(),$S$5:$S$1000,"Sub"),$V45))</f>
        <v/>
      </c>
      <c r="AA45" s="70">
        <f>IF($S45="","",IF(N($T45)&gt;0,AVERAGEIFS($W$5:$W$1000,$R$5:$R$1000,ROW(),$S$5:$S$1000,"Sub"),$W45))</f>
        <v/>
      </c>
      <c r="AB45" s="70">
        <f>IF($S45="","",IF(N($T45)&gt;0,AVERAGEIFS($X$5:$X$1000,$R$5:$R$1000,ROW(),$S$5:$S$1000,"Sub"),$X45))</f>
        <v/>
      </c>
    </row>
    <row r="46">
      <c r="A46" s="61">
        <f>IF(NOT((COUNTA($B46:$K46)+COUNTA($N46))&gt;0),"",IF($S46="Macro",COUNTIFS($S$5:$S46,"Macro",$P$5:$P46,$P46),IF(N($R46)=0,"?",COUNTIFS(INDEX($S$5:$S$1000,1):INDEX($S$5:$S$1000,$R46-4),"Macro",INDEX($P$5:$P$1000,1):INDEX($P$5:$P$1000,$R46-4),INDEX($P$5:$P$1000,$R46-4))&amp;"."&amp;COUNTIFS($R$5:$R46,$R46,$S$5:$S46,"Sub"))))</f>
        <v/>
      </c>
      <c r="B46" s="62" t="n"/>
      <c r="C46" s="63" t="n"/>
      <c r="D46" s="62" t="n"/>
      <c r="E46" s="64" t="n"/>
      <c r="F46" s="64" t="n"/>
      <c r="G46" s="65" t="n"/>
      <c r="H46" s="66" t="n"/>
      <c r="I46" s="66" t="n"/>
      <c r="J46" s="66" t="n"/>
      <c r="K46" s="66" t="n"/>
      <c r="L46" s="67">
        <f>IF(NOT((COUNTA($B46:$K46)+COUNTA($N46))&gt;0),"",IF(N($T46)&gt;0,$AB46,IFERROR(LOOKUP(2,1/(H46:K46&lt;&gt;""),H46:K46),0)))</f>
        <v/>
      </c>
      <c r="M46" s="61">
        <f>IF(L46="","",IF(L46&gt;=1,"Completado",IF(L46&gt;0,"En curso","Pendiente")))</f>
        <v/>
      </c>
      <c r="N46" s="62" t="n"/>
      <c r="O46" s="68">
        <f>IF(NOT((COUNTA($B46:$K46)+COUNTA($N46))&gt;0),"",IF((IF(AND($S46="Macro",$B46=""),"Macroactividad vacía"&amp;" · ","")&amp;IF(AND($B46&lt;&gt;"",$C46&lt;&gt;""),"Escriba la subactividad en otra fila, debajo de su macroactividad"&amp;" · ","")&amp;IF(AND($S46="Sub",N($R46)=0),"Subactividad sin macroactividad arriba"&amp;" · ","")&amp;IF($D46="","Sin responsable"&amp;" · ","")&amp;IF($E46="","Sin fecha de inicio"&amp;" · ","")&amp;IF($F46="","Sin fecha límite"&amp;" · ","")&amp;IF(OR(AND($E46&lt;&gt;"",NOT(ISNUMBER($E46))),AND($F46&lt;&gt;"",NOT(ISNUMBER($F46)))),"Fecha no válida"&amp;" · ","")&amp;IF(AND(ISNUMBER($E46),ISNUMBER($F46),$E46&gt;$F46),"Inicio posterior a fecha límite"&amp;" · ","")&amp;IF(AND($S46="Macro",$G46=""),"Peso vacío"&amp;" · ","")&amp;IF(AND($S46="Macro",$G46&lt;&gt;"",OR(NOT(ISNUMBER($G46)),$G46&lt;=0,$G46&gt;1)),"Peso fuera de rango"&amp;" · ","")&amp;IF(AND($S46="Sub",$G46&lt;&gt;""),"Las subactividades no llevan peso"&amp;" · ","")&amp;IF(AND($S46="Macro",ABS(SUMIFS($G$5:$G$1000,$P$5:$P$1000,$P46,$S$5:$S$1000,"Macro")-1)&gt;0.0001),"Pesos del mes suman "&amp;TEXT(SUMIFS($G$5:$G$1000,$P$5:$P$1000,$P46,$S$5:$S$1000,"Macro"),"0%")&amp;" · ","")&amp;IF(AND(N($T46)&gt;0,COUNT($H46:$K46)&gt;0),"Con subactividades: deje vacías las semanas (se calculan solas)"&amp;" · ","")&amp;IF((COUNTIF($H46:$K46,"&gt;1")+COUNTIF($H46:$K46,"&lt;0")+COUNTA($H46:$K46)-COUNT($H46:$K46))&gt;0,"Avance fuera de rango 0-100%"&amp;" · ","")&amp;IF(OR(AND($I46&lt;&gt;"",$I46&lt;$H46),AND($J46&lt;&gt;"",$J46&lt;MAX($H46:$I46)),AND($K46&lt;&gt;"",$K46&lt;MAX($H46:$J46))),"Avance semanal decreciente"&amp;" · ","")&amp;IF(AND(ISNUMBER($F46),$F46&lt;FechaRef,N($L46)&lt;1),"Vencida"&amp;" · ","")&amp;IF(AND(ObsObligatoria="Sí",ISNUMBER($F46),$F46&lt;FechaRef,N($L46)&lt;1,$N46=""),"Vencida sin observación"&amp;" · ",""))="","✔ OK","⚠ "&amp;LEFT(IF(AND($S46="Macro",$B46=""),"Macroactividad vacía"&amp;" · ","")&amp;IF(AND($B46&lt;&gt;"",$C46&lt;&gt;""),"Escriba la subactividad en otra fila, debajo de su macroactividad"&amp;" · ","")&amp;IF(AND($S46="Sub",N($R46)=0),"Subactividad sin macroactividad arriba"&amp;" · ","")&amp;IF($D46="","Sin responsable"&amp;" · ","")&amp;IF($E46="","Sin fecha de inicio"&amp;" · ","")&amp;IF($F46="","Sin fecha límite"&amp;" · ","")&amp;IF(OR(AND($E46&lt;&gt;"",NOT(ISNUMBER($E46))),AND($F46&lt;&gt;"",NOT(ISNUMBER($F46)))),"Fecha no válida"&amp;" · ","")&amp;IF(AND(ISNUMBER($E46),ISNUMBER($F46),$E46&gt;$F46),"Inicio posterior a fecha límite"&amp;" · ","")&amp;IF(AND($S46="Macro",$G46=""),"Peso vacío"&amp;" · ","")&amp;IF(AND($S46="Macro",$G46&lt;&gt;"",OR(NOT(ISNUMBER($G46)),$G46&lt;=0,$G46&gt;1)),"Peso fuera de rango"&amp;" · ","")&amp;IF(AND($S46="Sub",$G46&lt;&gt;""),"Las subactividades no llevan peso"&amp;" · ","")&amp;IF(AND($S46="Macro",ABS(SUMIFS($G$5:$G$1000,$P$5:$P$1000,$P46,$S$5:$S$1000,"Macro")-1)&gt;0.0001),"Pesos del mes suman "&amp;TEXT(SUMIFS($G$5:$G$1000,$P$5:$P$1000,$P46,$S$5:$S$1000,"Macro"),"0%")&amp;" · ","")&amp;IF(AND(N($T46)&gt;0,COUNT($H46:$K46)&gt;0),"Con subactividades: deje vacías las semanas (se calculan solas)"&amp;" · ","")&amp;IF((COUNTIF($H46:$K46,"&gt;1")+COUNTIF($H46:$K46,"&lt;0")+COUNTA($H46:$K46)-COUNT($H46:$K46))&gt;0,"Avance fuera de rango 0-100%"&amp;" · ","")&amp;IF(OR(AND($I46&lt;&gt;"",$I46&lt;$H46),AND($J46&lt;&gt;"",$J46&lt;MAX($H46:$I46)),AND($K46&lt;&gt;"",$K46&lt;MAX($H46:$J46))),"Avance semanal decreciente"&amp;" · ","")&amp;IF(AND(ISNUMBER($F46),$F46&lt;FechaRef,N($L46)&lt;1),"Vencida"&amp;" · ","")&amp;IF(AND(ObsObligatoria="Sí",ISNUMBER($F46),$F46&lt;FechaRef,N($L46)&lt;1,$N46=""),"Vencida sin observación"&amp;" · ",""),LEN(IF(AND($S46="Macro",$B46=""),"Macroactividad vacía"&amp;" · ","")&amp;IF(AND($B46&lt;&gt;"",$C46&lt;&gt;""),"Escriba la subactividad en otra fila, debajo de su macroactividad"&amp;" · ","")&amp;IF(AND($S46="Sub",N($R46)=0),"Subactividad sin macroactividad arriba"&amp;" · ","")&amp;IF($D46="","Sin responsable"&amp;" · ","")&amp;IF($E46="","Sin fecha de inicio"&amp;" · ","")&amp;IF($F46="","Sin fecha límite"&amp;" · ","")&amp;IF(OR(AND($E46&lt;&gt;"",NOT(ISNUMBER($E46))),AND($F46&lt;&gt;"",NOT(ISNUMBER($F46)))),"Fecha no válida"&amp;" · ","")&amp;IF(AND(ISNUMBER($E46),ISNUMBER($F46),$E46&gt;$F46),"Inicio posterior a fecha límite"&amp;" · ","")&amp;IF(AND($S46="Macro",$G46=""),"Peso vacío"&amp;" · ","")&amp;IF(AND($S46="Macro",$G46&lt;&gt;"",OR(NOT(ISNUMBER($G46)),$G46&lt;=0,$G46&gt;1)),"Peso fuera de rango"&amp;" · ","")&amp;IF(AND($S46="Sub",$G46&lt;&gt;""),"Las subactividades no llevan peso"&amp;" · ","")&amp;IF(AND($S46="Macro",ABS(SUMIFS($G$5:$G$1000,$P$5:$P$1000,$P46,$S$5:$S$1000,"Macro")-1)&gt;0.0001),"Pesos del mes suman "&amp;TEXT(SUMIFS($G$5:$G$1000,$P$5:$P$1000,$P46,$S$5:$S$1000,"Macro"),"0%")&amp;" · ","")&amp;IF(AND(N($T46)&gt;0,COUNT($H46:$K46)&gt;0),"Con subactividades: deje vacías las semanas (se calculan solas)"&amp;" · ","")&amp;IF((COUNTIF($H46:$K46,"&gt;1")+COUNTIF($H46:$K46,"&lt;0")+COUNTA($H46:$K46)-COUNT($H46:$K46))&gt;0,"Avance fuera de rango 0-100%"&amp;" · ","")&amp;IF(OR(AND($I46&lt;&gt;"",$I46&lt;$H46),AND($J46&lt;&gt;"",$J46&lt;MAX($H46:$I46)),AND($K46&lt;&gt;"",$K46&lt;MAX($H46:$J46))),"Avance semanal decreciente"&amp;" · ","")&amp;IF(AND(ISNUMBER($F46),$F46&lt;FechaRef,N($L46)&lt;1),"Vencida"&amp;" · ","")&amp;IF(AND(ObsObligatoria="Sí",ISNUMBER($F46),$F46&lt;FechaRef,N($L46)&lt;1,$N46=""),"Vencida sin observación"&amp;" · ",""))-3)))</f>
        <v/>
      </c>
      <c r="P46" s="69">
        <f>IF(NOT((COUNTA($B46:$K46)+COUNTA($N46))&gt;0),"",IF(AND($S46="Sub",N($R46)&gt;0),IF(ISNUMBER(INDEX($E$5:$E$1000,$R46-4)),DATE(YEAR(INDEX($E$5:$E$1000,$R46-4)),MONTH(INDEX($E$5:$E$1000,$R46-4)),1),IF(ISNUMBER(INDEX($F$5:$F$1000,$R46-4)),DATE(YEAR(INDEX($F$5:$F$1000,$R46-4)),MONTH(INDEX($F$5:$F$1000,$R46-4)),1),MesCiclo)),IF(ISNUMBER($E46),DATE(YEAR($E46),MONTH($E46),1),IF(ISNUMBER($F46),DATE(YEAR($F46),MONTH($F46),1),MesCiclo))))</f>
        <v/>
      </c>
      <c r="Q46" s="70">
        <f>IF(OR($P46="",$P46&lt;&gt;MesCiclo),"",COUNTIF($P$5:$P46,MesCiclo))</f>
        <v/>
      </c>
      <c r="R46" s="70">
        <f>IF($S46="","",IF($S46="Macro",ROW(),IFERROR(LOOKUP(2,1/($S$5:$S46="Macro"),ROW($S$5:$S46)),0)))</f>
        <v/>
      </c>
      <c r="S46" s="70">
        <f>IF(NOT((COUNTA($B46:$K46)+COUNTA($N46))&gt;0),"",IF($B46&lt;&gt;"","Macro",IF($C46&lt;&gt;"","Sub","Macro")))</f>
        <v/>
      </c>
      <c r="T46" s="70">
        <f>IF($S46="Macro",COUNTIFS($R$5:$R$1000,ROW(),$S$5:$S$1000,"Sub"),"")</f>
        <v/>
      </c>
      <c r="U46" s="70">
        <f>IF($S46="","",IF(ISNUMBER($H46),$H46,0))</f>
        <v/>
      </c>
      <c r="V46" s="70">
        <f>IF($S46="","",IF(ISNUMBER($I46),$I46,$U46))</f>
        <v/>
      </c>
      <c r="W46" s="70">
        <f>IF($S46="","",IF(ISNUMBER($J46),$J46,$V46))</f>
        <v/>
      </c>
      <c r="X46" s="70">
        <f>IF($S46="","",IF(ISNUMBER($K46),$K46,$W46))</f>
        <v/>
      </c>
      <c r="Y46" s="70">
        <f>IF($S46="","",IF(N($T46)&gt;0,AVERAGEIFS($U$5:$U$1000,$R$5:$R$1000,ROW(),$S$5:$S$1000,"Sub"),$U46))</f>
        <v/>
      </c>
      <c r="Z46" s="70">
        <f>IF($S46="","",IF(N($T46)&gt;0,AVERAGEIFS($V$5:$V$1000,$R$5:$R$1000,ROW(),$S$5:$S$1000,"Sub"),$V46))</f>
        <v/>
      </c>
      <c r="AA46" s="70">
        <f>IF($S46="","",IF(N($T46)&gt;0,AVERAGEIFS($W$5:$W$1000,$R$5:$R$1000,ROW(),$S$5:$S$1000,"Sub"),$W46))</f>
        <v/>
      </c>
      <c r="AB46" s="70">
        <f>IF($S46="","",IF(N($T46)&gt;0,AVERAGEIFS($X$5:$X$1000,$R$5:$R$1000,ROW(),$S$5:$S$1000,"Sub"),$X46))</f>
        <v/>
      </c>
    </row>
    <row r="47">
      <c r="A47" s="61">
        <f>IF(NOT((COUNTA($B47:$K47)+COUNTA($N47))&gt;0),"",IF($S47="Macro",COUNTIFS($S$5:$S47,"Macro",$P$5:$P47,$P47),IF(N($R47)=0,"?",COUNTIFS(INDEX($S$5:$S$1000,1):INDEX($S$5:$S$1000,$R47-4),"Macro",INDEX($P$5:$P$1000,1):INDEX($P$5:$P$1000,$R47-4),INDEX($P$5:$P$1000,$R47-4))&amp;"."&amp;COUNTIFS($R$5:$R47,$R47,$S$5:$S47,"Sub"))))</f>
        <v/>
      </c>
      <c r="B47" s="62" t="n"/>
      <c r="C47" s="63" t="n"/>
      <c r="D47" s="62" t="n"/>
      <c r="E47" s="64" t="n"/>
      <c r="F47" s="64" t="n"/>
      <c r="G47" s="65" t="n"/>
      <c r="H47" s="66" t="n"/>
      <c r="I47" s="66" t="n"/>
      <c r="J47" s="66" t="n"/>
      <c r="K47" s="66" t="n"/>
      <c r="L47" s="67">
        <f>IF(NOT((COUNTA($B47:$K47)+COUNTA($N47))&gt;0),"",IF(N($T47)&gt;0,$AB47,IFERROR(LOOKUP(2,1/(H47:K47&lt;&gt;""),H47:K47),0)))</f>
        <v/>
      </c>
      <c r="M47" s="61">
        <f>IF(L47="","",IF(L47&gt;=1,"Completado",IF(L47&gt;0,"En curso","Pendiente")))</f>
        <v/>
      </c>
      <c r="N47" s="62" t="n"/>
      <c r="O47" s="68">
        <f>IF(NOT((COUNTA($B47:$K47)+COUNTA($N47))&gt;0),"",IF((IF(AND($S47="Macro",$B47=""),"Macroactividad vacía"&amp;" · ","")&amp;IF(AND($B47&lt;&gt;"",$C47&lt;&gt;""),"Escriba la subactividad en otra fila, debajo de su macroactividad"&amp;" · ","")&amp;IF(AND($S47="Sub",N($R47)=0),"Subactividad sin macroactividad arriba"&amp;" · ","")&amp;IF($D47="","Sin responsable"&amp;" · ","")&amp;IF($E47="","Sin fecha de inicio"&amp;" · ","")&amp;IF($F47="","Sin fecha límite"&amp;" · ","")&amp;IF(OR(AND($E47&lt;&gt;"",NOT(ISNUMBER($E47))),AND($F47&lt;&gt;"",NOT(ISNUMBER($F47)))),"Fecha no válida"&amp;" · ","")&amp;IF(AND(ISNUMBER($E47),ISNUMBER($F47),$E47&gt;$F47),"Inicio posterior a fecha límite"&amp;" · ","")&amp;IF(AND($S47="Macro",$G47=""),"Peso vacío"&amp;" · ","")&amp;IF(AND($S47="Macro",$G47&lt;&gt;"",OR(NOT(ISNUMBER($G47)),$G47&lt;=0,$G47&gt;1)),"Peso fuera de rango"&amp;" · ","")&amp;IF(AND($S47="Sub",$G47&lt;&gt;""),"Las subactividades no llevan peso"&amp;" · ","")&amp;IF(AND($S47="Macro",ABS(SUMIFS($G$5:$G$1000,$P$5:$P$1000,$P47,$S$5:$S$1000,"Macro")-1)&gt;0.0001),"Pesos del mes suman "&amp;TEXT(SUMIFS($G$5:$G$1000,$P$5:$P$1000,$P47,$S$5:$S$1000,"Macro"),"0%")&amp;" · ","")&amp;IF(AND(N($T47)&gt;0,COUNT($H47:$K47)&gt;0),"Con subactividades: deje vacías las semanas (se calculan solas)"&amp;" · ","")&amp;IF((COUNTIF($H47:$K47,"&gt;1")+COUNTIF($H47:$K47,"&lt;0")+COUNTA($H47:$K47)-COUNT($H47:$K47))&gt;0,"Avance fuera de rango 0-100%"&amp;" · ","")&amp;IF(OR(AND($I47&lt;&gt;"",$I47&lt;$H47),AND($J47&lt;&gt;"",$J47&lt;MAX($H47:$I47)),AND($K47&lt;&gt;"",$K47&lt;MAX($H47:$J47))),"Avance semanal decreciente"&amp;" · ","")&amp;IF(AND(ISNUMBER($F47),$F47&lt;FechaRef,N($L47)&lt;1),"Vencida"&amp;" · ","")&amp;IF(AND(ObsObligatoria="Sí",ISNUMBER($F47),$F47&lt;FechaRef,N($L47)&lt;1,$N47=""),"Vencida sin observación"&amp;" · ",""))="","✔ OK","⚠ "&amp;LEFT(IF(AND($S47="Macro",$B47=""),"Macroactividad vacía"&amp;" · ","")&amp;IF(AND($B47&lt;&gt;"",$C47&lt;&gt;""),"Escriba la subactividad en otra fila, debajo de su macroactividad"&amp;" · ","")&amp;IF(AND($S47="Sub",N($R47)=0),"Subactividad sin macroactividad arriba"&amp;" · ","")&amp;IF($D47="","Sin responsable"&amp;" · ","")&amp;IF($E47="","Sin fecha de inicio"&amp;" · ","")&amp;IF($F47="","Sin fecha límite"&amp;" · ","")&amp;IF(OR(AND($E47&lt;&gt;"",NOT(ISNUMBER($E47))),AND($F47&lt;&gt;"",NOT(ISNUMBER($F47)))),"Fecha no válida"&amp;" · ","")&amp;IF(AND(ISNUMBER($E47),ISNUMBER($F47),$E47&gt;$F47),"Inicio posterior a fecha límite"&amp;" · ","")&amp;IF(AND($S47="Macro",$G47=""),"Peso vacío"&amp;" · ","")&amp;IF(AND($S47="Macro",$G47&lt;&gt;"",OR(NOT(ISNUMBER($G47)),$G47&lt;=0,$G47&gt;1)),"Peso fuera de rango"&amp;" · ","")&amp;IF(AND($S47="Sub",$G47&lt;&gt;""),"Las subactividades no llevan peso"&amp;" · ","")&amp;IF(AND($S47="Macro",ABS(SUMIFS($G$5:$G$1000,$P$5:$P$1000,$P47,$S$5:$S$1000,"Macro")-1)&gt;0.0001),"Pesos del mes suman "&amp;TEXT(SUMIFS($G$5:$G$1000,$P$5:$P$1000,$P47,$S$5:$S$1000,"Macro"),"0%")&amp;" · ","")&amp;IF(AND(N($T47)&gt;0,COUNT($H47:$K47)&gt;0),"Con subactividades: deje vacías las semanas (se calculan solas)"&amp;" · ","")&amp;IF((COUNTIF($H47:$K47,"&gt;1")+COUNTIF($H47:$K47,"&lt;0")+COUNTA($H47:$K47)-COUNT($H47:$K47))&gt;0,"Avance fuera de rango 0-100%"&amp;" · ","")&amp;IF(OR(AND($I47&lt;&gt;"",$I47&lt;$H47),AND($J47&lt;&gt;"",$J47&lt;MAX($H47:$I47)),AND($K47&lt;&gt;"",$K47&lt;MAX($H47:$J47))),"Avance semanal decreciente"&amp;" · ","")&amp;IF(AND(ISNUMBER($F47),$F47&lt;FechaRef,N($L47)&lt;1),"Vencida"&amp;" · ","")&amp;IF(AND(ObsObligatoria="Sí",ISNUMBER($F47),$F47&lt;FechaRef,N($L47)&lt;1,$N47=""),"Vencida sin observación"&amp;" · ",""),LEN(IF(AND($S47="Macro",$B47=""),"Macroactividad vacía"&amp;" · ","")&amp;IF(AND($B47&lt;&gt;"",$C47&lt;&gt;""),"Escriba la subactividad en otra fila, debajo de su macroactividad"&amp;" · ","")&amp;IF(AND($S47="Sub",N($R47)=0),"Subactividad sin macroactividad arriba"&amp;" · ","")&amp;IF($D47="","Sin responsable"&amp;" · ","")&amp;IF($E47="","Sin fecha de inicio"&amp;" · ","")&amp;IF($F47="","Sin fecha límite"&amp;" · ","")&amp;IF(OR(AND($E47&lt;&gt;"",NOT(ISNUMBER($E47))),AND($F47&lt;&gt;"",NOT(ISNUMBER($F47)))),"Fecha no válida"&amp;" · ","")&amp;IF(AND(ISNUMBER($E47),ISNUMBER($F47),$E47&gt;$F47),"Inicio posterior a fecha límite"&amp;" · ","")&amp;IF(AND($S47="Macro",$G47=""),"Peso vacío"&amp;" · ","")&amp;IF(AND($S47="Macro",$G47&lt;&gt;"",OR(NOT(ISNUMBER($G47)),$G47&lt;=0,$G47&gt;1)),"Peso fuera de rango"&amp;" · ","")&amp;IF(AND($S47="Sub",$G47&lt;&gt;""),"Las subactividades no llevan peso"&amp;" · ","")&amp;IF(AND($S47="Macro",ABS(SUMIFS($G$5:$G$1000,$P$5:$P$1000,$P47,$S$5:$S$1000,"Macro")-1)&gt;0.0001),"Pesos del mes suman "&amp;TEXT(SUMIFS($G$5:$G$1000,$P$5:$P$1000,$P47,$S$5:$S$1000,"Macro"),"0%")&amp;" · ","")&amp;IF(AND(N($T47)&gt;0,COUNT($H47:$K47)&gt;0),"Con subactividades: deje vacías las semanas (se calculan solas)"&amp;" · ","")&amp;IF((COUNTIF($H47:$K47,"&gt;1")+COUNTIF($H47:$K47,"&lt;0")+COUNTA($H47:$K47)-COUNT($H47:$K47))&gt;0,"Avance fuera de rango 0-100%"&amp;" · ","")&amp;IF(OR(AND($I47&lt;&gt;"",$I47&lt;$H47),AND($J47&lt;&gt;"",$J47&lt;MAX($H47:$I47)),AND($K47&lt;&gt;"",$K47&lt;MAX($H47:$J47))),"Avance semanal decreciente"&amp;" · ","")&amp;IF(AND(ISNUMBER($F47),$F47&lt;FechaRef,N($L47)&lt;1),"Vencida"&amp;" · ","")&amp;IF(AND(ObsObligatoria="Sí",ISNUMBER($F47),$F47&lt;FechaRef,N($L47)&lt;1,$N47=""),"Vencida sin observación"&amp;" · ",""))-3)))</f>
        <v/>
      </c>
      <c r="P47" s="69">
        <f>IF(NOT((COUNTA($B47:$K47)+COUNTA($N47))&gt;0),"",IF(AND($S47="Sub",N($R47)&gt;0),IF(ISNUMBER(INDEX($E$5:$E$1000,$R47-4)),DATE(YEAR(INDEX($E$5:$E$1000,$R47-4)),MONTH(INDEX($E$5:$E$1000,$R47-4)),1),IF(ISNUMBER(INDEX($F$5:$F$1000,$R47-4)),DATE(YEAR(INDEX($F$5:$F$1000,$R47-4)),MONTH(INDEX($F$5:$F$1000,$R47-4)),1),MesCiclo)),IF(ISNUMBER($E47),DATE(YEAR($E47),MONTH($E47),1),IF(ISNUMBER($F47),DATE(YEAR($F47),MONTH($F47),1),MesCiclo))))</f>
        <v/>
      </c>
      <c r="Q47" s="70">
        <f>IF(OR($P47="",$P47&lt;&gt;MesCiclo),"",COUNTIF($P$5:$P47,MesCiclo))</f>
        <v/>
      </c>
      <c r="R47" s="70">
        <f>IF($S47="","",IF($S47="Macro",ROW(),IFERROR(LOOKUP(2,1/($S$5:$S47="Macro"),ROW($S$5:$S47)),0)))</f>
        <v/>
      </c>
      <c r="S47" s="70">
        <f>IF(NOT((COUNTA($B47:$K47)+COUNTA($N47))&gt;0),"",IF($B47&lt;&gt;"","Macro",IF($C47&lt;&gt;"","Sub","Macro")))</f>
        <v/>
      </c>
      <c r="T47" s="70">
        <f>IF($S47="Macro",COUNTIFS($R$5:$R$1000,ROW(),$S$5:$S$1000,"Sub"),"")</f>
        <v/>
      </c>
      <c r="U47" s="70">
        <f>IF($S47="","",IF(ISNUMBER($H47),$H47,0))</f>
        <v/>
      </c>
      <c r="V47" s="70">
        <f>IF($S47="","",IF(ISNUMBER($I47),$I47,$U47))</f>
        <v/>
      </c>
      <c r="W47" s="70">
        <f>IF($S47="","",IF(ISNUMBER($J47),$J47,$V47))</f>
        <v/>
      </c>
      <c r="X47" s="70">
        <f>IF($S47="","",IF(ISNUMBER($K47),$K47,$W47))</f>
        <v/>
      </c>
      <c r="Y47" s="70">
        <f>IF($S47="","",IF(N($T47)&gt;0,AVERAGEIFS($U$5:$U$1000,$R$5:$R$1000,ROW(),$S$5:$S$1000,"Sub"),$U47))</f>
        <v/>
      </c>
      <c r="Z47" s="70">
        <f>IF($S47="","",IF(N($T47)&gt;0,AVERAGEIFS($V$5:$V$1000,$R$5:$R$1000,ROW(),$S$5:$S$1000,"Sub"),$V47))</f>
        <v/>
      </c>
      <c r="AA47" s="70">
        <f>IF($S47="","",IF(N($T47)&gt;0,AVERAGEIFS($W$5:$W$1000,$R$5:$R$1000,ROW(),$S$5:$S$1000,"Sub"),$W47))</f>
        <v/>
      </c>
      <c r="AB47" s="70">
        <f>IF($S47="","",IF(N($T47)&gt;0,AVERAGEIFS($X$5:$X$1000,$R$5:$R$1000,ROW(),$S$5:$S$1000,"Sub"),$X47))</f>
        <v/>
      </c>
    </row>
    <row r="48">
      <c r="A48" s="61">
        <f>IF(NOT((COUNTA($B48:$K48)+COUNTA($N48))&gt;0),"",IF($S48="Macro",COUNTIFS($S$5:$S48,"Macro",$P$5:$P48,$P48),IF(N($R48)=0,"?",COUNTIFS(INDEX($S$5:$S$1000,1):INDEX($S$5:$S$1000,$R48-4),"Macro",INDEX($P$5:$P$1000,1):INDEX($P$5:$P$1000,$R48-4),INDEX($P$5:$P$1000,$R48-4))&amp;"."&amp;COUNTIFS($R$5:$R48,$R48,$S$5:$S48,"Sub"))))</f>
        <v/>
      </c>
      <c r="B48" s="62" t="n"/>
      <c r="C48" s="63" t="n"/>
      <c r="D48" s="62" t="n"/>
      <c r="E48" s="64" t="n"/>
      <c r="F48" s="64" t="n"/>
      <c r="G48" s="65" t="n"/>
      <c r="H48" s="66" t="n"/>
      <c r="I48" s="66" t="n"/>
      <c r="J48" s="66" t="n"/>
      <c r="K48" s="66" t="n"/>
      <c r="L48" s="67">
        <f>IF(NOT((COUNTA($B48:$K48)+COUNTA($N48))&gt;0),"",IF(N($T48)&gt;0,$AB48,IFERROR(LOOKUP(2,1/(H48:K48&lt;&gt;""),H48:K48),0)))</f>
        <v/>
      </c>
      <c r="M48" s="61">
        <f>IF(L48="","",IF(L48&gt;=1,"Completado",IF(L48&gt;0,"En curso","Pendiente")))</f>
        <v/>
      </c>
      <c r="N48" s="62" t="n"/>
      <c r="O48" s="68">
        <f>IF(NOT((COUNTA($B48:$K48)+COUNTA($N48))&gt;0),"",IF((IF(AND($S48="Macro",$B48=""),"Macroactividad vacía"&amp;" · ","")&amp;IF(AND($B48&lt;&gt;"",$C48&lt;&gt;""),"Escriba la subactividad en otra fila, debajo de su macroactividad"&amp;" · ","")&amp;IF(AND($S48="Sub",N($R48)=0),"Subactividad sin macroactividad arriba"&amp;" · ","")&amp;IF($D48="","Sin responsable"&amp;" · ","")&amp;IF($E48="","Sin fecha de inicio"&amp;" · ","")&amp;IF($F48="","Sin fecha límite"&amp;" · ","")&amp;IF(OR(AND($E48&lt;&gt;"",NOT(ISNUMBER($E48))),AND($F48&lt;&gt;"",NOT(ISNUMBER($F48)))),"Fecha no válida"&amp;" · ","")&amp;IF(AND(ISNUMBER($E48),ISNUMBER($F48),$E48&gt;$F48),"Inicio posterior a fecha límite"&amp;" · ","")&amp;IF(AND($S48="Macro",$G48=""),"Peso vacío"&amp;" · ","")&amp;IF(AND($S48="Macro",$G48&lt;&gt;"",OR(NOT(ISNUMBER($G48)),$G48&lt;=0,$G48&gt;1)),"Peso fuera de rango"&amp;" · ","")&amp;IF(AND($S48="Sub",$G48&lt;&gt;""),"Las subactividades no llevan peso"&amp;" · ","")&amp;IF(AND($S48="Macro",ABS(SUMIFS($G$5:$G$1000,$P$5:$P$1000,$P48,$S$5:$S$1000,"Macro")-1)&gt;0.0001),"Pesos del mes suman "&amp;TEXT(SUMIFS($G$5:$G$1000,$P$5:$P$1000,$P48,$S$5:$S$1000,"Macro"),"0%")&amp;" · ","")&amp;IF(AND(N($T48)&gt;0,COUNT($H48:$K48)&gt;0),"Con subactividades: deje vacías las semanas (se calculan solas)"&amp;" · ","")&amp;IF((COUNTIF($H48:$K48,"&gt;1")+COUNTIF($H48:$K48,"&lt;0")+COUNTA($H48:$K48)-COUNT($H48:$K48))&gt;0,"Avance fuera de rango 0-100%"&amp;" · ","")&amp;IF(OR(AND($I48&lt;&gt;"",$I48&lt;$H48),AND($J48&lt;&gt;"",$J48&lt;MAX($H48:$I48)),AND($K48&lt;&gt;"",$K48&lt;MAX($H48:$J48))),"Avance semanal decreciente"&amp;" · ","")&amp;IF(AND(ISNUMBER($F48),$F48&lt;FechaRef,N($L48)&lt;1),"Vencida"&amp;" · ","")&amp;IF(AND(ObsObligatoria="Sí",ISNUMBER($F48),$F48&lt;FechaRef,N($L48)&lt;1,$N48=""),"Vencida sin observación"&amp;" · ",""))="","✔ OK","⚠ "&amp;LEFT(IF(AND($S48="Macro",$B48=""),"Macroactividad vacía"&amp;" · ","")&amp;IF(AND($B48&lt;&gt;"",$C48&lt;&gt;""),"Escriba la subactividad en otra fila, debajo de su macroactividad"&amp;" · ","")&amp;IF(AND($S48="Sub",N($R48)=0),"Subactividad sin macroactividad arriba"&amp;" · ","")&amp;IF($D48="","Sin responsable"&amp;" · ","")&amp;IF($E48="","Sin fecha de inicio"&amp;" · ","")&amp;IF($F48="","Sin fecha límite"&amp;" · ","")&amp;IF(OR(AND($E48&lt;&gt;"",NOT(ISNUMBER($E48))),AND($F48&lt;&gt;"",NOT(ISNUMBER($F48)))),"Fecha no válida"&amp;" · ","")&amp;IF(AND(ISNUMBER($E48),ISNUMBER($F48),$E48&gt;$F48),"Inicio posterior a fecha límite"&amp;" · ","")&amp;IF(AND($S48="Macro",$G48=""),"Peso vacío"&amp;" · ","")&amp;IF(AND($S48="Macro",$G48&lt;&gt;"",OR(NOT(ISNUMBER($G48)),$G48&lt;=0,$G48&gt;1)),"Peso fuera de rango"&amp;" · ","")&amp;IF(AND($S48="Sub",$G48&lt;&gt;""),"Las subactividades no llevan peso"&amp;" · ","")&amp;IF(AND($S48="Macro",ABS(SUMIFS($G$5:$G$1000,$P$5:$P$1000,$P48,$S$5:$S$1000,"Macro")-1)&gt;0.0001),"Pesos del mes suman "&amp;TEXT(SUMIFS($G$5:$G$1000,$P$5:$P$1000,$P48,$S$5:$S$1000,"Macro"),"0%")&amp;" · ","")&amp;IF(AND(N($T48)&gt;0,COUNT($H48:$K48)&gt;0),"Con subactividades: deje vacías las semanas (se calculan solas)"&amp;" · ","")&amp;IF((COUNTIF($H48:$K48,"&gt;1")+COUNTIF($H48:$K48,"&lt;0")+COUNTA($H48:$K48)-COUNT($H48:$K48))&gt;0,"Avance fuera de rango 0-100%"&amp;" · ","")&amp;IF(OR(AND($I48&lt;&gt;"",$I48&lt;$H48),AND($J48&lt;&gt;"",$J48&lt;MAX($H48:$I48)),AND($K48&lt;&gt;"",$K48&lt;MAX($H48:$J48))),"Avance semanal decreciente"&amp;" · ","")&amp;IF(AND(ISNUMBER($F48),$F48&lt;FechaRef,N($L48)&lt;1),"Vencida"&amp;" · ","")&amp;IF(AND(ObsObligatoria="Sí",ISNUMBER($F48),$F48&lt;FechaRef,N($L48)&lt;1,$N48=""),"Vencida sin observación"&amp;" · ",""),LEN(IF(AND($S48="Macro",$B48=""),"Macroactividad vacía"&amp;" · ","")&amp;IF(AND($B48&lt;&gt;"",$C48&lt;&gt;""),"Escriba la subactividad en otra fila, debajo de su macroactividad"&amp;" · ","")&amp;IF(AND($S48="Sub",N($R48)=0),"Subactividad sin macroactividad arriba"&amp;" · ","")&amp;IF($D48="","Sin responsable"&amp;" · ","")&amp;IF($E48="","Sin fecha de inicio"&amp;" · ","")&amp;IF($F48="","Sin fecha límite"&amp;" · ","")&amp;IF(OR(AND($E48&lt;&gt;"",NOT(ISNUMBER($E48))),AND($F48&lt;&gt;"",NOT(ISNUMBER($F48)))),"Fecha no válida"&amp;" · ","")&amp;IF(AND(ISNUMBER($E48),ISNUMBER($F48),$E48&gt;$F48),"Inicio posterior a fecha límite"&amp;" · ","")&amp;IF(AND($S48="Macro",$G48=""),"Peso vacío"&amp;" · ","")&amp;IF(AND($S48="Macro",$G48&lt;&gt;"",OR(NOT(ISNUMBER($G48)),$G48&lt;=0,$G48&gt;1)),"Peso fuera de rango"&amp;" · ","")&amp;IF(AND($S48="Sub",$G48&lt;&gt;""),"Las subactividades no llevan peso"&amp;" · ","")&amp;IF(AND($S48="Macro",ABS(SUMIFS($G$5:$G$1000,$P$5:$P$1000,$P48,$S$5:$S$1000,"Macro")-1)&gt;0.0001),"Pesos del mes suman "&amp;TEXT(SUMIFS($G$5:$G$1000,$P$5:$P$1000,$P48,$S$5:$S$1000,"Macro"),"0%")&amp;" · ","")&amp;IF(AND(N($T48)&gt;0,COUNT($H48:$K48)&gt;0),"Con subactividades: deje vacías las semanas (se calculan solas)"&amp;" · ","")&amp;IF((COUNTIF($H48:$K48,"&gt;1")+COUNTIF($H48:$K48,"&lt;0")+COUNTA($H48:$K48)-COUNT($H48:$K48))&gt;0,"Avance fuera de rango 0-100%"&amp;" · ","")&amp;IF(OR(AND($I48&lt;&gt;"",$I48&lt;$H48),AND($J48&lt;&gt;"",$J48&lt;MAX($H48:$I48)),AND($K48&lt;&gt;"",$K48&lt;MAX($H48:$J48))),"Avance semanal decreciente"&amp;" · ","")&amp;IF(AND(ISNUMBER($F48),$F48&lt;FechaRef,N($L48)&lt;1),"Vencida"&amp;" · ","")&amp;IF(AND(ObsObligatoria="Sí",ISNUMBER($F48),$F48&lt;FechaRef,N($L48)&lt;1,$N48=""),"Vencida sin observación"&amp;" · ",""))-3)))</f>
        <v/>
      </c>
      <c r="P48" s="69">
        <f>IF(NOT((COUNTA($B48:$K48)+COUNTA($N48))&gt;0),"",IF(AND($S48="Sub",N($R48)&gt;0),IF(ISNUMBER(INDEX($E$5:$E$1000,$R48-4)),DATE(YEAR(INDEX($E$5:$E$1000,$R48-4)),MONTH(INDEX($E$5:$E$1000,$R48-4)),1),IF(ISNUMBER(INDEX($F$5:$F$1000,$R48-4)),DATE(YEAR(INDEX($F$5:$F$1000,$R48-4)),MONTH(INDEX($F$5:$F$1000,$R48-4)),1),MesCiclo)),IF(ISNUMBER($E48),DATE(YEAR($E48),MONTH($E48),1),IF(ISNUMBER($F48),DATE(YEAR($F48),MONTH($F48),1),MesCiclo))))</f>
        <v/>
      </c>
      <c r="Q48" s="70">
        <f>IF(OR($P48="",$P48&lt;&gt;MesCiclo),"",COUNTIF($P$5:$P48,MesCiclo))</f>
        <v/>
      </c>
      <c r="R48" s="70">
        <f>IF($S48="","",IF($S48="Macro",ROW(),IFERROR(LOOKUP(2,1/($S$5:$S48="Macro"),ROW($S$5:$S48)),0)))</f>
        <v/>
      </c>
      <c r="S48" s="70">
        <f>IF(NOT((COUNTA($B48:$K48)+COUNTA($N48))&gt;0),"",IF($B48&lt;&gt;"","Macro",IF($C48&lt;&gt;"","Sub","Macro")))</f>
        <v/>
      </c>
      <c r="T48" s="70">
        <f>IF($S48="Macro",COUNTIFS($R$5:$R$1000,ROW(),$S$5:$S$1000,"Sub"),"")</f>
        <v/>
      </c>
      <c r="U48" s="70">
        <f>IF($S48="","",IF(ISNUMBER($H48),$H48,0))</f>
        <v/>
      </c>
      <c r="V48" s="70">
        <f>IF($S48="","",IF(ISNUMBER($I48),$I48,$U48))</f>
        <v/>
      </c>
      <c r="W48" s="70">
        <f>IF($S48="","",IF(ISNUMBER($J48),$J48,$V48))</f>
        <v/>
      </c>
      <c r="X48" s="70">
        <f>IF($S48="","",IF(ISNUMBER($K48),$K48,$W48))</f>
        <v/>
      </c>
      <c r="Y48" s="70">
        <f>IF($S48="","",IF(N($T48)&gt;0,AVERAGEIFS($U$5:$U$1000,$R$5:$R$1000,ROW(),$S$5:$S$1000,"Sub"),$U48))</f>
        <v/>
      </c>
      <c r="Z48" s="70">
        <f>IF($S48="","",IF(N($T48)&gt;0,AVERAGEIFS($V$5:$V$1000,$R$5:$R$1000,ROW(),$S$5:$S$1000,"Sub"),$V48))</f>
        <v/>
      </c>
      <c r="AA48" s="70">
        <f>IF($S48="","",IF(N($T48)&gt;0,AVERAGEIFS($W$5:$W$1000,$R$5:$R$1000,ROW(),$S$5:$S$1000,"Sub"),$W48))</f>
        <v/>
      </c>
      <c r="AB48" s="70">
        <f>IF($S48="","",IF(N($T48)&gt;0,AVERAGEIFS($X$5:$X$1000,$R$5:$R$1000,ROW(),$S$5:$S$1000,"Sub"),$X48))</f>
        <v/>
      </c>
    </row>
    <row r="49">
      <c r="A49" s="61">
        <f>IF(NOT((COUNTA($B49:$K49)+COUNTA($N49))&gt;0),"",IF($S49="Macro",COUNTIFS($S$5:$S49,"Macro",$P$5:$P49,$P49),IF(N($R49)=0,"?",COUNTIFS(INDEX($S$5:$S$1000,1):INDEX($S$5:$S$1000,$R49-4),"Macro",INDEX($P$5:$P$1000,1):INDEX($P$5:$P$1000,$R49-4),INDEX($P$5:$P$1000,$R49-4))&amp;"."&amp;COUNTIFS($R$5:$R49,$R49,$S$5:$S49,"Sub"))))</f>
        <v/>
      </c>
      <c r="B49" s="62" t="n"/>
      <c r="C49" s="63" t="n"/>
      <c r="D49" s="62" t="n"/>
      <c r="E49" s="64" t="n"/>
      <c r="F49" s="64" t="n"/>
      <c r="G49" s="65" t="n"/>
      <c r="H49" s="66" t="n"/>
      <c r="I49" s="66" t="n"/>
      <c r="J49" s="66" t="n"/>
      <c r="K49" s="66" t="n"/>
      <c r="L49" s="67">
        <f>IF(NOT((COUNTA($B49:$K49)+COUNTA($N49))&gt;0),"",IF(N($T49)&gt;0,$AB49,IFERROR(LOOKUP(2,1/(H49:K49&lt;&gt;""),H49:K49),0)))</f>
        <v/>
      </c>
      <c r="M49" s="61">
        <f>IF(L49="","",IF(L49&gt;=1,"Completado",IF(L49&gt;0,"En curso","Pendiente")))</f>
        <v/>
      </c>
      <c r="N49" s="62" t="n"/>
      <c r="O49" s="68">
        <f>IF(NOT((COUNTA($B49:$K49)+COUNTA($N49))&gt;0),"",IF((IF(AND($S49="Macro",$B49=""),"Macroactividad vacía"&amp;" · ","")&amp;IF(AND($B49&lt;&gt;"",$C49&lt;&gt;""),"Escriba la subactividad en otra fila, debajo de su macroactividad"&amp;" · ","")&amp;IF(AND($S49="Sub",N($R49)=0),"Subactividad sin macroactividad arriba"&amp;" · ","")&amp;IF($D49="","Sin responsable"&amp;" · ","")&amp;IF($E49="","Sin fecha de inicio"&amp;" · ","")&amp;IF($F49="","Sin fecha límite"&amp;" · ","")&amp;IF(OR(AND($E49&lt;&gt;"",NOT(ISNUMBER($E49))),AND($F49&lt;&gt;"",NOT(ISNUMBER($F49)))),"Fecha no válida"&amp;" · ","")&amp;IF(AND(ISNUMBER($E49),ISNUMBER($F49),$E49&gt;$F49),"Inicio posterior a fecha límite"&amp;" · ","")&amp;IF(AND($S49="Macro",$G49=""),"Peso vacío"&amp;" · ","")&amp;IF(AND($S49="Macro",$G49&lt;&gt;"",OR(NOT(ISNUMBER($G49)),$G49&lt;=0,$G49&gt;1)),"Peso fuera de rango"&amp;" · ","")&amp;IF(AND($S49="Sub",$G49&lt;&gt;""),"Las subactividades no llevan peso"&amp;" · ","")&amp;IF(AND($S49="Macro",ABS(SUMIFS($G$5:$G$1000,$P$5:$P$1000,$P49,$S$5:$S$1000,"Macro")-1)&gt;0.0001),"Pesos del mes suman "&amp;TEXT(SUMIFS($G$5:$G$1000,$P$5:$P$1000,$P49,$S$5:$S$1000,"Macro"),"0%")&amp;" · ","")&amp;IF(AND(N($T49)&gt;0,COUNT($H49:$K49)&gt;0),"Con subactividades: deje vacías las semanas (se calculan solas)"&amp;" · ","")&amp;IF((COUNTIF($H49:$K49,"&gt;1")+COUNTIF($H49:$K49,"&lt;0")+COUNTA($H49:$K49)-COUNT($H49:$K49))&gt;0,"Avance fuera de rango 0-100%"&amp;" · ","")&amp;IF(OR(AND($I49&lt;&gt;"",$I49&lt;$H49),AND($J49&lt;&gt;"",$J49&lt;MAX($H49:$I49)),AND($K49&lt;&gt;"",$K49&lt;MAX($H49:$J49))),"Avance semanal decreciente"&amp;" · ","")&amp;IF(AND(ISNUMBER($F49),$F49&lt;FechaRef,N($L49)&lt;1),"Vencida"&amp;" · ","")&amp;IF(AND(ObsObligatoria="Sí",ISNUMBER($F49),$F49&lt;FechaRef,N($L49)&lt;1,$N49=""),"Vencida sin observación"&amp;" · ",""))="","✔ OK","⚠ "&amp;LEFT(IF(AND($S49="Macro",$B49=""),"Macroactividad vacía"&amp;" · ","")&amp;IF(AND($B49&lt;&gt;"",$C49&lt;&gt;""),"Escriba la subactividad en otra fila, debajo de su macroactividad"&amp;" · ","")&amp;IF(AND($S49="Sub",N($R49)=0),"Subactividad sin macroactividad arriba"&amp;" · ","")&amp;IF($D49="","Sin responsable"&amp;" · ","")&amp;IF($E49="","Sin fecha de inicio"&amp;" · ","")&amp;IF($F49="","Sin fecha límite"&amp;" · ","")&amp;IF(OR(AND($E49&lt;&gt;"",NOT(ISNUMBER($E49))),AND($F49&lt;&gt;"",NOT(ISNUMBER($F49)))),"Fecha no válida"&amp;" · ","")&amp;IF(AND(ISNUMBER($E49),ISNUMBER($F49),$E49&gt;$F49),"Inicio posterior a fecha límite"&amp;" · ","")&amp;IF(AND($S49="Macro",$G49=""),"Peso vacío"&amp;" · ","")&amp;IF(AND($S49="Macro",$G49&lt;&gt;"",OR(NOT(ISNUMBER($G49)),$G49&lt;=0,$G49&gt;1)),"Peso fuera de rango"&amp;" · ","")&amp;IF(AND($S49="Sub",$G49&lt;&gt;""),"Las subactividades no llevan peso"&amp;" · ","")&amp;IF(AND($S49="Macro",ABS(SUMIFS($G$5:$G$1000,$P$5:$P$1000,$P49,$S$5:$S$1000,"Macro")-1)&gt;0.0001),"Pesos del mes suman "&amp;TEXT(SUMIFS($G$5:$G$1000,$P$5:$P$1000,$P49,$S$5:$S$1000,"Macro"),"0%")&amp;" · ","")&amp;IF(AND(N($T49)&gt;0,COUNT($H49:$K49)&gt;0),"Con subactividades: deje vacías las semanas (se calculan solas)"&amp;" · ","")&amp;IF((COUNTIF($H49:$K49,"&gt;1")+COUNTIF($H49:$K49,"&lt;0")+COUNTA($H49:$K49)-COUNT($H49:$K49))&gt;0,"Avance fuera de rango 0-100%"&amp;" · ","")&amp;IF(OR(AND($I49&lt;&gt;"",$I49&lt;$H49),AND($J49&lt;&gt;"",$J49&lt;MAX($H49:$I49)),AND($K49&lt;&gt;"",$K49&lt;MAX($H49:$J49))),"Avance semanal decreciente"&amp;" · ","")&amp;IF(AND(ISNUMBER($F49),$F49&lt;FechaRef,N($L49)&lt;1),"Vencida"&amp;" · ","")&amp;IF(AND(ObsObligatoria="Sí",ISNUMBER($F49),$F49&lt;FechaRef,N($L49)&lt;1,$N49=""),"Vencida sin observación"&amp;" · ",""),LEN(IF(AND($S49="Macro",$B49=""),"Macroactividad vacía"&amp;" · ","")&amp;IF(AND($B49&lt;&gt;"",$C49&lt;&gt;""),"Escriba la subactividad en otra fila, debajo de su macroactividad"&amp;" · ","")&amp;IF(AND($S49="Sub",N($R49)=0),"Subactividad sin macroactividad arriba"&amp;" · ","")&amp;IF($D49="","Sin responsable"&amp;" · ","")&amp;IF($E49="","Sin fecha de inicio"&amp;" · ","")&amp;IF($F49="","Sin fecha límite"&amp;" · ","")&amp;IF(OR(AND($E49&lt;&gt;"",NOT(ISNUMBER($E49))),AND($F49&lt;&gt;"",NOT(ISNUMBER($F49)))),"Fecha no válida"&amp;" · ","")&amp;IF(AND(ISNUMBER($E49),ISNUMBER($F49),$E49&gt;$F49),"Inicio posterior a fecha límite"&amp;" · ","")&amp;IF(AND($S49="Macro",$G49=""),"Peso vacío"&amp;" · ","")&amp;IF(AND($S49="Macro",$G49&lt;&gt;"",OR(NOT(ISNUMBER($G49)),$G49&lt;=0,$G49&gt;1)),"Peso fuera de rango"&amp;" · ","")&amp;IF(AND($S49="Sub",$G49&lt;&gt;""),"Las subactividades no llevan peso"&amp;" · ","")&amp;IF(AND($S49="Macro",ABS(SUMIFS($G$5:$G$1000,$P$5:$P$1000,$P49,$S$5:$S$1000,"Macro")-1)&gt;0.0001),"Pesos del mes suman "&amp;TEXT(SUMIFS($G$5:$G$1000,$P$5:$P$1000,$P49,$S$5:$S$1000,"Macro"),"0%")&amp;" · ","")&amp;IF(AND(N($T49)&gt;0,COUNT($H49:$K49)&gt;0),"Con subactividades: deje vacías las semanas (se calculan solas)"&amp;" · ","")&amp;IF((COUNTIF($H49:$K49,"&gt;1")+COUNTIF($H49:$K49,"&lt;0")+COUNTA($H49:$K49)-COUNT($H49:$K49))&gt;0,"Avance fuera de rango 0-100%"&amp;" · ","")&amp;IF(OR(AND($I49&lt;&gt;"",$I49&lt;$H49),AND($J49&lt;&gt;"",$J49&lt;MAX($H49:$I49)),AND($K49&lt;&gt;"",$K49&lt;MAX($H49:$J49))),"Avance semanal decreciente"&amp;" · ","")&amp;IF(AND(ISNUMBER($F49),$F49&lt;FechaRef,N($L49)&lt;1),"Vencida"&amp;" · ","")&amp;IF(AND(ObsObligatoria="Sí",ISNUMBER($F49),$F49&lt;FechaRef,N($L49)&lt;1,$N49=""),"Vencida sin observación"&amp;" · ",""))-3)))</f>
        <v/>
      </c>
      <c r="P49" s="69">
        <f>IF(NOT((COUNTA($B49:$K49)+COUNTA($N49))&gt;0),"",IF(AND($S49="Sub",N($R49)&gt;0),IF(ISNUMBER(INDEX($E$5:$E$1000,$R49-4)),DATE(YEAR(INDEX($E$5:$E$1000,$R49-4)),MONTH(INDEX($E$5:$E$1000,$R49-4)),1),IF(ISNUMBER(INDEX($F$5:$F$1000,$R49-4)),DATE(YEAR(INDEX($F$5:$F$1000,$R49-4)),MONTH(INDEX($F$5:$F$1000,$R49-4)),1),MesCiclo)),IF(ISNUMBER($E49),DATE(YEAR($E49),MONTH($E49),1),IF(ISNUMBER($F49),DATE(YEAR($F49),MONTH($F49),1),MesCiclo))))</f>
        <v/>
      </c>
      <c r="Q49" s="70">
        <f>IF(OR($P49="",$P49&lt;&gt;MesCiclo),"",COUNTIF($P$5:$P49,MesCiclo))</f>
        <v/>
      </c>
      <c r="R49" s="70">
        <f>IF($S49="","",IF($S49="Macro",ROW(),IFERROR(LOOKUP(2,1/($S$5:$S49="Macro"),ROW($S$5:$S49)),0)))</f>
        <v/>
      </c>
      <c r="S49" s="70">
        <f>IF(NOT((COUNTA($B49:$K49)+COUNTA($N49))&gt;0),"",IF($B49&lt;&gt;"","Macro",IF($C49&lt;&gt;"","Sub","Macro")))</f>
        <v/>
      </c>
      <c r="T49" s="70">
        <f>IF($S49="Macro",COUNTIFS($R$5:$R$1000,ROW(),$S$5:$S$1000,"Sub"),"")</f>
        <v/>
      </c>
      <c r="U49" s="70">
        <f>IF($S49="","",IF(ISNUMBER($H49),$H49,0))</f>
        <v/>
      </c>
      <c r="V49" s="70">
        <f>IF($S49="","",IF(ISNUMBER($I49),$I49,$U49))</f>
        <v/>
      </c>
      <c r="W49" s="70">
        <f>IF($S49="","",IF(ISNUMBER($J49),$J49,$V49))</f>
        <v/>
      </c>
      <c r="X49" s="70">
        <f>IF($S49="","",IF(ISNUMBER($K49),$K49,$W49))</f>
        <v/>
      </c>
      <c r="Y49" s="70">
        <f>IF($S49="","",IF(N($T49)&gt;0,AVERAGEIFS($U$5:$U$1000,$R$5:$R$1000,ROW(),$S$5:$S$1000,"Sub"),$U49))</f>
        <v/>
      </c>
      <c r="Z49" s="70">
        <f>IF($S49="","",IF(N($T49)&gt;0,AVERAGEIFS($V$5:$V$1000,$R$5:$R$1000,ROW(),$S$5:$S$1000,"Sub"),$V49))</f>
        <v/>
      </c>
      <c r="AA49" s="70">
        <f>IF($S49="","",IF(N($T49)&gt;0,AVERAGEIFS($W$5:$W$1000,$R$5:$R$1000,ROW(),$S$5:$S$1000,"Sub"),$W49))</f>
        <v/>
      </c>
      <c r="AB49" s="70">
        <f>IF($S49="","",IF(N($T49)&gt;0,AVERAGEIFS($X$5:$X$1000,$R$5:$R$1000,ROW(),$S$5:$S$1000,"Sub"),$X49))</f>
        <v/>
      </c>
    </row>
    <row r="50">
      <c r="A50" s="61">
        <f>IF(NOT((COUNTA($B50:$K50)+COUNTA($N50))&gt;0),"",IF($S50="Macro",COUNTIFS($S$5:$S50,"Macro",$P$5:$P50,$P50),IF(N($R50)=0,"?",COUNTIFS(INDEX($S$5:$S$1000,1):INDEX($S$5:$S$1000,$R50-4),"Macro",INDEX($P$5:$P$1000,1):INDEX($P$5:$P$1000,$R50-4),INDEX($P$5:$P$1000,$R50-4))&amp;"."&amp;COUNTIFS($R$5:$R50,$R50,$S$5:$S50,"Sub"))))</f>
        <v/>
      </c>
      <c r="B50" s="62" t="n"/>
      <c r="C50" s="63" t="n"/>
      <c r="D50" s="62" t="n"/>
      <c r="E50" s="64" t="n"/>
      <c r="F50" s="64" t="n"/>
      <c r="G50" s="65" t="n"/>
      <c r="H50" s="66" t="n"/>
      <c r="I50" s="66" t="n"/>
      <c r="J50" s="66" t="n"/>
      <c r="K50" s="66" t="n"/>
      <c r="L50" s="67">
        <f>IF(NOT((COUNTA($B50:$K50)+COUNTA($N50))&gt;0),"",IF(N($T50)&gt;0,$AB50,IFERROR(LOOKUP(2,1/(H50:K50&lt;&gt;""),H50:K50),0)))</f>
        <v/>
      </c>
      <c r="M50" s="61">
        <f>IF(L50="","",IF(L50&gt;=1,"Completado",IF(L50&gt;0,"En curso","Pendiente")))</f>
        <v/>
      </c>
      <c r="N50" s="62" t="n"/>
      <c r="O50" s="68">
        <f>IF(NOT((COUNTA($B50:$K50)+COUNTA($N50))&gt;0),"",IF((IF(AND($S50="Macro",$B50=""),"Macroactividad vacía"&amp;" · ","")&amp;IF(AND($B50&lt;&gt;"",$C50&lt;&gt;""),"Escriba la subactividad en otra fila, debajo de su macroactividad"&amp;" · ","")&amp;IF(AND($S50="Sub",N($R50)=0),"Subactividad sin macroactividad arriba"&amp;" · ","")&amp;IF($D50="","Sin responsable"&amp;" · ","")&amp;IF($E50="","Sin fecha de inicio"&amp;" · ","")&amp;IF($F50="","Sin fecha límite"&amp;" · ","")&amp;IF(OR(AND($E50&lt;&gt;"",NOT(ISNUMBER($E50))),AND($F50&lt;&gt;"",NOT(ISNUMBER($F50)))),"Fecha no válida"&amp;" · ","")&amp;IF(AND(ISNUMBER($E50),ISNUMBER($F50),$E50&gt;$F50),"Inicio posterior a fecha límite"&amp;" · ","")&amp;IF(AND($S50="Macro",$G50=""),"Peso vacío"&amp;" · ","")&amp;IF(AND($S50="Macro",$G50&lt;&gt;"",OR(NOT(ISNUMBER($G50)),$G50&lt;=0,$G50&gt;1)),"Peso fuera de rango"&amp;" · ","")&amp;IF(AND($S50="Sub",$G50&lt;&gt;""),"Las subactividades no llevan peso"&amp;" · ","")&amp;IF(AND($S50="Macro",ABS(SUMIFS($G$5:$G$1000,$P$5:$P$1000,$P50,$S$5:$S$1000,"Macro")-1)&gt;0.0001),"Pesos del mes suman "&amp;TEXT(SUMIFS($G$5:$G$1000,$P$5:$P$1000,$P50,$S$5:$S$1000,"Macro"),"0%")&amp;" · ","")&amp;IF(AND(N($T50)&gt;0,COUNT($H50:$K50)&gt;0),"Con subactividades: deje vacías las semanas (se calculan solas)"&amp;" · ","")&amp;IF((COUNTIF($H50:$K50,"&gt;1")+COUNTIF($H50:$K50,"&lt;0")+COUNTA($H50:$K50)-COUNT($H50:$K50))&gt;0,"Avance fuera de rango 0-100%"&amp;" · ","")&amp;IF(OR(AND($I50&lt;&gt;"",$I50&lt;$H50),AND($J50&lt;&gt;"",$J50&lt;MAX($H50:$I50)),AND($K50&lt;&gt;"",$K50&lt;MAX($H50:$J50))),"Avance semanal decreciente"&amp;" · ","")&amp;IF(AND(ISNUMBER($F50),$F50&lt;FechaRef,N($L50)&lt;1),"Vencida"&amp;" · ","")&amp;IF(AND(ObsObligatoria="Sí",ISNUMBER($F50),$F50&lt;FechaRef,N($L50)&lt;1,$N50=""),"Vencida sin observación"&amp;" · ",""))="","✔ OK","⚠ "&amp;LEFT(IF(AND($S50="Macro",$B50=""),"Macroactividad vacía"&amp;" · ","")&amp;IF(AND($B50&lt;&gt;"",$C50&lt;&gt;""),"Escriba la subactividad en otra fila, debajo de su macroactividad"&amp;" · ","")&amp;IF(AND($S50="Sub",N($R50)=0),"Subactividad sin macroactividad arriba"&amp;" · ","")&amp;IF($D50="","Sin responsable"&amp;" · ","")&amp;IF($E50="","Sin fecha de inicio"&amp;" · ","")&amp;IF($F50="","Sin fecha límite"&amp;" · ","")&amp;IF(OR(AND($E50&lt;&gt;"",NOT(ISNUMBER($E50))),AND($F50&lt;&gt;"",NOT(ISNUMBER($F50)))),"Fecha no válida"&amp;" · ","")&amp;IF(AND(ISNUMBER($E50),ISNUMBER($F50),$E50&gt;$F50),"Inicio posterior a fecha límite"&amp;" · ","")&amp;IF(AND($S50="Macro",$G50=""),"Peso vacío"&amp;" · ","")&amp;IF(AND($S50="Macro",$G50&lt;&gt;"",OR(NOT(ISNUMBER($G50)),$G50&lt;=0,$G50&gt;1)),"Peso fuera de rango"&amp;" · ","")&amp;IF(AND($S50="Sub",$G50&lt;&gt;""),"Las subactividades no llevan peso"&amp;" · ","")&amp;IF(AND($S50="Macro",ABS(SUMIFS($G$5:$G$1000,$P$5:$P$1000,$P50,$S$5:$S$1000,"Macro")-1)&gt;0.0001),"Pesos del mes suman "&amp;TEXT(SUMIFS($G$5:$G$1000,$P$5:$P$1000,$P50,$S$5:$S$1000,"Macro"),"0%")&amp;" · ","")&amp;IF(AND(N($T50)&gt;0,COUNT($H50:$K50)&gt;0),"Con subactividades: deje vacías las semanas (se calculan solas)"&amp;" · ","")&amp;IF((COUNTIF($H50:$K50,"&gt;1")+COUNTIF($H50:$K50,"&lt;0")+COUNTA($H50:$K50)-COUNT($H50:$K50))&gt;0,"Avance fuera de rango 0-100%"&amp;" · ","")&amp;IF(OR(AND($I50&lt;&gt;"",$I50&lt;$H50),AND($J50&lt;&gt;"",$J50&lt;MAX($H50:$I50)),AND($K50&lt;&gt;"",$K50&lt;MAX($H50:$J50))),"Avance semanal decreciente"&amp;" · ","")&amp;IF(AND(ISNUMBER($F50),$F50&lt;FechaRef,N($L50)&lt;1),"Vencida"&amp;" · ","")&amp;IF(AND(ObsObligatoria="Sí",ISNUMBER($F50),$F50&lt;FechaRef,N($L50)&lt;1,$N50=""),"Vencida sin observación"&amp;" · ",""),LEN(IF(AND($S50="Macro",$B50=""),"Macroactividad vacía"&amp;" · ","")&amp;IF(AND($B50&lt;&gt;"",$C50&lt;&gt;""),"Escriba la subactividad en otra fila, debajo de su macroactividad"&amp;" · ","")&amp;IF(AND($S50="Sub",N($R50)=0),"Subactividad sin macroactividad arriba"&amp;" · ","")&amp;IF($D50="","Sin responsable"&amp;" · ","")&amp;IF($E50="","Sin fecha de inicio"&amp;" · ","")&amp;IF($F50="","Sin fecha límite"&amp;" · ","")&amp;IF(OR(AND($E50&lt;&gt;"",NOT(ISNUMBER($E50))),AND($F50&lt;&gt;"",NOT(ISNUMBER($F50)))),"Fecha no válida"&amp;" · ","")&amp;IF(AND(ISNUMBER($E50),ISNUMBER($F50),$E50&gt;$F50),"Inicio posterior a fecha límite"&amp;" · ","")&amp;IF(AND($S50="Macro",$G50=""),"Peso vacío"&amp;" · ","")&amp;IF(AND($S50="Macro",$G50&lt;&gt;"",OR(NOT(ISNUMBER($G50)),$G50&lt;=0,$G50&gt;1)),"Peso fuera de rango"&amp;" · ","")&amp;IF(AND($S50="Sub",$G50&lt;&gt;""),"Las subactividades no llevan peso"&amp;" · ","")&amp;IF(AND($S50="Macro",ABS(SUMIFS($G$5:$G$1000,$P$5:$P$1000,$P50,$S$5:$S$1000,"Macro")-1)&gt;0.0001),"Pesos del mes suman "&amp;TEXT(SUMIFS($G$5:$G$1000,$P$5:$P$1000,$P50,$S$5:$S$1000,"Macro"),"0%")&amp;" · ","")&amp;IF(AND(N($T50)&gt;0,COUNT($H50:$K50)&gt;0),"Con subactividades: deje vacías las semanas (se calculan solas)"&amp;" · ","")&amp;IF((COUNTIF($H50:$K50,"&gt;1")+COUNTIF($H50:$K50,"&lt;0")+COUNTA($H50:$K50)-COUNT($H50:$K50))&gt;0,"Avance fuera de rango 0-100%"&amp;" · ","")&amp;IF(OR(AND($I50&lt;&gt;"",$I50&lt;$H50),AND($J50&lt;&gt;"",$J50&lt;MAX($H50:$I50)),AND($K50&lt;&gt;"",$K50&lt;MAX($H50:$J50))),"Avance semanal decreciente"&amp;" · ","")&amp;IF(AND(ISNUMBER($F50),$F50&lt;FechaRef,N($L50)&lt;1),"Vencida"&amp;" · ","")&amp;IF(AND(ObsObligatoria="Sí",ISNUMBER($F50),$F50&lt;FechaRef,N($L50)&lt;1,$N50=""),"Vencida sin observación"&amp;" · ",""))-3)))</f>
        <v/>
      </c>
      <c r="P50" s="69">
        <f>IF(NOT((COUNTA($B50:$K50)+COUNTA($N50))&gt;0),"",IF(AND($S50="Sub",N($R50)&gt;0),IF(ISNUMBER(INDEX($E$5:$E$1000,$R50-4)),DATE(YEAR(INDEX($E$5:$E$1000,$R50-4)),MONTH(INDEX($E$5:$E$1000,$R50-4)),1),IF(ISNUMBER(INDEX($F$5:$F$1000,$R50-4)),DATE(YEAR(INDEX($F$5:$F$1000,$R50-4)),MONTH(INDEX($F$5:$F$1000,$R50-4)),1),MesCiclo)),IF(ISNUMBER($E50),DATE(YEAR($E50),MONTH($E50),1),IF(ISNUMBER($F50),DATE(YEAR($F50),MONTH($F50),1),MesCiclo))))</f>
        <v/>
      </c>
      <c r="Q50" s="70">
        <f>IF(OR($P50="",$P50&lt;&gt;MesCiclo),"",COUNTIF($P$5:$P50,MesCiclo))</f>
        <v/>
      </c>
      <c r="R50" s="70">
        <f>IF($S50="","",IF($S50="Macro",ROW(),IFERROR(LOOKUP(2,1/($S$5:$S50="Macro"),ROW($S$5:$S50)),0)))</f>
        <v/>
      </c>
      <c r="S50" s="70">
        <f>IF(NOT((COUNTA($B50:$K50)+COUNTA($N50))&gt;0),"",IF($B50&lt;&gt;"","Macro",IF($C50&lt;&gt;"","Sub","Macro")))</f>
        <v/>
      </c>
      <c r="T50" s="70">
        <f>IF($S50="Macro",COUNTIFS($R$5:$R$1000,ROW(),$S$5:$S$1000,"Sub"),"")</f>
        <v/>
      </c>
      <c r="U50" s="70">
        <f>IF($S50="","",IF(ISNUMBER($H50),$H50,0))</f>
        <v/>
      </c>
      <c r="V50" s="70">
        <f>IF($S50="","",IF(ISNUMBER($I50),$I50,$U50))</f>
        <v/>
      </c>
      <c r="W50" s="70">
        <f>IF($S50="","",IF(ISNUMBER($J50),$J50,$V50))</f>
        <v/>
      </c>
      <c r="X50" s="70">
        <f>IF($S50="","",IF(ISNUMBER($K50),$K50,$W50))</f>
        <v/>
      </c>
      <c r="Y50" s="70">
        <f>IF($S50="","",IF(N($T50)&gt;0,AVERAGEIFS($U$5:$U$1000,$R$5:$R$1000,ROW(),$S$5:$S$1000,"Sub"),$U50))</f>
        <v/>
      </c>
      <c r="Z50" s="70">
        <f>IF($S50="","",IF(N($T50)&gt;0,AVERAGEIFS($V$5:$V$1000,$R$5:$R$1000,ROW(),$S$5:$S$1000,"Sub"),$V50))</f>
        <v/>
      </c>
      <c r="AA50" s="70">
        <f>IF($S50="","",IF(N($T50)&gt;0,AVERAGEIFS($W$5:$W$1000,$R$5:$R$1000,ROW(),$S$5:$S$1000,"Sub"),$W50))</f>
        <v/>
      </c>
      <c r="AB50" s="70">
        <f>IF($S50="","",IF(N($T50)&gt;0,AVERAGEIFS($X$5:$X$1000,$R$5:$R$1000,ROW(),$S$5:$S$1000,"Sub"),$X50))</f>
        <v/>
      </c>
    </row>
    <row r="51">
      <c r="A51" s="61">
        <f>IF(NOT((COUNTA($B51:$K51)+COUNTA($N51))&gt;0),"",IF($S51="Macro",COUNTIFS($S$5:$S51,"Macro",$P$5:$P51,$P51),IF(N($R51)=0,"?",COUNTIFS(INDEX($S$5:$S$1000,1):INDEX($S$5:$S$1000,$R51-4),"Macro",INDEX($P$5:$P$1000,1):INDEX($P$5:$P$1000,$R51-4),INDEX($P$5:$P$1000,$R51-4))&amp;"."&amp;COUNTIFS($R$5:$R51,$R51,$S$5:$S51,"Sub"))))</f>
        <v/>
      </c>
      <c r="B51" s="62" t="n"/>
      <c r="C51" s="63" t="n"/>
      <c r="D51" s="62" t="n"/>
      <c r="E51" s="64" t="n"/>
      <c r="F51" s="64" t="n"/>
      <c r="G51" s="65" t="n"/>
      <c r="H51" s="66" t="n"/>
      <c r="I51" s="66" t="n"/>
      <c r="J51" s="66" t="n"/>
      <c r="K51" s="66" t="n"/>
      <c r="L51" s="67">
        <f>IF(NOT((COUNTA($B51:$K51)+COUNTA($N51))&gt;0),"",IF(N($T51)&gt;0,$AB51,IFERROR(LOOKUP(2,1/(H51:K51&lt;&gt;""),H51:K51),0)))</f>
        <v/>
      </c>
      <c r="M51" s="61">
        <f>IF(L51="","",IF(L51&gt;=1,"Completado",IF(L51&gt;0,"En curso","Pendiente")))</f>
        <v/>
      </c>
      <c r="N51" s="62" t="n"/>
      <c r="O51" s="68">
        <f>IF(NOT((COUNTA($B51:$K51)+COUNTA($N51))&gt;0),"",IF((IF(AND($S51="Macro",$B51=""),"Macroactividad vacía"&amp;" · ","")&amp;IF(AND($B51&lt;&gt;"",$C51&lt;&gt;""),"Escriba la subactividad en otra fila, debajo de su macroactividad"&amp;" · ","")&amp;IF(AND($S51="Sub",N($R51)=0),"Subactividad sin macroactividad arriba"&amp;" · ","")&amp;IF($D51="","Sin responsable"&amp;" · ","")&amp;IF($E51="","Sin fecha de inicio"&amp;" · ","")&amp;IF($F51="","Sin fecha límite"&amp;" · ","")&amp;IF(OR(AND($E51&lt;&gt;"",NOT(ISNUMBER($E51))),AND($F51&lt;&gt;"",NOT(ISNUMBER($F51)))),"Fecha no válida"&amp;" · ","")&amp;IF(AND(ISNUMBER($E51),ISNUMBER($F51),$E51&gt;$F51),"Inicio posterior a fecha límite"&amp;" · ","")&amp;IF(AND($S51="Macro",$G51=""),"Peso vacío"&amp;" · ","")&amp;IF(AND($S51="Macro",$G51&lt;&gt;"",OR(NOT(ISNUMBER($G51)),$G51&lt;=0,$G51&gt;1)),"Peso fuera de rango"&amp;" · ","")&amp;IF(AND($S51="Sub",$G51&lt;&gt;""),"Las subactividades no llevan peso"&amp;" · ","")&amp;IF(AND($S51="Macro",ABS(SUMIFS($G$5:$G$1000,$P$5:$P$1000,$P51,$S$5:$S$1000,"Macro")-1)&gt;0.0001),"Pesos del mes suman "&amp;TEXT(SUMIFS($G$5:$G$1000,$P$5:$P$1000,$P51,$S$5:$S$1000,"Macro"),"0%")&amp;" · ","")&amp;IF(AND(N($T51)&gt;0,COUNT($H51:$K51)&gt;0),"Con subactividades: deje vacías las semanas (se calculan solas)"&amp;" · ","")&amp;IF((COUNTIF($H51:$K51,"&gt;1")+COUNTIF($H51:$K51,"&lt;0")+COUNTA($H51:$K51)-COUNT($H51:$K51))&gt;0,"Avance fuera de rango 0-100%"&amp;" · ","")&amp;IF(OR(AND($I51&lt;&gt;"",$I51&lt;$H51),AND($J51&lt;&gt;"",$J51&lt;MAX($H51:$I51)),AND($K51&lt;&gt;"",$K51&lt;MAX($H51:$J51))),"Avance semanal decreciente"&amp;" · ","")&amp;IF(AND(ISNUMBER($F51),$F51&lt;FechaRef,N($L51)&lt;1),"Vencida"&amp;" · ","")&amp;IF(AND(ObsObligatoria="Sí",ISNUMBER($F51),$F51&lt;FechaRef,N($L51)&lt;1,$N51=""),"Vencida sin observación"&amp;" · ",""))="","✔ OK","⚠ "&amp;LEFT(IF(AND($S51="Macro",$B51=""),"Macroactividad vacía"&amp;" · ","")&amp;IF(AND($B51&lt;&gt;"",$C51&lt;&gt;""),"Escriba la subactividad en otra fila, debajo de su macroactividad"&amp;" · ","")&amp;IF(AND($S51="Sub",N($R51)=0),"Subactividad sin macroactividad arriba"&amp;" · ","")&amp;IF($D51="","Sin responsable"&amp;" · ","")&amp;IF($E51="","Sin fecha de inicio"&amp;" · ","")&amp;IF($F51="","Sin fecha límite"&amp;" · ","")&amp;IF(OR(AND($E51&lt;&gt;"",NOT(ISNUMBER($E51))),AND($F51&lt;&gt;"",NOT(ISNUMBER($F51)))),"Fecha no válida"&amp;" · ","")&amp;IF(AND(ISNUMBER($E51),ISNUMBER($F51),$E51&gt;$F51),"Inicio posterior a fecha límite"&amp;" · ","")&amp;IF(AND($S51="Macro",$G51=""),"Peso vacío"&amp;" · ","")&amp;IF(AND($S51="Macro",$G51&lt;&gt;"",OR(NOT(ISNUMBER($G51)),$G51&lt;=0,$G51&gt;1)),"Peso fuera de rango"&amp;" · ","")&amp;IF(AND($S51="Sub",$G51&lt;&gt;""),"Las subactividades no llevan peso"&amp;" · ","")&amp;IF(AND($S51="Macro",ABS(SUMIFS($G$5:$G$1000,$P$5:$P$1000,$P51,$S$5:$S$1000,"Macro")-1)&gt;0.0001),"Pesos del mes suman "&amp;TEXT(SUMIFS($G$5:$G$1000,$P$5:$P$1000,$P51,$S$5:$S$1000,"Macro"),"0%")&amp;" · ","")&amp;IF(AND(N($T51)&gt;0,COUNT($H51:$K51)&gt;0),"Con subactividades: deje vacías las semanas (se calculan solas)"&amp;" · ","")&amp;IF((COUNTIF($H51:$K51,"&gt;1")+COUNTIF($H51:$K51,"&lt;0")+COUNTA($H51:$K51)-COUNT($H51:$K51))&gt;0,"Avance fuera de rango 0-100%"&amp;" · ","")&amp;IF(OR(AND($I51&lt;&gt;"",$I51&lt;$H51),AND($J51&lt;&gt;"",$J51&lt;MAX($H51:$I51)),AND($K51&lt;&gt;"",$K51&lt;MAX($H51:$J51))),"Avance semanal decreciente"&amp;" · ","")&amp;IF(AND(ISNUMBER($F51),$F51&lt;FechaRef,N($L51)&lt;1),"Vencida"&amp;" · ","")&amp;IF(AND(ObsObligatoria="Sí",ISNUMBER($F51),$F51&lt;FechaRef,N($L51)&lt;1,$N51=""),"Vencida sin observación"&amp;" · ",""),LEN(IF(AND($S51="Macro",$B51=""),"Macroactividad vacía"&amp;" · ","")&amp;IF(AND($B51&lt;&gt;"",$C51&lt;&gt;""),"Escriba la subactividad en otra fila, debajo de su macroactividad"&amp;" · ","")&amp;IF(AND($S51="Sub",N($R51)=0),"Subactividad sin macroactividad arriba"&amp;" · ","")&amp;IF($D51="","Sin responsable"&amp;" · ","")&amp;IF($E51="","Sin fecha de inicio"&amp;" · ","")&amp;IF($F51="","Sin fecha límite"&amp;" · ","")&amp;IF(OR(AND($E51&lt;&gt;"",NOT(ISNUMBER($E51))),AND($F51&lt;&gt;"",NOT(ISNUMBER($F51)))),"Fecha no válida"&amp;" · ","")&amp;IF(AND(ISNUMBER($E51),ISNUMBER($F51),$E51&gt;$F51),"Inicio posterior a fecha límite"&amp;" · ","")&amp;IF(AND($S51="Macro",$G51=""),"Peso vacío"&amp;" · ","")&amp;IF(AND($S51="Macro",$G51&lt;&gt;"",OR(NOT(ISNUMBER($G51)),$G51&lt;=0,$G51&gt;1)),"Peso fuera de rango"&amp;" · ","")&amp;IF(AND($S51="Sub",$G51&lt;&gt;""),"Las subactividades no llevan peso"&amp;" · ","")&amp;IF(AND($S51="Macro",ABS(SUMIFS($G$5:$G$1000,$P$5:$P$1000,$P51,$S$5:$S$1000,"Macro")-1)&gt;0.0001),"Pesos del mes suman "&amp;TEXT(SUMIFS($G$5:$G$1000,$P$5:$P$1000,$P51,$S$5:$S$1000,"Macro"),"0%")&amp;" · ","")&amp;IF(AND(N($T51)&gt;0,COUNT($H51:$K51)&gt;0),"Con subactividades: deje vacías las semanas (se calculan solas)"&amp;" · ","")&amp;IF((COUNTIF($H51:$K51,"&gt;1")+COUNTIF($H51:$K51,"&lt;0")+COUNTA($H51:$K51)-COUNT($H51:$K51))&gt;0,"Avance fuera de rango 0-100%"&amp;" · ","")&amp;IF(OR(AND($I51&lt;&gt;"",$I51&lt;$H51),AND($J51&lt;&gt;"",$J51&lt;MAX($H51:$I51)),AND($K51&lt;&gt;"",$K51&lt;MAX($H51:$J51))),"Avance semanal decreciente"&amp;" · ","")&amp;IF(AND(ISNUMBER($F51),$F51&lt;FechaRef,N($L51)&lt;1),"Vencida"&amp;" · ","")&amp;IF(AND(ObsObligatoria="Sí",ISNUMBER($F51),$F51&lt;FechaRef,N($L51)&lt;1,$N51=""),"Vencida sin observación"&amp;" · ",""))-3)))</f>
        <v/>
      </c>
      <c r="P51" s="69">
        <f>IF(NOT((COUNTA($B51:$K51)+COUNTA($N51))&gt;0),"",IF(AND($S51="Sub",N($R51)&gt;0),IF(ISNUMBER(INDEX($E$5:$E$1000,$R51-4)),DATE(YEAR(INDEX($E$5:$E$1000,$R51-4)),MONTH(INDEX($E$5:$E$1000,$R51-4)),1),IF(ISNUMBER(INDEX($F$5:$F$1000,$R51-4)),DATE(YEAR(INDEX($F$5:$F$1000,$R51-4)),MONTH(INDEX($F$5:$F$1000,$R51-4)),1),MesCiclo)),IF(ISNUMBER($E51),DATE(YEAR($E51),MONTH($E51),1),IF(ISNUMBER($F51),DATE(YEAR($F51),MONTH($F51),1),MesCiclo))))</f>
        <v/>
      </c>
      <c r="Q51" s="70">
        <f>IF(OR($P51="",$P51&lt;&gt;MesCiclo),"",COUNTIF($P$5:$P51,MesCiclo))</f>
        <v/>
      </c>
      <c r="R51" s="70">
        <f>IF($S51="","",IF($S51="Macro",ROW(),IFERROR(LOOKUP(2,1/($S$5:$S51="Macro"),ROW($S$5:$S51)),0)))</f>
        <v/>
      </c>
      <c r="S51" s="70">
        <f>IF(NOT((COUNTA($B51:$K51)+COUNTA($N51))&gt;0),"",IF($B51&lt;&gt;"","Macro",IF($C51&lt;&gt;"","Sub","Macro")))</f>
        <v/>
      </c>
      <c r="T51" s="70">
        <f>IF($S51="Macro",COUNTIFS($R$5:$R$1000,ROW(),$S$5:$S$1000,"Sub"),"")</f>
        <v/>
      </c>
      <c r="U51" s="70">
        <f>IF($S51="","",IF(ISNUMBER($H51),$H51,0))</f>
        <v/>
      </c>
      <c r="V51" s="70">
        <f>IF($S51="","",IF(ISNUMBER($I51),$I51,$U51))</f>
        <v/>
      </c>
      <c r="W51" s="70">
        <f>IF($S51="","",IF(ISNUMBER($J51),$J51,$V51))</f>
        <v/>
      </c>
      <c r="X51" s="70">
        <f>IF($S51="","",IF(ISNUMBER($K51),$K51,$W51))</f>
        <v/>
      </c>
      <c r="Y51" s="70">
        <f>IF($S51="","",IF(N($T51)&gt;0,AVERAGEIFS($U$5:$U$1000,$R$5:$R$1000,ROW(),$S$5:$S$1000,"Sub"),$U51))</f>
        <v/>
      </c>
      <c r="Z51" s="70">
        <f>IF($S51="","",IF(N($T51)&gt;0,AVERAGEIFS($V$5:$V$1000,$R$5:$R$1000,ROW(),$S$5:$S$1000,"Sub"),$V51))</f>
        <v/>
      </c>
      <c r="AA51" s="70">
        <f>IF($S51="","",IF(N($T51)&gt;0,AVERAGEIFS($W$5:$W$1000,$R$5:$R$1000,ROW(),$S$5:$S$1000,"Sub"),$W51))</f>
        <v/>
      </c>
      <c r="AB51" s="70">
        <f>IF($S51="","",IF(N($T51)&gt;0,AVERAGEIFS($X$5:$X$1000,$R$5:$R$1000,ROW(),$S$5:$S$1000,"Sub"),$X51))</f>
        <v/>
      </c>
    </row>
    <row r="52">
      <c r="A52" s="61">
        <f>IF(NOT((COUNTA($B52:$K52)+COUNTA($N52))&gt;0),"",IF($S52="Macro",COUNTIFS($S$5:$S52,"Macro",$P$5:$P52,$P52),IF(N($R52)=0,"?",COUNTIFS(INDEX($S$5:$S$1000,1):INDEX($S$5:$S$1000,$R52-4),"Macro",INDEX($P$5:$P$1000,1):INDEX($P$5:$P$1000,$R52-4),INDEX($P$5:$P$1000,$R52-4))&amp;"."&amp;COUNTIFS($R$5:$R52,$R52,$S$5:$S52,"Sub"))))</f>
        <v/>
      </c>
      <c r="B52" s="62" t="n"/>
      <c r="C52" s="63" t="n"/>
      <c r="D52" s="62" t="n"/>
      <c r="E52" s="64" t="n"/>
      <c r="F52" s="64" t="n"/>
      <c r="G52" s="65" t="n"/>
      <c r="H52" s="66" t="n"/>
      <c r="I52" s="66" t="n"/>
      <c r="J52" s="66" t="n"/>
      <c r="K52" s="66" t="n"/>
      <c r="L52" s="67">
        <f>IF(NOT((COUNTA($B52:$K52)+COUNTA($N52))&gt;0),"",IF(N($T52)&gt;0,$AB52,IFERROR(LOOKUP(2,1/(H52:K52&lt;&gt;""),H52:K52),0)))</f>
        <v/>
      </c>
      <c r="M52" s="61">
        <f>IF(L52="","",IF(L52&gt;=1,"Completado",IF(L52&gt;0,"En curso","Pendiente")))</f>
        <v/>
      </c>
      <c r="N52" s="62" t="n"/>
      <c r="O52" s="68">
        <f>IF(NOT((COUNTA($B52:$K52)+COUNTA($N52))&gt;0),"",IF((IF(AND($S52="Macro",$B52=""),"Macroactividad vacía"&amp;" · ","")&amp;IF(AND($B52&lt;&gt;"",$C52&lt;&gt;""),"Escriba la subactividad en otra fila, debajo de su macroactividad"&amp;" · ","")&amp;IF(AND($S52="Sub",N($R52)=0),"Subactividad sin macroactividad arriba"&amp;" · ","")&amp;IF($D52="","Sin responsable"&amp;" · ","")&amp;IF($E52="","Sin fecha de inicio"&amp;" · ","")&amp;IF($F52="","Sin fecha límite"&amp;" · ","")&amp;IF(OR(AND($E52&lt;&gt;"",NOT(ISNUMBER($E52))),AND($F52&lt;&gt;"",NOT(ISNUMBER($F52)))),"Fecha no válida"&amp;" · ","")&amp;IF(AND(ISNUMBER($E52),ISNUMBER($F52),$E52&gt;$F52),"Inicio posterior a fecha límite"&amp;" · ","")&amp;IF(AND($S52="Macro",$G52=""),"Peso vacío"&amp;" · ","")&amp;IF(AND($S52="Macro",$G52&lt;&gt;"",OR(NOT(ISNUMBER($G52)),$G52&lt;=0,$G52&gt;1)),"Peso fuera de rango"&amp;" · ","")&amp;IF(AND($S52="Sub",$G52&lt;&gt;""),"Las subactividades no llevan peso"&amp;" · ","")&amp;IF(AND($S52="Macro",ABS(SUMIFS($G$5:$G$1000,$P$5:$P$1000,$P52,$S$5:$S$1000,"Macro")-1)&gt;0.0001),"Pesos del mes suman "&amp;TEXT(SUMIFS($G$5:$G$1000,$P$5:$P$1000,$P52,$S$5:$S$1000,"Macro"),"0%")&amp;" · ","")&amp;IF(AND(N($T52)&gt;0,COUNT($H52:$K52)&gt;0),"Con subactividades: deje vacías las semanas (se calculan solas)"&amp;" · ","")&amp;IF((COUNTIF($H52:$K52,"&gt;1")+COUNTIF($H52:$K52,"&lt;0")+COUNTA($H52:$K52)-COUNT($H52:$K52))&gt;0,"Avance fuera de rango 0-100%"&amp;" · ","")&amp;IF(OR(AND($I52&lt;&gt;"",$I52&lt;$H52),AND($J52&lt;&gt;"",$J52&lt;MAX($H52:$I52)),AND($K52&lt;&gt;"",$K52&lt;MAX($H52:$J52))),"Avance semanal decreciente"&amp;" · ","")&amp;IF(AND(ISNUMBER($F52),$F52&lt;FechaRef,N($L52)&lt;1),"Vencida"&amp;" · ","")&amp;IF(AND(ObsObligatoria="Sí",ISNUMBER($F52),$F52&lt;FechaRef,N($L52)&lt;1,$N52=""),"Vencida sin observación"&amp;" · ",""))="","✔ OK","⚠ "&amp;LEFT(IF(AND($S52="Macro",$B52=""),"Macroactividad vacía"&amp;" · ","")&amp;IF(AND($B52&lt;&gt;"",$C52&lt;&gt;""),"Escriba la subactividad en otra fila, debajo de su macroactividad"&amp;" · ","")&amp;IF(AND($S52="Sub",N($R52)=0),"Subactividad sin macroactividad arriba"&amp;" · ","")&amp;IF($D52="","Sin responsable"&amp;" · ","")&amp;IF($E52="","Sin fecha de inicio"&amp;" · ","")&amp;IF($F52="","Sin fecha límite"&amp;" · ","")&amp;IF(OR(AND($E52&lt;&gt;"",NOT(ISNUMBER($E52))),AND($F52&lt;&gt;"",NOT(ISNUMBER($F52)))),"Fecha no válida"&amp;" · ","")&amp;IF(AND(ISNUMBER($E52),ISNUMBER($F52),$E52&gt;$F52),"Inicio posterior a fecha límite"&amp;" · ","")&amp;IF(AND($S52="Macro",$G52=""),"Peso vacío"&amp;" · ","")&amp;IF(AND($S52="Macro",$G52&lt;&gt;"",OR(NOT(ISNUMBER($G52)),$G52&lt;=0,$G52&gt;1)),"Peso fuera de rango"&amp;" · ","")&amp;IF(AND($S52="Sub",$G52&lt;&gt;""),"Las subactividades no llevan peso"&amp;" · ","")&amp;IF(AND($S52="Macro",ABS(SUMIFS($G$5:$G$1000,$P$5:$P$1000,$P52,$S$5:$S$1000,"Macro")-1)&gt;0.0001),"Pesos del mes suman "&amp;TEXT(SUMIFS($G$5:$G$1000,$P$5:$P$1000,$P52,$S$5:$S$1000,"Macro"),"0%")&amp;" · ","")&amp;IF(AND(N($T52)&gt;0,COUNT($H52:$K52)&gt;0),"Con subactividades: deje vacías las semanas (se calculan solas)"&amp;" · ","")&amp;IF((COUNTIF($H52:$K52,"&gt;1")+COUNTIF($H52:$K52,"&lt;0")+COUNTA($H52:$K52)-COUNT($H52:$K52))&gt;0,"Avance fuera de rango 0-100%"&amp;" · ","")&amp;IF(OR(AND($I52&lt;&gt;"",$I52&lt;$H52),AND($J52&lt;&gt;"",$J52&lt;MAX($H52:$I52)),AND($K52&lt;&gt;"",$K52&lt;MAX($H52:$J52))),"Avance semanal decreciente"&amp;" · ","")&amp;IF(AND(ISNUMBER($F52),$F52&lt;FechaRef,N($L52)&lt;1),"Vencida"&amp;" · ","")&amp;IF(AND(ObsObligatoria="Sí",ISNUMBER($F52),$F52&lt;FechaRef,N($L52)&lt;1,$N52=""),"Vencida sin observación"&amp;" · ",""),LEN(IF(AND($S52="Macro",$B52=""),"Macroactividad vacía"&amp;" · ","")&amp;IF(AND($B52&lt;&gt;"",$C52&lt;&gt;""),"Escriba la subactividad en otra fila, debajo de su macroactividad"&amp;" · ","")&amp;IF(AND($S52="Sub",N($R52)=0),"Subactividad sin macroactividad arriba"&amp;" · ","")&amp;IF($D52="","Sin responsable"&amp;" · ","")&amp;IF($E52="","Sin fecha de inicio"&amp;" · ","")&amp;IF($F52="","Sin fecha límite"&amp;" · ","")&amp;IF(OR(AND($E52&lt;&gt;"",NOT(ISNUMBER($E52))),AND($F52&lt;&gt;"",NOT(ISNUMBER($F52)))),"Fecha no válida"&amp;" · ","")&amp;IF(AND(ISNUMBER($E52),ISNUMBER($F52),$E52&gt;$F52),"Inicio posterior a fecha límite"&amp;" · ","")&amp;IF(AND($S52="Macro",$G52=""),"Peso vacío"&amp;" · ","")&amp;IF(AND($S52="Macro",$G52&lt;&gt;"",OR(NOT(ISNUMBER($G52)),$G52&lt;=0,$G52&gt;1)),"Peso fuera de rango"&amp;" · ","")&amp;IF(AND($S52="Sub",$G52&lt;&gt;""),"Las subactividades no llevan peso"&amp;" · ","")&amp;IF(AND($S52="Macro",ABS(SUMIFS($G$5:$G$1000,$P$5:$P$1000,$P52,$S$5:$S$1000,"Macro")-1)&gt;0.0001),"Pesos del mes suman "&amp;TEXT(SUMIFS($G$5:$G$1000,$P$5:$P$1000,$P52,$S$5:$S$1000,"Macro"),"0%")&amp;" · ","")&amp;IF(AND(N($T52)&gt;0,COUNT($H52:$K52)&gt;0),"Con subactividades: deje vacías las semanas (se calculan solas)"&amp;" · ","")&amp;IF((COUNTIF($H52:$K52,"&gt;1")+COUNTIF($H52:$K52,"&lt;0")+COUNTA($H52:$K52)-COUNT($H52:$K52))&gt;0,"Avance fuera de rango 0-100%"&amp;" · ","")&amp;IF(OR(AND($I52&lt;&gt;"",$I52&lt;$H52),AND($J52&lt;&gt;"",$J52&lt;MAX($H52:$I52)),AND($K52&lt;&gt;"",$K52&lt;MAX($H52:$J52))),"Avance semanal decreciente"&amp;" · ","")&amp;IF(AND(ISNUMBER($F52),$F52&lt;FechaRef,N($L52)&lt;1),"Vencida"&amp;" · ","")&amp;IF(AND(ObsObligatoria="Sí",ISNUMBER($F52),$F52&lt;FechaRef,N($L52)&lt;1,$N52=""),"Vencida sin observación"&amp;" · ",""))-3)))</f>
        <v/>
      </c>
      <c r="P52" s="69">
        <f>IF(NOT((COUNTA($B52:$K52)+COUNTA($N52))&gt;0),"",IF(AND($S52="Sub",N($R52)&gt;0),IF(ISNUMBER(INDEX($E$5:$E$1000,$R52-4)),DATE(YEAR(INDEX($E$5:$E$1000,$R52-4)),MONTH(INDEX($E$5:$E$1000,$R52-4)),1),IF(ISNUMBER(INDEX($F$5:$F$1000,$R52-4)),DATE(YEAR(INDEX($F$5:$F$1000,$R52-4)),MONTH(INDEX($F$5:$F$1000,$R52-4)),1),MesCiclo)),IF(ISNUMBER($E52),DATE(YEAR($E52),MONTH($E52),1),IF(ISNUMBER($F52),DATE(YEAR($F52),MONTH($F52),1),MesCiclo))))</f>
        <v/>
      </c>
      <c r="Q52" s="70">
        <f>IF(OR($P52="",$P52&lt;&gt;MesCiclo),"",COUNTIF($P$5:$P52,MesCiclo))</f>
        <v/>
      </c>
      <c r="R52" s="70">
        <f>IF($S52="","",IF($S52="Macro",ROW(),IFERROR(LOOKUP(2,1/($S$5:$S52="Macro"),ROW($S$5:$S52)),0)))</f>
        <v/>
      </c>
      <c r="S52" s="70">
        <f>IF(NOT((COUNTA($B52:$K52)+COUNTA($N52))&gt;0),"",IF($B52&lt;&gt;"","Macro",IF($C52&lt;&gt;"","Sub","Macro")))</f>
        <v/>
      </c>
      <c r="T52" s="70">
        <f>IF($S52="Macro",COUNTIFS($R$5:$R$1000,ROW(),$S$5:$S$1000,"Sub"),"")</f>
        <v/>
      </c>
      <c r="U52" s="70">
        <f>IF($S52="","",IF(ISNUMBER($H52),$H52,0))</f>
        <v/>
      </c>
      <c r="V52" s="70">
        <f>IF($S52="","",IF(ISNUMBER($I52),$I52,$U52))</f>
        <v/>
      </c>
      <c r="W52" s="70">
        <f>IF($S52="","",IF(ISNUMBER($J52),$J52,$V52))</f>
        <v/>
      </c>
      <c r="X52" s="70">
        <f>IF($S52="","",IF(ISNUMBER($K52),$K52,$W52))</f>
        <v/>
      </c>
      <c r="Y52" s="70">
        <f>IF($S52="","",IF(N($T52)&gt;0,AVERAGEIFS($U$5:$U$1000,$R$5:$R$1000,ROW(),$S$5:$S$1000,"Sub"),$U52))</f>
        <v/>
      </c>
      <c r="Z52" s="70">
        <f>IF($S52="","",IF(N($T52)&gt;0,AVERAGEIFS($V$5:$V$1000,$R$5:$R$1000,ROW(),$S$5:$S$1000,"Sub"),$V52))</f>
        <v/>
      </c>
      <c r="AA52" s="70">
        <f>IF($S52="","",IF(N($T52)&gt;0,AVERAGEIFS($W$5:$W$1000,$R$5:$R$1000,ROW(),$S$5:$S$1000,"Sub"),$W52))</f>
        <v/>
      </c>
      <c r="AB52" s="70">
        <f>IF($S52="","",IF(N($T52)&gt;0,AVERAGEIFS($X$5:$X$1000,$R$5:$R$1000,ROW(),$S$5:$S$1000,"Sub"),$X52))</f>
        <v/>
      </c>
    </row>
    <row r="53">
      <c r="A53" s="61">
        <f>IF(NOT((COUNTA($B53:$K53)+COUNTA($N53))&gt;0),"",IF($S53="Macro",COUNTIFS($S$5:$S53,"Macro",$P$5:$P53,$P53),IF(N($R53)=0,"?",COUNTIFS(INDEX($S$5:$S$1000,1):INDEX($S$5:$S$1000,$R53-4),"Macro",INDEX($P$5:$P$1000,1):INDEX($P$5:$P$1000,$R53-4),INDEX($P$5:$P$1000,$R53-4))&amp;"."&amp;COUNTIFS($R$5:$R53,$R53,$S$5:$S53,"Sub"))))</f>
        <v/>
      </c>
      <c r="B53" s="62" t="n"/>
      <c r="C53" s="63" t="n"/>
      <c r="D53" s="62" t="n"/>
      <c r="E53" s="64" t="n"/>
      <c r="F53" s="64" t="n"/>
      <c r="G53" s="65" t="n"/>
      <c r="H53" s="66" t="n"/>
      <c r="I53" s="66" t="n"/>
      <c r="J53" s="66" t="n"/>
      <c r="K53" s="66" t="n"/>
      <c r="L53" s="67">
        <f>IF(NOT((COUNTA($B53:$K53)+COUNTA($N53))&gt;0),"",IF(N($T53)&gt;0,$AB53,IFERROR(LOOKUP(2,1/(H53:K53&lt;&gt;""),H53:K53),0)))</f>
        <v/>
      </c>
      <c r="M53" s="61">
        <f>IF(L53="","",IF(L53&gt;=1,"Completado",IF(L53&gt;0,"En curso","Pendiente")))</f>
        <v/>
      </c>
      <c r="N53" s="62" t="n"/>
      <c r="O53" s="68">
        <f>IF(NOT((COUNTA($B53:$K53)+COUNTA($N53))&gt;0),"",IF((IF(AND($S53="Macro",$B53=""),"Macroactividad vacía"&amp;" · ","")&amp;IF(AND($B53&lt;&gt;"",$C53&lt;&gt;""),"Escriba la subactividad en otra fila, debajo de su macroactividad"&amp;" · ","")&amp;IF(AND($S53="Sub",N($R53)=0),"Subactividad sin macroactividad arriba"&amp;" · ","")&amp;IF($D53="","Sin responsable"&amp;" · ","")&amp;IF($E53="","Sin fecha de inicio"&amp;" · ","")&amp;IF($F53="","Sin fecha límite"&amp;" · ","")&amp;IF(OR(AND($E53&lt;&gt;"",NOT(ISNUMBER($E53))),AND($F53&lt;&gt;"",NOT(ISNUMBER($F53)))),"Fecha no válida"&amp;" · ","")&amp;IF(AND(ISNUMBER($E53),ISNUMBER($F53),$E53&gt;$F53),"Inicio posterior a fecha límite"&amp;" · ","")&amp;IF(AND($S53="Macro",$G53=""),"Peso vacío"&amp;" · ","")&amp;IF(AND($S53="Macro",$G53&lt;&gt;"",OR(NOT(ISNUMBER($G53)),$G53&lt;=0,$G53&gt;1)),"Peso fuera de rango"&amp;" · ","")&amp;IF(AND($S53="Sub",$G53&lt;&gt;""),"Las subactividades no llevan peso"&amp;" · ","")&amp;IF(AND($S53="Macro",ABS(SUMIFS($G$5:$G$1000,$P$5:$P$1000,$P53,$S$5:$S$1000,"Macro")-1)&gt;0.0001),"Pesos del mes suman "&amp;TEXT(SUMIFS($G$5:$G$1000,$P$5:$P$1000,$P53,$S$5:$S$1000,"Macro"),"0%")&amp;" · ","")&amp;IF(AND(N($T53)&gt;0,COUNT($H53:$K53)&gt;0),"Con subactividades: deje vacías las semanas (se calculan solas)"&amp;" · ","")&amp;IF((COUNTIF($H53:$K53,"&gt;1")+COUNTIF($H53:$K53,"&lt;0")+COUNTA($H53:$K53)-COUNT($H53:$K53))&gt;0,"Avance fuera de rango 0-100%"&amp;" · ","")&amp;IF(OR(AND($I53&lt;&gt;"",$I53&lt;$H53),AND($J53&lt;&gt;"",$J53&lt;MAX($H53:$I53)),AND($K53&lt;&gt;"",$K53&lt;MAX($H53:$J53))),"Avance semanal decreciente"&amp;" · ","")&amp;IF(AND(ISNUMBER($F53),$F53&lt;FechaRef,N($L53)&lt;1),"Vencida"&amp;" · ","")&amp;IF(AND(ObsObligatoria="Sí",ISNUMBER($F53),$F53&lt;FechaRef,N($L53)&lt;1,$N53=""),"Vencida sin observación"&amp;" · ",""))="","✔ OK","⚠ "&amp;LEFT(IF(AND($S53="Macro",$B53=""),"Macroactividad vacía"&amp;" · ","")&amp;IF(AND($B53&lt;&gt;"",$C53&lt;&gt;""),"Escriba la subactividad en otra fila, debajo de su macroactividad"&amp;" · ","")&amp;IF(AND($S53="Sub",N($R53)=0),"Subactividad sin macroactividad arriba"&amp;" · ","")&amp;IF($D53="","Sin responsable"&amp;" · ","")&amp;IF($E53="","Sin fecha de inicio"&amp;" · ","")&amp;IF($F53="","Sin fecha límite"&amp;" · ","")&amp;IF(OR(AND($E53&lt;&gt;"",NOT(ISNUMBER($E53))),AND($F53&lt;&gt;"",NOT(ISNUMBER($F53)))),"Fecha no válida"&amp;" · ","")&amp;IF(AND(ISNUMBER($E53),ISNUMBER($F53),$E53&gt;$F53),"Inicio posterior a fecha límite"&amp;" · ","")&amp;IF(AND($S53="Macro",$G53=""),"Peso vacío"&amp;" · ","")&amp;IF(AND($S53="Macro",$G53&lt;&gt;"",OR(NOT(ISNUMBER($G53)),$G53&lt;=0,$G53&gt;1)),"Peso fuera de rango"&amp;" · ","")&amp;IF(AND($S53="Sub",$G53&lt;&gt;""),"Las subactividades no llevan peso"&amp;" · ","")&amp;IF(AND($S53="Macro",ABS(SUMIFS($G$5:$G$1000,$P$5:$P$1000,$P53,$S$5:$S$1000,"Macro")-1)&gt;0.0001),"Pesos del mes suman "&amp;TEXT(SUMIFS($G$5:$G$1000,$P$5:$P$1000,$P53,$S$5:$S$1000,"Macro"),"0%")&amp;" · ","")&amp;IF(AND(N($T53)&gt;0,COUNT($H53:$K53)&gt;0),"Con subactividades: deje vacías las semanas (se calculan solas)"&amp;" · ","")&amp;IF((COUNTIF($H53:$K53,"&gt;1")+COUNTIF($H53:$K53,"&lt;0")+COUNTA($H53:$K53)-COUNT($H53:$K53))&gt;0,"Avance fuera de rango 0-100%"&amp;" · ","")&amp;IF(OR(AND($I53&lt;&gt;"",$I53&lt;$H53),AND($J53&lt;&gt;"",$J53&lt;MAX($H53:$I53)),AND($K53&lt;&gt;"",$K53&lt;MAX($H53:$J53))),"Avance semanal decreciente"&amp;" · ","")&amp;IF(AND(ISNUMBER($F53),$F53&lt;FechaRef,N($L53)&lt;1),"Vencida"&amp;" · ","")&amp;IF(AND(ObsObligatoria="Sí",ISNUMBER($F53),$F53&lt;FechaRef,N($L53)&lt;1,$N53=""),"Vencida sin observación"&amp;" · ",""),LEN(IF(AND($S53="Macro",$B53=""),"Macroactividad vacía"&amp;" · ","")&amp;IF(AND($B53&lt;&gt;"",$C53&lt;&gt;""),"Escriba la subactividad en otra fila, debajo de su macroactividad"&amp;" · ","")&amp;IF(AND($S53="Sub",N($R53)=0),"Subactividad sin macroactividad arriba"&amp;" · ","")&amp;IF($D53="","Sin responsable"&amp;" · ","")&amp;IF($E53="","Sin fecha de inicio"&amp;" · ","")&amp;IF($F53="","Sin fecha límite"&amp;" · ","")&amp;IF(OR(AND($E53&lt;&gt;"",NOT(ISNUMBER($E53))),AND($F53&lt;&gt;"",NOT(ISNUMBER($F53)))),"Fecha no válida"&amp;" · ","")&amp;IF(AND(ISNUMBER($E53),ISNUMBER($F53),$E53&gt;$F53),"Inicio posterior a fecha límite"&amp;" · ","")&amp;IF(AND($S53="Macro",$G53=""),"Peso vacío"&amp;" · ","")&amp;IF(AND($S53="Macro",$G53&lt;&gt;"",OR(NOT(ISNUMBER($G53)),$G53&lt;=0,$G53&gt;1)),"Peso fuera de rango"&amp;" · ","")&amp;IF(AND($S53="Sub",$G53&lt;&gt;""),"Las subactividades no llevan peso"&amp;" · ","")&amp;IF(AND($S53="Macro",ABS(SUMIFS($G$5:$G$1000,$P$5:$P$1000,$P53,$S$5:$S$1000,"Macro")-1)&gt;0.0001),"Pesos del mes suman "&amp;TEXT(SUMIFS($G$5:$G$1000,$P$5:$P$1000,$P53,$S$5:$S$1000,"Macro"),"0%")&amp;" · ","")&amp;IF(AND(N($T53)&gt;0,COUNT($H53:$K53)&gt;0),"Con subactividades: deje vacías las semanas (se calculan solas)"&amp;" · ","")&amp;IF((COUNTIF($H53:$K53,"&gt;1")+COUNTIF($H53:$K53,"&lt;0")+COUNTA($H53:$K53)-COUNT($H53:$K53))&gt;0,"Avance fuera de rango 0-100%"&amp;" · ","")&amp;IF(OR(AND($I53&lt;&gt;"",$I53&lt;$H53),AND($J53&lt;&gt;"",$J53&lt;MAX($H53:$I53)),AND($K53&lt;&gt;"",$K53&lt;MAX($H53:$J53))),"Avance semanal decreciente"&amp;" · ","")&amp;IF(AND(ISNUMBER($F53),$F53&lt;FechaRef,N($L53)&lt;1),"Vencida"&amp;" · ","")&amp;IF(AND(ObsObligatoria="Sí",ISNUMBER($F53),$F53&lt;FechaRef,N($L53)&lt;1,$N53=""),"Vencida sin observación"&amp;" · ",""))-3)))</f>
        <v/>
      </c>
      <c r="P53" s="69">
        <f>IF(NOT((COUNTA($B53:$K53)+COUNTA($N53))&gt;0),"",IF(AND($S53="Sub",N($R53)&gt;0),IF(ISNUMBER(INDEX($E$5:$E$1000,$R53-4)),DATE(YEAR(INDEX($E$5:$E$1000,$R53-4)),MONTH(INDEX($E$5:$E$1000,$R53-4)),1),IF(ISNUMBER(INDEX($F$5:$F$1000,$R53-4)),DATE(YEAR(INDEX($F$5:$F$1000,$R53-4)),MONTH(INDEX($F$5:$F$1000,$R53-4)),1),MesCiclo)),IF(ISNUMBER($E53),DATE(YEAR($E53),MONTH($E53),1),IF(ISNUMBER($F53),DATE(YEAR($F53),MONTH($F53),1),MesCiclo))))</f>
        <v/>
      </c>
      <c r="Q53" s="70">
        <f>IF(OR($P53="",$P53&lt;&gt;MesCiclo),"",COUNTIF($P$5:$P53,MesCiclo))</f>
        <v/>
      </c>
      <c r="R53" s="70">
        <f>IF($S53="","",IF($S53="Macro",ROW(),IFERROR(LOOKUP(2,1/($S$5:$S53="Macro"),ROW($S$5:$S53)),0)))</f>
        <v/>
      </c>
      <c r="S53" s="70">
        <f>IF(NOT((COUNTA($B53:$K53)+COUNTA($N53))&gt;0),"",IF($B53&lt;&gt;"","Macro",IF($C53&lt;&gt;"","Sub","Macro")))</f>
        <v/>
      </c>
      <c r="T53" s="70">
        <f>IF($S53="Macro",COUNTIFS($R$5:$R$1000,ROW(),$S$5:$S$1000,"Sub"),"")</f>
        <v/>
      </c>
      <c r="U53" s="70">
        <f>IF($S53="","",IF(ISNUMBER($H53),$H53,0))</f>
        <v/>
      </c>
      <c r="V53" s="70">
        <f>IF($S53="","",IF(ISNUMBER($I53),$I53,$U53))</f>
        <v/>
      </c>
      <c r="W53" s="70">
        <f>IF($S53="","",IF(ISNUMBER($J53),$J53,$V53))</f>
        <v/>
      </c>
      <c r="X53" s="70">
        <f>IF($S53="","",IF(ISNUMBER($K53),$K53,$W53))</f>
        <v/>
      </c>
      <c r="Y53" s="70">
        <f>IF($S53="","",IF(N($T53)&gt;0,AVERAGEIFS($U$5:$U$1000,$R$5:$R$1000,ROW(),$S$5:$S$1000,"Sub"),$U53))</f>
        <v/>
      </c>
      <c r="Z53" s="70">
        <f>IF($S53="","",IF(N($T53)&gt;0,AVERAGEIFS($V$5:$V$1000,$R$5:$R$1000,ROW(),$S$5:$S$1000,"Sub"),$V53))</f>
        <v/>
      </c>
      <c r="AA53" s="70">
        <f>IF($S53="","",IF(N($T53)&gt;0,AVERAGEIFS($W$5:$W$1000,$R$5:$R$1000,ROW(),$S$5:$S$1000,"Sub"),$W53))</f>
        <v/>
      </c>
      <c r="AB53" s="70">
        <f>IF($S53="","",IF(N($T53)&gt;0,AVERAGEIFS($X$5:$X$1000,$R$5:$R$1000,ROW(),$S$5:$S$1000,"Sub"),$X53))</f>
        <v/>
      </c>
    </row>
    <row r="54">
      <c r="A54" s="61">
        <f>IF(NOT((COUNTA($B54:$K54)+COUNTA($N54))&gt;0),"",IF($S54="Macro",COUNTIFS($S$5:$S54,"Macro",$P$5:$P54,$P54),IF(N($R54)=0,"?",COUNTIFS(INDEX($S$5:$S$1000,1):INDEX($S$5:$S$1000,$R54-4),"Macro",INDEX($P$5:$P$1000,1):INDEX($P$5:$P$1000,$R54-4),INDEX($P$5:$P$1000,$R54-4))&amp;"."&amp;COUNTIFS($R$5:$R54,$R54,$S$5:$S54,"Sub"))))</f>
        <v/>
      </c>
      <c r="B54" s="62" t="n"/>
      <c r="C54" s="63" t="n"/>
      <c r="D54" s="62" t="n"/>
      <c r="E54" s="64" t="n"/>
      <c r="F54" s="64" t="n"/>
      <c r="G54" s="65" t="n"/>
      <c r="H54" s="66" t="n"/>
      <c r="I54" s="66" t="n"/>
      <c r="J54" s="66" t="n"/>
      <c r="K54" s="66" t="n"/>
      <c r="L54" s="67">
        <f>IF(NOT((COUNTA($B54:$K54)+COUNTA($N54))&gt;0),"",IF(N($T54)&gt;0,$AB54,IFERROR(LOOKUP(2,1/(H54:K54&lt;&gt;""),H54:K54),0)))</f>
        <v/>
      </c>
      <c r="M54" s="61">
        <f>IF(L54="","",IF(L54&gt;=1,"Completado",IF(L54&gt;0,"En curso","Pendiente")))</f>
        <v/>
      </c>
      <c r="N54" s="62" t="n"/>
      <c r="O54" s="68">
        <f>IF(NOT((COUNTA($B54:$K54)+COUNTA($N54))&gt;0),"",IF((IF(AND($S54="Macro",$B54=""),"Macroactividad vacía"&amp;" · ","")&amp;IF(AND($B54&lt;&gt;"",$C54&lt;&gt;""),"Escriba la subactividad en otra fila, debajo de su macroactividad"&amp;" · ","")&amp;IF(AND($S54="Sub",N($R54)=0),"Subactividad sin macroactividad arriba"&amp;" · ","")&amp;IF($D54="","Sin responsable"&amp;" · ","")&amp;IF($E54="","Sin fecha de inicio"&amp;" · ","")&amp;IF($F54="","Sin fecha límite"&amp;" · ","")&amp;IF(OR(AND($E54&lt;&gt;"",NOT(ISNUMBER($E54))),AND($F54&lt;&gt;"",NOT(ISNUMBER($F54)))),"Fecha no válida"&amp;" · ","")&amp;IF(AND(ISNUMBER($E54),ISNUMBER($F54),$E54&gt;$F54),"Inicio posterior a fecha límite"&amp;" · ","")&amp;IF(AND($S54="Macro",$G54=""),"Peso vacío"&amp;" · ","")&amp;IF(AND($S54="Macro",$G54&lt;&gt;"",OR(NOT(ISNUMBER($G54)),$G54&lt;=0,$G54&gt;1)),"Peso fuera de rango"&amp;" · ","")&amp;IF(AND($S54="Sub",$G54&lt;&gt;""),"Las subactividades no llevan peso"&amp;" · ","")&amp;IF(AND($S54="Macro",ABS(SUMIFS($G$5:$G$1000,$P$5:$P$1000,$P54,$S$5:$S$1000,"Macro")-1)&gt;0.0001),"Pesos del mes suman "&amp;TEXT(SUMIFS($G$5:$G$1000,$P$5:$P$1000,$P54,$S$5:$S$1000,"Macro"),"0%")&amp;" · ","")&amp;IF(AND(N($T54)&gt;0,COUNT($H54:$K54)&gt;0),"Con subactividades: deje vacías las semanas (se calculan solas)"&amp;" · ","")&amp;IF((COUNTIF($H54:$K54,"&gt;1")+COUNTIF($H54:$K54,"&lt;0")+COUNTA($H54:$K54)-COUNT($H54:$K54))&gt;0,"Avance fuera de rango 0-100%"&amp;" · ","")&amp;IF(OR(AND($I54&lt;&gt;"",$I54&lt;$H54),AND($J54&lt;&gt;"",$J54&lt;MAX($H54:$I54)),AND($K54&lt;&gt;"",$K54&lt;MAX($H54:$J54))),"Avance semanal decreciente"&amp;" · ","")&amp;IF(AND(ISNUMBER($F54),$F54&lt;FechaRef,N($L54)&lt;1),"Vencida"&amp;" · ","")&amp;IF(AND(ObsObligatoria="Sí",ISNUMBER($F54),$F54&lt;FechaRef,N($L54)&lt;1,$N54=""),"Vencida sin observación"&amp;" · ",""))="","✔ OK","⚠ "&amp;LEFT(IF(AND($S54="Macro",$B54=""),"Macroactividad vacía"&amp;" · ","")&amp;IF(AND($B54&lt;&gt;"",$C54&lt;&gt;""),"Escriba la subactividad en otra fila, debajo de su macroactividad"&amp;" · ","")&amp;IF(AND($S54="Sub",N($R54)=0),"Subactividad sin macroactividad arriba"&amp;" · ","")&amp;IF($D54="","Sin responsable"&amp;" · ","")&amp;IF($E54="","Sin fecha de inicio"&amp;" · ","")&amp;IF($F54="","Sin fecha límite"&amp;" · ","")&amp;IF(OR(AND($E54&lt;&gt;"",NOT(ISNUMBER($E54))),AND($F54&lt;&gt;"",NOT(ISNUMBER($F54)))),"Fecha no válida"&amp;" · ","")&amp;IF(AND(ISNUMBER($E54),ISNUMBER($F54),$E54&gt;$F54),"Inicio posterior a fecha límite"&amp;" · ","")&amp;IF(AND($S54="Macro",$G54=""),"Peso vacío"&amp;" · ","")&amp;IF(AND($S54="Macro",$G54&lt;&gt;"",OR(NOT(ISNUMBER($G54)),$G54&lt;=0,$G54&gt;1)),"Peso fuera de rango"&amp;" · ","")&amp;IF(AND($S54="Sub",$G54&lt;&gt;""),"Las subactividades no llevan peso"&amp;" · ","")&amp;IF(AND($S54="Macro",ABS(SUMIFS($G$5:$G$1000,$P$5:$P$1000,$P54,$S$5:$S$1000,"Macro")-1)&gt;0.0001),"Pesos del mes suman "&amp;TEXT(SUMIFS($G$5:$G$1000,$P$5:$P$1000,$P54,$S$5:$S$1000,"Macro"),"0%")&amp;" · ","")&amp;IF(AND(N($T54)&gt;0,COUNT($H54:$K54)&gt;0),"Con subactividades: deje vacías las semanas (se calculan solas)"&amp;" · ","")&amp;IF((COUNTIF($H54:$K54,"&gt;1")+COUNTIF($H54:$K54,"&lt;0")+COUNTA($H54:$K54)-COUNT($H54:$K54))&gt;0,"Avance fuera de rango 0-100%"&amp;" · ","")&amp;IF(OR(AND($I54&lt;&gt;"",$I54&lt;$H54),AND($J54&lt;&gt;"",$J54&lt;MAX($H54:$I54)),AND($K54&lt;&gt;"",$K54&lt;MAX($H54:$J54))),"Avance semanal decreciente"&amp;" · ","")&amp;IF(AND(ISNUMBER($F54),$F54&lt;FechaRef,N($L54)&lt;1),"Vencida"&amp;" · ","")&amp;IF(AND(ObsObligatoria="Sí",ISNUMBER($F54),$F54&lt;FechaRef,N($L54)&lt;1,$N54=""),"Vencida sin observación"&amp;" · ",""),LEN(IF(AND($S54="Macro",$B54=""),"Macroactividad vacía"&amp;" · ","")&amp;IF(AND($B54&lt;&gt;"",$C54&lt;&gt;""),"Escriba la subactividad en otra fila, debajo de su macroactividad"&amp;" · ","")&amp;IF(AND($S54="Sub",N($R54)=0),"Subactividad sin macroactividad arriba"&amp;" · ","")&amp;IF($D54="","Sin responsable"&amp;" · ","")&amp;IF($E54="","Sin fecha de inicio"&amp;" · ","")&amp;IF($F54="","Sin fecha límite"&amp;" · ","")&amp;IF(OR(AND($E54&lt;&gt;"",NOT(ISNUMBER($E54))),AND($F54&lt;&gt;"",NOT(ISNUMBER($F54)))),"Fecha no válida"&amp;" · ","")&amp;IF(AND(ISNUMBER($E54),ISNUMBER($F54),$E54&gt;$F54),"Inicio posterior a fecha límite"&amp;" · ","")&amp;IF(AND($S54="Macro",$G54=""),"Peso vacío"&amp;" · ","")&amp;IF(AND($S54="Macro",$G54&lt;&gt;"",OR(NOT(ISNUMBER($G54)),$G54&lt;=0,$G54&gt;1)),"Peso fuera de rango"&amp;" · ","")&amp;IF(AND($S54="Sub",$G54&lt;&gt;""),"Las subactividades no llevan peso"&amp;" · ","")&amp;IF(AND($S54="Macro",ABS(SUMIFS($G$5:$G$1000,$P$5:$P$1000,$P54,$S$5:$S$1000,"Macro")-1)&gt;0.0001),"Pesos del mes suman "&amp;TEXT(SUMIFS($G$5:$G$1000,$P$5:$P$1000,$P54,$S$5:$S$1000,"Macro"),"0%")&amp;" · ","")&amp;IF(AND(N($T54)&gt;0,COUNT($H54:$K54)&gt;0),"Con subactividades: deje vacías las semanas (se calculan solas)"&amp;" · ","")&amp;IF((COUNTIF($H54:$K54,"&gt;1")+COUNTIF($H54:$K54,"&lt;0")+COUNTA($H54:$K54)-COUNT($H54:$K54))&gt;0,"Avance fuera de rango 0-100%"&amp;" · ","")&amp;IF(OR(AND($I54&lt;&gt;"",$I54&lt;$H54),AND($J54&lt;&gt;"",$J54&lt;MAX($H54:$I54)),AND($K54&lt;&gt;"",$K54&lt;MAX($H54:$J54))),"Avance semanal decreciente"&amp;" · ","")&amp;IF(AND(ISNUMBER($F54),$F54&lt;FechaRef,N($L54)&lt;1),"Vencida"&amp;" · ","")&amp;IF(AND(ObsObligatoria="Sí",ISNUMBER($F54),$F54&lt;FechaRef,N($L54)&lt;1,$N54=""),"Vencida sin observación"&amp;" · ",""))-3)))</f>
        <v/>
      </c>
      <c r="P54" s="69">
        <f>IF(NOT((COUNTA($B54:$K54)+COUNTA($N54))&gt;0),"",IF(AND($S54="Sub",N($R54)&gt;0),IF(ISNUMBER(INDEX($E$5:$E$1000,$R54-4)),DATE(YEAR(INDEX($E$5:$E$1000,$R54-4)),MONTH(INDEX($E$5:$E$1000,$R54-4)),1),IF(ISNUMBER(INDEX($F$5:$F$1000,$R54-4)),DATE(YEAR(INDEX($F$5:$F$1000,$R54-4)),MONTH(INDEX($F$5:$F$1000,$R54-4)),1),MesCiclo)),IF(ISNUMBER($E54),DATE(YEAR($E54),MONTH($E54),1),IF(ISNUMBER($F54),DATE(YEAR($F54),MONTH($F54),1),MesCiclo))))</f>
        <v/>
      </c>
      <c r="Q54" s="70">
        <f>IF(OR($P54="",$P54&lt;&gt;MesCiclo),"",COUNTIF($P$5:$P54,MesCiclo))</f>
        <v/>
      </c>
      <c r="R54" s="70">
        <f>IF($S54="","",IF($S54="Macro",ROW(),IFERROR(LOOKUP(2,1/($S$5:$S54="Macro"),ROW($S$5:$S54)),0)))</f>
        <v/>
      </c>
      <c r="S54" s="70">
        <f>IF(NOT((COUNTA($B54:$K54)+COUNTA($N54))&gt;0),"",IF($B54&lt;&gt;"","Macro",IF($C54&lt;&gt;"","Sub","Macro")))</f>
        <v/>
      </c>
      <c r="T54" s="70">
        <f>IF($S54="Macro",COUNTIFS($R$5:$R$1000,ROW(),$S$5:$S$1000,"Sub"),"")</f>
        <v/>
      </c>
      <c r="U54" s="70">
        <f>IF($S54="","",IF(ISNUMBER($H54),$H54,0))</f>
        <v/>
      </c>
      <c r="V54" s="70">
        <f>IF($S54="","",IF(ISNUMBER($I54),$I54,$U54))</f>
        <v/>
      </c>
      <c r="W54" s="70">
        <f>IF($S54="","",IF(ISNUMBER($J54),$J54,$V54))</f>
        <v/>
      </c>
      <c r="X54" s="70">
        <f>IF($S54="","",IF(ISNUMBER($K54),$K54,$W54))</f>
        <v/>
      </c>
      <c r="Y54" s="70">
        <f>IF($S54="","",IF(N($T54)&gt;0,AVERAGEIFS($U$5:$U$1000,$R$5:$R$1000,ROW(),$S$5:$S$1000,"Sub"),$U54))</f>
        <v/>
      </c>
      <c r="Z54" s="70">
        <f>IF($S54="","",IF(N($T54)&gt;0,AVERAGEIFS($V$5:$V$1000,$R$5:$R$1000,ROW(),$S$5:$S$1000,"Sub"),$V54))</f>
        <v/>
      </c>
      <c r="AA54" s="70">
        <f>IF($S54="","",IF(N($T54)&gt;0,AVERAGEIFS($W$5:$W$1000,$R$5:$R$1000,ROW(),$S$5:$S$1000,"Sub"),$W54))</f>
        <v/>
      </c>
      <c r="AB54" s="70">
        <f>IF($S54="","",IF(N($T54)&gt;0,AVERAGEIFS($X$5:$X$1000,$R$5:$R$1000,ROW(),$S$5:$S$1000,"Sub"),$X54))</f>
        <v/>
      </c>
    </row>
    <row r="55">
      <c r="A55" s="61">
        <f>IF(NOT((COUNTA($B55:$K55)+COUNTA($N55))&gt;0),"",IF($S55="Macro",COUNTIFS($S$5:$S55,"Macro",$P$5:$P55,$P55),IF(N($R55)=0,"?",COUNTIFS(INDEX($S$5:$S$1000,1):INDEX($S$5:$S$1000,$R55-4),"Macro",INDEX($P$5:$P$1000,1):INDEX($P$5:$P$1000,$R55-4),INDEX($P$5:$P$1000,$R55-4))&amp;"."&amp;COUNTIFS($R$5:$R55,$R55,$S$5:$S55,"Sub"))))</f>
        <v/>
      </c>
      <c r="B55" s="62" t="n"/>
      <c r="C55" s="63" t="n"/>
      <c r="D55" s="62" t="n"/>
      <c r="E55" s="64" t="n"/>
      <c r="F55" s="64" t="n"/>
      <c r="G55" s="65" t="n"/>
      <c r="H55" s="66" t="n"/>
      <c r="I55" s="66" t="n"/>
      <c r="J55" s="66" t="n"/>
      <c r="K55" s="66" t="n"/>
      <c r="L55" s="67">
        <f>IF(NOT((COUNTA($B55:$K55)+COUNTA($N55))&gt;0),"",IF(N($T55)&gt;0,$AB55,IFERROR(LOOKUP(2,1/(H55:K55&lt;&gt;""),H55:K55),0)))</f>
        <v/>
      </c>
      <c r="M55" s="61">
        <f>IF(L55="","",IF(L55&gt;=1,"Completado",IF(L55&gt;0,"En curso","Pendiente")))</f>
        <v/>
      </c>
      <c r="N55" s="62" t="n"/>
      <c r="O55" s="68">
        <f>IF(NOT((COUNTA($B55:$K55)+COUNTA($N55))&gt;0),"",IF((IF(AND($S55="Macro",$B55=""),"Macroactividad vacía"&amp;" · ","")&amp;IF(AND($B55&lt;&gt;"",$C55&lt;&gt;""),"Escriba la subactividad en otra fila, debajo de su macroactividad"&amp;" · ","")&amp;IF(AND($S55="Sub",N($R55)=0),"Subactividad sin macroactividad arriba"&amp;" · ","")&amp;IF($D55="","Sin responsable"&amp;" · ","")&amp;IF($E55="","Sin fecha de inicio"&amp;" · ","")&amp;IF($F55="","Sin fecha límite"&amp;" · ","")&amp;IF(OR(AND($E55&lt;&gt;"",NOT(ISNUMBER($E55))),AND($F55&lt;&gt;"",NOT(ISNUMBER($F55)))),"Fecha no válida"&amp;" · ","")&amp;IF(AND(ISNUMBER($E55),ISNUMBER($F55),$E55&gt;$F55),"Inicio posterior a fecha límite"&amp;" · ","")&amp;IF(AND($S55="Macro",$G55=""),"Peso vacío"&amp;" · ","")&amp;IF(AND($S55="Macro",$G55&lt;&gt;"",OR(NOT(ISNUMBER($G55)),$G55&lt;=0,$G55&gt;1)),"Peso fuera de rango"&amp;" · ","")&amp;IF(AND($S55="Sub",$G55&lt;&gt;""),"Las subactividades no llevan peso"&amp;" · ","")&amp;IF(AND($S55="Macro",ABS(SUMIFS($G$5:$G$1000,$P$5:$P$1000,$P55,$S$5:$S$1000,"Macro")-1)&gt;0.0001),"Pesos del mes suman "&amp;TEXT(SUMIFS($G$5:$G$1000,$P$5:$P$1000,$P55,$S$5:$S$1000,"Macro"),"0%")&amp;" · ","")&amp;IF(AND(N($T55)&gt;0,COUNT($H55:$K55)&gt;0),"Con subactividades: deje vacías las semanas (se calculan solas)"&amp;" · ","")&amp;IF((COUNTIF($H55:$K55,"&gt;1")+COUNTIF($H55:$K55,"&lt;0")+COUNTA($H55:$K55)-COUNT($H55:$K55))&gt;0,"Avance fuera de rango 0-100%"&amp;" · ","")&amp;IF(OR(AND($I55&lt;&gt;"",$I55&lt;$H55),AND($J55&lt;&gt;"",$J55&lt;MAX($H55:$I55)),AND($K55&lt;&gt;"",$K55&lt;MAX($H55:$J55))),"Avance semanal decreciente"&amp;" · ","")&amp;IF(AND(ISNUMBER($F55),$F55&lt;FechaRef,N($L55)&lt;1),"Vencida"&amp;" · ","")&amp;IF(AND(ObsObligatoria="Sí",ISNUMBER($F55),$F55&lt;FechaRef,N($L55)&lt;1,$N55=""),"Vencida sin observación"&amp;" · ",""))="","✔ OK","⚠ "&amp;LEFT(IF(AND($S55="Macro",$B55=""),"Macroactividad vacía"&amp;" · ","")&amp;IF(AND($B55&lt;&gt;"",$C55&lt;&gt;""),"Escriba la subactividad en otra fila, debajo de su macroactividad"&amp;" · ","")&amp;IF(AND($S55="Sub",N($R55)=0),"Subactividad sin macroactividad arriba"&amp;" · ","")&amp;IF($D55="","Sin responsable"&amp;" · ","")&amp;IF($E55="","Sin fecha de inicio"&amp;" · ","")&amp;IF($F55="","Sin fecha límite"&amp;" · ","")&amp;IF(OR(AND($E55&lt;&gt;"",NOT(ISNUMBER($E55))),AND($F55&lt;&gt;"",NOT(ISNUMBER($F55)))),"Fecha no válida"&amp;" · ","")&amp;IF(AND(ISNUMBER($E55),ISNUMBER($F55),$E55&gt;$F55),"Inicio posterior a fecha límite"&amp;" · ","")&amp;IF(AND($S55="Macro",$G55=""),"Peso vacío"&amp;" · ","")&amp;IF(AND($S55="Macro",$G55&lt;&gt;"",OR(NOT(ISNUMBER($G55)),$G55&lt;=0,$G55&gt;1)),"Peso fuera de rango"&amp;" · ","")&amp;IF(AND($S55="Sub",$G55&lt;&gt;""),"Las subactividades no llevan peso"&amp;" · ","")&amp;IF(AND($S55="Macro",ABS(SUMIFS($G$5:$G$1000,$P$5:$P$1000,$P55,$S$5:$S$1000,"Macro")-1)&gt;0.0001),"Pesos del mes suman "&amp;TEXT(SUMIFS($G$5:$G$1000,$P$5:$P$1000,$P55,$S$5:$S$1000,"Macro"),"0%")&amp;" · ","")&amp;IF(AND(N($T55)&gt;0,COUNT($H55:$K55)&gt;0),"Con subactividades: deje vacías las semanas (se calculan solas)"&amp;" · ","")&amp;IF((COUNTIF($H55:$K55,"&gt;1")+COUNTIF($H55:$K55,"&lt;0")+COUNTA($H55:$K55)-COUNT($H55:$K55))&gt;0,"Avance fuera de rango 0-100%"&amp;" · ","")&amp;IF(OR(AND($I55&lt;&gt;"",$I55&lt;$H55),AND($J55&lt;&gt;"",$J55&lt;MAX($H55:$I55)),AND($K55&lt;&gt;"",$K55&lt;MAX($H55:$J55))),"Avance semanal decreciente"&amp;" · ","")&amp;IF(AND(ISNUMBER($F55),$F55&lt;FechaRef,N($L55)&lt;1),"Vencida"&amp;" · ","")&amp;IF(AND(ObsObligatoria="Sí",ISNUMBER($F55),$F55&lt;FechaRef,N($L55)&lt;1,$N55=""),"Vencida sin observación"&amp;" · ",""),LEN(IF(AND($S55="Macro",$B55=""),"Macroactividad vacía"&amp;" · ","")&amp;IF(AND($B55&lt;&gt;"",$C55&lt;&gt;""),"Escriba la subactividad en otra fila, debajo de su macroactividad"&amp;" · ","")&amp;IF(AND($S55="Sub",N($R55)=0),"Subactividad sin macroactividad arriba"&amp;" · ","")&amp;IF($D55="","Sin responsable"&amp;" · ","")&amp;IF($E55="","Sin fecha de inicio"&amp;" · ","")&amp;IF($F55="","Sin fecha límite"&amp;" · ","")&amp;IF(OR(AND($E55&lt;&gt;"",NOT(ISNUMBER($E55))),AND($F55&lt;&gt;"",NOT(ISNUMBER($F55)))),"Fecha no válida"&amp;" · ","")&amp;IF(AND(ISNUMBER($E55),ISNUMBER($F55),$E55&gt;$F55),"Inicio posterior a fecha límite"&amp;" · ","")&amp;IF(AND($S55="Macro",$G55=""),"Peso vacío"&amp;" · ","")&amp;IF(AND($S55="Macro",$G55&lt;&gt;"",OR(NOT(ISNUMBER($G55)),$G55&lt;=0,$G55&gt;1)),"Peso fuera de rango"&amp;" · ","")&amp;IF(AND($S55="Sub",$G55&lt;&gt;""),"Las subactividades no llevan peso"&amp;" · ","")&amp;IF(AND($S55="Macro",ABS(SUMIFS($G$5:$G$1000,$P$5:$P$1000,$P55,$S$5:$S$1000,"Macro")-1)&gt;0.0001),"Pesos del mes suman "&amp;TEXT(SUMIFS($G$5:$G$1000,$P$5:$P$1000,$P55,$S$5:$S$1000,"Macro"),"0%")&amp;" · ","")&amp;IF(AND(N($T55)&gt;0,COUNT($H55:$K55)&gt;0),"Con subactividades: deje vacías las semanas (se calculan solas)"&amp;" · ","")&amp;IF((COUNTIF($H55:$K55,"&gt;1")+COUNTIF($H55:$K55,"&lt;0")+COUNTA($H55:$K55)-COUNT($H55:$K55))&gt;0,"Avance fuera de rango 0-100%"&amp;" · ","")&amp;IF(OR(AND($I55&lt;&gt;"",$I55&lt;$H55),AND($J55&lt;&gt;"",$J55&lt;MAX($H55:$I55)),AND($K55&lt;&gt;"",$K55&lt;MAX($H55:$J55))),"Avance semanal decreciente"&amp;" · ","")&amp;IF(AND(ISNUMBER($F55),$F55&lt;FechaRef,N($L55)&lt;1),"Vencida"&amp;" · ","")&amp;IF(AND(ObsObligatoria="Sí",ISNUMBER($F55),$F55&lt;FechaRef,N($L55)&lt;1,$N55=""),"Vencida sin observación"&amp;" · ",""))-3)))</f>
        <v/>
      </c>
      <c r="P55" s="69">
        <f>IF(NOT((COUNTA($B55:$K55)+COUNTA($N55))&gt;0),"",IF(AND($S55="Sub",N($R55)&gt;0),IF(ISNUMBER(INDEX($E$5:$E$1000,$R55-4)),DATE(YEAR(INDEX($E$5:$E$1000,$R55-4)),MONTH(INDEX($E$5:$E$1000,$R55-4)),1),IF(ISNUMBER(INDEX($F$5:$F$1000,$R55-4)),DATE(YEAR(INDEX($F$5:$F$1000,$R55-4)),MONTH(INDEX($F$5:$F$1000,$R55-4)),1),MesCiclo)),IF(ISNUMBER($E55),DATE(YEAR($E55),MONTH($E55),1),IF(ISNUMBER($F55),DATE(YEAR($F55),MONTH($F55),1),MesCiclo))))</f>
        <v/>
      </c>
      <c r="Q55" s="70">
        <f>IF(OR($P55="",$P55&lt;&gt;MesCiclo),"",COUNTIF($P$5:$P55,MesCiclo))</f>
        <v/>
      </c>
      <c r="R55" s="70">
        <f>IF($S55="","",IF($S55="Macro",ROW(),IFERROR(LOOKUP(2,1/($S$5:$S55="Macro"),ROW($S$5:$S55)),0)))</f>
        <v/>
      </c>
      <c r="S55" s="70">
        <f>IF(NOT((COUNTA($B55:$K55)+COUNTA($N55))&gt;0),"",IF($B55&lt;&gt;"","Macro",IF($C55&lt;&gt;"","Sub","Macro")))</f>
        <v/>
      </c>
      <c r="T55" s="70">
        <f>IF($S55="Macro",COUNTIFS($R$5:$R$1000,ROW(),$S$5:$S$1000,"Sub"),"")</f>
        <v/>
      </c>
      <c r="U55" s="70">
        <f>IF($S55="","",IF(ISNUMBER($H55),$H55,0))</f>
        <v/>
      </c>
      <c r="V55" s="70">
        <f>IF($S55="","",IF(ISNUMBER($I55),$I55,$U55))</f>
        <v/>
      </c>
      <c r="W55" s="70">
        <f>IF($S55="","",IF(ISNUMBER($J55),$J55,$V55))</f>
        <v/>
      </c>
      <c r="X55" s="70">
        <f>IF($S55="","",IF(ISNUMBER($K55),$K55,$W55))</f>
        <v/>
      </c>
      <c r="Y55" s="70">
        <f>IF($S55="","",IF(N($T55)&gt;0,AVERAGEIFS($U$5:$U$1000,$R$5:$R$1000,ROW(),$S$5:$S$1000,"Sub"),$U55))</f>
        <v/>
      </c>
      <c r="Z55" s="70">
        <f>IF($S55="","",IF(N($T55)&gt;0,AVERAGEIFS($V$5:$V$1000,$R$5:$R$1000,ROW(),$S$5:$S$1000,"Sub"),$V55))</f>
        <v/>
      </c>
      <c r="AA55" s="70">
        <f>IF($S55="","",IF(N($T55)&gt;0,AVERAGEIFS($W$5:$W$1000,$R$5:$R$1000,ROW(),$S$5:$S$1000,"Sub"),$W55))</f>
        <v/>
      </c>
      <c r="AB55" s="70">
        <f>IF($S55="","",IF(N($T55)&gt;0,AVERAGEIFS($X$5:$X$1000,$R$5:$R$1000,ROW(),$S$5:$S$1000,"Sub"),$X55))</f>
        <v/>
      </c>
    </row>
    <row r="56">
      <c r="A56" s="61">
        <f>IF(NOT((COUNTA($B56:$K56)+COUNTA($N56))&gt;0),"",IF($S56="Macro",COUNTIFS($S$5:$S56,"Macro",$P$5:$P56,$P56),IF(N($R56)=0,"?",COUNTIFS(INDEX($S$5:$S$1000,1):INDEX($S$5:$S$1000,$R56-4),"Macro",INDEX($P$5:$P$1000,1):INDEX($P$5:$P$1000,$R56-4),INDEX($P$5:$P$1000,$R56-4))&amp;"."&amp;COUNTIFS($R$5:$R56,$R56,$S$5:$S56,"Sub"))))</f>
        <v/>
      </c>
      <c r="B56" s="62" t="n"/>
      <c r="C56" s="63" t="n"/>
      <c r="D56" s="62" t="n"/>
      <c r="E56" s="64" t="n"/>
      <c r="F56" s="64" t="n"/>
      <c r="G56" s="65" t="n"/>
      <c r="H56" s="66" t="n"/>
      <c r="I56" s="66" t="n"/>
      <c r="J56" s="66" t="n"/>
      <c r="K56" s="66" t="n"/>
      <c r="L56" s="67">
        <f>IF(NOT((COUNTA($B56:$K56)+COUNTA($N56))&gt;0),"",IF(N($T56)&gt;0,$AB56,IFERROR(LOOKUP(2,1/(H56:K56&lt;&gt;""),H56:K56),0)))</f>
        <v/>
      </c>
      <c r="M56" s="61">
        <f>IF(L56="","",IF(L56&gt;=1,"Completado",IF(L56&gt;0,"En curso","Pendiente")))</f>
        <v/>
      </c>
      <c r="N56" s="62" t="n"/>
      <c r="O56" s="68">
        <f>IF(NOT((COUNTA($B56:$K56)+COUNTA($N56))&gt;0),"",IF((IF(AND($S56="Macro",$B56=""),"Macroactividad vacía"&amp;" · ","")&amp;IF(AND($B56&lt;&gt;"",$C56&lt;&gt;""),"Escriba la subactividad en otra fila, debajo de su macroactividad"&amp;" · ","")&amp;IF(AND($S56="Sub",N($R56)=0),"Subactividad sin macroactividad arriba"&amp;" · ","")&amp;IF($D56="","Sin responsable"&amp;" · ","")&amp;IF($E56="","Sin fecha de inicio"&amp;" · ","")&amp;IF($F56="","Sin fecha límite"&amp;" · ","")&amp;IF(OR(AND($E56&lt;&gt;"",NOT(ISNUMBER($E56))),AND($F56&lt;&gt;"",NOT(ISNUMBER($F56)))),"Fecha no válida"&amp;" · ","")&amp;IF(AND(ISNUMBER($E56),ISNUMBER($F56),$E56&gt;$F56),"Inicio posterior a fecha límite"&amp;" · ","")&amp;IF(AND($S56="Macro",$G56=""),"Peso vacío"&amp;" · ","")&amp;IF(AND($S56="Macro",$G56&lt;&gt;"",OR(NOT(ISNUMBER($G56)),$G56&lt;=0,$G56&gt;1)),"Peso fuera de rango"&amp;" · ","")&amp;IF(AND($S56="Sub",$G56&lt;&gt;""),"Las subactividades no llevan peso"&amp;" · ","")&amp;IF(AND($S56="Macro",ABS(SUMIFS($G$5:$G$1000,$P$5:$P$1000,$P56,$S$5:$S$1000,"Macro")-1)&gt;0.0001),"Pesos del mes suman "&amp;TEXT(SUMIFS($G$5:$G$1000,$P$5:$P$1000,$P56,$S$5:$S$1000,"Macro"),"0%")&amp;" · ","")&amp;IF(AND(N($T56)&gt;0,COUNT($H56:$K56)&gt;0),"Con subactividades: deje vacías las semanas (se calculan solas)"&amp;" · ","")&amp;IF((COUNTIF($H56:$K56,"&gt;1")+COUNTIF($H56:$K56,"&lt;0")+COUNTA($H56:$K56)-COUNT($H56:$K56))&gt;0,"Avance fuera de rango 0-100%"&amp;" · ","")&amp;IF(OR(AND($I56&lt;&gt;"",$I56&lt;$H56),AND($J56&lt;&gt;"",$J56&lt;MAX($H56:$I56)),AND($K56&lt;&gt;"",$K56&lt;MAX($H56:$J56))),"Avance semanal decreciente"&amp;" · ","")&amp;IF(AND(ISNUMBER($F56),$F56&lt;FechaRef,N($L56)&lt;1),"Vencida"&amp;" · ","")&amp;IF(AND(ObsObligatoria="Sí",ISNUMBER($F56),$F56&lt;FechaRef,N($L56)&lt;1,$N56=""),"Vencida sin observación"&amp;" · ",""))="","✔ OK","⚠ "&amp;LEFT(IF(AND($S56="Macro",$B56=""),"Macroactividad vacía"&amp;" · ","")&amp;IF(AND($B56&lt;&gt;"",$C56&lt;&gt;""),"Escriba la subactividad en otra fila, debajo de su macroactividad"&amp;" · ","")&amp;IF(AND($S56="Sub",N($R56)=0),"Subactividad sin macroactividad arriba"&amp;" · ","")&amp;IF($D56="","Sin responsable"&amp;" · ","")&amp;IF($E56="","Sin fecha de inicio"&amp;" · ","")&amp;IF($F56="","Sin fecha límite"&amp;" · ","")&amp;IF(OR(AND($E56&lt;&gt;"",NOT(ISNUMBER($E56))),AND($F56&lt;&gt;"",NOT(ISNUMBER($F56)))),"Fecha no válida"&amp;" · ","")&amp;IF(AND(ISNUMBER($E56),ISNUMBER($F56),$E56&gt;$F56),"Inicio posterior a fecha límite"&amp;" · ","")&amp;IF(AND($S56="Macro",$G56=""),"Peso vacío"&amp;" · ","")&amp;IF(AND($S56="Macro",$G56&lt;&gt;"",OR(NOT(ISNUMBER($G56)),$G56&lt;=0,$G56&gt;1)),"Peso fuera de rango"&amp;" · ","")&amp;IF(AND($S56="Sub",$G56&lt;&gt;""),"Las subactividades no llevan peso"&amp;" · ","")&amp;IF(AND($S56="Macro",ABS(SUMIFS($G$5:$G$1000,$P$5:$P$1000,$P56,$S$5:$S$1000,"Macro")-1)&gt;0.0001),"Pesos del mes suman "&amp;TEXT(SUMIFS($G$5:$G$1000,$P$5:$P$1000,$P56,$S$5:$S$1000,"Macro"),"0%")&amp;" · ","")&amp;IF(AND(N($T56)&gt;0,COUNT($H56:$K56)&gt;0),"Con subactividades: deje vacías las semanas (se calculan solas)"&amp;" · ","")&amp;IF((COUNTIF($H56:$K56,"&gt;1")+COUNTIF($H56:$K56,"&lt;0")+COUNTA($H56:$K56)-COUNT($H56:$K56))&gt;0,"Avance fuera de rango 0-100%"&amp;" · ","")&amp;IF(OR(AND($I56&lt;&gt;"",$I56&lt;$H56),AND($J56&lt;&gt;"",$J56&lt;MAX($H56:$I56)),AND($K56&lt;&gt;"",$K56&lt;MAX($H56:$J56))),"Avance semanal decreciente"&amp;" · ","")&amp;IF(AND(ISNUMBER($F56),$F56&lt;FechaRef,N($L56)&lt;1),"Vencida"&amp;" · ","")&amp;IF(AND(ObsObligatoria="Sí",ISNUMBER($F56),$F56&lt;FechaRef,N($L56)&lt;1,$N56=""),"Vencida sin observación"&amp;" · ",""),LEN(IF(AND($S56="Macro",$B56=""),"Macroactividad vacía"&amp;" · ","")&amp;IF(AND($B56&lt;&gt;"",$C56&lt;&gt;""),"Escriba la subactividad en otra fila, debajo de su macroactividad"&amp;" · ","")&amp;IF(AND($S56="Sub",N($R56)=0),"Subactividad sin macroactividad arriba"&amp;" · ","")&amp;IF($D56="","Sin responsable"&amp;" · ","")&amp;IF($E56="","Sin fecha de inicio"&amp;" · ","")&amp;IF($F56="","Sin fecha límite"&amp;" · ","")&amp;IF(OR(AND($E56&lt;&gt;"",NOT(ISNUMBER($E56))),AND($F56&lt;&gt;"",NOT(ISNUMBER($F56)))),"Fecha no válida"&amp;" · ","")&amp;IF(AND(ISNUMBER($E56),ISNUMBER($F56),$E56&gt;$F56),"Inicio posterior a fecha límite"&amp;" · ","")&amp;IF(AND($S56="Macro",$G56=""),"Peso vacío"&amp;" · ","")&amp;IF(AND($S56="Macro",$G56&lt;&gt;"",OR(NOT(ISNUMBER($G56)),$G56&lt;=0,$G56&gt;1)),"Peso fuera de rango"&amp;" · ","")&amp;IF(AND($S56="Sub",$G56&lt;&gt;""),"Las subactividades no llevan peso"&amp;" · ","")&amp;IF(AND($S56="Macro",ABS(SUMIFS($G$5:$G$1000,$P$5:$P$1000,$P56,$S$5:$S$1000,"Macro")-1)&gt;0.0001),"Pesos del mes suman "&amp;TEXT(SUMIFS($G$5:$G$1000,$P$5:$P$1000,$P56,$S$5:$S$1000,"Macro"),"0%")&amp;" · ","")&amp;IF(AND(N($T56)&gt;0,COUNT($H56:$K56)&gt;0),"Con subactividades: deje vacías las semanas (se calculan solas)"&amp;" · ","")&amp;IF((COUNTIF($H56:$K56,"&gt;1")+COUNTIF($H56:$K56,"&lt;0")+COUNTA($H56:$K56)-COUNT($H56:$K56))&gt;0,"Avance fuera de rango 0-100%"&amp;" · ","")&amp;IF(OR(AND($I56&lt;&gt;"",$I56&lt;$H56),AND($J56&lt;&gt;"",$J56&lt;MAX($H56:$I56)),AND($K56&lt;&gt;"",$K56&lt;MAX($H56:$J56))),"Avance semanal decreciente"&amp;" · ","")&amp;IF(AND(ISNUMBER($F56),$F56&lt;FechaRef,N($L56)&lt;1),"Vencida"&amp;" · ","")&amp;IF(AND(ObsObligatoria="Sí",ISNUMBER($F56),$F56&lt;FechaRef,N($L56)&lt;1,$N56=""),"Vencida sin observación"&amp;" · ",""))-3)))</f>
        <v/>
      </c>
      <c r="P56" s="69">
        <f>IF(NOT((COUNTA($B56:$K56)+COUNTA($N56))&gt;0),"",IF(AND($S56="Sub",N($R56)&gt;0),IF(ISNUMBER(INDEX($E$5:$E$1000,$R56-4)),DATE(YEAR(INDEX($E$5:$E$1000,$R56-4)),MONTH(INDEX($E$5:$E$1000,$R56-4)),1),IF(ISNUMBER(INDEX($F$5:$F$1000,$R56-4)),DATE(YEAR(INDEX($F$5:$F$1000,$R56-4)),MONTH(INDEX($F$5:$F$1000,$R56-4)),1),MesCiclo)),IF(ISNUMBER($E56),DATE(YEAR($E56),MONTH($E56),1),IF(ISNUMBER($F56),DATE(YEAR($F56),MONTH($F56),1),MesCiclo))))</f>
        <v/>
      </c>
      <c r="Q56" s="70">
        <f>IF(OR($P56="",$P56&lt;&gt;MesCiclo),"",COUNTIF($P$5:$P56,MesCiclo))</f>
        <v/>
      </c>
      <c r="R56" s="70">
        <f>IF($S56="","",IF($S56="Macro",ROW(),IFERROR(LOOKUP(2,1/($S$5:$S56="Macro"),ROW($S$5:$S56)),0)))</f>
        <v/>
      </c>
      <c r="S56" s="70">
        <f>IF(NOT((COUNTA($B56:$K56)+COUNTA($N56))&gt;0),"",IF($B56&lt;&gt;"","Macro",IF($C56&lt;&gt;"","Sub","Macro")))</f>
        <v/>
      </c>
      <c r="T56" s="70">
        <f>IF($S56="Macro",COUNTIFS($R$5:$R$1000,ROW(),$S$5:$S$1000,"Sub"),"")</f>
        <v/>
      </c>
      <c r="U56" s="70">
        <f>IF($S56="","",IF(ISNUMBER($H56),$H56,0))</f>
        <v/>
      </c>
      <c r="V56" s="70">
        <f>IF($S56="","",IF(ISNUMBER($I56),$I56,$U56))</f>
        <v/>
      </c>
      <c r="W56" s="70">
        <f>IF($S56="","",IF(ISNUMBER($J56),$J56,$V56))</f>
        <v/>
      </c>
      <c r="X56" s="70">
        <f>IF($S56="","",IF(ISNUMBER($K56),$K56,$W56))</f>
        <v/>
      </c>
      <c r="Y56" s="70">
        <f>IF($S56="","",IF(N($T56)&gt;0,AVERAGEIFS($U$5:$U$1000,$R$5:$R$1000,ROW(),$S$5:$S$1000,"Sub"),$U56))</f>
        <v/>
      </c>
      <c r="Z56" s="70">
        <f>IF($S56="","",IF(N($T56)&gt;0,AVERAGEIFS($V$5:$V$1000,$R$5:$R$1000,ROW(),$S$5:$S$1000,"Sub"),$V56))</f>
        <v/>
      </c>
      <c r="AA56" s="70">
        <f>IF($S56="","",IF(N($T56)&gt;0,AVERAGEIFS($W$5:$W$1000,$R$5:$R$1000,ROW(),$S$5:$S$1000,"Sub"),$W56))</f>
        <v/>
      </c>
      <c r="AB56" s="70">
        <f>IF($S56="","",IF(N($T56)&gt;0,AVERAGEIFS($X$5:$X$1000,$R$5:$R$1000,ROW(),$S$5:$S$1000,"Sub"),$X56))</f>
        <v/>
      </c>
    </row>
    <row r="57">
      <c r="A57" s="61">
        <f>IF(NOT((COUNTA($B57:$K57)+COUNTA($N57))&gt;0),"",IF($S57="Macro",COUNTIFS($S$5:$S57,"Macro",$P$5:$P57,$P57),IF(N($R57)=0,"?",COUNTIFS(INDEX($S$5:$S$1000,1):INDEX($S$5:$S$1000,$R57-4),"Macro",INDEX($P$5:$P$1000,1):INDEX($P$5:$P$1000,$R57-4),INDEX($P$5:$P$1000,$R57-4))&amp;"."&amp;COUNTIFS($R$5:$R57,$R57,$S$5:$S57,"Sub"))))</f>
        <v/>
      </c>
      <c r="B57" s="62" t="n"/>
      <c r="C57" s="63" t="n"/>
      <c r="D57" s="62" t="n"/>
      <c r="E57" s="64" t="n"/>
      <c r="F57" s="64" t="n"/>
      <c r="G57" s="65" t="n"/>
      <c r="H57" s="66" t="n"/>
      <c r="I57" s="66" t="n"/>
      <c r="J57" s="66" t="n"/>
      <c r="K57" s="66" t="n"/>
      <c r="L57" s="67">
        <f>IF(NOT((COUNTA($B57:$K57)+COUNTA($N57))&gt;0),"",IF(N($T57)&gt;0,$AB57,IFERROR(LOOKUP(2,1/(H57:K57&lt;&gt;""),H57:K57),0)))</f>
        <v/>
      </c>
      <c r="M57" s="61">
        <f>IF(L57="","",IF(L57&gt;=1,"Completado",IF(L57&gt;0,"En curso","Pendiente")))</f>
        <v/>
      </c>
      <c r="N57" s="62" t="n"/>
      <c r="O57" s="68">
        <f>IF(NOT((COUNTA($B57:$K57)+COUNTA($N57))&gt;0),"",IF((IF(AND($S57="Macro",$B57=""),"Macroactividad vacía"&amp;" · ","")&amp;IF(AND($B57&lt;&gt;"",$C57&lt;&gt;""),"Escriba la subactividad en otra fila, debajo de su macroactividad"&amp;" · ","")&amp;IF(AND($S57="Sub",N($R57)=0),"Subactividad sin macroactividad arriba"&amp;" · ","")&amp;IF($D57="","Sin responsable"&amp;" · ","")&amp;IF($E57="","Sin fecha de inicio"&amp;" · ","")&amp;IF($F57="","Sin fecha límite"&amp;" · ","")&amp;IF(OR(AND($E57&lt;&gt;"",NOT(ISNUMBER($E57))),AND($F57&lt;&gt;"",NOT(ISNUMBER($F57)))),"Fecha no válida"&amp;" · ","")&amp;IF(AND(ISNUMBER($E57),ISNUMBER($F57),$E57&gt;$F57),"Inicio posterior a fecha límite"&amp;" · ","")&amp;IF(AND($S57="Macro",$G57=""),"Peso vacío"&amp;" · ","")&amp;IF(AND($S57="Macro",$G57&lt;&gt;"",OR(NOT(ISNUMBER($G57)),$G57&lt;=0,$G57&gt;1)),"Peso fuera de rango"&amp;" · ","")&amp;IF(AND($S57="Sub",$G57&lt;&gt;""),"Las subactividades no llevan peso"&amp;" · ","")&amp;IF(AND($S57="Macro",ABS(SUMIFS($G$5:$G$1000,$P$5:$P$1000,$P57,$S$5:$S$1000,"Macro")-1)&gt;0.0001),"Pesos del mes suman "&amp;TEXT(SUMIFS($G$5:$G$1000,$P$5:$P$1000,$P57,$S$5:$S$1000,"Macro"),"0%")&amp;" · ","")&amp;IF(AND(N($T57)&gt;0,COUNT($H57:$K57)&gt;0),"Con subactividades: deje vacías las semanas (se calculan solas)"&amp;" · ","")&amp;IF((COUNTIF($H57:$K57,"&gt;1")+COUNTIF($H57:$K57,"&lt;0")+COUNTA($H57:$K57)-COUNT($H57:$K57))&gt;0,"Avance fuera de rango 0-100%"&amp;" · ","")&amp;IF(OR(AND($I57&lt;&gt;"",$I57&lt;$H57),AND($J57&lt;&gt;"",$J57&lt;MAX($H57:$I57)),AND($K57&lt;&gt;"",$K57&lt;MAX($H57:$J57))),"Avance semanal decreciente"&amp;" · ","")&amp;IF(AND(ISNUMBER($F57),$F57&lt;FechaRef,N($L57)&lt;1),"Vencida"&amp;" · ","")&amp;IF(AND(ObsObligatoria="Sí",ISNUMBER($F57),$F57&lt;FechaRef,N($L57)&lt;1,$N57=""),"Vencida sin observación"&amp;" · ",""))="","✔ OK","⚠ "&amp;LEFT(IF(AND($S57="Macro",$B57=""),"Macroactividad vacía"&amp;" · ","")&amp;IF(AND($B57&lt;&gt;"",$C57&lt;&gt;""),"Escriba la subactividad en otra fila, debajo de su macroactividad"&amp;" · ","")&amp;IF(AND($S57="Sub",N($R57)=0),"Subactividad sin macroactividad arriba"&amp;" · ","")&amp;IF($D57="","Sin responsable"&amp;" · ","")&amp;IF($E57="","Sin fecha de inicio"&amp;" · ","")&amp;IF($F57="","Sin fecha límite"&amp;" · ","")&amp;IF(OR(AND($E57&lt;&gt;"",NOT(ISNUMBER($E57))),AND($F57&lt;&gt;"",NOT(ISNUMBER($F57)))),"Fecha no válida"&amp;" · ","")&amp;IF(AND(ISNUMBER($E57),ISNUMBER($F57),$E57&gt;$F57),"Inicio posterior a fecha límite"&amp;" · ","")&amp;IF(AND($S57="Macro",$G57=""),"Peso vacío"&amp;" · ","")&amp;IF(AND($S57="Macro",$G57&lt;&gt;"",OR(NOT(ISNUMBER($G57)),$G57&lt;=0,$G57&gt;1)),"Peso fuera de rango"&amp;" · ","")&amp;IF(AND($S57="Sub",$G57&lt;&gt;""),"Las subactividades no llevan peso"&amp;" · ","")&amp;IF(AND($S57="Macro",ABS(SUMIFS($G$5:$G$1000,$P$5:$P$1000,$P57,$S$5:$S$1000,"Macro")-1)&gt;0.0001),"Pesos del mes suman "&amp;TEXT(SUMIFS($G$5:$G$1000,$P$5:$P$1000,$P57,$S$5:$S$1000,"Macro"),"0%")&amp;" · ","")&amp;IF(AND(N($T57)&gt;0,COUNT($H57:$K57)&gt;0),"Con subactividades: deje vacías las semanas (se calculan solas)"&amp;" · ","")&amp;IF((COUNTIF($H57:$K57,"&gt;1")+COUNTIF($H57:$K57,"&lt;0")+COUNTA($H57:$K57)-COUNT($H57:$K57))&gt;0,"Avance fuera de rango 0-100%"&amp;" · ","")&amp;IF(OR(AND($I57&lt;&gt;"",$I57&lt;$H57),AND($J57&lt;&gt;"",$J57&lt;MAX($H57:$I57)),AND($K57&lt;&gt;"",$K57&lt;MAX($H57:$J57))),"Avance semanal decreciente"&amp;" · ","")&amp;IF(AND(ISNUMBER($F57),$F57&lt;FechaRef,N($L57)&lt;1),"Vencida"&amp;" · ","")&amp;IF(AND(ObsObligatoria="Sí",ISNUMBER($F57),$F57&lt;FechaRef,N($L57)&lt;1,$N57=""),"Vencida sin observación"&amp;" · ",""),LEN(IF(AND($S57="Macro",$B57=""),"Macroactividad vacía"&amp;" · ","")&amp;IF(AND($B57&lt;&gt;"",$C57&lt;&gt;""),"Escriba la subactividad en otra fila, debajo de su macroactividad"&amp;" · ","")&amp;IF(AND($S57="Sub",N($R57)=0),"Subactividad sin macroactividad arriba"&amp;" · ","")&amp;IF($D57="","Sin responsable"&amp;" · ","")&amp;IF($E57="","Sin fecha de inicio"&amp;" · ","")&amp;IF($F57="","Sin fecha límite"&amp;" · ","")&amp;IF(OR(AND($E57&lt;&gt;"",NOT(ISNUMBER($E57))),AND($F57&lt;&gt;"",NOT(ISNUMBER($F57)))),"Fecha no válida"&amp;" · ","")&amp;IF(AND(ISNUMBER($E57),ISNUMBER($F57),$E57&gt;$F57),"Inicio posterior a fecha límite"&amp;" · ","")&amp;IF(AND($S57="Macro",$G57=""),"Peso vacío"&amp;" · ","")&amp;IF(AND($S57="Macro",$G57&lt;&gt;"",OR(NOT(ISNUMBER($G57)),$G57&lt;=0,$G57&gt;1)),"Peso fuera de rango"&amp;" · ","")&amp;IF(AND($S57="Sub",$G57&lt;&gt;""),"Las subactividades no llevan peso"&amp;" · ","")&amp;IF(AND($S57="Macro",ABS(SUMIFS($G$5:$G$1000,$P$5:$P$1000,$P57,$S$5:$S$1000,"Macro")-1)&gt;0.0001),"Pesos del mes suman "&amp;TEXT(SUMIFS($G$5:$G$1000,$P$5:$P$1000,$P57,$S$5:$S$1000,"Macro"),"0%")&amp;" · ","")&amp;IF(AND(N($T57)&gt;0,COUNT($H57:$K57)&gt;0),"Con subactividades: deje vacías las semanas (se calculan solas)"&amp;" · ","")&amp;IF((COUNTIF($H57:$K57,"&gt;1")+COUNTIF($H57:$K57,"&lt;0")+COUNTA($H57:$K57)-COUNT($H57:$K57))&gt;0,"Avance fuera de rango 0-100%"&amp;" · ","")&amp;IF(OR(AND($I57&lt;&gt;"",$I57&lt;$H57),AND($J57&lt;&gt;"",$J57&lt;MAX($H57:$I57)),AND($K57&lt;&gt;"",$K57&lt;MAX($H57:$J57))),"Avance semanal decreciente"&amp;" · ","")&amp;IF(AND(ISNUMBER($F57),$F57&lt;FechaRef,N($L57)&lt;1),"Vencida"&amp;" · ","")&amp;IF(AND(ObsObligatoria="Sí",ISNUMBER($F57),$F57&lt;FechaRef,N($L57)&lt;1,$N57=""),"Vencida sin observación"&amp;" · ",""))-3)))</f>
        <v/>
      </c>
      <c r="P57" s="69">
        <f>IF(NOT((COUNTA($B57:$K57)+COUNTA($N57))&gt;0),"",IF(AND($S57="Sub",N($R57)&gt;0),IF(ISNUMBER(INDEX($E$5:$E$1000,$R57-4)),DATE(YEAR(INDEX($E$5:$E$1000,$R57-4)),MONTH(INDEX($E$5:$E$1000,$R57-4)),1),IF(ISNUMBER(INDEX($F$5:$F$1000,$R57-4)),DATE(YEAR(INDEX($F$5:$F$1000,$R57-4)),MONTH(INDEX($F$5:$F$1000,$R57-4)),1),MesCiclo)),IF(ISNUMBER($E57),DATE(YEAR($E57),MONTH($E57),1),IF(ISNUMBER($F57),DATE(YEAR($F57),MONTH($F57),1),MesCiclo))))</f>
        <v/>
      </c>
      <c r="Q57" s="70">
        <f>IF(OR($P57="",$P57&lt;&gt;MesCiclo),"",COUNTIF($P$5:$P57,MesCiclo))</f>
        <v/>
      </c>
      <c r="R57" s="70">
        <f>IF($S57="","",IF($S57="Macro",ROW(),IFERROR(LOOKUP(2,1/($S$5:$S57="Macro"),ROW($S$5:$S57)),0)))</f>
        <v/>
      </c>
      <c r="S57" s="70">
        <f>IF(NOT((COUNTA($B57:$K57)+COUNTA($N57))&gt;0),"",IF($B57&lt;&gt;"","Macro",IF($C57&lt;&gt;"","Sub","Macro")))</f>
        <v/>
      </c>
      <c r="T57" s="70">
        <f>IF($S57="Macro",COUNTIFS($R$5:$R$1000,ROW(),$S$5:$S$1000,"Sub"),"")</f>
        <v/>
      </c>
      <c r="U57" s="70">
        <f>IF($S57="","",IF(ISNUMBER($H57),$H57,0))</f>
        <v/>
      </c>
      <c r="V57" s="70">
        <f>IF($S57="","",IF(ISNUMBER($I57),$I57,$U57))</f>
        <v/>
      </c>
      <c r="W57" s="70">
        <f>IF($S57="","",IF(ISNUMBER($J57),$J57,$V57))</f>
        <v/>
      </c>
      <c r="X57" s="70">
        <f>IF($S57="","",IF(ISNUMBER($K57),$K57,$W57))</f>
        <v/>
      </c>
      <c r="Y57" s="70">
        <f>IF($S57="","",IF(N($T57)&gt;0,AVERAGEIFS($U$5:$U$1000,$R$5:$R$1000,ROW(),$S$5:$S$1000,"Sub"),$U57))</f>
        <v/>
      </c>
      <c r="Z57" s="70">
        <f>IF($S57="","",IF(N($T57)&gt;0,AVERAGEIFS($V$5:$V$1000,$R$5:$R$1000,ROW(),$S$5:$S$1000,"Sub"),$V57))</f>
        <v/>
      </c>
      <c r="AA57" s="70">
        <f>IF($S57="","",IF(N($T57)&gt;0,AVERAGEIFS($W$5:$W$1000,$R$5:$R$1000,ROW(),$S$5:$S$1000,"Sub"),$W57))</f>
        <v/>
      </c>
      <c r="AB57" s="70">
        <f>IF($S57="","",IF(N($T57)&gt;0,AVERAGEIFS($X$5:$X$1000,$R$5:$R$1000,ROW(),$S$5:$S$1000,"Sub"),$X57))</f>
        <v/>
      </c>
    </row>
    <row r="58">
      <c r="A58" s="61">
        <f>IF(NOT((COUNTA($B58:$K58)+COUNTA($N58))&gt;0),"",IF($S58="Macro",COUNTIFS($S$5:$S58,"Macro",$P$5:$P58,$P58),IF(N($R58)=0,"?",COUNTIFS(INDEX($S$5:$S$1000,1):INDEX($S$5:$S$1000,$R58-4),"Macro",INDEX($P$5:$P$1000,1):INDEX($P$5:$P$1000,$R58-4),INDEX($P$5:$P$1000,$R58-4))&amp;"."&amp;COUNTIFS($R$5:$R58,$R58,$S$5:$S58,"Sub"))))</f>
        <v/>
      </c>
      <c r="B58" s="62" t="n"/>
      <c r="C58" s="63" t="n"/>
      <c r="D58" s="62" t="n"/>
      <c r="E58" s="64" t="n"/>
      <c r="F58" s="64" t="n"/>
      <c r="G58" s="65" t="n"/>
      <c r="H58" s="66" t="n"/>
      <c r="I58" s="66" t="n"/>
      <c r="J58" s="66" t="n"/>
      <c r="K58" s="66" t="n"/>
      <c r="L58" s="67">
        <f>IF(NOT((COUNTA($B58:$K58)+COUNTA($N58))&gt;0),"",IF(N($T58)&gt;0,$AB58,IFERROR(LOOKUP(2,1/(H58:K58&lt;&gt;""),H58:K58),0)))</f>
        <v/>
      </c>
      <c r="M58" s="61">
        <f>IF(L58="","",IF(L58&gt;=1,"Completado",IF(L58&gt;0,"En curso","Pendiente")))</f>
        <v/>
      </c>
      <c r="N58" s="62" t="n"/>
      <c r="O58" s="68">
        <f>IF(NOT((COUNTA($B58:$K58)+COUNTA($N58))&gt;0),"",IF((IF(AND($S58="Macro",$B58=""),"Macroactividad vacía"&amp;" · ","")&amp;IF(AND($B58&lt;&gt;"",$C58&lt;&gt;""),"Escriba la subactividad en otra fila, debajo de su macroactividad"&amp;" · ","")&amp;IF(AND($S58="Sub",N($R58)=0),"Subactividad sin macroactividad arriba"&amp;" · ","")&amp;IF($D58="","Sin responsable"&amp;" · ","")&amp;IF($E58="","Sin fecha de inicio"&amp;" · ","")&amp;IF($F58="","Sin fecha límite"&amp;" · ","")&amp;IF(OR(AND($E58&lt;&gt;"",NOT(ISNUMBER($E58))),AND($F58&lt;&gt;"",NOT(ISNUMBER($F58)))),"Fecha no válida"&amp;" · ","")&amp;IF(AND(ISNUMBER($E58),ISNUMBER($F58),$E58&gt;$F58),"Inicio posterior a fecha límite"&amp;" · ","")&amp;IF(AND($S58="Macro",$G58=""),"Peso vacío"&amp;" · ","")&amp;IF(AND($S58="Macro",$G58&lt;&gt;"",OR(NOT(ISNUMBER($G58)),$G58&lt;=0,$G58&gt;1)),"Peso fuera de rango"&amp;" · ","")&amp;IF(AND($S58="Sub",$G58&lt;&gt;""),"Las subactividades no llevan peso"&amp;" · ","")&amp;IF(AND($S58="Macro",ABS(SUMIFS($G$5:$G$1000,$P$5:$P$1000,$P58,$S$5:$S$1000,"Macro")-1)&gt;0.0001),"Pesos del mes suman "&amp;TEXT(SUMIFS($G$5:$G$1000,$P$5:$P$1000,$P58,$S$5:$S$1000,"Macro"),"0%")&amp;" · ","")&amp;IF(AND(N($T58)&gt;0,COUNT($H58:$K58)&gt;0),"Con subactividades: deje vacías las semanas (se calculan solas)"&amp;" · ","")&amp;IF((COUNTIF($H58:$K58,"&gt;1")+COUNTIF($H58:$K58,"&lt;0")+COUNTA($H58:$K58)-COUNT($H58:$K58))&gt;0,"Avance fuera de rango 0-100%"&amp;" · ","")&amp;IF(OR(AND($I58&lt;&gt;"",$I58&lt;$H58),AND($J58&lt;&gt;"",$J58&lt;MAX($H58:$I58)),AND($K58&lt;&gt;"",$K58&lt;MAX($H58:$J58))),"Avance semanal decreciente"&amp;" · ","")&amp;IF(AND(ISNUMBER($F58),$F58&lt;FechaRef,N($L58)&lt;1),"Vencida"&amp;" · ","")&amp;IF(AND(ObsObligatoria="Sí",ISNUMBER($F58),$F58&lt;FechaRef,N($L58)&lt;1,$N58=""),"Vencida sin observación"&amp;" · ",""))="","✔ OK","⚠ "&amp;LEFT(IF(AND($S58="Macro",$B58=""),"Macroactividad vacía"&amp;" · ","")&amp;IF(AND($B58&lt;&gt;"",$C58&lt;&gt;""),"Escriba la subactividad en otra fila, debajo de su macroactividad"&amp;" · ","")&amp;IF(AND($S58="Sub",N($R58)=0),"Subactividad sin macroactividad arriba"&amp;" · ","")&amp;IF($D58="","Sin responsable"&amp;" · ","")&amp;IF($E58="","Sin fecha de inicio"&amp;" · ","")&amp;IF($F58="","Sin fecha límite"&amp;" · ","")&amp;IF(OR(AND($E58&lt;&gt;"",NOT(ISNUMBER($E58))),AND($F58&lt;&gt;"",NOT(ISNUMBER($F58)))),"Fecha no válida"&amp;" · ","")&amp;IF(AND(ISNUMBER($E58),ISNUMBER($F58),$E58&gt;$F58),"Inicio posterior a fecha límite"&amp;" · ","")&amp;IF(AND($S58="Macro",$G58=""),"Peso vacío"&amp;" · ","")&amp;IF(AND($S58="Macro",$G58&lt;&gt;"",OR(NOT(ISNUMBER($G58)),$G58&lt;=0,$G58&gt;1)),"Peso fuera de rango"&amp;" · ","")&amp;IF(AND($S58="Sub",$G58&lt;&gt;""),"Las subactividades no llevan peso"&amp;" · ","")&amp;IF(AND($S58="Macro",ABS(SUMIFS($G$5:$G$1000,$P$5:$P$1000,$P58,$S$5:$S$1000,"Macro")-1)&gt;0.0001),"Pesos del mes suman "&amp;TEXT(SUMIFS($G$5:$G$1000,$P$5:$P$1000,$P58,$S$5:$S$1000,"Macro"),"0%")&amp;" · ","")&amp;IF(AND(N($T58)&gt;0,COUNT($H58:$K58)&gt;0),"Con subactividades: deje vacías las semanas (se calculan solas)"&amp;" · ","")&amp;IF((COUNTIF($H58:$K58,"&gt;1")+COUNTIF($H58:$K58,"&lt;0")+COUNTA($H58:$K58)-COUNT($H58:$K58))&gt;0,"Avance fuera de rango 0-100%"&amp;" · ","")&amp;IF(OR(AND($I58&lt;&gt;"",$I58&lt;$H58),AND($J58&lt;&gt;"",$J58&lt;MAX($H58:$I58)),AND($K58&lt;&gt;"",$K58&lt;MAX($H58:$J58))),"Avance semanal decreciente"&amp;" · ","")&amp;IF(AND(ISNUMBER($F58),$F58&lt;FechaRef,N($L58)&lt;1),"Vencida"&amp;" · ","")&amp;IF(AND(ObsObligatoria="Sí",ISNUMBER($F58),$F58&lt;FechaRef,N($L58)&lt;1,$N58=""),"Vencida sin observación"&amp;" · ",""),LEN(IF(AND($S58="Macro",$B58=""),"Macroactividad vacía"&amp;" · ","")&amp;IF(AND($B58&lt;&gt;"",$C58&lt;&gt;""),"Escriba la subactividad en otra fila, debajo de su macroactividad"&amp;" · ","")&amp;IF(AND($S58="Sub",N($R58)=0),"Subactividad sin macroactividad arriba"&amp;" · ","")&amp;IF($D58="","Sin responsable"&amp;" · ","")&amp;IF($E58="","Sin fecha de inicio"&amp;" · ","")&amp;IF($F58="","Sin fecha límite"&amp;" · ","")&amp;IF(OR(AND($E58&lt;&gt;"",NOT(ISNUMBER($E58))),AND($F58&lt;&gt;"",NOT(ISNUMBER($F58)))),"Fecha no válida"&amp;" · ","")&amp;IF(AND(ISNUMBER($E58),ISNUMBER($F58),$E58&gt;$F58),"Inicio posterior a fecha límite"&amp;" · ","")&amp;IF(AND($S58="Macro",$G58=""),"Peso vacío"&amp;" · ","")&amp;IF(AND($S58="Macro",$G58&lt;&gt;"",OR(NOT(ISNUMBER($G58)),$G58&lt;=0,$G58&gt;1)),"Peso fuera de rango"&amp;" · ","")&amp;IF(AND($S58="Sub",$G58&lt;&gt;""),"Las subactividades no llevan peso"&amp;" · ","")&amp;IF(AND($S58="Macro",ABS(SUMIFS($G$5:$G$1000,$P$5:$P$1000,$P58,$S$5:$S$1000,"Macro")-1)&gt;0.0001),"Pesos del mes suman "&amp;TEXT(SUMIFS($G$5:$G$1000,$P$5:$P$1000,$P58,$S$5:$S$1000,"Macro"),"0%")&amp;" · ","")&amp;IF(AND(N($T58)&gt;0,COUNT($H58:$K58)&gt;0),"Con subactividades: deje vacías las semanas (se calculan solas)"&amp;" · ","")&amp;IF((COUNTIF($H58:$K58,"&gt;1")+COUNTIF($H58:$K58,"&lt;0")+COUNTA($H58:$K58)-COUNT($H58:$K58))&gt;0,"Avance fuera de rango 0-100%"&amp;" · ","")&amp;IF(OR(AND($I58&lt;&gt;"",$I58&lt;$H58),AND($J58&lt;&gt;"",$J58&lt;MAX($H58:$I58)),AND($K58&lt;&gt;"",$K58&lt;MAX($H58:$J58))),"Avance semanal decreciente"&amp;" · ","")&amp;IF(AND(ISNUMBER($F58),$F58&lt;FechaRef,N($L58)&lt;1),"Vencida"&amp;" · ","")&amp;IF(AND(ObsObligatoria="Sí",ISNUMBER($F58),$F58&lt;FechaRef,N($L58)&lt;1,$N58=""),"Vencida sin observación"&amp;" · ",""))-3)))</f>
        <v/>
      </c>
      <c r="P58" s="69">
        <f>IF(NOT((COUNTA($B58:$K58)+COUNTA($N58))&gt;0),"",IF(AND($S58="Sub",N($R58)&gt;0),IF(ISNUMBER(INDEX($E$5:$E$1000,$R58-4)),DATE(YEAR(INDEX($E$5:$E$1000,$R58-4)),MONTH(INDEX($E$5:$E$1000,$R58-4)),1),IF(ISNUMBER(INDEX($F$5:$F$1000,$R58-4)),DATE(YEAR(INDEX($F$5:$F$1000,$R58-4)),MONTH(INDEX($F$5:$F$1000,$R58-4)),1),MesCiclo)),IF(ISNUMBER($E58),DATE(YEAR($E58),MONTH($E58),1),IF(ISNUMBER($F58),DATE(YEAR($F58),MONTH($F58),1),MesCiclo))))</f>
        <v/>
      </c>
      <c r="Q58" s="70">
        <f>IF(OR($P58="",$P58&lt;&gt;MesCiclo),"",COUNTIF($P$5:$P58,MesCiclo))</f>
        <v/>
      </c>
      <c r="R58" s="70">
        <f>IF($S58="","",IF($S58="Macro",ROW(),IFERROR(LOOKUP(2,1/($S$5:$S58="Macro"),ROW($S$5:$S58)),0)))</f>
        <v/>
      </c>
      <c r="S58" s="70">
        <f>IF(NOT((COUNTA($B58:$K58)+COUNTA($N58))&gt;0),"",IF($B58&lt;&gt;"","Macro",IF($C58&lt;&gt;"","Sub","Macro")))</f>
        <v/>
      </c>
      <c r="T58" s="70">
        <f>IF($S58="Macro",COUNTIFS($R$5:$R$1000,ROW(),$S$5:$S$1000,"Sub"),"")</f>
        <v/>
      </c>
      <c r="U58" s="70">
        <f>IF($S58="","",IF(ISNUMBER($H58),$H58,0))</f>
        <v/>
      </c>
      <c r="V58" s="70">
        <f>IF($S58="","",IF(ISNUMBER($I58),$I58,$U58))</f>
        <v/>
      </c>
      <c r="W58" s="70">
        <f>IF($S58="","",IF(ISNUMBER($J58),$J58,$V58))</f>
        <v/>
      </c>
      <c r="X58" s="70">
        <f>IF($S58="","",IF(ISNUMBER($K58),$K58,$W58))</f>
        <v/>
      </c>
      <c r="Y58" s="70">
        <f>IF($S58="","",IF(N($T58)&gt;0,AVERAGEIFS($U$5:$U$1000,$R$5:$R$1000,ROW(),$S$5:$S$1000,"Sub"),$U58))</f>
        <v/>
      </c>
      <c r="Z58" s="70">
        <f>IF($S58="","",IF(N($T58)&gt;0,AVERAGEIFS($V$5:$V$1000,$R$5:$R$1000,ROW(),$S$5:$S$1000,"Sub"),$V58))</f>
        <v/>
      </c>
      <c r="AA58" s="70">
        <f>IF($S58="","",IF(N($T58)&gt;0,AVERAGEIFS($W$5:$W$1000,$R$5:$R$1000,ROW(),$S$5:$S$1000,"Sub"),$W58))</f>
        <v/>
      </c>
      <c r="AB58" s="70">
        <f>IF($S58="","",IF(N($T58)&gt;0,AVERAGEIFS($X$5:$X$1000,$R$5:$R$1000,ROW(),$S$5:$S$1000,"Sub"),$X58))</f>
        <v/>
      </c>
    </row>
    <row r="59">
      <c r="A59" s="61">
        <f>IF(NOT((COUNTA($B59:$K59)+COUNTA($N59))&gt;0),"",IF($S59="Macro",COUNTIFS($S$5:$S59,"Macro",$P$5:$P59,$P59),IF(N($R59)=0,"?",COUNTIFS(INDEX($S$5:$S$1000,1):INDEX($S$5:$S$1000,$R59-4),"Macro",INDEX($P$5:$P$1000,1):INDEX($P$5:$P$1000,$R59-4),INDEX($P$5:$P$1000,$R59-4))&amp;"."&amp;COUNTIFS($R$5:$R59,$R59,$S$5:$S59,"Sub"))))</f>
        <v/>
      </c>
      <c r="B59" s="62" t="n"/>
      <c r="C59" s="63" t="n"/>
      <c r="D59" s="62" t="n"/>
      <c r="E59" s="64" t="n"/>
      <c r="F59" s="64" t="n"/>
      <c r="G59" s="65" t="n"/>
      <c r="H59" s="66" t="n"/>
      <c r="I59" s="66" t="n"/>
      <c r="J59" s="66" t="n"/>
      <c r="K59" s="66" t="n"/>
      <c r="L59" s="67">
        <f>IF(NOT((COUNTA($B59:$K59)+COUNTA($N59))&gt;0),"",IF(N($T59)&gt;0,$AB59,IFERROR(LOOKUP(2,1/(H59:K59&lt;&gt;""),H59:K59),0)))</f>
        <v/>
      </c>
      <c r="M59" s="61">
        <f>IF(L59="","",IF(L59&gt;=1,"Completado",IF(L59&gt;0,"En curso","Pendiente")))</f>
        <v/>
      </c>
      <c r="N59" s="62" t="n"/>
      <c r="O59" s="68">
        <f>IF(NOT((COUNTA($B59:$K59)+COUNTA($N59))&gt;0),"",IF((IF(AND($S59="Macro",$B59=""),"Macroactividad vacía"&amp;" · ","")&amp;IF(AND($B59&lt;&gt;"",$C59&lt;&gt;""),"Escriba la subactividad en otra fila, debajo de su macroactividad"&amp;" · ","")&amp;IF(AND($S59="Sub",N($R59)=0),"Subactividad sin macroactividad arriba"&amp;" · ","")&amp;IF($D59="","Sin responsable"&amp;" · ","")&amp;IF($E59="","Sin fecha de inicio"&amp;" · ","")&amp;IF($F59="","Sin fecha límite"&amp;" · ","")&amp;IF(OR(AND($E59&lt;&gt;"",NOT(ISNUMBER($E59))),AND($F59&lt;&gt;"",NOT(ISNUMBER($F59)))),"Fecha no válida"&amp;" · ","")&amp;IF(AND(ISNUMBER($E59),ISNUMBER($F59),$E59&gt;$F59),"Inicio posterior a fecha límite"&amp;" · ","")&amp;IF(AND($S59="Macro",$G59=""),"Peso vacío"&amp;" · ","")&amp;IF(AND($S59="Macro",$G59&lt;&gt;"",OR(NOT(ISNUMBER($G59)),$G59&lt;=0,$G59&gt;1)),"Peso fuera de rango"&amp;" · ","")&amp;IF(AND($S59="Sub",$G59&lt;&gt;""),"Las subactividades no llevan peso"&amp;" · ","")&amp;IF(AND($S59="Macro",ABS(SUMIFS($G$5:$G$1000,$P$5:$P$1000,$P59,$S$5:$S$1000,"Macro")-1)&gt;0.0001),"Pesos del mes suman "&amp;TEXT(SUMIFS($G$5:$G$1000,$P$5:$P$1000,$P59,$S$5:$S$1000,"Macro"),"0%")&amp;" · ","")&amp;IF(AND(N($T59)&gt;0,COUNT($H59:$K59)&gt;0),"Con subactividades: deje vacías las semanas (se calculan solas)"&amp;" · ","")&amp;IF((COUNTIF($H59:$K59,"&gt;1")+COUNTIF($H59:$K59,"&lt;0")+COUNTA($H59:$K59)-COUNT($H59:$K59))&gt;0,"Avance fuera de rango 0-100%"&amp;" · ","")&amp;IF(OR(AND($I59&lt;&gt;"",$I59&lt;$H59),AND($J59&lt;&gt;"",$J59&lt;MAX($H59:$I59)),AND($K59&lt;&gt;"",$K59&lt;MAX($H59:$J59))),"Avance semanal decreciente"&amp;" · ","")&amp;IF(AND(ISNUMBER($F59),$F59&lt;FechaRef,N($L59)&lt;1),"Vencida"&amp;" · ","")&amp;IF(AND(ObsObligatoria="Sí",ISNUMBER($F59),$F59&lt;FechaRef,N($L59)&lt;1,$N59=""),"Vencida sin observación"&amp;" · ",""))="","✔ OK","⚠ "&amp;LEFT(IF(AND($S59="Macro",$B59=""),"Macroactividad vacía"&amp;" · ","")&amp;IF(AND($B59&lt;&gt;"",$C59&lt;&gt;""),"Escriba la subactividad en otra fila, debajo de su macroactividad"&amp;" · ","")&amp;IF(AND($S59="Sub",N($R59)=0),"Subactividad sin macroactividad arriba"&amp;" · ","")&amp;IF($D59="","Sin responsable"&amp;" · ","")&amp;IF($E59="","Sin fecha de inicio"&amp;" · ","")&amp;IF($F59="","Sin fecha límite"&amp;" · ","")&amp;IF(OR(AND($E59&lt;&gt;"",NOT(ISNUMBER($E59))),AND($F59&lt;&gt;"",NOT(ISNUMBER($F59)))),"Fecha no válida"&amp;" · ","")&amp;IF(AND(ISNUMBER($E59),ISNUMBER($F59),$E59&gt;$F59),"Inicio posterior a fecha límite"&amp;" · ","")&amp;IF(AND($S59="Macro",$G59=""),"Peso vacío"&amp;" · ","")&amp;IF(AND($S59="Macro",$G59&lt;&gt;"",OR(NOT(ISNUMBER($G59)),$G59&lt;=0,$G59&gt;1)),"Peso fuera de rango"&amp;" · ","")&amp;IF(AND($S59="Sub",$G59&lt;&gt;""),"Las subactividades no llevan peso"&amp;" · ","")&amp;IF(AND($S59="Macro",ABS(SUMIFS($G$5:$G$1000,$P$5:$P$1000,$P59,$S$5:$S$1000,"Macro")-1)&gt;0.0001),"Pesos del mes suman "&amp;TEXT(SUMIFS($G$5:$G$1000,$P$5:$P$1000,$P59,$S$5:$S$1000,"Macro"),"0%")&amp;" · ","")&amp;IF(AND(N($T59)&gt;0,COUNT($H59:$K59)&gt;0),"Con subactividades: deje vacías las semanas (se calculan solas)"&amp;" · ","")&amp;IF((COUNTIF($H59:$K59,"&gt;1")+COUNTIF($H59:$K59,"&lt;0")+COUNTA($H59:$K59)-COUNT($H59:$K59))&gt;0,"Avance fuera de rango 0-100%"&amp;" · ","")&amp;IF(OR(AND($I59&lt;&gt;"",$I59&lt;$H59),AND($J59&lt;&gt;"",$J59&lt;MAX($H59:$I59)),AND($K59&lt;&gt;"",$K59&lt;MAX($H59:$J59))),"Avance semanal decreciente"&amp;" · ","")&amp;IF(AND(ISNUMBER($F59),$F59&lt;FechaRef,N($L59)&lt;1),"Vencida"&amp;" · ","")&amp;IF(AND(ObsObligatoria="Sí",ISNUMBER($F59),$F59&lt;FechaRef,N($L59)&lt;1,$N59=""),"Vencida sin observación"&amp;" · ",""),LEN(IF(AND($S59="Macro",$B59=""),"Macroactividad vacía"&amp;" · ","")&amp;IF(AND($B59&lt;&gt;"",$C59&lt;&gt;""),"Escriba la subactividad en otra fila, debajo de su macroactividad"&amp;" · ","")&amp;IF(AND($S59="Sub",N($R59)=0),"Subactividad sin macroactividad arriba"&amp;" · ","")&amp;IF($D59="","Sin responsable"&amp;" · ","")&amp;IF($E59="","Sin fecha de inicio"&amp;" · ","")&amp;IF($F59="","Sin fecha límite"&amp;" · ","")&amp;IF(OR(AND($E59&lt;&gt;"",NOT(ISNUMBER($E59))),AND($F59&lt;&gt;"",NOT(ISNUMBER($F59)))),"Fecha no válida"&amp;" · ","")&amp;IF(AND(ISNUMBER($E59),ISNUMBER($F59),$E59&gt;$F59),"Inicio posterior a fecha límite"&amp;" · ","")&amp;IF(AND($S59="Macro",$G59=""),"Peso vacío"&amp;" · ","")&amp;IF(AND($S59="Macro",$G59&lt;&gt;"",OR(NOT(ISNUMBER($G59)),$G59&lt;=0,$G59&gt;1)),"Peso fuera de rango"&amp;" · ","")&amp;IF(AND($S59="Sub",$G59&lt;&gt;""),"Las subactividades no llevan peso"&amp;" · ","")&amp;IF(AND($S59="Macro",ABS(SUMIFS($G$5:$G$1000,$P$5:$P$1000,$P59,$S$5:$S$1000,"Macro")-1)&gt;0.0001),"Pesos del mes suman "&amp;TEXT(SUMIFS($G$5:$G$1000,$P$5:$P$1000,$P59,$S$5:$S$1000,"Macro"),"0%")&amp;" · ","")&amp;IF(AND(N($T59)&gt;0,COUNT($H59:$K59)&gt;0),"Con subactividades: deje vacías las semanas (se calculan solas)"&amp;" · ","")&amp;IF((COUNTIF($H59:$K59,"&gt;1")+COUNTIF($H59:$K59,"&lt;0")+COUNTA($H59:$K59)-COUNT($H59:$K59))&gt;0,"Avance fuera de rango 0-100%"&amp;" · ","")&amp;IF(OR(AND($I59&lt;&gt;"",$I59&lt;$H59),AND($J59&lt;&gt;"",$J59&lt;MAX($H59:$I59)),AND($K59&lt;&gt;"",$K59&lt;MAX($H59:$J59))),"Avance semanal decreciente"&amp;" · ","")&amp;IF(AND(ISNUMBER($F59),$F59&lt;FechaRef,N($L59)&lt;1),"Vencida"&amp;" · ","")&amp;IF(AND(ObsObligatoria="Sí",ISNUMBER($F59),$F59&lt;FechaRef,N($L59)&lt;1,$N59=""),"Vencida sin observación"&amp;" · ",""))-3)))</f>
        <v/>
      </c>
      <c r="P59" s="69">
        <f>IF(NOT((COUNTA($B59:$K59)+COUNTA($N59))&gt;0),"",IF(AND($S59="Sub",N($R59)&gt;0),IF(ISNUMBER(INDEX($E$5:$E$1000,$R59-4)),DATE(YEAR(INDEX($E$5:$E$1000,$R59-4)),MONTH(INDEX($E$5:$E$1000,$R59-4)),1),IF(ISNUMBER(INDEX($F$5:$F$1000,$R59-4)),DATE(YEAR(INDEX($F$5:$F$1000,$R59-4)),MONTH(INDEX($F$5:$F$1000,$R59-4)),1),MesCiclo)),IF(ISNUMBER($E59),DATE(YEAR($E59),MONTH($E59),1),IF(ISNUMBER($F59),DATE(YEAR($F59),MONTH($F59),1),MesCiclo))))</f>
        <v/>
      </c>
      <c r="Q59" s="70">
        <f>IF(OR($P59="",$P59&lt;&gt;MesCiclo),"",COUNTIF($P$5:$P59,MesCiclo))</f>
        <v/>
      </c>
      <c r="R59" s="70">
        <f>IF($S59="","",IF($S59="Macro",ROW(),IFERROR(LOOKUP(2,1/($S$5:$S59="Macro"),ROW($S$5:$S59)),0)))</f>
        <v/>
      </c>
      <c r="S59" s="70">
        <f>IF(NOT((COUNTA($B59:$K59)+COUNTA($N59))&gt;0),"",IF($B59&lt;&gt;"","Macro",IF($C59&lt;&gt;"","Sub","Macro")))</f>
        <v/>
      </c>
      <c r="T59" s="70">
        <f>IF($S59="Macro",COUNTIFS($R$5:$R$1000,ROW(),$S$5:$S$1000,"Sub"),"")</f>
        <v/>
      </c>
      <c r="U59" s="70">
        <f>IF($S59="","",IF(ISNUMBER($H59),$H59,0))</f>
        <v/>
      </c>
      <c r="V59" s="70">
        <f>IF($S59="","",IF(ISNUMBER($I59),$I59,$U59))</f>
        <v/>
      </c>
      <c r="W59" s="70">
        <f>IF($S59="","",IF(ISNUMBER($J59),$J59,$V59))</f>
        <v/>
      </c>
      <c r="X59" s="70">
        <f>IF($S59="","",IF(ISNUMBER($K59),$K59,$W59))</f>
        <v/>
      </c>
      <c r="Y59" s="70">
        <f>IF($S59="","",IF(N($T59)&gt;0,AVERAGEIFS($U$5:$U$1000,$R$5:$R$1000,ROW(),$S$5:$S$1000,"Sub"),$U59))</f>
        <v/>
      </c>
      <c r="Z59" s="70">
        <f>IF($S59="","",IF(N($T59)&gt;0,AVERAGEIFS($V$5:$V$1000,$R$5:$R$1000,ROW(),$S$5:$S$1000,"Sub"),$V59))</f>
        <v/>
      </c>
      <c r="AA59" s="70">
        <f>IF($S59="","",IF(N($T59)&gt;0,AVERAGEIFS($W$5:$W$1000,$R$5:$R$1000,ROW(),$S$5:$S$1000,"Sub"),$W59))</f>
        <v/>
      </c>
      <c r="AB59" s="70">
        <f>IF($S59="","",IF(N($T59)&gt;0,AVERAGEIFS($X$5:$X$1000,$R$5:$R$1000,ROW(),$S$5:$S$1000,"Sub"),$X59))</f>
        <v/>
      </c>
    </row>
    <row r="60">
      <c r="A60" s="61">
        <f>IF(NOT((COUNTA($B60:$K60)+COUNTA($N60))&gt;0),"",IF($S60="Macro",COUNTIFS($S$5:$S60,"Macro",$P$5:$P60,$P60),IF(N($R60)=0,"?",COUNTIFS(INDEX($S$5:$S$1000,1):INDEX($S$5:$S$1000,$R60-4),"Macro",INDEX($P$5:$P$1000,1):INDEX($P$5:$P$1000,$R60-4),INDEX($P$5:$P$1000,$R60-4))&amp;"."&amp;COUNTIFS($R$5:$R60,$R60,$S$5:$S60,"Sub"))))</f>
        <v/>
      </c>
      <c r="B60" s="62" t="n"/>
      <c r="C60" s="63" t="n"/>
      <c r="D60" s="62" t="n"/>
      <c r="E60" s="64" t="n"/>
      <c r="F60" s="64" t="n"/>
      <c r="G60" s="65" t="n"/>
      <c r="H60" s="66" t="n"/>
      <c r="I60" s="66" t="n"/>
      <c r="J60" s="66" t="n"/>
      <c r="K60" s="66" t="n"/>
      <c r="L60" s="67">
        <f>IF(NOT((COUNTA($B60:$K60)+COUNTA($N60))&gt;0),"",IF(N($T60)&gt;0,$AB60,IFERROR(LOOKUP(2,1/(H60:K60&lt;&gt;""),H60:K60),0)))</f>
        <v/>
      </c>
      <c r="M60" s="61">
        <f>IF(L60="","",IF(L60&gt;=1,"Completado",IF(L60&gt;0,"En curso","Pendiente")))</f>
        <v/>
      </c>
      <c r="N60" s="62" t="n"/>
      <c r="O60" s="68">
        <f>IF(NOT((COUNTA($B60:$K60)+COUNTA($N60))&gt;0),"",IF((IF(AND($S60="Macro",$B60=""),"Macroactividad vacía"&amp;" · ","")&amp;IF(AND($B60&lt;&gt;"",$C60&lt;&gt;""),"Escriba la subactividad en otra fila, debajo de su macroactividad"&amp;" · ","")&amp;IF(AND($S60="Sub",N($R60)=0),"Subactividad sin macroactividad arriba"&amp;" · ","")&amp;IF($D60="","Sin responsable"&amp;" · ","")&amp;IF($E60="","Sin fecha de inicio"&amp;" · ","")&amp;IF($F60="","Sin fecha límite"&amp;" · ","")&amp;IF(OR(AND($E60&lt;&gt;"",NOT(ISNUMBER($E60))),AND($F60&lt;&gt;"",NOT(ISNUMBER($F60)))),"Fecha no válida"&amp;" · ","")&amp;IF(AND(ISNUMBER($E60),ISNUMBER($F60),$E60&gt;$F60),"Inicio posterior a fecha límite"&amp;" · ","")&amp;IF(AND($S60="Macro",$G60=""),"Peso vacío"&amp;" · ","")&amp;IF(AND($S60="Macro",$G60&lt;&gt;"",OR(NOT(ISNUMBER($G60)),$G60&lt;=0,$G60&gt;1)),"Peso fuera de rango"&amp;" · ","")&amp;IF(AND($S60="Sub",$G60&lt;&gt;""),"Las subactividades no llevan peso"&amp;" · ","")&amp;IF(AND($S60="Macro",ABS(SUMIFS($G$5:$G$1000,$P$5:$P$1000,$P60,$S$5:$S$1000,"Macro")-1)&gt;0.0001),"Pesos del mes suman "&amp;TEXT(SUMIFS($G$5:$G$1000,$P$5:$P$1000,$P60,$S$5:$S$1000,"Macro"),"0%")&amp;" · ","")&amp;IF(AND(N($T60)&gt;0,COUNT($H60:$K60)&gt;0),"Con subactividades: deje vacías las semanas (se calculan solas)"&amp;" · ","")&amp;IF((COUNTIF($H60:$K60,"&gt;1")+COUNTIF($H60:$K60,"&lt;0")+COUNTA($H60:$K60)-COUNT($H60:$K60))&gt;0,"Avance fuera de rango 0-100%"&amp;" · ","")&amp;IF(OR(AND($I60&lt;&gt;"",$I60&lt;$H60),AND($J60&lt;&gt;"",$J60&lt;MAX($H60:$I60)),AND($K60&lt;&gt;"",$K60&lt;MAX($H60:$J60))),"Avance semanal decreciente"&amp;" · ","")&amp;IF(AND(ISNUMBER($F60),$F60&lt;FechaRef,N($L60)&lt;1),"Vencida"&amp;" · ","")&amp;IF(AND(ObsObligatoria="Sí",ISNUMBER($F60),$F60&lt;FechaRef,N($L60)&lt;1,$N60=""),"Vencida sin observación"&amp;" · ",""))="","✔ OK","⚠ "&amp;LEFT(IF(AND($S60="Macro",$B60=""),"Macroactividad vacía"&amp;" · ","")&amp;IF(AND($B60&lt;&gt;"",$C60&lt;&gt;""),"Escriba la subactividad en otra fila, debajo de su macroactividad"&amp;" · ","")&amp;IF(AND($S60="Sub",N($R60)=0),"Subactividad sin macroactividad arriba"&amp;" · ","")&amp;IF($D60="","Sin responsable"&amp;" · ","")&amp;IF($E60="","Sin fecha de inicio"&amp;" · ","")&amp;IF($F60="","Sin fecha límite"&amp;" · ","")&amp;IF(OR(AND($E60&lt;&gt;"",NOT(ISNUMBER($E60))),AND($F60&lt;&gt;"",NOT(ISNUMBER($F60)))),"Fecha no válida"&amp;" · ","")&amp;IF(AND(ISNUMBER($E60),ISNUMBER($F60),$E60&gt;$F60),"Inicio posterior a fecha límite"&amp;" · ","")&amp;IF(AND($S60="Macro",$G60=""),"Peso vacío"&amp;" · ","")&amp;IF(AND($S60="Macro",$G60&lt;&gt;"",OR(NOT(ISNUMBER($G60)),$G60&lt;=0,$G60&gt;1)),"Peso fuera de rango"&amp;" · ","")&amp;IF(AND($S60="Sub",$G60&lt;&gt;""),"Las subactividades no llevan peso"&amp;" · ","")&amp;IF(AND($S60="Macro",ABS(SUMIFS($G$5:$G$1000,$P$5:$P$1000,$P60,$S$5:$S$1000,"Macro")-1)&gt;0.0001),"Pesos del mes suman "&amp;TEXT(SUMIFS($G$5:$G$1000,$P$5:$P$1000,$P60,$S$5:$S$1000,"Macro"),"0%")&amp;" · ","")&amp;IF(AND(N($T60)&gt;0,COUNT($H60:$K60)&gt;0),"Con subactividades: deje vacías las semanas (se calculan solas)"&amp;" · ","")&amp;IF((COUNTIF($H60:$K60,"&gt;1")+COUNTIF($H60:$K60,"&lt;0")+COUNTA($H60:$K60)-COUNT($H60:$K60))&gt;0,"Avance fuera de rango 0-100%"&amp;" · ","")&amp;IF(OR(AND($I60&lt;&gt;"",$I60&lt;$H60),AND($J60&lt;&gt;"",$J60&lt;MAX($H60:$I60)),AND($K60&lt;&gt;"",$K60&lt;MAX($H60:$J60))),"Avance semanal decreciente"&amp;" · ","")&amp;IF(AND(ISNUMBER($F60),$F60&lt;FechaRef,N($L60)&lt;1),"Vencida"&amp;" · ","")&amp;IF(AND(ObsObligatoria="Sí",ISNUMBER($F60),$F60&lt;FechaRef,N($L60)&lt;1,$N60=""),"Vencida sin observación"&amp;" · ",""),LEN(IF(AND($S60="Macro",$B60=""),"Macroactividad vacía"&amp;" · ","")&amp;IF(AND($B60&lt;&gt;"",$C60&lt;&gt;""),"Escriba la subactividad en otra fila, debajo de su macroactividad"&amp;" · ","")&amp;IF(AND($S60="Sub",N($R60)=0),"Subactividad sin macroactividad arriba"&amp;" · ","")&amp;IF($D60="","Sin responsable"&amp;" · ","")&amp;IF($E60="","Sin fecha de inicio"&amp;" · ","")&amp;IF($F60="","Sin fecha límite"&amp;" · ","")&amp;IF(OR(AND($E60&lt;&gt;"",NOT(ISNUMBER($E60))),AND($F60&lt;&gt;"",NOT(ISNUMBER($F60)))),"Fecha no válida"&amp;" · ","")&amp;IF(AND(ISNUMBER($E60),ISNUMBER($F60),$E60&gt;$F60),"Inicio posterior a fecha límite"&amp;" · ","")&amp;IF(AND($S60="Macro",$G60=""),"Peso vacío"&amp;" · ","")&amp;IF(AND($S60="Macro",$G60&lt;&gt;"",OR(NOT(ISNUMBER($G60)),$G60&lt;=0,$G60&gt;1)),"Peso fuera de rango"&amp;" · ","")&amp;IF(AND($S60="Sub",$G60&lt;&gt;""),"Las subactividades no llevan peso"&amp;" · ","")&amp;IF(AND($S60="Macro",ABS(SUMIFS($G$5:$G$1000,$P$5:$P$1000,$P60,$S$5:$S$1000,"Macro")-1)&gt;0.0001),"Pesos del mes suman "&amp;TEXT(SUMIFS($G$5:$G$1000,$P$5:$P$1000,$P60,$S$5:$S$1000,"Macro"),"0%")&amp;" · ","")&amp;IF(AND(N($T60)&gt;0,COUNT($H60:$K60)&gt;0),"Con subactividades: deje vacías las semanas (se calculan solas)"&amp;" · ","")&amp;IF((COUNTIF($H60:$K60,"&gt;1")+COUNTIF($H60:$K60,"&lt;0")+COUNTA($H60:$K60)-COUNT($H60:$K60))&gt;0,"Avance fuera de rango 0-100%"&amp;" · ","")&amp;IF(OR(AND($I60&lt;&gt;"",$I60&lt;$H60),AND($J60&lt;&gt;"",$J60&lt;MAX($H60:$I60)),AND($K60&lt;&gt;"",$K60&lt;MAX($H60:$J60))),"Avance semanal decreciente"&amp;" · ","")&amp;IF(AND(ISNUMBER($F60),$F60&lt;FechaRef,N($L60)&lt;1),"Vencida"&amp;" · ","")&amp;IF(AND(ObsObligatoria="Sí",ISNUMBER($F60),$F60&lt;FechaRef,N($L60)&lt;1,$N60=""),"Vencida sin observación"&amp;" · ",""))-3)))</f>
        <v/>
      </c>
      <c r="P60" s="69">
        <f>IF(NOT((COUNTA($B60:$K60)+COUNTA($N60))&gt;0),"",IF(AND($S60="Sub",N($R60)&gt;0),IF(ISNUMBER(INDEX($E$5:$E$1000,$R60-4)),DATE(YEAR(INDEX($E$5:$E$1000,$R60-4)),MONTH(INDEX($E$5:$E$1000,$R60-4)),1),IF(ISNUMBER(INDEX($F$5:$F$1000,$R60-4)),DATE(YEAR(INDEX($F$5:$F$1000,$R60-4)),MONTH(INDEX($F$5:$F$1000,$R60-4)),1),MesCiclo)),IF(ISNUMBER($E60),DATE(YEAR($E60),MONTH($E60),1),IF(ISNUMBER($F60),DATE(YEAR($F60),MONTH($F60),1),MesCiclo))))</f>
        <v/>
      </c>
      <c r="Q60" s="70">
        <f>IF(OR($P60="",$P60&lt;&gt;MesCiclo),"",COUNTIF($P$5:$P60,MesCiclo))</f>
        <v/>
      </c>
      <c r="R60" s="70">
        <f>IF($S60="","",IF($S60="Macro",ROW(),IFERROR(LOOKUP(2,1/($S$5:$S60="Macro"),ROW($S$5:$S60)),0)))</f>
        <v/>
      </c>
      <c r="S60" s="70">
        <f>IF(NOT((COUNTA($B60:$K60)+COUNTA($N60))&gt;0),"",IF($B60&lt;&gt;"","Macro",IF($C60&lt;&gt;"","Sub","Macro")))</f>
        <v/>
      </c>
      <c r="T60" s="70">
        <f>IF($S60="Macro",COUNTIFS($R$5:$R$1000,ROW(),$S$5:$S$1000,"Sub"),"")</f>
        <v/>
      </c>
      <c r="U60" s="70">
        <f>IF($S60="","",IF(ISNUMBER($H60),$H60,0))</f>
        <v/>
      </c>
      <c r="V60" s="70">
        <f>IF($S60="","",IF(ISNUMBER($I60),$I60,$U60))</f>
        <v/>
      </c>
      <c r="W60" s="70">
        <f>IF($S60="","",IF(ISNUMBER($J60),$J60,$V60))</f>
        <v/>
      </c>
      <c r="X60" s="70">
        <f>IF($S60="","",IF(ISNUMBER($K60),$K60,$W60))</f>
        <v/>
      </c>
      <c r="Y60" s="70">
        <f>IF($S60="","",IF(N($T60)&gt;0,AVERAGEIFS($U$5:$U$1000,$R$5:$R$1000,ROW(),$S$5:$S$1000,"Sub"),$U60))</f>
        <v/>
      </c>
      <c r="Z60" s="70">
        <f>IF($S60="","",IF(N($T60)&gt;0,AVERAGEIFS($V$5:$V$1000,$R$5:$R$1000,ROW(),$S$5:$S$1000,"Sub"),$V60))</f>
        <v/>
      </c>
      <c r="AA60" s="70">
        <f>IF($S60="","",IF(N($T60)&gt;0,AVERAGEIFS($W$5:$W$1000,$R$5:$R$1000,ROW(),$S$5:$S$1000,"Sub"),$W60))</f>
        <v/>
      </c>
      <c r="AB60" s="70">
        <f>IF($S60="","",IF(N($T60)&gt;0,AVERAGEIFS($X$5:$X$1000,$R$5:$R$1000,ROW(),$S$5:$S$1000,"Sub"),$X60))</f>
        <v/>
      </c>
    </row>
    <row r="61">
      <c r="A61" s="61">
        <f>IF(NOT((COUNTA($B61:$K61)+COUNTA($N61))&gt;0),"",IF($S61="Macro",COUNTIFS($S$5:$S61,"Macro",$P$5:$P61,$P61),IF(N($R61)=0,"?",COUNTIFS(INDEX($S$5:$S$1000,1):INDEX($S$5:$S$1000,$R61-4),"Macro",INDEX($P$5:$P$1000,1):INDEX($P$5:$P$1000,$R61-4),INDEX($P$5:$P$1000,$R61-4))&amp;"."&amp;COUNTIFS($R$5:$R61,$R61,$S$5:$S61,"Sub"))))</f>
        <v/>
      </c>
      <c r="B61" s="62" t="n"/>
      <c r="C61" s="63" t="n"/>
      <c r="D61" s="62" t="n"/>
      <c r="E61" s="64" t="n"/>
      <c r="F61" s="64" t="n"/>
      <c r="G61" s="65" t="n"/>
      <c r="H61" s="66" t="n"/>
      <c r="I61" s="66" t="n"/>
      <c r="J61" s="66" t="n"/>
      <c r="K61" s="66" t="n"/>
      <c r="L61" s="67">
        <f>IF(NOT((COUNTA($B61:$K61)+COUNTA($N61))&gt;0),"",IF(N($T61)&gt;0,$AB61,IFERROR(LOOKUP(2,1/(H61:K61&lt;&gt;""),H61:K61),0)))</f>
        <v/>
      </c>
      <c r="M61" s="61">
        <f>IF(L61="","",IF(L61&gt;=1,"Completado",IF(L61&gt;0,"En curso","Pendiente")))</f>
        <v/>
      </c>
      <c r="N61" s="62" t="n"/>
      <c r="O61" s="68">
        <f>IF(NOT((COUNTA($B61:$K61)+COUNTA($N61))&gt;0),"",IF((IF(AND($S61="Macro",$B61=""),"Macroactividad vacía"&amp;" · ","")&amp;IF(AND($B61&lt;&gt;"",$C61&lt;&gt;""),"Escriba la subactividad en otra fila, debajo de su macroactividad"&amp;" · ","")&amp;IF(AND($S61="Sub",N($R61)=0),"Subactividad sin macroactividad arriba"&amp;" · ","")&amp;IF($D61="","Sin responsable"&amp;" · ","")&amp;IF($E61="","Sin fecha de inicio"&amp;" · ","")&amp;IF($F61="","Sin fecha límite"&amp;" · ","")&amp;IF(OR(AND($E61&lt;&gt;"",NOT(ISNUMBER($E61))),AND($F61&lt;&gt;"",NOT(ISNUMBER($F61)))),"Fecha no válida"&amp;" · ","")&amp;IF(AND(ISNUMBER($E61),ISNUMBER($F61),$E61&gt;$F61),"Inicio posterior a fecha límite"&amp;" · ","")&amp;IF(AND($S61="Macro",$G61=""),"Peso vacío"&amp;" · ","")&amp;IF(AND($S61="Macro",$G61&lt;&gt;"",OR(NOT(ISNUMBER($G61)),$G61&lt;=0,$G61&gt;1)),"Peso fuera de rango"&amp;" · ","")&amp;IF(AND($S61="Sub",$G61&lt;&gt;""),"Las subactividades no llevan peso"&amp;" · ","")&amp;IF(AND($S61="Macro",ABS(SUMIFS($G$5:$G$1000,$P$5:$P$1000,$P61,$S$5:$S$1000,"Macro")-1)&gt;0.0001),"Pesos del mes suman "&amp;TEXT(SUMIFS($G$5:$G$1000,$P$5:$P$1000,$P61,$S$5:$S$1000,"Macro"),"0%")&amp;" · ","")&amp;IF(AND(N($T61)&gt;0,COUNT($H61:$K61)&gt;0),"Con subactividades: deje vacías las semanas (se calculan solas)"&amp;" · ","")&amp;IF((COUNTIF($H61:$K61,"&gt;1")+COUNTIF($H61:$K61,"&lt;0")+COUNTA($H61:$K61)-COUNT($H61:$K61))&gt;0,"Avance fuera de rango 0-100%"&amp;" · ","")&amp;IF(OR(AND($I61&lt;&gt;"",$I61&lt;$H61),AND($J61&lt;&gt;"",$J61&lt;MAX($H61:$I61)),AND($K61&lt;&gt;"",$K61&lt;MAX($H61:$J61))),"Avance semanal decreciente"&amp;" · ","")&amp;IF(AND(ISNUMBER($F61),$F61&lt;FechaRef,N($L61)&lt;1),"Vencida"&amp;" · ","")&amp;IF(AND(ObsObligatoria="Sí",ISNUMBER($F61),$F61&lt;FechaRef,N($L61)&lt;1,$N61=""),"Vencida sin observación"&amp;" · ",""))="","✔ OK","⚠ "&amp;LEFT(IF(AND($S61="Macro",$B61=""),"Macroactividad vacía"&amp;" · ","")&amp;IF(AND($B61&lt;&gt;"",$C61&lt;&gt;""),"Escriba la subactividad en otra fila, debajo de su macroactividad"&amp;" · ","")&amp;IF(AND($S61="Sub",N($R61)=0),"Subactividad sin macroactividad arriba"&amp;" · ","")&amp;IF($D61="","Sin responsable"&amp;" · ","")&amp;IF($E61="","Sin fecha de inicio"&amp;" · ","")&amp;IF($F61="","Sin fecha límite"&amp;" · ","")&amp;IF(OR(AND($E61&lt;&gt;"",NOT(ISNUMBER($E61))),AND($F61&lt;&gt;"",NOT(ISNUMBER($F61)))),"Fecha no válida"&amp;" · ","")&amp;IF(AND(ISNUMBER($E61),ISNUMBER($F61),$E61&gt;$F61),"Inicio posterior a fecha límite"&amp;" · ","")&amp;IF(AND($S61="Macro",$G61=""),"Peso vacío"&amp;" · ","")&amp;IF(AND($S61="Macro",$G61&lt;&gt;"",OR(NOT(ISNUMBER($G61)),$G61&lt;=0,$G61&gt;1)),"Peso fuera de rango"&amp;" · ","")&amp;IF(AND($S61="Sub",$G61&lt;&gt;""),"Las subactividades no llevan peso"&amp;" · ","")&amp;IF(AND($S61="Macro",ABS(SUMIFS($G$5:$G$1000,$P$5:$P$1000,$P61,$S$5:$S$1000,"Macro")-1)&gt;0.0001),"Pesos del mes suman "&amp;TEXT(SUMIFS($G$5:$G$1000,$P$5:$P$1000,$P61,$S$5:$S$1000,"Macro"),"0%")&amp;" · ","")&amp;IF(AND(N($T61)&gt;0,COUNT($H61:$K61)&gt;0),"Con subactividades: deje vacías las semanas (se calculan solas)"&amp;" · ","")&amp;IF((COUNTIF($H61:$K61,"&gt;1")+COUNTIF($H61:$K61,"&lt;0")+COUNTA($H61:$K61)-COUNT($H61:$K61))&gt;0,"Avance fuera de rango 0-100%"&amp;" · ","")&amp;IF(OR(AND($I61&lt;&gt;"",$I61&lt;$H61),AND($J61&lt;&gt;"",$J61&lt;MAX($H61:$I61)),AND($K61&lt;&gt;"",$K61&lt;MAX($H61:$J61))),"Avance semanal decreciente"&amp;" · ","")&amp;IF(AND(ISNUMBER($F61),$F61&lt;FechaRef,N($L61)&lt;1),"Vencida"&amp;" · ","")&amp;IF(AND(ObsObligatoria="Sí",ISNUMBER($F61),$F61&lt;FechaRef,N($L61)&lt;1,$N61=""),"Vencida sin observación"&amp;" · ",""),LEN(IF(AND($S61="Macro",$B61=""),"Macroactividad vacía"&amp;" · ","")&amp;IF(AND($B61&lt;&gt;"",$C61&lt;&gt;""),"Escriba la subactividad en otra fila, debajo de su macroactividad"&amp;" · ","")&amp;IF(AND($S61="Sub",N($R61)=0),"Subactividad sin macroactividad arriba"&amp;" · ","")&amp;IF($D61="","Sin responsable"&amp;" · ","")&amp;IF($E61="","Sin fecha de inicio"&amp;" · ","")&amp;IF($F61="","Sin fecha límite"&amp;" · ","")&amp;IF(OR(AND($E61&lt;&gt;"",NOT(ISNUMBER($E61))),AND($F61&lt;&gt;"",NOT(ISNUMBER($F61)))),"Fecha no válida"&amp;" · ","")&amp;IF(AND(ISNUMBER($E61),ISNUMBER($F61),$E61&gt;$F61),"Inicio posterior a fecha límite"&amp;" · ","")&amp;IF(AND($S61="Macro",$G61=""),"Peso vacío"&amp;" · ","")&amp;IF(AND($S61="Macro",$G61&lt;&gt;"",OR(NOT(ISNUMBER($G61)),$G61&lt;=0,$G61&gt;1)),"Peso fuera de rango"&amp;" · ","")&amp;IF(AND($S61="Sub",$G61&lt;&gt;""),"Las subactividades no llevan peso"&amp;" · ","")&amp;IF(AND($S61="Macro",ABS(SUMIFS($G$5:$G$1000,$P$5:$P$1000,$P61,$S$5:$S$1000,"Macro")-1)&gt;0.0001),"Pesos del mes suman "&amp;TEXT(SUMIFS($G$5:$G$1000,$P$5:$P$1000,$P61,$S$5:$S$1000,"Macro"),"0%")&amp;" · ","")&amp;IF(AND(N($T61)&gt;0,COUNT($H61:$K61)&gt;0),"Con subactividades: deje vacías las semanas (se calculan solas)"&amp;" · ","")&amp;IF((COUNTIF($H61:$K61,"&gt;1")+COUNTIF($H61:$K61,"&lt;0")+COUNTA($H61:$K61)-COUNT($H61:$K61))&gt;0,"Avance fuera de rango 0-100%"&amp;" · ","")&amp;IF(OR(AND($I61&lt;&gt;"",$I61&lt;$H61),AND($J61&lt;&gt;"",$J61&lt;MAX($H61:$I61)),AND($K61&lt;&gt;"",$K61&lt;MAX($H61:$J61))),"Avance semanal decreciente"&amp;" · ","")&amp;IF(AND(ISNUMBER($F61),$F61&lt;FechaRef,N($L61)&lt;1),"Vencida"&amp;" · ","")&amp;IF(AND(ObsObligatoria="Sí",ISNUMBER($F61),$F61&lt;FechaRef,N($L61)&lt;1,$N61=""),"Vencida sin observación"&amp;" · ",""))-3)))</f>
        <v/>
      </c>
      <c r="P61" s="69">
        <f>IF(NOT((COUNTA($B61:$K61)+COUNTA($N61))&gt;0),"",IF(AND($S61="Sub",N($R61)&gt;0),IF(ISNUMBER(INDEX($E$5:$E$1000,$R61-4)),DATE(YEAR(INDEX($E$5:$E$1000,$R61-4)),MONTH(INDEX($E$5:$E$1000,$R61-4)),1),IF(ISNUMBER(INDEX($F$5:$F$1000,$R61-4)),DATE(YEAR(INDEX($F$5:$F$1000,$R61-4)),MONTH(INDEX($F$5:$F$1000,$R61-4)),1),MesCiclo)),IF(ISNUMBER($E61),DATE(YEAR($E61),MONTH($E61),1),IF(ISNUMBER($F61),DATE(YEAR($F61),MONTH($F61),1),MesCiclo))))</f>
        <v/>
      </c>
      <c r="Q61" s="70">
        <f>IF(OR($P61="",$P61&lt;&gt;MesCiclo),"",COUNTIF($P$5:$P61,MesCiclo))</f>
        <v/>
      </c>
      <c r="R61" s="70">
        <f>IF($S61="","",IF($S61="Macro",ROW(),IFERROR(LOOKUP(2,1/($S$5:$S61="Macro"),ROW($S$5:$S61)),0)))</f>
        <v/>
      </c>
      <c r="S61" s="70">
        <f>IF(NOT((COUNTA($B61:$K61)+COUNTA($N61))&gt;0),"",IF($B61&lt;&gt;"","Macro",IF($C61&lt;&gt;"","Sub","Macro")))</f>
        <v/>
      </c>
      <c r="T61" s="70">
        <f>IF($S61="Macro",COUNTIFS($R$5:$R$1000,ROW(),$S$5:$S$1000,"Sub"),"")</f>
        <v/>
      </c>
      <c r="U61" s="70">
        <f>IF($S61="","",IF(ISNUMBER($H61),$H61,0))</f>
        <v/>
      </c>
      <c r="V61" s="70">
        <f>IF($S61="","",IF(ISNUMBER($I61),$I61,$U61))</f>
        <v/>
      </c>
      <c r="W61" s="70">
        <f>IF($S61="","",IF(ISNUMBER($J61),$J61,$V61))</f>
        <v/>
      </c>
      <c r="X61" s="70">
        <f>IF($S61="","",IF(ISNUMBER($K61),$K61,$W61))</f>
        <v/>
      </c>
      <c r="Y61" s="70">
        <f>IF($S61="","",IF(N($T61)&gt;0,AVERAGEIFS($U$5:$U$1000,$R$5:$R$1000,ROW(),$S$5:$S$1000,"Sub"),$U61))</f>
        <v/>
      </c>
      <c r="Z61" s="70">
        <f>IF($S61="","",IF(N($T61)&gt;0,AVERAGEIFS($V$5:$V$1000,$R$5:$R$1000,ROW(),$S$5:$S$1000,"Sub"),$V61))</f>
        <v/>
      </c>
      <c r="AA61" s="70">
        <f>IF($S61="","",IF(N($T61)&gt;0,AVERAGEIFS($W$5:$W$1000,$R$5:$R$1000,ROW(),$S$5:$S$1000,"Sub"),$W61))</f>
        <v/>
      </c>
      <c r="AB61" s="70">
        <f>IF($S61="","",IF(N($T61)&gt;0,AVERAGEIFS($X$5:$X$1000,$R$5:$R$1000,ROW(),$S$5:$S$1000,"Sub"),$X61))</f>
        <v/>
      </c>
    </row>
    <row r="62">
      <c r="A62" s="61">
        <f>IF(NOT((COUNTA($B62:$K62)+COUNTA($N62))&gt;0),"",IF($S62="Macro",COUNTIFS($S$5:$S62,"Macro",$P$5:$P62,$P62),IF(N($R62)=0,"?",COUNTIFS(INDEX($S$5:$S$1000,1):INDEX($S$5:$S$1000,$R62-4),"Macro",INDEX($P$5:$P$1000,1):INDEX($P$5:$P$1000,$R62-4),INDEX($P$5:$P$1000,$R62-4))&amp;"."&amp;COUNTIFS($R$5:$R62,$R62,$S$5:$S62,"Sub"))))</f>
        <v/>
      </c>
      <c r="B62" s="62" t="n"/>
      <c r="C62" s="63" t="n"/>
      <c r="D62" s="62" t="n"/>
      <c r="E62" s="64" t="n"/>
      <c r="F62" s="64" t="n"/>
      <c r="G62" s="65" t="n"/>
      <c r="H62" s="66" t="n"/>
      <c r="I62" s="66" t="n"/>
      <c r="J62" s="66" t="n"/>
      <c r="K62" s="66" t="n"/>
      <c r="L62" s="67">
        <f>IF(NOT((COUNTA($B62:$K62)+COUNTA($N62))&gt;0),"",IF(N($T62)&gt;0,$AB62,IFERROR(LOOKUP(2,1/(H62:K62&lt;&gt;""),H62:K62),0)))</f>
        <v/>
      </c>
      <c r="M62" s="61">
        <f>IF(L62="","",IF(L62&gt;=1,"Completado",IF(L62&gt;0,"En curso","Pendiente")))</f>
        <v/>
      </c>
      <c r="N62" s="62" t="n"/>
      <c r="O62" s="68">
        <f>IF(NOT((COUNTA($B62:$K62)+COUNTA($N62))&gt;0),"",IF((IF(AND($S62="Macro",$B62=""),"Macroactividad vacía"&amp;" · ","")&amp;IF(AND($B62&lt;&gt;"",$C62&lt;&gt;""),"Escriba la subactividad en otra fila, debajo de su macroactividad"&amp;" · ","")&amp;IF(AND($S62="Sub",N($R62)=0),"Subactividad sin macroactividad arriba"&amp;" · ","")&amp;IF($D62="","Sin responsable"&amp;" · ","")&amp;IF($E62="","Sin fecha de inicio"&amp;" · ","")&amp;IF($F62="","Sin fecha límite"&amp;" · ","")&amp;IF(OR(AND($E62&lt;&gt;"",NOT(ISNUMBER($E62))),AND($F62&lt;&gt;"",NOT(ISNUMBER($F62)))),"Fecha no válida"&amp;" · ","")&amp;IF(AND(ISNUMBER($E62),ISNUMBER($F62),$E62&gt;$F62),"Inicio posterior a fecha límite"&amp;" · ","")&amp;IF(AND($S62="Macro",$G62=""),"Peso vacío"&amp;" · ","")&amp;IF(AND($S62="Macro",$G62&lt;&gt;"",OR(NOT(ISNUMBER($G62)),$G62&lt;=0,$G62&gt;1)),"Peso fuera de rango"&amp;" · ","")&amp;IF(AND($S62="Sub",$G62&lt;&gt;""),"Las subactividades no llevan peso"&amp;" · ","")&amp;IF(AND($S62="Macro",ABS(SUMIFS($G$5:$G$1000,$P$5:$P$1000,$P62,$S$5:$S$1000,"Macro")-1)&gt;0.0001),"Pesos del mes suman "&amp;TEXT(SUMIFS($G$5:$G$1000,$P$5:$P$1000,$P62,$S$5:$S$1000,"Macro"),"0%")&amp;" · ","")&amp;IF(AND(N($T62)&gt;0,COUNT($H62:$K62)&gt;0),"Con subactividades: deje vacías las semanas (se calculan solas)"&amp;" · ","")&amp;IF((COUNTIF($H62:$K62,"&gt;1")+COUNTIF($H62:$K62,"&lt;0")+COUNTA($H62:$K62)-COUNT($H62:$K62))&gt;0,"Avance fuera de rango 0-100%"&amp;" · ","")&amp;IF(OR(AND($I62&lt;&gt;"",$I62&lt;$H62),AND($J62&lt;&gt;"",$J62&lt;MAX($H62:$I62)),AND($K62&lt;&gt;"",$K62&lt;MAX($H62:$J62))),"Avance semanal decreciente"&amp;" · ","")&amp;IF(AND(ISNUMBER($F62),$F62&lt;FechaRef,N($L62)&lt;1),"Vencida"&amp;" · ","")&amp;IF(AND(ObsObligatoria="Sí",ISNUMBER($F62),$F62&lt;FechaRef,N($L62)&lt;1,$N62=""),"Vencida sin observación"&amp;" · ",""))="","✔ OK","⚠ "&amp;LEFT(IF(AND($S62="Macro",$B62=""),"Macroactividad vacía"&amp;" · ","")&amp;IF(AND($B62&lt;&gt;"",$C62&lt;&gt;""),"Escriba la subactividad en otra fila, debajo de su macroactividad"&amp;" · ","")&amp;IF(AND($S62="Sub",N($R62)=0),"Subactividad sin macroactividad arriba"&amp;" · ","")&amp;IF($D62="","Sin responsable"&amp;" · ","")&amp;IF($E62="","Sin fecha de inicio"&amp;" · ","")&amp;IF($F62="","Sin fecha límite"&amp;" · ","")&amp;IF(OR(AND($E62&lt;&gt;"",NOT(ISNUMBER($E62))),AND($F62&lt;&gt;"",NOT(ISNUMBER($F62)))),"Fecha no válida"&amp;" · ","")&amp;IF(AND(ISNUMBER($E62),ISNUMBER($F62),$E62&gt;$F62),"Inicio posterior a fecha límite"&amp;" · ","")&amp;IF(AND($S62="Macro",$G62=""),"Peso vacío"&amp;" · ","")&amp;IF(AND($S62="Macro",$G62&lt;&gt;"",OR(NOT(ISNUMBER($G62)),$G62&lt;=0,$G62&gt;1)),"Peso fuera de rango"&amp;" · ","")&amp;IF(AND($S62="Sub",$G62&lt;&gt;""),"Las subactividades no llevan peso"&amp;" · ","")&amp;IF(AND($S62="Macro",ABS(SUMIFS($G$5:$G$1000,$P$5:$P$1000,$P62,$S$5:$S$1000,"Macro")-1)&gt;0.0001),"Pesos del mes suman "&amp;TEXT(SUMIFS($G$5:$G$1000,$P$5:$P$1000,$P62,$S$5:$S$1000,"Macro"),"0%")&amp;" · ","")&amp;IF(AND(N($T62)&gt;0,COUNT($H62:$K62)&gt;0),"Con subactividades: deje vacías las semanas (se calculan solas)"&amp;" · ","")&amp;IF((COUNTIF($H62:$K62,"&gt;1")+COUNTIF($H62:$K62,"&lt;0")+COUNTA($H62:$K62)-COUNT($H62:$K62))&gt;0,"Avance fuera de rango 0-100%"&amp;" · ","")&amp;IF(OR(AND($I62&lt;&gt;"",$I62&lt;$H62),AND($J62&lt;&gt;"",$J62&lt;MAX($H62:$I62)),AND($K62&lt;&gt;"",$K62&lt;MAX($H62:$J62))),"Avance semanal decreciente"&amp;" · ","")&amp;IF(AND(ISNUMBER($F62),$F62&lt;FechaRef,N($L62)&lt;1),"Vencida"&amp;" · ","")&amp;IF(AND(ObsObligatoria="Sí",ISNUMBER($F62),$F62&lt;FechaRef,N($L62)&lt;1,$N62=""),"Vencida sin observación"&amp;" · ",""),LEN(IF(AND($S62="Macro",$B62=""),"Macroactividad vacía"&amp;" · ","")&amp;IF(AND($B62&lt;&gt;"",$C62&lt;&gt;""),"Escriba la subactividad en otra fila, debajo de su macroactividad"&amp;" · ","")&amp;IF(AND($S62="Sub",N($R62)=0),"Subactividad sin macroactividad arriba"&amp;" · ","")&amp;IF($D62="","Sin responsable"&amp;" · ","")&amp;IF($E62="","Sin fecha de inicio"&amp;" · ","")&amp;IF($F62="","Sin fecha límite"&amp;" · ","")&amp;IF(OR(AND($E62&lt;&gt;"",NOT(ISNUMBER($E62))),AND($F62&lt;&gt;"",NOT(ISNUMBER($F62)))),"Fecha no válida"&amp;" · ","")&amp;IF(AND(ISNUMBER($E62),ISNUMBER($F62),$E62&gt;$F62),"Inicio posterior a fecha límite"&amp;" · ","")&amp;IF(AND($S62="Macro",$G62=""),"Peso vacío"&amp;" · ","")&amp;IF(AND($S62="Macro",$G62&lt;&gt;"",OR(NOT(ISNUMBER($G62)),$G62&lt;=0,$G62&gt;1)),"Peso fuera de rango"&amp;" · ","")&amp;IF(AND($S62="Sub",$G62&lt;&gt;""),"Las subactividades no llevan peso"&amp;" · ","")&amp;IF(AND($S62="Macro",ABS(SUMIFS($G$5:$G$1000,$P$5:$P$1000,$P62,$S$5:$S$1000,"Macro")-1)&gt;0.0001),"Pesos del mes suman "&amp;TEXT(SUMIFS($G$5:$G$1000,$P$5:$P$1000,$P62,$S$5:$S$1000,"Macro"),"0%")&amp;" · ","")&amp;IF(AND(N($T62)&gt;0,COUNT($H62:$K62)&gt;0),"Con subactividades: deje vacías las semanas (se calculan solas)"&amp;" · ","")&amp;IF((COUNTIF($H62:$K62,"&gt;1")+COUNTIF($H62:$K62,"&lt;0")+COUNTA($H62:$K62)-COUNT($H62:$K62))&gt;0,"Avance fuera de rango 0-100%"&amp;" · ","")&amp;IF(OR(AND($I62&lt;&gt;"",$I62&lt;$H62),AND($J62&lt;&gt;"",$J62&lt;MAX($H62:$I62)),AND($K62&lt;&gt;"",$K62&lt;MAX($H62:$J62))),"Avance semanal decreciente"&amp;" · ","")&amp;IF(AND(ISNUMBER($F62),$F62&lt;FechaRef,N($L62)&lt;1),"Vencida"&amp;" · ","")&amp;IF(AND(ObsObligatoria="Sí",ISNUMBER($F62),$F62&lt;FechaRef,N($L62)&lt;1,$N62=""),"Vencida sin observación"&amp;" · ",""))-3)))</f>
        <v/>
      </c>
      <c r="P62" s="69">
        <f>IF(NOT((COUNTA($B62:$K62)+COUNTA($N62))&gt;0),"",IF(AND($S62="Sub",N($R62)&gt;0),IF(ISNUMBER(INDEX($E$5:$E$1000,$R62-4)),DATE(YEAR(INDEX($E$5:$E$1000,$R62-4)),MONTH(INDEX($E$5:$E$1000,$R62-4)),1),IF(ISNUMBER(INDEX($F$5:$F$1000,$R62-4)),DATE(YEAR(INDEX($F$5:$F$1000,$R62-4)),MONTH(INDEX($F$5:$F$1000,$R62-4)),1),MesCiclo)),IF(ISNUMBER($E62),DATE(YEAR($E62),MONTH($E62),1),IF(ISNUMBER($F62),DATE(YEAR($F62),MONTH($F62),1),MesCiclo))))</f>
        <v/>
      </c>
      <c r="Q62" s="70">
        <f>IF(OR($P62="",$P62&lt;&gt;MesCiclo),"",COUNTIF($P$5:$P62,MesCiclo))</f>
        <v/>
      </c>
      <c r="R62" s="70">
        <f>IF($S62="","",IF($S62="Macro",ROW(),IFERROR(LOOKUP(2,1/($S$5:$S62="Macro"),ROW($S$5:$S62)),0)))</f>
        <v/>
      </c>
      <c r="S62" s="70">
        <f>IF(NOT((COUNTA($B62:$K62)+COUNTA($N62))&gt;0),"",IF($B62&lt;&gt;"","Macro",IF($C62&lt;&gt;"","Sub","Macro")))</f>
        <v/>
      </c>
      <c r="T62" s="70">
        <f>IF($S62="Macro",COUNTIFS($R$5:$R$1000,ROW(),$S$5:$S$1000,"Sub"),"")</f>
        <v/>
      </c>
      <c r="U62" s="70">
        <f>IF($S62="","",IF(ISNUMBER($H62),$H62,0))</f>
        <v/>
      </c>
      <c r="V62" s="70">
        <f>IF($S62="","",IF(ISNUMBER($I62),$I62,$U62))</f>
        <v/>
      </c>
      <c r="W62" s="70">
        <f>IF($S62="","",IF(ISNUMBER($J62),$J62,$V62))</f>
        <v/>
      </c>
      <c r="X62" s="70">
        <f>IF($S62="","",IF(ISNUMBER($K62),$K62,$W62))</f>
        <v/>
      </c>
      <c r="Y62" s="70">
        <f>IF($S62="","",IF(N($T62)&gt;0,AVERAGEIFS($U$5:$U$1000,$R$5:$R$1000,ROW(),$S$5:$S$1000,"Sub"),$U62))</f>
        <v/>
      </c>
      <c r="Z62" s="70">
        <f>IF($S62="","",IF(N($T62)&gt;0,AVERAGEIFS($V$5:$V$1000,$R$5:$R$1000,ROW(),$S$5:$S$1000,"Sub"),$V62))</f>
        <v/>
      </c>
      <c r="AA62" s="70">
        <f>IF($S62="","",IF(N($T62)&gt;0,AVERAGEIFS($W$5:$W$1000,$R$5:$R$1000,ROW(),$S$5:$S$1000,"Sub"),$W62))</f>
        <v/>
      </c>
      <c r="AB62" s="70">
        <f>IF($S62="","",IF(N($T62)&gt;0,AVERAGEIFS($X$5:$X$1000,$R$5:$R$1000,ROW(),$S$5:$S$1000,"Sub"),$X62))</f>
        <v/>
      </c>
    </row>
    <row r="63">
      <c r="A63" s="61">
        <f>IF(NOT((COUNTA($B63:$K63)+COUNTA($N63))&gt;0),"",IF($S63="Macro",COUNTIFS($S$5:$S63,"Macro",$P$5:$P63,$P63),IF(N($R63)=0,"?",COUNTIFS(INDEX($S$5:$S$1000,1):INDEX($S$5:$S$1000,$R63-4),"Macro",INDEX($P$5:$P$1000,1):INDEX($P$5:$P$1000,$R63-4),INDEX($P$5:$P$1000,$R63-4))&amp;"."&amp;COUNTIFS($R$5:$R63,$R63,$S$5:$S63,"Sub"))))</f>
        <v/>
      </c>
      <c r="B63" s="62" t="n"/>
      <c r="C63" s="63" t="n"/>
      <c r="D63" s="62" t="n"/>
      <c r="E63" s="64" t="n"/>
      <c r="F63" s="64" t="n"/>
      <c r="G63" s="65" t="n"/>
      <c r="H63" s="66" t="n"/>
      <c r="I63" s="66" t="n"/>
      <c r="J63" s="66" t="n"/>
      <c r="K63" s="66" t="n"/>
      <c r="L63" s="67">
        <f>IF(NOT((COUNTA($B63:$K63)+COUNTA($N63))&gt;0),"",IF(N($T63)&gt;0,$AB63,IFERROR(LOOKUP(2,1/(H63:K63&lt;&gt;""),H63:K63),0)))</f>
        <v/>
      </c>
      <c r="M63" s="61">
        <f>IF(L63="","",IF(L63&gt;=1,"Completado",IF(L63&gt;0,"En curso","Pendiente")))</f>
        <v/>
      </c>
      <c r="N63" s="62" t="n"/>
      <c r="O63" s="68">
        <f>IF(NOT((COUNTA($B63:$K63)+COUNTA($N63))&gt;0),"",IF((IF(AND($S63="Macro",$B63=""),"Macroactividad vacía"&amp;" · ","")&amp;IF(AND($B63&lt;&gt;"",$C63&lt;&gt;""),"Escriba la subactividad en otra fila, debajo de su macroactividad"&amp;" · ","")&amp;IF(AND($S63="Sub",N($R63)=0),"Subactividad sin macroactividad arriba"&amp;" · ","")&amp;IF($D63="","Sin responsable"&amp;" · ","")&amp;IF($E63="","Sin fecha de inicio"&amp;" · ","")&amp;IF($F63="","Sin fecha límite"&amp;" · ","")&amp;IF(OR(AND($E63&lt;&gt;"",NOT(ISNUMBER($E63))),AND($F63&lt;&gt;"",NOT(ISNUMBER($F63)))),"Fecha no válida"&amp;" · ","")&amp;IF(AND(ISNUMBER($E63),ISNUMBER($F63),$E63&gt;$F63),"Inicio posterior a fecha límite"&amp;" · ","")&amp;IF(AND($S63="Macro",$G63=""),"Peso vacío"&amp;" · ","")&amp;IF(AND($S63="Macro",$G63&lt;&gt;"",OR(NOT(ISNUMBER($G63)),$G63&lt;=0,$G63&gt;1)),"Peso fuera de rango"&amp;" · ","")&amp;IF(AND($S63="Sub",$G63&lt;&gt;""),"Las subactividades no llevan peso"&amp;" · ","")&amp;IF(AND($S63="Macro",ABS(SUMIFS($G$5:$G$1000,$P$5:$P$1000,$P63,$S$5:$S$1000,"Macro")-1)&gt;0.0001),"Pesos del mes suman "&amp;TEXT(SUMIFS($G$5:$G$1000,$P$5:$P$1000,$P63,$S$5:$S$1000,"Macro"),"0%")&amp;" · ","")&amp;IF(AND(N($T63)&gt;0,COUNT($H63:$K63)&gt;0),"Con subactividades: deje vacías las semanas (se calculan solas)"&amp;" · ","")&amp;IF((COUNTIF($H63:$K63,"&gt;1")+COUNTIF($H63:$K63,"&lt;0")+COUNTA($H63:$K63)-COUNT($H63:$K63))&gt;0,"Avance fuera de rango 0-100%"&amp;" · ","")&amp;IF(OR(AND($I63&lt;&gt;"",$I63&lt;$H63),AND($J63&lt;&gt;"",$J63&lt;MAX($H63:$I63)),AND($K63&lt;&gt;"",$K63&lt;MAX($H63:$J63))),"Avance semanal decreciente"&amp;" · ","")&amp;IF(AND(ISNUMBER($F63),$F63&lt;FechaRef,N($L63)&lt;1),"Vencida"&amp;" · ","")&amp;IF(AND(ObsObligatoria="Sí",ISNUMBER($F63),$F63&lt;FechaRef,N($L63)&lt;1,$N63=""),"Vencida sin observación"&amp;" · ",""))="","✔ OK","⚠ "&amp;LEFT(IF(AND($S63="Macro",$B63=""),"Macroactividad vacía"&amp;" · ","")&amp;IF(AND($B63&lt;&gt;"",$C63&lt;&gt;""),"Escriba la subactividad en otra fila, debajo de su macroactividad"&amp;" · ","")&amp;IF(AND($S63="Sub",N($R63)=0),"Subactividad sin macroactividad arriba"&amp;" · ","")&amp;IF($D63="","Sin responsable"&amp;" · ","")&amp;IF($E63="","Sin fecha de inicio"&amp;" · ","")&amp;IF($F63="","Sin fecha límite"&amp;" · ","")&amp;IF(OR(AND($E63&lt;&gt;"",NOT(ISNUMBER($E63))),AND($F63&lt;&gt;"",NOT(ISNUMBER($F63)))),"Fecha no válida"&amp;" · ","")&amp;IF(AND(ISNUMBER($E63),ISNUMBER($F63),$E63&gt;$F63),"Inicio posterior a fecha límite"&amp;" · ","")&amp;IF(AND($S63="Macro",$G63=""),"Peso vacío"&amp;" · ","")&amp;IF(AND($S63="Macro",$G63&lt;&gt;"",OR(NOT(ISNUMBER($G63)),$G63&lt;=0,$G63&gt;1)),"Peso fuera de rango"&amp;" · ","")&amp;IF(AND($S63="Sub",$G63&lt;&gt;""),"Las subactividades no llevan peso"&amp;" · ","")&amp;IF(AND($S63="Macro",ABS(SUMIFS($G$5:$G$1000,$P$5:$P$1000,$P63,$S$5:$S$1000,"Macro")-1)&gt;0.0001),"Pesos del mes suman "&amp;TEXT(SUMIFS($G$5:$G$1000,$P$5:$P$1000,$P63,$S$5:$S$1000,"Macro"),"0%")&amp;" · ","")&amp;IF(AND(N($T63)&gt;0,COUNT($H63:$K63)&gt;0),"Con subactividades: deje vacías las semanas (se calculan solas)"&amp;" · ","")&amp;IF((COUNTIF($H63:$K63,"&gt;1")+COUNTIF($H63:$K63,"&lt;0")+COUNTA($H63:$K63)-COUNT($H63:$K63))&gt;0,"Avance fuera de rango 0-100%"&amp;" · ","")&amp;IF(OR(AND($I63&lt;&gt;"",$I63&lt;$H63),AND($J63&lt;&gt;"",$J63&lt;MAX($H63:$I63)),AND($K63&lt;&gt;"",$K63&lt;MAX($H63:$J63))),"Avance semanal decreciente"&amp;" · ","")&amp;IF(AND(ISNUMBER($F63),$F63&lt;FechaRef,N($L63)&lt;1),"Vencida"&amp;" · ","")&amp;IF(AND(ObsObligatoria="Sí",ISNUMBER($F63),$F63&lt;FechaRef,N($L63)&lt;1,$N63=""),"Vencida sin observación"&amp;" · ",""),LEN(IF(AND($S63="Macro",$B63=""),"Macroactividad vacía"&amp;" · ","")&amp;IF(AND($B63&lt;&gt;"",$C63&lt;&gt;""),"Escriba la subactividad en otra fila, debajo de su macroactividad"&amp;" · ","")&amp;IF(AND($S63="Sub",N($R63)=0),"Subactividad sin macroactividad arriba"&amp;" · ","")&amp;IF($D63="","Sin responsable"&amp;" · ","")&amp;IF($E63="","Sin fecha de inicio"&amp;" · ","")&amp;IF($F63="","Sin fecha límite"&amp;" · ","")&amp;IF(OR(AND($E63&lt;&gt;"",NOT(ISNUMBER($E63))),AND($F63&lt;&gt;"",NOT(ISNUMBER($F63)))),"Fecha no válida"&amp;" · ","")&amp;IF(AND(ISNUMBER($E63),ISNUMBER($F63),$E63&gt;$F63),"Inicio posterior a fecha límite"&amp;" · ","")&amp;IF(AND($S63="Macro",$G63=""),"Peso vacío"&amp;" · ","")&amp;IF(AND($S63="Macro",$G63&lt;&gt;"",OR(NOT(ISNUMBER($G63)),$G63&lt;=0,$G63&gt;1)),"Peso fuera de rango"&amp;" · ","")&amp;IF(AND($S63="Sub",$G63&lt;&gt;""),"Las subactividades no llevan peso"&amp;" · ","")&amp;IF(AND($S63="Macro",ABS(SUMIFS($G$5:$G$1000,$P$5:$P$1000,$P63,$S$5:$S$1000,"Macro")-1)&gt;0.0001),"Pesos del mes suman "&amp;TEXT(SUMIFS($G$5:$G$1000,$P$5:$P$1000,$P63,$S$5:$S$1000,"Macro"),"0%")&amp;" · ","")&amp;IF(AND(N($T63)&gt;0,COUNT($H63:$K63)&gt;0),"Con subactividades: deje vacías las semanas (se calculan solas)"&amp;" · ","")&amp;IF((COUNTIF($H63:$K63,"&gt;1")+COUNTIF($H63:$K63,"&lt;0")+COUNTA($H63:$K63)-COUNT($H63:$K63))&gt;0,"Avance fuera de rango 0-100%"&amp;" · ","")&amp;IF(OR(AND($I63&lt;&gt;"",$I63&lt;$H63),AND($J63&lt;&gt;"",$J63&lt;MAX($H63:$I63)),AND($K63&lt;&gt;"",$K63&lt;MAX($H63:$J63))),"Avance semanal decreciente"&amp;" · ","")&amp;IF(AND(ISNUMBER($F63),$F63&lt;FechaRef,N($L63)&lt;1),"Vencida"&amp;" · ","")&amp;IF(AND(ObsObligatoria="Sí",ISNUMBER($F63),$F63&lt;FechaRef,N($L63)&lt;1,$N63=""),"Vencida sin observación"&amp;" · ",""))-3)))</f>
        <v/>
      </c>
      <c r="P63" s="69">
        <f>IF(NOT((COUNTA($B63:$K63)+COUNTA($N63))&gt;0),"",IF(AND($S63="Sub",N($R63)&gt;0),IF(ISNUMBER(INDEX($E$5:$E$1000,$R63-4)),DATE(YEAR(INDEX($E$5:$E$1000,$R63-4)),MONTH(INDEX($E$5:$E$1000,$R63-4)),1),IF(ISNUMBER(INDEX($F$5:$F$1000,$R63-4)),DATE(YEAR(INDEX($F$5:$F$1000,$R63-4)),MONTH(INDEX($F$5:$F$1000,$R63-4)),1),MesCiclo)),IF(ISNUMBER($E63),DATE(YEAR($E63),MONTH($E63),1),IF(ISNUMBER($F63),DATE(YEAR($F63),MONTH($F63),1),MesCiclo))))</f>
        <v/>
      </c>
      <c r="Q63" s="70">
        <f>IF(OR($P63="",$P63&lt;&gt;MesCiclo),"",COUNTIF($P$5:$P63,MesCiclo))</f>
        <v/>
      </c>
      <c r="R63" s="70">
        <f>IF($S63="","",IF($S63="Macro",ROW(),IFERROR(LOOKUP(2,1/($S$5:$S63="Macro"),ROW($S$5:$S63)),0)))</f>
        <v/>
      </c>
      <c r="S63" s="70">
        <f>IF(NOT((COUNTA($B63:$K63)+COUNTA($N63))&gt;0),"",IF($B63&lt;&gt;"","Macro",IF($C63&lt;&gt;"","Sub","Macro")))</f>
        <v/>
      </c>
      <c r="T63" s="70">
        <f>IF($S63="Macro",COUNTIFS($R$5:$R$1000,ROW(),$S$5:$S$1000,"Sub"),"")</f>
        <v/>
      </c>
      <c r="U63" s="70">
        <f>IF($S63="","",IF(ISNUMBER($H63),$H63,0))</f>
        <v/>
      </c>
      <c r="V63" s="70">
        <f>IF($S63="","",IF(ISNUMBER($I63),$I63,$U63))</f>
        <v/>
      </c>
      <c r="W63" s="70">
        <f>IF($S63="","",IF(ISNUMBER($J63),$J63,$V63))</f>
        <v/>
      </c>
      <c r="X63" s="70">
        <f>IF($S63="","",IF(ISNUMBER($K63),$K63,$W63))</f>
        <v/>
      </c>
      <c r="Y63" s="70">
        <f>IF($S63="","",IF(N($T63)&gt;0,AVERAGEIFS($U$5:$U$1000,$R$5:$R$1000,ROW(),$S$5:$S$1000,"Sub"),$U63))</f>
        <v/>
      </c>
      <c r="Z63" s="70">
        <f>IF($S63="","",IF(N($T63)&gt;0,AVERAGEIFS($V$5:$V$1000,$R$5:$R$1000,ROW(),$S$5:$S$1000,"Sub"),$V63))</f>
        <v/>
      </c>
      <c r="AA63" s="70">
        <f>IF($S63="","",IF(N($T63)&gt;0,AVERAGEIFS($W$5:$W$1000,$R$5:$R$1000,ROW(),$S$5:$S$1000,"Sub"),$W63))</f>
        <v/>
      </c>
      <c r="AB63" s="70">
        <f>IF($S63="","",IF(N($T63)&gt;0,AVERAGEIFS($X$5:$X$1000,$R$5:$R$1000,ROW(),$S$5:$S$1000,"Sub"),$X63))</f>
        <v/>
      </c>
    </row>
    <row r="64">
      <c r="A64" s="61">
        <f>IF(NOT((COUNTA($B64:$K64)+COUNTA($N64))&gt;0),"",IF($S64="Macro",COUNTIFS($S$5:$S64,"Macro",$P$5:$P64,$P64),IF(N($R64)=0,"?",COUNTIFS(INDEX($S$5:$S$1000,1):INDEX($S$5:$S$1000,$R64-4),"Macro",INDEX($P$5:$P$1000,1):INDEX($P$5:$P$1000,$R64-4),INDEX($P$5:$P$1000,$R64-4))&amp;"."&amp;COUNTIFS($R$5:$R64,$R64,$S$5:$S64,"Sub"))))</f>
        <v/>
      </c>
      <c r="B64" s="62" t="n"/>
      <c r="C64" s="63" t="n"/>
      <c r="D64" s="62" t="n"/>
      <c r="E64" s="64" t="n"/>
      <c r="F64" s="64" t="n"/>
      <c r="G64" s="65" t="n"/>
      <c r="H64" s="66" t="n"/>
      <c r="I64" s="66" t="n"/>
      <c r="J64" s="66" t="n"/>
      <c r="K64" s="66" t="n"/>
      <c r="L64" s="67">
        <f>IF(NOT((COUNTA($B64:$K64)+COUNTA($N64))&gt;0),"",IF(N($T64)&gt;0,$AB64,IFERROR(LOOKUP(2,1/(H64:K64&lt;&gt;""),H64:K64),0)))</f>
        <v/>
      </c>
      <c r="M64" s="61">
        <f>IF(L64="","",IF(L64&gt;=1,"Completado",IF(L64&gt;0,"En curso","Pendiente")))</f>
        <v/>
      </c>
      <c r="N64" s="62" t="n"/>
      <c r="O64" s="68">
        <f>IF(NOT((COUNTA($B64:$K64)+COUNTA($N64))&gt;0),"",IF((IF(AND($S64="Macro",$B64=""),"Macroactividad vacía"&amp;" · ","")&amp;IF(AND($B64&lt;&gt;"",$C64&lt;&gt;""),"Escriba la subactividad en otra fila, debajo de su macroactividad"&amp;" · ","")&amp;IF(AND($S64="Sub",N($R64)=0),"Subactividad sin macroactividad arriba"&amp;" · ","")&amp;IF($D64="","Sin responsable"&amp;" · ","")&amp;IF($E64="","Sin fecha de inicio"&amp;" · ","")&amp;IF($F64="","Sin fecha límite"&amp;" · ","")&amp;IF(OR(AND($E64&lt;&gt;"",NOT(ISNUMBER($E64))),AND($F64&lt;&gt;"",NOT(ISNUMBER($F64)))),"Fecha no válida"&amp;" · ","")&amp;IF(AND(ISNUMBER($E64),ISNUMBER($F64),$E64&gt;$F64),"Inicio posterior a fecha límite"&amp;" · ","")&amp;IF(AND($S64="Macro",$G64=""),"Peso vacío"&amp;" · ","")&amp;IF(AND($S64="Macro",$G64&lt;&gt;"",OR(NOT(ISNUMBER($G64)),$G64&lt;=0,$G64&gt;1)),"Peso fuera de rango"&amp;" · ","")&amp;IF(AND($S64="Sub",$G64&lt;&gt;""),"Las subactividades no llevan peso"&amp;" · ","")&amp;IF(AND($S64="Macro",ABS(SUMIFS($G$5:$G$1000,$P$5:$P$1000,$P64,$S$5:$S$1000,"Macro")-1)&gt;0.0001),"Pesos del mes suman "&amp;TEXT(SUMIFS($G$5:$G$1000,$P$5:$P$1000,$P64,$S$5:$S$1000,"Macro"),"0%")&amp;" · ","")&amp;IF(AND(N($T64)&gt;0,COUNT($H64:$K64)&gt;0),"Con subactividades: deje vacías las semanas (se calculan solas)"&amp;" · ","")&amp;IF((COUNTIF($H64:$K64,"&gt;1")+COUNTIF($H64:$K64,"&lt;0")+COUNTA($H64:$K64)-COUNT($H64:$K64))&gt;0,"Avance fuera de rango 0-100%"&amp;" · ","")&amp;IF(OR(AND($I64&lt;&gt;"",$I64&lt;$H64),AND($J64&lt;&gt;"",$J64&lt;MAX($H64:$I64)),AND($K64&lt;&gt;"",$K64&lt;MAX($H64:$J64))),"Avance semanal decreciente"&amp;" · ","")&amp;IF(AND(ISNUMBER($F64),$F64&lt;FechaRef,N($L64)&lt;1),"Vencida"&amp;" · ","")&amp;IF(AND(ObsObligatoria="Sí",ISNUMBER($F64),$F64&lt;FechaRef,N($L64)&lt;1,$N64=""),"Vencida sin observación"&amp;" · ",""))="","✔ OK","⚠ "&amp;LEFT(IF(AND($S64="Macro",$B64=""),"Macroactividad vacía"&amp;" · ","")&amp;IF(AND($B64&lt;&gt;"",$C64&lt;&gt;""),"Escriba la subactividad en otra fila, debajo de su macroactividad"&amp;" · ","")&amp;IF(AND($S64="Sub",N($R64)=0),"Subactividad sin macroactividad arriba"&amp;" · ","")&amp;IF($D64="","Sin responsable"&amp;" · ","")&amp;IF($E64="","Sin fecha de inicio"&amp;" · ","")&amp;IF($F64="","Sin fecha límite"&amp;" · ","")&amp;IF(OR(AND($E64&lt;&gt;"",NOT(ISNUMBER($E64))),AND($F64&lt;&gt;"",NOT(ISNUMBER($F64)))),"Fecha no válida"&amp;" · ","")&amp;IF(AND(ISNUMBER($E64),ISNUMBER($F64),$E64&gt;$F64),"Inicio posterior a fecha límite"&amp;" · ","")&amp;IF(AND($S64="Macro",$G64=""),"Peso vacío"&amp;" · ","")&amp;IF(AND($S64="Macro",$G64&lt;&gt;"",OR(NOT(ISNUMBER($G64)),$G64&lt;=0,$G64&gt;1)),"Peso fuera de rango"&amp;" · ","")&amp;IF(AND($S64="Sub",$G64&lt;&gt;""),"Las subactividades no llevan peso"&amp;" · ","")&amp;IF(AND($S64="Macro",ABS(SUMIFS($G$5:$G$1000,$P$5:$P$1000,$P64,$S$5:$S$1000,"Macro")-1)&gt;0.0001),"Pesos del mes suman "&amp;TEXT(SUMIFS($G$5:$G$1000,$P$5:$P$1000,$P64,$S$5:$S$1000,"Macro"),"0%")&amp;" · ","")&amp;IF(AND(N($T64)&gt;0,COUNT($H64:$K64)&gt;0),"Con subactividades: deje vacías las semanas (se calculan solas)"&amp;" · ","")&amp;IF((COUNTIF($H64:$K64,"&gt;1")+COUNTIF($H64:$K64,"&lt;0")+COUNTA($H64:$K64)-COUNT($H64:$K64))&gt;0,"Avance fuera de rango 0-100%"&amp;" · ","")&amp;IF(OR(AND($I64&lt;&gt;"",$I64&lt;$H64),AND($J64&lt;&gt;"",$J64&lt;MAX($H64:$I64)),AND($K64&lt;&gt;"",$K64&lt;MAX($H64:$J64))),"Avance semanal decreciente"&amp;" · ","")&amp;IF(AND(ISNUMBER($F64),$F64&lt;FechaRef,N($L64)&lt;1),"Vencida"&amp;" · ","")&amp;IF(AND(ObsObligatoria="Sí",ISNUMBER($F64),$F64&lt;FechaRef,N($L64)&lt;1,$N64=""),"Vencida sin observación"&amp;" · ",""),LEN(IF(AND($S64="Macro",$B64=""),"Macroactividad vacía"&amp;" · ","")&amp;IF(AND($B64&lt;&gt;"",$C64&lt;&gt;""),"Escriba la subactividad en otra fila, debajo de su macroactividad"&amp;" · ","")&amp;IF(AND($S64="Sub",N($R64)=0),"Subactividad sin macroactividad arriba"&amp;" · ","")&amp;IF($D64="","Sin responsable"&amp;" · ","")&amp;IF($E64="","Sin fecha de inicio"&amp;" · ","")&amp;IF($F64="","Sin fecha límite"&amp;" · ","")&amp;IF(OR(AND($E64&lt;&gt;"",NOT(ISNUMBER($E64))),AND($F64&lt;&gt;"",NOT(ISNUMBER($F64)))),"Fecha no válida"&amp;" · ","")&amp;IF(AND(ISNUMBER($E64),ISNUMBER($F64),$E64&gt;$F64),"Inicio posterior a fecha límite"&amp;" · ","")&amp;IF(AND($S64="Macro",$G64=""),"Peso vacío"&amp;" · ","")&amp;IF(AND($S64="Macro",$G64&lt;&gt;"",OR(NOT(ISNUMBER($G64)),$G64&lt;=0,$G64&gt;1)),"Peso fuera de rango"&amp;" · ","")&amp;IF(AND($S64="Sub",$G64&lt;&gt;""),"Las subactividades no llevan peso"&amp;" · ","")&amp;IF(AND($S64="Macro",ABS(SUMIFS($G$5:$G$1000,$P$5:$P$1000,$P64,$S$5:$S$1000,"Macro")-1)&gt;0.0001),"Pesos del mes suman "&amp;TEXT(SUMIFS($G$5:$G$1000,$P$5:$P$1000,$P64,$S$5:$S$1000,"Macro"),"0%")&amp;" · ","")&amp;IF(AND(N($T64)&gt;0,COUNT($H64:$K64)&gt;0),"Con subactividades: deje vacías las semanas (se calculan solas)"&amp;" · ","")&amp;IF((COUNTIF($H64:$K64,"&gt;1")+COUNTIF($H64:$K64,"&lt;0")+COUNTA($H64:$K64)-COUNT($H64:$K64))&gt;0,"Avance fuera de rango 0-100%"&amp;" · ","")&amp;IF(OR(AND($I64&lt;&gt;"",$I64&lt;$H64),AND($J64&lt;&gt;"",$J64&lt;MAX($H64:$I64)),AND($K64&lt;&gt;"",$K64&lt;MAX($H64:$J64))),"Avance semanal decreciente"&amp;" · ","")&amp;IF(AND(ISNUMBER($F64),$F64&lt;FechaRef,N($L64)&lt;1),"Vencida"&amp;" · ","")&amp;IF(AND(ObsObligatoria="Sí",ISNUMBER($F64),$F64&lt;FechaRef,N($L64)&lt;1,$N64=""),"Vencida sin observación"&amp;" · ",""))-3)))</f>
        <v/>
      </c>
      <c r="P64" s="69">
        <f>IF(NOT((COUNTA($B64:$K64)+COUNTA($N64))&gt;0),"",IF(AND($S64="Sub",N($R64)&gt;0),IF(ISNUMBER(INDEX($E$5:$E$1000,$R64-4)),DATE(YEAR(INDEX($E$5:$E$1000,$R64-4)),MONTH(INDEX($E$5:$E$1000,$R64-4)),1),IF(ISNUMBER(INDEX($F$5:$F$1000,$R64-4)),DATE(YEAR(INDEX($F$5:$F$1000,$R64-4)),MONTH(INDEX($F$5:$F$1000,$R64-4)),1),MesCiclo)),IF(ISNUMBER($E64),DATE(YEAR($E64),MONTH($E64),1),IF(ISNUMBER($F64),DATE(YEAR($F64),MONTH($F64),1),MesCiclo))))</f>
        <v/>
      </c>
      <c r="Q64" s="70">
        <f>IF(OR($P64="",$P64&lt;&gt;MesCiclo),"",COUNTIF($P$5:$P64,MesCiclo))</f>
        <v/>
      </c>
      <c r="R64" s="70">
        <f>IF($S64="","",IF($S64="Macro",ROW(),IFERROR(LOOKUP(2,1/($S$5:$S64="Macro"),ROW($S$5:$S64)),0)))</f>
        <v/>
      </c>
      <c r="S64" s="70">
        <f>IF(NOT((COUNTA($B64:$K64)+COUNTA($N64))&gt;0),"",IF($B64&lt;&gt;"","Macro",IF($C64&lt;&gt;"","Sub","Macro")))</f>
        <v/>
      </c>
      <c r="T64" s="70">
        <f>IF($S64="Macro",COUNTIFS($R$5:$R$1000,ROW(),$S$5:$S$1000,"Sub"),"")</f>
        <v/>
      </c>
      <c r="U64" s="70">
        <f>IF($S64="","",IF(ISNUMBER($H64),$H64,0))</f>
        <v/>
      </c>
      <c r="V64" s="70">
        <f>IF($S64="","",IF(ISNUMBER($I64),$I64,$U64))</f>
        <v/>
      </c>
      <c r="W64" s="70">
        <f>IF($S64="","",IF(ISNUMBER($J64),$J64,$V64))</f>
        <v/>
      </c>
      <c r="X64" s="70">
        <f>IF($S64="","",IF(ISNUMBER($K64),$K64,$W64))</f>
        <v/>
      </c>
      <c r="Y64" s="70">
        <f>IF($S64="","",IF(N($T64)&gt;0,AVERAGEIFS($U$5:$U$1000,$R$5:$R$1000,ROW(),$S$5:$S$1000,"Sub"),$U64))</f>
        <v/>
      </c>
      <c r="Z64" s="70">
        <f>IF($S64="","",IF(N($T64)&gt;0,AVERAGEIFS($V$5:$V$1000,$R$5:$R$1000,ROW(),$S$5:$S$1000,"Sub"),$V64))</f>
        <v/>
      </c>
      <c r="AA64" s="70">
        <f>IF($S64="","",IF(N($T64)&gt;0,AVERAGEIFS($W$5:$W$1000,$R$5:$R$1000,ROW(),$S$5:$S$1000,"Sub"),$W64))</f>
        <v/>
      </c>
      <c r="AB64" s="70">
        <f>IF($S64="","",IF(N($T64)&gt;0,AVERAGEIFS($X$5:$X$1000,$R$5:$R$1000,ROW(),$S$5:$S$1000,"Sub"),$X64))</f>
        <v/>
      </c>
    </row>
    <row r="65">
      <c r="A65" s="61">
        <f>IF(NOT((COUNTA($B65:$K65)+COUNTA($N65))&gt;0),"",IF($S65="Macro",COUNTIFS($S$5:$S65,"Macro",$P$5:$P65,$P65),IF(N($R65)=0,"?",COUNTIFS(INDEX($S$5:$S$1000,1):INDEX($S$5:$S$1000,$R65-4),"Macro",INDEX($P$5:$P$1000,1):INDEX($P$5:$P$1000,$R65-4),INDEX($P$5:$P$1000,$R65-4))&amp;"."&amp;COUNTIFS($R$5:$R65,$R65,$S$5:$S65,"Sub"))))</f>
        <v/>
      </c>
      <c r="B65" s="62" t="n"/>
      <c r="C65" s="63" t="n"/>
      <c r="D65" s="62" t="n"/>
      <c r="E65" s="64" t="n"/>
      <c r="F65" s="64" t="n"/>
      <c r="G65" s="65" t="n"/>
      <c r="H65" s="66" t="n"/>
      <c r="I65" s="66" t="n"/>
      <c r="J65" s="66" t="n"/>
      <c r="K65" s="66" t="n"/>
      <c r="L65" s="67">
        <f>IF(NOT((COUNTA($B65:$K65)+COUNTA($N65))&gt;0),"",IF(N($T65)&gt;0,$AB65,IFERROR(LOOKUP(2,1/(H65:K65&lt;&gt;""),H65:K65),0)))</f>
        <v/>
      </c>
      <c r="M65" s="61">
        <f>IF(L65="","",IF(L65&gt;=1,"Completado",IF(L65&gt;0,"En curso","Pendiente")))</f>
        <v/>
      </c>
      <c r="N65" s="62" t="n"/>
      <c r="O65" s="68">
        <f>IF(NOT((COUNTA($B65:$K65)+COUNTA($N65))&gt;0),"",IF((IF(AND($S65="Macro",$B65=""),"Macroactividad vacía"&amp;" · ","")&amp;IF(AND($B65&lt;&gt;"",$C65&lt;&gt;""),"Escriba la subactividad en otra fila, debajo de su macroactividad"&amp;" · ","")&amp;IF(AND($S65="Sub",N($R65)=0),"Subactividad sin macroactividad arriba"&amp;" · ","")&amp;IF($D65="","Sin responsable"&amp;" · ","")&amp;IF($E65="","Sin fecha de inicio"&amp;" · ","")&amp;IF($F65="","Sin fecha límite"&amp;" · ","")&amp;IF(OR(AND($E65&lt;&gt;"",NOT(ISNUMBER($E65))),AND($F65&lt;&gt;"",NOT(ISNUMBER($F65)))),"Fecha no válida"&amp;" · ","")&amp;IF(AND(ISNUMBER($E65),ISNUMBER($F65),$E65&gt;$F65),"Inicio posterior a fecha límite"&amp;" · ","")&amp;IF(AND($S65="Macro",$G65=""),"Peso vacío"&amp;" · ","")&amp;IF(AND($S65="Macro",$G65&lt;&gt;"",OR(NOT(ISNUMBER($G65)),$G65&lt;=0,$G65&gt;1)),"Peso fuera de rango"&amp;" · ","")&amp;IF(AND($S65="Sub",$G65&lt;&gt;""),"Las subactividades no llevan peso"&amp;" · ","")&amp;IF(AND($S65="Macro",ABS(SUMIFS($G$5:$G$1000,$P$5:$P$1000,$P65,$S$5:$S$1000,"Macro")-1)&gt;0.0001),"Pesos del mes suman "&amp;TEXT(SUMIFS($G$5:$G$1000,$P$5:$P$1000,$P65,$S$5:$S$1000,"Macro"),"0%")&amp;" · ","")&amp;IF(AND(N($T65)&gt;0,COUNT($H65:$K65)&gt;0),"Con subactividades: deje vacías las semanas (se calculan solas)"&amp;" · ","")&amp;IF((COUNTIF($H65:$K65,"&gt;1")+COUNTIF($H65:$K65,"&lt;0")+COUNTA($H65:$K65)-COUNT($H65:$K65))&gt;0,"Avance fuera de rango 0-100%"&amp;" · ","")&amp;IF(OR(AND($I65&lt;&gt;"",$I65&lt;$H65),AND($J65&lt;&gt;"",$J65&lt;MAX($H65:$I65)),AND($K65&lt;&gt;"",$K65&lt;MAX($H65:$J65))),"Avance semanal decreciente"&amp;" · ","")&amp;IF(AND(ISNUMBER($F65),$F65&lt;FechaRef,N($L65)&lt;1),"Vencida"&amp;" · ","")&amp;IF(AND(ObsObligatoria="Sí",ISNUMBER($F65),$F65&lt;FechaRef,N($L65)&lt;1,$N65=""),"Vencida sin observación"&amp;" · ",""))="","✔ OK","⚠ "&amp;LEFT(IF(AND($S65="Macro",$B65=""),"Macroactividad vacía"&amp;" · ","")&amp;IF(AND($B65&lt;&gt;"",$C65&lt;&gt;""),"Escriba la subactividad en otra fila, debajo de su macroactividad"&amp;" · ","")&amp;IF(AND($S65="Sub",N($R65)=0),"Subactividad sin macroactividad arriba"&amp;" · ","")&amp;IF($D65="","Sin responsable"&amp;" · ","")&amp;IF($E65="","Sin fecha de inicio"&amp;" · ","")&amp;IF($F65="","Sin fecha límite"&amp;" · ","")&amp;IF(OR(AND($E65&lt;&gt;"",NOT(ISNUMBER($E65))),AND($F65&lt;&gt;"",NOT(ISNUMBER($F65)))),"Fecha no válida"&amp;" · ","")&amp;IF(AND(ISNUMBER($E65),ISNUMBER($F65),$E65&gt;$F65),"Inicio posterior a fecha límite"&amp;" · ","")&amp;IF(AND($S65="Macro",$G65=""),"Peso vacío"&amp;" · ","")&amp;IF(AND($S65="Macro",$G65&lt;&gt;"",OR(NOT(ISNUMBER($G65)),$G65&lt;=0,$G65&gt;1)),"Peso fuera de rango"&amp;" · ","")&amp;IF(AND($S65="Sub",$G65&lt;&gt;""),"Las subactividades no llevan peso"&amp;" · ","")&amp;IF(AND($S65="Macro",ABS(SUMIFS($G$5:$G$1000,$P$5:$P$1000,$P65,$S$5:$S$1000,"Macro")-1)&gt;0.0001),"Pesos del mes suman "&amp;TEXT(SUMIFS($G$5:$G$1000,$P$5:$P$1000,$P65,$S$5:$S$1000,"Macro"),"0%")&amp;" · ","")&amp;IF(AND(N($T65)&gt;0,COUNT($H65:$K65)&gt;0),"Con subactividades: deje vacías las semanas (se calculan solas)"&amp;" · ","")&amp;IF((COUNTIF($H65:$K65,"&gt;1")+COUNTIF($H65:$K65,"&lt;0")+COUNTA($H65:$K65)-COUNT($H65:$K65))&gt;0,"Avance fuera de rango 0-100%"&amp;" · ","")&amp;IF(OR(AND($I65&lt;&gt;"",$I65&lt;$H65),AND($J65&lt;&gt;"",$J65&lt;MAX($H65:$I65)),AND($K65&lt;&gt;"",$K65&lt;MAX($H65:$J65))),"Avance semanal decreciente"&amp;" · ","")&amp;IF(AND(ISNUMBER($F65),$F65&lt;FechaRef,N($L65)&lt;1),"Vencida"&amp;" · ","")&amp;IF(AND(ObsObligatoria="Sí",ISNUMBER($F65),$F65&lt;FechaRef,N($L65)&lt;1,$N65=""),"Vencida sin observación"&amp;" · ",""),LEN(IF(AND($S65="Macro",$B65=""),"Macroactividad vacía"&amp;" · ","")&amp;IF(AND($B65&lt;&gt;"",$C65&lt;&gt;""),"Escriba la subactividad en otra fila, debajo de su macroactividad"&amp;" · ","")&amp;IF(AND($S65="Sub",N($R65)=0),"Subactividad sin macroactividad arriba"&amp;" · ","")&amp;IF($D65="","Sin responsable"&amp;" · ","")&amp;IF($E65="","Sin fecha de inicio"&amp;" · ","")&amp;IF($F65="","Sin fecha límite"&amp;" · ","")&amp;IF(OR(AND($E65&lt;&gt;"",NOT(ISNUMBER($E65))),AND($F65&lt;&gt;"",NOT(ISNUMBER($F65)))),"Fecha no válida"&amp;" · ","")&amp;IF(AND(ISNUMBER($E65),ISNUMBER($F65),$E65&gt;$F65),"Inicio posterior a fecha límite"&amp;" · ","")&amp;IF(AND($S65="Macro",$G65=""),"Peso vacío"&amp;" · ","")&amp;IF(AND($S65="Macro",$G65&lt;&gt;"",OR(NOT(ISNUMBER($G65)),$G65&lt;=0,$G65&gt;1)),"Peso fuera de rango"&amp;" · ","")&amp;IF(AND($S65="Sub",$G65&lt;&gt;""),"Las subactividades no llevan peso"&amp;" · ","")&amp;IF(AND($S65="Macro",ABS(SUMIFS($G$5:$G$1000,$P$5:$P$1000,$P65,$S$5:$S$1000,"Macro")-1)&gt;0.0001),"Pesos del mes suman "&amp;TEXT(SUMIFS($G$5:$G$1000,$P$5:$P$1000,$P65,$S$5:$S$1000,"Macro"),"0%")&amp;" · ","")&amp;IF(AND(N($T65)&gt;0,COUNT($H65:$K65)&gt;0),"Con subactividades: deje vacías las semanas (se calculan solas)"&amp;" · ","")&amp;IF((COUNTIF($H65:$K65,"&gt;1")+COUNTIF($H65:$K65,"&lt;0")+COUNTA($H65:$K65)-COUNT($H65:$K65))&gt;0,"Avance fuera de rango 0-100%"&amp;" · ","")&amp;IF(OR(AND($I65&lt;&gt;"",$I65&lt;$H65),AND($J65&lt;&gt;"",$J65&lt;MAX($H65:$I65)),AND($K65&lt;&gt;"",$K65&lt;MAX($H65:$J65))),"Avance semanal decreciente"&amp;" · ","")&amp;IF(AND(ISNUMBER($F65),$F65&lt;FechaRef,N($L65)&lt;1),"Vencida"&amp;" · ","")&amp;IF(AND(ObsObligatoria="Sí",ISNUMBER($F65),$F65&lt;FechaRef,N($L65)&lt;1,$N65=""),"Vencida sin observación"&amp;" · ",""))-3)))</f>
        <v/>
      </c>
      <c r="P65" s="69">
        <f>IF(NOT((COUNTA($B65:$K65)+COUNTA($N65))&gt;0),"",IF(AND($S65="Sub",N($R65)&gt;0),IF(ISNUMBER(INDEX($E$5:$E$1000,$R65-4)),DATE(YEAR(INDEX($E$5:$E$1000,$R65-4)),MONTH(INDEX($E$5:$E$1000,$R65-4)),1),IF(ISNUMBER(INDEX($F$5:$F$1000,$R65-4)),DATE(YEAR(INDEX($F$5:$F$1000,$R65-4)),MONTH(INDEX($F$5:$F$1000,$R65-4)),1),MesCiclo)),IF(ISNUMBER($E65),DATE(YEAR($E65),MONTH($E65),1),IF(ISNUMBER($F65),DATE(YEAR($F65),MONTH($F65),1),MesCiclo))))</f>
        <v/>
      </c>
      <c r="Q65" s="70">
        <f>IF(OR($P65="",$P65&lt;&gt;MesCiclo),"",COUNTIF($P$5:$P65,MesCiclo))</f>
        <v/>
      </c>
      <c r="R65" s="70">
        <f>IF($S65="","",IF($S65="Macro",ROW(),IFERROR(LOOKUP(2,1/($S$5:$S65="Macro"),ROW($S$5:$S65)),0)))</f>
        <v/>
      </c>
      <c r="S65" s="70">
        <f>IF(NOT((COUNTA($B65:$K65)+COUNTA($N65))&gt;0),"",IF($B65&lt;&gt;"","Macro",IF($C65&lt;&gt;"","Sub","Macro")))</f>
        <v/>
      </c>
      <c r="T65" s="70">
        <f>IF($S65="Macro",COUNTIFS($R$5:$R$1000,ROW(),$S$5:$S$1000,"Sub"),"")</f>
        <v/>
      </c>
      <c r="U65" s="70">
        <f>IF($S65="","",IF(ISNUMBER($H65),$H65,0))</f>
        <v/>
      </c>
      <c r="V65" s="70">
        <f>IF($S65="","",IF(ISNUMBER($I65),$I65,$U65))</f>
        <v/>
      </c>
      <c r="W65" s="70">
        <f>IF($S65="","",IF(ISNUMBER($J65),$J65,$V65))</f>
        <v/>
      </c>
      <c r="X65" s="70">
        <f>IF($S65="","",IF(ISNUMBER($K65),$K65,$W65))</f>
        <v/>
      </c>
      <c r="Y65" s="70">
        <f>IF($S65="","",IF(N($T65)&gt;0,AVERAGEIFS($U$5:$U$1000,$R$5:$R$1000,ROW(),$S$5:$S$1000,"Sub"),$U65))</f>
        <v/>
      </c>
      <c r="Z65" s="70">
        <f>IF($S65="","",IF(N($T65)&gt;0,AVERAGEIFS($V$5:$V$1000,$R$5:$R$1000,ROW(),$S$5:$S$1000,"Sub"),$V65))</f>
        <v/>
      </c>
      <c r="AA65" s="70">
        <f>IF($S65="","",IF(N($T65)&gt;0,AVERAGEIFS($W$5:$W$1000,$R$5:$R$1000,ROW(),$S$5:$S$1000,"Sub"),$W65))</f>
        <v/>
      </c>
      <c r="AB65" s="70">
        <f>IF($S65="","",IF(N($T65)&gt;0,AVERAGEIFS($X$5:$X$1000,$R$5:$R$1000,ROW(),$S$5:$S$1000,"Sub"),$X65))</f>
        <v/>
      </c>
    </row>
    <row r="66">
      <c r="A66" s="61">
        <f>IF(NOT((COUNTA($B66:$K66)+COUNTA($N66))&gt;0),"",IF($S66="Macro",COUNTIFS($S$5:$S66,"Macro",$P$5:$P66,$P66),IF(N($R66)=0,"?",COUNTIFS(INDEX($S$5:$S$1000,1):INDEX($S$5:$S$1000,$R66-4),"Macro",INDEX($P$5:$P$1000,1):INDEX($P$5:$P$1000,$R66-4),INDEX($P$5:$P$1000,$R66-4))&amp;"."&amp;COUNTIFS($R$5:$R66,$R66,$S$5:$S66,"Sub"))))</f>
        <v/>
      </c>
      <c r="B66" s="62" t="n"/>
      <c r="C66" s="63" t="n"/>
      <c r="D66" s="62" t="n"/>
      <c r="E66" s="64" t="n"/>
      <c r="F66" s="64" t="n"/>
      <c r="G66" s="65" t="n"/>
      <c r="H66" s="66" t="n"/>
      <c r="I66" s="66" t="n"/>
      <c r="J66" s="66" t="n"/>
      <c r="K66" s="66" t="n"/>
      <c r="L66" s="67">
        <f>IF(NOT((COUNTA($B66:$K66)+COUNTA($N66))&gt;0),"",IF(N($T66)&gt;0,$AB66,IFERROR(LOOKUP(2,1/(H66:K66&lt;&gt;""),H66:K66),0)))</f>
        <v/>
      </c>
      <c r="M66" s="61">
        <f>IF(L66="","",IF(L66&gt;=1,"Completado",IF(L66&gt;0,"En curso","Pendiente")))</f>
        <v/>
      </c>
      <c r="N66" s="62" t="n"/>
      <c r="O66" s="68">
        <f>IF(NOT((COUNTA($B66:$K66)+COUNTA($N66))&gt;0),"",IF((IF(AND($S66="Macro",$B66=""),"Macroactividad vacía"&amp;" · ","")&amp;IF(AND($B66&lt;&gt;"",$C66&lt;&gt;""),"Escriba la subactividad en otra fila, debajo de su macroactividad"&amp;" · ","")&amp;IF(AND($S66="Sub",N($R66)=0),"Subactividad sin macroactividad arriba"&amp;" · ","")&amp;IF($D66="","Sin responsable"&amp;" · ","")&amp;IF($E66="","Sin fecha de inicio"&amp;" · ","")&amp;IF($F66="","Sin fecha límite"&amp;" · ","")&amp;IF(OR(AND($E66&lt;&gt;"",NOT(ISNUMBER($E66))),AND($F66&lt;&gt;"",NOT(ISNUMBER($F66)))),"Fecha no válida"&amp;" · ","")&amp;IF(AND(ISNUMBER($E66),ISNUMBER($F66),$E66&gt;$F66),"Inicio posterior a fecha límite"&amp;" · ","")&amp;IF(AND($S66="Macro",$G66=""),"Peso vacío"&amp;" · ","")&amp;IF(AND($S66="Macro",$G66&lt;&gt;"",OR(NOT(ISNUMBER($G66)),$G66&lt;=0,$G66&gt;1)),"Peso fuera de rango"&amp;" · ","")&amp;IF(AND($S66="Sub",$G66&lt;&gt;""),"Las subactividades no llevan peso"&amp;" · ","")&amp;IF(AND($S66="Macro",ABS(SUMIFS($G$5:$G$1000,$P$5:$P$1000,$P66,$S$5:$S$1000,"Macro")-1)&gt;0.0001),"Pesos del mes suman "&amp;TEXT(SUMIFS($G$5:$G$1000,$P$5:$P$1000,$P66,$S$5:$S$1000,"Macro"),"0%")&amp;" · ","")&amp;IF(AND(N($T66)&gt;0,COUNT($H66:$K66)&gt;0),"Con subactividades: deje vacías las semanas (se calculan solas)"&amp;" · ","")&amp;IF((COUNTIF($H66:$K66,"&gt;1")+COUNTIF($H66:$K66,"&lt;0")+COUNTA($H66:$K66)-COUNT($H66:$K66))&gt;0,"Avance fuera de rango 0-100%"&amp;" · ","")&amp;IF(OR(AND($I66&lt;&gt;"",$I66&lt;$H66),AND($J66&lt;&gt;"",$J66&lt;MAX($H66:$I66)),AND($K66&lt;&gt;"",$K66&lt;MAX($H66:$J66))),"Avance semanal decreciente"&amp;" · ","")&amp;IF(AND(ISNUMBER($F66),$F66&lt;FechaRef,N($L66)&lt;1),"Vencida"&amp;" · ","")&amp;IF(AND(ObsObligatoria="Sí",ISNUMBER($F66),$F66&lt;FechaRef,N($L66)&lt;1,$N66=""),"Vencida sin observación"&amp;" · ",""))="","✔ OK","⚠ "&amp;LEFT(IF(AND($S66="Macro",$B66=""),"Macroactividad vacía"&amp;" · ","")&amp;IF(AND($B66&lt;&gt;"",$C66&lt;&gt;""),"Escriba la subactividad en otra fila, debajo de su macroactividad"&amp;" · ","")&amp;IF(AND($S66="Sub",N($R66)=0),"Subactividad sin macroactividad arriba"&amp;" · ","")&amp;IF($D66="","Sin responsable"&amp;" · ","")&amp;IF($E66="","Sin fecha de inicio"&amp;" · ","")&amp;IF($F66="","Sin fecha límite"&amp;" · ","")&amp;IF(OR(AND($E66&lt;&gt;"",NOT(ISNUMBER($E66))),AND($F66&lt;&gt;"",NOT(ISNUMBER($F66)))),"Fecha no válida"&amp;" · ","")&amp;IF(AND(ISNUMBER($E66),ISNUMBER($F66),$E66&gt;$F66),"Inicio posterior a fecha límite"&amp;" · ","")&amp;IF(AND($S66="Macro",$G66=""),"Peso vacío"&amp;" · ","")&amp;IF(AND($S66="Macro",$G66&lt;&gt;"",OR(NOT(ISNUMBER($G66)),$G66&lt;=0,$G66&gt;1)),"Peso fuera de rango"&amp;" · ","")&amp;IF(AND($S66="Sub",$G66&lt;&gt;""),"Las subactividades no llevan peso"&amp;" · ","")&amp;IF(AND($S66="Macro",ABS(SUMIFS($G$5:$G$1000,$P$5:$P$1000,$P66,$S$5:$S$1000,"Macro")-1)&gt;0.0001),"Pesos del mes suman "&amp;TEXT(SUMIFS($G$5:$G$1000,$P$5:$P$1000,$P66,$S$5:$S$1000,"Macro"),"0%")&amp;" · ","")&amp;IF(AND(N($T66)&gt;0,COUNT($H66:$K66)&gt;0),"Con subactividades: deje vacías las semanas (se calculan solas)"&amp;" · ","")&amp;IF((COUNTIF($H66:$K66,"&gt;1")+COUNTIF($H66:$K66,"&lt;0")+COUNTA($H66:$K66)-COUNT($H66:$K66))&gt;0,"Avance fuera de rango 0-100%"&amp;" · ","")&amp;IF(OR(AND($I66&lt;&gt;"",$I66&lt;$H66),AND($J66&lt;&gt;"",$J66&lt;MAX($H66:$I66)),AND($K66&lt;&gt;"",$K66&lt;MAX($H66:$J66))),"Avance semanal decreciente"&amp;" · ","")&amp;IF(AND(ISNUMBER($F66),$F66&lt;FechaRef,N($L66)&lt;1),"Vencida"&amp;" · ","")&amp;IF(AND(ObsObligatoria="Sí",ISNUMBER($F66),$F66&lt;FechaRef,N($L66)&lt;1,$N66=""),"Vencida sin observación"&amp;" · ",""),LEN(IF(AND($S66="Macro",$B66=""),"Macroactividad vacía"&amp;" · ","")&amp;IF(AND($B66&lt;&gt;"",$C66&lt;&gt;""),"Escriba la subactividad en otra fila, debajo de su macroactividad"&amp;" · ","")&amp;IF(AND($S66="Sub",N($R66)=0),"Subactividad sin macroactividad arriba"&amp;" · ","")&amp;IF($D66="","Sin responsable"&amp;" · ","")&amp;IF($E66="","Sin fecha de inicio"&amp;" · ","")&amp;IF($F66="","Sin fecha límite"&amp;" · ","")&amp;IF(OR(AND($E66&lt;&gt;"",NOT(ISNUMBER($E66))),AND($F66&lt;&gt;"",NOT(ISNUMBER($F66)))),"Fecha no válida"&amp;" · ","")&amp;IF(AND(ISNUMBER($E66),ISNUMBER($F66),$E66&gt;$F66),"Inicio posterior a fecha límite"&amp;" · ","")&amp;IF(AND($S66="Macro",$G66=""),"Peso vacío"&amp;" · ","")&amp;IF(AND($S66="Macro",$G66&lt;&gt;"",OR(NOT(ISNUMBER($G66)),$G66&lt;=0,$G66&gt;1)),"Peso fuera de rango"&amp;" · ","")&amp;IF(AND($S66="Sub",$G66&lt;&gt;""),"Las subactividades no llevan peso"&amp;" · ","")&amp;IF(AND($S66="Macro",ABS(SUMIFS($G$5:$G$1000,$P$5:$P$1000,$P66,$S$5:$S$1000,"Macro")-1)&gt;0.0001),"Pesos del mes suman "&amp;TEXT(SUMIFS($G$5:$G$1000,$P$5:$P$1000,$P66,$S$5:$S$1000,"Macro"),"0%")&amp;" · ","")&amp;IF(AND(N($T66)&gt;0,COUNT($H66:$K66)&gt;0),"Con subactividades: deje vacías las semanas (se calculan solas)"&amp;" · ","")&amp;IF((COUNTIF($H66:$K66,"&gt;1")+COUNTIF($H66:$K66,"&lt;0")+COUNTA($H66:$K66)-COUNT($H66:$K66))&gt;0,"Avance fuera de rango 0-100%"&amp;" · ","")&amp;IF(OR(AND($I66&lt;&gt;"",$I66&lt;$H66),AND($J66&lt;&gt;"",$J66&lt;MAX($H66:$I66)),AND($K66&lt;&gt;"",$K66&lt;MAX($H66:$J66))),"Avance semanal decreciente"&amp;" · ","")&amp;IF(AND(ISNUMBER($F66),$F66&lt;FechaRef,N($L66)&lt;1),"Vencida"&amp;" · ","")&amp;IF(AND(ObsObligatoria="Sí",ISNUMBER($F66),$F66&lt;FechaRef,N($L66)&lt;1,$N66=""),"Vencida sin observación"&amp;" · ",""))-3)))</f>
        <v/>
      </c>
      <c r="P66" s="69">
        <f>IF(NOT((COUNTA($B66:$K66)+COUNTA($N66))&gt;0),"",IF(AND($S66="Sub",N($R66)&gt;0),IF(ISNUMBER(INDEX($E$5:$E$1000,$R66-4)),DATE(YEAR(INDEX($E$5:$E$1000,$R66-4)),MONTH(INDEX($E$5:$E$1000,$R66-4)),1),IF(ISNUMBER(INDEX($F$5:$F$1000,$R66-4)),DATE(YEAR(INDEX($F$5:$F$1000,$R66-4)),MONTH(INDEX($F$5:$F$1000,$R66-4)),1),MesCiclo)),IF(ISNUMBER($E66),DATE(YEAR($E66),MONTH($E66),1),IF(ISNUMBER($F66),DATE(YEAR($F66),MONTH($F66),1),MesCiclo))))</f>
        <v/>
      </c>
      <c r="Q66" s="70">
        <f>IF(OR($P66="",$P66&lt;&gt;MesCiclo),"",COUNTIF($P$5:$P66,MesCiclo))</f>
        <v/>
      </c>
      <c r="R66" s="70">
        <f>IF($S66="","",IF($S66="Macro",ROW(),IFERROR(LOOKUP(2,1/($S$5:$S66="Macro"),ROW($S$5:$S66)),0)))</f>
        <v/>
      </c>
      <c r="S66" s="70">
        <f>IF(NOT((COUNTA($B66:$K66)+COUNTA($N66))&gt;0),"",IF($B66&lt;&gt;"","Macro",IF($C66&lt;&gt;"","Sub","Macro")))</f>
        <v/>
      </c>
      <c r="T66" s="70">
        <f>IF($S66="Macro",COUNTIFS($R$5:$R$1000,ROW(),$S$5:$S$1000,"Sub"),"")</f>
        <v/>
      </c>
      <c r="U66" s="70">
        <f>IF($S66="","",IF(ISNUMBER($H66),$H66,0))</f>
        <v/>
      </c>
      <c r="V66" s="70">
        <f>IF($S66="","",IF(ISNUMBER($I66),$I66,$U66))</f>
        <v/>
      </c>
      <c r="W66" s="70">
        <f>IF($S66="","",IF(ISNUMBER($J66),$J66,$V66))</f>
        <v/>
      </c>
      <c r="X66" s="70">
        <f>IF($S66="","",IF(ISNUMBER($K66),$K66,$W66))</f>
        <v/>
      </c>
      <c r="Y66" s="70">
        <f>IF($S66="","",IF(N($T66)&gt;0,AVERAGEIFS($U$5:$U$1000,$R$5:$R$1000,ROW(),$S$5:$S$1000,"Sub"),$U66))</f>
        <v/>
      </c>
      <c r="Z66" s="70">
        <f>IF($S66="","",IF(N($T66)&gt;0,AVERAGEIFS($V$5:$V$1000,$R$5:$R$1000,ROW(),$S$5:$S$1000,"Sub"),$V66))</f>
        <v/>
      </c>
      <c r="AA66" s="70">
        <f>IF($S66="","",IF(N($T66)&gt;0,AVERAGEIFS($W$5:$W$1000,$R$5:$R$1000,ROW(),$S$5:$S$1000,"Sub"),$W66))</f>
        <v/>
      </c>
      <c r="AB66" s="70">
        <f>IF($S66="","",IF(N($T66)&gt;0,AVERAGEIFS($X$5:$X$1000,$R$5:$R$1000,ROW(),$S$5:$S$1000,"Sub"),$X66))</f>
        <v/>
      </c>
    </row>
    <row r="67">
      <c r="A67" s="61">
        <f>IF(NOT((COUNTA($B67:$K67)+COUNTA($N67))&gt;0),"",IF($S67="Macro",COUNTIFS($S$5:$S67,"Macro",$P$5:$P67,$P67),IF(N($R67)=0,"?",COUNTIFS(INDEX($S$5:$S$1000,1):INDEX($S$5:$S$1000,$R67-4),"Macro",INDEX($P$5:$P$1000,1):INDEX($P$5:$P$1000,$R67-4),INDEX($P$5:$P$1000,$R67-4))&amp;"."&amp;COUNTIFS($R$5:$R67,$R67,$S$5:$S67,"Sub"))))</f>
        <v/>
      </c>
      <c r="B67" s="62" t="n"/>
      <c r="C67" s="63" t="n"/>
      <c r="D67" s="62" t="n"/>
      <c r="E67" s="64" t="n"/>
      <c r="F67" s="64" t="n"/>
      <c r="G67" s="65" t="n"/>
      <c r="H67" s="66" t="n"/>
      <c r="I67" s="66" t="n"/>
      <c r="J67" s="66" t="n"/>
      <c r="K67" s="66" t="n"/>
      <c r="L67" s="67">
        <f>IF(NOT((COUNTA($B67:$K67)+COUNTA($N67))&gt;0),"",IF(N($T67)&gt;0,$AB67,IFERROR(LOOKUP(2,1/(H67:K67&lt;&gt;""),H67:K67),0)))</f>
        <v/>
      </c>
      <c r="M67" s="61">
        <f>IF(L67="","",IF(L67&gt;=1,"Completado",IF(L67&gt;0,"En curso","Pendiente")))</f>
        <v/>
      </c>
      <c r="N67" s="62" t="n"/>
      <c r="O67" s="68">
        <f>IF(NOT((COUNTA($B67:$K67)+COUNTA($N67))&gt;0),"",IF((IF(AND($S67="Macro",$B67=""),"Macroactividad vacía"&amp;" · ","")&amp;IF(AND($B67&lt;&gt;"",$C67&lt;&gt;""),"Escriba la subactividad en otra fila, debajo de su macroactividad"&amp;" · ","")&amp;IF(AND($S67="Sub",N($R67)=0),"Subactividad sin macroactividad arriba"&amp;" · ","")&amp;IF($D67="","Sin responsable"&amp;" · ","")&amp;IF($E67="","Sin fecha de inicio"&amp;" · ","")&amp;IF($F67="","Sin fecha límite"&amp;" · ","")&amp;IF(OR(AND($E67&lt;&gt;"",NOT(ISNUMBER($E67))),AND($F67&lt;&gt;"",NOT(ISNUMBER($F67)))),"Fecha no válida"&amp;" · ","")&amp;IF(AND(ISNUMBER($E67),ISNUMBER($F67),$E67&gt;$F67),"Inicio posterior a fecha límite"&amp;" · ","")&amp;IF(AND($S67="Macro",$G67=""),"Peso vacío"&amp;" · ","")&amp;IF(AND($S67="Macro",$G67&lt;&gt;"",OR(NOT(ISNUMBER($G67)),$G67&lt;=0,$G67&gt;1)),"Peso fuera de rango"&amp;" · ","")&amp;IF(AND($S67="Sub",$G67&lt;&gt;""),"Las subactividades no llevan peso"&amp;" · ","")&amp;IF(AND($S67="Macro",ABS(SUMIFS($G$5:$G$1000,$P$5:$P$1000,$P67,$S$5:$S$1000,"Macro")-1)&gt;0.0001),"Pesos del mes suman "&amp;TEXT(SUMIFS($G$5:$G$1000,$P$5:$P$1000,$P67,$S$5:$S$1000,"Macro"),"0%")&amp;" · ","")&amp;IF(AND(N($T67)&gt;0,COUNT($H67:$K67)&gt;0),"Con subactividades: deje vacías las semanas (se calculan solas)"&amp;" · ","")&amp;IF((COUNTIF($H67:$K67,"&gt;1")+COUNTIF($H67:$K67,"&lt;0")+COUNTA($H67:$K67)-COUNT($H67:$K67))&gt;0,"Avance fuera de rango 0-100%"&amp;" · ","")&amp;IF(OR(AND($I67&lt;&gt;"",$I67&lt;$H67),AND($J67&lt;&gt;"",$J67&lt;MAX($H67:$I67)),AND($K67&lt;&gt;"",$K67&lt;MAX($H67:$J67))),"Avance semanal decreciente"&amp;" · ","")&amp;IF(AND(ISNUMBER($F67),$F67&lt;FechaRef,N($L67)&lt;1),"Vencida"&amp;" · ","")&amp;IF(AND(ObsObligatoria="Sí",ISNUMBER($F67),$F67&lt;FechaRef,N($L67)&lt;1,$N67=""),"Vencida sin observación"&amp;" · ",""))="","✔ OK","⚠ "&amp;LEFT(IF(AND($S67="Macro",$B67=""),"Macroactividad vacía"&amp;" · ","")&amp;IF(AND($B67&lt;&gt;"",$C67&lt;&gt;""),"Escriba la subactividad en otra fila, debajo de su macroactividad"&amp;" · ","")&amp;IF(AND($S67="Sub",N($R67)=0),"Subactividad sin macroactividad arriba"&amp;" · ","")&amp;IF($D67="","Sin responsable"&amp;" · ","")&amp;IF($E67="","Sin fecha de inicio"&amp;" · ","")&amp;IF($F67="","Sin fecha límite"&amp;" · ","")&amp;IF(OR(AND($E67&lt;&gt;"",NOT(ISNUMBER($E67))),AND($F67&lt;&gt;"",NOT(ISNUMBER($F67)))),"Fecha no válida"&amp;" · ","")&amp;IF(AND(ISNUMBER($E67),ISNUMBER($F67),$E67&gt;$F67),"Inicio posterior a fecha límite"&amp;" · ","")&amp;IF(AND($S67="Macro",$G67=""),"Peso vacío"&amp;" · ","")&amp;IF(AND($S67="Macro",$G67&lt;&gt;"",OR(NOT(ISNUMBER($G67)),$G67&lt;=0,$G67&gt;1)),"Peso fuera de rango"&amp;" · ","")&amp;IF(AND($S67="Sub",$G67&lt;&gt;""),"Las subactividades no llevan peso"&amp;" · ","")&amp;IF(AND($S67="Macro",ABS(SUMIFS($G$5:$G$1000,$P$5:$P$1000,$P67,$S$5:$S$1000,"Macro")-1)&gt;0.0001),"Pesos del mes suman "&amp;TEXT(SUMIFS($G$5:$G$1000,$P$5:$P$1000,$P67,$S$5:$S$1000,"Macro"),"0%")&amp;" · ","")&amp;IF(AND(N($T67)&gt;0,COUNT($H67:$K67)&gt;0),"Con subactividades: deje vacías las semanas (se calculan solas)"&amp;" · ","")&amp;IF((COUNTIF($H67:$K67,"&gt;1")+COUNTIF($H67:$K67,"&lt;0")+COUNTA($H67:$K67)-COUNT($H67:$K67))&gt;0,"Avance fuera de rango 0-100%"&amp;" · ","")&amp;IF(OR(AND($I67&lt;&gt;"",$I67&lt;$H67),AND($J67&lt;&gt;"",$J67&lt;MAX($H67:$I67)),AND($K67&lt;&gt;"",$K67&lt;MAX($H67:$J67))),"Avance semanal decreciente"&amp;" · ","")&amp;IF(AND(ISNUMBER($F67),$F67&lt;FechaRef,N($L67)&lt;1),"Vencida"&amp;" · ","")&amp;IF(AND(ObsObligatoria="Sí",ISNUMBER($F67),$F67&lt;FechaRef,N($L67)&lt;1,$N67=""),"Vencida sin observación"&amp;" · ",""),LEN(IF(AND($S67="Macro",$B67=""),"Macroactividad vacía"&amp;" · ","")&amp;IF(AND($B67&lt;&gt;"",$C67&lt;&gt;""),"Escriba la subactividad en otra fila, debajo de su macroactividad"&amp;" · ","")&amp;IF(AND($S67="Sub",N($R67)=0),"Subactividad sin macroactividad arriba"&amp;" · ","")&amp;IF($D67="","Sin responsable"&amp;" · ","")&amp;IF($E67="","Sin fecha de inicio"&amp;" · ","")&amp;IF($F67="","Sin fecha límite"&amp;" · ","")&amp;IF(OR(AND($E67&lt;&gt;"",NOT(ISNUMBER($E67))),AND($F67&lt;&gt;"",NOT(ISNUMBER($F67)))),"Fecha no válida"&amp;" · ","")&amp;IF(AND(ISNUMBER($E67),ISNUMBER($F67),$E67&gt;$F67),"Inicio posterior a fecha límite"&amp;" · ","")&amp;IF(AND($S67="Macro",$G67=""),"Peso vacío"&amp;" · ","")&amp;IF(AND($S67="Macro",$G67&lt;&gt;"",OR(NOT(ISNUMBER($G67)),$G67&lt;=0,$G67&gt;1)),"Peso fuera de rango"&amp;" · ","")&amp;IF(AND($S67="Sub",$G67&lt;&gt;""),"Las subactividades no llevan peso"&amp;" · ","")&amp;IF(AND($S67="Macro",ABS(SUMIFS($G$5:$G$1000,$P$5:$P$1000,$P67,$S$5:$S$1000,"Macro")-1)&gt;0.0001),"Pesos del mes suman "&amp;TEXT(SUMIFS($G$5:$G$1000,$P$5:$P$1000,$P67,$S$5:$S$1000,"Macro"),"0%")&amp;" · ","")&amp;IF(AND(N($T67)&gt;0,COUNT($H67:$K67)&gt;0),"Con subactividades: deje vacías las semanas (se calculan solas)"&amp;" · ","")&amp;IF((COUNTIF($H67:$K67,"&gt;1")+COUNTIF($H67:$K67,"&lt;0")+COUNTA($H67:$K67)-COUNT($H67:$K67))&gt;0,"Avance fuera de rango 0-100%"&amp;" · ","")&amp;IF(OR(AND($I67&lt;&gt;"",$I67&lt;$H67),AND($J67&lt;&gt;"",$J67&lt;MAX($H67:$I67)),AND($K67&lt;&gt;"",$K67&lt;MAX($H67:$J67))),"Avance semanal decreciente"&amp;" · ","")&amp;IF(AND(ISNUMBER($F67),$F67&lt;FechaRef,N($L67)&lt;1),"Vencida"&amp;" · ","")&amp;IF(AND(ObsObligatoria="Sí",ISNUMBER($F67),$F67&lt;FechaRef,N($L67)&lt;1,$N67=""),"Vencida sin observación"&amp;" · ",""))-3)))</f>
        <v/>
      </c>
      <c r="P67" s="69">
        <f>IF(NOT((COUNTA($B67:$K67)+COUNTA($N67))&gt;0),"",IF(AND($S67="Sub",N($R67)&gt;0),IF(ISNUMBER(INDEX($E$5:$E$1000,$R67-4)),DATE(YEAR(INDEX($E$5:$E$1000,$R67-4)),MONTH(INDEX($E$5:$E$1000,$R67-4)),1),IF(ISNUMBER(INDEX($F$5:$F$1000,$R67-4)),DATE(YEAR(INDEX($F$5:$F$1000,$R67-4)),MONTH(INDEX($F$5:$F$1000,$R67-4)),1),MesCiclo)),IF(ISNUMBER($E67),DATE(YEAR($E67),MONTH($E67),1),IF(ISNUMBER($F67),DATE(YEAR($F67),MONTH($F67),1),MesCiclo))))</f>
        <v/>
      </c>
      <c r="Q67" s="70">
        <f>IF(OR($P67="",$P67&lt;&gt;MesCiclo),"",COUNTIF($P$5:$P67,MesCiclo))</f>
        <v/>
      </c>
      <c r="R67" s="70">
        <f>IF($S67="","",IF($S67="Macro",ROW(),IFERROR(LOOKUP(2,1/($S$5:$S67="Macro"),ROW($S$5:$S67)),0)))</f>
        <v/>
      </c>
      <c r="S67" s="70">
        <f>IF(NOT((COUNTA($B67:$K67)+COUNTA($N67))&gt;0),"",IF($B67&lt;&gt;"","Macro",IF($C67&lt;&gt;"","Sub","Macro")))</f>
        <v/>
      </c>
      <c r="T67" s="70">
        <f>IF($S67="Macro",COUNTIFS($R$5:$R$1000,ROW(),$S$5:$S$1000,"Sub"),"")</f>
        <v/>
      </c>
      <c r="U67" s="70">
        <f>IF($S67="","",IF(ISNUMBER($H67),$H67,0))</f>
        <v/>
      </c>
      <c r="V67" s="70">
        <f>IF($S67="","",IF(ISNUMBER($I67),$I67,$U67))</f>
        <v/>
      </c>
      <c r="W67" s="70">
        <f>IF($S67="","",IF(ISNUMBER($J67),$J67,$V67))</f>
        <v/>
      </c>
      <c r="X67" s="70">
        <f>IF($S67="","",IF(ISNUMBER($K67),$K67,$W67))</f>
        <v/>
      </c>
      <c r="Y67" s="70">
        <f>IF($S67="","",IF(N($T67)&gt;0,AVERAGEIFS($U$5:$U$1000,$R$5:$R$1000,ROW(),$S$5:$S$1000,"Sub"),$U67))</f>
        <v/>
      </c>
      <c r="Z67" s="70">
        <f>IF($S67="","",IF(N($T67)&gt;0,AVERAGEIFS($V$5:$V$1000,$R$5:$R$1000,ROW(),$S$5:$S$1000,"Sub"),$V67))</f>
        <v/>
      </c>
      <c r="AA67" s="70">
        <f>IF($S67="","",IF(N($T67)&gt;0,AVERAGEIFS($W$5:$W$1000,$R$5:$R$1000,ROW(),$S$5:$S$1000,"Sub"),$W67))</f>
        <v/>
      </c>
      <c r="AB67" s="70">
        <f>IF($S67="","",IF(N($T67)&gt;0,AVERAGEIFS($X$5:$X$1000,$R$5:$R$1000,ROW(),$S$5:$S$1000,"Sub"),$X67))</f>
        <v/>
      </c>
    </row>
    <row r="68">
      <c r="A68" s="61">
        <f>IF(NOT((COUNTA($B68:$K68)+COUNTA($N68))&gt;0),"",IF($S68="Macro",COUNTIFS($S$5:$S68,"Macro",$P$5:$P68,$P68),IF(N($R68)=0,"?",COUNTIFS(INDEX($S$5:$S$1000,1):INDEX($S$5:$S$1000,$R68-4),"Macro",INDEX($P$5:$P$1000,1):INDEX($P$5:$P$1000,$R68-4),INDEX($P$5:$P$1000,$R68-4))&amp;"."&amp;COUNTIFS($R$5:$R68,$R68,$S$5:$S68,"Sub"))))</f>
        <v/>
      </c>
      <c r="B68" s="62" t="n"/>
      <c r="C68" s="63" t="n"/>
      <c r="D68" s="62" t="n"/>
      <c r="E68" s="64" t="n"/>
      <c r="F68" s="64" t="n"/>
      <c r="G68" s="65" t="n"/>
      <c r="H68" s="66" t="n"/>
      <c r="I68" s="66" t="n"/>
      <c r="J68" s="66" t="n"/>
      <c r="K68" s="66" t="n"/>
      <c r="L68" s="67">
        <f>IF(NOT((COUNTA($B68:$K68)+COUNTA($N68))&gt;0),"",IF(N($T68)&gt;0,$AB68,IFERROR(LOOKUP(2,1/(H68:K68&lt;&gt;""),H68:K68),0)))</f>
        <v/>
      </c>
      <c r="M68" s="61">
        <f>IF(L68="","",IF(L68&gt;=1,"Completado",IF(L68&gt;0,"En curso","Pendiente")))</f>
        <v/>
      </c>
      <c r="N68" s="62" t="n"/>
      <c r="O68" s="68">
        <f>IF(NOT((COUNTA($B68:$K68)+COUNTA($N68))&gt;0),"",IF((IF(AND($S68="Macro",$B68=""),"Macroactividad vacía"&amp;" · ","")&amp;IF(AND($B68&lt;&gt;"",$C68&lt;&gt;""),"Escriba la subactividad en otra fila, debajo de su macroactividad"&amp;" · ","")&amp;IF(AND($S68="Sub",N($R68)=0),"Subactividad sin macroactividad arriba"&amp;" · ","")&amp;IF($D68="","Sin responsable"&amp;" · ","")&amp;IF($E68="","Sin fecha de inicio"&amp;" · ","")&amp;IF($F68="","Sin fecha límite"&amp;" · ","")&amp;IF(OR(AND($E68&lt;&gt;"",NOT(ISNUMBER($E68))),AND($F68&lt;&gt;"",NOT(ISNUMBER($F68)))),"Fecha no válida"&amp;" · ","")&amp;IF(AND(ISNUMBER($E68),ISNUMBER($F68),$E68&gt;$F68),"Inicio posterior a fecha límite"&amp;" · ","")&amp;IF(AND($S68="Macro",$G68=""),"Peso vacío"&amp;" · ","")&amp;IF(AND($S68="Macro",$G68&lt;&gt;"",OR(NOT(ISNUMBER($G68)),$G68&lt;=0,$G68&gt;1)),"Peso fuera de rango"&amp;" · ","")&amp;IF(AND($S68="Sub",$G68&lt;&gt;""),"Las subactividades no llevan peso"&amp;" · ","")&amp;IF(AND($S68="Macro",ABS(SUMIFS($G$5:$G$1000,$P$5:$P$1000,$P68,$S$5:$S$1000,"Macro")-1)&gt;0.0001),"Pesos del mes suman "&amp;TEXT(SUMIFS($G$5:$G$1000,$P$5:$P$1000,$P68,$S$5:$S$1000,"Macro"),"0%")&amp;" · ","")&amp;IF(AND(N($T68)&gt;0,COUNT($H68:$K68)&gt;0),"Con subactividades: deje vacías las semanas (se calculan solas)"&amp;" · ","")&amp;IF((COUNTIF($H68:$K68,"&gt;1")+COUNTIF($H68:$K68,"&lt;0")+COUNTA($H68:$K68)-COUNT($H68:$K68))&gt;0,"Avance fuera de rango 0-100%"&amp;" · ","")&amp;IF(OR(AND($I68&lt;&gt;"",$I68&lt;$H68),AND($J68&lt;&gt;"",$J68&lt;MAX($H68:$I68)),AND($K68&lt;&gt;"",$K68&lt;MAX($H68:$J68))),"Avance semanal decreciente"&amp;" · ","")&amp;IF(AND(ISNUMBER($F68),$F68&lt;FechaRef,N($L68)&lt;1),"Vencida"&amp;" · ","")&amp;IF(AND(ObsObligatoria="Sí",ISNUMBER($F68),$F68&lt;FechaRef,N($L68)&lt;1,$N68=""),"Vencida sin observación"&amp;" · ",""))="","✔ OK","⚠ "&amp;LEFT(IF(AND($S68="Macro",$B68=""),"Macroactividad vacía"&amp;" · ","")&amp;IF(AND($B68&lt;&gt;"",$C68&lt;&gt;""),"Escriba la subactividad en otra fila, debajo de su macroactividad"&amp;" · ","")&amp;IF(AND($S68="Sub",N($R68)=0),"Subactividad sin macroactividad arriba"&amp;" · ","")&amp;IF($D68="","Sin responsable"&amp;" · ","")&amp;IF($E68="","Sin fecha de inicio"&amp;" · ","")&amp;IF($F68="","Sin fecha límite"&amp;" · ","")&amp;IF(OR(AND($E68&lt;&gt;"",NOT(ISNUMBER($E68))),AND($F68&lt;&gt;"",NOT(ISNUMBER($F68)))),"Fecha no válida"&amp;" · ","")&amp;IF(AND(ISNUMBER($E68),ISNUMBER($F68),$E68&gt;$F68),"Inicio posterior a fecha límite"&amp;" · ","")&amp;IF(AND($S68="Macro",$G68=""),"Peso vacío"&amp;" · ","")&amp;IF(AND($S68="Macro",$G68&lt;&gt;"",OR(NOT(ISNUMBER($G68)),$G68&lt;=0,$G68&gt;1)),"Peso fuera de rango"&amp;" · ","")&amp;IF(AND($S68="Sub",$G68&lt;&gt;""),"Las subactividades no llevan peso"&amp;" · ","")&amp;IF(AND($S68="Macro",ABS(SUMIFS($G$5:$G$1000,$P$5:$P$1000,$P68,$S$5:$S$1000,"Macro")-1)&gt;0.0001),"Pesos del mes suman "&amp;TEXT(SUMIFS($G$5:$G$1000,$P$5:$P$1000,$P68,$S$5:$S$1000,"Macro"),"0%")&amp;" · ","")&amp;IF(AND(N($T68)&gt;0,COUNT($H68:$K68)&gt;0),"Con subactividades: deje vacías las semanas (se calculan solas)"&amp;" · ","")&amp;IF((COUNTIF($H68:$K68,"&gt;1")+COUNTIF($H68:$K68,"&lt;0")+COUNTA($H68:$K68)-COUNT($H68:$K68))&gt;0,"Avance fuera de rango 0-100%"&amp;" · ","")&amp;IF(OR(AND($I68&lt;&gt;"",$I68&lt;$H68),AND($J68&lt;&gt;"",$J68&lt;MAX($H68:$I68)),AND($K68&lt;&gt;"",$K68&lt;MAX($H68:$J68))),"Avance semanal decreciente"&amp;" · ","")&amp;IF(AND(ISNUMBER($F68),$F68&lt;FechaRef,N($L68)&lt;1),"Vencida"&amp;" · ","")&amp;IF(AND(ObsObligatoria="Sí",ISNUMBER($F68),$F68&lt;FechaRef,N($L68)&lt;1,$N68=""),"Vencida sin observación"&amp;" · ",""),LEN(IF(AND($S68="Macro",$B68=""),"Macroactividad vacía"&amp;" · ","")&amp;IF(AND($B68&lt;&gt;"",$C68&lt;&gt;""),"Escriba la subactividad en otra fila, debajo de su macroactividad"&amp;" · ","")&amp;IF(AND($S68="Sub",N($R68)=0),"Subactividad sin macroactividad arriba"&amp;" · ","")&amp;IF($D68="","Sin responsable"&amp;" · ","")&amp;IF($E68="","Sin fecha de inicio"&amp;" · ","")&amp;IF($F68="","Sin fecha límite"&amp;" · ","")&amp;IF(OR(AND($E68&lt;&gt;"",NOT(ISNUMBER($E68))),AND($F68&lt;&gt;"",NOT(ISNUMBER($F68)))),"Fecha no válida"&amp;" · ","")&amp;IF(AND(ISNUMBER($E68),ISNUMBER($F68),$E68&gt;$F68),"Inicio posterior a fecha límite"&amp;" · ","")&amp;IF(AND($S68="Macro",$G68=""),"Peso vacío"&amp;" · ","")&amp;IF(AND($S68="Macro",$G68&lt;&gt;"",OR(NOT(ISNUMBER($G68)),$G68&lt;=0,$G68&gt;1)),"Peso fuera de rango"&amp;" · ","")&amp;IF(AND($S68="Sub",$G68&lt;&gt;""),"Las subactividades no llevan peso"&amp;" · ","")&amp;IF(AND($S68="Macro",ABS(SUMIFS($G$5:$G$1000,$P$5:$P$1000,$P68,$S$5:$S$1000,"Macro")-1)&gt;0.0001),"Pesos del mes suman "&amp;TEXT(SUMIFS($G$5:$G$1000,$P$5:$P$1000,$P68,$S$5:$S$1000,"Macro"),"0%")&amp;" · ","")&amp;IF(AND(N($T68)&gt;0,COUNT($H68:$K68)&gt;0),"Con subactividades: deje vacías las semanas (se calculan solas)"&amp;" · ","")&amp;IF((COUNTIF($H68:$K68,"&gt;1")+COUNTIF($H68:$K68,"&lt;0")+COUNTA($H68:$K68)-COUNT($H68:$K68))&gt;0,"Avance fuera de rango 0-100%"&amp;" · ","")&amp;IF(OR(AND($I68&lt;&gt;"",$I68&lt;$H68),AND($J68&lt;&gt;"",$J68&lt;MAX($H68:$I68)),AND($K68&lt;&gt;"",$K68&lt;MAX($H68:$J68))),"Avance semanal decreciente"&amp;" · ","")&amp;IF(AND(ISNUMBER($F68),$F68&lt;FechaRef,N($L68)&lt;1),"Vencida"&amp;" · ","")&amp;IF(AND(ObsObligatoria="Sí",ISNUMBER($F68),$F68&lt;FechaRef,N($L68)&lt;1,$N68=""),"Vencida sin observación"&amp;" · ",""))-3)))</f>
        <v/>
      </c>
      <c r="P68" s="69">
        <f>IF(NOT((COUNTA($B68:$K68)+COUNTA($N68))&gt;0),"",IF(AND($S68="Sub",N($R68)&gt;0),IF(ISNUMBER(INDEX($E$5:$E$1000,$R68-4)),DATE(YEAR(INDEX($E$5:$E$1000,$R68-4)),MONTH(INDEX($E$5:$E$1000,$R68-4)),1),IF(ISNUMBER(INDEX($F$5:$F$1000,$R68-4)),DATE(YEAR(INDEX($F$5:$F$1000,$R68-4)),MONTH(INDEX($F$5:$F$1000,$R68-4)),1),MesCiclo)),IF(ISNUMBER($E68),DATE(YEAR($E68),MONTH($E68),1),IF(ISNUMBER($F68),DATE(YEAR($F68),MONTH($F68),1),MesCiclo))))</f>
        <v/>
      </c>
      <c r="Q68" s="70">
        <f>IF(OR($P68="",$P68&lt;&gt;MesCiclo),"",COUNTIF($P$5:$P68,MesCiclo))</f>
        <v/>
      </c>
      <c r="R68" s="70">
        <f>IF($S68="","",IF($S68="Macro",ROW(),IFERROR(LOOKUP(2,1/($S$5:$S68="Macro"),ROW($S$5:$S68)),0)))</f>
        <v/>
      </c>
      <c r="S68" s="70">
        <f>IF(NOT((COUNTA($B68:$K68)+COUNTA($N68))&gt;0),"",IF($B68&lt;&gt;"","Macro",IF($C68&lt;&gt;"","Sub","Macro")))</f>
        <v/>
      </c>
      <c r="T68" s="70">
        <f>IF($S68="Macro",COUNTIFS($R$5:$R$1000,ROW(),$S$5:$S$1000,"Sub"),"")</f>
        <v/>
      </c>
      <c r="U68" s="70">
        <f>IF($S68="","",IF(ISNUMBER($H68),$H68,0))</f>
        <v/>
      </c>
      <c r="V68" s="70">
        <f>IF($S68="","",IF(ISNUMBER($I68),$I68,$U68))</f>
        <v/>
      </c>
      <c r="W68" s="70">
        <f>IF($S68="","",IF(ISNUMBER($J68),$J68,$V68))</f>
        <v/>
      </c>
      <c r="X68" s="70">
        <f>IF($S68="","",IF(ISNUMBER($K68),$K68,$W68))</f>
        <v/>
      </c>
      <c r="Y68" s="70">
        <f>IF($S68="","",IF(N($T68)&gt;0,AVERAGEIFS($U$5:$U$1000,$R$5:$R$1000,ROW(),$S$5:$S$1000,"Sub"),$U68))</f>
        <v/>
      </c>
      <c r="Z68" s="70">
        <f>IF($S68="","",IF(N($T68)&gt;0,AVERAGEIFS($V$5:$V$1000,$R$5:$R$1000,ROW(),$S$5:$S$1000,"Sub"),$V68))</f>
        <v/>
      </c>
      <c r="AA68" s="70">
        <f>IF($S68="","",IF(N($T68)&gt;0,AVERAGEIFS($W$5:$W$1000,$R$5:$R$1000,ROW(),$S$5:$S$1000,"Sub"),$W68))</f>
        <v/>
      </c>
      <c r="AB68" s="70">
        <f>IF($S68="","",IF(N($T68)&gt;0,AVERAGEIFS($X$5:$X$1000,$R$5:$R$1000,ROW(),$S$5:$S$1000,"Sub"),$X68))</f>
        <v/>
      </c>
    </row>
    <row r="69">
      <c r="A69" s="61">
        <f>IF(NOT((COUNTA($B69:$K69)+COUNTA($N69))&gt;0),"",IF($S69="Macro",COUNTIFS($S$5:$S69,"Macro",$P$5:$P69,$P69),IF(N($R69)=0,"?",COUNTIFS(INDEX($S$5:$S$1000,1):INDEX($S$5:$S$1000,$R69-4),"Macro",INDEX($P$5:$P$1000,1):INDEX($P$5:$P$1000,$R69-4),INDEX($P$5:$P$1000,$R69-4))&amp;"."&amp;COUNTIFS($R$5:$R69,$R69,$S$5:$S69,"Sub"))))</f>
        <v/>
      </c>
      <c r="B69" s="62" t="n"/>
      <c r="C69" s="63" t="n"/>
      <c r="D69" s="62" t="n"/>
      <c r="E69" s="64" t="n"/>
      <c r="F69" s="64" t="n"/>
      <c r="G69" s="65" t="n"/>
      <c r="H69" s="66" t="n"/>
      <c r="I69" s="66" t="n"/>
      <c r="J69" s="66" t="n"/>
      <c r="K69" s="66" t="n"/>
      <c r="L69" s="67">
        <f>IF(NOT((COUNTA($B69:$K69)+COUNTA($N69))&gt;0),"",IF(N($T69)&gt;0,$AB69,IFERROR(LOOKUP(2,1/(H69:K69&lt;&gt;""),H69:K69),0)))</f>
        <v/>
      </c>
      <c r="M69" s="61">
        <f>IF(L69="","",IF(L69&gt;=1,"Completado",IF(L69&gt;0,"En curso","Pendiente")))</f>
        <v/>
      </c>
      <c r="N69" s="62" t="n"/>
      <c r="O69" s="68">
        <f>IF(NOT((COUNTA($B69:$K69)+COUNTA($N69))&gt;0),"",IF((IF(AND($S69="Macro",$B69=""),"Macroactividad vacía"&amp;" · ","")&amp;IF(AND($B69&lt;&gt;"",$C69&lt;&gt;""),"Escriba la subactividad en otra fila, debajo de su macroactividad"&amp;" · ","")&amp;IF(AND($S69="Sub",N($R69)=0),"Subactividad sin macroactividad arriba"&amp;" · ","")&amp;IF($D69="","Sin responsable"&amp;" · ","")&amp;IF($E69="","Sin fecha de inicio"&amp;" · ","")&amp;IF($F69="","Sin fecha límite"&amp;" · ","")&amp;IF(OR(AND($E69&lt;&gt;"",NOT(ISNUMBER($E69))),AND($F69&lt;&gt;"",NOT(ISNUMBER($F69)))),"Fecha no válida"&amp;" · ","")&amp;IF(AND(ISNUMBER($E69),ISNUMBER($F69),$E69&gt;$F69),"Inicio posterior a fecha límite"&amp;" · ","")&amp;IF(AND($S69="Macro",$G69=""),"Peso vacío"&amp;" · ","")&amp;IF(AND($S69="Macro",$G69&lt;&gt;"",OR(NOT(ISNUMBER($G69)),$G69&lt;=0,$G69&gt;1)),"Peso fuera de rango"&amp;" · ","")&amp;IF(AND($S69="Sub",$G69&lt;&gt;""),"Las subactividades no llevan peso"&amp;" · ","")&amp;IF(AND($S69="Macro",ABS(SUMIFS($G$5:$G$1000,$P$5:$P$1000,$P69,$S$5:$S$1000,"Macro")-1)&gt;0.0001),"Pesos del mes suman "&amp;TEXT(SUMIFS($G$5:$G$1000,$P$5:$P$1000,$P69,$S$5:$S$1000,"Macro"),"0%")&amp;" · ","")&amp;IF(AND(N($T69)&gt;0,COUNT($H69:$K69)&gt;0),"Con subactividades: deje vacías las semanas (se calculan solas)"&amp;" · ","")&amp;IF((COUNTIF($H69:$K69,"&gt;1")+COUNTIF($H69:$K69,"&lt;0")+COUNTA($H69:$K69)-COUNT($H69:$K69))&gt;0,"Avance fuera de rango 0-100%"&amp;" · ","")&amp;IF(OR(AND($I69&lt;&gt;"",$I69&lt;$H69),AND($J69&lt;&gt;"",$J69&lt;MAX($H69:$I69)),AND($K69&lt;&gt;"",$K69&lt;MAX($H69:$J69))),"Avance semanal decreciente"&amp;" · ","")&amp;IF(AND(ISNUMBER($F69),$F69&lt;FechaRef,N($L69)&lt;1),"Vencida"&amp;" · ","")&amp;IF(AND(ObsObligatoria="Sí",ISNUMBER($F69),$F69&lt;FechaRef,N($L69)&lt;1,$N69=""),"Vencida sin observación"&amp;" · ",""))="","✔ OK","⚠ "&amp;LEFT(IF(AND($S69="Macro",$B69=""),"Macroactividad vacía"&amp;" · ","")&amp;IF(AND($B69&lt;&gt;"",$C69&lt;&gt;""),"Escriba la subactividad en otra fila, debajo de su macroactividad"&amp;" · ","")&amp;IF(AND($S69="Sub",N($R69)=0),"Subactividad sin macroactividad arriba"&amp;" · ","")&amp;IF($D69="","Sin responsable"&amp;" · ","")&amp;IF($E69="","Sin fecha de inicio"&amp;" · ","")&amp;IF($F69="","Sin fecha límite"&amp;" · ","")&amp;IF(OR(AND($E69&lt;&gt;"",NOT(ISNUMBER($E69))),AND($F69&lt;&gt;"",NOT(ISNUMBER($F69)))),"Fecha no válida"&amp;" · ","")&amp;IF(AND(ISNUMBER($E69),ISNUMBER($F69),$E69&gt;$F69),"Inicio posterior a fecha límite"&amp;" · ","")&amp;IF(AND($S69="Macro",$G69=""),"Peso vacío"&amp;" · ","")&amp;IF(AND($S69="Macro",$G69&lt;&gt;"",OR(NOT(ISNUMBER($G69)),$G69&lt;=0,$G69&gt;1)),"Peso fuera de rango"&amp;" · ","")&amp;IF(AND($S69="Sub",$G69&lt;&gt;""),"Las subactividades no llevan peso"&amp;" · ","")&amp;IF(AND($S69="Macro",ABS(SUMIFS($G$5:$G$1000,$P$5:$P$1000,$P69,$S$5:$S$1000,"Macro")-1)&gt;0.0001),"Pesos del mes suman "&amp;TEXT(SUMIFS($G$5:$G$1000,$P$5:$P$1000,$P69,$S$5:$S$1000,"Macro"),"0%")&amp;" · ","")&amp;IF(AND(N($T69)&gt;0,COUNT($H69:$K69)&gt;0),"Con subactividades: deje vacías las semanas (se calculan solas)"&amp;" · ","")&amp;IF((COUNTIF($H69:$K69,"&gt;1")+COUNTIF($H69:$K69,"&lt;0")+COUNTA($H69:$K69)-COUNT($H69:$K69))&gt;0,"Avance fuera de rango 0-100%"&amp;" · ","")&amp;IF(OR(AND($I69&lt;&gt;"",$I69&lt;$H69),AND($J69&lt;&gt;"",$J69&lt;MAX($H69:$I69)),AND($K69&lt;&gt;"",$K69&lt;MAX($H69:$J69))),"Avance semanal decreciente"&amp;" · ","")&amp;IF(AND(ISNUMBER($F69),$F69&lt;FechaRef,N($L69)&lt;1),"Vencida"&amp;" · ","")&amp;IF(AND(ObsObligatoria="Sí",ISNUMBER($F69),$F69&lt;FechaRef,N($L69)&lt;1,$N69=""),"Vencida sin observación"&amp;" · ",""),LEN(IF(AND($S69="Macro",$B69=""),"Macroactividad vacía"&amp;" · ","")&amp;IF(AND($B69&lt;&gt;"",$C69&lt;&gt;""),"Escriba la subactividad en otra fila, debajo de su macroactividad"&amp;" · ","")&amp;IF(AND($S69="Sub",N($R69)=0),"Subactividad sin macroactividad arriba"&amp;" · ","")&amp;IF($D69="","Sin responsable"&amp;" · ","")&amp;IF($E69="","Sin fecha de inicio"&amp;" · ","")&amp;IF($F69="","Sin fecha límite"&amp;" · ","")&amp;IF(OR(AND($E69&lt;&gt;"",NOT(ISNUMBER($E69))),AND($F69&lt;&gt;"",NOT(ISNUMBER($F69)))),"Fecha no válida"&amp;" · ","")&amp;IF(AND(ISNUMBER($E69),ISNUMBER($F69),$E69&gt;$F69),"Inicio posterior a fecha límite"&amp;" · ","")&amp;IF(AND($S69="Macro",$G69=""),"Peso vacío"&amp;" · ","")&amp;IF(AND($S69="Macro",$G69&lt;&gt;"",OR(NOT(ISNUMBER($G69)),$G69&lt;=0,$G69&gt;1)),"Peso fuera de rango"&amp;" · ","")&amp;IF(AND($S69="Sub",$G69&lt;&gt;""),"Las subactividades no llevan peso"&amp;" · ","")&amp;IF(AND($S69="Macro",ABS(SUMIFS($G$5:$G$1000,$P$5:$P$1000,$P69,$S$5:$S$1000,"Macro")-1)&gt;0.0001),"Pesos del mes suman "&amp;TEXT(SUMIFS($G$5:$G$1000,$P$5:$P$1000,$P69,$S$5:$S$1000,"Macro"),"0%")&amp;" · ","")&amp;IF(AND(N($T69)&gt;0,COUNT($H69:$K69)&gt;0),"Con subactividades: deje vacías las semanas (se calculan solas)"&amp;" · ","")&amp;IF((COUNTIF($H69:$K69,"&gt;1")+COUNTIF($H69:$K69,"&lt;0")+COUNTA($H69:$K69)-COUNT($H69:$K69))&gt;0,"Avance fuera de rango 0-100%"&amp;" · ","")&amp;IF(OR(AND($I69&lt;&gt;"",$I69&lt;$H69),AND($J69&lt;&gt;"",$J69&lt;MAX($H69:$I69)),AND($K69&lt;&gt;"",$K69&lt;MAX($H69:$J69))),"Avance semanal decreciente"&amp;" · ","")&amp;IF(AND(ISNUMBER($F69),$F69&lt;FechaRef,N($L69)&lt;1),"Vencida"&amp;" · ","")&amp;IF(AND(ObsObligatoria="Sí",ISNUMBER($F69),$F69&lt;FechaRef,N($L69)&lt;1,$N69=""),"Vencida sin observación"&amp;" · ",""))-3)))</f>
        <v/>
      </c>
      <c r="P69" s="69">
        <f>IF(NOT((COUNTA($B69:$K69)+COUNTA($N69))&gt;0),"",IF(AND($S69="Sub",N($R69)&gt;0),IF(ISNUMBER(INDEX($E$5:$E$1000,$R69-4)),DATE(YEAR(INDEX($E$5:$E$1000,$R69-4)),MONTH(INDEX($E$5:$E$1000,$R69-4)),1),IF(ISNUMBER(INDEX($F$5:$F$1000,$R69-4)),DATE(YEAR(INDEX($F$5:$F$1000,$R69-4)),MONTH(INDEX($F$5:$F$1000,$R69-4)),1),MesCiclo)),IF(ISNUMBER($E69),DATE(YEAR($E69),MONTH($E69),1),IF(ISNUMBER($F69),DATE(YEAR($F69),MONTH($F69),1),MesCiclo))))</f>
        <v/>
      </c>
      <c r="Q69" s="70">
        <f>IF(OR($P69="",$P69&lt;&gt;MesCiclo),"",COUNTIF($P$5:$P69,MesCiclo))</f>
        <v/>
      </c>
      <c r="R69" s="70">
        <f>IF($S69="","",IF($S69="Macro",ROW(),IFERROR(LOOKUP(2,1/($S$5:$S69="Macro"),ROW($S$5:$S69)),0)))</f>
        <v/>
      </c>
      <c r="S69" s="70">
        <f>IF(NOT((COUNTA($B69:$K69)+COUNTA($N69))&gt;0),"",IF($B69&lt;&gt;"","Macro",IF($C69&lt;&gt;"","Sub","Macro")))</f>
        <v/>
      </c>
      <c r="T69" s="70">
        <f>IF($S69="Macro",COUNTIFS($R$5:$R$1000,ROW(),$S$5:$S$1000,"Sub"),"")</f>
        <v/>
      </c>
      <c r="U69" s="70">
        <f>IF($S69="","",IF(ISNUMBER($H69),$H69,0))</f>
        <v/>
      </c>
      <c r="V69" s="70">
        <f>IF($S69="","",IF(ISNUMBER($I69),$I69,$U69))</f>
        <v/>
      </c>
      <c r="W69" s="70">
        <f>IF($S69="","",IF(ISNUMBER($J69),$J69,$V69))</f>
        <v/>
      </c>
      <c r="X69" s="70">
        <f>IF($S69="","",IF(ISNUMBER($K69),$K69,$W69))</f>
        <v/>
      </c>
      <c r="Y69" s="70">
        <f>IF($S69="","",IF(N($T69)&gt;0,AVERAGEIFS($U$5:$U$1000,$R$5:$R$1000,ROW(),$S$5:$S$1000,"Sub"),$U69))</f>
        <v/>
      </c>
      <c r="Z69" s="70">
        <f>IF($S69="","",IF(N($T69)&gt;0,AVERAGEIFS($V$5:$V$1000,$R$5:$R$1000,ROW(),$S$5:$S$1000,"Sub"),$V69))</f>
        <v/>
      </c>
      <c r="AA69" s="70">
        <f>IF($S69="","",IF(N($T69)&gt;0,AVERAGEIFS($W$5:$W$1000,$R$5:$R$1000,ROW(),$S$5:$S$1000,"Sub"),$W69))</f>
        <v/>
      </c>
      <c r="AB69" s="70">
        <f>IF($S69="","",IF(N($T69)&gt;0,AVERAGEIFS($X$5:$X$1000,$R$5:$R$1000,ROW(),$S$5:$S$1000,"Sub"),$X69))</f>
        <v/>
      </c>
    </row>
    <row r="70">
      <c r="A70" s="61">
        <f>IF(NOT((COUNTA($B70:$K70)+COUNTA($N70))&gt;0),"",IF($S70="Macro",COUNTIFS($S$5:$S70,"Macro",$P$5:$P70,$P70),IF(N($R70)=0,"?",COUNTIFS(INDEX($S$5:$S$1000,1):INDEX($S$5:$S$1000,$R70-4),"Macro",INDEX($P$5:$P$1000,1):INDEX($P$5:$P$1000,$R70-4),INDEX($P$5:$P$1000,$R70-4))&amp;"."&amp;COUNTIFS($R$5:$R70,$R70,$S$5:$S70,"Sub"))))</f>
        <v/>
      </c>
      <c r="B70" s="62" t="n"/>
      <c r="C70" s="63" t="n"/>
      <c r="D70" s="62" t="n"/>
      <c r="E70" s="64" t="n"/>
      <c r="F70" s="64" t="n"/>
      <c r="G70" s="65" t="n"/>
      <c r="H70" s="66" t="n"/>
      <c r="I70" s="66" t="n"/>
      <c r="J70" s="66" t="n"/>
      <c r="K70" s="66" t="n"/>
      <c r="L70" s="67">
        <f>IF(NOT((COUNTA($B70:$K70)+COUNTA($N70))&gt;0),"",IF(N($T70)&gt;0,$AB70,IFERROR(LOOKUP(2,1/(H70:K70&lt;&gt;""),H70:K70),0)))</f>
        <v/>
      </c>
      <c r="M70" s="61">
        <f>IF(L70="","",IF(L70&gt;=1,"Completado",IF(L70&gt;0,"En curso","Pendiente")))</f>
        <v/>
      </c>
      <c r="N70" s="62" t="n"/>
      <c r="O70" s="68">
        <f>IF(NOT((COUNTA($B70:$K70)+COUNTA($N70))&gt;0),"",IF((IF(AND($S70="Macro",$B70=""),"Macroactividad vacía"&amp;" · ","")&amp;IF(AND($B70&lt;&gt;"",$C70&lt;&gt;""),"Escriba la subactividad en otra fila, debajo de su macroactividad"&amp;" · ","")&amp;IF(AND($S70="Sub",N($R70)=0),"Subactividad sin macroactividad arriba"&amp;" · ","")&amp;IF($D70="","Sin responsable"&amp;" · ","")&amp;IF($E70="","Sin fecha de inicio"&amp;" · ","")&amp;IF($F70="","Sin fecha límite"&amp;" · ","")&amp;IF(OR(AND($E70&lt;&gt;"",NOT(ISNUMBER($E70))),AND($F70&lt;&gt;"",NOT(ISNUMBER($F70)))),"Fecha no válida"&amp;" · ","")&amp;IF(AND(ISNUMBER($E70),ISNUMBER($F70),$E70&gt;$F70),"Inicio posterior a fecha límite"&amp;" · ","")&amp;IF(AND($S70="Macro",$G70=""),"Peso vacío"&amp;" · ","")&amp;IF(AND($S70="Macro",$G70&lt;&gt;"",OR(NOT(ISNUMBER($G70)),$G70&lt;=0,$G70&gt;1)),"Peso fuera de rango"&amp;" · ","")&amp;IF(AND($S70="Sub",$G70&lt;&gt;""),"Las subactividades no llevan peso"&amp;" · ","")&amp;IF(AND($S70="Macro",ABS(SUMIFS($G$5:$G$1000,$P$5:$P$1000,$P70,$S$5:$S$1000,"Macro")-1)&gt;0.0001),"Pesos del mes suman "&amp;TEXT(SUMIFS($G$5:$G$1000,$P$5:$P$1000,$P70,$S$5:$S$1000,"Macro"),"0%")&amp;" · ","")&amp;IF(AND(N($T70)&gt;0,COUNT($H70:$K70)&gt;0),"Con subactividades: deje vacías las semanas (se calculan solas)"&amp;" · ","")&amp;IF((COUNTIF($H70:$K70,"&gt;1")+COUNTIF($H70:$K70,"&lt;0")+COUNTA($H70:$K70)-COUNT($H70:$K70))&gt;0,"Avance fuera de rango 0-100%"&amp;" · ","")&amp;IF(OR(AND($I70&lt;&gt;"",$I70&lt;$H70),AND($J70&lt;&gt;"",$J70&lt;MAX($H70:$I70)),AND($K70&lt;&gt;"",$K70&lt;MAX($H70:$J70))),"Avance semanal decreciente"&amp;" · ","")&amp;IF(AND(ISNUMBER($F70),$F70&lt;FechaRef,N($L70)&lt;1),"Vencida"&amp;" · ","")&amp;IF(AND(ObsObligatoria="Sí",ISNUMBER($F70),$F70&lt;FechaRef,N($L70)&lt;1,$N70=""),"Vencida sin observación"&amp;" · ",""))="","✔ OK","⚠ "&amp;LEFT(IF(AND($S70="Macro",$B70=""),"Macroactividad vacía"&amp;" · ","")&amp;IF(AND($B70&lt;&gt;"",$C70&lt;&gt;""),"Escriba la subactividad en otra fila, debajo de su macroactividad"&amp;" · ","")&amp;IF(AND($S70="Sub",N($R70)=0),"Subactividad sin macroactividad arriba"&amp;" · ","")&amp;IF($D70="","Sin responsable"&amp;" · ","")&amp;IF($E70="","Sin fecha de inicio"&amp;" · ","")&amp;IF($F70="","Sin fecha límite"&amp;" · ","")&amp;IF(OR(AND($E70&lt;&gt;"",NOT(ISNUMBER($E70))),AND($F70&lt;&gt;"",NOT(ISNUMBER($F70)))),"Fecha no válida"&amp;" · ","")&amp;IF(AND(ISNUMBER($E70),ISNUMBER($F70),$E70&gt;$F70),"Inicio posterior a fecha límite"&amp;" · ","")&amp;IF(AND($S70="Macro",$G70=""),"Peso vacío"&amp;" · ","")&amp;IF(AND($S70="Macro",$G70&lt;&gt;"",OR(NOT(ISNUMBER($G70)),$G70&lt;=0,$G70&gt;1)),"Peso fuera de rango"&amp;" · ","")&amp;IF(AND($S70="Sub",$G70&lt;&gt;""),"Las subactividades no llevan peso"&amp;" · ","")&amp;IF(AND($S70="Macro",ABS(SUMIFS($G$5:$G$1000,$P$5:$P$1000,$P70,$S$5:$S$1000,"Macro")-1)&gt;0.0001),"Pesos del mes suman "&amp;TEXT(SUMIFS($G$5:$G$1000,$P$5:$P$1000,$P70,$S$5:$S$1000,"Macro"),"0%")&amp;" · ","")&amp;IF(AND(N($T70)&gt;0,COUNT($H70:$K70)&gt;0),"Con subactividades: deje vacías las semanas (se calculan solas)"&amp;" · ","")&amp;IF((COUNTIF($H70:$K70,"&gt;1")+COUNTIF($H70:$K70,"&lt;0")+COUNTA($H70:$K70)-COUNT($H70:$K70))&gt;0,"Avance fuera de rango 0-100%"&amp;" · ","")&amp;IF(OR(AND($I70&lt;&gt;"",$I70&lt;$H70),AND($J70&lt;&gt;"",$J70&lt;MAX($H70:$I70)),AND($K70&lt;&gt;"",$K70&lt;MAX($H70:$J70))),"Avance semanal decreciente"&amp;" · ","")&amp;IF(AND(ISNUMBER($F70),$F70&lt;FechaRef,N($L70)&lt;1),"Vencida"&amp;" · ","")&amp;IF(AND(ObsObligatoria="Sí",ISNUMBER($F70),$F70&lt;FechaRef,N($L70)&lt;1,$N70=""),"Vencida sin observación"&amp;" · ",""),LEN(IF(AND($S70="Macro",$B70=""),"Macroactividad vacía"&amp;" · ","")&amp;IF(AND($B70&lt;&gt;"",$C70&lt;&gt;""),"Escriba la subactividad en otra fila, debajo de su macroactividad"&amp;" · ","")&amp;IF(AND($S70="Sub",N($R70)=0),"Subactividad sin macroactividad arriba"&amp;" · ","")&amp;IF($D70="","Sin responsable"&amp;" · ","")&amp;IF($E70="","Sin fecha de inicio"&amp;" · ","")&amp;IF($F70="","Sin fecha límite"&amp;" · ","")&amp;IF(OR(AND($E70&lt;&gt;"",NOT(ISNUMBER($E70))),AND($F70&lt;&gt;"",NOT(ISNUMBER($F70)))),"Fecha no válida"&amp;" · ","")&amp;IF(AND(ISNUMBER($E70),ISNUMBER($F70),$E70&gt;$F70),"Inicio posterior a fecha límite"&amp;" · ","")&amp;IF(AND($S70="Macro",$G70=""),"Peso vacío"&amp;" · ","")&amp;IF(AND($S70="Macro",$G70&lt;&gt;"",OR(NOT(ISNUMBER($G70)),$G70&lt;=0,$G70&gt;1)),"Peso fuera de rango"&amp;" · ","")&amp;IF(AND($S70="Sub",$G70&lt;&gt;""),"Las subactividades no llevan peso"&amp;" · ","")&amp;IF(AND($S70="Macro",ABS(SUMIFS($G$5:$G$1000,$P$5:$P$1000,$P70,$S$5:$S$1000,"Macro")-1)&gt;0.0001),"Pesos del mes suman "&amp;TEXT(SUMIFS($G$5:$G$1000,$P$5:$P$1000,$P70,$S$5:$S$1000,"Macro"),"0%")&amp;" · ","")&amp;IF(AND(N($T70)&gt;0,COUNT($H70:$K70)&gt;0),"Con subactividades: deje vacías las semanas (se calculan solas)"&amp;" · ","")&amp;IF((COUNTIF($H70:$K70,"&gt;1")+COUNTIF($H70:$K70,"&lt;0")+COUNTA($H70:$K70)-COUNT($H70:$K70))&gt;0,"Avance fuera de rango 0-100%"&amp;" · ","")&amp;IF(OR(AND($I70&lt;&gt;"",$I70&lt;$H70),AND($J70&lt;&gt;"",$J70&lt;MAX($H70:$I70)),AND($K70&lt;&gt;"",$K70&lt;MAX($H70:$J70))),"Avance semanal decreciente"&amp;" · ","")&amp;IF(AND(ISNUMBER($F70),$F70&lt;FechaRef,N($L70)&lt;1),"Vencida"&amp;" · ","")&amp;IF(AND(ObsObligatoria="Sí",ISNUMBER($F70),$F70&lt;FechaRef,N($L70)&lt;1,$N70=""),"Vencida sin observación"&amp;" · ",""))-3)))</f>
        <v/>
      </c>
      <c r="P70" s="69">
        <f>IF(NOT((COUNTA($B70:$K70)+COUNTA($N70))&gt;0),"",IF(AND($S70="Sub",N($R70)&gt;0),IF(ISNUMBER(INDEX($E$5:$E$1000,$R70-4)),DATE(YEAR(INDEX($E$5:$E$1000,$R70-4)),MONTH(INDEX($E$5:$E$1000,$R70-4)),1),IF(ISNUMBER(INDEX($F$5:$F$1000,$R70-4)),DATE(YEAR(INDEX($F$5:$F$1000,$R70-4)),MONTH(INDEX($F$5:$F$1000,$R70-4)),1),MesCiclo)),IF(ISNUMBER($E70),DATE(YEAR($E70),MONTH($E70),1),IF(ISNUMBER($F70),DATE(YEAR($F70),MONTH($F70),1),MesCiclo))))</f>
        <v/>
      </c>
      <c r="Q70" s="70">
        <f>IF(OR($P70="",$P70&lt;&gt;MesCiclo),"",COUNTIF($P$5:$P70,MesCiclo))</f>
        <v/>
      </c>
      <c r="R70" s="70">
        <f>IF($S70="","",IF($S70="Macro",ROW(),IFERROR(LOOKUP(2,1/($S$5:$S70="Macro"),ROW($S$5:$S70)),0)))</f>
        <v/>
      </c>
      <c r="S70" s="70">
        <f>IF(NOT((COUNTA($B70:$K70)+COUNTA($N70))&gt;0),"",IF($B70&lt;&gt;"","Macro",IF($C70&lt;&gt;"","Sub","Macro")))</f>
        <v/>
      </c>
      <c r="T70" s="70">
        <f>IF($S70="Macro",COUNTIFS($R$5:$R$1000,ROW(),$S$5:$S$1000,"Sub"),"")</f>
        <v/>
      </c>
      <c r="U70" s="70">
        <f>IF($S70="","",IF(ISNUMBER($H70),$H70,0))</f>
        <v/>
      </c>
      <c r="V70" s="70">
        <f>IF($S70="","",IF(ISNUMBER($I70),$I70,$U70))</f>
        <v/>
      </c>
      <c r="W70" s="70">
        <f>IF($S70="","",IF(ISNUMBER($J70),$J70,$V70))</f>
        <v/>
      </c>
      <c r="X70" s="70">
        <f>IF($S70="","",IF(ISNUMBER($K70),$K70,$W70))</f>
        <v/>
      </c>
      <c r="Y70" s="70">
        <f>IF($S70="","",IF(N($T70)&gt;0,AVERAGEIFS($U$5:$U$1000,$R$5:$R$1000,ROW(),$S$5:$S$1000,"Sub"),$U70))</f>
        <v/>
      </c>
      <c r="Z70" s="70">
        <f>IF($S70="","",IF(N($T70)&gt;0,AVERAGEIFS($V$5:$V$1000,$R$5:$R$1000,ROW(),$S$5:$S$1000,"Sub"),$V70))</f>
        <v/>
      </c>
      <c r="AA70" s="70">
        <f>IF($S70="","",IF(N($T70)&gt;0,AVERAGEIFS($W$5:$W$1000,$R$5:$R$1000,ROW(),$S$5:$S$1000,"Sub"),$W70))</f>
        <v/>
      </c>
      <c r="AB70" s="70">
        <f>IF($S70="","",IF(N($T70)&gt;0,AVERAGEIFS($X$5:$X$1000,$R$5:$R$1000,ROW(),$S$5:$S$1000,"Sub"),$X70))</f>
        <v/>
      </c>
    </row>
    <row r="71">
      <c r="A71" s="61">
        <f>IF(NOT((COUNTA($B71:$K71)+COUNTA($N71))&gt;0),"",IF($S71="Macro",COUNTIFS($S$5:$S71,"Macro",$P$5:$P71,$P71),IF(N($R71)=0,"?",COUNTIFS(INDEX($S$5:$S$1000,1):INDEX($S$5:$S$1000,$R71-4),"Macro",INDEX($P$5:$P$1000,1):INDEX($P$5:$P$1000,$R71-4),INDEX($P$5:$P$1000,$R71-4))&amp;"."&amp;COUNTIFS($R$5:$R71,$R71,$S$5:$S71,"Sub"))))</f>
        <v/>
      </c>
      <c r="B71" s="62" t="n"/>
      <c r="C71" s="63" t="n"/>
      <c r="D71" s="62" t="n"/>
      <c r="E71" s="64" t="n"/>
      <c r="F71" s="64" t="n"/>
      <c r="G71" s="65" t="n"/>
      <c r="H71" s="66" t="n"/>
      <c r="I71" s="66" t="n"/>
      <c r="J71" s="66" t="n"/>
      <c r="K71" s="66" t="n"/>
      <c r="L71" s="67">
        <f>IF(NOT((COUNTA($B71:$K71)+COUNTA($N71))&gt;0),"",IF(N($T71)&gt;0,$AB71,IFERROR(LOOKUP(2,1/(H71:K71&lt;&gt;""),H71:K71),0)))</f>
        <v/>
      </c>
      <c r="M71" s="61">
        <f>IF(L71="","",IF(L71&gt;=1,"Completado",IF(L71&gt;0,"En curso","Pendiente")))</f>
        <v/>
      </c>
      <c r="N71" s="62" t="n"/>
      <c r="O71" s="68">
        <f>IF(NOT((COUNTA($B71:$K71)+COUNTA($N71))&gt;0),"",IF((IF(AND($S71="Macro",$B71=""),"Macroactividad vacía"&amp;" · ","")&amp;IF(AND($B71&lt;&gt;"",$C71&lt;&gt;""),"Escriba la subactividad en otra fila, debajo de su macroactividad"&amp;" · ","")&amp;IF(AND($S71="Sub",N($R71)=0),"Subactividad sin macroactividad arriba"&amp;" · ","")&amp;IF($D71="","Sin responsable"&amp;" · ","")&amp;IF($E71="","Sin fecha de inicio"&amp;" · ","")&amp;IF($F71="","Sin fecha límite"&amp;" · ","")&amp;IF(OR(AND($E71&lt;&gt;"",NOT(ISNUMBER($E71))),AND($F71&lt;&gt;"",NOT(ISNUMBER($F71)))),"Fecha no válida"&amp;" · ","")&amp;IF(AND(ISNUMBER($E71),ISNUMBER($F71),$E71&gt;$F71),"Inicio posterior a fecha límite"&amp;" · ","")&amp;IF(AND($S71="Macro",$G71=""),"Peso vacío"&amp;" · ","")&amp;IF(AND($S71="Macro",$G71&lt;&gt;"",OR(NOT(ISNUMBER($G71)),$G71&lt;=0,$G71&gt;1)),"Peso fuera de rango"&amp;" · ","")&amp;IF(AND($S71="Sub",$G71&lt;&gt;""),"Las subactividades no llevan peso"&amp;" · ","")&amp;IF(AND($S71="Macro",ABS(SUMIFS($G$5:$G$1000,$P$5:$P$1000,$P71,$S$5:$S$1000,"Macro")-1)&gt;0.0001),"Pesos del mes suman "&amp;TEXT(SUMIFS($G$5:$G$1000,$P$5:$P$1000,$P71,$S$5:$S$1000,"Macro"),"0%")&amp;" · ","")&amp;IF(AND(N($T71)&gt;0,COUNT($H71:$K71)&gt;0),"Con subactividades: deje vacías las semanas (se calculan solas)"&amp;" · ","")&amp;IF((COUNTIF($H71:$K71,"&gt;1")+COUNTIF($H71:$K71,"&lt;0")+COUNTA($H71:$K71)-COUNT($H71:$K71))&gt;0,"Avance fuera de rango 0-100%"&amp;" · ","")&amp;IF(OR(AND($I71&lt;&gt;"",$I71&lt;$H71),AND($J71&lt;&gt;"",$J71&lt;MAX($H71:$I71)),AND($K71&lt;&gt;"",$K71&lt;MAX($H71:$J71))),"Avance semanal decreciente"&amp;" · ","")&amp;IF(AND(ISNUMBER($F71),$F71&lt;FechaRef,N($L71)&lt;1),"Vencida"&amp;" · ","")&amp;IF(AND(ObsObligatoria="Sí",ISNUMBER($F71),$F71&lt;FechaRef,N($L71)&lt;1,$N71=""),"Vencida sin observación"&amp;" · ",""))="","✔ OK","⚠ "&amp;LEFT(IF(AND($S71="Macro",$B71=""),"Macroactividad vacía"&amp;" · ","")&amp;IF(AND($B71&lt;&gt;"",$C71&lt;&gt;""),"Escriba la subactividad en otra fila, debajo de su macroactividad"&amp;" · ","")&amp;IF(AND($S71="Sub",N($R71)=0),"Subactividad sin macroactividad arriba"&amp;" · ","")&amp;IF($D71="","Sin responsable"&amp;" · ","")&amp;IF($E71="","Sin fecha de inicio"&amp;" · ","")&amp;IF($F71="","Sin fecha límite"&amp;" · ","")&amp;IF(OR(AND($E71&lt;&gt;"",NOT(ISNUMBER($E71))),AND($F71&lt;&gt;"",NOT(ISNUMBER($F71)))),"Fecha no válida"&amp;" · ","")&amp;IF(AND(ISNUMBER($E71),ISNUMBER($F71),$E71&gt;$F71),"Inicio posterior a fecha límite"&amp;" · ","")&amp;IF(AND($S71="Macro",$G71=""),"Peso vacío"&amp;" · ","")&amp;IF(AND($S71="Macro",$G71&lt;&gt;"",OR(NOT(ISNUMBER($G71)),$G71&lt;=0,$G71&gt;1)),"Peso fuera de rango"&amp;" · ","")&amp;IF(AND($S71="Sub",$G71&lt;&gt;""),"Las subactividades no llevan peso"&amp;" · ","")&amp;IF(AND($S71="Macro",ABS(SUMIFS($G$5:$G$1000,$P$5:$P$1000,$P71,$S$5:$S$1000,"Macro")-1)&gt;0.0001),"Pesos del mes suman "&amp;TEXT(SUMIFS($G$5:$G$1000,$P$5:$P$1000,$P71,$S$5:$S$1000,"Macro"),"0%")&amp;" · ","")&amp;IF(AND(N($T71)&gt;0,COUNT($H71:$K71)&gt;0),"Con subactividades: deje vacías las semanas (se calculan solas)"&amp;" · ","")&amp;IF((COUNTIF($H71:$K71,"&gt;1")+COUNTIF($H71:$K71,"&lt;0")+COUNTA($H71:$K71)-COUNT($H71:$K71))&gt;0,"Avance fuera de rango 0-100%"&amp;" · ","")&amp;IF(OR(AND($I71&lt;&gt;"",$I71&lt;$H71),AND($J71&lt;&gt;"",$J71&lt;MAX($H71:$I71)),AND($K71&lt;&gt;"",$K71&lt;MAX($H71:$J71))),"Avance semanal decreciente"&amp;" · ","")&amp;IF(AND(ISNUMBER($F71),$F71&lt;FechaRef,N($L71)&lt;1),"Vencida"&amp;" · ","")&amp;IF(AND(ObsObligatoria="Sí",ISNUMBER($F71),$F71&lt;FechaRef,N($L71)&lt;1,$N71=""),"Vencida sin observación"&amp;" · ",""),LEN(IF(AND($S71="Macro",$B71=""),"Macroactividad vacía"&amp;" · ","")&amp;IF(AND($B71&lt;&gt;"",$C71&lt;&gt;""),"Escriba la subactividad en otra fila, debajo de su macroactividad"&amp;" · ","")&amp;IF(AND($S71="Sub",N($R71)=0),"Subactividad sin macroactividad arriba"&amp;" · ","")&amp;IF($D71="","Sin responsable"&amp;" · ","")&amp;IF($E71="","Sin fecha de inicio"&amp;" · ","")&amp;IF($F71="","Sin fecha límite"&amp;" · ","")&amp;IF(OR(AND($E71&lt;&gt;"",NOT(ISNUMBER($E71))),AND($F71&lt;&gt;"",NOT(ISNUMBER($F71)))),"Fecha no válida"&amp;" · ","")&amp;IF(AND(ISNUMBER($E71),ISNUMBER($F71),$E71&gt;$F71),"Inicio posterior a fecha límite"&amp;" · ","")&amp;IF(AND($S71="Macro",$G71=""),"Peso vacío"&amp;" · ","")&amp;IF(AND($S71="Macro",$G71&lt;&gt;"",OR(NOT(ISNUMBER($G71)),$G71&lt;=0,$G71&gt;1)),"Peso fuera de rango"&amp;" · ","")&amp;IF(AND($S71="Sub",$G71&lt;&gt;""),"Las subactividades no llevan peso"&amp;" · ","")&amp;IF(AND($S71="Macro",ABS(SUMIFS($G$5:$G$1000,$P$5:$P$1000,$P71,$S$5:$S$1000,"Macro")-1)&gt;0.0001),"Pesos del mes suman "&amp;TEXT(SUMIFS($G$5:$G$1000,$P$5:$P$1000,$P71,$S$5:$S$1000,"Macro"),"0%")&amp;" · ","")&amp;IF(AND(N($T71)&gt;0,COUNT($H71:$K71)&gt;0),"Con subactividades: deje vacías las semanas (se calculan solas)"&amp;" · ","")&amp;IF((COUNTIF($H71:$K71,"&gt;1")+COUNTIF($H71:$K71,"&lt;0")+COUNTA($H71:$K71)-COUNT($H71:$K71))&gt;0,"Avance fuera de rango 0-100%"&amp;" · ","")&amp;IF(OR(AND($I71&lt;&gt;"",$I71&lt;$H71),AND($J71&lt;&gt;"",$J71&lt;MAX($H71:$I71)),AND($K71&lt;&gt;"",$K71&lt;MAX($H71:$J71))),"Avance semanal decreciente"&amp;" · ","")&amp;IF(AND(ISNUMBER($F71),$F71&lt;FechaRef,N($L71)&lt;1),"Vencida"&amp;" · ","")&amp;IF(AND(ObsObligatoria="Sí",ISNUMBER($F71),$F71&lt;FechaRef,N($L71)&lt;1,$N71=""),"Vencida sin observación"&amp;" · ",""))-3)))</f>
        <v/>
      </c>
      <c r="P71" s="69">
        <f>IF(NOT((COUNTA($B71:$K71)+COUNTA($N71))&gt;0),"",IF(AND($S71="Sub",N($R71)&gt;0),IF(ISNUMBER(INDEX($E$5:$E$1000,$R71-4)),DATE(YEAR(INDEX($E$5:$E$1000,$R71-4)),MONTH(INDEX($E$5:$E$1000,$R71-4)),1),IF(ISNUMBER(INDEX($F$5:$F$1000,$R71-4)),DATE(YEAR(INDEX($F$5:$F$1000,$R71-4)),MONTH(INDEX($F$5:$F$1000,$R71-4)),1),MesCiclo)),IF(ISNUMBER($E71),DATE(YEAR($E71),MONTH($E71),1),IF(ISNUMBER($F71),DATE(YEAR($F71),MONTH($F71),1),MesCiclo))))</f>
        <v/>
      </c>
      <c r="Q71" s="70">
        <f>IF(OR($P71="",$P71&lt;&gt;MesCiclo),"",COUNTIF($P$5:$P71,MesCiclo))</f>
        <v/>
      </c>
      <c r="R71" s="70">
        <f>IF($S71="","",IF($S71="Macro",ROW(),IFERROR(LOOKUP(2,1/($S$5:$S71="Macro"),ROW($S$5:$S71)),0)))</f>
        <v/>
      </c>
      <c r="S71" s="70">
        <f>IF(NOT((COUNTA($B71:$K71)+COUNTA($N71))&gt;0),"",IF($B71&lt;&gt;"","Macro",IF($C71&lt;&gt;"","Sub","Macro")))</f>
        <v/>
      </c>
      <c r="T71" s="70">
        <f>IF($S71="Macro",COUNTIFS($R$5:$R$1000,ROW(),$S$5:$S$1000,"Sub"),"")</f>
        <v/>
      </c>
      <c r="U71" s="70">
        <f>IF($S71="","",IF(ISNUMBER($H71),$H71,0))</f>
        <v/>
      </c>
      <c r="V71" s="70">
        <f>IF($S71="","",IF(ISNUMBER($I71),$I71,$U71))</f>
        <v/>
      </c>
      <c r="W71" s="70">
        <f>IF($S71="","",IF(ISNUMBER($J71),$J71,$V71))</f>
        <v/>
      </c>
      <c r="X71" s="70">
        <f>IF($S71="","",IF(ISNUMBER($K71),$K71,$W71))</f>
        <v/>
      </c>
      <c r="Y71" s="70">
        <f>IF($S71="","",IF(N($T71)&gt;0,AVERAGEIFS($U$5:$U$1000,$R$5:$R$1000,ROW(),$S$5:$S$1000,"Sub"),$U71))</f>
        <v/>
      </c>
      <c r="Z71" s="70">
        <f>IF($S71="","",IF(N($T71)&gt;0,AVERAGEIFS($V$5:$V$1000,$R$5:$R$1000,ROW(),$S$5:$S$1000,"Sub"),$V71))</f>
        <v/>
      </c>
      <c r="AA71" s="70">
        <f>IF($S71="","",IF(N($T71)&gt;0,AVERAGEIFS($W$5:$W$1000,$R$5:$R$1000,ROW(),$S$5:$S$1000,"Sub"),$W71))</f>
        <v/>
      </c>
      <c r="AB71" s="70">
        <f>IF($S71="","",IF(N($T71)&gt;0,AVERAGEIFS($X$5:$X$1000,$R$5:$R$1000,ROW(),$S$5:$S$1000,"Sub"),$X71))</f>
        <v/>
      </c>
    </row>
    <row r="72">
      <c r="A72" s="61">
        <f>IF(NOT((COUNTA($B72:$K72)+COUNTA($N72))&gt;0),"",IF($S72="Macro",COUNTIFS($S$5:$S72,"Macro",$P$5:$P72,$P72),IF(N($R72)=0,"?",COUNTIFS(INDEX($S$5:$S$1000,1):INDEX($S$5:$S$1000,$R72-4),"Macro",INDEX($P$5:$P$1000,1):INDEX($P$5:$P$1000,$R72-4),INDEX($P$5:$P$1000,$R72-4))&amp;"."&amp;COUNTIFS($R$5:$R72,$R72,$S$5:$S72,"Sub"))))</f>
        <v/>
      </c>
      <c r="B72" s="62" t="n"/>
      <c r="C72" s="63" t="n"/>
      <c r="D72" s="62" t="n"/>
      <c r="E72" s="64" t="n"/>
      <c r="F72" s="64" t="n"/>
      <c r="G72" s="65" t="n"/>
      <c r="H72" s="66" t="n"/>
      <c r="I72" s="66" t="n"/>
      <c r="J72" s="66" t="n"/>
      <c r="K72" s="66" t="n"/>
      <c r="L72" s="67">
        <f>IF(NOT((COUNTA($B72:$K72)+COUNTA($N72))&gt;0),"",IF(N($T72)&gt;0,$AB72,IFERROR(LOOKUP(2,1/(H72:K72&lt;&gt;""),H72:K72),0)))</f>
        <v/>
      </c>
      <c r="M72" s="61">
        <f>IF(L72="","",IF(L72&gt;=1,"Completado",IF(L72&gt;0,"En curso","Pendiente")))</f>
        <v/>
      </c>
      <c r="N72" s="62" t="n"/>
      <c r="O72" s="68">
        <f>IF(NOT((COUNTA($B72:$K72)+COUNTA($N72))&gt;0),"",IF((IF(AND($S72="Macro",$B72=""),"Macroactividad vacía"&amp;" · ","")&amp;IF(AND($B72&lt;&gt;"",$C72&lt;&gt;""),"Escriba la subactividad en otra fila, debajo de su macroactividad"&amp;" · ","")&amp;IF(AND($S72="Sub",N($R72)=0),"Subactividad sin macroactividad arriba"&amp;" · ","")&amp;IF($D72="","Sin responsable"&amp;" · ","")&amp;IF($E72="","Sin fecha de inicio"&amp;" · ","")&amp;IF($F72="","Sin fecha límite"&amp;" · ","")&amp;IF(OR(AND($E72&lt;&gt;"",NOT(ISNUMBER($E72))),AND($F72&lt;&gt;"",NOT(ISNUMBER($F72)))),"Fecha no válida"&amp;" · ","")&amp;IF(AND(ISNUMBER($E72),ISNUMBER($F72),$E72&gt;$F72),"Inicio posterior a fecha límite"&amp;" · ","")&amp;IF(AND($S72="Macro",$G72=""),"Peso vacío"&amp;" · ","")&amp;IF(AND($S72="Macro",$G72&lt;&gt;"",OR(NOT(ISNUMBER($G72)),$G72&lt;=0,$G72&gt;1)),"Peso fuera de rango"&amp;" · ","")&amp;IF(AND($S72="Sub",$G72&lt;&gt;""),"Las subactividades no llevan peso"&amp;" · ","")&amp;IF(AND($S72="Macro",ABS(SUMIFS($G$5:$G$1000,$P$5:$P$1000,$P72,$S$5:$S$1000,"Macro")-1)&gt;0.0001),"Pesos del mes suman "&amp;TEXT(SUMIFS($G$5:$G$1000,$P$5:$P$1000,$P72,$S$5:$S$1000,"Macro"),"0%")&amp;" · ","")&amp;IF(AND(N($T72)&gt;0,COUNT($H72:$K72)&gt;0),"Con subactividades: deje vacías las semanas (se calculan solas)"&amp;" · ","")&amp;IF((COUNTIF($H72:$K72,"&gt;1")+COUNTIF($H72:$K72,"&lt;0")+COUNTA($H72:$K72)-COUNT($H72:$K72))&gt;0,"Avance fuera de rango 0-100%"&amp;" · ","")&amp;IF(OR(AND($I72&lt;&gt;"",$I72&lt;$H72),AND($J72&lt;&gt;"",$J72&lt;MAX($H72:$I72)),AND($K72&lt;&gt;"",$K72&lt;MAX($H72:$J72))),"Avance semanal decreciente"&amp;" · ","")&amp;IF(AND(ISNUMBER($F72),$F72&lt;FechaRef,N($L72)&lt;1),"Vencida"&amp;" · ","")&amp;IF(AND(ObsObligatoria="Sí",ISNUMBER($F72),$F72&lt;FechaRef,N($L72)&lt;1,$N72=""),"Vencida sin observación"&amp;" · ",""))="","✔ OK","⚠ "&amp;LEFT(IF(AND($S72="Macro",$B72=""),"Macroactividad vacía"&amp;" · ","")&amp;IF(AND($B72&lt;&gt;"",$C72&lt;&gt;""),"Escriba la subactividad en otra fila, debajo de su macroactividad"&amp;" · ","")&amp;IF(AND($S72="Sub",N($R72)=0),"Subactividad sin macroactividad arriba"&amp;" · ","")&amp;IF($D72="","Sin responsable"&amp;" · ","")&amp;IF($E72="","Sin fecha de inicio"&amp;" · ","")&amp;IF($F72="","Sin fecha límite"&amp;" · ","")&amp;IF(OR(AND($E72&lt;&gt;"",NOT(ISNUMBER($E72))),AND($F72&lt;&gt;"",NOT(ISNUMBER($F72)))),"Fecha no válida"&amp;" · ","")&amp;IF(AND(ISNUMBER($E72),ISNUMBER($F72),$E72&gt;$F72),"Inicio posterior a fecha límite"&amp;" · ","")&amp;IF(AND($S72="Macro",$G72=""),"Peso vacío"&amp;" · ","")&amp;IF(AND($S72="Macro",$G72&lt;&gt;"",OR(NOT(ISNUMBER($G72)),$G72&lt;=0,$G72&gt;1)),"Peso fuera de rango"&amp;" · ","")&amp;IF(AND($S72="Sub",$G72&lt;&gt;""),"Las subactividades no llevan peso"&amp;" · ","")&amp;IF(AND($S72="Macro",ABS(SUMIFS($G$5:$G$1000,$P$5:$P$1000,$P72,$S$5:$S$1000,"Macro")-1)&gt;0.0001),"Pesos del mes suman "&amp;TEXT(SUMIFS($G$5:$G$1000,$P$5:$P$1000,$P72,$S$5:$S$1000,"Macro"),"0%")&amp;" · ","")&amp;IF(AND(N($T72)&gt;0,COUNT($H72:$K72)&gt;0),"Con subactividades: deje vacías las semanas (se calculan solas)"&amp;" · ","")&amp;IF((COUNTIF($H72:$K72,"&gt;1")+COUNTIF($H72:$K72,"&lt;0")+COUNTA($H72:$K72)-COUNT($H72:$K72))&gt;0,"Avance fuera de rango 0-100%"&amp;" · ","")&amp;IF(OR(AND($I72&lt;&gt;"",$I72&lt;$H72),AND($J72&lt;&gt;"",$J72&lt;MAX($H72:$I72)),AND($K72&lt;&gt;"",$K72&lt;MAX($H72:$J72))),"Avance semanal decreciente"&amp;" · ","")&amp;IF(AND(ISNUMBER($F72),$F72&lt;FechaRef,N($L72)&lt;1),"Vencida"&amp;" · ","")&amp;IF(AND(ObsObligatoria="Sí",ISNUMBER($F72),$F72&lt;FechaRef,N($L72)&lt;1,$N72=""),"Vencida sin observación"&amp;" · ",""),LEN(IF(AND($S72="Macro",$B72=""),"Macroactividad vacía"&amp;" · ","")&amp;IF(AND($B72&lt;&gt;"",$C72&lt;&gt;""),"Escriba la subactividad en otra fila, debajo de su macroactividad"&amp;" · ","")&amp;IF(AND($S72="Sub",N($R72)=0),"Subactividad sin macroactividad arriba"&amp;" · ","")&amp;IF($D72="","Sin responsable"&amp;" · ","")&amp;IF($E72="","Sin fecha de inicio"&amp;" · ","")&amp;IF($F72="","Sin fecha límite"&amp;" · ","")&amp;IF(OR(AND($E72&lt;&gt;"",NOT(ISNUMBER($E72))),AND($F72&lt;&gt;"",NOT(ISNUMBER($F72)))),"Fecha no válida"&amp;" · ","")&amp;IF(AND(ISNUMBER($E72),ISNUMBER($F72),$E72&gt;$F72),"Inicio posterior a fecha límite"&amp;" · ","")&amp;IF(AND($S72="Macro",$G72=""),"Peso vacío"&amp;" · ","")&amp;IF(AND($S72="Macro",$G72&lt;&gt;"",OR(NOT(ISNUMBER($G72)),$G72&lt;=0,$G72&gt;1)),"Peso fuera de rango"&amp;" · ","")&amp;IF(AND($S72="Sub",$G72&lt;&gt;""),"Las subactividades no llevan peso"&amp;" · ","")&amp;IF(AND($S72="Macro",ABS(SUMIFS($G$5:$G$1000,$P$5:$P$1000,$P72,$S$5:$S$1000,"Macro")-1)&gt;0.0001),"Pesos del mes suman "&amp;TEXT(SUMIFS($G$5:$G$1000,$P$5:$P$1000,$P72,$S$5:$S$1000,"Macro"),"0%")&amp;" · ","")&amp;IF(AND(N($T72)&gt;0,COUNT($H72:$K72)&gt;0),"Con subactividades: deje vacías las semanas (se calculan solas)"&amp;" · ","")&amp;IF((COUNTIF($H72:$K72,"&gt;1")+COUNTIF($H72:$K72,"&lt;0")+COUNTA($H72:$K72)-COUNT($H72:$K72))&gt;0,"Avance fuera de rango 0-100%"&amp;" · ","")&amp;IF(OR(AND($I72&lt;&gt;"",$I72&lt;$H72),AND($J72&lt;&gt;"",$J72&lt;MAX($H72:$I72)),AND($K72&lt;&gt;"",$K72&lt;MAX($H72:$J72))),"Avance semanal decreciente"&amp;" · ","")&amp;IF(AND(ISNUMBER($F72),$F72&lt;FechaRef,N($L72)&lt;1),"Vencida"&amp;" · ","")&amp;IF(AND(ObsObligatoria="Sí",ISNUMBER($F72),$F72&lt;FechaRef,N($L72)&lt;1,$N72=""),"Vencida sin observación"&amp;" · ",""))-3)))</f>
        <v/>
      </c>
      <c r="P72" s="69">
        <f>IF(NOT((COUNTA($B72:$K72)+COUNTA($N72))&gt;0),"",IF(AND($S72="Sub",N($R72)&gt;0),IF(ISNUMBER(INDEX($E$5:$E$1000,$R72-4)),DATE(YEAR(INDEX($E$5:$E$1000,$R72-4)),MONTH(INDEX($E$5:$E$1000,$R72-4)),1),IF(ISNUMBER(INDEX($F$5:$F$1000,$R72-4)),DATE(YEAR(INDEX($F$5:$F$1000,$R72-4)),MONTH(INDEX($F$5:$F$1000,$R72-4)),1),MesCiclo)),IF(ISNUMBER($E72),DATE(YEAR($E72),MONTH($E72),1),IF(ISNUMBER($F72),DATE(YEAR($F72),MONTH($F72),1),MesCiclo))))</f>
        <v/>
      </c>
      <c r="Q72" s="70">
        <f>IF(OR($P72="",$P72&lt;&gt;MesCiclo),"",COUNTIF($P$5:$P72,MesCiclo))</f>
        <v/>
      </c>
      <c r="R72" s="70">
        <f>IF($S72="","",IF($S72="Macro",ROW(),IFERROR(LOOKUP(2,1/($S$5:$S72="Macro"),ROW($S$5:$S72)),0)))</f>
        <v/>
      </c>
      <c r="S72" s="70">
        <f>IF(NOT((COUNTA($B72:$K72)+COUNTA($N72))&gt;0),"",IF($B72&lt;&gt;"","Macro",IF($C72&lt;&gt;"","Sub","Macro")))</f>
        <v/>
      </c>
      <c r="T72" s="70">
        <f>IF($S72="Macro",COUNTIFS($R$5:$R$1000,ROW(),$S$5:$S$1000,"Sub"),"")</f>
        <v/>
      </c>
      <c r="U72" s="70">
        <f>IF($S72="","",IF(ISNUMBER($H72),$H72,0))</f>
        <v/>
      </c>
      <c r="V72" s="70">
        <f>IF($S72="","",IF(ISNUMBER($I72),$I72,$U72))</f>
        <v/>
      </c>
      <c r="W72" s="70">
        <f>IF($S72="","",IF(ISNUMBER($J72),$J72,$V72))</f>
        <v/>
      </c>
      <c r="X72" s="70">
        <f>IF($S72="","",IF(ISNUMBER($K72),$K72,$W72))</f>
        <v/>
      </c>
      <c r="Y72" s="70">
        <f>IF($S72="","",IF(N($T72)&gt;0,AVERAGEIFS($U$5:$U$1000,$R$5:$R$1000,ROW(),$S$5:$S$1000,"Sub"),$U72))</f>
        <v/>
      </c>
      <c r="Z72" s="70">
        <f>IF($S72="","",IF(N($T72)&gt;0,AVERAGEIFS($V$5:$V$1000,$R$5:$R$1000,ROW(),$S$5:$S$1000,"Sub"),$V72))</f>
        <v/>
      </c>
      <c r="AA72" s="70">
        <f>IF($S72="","",IF(N($T72)&gt;0,AVERAGEIFS($W$5:$W$1000,$R$5:$R$1000,ROW(),$S$5:$S$1000,"Sub"),$W72))</f>
        <v/>
      </c>
      <c r="AB72" s="70">
        <f>IF($S72="","",IF(N($T72)&gt;0,AVERAGEIFS($X$5:$X$1000,$R$5:$R$1000,ROW(),$S$5:$S$1000,"Sub"),$X72))</f>
        <v/>
      </c>
    </row>
    <row r="73">
      <c r="A73" s="61">
        <f>IF(NOT((COUNTA($B73:$K73)+COUNTA($N73))&gt;0),"",IF($S73="Macro",COUNTIFS($S$5:$S73,"Macro",$P$5:$P73,$P73),IF(N($R73)=0,"?",COUNTIFS(INDEX($S$5:$S$1000,1):INDEX($S$5:$S$1000,$R73-4),"Macro",INDEX($P$5:$P$1000,1):INDEX($P$5:$P$1000,$R73-4),INDEX($P$5:$P$1000,$R73-4))&amp;"."&amp;COUNTIFS($R$5:$R73,$R73,$S$5:$S73,"Sub"))))</f>
        <v/>
      </c>
      <c r="B73" s="62" t="n"/>
      <c r="C73" s="63" t="n"/>
      <c r="D73" s="62" t="n"/>
      <c r="E73" s="64" t="n"/>
      <c r="F73" s="64" t="n"/>
      <c r="G73" s="65" t="n"/>
      <c r="H73" s="66" t="n"/>
      <c r="I73" s="66" t="n"/>
      <c r="J73" s="66" t="n"/>
      <c r="K73" s="66" t="n"/>
      <c r="L73" s="67">
        <f>IF(NOT((COUNTA($B73:$K73)+COUNTA($N73))&gt;0),"",IF(N($T73)&gt;0,$AB73,IFERROR(LOOKUP(2,1/(H73:K73&lt;&gt;""),H73:K73),0)))</f>
        <v/>
      </c>
      <c r="M73" s="61">
        <f>IF(L73="","",IF(L73&gt;=1,"Completado",IF(L73&gt;0,"En curso","Pendiente")))</f>
        <v/>
      </c>
      <c r="N73" s="62" t="n"/>
      <c r="O73" s="68">
        <f>IF(NOT((COUNTA($B73:$K73)+COUNTA($N73))&gt;0),"",IF((IF(AND($S73="Macro",$B73=""),"Macroactividad vacía"&amp;" · ","")&amp;IF(AND($B73&lt;&gt;"",$C73&lt;&gt;""),"Escriba la subactividad en otra fila, debajo de su macroactividad"&amp;" · ","")&amp;IF(AND($S73="Sub",N($R73)=0),"Subactividad sin macroactividad arriba"&amp;" · ","")&amp;IF($D73="","Sin responsable"&amp;" · ","")&amp;IF($E73="","Sin fecha de inicio"&amp;" · ","")&amp;IF($F73="","Sin fecha límite"&amp;" · ","")&amp;IF(OR(AND($E73&lt;&gt;"",NOT(ISNUMBER($E73))),AND($F73&lt;&gt;"",NOT(ISNUMBER($F73)))),"Fecha no válida"&amp;" · ","")&amp;IF(AND(ISNUMBER($E73),ISNUMBER($F73),$E73&gt;$F73),"Inicio posterior a fecha límite"&amp;" · ","")&amp;IF(AND($S73="Macro",$G73=""),"Peso vacío"&amp;" · ","")&amp;IF(AND($S73="Macro",$G73&lt;&gt;"",OR(NOT(ISNUMBER($G73)),$G73&lt;=0,$G73&gt;1)),"Peso fuera de rango"&amp;" · ","")&amp;IF(AND($S73="Sub",$G73&lt;&gt;""),"Las subactividades no llevan peso"&amp;" · ","")&amp;IF(AND($S73="Macro",ABS(SUMIFS($G$5:$G$1000,$P$5:$P$1000,$P73,$S$5:$S$1000,"Macro")-1)&gt;0.0001),"Pesos del mes suman "&amp;TEXT(SUMIFS($G$5:$G$1000,$P$5:$P$1000,$P73,$S$5:$S$1000,"Macro"),"0%")&amp;" · ","")&amp;IF(AND(N($T73)&gt;0,COUNT($H73:$K73)&gt;0),"Con subactividades: deje vacías las semanas (se calculan solas)"&amp;" · ","")&amp;IF((COUNTIF($H73:$K73,"&gt;1")+COUNTIF($H73:$K73,"&lt;0")+COUNTA($H73:$K73)-COUNT($H73:$K73))&gt;0,"Avance fuera de rango 0-100%"&amp;" · ","")&amp;IF(OR(AND($I73&lt;&gt;"",$I73&lt;$H73),AND($J73&lt;&gt;"",$J73&lt;MAX($H73:$I73)),AND($K73&lt;&gt;"",$K73&lt;MAX($H73:$J73))),"Avance semanal decreciente"&amp;" · ","")&amp;IF(AND(ISNUMBER($F73),$F73&lt;FechaRef,N($L73)&lt;1),"Vencida"&amp;" · ","")&amp;IF(AND(ObsObligatoria="Sí",ISNUMBER($F73),$F73&lt;FechaRef,N($L73)&lt;1,$N73=""),"Vencida sin observación"&amp;" · ",""))="","✔ OK","⚠ "&amp;LEFT(IF(AND($S73="Macro",$B73=""),"Macroactividad vacía"&amp;" · ","")&amp;IF(AND($B73&lt;&gt;"",$C73&lt;&gt;""),"Escriba la subactividad en otra fila, debajo de su macroactividad"&amp;" · ","")&amp;IF(AND($S73="Sub",N($R73)=0),"Subactividad sin macroactividad arriba"&amp;" · ","")&amp;IF($D73="","Sin responsable"&amp;" · ","")&amp;IF($E73="","Sin fecha de inicio"&amp;" · ","")&amp;IF($F73="","Sin fecha límite"&amp;" · ","")&amp;IF(OR(AND($E73&lt;&gt;"",NOT(ISNUMBER($E73))),AND($F73&lt;&gt;"",NOT(ISNUMBER($F73)))),"Fecha no válida"&amp;" · ","")&amp;IF(AND(ISNUMBER($E73),ISNUMBER($F73),$E73&gt;$F73),"Inicio posterior a fecha límite"&amp;" · ","")&amp;IF(AND($S73="Macro",$G73=""),"Peso vacío"&amp;" · ","")&amp;IF(AND($S73="Macro",$G73&lt;&gt;"",OR(NOT(ISNUMBER($G73)),$G73&lt;=0,$G73&gt;1)),"Peso fuera de rango"&amp;" · ","")&amp;IF(AND($S73="Sub",$G73&lt;&gt;""),"Las subactividades no llevan peso"&amp;" · ","")&amp;IF(AND($S73="Macro",ABS(SUMIFS($G$5:$G$1000,$P$5:$P$1000,$P73,$S$5:$S$1000,"Macro")-1)&gt;0.0001),"Pesos del mes suman "&amp;TEXT(SUMIFS($G$5:$G$1000,$P$5:$P$1000,$P73,$S$5:$S$1000,"Macro"),"0%")&amp;" · ","")&amp;IF(AND(N($T73)&gt;0,COUNT($H73:$K73)&gt;0),"Con subactividades: deje vacías las semanas (se calculan solas)"&amp;" · ","")&amp;IF((COUNTIF($H73:$K73,"&gt;1")+COUNTIF($H73:$K73,"&lt;0")+COUNTA($H73:$K73)-COUNT($H73:$K73))&gt;0,"Avance fuera de rango 0-100%"&amp;" · ","")&amp;IF(OR(AND($I73&lt;&gt;"",$I73&lt;$H73),AND($J73&lt;&gt;"",$J73&lt;MAX($H73:$I73)),AND($K73&lt;&gt;"",$K73&lt;MAX($H73:$J73))),"Avance semanal decreciente"&amp;" · ","")&amp;IF(AND(ISNUMBER($F73),$F73&lt;FechaRef,N($L73)&lt;1),"Vencida"&amp;" · ","")&amp;IF(AND(ObsObligatoria="Sí",ISNUMBER($F73),$F73&lt;FechaRef,N($L73)&lt;1,$N73=""),"Vencida sin observación"&amp;" · ",""),LEN(IF(AND($S73="Macro",$B73=""),"Macroactividad vacía"&amp;" · ","")&amp;IF(AND($B73&lt;&gt;"",$C73&lt;&gt;""),"Escriba la subactividad en otra fila, debajo de su macroactividad"&amp;" · ","")&amp;IF(AND($S73="Sub",N($R73)=0),"Subactividad sin macroactividad arriba"&amp;" · ","")&amp;IF($D73="","Sin responsable"&amp;" · ","")&amp;IF($E73="","Sin fecha de inicio"&amp;" · ","")&amp;IF($F73="","Sin fecha límite"&amp;" · ","")&amp;IF(OR(AND($E73&lt;&gt;"",NOT(ISNUMBER($E73))),AND($F73&lt;&gt;"",NOT(ISNUMBER($F73)))),"Fecha no válida"&amp;" · ","")&amp;IF(AND(ISNUMBER($E73),ISNUMBER($F73),$E73&gt;$F73),"Inicio posterior a fecha límite"&amp;" · ","")&amp;IF(AND($S73="Macro",$G73=""),"Peso vacío"&amp;" · ","")&amp;IF(AND($S73="Macro",$G73&lt;&gt;"",OR(NOT(ISNUMBER($G73)),$G73&lt;=0,$G73&gt;1)),"Peso fuera de rango"&amp;" · ","")&amp;IF(AND($S73="Sub",$G73&lt;&gt;""),"Las subactividades no llevan peso"&amp;" · ","")&amp;IF(AND($S73="Macro",ABS(SUMIFS($G$5:$G$1000,$P$5:$P$1000,$P73,$S$5:$S$1000,"Macro")-1)&gt;0.0001),"Pesos del mes suman "&amp;TEXT(SUMIFS($G$5:$G$1000,$P$5:$P$1000,$P73,$S$5:$S$1000,"Macro"),"0%")&amp;" · ","")&amp;IF(AND(N($T73)&gt;0,COUNT($H73:$K73)&gt;0),"Con subactividades: deje vacías las semanas (se calculan solas)"&amp;" · ","")&amp;IF((COUNTIF($H73:$K73,"&gt;1")+COUNTIF($H73:$K73,"&lt;0")+COUNTA($H73:$K73)-COUNT($H73:$K73))&gt;0,"Avance fuera de rango 0-100%"&amp;" · ","")&amp;IF(OR(AND($I73&lt;&gt;"",$I73&lt;$H73),AND($J73&lt;&gt;"",$J73&lt;MAX($H73:$I73)),AND($K73&lt;&gt;"",$K73&lt;MAX($H73:$J73))),"Avance semanal decreciente"&amp;" · ","")&amp;IF(AND(ISNUMBER($F73),$F73&lt;FechaRef,N($L73)&lt;1),"Vencida"&amp;" · ","")&amp;IF(AND(ObsObligatoria="Sí",ISNUMBER($F73),$F73&lt;FechaRef,N($L73)&lt;1,$N73=""),"Vencida sin observación"&amp;" · ",""))-3)))</f>
        <v/>
      </c>
      <c r="P73" s="69">
        <f>IF(NOT((COUNTA($B73:$K73)+COUNTA($N73))&gt;0),"",IF(AND($S73="Sub",N($R73)&gt;0),IF(ISNUMBER(INDEX($E$5:$E$1000,$R73-4)),DATE(YEAR(INDEX($E$5:$E$1000,$R73-4)),MONTH(INDEX($E$5:$E$1000,$R73-4)),1),IF(ISNUMBER(INDEX($F$5:$F$1000,$R73-4)),DATE(YEAR(INDEX($F$5:$F$1000,$R73-4)),MONTH(INDEX($F$5:$F$1000,$R73-4)),1),MesCiclo)),IF(ISNUMBER($E73),DATE(YEAR($E73),MONTH($E73),1),IF(ISNUMBER($F73),DATE(YEAR($F73),MONTH($F73),1),MesCiclo))))</f>
        <v/>
      </c>
      <c r="Q73" s="70">
        <f>IF(OR($P73="",$P73&lt;&gt;MesCiclo),"",COUNTIF($P$5:$P73,MesCiclo))</f>
        <v/>
      </c>
      <c r="R73" s="70">
        <f>IF($S73="","",IF($S73="Macro",ROW(),IFERROR(LOOKUP(2,1/($S$5:$S73="Macro"),ROW($S$5:$S73)),0)))</f>
        <v/>
      </c>
      <c r="S73" s="70">
        <f>IF(NOT((COUNTA($B73:$K73)+COUNTA($N73))&gt;0),"",IF($B73&lt;&gt;"","Macro",IF($C73&lt;&gt;"","Sub","Macro")))</f>
        <v/>
      </c>
      <c r="T73" s="70">
        <f>IF($S73="Macro",COUNTIFS($R$5:$R$1000,ROW(),$S$5:$S$1000,"Sub"),"")</f>
        <v/>
      </c>
      <c r="U73" s="70">
        <f>IF($S73="","",IF(ISNUMBER($H73),$H73,0))</f>
        <v/>
      </c>
      <c r="V73" s="70">
        <f>IF($S73="","",IF(ISNUMBER($I73),$I73,$U73))</f>
        <v/>
      </c>
      <c r="W73" s="70">
        <f>IF($S73="","",IF(ISNUMBER($J73),$J73,$V73))</f>
        <v/>
      </c>
      <c r="X73" s="70">
        <f>IF($S73="","",IF(ISNUMBER($K73),$K73,$W73))</f>
        <v/>
      </c>
      <c r="Y73" s="70">
        <f>IF($S73="","",IF(N($T73)&gt;0,AVERAGEIFS($U$5:$U$1000,$R$5:$R$1000,ROW(),$S$5:$S$1000,"Sub"),$U73))</f>
        <v/>
      </c>
      <c r="Z73" s="70">
        <f>IF($S73="","",IF(N($T73)&gt;0,AVERAGEIFS($V$5:$V$1000,$R$5:$R$1000,ROW(),$S$5:$S$1000,"Sub"),$V73))</f>
        <v/>
      </c>
      <c r="AA73" s="70">
        <f>IF($S73="","",IF(N($T73)&gt;0,AVERAGEIFS($W$5:$W$1000,$R$5:$R$1000,ROW(),$S$5:$S$1000,"Sub"),$W73))</f>
        <v/>
      </c>
      <c r="AB73" s="70">
        <f>IF($S73="","",IF(N($T73)&gt;0,AVERAGEIFS($X$5:$X$1000,$R$5:$R$1000,ROW(),$S$5:$S$1000,"Sub"),$X73))</f>
        <v/>
      </c>
    </row>
    <row r="74">
      <c r="A74" s="61">
        <f>IF(NOT((COUNTA($B74:$K74)+COUNTA($N74))&gt;0),"",IF($S74="Macro",COUNTIFS($S$5:$S74,"Macro",$P$5:$P74,$P74),IF(N($R74)=0,"?",COUNTIFS(INDEX($S$5:$S$1000,1):INDEX($S$5:$S$1000,$R74-4),"Macro",INDEX($P$5:$P$1000,1):INDEX($P$5:$P$1000,$R74-4),INDEX($P$5:$P$1000,$R74-4))&amp;"."&amp;COUNTIFS($R$5:$R74,$R74,$S$5:$S74,"Sub"))))</f>
        <v/>
      </c>
      <c r="B74" s="62" t="n"/>
      <c r="C74" s="63" t="n"/>
      <c r="D74" s="62" t="n"/>
      <c r="E74" s="64" t="n"/>
      <c r="F74" s="64" t="n"/>
      <c r="G74" s="65" t="n"/>
      <c r="H74" s="66" t="n"/>
      <c r="I74" s="66" t="n"/>
      <c r="J74" s="66" t="n"/>
      <c r="K74" s="66" t="n"/>
      <c r="L74" s="67">
        <f>IF(NOT((COUNTA($B74:$K74)+COUNTA($N74))&gt;0),"",IF(N($T74)&gt;0,$AB74,IFERROR(LOOKUP(2,1/(H74:K74&lt;&gt;""),H74:K74),0)))</f>
        <v/>
      </c>
      <c r="M74" s="61">
        <f>IF(L74="","",IF(L74&gt;=1,"Completado",IF(L74&gt;0,"En curso","Pendiente")))</f>
        <v/>
      </c>
      <c r="N74" s="62" t="n"/>
      <c r="O74" s="68">
        <f>IF(NOT((COUNTA($B74:$K74)+COUNTA($N74))&gt;0),"",IF((IF(AND($S74="Macro",$B74=""),"Macroactividad vacía"&amp;" · ","")&amp;IF(AND($B74&lt;&gt;"",$C74&lt;&gt;""),"Escriba la subactividad en otra fila, debajo de su macroactividad"&amp;" · ","")&amp;IF(AND($S74="Sub",N($R74)=0),"Subactividad sin macroactividad arriba"&amp;" · ","")&amp;IF($D74="","Sin responsable"&amp;" · ","")&amp;IF($E74="","Sin fecha de inicio"&amp;" · ","")&amp;IF($F74="","Sin fecha límite"&amp;" · ","")&amp;IF(OR(AND($E74&lt;&gt;"",NOT(ISNUMBER($E74))),AND($F74&lt;&gt;"",NOT(ISNUMBER($F74)))),"Fecha no válida"&amp;" · ","")&amp;IF(AND(ISNUMBER($E74),ISNUMBER($F74),$E74&gt;$F74),"Inicio posterior a fecha límite"&amp;" · ","")&amp;IF(AND($S74="Macro",$G74=""),"Peso vacío"&amp;" · ","")&amp;IF(AND($S74="Macro",$G74&lt;&gt;"",OR(NOT(ISNUMBER($G74)),$G74&lt;=0,$G74&gt;1)),"Peso fuera de rango"&amp;" · ","")&amp;IF(AND($S74="Sub",$G74&lt;&gt;""),"Las subactividades no llevan peso"&amp;" · ","")&amp;IF(AND($S74="Macro",ABS(SUMIFS($G$5:$G$1000,$P$5:$P$1000,$P74,$S$5:$S$1000,"Macro")-1)&gt;0.0001),"Pesos del mes suman "&amp;TEXT(SUMIFS($G$5:$G$1000,$P$5:$P$1000,$P74,$S$5:$S$1000,"Macro"),"0%")&amp;" · ","")&amp;IF(AND(N($T74)&gt;0,COUNT($H74:$K74)&gt;0),"Con subactividades: deje vacías las semanas (se calculan solas)"&amp;" · ","")&amp;IF((COUNTIF($H74:$K74,"&gt;1")+COUNTIF($H74:$K74,"&lt;0")+COUNTA($H74:$K74)-COUNT($H74:$K74))&gt;0,"Avance fuera de rango 0-100%"&amp;" · ","")&amp;IF(OR(AND($I74&lt;&gt;"",$I74&lt;$H74),AND($J74&lt;&gt;"",$J74&lt;MAX($H74:$I74)),AND($K74&lt;&gt;"",$K74&lt;MAX($H74:$J74))),"Avance semanal decreciente"&amp;" · ","")&amp;IF(AND(ISNUMBER($F74),$F74&lt;FechaRef,N($L74)&lt;1),"Vencida"&amp;" · ","")&amp;IF(AND(ObsObligatoria="Sí",ISNUMBER($F74),$F74&lt;FechaRef,N($L74)&lt;1,$N74=""),"Vencida sin observación"&amp;" · ",""))="","✔ OK","⚠ "&amp;LEFT(IF(AND($S74="Macro",$B74=""),"Macroactividad vacía"&amp;" · ","")&amp;IF(AND($B74&lt;&gt;"",$C74&lt;&gt;""),"Escriba la subactividad en otra fila, debajo de su macroactividad"&amp;" · ","")&amp;IF(AND($S74="Sub",N($R74)=0),"Subactividad sin macroactividad arriba"&amp;" · ","")&amp;IF($D74="","Sin responsable"&amp;" · ","")&amp;IF($E74="","Sin fecha de inicio"&amp;" · ","")&amp;IF($F74="","Sin fecha límite"&amp;" · ","")&amp;IF(OR(AND($E74&lt;&gt;"",NOT(ISNUMBER($E74))),AND($F74&lt;&gt;"",NOT(ISNUMBER($F74)))),"Fecha no válida"&amp;" · ","")&amp;IF(AND(ISNUMBER($E74),ISNUMBER($F74),$E74&gt;$F74),"Inicio posterior a fecha límite"&amp;" · ","")&amp;IF(AND($S74="Macro",$G74=""),"Peso vacío"&amp;" · ","")&amp;IF(AND($S74="Macro",$G74&lt;&gt;"",OR(NOT(ISNUMBER($G74)),$G74&lt;=0,$G74&gt;1)),"Peso fuera de rango"&amp;" · ","")&amp;IF(AND($S74="Sub",$G74&lt;&gt;""),"Las subactividades no llevan peso"&amp;" · ","")&amp;IF(AND($S74="Macro",ABS(SUMIFS($G$5:$G$1000,$P$5:$P$1000,$P74,$S$5:$S$1000,"Macro")-1)&gt;0.0001),"Pesos del mes suman "&amp;TEXT(SUMIFS($G$5:$G$1000,$P$5:$P$1000,$P74,$S$5:$S$1000,"Macro"),"0%")&amp;" · ","")&amp;IF(AND(N($T74)&gt;0,COUNT($H74:$K74)&gt;0),"Con subactividades: deje vacías las semanas (se calculan solas)"&amp;" · ","")&amp;IF((COUNTIF($H74:$K74,"&gt;1")+COUNTIF($H74:$K74,"&lt;0")+COUNTA($H74:$K74)-COUNT($H74:$K74))&gt;0,"Avance fuera de rango 0-100%"&amp;" · ","")&amp;IF(OR(AND($I74&lt;&gt;"",$I74&lt;$H74),AND($J74&lt;&gt;"",$J74&lt;MAX($H74:$I74)),AND($K74&lt;&gt;"",$K74&lt;MAX($H74:$J74))),"Avance semanal decreciente"&amp;" · ","")&amp;IF(AND(ISNUMBER($F74),$F74&lt;FechaRef,N($L74)&lt;1),"Vencida"&amp;" · ","")&amp;IF(AND(ObsObligatoria="Sí",ISNUMBER($F74),$F74&lt;FechaRef,N($L74)&lt;1,$N74=""),"Vencida sin observación"&amp;" · ",""),LEN(IF(AND($S74="Macro",$B74=""),"Macroactividad vacía"&amp;" · ","")&amp;IF(AND($B74&lt;&gt;"",$C74&lt;&gt;""),"Escriba la subactividad en otra fila, debajo de su macroactividad"&amp;" · ","")&amp;IF(AND($S74="Sub",N($R74)=0),"Subactividad sin macroactividad arriba"&amp;" · ","")&amp;IF($D74="","Sin responsable"&amp;" · ","")&amp;IF($E74="","Sin fecha de inicio"&amp;" · ","")&amp;IF($F74="","Sin fecha límite"&amp;" · ","")&amp;IF(OR(AND($E74&lt;&gt;"",NOT(ISNUMBER($E74))),AND($F74&lt;&gt;"",NOT(ISNUMBER($F74)))),"Fecha no válida"&amp;" · ","")&amp;IF(AND(ISNUMBER($E74),ISNUMBER($F74),$E74&gt;$F74),"Inicio posterior a fecha límite"&amp;" · ","")&amp;IF(AND($S74="Macro",$G74=""),"Peso vacío"&amp;" · ","")&amp;IF(AND($S74="Macro",$G74&lt;&gt;"",OR(NOT(ISNUMBER($G74)),$G74&lt;=0,$G74&gt;1)),"Peso fuera de rango"&amp;" · ","")&amp;IF(AND($S74="Sub",$G74&lt;&gt;""),"Las subactividades no llevan peso"&amp;" · ","")&amp;IF(AND($S74="Macro",ABS(SUMIFS($G$5:$G$1000,$P$5:$P$1000,$P74,$S$5:$S$1000,"Macro")-1)&gt;0.0001),"Pesos del mes suman "&amp;TEXT(SUMIFS($G$5:$G$1000,$P$5:$P$1000,$P74,$S$5:$S$1000,"Macro"),"0%")&amp;" · ","")&amp;IF(AND(N($T74)&gt;0,COUNT($H74:$K74)&gt;0),"Con subactividades: deje vacías las semanas (se calculan solas)"&amp;" · ","")&amp;IF((COUNTIF($H74:$K74,"&gt;1")+COUNTIF($H74:$K74,"&lt;0")+COUNTA($H74:$K74)-COUNT($H74:$K74))&gt;0,"Avance fuera de rango 0-100%"&amp;" · ","")&amp;IF(OR(AND($I74&lt;&gt;"",$I74&lt;$H74),AND($J74&lt;&gt;"",$J74&lt;MAX($H74:$I74)),AND($K74&lt;&gt;"",$K74&lt;MAX($H74:$J74))),"Avance semanal decreciente"&amp;" · ","")&amp;IF(AND(ISNUMBER($F74),$F74&lt;FechaRef,N($L74)&lt;1),"Vencida"&amp;" · ","")&amp;IF(AND(ObsObligatoria="Sí",ISNUMBER($F74),$F74&lt;FechaRef,N($L74)&lt;1,$N74=""),"Vencida sin observación"&amp;" · ",""))-3)))</f>
        <v/>
      </c>
      <c r="P74" s="69">
        <f>IF(NOT((COUNTA($B74:$K74)+COUNTA($N74))&gt;0),"",IF(AND($S74="Sub",N($R74)&gt;0),IF(ISNUMBER(INDEX($E$5:$E$1000,$R74-4)),DATE(YEAR(INDEX($E$5:$E$1000,$R74-4)),MONTH(INDEX($E$5:$E$1000,$R74-4)),1),IF(ISNUMBER(INDEX($F$5:$F$1000,$R74-4)),DATE(YEAR(INDEX($F$5:$F$1000,$R74-4)),MONTH(INDEX($F$5:$F$1000,$R74-4)),1),MesCiclo)),IF(ISNUMBER($E74),DATE(YEAR($E74),MONTH($E74),1),IF(ISNUMBER($F74),DATE(YEAR($F74),MONTH($F74),1),MesCiclo))))</f>
        <v/>
      </c>
      <c r="Q74" s="70">
        <f>IF(OR($P74="",$P74&lt;&gt;MesCiclo),"",COUNTIF($P$5:$P74,MesCiclo))</f>
        <v/>
      </c>
      <c r="R74" s="70">
        <f>IF($S74="","",IF($S74="Macro",ROW(),IFERROR(LOOKUP(2,1/($S$5:$S74="Macro"),ROW($S$5:$S74)),0)))</f>
        <v/>
      </c>
      <c r="S74" s="70">
        <f>IF(NOT((COUNTA($B74:$K74)+COUNTA($N74))&gt;0),"",IF($B74&lt;&gt;"","Macro",IF($C74&lt;&gt;"","Sub","Macro")))</f>
        <v/>
      </c>
      <c r="T74" s="70">
        <f>IF($S74="Macro",COUNTIFS($R$5:$R$1000,ROW(),$S$5:$S$1000,"Sub"),"")</f>
        <v/>
      </c>
      <c r="U74" s="70">
        <f>IF($S74="","",IF(ISNUMBER($H74),$H74,0))</f>
        <v/>
      </c>
      <c r="V74" s="70">
        <f>IF($S74="","",IF(ISNUMBER($I74),$I74,$U74))</f>
        <v/>
      </c>
      <c r="W74" s="70">
        <f>IF($S74="","",IF(ISNUMBER($J74),$J74,$V74))</f>
        <v/>
      </c>
      <c r="X74" s="70">
        <f>IF($S74="","",IF(ISNUMBER($K74),$K74,$W74))</f>
        <v/>
      </c>
      <c r="Y74" s="70">
        <f>IF($S74="","",IF(N($T74)&gt;0,AVERAGEIFS($U$5:$U$1000,$R$5:$R$1000,ROW(),$S$5:$S$1000,"Sub"),$U74))</f>
        <v/>
      </c>
      <c r="Z74" s="70">
        <f>IF($S74="","",IF(N($T74)&gt;0,AVERAGEIFS($V$5:$V$1000,$R$5:$R$1000,ROW(),$S$5:$S$1000,"Sub"),$V74))</f>
        <v/>
      </c>
      <c r="AA74" s="70">
        <f>IF($S74="","",IF(N($T74)&gt;0,AVERAGEIFS($W$5:$W$1000,$R$5:$R$1000,ROW(),$S$5:$S$1000,"Sub"),$W74))</f>
        <v/>
      </c>
      <c r="AB74" s="70">
        <f>IF($S74="","",IF(N($T74)&gt;0,AVERAGEIFS($X$5:$X$1000,$R$5:$R$1000,ROW(),$S$5:$S$1000,"Sub"),$X74))</f>
        <v/>
      </c>
    </row>
    <row r="75">
      <c r="A75" s="61">
        <f>IF(NOT((COUNTA($B75:$K75)+COUNTA($N75))&gt;0),"",IF($S75="Macro",COUNTIFS($S$5:$S75,"Macro",$P$5:$P75,$P75),IF(N($R75)=0,"?",COUNTIFS(INDEX($S$5:$S$1000,1):INDEX($S$5:$S$1000,$R75-4),"Macro",INDEX($P$5:$P$1000,1):INDEX($P$5:$P$1000,$R75-4),INDEX($P$5:$P$1000,$R75-4))&amp;"."&amp;COUNTIFS($R$5:$R75,$R75,$S$5:$S75,"Sub"))))</f>
        <v/>
      </c>
      <c r="B75" s="62" t="n"/>
      <c r="C75" s="63" t="n"/>
      <c r="D75" s="62" t="n"/>
      <c r="E75" s="64" t="n"/>
      <c r="F75" s="64" t="n"/>
      <c r="G75" s="65" t="n"/>
      <c r="H75" s="66" t="n"/>
      <c r="I75" s="66" t="n"/>
      <c r="J75" s="66" t="n"/>
      <c r="K75" s="66" t="n"/>
      <c r="L75" s="67">
        <f>IF(NOT((COUNTA($B75:$K75)+COUNTA($N75))&gt;0),"",IF(N($T75)&gt;0,$AB75,IFERROR(LOOKUP(2,1/(H75:K75&lt;&gt;""),H75:K75),0)))</f>
        <v/>
      </c>
      <c r="M75" s="61">
        <f>IF(L75="","",IF(L75&gt;=1,"Completado",IF(L75&gt;0,"En curso","Pendiente")))</f>
        <v/>
      </c>
      <c r="N75" s="62" t="n"/>
      <c r="O75" s="68">
        <f>IF(NOT((COUNTA($B75:$K75)+COUNTA($N75))&gt;0),"",IF((IF(AND($S75="Macro",$B75=""),"Macroactividad vacía"&amp;" · ","")&amp;IF(AND($B75&lt;&gt;"",$C75&lt;&gt;""),"Escriba la subactividad en otra fila, debajo de su macroactividad"&amp;" · ","")&amp;IF(AND($S75="Sub",N($R75)=0),"Subactividad sin macroactividad arriba"&amp;" · ","")&amp;IF($D75="","Sin responsable"&amp;" · ","")&amp;IF($E75="","Sin fecha de inicio"&amp;" · ","")&amp;IF($F75="","Sin fecha límite"&amp;" · ","")&amp;IF(OR(AND($E75&lt;&gt;"",NOT(ISNUMBER($E75))),AND($F75&lt;&gt;"",NOT(ISNUMBER($F75)))),"Fecha no válida"&amp;" · ","")&amp;IF(AND(ISNUMBER($E75),ISNUMBER($F75),$E75&gt;$F75),"Inicio posterior a fecha límite"&amp;" · ","")&amp;IF(AND($S75="Macro",$G75=""),"Peso vacío"&amp;" · ","")&amp;IF(AND($S75="Macro",$G75&lt;&gt;"",OR(NOT(ISNUMBER($G75)),$G75&lt;=0,$G75&gt;1)),"Peso fuera de rango"&amp;" · ","")&amp;IF(AND($S75="Sub",$G75&lt;&gt;""),"Las subactividades no llevan peso"&amp;" · ","")&amp;IF(AND($S75="Macro",ABS(SUMIFS($G$5:$G$1000,$P$5:$P$1000,$P75,$S$5:$S$1000,"Macro")-1)&gt;0.0001),"Pesos del mes suman "&amp;TEXT(SUMIFS($G$5:$G$1000,$P$5:$P$1000,$P75,$S$5:$S$1000,"Macro"),"0%")&amp;" · ","")&amp;IF(AND(N($T75)&gt;0,COUNT($H75:$K75)&gt;0),"Con subactividades: deje vacías las semanas (se calculan solas)"&amp;" · ","")&amp;IF((COUNTIF($H75:$K75,"&gt;1")+COUNTIF($H75:$K75,"&lt;0")+COUNTA($H75:$K75)-COUNT($H75:$K75))&gt;0,"Avance fuera de rango 0-100%"&amp;" · ","")&amp;IF(OR(AND($I75&lt;&gt;"",$I75&lt;$H75),AND($J75&lt;&gt;"",$J75&lt;MAX($H75:$I75)),AND($K75&lt;&gt;"",$K75&lt;MAX($H75:$J75))),"Avance semanal decreciente"&amp;" · ","")&amp;IF(AND(ISNUMBER($F75),$F75&lt;FechaRef,N($L75)&lt;1),"Vencida"&amp;" · ","")&amp;IF(AND(ObsObligatoria="Sí",ISNUMBER($F75),$F75&lt;FechaRef,N($L75)&lt;1,$N75=""),"Vencida sin observación"&amp;" · ",""))="","✔ OK","⚠ "&amp;LEFT(IF(AND($S75="Macro",$B75=""),"Macroactividad vacía"&amp;" · ","")&amp;IF(AND($B75&lt;&gt;"",$C75&lt;&gt;""),"Escriba la subactividad en otra fila, debajo de su macroactividad"&amp;" · ","")&amp;IF(AND($S75="Sub",N($R75)=0),"Subactividad sin macroactividad arriba"&amp;" · ","")&amp;IF($D75="","Sin responsable"&amp;" · ","")&amp;IF($E75="","Sin fecha de inicio"&amp;" · ","")&amp;IF($F75="","Sin fecha límite"&amp;" · ","")&amp;IF(OR(AND($E75&lt;&gt;"",NOT(ISNUMBER($E75))),AND($F75&lt;&gt;"",NOT(ISNUMBER($F75)))),"Fecha no válida"&amp;" · ","")&amp;IF(AND(ISNUMBER($E75),ISNUMBER($F75),$E75&gt;$F75),"Inicio posterior a fecha límite"&amp;" · ","")&amp;IF(AND($S75="Macro",$G75=""),"Peso vacío"&amp;" · ","")&amp;IF(AND($S75="Macro",$G75&lt;&gt;"",OR(NOT(ISNUMBER($G75)),$G75&lt;=0,$G75&gt;1)),"Peso fuera de rango"&amp;" · ","")&amp;IF(AND($S75="Sub",$G75&lt;&gt;""),"Las subactividades no llevan peso"&amp;" · ","")&amp;IF(AND($S75="Macro",ABS(SUMIFS($G$5:$G$1000,$P$5:$P$1000,$P75,$S$5:$S$1000,"Macro")-1)&gt;0.0001),"Pesos del mes suman "&amp;TEXT(SUMIFS($G$5:$G$1000,$P$5:$P$1000,$P75,$S$5:$S$1000,"Macro"),"0%")&amp;" · ","")&amp;IF(AND(N($T75)&gt;0,COUNT($H75:$K75)&gt;0),"Con subactividades: deje vacías las semanas (se calculan solas)"&amp;" · ","")&amp;IF((COUNTIF($H75:$K75,"&gt;1")+COUNTIF($H75:$K75,"&lt;0")+COUNTA($H75:$K75)-COUNT($H75:$K75))&gt;0,"Avance fuera de rango 0-100%"&amp;" · ","")&amp;IF(OR(AND($I75&lt;&gt;"",$I75&lt;$H75),AND($J75&lt;&gt;"",$J75&lt;MAX($H75:$I75)),AND($K75&lt;&gt;"",$K75&lt;MAX($H75:$J75))),"Avance semanal decreciente"&amp;" · ","")&amp;IF(AND(ISNUMBER($F75),$F75&lt;FechaRef,N($L75)&lt;1),"Vencida"&amp;" · ","")&amp;IF(AND(ObsObligatoria="Sí",ISNUMBER($F75),$F75&lt;FechaRef,N($L75)&lt;1,$N75=""),"Vencida sin observación"&amp;" · ",""),LEN(IF(AND($S75="Macro",$B75=""),"Macroactividad vacía"&amp;" · ","")&amp;IF(AND($B75&lt;&gt;"",$C75&lt;&gt;""),"Escriba la subactividad en otra fila, debajo de su macroactividad"&amp;" · ","")&amp;IF(AND($S75="Sub",N($R75)=0),"Subactividad sin macroactividad arriba"&amp;" · ","")&amp;IF($D75="","Sin responsable"&amp;" · ","")&amp;IF($E75="","Sin fecha de inicio"&amp;" · ","")&amp;IF($F75="","Sin fecha límite"&amp;" · ","")&amp;IF(OR(AND($E75&lt;&gt;"",NOT(ISNUMBER($E75))),AND($F75&lt;&gt;"",NOT(ISNUMBER($F75)))),"Fecha no válida"&amp;" · ","")&amp;IF(AND(ISNUMBER($E75),ISNUMBER($F75),$E75&gt;$F75),"Inicio posterior a fecha límite"&amp;" · ","")&amp;IF(AND($S75="Macro",$G75=""),"Peso vacío"&amp;" · ","")&amp;IF(AND($S75="Macro",$G75&lt;&gt;"",OR(NOT(ISNUMBER($G75)),$G75&lt;=0,$G75&gt;1)),"Peso fuera de rango"&amp;" · ","")&amp;IF(AND($S75="Sub",$G75&lt;&gt;""),"Las subactividades no llevan peso"&amp;" · ","")&amp;IF(AND($S75="Macro",ABS(SUMIFS($G$5:$G$1000,$P$5:$P$1000,$P75,$S$5:$S$1000,"Macro")-1)&gt;0.0001),"Pesos del mes suman "&amp;TEXT(SUMIFS($G$5:$G$1000,$P$5:$P$1000,$P75,$S$5:$S$1000,"Macro"),"0%")&amp;" · ","")&amp;IF(AND(N($T75)&gt;0,COUNT($H75:$K75)&gt;0),"Con subactividades: deje vacías las semanas (se calculan solas)"&amp;" · ","")&amp;IF((COUNTIF($H75:$K75,"&gt;1")+COUNTIF($H75:$K75,"&lt;0")+COUNTA($H75:$K75)-COUNT($H75:$K75))&gt;0,"Avance fuera de rango 0-100%"&amp;" · ","")&amp;IF(OR(AND($I75&lt;&gt;"",$I75&lt;$H75),AND($J75&lt;&gt;"",$J75&lt;MAX($H75:$I75)),AND($K75&lt;&gt;"",$K75&lt;MAX($H75:$J75))),"Avance semanal decreciente"&amp;" · ","")&amp;IF(AND(ISNUMBER($F75),$F75&lt;FechaRef,N($L75)&lt;1),"Vencida"&amp;" · ","")&amp;IF(AND(ObsObligatoria="Sí",ISNUMBER($F75),$F75&lt;FechaRef,N($L75)&lt;1,$N75=""),"Vencida sin observación"&amp;" · ",""))-3)))</f>
        <v/>
      </c>
      <c r="P75" s="69">
        <f>IF(NOT((COUNTA($B75:$K75)+COUNTA($N75))&gt;0),"",IF(AND($S75="Sub",N($R75)&gt;0),IF(ISNUMBER(INDEX($E$5:$E$1000,$R75-4)),DATE(YEAR(INDEX($E$5:$E$1000,$R75-4)),MONTH(INDEX($E$5:$E$1000,$R75-4)),1),IF(ISNUMBER(INDEX($F$5:$F$1000,$R75-4)),DATE(YEAR(INDEX($F$5:$F$1000,$R75-4)),MONTH(INDEX($F$5:$F$1000,$R75-4)),1),MesCiclo)),IF(ISNUMBER($E75),DATE(YEAR($E75),MONTH($E75),1),IF(ISNUMBER($F75),DATE(YEAR($F75),MONTH($F75),1),MesCiclo))))</f>
        <v/>
      </c>
      <c r="Q75" s="70">
        <f>IF(OR($P75="",$P75&lt;&gt;MesCiclo),"",COUNTIF($P$5:$P75,MesCiclo))</f>
        <v/>
      </c>
      <c r="R75" s="70">
        <f>IF($S75="","",IF($S75="Macro",ROW(),IFERROR(LOOKUP(2,1/($S$5:$S75="Macro"),ROW($S$5:$S75)),0)))</f>
        <v/>
      </c>
      <c r="S75" s="70">
        <f>IF(NOT((COUNTA($B75:$K75)+COUNTA($N75))&gt;0),"",IF($B75&lt;&gt;"","Macro",IF($C75&lt;&gt;"","Sub","Macro")))</f>
        <v/>
      </c>
      <c r="T75" s="70">
        <f>IF($S75="Macro",COUNTIFS($R$5:$R$1000,ROW(),$S$5:$S$1000,"Sub"),"")</f>
        <v/>
      </c>
      <c r="U75" s="70">
        <f>IF($S75="","",IF(ISNUMBER($H75),$H75,0))</f>
        <v/>
      </c>
      <c r="V75" s="70">
        <f>IF($S75="","",IF(ISNUMBER($I75),$I75,$U75))</f>
        <v/>
      </c>
      <c r="W75" s="70">
        <f>IF($S75="","",IF(ISNUMBER($J75),$J75,$V75))</f>
        <v/>
      </c>
      <c r="X75" s="70">
        <f>IF($S75="","",IF(ISNUMBER($K75),$K75,$W75))</f>
        <v/>
      </c>
      <c r="Y75" s="70">
        <f>IF($S75="","",IF(N($T75)&gt;0,AVERAGEIFS($U$5:$U$1000,$R$5:$R$1000,ROW(),$S$5:$S$1000,"Sub"),$U75))</f>
        <v/>
      </c>
      <c r="Z75" s="70">
        <f>IF($S75="","",IF(N($T75)&gt;0,AVERAGEIFS($V$5:$V$1000,$R$5:$R$1000,ROW(),$S$5:$S$1000,"Sub"),$V75))</f>
        <v/>
      </c>
      <c r="AA75" s="70">
        <f>IF($S75="","",IF(N($T75)&gt;0,AVERAGEIFS($W$5:$W$1000,$R$5:$R$1000,ROW(),$S$5:$S$1000,"Sub"),$W75))</f>
        <v/>
      </c>
      <c r="AB75" s="70">
        <f>IF($S75="","",IF(N($T75)&gt;0,AVERAGEIFS($X$5:$X$1000,$R$5:$R$1000,ROW(),$S$5:$S$1000,"Sub"),$X75))</f>
        <v/>
      </c>
    </row>
    <row r="76">
      <c r="A76" s="61">
        <f>IF(NOT((COUNTA($B76:$K76)+COUNTA($N76))&gt;0),"",IF($S76="Macro",COUNTIFS($S$5:$S76,"Macro",$P$5:$P76,$P76),IF(N($R76)=0,"?",COUNTIFS(INDEX($S$5:$S$1000,1):INDEX($S$5:$S$1000,$R76-4),"Macro",INDEX($P$5:$P$1000,1):INDEX($P$5:$P$1000,$R76-4),INDEX($P$5:$P$1000,$R76-4))&amp;"."&amp;COUNTIFS($R$5:$R76,$R76,$S$5:$S76,"Sub"))))</f>
        <v/>
      </c>
      <c r="B76" s="62" t="n"/>
      <c r="C76" s="63" t="n"/>
      <c r="D76" s="62" t="n"/>
      <c r="E76" s="64" t="n"/>
      <c r="F76" s="64" t="n"/>
      <c r="G76" s="65" t="n"/>
      <c r="H76" s="66" t="n"/>
      <c r="I76" s="66" t="n"/>
      <c r="J76" s="66" t="n"/>
      <c r="K76" s="66" t="n"/>
      <c r="L76" s="67">
        <f>IF(NOT((COUNTA($B76:$K76)+COUNTA($N76))&gt;0),"",IF(N($T76)&gt;0,$AB76,IFERROR(LOOKUP(2,1/(H76:K76&lt;&gt;""),H76:K76),0)))</f>
        <v/>
      </c>
      <c r="M76" s="61">
        <f>IF(L76="","",IF(L76&gt;=1,"Completado",IF(L76&gt;0,"En curso","Pendiente")))</f>
        <v/>
      </c>
      <c r="N76" s="62" t="n"/>
      <c r="O76" s="68">
        <f>IF(NOT((COUNTA($B76:$K76)+COUNTA($N76))&gt;0),"",IF((IF(AND($S76="Macro",$B76=""),"Macroactividad vacía"&amp;" · ","")&amp;IF(AND($B76&lt;&gt;"",$C76&lt;&gt;""),"Escriba la subactividad en otra fila, debajo de su macroactividad"&amp;" · ","")&amp;IF(AND($S76="Sub",N($R76)=0),"Subactividad sin macroactividad arriba"&amp;" · ","")&amp;IF($D76="","Sin responsable"&amp;" · ","")&amp;IF($E76="","Sin fecha de inicio"&amp;" · ","")&amp;IF($F76="","Sin fecha límite"&amp;" · ","")&amp;IF(OR(AND($E76&lt;&gt;"",NOT(ISNUMBER($E76))),AND($F76&lt;&gt;"",NOT(ISNUMBER($F76)))),"Fecha no válida"&amp;" · ","")&amp;IF(AND(ISNUMBER($E76),ISNUMBER($F76),$E76&gt;$F76),"Inicio posterior a fecha límite"&amp;" · ","")&amp;IF(AND($S76="Macro",$G76=""),"Peso vacío"&amp;" · ","")&amp;IF(AND($S76="Macro",$G76&lt;&gt;"",OR(NOT(ISNUMBER($G76)),$G76&lt;=0,$G76&gt;1)),"Peso fuera de rango"&amp;" · ","")&amp;IF(AND($S76="Sub",$G76&lt;&gt;""),"Las subactividades no llevan peso"&amp;" · ","")&amp;IF(AND($S76="Macro",ABS(SUMIFS($G$5:$G$1000,$P$5:$P$1000,$P76,$S$5:$S$1000,"Macro")-1)&gt;0.0001),"Pesos del mes suman "&amp;TEXT(SUMIFS($G$5:$G$1000,$P$5:$P$1000,$P76,$S$5:$S$1000,"Macro"),"0%")&amp;" · ","")&amp;IF(AND(N($T76)&gt;0,COUNT($H76:$K76)&gt;0),"Con subactividades: deje vacías las semanas (se calculan solas)"&amp;" · ","")&amp;IF((COUNTIF($H76:$K76,"&gt;1")+COUNTIF($H76:$K76,"&lt;0")+COUNTA($H76:$K76)-COUNT($H76:$K76))&gt;0,"Avance fuera de rango 0-100%"&amp;" · ","")&amp;IF(OR(AND($I76&lt;&gt;"",$I76&lt;$H76),AND($J76&lt;&gt;"",$J76&lt;MAX($H76:$I76)),AND($K76&lt;&gt;"",$K76&lt;MAX($H76:$J76))),"Avance semanal decreciente"&amp;" · ","")&amp;IF(AND(ISNUMBER($F76),$F76&lt;FechaRef,N($L76)&lt;1),"Vencida"&amp;" · ","")&amp;IF(AND(ObsObligatoria="Sí",ISNUMBER($F76),$F76&lt;FechaRef,N($L76)&lt;1,$N76=""),"Vencida sin observación"&amp;" · ",""))="","✔ OK","⚠ "&amp;LEFT(IF(AND($S76="Macro",$B76=""),"Macroactividad vacía"&amp;" · ","")&amp;IF(AND($B76&lt;&gt;"",$C76&lt;&gt;""),"Escriba la subactividad en otra fila, debajo de su macroactividad"&amp;" · ","")&amp;IF(AND($S76="Sub",N($R76)=0),"Subactividad sin macroactividad arriba"&amp;" · ","")&amp;IF($D76="","Sin responsable"&amp;" · ","")&amp;IF($E76="","Sin fecha de inicio"&amp;" · ","")&amp;IF($F76="","Sin fecha límite"&amp;" · ","")&amp;IF(OR(AND($E76&lt;&gt;"",NOT(ISNUMBER($E76))),AND($F76&lt;&gt;"",NOT(ISNUMBER($F76)))),"Fecha no válida"&amp;" · ","")&amp;IF(AND(ISNUMBER($E76),ISNUMBER($F76),$E76&gt;$F76),"Inicio posterior a fecha límite"&amp;" · ","")&amp;IF(AND($S76="Macro",$G76=""),"Peso vacío"&amp;" · ","")&amp;IF(AND($S76="Macro",$G76&lt;&gt;"",OR(NOT(ISNUMBER($G76)),$G76&lt;=0,$G76&gt;1)),"Peso fuera de rango"&amp;" · ","")&amp;IF(AND($S76="Sub",$G76&lt;&gt;""),"Las subactividades no llevan peso"&amp;" · ","")&amp;IF(AND($S76="Macro",ABS(SUMIFS($G$5:$G$1000,$P$5:$P$1000,$P76,$S$5:$S$1000,"Macro")-1)&gt;0.0001),"Pesos del mes suman "&amp;TEXT(SUMIFS($G$5:$G$1000,$P$5:$P$1000,$P76,$S$5:$S$1000,"Macro"),"0%")&amp;" · ","")&amp;IF(AND(N($T76)&gt;0,COUNT($H76:$K76)&gt;0),"Con subactividades: deje vacías las semanas (se calculan solas)"&amp;" · ","")&amp;IF((COUNTIF($H76:$K76,"&gt;1")+COUNTIF($H76:$K76,"&lt;0")+COUNTA($H76:$K76)-COUNT($H76:$K76))&gt;0,"Avance fuera de rango 0-100%"&amp;" · ","")&amp;IF(OR(AND($I76&lt;&gt;"",$I76&lt;$H76),AND($J76&lt;&gt;"",$J76&lt;MAX($H76:$I76)),AND($K76&lt;&gt;"",$K76&lt;MAX($H76:$J76))),"Avance semanal decreciente"&amp;" · ","")&amp;IF(AND(ISNUMBER($F76),$F76&lt;FechaRef,N($L76)&lt;1),"Vencida"&amp;" · ","")&amp;IF(AND(ObsObligatoria="Sí",ISNUMBER($F76),$F76&lt;FechaRef,N($L76)&lt;1,$N76=""),"Vencida sin observación"&amp;" · ",""),LEN(IF(AND($S76="Macro",$B76=""),"Macroactividad vacía"&amp;" · ","")&amp;IF(AND($B76&lt;&gt;"",$C76&lt;&gt;""),"Escriba la subactividad en otra fila, debajo de su macroactividad"&amp;" · ","")&amp;IF(AND($S76="Sub",N($R76)=0),"Subactividad sin macroactividad arriba"&amp;" · ","")&amp;IF($D76="","Sin responsable"&amp;" · ","")&amp;IF($E76="","Sin fecha de inicio"&amp;" · ","")&amp;IF($F76="","Sin fecha límite"&amp;" · ","")&amp;IF(OR(AND($E76&lt;&gt;"",NOT(ISNUMBER($E76))),AND($F76&lt;&gt;"",NOT(ISNUMBER($F76)))),"Fecha no válida"&amp;" · ","")&amp;IF(AND(ISNUMBER($E76),ISNUMBER($F76),$E76&gt;$F76),"Inicio posterior a fecha límite"&amp;" · ","")&amp;IF(AND($S76="Macro",$G76=""),"Peso vacío"&amp;" · ","")&amp;IF(AND($S76="Macro",$G76&lt;&gt;"",OR(NOT(ISNUMBER($G76)),$G76&lt;=0,$G76&gt;1)),"Peso fuera de rango"&amp;" · ","")&amp;IF(AND($S76="Sub",$G76&lt;&gt;""),"Las subactividades no llevan peso"&amp;" · ","")&amp;IF(AND($S76="Macro",ABS(SUMIFS($G$5:$G$1000,$P$5:$P$1000,$P76,$S$5:$S$1000,"Macro")-1)&gt;0.0001),"Pesos del mes suman "&amp;TEXT(SUMIFS($G$5:$G$1000,$P$5:$P$1000,$P76,$S$5:$S$1000,"Macro"),"0%")&amp;" · ","")&amp;IF(AND(N($T76)&gt;0,COUNT($H76:$K76)&gt;0),"Con subactividades: deje vacías las semanas (se calculan solas)"&amp;" · ","")&amp;IF((COUNTIF($H76:$K76,"&gt;1")+COUNTIF($H76:$K76,"&lt;0")+COUNTA($H76:$K76)-COUNT($H76:$K76))&gt;0,"Avance fuera de rango 0-100%"&amp;" · ","")&amp;IF(OR(AND($I76&lt;&gt;"",$I76&lt;$H76),AND($J76&lt;&gt;"",$J76&lt;MAX($H76:$I76)),AND($K76&lt;&gt;"",$K76&lt;MAX($H76:$J76))),"Avance semanal decreciente"&amp;" · ","")&amp;IF(AND(ISNUMBER($F76),$F76&lt;FechaRef,N($L76)&lt;1),"Vencida"&amp;" · ","")&amp;IF(AND(ObsObligatoria="Sí",ISNUMBER($F76),$F76&lt;FechaRef,N($L76)&lt;1,$N76=""),"Vencida sin observación"&amp;" · ",""))-3)))</f>
        <v/>
      </c>
      <c r="P76" s="69">
        <f>IF(NOT((COUNTA($B76:$K76)+COUNTA($N76))&gt;0),"",IF(AND($S76="Sub",N($R76)&gt;0),IF(ISNUMBER(INDEX($E$5:$E$1000,$R76-4)),DATE(YEAR(INDEX($E$5:$E$1000,$R76-4)),MONTH(INDEX($E$5:$E$1000,$R76-4)),1),IF(ISNUMBER(INDEX($F$5:$F$1000,$R76-4)),DATE(YEAR(INDEX($F$5:$F$1000,$R76-4)),MONTH(INDEX($F$5:$F$1000,$R76-4)),1),MesCiclo)),IF(ISNUMBER($E76),DATE(YEAR($E76),MONTH($E76),1),IF(ISNUMBER($F76),DATE(YEAR($F76),MONTH($F76),1),MesCiclo))))</f>
        <v/>
      </c>
      <c r="Q76" s="70">
        <f>IF(OR($P76="",$P76&lt;&gt;MesCiclo),"",COUNTIF($P$5:$P76,MesCiclo))</f>
        <v/>
      </c>
      <c r="R76" s="70">
        <f>IF($S76="","",IF($S76="Macro",ROW(),IFERROR(LOOKUP(2,1/($S$5:$S76="Macro"),ROW($S$5:$S76)),0)))</f>
        <v/>
      </c>
      <c r="S76" s="70">
        <f>IF(NOT((COUNTA($B76:$K76)+COUNTA($N76))&gt;0),"",IF($B76&lt;&gt;"","Macro",IF($C76&lt;&gt;"","Sub","Macro")))</f>
        <v/>
      </c>
      <c r="T76" s="70">
        <f>IF($S76="Macro",COUNTIFS($R$5:$R$1000,ROW(),$S$5:$S$1000,"Sub"),"")</f>
        <v/>
      </c>
      <c r="U76" s="70">
        <f>IF($S76="","",IF(ISNUMBER($H76),$H76,0))</f>
        <v/>
      </c>
      <c r="V76" s="70">
        <f>IF($S76="","",IF(ISNUMBER($I76),$I76,$U76))</f>
        <v/>
      </c>
      <c r="W76" s="70">
        <f>IF($S76="","",IF(ISNUMBER($J76),$J76,$V76))</f>
        <v/>
      </c>
      <c r="X76" s="70">
        <f>IF($S76="","",IF(ISNUMBER($K76),$K76,$W76))</f>
        <v/>
      </c>
      <c r="Y76" s="70">
        <f>IF($S76="","",IF(N($T76)&gt;0,AVERAGEIFS($U$5:$U$1000,$R$5:$R$1000,ROW(),$S$5:$S$1000,"Sub"),$U76))</f>
        <v/>
      </c>
      <c r="Z76" s="70">
        <f>IF($S76="","",IF(N($T76)&gt;0,AVERAGEIFS($V$5:$V$1000,$R$5:$R$1000,ROW(),$S$5:$S$1000,"Sub"),$V76))</f>
        <v/>
      </c>
      <c r="AA76" s="70">
        <f>IF($S76="","",IF(N($T76)&gt;0,AVERAGEIFS($W$5:$W$1000,$R$5:$R$1000,ROW(),$S$5:$S$1000,"Sub"),$W76))</f>
        <v/>
      </c>
      <c r="AB76" s="70">
        <f>IF($S76="","",IF(N($T76)&gt;0,AVERAGEIFS($X$5:$X$1000,$R$5:$R$1000,ROW(),$S$5:$S$1000,"Sub"),$X76))</f>
        <v/>
      </c>
    </row>
    <row r="77">
      <c r="A77" s="61">
        <f>IF(NOT((COUNTA($B77:$K77)+COUNTA($N77))&gt;0),"",IF($S77="Macro",COUNTIFS($S$5:$S77,"Macro",$P$5:$P77,$P77),IF(N($R77)=0,"?",COUNTIFS(INDEX($S$5:$S$1000,1):INDEX($S$5:$S$1000,$R77-4),"Macro",INDEX($P$5:$P$1000,1):INDEX($P$5:$P$1000,$R77-4),INDEX($P$5:$P$1000,$R77-4))&amp;"."&amp;COUNTIFS($R$5:$R77,$R77,$S$5:$S77,"Sub"))))</f>
        <v/>
      </c>
      <c r="B77" s="62" t="n"/>
      <c r="C77" s="63" t="n"/>
      <c r="D77" s="62" t="n"/>
      <c r="E77" s="64" t="n"/>
      <c r="F77" s="64" t="n"/>
      <c r="G77" s="65" t="n"/>
      <c r="H77" s="66" t="n"/>
      <c r="I77" s="66" t="n"/>
      <c r="J77" s="66" t="n"/>
      <c r="K77" s="66" t="n"/>
      <c r="L77" s="67">
        <f>IF(NOT((COUNTA($B77:$K77)+COUNTA($N77))&gt;0),"",IF(N($T77)&gt;0,$AB77,IFERROR(LOOKUP(2,1/(H77:K77&lt;&gt;""),H77:K77),0)))</f>
        <v/>
      </c>
      <c r="M77" s="61">
        <f>IF(L77="","",IF(L77&gt;=1,"Completado",IF(L77&gt;0,"En curso","Pendiente")))</f>
        <v/>
      </c>
      <c r="N77" s="62" t="n"/>
      <c r="O77" s="68">
        <f>IF(NOT((COUNTA($B77:$K77)+COUNTA($N77))&gt;0),"",IF((IF(AND($S77="Macro",$B77=""),"Macroactividad vacía"&amp;" · ","")&amp;IF(AND($B77&lt;&gt;"",$C77&lt;&gt;""),"Escriba la subactividad en otra fila, debajo de su macroactividad"&amp;" · ","")&amp;IF(AND($S77="Sub",N($R77)=0),"Subactividad sin macroactividad arriba"&amp;" · ","")&amp;IF($D77="","Sin responsable"&amp;" · ","")&amp;IF($E77="","Sin fecha de inicio"&amp;" · ","")&amp;IF($F77="","Sin fecha límite"&amp;" · ","")&amp;IF(OR(AND($E77&lt;&gt;"",NOT(ISNUMBER($E77))),AND($F77&lt;&gt;"",NOT(ISNUMBER($F77)))),"Fecha no válida"&amp;" · ","")&amp;IF(AND(ISNUMBER($E77),ISNUMBER($F77),$E77&gt;$F77),"Inicio posterior a fecha límite"&amp;" · ","")&amp;IF(AND($S77="Macro",$G77=""),"Peso vacío"&amp;" · ","")&amp;IF(AND($S77="Macro",$G77&lt;&gt;"",OR(NOT(ISNUMBER($G77)),$G77&lt;=0,$G77&gt;1)),"Peso fuera de rango"&amp;" · ","")&amp;IF(AND($S77="Sub",$G77&lt;&gt;""),"Las subactividades no llevan peso"&amp;" · ","")&amp;IF(AND($S77="Macro",ABS(SUMIFS($G$5:$G$1000,$P$5:$P$1000,$P77,$S$5:$S$1000,"Macro")-1)&gt;0.0001),"Pesos del mes suman "&amp;TEXT(SUMIFS($G$5:$G$1000,$P$5:$P$1000,$P77,$S$5:$S$1000,"Macro"),"0%")&amp;" · ","")&amp;IF(AND(N($T77)&gt;0,COUNT($H77:$K77)&gt;0),"Con subactividades: deje vacías las semanas (se calculan solas)"&amp;" · ","")&amp;IF((COUNTIF($H77:$K77,"&gt;1")+COUNTIF($H77:$K77,"&lt;0")+COUNTA($H77:$K77)-COUNT($H77:$K77))&gt;0,"Avance fuera de rango 0-100%"&amp;" · ","")&amp;IF(OR(AND($I77&lt;&gt;"",$I77&lt;$H77),AND($J77&lt;&gt;"",$J77&lt;MAX($H77:$I77)),AND($K77&lt;&gt;"",$K77&lt;MAX($H77:$J77))),"Avance semanal decreciente"&amp;" · ","")&amp;IF(AND(ISNUMBER($F77),$F77&lt;FechaRef,N($L77)&lt;1),"Vencida"&amp;" · ","")&amp;IF(AND(ObsObligatoria="Sí",ISNUMBER($F77),$F77&lt;FechaRef,N($L77)&lt;1,$N77=""),"Vencida sin observación"&amp;" · ",""))="","✔ OK","⚠ "&amp;LEFT(IF(AND($S77="Macro",$B77=""),"Macroactividad vacía"&amp;" · ","")&amp;IF(AND($B77&lt;&gt;"",$C77&lt;&gt;""),"Escriba la subactividad en otra fila, debajo de su macroactividad"&amp;" · ","")&amp;IF(AND($S77="Sub",N($R77)=0),"Subactividad sin macroactividad arriba"&amp;" · ","")&amp;IF($D77="","Sin responsable"&amp;" · ","")&amp;IF($E77="","Sin fecha de inicio"&amp;" · ","")&amp;IF($F77="","Sin fecha límite"&amp;" · ","")&amp;IF(OR(AND($E77&lt;&gt;"",NOT(ISNUMBER($E77))),AND($F77&lt;&gt;"",NOT(ISNUMBER($F77)))),"Fecha no válida"&amp;" · ","")&amp;IF(AND(ISNUMBER($E77),ISNUMBER($F77),$E77&gt;$F77),"Inicio posterior a fecha límite"&amp;" · ","")&amp;IF(AND($S77="Macro",$G77=""),"Peso vacío"&amp;" · ","")&amp;IF(AND($S77="Macro",$G77&lt;&gt;"",OR(NOT(ISNUMBER($G77)),$G77&lt;=0,$G77&gt;1)),"Peso fuera de rango"&amp;" · ","")&amp;IF(AND($S77="Sub",$G77&lt;&gt;""),"Las subactividades no llevan peso"&amp;" · ","")&amp;IF(AND($S77="Macro",ABS(SUMIFS($G$5:$G$1000,$P$5:$P$1000,$P77,$S$5:$S$1000,"Macro")-1)&gt;0.0001),"Pesos del mes suman "&amp;TEXT(SUMIFS($G$5:$G$1000,$P$5:$P$1000,$P77,$S$5:$S$1000,"Macro"),"0%")&amp;" · ","")&amp;IF(AND(N($T77)&gt;0,COUNT($H77:$K77)&gt;0),"Con subactividades: deje vacías las semanas (se calculan solas)"&amp;" · ","")&amp;IF((COUNTIF($H77:$K77,"&gt;1")+COUNTIF($H77:$K77,"&lt;0")+COUNTA($H77:$K77)-COUNT($H77:$K77))&gt;0,"Avance fuera de rango 0-100%"&amp;" · ","")&amp;IF(OR(AND($I77&lt;&gt;"",$I77&lt;$H77),AND($J77&lt;&gt;"",$J77&lt;MAX($H77:$I77)),AND($K77&lt;&gt;"",$K77&lt;MAX($H77:$J77))),"Avance semanal decreciente"&amp;" · ","")&amp;IF(AND(ISNUMBER($F77),$F77&lt;FechaRef,N($L77)&lt;1),"Vencida"&amp;" · ","")&amp;IF(AND(ObsObligatoria="Sí",ISNUMBER($F77),$F77&lt;FechaRef,N($L77)&lt;1,$N77=""),"Vencida sin observación"&amp;" · ",""),LEN(IF(AND($S77="Macro",$B77=""),"Macroactividad vacía"&amp;" · ","")&amp;IF(AND($B77&lt;&gt;"",$C77&lt;&gt;""),"Escriba la subactividad en otra fila, debajo de su macroactividad"&amp;" · ","")&amp;IF(AND($S77="Sub",N($R77)=0),"Subactividad sin macroactividad arriba"&amp;" · ","")&amp;IF($D77="","Sin responsable"&amp;" · ","")&amp;IF($E77="","Sin fecha de inicio"&amp;" · ","")&amp;IF($F77="","Sin fecha límite"&amp;" · ","")&amp;IF(OR(AND($E77&lt;&gt;"",NOT(ISNUMBER($E77))),AND($F77&lt;&gt;"",NOT(ISNUMBER($F77)))),"Fecha no válida"&amp;" · ","")&amp;IF(AND(ISNUMBER($E77),ISNUMBER($F77),$E77&gt;$F77),"Inicio posterior a fecha límite"&amp;" · ","")&amp;IF(AND($S77="Macro",$G77=""),"Peso vacío"&amp;" · ","")&amp;IF(AND($S77="Macro",$G77&lt;&gt;"",OR(NOT(ISNUMBER($G77)),$G77&lt;=0,$G77&gt;1)),"Peso fuera de rango"&amp;" · ","")&amp;IF(AND($S77="Sub",$G77&lt;&gt;""),"Las subactividades no llevan peso"&amp;" · ","")&amp;IF(AND($S77="Macro",ABS(SUMIFS($G$5:$G$1000,$P$5:$P$1000,$P77,$S$5:$S$1000,"Macro")-1)&gt;0.0001),"Pesos del mes suman "&amp;TEXT(SUMIFS($G$5:$G$1000,$P$5:$P$1000,$P77,$S$5:$S$1000,"Macro"),"0%")&amp;" · ","")&amp;IF(AND(N($T77)&gt;0,COUNT($H77:$K77)&gt;0),"Con subactividades: deje vacías las semanas (se calculan solas)"&amp;" · ","")&amp;IF((COUNTIF($H77:$K77,"&gt;1")+COUNTIF($H77:$K77,"&lt;0")+COUNTA($H77:$K77)-COUNT($H77:$K77))&gt;0,"Avance fuera de rango 0-100%"&amp;" · ","")&amp;IF(OR(AND($I77&lt;&gt;"",$I77&lt;$H77),AND($J77&lt;&gt;"",$J77&lt;MAX($H77:$I77)),AND($K77&lt;&gt;"",$K77&lt;MAX($H77:$J77))),"Avance semanal decreciente"&amp;" · ","")&amp;IF(AND(ISNUMBER($F77),$F77&lt;FechaRef,N($L77)&lt;1),"Vencida"&amp;" · ","")&amp;IF(AND(ObsObligatoria="Sí",ISNUMBER($F77),$F77&lt;FechaRef,N($L77)&lt;1,$N77=""),"Vencida sin observación"&amp;" · ",""))-3)))</f>
        <v/>
      </c>
      <c r="P77" s="69">
        <f>IF(NOT((COUNTA($B77:$K77)+COUNTA($N77))&gt;0),"",IF(AND($S77="Sub",N($R77)&gt;0),IF(ISNUMBER(INDEX($E$5:$E$1000,$R77-4)),DATE(YEAR(INDEX($E$5:$E$1000,$R77-4)),MONTH(INDEX($E$5:$E$1000,$R77-4)),1),IF(ISNUMBER(INDEX($F$5:$F$1000,$R77-4)),DATE(YEAR(INDEX($F$5:$F$1000,$R77-4)),MONTH(INDEX($F$5:$F$1000,$R77-4)),1),MesCiclo)),IF(ISNUMBER($E77),DATE(YEAR($E77),MONTH($E77),1),IF(ISNUMBER($F77),DATE(YEAR($F77),MONTH($F77),1),MesCiclo))))</f>
        <v/>
      </c>
      <c r="Q77" s="70">
        <f>IF(OR($P77="",$P77&lt;&gt;MesCiclo),"",COUNTIF($P$5:$P77,MesCiclo))</f>
        <v/>
      </c>
      <c r="R77" s="70">
        <f>IF($S77="","",IF($S77="Macro",ROW(),IFERROR(LOOKUP(2,1/($S$5:$S77="Macro"),ROW($S$5:$S77)),0)))</f>
        <v/>
      </c>
      <c r="S77" s="70">
        <f>IF(NOT((COUNTA($B77:$K77)+COUNTA($N77))&gt;0),"",IF($B77&lt;&gt;"","Macro",IF($C77&lt;&gt;"","Sub","Macro")))</f>
        <v/>
      </c>
      <c r="T77" s="70">
        <f>IF($S77="Macro",COUNTIFS($R$5:$R$1000,ROW(),$S$5:$S$1000,"Sub"),"")</f>
        <v/>
      </c>
      <c r="U77" s="70">
        <f>IF($S77="","",IF(ISNUMBER($H77),$H77,0))</f>
        <v/>
      </c>
      <c r="V77" s="70">
        <f>IF($S77="","",IF(ISNUMBER($I77),$I77,$U77))</f>
        <v/>
      </c>
      <c r="W77" s="70">
        <f>IF($S77="","",IF(ISNUMBER($J77),$J77,$V77))</f>
        <v/>
      </c>
      <c r="X77" s="70">
        <f>IF($S77="","",IF(ISNUMBER($K77),$K77,$W77))</f>
        <v/>
      </c>
      <c r="Y77" s="70">
        <f>IF($S77="","",IF(N($T77)&gt;0,AVERAGEIFS($U$5:$U$1000,$R$5:$R$1000,ROW(),$S$5:$S$1000,"Sub"),$U77))</f>
        <v/>
      </c>
      <c r="Z77" s="70">
        <f>IF($S77="","",IF(N($T77)&gt;0,AVERAGEIFS($V$5:$V$1000,$R$5:$R$1000,ROW(),$S$5:$S$1000,"Sub"),$V77))</f>
        <v/>
      </c>
      <c r="AA77" s="70">
        <f>IF($S77="","",IF(N($T77)&gt;0,AVERAGEIFS($W$5:$W$1000,$R$5:$R$1000,ROW(),$S$5:$S$1000,"Sub"),$W77))</f>
        <v/>
      </c>
      <c r="AB77" s="70">
        <f>IF($S77="","",IF(N($T77)&gt;0,AVERAGEIFS($X$5:$X$1000,$R$5:$R$1000,ROW(),$S$5:$S$1000,"Sub"),$X77))</f>
        <v/>
      </c>
    </row>
    <row r="78">
      <c r="A78" s="61">
        <f>IF(NOT((COUNTA($B78:$K78)+COUNTA($N78))&gt;0),"",IF($S78="Macro",COUNTIFS($S$5:$S78,"Macro",$P$5:$P78,$P78),IF(N($R78)=0,"?",COUNTIFS(INDEX($S$5:$S$1000,1):INDEX($S$5:$S$1000,$R78-4),"Macro",INDEX($P$5:$P$1000,1):INDEX($P$5:$P$1000,$R78-4),INDEX($P$5:$P$1000,$R78-4))&amp;"."&amp;COUNTIFS($R$5:$R78,$R78,$S$5:$S78,"Sub"))))</f>
        <v/>
      </c>
      <c r="B78" s="62" t="n"/>
      <c r="C78" s="63" t="n"/>
      <c r="D78" s="62" t="n"/>
      <c r="E78" s="64" t="n"/>
      <c r="F78" s="64" t="n"/>
      <c r="G78" s="65" t="n"/>
      <c r="H78" s="66" t="n"/>
      <c r="I78" s="66" t="n"/>
      <c r="J78" s="66" t="n"/>
      <c r="K78" s="66" t="n"/>
      <c r="L78" s="67">
        <f>IF(NOT((COUNTA($B78:$K78)+COUNTA($N78))&gt;0),"",IF(N($T78)&gt;0,$AB78,IFERROR(LOOKUP(2,1/(H78:K78&lt;&gt;""),H78:K78),0)))</f>
        <v/>
      </c>
      <c r="M78" s="61">
        <f>IF(L78="","",IF(L78&gt;=1,"Completado",IF(L78&gt;0,"En curso","Pendiente")))</f>
        <v/>
      </c>
      <c r="N78" s="62" t="n"/>
      <c r="O78" s="68">
        <f>IF(NOT((COUNTA($B78:$K78)+COUNTA($N78))&gt;0),"",IF((IF(AND($S78="Macro",$B78=""),"Macroactividad vacía"&amp;" · ","")&amp;IF(AND($B78&lt;&gt;"",$C78&lt;&gt;""),"Escriba la subactividad en otra fila, debajo de su macroactividad"&amp;" · ","")&amp;IF(AND($S78="Sub",N($R78)=0),"Subactividad sin macroactividad arriba"&amp;" · ","")&amp;IF($D78="","Sin responsable"&amp;" · ","")&amp;IF($E78="","Sin fecha de inicio"&amp;" · ","")&amp;IF($F78="","Sin fecha límite"&amp;" · ","")&amp;IF(OR(AND($E78&lt;&gt;"",NOT(ISNUMBER($E78))),AND($F78&lt;&gt;"",NOT(ISNUMBER($F78)))),"Fecha no válida"&amp;" · ","")&amp;IF(AND(ISNUMBER($E78),ISNUMBER($F78),$E78&gt;$F78),"Inicio posterior a fecha límite"&amp;" · ","")&amp;IF(AND($S78="Macro",$G78=""),"Peso vacío"&amp;" · ","")&amp;IF(AND($S78="Macro",$G78&lt;&gt;"",OR(NOT(ISNUMBER($G78)),$G78&lt;=0,$G78&gt;1)),"Peso fuera de rango"&amp;" · ","")&amp;IF(AND($S78="Sub",$G78&lt;&gt;""),"Las subactividades no llevan peso"&amp;" · ","")&amp;IF(AND($S78="Macro",ABS(SUMIFS($G$5:$G$1000,$P$5:$P$1000,$P78,$S$5:$S$1000,"Macro")-1)&gt;0.0001),"Pesos del mes suman "&amp;TEXT(SUMIFS($G$5:$G$1000,$P$5:$P$1000,$P78,$S$5:$S$1000,"Macro"),"0%")&amp;" · ","")&amp;IF(AND(N($T78)&gt;0,COUNT($H78:$K78)&gt;0),"Con subactividades: deje vacías las semanas (se calculan solas)"&amp;" · ","")&amp;IF((COUNTIF($H78:$K78,"&gt;1")+COUNTIF($H78:$K78,"&lt;0")+COUNTA($H78:$K78)-COUNT($H78:$K78))&gt;0,"Avance fuera de rango 0-100%"&amp;" · ","")&amp;IF(OR(AND($I78&lt;&gt;"",$I78&lt;$H78),AND($J78&lt;&gt;"",$J78&lt;MAX($H78:$I78)),AND($K78&lt;&gt;"",$K78&lt;MAX($H78:$J78))),"Avance semanal decreciente"&amp;" · ","")&amp;IF(AND(ISNUMBER($F78),$F78&lt;FechaRef,N($L78)&lt;1),"Vencida"&amp;" · ","")&amp;IF(AND(ObsObligatoria="Sí",ISNUMBER($F78),$F78&lt;FechaRef,N($L78)&lt;1,$N78=""),"Vencida sin observación"&amp;" · ",""))="","✔ OK","⚠ "&amp;LEFT(IF(AND($S78="Macro",$B78=""),"Macroactividad vacía"&amp;" · ","")&amp;IF(AND($B78&lt;&gt;"",$C78&lt;&gt;""),"Escriba la subactividad en otra fila, debajo de su macroactividad"&amp;" · ","")&amp;IF(AND($S78="Sub",N($R78)=0),"Subactividad sin macroactividad arriba"&amp;" · ","")&amp;IF($D78="","Sin responsable"&amp;" · ","")&amp;IF($E78="","Sin fecha de inicio"&amp;" · ","")&amp;IF($F78="","Sin fecha límite"&amp;" · ","")&amp;IF(OR(AND($E78&lt;&gt;"",NOT(ISNUMBER($E78))),AND($F78&lt;&gt;"",NOT(ISNUMBER($F78)))),"Fecha no válida"&amp;" · ","")&amp;IF(AND(ISNUMBER($E78),ISNUMBER($F78),$E78&gt;$F78),"Inicio posterior a fecha límite"&amp;" · ","")&amp;IF(AND($S78="Macro",$G78=""),"Peso vacío"&amp;" · ","")&amp;IF(AND($S78="Macro",$G78&lt;&gt;"",OR(NOT(ISNUMBER($G78)),$G78&lt;=0,$G78&gt;1)),"Peso fuera de rango"&amp;" · ","")&amp;IF(AND($S78="Sub",$G78&lt;&gt;""),"Las subactividades no llevan peso"&amp;" · ","")&amp;IF(AND($S78="Macro",ABS(SUMIFS($G$5:$G$1000,$P$5:$P$1000,$P78,$S$5:$S$1000,"Macro")-1)&gt;0.0001),"Pesos del mes suman "&amp;TEXT(SUMIFS($G$5:$G$1000,$P$5:$P$1000,$P78,$S$5:$S$1000,"Macro"),"0%")&amp;" · ","")&amp;IF(AND(N($T78)&gt;0,COUNT($H78:$K78)&gt;0),"Con subactividades: deje vacías las semanas (se calculan solas)"&amp;" · ","")&amp;IF((COUNTIF($H78:$K78,"&gt;1")+COUNTIF($H78:$K78,"&lt;0")+COUNTA($H78:$K78)-COUNT($H78:$K78))&gt;0,"Avance fuera de rango 0-100%"&amp;" · ","")&amp;IF(OR(AND($I78&lt;&gt;"",$I78&lt;$H78),AND($J78&lt;&gt;"",$J78&lt;MAX($H78:$I78)),AND($K78&lt;&gt;"",$K78&lt;MAX($H78:$J78))),"Avance semanal decreciente"&amp;" · ","")&amp;IF(AND(ISNUMBER($F78),$F78&lt;FechaRef,N($L78)&lt;1),"Vencida"&amp;" · ","")&amp;IF(AND(ObsObligatoria="Sí",ISNUMBER($F78),$F78&lt;FechaRef,N($L78)&lt;1,$N78=""),"Vencida sin observación"&amp;" · ",""),LEN(IF(AND($S78="Macro",$B78=""),"Macroactividad vacía"&amp;" · ","")&amp;IF(AND($B78&lt;&gt;"",$C78&lt;&gt;""),"Escriba la subactividad en otra fila, debajo de su macroactividad"&amp;" · ","")&amp;IF(AND($S78="Sub",N($R78)=0),"Subactividad sin macroactividad arriba"&amp;" · ","")&amp;IF($D78="","Sin responsable"&amp;" · ","")&amp;IF($E78="","Sin fecha de inicio"&amp;" · ","")&amp;IF($F78="","Sin fecha límite"&amp;" · ","")&amp;IF(OR(AND($E78&lt;&gt;"",NOT(ISNUMBER($E78))),AND($F78&lt;&gt;"",NOT(ISNUMBER($F78)))),"Fecha no válida"&amp;" · ","")&amp;IF(AND(ISNUMBER($E78),ISNUMBER($F78),$E78&gt;$F78),"Inicio posterior a fecha límite"&amp;" · ","")&amp;IF(AND($S78="Macro",$G78=""),"Peso vacío"&amp;" · ","")&amp;IF(AND($S78="Macro",$G78&lt;&gt;"",OR(NOT(ISNUMBER($G78)),$G78&lt;=0,$G78&gt;1)),"Peso fuera de rango"&amp;" · ","")&amp;IF(AND($S78="Sub",$G78&lt;&gt;""),"Las subactividades no llevan peso"&amp;" · ","")&amp;IF(AND($S78="Macro",ABS(SUMIFS($G$5:$G$1000,$P$5:$P$1000,$P78,$S$5:$S$1000,"Macro")-1)&gt;0.0001),"Pesos del mes suman "&amp;TEXT(SUMIFS($G$5:$G$1000,$P$5:$P$1000,$P78,$S$5:$S$1000,"Macro"),"0%")&amp;" · ","")&amp;IF(AND(N($T78)&gt;0,COUNT($H78:$K78)&gt;0),"Con subactividades: deje vacías las semanas (se calculan solas)"&amp;" · ","")&amp;IF((COUNTIF($H78:$K78,"&gt;1")+COUNTIF($H78:$K78,"&lt;0")+COUNTA($H78:$K78)-COUNT($H78:$K78))&gt;0,"Avance fuera de rango 0-100%"&amp;" · ","")&amp;IF(OR(AND($I78&lt;&gt;"",$I78&lt;$H78),AND($J78&lt;&gt;"",$J78&lt;MAX($H78:$I78)),AND($K78&lt;&gt;"",$K78&lt;MAX($H78:$J78))),"Avance semanal decreciente"&amp;" · ","")&amp;IF(AND(ISNUMBER($F78),$F78&lt;FechaRef,N($L78)&lt;1),"Vencida"&amp;" · ","")&amp;IF(AND(ObsObligatoria="Sí",ISNUMBER($F78),$F78&lt;FechaRef,N($L78)&lt;1,$N78=""),"Vencida sin observación"&amp;" · ",""))-3)))</f>
        <v/>
      </c>
      <c r="P78" s="69">
        <f>IF(NOT((COUNTA($B78:$K78)+COUNTA($N78))&gt;0),"",IF(AND($S78="Sub",N($R78)&gt;0),IF(ISNUMBER(INDEX($E$5:$E$1000,$R78-4)),DATE(YEAR(INDEX($E$5:$E$1000,$R78-4)),MONTH(INDEX($E$5:$E$1000,$R78-4)),1),IF(ISNUMBER(INDEX($F$5:$F$1000,$R78-4)),DATE(YEAR(INDEX($F$5:$F$1000,$R78-4)),MONTH(INDEX($F$5:$F$1000,$R78-4)),1),MesCiclo)),IF(ISNUMBER($E78),DATE(YEAR($E78),MONTH($E78),1),IF(ISNUMBER($F78),DATE(YEAR($F78),MONTH($F78),1),MesCiclo))))</f>
        <v/>
      </c>
      <c r="Q78" s="70">
        <f>IF(OR($P78="",$P78&lt;&gt;MesCiclo),"",COUNTIF($P$5:$P78,MesCiclo))</f>
        <v/>
      </c>
      <c r="R78" s="70">
        <f>IF($S78="","",IF($S78="Macro",ROW(),IFERROR(LOOKUP(2,1/($S$5:$S78="Macro"),ROW($S$5:$S78)),0)))</f>
        <v/>
      </c>
      <c r="S78" s="70">
        <f>IF(NOT((COUNTA($B78:$K78)+COUNTA($N78))&gt;0),"",IF($B78&lt;&gt;"","Macro",IF($C78&lt;&gt;"","Sub","Macro")))</f>
        <v/>
      </c>
      <c r="T78" s="70">
        <f>IF($S78="Macro",COUNTIFS($R$5:$R$1000,ROW(),$S$5:$S$1000,"Sub"),"")</f>
        <v/>
      </c>
      <c r="U78" s="70">
        <f>IF($S78="","",IF(ISNUMBER($H78),$H78,0))</f>
        <v/>
      </c>
      <c r="V78" s="70">
        <f>IF($S78="","",IF(ISNUMBER($I78),$I78,$U78))</f>
        <v/>
      </c>
      <c r="W78" s="70">
        <f>IF($S78="","",IF(ISNUMBER($J78),$J78,$V78))</f>
        <v/>
      </c>
      <c r="X78" s="70">
        <f>IF($S78="","",IF(ISNUMBER($K78),$K78,$W78))</f>
        <v/>
      </c>
      <c r="Y78" s="70">
        <f>IF($S78="","",IF(N($T78)&gt;0,AVERAGEIFS($U$5:$U$1000,$R$5:$R$1000,ROW(),$S$5:$S$1000,"Sub"),$U78))</f>
        <v/>
      </c>
      <c r="Z78" s="70">
        <f>IF($S78="","",IF(N($T78)&gt;0,AVERAGEIFS($V$5:$V$1000,$R$5:$R$1000,ROW(),$S$5:$S$1000,"Sub"),$V78))</f>
        <v/>
      </c>
      <c r="AA78" s="70">
        <f>IF($S78="","",IF(N($T78)&gt;0,AVERAGEIFS($W$5:$W$1000,$R$5:$R$1000,ROW(),$S$5:$S$1000,"Sub"),$W78))</f>
        <v/>
      </c>
      <c r="AB78" s="70">
        <f>IF($S78="","",IF(N($T78)&gt;0,AVERAGEIFS($X$5:$X$1000,$R$5:$R$1000,ROW(),$S$5:$S$1000,"Sub"),$X78))</f>
        <v/>
      </c>
    </row>
    <row r="79">
      <c r="A79" s="61">
        <f>IF(NOT((COUNTA($B79:$K79)+COUNTA($N79))&gt;0),"",IF($S79="Macro",COUNTIFS($S$5:$S79,"Macro",$P$5:$P79,$P79),IF(N($R79)=0,"?",COUNTIFS(INDEX($S$5:$S$1000,1):INDEX($S$5:$S$1000,$R79-4),"Macro",INDEX($P$5:$P$1000,1):INDEX($P$5:$P$1000,$R79-4),INDEX($P$5:$P$1000,$R79-4))&amp;"."&amp;COUNTIFS($R$5:$R79,$R79,$S$5:$S79,"Sub"))))</f>
        <v/>
      </c>
      <c r="B79" s="62" t="n"/>
      <c r="C79" s="63" t="n"/>
      <c r="D79" s="62" t="n"/>
      <c r="E79" s="64" t="n"/>
      <c r="F79" s="64" t="n"/>
      <c r="G79" s="65" t="n"/>
      <c r="H79" s="66" t="n"/>
      <c r="I79" s="66" t="n"/>
      <c r="J79" s="66" t="n"/>
      <c r="K79" s="66" t="n"/>
      <c r="L79" s="67">
        <f>IF(NOT((COUNTA($B79:$K79)+COUNTA($N79))&gt;0),"",IF(N($T79)&gt;0,$AB79,IFERROR(LOOKUP(2,1/(H79:K79&lt;&gt;""),H79:K79),0)))</f>
        <v/>
      </c>
      <c r="M79" s="61">
        <f>IF(L79="","",IF(L79&gt;=1,"Completado",IF(L79&gt;0,"En curso","Pendiente")))</f>
        <v/>
      </c>
      <c r="N79" s="62" t="n"/>
      <c r="O79" s="68">
        <f>IF(NOT((COUNTA($B79:$K79)+COUNTA($N79))&gt;0),"",IF((IF(AND($S79="Macro",$B79=""),"Macroactividad vacía"&amp;" · ","")&amp;IF(AND($B79&lt;&gt;"",$C79&lt;&gt;""),"Escriba la subactividad en otra fila, debajo de su macroactividad"&amp;" · ","")&amp;IF(AND($S79="Sub",N($R79)=0),"Subactividad sin macroactividad arriba"&amp;" · ","")&amp;IF($D79="","Sin responsable"&amp;" · ","")&amp;IF($E79="","Sin fecha de inicio"&amp;" · ","")&amp;IF($F79="","Sin fecha límite"&amp;" · ","")&amp;IF(OR(AND($E79&lt;&gt;"",NOT(ISNUMBER($E79))),AND($F79&lt;&gt;"",NOT(ISNUMBER($F79)))),"Fecha no válida"&amp;" · ","")&amp;IF(AND(ISNUMBER($E79),ISNUMBER($F79),$E79&gt;$F79),"Inicio posterior a fecha límite"&amp;" · ","")&amp;IF(AND($S79="Macro",$G79=""),"Peso vacío"&amp;" · ","")&amp;IF(AND($S79="Macro",$G79&lt;&gt;"",OR(NOT(ISNUMBER($G79)),$G79&lt;=0,$G79&gt;1)),"Peso fuera de rango"&amp;" · ","")&amp;IF(AND($S79="Sub",$G79&lt;&gt;""),"Las subactividades no llevan peso"&amp;" · ","")&amp;IF(AND($S79="Macro",ABS(SUMIFS($G$5:$G$1000,$P$5:$P$1000,$P79,$S$5:$S$1000,"Macro")-1)&gt;0.0001),"Pesos del mes suman "&amp;TEXT(SUMIFS($G$5:$G$1000,$P$5:$P$1000,$P79,$S$5:$S$1000,"Macro"),"0%")&amp;" · ","")&amp;IF(AND(N($T79)&gt;0,COUNT($H79:$K79)&gt;0),"Con subactividades: deje vacías las semanas (se calculan solas)"&amp;" · ","")&amp;IF((COUNTIF($H79:$K79,"&gt;1")+COUNTIF($H79:$K79,"&lt;0")+COUNTA($H79:$K79)-COUNT($H79:$K79))&gt;0,"Avance fuera de rango 0-100%"&amp;" · ","")&amp;IF(OR(AND($I79&lt;&gt;"",$I79&lt;$H79),AND($J79&lt;&gt;"",$J79&lt;MAX($H79:$I79)),AND($K79&lt;&gt;"",$K79&lt;MAX($H79:$J79))),"Avance semanal decreciente"&amp;" · ","")&amp;IF(AND(ISNUMBER($F79),$F79&lt;FechaRef,N($L79)&lt;1),"Vencida"&amp;" · ","")&amp;IF(AND(ObsObligatoria="Sí",ISNUMBER($F79),$F79&lt;FechaRef,N($L79)&lt;1,$N79=""),"Vencida sin observación"&amp;" · ",""))="","✔ OK","⚠ "&amp;LEFT(IF(AND($S79="Macro",$B79=""),"Macroactividad vacía"&amp;" · ","")&amp;IF(AND($B79&lt;&gt;"",$C79&lt;&gt;""),"Escriba la subactividad en otra fila, debajo de su macroactividad"&amp;" · ","")&amp;IF(AND($S79="Sub",N($R79)=0),"Subactividad sin macroactividad arriba"&amp;" · ","")&amp;IF($D79="","Sin responsable"&amp;" · ","")&amp;IF($E79="","Sin fecha de inicio"&amp;" · ","")&amp;IF($F79="","Sin fecha límite"&amp;" · ","")&amp;IF(OR(AND($E79&lt;&gt;"",NOT(ISNUMBER($E79))),AND($F79&lt;&gt;"",NOT(ISNUMBER($F79)))),"Fecha no válida"&amp;" · ","")&amp;IF(AND(ISNUMBER($E79),ISNUMBER($F79),$E79&gt;$F79),"Inicio posterior a fecha límite"&amp;" · ","")&amp;IF(AND($S79="Macro",$G79=""),"Peso vacío"&amp;" · ","")&amp;IF(AND($S79="Macro",$G79&lt;&gt;"",OR(NOT(ISNUMBER($G79)),$G79&lt;=0,$G79&gt;1)),"Peso fuera de rango"&amp;" · ","")&amp;IF(AND($S79="Sub",$G79&lt;&gt;""),"Las subactividades no llevan peso"&amp;" · ","")&amp;IF(AND($S79="Macro",ABS(SUMIFS($G$5:$G$1000,$P$5:$P$1000,$P79,$S$5:$S$1000,"Macro")-1)&gt;0.0001),"Pesos del mes suman "&amp;TEXT(SUMIFS($G$5:$G$1000,$P$5:$P$1000,$P79,$S$5:$S$1000,"Macro"),"0%")&amp;" · ","")&amp;IF(AND(N($T79)&gt;0,COUNT($H79:$K79)&gt;0),"Con subactividades: deje vacías las semanas (se calculan solas)"&amp;" · ","")&amp;IF((COUNTIF($H79:$K79,"&gt;1")+COUNTIF($H79:$K79,"&lt;0")+COUNTA($H79:$K79)-COUNT($H79:$K79))&gt;0,"Avance fuera de rango 0-100%"&amp;" · ","")&amp;IF(OR(AND($I79&lt;&gt;"",$I79&lt;$H79),AND($J79&lt;&gt;"",$J79&lt;MAX($H79:$I79)),AND($K79&lt;&gt;"",$K79&lt;MAX($H79:$J79))),"Avance semanal decreciente"&amp;" · ","")&amp;IF(AND(ISNUMBER($F79),$F79&lt;FechaRef,N($L79)&lt;1),"Vencida"&amp;" · ","")&amp;IF(AND(ObsObligatoria="Sí",ISNUMBER($F79),$F79&lt;FechaRef,N($L79)&lt;1,$N79=""),"Vencida sin observación"&amp;" · ",""),LEN(IF(AND($S79="Macro",$B79=""),"Macroactividad vacía"&amp;" · ","")&amp;IF(AND($B79&lt;&gt;"",$C79&lt;&gt;""),"Escriba la subactividad en otra fila, debajo de su macroactividad"&amp;" · ","")&amp;IF(AND($S79="Sub",N($R79)=0),"Subactividad sin macroactividad arriba"&amp;" · ","")&amp;IF($D79="","Sin responsable"&amp;" · ","")&amp;IF($E79="","Sin fecha de inicio"&amp;" · ","")&amp;IF($F79="","Sin fecha límite"&amp;" · ","")&amp;IF(OR(AND($E79&lt;&gt;"",NOT(ISNUMBER($E79))),AND($F79&lt;&gt;"",NOT(ISNUMBER($F79)))),"Fecha no válida"&amp;" · ","")&amp;IF(AND(ISNUMBER($E79),ISNUMBER($F79),$E79&gt;$F79),"Inicio posterior a fecha límite"&amp;" · ","")&amp;IF(AND($S79="Macro",$G79=""),"Peso vacío"&amp;" · ","")&amp;IF(AND($S79="Macro",$G79&lt;&gt;"",OR(NOT(ISNUMBER($G79)),$G79&lt;=0,$G79&gt;1)),"Peso fuera de rango"&amp;" · ","")&amp;IF(AND($S79="Sub",$G79&lt;&gt;""),"Las subactividades no llevan peso"&amp;" · ","")&amp;IF(AND($S79="Macro",ABS(SUMIFS($G$5:$G$1000,$P$5:$P$1000,$P79,$S$5:$S$1000,"Macro")-1)&gt;0.0001),"Pesos del mes suman "&amp;TEXT(SUMIFS($G$5:$G$1000,$P$5:$P$1000,$P79,$S$5:$S$1000,"Macro"),"0%")&amp;" · ","")&amp;IF(AND(N($T79)&gt;0,COUNT($H79:$K79)&gt;0),"Con subactividades: deje vacías las semanas (se calculan solas)"&amp;" · ","")&amp;IF((COUNTIF($H79:$K79,"&gt;1")+COUNTIF($H79:$K79,"&lt;0")+COUNTA($H79:$K79)-COUNT($H79:$K79))&gt;0,"Avance fuera de rango 0-100%"&amp;" · ","")&amp;IF(OR(AND($I79&lt;&gt;"",$I79&lt;$H79),AND($J79&lt;&gt;"",$J79&lt;MAX($H79:$I79)),AND($K79&lt;&gt;"",$K79&lt;MAX($H79:$J79))),"Avance semanal decreciente"&amp;" · ","")&amp;IF(AND(ISNUMBER($F79),$F79&lt;FechaRef,N($L79)&lt;1),"Vencida"&amp;" · ","")&amp;IF(AND(ObsObligatoria="Sí",ISNUMBER($F79),$F79&lt;FechaRef,N($L79)&lt;1,$N79=""),"Vencida sin observación"&amp;" · ",""))-3)))</f>
        <v/>
      </c>
      <c r="P79" s="69">
        <f>IF(NOT((COUNTA($B79:$K79)+COUNTA($N79))&gt;0),"",IF(AND($S79="Sub",N($R79)&gt;0),IF(ISNUMBER(INDEX($E$5:$E$1000,$R79-4)),DATE(YEAR(INDEX($E$5:$E$1000,$R79-4)),MONTH(INDEX($E$5:$E$1000,$R79-4)),1),IF(ISNUMBER(INDEX($F$5:$F$1000,$R79-4)),DATE(YEAR(INDEX($F$5:$F$1000,$R79-4)),MONTH(INDEX($F$5:$F$1000,$R79-4)),1),MesCiclo)),IF(ISNUMBER($E79),DATE(YEAR($E79),MONTH($E79),1),IF(ISNUMBER($F79),DATE(YEAR($F79),MONTH($F79),1),MesCiclo))))</f>
        <v/>
      </c>
      <c r="Q79" s="70">
        <f>IF(OR($P79="",$P79&lt;&gt;MesCiclo),"",COUNTIF($P$5:$P79,MesCiclo))</f>
        <v/>
      </c>
      <c r="R79" s="70">
        <f>IF($S79="","",IF($S79="Macro",ROW(),IFERROR(LOOKUP(2,1/($S$5:$S79="Macro"),ROW($S$5:$S79)),0)))</f>
        <v/>
      </c>
      <c r="S79" s="70">
        <f>IF(NOT((COUNTA($B79:$K79)+COUNTA($N79))&gt;0),"",IF($B79&lt;&gt;"","Macro",IF($C79&lt;&gt;"","Sub","Macro")))</f>
        <v/>
      </c>
      <c r="T79" s="70">
        <f>IF($S79="Macro",COUNTIFS($R$5:$R$1000,ROW(),$S$5:$S$1000,"Sub"),"")</f>
        <v/>
      </c>
      <c r="U79" s="70">
        <f>IF($S79="","",IF(ISNUMBER($H79),$H79,0))</f>
        <v/>
      </c>
      <c r="V79" s="70">
        <f>IF($S79="","",IF(ISNUMBER($I79),$I79,$U79))</f>
        <v/>
      </c>
      <c r="W79" s="70">
        <f>IF($S79="","",IF(ISNUMBER($J79),$J79,$V79))</f>
        <v/>
      </c>
      <c r="X79" s="70">
        <f>IF($S79="","",IF(ISNUMBER($K79),$K79,$W79))</f>
        <v/>
      </c>
      <c r="Y79" s="70">
        <f>IF($S79="","",IF(N($T79)&gt;0,AVERAGEIFS($U$5:$U$1000,$R$5:$R$1000,ROW(),$S$5:$S$1000,"Sub"),$U79))</f>
        <v/>
      </c>
      <c r="Z79" s="70">
        <f>IF($S79="","",IF(N($T79)&gt;0,AVERAGEIFS($V$5:$V$1000,$R$5:$R$1000,ROW(),$S$5:$S$1000,"Sub"),$V79))</f>
        <v/>
      </c>
      <c r="AA79" s="70">
        <f>IF($S79="","",IF(N($T79)&gt;0,AVERAGEIFS($W$5:$W$1000,$R$5:$R$1000,ROW(),$S$5:$S$1000,"Sub"),$W79))</f>
        <v/>
      </c>
      <c r="AB79" s="70">
        <f>IF($S79="","",IF(N($T79)&gt;0,AVERAGEIFS($X$5:$X$1000,$R$5:$R$1000,ROW(),$S$5:$S$1000,"Sub"),$X79))</f>
        <v/>
      </c>
    </row>
    <row r="80">
      <c r="A80" s="61">
        <f>IF(NOT((COUNTA($B80:$K80)+COUNTA($N80))&gt;0),"",IF($S80="Macro",COUNTIFS($S$5:$S80,"Macro",$P$5:$P80,$P80),IF(N($R80)=0,"?",COUNTIFS(INDEX($S$5:$S$1000,1):INDEX($S$5:$S$1000,$R80-4),"Macro",INDEX($P$5:$P$1000,1):INDEX($P$5:$P$1000,$R80-4),INDEX($P$5:$P$1000,$R80-4))&amp;"."&amp;COUNTIFS($R$5:$R80,$R80,$S$5:$S80,"Sub"))))</f>
        <v/>
      </c>
      <c r="B80" s="62" t="n"/>
      <c r="C80" s="63" t="n"/>
      <c r="D80" s="62" t="n"/>
      <c r="E80" s="64" t="n"/>
      <c r="F80" s="64" t="n"/>
      <c r="G80" s="65" t="n"/>
      <c r="H80" s="66" t="n"/>
      <c r="I80" s="66" t="n"/>
      <c r="J80" s="66" t="n"/>
      <c r="K80" s="66" t="n"/>
      <c r="L80" s="67">
        <f>IF(NOT((COUNTA($B80:$K80)+COUNTA($N80))&gt;0),"",IF(N($T80)&gt;0,$AB80,IFERROR(LOOKUP(2,1/(H80:K80&lt;&gt;""),H80:K80),0)))</f>
        <v/>
      </c>
      <c r="M80" s="61">
        <f>IF(L80="","",IF(L80&gt;=1,"Completado",IF(L80&gt;0,"En curso","Pendiente")))</f>
        <v/>
      </c>
      <c r="N80" s="62" t="n"/>
      <c r="O80" s="68">
        <f>IF(NOT((COUNTA($B80:$K80)+COUNTA($N80))&gt;0),"",IF((IF(AND($S80="Macro",$B80=""),"Macroactividad vacía"&amp;" · ","")&amp;IF(AND($B80&lt;&gt;"",$C80&lt;&gt;""),"Escriba la subactividad en otra fila, debajo de su macroactividad"&amp;" · ","")&amp;IF(AND($S80="Sub",N($R80)=0),"Subactividad sin macroactividad arriba"&amp;" · ","")&amp;IF($D80="","Sin responsable"&amp;" · ","")&amp;IF($E80="","Sin fecha de inicio"&amp;" · ","")&amp;IF($F80="","Sin fecha límite"&amp;" · ","")&amp;IF(OR(AND($E80&lt;&gt;"",NOT(ISNUMBER($E80))),AND($F80&lt;&gt;"",NOT(ISNUMBER($F80)))),"Fecha no válida"&amp;" · ","")&amp;IF(AND(ISNUMBER($E80),ISNUMBER($F80),$E80&gt;$F80),"Inicio posterior a fecha límite"&amp;" · ","")&amp;IF(AND($S80="Macro",$G80=""),"Peso vacío"&amp;" · ","")&amp;IF(AND($S80="Macro",$G80&lt;&gt;"",OR(NOT(ISNUMBER($G80)),$G80&lt;=0,$G80&gt;1)),"Peso fuera de rango"&amp;" · ","")&amp;IF(AND($S80="Sub",$G80&lt;&gt;""),"Las subactividades no llevan peso"&amp;" · ","")&amp;IF(AND($S80="Macro",ABS(SUMIFS($G$5:$G$1000,$P$5:$P$1000,$P80,$S$5:$S$1000,"Macro")-1)&gt;0.0001),"Pesos del mes suman "&amp;TEXT(SUMIFS($G$5:$G$1000,$P$5:$P$1000,$P80,$S$5:$S$1000,"Macro"),"0%")&amp;" · ","")&amp;IF(AND(N($T80)&gt;0,COUNT($H80:$K80)&gt;0),"Con subactividades: deje vacías las semanas (se calculan solas)"&amp;" · ","")&amp;IF((COUNTIF($H80:$K80,"&gt;1")+COUNTIF($H80:$K80,"&lt;0")+COUNTA($H80:$K80)-COUNT($H80:$K80))&gt;0,"Avance fuera de rango 0-100%"&amp;" · ","")&amp;IF(OR(AND($I80&lt;&gt;"",$I80&lt;$H80),AND($J80&lt;&gt;"",$J80&lt;MAX($H80:$I80)),AND($K80&lt;&gt;"",$K80&lt;MAX($H80:$J80))),"Avance semanal decreciente"&amp;" · ","")&amp;IF(AND(ISNUMBER($F80),$F80&lt;FechaRef,N($L80)&lt;1),"Vencida"&amp;" · ","")&amp;IF(AND(ObsObligatoria="Sí",ISNUMBER($F80),$F80&lt;FechaRef,N($L80)&lt;1,$N80=""),"Vencida sin observación"&amp;" · ",""))="","✔ OK","⚠ "&amp;LEFT(IF(AND($S80="Macro",$B80=""),"Macroactividad vacía"&amp;" · ","")&amp;IF(AND($B80&lt;&gt;"",$C80&lt;&gt;""),"Escriba la subactividad en otra fila, debajo de su macroactividad"&amp;" · ","")&amp;IF(AND($S80="Sub",N($R80)=0),"Subactividad sin macroactividad arriba"&amp;" · ","")&amp;IF($D80="","Sin responsable"&amp;" · ","")&amp;IF($E80="","Sin fecha de inicio"&amp;" · ","")&amp;IF($F80="","Sin fecha límite"&amp;" · ","")&amp;IF(OR(AND($E80&lt;&gt;"",NOT(ISNUMBER($E80))),AND($F80&lt;&gt;"",NOT(ISNUMBER($F80)))),"Fecha no válida"&amp;" · ","")&amp;IF(AND(ISNUMBER($E80),ISNUMBER($F80),$E80&gt;$F80),"Inicio posterior a fecha límite"&amp;" · ","")&amp;IF(AND($S80="Macro",$G80=""),"Peso vacío"&amp;" · ","")&amp;IF(AND($S80="Macro",$G80&lt;&gt;"",OR(NOT(ISNUMBER($G80)),$G80&lt;=0,$G80&gt;1)),"Peso fuera de rango"&amp;" · ","")&amp;IF(AND($S80="Sub",$G80&lt;&gt;""),"Las subactividades no llevan peso"&amp;" · ","")&amp;IF(AND($S80="Macro",ABS(SUMIFS($G$5:$G$1000,$P$5:$P$1000,$P80,$S$5:$S$1000,"Macro")-1)&gt;0.0001),"Pesos del mes suman "&amp;TEXT(SUMIFS($G$5:$G$1000,$P$5:$P$1000,$P80,$S$5:$S$1000,"Macro"),"0%")&amp;" · ","")&amp;IF(AND(N($T80)&gt;0,COUNT($H80:$K80)&gt;0),"Con subactividades: deje vacías las semanas (se calculan solas)"&amp;" · ","")&amp;IF((COUNTIF($H80:$K80,"&gt;1")+COUNTIF($H80:$K80,"&lt;0")+COUNTA($H80:$K80)-COUNT($H80:$K80))&gt;0,"Avance fuera de rango 0-100%"&amp;" · ","")&amp;IF(OR(AND($I80&lt;&gt;"",$I80&lt;$H80),AND($J80&lt;&gt;"",$J80&lt;MAX($H80:$I80)),AND($K80&lt;&gt;"",$K80&lt;MAX($H80:$J80))),"Avance semanal decreciente"&amp;" · ","")&amp;IF(AND(ISNUMBER($F80),$F80&lt;FechaRef,N($L80)&lt;1),"Vencida"&amp;" · ","")&amp;IF(AND(ObsObligatoria="Sí",ISNUMBER($F80),$F80&lt;FechaRef,N($L80)&lt;1,$N80=""),"Vencida sin observación"&amp;" · ",""),LEN(IF(AND($S80="Macro",$B80=""),"Macroactividad vacía"&amp;" · ","")&amp;IF(AND($B80&lt;&gt;"",$C80&lt;&gt;""),"Escriba la subactividad en otra fila, debajo de su macroactividad"&amp;" · ","")&amp;IF(AND($S80="Sub",N($R80)=0),"Subactividad sin macroactividad arriba"&amp;" · ","")&amp;IF($D80="","Sin responsable"&amp;" · ","")&amp;IF($E80="","Sin fecha de inicio"&amp;" · ","")&amp;IF($F80="","Sin fecha límite"&amp;" · ","")&amp;IF(OR(AND($E80&lt;&gt;"",NOT(ISNUMBER($E80))),AND($F80&lt;&gt;"",NOT(ISNUMBER($F80)))),"Fecha no válida"&amp;" · ","")&amp;IF(AND(ISNUMBER($E80),ISNUMBER($F80),$E80&gt;$F80),"Inicio posterior a fecha límite"&amp;" · ","")&amp;IF(AND($S80="Macro",$G80=""),"Peso vacío"&amp;" · ","")&amp;IF(AND($S80="Macro",$G80&lt;&gt;"",OR(NOT(ISNUMBER($G80)),$G80&lt;=0,$G80&gt;1)),"Peso fuera de rango"&amp;" · ","")&amp;IF(AND($S80="Sub",$G80&lt;&gt;""),"Las subactividades no llevan peso"&amp;" · ","")&amp;IF(AND($S80="Macro",ABS(SUMIFS($G$5:$G$1000,$P$5:$P$1000,$P80,$S$5:$S$1000,"Macro")-1)&gt;0.0001),"Pesos del mes suman "&amp;TEXT(SUMIFS($G$5:$G$1000,$P$5:$P$1000,$P80,$S$5:$S$1000,"Macro"),"0%")&amp;" · ","")&amp;IF(AND(N($T80)&gt;0,COUNT($H80:$K80)&gt;0),"Con subactividades: deje vacías las semanas (se calculan solas)"&amp;" · ","")&amp;IF((COUNTIF($H80:$K80,"&gt;1")+COUNTIF($H80:$K80,"&lt;0")+COUNTA($H80:$K80)-COUNT($H80:$K80))&gt;0,"Avance fuera de rango 0-100%"&amp;" · ","")&amp;IF(OR(AND($I80&lt;&gt;"",$I80&lt;$H80),AND($J80&lt;&gt;"",$J80&lt;MAX($H80:$I80)),AND($K80&lt;&gt;"",$K80&lt;MAX($H80:$J80))),"Avance semanal decreciente"&amp;" · ","")&amp;IF(AND(ISNUMBER($F80),$F80&lt;FechaRef,N($L80)&lt;1),"Vencida"&amp;" · ","")&amp;IF(AND(ObsObligatoria="Sí",ISNUMBER($F80),$F80&lt;FechaRef,N($L80)&lt;1,$N80=""),"Vencida sin observación"&amp;" · ",""))-3)))</f>
        <v/>
      </c>
      <c r="P80" s="69">
        <f>IF(NOT((COUNTA($B80:$K80)+COUNTA($N80))&gt;0),"",IF(AND($S80="Sub",N($R80)&gt;0),IF(ISNUMBER(INDEX($E$5:$E$1000,$R80-4)),DATE(YEAR(INDEX($E$5:$E$1000,$R80-4)),MONTH(INDEX($E$5:$E$1000,$R80-4)),1),IF(ISNUMBER(INDEX($F$5:$F$1000,$R80-4)),DATE(YEAR(INDEX($F$5:$F$1000,$R80-4)),MONTH(INDEX($F$5:$F$1000,$R80-4)),1),MesCiclo)),IF(ISNUMBER($E80),DATE(YEAR($E80),MONTH($E80),1),IF(ISNUMBER($F80),DATE(YEAR($F80),MONTH($F80),1),MesCiclo))))</f>
        <v/>
      </c>
      <c r="Q80" s="70">
        <f>IF(OR($P80="",$P80&lt;&gt;MesCiclo),"",COUNTIF($P$5:$P80,MesCiclo))</f>
        <v/>
      </c>
      <c r="R80" s="70">
        <f>IF($S80="","",IF($S80="Macro",ROW(),IFERROR(LOOKUP(2,1/($S$5:$S80="Macro"),ROW($S$5:$S80)),0)))</f>
        <v/>
      </c>
      <c r="S80" s="70">
        <f>IF(NOT((COUNTA($B80:$K80)+COUNTA($N80))&gt;0),"",IF($B80&lt;&gt;"","Macro",IF($C80&lt;&gt;"","Sub","Macro")))</f>
        <v/>
      </c>
      <c r="T80" s="70">
        <f>IF($S80="Macro",COUNTIFS($R$5:$R$1000,ROW(),$S$5:$S$1000,"Sub"),"")</f>
        <v/>
      </c>
      <c r="U80" s="70">
        <f>IF($S80="","",IF(ISNUMBER($H80),$H80,0))</f>
        <v/>
      </c>
      <c r="V80" s="70">
        <f>IF($S80="","",IF(ISNUMBER($I80),$I80,$U80))</f>
        <v/>
      </c>
      <c r="W80" s="70">
        <f>IF($S80="","",IF(ISNUMBER($J80),$J80,$V80))</f>
        <v/>
      </c>
      <c r="X80" s="70">
        <f>IF($S80="","",IF(ISNUMBER($K80),$K80,$W80))</f>
        <v/>
      </c>
      <c r="Y80" s="70">
        <f>IF($S80="","",IF(N($T80)&gt;0,AVERAGEIFS($U$5:$U$1000,$R$5:$R$1000,ROW(),$S$5:$S$1000,"Sub"),$U80))</f>
        <v/>
      </c>
      <c r="Z80" s="70">
        <f>IF($S80="","",IF(N($T80)&gt;0,AVERAGEIFS($V$5:$V$1000,$R$5:$R$1000,ROW(),$S$5:$S$1000,"Sub"),$V80))</f>
        <v/>
      </c>
      <c r="AA80" s="70">
        <f>IF($S80="","",IF(N($T80)&gt;0,AVERAGEIFS($W$5:$W$1000,$R$5:$R$1000,ROW(),$S$5:$S$1000,"Sub"),$W80))</f>
        <v/>
      </c>
      <c r="AB80" s="70">
        <f>IF($S80="","",IF(N($T80)&gt;0,AVERAGEIFS($X$5:$X$1000,$R$5:$R$1000,ROW(),$S$5:$S$1000,"Sub"),$X80))</f>
        <v/>
      </c>
    </row>
    <row r="81">
      <c r="A81" s="61">
        <f>IF(NOT((COUNTA($B81:$K81)+COUNTA($N81))&gt;0),"",IF($S81="Macro",COUNTIFS($S$5:$S81,"Macro",$P$5:$P81,$P81),IF(N($R81)=0,"?",COUNTIFS(INDEX($S$5:$S$1000,1):INDEX($S$5:$S$1000,$R81-4),"Macro",INDEX($P$5:$P$1000,1):INDEX($P$5:$P$1000,$R81-4),INDEX($P$5:$P$1000,$R81-4))&amp;"."&amp;COUNTIFS($R$5:$R81,$R81,$S$5:$S81,"Sub"))))</f>
        <v/>
      </c>
      <c r="B81" s="62" t="n"/>
      <c r="C81" s="63" t="n"/>
      <c r="D81" s="62" t="n"/>
      <c r="E81" s="64" t="n"/>
      <c r="F81" s="64" t="n"/>
      <c r="G81" s="65" t="n"/>
      <c r="H81" s="66" t="n"/>
      <c r="I81" s="66" t="n"/>
      <c r="J81" s="66" t="n"/>
      <c r="K81" s="66" t="n"/>
      <c r="L81" s="67">
        <f>IF(NOT((COUNTA($B81:$K81)+COUNTA($N81))&gt;0),"",IF(N($T81)&gt;0,$AB81,IFERROR(LOOKUP(2,1/(H81:K81&lt;&gt;""),H81:K81),0)))</f>
        <v/>
      </c>
      <c r="M81" s="61">
        <f>IF(L81="","",IF(L81&gt;=1,"Completado",IF(L81&gt;0,"En curso","Pendiente")))</f>
        <v/>
      </c>
      <c r="N81" s="62" t="n"/>
      <c r="O81" s="68">
        <f>IF(NOT((COUNTA($B81:$K81)+COUNTA($N81))&gt;0),"",IF((IF(AND($S81="Macro",$B81=""),"Macroactividad vacía"&amp;" · ","")&amp;IF(AND($B81&lt;&gt;"",$C81&lt;&gt;""),"Escriba la subactividad en otra fila, debajo de su macroactividad"&amp;" · ","")&amp;IF(AND($S81="Sub",N($R81)=0),"Subactividad sin macroactividad arriba"&amp;" · ","")&amp;IF($D81="","Sin responsable"&amp;" · ","")&amp;IF($E81="","Sin fecha de inicio"&amp;" · ","")&amp;IF($F81="","Sin fecha límite"&amp;" · ","")&amp;IF(OR(AND($E81&lt;&gt;"",NOT(ISNUMBER($E81))),AND($F81&lt;&gt;"",NOT(ISNUMBER($F81)))),"Fecha no válida"&amp;" · ","")&amp;IF(AND(ISNUMBER($E81),ISNUMBER($F81),$E81&gt;$F81),"Inicio posterior a fecha límite"&amp;" · ","")&amp;IF(AND($S81="Macro",$G81=""),"Peso vacío"&amp;" · ","")&amp;IF(AND($S81="Macro",$G81&lt;&gt;"",OR(NOT(ISNUMBER($G81)),$G81&lt;=0,$G81&gt;1)),"Peso fuera de rango"&amp;" · ","")&amp;IF(AND($S81="Sub",$G81&lt;&gt;""),"Las subactividades no llevan peso"&amp;" · ","")&amp;IF(AND($S81="Macro",ABS(SUMIFS($G$5:$G$1000,$P$5:$P$1000,$P81,$S$5:$S$1000,"Macro")-1)&gt;0.0001),"Pesos del mes suman "&amp;TEXT(SUMIFS($G$5:$G$1000,$P$5:$P$1000,$P81,$S$5:$S$1000,"Macro"),"0%")&amp;" · ","")&amp;IF(AND(N($T81)&gt;0,COUNT($H81:$K81)&gt;0),"Con subactividades: deje vacías las semanas (se calculan solas)"&amp;" · ","")&amp;IF((COUNTIF($H81:$K81,"&gt;1")+COUNTIF($H81:$K81,"&lt;0")+COUNTA($H81:$K81)-COUNT($H81:$K81))&gt;0,"Avance fuera de rango 0-100%"&amp;" · ","")&amp;IF(OR(AND($I81&lt;&gt;"",$I81&lt;$H81),AND($J81&lt;&gt;"",$J81&lt;MAX($H81:$I81)),AND($K81&lt;&gt;"",$K81&lt;MAX($H81:$J81))),"Avance semanal decreciente"&amp;" · ","")&amp;IF(AND(ISNUMBER($F81),$F81&lt;FechaRef,N($L81)&lt;1),"Vencida"&amp;" · ","")&amp;IF(AND(ObsObligatoria="Sí",ISNUMBER($F81),$F81&lt;FechaRef,N($L81)&lt;1,$N81=""),"Vencida sin observación"&amp;" · ",""))="","✔ OK","⚠ "&amp;LEFT(IF(AND($S81="Macro",$B81=""),"Macroactividad vacía"&amp;" · ","")&amp;IF(AND($B81&lt;&gt;"",$C81&lt;&gt;""),"Escriba la subactividad en otra fila, debajo de su macroactividad"&amp;" · ","")&amp;IF(AND($S81="Sub",N($R81)=0),"Subactividad sin macroactividad arriba"&amp;" · ","")&amp;IF($D81="","Sin responsable"&amp;" · ","")&amp;IF($E81="","Sin fecha de inicio"&amp;" · ","")&amp;IF($F81="","Sin fecha límite"&amp;" · ","")&amp;IF(OR(AND($E81&lt;&gt;"",NOT(ISNUMBER($E81))),AND($F81&lt;&gt;"",NOT(ISNUMBER($F81)))),"Fecha no válida"&amp;" · ","")&amp;IF(AND(ISNUMBER($E81),ISNUMBER($F81),$E81&gt;$F81),"Inicio posterior a fecha límite"&amp;" · ","")&amp;IF(AND($S81="Macro",$G81=""),"Peso vacío"&amp;" · ","")&amp;IF(AND($S81="Macro",$G81&lt;&gt;"",OR(NOT(ISNUMBER($G81)),$G81&lt;=0,$G81&gt;1)),"Peso fuera de rango"&amp;" · ","")&amp;IF(AND($S81="Sub",$G81&lt;&gt;""),"Las subactividades no llevan peso"&amp;" · ","")&amp;IF(AND($S81="Macro",ABS(SUMIFS($G$5:$G$1000,$P$5:$P$1000,$P81,$S$5:$S$1000,"Macro")-1)&gt;0.0001),"Pesos del mes suman "&amp;TEXT(SUMIFS($G$5:$G$1000,$P$5:$P$1000,$P81,$S$5:$S$1000,"Macro"),"0%")&amp;" · ","")&amp;IF(AND(N($T81)&gt;0,COUNT($H81:$K81)&gt;0),"Con subactividades: deje vacías las semanas (se calculan solas)"&amp;" · ","")&amp;IF((COUNTIF($H81:$K81,"&gt;1")+COUNTIF($H81:$K81,"&lt;0")+COUNTA($H81:$K81)-COUNT($H81:$K81))&gt;0,"Avance fuera de rango 0-100%"&amp;" · ","")&amp;IF(OR(AND($I81&lt;&gt;"",$I81&lt;$H81),AND($J81&lt;&gt;"",$J81&lt;MAX($H81:$I81)),AND($K81&lt;&gt;"",$K81&lt;MAX($H81:$J81))),"Avance semanal decreciente"&amp;" · ","")&amp;IF(AND(ISNUMBER($F81),$F81&lt;FechaRef,N($L81)&lt;1),"Vencida"&amp;" · ","")&amp;IF(AND(ObsObligatoria="Sí",ISNUMBER($F81),$F81&lt;FechaRef,N($L81)&lt;1,$N81=""),"Vencida sin observación"&amp;" · ",""),LEN(IF(AND($S81="Macro",$B81=""),"Macroactividad vacía"&amp;" · ","")&amp;IF(AND($B81&lt;&gt;"",$C81&lt;&gt;""),"Escriba la subactividad en otra fila, debajo de su macroactividad"&amp;" · ","")&amp;IF(AND($S81="Sub",N($R81)=0),"Subactividad sin macroactividad arriba"&amp;" · ","")&amp;IF($D81="","Sin responsable"&amp;" · ","")&amp;IF($E81="","Sin fecha de inicio"&amp;" · ","")&amp;IF($F81="","Sin fecha límite"&amp;" · ","")&amp;IF(OR(AND($E81&lt;&gt;"",NOT(ISNUMBER($E81))),AND($F81&lt;&gt;"",NOT(ISNUMBER($F81)))),"Fecha no válida"&amp;" · ","")&amp;IF(AND(ISNUMBER($E81),ISNUMBER($F81),$E81&gt;$F81),"Inicio posterior a fecha límite"&amp;" · ","")&amp;IF(AND($S81="Macro",$G81=""),"Peso vacío"&amp;" · ","")&amp;IF(AND($S81="Macro",$G81&lt;&gt;"",OR(NOT(ISNUMBER($G81)),$G81&lt;=0,$G81&gt;1)),"Peso fuera de rango"&amp;" · ","")&amp;IF(AND($S81="Sub",$G81&lt;&gt;""),"Las subactividades no llevan peso"&amp;" · ","")&amp;IF(AND($S81="Macro",ABS(SUMIFS($G$5:$G$1000,$P$5:$P$1000,$P81,$S$5:$S$1000,"Macro")-1)&gt;0.0001),"Pesos del mes suman "&amp;TEXT(SUMIFS($G$5:$G$1000,$P$5:$P$1000,$P81,$S$5:$S$1000,"Macro"),"0%")&amp;" · ","")&amp;IF(AND(N($T81)&gt;0,COUNT($H81:$K81)&gt;0),"Con subactividades: deje vacías las semanas (se calculan solas)"&amp;" · ","")&amp;IF((COUNTIF($H81:$K81,"&gt;1")+COUNTIF($H81:$K81,"&lt;0")+COUNTA($H81:$K81)-COUNT($H81:$K81))&gt;0,"Avance fuera de rango 0-100%"&amp;" · ","")&amp;IF(OR(AND($I81&lt;&gt;"",$I81&lt;$H81),AND($J81&lt;&gt;"",$J81&lt;MAX($H81:$I81)),AND($K81&lt;&gt;"",$K81&lt;MAX($H81:$J81))),"Avance semanal decreciente"&amp;" · ","")&amp;IF(AND(ISNUMBER($F81),$F81&lt;FechaRef,N($L81)&lt;1),"Vencida"&amp;" · ","")&amp;IF(AND(ObsObligatoria="Sí",ISNUMBER($F81),$F81&lt;FechaRef,N($L81)&lt;1,$N81=""),"Vencida sin observación"&amp;" · ",""))-3)))</f>
        <v/>
      </c>
      <c r="P81" s="69">
        <f>IF(NOT((COUNTA($B81:$K81)+COUNTA($N81))&gt;0),"",IF(AND($S81="Sub",N($R81)&gt;0),IF(ISNUMBER(INDEX($E$5:$E$1000,$R81-4)),DATE(YEAR(INDEX($E$5:$E$1000,$R81-4)),MONTH(INDEX($E$5:$E$1000,$R81-4)),1),IF(ISNUMBER(INDEX($F$5:$F$1000,$R81-4)),DATE(YEAR(INDEX($F$5:$F$1000,$R81-4)),MONTH(INDEX($F$5:$F$1000,$R81-4)),1),MesCiclo)),IF(ISNUMBER($E81),DATE(YEAR($E81),MONTH($E81),1),IF(ISNUMBER($F81),DATE(YEAR($F81),MONTH($F81),1),MesCiclo))))</f>
        <v/>
      </c>
      <c r="Q81" s="70">
        <f>IF(OR($P81="",$P81&lt;&gt;MesCiclo),"",COUNTIF($P$5:$P81,MesCiclo))</f>
        <v/>
      </c>
      <c r="R81" s="70">
        <f>IF($S81="","",IF($S81="Macro",ROW(),IFERROR(LOOKUP(2,1/($S$5:$S81="Macro"),ROW($S$5:$S81)),0)))</f>
        <v/>
      </c>
      <c r="S81" s="70">
        <f>IF(NOT((COUNTA($B81:$K81)+COUNTA($N81))&gt;0),"",IF($B81&lt;&gt;"","Macro",IF($C81&lt;&gt;"","Sub","Macro")))</f>
        <v/>
      </c>
      <c r="T81" s="70">
        <f>IF($S81="Macro",COUNTIFS($R$5:$R$1000,ROW(),$S$5:$S$1000,"Sub"),"")</f>
        <v/>
      </c>
      <c r="U81" s="70">
        <f>IF($S81="","",IF(ISNUMBER($H81),$H81,0))</f>
        <v/>
      </c>
      <c r="V81" s="70">
        <f>IF($S81="","",IF(ISNUMBER($I81),$I81,$U81))</f>
        <v/>
      </c>
      <c r="W81" s="70">
        <f>IF($S81="","",IF(ISNUMBER($J81),$J81,$V81))</f>
        <v/>
      </c>
      <c r="X81" s="70">
        <f>IF($S81="","",IF(ISNUMBER($K81),$K81,$W81))</f>
        <v/>
      </c>
      <c r="Y81" s="70">
        <f>IF($S81="","",IF(N($T81)&gt;0,AVERAGEIFS($U$5:$U$1000,$R$5:$R$1000,ROW(),$S$5:$S$1000,"Sub"),$U81))</f>
        <v/>
      </c>
      <c r="Z81" s="70">
        <f>IF($S81="","",IF(N($T81)&gt;0,AVERAGEIFS($V$5:$V$1000,$R$5:$R$1000,ROW(),$S$5:$S$1000,"Sub"),$V81))</f>
        <v/>
      </c>
      <c r="AA81" s="70">
        <f>IF($S81="","",IF(N($T81)&gt;0,AVERAGEIFS($W$5:$W$1000,$R$5:$R$1000,ROW(),$S$5:$S$1000,"Sub"),$W81))</f>
        <v/>
      </c>
      <c r="AB81" s="70">
        <f>IF($S81="","",IF(N($T81)&gt;0,AVERAGEIFS($X$5:$X$1000,$R$5:$R$1000,ROW(),$S$5:$S$1000,"Sub"),$X81))</f>
        <v/>
      </c>
    </row>
    <row r="82">
      <c r="A82" s="61">
        <f>IF(NOT((COUNTA($B82:$K82)+COUNTA($N82))&gt;0),"",IF($S82="Macro",COUNTIFS($S$5:$S82,"Macro",$P$5:$P82,$P82),IF(N($R82)=0,"?",COUNTIFS(INDEX($S$5:$S$1000,1):INDEX($S$5:$S$1000,$R82-4),"Macro",INDEX($P$5:$P$1000,1):INDEX($P$5:$P$1000,$R82-4),INDEX($P$5:$P$1000,$R82-4))&amp;"."&amp;COUNTIFS($R$5:$R82,$R82,$S$5:$S82,"Sub"))))</f>
        <v/>
      </c>
      <c r="B82" s="62" t="n"/>
      <c r="C82" s="63" t="n"/>
      <c r="D82" s="62" t="n"/>
      <c r="E82" s="64" t="n"/>
      <c r="F82" s="64" t="n"/>
      <c r="G82" s="65" t="n"/>
      <c r="H82" s="66" t="n"/>
      <c r="I82" s="66" t="n"/>
      <c r="J82" s="66" t="n"/>
      <c r="K82" s="66" t="n"/>
      <c r="L82" s="67">
        <f>IF(NOT((COUNTA($B82:$K82)+COUNTA($N82))&gt;0),"",IF(N($T82)&gt;0,$AB82,IFERROR(LOOKUP(2,1/(H82:K82&lt;&gt;""),H82:K82),0)))</f>
        <v/>
      </c>
      <c r="M82" s="61">
        <f>IF(L82="","",IF(L82&gt;=1,"Completado",IF(L82&gt;0,"En curso","Pendiente")))</f>
        <v/>
      </c>
      <c r="N82" s="62" t="n"/>
      <c r="O82" s="68">
        <f>IF(NOT((COUNTA($B82:$K82)+COUNTA($N82))&gt;0),"",IF((IF(AND($S82="Macro",$B82=""),"Macroactividad vacía"&amp;" · ","")&amp;IF(AND($B82&lt;&gt;"",$C82&lt;&gt;""),"Escriba la subactividad en otra fila, debajo de su macroactividad"&amp;" · ","")&amp;IF(AND($S82="Sub",N($R82)=0),"Subactividad sin macroactividad arriba"&amp;" · ","")&amp;IF($D82="","Sin responsable"&amp;" · ","")&amp;IF($E82="","Sin fecha de inicio"&amp;" · ","")&amp;IF($F82="","Sin fecha límite"&amp;" · ","")&amp;IF(OR(AND($E82&lt;&gt;"",NOT(ISNUMBER($E82))),AND($F82&lt;&gt;"",NOT(ISNUMBER($F82)))),"Fecha no válida"&amp;" · ","")&amp;IF(AND(ISNUMBER($E82),ISNUMBER($F82),$E82&gt;$F82),"Inicio posterior a fecha límite"&amp;" · ","")&amp;IF(AND($S82="Macro",$G82=""),"Peso vacío"&amp;" · ","")&amp;IF(AND($S82="Macro",$G82&lt;&gt;"",OR(NOT(ISNUMBER($G82)),$G82&lt;=0,$G82&gt;1)),"Peso fuera de rango"&amp;" · ","")&amp;IF(AND($S82="Sub",$G82&lt;&gt;""),"Las subactividades no llevan peso"&amp;" · ","")&amp;IF(AND($S82="Macro",ABS(SUMIFS($G$5:$G$1000,$P$5:$P$1000,$P82,$S$5:$S$1000,"Macro")-1)&gt;0.0001),"Pesos del mes suman "&amp;TEXT(SUMIFS($G$5:$G$1000,$P$5:$P$1000,$P82,$S$5:$S$1000,"Macro"),"0%")&amp;" · ","")&amp;IF(AND(N($T82)&gt;0,COUNT($H82:$K82)&gt;0),"Con subactividades: deje vacías las semanas (se calculan solas)"&amp;" · ","")&amp;IF((COUNTIF($H82:$K82,"&gt;1")+COUNTIF($H82:$K82,"&lt;0")+COUNTA($H82:$K82)-COUNT($H82:$K82))&gt;0,"Avance fuera de rango 0-100%"&amp;" · ","")&amp;IF(OR(AND($I82&lt;&gt;"",$I82&lt;$H82),AND($J82&lt;&gt;"",$J82&lt;MAX($H82:$I82)),AND($K82&lt;&gt;"",$K82&lt;MAX($H82:$J82))),"Avance semanal decreciente"&amp;" · ","")&amp;IF(AND(ISNUMBER($F82),$F82&lt;FechaRef,N($L82)&lt;1),"Vencida"&amp;" · ","")&amp;IF(AND(ObsObligatoria="Sí",ISNUMBER($F82),$F82&lt;FechaRef,N($L82)&lt;1,$N82=""),"Vencida sin observación"&amp;" · ",""))="","✔ OK","⚠ "&amp;LEFT(IF(AND($S82="Macro",$B82=""),"Macroactividad vacía"&amp;" · ","")&amp;IF(AND($B82&lt;&gt;"",$C82&lt;&gt;""),"Escriba la subactividad en otra fila, debajo de su macroactividad"&amp;" · ","")&amp;IF(AND($S82="Sub",N($R82)=0),"Subactividad sin macroactividad arriba"&amp;" · ","")&amp;IF($D82="","Sin responsable"&amp;" · ","")&amp;IF($E82="","Sin fecha de inicio"&amp;" · ","")&amp;IF($F82="","Sin fecha límite"&amp;" · ","")&amp;IF(OR(AND($E82&lt;&gt;"",NOT(ISNUMBER($E82))),AND($F82&lt;&gt;"",NOT(ISNUMBER($F82)))),"Fecha no válida"&amp;" · ","")&amp;IF(AND(ISNUMBER($E82),ISNUMBER($F82),$E82&gt;$F82),"Inicio posterior a fecha límite"&amp;" · ","")&amp;IF(AND($S82="Macro",$G82=""),"Peso vacío"&amp;" · ","")&amp;IF(AND($S82="Macro",$G82&lt;&gt;"",OR(NOT(ISNUMBER($G82)),$G82&lt;=0,$G82&gt;1)),"Peso fuera de rango"&amp;" · ","")&amp;IF(AND($S82="Sub",$G82&lt;&gt;""),"Las subactividades no llevan peso"&amp;" · ","")&amp;IF(AND($S82="Macro",ABS(SUMIFS($G$5:$G$1000,$P$5:$P$1000,$P82,$S$5:$S$1000,"Macro")-1)&gt;0.0001),"Pesos del mes suman "&amp;TEXT(SUMIFS($G$5:$G$1000,$P$5:$P$1000,$P82,$S$5:$S$1000,"Macro"),"0%")&amp;" · ","")&amp;IF(AND(N($T82)&gt;0,COUNT($H82:$K82)&gt;0),"Con subactividades: deje vacías las semanas (se calculan solas)"&amp;" · ","")&amp;IF((COUNTIF($H82:$K82,"&gt;1")+COUNTIF($H82:$K82,"&lt;0")+COUNTA($H82:$K82)-COUNT($H82:$K82))&gt;0,"Avance fuera de rango 0-100%"&amp;" · ","")&amp;IF(OR(AND($I82&lt;&gt;"",$I82&lt;$H82),AND($J82&lt;&gt;"",$J82&lt;MAX($H82:$I82)),AND($K82&lt;&gt;"",$K82&lt;MAX($H82:$J82))),"Avance semanal decreciente"&amp;" · ","")&amp;IF(AND(ISNUMBER($F82),$F82&lt;FechaRef,N($L82)&lt;1),"Vencida"&amp;" · ","")&amp;IF(AND(ObsObligatoria="Sí",ISNUMBER($F82),$F82&lt;FechaRef,N($L82)&lt;1,$N82=""),"Vencida sin observación"&amp;" · ",""),LEN(IF(AND($S82="Macro",$B82=""),"Macroactividad vacía"&amp;" · ","")&amp;IF(AND($B82&lt;&gt;"",$C82&lt;&gt;""),"Escriba la subactividad en otra fila, debajo de su macroactividad"&amp;" · ","")&amp;IF(AND($S82="Sub",N($R82)=0),"Subactividad sin macroactividad arriba"&amp;" · ","")&amp;IF($D82="","Sin responsable"&amp;" · ","")&amp;IF($E82="","Sin fecha de inicio"&amp;" · ","")&amp;IF($F82="","Sin fecha límite"&amp;" · ","")&amp;IF(OR(AND($E82&lt;&gt;"",NOT(ISNUMBER($E82))),AND($F82&lt;&gt;"",NOT(ISNUMBER($F82)))),"Fecha no válida"&amp;" · ","")&amp;IF(AND(ISNUMBER($E82),ISNUMBER($F82),$E82&gt;$F82),"Inicio posterior a fecha límite"&amp;" · ","")&amp;IF(AND($S82="Macro",$G82=""),"Peso vacío"&amp;" · ","")&amp;IF(AND($S82="Macro",$G82&lt;&gt;"",OR(NOT(ISNUMBER($G82)),$G82&lt;=0,$G82&gt;1)),"Peso fuera de rango"&amp;" · ","")&amp;IF(AND($S82="Sub",$G82&lt;&gt;""),"Las subactividades no llevan peso"&amp;" · ","")&amp;IF(AND($S82="Macro",ABS(SUMIFS($G$5:$G$1000,$P$5:$P$1000,$P82,$S$5:$S$1000,"Macro")-1)&gt;0.0001),"Pesos del mes suman "&amp;TEXT(SUMIFS($G$5:$G$1000,$P$5:$P$1000,$P82,$S$5:$S$1000,"Macro"),"0%")&amp;" · ","")&amp;IF(AND(N($T82)&gt;0,COUNT($H82:$K82)&gt;0),"Con subactividades: deje vacías las semanas (se calculan solas)"&amp;" · ","")&amp;IF((COUNTIF($H82:$K82,"&gt;1")+COUNTIF($H82:$K82,"&lt;0")+COUNTA($H82:$K82)-COUNT($H82:$K82))&gt;0,"Avance fuera de rango 0-100%"&amp;" · ","")&amp;IF(OR(AND($I82&lt;&gt;"",$I82&lt;$H82),AND($J82&lt;&gt;"",$J82&lt;MAX($H82:$I82)),AND($K82&lt;&gt;"",$K82&lt;MAX($H82:$J82))),"Avance semanal decreciente"&amp;" · ","")&amp;IF(AND(ISNUMBER($F82),$F82&lt;FechaRef,N($L82)&lt;1),"Vencida"&amp;" · ","")&amp;IF(AND(ObsObligatoria="Sí",ISNUMBER($F82),$F82&lt;FechaRef,N($L82)&lt;1,$N82=""),"Vencida sin observación"&amp;" · ",""))-3)))</f>
        <v/>
      </c>
      <c r="P82" s="69">
        <f>IF(NOT((COUNTA($B82:$K82)+COUNTA($N82))&gt;0),"",IF(AND($S82="Sub",N($R82)&gt;0),IF(ISNUMBER(INDEX($E$5:$E$1000,$R82-4)),DATE(YEAR(INDEX($E$5:$E$1000,$R82-4)),MONTH(INDEX($E$5:$E$1000,$R82-4)),1),IF(ISNUMBER(INDEX($F$5:$F$1000,$R82-4)),DATE(YEAR(INDEX($F$5:$F$1000,$R82-4)),MONTH(INDEX($F$5:$F$1000,$R82-4)),1),MesCiclo)),IF(ISNUMBER($E82),DATE(YEAR($E82),MONTH($E82),1),IF(ISNUMBER($F82),DATE(YEAR($F82),MONTH($F82),1),MesCiclo))))</f>
        <v/>
      </c>
      <c r="Q82" s="70">
        <f>IF(OR($P82="",$P82&lt;&gt;MesCiclo),"",COUNTIF($P$5:$P82,MesCiclo))</f>
        <v/>
      </c>
      <c r="R82" s="70">
        <f>IF($S82="","",IF($S82="Macro",ROW(),IFERROR(LOOKUP(2,1/($S$5:$S82="Macro"),ROW($S$5:$S82)),0)))</f>
        <v/>
      </c>
      <c r="S82" s="70">
        <f>IF(NOT((COUNTA($B82:$K82)+COUNTA($N82))&gt;0),"",IF($B82&lt;&gt;"","Macro",IF($C82&lt;&gt;"","Sub","Macro")))</f>
        <v/>
      </c>
      <c r="T82" s="70">
        <f>IF($S82="Macro",COUNTIFS($R$5:$R$1000,ROW(),$S$5:$S$1000,"Sub"),"")</f>
        <v/>
      </c>
      <c r="U82" s="70">
        <f>IF($S82="","",IF(ISNUMBER($H82),$H82,0))</f>
        <v/>
      </c>
      <c r="V82" s="70">
        <f>IF($S82="","",IF(ISNUMBER($I82),$I82,$U82))</f>
        <v/>
      </c>
      <c r="W82" s="70">
        <f>IF($S82="","",IF(ISNUMBER($J82),$J82,$V82))</f>
        <v/>
      </c>
      <c r="X82" s="70">
        <f>IF($S82="","",IF(ISNUMBER($K82),$K82,$W82))</f>
        <v/>
      </c>
      <c r="Y82" s="70">
        <f>IF($S82="","",IF(N($T82)&gt;0,AVERAGEIFS($U$5:$U$1000,$R$5:$R$1000,ROW(),$S$5:$S$1000,"Sub"),$U82))</f>
        <v/>
      </c>
      <c r="Z82" s="70">
        <f>IF($S82="","",IF(N($T82)&gt;0,AVERAGEIFS($V$5:$V$1000,$R$5:$R$1000,ROW(),$S$5:$S$1000,"Sub"),$V82))</f>
        <v/>
      </c>
      <c r="AA82" s="70">
        <f>IF($S82="","",IF(N($T82)&gt;0,AVERAGEIFS($W$5:$W$1000,$R$5:$R$1000,ROW(),$S$5:$S$1000,"Sub"),$W82))</f>
        <v/>
      </c>
      <c r="AB82" s="70">
        <f>IF($S82="","",IF(N($T82)&gt;0,AVERAGEIFS($X$5:$X$1000,$R$5:$R$1000,ROW(),$S$5:$S$1000,"Sub"),$X82))</f>
        <v/>
      </c>
    </row>
    <row r="83">
      <c r="A83" s="61">
        <f>IF(NOT((COUNTA($B83:$K83)+COUNTA($N83))&gt;0),"",IF($S83="Macro",COUNTIFS($S$5:$S83,"Macro",$P$5:$P83,$P83),IF(N($R83)=0,"?",COUNTIFS(INDEX($S$5:$S$1000,1):INDEX($S$5:$S$1000,$R83-4),"Macro",INDEX($P$5:$P$1000,1):INDEX($P$5:$P$1000,$R83-4),INDEX($P$5:$P$1000,$R83-4))&amp;"."&amp;COUNTIFS($R$5:$R83,$R83,$S$5:$S83,"Sub"))))</f>
        <v/>
      </c>
      <c r="B83" s="62" t="n"/>
      <c r="C83" s="63" t="n"/>
      <c r="D83" s="62" t="n"/>
      <c r="E83" s="64" t="n"/>
      <c r="F83" s="64" t="n"/>
      <c r="G83" s="65" t="n"/>
      <c r="H83" s="66" t="n"/>
      <c r="I83" s="66" t="n"/>
      <c r="J83" s="66" t="n"/>
      <c r="K83" s="66" t="n"/>
      <c r="L83" s="67">
        <f>IF(NOT((COUNTA($B83:$K83)+COUNTA($N83))&gt;0),"",IF(N($T83)&gt;0,$AB83,IFERROR(LOOKUP(2,1/(H83:K83&lt;&gt;""),H83:K83),0)))</f>
        <v/>
      </c>
      <c r="M83" s="61">
        <f>IF(L83="","",IF(L83&gt;=1,"Completado",IF(L83&gt;0,"En curso","Pendiente")))</f>
        <v/>
      </c>
      <c r="N83" s="62" t="n"/>
      <c r="O83" s="68">
        <f>IF(NOT((COUNTA($B83:$K83)+COUNTA($N83))&gt;0),"",IF((IF(AND($S83="Macro",$B83=""),"Macroactividad vacía"&amp;" · ","")&amp;IF(AND($B83&lt;&gt;"",$C83&lt;&gt;""),"Escriba la subactividad en otra fila, debajo de su macroactividad"&amp;" · ","")&amp;IF(AND($S83="Sub",N($R83)=0),"Subactividad sin macroactividad arriba"&amp;" · ","")&amp;IF($D83="","Sin responsable"&amp;" · ","")&amp;IF($E83="","Sin fecha de inicio"&amp;" · ","")&amp;IF($F83="","Sin fecha límite"&amp;" · ","")&amp;IF(OR(AND($E83&lt;&gt;"",NOT(ISNUMBER($E83))),AND($F83&lt;&gt;"",NOT(ISNUMBER($F83)))),"Fecha no válida"&amp;" · ","")&amp;IF(AND(ISNUMBER($E83),ISNUMBER($F83),$E83&gt;$F83),"Inicio posterior a fecha límite"&amp;" · ","")&amp;IF(AND($S83="Macro",$G83=""),"Peso vacío"&amp;" · ","")&amp;IF(AND($S83="Macro",$G83&lt;&gt;"",OR(NOT(ISNUMBER($G83)),$G83&lt;=0,$G83&gt;1)),"Peso fuera de rango"&amp;" · ","")&amp;IF(AND($S83="Sub",$G83&lt;&gt;""),"Las subactividades no llevan peso"&amp;" · ","")&amp;IF(AND($S83="Macro",ABS(SUMIFS($G$5:$G$1000,$P$5:$P$1000,$P83,$S$5:$S$1000,"Macro")-1)&gt;0.0001),"Pesos del mes suman "&amp;TEXT(SUMIFS($G$5:$G$1000,$P$5:$P$1000,$P83,$S$5:$S$1000,"Macro"),"0%")&amp;" · ","")&amp;IF(AND(N($T83)&gt;0,COUNT($H83:$K83)&gt;0),"Con subactividades: deje vacías las semanas (se calculan solas)"&amp;" · ","")&amp;IF((COUNTIF($H83:$K83,"&gt;1")+COUNTIF($H83:$K83,"&lt;0")+COUNTA($H83:$K83)-COUNT($H83:$K83))&gt;0,"Avance fuera de rango 0-100%"&amp;" · ","")&amp;IF(OR(AND($I83&lt;&gt;"",$I83&lt;$H83),AND($J83&lt;&gt;"",$J83&lt;MAX($H83:$I83)),AND($K83&lt;&gt;"",$K83&lt;MAX($H83:$J83))),"Avance semanal decreciente"&amp;" · ","")&amp;IF(AND(ISNUMBER($F83),$F83&lt;FechaRef,N($L83)&lt;1),"Vencida"&amp;" · ","")&amp;IF(AND(ObsObligatoria="Sí",ISNUMBER($F83),$F83&lt;FechaRef,N($L83)&lt;1,$N83=""),"Vencida sin observación"&amp;" · ",""))="","✔ OK","⚠ "&amp;LEFT(IF(AND($S83="Macro",$B83=""),"Macroactividad vacía"&amp;" · ","")&amp;IF(AND($B83&lt;&gt;"",$C83&lt;&gt;""),"Escriba la subactividad en otra fila, debajo de su macroactividad"&amp;" · ","")&amp;IF(AND($S83="Sub",N($R83)=0),"Subactividad sin macroactividad arriba"&amp;" · ","")&amp;IF($D83="","Sin responsable"&amp;" · ","")&amp;IF($E83="","Sin fecha de inicio"&amp;" · ","")&amp;IF($F83="","Sin fecha límite"&amp;" · ","")&amp;IF(OR(AND($E83&lt;&gt;"",NOT(ISNUMBER($E83))),AND($F83&lt;&gt;"",NOT(ISNUMBER($F83)))),"Fecha no válida"&amp;" · ","")&amp;IF(AND(ISNUMBER($E83),ISNUMBER($F83),$E83&gt;$F83),"Inicio posterior a fecha límite"&amp;" · ","")&amp;IF(AND($S83="Macro",$G83=""),"Peso vacío"&amp;" · ","")&amp;IF(AND($S83="Macro",$G83&lt;&gt;"",OR(NOT(ISNUMBER($G83)),$G83&lt;=0,$G83&gt;1)),"Peso fuera de rango"&amp;" · ","")&amp;IF(AND($S83="Sub",$G83&lt;&gt;""),"Las subactividades no llevan peso"&amp;" · ","")&amp;IF(AND($S83="Macro",ABS(SUMIFS($G$5:$G$1000,$P$5:$P$1000,$P83,$S$5:$S$1000,"Macro")-1)&gt;0.0001),"Pesos del mes suman "&amp;TEXT(SUMIFS($G$5:$G$1000,$P$5:$P$1000,$P83,$S$5:$S$1000,"Macro"),"0%")&amp;" · ","")&amp;IF(AND(N($T83)&gt;0,COUNT($H83:$K83)&gt;0),"Con subactividades: deje vacías las semanas (se calculan solas)"&amp;" · ","")&amp;IF((COUNTIF($H83:$K83,"&gt;1")+COUNTIF($H83:$K83,"&lt;0")+COUNTA($H83:$K83)-COUNT($H83:$K83))&gt;0,"Avance fuera de rango 0-100%"&amp;" · ","")&amp;IF(OR(AND($I83&lt;&gt;"",$I83&lt;$H83),AND($J83&lt;&gt;"",$J83&lt;MAX($H83:$I83)),AND($K83&lt;&gt;"",$K83&lt;MAX($H83:$J83))),"Avance semanal decreciente"&amp;" · ","")&amp;IF(AND(ISNUMBER($F83),$F83&lt;FechaRef,N($L83)&lt;1),"Vencida"&amp;" · ","")&amp;IF(AND(ObsObligatoria="Sí",ISNUMBER($F83),$F83&lt;FechaRef,N($L83)&lt;1,$N83=""),"Vencida sin observación"&amp;" · ",""),LEN(IF(AND($S83="Macro",$B83=""),"Macroactividad vacía"&amp;" · ","")&amp;IF(AND($B83&lt;&gt;"",$C83&lt;&gt;""),"Escriba la subactividad en otra fila, debajo de su macroactividad"&amp;" · ","")&amp;IF(AND($S83="Sub",N($R83)=0),"Subactividad sin macroactividad arriba"&amp;" · ","")&amp;IF($D83="","Sin responsable"&amp;" · ","")&amp;IF($E83="","Sin fecha de inicio"&amp;" · ","")&amp;IF($F83="","Sin fecha límite"&amp;" · ","")&amp;IF(OR(AND($E83&lt;&gt;"",NOT(ISNUMBER($E83))),AND($F83&lt;&gt;"",NOT(ISNUMBER($F83)))),"Fecha no válida"&amp;" · ","")&amp;IF(AND(ISNUMBER($E83),ISNUMBER($F83),$E83&gt;$F83),"Inicio posterior a fecha límite"&amp;" · ","")&amp;IF(AND($S83="Macro",$G83=""),"Peso vacío"&amp;" · ","")&amp;IF(AND($S83="Macro",$G83&lt;&gt;"",OR(NOT(ISNUMBER($G83)),$G83&lt;=0,$G83&gt;1)),"Peso fuera de rango"&amp;" · ","")&amp;IF(AND($S83="Sub",$G83&lt;&gt;""),"Las subactividades no llevan peso"&amp;" · ","")&amp;IF(AND($S83="Macro",ABS(SUMIFS($G$5:$G$1000,$P$5:$P$1000,$P83,$S$5:$S$1000,"Macro")-1)&gt;0.0001),"Pesos del mes suman "&amp;TEXT(SUMIFS($G$5:$G$1000,$P$5:$P$1000,$P83,$S$5:$S$1000,"Macro"),"0%")&amp;" · ","")&amp;IF(AND(N($T83)&gt;0,COUNT($H83:$K83)&gt;0),"Con subactividades: deje vacías las semanas (se calculan solas)"&amp;" · ","")&amp;IF((COUNTIF($H83:$K83,"&gt;1")+COUNTIF($H83:$K83,"&lt;0")+COUNTA($H83:$K83)-COUNT($H83:$K83))&gt;0,"Avance fuera de rango 0-100%"&amp;" · ","")&amp;IF(OR(AND($I83&lt;&gt;"",$I83&lt;$H83),AND($J83&lt;&gt;"",$J83&lt;MAX($H83:$I83)),AND($K83&lt;&gt;"",$K83&lt;MAX($H83:$J83))),"Avance semanal decreciente"&amp;" · ","")&amp;IF(AND(ISNUMBER($F83),$F83&lt;FechaRef,N($L83)&lt;1),"Vencida"&amp;" · ","")&amp;IF(AND(ObsObligatoria="Sí",ISNUMBER($F83),$F83&lt;FechaRef,N($L83)&lt;1,$N83=""),"Vencida sin observación"&amp;" · ",""))-3)))</f>
        <v/>
      </c>
      <c r="P83" s="69">
        <f>IF(NOT((COUNTA($B83:$K83)+COUNTA($N83))&gt;0),"",IF(AND($S83="Sub",N($R83)&gt;0),IF(ISNUMBER(INDEX($E$5:$E$1000,$R83-4)),DATE(YEAR(INDEX($E$5:$E$1000,$R83-4)),MONTH(INDEX($E$5:$E$1000,$R83-4)),1),IF(ISNUMBER(INDEX($F$5:$F$1000,$R83-4)),DATE(YEAR(INDEX($F$5:$F$1000,$R83-4)),MONTH(INDEX($F$5:$F$1000,$R83-4)),1),MesCiclo)),IF(ISNUMBER($E83),DATE(YEAR($E83),MONTH($E83),1),IF(ISNUMBER($F83),DATE(YEAR($F83),MONTH($F83),1),MesCiclo))))</f>
        <v/>
      </c>
      <c r="Q83" s="70">
        <f>IF(OR($P83="",$P83&lt;&gt;MesCiclo),"",COUNTIF($P$5:$P83,MesCiclo))</f>
        <v/>
      </c>
      <c r="R83" s="70">
        <f>IF($S83="","",IF($S83="Macro",ROW(),IFERROR(LOOKUP(2,1/($S$5:$S83="Macro"),ROW($S$5:$S83)),0)))</f>
        <v/>
      </c>
      <c r="S83" s="70">
        <f>IF(NOT((COUNTA($B83:$K83)+COUNTA($N83))&gt;0),"",IF($B83&lt;&gt;"","Macro",IF($C83&lt;&gt;"","Sub","Macro")))</f>
        <v/>
      </c>
      <c r="T83" s="70">
        <f>IF($S83="Macro",COUNTIFS($R$5:$R$1000,ROW(),$S$5:$S$1000,"Sub"),"")</f>
        <v/>
      </c>
      <c r="U83" s="70">
        <f>IF($S83="","",IF(ISNUMBER($H83),$H83,0))</f>
        <v/>
      </c>
      <c r="V83" s="70">
        <f>IF($S83="","",IF(ISNUMBER($I83),$I83,$U83))</f>
        <v/>
      </c>
      <c r="W83" s="70">
        <f>IF($S83="","",IF(ISNUMBER($J83),$J83,$V83))</f>
        <v/>
      </c>
      <c r="X83" s="70">
        <f>IF($S83="","",IF(ISNUMBER($K83),$K83,$W83))</f>
        <v/>
      </c>
      <c r="Y83" s="70">
        <f>IF($S83="","",IF(N($T83)&gt;0,AVERAGEIFS($U$5:$U$1000,$R$5:$R$1000,ROW(),$S$5:$S$1000,"Sub"),$U83))</f>
        <v/>
      </c>
      <c r="Z83" s="70">
        <f>IF($S83="","",IF(N($T83)&gt;0,AVERAGEIFS($V$5:$V$1000,$R$5:$R$1000,ROW(),$S$5:$S$1000,"Sub"),$V83))</f>
        <v/>
      </c>
      <c r="AA83" s="70">
        <f>IF($S83="","",IF(N($T83)&gt;0,AVERAGEIFS($W$5:$W$1000,$R$5:$R$1000,ROW(),$S$5:$S$1000,"Sub"),$W83))</f>
        <v/>
      </c>
      <c r="AB83" s="70">
        <f>IF($S83="","",IF(N($T83)&gt;0,AVERAGEIFS($X$5:$X$1000,$R$5:$R$1000,ROW(),$S$5:$S$1000,"Sub"),$X83))</f>
        <v/>
      </c>
    </row>
    <row r="84">
      <c r="A84" s="61">
        <f>IF(NOT((COUNTA($B84:$K84)+COUNTA($N84))&gt;0),"",IF($S84="Macro",COUNTIFS($S$5:$S84,"Macro",$P$5:$P84,$P84),IF(N($R84)=0,"?",COUNTIFS(INDEX($S$5:$S$1000,1):INDEX($S$5:$S$1000,$R84-4),"Macro",INDEX($P$5:$P$1000,1):INDEX($P$5:$P$1000,$R84-4),INDEX($P$5:$P$1000,$R84-4))&amp;"."&amp;COUNTIFS($R$5:$R84,$R84,$S$5:$S84,"Sub"))))</f>
        <v/>
      </c>
      <c r="B84" s="62" t="n"/>
      <c r="C84" s="63" t="n"/>
      <c r="D84" s="62" t="n"/>
      <c r="E84" s="64" t="n"/>
      <c r="F84" s="64" t="n"/>
      <c r="G84" s="65" t="n"/>
      <c r="H84" s="66" t="n"/>
      <c r="I84" s="66" t="n"/>
      <c r="J84" s="66" t="n"/>
      <c r="K84" s="66" t="n"/>
      <c r="L84" s="67">
        <f>IF(NOT((COUNTA($B84:$K84)+COUNTA($N84))&gt;0),"",IF(N($T84)&gt;0,$AB84,IFERROR(LOOKUP(2,1/(H84:K84&lt;&gt;""),H84:K84),0)))</f>
        <v/>
      </c>
      <c r="M84" s="61">
        <f>IF(L84="","",IF(L84&gt;=1,"Completado",IF(L84&gt;0,"En curso","Pendiente")))</f>
        <v/>
      </c>
      <c r="N84" s="62" t="n"/>
      <c r="O84" s="68">
        <f>IF(NOT((COUNTA($B84:$K84)+COUNTA($N84))&gt;0),"",IF((IF(AND($S84="Macro",$B84=""),"Macroactividad vacía"&amp;" · ","")&amp;IF(AND($B84&lt;&gt;"",$C84&lt;&gt;""),"Escriba la subactividad en otra fila, debajo de su macroactividad"&amp;" · ","")&amp;IF(AND($S84="Sub",N($R84)=0),"Subactividad sin macroactividad arriba"&amp;" · ","")&amp;IF($D84="","Sin responsable"&amp;" · ","")&amp;IF($E84="","Sin fecha de inicio"&amp;" · ","")&amp;IF($F84="","Sin fecha límite"&amp;" · ","")&amp;IF(OR(AND($E84&lt;&gt;"",NOT(ISNUMBER($E84))),AND($F84&lt;&gt;"",NOT(ISNUMBER($F84)))),"Fecha no válida"&amp;" · ","")&amp;IF(AND(ISNUMBER($E84),ISNUMBER($F84),$E84&gt;$F84),"Inicio posterior a fecha límite"&amp;" · ","")&amp;IF(AND($S84="Macro",$G84=""),"Peso vacío"&amp;" · ","")&amp;IF(AND($S84="Macro",$G84&lt;&gt;"",OR(NOT(ISNUMBER($G84)),$G84&lt;=0,$G84&gt;1)),"Peso fuera de rango"&amp;" · ","")&amp;IF(AND($S84="Sub",$G84&lt;&gt;""),"Las subactividades no llevan peso"&amp;" · ","")&amp;IF(AND($S84="Macro",ABS(SUMIFS($G$5:$G$1000,$P$5:$P$1000,$P84,$S$5:$S$1000,"Macro")-1)&gt;0.0001),"Pesos del mes suman "&amp;TEXT(SUMIFS($G$5:$G$1000,$P$5:$P$1000,$P84,$S$5:$S$1000,"Macro"),"0%")&amp;" · ","")&amp;IF(AND(N($T84)&gt;0,COUNT($H84:$K84)&gt;0),"Con subactividades: deje vacías las semanas (se calculan solas)"&amp;" · ","")&amp;IF((COUNTIF($H84:$K84,"&gt;1")+COUNTIF($H84:$K84,"&lt;0")+COUNTA($H84:$K84)-COUNT($H84:$K84))&gt;0,"Avance fuera de rango 0-100%"&amp;" · ","")&amp;IF(OR(AND($I84&lt;&gt;"",$I84&lt;$H84),AND($J84&lt;&gt;"",$J84&lt;MAX($H84:$I84)),AND($K84&lt;&gt;"",$K84&lt;MAX($H84:$J84))),"Avance semanal decreciente"&amp;" · ","")&amp;IF(AND(ISNUMBER($F84),$F84&lt;FechaRef,N($L84)&lt;1),"Vencida"&amp;" · ","")&amp;IF(AND(ObsObligatoria="Sí",ISNUMBER($F84),$F84&lt;FechaRef,N($L84)&lt;1,$N84=""),"Vencida sin observación"&amp;" · ",""))="","✔ OK","⚠ "&amp;LEFT(IF(AND($S84="Macro",$B84=""),"Macroactividad vacía"&amp;" · ","")&amp;IF(AND($B84&lt;&gt;"",$C84&lt;&gt;""),"Escriba la subactividad en otra fila, debajo de su macroactividad"&amp;" · ","")&amp;IF(AND($S84="Sub",N($R84)=0),"Subactividad sin macroactividad arriba"&amp;" · ","")&amp;IF($D84="","Sin responsable"&amp;" · ","")&amp;IF($E84="","Sin fecha de inicio"&amp;" · ","")&amp;IF($F84="","Sin fecha límite"&amp;" · ","")&amp;IF(OR(AND($E84&lt;&gt;"",NOT(ISNUMBER($E84))),AND($F84&lt;&gt;"",NOT(ISNUMBER($F84)))),"Fecha no válida"&amp;" · ","")&amp;IF(AND(ISNUMBER($E84),ISNUMBER($F84),$E84&gt;$F84),"Inicio posterior a fecha límite"&amp;" · ","")&amp;IF(AND($S84="Macro",$G84=""),"Peso vacío"&amp;" · ","")&amp;IF(AND($S84="Macro",$G84&lt;&gt;"",OR(NOT(ISNUMBER($G84)),$G84&lt;=0,$G84&gt;1)),"Peso fuera de rango"&amp;" · ","")&amp;IF(AND($S84="Sub",$G84&lt;&gt;""),"Las subactividades no llevan peso"&amp;" · ","")&amp;IF(AND($S84="Macro",ABS(SUMIFS($G$5:$G$1000,$P$5:$P$1000,$P84,$S$5:$S$1000,"Macro")-1)&gt;0.0001),"Pesos del mes suman "&amp;TEXT(SUMIFS($G$5:$G$1000,$P$5:$P$1000,$P84,$S$5:$S$1000,"Macro"),"0%")&amp;" · ","")&amp;IF(AND(N($T84)&gt;0,COUNT($H84:$K84)&gt;0),"Con subactividades: deje vacías las semanas (se calculan solas)"&amp;" · ","")&amp;IF((COUNTIF($H84:$K84,"&gt;1")+COUNTIF($H84:$K84,"&lt;0")+COUNTA($H84:$K84)-COUNT($H84:$K84))&gt;0,"Avance fuera de rango 0-100%"&amp;" · ","")&amp;IF(OR(AND($I84&lt;&gt;"",$I84&lt;$H84),AND($J84&lt;&gt;"",$J84&lt;MAX($H84:$I84)),AND($K84&lt;&gt;"",$K84&lt;MAX($H84:$J84))),"Avance semanal decreciente"&amp;" · ","")&amp;IF(AND(ISNUMBER($F84),$F84&lt;FechaRef,N($L84)&lt;1),"Vencida"&amp;" · ","")&amp;IF(AND(ObsObligatoria="Sí",ISNUMBER($F84),$F84&lt;FechaRef,N($L84)&lt;1,$N84=""),"Vencida sin observación"&amp;" · ",""),LEN(IF(AND($S84="Macro",$B84=""),"Macroactividad vacía"&amp;" · ","")&amp;IF(AND($B84&lt;&gt;"",$C84&lt;&gt;""),"Escriba la subactividad en otra fila, debajo de su macroactividad"&amp;" · ","")&amp;IF(AND($S84="Sub",N($R84)=0),"Subactividad sin macroactividad arriba"&amp;" · ","")&amp;IF($D84="","Sin responsable"&amp;" · ","")&amp;IF($E84="","Sin fecha de inicio"&amp;" · ","")&amp;IF($F84="","Sin fecha límite"&amp;" · ","")&amp;IF(OR(AND($E84&lt;&gt;"",NOT(ISNUMBER($E84))),AND($F84&lt;&gt;"",NOT(ISNUMBER($F84)))),"Fecha no válida"&amp;" · ","")&amp;IF(AND(ISNUMBER($E84),ISNUMBER($F84),$E84&gt;$F84),"Inicio posterior a fecha límite"&amp;" · ","")&amp;IF(AND($S84="Macro",$G84=""),"Peso vacío"&amp;" · ","")&amp;IF(AND($S84="Macro",$G84&lt;&gt;"",OR(NOT(ISNUMBER($G84)),$G84&lt;=0,$G84&gt;1)),"Peso fuera de rango"&amp;" · ","")&amp;IF(AND($S84="Sub",$G84&lt;&gt;""),"Las subactividades no llevan peso"&amp;" · ","")&amp;IF(AND($S84="Macro",ABS(SUMIFS($G$5:$G$1000,$P$5:$P$1000,$P84,$S$5:$S$1000,"Macro")-1)&gt;0.0001),"Pesos del mes suman "&amp;TEXT(SUMIFS($G$5:$G$1000,$P$5:$P$1000,$P84,$S$5:$S$1000,"Macro"),"0%")&amp;" · ","")&amp;IF(AND(N($T84)&gt;0,COUNT($H84:$K84)&gt;0),"Con subactividades: deje vacías las semanas (se calculan solas)"&amp;" · ","")&amp;IF((COUNTIF($H84:$K84,"&gt;1")+COUNTIF($H84:$K84,"&lt;0")+COUNTA($H84:$K84)-COUNT($H84:$K84))&gt;0,"Avance fuera de rango 0-100%"&amp;" · ","")&amp;IF(OR(AND($I84&lt;&gt;"",$I84&lt;$H84),AND($J84&lt;&gt;"",$J84&lt;MAX($H84:$I84)),AND($K84&lt;&gt;"",$K84&lt;MAX($H84:$J84))),"Avance semanal decreciente"&amp;" · ","")&amp;IF(AND(ISNUMBER($F84),$F84&lt;FechaRef,N($L84)&lt;1),"Vencida"&amp;" · ","")&amp;IF(AND(ObsObligatoria="Sí",ISNUMBER($F84),$F84&lt;FechaRef,N($L84)&lt;1,$N84=""),"Vencida sin observación"&amp;" · ",""))-3)))</f>
        <v/>
      </c>
      <c r="P84" s="69">
        <f>IF(NOT((COUNTA($B84:$K84)+COUNTA($N84))&gt;0),"",IF(AND($S84="Sub",N($R84)&gt;0),IF(ISNUMBER(INDEX($E$5:$E$1000,$R84-4)),DATE(YEAR(INDEX($E$5:$E$1000,$R84-4)),MONTH(INDEX($E$5:$E$1000,$R84-4)),1),IF(ISNUMBER(INDEX($F$5:$F$1000,$R84-4)),DATE(YEAR(INDEX($F$5:$F$1000,$R84-4)),MONTH(INDEX($F$5:$F$1000,$R84-4)),1),MesCiclo)),IF(ISNUMBER($E84),DATE(YEAR($E84),MONTH($E84),1),IF(ISNUMBER($F84),DATE(YEAR($F84),MONTH($F84),1),MesCiclo))))</f>
        <v/>
      </c>
      <c r="Q84" s="70">
        <f>IF(OR($P84="",$P84&lt;&gt;MesCiclo),"",COUNTIF($P$5:$P84,MesCiclo))</f>
        <v/>
      </c>
      <c r="R84" s="70">
        <f>IF($S84="","",IF($S84="Macro",ROW(),IFERROR(LOOKUP(2,1/($S$5:$S84="Macro"),ROW($S$5:$S84)),0)))</f>
        <v/>
      </c>
      <c r="S84" s="70">
        <f>IF(NOT((COUNTA($B84:$K84)+COUNTA($N84))&gt;0),"",IF($B84&lt;&gt;"","Macro",IF($C84&lt;&gt;"","Sub","Macro")))</f>
        <v/>
      </c>
      <c r="T84" s="70">
        <f>IF($S84="Macro",COUNTIFS($R$5:$R$1000,ROW(),$S$5:$S$1000,"Sub"),"")</f>
        <v/>
      </c>
      <c r="U84" s="70">
        <f>IF($S84="","",IF(ISNUMBER($H84),$H84,0))</f>
        <v/>
      </c>
      <c r="V84" s="70">
        <f>IF($S84="","",IF(ISNUMBER($I84),$I84,$U84))</f>
        <v/>
      </c>
      <c r="W84" s="70">
        <f>IF($S84="","",IF(ISNUMBER($J84),$J84,$V84))</f>
        <v/>
      </c>
      <c r="X84" s="70">
        <f>IF($S84="","",IF(ISNUMBER($K84),$K84,$W84))</f>
        <v/>
      </c>
      <c r="Y84" s="70">
        <f>IF($S84="","",IF(N($T84)&gt;0,AVERAGEIFS($U$5:$U$1000,$R$5:$R$1000,ROW(),$S$5:$S$1000,"Sub"),$U84))</f>
        <v/>
      </c>
      <c r="Z84" s="70">
        <f>IF($S84="","",IF(N($T84)&gt;0,AVERAGEIFS($V$5:$V$1000,$R$5:$R$1000,ROW(),$S$5:$S$1000,"Sub"),$V84))</f>
        <v/>
      </c>
      <c r="AA84" s="70">
        <f>IF($S84="","",IF(N($T84)&gt;0,AVERAGEIFS($W$5:$W$1000,$R$5:$R$1000,ROW(),$S$5:$S$1000,"Sub"),$W84))</f>
        <v/>
      </c>
      <c r="AB84" s="70">
        <f>IF($S84="","",IF(N($T84)&gt;0,AVERAGEIFS($X$5:$X$1000,$R$5:$R$1000,ROW(),$S$5:$S$1000,"Sub"),$X84))</f>
        <v/>
      </c>
    </row>
    <row r="85">
      <c r="A85" s="61">
        <f>IF(NOT((COUNTA($B85:$K85)+COUNTA($N85))&gt;0),"",IF($S85="Macro",COUNTIFS($S$5:$S85,"Macro",$P$5:$P85,$P85),IF(N($R85)=0,"?",COUNTIFS(INDEX($S$5:$S$1000,1):INDEX($S$5:$S$1000,$R85-4),"Macro",INDEX($P$5:$P$1000,1):INDEX($P$5:$P$1000,$R85-4),INDEX($P$5:$P$1000,$R85-4))&amp;"."&amp;COUNTIFS($R$5:$R85,$R85,$S$5:$S85,"Sub"))))</f>
        <v/>
      </c>
      <c r="B85" s="62" t="n"/>
      <c r="C85" s="63" t="n"/>
      <c r="D85" s="62" t="n"/>
      <c r="E85" s="64" t="n"/>
      <c r="F85" s="64" t="n"/>
      <c r="G85" s="65" t="n"/>
      <c r="H85" s="66" t="n"/>
      <c r="I85" s="66" t="n"/>
      <c r="J85" s="66" t="n"/>
      <c r="K85" s="66" t="n"/>
      <c r="L85" s="67">
        <f>IF(NOT((COUNTA($B85:$K85)+COUNTA($N85))&gt;0),"",IF(N($T85)&gt;0,$AB85,IFERROR(LOOKUP(2,1/(H85:K85&lt;&gt;""),H85:K85),0)))</f>
        <v/>
      </c>
      <c r="M85" s="61">
        <f>IF(L85="","",IF(L85&gt;=1,"Completado",IF(L85&gt;0,"En curso","Pendiente")))</f>
        <v/>
      </c>
      <c r="N85" s="62" t="n"/>
      <c r="O85" s="68">
        <f>IF(NOT((COUNTA($B85:$K85)+COUNTA($N85))&gt;0),"",IF((IF(AND($S85="Macro",$B85=""),"Macroactividad vacía"&amp;" · ","")&amp;IF(AND($B85&lt;&gt;"",$C85&lt;&gt;""),"Escriba la subactividad en otra fila, debajo de su macroactividad"&amp;" · ","")&amp;IF(AND($S85="Sub",N($R85)=0),"Subactividad sin macroactividad arriba"&amp;" · ","")&amp;IF($D85="","Sin responsable"&amp;" · ","")&amp;IF($E85="","Sin fecha de inicio"&amp;" · ","")&amp;IF($F85="","Sin fecha límite"&amp;" · ","")&amp;IF(OR(AND($E85&lt;&gt;"",NOT(ISNUMBER($E85))),AND($F85&lt;&gt;"",NOT(ISNUMBER($F85)))),"Fecha no válida"&amp;" · ","")&amp;IF(AND(ISNUMBER($E85),ISNUMBER($F85),$E85&gt;$F85),"Inicio posterior a fecha límite"&amp;" · ","")&amp;IF(AND($S85="Macro",$G85=""),"Peso vacío"&amp;" · ","")&amp;IF(AND($S85="Macro",$G85&lt;&gt;"",OR(NOT(ISNUMBER($G85)),$G85&lt;=0,$G85&gt;1)),"Peso fuera de rango"&amp;" · ","")&amp;IF(AND($S85="Sub",$G85&lt;&gt;""),"Las subactividades no llevan peso"&amp;" · ","")&amp;IF(AND($S85="Macro",ABS(SUMIFS($G$5:$G$1000,$P$5:$P$1000,$P85,$S$5:$S$1000,"Macro")-1)&gt;0.0001),"Pesos del mes suman "&amp;TEXT(SUMIFS($G$5:$G$1000,$P$5:$P$1000,$P85,$S$5:$S$1000,"Macro"),"0%")&amp;" · ","")&amp;IF(AND(N($T85)&gt;0,COUNT($H85:$K85)&gt;0),"Con subactividades: deje vacías las semanas (se calculan solas)"&amp;" · ","")&amp;IF((COUNTIF($H85:$K85,"&gt;1")+COUNTIF($H85:$K85,"&lt;0")+COUNTA($H85:$K85)-COUNT($H85:$K85))&gt;0,"Avance fuera de rango 0-100%"&amp;" · ","")&amp;IF(OR(AND($I85&lt;&gt;"",$I85&lt;$H85),AND($J85&lt;&gt;"",$J85&lt;MAX($H85:$I85)),AND($K85&lt;&gt;"",$K85&lt;MAX($H85:$J85))),"Avance semanal decreciente"&amp;" · ","")&amp;IF(AND(ISNUMBER($F85),$F85&lt;FechaRef,N($L85)&lt;1),"Vencida"&amp;" · ","")&amp;IF(AND(ObsObligatoria="Sí",ISNUMBER($F85),$F85&lt;FechaRef,N($L85)&lt;1,$N85=""),"Vencida sin observación"&amp;" · ",""))="","✔ OK","⚠ "&amp;LEFT(IF(AND($S85="Macro",$B85=""),"Macroactividad vacía"&amp;" · ","")&amp;IF(AND($B85&lt;&gt;"",$C85&lt;&gt;""),"Escriba la subactividad en otra fila, debajo de su macroactividad"&amp;" · ","")&amp;IF(AND($S85="Sub",N($R85)=0),"Subactividad sin macroactividad arriba"&amp;" · ","")&amp;IF($D85="","Sin responsable"&amp;" · ","")&amp;IF($E85="","Sin fecha de inicio"&amp;" · ","")&amp;IF($F85="","Sin fecha límite"&amp;" · ","")&amp;IF(OR(AND($E85&lt;&gt;"",NOT(ISNUMBER($E85))),AND($F85&lt;&gt;"",NOT(ISNUMBER($F85)))),"Fecha no válida"&amp;" · ","")&amp;IF(AND(ISNUMBER($E85),ISNUMBER($F85),$E85&gt;$F85),"Inicio posterior a fecha límite"&amp;" · ","")&amp;IF(AND($S85="Macro",$G85=""),"Peso vacío"&amp;" · ","")&amp;IF(AND($S85="Macro",$G85&lt;&gt;"",OR(NOT(ISNUMBER($G85)),$G85&lt;=0,$G85&gt;1)),"Peso fuera de rango"&amp;" · ","")&amp;IF(AND($S85="Sub",$G85&lt;&gt;""),"Las subactividades no llevan peso"&amp;" · ","")&amp;IF(AND($S85="Macro",ABS(SUMIFS($G$5:$G$1000,$P$5:$P$1000,$P85,$S$5:$S$1000,"Macro")-1)&gt;0.0001),"Pesos del mes suman "&amp;TEXT(SUMIFS($G$5:$G$1000,$P$5:$P$1000,$P85,$S$5:$S$1000,"Macro"),"0%")&amp;" · ","")&amp;IF(AND(N($T85)&gt;0,COUNT($H85:$K85)&gt;0),"Con subactividades: deje vacías las semanas (se calculan solas)"&amp;" · ","")&amp;IF((COUNTIF($H85:$K85,"&gt;1")+COUNTIF($H85:$K85,"&lt;0")+COUNTA($H85:$K85)-COUNT($H85:$K85))&gt;0,"Avance fuera de rango 0-100%"&amp;" · ","")&amp;IF(OR(AND($I85&lt;&gt;"",$I85&lt;$H85),AND($J85&lt;&gt;"",$J85&lt;MAX($H85:$I85)),AND($K85&lt;&gt;"",$K85&lt;MAX($H85:$J85))),"Avance semanal decreciente"&amp;" · ","")&amp;IF(AND(ISNUMBER($F85),$F85&lt;FechaRef,N($L85)&lt;1),"Vencida"&amp;" · ","")&amp;IF(AND(ObsObligatoria="Sí",ISNUMBER($F85),$F85&lt;FechaRef,N($L85)&lt;1,$N85=""),"Vencida sin observación"&amp;" · ",""),LEN(IF(AND($S85="Macro",$B85=""),"Macroactividad vacía"&amp;" · ","")&amp;IF(AND($B85&lt;&gt;"",$C85&lt;&gt;""),"Escriba la subactividad en otra fila, debajo de su macroactividad"&amp;" · ","")&amp;IF(AND($S85="Sub",N($R85)=0),"Subactividad sin macroactividad arriba"&amp;" · ","")&amp;IF($D85="","Sin responsable"&amp;" · ","")&amp;IF($E85="","Sin fecha de inicio"&amp;" · ","")&amp;IF($F85="","Sin fecha límite"&amp;" · ","")&amp;IF(OR(AND($E85&lt;&gt;"",NOT(ISNUMBER($E85))),AND($F85&lt;&gt;"",NOT(ISNUMBER($F85)))),"Fecha no válida"&amp;" · ","")&amp;IF(AND(ISNUMBER($E85),ISNUMBER($F85),$E85&gt;$F85),"Inicio posterior a fecha límite"&amp;" · ","")&amp;IF(AND($S85="Macro",$G85=""),"Peso vacío"&amp;" · ","")&amp;IF(AND($S85="Macro",$G85&lt;&gt;"",OR(NOT(ISNUMBER($G85)),$G85&lt;=0,$G85&gt;1)),"Peso fuera de rango"&amp;" · ","")&amp;IF(AND($S85="Sub",$G85&lt;&gt;""),"Las subactividades no llevan peso"&amp;" · ","")&amp;IF(AND($S85="Macro",ABS(SUMIFS($G$5:$G$1000,$P$5:$P$1000,$P85,$S$5:$S$1000,"Macro")-1)&gt;0.0001),"Pesos del mes suman "&amp;TEXT(SUMIFS($G$5:$G$1000,$P$5:$P$1000,$P85,$S$5:$S$1000,"Macro"),"0%")&amp;" · ","")&amp;IF(AND(N($T85)&gt;0,COUNT($H85:$K85)&gt;0),"Con subactividades: deje vacías las semanas (se calculan solas)"&amp;" · ","")&amp;IF((COUNTIF($H85:$K85,"&gt;1")+COUNTIF($H85:$K85,"&lt;0")+COUNTA($H85:$K85)-COUNT($H85:$K85))&gt;0,"Avance fuera de rango 0-100%"&amp;" · ","")&amp;IF(OR(AND($I85&lt;&gt;"",$I85&lt;$H85),AND($J85&lt;&gt;"",$J85&lt;MAX($H85:$I85)),AND($K85&lt;&gt;"",$K85&lt;MAX($H85:$J85))),"Avance semanal decreciente"&amp;" · ","")&amp;IF(AND(ISNUMBER($F85),$F85&lt;FechaRef,N($L85)&lt;1),"Vencida"&amp;" · ","")&amp;IF(AND(ObsObligatoria="Sí",ISNUMBER($F85),$F85&lt;FechaRef,N($L85)&lt;1,$N85=""),"Vencida sin observación"&amp;" · ",""))-3)))</f>
        <v/>
      </c>
      <c r="P85" s="69">
        <f>IF(NOT((COUNTA($B85:$K85)+COUNTA($N85))&gt;0),"",IF(AND($S85="Sub",N($R85)&gt;0),IF(ISNUMBER(INDEX($E$5:$E$1000,$R85-4)),DATE(YEAR(INDEX($E$5:$E$1000,$R85-4)),MONTH(INDEX($E$5:$E$1000,$R85-4)),1),IF(ISNUMBER(INDEX($F$5:$F$1000,$R85-4)),DATE(YEAR(INDEX($F$5:$F$1000,$R85-4)),MONTH(INDEX($F$5:$F$1000,$R85-4)),1),MesCiclo)),IF(ISNUMBER($E85),DATE(YEAR($E85),MONTH($E85),1),IF(ISNUMBER($F85),DATE(YEAR($F85),MONTH($F85),1),MesCiclo))))</f>
        <v/>
      </c>
      <c r="Q85" s="70">
        <f>IF(OR($P85="",$P85&lt;&gt;MesCiclo),"",COUNTIF($P$5:$P85,MesCiclo))</f>
        <v/>
      </c>
      <c r="R85" s="70">
        <f>IF($S85="","",IF($S85="Macro",ROW(),IFERROR(LOOKUP(2,1/($S$5:$S85="Macro"),ROW($S$5:$S85)),0)))</f>
        <v/>
      </c>
      <c r="S85" s="70">
        <f>IF(NOT((COUNTA($B85:$K85)+COUNTA($N85))&gt;0),"",IF($B85&lt;&gt;"","Macro",IF($C85&lt;&gt;"","Sub","Macro")))</f>
        <v/>
      </c>
      <c r="T85" s="70">
        <f>IF($S85="Macro",COUNTIFS($R$5:$R$1000,ROW(),$S$5:$S$1000,"Sub"),"")</f>
        <v/>
      </c>
      <c r="U85" s="70">
        <f>IF($S85="","",IF(ISNUMBER($H85),$H85,0))</f>
        <v/>
      </c>
      <c r="V85" s="70">
        <f>IF($S85="","",IF(ISNUMBER($I85),$I85,$U85))</f>
        <v/>
      </c>
      <c r="W85" s="70">
        <f>IF($S85="","",IF(ISNUMBER($J85),$J85,$V85))</f>
        <v/>
      </c>
      <c r="X85" s="70">
        <f>IF($S85="","",IF(ISNUMBER($K85),$K85,$W85))</f>
        <v/>
      </c>
      <c r="Y85" s="70">
        <f>IF($S85="","",IF(N($T85)&gt;0,AVERAGEIFS($U$5:$U$1000,$R$5:$R$1000,ROW(),$S$5:$S$1000,"Sub"),$U85))</f>
        <v/>
      </c>
      <c r="Z85" s="70">
        <f>IF($S85="","",IF(N($T85)&gt;0,AVERAGEIFS($V$5:$V$1000,$R$5:$R$1000,ROW(),$S$5:$S$1000,"Sub"),$V85))</f>
        <v/>
      </c>
      <c r="AA85" s="70">
        <f>IF($S85="","",IF(N($T85)&gt;0,AVERAGEIFS($W$5:$W$1000,$R$5:$R$1000,ROW(),$S$5:$S$1000,"Sub"),$W85))</f>
        <v/>
      </c>
      <c r="AB85" s="70">
        <f>IF($S85="","",IF(N($T85)&gt;0,AVERAGEIFS($X$5:$X$1000,$R$5:$R$1000,ROW(),$S$5:$S$1000,"Sub"),$X85))</f>
        <v/>
      </c>
    </row>
    <row r="86">
      <c r="A86" s="61">
        <f>IF(NOT((COUNTA($B86:$K86)+COUNTA($N86))&gt;0),"",IF($S86="Macro",COUNTIFS($S$5:$S86,"Macro",$P$5:$P86,$P86),IF(N($R86)=0,"?",COUNTIFS(INDEX($S$5:$S$1000,1):INDEX($S$5:$S$1000,$R86-4),"Macro",INDEX($P$5:$P$1000,1):INDEX($P$5:$P$1000,$R86-4),INDEX($P$5:$P$1000,$R86-4))&amp;"."&amp;COUNTIFS($R$5:$R86,$R86,$S$5:$S86,"Sub"))))</f>
        <v/>
      </c>
      <c r="B86" s="62" t="n"/>
      <c r="C86" s="63" t="n"/>
      <c r="D86" s="62" t="n"/>
      <c r="E86" s="64" t="n"/>
      <c r="F86" s="64" t="n"/>
      <c r="G86" s="65" t="n"/>
      <c r="H86" s="66" t="n"/>
      <c r="I86" s="66" t="n"/>
      <c r="J86" s="66" t="n"/>
      <c r="K86" s="66" t="n"/>
      <c r="L86" s="67">
        <f>IF(NOT((COUNTA($B86:$K86)+COUNTA($N86))&gt;0),"",IF(N($T86)&gt;0,$AB86,IFERROR(LOOKUP(2,1/(H86:K86&lt;&gt;""),H86:K86),0)))</f>
        <v/>
      </c>
      <c r="M86" s="61">
        <f>IF(L86="","",IF(L86&gt;=1,"Completado",IF(L86&gt;0,"En curso","Pendiente")))</f>
        <v/>
      </c>
      <c r="N86" s="62" t="n"/>
      <c r="O86" s="68">
        <f>IF(NOT((COUNTA($B86:$K86)+COUNTA($N86))&gt;0),"",IF((IF(AND($S86="Macro",$B86=""),"Macroactividad vacía"&amp;" · ","")&amp;IF(AND($B86&lt;&gt;"",$C86&lt;&gt;""),"Escriba la subactividad en otra fila, debajo de su macroactividad"&amp;" · ","")&amp;IF(AND($S86="Sub",N($R86)=0),"Subactividad sin macroactividad arriba"&amp;" · ","")&amp;IF($D86="","Sin responsable"&amp;" · ","")&amp;IF($E86="","Sin fecha de inicio"&amp;" · ","")&amp;IF($F86="","Sin fecha límite"&amp;" · ","")&amp;IF(OR(AND($E86&lt;&gt;"",NOT(ISNUMBER($E86))),AND($F86&lt;&gt;"",NOT(ISNUMBER($F86)))),"Fecha no válida"&amp;" · ","")&amp;IF(AND(ISNUMBER($E86),ISNUMBER($F86),$E86&gt;$F86),"Inicio posterior a fecha límite"&amp;" · ","")&amp;IF(AND($S86="Macro",$G86=""),"Peso vacío"&amp;" · ","")&amp;IF(AND($S86="Macro",$G86&lt;&gt;"",OR(NOT(ISNUMBER($G86)),$G86&lt;=0,$G86&gt;1)),"Peso fuera de rango"&amp;" · ","")&amp;IF(AND($S86="Sub",$G86&lt;&gt;""),"Las subactividades no llevan peso"&amp;" · ","")&amp;IF(AND($S86="Macro",ABS(SUMIFS($G$5:$G$1000,$P$5:$P$1000,$P86,$S$5:$S$1000,"Macro")-1)&gt;0.0001),"Pesos del mes suman "&amp;TEXT(SUMIFS($G$5:$G$1000,$P$5:$P$1000,$P86,$S$5:$S$1000,"Macro"),"0%")&amp;" · ","")&amp;IF(AND(N($T86)&gt;0,COUNT($H86:$K86)&gt;0),"Con subactividades: deje vacías las semanas (se calculan solas)"&amp;" · ","")&amp;IF((COUNTIF($H86:$K86,"&gt;1")+COUNTIF($H86:$K86,"&lt;0")+COUNTA($H86:$K86)-COUNT($H86:$K86))&gt;0,"Avance fuera de rango 0-100%"&amp;" · ","")&amp;IF(OR(AND($I86&lt;&gt;"",$I86&lt;$H86),AND($J86&lt;&gt;"",$J86&lt;MAX($H86:$I86)),AND($K86&lt;&gt;"",$K86&lt;MAX($H86:$J86))),"Avance semanal decreciente"&amp;" · ","")&amp;IF(AND(ISNUMBER($F86),$F86&lt;FechaRef,N($L86)&lt;1),"Vencida"&amp;" · ","")&amp;IF(AND(ObsObligatoria="Sí",ISNUMBER($F86),$F86&lt;FechaRef,N($L86)&lt;1,$N86=""),"Vencida sin observación"&amp;" · ",""))="","✔ OK","⚠ "&amp;LEFT(IF(AND($S86="Macro",$B86=""),"Macroactividad vacía"&amp;" · ","")&amp;IF(AND($B86&lt;&gt;"",$C86&lt;&gt;""),"Escriba la subactividad en otra fila, debajo de su macroactividad"&amp;" · ","")&amp;IF(AND($S86="Sub",N($R86)=0),"Subactividad sin macroactividad arriba"&amp;" · ","")&amp;IF($D86="","Sin responsable"&amp;" · ","")&amp;IF($E86="","Sin fecha de inicio"&amp;" · ","")&amp;IF($F86="","Sin fecha límite"&amp;" · ","")&amp;IF(OR(AND($E86&lt;&gt;"",NOT(ISNUMBER($E86))),AND($F86&lt;&gt;"",NOT(ISNUMBER($F86)))),"Fecha no válida"&amp;" · ","")&amp;IF(AND(ISNUMBER($E86),ISNUMBER($F86),$E86&gt;$F86),"Inicio posterior a fecha límite"&amp;" · ","")&amp;IF(AND($S86="Macro",$G86=""),"Peso vacío"&amp;" · ","")&amp;IF(AND($S86="Macro",$G86&lt;&gt;"",OR(NOT(ISNUMBER($G86)),$G86&lt;=0,$G86&gt;1)),"Peso fuera de rango"&amp;" · ","")&amp;IF(AND($S86="Sub",$G86&lt;&gt;""),"Las subactividades no llevan peso"&amp;" · ","")&amp;IF(AND($S86="Macro",ABS(SUMIFS($G$5:$G$1000,$P$5:$P$1000,$P86,$S$5:$S$1000,"Macro")-1)&gt;0.0001),"Pesos del mes suman "&amp;TEXT(SUMIFS($G$5:$G$1000,$P$5:$P$1000,$P86,$S$5:$S$1000,"Macro"),"0%")&amp;" · ","")&amp;IF(AND(N($T86)&gt;0,COUNT($H86:$K86)&gt;0),"Con subactividades: deje vacías las semanas (se calculan solas)"&amp;" · ","")&amp;IF((COUNTIF($H86:$K86,"&gt;1")+COUNTIF($H86:$K86,"&lt;0")+COUNTA($H86:$K86)-COUNT($H86:$K86))&gt;0,"Avance fuera de rango 0-100%"&amp;" · ","")&amp;IF(OR(AND($I86&lt;&gt;"",$I86&lt;$H86),AND($J86&lt;&gt;"",$J86&lt;MAX($H86:$I86)),AND($K86&lt;&gt;"",$K86&lt;MAX($H86:$J86))),"Avance semanal decreciente"&amp;" · ","")&amp;IF(AND(ISNUMBER($F86),$F86&lt;FechaRef,N($L86)&lt;1),"Vencida"&amp;" · ","")&amp;IF(AND(ObsObligatoria="Sí",ISNUMBER($F86),$F86&lt;FechaRef,N($L86)&lt;1,$N86=""),"Vencida sin observación"&amp;" · ",""),LEN(IF(AND($S86="Macro",$B86=""),"Macroactividad vacía"&amp;" · ","")&amp;IF(AND($B86&lt;&gt;"",$C86&lt;&gt;""),"Escriba la subactividad en otra fila, debajo de su macroactividad"&amp;" · ","")&amp;IF(AND($S86="Sub",N($R86)=0),"Subactividad sin macroactividad arriba"&amp;" · ","")&amp;IF($D86="","Sin responsable"&amp;" · ","")&amp;IF($E86="","Sin fecha de inicio"&amp;" · ","")&amp;IF($F86="","Sin fecha límite"&amp;" · ","")&amp;IF(OR(AND($E86&lt;&gt;"",NOT(ISNUMBER($E86))),AND($F86&lt;&gt;"",NOT(ISNUMBER($F86)))),"Fecha no válida"&amp;" · ","")&amp;IF(AND(ISNUMBER($E86),ISNUMBER($F86),$E86&gt;$F86),"Inicio posterior a fecha límite"&amp;" · ","")&amp;IF(AND($S86="Macro",$G86=""),"Peso vacío"&amp;" · ","")&amp;IF(AND($S86="Macro",$G86&lt;&gt;"",OR(NOT(ISNUMBER($G86)),$G86&lt;=0,$G86&gt;1)),"Peso fuera de rango"&amp;" · ","")&amp;IF(AND($S86="Sub",$G86&lt;&gt;""),"Las subactividades no llevan peso"&amp;" · ","")&amp;IF(AND($S86="Macro",ABS(SUMIFS($G$5:$G$1000,$P$5:$P$1000,$P86,$S$5:$S$1000,"Macro")-1)&gt;0.0001),"Pesos del mes suman "&amp;TEXT(SUMIFS($G$5:$G$1000,$P$5:$P$1000,$P86,$S$5:$S$1000,"Macro"),"0%")&amp;" · ","")&amp;IF(AND(N($T86)&gt;0,COUNT($H86:$K86)&gt;0),"Con subactividades: deje vacías las semanas (se calculan solas)"&amp;" · ","")&amp;IF((COUNTIF($H86:$K86,"&gt;1")+COUNTIF($H86:$K86,"&lt;0")+COUNTA($H86:$K86)-COUNT($H86:$K86))&gt;0,"Avance fuera de rango 0-100%"&amp;" · ","")&amp;IF(OR(AND($I86&lt;&gt;"",$I86&lt;$H86),AND($J86&lt;&gt;"",$J86&lt;MAX($H86:$I86)),AND($K86&lt;&gt;"",$K86&lt;MAX($H86:$J86))),"Avance semanal decreciente"&amp;" · ","")&amp;IF(AND(ISNUMBER($F86),$F86&lt;FechaRef,N($L86)&lt;1),"Vencida"&amp;" · ","")&amp;IF(AND(ObsObligatoria="Sí",ISNUMBER($F86),$F86&lt;FechaRef,N($L86)&lt;1,$N86=""),"Vencida sin observación"&amp;" · ",""))-3)))</f>
        <v/>
      </c>
      <c r="P86" s="69">
        <f>IF(NOT((COUNTA($B86:$K86)+COUNTA($N86))&gt;0),"",IF(AND($S86="Sub",N($R86)&gt;0),IF(ISNUMBER(INDEX($E$5:$E$1000,$R86-4)),DATE(YEAR(INDEX($E$5:$E$1000,$R86-4)),MONTH(INDEX($E$5:$E$1000,$R86-4)),1),IF(ISNUMBER(INDEX($F$5:$F$1000,$R86-4)),DATE(YEAR(INDEX($F$5:$F$1000,$R86-4)),MONTH(INDEX($F$5:$F$1000,$R86-4)),1),MesCiclo)),IF(ISNUMBER($E86),DATE(YEAR($E86),MONTH($E86),1),IF(ISNUMBER($F86),DATE(YEAR($F86),MONTH($F86),1),MesCiclo))))</f>
        <v/>
      </c>
      <c r="Q86" s="70">
        <f>IF(OR($P86="",$P86&lt;&gt;MesCiclo),"",COUNTIF($P$5:$P86,MesCiclo))</f>
        <v/>
      </c>
      <c r="R86" s="70">
        <f>IF($S86="","",IF($S86="Macro",ROW(),IFERROR(LOOKUP(2,1/($S$5:$S86="Macro"),ROW($S$5:$S86)),0)))</f>
        <v/>
      </c>
      <c r="S86" s="70">
        <f>IF(NOT((COUNTA($B86:$K86)+COUNTA($N86))&gt;0),"",IF($B86&lt;&gt;"","Macro",IF($C86&lt;&gt;"","Sub","Macro")))</f>
        <v/>
      </c>
      <c r="T86" s="70">
        <f>IF($S86="Macro",COUNTIFS($R$5:$R$1000,ROW(),$S$5:$S$1000,"Sub"),"")</f>
        <v/>
      </c>
      <c r="U86" s="70">
        <f>IF($S86="","",IF(ISNUMBER($H86),$H86,0))</f>
        <v/>
      </c>
      <c r="V86" s="70">
        <f>IF($S86="","",IF(ISNUMBER($I86),$I86,$U86))</f>
        <v/>
      </c>
      <c r="W86" s="70">
        <f>IF($S86="","",IF(ISNUMBER($J86),$J86,$V86))</f>
        <v/>
      </c>
      <c r="X86" s="70">
        <f>IF($S86="","",IF(ISNUMBER($K86),$K86,$W86))</f>
        <v/>
      </c>
      <c r="Y86" s="70">
        <f>IF($S86="","",IF(N($T86)&gt;0,AVERAGEIFS($U$5:$U$1000,$R$5:$R$1000,ROW(),$S$5:$S$1000,"Sub"),$U86))</f>
        <v/>
      </c>
      <c r="Z86" s="70">
        <f>IF($S86="","",IF(N($T86)&gt;0,AVERAGEIFS($V$5:$V$1000,$R$5:$R$1000,ROW(),$S$5:$S$1000,"Sub"),$V86))</f>
        <v/>
      </c>
      <c r="AA86" s="70">
        <f>IF($S86="","",IF(N($T86)&gt;0,AVERAGEIFS($W$5:$W$1000,$R$5:$R$1000,ROW(),$S$5:$S$1000,"Sub"),$W86))</f>
        <v/>
      </c>
      <c r="AB86" s="70">
        <f>IF($S86="","",IF(N($T86)&gt;0,AVERAGEIFS($X$5:$X$1000,$R$5:$R$1000,ROW(),$S$5:$S$1000,"Sub"),$X86))</f>
        <v/>
      </c>
    </row>
    <row r="87">
      <c r="A87" s="61">
        <f>IF(NOT((COUNTA($B87:$K87)+COUNTA($N87))&gt;0),"",IF($S87="Macro",COUNTIFS($S$5:$S87,"Macro",$P$5:$P87,$P87),IF(N($R87)=0,"?",COUNTIFS(INDEX($S$5:$S$1000,1):INDEX($S$5:$S$1000,$R87-4),"Macro",INDEX($P$5:$P$1000,1):INDEX($P$5:$P$1000,$R87-4),INDEX($P$5:$P$1000,$R87-4))&amp;"."&amp;COUNTIFS($R$5:$R87,$R87,$S$5:$S87,"Sub"))))</f>
        <v/>
      </c>
      <c r="B87" s="62" t="n"/>
      <c r="C87" s="63" t="n"/>
      <c r="D87" s="62" t="n"/>
      <c r="E87" s="64" t="n"/>
      <c r="F87" s="64" t="n"/>
      <c r="G87" s="65" t="n"/>
      <c r="H87" s="66" t="n"/>
      <c r="I87" s="66" t="n"/>
      <c r="J87" s="66" t="n"/>
      <c r="K87" s="66" t="n"/>
      <c r="L87" s="67">
        <f>IF(NOT((COUNTA($B87:$K87)+COUNTA($N87))&gt;0),"",IF(N($T87)&gt;0,$AB87,IFERROR(LOOKUP(2,1/(H87:K87&lt;&gt;""),H87:K87),0)))</f>
        <v/>
      </c>
      <c r="M87" s="61">
        <f>IF(L87="","",IF(L87&gt;=1,"Completado",IF(L87&gt;0,"En curso","Pendiente")))</f>
        <v/>
      </c>
      <c r="N87" s="62" t="n"/>
      <c r="O87" s="68">
        <f>IF(NOT((COUNTA($B87:$K87)+COUNTA($N87))&gt;0),"",IF((IF(AND($S87="Macro",$B87=""),"Macroactividad vacía"&amp;" · ","")&amp;IF(AND($B87&lt;&gt;"",$C87&lt;&gt;""),"Escriba la subactividad en otra fila, debajo de su macroactividad"&amp;" · ","")&amp;IF(AND($S87="Sub",N($R87)=0),"Subactividad sin macroactividad arriba"&amp;" · ","")&amp;IF($D87="","Sin responsable"&amp;" · ","")&amp;IF($E87="","Sin fecha de inicio"&amp;" · ","")&amp;IF($F87="","Sin fecha límite"&amp;" · ","")&amp;IF(OR(AND($E87&lt;&gt;"",NOT(ISNUMBER($E87))),AND($F87&lt;&gt;"",NOT(ISNUMBER($F87)))),"Fecha no válida"&amp;" · ","")&amp;IF(AND(ISNUMBER($E87),ISNUMBER($F87),$E87&gt;$F87),"Inicio posterior a fecha límite"&amp;" · ","")&amp;IF(AND($S87="Macro",$G87=""),"Peso vacío"&amp;" · ","")&amp;IF(AND($S87="Macro",$G87&lt;&gt;"",OR(NOT(ISNUMBER($G87)),$G87&lt;=0,$G87&gt;1)),"Peso fuera de rango"&amp;" · ","")&amp;IF(AND($S87="Sub",$G87&lt;&gt;""),"Las subactividades no llevan peso"&amp;" · ","")&amp;IF(AND($S87="Macro",ABS(SUMIFS($G$5:$G$1000,$P$5:$P$1000,$P87,$S$5:$S$1000,"Macro")-1)&gt;0.0001),"Pesos del mes suman "&amp;TEXT(SUMIFS($G$5:$G$1000,$P$5:$P$1000,$P87,$S$5:$S$1000,"Macro"),"0%")&amp;" · ","")&amp;IF(AND(N($T87)&gt;0,COUNT($H87:$K87)&gt;0),"Con subactividades: deje vacías las semanas (se calculan solas)"&amp;" · ","")&amp;IF((COUNTIF($H87:$K87,"&gt;1")+COUNTIF($H87:$K87,"&lt;0")+COUNTA($H87:$K87)-COUNT($H87:$K87))&gt;0,"Avance fuera de rango 0-100%"&amp;" · ","")&amp;IF(OR(AND($I87&lt;&gt;"",$I87&lt;$H87),AND($J87&lt;&gt;"",$J87&lt;MAX($H87:$I87)),AND($K87&lt;&gt;"",$K87&lt;MAX($H87:$J87))),"Avance semanal decreciente"&amp;" · ","")&amp;IF(AND(ISNUMBER($F87),$F87&lt;FechaRef,N($L87)&lt;1),"Vencida"&amp;" · ","")&amp;IF(AND(ObsObligatoria="Sí",ISNUMBER($F87),$F87&lt;FechaRef,N($L87)&lt;1,$N87=""),"Vencida sin observación"&amp;" · ",""))="","✔ OK","⚠ "&amp;LEFT(IF(AND($S87="Macro",$B87=""),"Macroactividad vacía"&amp;" · ","")&amp;IF(AND($B87&lt;&gt;"",$C87&lt;&gt;""),"Escriba la subactividad en otra fila, debajo de su macroactividad"&amp;" · ","")&amp;IF(AND($S87="Sub",N($R87)=0),"Subactividad sin macroactividad arriba"&amp;" · ","")&amp;IF($D87="","Sin responsable"&amp;" · ","")&amp;IF($E87="","Sin fecha de inicio"&amp;" · ","")&amp;IF($F87="","Sin fecha límite"&amp;" · ","")&amp;IF(OR(AND($E87&lt;&gt;"",NOT(ISNUMBER($E87))),AND($F87&lt;&gt;"",NOT(ISNUMBER($F87)))),"Fecha no válida"&amp;" · ","")&amp;IF(AND(ISNUMBER($E87),ISNUMBER($F87),$E87&gt;$F87),"Inicio posterior a fecha límite"&amp;" · ","")&amp;IF(AND($S87="Macro",$G87=""),"Peso vacío"&amp;" · ","")&amp;IF(AND($S87="Macro",$G87&lt;&gt;"",OR(NOT(ISNUMBER($G87)),$G87&lt;=0,$G87&gt;1)),"Peso fuera de rango"&amp;" · ","")&amp;IF(AND($S87="Sub",$G87&lt;&gt;""),"Las subactividades no llevan peso"&amp;" · ","")&amp;IF(AND($S87="Macro",ABS(SUMIFS($G$5:$G$1000,$P$5:$P$1000,$P87,$S$5:$S$1000,"Macro")-1)&gt;0.0001),"Pesos del mes suman "&amp;TEXT(SUMIFS($G$5:$G$1000,$P$5:$P$1000,$P87,$S$5:$S$1000,"Macro"),"0%")&amp;" · ","")&amp;IF(AND(N($T87)&gt;0,COUNT($H87:$K87)&gt;0),"Con subactividades: deje vacías las semanas (se calculan solas)"&amp;" · ","")&amp;IF((COUNTIF($H87:$K87,"&gt;1")+COUNTIF($H87:$K87,"&lt;0")+COUNTA($H87:$K87)-COUNT($H87:$K87))&gt;0,"Avance fuera de rango 0-100%"&amp;" · ","")&amp;IF(OR(AND($I87&lt;&gt;"",$I87&lt;$H87),AND($J87&lt;&gt;"",$J87&lt;MAX($H87:$I87)),AND($K87&lt;&gt;"",$K87&lt;MAX($H87:$J87))),"Avance semanal decreciente"&amp;" · ","")&amp;IF(AND(ISNUMBER($F87),$F87&lt;FechaRef,N($L87)&lt;1),"Vencida"&amp;" · ","")&amp;IF(AND(ObsObligatoria="Sí",ISNUMBER($F87),$F87&lt;FechaRef,N($L87)&lt;1,$N87=""),"Vencida sin observación"&amp;" · ",""),LEN(IF(AND($S87="Macro",$B87=""),"Macroactividad vacía"&amp;" · ","")&amp;IF(AND($B87&lt;&gt;"",$C87&lt;&gt;""),"Escriba la subactividad en otra fila, debajo de su macroactividad"&amp;" · ","")&amp;IF(AND($S87="Sub",N($R87)=0),"Subactividad sin macroactividad arriba"&amp;" · ","")&amp;IF($D87="","Sin responsable"&amp;" · ","")&amp;IF($E87="","Sin fecha de inicio"&amp;" · ","")&amp;IF($F87="","Sin fecha límite"&amp;" · ","")&amp;IF(OR(AND($E87&lt;&gt;"",NOT(ISNUMBER($E87))),AND($F87&lt;&gt;"",NOT(ISNUMBER($F87)))),"Fecha no válida"&amp;" · ","")&amp;IF(AND(ISNUMBER($E87),ISNUMBER($F87),$E87&gt;$F87),"Inicio posterior a fecha límite"&amp;" · ","")&amp;IF(AND($S87="Macro",$G87=""),"Peso vacío"&amp;" · ","")&amp;IF(AND($S87="Macro",$G87&lt;&gt;"",OR(NOT(ISNUMBER($G87)),$G87&lt;=0,$G87&gt;1)),"Peso fuera de rango"&amp;" · ","")&amp;IF(AND($S87="Sub",$G87&lt;&gt;""),"Las subactividades no llevan peso"&amp;" · ","")&amp;IF(AND($S87="Macro",ABS(SUMIFS($G$5:$G$1000,$P$5:$P$1000,$P87,$S$5:$S$1000,"Macro")-1)&gt;0.0001),"Pesos del mes suman "&amp;TEXT(SUMIFS($G$5:$G$1000,$P$5:$P$1000,$P87,$S$5:$S$1000,"Macro"),"0%")&amp;" · ","")&amp;IF(AND(N($T87)&gt;0,COUNT($H87:$K87)&gt;0),"Con subactividades: deje vacías las semanas (se calculan solas)"&amp;" · ","")&amp;IF((COUNTIF($H87:$K87,"&gt;1")+COUNTIF($H87:$K87,"&lt;0")+COUNTA($H87:$K87)-COUNT($H87:$K87))&gt;0,"Avance fuera de rango 0-100%"&amp;" · ","")&amp;IF(OR(AND($I87&lt;&gt;"",$I87&lt;$H87),AND($J87&lt;&gt;"",$J87&lt;MAX($H87:$I87)),AND($K87&lt;&gt;"",$K87&lt;MAX($H87:$J87))),"Avance semanal decreciente"&amp;" · ","")&amp;IF(AND(ISNUMBER($F87),$F87&lt;FechaRef,N($L87)&lt;1),"Vencida"&amp;" · ","")&amp;IF(AND(ObsObligatoria="Sí",ISNUMBER($F87),$F87&lt;FechaRef,N($L87)&lt;1,$N87=""),"Vencida sin observación"&amp;" · ",""))-3)))</f>
        <v/>
      </c>
      <c r="P87" s="69">
        <f>IF(NOT((COUNTA($B87:$K87)+COUNTA($N87))&gt;0),"",IF(AND($S87="Sub",N($R87)&gt;0),IF(ISNUMBER(INDEX($E$5:$E$1000,$R87-4)),DATE(YEAR(INDEX($E$5:$E$1000,$R87-4)),MONTH(INDEX($E$5:$E$1000,$R87-4)),1),IF(ISNUMBER(INDEX($F$5:$F$1000,$R87-4)),DATE(YEAR(INDEX($F$5:$F$1000,$R87-4)),MONTH(INDEX($F$5:$F$1000,$R87-4)),1),MesCiclo)),IF(ISNUMBER($E87),DATE(YEAR($E87),MONTH($E87),1),IF(ISNUMBER($F87),DATE(YEAR($F87),MONTH($F87),1),MesCiclo))))</f>
        <v/>
      </c>
      <c r="Q87" s="70">
        <f>IF(OR($P87="",$P87&lt;&gt;MesCiclo),"",COUNTIF($P$5:$P87,MesCiclo))</f>
        <v/>
      </c>
      <c r="R87" s="70">
        <f>IF($S87="","",IF($S87="Macro",ROW(),IFERROR(LOOKUP(2,1/($S$5:$S87="Macro"),ROW($S$5:$S87)),0)))</f>
        <v/>
      </c>
      <c r="S87" s="70">
        <f>IF(NOT((COUNTA($B87:$K87)+COUNTA($N87))&gt;0),"",IF($B87&lt;&gt;"","Macro",IF($C87&lt;&gt;"","Sub","Macro")))</f>
        <v/>
      </c>
      <c r="T87" s="70">
        <f>IF($S87="Macro",COUNTIFS($R$5:$R$1000,ROW(),$S$5:$S$1000,"Sub"),"")</f>
        <v/>
      </c>
      <c r="U87" s="70">
        <f>IF($S87="","",IF(ISNUMBER($H87),$H87,0))</f>
        <v/>
      </c>
      <c r="V87" s="70">
        <f>IF($S87="","",IF(ISNUMBER($I87),$I87,$U87))</f>
        <v/>
      </c>
      <c r="W87" s="70">
        <f>IF($S87="","",IF(ISNUMBER($J87),$J87,$V87))</f>
        <v/>
      </c>
      <c r="X87" s="70">
        <f>IF($S87="","",IF(ISNUMBER($K87),$K87,$W87))</f>
        <v/>
      </c>
      <c r="Y87" s="70">
        <f>IF($S87="","",IF(N($T87)&gt;0,AVERAGEIFS($U$5:$U$1000,$R$5:$R$1000,ROW(),$S$5:$S$1000,"Sub"),$U87))</f>
        <v/>
      </c>
      <c r="Z87" s="70">
        <f>IF($S87="","",IF(N($T87)&gt;0,AVERAGEIFS($V$5:$V$1000,$R$5:$R$1000,ROW(),$S$5:$S$1000,"Sub"),$V87))</f>
        <v/>
      </c>
      <c r="AA87" s="70">
        <f>IF($S87="","",IF(N($T87)&gt;0,AVERAGEIFS($W$5:$W$1000,$R$5:$R$1000,ROW(),$S$5:$S$1000,"Sub"),$W87))</f>
        <v/>
      </c>
      <c r="AB87" s="70">
        <f>IF($S87="","",IF(N($T87)&gt;0,AVERAGEIFS($X$5:$X$1000,$R$5:$R$1000,ROW(),$S$5:$S$1000,"Sub"),$X87))</f>
        <v/>
      </c>
    </row>
    <row r="88">
      <c r="A88" s="61">
        <f>IF(NOT((COUNTA($B88:$K88)+COUNTA($N88))&gt;0),"",IF($S88="Macro",COUNTIFS($S$5:$S88,"Macro",$P$5:$P88,$P88),IF(N($R88)=0,"?",COUNTIFS(INDEX($S$5:$S$1000,1):INDEX($S$5:$S$1000,$R88-4),"Macro",INDEX($P$5:$P$1000,1):INDEX($P$5:$P$1000,$R88-4),INDEX($P$5:$P$1000,$R88-4))&amp;"."&amp;COUNTIFS($R$5:$R88,$R88,$S$5:$S88,"Sub"))))</f>
        <v/>
      </c>
      <c r="B88" s="62" t="n"/>
      <c r="C88" s="63" t="n"/>
      <c r="D88" s="62" t="n"/>
      <c r="E88" s="64" t="n"/>
      <c r="F88" s="64" t="n"/>
      <c r="G88" s="65" t="n"/>
      <c r="H88" s="66" t="n"/>
      <c r="I88" s="66" t="n"/>
      <c r="J88" s="66" t="n"/>
      <c r="K88" s="66" t="n"/>
      <c r="L88" s="67">
        <f>IF(NOT((COUNTA($B88:$K88)+COUNTA($N88))&gt;0),"",IF(N($T88)&gt;0,$AB88,IFERROR(LOOKUP(2,1/(H88:K88&lt;&gt;""),H88:K88),0)))</f>
        <v/>
      </c>
      <c r="M88" s="61">
        <f>IF(L88="","",IF(L88&gt;=1,"Completado",IF(L88&gt;0,"En curso","Pendiente")))</f>
        <v/>
      </c>
      <c r="N88" s="62" t="n"/>
      <c r="O88" s="68">
        <f>IF(NOT((COUNTA($B88:$K88)+COUNTA($N88))&gt;0),"",IF((IF(AND($S88="Macro",$B88=""),"Macroactividad vacía"&amp;" · ","")&amp;IF(AND($B88&lt;&gt;"",$C88&lt;&gt;""),"Escriba la subactividad en otra fila, debajo de su macroactividad"&amp;" · ","")&amp;IF(AND($S88="Sub",N($R88)=0),"Subactividad sin macroactividad arriba"&amp;" · ","")&amp;IF($D88="","Sin responsable"&amp;" · ","")&amp;IF($E88="","Sin fecha de inicio"&amp;" · ","")&amp;IF($F88="","Sin fecha límite"&amp;" · ","")&amp;IF(OR(AND($E88&lt;&gt;"",NOT(ISNUMBER($E88))),AND($F88&lt;&gt;"",NOT(ISNUMBER($F88)))),"Fecha no válida"&amp;" · ","")&amp;IF(AND(ISNUMBER($E88),ISNUMBER($F88),$E88&gt;$F88),"Inicio posterior a fecha límite"&amp;" · ","")&amp;IF(AND($S88="Macro",$G88=""),"Peso vacío"&amp;" · ","")&amp;IF(AND($S88="Macro",$G88&lt;&gt;"",OR(NOT(ISNUMBER($G88)),$G88&lt;=0,$G88&gt;1)),"Peso fuera de rango"&amp;" · ","")&amp;IF(AND($S88="Sub",$G88&lt;&gt;""),"Las subactividades no llevan peso"&amp;" · ","")&amp;IF(AND($S88="Macro",ABS(SUMIFS($G$5:$G$1000,$P$5:$P$1000,$P88,$S$5:$S$1000,"Macro")-1)&gt;0.0001),"Pesos del mes suman "&amp;TEXT(SUMIFS($G$5:$G$1000,$P$5:$P$1000,$P88,$S$5:$S$1000,"Macro"),"0%")&amp;" · ","")&amp;IF(AND(N($T88)&gt;0,COUNT($H88:$K88)&gt;0),"Con subactividades: deje vacías las semanas (se calculan solas)"&amp;" · ","")&amp;IF((COUNTIF($H88:$K88,"&gt;1")+COUNTIF($H88:$K88,"&lt;0")+COUNTA($H88:$K88)-COUNT($H88:$K88))&gt;0,"Avance fuera de rango 0-100%"&amp;" · ","")&amp;IF(OR(AND($I88&lt;&gt;"",$I88&lt;$H88),AND($J88&lt;&gt;"",$J88&lt;MAX($H88:$I88)),AND($K88&lt;&gt;"",$K88&lt;MAX($H88:$J88))),"Avance semanal decreciente"&amp;" · ","")&amp;IF(AND(ISNUMBER($F88),$F88&lt;FechaRef,N($L88)&lt;1),"Vencida"&amp;" · ","")&amp;IF(AND(ObsObligatoria="Sí",ISNUMBER($F88),$F88&lt;FechaRef,N($L88)&lt;1,$N88=""),"Vencida sin observación"&amp;" · ",""))="","✔ OK","⚠ "&amp;LEFT(IF(AND($S88="Macro",$B88=""),"Macroactividad vacía"&amp;" · ","")&amp;IF(AND($B88&lt;&gt;"",$C88&lt;&gt;""),"Escriba la subactividad en otra fila, debajo de su macroactividad"&amp;" · ","")&amp;IF(AND($S88="Sub",N($R88)=0),"Subactividad sin macroactividad arriba"&amp;" · ","")&amp;IF($D88="","Sin responsable"&amp;" · ","")&amp;IF($E88="","Sin fecha de inicio"&amp;" · ","")&amp;IF($F88="","Sin fecha límite"&amp;" · ","")&amp;IF(OR(AND($E88&lt;&gt;"",NOT(ISNUMBER($E88))),AND($F88&lt;&gt;"",NOT(ISNUMBER($F88)))),"Fecha no válida"&amp;" · ","")&amp;IF(AND(ISNUMBER($E88),ISNUMBER($F88),$E88&gt;$F88),"Inicio posterior a fecha límite"&amp;" · ","")&amp;IF(AND($S88="Macro",$G88=""),"Peso vacío"&amp;" · ","")&amp;IF(AND($S88="Macro",$G88&lt;&gt;"",OR(NOT(ISNUMBER($G88)),$G88&lt;=0,$G88&gt;1)),"Peso fuera de rango"&amp;" · ","")&amp;IF(AND($S88="Sub",$G88&lt;&gt;""),"Las subactividades no llevan peso"&amp;" · ","")&amp;IF(AND($S88="Macro",ABS(SUMIFS($G$5:$G$1000,$P$5:$P$1000,$P88,$S$5:$S$1000,"Macro")-1)&gt;0.0001),"Pesos del mes suman "&amp;TEXT(SUMIFS($G$5:$G$1000,$P$5:$P$1000,$P88,$S$5:$S$1000,"Macro"),"0%")&amp;" · ","")&amp;IF(AND(N($T88)&gt;0,COUNT($H88:$K88)&gt;0),"Con subactividades: deje vacías las semanas (se calculan solas)"&amp;" · ","")&amp;IF((COUNTIF($H88:$K88,"&gt;1")+COUNTIF($H88:$K88,"&lt;0")+COUNTA($H88:$K88)-COUNT($H88:$K88))&gt;0,"Avance fuera de rango 0-100%"&amp;" · ","")&amp;IF(OR(AND($I88&lt;&gt;"",$I88&lt;$H88),AND($J88&lt;&gt;"",$J88&lt;MAX($H88:$I88)),AND($K88&lt;&gt;"",$K88&lt;MAX($H88:$J88))),"Avance semanal decreciente"&amp;" · ","")&amp;IF(AND(ISNUMBER($F88),$F88&lt;FechaRef,N($L88)&lt;1),"Vencida"&amp;" · ","")&amp;IF(AND(ObsObligatoria="Sí",ISNUMBER($F88),$F88&lt;FechaRef,N($L88)&lt;1,$N88=""),"Vencida sin observación"&amp;" · ",""),LEN(IF(AND($S88="Macro",$B88=""),"Macroactividad vacía"&amp;" · ","")&amp;IF(AND($B88&lt;&gt;"",$C88&lt;&gt;""),"Escriba la subactividad en otra fila, debajo de su macroactividad"&amp;" · ","")&amp;IF(AND($S88="Sub",N($R88)=0),"Subactividad sin macroactividad arriba"&amp;" · ","")&amp;IF($D88="","Sin responsable"&amp;" · ","")&amp;IF($E88="","Sin fecha de inicio"&amp;" · ","")&amp;IF($F88="","Sin fecha límite"&amp;" · ","")&amp;IF(OR(AND($E88&lt;&gt;"",NOT(ISNUMBER($E88))),AND($F88&lt;&gt;"",NOT(ISNUMBER($F88)))),"Fecha no válida"&amp;" · ","")&amp;IF(AND(ISNUMBER($E88),ISNUMBER($F88),$E88&gt;$F88),"Inicio posterior a fecha límite"&amp;" · ","")&amp;IF(AND($S88="Macro",$G88=""),"Peso vacío"&amp;" · ","")&amp;IF(AND($S88="Macro",$G88&lt;&gt;"",OR(NOT(ISNUMBER($G88)),$G88&lt;=0,$G88&gt;1)),"Peso fuera de rango"&amp;" · ","")&amp;IF(AND($S88="Sub",$G88&lt;&gt;""),"Las subactividades no llevan peso"&amp;" · ","")&amp;IF(AND($S88="Macro",ABS(SUMIFS($G$5:$G$1000,$P$5:$P$1000,$P88,$S$5:$S$1000,"Macro")-1)&gt;0.0001),"Pesos del mes suman "&amp;TEXT(SUMIFS($G$5:$G$1000,$P$5:$P$1000,$P88,$S$5:$S$1000,"Macro"),"0%")&amp;" · ","")&amp;IF(AND(N($T88)&gt;0,COUNT($H88:$K88)&gt;0),"Con subactividades: deje vacías las semanas (se calculan solas)"&amp;" · ","")&amp;IF((COUNTIF($H88:$K88,"&gt;1")+COUNTIF($H88:$K88,"&lt;0")+COUNTA($H88:$K88)-COUNT($H88:$K88))&gt;0,"Avance fuera de rango 0-100%"&amp;" · ","")&amp;IF(OR(AND($I88&lt;&gt;"",$I88&lt;$H88),AND($J88&lt;&gt;"",$J88&lt;MAX($H88:$I88)),AND($K88&lt;&gt;"",$K88&lt;MAX($H88:$J88))),"Avance semanal decreciente"&amp;" · ","")&amp;IF(AND(ISNUMBER($F88),$F88&lt;FechaRef,N($L88)&lt;1),"Vencida"&amp;" · ","")&amp;IF(AND(ObsObligatoria="Sí",ISNUMBER($F88),$F88&lt;FechaRef,N($L88)&lt;1,$N88=""),"Vencida sin observación"&amp;" · ",""))-3)))</f>
        <v/>
      </c>
      <c r="P88" s="69">
        <f>IF(NOT((COUNTA($B88:$K88)+COUNTA($N88))&gt;0),"",IF(AND($S88="Sub",N($R88)&gt;0),IF(ISNUMBER(INDEX($E$5:$E$1000,$R88-4)),DATE(YEAR(INDEX($E$5:$E$1000,$R88-4)),MONTH(INDEX($E$5:$E$1000,$R88-4)),1),IF(ISNUMBER(INDEX($F$5:$F$1000,$R88-4)),DATE(YEAR(INDEX($F$5:$F$1000,$R88-4)),MONTH(INDEX($F$5:$F$1000,$R88-4)),1),MesCiclo)),IF(ISNUMBER($E88),DATE(YEAR($E88),MONTH($E88),1),IF(ISNUMBER($F88),DATE(YEAR($F88),MONTH($F88),1),MesCiclo))))</f>
        <v/>
      </c>
      <c r="Q88" s="70">
        <f>IF(OR($P88="",$P88&lt;&gt;MesCiclo),"",COUNTIF($P$5:$P88,MesCiclo))</f>
        <v/>
      </c>
      <c r="R88" s="70">
        <f>IF($S88="","",IF($S88="Macro",ROW(),IFERROR(LOOKUP(2,1/($S$5:$S88="Macro"),ROW($S$5:$S88)),0)))</f>
        <v/>
      </c>
      <c r="S88" s="70">
        <f>IF(NOT((COUNTA($B88:$K88)+COUNTA($N88))&gt;0),"",IF($B88&lt;&gt;"","Macro",IF($C88&lt;&gt;"","Sub","Macro")))</f>
        <v/>
      </c>
      <c r="T88" s="70">
        <f>IF($S88="Macro",COUNTIFS($R$5:$R$1000,ROW(),$S$5:$S$1000,"Sub"),"")</f>
        <v/>
      </c>
      <c r="U88" s="70">
        <f>IF($S88="","",IF(ISNUMBER($H88),$H88,0))</f>
        <v/>
      </c>
      <c r="V88" s="70">
        <f>IF($S88="","",IF(ISNUMBER($I88),$I88,$U88))</f>
        <v/>
      </c>
      <c r="W88" s="70">
        <f>IF($S88="","",IF(ISNUMBER($J88),$J88,$V88))</f>
        <v/>
      </c>
      <c r="X88" s="70">
        <f>IF($S88="","",IF(ISNUMBER($K88),$K88,$W88))</f>
        <v/>
      </c>
      <c r="Y88" s="70">
        <f>IF($S88="","",IF(N($T88)&gt;0,AVERAGEIFS($U$5:$U$1000,$R$5:$R$1000,ROW(),$S$5:$S$1000,"Sub"),$U88))</f>
        <v/>
      </c>
      <c r="Z88" s="70">
        <f>IF($S88="","",IF(N($T88)&gt;0,AVERAGEIFS($V$5:$V$1000,$R$5:$R$1000,ROW(),$S$5:$S$1000,"Sub"),$V88))</f>
        <v/>
      </c>
      <c r="AA88" s="70">
        <f>IF($S88="","",IF(N($T88)&gt;0,AVERAGEIFS($W$5:$W$1000,$R$5:$R$1000,ROW(),$S$5:$S$1000,"Sub"),$W88))</f>
        <v/>
      </c>
      <c r="AB88" s="70">
        <f>IF($S88="","",IF(N($T88)&gt;0,AVERAGEIFS($X$5:$X$1000,$R$5:$R$1000,ROW(),$S$5:$S$1000,"Sub"),$X88))</f>
        <v/>
      </c>
    </row>
    <row r="89">
      <c r="A89" s="61">
        <f>IF(NOT((COUNTA($B89:$K89)+COUNTA($N89))&gt;0),"",IF($S89="Macro",COUNTIFS($S$5:$S89,"Macro",$P$5:$P89,$P89),IF(N($R89)=0,"?",COUNTIFS(INDEX($S$5:$S$1000,1):INDEX($S$5:$S$1000,$R89-4),"Macro",INDEX($P$5:$P$1000,1):INDEX($P$5:$P$1000,$R89-4),INDEX($P$5:$P$1000,$R89-4))&amp;"."&amp;COUNTIFS($R$5:$R89,$R89,$S$5:$S89,"Sub"))))</f>
        <v/>
      </c>
      <c r="B89" s="62" t="n"/>
      <c r="C89" s="63" t="n"/>
      <c r="D89" s="62" t="n"/>
      <c r="E89" s="64" t="n"/>
      <c r="F89" s="64" t="n"/>
      <c r="G89" s="65" t="n"/>
      <c r="H89" s="66" t="n"/>
      <c r="I89" s="66" t="n"/>
      <c r="J89" s="66" t="n"/>
      <c r="K89" s="66" t="n"/>
      <c r="L89" s="67">
        <f>IF(NOT((COUNTA($B89:$K89)+COUNTA($N89))&gt;0),"",IF(N($T89)&gt;0,$AB89,IFERROR(LOOKUP(2,1/(H89:K89&lt;&gt;""),H89:K89),0)))</f>
        <v/>
      </c>
      <c r="M89" s="61">
        <f>IF(L89="","",IF(L89&gt;=1,"Completado",IF(L89&gt;0,"En curso","Pendiente")))</f>
        <v/>
      </c>
      <c r="N89" s="62" t="n"/>
      <c r="O89" s="68">
        <f>IF(NOT((COUNTA($B89:$K89)+COUNTA($N89))&gt;0),"",IF((IF(AND($S89="Macro",$B89=""),"Macroactividad vacía"&amp;" · ","")&amp;IF(AND($B89&lt;&gt;"",$C89&lt;&gt;""),"Escriba la subactividad en otra fila, debajo de su macroactividad"&amp;" · ","")&amp;IF(AND($S89="Sub",N($R89)=0),"Subactividad sin macroactividad arriba"&amp;" · ","")&amp;IF($D89="","Sin responsable"&amp;" · ","")&amp;IF($E89="","Sin fecha de inicio"&amp;" · ","")&amp;IF($F89="","Sin fecha límite"&amp;" · ","")&amp;IF(OR(AND($E89&lt;&gt;"",NOT(ISNUMBER($E89))),AND($F89&lt;&gt;"",NOT(ISNUMBER($F89)))),"Fecha no válida"&amp;" · ","")&amp;IF(AND(ISNUMBER($E89),ISNUMBER($F89),$E89&gt;$F89),"Inicio posterior a fecha límite"&amp;" · ","")&amp;IF(AND($S89="Macro",$G89=""),"Peso vacío"&amp;" · ","")&amp;IF(AND($S89="Macro",$G89&lt;&gt;"",OR(NOT(ISNUMBER($G89)),$G89&lt;=0,$G89&gt;1)),"Peso fuera de rango"&amp;" · ","")&amp;IF(AND($S89="Sub",$G89&lt;&gt;""),"Las subactividades no llevan peso"&amp;" · ","")&amp;IF(AND($S89="Macro",ABS(SUMIFS($G$5:$G$1000,$P$5:$P$1000,$P89,$S$5:$S$1000,"Macro")-1)&gt;0.0001),"Pesos del mes suman "&amp;TEXT(SUMIFS($G$5:$G$1000,$P$5:$P$1000,$P89,$S$5:$S$1000,"Macro"),"0%")&amp;" · ","")&amp;IF(AND(N($T89)&gt;0,COUNT($H89:$K89)&gt;0),"Con subactividades: deje vacías las semanas (se calculan solas)"&amp;" · ","")&amp;IF((COUNTIF($H89:$K89,"&gt;1")+COUNTIF($H89:$K89,"&lt;0")+COUNTA($H89:$K89)-COUNT($H89:$K89))&gt;0,"Avance fuera de rango 0-100%"&amp;" · ","")&amp;IF(OR(AND($I89&lt;&gt;"",$I89&lt;$H89),AND($J89&lt;&gt;"",$J89&lt;MAX($H89:$I89)),AND($K89&lt;&gt;"",$K89&lt;MAX($H89:$J89))),"Avance semanal decreciente"&amp;" · ","")&amp;IF(AND(ISNUMBER($F89),$F89&lt;FechaRef,N($L89)&lt;1),"Vencida"&amp;" · ","")&amp;IF(AND(ObsObligatoria="Sí",ISNUMBER($F89),$F89&lt;FechaRef,N($L89)&lt;1,$N89=""),"Vencida sin observación"&amp;" · ",""))="","✔ OK","⚠ "&amp;LEFT(IF(AND($S89="Macro",$B89=""),"Macroactividad vacía"&amp;" · ","")&amp;IF(AND($B89&lt;&gt;"",$C89&lt;&gt;""),"Escriba la subactividad en otra fila, debajo de su macroactividad"&amp;" · ","")&amp;IF(AND($S89="Sub",N($R89)=0),"Subactividad sin macroactividad arriba"&amp;" · ","")&amp;IF($D89="","Sin responsable"&amp;" · ","")&amp;IF($E89="","Sin fecha de inicio"&amp;" · ","")&amp;IF($F89="","Sin fecha límite"&amp;" · ","")&amp;IF(OR(AND($E89&lt;&gt;"",NOT(ISNUMBER($E89))),AND($F89&lt;&gt;"",NOT(ISNUMBER($F89)))),"Fecha no válida"&amp;" · ","")&amp;IF(AND(ISNUMBER($E89),ISNUMBER($F89),$E89&gt;$F89),"Inicio posterior a fecha límite"&amp;" · ","")&amp;IF(AND($S89="Macro",$G89=""),"Peso vacío"&amp;" · ","")&amp;IF(AND($S89="Macro",$G89&lt;&gt;"",OR(NOT(ISNUMBER($G89)),$G89&lt;=0,$G89&gt;1)),"Peso fuera de rango"&amp;" · ","")&amp;IF(AND($S89="Sub",$G89&lt;&gt;""),"Las subactividades no llevan peso"&amp;" · ","")&amp;IF(AND($S89="Macro",ABS(SUMIFS($G$5:$G$1000,$P$5:$P$1000,$P89,$S$5:$S$1000,"Macro")-1)&gt;0.0001),"Pesos del mes suman "&amp;TEXT(SUMIFS($G$5:$G$1000,$P$5:$P$1000,$P89,$S$5:$S$1000,"Macro"),"0%")&amp;" · ","")&amp;IF(AND(N($T89)&gt;0,COUNT($H89:$K89)&gt;0),"Con subactividades: deje vacías las semanas (se calculan solas)"&amp;" · ","")&amp;IF((COUNTIF($H89:$K89,"&gt;1")+COUNTIF($H89:$K89,"&lt;0")+COUNTA($H89:$K89)-COUNT($H89:$K89))&gt;0,"Avance fuera de rango 0-100%"&amp;" · ","")&amp;IF(OR(AND($I89&lt;&gt;"",$I89&lt;$H89),AND($J89&lt;&gt;"",$J89&lt;MAX($H89:$I89)),AND($K89&lt;&gt;"",$K89&lt;MAX($H89:$J89))),"Avance semanal decreciente"&amp;" · ","")&amp;IF(AND(ISNUMBER($F89),$F89&lt;FechaRef,N($L89)&lt;1),"Vencida"&amp;" · ","")&amp;IF(AND(ObsObligatoria="Sí",ISNUMBER($F89),$F89&lt;FechaRef,N($L89)&lt;1,$N89=""),"Vencida sin observación"&amp;" · ",""),LEN(IF(AND($S89="Macro",$B89=""),"Macroactividad vacía"&amp;" · ","")&amp;IF(AND($B89&lt;&gt;"",$C89&lt;&gt;""),"Escriba la subactividad en otra fila, debajo de su macroactividad"&amp;" · ","")&amp;IF(AND($S89="Sub",N($R89)=0),"Subactividad sin macroactividad arriba"&amp;" · ","")&amp;IF($D89="","Sin responsable"&amp;" · ","")&amp;IF($E89="","Sin fecha de inicio"&amp;" · ","")&amp;IF($F89="","Sin fecha límite"&amp;" · ","")&amp;IF(OR(AND($E89&lt;&gt;"",NOT(ISNUMBER($E89))),AND($F89&lt;&gt;"",NOT(ISNUMBER($F89)))),"Fecha no válida"&amp;" · ","")&amp;IF(AND(ISNUMBER($E89),ISNUMBER($F89),$E89&gt;$F89),"Inicio posterior a fecha límite"&amp;" · ","")&amp;IF(AND($S89="Macro",$G89=""),"Peso vacío"&amp;" · ","")&amp;IF(AND($S89="Macro",$G89&lt;&gt;"",OR(NOT(ISNUMBER($G89)),$G89&lt;=0,$G89&gt;1)),"Peso fuera de rango"&amp;" · ","")&amp;IF(AND($S89="Sub",$G89&lt;&gt;""),"Las subactividades no llevan peso"&amp;" · ","")&amp;IF(AND($S89="Macro",ABS(SUMIFS($G$5:$G$1000,$P$5:$P$1000,$P89,$S$5:$S$1000,"Macro")-1)&gt;0.0001),"Pesos del mes suman "&amp;TEXT(SUMIFS($G$5:$G$1000,$P$5:$P$1000,$P89,$S$5:$S$1000,"Macro"),"0%")&amp;" · ","")&amp;IF(AND(N($T89)&gt;0,COUNT($H89:$K89)&gt;0),"Con subactividades: deje vacías las semanas (se calculan solas)"&amp;" · ","")&amp;IF((COUNTIF($H89:$K89,"&gt;1")+COUNTIF($H89:$K89,"&lt;0")+COUNTA($H89:$K89)-COUNT($H89:$K89))&gt;0,"Avance fuera de rango 0-100%"&amp;" · ","")&amp;IF(OR(AND($I89&lt;&gt;"",$I89&lt;$H89),AND($J89&lt;&gt;"",$J89&lt;MAX($H89:$I89)),AND($K89&lt;&gt;"",$K89&lt;MAX($H89:$J89))),"Avance semanal decreciente"&amp;" · ","")&amp;IF(AND(ISNUMBER($F89),$F89&lt;FechaRef,N($L89)&lt;1),"Vencida"&amp;" · ","")&amp;IF(AND(ObsObligatoria="Sí",ISNUMBER($F89),$F89&lt;FechaRef,N($L89)&lt;1,$N89=""),"Vencida sin observación"&amp;" · ",""))-3)))</f>
        <v/>
      </c>
      <c r="P89" s="69">
        <f>IF(NOT((COUNTA($B89:$K89)+COUNTA($N89))&gt;0),"",IF(AND($S89="Sub",N($R89)&gt;0),IF(ISNUMBER(INDEX($E$5:$E$1000,$R89-4)),DATE(YEAR(INDEX($E$5:$E$1000,$R89-4)),MONTH(INDEX($E$5:$E$1000,$R89-4)),1),IF(ISNUMBER(INDEX($F$5:$F$1000,$R89-4)),DATE(YEAR(INDEX($F$5:$F$1000,$R89-4)),MONTH(INDEX($F$5:$F$1000,$R89-4)),1),MesCiclo)),IF(ISNUMBER($E89),DATE(YEAR($E89),MONTH($E89),1),IF(ISNUMBER($F89),DATE(YEAR($F89),MONTH($F89),1),MesCiclo))))</f>
        <v/>
      </c>
      <c r="Q89" s="70">
        <f>IF(OR($P89="",$P89&lt;&gt;MesCiclo),"",COUNTIF($P$5:$P89,MesCiclo))</f>
        <v/>
      </c>
      <c r="R89" s="70">
        <f>IF($S89="","",IF($S89="Macro",ROW(),IFERROR(LOOKUP(2,1/($S$5:$S89="Macro"),ROW($S$5:$S89)),0)))</f>
        <v/>
      </c>
      <c r="S89" s="70">
        <f>IF(NOT((COUNTA($B89:$K89)+COUNTA($N89))&gt;0),"",IF($B89&lt;&gt;"","Macro",IF($C89&lt;&gt;"","Sub","Macro")))</f>
        <v/>
      </c>
      <c r="T89" s="70">
        <f>IF($S89="Macro",COUNTIFS($R$5:$R$1000,ROW(),$S$5:$S$1000,"Sub"),"")</f>
        <v/>
      </c>
      <c r="U89" s="70">
        <f>IF($S89="","",IF(ISNUMBER($H89),$H89,0))</f>
        <v/>
      </c>
      <c r="V89" s="70">
        <f>IF($S89="","",IF(ISNUMBER($I89),$I89,$U89))</f>
        <v/>
      </c>
      <c r="W89" s="70">
        <f>IF($S89="","",IF(ISNUMBER($J89),$J89,$V89))</f>
        <v/>
      </c>
      <c r="X89" s="70">
        <f>IF($S89="","",IF(ISNUMBER($K89),$K89,$W89))</f>
        <v/>
      </c>
      <c r="Y89" s="70">
        <f>IF($S89="","",IF(N($T89)&gt;0,AVERAGEIFS($U$5:$U$1000,$R$5:$R$1000,ROW(),$S$5:$S$1000,"Sub"),$U89))</f>
        <v/>
      </c>
      <c r="Z89" s="70">
        <f>IF($S89="","",IF(N($T89)&gt;0,AVERAGEIFS($V$5:$V$1000,$R$5:$R$1000,ROW(),$S$5:$S$1000,"Sub"),$V89))</f>
        <v/>
      </c>
      <c r="AA89" s="70">
        <f>IF($S89="","",IF(N($T89)&gt;0,AVERAGEIFS($W$5:$W$1000,$R$5:$R$1000,ROW(),$S$5:$S$1000,"Sub"),$W89))</f>
        <v/>
      </c>
      <c r="AB89" s="70">
        <f>IF($S89="","",IF(N($T89)&gt;0,AVERAGEIFS($X$5:$X$1000,$R$5:$R$1000,ROW(),$S$5:$S$1000,"Sub"),$X89))</f>
        <v/>
      </c>
    </row>
    <row r="90">
      <c r="A90" s="61">
        <f>IF(NOT((COUNTA($B90:$K90)+COUNTA($N90))&gt;0),"",IF($S90="Macro",COUNTIFS($S$5:$S90,"Macro",$P$5:$P90,$P90),IF(N($R90)=0,"?",COUNTIFS(INDEX($S$5:$S$1000,1):INDEX($S$5:$S$1000,$R90-4),"Macro",INDEX($P$5:$P$1000,1):INDEX($P$5:$P$1000,$R90-4),INDEX($P$5:$P$1000,$R90-4))&amp;"."&amp;COUNTIFS($R$5:$R90,$R90,$S$5:$S90,"Sub"))))</f>
        <v/>
      </c>
      <c r="B90" s="62" t="n"/>
      <c r="C90" s="63" t="n"/>
      <c r="D90" s="62" t="n"/>
      <c r="E90" s="64" t="n"/>
      <c r="F90" s="64" t="n"/>
      <c r="G90" s="65" t="n"/>
      <c r="H90" s="66" t="n"/>
      <c r="I90" s="66" t="n"/>
      <c r="J90" s="66" t="n"/>
      <c r="K90" s="66" t="n"/>
      <c r="L90" s="67">
        <f>IF(NOT((COUNTA($B90:$K90)+COUNTA($N90))&gt;0),"",IF(N($T90)&gt;0,$AB90,IFERROR(LOOKUP(2,1/(H90:K90&lt;&gt;""),H90:K90),0)))</f>
        <v/>
      </c>
      <c r="M90" s="61">
        <f>IF(L90="","",IF(L90&gt;=1,"Completado",IF(L90&gt;0,"En curso","Pendiente")))</f>
        <v/>
      </c>
      <c r="N90" s="62" t="n"/>
      <c r="O90" s="68">
        <f>IF(NOT((COUNTA($B90:$K90)+COUNTA($N90))&gt;0),"",IF((IF(AND($S90="Macro",$B90=""),"Macroactividad vacía"&amp;" · ","")&amp;IF(AND($B90&lt;&gt;"",$C90&lt;&gt;""),"Escriba la subactividad en otra fila, debajo de su macroactividad"&amp;" · ","")&amp;IF(AND($S90="Sub",N($R90)=0),"Subactividad sin macroactividad arriba"&amp;" · ","")&amp;IF($D90="","Sin responsable"&amp;" · ","")&amp;IF($E90="","Sin fecha de inicio"&amp;" · ","")&amp;IF($F90="","Sin fecha límite"&amp;" · ","")&amp;IF(OR(AND($E90&lt;&gt;"",NOT(ISNUMBER($E90))),AND($F90&lt;&gt;"",NOT(ISNUMBER($F90)))),"Fecha no válida"&amp;" · ","")&amp;IF(AND(ISNUMBER($E90),ISNUMBER($F90),$E90&gt;$F90),"Inicio posterior a fecha límite"&amp;" · ","")&amp;IF(AND($S90="Macro",$G90=""),"Peso vacío"&amp;" · ","")&amp;IF(AND($S90="Macro",$G90&lt;&gt;"",OR(NOT(ISNUMBER($G90)),$G90&lt;=0,$G90&gt;1)),"Peso fuera de rango"&amp;" · ","")&amp;IF(AND($S90="Sub",$G90&lt;&gt;""),"Las subactividades no llevan peso"&amp;" · ","")&amp;IF(AND($S90="Macro",ABS(SUMIFS($G$5:$G$1000,$P$5:$P$1000,$P90,$S$5:$S$1000,"Macro")-1)&gt;0.0001),"Pesos del mes suman "&amp;TEXT(SUMIFS($G$5:$G$1000,$P$5:$P$1000,$P90,$S$5:$S$1000,"Macro"),"0%")&amp;" · ","")&amp;IF(AND(N($T90)&gt;0,COUNT($H90:$K90)&gt;0),"Con subactividades: deje vacías las semanas (se calculan solas)"&amp;" · ","")&amp;IF((COUNTIF($H90:$K90,"&gt;1")+COUNTIF($H90:$K90,"&lt;0")+COUNTA($H90:$K90)-COUNT($H90:$K90))&gt;0,"Avance fuera de rango 0-100%"&amp;" · ","")&amp;IF(OR(AND($I90&lt;&gt;"",$I90&lt;$H90),AND($J90&lt;&gt;"",$J90&lt;MAX($H90:$I90)),AND($K90&lt;&gt;"",$K90&lt;MAX($H90:$J90))),"Avance semanal decreciente"&amp;" · ","")&amp;IF(AND(ISNUMBER($F90),$F90&lt;FechaRef,N($L90)&lt;1),"Vencida"&amp;" · ","")&amp;IF(AND(ObsObligatoria="Sí",ISNUMBER($F90),$F90&lt;FechaRef,N($L90)&lt;1,$N90=""),"Vencida sin observación"&amp;" · ",""))="","✔ OK","⚠ "&amp;LEFT(IF(AND($S90="Macro",$B90=""),"Macroactividad vacía"&amp;" · ","")&amp;IF(AND($B90&lt;&gt;"",$C90&lt;&gt;""),"Escriba la subactividad en otra fila, debajo de su macroactividad"&amp;" · ","")&amp;IF(AND($S90="Sub",N($R90)=0),"Subactividad sin macroactividad arriba"&amp;" · ","")&amp;IF($D90="","Sin responsable"&amp;" · ","")&amp;IF($E90="","Sin fecha de inicio"&amp;" · ","")&amp;IF($F90="","Sin fecha límite"&amp;" · ","")&amp;IF(OR(AND($E90&lt;&gt;"",NOT(ISNUMBER($E90))),AND($F90&lt;&gt;"",NOT(ISNUMBER($F90)))),"Fecha no válida"&amp;" · ","")&amp;IF(AND(ISNUMBER($E90),ISNUMBER($F90),$E90&gt;$F90),"Inicio posterior a fecha límite"&amp;" · ","")&amp;IF(AND($S90="Macro",$G90=""),"Peso vacío"&amp;" · ","")&amp;IF(AND($S90="Macro",$G90&lt;&gt;"",OR(NOT(ISNUMBER($G90)),$G90&lt;=0,$G90&gt;1)),"Peso fuera de rango"&amp;" · ","")&amp;IF(AND($S90="Sub",$G90&lt;&gt;""),"Las subactividades no llevan peso"&amp;" · ","")&amp;IF(AND($S90="Macro",ABS(SUMIFS($G$5:$G$1000,$P$5:$P$1000,$P90,$S$5:$S$1000,"Macro")-1)&gt;0.0001),"Pesos del mes suman "&amp;TEXT(SUMIFS($G$5:$G$1000,$P$5:$P$1000,$P90,$S$5:$S$1000,"Macro"),"0%")&amp;" · ","")&amp;IF(AND(N($T90)&gt;0,COUNT($H90:$K90)&gt;0),"Con subactividades: deje vacías las semanas (se calculan solas)"&amp;" · ","")&amp;IF((COUNTIF($H90:$K90,"&gt;1")+COUNTIF($H90:$K90,"&lt;0")+COUNTA($H90:$K90)-COUNT($H90:$K90))&gt;0,"Avance fuera de rango 0-100%"&amp;" · ","")&amp;IF(OR(AND($I90&lt;&gt;"",$I90&lt;$H90),AND($J90&lt;&gt;"",$J90&lt;MAX($H90:$I90)),AND($K90&lt;&gt;"",$K90&lt;MAX($H90:$J90))),"Avance semanal decreciente"&amp;" · ","")&amp;IF(AND(ISNUMBER($F90),$F90&lt;FechaRef,N($L90)&lt;1),"Vencida"&amp;" · ","")&amp;IF(AND(ObsObligatoria="Sí",ISNUMBER($F90),$F90&lt;FechaRef,N($L90)&lt;1,$N90=""),"Vencida sin observación"&amp;" · ",""),LEN(IF(AND($S90="Macro",$B90=""),"Macroactividad vacía"&amp;" · ","")&amp;IF(AND($B90&lt;&gt;"",$C90&lt;&gt;""),"Escriba la subactividad en otra fila, debajo de su macroactividad"&amp;" · ","")&amp;IF(AND($S90="Sub",N($R90)=0),"Subactividad sin macroactividad arriba"&amp;" · ","")&amp;IF($D90="","Sin responsable"&amp;" · ","")&amp;IF($E90="","Sin fecha de inicio"&amp;" · ","")&amp;IF($F90="","Sin fecha límite"&amp;" · ","")&amp;IF(OR(AND($E90&lt;&gt;"",NOT(ISNUMBER($E90))),AND($F90&lt;&gt;"",NOT(ISNUMBER($F90)))),"Fecha no válida"&amp;" · ","")&amp;IF(AND(ISNUMBER($E90),ISNUMBER($F90),$E90&gt;$F90),"Inicio posterior a fecha límite"&amp;" · ","")&amp;IF(AND($S90="Macro",$G90=""),"Peso vacío"&amp;" · ","")&amp;IF(AND($S90="Macro",$G90&lt;&gt;"",OR(NOT(ISNUMBER($G90)),$G90&lt;=0,$G90&gt;1)),"Peso fuera de rango"&amp;" · ","")&amp;IF(AND($S90="Sub",$G90&lt;&gt;""),"Las subactividades no llevan peso"&amp;" · ","")&amp;IF(AND($S90="Macro",ABS(SUMIFS($G$5:$G$1000,$P$5:$P$1000,$P90,$S$5:$S$1000,"Macro")-1)&gt;0.0001),"Pesos del mes suman "&amp;TEXT(SUMIFS($G$5:$G$1000,$P$5:$P$1000,$P90,$S$5:$S$1000,"Macro"),"0%")&amp;" · ","")&amp;IF(AND(N($T90)&gt;0,COUNT($H90:$K90)&gt;0),"Con subactividades: deje vacías las semanas (se calculan solas)"&amp;" · ","")&amp;IF((COUNTIF($H90:$K90,"&gt;1")+COUNTIF($H90:$K90,"&lt;0")+COUNTA($H90:$K90)-COUNT($H90:$K90))&gt;0,"Avance fuera de rango 0-100%"&amp;" · ","")&amp;IF(OR(AND($I90&lt;&gt;"",$I90&lt;$H90),AND($J90&lt;&gt;"",$J90&lt;MAX($H90:$I90)),AND($K90&lt;&gt;"",$K90&lt;MAX($H90:$J90))),"Avance semanal decreciente"&amp;" · ","")&amp;IF(AND(ISNUMBER($F90),$F90&lt;FechaRef,N($L90)&lt;1),"Vencida"&amp;" · ","")&amp;IF(AND(ObsObligatoria="Sí",ISNUMBER($F90),$F90&lt;FechaRef,N($L90)&lt;1,$N90=""),"Vencida sin observación"&amp;" · ",""))-3)))</f>
        <v/>
      </c>
      <c r="P90" s="69">
        <f>IF(NOT((COUNTA($B90:$K90)+COUNTA($N90))&gt;0),"",IF(AND($S90="Sub",N($R90)&gt;0),IF(ISNUMBER(INDEX($E$5:$E$1000,$R90-4)),DATE(YEAR(INDEX($E$5:$E$1000,$R90-4)),MONTH(INDEX($E$5:$E$1000,$R90-4)),1),IF(ISNUMBER(INDEX($F$5:$F$1000,$R90-4)),DATE(YEAR(INDEX($F$5:$F$1000,$R90-4)),MONTH(INDEX($F$5:$F$1000,$R90-4)),1),MesCiclo)),IF(ISNUMBER($E90),DATE(YEAR($E90),MONTH($E90),1),IF(ISNUMBER($F90),DATE(YEAR($F90),MONTH($F90),1),MesCiclo))))</f>
        <v/>
      </c>
      <c r="Q90" s="70">
        <f>IF(OR($P90="",$P90&lt;&gt;MesCiclo),"",COUNTIF($P$5:$P90,MesCiclo))</f>
        <v/>
      </c>
      <c r="R90" s="70">
        <f>IF($S90="","",IF($S90="Macro",ROW(),IFERROR(LOOKUP(2,1/($S$5:$S90="Macro"),ROW($S$5:$S90)),0)))</f>
        <v/>
      </c>
      <c r="S90" s="70">
        <f>IF(NOT((COUNTA($B90:$K90)+COUNTA($N90))&gt;0),"",IF($B90&lt;&gt;"","Macro",IF($C90&lt;&gt;"","Sub","Macro")))</f>
        <v/>
      </c>
      <c r="T90" s="70">
        <f>IF($S90="Macro",COUNTIFS($R$5:$R$1000,ROW(),$S$5:$S$1000,"Sub"),"")</f>
        <v/>
      </c>
      <c r="U90" s="70">
        <f>IF($S90="","",IF(ISNUMBER($H90),$H90,0))</f>
        <v/>
      </c>
      <c r="V90" s="70">
        <f>IF($S90="","",IF(ISNUMBER($I90),$I90,$U90))</f>
        <v/>
      </c>
      <c r="W90" s="70">
        <f>IF($S90="","",IF(ISNUMBER($J90),$J90,$V90))</f>
        <v/>
      </c>
      <c r="X90" s="70">
        <f>IF($S90="","",IF(ISNUMBER($K90),$K90,$W90))</f>
        <v/>
      </c>
      <c r="Y90" s="70">
        <f>IF($S90="","",IF(N($T90)&gt;0,AVERAGEIFS($U$5:$U$1000,$R$5:$R$1000,ROW(),$S$5:$S$1000,"Sub"),$U90))</f>
        <v/>
      </c>
      <c r="Z90" s="70">
        <f>IF($S90="","",IF(N($T90)&gt;0,AVERAGEIFS($V$5:$V$1000,$R$5:$R$1000,ROW(),$S$5:$S$1000,"Sub"),$V90))</f>
        <v/>
      </c>
      <c r="AA90" s="70">
        <f>IF($S90="","",IF(N($T90)&gt;0,AVERAGEIFS($W$5:$W$1000,$R$5:$R$1000,ROW(),$S$5:$S$1000,"Sub"),$W90))</f>
        <v/>
      </c>
      <c r="AB90" s="70">
        <f>IF($S90="","",IF(N($T90)&gt;0,AVERAGEIFS($X$5:$X$1000,$R$5:$R$1000,ROW(),$S$5:$S$1000,"Sub"),$X90))</f>
        <v/>
      </c>
    </row>
    <row r="91">
      <c r="A91" s="61">
        <f>IF(NOT((COUNTA($B91:$K91)+COUNTA($N91))&gt;0),"",IF($S91="Macro",COUNTIFS($S$5:$S91,"Macro",$P$5:$P91,$P91),IF(N($R91)=0,"?",COUNTIFS(INDEX($S$5:$S$1000,1):INDEX($S$5:$S$1000,$R91-4),"Macro",INDEX($P$5:$P$1000,1):INDEX($P$5:$P$1000,$R91-4),INDEX($P$5:$P$1000,$R91-4))&amp;"."&amp;COUNTIFS($R$5:$R91,$R91,$S$5:$S91,"Sub"))))</f>
        <v/>
      </c>
      <c r="B91" s="62" t="n"/>
      <c r="C91" s="63" t="n"/>
      <c r="D91" s="62" t="n"/>
      <c r="E91" s="64" t="n"/>
      <c r="F91" s="64" t="n"/>
      <c r="G91" s="65" t="n"/>
      <c r="H91" s="66" t="n"/>
      <c r="I91" s="66" t="n"/>
      <c r="J91" s="66" t="n"/>
      <c r="K91" s="66" t="n"/>
      <c r="L91" s="67">
        <f>IF(NOT((COUNTA($B91:$K91)+COUNTA($N91))&gt;0),"",IF(N($T91)&gt;0,$AB91,IFERROR(LOOKUP(2,1/(H91:K91&lt;&gt;""),H91:K91),0)))</f>
        <v/>
      </c>
      <c r="M91" s="61">
        <f>IF(L91="","",IF(L91&gt;=1,"Completado",IF(L91&gt;0,"En curso","Pendiente")))</f>
        <v/>
      </c>
      <c r="N91" s="62" t="n"/>
      <c r="O91" s="68">
        <f>IF(NOT((COUNTA($B91:$K91)+COUNTA($N91))&gt;0),"",IF((IF(AND($S91="Macro",$B91=""),"Macroactividad vacía"&amp;" · ","")&amp;IF(AND($B91&lt;&gt;"",$C91&lt;&gt;""),"Escriba la subactividad en otra fila, debajo de su macroactividad"&amp;" · ","")&amp;IF(AND($S91="Sub",N($R91)=0),"Subactividad sin macroactividad arriba"&amp;" · ","")&amp;IF($D91="","Sin responsable"&amp;" · ","")&amp;IF($E91="","Sin fecha de inicio"&amp;" · ","")&amp;IF($F91="","Sin fecha límite"&amp;" · ","")&amp;IF(OR(AND($E91&lt;&gt;"",NOT(ISNUMBER($E91))),AND($F91&lt;&gt;"",NOT(ISNUMBER($F91)))),"Fecha no válida"&amp;" · ","")&amp;IF(AND(ISNUMBER($E91),ISNUMBER($F91),$E91&gt;$F91),"Inicio posterior a fecha límite"&amp;" · ","")&amp;IF(AND($S91="Macro",$G91=""),"Peso vacío"&amp;" · ","")&amp;IF(AND($S91="Macro",$G91&lt;&gt;"",OR(NOT(ISNUMBER($G91)),$G91&lt;=0,$G91&gt;1)),"Peso fuera de rango"&amp;" · ","")&amp;IF(AND($S91="Sub",$G91&lt;&gt;""),"Las subactividades no llevan peso"&amp;" · ","")&amp;IF(AND($S91="Macro",ABS(SUMIFS($G$5:$G$1000,$P$5:$P$1000,$P91,$S$5:$S$1000,"Macro")-1)&gt;0.0001),"Pesos del mes suman "&amp;TEXT(SUMIFS($G$5:$G$1000,$P$5:$P$1000,$P91,$S$5:$S$1000,"Macro"),"0%")&amp;" · ","")&amp;IF(AND(N($T91)&gt;0,COUNT($H91:$K91)&gt;0),"Con subactividades: deje vacías las semanas (se calculan solas)"&amp;" · ","")&amp;IF((COUNTIF($H91:$K91,"&gt;1")+COUNTIF($H91:$K91,"&lt;0")+COUNTA($H91:$K91)-COUNT($H91:$K91))&gt;0,"Avance fuera de rango 0-100%"&amp;" · ","")&amp;IF(OR(AND($I91&lt;&gt;"",$I91&lt;$H91),AND($J91&lt;&gt;"",$J91&lt;MAX($H91:$I91)),AND($K91&lt;&gt;"",$K91&lt;MAX($H91:$J91))),"Avance semanal decreciente"&amp;" · ","")&amp;IF(AND(ISNUMBER($F91),$F91&lt;FechaRef,N($L91)&lt;1),"Vencida"&amp;" · ","")&amp;IF(AND(ObsObligatoria="Sí",ISNUMBER($F91),$F91&lt;FechaRef,N($L91)&lt;1,$N91=""),"Vencida sin observación"&amp;" · ",""))="","✔ OK","⚠ "&amp;LEFT(IF(AND($S91="Macro",$B91=""),"Macroactividad vacía"&amp;" · ","")&amp;IF(AND($B91&lt;&gt;"",$C91&lt;&gt;""),"Escriba la subactividad en otra fila, debajo de su macroactividad"&amp;" · ","")&amp;IF(AND($S91="Sub",N($R91)=0),"Subactividad sin macroactividad arriba"&amp;" · ","")&amp;IF($D91="","Sin responsable"&amp;" · ","")&amp;IF($E91="","Sin fecha de inicio"&amp;" · ","")&amp;IF($F91="","Sin fecha límite"&amp;" · ","")&amp;IF(OR(AND($E91&lt;&gt;"",NOT(ISNUMBER($E91))),AND($F91&lt;&gt;"",NOT(ISNUMBER($F91)))),"Fecha no válida"&amp;" · ","")&amp;IF(AND(ISNUMBER($E91),ISNUMBER($F91),$E91&gt;$F91),"Inicio posterior a fecha límite"&amp;" · ","")&amp;IF(AND($S91="Macro",$G91=""),"Peso vacío"&amp;" · ","")&amp;IF(AND($S91="Macro",$G91&lt;&gt;"",OR(NOT(ISNUMBER($G91)),$G91&lt;=0,$G91&gt;1)),"Peso fuera de rango"&amp;" · ","")&amp;IF(AND($S91="Sub",$G91&lt;&gt;""),"Las subactividades no llevan peso"&amp;" · ","")&amp;IF(AND($S91="Macro",ABS(SUMIFS($G$5:$G$1000,$P$5:$P$1000,$P91,$S$5:$S$1000,"Macro")-1)&gt;0.0001),"Pesos del mes suman "&amp;TEXT(SUMIFS($G$5:$G$1000,$P$5:$P$1000,$P91,$S$5:$S$1000,"Macro"),"0%")&amp;" · ","")&amp;IF(AND(N($T91)&gt;0,COUNT($H91:$K91)&gt;0),"Con subactividades: deje vacías las semanas (se calculan solas)"&amp;" · ","")&amp;IF((COUNTIF($H91:$K91,"&gt;1")+COUNTIF($H91:$K91,"&lt;0")+COUNTA($H91:$K91)-COUNT($H91:$K91))&gt;0,"Avance fuera de rango 0-100%"&amp;" · ","")&amp;IF(OR(AND($I91&lt;&gt;"",$I91&lt;$H91),AND($J91&lt;&gt;"",$J91&lt;MAX($H91:$I91)),AND($K91&lt;&gt;"",$K91&lt;MAX($H91:$J91))),"Avance semanal decreciente"&amp;" · ","")&amp;IF(AND(ISNUMBER($F91),$F91&lt;FechaRef,N($L91)&lt;1),"Vencida"&amp;" · ","")&amp;IF(AND(ObsObligatoria="Sí",ISNUMBER($F91),$F91&lt;FechaRef,N($L91)&lt;1,$N91=""),"Vencida sin observación"&amp;" · ",""),LEN(IF(AND($S91="Macro",$B91=""),"Macroactividad vacía"&amp;" · ","")&amp;IF(AND($B91&lt;&gt;"",$C91&lt;&gt;""),"Escriba la subactividad en otra fila, debajo de su macroactividad"&amp;" · ","")&amp;IF(AND($S91="Sub",N($R91)=0),"Subactividad sin macroactividad arriba"&amp;" · ","")&amp;IF($D91="","Sin responsable"&amp;" · ","")&amp;IF($E91="","Sin fecha de inicio"&amp;" · ","")&amp;IF($F91="","Sin fecha límite"&amp;" · ","")&amp;IF(OR(AND($E91&lt;&gt;"",NOT(ISNUMBER($E91))),AND($F91&lt;&gt;"",NOT(ISNUMBER($F91)))),"Fecha no válida"&amp;" · ","")&amp;IF(AND(ISNUMBER($E91),ISNUMBER($F91),$E91&gt;$F91),"Inicio posterior a fecha límite"&amp;" · ","")&amp;IF(AND($S91="Macro",$G91=""),"Peso vacío"&amp;" · ","")&amp;IF(AND($S91="Macro",$G91&lt;&gt;"",OR(NOT(ISNUMBER($G91)),$G91&lt;=0,$G91&gt;1)),"Peso fuera de rango"&amp;" · ","")&amp;IF(AND($S91="Sub",$G91&lt;&gt;""),"Las subactividades no llevan peso"&amp;" · ","")&amp;IF(AND($S91="Macro",ABS(SUMIFS($G$5:$G$1000,$P$5:$P$1000,$P91,$S$5:$S$1000,"Macro")-1)&gt;0.0001),"Pesos del mes suman "&amp;TEXT(SUMIFS($G$5:$G$1000,$P$5:$P$1000,$P91,$S$5:$S$1000,"Macro"),"0%")&amp;" · ","")&amp;IF(AND(N($T91)&gt;0,COUNT($H91:$K91)&gt;0),"Con subactividades: deje vacías las semanas (se calculan solas)"&amp;" · ","")&amp;IF((COUNTIF($H91:$K91,"&gt;1")+COUNTIF($H91:$K91,"&lt;0")+COUNTA($H91:$K91)-COUNT($H91:$K91))&gt;0,"Avance fuera de rango 0-100%"&amp;" · ","")&amp;IF(OR(AND($I91&lt;&gt;"",$I91&lt;$H91),AND($J91&lt;&gt;"",$J91&lt;MAX($H91:$I91)),AND($K91&lt;&gt;"",$K91&lt;MAX($H91:$J91))),"Avance semanal decreciente"&amp;" · ","")&amp;IF(AND(ISNUMBER($F91),$F91&lt;FechaRef,N($L91)&lt;1),"Vencida"&amp;" · ","")&amp;IF(AND(ObsObligatoria="Sí",ISNUMBER($F91),$F91&lt;FechaRef,N($L91)&lt;1,$N91=""),"Vencida sin observación"&amp;" · ",""))-3)))</f>
        <v/>
      </c>
      <c r="P91" s="69">
        <f>IF(NOT((COUNTA($B91:$K91)+COUNTA($N91))&gt;0),"",IF(AND($S91="Sub",N($R91)&gt;0),IF(ISNUMBER(INDEX($E$5:$E$1000,$R91-4)),DATE(YEAR(INDEX($E$5:$E$1000,$R91-4)),MONTH(INDEX($E$5:$E$1000,$R91-4)),1),IF(ISNUMBER(INDEX($F$5:$F$1000,$R91-4)),DATE(YEAR(INDEX($F$5:$F$1000,$R91-4)),MONTH(INDEX($F$5:$F$1000,$R91-4)),1),MesCiclo)),IF(ISNUMBER($E91),DATE(YEAR($E91),MONTH($E91),1),IF(ISNUMBER($F91),DATE(YEAR($F91),MONTH($F91),1),MesCiclo))))</f>
        <v/>
      </c>
      <c r="Q91" s="70">
        <f>IF(OR($P91="",$P91&lt;&gt;MesCiclo),"",COUNTIF($P$5:$P91,MesCiclo))</f>
        <v/>
      </c>
      <c r="R91" s="70">
        <f>IF($S91="","",IF($S91="Macro",ROW(),IFERROR(LOOKUP(2,1/($S$5:$S91="Macro"),ROW($S$5:$S91)),0)))</f>
        <v/>
      </c>
      <c r="S91" s="70">
        <f>IF(NOT((COUNTA($B91:$K91)+COUNTA($N91))&gt;0),"",IF($B91&lt;&gt;"","Macro",IF($C91&lt;&gt;"","Sub","Macro")))</f>
        <v/>
      </c>
      <c r="T91" s="70">
        <f>IF($S91="Macro",COUNTIFS($R$5:$R$1000,ROW(),$S$5:$S$1000,"Sub"),"")</f>
        <v/>
      </c>
      <c r="U91" s="70">
        <f>IF($S91="","",IF(ISNUMBER($H91),$H91,0))</f>
        <v/>
      </c>
      <c r="V91" s="70">
        <f>IF($S91="","",IF(ISNUMBER($I91),$I91,$U91))</f>
        <v/>
      </c>
      <c r="W91" s="70">
        <f>IF($S91="","",IF(ISNUMBER($J91),$J91,$V91))</f>
        <v/>
      </c>
      <c r="X91" s="70">
        <f>IF($S91="","",IF(ISNUMBER($K91),$K91,$W91))</f>
        <v/>
      </c>
      <c r="Y91" s="70">
        <f>IF($S91="","",IF(N($T91)&gt;0,AVERAGEIFS($U$5:$U$1000,$R$5:$R$1000,ROW(),$S$5:$S$1000,"Sub"),$U91))</f>
        <v/>
      </c>
      <c r="Z91" s="70">
        <f>IF($S91="","",IF(N($T91)&gt;0,AVERAGEIFS($V$5:$V$1000,$R$5:$R$1000,ROW(),$S$5:$S$1000,"Sub"),$V91))</f>
        <v/>
      </c>
      <c r="AA91" s="70">
        <f>IF($S91="","",IF(N($T91)&gt;0,AVERAGEIFS($W$5:$W$1000,$R$5:$R$1000,ROW(),$S$5:$S$1000,"Sub"),$W91))</f>
        <v/>
      </c>
      <c r="AB91" s="70">
        <f>IF($S91="","",IF(N($T91)&gt;0,AVERAGEIFS($X$5:$X$1000,$R$5:$R$1000,ROW(),$S$5:$S$1000,"Sub"),$X91))</f>
        <v/>
      </c>
    </row>
    <row r="92">
      <c r="A92" s="61">
        <f>IF(NOT((COUNTA($B92:$K92)+COUNTA($N92))&gt;0),"",IF($S92="Macro",COUNTIFS($S$5:$S92,"Macro",$P$5:$P92,$P92),IF(N($R92)=0,"?",COUNTIFS(INDEX($S$5:$S$1000,1):INDEX($S$5:$S$1000,$R92-4),"Macro",INDEX($P$5:$P$1000,1):INDEX($P$5:$P$1000,$R92-4),INDEX($P$5:$P$1000,$R92-4))&amp;"."&amp;COUNTIFS($R$5:$R92,$R92,$S$5:$S92,"Sub"))))</f>
        <v/>
      </c>
      <c r="B92" s="62" t="n"/>
      <c r="C92" s="63" t="n"/>
      <c r="D92" s="62" t="n"/>
      <c r="E92" s="64" t="n"/>
      <c r="F92" s="64" t="n"/>
      <c r="G92" s="65" t="n"/>
      <c r="H92" s="66" t="n"/>
      <c r="I92" s="66" t="n"/>
      <c r="J92" s="66" t="n"/>
      <c r="K92" s="66" t="n"/>
      <c r="L92" s="67">
        <f>IF(NOT((COUNTA($B92:$K92)+COUNTA($N92))&gt;0),"",IF(N($T92)&gt;0,$AB92,IFERROR(LOOKUP(2,1/(H92:K92&lt;&gt;""),H92:K92),0)))</f>
        <v/>
      </c>
      <c r="M92" s="61">
        <f>IF(L92="","",IF(L92&gt;=1,"Completado",IF(L92&gt;0,"En curso","Pendiente")))</f>
        <v/>
      </c>
      <c r="N92" s="62" t="n"/>
      <c r="O92" s="68">
        <f>IF(NOT((COUNTA($B92:$K92)+COUNTA($N92))&gt;0),"",IF((IF(AND($S92="Macro",$B92=""),"Macroactividad vacía"&amp;" · ","")&amp;IF(AND($B92&lt;&gt;"",$C92&lt;&gt;""),"Escriba la subactividad en otra fila, debajo de su macroactividad"&amp;" · ","")&amp;IF(AND($S92="Sub",N($R92)=0),"Subactividad sin macroactividad arriba"&amp;" · ","")&amp;IF($D92="","Sin responsable"&amp;" · ","")&amp;IF($E92="","Sin fecha de inicio"&amp;" · ","")&amp;IF($F92="","Sin fecha límite"&amp;" · ","")&amp;IF(OR(AND($E92&lt;&gt;"",NOT(ISNUMBER($E92))),AND($F92&lt;&gt;"",NOT(ISNUMBER($F92)))),"Fecha no válida"&amp;" · ","")&amp;IF(AND(ISNUMBER($E92),ISNUMBER($F92),$E92&gt;$F92),"Inicio posterior a fecha límite"&amp;" · ","")&amp;IF(AND($S92="Macro",$G92=""),"Peso vacío"&amp;" · ","")&amp;IF(AND($S92="Macro",$G92&lt;&gt;"",OR(NOT(ISNUMBER($G92)),$G92&lt;=0,$G92&gt;1)),"Peso fuera de rango"&amp;" · ","")&amp;IF(AND($S92="Sub",$G92&lt;&gt;""),"Las subactividades no llevan peso"&amp;" · ","")&amp;IF(AND($S92="Macro",ABS(SUMIFS($G$5:$G$1000,$P$5:$P$1000,$P92,$S$5:$S$1000,"Macro")-1)&gt;0.0001),"Pesos del mes suman "&amp;TEXT(SUMIFS($G$5:$G$1000,$P$5:$P$1000,$P92,$S$5:$S$1000,"Macro"),"0%")&amp;" · ","")&amp;IF(AND(N($T92)&gt;0,COUNT($H92:$K92)&gt;0),"Con subactividades: deje vacías las semanas (se calculan solas)"&amp;" · ","")&amp;IF((COUNTIF($H92:$K92,"&gt;1")+COUNTIF($H92:$K92,"&lt;0")+COUNTA($H92:$K92)-COUNT($H92:$K92))&gt;0,"Avance fuera de rango 0-100%"&amp;" · ","")&amp;IF(OR(AND($I92&lt;&gt;"",$I92&lt;$H92),AND($J92&lt;&gt;"",$J92&lt;MAX($H92:$I92)),AND($K92&lt;&gt;"",$K92&lt;MAX($H92:$J92))),"Avance semanal decreciente"&amp;" · ","")&amp;IF(AND(ISNUMBER($F92),$F92&lt;FechaRef,N($L92)&lt;1),"Vencida"&amp;" · ","")&amp;IF(AND(ObsObligatoria="Sí",ISNUMBER($F92),$F92&lt;FechaRef,N($L92)&lt;1,$N92=""),"Vencida sin observación"&amp;" · ",""))="","✔ OK","⚠ "&amp;LEFT(IF(AND($S92="Macro",$B92=""),"Macroactividad vacía"&amp;" · ","")&amp;IF(AND($B92&lt;&gt;"",$C92&lt;&gt;""),"Escriba la subactividad en otra fila, debajo de su macroactividad"&amp;" · ","")&amp;IF(AND($S92="Sub",N($R92)=0),"Subactividad sin macroactividad arriba"&amp;" · ","")&amp;IF($D92="","Sin responsable"&amp;" · ","")&amp;IF($E92="","Sin fecha de inicio"&amp;" · ","")&amp;IF($F92="","Sin fecha límite"&amp;" · ","")&amp;IF(OR(AND($E92&lt;&gt;"",NOT(ISNUMBER($E92))),AND($F92&lt;&gt;"",NOT(ISNUMBER($F92)))),"Fecha no válida"&amp;" · ","")&amp;IF(AND(ISNUMBER($E92),ISNUMBER($F92),$E92&gt;$F92),"Inicio posterior a fecha límite"&amp;" · ","")&amp;IF(AND($S92="Macro",$G92=""),"Peso vacío"&amp;" · ","")&amp;IF(AND($S92="Macro",$G92&lt;&gt;"",OR(NOT(ISNUMBER($G92)),$G92&lt;=0,$G92&gt;1)),"Peso fuera de rango"&amp;" · ","")&amp;IF(AND($S92="Sub",$G92&lt;&gt;""),"Las subactividades no llevan peso"&amp;" · ","")&amp;IF(AND($S92="Macro",ABS(SUMIFS($G$5:$G$1000,$P$5:$P$1000,$P92,$S$5:$S$1000,"Macro")-1)&gt;0.0001),"Pesos del mes suman "&amp;TEXT(SUMIFS($G$5:$G$1000,$P$5:$P$1000,$P92,$S$5:$S$1000,"Macro"),"0%")&amp;" · ","")&amp;IF(AND(N($T92)&gt;0,COUNT($H92:$K92)&gt;0),"Con subactividades: deje vacías las semanas (se calculan solas)"&amp;" · ","")&amp;IF((COUNTIF($H92:$K92,"&gt;1")+COUNTIF($H92:$K92,"&lt;0")+COUNTA($H92:$K92)-COUNT($H92:$K92))&gt;0,"Avance fuera de rango 0-100%"&amp;" · ","")&amp;IF(OR(AND($I92&lt;&gt;"",$I92&lt;$H92),AND($J92&lt;&gt;"",$J92&lt;MAX($H92:$I92)),AND($K92&lt;&gt;"",$K92&lt;MAX($H92:$J92))),"Avance semanal decreciente"&amp;" · ","")&amp;IF(AND(ISNUMBER($F92),$F92&lt;FechaRef,N($L92)&lt;1),"Vencida"&amp;" · ","")&amp;IF(AND(ObsObligatoria="Sí",ISNUMBER($F92),$F92&lt;FechaRef,N($L92)&lt;1,$N92=""),"Vencida sin observación"&amp;" · ",""),LEN(IF(AND($S92="Macro",$B92=""),"Macroactividad vacía"&amp;" · ","")&amp;IF(AND($B92&lt;&gt;"",$C92&lt;&gt;""),"Escriba la subactividad en otra fila, debajo de su macroactividad"&amp;" · ","")&amp;IF(AND($S92="Sub",N($R92)=0),"Subactividad sin macroactividad arriba"&amp;" · ","")&amp;IF($D92="","Sin responsable"&amp;" · ","")&amp;IF($E92="","Sin fecha de inicio"&amp;" · ","")&amp;IF($F92="","Sin fecha límite"&amp;" · ","")&amp;IF(OR(AND($E92&lt;&gt;"",NOT(ISNUMBER($E92))),AND($F92&lt;&gt;"",NOT(ISNUMBER($F92)))),"Fecha no válida"&amp;" · ","")&amp;IF(AND(ISNUMBER($E92),ISNUMBER($F92),$E92&gt;$F92),"Inicio posterior a fecha límite"&amp;" · ","")&amp;IF(AND($S92="Macro",$G92=""),"Peso vacío"&amp;" · ","")&amp;IF(AND($S92="Macro",$G92&lt;&gt;"",OR(NOT(ISNUMBER($G92)),$G92&lt;=0,$G92&gt;1)),"Peso fuera de rango"&amp;" · ","")&amp;IF(AND($S92="Sub",$G92&lt;&gt;""),"Las subactividades no llevan peso"&amp;" · ","")&amp;IF(AND($S92="Macro",ABS(SUMIFS($G$5:$G$1000,$P$5:$P$1000,$P92,$S$5:$S$1000,"Macro")-1)&gt;0.0001),"Pesos del mes suman "&amp;TEXT(SUMIFS($G$5:$G$1000,$P$5:$P$1000,$P92,$S$5:$S$1000,"Macro"),"0%")&amp;" · ","")&amp;IF(AND(N($T92)&gt;0,COUNT($H92:$K92)&gt;0),"Con subactividades: deje vacías las semanas (se calculan solas)"&amp;" · ","")&amp;IF((COUNTIF($H92:$K92,"&gt;1")+COUNTIF($H92:$K92,"&lt;0")+COUNTA($H92:$K92)-COUNT($H92:$K92))&gt;0,"Avance fuera de rango 0-100%"&amp;" · ","")&amp;IF(OR(AND($I92&lt;&gt;"",$I92&lt;$H92),AND($J92&lt;&gt;"",$J92&lt;MAX($H92:$I92)),AND($K92&lt;&gt;"",$K92&lt;MAX($H92:$J92))),"Avance semanal decreciente"&amp;" · ","")&amp;IF(AND(ISNUMBER($F92),$F92&lt;FechaRef,N($L92)&lt;1),"Vencida"&amp;" · ","")&amp;IF(AND(ObsObligatoria="Sí",ISNUMBER($F92),$F92&lt;FechaRef,N($L92)&lt;1,$N92=""),"Vencida sin observación"&amp;" · ",""))-3)))</f>
        <v/>
      </c>
      <c r="P92" s="69">
        <f>IF(NOT((COUNTA($B92:$K92)+COUNTA($N92))&gt;0),"",IF(AND($S92="Sub",N($R92)&gt;0),IF(ISNUMBER(INDEX($E$5:$E$1000,$R92-4)),DATE(YEAR(INDEX($E$5:$E$1000,$R92-4)),MONTH(INDEX($E$5:$E$1000,$R92-4)),1),IF(ISNUMBER(INDEX($F$5:$F$1000,$R92-4)),DATE(YEAR(INDEX($F$5:$F$1000,$R92-4)),MONTH(INDEX($F$5:$F$1000,$R92-4)),1),MesCiclo)),IF(ISNUMBER($E92),DATE(YEAR($E92),MONTH($E92),1),IF(ISNUMBER($F92),DATE(YEAR($F92),MONTH($F92),1),MesCiclo))))</f>
        <v/>
      </c>
      <c r="Q92" s="70">
        <f>IF(OR($P92="",$P92&lt;&gt;MesCiclo),"",COUNTIF($P$5:$P92,MesCiclo))</f>
        <v/>
      </c>
      <c r="R92" s="70">
        <f>IF($S92="","",IF($S92="Macro",ROW(),IFERROR(LOOKUP(2,1/($S$5:$S92="Macro"),ROW($S$5:$S92)),0)))</f>
        <v/>
      </c>
      <c r="S92" s="70">
        <f>IF(NOT((COUNTA($B92:$K92)+COUNTA($N92))&gt;0),"",IF($B92&lt;&gt;"","Macro",IF($C92&lt;&gt;"","Sub","Macro")))</f>
        <v/>
      </c>
      <c r="T92" s="70">
        <f>IF($S92="Macro",COUNTIFS($R$5:$R$1000,ROW(),$S$5:$S$1000,"Sub"),"")</f>
        <v/>
      </c>
      <c r="U92" s="70">
        <f>IF($S92="","",IF(ISNUMBER($H92),$H92,0))</f>
        <v/>
      </c>
      <c r="V92" s="70">
        <f>IF($S92="","",IF(ISNUMBER($I92),$I92,$U92))</f>
        <v/>
      </c>
      <c r="W92" s="70">
        <f>IF($S92="","",IF(ISNUMBER($J92),$J92,$V92))</f>
        <v/>
      </c>
      <c r="X92" s="70">
        <f>IF($S92="","",IF(ISNUMBER($K92),$K92,$W92))</f>
        <v/>
      </c>
      <c r="Y92" s="70">
        <f>IF($S92="","",IF(N($T92)&gt;0,AVERAGEIFS($U$5:$U$1000,$R$5:$R$1000,ROW(),$S$5:$S$1000,"Sub"),$U92))</f>
        <v/>
      </c>
      <c r="Z92" s="70">
        <f>IF($S92="","",IF(N($T92)&gt;0,AVERAGEIFS($V$5:$V$1000,$R$5:$R$1000,ROW(),$S$5:$S$1000,"Sub"),$V92))</f>
        <v/>
      </c>
      <c r="AA92" s="70">
        <f>IF($S92="","",IF(N($T92)&gt;0,AVERAGEIFS($W$5:$W$1000,$R$5:$R$1000,ROW(),$S$5:$S$1000,"Sub"),$W92))</f>
        <v/>
      </c>
      <c r="AB92" s="70">
        <f>IF($S92="","",IF(N($T92)&gt;0,AVERAGEIFS($X$5:$X$1000,$R$5:$R$1000,ROW(),$S$5:$S$1000,"Sub"),$X92))</f>
        <v/>
      </c>
    </row>
    <row r="93">
      <c r="A93" s="61">
        <f>IF(NOT((COUNTA($B93:$K93)+COUNTA($N93))&gt;0),"",IF($S93="Macro",COUNTIFS($S$5:$S93,"Macro",$P$5:$P93,$P93),IF(N($R93)=0,"?",COUNTIFS(INDEX($S$5:$S$1000,1):INDEX($S$5:$S$1000,$R93-4),"Macro",INDEX($P$5:$P$1000,1):INDEX($P$5:$P$1000,$R93-4),INDEX($P$5:$P$1000,$R93-4))&amp;"."&amp;COUNTIFS($R$5:$R93,$R93,$S$5:$S93,"Sub"))))</f>
        <v/>
      </c>
      <c r="B93" s="62" t="n"/>
      <c r="C93" s="63" t="n"/>
      <c r="D93" s="62" t="n"/>
      <c r="E93" s="64" t="n"/>
      <c r="F93" s="64" t="n"/>
      <c r="G93" s="65" t="n"/>
      <c r="H93" s="66" t="n"/>
      <c r="I93" s="66" t="n"/>
      <c r="J93" s="66" t="n"/>
      <c r="K93" s="66" t="n"/>
      <c r="L93" s="67">
        <f>IF(NOT((COUNTA($B93:$K93)+COUNTA($N93))&gt;0),"",IF(N($T93)&gt;0,$AB93,IFERROR(LOOKUP(2,1/(H93:K93&lt;&gt;""),H93:K93),0)))</f>
        <v/>
      </c>
      <c r="M93" s="61">
        <f>IF(L93="","",IF(L93&gt;=1,"Completado",IF(L93&gt;0,"En curso","Pendiente")))</f>
        <v/>
      </c>
      <c r="N93" s="62" t="n"/>
      <c r="O93" s="68">
        <f>IF(NOT((COUNTA($B93:$K93)+COUNTA($N93))&gt;0),"",IF((IF(AND($S93="Macro",$B93=""),"Macroactividad vacía"&amp;" · ","")&amp;IF(AND($B93&lt;&gt;"",$C93&lt;&gt;""),"Escriba la subactividad en otra fila, debajo de su macroactividad"&amp;" · ","")&amp;IF(AND($S93="Sub",N($R93)=0),"Subactividad sin macroactividad arriba"&amp;" · ","")&amp;IF($D93="","Sin responsable"&amp;" · ","")&amp;IF($E93="","Sin fecha de inicio"&amp;" · ","")&amp;IF($F93="","Sin fecha límite"&amp;" · ","")&amp;IF(OR(AND($E93&lt;&gt;"",NOT(ISNUMBER($E93))),AND($F93&lt;&gt;"",NOT(ISNUMBER($F93)))),"Fecha no válida"&amp;" · ","")&amp;IF(AND(ISNUMBER($E93),ISNUMBER($F93),$E93&gt;$F93),"Inicio posterior a fecha límite"&amp;" · ","")&amp;IF(AND($S93="Macro",$G93=""),"Peso vacío"&amp;" · ","")&amp;IF(AND($S93="Macro",$G93&lt;&gt;"",OR(NOT(ISNUMBER($G93)),$G93&lt;=0,$G93&gt;1)),"Peso fuera de rango"&amp;" · ","")&amp;IF(AND($S93="Sub",$G93&lt;&gt;""),"Las subactividades no llevan peso"&amp;" · ","")&amp;IF(AND($S93="Macro",ABS(SUMIFS($G$5:$G$1000,$P$5:$P$1000,$P93,$S$5:$S$1000,"Macro")-1)&gt;0.0001),"Pesos del mes suman "&amp;TEXT(SUMIFS($G$5:$G$1000,$P$5:$P$1000,$P93,$S$5:$S$1000,"Macro"),"0%")&amp;" · ","")&amp;IF(AND(N($T93)&gt;0,COUNT($H93:$K93)&gt;0),"Con subactividades: deje vacías las semanas (se calculan solas)"&amp;" · ","")&amp;IF((COUNTIF($H93:$K93,"&gt;1")+COUNTIF($H93:$K93,"&lt;0")+COUNTA($H93:$K93)-COUNT($H93:$K93))&gt;0,"Avance fuera de rango 0-100%"&amp;" · ","")&amp;IF(OR(AND($I93&lt;&gt;"",$I93&lt;$H93),AND($J93&lt;&gt;"",$J93&lt;MAX($H93:$I93)),AND($K93&lt;&gt;"",$K93&lt;MAX($H93:$J93))),"Avance semanal decreciente"&amp;" · ","")&amp;IF(AND(ISNUMBER($F93),$F93&lt;FechaRef,N($L93)&lt;1),"Vencida"&amp;" · ","")&amp;IF(AND(ObsObligatoria="Sí",ISNUMBER($F93),$F93&lt;FechaRef,N($L93)&lt;1,$N93=""),"Vencida sin observación"&amp;" · ",""))="","✔ OK","⚠ "&amp;LEFT(IF(AND($S93="Macro",$B93=""),"Macroactividad vacía"&amp;" · ","")&amp;IF(AND($B93&lt;&gt;"",$C93&lt;&gt;""),"Escriba la subactividad en otra fila, debajo de su macroactividad"&amp;" · ","")&amp;IF(AND($S93="Sub",N($R93)=0),"Subactividad sin macroactividad arriba"&amp;" · ","")&amp;IF($D93="","Sin responsable"&amp;" · ","")&amp;IF($E93="","Sin fecha de inicio"&amp;" · ","")&amp;IF($F93="","Sin fecha límite"&amp;" · ","")&amp;IF(OR(AND($E93&lt;&gt;"",NOT(ISNUMBER($E93))),AND($F93&lt;&gt;"",NOT(ISNUMBER($F93)))),"Fecha no válida"&amp;" · ","")&amp;IF(AND(ISNUMBER($E93),ISNUMBER($F93),$E93&gt;$F93),"Inicio posterior a fecha límite"&amp;" · ","")&amp;IF(AND($S93="Macro",$G93=""),"Peso vacío"&amp;" · ","")&amp;IF(AND($S93="Macro",$G93&lt;&gt;"",OR(NOT(ISNUMBER($G93)),$G93&lt;=0,$G93&gt;1)),"Peso fuera de rango"&amp;" · ","")&amp;IF(AND($S93="Sub",$G93&lt;&gt;""),"Las subactividades no llevan peso"&amp;" · ","")&amp;IF(AND($S93="Macro",ABS(SUMIFS($G$5:$G$1000,$P$5:$P$1000,$P93,$S$5:$S$1000,"Macro")-1)&gt;0.0001),"Pesos del mes suman "&amp;TEXT(SUMIFS($G$5:$G$1000,$P$5:$P$1000,$P93,$S$5:$S$1000,"Macro"),"0%")&amp;" · ","")&amp;IF(AND(N($T93)&gt;0,COUNT($H93:$K93)&gt;0),"Con subactividades: deje vacías las semanas (se calculan solas)"&amp;" · ","")&amp;IF((COUNTIF($H93:$K93,"&gt;1")+COUNTIF($H93:$K93,"&lt;0")+COUNTA($H93:$K93)-COUNT($H93:$K93))&gt;0,"Avance fuera de rango 0-100%"&amp;" · ","")&amp;IF(OR(AND($I93&lt;&gt;"",$I93&lt;$H93),AND($J93&lt;&gt;"",$J93&lt;MAX($H93:$I93)),AND($K93&lt;&gt;"",$K93&lt;MAX($H93:$J93))),"Avance semanal decreciente"&amp;" · ","")&amp;IF(AND(ISNUMBER($F93),$F93&lt;FechaRef,N($L93)&lt;1),"Vencida"&amp;" · ","")&amp;IF(AND(ObsObligatoria="Sí",ISNUMBER($F93),$F93&lt;FechaRef,N($L93)&lt;1,$N93=""),"Vencida sin observación"&amp;" · ",""),LEN(IF(AND($S93="Macro",$B93=""),"Macroactividad vacía"&amp;" · ","")&amp;IF(AND($B93&lt;&gt;"",$C93&lt;&gt;""),"Escriba la subactividad en otra fila, debajo de su macroactividad"&amp;" · ","")&amp;IF(AND($S93="Sub",N($R93)=0),"Subactividad sin macroactividad arriba"&amp;" · ","")&amp;IF($D93="","Sin responsable"&amp;" · ","")&amp;IF($E93="","Sin fecha de inicio"&amp;" · ","")&amp;IF($F93="","Sin fecha límite"&amp;" · ","")&amp;IF(OR(AND($E93&lt;&gt;"",NOT(ISNUMBER($E93))),AND($F93&lt;&gt;"",NOT(ISNUMBER($F93)))),"Fecha no válida"&amp;" · ","")&amp;IF(AND(ISNUMBER($E93),ISNUMBER($F93),$E93&gt;$F93),"Inicio posterior a fecha límite"&amp;" · ","")&amp;IF(AND($S93="Macro",$G93=""),"Peso vacío"&amp;" · ","")&amp;IF(AND($S93="Macro",$G93&lt;&gt;"",OR(NOT(ISNUMBER($G93)),$G93&lt;=0,$G93&gt;1)),"Peso fuera de rango"&amp;" · ","")&amp;IF(AND($S93="Sub",$G93&lt;&gt;""),"Las subactividades no llevan peso"&amp;" · ","")&amp;IF(AND($S93="Macro",ABS(SUMIFS($G$5:$G$1000,$P$5:$P$1000,$P93,$S$5:$S$1000,"Macro")-1)&gt;0.0001),"Pesos del mes suman "&amp;TEXT(SUMIFS($G$5:$G$1000,$P$5:$P$1000,$P93,$S$5:$S$1000,"Macro"),"0%")&amp;" · ","")&amp;IF(AND(N($T93)&gt;0,COUNT($H93:$K93)&gt;0),"Con subactividades: deje vacías las semanas (se calculan solas)"&amp;" · ","")&amp;IF((COUNTIF($H93:$K93,"&gt;1")+COUNTIF($H93:$K93,"&lt;0")+COUNTA($H93:$K93)-COUNT($H93:$K93))&gt;0,"Avance fuera de rango 0-100%"&amp;" · ","")&amp;IF(OR(AND($I93&lt;&gt;"",$I93&lt;$H93),AND($J93&lt;&gt;"",$J93&lt;MAX($H93:$I93)),AND($K93&lt;&gt;"",$K93&lt;MAX($H93:$J93))),"Avance semanal decreciente"&amp;" · ","")&amp;IF(AND(ISNUMBER($F93),$F93&lt;FechaRef,N($L93)&lt;1),"Vencida"&amp;" · ","")&amp;IF(AND(ObsObligatoria="Sí",ISNUMBER($F93),$F93&lt;FechaRef,N($L93)&lt;1,$N93=""),"Vencida sin observación"&amp;" · ",""))-3)))</f>
        <v/>
      </c>
      <c r="P93" s="69">
        <f>IF(NOT((COUNTA($B93:$K93)+COUNTA($N93))&gt;0),"",IF(AND($S93="Sub",N($R93)&gt;0),IF(ISNUMBER(INDEX($E$5:$E$1000,$R93-4)),DATE(YEAR(INDEX($E$5:$E$1000,$R93-4)),MONTH(INDEX($E$5:$E$1000,$R93-4)),1),IF(ISNUMBER(INDEX($F$5:$F$1000,$R93-4)),DATE(YEAR(INDEX($F$5:$F$1000,$R93-4)),MONTH(INDEX($F$5:$F$1000,$R93-4)),1),MesCiclo)),IF(ISNUMBER($E93),DATE(YEAR($E93),MONTH($E93),1),IF(ISNUMBER($F93),DATE(YEAR($F93),MONTH($F93),1),MesCiclo))))</f>
        <v/>
      </c>
      <c r="Q93" s="70">
        <f>IF(OR($P93="",$P93&lt;&gt;MesCiclo),"",COUNTIF($P$5:$P93,MesCiclo))</f>
        <v/>
      </c>
      <c r="R93" s="70">
        <f>IF($S93="","",IF($S93="Macro",ROW(),IFERROR(LOOKUP(2,1/($S$5:$S93="Macro"),ROW($S$5:$S93)),0)))</f>
        <v/>
      </c>
      <c r="S93" s="70">
        <f>IF(NOT((COUNTA($B93:$K93)+COUNTA($N93))&gt;0),"",IF($B93&lt;&gt;"","Macro",IF($C93&lt;&gt;"","Sub","Macro")))</f>
        <v/>
      </c>
      <c r="T93" s="70">
        <f>IF($S93="Macro",COUNTIFS($R$5:$R$1000,ROW(),$S$5:$S$1000,"Sub"),"")</f>
        <v/>
      </c>
      <c r="U93" s="70">
        <f>IF($S93="","",IF(ISNUMBER($H93),$H93,0))</f>
        <v/>
      </c>
      <c r="V93" s="70">
        <f>IF($S93="","",IF(ISNUMBER($I93),$I93,$U93))</f>
        <v/>
      </c>
      <c r="W93" s="70">
        <f>IF($S93="","",IF(ISNUMBER($J93),$J93,$V93))</f>
        <v/>
      </c>
      <c r="X93" s="70">
        <f>IF($S93="","",IF(ISNUMBER($K93),$K93,$W93))</f>
        <v/>
      </c>
      <c r="Y93" s="70">
        <f>IF($S93="","",IF(N($T93)&gt;0,AVERAGEIFS($U$5:$U$1000,$R$5:$R$1000,ROW(),$S$5:$S$1000,"Sub"),$U93))</f>
        <v/>
      </c>
      <c r="Z93" s="70">
        <f>IF($S93="","",IF(N($T93)&gt;0,AVERAGEIFS($V$5:$V$1000,$R$5:$R$1000,ROW(),$S$5:$S$1000,"Sub"),$V93))</f>
        <v/>
      </c>
      <c r="AA93" s="70">
        <f>IF($S93="","",IF(N($T93)&gt;0,AVERAGEIFS($W$5:$W$1000,$R$5:$R$1000,ROW(),$S$5:$S$1000,"Sub"),$W93))</f>
        <v/>
      </c>
      <c r="AB93" s="70">
        <f>IF($S93="","",IF(N($T93)&gt;0,AVERAGEIFS($X$5:$X$1000,$R$5:$R$1000,ROW(),$S$5:$S$1000,"Sub"),$X93))</f>
        <v/>
      </c>
    </row>
    <row r="94">
      <c r="A94" s="61">
        <f>IF(NOT((COUNTA($B94:$K94)+COUNTA($N94))&gt;0),"",IF($S94="Macro",COUNTIFS($S$5:$S94,"Macro",$P$5:$P94,$P94),IF(N($R94)=0,"?",COUNTIFS(INDEX($S$5:$S$1000,1):INDEX($S$5:$S$1000,$R94-4),"Macro",INDEX($P$5:$P$1000,1):INDEX($P$5:$P$1000,$R94-4),INDEX($P$5:$P$1000,$R94-4))&amp;"."&amp;COUNTIFS($R$5:$R94,$R94,$S$5:$S94,"Sub"))))</f>
        <v/>
      </c>
      <c r="B94" s="62" t="n"/>
      <c r="C94" s="63" t="n"/>
      <c r="D94" s="62" t="n"/>
      <c r="E94" s="64" t="n"/>
      <c r="F94" s="64" t="n"/>
      <c r="G94" s="65" t="n"/>
      <c r="H94" s="66" t="n"/>
      <c r="I94" s="66" t="n"/>
      <c r="J94" s="66" t="n"/>
      <c r="K94" s="66" t="n"/>
      <c r="L94" s="67">
        <f>IF(NOT((COUNTA($B94:$K94)+COUNTA($N94))&gt;0),"",IF(N($T94)&gt;0,$AB94,IFERROR(LOOKUP(2,1/(H94:K94&lt;&gt;""),H94:K94),0)))</f>
        <v/>
      </c>
      <c r="M94" s="61">
        <f>IF(L94="","",IF(L94&gt;=1,"Completado",IF(L94&gt;0,"En curso","Pendiente")))</f>
        <v/>
      </c>
      <c r="N94" s="62" t="n"/>
      <c r="O94" s="68">
        <f>IF(NOT((COUNTA($B94:$K94)+COUNTA($N94))&gt;0),"",IF((IF(AND($S94="Macro",$B94=""),"Macroactividad vacía"&amp;" · ","")&amp;IF(AND($B94&lt;&gt;"",$C94&lt;&gt;""),"Escriba la subactividad en otra fila, debajo de su macroactividad"&amp;" · ","")&amp;IF(AND($S94="Sub",N($R94)=0),"Subactividad sin macroactividad arriba"&amp;" · ","")&amp;IF($D94="","Sin responsable"&amp;" · ","")&amp;IF($E94="","Sin fecha de inicio"&amp;" · ","")&amp;IF($F94="","Sin fecha límite"&amp;" · ","")&amp;IF(OR(AND($E94&lt;&gt;"",NOT(ISNUMBER($E94))),AND($F94&lt;&gt;"",NOT(ISNUMBER($F94)))),"Fecha no válida"&amp;" · ","")&amp;IF(AND(ISNUMBER($E94),ISNUMBER($F94),$E94&gt;$F94),"Inicio posterior a fecha límite"&amp;" · ","")&amp;IF(AND($S94="Macro",$G94=""),"Peso vacío"&amp;" · ","")&amp;IF(AND($S94="Macro",$G94&lt;&gt;"",OR(NOT(ISNUMBER($G94)),$G94&lt;=0,$G94&gt;1)),"Peso fuera de rango"&amp;" · ","")&amp;IF(AND($S94="Sub",$G94&lt;&gt;""),"Las subactividades no llevan peso"&amp;" · ","")&amp;IF(AND($S94="Macro",ABS(SUMIFS($G$5:$G$1000,$P$5:$P$1000,$P94,$S$5:$S$1000,"Macro")-1)&gt;0.0001),"Pesos del mes suman "&amp;TEXT(SUMIFS($G$5:$G$1000,$P$5:$P$1000,$P94,$S$5:$S$1000,"Macro"),"0%")&amp;" · ","")&amp;IF(AND(N($T94)&gt;0,COUNT($H94:$K94)&gt;0),"Con subactividades: deje vacías las semanas (se calculan solas)"&amp;" · ","")&amp;IF((COUNTIF($H94:$K94,"&gt;1")+COUNTIF($H94:$K94,"&lt;0")+COUNTA($H94:$K94)-COUNT($H94:$K94))&gt;0,"Avance fuera de rango 0-100%"&amp;" · ","")&amp;IF(OR(AND($I94&lt;&gt;"",$I94&lt;$H94),AND($J94&lt;&gt;"",$J94&lt;MAX($H94:$I94)),AND($K94&lt;&gt;"",$K94&lt;MAX($H94:$J94))),"Avance semanal decreciente"&amp;" · ","")&amp;IF(AND(ISNUMBER($F94),$F94&lt;FechaRef,N($L94)&lt;1),"Vencida"&amp;" · ","")&amp;IF(AND(ObsObligatoria="Sí",ISNUMBER($F94),$F94&lt;FechaRef,N($L94)&lt;1,$N94=""),"Vencida sin observación"&amp;" · ",""))="","✔ OK","⚠ "&amp;LEFT(IF(AND($S94="Macro",$B94=""),"Macroactividad vacía"&amp;" · ","")&amp;IF(AND($B94&lt;&gt;"",$C94&lt;&gt;""),"Escriba la subactividad en otra fila, debajo de su macroactividad"&amp;" · ","")&amp;IF(AND($S94="Sub",N($R94)=0),"Subactividad sin macroactividad arriba"&amp;" · ","")&amp;IF($D94="","Sin responsable"&amp;" · ","")&amp;IF($E94="","Sin fecha de inicio"&amp;" · ","")&amp;IF($F94="","Sin fecha límite"&amp;" · ","")&amp;IF(OR(AND($E94&lt;&gt;"",NOT(ISNUMBER($E94))),AND($F94&lt;&gt;"",NOT(ISNUMBER($F94)))),"Fecha no válida"&amp;" · ","")&amp;IF(AND(ISNUMBER($E94),ISNUMBER($F94),$E94&gt;$F94),"Inicio posterior a fecha límite"&amp;" · ","")&amp;IF(AND($S94="Macro",$G94=""),"Peso vacío"&amp;" · ","")&amp;IF(AND($S94="Macro",$G94&lt;&gt;"",OR(NOT(ISNUMBER($G94)),$G94&lt;=0,$G94&gt;1)),"Peso fuera de rango"&amp;" · ","")&amp;IF(AND($S94="Sub",$G94&lt;&gt;""),"Las subactividades no llevan peso"&amp;" · ","")&amp;IF(AND($S94="Macro",ABS(SUMIFS($G$5:$G$1000,$P$5:$P$1000,$P94,$S$5:$S$1000,"Macro")-1)&gt;0.0001),"Pesos del mes suman "&amp;TEXT(SUMIFS($G$5:$G$1000,$P$5:$P$1000,$P94,$S$5:$S$1000,"Macro"),"0%")&amp;" · ","")&amp;IF(AND(N($T94)&gt;0,COUNT($H94:$K94)&gt;0),"Con subactividades: deje vacías las semanas (se calculan solas)"&amp;" · ","")&amp;IF((COUNTIF($H94:$K94,"&gt;1")+COUNTIF($H94:$K94,"&lt;0")+COUNTA($H94:$K94)-COUNT($H94:$K94))&gt;0,"Avance fuera de rango 0-100%"&amp;" · ","")&amp;IF(OR(AND($I94&lt;&gt;"",$I94&lt;$H94),AND($J94&lt;&gt;"",$J94&lt;MAX($H94:$I94)),AND($K94&lt;&gt;"",$K94&lt;MAX($H94:$J94))),"Avance semanal decreciente"&amp;" · ","")&amp;IF(AND(ISNUMBER($F94),$F94&lt;FechaRef,N($L94)&lt;1),"Vencida"&amp;" · ","")&amp;IF(AND(ObsObligatoria="Sí",ISNUMBER($F94),$F94&lt;FechaRef,N($L94)&lt;1,$N94=""),"Vencida sin observación"&amp;" · ",""),LEN(IF(AND($S94="Macro",$B94=""),"Macroactividad vacía"&amp;" · ","")&amp;IF(AND($B94&lt;&gt;"",$C94&lt;&gt;""),"Escriba la subactividad en otra fila, debajo de su macroactividad"&amp;" · ","")&amp;IF(AND($S94="Sub",N($R94)=0),"Subactividad sin macroactividad arriba"&amp;" · ","")&amp;IF($D94="","Sin responsable"&amp;" · ","")&amp;IF($E94="","Sin fecha de inicio"&amp;" · ","")&amp;IF($F94="","Sin fecha límite"&amp;" · ","")&amp;IF(OR(AND($E94&lt;&gt;"",NOT(ISNUMBER($E94))),AND($F94&lt;&gt;"",NOT(ISNUMBER($F94)))),"Fecha no válida"&amp;" · ","")&amp;IF(AND(ISNUMBER($E94),ISNUMBER($F94),$E94&gt;$F94),"Inicio posterior a fecha límite"&amp;" · ","")&amp;IF(AND($S94="Macro",$G94=""),"Peso vacío"&amp;" · ","")&amp;IF(AND($S94="Macro",$G94&lt;&gt;"",OR(NOT(ISNUMBER($G94)),$G94&lt;=0,$G94&gt;1)),"Peso fuera de rango"&amp;" · ","")&amp;IF(AND($S94="Sub",$G94&lt;&gt;""),"Las subactividades no llevan peso"&amp;" · ","")&amp;IF(AND($S94="Macro",ABS(SUMIFS($G$5:$G$1000,$P$5:$P$1000,$P94,$S$5:$S$1000,"Macro")-1)&gt;0.0001),"Pesos del mes suman "&amp;TEXT(SUMIFS($G$5:$G$1000,$P$5:$P$1000,$P94,$S$5:$S$1000,"Macro"),"0%")&amp;" · ","")&amp;IF(AND(N($T94)&gt;0,COUNT($H94:$K94)&gt;0),"Con subactividades: deje vacías las semanas (se calculan solas)"&amp;" · ","")&amp;IF((COUNTIF($H94:$K94,"&gt;1")+COUNTIF($H94:$K94,"&lt;0")+COUNTA($H94:$K94)-COUNT($H94:$K94))&gt;0,"Avance fuera de rango 0-100%"&amp;" · ","")&amp;IF(OR(AND($I94&lt;&gt;"",$I94&lt;$H94),AND($J94&lt;&gt;"",$J94&lt;MAX($H94:$I94)),AND($K94&lt;&gt;"",$K94&lt;MAX($H94:$J94))),"Avance semanal decreciente"&amp;" · ","")&amp;IF(AND(ISNUMBER($F94),$F94&lt;FechaRef,N($L94)&lt;1),"Vencida"&amp;" · ","")&amp;IF(AND(ObsObligatoria="Sí",ISNUMBER($F94),$F94&lt;FechaRef,N($L94)&lt;1,$N94=""),"Vencida sin observación"&amp;" · ",""))-3)))</f>
        <v/>
      </c>
      <c r="P94" s="69">
        <f>IF(NOT((COUNTA($B94:$K94)+COUNTA($N94))&gt;0),"",IF(AND($S94="Sub",N($R94)&gt;0),IF(ISNUMBER(INDEX($E$5:$E$1000,$R94-4)),DATE(YEAR(INDEX($E$5:$E$1000,$R94-4)),MONTH(INDEX($E$5:$E$1000,$R94-4)),1),IF(ISNUMBER(INDEX($F$5:$F$1000,$R94-4)),DATE(YEAR(INDEX($F$5:$F$1000,$R94-4)),MONTH(INDEX($F$5:$F$1000,$R94-4)),1),MesCiclo)),IF(ISNUMBER($E94),DATE(YEAR($E94),MONTH($E94),1),IF(ISNUMBER($F94),DATE(YEAR($F94),MONTH($F94),1),MesCiclo))))</f>
        <v/>
      </c>
      <c r="Q94" s="70">
        <f>IF(OR($P94="",$P94&lt;&gt;MesCiclo),"",COUNTIF($P$5:$P94,MesCiclo))</f>
        <v/>
      </c>
      <c r="R94" s="70">
        <f>IF($S94="","",IF($S94="Macro",ROW(),IFERROR(LOOKUP(2,1/($S$5:$S94="Macro"),ROW($S$5:$S94)),0)))</f>
        <v/>
      </c>
      <c r="S94" s="70">
        <f>IF(NOT((COUNTA($B94:$K94)+COUNTA($N94))&gt;0),"",IF($B94&lt;&gt;"","Macro",IF($C94&lt;&gt;"","Sub","Macro")))</f>
        <v/>
      </c>
      <c r="T94" s="70">
        <f>IF($S94="Macro",COUNTIFS($R$5:$R$1000,ROW(),$S$5:$S$1000,"Sub"),"")</f>
        <v/>
      </c>
      <c r="U94" s="70">
        <f>IF($S94="","",IF(ISNUMBER($H94),$H94,0))</f>
        <v/>
      </c>
      <c r="V94" s="70">
        <f>IF($S94="","",IF(ISNUMBER($I94),$I94,$U94))</f>
        <v/>
      </c>
      <c r="W94" s="70">
        <f>IF($S94="","",IF(ISNUMBER($J94),$J94,$V94))</f>
        <v/>
      </c>
      <c r="X94" s="70">
        <f>IF($S94="","",IF(ISNUMBER($K94),$K94,$W94))</f>
        <v/>
      </c>
      <c r="Y94" s="70">
        <f>IF($S94="","",IF(N($T94)&gt;0,AVERAGEIFS($U$5:$U$1000,$R$5:$R$1000,ROW(),$S$5:$S$1000,"Sub"),$U94))</f>
        <v/>
      </c>
      <c r="Z94" s="70">
        <f>IF($S94="","",IF(N($T94)&gt;0,AVERAGEIFS($V$5:$V$1000,$R$5:$R$1000,ROW(),$S$5:$S$1000,"Sub"),$V94))</f>
        <v/>
      </c>
      <c r="AA94" s="70">
        <f>IF($S94="","",IF(N($T94)&gt;0,AVERAGEIFS($W$5:$W$1000,$R$5:$R$1000,ROW(),$S$5:$S$1000,"Sub"),$W94))</f>
        <v/>
      </c>
      <c r="AB94" s="70">
        <f>IF($S94="","",IF(N($T94)&gt;0,AVERAGEIFS($X$5:$X$1000,$R$5:$R$1000,ROW(),$S$5:$S$1000,"Sub"),$X94))</f>
        <v/>
      </c>
    </row>
    <row r="95">
      <c r="A95" s="61">
        <f>IF(NOT((COUNTA($B95:$K95)+COUNTA($N95))&gt;0),"",IF($S95="Macro",COUNTIFS($S$5:$S95,"Macro",$P$5:$P95,$P95),IF(N($R95)=0,"?",COUNTIFS(INDEX($S$5:$S$1000,1):INDEX($S$5:$S$1000,$R95-4),"Macro",INDEX($P$5:$P$1000,1):INDEX($P$5:$P$1000,$R95-4),INDEX($P$5:$P$1000,$R95-4))&amp;"."&amp;COUNTIFS($R$5:$R95,$R95,$S$5:$S95,"Sub"))))</f>
        <v/>
      </c>
      <c r="B95" s="62" t="n"/>
      <c r="C95" s="63" t="n"/>
      <c r="D95" s="62" t="n"/>
      <c r="E95" s="64" t="n"/>
      <c r="F95" s="64" t="n"/>
      <c r="G95" s="65" t="n"/>
      <c r="H95" s="66" t="n"/>
      <c r="I95" s="66" t="n"/>
      <c r="J95" s="66" t="n"/>
      <c r="K95" s="66" t="n"/>
      <c r="L95" s="67">
        <f>IF(NOT((COUNTA($B95:$K95)+COUNTA($N95))&gt;0),"",IF(N($T95)&gt;0,$AB95,IFERROR(LOOKUP(2,1/(H95:K95&lt;&gt;""),H95:K95),0)))</f>
        <v/>
      </c>
      <c r="M95" s="61">
        <f>IF(L95="","",IF(L95&gt;=1,"Completado",IF(L95&gt;0,"En curso","Pendiente")))</f>
        <v/>
      </c>
      <c r="N95" s="62" t="n"/>
      <c r="O95" s="68">
        <f>IF(NOT((COUNTA($B95:$K95)+COUNTA($N95))&gt;0),"",IF((IF(AND($S95="Macro",$B95=""),"Macroactividad vacía"&amp;" · ","")&amp;IF(AND($B95&lt;&gt;"",$C95&lt;&gt;""),"Escriba la subactividad en otra fila, debajo de su macroactividad"&amp;" · ","")&amp;IF(AND($S95="Sub",N($R95)=0),"Subactividad sin macroactividad arriba"&amp;" · ","")&amp;IF($D95="","Sin responsable"&amp;" · ","")&amp;IF($E95="","Sin fecha de inicio"&amp;" · ","")&amp;IF($F95="","Sin fecha límite"&amp;" · ","")&amp;IF(OR(AND($E95&lt;&gt;"",NOT(ISNUMBER($E95))),AND($F95&lt;&gt;"",NOT(ISNUMBER($F95)))),"Fecha no válida"&amp;" · ","")&amp;IF(AND(ISNUMBER($E95),ISNUMBER($F95),$E95&gt;$F95),"Inicio posterior a fecha límite"&amp;" · ","")&amp;IF(AND($S95="Macro",$G95=""),"Peso vacío"&amp;" · ","")&amp;IF(AND($S95="Macro",$G95&lt;&gt;"",OR(NOT(ISNUMBER($G95)),$G95&lt;=0,$G95&gt;1)),"Peso fuera de rango"&amp;" · ","")&amp;IF(AND($S95="Sub",$G95&lt;&gt;""),"Las subactividades no llevan peso"&amp;" · ","")&amp;IF(AND($S95="Macro",ABS(SUMIFS($G$5:$G$1000,$P$5:$P$1000,$P95,$S$5:$S$1000,"Macro")-1)&gt;0.0001),"Pesos del mes suman "&amp;TEXT(SUMIFS($G$5:$G$1000,$P$5:$P$1000,$P95,$S$5:$S$1000,"Macro"),"0%")&amp;" · ","")&amp;IF(AND(N($T95)&gt;0,COUNT($H95:$K95)&gt;0),"Con subactividades: deje vacías las semanas (se calculan solas)"&amp;" · ","")&amp;IF((COUNTIF($H95:$K95,"&gt;1")+COUNTIF($H95:$K95,"&lt;0")+COUNTA($H95:$K95)-COUNT($H95:$K95))&gt;0,"Avance fuera de rango 0-100%"&amp;" · ","")&amp;IF(OR(AND($I95&lt;&gt;"",$I95&lt;$H95),AND($J95&lt;&gt;"",$J95&lt;MAX($H95:$I95)),AND($K95&lt;&gt;"",$K95&lt;MAX($H95:$J95))),"Avance semanal decreciente"&amp;" · ","")&amp;IF(AND(ISNUMBER($F95),$F95&lt;FechaRef,N($L95)&lt;1),"Vencida"&amp;" · ","")&amp;IF(AND(ObsObligatoria="Sí",ISNUMBER($F95),$F95&lt;FechaRef,N($L95)&lt;1,$N95=""),"Vencida sin observación"&amp;" · ",""))="","✔ OK","⚠ "&amp;LEFT(IF(AND($S95="Macro",$B95=""),"Macroactividad vacía"&amp;" · ","")&amp;IF(AND($B95&lt;&gt;"",$C95&lt;&gt;""),"Escriba la subactividad en otra fila, debajo de su macroactividad"&amp;" · ","")&amp;IF(AND($S95="Sub",N($R95)=0),"Subactividad sin macroactividad arriba"&amp;" · ","")&amp;IF($D95="","Sin responsable"&amp;" · ","")&amp;IF($E95="","Sin fecha de inicio"&amp;" · ","")&amp;IF($F95="","Sin fecha límite"&amp;" · ","")&amp;IF(OR(AND($E95&lt;&gt;"",NOT(ISNUMBER($E95))),AND($F95&lt;&gt;"",NOT(ISNUMBER($F95)))),"Fecha no válida"&amp;" · ","")&amp;IF(AND(ISNUMBER($E95),ISNUMBER($F95),$E95&gt;$F95),"Inicio posterior a fecha límite"&amp;" · ","")&amp;IF(AND($S95="Macro",$G95=""),"Peso vacío"&amp;" · ","")&amp;IF(AND($S95="Macro",$G95&lt;&gt;"",OR(NOT(ISNUMBER($G95)),$G95&lt;=0,$G95&gt;1)),"Peso fuera de rango"&amp;" · ","")&amp;IF(AND($S95="Sub",$G95&lt;&gt;""),"Las subactividades no llevan peso"&amp;" · ","")&amp;IF(AND($S95="Macro",ABS(SUMIFS($G$5:$G$1000,$P$5:$P$1000,$P95,$S$5:$S$1000,"Macro")-1)&gt;0.0001),"Pesos del mes suman "&amp;TEXT(SUMIFS($G$5:$G$1000,$P$5:$P$1000,$P95,$S$5:$S$1000,"Macro"),"0%")&amp;" · ","")&amp;IF(AND(N($T95)&gt;0,COUNT($H95:$K95)&gt;0),"Con subactividades: deje vacías las semanas (se calculan solas)"&amp;" · ","")&amp;IF((COUNTIF($H95:$K95,"&gt;1")+COUNTIF($H95:$K95,"&lt;0")+COUNTA($H95:$K95)-COUNT($H95:$K95))&gt;0,"Avance fuera de rango 0-100%"&amp;" · ","")&amp;IF(OR(AND($I95&lt;&gt;"",$I95&lt;$H95),AND($J95&lt;&gt;"",$J95&lt;MAX($H95:$I95)),AND($K95&lt;&gt;"",$K95&lt;MAX($H95:$J95))),"Avance semanal decreciente"&amp;" · ","")&amp;IF(AND(ISNUMBER($F95),$F95&lt;FechaRef,N($L95)&lt;1),"Vencida"&amp;" · ","")&amp;IF(AND(ObsObligatoria="Sí",ISNUMBER($F95),$F95&lt;FechaRef,N($L95)&lt;1,$N95=""),"Vencida sin observación"&amp;" · ",""),LEN(IF(AND($S95="Macro",$B95=""),"Macroactividad vacía"&amp;" · ","")&amp;IF(AND($B95&lt;&gt;"",$C95&lt;&gt;""),"Escriba la subactividad en otra fila, debajo de su macroactividad"&amp;" · ","")&amp;IF(AND($S95="Sub",N($R95)=0),"Subactividad sin macroactividad arriba"&amp;" · ","")&amp;IF($D95="","Sin responsable"&amp;" · ","")&amp;IF($E95="","Sin fecha de inicio"&amp;" · ","")&amp;IF($F95="","Sin fecha límite"&amp;" · ","")&amp;IF(OR(AND($E95&lt;&gt;"",NOT(ISNUMBER($E95))),AND($F95&lt;&gt;"",NOT(ISNUMBER($F95)))),"Fecha no válida"&amp;" · ","")&amp;IF(AND(ISNUMBER($E95),ISNUMBER($F95),$E95&gt;$F95),"Inicio posterior a fecha límite"&amp;" · ","")&amp;IF(AND($S95="Macro",$G95=""),"Peso vacío"&amp;" · ","")&amp;IF(AND($S95="Macro",$G95&lt;&gt;"",OR(NOT(ISNUMBER($G95)),$G95&lt;=0,$G95&gt;1)),"Peso fuera de rango"&amp;" · ","")&amp;IF(AND($S95="Sub",$G95&lt;&gt;""),"Las subactividades no llevan peso"&amp;" · ","")&amp;IF(AND($S95="Macro",ABS(SUMIFS($G$5:$G$1000,$P$5:$P$1000,$P95,$S$5:$S$1000,"Macro")-1)&gt;0.0001),"Pesos del mes suman "&amp;TEXT(SUMIFS($G$5:$G$1000,$P$5:$P$1000,$P95,$S$5:$S$1000,"Macro"),"0%")&amp;" · ","")&amp;IF(AND(N($T95)&gt;0,COUNT($H95:$K95)&gt;0),"Con subactividades: deje vacías las semanas (se calculan solas)"&amp;" · ","")&amp;IF((COUNTIF($H95:$K95,"&gt;1")+COUNTIF($H95:$K95,"&lt;0")+COUNTA($H95:$K95)-COUNT($H95:$K95))&gt;0,"Avance fuera de rango 0-100%"&amp;" · ","")&amp;IF(OR(AND($I95&lt;&gt;"",$I95&lt;$H95),AND($J95&lt;&gt;"",$J95&lt;MAX($H95:$I95)),AND($K95&lt;&gt;"",$K95&lt;MAX($H95:$J95))),"Avance semanal decreciente"&amp;" · ","")&amp;IF(AND(ISNUMBER($F95),$F95&lt;FechaRef,N($L95)&lt;1),"Vencida"&amp;" · ","")&amp;IF(AND(ObsObligatoria="Sí",ISNUMBER($F95),$F95&lt;FechaRef,N($L95)&lt;1,$N95=""),"Vencida sin observación"&amp;" · ",""))-3)))</f>
        <v/>
      </c>
      <c r="P95" s="69">
        <f>IF(NOT((COUNTA($B95:$K95)+COUNTA($N95))&gt;0),"",IF(AND($S95="Sub",N($R95)&gt;0),IF(ISNUMBER(INDEX($E$5:$E$1000,$R95-4)),DATE(YEAR(INDEX($E$5:$E$1000,$R95-4)),MONTH(INDEX($E$5:$E$1000,$R95-4)),1),IF(ISNUMBER(INDEX($F$5:$F$1000,$R95-4)),DATE(YEAR(INDEX($F$5:$F$1000,$R95-4)),MONTH(INDEX($F$5:$F$1000,$R95-4)),1),MesCiclo)),IF(ISNUMBER($E95),DATE(YEAR($E95),MONTH($E95),1),IF(ISNUMBER($F95),DATE(YEAR($F95),MONTH($F95),1),MesCiclo))))</f>
        <v/>
      </c>
      <c r="Q95" s="70">
        <f>IF(OR($P95="",$P95&lt;&gt;MesCiclo),"",COUNTIF($P$5:$P95,MesCiclo))</f>
        <v/>
      </c>
      <c r="R95" s="70">
        <f>IF($S95="","",IF($S95="Macro",ROW(),IFERROR(LOOKUP(2,1/($S$5:$S95="Macro"),ROW($S$5:$S95)),0)))</f>
        <v/>
      </c>
      <c r="S95" s="70">
        <f>IF(NOT((COUNTA($B95:$K95)+COUNTA($N95))&gt;0),"",IF($B95&lt;&gt;"","Macro",IF($C95&lt;&gt;"","Sub","Macro")))</f>
        <v/>
      </c>
      <c r="T95" s="70">
        <f>IF($S95="Macro",COUNTIFS($R$5:$R$1000,ROW(),$S$5:$S$1000,"Sub"),"")</f>
        <v/>
      </c>
      <c r="U95" s="70">
        <f>IF($S95="","",IF(ISNUMBER($H95),$H95,0))</f>
        <v/>
      </c>
      <c r="V95" s="70">
        <f>IF($S95="","",IF(ISNUMBER($I95),$I95,$U95))</f>
        <v/>
      </c>
      <c r="W95" s="70">
        <f>IF($S95="","",IF(ISNUMBER($J95),$J95,$V95))</f>
        <v/>
      </c>
      <c r="X95" s="70">
        <f>IF($S95="","",IF(ISNUMBER($K95),$K95,$W95))</f>
        <v/>
      </c>
      <c r="Y95" s="70">
        <f>IF($S95="","",IF(N($T95)&gt;0,AVERAGEIFS($U$5:$U$1000,$R$5:$R$1000,ROW(),$S$5:$S$1000,"Sub"),$U95))</f>
        <v/>
      </c>
      <c r="Z95" s="70">
        <f>IF($S95="","",IF(N($T95)&gt;0,AVERAGEIFS($V$5:$V$1000,$R$5:$R$1000,ROW(),$S$5:$S$1000,"Sub"),$V95))</f>
        <v/>
      </c>
      <c r="AA95" s="70">
        <f>IF($S95="","",IF(N($T95)&gt;0,AVERAGEIFS($W$5:$W$1000,$R$5:$R$1000,ROW(),$S$5:$S$1000,"Sub"),$W95))</f>
        <v/>
      </c>
      <c r="AB95" s="70">
        <f>IF($S95="","",IF(N($T95)&gt;0,AVERAGEIFS($X$5:$X$1000,$R$5:$R$1000,ROW(),$S$5:$S$1000,"Sub"),$X95))</f>
        <v/>
      </c>
    </row>
    <row r="96">
      <c r="A96" s="61">
        <f>IF(NOT((COUNTA($B96:$K96)+COUNTA($N96))&gt;0),"",IF($S96="Macro",COUNTIFS($S$5:$S96,"Macro",$P$5:$P96,$P96),IF(N($R96)=0,"?",COUNTIFS(INDEX($S$5:$S$1000,1):INDEX($S$5:$S$1000,$R96-4),"Macro",INDEX($P$5:$P$1000,1):INDEX($P$5:$P$1000,$R96-4),INDEX($P$5:$P$1000,$R96-4))&amp;"."&amp;COUNTIFS($R$5:$R96,$R96,$S$5:$S96,"Sub"))))</f>
        <v/>
      </c>
      <c r="B96" s="62" t="n"/>
      <c r="C96" s="63" t="n"/>
      <c r="D96" s="62" t="n"/>
      <c r="E96" s="64" t="n"/>
      <c r="F96" s="64" t="n"/>
      <c r="G96" s="65" t="n"/>
      <c r="H96" s="66" t="n"/>
      <c r="I96" s="66" t="n"/>
      <c r="J96" s="66" t="n"/>
      <c r="K96" s="66" t="n"/>
      <c r="L96" s="67">
        <f>IF(NOT((COUNTA($B96:$K96)+COUNTA($N96))&gt;0),"",IF(N($T96)&gt;0,$AB96,IFERROR(LOOKUP(2,1/(H96:K96&lt;&gt;""),H96:K96),0)))</f>
        <v/>
      </c>
      <c r="M96" s="61">
        <f>IF(L96="","",IF(L96&gt;=1,"Completado",IF(L96&gt;0,"En curso","Pendiente")))</f>
        <v/>
      </c>
      <c r="N96" s="62" t="n"/>
      <c r="O96" s="68">
        <f>IF(NOT((COUNTA($B96:$K96)+COUNTA($N96))&gt;0),"",IF((IF(AND($S96="Macro",$B96=""),"Macroactividad vacía"&amp;" · ","")&amp;IF(AND($B96&lt;&gt;"",$C96&lt;&gt;""),"Escriba la subactividad en otra fila, debajo de su macroactividad"&amp;" · ","")&amp;IF(AND($S96="Sub",N($R96)=0),"Subactividad sin macroactividad arriba"&amp;" · ","")&amp;IF($D96="","Sin responsable"&amp;" · ","")&amp;IF($E96="","Sin fecha de inicio"&amp;" · ","")&amp;IF($F96="","Sin fecha límite"&amp;" · ","")&amp;IF(OR(AND($E96&lt;&gt;"",NOT(ISNUMBER($E96))),AND($F96&lt;&gt;"",NOT(ISNUMBER($F96)))),"Fecha no válida"&amp;" · ","")&amp;IF(AND(ISNUMBER($E96),ISNUMBER($F96),$E96&gt;$F96),"Inicio posterior a fecha límite"&amp;" · ","")&amp;IF(AND($S96="Macro",$G96=""),"Peso vacío"&amp;" · ","")&amp;IF(AND($S96="Macro",$G96&lt;&gt;"",OR(NOT(ISNUMBER($G96)),$G96&lt;=0,$G96&gt;1)),"Peso fuera de rango"&amp;" · ","")&amp;IF(AND($S96="Sub",$G96&lt;&gt;""),"Las subactividades no llevan peso"&amp;" · ","")&amp;IF(AND($S96="Macro",ABS(SUMIFS($G$5:$G$1000,$P$5:$P$1000,$P96,$S$5:$S$1000,"Macro")-1)&gt;0.0001),"Pesos del mes suman "&amp;TEXT(SUMIFS($G$5:$G$1000,$P$5:$P$1000,$P96,$S$5:$S$1000,"Macro"),"0%")&amp;" · ","")&amp;IF(AND(N($T96)&gt;0,COUNT($H96:$K96)&gt;0),"Con subactividades: deje vacías las semanas (se calculan solas)"&amp;" · ","")&amp;IF((COUNTIF($H96:$K96,"&gt;1")+COUNTIF($H96:$K96,"&lt;0")+COUNTA($H96:$K96)-COUNT($H96:$K96))&gt;0,"Avance fuera de rango 0-100%"&amp;" · ","")&amp;IF(OR(AND($I96&lt;&gt;"",$I96&lt;$H96),AND($J96&lt;&gt;"",$J96&lt;MAX($H96:$I96)),AND($K96&lt;&gt;"",$K96&lt;MAX($H96:$J96))),"Avance semanal decreciente"&amp;" · ","")&amp;IF(AND(ISNUMBER($F96),$F96&lt;FechaRef,N($L96)&lt;1),"Vencida"&amp;" · ","")&amp;IF(AND(ObsObligatoria="Sí",ISNUMBER($F96),$F96&lt;FechaRef,N($L96)&lt;1,$N96=""),"Vencida sin observación"&amp;" · ",""))="","✔ OK","⚠ "&amp;LEFT(IF(AND($S96="Macro",$B96=""),"Macroactividad vacía"&amp;" · ","")&amp;IF(AND($B96&lt;&gt;"",$C96&lt;&gt;""),"Escriba la subactividad en otra fila, debajo de su macroactividad"&amp;" · ","")&amp;IF(AND($S96="Sub",N($R96)=0),"Subactividad sin macroactividad arriba"&amp;" · ","")&amp;IF($D96="","Sin responsable"&amp;" · ","")&amp;IF($E96="","Sin fecha de inicio"&amp;" · ","")&amp;IF($F96="","Sin fecha límite"&amp;" · ","")&amp;IF(OR(AND($E96&lt;&gt;"",NOT(ISNUMBER($E96))),AND($F96&lt;&gt;"",NOT(ISNUMBER($F96)))),"Fecha no válida"&amp;" · ","")&amp;IF(AND(ISNUMBER($E96),ISNUMBER($F96),$E96&gt;$F96),"Inicio posterior a fecha límite"&amp;" · ","")&amp;IF(AND($S96="Macro",$G96=""),"Peso vacío"&amp;" · ","")&amp;IF(AND($S96="Macro",$G96&lt;&gt;"",OR(NOT(ISNUMBER($G96)),$G96&lt;=0,$G96&gt;1)),"Peso fuera de rango"&amp;" · ","")&amp;IF(AND($S96="Sub",$G96&lt;&gt;""),"Las subactividades no llevan peso"&amp;" · ","")&amp;IF(AND($S96="Macro",ABS(SUMIFS($G$5:$G$1000,$P$5:$P$1000,$P96,$S$5:$S$1000,"Macro")-1)&gt;0.0001),"Pesos del mes suman "&amp;TEXT(SUMIFS($G$5:$G$1000,$P$5:$P$1000,$P96,$S$5:$S$1000,"Macro"),"0%")&amp;" · ","")&amp;IF(AND(N($T96)&gt;0,COUNT($H96:$K96)&gt;0),"Con subactividades: deje vacías las semanas (se calculan solas)"&amp;" · ","")&amp;IF((COUNTIF($H96:$K96,"&gt;1")+COUNTIF($H96:$K96,"&lt;0")+COUNTA($H96:$K96)-COUNT($H96:$K96))&gt;0,"Avance fuera de rango 0-100%"&amp;" · ","")&amp;IF(OR(AND($I96&lt;&gt;"",$I96&lt;$H96),AND($J96&lt;&gt;"",$J96&lt;MAX($H96:$I96)),AND($K96&lt;&gt;"",$K96&lt;MAX($H96:$J96))),"Avance semanal decreciente"&amp;" · ","")&amp;IF(AND(ISNUMBER($F96),$F96&lt;FechaRef,N($L96)&lt;1),"Vencida"&amp;" · ","")&amp;IF(AND(ObsObligatoria="Sí",ISNUMBER($F96),$F96&lt;FechaRef,N($L96)&lt;1,$N96=""),"Vencida sin observación"&amp;" · ",""),LEN(IF(AND($S96="Macro",$B96=""),"Macroactividad vacía"&amp;" · ","")&amp;IF(AND($B96&lt;&gt;"",$C96&lt;&gt;""),"Escriba la subactividad en otra fila, debajo de su macroactividad"&amp;" · ","")&amp;IF(AND($S96="Sub",N($R96)=0),"Subactividad sin macroactividad arriba"&amp;" · ","")&amp;IF($D96="","Sin responsable"&amp;" · ","")&amp;IF($E96="","Sin fecha de inicio"&amp;" · ","")&amp;IF($F96="","Sin fecha límite"&amp;" · ","")&amp;IF(OR(AND($E96&lt;&gt;"",NOT(ISNUMBER($E96))),AND($F96&lt;&gt;"",NOT(ISNUMBER($F96)))),"Fecha no válida"&amp;" · ","")&amp;IF(AND(ISNUMBER($E96),ISNUMBER($F96),$E96&gt;$F96),"Inicio posterior a fecha límite"&amp;" · ","")&amp;IF(AND($S96="Macro",$G96=""),"Peso vacío"&amp;" · ","")&amp;IF(AND($S96="Macro",$G96&lt;&gt;"",OR(NOT(ISNUMBER($G96)),$G96&lt;=0,$G96&gt;1)),"Peso fuera de rango"&amp;" · ","")&amp;IF(AND($S96="Sub",$G96&lt;&gt;""),"Las subactividades no llevan peso"&amp;" · ","")&amp;IF(AND($S96="Macro",ABS(SUMIFS($G$5:$G$1000,$P$5:$P$1000,$P96,$S$5:$S$1000,"Macro")-1)&gt;0.0001),"Pesos del mes suman "&amp;TEXT(SUMIFS($G$5:$G$1000,$P$5:$P$1000,$P96,$S$5:$S$1000,"Macro"),"0%")&amp;" · ","")&amp;IF(AND(N($T96)&gt;0,COUNT($H96:$K96)&gt;0),"Con subactividades: deje vacías las semanas (se calculan solas)"&amp;" · ","")&amp;IF((COUNTIF($H96:$K96,"&gt;1")+COUNTIF($H96:$K96,"&lt;0")+COUNTA($H96:$K96)-COUNT($H96:$K96))&gt;0,"Avance fuera de rango 0-100%"&amp;" · ","")&amp;IF(OR(AND($I96&lt;&gt;"",$I96&lt;$H96),AND($J96&lt;&gt;"",$J96&lt;MAX($H96:$I96)),AND($K96&lt;&gt;"",$K96&lt;MAX($H96:$J96))),"Avance semanal decreciente"&amp;" · ","")&amp;IF(AND(ISNUMBER($F96),$F96&lt;FechaRef,N($L96)&lt;1),"Vencida"&amp;" · ","")&amp;IF(AND(ObsObligatoria="Sí",ISNUMBER($F96),$F96&lt;FechaRef,N($L96)&lt;1,$N96=""),"Vencida sin observación"&amp;" · ",""))-3)))</f>
        <v/>
      </c>
      <c r="P96" s="69">
        <f>IF(NOT((COUNTA($B96:$K96)+COUNTA($N96))&gt;0),"",IF(AND($S96="Sub",N($R96)&gt;0),IF(ISNUMBER(INDEX($E$5:$E$1000,$R96-4)),DATE(YEAR(INDEX($E$5:$E$1000,$R96-4)),MONTH(INDEX($E$5:$E$1000,$R96-4)),1),IF(ISNUMBER(INDEX($F$5:$F$1000,$R96-4)),DATE(YEAR(INDEX($F$5:$F$1000,$R96-4)),MONTH(INDEX($F$5:$F$1000,$R96-4)),1),MesCiclo)),IF(ISNUMBER($E96),DATE(YEAR($E96),MONTH($E96),1),IF(ISNUMBER($F96),DATE(YEAR($F96),MONTH($F96),1),MesCiclo))))</f>
        <v/>
      </c>
      <c r="Q96" s="70">
        <f>IF(OR($P96="",$P96&lt;&gt;MesCiclo),"",COUNTIF($P$5:$P96,MesCiclo))</f>
        <v/>
      </c>
      <c r="R96" s="70">
        <f>IF($S96="","",IF($S96="Macro",ROW(),IFERROR(LOOKUP(2,1/($S$5:$S96="Macro"),ROW($S$5:$S96)),0)))</f>
        <v/>
      </c>
      <c r="S96" s="70">
        <f>IF(NOT((COUNTA($B96:$K96)+COUNTA($N96))&gt;0),"",IF($B96&lt;&gt;"","Macro",IF($C96&lt;&gt;"","Sub","Macro")))</f>
        <v/>
      </c>
      <c r="T96" s="70">
        <f>IF($S96="Macro",COUNTIFS($R$5:$R$1000,ROW(),$S$5:$S$1000,"Sub"),"")</f>
        <v/>
      </c>
      <c r="U96" s="70">
        <f>IF($S96="","",IF(ISNUMBER($H96),$H96,0))</f>
        <v/>
      </c>
      <c r="V96" s="70">
        <f>IF($S96="","",IF(ISNUMBER($I96),$I96,$U96))</f>
        <v/>
      </c>
      <c r="W96" s="70">
        <f>IF($S96="","",IF(ISNUMBER($J96),$J96,$V96))</f>
        <v/>
      </c>
      <c r="X96" s="70">
        <f>IF($S96="","",IF(ISNUMBER($K96),$K96,$W96))</f>
        <v/>
      </c>
      <c r="Y96" s="70">
        <f>IF($S96="","",IF(N($T96)&gt;0,AVERAGEIFS($U$5:$U$1000,$R$5:$R$1000,ROW(),$S$5:$S$1000,"Sub"),$U96))</f>
        <v/>
      </c>
      <c r="Z96" s="70">
        <f>IF($S96="","",IF(N($T96)&gt;0,AVERAGEIFS($V$5:$V$1000,$R$5:$R$1000,ROW(),$S$5:$S$1000,"Sub"),$V96))</f>
        <v/>
      </c>
      <c r="AA96" s="70">
        <f>IF($S96="","",IF(N($T96)&gt;0,AVERAGEIFS($W$5:$W$1000,$R$5:$R$1000,ROW(),$S$5:$S$1000,"Sub"),$W96))</f>
        <v/>
      </c>
      <c r="AB96" s="70">
        <f>IF($S96="","",IF(N($T96)&gt;0,AVERAGEIFS($X$5:$X$1000,$R$5:$R$1000,ROW(),$S$5:$S$1000,"Sub"),$X96))</f>
        <v/>
      </c>
    </row>
    <row r="97">
      <c r="A97" s="61">
        <f>IF(NOT((COUNTA($B97:$K97)+COUNTA($N97))&gt;0),"",IF($S97="Macro",COUNTIFS($S$5:$S97,"Macro",$P$5:$P97,$P97),IF(N($R97)=0,"?",COUNTIFS(INDEX($S$5:$S$1000,1):INDEX($S$5:$S$1000,$R97-4),"Macro",INDEX($P$5:$P$1000,1):INDEX($P$5:$P$1000,$R97-4),INDEX($P$5:$P$1000,$R97-4))&amp;"."&amp;COUNTIFS($R$5:$R97,$R97,$S$5:$S97,"Sub"))))</f>
        <v/>
      </c>
      <c r="B97" s="62" t="n"/>
      <c r="C97" s="63" t="n"/>
      <c r="D97" s="62" t="n"/>
      <c r="E97" s="64" t="n"/>
      <c r="F97" s="64" t="n"/>
      <c r="G97" s="65" t="n"/>
      <c r="H97" s="66" t="n"/>
      <c r="I97" s="66" t="n"/>
      <c r="J97" s="66" t="n"/>
      <c r="K97" s="66" t="n"/>
      <c r="L97" s="67">
        <f>IF(NOT((COUNTA($B97:$K97)+COUNTA($N97))&gt;0),"",IF(N($T97)&gt;0,$AB97,IFERROR(LOOKUP(2,1/(H97:K97&lt;&gt;""),H97:K97),0)))</f>
        <v/>
      </c>
      <c r="M97" s="61">
        <f>IF(L97="","",IF(L97&gt;=1,"Completado",IF(L97&gt;0,"En curso","Pendiente")))</f>
        <v/>
      </c>
      <c r="N97" s="62" t="n"/>
      <c r="O97" s="68">
        <f>IF(NOT((COUNTA($B97:$K97)+COUNTA($N97))&gt;0),"",IF((IF(AND($S97="Macro",$B97=""),"Macroactividad vacía"&amp;" · ","")&amp;IF(AND($B97&lt;&gt;"",$C97&lt;&gt;""),"Escriba la subactividad en otra fila, debajo de su macroactividad"&amp;" · ","")&amp;IF(AND($S97="Sub",N($R97)=0),"Subactividad sin macroactividad arriba"&amp;" · ","")&amp;IF($D97="","Sin responsable"&amp;" · ","")&amp;IF($E97="","Sin fecha de inicio"&amp;" · ","")&amp;IF($F97="","Sin fecha límite"&amp;" · ","")&amp;IF(OR(AND($E97&lt;&gt;"",NOT(ISNUMBER($E97))),AND($F97&lt;&gt;"",NOT(ISNUMBER($F97)))),"Fecha no válida"&amp;" · ","")&amp;IF(AND(ISNUMBER($E97),ISNUMBER($F97),$E97&gt;$F97),"Inicio posterior a fecha límite"&amp;" · ","")&amp;IF(AND($S97="Macro",$G97=""),"Peso vacío"&amp;" · ","")&amp;IF(AND($S97="Macro",$G97&lt;&gt;"",OR(NOT(ISNUMBER($G97)),$G97&lt;=0,$G97&gt;1)),"Peso fuera de rango"&amp;" · ","")&amp;IF(AND($S97="Sub",$G97&lt;&gt;""),"Las subactividades no llevan peso"&amp;" · ","")&amp;IF(AND($S97="Macro",ABS(SUMIFS($G$5:$G$1000,$P$5:$P$1000,$P97,$S$5:$S$1000,"Macro")-1)&gt;0.0001),"Pesos del mes suman "&amp;TEXT(SUMIFS($G$5:$G$1000,$P$5:$P$1000,$P97,$S$5:$S$1000,"Macro"),"0%")&amp;" · ","")&amp;IF(AND(N($T97)&gt;0,COUNT($H97:$K97)&gt;0),"Con subactividades: deje vacías las semanas (se calculan solas)"&amp;" · ","")&amp;IF((COUNTIF($H97:$K97,"&gt;1")+COUNTIF($H97:$K97,"&lt;0")+COUNTA($H97:$K97)-COUNT($H97:$K97))&gt;0,"Avance fuera de rango 0-100%"&amp;" · ","")&amp;IF(OR(AND($I97&lt;&gt;"",$I97&lt;$H97),AND($J97&lt;&gt;"",$J97&lt;MAX($H97:$I97)),AND($K97&lt;&gt;"",$K97&lt;MAX($H97:$J97))),"Avance semanal decreciente"&amp;" · ","")&amp;IF(AND(ISNUMBER($F97),$F97&lt;FechaRef,N($L97)&lt;1),"Vencida"&amp;" · ","")&amp;IF(AND(ObsObligatoria="Sí",ISNUMBER($F97),$F97&lt;FechaRef,N($L97)&lt;1,$N97=""),"Vencida sin observación"&amp;" · ",""))="","✔ OK","⚠ "&amp;LEFT(IF(AND($S97="Macro",$B97=""),"Macroactividad vacía"&amp;" · ","")&amp;IF(AND($B97&lt;&gt;"",$C97&lt;&gt;""),"Escriba la subactividad en otra fila, debajo de su macroactividad"&amp;" · ","")&amp;IF(AND($S97="Sub",N($R97)=0),"Subactividad sin macroactividad arriba"&amp;" · ","")&amp;IF($D97="","Sin responsable"&amp;" · ","")&amp;IF($E97="","Sin fecha de inicio"&amp;" · ","")&amp;IF($F97="","Sin fecha límite"&amp;" · ","")&amp;IF(OR(AND($E97&lt;&gt;"",NOT(ISNUMBER($E97))),AND($F97&lt;&gt;"",NOT(ISNUMBER($F97)))),"Fecha no válida"&amp;" · ","")&amp;IF(AND(ISNUMBER($E97),ISNUMBER($F97),$E97&gt;$F97),"Inicio posterior a fecha límite"&amp;" · ","")&amp;IF(AND($S97="Macro",$G97=""),"Peso vacío"&amp;" · ","")&amp;IF(AND($S97="Macro",$G97&lt;&gt;"",OR(NOT(ISNUMBER($G97)),$G97&lt;=0,$G97&gt;1)),"Peso fuera de rango"&amp;" · ","")&amp;IF(AND($S97="Sub",$G97&lt;&gt;""),"Las subactividades no llevan peso"&amp;" · ","")&amp;IF(AND($S97="Macro",ABS(SUMIFS($G$5:$G$1000,$P$5:$P$1000,$P97,$S$5:$S$1000,"Macro")-1)&gt;0.0001),"Pesos del mes suman "&amp;TEXT(SUMIFS($G$5:$G$1000,$P$5:$P$1000,$P97,$S$5:$S$1000,"Macro"),"0%")&amp;" · ","")&amp;IF(AND(N($T97)&gt;0,COUNT($H97:$K97)&gt;0),"Con subactividades: deje vacías las semanas (se calculan solas)"&amp;" · ","")&amp;IF((COUNTIF($H97:$K97,"&gt;1")+COUNTIF($H97:$K97,"&lt;0")+COUNTA($H97:$K97)-COUNT($H97:$K97))&gt;0,"Avance fuera de rango 0-100%"&amp;" · ","")&amp;IF(OR(AND($I97&lt;&gt;"",$I97&lt;$H97),AND($J97&lt;&gt;"",$J97&lt;MAX($H97:$I97)),AND($K97&lt;&gt;"",$K97&lt;MAX($H97:$J97))),"Avance semanal decreciente"&amp;" · ","")&amp;IF(AND(ISNUMBER($F97),$F97&lt;FechaRef,N($L97)&lt;1),"Vencida"&amp;" · ","")&amp;IF(AND(ObsObligatoria="Sí",ISNUMBER($F97),$F97&lt;FechaRef,N($L97)&lt;1,$N97=""),"Vencida sin observación"&amp;" · ",""),LEN(IF(AND($S97="Macro",$B97=""),"Macroactividad vacía"&amp;" · ","")&amp;IF(AND($B97&lt;&gt;"",$C97&lt;&gt;""),"Escriba la subactividad en otra fila, debajo de su macroactividad"&amp;" · ","")&amp;IF(AND($S97="Sub",N($R97)=0),"Subactividad sin macroactividad arriba"&amp;" · ","")&amp;IF($D97="","Sin responsable"&amp;" · ","")&amp;IF($E97="","Sin fecha de inicio"&amp;" · ","")&amp;IF($F97="","Sin fecha límite"&amp;" · ","")&amp;IF(OR(AND($E97&lt;&gt;"",NOT(ISNUMBER($E97))),AND($F97&lt;&gt;"",NOT(ISNUMBER($F97)))),"Fecha no válida"&amp;" · ","")&amp;IF(AND(ISNUMBER($E97),ISNUMBER($F97),$E97&gt;$F97),"Inicio posterior a fecha límite"&amp;" · ","")&amp;IF(AND($S97="Macro",$G97=""),"Peso vacío"&amp;" · ","")&amp;IF(AND($S97="Macro",$G97&lt;&gt;"",OR(NOT(ISNUMBER($G97)),$G97&lt;=0,$G97&gt;1)),"Peso fuera de rango"&amp;" · ","")&amp;IF(AND($S97="Sub",$G97&lt;&gt;""),"Las subactividades no llevan peso"&amp;" · ","")&amp;IF(AND($S97="Macro",ABS(SUMIFS($G$5:$G$1000,$P$5:$P$1000,$P97,$S$5:$S$1000,"Macro")-1)&gt;0.0001),"Pesos del mes suman "&amp;TEXT(SUMIFS($G$5:$G$1000,$P$5:$P$1000,$P97,$S$5:$S$1000,"Macro"),"0%")&amp;" · ","")&amp;IF(AND(N($T97)&gt;0,COUNT($H97:$K97)&gt;0),"Con subactividades: deje vacías las semanas (se calculan solas)"&amp;" · ","")&amp;IF((COUNTIF($H97:$K97,"&gt;1")+COUNTIF($H97:$K97,"&lt;0")+COUNTA($H97:$K97)-COUNT($H97:$K97))&gt;0,"Avance fuera de rango 0-100%"&amp;" · ","")&amp;IF(OR(AND($I97&lt;&gt;"",$I97&lt;$H97),AND($J97&lt;&gt;"",$J97&lt;MAX($H97:$I97)),AND($K97&lt;&gt;"",$K97&lt;MAX($H97:$J97))),"Avance semanal decreciente"&amp;" · ","")&amp;IF(AND(ISNUMBER($F97),$F97&lt;FechaRef,N($L97)&lt;1),"Vencida"&amp;" · ","")&amp;IF(AND(ObsObligatoria="Sí",ISNUMBER($F97),$F97&lt;FechaRef,N($L97)&lt;1,$N97=""),"Vencida sin observación"&amp;" · ",""))-3)))</f>
        <v/>
      </c>
      <c r="P97" s="69">
        <f>IF(NOT((COUNTA($B97:$K97)+COUNTA($N97))&gt;0),"",IF(AND($S97="Sub",N($R97)&gt;0),IF(ISNUMBER(INDEX($E$5:$E$1000,$R97-4)),DATE(YEAR(INDEX($E$5:$E$1000,$R97-4)),MONTH(INDEX($E$5:$E$1000,$R97-4)),1),IF(ISNUMBER(INDEX($F$5:$F$1000,$R97-4)),DATE(YEAR(INDEX($F$5:$F$1000,$R97-4)),MONTH(INDEX($F$5:$F$1000,$R97-4)),1),MesCiclo)),IF(ISNUMBER($E97),DATE(YEAR($E97),MONTH($E97),1),IF(ISNUMBER($F97),DATE(YEAR($F97),MONTH($F97),1),MesCiclo))))</f>
        <v/>
      </c>
      <c r="Q97" s="70">
        <f>IF(OR($P97="",$P97&lt;&gt;MesCiclo),"",COUNTIF($P$5:$P97,MesCiclo))</f>
        <v/>
      </c>
      <c r="R97" s="70">
        <f>IF($S97="","",IF($S97="Macro",ROW(),IFERROR(LOOKUP(2,1/($S$5:$S97="Macro"),ROW($S$5:$S97)),0)))</f>
        <v/>
      </c>
      <c r="S97" s="70">
        <f>IF(NOT((COUNTA($B97:$K97)+COUNTA($N97))&gt;0),"",IF($B97&lt;&gt;"","Macro",IF($C97&lt;&gt;"","Sub","Macro")))</f>
        <v/>
      </c>
      <c r="T97" s="70">
        <f>IF($S97="Macro",COUNTIFS($R$5:$R$1000,ROW(),$S$5:$S$1000,"Sub"),"")</f>
        <v/>
      </c>
      <c r="U97" s="70">
        <f>IF($S97="","",IF(ISNUMBER($H97),$H97,0))</f>
        <v/>
      </c>
      <c r="V97" s="70">
        <f>IF($S97="","",IF(ISNUMBER($I97),$I97,$U97))</f>
        <v/>
      </c>
      <c r="W97" s="70">
        <f>IF($S97="","",IF(ISNUMBER($J97),$J97,$V97))</f>
        <v/>
      </c>
      <c r="X97" s="70">
        <f>IF($S97="","",IF(ISNUMBER($K97),$K97,$W97))</f>
        <v/>
      </c>
      <c r="Y97" s="70">
        <f>IF($S97="","",IF(N($T97)&gt;0,AVERAGEIFS($U$5:$U$1000,$R$5:$R$1000,ROW(),$S$5:$S$1000,"Sub"),$U97))</f>
        <v/>
      </c>
      <c r="Z97" s="70">
        <f>IF($S97="","",IF(N($T97)&gt;0,AVERAGEIFS($V$5:$V$1000,$R$5:$R$1000,ROW(),$S$5:$S$1000,"Sub"),$V97))</f>
        <v/>
      </c>
      <c r="AA97" s="70">
        <f>IF($S97="","",IF(N($T97)&gt;0,AVERAGEIFS($W$5:$W$1000,$R$5:$R$1000,ROW(),$S$5:$S$1000,"Sub"),$W97))</f>
        <v/>
      </c>
      <c r="AB97" s="70">
        <f>IF($S97="","",IF(N($T97)&gt;0,AVERAGEIFS($X$5:$X$1000,$R$5:$R$1000,ROW(),$S$5:$S$1000,"Sub"),$X97))</f>
        <v/>
      </c>
    </row>
    <row r="98">
      <c r="A98" s="61">
        <f>IF(NOT((COUNTA($B98:$K98)+COUNTA($N98))&gt;0),"",IF($S98="Macro",COUNTIFS($S$5:$S98,"Macro",$P$5:$P98,$P98),IF(N($R98)=0,"?",COUNTIFS(INDEX($S$5:$S$1000,1):INDEX($S$5:$S$1000,$R98-4),"Macro",INDEX($P$5:$P$1000,1):INDEX($P$5:$P$1000,$R98-4),INDEX($P$5:$P$1000,$R98-4))&amp;"."&amp;COUNTIFS($R$5:$R98,$R98,$S$5:$S98,"Sub"))))</f>
        <v/>
      </c>
      <c r="B98" s="62" t="n"/>
      <c r="C98" s="63" t="n"/>
      <c r="D98" s="62" t="n"/>
      <c r="E98" s="64" t="n"/>
      <c r="F98" s="64" t="n"/>
      <c r="G98" s="65" t="n"/>
      <c r="H98" s="66" t="n"/>
      <c r="I98" s="66" t="n"/>
      <c r="J98" s="66" t="n"/>
      <c r="K98" s="66" t="n"/>
      <c r="L98" s="67">
        <f>IF(NOT((COUNTA($B98:$K98)+COUNTA($N98))&gt;0),"",IF(N($T98)&gt;0,$AB98,IFERROR(LOOKUP(2,1/(H98:K98&lt;&gt;""),H98:K98),0)))</f>
        <v/>
      </c>
      <c r="M98" s="61">
        <f>IF(L98="","",IF(L98&gt;=1,"Completado",IF(L98&gt;0,"En curso","Pendiente")))</f>
        <v/>
      </c>
      <c r="N98" s="62" t="n"/>
      <c r="O98" s="68">
        <f>IF(NOT((COUNTA($B98:$K98)+COUNTA($N98))&gt;0),"",IF((IF(AND($S98="Macro",$B98=""),"Macroactividad vacía"&amp;" · ","")&amp;IF(AND($B98&lt;&gt;"",$C98&lt;&gt;""),"Escriba la subactividad en otra fila, debajo de su macroactividad"&amp;" · ","")&amp;IF(AND($S98="Sub",N($R98)=0),"Subactividad sin macroactividad arriba"&amp;" · ","")&amp;IF($D98="","Sin responsable"&amp;" · ","")&amp;IF($E98="","Sin fecha de inicio"&amp;" · ","")&amp;IF($F98="","Sin fecha límite"&amp;" · ","")&amp;IF(OR(AND($E98&lt;&gt;"",NOT(ISNUMBER($E98))),AND($F98&lt;&gt;"",NOT(ISNUMBER($F98)))),"Fecha no válida"&amp;" · ","")&amp;IF(AND(ISNUMBER($E98),ISNUMBER($F98),$E98&gt;$F98),"Inicio posterior a fecha límite"&amp;" · ","")&amp;IF(AND($S98="Macro",$G98=""),"Peso vacío"&amp;" · ","")&amp;IF(AND($S98="Macro",$G98&lt;&gt;"",OR(NOT(ISNUMBER($G98)),$G98&lt;=0,$G98&gt;1)),"Peso fuera de rango"&amp;" · ","")&amp;IF(AND($S98="Sub",$G98&lt;&gt;""),"Las subactividades no llevan peso"&amp;" · ","")&amp;IF(AND($S98="Macro",ABS(SUMIFS($G$5:$G$1000,$P$5:$P$1000,$P98,$S$5:$S$1000,"Macro")-1)&gt;0.0001),"Pesos del mes suman "&amp;TEXT(SUMIFS($G$5:$G$1000,$P$5:$P$1000,$P98,$S$5:$S$1000,"Macro"),"0%")&amp;" · ","")&amp;IF(AND(N($T98)&gt;0,COUNT($H98:$K98)&gt;0),"Con subactividades: deje vacías las semanas (se calculan solas)"&amp;" · ","")&amp;IF((COUNTIF($H98:$K98,"&gt;1")+COUNTIF($H98:$K98,"&lt;0")+COUNTA($H98:$K98)-COUNT($H98:$K98))&gt;0,"Avance fuera de rango 0-100%"&amp;" · ","")&amp;IF(OR(AND($I98&lt;&gt;"",$I98&lt;$H98),AND($J98&lt;&gt;"",$J98&lt;MAX($H98:$I98)),AND($K98&lt;&gt;"",$K98&lt;MAX($H98:$J98))),"Avance semanal decreciente"&amp;" · ","")&amp;IF(AND(ISNUMBER($F98),$F98&lt;FechaRef,N($L98)&lt;1),"Vencida"&amp;" · ","")&amp;IF(AND(ObsObligatoria="Sí",ISNUMBER($F98),$F98&lt;FechaRef,N($L98)&lt;1,$N98=""),"Vencida sin observación"&amp;" · ",""))="","✔ OK","⚠ "&amp;LEFT(IF(AND($S98="Macro",$B98=""),"Macroactividad vacía"&amp;" · ","")&amp;IF(AND($B98&lt;&gt;"",$C98&lt;&gt;""),"Escriba la subactividad en otra fila, debajo de su macroactividad"&amp;" · ","")&amp;IF(AND($S98="Sub",N($R98)=0),"Subactividad sin macroactividad arriba"&amp;" · ","")&amp;IF($D98="","Sin responsable"&amp;" · ","")&amp;IF($E98="","Sin fecha de inicio"&amp;" · ","")&amp;IF($F98="","Sin fecha límite"&amp;" · ","")&amp;IF(OR(AND($E98&lt;&gt;"",NOT(ISNUMBER($E98))),AND($F98&lt;&gt;"",NOT(ISNUMBER($F98)))),"Fecha no válida"&amp;" · ","")&amp;IF(AND(ISNUMBER($E98),ISNUMBER($F98),$E98&gt;$F98),"Inicio posterior a fecha límite"&amp;" · ","")&amp;IF(AND($S98="Macro",$G98=""),"Peso vacío"&amp;" · ","")&amp;IF(AND($S98="Macro",$G98&lt;&gt;"",OR(NOT(ISNUMBER($G98)),$G98&lt;=0,$G98&gt;1)),"Peso fuera de rango"&amp;" · ","")&amp;IF(AND($S98="Sub",$G98&lt;&gt;""),"Las subactividades no llevan peso"&amp;" · ","")&amp;IF(AND($S98="Macro",ABS(SUMIFS($G$5:$G$1000,$P$5:$P$1000,$P98,$S$5:$S$1000,"Macro")-1)&gt;0.0001),"Pesos del mes suman "&amp;TEXT(SUMIFS($G$5:$G$1000,$P$5:$P$1000,$P98,$S$5:$S$1000,"Macro"),"0%")&amp;" · ","")&amp;IF(AND(N($T98)&gt;0,COUNT($H98:$K98)&gt;0),"Con subactividades: deje vacías las semanas (se calculan solas)"&amp;" · ","")&amp;IF((COUNTIF($H98:$K98,"&gt;1")+COUNTIF($H98:$K98,"&lt;0")+COUNTA($H98:$K98)-COUNT($H98:$K98))&gt;0,"Avance fuera de rango 0-100%"&amp;" · ","")&amp;IF(OR(AND($I98&lt;&gt;"",$I98&lt;$H98),AND($J98&lt;&gt;"",$J98&lt;MAX($H98:$I98)),AND($K98&lt;&gt;"",$K98&lt;MAX($H98:$J98))),"Avance semanal decreciente"&amp;" · ","")&amp;IF(AND(ISNUMBER($F98),$F98&lt;FechaRef,N($L98)&lt;1),"Vencida"&amp;" · ","")&amp;IF(AND(ObsObligatoria="Sí",ISNUMBER($F98),$F98&lt;FechaRef,N($L98)&lt;1,$N98=""),"Vencida sin observación"&amp;" · ",""),LEN(IF(AND($S98="Macro",$B98=""),"Macroactividad vacía"&amp;" · ","")&amp;IF(AND($B98&lt;&gt;"",$C98&lt;&gt;""),"Escriba la subactividad en otra fila, debajo de su macroactividad"&amp;" · ","")&amp;IF(AND($S98="Sub",N($R98)=0),"Subactividad sin macroactividad arriba"&amp;" · ","")&amp;IF($D98="","Sin responsable"&amp;" · ","")&amp;IF($E98="","Sin fecha de inicio"&amp;" · ","")&amp;IF($F98="","Sin fecha límite"&amp;" · ","")&amp;IF(OR(AND($E98&lt;&gt;"",NOT(ISNUMBER($E98))),AND($F98&lt;&gt;"",NOT(ISNUMBER($F98)))),"Fecha no válida"&amp;" · ","")&amp;IF(AND(ISNUMBER($E98),ISNUMBER($F98),$E98&gt;$F98),"Inicio posterior a fecha límite"&amp;" · ","")&amp;IF(AND($S98="Macro",$G98=""),"Peso vacío"&amp;" · ","")&amp;IF(AND($S98="Macro",$G98&lt;&gt;"",OR(NOT(ISNUMBER($G98)),$G98&lt;=0,$G98&gt;1)),"Peso fuera de rango"&amp;" · ","")&amp;IF(AND($S98="Sub",$G98&lt;&gt;""),"Las subactividades no llevan peso"&amp;" · ","")&amp;IF(AND($S98="Macro",ABS(SUMIFS($G$5:$G$1000,$P$5:$P$1000,$P98,$S$5:$S$1000,"Macro")-1)&gt;0.0001),"Pesos del mes suman "&amp;TEXT(SUMIFS($G$5:$G$1000,$P$5:$P$1000,$P98,$S$5:$S$1000,"Macro"),"0%")&amp;" · ","")&amp;IF(AND(N($T98)&gt;0,COUNT($H98:$K98)&gt;0),"Con subactividades: deje vacías las semanas (se calculan solas)"&amp;" · ","")&amp;IF((COUNTIF($H98:$K98,"&gt;1")+COUNTIF($H98:$K98,"&lt;0")+COUNTA($H98:$K98)-COUNT($H98:$K98))&gt;0,"Avance fuera de rango 0-100%"&amp;" · ","")&amp;IF(OR(AND($I98&lt;&gt;"",$I98&lt;$H98),AND($J98&lt;&gt;"",$J98&lt;MAX($H98:$I98)),AND($K98&lt;&gt;"",$K98&lt;MAX($H98:$J98))),"Avance semanal decreciente"&amp;" · ","")&amp;IF(AND(ISNUMBER($F98),$F98&lt;FechaRef,N($L98)&lt;1),"Vencida"&amp;" · ","")&amp;IF(AND(ObsObligatoria="Sí",ISNUMBER($F98),$F98&lt;FechaRef,N($L98)&lt;1,$N98=""),"Vencida sin observación"&amp;" · ",""))-3)))</f>
        <v/>
      </c>
      <c r="P98" s="69">
        <f>IF(NOT((COUNTA($B98:$K98)+COUNTA($N98))&gt;0),"",IF(AND($S98="Sub",N($R98)&gt;0),IF(ISNUMBER(INDEX($E$5:$E$1000,$R98-4)),DATE(YEAR(INDEX($E$5:$E$1000,$R98-4)),MONTH(INDEX($E$5:$E$1000,$R98-4)),1),IF(ISNUMBER(INDEX($F$5:$F$1000,$R98-4)),DATE(YEAR(INDEX($F$5:$F$1000,$R98-4)),MONTH(INDEX($F$5:$F$1000,$R98-4)),1),MesCiclo)),IF(ISNUMBER($E98),DATE(YEAR($E98),MONTH($E98),1),IF(ISNUMBER($F98),DATE(YEAR($F98),MONTH($F98),1),MesCiclo))))</f>
        <v/>
      </c>
      <c r="Q98" s="70">
        <f>IF(OR($P98="",$P98&lt;&gt;MesCiclo),"",COUNTIF($P$5:$P98,MesCiclo))</f>
        <v/>
      </c>
      <c r="R98" s="70">
        <f>IF($S98="","",IF($S98="Macro",ROW(),IFERROR(LOOKUP(2,1/($S$5:$S98="Macro"),ROW($S$5:$S98)),0)))</f>
        <v/>
      </c>
      <c r="S98" s="70">
        <f>IF(NOT((COUNTA($B98:$K98)+COUNTA($N98))&gt;0),"",IF($B98&lt;&gt;"","Macro",IF($C98&lt;&gt;"","Sub","Macro")))</f>
        <v/>
      </c>
      <c r="T98" s="70">
        <f>IF($S98="Macro",COUNTIFS($R$5:$R$1000,ROW(),$S$5:$S$1000,"Sub"),"")</f>
        <v/>
      </c>
      <c r="U98" s="70">
        <f>IF($S98="","",IF(ISNUMBER($H98),$H98,0))</f>
        <v/>
      </c>
      <c r="V98" s="70">
        <f>IF($S98="","",IF(ISNUMBER($I98),$I98,$U98))</f>
        <v/>
      </c>
      <c r="W98" s="70">
        <f>IF($S98="","",IF(ISNUMBER($J98),$J98,$V98))</f>
        <v/>
      </c>
      <c r="X98" s="70">
        <f>IF($S98="","",IF(ISNUMBER($K98),$K98,$W98))</f>
        <v/>
      </c>
      <c r="Y98" s="70">
        <f>IF($S98="","",IF(N($T98)&gt;0,AVERAGEIFS($U$5:$U$1000,$R$5:$R$1000,ROW(),$S$5:$S$1000,"Sub"),$U98))</f>
        <v/>
      </c>
      <c r="Z98" s="70">
        <f>IF($S98="","",IF(N($T98)&gt;0,AVERAGEIFS($V$5:$V$1000,$R$5:$R$1000,ROW(),$S$5:$S$1000,"Sub"),$V98))</f>
        <v/>
      </c>
      <c r="AA98" s="70">
        <f>IF($S98="","",IF(N($T98)&gt;0,AVERAGEIFS($W$5:$W$1000,$R$5:$R$1000,ROW(),$S$5:$S$1000,"Sub"),$W98))</f>
        <v/>
      </c>
      <c r="AB98" s="70">
        <f>IF($S98="","",IF(N($T98)&gt;0,AVERAGEIFS($X$5:$X$1000,$R$5:$R$1000,ROW(),$S$5:$S$1000,"Sub"),$X98))</f>
        <v/>
      </c>
    </row>
    <row r="99">
      <c r="A99" s="61">
        <f>IF(NOT((COUNTA($B99:$K99)+COUNTA($N99))&gt;0),"",IF($S99="Macro",COUNTIFS($S$5:$S99,"Macro",$P$5:$P99,$P99),IF(N($R99)=0,"?",COUNTIFS(INDEX($S$5:$S$1000,1):INDEX($S$5:$S$1000,$R99-4),"Macro",INDEX($P$5:$P$1000,1):INDEX($P$5:$P$1000,$R99-4),INDEX($P$5:$P$1000,$R99-4))&amp;"."&amp;COUNTIFS($R$5:$R99,$R99,$S$5:$S99,"Sub"))))</f>
        <v/>
      </c>
      <c r="B99" s="62" t="n"/>
      <c r="C99" s="63" t="n"/>
      <c r="D99" s="62" t="n"/>
      <c r="E99" s="64" t="n"/>
      <c r="F99" s="64" t="n"/>
      <c r="G99" s="65" t="n"/>
      <c r="H99" s="66" t="n"/>
      <c r="I99" s="66" t="n"/>
      <c r="J99" s="66" t="n"/>
      <c r="K99" s="66" t="n"/>
      <c r="L99" s="67">
        <f>IF(NOT((COUNTA($B99:$K99)+COUNTA($N99))&gt;0),"",IF(N($T99)&gt;0,$AB99,IFERROR(LOOKUP(2,1/(H99:K99&lt;&gt;""),H99:K99),0)))</f>
        <v/>
      </c>
      <c r="M99" s="61">
        <f>IF(L99="","",IF(L99&gt;=1,"Completado",IF(L99&gt;0,"En curso","Pendiente")))</f>
        <v/>
      </c>
      <c r="N99" s="62" t="n"/>
      <c r="O99" s="68">
        <f>IF(NOT((COUNTA($B99:$K99)+COUNTA($N99))&gt;0),"",IF((IF(AND($S99="Macro",$B99=""),"Macroactividad vacía"&amp;" · ","")&amp;IF(AND($B99&lt;&gt;"",$C99&lt;&gt;""),"Escriba la subactividad en otra fila, debajo de su macroactividad"&amp;" · ","")&amp;IF(AND($S99="Sub",N($R99)=0),"Subactividad sin macroactividad arriba"&amp;" · ","")&amp;IF($D99="","Sin responsable"&amp;" · ","")&amp;IF($E99="","Sin fecha de inicio"&amp;" · ","")&amp;IF($F99="","Sin fecha límite"&amp;" · ","")&amp;IF(OR(AND($E99&lt;&gt;"",NOT(ISNUMBER($E99))),AND($F99&lt;&gt;"",NOT(ISNUMBER($F99)))),"Fecha no válida"&amp;" · ","")&amp;IF(AND(ISNUMBER($E99),ISNUMBER($F99),$E99&gt;$F99),"Inicio posterior a fecha límite"&amp;" · ","")&amp;IF(AND($S99="Macro",$G99=""),"Peso vacío"&amp;" · ","")&amp;IF(AND($S99="Macro",$G99&lt;&gt;"",OR(NOT(ISNUMBER($G99)),$G99&lt;=0,$G99&gt;1)),"Peso fuera de rango"&amp;" · ","")&amp;IF(AND($S99="Sub",$G99&lt;&gt;""),"Las subactividades no llevan peso"&amp;" · ","")&amp;IF(AND($S99="Macro",ABS(SUMIFS($G$5:$G$1000,$P$5:$P$1000,$P99,$S$5:$S$1000,"Macro")-1)&gt;0.0001),"Pesos del mes suman "&amp;TEXT(SUMIFS($G$5:$G$1000,$P$5:$P$1000,$P99,$S$5:$S$1000,"Macro"),"0%")&amp;" · ","")&amp;IF(AND(N($T99)&gt;0,COUNT($H99:$K99)&gt;0),"Con subactividades: deje vacías las semanas (se calculan solas)"&amp;" · ","")&amp;IF((COUNTIF($H99:$K99,"&gt;1")+COUNTIF($H99:$K99,"&lt;0")+COUNTA($H99:$K99)-COUNT($H99:$K99))&gt;0,"Avance fuera de rango 0-100%"&amp;" · ","")&amp;IF(OR(AND($I99&lt;&gt;"",$I99&lt;$H99),AND($J99&lt;&gt;"",$J99&lt;MAX($H99:$I99)),AND($K99&lt;&gt;"",$K99&lt;MAX($H99:$J99))),"Avance semanal decreciente"&amp;" · ","")&amp;IF(AND(ISNUMBER($F99),$F99&lt;FechaRef,N($L99)&lt;1),"Vencida"&amp;" · ","")&amp;IF(AND(ObsObligatoria="Sí",ISNUMBER($F99),$F99&lt;FechaRef,N($L99)&lt;1,$N99=""),"Vencida sin observación"&amp;" · ",""))="","✔ OK","⚠ "&amp;LEFT(IF(AND($S99="Macro",$B99=""),"Macroactividad vacía"&amp;" · ","")&amp;IF(AND($B99&lt;&gt;"",$C99&lt;&gt;""),"Escriba la subactividad en otra fila, debajo de su macroactividad"&amp;" · ","")&amp;IF(AND($S99="Sub",N($R99)=0),"Subactividad sin macroactividad arriba"&amp;" · ","")&amp;IF($D99="","Sin responsable"&amp;" · ","")&amp;IF($E99="","Sin fecha de inicio"&amp;" · ","")&amp;IF($F99="","Sin fecha límite"&amp;" · ","")&amp;IF(OR(AND($E99&lt;&gt;"",NOT(ISNUMBER($E99))),AND($F99&lt;&gt;"",NOT(ISNUMBER($F99)))),"Fecha no válida"&amp;" · ","")&amp;IF(AND(ISNUMBER($E99),ISNUMBER($F99),$E99&gt;$F99),"Inicio posterior a fecha límite"&amp;" · ","")&amp;IF(AND($S99="Macro",$G99=""),"Peso vacío"&amp;" · ","")&amp;IF(AND($S99="Macro",$G99&lt;&gt;"",OR(NOT(ISNUMBER($G99)),$G99&lt;=0,$G99&gt;1)),"Peso fuera de rango"&amp;" · ","")&amp;IF(AND($S99="Sub",$G99&lt;&gt;""),"Las subactividades no llevan peso"&amp;" · ","")&amp;IF(AND($S99="Macro",ABS(SUMIFS($G$5:$G$1000,$P$5:$P$1000,$P99,$S$5:$S$1000,"Macro")-1)&gt;0.0001),"Pesos del mes suman "&amp;TEXT(SUMIFS($G$5:$G$1000,$P$5:$P$1000,$P99,$S$5:$S$1000,"Macro"),"0%")&amp;" · ","")&amp;IF(AND(N($T99)&gt;0,COUNT($H99:$K99)&gt;0),"Con subactividades: deje vacías las semanas (se calculan solas)"&amp;" · ","")&amp;IF((COUNTIF($H99:$K99,"&gt;1")+COUNTIF($H99:$K99,"&lt;0")+COUNTA($H99:$K99)-COUNT($H99:$K99))&gt;0,"Avance fuera de rango 0-100%"&amp;" · ","")&amp;IF(OR(AND($I99&lt;&gt;"",$I99&lt;$H99),AND($J99&lt;&gt;"",$J99&lt;MAX($H99:$I99)),AND($K99&lt;&gt;"",$K99&lt;MAX($H99:$J99))),"Avance semanal decreciente"&amp;" · ","")&amp;IF(AND(ISNUMBER($F99),$F99&lt;FechaRef,N($L99)&lt;1),"Vencida"&amp;" · ","")&amp;IF(AND(ObsObligatoria="Sí",ISNUMBER($F99),$F99&lt;FechaRef,N($L99)&lt;1,$N99=""),"Vencida sin observación"&amp;" · ",""),LEN(IF(AND($S99="Macro",$B99=""),"Macroactividad vacía"&amp;" · ","")&amp;IF(AND($B99&lt;&gt;"",$C99&lt;&gt;""),"Escriba la subactividad en otra fila, debajo de su macroactividad"&amp;" · ","")&amp;IF(AND($S99="Sub",N($R99)=0),"Subactividad sin macroactividad arriba"&amp;" · ","")&amp;IF($D99="","Sin responsable"&amp;" · ","")&amp;IF($E99="","Sin fecha de inicio"&amp;" · ","")&amp;IF($F99="","Sin fecha límite"&amp;" · ","")&amp;IF(OR(AND($E99&lt;&gt;"",NOT(ISNUMBER($E99))),AND($F99&lt;&gt;"",NOT(ISNUMBER($F99)))),"Fecha no válida"&amp;" · ","")&amp;IF(AND(ISNUMBER($E99),ISNUMBER($F99),$E99&gt;$F99),"Inicio posterior a fecha límite"&amp;" · ","")&amp;IF(AND($S99="Macro",$G99=""),"Peso vacío"&amp;" · ","")&amp;IF(AND($S99="Macro",$G99&lt;&gt;"",OR(NOT(ISNUMBER($G99)),$G99&lt;=0,$G99&gt;1)),"Peso fuera de rango"&amp;" · ","")&amp;IF(AND($S99="Sub",$G99&lt;&gt;""),"Las subactividades no llevan peso"&amp;" · ","")&amp;IF(AND($S99="Macro",ABS(SUMIFS($G$5:$G$1000,$P$5:$P$1000,$P99,$S$5:$S$1000,"Macro")-1)&gt;0.0001),"Pesos del mes suman "&amp;TEXT(SUMIFS($G$5:$G$1000,$P$5:$P$1000,$P99,$S$5:$S$1000,"Macro"),"0%")&amp;" · ","")&amp;IF(AND(N($T99)&gt;0,COUNT($H99:$K99)&gt;0),"Con subactividades: deje vacías las semanas (se calculan solas)"&amp;" · ","")&amp;IF((COUNTIF($H99:$K99,"&gt;1")+COUNTIF($H99:$K99,"&lt;0")+COUNTA($H99:$K99)-COUNT($H99:$K99))&gt;0,"Avance fuera de rango 0-100%"&amp;" · ","")&amp;IF(OR(AND($I99&lt;&gt;"",$I99&lt;$H99),AND($J99&lt;&gt;"",$J99&lt;MAX($H99:$I99)),AND($K99&lt;&gt;"",$K99&lt;MAX($H99:$J99))),"Avance semanal decreciente"&amp;" · ","")&amp;IF(AND(ISNUMBER($F99),$F99&lt;FechaRef,N($L99)&lt;1),"Vencida"&amp;" · ","")&amp;IF(AND(ObsObligatoria="Sí",ISNUMBER($F99),$F99&lt;FechaRef,N($L99)&lt;1,$N99=""),"Vencida sin observación"&amp;" · ",""))-3)))</f>
        <v/>
      </c>
      <c r="P99" s="69">
        <f>IF(NOT((COUNTA($B99:$K99)+COUNTA($N99))&gt;0),"",IF(AND($S99="Sub",N($R99)&gt;0),IF(ISNUMBER(INDEX($E$5:$E$1000,$R99-4)),DATE(YEAR(INDEX($E$5:$E$1000,$R99-4)),MONTH(INDEX($E$5:$E$1000,$R99-4)),1),IF(ISNUMBER(INDEX($F$5:$F$1000,$R99-4)),DATE(YEAR(INDEX($F$5:$F$1000,$R99-4)),MONTH(INDEX($F$5:$F$1000,$R99-4)),1),MesCiclo)),IF(ISNUMBER($E99),DATE(YEAR($E99),MONTH($E99),1),IF(ISNUMBER($F99),DATE(YEAR($F99),MONTH($F99),1),MesCiclo))))</f>
        <v/>
      </c>
      <c r="Q99" s="70">
        <f>IF(OR($P99="",$P99&lt;&gt;MesCiclo),"",COUNTIF($P$5:$P99,MesCiclo))</f>
        <v/>
      </c>
      <c r="R99" s="70">
        <f>IF($S99="","",IF($S99="Macro",ROW(),IFERROR(LOOKUP(2,1/($S$5:$S99="Macro"),ROW($S$5:$S99)),0)))</f>
        <v/>
      </c>
      <c r="S99" s="70">
        <f>IF(NOT((COUNTA($B99:$K99)+COUNTA($N99))&gt;0),"",IF($B99&lt;&gt;"","Macro",IF($C99&lt;&gt;"","Sub","Macro")))</f>
        <v/>
      </c>
      <c r="T99" s="70">
        <f>IF($S99="Macro",COUNTIFS($R$5:$R$1000,ROW(),$S$5:$S$1000,"Sub"),"")</f>
        <v/>
      </c>
      <c r="U99" s="70">
        <f>IF($S99="","",IF(ISNUMBER($H99),$H99,0))</f>
        <v/>
      </c>
      <c r="V99" s="70">
        <f>IF($S99="","",IF(ISNUMBER($I99),$I99,$U99))</f>
        <v/>
      </c>
      <c r="W99" s="70">
        <f>IF($S99="","",IF(ISNUMBER($J99),$J99,$V99))</f>
        <v/>
      </c>
      <c r="X99" s="70">
        <f>IF($S99="","",IF(ISNUMBER($K99),$K99,$W99))</f>
        <v/>
      </c>
      <c r="Y99" s="70">
        <f>IF($S99="","",IF(N($T99)&gt;0,AVERAGEIFS($U$5:$U$1000,$R$5:$R$1000,ROW(),$S$5:$S$1000,"Sub"),$U99))</f>
        <v/>
      </c>
      <c r="Z99" s="70">
        <f>IF($S99="","",IF(N($T99)&gt;0,AVERAGEIFS($V$5:$V$1000,$R$5:$R$1000,ROW(),$S$5:$S$1000,"Sub"),$V99))</f>
        <v/>
      </c>
      <c r="AA99" s="70">
        <f>IF($S99="","",IF(N($T99)&gt;0,AVERAGEIFS($W$5:$W$1000,$R$5:$R$1000,ROW(),$S$5:$S$1000,"Sub"),$W99))</f>
        <v/>
      </c>
      <c r="AB99" s="70">
        <f>IF($S99="","",IF(N($T99)&gt;0,AVERAGEIFS($X$5:$X$1000,$R$5:$R$1000,ROW(),$S$5:$S$1000,"Sub"),$X99))</f>
        <v/>
      </c>
    </row>
    <row r="100">
      <c r="A100" s="61">
        <f>IF(NOT((COUNTA($B100:$K100)+COUNTA($N100))&gt;0),"",IF($S100="Macro",COUNTIFS($S$5:$S100,"Macro",$P$5:$P100,$P100),IF(N($R100)=0,"?",COUNTIFS(INDEX($S$5:$S$1000,1):INDEX($S$5:$S$1000,$R100-4),"Macro",INDEX($P$5:$P$1000,1):INDEX($P$5:$P$1000,$R100-4),INDEX($P$5:$P$1000,$R100-4))&amp;"."&amp;COUNTIFS($R$5:$R100,$R100,$S$5:$S100,"Sub"))))</f>
        <v/>
      </c>
      <c r="B100" s="62" t="n"/>
      <c r="C100" s="63" t="n"/>
      <c r="D100" s="62" t="n"/>
      <c r="E100" s="64" t="n"/>
      <c r="F100" s="64" t="n"/>
      <c r="G100" s="65" t="n"/>
      <c r="H100" s="66" t="n"/>
      <c r="I100" s="66" t="n"/>
      <c r="J100" s="66" t="n"/>
      <c r="K100" s="66" t="n"/>
      <c r="L100" s="67">
        <f>IF(NOT((COUNTA($B100:$K100)+COUNTA($N100))&gt;0),"",IF(N($T100)&gt;0,$AB100,IFERROR(LOOKUP(2,1/(H100:K100&lt;&gt;""),H100:K100),0)))</f>
        <v/>
      </c>
      <c r="M100" s="61">
        <f>IF(L100="","",IF(L100&gt;=1,"Completado",IF(L100&gt;0,"En curso","Pendiente")))</f>
        <v/>
      </c>
      <c r="N100" s="62" t="n"/>
      <c r="O100" s="68">
        <f>IF(NOT((COUNTA($B100:$K100)+COUNTA($N100))&gt;0),"",IF((IF(AND($S100="Macro",$B100=""),"Macroactividad vacía"&amp;" · ","")&amp;IF(AND($B100&lt;&gt;"",$C100&lt;&gt;""),"Escriba la subactividad en otra fila, debajo de su macroactividad"&amp;" · ","")&amp;IF(AND($S100="Sub",N($R100)=0),"Subactividad sin macroactividad arriba"&amp;" · ","")&amp;IF($D100="","Sin responsable"&amp;" · ","")&amp;IF($E100="","Sin fecha de inicio"&amp;" · ","")&amp;IF($F100="","Sin fecha límite"&amp;" · ","")&amp;IF(OR(AND($E100&lt;&gt;"",NOT(ISNUMBER($E100))),AND($F100&lt;&gt;"",NOT(ISNUMBER($F100)))),"Fecha no válida"&amp;" · ","")&amp;IF(AND(ISNUMBER($E100),ISNUMBER($F100),$E100&gt;$F100),"Inicio posterior a fecha límite"&amp;" · ","")&amp;IF(AND($S100="Macro",$G100=""),"Peso vacío"&amp;" · ","")&amp;IF(AND($S100="Macro",$G100&lt;&gt;"",OR(NOT(ISNUMBER($G100)),$G100&lt;=0,$G100&gt;1)),"Peso fuera de rango"&amp;" · ","")&amp;IF(AND($S100="Sub",$G100&lt;&gt;""),"Las subactividades no llevan peso"&amp;" · ","")&amp;IF(AND($S100="Macro",ABS(SUMIFS($G$5:$G$1000,$P$5:$P$1000,$P100,$S$5:$S$1000,"Macro")-1)&gt;0.0001),"Pesos del mes suman "&amp;TEXT(SUMIFS($G$5:$G$1000,$P$5:$P$1000,$P100,$S$5:$S$1000,"Macro"),"0%")&amp;" · ","")&amp;IF(AND(N($T100)&gt;0,COUNT($H100:$K100)&gt;0),"Con subactividades: deje vacías las semanas (se calculan solas)"&amp;"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","")&amp;IF(AND(ObsObligatoria="Sí",ISNUMBER($F100),$F100&lt;FechaRef,N($L100)&lt;1,$N100=""),"Vencida sin observación"&amp;" · ",""))="","✔ OK","⚠ "&amp;LEFT(IF(AND($S100="Macro",$B100=""),"Macroactividad vacía"&amp;" · ","")&amp;IF(AND($B100&lt;&gt;"",$C100&lt;&gt;""),"Escriba la subactividad en otra fila, debajo de su macroactividad"&amp;" · ","")&amp;IF(AND($S100="Sub",N($R100)=0),"Subactividad sin macroactividad arriba"&amp;" · ","")&amp;IF($D100="","Sin responsable"&amp;" · ","")&amp;IF($E100="","Sin fecha de inicio"&amp;" · ","")&amp;IF($F100="","Sin fecha límite"&amp;" · ","")&amp;IF(OR(AND($E100&lt;&gt;"",NOT(ISNUMBER($E100))),AND($F100&lt;&gt;"",NOT(ISNUMBER($F100)))),"Fecha no válida"&amp;" · ","")&amp;IF(AND(ISNUMBER($E100),ISNUMBER($F100),$E100&gt;$F100),"Inicio posterior a fecha límite"&amp;" · ","")&amp;IF(AND($S100="Macro",$G100=""),"Peso vacío"&amp;" · ","")&amp;IF(AND($S100="Macro",$G100&lt;&gt;"",OR(NOT(ISNUMBER($G100)),$G100&lt;=0,$G100&gt;1)),"Peso fuera de rango"&amp;" · ","")&amp;IF(AND($S100="Sub",$G100&lt;&gt;""),"Las subactividades no llevan peso"&amp;" · ","")&amp;IF(AND($S100="Macro",ABS(SUMIFS($G$5:$G$1000,$P$5:$P$1000,$P100,$S$5:$S$1000,"Macro")-1)&gt;0.0001),"Pesos del mes suman "&amp;TEXT(SUMIFS($G$5:$G$1000,$P$5:$P$1000,$P100,$S$5:$S$1000,"Macro"),"0%")&amp;" · ","")&amp;IF(AND(N($T100)&gt;0,COUNT($H100:$K100)&gt;0),"Con subactividades: deje vacías las semanas (se calculan solas)"&amp;"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","")&amp;IF(AND(ObsObligatoria="Sí",ISNUMBER($F100),$F100&lt;FechaRef,N($L100)&lt;1,$N100=""),"Vencida sin observación"&amp;" · ",""),LEN(IF(AND($S100="Macro",$B100=""),"Macroactividad vacía"&amp;" · ","")&amp;IF(AND($B100&lt;&gt;"",$C100&lt;&gt;""),"Escriba la subactividad en otra fila, debajo de su macroactividad"&amp;" · ","")&amp;IF(AND($S100="Sub",N($R100)=0),"Subactividad sin macroactividad arriba"&amp;" · ","")&amp;IF($D100="","Sin responsable"&amp;" · ","")&amp;IF($E100="","Sin fecha de inicio"&amp;" · ","")&amp;IF($F100="","Sin fecha límite"&amp;" · ","")&amp;IF(OR(AND($E100&lt;&gt;"",NOT(ISNUMBER($E100))),AND($F100&lt;&gt;"",NOT(ISNUMBER($F100)))),"Fecha no válida"&amp;" · ","")&amp;IF(AND(ISNUMBER($E100),ISNUMBER($F100),$E100&gt;$F100),"Inicio posterior a fecha límite"&amp;" · ","")&amp;IF(AND($S100="Macro",$G100=""),"Peso vacío"&amp;" · ","")&amp;IF(AND($S100="Macro",$G100&lt;&gt;"",OR(NOT(ISNUMBER($G100)),$G100&lt;=0,$G100&gt;1)),"Peso fuera de rango"&amp;" · ","")&amp;IF(AND($S100="Sub",$G100&lt;&gt;""),"Las subactividades no llevan peso"&amp;" · ","")&amp;IF(AND($S100="Macro",ABS(SUMIFS($G$5:$G$1000,$P$5:$P$1000,$P100,$S$5:$S$1000,"Macro")-1)&gt;0.0001),"Pesos del mes suman "&amp;TEXT(SUMIFS($G$5:$G$1000,$P$5:$P$1000,$P100,$S$5:$S$1000,"Macro"),"0%")&amp;" · ","")&amp;IF(AND(N($T100)&gt;0,COUNT($H100:$K100)&gt;0),"Con subactividades: deje vacías las semanas (se calculan solas)"&amp;"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","")&amp;IF(AND(ObsObligatoria="Sí",ISNUMBER($F100),$F100&lt;FechaRef,N($L100)&lt;1,$N100=""),"Vencida sin observación"&amp;" · ",""))-3)))</f>
        <v/>
      </c>
      <c r="P100" s="69">
        <f>IF(NOT((COUNTA($B100:$K100)+COUNTA($N100))&gt;0),"",IF(AND($S100="Sub",N($R100)&gt;0),IF(ISNUMBER(INDEX($E$5:$E$1000,$R100-4)),DATE(YEAR(INDEX($E$5:$E$1000,$R100-4)),MONTH(INDEX($E$5:$E$1000,$R100-4)),1),IF(ISNUMBER(INDEX($F$5:$F$1000,$R100-4)),DATE(YEAR(INDEX($F$5:$F$1000,$R100-4)),MONTH(INDEX($F$5:$F$1000,$R100-4)),1),MesCiclo)),IF(ISNUMBER($E100),DATE(YEAR($E100),MONTH($E100),1),IF(ISNUMBER($F100),DATE(YEAR($F100),MONTH($F100),1),MesCiclo))))</f>
        <v/>
      </c>
      <c r="Q100" s="70">
        <f>IF(OR($P100="",$P100&lt;&gt;MesCiclo),"",COUNTIF($P$5:$P100,MesCiclo))</f>
        <v/>
      </c>
      <c r="R100" s="70">
        <f>IF($S100="","",IF($S100="Macro",ROW(),IFERROR(LOOKUP(2,1/($S$5:$S100="Macro"),ROW($S$5:$S100)),0)))</f>
        <v/>
      </c>
      <c r="S100" s="70">
        <f>IF(NOT((COUNTA($B100:$K100)+COUNTA($N100))&gt;0),"",IF($B100&lt;&gt;"","Macro",IF($C100&lt;&gt;"","Sub","Macro")))</f>
        <v/>
      </c>
      <c r="T100" s="70">
        <f>IF($S100="Macro",COUNTIFS($R$5:$R$1000,ROW(),$S$5:$S$1000,"Sub"),"")</f>
        <v/>
      </c>
      <c r="U100" s="70">
        <f>IF($S100="","",IF(ISNUMBER($H100),$H100,0))</f>
        <v/>
      </c>
      <c r="V100" s="70">
        <f>IF($S100="","",IF(ISNUMBER($I100),$I100,$U100))</f>
        <v/>
      </c>
      <c r="W100" s="70">
        <f>IF($S100="","",IF(ISNUMBER($J100),$J100,$V100))</f>
        <v/>
      </c>
      <c r="X100" s="70">
        <f>IF($S100="","",IF(ISNUMBER($K100),$K100,$W100))</f>
        <v/>
      </c>
      <c r="Y100" s="70">
        <f>IF($S100="","",IF(N($T100)&gt;0,AVERAGEIFS($U$5:$U$1000,$R$5:$R$1000,ROW(),$S$5:$S$1000,"Sub"),$U100))</f>
        <v/>
      </c>
      <c r="Z100" s="70">
        <f>IF($S100="","",IF(N($T100)&gt;0,AVERAGEIFS($V$5:$V$1000,$R$5:$R$1000,ROW(),$S$5:$S$1000,"Sub"),$V100))</f>
        <v/>
      </c>
      <c r="AA100" s="70">
        <f>IF($S100="","",IF(N($T100)&gt;0,AVERAGEIFS($W$5:$W$1000,$R$5:$R$1000,ROW(),$S$5:$S$1000,"Sub"),$W100))</f>
        <v/>
      </c>
      <c r="AB100" s="70">
        <f>IF($S100="","",IF(N($T100)&gt;0,AVERAGEIFS($X$5:$X$1000,$R$5:$R$1000,ROW(),$S$5:$S$1000,"Sub"),$X100))</f>
        <v/>
      </c>
    </row>
    <row r="101">
      <c r="A101" s="61">
        <f>IF(NOT((COUNTA($B101:$K101)+COUNTA($N101))&gt;0),"",IF($S101="Macro",COUNTIFS($S$5:$S101,"Macro",$P$5:$P101,$P101),IF(N($R101)=0,"?",COUNTIFS(INDEX($S$5:$S$1000,1):INDEX($S$5:$S$1000,$R101-4),"Macro",INDEX($P$5:$P$1000,1):INDEX($P$5:$P$1000,$R101-4),INDEX($P$5:$P$1000,$R101-4))&amp;"."&amp;COUNTIFS($R$5:$R101,$R101,$S$5:$S101,"Sub"))))</f>
        <v/>
      </c>
      <c r="B101" s="62" t="n"/>
      <c r="C101" s="63" t="n"/>
      <c r="D101" s="62" t="n"/>
      <c r="E101" s="64" t="n"/>
      <c r="F101" s="64" t="n"/>
      <c r="G101" s="65" t="n"/>
      <c r="H101" s="66" t="n"/>
      <c r="I101" s="66" t="n"/>
      <c r="J101" s="66" t="n"/>
      <c r="K101" s="66" t="n"/>
      <c r="L101" s="67">
        <f>IF(NOT((COUNTA($B101:$K101)+COUNTA($N101))&gt;0),"",IF(N($T101)&gt;0,$AB101,IFERROR(LOOKUP(2,1/(H101:K101&lt;&gt;""),H101:K101),0)))</f>
        <v/>
      </c>
      <c r="M101" s="61">
        <f>IF(L101="","",IF(L101&gt;=1,"Completado",IF(L101&gt;0,"En curso","Pendiente")))</f>
        <v/>
      </c>
      <c r="N101" s="62" t="n"/>
      <c r="O101" s="68">
        <f>IF(NOT((COUNTA($B101:$K101)+COUNTA($N101))&gt;0),"",IF((IF(AND($S101="Macro",$B101=""),"Macroactividad vacía"&amp;" · ","")&amp;IF(AND($B101&lt;&gt;"",$C101&lt;&gt;""),"Escriba la subactividad en otra fila, debajo de su macroactividad"&amp;" · ","")&amp;IF(AND($S101="Sub",N($R101)=0),"Subactividad sin macroactividad arriba"&amp;" · ","")&amp;IF($D101="","Sin responsable"&amp;" · ","")&amp;IF($E101="","Sin fecha de inicio"&amp;" · ","")&amp;IF($F101="","Sin fecha límite"&amp;" · ","")&amp;IF(OR(AND($E101&lt;&gt;"",NOT(ISNUMBER($E101))),AND($F101&lt;&gt;"",NOT(ISNUMBER($F101)))),"Fecha no válida"&amp;" · ","")&amp;IF(AND(ISNUMBER($E101),ISNUMBER($F101),$E101&gt;$F101),"Inicio posterior a fecha límite"&amp;" · ","")&amp;IF(AND($S101="Macro",$G101=""),"Peso vacío"&amp;" · ","")&amp;IF(AND($S101="Macro",$G101&lt;&gt;"",OR(NOT(ISNUMBER($G101)),$G101&lt;=0,$G101&gt;1)),"Peso fuera de rango"&amp;" · ","")&amp;IF(AND($S101="Sub",$G101&lt;&gt;""),"Las subactividades no llevan peso"&amp;" · ","")&amp;IF(AND($S101="Macro",ABS(SUMIFS($G$5:$G$1000,$P$5:$P$1000,$P101,$S$5:$S$1000,"Macro")-1)&gt;0.0001),"Pesos del mes suman "&amp;TEXT(SUMIFS($G$5:$G$1000,$P$5:$P$1000,$P101,$S$5:$S$1000,"Macro"),"0%")&amp;" · ","")&amp;IF(AND(N($T101)&gt;0,COUNT($H101:$K101)&gt;0),"Con subactividades: deje vacías las semanas (se calculan solas)"&amp;"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","")&amp;IF(AND(ObsObligatoria="Sí",ISNUMBER($F101),$F101&lt;FechaRef,N($L101)&lt;1,$N101=""),"Vencida sin observación"&amp;" · ",""))="","✔ OK","⚠ "&amp;LEFT(IF(AND($S101="Macro",$B101=""),"Macroactividad vacía"&amp;" · ","")&amp;IF(AND($B101&lt;&gt;"",$C101&lt;&gt;""),"Escriba la subactividad en otra fila, debajo de su macroactividad"&amp;" · ","")&amp;IF(AND($S101="Sub",N($R101)=0),"Subactividad sin macroactividad arriba"&amp;" · ","")&amp;IF($D101="","Sin responsable"&amp;" · ","")&amp;IF($E101="","Sin fecha de inicio"&amp;" · ","")&amp;IF($F101="","Sin fecha límite"&amp;" · ","")&amp;IF(OR(AND($E101&lt;&gt;"",NOT(ISNUMBER($E101))),AND($F101&lt;&gt;"",NOT(ISNUMBER($F101)))),"Fecha no válida"&amp;" · ","")&amp;IF(AND(ISNUMBER($E101),ISNUMBER($F101),$E101&gt;$F101),"Inicio posterior a fecha límite"&amp;" · ","")&amp;IF(AND($S101="Macro",$G101=""),"Peso vacío"&amp;" · ","")&amp;IF(AND($S101="Macro",$G101&lt;&gt;"",OR(NOT(ISNUMBER($G101)),$G101&lt;=0,$G101&gt;1)),"Peso fuera de rango"&amp;" · ","")&amp;IF(AND($S101="Sub",$G101&lt;&gt;""),"Las subactividades no llevan peso"&amp;" · ","")&amp;IF(AND($S101="Macro",ABS(SUMIFS($G$5:$G$1000,$P$5:$P$1000,$P101,$S$5:$S$1000,"Macro")-1)&gt;0.0001),"Pesos del mes suman "&amp;TEXT(SUMIFS($G$5:$G$1000,$P$5:$P$1000,$P101,$S$5:$S$1000,"Macro"),"0%")&amp;" · ","")&amp;IF(AND(N($T101)&gt;0,COUNT($H101:$K101)&gt;0),"Con subactividades: deje vacías las semanas (se calculan solas)"&amp;"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","")&amp;IF(AND(ObsObligatoria="Sí",ISNUMBER($F101),$F101&lt;FechaRef,N($L101)&lt;1,$N101=""),"Vencida sin observación"&amp;" · ",""),LEN(IF(AND($S101="Macro",$B101=""),"Macroactividad vacía"&amp;" · ","")&amp;IF(AND($B101&lt;&gt;"",$C101&lt;&gt;""),"Escriba la subactividad en otra fila, debajo de su macroactividad"&amp;" · ","")&amp;IF(AND($S101="Sub",N($R101)=0),"Subactividad sin macroactividad arriba"&amp;" · ","")&amp;IF($D101="","Sin responsable"&amp;" · ","")&amp;IF($E101="","Sin fecha de inicio"&amp;" · ","")&amp;IF($F101="","Sin fecha límite"&amp;" · ","")&amp;IF(OR(AND($E101&lt;&gt;"",NOT(ISNUMBER($E101))),AND($F101&lt;&gt;"",NOT(ISNUMBER($F101)))),"Fecha no válida"&amp;" · ","")&amp;IF(AND(ISNUMBER($E101),ISNUMBER($F101),$E101&gt;$F101),"Inicio posterior a fecha límite"&amp;" · ","")&amp;IF(AND($S101="Macro",$G101=""),"Peso vacío"&amp;" · ","")&amp;IF(AND($S101="Macro",$G101&lt;&gt;"",OR(NOT(ISNUMBER($G101)),$G101&lt;=0,$G101&gt;1)),"Peso fuera de rango"&amp;" · ","")&amp;IF(AND($S101="Sub",$G101&lt;&gt;""),"Las subactividades no llevan peso"&amp;" · ","")&amp;IF(AND($S101="Macro",ABS(SUMIFS($G$5:$G$1000,$P$5:$P$1000,$P101,$S$5:$S$1000,"Macro")-1)&gt;0.0001),"Pesos del mes suman "&amp;TEXT(SUMIFS($G$5:$G$1000,$P$5:$P$1000,$P101,$S$5:$S$1000,"Macro"),"0%")&amp;" · ","")&amp;IF(AND(N($T101)&gt;0,COUNT($H101:$K101)&gt;0),"Con subactividades: deje vacías las semanas (se calculan solas)"&amp;"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","")&amp;IF(AND(ObsObligatoria="Sí",ISNUMBER($F101),$F101&lt;FechaRef,N($L101)&lt;1,$N101=""),"Vencida sin observación"&amp;" · ",""))-3)))</f>
        <v/>
      </c>
      <c r="P101" s="69">
        <f>IF(NOT((COUNTA($B101:$K101)+COUNTA($N101))&gt;0),"",IF(AND($S101="Sub",N($R101)&gt;0),IF(ISNUMBER(INDEX($E$5:$E$1000,$R101-4)),DATE(YEAR(INDEX($E$5:$E$1000,$R101-4)),MONTH(INDEX($E$5:$E$1000,$R101-4)),1),IF(ISNUMBER(INDEX($F$5:$F$1000,$R101-4)),DATE(YEAR(INDEX($F$5:$F$1000,$R101-4)),MONTH(INDEX($F$5:$F$1000,$R101-4)),1),MesCiclo)),IF(ISNUMBER($E101),DATE(YEAR($E101),MONTH($E101),1),IF(ISNUMBER($F101),DATE(YEAR($F101),MONTH($F101),1),MesCiclo))))</f>
        <v/>
      </c>
      <c r="Q101" s="70">
        <f>IF(OR($P101="",$P101&lt;&gt;MesCiclo),"",COUNTIF($P$5:$P101,MesCiclo))</f>
        <v/>
      </c>
      <c r="R101" s="70">
        <f>IF($S101="","",IF($S101="Macro",ROW(),IFERROR(LOOKUP(2,1/($S$5:$S101="Macro"),ROW($S$5:$S101)),0)))</f>
        <v/>
      </c>
      <c r="S101" s="70">
        <f>IF(NOT((COUNTA($B101:$K101)+COUNTA($N101))&gt;0),"",IF($B101&lt;&gt;"","Macro",IF($C101&lt;&gt;"","Sub","Macro")))</f>
        <v/>
      </c>
      <c r="T101" s="70">
        <f>IF($S101="Macro",COUNTIFS($R$5:$R$1000,ROW(),$S$5:$S$1000,"Sub"),"")</f>
        <v/>
      </c>
      <c r="U101" s="70">
        <f>IF($S101="","",IF(ISNUMBER($H101),$H101,0))</f>
        <v/>
      </c>
      <c r="V101" s="70">
        <f>IF($S101="","",IF(ISNUMBER($I101),$I101,$U101))</f>
        <v/>
      </c>
      <c r="W101" s="70">
        <f>IF($S101="","",IF(ISNUMBER($J101),$J101,$V101))</f>
        <v/>
      </c>
      <c r="X101" s="70">
        <f>IF($S101="","",IF(ISNUMBER($K101),$K101,$W101))</f>
        <v/>
      </c>
      <c r="Y101" s="70">
        <f>IF($S101="","",IF(N($T101)&gt;0,AVERAGEIFS($U$5:$U$1000,$R$5:$R$1000,ROW(),$S$5:$S$1000,"Sub"),$U101))</f>
        <v/>
      </c>
      <c r="Z101" s="70">
        <f>IF($S101="","",IF(N($T101)&gt;0,AVERAGEIFS($V$5:$V$1000,$R$5:$R$1000,ROW(),$S$5:$S$1000,"Sub"),$V101))</f>
        <v/>
      </c>
      <c r="AA101" s="70">
        <f>IF($S101="","",IF(N($T101)&gt;0,AVERAGEIFS($W$5:$W$1000,$R$5:$R$1000,ROW(),$S$5:$S$1000,"Sub"),$W101))</f>
        <v/>
      </c>
      <c r="AB101" s="70">
        <f>IF($S101="","",IF(N($T101)&gt;0,AVERAGEIFS($X$5:$X$1000,$R$5:$R$1000,ROW(),$S$5:$S$1000,"Sub"),$X101))</f>
        <v/>
      </c>
    </row>
    <row r="102">
      <c r="A102" s="61">
        <f>IF(NOT((COUNTA($B102:$K102)+COUNTA($N102))&gt;0),"",IF($S102="Macro",COUNTIFS($S$5:$S102,"Macro",$P$5:$P102,$P102),IF(N($R102)=0,"?",COUNTIFS(INDEX($S$5:$S$1000,1):INDEX($S$5:$S$1000,$R102-4),"Macro",INDEX($P$5:$P$1000,1):INDEX($P$5:$P$1000,$R102-4),INDEX($P$5:$P$1000,$R102-4))&amp;"."&amp;COUNTIFS($R$5:$R102,$R102,$S$5:$S102,"Sub"))))</f>
        <v/>
      </c>
      <c r="B102" s="62" t="n"/>
      <c r="C102" s="63" t="n"/>
      <c r="D102" s="62" t="n"/>
      <c r="E102" s="64" t="n"/>
      <c r="F102" s="64" t="n"/>
      <c r="G102" s="65" t="n"/>
      <c r="H102" s="66" t="n"/>
      <c r="I102" s="66" t="n"/>
      <c r="J102" s="66" t="n"/>
      <c r="K102" s="66" t="n"/>
      <c r="L102" s="67">
        <f>IF(NOT((COUNTA($B102:$K102)+COUNTA($N102))&gt;0),"",IF(N($T102)&gt;0,$AB102,IFERROR(LOOKUP(2,1/(H102:K102&lt;&gt;""),H102:K102),0)))</f>
        <v/>
      </c>
      <c r="M102" s="61">
        <f>IF(L102="","",IF(L102&gt;=1,"Completado",IF(L102&gt;0,"En curso","Pendiente")))</f>
        <v/>
      </c>
      <c r="N102" s="62" t="n"/>
      <c r="O102" s="68">
        <f>IF(NOT((COUNTA($B102:$K102)+COUNTA($N102))&gt;0),"",IF((IF(AND($S102="Macro",$B102=""),"Macroactividad vacía"&amp;" · ","")&amp;IF(AND($B102&lt;&gt;"",$C102&lt;&gt;""),"Escriba la subactividad en otra fila, debajo de su macroactividad"&amp;" · ","")&amp;IF(AND($S102="Sub",N($R102)=0),"Subactividad sin macroactividad arriba"&amp;" · ","")&amp;IF($D102="","Sin responsable"&amp;" · ","")&amp;IF($E102="","Sin fecha de inicio"&amp;" · ","")&amp;IF($F102="","Sin fecha límite"&amp;" · ","")&amp;IF(OR(AND($E102&lt;&gt;"",NOT(ISNUMBER($E102))),AND($F102&lt;&gt;"",NOT(ISNUMBER($F102)))),"Fecha no válida"&amp;" · ","")&amp;IF(AND(ISNUMBER($E102),ISNUMBER($F102),$E102&gt;$F102),"Inicio posterior a fecha límite"&amp;" · ","")&amp;IF(AND($S102="Macro",$G102=""),"Peso vacío"&amp;" · ","")&amp;IF(AND($S102="Macro",$G102&lt;&gt;"",OR(NOT(ISNUMBER($G102)),$G102&lt;=0,$G102&gt;1)),"Peso fuera de rango"&amp;" · ","")&amp;IF(AND($S102="Sub",$G102&lt;&gt;""),"Las subactividades no llevan peso"&amp;" · ","")&amp;IF(AND($S102="Macro",ABS(SUMIFS($G$5:$G$1000,$P$5:$P$1000,$P102,$S$5:$S$1000,"Macro")-1)&gt;0.0001),"Pesos del mes suman "&amp;TEXT(SUMIFS($G$5:$G$1000,$P$5:$P$1000,$P102,$S$5:$S$1000,"Macro"),"0%")&amp;" · ","")&amp;IF(AND(N($T102)&gt;0,COUNT($H102:$K102)&gt;0),"Con subactividades: deje vacías las semanas (se calculan solas)"&amp;"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","")&amp;IF(AND(ObsObligatoria="Sí",ISNUMBER($F102),$F102&lt;FechaRef,N($L102)&lt;1,$N102=""),"Vencida sin observación"&amp;" · ",""))="","✔ OK","⚠ "&amp;LEFT(IF(AND($S102="Macro",$B102=""),"Macroactividad vacía"&amp;" · ","")&amp;IF(AND($B102&lt;&gt;"",$C102&lt;&gt;""),"Escriba la subactividad en otra fila, debajo de su macroactividad"&amp;" · ","")&amp;IF(AND($S102="Sub",N($R102)=0),"Subactividad sin macroactividad arriba"&amp;" · ","")&amp;IF($D102="","Sin responsable"&amp;" · ","")&amp;IF($E102="","Sin fecha de inicio"&amp;" · ","")&amp;IF($F102="","Sin fecha límite"&amp;" · ","")&amp;IF(OR(AND($E102&lt;&gt;"",NOT(ISNUMBER($E102))),AND($F102&lt;&gt;"",NOT(ISNUMBER($F102)))),"Fecha no válida"&amp;" · ","")&amp;IF(AND(ISNUMBER($E102),ISNUMBER($F102),$E102&gt;$F102),"Inicio posterior a fecha límite"&amp;" · ","")&amp;IF(AND($S102="Macro",$G102=""),"Peso vacío"&amp;" · ","")&amp;IF(AND($S102="Macro",$G102&lt;&gt;"",OR(NOT(ISNUMBER($G102)),$G102&lt;=0,$G102&gt;1)),"Peso fuera de rango"&amp;" · ","")&amp;IF(AND($S102="Sub",$G102&lt;&gt;""),"Las subactividades no llevan peso"&amp;" · ","")&amp;IF(AND($S102="Macro",ABS(SUMIFS($G$5:$G$1000,$P$5:$P$1000,$P102,$S$5:$S$1000,"Macro")-1)&gt;0.0001),"Pesos del mes suman "&amp;TEXT(SUMIFS($G$5:$G$1000,$P$5:$P$1000,$P102,$S$5:$S$1000,"Macro"),"0%")&amp;" · ","")&amp;IF(AND(N($T102)&gt;0,COUNT($H102:$K102)&gt;0),"Con subactividades: deje vacías las semanas (se calculan solas)"&amp;"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","")&amp;IF(AND(ObsObligatoria="Sí",ISNUMBER($F102),$F102&lt;FechaRef,N($L102)&lt;1,$N102=""),"Vencida sin observación"&amp;" · ",""),LEN(IF(AND($S102="Macro",$B102=""),"Macroactividad vacía"&amp;" · ","")&amp;IF(AND($B102&lt;&gt;"",$C102&lt;&gt;""),"Escriba la subactividad en otra fila, debajo de su macroactividad"&amp;" · ","")&amp;IF(AND($S102="Sub",N($R102)=0),"Subactividad sin macroactividad arriba"&amp;" · ","")&amp;IF($D102="","Sin responsable"&amp;" · ","")&amp;IF($E102="","Sin fecha de inicio"&amp;" · ","")&amp;IF($F102="","Sin fecha límite"&amp;" · ","")&amp;IF(OR(AND($E102&lt;&gt;"",NOT(ISNUMBER($E102))),AND($F102&lt;&gt;"",NOT(ISNUMBER($F102)))),"Fecha no válida"&amp;" · ","")&amp;IF(AND(ISNUMBER($E102),ISNUMBER($F102),$E102&gt;$F102),"Inicio posterior a fecha límite"&amp;" · ","")&amp;IF(AND($S102="Macro",$G102=""),"Peso vacío"&amp;" · ","")&amp;IF(AND($S102="Macro",$G102&lt;&gt;"",OR(NOT(ISNUMBER($G102)),$G102&lt;=0,$G102&gt;1)),"Peso fuera de rango"&amp;" · ","")&amp;IF(AND($S102="Sub",$G102&lt;&gt;""),"Las subactividades no llevan peso"&amp;" · ","")&amp;IF(AND($S102="Macro",ABS(SUMIFS($G$5:$G$1000,$P$5:$P$1000,$P102,$S$5:$S$1000,"Macro")-1)&gt;0.0001),"Pesos del mes suman "&amp;TEXT(SUMIFS($G$5:$G$1000,$P$5:$P$1000,$P102,$S$5:$S$1000,"Macro"),"0%")&amp;" · ","")&amp;IF(AND(N($T102)&gt;0,COUNT($H102:$K102)&gt;0),"Con subactividades: deje vacías las semanas (se calculan solas)"&amp;"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","")&amp;IF(AND(ObsObligatoria="Sí",ISNUMBER($F102),$F102&lt;FechaRef,N($L102)&lt;1,$N102=""),"Vencida sin observación"&amp;" · ",""))-3)))</f>
        <v/>
      </c>
      <c r="P102" s="69">
        <f>IF(NOT((COUNTA($B102:$K102)+COUNTA($N102))&gt;0),"",IF(AND($S102="Sub",N($R102)&gt;0),IF(ISNUMBER(INDEX($E$5:$E$1000,$R102-4)),DATE(YEAR(INDEX($E$5:$E$1000,$R102-4)),MONTH(INDEX($E$5:$E$1000,$R102-4)),1),IF(ISNUMBER(INDEX($F$5:$F$1000,$R102-4)),DATE(YEAR(INDEX($F$5:$F$1000,$R102-4)),MONTH(INDEX($F$5:$F$1000,$R102-4)),1),MesCiclo)),IF(ISNUMBER($E102),DATE(YEAR($E102),MONTH($E102),1),IF(ISNUMBER($F102),DATE(YEAR($F102),MONTH($F102),1),MesCiclo))))</f>
        <v/>
      </c>
      <c r="Q102" s="70">
        <f>IF(OR($P102="",$P102&lt;&gt;MesCiclo),"",COUNTIF($P$5:$P102,MesCiclo))</f>
        <v/>
      </c>
      <c r="R102" s="70">
        <f>IF($S102="","",IF($S102="Macro",ROW(),IFERROR(LOOKUP(2,1/($S$5:$S102="Macro"),ROW($S$5:$S102)),0)))</f>
        <v/>
      </c>
      <c r="S102" s="70">
        <f>IF(NOT((COUNTA($B102:$K102)+COUNTA($N102))&gt;0),"",IF($B102&lt;&gt;"","Macro",IF($C102&lt;&gt;"","Sub","Macro")))</f>
        <v/>
      </c>
      <c r="T102" s="70">
        <f>IF($S102="Macro",COUNTIFS($R$5:$R$1000,ROW(),$S$5:$S$1000,"Sub"),"")</f>
        <v/>
      </c>
      <c r="U102" s="70">
        <f>IF($S102="","",IF(ISNUMBER($H102),$H102,0))</f>
        <v/>
      </c>
      <c r="V102" s="70">
        <f>IF($S102="","",IF(ISNUMBER($I102),$I102,$U102))</f>
        <v/>
      </c>
      <c r="W102" s="70">
        <f>IF($S102="","",IF(ISNUMBER($J102),$J102,$V102))</f>
        <v/>
      </c>
      <c r="X102" s="70">
        <f>IF($S102="","",IF(ISNUMBER($K102),$K102,$W102))</f>
        <v/>
      </c>
      <c r="Y102" s="70">
        <f>IF($S102="","",IF(N($T102)&gt;0,AVERAGEIFS($U$5:$U$1000,$R$5:$R$1000,ROW(),$S$5:$S$1000,"Sub"),$U102))</f>
        <v/>
      </c>
      <c r="Z102" s="70">
        <f>IF($S102="","",IF(N($T102)&gt;0,AVERAGEIFS($V$5:$V$1000,$R$5:$R$1000,ROW(),$S$5:$S$1000,"Sub"),$V102))</f>
        <v/>
      </c>
      <c r="AA102" s="70">
        <f>IF($S102="","",IF(N($T102)&gt;0,AVERAGEIFS($W$5:$W$1000,$R$5:$R$1000,ROW(),$S$5:$S$1000,"Sub"),$W102))</f>
        <v/>
      </c>
      <c r="AB102" s="70">
        <f>IF($S102="","",IF(N($T102)&gt;0,AVERAGEIFS($X$5:$X$1000,$R$5:$R$1000,ROW(),$S$5:$S$1000,"Sub"),$X102))</f>
        <v/>
      </c>
    </row>
    <row r="103">
      <c r="A103" s="61">
        <f>IF(NOT((COUNTA($B103:$K103)+COUNTA($N103))&gt;0),"",IF($S103="Macro",COUNTIFS($S$5:$S103,"Macro",$P$5:$P103,$P103),IF(N($R103)=0,"?",COUNTIFS(INDEX($S$5:$S$1000,1):INDEX($S$5:$S$1000,$R103-4),"Macro",INDEX($P$5:$P$1000,1):INDEX($P$5:$P$1000,$R103-4),INDEX($P$5:$P$1000,$R103-4))&amp;"."&amp;COUNTIFS($R$5:$R103,$R103,$S$5:$S103,"Sub"))))</f>
        <v/>
      </c>
      <c r="B103" s="62" t="n"/>
      <c r="C103" s="63" t="n"/>
      <c r="D103" s="62" t="n"/>
      <c r="E103" s="64" t="n"/>
      <c r="F103" s="64" t="n"/>
      <c r="G103" s="65" t="n"/>
      <c r="H103" s="66" t="n"/>
      <c r="I103" s="66" t="n"/>
      <c r="J103" s="66" t="n"/>
      <c r="K103" s="66" t="n"/>
      <c r="L103" s="67">
        <f>IF(NOT((COUNTA($B103:$K103)+COUNTA($N103))&gt;0),"",IF(N($T103)&gt;0,$AB103,IFERROR(LOOKUP(2,1/(H103:K103&lt;&gt;""),H103:K103),0)))</f>
        <v/>
      </c>
      <c r="M103" s="61">
        <f>IF(L103="","",IF(L103&gt;=1,"Completado",IF(L103&gt;0,"En curso","Pendiente")))</f>
        <v/>
      </c>
      <c r="N103" s="62" t="n"/>
      <c r="O103" s="68">
        <f>IF(NOT((COUNTA($B103:$K103)+COUNTA($N103))&gt;0),"",IF((IF(AND($S103="Macro",$B103=""),"Macroactividad vacía"&amp;" · ","")&amp;IF(AND($B103&lt;&gt;"",$C103&lt;&gt;""),"Escriba la subactividad en otra fila, debajo de su macroactividad"&amp;" · ","")&amp;IF(AND($S103="Sub",N($R103)=0),"Subactividad sin macroactividad arriba"&amp;" · ","")&amp;IF($D103="","Sin responsable"&amp;" · ","")&amp;IF($E103="","Sin fecha de inicio"&amp;" · ","")&amp;IF($F103="","Sin fecha límite"&amp;" · ","")&amp;IF(OR(AND($E103&lt;&gt;"",NOT(ISNUMBER($E103))),AND($F103&lt;&gt;"",NOT(ISNUMBER($F103)))),"Fecha no válida"&amp;" · ","")&amp;IF(AND(ISNUMBER($E103),ISNUMBER($F103),$E103&gt;$F103),"Inicio posterior a fecha límite"&amp;" · ","")&amp;IF(AND($S103="Macro",$G103=""),"Peso vacío"&amp;" · ","")&amp;IF(AND($S103="Macro",$G103&lt;&gt;"",OR(NOT(ISNUMBER($G103)),$G103&lt;=0,$G103&gt;1)),"Peso fuera de rango"&amp;" · ","")&amp;IF(AND($S103="Sub",$G103&lt;&gt;""),"Las subactividades no llevan peso"&amp;" · ","")&amp;IF(AND($S103="Macro",ABS(SUMIFS($G$5:$G$1000,$P$5:$P$1000,$P103,$S$5:$S$1000,"Macro")-1)&gt;0.0001),"Pesos del mes suman "&amp;TEXT(SUMIFS($G$5:$G$1000,$P$5:$P$1000,$P103,$S$5:$S$1000,"Macro"),"0%")&amp;" · ","")&amp;IF(AND(N($T103)&gt;0,COUNT($H103:$K103)&gt;0),"Con subactividades: deje vacías las semanas (se calculan solas)"&amp;"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","")&amp;IF(AND(ObsObligatoria="Sí",ISNUMBER($F103),$F103&lt;FechaRef,N($L103)&lt;1,$N103=""),"Vencida sin observación"&amp;" · ",""))="","✔ OK","⚠ "&amp;LEFT(IF(AND($S103="Macro",$B103=""),"Macroactividad vacía"&amp;" · ","")&amp;IF(AND($B103&lt;&gt;"",$C103&lt;&gt;""),"Escriba la subactividad en otra fila, debajo de su macroactividad"&amp;" · ","")&amp;IF(AND($S103="Sub",N($R103)=0),"Subactividad sin macroactividad arriba"&amp;" · ","")&amp;IF($D103="","Sin responsable"&amp;" · ","")&amp;IF($E103="","Sin fecha de inicio"&amp;" · ","")&amp;IF($F103="","Sin fecha límite"&amp;" · ","")&amp;IF(OR(AND($E103&lt;&gt;"",NOT(ISNUMBER($E103))),AND($F103&lt;&gt;"",NOT(ISNUMBER($F103)))),"Fecha no válida"&amp;" · ","")&amp;IF(AND(ISNUMBER($E103),ISNUMBER($F103),$E103&gt;$F103),"Inicio posterior a fecha límite"&amp;" · ","")&amp;IF(AND($S103="Macro",$G103=""),"Peso vacío"&amp;" · ","")&amp;IF(AND($S103="Macro",$G103&lt;&gt;"",OR(NOT(ISNUMBER($G103)),$G103&lt;=0,$G103&gt;1)),"Peso fuera de rango"&amp;" · ","")&amp;IF(AND($S103="Sub",$G103&lt;&gt;""),"Las subactividades no llevan peso"&amp;" · ","")&amp;IF(AND($S103="Macro",ABS(SUMIFS($G$5:$G$1000,$P$5:$P$1000,$P103,$S$5:$S$1000,"Macro")-1)&gt;0.0001),"Pesos del mes suman "&amp;TEXT(SUMIFS($G$5:$G$1000,$P$5:$P$1000,$P103,$S$5:$S$1000,"Macro"),"0%")&amp;" · ","")&amp;IF(AND(N($T103)&gt;0,COUNT($H103:$K103)&gt;0),"Con subactividades: deje vacías las semanas (se calculan solas)"&amp;"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","")&amp;IF(AND(ObsObligatoria="Sí",ISNUMBER($F103),$F103&lt;FechaRef,N($L103)&lt;1,$N103=""),"Vencida sin observación"&amp;" · ",""),LEN(IF(AND($S103="Macro",$B103=""),"Macroactividad vacía"&amp;" · ","")&amp;IF(AND($B103&lt;&gt;"",$C103&lt;&gt;""),"Escriba la subactividad en otra fila, debajo de su macroactividad"&amp;" · ","")&amp;IF(AND($S103="Sub",N($R103)=0),"Subactividad sin macroactividad arriba"&amp;" · ","")&amp;IF($D103="","Sin responsable"&amp;" · ","")&amp;IF($E103="","Sin fecha de inicio"&amp;" · ","")&amp;IF($F103="","Sin fecha límite"&amp;" · ","")&amp;IF(OR(AND($E103&lt;&gt;"",NOT(ISNUMBER($E103))),AND($F103&lt;&gt;"",NOT(ISNUMBER($F103)))),"Fecha no válida"&amp;" · ","")&amp;IF(AND(ISNUMBER($E103),ISNUMBER($F103),$E103&gt;$F103),"Inicio posterior a fecha límite"&amp;" · ","")&amp;IF(AND($S103="Macro",$G103=""),"Peso vacío"&amp;" · ","")&amp;IF(AND($S103="Macro",$G103&lt;&gt;"",OR(NOT(ISNUMBER($G103)),$G103&lt;=0,$G103&gt;1)),"Peso fuera de rango"&amp;" · ","")&amp;IF(AND($S103="Sub",$G103&lt;&gt;""),"Las subactividades no llevan peso"&amp;" · ","")&amp;IF(AND($S103="Macro",ABS(SUMIFS($G$5:$G$1000,$P$5:$P$1000,$P103,$S$5:$S$1000,"Macro")-1)&gt;0.0001),"Pesos del mes suman "&amp;TEXT(SUMIFS($G$5:$G$1000,$P$5:$P$1000,$P103,$S$5:$S$1000,"Macro"),"0%")&amp;" · ","")&amp;IF(AND(N($T103)&gt;0,COUNT($H103:$K103)&gt;0),"Con subactividades: deje vacías las semanas (se calculan solas)"&amp;"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","")&amp;IF(AND(ObsObligatoria="Sí",ISNUMBER($F103),$F103&lt;FechaRef,N($L103)&lt;1,$N103=""),"Vencida sin observación"&amp;" · ",""))-3)))</f>
        <v/>
      </c>
      <c r="P103" s="69">
        <f>IF(NOT((COUNTA($B103:$K103)+COUNTA($N103))&gt;0),"",IF(AND($S103="Sub",N($R103)&gt;0),IF(ISNUMBER(INDEX($E$5:$E$1000,$R103-4)),DATE(YEAR(INDEX($E$5:$E$1000,$R103-4)),MONTH(INDEX($E$5:$E$1000,$R103-4)),1),IF(ISNUMBER(INDEX($F$5:$F$1000,$R103-4)),DATE(YEAR(INDEX($F$5:$F$1000,$R103-4)),MONTH(INDEX($F$5:$F$1000,$R103-4)),1),MesCiclo)),IF(ISNUMBER($E103),DATE(YEAR($E103),MONTH($E103),1),IF(ISNUMBER($F103),DATE(YEAR($F103),MONTH($F103),1),MesCiclo))))</f>
        <v/>
      </c>
      <c r="Q103" s="70">
        <f>IF(OR($P103="",$P103&lt;&gt;MesCiclo),"",COUNTIF($P$5:$P103,MesCiclo))</f>
        <v/>
      </c>
      <c r="R103" s="70">
        <f>IF($S103="","",IF($S103="Macro",ROW(),IFERROR(LOOKUP(2,1/($S$5:$S103="Macro"),ROW($S$5:$S103)),0)))</f>
        <v/>
      </c>
      <c r="S103" s="70">
        <f>IF(NOT((COUNTA($B103:$K103)+COUNTA($N103))&gt;0),"",IF($B103&lt;&gt;"","Macro",IF($C103&lt;&gt;"","Sub","Macro")))</f>
        <v/>
      </c>
      <c r="T103" s="70">
        <f>IF($S103="Macro",COUNTIFS($R$5:$R$1000,ROW(),$S$5:$S$1000,"Sub"),"")</f>
        <v/>
      </c>
      <c r="U103" s="70">
        <f>IF($S103="","",IF(ISNUMBER($H103),$H103,0))</f>
        <v/>
      </c>
      <c r="V103" s="70">
        <f>IF($S103="","",IF(ISNUMBER($I103),$I103,$U103))</f>
        <v/>
      </c>
      <c r="W103" s="70">
        <f>IF($S103="","",IF(ISNUMBER($J103),$J103,$V103))</f>
        <v/>
      </c>
      <c r="X103" s="70">
        <f>IF($S103="","",IF(ISNUMBER($K103),$K103,$W103))</f>
        <v/>
      </c>
      <c r="Y103" s="70">
        <f>IF($S103="","",IF(N($T103)&gt;0,AVERAGEIFS($U$5:$U$1000,$R$5:$R$1000,ROW(),$S$5:$S$1000,"Sub"),$U103))</f>
        <v/>
      </c>
      <c r="Z103" s="70">
        <f>IF($S103="","",IF(N($T103)&gt;0,AVERAGEIFS($V$5:$V$1000,$R$5:$R$1000,ROW(),$S$5:$S$1000,"Sub"),$V103))</f>
        <v/>
      </c>
      <c r="AA103" s="70">
        <f>IF($S103="","",IF(N($T103)&gt;0,AVERAGEIFS($W$5:$W$1000,$R$5:$R$1000,ROW(),$S$5:$S$1000,"Sub"),$W103))</f>
        <v/>
      </c>
      <c r="AB103" s="70">
        <f>IF($S103="","",IF(N($T103)&gt;0,AVERAGEIFS($X$5:$X$1000,$R$5:$R$1000,ROW(),$S$5:$S$1000,"Sub"),$X103))</f>
        <v/>
      </c>
    </row>
    <row r="104">
      <c r="A104" s="61">
        <f>IF(NOT((COUNTA($B104:$K104)+COUNTA($N104))&gt;0),"",IF($S104="Macro",COUNTIFS($S$5:$S104,"Macro",$P$5:$P104,$P104),IF(N($R104)=0,"?",COUNTIFS(INDEX($S$5:$S$1000,1):INDEX($S$5:$S$1000,$R104-4),"Macro",INDEX($P$5:$P$1000,1):INDEX($P$5:$P$1000,$R104-4),INDEX($P$5:$P$1000,$R104-4))&amp;"."&amp;COUNTIFS($R$5:$R104,$R104,$S$5:$S104,"Sub"))))</f>
        <v/>
      </c>
      <c r="B104" s="62" t="n"/>
      <c r="C104" s="63" t="n"/>
      <c r="D104" s="62" t="n"/>
      <c r="E104" s="64" t="n"/>
      <c r="F104" s="64" t="n"/>
      <c r="G104" s="65" t="n"/>
      <c r="H104" s="66" t="n"/>
      <c r="I104" s="66" t="n"/>
      <c r="J104" s="66" t="n"/>
      <c r="K104" s="66" t="n"/>
      <c r="L104" s="67">
        <f>IF(NOT((COUNTA($B104:$K104)+COUNTA($N104))&gt;0),"",IF(N($T104)&gt;0,$AB104,IFERROR(LOOKUP(2,1/(H104:K104&lt;&gt;""),H104:K104),0)))</f>
        <v/>
      </c>
      <c r="M104" s="61">
        <f>IF(L104="","",IF(L104&gt;=1,"Completado",IF(L104&gt;0,"En curso","Pendiente")))</f>
        <v/>
      </c>
      <c r="N104" s="62" t="n"/>
      <c r="O104" s="68">
        <f>IF(NOT((COUNTA($B104:$K104)+COUNTA($N104))&gt;0),"",IF((IF(AND($S104="Macro",$B104=""),"Macroactividad vacía"&amp;" · ","")&amp;IF(AND($B104&lt;&gt;"",$C104&lt;&gt;""),"Escriba la subactividad en otra fila, debajo de su macroactividad"&amp;" · ","")&amp;IF(AND($S104="Sub",N($R104)=0),"Subactividad sin macroactividad arriba"&amp;" · ","")&amp;IF($D104="","Sin responsable"&amp;" · ","")&amp;IF($E104="","Sin fecha de inicio"&amp;" · ","")&amp;IF($F104="","Sin fecha límite"&amp;" · ","")&amp;IF(OR(AND($E104&lt;&gt;"",NOT(ISNUMBER($E104))),AND($F104&lt;&gt;"",NOT(ISNUMBER($F104)))),"Fecha no válida"&amp;" · ","")&amp;IF(AND(ISNUMBER($E104),ISNUMBER($F104),$E104&gt;$F104),"Inicio posterior a fecha límite"&amp;" · ","")&amp;IF(AND($S104="Macro",$G104=""),"Peso vacío"&amp;" · ","")&amp;IF(AND($S104="Macro",$G104&lt;&gt;"",OR(NOT(ISNUMBER($G104)),$G104&lt;=0,$G104&gt;1)),"Peso fuera de rango"&amp;" · ","")&amp;IF(AND($S104="Sub",$G104&lt;&gt;""),"Las subactividades no llevan peso"&amp;" · ","")&amp;IF(AND($S104="Macro",ABS(SUMIFS($G$5:$G$1000,$P$5:$P$1000,$P104,$S$5:$S$1000,"Macro")-1)&gt;0.0001),"Pesos del mes suman "&amp;TEXT(SUMIFS($G$5:$G$1000,$P$5:$P$1000,$P104,$S$5:$S$1000,"Macro"),"0%")&amp;" · ","")&amp;IF(AND(N($T104)&gt;0,COUNT($H104:$K104)&gt;0),"Con subactividades: deje vacías las semanas (se calculan solas)"&amp;"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","")&amp;IF(AND(ObsObligatoria="Sí",ISNUMBER($F104),$F104&lt;FechaRef,N($L104)&lt;1,$N104=""),"Vencida sin observación"&amp;" · ",""))="","✔ OK","⚠ "&amp;LEFT(IF(AND($S104="Macro",$B104=""),"Macroactividad vacía"&amp;" · ","")&amp;IF(AND($B104&lt;&gt;"",$C104&lt;&gt;""),"Escriba la subactividad en otra fila, debajo de su macroactividad"&amp;" · ","")&amp;IF(AND($S104="Sub",N($R104)=0),"Subactividad sin macroactividad arriba"&amp;" · ","")&amp;IF($D104="","Sin responsable"&amp;" · ","")&amp;IF($E104="","Sin fecha de inicio"&amp;" · ","")&amp;IF($F104="","Sin fecha límite"&amp;" · ","")&amp;IF(OR(AND($E104&lt;&gt;"",NOT(ISNUMBER($E104))),AND($F104&lt;&gt;"",NOT(ISNUMBER($F104)))),"Fecha no válida"&amp;" · ","")&amp;IF(AND(ISNUMBER($E104),ISNUMBER($F104),$E104&gt;$F104),"Inicio posterior a fecha límite"&amp;" · ","")&amp;IF(AND($S104="Macro",$G104=""),"Peso vacío"&amp;" · ","")&amp;IF(AND($S104="Macro",$G104&lt;&gt;"",OR(NOT(ISNUMBER($G104)),$G104&lt;=0,$G104&gt;1)),"Peso fuera de rango"&amp;" · ","")&amp;IF(AND($S104="Sub",$G104&lt;&gt;""),"Las subactividades no llevan peso"&amp;" · ","")&amp;IF(AND($S104="Macro",ABS(SUMIFS($G$5:$G$1000,$P$5:$P$1000,$P104,$S$5:$S$1000,"Macro")-1)&gt;0.0001),"Pesos del mes suman "&amp;TEXT(SUMIFS($G$5:$G$1000,$P$5:$P$1000,$P104,$S$5:$S$1000,"Macro"),"0%")&amp;" · ","")&amp;IF(AND(N($T104)&gt;0,COUNT($H104:$K104)&gt;0),"Con subactividades: deje vacías las semanas (se calculan solas)"&amp;"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","")&amp;IF(AND(ObsObligatoria="Sí",ISNUMBER($F104),$F104&lt;FechaRef,N($L104)&lt;1,$N104=""),"Vencida sin observación"&amp;" · ",""),LEN(IF(AND($S104="Macro",$B104=""),"Macroactividad vacía"&amp;" · ","")&amp;IF(AND($B104&lt;&gt;"",$C104&lt;&gt;""),"Escriba la subactividad en otra fila, debajo de su macroactividad"&amp;" · ","")&amp;IF(AND($S104="Sub",N($R104)=0),"Subactividad sin macroactividad arriba"&amp;" · ","")&amp;IF($D104="","Sin responsable"&amp;" · ","")&amp;IF($E104="","Sin fecha de inicio"&amp;" · ","")&amp;IF($F104="","Sin fecha límite"&amp;" · ","")&amp;IF(OR(AND($E104&lt;&gt;"",NOT(ISNUMBER($E104))),AND($F104&lt;&gt;"",NOT(ISNUMBER($F104)))),"Fecha no válida"&amp;" · ","")&amp;IF(AND(ISNUMBER($E104),ISNUMBER($F104),$E104&gt;$F104),"Inicio posterior a fecha límite"&amp;" · ","")&amp;IF(AND($S104="Macro",$G104=""),"Peso vacío"&amp;" · ","")&amp;IF(AND($S104="Macro",$G104&lt;&gt;"",OR(NOT(ISNUMBER($G104)),$G104&lt;=0,$G104&gt;1)),"Peso fuera de rango"&amp;" · ","")&amp;IF(AND($S104="Sub",$G104&lt;&gt;""),"Las subactividades no llevan peso"&amp;" · ","")&amp;IF(AND($S104="Macro",ABS(SUMIFS($G$5:$G$1000,$P$5:$P$1000,$P104,$S$5:$S$1000,"Macro")-1)&gt;0.0001),"Pesos del mes suman "&amp;TEXT(SUMIFS($G$5:$G$1000,$P$5:$P$1000,$P104,$S$5:$S$1000,"Macro"),"0%")&amp;" · ","")&amp;IF(AND(N($T104)&gt;0,COUNT($H104:$K104)&gt;0),"Con subactividades: deje vacías las semanas (se calculan solas)"&amp;"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","")&amp;IF(AND(ObsObligatoria="Sí",ISNUMBER($F104),$F104&lt;FechaRef,N($L104)&lt;1,$N104=""),"Vencida sin observación"&amp;" · ",""))-3)))</f>
        <v/>
      </c>
      <c r="P104" s="69">
        <f>IF(NOT((COUNTA($B104:$K104)+COUNTA($N104))&gt;0),"",IF(AND($S104="Sub",N($R104)&gt;0),IF(ISNUMBER(INDEX($E$5:$E$1000,$R104-4)),DATE(YEAR(INDEX($E$5:$E$1000,$R104-4)),MONTH(INDEX($E$5:$E$1000,$R104-4)),1),IF(ISNUMBER(INDEX($F$5:$F$1000,$R104-4)),DATE(YEAR(INDEX($F$5:$F$1000,$R104-4)),MONTH(INDEX($F$5:$F$1000,$R104-4)),1),MesCiclo)),IF(ISNUMBER($E104),DATE(YEAR($E104),MONTH($E104),1),IF(ISNUMBER($F104),DATE(YEAR($F104),MONTH($F104),1),MesCiclo))))</f>
        <v/>
      </c>
      <c r="Q104" s="70">
        <f>IF(OR($P104="",$P104&lt;&gt;MesCiclo),"",COUNTIF($P$5:$P104,MesCiclo))</f>
        <v/>
      </c>
      <c r="R104" s="70">
        <f>IF($S104="","",IF($S104="Macro",ROW(),IFERROR(LOOKUP(2,1/($S$5:$S104="Macro"),ROW($S$5:$S104)),0)))</f>
        <v/>
      </c>
      <c r="S104" s="70">
        <f>IF(NOT((COUNTA($B104:$K104)+COUNTA($N104))&gt;0),"",IF($B104&lt;&gt;"","Macro",IF($C104&lt;&gt;"","Sub","Macro")))</f>
        <v/>
      </c>
      <c r="T104" s="70">
        <f>IF($S104="Macro",COUNTIFS($R$5:$R$1000,ROW(),$S$5:$S$1000,"Sub"),"")</f>
        <v/>
      </c>
      <c r="U104" s="70">
        <f>IF($S104="","",IF(ISNUMBER($H104),$H104,0))</f>
        <v/>
      </c>
      <c r="V104" s="70">
        <f>IF($S104="","",IF(ISNUMBER($I104),$I104,$U104))</f>
        <v/>
      </c>
      <c r="W104" s="70">
        <f>IF($S104="","",IF(ISNUMBER($J104),$J104,$V104))</f>
        <v/>
      </c>
      <c r="X104" s="70">
        <f>IF($S104="","",IF(ISNUMBER($K104),$K104,$W104))</f>
        <v/>
      </c>
      <c r="Y104" s="70">
        <f>IF($S104="","",IF(N($T104)&gt;0,AVERAGEIFS($U$5:$U$1000,$R$5:$R$1000,ROW(),$S$5:$S$1000,"Sub"),$U104))</f>
        <v/>
      </c>
      <c r="Z104" s="70">
        <f>IF($S104="","",IF(N($T104)&gt;0,AVERAGEIFS($V$5:$V$1000,$R$5:$R$1000,ROW(),$S$5:$S$1000,"Sub"),$V104))</f>
        <v/>
      </c>
      <c r="AA104" s="70">
        <f>IF($S104="","",IF(N($T104)&gt;0,AVERAGEIFS($W$5:$W$1000,$R$5:$R$1000,ROW(),$S$5:$S$1000,"Sub"),$W104))</f>
        <v/>
      </c>
      <c r="AB104" s="70">
        <f>IF($S104="","",IF(N($T104)&gt;0,AVERAGEIFS($X$5:$X$1000,$R$5:$R$1000,ROW(),$S$5:$S$1000,"Sub"),$X104))</f>
        <v/>
      </c>
    </row>
    <row r="105">
      <c r="A105" s="61">
        <f>IF(NOT((COUNTA($B105:$K105)+COUNTA($N105))&gt;0),"",IF($S105="Macro",COUNTIFS($S$5:$S105,"Macro",$P$5:$P105,$P105),IF(N($R105)=0,"?",COUNTIFS(INDEX($S$5:$S$1000,1):INDEX($S$5:$S$1000,$R105-4),"Macro",INDEX($P$5:$P$1000,1):INDEX($P$5:$P$1000,$R105-4),INDEX($P$5:$P$1000,$R105-4))&amp;"."&amp;COUNTIFS($R$5:$R105,$R105,$S$5:$S105,"Sub"))))</f>
        <v/>
      </c>
      <c r="B105" s="62" t="n"/>
      <c r="C105" s="63" t="n"/>
      <c r="D105" s="62" t="n"/>
      <c r="E105" s="64" t="n"/>
      <c r="F105" s="64" t="n"/>
      <c r="G105" s="65" t="n"/>
      <c r="H105" s="66" t="n"/>
      <c r="I105" s="66" t="n"/>
      <c r="J105" s="66" t="n"/>
      <c r="K105" s="66" t="n"/>
      <c r="L105" s="67">
        <f>IF(NOT((COUNTA($B105:$K105)+COUNTA($N105))&gt;0),"",IF(N($T105)&gt;0,$AB105,IFERROR(LOOKUP(2,1/(H105:K105&lt;&gt;""),H105:K105),0)))</f>
        <v/>
      </c>
      <c r="M105" s="61">
        <f>IF(L105="","",IF(L105&gt;=1,"Completado",IF(L105&gt;0,"En curso","Pendiente")))</f>
        <v/>
      </c>
      <c r="N105" s="62" t="n"/>
      <c r="O105" s="68">
        <f>IF(NOT((COUNTA($B105:$K105)+COUNTA($N105))&gt;0),"",IF((IF(AND($S105="Macro",$B105=""),"Macroactividad vacía"&amp;" · ","")&amp;IF(AND($B105&lt;&gt;"",$C105&lt;&gt;""),"Escriba la subactividad en otra fila, debajo de su macroactividad"&amp;" · ","")&amp;IF(AND($S105="Sub",N($R105)=0),"Subactividad sin macroactividad arriba"&amp;" · ","")&amp;IF($D105="","Sin responsable"&amp;" · ","")&amp;IF($E105="","Sin fecha de inicio"&amp;" · ","")&amp;IF($F105="","Sin fecha límite"&amp;" · ","")&amp;IF(OR(AND($E105&lt;&gt;"",NOT(ISNUMBER($E105))),AND($F105&lt;&gt;"",NOT(ISNUMBER($F105)))),"Fecha no válida"&amp;" · ","")&amp;IF(AND(ISNUMBER($E105),ISNUMBER($F105),$E105&gt;$F105),"Inicio posterior a fecha límite"&amp;" · ","")&amp;IF(AND($S105="Macro",$G105=""),"Peso vacío"&amp;" · ","")&amp;IF(AND($S105="Macro",$G105&lt;&gt;"",OR(NOT(ISNUMBER($G105)),$G105&lt;=0,$G105&gt;1)),"Peso fuera de rango"&amp;" · ","")&amp;IF(AND($S105="Sub",$G105&lt;&gt;""),"Las subactividades no llevan peso"&amp;" · ","")&amp;IF(AND($S105="Macro",ABS(SUMIFS($G$5:$G$1000,$P$5:$P$1000,$P105,$S$5:$S$1000,"Macro")-1)&gt;0.0001),"Pesos del mes suman "&amp;TEXT(SUMIFS($G$5:$G$1000,$P$5:$P$1000,$P105,$S$5:$S$1000,"Macro"),"0%")&amp;" · ","")&amp;IF(AND(N($T105)&gt;0,COUNT($H105:$K105)&gt;0),"Con subactividades: deje vacías las semanas (se calculan solas)"&amp;" · ","")&amp;IF((COUNTIF($H105:$K105,"&gt;1")+COUNTIF($H105:$K105,"&lt;0")+COUNTA($H105:$K105)-COUNT($H105:$K105))&gt;0,"Avance fuera de rango 0-100%"&amp;" · ","")&amp;IF(OR(AND($I105&lt;&gt;"",$I105&lt;$H105),AND($J105&lt;&gt;"",$J105&lt;MAX($H105:$I105)),AND($K105&lt;&gt;"",$K105&lt;MAX($H105:$J105))),"Avance semanal decreciente"&amp;" · ","")&amp;IF(AND(ISNUMBER($F105),$F105&lt;FechaRef,N($L105)&lt;1),"Vencida"&amp;" · ","")&amp;IF(AND(ObsObligatoria="Sí",ISNUMBER($F105),$F105&lt;FechaRef,N($L105)&lt;1,$N105=""),"Vencida sin observación"&amp;" · ",""))="","✔ OK","⚠ "&amp;LEFT(IF(AND($S105="Macro",$B105=""),"Macroactividad vacía"&amp;" · ","")&amp;IF(AND($B105&lt;&gt;"",$C105&lt;&gt;""),"Escriba la subactividad en otra fila, debajo de su macroactividad"&amp;" · ","")&amp;IF(AND($S105="Sub",N($R105)=0),"Subactividad sin macroactividad arriba"&amp;" · ","")&amp;IF($D105="","Sin responsable"&amp;" · ","")&amp;IF($E105="","Sin fecha de inicio"&amp;" · ","")&amp;IF($F105="","Sin fecha límite"&amp;" · ","")&amp;IF(OR(AND($E105&lt;&gt;"",NOT(ISNUMBER($E105))),AND($F105&lt;&gt;"",NOT(ISNUMBER($F105)))),"Fecha no válida"&amp;" · ","")&amp;IF(AND(ISNUMBER($E105),ISNUMBER($F105),$E105&gt;$F105),"Inicio posterior a fecha límite"&amp;" · ","")&amp;IF(AND($S105="Macro",$G105=""),"Peso vacío"&amp;" · ","")&amp;IF(AND($S105="Macro",$G105&lt;&gt;"",OR(NOT(ISNUMBER($G105)),$G105&lt;=0,$G105&gt;1)),"Peso fuera de rango"&amp;" · ","")&amp;IF(AND($S105="Sub",$G105&lt;&gt;""),"Las subactividades no llevan peso"&amp;" · ","")&amp;IF(AND($S105="Macro",ABS(SUMIFS($G$5:$G$1000,$P$5:$P$1000,$P105,$S$5:$S$1000,"Macro")-1)&gt;0.0001),"Pesos del mes suman "&amp;TEXT(SUMIFS($G$5:$G$1000,$P$5:$P$1000,$P105,$S$5:$S$1000,"Macro"),"0%")&amp;" · ","")&amp;IF(AND(N($T105)&gt;0,COUNT($H105:$K105)&gt;0),"Con subactividades: deje vacías las semanas (se calculan solas)"&amp;" · ","")&amp;IF((COUNTIF($H105:$K105,"&gt;1")+COUNTIF($H105:$K105,"&lt;0")+COUNTA($H105:$K105)-COUNT($H105:$K105))&gt;0,"Avance fuera de rango 0-100%"&amp;" · ","")&amp;IF(OR(AND($I105&lt;&gt;"",$I105&lt;$H105),AND($J105&lt;&gt;"",$J105&lt;MAX($H105:$I105)),AND($K105&lt;&gt;"",$K105&lt;MAX($H105:$J105))),"Avance semanal decreciente"&amp;" · ","")&amp;IF(AND(ISNUMBER($F105),$F105&lt;FechaRef,N($L105)&lt;1),"Vencida"&amp;" · ","")&amp;IF(AND(ObsObligatoria="Sí",ISNUMBER($F105),$F105&lt;FechaRef,N($L105)&lt;1,$N105=""),"Vencida sin observación"&amp;" · ",""),LEN(IF(AND($S105="Macro",$B105=""),"Macroactividad vacía"&amp;" · ","")&amp;IF(AND($B105&lt;&gt;"",$C105&lt;&gt;""),"Escriba la subactividad en otra fila, debajo de su macroactividad"&amp;" · ","")&amp;IF(AND($S105="Sub",N($R105)=0),"Subactividad sin macroactividad arriba"&amp;" · ","")&amp;IF($D105="","Sin responsable"&amp;" · ","")&amp;IF($E105="","Sin fecha de inicio"&amp;" · ","")&amp;IF($F105="","Sin fecha límite"&amp;" · ","")&amp;IF(OR(AND($E105&lt;&gt;"",NOT(ISNUMBER($E105))),AND($F105&lt;&gt;"",NOT(ISNUMBER($F105)))),"Fecha no válida"&amp;" · ","")&amp;IF(AND(ISNUMBER($E105),ISNUMBER($F105),$E105&gt;$F105),"Inicio posterior a fecha límite"&amp;" · ","")&amp;IF(AND($S105="Macro",$G105=""),"Peso vacío"&amp;" · ","")&amp;IF(AND($S105="Macro",$G105&lt;&gt;"",OR(NOT(ISNUMBER($G105)),$G105&lt;=0,$G105&gt;1)),"Peso fuera de rango"&amp;" · ","")&amp;IF(AND($S105="Sub",$G105&lt;&gt;""),"Las subactividades no llevan peso"&amp;" · ","")&amp;IF(AND($S105="Macro",ABS(SUMIFS($G$5:$G$1000,$P$5:$P$1000,$P105,$S$5:$S$1000,"Macro")-1)&gt;0.0001),"Pesos del mes suman "&amp;TEXT(SUMIFS($G$5:$G$1000,$P$5:$P$1000,$P105,$S$5:$S$1000,"Macro"),"0%")&amp;" · ","")&amp;IF(AND(N($T105)&gt;0,COUNT($H105:$K105)&gt;0),"Con subactividades: deje vacías las semanas (se calculan solas)"&amp;" · ","")&amp;IF((COUNTIF($H105:$K105,"&gt;1")+COUNTIF($H105:$K105,"&lt;0")+COUNTA($H105:$K105)-COUNT($H105:$K105))&gt;0,"Avance fuera de rango 0-100%"&amp;" · ","")&amp;IF(OR(AND($I105&lt;&gt;"",$I105&lt;$H105),AND($J105&lt;&gt;"",$J105&lt;MAX($H105:$I105)),AND($K105&lt;&gt;"",$K105&lt;MAX($H105:$J105))),"Avance semanal decreciente"&amp;" · ","")&amp;IF(AND(ISNUMBER($F105),$F105&lt;FechaRef,N($L105)&lt;1),"Vencida"&amp;" · ","")&amp;IF(AND(ObsObligatoria="Sí",ISNUMBER($F105),$F105&lt;FechaRef,N($L105)&lt;1,$N105=""),"Vencida sin observación"&amp;" · ",""))-3)))</f>
        <v/>
      </c>
      <c r="P105" s="69">
        <f>IF(NOT((COUNTA($B105:$K105)+COUNTA($N105))&gt;0),"",IF(AND($S105="Sub",N($R105)&gt;0),IF(ISNUMBER(INDEX($E$5:$E$1000,$R105-4)),DATE(YEAR(INDEX($E$5:$E$1000,$R105-4)),MONTH(INDEX($E$5:$E$1000,$R105-4)),1),IF(ISNUMBER(INDEX($F$5:$F$1000,$R105-4)),DATE(YEAR(INDEX($F$5:$F$1000,$R105-4)),MONTH(INDEX($F$5:$F$1000,$R105-4)),1),MesCiclo)),IF(ISNUMBER($E105),DATE(YEAR($E105),MONTH($E105),1),IF(ISNUMBER($F105),DATE(YEAR($F105),MONTH($F105),1),MesCiclo))))</f>
        <v/>
      </c>
      <c r="Q105" s="70">
        <f>IF(OR($P105="",$P105&lt;&gt;MesCiclo),"",COUNTIF($P$5:$P105,MesCiclo))</f>
        <v/>
      </c>
      <c r="R105" s="70">
        <f>IF($S105="","",IF($S105="Macro",ROW(),IFERROR(LOOKUP(2,1/($S$5:$S105="Macro"),ROW($S$5:$S105)),0)))</f>
        <v/>
      </c>
      <c r="S105" s="70">
        <f>IF(NOT((COUNTA($B105:$K105)+COUNTA($N105))&gt;0),"",IF($B105&lt;&gt;"","Macro",IF($C105&lt;&gt;"","Sub","Macro")))</f>
        <v/>
      </c>
      <c r="T105" s="70">
        <f>IF($S105="Macro",COUNTIFS($R$5:$R$1000,ROW(),$S$5:$S$1000,"Sub"),"")</f>
        <v/>
      </c>
      <c r="U105" s="70">
        <f>IF($S105="","",IF(ISNUMBER($H105),$H105,0))</f>
        <v/>
      </c>
      <c r="V105" s="70">
        <f>IF($S105="","",IF(ISNUMBER($I105),$I105,$U105))</f>
        <v/>
      </c>
      <c r="W105" s="70">
        <f>IF($S105="","",IF(ISNUMBER($J105),$J105,$V105))</f>
        <v/>
      </c>
      <c r="X105" s="70">
        <f>IF($S105="","",IF(ISNUMBER($K105),$K105,$W105))</f>
        <v/>
      </c>
      <c r="Y105" s="70">
        <f>IF($S105="","",IF(N($T105)&gt;0,AVERAGEIFS($U$5:$U$1000,$R$5:$R$1000,ROW(),$S$5:$S$1000,"Sub"),$U105))</f>
        <v/>
      </c>
      <c r="Z105" s="70">
        <f>IF($S105="","",IF(N($T105)&gt;0,AVERAGEIFS($V$5:$V$1000,$R$5:$R$1000,ROW(),$S$5:$S$1000,"Sub"),$V105))</f>
        <v/>
      </c>
      <c r="AA105" s="70">
        <f>IF($S105="","",IF(N($T105)&gt;0,AVERAGEIFS($W$5:$W$1000,$R$5:$R$1000,ROW(),$S$5:$S$1000,"Sub"),$W105))</f>
        <v/>
      </c>
      <c r="AB105" s="70">
        <f>IF($S105="","",IF(N($T105)&gt;0,AVERAGEIFS($X$5:$X$1000,$R$5:$R$1000,ROW(),$S$5:$S$1000,"Sub"),$X105))</f>
        <v/>
      </c>
    </row>
    <row r="106">
      <c r="A106" s="61">
        <f>IF(NOT((COUNTA($B106:$K106)+COUNTA($N106))&gt;0),"",IF($S106="Macro",COUNTIFS($S$5:$S106,"Macro",$P$5:$P106,$P106),IF(N($R106)=0,"?",COUNTIFS(INDEX($S$5:$S$1000,1):INDEX($S$5:$S$1000,$R106-4),"Macro",INDEX($P$5:$P$1000,1):INDEX($P$5:$P$1000,$R106-4),INDEX($P$5:$P$1000,$R106-4))&amp;"."&amp;COUNTIFS($R$5:$R106,$R106,$S$5:$S106,"Sub"))))</f>
        <v/>
      </c>
      <c r="B106" s="62" t="n"/>
      <c r="C106" s="63" t="n"/>
      <c r="D106" s="62" t="n"/>
      <c r="E106" s="64" t="n"/>
      <c r="F106" s="64" t="n"/>
      <c r="G106" s="65" t="n"/>
      <c r="H106" s="66" t="n"/>
      <c r="I106" s="66" t="n"/>
      <c r="J106" s="66" t="n"/>
      <c r="K106" s="66" t="n"/>
      <c r="L106" s="67">
        <f>IF(NOT((COUNTA($B106:$K106)+COUNTA($N106))&gt;0),"",IF(N($T106)&gt;0,$AB106,IFERROR(LOOKUP(2,1/(H106:K106&lt;&gt;""),H106:K106),0)))</f>
        <v/>
      </c>
      <c r="M106" s="61">
        <f>IF(L106="","",IF(L106&gt;=1,"Completado",IF(L106&gt;0,"En curso","Pendiente")))</f>
        <v/>
      </c>
      <c r="N106" s="62" t="n"/>
      <c r="O106" s="68">
        <f>IF(NOT((COUNTA($B106:$K106)+COUNTA($N106))&gt;0),"",IF((IF(AND($S106="Macro",$B106=""),"Macroactividad vacía"&amp;" · ","")&amp;IF(AND($B106&lt;&gt;"",$C106&lt;&gt;""),"Escriba la subactividad en otra fila, debajo de su macroactividad"&amp;" · ","")&amp;IF(AND($S106="Sub",N($R106)=0),"Subactividad sin macroactividad arriba"&amp;" · ","")&amp;IF($D106="","Sin responsable"&amp;" · ","")&amp;IF($E106="","Sin fecha de inicio"&amp;" · ","")&amp;IF($F106="","Sin fecha límite"&amp;" · ","")&amp;IF(OR(AND($E106&lt;&gt;"",NOT(ISNUMBER($E106))),AND($F106&lt;&gt;"",NOT(ISNUMBER($F106)))),"Fecha no válida"&amp;" · ","")&amp;IF(AND(ISNUMBER($E106),ISNUMBER($F106),$E106&gt;$F106),"Inicio posterior a fecha límite"&amp;" · ","")&amp;IF(AND($S106="Macro",$G106=""),"Peso vacío"&amp;" · ","")&amp;IF(AND($S106="Macro",$G106&lt;&gt;"",OR(NOT(ISNUMBER($G106)),$G106&lt;=0,$G106&gt;1)),"Peso fuera de rango"&amp;" · ","")&amp;IF(AND($S106="Sub",$G106&lt;&gt;""),"Las subactividades no llevan peso"&amp;" · ","")&amp;IF(AND($S106="Macro",ABS(SUMIFS($G$5:$G$1000,$P$5:$P$1000,$P106,$S$5:$S$1000,"Macro")-1)&gt;0.0001),"Pesos del mes suman "&amp;TEXT(SUMIFS($G$5:$G$1000,$P$5:$P$1000,$P106,$S$5:$S$1000,"Macro"),"0%")&amp;" · ","")&amp;IF(AND(N($T106)&gt;0,COUNT($H106:$K106)&gt;0),"Con subactividades: deje vacías las semanas (se calculan solas)"&amp;" · ","")&amp;IF((COUNTIF($H106:$K106,"&gt;1")+COUNTIF($H106:$K106,"&lt;0")+COUNTA($H106:$K106)-COUNT($H106:$K106))&gt;0,"Avance fuera de rango 0-100%"&amp;" · ","")&amp;IF(OR(AND($I106&lt;&gt;"",$I106&lt;$H106),AND($J106&lt;&gt;"",$J106&lt;MAX($H106:$I106)),AND($K106&lt;&gt;"",$K106&lt;MAX($H106:$J106))),"Avance semanal decreciente"&amp;" · ","")&amp;IF(AND(ISNUMBER($F106),$F106&lt;FechaRef,N($L106)&lt;1),"Vencida"&amp;" · ","")&amp;IF(AND(ObsObligatoria="Sí",ISNUMBER($F106),$F106&lt;FechaRef,N($L106)&lt;1,$N106=""),"Vencida sin observación"&amp;" · ",""))="","✔ OK","⚠ "&amp;LEFT(IF(AND($S106="Macro",$B106=""),"Macroactividad vacía"&amp;" · ","")&amp;IF(AND($B106&lt;&gt;"",$C106&lt;&gt;""),"Escriba la subactividad en otra fila, debajo de su macroactividad"&amp;" · ","")&amp;IF(AND($S106="Sub",N($R106)=0),"Subactividad sin macroactividad arriba"&amp;" · ","")&amp;IF($D106="","Sin responsable"&amp;" · ","")&amp;IF($E106="","Sin fecha de inicio"&amp;" · ","")&amp;IF($F106="","Sin fecha límite"&amp;" · ","")&amp;IF(OR(AND($E106&lt;&gt;"",NOT(ISNUMBER($E106))),AND($F106&lt;&gt;"",NOT(ISNUMBER($F106)))),"Fecha no válida"&amp;" · ","")&amp;IF(AND(ISNUMBER($E106),ISNUMBER($F106),$E106&gt;$F106),"Inicio posterior a fecha límite"&amp;" · ","")&amp;IF(AND($S106="Macro",$G106=""),"Peso vacío"&amp;" · ","")&amp;IF(AND($S106="Macro",$G106&lt;&gt;"",OR(NOT(ISNUMBER($G106)),$G106&lt;=0,$G106&gt;1)),"Peso fuera de rango"&amp;" · ","")&amp;IF(AND($S106="Sub",$G106&lt;&gt;""),"Las subactividades no llevan peso"&amp;" · ","")&amp;IF(AND($S106="Macro",ABS(SUMIFS($G$5:$G$1000,$P$5:$P$1000,$P106,$S$5:$S$1000,"Macro")-1)&gt;0.0001),"Pesos del mes suman "&amp;TEXT(SUMIFS($G$5:$G$1000,$P$5:$P$1000,$P106,$S$5:$S$1000,"Macro"),"0%")&amp;" · ","")&amp;IF(AND(N($T106)&gt;0,COUNT($H106:$K106)&gt;0),"Con subactividades: deje vacías las semanas (se calculan solas)"&amp;" · ","")&amp;IF((COUNTIF($H106:$K106,"&gt;1")+COUNTIF($H106:$K106,"&lt;0")+COUNTA($H106:$K106)-COUNT($H106:$K106))&gt;0,"Avance fuera de rango 0-100%"&amp;" · ","")&amp;IF(OR(AND($I106&lt;&gt;"",$I106&lt;$H106),AND($J106&lt;&gt;"",$J106&lt;MAX($H106:$I106)),AND($K106&lt;&gt;"",$K106&lt;MAX($H106:$J106))),"Avance semanal decreciente"&amp;" · ","")&amp;IF(AND(ISNUMBER($F106),$F106&lt;FechaRef,N($L106)&lt;1),"Vencida"&amp;" · ","")&amp;IF(AND(ObsObligatoria="Sí",ISNUMBER($F106),$F106&lt;FechaRef,N($L106)&lt;1,$N106=""),"Vencida sin observación"&amp;" · ",""),LEN(IF(AND($S106="Macro",$B106=""),"Macroactividad vacía"&amp;" · ","")&amp;IF(AND($B106&lt;&gt;"",$C106&lt;&gt;""),"Escriba la subactividad en otra fila, debajo de su macroactividad"&amp;" · ","")&amp;IF(AND($S106="Sub",N($R106)=0),"Subactividad sin macroactividad arriba"&amp;" · ","")&amp;IF($D106="","Sin responsable"&amp;" · ","")&amp;IF($E106="","Sin fecha de inicio"&amp;" · ","")&amp;IF($F106="","Sin fecha límite"&amp;" · ","")&amp;IF(OR(AND($E106&lt;&gt;"",NOT(ISNUMBER($E106))),AND($F106&lt;&gt;"",NOT(ISNUMBER($F106)))),"Fecha no válida"&amp;" · ","")&amp;IF(AND(ISNUMBER($E106),ISNUMBER($F106),$E106&gt;$F106),"Inicio posterior a fecha límite"&amp;" · ","")&amp;IF(AND($S106="Macro",$G106=""),"Peso vacío"&amp;" · ","")&amp;IF(AND($S106="Macro",$G106&lt;&gt;"",OR(NOT(ISNUMBER($G106)),$G106&lt;=0,$G106&gt;1)),"Peso fuera de rango"&amp;" · ","")&amp;IF(AND($S106="Sub",$G106&lt;&gt;""),"Las subactividades no llevan peso"&amp;" · ","")&amp;IF(AND($S106="Macro",ABS(SUMIFS($G$5:$G$1000,$P$5:$P$1000,$P106,$S$5:$S$1000,"Macro")-1)&gt;0.0001),"Pesos del mes suman "&amp;TEXT(SUMIFS($G$5:$G$1000,$P$5:$P$1000,$P106,$S$5:$S$1000,"Macro"),"0%")&amp;" · ","")&amp;IF(AND(N($T106)&gt;0,COUNT($H106:$K106)&gt;0),"Con subactividades: deje vacías las semanas (se calculan solas)"&amp;" · ","")&amp;IF((COUNTIF($H106:$K106,"&gt;1")+COUNTIF($H106:$K106,"&lt;0")+COUNTA($H106:$K106)-COUNT($H106:$K106))&gt;0,"Avance fuera de rango 0-100%"&amp;" · ","")&amp;IF(OR(AND($I106&lt;&gt;"",$I106&lt;$H106),AND($J106&lt;&gt;"",$J106&lt;MAX($H106:$I106)),AND($K106&lt;&gt;"",$K106&lt;MAX($H106:$J106))),"Avance semanal decreciente"&amp;" · ","")&amp;IF(AND(ISNUMBER($F106),$F106&lt;FechaRef,N($L106)&lt;1),"Vencida"&amp;" · ","")&amp;IF(AND(ObsObligatoria="Sí",ISNUMBER($F106),$F106&lt;FechaRef,N($L106)&lt;1,$N106=""),"Vencida sin observación"&amp;" · ",""))-3)))</f>
        <v/>
      </c>
      <c r="P106" s="69">
        <f>IF(NOT((COUNTA($B106:$K106)+COUNTA($N106))&gt;0),"",IF(AND($S106="Sub",N($R106)&gt;0),IF(ISNUMBER(INDEX($E$5:$E$1000,$R106-4)),DATE(YEAR(INDEX($E$5:$E$1000,$R106-4)),MONTH(INDEX($E$5:$E$1000,$R106-4)),1),IF(ISNUMBER(INDEX($F$5:$F$1000,$R106-4)),DATE(YEAR(INDEX($F$5:$F$1000,$R106-4)),MONTH(INDEX($F$5:$F$1000,$R106-4)),1),MesCiclo)),IF(ISNUMBER($E106),DATE(YEAR($E106),MONTH($E106),1),IF(ISNUMBER($F106),DATE(YEAR($F106),MONTH($F106),1),MesCiclo))))</f>
        <v/>
      </c>
      <c r="Q106" s="70">
        <f>IF(OR($P106="",$P106&lt;&gt;MesCiclo),"",COUNTIF($P$5:$P106,MesCiclo))</f>
        <v/>
      </c>
      <c r="R106" s="70">
        <f>IF($S106="","",IF($S106="Macro",ROW(),IFERROR(LOOKUP(2,1/($S$5:$S106="Macro"),ROW($S$5:$S106)),0)))</f>
        <v/>
      </c>
      <c r="S106" s="70">
        <f>IF(NOT((COUNTA($B106:$K106)+COUNTA($N106))&gt;0),"",IF($B106&lt;&gt;"","Macro",IF($C106&lt;&gt;"","Sub","Macro")))</f>
        <v/>
      </c>
      <c r="T106" s="70">
        <f>IF($S106="Macro",COUNTIFS($R$5:$R$1000,ROW(),$S$5:$S$1000,"Sub"),"")</f>
        <v/>
      </c>
      <c r="U106" s="70">
        <f>IF($S106="","",IF(ISNUMBER($H106),$H106,0))</f>
        <v/>
      </c>
      <c r="V106" s="70">
        <f>IF($S106="","",IF(ISNUMBER($I106),$I106,$U106))</f>
        <v/>
      </c>
      <c r="W106" s="70">
        <f>IF($S106="","",IF(ISNUMBER($J106),$J106,$V106))</f>
        <v/>
      </c>
      <c r="X106" s="70">
        <f>IF($S106="","",IF(ISNUMBER($K106),$K106,$W106))</f>
        <v/>
      </c>
      <c r="Y106" s="70">
        <f>IF($S106="","",IF(N($T106)&gt;0,AVERAGEIFS($U$5:$U$1000,$R$5:$R$1000,ROW(),$S$5:$S$1000,"Sub"),$U106))</f>
        <v/>
      </c>
      <c r="Z106" s="70">
        <f>IF($S106="","",IF(N($T106)&gt;0,AVERAGEIFS($V$5:$V$1000,$R$5:$R$1000,ROW(),$S$5:$S$1000,"Sub"),$V106))</f>
        <v/>
      </c>
      <c r="AA106" s="70">
        <f>IF($S106="","",IF(N($T106)&gt;0,AVERAGEIFS($W$5:$W$1000,$R$5:$R$1000,ROW(),$S$5:$S$1000,"Sub"),$W106))</f>
        <v/>
      </c>
      <c r="AB106" s="70">
        <f>IF($S106="","",IF(N($T106)&gt;0,AVERAGEIFS($X$5:$X$1000,$R$5:$R$1000,ROW(),$S$5:$S$1000,"Sub"),$X106))</f>
        <v/>
      </c>
    </row>
    <row r="107">
      <c r="A107" s="61">
        <f>IF(NOT((COUNTA($B107:$K107)+COUNTA($N107))&gt;0),"",IF($S107="Macro",COUNTIFS($S$5:$S107,"Macro",$P$5:$P107,$P107),IF(N($R107)=0,"?",COUNTIFS(INDEX($S$5:$S$1000,1):INDEX($S$5:$S$1000,$R107-4),"Macro",INDEX($P$5:$P$1000,1):INDEX($P$5:$P$1000,$R107-4),INDEX($P$5:$P$1000,$R107-4))&amp;"."&amp;COUNTIFS($R$5:$R107,$R107,$S$5:$S107,"Sub"))))</f>
        <v/>
      </c>
      <c r="B107" s="62" t="n"/>
      <c r="C107" s="63" t="n"/>
      <c r="D107" s="62" t="n"/>
      <c r="E107" s="64" t="n"/>
      <c r="F107" s="64" t="n"/>
      <c r="G107" s="65" t="n"/>
      <c r="H107" s="66" t="n"/>
      <c r="I107" s="66" t="n"/>
      <c r="J107" s="66" t="n"/>
      <c r="K107" s="66" t="n"/>
      <c r="L107" s="67">
        <f>IF(NOT((COUNTA($B107:$K107)+COUNTA($N107))&gt;0),"",IF(N($T107)&gt;0,$AB107,IFERROR(LOOKUP(2,1/(H107:K107&lt;&gt;""),H107:K107),0)))</f>
        <v/>
      </c>
      <c r="M107" s="61">
        <f>IF(L107="","",IF(L107&gt;=1,"Completado",IF(L107&gt;0,"En curso","Pendiente")))</f>
        <v/>
      </c>
      <c r="N107" s="62" t="n"/>
      <c r="O107" s="68">
        <f>IF(NOT((COUNTA($B107:$K107)+COUNTA($N107))&gt;0),"",IF((IF(AND($S107="Macro",$B107=""),"Macroactividad vacía"&amp;" · ","")&amp;IF(AND($B107&lt;&gt;"",$C107&lt;&gt;""),"Escriba la subactividad en otra fila, debajo de su macroactividad"&amp;" · ","")&amp;IF(AND($S107="Sub",N($R107)=0),"Subactividad sin macroactividad arriba"&amp;" · ","")&amp;IF($D107="","Sin responsable"&amp;" · ","")&amp;IF($E107="","Sin fecha de inicio"&amp;" · ","")&amp;IF($F107="","Sin fecha límite"&amp;" · ","")&amp;IF(OR(AND($E107&lt;&gt;"",NOT(ISNUMBER($E107))),AND($F107&lt;&gt;"",NOT(ISNUMBER($F107)))),"Fecha no válida"&amp;" · ","")&amp;IF(AND(ISNUMBER($E107),ISNUMBER($F107),$E107&gt;$F107),"Inicio posterior a fecha límite"&amp;" · ","")&amp;IF(AND($S107="Macro",$G107=""),"Peso vacío"&amp;" · ","")&amp;IF(AND($S107="Macro",$G107&lt;&gt;"",OR(NOT(ISNUMBER($G107)),$G107&lt;=0,$G107&gt;1)),"Peso fuera de rango"&amp;" · ","")&amp;IF(AND($S107="Sub",$G107&lt;&gt;""),"Las subactividades no llevan peso"&amp;" · ","")&amp;IF(AND($S107="Macro",ABS(SUMIFS($G$5:$G$1000,$P$5:$P$1000,$P107,$S$5:$S$1000,"Macro")-1)&gt;0.0001),"Pesos del mes suman "&amp;TEXT(SUMIFS($G$5:$G$1000,$P$5:$P$1000,$P107,$S$5:$S$1000,"Macro"),"0%")&amp;" · ","")&amp;IF(AND(N($T107)&gt;0,COUNT($H107:$K107)&gt;0),"Con subactividades: deje vacías las semanas (se calculan solas)"&amp;" · ","")&amp;IF((COUNTIF($H107:$K107,"&gt;1")+COUNTIF($H107:$K107,"&lt;0")+COUNTA($H107:$K107)-COUNT($H107:$K107))&gt;0,"Avance fuera de rango 0-100%"&amp;" · ","")&amp;IF(OR(AND($I107&lt;&gt;"",$I107&lt;$H107),AND($J107&lt;&gt;"",$J107&lt;MAX($H107:$I107)),AND($K107&lt;&gt;"",$K107&lt;MAX($H107:$J107))),"Avance semanal decreciente"&amp;" · ","")&amp;IF(AND(ISNUMBER($F107),$F107&lt;FechaRef,N($L107)&lt;1),"Vencida"&amp;" · ","")&amp;IF(AND(ObsObligatoria="Sí",ISNUMBER($F107),$F107&lt;FechaRef,N($L107)&lt;1,$N107=""),"Vencida sin observación"&amp;" · ",""))="","✔ OK","⚠ "&amp;LEFT(IF(AND($S107="Macro",$B107=""),"Macroactividad vacía"&amp;" · ","")&amp;IF(AND($B107&lt;&gt;"",$C107&lt;&gt;""),"Escriba la subactividad en otra fila, debajo de su macroactividad"&amp;" · ","")&amp;IF(AND($S107="Sub",N($R107)=0),"Subactividad sin macroactividad arriba"&amp;" · ","")&amp;IF($D107="","Sin responsable"&amp;" · ","")&amp;IF($E107="","Sin fecha de inicio"&amp;" · ","")&amp;IF($F107="","Sin fecha límite"&amp;" · ","")&amp;IF(OR(AND($E107&lt;&gt;"",NOT(ISNUMBER($E107))),AND($F107&lt;&gt;"",NOT(ISNUMBER($F107)))),"Fecha no válida"&amp;" · ","")&amp;IF(AND(ISNUMBER($E107),ISNUMBER($F107),$E107&gt;$F107),"Inicio posterior a fecha límite"&amp;" · ","")&amp;IF(AND($S107="Macro",$G107=""),"Peso vacío"&amp;" · ","")&amp;IF(AND($S107="Macro",$G107&lt;&gt;"",OR(NOT(ISNUMBER($G107)),$G107&lt;=0,$G107&gt;1)),"Peso fuera de rango"&amp;" · ","")&amp;IF(AND($S107="Sub",$G107&lt;&gt;""),"Las subactividades no llevan peso"&amp;" · ","")&amp;IF(AND($S107="Macro",ABS(SUMIFS($G$5:$G$1000,$P$5:$P$1000,$P107,$S$5:$S$1000,"Macro")-1)&gt;0.0001),"Pesos del mes suman "&amp;TEXT(SUMIFS($G$5:$G$1000,$P$5:$P$1000,$P107,$S$5:$S$1000,"Macro"),"0%")&amp;" · ","")&amp;IF(AND(N($T107)&gt;0,COUNT($H107:$K107)&gt;0),"Con subactividades: deje vacías las semanas (se calculan solas)"&amp;" · ","")&amp;IF((COUNTIF($H107:$K107,"&gt;1")+COUNTIF($H107:$K107,"&lt;0")+COUNTA($H107:$K107)-COUNT($H107:$K107))&gt;0,"Avance fuera de rango 0-100%"&amp;" · ","")&amp;IF(OR(AND($I107&lt;&gt;"",$I107&lt;$H107),AND($J107&lt;&gt;"",$J107&lt;MAX($H107:$I107)),AND($K107&lt;&gt;"",$K107&lt;MAX($H107:$J107))),"Avance semanal decreciente"&amp;" · ","")&amp;IF(AND(ISNUMBER($F107),$F107&lt;FechaRef,N($L107)&lt;1),"Vencida"&amp;" · ","")&amp;IF(AND(ObsObligatoria="Sí",ISNUMBER($F107),$F107&lt;FechaRef,N($L107)&lt;1,$N107=""),"Vencida sin observación"&amp;" · ",""),LEN(IF(AND($S107="Macro",$B107=""),"Macroactividad vacía"&amp;" · ","")&amp;IF(AND($B107&lt;&gt;"",$C107&lt;&gt;""),"Escriba la subactividad en otra fila, debajo de su macroactividad"&amp;" · ","")&amp;IF(AND($S107="Sub",N($R107)=0),"Subactividad sin macroactividad arriba"&amp;" · ","")&amp;IF($D107="","Sin responsable"&amp;" · ","")&amp;IF($E107="","Sin fecha de inicio"&amp;" · ","")&amp;IF($F107="","Sin fecha límite"&amp;" · ","")&amp;IF(OR(AND($E107&lt;&gt;"",NOT(ISNUMBER($E107))),AND($F107&lt;&gt;"",NOT(ISNUMBER($F107)))),"Fecha no válida"&amp;" · ","")&amp;IF(AND(ISNUMBER($E107),ISNUMBER($F107),$E107&gt;$F107),"Inicio posterior a fecha límite"&amp;" · ","")&amp;IF(AND($S107="Macro",$G107=""),"Peso vacío"&amp;" · ","")&amp;IF(AND($S107="Macro",$G107&lt;&gt;"",OR(NOT(ISNUMBER($G107)),$G107&lt;=0,$G107&gt;1)),"Peso fuera de rango"&amp;" · ","")&amp;IF(AND($S107="Sub",$G107&lt;&gt;""),"Las subactividades no llevan peso"&amp;" · ","")&amp;IF(AND($S107="Macro",ABS(SUMIFS($G$5:$G$1000,$P$5:$P$1000,$P107,$S$5:$S$1000,"Macro")-1)&gt;0.0001),"Pesos del mes suman "&amp;TEXT(SUMIFS($G$5:$G$1000,$P$5:$P$1000,$P107,$S$5:$S$1000,"Macro"),"0%")&amp;" · ","")&amp;IF(AND(N($T107)&gt;0,COUNT($H107:$K107)&gt;0),"Con subactividades: deje vacías las semanas (se calculan solas)"&amp;" · ","")&amp;IF((COUNTIF($H107:$K107,"&gt;1")+COUNTIF($H107:$K107,"&lt;0")+COUNTA($H107:$K107)-COUNT($H107:$K107))&gt;0,"Avance fuera de rango 0-100%"&amp;" · ","")&amp;IF(OR(AND($I107&lt;&gt;"",$I107&lt;$H107),AND($J107&lt;&gt;"",$J107&lt;MAX($H107:$I107)),AND($K107&lt;&gt;"",$K107&lt;MAX($H107:$J107))),"Avance semanal decreciente"&amp;" · ","")&amp;IF(AND(ISNUMBER($F107),$F107&lt;FechaRef,N($L107)&lt;1),"Vencida"&amp;" · ","")&amp;IF(AND(ObsObligatoria="Sí",ISNUMBER($F107),$F107&lt;FechaRef,N($L107)&lt;1,$N107=""),"Vencida sin observación"&amp;" · ",""))-3)))</f>
        <v/>
      </c>
      <c r="P107" s="69">
        <f>IF(NOT((COUNTA($B107:$K107)+COUNTA($N107))&gt;0),"",IF(AND($S107="Sub",N($R107)&gt;0),IF(ISNUMBER(INDEX($E$5:$E$1000,$R107-4)),DATE(YEAR(INDEX($E$5:$E$1000,$R107-4)),MONTH(INDEX($E$5:$E$1000,$R107-4)),1),IF(ISNUMBER(INDEX($F$5:$F$1000,$R107-4)),DATE(YEAR(INDEX($F$5:$F$1000,$R107-4)),MONTH(INDEX($F$5:$F$1000,$R107-4)),1),MesCiclo)),IF(ISNUMBER($E107),DATE(YEAR($E107),MONTH($E107),1),IF(ISNUMBER($F107),DATE(YEAR($F107),MONTH($F107),1),MesCiclo))))</f>
        <v/>
      </c>
      <c r="Q107" s="70">
        <f>IF(OR($P107="",$P107&lt;&gt;MesCiclo),"",COUNTIF($P$5:$P107,MesCiclo))</f>
        <v/>
      </c>
      <c r="R107" s="70">
        <f>IF($S107="","",IF($S107="Macro",ROW(),IFERROR(LOOKUP(2,1/($S$5:$S107="Macro"),ROW($S$5:$S107)),0)))</f>
        <v/>
      </c>
      <c r="S107" s="70">
        <f>IF(NOT((COUNTA($B107:$K107)+COUNTA($N107))&gt;0),"",IF($B107&lt;&gt;"","Macro",IF($C107&lt;&gt;"","Sub","Macro")))</f>
        <v/>
      </c>
      <c r="T107" s="70">
        <f>IF($S107="Macro",COUNTIFS($R$5:$R$1000,ROW(),$S$5:$S$1000,"Sub"),"")</f>
        <v/>
      </c>
      <c r="U107" s="70">
        <f>IF($S107="","",IF(ISNUMBER($H107),$H107,0))</f>
        <v/>
      </c>
      <c r="V107" s="70">
        <f>IF($S107="","",IF(ISNUMBER($I107),$I107,$U107))</f>
        <v/>
      </c>
      <c r="W107" s="70">
        <f>IF($S107="","",IF(ISNUMBER($J107),$J107,$V107))</f>
        <v/>
      </c>
      <c r="X107" s="70">
        <f>IF($S107="","",IF(ISNUMBER($K107),$K107,$W107))</f>
        <v/>
      </c>
      <c r="Y107" s="70">
        <f>IF($S107="","",IF(N($T107)&gt;0,AVERAGEIFS($U$5:$U$1000,$R$5:$R$1000,ROW(),$S$5:$S$1000,"Sub"),$U107))</f>
        <v/>
      </c>
      <c r="Z107" s="70">
        <f>IF($S107="","",IF(N($T107)&gt;0,AVERAGEIFS($V$5:$V$1000,$R$5:$R$1000,ROW(),$S$5:$S$1000,"Sub"),$V107))</f>
        <v/>
      </c>
      <c r="AA107" s="70">
        <f>IF($S107="","",IF(N($T107)&gt;0,AVERAGEIFS($W$5:$W$1000,$R$5:$R$1000,ROW(),$S$5:$S$1000,"Sub"),$W107))</f>
        <v/>
      </c>
      <c r="AB107" s="70">
        <f>IF($S107="","",IF(N($T107)&gt;0,AVERAGEIFS($X$5:$X$1000,$R$5:$R$1000,ROW(),$S$5:$S$1000,"Sub"),$X107))</f>
        <v/>
      </c>
    </row>
    <row r="108">
      <c r="A108" s="61">
        <f>IF(NOT((COUNTA($B108:$K108)+COUNTA($N108))&gt;0),"",IF($S108="Macro",COUNTIFS($S$5:$S108,"Macro",$P$5:$P108,$P108),IF(N($R108)=0,"?",COUNTIFS(INDEX($S$5:$S$1000,1):INDEX($S$5:$S$1000,$R108-4),"Macro",INDEX($P$5:$P$1000,1):INDEX($P$5:$P$1000,$R108-4),INDEX($P$5:$P$1000,$R108-4))&amp;"."&amp;COUNTIFS($R$5:$R108,$R108,$S$5:$S108,"Sub"))))</f>
        <v/>
      </c>
      <c r="B108" s="62" t="n"/>
      <c r="C108" s="63" t="n"/>
      <c r="D108" s="62" t="n"/>
      <c r="E108" s="64" t="n"/>
      <c r="F108" s="64" t="n"/>
      <c r="G108" s="65" t="n"/>
      <c r="H108" s="66" t="n"/>
      <c r="I108" s="66" t="n"/>
      <c r="J108" s="66" t="n"/>
      <c r="K108" s="66" t="n"/>
      <c r="L108" s="67">
        <f>IF(NOT((COUNTA($B108:$K108)+COUNTA($N108))&gt;0),"",IF(N($T108)&gt;0,$AB108,IFERROR(LOOKUP(2,1/(H108:K108&lt;&gt;""),H108:K108),0)))</f>
        <v/>
      </c>
      <c r="M108" s="61">
        <f>IF(L108="","",IF(L108&gt;=1,"Completado",IF(L108&gt;0,"En curso","Pendiente")))</f>
        <v/>
      </c>
      <c r="N108" s="62" t="n"/>
      <c r="O108" s="68">
        <f>IF(NOT((COUNTA($B108:$K108)+COUNTA($N108))&gt;0),"",IF((IF(AND($S108="Macro",$B108=""),"Macroactividad vacía"&amp;" · ","")&amp;IF(AND($B108&lt;&gt;"",$C108&lt;&gt;""),"Escriba la subactividad en otra fila, debajo de su macroactividad"&amp;" · ","")&amp;IF(AND($S108="Sub",N($R108)=0),"Subactividad sin macroactividad arriba"&amp;" · ","")&amp;IF($D108="","Sin responsable"&amp;" · ","")&amp;IF($E108="","Sin fecha de inicio"&amp;" · ","")&amp;IF($F108="","Sin fecha límite"&amp;" · ","")&amp;IF(OR(AND($E108&lt;&gt;"",NOT(ISNUMBER($E108))),AND($F108&lt;&gt;"",NOT(ISNUMBER($F108)))),"Fecha no válida"&amp;" · ","")&amp;IF(AND(ISNUMBER($E108),ISNUMBER($F108),$E108&gt;$F108),"Inicio posterior a fecha límite"&amp;" · ","")&amp;IF(AND($S108="Macro",$G108=""),"Peso vacío"&amp;" · ","")&amp;IF(AND($S108="Macro",$G108&lt;&gt;"",OR(NOT(ISNUMBER($G108)),$G108&lt;=0,$G108&gt;1)),"Peso fuera de rango"&amp;" · ","")&amp;IF(AND($S108="Sub",$G108&lt;&gt;""),"Las subactividades no llevan peso"&amp;" · ","")&amp;IF(AND($S108="Macro",ABS(SUMIFS($G$5:$G$1000,$P$5:$P$1000,$P108,$S$5:$S$1000,"Macro")-1)&gt;0.0001),"Pesos del mes suman "&amp;TEXT(SUMIFS($G$5:$G$1000,$P$5:$P$1000,$P108,$S$5:$S$1000,"Macro"),"0%")&amp;" · ","")&amp;IF(AND(N($T108)&gt;0,COUNT($H108:$K108)&gt;0),"Con subactividades: deje vacías las semanas (se calculan solas)"&amp;" · ","")&amp;IF((COUNTIF($H108:$K108,"&gt;1")+COUNTIF($H108:$K108,"&lt;0")+COUNTA($H108:$K108)-COUNT($H108:$K108))&gt;0,"Avance fuera de rango 0-100%"&amp;" · ","")&amp;IF(OR(AND($I108&lt;&gt;"",$I108&lt;$H108),AND($J108&lt;&gt;"",$J108&lt;MAX($H108:$I108)),AND($K108&lt;&gt;"",$K108&lt;MAX($H108:$J108))),"Avance semanal decreciente"&amp;" · ","")&amp;IF(AND(ISNUMBER($F108),$F108&lt;FechaRef,N($L108)&lt;1),"Vencida"&amp;" · ","")&amp;IF(AND(ObsObligatoria="Sí",ISNUMBER($F108),$F108&lt;FechaRef,N($L108)&lt;1,$N108=""),"Vencida sin observación"&amp;" · ",""))="","✔ OK","⚠ "&amp;LEFT(IF(AND($S108="Macro",$B108=""),"Macroactividad vacía"&amp;" · ","")&amp;IF(AND($B108&lt;&gt;"",$C108&lt;&gt;""),"Escriba la subactividad en otra fila, debajo de su macroactividad"&amp;" · ","")&amp;IF(AND($S108="Sub",N($R108)=0),"Subactividad sin macroactividad arriba"&amp;" · ","")&amp;IF($D108="","Sin responsable"&amp;" · ","")&amp;IF($E108="","Sin fecha de inicio"&amp;" · ","")&amp;IF($F108="","Sin fecha límite"&amp;" · ","")&amp;IF(OR(AND($E108&lt;&gt;"",NOT(ISNUMBER($E108))),AND($F108&lt;&gt;"",NOT(ISNUMBER($F108)))),"Fecha no válida"&amp;" · ","")&amp;IF(AND(ISNUMBER($E108),ISNUMBER($F108),$E108&gt;$F108),"Inicio posterior a fecha límite"&amp;" · ","")&amp;IF(AND($S108="Macro",$G108=""),"Peso vacío"&amp;" · ","")&amp;IF(AND($S108="Macro",$G108&lt;&gt;"",OR(NOT(ISNUMBER($G108)),$G108&lt;=0,$G108&gt;1)),"Peso fuera de rango"&amp;" · ","")&amp;IF(AND($S108="Sub",$G108&lt;&gt;""),"Las subactividades no llevan peso"&amp;" · ","")&amp;IF(AND($S108="Macro",ABS(SUMIFS($G$5:$G$1000,$P$5:$P$1000,$P108,$S$5:$S$1000,"Macro")-1)&gt;0.0001),"Pesos del mes suman "&amp;TEXT(SUMIFS($G$5:$G$1000,$P$5:$P$1000,$P108,$S$5:$S$1000,"Macro"),"0%")&amp;" · ","")&amp;IF(AND(N($T108)&gt;0,COUNT($H108:$K108)&gt;0),"Con subactividades: deje vacías las semanas (se calculan solas)"&amp;" · ","")&amp;IF((COUNTIF($H108:$K108,"&gt;1")+COUNTIF($H108:$K108,"&lt;0")+COUNTA($H108:$K108)-COUNT($H108:$K108))&gt;0,"Avance fuera de rango 0-100%"&amp;" · ","")&amp;IF(OR(AND($I108&lt;&gt;"",$I108&lt;$H108),AND($J108&lt;&gt;"",$J108&lt;MAX($H108:$I108)),AND($K108&lt;&gt;"",$K108&lt;MAX($H108:$J108))),"Avance semanal decreciente"&amp;" · ","")&amp;IF(AND(ISNUMBER($F108),$F108&lt;FechaRef,N($L108)&lt;1),"Vencida"&amp;" · ","")&amp;IF(AND(ObsObligatoria="Sí",ISNUMBER($F108),$F108&lt;FechaRef,N($L108)&lt;1,$N108=""),"Vencida sin observación"&amp;" · ",""),LEN(IF(AND($S108="Macro",$B108=""),"Macroactividad vacía"&amp;" · ","")&amp;IF(AND($B108&lt;&gt;"",$C108&lt;&gt;""),"Escriba la subactividad en otra fila, debajo de su macroactividad"&amp;" · ","")&amp;IF(AND($S108="Sub",N($R108)=0),"Subactividad sin macroactividad arriba"&amp;" · ","")&amp;IF($D108="","Sin responsable"&amp;" · ","")&amp;IF($E108="","Sin fecha de inicio"&amp;" · ","")&amp;IF($F108="","Sin fecha límite"&amp;" · ","")&amp;IF(OR(AND($E108&lt;&gt;"",NOT(ISNUMBER($E108))),AND($F108&lt;&gt;"",NOT(ISNUMBER($F108)))),"Fecha no válida"&amp;" · ","")&amp;IF(AND(ISNUMBER($E108),ISNUMBER($F108),$E108&gt;$F108),"Inicio posterior a fecha límite"&amp;" · ","")&amp;IF(AND($S108="Macro",$G108=""),"Peso vacío"&amp;" · ","")&amp;IF(AND($S108="Macro",$G108&lt;&gt;"",OR(NOT(ISNUMBER($G108)),$G108&lt;=0,$G108&gt;1)),"Peso fuera de rango"&amp;" · ","")&amp;IF(AND($S108="Sub",$G108&lt;&gt;""),"Las subactividades no llevan peso"&amp;" · ","")&amp;IF(AND($S108="Macro",ABS(SUMIFS($G$5:$G$1000,$P$5:$P$1000,$P108,$S$5:$S$1000,"Macro")-1)&gt;0.0001),"Pesos del mes suman "&amp;TEXT(SUMIFS($G$5:$G$1000,$P$5:$P$1000,$P108,$S$5:$S$1000,"Macro"),"0%")&amp;" · ","")&amp;IF(AND(N($T108)&gt;0,COUNT($H108:$K108)&gt;0),"Con subactividades: deje vacías las semanas (se calculan solas)"&amp;" · ","")&amp;IF((COUNTIF($H108:$K108,"&gt;1")+COUNTIF($H108:$K108,"&lt;0")+COUNTA($H108:$K108)-COUNT($H108:$K108))&gt;0,"Avance fuera de rango 0-100%"&amp;" · ","")&amp;IF(OR(AND($I108&lt;&gt;"",$I108&lt;$H108),AND($J108&lt;&gt;"",$J108&lt;MAX($H108:$I108)),AND($K108&lt;&gt;"",$K108&lt;MAX($H108:$J108))),"Avance semanal decreciente"&amp;" · ","")&amp;IF(AND(ISNUMBER($F108),$F108&lt;FechaRef,N($L108)&lt;1),"Vencida"&amp;" · ","")&amp;IF(AND(ObsObligatoria="Sí",ISNUMBER($F108),$F108&lt;FechaRef,N($L108)&lt;1,$N108=""),"Vencida sin observación"&amp;" · ",""))-3)))</f>
        <v/>
      </c>
      <c r="P108" s="69">
        <f>IF(NOT((COUNTA($B108:$K108)+COUNTA($N108))&gt;0),"",IF(AND($S108="Sub",N($R108)&gt;0),IF(ISNUMBER(INDEX($E$5:$E$1000,$R108-4)),DATE(YEAR(INDEX($E$5:$E$1000,$R108-4)),MONTH(INDEX($E$5:$E$1000,$R108-4)),1),IF(ISNUMBER(INDEX($F$5:$F$1000,$R108-4)),DATE(YEAR(INDEX($F$5:$F$1000,$R108-4)),MONTH(INDEX($F$5:$F$1000,$R108-4)),1),MesCiclo)),IF(ISNUMBER($E108),DATE(YEAR($E108),MONTH($E108),1),IF(ISNUMBER($F108),DATE(YEAR($F108),MONTH($F108),1),MesCiclo))))</f>
        <v/>
      </c>
      <c r="Q108" s="70">
        <f>IF(OR($P108="",$P108&lt;&gt;MesCiclo),"",COUNTIF($P$5:$P108,MesCiclo))</f>
        <v/>
      </c>
      <c r="R108" s="70">
        <f>IF($S108="","",IF($S108="Macro",ROW(),IFERROR(LOOKUP(2,1/($S$5:$S108="Macro"),ROW($S$5:$S108)),0)))</f>
        <v/>
      </c>
      <c r="S108" s="70">
        <f>IF(NOT((COUNTA($B108:$K108)+COUNTA($N108))&gt;0),"",IF($B108&lt;&gt;"","Macro",IF($C108&lt;&gt;"","Sub","Macro")))</f>
        <v/>
      </c>
      <c r="T108" s="70">
        <f>IF($S108="Macro",COUNTIFS($R$5:$R$1000,ROW(),$S$5:$S$1000,"Sub"),"")</f>
        <v/>
      </c>
      <c r="U108" s="70">
        <f>IF($S108="","",IF(ISNUMBER($H108),$H108,0))</f>
        <v/>
      </c>
      <c r="V108" s="70">
        <f>IF($S108="","",IF(ISNUMBER($I108),$I108,$U108))</f>
        <v/>
      </c>
      <c r="W108" s="70">
        <f>IF($S108="","",IF(ISNUMBER($J108),$J108,$V108))</f>
        <v/>
      </c>
      <c r="X108" s="70">
        <f>IF($S108="","",IF(ISNUMBER($K108),$K108,$W108))</f>
        <v/>
      </c>
      <c r="Y108" s="70">
        <f>IF($S108="","",IF(N($T108)&gt;0,AVERAGEIFS($U$5:$U$1000,$R$5:$R$1000,ROW(),$S$5:$S$1000,"Sub"),$U108))</f>
        <v/>
      </c>
      <c r="Z108" s="70">
        <f>IF($S108="","",IF(N($T108)&gt;0,AVERAGEIFS($V$5:$V$1000,$R$5:$R$1000,ROW(),$S$5:$S$1000,"Sub"),$V108))</f>
        <v/>
      </c>
      <c r="AA108" s="70">
        <f>IF($S108="","",IF(N($T108)&gt;0,AVERAGEIFS($W$5:$W$1000,$R$5:$R$1000,ROW(),$S$5:$S$1000,"Sub"),$W108))</f>
        <v/>
      </c>
      <c r="AB108" s="70">
        <f>IF($S108="","",IF(N($T108)&gt;0,AVERAGEIFS($X$5:$X$1000,$R$5:$R$1000,ROW(),$S$5:$S$1000,"Sub"),$X108))</f>
        <v/>
      </c>
    </row>
    <row r="109">
      <c r="A109" s="61">
        <f>IF(NOT((COUNTA($B109:$K109)+COUNTA($N109))&gt;0),"",IF($S109="Macro",COUNTIFS($S$5:$S109,"Macro",$P$5:$P109,$P109),IF(N($R109)=0,"?",COUNTIFS(INDEX($S$5:$S$1000,1):INDEX($S$5:$S$1000,$R109-4),"Macro",INDEX($P$5:$P$1000,1):INDEX($P$5:$P$1000,$R109-4),INDEX($P$5:$P$1000,$R109-4))&amp;"."&amp;COUNTIFS($R$5:$R109,$R109,$S$5:$S109,"Sub"))))</f>
        <v/>
      </c>
      <c r="B109" s="62" t="n"/>
      <c r="C109" s="63" t="n"/>
      <c r="D109" s="62" t="n"/>
      <c r="E109" s="64" t="n"/>
      <c r="F109" s="64" t="n"/>
      <c r="G109" s="65" t="n"/>
      <c r="H109" s="66" t="n"/>
      <c r="I109" s="66" t="n"/>
      <c r="J109" s="66" t="n"/>
      <c r="K109" s="66" t="n"/>
      <c r="L109" s="67">
        <f>IF(NOT((COUNTA($B109:$K109)+COUNTA($N109))&gt;0),"",IF(N($T109)&gt;0,$AB109,IFERROR(LOOKUP(2,1/(H109:K109&lt;&gt;""),H109:K109),0)))</f>
        <v/>
      </c>
      <c r="M109" s="61">
        <f>IF(L109="","",IF(L109&gt;=1,"Completado",IF(L109&gt;0,"En curso","Pendiente")))</f>
        <v/>
      </c>
      <c r="N109" s="62" t="n"/>
      <c r="O109" s="68">
        <f>IF(NOT((COUNTA($B109:$K109)+COUNTA($N109))&gt;0),"",IF((IF(AND($S109="Macro",$B109=""),"Macroactividad vacía"&amp;" · ","")&amp;IF(AND($B109&lt;&gt;"",$C109&lt;&gt;""),"Escriba la subactividad en otra fila, debajo de su macroactividad"&amp;" · ","")&amp;IF(AND($S109="Sub",N($R109)=0),"Subactividad sin macroactividad arriba"&amp;" · ","")&amp;IF($D109="","Sin responsable"&amp;" · ","")&amp;IF($E109="","Sin fecha de inicio"&amp;" · ","")&amp;IF($F109="","Sin fecha límite"&amp;" · ","")&amp;IF(OR(AND($E109&lt;&gt;"",NOT(ISNUMBER($E109))),AND($F109&lt;&gt;"",NOT(ISNUMBER($F109)))),"Fecha no válida"&amp;" · ","")&amp;IF(AND(ISNUMBER($E109),ISNUMBER($F109),$E109&gt;$F109),"Inicio posterior a fecha límite"&amp;" · ","")&amp;IF(AND($S109="Macro",$G109=""),"Peso vacío"&amp;" · ","")&amp;IF(AND($S109="Macro",$G109&lt;&gt;"",OR(NOT(ISNUMBER($G109)),$G109&lt;=0,$G109&gt;1)),"Peso fuera de rango"&amp;" · ","")&amp;IF(AND($S109="Sub",$G109&lt;&gt;""),"Las subactividades no llevan peso"&amp;" · ","")&amp;IF(AND($S109="Macro",ABS(SUMIFS($G$5:$G$1000,$P$5:$P$1000,$P109,$S$5:$S$1000,"Macro")-1)&gt;0.0001),"Pesos del mes suman "&amp;TEXT(SUMIFS($G$5:$G$1000,$P$5:$P$1000,$P109,$S$5:$S$1000,"Macro"),"0%")&amp;" · ","")&amp;IF(AND(N($T109)&gt;0,COUNT($H109:$K109)&gt;0),"Con subactividades: deje vacías las semanas (se calculan solas)"&amp;" · ","")&amp;IF((COUNTIF($H109:$K109,"&gt;1")+COUNTIF($H109:$K109,"&lt;0")+COUNTA($H109:$K109)-COUNT($H109:$K109))&gt;0,"Avance fuera de rango 0-100%"&amp;" · ","")&amp;IF(OR(AND($I109&lt;&gt;"",$I109&lt;$H109),AND($J109&lt;&gt;"",$J109&lt;MAX($H109:$I109)),AND($K109&lt;&gt;"",$K109&lt;MAX($H109:$J109))),"Avance semanal decreciente"&amp;" · ","")&amp;IF(AND(ISNUMBER($F109),$F109&lt;FechaRef,N($L109)&lt;1),"Vencida"&amp;" · ","")&amp;IF(AND(ObsObligatoria="Sí",ISNUMBER($F109),$F109&lt;FechaRef,N($L109)&lt;1,$N109=""),"Vencida sin observación"&amp;" · ",""))="","✔ OK","⚠ "&amp;LEFT(IF(AND($S109="Macro",$B109=""),"Macroactividad vacía"&amp;" · ","")&amp;IF(AND($B109&lt;&gt;"",$C109&lt;&gt;""),"Escriba la subactividad en otra fila, debajo de su macroactividad"&amp;" · ","")&amp;IF(AND($S109="Sub",N($R109)=0),"Subactividad sin macroactividad arriba"&amp;" · ","")&amp;IF($D109="","Sin responsable"&amp;" · ","")&amp;IF($E109="","Sin fecha de inicio"&amp;" · ","")&amp;IF($F109="","Sin fecha límite"&amp;" · ","")&amp;IF(OR(AND($E109&lt;&gt;"",NOT(ISNUMBER($E109))),AND($F109&lt;&gt;"",NOT(ISNUMBER($F109)))),"Fecha no válida"&amp;" · ","")&amp;IF(AND(ISNUMBER($E109),ISNUMBER($F109),$E109&gt;$F109),"Inicio posterior a fecha límite"&amp;" · ","")&amp;IF(AND($S109="Macro",$G109=""),"Peso vacío"&amp;" · ","")&amp;IF(AND($S109="Macro",$G109&lt;&gt;"",OR(NOT(ISNUMBER($G109)),$G109&lt;=0,$G109&gt;1)),"Peso fuera de rango"&amp;" · ","")&amp;IF(AND($S109="Sub",$G109&lt;&gt;""),"Las subactividades no llevan peso"&amp;" · ","")&amp;IF(AND($S109="Macro",ABS(SUMIFS($G$5:$G$1000,$P$5:$P$1000,$P109,$S$5:$S$1000,"Macro")-1)&gt;0.0001),"Pesos del mes suman "&amp;TEXT(SUMIFS($G$5:$G$1000,$P$5:$P$1000,$P109,$S$5:$S$1000,"Macro"),"0%")&amp;" · ","")&amp;IF(AND(N($T109)&gt;0,COUNT($H109:$K109)&gt;0),"Con subactividades: deje vacías las semanas (se calculan solas)"&amp;" · ","")&amp;IF((COUNTIF($H109:$K109,"&gt;1")+COUNTIF($H109:$K109,"&lt;0")+COUNTA($H109:$K109)-COUNT($H109:$K109))&gt;0,"Avance fuera de rango 0-100%"&amp;" · ","")&amp;IF(OR(AND($I109&lt;&gt;"",$I109&lt;$H109),AND($J109&lt;&gt;"",$J109&lt;MAX($H109:$I109)),AND($K109&lt;&gt;"",$K109&lt;MAX($H109:$J109))),"Avance semanal decreciente"&amp;" · ","")&amp;IF(AND(ISNUMBER($F109),$F109&lt;FechaRef,N($L109)&lt;1),"Vencida"&amp;" · ","")&amp;IF(AND(ObsObligatoria="Sí",ISNUMBER($F109),$F109&lt;FechaRef,N($L109)&lt;1,$N109=""),"Vencida sin observación"&amp;" · ",""),LEN(IF(AND($S109="Macro",$B109=""),"Macroactividad vacía"&amp;" · ","")&amp;IF(AND($B109&lt;&gt;"",$C109&lt;&gt;""),"Escriba la subactividad en otra fila, debajo de su macroactividad"&amp;" · ","")&amp;IF(AND($S109="Sub",N($R109)=0),"Subactividad sin macroactividad arriba"&amp;" · ","")&amp;IF($D109="","Sin responsable"&amp;" · ","")&amp;IF($E109="","Sin fecha de inicio"&amp;" · ","")&amp;IF($F109="","Sin fecha límite"&amp;" · ","")&amp;IF(OR(AND($E109&lt;&gt;"",NOT(ISNUMBER($E109))),AND($F109&lt;&gt;"",NOT(ISNUMBER($F109)))),"Fecha no válida"&amp;" · ","")&amp;IF(AND(ISNUMBER($E109),ISNUMBER($F109),$E109&gt;$F109),"Inicio posterior a fecha límite"&amp;" · ","")&amp;IF(AND($S109="Macro",$G109=""),"Peso vacío"&amp;" · ","")&amp;IF(AND($S109="Macro",$G109&lt;&gt;"",OR(NOT(ISNUMBER($G109)),$G109&lt;=0,$G109&gt;1)),"Peso fuera de rango"&amp;" · ","")&amp;IF(AND($S109="Sub",$G109&lt;&gt;""),"Las subactividades no llevan peso"&amp;" · ","")&amp;IF(AND($S109="Macro",ABS(SUMIFS($G$5:$G$1000,$P$5:$P$1000,$P109,$S$5:$S$1000,"Macro")-1)&gt;0.0001),"Pesos del mes suman "&amp;TEXT(SUMIFS($G$5:$G$1000,$P$5:$P$1000,$P109,$S$5:$S$1000,"Macro"),"0%")&amp;" · ","")&amp;IF(AND(N($T109)&gt;0,COUNT($H109:$K109)&gt;0),"Con subactividades: deje vacías las semanas (se calculan solas)"&amp;" · ","")&amp;IF((COUNTIF($H109:$K109,"&gt;1")+COUNTIF($H109:$K109,"&lt;0")+COUNTA($H109:$K109)-COUNT($H109:$K109))&gt;0,"Avance fuera de rango 0-100%"&amp;" · ","")&amp;IF(OR(AND($I109&lt;&gt;"",$I109&lt;$H109),AND($J109&lt;&gt;"",$J109&lt;MAX($H109:$I109)),AND($K109&lt;&gt;"",$K109&lt;MAX($H109:$J109))),"Avance semanal decreciente"&amp;" · ","")&amp;IF(AND(ISNUMBER($F109),$F109&lt;FechaRef,N($L109)&lt;1),"Vencida"&amp;" · ","")&amp;IF(AND(ObsObligatoria="Sí",ISNUMBER($F109),$F109&lt;FechaRef,N($L109)&lt;1,$N109=""),"Vencida sin observación"&amp;" · ",""))-3)))</f>
        <v/>
      </c>
      <c r="P109" s="69">
        <f>IF(NOT((COUNTA($B109:$K109)+COUNTA($N109))&gt;0),"",IF(AND($S109="Sub",N($R109)&gt;0),IF(ISNUMBER(INDEX($E$5:$E$1000,$R109-4)),DATE(YEAR(INDEX($E$5:$E$1000,$R109-4)),MONTH(INDEX($E$5:$E$1000,$R109-4)),1),IF(ISNUMBER(INDEX($F$5:$F$1000,$R109-4)),DATE(YEAR(INDEX($F$5:$F$1000,$R109-4)),MONTH(INDEX($F$5:$F$1000,$R109-4)),1),MesCiclo)),IF(ISNUMBER($E109),DATE(YEAR($E109),MONTH($E109),1),IF(ISNUMBER($F109),DATE(YEAR($F109),MONTH($F109),1),MesCiclo))))</f>
        <v/>
      </c>
      <c r="Q109" s="70">
        <f>IF(OR($P109="",$P109&lt;&gt;MesCiclo),"",COUNTIF($P$5:$P109,MesCiclo))</f>
        <v/>
      </c>
      <c r="R109" s="70">
        <f>IF($S109="","",IF($S109="Macro",ROW(),IFERROR(LOOKUP(2,1/($S$5:$S109="Macro"),ROW($S$5:$S109)),0)))</f>
        <v/>
      </c>
      <c r="S109" s="70">
        <f>IF(NOT((COUNTA($B109:$K109)+COUNTA($N109))&gt;0),"",IF($B109&lt;&gt;"","Macro",IF($C109&lt;&gt;"","Sub","Macro")))</f>
        <v/>
      </c>
      <c r="T109" s="70">
        <f>IF($S109="Macro",COUNTIFS($R$5:$R$1000,ROW(),$S$5:$S$1000,"Sub"),"")</f>
        <v/>
      </c>
      <c r="U109" s="70">
        <f>IF($S109="","",IF(ISNUMBER($H109),$H109,0))</f>
        <v/>
      </c>
      <c r="V109" s="70">
        <f>IF($S109="","",IF(ISNUMBER($I109),$I109,$U109))</f>
        <v/>
      </c>
      <c r="W109" s="70">
        <f>IF($S109="","",IF(ISNUMBER($J109),$J109,$V109))</f>
        <v/>
      </c>
      <c r="X109" s="70">
        <f>IF($S109="","",IF(ISNUMBER($K109),$K109,$W109))</f>
        <v/>
      </c>
      <c r="Y109" s="70">
        <f>IF($S109="","",IF(N($T109)&gt;0,AVERAGEIFS($U$5:$U$1000,$R$5:$R$1000,ROW(),$S$5:$S$1000,"Sub"),$U109))</f>
        <v/>
      </c>
      <c r="Z109" s="70">
        <f>IF($S109="","",IF(N($T109)&gt;0,AVERAGEIFS($V$5:$V$1000,$R$5:$R$1000,ROW(),$S$5:$S$1000,"Sub"),$V109))</f>
        <v/>
      </c>
      <c r="AA109" s="70">
        <f>IF($S109="","",IF(N($T109)&gt;0,AVERAGEIFS($W$5:$W$1000,$R$5:$R$1000,ROW(),$S$5:$S$1000,"Sub"),$W109))</f>
        <v/>
      </c>
      <c r="AB109" s="70">
        <f>IF($S109="","",IF(N($T109)&gt;0,AVERAGEIFS($X$5:$X$1000,$R$5:$R$1000,ROW(),$S$5:$S$1000,"Sub"),$X109))</f>
        <v/>
      </c>
    </row>
    <row r="110">
      <c r="A110" s="61">
        <f>IF(NOT((COUNTA($B110:$K110)+COUNTA($N110))&gt;0),"",IF($S110="Macro",COUNTIFS($S$5:$S110,"Macro",$P$5:$P110,$P110),IF(N($R110)=0,"?",COUNTIFS(INDEX($S$5:$S$1000,1):INDEX($S$5:$S$1000,$R110-4),"Macro",INDEX($P$5:$P$1000,1):INDEX($P$5:$P$1000,$R110-4),INDEX($P$5:$P$1000,$R110-4))&amp;"."&amp;COUNTIFS($R$5:$R110,$R110,$S$5:$S110,"Sub"))))</f>
        <v/>
      </c>
      <c r="B110" s="62" t="n"/>
      <c r="C110" s="63" t="n"/>
      <c r="D110" s="62" t="n"/>
      <c r="E110" s="64" t="n"/>
      <c r="F110" s="64" t="n"/>
      <c r="G110" s="65" t="n"/>
      <c r="H110" s="66" t="n"/>
      <c r="I110" s="66" t="n"/>
      <c r="J110" s="66" t="n"/>
      <c r="K110" s="66" t="n"/>
      <c r="L110" s="67">
        <f>IF(NOT((COUNTA($B110:$K110)+COUNTA($N110))&gt;0),"",IF(N($T110)&gt;0,$AB110,IFERROR(LOOKUP(2,1/(H110:K110&lt;&gt;""),H110:K110),0)))</f>
        <v/>
      </c>
      <c r="M110" s="61">
        <f>IF(L110="","",IF(L110&gt;=1,"Completado",IF(L110&gt;0,"En curso","Pendiente")))</f>
        <v/>
      </c>
      <c r="N110" s="62" t="n"/>
      <c r="O110" s="68">
        <f>IF(NOT((COUNTA($B110:$K110)+COUNTA($N110))&gt;0),"",IF((IF(AND($S110="Macro",$B110=""),"Macroactividad vacía"&amp;" · ","")&amp;IF(AND($B110&lt;&gt;"",$C110&lt;&gt;""),"Escriba la subactividad en otra fila, debajo de su macroactividad"&amp;" · ","")&amp;IF(AND($S110="Sub",N($R110)=0),"Subactividad sin macroactividad arriba"&amp;" · ","")&amp;IF($D110="","Sin responsable"&amp;" · ","")&amp;IF($E110="","Sin fecha de inicio"&amp;" · ","")&amp;IF($F110="","Sin fecha límite"&amp;" · ","")&amp;IF(OR(AND($E110&lt;&gt;"",NOT(ISNUMBER($E110))),AND($F110&lt;&gt;"",NOT(ISNUMBER($F110)))),"Fecha no válida"&amp;" · ","")&amp;IF(AND(ISNUMBER($E110),ISNUMBER($F110),$E110&gt;$F110),"Inicio posterior a fecha límite"&amp;" · ","")&amp;IF(AND($S110="Macro",$G110=""),"Peso vacío"&amp;" · ","")&amp;IF(AND($S110="Macro",$G110&lt;&gt;"",OR(NOT(ISNUMBER($G110)),$G110&lt;=0,$G110&gt;1)),"Peso fuera de rango"&amp;" · ","")&amp;IF(AND($S110="Sub",$G110&lt;&gt;""),"Las subactividades no llevan peso"&amp;" · ","")&amp;IF(AND($S110="Macro",ABS(SUMIFS($G$5:$G$1000,$P$5:$P$1000,$P110,$S$5:$S$1000,"Macro")-1)&gt;0.0001),"Pesos del mes suman "&amp;TEXT(SUMIFS($G$5:$G$1000,$P$5:$P$1000,$P110,$S$5:$S$1000,"Macro"),"0%")&amp;" · ","")&amp;IF(AND(N($T110)&gt;0,COUNT($H110:$K110)&gt;0),"Con subactividades: deje vacías las semanas (se calculan solas)"&amp;" · ","")&amp;IF((COUNTIF($H110:$K110,"&gt;1")+COUNTIF($H110:$K110,"&lt;0")+COUNTA($H110:$K110)-COUNT($H110:$K110))&gt;0,"Avance fuera de rango 0-100%"&amp;" · ","")&amp;IF(OR(AND($I110&lt;&gt;"",$I110&lt;$H110),AND($J110&lt;&gt;"",$J110&lt;MAX($H110:$I110)),AND($K110&lt;&gt;"",$K110&lt;MAX($H110:$J110))),"Avance semanal decreciente"&amp;" · ","")&amp;IF(AND(ISNUMBER($F110),$F110&lt;FechaRef,N($L110)&lt;1),"Vencida"&amp;" · ","")&amp;IF(AND(ObsObligatoria="Sí",ISNUMBER($F110),$F110&lt;FechaRef,N($L110)&lt;1,$N110=""),"Vencida sin observación"&amp;" · ",""))="","✔ OK","⚠ "&amp;LEFT(IF(AND($S110="Macro",$B110=""),"Macroactividad vacía"&amp;" · ","")&amp;IF(AND($B110&lt;&gt;"",$C110&lt;&gt;""),"Escriba la subactividad en otra fila, debajo de su macroactividad"&amp;" · ","")&amp;IF(AND($S110="Sub",N($R110)=0),"Subactividad sin macroactividad arriba"&amp;" · ","")&amp;IF($D110="","Sin responsable"&amp;" · ","")&amp;IF($E110="","Sin fecha de inicio"&amp;" · ","")&amp;IF($F110="","Sin fecha límite"&amp;" · ","")&amp;IF(OR(AND($E110&lt;&gt;"",NOT(ISNUMBER($E110))),AND($F110&lt;&gt;"",NOT(ISNUMBER($F110)))),"Fecha no válida"&amp;" · ","")&amp;IF(AND(ISNUMBER($E110),ISNUMBER($F110),$E110&gt;$F110),"Inicio posterior a fecha límite"&amp;" · ","")&amp;IF(AND($S110="Macro",$G110=""),"Peso vacío"&amp;" · ","")&amp;IF(AND($S110="Macro",$G110&lt;&gt;"",OR(NOT(ISNUMBER($G110)),$G110&lt;=0,$G110&gt;1)),"Peso fuera de rango"&amp;" · ","")&amp;IF(AND($S110="Sub",$G110&lt;&gt;""),"Las subactividades no llevan peso"&amp;" · ","")&amp;IF(AND($S110="Macro",ABS(SUMIFS($G$5:$G$1000,$P$5:$P$1000,$P110,$S$5:$S$1000,"Macro")-1)&gt;0.0001),"Pesos del mes suman "&amp;TEXT(SUMIFS($G$5:$G$1000,$P$5:$P$1000,$P110,$S$5:$S$1000,"Macro"),"0%")&amp;" · ","")&amp;IF(AND(N($T110)&gt;0,COUNT($H110:$K110)&gt;0),"Con subactividades: deje vacías las semanas (se calculan solas)"&amp;" · ","")&amp;IF((COUNTIF($H110:$K110,"&gt;1")+COUNTIF($H110:$K110,"&lt;0")+COUNTA($H110:$K110)-COUNT($H110:$K110))&gt;0,"Avance fuera de rango 0-100%"&amp;" · ","")&amp;IF(OR(AND($I110&lt;&gt;"",$I110&lt;$H110),AND($J110&lt;&gt;"",$J110&lt;MAX($H110:$I110)),AND($K110&lt;&gt;"",$K110&lt;MAX($H110:$J110))),"Avance semanal decreciente"&amp;" · ","")&amp;IF(AND(ISNUMBER($F110),$F110&lt;FechaRef,N($L110)&lt;1),"Vencida"&amp;" · ","")&amp;IF(AND(ObsObligatoria="Sí",ISNUMBER($F110),$F110&lt;FechaRef,N($L110)&lt;1,$N110=""),"Vencida sin observación"&amp;" · ",""),LEN(IF(AND($S110="Macro",$B110=""),"Macroactividad vacía"&amp;" · ","")&amp;IF(AND($B110&lt;&gt;"",$C110&lt;&gt;""),"Escriba la subactividad en otra fila, debajo de su macroactividad"&amp;" · ","")&amp;IF(AND($S110="Sub",N($R110)=0),"Subactividad sin macroactividad arriba"&amp;" · ","")&amp;IF($D110="","Sin responsable"&amp;" · ","")&amp;IF($E110="","Sin fecha de inicio"&amp;" · ","")&amp;IF($F110="","Sin fecha límite"&amp;" · ","")&amp;IF(OR(AND($E110&lt;&gt;"",NOT(ISNUMBER($E110))),AND($F110&lt;&gt;"",NOT(ISNUMBER($F110)))),"Fecha no válida"&amp;" · ","")&amp;IF(AND(ISNUMBER($E110),ISNUMBER($F110),$E110&gt;$F110),"Inicio posterior a fecha límite"&amp;" · ","")&amp;IF(AND($S110="Macro",$G110=""),"Peso vacío"&amp;" · ","")&amp;IF(AND($S110="Macro",$G110&lt;&gt;"",OR(NOT(ISNUMBER($G110)),$G110&lt;=0,$G110&gt;1)),"Peso fuera de rango"&amp;" · ","")&amp;IF(AND($S110="Sub",$G110&lt;&gt;""),"Las subactividades no llevan peso"&amp;" · ","")&amp;IF(AND($S110="Macro",ABS(SUMIFS($G$5:$G$1000,$P$5:$P$1000,$P110,$S$5:$S$1000,"Macro")-1)&gt;0.0001),"Pesos del mes suman "&amp;TEXT(SUMIFS($G$5:$G$1000,$P$5:$P$1000,$P110,$S$5:$S$1000,"Macro"),"0%")&amp;" · ","")&amp;IF(AND(N($T110)&gt;0,COUNT($H110:$K110)&gt;0),"Con subactividades: deje vacías las semanas (se calculan solas)"&amp;" · ","")&amp;IF((COUNTIF($H110:$K110,"&gt;1")+COUNTIF($H110:$K110,"&lt;0")+COUNTA($H110:$K110)-COUNT($H110:$K110))&gt;0,"Avance fuera de rango 0-100%"&amp;" · ","")&amp;IF(OR(AND($I110&lt;&gt;"",$I110&lt;$H110),AND($J110&lt;&gt;"",$J110&lt;MAX($H110:$I110)),AND($K110&lt;&gt;"",$K110&lt;MAX($H110:$J110))),"Avance semanal decreciente"&amp;" · ","")&amp;IF(AND(ISNUMBER($F110),$F110&lt;FechaRef,N($L110)&lt;1),"Vencida"&amp;" · ","")&amp;IF(AND(ObsObligatoria="Sí",ISNUMBER($F110),$F110&lt;FechaRef,N($L110)&lt;1,$N110=""),"Vencida sin observación"&amp;" · ",""))-3)))</f>
        <v/>
      </c>
      <c r="P110" s="69">
        <f>IF(NOT((COUNTA($B110:$K110)+COUNTA($N110))&gt;0),"",IF(AND($S110="Sub",N($R110)&gt;0),IF(ISNUMBER(INDEX($E$5:$E$1000,$R110-4)),DATE(YEAR(INDEX($E$5:$E$1000,$R110-4)),MONTH(INDEX($E$5:$E$1000,$R110-4)),1),IF(ISNUMBER(INDEX($F$5:$F$1000,$R110-4)),DATE(YEAR(INDEX($F$5:$F$1000,$R110-4)),MONTH(INDEX($F$5:$F$1000,$R110-4)),1),MesCiclo)),IF(ISNUMBER($E110),DATE(YEAR($E110),MONTH($E110),1),IF(ISNUMBER($F110),DATE(YEAR($F110),MONTH($F110),1),MesCiclo))))</f>
        <v/>
      </c>
      <c r="Q110" s="70">
        <f>IF(OR($P110="",$P110&lt;&gt;MesCiclo),"",COUNTIF($P$5:$P110,MesCiclo))</f>
        <v/>
      </c>
      <c r="R110" s="70">
        <f>IF($S110="","",IF($S110="Macro",ROW(),IFERROR(LOOKUP(2,1/($S$5:$S110="Macro"),ROW($S$5:$S110)),0)))</f>
        <v/>
      </c>
      <c r="S110" s="70">
        <f>IF(NOT((COUNTA($B110:$K110)+COUNTA($N110))&gt;0),"",IF($B110&lt;&gt;"","Macro",IF($C110&lt;&gt;"","Sub","Macro")))</f>
        <v/>
      </c>
      <c r="T110" s="70">
        <f>IF($S110="Macro",COUNTIFS($R$5:$R$1000,ROW(),$S$5:$S$1000,"Sub"),"")</f>
        <v/>
      </c>
      <c r="U110" s="70">
        <f>IF($S110="","",IF(ISNUMBER($H110),$H110,0))</f>
        <v/>
      </c>
      <c r="V110" s="70">
        <f>IF($S110="","",IF(ISNUMBER($I110),$I110,$U110))</f>
        <v/>
      </c>
      <c r="W110" s="70">
        <f>IF($S110="","",IF(ISNUMBER($J110),$J110,$V110))</f>
        <v/>
      </c>
      <c r="X110" s="70">
        <f>IF($S110="","",IF(ISNUMBER($K110),$K110,$W110))</f>
        <v/>
      </c>
      <c r="Y110" s="70">
        <f>IF($S110="","",IF(N($T110)&gt;0,AVERAGEIFS($U$5:$U$1000,$R$5:$R$1000,ROW(),$S$5:$S$1000,"Sub"),$U110))</f>
        <v/>
      </c>
      <c r="Z110" s="70">
        <f>IF($S110="","",IF(N($T110)&gt;0,AVERAGEIFS($V$5:$V$1000,$R$5:$R$1000,ROW(),$S$5:$S$1000,"Sub"),$V110))</f>
        <v/>
      </c>
      <c r="AA110" s="70">
        <f>IF($S110="","",IF(N($T110)&gt;0,AVERAGEIFS($W$5:$W$1000,$R$5:$R$1000,ROW(),$S$5:$S$1000,"Sub"),$W110))</f>
        <v/>
      </c>
      <c r="AB110" s="70">
        <f>IF($S110="","",IF(N($T110)&gt;0,AVERAGEIFS($X$5:$X$1000,$R$5:$R$1000,ROW(),$S$5:$S$1000,"Sub"),$X110))</f>
        <v/>
      </c>
    </row>
    <row r="111">
      <c r="A111" s="61">
        <f>IF(NOT((COUNTA($B111:$K111)+COUNTA($N111))&gt;0),"",IF($S111="Macro",COUNTIFS($S$5:$S111,"Macro",$P$5:$P111,$P111),IF(N($R111)=0,"?",COUNTIFS(INDEX($S$5:$S$1000,1):INDEX($S$5:$S$1000,$R111-4),"Macro",INDEX($P$5:$P$1000,1):INDEX($P$5:$P$1000,$R111-4),INDEX($P$5:$P$1000,$R111-4))&amp;"."&amp;COUNTIFS($R$5:$R111,$R111,$S$5:$S111,"Sub"))))</f>
        <v/>
      </c>
      <c r="B111" s="62" t="n"/>
      <c r="C111" s="63" t="n"/>
      <c r="D111" s="62" t="n"/>
      <c r="E111" s="64" t="n"/>
      <c r="F111" s="64" t="n"/>
      <c r="G111" s="65" t="n"/>
      <c r="H111" s="66" t="n"/>
      <c r="I111" s="66" t="n"/>
      <c r="J111" s="66" t="n"/>
      <c r="K111" s="66" t="n"/>
      <c r="L111" s="67">
        <f>IF(NOT((COUNTA($B111:$K111)+COUNTA($N111))&gt;0),"",IF(N($T111)&gt;0,$AB111,IFERROR(LOOKUP(2,1/(H111:K111&lt;&gt;""),H111:K111),0)))</f>
        <v/>
      </c>
      <c r="M111" s="61">
        <f>IF(L111="","",IF(L111&gt;=1,"Completado",IF(L111&gt;0,"En curso","Pendiente")))</f>
        <v/>
      </c>
      <c r="N111" s="62" t="n"/>
      <c r="O111" s="68">
        <f>IF(NOT((COUNTA($B111:$K111)+COUNTA($N111))&gt;0),"",IF((IF(AND($S111="Macro",$B111=""),"Macroactividad vacía"&amp;" · ","")&amp;IF(AND($B111&lt;&gt;"",$C111&lt;&gt;""),"Escriba la subactividad en otra fila, debajo de su macroactividad"&amp;" · ","")&amp;IF(AND($S111="Sub",N($R111)=0),"Subactividad sin macroactividad arriba"&amp;" · ","")&amp;IF($D111="","Sin responsable"&amp;" · ","")&amp;IF($E111="","Sin fecha de inicio"&amp;" · ","")&amp;IF($F111="","Sin fecha límite"&amp;" · ","")&amp;IF(OR(AND($E111&lt;&gt;"",NOT(ISNUMBER($E111))),AND($F111&lt;&gt;"",NOT(ISNUMBER($F111)))),"Fecha no válida"&amp;" · ","")&amp;IF(AND(ISNUMBER($E111),ISNUMBER($F111),$E111&gt;$F111),"Inicio posterior a fecha límite"&amp;" · ","")&amp;IF(AND($S111="Macro",$G111=""),"Peso vacío"&amp;" · ","")&amp;IF(AND($S111="Macro",$G111&lt;&gt;"",OR(NOT(ISNUMBER($G111)),$G111&lt;=0,$G111&gt;1)),"Peso fuera de rango"&amp;" · ","")&amp;IF(AND($S111="Sub",$G111&lt;&gt;""),"Las subactividades no llevan peso"&amp;" · ","")&amp;IF(AND($S111="Macro",ABS(SUMIFS($G$5:$G$1000,$P$5:$P$1000,$P111,$S$5:$S$1000,"Macro")-1)&gt;0.0001),"Pesos del mes suman "&amp;TEXT(SUMIFS($G$5:$G$1000,$P$5:$P$1000,$P111,$S$5:$S$1000,"Macro"),"0%")&amp;" · ","")&amp;IF(AND(N($T111)&gt;0,COUNT($H111:$K111)&gt;0),"Con subactividades: deje vacías las semanas (se calculan solas)"&amp;" · ","")&amp;IF((COUNTIF($H111:$K111,"&gt;1")+COUNTIF($H111:$K111,"&lt;0")+COUNTA($H111:$K111)-COUNT($H111:$K111))&gt;0,"Avance fuera de rango 0-100%"&amp;" · ","")&amp;IF(OR(AND($I111&lt;&gt;"",$I111&lt;$H111),AND($J111&lt;&gt;"",$J111&lt;MAX($H111:$I111)),AND($K111&lt;&gt;"",$K111&lt;MAX($H111:$J111))),"Avance semanal decreciente"&amp;" · ","")&amp;IF(AND(ISNUMBER($F111),$F111&lt;FechaRef,N($L111)&lt;1),"Vencida"&amp;" · ","")&amp;IF(AND(ObsObligatoria="Sí",ISNUMBER($F111),$F111&lt;FechaRef,N($L111)&lt;1,$N111=""),"Vencida sin observación"&amp;" · ",""))="","✔ OK","⚠ "&amp;LEFT(IF(AND($S111="Macro",$B111=""),"Macroactividad vacía"&amp;" · ","")&amp;IF(AND($B111&lt;&gt;"",$C111&lt;&gt;""),"Escriba la subactividad en otra fila, debajo de su macroactividad"&amp;" · ","")&amp;IF(AND($S111="Sub",N($R111)=0),"Subactividad sin macroactividad arriba"&amp;" · ","")&amp;IF($D111="","Sin responsable"&amp;" · ","")&amp;IF($E111="","Sin fecha de inicio"&amp;" · ","")&amp;IF($F111="","Sin fecha límite"&amp;" · ","")&amp;IF(OR(AND($E111&lt;&gt;"",NOT(ISNUMBER($E111))),AND($F111&lt;&gt;"",NOT(ISNUMBER($F111)))),"Fecha no válida"&amp;" · ","")&amp;IF(AND(ISNUMBER($E111),ISNUMBER($F111),$E111&gt;$F111),"Inicio posterior a fecha límite"&amp;" · ","")&amp;IF(AND($S111="Macro",$G111=""),"Peso vacío"&amp;" · ","")&amp;IF(AND($S111="Macro",$G111&lt;&gt;"",OR(NOT(ISNUMBER($G111)),$G111&lt;=0,$G111&gt;1)),"Peso fuera de rango"&amp;" · ","")&amp;IF(AND($S111="Sub",$G111&lt;&gt;""),"Las subactividades no llevan peso"&amp;" · ","")&amp;IF(AND($S111="Macro",ABS(SUMIFS($G$5:$G$1000,$P$5:$P$1000,$P111,$S$5:$S$1000,"Macro")-1)&gt;0.0001),"Pesos del mes suman "&amp;TEXT(SUMIFS($G$5:$G$1000,$P$5:$P$1000,$P111,$S$5:$S$1000,"Macro"),"0%")&amp;" · ","")&amp;IF(AND(N($T111)&gt;0,COUNT($H111:$K111)&gt;0),"Con subactividades: deje vacías las semanas (se calculan solas)"&amp;" · ","")&amp;IF((COUNTIF($H111:$K111,"&gt;1")+COUNTIF($H111:$K111,"&lt;0")+COUNTA($H111:$K111)-COUNT($H111:$K111))&gt;0,"Avance fuera de rango 0-100%"&amp;" · ","")&amp;IF(OR(AND($I111&lt;&gt;"",$I111&lt;$H111),AND($J111&lt;&gt;"",$J111&lt;MAX($H111:$I111)),AND($K111&lt;&gt;"",$K111&lt;MAX($H111:$J111))),"Avance semanal decreciente"&amp;" · ","")&amp;IF(AND(ISNUMBER($F111),$F111&lt;FechaRef,N($L111)&lt;1),"Vencida"&amp;" · ","")&amp;IF(AND(ObsObligatoria="Sí",ISNUMBER($F111),$F111&lt;FechaRef,N($L111)&lt;1,$N111=""),"Vencida sin observación"&amp;" · ",""),LEN(IF(AND($S111="Macro",$B111=""),"Macroactividad vacía"&amp;" · ","")&amp;IF(AND($B111&lt;&gt;"",$C111&lt;&gt;""),"Escriba la subactividad en otra fila, debajo de su macroactividad"&amp;" · ","")&amp;IF(AND($S111="Sub",N($R111)=0),"Subactividad sin macroactividad arriba"&amp;" · ","")&amp;IF($D111="","Sin responsable"&amp;" · ","")&amp;IF($E111="","Sin fecha de inicio"&amp;" · ","")&amp;IF($F111="","Sin fecha límite"&amp;" · ","")&amp;IF(OR(AND($E111&lt;&gt;"",NOT(ISNUMBER($E111))),AND($F111&lt;&gt;"",NOT(ISNUMBER($F111)))),"Fecha no válida"&amp;" · ","")&amp;IF(AND(ISNUMBER($E111),ISNUMBER($F111),$E111&gt;$F111),"Inicio posterior a fecha límite"&amp;" · ","")&amp;IF(AND($S111="Macro",$G111=""),"Peso vacío"&amp;" · ","")&amp;IF(AND($S111="Macro",$G111&lt;&gt;"",OR(NOT(ISNUMBER($G111)),$G111&lt;=0,$G111&gt;1)),"Peso fuera de rango"&amp;" · ","")&amp;IF(AND($S111="Sub",$G111&lt;&gt;""),"Las subactividades no llevan peso"&amp;" · ","")&amp;IF(AND($S111="Macro",ABS(SUMIFS($G$5:$G$1000,$P$5:$P$1000,$P111,$S$5:$S$1000,"Macro")-1)&gt;0.0001),"Pesos del mes suman "&amp;TEXT(SUMIFS($G$5:$G$1000,$P$5:$P$1000,$P111,$S$5:$S$1000,"Macro"),"0%")&amp;" · ","")&amp;IF(AND(N($T111)&gt;0,COUNT($H111:$K111)&gt;0),"Con subactividades: deje vacías las semanas (se calculan solas)"&amp;" · ","")&amp;IF((COUNTIF($H111:$K111,"&gt;1")+COUNTIF($H111:$K111,"&lt;0")+COUNTA($H111:$K111)-COUNT($H111:$K111))&gt;0,"Avance fuera de rango 0-100%"&amp;" · ","")&amp;IF(OR(AND($I111&lt;&gt;"",$I111&lt;$H111),AND($J111&lt;&gt;"",$J111&lt;MAX($H111:$I111)),AND($K111&lt;&gt;"",$K111&lt;MAX($H111:$J111))),"Avance semanal decreciente"&amp;" · ","")&amp;IF(AND(ISNUMBER($F111),$F111&lt;FechaRef,N($L111)&lt;1),"Vencida"&amp;" · ","")&amp;IF(AND(ObsObligatoria="Sí",ISNUMBER($F111),$F111&lt;FechaRef,N($L111)&lt;1,$N111=""),"Vencida sin observación"&amp;" · ",""))-3)))</f>
        <v/>
      </c>
      <c r="P111" s="69">
        <f>IF(NOT((COUNTA($B111:$K111)+COUNTA($N111))&gt;0),"",IF(AND($S111="Sub",N($R111)&gt;0),IF(ISNUMBER(INDEX($E$5:$E$1000,$R111-4)),DATE(YEAR(INDEX($E$5:$E$1000,$R111-4)),MONTH(INDEX($E$5:$E$1000,$R111-4)),1),IF(ISNUMBER(INDEX($F$5:$F$1000,$R111-4)),DATE(YEAR(INDEX($F$5:$F$1000,$R111-4)),MONTH(INDEX($F$5:$F$1000,$R111-4)),1),MesCiclo)),IF(ISNUMBER($E111),DATE(YEAR($E111),MONTH($E111),1),IF(ISNUMBER($F111),DATE(YEAR($F111),MONTH($F111),1),MesCiclo))))</f>
        <v/>
      </c>
      <c r="Q111" s="70">
        <f>IF(OR($P111="",$P111&lt;&gt;MesCiclo),"",COUNTIF($P$5:$P111,MesCiclo))</f>
        <v/>
      </c>
      <c r="R111" s="70">
        <f>IF($S111="","",IF($S111="Macro",ROW(),IFERROR(LOOKUP(2,1/($S$5:$S111="Macro"),ROW($S$5:$S111)),0)))</f>
        <v/>
      </c>
      <c r="S111" s="70">
        <f>IF(NOT((COUNTA($B111:$K111)+COUNTA($N111))&gt;0),"",IF($B111&lt;&gt;"","Macro",IF($C111&lt;&gt;"","Sub","Macro")))</f>
        <v/>
      </c>
      <c r="T111" s="70">
        <f>IF($S111="Macro",COUNTIFS($R$5:$R$1000,ROW(),$S$5:$S$1000,"Sub"),"")</f>
        <v/>
      </c>
      <c r="U111" s="70">
        <f>IF($S111="","",IF(ISNUMBER($H111),$H111,0))</f>
        <v/>
      </c>
      <c r="V111" s="70">
        <f>IF($S111="","",IF(ISNUMBER($I111),$I111,$U111))</f>
        <v/>
      </c>
      <c r="W111" s="70">
        <f>IF($S111="","",IF(ISNUMBER($J111),$J111,$V111))</f>
        <v/>
      </c>
      <c r="X111" s="70">
        <f>IF($S111="","",IF(ISNUMBER($K111),$K111,$W111))</f>
        <v/>
      </c>
      <c r="Y111" s="70">
        <f>IF($S111="","",IF(N($T111)&gt;0,AVERAGEIFS($U$5:$U$1000,$R$5:$R$1000,ROW(),$S$5:$S$1000,"Sub"),$U111))</f>
        <v/>
      </c>
      <c r="Z111" s="70">
        <f>IF($S111="","",IF(N($T111)&gt;0,AVERAGEIFS($V$5:$V$1000,$R$5:$R$1000,ROW(),$S$5:$S$1000,"Sub"),$V111))</f>
        <v/>
      </c>
      <c r="AA111" s="70">
        <f>IF($S111="","",IF(N($T111)&gt;0,AVERAGEIFS($W$5:$W$1000,$R$5:$R$1000,ROW(),$S$5:$S$1000,"Sub"),$W111))</f>
        <v/>
      </c>
      <c r="AB111" s="70">
        <f>IF($S111="","",IF(N($T111)&gt;0,AVERAGEIFS($X$5:$X$1000,$R$5:$R$1000,ROW(),$S$5:$S$1000,"Sub"),$X111))</f>
        <v/>
      </c>
    </row>
    <row r="112">
      <c r="A112" s="61">
        <f>IF(NOT((COUNTA($B112:$K112)+COUNTA($N112))&gt;0),"",IF($S112="Macro",COUNTIFS($S$5:$S112,"Macro",$P$5:$P112,$P112),IF(N($R112)=0,"?",COUNTIFS(INDEX($S$5:$S$1000,1):INDEX($S$5:$S$1000,$R112-4),"Macro",INDEX($P$5:$P$1000,1):INDEX($P$5:$P$1000,$R112-4),INDEX($P$5:$P$1000,$R112-4))&amp;"."&amp;COUNTIFS($R$5:$R112,$R112,$S$5:$S112,"Sub"))))</f>
        <v/>
      </c>
      <c r="B112" s="62" t="n"/>
      <c r="C112" s="63" t="n"/>
      <c r="D112" s="62" t="n"/>
      <c r="E112" s="64" t="n"/>
      <c r="F112" s="64" t="n"/>
      <c r="G112" s="65" t="n"/>
      <c r="H112" s="66" t="n"/>
      <c r="I112" s="66" t="n"/>
      <c r="J112" s="66" t="n"/>
      <c r="K112" s="66" t="n"/>
      <c r="L112" s="67">
        <f>IF(NOT((COUNTA($B112:$K112)+COUNTA($N112))&gt;0),"",IF(N($T112)&gt;0,$AB112,IFERROR(LOOKUP(2,1/(H112:K112&lt;&gt;""),H112:K112),0)))</f>
        <v/>
      </c>
      <c r="M112" s="61">
        <f>IF(L112="","",IF(L112&gt;=1,"Completado",IF(L112&gt;0,"En curso","Pendiente")))</f>
        <v/>
      </c>
      <c r="N112" s="62" t="n"/>
      <c r="O112" s="68">
        <f>IF(NOT((COUNTA($B112:$K112)+COUNTA($N112))&gt;0),"",IF((IF(AND($S112="Macro",$B112=""),"Macroactividad vacía"&amp;" · ","")&amp;IF(AND($B112&lt;&gt;"",$C112&lt;&gt;""),"Escriba la subactividad en otra fila, debajo de su macroactividad"&amp;" · ","")&amp;IF(AND($S112="Sub",N($R112)=0),"Subactividad sin macroactividad arriba"&amp;" · ","")&amp;IF($D112="","Sin responsable"&amp;" · ","")&amp;IF($E112="","Sin fecha de inicio"&amp;" · ","")&amp;IF($F112="","Sin fecha límite"&amp;" · ","")&amp;IF(OR(AND($E112&lt;&gt;"",NOT(ISNUMBER($E112))),AND($F112&lt;&gt;"",NOT(ISNUMBER($F112)))),"Fecha no válida"&amp;" · ","")&amp;IF(AND(ISNUMBER($E112),ISNUMBER($F112),$E112&gt;$F112),"Inicio posterior a fecha límite"&amp;" · ","")&amp;IF(AND($S112="Macro",$G112=""),"Peso vacío"&amp;" · ","")&amp;IF(AND($S112="Macro",$G112&lt;&gt;"",OR(NOT(ISNUMBER($G112)),$G112&lt;=0,$G112&gt;1)),"Peso fuera de rango"&amp;" · ","")&amp;IF(AND($S112="Sub",$G112&lt;&gt;""),"Las subactividades no llevan peso"&amp;" · ","")&amp;IF(AND($S112="Macro",ABS(SUMIFS($G$5:$G$1000,$P$5:$P$1000,$P112,$S$5:$S$1000,"Macro")-1)&gt;0.0001),"Pesos del mes suman "&amp;TEXT(SUMIFS($G$5:$G$1000,$P$5:$P$1000,$P112,$S$5:$S$1000,"Macro"),"0%")&amp;" · ","")&amp;IF(AND(N($T112)&gt;0,COUNT($H112:$K112)&gt;0),"Con subactividades: deje vacías las semanas (se calculan solas)"&amp;" · ","")&amp;IF((COUNTIF($H112:$K112,"&gt;1")+COUNTIF($H112:$K112,"&lt;0")+COUNTA($H112:$K112)-COUNT($H112:$K112))&gt;0,"Avance fuera de rango 0-100%"&amp;" · ","")&amp;IF(OR(AND($I112&lt;&gt;"",$I112&lt;$H112),AND($J112&lt;&gt;"",$J112&lt;MAX($H112:$I112)),AND($K112&lt;&gt;"",$K112&lt;MAX($H112:$J112))),"Avance semanal decreciente"&amp;" · ","")&amp;IF(AND(ISNUMBER($F112),$F112&lt;FechaRef,N($L112)&lt;1),"Vencida"&amp;" · ","")&amp;IF(AND(ObsObligatoria="Sí",ISNUMBER($F112),$F112&lt;FechaRef,N($L112)&lt;1,$N112=""),"Vencida sin observación"&amp;" · ",""))="","✔ OK","⚠ "&amp;LEFT(IF(AND($S112="Macro",$B112=""),"Macroactividad vacía"&amp;" · ","")&amp;IF(AND($B112&lt;&gt;"",$C112&lt;&gt;""),"Escriba la subactividad en otra fila, debajo de su macroactividad"&amp;" · ","")&amp;IF(AND($S112="Sub",N($R112)=0),"Subactividad sin macroactividad arriba"&amp;" · ","")&amp;IF($D112="","Sin responsable"&amp;" · ","")&amp;IF($E112="","Sin fecha de inicio"&amp;" · ","")&amp;IF($F112="","Sin fecha límite"&amp;" · ","")&amp;IF(OR(AND($E112&lt;&gt;"",NOT(ISNUMBER($E112))),AND($F112&lt;&gt;"",NOT(ISNUMBER($F112)))),"Fecha no válida"&amp;" · ","")&amp;IF(AND(ISNUMBER($E112),ISNUMBER($F112),$E112&gt;$F112),"Inicio posterior a fecha límite"&amp;" · ","")&amp;IF(AND($S112="Macro",$G112=""),"Peso vacío"&amp;" · ","")&amp;IF(AND($S112="Macro",$G112&lt;&gt;"",OR(NOT(ISNUMBER($G112)),$G112&lt;=0,$G112&gt;1)),"Peso fuera de rango"&amp;" · ","")&amp;IF(AND($S112="Sub",$G112&lt;&gt;""),"Las subactividades no llevan peso"&amp;" · ","")&amp;IF(AND($S112="Macro",ABS(SUMIFS($G$5:$G$1000,$P$5:$P$1000,$P112,$S$5:$S$1000,"Macro")-1)&gt;0.0001),"Pesos del mes suman "&amp;TEXT(SUMIFS($G$5:$G$1000,$P$5:$P$1000,$P112,$S$5:$S$1000,"Macro"),"0%")&amp;" · ","")&amp;IF(AND(N($T112)&gt;0,COUNT($H112:$K112)&gt;0),"Con subactividades: deje vacías las semanas (se calculan solas)"&amp;" · ","")&amp;IF((COUNTIF($H112:$K112,"&gt;1")+COUNTIF($H112:$K112,"&lt;0")+COUNTA($H112:$K112)-COUNT($H112:$K112))&gt;0,"Avance fuera de rango 0-100%"&amp;" · ","")&amp;IF(OR(AND($I112&lt;&gt;"",$I112&lt;$H112),AND($J112&lt;&gt;"",$J112&lt;MAX($H112:$I112)),AND($K112&lt;&gt;"",$K112&lt;MAX($H112:$J112))),"Avance semanal decreciente"&amp;" · ","")&amp;IF(AND(ISNUMBER($F112),$F112&lt;FechaRef,N($L112)&lt;1),"Vencida"&amp;" · ","")&amp;IF(AND(ObsObligatoria="Sí",ISNUMBER($F112),$F112&lt;FechaRef,N($L112)&lt;1,$N112=""),"Vencida sin observación"&amp;" · ",""),LEN(IF(AND($S112="Macro",$B112=""),"Macroactividad vacía"&amp;" · ","")&amp;IF(AND($B112&lt;&gt;"",$C112&lt;&gt;""),"Escriba la subactividad en otra fila, debajo de su macroactividad"&amp;" · ","")&amp;IF(AND($S112="Sub",N($R112)=0),"Subactividad sin macroactividad arriba"&amp;" · ","")&amp;IF($D112="","Sin responsable"&amp;" · ","")&amp;IF($E112="","Sin fecha de inicio"&amp;" · ","")&amp;IF($F112="","Sin fecha límite"&amp;" · ","")&amp;IF(OR(AND($E112&lt;&gt;"",NOT(ISNUMBER($E112))),AND($F112&lt;&gt;"",NOT(ISNUMBER($F112)))),"Fecha no válida"&amp;" · ","")&amp;IF(AND(ISNUMBER($E112),ISNUMBER($F112),$E112&gt;$F112),"Inicio posterior a fecha límite"&amp;" · ","")&amp;IF(AND($S112="Macro",$G112=""),"Peso vacío"&amp;" · ","")&amp;IF(AND($S112="Macro",$G112&lt;&gt;"",OR(NOT(ISNUMBER($G112)),$G112&lt;=0,$G112&gt;1)),"Peso fuera de rango"&amp;" · ","")&amp;IF(AND($S112="Sub",$G112&lt;&gt;""),"Las subactividades no llevan peso"&amp;" · ","")&amp;IF(AND($S112="Macro",ABS(SUMIFS($G$5:$G$1000,$P$5:$P$1000,$P112,$S$5:$S$1000,"Macro")-1)&gt;0.0001),"Pesos del mes suman "&amp;TEXT(SUMIFS($G$5:$G$1000,$P$5:$P$1000,$P112,$S$5:$S$1000,"Macro"),"0%")&amp;" · ","")&amp;IF(AND(N($T112)&gt;0,COUNT($H112:$K112)&gt;0),"Con subactividades: deje vacías las semanas (se calculan solas)"&amp;" · ","")&amp;IF((COUNTIF($H112:$K112,"&gt;1")+COUNTIF($H112:$K112,"&lt;0")+COUNTA($H112:$K112)-COUNT($H112:$K112))&gt;0,"Avance fuera de rango 0-100%"&amp;" · ","")&amp;IF(OR(AND($I112&lt;&gt;"",$I112&lt;$H112),AND($J112&lt;&gt;"",$J112&lt;MAX($H112:$I112)),AND($K112&lt;&gt;"",$K112&lt;MAX($H112:$J112))),"Avance semanal decreciente"&amp;" · ","")&amp;IF(AND(ISNUMBER($F112),$F112&lt;FechaRef,N($L112)&lt;1),"Vencida"&amp;" · ","")&amp;IF(AND(ObsObligatoria="Sí",ISNUMBER($F112),$F112&lt;FechaRef,N($L112)&lt;1,$N112=""),"Vencida sin observación"&amp;" · ",""))-3)))</f>
        <v/>
      </c>
      <c r="P112" s="69">
        <f>IF(NOT((COUNTA($B112:$K112)+COUNTA($N112))&gt;0),"",IF(AND($S112="Sub",N($R112)&gt;0),IF(ISNUMBER(INDEX($E$5:$E$1000,$R112-4)),DATE(YEAR(INDEX($E$5:$E$1000,$R112-4)),MONTH(INDEX($E$5:$E$1000,$R112-4)),1),IF(ISNUMBER(INDEX($F$5:$F$1000,$R112-4)),DATE(YEAR(INDEX($F$5:$F$1000,$R112-4)),MONTH(INDEX($F$5:$F$1000,$R112-4)),1),MesCiclo)),IF(ISNUMBER($E112),DATE(YEAR($E112),MONTH($E112),1),IF(ISNUMBER($F112),DATE(YEAR($F112),MONTH($F112),1),MesCiclo))))</f>
        <v/>
      </c>
      <c r="Q112" s="70">
        <f>IF(OR($P112="",$P112&lt;&gt;MesCiclo),"",COUNTIF($P$5:$P112,MesCiclo))</f>
        <v/>
      </c>
      <c r="R112" s="70">
        <f>IF($S112="","",IF($S112="Macro",ROW(),IFERROR(LOOKUP(2,1/($S$5:$S112="Macro"),ROW($S$5:$S112)),0)))</f>
        <v/>
      </c>
      <c r="S112" s="70">
        <f>IF(NOT((COUNTA($B112:$K112)+COUNTA($N112))&gt;0),"",IF($B112&lt;&gt;"","Macro",IF($C112&lt;&gt;"","Sub","Macro")))</f>
        <v/>
      </c>
      <c r="T112" s="70">
        <f>IF($S112="Macro",COUNTIFS($R$5:$R$1000,ROW(),$S$5:$S$1000,"Sub"),"")</f>
        <v/>
      </c>
      <c r="U112" s="70">
        <f>IF($S112="","",IF(ISNUMBER($H112),$H112,0))</f>
        <v/>
      </c>
      <c r="V112" s="70">
        <f>IF($S112="","",IF(ISNUMBER($I112),$I112,$U112))</f>
        <v/>
      </c>
      <c r="W112" s="70">
        <f>IF($S112="","",IF(ISNUMBER($J112),$J112,$V112))</f>
        <v/>
      </c>
      <c r="X112" s="70">
        <f>IF($S112="","",IF(ISNUMBER($K112),$K112,$W112))</f>
        <v/>
      </c>
      <c r="Y112" s="70">
        <f>IF($S112="","",IF(N($T112)&gt;0,AVERAGEIFS($U$5:$U$1000,$R$5:$R$1000,ROW(),$S$5:$S$1000,"Sub"),$U112))</f>
        <v/>
      </c>
      <c r="Z112" s="70">
        <f>IF($S112="","",IF(N($T112)&gt;0,AVERAGEIFS($V$5:$V$1000,$R$5:$R$1000,ROW(),$S$5:$S$1000,"Sub"),$V112))</f>
        <v/>
      </c>
      <c r="AA112" s="70">
        <f>IF($S112="","",IF(N($T112)&gt;0,AVERAGEIFS($W$5:$W$1000,$R$5:$R$1000,ROW(),$S$5:$S$1000,"Sub"),$W112))</f>
        <v/>
      </c>
      <c r="AB112" s="70">
        <f>IF($S112="","",IF(N($T112)&gt;0,AVERAGEIFS($X$5:$X$1000,$R$5:$R$1000,ROW(),$S$5:$S$1000,"Sub"),$X112))</f>
        <v/>
      </c>
    </row>
    <row r="113">
      <c r="A113" s="61">
        <f>IF(NOT((COUNTA($B113:$K113)+COUNTA($N113))&gt;0),"",IF($S113="Macro",COUNTIFS($S$5:$S113,"Macro",$P$5:$P113,$P113),IF(N($R113)=0,"?",COUNTIFS(INDEX($S$5:$S$1000,1):INDEX($S$5:$S$1000,$R113-4),"Macro",INDEX($P$5:$P$1000,1):INDEX($P$5:$P$1000,$R113-4),INDEX($P$5:$P$1000,$R113-4))&amp;"."&amp;COUNTIFS($R$5:$R113,$R113,$S$5:$S113,"Sub"))))</f>
        <v/>
      </c>
      <c r="B113" s="62" t="n"/>
      <c r="C113" s="63" t="n"/>
      <c r="D113" s="62" t="n"/>
      <c r="E113" s="64" t="n"/>
      <c r="F113" s="64" t="n"/>
      <c r="G113" s="65" t="n"/>
      <c r="H113" s="66" t="n"/>
      <c r="I113" s="66" t="n"/>
      <c r="J113" s="66" t="n"/>
      <c r="K113" s="66" t="n"/>
      <c r="L113" s="67">
        <f>IF(NOT((COUNTA($B113:$K113)+COUNTA($N113))&gt;0),"",IF(N($T113)&gt;0,$AB113,IFERROR(LOOKUP(2,1/(H113:K113&lt;&gt;""),H113:K113),0)))</f>
        <v/>
      </c>
      <c r="M113" s="61">
        <f>IF(L113="","",IF(L113&gt;=1,"Completado",IF(L113&gt;0,"En curso","Pendiente")))</f>
        <v/>
      </c>
      <c r="N113" s="62" t="n"/>
      <c r="O113" s="68">
        <f>IF(NOT((COUNTA($B113:$K113)+COUNTA($N113))&gt;0),"",IF((IF(AND($S113="Macro",$B113=""),"Macroactividad vacía"&amp;" · ","")&amp;IF(AND($B113&lt;&gt;"",$C113&lt;&gt;""),"Escriba la subactividad en otra fila, debajo de su macroactividad"&amp;" · ","")&amp;IF(AND($S113="Sub",N($R113)=0),"Subactividad sin macroactividad arriba"&amp;" · ","")&amp;IF($D113="","Sin responsable"&amp;" · ","")&amp;IF($E113="","Sin fecha de inicio"&amp;" · ","")&amp;IF($F113="","Sin fecha límite"&amp;" · ","")&amp;IF(OR(AND($E113&lt;&gt;"",NOT(ISNUMBER($E113))),AND($F113&lt;&gt;"",NOT(ISNUMBER($F113)))),"Fecha no válida"&amp;" · ","")&amp;IF(AND(ISNUMBER($E113),ISNUMBER($F113),$E113&gt;$F113),"Inicio posterior a fecha límite"&amp;" · ","")&amp;IF(AND($S113="Macro",$G113=""),"Peso vacío"&amp;" · ","")&amp;IF(AND($S113="Macro",$G113&lt;&gt;"",OR(NOT(ISNUMBER($G113)),$G113&lt;=0,$G113&gt;1)),"Peso fuera de rango"&amp;" · ","")&amp;IF(AND($S113="Sub",$G113&lt;&gt;""),"Las subactividades no llevan peso"&amp;" · ","")&amp;IF(AND($S113="Macro",ABS(SUMIFS($G$5:$G$1000,$P$5:$P$1000,$P113,$S$5:$S$1000,"Macro")-1)&gt;0.0001),"Pesos del mes suman "&amp;TEXT(SUMIFS($G$5:$G$1000,$P$5:$P$1000,$P113,$S$5:$S$1000,"Macro"),"0%")&amp;" · ","")&amp;IF(AND(N($T113)&gt;0,COUNT($H113:$K113)&gt;0),"Con subactividades: deje vacías las semanas (se calculan solas)"&amp;" · ","")&amp;IF((COUNTIF($H113:$K113,"&gt;1")+COUNTIF($H113:$K113,"&lt;0")+COUNTA($H113:$K113)-COUNT($H113:$K113))&gt;0,"Avance fuera de rango 0-100%"&amp;" · ","")&amp;IF(OR(AND($I113&lt;&gt;"",$I113&lt;$H113),AND($J113&lt;&gt;"",$J113&lt;MAX($H113:$I113)),AND($K113&lt;&gt;"",$K113&lt;MAX($H113:$J113))),"Avance semanal decreciente"&amp;" · ","")&amp;IF(AND(ISNUMBER($F113),$F113&lt;FechaRef,N($L113)&lt;1),"Vencida"&amp;" · ","")&amp;IF(AND(ObsObligatoria="Sí",ISNUMBER($F113),$F113&lt;FechaRef,N($L113)&lt;1,$N113=""),"Vencida sin observación"&amp;" · ",""))="","✔ OK","⚠ "&amp;LEFT(IF(AND($S113="Macro",$B113=""),"Macroactividad vacía"&amp;" · ","")&amp;IF(AND($B113&lt;&gt;"",$C113&lt;&gt;""),"Escriba la subactividad en otra fila, debajo de su macroactividad"&amp;" · ","")&amp;IF(AND($S113="Sub",N($R113)=0),"Subactividad sin macroactividad arriba"&amp;" · ","")&amp;IF($D113="","Sin responsable"&amp;" · ","")&amp;IF($E113="","Sin fecha de inicio"&amp;" · ","")&amp;IF($F113="","Sin fecha límite"&amp;" · ","")&amp;IF(OR(AND($E113&lt;&gt;"",NOT(ISNUMBER($E113))),AND($F113&lt;&gt;"",NOT(ISNUMBER($F113)))),"Fecha no válida"&amp;" · ","")&amp;IF(AND(ISNUMBER($E113),ISNUMBER($F113),$E113&gt;$F113),"Inicio posterior a fecha límite"&amp;" · ","")&amp;IF(AND($S113="Macro",$G113=""),"Peso vacío"&amp;" · ","")&amp;IF(AND($S113="Macro",$G113&lt;&gt;"",OR(NOT(ISNUMBER($G113)),$G113&lt;=0,$G113&gt;1)),"Peso fuera de rango"&amp;" · ","")&amp;IF(AND($S113="Sub",$G113&lt;&gt;""),"Las subactividades no llevan peso"&amp;" · ","")&amp;IF(AND($S113="Macro",ABS(SUMIFS($G$5:$G$1000,$P$5:$P$1000,$P113,$S$5:$S$1000,"Macro")-1)&gt;0.0001),"Pesos del mes suman "&amp;TEXT(SUMIFS($G$5:$G$1000,$P$5:$P$1000,$P113,$S$5:$S$1000,"Macro"),"0%")&amp;" · ","")&amp;IF(AND(N($T113)&gt;0,COUNT($H113:$K113)&gt;0),"Con subactividades: deje vacías las semanas (se calculan solas)"&amp;" · ","")&amp;IF((COUNTIF($H113:$K113,"&gt;1")+COUNTIF($H113:$K113,"&lt;0")+COUNTA($H113:$K113)-COUNT($H113:$K113))&gt;0,"Avance fuera de rango 0-100%"&amp;" · ","")&amp;IF(OR(AND($I113&lt;&gt;"",$I113&lt;$H113),AND($J113&lt;&gt;"",$J113&lt;MAX($H113:$I113)),AND($K113&lt;&gt;"",$K113&lt;MAX($H113:$J113))),"Avance semanal decreciente"&amp;" · ","")&amp;IF(AND(ISNUMBER($F113),$F113&lt;FechaRef,N($L113)&lt;1),"Vencida"&amp;" · ","")&amp;IF(AND(ObsObligatoria="Sí",ISNUMBER($F113),$F113&lt;FechaRef,N($L113)&lt;1,$N113=""),"Vencida sin observación"&amp;" · ",""),LEN(IF(AND($S113="Macro",$B113=""),"Macroactividad vacía"&amp;" · ","")&amp;IF(AND($B113&lt;&gt;"",$C113&lt;&gt;""),"Escriba la subactividad en otra fila, debajo de su macroactividad"&amp;" · ","")&amp;IF(AND($S113="Sub",N($R113)=0),"Subactividad sin macroactividad arriba"&amp;" · ","")&amp;IF($D113="","Sin responsable"&amp;" · ","")&amp;IF($E113="","Sin fecha de inicio"&amp;" · ","")&amp;IF($F113="","Sin fecha límite"&amp;" · ","")&amp;IF(OR(AND($E113&lt;&gt;"",NOT(ISNUMBER($E113))),AND($F113&lt;&gt;"",NOT(ISNUMBER($F113)))),"Fecha no válida"&amp;" · ","")&amp;IF(AND(ISNUMBER($E113),ISNUMBER($F113),$E113&gt;$F113),"Inicio posterior a fecha límite"&amp;" · ","")&amp;IF(AND($S113="Macro",$G113=""),"Peso vacío"&amp;" · ","")&amp;IF(AND($S113="Macro",$G113&lt;&gt;"",OR(NOT(ISNUMBER($G113)),$G113&lt;=0,$G113&gt;1)),"Peso fuera de rango"&amp;" · ","")&amp;IF(AND($S113="Sub",$G113&lt;&gt;""),"Las subactividades no llevan peso"&amp;" · ","")&amp;IF(AND($S113="Macro",ABS(SUMIFS($G$5:$G$1000,$P$5:$P$1000,$P113,$S$5:$S$1000,"Macro")-1)&gt;0.0001),"Pesos del mes suman "&amp;TEXT(SUMIFS($G$5:$G$1000,$P$5:$P$1000,$P113,$S$5:$S$1000,"Macro"),"0%")&amp;" · ","")&amp;IF(AND(N($T113)&gt;0,COUNT($H113:$K113)&gt;0),"Con subactividades: deje vacías las semanas (se calculan solas)"&amp;" · ","")&amp;IF((COUNTIF($H113:$K113,"&gt;1")+COUNTIF($H113:$K113,"&lt;0")+COUNTA($H113:$K113)-COUNT($H113:$K113))&gt;0,"Avance fuera de rango 0-100%"&amp;" · ","")&amp;IF(OR(AND($I113&lt;&gt;"",$I113&lt;$H113),AND($J113&lt;&gt;"",$J113&lt;MAX($H113:$I113)),AND($K113&lt;&gt;"",$K113&lt;MAX($H113:$J113))),"Avance semanal decreciente"&amp;" · ","")&amp;IF(AND(ISNUMBER($F113),$F113&lt;FechaRef,N($L113)&lt;1),"Vencida"&amp;" · ","")&amp;IF(AND(ObsObligatoria="Sí",ISNUMBER($F113),$F113&lt;FechaRef,N($L113)&lt;1,$N113=""),"Vencida sin observación"&amp;" · ",""))-3)))</f>
        <v/>
      </c>
      <c r="P113" s="69">
        <f>IF(NOT((COUNTA($B113:$K113)+COUNTA($N113))&gt;0),"",IF(AND($S113="Sub",N($R113)&gt;0),IF(ISNUMBER(INDEX($E$5:$E$1000,$R113-4)),DATE(YEAR(INDEX($E$5:$E$1000,$R113-4)),MONTH(INDEX($E$5:$E$1000,$R113-4)),1),IF(ISNUMBER(INDEX($F$5:$F$1000,$R113-4)),DATE(YEAR(INDEX($F$5:$F$1000,$R113-4)),MONTH(INDEX($F$5:$F$1000,$R113-4)),1),MesCiclo)),IF(ISNUMBER($E113),DATE(YEAR($E113),MONTH($E113),1),IF(ISNUMBER($F113),DATE(YEAR($F113),MONTH($F113),1),MesCiclo))))</f>
        <v/>
      </c>
      <c r="Q113" s="70">
        <f>IF(OR($P113="",$P113&lt;&gt;MesCiclo),"",COUNTIF($P$5:$P113,MesCiclo))</f>
        <v/>
      </c>
      <c r="R113" s="70">
        <f>IF($S113="","",IF($S113="Macro",ROW(),IFERROR(LOOKUP(2,1/($S$5:$S113="Macro"),ROW($S$5:$S113)),0)))</f>
        <v/>
      </c>
      <c r="S113" s="70">
        <f>IF(NOT((COUNTA($B113:$K113)+COUNTA($N113))&gt;0),"",IF($B113&lt;&gt;"","Macro",IF($C113&lt;&gt;"","Sub","Macro")))</f>
        <v/>
      </c>
      <c r="T113" s="70">
        <f>IF($S113="Macro",COUNTIFS($R$5:$R$1000,ROW(),$S$5:$S$1000,"Sub"),"")</f>
        <v/>
      </c>
      <c r="U113" s="70">
        <f>IF($S113="","",IF(ISNUMBER($H113),$H113,0))</f>
        <v/>
      </c>
      <c r="V113" s="70">
        <f>IF($S113="","",IF(ISNUMBER($I113),$I113,$U113))</f>
        <v/>
      </c>
      <c r="W113" s="70">
        <f>IF($S113="","",IF(ISNUMBER($J113),$J113,$V113))</f>
        <v/>
      </c>
      <c r="X113" s="70">
        <f>IF($S113="","",IF(ISNUMBER($K113),$K113,$W113))</f>
        <v/>
      </c>
      <c r="Y113" s="70">
        <f>IF($S113="","",IF(N($T113)&gt;0,AVERAGEIFS($U$5:$U$1000,$R$5:$R$1000,ROW(),$S$5:$S$1000,"Sub"),$U113))</f>
        <v/>
      </c>
      <c r="Z113" s="70">
        <f>IF($S113="","",IF(N($T113)&gt;0,AVERAGEIFS($V$5:$V$1000,$R$5:$R$1000,ROW(),$S$5:$S$1000,"Sub"),$V113))</f>
        <v/>
      </c>
      <c r="AA113" s="70">
        <f>IF($S113="","",IF(N($T113)&gt;0,AVERAGEIFS($W$5:$W$1000,$R$5:$R$1000,ROW(),$S$5:$S$1000,"Sub"),$W113))</f>
        <v/>
      </c>
      <c r="AB113" s="70">
        <f>IF($S113="","",IF(N($T113)&gt;0,AVERAGEIFS($X$5:$X$1000,$R$5:$R$1000,ROW(),$S$5:$S$1000,"Sub"),$X113))</f>
        <v/>
      </c>
    </row>
    <row r="114">
      <c r="A114" s="61">
        <f>IF(NOT((COUNTA($B114:$K114)+COUNTA($N114))&gt;0),"",IF($S114="Macro",COUNTIFS($S$5:$S114,"Macro",$P$5:$P114,$P114),IF(N($R114)=0,"?",COUNTIFS(INDEX($S$5:$S$1000,1):INDEX($S$5:$S$1000,$R114-4),"Macro",INDEX($P$5:$P$1000,1):INDEX($P$5:$P$1000,$R114-4),INDEX($P$5:$P$1000,$R114-4))&amp;"."&amp;COUNTIFS($R$5:$R114,$R114,$S$5:$S114,"Sub"))))</f>
        <v/>
      </c>
      <c r="B114" s="62" t="n"/>
      <c r="C114" s="63" t="n"/>
      <c r="D114" s="62" t="n"/>
      <c r="E114" s="64" t="n"/>
      <c r="F114" s="64" t="n"/>
      <c r="G114" s="65" t="n"/>
      <c r="H114" s="66" t="n"/>
      <c r="I114" s="66" t="n"/>
      <c r="J114" s="66" t="n"/>
      <c r="K114" s="66" t="n"/>
      <c r="L114" s="67">
        <f>IF(NOT((COUNTA($B114:$K114)+COUNTA($N114))&gt;0),"",IF(N($T114)&gt;0,$AB114,IFERROR(LOOKUP(2,1/(H114:K114&lt;&gt;""),H114:K114),0)))</f>
        <v/>
      </c>
      <c r="M114" s="61">
        <f>IF(L114="","",IF(L114&gt;=1,"Completado",IF(L114&gt;0,"En curso","Pendiente")))</f>
        <v/>
      </c>
      <c r="N114" s="62" t="n"/>
      <c r="O114" s="68">
        <f>IF(NOT((COUNTA($B114:$K114)+COUNTA($N114))&gt;0),"",IF((IF(AND($S114="Macro",$B114=""),"Macroactividad vacía"&amp;" · ","")&amp;IF(AND($B114&lt;&gt;"",$C114&lt;&gt;""),"Escriba la subactividad en otra fila, debajo de su macroactividad"&amp;" · ","")&amp;IF(AND($S114="Sub",N($R114)=0),"Subactividad sin macroactividad arriba"&amp;" · ","")&amp;IF($D114="","Sin responsable"&amp;" · ","")&amp;IF($E114="","Sin fecha de inicio"&amp;" · ","")&amp;IF($F114="","Sin fecha límite"&amp;" · ","")&amp;IF(OR(AND($E114&lt;&gt;"",NOT(ISNUMBER($E114))),AND($F114&lt;&gt;"",NOT(ISNUMBER($F114)))),"Fecha no válida"&amp;" · ","")&amp;IF(AND(ISNUMBER($E114),ISNUMBER($F114),$E114&gt;$F114),"Inicio posterior a fecha límite"&amp;" · ","")&amp;IF(AND($S114="Macro",$G114=""),"Peso vacío"&amp;" · ","")&amp;IF(AND($S114="Macro",$G114&lt;&gt;"",OR(NOT(ISNUMBER($G114)),$G114&lt;=0,$G114&gt;1)),"Peso fuera de rango"&amp;" · ","")&amp;IF(AND($S114="Sub",$G114&lt;&gt;""),"Las subactividades no llevan peso"&amp;" · ","")&amp;IF(AND($S114="Macro",ABS(SUMIFS($G$5:$G$1000,$P$5:$P$1000,$P114,$S$5:$S$1000,"Macro")-1)&gt;0.0001),"Pesos del mes suman "&amp;TEXT(SUMIFS($G$5:$G$1000,$P$5:$P$1000,$P114,$S$5:$S$1000,"Macro"),"0%")&amp;" · ","")&amp;IF(AND(N($T114)&gt;0,COUNT($H114:$K114)&gt;0),"Con subactividades: deje vacías las semanas (se calculan solas)"&amp;" · ","")&amp;IF((COUNTIF($H114:$K114,"&gt;1")+COUNTIF($H114:$K114,"&lt;0")+COUNTA($H114:$K114)-COUNT($H114:$K114))&gt;0,"Avance fuera de rango 0-100%"&amp;" · ","")&amp;IF(OR(AND($I114&lt;&gt;"",$I114&lt;$H114),AND($J114&lt;&gt;"",$J114&lt;MAX($H114:$I114)),AND($K114&lt;&gt;"",$K114&lt;MAX($H114:$J114))),"Avance semanal decreciente"&amp;" · ","")&amp;IF(AND(ISNUMBER($F114),$F114&lt;FechaRef,N($L114)&lt;1),"Vencida"&amp;" · ","")&amp;IF(AND(ObsObligatoria="Sí",ISNUMBER($F114),$F114&lt;FechaRef,N($L114)&lt;1,$N114=""),"Vencida sin observación"&amp;" · ",""))="","✔ OK","⚠ "&amp;LEFT(IF(AND($S114="Macro",$B114=""),"Macroactividad vacía"&amp;" · ","")&amp;IF(AND($B114&lt;&gt;"",$C114&lt;&gt;""),"Escriba la subactividad en otra fila, debajo de su macroactividad"&amp;" · ","")&amp;IF(AND($S114="Sub",N($R114)=0),"Subactividad sin macroactividad arriba"&amp;" · ","")&amp;IF($D114="","Sin responsable"&amp;" · ","")&amp;IF($E114="","Sin fecha de inicio"&amp;" · ","")&amp;IF($F114="","Sin fecha límite"&amp;" · ","")&amp;IF(OR(AND($E114&lt;&gt;"",NOT(ISNUMBER($E114))),AND($F114&lt;&gt;"",NOT(ISNUMBER($F114)))),"Fecha no válida"&amp;" · ","")&amp;IF(AND(ISNUMBER($E114),ISNUMBER($F114),$E114&gt;$F114),"Inicio posterior a fecha límite"&amp;" · ","")&amp;IF(AND($S114="Macro",$G114=""),"Peso vacío"&amp;" · ","")&amp;IF(AND($S114="Macro",$G114&lt;&gt;"",OR(NOT(ISNUMBER($G114)),$G114&lt;=0,$G114&gt;1)),"Peso fuera de rango"&amp;" · ","")&amp;IF(AND($S114="Sub",$G114&lt;&gt;""),"Las subactividades no llevan peso"&amp;" · ","")&amp;IF(AND($S114="Macro",ABS(SUMIFS($G$5:$G$1000,$P$5:$P$1000,$P114,$S$5:$S$1000,"Macro")-1)&gt;0.0001),"Pesos del mes suman "&amp;TEXT(SUMIFS($G$5:$G$1000,$P$5:$P$1000,$P114,$S$5:$S$1000,"Macro"),"0%")&amp;" · ","")&amp;IF(AND(N($T114)&gt;0,COUNT($H114:$K114)&gt;0),"Con subactividades: deje vacías las semanas (se calculan solas)"&amp;" · ","")&amp;IF((COUNTIF($H114:$K114,"&gt;1")+COUNTIF($H114:$K114,"&lt;0")+COUNTA($H114:$K114)-COUNT($H114:$K114))&gt;0,"Avance fuera de rango 0-100%"&amp;" · ","")&amp;IF(OR(AND($I114&lt;&gt;"",$I114&lt;$H114),AND($J114&lt;&gt;"",$J114&lt;MAX($H114:$I114)),AND($K114&lt;&gt;"",$K114&lt;MAX($H114:$J114))),"Avance semanal decreciente"&amp;" · ","")&amp;IF(AND(ISNUMBER($F114),$F114&lt;FechaRef,N($L114)&lt;1),"Vencida"&amp;" · ","")&amp;IF(AND(ObsObligatoria="Sí",ISNUMBER($F114),$F114&lt;FechaRef,N($L114)&lt;1,$N114=""),"Vencida sin observación"&amp;" · ",""),LEN(IF(AND($S114="Macro",$B114=""),"Macroactividad vacía"&amp;" · ","")&amp;IF(AND($B114&lt;&gt;"",$C114&lt;&gt;""),"Escriba la subactividad en otra fila, debajo de su macroactividad"&amp;" · ","")&amp;IF(AND($S114="Sub",N($R114)=0),"Subactividad sin macroactividad arriba"&amp;" · ","")&amp;IF($D114="","Sin responsable"&amp;" · ","")&amp;IF($E114="","Sin fecha de inicio"&amp;" · ","")&amp;IF($F114="","Sin fecha límite"&amp;" · ","")&amp;IF(OR(AND($E114&lt;&gt;"",NOT(ISNUMBER($E114))),AND($F114&lt;&gt;"",NOT(ISNUMBER($F114)))),"Fecha no válida"&amp;" · ","")&amp;IF(AND(ISNUMBER($E114),ISNUMBER($F114),$E114&gt;$F114),"Inicio posterior a fecha límite"&amp;" · ","")&amp;IF(AND($S114="Macro",$G114=""),"Peso vacío"&amp;" · ","")&amp;IF(AND($S114="Macro",$G114&lt;&gt;"",OR(NOT(ISNUMBER($G114)),$G114&lt;=0,$G114&gt;1)),"Peso fuera de rango"&amp;" · ","")&amp;IF(AND($S114="Sub",$G114&lt;&gt;""),"Las subactividades no llevan peso"&amp;" · ","")&amp;IF(AND($S114="Macro",ABS(SUMIFS($G$5:$G$1000,$P$5:$P$1000,$P114,$S$5:$S$1000,"Macro")-1)&gt;0.0001),"Pesos del mes suman "&amp;TEXT(SUMIFS($G$5:$G$1000,$P$5:$P$1000,$P114,$S$5:$S$1000,"Macro"),"0%")&amp;" · ","")&amp;IF(AND(N($T114)&gt;0,COUNT($H114:$K114)&gt;0),"Con subactividades: deje vacías las semanas (se calculan solas)"&amp;" · ","")&amp;IF((COUNTIF($H114:$K114,"&gt;1")+COUNTIF($H114:$K114,"&lt;0")+COUNTA($H114:$K114)-COUNT($H114:$K114))&gt;0,"Avance fuera de rango 0-100%"&amp;" · ","")&amp;IF(OR(AND($I114&lt;&gt;"",$I114&lt;$H114),AND($J114&lt;&gt;"",$J114&lt;MAX($H114:$I114)),AND($K114&lt;&gt;"",$K114&lt;MAX($H114:$J114))),"Avance semanal decreciente"&amp;" · ","")&amp;IF(AND(ISNUMBER($F114),$F114&lt;FechaRef,N($L114)&lt;1),"Vencida"&amp;" · ","")&amp;IF(AND(ObsObligatoria="Sí",ISNUMBER($F114),$F114&lt;FechaRef,N($L114)&lt;1,$N114=""),"Vencida sin observación"&amp;" · ",""))-3)))</f>
        <v/>
      </c>
      <c r="P114" s="69">
        <f>IF(NOT((COUNTA($B114:$K114)+COUNTA($N114))&gt;0),"",IF(AND($S114="Sub",N($R114)&gt;0),IF(ISNUMBER(INDEX($E$5:$E$1000,$R114-4)),DATE(YEAR(INDEX($E$5:$E$1000,$R114-4)),MONTH(INDEX($E$5:$E$1000,$R114-4)),1),IF(ISNUMBER(INDEX($F$5:$F$1000,$R114-4)),DATE(YEAR(INDEX($F$5:$F$1000,$R114-4)),MONTH(INDEX($F$5:$F$1000,$R114-4)),1),MesCiclo)),IF(ISNUMBER($E114),DATE(YEAR($E114),MONTH($E114),1),IF(ISNUMBER($F114),DATE(YEAR($F114),MONTH($F114),1),MesCiclo))))</f>
        <v/>
      </c>
      <c r="Q114" s="70">
        <f>IF(OR($P114="",$P114&lt;&gt;MesCiclo),"",COUNTIF($P$5:$P114,MesCiclo))</f>
        <v/>
      </c>
      <c r="R114" s="70">
        <f>IF($S114="","",IF($S114="Macro",ROW(),IFERROR(LOOKUP(2,1/($S$5:$S114="Macro"),ROW($S$5:$S114)),0)))</f>
        <v/>
      </c>
      <c r="S114" s="70">
        <f>IF(NOT((COUNTA($B114:$K114)+COUNTA($N114))&gt;0),"",IF($B114&lt;&gt;"","Macro",IF($C114&lt;&gt;"","Sub","Macro")))</f>
        <v/>
      </c>
      <c r="T114" s="70">
        <f>IF($S114="Macro",COUNTIFS($R$5:$R$1000,ROW(),$S$5:$S$1000,"Sub"),"")</f>
        <v/>
      </c>
      <c r="U114" s="70">
        <f>IF($S114="","",IF(ISNUMBER($H114),$H114,0))</f>
        <v/>
      </c>
      <c r="V114" s="70">
        <f>IF($S114="","",IF(ISNUMBER($I114),$I114,$U114))</f>
        <v/>
      </c>
      <c r="W114" s="70">
        <f>IF($S114="","",IF(ISNUMBER($J114),$J114,$V114))</f>
        <v/>
      </c>
      <c r="X114" s="70">
        <f>IF($S114="","",IF(ISNUMBER($K114),$K114,$W114))</f>
        <v/>
      </c>
      <c r="Y114" s="70">
        <f>IF($S114="","",IF(N($T114)&gt;0,AVERAGEIFS($U$5:$U$1000,$R$5:$R$1000,ROW(),$S$5:$S$1000,"Sub"),$U114))</f>
        <v/>
      </c>
      <c r="Z114" s="70">
        <f>IF($S114="","",IF(N($T114)&gt;0,AVERAGEIFS($V$5:$V$1000,$R$5:$R$1000,ROW(),$S$5:$S$1000,"Sub"),$V114))</f>
        <v/>
      </c>
      <c r="AA114" s="70">
        <f>IF($S114="","",IF(N($T114)&gt;0,AVERAGEIFS($W$5:$W$1000,$R$5:$R$1000,ROW(),$S$5:$S$1000,"Sub"),$W114))</f>
        <v/>
      </c>
      <c r="AB114" s="70">
        <f>IF($S114="","",IF(N($T114)&gt;0,AVERAGEIFS($X$5:$X$1000,$R$5:$R$1000,ROW(),$S$5:$S$1000,"Sub"),$X114))</f>
        <v/>
      </c>
    </row>
    <row r="115">
      <c r="A115" s="61">
        <f>IF(NOT((COUNTA($B115:$K115)+COUNTA($N115))&gt;0),"",IF($S115="Macro",COUNTIFS($S$5:$S115,"Macro",$P$5:$P115,$P115),IF(N($R115)=0,"?",COUNTIFS(INDEX($S$5:$S$1000,1):INDEX($S$5:$S$1000,$R115-4),"Macro",INDEX($P$5:$P$1000,1):INDEX($P$5:$P$1000,$R115-4),INDEX($P$5:$P$1000,$R115-4))&amp;"."&amp;COUNTIFS($R$5:$R115,$R115,$S$5:$S115,"Sub"))))</f>
        <v/>
      </c>
      <c r="B115" s="62" t="n"/>
      <c r="C115" s="63" t="n"/>
      <c r="D115" s="62" t="n"/>
      <c r="E115" s="64" t="n"/>
      <c r="F115" s="64" t="n"/>
      <c r="G115" s="65" t="n"/>
      <c r="H115" s="66" t="n"/>
      <c r="I115" s="66" t="n"/>
      <c r="J115" s="66" t="n"/>
      <c r="K115" s="66" t="n"/>
      <c r="L115" s="67">
        <f>IF(NOT((COUNTA($B115:$K115)+COUNTA($N115))&gt;0),"",IF(N($T115)&gt;0,$AB115,IFERROR(LOOKUP(2,1/(H115:K115&lt;&gt;""),H115:K115),0)))</f>
        <v/>
      </c>
      <c r="M115" s="61">
        <f>IF(L115="","",IF(L115&gt;=1,"Completado",IF(L115&gt;0,"En curso","Pendiente")))</f>
        <v/>
      </c>
      <c r="N115" s="62" t="n"/>
      <c r="O115" s="68">
        <f>IF(NOT((COUNTA($B115:$K115)+COUNTA($N115))&gt;0),"",IF((IF(AND($S115="Macro",$B115=""),"Macroactividad vacía"&amp;" · ","")&amp;IF(AND($B115&lt;&gt;"",$C115&lt;&gt;""),"Escriba la subactividad en otra fila, debajo de su macroactividad"&amp;" · ","")&amp;IF(AND($S115="Sub",N($R115)=0),"Subactividad sin macroactividad arriba"&amp;" · ","")&amp;IF($D115="","Sin responsable"&amp;" · ","")&amp;IF($E115="","Sin fecha de inicio"&amp;" · ","")&amp;IF($F115="","Sin fecha límite"&amp;" · ","")&amp;IF(OR(AND($E115&lt;&gt;"",NOT(ISNUMBER($E115))),AND($F115&lt;&gt;"",NOT(ISNUMBER($F115)))),"Fecha no válida"&amp;" · ","")&amp;IF(AND(ISNUMBER($E115),ISNUMBER($F115),$E115&gt;$F115),"Inicio posterior a fecha límite"&amp;" · ","")&amp;IF(AND($S115="Macro",$G115=""),"Peso vacío"&amp;" · ","")&amp;IF(AND($S115="Macro",$G115&lt;&gt;"",OR(NOT(ISNUMBER($G115)),$G115&lt;=0,$G115&gt;1)),"Peso fuera de rango"&amp;" · ","")&amp;IF(AND($S115="Sub",$G115&lt;&gt;""),"Las subactividades no llevan peso"&amp;" · ","")&amp;IF(AND($S115="Macro",ABS(SUMIFS($G$5:$G$1000,$P$5:$P$1000,$P115,$S$5:$S$1000,"Macro")-1)&gt;0.0001),"Pesos del mes suman "&amp;TEXT(SUMIFS($G$5:$G$1000,$P$5:$P$1000,$P115,$S$5:$S$1000,"Macro"),"0%")&amp;" · ","")&amp;IF(AND(N($T115)&gt;0,COUNT($H115:$K115)&gt;0),"Con subactividades: deje vacías las semanas (se calculan solas)"&amp;" · ","")&amp;IF((COUNTIF($H115:$K115,"&gt;1")+COUNTIF($H115:$K115,"&lt;0")+COUNTA($H115:$K115)-COUNT($H115:$K115))&gt;0,"Avance fuera de rango 0-100%"&amp;" · ","")&amp;IF(OR(AND($I115&lt;&gt;"",$I115&lt;$H115),AND($J115&lt;&gt;"",$J115&lt;MAX($H115:$I115)),AND($K115&lt;&gt;"",$K115&lt;MAX($H115:$J115))),"Avance semanal decreciente"&amp;" · ","")&amp;IF(AND(ISNUMBER($F115),$F115&lt;FechaRef,N($L115)&lt;1),"Vencida"&amp;" · ","")&amp;IF(AND(ObsObligatoria="Sí",ISNUMBER($F115),$F115&lt;FechaRef,N($L115)&lt;1,$N115=""),"Vencida sin observación"&amp;" · ",""))="","✔ OK","⚠ "&amp;LEFT(IF(AND($S115="Macro",$B115=""),"Macroactividad vacía"&amp;" · ","")&amp;IF(AND($B115&lt;&gt;"",$C115&lt;&gt;""),"Escriba la subactividad en otra fila, debajo de su macroactividad"&amp;" · ","")&amp;IF(AND($S115="Sub",N($R115)=0),"Subactividad sin macroactividad arriba"&amp;" · ","")&amp;IF($D115="","Sin responsable"&amp;" · ","")&amp;IF($E115="","Sin fecha de inicio"&amp;" · ","")&amp;IF($F115="","Sin fecha límite"&amp;" · ","")&amp;IF(OR(AND($E115&lt;&gt;"",NOT(ISNUMBER($E115))),AND($F115&lt;&gt;"",NOT(ISNUMBER($F115)))),"Fecha no válida"&amp;" · ","")&amp;IF(AND(ISNUMBER($E115),ISNUMBER($F115),$E115&gt;$F115),"Inicio posterior a fecha límite"&amp;" · ","")&amp;IF(AND($S115="Macro",$G115=""),"Peso vacío"&amp;" · ","")&amp;IF(AND($S115="Macro",$G115&lt;&gt;"",OR(NOT(ISNUMBER($G115)),$G115&lt;=0,$G115&gt;1)),"Peso fuera de rango"&amp;" · ","")&amp;IF(AND($S115="Sub",$G115&lt;&gt;""),"Las subactividades no llevan peso"&amp;" · ","")&amp;IF(AND($S115="Macro",ABS(SUMIFS($G$5:$G$1000,$P$5:$P$1000,$P115,$S$5:$S$1000,"Macro")-1)&gt;0.0001),"Pesos del mes suman "&amp;TEXT(SUMIFS($G$5:$G$1000,$P$5:$P$1000,$P115,$S$5:$S$1000,"Macro"),"0%")&amp;" · ","")&amp;IF(AND(N($T115)&gt;0,COUNT($H115:$K115)&gt;0),"Con subactividades: deje vacías las semanas (se calculan solas)"&amp;" · ","")&amp;IF((COUNTIF($H115:$K115,"&gt;1")+COUNTIF($H115:$K115,"&lt;0")+COUNTA($H115:$K115)-COUNT($H115:$K115))&gt;0,"Avance fuera de rango 0-100%"&amp;" · ","")&amp;IF(OR(AND($I115&lt;&gt;"",$I115&lt;$H115),AND($J115&lt;&gt;"",$J115&lt;MAX($H115:$I115)),AND($K115&lt;&gt;"",$K115&lt;MAX($H115:$J115))),"Avance semanal decreciente"&amp;" · ","")&amp;IF(AND(ISNUMBER($F115),$F115&lt;FechaRef,N($L115)&lt;1),"Vencida"&amp;" · ","")&amp;IF(AND(ObsObligatoria="Sí",ISNUMBER($F115),$F115&lt;FechaRef,N($L115)&lt;1,$N115=""),"Vencida sin observación"&amp;" · ",""),LEN(IF(AND($S115="Macro",$B115=""),"Macroactividad vacía"&amp;" · ","")&amp;IF(AND($B115&lt;&gt;"",$C115&lt;&gt;""),"Escriba la subactividad en otra fila, debajo de su macroactividad"&amp;" · ","")&amp;IF(AND($S115="Sub",N($R115)=0),"Subactividad sin macroactividad arriba"&amp;" · ","")&amp;IF($D115="","Sin responsable"&amp;" · ","")&amp;IF($E115="","Sin fecha de inicio"&amp;" · ","")&amp;IF($F115="","Sin fecha límite"&amp;" · ","")&amp;IF(OR(AND($E115&lt;&gt;"",NOT(ISNUMBER($E115))),AND($F115&lt;&gt;"",NOT(ISNUMBER($F115)))),"Fecha no válida"&amp;" · ","")&amp;IF(AND(ISNUMBER($E115),ISNUMBER($F115),$E115&gt;$F115),"Inicio posterior a fecha límite"&amp;" · ","")&amp;IF(AND($S115="Macro",$G115=""),"Peso vacío"&amp;" · ","")&amp;IF(AND($S115="Macro",$G115&lt;&gt;"",OR(NOT(ISNUMBER($G115)),$G115&lt;=0,$G115&gt;1)),"Peso fuera de rango"&amp;" · ","")&amp;IF(AND($S115="Sub",$G115&lt;&gt;""),"Las subactividades no llevan peso"&amp;" · ","")&amp;IF(AND($S115="Macro",ABS(SUMIFS($G$5:$G$1000,$P$5:$P$1000,$P115,$S$5:$S$1000,"Macro")-1)&gt;0.0001),"Pesos del mes suman "&amp;TEXT(SUMIFS($G$5:$G$1000,$P$5:$P$1000,$P115,$S$5:$S$1000,"Macro"),"0%")&amp;" · ","")&amp;IF(AND(N($T115)&gt;0,COUNT($H115:$K115)&gt;0),"Con subactividades: deje vacías las semanas (se calculan solas)"&amp;" · ","")&amp;IF((COUNTIF($H115:$K115,"&gt;1")+COUNTIF($H115:$K115,"&lt;0")+COUNTA($H115:$K115)-COUNT($H115:$K115))&gt;0,"Avance fuera de rango 0-100%"&amp;" · ","")&amp;IF(OR(AND($I115&lt;&gt;"",$I115&lt;$H115),AND($J115&lt;&gt;"",$J115&lt;MAX($H115:$I115)),AND($K115&lt;&gt;"",$K115&lt;MAX($H115:$J115))),"Avance semanal decreciente"&amp;" · ","")&amp;IF(AND(ISNUMBER($F115),$F115&lt;FechaRef,N($L115)&lt;1),"Vencida"&amp;" · ","")&amp;IF(AND(ObsObligatoria="Sí",ISNUMBER($F115),$F115&lt;FechaRef,N($L115)&lt;1,$N115=""),"Vencida sin observación"&amp;" · ",""))-3)))</f>
        <v/>
      </c>
      <c r="P115" s="69">
        <f>IF(NOT((COUNTA($B115:$K115)+COUNTA($N115))&gt;0),"",IF(AND($S115="Sub",N($R115)&gt;0),IF(ISNUMBER(INDEX($E$5:$E$1000,$R115-4)),DATE(YEAR(INDEX($E$5:$E$1000,$R115-4)),MONTH(INDEX($E$5:$E$1000,$R115-4)),1),IF(ISNUMBER(INDEX($F$5:$F$1000,$R115-4)),DATE(YEAR(INDEX($F$5:$F$1000,$R115-4)),MONTH(INDEX($F$5:$F$1000,$R115-4)),1),MesCiclo)),IF(ISNUMBER($E115),DATE(YEAR($E115),MONTH($E115),1),IF(ISNUMBER($F115),DATE(YEAR($F115),MONTH($F115),1),MesCiclo))))</f>
        <v/>
      </c>
      <c r="Q115" s="70">
        <f>IF(OR($P115="",$P115&lt;&gt;MesCiclo),"",COUNTIF($P$5:$P115,MesCiclo))</f>
        <v/>
      </c>
      <c r="R115" s="70">
        <f>IF($S115="","",IF($S115="Macro",ROW(),IFERROR(LOOKUP(2,1/($S$5:$S115="Macro"),ROW($S$5:$S115)),0)))</f>
        <v/>
      </c>
      <c r="S115" s="70">
        <f>IF(NOT((COUNTA($B115:$K115)+COUNTA($N115))&gt;0),"",IF($B115&lt;&gt;"","Macro",IF($C115&lt;&gt;"","Sub","Macro")))</f>
        <v/>
      </c>
      <c r="T115" s="70">
        <f>IF($S115="Macro",COUNTIFS($R$5:$R$1000,ROW(),$S$5:$S$1000,"Sub"),"")</f>
        <v/>
      </c>
      <c r="U115" s="70">
        <f>IF($S115="","",IF(ISNUMBER($H115),$H115,0))</f>
        <v/>
      </c>
      <c r="V115" s="70">
        <f>IF($S115="","",IF(ISNUMBER($I115),$I115,$U115))</f>
        <v/>
      </c>
      <c r="W115" s="70">
        <f>IF($S115="","",IF(ISNUMBER($J115),$J115,$V115))</f>
        <v/>
      </c>
      <c r="X115" s="70">
        <f>IF($S115="","",IF(ISNUMBER($K115),$K115,$W115))</f>
        <v/>
      </c>
      <c r="Y115" s="70">
        <f>IF($S115="","",IF(N($T115)&gt;0,AVERAGEIFS($U$5:$U$1000,$R$5:$R$1000,ROW(),$S$5:$S$1000,"Sub"),$U115))</f>
        <v/>
      </c>
      <c r="Z115" s="70">
        <f>IF($S115="","",IF(N($T115)&gt;0,AVERAGEIFS($V$5:$V$1000,$R$5:$R$1000,ROW(),$S$5:$S$1000,"Sub"),$V115))</f>
        <v/>
      </c>
      <c r="AA115" s="70">
        <f>IF($S115="","",IF(N($T115)&gt;0,AVERAGEIFS($W$5:$W$1000,$R$5:$R$1000,ROW(),$S$5:$S$1000,"Sub"),$W115))</f>
        <v/>
      </c>
      <c r="AB115" s="70">
        <f>IF($S115="","",IF(N($T115)&gt;0,AVERAGEIFS($X$5:$X$1000,$R$5:$R$1000,ROW(),$S$5:$S$1000,"Sub"),$X115))</f>
        <v/>
      </c>
    </row>
    <row r="116">
      <c r="A116" s="61">
        <f>IF(NOT((COUNTA($B116:$K116)+COUNTA($N116))&gt;0),"",IF($S116="Macro",COUNTIFS($S$5:$S116,"Macro",$P$5:$P116,$P116),IF(N($R116)=0,"?",COUNTIFS(INDEX($S$5:$S$1000,1):INDEX($S$5:$S$1000,$R116-4),"Macro",INDEX($P$5:$P$1000,1):INDEX($P$5:$P$1000,$R116-4),INDEX($P$5:$P$1000,$R116-4))&amp;"."&amp;COUNTIFS($R$5:$R116,$R116,$S$5:$S116,"Sub"))))</f>
        <v/>
      </c>
      <c r="B116" s="62" t="n"/>
      <c r="C116" s="63" t="n"/>
      <c r="D116" s="62" t="n"/>
      <c r="E116" s="64" t="n"/>
      <c r="F116" s="64" t="n"/>
      <c r="G116" s="65" t="n"/>
      <c r="H116" s="66" t="n"/>
      <c r="I116" s="66" t="n"/>
      <c r="J116" s="66" t="n"/>
      <c r="K116" s="66" t="n"/>
      <c r="L116" s="67">
        <f>IF(NOT((COUNTA($B116:$K116)+COUNTA($N116))&gt;0),"",IF(N($T116)&gt;0,$AB116,IFERROR(LOOKUP(2,1/(H116:K116&lt;&gt;""),H116:K116),0)))</f>
        <v/>
      </c>
      <c r="M116" s="61">
        <f>IF(L116="","",IF(L116&gt;=1,"Completado",IF(L116&gt;0,"En curso","Pendiente")))</f>
        <v/>
      </c>
      <c r="N116" s="62" t="n"/>
      <c r="O116" s="68">
        <f>IF(NOT((COUNTA($B116:$K116)+COUNTA($N116))&gt;0),"",IF((IF(AND($S116="Macro",$B116=""),"Macroactividad vacía"&amp;" · ","")&amp;IF(AND($B116&lt;&gt;"",$C116&lt;&gt;""),"Escriba la subactividad en otra fila, debajo de su macroactividad"&amp;" · ","")&amp;IF(AND($S116="Sub",N($R116)=0),"Subactividad sin macroactividad arriba"&amp;" · ","")&amp;IF($D116="","Sin responsable"&amp;" · ","")&amp;IF($E116="","Sin fecha de inicio"&amp;" · ","")&amp;IF($F116="","Sin fecha límite"&amp;" · ","")&amp;IF(OR(AND($E116&lt;&gt;"",NOT(ISNUMBER($E116))),AND($F116&lt;&gt;"",NOT(ISNUMBER($F116)))),"Fecha no válida"&amp;" · ","")&amp;IF(AND(ISNUMBER($E116),ISNUMBER($F116),$E116&gt;$F116),"Inicio posterior a fecha límite"&amp;" · ","")&amp;IF(AND($S116="Macro",$G116=""),"Peso vacío"&amp;" · ","")&amp;IF(AND($S116="Macro",$G116&lt;&gt;"",OR(NOT(ISNUMBER($G116)),$G116&lt;=0,$G116&gt;1)),"Peso fuera de rango"&amp;" · ","")&amp;IF(AND($S116="Sub",$G116&lt;&gt;""),"Las subactividades no llevan peso"&amp;" · ","")&amp;IF(AND($S116="Macro",ABS(SUMIFS($G$5:$G$1000,$P$5:$P$1000,$P116,$S$5:$S$1000,"Macro")-1)&gt;0.0001),"Pesos del mes suman "&amp;TEXT(SUMIFS($G$5:$G$1000,$P$5:$P$1000,$P116,$S$5:$S$1000,"Macro"),"0%")&amp;" · ","")&amp;IF(AND(N($T116)&gt;0,COUNT($H116:$K116)&gt;0),"Con subactividades: deje vacías las semanas (se calculan solas)"&amp;" · ","")&amp;IF((COUNTIF($H116:$K116,"&gt;1")+COUNTIF($H116:$K116,"&lt;0")+COUNTA($H116:$K116)-COUNT($H116:$K116))&gt;0,"Avance fuera de rango 0-100%"&amp;" · ","")&amp;IF(OR(AND($I116&lt;&gt;"",$I116&lt;$H116),AND($J116&lt;&gt;"",$J116&lt;MAX($H116:$I116)),AND($K116&lt;&gt;"",$K116&lt;MAX($H116:$J116))),"Avance semanal decreciente"&amp;" · ","")&amp;IF(AND(ISNUMBER($F116),$F116&lt;FechaRef,N($L116)&lt;1),"Vencida"&amp;" · ","")&amp;IF(AND(ObsObligatoria="Sí",ISNUMBER($F116),$F116&lt;FechaRef,N($L116)&lt;1,$N116=""),"Vencida sin observación"&amp;" · ",""))="","✔ OK","⚠ "&amp;LEFT(IF(AND($S116="Macro",$B116=""),"Macroactividad vacía"&amp;" · ","")&amp;IF(AND($B116&lt;&gt;"",$C116&lt;&gt;""),"Escriba la subactividad en otra fila, debajo de su macroactividad"&amp;" · ","")&amp;IF(AND($S116="Sub",N($R116)=0),"Subactividad sin macroactividad arriba"&amp;" · ","")&amp;IF($D116="","Sin responsable"&amp;" · ","")&amp;IF($E116="","Sin fecha de inicio"&amp;" · ","")&amp;IF($F116="","Sin fecha límite"&amp;" · ","")&amp;IF(OR(AND($E116&lt;&gt;"",NOT(ISNUMBER($E116))),AND($F116&lt;&gt;"",NOT(ISNUMBER($F116)))),"Fecha no válida"&amp;" · ","")&amp;IF(AND(ISNUMBER($E116),ISNUMBER($F116),$E116&gt;$F116),"Inicio posterior a fecha límite"&amp;" · ","")&amp;IF(AND($S116="Macro",$G116=""),"Peso vacío"&amp;" · ","")&amp;IF(AND($S116="Macro",$G116&lt;&gt;"",OR(NOT(ISNUMBER($G116)),$G116&lt;=0,$G116&gt;1)),"Peso fuera de rango"&amp;" · ","")&amp;IF(AND($S116="Sub",$G116&lt;&gt;""),"Las subactividades no llevan peso"&amp;" · ","")&amp;IF(AND($S116="Macro",ABS(SUMIFS($G$5:$G$1000,$P$5:$P$1000,$P116,$S$5:$S$1000,"Macro")-1)&gt;0.0001),"Pesos del mes suman "&amp;TEXT(SUMIFS($G$5:$G$1000,$P$5:$P$1000,$P116,$S$5:$S$1000,"Macro"),"0%")&amp;" · ","")&amp;IF(AND(N($T116)&gt;0,COUNT($H116:$K116)&gt;0),"Con subactividades: deje vacías las semanas (se calculan solas)"&amp;" · ","")&amp;IF((COUNTIF($H116:$K116,"&gt;1")+COUNTIF($H116:$K116,"&lt;0")+COUNTA($H116:$K116)-COUNT($H116:$K116))&gt;0,"Avance fuera de rango 0-100%"&amp;" · ","")&amp;IF(OR(AND($I116&lt;&gt;"",$I116&lt;$H116),AND($J116&lt;&gt;"",$J116&lt;MAX($H116:$I116)),AND($K116&lt;&gt;"",$K116&lt;MAX($H116:$J116))),"Avance semanal decreciente"&amp;" · ","")&amp;IF(AND(ISNUMBER($F116),$F116&lt;FechaRef,N($L116)&lt;1),"Vencida"&amp;" · ","")&amp;IF(AND(ObsObligatoria="Sí",ISNUMBER($F116),$F116&lt;FechaRef,N($L116)&lt;1,$N116=""),"Vencida sin observación"&amp;" · ",""),LEN(IF(AND($S116="Macro",$B116=""),"Macroactividad vacía"&amp;" · ","")&amp;IF(AND($B116&lt;&gt;"",$C116&lt;&gt;""),"Escriba la subactividad en otra fila, debajo de su macroactividad"&amp;" · ","")&amp;IF(AND($S116="Sub",N($R116)=0),"Subactividad sin macroactividad arriba"&amp;" · ","")&amp;IF($D116="","Sin responsable"&amp;" · ","")&amp;IF($E116="","Sin fecha de inicio"&amp;" · ","")&amp;IF($F116="","Sin fecha límite"&amp;" · ","")&amp;IF(OR(AND($E116&lt;&gt;"",NOT(ISNUMBER($E116))),AND($F116&lt;&gt;"",NOT(ISNUMBER($F116)))),"Fecha no válida"&amp;" · ","")&amp;IF(AND(ISNUMBER($E116),ISNUMBER($F116),$E116&gt;$F116),"Inicio posterior a fecha límite"&amp;" · ","")&amp;IF(AND($S116="Macro",$G116=""),"Peso vacío"&amp;" · ","")&amp;IF(AND($S116="Macro",$G116&lt;&gt;"",OR(NOT(ISNUMBER($G116)),$G116&lt;=0,$G116&gt;1)),"Peso fuera de rango"&amp;" · ","")&amp;IF(AND($S116="Sub",$G116&lt;&gt;""),"Las subactividades no llevan peso"&amp;" · ","")&amp;IF(AND($S116="Macro",ABS(SUMIFS($G$5:$G$1000,$P$5:$P$1000,$P116,$S$5:$S$1000,"Macro")-1)&gt;0.0001),"Pesos del mes suman "&amp;TEXT(SUMIFS($G$5:$G$1000,$P$5:$P$1000,$P116,$S$5:$S$1000,"Macro"),"0%")&amp;" · ","")&amp;IF(AND(N($T116)&gt;0,COUNT($H116:$K116)&gt;0),"Con subactividades: deje vacías las semanas (se calculan solas)"&amp;" · ","")&amp;IF((COUNTIF($H116:$K116,"&gt;1")+COUNTIF($H116:$K116,"&lt;0")+COUNTA($H116:$K116)-COUNT($H116:$K116))&gt;0,"Avance fuera de rango 0-100%"&amp;" · ","")&amp;IF(OR(AND($I116&lt;&gt;"",$I116&lt;$H116),AND($J116&lt;&gt;"",$J116&lt;MAX($H116:$I116)),AND($K116&lt;&gt;"",$K116&lt;MAX($H116:$J116))),"Avance semanal decreciente"&amp;" · ","")&amp;IF(AND(ISNUMBER($F116),$F116&lt;FechaRef,N($L116)&lt;1),"Vencida"&amp;" · ","")&amp;IF(AND(ObsObligatoria="Sí",ISNUMBER($F116),$F116&lt;FechaRef,N($L116)&lt;1,$N116=""),"Vencida sin observación"&amp;" · ",""))-3)))</f>
        <v/>
      </c>
      <c r="P116" s="69">
        <f>IF(NOT((COUNTA($B116:$K116)+COUNTA($N116))&gt;0),"",IF(AND($S116="Sub",N($R116)&gt;0),IF(ISNUMBER(INDEX($E$5:$E$1000,$R116-4)),DATE(YEAR(INDEX($E$5:$E$1000,$R116-4)),MONTH(INDEX($E$5:$E$1000,$R116-4)),1),IF(ISNUMBER(INDEX($F$5:$F$1000,$R116-4)),DATE(YEAR(INDEX($F$5:$F$1000,$R116-4)),MONTH(INDEX($F$5:$F$1000,$R116-4)),1),MesCiclo)),IF(ISNUMBER($E116),DATE(YEAR($E116),MONTH($E116),1),IF(ISNUMBER($F116),DATE(YEAR($F116),MONTH($F116),1),MesCiclo))))</f>
        <v/>
      </c>
      <c r="Q116" s="70">
        <f>IF(OR($P116="",$P116&lt;&gt;MesCiclo),"",COUNTIF($P$5:$P116,MesCiclo))</f>
        <v/>
      </c>
      <c r="R116" s="70">
        <f>IF($S116="","",IF($S116="Macro",ROW(),IFERROR(LOOKUP(2,1/($S$5:$S116="Macro"),ROW($S$5:$S116)),0)))</f>
        <v/>
      </c>
      <c r="S116" s="70">
        <f>IF(NOT((COUNTA($B116:$K116)+COUNTA($N116))&gt;0),"",IF($B116&lt;&gt;"","Macro",IF($C116&lt;&gt;"","Sub","Macro")))</f>
        <v/>
      </c>
      <c r="T116" s="70">
        <f>IF($S116="Macro",COUNTIFS($R$5:$R$1000,ROW(),$S$5:$S$1000,"Sub"),"")</f>
        <v/>
      </c>
      <c r="U116" s="70">
        <f>IF($S116="","",IF(ISNUMBER($H116),$H116,0))</f>
        <v/>
      </c>
      <c r="V116" s="70">
        <f>IF($S116="","",IF(ISNUMBER($I116),$I116,$U116))</f>
        <v/>
      </c>
      <c r="W116" s="70">
        <f>IF($S116="","",IF(ISNUMBER($J116),$J116,$V116))</f>
        <v/>
      </c>
      <c r="X116" s="70">
        <f>IF($S116="","",IF(ISNUMBER($K116),$K116,$W116))</f>
        <v/>
      </c>
      <c r="Y116" s="70">
        <f>IF($S116="","",IF(N($T116)&gt;0,AVERAGEIFS($U$5:$U$1000,$R$5:$R$1000,ROW(),$S$5:$S$1000,"Sub"),$U116))</f>
        <v/>
      </c>
      <c r="Z116" s="70">
        <f>IF($S116="","",IF(N($T116)&gt;0,AVERAGEIFS($V$5:$V$1000,$R$5:$R$1000,ROW(),$S$5:$S$1000,"Sub"),$V116))</f>
        <v/>
      </c>
      <c r="AA116" s="70">
        <f>IF($S116="","",IF(N($T116)&gt;0,AVERAGEIFS($W$5:$W$1000,$R$5:$R$1000,ROW(),$S$5:$S$1000,"Sub"),$W116))</f>
        <v/>
      </c>
      <c r="AB116" s="70">
        <f>IF($S116="","",IF(N($T116)&gt;0,AVERAGEIFS($X$5:$X$1000,$R$5:$R$1000,ROW(),$S$5:$S$1000,"Sub"),$X116))</f>
        <v/>
      </c>
    </row>
    <row r="117">
      <c r="A117" s="61">
        <f>IF(NOT((COUNTA($B117:$K117)+COUNTA($N117))&gt;0),"",IF($S117="Macro",COUNTIFS($S$5:$S117,"Macro",$P$5:$P117,$P117),IF(N($R117)=0,"?",COUNTIFS(INDEX($S$5:$S$1000,1):INDEX($S$5:$S$1000,$R117-4),"Macro",INDEX($P$5:$P$1000,1):INDEX($P$5:$P$1000,$R117-4),INDEX($P$5:$P$1000,$R117-4))&amp;"."&amp;COUNTIFS($R$5:$R117,$R117,$S$5:$S117,"Sub"))))</f>
        <v/>
      </c>
      <c r="B117" s="62" t="n"/>
      <c r="C117" s="63" t="n"/>
      <c r="D117" s="62" t="n"/>
      <c r="E117" s="64" t="n"/>
      <c r="F117" s="64" t="n"/>
      <c r="G117" s="65" t="n"/>
      <c r="H117" s="66" t="n"/>
      <c r="I117" s="66" t="n"/>
      <c r="J117" s="66" t="n"/>
      <c r="K117" s="66" t="n"/>
      <c r="L117" s="67">
        <f>IF(NOT((COUNTA($B117:$K117)+COUNTA($N117))&gt;0),"",IF(N($T117)&gt;0,$AB117,IFERROR(LOOKUP(2,1/(H117:K117&lt;&gt;""),H117:K117),0)))</f>
        <v/>
      </c>
      <c r="M117" s="61">
        <f>IF(L117="","",IF(L117&gt;=1,"Completado",IF(L117&gt;0,"En curso","Pendiente")))</f>
        <v/>
      </c>
      <c r="N117" s="62" t="n"/>
      <c r="O117" s="68">
        <f>IF(NOT((COUNTA($B117:$K117)+COUNTA($N117))&gt;0),"",IF((IF(AND($S117="Macro",$B117=""),"Macroactividad vacía"&amp;" · ","")&amp;IF(AND($B117&lt;&gt;"",$C117&lt;&gt;""),"Escriba la subactividad en otra fila, debajo de su macroactividad"&amp;" · ","")&amp;IF(AND($S117="Sub",N($R117)=0),"Subactividad sin macroactividad arriba"&amp;" · ","")&amp;IF($D117="","Sin responsable"&amp;" · ","")&amp;IF($E117="","Sin fecha de inicio"&amp;" · ","")&amp;IF($F117="","Sin fecha límite"&amp;" · ","")&amp;IF(OR(AND($E117&lt;&gt;"",NOT(ISNUMBER($E117))),AND($F117&lt;&gt;"",NOT(ISNUMBER($F117)))),"Fecha no válida"&amp;" · ","")&amp;IF(AND(ISNUMBER($E117),ISNUMBER($F117),$E117&gt;$F117),"Inicio posterior a fecha límite"&amp;" · ","")&amp;IF(AND($S117="Macro",$G117=""),"Peso vacío"&amp;" · ","")&amp;IF(AND($S117="Macro",$G117&lt;&gt;"",OR(NOT(ISNUMBER($G117)),$G117&lt;=0,$G117&gt;1)),"Peso fuera de rango"&amp;" · ","")&amp;IF(AND($S117="Sub",$G117&lt;&gt;""),"Las subactividades no llevan peso"&amp;" · ","")&amp;IF(AND($S117="Macro",ABS(SUMIFS($G$5:$G$1000,$P$5:$P$1000,$P117,$S$5:$S$1000,"Macro")-1)&gt;0.0001),"Pesos del mes suman "&amp;TEXT(SUMIFS($G$5:$G$1000,$P$5:$P$1000,$P117,$S$5:$S$1000,"Macro"),"0%")&amp;" · ","")&amp;IF(AND(N($T117)&gt;0,COUNT($H117:$K117)&gt;0),"Con subactividades: deje vacías las semanas (se calculan solas)"&amp;" · ","")&amp;IF((COUNTIF($H117:$K117,"&gt;1")+COUNTIF($H117:$K117,"&lt;0")+COUNTA($H117:$K117)-COUNT($H117:$K117))&gt;0,"Avance fuera de rango 0-100%"&amp;" · ","")&amp;IF(OR(AND($I117&lt;&gt;"",$I117&lt;$H117),AND($J117&lt;&gt;"",$J117&lt;MAX($H117:$I117)),AND($K117&lt;&gt;"",$K117&lt;MAX($H117:$J117))),"Avance semanal decreciente"&amp;" · ","")&amp;IF(AND(ISNUMBER($F117),$F117&lt;FechaRef,N($L117)&lt;1),"Vencida"&amp;" · ","")&amp;IF(AND(ObsObligatoria="Sí",ISNUMBER($F117),$F117&lt;FechaRef,N($L117)&lt;1,$N117=""),"Vencida sin observación"&amp;" · ",""))="","✔ OK","⚠ "&amp;LEFT(IF(AND($S117="Macro",$B117=""),"Macroactividad vacía"&amp;" · ","")&amp;IF(AND($B117&lt;&gt;"",$C117&lt;&gt;""),"Escriba la subactividad en otra fila, debajo de su macroactividad"&amp;" · ","")&amp;IF(AND($S117="Sub",N($R117)=0),"Subactividad sin macroactividad arriba"&amp;" · ","")&amp;IF($D117="","Sin responsable"&amp;" · ","")&amp;IF($E117="","Sin fecha de inicio"&amp;" · ","")&amp;IF($F117="","Sin fecha límite"&amp;" · ","")&amp;IF(OR(AND($E117&lt;&gt;"",NOT(ISNUMBER($E117))),AND($F117&lt;&gt;"",NOT(ISNUMBER($F117)))),"Fecha no válida"&amp;" · ","")&amp;IF(AND(ISNUMBER($E117),ISNUMBER($F117),$E117&gt;$F117),"Inicio posterior a fecha límite"&amp;" · ","")&amp;IF(AND($S117="Macro",$G117=""),"Peso vacío"&amp;" · ","")&amp;IF(AND($S117="Macro",$G117&lt;&gt;"",OR(NOT(ISNUMBER($G117)),$G117&lt;=0,$G117&gt;1)),"Peso fuera de rango"&amp;" · ","")&amp;IF(AND($S117="Sub",$G117&lt;&gt;""),"Las subactividades no llevan peso"&amp;" · ","")&amp;IF(AND($S117="Macro",ABS(SUMIFS($G$5:$G$1000,$P$5:$P$1000,$P117,$S$5:$S$1000,"Macro")-1)&gt;0.0001),"Pesos del mes suman "&amp;TEXT(SUMIFS($G$5:$G$1000,$P$5:$P$1000,$P117,$S$5:$S$1000,"Macro"),"0%")&amp;" · ","")&amp;IF(AND(N($T117)&gt;0,COUNT($H117:$K117)&gt;0),"Con subactividades: deje vacías las semanas (se calculan solas)"&amp;" · ","")&amp;IF((COUNTIF($H117:$K117,"&gt;1")+COUNTIF($H117:$K117,"&lt;0")+COUNTA($H117:$K117)-COUNT($H117:$K117))&gt;0,"Avance fuera de rango 0-100%"&amp;" · ","")&amp;IF(OR(AND($I117&lt;&gt;"",$I117&lt;$H117),AND($J117&lt;&gt;"",$J117&lt;MAX($H117:$I117)),AND($K117&lt;&gt;"",$K117&lt;MAX($H117:$J117))),"Avance semanal decreciente"&amp;" · ","")&amp;IF(AND(ISNUMBER($F117),$F117&lt;FechaRef,N($L117)&lt;1),"Vencida"&amp;" · ","")&amp;IF(AND(ObsObligatoria="Sí",ISNUMBER($F117),$F117&lt;FechaRef,N($L117)&lt;1,$N117=""),"Vencida sin observación"&amp;" · ",""),LEN(IF(AND($S117="Macro",$B117=""),"Macroactividad vacía"&amp;" · ","")&amp;IF(AND($B117&lt;&gt;"",$C117&lt;&gt;""),"Escriba la subactividad en otra fila, debajo de su macroactividad"&amp;" · ","")&amp;IF(AND($S117="Sub",N($R117)=0),"Subactividad sin macroactividad arriba"&amp;" · ","")&amp;IF($D117="","Sin responsable"&amp;" · ","")&amp;IF($E117="","Sin fecha de inicio"&amp;" · ","")&amp;IF($F117="","Sin fecha límite"&amp;" · ","")&amp;IF(OR(AND($E117&lt;&gt;"",NOT(ISNUMBER($E117))),AND($F117&lt;&gt;"",NOT(ISNUMBER($F117)))),"Fecha no válida"&amp;" · ","")&amp;IF(AND(ISNUMBER($E117),ISNUMBER($F117),$E117&gt;$F117),"Inicio posterior a fecha límite"&amp;" · ","")&amp;IF(AND($S117="Macro",$G117=""),"Peso vacío"&amp;" · ","")&amp;IF(AND($S117="Macro",$G117&lt;&gt;"",OR(NOT(ISNUMBER($G117)),$G117&lt;=0,$G117&gt;1)),"Peso fuera de rango"&amp;" · ","")&amp;IF(AND($S117="Sub",$G117&lt;&gt;""),"Las subactividades no llevan peso"&amp;" · ","")&amp;IF(AND($S117="Macro",ABS(SUMIFS($G$5:$G$1000,$P$5:$P$1000,$P117,$S$5:$S$1000,"Macro")-1)&gt;0.0001),"Pesos del mes suman "&amp;TEXT(SUMIFS($G$5:$G$1000,$P$5:$P$1000,$P117,$S$5:$S$1000,"Macro"),"0%")&amp;" · ","")&amp;IF(AND(N($T117)&gt;0,COUNT($H117:$K117)&gt;0),"Con subactividades: deje vacías las semanas (se calculan solas)"&amp;" · ","")&amp;IF((COUNTIF($H117:$K117,"&gt;1")+COUNTIF($H117:$K117,"&lt;0")+COUNTA($H117:$K117)-COUNT($H117:$K117))&gt;0,"Avance fuera de rango 0-100%"&amp;" · ","")&amp;IF(OR(AND($I117&lt;&gt;"",$I117&lt;$H117),AND($J117&lt;&gt;"",$J117&lt;MAX($H117:$I117)),AND($K117&lt;&gt;"",$K117&lt;MAX($H117:$J117))),"Avance semanal decreciente"&amp;" · ","")&amp;IF(AND(ISNUMBER($F117),$F117&lt;FechaRef,N($L117)&lt;1),"Vencida"&amp;" · ","")&amp;IF(AND(ObsObligatoria="Sí",ISNUMBER($F117),$F117&lt;FechaRef,N($L117)&lt;1,$N117=""),"Vencida sin observación"&amp;" · ",""))-3)))</f>
        <v/>
      </c>
      <c r="P117" s="69">
        <f>IF(NOT((COUNTA($B117:$K117)+COUNTA($N117))&gt;0),"",IF(AND($S117="Sub",N($R117)&gt;0),IF(ISNUMBER(INDEX($E$5:$E$1000,$R117-4)),DATE(YEAR(INDEX($E$5:$E$1000,$R117-4)),MONTH(INDEX($E$5:$E$1000,$R117-4)),1),IF(ISNUMBER(INDEX($F$5:$F$1000,$R117-4)),DATE(YEAR(INDEX($F$5:$F$1000,$R117-4)),MONTH(INDEX($F$5:$F$1000,$R117-4)),1),MesCiclo)),IF(ISNUMBER($E117),DATE(YEAR($E117),MONTH($E117),1),IF(ISNUMBER($F117),DATE(YEAR($F117),MONTH($F117),1),MesCiclo))))</f>
        <v/>
      </c>
      <c r="Q117" s="70">
        <f>IF(OR($P117="",$P117&lt;&gt;MesCiclo),"",COUNTIF($P$5:$P117,MesCiclo))</f>
        <v/>
      </c>
      <c r="R117" s="70">
        <f>IF($S117="","",IF($S117="Macro",ROW(),IFERROR(LOOKUP(2,1/($S$5:$S117="Macro"),ROW($S$5:$S117)),0)))</f>
        <v/>
      </c>
      <c r="S117" s="70">
        <f>IF(NOT((COUNTA($B117:$K117)+COUNTA($N117))&gt;0),"",IF($B117&lt;&gt;"","Macro",IF($C117&lt;&gt;"","Sub","Macro")))</f>
        <v/>
      </c>
      <c r="T117" s="70">
        <f>IF($S117="Macro",COUNTIFS($R$5:$R$1000,ROW(),$S$5:$S$1000,"Sub"),"")</f>
        <v/>
      </c>
      <c r="U117" s="70">
        <f>IF($S117="","",IF(ISNUMBER($H117),$H117,0))</f>
        <v/>
      </c>
      <c r="V117" s="70">
        <f>IF($S117="","",IF(ISNUMBER($I117),$I117,$U117))</f>
        <v/>
      </c>
      <c r="W117" s="70">
        <f>IF($S117="","",IF(ISNUMBER($J117),$J117,$V117))</f>
        <v/>
      </c>
      <c r="X117" s="70">
        <f>IF($S117="","",IF(ISNUMBER($K117),$K117,$W117))</f>
        <v/>
      </c>
      <c r="Y117" s="70">
        <f>IF($S117="","",IF(N($T117)&gt;0,AVERAGEIFS($U$5:$U$1000,$R$5:$R$1000,ROW(),$S$5:$S$1000,"Sub"),$U117))</f>
        <v/>
      </c>
      <c r="Z117" s="70">
        <f>IF($S117="","",IF(N($T117)&gt;0,AVERAGEIFS($V$5:$V$1000,$R$5:$R$1000,ROW(),$S$5:$S$1000,"Sub"),$V117))</f>
        <v/>
      </c>
      <c r="AA117" s="70">
        <f>IF($S117="","",IF(N($T117)&gt;0,AVERAGEIFS($W$5:$W$1000,$R$5:$R$1000,ROW(),$S$5:$S$1000,"Sub"),$W117))</f>
        <v/>
      </c>
      <c r="AB117" s="70">
        <f>IF($S117="","",IF(N($T117)&gt;0,AVERAGEIFS($X$5:$X$1000,$R$5:$R$1000,ROW(),$S$5:$S$1000,"Sub"),$X117))</f>
        <v/>
      </c>
    </row>
    <row r="118">
      <c r="A118" s="61">
        <f>IF(NOT((COUNTA($B118:$K118)+COUNTA($N118))&gt;0),"",IF($S118="Macro",COUNTIFS($S$5:$S118,"Macro",$P$5:$P118,$P118),IF(N($R118)=0,"?",COUNTIFS(INDEX($S$5:$S$1000,1):INDEX($S$5:$S$1000,$R118-4),"Macro",INDEX($P$5:$P$1000,1):INDEX($P$5:$P$1000,$R118-4),INDEX($P$5:$P$1000,$R118-4))&amp;"."&amp;COUNTIFS($R$5:$R118,$R118,$S$5:$S118,"Sub"))))</f>
        <v/>
      </c>
      <c r="B118" s="62" t="n"/>
      <c r="C118" s="63" t="n"/>
      <c r="D118" s="62" t="n"/>
      <c r="E118" s="64" t="n"/>
      <c r="F118" s="64" t="n"/>
      <c r="G118" s="65" t="n"/>
      <c r="H118" s="66" t="n"/>
      <c r="I118" s="66" t="n"/>
      <c r="J118" s="66" t="n"/>
      <c r="K118" s="66" t="n"/>
      <c r="L118" s="67">
        <f>IF(NOT((COUNTA($B118:$K118)+COUNTA($N118))&gt;0),"",IF(N($T118)&gt;0,$AB118,IFERROR(LOOKUP(2,1/(H118:K118&lt;&gt;""),H118:K118),0)))</f>
        <v/>
      </c>
      <c r="M118" s="61">
        <f>IF(L118="","",IF(L118&gt;=1,"Completado",IF(L118&gt;0,"En curso","Pendiente")))</f>
        <v/>
      </c>
      <c r="N118" s="62" t="n"/>
      <c r="O118" s="68">
        <f>IF(NOT((COUNTA($B118:$K118)+COUNTA($N118))&gt;0),"",IF((IF(AND($S118="Macro",$B118=""),"Macroactividad vacía"&amp;" · ","")&amp;IF(AND($B118&lt;&gt;"",$C118&lt;&gt;""),"Escriba la subactividad en otra fila, debajo de su macroactividad"&amp;" · ","")&amp;IF(AND($S118="Sub",N($R118)=0),"Subactividad sin macroactividad arriba"&amp;" · ","")&amp;IF($D118="","Sin responsable"&amp;" · ","")&amp;IF($E118="","Sin fecha de inicio"&amp;" · ","")&amp;IF($F118="","Sin fecha límite"&amp;" · ","")&amp;IF(OR(AND($E118&lt;&gt;"",NOT(ISNUMBER($E118))),AND($F118&lt;&gt;"",NOT(ISNUMBER($F118)))),"Fecha no válida"&amp;" · ","")&amp;IF(AND(ISNUMBER($E118),ISNUMBER($F118),$E118&gt;$F118),"Inicio posterior a fecha límite"&amp;" · ","")&amp;IF(AND($S118="Macro",$G118=""),"Peso vacío"&amp;" · ","")&amp;IF(AND($S118="Macro",$G118&lt;&gt;"",OR(NOT(ISNUMBER($G118)),$G118&lt;=0,$G118&gt;1)),"Peso fuera de rango"&amp;" · ","")&amp;IF(AND($S118="Sub",$G118&lt;&gt;""),"Las subactividades no llevan peso"&amp;" · ","")&amp;IF(AND($S118="Macro",ABS(SUMIFS($G$5:$G$1000,$P$5:$P$1000,$P118,$S$5:$S$1000,"Macro")-1)&gt;0.0001),"Pesos del mes suman "&amp;TEXT(SUMIFS($G$5:$G$1000,$P$5:$P$1000,$P118,$S$5:$S$1000,"Macro"),"0%")&amp;" · ","")&amp;IF(AND(N($T118)&gt;0,COUNT($H118:$K118)&gt;0),"Con subactividades: deje vacías las semanas (se calculan solas)"&amp;" · ","")&amp;IF((COUNTIF($H118:$K118,"&gt;1")+COUNTIF($H118:$K118,"&lt;0")+COUNTA($H118:$K118)-COUNT($H118:$K118))&gt;0,"Avance fuera de rango 0-100%"&amp;" · ","")&amp;IF(OR(AND($I118&lt;&gt;"",$I118&lt;$H118),AND($J118&lt;&gt;"",$J118&lt;MAX($H118:$I118)),AND($K118&lt;&gt;"",$K118&lt;MAX($H118:$J118))),"Avance semanal decreciente"&amp;" · ","")&amp;IF(AND(ISNUMBER($F118),$F118&lt;FechaRef,N($L118)&lt;1),"Vencida"&amp;" · ","")&amp;IF(AND(ObsObligatoria="Sí",ISNUMBER($F118),$F118&lt;FechaRef,N($L118)&lt;1,$N118=""),"Vencida sin observación"&amp;" · ",""))="","✔ OK","⚠ "&amp;LEFT(IF(AND($S118="Macro",$B118=""),"Macroactividad vacía"&amp;" · ","")&amp;IF(AND($B118&lt;&gt;"",$C118&lt;&gt;""),"Escriba la subactividad en otra fila, debajo de su macroactividad"&amp;" · ","")&amp;IF(AND($S118="Sub",N($R118)=0),"Subactividad sin macroactividad arriba"&amp;" · ","")&amp;IF($D118="","Sin responsable"&amp;" · ","")&amp;IF($E118="","Sin fecha de inicio"&amp;" · ","")&amp;IF($F118="","Sin fecha límite"&amp;" · ","")&amp;IF(OR(AND($E118&lt;&gt;"",NOT(ISNUMBER($E118))),AND($F118&lt;&gt;"",NOT(ISNUMBER($F118)))),"Fecha no válida"&amp;" · ","")&amp;IF(AND(ISNUMBER($E118),ISNUMBER($F118),$E118&gt;$F118),"Inicio posterior a fecha límite"&amp;" · ","")&amp;IF(AND($S118="Macro",$G118=""),"Peso vacío"&amp;" · ","")&amp;IF(AND($S118="Macro",$G118&lt;&gt;"",OR(NOT(ISNUMBER($G118)),$G118&lt;=0,$G118&gt;1)),"Peso fuera de rango"&amp;" · ","")&amp;IF(AND($S118="Sub",$G118&lt;&gt;""),"Las subactividades no llevan peso"&amp;" · ","")&amp;IF(AND($S118="Macro",ABS(SUMIFS($G$5:$G$1000,$P$5:$P$1000,$P118,$S$5:$S$1000,"Macro")-1)&gt;0.0001),"Pesos del mes suman "&amp;TEXT(SUMIFS($G$5:$G$1000,$P$5:$P$1000,$P118,$S$5:$S$1000,"Macro"),"0%")&amp;" · ","")&amp;IF(AND(N($T118)&gt;0,COUNT($H118:$K118)&gt;0),"Con subactividades: deje vacías las semanas (se calculan solas)"&amp;" · ","")&amp;IF((COUNTIF($H118:$K118,"&gt;1")+COUNTIF($H118:$K118,"&lt;0")+COUNTA($H118:$K118)-COUNT($H118:$K118))&gt;0,"Avance fuera de rango 0-100%"&amp;" · ","")&amp;IF(OR(AND($I118&lt;&gt;"",$I118&lt;$H118),AND($J118&lt;&gt;"",$J118&lt;MAX($H118:$I118)),AND($K118&lt;&gt;"",$K118&lt;MAX($H118:$J118))),"Avance semanal decreciente"&amp;" · ","")&amp;IF(AND(ISNUMBER($F118),$F118&lt;FechaRef,N($L118)&lt;1),"Vencida"&amp;" · ","")&amp;IF(AND(ObsObligatoria="Sí",ISNUMBER($F118),$F118&lt;FechaRef,N($L118)&lt;1,$N118=""),"Vencida sin observación"&amp;" · ",""),LEN(IF(AND($S118="Macro",$B118=""),"Macroactividad vacía"&amp;" · ","")&amp;IF(AND($B118&lt;&gt;"",$C118&lt;&gt;""),"Escriba la subactividad en otra fila, debajo de su macroactividad"&amp;" · ","")&amp;IF(AND($S118="Sub",N($R118)=0),"Subactividad sin macroactividad arriba"&amp;" · ","")&amp;IF($D118="","Sin responsable"&amp;" · ","")&amp;IF($E118="","Sin fecha de inicio"&amp;" · ","")&amp;IF($F118="","Sin fecha límite"&amp;" · ","")&amp;IF(OR(AND($E118&lt;&gt;"",NOT(ISNUMBER($E118))),AND($F118&lt;&gt;"",NOT(ISNUMBER($F118)))),"Fecha no válida"&amp;" · ","")&amp;IF(AND(ISNUMBER($E118),ISNUMBER($F118),$E118&gt;$F118),"Inicio posterior a fecha límite"&amp;" · ","")&amp;IF(AND($S118="Macro",$G118=""),"Peso vacío"&amp;" · ","")&amp;IF(AND($S118="Macro",$G118&lt;&gt;"",OR(NOT(ISNUMBER($G118)),$G118&lt;=0,$G118&gt;1)),"Peso fuera de rango"&amp;" · ","")&amp;IF(AND($S118="Sub",$G118&lt;&gt;""),"Las subactividades no llevan peso"&amp;" · ","")&amp;IF(AND($S118="Macro",ABS(SUMIFS($G$5:$G$1000,$P$5:$P$1000,$P118,$S$5:$S$1000,"Macro")-1)&gt;0.0001),"Pesos del mes suman "&amp;TEXT(SUMIFS($G$5:$G$1000,$P$5:$P$1000,$P118,$S$5:$S$1000,"Macro"),"0%")&amp;" · ","")&amp;IF(AND(N($T118)&gt;0,COUNT($H118:$K118)&gt;0),"Con subactividades: deje vacías las semanas (se calculan solas)"&amp;" · ","")&amp;IF((COUNTIF($H118:$K118,"&gt;1")+COUNTIF($H118:$K118,"&lt;0")+COUNTA($H118:$K118)-COUNT($H118:$K118))&gt;0,"Avance fuera de rango 0-100%"&amp;" · ","")&amp;IF(OR(AND($I118&lt;&gt;"",$I118&lt;$H118),AND($J118&lt;&gt;"",$J118&lt;MAX($H118:$I118)),AND($K118&lt;&gt;"",$K118&lt;MAX($H118:$J118))),"Avance semanal decreciente"&amp;" · ","")&amp;IF(AND(ISNUMBER($F118),$F118&lt;FechaRef,N($L118)&lt;1),"Vencida"&amp;" · ","")&amp;IF(AND(ObsObligatoria="Sí",ISNUMBER($F118),$F118&lt;FechaRef,N($L118)&lt;1,$N118=""),"Vencida sin observación"&amp;" · ",""))-3)))</f>
        <v/>
      </c>
      <c r="P118" s="69">
        <f>IF(NOT((COUNTA($B118:$K118)+COUNTA($N118))&gt;0),"",IF(AND($S118="Sub",N($R118)&gt;0),IF(ISNUMBER(INDEX($E$5:$E$1000,$R118-4)),DATE(YEAR(INDEX($E$5:$E$1000,$R118-4)),MONTH(INDEX($E$5:$E$1000,$R118-4)),1),IF(ISNUMBER(INDEX($F$5:$F$1000,$R118-4)),DATE(YEAR(INDEX($F$5:$F$1000,$R118-4)),MONTH(INDEX($F$5:$F$1000,$R118-4)),1),MesCiclo)),IF(ISNUMBER($E118),DATE(YEAR($E118),MONTH($E118),1),IF(ISNUMBER($F118),DATE(YEAR($F118),MONTH($F118),1),MesCiclo))))</f>
        <v/>
      </c>
      <c r="Q118" s="70">
        <f>IF(OR($P118="",$P118&lt;&gt;MesCiclo),"",COUNTIF($P$5:$P118,MesCiclo))</f>
        <v/>
      </c>
      <c r="R118" s="70">
        <f>IF($S118="","",IF($S118="Macro",ROW(),IFERROR(LOOKUP(2,1/($S$5:$S118="Macro"),ROW($S$5:$S118)),0)))</f>
        <v/>
      </c>
      <c r="S118" s="70">
        <f>IF(NOT((COUNTA($B118:$K118)+COUNTA($N118))&gt;0),"",IF($B118&lt;&gt;"","Macro",IF($C118&lt;&gt;"","Sub","Macro")))</f>
        <v/>
      </c>
      <c r="T118" s="70">
        <f>IF($S118="Macro",COUNTIFS($R$5:$R$1000,ROW(),$S$5:$S$1000,"Sub"),"")</f>
        <v/>
      </c>
      <c r="U118" s="70">
        <f>IF($S118="","",IF(ISNUMBER($H118),$H118,0))</f>
        <v/>
      </c>
      <c r="V118" s="70">
        <f>IF($S118="","",IF(ISNUMBER($I118),$I118,$U118))</f>
        <v/>
      </c>
      <c r="W118" s="70">
        <f>IF($S118="","",IF(ISNUMBER($J118),$J118,$V118))</f>
        <v/>
      </c>
      <c r="X118" s="70">
        <f>IF($S118="","",IF(ISNUMBER($K118),$K118,$W118))</f>
        <v/>
      </c>
      <c r="Y118" s="70">
        <f>IF($S118="","",IF(N($T118)&gt;0,AVERAGEIFS($U$5:$U$1000,$R$5:$R$1000,ROW(),$S$5:$S$1000,"Sub"),$U118))</f>
        <v/>
      </c>
      <c r="Z118" s="70">
        <f>IF($S118="","",IF(N($T118)&gt;0,AVERAGEIFS($V$5:$V$1000,$R$5:$R$1000,ROW(),$S$5:$S$1000,"Sub"),$V118))</f>
        <v/>
      </c>
      <c r="AA118" s="70">
        <f>IF($S118="","",IF(N($T118)&gt;0,AVERAGEIFS($W$5:$W$1000,$R$5:$R$1000,ROW(),$S$5:$S$1000,"Sub"),$W118))</f>
        <v/>
      </c>
      <c r="AB118" s="70">
        <f>IF($S118="","",IF(N($T118)&gt;0,AVERAGEIFS($X$5:$X$1000,$R$5:$R$1000,ROW(),$S$5:$S$1000,"Sub"),$X118))</f>
        <v/>
      </c>
    </row>
    <row r="119">
      <c r="A119" s="61">
        <f>IF(NOT((COUNTA($B119:$K119)+COUNTA($N119))&gt;0),"",IF($S119="Macro",COUNTIFS($S$5:$S119,"Macro",$P$5:$P119,$P119),IF(N($R119)=0,"?",COUNTIFS(INDEX($S$5:$S$1000,1):INDEX($S$5:$S$1000,$R119-4),"Macro",INDEX($P$5:$P$1000,1):INDEX($P$5:$P$1000,$R119-4),INDEX($P$5:$P$1000,$R119-4))&amp;"."&amp;COUNTIFS($R$5:$R119,$R119,$S$5:$S119,"Sub"))))</f>
        <v/>
      </c>
      <c r="B119" s="62" t="n"/>
      <c r="C119" s="63" t="n"/>
      <c r="D119" s="62" t="n"/>
      <c r="E119" s="64" t="n"/>
      <c r="F119" s="64" t="n"/>
      <c r="G119" s="65" t="n"/>
      <c r="H119" s="66" t="n"/>
      <c r="I119" s="66" t="n"/>
      <c r="J119" s="66" t="n"/>
      <c r="K119" s="66" t="n"/>
      <c r="L119" s="67">
        <f>IF(NOT((COUNTA($B119:$K119)+COUNTA($N119))&gt;0),"",IF(N($T119)&gt;0,$AB119,IFERROR(LOOKUP(2,1/(H119:K119&lt;&gt;""),H119:K119),0)))</f>
        <v/>
      </c>
      <c r="M119" s="61">
        <f>IF(L119="","",IF(L119&gt;=1,"Completado",IF(L119&gt;0,"En curso","Pendiente")))</f>
        <v/>
      </c>
      <c r="N119" s="62" t="n"/>
      <c r="O119" s="68">
        <f>IF(NOT((COUNTA($B119:$K119)+COUNTA($N119))&gt;0),"",IF((IF(AND($S119="Macro",$B119=""),"Macroactividad vacía"&amp;" · ","")&amp;IF(AND($B119&lt;&gt;"",$C119&lt;&gt;""),"Escriba la subactividad en otra fila, debajo de su macroactividad"&amp;" · ","")&amp;IF(AND($S119="Sub",N($R119)=0),"Subactividad sin macroactividad arriba"&amp;" · ","")&amp;IF($D119="","Sin responsable"&amp;" · ","")&amp;IF($E119="","Sin fecha de inicio"&amp;" · ","")&amp;IF($F119="","Sin fecha límite"&amp;" · ","")&amp;IF(OR(AND($E119&lt;&gt;"",NOT(ISNUMBER($E119))),AND($F119&lt;&gt;"",NOT(ISNUMBER($F119)))),"Fecha no válida"&amp;" · ","")&amp;IF(AND(ISNUMBER($E119),ISNUMBER($F119),$E119&gt;$F119),"Inicio posterior a fecha límite"&amp;" · ","")&amp;IF(AND($S119="Macro",$G119=""),"Peso vacío"&amp;" · ","")&amp;IF(AND($S119="Macro",$G119&lt;&gt;"",OR(NOT(ISNUMBER($G119)),$G119&lt;=0,$G119&gt;1)),"Peso fuera de rango"&amp;" · ","")&amp;IF(AND($S119="Sub",$G119&lt;&gt;""),"Las subactividades no llevan peso"&amp;" · ","")&amp;IF(AND($S119="Macro",ABS(SUMIFS($G$5:$G$1000,$P$5:$P$1000,$P119,$S$5:$S$1000,"Macro")-1)&gt;0.0001),"Pesos del mes suman "&amp;TEXT(SUMIFS($G$5:$G$1000,$P$5:$P$1000,$P119,$S$5:$S$1000,"Macro"),"0%")&amp;" · ","")&amp;IF(AND(N($T119)&gt;0,COUNT($H119:$K119)&gt;0),"Con subactividades: deje vacías las semanas (se calculan solas)"&amp;" · ","")&amp;IF((COUNTIF($H119:$K119,"&gt;1")+COUNTIF($H119:$K119,"&lt;0")+COUNTA($H119:$K119)-COUNT($H119:$K119))&gt;0,"Avance fuera de rango 0-100%"&amp;" · ","")&amp;IF(OR(AND($I119&lt;&gt;"",$I119&lt;$H119),AND($J119&lt;&gt;"",$J119&lt;MAX($H119:$I119)),AND($K119&lt;&gt;"",$K119&lt;MAX($H119:$J119))),"Avance semanal decreciente"&amp;" · ","")&amp;IF(AND(ISNUMBER($F119),$F119&lt;FechaRef,N($L119)&lt;1),"Vencida"&amp;" · ","")&amp;IF(AND(ObsObligatoria="Sí",ISNUMBER($F119),$F119&lt;FechaRef,N($L119)&lt;1,$N119=""),"Vencida sin observación"&amp;" · ",""))="","✔ OK","⚠ "&amp;LEFT(IF(AND($S119="Macro",$B119=""),"Macroactividad vacía"&amp;" · ","")&amp;IF(AND($B119&lt;&gt;"",$C119&lt;&gt;""),"Escriba la subactividad en otra fila, debajo de su macroactividad"&amp;" · ","")&amp;IF(AND($S119="Sub",N($R119)=0),"Subactividad sin macroactividad arriba"&amp;" · ","")&amp;IF($D119="","Sin responsable"&amp;" · ","")&amp;IF($E119="","Sin fecha de inicio"&amp;" · ","")&amp;IF($F119="","Sin fecha límite"&amp;" · ","")&amp;IF(OR(AND($E119&lt;&gt;"",NOT(ISNUMBER($E119))),AND($F119&lt;&gt;"",NOT(ISNUMBER($F119)))),"Fecha no válida"&amp;" · ","")&amp;IF(AND(ISNUMBER($E119),ISNUMBER($F119),$E119&gt;$F119),"Inicio posterior a fecha límite"&amp;" · ","")&amp;IF(AND($S119="Macro",$G119=""),"Peso vacío"&amp;" · ","")&amp;IF(AND($S119="Macro",$G119&lt;&gt;"",OR(NOT(ISNUMBER($G119)),$G119&lt;=0,$G119&gt;1)),"Peso fuera de rango"&amp;" · ","")&amp;IF(AND($S119="Sub",$G119&lt;&gt;""),"Las subactividades no llevan peso"&amp;" · ","")&amp;IF(AND($S119="Macro",ABS(SUMIFS($G$5:$G$1000,$P$5:$P$1000,$P119,$S$5:$S$1000,"Macro")-1)&gt;0.0001),"Pesos del mes suman "&amp;TEXT(SUMIFS($G$5:$G$1000,$P$5:$P$1000,$P119,$S$5:$S$1000,"Macro"),"0%")&amp;" · ","")&amp;IF(AND(N($T119)&gt;0,COUNT($H119:$K119)&gt;0),"Con subactividades: deje vacías las semanas (se calculan solas)"&amp;" · ","")&amp;IF((COUNTIF($H119:$K119,"&gt;1")+COUNTIF($H119:$K119,"&lt;0")+COUNTA($H119:$K119)-COUNT($H119:$K119))&gt;0,"Avance fuera de rango 0-100%"&amp;" · ","")&amp;IF(OR(AND($I119&lt;&gt;"",$I119&lt;$H119),AND($J119&lt;&gt;"",$J119&lt;MAX($H119:$I119)),AND($K119&lt;&gt;"",$K119&lt;MAX($H119:$J119))),"Avance semanal decreciente"&amp;" · ","")&amp;IF(AND(ISNUMBER($F119),$F119&lt;FechaRef,N($L119)&lt;1),"Vencida"&amp;" · ","")&amp;IF(AND(ObsObligatoria="Sí",ISNUMBER($F119),$F119&lt;FechaRef,N($L119)&lt;1,$N119=""),"Vencida sin observación"&amp;" · ",""),LEN(IF(AND($S119="Macro",$B119=""),"Macroactividad vacía"&amp;" · ","")&amp;IF(AND($B119&lt;&gt;"",$C119&lt;&gt;""),"Escriba la subactividad en otra fila, debajo de su macroactividad"&amp;" · ","")&amp;IF(AND($S119="Sub",N($R119)=0),"Subactividad sin macroactividad arriba"&amp;" · ","")&amp;IF($D119="","Sin responsable"&amp;" · ","")&amp;IF($E119="","Sin fecha de inicio"&amp;" · ","")&amp;IF($F119="","Sin fecha límite"&amp;" · ","")&amp;IF(OR(AND($E119&lt;&gt;"",NOT(ISNUMBER($E119))),AND($F119&lt;&gt;"",NOT(ISNUMBER($F119)))),"Fecha no válida"&amp;" · ","")&amp;IF(AND(ISNUMBER($E119),ISNUMBER($F119),$E119&gt;$F119),"Inicio posterior a fecha límite"&amp;" · ","")&amp;IF(AND($S119="Macro",$G119=""),"Peso vacío"&amp;" · ","")&amp;IF(AND($S119="Macro",$G119&lt;&gt;"",OR(NOT(ISNUMBER($G119)),$G119&lt;=0,$G119&gt;1)),"Peso fuera de rango"&amp;" · ","")&amp;IF(AND($S119="Sub",$G119&lt;&gt;""),"Las subactividades no llevan peso"&amp;" · ","")&amp;IF(AND($S119="Macro",ABS(SUMIFS($G$5:$G$1000,$P$5:$P$1000,$P119,$S$5:$S$1000,"Macro")-1)&gt;0.0001),"Pesos del mes suman "&amp;TEXT(SUMIFS($G$5:$G$1000,$P$5:$P$1000,$P119,$S$5:$S$1000,"Macro"),"0%")&amp;" · ","")&amp;IF(AND(N($T119)&gt;0,COUNT($H119:$K119)&gt;0),"Con subactividades: deje vacías las semanas (se calculan solas)"&amp;" · ","")&amp;IF((COUNTIF($H119:$K119,"&gt;1")+COUNTIF($H119:$K119,"&lt;0")+COUNTA($H119:$K119)-COUNT($H119:$K119))&gt;0,"Avance fuera de rango 0-100%"&amp;" · ","")&amp;IF(OR(AND($I119&lt;&gt;"",$I119&lt;$H119),AND($J119&lt;&gt;"",$J119&lt;MAX($H119:$I119)),AND($K119&lt;&gt;"",$K119&lt;MAX($H119:$J119))),"Avance semanal decreciente"&amp;" · ","")&amp;IF(AND(ISNUMBER($F119),$F119&lt;FechaRef,N($L119)&lt;1),"Vencida"&amp;" · ","")&amp;IF(AND(ObsObligatoria="Sí",ISNUMBER($F119),$F119&lt;FechaRef,N($L119)&lt;1,$N119=""),"Vencida sin observación"&amp;" · ",""))-3)))</f>
        <v/>
      </c>
      <c r="P119" s="69">
        <f>IF(NOT((COUNTA($B119:$K119)+COUNTA($N119))&gt;0),"",IF(AND($S119="Sub",N($R119)&gt;0),IF(ISNUMBER(INDEX($E$5:$E$1000,$R119-4)),DATE(YEAR(INDEX($E$5:$E$1000,$R119-4)),MONTH(INDEX($E$5:$E$1000,$R119-4)),1),IF(ISNUMBER(INDEX($F$5:$F$1000,$R119-4)),DATE(YEAR(INDEX($F$5:$F$1000,$R119-4)),MONTH(INDEX($F$5:$F$1000,$R119-4)),1),MesCiclo)),IF(ISNUMBER($E119),DATE(YEAR($E119),MONTH($E119),1),IF(ISNUMBER($F119),DATE(YEAR($F119),MONTH($F119),1),MesCiclo))))</f>
        <v/>
      </c>
      <c r="Q119" s="70">
        <f>IF(OR($P119="",$P119&lt;&gt;MesCiclo),"",COUNTIF($P$5:$P119,MesCiclo))</f>
        <v/>
      </c>
      <c r="R119" s="70">
        <f>IF($S119="","",IF($S119="Macro",ROW(),IFERROR(LOOKUP(2,1/($S$5:$S119="Macro"),ROW($S$5:$S119)),0)))</f>
        <v/>
      </c>
      <c r="S119" s="70">
        <f>IF(NOT((COUNTA($B119:$K119)+COUNTA($N119))&gt;0),"",IF($B119&lt;&gt;"","Macro",IF($C119&lt;&gt;"","Sub","Macro")))</f>
        <v/>
      </c>
      <c r="T119" s="70">
        <f>IF($S119="Macro",COUNTIFS($R$5:$R$1000,ROW(),$S$5:$S$1000,"Sub"),"")</f>
        <v/>
      </c>
      <c r="U119" s="70">
        <f>IF($S119="","",IF(ISNUMBER($H119),$H119,0))</f>
        <v/>
      </c>
      <c r="V119" s="70">
        <f>IF($S119="","",IF(ISNUMBER($I119),$I119,$U119))</f>
        <v/>
      </c>
      <c r="W119" s="70">
        <f>IF($S119="","",IF(ISNUMBER($J119),$J119,$V119))</f>
        <v/>
      </c>
      <c r="X119" s="70">
        <f>IF($S119="","",IF(ISNUMBER($K119),$K119,$W119))</f>
        <v/>
      </c>
      <c r="Y119" s="70">
        <f>IF($S119="","",IF(N($T119)&gt;0,AVERAGEIFS($U$5:$U$1000,$R$5:$R$1000,ROW(),$S$5:$S$1000,"Sub"),$U119))</f>
        <v/>
      </c>
      <c r="Z119" s="70">
        <f>IF($S119="","",IF(N($T119)&gt;0,AVERAGEIFS($V$5:$V$1000,$R$5:$R$1000,ROW(),$S$5:$S$1000,"Sub"),$V119))</f>
        <v/>
      </c>
      <c r="AA119" s="70">
        <f>IF($S119="","",IF(N($T119)&gt;0,AVERAGEIFS($W$5:$W$1000,$R$5:$R$1000,ROW(),$S$5:$S$1000,"Sub"),$W119))</f>
        <v/>
      </c>
      <c r="AB119" s="70">
        <f>IF($S119="","",IF(N($T119)&gt;0,AVERAGEIFS($X$5:$X$1000,$R$5:$R$1000,ROW(),$S$5:$S$1000,"Sub"),$X119))</f>
        <v/>
      </c>
    </row>
    <row r="120">
      <c r="A120" s="61">
        <f>IF(NOT((COUNTA($B120:$K120)+COUNTA($N120))&gt;0),"",IF($S120="Macro",COUNTIFS($S$5:$S120,"Macro",$P$5:$P120,$P120),IF(N($R120)=0,"?",COUNTIFS(INDEX($S$5:$S$1000,1):INDEX($S$5:$S$1000,$R120-4),"Macro",INDEX($P$5:$P$1000,1):INDEX($P$5:$P$1000,$R120-4),INDEX($P$5:$P$1000,$R120-4))&amp;"."&amp;COUNTIFS($R$5:$R120,$R120,$S$5:$S120,"Sub"))))</f>
        <v/>
      </c>
      <c r="B120" s="62" t="n"/>
      <c r="C120" s="63" t="n"/>
      <c r="D120" s="62" t="n"/>
      <c r="E120" s="64" t="n"/>
      <c r="F120" s="64" t="n"/>
      <c r="G120" s="65" t="n"/>
      <c r="H120" s="66" t="n"/>
      <c r="I120" s="66" t="n"/>
      <c r="J120" s="66" t="n"/>
      <c r="K120" s="66" t="n"/>
      <c r="L120" s="67">
        <f>IF(NOT((COUNTA($B120:$K120)+COUNTA($N120))&gt;0),"",IF(N($T120)&gt;0,$AB120,IFERROR(LOOKUP(2,1/(H120:K120&lt;&gt;""),H120:K120),0)))</f>
        <v/>
      </c>
      <c r="M120" s="61">
        <f>IF(L120="","",IF(L120&gt;=1,"Completado",IF(L120&gt;0,"En curso","Pendiente")))</f>
        <v/>
      </c>
      <c r="N120" s="62" t="n"/>
      <c r="O120" s="68">
        <f>IF(NOT((COUNTA($B120:$K120)+COUNTA($N120))&gt;0),"",IF((IF(AND($S120="Macro",$B120=""),"Macroactividad vacía"&amp;" · ","")&amp;IF(AND($B120&lt;&gt;"",$C120&lt;&gt;""),"Escriba la subactividad en otra fila, debajo de su macroactividad"&amp;" · ","")&amp;IF(AND($S120="Sub",N($R120)=0),"Subactividad sin macroactividad arriba"&amp;" · ","")&amp;IF($D120="","Sin responsable"&amp;" · ","")&amp;IF($E120="","Sin fecha de inicio"&amp;" · ","")&amp;IF($F120="","Sin fecha límite"&amp;" · ","")&amp;IF(OR(AND($E120&lt;&gt;"",NOT(ISNUMBER($E120))),AND($F120&lt;&gt;"",NOT(ISNUMBER($F120)))),"Fecha no válida"&amp;" · ","")&amp;IF(AND(ISNUMBER($E120),ISNUMBER($F120),$E120&gt;$F120),"Inicio posterior a fecha límite"&amp;" · ","")&amp;IF(AND($S120="Macro",$G120=""),"Peso vacío"&amp;" · ","")&amp;IF(AND($S120="Macro",$G120&lt;&gt;"",OR(NOT(ISNUMBER($G120)),$G120&lt;=0,$G120&gt;1)),"Peso fuera de rango"&amp;" · ","")&amp;IF(AND($S120="Sub",$G120&lt;&gt;""),"Las subactividades no llevan peso"&amp;" · ","")&amp;IF(AND($S120="Macro",ABS(SUMIFS($G$5:$G$1000,$P$5:$P$1000,$P120,$S$5:$S$1000,"Macro")-1)&gt;0.0001),"Pesos del mes suman "&amp;TEXT(SUMIFS($G$5:$G$1000,$P$5:$P$1000,$P120,$S$5:$S$1000,"Macro"),"0%")&amp;" · ","")&amp;IF(AND(N($T120)&gt;0,COUNT($H120:$K120)&gt;0),"Con subactividades: deje vacías las semanas (se calculan solas)"&amp;" · ","")&amp;IF((COUNTIF($H120:$K120,"&gt;1")+COUNTIF($H120:$K120,"&lt;0")+COUNTA($H120:$K120)-COUNT($H120:$K120))&gt;0,"Avance fuera de rango 0-100%"&amp;" · ","")&amp;IF(OR(AND($I120&lt;&gt;"",$I120&lt;$H120),AND($J120&lt;&gt;"",$J120&lt;MAX($H120:$I120)),AND($K120&lt;&gt;"",$K120&lt;MAX($H120:$J120))),"Avance semanal decreciente"&amp;" · ","")&amp;IF(AND(ISNUMBER($F120),$F120&lt;FechaRef,N($L120)&lt;1),"Vencida"&amp;" · ","")&amp;IF(AND(ObsObligatoria="Sí",ISNUMBER($F120),$F120&lt;FechaRef,N($L120)&lt;1,$N120=""),"Vencida sin observación"&amp;" · ",""))="","✔ OK","⚠ "&amp;LEFT(IF(AND($S120="Macro",$B120=""),"Macroactividad vacía"&amp;" · ","")&amp;IF(AND($B120&lt;&gt;"",$C120&lt;&gt;""),"Escriba la subactividad en otra fila, debajo de su macroactividad"&amp;" · ","")&amp;IF(AND($S120="Sub",N($R120)=0),"Subactividad sin macroactividad arriba"&amp;" · ","")&amp;IF($D120="","Sin responsable"&amp;" · ","")&amp;IF($E120="","Sin fecha de inicio"&amp;" · ","")&amp;IF($F120="","Sin fecha límite"&amp;" · ","")&amp;IF(OR(AND($E120&lt;&gt;"",NOT(ISNUMBER($E120))),AND($F120&lt;&gt;"",NOT(ISNUMBER($F120)))),"Fecha no válida"&amp;" · ","")&amp;IF(AND(ISNUMBER($E120),ISNUMBER($F120),$E120&gt;$F120),"Inicio posterior a fecha límite"&amp;" · ","")&amp;IF(AND($S120="Macro",$G120=""),"Peso vacío"&amp;" · ","")&amp;IF(AND($S120="Macro",$G120&lt;&gt;"",OR(NOT(ISNUMBER($G120)),$G120&lt;=0,$G120&gt;1)),"Peso fuera de rango"&amp;" · ","")&amp;IF(AND($S120="Sub",$G120&lt;&gt;""),"Las subactividades no llevan peso"&amp;" · ","")&amp;IF(AND($S120="Macro",ABS(SUMIFS($G$5:$G$1000,$P$5:$P$1000,$P120,$S$5:$S$1000,"Macro")-1)&gt;0.0001),"Pesos del mes suman "&amp;TEXT(SUMIFS($G$5:$G$1000,$P$5:$P$1000,$P120,$S$5:$S$1000,"Macro"),"0%")&amp;" · ","")&amp;IF(AND(N($T120)&gt;0,COUNT($H120:$K120)&gt;0),"Con subactividades: deje vacías las semanas (se calculan solas)"&amp;" · ","")&amp;IF((COUNTIF($H120:$K120,"&gt;1")+COUNTIF($H120:$K120,"&lt;0")+COUNTA($H120:$K120)-COUNT($H120:$K120))&gt;0,"Avance fuera de rango 0-100%"&amp;" · ","")&amp;IF(OR(AND($I120&lt;&gt;"",$I120&lt;$H120),AND($J120&lt;&gt;"",$J120&lt;MAX($H120:$I120)),AND($K120&lt;&gt;"",$K120&lt;MAX($H120:$J120))),"Avance semanal decreciente"&amp;" · ","")&amp;IF(AND(ISNUMBER($F120),$F120&lt;FechaRef,N($L120)&lt;1),"Vencida"&amp;" · ","")&amp;IF(AND(ObsObligatoria="Sí",ISNUMBER($F120),$F120&lt;FechaRef,N($L120)&lt;1,$N120=""),"Vencida sin observación"&amp;" · ",""),LEN(IF(AND($S120="Macro",$B120=""),"Macroactividad vacía"&amp;" · ","")&amp;IF(AND($B120&lt;&gt;"",$C120&lt;&gt;""),"Escriba la subactividad en otra fila, debajo de su macroactividad"&amp;" · ","")&amp;IF(AND($S120="Sub",N($R120)=0),"Subactividad sin macroactividad arriba"&amp;" · ","")&amp;IF($D120="","Sin responsable"&amp;" · ","")&amp;IF($E120="","Sin fecha de inicio"&amp;" · ","")&amp;IF($F120="","Sin fecha límite"&amp;" · ","")&amp;IF(OR(AND($E120&lt;&gt;"",NOT(ISNUMBER($E120))),AND($F120&lt;&gt;"",NOT(ISNUMBER($F120)))),"Fecha no válida"&amp;" · ","")&amp;IF(AND(ISNUMBER($E120),ISNUMBER($F120),$E120&gt;$F120),"Inicio posterior a fecha límite"&amp;" · ","")&amp;IF(AND($S120="Macro",$G120=""),"Peso vacío"&amp;" · ","")&amp;IF(AND($S120="Macro",$G120&lt;&gt;"",OR(NOT(ISNUMBER($G120)),$G120&lt;=0,$G120&gt;1)),"Peso fuera de rango"&amp;" · ","")&amp;IF(AND($S120="Sub",$G120&lt;&gt;""),"Las subactividades no llevan peso"&amp;" · ","")&amp;IF(AND($S120="Macro",ABS(SUMIFS($G$5:$G$1000,$P$5:$P$1000,$P120,$S$5:$S$1000,"Macro")-1)&gt;0.0001),"Pesos del mes suman "&amp;TEXT(SUMIFS($G$5:$G$1000,$P$5:$P$1000,$P120,$S$5:$S$1000,"Macro"),"0%")&amp;" · ","")&amp;IF(AND(N($T120)&gt;0,COUNT($H120:$K120)&gt;0),"Con subactividades: deje vacías las semanas (se calculan solas)"&amp;" · ","")&amp;IF((COUNTIF($H120:$K120,"&gt;1")+COUNTIF($H120:$K120,"&lt;0")+COUNTA($H120:$K120)-COUNT($H120:$K120))&gt;0,"Avance fuera de rango 0-100%"&amp;" · ","")&amp;IF(OR(AND($I120&lt;&gt;"",$I120&lt;$H120),AND($J120&lt;&gt;"",$J120&lt;MAX($H120:$I120)),AND($K120&lt;&gt;"",$K120&lt;MAX($H120:$J120))),"Avance semanal decreciente"&amp;" · ","")&amp;IF(AND(ISNUMBER($F120),$F120&lt;FechaRef,N($L120)&lt;1),"Vencida"&amp;" · ","")&amp;IF(AND(ObsObligatoria="Sí",ISNUMBER($F120),$F120&lt;FechaRef,N($L120)&lt;1,$N120=""),"Vencida sin observación"&amp;" · ",""))-3)))</f>
        <v/>
      </c>
      <c r="P120" s="69">
        <f>IF(NOT((COUNTA($B120:$K120)+COUNTA($N120))&gt;0),"",IF(AND($S120="Sub",N($R120)&gt;0),IF(ISNUMBER(INDEX($E$5:$E$1000,$R120-4)),DATE(YEAR(INDEX($E$5:$E$1000,$R120-4)),MONTH(INDEX($E$5:$E$1000,$R120-4)),1),IF(ISNUMBER(INDEX($F$5:$F$1000,$R120-4)),DATE(YEAR(INDEX($F$5:$F$1000,$R120-4)),MONTH(INDEX($F$5:$F$1000,$R120-4)),1),MesCiclo)),IF(ISNUMBER($E120),DATE(YEAR($E120),MONTH($E120),1),IF(ISNUMBER($F120),DATE(YEAR($F120),MONTH($F120),1),MesCiclo))))</f>
        <v/>
      </c>
      <c r="Q120" s="70">
        <f>IF(OR($P120="",$P120&lt;&gt;MesCiclo),"",COUNTIF($P$5:$P120,MesCiclo))</f>
        <v/>
      </c>
      <c r="R120" s="70">
        <f>IF($S120="","",IF($S120="Macro",ROW(),IFERROR(LOOKUP(2,1/($S$5:$S120="Macro"),ROW($S$5:$S120)),0)))</f>
        <v/>
      </c>
      <c r="S120" s="70">
        <f>IF(NOT((COUNTA($B120:$K120)+COUNTA($N120))&gt;0),"",IF($B120&lt;&gt;"","Macro",IF($C120&lt;&gt;"","Sub","Macro")))</f>
        <v/>
      </c>
      <c r="T120" s="70">
        <f>IF($S120="Macro",COUNTIFS($R$5:$R$1000,ROW(),$S$5:$S$1000,"Sub"),"")</f>
        <v/>
      </c>
      <c r="U120" s="70">
        <f>IF($S120="","",IF(ISNUMBER($H120),$H120,0))</f>
        <v/>
      </c>
      <c r="V120" s="70">
        <f>IF($S120="","",IF(ISNUMBER($I120),$I120,$U120))</f>
        <v/>
      </c>
      <c r="W120" s="70">
        <f>IF($S120="","",IF(ISNUMBER($J120),$J120,$V120))</f>
        <v/>
      </c>
      <c r="X120" s="70">
        <f>IF($S120="","",IF(ISNUMBER($K120),$K120,$W120))</f>
        <v/>
      </c>
      <c r="Y120" s="70">
        <f>IF($S120="","",IF(N($T120)&gt;0,AVERAGEIFS($U$5:$U$1000,$R$5:$R$1000,ROW(),$S$5:$S$1000,"Sub"),$U120))</f>
        <v/>
      </c>
      <c r="Z120" s="70">
        <f>IF($S120="","",IF(N($T120)&gt;0,AVERAGEIFS($V$5:$V$1000,$R$5:$R$1000,ROW(),$S$5:$S$1000,"Sub"),$V120))</f>
        <v/>
      </c>
      <c r="AA120" s="70">
        <f>IF($S120="","",IF(N($T120)&gt;0,AVERAGEIFS($W$5:$W$1000,$R$5:$R$1000,ROW(),$S$5:$S$1000,"Sub"),$W120))</f>
        <v/>
      </c>
      <c r="AB120" s="70">
        <f>IF($S120="","",IF(N($T120)&gt;0,AVERAGEIFS($X$5:$X$1000,$R$5:$R$1000,ROW(),$S$5:$S$1000,"Sub"),$X120))</f>
        <v/>
      </c>
    </row>
    <row r="121">
      <c r="A121" s="61">
        <f>IF(NOT((COUNTA($B121:$K121)+COUNTA($N121))&gt;0),"",IF($S121="Macro",COUNTIFS($S$5:$S121,"Macro",$P$5:$P121,$P121),IF(N($R121)=0,"?",COUNTIFS(INDEX($S$5:$S$1000,1):INDEX($S$5:$S$1000,$R121-4),"Macro",INDEX($P$5:$P$1000,1):INDEX($P$5:$P$1000,$R121-4),INDEX($P$5:$P$1000,$R121-4))&amp;"."&amp;COUNTIFS($R$5:$R121,$R121,$S$5:$S121,"Sub"))))</f>
        <v/>
      </c>
      <c r="B121" s="62" t="n"/>
      <c r="C121" s="63" t="n"/>
      <c r="D121" s="62" t="n"/>
      <c r="E121" s="64" t="n"/>
      <c r="F121" s="64" t="n"/>
      <c r="G121" s="65" t="n"/>
      <c r="H121" s="66" t="n"/>
      <c r="I121" s="66" t="n"/>
      <c r="J121" s="66" t="n"/>
      <c r="K121" s="66" t="n"/>
      <c r="L121" s="67">
        <f>IF(NOT((COUNTA($B121:$K121)+COUNTA($N121))&gt;0),"",IF(N($T121)&gt;0,$AB121,IFERROR(LOOKUP(2,1/(H121:K121&lt;&gt;""),H121:K121),0)))</f>
        <v/>
      </c>
      <c r="M121" s="61">
        <f>IF(L121="","",IF(L121&gt;=1,"Completado",IF(L121&gt;0,"En curso","Pendiente")))</f>
        <v/>
      </c>
      <c r="N121" s="62" t="n"/>
      <c r="O121" s="68">
        <f>IF(NOT((COUNTA($B121:$K121)+COUNTA($N121))&gt;0),"",IF((IF(AND($S121="Macro",$B121=""),"Macroactividad vacía"&amp;" · ","")&amp;IF(AND($B121&lt;&gt;"",$C121&lt;&gt;""),"Escriba la subactividad en otra fila, debajo de su macroactividad"&amp;" · ","")&amp;IF(AND($S121="Sub",N($R121)=0),"Subactividad sin macroactividad arriba"&amp;" · ","")&amp;IF($D121="","Sin responsable"&amp;" · ","")&amp;IF($E121="","Sin fecha de inicio"&amp;" · ","")&amp;IF($F121="","Sin fecha límite"&amp;" · ","")&amp;IF(OR(AND($E121&lt;&gt;"",NOT(ISNUMBER($E121))),AND($F121&lt;&gt;"",NOT(ISNUMBER($F121)))),"Fecha no válida"&amp;" · ","")&amp;IF(AND(ISNUMBER($E121),ISNUMBER($F121),$E121&gt;$F121),"Inicio posterior a fecha límite"&amp;" · ","")&amp;IF(AND($S121="Macro",$G121=""),"Peso vacío"&amp;" · ","")&amp;IF(AND($S121="Macro",$G121&lt;&gt;"",OR(NOT(ISNUMBER($G121)),$G121&lt;=0,$G121&gt;1)),"Peso fuera de rango"&amp;" · ","")&amp;IF(AND($S121="Sub",$G121&lt;&gt;""),"Las subactividades no llevan peso"&amp;" · ","")&amp;IF(AND($S121="Macro",ABS(SUMIFS($G$5:$G$1000,$P$5:$P$1000,$P121,$S$5:$S$1000,"Macro")-1)&gt;0.0001),"Pesos del mes suman "&amp;TEXT(SUMIFS($G$5:$G$1000,$P$5:$P$1000,$P121,$S$5:$S$1000,"Macro"),"0%")&amp;" · ","")&amp;IF(AND(N($T121)&gt;0,COUNT($H121:$K121)&gt;0),"Con subactividades: deje vacías las semanas (se calculan solas)"&amp;" · ","")&amp;IF((COUNTIF($H121:$K121,"&gt;1")+COUNTIF($H121:$K121,"&lt;0")+COUNTA($H121:$K121)-COUNT($H121:$K121))&gt;0,"Avance fuera de rango 0-100%"&amp;" · ","")&amp;IF(OR(AND($I121&lt;&gt;"",$I121&lt;$H121),AND($J121&lt;&gt;"",$J121&lt;MAX($H121:$I121)),AND($K121&lt;&gt;"",$K121&lt;MAX($H121:$J121))),"Avance semanal decreciente"&amp;" · ","")&amp;IF(AND(ISNUMBER($F121),$F121&lt;FechaRef,N($L121)&lt;1),"Vencida"&amp;" · ","")&amp;IF(AND(ObsObligatoria="Sí",ISNUMBER($F121),$F121&lt;FechaRef,N($L121)&lt;1,$N121=""),"Vencida sin observación"&amp;" · ",""))="","✔ OK","⚠ "&amp;LEFT(IF(AND($S121="Macro",$B121=""),"Macroactividad vacía"&amp;" · ","")&amp;IF(AND($B121&lt;&gt;"",$C121&lt;&gt;""),"Escriba la subactividad en otra fila, debajo de su macroactividad"&amp;" · ","")&amp;IF(AND($S121="Sub",N($R121)=0),"Subactividad sin macroactividad arriba"&amp;" · ","")&amp;IF($D121="","Sin responsable"&amp;" · ","")&amp;IF($E121="","Sin fecha de inicio"&amp;" · ","")&amp;IF($F121="","Sin fecha límite"&amp;" · ","")&amp;IF(OR(AND($E121&lt;&gt;"",NOT(ISNUMBER($E121))),AND($F121&lt;&gt;"",NOT(ISNUMBER($F121)))),"Fecha no válida"&amp;" · ","")&amp;IF(AND(ISNUMBER($E121),ISNUMBER($F121),$E121&gt;$F121),"Inicio posterior a fecha límite"&amp;" · ","")&amp;IF(AND($S121="Macro",$G121=""),"Peso vacío"&amp;" · ","")&amp;IF(AND($S121="Macro",$G121&lt;&gt;"",OR(NOT(ISNUMBER($G121)),$G121&lt;=0,$G121&gt;1)),"Peso fuera de rango"&amp;" · ","")&amp;IF(AND($S121="Sub",$G121&lt;&gt;""),"Las subactividades no llevan peso"&amp;" · ","")&amp;IF(AND($S121="Macro",ABS(SUMIFS($G$5:$G$1000,$P$5:$P$1000,$P121,$S$5:$S$1000,"Macro")-1)&gt;0.0001),"Pesos del mes suman "&amp;TEXT(SUMIFS($G$5:$G$1000,$P$5:$P$1000,$P121,$S$5:$S$1000,"Macro"),"0%")&amp;" · ","")&amp;IF(AND(N($T121)&gt;0,COUNT($H121:$K121)&gt;0),"Con subactividades: deje vacías las semanas (se calculan solas)"&amp;" · ","")&amp;IF((COUNTIF($H121:$K121,"&gt;1")+COUNTIF($H121:$K121,"&lt;0")+COUNTA($H121:$K121)-COUNT($H121:$K121))&gt;0,"Avance fuera de rango 0-100%"&amp;" · ","")&amp;IF(OR(AND($I121&lt;&gt;"",$I121&lt;$H121),AND($J121&lt;&gt;"",$J121&lt;MAX($H121:$I121)),AND($K121&lt;&gt;"",$K121&lt;MAX($H121:$J121))),"Avance semanal decreciente"&amp;" · ","")&amp;IF(AND(ISNUMBER($F121),$F121&lt;FechaRef,N($L121)&lt;1),"Vencida"&amp;" · ","")&amp;IF(AND(ObsObligatoria="Sí",ISNUMBER($F121),$F121&lt;FechaRef,N($L121)&lt;1,$N121=""),"Vencida sin observación"&amp;" · ",""),LEN(IF(AND($S121="Macro",$B121=""),"Macroactividad vacía"&amp;" · ","")&amp;IF(AND($B121&lt;&gt;"",$C121&lt;&gt;""),"Escriba la subactividad en otra fila, debajo de su macroactividad"&amp;" · ","")&amp;IF(AND($S121="Sub",N($R121)=0),"Subactividad sin macroactividad arriba"&amp;" · ","")&amp;IF($D121="","Sin responsable"&amp;" · ","")&amp;IF($E121="","Sin fecha de inicio"&amp;" · ","")&amp;IF($F121="","Sin fecha límite"&amp;" · ","")&amp;IF(OR(AND($E121&lt;&gt;"",NOT(ISNUMBER($E121))),AND($F121&lt;&gt;"",NOT(ISNUMBER($F121)))),"Fecha no válida"&amp;" · ","")&amp;IF(AND(ISNUMBER($E121),ISNUMBER($F121),$E121&gt;$F121),"Inicio posterior a fecha límite"&amp;" · ","")&amp;IF(AND($S121="Macro",$G121=""),"Peso vacío"&amp;" · ","")&amp;IF(AND($S121="Macro",$G121&lt;&gt;"",OR(NOT(ISNUMBER($G121)),$G121&lt;=0,$G121&gt;1)),"Peso fuera de rango"&amp;" · ","")&amp;IF(AND($S121="Sub",$G121&lt;&gt;""),"Las subactividades no llevan peso"&amp;" · ","")&amp;IF(AND($S121="Macro",ABS(SUMIFS($G$5:$G$1000,$P$5:$P$1000,$P121,$S$5:$S$1000,"Macro")-1)&gt;0.0001),"Pesos del mes suman "&amp;TEXT(SUMIFS($G$5:$G$1000,$P$5:$P$1000,$P121,$S$5:$S$1000,"Macro"),"0%")&amp;" · ","")&amp;IF(AND(N($T121)&gt;0,COUNT($H121:$K121)&gt;0),"Con subactividades: deje vacías las semanas (se calculan solas)"&amp;" · ","")&amp;IF((COUNTIF($H121:$K121,"&gt;1")+COUNTIF($H121:$K121,"&lt;0")+COUNTA($H121:$K121)-COUNT($H121:$K121))&gt;0,"Avance fuera de rango 0-100%"&amp;" · ","")&amp;IF(OR(AND($I121&lt;&gt;"",$I121&lt;$H121),AND($J121&lt;&gt;"",$J121&lt;MAX($H121:$I121)),AND($K121&lt;&gt;"",$K121&lt;MAX($H121:$J121))),"Avance semanal decreciente"&amp;" · ","")&amp;IF(AND(ISNUMBER($F121),$F121&lt;FechaRef,N($L121)&lt;1),"Vencida"&amp;" · ","")&amp;IF(AND(ObsObligatoria="Sí",ISNUMBER($F121),$F121&lt;FechaRef,N($L121)&lt;1,$N121=""),"Vencida sin observación"&amp;" · ",""))-3)))</f>
        <v/>
      </c>
      <c r="P121" s="69">
        <f>IF(NOT((COUNTA($B121:$K121)+COUNTA($N121))&gt;0),"",IF(AND($S121="Sub",N($R121)&gt;0),IF(ISNUMBER(INDEX($E$5:$E$1000,$R121-4)),DATE(YEAR(INDEX($E$5:$E$1000,$R121-4)),MONTH(INDEX($E$5:$E$1000,$R121-4)),1),IF(ISNUMBER(INDEX($F$5:$F$1000,$R121-4)),DATE(YEAR(INDEX($F$5:$F$1000,$R121-4)),MONTH(INDEX($F$5:$F$1000,$R121-4)),1),MesCiclo)),IF(ISNUMBER($E121),DATE(YEAR($E121),MONTH($E121),1),IF(ISNUMBER($F121),DATE(YEAR($F121),MONTH($F121),1),MesCiclo))))</f>
        <v/>
      </c>
      <c r="Q121" s="70">
        <f>IF(OR($P121="",$P121&lt;&gt;MesCiclo),"",COUNTIF($P$5:$P121,MesCiclo))</f>
        <v/>
      </c>
      <c r="R121" s="70">
        <f>IF($S121="","",IF($S121="Macro",ROW(),IFERROR(LOOKUP(2,1/($S$5:$S121="Macro"),ROW($S$5:$S121)),0)))</f>
        <v/>
      </c>
      <c r="S121" s="70">
        <f>IF(NOT((COUNTA($B121:$K121)+COUNTA($N121))&gt;0),"",IF($B121&lt;&gt;"","Macro",IF($C121&lt;&gt;"","Sub","Macro")))</f>
        <v/>
      </c>
      <c r="T121" s="70">
        <f>IF($S121="Macro",COUNTIFS($R$5:$R$1000,ROW(),$S$5:$S$1000,"Sub"),"")</f>
        <v/>
      </c>
      <c r="U121" s="70">
        <f>IF($S121="","",IF(ISNUMBER($H121),$H121,0))</f>
        <v/>
      </c>
      <c r="V121" s="70">
        <f>IF($S121="","",IF(ISNUMBER($I121),$I121,$U121))</f>
        <v/>
      </c>
      <c r="W121" s="70">
        <f>IF($S121="","",IF(ISNUMBER($J121),$J121,$V121))</f>
        <v/>
      </c>
      <c r="X121" s="70">
        <f>IF($S121="","",IF(ISNUMBER($K121),$K121,$W121))</f>
        <v/>
      </c>
      <c r="Y121" s="70">
        <f>IF($S121="","",IF(N($T121)&gt;0,AVERAGEIFS($U$5:$U$1000,$R$5:$R$1000,ROW(),$S$5:$S$1000,"Sub"),$U121))</f>
        <v/>
      </c>
      <c r="Z121" s="70">
        <f>IF($S121="","",IF(N($T121)&gt;0,AVERAGEIFS($V$5:$V$1000,$R$5:$R$1000,ROW(),$S$5:$S$1000,"Sub"),$V121))</f>
        <v/>
      </c>
      <c r="AA121" s="70">
        <f>IF($S121="","",IF(N($T121)&gt;0,AVERAGEIFS($W$5:$W$1000,$R$5:$R$1000,ROW(),$S$5:$S$1000,"Sub"),$W121))</f>
        <v/>
      </c>
      <c r="AB121" s="70">
        <f>IF($S121="","",IF(N($T121)&gt;0,AVERAGEIFS($X$5:$X$1000,$R$5:$R$1000,ROW(),$S$5:$S$1000,"Sub"),$X121))</f>
        <v/>
      </c>
    </row>
    <row r="122">
      <c r="A122" s="61">
        <f>IF(NOT((COUNTA($B122:$K122)+COUNTA($N122))&gt;0),"",IF($S122="Macro",COUNTIFS($S$5:$S122,"Macro",$P$5:$P122,$P122),IF(N($R122)=0,"?",COUNTIFS(INDEX($S$5:$S$1000,1):INDEX($S$5:$S$1000,$R122-4),"Macro",INDEX($P$5:$P$1000,1):INDEX($P$5:$P$1000,$R122-4),INDEX($P$5:$P$1000,$R122-4))&amp;"."&amp;COUNTIFS($R$5:$R122,$R122,$S$5:$S122,"Sub"))))</f>
        <v/>
      </c>
      <c r="B122" s="62" t="n"/>
      <c r="C122" s="63" t="n"/>
      <c r="D122" s="62" t="n"/>
      <c r="E122" s="64" t="n"/>
      <c r="F122" s="64" t="n"/>
      <c r="G122" s="65" t="n"/>
      <c r="H122" s="66" t="n"/>
      <c r="I122" s="66" t="n"/>
      <c r="J122" s="66" t="n"/>
      <c r="K122" s="66" t="n"/>
      <c r="L122" s="67">
        <f>IF(NOT((COUNTA($B122:$K122)+COUNTA($N122))&gt;0),"",IF(N($T122)&gt;0,$AB122,IFERROR(LOOKUP(2,1/(H122:K122&lt;&gt;""),H122:K122),0)))</f>
        <v/>
      </c>
      <c r="M122" s="61">
        <f>IF(L122="","",IF(L122&gt;=1,"Completado",IF(L122&gt;0,"En curso","Pendiente")))</f>
        <v/>
      </c>
      <c r="N122" s="62" t="n"/>
      <c r="O122" s="68">
        <f>IF(NOT((COUNTA($B122:$K122)+COUNTA($N122))&gt;0),"",IF((IF(AND($S122="Macro",$B122=""),"Macroactividad vacía"&amp;" · ","")&amp;IF(AND($B122&lt;&gt;"",$C122&lt;&gt;""),"Escriba la subactividad en otra fila, debajo de su macroactividad"&amp;" · ","")&amp;IF(AND($S122="Sub",N($R122)=0),"Subactividad sin macroactividad arriba"&amp;" · ","")&amp;IF($D122="","Sin responsable"&amp;" · ","")&amp;IF($E122="","Sin fecha de inicio"&amp;" · ","")&amp;IF($F122="","Sin fecha límite"&amp;" · ","")&amp;IF(OR(AND($E122&lt;&gt;"",NOT(ISNUMBER($E122))),AND($F122&lt;&gt;"",NOT(ISNUMBER($F122)))),"Fecha no válida"&amp;" · ","")&amp;IF(AND(ISNUMBER($E122),ISNUMBER($F122),$E122&gt;$F122),"Inicio posterior a fecha límite"&amp;" · ","")&amp;IF(AND($S122="Macro",$G122=""),"Peso vacío"&amp;" · ","")&amp;IF(AND($S122="Macro",$G122&lt;&gt;"",OR(NOT(ISNUMBER($G122)),$G122&lt;=0,$G122&gt;1)),"Peso fuera de rango"&amp;" · ","")&amp;IF(AND($S122="Sub",$G122&lt;&gt;""),"Las subactividades no llevan peso"&amp;" · ","")&amp;IF(AND($S122="Macro",ABS(SUMIFS($G$5:$G$1000,$P$5:$P$1000,$P122,$S$5:$S$1000,"Macro")-1)&gt;0.0001),"Pesos del mes suman "&amp;TEXT(SUMIFS($G$5:$G$1000,$P$5:$P$1000,$P122,$S$5:$S$1000,"Macro"),"0%")&amp;" · ","")&amp;IF(AND(N($T122)&gt;0,COUNT($H122:$K122)&gt;0),"Con subactividades: deje vacías las semanas (se calculan solas)"&amp;" · ","")&amp;IF((COUNTIF($H122:$K122,"&gt;1")+COUNTIF($H122:$K122,"&lt;0")+COUNTA($H122:$K122)-COUNT($H122:$K122))&gt;0,"Avance fuera de rango 0-100%"&amp;" · ","")&amp;IF(OR(AND($I122&lt;&gt;"",$I122&lt;$H122),AND($J122&lt;&gt;"",$J122&lt;MAX($H122:$I122)),AND($K122&lt;&gt;"",$K122&lt;MAX($H122:$J122))),"Avance semanal decreciente"&amp;" · ","")&amp;IF(AND(ISNUMBER($F122),$F122&lt;FechaRef,N($L122)&lt;1),"Vencida"&amp;" · ","")&amp;IF(AND(ObsObligatoria="Sí",ISNUMBER($F122),$F122&lt;FechaRef,N($L122)&lt;1,$N122=""),"Vencida sin observación"&amp;" · ",""))="","✔ OK","⚠ "&amp;LEFT(IF(AND($S122="Macro",$B122=""),"Macroactividad vacía"&amp;" · ","")&amp;IF(AND($B122&lt;&gt;"",$C122&lt;&gt;""),"Escriba la subactividad en otra fila, debajo de su macroactividad"&amp;" · ","")&amp;IF(AND($S122="Sub",N($R122)=0),"Subactividad sin macroactividad arriba"&amp;" · ","")&amp;IF($D122="","Sin responsable"&amp;" · ","")&amp;IF($E122="","Sin fecha de inicio"&amp;" · ","")&amp;IF($F122="","Sin fecha límite"&amp;" · ","")&amp;IF(OR(AND($E122&lt;&gt;"",NOT(ISNUMBER($E122))),AND($F122&lt;&gt;"",NOT(ISNUMBER($F122)))),"Fecha no válida"&amp;" · ","")&amp;IF(AND(ISNUMBER($E122),ISNUMBER($F122),$E122&gt;$F122),"Inicio posterior a fecha límite"&amp;" · ","")&amp;IF(AND($S122="Macro",$G122=""),"Peso vacío"&amp;" · ","")&amp;IF(AND($S122="Macro",$G122&lt;&gt;"",OR(NOT(ISNUMBER($G122)),$G122&lt;=0,$G122&gt;1)),"Peso fuera de rango"&amp;" · ","")&amp;IF(AND($S122="Sub",$G122&lt;&gt;""),"Las subactividades no llevan peso"&amp;" · ","")&amp;IF(AND($S122="Macro",ABS(SUMIFS($G$5:$G$1000,$P$5:$P$1000,$P122,$S$5:$S$1000,"Macro")-1)&gt;0.0001),"Pesos del mes suman "&amp;TEXT(SUMIFS($G$5:$G$1000,$P$5:$P$1000,$P122,$S$5:$S$1000,"Macro"),"0%")&amp;" · ","")&amp;IF(AND(N($T122)&gt;0,COUNT($H122:$K122)&gt;0),"Con subactividades: deje vacías las semanas (se calculan solas)"&amp;" · ","")&amp;IF((COUNTIF($H122:$K122,"&gt;1")+COUNTIF($H122:$K122,"&lt;0")+COUNTA($H122:$K122)-COUNT($H122:$K122))&gt;0,"Avance fuera de rango 0-100%"&amp;" · ","")&amp;IF(OR(AND($I122&lt;&gt;"",$I122&lt;$H122),AND($J122&lt;&gt;"",$J122&lt;MAX($H122:$I122)),AND($K122&lt;&gt;"",$K122&lt;MAX($H122:$J122))),"Avance semanal decreciente"&amp;" · ","")&amp;IF(AND(ISNUMBER($F122),$F122&lt;FechaRef,N($L122)&lt;1),"Vencida"&amp;" · ","")&amp;IF(AND(ObsObligatoria="Sí",ISNUMBER($F122),$F122&lt;FechaRef,N($L122)&lt;1,$N122=""),"Vencida sin observación"&amp;" · ",""),LEN(IF(AND($S122="Macro",$B122=""),"Macroactividad vacía"&amp;" · ","")&amp;IF(AND($B122&lt;&gt;"",$C122&lt;&gt;""),"Escriba la subactividad en otra fila, debajo de su macroactividad"&amp;" · ","")&amp;IF(AND($S122="Sub",N($R122)=0),"Subactividad sin macroactividad arriba"&amp;" · ","")&amp;IF($D122="","Sin responsable"&amp;" · ","")&amp;IF($E122="","Sin fecha de inicio"&amp;" · ","")&amp;IF($F122="","Sin fecha límite"&amp;" · ","")&amp;IF(OR(AND($E122&lt;&gt;"",NOT(ISNUMBER($E122))),AND($F122&lt;&gt;"",NOT(ISNUMBER($F122)))),"Fecha no válida"&amp;" · ","")&amp;IF(AND(ISNUMBER($E122),ISNUMBER($F122),$E122&gt;$F122),"Inicio posterior a fecha límite"&amp;" · ","")&amp;IF(AND($S122="Macro",$G122=""),"Peso vacío"&amp;" · ","")&amp;IF(AND($S122="Macro",$G122&lt;&gt;"",OR(NOT(ISNUMBER($G122)),$G122&lt;=0,$G122&gt;1)),"Peso fuera de rango"&amp;" · ","")&amp;IF(AND($S122="Sub",$G122&lt;&gt;""),"Las subactividades no llevan peso"&amp;" · ","")&amp;IF(AND($S122="Macro",ABS(SUMIFS($G$5:$G$1000,$P$5:$P$1000,$P122,$S$5:$S$1000,"Macro")-1)&gt;0.0001),"Pesos del mes suman "&amp;TEXT(SUMIFS($G$5:$G$1000,$P$5:$P$1000,$P122,$S$5:$S$1000,"Macro"),"0%")&amp;" · ","")&amp;IF(AND(N($T122)&gt;0,COUNT($H122:$K122)&gt;0),"Con subactividades: deje vacías las semanas (se calculan solas)"&amp;" · ","")&amp;IF((COUNTIF($H122:$K122,"&gt;1")+COUNTIF($H122:$K122,"&lt;0")+COUNTA($H122:$K122)-COUNT($H122:$K122))&gt;0,"Avance fuera de rango 0-100%"&amp;" · ","")&amp;IF(OR(AND($I122&lt;&gt;"",$I122&lt;$H122),AND($J122&lt;&gt;"",$J122&lt;MAX($H122:$I122)),AND($K122&lt;&gt;"",$K122&lt;MAX($H122:$J122))),"Avance semanal decreciente"&amp;" · ","")&amp;IF(AND(ISNUMBER($F122),$F122&lt;FechaRef,N($L122)&lt;1),"Vencida"&amp;" · ","")&amp;IF(AND(ObsObligatoria="Sí",ISNUMBER($F122),$F122&lt;FechaRef,N($L122)&lt;1,$N122=""),"Vencida sin observación"&amp;" · ",""))-3)))</f>
        <v/>
      </c>
      <c r="P122" s="69">
        <f>IF(NOT((COUNTA($B122:$K122)+COUNTA($N122))&gt;0),"",IF(AND($S122="Sub",N($R122)&gt;0),IF(ISNUMBER(INDEX($E$5:$E$1000,$R122-4)),DATE(YEAR(INDEX($E$5:$E$1000,$R122-4)),MONTH(INDEX($E$5:$E$1000,$R122-4)),1),IF(ISNUMBER(INDEX($F$5:$F$1000,$R122-4)),DATE(YEAR(INDEX($F$5:$F$1000,$R122-4)),MONTH(INDEX($F$5:$F$1000,$R122-4)),1),MesCiclo)),IF(ISNUMBER($E122),DATE(YEAR($E122),MONTH($E122),1),IF(ISNUMBER($F122),DATE(YEAR($F122),MONTH($F122),1),MesCiclo))))</f>
        <v/>
      </c>
      <c r="Q122" s="70">
        <f>IF(OR($P122="",$P122&lt;&gt;MesCiclo),"",COUNTIF($P$5:$P122,MesCiclo))</f>
        <v/>
      </c>
      <c r="R122" s="70">
        <f>IF($S122="","",IF($S122="Macro",ROW(),IFERROR(LOOKUP(2,1/($S$5:$S122="Macro"),ROW($S$5:$S122)),0)))</f>
        <v/>
      </c>
      <c r="S122" s="70">
        <f>IF(NOT((COUNTA($B122:$K122)+COUNTA($N122))&gt;0),"",IF($B122&lt;&gt;"","Macro",IF($C122&lt;&gt;"","Sub","Macro")))</f>
        <v/>
      </c>
      <c r="T122" s="70">
        <f>IF($S122="Macro",COUNTIFS($R$5:$R$1000,ROW(),$S$5:$S$1000,"Sub"),"")</f>
        <v/>
      </c>
      <c r="U122" s="70">
        <f>IF($S122="","",IF(ISNUMBER($H122),$H122,0))</f>
        <v/>
      </c>
      <c r="V122" s="70">
        <f>IF($S122="","",IF(ISNUMBER($I122),$I122,$U122))</f>
        <v/>
      </c>
      <c r="W122" s="70">
        <f>IF($S122="","",IF(ISNUMBER($J122),$J122,$V122))</f>
        <v/>
      </c>
      <c r="X122" s="70">
        <f>IF($S122="","",IF(ISNUMBER($K122),$K122,$W122))</f>
        <v/>
      </c>
      <c r="Y122" s="70">
        <f>IF($S122="","",IF(N($T122)&gt;0,AVERAGEIFS($U$5:$U$1000,$R$5:$R$1000,ROW(),$S$5:$S$1000,"Sub"),$U122))</f>
        <v/>
      </c>
      <c r="Z122" s="70">
        <f>IF($S122="","",IF(N($T122)&gt;0,AVERAGEIFS($V$5:$V$1000,$R$5:$R$1000,ROW(),$S$5:$S$1000,"Sub"),$V122))</f>
        <v/>
      </c>
      <c r="AA122" s="70">
        <f>IF($S122="","",IF(N($T122)&gt;0,AVERAGEIFS($W$5:$W$1000,$R$5:$R$1000,ROW(),$S$5:$S$1000,"Sub"),$W122))</f>
        <v/>
      </c>
      <c r="AB122" s="70">
        <f>IF($S122="","",IF(N($T122)&gt;0,AVERAGEIFS($X$5:$X$1000,$R$5:$R$1000,ROW(),$S$5:$S$1000,"Sub"),$X122))</f>
        <v/>
      </c>
    </row>
    <row r="123">
      <c r="A123" s="61">
        <f>IF(NOT((COUNTA($B123:$K123)+COUNTA($N123))&gt;0),"",IF($S123="Macro",COUNTIFS($S$5:$S123,"Macro",$P$5:$P123,$P123),IF(N($R123)=0,"?",COUNTIFS(INDEX($S$5:$S$1000,1):INDEX($S$5:$S$1000,$R123-4),"Macro",INDEX($P$5:$P$1000,1):INDEX($P$5:$P$1000,$R123-4),INDEX($P$5:$P$1000,$R123-4))&amp;"."&amp;COUNTIFS($R$5:$R123,$R123,$S$5:$S123,"Sub"))))</f>
        <v/>
      </c>
      <c r="B123" s="62" t="n"/>
      <c r="C123" s="63" t="n"/>
      <c r="D123" s="62" t="n"/>
      <c r="E123" s="64" t="n"/>
      <c r="F123" s="64" t="n"/>
      <c r="G123" s="65" t="n"/>
      <c r="H123" s="66" t="n"/>
      <c r="I123" s="66" t="n"/>
      <c r="J123" s="66" t="n"/>
      <c r="K123" s="66" t="n"/>
      <c r="L123" s="67">
        <f>IF(NOT((COUNTA($B123:$K123)+COUNTA($N123))&gt;0),"",IF(N($T123)&gt;0,$AB123,IFERROR(LOOKUP(2,1/(H123:K123&lt;&gt;""),H123:K123),0)))</f>
        <v/>
      </c>
      <c r="M123" s="61">
        <f>IF(L123="","",IF(L123&gt;=1,"Completado",IF(L123&gt;0,"En curso","Pendiente")))</f>
        <v/>
      </c>
      <c r="N123" s="62" t="n"/>
      <c r="O123" s="68">
        <f>IF(NOT((COUNTA($B123:$K123)+COUNTA($N123))&gt;0),"",IF((IF(AND($S123="Macro",$B123=""),"Macroactividad vacía"&amp;" · ","")&amp;IF(AND($B123&lt;&gt;"",$C123&lt;&gt;""),"Escriba la subactividad en otra fila, debajo de su macroactividad"&amp;" · ","")&amp;IF(AND($S123="Sub",N($R123)=0),"Subactividad sin macroactividad arriba"&amp;" · ","")&amp;IF($D123="","Sin responsable"&amp;" · ","")&amp;IF($E123="","Sin fecha de inicio"&amp;" · ","")&amp;IF($F123="","Sin fecha límite"&amp;" · ","")&amp;IF(OR(AND($E123&lt;&gt;"",NOT(ISNUMBER($E123))),AND($F123&lt;&gt;"",NOT(ISNUMBER($F123)))),"Fecha no válida"&amp;" · ","")&amp;IF(AND(ISNUMBER($E123),ISNUMBER($F123),$E123&gt;$F123),"Inicio posterior a fecha límite"&amp;" · ","")&amp;IF(AND($S123="Macro",$G123=""),"Peso vacío"&amp;" · ","")&amp;IF(AND($S123="Macro",$G123&lt;&gt;"",OR(NOT(ISNUMBER($G123)),$G123&lt;=0,$G123&gt;1)),"Peso fuera de rango"&amp;" · ","")&amp;IF(AND($S123="Sub",$G123&lt;&gt;""),"Las subactividades no llevan peso"&amp;" · ","")&amp;IF(AND($S123="Macro",ABS(SUMIFS($G$5:$G$1000,$P$5:$P$1000,$P123,$S$5:$S$1000,"Macro")-1)&gt;0.0001),"Pesos del mes suman "&amp;TEXT(SUMIFS($G$5:$G$1000,$P$5:$P$1000,$P123,$S$5:$S$1000,"Macro"),"0%")&amp;" · ","")&amp;IF(AND(N($T123)&gt;0,COUNT($H123:$K123)&gt;0),"Con subactividades: deje vacías las semanas (se calculan solas)"&amp;" · ","")&amp;IF((COUNTIF($H123:$K123,"&gt;1")+COUNTIF($H123:$K123,"&lt;0")+COUNTA($H123:$K123)-COUNT($H123:$K123))&gt;0,"Avance fuera de rango 0-100%"&amp;" · ","")&amp;IF(OR(AND($I123&lt;&gt;"",$I123&lt;$H123),AND($J123&lt;&gt;"",$J123&lt;MAX($H123:$I123)),AND($K123&lt;&gt;"",$K123&lt;MAX($H123:$J123))),"Avance semanal decreciente"&amp;" · ","")&amp;IF(AND(ISNUMBER($F123),$F123&lt;FechaRef,N($L123)&lt;1),"Vencida"&amp;" · ","")&amp;IF(AND(ObsObligatoria="Sí",ISNUMBER($F123),$F123&lt;FechaRef,N($L123)&lt;1,$N123=""),"Vencida sin observación"&amp;" · ",""))="","✔ OK","⚠ "&amp;LEFT(IF(AND($S123="Macro",$B123=""),"Macroactividad vacía"&amp;" · ","")&amp;IF(AND($B123&lt;&gt;"",$C123&lt;&gt;""),"Escriba la subactividad en otra fila, debajo de su macroactividad"&amp;" · ","")&amp;IF(AND($S123="Sub",N($R123)=0),"Subactividad sin macroactividad arriba"&amp;" · ","")&amp;IF($D123="","Sin responsable"&amp;" · ","")&amp;IF($E123="","Sin fecha de inicio"&amp;" · ","")&amp;IF($F123="","Sin fecha límite"&amp;" · ","")&amp;IF(OR(AND($E123&lt;&gt;"",NOT(ISNUMBER($E123))),AND($F123&lt;&gt;"",NOT(ISNUMBER($F123)))),"Fecha no válida"&amp;" · ","")&amp;IF(AND(ISNUMBER($E123),ISNUMBER($F123),$E123&gt;$F123),"Inicio posterior a fecha límite"&amp;" · ","")&amp;IF(AND($S123="Macro",$G123=""),"Peso vacío"&amp;" · ","")&amp;IF(AND($S123="Macro",$G123&lt;&gt;"",OR(NOT(ISNUMBER($G123)),$G123&lt;=0,$G123&gt;1)),"Peso fuera de rango"&amp;" · ","")&amp;IF(AND($S123="Sub",$G123&lt;&gt;""),"Las subactividades no llevan peso"&amp;" · ","")&amp;IF(AND($S123="Macro",ABS(SUMIFS($G$5:$G$1000,$P$5:$P$1000,$P123,$S$5:$S$1000,"Macro")-1)&gt;0.0001),"Pesos del mes suman "&amp;TEXT(SUMIFS($G$5:$G$1000,$P$5:$P$1000,$P123,$S$5:$S$1000,"Macro"),"0%")&amp;" · ","")&amp;IF(AND(N($T123)&gt;0,COUNT($H123:$K123)&gt;0),"Con subactividades: deje vacías las semanas (se calculan solas)"&amp;" · ","")&amp;IF((COUNTIF($H123:$K123,"&gt;1")+COUNTIF($H123:$K123,"&lt;0")+COUNTA($H123:$K123)-COUNT($H123:$K123))&gt;0,"Avance fuera de rango 0-100%"&amp;" · ","")&amp;IF(OR(AND($I123&lt;&gt;"",$I123&lt;$H123),AND($J123&lt;&gt;"",$J123&lt;MAX($H123:$I123)),AND($K123&lt;&gt;"",$K123&lt;MAX($H123:$J123))),"Avance semanal decreciente"&amp;" · ","")&amp;IF(AND(ISNUMBER($F123),$F123&lt;FechaRef,N($L123)&lt;1),"Vencida"&amp;" · ","")&amp;IF(AND(ObsObligatoria="Sí",ISNUMBER($F123),$F123&lt;FechaRef,N($L123)&lt;1,$N123=""),"Vencida sin observación"&amp;" · ",""),LEN(IF(AND($S123="Macro",$B123=""),"Macroactividad vacía"&amp;" · ","")&amp;IF(AND($B123&lt;&gt;"",$C123&lt;&gt;""),"Escriba la subactividad en otra fila, debajo de su macroactividad"&amp;" · ","")&amp;IF(AND($S123="Sub",N($R123)=0),"Subactividad sin macroactividad arriba"&amp;" · ","")&amp;IF($D123="","Sin responsable"&amp;" · ","")&amp;IF($E123="","Sin fecha de inicio"&amp;" · ","")&amp;IF($F123="","Sin fecha límite"&amp;" · ","")&amp;IF(OR(AND($E123&lt;&gt;"",NOT(ISNUMBER($E123))),AND($F123&lt;&gt;"",NOT(ISNUMBER($F123)))),"Fecha no válida"&amp;" · ","")&amp;IF(AND(ISNUMBER($E123),ISNUMBER($F123),$E123&gt;$F123),"Inicio posterior a fecha límite"&amp;" · ","")&amp;IF(AND($S123="Macro",$G123=""),"Peso vacío"&amp;" · ","")&amp;IF(AND($S123="Macro",$G123&lt;&gt;"",OR(NOT(ISNUMBER($G123)),$G123&lt;=0,$G123&gt;1)),"Peso fuera de rango"&amp;" · ","")&amp;IF(AND($S123="Sub",$G123&lt;&gt;""),"Las subactividades no llevan peso"&amp;" · ","")&amp;IF(AND($S123="Macro",ABS(SUMIFS($G$5:$G$1000,$P$5:$P$1000,$P123,$S$5:$S$1000,"Macro")-1)&gt;0.0001),"Pesos del mes suman "&amp;TEXT(SUMIFS($G$5:$G$1000,$P$5:$P$1000,$P123,$S$5:$S$1000,"Macro"),"0%")&amp;" · ","")&amp;IF(AND(N($T123)&gt;0,COUNT($H123:$K123)&gt;0),"Con subactividades: deje vacías las semanas (se calculan solas)"&amp;" · ","")&amp;IF((COUNTIF($H123:$K123,"&gt;1")+COUNTIF($H123:$K123,"&lt;0")+COUNTA($H123:$K123)-COUNT($H123:$K123))&gt;0,"Avance fuera de rango 0-100%"&amp;" · ","")&amp;IF(OR(AND($I123&lt;&gt;"",$I123&lt;$H123),AND($J123&lt;&gt;"",$J123&lt;MAX($H123:$I123)),AND($K123&lt;&gt;"",$K123&lt;MAX($H123:$J123))),"Avance semanal decreciente"&amp;" · ","")&amp;IF(AND(ISNUMBER($F123),$F123&lt;FechaRef,N($L123)&lt;1),"Vencida"&amp;" · ","")&amp;IF(AND(ObsObligatoria="Sí",ISNUMBER($F123),$F123&lt;FechaRef,N($L123)&lt;1,$N123=""),"Vencida sin observación"&amp;" · ",""))-3)))</f>
        <v/>
      </c>
      <c r="P123" s="69">
        <f>IF(NOT((COUNTA($B123:$K123)+COUNTA($N123))&gt;0),"",IF(AND($S123="Sub",N($R123)&gt;0),IF(ISNUMBER(INDEX($E$5:$E$1000,$R123-4)),DATE(YEAR(INDEX($E$5:$E$1000,$R123-4)),MONTH(INDEX($E$5:$E$1000,$R123-4)),1),IF(ISNUMBER(INDEX($F$5:$F$1000,$R123-4)),DATE(YEAR(INDEX($F$5:$F$1000,$R123-4)),MONTH(INDEX($F$5:$F$1000,$R123-4)),1),MesCiclo)),IF(ISNUMBER($E123),DATE(YEAR($E123),MONTH($E123),1),IF(ISNUMBER($F123),DATE(YEAR($F123),MONTH($F123),1),MesCiclo))))</f>
        <v/>
      </c>
      <c r="Q123" s="70">
        <f>IF(OR($P123="",$P123&lt;&gt;MesCiclo),"",COUNTIF($P$5:$P123,MesCiclo))</f>
        <v/>
      </c>
      <c r="R123" s="70">
        <f>IF($S123="","",IF($S123="Macro",ROW(),IFERROR(LOOKUP(2,1/($S$5:$S123="Macro"),ROW($S$5:$S123)),0)))</f>
        <v/>
      </c>
      <c r="S123" s="70">
        <f>IF(NOT((COUNTA($B123:$K123)+COUNTA($N123))&gt;0),"",IF($B123&lt;&gt;"","Macro",IF($C123&lt;&gt;"","Sub","Macro")))</f>
        <v/>
      </c>
      <c r="T123" s="70">
        <f>IF($S123="Macro",COUNTIFS($R$5:$R$1000,ROW(),$S$5:$S$1000,"Sub"),"")</f>
        <v/>
      </c>
      <c r="U123" s="70">
        <f>IF($S123="","",IF(ISNUMBER($H123),$H123,0))</f>
        <v/>
      </c>
      <c r="V123" s="70">
        <f>IF($S123="","",IF(ISNUMBER($I123),$I123,$U123))</f>
        <v/>
      </c>
      <c r="W123" s="70">
        <f>IF($S123="","",IF(ISNUMBER($J123),$J123,$V123))</f>
        <v/>
      </c>
      <c r="X123" s="70">
        <f>IF($S123="","",IF(ISNUMBER($K123),$K123,$W123))</f>
        <v/>
      </c>
      <c r="Y123" s="70">
        <f>IF($S123="","",IF(N($T123)&gt;0,AVERAGEIFS($U$5:$U$1000,$R$5:$R$1000,ROW(),$S$5:$S$1000,"Sub"),$U123))</f>
        <v/>
      </c>
      <c r="Z123" s="70">
        <f>IF($S123="","",IF(N($T123)&gt;0,AVERAGEIFS($V$5:$V$1000,$R$5:$R$1000,ROW(),$S$5:$S$1000,"Sub"),$V123))</f>
        <v/>
      </c>
      <c r="AA123" s="70">
        <f>IF($S123="","",IF(N($T123)&gt;0,AVERAGEIFS($W$5:$W$1000,$R$5:$R$1000,ROW(),$S$5:$S$1000,"Sub"),$W123))</f>
        <v/>
      </c>
      <c r="AB123" s="70">
        <f>IF($S123="","",IF(N($T123)&gt;0,AVERAGEIFS($X$5:$X$1000,$R$5:$R$1000,ROW(),$S$5:$S$1000,"Sub"),$X123))</f>
        <v/>
      </c>
    </row>
    <row r="124">
      <c r="A124" s="61">
        <f>IF(NOT((COUNTA($B124:$K124)+COUNTA($N124))&gt;0),"",IF($S124="Macro",COUNTIFS($S$5:$S124,"Macro",$P$5:$P124,$P124),IF(N($R124)=0,"?",COUNTIFS(INDEX($S$5:$S$1000,1):INDEX($S$5:$S$1000,$R124-4),"Macro",INDEX($P$5:$P$1000,1):INDEX($P$5:$P$1000,$R124-4),INDEX($P$5:$P$1000,$R124-4))&amp;"."&amp;COUNTIFS($R$5:$R124,$R124,$S$5:$S124,"Sub"))))</f>
        <v/>
      </c>
      <c r="B124" s="62" t="n"/>
      <c r="C124" s="63" t="n"/>
      <c r="D124" s="62" t="n"/>
      <c r="E124" s="64" t="n"/>
      <c r="F124" s="64" t="n"/>
      <c r="G124" s="65" t="n"/>
      <c r="H124" s="66" t="n"/>
      <c r="I124" s="66" t="n"/>
      <c r="J124" s="66" t="n"/>
      <c r="K124" s="66" t="n"/>
      <c r="L124" s="67">
        <f>IF(NOT((COUNTA($B124:$K124)+COUNTA($N124))&gt;0),"",IF(N($T124)&gt;0,$AB124,IFERROR(LOOKUP(2,1/(H124:K124&lt;&gt;""),H124:K124),0)))</f>
        <v/>
      </c>
      <c r="M124" s="61">
        <f>IF(L124="","",IF(L124&gt;=1,"Completado",IF(L124&gt;0,"En curso","Pendiente")))</f>
        <v/>
      </c>
      <c r="N124" s="62" t="n"/>
      <c r="O124" s="68">
        <f>IF(NOT((COUNTA($B124:$K124)+COUNTA($N124))&gt;0),"",IF((IF(AND($S124="Macro",$B124=""),"Macroactividad vacía"&amp;" · ","")&amp;IF(AND($B124&lt;&gt;"",$C124&lt;&gt;""),"Escriba la subactividad en otra fila, debajo de su macroactividad"&amp;" · ","")&amp;IF(AND($S124="Sub",N($R124)=0),"Subactividad sin macroactividad arriba"&amp;" · ","")&amp;IF($D124="","Sin responsable"&amp;" · ","")&amp;IF($E124="","Sin fecha de inicio"&amp;" · ","")&amp;IF($F124="","Sin fecha límite"&amp;" · ","")&amp;IF(OR(AND($E124&lt;&gt;"",NOT(ISNUMBER($E124))),AND($F124&lt;&gt;"",NOT(ISNUMBER($F124)))),"Fecha no válida"&amp;" · ","")&amp;IF(AND(ISNUMBER($E124),ISNUMBER($F124),$E124&gt;$F124),"Inicio posterior a fecha límite"&amp;" · ","")&amp;IF(AND($S124="Macro",$G124=""),"Peso vacío"&amp;" · ","")&amp;IF(AND($S124="Macro",$G124&lt;&gt;"",OR(NOT(ISNUMBER($G124)),$G124&lt;=0,$G124&gt;1)),"Peso fuera de rango"&amp;" · ","")&amp;IF(AND($S124="Sub",$G124&lt;&gt;""),"Las subactividades no llevan peso"&amp;" · ","")&amp;IF(AND($S124="Macro",ABS(SUMIFS($G$5:$G$1000,$P$5:$P$1000,$P124,$S$5:$S$1000,"Macro")-1)&gt;0.0001),"Pesos del mes suman "&amp;TEXT(SUMIFS($G$5:$G$1000,$P$5:$P$1000,$P124,$S$5:$S$1000,"Macro"),"0%")&amp;" · ","")&amp;IF(AND(N($T124)&gt;0,COUNT($H124:$K124)&gt;0),"Con subactividades: deje vacías las semanas (se calculan solas)"&amp;" · ","")&amp;IF((COUNTIF($H124:$K124,"&gt;1")+COUNTIF($H124:$K124,"&lt;0")+COUNTA($H124:$K124)-COUNT($H124:$K124))&gt;0,"Avance fuera de rango 0-100%"&amp;" · ","")&amp;IF(OR(AND($I124&lt;&gt;"",$I124&lt;$H124),AND($J124&lt;&gt;"",$J124&lt;MAX($H124:$I124)),AND($K124&lt;&gt;"",$K124&lt;MAX($H124:$J124))),"Avance semanal decreciente"&amp;" · ","")&amp;IF(AND(ISNUMBER($F124),$F124&lt;FechaRef,N($L124)&lt;1),"Vencida"&amp;" · ","")&amp;IF(AND(ObsObligatoria="Sí",ISNUMBER($F124),$F124&lt;FechaRef,N($L124)&lt;1,$N124=""),"Vencida sin observación"&amp;" · ",""))="","✔ OK","⚠ "&amp;LEFT(IF(AND($S124="Macro",$B124=""),"Macroactividad vacía"&amp;" · ","")&amp;IF(AND($B124&lt;&gt;"",$C124&lt;&gt;""),"Escriba la subactividad en otra fila, debajo de su macroactividad"&amp;" · ","")&amp;IF(AND($S124="Sub",N($R124)=0),"Subactividad sin macroactividad arriba"&amp;" · ","")&amp;IF($D124="","Sin responsable"&amp;" · ","")&amp;IF($E124="","Sin fecha de inicio"&amp;" · ","")&amp;IF($F124="","Sin fecha límite"&amp;" · ","")&amp;IF(OR(AND($E124&lt;&gt;"",NOT(ISNUMBER($E124))),AND($F124&lt;&gt;"",NOT(ISNUMBER($F124)))),"Fecha no válida"&amp;" · ","")&amp;IF(AND(ISNUMBER($E124),ISNUMBER($F124),$E124&gt;$F124),"Inicio posterior a fecha límite"&amp;" · ","")&amp;IF(AND($S124="Macro",$G124=""),"Peso vacío"&amp;" · ","")&amp;IF(AND($S124="Macro",$G124&lt;&gt;"",OR(NOT(ISNUMBER($G124)),$G124&lt;=0,$G124&gt;1)),"Peso fuera de rango"&amp;" · ","")&amp;IF(AND($S124="Sub",$G124&lt;&gt;""),"Las subactividades no llevan peso"&amp;" · ","")&amp;IF(AND($S124="Macro",ABS(SUMIFS($G$5:$G$1000,$P$5:$P$1000,$P124,$S$5:$S$1000,"Macro")-1)&gt;0.0001),"Pesos del mes suman "&amp;TEXT(SUMIFS($G$5:$G$1000,$P$5:$P$1000,$P124,$S$5:$S$1000,"Macro"),"0%")&amp;" · ","")&amp;IF(AND(N($T124)&gt;0,COUNT($H124:$K124)&gt;0),"Con subactividades: deje vacías las semanas (se calculan solas)"&amp;" · ","")&amp;IF((COUNTIF($H124:$K124,"&gt;1")+COUNTIF($H124:$K124,"&lt;0")+COUNTA($H124:$K124)-COUNT($H124:$K124))&gt;0,"Avance fuera de rango 0-100%"&amp;" · ","")&amp;IF(OR(AND($I124&lt;&gt;"",$I124&lt;$H124),AND($J124&lt;&gt;"",$J124&lt;MAX($H124:$I124)),AND($K124&lt;&gt;"",$K124&lt;MAX($H124:$J124))),"Avance semanal decreciente"&amp;" · ","")&amp;IF(AND(ISNUMBER($F124),$F124&lt;FechaRef,N($L124)&lt;1),"Vencida"&amp;" · ","")&amp;IF(AND(ObsObligatoria="Sí",ISNUMBER($F124),$F124&lt;FechaRef,N($L124)&lt;1,$N124=""),"Vencida sin observación"&amp;" · ",""),LEN(IF(AND($S124="Macro",$B124=""),"Macroactividad vacía"&amp;" · ","")&amp;IF(AND($B124&lt;&gt;"",$C124&lt;&gt;""),"Escriba la subactividad en otra fila, debajo de su macroactividad"&amp;" · ","")&amp;IF(AND($S124="Sub",N($R124)=0),"Subactividad sin macroactividad arriba"&amp;" · ","")&amp;IF($D124="","Sin responsable"&amp;" · ","")&amp;IF($E124="","Sin fecha de inicio"&amp;" · ","")&amp;IF($F124="","Sin fecha límite"&amp;" · ","")&amp;IF(OR(AND($E124&lt;&gt;"",NOT(ISNUMBER($E124))),AND($F124&lt;&gt;"",NOT(ISNUMBER($F124)))),"Fecha no válida"&amp;" · ","")&amp;IF(AND(ISNUMBER($E124),ISNUMBER($F124),$E124&gt;$F124),"Inicio posterior a fecha límite"&amp;" · ","")&amp;IF(AND($S124="Macro",$G124=""),"Peso vacío"&amp;" · ","")&amp;IF(AND($S124="Macro",$G124&lt;&gt;"",OR(NOT(ISNUMBER($G124)),$G124&lt;=0,$G124&gt;1)),"Peso fuera de rango"&amp;" · ","")&amp;IF(AND($S124="Sub",$G124&lt;&gt;""),"Las subactividades no llevan peso"&amp;" · ","")&amp;IF(AND($S124="Macro",ABS(SUMIFS($G$5:$G$1000,$P$5:$P$1000,$P124,$S$5:$S$1000,"Macro")-1)&gt;0.0001),"Pesos del mes suman "&amp;TEXT(SUMIFS($G$5:$G$1000,$P$5:$P$1000,$P124,$S$5:$S$1000,"Macro"),"0%")&amp;" · ","")&amp;IF(AND(N($T124)&gt;0,COUNT($H124:$K124)&gt;0),"Con subactividades: deje vacías las semanas (se calculan solas)"&amp;" · ","")&amp;IF((COUNTIF($H124:$K124,"&gt;1")+COUNTIF($H124:$K124,"&lt;0")+COUNTA($H124:$K124)-COUNT($H124:$K124))&gt;0,"Avance fuera de rango 0-100%"&amp;" · ","")&amp;IF(OR(AND($I124&lt;&gt;"",$I124&lt;$H124),AND($J124&lt;&gt;"",$J124&lt;MAX($H124:$I124)),AND($K124&lt;&gt;"",$K124&lt;MAX($H124:$J124))),"Avance semanal decreciente"&amp;" · ","")&amp;IF(AND(ISNUMBER($F124),$F124&lt;FechaRef,N($L124)&lt;1),"Vencida"&amp;" · ","")&amp;IF(AND(ObsObligatoria="Sí",ISNUMBER($F124),$F124&lt;FechaRef,N($L124)&lt;1,$N124=""),"Vencida sin observación"&amp;" · ",""))-3)))</f>
        <v/>
      </c>
      <c r="P124" s="69">
        <f>IF(NOT((COUNTA($B124:$K124)+COUNTA($N124))&gt;0),"",IF(AND($S124="Sub",N($R124)&gt;0),IF(ISNUMBER(INDEX($E$5:$E$1000,$R124-4)),DATE(YEAR(INDEX($E$5:$E$1000,$R124-4)),MONTH(INDEX($E$5:$E$1000,$R124-4)),1),IF(ISNUMBER(INDEX($F$5:$F$1000,$R124-4)),DATE(YEAR(INDEX($F$5:$F$1000,$R124-4)),MONTH(INDEX($F$5:$F$1000,$R124-4)),1),MesCiclo)),IF(ISNUMBER($E124),DATE(YEAR($E124),MONTH($E124),1),IF(ISNUMBER($F124),DATE(YEAR($F124),MONTH($F124),1),MesCiclo))))</f>
        <v/>
      </c>
      <c r="Q124" s="70">
        <f>IF(OR($P124="",$P124&lt;&gt;MesCiclo),"",COUNTIF($P$5:$P124,MesCiclo))</f>
        <v/>
      </c>
      <c r="R124" s="70">
        <f>IF($S124="","",IF($S124="Macro",ROW(),IFERROR(LOOKUP(2,1/($S$5:$S124="Macro"),ROW($S$5:$S124)),0)))</f>
        <v/>
      </c>
      <c r="S124" s="70">
        <f>IF(NOT((COUNTA($B124:$K124)+COUNTA($N124))&gt;0),"",IF($B124&lt;&gt;"","Macro",IF($C124&lt;&gt;"","Sub","Macro")))</f>
        <v/>
      </c>
      <c r="T124" s="70">
        <f>IF($S124="Macro",COUNTIFS($R$5:$R$1000,ROW(),$S$5:$S$1000,"Sub"),"")</f>
        <v/>
      </c>
      <c r="U124" s="70">
        <f>IF($S124="","",IF(ISNUMBER($H124),$H124,0))</f>
        <v/>
      </c>
      <c r="V124" s="70">
        <f>IF($S124="","",IF(ISNUMBER($I124),$I124,$U124))</f>
        <v/>
      </c>
      <c r="W124" s="70">
        <f>IF($S124="","",IF(ISNUMBER($J124),$J124,$V124))</f>
        <v/>
      </c>
      <c r="X124" s="70">
        <f>IF($S124="","",IF(ISNUMBER($K124),$K124,$W124))</f>
        <v/>
      </c>
      <c r="Y124" s="70">
        <f>IF($S124="","",IF(N($T124)&gt;0,AVERAGEIFS($U$5:$U$1000,$R$5:$R$1000,ROW(),$S$5:$S$1000,"Sub"),$U124))</f>
        <v/>
      </c>
      <c r="Z124" s="70">
        <f>IF($S124="","",IF(N($T124)&gt;0,AVERAGEIFS($V$5:$V$1000,$R$5:$R$1000,ROW(),$S$5:$S$1000,"Sub"),$V124))</f>
        <v/>
      </c>
      <c r="AA124" s="70">
        <f>IF($S124="","",IF(N($T124)&gt;0,AVERAGEIFS($W$5:$W$1000,$R$5:$R$1000,ROW(),$S$5:$S$1000,"Sub"),$W124))</f>
        <v/>
      </c>
      <c r="AB124" s="70">
        <f>IF($S124="","",IF(N($T124)&gt;0,AVERAGEIFS($X$5:$X$1000,$R$5:$R$1000,ROW(),$S$5:$S$1000,"Sub"),$X124))</f>
        <v/>
      </c>
    </row>
    <row r="125">
      <c r="A125" s="61">
        <f>IF(NOT((COUNTA($B125:$K125)+COUNTA($N125))&gt;0),"",IF($S125="Macro",COUNTIFS($S$5:$S125,"Macro",$P$5:$P125,$P125),IF(N($R125)=0,"?",COUNTIFS(INDEX($S$5:$S$1000,1):INDEX($S$5:$S$1000,$R125-4),"Macro",INDEX($P$5:$P$1000,1):INDEX($P$5:$P$1000,$R125-4),INDEX($P$5:$P$1000,$R125-4))&amp;"."&amp;COUNTIFS($R$5:$R125,$R125,$S$5:$S125,"Sub"))))</f>
        <v/>
      </c>
      <c r="B125" s="62" t="n"/>
      <c r="C125" s="63" t="n"/>
      <c r="D125" s="62" t="n"/>
      <c r="E125" s="64" t="n"/>
      <c r="F125" s="64" t="n"/>
      <c r="G125" s="65" t="n"/>
      <c r="H125" s="66" t="n"/>
      <c r="I125" s="66" t="n"/>
      <c r="J125" s="66" t="n"/>
      <c r="K125" s="66" t="n"/>
      <c r="L125" s="67">
        <f>IF(NOT((COUNTA($B125:$K125)+COUNTA($N125))&gt;0),"",IF(N($T125)&gt;0,$AB125,IFERROR(LOOKUP(2,1/(H125:K125&lt;&gt;""),H125:K125),0)))</f>
        <v/>
      </c>
      <c r="M125" s="61">
        <f>IF(L125="","",IF(L125&gt;=1,"Completado",IF(L125&gt;0,"En curso","Pendiente")))</f>
        <v/>
      </c>
      <c r="N125" s="62" t="n"/>
      <c r="O125" s="68">
        <f>IF(NOT((COUNTA($B125:$K125)+COUNTA($N125))&gt;0),"",IF((IF(AND($S125="Macro",$B125=""),"Macroactividad vacía"&amp;" · ","")&amp;IF(AND($B125&lt;&gt;"",$C125&lt;&gt;""),"Escriba la subactividad en otra fila, debajo de su macroactividad"&amp;" · ","")&amp;IF(AND($S125="Sub",N($R125)=0),"Subactividad sin macroactividad arriba"&amp;" · ","")&amp;IF($D125="","Sin responsable"&amp;" · ","")&amp;IF($E125="","Sin fecha de inicio"&amp;" · ","")&amp;IF($F125="","Sin fecha límite"&amp;" · ","")&amp;IF(OR(AND($E125&lt;&gt;"",NOT(ISNUMBER($E125))),AND($F125&lt;&gt;"",NOT(ISNUMBER($F125)))),"Fecha no válida"&amp;" · ","")&amp;IF(AND(ISNUMBER($E125),ISNUMBER($F125),$E125&gt;$F125),"Inicio posterior a fecha límite"&amp;" · ","")&amp;IF(AND($S125="Macro",$G125=""),"Peso vacío"&amp;" · ","")&amp;IF(AND($S125="Macro",$G125&lt;&gt;"",OR(NOT(ISNUMBER($G125)),$G125&lt;=0,$G125&gt;1)),"Peso fuera de rango"&amp;" · ","")&amp;IF(AND($S125="Sub",$G125&lt;&gt;""),"Las subactividades no llevan peso"&amp;" · ","")&amp;IF(AND($S125="Macro",ABS(SUMIFS($G$5:$G$1000,$P$5:$P$1000,$P125,$S$5:$S$1000,"Macro")-1)&gt;0.0001),"Pesos del mes suman "&amp;TEXT(SUMIFS($G$5:$G$1000,$P$5:$P$1000,$P125,$S$5:$S$1000,"Macro"),"0%")&amp;" · ","")&amp;IF(AND(N($T125)&gt;0,COUNT($H125:$K125)&gt;0),"Con subactividades: deje vacías las semanas (se calculan solas)"&amp;" · ","")&amp;IF((COUNTIF($H125:$K125,"&gt;1")+COUNTIF($H125:$K125,"&lt;0")+COUNTA($H125:$K125)-COUNT($H125:$K125))&gt;0,"Avance fuera de rango 0-100%"&amp;" · ","")&amp;IF(OR(AND($I125&lt;&gt;"",$I125&lt;$H125),AND($J125&lt;&gt;"",$J125&lt;MAX($H125:$I125)),AND($K125&lt;&gt;"",$K125&lt;MAX($H125:$J125))),"Avance semanal decreciente"&amp;" · ","")&amp;IF(AND(ISNUMBER($F125),$F125&lt;FechaRef,N($L125)&lt;1),"Vencida"&amp;" · ","")&amp;IF(AND(ObsObligatoria="Sí",ISNUMBER($F125),$F125&lt;FechaRef,N($L125)&lt;1,$N125=""),"Vencida sin observación"&amp;" · ",""))="","✔ OK","⚠ "&amp;LEFT(IF(AND($S125="Macro",$B125=""),"Macroactividad vacía"&amp;" · ","")&amp;IF(AND($B125&lt;&gt;"",$C125&lt;&gt;""),"Escriba la subactividad en otra fila, debajo de su macroactividad"&amp;" · ","")&amp;IF(AND($S125="Sub",N($R125)=0),"Subactividad sin macroactividad arriba"&amp;" · ","")&amp;IF($D125="","Sin responsable"&amp;" · ","")&amp;IF($E125="","Sin fecha de inicio"&amp;" · ","")&amp;IF($F125="","Sin fecha límite"&amp;" · ","")&amp;IF(OR(AND($E125&lt;&gt;"",NOT(ISNUMBER($E125))),AND($F125&lt;&gt;"",NOT(ISNUMBER($F125)))),"Fecha no válida"&amp;" · ","")&amp;IF(AND(ISNUMBER($E125),ISNUMBER($F125),$E125&gt;$F125),"Inicio posterior a fecha límite"&amp;" · ","")&amp;IF(AND($S125="Macro",$G125=""),"Peso vacío"&amp;" · ","")&amp;IF(AND($S125="Macro",$G125&lt;&gt;"",OR(NOT(ISNUMBER($G125)),$G125&lt;=0,$G125&gt;1)),"Peso fuera de rango"&amp;" · ","")&amp;IF(AND($S125="Sub",$G125&lt;&gt;""),"Las subactividades no llevan peso"&amp;" · ","")&amp;IF(AND($S125="Macro",ABS(SUMIFS($G$5:$G$1000,$P$5:$P$1000,$P125,$S$5:$S$1000,"Macro")-1)&gt;0.0001),"Pesos del mes suman "&amp;TEXT(SUMIFS($G$5:$G$1000,$P$5:$P$1000,$P125,$S$5:$S$1000,"Macro"),"0%")&amp;" · ","")&amp;IF(AND(N($T125)&gt;0,COUNT($H125:$K125)&gt;0),"Con subactividades: deje vacías las semanas (se calculan solas)"&amp;" · ","")&amp;IF((COUNTIF($H125:$K125,"&gt;1")+COUNTIF($H125:$K125,"&lt;0")+COUNTA($H125:$K125)-COUNT($H125:$K125))&gt;0,"Avance fuera de rango 0-100%"&amp;" · ","")&amp;IF(OR(AND($I125&lt;&gt;"",$I125&lt;$H125),AND($J125&lt;&gt;"",$J125&lt;MAX($H125:$I125)),AND($K125&lt;&gt;"",$K125&lt;MAX($H125:$J125))),"Avance semanal decreciente"&amp;" · ","")&amp;IF(AND(ISNUMBER($F125),$F125&lt;FechaRef,N($L125)&lt;1),"Vencida"&amp;" · ","")&amp;IF(AND(ObsObligatoria="Sí",ISNUMBER($F125),$F125&lt;FechaRef,N($L125)&lt;1,$N125=""),"Vencida sin observación"&amp;" · ",""),LEN(IF(AND($S125="Macro",$B125=""),"Macroactividad vacía"&amp;" · ","")&amp;IF(AND($B125&lt;&gt;"",$C125&lt;&gt;""),"Escriba la subactividad en otra fila, debajo de su macroactividad"&amp;" · ","")&amp;IF(AND($S125="Sub",N($R125)=0),"Subactividad sin macroactividad arriba"&amp;" · ","")&amp;IF($D125="","Sin responsable"&amp;" · ","")&amp;IF($E125="","Sin fecha de inicio"&amp;" · ","")&amp;IF($F125="","Sin fecha límite"&amp;" · ","")&amp;IF(OR(AND($E125&lt;&gt;"",NOT(ISNUMBER($E125))),AND($F125&lt;&gt;"",NOT(ISNUMBER($F125)))),"Fecha no válida"&amp;" · ","")&amp;IF(AND(ISNUMBER($E125),ISNUMBER($F125),$E125&gt;$F125),"Inicio posterior a fecha límite"&amp;" · ","")&amp;IF(AND($S125="Macro",$G125=""),"Peso vacío"&amp;" · ","")&amp;IF(AND($S125="Macro",$G125&lt;&gt;"",OR(NOT(ISNUMBER($G125)),$G125&lt;=0,$G125&gt;1)),"Peso fuera de rango"&amp;" · ","")&amp;IF(AND($S125="Sub",$G125&lt;&gt;""),"Las subactividades no llevan peso"&amp;" · ","")&amp;IF(AND($S125="Macro",ABS(SUMIFS($G$5:$G$1000,$P$5:$P$1000,$P125,$S$5:$S$1000,"Macro")-1)&gt;0.0001),"Pesos del mes suman "&amp;TEXT(SUMIFS($G$5:$G$1000,$P$5:$P$1000,$P125,$S$5:$S$1000,"Macro"),"0%")&amp;" · ","")&amp;IF(AND(N($T125)&gt;0,COUNT($H125:$K125)&gt;0),"Con subactividades: deje vacías las semanas (se calculan solas)"&amp;" · ","")&amp;IF((COUNTIF($H125:$K125,"&gt;1")+COUNTIF($H125:$K125,"&lt;0")+COUNTA($H125:$K125)-COUNT($H125:$K125))&gt;0,"Avance fuera de rango 0-100%"&amp;" · ","")&amp;IF(OR(AND($I125&lt;&gt;"",$I125&lt;$H125),AND($J125&lt;&gt;"",$J125&lt;MAX($H125:$I125)),AND($K125&lt;&gt;"",$K125&lt;MAX($H125:$J125))),"Avance semanal decreciente"&amp;" · ","")&amp;IF(AND(ISNUMBER($F125),$F125&lt;FechaRef,N($L125)&lt;1),"Vencida"&amp;" · ","")&amp;IF(AND(ObsObligatoria="Sí",ISNUMBER($F125),$F125&lt;FechaRef,N($L125)&lt;1,$N125=""),"Vencida sin observación"&amp;" · ",""))-3)))</f>
        <v/>
      </c>
      <c r="P125" s="69">
        <f>IF(NOT((COUNTA($B125:$K125)+COUNTA($N125))&gt;0),"",IF(AND($S125="Sub",N($R125)&gt;0),IF(ISNUMBER(INDEX($E$5:$E$1000,$R125-4)),DATE(YEAR(INDEX($E$5:$E$1000,$R125-4)),MONTH(INDEX($E$5:$E$1000,$R125-4)),1),IF(ISNUMBER(INDEX($F$5:$F$1000,$R125-4)),DATE(YEAR(INDEX($F$5:$F$1000,$R125-4)),MONTH(INDEX($F$5:$F$1000,$R125-4)),1),MesCiclo)),IF(ISNUMBER($E125),DATE(YEAR($E125),MONTH($E125),1),IF(ISNUMBER($F125),DATE(YEAR($F125),MONTH($F125),1),MesCiclo))))</f>
        <v/>
      </c>
      <c r="Q125" s="70">
        <f>IF(OR($P125="",$P125&lt;&gt;MesCiclo),"",COUNTIF($P$5:$P125,MesCiclo))</f>
        <v/>
      </c>
      <c r="R125" s="70">
        <f>IF($S125="","",IF($S125="Macro",ROW(),IFERROR(LOOKUP(2,1/($S$5:$S125="Macro"),ROW($S$5:$S125)),0)))</f>
        <v/>
      </c>
      <c r="S125" s="70">
        <f>IF(NOT((COUNTA($B125:$K125)+COUNTA($N125))&gt;0),"",IF($B125&lt;&gt;"","Macro",IF($C125&lt;&gt;"","Sub","Macro")))</f>
        <v/>
      </c>
      <c r="T125" s="70">
        <f>IF($S125="Macro",COUNTIFS($R$5:$R$1000,ROW(),$S$5:$S$1000,"Sub"),"")</f>
        <v/>
      </c>
      <c r="U125" s="70">
        <f>IF($S125="","",IF(ISNUMBER($H125),$H125,0))</f>
        <v/>
      </c>
      <c r="V125" s="70">
        <f>IF($S125="","",IF(ISNUMBER($I125),$I125,$U125))</f>
        <v/>
      </c>
      <c r="W125" s="70">
        <f>IF($S125="","",IF(ISNUMBER($J125),$J125,$V125))</f>
        <v/>
      </c>
      <c r="X125" s="70">
        <f>IF($S125="","",IF(ISNUMBER($K125),$K125,$W125))</f>
        <v/>
      </c>
      <c r="Y125" s="70">
        <f>IF($S125="","",IF(N($T125)&gt;0,AVERAGEIFS($U$5:$U$1000,$R$5:$R$1000,ROW(),$S$5:$S$1000,"Sub"),$U125))</f>
        <v/>
      </c>
      <c r="Z125" s="70">
        <f>IF($S125="","",IF(N($T125)&gt;0,AVERAGEIFS($V$5:$V$1000,$R$5:$R$1000,ROW(),$S$5:$S$1000,"Sub"),$V125))</f>
        <v/>
      </c>
      <c r="AA125" s="70">
        <f>IF($S125="","",IF(N($T125)&gt;0,AVERAGEIFS($W$5:$W$1000,$R$5:$R$1000,ROW(),$S$5:$S$1000,"Sub"),$W125))</f>
        <v/>
      </c>
      <c r="AB125" s="70">
        <f>IF($S125="","",IF(N($T125)&gt;0,AVERAGEIFS($X$5:$X$1000,$R$5:$R$1000,ROW(),$S$5:$S$1000,"Sub"),$X125))</f>
        <v/>
      </c>
    </row>
    <row r="126">
      <c r="A126" s="61">
        <f>IF(NOT((COUNTA($B126:$K126)+COUNTA($N126))&gt;0),"",IF($S126="Macro",COUNTIFS($S$5:$S126,"Macro",$P$5:$P126,$P126),IF(N($R126)=0,"?",COUNTIFS(INDEX($S$5:$S$1000,1):INDEX($S$5:$S$1000,$R126-4),"Macro",INDEX($P$5:$P$1000,1):INDEX($P$5:$P$1000,$R126-4),INDEX($P$5:$P$1000,$R126-4))&amp;"."&amp;COUNTIFS($R$5:$R126,$R126,$S$5:$S126,"Sub"))))</f>
        <v/>
      </c>
      <c r="B126" s="62" t="n"/>
      <c r="C126" s="63" t="n"/>
      <c r="D126" s="62" t="n"/>
      <c r="E126" s="64" t="n"/>
      <c r="F126" s="64" t="n"/>
      <c r="G126" s="65" t="n"/>
      <c r="H126" s="66" t="n"/>
      <c r="I126" s="66" t="n"/>
      <c r="J126" s="66" t="n"/>
      <c r="K126" s="66" t="n"/>
      <c r="L126" s="67">
        <f>IF(NOT((COUNTA($B126:$K126)+COUNTA($N126))&gt;0),"",IF(N($T126)&gt;0,$AB126,IFERROR(LOOKUP(2,1/(H126:K126&lt;&gt;""),H126:K126),0)))</f>
        <v/>
      </c>
      <c r="M126" s="61">
        <f>IF(L126="","",IF(L126&gt;=1,"Completado",IF(L126&gt;0,"En curso","Pendiente")))</f>
        <v/>
      </c>
      <c r="N126" s="62" t="n"/>
      <c r="O126" s="68">
        <f>IF(NOT((COUNTA($B126:$K126)+COUNTA($N126))&gt;0),"",IF((IF(AND($S126="Macro",$B126=""),"Macroactividad vacía"&amp;" · ","")&amp;IF(AND($B126&lt;&gt;"",$C126&lt;&gt;""),"Escriba la subactividad en otra fila, debajo de su macroactividad"&amp;" · ","")&amp;IF(AND($S126="Sub",N($R126)=0),"Subactividad sin macroactividad arriba"&amp;" · ","")&amp;IF($D126="","Sin responsable"&amp;" · ","")&amp;IF($E126="","Sin fecha de inicio"&amp;" · ","")&amp;IF($F126="","Sin fecha límite"&amp;" · ","")&amp;IF(OR(AND($E126&lt;&gt;"",NOT(ISNUMBER($E126))),AND($F126&lt;&gt;"",NOT(ISNUMBER($F126)))),"Fecha no válida"&amp;" · ","")&amp;IF(AND(ISNUMBER($E126),ISNUMBER($F126),$E126&gt;$F126),"Inicio posterior a fecha límite"&amp;" · ","")&amp;IF(AND($S126="Macro",$G126=""),"Peso vacío"&amp;" · ","")&amp;IF(AND($S126="Macro",$G126&lt;&gt;"",OR(NOT(ISNUMBER($G126)),$G126&lt;=0,$G126&gt;1)),"Peso fuera de rango"&amp;" · ","")&amp;IF(AND($S126="Sub",$G126&lt;&gt;""),"Las subactividades no llevan peso"&amp;" · ","")&amp;IF(AND($S126="Macro",ABS(SUMIFS($G$5:$G$1000,$P$5:$P$1000,$P126,$S$5:$S$1000,"Macro")-1)&gt;0.0001),"Pesos del mes suman "&amp;TEXT(SUMIFS($G$5:$G$1000,$P$5:$P$1000,$P126,$S$5:$S$1000,"Macro"),"0%")&amp;" · ","")&amp;IF(AND(N($T126)&gt;0,COUNT($H126:$K126)&gt;0),"Con subactividades: deje vacías las semanas (se calculan solas)"&amp;" · ","")&amp;IF((COUNTIF($H126:$K126,"&gt;1")+COUNTIF($H126:$K126,"&lt;0")+COUNTA($H126:$K126)-COUNT($H126:$K126))&gt;0,"Avance fuera de rango 0-100%"&amp;" · ","")&amp;IF(OR(AND($I126&lt;&gt;"",$I126&lt;$H126),AND($J126&lt;&gt;"",$J126&lt;MAX($H126:$I126)),AND($K126&lt;&gt;"",$K126&lt;MAX($H126:$J126))),"Avance semanal decreciente"&amp;" · ","")&amp;IF(AND(ISNUMBER($F126),$F126&lt;FechaRef,N($L126)&lt;1),"Vencida"&amp;" · ","")&amp;IF(AND(ObsObligatoria="Sí",ISNUMBER($F126),$F126&lt;FechaRef,N($L126)&lt;1,$N126=""),"Vencida sin observación"&amp;" · ",""))="","✔ OK","⚠ "&amp;LEFT(IF(AND($S126="Macro",$B126=""),"Macroactividad vacía"&amp;" · ","")&amp;IF(AND($B126&lt;&gt;"",$C126&lt;&gt;""),"Escriba la subactividad en otra fila, debajo de su macroactividad"&amp;" · ","")&amp;IF(AND($S126="Sub",N($R126)=0),"Subactividad sin macroactividad arriba"&amp;" · ","")&amp;IF($D126="","Sin responsable"&amp;" · ","")&amp;IF($E126="","Sin fecha de inicio"&amp;" · ","")&amp;IF($F126="","Sin fecha límite"&amp;" · ","")&amp;IF(OR(AND($E126&lt;&gt;"",NOT(ISNUMBER($E126))),AND($F126&lt;&gt;"",NOT(ISNUMBER($F126)))),"Fecha no válida"&amp;" · ","")&amp;IF(AND(ISNUMBER($E126),ISNUMBER($F126),$E126&gt;$F126),"Inicio posterior a fecha límite"&amp;" · ","")&amp;IF(AND($S126="Macro",$G126=""),"Peso vacío"&amp;" · ","")&amp;IF(AND($S126="Macro",$G126&lt;&gt;"",OR(NOT(ISNUMBER($G126)),$G126&lt;=0,$G126&gt;1)),"Peso fuera de rango"&amp;" · ","")&amp;IF(AND($S126="Sub",$G126&lt;&gt;""),"Las subactividades no llevan peso"&amp;" · ","")&amp;IF(AND($S126="Macro",ABS(SUMIFS($G$5:$G$1000,$P$5:$P$1000,$P126,$S$5:$S$1000,"Macro")-1)&gt;0.0001),"Pesos del mes suman "&amp;TEXT(SUMIFS($G$5:$G$1000,$P$5:$P$1000,$P126,$S$5:$S$1000,"Macro"),"0%")&amp;" · ","")&amp;IF(AND(N($T126)&gt;0,COUNT($H126:$K126)&gt;0),"Con subactividades: deje vacías las semanas (se calculan solas)"&amp;" · ","")&amp;IF((COUNTIF($H126:$K126,"&gt;1")+COUNTIF($H126:$K126,"&lt;0")+COUNTA($H126:$K126)-COUNT($H126:$K126))&gt;0,"Avance fuera de rango 0-100%"&amp;" · ","")&amp;IF(OR(AND($I126&lt;&gt;"",$I126&lt;$H126),AND($J126&lt;&gt;"",$J126&lt;MAX($H126:$I126)),AND($K126&lt;&gt;"",$K126&lt;MAX($H126:$J126))),"Avance semanal decreciente"&amp;" · ","")&amp;IF(AND(ISNUMBER($F126),$F126&lt;FechaRef,N($L126)&lt;1),"Vencida"&amp;" · ","")&amp;IF(AND(ObsObligatoria="Sí",ISNUMBER($F126),$F126&lt;FechaRef,N($L126)&lt;1,$N126=""),"Vencida sin observación"&amp;" · ",""),LEN(IF(AND($S126="Macro",$B126=""),"Macroactividad vacía"&amp;" · ","")&amp;IF(AND($B126&lt;&gt;"",$C126&lt;&gt;""),"Escriba la subactividad en otra fila, debajo de su macroactividad"&amp;" · ","")&amp;IF(AND($S126="Sub",N($R126)=0),"Subactividad sin macroactividad arriba"&amp;" · ","")&amp;IF($D126="","Sin responsable"&amp;" · ","")&amp;IF($E126="","Sin fecha de inicio"&amp;" · ","")&amp;IF($F126="","Sin fecha límite"&amp;" · ","")&amp;IF(OR(AND($E126&lt;&gt;"",NOT(ISNUMBER($E126))),AND($F126&lt;&gt;"",NOT(ISNUMBER($F126)))),"Fecha no válida"&amp;" · ","")&amp;IF(AND(ISNUMBER($E126),ISNUMBER($F126),$E126&gt;$F126),"Inicio posterior a fecha límite"&amp;" · ","")&amp;IF(AND($S126="Macro",$G126=""),"Peso vacío"&amp;" · ","")&amp;IF(AND($S126="Macro",$G126&lt;&gt;"",OR(NOT(ISNUMBER($G126)),$G126&lt;=0,$G126&gt;1)),"Peso fuera de rango"&amp;" · ","")&amp;IF(AND($S126="Sub",$G126&lt;&gt;""),"Las subactividades no llevan peso"&amp;" · ","")&amp;IF(AND($S126="Macro",ABS(SUMIFS($G$5:$G$1000,$P$5:$P$1000,$P126,$S$5:$S$1000,"Macro")-1)&gt;0.0001),"Pesos del mes suman "&amp;TEXT(SUMIFS($G$5:$G$1000,$P$5:$P$1000,$P126,$S$5:$S$1000,"Macro"),"0%")&amp;" · ","")&amp;IF(AND(N($T126)&gt;0,COUNT($H126:$K126)&gt;0),"Con subactividades: deje vacías las semanas (se calculan solas)"&amp;" · ","")&amp;IF((COUNTIF($H126:$K126,"&gt;1")+COUNTIF($H126:$K126,"&lt;0")+COUNTA($H126:$K126)-COUNT($H126:$K126))&gt;0,"Avance fuera de rango 0-100%"&amp;" · ","")&amp;IF(OR(AND($I126&lt;&gt;"",$I126&lt;$H126),AND($J126&lt;&gt;"",$J126&lt;MAX($H126:$I126)),AND($K126&lt;&gt;"",$K126&lt;MAX($H126:$J126))),"Avance semanal decreciente"&amp;" · ","")&amp;IF(AND(ISNUMBER($F126),$F126&lt;FechaRef,N($L126)&lt;1),"Vencida"&amp;" · ","")&amp;IF(AND(ObsObligatoria="Sí",ISNUMBER($F126),$F126&lt;FechaRef,N($L126)&lt;1,$N126=""),"Vencida sin observación"&amp;" · ",""))-3)))</f>
        <v/>
      </c>
      <c r="P126" s="69">
        <f>IF(NOT((COUNTA($B126:$K126)+COUNTA($N126))&gt;0),"",IF(AND($S126="Sub",N($R126)&gt;0),IF(ISNUMBER(INDEX($E$5:$E$1000,$R126-4)),DATE(YEAR(INDEX($E$5:$E$1000,$R126-4)),MONTH(INDEX($E$5:$E$1000,$R126-4)),1),IF(ISNUMBER(INDEX($F$5:$F$1000,$R126-4)),DATE(YEAR(INDEX($F$5:$F$1000,$R126-4)),MONTH(INDEX($F$5:$F$1000,$R126-4)),1),MesCiclo)),IF(ISNUMBER($E126),DATE(YEAR($E126),MONTH($E126),1),IF(ISNUMBER($F126),DATE(YEAR($F126),MONTH($F126),1),MesCiclo))))</f>
        <v/>
      </c>
      <c r="Q126" s="70">
        <f>IF(OR($P126="",$P126&lt;&gt;MesCiclo),"",COUNTIF($P$5:$P126,MesCiclo))</f>
        <v/>
      </c>
      <c r="R126" s="70">
        <f>IF($S126="","",IF($S126="Macro",ROW(),IFERROR(LOOKUP(2,1/($S$5:$S126="Macro"),ROW($S$5:$S126)),0)))</f>
        <v/>
      </c>
      <c r="S126" s="70">
        <f>IF(NOT((COUNTA($B126:$K126)+COUNTA($N126))&gt;0),"",IF($B126&lt;&gt;"","Macro",IF($C126&lt;&gt;"","Sub","Macro")))</f>
        <v/>
      </c>
      <c r="T126" s="70">
        <f>IF($S126="Macro",COUNTIFS($R$5:$R$1000,ROW(),$S$5:$S$1000,"Sub"),"")</f>
        <v/>
      </c>
      <c r="U126" s="70">
        <f>IF($S126="","",IF(ISNUMBER($H126),$H126,0))</f>
        <v/>
      </c>
      <c r="V126" s="70">
        <f>IF($S126="","",IF(ISNUMBER($I126),$I126,$U126))</f>
        <v/>
      </c>
      <c r="W126" s="70">
        <f>IF($S126="","",IF(ISNUMBER($J126),$J126,$V126))</f>
        <v/>
      </c>
      <c r="X126" s="70">
        <f>IF($S126="","",IF(ISNUMBER($K126),$K126,$W126))</f>
        <v/>
      </c>
      <c r="Y126" s="70">
        <f>IF($S126="","",IF(N($T126)&gt;0,AVERAGEIFS($U$5:$U$1000,$R$5:$R$1000,ROW(),$S$5:$S$1000,"Sub"),$U126))</f>
        <v/>
      </c>
      <c r="Z126" s="70">
        <f>IF($S126="","",IF(N($T126)&gt;0,AVERAGEIFS($V$5:$V$1000,$R$5:$R$1000,ROW(),$S$5:$S$1000,"Sub"),$V126))</f>
        <v/>
      </c>
      <c r="AA126" s="70">
        <f>IF($S126="","",IF(N($T126)&gt;0,AVERAGEIFS($W$5:$W$1000,$R$5:$R$1000,ROW(),$S$5:$S$1000,"Sub"),$W126))</f>
        <v/>
      </c>
      <c r="AB126" s="70">
        <f>IF($S126="","",IF(N($T126)&gt;0,AVERAGEIFS($X$5:$X$1000,$R$5:$R$1000,ROW(),$S$5:$S$1000,"Sub"),$X126))</f>
        <v/>
      </c>
    </row>
    <row r="127">
      <c r="A127" s="61">
        <f>IF(NOT((COUNTA($B127:$K127)+COUNTA($N127))&gt;0),"",IF($S127="Macro",COUNTIFS($S$5:$S127,"Macro",$P$5:$P127,$P127),IF(N($R127)=0,"?",COUNTIFS(INDEX($S$5:$S$1000,1):INDEX($S$5:$S$1000,$R127-4),"Macro",INDEX($P$5:$P$1000,1):INDEX($P$5:$P$1000,$R127-4),INDEX($P$5:$P$1000,$R127-4))&amp;"."&amp;COUNTIFS($R$5:$R127,$R127,$S$5:$S127,"Sub"))))</f>
        <v/>
      </c>
      <c r="B127" s="62" t="n"/>
      <c r="C127" s="63" t="n"/>
      <c r="D127" s="62" t="n"/>
      <c r="E127" s="64" t="n"/>
      <c r="F127" s="64" t="n"/>
      <c r="G127" s="65" t="n"/>
      <c r="H127" s="66" t="n"/>
      <c r="I127" s="66" t="n"/>
      <c r="J127" s="66" t="n"/>
      <c r="K127" s="66" t="n"/>
      <c r="L127" s="67">
        <f>IF(NOT((COUNTA($B127:$K127)+COUNTA($N127))&gt;0),"",IF(N($T127)&gt;0,$AB127,IFERROR(LOOKUP(2,1/(H127:K127&lt;&gt;""),H127:K127),0)))</f>
        <v/>
      </c>
      <c r="M127" s="61">
        <f>IF(L127="","",IF(L127&gt;=1,"Completado",IF(L127&gt;0,"En curso","Pendiente")))</f>
        <v/>
      </c>
      <c r="N127" s="62" t="n"/>
      <c r="O127" s="68">
        <f>IF(NOT((COUNTA($B127:$K127)+COUNTA($N127))&gt;0),"",IF((IF(AND($S127="Macro",$B127=""),"Macroactividad vacía"&amp;" · ","")&amp;IF(AND($B127&lt;&gt;"",$C127&lt;&gt;""),"Escriba la subactividad en otra fila, debajo de su macroactividad"&amp;" · ","")&amp;IF(AND($S127="Sub",N($R127)=0),"Subactividad sin macroactividad arriba"&amp;" · ","")&amp;IF($D127="","Sin responsable"&amp;" · ","")&amp;IF($E127="","Sin fecha de inicio"&amp;" · ","")&amp;IF($F127="","Sin fecha límite"&amp;" · ","")&amp;IF(OR(AND($E127&lt;&gt;"",NOT(ISNUMBER($E127))),AND($F127&lt;&gt;"",NOT(ISNUMBER($F127)))),"Fecha no válida"&amp;" · ","")&amp;IF(AND(ISNUMBER($E127),ISNUMBER($F127),$E127&gt;$F127),"Inicio posterior a fecha límite"&amp;" · ","")&amp;IF(AND($S127="Macro",$G127=""),"Peso vacío"&amp;" · ","")&amp;IF(AND($S127="Macro",$G127&lt;&gt;"",OR(NOT(ISNUMBER($G127)),$G127&lt;=0,$G127&gt;1)),"Peso fuera de rango"&amp;" · ","")&amp;IF(AND($S127="Sub",$G127&lt;&gt;""),"Las subactividades no llevan peso"&amp;" · ","")&amp;IF(AND($S127="Macro",ABS(SUMIFS($G$5:$G$1000,$P$5:$P$1000,$P127,$S$5:$S$1000,"Macro")-1)&gt;0.0001),"Pesos del mes suman "&amp;TEXT(SUMIFS($G$5:$G$1000,$P$5:$P$1000,$P127,$S$5:$S$1000,"Macro"),"0%")&amp;" · ","")&amp;IF(AND(N($T127)&gt;0,COUNT($H127:$K127)&gt;0),"Con subactividades: deje vacías las semanas (se calculan solas)"&amp;" · ","")&amp;IF((COUNTIF($H127:$K127,"&gt;1")+COUNTIF($H127:$K127,"&lt;0")+COUNTA($H127:$K127)-COUNT($H127:$K127))&gt;0,"Avance fuera de rango 0-100%"&amp;" · ","")&amp;IF(OR(AND($I127&lt;&gt;"",$I127&lt;$H127),AND($J127&lt;&gt;"",$J127&lt;MAX($H127:$I127)),AND($K127&lt;&gt;"",$K127&lt;MAX($H127:$J127))),"Avance semanal decreciente"&amp;" · ","")&amp;IF(AND(ISNUMBER($F127),$F127&lt;FechaRef,N($L127)&lt;1),"Vencida"&amp;" · ","")&amp;IF(AND(ObsObligatoria="Sí",ISNUMBER($F127),$F127&lt;FechaRef,N($L127)&lt;1,$N127=""),"Vencida sin observación"&amp;" · ",""))="","✔ OK","⚠ "&amp;LEFT(IF(AND($S127="Macro",$B127=""),"Macroactividad vacía"&amp;" · ","")&amp;IF(AND($B127&lt;&gt;"",$C127&lt;&gt;""),"Escriba la subactividad en otra fila, debajo de su macroactividad"&amp;" · ","")&amp;IF(AND($S127="Sub",N($R127)=0),"Subactividad sin macroactividad arriba"&amp;" · ","")&amp;IF($D127="","Sin responsable"&amp;" · ","")&amp;IF($E127="","Sin fecha de inicio"&amp;" · ","")&amp;IF($F127="","Sin fecha límite"&amp;" · ","")&amp;IF(OR(AND($E127&lt;&gt;"",NOT(ISNUMBER($E127))),AND($F127&lt;&gt;"",NOT(ISNUMBER($F127)))),"Fecha no válida"&amp;" · ","")&amp;IF(AND(ISNUMBER($E127),ISNUMBER($F127),$E127&gt;$F127),"Inicio posterior a fecha límite"&amp;" · ","")&amp;IF(AND($S127="Macro",$G127=""),"Peso vacío"&amp;" · ","")&amp;IF(AND($S127="Macro",$G127&lt;&gt;"",OR(NOT(ISNUMBER($G127)),$G127&lt;=0,$G127&gt;1)),"Peso fuera de rango"&amp;" · ","")&amp;IF(AND($S127="Sub",$G127&lt;&gt;""),"Las subactividades no llevan peso"&amp;" · ","")&amp;IF(AND($S127="Macro",ABS(SUMIFS($G$5:$G$1000,$P$5:$P$1000,$P127,$S$5:$S$1000,"Macro")-1)&gt;0.0001),"Pesos del mes suman "&amp;TEXT(SUMIFS($G$5:$G$1000,$P$5:$P$1000,$P127,$S$5:$S$1000,"Macro"),"0%")&amp;" · ","")&amp;IF(AND(N($T127)&gt;0,COUNT($H127:$K127)&gt;0),"Con subactividades: deje vacías las semanas (se calculan solas)"&amp;" · ","")&amp;IF((COUNTIF($H127:$K127,"&gt;1")+COUNTIF($H127:$K127,"&lt;0")+COUNTA($H127:$K127)-COUNT($H127:$K127))&gt;0,"Avance fuera de rango 0-100%"&amp;" · ","")&amp;IF(OR(AND($I127&lt;&gt;"",$I127&lt;$H127),AND($J127&lt;&gt;"",$J127&lt;MAX($H127:$I127)),AND($K127&lt;&gt;"",$K127&lt;MAX($H127:$J127))),"Avance semanal decreciente"&amp;" · ","")&amp;IF(AND(ISNUMBER($F127),$F127&lt;FechaRef,N($L127)&lt;1),"Vencida"&amp;" · ","")&amp;IF(AND(ObsObligatoria="Sí",ISNUMBER($F127),$F127&lt;FechaRef,N($L127)&lt;1,$N127=""),"Vencida sin observación"&amp;" · ",""),LEN(IF(AND($S127="Macro",$B127=""),"Macroactividad vacía"&amp;" · ","")&amp;IF(AND($B127&lt;&gt;"",$C127&lt;&gt;""),"Escriba la subactividad en otra fila, debajo de su macroactividad"&amp;" · ","")&amp;IF(AND($S127="Sub",N($R127)=0),"Subactividad sin macroactividad arriba"&amp;" · ","")&amp;IF($D127="","Sin responsable"&amp;" · ","")&amp;IF($E127="","Sin fecha de inicio"&amp;" · ","")&amp;IF($F127="","Sin fecha límite"&amp;" · ","")&amp;IF(OR(AND($E127&lt;&gt;"",NOT(ISNUMBER($E127))),AND($F127&lt;&gt;"",NOT(ISNUMBER($F127)))),"Fecha no válida"&amp;" · ","")&amp;IF(AND(ISNUMBER($E127),ISNUMBER($F127),$E127&gt;$F127),"Inicio posterior a fecha límite"&amp;" · ","")&amp;IF(AND($S127="Macro",$G127=""),"Peso vacío"&amp;" · ","")&amp;IF(AND($S127="Macro",$G127&lt;&gt;"",OR(NOT(ISNUMBER($G127)),$G127&lt;=0,$G127&gt;1)),"Peso fuera de rango"&amp;" · ","")&amp;IF(AND($S127="Sub",$G127&lt;&gt;""),"Las subactividades no llevan peso"&amp;" · ","")&amp;IF(AND($S127="Macro",ABS(SUMIFS($G$5:$G$1000,$P$5:$P$1000,$P127,$S$5:$S$1000,"Macro")-1)&gt;0.0001),"Pesos del mes suman "&amp;TEXT(SUMIFS($G$5:$G$1000,$P$5:$P$1000,$P127,$S$5:$S$1000,"Macro"),"0%")&amp;" · ","")&amp;IF(AND(N($T127)&gt;0,COUNT($H127:$K127)&gt;0),"Con subactividades: deje vacías las semanas (se calculan solas)"&amp;" · ","")&amp;IF((COUNTIF($H127:$K127,"&gt;1")+COUNTIF($H127:$K127,"&lt;0")+COUNTA($H127:$K127)-COUNT($H127:$K127))&gt;0,"Avance fuera de rango 0-100%"&amp;" · ","")&amp;IF(OR(AND($I127&lt;&gt;"",$I127&lt;$H127),AND($J127&lt;&gt;"",$J127&lt;MAX($H127:$I127)),AND($K127&lt;&gt;"",$K127&lt;MAX($H127:$J127))),"Avance semanal decreciente"&amp;" · ","")&amp;IF(AND(ISNUMBER($F127),$F127&lt;FechaRef,N($L127)&lt;1),"Vencida"&amp;" · ","")&amp;IF(AND(ObsObligatoria="Sí",ISNUMBER($F127),$F127&lt;FechaRef,N($L127)&lt;1,$N127=""),"Vencida sin observación"&amp;" · ",""))-3)))</f>
        <v/>
      </c>
      <c r="P127" s="69">
        <f>IF(NOT((COUNTA($B127:$K127)+COUNTA($N127))&gt;0),"",IF(AND($S127="Sub",N($R127)&gt;0),IF(ISNUMBER(INDEX($E$5:$E$1000,$R127-4)),DATE(YEAR(INDEX($E$5:$E$1000,$R127-4)),MONTH(INDEX($E$5:$E$1000,$R127-4)),1),IF(ISNUMBER(INDEX($F$5:$F$1000,$R127-4)),DATE(YEAR(INDEX($F$5:$F$1000,$R127-4)),MONTH(INDEX($F$5:$F$1000,$R127-4)),1),MesCiclo)),IF(ISNUMBER($E127),DATE(YEAR($E127),MONTH($E127),1),IF(ISNUMBER($F127),DATE(YEAR($F127),MONTH($F127),1),MesCiclo))))</f>
        <v/>
      </c>
      <c r="Q127" s="70">
        <f>IF(OR($P127="",$P127&lt;&gt;MesCiclo),"",COUNTIF($P$5:$P127,MesCiclo))</f>
        <v/>
      </c>
      <c r="R127" s="70">
        <f>IF($S127="","",IF($S127="Macro",ROW(),IFERROR(LOOKUP(2,1/($S$5:$S127="Macro"),ROW($S$5:$S127)),0)))</f>
        <v/>
      </c>
      <c r="S127" s="70">
        <f>IF(NOT((COUNTA($B127:$K127)+COUNTA($N127))&gt;0),"",IF($B127&lt;&gt;"","Macro",IF($C127&lt;&gt;"","Sub","Macro")))</f>
        <v/>
      </c>
      <c r="T127" s="70">
        <f>IF($S127="Macro",COUNTIFS($R$5:$R$1000,ROW(),$S$5:$S$1000,"Sub"),"")</f>
        <v/>
      </c>
      <c r="U127" s="70">
        <f>IF($S127="","",IF(ISNUMBER($H127),$H127,0))</f>
        <v/>
      </c>
      <c r="V127" s="70">
        <f>IF($S127="","",IF(ISNUMBER($I127),$I127,$U127))</f>
        <v/>
      </c>
      <c r="W127" s="70">
        <f>IF($S127="","",IF(ISNUMBER($J127),$J127,$V127))</f>
        <v/>
      </c>
      <c r="X127" s="70">
        <f>IF($S127="","",IF(ISNUMBER($K127),$K127,$W127))</f>
        <v/>
      </c>
      <c r="Y127" s="70">
        <f>IF($S127="","",IF(N($T127)&gt;0,AVERAGEIFS($U$5:$U$1000,$R$5:$R$1000,ROW(),$S$5:$S$1000,"Sub"),$U127))</f>
        <v/>
      </c>
      <c r="Z127" s="70">
        <f>IF($S127="","",IF(N($T127)&gt;0,AVERAGEIFS($V$5:$V$1000,$R$5:$R$1000,ROW(),$S$5:$S$1000,"Sub"),$V127))</f>
        <v/>
      </c>
      <c r="AA127" s="70">
        <f>IF($S127="","",IF(N($T127)&gt;0,AVERAGEIFS($W$5:$W$1000,$R$5:$R$1000,ROW(),$S$5:$S$1000,"Sub"),$W127))</f>
        <v/>
      </c>
      <c r="AB127" s="70">
        <f>IF($S127="","",IF(N($T127)&gt;0,AVERAGEIFS($X$5:$X$1000,$R$5:$R$1000,ROW(),$S$5:$S$1000,"Sub"),$X127))</f>
        <v/>
      </c>
    </row>
    <row r="128">
      <c r="A128" s="61">
        <f>IF(NOT((COUNTA($B128:$K128)+COUNTA($N128))&gt;0),"",IF($S128="Macro",COUNTIFS($S$5:$S128,"Macro",$P$5:$P128,$P128),IF(N($R128)=0,"?",COUNTIFS(INDEX($S$5:$S$1000,1):INDEX($S$5:$S$1000,$R128-4),"Macro",INDEX($P$5:$P$1000,1):INDEX($P$5:$P$1000,$R128-4),INDEX($P$5:$P$1000,$R128-4))&amp;"."&amp;COUNTIFS($R$5:$R128,$R128,$S$5:$S128,"Sub"))))</f>
        <v/>
      </c>
      <c r="B128" s="62" t="n"/>
      <c r="C128" s="63" t="n"/>
      <c r="D128" s="62" t="n"/>
      <c r="E128" s="64" t="n"/>
      <c r="F128" s="64" t="n"/>
      <c r="G128" s="65" t="n"/>
      <c r="H128" s="66" t="n"/>
      <c r="I128" s="66" t="n"/>
      <c r="J128" s="66" t="n"/>
      <c r="K128" s="66" t="n"/>
      <c r="L128" s="67">
        <f>IF(NOT((COUNTA($B128:$K128)+COUNTA($N128))&gt;0),"",IF(N($T128)&gt;0,$AB128,IFERROR(LOOKUP(2,1/(H128:K128&lt;&gt;""),H128:K128),0)))</f>
        <v/>
      </c>
      <c r="M128" s="61">
        <f>IF(L128="","",IF(L128&gt;=1,"Completado",IF(L128&gt;0,"En curso","Pendiente")))</f>
        <v/>
      </c>
      <c r="N128" s="62" t="n"/>
      <c r="O128" s="68">
        <f>IF(NOT((COUNTA($B128:$K128)+COUNTA($N128))&gt;0),"",IF((IF(AND($S128="Macro",$B128=""),"Macroactividad vacía"&amp;" · ","")&amp;IF(AND($B128&lt;&gt;"",$C128&lt;&gt;""),"Escriba la subactividad en otra fila, debajo de su macroactividad"&amp;" · ","")&amp;IF(AND($S128="Sub",N($R128)=0),"Subactividad sin macroactividad arriba"&amp;" · ","")&amp;IF($D128="","Sin responsable"&amp;" · ","")&amp;IF($E128="","Sin fecha de inicio"&amp;" · ","")&amp;IF($F128="","Sin fecha límite"&amp;" · ","")&amp;IF(OR(AND($E128&lt;&gt;"",NOT(ISNUMBER($E128))),AND($F128&lt;&gt;"",NOT(ISNUMBER($F128)))),"Fecha no válida"&amp;" · ","")&amp;IF(AND(ISNUMBER($E128),ISNUMBER($F128),$E128&gt;$F128),"Inicio posterior a fecha límite"&amp;" · ","")&amp;IF(AND($S128="Macro",$G128=""),"Peso vacío"&amp;" · ","")&amp;IF(AND($S128="Macro",$G128&lt;&gt;"",OR(NOT(ISNUMBER($G128)),$G128&lt;=0,$G128&gt;1)),"Peso fuera de rango"&amp;" · ","")&amp;IF(AND($S128="Sub",$G128&lt;&gt;""),"Las subactividades no llevan peso"&amp;" · ","")&amp;IF(AND($S128="Macro",ABS(SUMIFS($G$5:$G$1000,$P$5:$P$1000,$P128,$S$5:$S$1000,"Macro")-1)&gt;0.0001),"Pesos del mes suman "&amp;TEXT(SUMIFS($G$5:$G$1000,$P$5:$P$1000,$P128,$S$5:$S$1000,"Macro"),"0%")&amp;" · ","")&amp;IF(AND(N($T128)&gt;0,COUNT($H128:$K128)&gt;0),"Con subactividades: deje vacías las semanas (se calculan solas)"&amp;" · ","")&amp;IF((COUNTIF($H128:$K128,"&gt;1")+COUNTIF($H128:$K128,"&lt;0")+COUNTA($H128:$K128)-COUNT($H128:$K128))&gt;0,"Avance fuera de rango 0-100%"&amp;" · ","")&amp;IF(OR(AND($I128&lt;&gt;"",$I128&lt;$H128),AND($J128&lt;&gt;"",$J128&lt;MAX($H128:$I128)),AND($K128&lt;&gt;"",$K128&lt;MAX($H128:$J128))),"Avance semanal decreciente"&amp;" · ","")&amp;IF(AND(ISNUMBER($F128),$F128&lt;FechaRef,N($L128)&lt;1),"Vencida"&amp;" · ","")&amp;IF(AND(ObsObligatoria="Sí",ISNUMBER($F128),$F128&lt;FechaRef,N($L128)&lt;1,$N128=""),"Vencida sin observación"&amp;" · ",""))="","✔ OK","⚠ "&amp;LEFT(IF(AND($S128="Macro",$B128=""),"Macroactividad vacía"&amp;" · ","")&amp;IF(AND($B128&lt;&gt;"",$C128&lt;&gt;""),"Escriba la subactividad en otra fila, debajo de su macroactividad"&amp;" · ","")&amp;IF(AND($S128="Sub",N($R128)=0),"Subactividad sin macroactividad arriba"&amp;" · ","")&amp;IF($D128="","Sin responsable"&amp;" · ","")&amp;IF($E128="","Sin fecha de inicio"&amp;" · ","")&amp;IF($F128="","Sin fecha límite"&amp;" · ","")&amp;IF(OR(AND($E128&lt;&gt;"",NOT(ISNUMBER($E128))),AND($F128&lt;&gt;"",NOT(ISNUMBER($F128)))),"Fecha no válida"&amp;" · ","")&amp;IF(AND(ISNUMBER($E128),ISNUMBER($F128),$E128&gt;$F128),"Inicio posterior a fecha límite"&amp;" · ","")&amp;IF(AND($S128="Macro",$G128=""),"Peso vacío"&amp;" · ","")&amp;IF(AND($S128="Macro",$G128&lt;&gt;"",OR(NOT(ISNUMBER($G128)),$G128&lt;=0,$G128&gt;1)),"Peso fuera de rango"&amp;" · ","")&amp;IF(AND($S128="Sub",$G128&lt;&gt;""),"Las subactividades no llevan peso"&amp;" · ","")&amp;IF(AND($S128="Macro",ABS(SUMIFS($G$5:$G$1000,$P$5:$P$1000,$P128,$S$5:$S$1000,"Macro")-1)&gt;0.0001),"Pesos del mes suman "&amp;TEXT(SUMIFS($G$5:$G$1000,$P$5:$P$1000,$P128,$S$5:$S$1000,"Macro"),"0%")&amp;" · ","")&amp;IF(AND(N($T128)&gt;0,COUNT($H128:$K128)&gt;0),"Con subactividades: deje vacías las semanas (se calculan solas)"&amp;" · ","")&amp;IF((COUNTIF($H128:$K128,"&gt;1")+COUNTIF($H128:$K128,"&lt;0")+COUNTA($H128:$K128)-COUNT($H128:$K128))&gt;0,"Avance fuera de rango 0-100%"&amp;" · ","")&amp;IF(OR(AND($I128&lt;&gt;"",$I128&lt;$H128),AND($J128&lt;&gt;"",$J128&lt;MAX($H128:$I128)),AND($K128&lt;&gt;"",$K128&lt;MAX($H128:$J128))),"Avance semanal decreciente"&amp;" · ","")&amp;IF(AND(ISNUMBER($F128),$F128&lt;FechaRef,N($L128)&lt;1),"Vencida"&amp;" · ","")&amp;IF(AND(ObsObligatoria="Sí",ISNUMBER($F128),$F128&lt;FechaRef,N($L128)&lt;1,$N128=""),"Vencida sin observación"&amp;" · ",""),LEN(IF(AND($S128="Macro",$B128=""),"Macroactividad vacía"&amp;" · ","")&amp;IF(AND($B128&lt;&gt;"",$C128&lt;&gt;""),"Escriba la subactividad en otra fila, debajo de su macroactividad"&amp;" · ","")&amp;IF(AND($S128="Sub",N($R128)=0),"Subactividad sin macroactividad arriba"&amp;" · ","")&amp;IF($D128="","Sin responsable"&amp;" · ","")&amp;IF($E128="","Sin fecha de inicio"&amp;" · ","")&amp;IF($F128="","Sin fecha límite"&amp;" · ","")&amp;IF(OR(AND($E128&lt;&gt;"",NOT(ISNUMBER($E128))),AND($F128&lt;&gt;"",NOT(ISNUMBER($F128)))),"Fecha no válida"&amp;" · ","")&amp;IF(AND(ISNUMBER($E128),ISNUMBER($F128),$E128&gt;$F128),"Inicio posterior a fecha límite"&amp;" · ","")&amp;IF(AND($S128="Macro",$G128=""),"Peso vacío"&amp;" · ","")&amp;IF(AND($S128="Macro",$G128&lt;&gt;"",OR(NOT(ISNUMBER($G128)),$G128&lt;=0,$G128&gt;1)),"Peso fuera de rango"&amp;" · ","")&amp;IF(AND($S128="Sub",$G128&lt;&gt;""),"Las subactividades no llevan peso"&amp;" · ","")&amp;IF(AND($S128="Macro",ABS(SUMIFS($G$5:$G$1000,$P$5:$P$1000,$P128,$S$5:$S$1000,"Macro")-1)&gt;0.0001),"Pesos del mes suman "&amp;TEXT(SUMIFS($G$5:$G$1000,$P$5:$P$1000,$P128,$S$5:$S$1000,"Macro"),"0%")&amp;" · ","")&amp;IF(AND(N($T128)&gt;0,COUNT($H128:$K128)&gt;0),"Con subactividades: deje vacías las semanas (se calculan solas)"&amp;" · ","")&amp;IF((COUNTIF($H128:$K128,"&gt;1")+COUNTIF($H128:$K128,"&lt;0")+COUNTA($H128:$K128)-COUNT($H128:$K128))&gt;0,"Avance fuera de rango 0-100%"&amp;" · ","")&amp;IF(OR(AND($I128&lt;&gt;"",$I128&lt;$H128),AND($J128&lt;&gt;"",$J128&lt;MAX($H128:$I128)),AND($K128&lt;&gt;"",$K128&lt;MAX($H128:$J128))),"Avance semanal decreciente"&amp;" · ","")&amp;IF(AND(ISNUMBER($F128),$F128&lt;FechaRef,N($L128)&lt;1),"Vencida"&amp;" · ","")&amp;IF(AND(ObsObligatoria="Sí",ISNUMBER($F128),$F128&lt;FechaRef,N($L128)&lt;1,$N128=""),"Vencida sin observación"&amp;" · ",""))-3)))</f>
        <v/>
      </c>
      <c r="P128" s="69">
        <f>IF(NOT((COUNTA($B128:$K128)+COUNTA($N128))&gt;0),"",IF(AND($S128="Sub",N($R128)&gt;0),IF(ISNUMBER(INDEX($E$5:$E$1000,$R128-4)),DATE(YEAR(INDEX($E$5:$E$1000,$R128-4)),MONTH(INDEX($E$5:$E$1000,$R128-4)),1),IF(ISNUMBER(INDEX($F$5:$F$1000,$R128-4)),DATE(YEAR(INDEX($F$5:$F$1000,$R128-4)),MONTH(INDEX($F$5:$F$1000,$R128-4)),1),MesCiclo)),IF(ISNUMBER($E128),DATE(YEAR($E128),MONTH($E128),1),IF(ISNUMBER($F128),DATE(YEAR($F128),MONTH($F128),1),MesCiclo))))</f>
        <v/>
      </c>
      <c r="Q128" s="70">
        <f>IF(OR($P128="",$P128&lt;&gt;MesCiclo),"",COUNTIF($P$5:$P128,MesCiclo))</f>
        <v/>
      </c>
      <c r="R128" s="70">
        <f>IF($S128="","",IF($S128="Macro",ROW(),IFERROR(LOOKUP(2,1/($S$5:$S128="Macro"),ROW($S$5:$S128)),0)))</f>
        <v/>
      </c>
      <c r="S128" s="70">
        <f>IF(NOT((COUNTA($B128:$K128)+COUNTA($N128))&gt;0),"",IF($B128&lt;&gt;"","Macro",IF($C128&lt;&gt;"","Sub","Macro")))</f>
        <v/>
      </c>
      <c r="T128" s="70">
        <f>IF($S128="Macro",COUNTIFS($R$5:$R$1000,ROW(),$S$5:$S$1000,"Sub"),"")</f>
        <v/>
      </c>
      <c r="U128" s="70">
        <f>IF($S128="","",IF(ISNUMBER($H128),$H128,0))</f>
        <v/>
      </c>
      <c r="V128" s="70">
        <f>IF($S128="","",IF(ISNUMBER($I128),$I128,$U128))</f>
        <v/>
      </c>
      <c r="W128" s="70">
        <f>IF($S128="","",IF(ISNUMBER($J128),$J128,$V128))</f>
        <v/>
      </c>
      <c r="X128" s="70">
        <f>IF($S128="","",IF(ISNUMBER($K128),$K128,$W128))</f>
        <v/>
      </c>
      <c r="Y128" s="70">
        <f>IF($S128="","",IF(N($T128)&gt;0,AVERAGEIFS($U$5:$U$1000,$R$5:$R$1000,ROW(),$S$5:$S$1000,"Sub"),$U128))</f>
        <v/>
      </c>
      <c r="Z128" s="70">
        <f>IF($S128="","",IF(N($T128)&gt;0,AVERAGEIFS($V$5:$V$1000,$R$5:$R$1000,ROW(),$S$5:$S$1000,"Sub"),$V128))</f>
        <v/>
      </c>
      <c r="AA128" s="70">
        <f>IF($S128="","",IF(N($T128)&gt;0,AVERAGEIFS($W$5:$W$1000,$R$5:$R$1000,ROW(),$S$5:$S$1000,"Sub"),$W128))</f>
        <v/>
      </c>
      <c r="AB128" s="70">
        <f>IF($S128="","",IF(N($T128)&gt;0,AVERAGEIFS($X$5:$X$1000,$R$5:$R$1000,ROW(),$S$5:$S$1000,"Sub"),$X128))</f>
        <v/>
      </c>
    </row>
    <row r="129">
      <c r="A129" s="61">
        <f>IF(NOT((COUNTA($B129:$K129)+COUNTA($N129))&gt;0),"",IF($S129="Macro",COUNTIFS($S$5:$S129,"Macro",$P$5:$P129,$P129),IF(N($R129)=0,"?",COUNTIFS(INDEX($S$5:$S$1000,1):INDEX($S$5:$S$1000,$R129-4),"Macro",INDEX($P$5:$P$1000,1):INDEX($P$5:$P$1000,$R129-4),INDEX($P$5:$P$1000,$R129-4))&amp;"."&amp;COUNTIFS($R$5:$R129,$R129,$S$5:$S129,"Sub"))))</f>
        <v/>
      </c>
      <c r="B129" s="62" t="n"/>
      <c r="C129" s="63" t="n"/>
      <c r="D129" s="62" t="n"/>
      <c r="E129" s="64" t="n"/>
      <c r="F129" s="64" t="n"/>
      <c r="G129" s="65" t="n"/>
      <c r="H129" s="66" t="n"/>
      <c r="I129" s="66" t="n"/>
      <c r="J129" s="66" t="n"/>
      <c r="K129" s="66" t="n"/>
      <c r="L129" s="67">
        <f>IF(NOT((COUNTA($B129:$K129)+COUNTA($N129))&gt;0),"",IF(N($T129)&gt;0,$AB129,IFERROR(LOOKUP(2,1/(H129:K129&lt;&gt;""),H129:K129),0)))</f>
        <v/>
      </c>
      <c r="M129" s="61">
        <f>IF(L129="","",IF(L129&gt;=1,"Completado",IF(L129&gt;0,"En curso","Pendiente")))</f>
        <v/>
      </c>
      <c r="N129" s="62" t="n"/>
      <c r="O129" s="68">
        <f>IF(NOT((COUNTA($B129:$K129)+COUNTA($N129))&gt;0),"",IF((IF(AND($S129="Macro",$B129=""),"Macroactividad vacía"&amp;" · ","")&amp;IF(AND($B129&lt;&gt;"",$C129&lt;&gt;""),"Escriba la subactividad en otra fila, debajo de su macroactividad"&amp;" · ","")&amp;IF(AND($S129="Sub",N($R129)=0),"Subactividad sin macroactividad arriba"&amp;" · ","")&amp;IF($D129="","Sin responsable"&amp;" · ","")&amp;IF($E129="","Sin fecha de inicio"&amp;" · ","")&amp;IF($F129="","Sin fecha límite"&amp;" · ","")&amp;IF(OR(AND($E129&lt;&gt;"",NOT(ISNUMBER($E129))),AND($F129&lt;&gt;"",NOT(ISNUMBER($F129)))),"Fecha no válida"&amp;" · ","")&amp;IF(AND(ISNUMBER($E129),ISNUMBER($F129),$E129&gt;$F129),"Inicio posterior a fecha límite"&amp;" · ","")&amp;IF(AND($S129="Macro",$G129=""),"Peso vacío"&amp;" · ","")&amp;IF(AND($S129="Macro",$G129&lt;&gt;"",OR(NOT(ISNUMBER($G129)),$G129&lt;=0,$G129&gt;1)),"Peso fuera de rango"&amp;" · ","")&amp;IF(AND($S129="Sub",$G129&lt;&gt;""),"Las subactividades no llevan peso"&amp;" · ","")&amp;IF(AND($S129="Macro",ABS(SUMIFS($G$5:$G$1000,$P$5:$P$1000,$P129,$S$5:$S$1000,"Macro")-1)&gt;0.0001),"Pesos del mes suman "&amp;TEXT(SUMIFS($G$5:$G$1000,$P$5:$P$1000,$P129,$S$5:$S$1000,"Macro"),"0%")&amp;" · ","")&amp;IF(AND(N($T129)&gt;0,COUNT($H129:$K129)&gt;0),"Con subactividades: deje vacías las semanas (se calculan solas)"&amp;" · ","")&amp;IF((COUNTIF($H129:$K129,"&gt;1")+COUNTIF($H129:$K129,"&lt;0")+COUNTA($H129:$K129)-COUNT($H129:$K129))&gt;0,"Avance fuera de rango 0-100%"&amp;" · ","")&amp;IF(OR(AND($I129&lt;&gt;"",$I129&lt;$H129),AND($J129&lt;&gt;"",$J129&lt;MAX($H129:$I129)),AND($K129&lt;&gt;"",$K129&lt;MAX($H129:$J129))),"Avance semanal decreciente"&amp;" · ","")&amp;IF(AND(ISNUMBER($F129),$F129&lt;FechaRef,N($L129)&lt;1),"Vencida"&amp;" · ","")&amp;IF(AND(ObsObligatoria="Sí",ISNUMBER($F129),$F129&lt;FechaRef,N($L129)&lt;1,$N129=""),"Vencida sin observación"&amp;" · ",""))="","✔ OK","⚠ "&amp;LEFT(IF(AND($S129="Macro",$B129=""),"Macroactividad vacía"&amp;" · ","")&amp;IF(AND($B129&lt;&gt;"",$C129&lt;&gt;""),"Escriba la subactividad en otra fila, debajo de su macroactividad"&amp;" · ","")&amp;IF(AND($S129="Sub",N($R129)=0),"Subactividad sin macroactividad arriba"&amp;" · ","")&amp;IF($D129="","Sin responsable"&amp;" · ","")&amp;IF($E129="","Sin fecha de inicio"&amp;" · ","")&amp;IF($F129="","Sin fecha límite"&amp;" · ","")&amp;IF(OR(AND($E129&lt;&gt;"",NOT(ISNUMBER($E129))),AND($F129&lt;&gt;"",NOT(ISNUMBER($F129)))),"Fecha no válida"&amp;" · ","")&amp;IF(AND(ISNUMBER($E129),ISNUMBER($F129),$E129&gt;$F129),"Inicio posterior a fecha límite"&amp;" · ","")&amp;IF(AND($S129="Macro",$G129=""),"Peso vacío"&amp;" · ","")&amp;IF(AND($S129="Macro",$G129&lt;&gt;"",OR(NOT(ISNUMBER($G129)),$G129&lt;=0,$G129&gt;1)),"Peso fuera de rango"&amp;" · ","")&amp;IF(AND($S129="Sub",$G129&lt;&gt;""),"Las subactividades no llevan peso"&amp;" · ","")&amp;IF(AND($S129="Macro",ABS(SUMIFS($G$5:$G$1000,$P$5:$P$1000,$P129,$S$5:$S$1000,"Macro")-1)&gt;0.0001),"Pesos del mes suman "&amp;TEXT(SUMIFS($G$5:$G$1000,$P$5:$P$1000,$P129,$S$5:$S$1000,"Macro"),"0%")&amp;" · ","")&amp;IF(AND(N($T129)&gt;0,COUNT($H129:$K129)&gt;0),"Con subactividades: deje vacías las semanas (se calculan solas)"&amp;" · ","")&amp;IF((COUNTIF($H129:$K129,"&gt;1")+COUNTIF($H129:$K129,"&lt;0")+COUNTA($H129:$K129)-COUNT($H129:$K129))&gt;0,"Avance fuera de rango 0-100%"&amp;" · ","")&amp;IF(OR(AND($I129&lt;&gt;"",$I129&lt;$H129),AND($J129&lt;&gt;"",$J129&lt;MAX($H129:$I129)),AND($K129&lt;&gt;"",$K129&lt;MAX($H129:$J129))),"Avance semanal decreciente"&amp;" · ","")&amp;IF(AND(ISNUMBER($F129),$F129&lt;FechaRef,N($L129)&lt;1),"Vencida"&amp;" · ","")&amp;IF(AND(ObsObligatoria="Sí",ISNUMBER($F129),$F129&lt;FechaRef,N($L129)&lt;1,$N129=""),"Vencida sin observación"&amp;" · ",""),LEN(IF(AND($S129="Macro",$B129=""),"Macroactividad vacía"&amp;" · ","")&amp;IF(AND($B129&lt;&gt;"",$C129&lt;&gt;""),"Escriba la subactividad en otra fila, debajo de su macroactividad"&amp;" · ","")&amp;IF(AND($S129="Sub",N($R129)=0),"Subactividad sin macroactividad arriba"&amp;" · ","")&amp;IF($D129="","Sin responsable"&amp;" · ","")&amp;IF($E129="","Sin fecha de inicio"&amp;" · ","")&amp;IF($F129="","Sin fecha límite"&amp;" · ","")&amp;IF(OR(AND($E129&lt;&gt;"",NOT(ISNUMBER($E129))),AND($F129&lt;&gt;"",NOT(ISNUMBER($F129)))),"Fecha no válida"&amp;" · ","")&amp;IF(AND(ISNUMBER($E129),ISNUMBER($F129),$E129&gt;$F129),"Inicio posterior a fecha límite"&amp;" · ","")&amp;IF(AND($S129="Macro",$G129=""),"Peso vacío"&amp;" · ","")&amp;IF(AND($S129="Macro",$G129&lt;&gt;"",OR(NOT(ISNUMBER($G129)),$G129&lt;=0,$G129&gt;1)),"Peso fuera de rango"&amp;" · ","")&amp;IF(AND($S129="Sub",$G129&lt;&gt;""),"Las subactividades no llevan peso"&amp;" · ","")&amp;IF(AND($S129="Macro",ABS(SUMIFS($G$5:$G$1000,$P$5:$P$1000,$P129,$S$5:$S$1000,"Macro")-1)&gt;0.0001),"Pesos del mes suman "&amp;TEXT(SUMIFS($G$5:$G$1000,$P$5:$P$1000,$P129,$S$5:$S$1000,"Macro"),"0%")&amp;" · ","")&amp;IF(AND(N($T129)&gt;0,COUNT($H129:$K129)&gt;0),"Con subactividades: deje vacías las semanas (se calculan solas)"&amp;" · ","")&amp;IF((COUNTIF($H129:$K129,"&gt;1")+COUNTIF($H129:$K129,"&lt;0")+COUNTA($H129:$K129)-COUNT($H129:$K129))&gt;0,"Avance fuera de rango 0-100%"&amp;" · ","")&amp;IF(OR(AND($I129&lt;&gt;"",$I129&lt;$H129),AND($J129&lt;&gt;"",$J129&lt;MAX($H129:$I129)),AND($K129&lt;&gt;"",$K129&lt;MAX($H129:$J129))),"Avance semanal decreciente"&amp;" · ","")&amp;IF(AND(ISNUMBER($F129),$F129&lt;FechaRef,N($L129)&lt;1),"Vencida"&amp;" · ","")&amp;IF(AND(ObsObligatoria="Sí",ISNUMBER($F129),$F129&lt;FechaRef,N($L129)&lt;1,$N129=""),"Vencida sin observación"&amp;" · ",""))-3)))</f>
        <v/>
      </c>
      <c r="P129" s="69">
        <f>IF(NOT((COUNTA($B129:$K129)+COUNTA($N129))&gt;0),"",IF(AND($S129="Sub",N($R129)&gt;0),IF(ISNUMBER(INDEX($E$5:$E$1000,$R129-4)),DATE(YEAR(INDEX($E$5:$E$1000,$R129-4)),MONTH(INDEX($E$5:$E$1000,$R129-4)),1),IF(ISNUMBER(INDEX($F$5:$F$1000,$R129-4)),DATE(YEAR(INDEX($F$5:$F$1000,$R129-4)),MONTH(INDEX($F$5:$F$1000,$R129-4)),1),MesCiclo)),IF(ISNUMBER($E129),DATE(YEAR($E129),MONTH($E129),1),IF(ISNUMBER($F129),DATE(YEAR($F129),MONTH($F129),1),MesCiclo))))</f>
        <v/>
      </c>
      <c r="Q129" s="70">
        <f>IF(OR($P129="",$P129&lt;&gt;MesCiclo),"",COUNTIF($P$5:$P129,MesCiclo))</f>
        <v/>
      </c>
      <c r="R129" s="70">
        <f>IF($S129="","",IF($S129="Macro",ROW(),IFERROR(LOOKUP(2,1/($S$5:$S129="Macro"),ROW($S$5:$S129)),0)))</f>
        <v/>
      </c>
      <c r="S129" s="70">
        <f>IF(NOT((COUNTA($B129:$K129)+COUNTA($N129))&gt;0),"",IF($B129&lt;&gt;"","Macro",IF($C129&lt;&gt;"","Sub","Macro")))</f>
        <v/>
      </c>
      <c r="T129" s="70">
        <f>IF($S129="Macro",COUNTIFS($R$5:$R$1000,ROW(),$S$5:$S$1000,"Sub"),"")</f>
        <v/>
      </c>
      <c r="U129" s="70">
        <f>IF($S129="","",IF(ISNUMBER($H129),$H129,0))</f>
        <v/>
      </c>
      <c r="V129" s="70">
        <f>IF($S129="","",IF(ISNUMBER($I129),$I129,$U129))</f>
        <v/>
      </c>
      <c r="W129" s="70">
        <f>IF($S129="","",IF(ISNUMBER($J129),$J129,$V129))</f>
        <v/>
      </c>
      <c r="X129" s="70">
        <f>IF($S129="","",IF(ISNUMBER($K129),$K129,$W129))</f>
        <v/>
      </c>
      <c r="Y129" s="70">
        <f>IF($S129="","",IF(N($T129)&gt;0,AVERAGEIFS($U$5:$U$1000,$R$5:$R$1000,ROW(),$S$5:$S$1000,"Sub"),$U129))</f>
        <v/>
      </c>
      <c r="Z129" s="70">
        <f>IF($S129="","",IF(N($T129)&gt;0,AVERAGEIFS($V$5:$V$1000,$R$5:$R$1000,ROW(),$S$5:$S$1000,"Sub"),$V129))</f>
        <v/>
      </c>
      <c r="AA129" s="70">
        <f>IF($S129="","",IF(N($T129)&gt;0,AVERAGEIFS($W$5:$W$1000,$R$5:$R$1000,ROW(),$S$5:$S$1000,"Sub"),$W129))</f>
        <v/>
      </c>
      <c r="AB129" s="70">
        <f>IF($S129="","",IF(N($T129)&gt;0,AVERAGEIFS($X$5:$X$1000,$R$5:$R$1000,ROW(),$S$5:$S$1000,"Sub"),$X129))</f>
        <v/>
      </c>
    </row>
    <row r="130">
      <c r="A130" s="61">
        <f>IF(NOT((COUNTA($B130:$K130)+COUNTA($N130))&gt;0),"",IF($S130="Macro",COUNTIFS($S$5:$S130,"Macro",$P$5:$P130,$P130),IF(N($R130)=0,"?",COUNTIFS(INDEX($S$5:$S$1000,1):INDEX($S$5:$S$1000,$R130-4),"Macro",INDEX($P$5:$P$1000,1):INDEX($P$5:$P$1000,$R130-4),INDEX($P$5:$P$1000,$R130-4))&amp;"."&amp;COUNTIFS($R$5:$R130,$R130,$S$5:$S130,"Sub"))))</f>
        <v/>
      </c>
      <c r="B130" s="62" t="n"/>
      <c r="C130" s="63" t="n"/>
      <c r="D130" s="62" t="n"/>
      <c r="E130" s="64" t="n"/>
      <c r="F130" s="64" t="n"/>
      <c r="G130" s="65" t="n"/>
      <c r="H130" s="66" t="n"/>
      <c r="I130" s="66" t="n"/>
      <c r="J130" s="66" t="n"/>
      <c r="K130" s="66" t="n"/>
      <c r="L130" s="67">
        <f>IF(NOT((COUNTA($B130:$K130)+COUNTA($N130))&gt;0),"",IF(N($T130)&gt;0,$AB130,IFERROR(LOOKUP(2,1/(H130:K130&lt;&gt;""),H130:K130),0)))</f>
        <v/>
      </c>
      <c r="M130" s="61">
        <f>IF(L130="","",IF(L130&gt;=1,"Completado",IF(L130&gt;0,"En curso","Pendiente")))</f>
        <v/>
      </c>
      <c r="N130" s="62" t="n"/>
      <c r="O130" s="68">
        <f>IF(NOT((COUNTA($B130:$K130)+COUNTA($N130))&gt;0),"",IF((IF(AND($S130="Macro",$B130=""),"Macroactividad vacía"&amp;" · ","")&amp;IF(AND($B130&lt;&gt;"",$C130&lt;&gt;""),"Escriba la subactividad en otra fila, debajo de su macroactividad"&amp;" · ","")&amp;IF(AND($S130="Sub",N($R130)=0),"Subactividad sin macroactividad arriba"&amp;" · ","")&amp;IF($D130="","Sin responsable"&amp;" · ","")&amp;IF($E130="","Sin fecha de inicio"&amp;" · ","")&amp;IF($F130="","Sin fecha límite"&amp;" · ","")&amp;IF(OR(AND($E130&lt;&gt;"",NOT(ISNUMBER($E130))),AND($F130&lt;&gt;"",NOT(ISNUMBER($F130)))),"Fecha no válida"&amp;" · ","")&amp;IF(AND(ISNUMBER($E130),ISNUMBER($F130),$E130&gt;$F130),"Inicio posterior a fecha límite"&amp;" · ","")&amp;IF(AND($S130="Macro",$G130=""),"Peso vacío"&amp;" · ","")&amp;IF(AND($S130="Macro",$G130&lt;&gt;"",OR(NOT(ISNUMBER($G130)),$G130&lt;=0,$G130&gt;1)),"Peso fuera de rango"&amp;" · ","")&amp;IF(AND($S130="Sub",$G130&lt;&gt;""),"Las subactividades no llevan peso"&amp;" · ","")&amp;IF(AND($S130="Macro",ABS(SUMIFS($G$5:$G$1000,$P$5:$P$1000,$P130,$S$5:$S$1000,"Macro")-1)&gt;0.0001),"Pesos del mes suman "&amp;TEXT(SUMIFS($G$5:$G$1000,$P$5:$P$1000,$P130,$S$5:$S$1000,"Macro"),"0%")&amp;" · ","")&amp;IF(AND(N($T130)&gt;0,COUNT($H130:$K130)&gt;0),"Con subactividades: deje vacías las semanas (se calculan solas)"&amp;" · ","")&amp;IF((COUNTIF($H130:$K130,"&gt;1")+COUNTIF($H130:$K130,"&lt;0")+COUNTA($H130:$K130)-COUNT($H130:$K130))&gt;0,"Avance fuera de rango 0-100%"&amp;" · ","")&amp;IF(OR(AND($I130&lt;&gt;"",$I130&lt;$H130),AND($J130&lt;&gt;"",$J130&lt;MAX($H130:$I130)),AND($K130&lt;&gt;"",$K130&lt;MAX($H130:$J130))),"Avance semanal decreciente"&amp;" · ","")&amp;IF(AND(ISNUMBER($F130),$F130&lt;FechaRef,N($L130)&lt;1),"Vencida"&amp;" · ","")&amp;IF(AND(ObsObligatoria="Sí",ISNUMBER($F130),$F130&lt;FechaRef,N($L130)&lt;1,$N130=""),"Vencida sin observación"&amp;" · ",""))="","✔ OK","⚠ "&amp;LEFT(IF(AND($S130="Macro",$B130=""),"Macroactividad vacía"&amp;" · ","")&amp;IF(AND($B130&lt;&gt;"",$C130&lt;&gt;""),"Escriba la subactividad en otra fila, debajo de su macroactividad"&amp;" · ","")&amp;IF(AND($S130="Sub",N($R130)=0),"Subactividad sin macroactividad arriba"&amp;" · ","")&amp;IF($D130="","Sin responsable"&amp;" · ","")&amp;IF($E130="","Sin fecha de inicio"&amp;" · ","")&amp;IF($F130="","Sin fecha límite"&amp;" · ","")&amp;IF(OR(AND($E130&lt;&gt;"",NOT(ISNUMBER($E130))),AND($F130&lt;&gt;"",NOT(ISNUMBER($F130)))),"Fecha no válida"&amp;" · ","")&amp;IF(AND(ISNUMBER($E130),ISNUMBER($F130),$E130&gt;$F130),"Inicio posterior a fecha límite"&amp;" · ","")&amp;IF(AND($S130="Macro",$G130=""),"Peso vacío"&amp;" · ","")&amp;IF(AND($S130="Macro",$G130&lt;&gt;"",OR(NOT(ISNUMBER($G130)),$G130&lt;=0,$G130&gt;1)),"Peso fuera de rango"&amp;" · ","")&amp;IF(AND($S130="Sub",$G130&lt;&gt;""),"Las subactividades no llevan peso"&amp;" · ","")&amp;IF(AND($S130="Macro",ABS(SUMIFS($G$5:$G$1000,$P$5:$P$1000,$P130,$S$5:$S$1000,"Macro")-1)&gt;0.0001),"Pesos del mes suman "&amp;TEXT(SUMIFS($G$5:$G$1000,$P$5:$P$1000,$P130,$S$5:$S$1000,"Macro"),"0%")&amp;" · ","")&amp;IF(AND(N($T130)&gt;0,COUNT($H130:$K130)&gt;0),"Con subactividades: deje vacías las semanas (se calculan solas)"&amp;" · ","")&amp;IF((COUNTIF($H130:$K130,"&gt;1")+COUNTIF($H130:$K130,"&lt;0")+COUNTA($H130:$K130)-COUNT($H130:$K130))&gt;0,"Avance fuera de rango 0-100%"&amp;" · ","")&amp;IF(OR(AND($I130&lt;&gt;"",$I130&lt;$H130),AND($J130&lt;&gt;"",$J130&lt;MAX($H130:$I130)),AND($K130&lt;&gt;"",$K130&lt;MAX($H130:$J130))),"Avance semanal decreciente"&amp;" · ","")&amp;IF(AND(ISNUMBER($F130),$F130&lt;FechaRef,N($L130)&lt;1),"Vencida"&amp;" · ","")&amp;IF(AND(ObsObligatoria="Sí",ISNUMBER($F130),$F130&lt;FechaRef,N($L130)&lt;1,$N130=""),"Vencida sin observación"&amp;" · ",""),LEN(IF(AND($S130="Macro",$B130=""),"Macroactividad vacía"&amp;" · ","")&amp;IF(AND($B130&lt;&gt;"",$C130&lt;&gt;""),"Escriba la subactividad en otra fila, debajo de su macroactividad"&amp;" · ","")&amp;IF(AND($S130="Sub",N($R130)=0),"Subactividad sin macroactividad arriba"&amp;" · ","")&amp;IF($D130="","Sin responsable"&amp;" · ","")&amp;IF($E130="","Sin fecha de inicio"&amp;" · ","")&amp;IF($F130="","Sin fecha límite"&amp;" · ","")&amp;IF(OR(AND($E130&lt;&gt;"",NOT(ISNUMBER($E130))),AND($F130&lt;&gt;"",NOT(ISNUMBER($F130)))),"Fecha no válida"&amp;" · ","")&amp;IF(AND(ISNUMBER($E130),ISNUMBER($F130),$E130&gt;$F130),"Inicio posterior a fecha límite"&amp;" · ","")&amp;IF(AND($S130="Macro",$G130=""),"Peso vacío"&amp;" · ","")&amp;IF(AND($S130="Macro",$G130&lt;&gt;"",OR(NOT(ISNUMBER($G130)),$G130&lt;=0,$G130&gt;1)),"Peso fuera de rango"&amp;" · ","")&amp;IF(AND($S130="Sub",$G130&lt;&gt;""),"Las subactividades no llevan peso"&amp;" · ","")&amp;IF(AND($S130="Macro",ABS(SUMIFS($G$5:$G$1000,$P$5:$P$1000,$P130,$S$5:$S$1000,"Macro")-1)&gt;0.0001),"Pesos del mes suman "&amp;TEXT(SUMIFS($G$5:$G$1000,$P$5:$P$1000,$P130,$S$5:$S$1000,"Macro"),"0%")&amp;" · ","")&amp;IF(AND(N($T130)&gt;0,COUNT($H130:$K130)&gt;0),"Con subactividades: deje vacías las semanas (se calculan solas)"&amp;" · ","")&amp;IF((COUNTIF($H130:$K130,"&gt;1")+COUNTIF($H130:$K130,"&lt;0")+COUNTA($H130:$K130)-COUNT($H130:$K130))&gt;0,"Avance fuera de rango 0-100%"&amp;" · ","")&amp;IF(OR(AND($I130&lt;&gt;"",$I130&lt;$H130),AND($J130&lt;&gt;"",$J130&lt;MAX($H130:$I130)),AND($K130&lt;&gt;"",$K130&lt;MAX($H130:$J130))),"Avance semanal decreciente"&amp;" · ","")&amp;IF(AND(ISNUMBER($F130),$F130&lt;FechaRef,N($L130)&lt;1),"Vencida"&amp;" · ","")&amp;IF(AND(ObsObligatoria="Sí",ISNUMBER($F130),$F130&lt;FechaRef,N($L130)&lt;1,$N130=""),"Vencida sin observación"&amp;" · ",""))-3)))</f>
        <v/>
      </c>
      <c r="P130" s="69">
        <f>IF(NOT((COUNTA($B130:$K130)+COUNTA($N130))&gt;0),"",IF(AND($S130="Sub",N($R130)&gt;0),IF(ISNUMBER(INDEX($E$5:$E$1000,$R130-4)),DATE(YEAR(INDEX($E$5:$E$1000,$R130-4)),MONTH(INDEX($E$5:$E$1000,$R130-4)),1),IF(ISNUMBER(INDEX($F$5:$F$1000,$R130-4)),DATE(YEAR(INDEX($F$5:$F$1000,$R130-4)),MONTH(INDEX($F$5:$F$1000,$R130-4)),1),MesCiclo)),IF(ISNUMBER($E130),DATE(YEAR($E130),MONTH($E130),1),IF(ISNUMBER($F130),DATE(YEAR($F130),MONTH($F130),1),MesCiclo))))</f>
        <v/>
      </c>
      <c r="Q130" s="70">
        <f>IF(OR($P130="",$P130&lt;&gt;MesCiclo),"",COUNTIF($P$5:$P130,MesCiclo))</f>
        <v/>
      </c>
      <c r="R130" s="70">
        <f>IF($S130="","",IF($S130="Macro",ROW(),IFERROR(LOOKUP(2,1/($S$5:$S130="Macro"),ROW($S$5:$S130)),0)))</f>
        <v/>
      </c>
      <c r="S130" s="70">
        <f>IF(NOT((COUNTA($B130:$K130)+COUNTA($N130))&gt;0),"",IF($B130&lt;&gt;"","Macro",IF($C130&lt;&gt;"","Sub","Macro")))</f>
        <v/>
      </c>
      <c r="T130" s="70">
        <f>IF($S130="Macro",COUNTIFS($R$5:$R$1000,ROW(),$S$5:$S$1000,"Sub"),"")</f>
        <v/>
      </c>
      <c r="U130" s="70">
        <f>IF($S130="","",IF(ISNUMBER($H130),$H130,0))</f>
        <v/>
      </c>
      <c r="V130" s="70">
        <f>IF($S130="","",IF(ISNUMBER($I130),$I130,$U130))</f>
        <v/>
      </c>
      <c r="W130" s="70">
        <f>IF($S130="","",IF(ISNUMBER($J130),$J130,$V130))</f>
        <v/>
      </c>
      <c r="X130" s="70">
        <f>IF($S130="","",IF(ISNUMBER($K130),$K130,$W130))</f>
        <v/>
      </c>
      <c r="Y130" s="70">
        <f>IF($S130="","",IF(N($T130)&gt;0,AVERAGEIFS($U$5:$U$1000,$R$5:$R$1000,ROW(),$S$5:$S$1000,"Sub"),$U130))</f>
        <v/>
      </c>
      <c r="Z130" s="70">
        <f>IF($S130="","",IF(N($T130)&gt;0,AVERAGEIFS($V$5:$V$1000,$R$5:$R$1000,ROW(),$S$5:$S$1000,"Sub"),$V130))</f>
        <v/>
      </c>
      <c r="AA130" s="70">
        <f>IF($S130="","",IF(N($T130)&gt;0,AVERAGEIFS($W$5:$W$1000,$R$5:$R$1000,ROW(),$S$5:$S$1000,"Sub"),$W130))</f>
        <v/>
      </c>
      <c r="AB130" s="70">
        <f>IF($S130="","",IF(N($T130)&gt;0,AVERAGEIFS($X$5:$X$1000,$R$5:$R$1000,ROW(),$S$5:$S$1000,"Sub"),$X130))</f>
        <v/>
      </c>
    </row>
    <row r="131">
      <c r="A131" s="61">
        <f>IF(NOT((COUNTA($B131:$K131)+COUNTA($N131))&gt;0),"",IF($S131="Macro",COUNTIFS($S$5:$S131,"Macro",$P$5:$P131,$P131),IF(N($R131)=0,"?",COUNTIFS(INDEX($S$5:$S$1000,1):INDEX($S$5:$S$1000,$R131-4),"Macro",INDEX($P$5:$P$1000,1):INDEX($P$5:$P$1000,$R131-4),INDEX($P$5:$P$1000,$R131-4))&amp;"."&amp;COUNTIFS($R$5:$R131,$R131,$S$5:$S131,"Sub"))))</f>
        <v/>
      </c>
      <c r="B131" s="62" t="n"/>
      <c r="C131" s="63" t="n"/>
      <c r="D131" s="62" t="n"/>
      <c r="E131" s="64" t="n"/>
      <c r="F131" s="64" t="n"/>
      <c r="G131" s="65" t="n"/>
      <c r="H131" s="66" t="n"/>
      <c r="I131" s="66" t="n"/>
      <c r="J131" s="66" t="n"/>
      <c r="K131" s="66" t="n"/>
      <c r="L131" s="67">
        <f>IF(NOT((COUNTA($B131:$K131)+COUNTA($N131))&gt;0),"",IF(N($T131)&gt;0,$AB131,IFERROR(LOOKUP(2,1/(H131:K131&lt;&gt;""),H131:K131),0)))</f>
        <v/>
      </c>
      <c r="M131" s="61">
        <f>IF(L131="","",IF(L131&gt;=1,"Completado",IF(L131&gt;0,"En curso","Pendiente")))</f>
        <v/>
      </c>
      <c r="N131" s="62" t="n"/>
      <c r="O131" s="68">
        <f>IF(NOT((COUNTA($B131:$K131)+COUNTA($N131))&gt;0),"",IF((IF(AND($S131="Macro",$B131=""),"Macroactividad vacía"&amp;" · ","")&amp;IF(AND($B131&lt;&gt;"",$C131&lt;&gt;""),"Escriba la subactividad en otra fila, debajo de su macroactividad"&amp;" · ","")&amp;IF(AND($S131="Sub",N($R131)=0),"Subactividad sin macroactividad arriba"&amp;" · ","")&amp;IF($D131="","Sin responsable"&amp;" · ","")&amp;IF($E131="","Sin fecha de inicio"&amp;" · ","")&amp;IF($F131="","Sin fecha límite"&amp;" · ","")&amp;IF(OR(AND($E131&lt;&gt;"",NOT(ISNUMBER($E131))),AND($F131&lt;&gt;"",NOT(ISNUMBER($F131)))),"Fecha no válida"&amp;" · ","")&amp;IF(AND(ISNUMBER($E131),ISNUMBER($F131),$E131&gt;$F131),"Inicio posterior a fecha límite"&amp;" · ","")&amp;IF(AND($S131="Macro",$G131=""),"Peso vacío"&amp;" · ","")&amp;IF(AND($S131="Macro",$G131&lt;&gt;"",OR(NOT(ISNUMBER($G131)),$G131&lt;=0,$G131&gt;1)),"Peso fuera de rango"&amp;" · ","")&amp;IF(AND($S131="Sub",$G131&lt;&gt;""),"Las subactividades no llevan peso"&amp;" · ","")&amp;IF(AND($S131="Macro",ABS(SUMIFS($G$5:$G$1000,$P$5:$P$1000,$P131,$S$5:$S$1000,"Macro")-1)&gt;0.0001),"Pesos del mes suman "&amp;TEXT(SUMIFS($G$5:$G$1000,$P$5:$P$1000,$P131,$S$5:$S$1000,"Macro"),"0%")&amp;" · ","")&amp;IF(AND(N($T131)&gt;0,COUNT($H131:$K131)&gt;0),"Con subactividades: deje vacías las semanas (se calculan solas)"&amp;" · ","")&amp;IF((COUNTIF($H131:$K131,"&gt;1")+COUNTIF($H131:$K131,"&lt;0")+COUNTA($H131:$K131)-COUNT($H131:$K131))&gt;0,"Avance fuera de rango 0-100%"&amp;" · ","")&amp;IF(OR(AND($I131&lt;&gt;"",$I131&lt;$H131),AND($J131&lt;&gt;"",$J131&lt;MAX($H131:$I131)),AND($K131&lt;&gt;"",$K131&lt;MAX($H131:$J131))),"Avance semanal decreciente"&amp;" · ","")&amp;IF(AND(ISNUMBER($F131),$F131&lt;FechaRef,N($L131)&lt;1),"Vencida"&amp;" · ","")&amp;IF(AND(ObsObligatoria="Sí",ISNUMBER($F131),$F131&lt;FechaRef,N($L131)&lt;1,$N131=""),"Vencida sin observación"&amp;" · ",""))="","✔ OK","⚠ "&amp;LEFT(IF(AND($S131="Macro",$B131=""),"Macroactividad vacía"&amp;" · ","")&amp;IF(AND($B131&lt;&gt;"",$C131&lt;&gt;""),"Escriba la subactividad en otra fila, debajo de su macroactividad"&amp;" · ","")&amp;IF(AND($S131="Sub",N($R131)=0),"Subactividad sin macroactividad arriba"&amp;" · ","")&amp;IF($D131="","Sin responsable"&amp;" · ","")&amp;IF($E131="","Sin fecha de inicio"&amp;" · ","")&amp;IF($F131="","Sin fecha límite"&amp;" · ","")&amp;IF(OR(AND($E131&lt;&gt;"",NOT(ISNUMBER($E131))),AND($F131&lt;&gt;"",NOT(ISNUMBER($F131)))),"Fecha no válida"&amp;" · ","")&amp;IF(AND(ISNUMBER($E131),ISNUMBER($F131),$E131&gt;$F131),"Inicio posterior a fecha límite"&amp;" · ","")&amp;IF(AND($S131="Macro",$G131=""),"Peso vacío"&amp;" · ","")&amp;IF(AND($S131="Macro",$G131&lt;&gt;"",OR(NOT(ISNUMBER($G131)),$G131&lt;=0,$G131&gt;1)),"Peso fuera de rango"&amp;" · ","")&amp;IF(AND($S131="Sub",$G131&lt;&gt;""),"Las subactividades no llevan peso"&amp;" · ","")&amp;IF(AND($S131="Macro",ABS(SUMIFS($G$5:$G$1000,$P$5:$P$1000,$P131,$S$5:$S$1000,"Macro")-1)&gt;0.0001),"Pesos del mes suman "&amp;TEXT(SUMIFS($G$5:$G$1000,$P$5:$P$1000,$P131,$S$5:$S$1000,"Macro"),"0%")&amp;" · ","")&amp;IF(AND(N($T131)&gt;0,COUNT($H131:$K131)&gt;0),"Con subactividades: deje vacías las semanas (se calculan solas)"&amp;" · ","")&amp;IF((COUNTIF($H131:$K131,"&gt;1")+COUNTIF($H131:$K131,"&lt;0")+COUNTA($H131:$K131)-COUNT($H131:$K131))&gt;0,"Avance fuera de rango 0-100%"&amp;" · ","")&amp;IF(OR(AND($I131&lt;&gt;"",$I131&lt;$H131),AND($J131&lt;&gt;"",$J131&lt;MAX($H131:$I131)),AND($K131&lt;&gt;"",$K131&lt;MAX($H131:$J131))),"Avance semanal decreciente"&amp;" · ","")&amp;IF(AND(ISNUMBER($F131),$F131&lt;FechaRef,N($L131)&lt;1),"Vencida"&amp;" · ","")&amp;IF(AND(ObsObligatoria="Sí",ISNUMBER($F131),$F131&lt;FechaRef,N($L131)&lt;1,$N131=""),"Vencida sin observación"&amp;" · ",""),LEN(IF(AND($S131="Macro",$B131=""),"Macroactividad vacía"&amp;" · ","")&amp;IF(AND($B131&lt;&gt;"",$C131&lt;&gt;""),"Escriba la subactividad en otra fila, debajo de su macroactividad"&amp;" · ","")&amp;IF(AND($S131="Sub",N($R131)=0),"Subactividad sin macroactividad arriba"&amp;" · ","")&amp;IF($D131="","Sin responsable"&amp;" · ","")&amp;IF($E131="","Sin fecha de inicio"&amp;" · ","")&amp;IF($F131="","Sin fecha límite"&amp;" · ","")&amp;IF(OR(AND($E131&lt;&gt;"",NOT(ISNUMBER($E131))),AND($F131&lt;&gt;"",NOT(ISNUMBER($F131)))),"Fecha no válida"&amp;" · ","")&amp;IF(AND(ISNUMBER($E131),ISNUMBER($F131),$E131&gt;$F131),"Inicio posterior a fecha límite"&amp;" · ","")&amp;IF(AND($S131="Macro",$G131=""),"Peso vacío"&amp;" · ","")&amp;IF(AND($S131="Macro",$G131&lt;&gt;"",OR(NOT(ISNUMBER($G131)),$G131&lt;=0,$G131&gt;1)),"Peso fuera de rango"&amp;" · ","")&amp;IF(AND($S131="Sub",$G131&lt;&gt;""),"Las subactividades no llevan peso"&amp;" · ","")&amp;IF(AND($S131="Macro",ABS(SUMIFS($G$5:$G$1000,$P$5:$P$1000,$P131,$S$5:$S$1000,"Macro")-1)&gt;0.0001),"Pesos del mes suman "&amp;TEXT(SUMIFS($G$5:$G$1000,$P$5:$P$1000,$P131,$S$5:$S$1000,"Macro"),"0%")&amp;" · ","")&amp;IF(AND(N($T131)&gt;0,COUNT($H131:$K131)&gt;0),"Con subactividades: deje vacías las semanas (se calculan solas)"&amp;" · ","")&amp;IF((COUNTIF($H131:$K131,"&gt;1")+COUNTIF($H131:$K131,"&lt;0")+COUNTA($H131:$K131)-COUNT($H131:$K131))&gt;0,"Avance fuera de rango 0-100%"&amp;" · ","")&amp;IF(OR(AND($I131&lt;&gt;"",$I131&lt;$H131),AND($J131&lt;&gt;"",$J131&lt;MAX($H131:$I131)),AND($K131&lt;&gt;"",$K131&lt;MAX($H131:$J131))),"Avance semanal decreciente"&amp;" · ","")&amp;IF(AND(ISNUMBER($F131),$F131&lt;FechaRef,N($L131)&lt;1),"Vencida"&amp;" · ","")&amp;IF(AND(ObsObligatoria="Sí",ISNUMBER($F131),$F131&lt;FechaRef,N($L131)&lt;1,$N131=""),"Vencida sin observación"&amp;" · ",""))-3)))</f>
        <v/>
      </c>
      <c r="P131" s="69">
        <f>IF(NOT((COUNTA($B131:$K131)+COUNTA($N131))&gt;0),"",IF(AND($S131="Sub",N($R131)&gt;0),IF(ISNUMBER(INDEX($E$5:$E$1000,$R131-4)),DATE(YEAR(INDEX($E$5:$E$1000,$R131-4)),MONTH(INDEX($E$5:$E$1000,$R131-4)),1),IF(ISNUMBER(INDEX($F$5:$F$1000,$R131-4)),DATE(YEAR(INDEX($F$5:$F$1000,$R131-4)),MONTH(INDEX($F$5:$F$1000,$R131-4)),1),MesCiclo)),IF(ISNUMBER($E131),DATE(YEAR($E131),MONTH($E131),1),IF(ISNUMBER($F131),DATE(YEAR($F131),MONTH($F131),1),MesCiclo))))</f>
        <v/>
      </c>
      <c r="Q131" s="70">
        <f>IF(OR($P131="",$P131&lt;&gt;MesCiclo),"",COUNTIF($P$5:$P131,MesCiclo))</f>
        <v/>
      </c>
      <c r="R131" s="70">
        <f>IF($S131="","",IF($S131="Macro",ROW(),IFERROR(LOOKUP(2,1/($S$5:$S131="Macro"),ROW($S$5:$S131)),0)))</f>
        <v/>
      </c>
      <c r="S131" s="70">
        <f>IF(NOT((COUNTA($B131:$K131)+COUNTA($N131))&gt;0),"",IF($B131&lt;&gt;"","Macro",IF($C131&lt;&gt;"","Sub","Macro")))</f>
        <v/>
      </c>
      <c r="T131" s="70">
        <f>IF($S131="Macro",COUNTIFS($R$5:$R$1000,ROW(),$S$5:$S$1000,"Sub"),"")</f>
        <v/>
      </c>
      <c r="U131" s="70">
        <f>IF($S131="","",IF(ISNUMBER($H131),$H131,0))</f>
        <v/>
      </c>
      <c r="V131" s="70">
        <f>IF($S131="","",IF(ISNUMBER($I131),$I131,$U131))</f>
        <v/>
      </c>
      <c r="W131" s="70">
        <f>IF($S131="","",IF(ISNUMBER($J131),$J131,$V131))</f>
        <v/>
      </c>
      <c r="X131" s="70">
        <f>IF($S131="","",IF(ISNUMBER($K131),$K131,$W131))</f>
        <v/>
      </c>
      <c r="Y131" s="70">
        <f>IF($S131="","",IF(N($T131)&gt;0,AVERAGEIFS($U$5:$U$1000,$R$5:$R$1000,ROW(),$S$5:$S$1000,"Sub"),$U131))</f>
        <v/>
      </c>
      <c r="Z131" s="70">
        <f>IF($S131="","",IF(N($T131)&gt;0,AVERAGEIFS($V$5:$V$1000,$R$5:$R$1000,ROW(),$S$5:$S$1000,"Sub"),$V131))</f>
        <v/>
      </c>
      <c r="AA131" s="70">
        <f>IF($S131="","",IF(N($T131)&gt;0,AVERAGEIFS($W$5:$W$1000,$R$5:$R$1000,ROW(),$S$5:$S$1000,"Sub"),$W131))</f>
        <v/>
      </c>
      <c r="AB131" s="70">
        <f>IF($S131="","",IF(N($T131)&gt;0,AVERAGEIFS($X$5:$X$1000,$R$5:$R$1000,ROW(),$S$5:$S$1000,"Sub"),$X131))</f>
        <v/>
      </c>
    </row>
    <row r="132">
      <c r="A132" s="61">
        <f>IF(NOT((COUNTA($B132:$K132)+COUNTA($N132))&gt;0),"",IF($S132="Macro",COUNTIFS($S$5:$S132,"Macro",$P$5:$P132,$P132),IF(N($R132)=0,"?",COUNTIFS(INDEX($S$5:$S$1000,1):INDEX($S$5:$S$1000,$R132-4),"Macro",INDEX($P$5:$P$1000,1):INDEX($P$5:$P$1000,$R132-4),INDEX($P$5:$P$1000,$R132-4))&amp;"."&amp;COUNTIFS($R$5:$R132,$R132,$S$5:$S132,"Sub"))))</f>
        <v/>
      </c>
      <c r="B132" s="62" t="n"/>
      <c r="C132" s="63" t="n"/>
      <c r="D132" s="62" t="n"/>
      <c r="E132" s="64" t="n"/>
      <c r="F132" s="64" t="n"/>
      <c r="G132" s="65" t="n"/>
      <c r="H132" s="66" t="n"/>
      <c r="I132" s="66" t="n"/>
      <c r="J132" s="66" t="n"/>
      <c r="K132" s="66" t="n"/>
      <c r="L132" s="67">
        <f>IF(NOT((COUNTA($B132:$K132)+COUNTA($N132))&gt;0),"",IF(N($T132)&gt;0,$AB132,IFERROR(LOOKUP(2,1/(H132:K132&lt;&gt;""),H132:K132),0)))</f>
        <v/>
      </c>
      <c r="M132" s="61">
        <f>IF(L132="","",IF(L132&gt;=1,"Completado",IF(L132&gt;0,"En curso","Pendiente")))</f>
        <v/>
      </c>
      <c r="N132" s="62" t="n"/>
      <c r="O132" s="68">
        <f>IF(NOT((COUNTA($B132:$K132)+COUNTA($N132))&gt;0),"",IF((IF(AND($S132="Macro",$B132=""),"Macroactividad vacía"&amp;" · ","")&amp;IF(AND($B132&lt;&gt;"",$C132&lt;&gt;""),"Escriba la subactividad en otra fila, debajo de su macroactividad"&amp;" · ","")&amp;IF(AND($S132="Sub",N($R132)=0),"Subactividad sin macroactividad arriba"&amp;" · ","")&amp;IF($D132="","Sin responsable"&amp;" · ","")&amp;IF($E132="","Sin fecha de inicio"&amp;" · ","")&amp;IF($F132="","Sin fecha límite"&amp;" · ","")&amp;IF(OR(AND($E132&lt;&gt;"",NOT(ISNUMBER($E132))),AND($F132&lt;&gt;"",NOT(ISNUMBER($F132)))),"Fecha no válida"&amp;" · ","")&amp;IF(AND(ISNUMBER($E132),ISNUMBER($F132),$E132&gt;$F132),"Inicio posterior a fecha límite"&amp;" · ","")&amp;IF(AND($S132="Macro",$G132=""),"Peso vacío"&amp;" · ","")&amp;IF(AND($S132="Macro",$G132&lt;&gt;"",OR(NOT(ISNUMBER($G132)),$G132&lt;=0,$G132&gt;1)),"Peso fuera de rango"&amp;" · ","")&amp;IF(AND($S132="Sub",$G132&lt;&gt;""),"Las subactividades no llevan peso"&amp;" · ","")&amp;IF(AND($S132="Macro",ABS(SUMIFS($G$5:$G$1000,$P$5:$P$1000,$P132,$S$5:$S$1000,"Macro")-1)&gt;0.0001),"Pesos del mes suman "&amp;TEXT(SUMIFS($G$5:$G$1000,$P$5:$P$1000,$P132,$S$5:$S$1000,"Macro"),"0%")&amp;" · ","")&amp;IF(AND(N($T132)&gt;0,COUNT($H132:$K132)&gt;0),"Con subactividades: deje vacías las semanas (se calculan solas)"&amp;" · ","")&amp;IF((COUNTIF($H132:$K132,"&gt;1")+COUNTIF($H132:$K132,"&lt;0")+COUNTA($H132:$K132)-COUNT($H132:$K132))&gt;0,"Avance fuera de rango 0-100%"&amp;" · ","")&amp;IF(OR(AND($I132&lt;&gt;"",$I132&lt;$H132),AND($J132&lt;&gt;"",$J132&lt;MAX($H132:$I132)),AND($K132&lt;&gt;"",$K132&lt;MAX($H132:$J132))),"Avance semanal decreciente"&amp;" · ","")&amp;IF(AND(ISNUMBER($F132),$F132&lt;FechaRef,N($L132)&lt;1),"Vencida"&amp;" · ","")&amp;IF(AND(ObsObligatoria="Sí",ISNUMBER($F132),$F132&lt;FechaRef,N($L132)&lt;1,$N132=""),"Vencida sin observación"&amp;" · ",""))="","✔ OK","⚠ "&amp;LEFT(IF(AND($S132="Macro",$B132=""),"Macroactividad vacía"&amp;" · ","")&amp;IF(AND($B132&lt;&gt;"",$C132&lt;&gt;""),"Escriba la subactividad en otra fila, debajo de su macroactividad"&amp;" · ","")&amp;IF(AND($S132="Sub",N($R132)=0),"Subactividad sin macroactividad arriba"&amp;" · ","")&amp;IF($D132="","Sin responsable"&amp;" · ","")&amp;IF($E132="","Sin fecha de inicio"&amp;" · ","")&amp;IF($F132="","Sin fecha límite"&amp;" · ","")&amp;IF(OR(AND($E132&lt;&gt;"",NOT(ISNUMBER($E132))),AND($F132&lt;&gt;"",NOT(ISNUMBER($F132)))),"Fecha no válida"&amp;" · ","")&amp;IF(AND(ISNUMBER($E132),ISNUMBER($F132),$E132&gt;$F132),"Inicio posterior a fecha límite"&amp;" · ","")&amp;IF(AND($S132="Macro",$G132=""),"Peso vacío"&amp;" · ","")&amp;IF(AND($S132="Macro",$G132&lt;&gt;"",OR(NOT(ISNUMBER($G132)),$G132&lt;=0,$G132&gt;1)),"Peso fuera de rango"&amp;" · ","")&amp;IF(AND($S132="Sub",$G132&lt;&gt;""),"Las subactividades no llevan peso"&amp;" · ","")&amp;IF(AND($S132="Macro",ABS(SUMIFS($G$5:$G$1000,$P$5:$P$1000,$P132,$S$5:$S$1000,"Macro")-1)&gt;0.0001),"Pesos del mes suman "&amp;TEXT(SUMIFS($G$5:$G$1000,$P$5:$P$1000,$P132,$S$5:$S$1000,"Macro"),"0%")&amp;" · ","")&amp;IF(AND(N($T132)&gt;0,COUNT($H132:$K132)&gt;0),"Con subactividades: deje vacías las semanas (se calculan solas)"&amp;" · ","")&amp;IF((COUNTIF($H132:$K132,"&gt;1")+COUNTIF($H132:$K132,"&lt;0")+COUNTA($H132:$K132)-COUNT($H132:$K132))&gt;0,"Avance fuera de rango 0-100%"&amp;" · ","")&amp;IF(OR(AND($I132&lt;&gt;"",$I132&lt;$H132),AND($J132&lt;&gt;"",$J132&lt;MAX($H132:$I132)),AND($K132&lt;&gt;"",$K132&lt;MAX($H132:$J132))),"Avance semanal decreciente"&amp;" · ","")&amp;IF(AND(ISNUMBER($F132),$F132&lt;FechaRef,N($L132)&lt;1),"Vencida"&amp;" · ","")&amp;IF(AND(ObsObligatoria="Sí",ISNUMBER($F132),$F132&lt;FechaRef,N($L132)&lt;1,$N132=""),"Vencida sin observación"&amp;" · ",""),LEN(IF(AND($S132="Macro",$B132=""),"Macroactividad vacía"&amp;" · ","")&amp;IF(AND($B132&lt;&gt;"",$C132&lt;&gt;""),"Escriba la subactividad en otra fila, debajo de su macroactividad"&amp;" · ","")&amp;IF(AND($S132="Sub",N($R132)=0),"Subactividad sin macroactividad arriba"&amp;" · ","")&amp;IF($D132="","Sin responsable"&amp;" · ","")&amp;IF($E132="","Sin fecha de inicio"&amp;" · ","")&amp;IF($F132="","Sin fecha límite"&amp;" · ","")&amp;IF(OR(AND($E132&lt;&gt;"",NOT(ISNUMBER($E132))),AND($F132&lt;&gt;"",NOT(ISNUMBER($F132)))),"Fecha no válida"&amp;" · ","")&amp;IF(AND(ISNUMBER($E132),ISNUMBER($F132),$E132&gt;$F132),"Inicio posterior a fecha límite"&amp;" · ","")&amp;IF(AND($S132="Macro",$G132=""),"Peso vacío"&amp;" · ","")&amp;IF(AND($S132="Macro",$G132&lt;&gt;"",OR(NOT(ISNUMBER($G132)),$G132&lt;=0,$G132&gt;1)),"Peso fuera de rango"&amp;" · ","")&amp;IF(AND($S132="Sub",$G132&lt;&gt;""),"Las subactividades no llevan peso"&amp;" · ","")&amp;IF(AND($S132="Macro",ABS(SUMIFS($G$5:$G$1000,$P$5:$P$1000,$P132,$S$5:$S$1000,"Macro")-1)&gt;0.0001),"Pesos del mes suman "&amp;TEXT(SUMIFS($G$5:$G$1000,$P$5:$P$1000,$P132,$S$5:$S$1000,"Macro"),"0%")&amp;" · ","")&amp;IF(AND(N($T132)&gt;0,COUNT($H132:$K132)&gt;0),"Con subactividades: deje vacías las semanas (se calculan solas)"&amp;" · ","")&amp;IF((COUNTIF($H132:$K132,"&gt;1")+COUNTIF($H132:$K132,"&lt;0")+COUNTA($H132:$K132)-COUNT($H132:$K132))&gt;0,"Avance fuera de rango 0-100%"&amp;" · ","")&amp;IF(OR(AND($I132&lt;&gt;"",$I132&lt;$H132),AND($J132&lt;&gt;"",$J132&lt;MAX($H132:$I132)),AND($K132&lt;&gt;"",$K132&lt;MAX($H132:$J132))),"Avance semanal decreciente"&amp;" · ","")&amp;IF(AND(ISNUMBER($F132),$F132&lt;FechaRef,N($L132)&lt;1),"Vencida"&amp;" · ","")&amp;IF(AND(ObsObligatoria="Sí",ISNUMBER($F132),$F132&lt;FechaRef,N($L132)&lt;1,$N132=""),"Vencida sin observación"&amp;" · ",""))-3)))</f>
        <v/>
      </c>
      <c r="P132" s="69">
        <f>IF(NOT((COUNTA($B132:$K132)+COUNTA($N132))&gt;0),"",IF(AND($S132="Sub",N($R132)&gt;0),IF(ISNUMBER(INDEX($E$5:$E$1000,$R132-4)),DATE(YEAR(INDEX($E$5:$E$1000,$R132-4)),MONTH(INDEX($E$5:$E$1000,$R132-4)),1),IF(ISNUMBER(INDEX($F$5:$F$1000,$R132-4)),DATE(YEAR(INDEX($F$5:$F$1000,$R132-4)),MONTH(INDEX($F$5:$F$1000,$R132-4)),1),MesCiclo)),IF(ISNUMBER($E132),DATE(YEAR($E132),MONTH($E132),1),IF(ISNUMBER($F132),DATE(YEAR($F132),MONTH($F132),1),MesCiclo))))</f>
        <v/>
      </c>
      <c r="Q132" s="70">
        <f>IF(OR($P132="",$P132&lt;&gt;MesCiclo),"",COUNTIF($P$5:$P132,MesCiclo))</f>
        <v/>
      </c>
      <c r="R132" s="70">
        <f>IF($S132="","",IF($S132="Macro",ROW(),IFERROR(LOOKUP(2,1/($S$5:$S132="Macro"),ROW($S$5:$S132)),0)))</f>
        <v/>
      </c>
      <c r="S132" s="70">
        <f>IF(NOT((COUNTA($B132:$K132)+COUNTA($N132))&gt;0),"",IF($B132&lt;&gt;"","Macro",IF($C132&lt;&gt;"","Sub","Macro")))</f>
        <v/>
      </c>
      <c r="T132" s="70">
        <f>IF($S132="Macro",COUNTIFS($R$5:$R$1000,ROW(),$S$5:$S$1000,"Sub"),"")</f>
        <v/>
      </c>
      <c r="U132" s="70">
        <f>IF($S132="","",IF(ISNUMBER($H132),$H132,0))</f>
        <v/>
      </c>
      <c r="V132" s="70">
        <f>IF($S132="","",IF(ISNUMBER($I132),$I132,$U132))</f>
        <v/>
      </c>
      <c r="W132" s="70">
        <f>IF($S132="","",IF(ISNUMBER($J132),$J132,$V132))</f>
        <v/>
      </c>
      <c r="X132" s="70">
        <f>IF($S132="","",IF(ISNUMBER($K132),$K132,$W132))</f>
        <v/>
      </c>
      <c r="Y132" s="70">
        <f>IF($S132="","",IF(N($T132)&gt;0,AVERAGEIFS($U$5:$U$1000,$R$5:$R$1000,ROW(),$S$5:$S$1000,"Sub"),$U132))</f>
        <v/>
      </c>
      <c r="Z132" s="70">
        <f>IF($S132="","",IF(N($T132)&gt;0,AVERAGEIFS($V$5:$V$1000,$R$5:$R$1000,ROW(),$S$5:$S$1000,"Sub"),$V132))</f>
        <v/>
      </c>
      <c r="AA132" s="70">
        <f>IF($S132="","",IF(N($T132)&gt;0,AVERAGEIFS($W$5:$W$1000,$R$5:$R$1000,ROW(),$S$5:$S$1000,"Sub"),$W132))</f>
        <v/>
      </c>
      <c r="AB132" s="70">
        <f>IF($S132="","",IF(N($T132)&gt;0,AVERAGEIFS($X$5:$X$1000,$R$5:$R$1000,ROW(),$S$5:$S$1000,"Sub"),$X132))</f>
        <v/>
      </c>
    </row>
    <row r="133">
      <c r="A133" s="61">
        <f>IF(NOT((COUNTA($B133:$K133)+COUNTA($N133))&gt;0),"",IF($S133="Macro",COUNTIFS($S$5:$S133,"Macro",$P$5:$P133,$P133),IF(N($R133)=0,"?",COUNTIFS(INDEX($S$5:$S$1000,1):INDEX($S$5:$S$1000,$R133-4),"Macro",INDEX($P$5:$P$1000,1):INDEX($P$5:$P$1000,$R133-4),INDEX($P$5:$P$1000,$R133-4))&amp;"."&amp;COUNTIFS($R$5:$R133,$R133,$S$5:$S133,"Sub"))))</f>
        <v/>
      </c>
      <c r="B133" s="62" t="n"/>
      <c r="C133" s="63" t="n"/>
      <c r="D133" s="62" t="n"/>
      <c r="E133" s="64" t="n"/>
      <c r="F133" s="64" t="n"/>
      <c r="G133" s="65" t="n"/>
      <c r="H133" s="66" t="n"/>
      <c r="I133" s="66" t="n"/>
      <c r="J133" s="66" t="n"/>
      <c r="K133" s="66" t="n"/>
      <c r="L133" s="67">
        <f>IF(NOT((COUNTA($B133:$K133)+COUNTA($N133))&gt;0),"",IF(N($T133)&gt;0,$AB133,IFERROR(LOOKUP(2,1/(H133:K133&lt;&gt;""),H133:K133),0)))</f>
        <v/>
      </c>
      <c r="M133" s="61">
        <f>IF(L133="","",IF(L133&gt;=1,"Completado",IF(L133&gt;0,"En curso","Pendiente")))</f>
        <v/>
      </c>
      <c r="N133" s="62" t="n"/>
      <c r="O133" s="68">
        <f>IF(NOT((COUNTA($B133:$K133)+COUNTA($N133))&gt;0),"",IF((IF(AND($S133="Macro",$B133=""),"Macroactividad vacía"&amp;" · ","")&amp;IF(AND($B133&lt;&gt;"",$C133&lt;&gt;""),"Escriba la subactividad en otra fila, debajo de su macroactividad"&amp;" · ","")&amp;IF(AND($S133="Sub",N($R133)=0),"Subactividad sin macroactividad arriba"&amp;" · ","")&amp;IF($D133="","Sin responsable"&amp;" · ","")&amp;IF($E133="","Sin fecha de inicio"&amp;" · ","")&amp;IF($F133="","Sin fecha límite"&amp;" · ","")&amp;IF(OR(AND($E133&lt;&gt;"",NOT(ISNUMBER($E133))),AND($F133&lt;&gt;"",NOT(ISNUMBER($F133)))),"Fecha no válida"&amp;" · ","")&amp;IF(AND(ISNUMBER($E133),ISNUMBER($F133),$E133&gt;$F133),"Inicio posterior a fecha límite"&amp;" · ","")&amp;IF(AND($S133="Macro",$G133=""),"Peso vacío"&amp;" · ","")&amp;IF(AND($S133="Macro",$G133&lt;&gt;"",OR(NOT(ISNUMBER($G133)),$G133&lt;=0,$G133&gt;1)),"Peso fuera de rango"&amp;" · ","")&amp;IF(AND($S133="Sub",$G133&lt;&gt;""),"Las subactividades no llevan peso"&amp;" · ","")&amp;IF(AND($S133="Macro",ABS(SUMIFS($G$5:$G$1000,$P$5:$P$1000,$P133,$S$5:$S$1000,"Macro")-1)&gt;0.0001),"Pesos del mes suman "&amp;TEXT(SUMIFS($G$5:$G$1000,$P$5:$P$1000,$P133,$S$5:$S$1000,"Macro"),"0%")&amp;" · ","")&amp;IF(AND(N($T133)&gt;0,COUNT($H133:$K133)&gt;0),"Con subactividades: deje vacías las semanas (se calculan solas)"&amp;" · ","")&amp;IF((COUNTIF($H133:$K133,"&gt;1")+COUNTIF($H133:$K133,"&lt;0")+COUNTA($H133:$K133)-COUNT($H133:$K133))&gt;0,"Avance fuera de rango 0-100%"&amp;" · ","")&amp;IF(OR(AND($I133&lt;&gt;"",$I133&lt;$H133),AND($J133&lt;&gt;"",$J133&lt;MAX($H133:$I133)),AND($K133&lt;&gt;"",$K133&lt;MAX($H133:$J133))),"Avance semanal decreciente"&amp;" · ","")&amp;IF(AND(ISNUMBER($F133),$F133&lt;FechaRef,N($L133)&lt;1),"Vencida"&amp;" · ","")&amp;IF(AND(ObsObligatoria="Sí",ISNUMBER($F133),$F133&lt;FechaRef,N($L133)&lt;1,$N133=""),"Vencida sin observación"&amp;" · ",""))="","✔ OK","⚠ "&amp;LEFT(IF(AND($S133="Macro",$B133=""),"Macroactividad vacía"&amp;" · ","")&amp;IF(AND($B133&lt;&gt;"",$C133&lt;&gt;""),"Escriba la subactividad en otra fila, debajo de su macroactividad"&amp;" · ","")&amp;IF(AND($S133="Sub",N($R133)=0),"Subactividad sin macroactividad arriba"&amp;" · ","")&amp;IF($D133="","Sin responsable"&amp;" · ","")&amp;IF($E133="","Sin fecha de inicio"&amp;" · ","")&amp;IF($F133="","Sin fecha límite"&amp;" · ","")&amp;IF(OR(AND($E133&lt;&gt;"",NOT(ISNUMBER($E133))),AND($F133&lt;&gt;"",NOT(ISNUMBER($F133)))),"Fecha no válida"&amp;" · ","")&amp;IF(AND(ISNUMBER($E133),ISNUMBER($F133),$E133&gt;$F133),"Inicio posterior a fecha límite"&amp;" · ","")&amp;IF(AND($S133="Macro",$G133=""),"Peso vacío"&amp;" · ","")&amp;IF(AND($S133="Macro",$G133&lt;&gt;"",OR(NOT(ISNUMBER($G133)),$G133&lt;=0,$G133&gt;1)),"Peso fuera de rango"&amp;" · ","")&amp;IF(AND($S133="Sub",$G133&lt;&gt;""),"Las subactividades no llevan peso"&amp;" · ","")&amp;IF(AND($S133="Macro",ABS(SUMIFS($G$5:$G$1000,$P$5:$P$1000,$P133,$S$5:$S$1000,"Macro")-1)&gt;0.0001),"Pesos del mes suman "&amp;TEXT(SUMIFS($G$5:$G$1000,$P$5:$P$1000,$P133,$S$5:$S$1000,"Macro"),"0%")&amp;" · ","")&amp;IF(AND(N($T133)&gt;0,COUNT($H133:$K133)&gt;0),"Con subactividades: deje vacías las semanas (se calculan solas)"&amp;" · ","")&amp;IF((COUNTIF($H133:$K133,"&gt;1")+COUNTIF($H133:$K133,"&lt;0")+COUNTA($H133:$K133)-COUNT($H133:$K133))&gt;0,"Avance fuera de rango 0-100%"&amp;" · ","")&amp;IF(OR(AND($I133&lt;&gt;"",$I133&lt;$H133),AND($J133&lt;&gt;"",$J133&lt;MAX($H133:$I133)),AND($K133&lt;&gt;"",$K133&lt;MAX($H133:$J133))),"Avance semanal decreciente"&amp;" · ","")&amp;IF(AND(ISNUMBER($F133),$F133&lt;FechaRef,N($L133)&lt;1),"Vencida"&amp;" · ","")&amp;IF(AND(ObsObligatoria="Sí",ISNUMBER($F133),$F133&lt;FechaRef,N($L133)&lt;1,$N133=""),"Vencida sin observación"&amp;" · ",""),LEN(IF(AND($S133="Macro",$B133=""),"Macroactividad vacía"&amp;" · ","")&amp;IF(AND($B133&lt;&gt;"",$C133&lt;&gt;""),"Escriba la subactividad en otra fila, debajo de su macroactividad"&amp;" · ","")&amp;IF(AND($S133="Sub",N($R133)=0),"Subactividad sin macroactividad arriba"&amp;" · ","")&amp;IF($D133="","Sin responsable"&amp;" · ","")&amp;IF($E133="","Sin fecha de inicio"&amp;" · ","")&amp;IF($F133="","Sin fecha límite"&amp;" · ","")&amp;IF(OR(AND($E133&lt;&gt;"",NOT(ISNUMBER($E133))),AND($F133&lt;&gt;"",NOT(ISNUMBER($F133)))),"Fecha no válida"&amp;" · ","")&amp;IF(AND(ISNUMBER($E133),ISNUMBER($F133),$E133&gt;$F133),"Inicio posterior a fecha límite"&amp;" · ","")&amp;IF(AND($S133="Macro",$G133=""),"Peso vacío"&amp;" · ","")&amp;IF(AND($S133="Macro",$G133&lt;&gt;"",OR(NOT(ISNUMBER($G133)),$G133&lt;=0,$G133&gt;1)),"Peso fuera de rango"&amp;" · ","")&amp;IF(AND($S133="Sub",$G133&lt;&gt;""),"Las subactividades no llevan peso"&amp;" · ","")&amp;IF(AND($S133="Macro",ABS(SUMIFS($G$5:$G$1000,$P$5:$P$1000,$P133,$S$5:$S$1000,"Macro")-1)&gt;0.0001),"Pesos del mes suman "&amp;TEXT(SUMIFS($G$5:$G$1000,$P$5:$P$1000,$P133,$S$5:$S$1000,"Macro"),"0%")&amp;" · ","")&amp;IF(AND(N($T133)&gt;0,COUNT($H133:$K133)&gt;0),"Con subactividades: deje vacías las semanas (se calculan solas)"&amp;" · ","")&amp;IF((COUNTIF($H133:$K133,"&gt;1")+COUNTIF($H133:$K133,"&lt;0")+COUNTA($H133:$K133)-COUNT($H133:$K133))&gt;0,"Avance fuera de rango 0-100%"&amp;" · ","")&amp;IF(OR(AND($I133&lt;&gt;"",$I133&lt;$H133),AND($J133&lt;&gt;"",$J133&lt;MAX($H133:$I133)),AND($K133&lt;&gt;"",$K133&lt;MAX($H133:$J133))),"Avance semanal decreciente"&amp;" · ","")&amp;IF(AND(ISNUMBER($F133),$F133&lt;FechaRef,N($L133)&lt;1),"Vencida"&amp;" · ","")&amp;IF(AND(ObsObligatoria="Sí",ISNUMBER($F133),$F133&lt;FechaRef,N($L133)&lt;1,$N133=""),"Vencida sin observación"&amp;" · ",""))-3)))</f>
        <v/>
      </c>
      <c r="P133" s="69">
        <f>IF(NOT((COUNTA($B133:$K133)+COUNTA($N133))&gt;0),"",IF(AND($S133="Sub",N($R133)&gt;0),IF(ISNUMBER(INDEX($E$5:$E$1000,$R133-4)),DATE(YEAR(INDEX($E$5:$E$1000,$R133-4)),MONTH(INDEX($E$5:$E$1000,$R133-4)),1),IF(ISNUMBER(INDEX($F$5:$F$1000,$R133-4)),DATE(YEAR(INDEX($F$5:$F$1000,$R133-4)),MONTH(INDEX($F$5:$F$1000,$R133-4)),1),MesCiclo)),IF(ISNUMBER($E133),DATE(YEAR($E133),MONTH($E133),1),IF(ISNUMBER($F133),DATE(YEAR($F133),MONTH($F133),1),MesCiclo))))</f>
        <v/>
      </c>
      <c r="Q133" s="70">
        <f>IF(OR($P133="",$P133&lt;&gt;MesCiclo),"",COUNTIF($P$5:$P133,MesCiclo))</f>
        <v/>
      </c>
      <c r="R133" s="70">
        <f>IF($S133="","",IF($S133="Macro",ROW(),IFERROR(LOOKUP(2,1/($S$5:$S133="Macro"),ROW($S$5:$S133)),0)))</f>
        <v/>
      </c>
      <c r="S133" s="70">
        <f>IF(NOT((COUNTA($B133:$K133)+COUNTA($N133))&gt;0),"",IF($B133&lt;&gt;"","Macro",IF($C133&lt;&gt;"","Sub","Macro")))</f>
        <v/>
      </c>
      <c r="T133" s="70">
        <f>IF($S133="Macro",COUNTIFS($R$5:$R$1000,ROW(),$S$5:$S$1000,"Sub"),"")</f>
        <v/>
      </c>
      <c r="U133" s="70">
        <f>IF($S133="","",IF(ISNUMBER($H133),$H133,0))</f>
        <v/>
      </c>
      <c r="V133" s="70">
        <f>IF($S133="","",IF(ISNUMBER($I133),$I133,$U133))</f>
        <v/>
      </c>
      <c r="W133" s="70">
        <f>IF($S133="","",IF(ISNUMBER($J133),$J133,$V133))</f>
        <v/>
      </c>
      <c r="X133" s="70">
        <f>IF($S133="","",IF(ISNUMBER($K133),$K133,$W133))</f>
        <v/>
      </c>
      <c r="Y133" s="70">
        <f>IF($S133="","",IF(N($T133)&gt;0,AVERAGEIFS($U$5:$U$1000,$R$5:$R$1000,ROW(),$S$5:$S$1000,"Sub"),$U133))</f>
        <v/>
      </c>
      <c r="Z133" s="70">
        <f>IF($S133="","",IF(N($T133)&gt;0,AVERAGEIFS($V$5:$V$1000,$R$5:$R$1000,ROW(),$S$5:$S$1000,"Sub"),$V133))</f>
        <v/>
      </c>
      <c r="AA133" s="70">
        <f>IF($S133="","",IF(N($T133)&gt;0,AVERAGEIFS($W$5:$W$1000,$R$5:$R$1000,ROW(),$S$5:$S$1000,"Sub"),$W133))</f>
        <v/>
      </c>
      <c r="AB133" s="70">
        <f>IF($S133="","",IF(N($T133)&gt;0,AVERAGEIFS($X$5:$X$1000,$R$5:$R$1000,ROW(),$S$5:$S$1000,"Sub"),$X133))</f>
        <v/>
      </c>
    </row>
    <row r="134">
      <c r="A134" s="61">
        <f>IF(NOT((COUNTA($B134:$K134)+COUNTA($N134))&gt;0),"",IF($S134="Macro",COUNTIFS($S$5:$S134,"Macro",$P$5:$P134,$P134),IF(N($R134)=0,"?",COUNTIFS(INDEX($S$5:$S$1000,1):INDEX($S$5:$S$1000,$R134-4),"Macro",INDEX($P$5:$P$1000,1):INDEX($P$5:$P$1000,$R134-4),INDEX($P$5:$P$1000,$R134-4))&amp;"."&amp;COUNTIFS($R$5:$R134,$R134,$S$5:$S134,"Sub"))))</f>
        <v/>
      </c>
      <c r="B134" s="62" t="n"/>
      <c r="C134" s="63" t="n"/>
      <c r="D134" s="62" t="n"/>
      <c r="E134" s="64" t="n"/>
      <c r="F134" s="64" t="n"/>
      <c r="G134" s="65" t="n"/>
      <c r="H134" s="66" t="n"/>
      <c r="I134" s="66" t="n"/>
      <c r="J134" s="66" t="n"/>
      <c r="K134" s="66" t="n"/>
      <c r="L134" s="67">
        <f>IF(NOT((COUNTA($B134:$K134)+COUNTA($N134))&gt;0),"",IF(N($T134)&gt;0,$AB134,IFERROR(LOOKUP(2,1/(H134:K134&lt;&gt;""),H134:K134),0)))</f>
        <v/>
      </c>
      <c r="M134" s="61">
        <f>IF(L134="","",IF(L134&gt;=1,"Completado",IF(L134&gt;0,"En curso","Pendiente")))</f>
        <v/>
      </c>
      <c r="N134" s="62" t="n"/>
      <c r="O134" s="68">
        <f>IF(NOT((COUNTA($B134:$K134)+COUNTA($N134))&gt;0),"",IF((IF(AND($S134="Macro",$B134=""),"Macroactividad vacía"&amp;" · ","")&amp;IF(AND($B134&lt;&gt;"",$C134&lt;&gt;""),"Escriba la subactividad en otra fila, debajo de su macroactividad"&amp;" · ","")&amp;IF(AND($S134="Sub",N($R134)=0),"Subactividad sin macroactividad arriba"&amp;" · ","")&amp;IF($D134="","Sin responsable"&amp;" · ","")&amp;IF($E134="","Sin fecha de inicio"&amp;" · ","")&amp;IF($F134="","Sin fecha límite"&amp;" · ","")&amp;IF(OR(AND($E134&lt;&gt;"",NOT(ISNUMBER($E134))),AND($F134&lt;&gt;"",NOT(ISNUMBER($F134)))),"Fecha no válida"&amp;" · ","")&amp;IF(AND(ISNUMBER($E134),ISNUMBER($F134),$E134&gt;$F134),"Inicio posterior a fecha límite"&amp;" · ","")&amp;IF(AND($S134="Macro",$G134=""),"Peso vacío"&amp;" · ","")&amp;IF(AND($S134="Macro",$G134&lt;&gt;"",OR(NOT(ISNUMBER($G134)),$G134&lt;=0,$G134&gt;1)),"Peso fuera de rango"&amp;" · ","")&amp;IF(AND($S134="Sub",$G134&lt;&gt;""),"Las subactividades no llevan peso"&amp;" · ","")&amp;IF(AND($S134="Macro",ABS(SUMIFS($G$5:$G$1000,$P$5:$P$1000,$P134,$S$5:$S$1000,"Macro")-1)&gt;0.0001),"Pesos del mes suman "&amp;TEXT(SUMIFS($G$5:$G$1000,$P$5:$P$1000,$P134,$S$5:$S$1000,"Macro"),"0%")&amp;" · ","")&amp;IF(AND(N($T134)&gt;0,COUNT($H134:$K134)&gt;0),"Con subactividades: deje vacías las semanas (se calculan solas)"&amp;" · ","")&amp;IF((COUNTIF($H134:$K134,"&gt;1")+COUNTIF($H134:$K134,"&lt;0")+COUNTA($H134:$K134)-COUNT($H134:$K134))&gt;0,"Avance fuera de rango 0-100%"&amp;" · ","")&amp;IF(OR(AND($I134&lt;&gt;"",$I134&lt;$H134),AND($J134&lt;&gt;"",$J134&lt;MAX($H134:$I134)),AND($K134&lt;&gt;"",$K134&lt;MAX($H134:$J134))),"Avance semanal decreciente"&amp;" · ","")&amp;IF(AND(ISNUMBER($F134),$F134&lt;FechaRef,N($L134)&lt;1),"Vencida"&amp;" · ","")&amp;IF(AND(ObsObligatoria="Sí",ISNUMBER($F134),$F134&lt;FechaRef,N($L134)&lt;1,$N134=""),"Vencida sin observación"&amp;" · ",""))="","✔ OK","⚠ "&amp;LEFT(IF(AND($S134="Macro",$B134=""),"Macroactividad vacía"&amp;" · ","")&amp;IF(AND($B134&lt;&gt;"",$C134&lt;&gt;""),"Escriba la subactividad en otra fila, debajo de su macroactividad"&amp;" · ","")&amp;IF(AND($S134="Sub",N($R134)=0),"Subactividad sin macroactividad arriba"&amp;" · ","")&amp;IF($D134="","Sin responsable"&amp;" · ","")&amp;IF($E134="","Sin fecha de inicio"&amp;" · ","")&amp;IF($F134="","Sin fecha límite"&amp;" · ","")&amp;IF(OR(AND($E134&lt;&gt;"",NOT(ISNUMBER($E134))),AND($F134&lt;&gt;"",NOT(ISNUMBER($F134)))),"Fecha no válida"&amp;" · ","")&amp;IF(AND(ISNUMBER($E134),ISNUMBER($F134),$E134&gt;$F134),"Inicio posterior a fecha límite"&amp;" · ","")&amp;IF(AND($S134="Macro",$G134=""),"Peso vacío"&amp;" · ","")&amp;IF(AND($S134="Macro",$G134&lt;&gt;"",OR(NOT(ISNUMBER($G134)),$G134&lt;=0,$G134&gt;1)),"Peso fuera de rango"&amp;" · ","")&amp;IF(AND($S134="Sub",$G134&lt;&gt;""),"Las subactividades no llevan peso"&amp;" · ","")&amp;IF(AND($S134="Macro",ABS(SUMIFS($G$5:$G$1000,$P$5:$P$1000,$P134,$S$5:$S$1000,"Macro")-1)&gt;0.0001),"Pesos del mes suman "&amp;TEXT(SUMIFS($G$5:$G$1000,$P$5:$P$1000,$P134,$S$5:$S$1000,"Macro"),"0%")&amp;" · ","")&amp;IF(AND(N($T134)&gt;0,COUNT($H134:$K134)&gt;0),"Con subactividades: deje vacías las semanas (se calculan solas)"&amp;" · ","")&amp;IF((COUNTIF($H134:$K134,"&gt;1")+COUNTIF($H134:$K134,"&lt;0")+COUNTA($H134:$K134)-COUNT($H134:$K134))&gt;0,"Avance fuera de rango 0-100%"&amp;" · ","")&amp;IF(OR(AND($I134&lt;&gt;"",$I134&lt;$H134),AND($J134&lt;&gt;"",$J134&lt;MAX($H134:$I134)),AND($K134&lt;&gt;"",$K134&lt;MAX($H134:$J134))),"Avance semanal decreciente"&amp;" · ","")&amp;IF(AND(ISNUMBER($F134),$F134&lt;FechaRef,N($L134)&lt;1),"Vencida"&amp;" · ","")&amp;IF(AND(ObsObligatoria="Sí",ISNUMBER($F134),$F134&lt;FechaRef,N($L134)&lt;1,$N134=""),"Vencida sin observación"&amp;" · ",""),LEN(IF(AND($S134="Macro",$B134=""),"Macroactividad vacía"&amp;" · ","")&amp;IF(AND($B134&lt;&gt;"",$C134&lt;&gt;""),"Escriba la subactividad en otra fila, debajo de su macroactividad"&amp;" · ","")&amp;IF(AND($S134="Sub",N($R134)=0),"Subactividad sin macroactividad arriba"&amp;" · ","")&amp;IF($D134="","Sin responsable"&amp;" · ","")&amp;IF($E134="","Sin fecha de inicio"&amp;" · ","")&amp;IF($F134="","Sin fecha límite"&amp;" · ","")&amp;IF(OR(AND($E134&lt;&gt;"",NOT(ISNUMBER($E134))),AND($F134&lt;&gt;"",NOT(ISNUMBER($F134)))),"Fecha no válida"&amp;" · ","")&amp;IF(AND(ISNUMBER($E134),ISNUMBER($F134),$E134&gt;$F134),"Inicio posterior a fecha límite"&amp;" · ","")&amp;IF(AND($S134="Macro",$G134=""),"Peso vacío"&amp;" · ","")&amp;IF(AND($S134="Macro",$G134&lt;&gt;"",OR(NOT(ISNUMBER($G134)),$G134&lt;=0,$G134&gt;1)),"Peso fuera de rango"&amp;" · ","")&amp;IF(AND($S134="Sub",$G134&lt;&gt;""),"Las subactividades no llevan peso"&amp;" · ","")&amp;IF(AND($S134="Macro",ABS(SUMIFS($G$5:$G$1000,$P$5:$P$1000,$P134,$S$5:$S$1000,"Macro")-1)&gt;0.0001),"Pesos del mes suman "&amp;TEXT(SUMIFS($G$5:$G$1000,$P$5:$P$1000,$P134,$S$5:$S$1000,"Macro"),"0%")&amp;" · ","")&amp;IF(AND(N($T134)&gt;0,COUNT($H134:$K134)&gt;0),"Con subactividades: deje vacías las semanas (se calculan solas)"&amp;" · ","")&amp;IF((COUNTIF($H134:$K134,"&gt;1")+COUNTIF($H134:$K134,"&lt;0")+COUNTA($H134:$K134)-COUNT($H134:$K134))&gt;0,"Avance fuera de rango 0-100%"&amp;" · ","")&amp;IF(OR(AND($I134&lt;&gt;"",$I134&lt;$H134),AND($J134&lt;&gt;"",$J134&lt;MAX($H134:$I134)),AND($K134&lt;&gt;"",$K134&lt;MAX($H134:$J134))),"Avance semanal decreciente"&amp;" · ","")&amp;IF(AND(ISNUMBER($F134),$F134&lt;FechaRef,N($L134)&lt;1),"Vencida"&amp;" · ","")&amp;IF(AND(ObsObligatoria="Sí",ISNUMBER($F134),$F134&lt;FechaRef,N($L134)&lt;1,$N134=""),"Vencida sin observación"&amp;" · ",""))-3)))</f>
        <v/>
      </c>
      <c r="P134" s="69">
        <f>IF(NOT((COUNTA($B134:$K134)+COUNTA($N134))&gt;0),"",IF(AND($S134="Sub",N($R134)&gt;0),IF(ISNUMBER(INDEX($E$5:$E$1000,$R134-4)),DATE(YEAR(INDEX($E$5:$E$1000,$R134-4)),MONTH(INDEX($E$5:$E$1000,$R134-4)),1),IF(ISNUMBER(INDEX($F$5:$F$1000,$R134-4)),DATE(YEAR(INDEX($F$5:$F$1000,$R134-4)),MONTH(INDEX($F$5:$F$1000,$R134-4)),1),MesCiclo)),IF(ISNUMBER($E134),DATE(YEAR($E134),MONTH($E134),1),IF(ISNUMBER($F134),DATE(YEAR($F134),MONTH($F134),1),MesCiclo))))</f>
        <v/>
      </c>
      <c r="Q134" s="70">
        <f>IF(OR($P134="",$P134&lt;&gt;MesCiclo),"",COUNTIF($P$5:$P134,MesCiclo))</f>
        <v/>
      </c>
      <c r="R134" s="70">
        <f>IF($S134="","",IF($S134="Macro",ROW(),IFERROR(LOOKUP(2,1/($S$5:$S134="Macro"),ROW($S$5:$S134)),0)))</f>
        <v/>
      </c>
      <c r="S134" s="70">
        <f>IF(NOT((COUNTA($B134:$K134)+COUNTA($N134))&gt;0),"",IF($B134&lt;&gt;"","Macro",IF($C134&lt;&gt;"","Sub","Macro")))</f>
        <v/>
      </c>
      <c r="T134" s="70">
        <f>IF($S134="Macro",COUNTIFS($R$5:$R$1000,ROW(),$S$5:$S$1000,"Sub"),"")</f>
        <v/>
      </c>
      <c r="U134" s="70">
        <f>IF($S134="","",IF(ISNUMBER($H134),$H134,0))</f>
        <v/>
      </c>
      <c r="V134" s="70">
        <f>IF($S134="","",IF(ISNUMBER($I134),$I134,$U134))</f>
        <v/>
      </c>
      <c r="W134" s="70">
        <f>IF($S134="","",IF(ISNUMBER($J134),$J134,$V134))</f>
        <v/>
      </c>
      <c r="X134" s="70">
        <f>IF($S134="","",IF(ISNUMBER($K134),$K134,$W134))</f>
        <v/>
      </c>
      <c r="Y134" s="70">
        <f>IF($S134="","",IF(N($T134)&gt;0,AVERAGEIFS($U$5:$U$1000,$R$5:$R$1000,ROW(),$S$5:$S$1000,"Sub"),$U134))</f>
        <v/>
      </c>
      <c r="Z134" s="70">
        <f>IF($S134="","",IF(N($T134)&gt;0,AVERAGEIFS($V$5:$V$1000,$R$5:$R$1000,ROW(),$S$5:$S$1000,"Sub"),$V134))</f>
        <v/>
      </c>
      <c r="AA134" s="70">
        <f>IF($S134="","",IF(N($T134)&gt;0,AVERAGEIFS($W$5:$W$1000,$R$5:$R$1000,ROW(),$S$5:$S$1000,"Sub"),$W134))</f>
        <v/>
      </c>
      <c r="AB134" s="70">
        <f>IF($S134="","",IF(N($T134)&gt;0,AVERAGEIFS($X$5:$X$1000,$R$5:$R$1000,ROW(),$S$5:$S$1000,"Sub"),$X134))</f>
        <v/>
      </c>
    </row>
    <row r="135">
      <c r="A135" s="61">
        <f>IF(NOT((COUNTA($B135:$K135)+COUNTA($N135))&gt;0),"",IF($S135="Macro",COUNTIFS($S$5:$S135,"Macro",$P$5:$P135,$P135),IF(N($R135)=0,"?",COUNTIFS(INDEX($S$5:$S$1000,1):INDEX($S$5:$S$1000,$R135-4),"Macro",INDEX($P$5:$P$1000,1):INDEX($P$5:$P$1000,$R135-4),INDEX($P$5:$P$1000,$R135-4))&amp;"."&amp;COUNTIFS($R$5:$R135,$R135,$S$5:$S135,"Sub"))))</f>
        <v/>
      </c>
      <c r="B135" s="62" t="n"/>
      <c r="C135" s="63" t="n"/>
      <c r="D135" s="62" t="n"/>
      <c r="E135" s="64" t="n"/>
      <c r="F135" s="64" t="n"/>
      <c r="G135" s="65" t="n"/>
      <c r="H135" s="66" t="n"/>
      <c r="I135" s="66" t="n"/>
      <c r="J135" s="66" t="n"/>
      <c r="K135" s="66" t="n"/>
      <c r="L135" s="67">
        <f>IF(NOT((COUNTA($B135:$K135)+COUNTA($N135))&gt;0),"",IF(N($T135)&gt;0,$AB135,IFERROR(LOOKUP(2,1/(H135:K135&lt;&gt;""),H135:K135),0)))</f>
        <v/>
      </c>
      <c r="M135" s="61">
        <f>IF(L135="","",IF(L135&gt;=1,"Completado",IF(L135&gt;0,"En curso","Pendiente")))</f>
        <v/>
      </c>
      <c r="N135" s="62" t="n"/>
      <c r="O135" s="68">
        <f>IF(NOT((COUNTA($B135:$K135)+COUNTA($N135))&gt;0),"",IF((IF(AND($S135="Macro",$B135=""),"Macroactividad vacía"&amp;" · ","")&amp;IF(AND($B135&lt;&gt;"",$C135&lt;&gt;""),"Escriba la subactividad en otra fila, debajo de su macroactividad"&amp;" · ","")&amp;IF(AND($S135="Sub",N($R135)=0),"Subactividad sin macroactividad arriba"&amp;" · ","")&amp;IF($D135="","Sin responsable"&amp;" · ","")&amp;IF($E135="","Sin fecha de inicio"&amp;" · ","")&amp;IF($F135="","Sin fecha límite"&amp;" · ","")&amp;IF(OR(AND($E135&lt;&gt;"",NOT(ISNUMBER($E135))),AND($F135&lt;&gt;"",NOT(ISNUMBER($F135)))),"Fecha no válida"&amp;" · ","")&amp;IF(AND(ISNUMBER($E135),ISNUMBER($F135),$E135&gt;$F135),"Inicio posterior a fecha límite"&amp;" · ","")&amp;IF(AND($S135="Macro",$G135=""),"Peso vacío"&amp;" · ","")&amp;IF(AND($S135="Macro",$G135&lt;&gt;"",OR(NOT(ISNUMBER($G135)),$G135&lt;=0,$G135&gt;1)),"Peso fuera de rango"&amp;" · ","")&amp;IF(AND($S135="Sub",$G135&lt;&gt;""),"Las subactividades no llevan peso"&amp;" · ","")&amp;IF(AND($S135="Macro",ABS(SUMIFS($G$5:$G$1000,$P$5:$P$1000,$P135,$S$5:$S$1000,"Macro")-1)&gt;0.0001),"Pesos del mes suman "&amp;TEXT(SUMIFS($G$5:$G$1000,$P$5:$P$1000,$P135,$S$5:$S$1000,"Macro"),"0%")&amp;" · ","")&amp;IF(AND(N($T135)&gt;0,COUNT($H135:$K135)&gt;0),"Con subactividades: deje vacías las semanas (se calculan solas)"&amp;" · ","")&amp;IF((COUNTIF($H135:$K135,"&gt;1")+COUNTIF($H135:$K135,"&lt;0")+COUNTA($H135:$K135)-COUNT($H135:$K135))&gt;0,"Avance fuera de rango 0-100%"&amp;" · ","")&amp;IF(OR(AND($I135&lt;&gt;"",$I135&lt;$H135),AND($J135&lt;&gt;"",$J135&lt;MAX($H135:$I135)),AND($K135&lt;&gt;"",$K135&lt;MAX($H135:$J135))),"Avance semanal decreciente"&amp;" · ","")&amp;IF(AND(ISNUMBER($F135),$F135&lt;FechaRef,N($L135)&lt;1),"Vencida"&amp;" · ","")&amp;IF(AND(ObsObligatoria="Sí",ISNUMBER($F135),$F135&lt;FechaRef,N($L135)&lt;1,$N135=""),"Vencida sin observación"&amp;" · ",""))="","✔ OK","⚠ "&amp;LEFT(IF(AND($S135="Macro",$B135=""),"Macroactividad vacía"&amp;" · ","")&amp;IF(AND($B135&lt;&gt;"",$C135&lt;&gt;""),"Escriba la subactividad en otra fila, debajo de su macroactividad"&amp;" · ","")&amp;IF(AND($S135="Sub",N($R135)=0),"Subactividad sin macroactividad arriba"&amp;" · ","")&amp;IF($D135="","Sin responsable"&amp;" · ","")&amp;IF($E135="","Sin fecha de inicio"&amp;" · ","")&amp;IF($F135="","Sin fecha límite"&amp;" · ","")&amp;IF(OR(AND($E135&lt;&gt;"",NOT(ISNUMBER($E135))),AND($F135&lt;&gt;"",NOT(ISNUMBER($F135)))),"Fecha no válida"&amp;" · ","")&amp;IF(AND(ISNUMBER($E135),ISNUMBER($F135),$E135&gt;$F135),"Inicio posterior a fecha límite"&amp;" · ","")&amp;IF(AND($S135="Macro",$G135=""),"Peso vacío"&amp;" · ","")&amp;IF(AND($S135="Macro",$G135&lt;&gt;"",OR(NOT(ISNUMBER($G135)),$G135&lt;=0,$G135&gt;1)),"Peso fuera de rango"&amp;" · ","")&amp;IF(AND($S135="Sub",$G135&lt;&gt;""),"Las subactividades no llevan peso"&amp;" · ","")&amp;IF(AND($S135="Macro",ABS(SUMIFS($G$5:$G$1000,$P$5:$P$1000,$P135,$S$5:$S$1000,"Macro")-1)&gt;0.0001),"Pesos del mes suman "&amp;TEXT(SUMIFS($G$5:$G$1000,$P$5:$P$1000,$P135,$S$5:$S$1000,"Macro"),"0%")&amp;" · ","")&amp;IF(AND(N($T135)&gt;0,COUNT($H135:$K135)&gt;0),"Con subactividades: deje vacías las semanas (se calculan solas)"&amp;" · ","")&amp;IF((COUNTIF($H135:$K135,"&gt;1")+COUNTIF($H135:$K135,"&lt;0")+COUNTA($H135:$K135)-COUNT($H135:$K135))&gt;0,"Avance fuera de rango 0-100%"&amp;" · ","")&amp;IF(OR(AND($I135&lt;&gt;"",$I135&lt;$H135),AND($J135&lt;&gt;"",$J135&lt;MAX($H135:$I135)),AND($K135&lt;&gt;"",$K135&lt;MAX($H135:$J135))),"Avance semanal decreciente"&amp;" · ","")&amp;IF(AND(ISNUMBER($F135),$F135&lt;FechaRef,N($L135)&lt;1),"Vencida"&amp;" · ","")&amp;IF(AND(ObsObligatoria="Sí",ISNUMBER($F135),$F135&lt;FechaRef,N($L135)&lt;1,$N135=""),"Vencida sin observación"&amp;" · ",""),LEN(IF(AND($S135="Macro",$B135=""),"Macroactividad vacía"&amp;" · ","")&amp;IF(AND($B135&lt;&gt;"",$C135&lt;&gt;""),"Escriba la subactividad en otra fila, debajo de su macroactividad"&amp;" · ","")&amp;IF(AND($S135="Sub",N($R135)=0),"Subactividad sin macroactividad arriba"&amp;" · ","")&amp;IF($D135="","Sin responsable"&amp;" · ","")&amp;IF($E135="","Sin fecha de inicio"&amp;" · ","")&amp;IF($F135="","Sin fecha límite"&amp;" · ","")&amp;IF(OR(AND($E135&lt;&gt;"",NOT(ISNUMBER($E135))),AND($F135&lt;&gt;"",NOT(ISNUMBER($F135)))),"Fecha no válida"&amp;" · ","")&amp;IF(AND(ISNUMBER($E135),ISNUMBER($F135),$E135&gt;$F135),"Inicio posterior a fecha límite"&amp;" · ","")&amp;IF(AND($S135="Macro",$G135=""),"Peso vacío"&amp;" · ","")&amp;IF(AND($S135="Macro",$G135&lt;&gt;"",OR(NOT(ISNUMBER($G135)),$G135&lt;=0,$G135&gt;1)),"Peso fuera de rango"&amp;" · ","")&amp;IF(AND($S135="Sub",$G135&lt;&gt;""),"Las subactividades no llevan peso"&amp;" · ","")&amp;IF(AND($S135="Macro",ABS(SUMIFS($G$5:$G$1000,$P$5:$P$1000,$P135,$S$5:$S$1000,"Macro")-1)&gt;0.0001),"Pesos del mes suman "&amp;TEXT(SUMIFS($G$5:$G$1000,$P$5:$P$1000,$P135,$S$5:$S$1000,"Macro"),"0%")&amp;" · ","")&amp;IF(AND(N($T135)&gt;0,COUNT($H135:$K135)&gt;0),"Con subactividades: deje vacías las semanas (se calculan solas)"&amp;" · ","")&amp;IF((COUNTIF($H135:$K135,"&gt;1")+COUNTIF($H135:$K135,"&lt;0")+COUNTA($H135:$K135)-COUNT($H135:$K135))&gt;0,"Avance fuera de rango 0-100%"&amp;" · ","")&amp;IF(OR(AND($I135&lt;&gt;"",$I135&lt;$H135),AND($J135&lt;&gt;"",$J135&lt;MAX($H135:$I135)),AND($K135&lt;&gt;"",$K135&lt;MAX($H135:$J135))),"Avance semanal decreciente"&amp;" · ","")&amp;IF(AND(ISNUMBER($F135),$F135&lt;FechaRef,N($L135)&lt;1),"Vencida"&amp;" · ","")&amp;IF(AND(ObsObligatoria="Sí",ISNUMBER($F135),$F135&lt;FechaRef,N($L135)&lt;1,$N135=""),"Vencida sin observación"&amp;" · ",""))-3)))</f>
        <v/>
      </c>
      <c r="P135" s="69">
        <f>IF(NOT((COUNTA($B135:$K135)+COUNTA($N135))&gt;0),"",IF(AND($S135="Sub",N($R135)&gt;0),IF(ISNUMBER(INDEX($E$5:$E$1000,$R135-4)),DATE(YEAR(INDEX($E$5:$E$1000,$R135-4)),MONTH(INDEX($E$5:$E$1000,$R135-4)),1),IF(ISNUMBER(INDEX($F$5:$F$1000,$R135-4)),DATE(YEAR(INDEX($F$5:$F$1000,$R135-4)),MONTH(INDEX($F$5:$F$1000,$R135-4)),1),MesCiclo)),IF(ISNUMBER($E135),DATE(YEAR($E135),MONTH($E135),1),IF(ISNUMBER($F135),DATE(YEAR($F135),MONTH($F135),1),MesCiclo))))</f>
        <v/>
      </c>
      <c r="Q135" s="70">
        <f>IF(OR($P135="",$P135&lt;&gt;MesCiclo),"",COUNTIF($P$5:$P135,MesCiclo))</f>
        <v/>
      </c>
      <c r="R135" s="70">
        <f>IF($S135="","",IF($S135="Macro",ROW(),IFERROR(LOOKUP(2,1/($S$5:$S135="Macro"),ROW($S$5:$S135)),0)))</f>
        <v/>
      </c>
      <c r="S135" s="70">
        <f>IF(NOT((COUNTA($B135:$K135)+COUNTA($N135))&gt;0),"",IF($B135&lt;&gt;"","Macro",IF($C135&lt;&gt;"","Sub","Macro")))</f>
        <v/>
      </c>
      <c r="T135" s="70">
        <f>IF($S135="Macro",COUNTIFS($R$5:$R$1000,ROW(),$S$5:$S$1000,"Sub"),"")</f>
        <v/>
      </c>
      <c r="U135" s="70">
        <f>IF($S135="","",IF(ISNUMBER($H135),$H135,0))</f>
        <v/>
      </c>
      <c r="V135" s="70">
        <f>IF($S135="","",IF(ISNUMBER($I135),$I135,$U135))</f>
        <v/>
      </c>
      <c r="W135" s="70">
        <f>IF($S135="","",IF(ISNUMBER($J135),$J135,$V135))</f>
        <v/>
      </c>
      <c r="X135" s="70">
        <f>IF($S135="","",IF(ISNUMBER($K135),$K135,$W135))</f>
        <v/>
      </c>
      <c r="Y135" s="70">
        <f>IF($S135="","",IF(N($T135)&gt;0,AVERAGEIFS($U$5:$U$1000,$R$5:$R$1000,ROW(),$S$5:$S$1000,"Sub"),$U135))</f>
        <v/>
      </c>
      <c r="Z135" s="70">
        <f>IF($S135="","",IF(N($T135)&gt;0,AVERAGEIFS($V$5:$V$1000,$R$5:$R$1000,ROW(),$S$5:$S$1000,"Sub"),$V135))</f>
        <v/>
      </c>
      <c r="AA135" s="70">
        <f>IF($S135="","",IF(N($T135)&gt;0,AVERAGEIFS($W$5:$W$1000,$R$5:$R$1000,ROW(),$S$5:$S$1000,"Sub"),$W135))</f>
        <v/>
      </c>
      <c r="AB135" s="70">
        <f>IF($S135="","",IF(N($T135)&gt;0,AVERAGEIFS($X$5:$X$1000,$R$5:$R$1000,ROW(),$S$5:$S$1000,"Sub"),$X135))</f>
        <v/>
      </c>
    </row>
    <row r="136">
      <c r="A136" s="61">
        <f>IF(NOT((COUNTA($B136:$K136)+COUNTA($N136))&gt;0),"",IF($S136="Macro",COUNTIFS($S$5:$S136,"Macro",$P$5:$P136,$P136),IF(N($R136)=0,"?",COUNTIFS(INDEX($S$5:$S$1000,1):INDEX($S$5:$S$1000,$R136-4),"Macro",INDEX($P$5:$P$1000,1):INDEX($P$5:$P$1000,$R136-4),INDEX($P$5:$P$1000,$R136-4))&amp;"."&amp;COUNTIFS($R$5:$R136,$R136,$S$5:$S136,"Sub"))))</f>
        <v/>
      </c>
      <c r="B136" s="62" t="n"/>
      <c r="C136" s="63" t="n"/>
      <c r="D136" s="62" t="n"/>
      <c r="E136" s="64" t="n"/>
      <c r="F136" s="64" t="n"/>
      <c r="G136" s="65" t="n"/>
      <c r="H136" s="66" t="n"/>
      <c r="I136" s="66" t="n"/>
      <c r="J136" s="66" t="n"/>
      <c r="K136" s="66" t="n"/>
      <c r="L136" s="67">
        <f>IF(NOT((COUNTA($B136:$K136)+COUNTA($N136))&gt;0),"",IF(N($T136)&gt;0,$AB136,IFERROR(LOOKUP(2,1/(H136:K136&lt;&gt;""),H136:K136),0)))</f>
        <v/>
      </c>
      <c r="M136" s="61">
        <f>IF(L136="","",IF(L136&gt;=1,"Completado",IF(L136&gt;0,"En curso","Pendiente")))</f>
        <v/>
      </c>
      <c r="N136" s="62" t="n"/>
      <c r="O136" s="68">
        <f>IF(NOT((COUNTA($B136:$K136)+COUNTA($N136))&gt;0),"",IF((IF(AND($S136="Macro",$B136=""),"Macroactividad vacía"&amp;" · ","")&amp;IF(AND($B136&lt;&gt;"",$C136&lt;&gt;""),"Escriba la subactividad en otra fila, debajo de su macroactividad"&amp;" · ","")&amp;IF(AND($S136="Sub",N($R136)=0),"Subactividad sin macroactividad arriba"&amp;" · ","")&amp;IF($D136="","Sin responsable"&amp;" · ","")&amp;IF($E136="","Sin fecha de inicio"&amp;" · ","")&amp;IF($F136="","Sin fecha límite"&amp;" · ","")&amp;IF(OR(AND($E136&lt;&gt;"",NOT(ISNUMBER($E136))),AND($F136&lt;&gt;"",NOT(ISNUMBER($F136)))),"Fecha no válida"&amp;" · ","")&amp;IF(AND(ISNUMBER($E136),ISNUMBER($F136),$E136&gt;$F136),"Inicio posterior a fecha límite"&amp;" · ","")&amp;IF(AND($S136="Macro",$G136=""),"Peso vacío"&amp;" · ","")&amp;IF(AND($S136="Macro",$G136&lt;&gt;"",OR(NOT(ISNUMBER($G136)),$G136&lt;=0,$G136&gt;1)),"Peso fuera de rango"&amp;" · ","")&amp;IF(AND($S136="Sub",$G136&lt;&gt;""),"Las subactividades no llevan peso"&amp;" · ","")&amp;IF(AND($S136="Macro",ABS(SUMIFS($G$5:$G$1000,$P$5:$P$1000,$P136,$S$5:$S$1000,"Macro")-1)&gt;0.0001),"Pesos del mes suman "&amp;TEXT(SUMIFS($G$5:$G$1000,$P$5:$P$1000,$P136,$S$5:$S$1000,"Macro"),"0%")&amp;" · ","")&amp;IF(AND(N($T136)&gt;0,COUNT($H136:$K136)&gt;0),"Con subactividades: deje vacías las semanas (se calculan solas)"&amp;" · ","")&amp;IF((COUNTIF($H136:$K136,"&gt;1")+COUNTIF($H136:$K136,"&lt;0")+COUNTA($H136:$K136)-COUNT($H136:$K136))&gt;0,"Avance fuera de rango 0-100%"&amp;" · ","")&amp;IF(OR(AND($I136&lt;&gt;"",$I136&lt;$H136),AND($J136&lt;&gt;"",$J136&lt;MAX($H136:$I136)),AND($K136&lt;&gt;"",$K136&lt;MAX($H136:$J136))),"Avance semanal decreciente"&amp;" · ","")&amp;IF(AND(ISNUMBER($F136),$F136&lt;FechaRef,N($L136)&lt;1),"Vencida"&amp;" · ","")&amp;IF(AND(ObsObligatoria="Sí",ISNUMBER($F136),$F136&lt;FechaRef,N($L136)&lt;1,$N136=""),"Vencida sin observación"&amp;" · ",""))="","✔ OK","⚠ "&amp;LEFT(IF(AND($S136="Macro",$B136=""),"Macroactividad vacía"&amp;" · ","")&amp;IF(AND($B136&lt;&gt;"",$C136&lt;&gt;""),"Escriba la subactividad en otra fila, debajo de su macroactividad"&amp;" · ","")&amp;IF(AND($S136="Sub",N($R136)=0),"Subactividad sin macroactividad arriba"&amp;" · ","")&amp;IF($D136="","Sin responsable"&amp;" · ","")&amp;IF($E136="","Sin fecha de inicio"&amp;" · ","")&amp;IF($F136="","Sin fecha límite"&amp;" · ","")&amp;IF(OR(AND($E136&lt;&gt;"",NOT(ISNUMBER($E136))),AND($F136&lt;&gt;"",NOT(ISNUMBER($F136)))),"Fecha no válida"&amp;" · ","")&amp;IF(AND(ISNUMBER($E136),ISNUMBER($F136),$E136&gt;$F136),"Inicio posterior a fecha límite"&amp;" · ","")&amp;IF(AND($S136="Macro",$G136=""),"Peso vacío"&amp;" · ","")&amp;IF(AND($S136="Macro",$G136&lt;&gt;"",OR(NOT(ISNUMBER($G136)),$G136&lt;=0,$G136&gt;1)),"Peso fuera de rango"&amp;" · ","")&amp;IF(AND($S136="Sub",$G136&lt;&gt;""),"Las subactividades no llevan peso"&amp;" · ","")&amp;IF(AND($S136="Macro",ABS(SUMIFS($G$5:$G$1000,$P$5:$P$1000,$P136,$S$5:$S$1000,"Macro")-1)&gt;0.0001),"Pesos del mes suman "&amp;TEXT(SUMIFS($G$5:$G$1000,$P$5:$P$1000,$P136,$S$5:$S$1000,"Macro"),"0%")&amp;" · ","")&amp;IF(AND(N($T136)&gt;0,COUNT($H136:$K136)&gt;0),"Con subactividades: deje vacías las semanas (se calculan solas)"&amp;" · ","")&amp;IF((COUNTIF($H136:$K136,"&gt;1")+COUNTIF($H136:$K136,"&lt;0")+COUNTA($H136:$K136)-COUNT($H136:$K136))&gt;0,"Avance fuera de rango 0-100%"&amp;" · ","")&amp;IF(OR(AND($I136&lt;&gt;"",$I136&lt;$H136),AND($J136&lt;&gt;"",$J136&lt;MAX($H136:$I136)),AND($K136&lt;&gt;"",$K136&lt;MAX($H136:$J136))),"Avance semanal decreciente"&amp;" · ","")&amp;IF(AND(ISNUMBER($F136),$F136&lt;FechaRef,N($L136)&lt;1),"Vencida"&amp;" · ","")&amp;IF(AND(ObsObligatoria="Sí",ISNUMBER($F136),$F136&lt;FechaRef,N($L136)&lt;1,$N136=""),"Vencida sin observación"&amp;" · ",""),LEN(IF(AND($S136="Macro",$B136=""),"Macroactividad vacía"&amp;" · ","")&amp;IF(AND($B136&lt;&gt;"",$C136&lt;&gt;""),"Escriba la subactividad en otra fila, debajo de su macroactividad"&amp;" · ","")&amp;IF(AND($S136="Sub",N($R136)=0),"Subactividad sin macroactividad arriba"&amp;" · ","")&amp;IF($D136="","Sin responsable"&amp;" · ","")&amp;IF($E136="","Sin fecha de inicio"&amp;" · ","")&amp;IF($F136="","Sin fecha límite"&amp;" · ","")&amp;IF(OR(AND($E136&lt;&gt;"",NOT(ISNUMBER($E136))),AND($F136&lt;&gt;"",NOT(ISNUMBER($F136)))),"Fecha no válida"&amp;" · ","")&amp;IF(AND(ISNUMBER($E136),ISNUMBER($F136),$E136&gt;$F136),"Inicio posterior a fecha límite"&amp;" · ","")&amp;IF(AND($S136="Macro",$G136=""),"Peso vacío"&amp;" · ","")&amp;IF(AND($S136="Macro",$G136&lt;&gt;"",OR(NOT(ISNUMBER($G136)),$G136&lt;=0,$G136&gt;1)),"Peso fuera de rango"&amp;" · ","")&amp;IF(AND($S136="Sub",$G136&lt;&gt;""),"Las subactividades no llevan peso"&amp;" · ","")&amp;IF(AND($S136="Macro",ABS(SUMIFS($G$5:$G$1000,$P$5:$P$1000,$P136,$S$5:$S$1000,"Macro")-1)&gt;0.0001),"Pesos del mes suman "&amp;TEXT(SUMIFS($G$5:$G$1000,$P$5:$P$1000,$P136,$S$5:$S$1000,"Macro"),"0%")&amp;" · ","")&amp;IF(AND(N($T136)&gt;0,COUNT($H136:$K136)&gt;0),"Con subactividades: deje vacías las semanas (se calculan solas)"&amp;" · ","")&amp;IF((COUNTIF($H136:$K136,"&gt;1")+COUNTIF($H136:$K136,"&lt;0")+COUNTA($H136:$K136)-COUNT($H136:$K136))&gt;0,"Avance fuera de rango 0-100%"&amp;" · ","")&amp;IF(OR(AND($I136&lt;&gt;"",$I136&lt;$H136),AND($J136&lt;&gt;"",$J136&lt;MAX($H136:$I136)),AND($K136&lt;&gt;"",$K136&lt;MAX($H136:$J136))),"Avance semanal decreciente"&amp;" · ","")&amp;IF(AND(ISNUMBER($F136),$F136&lt;FechaRef,N($L136)&lt;1),"Vencida"&amp;" · ","")&amp;IF(AND(ObsObligatoria="Sí",ISNUMBER($F136),$F136&lt;FechaRef,N($L136)&lt;1,$N136=""),"Vencida sin observación"&amp;" · ",""))-3)))</f>
        <v/>
      </c>
      <c r="P136" s="69">
        <f>IF(NOT((COUNTA($B136:$K136)+COUNTA($N136))&gt;0),"",IF(AND($S136="Sub",N($R136)&gt;0),IF(ISNUMBER(INDEX($E$5:$E$1000,$R136-4)),DATE(YEAR(INDEX($E$5:$E$1000,$R136-4)),MONTH(INDEX($E$5:$E$1000,$R136-4)),1),IF(ISNUMBER(INDEX($F$5:$F$1000,$R136-4)),DATE(YEAR(INDEX($F$5:$F$1000,$R136-4)),MONTH(INDEX($F$5:$F$1000,$R136-4)),1),MesCiclo)),IF(ISNUMBER($E136),DATE(YEAR($E136),MONTH($E136),1),IF(ISNUMBER($F136),DATE(YEAR($F136),MONTH($F136),1),MesCiclo))))</f>
        <v/>
      </c>
      <c r="Q136" s="70">
        <f>IF(OR($P136="",$P136&lt;&gt;MesCiclo),"",COUNTIF($P$5:$P136,MesCiclo))</f>
        <v/>
      </c>
      <c r="R136" s="70">
        <f>IF($S136="","",IF($S136="Macro",ROW(),IFERROR(LOOKUP(2,1/($S$5:$S136="Macro"),ROW($S$5:$S136)),0)))</f>
        <v/>
      </c>
      <c r="S136" s="70">
        <f>IF(NOT((COUNTA($B136:$K136)+COUNTA($N136))&gt;0),"",IF($B136&lt;&gt;"","Macro",IF($C136&lt;&gt;"","Sub","Macro")))</f>
        <v/>
      </c>
      <c r="T136" s="70">
        <f>IF($S136="Macro",COUNTIFS($R$5:$R$1000,ROW(),$S$5:$S$1000,"Sub"),"")</f>
        <v/>
      </c>
      <c r="U136" s="70">
        <f>IF($S136="","",IF(ISNUMBER($H136),$H136,0))</f>
        <v/>
      </c>
      <c r="V136" s="70">
        <f>IF($S136="","",IF(ISNUMBER($I136),$I136,$U136))</f>
        <v/>
      </c>
      <c r="W136" s="70">
        <f>IF($S136="","",IF(ISNUMBER($J136),$J136,$V136))</f>
        <v/>
      </c>
      <c r="X136" s="70">
        <f>IF($S136="","",IF(ISNUMBER($K136),$K136,$W136))</f>
        <v/>
      </c>
      <c r="Y136" s="70">
        <f>IF($S136="","",IF(N($T136)&gt;0,AVERAGEIFS($U$5:$U$1000,$R$5:$R$1000,ROW(),$S$5:$S$1000,"Sub"),$U136))</f>
        <v/>
      </c>
      <c r="Z136" s="70">
        <f>IF($S136="","",IF(N($T136)&gt;0,AVERAGEIFS($V$5:$V$1000,$R$5:$R$1000,ROW(),$S$5:$S$1000,"Sub"),$V136))</f>
        <v/>
      </c>
      <c r="AA136" s="70">
        <f>IF($S136="","",IF(N($T136)&gt;0,AVERAGEIFS($W$5:$W$1000,$R$5:$R$1000,ROW(),$S$5:$S$1000,"Sub"),$W136))</f>
        <v/>
      </c>
      <c r="AB136" s="70">
        <f>IF($S136="","",IF(N($T136)&gt;0,AVERAGEIFS($X$5:$X$1000,$R$5:$R$1000,ROW(),$S$5:$S$1000,"Sub"),$X136))</f>
        <v/>
      </c>
    </row>
    <row r="137">
      <c r="A137" s="61">
        <f>IF(NOT((COUNTA($B137:$K137)+COUNTA($N137))&gt;0),"",IF($S137="Macro",COUNTIFS($S$5:$S137,"Macro",$P$5:$P137,$P137),IF(N($R137)=0,"?",COUNTIFS(INDEX($S$5:$S$1000,1):INDEX($S$5:$S$1000,$R137-4),"Macro",INDEX($P$5:$P$1000,1):INDEX($P$5:$P$1000,$R137-4),INDEX($P$5:$P$1000,$R137-4))&amp;"."&amp;COUNTIFS($R$5:$R137,$R137,$S$5:$S137,"Sub"))))</f>
        <v/>
      </c>
      <c r="B137" s="62" t="n"/>
      <c r="C137" s="63" t="n"/>
      <c r="D137" s="62" t="n"/>
      <c r="E137" s="64" t="n"/>
      <c r="F137" s="64" t="n"/>
      <c r="G137" s="65" t="n"/>
      <c r="H137" s="66" t="n"/>
      <c r="I137" s="66" t="n"/>
      <c r="J137" s="66" t="n"/>
      <c r="K137" s="66" t="n"/>
      <c r="L137" s="67">
        <f>IF(NOT((COUNTA($B137:$K137)+COUNTA($N137))&gt;0),"",IF(N($T137)&gt;0,$AB137,IFERROR(LOOKUP(2,1/(H137:K137&lt;&gt;""),H137:K137),0)))</f>
        <v/>
      </c>
      <c r="M137" s="61">
        <f>IF(L137="","",IF(L137&gt;=1,"Completado",IF(L137&gt;0,"En curso","Pendiente")))</f>
        <v/>
      </c>
      <c r="N137" s="62" t="n"/>
      <c r="O137" s="68">
        <f>IF(NOT((COUNTA($B137:$K137)+COUNTA($N137))&gt;0),"",IF((IF(AND($S137="Macro",$B137=""),"Macroactividad vacía"&amp;" · ","")&amp;IF(AND($B137&lt;&gt;"",$C137&lt;&gt;""),"Escriba la subactividad en otra fila, debajo de su macroactividad"&amp;" · ","")&amp;IF(AND($S137="Sub",N($R137)=0),"Subactividad sin macroactividad arriba"&amp;" · ","")&amp;IF($D137="","Sin responsable"&amp;" · ","")&amp;IF($E137="","Sin fecha de inicio"&amp;" · ","")&amp;IF($F137="","Sin fecha límite"&amp;" · ","")&amp;IF(OR(AND($E137&lt;&gt;"",NOT(ISNUMBER($E137))),AND($F137&lt;&gt;"",NOT(ISNUMBER($F137)))),"Fecha no válida"&amp;" · ","")&amp;IF(AND(ISNUMBER($E137),ISNUMBER($F137),$E137&gt;$F137),"Inicio posterior a fecha límite"&amp;" · ","")&amp;IF(AND($S137="Macro",$G137=""),"Peso vacío"&amp;" · ","")&amp;IF(AND($S137="Macro",$G137&lt;&gt;"",OR(NOT(ISNUMBER($G137)),$G137&lt;=0,$G137&gt;1)),"Peso fuera de rango"&amp;" · ","")&amp;IF(AND($S137="Sub",$G137&lt;&gt;""),"Las subactividades no llevan peso"&amp;" · ","")&amp;IF(AND($S137="Macro",ABS(SUMIFS($G$5:$G$1000,$P$5:$P$1000,$P137,$S$5:$S$1000,"Macro")-1)&gt;0.0001),"Pesos del mes suman "&amp;TEXT(SUMIFS($G$5:$G$1000,$P$5:$P$1000,$P137,$S$5:$S$1000,"Macro"),"0%")&amp;" · ","")&amp;IF(AND(N($T137)&gt;0,COUNT($H137:$K137)&gt;0),"Con subactividades: deje vacías las semanas (se calculan solas)"&amp;" · ","")&amp;IF((COUNTIF($H137:$K137,"&gt;1")+COUNTIF($H137:$K137,"&lt;0")+COUNTA($H137:$K137)-COUNT($H137:$K137))&gt;0,"Avance fuera de rango 0-100%"&amp;" · ","")&amp;IF(OR(AND($I137&lt;&gt;"",$I137&lt;$H137),AND($J137&lt;&gt;"",$J137&lt;MAX($H137:$I137)),AND($K137&lt;&gt;"",$K137&lt;MAX($H137:$J137))),"Avance semanal decreciente"&amp;" · ","")&amp;IF(AND(ISNUMBER($F137),$F137&lt;FechaRef,N($L137)&lt;1),"Vencida"&amp;" · ","")&amp;IF(AND(ObsObligatoria="Sí",ISNUMBER($F137),$F137&lt;FechaRef,N($L137)&lt;1,$N137=""),"Vencida sin observación"&amp;" · ",""))="","✔ OK","⚠ "&amp;LEFT(IF(AND($S137="Macro",$B137=""),"Macroactividad vacía"&amp;" · ","")&amp;IF(AND($B137&lt;&gt;"",$C137&lt;&gt;""),"Escriba la subactividad en otra fila, debajo de su macroactividad"&amp;" · ","")&amp;IF(AND($S137="Sub",N($R137)=0),"Subactividad sin macroactividad arriba"&amp;" · ","")&amp;IF($D137="","Sin responsable"&amp;" · ","")&amp;IF($E137="","Sin fecha de inicio"&amp;" · ","")&amp;IF($F137="","Sin fecha límite"&amp;" · ","")&amp;IF(OR(AND($E137&lt;&gt;"",NOT(ISNUMBER($E137))),AND($F137&lt;&gt;"",NOT(ISNUMBER($F137)))),"Fecha no válida"&amp;" · ","")&amp;IF(AND(ISNUMBER($E137),ISNUMBER($F137),$E137&gt;$F137),"Inicio posterior a fecha límite"&amp;" · ","")&amp;IF(AND($S137="Macro",$G137=""),"Peso vacío"&amp;" · ","")&amp;IF(AND($S137="Macro",$G137&lt;&gt;"",OR(NOT(ISNUMBER($G137)),$G137&lt;=0,$G137&gt;1)),"Peso fuera de rango"&amp;" · ","")&amp;IF(AND($S137="Sub",$G137&lt;&gt;""),"Las subactividades no llevan peso"&amp;" · ","")&amp;IF(AND($S137="Macro",ABS(SUMIFS($G$5:$G$1000,$P$5:$P$1000,$P137,$S$5:$S$1000,"Macro")-1)&gt;0.0001),"Pesos del mes suman "&amp;TEXT(SUMIFS($G$5:$G$1000,$P$5:$P$1000,$P137,$S$5:$S$1000,"Macro"),"0%")&amp;" · ","")&amp;IF(AND(N($T137)&gt;0,COUNT($H137:$K137)&gt;0),"Con subactividades: deje vacías las semanas (se calculan solas)"&amp;" · ","")&amp;IF((COUNTIF($H137:$K137,"&gt;1")+COUNTIF($H137:$K137,"&lt;0")+COUNTA($H137:$K137)-COUNT($H137:$K137))&gt;0,"Avance fuera de rango 0-100%"&amp;" · ","")&amp;IF(OR(AND($I137&lt;&gt;"",$I137&lt;$H137),AND($J137&lt;&gt;"",$J137&lt;MAX($H137:$I137)),AND($K137&lt;&gt;"",$K137&lt;MAX($H137:$J137))),"Avance semanal decreciente"&amp;" · ","")&amp;IF(AND(ISNUMBER($F137),$F137&lt;FechaRef,N($L137)&lt;1),"Vencida"&amp;" · ","")&amp;IF(AND(ObsObligatoria="Sí",ISNUMBER($F137),$F137&lt;FechaRef,N($L137)&lt;1,$N137=""),"Vencida sin observación"&amp;" · ",""),LEN(IF(AND($S137="Macro",$B137=""),"Macroactividad vacía"&amp;" · ","")&amp;IF(AND($B137&lt;&gt;"",$C137&lt;&gt;""),"Escriba la subactividad en otra fila, debajo de su macroactividad"&amp;" · ","")&amp;IF(AND($S137="Sub",N($R137)=0),"Subactividad sin macroactividad arriba"&amp;" · ","")&amp;IF($D137="","Sin responsable"&amp;" · ","")&amp;IF($E137="","Sin fecha de inicio"&amp;" · ","")&amp;IF($F137="","Sin fecha límite"&amp;" · ","")&amp;IF(OR(AND($E137&lt;&gt;"",NOT(ISNUMBER($E137))),AND($F137&lt;&gt;"",NOT(ISNUMBER($F137)))),"Fecha no válida"&amp;" · ","")&amp;IF(AND(ISNUMBER($E137),ISNUMBER($F137),$E137&gt;$F137),"Inicio posterior a fecha límite"&amp;" · ","")&amp;IF(AND($S137="Macro",$G137=""),"Peso vacío"&amp;" · ","")&amp;IF(AND($S137="Macro",$G137&lt;&gt;"",OR(NOT(ISNUMBER($G137)),$G137&lt;=0,$G137&gt;1)),"Peso fuera de rango"&amp;" · ","")&amp;IF(AND($S137="Sub",$G137&lt;&gt;""),"Las subactividades no llevan peso"&amp;" · ","")&amp;IF(AND($S137="Macro",ABS(SUMIFS($G$5:$G$1000,$P$5:$P$1000,$P137,$S$5:$S$1000,"Macro")-1)&gt;0.0001),"Pesos del mes suman "&amp;TEXT(SUMIFS($G$5:$G$1000,$P$5:$P$1000,$P137,$S$5:$S$1000,"Macro"),"0%")&amp;" · ","")&amp;IF(AND(N($T137)&gt;0,COUNT($H137:$K137)&gt;0),"Con subactividades: deje vacías las semanas (se calculan solas)"&amp;" · ","")&amp;IF((COUNTIF($H137:$K137,"&gt;1")+COUNTIF($H137:$K137,"&lt;0")+COUNTA($H137:$K137)-COUNT($H137:$K137))&gt;0,"Avance fuera de rango 0-100%"&amp;" · ","")&amp;IF(OR(AND($I137&lt;&gt;"",$I137&lt;$H137),AND($J137&lt;&gt;"",$J137&lt;MAX($H137:$I137)),AND($K137&lt;&gt;"",$K137&lt;MAX($H137:$J137))),"Avance semanal decreciente"&amp;" · ","")&amp;IF(AND(ISNUMBER($F137),$F137&lt;FechaRef,N($L137)&lt;1),"Vencida"&amp;" · ","")&amp;IF(AND(ObsObligatoria="Sí",ISNUMBER($F137),$F137&lt;FechaRef,N($L137)&lt;1,$N137=""),"Vencida sin observación"&amp;" · ",""))-3)))</f>
        <v/>
      </c>
      <c r="P137" s="69">
        <f>IF(NOT((COUNTA($B137:$K137)+COUNTA($N137))&gt;0),"",IF(AND($S137="Sub",N($R137)&gt;0),IF(ISNUMBER(INDEX($E$5:$E$1000,$R137-4)),DATE(YEAR(INDEX($E$5:$E$1000,$R137-4)),MONTH(INDEX($E$5:$E$1000,$R137-4)),1),IF(ISNUMBER(INDEX($F$5:$F$1000,$R137-4)),DATE(YEAR(INDEX($F$5:$F$1000,$R137-4)),MONTH(INDEX($F$5:$F$1000,$R137-4)),1),MesCiclo)),IF(ISNUMBER($E137),DATE(YEAR($E137),MONTH($E137),1),IF(ISNUMBER($F137),DATE(YEAR($F137),MONTH($F137),1),MesCiclo))))</f>
        <v/>
      </c>
      <c r="Q137" s="70">
        <f>IF(OR($P137="",$P137&lt;&gt;MesCiclo),"",COUNTIF($P$5:$P137,MesCiclo))</f>
        <v/>
      </c>
      <c r="R137" s="70">
        <f>IF($S137="","",IF($S137="Macro",ROW(),IFERROR(LOOKUP(2,1/($S$5:$S137="Macro"),ROW($S$5:$S137)),0)))</f>
        <v/>
      </c>
      <c r="S137" s="70">
        <f>IF(NOT((COUNTA($B137:$K137)+COUNTA($N137))&gt;0),"",IF($B137&lt;&gt;"","Macro",IF($C137&lt;&gt;"","Sub","Macro")))</f>
        <v/>
      </c>
      <c r="T137" s="70">
        <f>IF($S137="Macro",COUNTIFS($R$5:$R$1000,ROW(),$S$5:$S$1000,"Sub"),"")</f>
        <v/>
      </c>
      <c r="U137" s="70">
        <f>IF($S137="","",IF(ISNUMBER($H137),$H137,0))</f>
        <v/>
      </c>
      <c r="V137" s="70">
        <f>IF($S137="","",IF(ISNUMBER($I137),$I137,$U137))</f>
        <v/>
      </c>
      <c r="W137" s="70">
        <f>IF($S137="","",IF(ISNUMBER($J137),$J137,$V137))</f>
        <v/>
      </c>
      <c r="X137" s="70">
        <f>IF($S137="","",IF(ISNUMBER($K137),$K137,$W137))</f>
        <v/>
      </c>
      <c r="Y137" s="70">
        <f>IF($S137="","",IF(N($T137)&gt;0,AVERAGEIFS($U$5:$U$1000,$R$5:$R$1000,ROW(),$S$5:$S$1000,"Sub"),$U137))</f>
        <v/>
      </c>
      <c r="Z137" s="70">
        <f>IF($S137="","",IF(N($T137)&gt;0,AVERAGEIFS($V$5:$V$1000,$R$5:$R$1000,ROW(),$S$5:$S$1000,"Sub"),$V137))</f>
        <v/>
      </c>
      <c r="AA137" s="70">
        <f>IF($S137="","",IF(N($T137)&gt;0,AVERAGEIFS($W$5:$W$1000,$R$5:$R$1000,ROW(),$S$5:$S$1000,"Sub"),$W137))</f>
        <v/>
      </c>
      <c r="AB137" s="70">
        <f>IF($S137="","",IF(N($T137)&gt;0,AVERAGEIFS($X$5:$X$1000,$R$5:$R$1000,ROW(),$S$5:$S$1000,"Sub"),$X137))</f>
        <v/>
      </c>
    </row>
    <row r="138">
      <c r="A138" s="61">
        <f>IF(NOT((COUNTA($B138:$K138)+COUNTA($N138))&gt;0),"",IF($S138="Macro",COUNTIFS($S$5:$S138,"Macro",$P$5:$P138,$P138),IF(N($R138)=0,"?",COUNTIFS(INDEX($S$5:$S$1000,1):INDEX($S$5:$S$1000,$R138-4),"Macro",INDEX($P$5:$P$1000,1):INDEX($P$5:$P$1000,$R138-4),INDEX($P$5:$P$1000,$R138-4))&amp;"."&amp;COUNTIFS($R$5:$R138,$R138,$S$5:$S138,"Sub"))))</f>
        <v/>
      </c>
      <c r="B138" s="62" t="n"/>
      <c r="C138" s="63" t="n"/>
      <c r="D138" s="62" t="n"/>
      <c r="E138" s="64" t="n"/>
      <c r="F138" s="64" t="n"/>
      <c r="G138" s="65" t="n"/>
      <c r="H138" s="66" t="n"/>
      <c r="I138" s="66" t="n"/>
      <c r="J138" s="66" t="n"/>
      <c r="K138" s="66" t="n"/>
      <c r="L138" s="67">
        <f>IF(NOT((COUNTA($B138:$K138)+COUNTA($N138))&gt;0),"",IF(N($T138)&gt;0,$AB138,IFERROR(LOOKUP(2,1/(H138:K138&lt;&gt;""),H138:K138),0)))</f>
        <v/>
      </c>
      <c r="M138" s="61">
        <f>IF(L138="","",IF(L138&gt;=1,"Completado",IF(L138&gt;0,"En curso","Pendiente")))</f>
        <v/>
      </c>
      <c r="N138" s="62" t="n"/>
      <c r="O138" s="68">
        <f>IF(NOT((COUNTA($B138:$K138)+COUNTA($N138))&gt;0),"",IF((IF(AND($S138="Macro",$B138=""),"Macroactividad vacía"&amp;" · ","")&amp;IF(AND($B138&lt;&gt;"",$C138&lt;&gt;""),"Escriba la subactividad en otra fila, debajo de su macroactividad"&amp;" · ","")&amp;IF(AND($S138="Sub",N($R138)=0),"Subactividad sin macroactividad arriba"&amp;" · ","")&amp;IF($D138="","Sin responsable"&amp;" · ","")&amp;IF($E138="","Sin fecha de inicio"&amp;" · ","")&amp;IF($F138="","Sin fecha límite"&amp;" · ","")&amp;IF(OR(AND($E138&lt;&gt;"",NOT(ISNUMBER($E138))),AND($F138&lt;&gt;"",NOT(ISNUMBER($F138)))),"Fecha no válida"&amp;" · ","")&amp;IF(AND(ISNUMBER($E138),ISNUMBER($F138),$E138&gt;$F138),"Inicio posterior a fecha límite"&amp;" · ","")&amp;IF(AND($S138="Macro",$G138=""),"Peso vacío"&amp;" · ","")&amp;IF(AND($S138="Macro",$G138&lt;&gt;"",OR(NOT(ISNUMBER($G138)),$G138&lt;=0,$G138&gt;1)),"Peso fuera de rango"&amp;" · ","")&amp;IF(AND($S138="Sub",$G138&lt;&gt;""),"Las subactividades no llevan peso"&amp;" · ","")&amp;IF(AND($S138="Macro",ABS(SUMIFS($G$5:$G$1000,$P$5:$P$1000,$P138,$S$5:$S$1000,"Macro")-1)&gt;0.0001),"Pesos del mes suman "&amp;TEXT(SUMIFS($G$5:$G$1000,$P$5:$P$1000,$P138,$S$5:$S$1000,"Macro"),"0%")&amp;" · ","")&amp;IF(AND(N($T138)&gt;0,COUNT($H138:$K138)&gt;0),"Con subactividades: deje vacías las semanas (se calculan solas)"&amp;" · ","")&amp;IF((COUNTIF($H138:$K138,"&gt;1")+COUNTIF($H138:$K138,"&lt;0")+COUNTA($H138:$K138)-COUNT($H138:$K138))&gt;0,"Avance fuera de rango 0-100%"&amp;" · ","")&amp;IF(OR(AND($I138&lt;&gt;"",$I138&lt;$H138),AND($J138&lt;&gt;"",$J138&lt;MAX($H138:$I138)),AND($K138&lt;&gt;"",$K138&lt;MAX($H138:$J138))),"Avance semanal decreciente"&amp;" · ","")&amp;IF(AND(ISNUMBER($F138),$F138&lt;FechaRef,N($L138)&lt;1),"Vencida"&amp;" · ","")&amp;IF(AND(ObsObligatoria="Sí",ISNUMBER($F138),$F138&lt;FechaRef,N($L138)&lt;1,$N138=""),"Vencida sin observación"&amp;" · ",""))="","✔ OK","⚠ "&amp;LEFT(IF(AND($S138="Macro",$B138=""),"Macroactividad vacía"&amp;" · ","")&amp;IF(AND($B138&lt;&gt;"",$C138&lt;&gt;""),"Escriba la subactividad en otra fila, debajo de su macroactividad"&amp;" · ","")&amp;IF(AND($S138="Sub",N($R138)=0),"Subactividad sin macroactividad arriba"&amp;" · ","")&amp;IF($D138="","Sin responsable"&amp;" · ","")&amp;IF($E138="","Sin fecha de inicio"&amp;" · ","")&amp;IF($F138="","Sin fecha límite"&amp;" · ","")&amp;IF(OR(AND($E138&lt;&gt;"",NOT(ISNUMBER($E138))),AND($F138&lt;&gt;"",NOT(ISNUMBER($F138)))),"Fecha no válida"&amp;" · ","")&amp;IF(AND(ISNUMBER($E138),ISNUMBER($F138),$E138&gt;$F138),"Inicio posterior a fecha límite"&amp;" · ","")&amp;IF(AND($S138="Macro",$G138=""),"Peso vacío"&amp;" · ","")&amp;IF(AND($S138="Macro",$G138&lt;&gt;"",OR(NOT(ISNUMBER($G138)),$G138&lt;=0,$G138&gt;1)),"Peso fuera de rango"&amp;" · ","")&amp;IF(AND($S138="Sub",$G138&lt;&gt;""),"Las subactividades no llevan peso"&amp;" · ","")&amp;IF(AND($S138="Macro",ABS(SUMIFS($G$5:$G$1000,$P$5:$P$1000,$P138,$S$5:$S$1000,"Macro")-1)&gt;0.0001),"Pesos del mes suman "&amp;TEXT(SUMIFS($G$5:$G$1000,$P$5:$P$1000,$P138,$S$5:$S$1000,"Macro"),"0%")&amp;" · ","")&amp;IF(AND(N($T138)&gt;0,COUNT($H138:$K138)&gt;0),"Con subactividades: deje vacías las semanas (se calculan solas)"&amp;" · ","")&amp;IF((COUNTIF($H138:$K138,"&gt;1")+COUNTIF($H138:$K138,"&lt;0")+COUNTA($H138:$K138)-COUNT($H138:$K138))&gt;0,"Avance fuera de rango 0-100%"&amp;" · ","")&amp;IF(OR(AND($I138&lt;&gt;"",$I138&lt;$H138),AND($J138&lt;&gt;"",$J138&lt;MAX($H138:$I138)),AND($K138&lt;&gt;"",$K138&lt;MAX($H138:$J138))),"Avance semanal decreciente"&amp;" · ","")&amp;IF(AND(ISNUMBER($F138),$F138&lt;FechaRef,N($L138)&lt;1),"Vencida"&amp;" · ","")&amp;IF(AND(ObsObligatoria="Sí",ISNUMBER($F138),$F138&lt;FechaRef,N($L138)&lt;1,$N138=""),"Vencida sin observación"&amp;" · ",""),LEN(IF(AND($S138="Macro",$B138=""),"Macroactividad vacía"&amp;" · ","")&amp;IF(AND($B138&lt;&gt;"",$C138&lt;&gt;""),"Escriba la subactividad en otra fila, debajo de su macroactividad"&amp;" · ","")&amp;IF(AND($S138="Sub",N($R138)=0),"Subactividad sin macroactividad arriba"&amp;" · ","")&amp;IF($D138="","Sin responsable"&amp;" · ","")&amp;IF($E138="","Sin fecha de inicio"&amp;" · ","")&amp;IF($F138="","Sin fecha límite"&amp;" · ","")&amp;IF(OR(AND($E138&lt;&gt;"",NOT(ISNUMBER($E138))),AND($F138&lt;&gt;"",NOT(ISNUMBER($F138)))),"Fecha no válida"&amp;" · ","")&amp;IF(AND(ISNUMBER($E138),ISNUMBER($F138),$E138&gt;$F138),"Inicio posterior a fecha límite"&amp;" · ","")&amp;IF(AND($S138="Macro",$G138=""),"Peso vacío"&amp;" · ","")&amp;IF(AND($S138="Macro",$G138&lt;&gt;"",OR(NOT(ISNUMBER($G138)),$G138&lt;=0,$G138&gt;1)),"Peso fuera de rango"&amp;" · ","")&amp;IF(AND($S138="Sub",$G138&lt;&gt;""),"Las subactividades no llevan peso"&amp;" · ","")&amp;IF(AND($S138="Macro",ABS(SUMIFS($G$5:$G$1000,$P$5:$P$1000,$P138,$S$5:$S$1000,"Macro")-1)&gt;0.0001),"Pesos del mes suman "&amp;TEXT(SUMIFS($G$5:$G$1000,$P$5:$P$1000,$P138,$S$5:$S$1000,"Macro"),"0%")&amp;" · ","")&amp;IF(AND(N($T138)&gt;0,COUNT($H138:$K138)&gt;0),"Con subactividades: deje vacías las semanas (se calculan solas)"&amp;" · ","")&amp;IF((COUNTIF($H138:$K138,"&gt;1")+COUNTIF($H138:$K138,"&lt;0")+COUNTA($H138:$K138)-COUNT($H138:$K138))&gt;0,"Avance fuera de rango 0-100%"&amp;" · ","")&amp;IF(OR(AND($I138&lt;&gt;"",$I138&lt;$H138),AND($J138&lt;&gt;"",$J138&lt;MAX($H138:$I138)),AND($K138&lt;&gt;"",$K138&lt;MAX($H138:$J138))),"Avance semanal decreciente"&amp;" · ","")&amp;IF(AND(ISNUMBER($F138),$F138&lt;FechaRef,N($L138)&lt;1),"Vencida"&amp;" · ","")&amp;IF(AND(ObsObligatoria="Sí",ISNUMBER($F138),$F138&lt;FechaRef,N($L138)&lt;1,$N138=""),"Vencida sin observación"&amp;" · ",""))-3)))</f>
        <v/>
      </c>
      <c r="P138" s="69">
        <f>IF(NOT((COUNTA($B138:$K138)+COUNTA($N138))&gt;0),"",IF(AND($S138="Sub",N($R138)&gt;0),IF(ISNUMBER(INDEX($E$5:$E$1000,$R138-4)),DATE(YEAR(INDEX($E$5:$E$1000,$R138-4)),MONTH(INDEX($E$5:$E$1000,$R138-4)),1),IF(ISNUMBER(INDEX($F$5:$F$1000,$R138-4)),DATE(YEAR(INDEX($F$5:$F$1000,$R138-4)),MONTH(INDEX($F$5:$F$1000,$R138-4)),1),MesCiclo)),IF(ISNUMBER($E138),DATE(YEAR($E138),MONTH($E138),1),IF(ISNUMBER($F138),DATE(YEAR($F138),MONTH($F138),1),MesCiclo))))</f>
        <v/>
      </c>
      <c r="Q138" s="70">
        <f>IF(OR($P138="",$P138&lt;&gt;MesCiclo),"",COUNTIF($P$5:$P138,MesCiclo))</f>
        <v/>
      </c>
      <c r="R138" s="70">
        <f>IF($S138="","",IF($S138="Macro",ROW(),IFERROR(LOOKUP(2,1/($S$5:$S138="Macro"),ROW($S$5:$S138)),0)))</f>
        <v/>
      </c>
      <c r="S138" s="70">
        <f>IF(NOT((COUNTA($B138:$K138)+COUNTA($N138))&gt;0),"",IF($B138&lt;&gt;"","Macro",IF($C138&lt;&gt;"","Sub","Macro")))</f>
        <v/>
      </c>
      <c r="T138" s="70">
        <f>IF($S138="Macro",COUNTIFS($R$5:$R$1000,ROW(),$S$5:$S$1000,"Sub"),"")</f>
        <v/>
      </c>
      <c r="U138" s="70">
        <f>IF($S138="","",IF(ISNUMBER($H138),$H138,0))</f>
        <v/>
      </c>
      <c r="V138" s="70">
        <f>IF($S138="","",IF(ISNUMBER($I138),$I138,$U138))</f>
        <v/>
      </c>
      <c r="W138" s="70">
        <f>IF($S138="","",IF(ISNUMBER($J138),$J138,$V138))</f>
        <v/>
      </c>
      <c r="X138" s="70">
        <f>IF($S138="","",IF(ISNUMBER($K138),$K138,$W138))</f>
        <v/>
      </c>
      <c r="Y138" s="70">
        <f>IF($S138="","",IF(N($T138)&gt;0,AVERAGEIFS($U$5:$U$1000,$R$5:$R$1000,ROW(),$S$5:$S$1000,"Sub"),$U138))</f>
        <v/>
      </c>
      <c r="Z138" s="70">
        <f>IF($S138="","",IF(N($T138)&gt;0,AVERAGEIFS($V$5:$V$1000,$R$5:$R$1000,ROW(),$S$5:$S$1000,"Sub"),$V138))</f>
        <v/>
      </c>
      <c r="AA138" s="70">
        <f>IF($S138="","",IF(N($T138)&gt;0,AVERAGEIFS($W$5:$W$1000,$R$5:$R$1000,ROW(),$S$5:$S$1000,"Sub"),$W138))</f>
        <v/>
      </c>
      <c r="AB138" s="70">
        <f>IF($S138="","",IF(N($T138)&gt;0,AVERAGEIFS($X$5:$X$1000,$R$5:$R$1000,ROW(),$S$5:$S$1000,"Sub"),$X138))</f>
        <v/>
      </c>
    </row>
    <row r="139">
      <c r="A139" s="61">
        <f>IF(NOT((COUNTA($B139:$K139)+COUNTA($N139))&gt;0),"",IF($S139="Macro",COUNTIFS($S$5:$S139,"Macro",$P$5:$P139,$P139),IF(N($R139)=0,"?",COUNTIFS(INDEX($S$5:$S$1000,1):INDEX($S$5:$S$1000,$R139-4),"Macro",INDEX($P$5:$P$1000,1):INDEX($P$5:$P$1000,$R139-4),INDEX($P$5:$P$1000,$R139-4))&amp;"."&amp;COUNTIFS($R$5:$R139,$R139,$S$5:$S139,"Sub"))))</f>
        <v/>
      </c>
      <c r="B139" s="62" t="n"/>
      <c r="C139" s="63" t="n"/>
      <c r="D139" s="62" t="n"/>
      <c r="E139" s="64" t="n"/>
      <c r="F139" s="64" t="n"/>
      <c r="G139" s="65" t="n"/>
      <c r="H139" s="66" t="n"/>
      <c r="I139" s="66" t="n"/>
      <c r="J139" s="66" t="n"/>
      <c r="K139" s="66" t="n"/>
      <c r="L139" s="67">
        <f>IF(NOT((COUNTA($B139:$K139)+COUNTA($N139))&gt;0),"",IF(N($T139)&gt;0,$AB139,IFERROR(LOOKUP(2,1/(H139:K139&lt;&gt;""),H139:K139),0)))</f>
        <v/>
      </c>
      <c r="M139" s="61">
        <f>IF(L139="","",IF(L139&gt;=1,"Completado",IF(L139&gt;0,"En curso","Pendiente")))</f>
        <v/>
      </c>
      <c r="N139" s="62" t="n"/>
      <c r="O139" s="68">
        <f>IF(NOT((COUNTA($B139:$K139)+COUNTA($N139))&gt;0),"",IF((IF(AND($S139="Macro",$B139=""),"Macroactividad vacía"&amp;" · ","")&amp;IF(AND($B139&lt;&gt;"",$C139&lt;&gt;""),"Escriba la subactividad en otra fila, debajo de su macroactividad"&amp;" · ","")&amp;IF(AND($S139="Sub",N($R139)=0),"Subactividad sin macroactividad arriba"&amp;" · ","")&amp;IF($D139="","Sin responsable"&amp;" · ","")&amp;IF($E139="","Sin fecha de inicio"&amp;" · ","")&amp;IF($F139="","Sin fecha límite"&amp;" · ","")&amp;IF(OR(AND($E139&lt;&gt;"",NOT(ISNUMBER($E139))),AND($F139&lt;&gt;"",NOT(ISNUMBER($F139)))),"Fecha no válida"&amp;" · ","")&amp;IF(AND(ISNUMBER($E139),ISNUMBER($F139),$E139&gt;$F139),"Inicio posterior a fecha límite"&amp;" · ","")&amp;IF(AND($S139="Macro",$G139=""),"Peso vacío"&amp;" · ","")&amp;IF(AND($S139="Macro",$G139&lt;&gt;"",OR(NOT(ISNUMBER($G139)),$G139&lt;=0,$G139&gt;1)),"Peso fuera de rango"&amp;" · ","")&amp;IF(AND($S139="Sub",$G139&lt;&gt;""),"Las subactividades no llevan peso"&amp;" · ","")&amp;IF(AND($S139="Macro",ABS(SUMIFS($G$5:$G$1000,$P$5:$P$1000,$P139,$S$5:$S$1000,"Macro")-1)&gt;0.0001),"Pesos del mes suman "&amp;TEXT(SUMIFS($G$5:$G$1000,$P$5:$P$1000,$P139,$S$5:$S$1000,"Macro"),"0%")&amp;" · ","")&amp;IF(AND(N($T139)&gt;0,COUNT($H139:$K139)&gt;0),"Con subactividades: deje vacías las semanas (se calculan solas)"&amp;" · ","")&amp;IF((COUNTIF($H139:$K139,"&gt;1")+COUNTIF($H139:$K139,"&lt;0")+COUNTA($H139:$K139)-COUNT($H139:$K139))&gt;0,"Avance fuera de rango 0-100%"&amp;" · ","")&amp;IF(OR(AND($I139&lt;&gt;"",$I139&lt;$H139),AND($J139&lt;&gt;"",$J139&lt;MAX($H139:$I139)),AND($K139&lt;&gt;"",$K139&lt;MAX($H139:$J139))),"Avance semanal decreciente"&amp;" · ","")&amp;IF(AND(ISNUMBER($F139),$F139&lt;FechaRef,N($L139)&lt;1),"Vencida"&amp;" · ","")&amp;IF(AND(ObsObligatoria="Sí",ISNUMBER($F139),$F139&lt;FechaRef,N($L139)&lt;1,$N139=""),"Vencida sin observación"&amp;" · ",""))="","✔ OK","⚠ "&amp;LEFT(IF(AND($S139="Macro",$B139=""),"Macroactividad vacía"&amp;" · ","")&amp;IF(AND($B139&lt;&gt;"",$C139&lt;&gt;""),"Escriba la subactividad en otra fila, debajo de su macroactividad"&amp;" · ","")&amp;IF(AND($S139="Sub",N($R139)=0),"Subactividad sin macroactividad arriba"&amp;" · ","")&amp;IF($D139="","Sin responsable"&amp;" · ","")&amp;IF($E139="","Sin fecha de inicio"&amp;" · ","")&amp;IF($F139="","Sin fecha límite"&amp;" · ","")&amp;IF(OR(AND($E139&lt;&gt;"",NOT(ISNUMBER($E139))),AND($F139&lt;&gt;"",NOT(ISNUMBER($F139)))),"Fecha no válida"&amp;" · ","")&amp;IF(AND(ISNUMBER($E139),ISNUMBER($F139),$E139&gt;$F139),"Inicio posterior a fecha límite"&amp;" · ","")&amp;IF(AND($S139="Macro",$G139=""),"Peso vacío"&amp;" · ","")&amp;IF(AND($S139="Macro",$G139&lt;&gt;"",OR(NOT(ISNUMBER($G139)),$G139&lt;=0,$G139&gt;1)),"Peso fuera de rango"&amp;" · ","")&amp;IF(AND($S139="Sub",$G139&lt;&gt;""),"Las subactividades no llevan peso"&amp;" · ","")&amp;IF(AND($S139="Macro",ABS(SUMIFS($G$5:$G$1000,$P$5:$P$1000,$P139,$S$5:$S$1000,"Macro")-1)&gt;0.0001),"Pesos del mes suman "&amp;TEXT(SUMIFS($G$5:$G$1000,$P$5:$P$1000,$P139,$S$5:$S$1000,"Macro"),"0%")&amp;" · ","")&amp;IF(AND(N($T139)&gt;0,COUNT($H139:$K139)&gt;0),"Con subactividades: deje vacías las semanas (se calculan solas)"&amp;" · ","")&amp;IF((COUNTIF($H139:$K139,"&gt;1")+COUNTIF($H139:$K139,"&lt;0")+COUNTA($H139:$K139)-COUNT($H139:$K139))&gt;0,"Avance fuera de rango 0-100%"&amp;" · ","")&amp;IF(OR(AND($I139&lt;&gt;"",$I139&lt;$H139),AND($J139&lt;&gt;"",$J139&lt;MAX($H139:$I139)),AND($K139&lt;&gt;"",$K139&lt;MAX($H139:$J139))),"Avance semanal decreciente"&amp;" · ","")&amp;IF(AND(ISNUMBER($F139),$F139&lt;FechaRef,N($L139)&lt;1),"Vencida"&amp;" · ","")&amp;IF(AND(ObsObligatoria="Sí",ISNUMBER($F139),$F139&lt;FechaRef,N($L139)&lt;1,$N139=""),"Vencida sin observación"&amp;" · ",""),LEN(IF(AND($S139="Macro",$B139=""),"Macroactividad vacía"&amp;" · ","")&amp;IF(AND($B139&lt;&gt;"",$C139&lt;&gt;""),"Escriba la subactividad en otra fila, debajo de su macroactividad"&amp;" · ","")&amp;IF(AND($S139="Sub",N($R139)=0),"Subactividad sin macroactividad arriba"&amp;" · ","")&amp;IF($D139="","Sin responsable"&amp;" · ","")&amp;IF($E139="","Sin fecha de inicio"&amp;" · ","")&amp;IF($F139="","Sin fecha límite"&amp;" · ","")&amp;IF(OR(AND($E139&lt;&gt;"",NOT(ISNUMBER($E139))),AND($F139&lt;&gt;"",NOT(ISNUMBER($F139)))),"Fecha no válida"&amp;" · ","")&amp;IF(AND(ISNUMBER($E139),ISNUMBER($F139),$E139&gt;$F139),"Inicio posterior a fecha límite"&amp;" · ","")&amp;IF(AND($S139="Macro",$G139=""),"Peso vacío"&amp;" · ","")&amp;IF(AND($S139="Macro",$G139&lt;&gt;"",OR(NOT(ISNUMBER($G139)),$G139&lt;=0,$G139&gt;1)),"Peso fuera de rango"&amp;" · ","")&amp;IF(AND($S139="Sub",$G139&lt;&gt;""),"Las subactividades no llevan peso"&amp;" · ","")&amp;IF(AND($S139="Macro",ABS(SUMIFS($G$5:$G$1000,$P$5:$P$1000,$P139,$S$5:$S$1000,"Macro")-1)&gt;0.0001),"Pesos del mes suman "&amp;TEXT(SUMIFS($G$5:$G$1000,$P$5:$P$1000,$P139,$S$5:$S$1000,"Macro"),"0%")&amp;" · ","")&amp;IF(AND(N($T139)&gt;0,COUNT($H139:$K139)&gt;0),"Con subactividades: deje vacías las semanas (se calculan solas)"&amp;" · ","")&amp;IF((COUNTIF($H139:$K139,"&gt;1")+COUNTIF($H139:$K139,"&lt;0")+COUNTA($H139:$K139)-COUNT($H139:$K139))&gt;0,"Avance fuera de rango 0-100%"&amp;" · ","")&amp;IF(OR(AND($I139&lt;&gt;"",$I139&lt;$H139),AND($J139&lt;&gt;"",$J139&lt;MAX($H139:$I139)),AND($K139&lt;&gt;"",$K139&lt;MAX($H139:$J139))),"Avance semanal decreciente"&amp;" · ","")&amp;IF(AND(ISNUMBER($F139),$F139&lt;FechaRef,N($L139)&lt;1),"Vencida"&amp;" · ","")&amp;IF(AND(ObsObligatoria="Sí",ISNUMBER($F139),$F139&lt;FechaRef,N($L139)&lt;1,$N139=""),"Vencida sin observación"&amp;" · ",""))-3)))</f>
        <v/>
      </c>
      <c r="P139" s="69">
        <f>IF(NOT((COUNTA($B139:$K139)+COUNTA($N139))&gt;0),"",IF(AND($S139="Sub",N($R139)&gt;0),IF(ISNUMBER(INDEX($E$5:$E$1000,$R139-4)),DATE(YEAR(INDEX($E$5:$E$1000,$R139-4)),MONTH(INDEX($E$5:$E$1000,$R139-4)),1),IF(ISNUMBER(INDEX($F$5:$F$1000,$R139-4)),DATE(YEAR(INDEX($F$5:$F$1000,$R139-4)),MONTH(INDEX($F$5:$F$1000,$R139-4)),1),MesCiclo)),IF(ISNUMBER($E139),DATE(YEAR($E139),MONTH($E139),1),IF(ISNUMBER($F139),DATE(YEAR($F139),MONTH($F139),1),MesCiclo))))</f>
        <v/>
      </c>
      <c r="Q139" s="70">
        <f>IF(OR($P139="",$P139&lt;&gt;MesCiclo),"",COUNTIF($P$5:$P139,MesCiclo))</f>
        <v/>
      </c>
      <c r="R139" s="70">
        <f>IF($S139="","",IF($S139="Macro",ROW(),IFERROR(LOOKUP(2,1/($S$5:$S139="Macro"),ROW($S$5:$S139)),0)))</f>
        <v/>
      </c>
      <c r="S139" s="70">
        <f>IF(NOT((COUNTA($B139:$K139)+COUNTA($N139))&gt;0),"",IF($B139&lt;&gt;"","Macro",IF($C139&lt;&gt;"","Sub","Macro")))</f>
        <v/>
      </c>
      <c r="T139" s="70">
        <f>IF($S139="Macro",COUNTIFS($R$5:$R$1000,ROW(),$S$5:$S$1000,"Sub"),"")</f>
        <v/>
      </c>
      <c r="U139" s="70">
        <f>IF($S139="","",IF(ISNUMBER($H139),$H139,0))</f>
        <v/>
      </c>
      <c r="V139" s="70">
        <f>IF($S139="","",IF(ISNUMBER($I139),$I139,$U139))</f>
        <v/>
      </c>
      <c r="W139" s="70">
        <f>IF($S139="","",IF(ISNUMBER($J139),$J139,$V139))</f>
        <v/>
      </c>
      <c r="X139" s="70">
        <f>IF($S139="","",IF(ISNUMBER($K139),$K139,$W139))</f>
        <v/>
      </c>
      <c r="Y139" s="70">
        <f>IF($S139="","",IF(N($T139)&gt;0,AVERAGEIFS($U$5:$U$1000,$R$5:$R$1000,ROW(),$S$5:$S$1000,"Sub"),$U139))</f>
        <v/>
      </c>
      <c r="Z139" s="70">
        <f>IF($S139="","",IF(N($T139)&gt;0,AVERAGEIFS($V$5:$V$1000,$R$5:$R$1000,ROW(),$S$5:$S$1000,"Sub"),$V139))</f>
        <v/>
      </c>
      <c r="AA139" s="70">
        <f>IF($S139="","",IF(N($T139)&gt;0,AVERAGEIFS($W$5:$W$1000,$R$5:$R$1000,ROW(),$S$5:$S$1000,"Sub"),$W139))</f>
        <v/>
      </c>
      <c r="AB139" s="70">
        <f>IF($S139="","",IF(N($T139)&gt;0,AVERAGEIFS($X$5:$X$1000,$R$5:$R$1000,ROW(),$S$5:$S$1000,"Sub"),$X139))</f>
        <v/>
      </c>
    </row>
    <row r="140">
      <c r="A140" s="61">
        <f>IF(NOT((COUNTA($B140:$K140)+COUNTA($N140))&gt;0),"",IF($S140="Macro",COUNTIFS($S$5:$S140,"Macro",$P$5:$P140,$P140),IF(N($R140)=0,"?",COUNTIFS(INDEX($S$5:$S$1000,1):INDEX($S$5:$S$1000,$R140-4),"Macro",INDEX($P$5:$P$1000,1):INDEX($P$5:$P$1000,$R140-4),INDEX($P$5:$P$1000,$R140-4))&amp;"."&amp;COUNTIFS($R$5:$R140,$R140,$S$5:$S140,"Sub"))))</f>
        <v/>
      </c>
      <c r="B140" s="62" t="n"/>
      <c r="C140" s="63" t="n"/>
      <c r="D140" s="62" t="n"/>
      <c r="E140" s="64" t="n"/>
      <c r="F140" s="64" t="n"/>
      <c r="G140" s="65" t="n"/>
      <c r="H140" s="66" t="n"/>
      <c r="I140" s="66" t="n"/>
      <c r="J140" s="66" t="n"/>
      <c r="K140" s="66" t="n"/>
      <c r="L140" s="67">
        <f>IF(NOT((COUNTA($B140:$K140)+COUNTA($N140))&gt;0),"",IF(N($T140)&gt;0,$AB140,IFERROR(LOOKUP(2,1/(H140:K140&lt;&gt;""),H140:K140),0)))</f>
        <v/>
      </c>
      <c r="M140" s="61">
        <f>IF(L140="","",IF(L140&gt;=1,"Completado",IF(L140&gt;0,"En curso","Pendiente")))</f>
        <v/>
      </c>
      <c r="N140" s="62" t="n"/>
      <c r="O140" s="68">
        <f>IF(NOT((COUNTA($B140:$K140)+COUNTA($N140))&gt;0),"",IF((IF(AND($S140="Macro",$B140=""),"Macroactividad vacía"&amp;" · ","")&amp;IF(AND($B140&lt;&gt;"",$C140&lt;&gt;""),"Escriba la subactividad en otra fila, debajo de su macroactividad"&amp;" · ","")&amp;IF(AND($S140="Sub",N($R140)=0),"Subactividad sin macroactividad arriba"&amp;" · ","")&amp;IF($D140="","Sin responsable"&amp;" · ","")&amp;IF($E140="","Sin fecha de inicio"&amp;" · ","")&amp;IF($F140="","Sin fecha límite"&amp;" · ","")&amp;IF(OR(AND($E140&lt;&gt;"",NOT(ISNUMBER($E140))),AND($F140&lt;&gt;"",NOT(ISNUMBER($F140)))),"Fecha no válida"&amp;" · ","")&amp;IF(AND(ISNUMBER($E140),ISNUMBER($F140),$E140&gt;$F140),"Inicio posterior a fecha límite"&amp;" · ","")&amp;IF(AND($S140="Macro",$G140=""),"Peso vacío"&amp;" · ","")&amp;IF(AND($S140="Macro",$G140&lt;&gt;"",OR(NOT(ISNUMBER($G140)),$G140&lt;=0,$G140&gt;1)),"Peso fuera de rango"&amp;" · ","")&amp;IF(AND($S140="Sub",$G140&lt;&gt;""),"Las subactividades no llevan peso"&amp;" · ","")&amp;IF(AND($S140="Macro",ABS(SUMIFS($G$5:$G$1000,$P$5:$P$1000,$P140,$S$5:$S$1000,"Macro")-1)&gt;0.0001),"Pesos del mes suman "&amp;TEXT(SUMIFS($G$5:$G$1000,$P$5:$P$1000,$P140,$S$5:$S$1000,"Macro"),"0%")&amp;" · ","")&amp;IF(AND(N($T140)&gt;0,COUNT($H140:$K140)&gt;0),"Con subactividades: deje vacías las semanas (se calculan solas)"&amp;" · ","")&amp;IF((COUNTIF($H140:$K140,"&gt;1")+COUNTIF($H140:$K140,"&lt;0")+COUNTA($H140:$K140)-COUNT($H140:$K140))&gt;0,"Avance fuera de rango 0-100%"&amp;" · ","")&amp;IF(OR(AND($I140&lt;&gt;"",$I140&lt;$H140),AND($J140&lt;&gt;"",$J140&lt;MAX($H140:$I140)),AND($K140&lt;&gt;"",$K140&lt;MAX($H140:$J140))),"Avance semanal decreciente"&amp;" · ","")&amp;IF(AND(ISNUMBER($F140),$F140&lt;FechaRef,N($L140)&lt;1),"Vencida"&amp;" · ","")&amp;IF(AND(ObsObligatoria="Sí",ISNUMBER($F140),$F140&lt;FechaRef,N($L140)&lt;1,$N140=""),"Vencida sin observación"&amp;" · ",""))="","✔ OK","⚠ "&amp;LEFT(IF(AND($S140="Macro",$B140=""),"Macroactividad vacía"&amp;" · ","")&amp;IF(AND($B140&lt;&gt;"",$C140&lt;&gt;""),"Escriba la subactividad en otra fila, debajo de su macroactividad"&amp;" · ","")&amp;IF(AND($S140="Sub",N($R140)=0),"Subactividad sin macroactividad arriba"&amp;" · ","")&amp;IF($D140="","Sin responsable"&amp;" · ","")&amp;IF($E140="","Sin fecha de inicio"&amp;" · ","")&amp;IF($F140="","Sin fecha límite"&amp;" · ","")&amp;IF(OR(AND($E140&lt;&gt;"",NOT(ISNUMBER($E140))),AND($F140&lt;&gt;"",NOT(ISNUMBER($F140)))),"Fecha no válida"&amp;" · ","")&amp;IF(AND(ISNUMBER($E140),ISNUMBER($F140),$E140&gt;$F140),"Inicio posterior a fecha límite"&amp;" · ","")&amp;IF(AND($S140="Macro",$G140=""),"Peso vacío"&amp;" · ","")&amp;IF(AND($S140="Macro",$G140&lt;&gt;"",OR(NOT(ISNUMBER($G140)),$G140&lt;=0,$G140&gt;1)),"Peso fuera de rango"&amp;" · ","")&amp;IF(AND($S140="Sub",$G140&lt;&gt;""),"Las subactividades no llevan peso"&amp;" · ","")&amp;IF(AND($S140="Macro",ABS(SUMIFS($G$5:$G$1000,$P$5:$P$1000,$P140,$S$5:$S$1000,"Macro")-1)&gt;0.0001),"Pesos del mes suman "&amp;TEXT(SUMIFS($G$5:$G$1000,$P$5:$P$1000,$P140,$S$5:$S$1000,"Macro"),"0%")&amp;" · ","")&amp;IF(AND(N($T140)&gt;0,COUNT($H140:$K140)&gt;0),"Con subactividades: deje vacías las semanas (se calculan solas)"&amp;" · ","")&amp;IF((COUNTIF($H140:$K140,"&gt;1")+COUNTIF($H140:$K140,"&lt;0")+COUNTA($H140:$K140)-COUNT($H140:$K140))&gt;0,"Avance fuera de rango 0-100%"&amp;" · ","")&amp;IF(OR(AND($I140&lt;&gt;"",$I140&lt;$H140),AND($J140&lt;&gt;"",$J140&lt;MAX($H140:$I140)),AND($K140&lt;&gt;"",$K140&lt;MAX($H140:$J140))),"Avance semanal decreciente"&amp;" · ","")&amp;IF(AND(ISNUMBER($F140),$F140&lt;FechaRef,N($L140)&lt;1),"Vencida"&amp;" · ","")&amp;IF(AND(ObsObligatoria="Sí",ISNUMBER($F140),$F140&lt;FechaRef,N($L140)&lt;1,$N140=""),"Vencida sin observación"&amp;" · ",""),LEN(IF(AND($S140="Macro",$B140=""),"Macroactividad vacía"&amp;" · ","")&amp;IF(AND($B140&lt;&gt;"",$C140&lt;&gt;""),"Escriba la subactividad en otra fila, debajo de su macroactividad"&amp;" · ","")&amp;IF(AND($S140="Sub",N($R140)=0),"Subactividad sin macroactividad arriba"&amp;" · ","")&amp;IF($D140="","Sin responsable"&amp;" · ","")&amp;IF($E140="","Sin fecha de inicio"&amp;" · ","")&amp;IF($F140="","Sin fecha límite"&amp;" · ","")&amp;IF(OR(AND($E140&lt;&gt;"",NOT(ISNUMBER($E140))),AND($F140&lt;&gt;"",NOT(ISNUMBER($F140)))),"Fecha no válida"&amp;" · ","")&amp;IF(AND(ISNUMBER($E140),ISNUMBER($F140),$E140&gt;$F140),"Inicio posterior a fecha límite"&amp;" · ","")&amp;IF(AND($S140="Macro",$G140=""),"Peso vacío"&amp;" · ","")&amp;IF(AND($S140="Macro",$G140&lt;&gt;"",OR(NOT(ISNUMBER($G140)),$G140&lt;=0,$G140&gt;1)),"Peso fuera de rango"&amp;" · ","")&amp;IF(AND($S140="Sub",$G140&lt;&gt;""),"Las subactividades no llevan peso"&amp;" · ","")&amp;IF(AND($S140="Macro",ABS(SUMIFS($G$5:$G$1000,$P$5:$P$1000,$P140,$S$5:$S$1000,"Macro")-1)&gt;0.0001),"Pesos del mes suman "&amp;TEXT(SUMIFS($G$5:$G$1000,$P$5:$P$1000,$P140,$S$5:$S$1000,"Macro"),"0%")&amp;" · ","")&amp;IF(AND(N($T140)&gt;0,COUNT($H140:$K140)&gt;0),"Con subactividades: deje vacías las semanas (se calculan solas)"&amp;" · ","")&amp;IF((COUNTIF($H140:$K140,"&gt;1")+COUNTIF($H140:$K140,"&lt;0")+COUNTA($H140:$K140)-COUNT($H140:$K140))&gt;0,"Avance fuera de rango 0-100%"&amp;" · ","")&amp;IF(OR(AND($I140&lt;&gt;"",$I140&lt;$H140),AND($J140&lt;&gt;"",$J140&lt;MAX($H140:$I140)),AND($K140&lt;&gt;"",$K140&lt;MAX($H140:$J140))),"Avance semanal decreciente"&amp;" · ","")&amp;IF(AND(ISNUMBER($F140),$F140&lt;FechaRef,N($L140)&lt;1),"Vencida"&amp;" · ","")&amp;IF(AND(ObsObligatoria="Sí",ISNUMBER($F140),$F140&lt;FechaRef,N($L140)&lt;1,$N140=""),"Vencida sin observación"&amp;" · ",""))-3)))</f>
        <v/>
      </c>
      <c r="P140" s="69">
        <f>IF(NOT((COUNTA($B140:$K140)+COUNTA($N140))&gt;0),"",IF(AND($S140="Sub",N($R140)&gt;0),IF(ISNUMBER(INDEX($E$5:$E$1000,$R140-4)),DATE(YEAR(INDEX($E$5:$E$1000,$R140-4)),MONTH(INDEX($E$5:$E$1000,$R140-4)),1),IF(ISNUMBER(INDEX($F$5:$F$1000,$R140-4)),DATE(YEAR(INDEX($F$5:$F$1000,$R140-4)),MONTH(INDEX($F$5:$F$1000,$R140-4)),1),MesCiclo)),IF(ISNUMBER($E140),DATE(YEAR($E140),MONTH($E140),1),IF(ISNUMBER($F140),DATE(YEAR($F140),MONTH($F140),1),MesCiclo))))</f>
        <v/>
      </c>
      <c r="Q140" s="70">
        <f>IF(OR($P140="",$P140&lt;&gt;MesCiclo),"",COUNTIF($P$5:$P140,MesCiclo))</f>
        <v/>
      </c>
      <c r="R140" s="70">
        <f>IF($S140="","",IF($S140="Macro",ROW(),IFERROR(LOOKUP(2,1/($S$5:$S140="Macro"),ROW($S$5:$S140)),0)))</f>
        <v/>
      </c>
      <c r="S140" s="70">
        <f>IF(NOT((COUNTA($B140:$K140)+COUNTA($N140))&gt;0),"",IF($B140&lt;&gt;"","Macro",IF($C140&lt;&gt;"","Sub","Macro")))</f>
        <v/>
      </c>
      <c r="T140" s="70">
        <f>IF($S140="Macro",COUNTIFS($R$5:$R$1000,ROW(),$S$5:$S$1000,"Sub"),"")</f>
        <v/>
      </c>
      <c r="U140" s="70">
        <f>IF($S140="","",IF(ISNUMBER($H140),$H140,0))</f>
        <v/>
      </c>
      <c r="V140" s="70">
        <f>IF($S140="","",IF(ISNUMBER($I140),$I140,$U140))</f>
        <v/>
      </c>
      <c r="W140" s="70">
        <f>IF($S140="","",IF(ISNUMBER($J140),$J140,$V140))</f>
        <v/>
      </c>
      <c r="X140" s="70">
        <f>IF($S140="","",IF(ISNUMBER($K140),$K140,$W140))</f>
        <v/>
      </c>
      <c r="Y140" s="70">
        <f>IF($S140="","",IF(N($T140)&gt;0,AVERAGEIFS($U$5:$U$1000,$R$5:$R$1000,ROW(),$S$5:$S$1000,"Sub"),$U140))</f>
        <v/>
      </c>
      <c r="Z140" s="70">
        <f>IF($S140="","",IF(N($T140)&gt;0,AVERAGEIFS($V$5:$V$1000,$R$5:$R$1000,ROW(),$S$5:$S$1000,"Sub"),$V140))</f>
        <v/>
      </c>
      <c r="AA140" s="70">
        <f>IF($S140="","",IF(N($T140)&gt;0,AVERAGEIFS($W$5:$W$1000,$R$5:$R$1000,ROW(),$S$5:$S$1000,"Sub"),$W140))</f>
        <v/>
      </c>
      <c r="AB140" s="70">
        <f>IF($S140="","",IF(N($T140)&gt;0,AVERAGEIFS($X$5:$X$1000,$R$5:$R$1000,ROW(),$S$5:$S$1000,"Sub"),$X140))</f>
        <v/>
      </c>
    </row>
    <row r="141">
      <c r="A141" s="61">
        <f>IF(NOT((COUNTA($B141:$K141)+COUNTA($N141))&gt;0),"",IF($S141="Macro",COUNTIFS($S$5:$S141,"Macro",$P$5:$P141,$P141),IF(N($R141)=0,"?",COUNTIFS(INDEX($S$5:$S$1000,1):INDEX($S$5:$S$1000,$R141-4),"Macro",INDEX($P$5:$P$1000,1):INDEX($P$5:$P$1000,$R141-4),INDEX($P$5:$P$1000,$R141-4))&amp;"."&amp;COUNTIFS($R$5:$R141,$R141,$S$5:$S141,"Sub"))))</f>
        <v/>
      </c>
      <c r="B141" s="62" t="n"/>
      <c r="C141" s="63" t="n"/>
      <c r="D141" s="62" t="n"/>
      <c r="E141" s="64" t="n"/>
      <c r="F141" s="64" t="n"/>
      <c r="G141" s="65" t="n"/>
      <c r="H141" s="66" t="n"/>
      <c r="I141" s="66" t="n"/>
      <c r="J141" s="66" t="n"/>
      <c r="K141" s="66" t="n"/>
      <c r="L141" s="67">
        <f>IF(NOT((COUNTA($B141:$K141)+COUNTA($N141))&gt;0),"",IF(N($T141)&gt;0,$AB141,IFERROR(LOOKUP(2,1/(H141:K141&lt;&gt;""),H141:K141),0)))</f>
        <v/>
      </c>
      <c r="M141" s="61">
        <f>IF(L141="","",IF(L141&gt;=1,"Completado",IF(L141&gt;0,"En curso","Pendiente")))</f>
        <v/>
      </c>
      <c r="N141" s="62" t="n"/>
      <c r="O141" s="68">
        <f>IF(NOT((COUNTA($B141:$K141)+COUNTA($N141))&gt;0),"",IF((IF(AND($S141="Macro",$B141=""),"Macroactividad vacía"&amp;" · ","")&amp;IF(AND($B141&lt;&gt;"",$C141&lt;&gt;""),"Escriba la subactividad en otra fila, debajo de su macroactividad"&amp;" · ","")&amp;IF(AND($S141="Sub",N($R141)=0),"Subactividad sin macroactividad arriba"&amp;" · ","")&amp;IF($D141="","Sin responsable"&amp;" · ","")&amp;IF($E141="","Sin fecha de inicio"&amp;" · ","")&amp;IF($F141="","Sin fecha límite"&amp;" · ","")&amp;IF(OR(AND($E141&lt;&gt;"",NOT(ISNUMBER($E141))),AND($F141&lt;&gt;"",NOT(ISNUMBER($F141)))),"Fecha no válida"&amp;" · ","")&amp;IF(AND(ISNUMBER($E141),ISNUMBER($F141),$E141&gt;$F141),"Inicio posterior a fecha límite"&amp;" · ","")&amp;IF(AND($S141="Macro",$G141=""),"Peso vacío"&amp;" · ","")&amp;IF(AND($S141="Macro",$G141&lt;&gt;"",OR(NOT(ISNUMBER($G141)),$G141&lt;=0,$G141&gt;1)),"Peso fuera de rango"&amp;" · ","")&amp;IF(AND($S141="Sub",$G141&lt;&gt;""),"Las subactividades no llevan peso"&amp;" · ","")&amp;IF(AND($S141="Macro",ABS(SUMIFS($G$5:$G$1000,$P$5:$P$1000,$P141,$S$5:$S$1000,"Macro")-1)&gt;0.0001),"Pesos del mes suman "&amp;TEXT(SUMIFS($G$5:$G$1000,$P$5:$P$1000,$P141,$S$5:$S$1000,"Macro"),"0%")&amp;" · ","")&amp;IF(AND(N($T141)&gt;0,COUNT($H141:$K141)&gt;0),"Con subactividades: deje vacías las semanas (se calculan solas)"&amp;" · ","")&amp;IF((COUNTIF($H141:$K141,"&gt;1")+COUNTIF($H141:$K141,"&lt;0")+COUNTA($H141:$K141)-COUNT($H141:$K141))&gt;0,"Avance fuera de rango 0-100%"&amp;" · ","")&amp;IF(OR(AND($I141&lt;&gt;"",$I141&lt;$H141),AND($J141&lt;&gt;"",$J141&lt;MAX($H141:$I141)),AND($K141&lt;&gt;"",$K141&lt;MAX($H141:$J141))),"Avance semanal decreciente"&amp;" · ","")&amp;IF(AND(ISNUMBER($F141),$F141&lt;FechaRef,N($L141)&lt;1),"Vencida"&amp;" · ","")&amp;IF(AND(ObsObligatoria="Sí",ISNUMBER($F141),$F141&lt;FechaRef,N($L141)&lt;1,$N141=""),"Vencida sin observación"&amp;" · ",""))="","✔ OK","⚠ "&amp;LEFT(IF(AND($S141="Macro",$B141=""),"Macroactividad vacía"&amp;" · ","")&amp;IF(AND($B141&lt;&gt;"",$C141&lt;&gt;""),"Escriba la subactividad en otra fila, debajo de su macroactividad"&amp;" · ","")&amp;IF(AND($S141="Sub",N($R141)=0),"Subactividad sin macroactividad arriba"&amp;" · ","")&amp;IF($D141="","Sin responsable"&amp;" · ","")&amp;IF($E141="","Sin fecha de inicio"&amp;" · ","")&amp;IF($F141="","Sin fecha límite"&amp;" · ","")&amp;IF(OR(AND($E141&lt;&gt;"",NOT(ISNUMBER($E141))),AND($F141&lt;&gt;"",NOT(ISNUMBER($F141)))),"Fecha no válida"&amp;" · ","")&amp;IF(AND(ISNUMBER($E141),ISNUMBER($F141),$E141&gt;$F141),"Inicio posterior a fecha límite"&amp;" · ","")&amp;IF(AND($S141="Macro",$G141=""),"Peso vacío"&amp;" · ","")&amp;IF(AND($S141="Macro",$G141&lt;&gt;"",OR(NOT(ISNUMBER($G141)),$G141&lt;=0,$G141&gt;1)),"Peso fuera de rango"&amp;" · ","")&amp;IF(AND($S141="Sub",$G141&lt;&gt;""),"Las subactividades no llevan peso"&amp;" · ","")&amp;IF(AND($S141="Macro",ABS(SUMIFS($G$5:$G$1000,$P$5:$P$1000,$P141,$S$5:$S$1000,"Macro")-1)&gt;0.0001),"Pesos del mes suman "&amp;TEXT(SUMIFS($G$5:$G$1000,$P$5:$P$1000,$P141,$S$5:$S$1000,"Macro"),"0%")&amp;" · ","")&amp;IF(AND(N($T141)&gt;0,COUNT($H141:$K141)&gt;0),"Con subactividades: deje vacías las semanas (se calculan solas)"&amp;" · ","")&amp;IF((COUNTIF($H141:$K141,"&gt;1")+COUNTIF($H141:$K141,"&lt;0")+COUNTA($H141:$K141)-COUNT($H141:$K141))&gt;0,"Avance fuera de rango 0-100%"&amp;" · ","")&amp;IF(OR(AND($I141&lt;&gt;"",$I141&lt;$H141),AND($J141&lt;&gt;"",$J141&lt;MAX($H141:$I141)),AND($K141&lt;&gt;"",$K141&lt;MAX($H141:$J141))),"Avance semanal decreciente"&amp;" · ","")&amp;IF(AND(ISNUMBER($F141),$F141&lt;FechaRef,N($L141)&lt;1),"Vencida"&amp;" · ","")&amp;IF(AND(ObsObligatoria="Sí",ISNUMBER($F141),$F141&lt;FechaRef,N($L141)&lt;1,$N141=""),"Vencida sin observación"&amp;" · ",""),LEN(IF(AND($S141="Macro",$B141=""),"Macroactividad vacía"&amp;" · ","")&amp;IF(AND($B141&lt;&gt;"",$C141&lt;&gt;""),"Escriba la subactividad en otra fila, debajo de su macroactividad"&amp;" · ","")&amp;IF(AND($S141="Sub",N($R141)=0),"Subactividad sin macroactividad arriba"&amp;" · ","")&amp;IF($D141="","Sin responsable"&amp;" · ","")&amp;IF($E141="","Sin fecha de inicio"&amp;" · ","")&amp;IF($F141="","Sin fecha límite"&amp;" · ","")&amp;IF(OR(AND($E141&lt;&gt;"",NOT(ISNUMBER($E141))),AND($F141&lt;&gt;"",NOT(ISNUMBER($F141)))),"Fecha no válida"&amp;" · ","")&amp;IF(AND(ISNUMBER($E141),ISNUMBER($F141),$E141&gt;$F141),"Inicio posterior a fecha límite"&amp;" · ","")&amp;IF(AND($S141="Macro",$G141=""),"Peso vacío"&amp;" · ","")&amp;IF(AND($S141="Macro",$G141&lt;&gt;"",OR(NOT(ISNUMBER($G141)),$G141&lt;=0,$G141&gt;1)),"Peso fuera de rango"&amp;" · ","")&amp;IF(AND($S141="Sub",$G141&lt;&gt;""),"Las subactividades no llevan peso"&amp;" · ","")&amp;IF(AND($S141="Macro",ABS(SUMIFS($G$5:$G$1000,$P$5:$P$1000,$P141,$S$5:$S$1000,"Macro")-1)&gt;0.0001),"Pesos del mes suman "&amp;TEXT(SUMIFS($G$5:$G$1000,$P$5:$P$1000,$P141,$S$5:$S$1000,"Macro"),"0%")&amp;" · ","")&amp;IF(AND(N($T141)&gt;0,COUNT($H141:$K141)&gt;0),"Con subactividades: deje vacías las semanas (se calculan solas)"&amp;" · ","")&amp;IF((COUNTIF($H141:$K141,"&gt;1")+COUNTIF($H141:$K141,"&lt;0")+COUNTA($H141:$K141)-COUNT($H141:$K141))&gt;0,"Avance fuera de rango 0-100%"&amp;" · ","")&amp;IF(OR(AND($I141&lt;&gt;"",$I141&lt;$H141),AND($J141&lt;&gt;"",$J141&lt;MAX($H141:$I141)),AND($K141&lt;&gt;"",$K141&lt;MAX($H141:$J141))),"Avance semanal decreciente"&amp;" · ","")&amp;IF(AND(ISNUMBER($F141),$F141&lt;FechaRef,N($L141)&lt;1),"Vencida"&amp;" · ","")&amp;IF(AND(ObsObligatoria="Sí",ISNUMBER($F141),$F141&lt;FechaRef,N($L141)&lt;1,$N141=""),"Vencida sin observación"&amp;" · ",""))-3)))</f>
        <v/>
      </c>
      <c r="P141" s="69">
        <f>IF(NOT((COUNTA($B141:$K141)+COUNTA($N141))&gt;0),"",IF(AND($S141="Sub",N($R141)&gt;0),IF(ISNUMBER(INDEX($E$5:$E$1000,$R141-4)),DATE(YEAR(INDEX($E$5:$E$1000,$R141-4)),MONTH(INDEX($E$5:$E$1000,$R141-4)),1),IF(ISNUMBER(INDEX($F$5:$F$1000,$R141-4)),DATE(YEAR(INDEX($F$5:$F$1000,$R141-4)),MONTH(INDEX($F$5:$F$1000,$R141-4)),1),MesCiclo)),IF(ISNUMBER($E141),DATE(YEAR($E141),MONTH($E141),1),IF(ISNUMBER($F141),DATE(YEAR($F141),MONTH($F141),1),MesCiclo))))</f>
        <v/>
      </c>
      <c r="Q141" s="70">
        <f>IF(OR($P141="",$P141&lt;&gt;MesCiclo),"",COUNTIF($P$5:$P141,MesCiclo))</f>
        <v/>
      </c>
      <c r="R141" s="70">
        <f>IF($S141="","",IF($S141="Macro",ROW(),IFERROR(LOOKUP(2,1/($S$5:$S141="Macro"),ROW($S$5:$S141)),0)))</f>
        <v/>
      </c>
      <c r="S141" s="70">
        <f>IF(NOT((COUNTA($B141:$K141)+COUNTA($N141))&gt;0),"",IF($B141&lt;&gt;"","Macro",IF($C141&lt;&gt;"","Sub","Macro")))</f>
        <v/>
      </c>
      <c r="T141" s="70">
        <f>IF($S141="Macro",COUNTIFS($R$5:$R$1000,ROW(),$S$5:$S$1000,"Sub"),"")</f>
        <v/>
      </c>
      <c r="U141" s="70">
        <f>IF($S141="","",IF(ISNUMBER($H141),$H141,0))</f>
        <v/>
      </c>
      <c r="V141" s="70">
        <f>IF($S141="","",IF(ISNUMBER($I141),$I141,$U141))</f>
        <v/>
      </c>
      <c r="W141" s="70">
        <f>IF($S141="","",IF(ISNUMBER($J141),$J141,$V141))</f>
        <v/>
      </c>
      <c r="X141" s="70">
        <f>IF($S141="","",IF(ISNUMBER($K141),$K141,$W141))</f>
        <v/>
      </c>
      <c r="Y141" s="70">
        <f>IF($S141="","",IF(N($T141)&gt;0,AVERAGEIFS($U$5:$U$1000,$R$5:$R$1000,ROW(),$S$5:$S$1000,"Sub"),$U141))</f>
        <v/>
      </c>
      <c r="Z141" s="70">
        <f>IF($S141="","",IF(N($T141)&gt;0,AVERAGEIFS($V$5:$V$1000,$R$5:$R$1000,ROW(),$S$5:$S$1000,"Sub"),$V141))</f>
        <v/>
      </c>
      <c r="AA141" s="70">
        <f>IF($S141="","",IF(N($T141)&gt;0,AVERAGEIFS($W$5:$W$1000,$R$5:$R$1000,ROW(),$S$5:$S$1000,"Sub"),$W141))</f>
        <v/>
      </c>
      <c r="AB141" s="70">
        <f>IF($S141="","",IF(N($T141)&gt;0,AVERAGEIFS($X$5:$X$1000,$R$5:$R$1000,ROW(),$S$5:$S$1000,"Sub"),$X141))</f>
        <v/>
      </c>
    </row>
    <row r="142">
      <c r="A142" s="61">
        <f>IF(NOT((COUNTA($B142:$K142)+COUNTA($N142))&gt;0),"",IF($S142="Macro",COUNTIFS($S$5:$S142,"Macro",$P$5:$P142,$P142),IF(N($R142)=0,"?",COUNTIFS(INDEX($S$5:$S$1000,1):INDEX($S$5:$S$1000,$R142-4),"Macro",INDEX($P$5:$P$1000,1):INDEX($P$5:$P$1000,$R142-4),INDEX($P$5:$P$1000,$R142-4))&amp;"."&amp;COUNTIFS($R$5:$R142,$R142,$S$5:$S142,"Sub"))))</f>
        <v/>
      </c>
      <c r="B142" s="62" t="n"/>
      <c r="C142" s="63" t="n"/>
      <c r="D142" s="62" t="n"/>
      <c r="E142" s="64" t="n"/>
      <c r="F142" s="64" t="n"/>
      <c r="G142" s="65" t="n"/>
      <c r="H142" s="66" t="n"/>
      <c r="I142" s="66" t="n"/>
      <c r="J142" s="66" t="n"/>
      <c r="K142" s="66" t="n"/>
      <c r="L142" s="67">
        <f>IF(NOT((COUNTA($B142:$K142)+COUNTA($N142))&gt;0),"",IF(N($T142)&gt;0,$AB142,IFERROR(LOOKUP(2,1/(H142:K142&lt;&gt;""),H142:K142),0)))</f>
        <v/>
      </c>
      <c r="M142" s="61">
        <f>IF(L142="","",IF(L142&gt;=1,"Completado",IF(L142&gt;0,"En curso","Pendiente")))</f>
        <v/>
      </c>
      <c r="N142" s="62" t="n"/>
      <c r="O142" s="68">
        <f>IF(NOT((COUNTA($B142:$K142)+COUNTA($N142))&gt;0),"",IF((IF(AND($S142="Macro",$B142=""),"Macroactividad vacía"&amp;" · ","")&amp;IF(AND($B142&lt;&gt;"",$C142&lt;&gt;""),"Escriba la subactividad en otra fila, debajo de su macroactividad"&amp;" · ","")&amp;IF(AND($S142="Sub",N($R142)=0),"Subactividad sin macroactividad arriba"&amp;" · ","")&amp;IF($D142="","Sin responsable"&amp;" · ","")&amp;IF($E142="","Sin fecha de inicio"&amp;" · ","")&amp;IF($F142="","Sin fecha límite"&amp;" · ","")&amp;IF(OR(AND($E142&lt;&gt;"",NOT(ISNUMBER($E142))),AND($F142&lt;&gt;"",NOT(ISNUMBER($F142)))),"Fecha no válida"&amp;" · ","")&amp;IF(AND(ISNUMBER($E142),ISNUMBER($F142),$E142&gt;$F142),"Inicio posterior a fecha límite"&amp;" · ","")&amp;IF(AND($S142="Macro",$G142=""),"Peso vacío"&amp;" · ","")&amp;IF(AND($S142="Macro",$G142&lt;&gt;"",OR(NOT(ISNUMBER($G142)),$G142&lt;=0,$G142&gt;1)),"Peso fuera de rango"&amp;" · ","")&amp;IF(AND($S142="Sub",$G142&lt;&gt;""),"Las subactividades no llevan peso"&amp;" · ","")&amp;IF(AND($S142="Macro",ABS(SUMIFS($G$5:$G$1000,$P$5:$P$1000,$P142,$S$5:$S$1000,"Macro")-1)&gt;0.0001),"Pesos del mes suman "&amp;TEXT(SUMIFS($G$5:$G$1000,$P$5:$P$1000,$P142,$S$5:$S$1000,"Macro"),"0%")&amp;" · ","")&amp;IF(AND(N($T142)&gt;0,COUNT($H142:$K142)&gt;0),"Con subactividades: deje vacías las semanas (se calculan solas)"&amp;" · ","")&amp;IF((COUNTIF($H142:$K142,"&gt;1")+COUNTIF($H142:$K142,"&lt;0")+COUNTA($H142:$K142)-COUNT($H142:$K142))&gt;0,"Avance fuera de rango 0-100%"&amp;" · ","")&amp;IF(OR(AND($I142&lt;&gt;"",$I142&lt;$H142),AND($J142&lt;&gt;"",$J142&lt;MAX($H142:$I142)),AND($K142&lt;&gt;"",$K142&lt;MAX($H142:$J142))),"Avance semanal decreciente"&amp;" · ","")&amp;IF(AND(ISNUMBER($F142),$F142&lt;FechaRef,N($L142)&lt;1),"Vencida"&amp;" · ","")&amp;IF(AND(ObsObligatoria="Sí",ISNUMBER($F142),$F142&lt;FechaRef,N($L142)&lt;1,$N142=""),"Vencida sin observación"&amp;" · ",""))="","✔ OK","⚠ "&amp;LEFT(IF(AND($S142="Macro",$B142=""),"Macroactividad vacía"&amp;" · ","")&amp;IF(AND($B142&lt;&gt;"",$C142&lt;&gt;""),"Escriba la subactividad en otra fila, debajo de su macroactividad"&amp;" · ","")&amp;IF(AND($S142="Sub",N($R142)=0),"Subactividad sin macroactividad arriba"&amp;" · ","")&amp;IF($D142="","Sin responsable"&amp;" · ","")&amp;IF($E142="","Sin fecha de inicio"&amp;" · ","")&amp;IF($F142="","Sin fecha límite"&amp;" · ","")&amp;IF(OR(AND($E142&lt;&gt;"",NOT(ISNUMBER($E142))),AND($F142&lt;&gt;"",NOT(ISNUMBER($F142)))),"Fecha no válida"&amp;" · ","")&amp;IF(AND(ISNUMBER($E142),ISNUMBER($F142),$E142&gt;$F142),"Inicio posterior a fecha límite"&amp;" · ","")&amp;IF(AND($S142="Macro",$G142=""),"Peso vacío"&amp;" · ","")&amp;IF(AND($S142="Macro",$G142&lt;&gt;"",OR(NOT(ISNUMBER($G142)),$G142&lt;=0,$G142&gt;1)),"Peso fuera de rango"&amp;" · ","")&amp;IF(AND($S142="Sub",$G142&lt;&gt;""),"Las subactividades no llevan peso"&amp;" · ","")&amp;IF(AND($S142="Macro",ABS(SUMIFS($G$5:$G$1000,$P$5:$P$1000,$P142,$S$5:$S$1000,"Macro")-1)&gt;0.0001),"Pesos del mes suman "&amp;TEXT(SUMIFS($G$5:$G$1000,$P$5:$P$1000,$P142,$S$5:$S$1000,"Macro"),"0%")&amp;" · ","")&amp;IF(AND(N($T142)&gt;0,COUNT($H142:$K142)&gt;0),"Con subactividades: deje vacías las semanas (se calculan solas)"&amp;" · ","")&amp;IF((COUNTIF($H142:$K142,"&gt;1")+COUNTIF($H142:$K142,"&lt;0")+COUNTA($H142:$K142)-COUNT($H142:$K142))&gt;0,"Avance fuera de rango 0-100%"&amp;" · ","")&amp;IF(OR(AND($I142&lt;&gt;"",$I142&lt;$H142),AND($J142&lt;&gt;"",$J142&lt;MAX($H142:$I142)),AND($K142&lt;&gt;"",$K142&lt;MAX($H142:$J142))),"Avance semanal decreciente"&amp;" · ","")&amp;IF(AND(ISNUMBER($F142),$F142&lt;FechaRef,N($L142)&lt;1),"Vencida"&amp;" · ","")&amp;IF(AND(ObsObligatoria="Sí",ISNUMBER($F142),$F142&lt;FechaRef,N($L142)&lt;1,$N142=""),"Vencida sin observación"&amp;" · ",""),LEN(IF(AND($S142="Macro",$B142=""),"Macroactividad vacía"&amp;" · ","")&amp;IF(AND($B142&lt;&gt;"",$C142&lt;&gt;""),"Escriba la subactividad en otra fila, debajo de su macroactividad"&amp;" · ","")&amp;IF(AND($S142="Sub",N($R142)=0),"Subactividad sin macroactividad arriba"&amp;" · ","")&amp;IF($D142="","Sin responsable"&amp;" · ","")&amp;IF($E142="","Sin fecha de inicio"&amp;" · ","")&amp;IF($F142="","Sin fecha límite"&amp;" · ","")&amp;IF(OR(AND($E142&lt;&gt;"",NOT(ISNUMBER($E142))),AND($F142&lt;&gt;"",NOT(ISNUMBER($F142)))),"Fecha no válida"&amp;" · ","")&amp;IF(AND(ISNUMBER($E142),ISNUMBER($F142),$E142&gt;$F142),"Inicio posterior a fecha límite"&amp;" · ","")&amp;IF(AND($S142="Macro",$G142=""),"Peso vacío"&amp;" · ","")&amp;IF(AND($S142="Macro",$G142&lt;&gt;"",OR(NOT(ISNUMBER($G142)),$G142&lt;=0,$G142&gt;1)),"Peso fuera de rango"&amp;" · ","")&amp;IF(AND($S142="Sub",$G142&lt;&gt;""),"Las subactividades no llevan peso"&amp;" · ","")&amp;IF(AND($S142="Macro",ABS(SUMIFS($G$5:$G$1000,$P$5:$P$1000,$P142,$S$5:$S$1000,"Macro")-1)&gt;0.0001),"Pesos del mes suman "&amp;TEXT(SUMIFS($G$5:$G$1000,$P$5:$P$1000,$P142,$S$5:$S$1000,"Macro"),"0%")&amp;" · ","")&amp;IF(AND(N($T142)&gt;0,COUNT($H142:$K142)&gt;0),"Con subactividades: deje vacías las semanas (se calculan solas)"&amp;" · ","")&amp;IF((COUNTIF($H142:$K142,"&gt;1")+COUNTIF($H142:$K142,"&lt;0")+COUNTA($H142:$K142)-COUNT($H142:$K142))&gt;0,"Avance fuera de rango 0-100%"&amp;" · ","")&amp;IF(OR(AND($I142&lt;&gt;"",$I142&lt;$H142),AND($J142&lt;&gt;"",$J142&lt;MAX($H142:$I142)),AND($K142&lt;&gt;"",$K142&lt;MAX($H142:$J142))),"Avance semanal decreciente"&amp;" · ","")&amp;IF(AND(ISNUMBER($F142),$F142&lt;FechaRef,N($L142)&lt;1),"Vencida"&amp;" · ","")&amp;IF(AND(ObsObligatoria="Sí",ISNUMBER($F142),$F142&lt;FechaRef,N($L142)&lt;1,$N142=""),"Vencida sin observación"&amp;" · ",""))-3)))</f>
        <v/>
      </c>
      <c r="P142" s="69">
        <f>IF(NOT((COUNTA($B142:$K142)+COUNTA($N142))&gt;0),"",IF(AND($S142="Sub",N($R142)&gt;0),IF(ISNUMBER(INDEX($E$5:$E$1000,$R142-4)),DATE(YEAR(INDEX($E$5:$E$1000,$R142-4)),MONTH(INDEX($E$5:$E$1000,$R142-4)),1),IF(ISNUMBER(INDEX($F$5:$F$1000,$R142-4)),DATE(YEAR(INDEX($F$5:$F$1000,$R142-4)),MONTH(INDEX($F$5:$F$1000,$R142-4)),1),MesCiclo)),IF(ISNUMBER($E142),DATE(YEAR($E142),MONTH($E142),1),IF(ISNUMBER($F142),DATE(YEAR($F142),MONTH($F142),1),MesCiclo))))</f>
        <v/>
      </c>
      <c r="Q142" s="70">
        <f>IF(OR($P142="",$P142&lt;&gt;MesCiclo),"",COUNTIF($P$5:$P142,MesCiclo))</f>
        <v/>
      </c>
      <c r="R142" s="70">
        <f>IF($S142="","",IF($S142="Macro",ROW(),IFERROR(LOOKUP(2,1/($S$5:$S142="Macro"),ROW($S$5:$S142)),0)))</f>
        <v/>
      </c>
      <c r="S142" s="70">
        <f>IF(NOT((COUNTA($B142:$K142)+COUNTA($N142))&gt;0),"",IF($B142&lt;&gt;"","Macro",IF($C142&lt;&gt;"","Sub","Macro")))</f>
        <v/>
      </c>
      <c r="T142" s="70">
        <f>IF($S142="Macro",COUNTIFS($R$5:$R$1000,ROW(),$S$5:$S$1000,"Sub"),"")</f>
        <v/>
      </c>
      <c r="U142" s="70">
        <f>IF($S142="","",IF(ISNUMBER($H142),$H142,0))</f>
        <v/>
      </c>
      <c r="V142" s="70">
        <f>IF($S142="","",IF(ISNUMBER($I142),$I142,$U142))</f>
        <v/>
      </c>
      <c r="W142" s="70">
        <f>IF($S142="","",IF(ISNUMBER($J142),$J142,$V142))</f>
        <v/>
      </c>
      <c r="X142" s="70">
        <f>IF($S142="","",IF(ISNUMBER($K142),$K142,$W142))</f>
        <v/>
      </c>
      <c r="Y142" s="70">
        <f>IF($S142="","",IF(N($T142)&gt;0,AVERAGEIFS($U$5:$U$1000,$R$5:$R$1000,ROW(),$S$5:$S$1000,"Sub"),$U142))</f>
        <v/>
      </c>
      <c r="Z142" s="70">
        <f>IF($S142="","",IF(N($T142)&gt;0,AVERAGEIFS($V$5:$V$1000,$R$5:$R$1000,ROW(),$S$5:$S$1000,"Sub"),$V142))</f>
        <v/>
      </c>
      <c r="AA142" s="70">
        <f>IF($S142="","",IF(N($T142)&gt;0,AVERAGEIFS($W$5:$W$1000,$R$5:$R$1000,ROW(),$S$5:$S$1000,"Sub"),$W142))</f>
        <v/>
      </c>
      <c r="AB142" s="70">
        <f>IF($S142="","",IF(N($T142)&gt;0,AVERAGEIFS($X$5:$X$1000,$R$5:$R$1000,ROW(),$S$5:$S$1000,"Sub"),$X142))</f>
        <v/>
      </c>
    </row>
    <row r="143">
      <c r="A143" s="61">
        <f>IF(NOT((COUNTA($B143:$K143)+COUNTA($N143))&gt;0),"",IF($S143="Macro",COUNTIFS($S$5:$S143,"Macro",$P$5:$P143,$P143),IF(N($R143)=0,"?",COUNTIFS(INDEX($S$5:$S$1000,1):INDEX($S$5:$S$1000,$R143-4),"Macro",INDEX($P$5:$P$1000,1):INDEX($P$5:$P$1000,$R143-4),INDEX($P$5:$P$1000,$R143-4))&amp;"."&amp;COUNTIFS($R$5:$R143,$R143,$S$5:$S143,"Sub"))))</f>
        <v/>
      </c>
      <c r="B143" s="62" t="n"/>
      <c r="C143" s="63" t="n"/>
      <c r="D143" s="62" t="n"/>
      <c r="E143" s="64" t="n"/>
      <c r="F143" s="64" t="n"/>
      <c r="G143" s="65" t="n"/>
      <c r="H143" s="66" t="n"/>
      <c r="I143" s="66" t="n"/>
      <c r="J143" s="66" t="n"/>
      <c r="K143" s="66" t="n"/>
      <c r="L143" s="67">
        <f>IF(NOT((COUNTA($B143:$K143)+COUNTA($N143))&gt;0),"",IF(N($T143)&gt;0,$AB143,IFERROR(LOOKUP(2,1/(H143:K143&lt;&gt;""),H143:K143),0)))</f>
        <v/>
      </c>
      <c r="M143" s="61">
        <f>IF(L143="","",IF(L143&gt;=1,"Completado",IF(L143&gt;0,"En curso","Pendiente")))</f>
        <v/>
      </c>
      <c r="N143" s="62" t="n"/>
      <c r="O143" s="68">
        <f>IF(NOT((COUNTA($B143:$K143)+COUNTA($N143))&gt;0),"",IF((IF(AND($S143="Macro",$B143=""),"Macroactividad vacía"&amp;" · ","")&amp;IF(AND($B143&lt;&gt;"",$C143&lt;&gt;""),"Escriba la subactividad en otra fila, debajo de su macroactividad"&amp;" · ","")&amp;IF(AND($S143="Sub",N($R143)=0),"Subactividad sin macroactividad arriba"&amp;" · ","")&amp;IF($D143="","Sin responsable"&amp;" · ","")&amp;IF($E143="","Sin fecha de inicio"&amp;" · ","")&amp;IF($F143="","Sin fecha límite"&amp;" · ","")&amp;IF(OR(AND($E143&lt;&gt;"",NOT(ISNUMBER($E143))),AND($F143&lt;&gt;"",NOT(ISNUMBER($F143)))),"Fecha no válida"&amp;" · ","")&amp;IF(AND(ISNUMBER($E143),ISNUMBER($F143),$E143&gt;$F143),"Inicio posterior a fecha límite"&amp;" · ","")&amp;IF(AND($S143="Macro",$G143=""),"Peso vacío"&amp;" · ","")&amp;IF(AND($S143="Macro",$G143&lt;&gt;"",OR(NOT(ISNUMBER($G143)),$G143&lt;=0,$G143&gt;1)),"Peso fuera de rango"&amp;" · ","")&amp;IF(AND($S143="Sub",$G143&lt;&gt;""),"Las subactividades no llevan peso"&amp;" · ","")&amp;IF(AND($S143="Macro",ABS(SUMIFS($G$5:$G$1000,$P$5:$P$1000,$P143,$S$5:$S$1000,"Macro")-1)&gt;0.0001),"Pesos del mes suman "&amp;TEXT(SUMIFS($G$5:$G$1000,$P$5:$P$1000,$P143,$S$5:$S$1000,"Macro"),"0%")&amp;" · ","")&amp;IF(AND(N($T143)&gt;0,COUNT($H143:$K143)&gt;0),"Con subactividades: deje vacías las semanas (se calculan solas)"&amp;" · ","")&amp;IF((COUNTIF($H143:$K143,"&gt;1")+COUNTIF($H143:$K143,"&lt;0")+COUNTA($H143:$K143)-COUNT($H143:$K143))&gt;0,"Avance fuera de rango 0-100%"&amp;" · ","")&amp;IF(OR(AND($I143&lt;&gt;"",$I143&lt;$H143),AND($J143&lt;&gt;"",$J143&lt;MAX($H143:$I143)),AND($K143&lt;&gt;"",$K143&lt;MAX($H143:$J143))),"Avance semanal decreciente"&amp;" · ","")&amp;IF(AND(ISNUMBER($F143),$F143&lt;FechaRef,N($L143)&lt;1),"Vencida"&amp;" · ","")&amp;IF(AND(ObsObligatoria="Sí",ISNUMBER($F143),$F143&lt;FechaRef,N($L143)&lt;1,$N143=""),"Vencida sin observación"&amp;" · ",""))="","✔ OK","⚠ "&amp;LEFT(IF(AND($S143="Macro",$B143=""),"Macroactividad vacía"&amp;" · ","")&amp;IF(AND($B143&lt;&gt;"",$C143&lt;&gt;""),"Escriba la subactividad en otra fila, debajo de su macroactividad"&amp;" · ","")&amp;IF(AND($S143="Sub",N($R143)=0),"Subactividad sin macroactividad arriba"&amp;" · ","")&amp;IF($D143="","Sin responsable"&amp;" · ","")&amp;IF($E143="","Sin fecha de inicio"&amp;" · ","")&amp;IF($F143="","Sin fecha límite"&amp;" · ","")&amp;IF(OR(AND($E143&lt;&gt;"",NOT(ISNUMBER($E143))),AND($F143&lt;&gt;"",NOT(ISNUMBER($F143)))),"Fecha no válida"&amp;" · ","")&amp;IF(AND(ISNUMBER($E143),ISNUMBER($F143),$E143&gt;$F143),"Inicio posterior a fecha límite"&amp;" · ","")&amp;IF(AND($S143="Macro",$G143=""),"Peso vacío"&amp;" · ","")&amp;IF(AND($S143="Macro",$G143&lt;&gt;"",OR(NOT(ISNUMBER($G143)),$G143&lt;=0,$G143&gt;1)),"Peso fuera de rango"&amp;" · ","")&amp;IF(AND($S143="Sub",$G143&lt;&gt;""),"Las subactividades no llevan peso"&amp;" · ","")&amp;IF(AND($S143="Macro",ABS(SUMIFS($G$5:$G$1000,$P$5:$P$1000,$P143,$S$5:$S$1000,"Macro")-1)&gt;0.0001),"Pesos del mes suman "&amp;TEXT(SUMIFS($G$5:$G$1000,$P$5:$P$1000,$P143,$S$5:$S$1000,"Macro"),"0%")&amp;" · ","")&amp;IF(AND(N($T143)&gt;0,COUNT($H143:$K143)&gt;0),"Con subactividades: deje vacías las semanas (se calculan solas)"&amp;" · ","")&amp;IF((COUNTIF($H143:$K143,"&gt;1")+COUNTIF($H143:$K143,"&lt;0")+COUNTA($H143:$K143)-COUNT($H143:$K143))&gt;0,"Avance fuera de rango 0-100%"&amp;" · ","")&amp;IF(OR(AND($I143&lt;&gt;"",$I143&lt;$H143),AND($J143&lt;&gt;"",$J143&lt;MAX($H143:$I143)),AND($K143&lt;&gt;"",$K143&lt;MAX($H143:$J143))),"Avance semanal decreciente"&amp;" · ","")&amp;IF(AND(ISNUMBER($F143),$F143&lt;FechaRef,N($L143)&lt;1),"Vencida"&amp;" · ","")&amp;IF(AND(ObsObligatoria="Sí",ISNUMBER($F143),$F143&lt;FechaRef,N($L143)&lt;1,$N143=""),"Vencida sin observación"&amp;" · ",""),LEN(IF(AND($S143="Macro",$B143=""),"Macroactividad vacía"&amp;" · ","")&amp;IF(AND($B143&lt;&gt;"",$C143&lt;&gt;""),"Escriba la subactividad en otra fila, debajo de su macroactividad"&amp;" · ","")&amp;IF(AND($S143="Sub",N($R143)=0),"Subactividad sin macroactividad arriba"&amp;" · ","")&amp;IF($D143="","Sin responsable"&amp;" · ","")&amp;IF($E143="","Sin fecha de inicio"&amp;" · ","")&amp;IF($F143="","Sin fecha límite"&amp;" · ","")&amp;IF(OR(AND($E143&lt;&gt;"",NOT(ISNUMBER($E143))),AND($F143&lt;&gt;"",NOT(ISNUMBER($F143)))),"Fecha no válida"&amp;" · ","")&amp;IF(AND(ISNUMBER($E143),ISNUMBER($F143),$E143&gt;$F143),"Inicio posterior a fecha límite"&amp;" · ","")&amp;IF(AND($S143="Macro",$G143=""),"Peso vacío"&amp;" · ","")&amp;IF(AND($S143="Macro",$G143&lt;&gt;"",OR(NOT(ISNUMBER($G143)),$G143&lt;=0,$G143&gt;1)),"Peso fuera de rango"&amp;" · ","")&amp;IF(AND($S143="Sub",$G143&lt;&gt;""),"Las subactividades no llevan peso"&amp;" · ","")&amp;IF(AND($S143="Macro",ABS(SUMIFS($G$5:$G$1000,$P$5:$P$1000,$P143,$S$5:$S$1000,"Macro")-1)&gt;0.0001),"Pesos del mes suman "&amp;TEXT(SUMIFS($G$5:$G$1000,$P$5:$P$1000,$P143,$S$5:$S$1000,"Macro"),"0%")&amp;" · ","")&amp;IF(AND(N($T143)&gt;0,COUNT($H143:$K143)&gt;0),"Con subactividades: deje vacías las semanas (se calculan solas)"&amp;" · ","")&amp;IF((COUNTIF($H143:$K143,"&gt;1")+COUNTIF($H143:$K143,"&lt;0")+COUNTA($H143:$K143)-COUNT($H143:$K143))&gt;0,"Avance fuera de rango 0-100%"&amp;" · ","")&amp;IF(OR(AND($I143&lt;&gt;"",$I143&lt;$H143),AND($J143&lt;&gt;"",$J143&lt;MAX($H143:$I143)),AND($K143&lt;&gt;"",$K143&lt;MAX($H143:$J143))),"Avance semanal decreciente"&amp;" · ","")&amp;IF(AND(ISNUMBER($F143),$F143&lt;FechaRef,N($L143)&lt;1),"Vencida"&amp;" · ","")&amp;IF(AND(ObsObligatoria="Sí",ISNUMBER($F143),$F143&lt;FechaRef,N($L143)&lt;1,$N143=""),"Vencida sin observación"&amp;" · ",""))-3)))</f>
        <v/>
      </c>
      <c r="P143" s="69">
        <f>IF(NOT((COUNTA($B143:$K143)+COUNTA($N143))&gt;0),"",IF(AND($S143="Sub",N($R143)&gt;0),IF(ISNUMBER(INDEX($E$5:$E$1000,$R143-4)),DATE(YEAR(INDEX($E$5:$E$1000,$R143-4)),MONTH(INDEX($E$5:$E$1000,$R143-4)),1),IF(ISNUMBER(INDEX($F$5:$F$1000,$R143-4)),DATE(YEAR(INDEX($F$5:$F$1000,$R143-4)),MONTH(INDEX($F$5:$F$1000,$R143-4)),1),MesCiclo)),IF(ISNUMBER($E143),DATE(YEAR($E143),MONTH($E143),1),IF(ISNUMBER($F143),DATE(YEAR($F143),MONTH($F143),1),MesCiclo))))</f>
        <v/>
      </c>
      <c r="Q143" s="70">
        <f>IF(OR($P143="",$P143&lt;&gt;MesCiclo),"",COUNTIF($P$5:$P143,MesCiclo))</f>
        <v/>
      </c>
      <c r="R143" s="70">
        <f>IF($S143="","",IF($S143="Macro",ROW(),IFERROR(LOOKUP(2,1/($S$5:$S143="Macro"),ROW($S$5:$S143)),0)))</f>
        <v/>
      </c>
      <c r="S143" s="70">
        <f>IF(NOT((COUNTA($B143:$K143)+COUNTA($N143))&gt;0),"",IF($B143&lt;&gt;"","Macro",IF($C143&lt;&gt;"","Sub","Macro")))</f>
        <v/>
      </c>
      <c r="T143" s="70">
        <f>IF($S143="Macro",COUNTIFS($R$5:$R$1000,ROW(),$S$5:$S$1000,"Sub"),"")</f>
        <v/>
      </c>
      <c r="U143" s="70">
        <f>IF($S143="","",IF(ISNUMBER($H143),$H143,0))</f>
        <v/>
      </c>
      <c r="V143" s="70">
        <f>IF($S143="","",IF(ISNUMBER($I143),$I143,$U143))</f>
        <v/>
      </c>
      <c r="W143" s="70">
        <f>IF($S143="","",IF(ISNUMBER($J143),$J143,$V143))</f>
        <v/>
      </c>
      <c r="X143" s="70">
        <f>IF($S143="","",IF(ISNUMBER($K143),$K143,$W143))</f>
        <v/>
      </c>
      <c r="Y143" s="70">
        <f>IF($S143="","",IF(N($T143)&gt;0,AVERAGEIFS($U$5:$U$1000,$R$5:$R$1000,ROW(),$S$5:$S$1000,"Sub"),$U143))</f>
        <v/>
      </c>
      <c r="Z143" s="70">
        <f>IF($S143="","",IF(N($T143)&gt;0,AVERAGEIFS($V$5:$V$1000,$R$5:$R$1000,ROW(),$S$5:$S$1000,"Sub"),$V143))</f>
        <v/>
      </c>
      <c r="AA143" s="70">
        <f>IF($S143="","",IF(N($T143)&gt;0,AVERAGEIFS($W$5:$W$1000,$R$5:$R$1000,ROW(),$S$5:$S$1000,"Sub"),$W143))</f>
        <v/>
      </c>
      <c r="AB143" s="70">
        <f>IF($S143="","",IF(N($T143)&gt;0,AVERAGEIFS($X$5:$X$1000,$R$5:$R$1000,ROW(),$S$5:$S$1000,"Sub"),$X143))</f>
        <v/>
      </c>
    </row>
    <row r="144">
      <c r="A144" s="61">
        <f>IF(NOT((COUNTA($B144:$K144)+COUNTA($N144))&gt;0),"",IF($S144="Macro",COUNTIFS($S$5:$S144,"Macro",$P$5:$P144,$P144),IF(N($R144)=0,"?",COUNTIFS(INDEX($S$5:$S$1000,1):INDEX($S$5:$S$1000,$R144-4),"Macro",INDEX($P$5:$P$1000,1):INDEX($P$5:$P$1000,$R144-4),INDEX($P$5:$P$1000,$R144-4))&amp;"."&amp;COUNTIFS($R$5:$R144,$R144,$S$5:$S144,"Sub"))))</f>
        <v/>
      </c>
      <c r="B144" s="62" t="n"/>
      <c r="C144" s="63" t="n"/>
      <c r="D144" s="62" t="n"/>
      <c r="E144" s="64" t="n"/>
      <c r="F144" s="64" t="n"/>
      <c r="G144" s="65" t="n"/>
      <c r="H144" s="66" t="n"/>
      <c r="I144" s="66" t="n"/>
      <c r="J144" s="66" t="n"/>
      <c r="K144" s="66" t="n"/>
      <c r="L144" s="67">
        <f>IF(NOT((COUNTA($B144:$K144)+COUNTA($N144))&gt;0),"",IF(N($T144)&gt;0,$AB144,IFERROR(LOOKUP(2,1/(H144:K144&lt;&gt;""),H144:K144),0)))</f>
        <v/>
      </c>
      <c r="M144" s="61">
        <f>IF(L144="","",IF(L144&gt;=1,"Completado",IF(L144&gt;0,"En curso","Pendiente")))</f>
        <v/>
      </c>
      <c r="N144" s="62" t="n"/>
      <c r="O144" s="68">
        <f>IF(NOT((COUNTA($B144:$K144)+COUNTA($N144))&gt;0),"",IF((IF(AND($S144="Macro",$B144=""),"Macroactividad vacía"&amp;" · ","")&amp;IF(AND($B144&lt;&gt;"",$C144&lt;&gt;""),"Escriba la subactividad en otra fila, debajo de su macroactividad"&amp;" · ","")&amp;IF(AND($S144="Sub",N($R144)=0),"Subactividad sin macroactividad arriba"&amp;" · ","")&amp;IF($D144="","Sin responsable"&amp;" · ","")&amp;IF($E144="","Sin fecha de inicio"&amp;" · ","")&amp;IF($F144="","Sin fecha límite"&amp;" · ","")&amp;IF(OR(AND($E144&lt;&gt;"",NOT(ISNUMBER($E144))),AND($F144&lt;&gt;"",NOT(ISNUMBER($F144)))),"Fecha no válida"&amp;" · ","")&amp;IF(AND(ISNUMBER($E144),ISNUMBER($F144),$E144&gt;$F144),"Inicio posterior a fecha límite"&amp;" · ","")&amp;IF(AND($S144="Macro",$G144=""),"Peso vacío"&amp;" · ","")&amp;IF(AND($S144="Macro",$G144&lt;&gt;"",OR(NOT(ISNUMBER($G144)),$G144&lt;=0,$G144&gt;1)),"Peso fuera de rango"&amp;" · ","")&amp;IF(AND($S144="Sub",$G144&lt;&gt;""),"Las subactividades no llevan peso"&amp;" · ","")&amp;IF(AND($S144="Macro",ABS(SUMIFS($G$5:$G$1000,$P$5:$P$1000,$P144,$S$5:$S$1000,"Macro")-1)&gt;0.0001),"Pesos del mes suman "&amp;TEXT(SUMIFS($G$5:$G$1000,$P$5:$P$1000,$P144,$S$5:$S$1000,"Macro"),"0%")&amp;" · ","")&amp;IF(AND(N($T144)&gt;0,COUNT($H144:$K144)&gt;0),"Con subactividades: deje vacías las semanas (se calculan solas)"&amp;" · ","")&amp;IF((COUNTIF($H144:$K144,"&gt;1")+COUNTIF($H144:$K144,"&lt;0")+COUNTA($H144:$K144)-COUNT($H144:$K144))&gt;0,"Avance fuera de rango 0-100%"&amp;" · ","")&amp;IF(OR(AND($I144&lt;&gt;"",$I144&lt;$H144),AND($J144&lt;&gt;"",$J144&lt;MAX($H144:$I144)),AND($K144&lt;&gt;"",$K144&lt;MAX($H144:$J144))),"Avance semanal decreciente"&amp;" · ","")&amp;IF(AND(ISNUMBER($F144),$F144&lt;FechaRef,N($L144)&lt;1),"Vencida"&amp;" · ","")&amp;IF(AND(ObsObligatoria="Sí",ISNUMBER($F144),$F144&lt;FechaRef,N($L144)&lt;1,$N144=""),"Vencida sin observación"&amp;" · ",""))="","✔ OK","⚠ "&amp;LEFT(IF(AND($S144="Macro",$B144=""),"Macroactividad vacía"&amp;" · ","")&amp;IF(AND($B144&lt;&gt;"",$C144&lt;&gt;""),"Escriba la subactividad en otra fila, debajo de su macroactividad"&amp;" · ","")&amp;IF(AND($S144="Sub",N($R144)=0),"Subactividad sin macroactividad arriba"&amp;" · ","")&amp;IF($D144="","Sin responsable"&amp;" · ","")&amp;IF($E144="","Sin fecha de inicio"&amp;" · ","")&amp;IF($F144="","Sin fecha límite"&amp;" · ","")&amp;IF(OR(AND($E144&lt;&gt;"",NOT(ISNUMBER($E144))),AND($F144&lt;&gt;"",NOT(ISNUMBER($F144)))),"Fecha no válida"&amp;" · ","")&amp;IF(AND(ISNUMBER($E144),ISNUMBER($F144),$E144&gt;$F144),"Inicio posterior a fecha límite"&amp;" · ","")&amp;IF(AND($S144="Macro",$G144=""),"Peso vacío"&amp;" · ","")&amp;IF(AND($S144="Macro",$G144&lt;&gt;"",OR(NOT(ISNUMBER($G144)),$G144&lt;=0,$G144&gt;1)),"Peso fuera de rango"&amp;" · ","")&amp;IF(AND($S144="Sub",$G144&lt;&gt;""),"Las subactividades no llevan peso"&amp;" · ","")&amp;IF(AND($S144="Macro",ABS(SUMIFS($G$5:$G$1000,$P$5:$P$1000,$P144,$S$5:$S$1000,"Macro")-1)&gt;0.0001),"Pesos del mes suman "&amp;TEXT(SUMIFS($G$5:$G$1000,$P$5:$P$1000,$P144,$S$5:$S$1000,"Macro"),"0%")&amp;" · ","")&amp;IF(AND(N($T144)&gt;0,COUNT($H144:$K144)&gt;0),"Con subactividades: deje vacías las semanas (se calculan solas)"&amp;" · ","")&amp;IF((COUNTIF($H144:$K144,"&gt;1")+COUNTIF($H144:$K144,"&lt;0")+COUNTA($H144:$K144)-COUNT($H144:$K144))&gt;0,"Avance fuera de rango 0-100%"&amp;" · ","")&amp;IF(OR(AND($I144&lt;&gt;"",$I144&lt;$H144),AND($J144&lt;&gt;"",$J144&lt;MAX($H144:$I144)),AND($K144&lt;&gt;"",$K144&lt;MAX($H144:$J144))),"Avance semanal decreciente"&amp;" · ","")&amp;IF(AND(ISNUMBER($F144),$F144&lt;FechaRef,N($L144)&lt;1),"Vencida"&amp;" · ","")&amp;IF(AND(ObsObligatoria="Sí",ISNUMBER($F144),$F144&lt;FechaRef,N($L144)&lt;1,$N144=""),"Vencida sin observación"&amp;" · ",""),LEN(IF(AND($S144="Macro",$B144=""),"Macroactividad vacía"&amp;" · ","")&amp;IF(AND($B144&lt;&gt;"",$C144&lt;&gt;""),"Escriba la subactividad en otra fila, debajo de su macroactividad"&amp;" · ","")&amp;IF(AND($S144="Sub",N($R144)=0),"Subactividad sin macroactividad arriba"&amp;" · ","")&amp;IF($D144="","Sin responsable"&amp;" · ","")&amp;IF($E144="","Sin fecha de inicio"&amp;" · ","")&amp;IF($F144="","Sin fecha límite"&amp;" · ","")&amp;IF(OR(AND($E144&lt;&gt;"",NOT(ISNUMBER($E144))),AND($F144&lt;&gt;"",NOT(ISNUMBER($F144)))),"Fecha no válida"&amp;" · ","")&amp;IF(AND(ISNUMBER($E144),ISNUMBER($F144),$E144&gt;$F144),"Inicio posterior a fecha límite"&amp;" · ","")&amp;IF(AND($S144="Macro",$G144=""),"Peso vacío"&amp;" · ","")&amp;IF(AND($S144="Macro",$G144&lt;&gt;"",OR(NOT(ISNUMBER($G144)),$G144&lt;=0,$G144&gt;1)),"Peso fuera de rango"&amp;" · ","")&amp;IF(AND($S144="Sub",$G144&lt;&gt;""),"Las subactividades no llevan peso"&amp;" · ","")&amp;IF(AND($S144="Macro",ABS(SUMIFS($G$5:$G$1000,$P$5:$P$1000,$P144,$S$5:$S$1000,"Macro")-1)&gt;0.0001),"Pesos del mes suman "&amp;TEXT(SUMIFS($G$5:$G$1000,$P$5:$P$1000,$P144,$S$5:$S$1000,"Macro"),"0%")&amp;" · ","")&amp;IF(AND(N($T144)&gt;0,COUNT($H144:$K144)&gt;0),"Con subactividades: deje vacías las semanas (se calculan solas)"&amp;" · ","")&amp;IF((COUNTIF($H144:$K144,"&gt;1")+COUNTIF($H144:$K144,"&lt;0")+COUNTA($H144:$K144)-COUNT($H144:$K144))&gt;0,"Avance fuera de rango 0-100%"&amp;" · ","")&amp;IF(OR(AND($I144&lt;&gt;"",$I144&lt;$H144),AND($J144&lt;&gt;"",$J144&lt;MAX($H144:$I144)),AND($K144&lt;&gt;"",$K144&lt;MAX($H144:$J144))),"Avance semanal decreciente"&amp;" · ","")&amp;IF(AND(ISNUMBER($F144),$F144&lt;FechaRef,N($L144)&lt;1),"Vencida"&amp;" · ","")&amp;IF(AND(ObsObligatoria="Sí",ISNUMBER($F144),$F144&lt;FechaRef,N($L144)&lt;1,$N144=""),"Vencida sin observación"&amp;" · ",""))-3)))</f>
        <v/>
      </c>
      <c r="P144" s="69">
        <f>IF(NOT((COUNTA($B144:$K144)+COUNTA($N144))&gt;0),"",IF(AND($S144="Sub",N($R144)&gt;0),IF(ISNUMBER(INDEX($E$5:$E$1000,$R144-4)),DATE(YEAR(INDEX($E$5:$E$1000,$R144-4)),MONTH(INDEX($E$5:$E$1000,$R144-4)),1),IF(ISNUMBER(INDEX($F$5:$F$1000,$R144-4)),DATE(YEAR(INDEX($F$5:$F$1000,$R144-4)),MONTH(INDEX($F$5:$F$1000,$R144-4)),1),MesCiclo)),IF(ISNUMBER($E144),DATE(YEAR($E144),MONTH($E144),1),IF(ISNUMBER($F144),DATE(YEAR($F144),MONTH($F144),1),MesCiclo))))</f>
        <v/>
      </c>
      <c r="Q144" s="70">
        <f>IF(OR($P144="",$P144&lt;&gt;MesCiclo),"",COUNTIF($P$5:$P144,MesCiclo))</f>
        <v/>
      </c>
      <c r="R144" s="70">
        <f>IF($S144="","",IF($S144="Macro",ROW(),IFERROR(LOOKUP(2,1/($S$5:$S144="Macro"),ROW($S$5:$S144)),0)))</f>
        <v/>
      </c>
      <c r="S144" s="70">
        <f>IF(NOT((COUNTA($B144:$K144)+COUNTA($N144))&gt;0),"",IF($B144&lt;&gt;"","Macro",IF($C144&lt;&gt;"","Sub","Macro")))</f>
        <v/>
      </c>
      <c r="T144" s="70">
        <f>IF($S144="Macro",COUNTIFS($R$5:$R$1000,ROW(),$S$5:$S$1000,"Sub"),"")</f>
        <v/>
      </c>
      <c r="U144" s="70">
        <f>IF($S144="","",IF(ISNUMBER($H144),$H144,0))</f>
        <v/>
      </c>
      <c r="V144" s="70">
        <f>IF($S144="","",IF(ISNUMBER($I144),$I144,$U144))</f>
        <v/>
      </c>
      <c r="W144" s="70">
        <f>IF($S144="","",IF(ISNUMBER($J144),$J144,$V144))</f>
        <v/>
      </c>
      <c r="X144" s="70">
        <f>IF($S144="","",IF(ISNUMBER($K144),$K144,$W144))</f>
        <v/>
      </c>
      <c r="Y144" s="70">
        <f>IF($S144="","",IF(N($T144)&gt;0,AVERAGEIFS($U$5:$U$1000,$R$5:$R$1000,ROW(),$S$5:$S$1000,"Sub"),$U144))</f>
        <v/>
      </c>
      <c r="Z144" s="70">
        <f>IF($S144="","",IF(N($T144)&gt;0,AVERAGEIFS($V$5:$V$1000,$R$5:$R$1000,ROW(),$S$5:$S$1000,"Sub"),$V144))</f>
        <v/>
      </c>
      <c r="AA144" s="70">
        <f>IF($S144="","",IF(N($T144)&gt;0,AVERAGEIFS($W$5:$W$1000,$R$5:$R$1000,ROW(),$S$5:$S$1000,"Sub"),$W144))</f>
        <v/>
      </c>
      <c r="AB144" s="70">
        <f>IF($S144="","",IF(N($T144)&gt;0,AVERAGEIFS($X$5:$X$1000,$R$5:$R$1000,ROW(),$S$5:$S$1000,"Sub"),$X144))</f>
        <v/>
      </c>
    </row>
    <row r="145">
      <c r="A145" s="61">
        <f>IF(NOT((COUNTA($B145:$K145)+COUNTA($N145))&gt;0),"",IF($S145="Macro",COUNTIFS($S$5:$S145,"Macro",$P$5:$P145,$P145),IF(N($R145)=0,"?",COUNTIFS(INDEX($S$5:$S$1000,1):INDEX($S$5:$S$1000,$R145-4),"Macro",INDEX($P$5:$P$1000,1):INDEX($P$5:$P$1000,$R145-4),INDEX($P$5:$P$1000,$R145-4))&amp;"."&amp;COUNTIFS($R$5:$R145,$R145,$S$5:$S145,"Sub"))))</f>
        <v/>
      </c>
      <c r="B145" s="62" t="n"/>
      <c r="C145" s="63" t="n"/>
      <c r="D145" s="62" t="n"/>
      <c r="E145" s="64" t="n"/>
      <c r="F145" s="64" t="n"/>
      <c r="G145" s="65" t="n"/>
      <c r="H145" s="66" t="n"/>
      <c r="I145" s="66" t="n"/>
      <c r="J145" s="66" t="n"/>
      <c r="K145" s="66" t="n"/>
      <c r="L145" s="67">
        <f>IF(NOT((COUNTA($B145:$K145)+COUNTA($N145))&gt;0),"",IF(N($T145)&gt;0,$AB145,IFERROR(LOOKUP(2,1/(H145:K145&lt;&gt;""),H145:K145),0)))</f>
        <v/>
      </c>
      <c r="M145" s="61">
        <f>IF(L145="","",IF(L145&gt;=1,"Completado",IF(L145&gt;0,"En curso","Pendiente")))</f>
        <v/>
      </c>
      <c r="N145" s="62" t="n"/>
      <c r="O145" s="68">
        <f>IF(NOT((COUNTA($B145:$K145)+COUNTA($N145))&gt;0),"",IF((IF(AND($S145="Macro",$B145=""),"Macroactividad vacía"&amp;" · ","")&amp;IF(AND($B145&lt;&gt;"",$C145&lt;&gt;""),"Escriba la subactividad en otra fila, debajo de su macroactividad"&amp;" · ","")&amp;IF(AND($S145="Sub",N($R145)=0),"Subactividad sin macroactividad arriba"&amp;" · ","")&amp;IF($D145="","Sin responsable"&amp;" · ","")&amp;IF($E145="","Sin fecha de inicio"&amp;" · ","")&amp;IF($F145="","Sin fecha límite"&amp;" · ","")&amp;IF(OR(AND($E145&lt;&gt;"",NOT(ISNUMBER($E145))),AND($F145&lt;&gt;"",NOT(ISNUMBER($F145)))),"Fecha no válida"&amp;" · ","")&amp;IF(AND(ISNUMBER($E145),ISNUMBER($F145),$E145&gt;$F145),"Inicio posterior a fecha límite"&amp;" · ","")&amp;IF(AND($S145="Macro",$G145=""),"Peso vacío"&amp;" · ","")&amp;IF(AND($S145="Macro",$G145&lt;&gt;"",OR(NOT(ISNUMBER($G145)),$G145&lt;=0,$G145&gt;1)),"Peso fuera de rango"&amp;" · ","")&amp;IF(AND($S145="Sub",$G145&lt;&gt;""),"Las subactividades no llevan peso"&amp;" · ","")&amp;IF(AND($S145="Macro",ABS(SUMIFS($G$5:$G$1000,$P$5:$P$1000,$P145,$S$5:$S$1000,"Macro")-1)&gt;0.0001),"Pesos del mes suman "&amp;TEXT(SUMIFS($G$5:$G$1000,$P$5:$P$1000,$P145,$S$5:$S$1000,"Macro"),"0%")&amp;" · ","")&amp;IF(AND(N($T145)&gt;0,COUNT($H145:$K145)&gt;0),"Con subactividades: deje vacías las semanas (se calculan solas)"&amp;" · ","")&amp;IF((COUNTIF($H145:$K145,"&gt;1")+COUNTIF($H145:$K145,"&lt;0")+COUNTA($H145:$K145)-COUNT($H145:$K145))&gt;0,"Avance fuera de rango 0-100%"&amp;" · ","")&amp;IF(OR(AND($I145&lt;&gt;"",$I145&lt;$H145),AND($J145&lt;&gt;"",$J145&lt;MAX($H145:$I145)),AND($K145&lt;&gt;"",$K145&lt;MAX($H145:$J145))),"Avance semanal decreciente"&amp;" · ","")&amp;IF(AND(ISNUMBER($F145),$F145&lt;FechaRef,N($L145)&lt;1),"Vencida"&amp;" · ","")&amp;IF(AND(ObsObligatoria="Sí",ISNUMBER($F145),$F145&lt;FechaRef,N($L145)&lt;1,$N145=""),"Vencida sin observación"&amp;" · ",""))="","✔ OK","⚠ "&amp;LEFT(IF(AND($S145="Macro",$B145=""),"Macroactividad vacía"&amp;" · ","")&amp;IF(AND($B145&lt;&gt;"",$C145&lt;&gt;""),"Escriba la subactividad en otra fila, debajo de su macroactividad"&amp;" · ","")&amp;IF(AND($S145="Sub",N($R145)=0),"Subactividad sin macroactividad arriba"&amp;" · ","")&amp;IF($D145="","Sin responsable"&amp;" · ","")&amp;IF($E145="","Sin fecha de inicio"&amp;" · ","")&amp;IF($F145="","Sin fecha límite"&amp;" · ","")&amp;IF(OR(AND($E145&lt;&gt;"",NOT(ISNUMBER($E145))),AND($F145&lt;&gt;"",NOT(ISNUMBER($F145)))),"Fecha no válida"&amp;" · ","")&amp;IF(AND(ISNUMBER($E145),ISNUMBER($F145),$E145&gt;$F145),"Inicio posterior a fecha límite"&amp;" · ","")&amp;IF(AND($S145="Macro",$G145=""),"Peso vacío"&amp;" · ","")&amp;IF(AND($S145="Macro",$G145&lt;&gt;"",OR(NOT(ISNUMBER($G145)),$G145&lt;=0,$G145&gt;1)),"Peso fuera de rango"&amp;" · ","")&amp;IF(AND($S145="Sub",$G145&lt;&gt;""),"Las subactividades no llevan peso"&amp;" · ","")&amp;IF(AND($S145="Macro",ABS(SUMIFS($G$5:$G$1000,$P$5:$P$1000,$P145,$S$5:$S$1000,"Macro")-1)&gt;0.0001),"Pesos del mes suman "&amp;TEXT(SUMIFS($G$5:$G$1000,$P$5:$P$1000,$P145,$S$5:$S$1000,"Macro"),"0%")&amp;" · ","")&amp;IF(AND(N($T145)&gt;0,COUNT($H145:$K145)&gt;0),"Con subactividades: deje vacías las semanas (se calculan solas)"&amp;" · ","")&amp;IF((COUNTIF($H145:$K145,"&gt;1")+COUNTIF($H145:$K145,"&lt;0")+COUNTA($H145:$K145)-COUNT($H145:$K145))&gt;0,"Avance fuera de rango 0-100%"&amp;" · ","")&amp;IF(OR(AND($I145&lt;&gt;"",$I145&lt;$H145),AND($J145&lt;&gt;"",$J145&lt;MAX($H145:$I145)),AND($K145&lt;&gt;"",$K145&lt;MAX($H145:$J145))),"Avance semanal decreciente"&amp;" · ","")&amp;IF(AND(ISNUMBER($F145),$F145&lt;FechaRef,N($L145)&lt;1),"Vencida"&amp;" · ","")&amp;IF(AND(ObsObligatoria="Sí",ISNUMBER($F145),$F145&lt;FechaRef,N($L145)&lt;1,$N145=""),"Vencida sin observación"&amp;" · ",""),LEN(IF(AND($S145="Macro",$B145=""),"Macroactividad vacía"&amp;" · ","")&amp;IF(AND($B145&lt;&gt;"",$C145&lt;&gt;""),"Escriba la subactividad en otra fila, debajo de su macroactividad"&amp;" · ","")&amp;IF(AND($S145="Sub",N($R145)=0),"Subactividad sin macroactividad arriba"&amp;" · ","")&amp;IF($D145="","Sin responsable"&amp;" · ","")&amp;IF($E145="","Sin fecha de inicio"&amp;" · ","")&amp;IF($F145="","Sin fecha límite"&amp;" · ","")&amp;IF(OR(AND($E145&lt;&gt;"",NOT(ISNUMBER($E145))),AND($F145&lt;&gt;"",NOT(ISNUMBER($F145)))),"Fecha no válida"&amp;" · ","")&amp;IF(AND(ISNUMBER($E145),ISNUMBER($F145),$E145&gt;$F145),"Inicio posterior a fecha límite"&amp;" · ","")&amp;IF(AND($S145="Macro",$G145=""),"Peso vacío"&amp;" · ","")&amp;IF(AND($S145="Macro",$G145&lt;&gt;"",OR(NOT(ISNUMBER($G145)),$G145&lt;=0,$G145&gt;1)),"Peso fuera de rango"&amp;" · ","")&amp;IF(AND($S145="Sub",$G145&lt;&gt;""),"Las subactividades no llevan peso"&amp;" · ","")&amp;IF(AND($S145="Macro",ABS(SUMIFS($G$5:$G$1000,$P$5:$P$1000,$P145,$S$5:$S$1000,"Macro")-1)&gt;0.0001),"Pesos del mes suman "&amp;TEXT(SUMIFS($G$5:$G$1000,$P$5:$P$1000,$P145,$S$5:$S$1000,"Macro"),"0%")&amp;" · ","")&amp;IF(AND(N($T145)&gt;0,COUNT($H145:$K145)&gt;0),"Con subactividades: deje vacías las semanas (se calculan solas)"&amp;" · ","")&amp;IF((COUNTIF($H145:$K145,"&gt;1")+COUNTIF($H145:$K145,"&lt;0")+COUNTA($H145:$K145)-COUNT($H145:$K145))&gt;0,"Avance fuera de rango 0-100%"&amp;" · ","")&amp;IF(OR(AND($I145&lt;&gt;"",$I145&lt;$H145),AND($J145&lt;&gt;"",$J145&lt;MAX($H145:$I145)),AND($K145&lt;&gt;"",$K145&lt;MAX($H145:$J145))),"Avance semanal decreciente"&amp;" · ","")&amp;IF(AND(ISNUMBER($F145),$F145&lt;FechaRef,N($L145)&lt;1),"Vencida"&amp;" · ","")&amp;IF(AND(ObsObligatoria="Sí",ISNUMBER($F145),$F145&lt;FechaRef,N($L145)&lt;1,$N145=""),"Vencida sin observación"&amp;" · ",""))-3)))</f>
        <v/>
      </c>
      <c r="P145" s="69">
        <f>IF(NOT((COUNTA($B145:$K145)+COUNTA($N145))&gt;0),"",IF(AND($S145="Sub",N($R145)&gt;0),IF(ISNUMBER(INDEX($E$5:$E$1000,$R145-4)),DATE(YEAR(INDEX($E$5:$E$1000,$R145-4)),MONTH(INDEX($E$5:$E$1000,$R145-4)),1),IF(ISNUMBER(INDEX($F$5:$F$1000,$R145-4)),DATE(YEAR(INDEX($F$5:$F$1000,$R145-4)),MONTH(INDEX($F$5:$F$1000,$R145-4)),1),MesCiclo)),IF(ISNUMBER($E145),DATE(YEAR($E145),MONTH($E145),1),IF(ISNUMBER($F145),DATE(YEAR($F145),MONTH($F145),1),MesCiclo))))</f>
        <v/>
      </c>
      <c r="Q145" s="70">
        <f>IF(OR($P145="",$P145&lt;&gt;MesCiclo),"",COUNTIF($P$5:$P145,MesCiclo))</f>
        <v/>
      </c>
      <c r="R145" s="70">
        <f>IF($S145="","",IF($S145="Macro",ROW(),IFERROR(LOOKUP(2,1/($S$5:$S145="Macro"),ROW($S$5:$S145)),0)))</f>
        <v/>
      </c>
      <c r="S145" s="70">
        <f>IF(NOT((COUNTA($B145:$K145)+COUNTA($N145))&gt;0),"",IF($B145&lt;&gt;"","Macro",IF($C145&lt;&gt;"","Sub","Macro")))</f>
        <v/>
      </c>
      <c r="T145" s="70">
        <f>IF($S145="Macro",COUNTIFS($R$5:$R$1000,ROW(),$S$5:$S$1000,"Sub"),"")</f>
        <v/>
      </c>
      <c r="U145" s="70">
        <f>IF($S145="","",IF(ISNUMBER($H145),$H145,0))</f>
        <v/>
      </c>
      <c r="V145" s="70">
        <f>IF($S145="","",IF(ISNUMBER($I145),$I145,$U145))</f>
        <v/>
      </c>
      <c r="W145" s="70">
        <f>IF($S145="","",IF(ISNUMBER($J145),$J145,$V145))</f>
        <v/>
      </c>
      <c r="X145" s="70">
        <f>IF($S145="","",IF(ISNUMBER($K145),$K145,$W145))</f>
        <v/>
      </c>
      <c r="Y145" s="70">
        <f>IF($S145="","",IF(N($T145)&gt;0,AVERAGEIFS($U$5:$U$1000,$R$5:$R$1000,ROW(),$S$5:$S$1000,"Sub"),$U145))</f>
        <v/>
      </c>
      <c r="Z145" s="70">
        <f>IF($S145="","",IF(N($T145)&gt;0,AVERAGEIFS($V$5:$V$1000,$R$5:$R$1000,ROW(),$S$5:$S$1000,"Sub"),$V145))</f>
        <v/>
      </c>
      <c r="AA145" s="70">
        <f>IF($S145="","",IF(N($T145)&gt;0,AVERAGEIFS($W$5:$W$1000,$R$5:$R$1000,ROW(),$S$5:$S$1000,"Sub"),$W145))</f>
        <v/>
      </c>
      <c r="AB145" s="70">
        <f>IF($S145="","",IF(N($T145)&gt;0,AVERAGEIFS($X$5:$X$1000,$R$5:$R$1000,ROW(),$S$5:$S$1000,"Sub"),$X145))</f>
        <v/>
      </c>
    </row>
    <row r="146">
      <c r="A146" s="61">
        <f>IF(NOT((COUNTA($B146:$K146)+COUNTA($N146))&gt;0),"",IF($S146="Macro",COUNTIFS($S$5:$S146,"Macro",$P$5:$P146,$P146),IF(N($R146)=0,"?",COUNTIFS(INDEX($S$5:$S$1000,1):INDEX($S$5:$S$1000,$R146-4),"Macro",INDEX($P$5:$P$1000,1):INDEX($P$5:$P$1000,$R146-4),INDEX($P$5:$P$1000,$R146-4))&amp;"."&amp;COUNTIFS($R$5:$R146,$R146,$S$5:$S146,"Sub"))))</f>
        <v/>
      </c>
      <c r="B146" s="62" t="n"/>
      <c r="C146" s="63" t="n"/>
      <c r="D146" s="62" t="n"/>
      <c r="E146" s="64" t="n"/>
      <c r="F146" s="64" t="n"/>
      <c r="G146" s="65" t="n"/>
      <c r="H146" s="66" t="n"/>
      <c r="I146" s="66" t="n"/>
      <c r="J146" s="66" t="n"/>
      <c r="K146" s="66" t="n"/>
      <c r="L146" s="67">
        <f>IF(NOT((COUNTA($B146:$K146)+COUNTA($N146))&gt;0),"",IF(N($T146)&gt;0,$AB146,IFERROR(LOOKUP(2,1/(H146:K146&lt;&gt;""),H146:K146),0)))</f>
        <v/>
      </c>
      <c r="M146" s="61">
        <f>IF(L146="","",IF(L146&gt;=1,"Completado",IF(L146&gt;0,"En curso","Pendiente")))</f>
        <v/>
      </c>
      <c r="N146" s="62" t="n"/>
      <c r="O146" s="68">
        <f>IF(NOT((COUNTA($B146:$K146)+COUNTA($N146))&gt;0),"",IF((IF(AND($S146="Macro",$B146=""),"Macroactividad vacía"&amp;" · ","")&amp;IF(AND($B146&lt;&gt;"",$C146&lt;&gt;""),"Escriba la subactividad en otra fila, debajo de su macroactividad"&amp;" · ","")&amp;IF(AND($S146="Sub",N($R146)=0),"Subactividad sin macroactividad arriba"&amp;" · ","")&amp;IF($D146="","Sin responsable"&amp;" · ","")&amp;IF($E146="","Sin fecha de inicio"&amp;" · ","")&amp;IF($F146="","Sin fecha límite"&amp;" · ","")&amp;IF(OR(AND($E146&lt;&gt;"",NOT(ISNUMBER($E146))),AND($F146&lt;&gt;"",NOT(ISNUMBER($F146)))),"Fecha no válida"&amp;" · ","")&amp;IF(AND(ISNUMBER($E146),ISNUMBER($F146),$E146&gt;$F146),"Inicio posterior a fecha límite"&amp;" · ","")&amp;IF(AND($S146="Macro",$G146=""),"Peso vacío"&amp;" · ","")&amp;IF(AND($S146="Macro",$G146&lt;&gt;"",OR(NOT(ISNUMBER($G146)),$G146&lt;=0,$G146&gt;1)),"Peso fuera de rango"&amp;" · ","")&amp;IF(AND($S146="Sub",$G146&lt;&gt;""),"Las subactividades no llevan peso"&amp;" · ","")&amp;IF(AND($S146="Macro",ABS(SUMIFS($G$5:$G$1000,$P$5:$P$1000,$P146,$S$5:$S$1000,"Macro")-1)&gt;0.0001),"Pesos del mes suman "&amp;TEXT(SUMIFS($G$5:$G$1000,$P$5:$P$1000,$P146,$S$5:$S$1000,"Macro"),"0%")&amp;" · ","")&amp;IF(AND(N($T146)&gt;0,COUNT($H146:$K146)&gt;0),"Con subactividades: deje vacías las semanas (se calculan solas)"&amp;" · ","")&amp;IF((COUNTIF($H146:$K146,"&gt;1")+COUNTIF($H146:$K146,"&lt;0")+COUNTA($H146:$K146)-COUNT($H146:$K146))&gt;0,"Avance fuera de rango 0-100%"&amp;" · ","")&amp;IF(OR(AND($I146&lt;&gt;"",$I146&lt;$H146),AND($J146&lt;&gt;"",$J146&lt;MAX($H146:$I146)),AND($K146&lt;&gt;"",$K146&lt;MAX($H146:$J146))),"Avance semanal decreciente"&amp;" · ","")&amp;IF(AND(ISNUMBER($F146),$F146&lt;FechaRef,N($L146)&lt;1),"Vencida"&amp;" · ","")&amp;IF(AND(ObsObligatoria="Sí",ISNUMBER($F146),$F146&lt;FechaRef,N($L146)&lt;1,$N146=""),"Vencida sin observación"&amp;" · ",""))="","✔ OK","⚠ "&amp;LEFT(IF(AND($S146="Macro",$B146=""),"Macroactividad vacía"&amp;" · ","")&amp;IF(AND($B146&lt;&gt;"",$C146&lt;&gt;""),"Escriba la subactividad en otra fila, debajo de su macroactividad"&amp;" · ","")&amp;IF(AND($S146="Sub",N($R146)=0),"Subactividad sin macroactividad arriba"&amp;" · ","")&amp;IF($D146="","Sin responsable"&amp;" · ","")&amp;IF($E146="","Sin fecha de inicio"&amp;" · ","")&amp;IF($F146="","Sin fecha límite"&amp;" · ","")&amp;IF(OR(AND($E146&lt;&gt;"",NOT(ISNUMBER($E146))),AND($F146&lt;&gt;"",NOT(ISNUMBER($F146)))),"Fecha no válida"&amp;" · ","")&amp;IF(AND(ISNUMBER($E146),ISNUMBER($F146),$E146&gt;$F146),"Inicio posterior a fecha límite"&amp;" · ","")&amp;IF(AND($S146="Macro",$G146=""),"Peso vacío"&amp;" · ","")&amp;IF(AND($S146="Macro",$G146&lt;&gt;"",OR(NOT(ISNUMBER($G146)),$G146&lt;=0,$G146&gt;1)),"Peso fuera de rango"&amp;" · ","")&amp;IF(AND($S146="Sub",$G146&lt;&gt;""),"Las subactividades no llevan peso"&amp;" · ","")&amp;IF(AND($S146="Macro",ABS(SUMIFS($G$5:$G$1000,$P$5:$P$1000,$P146,$S$5:$S$1000,"Macro")-1)&gt;0.0001),"Pesos del mes suman "&amp;TEXT(SUMIFS($G$5:$G$1000,$P$5:$P$1000,$P146,$S$5:$S$1000,"Macro"),"0%")&amp;" · ","")&amp;IF(AND(N($T146)&gt;0,COUNT($H146:$K146)&gt;0),"Con subactividades: deje vacías las semanas (se calculan solas)"&amp;" · ","")&amp;IF((COUNTIF($H146:$K146,"&gt;1")+COUNTIF($H146:$K146,"&lt;0")+COUNTA($H146:$K146)-COUNT($H146:$K146))&gt;0,"Avance fuera de rango 0-100%"&amp;" · ","")&amp;IF(OR(AND($I146&lt;&gt;"",$I146&lt;$H146),AND($J146&lt;&gt;"",$J146&lt;MAX($H146:$I146)),AND($K146&lt;&gt;"",$K146&lt;MAX($H146:$J146))),"Avance semanal decreciente"&amp;" · ","")&amp;IF(AND(ISNUMBER($F146),$F146&lt;FechaRef,N($L146)&lt;1),"Vencida"&amp;" · ","")&amp;IF(AND(ObsObligatoria="Sí",ISNUMBER($F146),$F146&lt;FechaRef,N($L146)&lt;1,$N146=""),"Vencida sin observación"&amp;" · ",""),LEN(IF(AND($S146="Macro",$B146=""),"Macroactividad vacía"&amp;" · ","")&amp;IF(AND($B146&lt;&gt;"",$C146&lt;&gt;""),"Escriba la subactividad en otra fila, debajo de su macroactividad"&amp;" · ","")&amp;IF(AND($S146="Sub",N($R146)=0),"Subactividad sin macroactividad arriba"&amp;" · ","")&amp;IF($D146="","Sin responsable"&amp;" · ","")&amp;IF($E146="","Sin fecha de inicio"&amp;" · ","")&amp;IF($F146="","Sin fecha límite"&amp;" · ","")&amp;IF(OR(AND($E146&lt;&gt;"",NOT(ISNUMBER($E146))),AND($F146&lt;&gt;"",NOT(ISNUMBER($F146)))),"Fecha no válida"&amp;" · ","")&amp;IF(AND(ISNUMBER($E146),ISNUMBER($F146),$E146&gt;$F146),"Inicio posterior a fecha límite"&amp;" · ","")&amp;IF(AND($S146="Macro",$G146=""),"Peso vacío"&amp;" · ","")&amp;IF(AND($S146="Macro",$G146&lt;&gt;"",OR(NOT(ISNUMBER($G146)),$G146&lt;=0,$G146&gt;1)),"Peso fuera de rango"&amp;" · ","")&amp;IF(AND($S146="Sub",$G146&lt;&gt;""),"Las subactividades no llevan peso"&amp;" · ","")&amp;IF(AND($S146="Macro",ABS(SUMIFS($G$5:$G$1000,$P$5:$P$1000,$P146,$S$5:$S$1000,"Macro")-1)&gt;0.0001),"Pesos del mes suman "&amp;TEXT(SUMIFS($G$5:$G$1000,$P$5:$P$1000,$P146,$S$5:$S$1000,"Macro"),"0%")&amp;" · ","")&amp;IF(AND(N($T146)&gt;0,COUNT($H146:$K146)&gt;0),"Con subactividades: deje vacías las semanas (se calculan solas)"&amp;" · ","")&amp;IF((COUNTIF($H146:$K146,"&gt;1")+COUNTIF($H146:$K146,"&lt;0")+COUNTA($H146:$K146)-COUNT($H146:$K146))&gt;0,"Avance fuera de rango 0-100%"&amp;" · ","")&amp;IF(OR(AND($I146&lt;&gt;"",$I146&lt;$H146),AND($J146&lt;&gt;"",$J146&lt;MAX($H146:$I146)),AND($K146&lt;&gt;"",$K146&lt;MAX($H146:$J146))),"Avance semanal decreciente"&amp;" · ","")&amp;IF(AND(ISNUMBER($F146),$F146&lt;FechaRef,N($L146)&lt;1),"Vencida"&amp;" · ","")&amp;IF(AND(ObsObligatoria="Sí",ISNUMBER($F146),$F146&lt;FechaRef,N($L146)&lt;1,$N146=""),"Vencida sin observación"&amp;" · ",""))-3)))</f>
        <v/>
      </c>
      <c r="P146" s="69">
        <f>IF(NOT((COUNTA($B146:$K146)+COUNTA($N146))&gt;0),"",IF(AND($S146="Sub",N($R146)&gt;0),IF(ISNUMBER(INDEX($E$5:$E$1000,$R146-4)),DATE(YEAR(INDEX($E$5:$E$1000,$R146-4)),MONTH(INDEX($E$5:$E$1000,$R146-4)),1),IF(ISNUMBER(INDEX($F$5:$F$1000,$R146-4)),DATE(YEAR(INDEX($F$5:$F$1000,$R146-4)),MONTH(INDEX($F$5:$F$1000,$R146-4)),1),MesCiclo)),IF(ISNUMBER($E146),DATE(YEAR($E146),MONTH($E146),1),IF(ISNUMBER($F146),DATE(YEAR($F146),MONTH($F146),1),MesCiclo))))</f>
        <v/>
      </c>
      <c r="Q146" s="70">
        <f>IF(OR($P146="",$P146&lt;&gt;MesCiclo),"",COUNTIF($P$5:$P146,MesCiclo))</f>
        <v/>
      </c>
      <c r="R146" s="70">
        <f>IF($S146="","",IF($S146="Macro",ROW(),IFERROR(LOOKUP(2,1/($S$5:$S146="Macro"),ROW($S$5:$S146)),0)))</f>
        <v/>
      </c>
      <c r="S146" s="70">
        <f>IF(NOT((COUNTA($B146:$K146)+COUNTA($N146))&gt;0),"",IF($B146&lt;&gt;"","Macro",IF($C146&lt;&gt;"","Sub","Macro")))</f>
        <v/>
      </c>
      <c r="T146" s="70">
        <f>IF($S146="Macro",COUNTIFS($R$5:$R$1000,ROW(),$S$5:$S$1000,"Sub"),"")</f>
        <v/>
      </c>
      <c r="U146" s="70">
        <f>IF($S146="","",IF(ISNUMBER($H146),$H146,0))</f>
        <v/>
      </c>
      <c r="V146" s="70">
        <f>IF($S146="","",IF(ISNUMBER($I146),$I146,$U146))</f>
        <v/>
      </c>
      <c r="W146" s="70">
        <f>IF($S146="","",IF(ISNUMBER($J146),$J146,$V146))</f>
        <v/>
      </c>
      <c r="X146" s="70">
        <f>IF($S146="","",IF(ISNUMBER($K146),$K146,$W146))</f>
        <v/>
      </c>
      <c r="Y146" s="70">
        <f>IF($S146="","",IF(N($T146)&gt;0,AVERAGEIFS($U$5:$U$1000,$R$5:$R$1000,ROW(),$S$5:$S$1000,"Sub"),$U146))</f>
        <v/>
      </c>
      <c r="Z146" s="70">
        <f>IF($S146="","",IF(N($T146)&gt;0,AVERAGEIFS($V$5:$V$1000,$R$5:$R$1000,ROW(),$S$5:$S$1000,"Sub"),$V146))</f>
        <v/>
      </c>
      <c r="AA146" s="70">
        <f>IF($S146="","",IF(N($T146)&gt;0,AVERAGEIFS($W$5:$W$1000,$R$5:$R$1000,ROW(),$S$5:$S$1000,"Sub"),$W146))</f>
        <v/>
      </c>
      <c r="AB146" s="70">
        <f>IF($S146="","",IF(N($T146)&gt;0,AVERAGEIFS($X$5:$X$1000,$R$5:$R$1000,ROW(),$S$5:$S$1000,"Sub"),$X146))</f>
        <v/>
      </c>
    </row>
    <row r="147">
      <c r="A147" s="61">
        <f>IF(NOT((COUNTA($B147:$K147)+COUNTA($N147))&gt;0),"",IF($S147="Macro",COUNTIFS($S$5:$S147,"Macro",$P$5:$P147,$P147),IF(N($R147)=0,"?",COUNTIFS(INDEX($S$5:$S$1000,1):INDEX($S$5:$S$1000,$R147-4),"Macro",INDEX($P$5:$P$1000,1):INDEX($P$5:$P$1000,$R147-4),INDEX($P$5:$P$1000,$R147-4))&amp;"."&amp;COUNTIFS($R$5:$R147,$R147,$S$5:$S147,"Sub"))))</f>
        <v/>
      </c>
      <c r="B147" s="62" t="n"/>
      <c r="C147" s="63" t="n"/>
      <c r="D147" s="62" t="n"/>
      <c r="E147" s="64" t="n"/>
      <c r="F147" s="64" t="n"/>
      <c r="G147" s="65" t="n"/>
      <c r="H147" s="66" t="n"/>
      <c r="I147" s="66" t="n"/>
      <c r="J147" s="66" t="n"/>
      <c r="K147" s="66" t="n"/>
      <c r="L147" s="67">
        <f>IF(NOT((COUNTA($B147:$K147)+COUNTA($N147))&gt;0),"",IF(N($T147)&gt;0,$AB147,IFERROR(LOOKUP(2,1/(H147:K147&lt;&gt;""),H147:K147),0)))</f>
        <v/>
      </c>
      <c r="M147" s="61">
        <f>IF(L147="","",IF(L147&gt;=1,"Completado",IF(L147&gt;0,"En curso","Pendiente")))</f>
        <v/>
      </c>
      <c r="N147" s="62" t="n"/>
      <c r="O147" s="68">
        <f>IF(NOT((COUNTA($B147:$K147)+COUNTA($N147))&gt;0),"",IF((IF(AND($S147="Macro",$B147=""),"Macroactividad vacía"&amp;" · ","")&amp;IF(AND($B147&lt;&gt;"",$C147&lt;&gt;""),"Escriba la subactividad en otra fila, debajo de su macroactividad"&amp;" · ","")&amp;IF(AND($S147="Sub",N($R147)=0),"Subactividad sin macroactividad arriba"&amp;" · ","")&amp;IF($D147="","Sin responsable"&amp;" · ","")&amp;IF($E147="","Sin fecha de inicio"&amp;" · ","")&amp;IF($F147="","Sin fecha límite"&amp;" · ","")&amp;IF(OR(AND($E147&lt;&gt;"",NOT(ISNUMBER($E147))),AND($F147&lt;&gt;"",NOT(ISNUMBER($F147)))),"Fecha no válida"&amp;" · ","")&amp;IF(AND(ISNUMBER($E147),ISNUMBER($F147),$E147&gt;$F147),"Inicio posterior a fecha límite"&amp;" · ","")&amp;IF(AND($S147="Macro",$G147=""),"Peso vacío"&amp;" · ","")&amp;IF(AND($S147="Macro",$G147&lt;&gt;"",OR(NOT(ISNUMBER($G147)),$G147&lt;=0,$G147&gt;1)),"Peso fuera de rango"&amp;" · ","")&amp;IF(AND($S147="Sub",$G147&lt;&gt;""),"Las subactividades no llevan peso"&amp;" · ","")&amp;IF(AND($S147="Macro",ABS(SUMIFS($G$5:$G$1000,$P$5:$P$1000,$P147,$S$5:$S$1000,"Macro")-1)&gt;0.0001),"Pesos del mes suman "&amp;TEXT(SUMIFS($G$5:$G$1000,$P$5:$P$1000,$P147,$S$5:$S$1000,"Macro"),"0%")&amp;" · ","")&amp;IF(AND(N($T147)&gt;0,COUNT($H147:$K147)&gt;0),"Con subactividades: deje vacías las semanas (se calculan solas)"&amp;" · ","")&amp;IF((COUNTIF($H147:$K147,"&gt;1")+COUNTIF($H147:$K147,"&lt;0")+COUNTA($H147:$K147)-COUNT($H147:$K147))&gt;0,"Avance fuera de rango 0-100%"&amp;" · ","")&amp;IF(OR(AND($I147&lt;&gt;"",$I147&lt;$H147),AND($J147&lt;&gt;"",$J147&lt;MAX($H147:$I147)),AND($K147&lt;&gt;"",$K147&lt;MAX($H147:$J147))),"Avance semanal decreciente"&amp;" · ","")&amp;IF(AND(ISNUMBER($F147),$F147&lt;FechaRef,N($L147)&lt;1),"Vencida"&amp;" · ","")&amp;IF(AND(ObsObligatoria="Sí",ISNUMBER($F147),$F147&lt;FechaRef,N($L147)&lt;1,$N147=""),"Vencida sin observación"&amp;" · ",""))="","✔ OK","⚠ "&amp;LEFT(IF(AND($S147="Macro",$B147=""),"Macroactividad vacía"&amp;" · ","")&amp;IF(AND($B147&lt;&gt;"",$C147&lt;&gt;""),"Escriba la subactividad en otra fila, debajo de su macroactividad"&amp;" · ","")&amp;IF(AND($S147="Sub",N($R147)=0),"Subactividad sin macroactividad arriba"&amp;" · ","")&amp;IF($D147="","Sin responsable"&amp;" · ","")&amp;IF($E147="","Sin fecha de inicio"&amp;" · ","")&amp;IF($F147="","Sin fecha límite"&amp;" · ","")&amp;IF(OR(AND($E147&lt;&gt;"",NOT(ISNUMBER($E147))),AND($F147&lt;&gt;"",NOT(ISNUMBER($F147)))),"Fecha no válida"&amp;" · ","")&amp;IF(AND(ISNUMBER($E147),ISNUMBER($F147),$E147&gt;$F147),"Inicio posterior a fecha límite"&amp;" · ","")&amp;IF(AND($S147="Macro",$G147=""),"Peso vacío"&amp;" · ","")&amp;IF(AND($S147="Macro",$G147&lt;&gt;"",OR(NOT(ISNUMBER($G147)),$G147&lt;=0,$G147&gt;1)),"Peso fuera de rango"&amp;" · ","")&amp;IF(AND($S147="Sub",$G147&lt;&gt;""),"Las subactividades no llevan peso"&amp;" · ","")&amp;IF(AND($S147="Macro",ABS(SUMIFS($G$5:$G$1000,$P$5:$P$1000,$P147,$S$5:$S$1000,"Macro")-1)&gt;0.0001),"Pesos del mes suman "&amp;TEXT(SUMIFS($G$5:$G$1000,$P$5:$P$1000,$P147,$S$5:$S$1000,"Macro"),"0%")&amp;" · ","")&amp;IF(AND(N($T147)&gt;0,COUNT($H147:$K147)&gt;0),"Con subactividades: deje vacías las semanas (se calculan solas)"&amp;" · ","")&amp;IF((COUNTIF($H147:$K147,"&gt;1")+COUNTIF($H147:$K147,"&lt;0")+COUNTA($H147:$K147)-COUNT($H147:$K147))&gt;0,"Avance fuera de rango 0-100%"&amp;" · ","")&amp;IF(OR(AND($I147&lt;&gt;"",$I147&lt;$H147),AND($J147&lt;&gt;"",$J147&lt;MAX($H147:$I147)),AND($K147&lt;&gt;"",$K147&lt;MAX($H147:$J147))),"Avance semanal decreciente"&amp;" · ","")&amp;IF(AND(ISNUMBER($F147),$F147&lt;FechaRef,N($L147)&lt;1),"Vencida"&amp;" · ","")&amp;IF(AND(ObsObligatoria="Sí",ISNUMBER($F147),$F147&lt;FechaRef,N($L147)&lt;1,$N147=""),"Vencida sin observación"&amp;" · ",""),LEN(IF(AND($S147="Macro",$B147=""),"Macroactividad vacía"&amp;" · ","")&amp;IF(AND($B147&lt;&gt;"",$C147&lt;&gt;""),"Escriba la subactividad en otra fila, debajo de su macroactividad"&amp;" · ","")&amp;IF(AND($S147="Sub",N($R147)=0),"Subactividad sin macroactividad arriba"&amp;" · ","")&amp;IF($D147="","Sin responsable"&amp;" · ","")&amp;IF($E147="","Sin fecha de inicio"&amp;" · ","")&amp;IF($F147="","Sin fecha límite"&amp;" · ","")&amp;IF(OR(AND($E147&lt;&gt;"",NOT(ISNUMBER($E147))),AND($F147&lt;&gt;"",NOT(ISNUMBER($F147)))),"Fecha no válida"&amp;" · ","")&amp;IF(AND(ISNUMBER($E147),ISNUMBER($F147),$E147&gt;$F147),"Inicio posterior a fecha límite"&amp;" · ","")&amp;IF(AND($S147="Macro",$G147=""),"Peso vacío"&amp;" · ","")&amp;IF(AND($S147="Macro",$G147&lt;&gt;"",OR(NOT(ISNUMBER($G147)),$G147&lt;=0,$G147&gt;1)),"Peso fuera de rango"&amp;" · ","")&amp;IF(AND($S147="Sub",$G147&lt;&gt;""),"Las subactividades no llevan peso"&amp;" · ","")&amp;IF(AND($S147="Macro",ABS(SUMIFS($G$5:$G$1000,$P$5:$P$1000,$P147,$S$5:$S$1000,"Macro")-1)&gt;0.0001),"Pesos del mes suman "&amp;TEXT(SUMIFS($G$5:$G$1000,$P$5:$P$1000,$P147,$S$5:$S$1000,"Macro"),"0%")&amp;" · ","")&amp;IF(AND(N($T147)&gt;0,COUNT($H147:$K147)&gt;0),"Con subactividades: deje vacías las semanas (se calculan solas)"&amp;" · ","")&amp;IF((COUNTIF($H147:$K147,"&gt;1")+COUNTIF($H147:$K147,"&lt;0")+COUNTA($H147:$K147)-COUNT($H147:$K147))&gt;0,"Avance fuera de rango 0-100%"&amp;" · ","")&amp;IF(OR(AND($I147&lt;&gt;"",$I147&lt;$H147),AND($J147&lt;&gt;"",$J147&lt;MAX($H147:$I147)),AND($K147&lt;&gt;"",$K147&lt;MAX($H147:$J147))),"Avance semanal decreciente"&amp;" · ","")&amp;IF(AND(ISNUMBER($F147),$F147&lt;FechaRef,N($L147)&lt;1),"Vencida"&amp;" · ","")&amp;IF(AND(ObsObligatoria="Sí",ISNUMBER($F147),$F147&lt;FechaRef,N($L147)&lt;1,$N147=""),"Vencida sin observación"&amp;" · ",""))-3)))</f>
        <v/>
      </c>
      <c r="P147" s="69">
        <f>IF(NOT((COUNTA($B147:$K147)+COUNTA($N147))&gt;0),"",IF(AND($S147="Sub",N($R147)&gt;0),IF(ISNUMBER(INDEX($E$5:$E$1000,$R147-4)),DATE(YEAR(INDEX($E$5:$E$1000,$R147-4)),MONTH(INDEX($E$5:$E$1000,$R147-4)),1),IF(ISNUMBER(INDEX($F$5:$F$1000,$R147-4)),DATE(YEAR(INDEX($F$5:$F$1000,$R147-4)),MONTH(INDEX($F$5:$F$1000,$R147-4)),1),MesCiclo)),IF(ISNUMBER($E147),DATE(YEAR($E147),MONTH($E147),1),IF(ISNUMBER($F147),DATE(YEAR($F147),MONTH($F147),1),MesCiclo))))</f>
        <v/>
      </c>
      <c r="Q147" s="70">
        <f>IF(OR($P147="",$P147&lt;&gt;MesCiclo),"",COUNTIF($P$5:$P147,MesCiclo))</f>
        <v/>
      </c>
      <c r="R147" s="70">
        <f>IF($S147="","",IF($S147="Macro",ROW(),IFERROR(LOOKUP(2,1/($S$5:$S147="Macro"),ROW($S$5:$S147)),0)))</f>
        <v/>
      </c>
      <c r="S147" s="70">
        <f>IF(NOT((COUNTA($B147:$K147)+COUNTA($N147))&gt;0),"",IF($B147&lt;&gt;"","Macro",IF($C147&lt;&gt;"","Sub","Macro")))</f>
        <v/>
      </c>
      <c r="T147" s="70">
        <f>IF($S147="Macro",COUNTIFS($R$5:$R$1000,ROW(),$S$5:$S$1000,"Sub"),"")</f>
        <v/>
      </c>
      <c r="U147" s="70">
        <f>IF($S147="","",IF(ISNUMBER($H147),$H147,0))</f>
        <v/>
      </c>
      <c r="V147" s="70">
        <f>IF($S147="","",IF(ISNUMBER($I147),$I147,$U147))</f>
        <v/>
      </c>
      <c r="W147" s="70">
        <f>IF($S147="","",IF(ISNUMBER($J147),$J147,$V147))</f>
        <v/>
      </c>
      <c r="X147" s="70">
        <f>IF($S147="","",IF(ISNUMBER($K147),$K147,$W147))</f>
        <v/>
      </c>
      <c r="Y147" s="70">
        <f>IF($S147="","",IF(N($T147)&gt;0,AVERAGEIFS($U$5:$U$1000,$R$5:$R$1000,ROW(),$S$5:$S$1000,"Sub"),$U147))</f>
        <v/>
      </c>
      <c r="Z147" s="70">
        <f>IF($S147="","",IF(N($T147)&gt;0,AVERAGEIFS($V$5:$V$1000,$R$5:$R$1000,ROW(),$S$5:$S$1000,"Sub"),$V147))</f>
        <v/>
      </c>
      <c r="AA147" s="70">
        <f>IF($S147="","",IF(N($T147)&gt;0,AVERAGEIFS($W$5:$W$1000,$R$5:$R$1000,ROW(),$S$5:$S$1000,"Sub"),$W147))</f>
        <v/>
      </c>
      <c r="AB147" s="70">
        <f>IF($S147="","",IF(N($T147)&gt;0,AVERAGEIFS($X$5:$X$1000,$R$5:$R$1000,ROW(),$S$5:$S$1000,"Sub"),$X147))</f>
        <v/>
      </c>
    </row>
    <row r="148">
      <c r="A148" s="61">
        <f>IF(NOT((COUNTA($B148:$K148)+COUNTA($N148))&gt;0),"",IF($S148="Macro",COUNTIFS($S$5:$S148,"Macro",$P$5:$P148,$P148),IF(N($R148)=0,"?",COUNTIFS(INDEX($S$5:$S$1000,1):INDEX($S$5:$S$1000,$R148-4),"Macro",INDEX($P$5:$P$1000,1):INDEX($P$5:$P$1000,$R148-4),INDEX($P$5:$P$1000,$R148-4))&amp;"."&amp;COUNTIFS($R$5:$R148,$R148,$S$5:$S148,"Sub"))))</f>
        <v/>
      </c>
      <c r="B148" s="62" t="n"/>
      <c r="C148" s="63" t="n"/>
      <c r="D148" s="62" t="n"/>
      <c r="E148" s="64" t="n"/>
      <c r="F148" s="64" t="n"/>
      <c r="G148" s="65" t="n"/>
      <c r="H148" s="66" t="n"/>
      <c r="I148" s="66" t="n"/>
      <c r="J148" s="66" t="n"/>
      <c r="K148" s="66" t="n"/>
      <c r="L148" s="67">
        <f>IF(NOT((COUNTA($B148:$K148)+COUNTA($N148))&gt;0),"",IF(N($T148)&gt;0,$AB148,IFERROR(LOOKUP(2,1/(H148:K148&lt;&gt;""),H148:K148),0)))</f>
        <v/>
      </c>
      <c r="M148" s="61">
        <f>IF(L148="","",IF(L148&gt;=1,"Completado",IF(L148&gt;0,"En curso","Pendiente")))</f>
        <v/>
      </c>
      <c r="N148" s="62" t="n"/>
      <c r="O148" s="68">
        <f>IF(NOT((COUNTA($B148:$K148)+COUNTA($N148))&gt;0),"",IF((IF(AND($S148="Macro",$B148=""),"Macroactividad vacía"&amp;" · ","")&amp;IF(AND($B148&lt;&gt;"",$C148&lt;&gt;""),"Escriba la subactividad en otra fila, debajo de su macroactividad"&amp;" · ","")&amp;IF(AND($S148="Sub",N($R148)=0),"Subactividad sin macroactividad arriba"&amp;" · ","")&amp;IF($D148="","Sin responsable"&amp;" · ","")&amp;IF($E148="","Sin fecha de inicio"&amp;" · ","")&amp;IF($F148="","Sin fecha límite"&amp;" · ","")&amp;IF(OR(AND($E148&lt;&gt;"",NOT(ISNUMBER($E148))),AND($F148&lt;&gt;"",NOT(ISNUMBER($F148)))),"Fecha no válida"&amp;" · ","")&amp;IF(AND(ISNUMBER($E148),ISNUMBER($F148),$E148&gt;$F148),"Inicio posterior a fecha límite"&amp;" · ","")&amp;IF(AND($S148="Macro",$G148=""),"Peso vacío"&amp;" · ","")&amp;IF(AND($S148="Macro",$G148&lt;&gt;"",OR(NOT(ISNUMBER($G148)),$G148&lt;=0,$G148&gt;1)),"Peso fuera de rango"&amp;" · ","")&amp;IF(AND($S148="Sub",$G148&lt;&gt;""),"Las subactividades no llevan peso"&amp;" · ","")&amp;IF(AND($S148="Macro",ABS(SUMIFS($G$5:$G$1000,$P$5:$P$1000,$P148,$S$5:$S$1000,"Macro")-1)&gt;0.0001),"Pesos del mes suman "&amp;TEXT(SUMIFS($G$5:$G$1000,$P$5:$P$1000,$P148,$S$5:$S$1000,"Macro"),"0%")&amp;" · ","")&amp;IF(AND(N($T148)&gt;0,COUNT($H148:$K148)&gt;0),"Con subactividades: deje vacías las semanas (se calculan solas)"&amp;" · ","")&amp;IF((COUNTIF($H148:$K148,"&gt;1")+COUNTIF($H148:$K148,"&lt;0")+COUNTA($H148:$K148)-COUNT($H148:$K148))&gt;0,"Avance fuera de rango 0-100%"&amp;" · ","")&amp;IF(OR(AND($I148&lt;&gt;"",$I148&lt;$H148),AND($J148&lt;&gt;"",$J148&lt;MAX($H148:$I148)),AND($K148&lt;&gt;"",$K148&lt;MAX($H148:$J148))),"Avance semanal decreciente"&amp;" · ","")&amp;IF(AND(ISNUMBER($F148),$F148&lt;FechaRef,N($L148)&lt;1),"Vencida"&amp;" · ","")&amp;IF(AND(ObsObligatoria="Sí",ISNUMBER($F148),$F148&lt;FechaRef,N($L148)&lt;1,$N148=""),"Vencida sin observación"&amp;" · ",""))="","✔ OK","⚠ "&amp;LEFT(IF(AND($S148="Macro",$B148=""),"Macroactividad vacía"&amp;" · ","")&amp;IF(AND($B148&lt;&gt;"",$C148&lt;&gt;""),"Escriba la subactividad en otra fila, debajo de su macroactividad"&amp;" · ","")&amp;IF(AND($S148="Sub",N($R148)=0),"Subactividad sin macroactividad arriba"&amp;" · ","")&amp;IF($D148="","Sin responsable"&amp;" · ","")&amp;IF($E148="","Sin fecha de inicio"&amp;" · ","")&amp;IF($F148="","Sin fecha límite"&amp;" · ","")&amp;IF(OR(AND($E148&lt;&gt;"",NOT(ISNUMBER($E148))),AND($F148&lt;&gt;"",NOT(ISNUMBER($F148)))),"Fecha no válida"&amp;" · ","")&amp;IF(AND(ISNUMBER($E148),ISNUMBER($F148),$E148&gt;$F148),"Inicio posterior a fecha límite"&amp;" · ","")&amp;IF(AND($S148="Macro",$G148=""),"Peso vacío"&amp;" · ","")&amp;IF(AND($S148="Macro",$G148&lt;&gt;"",OR(NOT(ISNUMBER($G148)),$G148&lt;=0,$G148&gt;1)),"Peso fuera de rango"&amp;" · ","")&amp;IF(AND($S148="Sub",$G148&lt;&gt;""),"Las subactividades no llevan peso"&amp;" · ","")&amp;IF(AND($S148="Macro",ABS(SUMIFS($G$5:$G$1000,$P$5:$P$1000,$P148,$S$5:$S$1000,"Macro")-1)&gt;0.0001),"Pesos del mes suman "&amp;TEXT(SUMIFS($G$5:$G$1000,$P$5:$P$1000,$P148,$S$5:$S$1000,"Macro"),"0%")&amp;" · ","")&amp;IF(AND(N($T148)&gt;0,COUNT($H148:$K148)&gt;0),"Con subactividades: deje vacías las semanas (se calculan solas)"&amp;" · ","")&amp;IF((COUNTIF($H148:$K148,"&gt;1")+COUNTIF($H148:$K148,"&lt;0")+COUNTA($H148:$K148)-COUNT($H148:$K148))&gt;0,"Avance fuera de rango 0-100%"&amp;" · ","")&amp;IF(OR(AND($I148&lt;&gt;"",$I148&lt;$H148),AND($J148&lt;&gt;"",$J148&lt;MAX($H148:$I148)),AND($K148&lt;&gt;"",$K148&lt;MAX($H148:$J148))),"Avance semanal decreciente"&amp;" · ","")&amp;IF(AND(ISNUMBER($F148),$F148&lt;FechaRef,N($L148)&lt;1),"Vencida"&amp;" · ","")&amp;IF(AND(ObsObligatoria="Sí",ISNUMBER($F148),$F148&lt;FechaRef,N($L148)&lt;1,$N148=""),"Vencida sin observación"&amp;" · ",""),LEN(IF(AND($S148="Macro",$B148=""),"Macroactividad vacía"&amp;" · ","")&amp;IF(AND($B148&lt;&gt;"",$C148&lt;&gt;""),"Escriba la subactividad en otra fila, debajo de su macroactividad"&amp;" · ","")&amp;IF(AND($S148="Sub",N($R148)=0),"Subactividad sin macroactividad arriba"&amp;" · ","")&amp;IF($D148="","Sin responsable"&amp;" · ","")&amp;IF($E148="","Sin fecha de inicio"&amp;" · ","")&amp;IF($F148="","Sin fecha límite"&amp;" · ","")&amp;IF(OR(AND($E148&lt;&gt;"",NOT(ISNUMBER($E148))),AND($F148&lt;&gt;"",NOT(ISNUMBER($F148)))),"Fecha no válida"&amp;" · ","")&amp;IF(AND(ISNUMBER($E148),ISNUMBER($F148),$E148&gt;$F148),"Inicio posterior a fecha límite"&amp;" · ","")&amp;IF(AND($S148="Macro",$G148=""),"Peso vacío"&amp;" · ","")&amp;IF(AND($S148="Macro",$G148&lt;&gt;"",OR(NOT(ISNUMBER($G148)),$G148&lt;=0,$G148&gt;1)),"Peso fuera de rango"&amp;" · ","")&amp;IF(AND($S148="Sub",$G148&lt;&gt;""),"Las subactividades no llevan peso"&amp;" · ","")&amp;IF(AND($S148="Macro",ABS(SUMIFS($G$5:$G$1000,$P$5:$P$1000,$P148,$S$5:$S$1000,"Macro")-1)&gt;0.0001),"Pesos del mes suman "&amp;TEXT(SUMIFS($G$5:$G$1000,$P$5:$P$1000,$P148,$S$5:$S$1000,"Macro"),"0%")&amp;" · ","")&amp;IF(AND(N($T148)&gt;0,COUNT($H148:$K148)&gt;0),"Con subactividades: deje vacías las semanas (se calculan solas)"&amp;" · ","")&amp;IF((COUNTIF($H148:$K148,"&gt;1")+COUNTIF($H148:$K148,"&lt;0")+COUNTA($H148:$K148)-COUNT($H148:$K148))&gt;0,"Avance fuera de rango 0-100%"&amp;" · ","")&amp;IF(OR(AND($I148&lt;&gt;"",$I148&lt;$H148),AND($J148&lt;&gt;"",$J148&lt;MAX($H148:$I148)),AND($K148&lt;&gt;"",$K148&lt;MAX($H148:$J148))),"Avance semanal decreciente"&amp;" · ","")&amp;IF(AND(ISNUMBER($F148),$F148&lt;FechaRef,N($L148)&lt;1),"Vencida"&amp;" · ","")&amp;IF(AND(ObsObligatoria="Sí",ISNUMBER($F148),$F148&lt;FechaRef,N($L148)&lt;1,$N148=""),"Vencida sin observación"&amp;" · ",""))-3)))</f>
        <v/>
      </c>
      <c r="P148" s="69">
        <f>IF(NOT((COUNTA($B148:$K148)+COUNTA($N148))&gt;0),"",IF(AND($S148="Sub",N($R148)&gt;0),IF(ISNUMBER(INDEX($E$5:$E$1000,$R148-4)),DATE(YEAR(INDEX($E$5:$E$1000,$R148-4)),MONTH(INDEX($E$5:$E$1000,$R148-4)),1),IF(ISNUMBER(INDEX($F$5:$F$1000,$R148-4)),DATE(YEAR(INDEX($F$5:$F$1000,$R148-4)),MONTH(INDEX($F$5:$F$1000,$R148-4)),1),MesCiclo)),IF(ISNUMBER($E148),DATE(YEAR($E148),MONTH($E148),1),IF(ISNUMBER($F148),DATE(YEAR($F148),MONTH($F148),1),MesCiclo))))</f>
        <v/>
      </c>
      <c r="Q148" s="70">
        <f>IF(OR($P148="",$P148&lt;&gt;MesCiclo),"",COUNTIF($P$5:$P148,MesCiclo))</f>
        <v/>
      </c>
      <c r="R148" s="70">
        <f>IF($S148="","",IF($S148="Macro",ROW(),IFERROR(LOOKUP(2,1/($S$5:$S148="Macro"),ROW($S$5:$S148)),0)))</f>
        <v/>
      </c>
      <c r="S148" s="70">
        <f>IF(NOT((COUNTA($B148:$K148)+COUNTA($N148))&gt;0),"",IF($B148&lt;&gt;"","Macro",IF($C148&lt;&gt;"","Sub","Macro")))</f>
        <v/>
      </c>
      <c r="T148" s="70">
        <f>IF($S148="Macro",COUNTIFS($R$5:$R$1000,ROW(),$S$5:$S$1000,"Sub"),"")</f>
        <v/>
      </c>
      <c r="U148" s="70">
        <f>IF($S148="","",IF(ISNUMBER($H148),$H148,0))</f>
        <v/>
      </c>
      <c r="V148" s="70">
        <f>IF($S148="","",IF(ISNUMBER($I148),$I148,$U148))</f>
        <v/>
      </c>
      <c r="W148" s="70">
        <f>IF($S148="","",IF(ISNUMBER($J148),$J148,$V148))</f>
        <v/>
      </c>
      <c r="X148" s="70">
        <f>IF($S148="","",IF(ISNUMBER($K148),$K148,$W148))</f>
        <v/>
      </c>
      <c r="Y148" s="70">
        <f>IF($S148="","",IF(N($T148)&gt;0,AVERAGEIFS($U$5:$U$1000,$R$5:$R$1000,ROW(),$S$5:$S$1000,"Sub"),$U148))</f>
        <v/>
      </c>
      <c r="Z148" s="70">
        <f>IF($S148="","",IF(N($T148)&gt;0,AVERAGEIFS($V$5:$V$1000,$R$5:$R$1000,ROW(),$S$5:$S$1000,"Sub"),$V148))</f>
        <v/>
      </c>
      <c r="AA148" s="70">
        <f>IF($S148="","",IF(N($T148)&gt;0,AVERAGEIFS($W$5:$W$1000,$R$5:$R$1000,ROW(),$S$5:$S$1000,"Sub"),$W148))</f>
        <v/>
      </c>
      <c r="AB148" s="70">
        <f>IF($S148="","",IF(N($T148)&gt;0,AVERAGEIFS($X$5:$X$1000,$R$5:$R$1000,ROW(),$S$5:$S$1000,"Sub"),$X148))</f>
        <v/>
      </c>
    </row>
    <row r="149">
      <c r="A149" s="61">
        <f>IF(NOT((COUNTA($B149:$K149)+COUNTA($N149))&gt;0),"",IF($S149="Macro",COUNTIFS($S$5:$S149,"Macro",$P$5:$P149,$P149),IF(N($R149)=0,"?",COUNTIFS(INDEX($S$5:$S$1000,1):INDEX($S$5:$S$1000,$R149-4),"Macro",INDEX($P$5:$P$1000,1):INDEX($P$5:$P$1000,$R149-4),INDEX($P$5:$P$1000,$R149-4))&amp;"."&amp;COUNTIFS($R$5:$R149,$R149,$S$5:$S149,"Sub"))))</f>
        <v/>
      </c>
      <c r="B149" s="62" t="n"/>
      <c r="C149" s="63" t="n"/>
      <c r="D149" s="62" t="n"/>
      <c r="E149" s="64" t="n"/>
      <c r="F149" s="64" t="n"/>
      <c r="G149" s="65" t="n"/>
      <c r="H149" s="66" t="n"/>
      <c r="I149" s="66" t="n"/>
      <c r="J149" s="66" t="n"/>
      <c r="K149" s="66" t="n"/>
      <c r="L149" s="67">
        <f>IF(NOT((COUNTA($B149:$K149)+COUNTA($N149))&gt;0),"",IF(N($T149)&gt;0,$AB149,IFERROR(LOOKUP(2,1/(H149:K149&lt;&gt;""),H149:K149),0)))</f>
        <v/>
      </c>
      <c r="M149" s="61">
        <f>IF(L149="","",IF(L149&gt;=1,"Completado",IF(L149&gt;0,"En curso","Pendiente")))</f>
        <v/>
      </c>
      <c r="N149" s="62" t="n"/>
      <c r="O149" s="68">
        <f>IF(NOT((COUNTA($B149:$K149)+COUNTA($N149))&gt;0),"",IF((IF(AND($S149="Macro",$B149=""),"Macroactividad vacía"&amp;" · ","")&amp;IF(AND($B149&lt;&gt;"",$C149&lt;&gt;""),"Escriba la subactividad en otra fila, debajo de su macroactividad"&amp;" · ","")&amp;IF(AND($S149="Sub",N($R149)=0),"Subactividad sin macroactividad arriba"&amp;" · ","")&amp;IF($D149="","Sin responsable"&amp;" · ","")&amp;IF($E149="","Sin fecha de inicio"&amp;" · ","")&amp;IF($F149="","Sin fecha límite"&amp;" · ","")&amp;IF(OR(AND($E149&lt;&gt;"",NOT(ISNUMBER($E149))),AND($F149&lt;&gt;"",NOT(ISNUMBER($F149)))),"Fecha no válida"&amp;" · ","")&amp;IF(AND(ISNUMBER($E149),ISNUMBER($F149),$E149&gt;$F149),"Inicio posterior a fecha límite"&amp;" · ","")&amp;IF(AND($S149="Macro",$G149=""),"Peso vacío"&amp;" · ","")&amp;IF(AND($S149="Macro",$G149&lt;&gt;"",OR(NOT(ISNUMBER($G149)),$G149&lt;=0,$G149&gt;1)),"Peso fuera de rango"&amp;" · ","")&amp;IF(AND($S149="Sub",$G149&lt;&gt;""),"Las subactividades no llevan peso"&amp;" · ","")&amp;IF(AND($S149="Macro",ABS(SUMIFS($G$5:$G$1000,$P$5:$P$1000,$P149,$S$5:$S$1000,"Macro")-1)&gt;0.0001),"Pesos del mes suman "&amp;TEXT(SUMIFS($G$5:$G$1000,$P$5:$P$1000,$P149,$S$5:$S$1000,"Macro"),"0%")&amp;" · ","")&amp;IF(AND(N($T149)&gt;0,COUNT($H149:$K149)&gt;0),"Con subactividades: deje vacías las semanas (se calculan solas)"&amp;" · ","")&amp;IF((COUNTIF($H149:$K149,"&gt;1")+COUNTIF($H149:$K149,"&lt;0")+COUNTA($H149:$K149)-COUNT($H149:$K149))&gt;0,"Avance fuera de rango 0-100%"&amp;" · ","")&amp;IF(OR(AND($I149&lt;&gt;"",$I149&lt;$H149),AND($J149&lt;&gt;"",$J149&lt;MAX($H149:$I149)),AND($K149&lt;&gt;"",$K149&lt;MAX($H149:$J149))),"Avance semanal decreciente"&amp;" · ","")&amp;IF(AND(ISNUMBER($F149),$F149&lt;FechaRef,N($L149)&lt;1),"Vencida"&amp;" · ","")&amp;IF(AND(ObsObligatoria="Sí",ISNUMBER($F149),$F149&lt;FechaRef,N($L149)&lt;1,$N149=""),"Vencida sin observación"&amp;" · ",""))="","✔ OK","⚠ "&amp;LEFT(IF(AND($S149="Macro",$B149=""),"Macroactividad vacía"&amp;" · ","")&amp;IF(AND($B149&lt;&gt;"",$C149&lt;&gt;""),"Escriba la subactividad en otra fila, debajo de su macroactividad"&amp;" · ","")&amp;IF(AND($S149="Sub",N($R149)=0),"Subactividad sin macroactividad arriba"&amp;" · ","")&amp;IF($D149="","Sin responsable"&amp;" · ","")&amp;IF($E149="","Sin fecha de inicio"&amp;" · ","")&amp;IF($F149="","Sin fecha límite"&amp;" · ","")&amp;IF(OR(AND($E149&lt;&gt;"",NOT(ISNUMBER($E149))),AND($F149&lt;&gt;"",NOT(ISNUMBER($F149)))),"Fecha no válida"&amp;" · ","")&amp;IF(AND(ISNUMBER($E149),ISNUMBER($F149),$E149&gt;$F149),"Inicio posterior a fecha límite"&amp;" · ","")&amp;IF(AND($S149="Macro",$G149=""),"Peso vacío"&amp;" · ","")&amp;IF(AND($S149="Macro",$G149&lt;&gt;"",OR(NOT(ISNUMBER($G149)),$G149&lt;=0,$G149&gt;1)),"Peso fuera de rango"&amp;" · ","")&amp;IF(AND($S149="Sub",$G149&lt;&gt;""),"Las subactividades no llevan peso"&amp;" · ","")&amp;IF(AND($S149="Macro",ABS(SUMIFS($G$5:$G$1000,$P$5:$P$1000,$P149,$S$5:$S$1000,"Macro")-1)&gt;0.0001),"Pesos del mes suman "&amp;TEXT(SUMIFS($G$5:$G$1000,$P$5:$P$1000,$P149,$S$5:$S$1000,"Macro"),"0%")&amp;" · ","")&amp;IF(AND(N($T149)&gt;0,COUNT($H149:$K149)&gt;0),"Con subactividades: deje vacías las semanas (se calculan solas)"&amp;" · ","")&amp;IF((COUNTIF($H149:$K149,"&gt;1")+COUNTIF($H149:$K149,"&lt;0")+COUNTA($H149:$K149)-COUNT($H149:$K149))&gt;0,"Avance fuera de rango 0-100%"&amp;" · ","")&amp;IF(OR(AND($I149&lt;&gt;"",$I149&lt;$H149),AND($J149&lt;&gt;"",$J149&lt;MAX($H149:$I149)),AND($K149&lt;&gt;"",$K149&lt;MAX($H149:$J149))),"Avance semanal decreciente"&amp;" · ","")&amp;IF(AND(ISNUMBER($F149),$F149&lt;FechaRef,N($L149)&lt;1),"Vencida"&amp;" · ","")&amp;IF(AND(ObsObligatoria="Sí",ISNUMBER($F149),$F149&lt;FechaRef,N($L149)&lt;1,$N149=""),"Vencida sin observación"&amp;" · ",""),LEN(IF(AND($S149="Macro",$B149=""),"Macroactividad vacía"&amp;" · ","")&amp;IF(AND($B149&lt;&gt;"",$C149&lt;&gt;""),"Escriba la subactividad en otra fila, debajo de su macroactividad"&amp;" · ","")&amp;IF(AND($S149="Sub",N($R149)=0),"Subactividad sin macroactividad arriba"&amp;" · ","")&amp;IF($D149="","Sin responsable"&amp;" · ","")&amp;IF($E149="","Sin fecha de inicio"&amp;" · ","")&amp;IF($F149="","Sin fecha límite"&amp;" · ","")&amp;IF(OR(AND($E149&lt;&gt;"",NOT(ISNUMBER($E149))),AND($F149&lt;&gt;"",NOT(ISNUMBER($F149)))),"Fecha no válida"&amp;" · ","")&amp;IF(AND(ISNUMBER($E149),ISNUMBER($F149),$E149&gt;$F149),"Inicio posterior a fecha límite"&amp;" · ","")&amp;IF(AND($S149="Macro",$G149=""),"Peso vacío"&amp;" · ","")&amp;IF(AND($S149="Macro",$G149&lt;&gt;"",OR(NOT(ISNUMBER($G149)),$G149&lt;=0,$G149&gt;1)),"Peso fuera de rango"&amp;" · ","")&amp;IF(AND($S149="Sub",$G149&lt;&gt;""),"Las subactividades no llevan peso"&amp;" · ","")&amp;IF(AND($S149="Macro",ABS(SUMIFS($G$5:$G$1000,$P$5:$P$1000,$P149,$S$5:$S$1000,"Macro")-1)&gt;0.0001),"Pesos del mes suman "&amp;TEXT(SUMIFS($G$5:$G$1000,$P$5:$P$1000,$P149,$S$5:$S$1000,"Macro"),"0%")&amp;" · ","")&amp;IF(AND(N($T149)&gt;0,COUNT($H149:$K149)&gt;0),"Con subactividades: deje vacías las semanas (se calculan solas)"&amp;" · ","")&amp;IF((COUNTIF($H149:$K149,"&gt;1")+COUNTIF($H149:$K149,"&lt;0")+COUNTA($H149:$K149)-COUNT($H149:$K149))&gt;0,"Avance fuera de rango 0-100%"&amp;" · ","")&amp;IF(OR(AND($I149&lt;&gt;"",$I149&lt;$H149),AND($J149&lt;&gt;"",$J149&lt;MAX($H149:$I149)),AND($K149&lt;&gt;"",$K149&lt;MAX($H149:$J149))),"Avance semanal decreciente"&amp;" · ","")&amp;IF(AND(ISNUMBER($F149),$F149&lt;FechaRef,N($L149)&lt;1),"Vencida"&amp;" · ","")&amp;IF(AND(ObsObligatoria="Sí",ISNUMBER($F149),$F149&lt;FechaRef,N($L149)&lt;1,$N149=""),"Vencida sin observación"&amp;" · ",""))-3)))</f>
        <v/>
      </c>
      <c r="P149" s="69">
        <f>IF(NOT((COUNTA($B149:$K149)+COUNTA($N149))&gt;0),"",IF(AND($S149="Sub",N($R149)&gt;0),IF(ISNUMBER(INDEX($E$5:$E$1000,$R149-4)),DATE(YEAR(INDEX($E$5:$E$1000,$R149-4)),MONTH(INDEX($E$5:$E$1000,$R149-4)),1),IF(ISNUMBER(INDEX($F$5:$F$1000,$R149-4)),DATE(YEAR(INDEX($F$5:$F$1000,$R149-4)),MONTH(INDEX($F$5:$F$1000,$R149-4)),1),MesCiclo)),IF(ISNUMBER($E149),DATE(YEAR($E149),MONTH($E149),1),IF(ISNUMBER($F149),DATE(YEAR($F149),MONTH($F149),1),MesCiclo))))</f>
        <v/>
      </c>
      <c r="Q149" s="70">
        <f>IF(OR($P149="",$P149&lt;&gt;MesCiclo),"",COUNTIF($P$5:$P149,MesCiclo))</f>
        <v/>
      </c>
      <c r="R149" s="70">
        <f>IF($S149="","",IF($S149="Macro",ROW(),IFERROR(LOOKUP(2,1/($S$5:$S149="Macro"),ROW($S$5:$S149)),0)))</f>
        <v/>
      </c>
      <c r="S149" s="70">
        <f>IF(NOT((COUNTA($B149:$K149)+COUNTA($N149))&gt;0),"",IF($B149&lt;&gt;"","Macro",IF($C149&lt;&gt;"","Sub","Macro")))</f>
        <v/>
      </c>
      <c r="T149" s="70">
        <f>IF($S149="Macro",COUNTIFS($R$5:$R$1000,ROW(),$S$5:$S$1000,"Sub"),"")</f>
        <v/>
      </c>
      <c r="U149" s="70">
        <f>IF($S149="","",IF(ISNUMBER($H149),$H149,0))</f>
        <v/>
      </c>
      <c r="V149" s="70">
        <f>IF($S149="","",IF(ISNUMBER($I149),$I149,$U149))</f>
        <v/>
      </c>
      <c r="W149" s="70">
        <f>IF($S149="","",IF(ISNUMBER($J149),$J149,$V149))</f>
        <v/>
      </c>
      <c r="X149" s="70">
        <f>IF($S149="","",IF(ISNUMBER($K149),$K149,$W149))</f>
        <v/>
      </c>
      <c r="Y149" s="70">
        <f>IF($S149="","",IF(N($T149)&gt;0,AVERAGEIFS($U$5:$U$1000,$R$5:$R$1000,ROW(),$S$5:$S$1000,"Sub"),$U149))</f>
        <v/>
      </c>
      <c r="Z149" s="70">
        <f>IF($S149="","",IF(N($T149)&gt;0,AVERAGEIFS($V$5:$V$1000,$R$5:$R$1000,ROW(),$S$5:$S$1000,"Sub"),$V149))</f>
        <v/>
      </c>
      <c r="AA149" s="70">
        <f>IF($S149="","",IF(N($T149)&gt;0,AVERAGEIFS($W$5:$W$1000,$R$5:$R$1000,ROW(),$S$5:$S$1000,"Sub"),$W149))</f>
        <v/>
      </c>
      <c r="AB149" s="70">
        <f>IF($S149="","",IF(N($T149)&gt;0,AVERAGEIFS($X$5:$X$1000,$R$5:$R$1000,ROW(),$S$5:$S$1000,"Sub"),$X149))</f>
        <v/>
      </c>
    </row>
    <row r="150">
      <c r="A150" s="61">
        <f>IF(NOT((COUNTA($B150:$K150)+COUNTA($N150))&gt;0),"",IF($S150="Macro",COUNTIFS($S$5:$S150,"Macro",$P$5:$P150,$P150),IF(N($R150)=0,"?",COUNTIFS(INDEX($S$5:$S$1000,1):INDEX($S$5:$S$1000,$R150-4),"Macro",INDEX($P$5:$P$1000,1):INDEX($P$5:$P$1000,$R150-4),INDEX($P$5:$P$1000,$R150-4))&amp;"."&amp;COUNTIFS($R$5:$R150,$R150,$S$5:$S150,"Sub"))))</f>
        <v/>
      </c>
      <c r="B150" s="62" t="n"/>
      <c r="C150" s="63" t="n"/>
      <c r="D150" s="62" t="n"/>
      <c r="E150" s="64" t="n"/>
      <c r="F150" s="64" t="n"/>
      <c r="G150" s="65" t="n"/>
      <c r="H150" s="66" t="n"/>
      <c r="I150" s="66" t="n"/>
      <c r="J150" s="66" t="n"/>
      <c r="K150" s="66" t="n"/>
      <c r="L150" s="67">
        <f>IF(NOT((COUNTA($B150:$K150)+COUNTA($N150))&gt;0),"",IF(N($T150)&gt;0,$AB150,IFERROR(LOOKUP(2,1/(H150:K150&lt;&gt;""),H150:K150),0)))</f>
        <v/>
      </c>
      <c r="M150" s="61">
        <f>IF(L150="","",IF(L150&gt;=1,"Completado",IF(L150&gt;0,"En curso","Pendiente")))</f>
        <v/>
      </c>
      <c r="N150" s="62" t="n"/>
      <c r="O150" s="68">
        <f>IF(NOT((COUNTA($B150:$K150)+COUNTA($N150))&gt;0),"",IF((IF(AND($S150="Macro",$B150=""),"Macroactividad vacía"&amp;" · ","")&amp;IF(AND($B150&lt;&gt;"",$C150&lt;&gt;""),"Escriba la subactividad en otra fila, debajo de su macroactividad"&amp;" · ","")&amp;IF(AND($S150="Sub",N($R150)=0),"Subactividad sin macroactividad arriba"&amp;" · ","")&amp;IF($D150="","Sin responsable"&amp;" · ","")&amp;IF($E150="","Sin fecha de inicio"&amp;" · ","")&amp;IF($F150="","Sin fecha límite"&amp;" · ","")&amp;IF(OR(AND($E150&lt;&gt;"",NOT(ISNUMBER($E150))),AND($F150&lt;&gt;"",NOT(ISNUMBER($F150)))),"Fecha no válida"&amp;" · ","")&amp;IF(AND(ISNUMBER($E150),ISNUMBER($F150),$E150&gt;$F150),"Inicio posterior a fecha límite"&amp;" · ","")&amp;IF(AND($S150="Macro",$G150=""),"Peso vacío"&amp;" · ","")&amp;IF(AND($S150="Macro",$G150&lt;&gt;"",OR(NOT(ISNUMBER($G150)),$G150&lt;=0,$G150&gt;1)),"Peso fuera de rango"&amp;" · ","")&amp;IF(AND($S150="Sub",$G150&lt;&gt;""),"Las subactividades no llevan peso"&amp;" · ","")&amp;IF(AND($S150="Macro",ABS(SUMIFS($G$5:$G$1000,$P$5:$P$1000,$P150,$S$5:$S$1000,"Macro")-1)&gt;0.0001),"Pesos del mes suman "&amp;TEXT(SUMIFS($G$5:$G$1000,$P$5:$P$1000,$P150,$S$5:$S$1000,"Macro"),"0%")&amp;" · ","")&amp;IF(AND(N($T150)&gt;0,COUNT($H150:$K150)&gt;0),"Con subactividades: deje vacías las semanas (se calculan solas)"&amp;" · ","")&amp;IF((COUNTIF($H150:$K150,"&gt;1")+COUNTIF($H150:$K150,"&lt;0")+COUNTA($H150:$K150)-COUNT($H150:$K150))&gt;0,"Avance fuera de rango 0-100%"&amp;" · ","")&amp;IF(OR(AND($I150&lt;&gt;"",$I150&lt;$H150),AND($J150&lt;&gt;"",$J150&lt;MAX($H150:$I150)),AND($K150&lt;&gt;"",$K150&lt;MAX($H150:$J150))),"Avance semanal decreciente"&amp;" · ","")&amp;IF(AND(ISNUMBER($F150),$F150&lt;FechaRef,N($L150)&lt;1),"Vencida"&amp;" · ","")&amp;IF(AND(ObsObligatoria="Sí",ISNUMBER($F150),$F150&lt;FechaRef,N($L150)&lt;1,$N150=""),"Vencida sin observación"&amp;" · ",""))="","✔ OK","⚠ "&amp;LEFT(IF(AND($S150="Macro",$B150=""),"Macroactividad vacía"&amp;" · ","")&amp;IF(AND($B150&lt;&gt;"",$C150&lt;&gt;""),"Escriba la subactividad en otra fila, debajo de su macroactividad"&amp;" · ","")&amp;IF(AND($S150="Sub",N($R150)=0),"Subactividad sin macroactividad arriba"&amp;" · ","")&amp;IF($D150="","Sin responsable"&amp;" · ","")&amp;IF($E150="","Sin fecha de inicio"&amp;" · ","")&amp;IF($F150="","Sin fecha límite"&amp;" · ","")&amp;IF(OR(AND($E150&lt;&gt;"",NOT(ISNUMBER($E150))),AND($F150&lt;&gt;"",NOT(ISNUMBER($F150)))),"Fecha no válida"&amp;" · ","")&amp;IF(AND(ISNUMBER($E150),ISNUMBER($F150),$E150&gt;$F150),"Inicio posterior a fecha límite"&amp;" · ","")&amp;IF(AND($S150="Macro",$G150=""),"Peso vacío"&amp;" · ","")&amp;IF(AND($S150="Macro",$G150&lt;&gt;"",OR(NOT(ISNUMBER($G150)),$G150&lt;=0,$G150&gt;1)),"Peso fuera de rango"&amp;" · ","")&amp;IF(AND($S150="Sub",$G150&lt;&gt;""),"Las subactividades no llevan peso"&amp;" · ","")&amp;IF(AND($S150="Macro",ABS(SUMIFS($G$5:$G$1000,$P$5:$P$1000,$P150,$S$5:$S$1000,"Macro")-1)&gt;0.0001),"Pesos del mes suman "&amp;TEXT(SUMIFS($G$5:$G$1000,$P$5:$P$1000,$P150,$S$5:$S$1000,"Macro"),"0%")&amp;" · ","")&amp;IF(AND(N($T150)&gt;0,COUNT($H150:$K150)&gt;0),"Con subactividades: deje vacías las semanas (se calculan solas)"&amp;" · ","")&amp;IF((COUNTIF($H150:$K150,"&gt;1")+COUNTIF($H150:$K150,"&lt;0")+COUNTA($H150:$K150)-COUNT($H150:$K150))&gt;0,"Avance fuera de rango 0-100%"&amp;" · ","")&amp;IF(OR(AND($I150&lt;&gt;"",$I150&lt;$H150),AND($J150&lt;&gt;"",$J150&lt;MAX($H150:$I150)),AND($K150&lt;&gt;"",$K150&lt;MAX($H150:$J150))),"Avance semanal decreciente"&amp;" · ","")&amp;IF(AND(ISNUMBER($F150),$F150&lt;FechaRef,N($L150)&lt;1),"Vencida"&amp;" · ","")&amp;IF(AND(ObsObligatoria="Sí",ISNUMBER($F150),$F150&lt;FechaRef,N($L150)&lt;1,$N150=""),"Vencida sin observación"&amp;" · ",""),LEN(IF(AND($S150="Macro",$B150=""),"Macroactividad vacía"&amp;" · ","")&amp;IF(AND($B150&lt;&gt;"",$C150&lt;&gt;""),"Escriba la subactividad en otra fila, debajo de su macroactividad"&amp;" · ","")&amp;IF(AND($S150="Sub",N($R150)=0),"Subactividad sin macroactividad arriba"&amp;" · ","")&amp;IF($D150="","Sin responsable"&amp;" · ","")&amp;IF($E150="","Sin fecha de inicio"&amp;" · ","")&amp;IF($F150="","Sin fecha límite"&amp;" · ","")&amp;IF(OR(AND($E150&lt;&gt;"",NOT(ISNUMBER($E150))),AND($F150&lt;&gt;"",NOT(ISNUMBER($F150)))),"Fecha no válida"&amp;" · ","")&amp;IF(AND(ISNUMBER($E150),ISNUMBER($F150),$E150&gt;$F150),"Inicio posterior a fecha límite"&amp;" · ","")&amp;IF(AND($S150="Macro",$G150=""),"Peso vacío"&amp;" · ","")&amp;IF(AND($S150="Macro",$G150&lt;&gt;"",OR(NOT(ISNUMBER($G150)),$G150&lt;=0,$G150&gt;1)),"Peso fuera de rango"&amp;" · ","")&amp;IF(AND($S150="Sub",$G150&lt;&gt;""),"Las subactividades no llevan peso"&amp;" · ","")&amp;IF(AND($S150="Macro",ABS(SUMIFS($G$5:$G$1000,$P$5:$P$1000,$P150,$S$5:$S$1000,"Macro")-1)&gt;0.0001),"Pesos del mes suman "&amp;TEXT(SUMIFS($G$5:$G$1000,$P$5:$P$1000,$P150,$S$5:$S$1000,"Macro"),"0%")&amp;" · ","")&amp;IF(AND(N($T150)&gt;0,COUNT($H150:$K150)&gt;0),"Con subactividades: deje vacías las semanas (se calculan solas)"&amp;" · ","")&amp;IF((COUNTIF($H150:$K150,"&gt;1")+COUNTIF($H150:$K150,"&lt;0")+COUNTA($H150:$K150)-COUNT($H150:$K150))&gt;0,"Avance fuera de rango 0-100%"&amp;" · ","")&amp;IF(OR(AND($I150&lt;&gt;"",$I150&lt;$H150),AND($J150&lt;&gt;"",$J150&lt;MAX($H150:$I150)),AND($K150&lt;&gt;"",$K150&lt;MAX($H150:$J150))),"Avance semanal decreciente"&amp;" · ","")&amp;IF(AND(ISNUMBER($F150),$F150&lt;FechaRef,N($L150)&lt;1),"Vencida"&amp;" · ","")&amp;IF(AND(ObsObligatoria="Sí",ISNUMBER($F150),$F150&lt;FechaRef,N($L150)&lt;1,$N150=""),"Vencida sin observación"&amp;" · ",""))-3)))</f>
        <v/>
      </c>
      <c r="P150" s="69">
        <f>IF(NOT((COUNTA($B150:$K150)+COUNTA($N150))&gt;0),"",IF(AND($S150="Sub",N($R150)&gt;0),IF(ISNUMBER(INDEX($E$5:$E$1000,$R150-4)),DATE(YEAR(INDEX($E$5:$E$1000,$R150-4)),MONTH(INDEX($E$5:$E$1000,$R150-4)),1),IF(ISNUMBER(INDEX($F$5:$F$1000,$R150-4)),DATE(YEAR(INDEX($F$5:$F$1000,$R150-4)),MONTH(INDEX($F$5:$F$1000,$R150-4)),1),MesCiclo)),IF(ISNUMBER($E150),DATE(YEAR($E150),MONTH($E150),1),IF(ISNUMBER($F150),DATE(YEAR($F150),MONTH($F150),1),MesCiclo))))</f>
        <v/>
      </c>
      <c r="Q150" s="70">
        <f>IF(OR($P150="",$P150&lt;&gt;MesCiclo),"",COUNTIF($P$5:$P150,MesCiclo))</f>
        <v/>
      </c>
      <c r="R150" s="70">
        <f>IF($S150="","",IF($S150="Macro",ROW(),IFERROR(LOOKUP(2,1/($S$5:$S150="Macro"),ROW($S$5:$S150)),0)))</f>
        <v/>
      </c>
      <c r="S150" s="70">
        <f>IF(NOT((COUNTA($B150:$K150)+COUNTA($N150))&gt;0),"",IF($B150&lt;&gt;"","Macro",IF($C150&lt;&gt;"","Sub","Macro")))</f>
        <v/>
      </c>
      <c r="T150" s="70">
        <f>IF($S150="Macro",COUNTIFS($R$5:$R$1000,ROW(),$S$5:$S$1000,"Sub"),"")</f>
        <v/>
      </c>
      <c r="U150" s="70">
        <f>IF($S150="","",IF(ISNUMBER($H150),$H150,0))</f>
        <v/>
      </c>
      <c r="V150" s="70">
        <f>IF($S150="","",IF(ISNUMBER($I150),$I150,$U150))</f>
        <v/>
      </c>
      <c r="W150" s="70">
        <f>IF($S150="","",IF(ISNUMBER($J150),$J150,$V150))</f>
        <v/>
      </c>
      <c r="X150" s="70">
        <f>IF($S150="","",IF(ISNUMBER($K150),$K150,$W150))</f>
        <v/>
      </c>
      <c r="Y150" s="70">
        <f>IF($S150="","",IF(N($T150)&gt;0,AVERAGEIFS($U$5:$U$1000,$R$5:$R$1000,ROW(),$S$5:$S$1000,"Sub"),$U150))</f>
        <v/>
      </c>
      <c r="Z150" s="70">
        <f>IF($S150="","",IF(N($T150)&gt;0,AVERAGEIFS($V$5:$V$1000,$R$5:$R$1000,ROW(),$S$5:$S$1000,"Sub"),$V150))</f>
        <v/>
      </c>
      <c r="AA150" s="70">
        <f>IF($S150="","",IF(N($T150)&gt;0,AVERAGEIFS($W$5:$W$1000,$R$5:$R$1000,ROW(),$S$5:$S$1000,"Sub"),$W150))</f>
        <v/>
      </c>
      <c r="AB150" s="70">
        <f>IF($S150="","",IF(N($T150)&gt;0,AVERAGEIFS($X$5:$X$1000,$R$5:$R$1000,ROW(),$S$5:$S$1000,"Sub"),$X150))</f>
        <v/>
      </c>
    </row>
    <row r="151">
      <c r="A151" s="61">
        <f>IF(NOT((COUNTA($B151:$K151)+COUNTA($N151))&gt;0),"",IF($S151="Macro",COUNTIFS($S$5:$S151,"Macro",$P$5:$P151,$P151),IF(N($R151)=0,"?",COUNTIFS(INDEX($S$5:$S$1000,1):INDEX($S$5:$S$1000,$R151-4),"Macro",INDEX($P$5:$P$1000,1):INDEX($P$5:$P$1000,$R151-4),INDEX($P$5:$P$1000,$R151-4))&amp;"."&amp;COUNTIFS($R$5:$R151,$R151,$S$5:$S151,"Sub"))))</f>
        <v/>
      </c>
      <c r="B151" s="62" t="n"/>
      <c r="C151" s="63" t="n"/>
      <c r="D151" s="62" t="n"/>
      <c r="E151" s="64" t="n"/>
      <c r="F151" s="64" t="n"/>
      <c r="G151" s="65" t="n"/>
      <c r="H151" s="66" t="n"/>
      <c r="I151" s="66" t="n"/>
      <c r="J151" s="66" t="n"/>
      <c r="K151" s="66" t="n"/>
      <c r="L151" s="67">
        <f>IF(NOT((COUNTA($B151:$K151)+COUNTA($N151))&gt;0),"",IF(N($T151)&gt;0,$AB151,IFERROR(LOOKUP(2,1/(H151:K151&lt;&gt;""),H151:K151),0)))</f>
        <v/>
      </c>
      <c r="M151" s="61">
        <f>IF(L151="","",IF(L151&gt;=1,"Completado",IF(L151&gt;0,"En curso","Pendiente")))</f>
        <v/>
      </c>
      <c r="N151" s="62" t="n"/>
      <c r="O151" s="68">
        <f>IF(NOT((COUNTA($B151:$K151)+COUNTA($N151))&gt;0),"",IF((IF(AND($S151="Macro",$B151=""),"Macroactividad vacía"&amp;" · ","")&amp;IF(AND($B151&lt;&gt;"",$C151&lt;&gt;""),"Escriba la subactividad en otra fila, debajo de su macroactividad"&amp;" · ","")&amp;IF(AND($S151="Sub",N($R151)=0),"Subactividad sin macroactividad arriba"&amp;" · ","")&amp;IF($D151="","Sin responsable"&amp;" · ","")&amp;IF($E151="","Sin fecha de inicio"&amp;" · ","")&amp;IF($F151="","Sin fecha límite"&amp;" · ","")&amp;IF(OR(AND($E151&lt;&gt;"",NOT(ISNUMBER($E151))),AND($F151&lt;&gt;"",NOT(ISNUMBER($F151)))),"Fecha no válida"&amp;" · ","")&amp;IF(AND(ISNUMBER($E151),ISNUMBER($F151),$E151&gt;$F151),"Inicio posterior a fecha límite"&amp;" · ","")&amp;IF(AND($S151="Macro",$G151=""),"Peso vacío"&amp;" · ","")&amp;IF(AND($S151="Macro",$G151&lt;&gt;"",OR(NOT(ISNUMBER($G151)),$G151&lt;=0,$G151&gt;1)),"Peso fuera de rango"&amp;" · ","")&amp;IF(AND($S151="Sub",$G151&lt;&gt;""),"Las subactividades no llevan peso"&amp;" · ","")&amp;IF(AND($S151="Macro",ABS(SUMIFS($G$5:$G$1000,$P$5:$P$1000,$P151,$S$5:$S$1000,"Macro")-1)&gt;0.0001),"Pesos del mes suman "&amp;TEXT(SUMIFS($G$5:$G$1000,$P$5:$P$1000,$P151,$S$5:$S$1000,"Macro"),"0%")&amp;" · ","")&amp;IF(AND(N($T151)&gt;0,COUNT($H151:$K151)&gt;0),"Con subactividades: deje vacías las semanas (se calculan solas)"&amp;" · ","")&amp;IF((COUNTIF($H151:$K151,"&gt;1")+COUNTIF($H151:$K151,"&lt;0")+COUNTA($H151:$K151)-COUNT($H151:$K151))&gt;0,"Avance fuera de rango 0-100%"&amp;" · ","")&amp;IF(OR(AND($I151&lt;&gt;"",$I151&lt;$H151),AND($J151&lt;&gt;"",$J151&lt;MAX($H151:$I151)),AND($K151&lt;&gt;"",$K151&lt;MAX($H151:$J151))),"Avance semanal decreciente"&amp;" · ","")&amp;IF(AND(ISNUMBER($F151),$F151&lt;FechaRef,N($L151)&lt;1),"Vencida"&amp;" · ","")&amp;IF(AND(ObsObligatoria="Sí",ISNUMBER($F151),$F151&lt;FechaRef,N($L151)&lt;1,$N151=""),"Vencida sin observación"&amp;" · ",""))="","✔ OK","⚠ "&amp;LEFT(IF(AND($S151="Macro",$B151=""),"Macroactividad vacía"&amp;" · ","")&amp;IF(AND($B151&lt;&gt;"",$C151&lt;&gt;""),"Escriba la subactividad en otra fila, debajo de su macroactividad"&amp;" · ","")&amp;IF(AND($S151="Sub",N($R151)=0),"Subactividad sin macroactividad arriba"&amp;" · ","")&amp;IF($D151="","Sin responsable"&amp;" · ","")&amp;IF($E151="","Sin fecha de inicio"&amp;" · ","")&amp;IF($F151="","Sin fecha límite"&amp;" · ","")&amp;IF(OR(AND($E151&lt;&gt;"",NOT(ISNUMBER($E151))),AND($F151&lt;&gt;"",NOT(ISNUMBER($F151)))),"Fecha no válida"&amp;" · ","")&amp;IF(AND(ISNUMBER($E151),ISNUMBER($F151),$E151&gt;$F151),"Inicio posterior a fecha límite"&amp;" · ","")&amp;IF(AND($S151="Macro",$G151=""),"Peso vacío"&amp;" · ","")&amp;IF(AND($S151="Macro",$G151&lt;&gt;"",OR(NOT(ISNUMBER($G151)),$G151&lt;=0,$G151&gt;1)),"Peso fuera de rango"&amp;" · ","")&amp;IF(AND($S151="Sub",$G151&lt;&gt;""),"Las subactividades no llevan peso"&amp;" · ","")&amp;IF(AND($S151="Macro",ABS(SUMIFS($G$5:$G$1000,$P$5:$P$1000,$P151,$S$5:$S$1000,"Macro")-1)&gt;0.0001),"Pesos del mes suman "&amp;TEXT(SUMIFS($G$5:$G$1000,$P$5:$P$1000,$P151,$S$5:$S$1000,"Macro"),"0%")&amp;" · ","")&amp;IF(AND(N($T151)&gt;0,COUNT($H151:$K151)&gt;0),"Con subactividades: deje vacías las semanas (se calculan solas)"&amp;" · ","")&amp;IF((COUNTIF($H151:$K151,"&gt;1")+COUNTIF($H151:$K151,"&lt;0")+COUNTA($H151:$K151)-COUNT($H151:$K151))&gt;0,"Avance fuera de rango 0-100%"&amp;" · ","")&amp;IF(OR(AND($I151&lt;&gt;"",$I151&lt;$H151),AND($J151&lt;&gt;"",$J151&lt;MAX($H151:$I151)),AND($K151&lt;&gt;"",$K151&lt;MAX($H151:$J151))),"Avance semanal decreciente"&amp;" · ","")&amp;IF(AND(ISNUMBER($F151),$F151&lt;FechaRef,N($L151)&lt;1),"Vencida"&amp;" · ","")&amp;IF(AND(ObsObligatoria="Sí",ISNUMBER($F151),$F151&lt;FechaRef,N($L151)&lt;1,$N151=""),"Vencida sin observación"&amp;" · ",""),LEN(IF(AND($S151="Macro",$B151=""),"Macroactividad vacía"&amp;" · ","")&amp;IF(AND($B151&lt;&gt;"",$C151&lt;&gt;""),"Escriba la subactividad en otra fila, debajo de su macroactividad"&amp;" · ","")&amp;IF(AND($S151="Sub",N($R151)=0),"Subactividad sin macroactividad arriba"&amp;" · ","")&amp;IF($D151="","Sin responsable"&amp;" · ","")&amp;IF($E151="","Sin fecha de inicio"&amp;" · ","")&amp;IF($F151="","Sin fecha límite"&amp;" · ","")&amp;IF(OR(AND($E151&lt;&gt;"",NOT(ISNUMBER($E151))),AND($F151&lt;&gt;"",NOT(ISNUMBER($F151)))),"Fecha no válida"&amp;" · ","")&amp;IF(AND(ISNUMBER($E151),ISNUMBER($F151),$E151&gt;$F151),"Inicio posterior a fecha límite"&amp;" · ","")&amp;IF(AND($S151="Macro",$G151=""),"Peso vacío"&amp;" · ","")&amp;IF(AND($S151="Macro",$G151&lt;&gt;"",OR(NOT(ISNUMBER($G151)),$G151&lt;=0,$G151&gt;1)),"Peso fuera de rango"&amp;" · ","")&amp;IF(AND($S151="Sub",$G151&lt;&gt;""),"Las subactividades no llevan peso"&amp;" · ","")&amp;IF(AND($S151="Macro",ABS(SUMIFS($G$5:$G$1000,$P$5:$P$1000,$P151,$S$5:$S$1000,"Macro")-1)&gt;0.0001),"Pesos del mes suman "&amp;TEXT(SUMIFS($G$5:$G$1000,$P$5:$P$1000,$P151,$S$5:$S$1000,"Macro"),"0%")&amp;" · ","")&amp;IF(AND(N($T151)&gt;0,COUNT($H151:$K151)&gt;0),"Con subactividades: deje vacías las semanas (se calculan solas)"&amp;" · ","")&amp;IF((COUNTIF($H151:$K151,"&gt;1")+COUNTIF($H151:$K151,"&lt;0")+COUNTA($H151:$K151)-COUNT($H151:$K151))&gt;0,"Avance fuera de rango 0-100%"&amp;" · ","")&amp;IF(OR(AND($I151&lt;&gt;"",$I151&lt;$H151),AND($J151&lt;&gt;"",$J151&lt;MAX($H151:$I151)),AND($K151&lt;&gt;"",$K151&lt;MAX($H151:$J151))),"Avance semanal decreciente"&amp;" · ","")&amp;IF(AND(ISNUMBER($F151),$F151&lt;FechaRef,N($L151)&lt;1),"Vencida"&amp;" · ","")&amp;IF(AND(ObsObligatoria="Sí",ISNUMBER($F151),$F151&lt;FechaRef,N($L151)&lt;1,$N151=""),"Vencida sin observación"&amp;" · ",""))-3)))</f>
        <v/>
      </c>
      <c r="P151" s="69">
        <f>IF(NOT((COUNTA($B151:$K151)+COUNTA($N151))&gt;0),"",IF(AND($S151="Sub",N($R151)&gt;0),IF(ISNUMBER(INDEX($E$5:$E$1000,$R151-4)),DATE(YEAR(INDEX($E$5:$E$1000,$R151-4)),MONTH(INDEX($E$5:$E$1000,$R151-4)),1),IF(ISNUMBER(INDEX($F$5:$F$1000,$R151-4)),DATE(YEAR(INDEX($F$5:$F$1000,$R151-4)),MONTH(INDEX($F$5:$F$1000,$R151-4)),1),MesCiclo)),IF(ISNUMBER($E151),DATE(YEAR($E151),MONTH($E151),1),IF(ISNUMBER($F151),DATE(YEAR($F151),MONTH($F151),1),MesCiclo))))</f>
        <v/>
      </c>
      <c r="Q151" s="70">
        <f>IF(OR($P151="",$P151&lt;&gt;MesCiclo),"",COUNTIF($P$5:$P151,MesCiclo))</f>
        <v/>
      </c>
      <c r="R151" s="70">
        <f>IF($S151="","",IF($S151="Macro",ROW(),IFERROR(LOOKUP(2,1/($S$5:$S151="Macro"),ROW($S$5:$S151)),0)))</f>
        <v/>
      </c>
      <c r="S151" s="70">
        <f>IF(NOT((COUNTA($B151:$K151)+COUNTA($N151))&gt;0),"",IF($B151&lt;&gt;"","Macro",IF($C151&lt;&gt;"","Sub","Macro")))</f>
        <v/>
      </c>
      <c r="T151" s="70">
        <f>IF($S151="Macro",COUNTIFS($R$5:$R$1000,ROW(),$S$5:$S$1000,"Sub"),"")</f>
        <v/>
      </c>
      <c r="U151" s="70">
        <f>IF($S151="","",IF(ISNUMBER($H151),$H151,0))</f>
        <v/>
      </c>
      <c r="V151" s="70">
        <f>IF($S151="","",IF(ISNUMBER($I151),$I151,$U151))</f>
        <v/>
      </c>
      <c r="W151" s="70">
        <f>IF($S151="","",IF(ISNUMBER($J151),$J151,$V151))</f>
        <v/>
      </c>
      <c r="X151" s="70">
        <f>IF($S151="","",IF(ISNUMBER($K151),$K151,$W151))</f>
        <v/>
      </c>
      <c r="Y151" s="70">
        <f>IF($S151="","",IF(N($T151)&gt;0,AVERAGEIFS($U$5:$U$1000,$R$5:$R$1000,ROW(),$S$5:$S$1000,"Sub"),$U151))</f>
        <v/>
      </c>
      <c r="Z151" s="70">
        <f>IF($S151="","",IF(N($T151)&gt;0,AVERAGEIFS($V$5:$V$1000,$R$5:$R$1000,ROW(),$S$5:$S$1000,"Sub"),$V151))</f>
        <v/>
      </c>
      <c r="AA151" s="70">
        <f>IF($S151="","",IF(N($T151)&gt;0,AVERAGEIFS($W$5:$W$1000,$R$5:$R$1000,ROW(),$S$5:$S$1000,"Sub"),$W151))</f>
        <v/>
      </c>
      <c r="AB151" s="70">
        <f>IF($S151="","",IF(N($T151)&gt;0,AVERAGEIFS($X$5:$X$1000,$R$5:$R$1000,ROW(),$S$5:$S$1000,"Sub"),$X151))</f>
        <v/>
      </c>
    </row>
    <row r="152">
      <c r="A152" s="61">
        <f>IF(NOT((COUNTA($B152:$K152)+COUNTA($N152))&gt;0),"",IF($S152="Macro",COUNTIFS($S$5:$S152,"Macro",$P$5:$P152,$P152),IF(N($R152)=0,"?",COUNTIFS(INDEX($S$5:$S$1000,1):INDEX($S$5:$S$1000,$R152-4),"Macro",INDEX($P$5:$P$1000,1):INDEX($P$5:$P$1000,$R152-4),INDEX($P$5:$P$1000,$R152-4))&amp;"."&amp;COUNTIFS($R$5:$R152,$R152,$S$5:$S152,"Sub"))))</f>
        <v/>
      </c>
      <c r="B152" s="62" t="n"/>
      <c r="C152" s="63" t="n"/>
      <c r="D152" s="62" t="n"/>
      <c r="E152" s="64" t="n"/>
      <c r="F152" s="64" t="n"/>
      <c r="G152" s="65" t="n"/>
      <c r="H152" s="66" t="n"/>
      <c r="I152" s="66" t="n"/>
      <c r="J152" s="66" t="n"/>
      <c r="K152" s="66" t="n"/>
      <c r="L152" s="67">
        <f>IF(NOT((COUNTA($B152:$K152)+COUNTA($N152))&gt;0),"",IF(N($T152)&gt;0,$AB152,IFERROR(LOOKUP(2,1/(H152:K152&lt;&gt;""),H152:K152),0)))</f>
        <v/>
      </c>
      <c r="M152" s="61">
        <f>IF(L152="","",IF(L152&gt;=1,"Completado",IF(L152&gt;0,"En curso","Pendiente")))</f>
        <v/>
      </c>
      <c r="N152" s="62" t="n"/>
      <c r="O152" s="68">
        <f>IF(NOT((COUNTA($B152:$K152)+COUNTA($N152))&gt;0),"",IF((IF(AND($S152="Macro",$B152=""),"Macroactividad vacía"&amp;" · ","")&amp;IF(AND($B152&lt;&gt;"",$C152&lt;&gt;""),"Escriba la subactividad en otra fila, debajo de su macroactividad"&amp;" · ","")&amp;IF(AND($S152="Sub",N($R152)=0),"Subactividad sin macroactividad arriba"&amp;" · ","")&amp;IF($D152="","Sin responsable"&amp;" · ","")&amp;IF($E152="","Sin fecha de inicio"&amp;" · ","")&amp;IF($F152="","Sin fecha límite"&amp;" · ","")&amp;IF(OR(AND($E152&lt;&gt;"",NOT(ISNUMBER($E152))),AND($F152&lt;&gt;"",NOT(ISNUMBER($F152)))),"Fecha no válida"&amp;" · ","")&amp;IF(AND(ISNUMBER($E152),ISNUMBER($F152),$E152&gt;$F152),"Inicio posterior a fecha límite"&amp;" · ","")&amp;IF(AND($S152="Macro",$G152=""),"Peso vacío"&amp;" · ","")&amp;IF(AND($S152="Macro",$G152&lt;&gt;"",OR(NOT(ISNUMBER($G152)),$G152&lt;=0,$G152&gt;1)),"Peso fuera de rango"&amp;" · ","")&amp;IF(AND($S152="Sub",$G152&lt;&gt;""),"Las subactividades no llevan peso"&amp;" · ","")&amp;IF(AND($S152="Macro",ABS(SUMIFS($G$5:$G$1000,$P$5:$P$1000,$P152,$S$5:$S$1000,"Macro")-1)&gt;0.0001),"Pesos del mes suman "&amp;TEXT(SUMIFS($G$5:$G$1000,$P$5:$P$1000,$P152,$S$5:$S$1000,"Macro"),"0%")&amp;" · ","")&amp;IF(AND(N($T152)&gt;0,COUNT($H152:$K152)&gt;0),"Con subactividades: deje vacías las semanas (se calculan solas)"&amp;" · ","")&amp;IF((COUNTIF($H152:$K152,"&gt;1")+COUNTIF($H152:$K152,"&lt;0")+COUNTA($H152:$K152)-COUNT($H152:$K152))&gt;0,"Avance fuera de rango 0-100%"&amp;" · ","")&amp;IF(OR(AND($I152&lt;&gt;"",$I152&lt;$H152),AND($J152&lt;&gt;"",$J152&lt;MAX($H152:$I152)),AND($K152&lt;&gt;"",$K152&lt;MAX($H152:$J152))),"Avance semanal decreciente"&amp;" · ","")&amp;IF(AND(ISNUMBER($F152),$F152&lt;FechaRef,N($L152)&lt;1),"Vencida"&amp;" · ","")&amp;IF(AND(ObsObligatoria="Sí",ISNUMBER($F152),$F152&lt;FechaRef,N($L152)&lt;1,$N152=""),"Vencida sin observación"&amp;" · ",""))="","✔ OK","⚠ "&amp;LEFT(IF(AND($S152="Macro",$B152=""),"Macroactividad vacía"&amp;" · ","")&amp;IF(AND($B152&lt;&gt;"",$C152&lt;&gt;""),"Escriba la subactividad en otra fila, debajo de su macroactividad"&amp;" · ","")&amp;IF(AND($S152="Sub",N($R152)=0),"Subactividad sin macroactividad arriba"&amp;" · ","")&amp;IF($D152="","Sin responsable"&amp;" · ","")&amp;IF($E152="","Sin fecha de inicio"&amp;" · ","")&amp;IF($F152="","Sin fecha límite"&amp;" · ","")&amp;IF(OR(AND($E152&lt;&gt;"",NOT(ISNUMBER($E152))),AND($F152&lt;&gt;"",NOT(ISNUMBER($F152)))),"Fecha no válida"&amp;" · ","")&amp;IF(AND(ISNUMBER($E152),ISNUMBER($F152),$E152&gt;$F152),"Inicio posterior a fecha límite"&amp;" · ","")&amp;IF(AND($S152="Macro",$G152=""),"Peso vacío"&amp;" · ","")&amp;IF(AND($S152="Macro",$G152&lt;&gt;"",OR(NOT(ISNUMBER($G152)),$G152&lt;=0,$G152&gt;1)),"Peso fuera de rango"&amp;" · ","")&amp;IF(AND($S152="Sub",$G152&lt;&gt;""),"Las subactividades no llevan peso"&amp;" · ","")&amp;IF(AND($S152="Macro",ABS(SUMIFS($G$5:$G$1000,$P$5:$P$1000,$P152,$S$5:$S$1000,"Macro")-1)&gt;0.0001),"Pesos del mes suman "&amp;TEXT(SUMIFS($G$5:$G$1000,$P$5:$P$1000,$P152,$S$5:$S$1000,"Macro"),"0%")&amp;" · ","")&amp;IF(AND(N($T152)&gt;0,COUNT($H152:$K152)&gt;0),"Con subactividades: deje vacías las semanas (se calculan solas)"&amp;" · ","")&amp;IF((COUNTIF($H152:$K152,"&gt;1")+COUNTIF($H152:$K152,"&lt;0")+COUNTA($H152:$K152)-COUNT($H152:$K152))&gt;0,"Avance fuera de rango 0-100%"&amp;" · ","")&amp;IF(OR(AND($I152&lt;&gt;"",$I152&lt;$H152),AND($J152&lt;&gt;"",$J152&lt;MAX($H152:$I152)),AND($K152&lt;&gt;"",$K152&lt;MAX($H152:$J152))),"Avance semanal decreciente"&amp;" · ","")&amp;IF(AND(ISNUMBER($F152),$F152&lt;FechaRef,N($L152)&lt;1),"Vencida"&amp;" · ","")&amp;IF(AND(ObsObligatoria="Sí",ISNUMBER($F152),$F152&lt;FechaRef,N($L152)&lt;1,$N152=""),"Vencida sin observación"&amp;" · ",""),LEN(IF(AND($S152="Macro",$B152=""),"Macroactividad vacía"&amp;" · ","")&amp;IF(AND($B152&lt;&gt;"",$C152&lt;&gt;""),"Escriba la subactividad en otra fila, debajo de su macroactividad"&amp;" · ","")&amp;IF(AND($S152="Sub",N($R152)=0),"Subactividad sin macroactividad arriba"&amp;" · ","")&amp;IF($D152="","Sin responsable"&amp;" · ","")&amp;IF($E152="","Sin fecha de inicio"&amp;" · ","")&amp;IF($F152="","Sin fecha límite"&amp;" · ","")&amp;IF(OR(AND($E152&lt;&gt;"",NOT(ISNUMBER($E152))),AND($F152&lt;&gt;"",NOT(ISNUMBER($F152)))),"Fecha no válida"&amp;" · ","")&amp;IF(AND(ISNUMBER($E152),ISNUMBER($F152),$E152&gt;$F152),"Inicio posterior a fecha límite"&amp;" · ","")&amp;IF(AND($S152="Macro",$G152=""),"Peso vacío"&amp;" · ","")&amp;IF(AND($S152="Macro",$G152&lt;&gt;"",OR(NOT(ISNUMBER($G152)),$G152&lt;=0,$G152&gt;1)),"Peso fuera de rango"&amp;" · ","")&amp;IF(AND($S152="Sub",$G152&lt;&gt;""),"Las subactividades no llevan peso"&amp;" · ","")&amp;IF(AND($S152="Macro",ABS(SUMIFS($G$5:$G$1000,$P$5:$P$1000,$P152,$S$5:$S$1000,"Macro")-1)&gt;0.0001),"Pesos del mes suman "&amp;TEXT(SUMIFS($G$5:$G$1000,$P$5:$P$1000,$P152,$S$5:$S$1000,"Macro"),"0%")&amp;" · ","")&amp;IF(AND(N($T152)&gt;0,COUNT($H152:$K152)&gt;0),"Con subactividades: deje vacías las semanas (se calculan solas)"&amp;" · ","")&amp;IF((COUNTIF($H152:$K152,"&gt;1")+COUNTIF($H152:$K152,"&lt;0")+COUNTA($H152:$K152)-COUNT($H152:$K152))&gt;0,"Avance fuera de rango 0-100%"&amp;" · ","")&amp;IF(OR(AND($I152&lt;&gt;"",$I152&lt;$H152),AND($J152&lt;&gt;"",$J152&lt;MAX($H152:$I152)),AND($K152&lt;&gt;"",$K152&lt;MAX($H152:$J152))),"Avance semanal decreciente"&amp;" · ","")&amp;IF(AND(ISNUMBER($F152),$F152&lt;FechaRef,N($L152)&lt;1),"Vencida"&amp;" · ","")&amp;IF(AND(ObsObligatoria="Sí",ISNUMBER($F152),$F152&lt;FechaRef,N($L152)&lt;1,$N152=""),"Vencida sin observación"&amp;" · ",""))-3)))</f>
        <v/>
      </c>
      <c r="P152" s="69">
        <f>IF(NOT((COUNTA($B152:$K152)+COUNTA($N152))&gt;0),"",IF(AND($S152="Sub",N($R152)&gt;0),IF(ISNUMBER(INDEX($E$5:$E$1000,$R152-4)),DATE(YEAR(INDEX($E$5:$E$1000,$R152-4)),MONTH(INDEX($E$5:$E$1000,$R152-4)),1),IF(ISNUMBER(INDEX($F$5:$F$1000,$R152-4)),DATE(YEAR(INDEX($F$5:$F$1000,$R152-4)),MONTH(INDEX($F$5:$F$1000,$R152-4)),1),MesCiclo)),IF(ISNUMBER($E152),DATE(YEAR($E152),MONTH($E152),1),IF(ISNUMBER($F152),DATE(YEAR($F152),MONTH($F152),1),MesCiclo))))</f>
        <v/>
      </c>
      <c r="Q152" s="70">
        <f>IF(OR($P152="",$P152&lt;&gt;MesCiclo),"",COUNTIF($P$5:$P152,MesCiclo))</f>
        <v/>
      </c>
      <c r="R152" s="70">
        <f>IF($S152="","",IF($S152="Macro",ROW(),IFERROR(LOOKUP(2,1/($S$5:$S152="Macro"),ROW($S$5:$S152)),0)))</f>
        <v/>
      </c>
      <c r="S152" s="70">
        <f>IF(NOT((COUNTA($B152:$K152)+COUNTA($N152))&gt;0),"",IF($B152&lt;&gt;"","Macro",IF($C152&lt;&gt;"","Sub","Macro")))</f>
        <v/>
      </c>
      <c r="T152" s="70">
        <f>IF($S152="Macro",COUNTIFS($R$5:$R$1000,ROW(),$S$5:$S$1000,"Sub"),"")</f>
        <v/>
      </c>
      <c r="U152" s="70">
        <f>IF($S152="","",IF(ISNUMBER($H152),$H152,0))</f>
        <v/>
      </c>
      <c r="V152" s="70">
        <f>IF($S152="","",IF(ISNUMBER($I152),$I152,$U152))</f>
        <v/>
      </c>
      <c r="W152" s="70">
        <f>IF($S152="","",IF(ISNUMBER($J152),$J152,$V152))</f>
        <v/>
      </c>
      <c r="X152" s="70">
        <f>IF($S152="","",IF(ISNUMBER($K152),$K152,$W152))</f>
        <v/>
      </c>
      <c r="Y152" s="70">
        <f>IF($S152="","",IF(N($T152)&gt;0,AVERAGEIFS($U$5:$U$1000,$R$5:$R$1000,ROW(),$S$5:$S$1000,"Sub"),$U152))</f>
        <v/>
      </c>
      <c r="Z152" s="70">
        <f>IF($S152="","",IF(N($T152)&gt;0,AVERAGEIFS($V$5:$V$1000,$R$5:$R$1000,ROW(),$S$5:$S$1000,"Sub"),$V152))</f>
        <v/>
      </c>
      <c r="AA152" s="70">
        <f>IF($S152="","",IF(N($T152)&gt;0,AVERAGEIFS($W$5:$W$1000,$R$5:$R$1000,ROW(),$S$5:$S$1000,"Sub"),$W152))</f>
        <v/>
      </c>
      <c r="AB152" s="70">
        <f>IF($S152="","",IF(N($T152)&gt;0,AVERAGEIFS($X$5:$X$1000,$R$5:$R$1000,ROW(),$S$5:$S$1000,"Sub"),$X152))</f>
        <v/>
      </c>
    </row>
    <row r="153">
      <c r="A153" s="61">
        <f>IF(NOT((COUNTA($B153:$K153)+COUNTA($N153))&gt;0),"",IF($S153="Macro",COUNTIFS($S$5:$S153,"Macro",$P$5:$P153,$P153),IF(N($R153)=0,"?",COUNTIFS(INDEX($S$5:$S$1000,1):INDEX($S$5:$S$1000,$R153-4),"Macro",INDEX($P$5:$P$1000,1):INDEX($P$5:$P$1000,$R153-4),INDEX($P$5:$P$1000,$R153-4))&amp;"."&amp;COUNTIFS($R$5:$R153,$R153,$S$5:$S153,"Sub"))))</f>
        <v/>
      </c>
      <c r="B153" s="62" t="n"/>
      <c r="C153" s="63" t="n"/>
      <c r="D153" s="62" t="n"/>
      <c r="E153" s="64" t="n"/>
      <c r="F153" s="64" t="n"/>
      <c r="G153" s="65" t="n"/>
      <c r="H153" s="66" t="n"/>
      <c r="I153" s="66" t="n"/>
      <c r="J153" s="66" t="n"/>
      <c r="K153" s="66" t="n"/>
      <c r="L153" s="67">
        <f>IF(NOT((COUNTA($B153:$K153)+COUNTA($N153))&gt;0),"",IF(N($T153)&gt;0,$AB153,IFERROR(LOOKUP(2,1/(H153:K153&lt;&gt;""),H153:K153),0)))</f>
        <v/>
      </c>
      <c r="M153" s="61">
        <f>IF(L153="","",IF(L153&gt;=1,"Completado",IF(L153&gt;0,"En curso","Pendiente")))</f>
        <v/>
      </c>
      <c r="N153" s="62" t="n"/>
      <c r="O153" s="68">
        <f>IF(NOT((COUNTA($B153:$K153)+COUNTA($N153))&gt;0),"",IF((IF(AND($S153="Macro",$B153=""),"Macroactividad vacía"&amp;" · ","")&amp;IF(AND($B153&lt;&gt;"",$C153&lt;&gt;""),"Escriba la subactividad en otra fila, debajo de su macroactividad"&amp;" · ","")&amp;IF(AND($S153="Sub",N($R153)=0),"Subactividad sin macroactividad arriba"&amp;" · ","")&amp;IF($D153="","Sin responsable"&amp;" · ","")&amp;IF($E153="","Sin fecha de inicio"&amp;" · ","")&amp;IF($F153="","Sin fecha límite"&amp;" · ","")&amp;IF(OR(AND($E153&lt;&gt;"",NOT(ISNUMBER($E153))),AND($F153&lt;&gt;"",NOT(ISNUMBER($F153)))),"Fecha no válida"&amp;" · ","")&amp;IF(AND(ISNUMBER($E153),ISNUMBER($F153),$E153&gt;$F153),"Inicio posterior a fecha límite"&amp;" · ","")&amp;IF(AND($S153="Macro",$G153=""),"Peso vacío"&amp;" · ","")&amp;IF(AND($S153="Macro",$G153&lt;&gt;"",OR(NOT(ISNUMBER($G153)),$G153&lt;=0,$G153&gt;1)),"Peso fuera de rango"&amp;" · ","")&amp;IF(AND($S153="Sub",$G153&lt;&gt;""),"Las subactividades no llevan peso"&amp;" · ","")&amp;IF(AND($S153="Macro",ABS(SUMIFS($G$5:$G$1000,$P$5:$P$1000,$P153,$S$5:$S$1000,"Macro")-1)&gt;0.0001),"Pesos del mes suman "&amp;TEXT(SUMIFS($G$5:$G$1000,$P$5:$P$1000,$P153,$S$5:$S$1000,"Macro"),"0%")&amp;" · ","")&amp;IF(AND(N($T153)&gt;0,COUNT($H153:$K153)&gt;0),"Con subactividades: deje vacías las semanas (se calculan solas)"&amp;" · ","")&amp;IF((COUNTIF($H153:$K153,"&gt;1")+COUNTIF($H153:$K153,"&lt;0")+COUNTA($H153:$K153)-COUNT($H153:$K153))&gt;0,"Avance fuera de rango 0-100%"&amp;" · ","")&amp;IF(OR(AND($I153&lt;&gt;"",$I153&lt;$H153),AND($J153&lt;&gt;"",$J153&lt;MAX($H153:$I153)),AND($K153&lt;&gt;"",$K153&lt;MAX($H153:$J153))),"Avance semanal decreciente"&amp;" · ","")&amp;IF(AND(ISNUMBER($F153),$F153&lt;FechaRef,N($L153)&lt;1),"Vencida"&amp;" · ","")&amp;IF(AND(ObsObligatoria="Sí",ISNUMBER($F153),$F153&lt;FechaRef,N($L153)&lt;1,$N153=""),"Vencida sin observación"&amp;" · ",""))="","✔ OK","⚠ "&amp;LEFT(IF(AND($S153="Macro",$B153=""),"Macroactividad vacía"&amp;" · ","")&amp;IF(AND($B153&lt;&gt;"",$C153&lt;&gt;""),"Escriba la subactividad en otra fila, debajo de su macroactividad"&amp;" · ","")&amp;IF(AND($S153="Sub",N($R153)=0),"Subactividad sin macroactividad arriba"&amp;" · ","")&amp;IF($D153="","Sin responsable"&amp;" · ","")&amp;IF($E153="","Sin fecha de inicio"&amp;" · ","")&amp;IF($F153="","Sin fecha límite"&amp;" · ","")&amp;IF(OR(AND($E153&lt;&gt;"",NOT(ISNUMBER($E153))),AND($F153&lt;&gt;"",NOT(ISNUMBER($F153)))),"Fecha no válida"&amp;" · ","")&amp;IF(AND(ISNUMBER($E153),ISNUMBER($F153),$E153&gt;$F153),"Inicio posterior a fecha límite"&amp;" · ","")&amp;IF(AND($S153="Macro",$G153=""),"Peso vacío"&amp;" · ","")&amp;IF(AND($S153="Macro",$G153&lt;&gt;"",OR(NOT(ISNUMBER($G153)),$G153&lt;=0,$G153&gt;1)),"Peso fuera de rango"&amp;" · ","")&amp;IF(AND($S153="Sub",$G153&lt;&gt;""),"Las subactividades no llevan peso"&amp;" · ","")&amp;IF(AND($S153="Macro",ABS(SUMIFS($G$5:$G$1000,$P$5:$P$1000,$P153,$S$5:$S$1000,"Macro")-1)&gt;0.0001),"Pesos del mes suman "&amp;TEXT(SUMIFS($G$5:$G$1000,$P$5:$P$1000,$P153,$S$5:$S$1000,"Macro"),"0%")&amp;" · ","")&amp;IF(AND(N($T153)&gt;0,COUNT($H153:$K153)&gt;0),"Con subactividades: deje vacías las semanas (se calculan solas)"&amp;" · ","")&amp;IF((COUNTIF($H153:$K153,"&gt;1")+COUNTIF($H153:$K153,"&lt;0")+COUNTA($H153:$K153)-COUNT($H153:$K153))&gt;0,"Avance fuera de rango 0-100%"&amp;" · ","")&amp;IF(OR(AND($I153&lt;&gt;"",$I153&lt;$H153),AND($J153&lt;&gt;"",$J153&lt;MAX($H153:$I153)),AND($K153&lt;&gt;"",$K153&lt;MAX($H153:$J153))),"Avance semanal decreciente"&amp;" · ","")&amp;IF(AND(ISNUMBER($F153),$F153&lt;FechaRef,N($L153)&lt;1),"Vencida"&amp;" · ","")&amp;IF(AND(ObsObligatoria="Sí",ISNUMBER($F153),$F153&lt;FechaRef,N($L153)&lt;1,$N153=""),"Vencida sin observación"&amp;" · ",""),LEN(IF(AND($S153="Macro",$B153=""),"Macroactividad vacía"&amp;" · ","")&amp;IF(AND($B153&lt;&gt;"",$C153&lt;&gt;""),"Escriba la subactividad en otra fila, debajo de su macroactividad"&amp;" · ","")&amp;IF(AND($S153="Sub",N($R153)=0),"Subactividad sin macroactividad arriba"&amp;" · ","")&amp;IF($D153="","Sin responsable"&amp;" · ","")&amp;IF($E153="","Sin fecha de inicio"&amp;" · ","")&amp;IF($F153="","Sin fecha límite"&amp;" · ","")&amp;IF(OR(AND($E153&lt;&gt;"",NOT(ISNUMBER($E153))),AND($F153&lt;&gt;"",NOT(ISNUMBER($F153)))),"Fecha no válida"&amp;" · ","")&amp;IF(AND(ISNUMBER($E153),ISNUMBER($F153),$E153&gt;$F153),"Inicio posterior a fecha límite"&amp;" · ","")&amp;IF(AND($S153="Macro",$G153=""),"Peso vacío"&amp;" · ","")&amp;IF(AND($S153="Macro",$G153&lt;&gt;"",OR(NOT(ISNUMBER($G153)),$G153&lt;=0,$G153&gt;1)),"Peso fuera de rango"&amp;" · ","")&amp;IF(AND($S153="Sub",$G153&lt;&gt;""),"Las subactividades no llevan peso"&amp;" · ","")&amp;IF(AND($S153="Macro",ABS(SUMIFS($G$5:$G$1000,$P$5:$P$1000,$P153,$S$5:$S$1000,"Macro")-1)&gt;0.0001),"Pesos del mes suman "&amp;TEXT(SUMIFS($G$5:$G$1000,$P$5:$P$1000,$P153,$S$5:$S$1000,"Macro"),"0%")&amp;" · ","")&amp;IF(AND(N($T153)&gt;0,COUNT($H153:$K153)&gt;0),"Con subactividades: deje vacías las semanas (se calculan solas)"&amp;" · ","")&amp;IF((COUNTIF($H153:$K153,"&gt;1")+COUNTIF($H153:$K153,"&lt;0")+COUNTA($H153:$K153)-COUNT($H153:$K153))&gt;0,"Avance fuera de rango 0-100%"&amp;" · ","")&amp;IF(OR(AND($I153&lt;&gt;"",$I153&lt;$H153),AND($J153&lt;&gt;"",$J153&lt;MAX($H153:$I153)),AND($K153&lt;&gt;"",$K153&lt;MAX($H153:$J153))),"Avance semanal decreciente"&amp;" · ","")&amp;IF(AND(ISNUMBER($F153),$F153&lt;FechaRef,N($L153)&lt;1),"Vencida"&amp;" · ","")&amp;IF(AND(ObsObligatoria="Sí",ISNUMBER($F153),$F153&lt;FechaRef,N($L153)&lt;1,$N153=""),"Vencida sin observación"&amp;" · ",""))-3)))</f>
        <v/>
      </c>
      <c r="P153" s="69">
        <f>IF(NOT((COUNTA($B153:$K153)+COUNTA($N153))&gt;0),"",IF(AND($S153="Sub",N($R153)&gt;0),IF(ISNUMBER(INDEX($E$5:$E$1000,$R153-4)),DATE(YEAR(INDEX($E$5:$E$1000,$R153-4)),MONTH(INDEX($E$5:$E$1000,$R153-4)),1),IF(ISNUMBER(INDEX($F$5:$F$1000,$R153-4)),DATE(YEAR(INDEX($F$5:$F$1000,$R153-4)),MONTH(INDEX($F$5:$F$1000,$R153-4)),1),MesCiclo)),IF(ISNUMBER($E153),DATE(YEAR($E153),MONTH($E153),1),IF(ISNUMBER($F153),DATE(YEAR($F153),MONTH($F153),1),MesCiclo))))</f>
        <v/>
      </c>
      <c r="Q153" s="70">
        <f>IF(OR($P153="",$P153&lt;&gt;MesCiclo),"",COUNTIF($P$5:$P153,MesCiclo))</f>
        <v/>
      </c>
      <c r="R153" s="70">
        <f>IF($S153="","",IF($S153="Macro",ROW(),IFERROR(LOOKUP(2,1/($S$5:$S153="Macro"),ROW($S$5:$S153)),0)))</f>
        <v/>
      </c>
      <c r="S153" s="70">
        <f>IF(NOT((COUNTA($B153:$K153)+COUNTA($N153))&gt;0),"",IF($B153&lt;&gt;"","Macro",IF($C153&lt;&gt;"","Sub","Macro")))</f>
        <v/>
      </c>
      <c r="T153" s="70">
        <f>IF($S153="Macro",COUNTIFS($R$5:$R$1000,ROW(),$S$5:$S$1000,"Sub"),"")</f>
        <v/>
      </c>
      <c r="U153" s="70">
        <f>IF($S153="","",IF(ISNUMBER($H153),$H153,0))</f>
        <v/>
      </c>
      <c r="V153" s="70">
        <f>IF($S153="","",IF(ISNUMBER($I153),$I153,$U153))</f>
        <v/>
      </c>
      <c r="W153" s="70">
        <f>IF($S153="","",IF(ISNUMBER($J153),$J153,$V153))</f>
        <v/>
      </c>
      <c r="X153" s="70">
        <f>IF($S153="","",IF(ISNUMBER($K153),$K153,$W153))</f>
        <v/>
      </c>
      <c r="Y153" s="70">
        <f>IF($S153="","",IF(N($T153)&gt;0,AVERAGEIFS($U$5:$U$1000,$R$5:$R$1000,ROW(),$S$5:$S$1000,"Sub"),$U153))</f>
        <v/>
      </c>
      <c r="Z153" s="70">
        <f>IF($S153="","",IF(N($T153)&gt;0,AVERAGEIFS($V$5:$V$1000,$R$5:$R$1000,ROW(),$S$5:$S$1000,"Sub"),$V153))</f>
        <v/>
      </c>
      <c r="AA153" s="70">
        <f>IF($S153="","",IF(N($T153)&gt;0,AVERAGEIFS($W$5:$W$1000,$R$5:$R$1000,ROW(),$S$5:$S$1000,"Sub"),$W153))</f>
        <v/>
      </c>
      <c r="AB153" s="70">
        <f>IF($S153="","",IF(N($T153)&gt;0,AVERAGEIFS($X$5:$X$1000,$R$5:$R$1000,ROW(),$S$5:$S$1000,"Sub"),$X153))</f>
        <v/>
      </c>
    </row>
    <row r="154">
      <c r="A154" s="61">
        <f>IF(NOT((COUNTA($B154:$K154)+COUNTA($N154))&gt;0),"",IF($S154="Macro",COUNTIFS($S$5:$S154,"Macro",$P$5:$P154,$P154),IF(N($R154)=0,"?",COUNTIFS(INDEX($S$5:$S$1000,1):INDEX($S$5:$S$1000,$R154-4),"Macro",INDEX($P$5:$P$1000,1):INDEX($P$5:$P$1000,$R154-4),INDEX($P$5:$P$1000,$R154-4))&amp;"."&amp;COUNTIFS($R$5:$R154,$R154,$S$5:$S154,"Sub"))))</f>
        <v/>
      </c>
      <c r="B154" s="62" t="n"/>
      <c r="C154" s="63" t="n"/>
      <c r="D154" s="62" t="n"/>
      <c r="E154" s="64" t="n"/>
      <c r="F154" s="64" t="n"/>
      <c r="G154" s="65" t="n"/>
      <c r="H154" s="66" t="n"/>
      <c r="I154" s="66" t="n"/>
      <c r="J154" s="66" t="n"/>
      <c r="K154" s="66" t="n"/>
      <c r="L154" s="67">
        <f>IF(NOT((COUNTA($B154:$K154)+COUNTA($N154))&gt;0),"",IF(N($T154)&gt;0,$AB154,IFERROR(LOOKUP(2,1/(H154:K154&lt;&gt;""),H154:K154),0)))</f>
        <v/>
      </c>
      <c r="M154" s="61">
        <f>IF(L154="","",IF(L154&gt;=1,"Completado",IF(L154&gt;0,"En curso","Pendiente")))</f>
        <v/>
      </c>
      <c r="N154" s="62" t="n"/>
      <c r="O154" s="68">
        <f>IF(NOT((COUNTA($B154:$K154)+COUNTA($N154))&gt;0),"",IF((IF(AND($S154="Macro",$B154=""),"Macroactividad vacía"&amp;" · ","")&amp;IF(AND($B154&lt;&gt;"",$C154&lt;&gt;""),"Escriba la subactividad en otra fila, debajo de su macroactividad"&amp;" · ","")&amp;IF(AND($S154="Sub",N($R154)=0),"Subactividad sin macroactividad arriba"&amp;" · ","")&amp;IF($D154="","Sin responsable"&amp;" · ","")&amp;IF($E154="","Sin fecha de inicio"&amp;" · ","")&amp;IF($F154="","Sin fecha límite"&amp;" · ","")&amp;IF(OR(AND($E154&lt;&gt;"",NOT(ISNUMBER($E154))),AND($F154&lt;&gt;"",NOT(ISNUMBER($F154)))),"Fecha no válida"&amp;" · ","")&amp;IF(AND(ISNUMBER($E154),ISNUMBER($F154),$E154&gt;$F154),"Inicio posterior a fecha límite"&amp;" · ","")&amp;IF(AND($S154="Macro",$G154=""),"Peso vacío"&amp;" · ","")&amp;IF(AND($S154="Macro",$G154&lt;&gt;"",OR(NOT(ISNUMBER($G154)),$G154&lt;=0,$G154&gt;1)),"Peso fuera de rango"&amp;" · ","")&amp;IF(AND($S154="Sub",$G154&lt;&gt;""),"Las subactividades no llevan peso"&amp;" · ","")&amp;IF(AND($S154="Macro",ABS(SUMIFS($G$5:$G$1000,$P$5:$P$1000,$P154,$S$5:$S$1000,"Macro")-1)&gt;0.0001),"Pesos del mes suman "&amp;TEXT(SUMIFS($G$5:$G$1000,$P$5:$P$1000,$P154,$S$5:$S$1000,"Macro"),"0%")&amp;" · ","")&amp;IF(AND(N($T154)&gt;0,COUNT($H154:$K154)&gt;0),"Con subactividades: deje vacías las semanas (se calculan solas)"&amp;" · ","")&amp;IF((COUNTIF($H154:$K154,"&gt;1")+COUNTIF($H154:$K154,"&lt;0")+COUNTA($H154:$K154)-COUNT($H154:$K154))&gt;0,"Avance fuera de rango 0-100%"&amp;" · ","")&amp;IF(OR(AND($I154&lt;&gt;"",$I154&lt;$H154),AND($J154&lt;&gt;"",$J154&lt;MAX($H154:$I154)),AND($K154&lt;&gt;"",$K154&lt;MAX($H154:$J154))),"Avance semanal decreciente"&amp;" · ","")&amp;IF(AND(ISNUMBER($F154),$F154&lt;FechaRef,N($L154)&lt;1),"Vencida"&amp;" · ","")&amp;IF(AND(ObsObligatoria="Sí",ISNUMBER($F154),$F154&lt;FechaRef,N($L154)&lt;1,$N154=""),"Vencida sin observación"&amp;" · ",""))="","✔ OK","⚠ "&amp;LEFT(IF(AND($S154="Macro",$B154=""),"Macroactividad vacía"&amp;" · ","")&amp;IF(AND($B154&lt;&gt;"",$C154&lt;&gt;""),"Escriba la subactividad en otra fila, debajo de su macroactividad"&amp;" · ","")&amp;IF(AND($S154="Sub",N($R154)=0),"Subactividad sin macroactividad arriba"&amp;" · ","")&amp;IF($D154="","Sin responsable"&amp;" · ","")&amp;IF($E154="","Sin fecha de inicio"&amp;" · ","")&amp;IF($F154="","Sin fecha límite"&amp;" · ","")&amp;IF(OR(AND($E154&lt;&gt;"",NOT(ISNUMBER($E154))),AND($F154&lt;&gt;"",NOT(ISNUMBER($F154)))),"Fecha no válida"&amp;" · ","")&amp;IF(AND(ISNUMBER($E154),ISNUMBER($F154),$E154&gt;$F154),"Inicio posterior a fecha límite"&amp;" · ","")&amp;IF(AND($S154="Macro",$G154=""),"Peso vacío"&amp;" · ","")&amp;IF(AND($S154="Macro",$G154&lt;&gt;"",OR(NOT(ISNUMBER($G154)),$G154&lt;=0,$G154&gt;1)),"Peso fuera de rango"&amp;" · ","")&amp;IF(AND($S154="Sub",$G154&lt;&gt;""),"Las subactividades no llevan peso"&amp;" · ","")&amp;IF(AND($S154="Macro",ABS(SUMIFS($G$5:$G$1000,$P$5:$P$1000,$P154,$S$5:$S$1000,"Macro")-1)&gt;0.0001),"Pesos del mes suman "&amp;TEXT(SUMIFS($G$5:$G$1000,$P$5:$P$1000,$P154,$S$5:$S$1000,"Macro"),"0%")&amp;" · ","")&amp;IF(AND(N($T154)&gt;0,COUNT($H154:$K154)&gt;0),"Con subactividades: deje vacías las semanas (se calculan solas)"&amp;" · ","")&amp;IF((COUNTIF($H154:$K154,"&gt;1")+COUNTIF($H154:$K154,"&lt;0")+COUNTA($H154:$K154)-COUNT($H154:$K154))&gt;0,"Avance fuera de rango 0-100%"&amp;" · ","")&amp;IF(OR(AND($I154&lt;&gt;"",$I154&lt;$H154),AND($J154&lt;&gt;"",$J154&lt;MAX($H154:$I154)),AND($K154&lt;&gt;"",$K154&lt;MAX($H154:$J154))),"Avance semanal decreciente"&amp;" · ","")&amp;IF(AND(ISNUMBER($F154),$F154&lt;FechaRef,N($L154)&lt;1),"Vencida"&amp;" · ","")&amp;IF(AND(ObsObligatoria="Sí",ISNUMBER($F154),$F154&lt;FechaRef,N($L154)&lt;1,$N154=""),"Vencida sin observación"&amp;" · ",""),LEN(IF(AND($S154="Macro",$B154=""),"Macroactividad vacía"&amp;" · ","")&amp;IF(AND($B154&lt;&gt;"",$C154&lt;&gt;""),"Escriba la subactividad en otra fila, debajo de su macroactividad"&amp;" · ","")&amp;IF(AND($S154="Sub",N($R154)=0),"Subactividad sin macroactividad arriba"&amp;" · ","")&amp;IF($D154="","Sin responsable"&amp;" · ","")&amp;IF($E154="","Sin fecha de inicio"&amp;" · ","")&amp;IF($F154="","Sin fecha límite"&amp;" · ","")&amp;IF(OR(AND($E154&lt;&gt;"",NOT(ISNUMBER($E154))),AND($F154&lt;&gt;"",NOT(ISNUMBER($F154)))),"Fecha no válida"&amp;" · ","")&amp;IF(AND(ISNUMBER($E154),ISNUMBER($F154),$E154&gt;$F154),"Inicio posterior a fecha límite"&amp;" · ","")&amp;IF(AND($S154="Macro",$G154=""),"Peso vacío"&amp;" · ","")&amp;IF(AND($S154="Macro",$G154&lt;&gt;"",OR(NOT(ISNUMBER($G154)),$G154&lt;=0,$G154&gt;1)),"Peso fuera de rango"&amp;" · ","")&amp;IF(AND($S154="Sub",$G154&lt;&gt;""),"Las subactividades no llevan peso"&amp;" · ","")&amp;IF(AND($S154="Macro",ABS(SUMIFS($G$5:$G$1000,$P$5:$P$1000,$P154,$S$5:$S$1000,"Macro")-1)&gt;0.0001),"Pesos del mes suman "&amp;TEXT(SUMIFS($G$5:$G$1000,$P$5:$P$1000,$P154,$S$5:$S$1000,"Macro"),"0%")&amp;" · ","")&amp;IF(AND(N($T154)&gt;0,COUNT($H154:$K154)&gt;0),"Con subactividades: deje vacías las semanas (se calculan solas)"&amp;" · ","")&amp;IF((COUNTIF($H154:$K154,"&gt;1")+COUNTIF($H154:$K154,"&lt;0")+COUNTA($H154:$K154)-COUNT($H154:$K154))&gt;0,"Avance fuera de rango 0-100%"&amp;" · ","")&amp;IF(OR(AND($I154&lt;&gt;"",$I154&lt;$H154),AND($J154&lt;&gt;"",$J154&lt;MAX($H154:$I154)),AND($K154&lt;&gt;"",$K154&lt;MAX($H154:$J154))),"Avance semanal decreciente"&amp;" · ","")&amp;IF(AND(ISNUMBER($F154),$F154&lt;FechaRef,N($L154)&lt;1),"Vencida"&amp;" · ","")&amp;IF(AND(ObsObligatoria="Sí",ISNUMBER($F154),$F154&lt;FechaRef,N($L154)&lt;1,$N154=""),"Vencida sin observación"&amp;" · ",""))-3)))</f>
        <v/>
      </c>
      <c r="P154" s="69">
        <f>IF(NOT((COUNTA($B154:$K154)+COUNTA($N154))&gt;0),"",IF(AND($S154="Sub",N($R154)&gt;0),IF(ISNUMBER(INDEX($E$5:$E$1000,$R154-4)),DATE(YEAR(INDEX($E$5:$E$1000,$R154-4)),MONTH(INDEX($E$5:$E$1000,$R154-4)),1),IF(ISNUMBER(INDEX($F$5:$F$1000,$R154-4)),DATE(YEAR(INDEX($F$5:$F$1000,$R154-4)),MONTH(INDEX($F$5:$F$1000,$R154-4)),1),MesCiclo)),IF(ISNUMBER($E154),DATE(YEAR($E154),MONTH($E154),1),IF(ISNUMBER($F154),DATE(YEAR($F154),MONTH($F154),1),MesCiclo))))</f>
        <v/>
      </c>
      <c r="Q154" s="70">
        <f>IF(OR($P154="",$P154&lt;&gt;MesCiclo),"",COUNTIF($P$5:$P154,MesCiclo))</f>
        <v/>
      </c>
      <c r="R154" s="70">
        <f>IF($S154="","",IF($S154="Macro",ROW(),IFERROR(LOOKUP(2,1/($S$5:$S154="Macro"),ROW($S$5:$S154)),0)))</f>
        <v/>
      </c>
      <c r="S154" s="70">
        <f>IF(NOT((COUNTA($B154:$K154)+COUNTA($N154))&gt;0),"",IF($B154&lt;&gt;"","Macro",IF($C154&lt;&gt;"","Sub","Macro")))</f>
        <v/>
      </c>
      <c r="T154" s="70">
        <f>IF($S154="Macro",COUNTIFS($R$5:$R$1000,ROW(),$S$5:$S$1000,"Sub"),"")</f>
        <v/>
      </c>
      <c r="U154" s="70">
        <f>IF($S154="","",IF(ISNUMBER($H154),$H154,0))</f>
        <v/>
      </c>
      <c r="V154" s="70">
        <f>IF($S154="","",IF(ISNUMBER($I154),$I154,$U154))</f>
        <v/>
      </c>
      <c r="W154" s="70">
        <f>IF($S154="","",IF(ISNUMBER($J154),$J154,$V154))</f>
        <v/>
      </c>
      <c r="X154" s="70">
        <f>IF($S154="","",IF(ISNUMBER($K154),$K154,$W154))</f>
        <v/>
      </c>
      <c r="Y154" s="70">
        <f>IF($S154="","",IF(N($T154)&gt;0,AVERAGEIFS($U$5:$U$1000,$R$5:$R$1000,ROW(),$S$5:$S$1000,"Sub"),$U154))</f>
        <v/>
      </c>
      <c r="Z154" s="70">
        <f>IF($S154="","",IF(N($T154)&gt;0,AVERAGEIFS($V$5:$V$1000,$R$5:$R$1000,ROW(),$S$5:$S$1000,"Sub"),$V154))</f>
        <v/>
      </c>
      <c r="AA154" s="70">
        <f>IF($S154="","",IF(N($T154)&gt;0,AVERAGEIFS($W$5:$W$1000,$R$5:$R$1000,ROW(),$S$5:$S$1000,"Sub"),$W154))</f>
        <v/>
      </c>
      <c r="AB154" s="70">
        <f>IF($S154="","",IF(N($T154)&gt;0,AVERAGEIFS($X$5:$X$1000,$R$5:$R$1000,ROW(),$S$5:$S$1000,"Sub"),$X154))</f>
        <v/>
      </c>
    </row>
    <row r="155">
      <c r="A155" s="61">
        <f>IF(NOT((COUNTA($B155:$K155)+COUNTA($N155))&gt;0),"",IF($S155="Macro",COUNTIFS($S$5:$S155,"Macro",$P$5:$P155,$P155),IF(N($R155)=0,"?",COUNTIFS(INDEX($S$5:$S$1000,1):INDEX($S$5:$S$1000,$R155-4),"Macro",INDEX($P$5:$P$1000,1):INDEX($P$5:$P$1000,$R155-4),INDEX($P$5:$P$1000,$R155-4))&amp;"."&amp;COUNTIFS($R$5:$R155,$R155,$S$5:$S155,"Sub"))))</f>
        <v/>
      </c>
      <c r="B155" s="62" t="n"/>
      <c r="C155" s="63" t="n"/>
      <c r="D155" s="62" t="n"/>
      <c r="E155" s="64" t="n"/>
      <c r="F155" s="64" t="n"/>
      <c r="G155" s="65" t="n"/>
      <c r="H155" s="66" t="n"/>
      <c r="I155" s="66" t="n"/>
      <c r="J155" s="66" t="n"/>
      <c r="K155" s="66" t="n"/>
      <c r="L155" s="67">
        <f>IF(NOT((COUNTA($B155:$K155)+COUNTA($N155))&gt;0),"",IF(N($T155)&gt;0,$AB155,IFERROR(LOOKUP(2,1/(H155:K155&lt;&gt;""),H155:K155),0)))</f>
        <v/>
      </c>
      <c r="M155" s="61">
        <f>IF(L155="","",IF(L155&gt;=1,"Completado",IF(L155&gt;0,"En curso","Pendiente")))</f>
        <v/>
      </c>
      <c r="N155" s="62" t="n"/>
      <c r="O155" s="68">
        <f>IF(NOT((COUNTA($B155:$K155)+COUNTA($N155))&gt;0),"",IF((IF(AND($S155="Macro",$B155=""),"Macroactividad vacía"&amp;" · ","")&amp;IF(AND($B155&lt;&gt;"",$C155&lt;&gt;""),"Escriba la subactividad en otra fila, debajo de su macroactividad"&amp;" · ","")&amp;IF(AND($S155="Sub",N($R155)=0),"Subactividad sin macroactividad arriba"&amp;" · ","")&amp;IF($D155="","Sin responsable"&amp;" · ","")&amp;IF($E155="","Sin fecha de inicio"&amp;" · ","")&amp;IF($F155="","Sin fecha límite"&amp;" · ","")&amp;IF(OR(AND($E155&lt;&gt;"",NOT(ISNUMBER($E155))),AND($F155&lt;&gt;"",NOT(ISNUMBER($F155)))),"Fecha no válida"&amp;" · ","")&amp;IF(AND(ISNUMBER($E155),ISNUMBER($F155),$E155&gt;$F155),"Inicio posterior a fecha límite"&amp;" · ","")&amp;IF(AND($S155="Macro",$G155=""),"Peso vacío"&amp;" · ","")&amp;IF(AND($S155="Macro",$G155&lt;&gt;"",OR(NOT(ISNUMBER($G155)),$G155&lt;=0,$G155&gt;1)),"Peso fuera de rango"&amp;" · ","")&amp;IF(AND($S155="Sub",$G155&lt;&gt;""),"Las subactividades no llevan peso"&amp;" · ","")&amp;IF(AND($S155="Macro",ABS(SUMIFS($G$5:$G$1000,$P$5:$P$1000,$P155,$S$5:$S$1000,"Macro")-1)&gt;0.0001),"Pesos del mes suman "&amp;TEXT(SUMIFS($G$5:$G$1000,$P$5:$P$1000,$P155,$S$5:$S$1000,"Macro"),"0%")&amp;" · ","")&amp;IF(AND(N($T155)&gt;0,COUNT($H155:$K155)&gt;0),"Con subactividades: deje vacías las semanas (se calculan solas)"&amp;" · ","")&amp;IF((COUNTIF($H155:$K155,"&gt;1")+COUNTIF($H155:$K155,"&lt;0")+COUNTA($H155:$K155)-COUNT($H155:$K155))&gt;0,"Avance fuera de rango 0-100%"&amp;" · ","")&amp;IF(OR(AND($I155&lt;&gt;"",$I155&lt;$H155),AND($J155&lt;&gt;"",$J155&lt;MAX($H155:$I155)),AND($K155&lt;&gt;"",$K155&lt;MAX($H155:$J155))),"Avance semanal decreciente"&amp;" · ","")&amp;IF(AND(ISNUMBER($F155),$F155&lt;FechaRef,N($L155)&lt;1),"Vencida"&amp;" · ","")&amp;IF(AND(ObsObligatoria="Sí",ISNUMBER($F155),$F155&lt;FechaRef,N($L155)&lt;1,$N155=""),"Vencida sin observación"&amp;" · ",""))="","✔ OK","⚠ "&amp;LEFT(IF(AND($S155="Macro",$B155=""),"Macroactividad vacía"&amp;" · ","")&amp;IF(AND($B155&lt;&gt;"",$C155&lt;&gt;""),"Escriba la subactividad en otra fila, debajo de su macroactividad"&amp;" · ","")&amp;IF(AND($S155="Sub",N($R155)=0),"Subactividad sin macroactividad arriba"&amp;" · ","")&amp;IF($D155="","Sin responsable"&amp;" · ","")&amp;IF($E155="","Sin fecha de inicio"&amp;" · ","")&amp;IF($F155="","Sin fecha límite"&amp;" · ","")&amp;IF(OR(AND($E155&lt;&gt;"",NOT(ISNUMBER($E155))),AND($F155&lt;&gt;"",NOT(ISNUMBER($F155)))),"Fecha no válida"&amp;" · ","")&amp;IF(AND(ISNUMBER($E155),ISNUMBER($F155),$E155&gt;$F155),"Inicio posterior a fecha límite"&amp;" · ","")&amp;IF(AND($S155="Macro",$G155=""),"Peso vacío"&amp;" · ","")&amp;IF(AND($S155="Macro",$G155&lt;&gt;"",OR(NOT(ISNUMBER($G155)),$G155&lt;=0,$G155&gt;1)),"Peso fuera de rango"&amp;" · ","")&amp;IF(AND($S155="Sub",$G155&lt;&gt;""),"Las subactividades no llevan peso"&amp;" · ","")&amp;IF(AND($S155="Macro",ABS(SUMIFS($G$5:$G$1000,$P$5:$P$1000,$P155,$S$5:$S$1000,"Macro")-1)&gt;0.0001),"Pesos del mes suman "&amp;TEXT(SUMIFS($G$5:$G$1000,$P$5:$P$1000,$P155,$S$5:$S$1000,"Macro"),"0%")&amp;" · ","")&amp;IF(AND(N($T155)&gt;0,COUNT($H155:$K155)&gt;0),"Con subactividades: deje vacías las semanas (se calculan solas)"&amp;" · ","")&amp;IF((COUNTIF($H155:$K155,"&gt;1")+COUNTIF($H155:$K155,"&lt;0")+COUNTA($H155:$K155)-COUNT($H155:$K155))&gt;0,"Avance fuera de rango 0-100%"&amp;" · ","")&amp;IF(OR(AND($I155&lt;&gt;"",$I155&lt;$H155),AND($J155&lt;&gt;"",$J155&lt;MAX($H155:$I155)),AND($K155&lt;&gt;"",$K155&lt;MAX($H155:$J155))),"Avance semanal decreciente"&amp;" · ","")&amp;IF(AND(ISNUMBER($F155),$F155&lt;FechaRef,N($L155)&lt;1),"Vencida"&amp;" · ","")&amp;IF(AND(ObsObligatoria="Sí",ISNUMBER($F155),$F155&lt;FechaRef,N($L155)&lt;1,$N155=""),"Vencida sin observación"&amp;" · ",""),LEN(IF(AND($S155="Macro",$B155=""),"Macroactividad vacía"&amp;" · ","")&amp;IF(AND($B155&lt;&gt;"",$C155&lt;&gt;""),"Escriba la subactividad en otra fila, debajo de su macroactividad"&amp;" · ","")&amp;IF(AND($S155="Sub",N($R155)=0),"Subactividad sin macroactividad arriba"&amp;" · ","")&amp;IF($D155="","Sin responsable"&amp;" · ","")&amp;IF($E155="","Sin fecha de inicio"&amp;" · ","")&amp;IF($F155="","Sin fecha límite"&amp;" · ","")&amp;IF(OR(AND($E155&lt;&gt;"",NOT(ISNUMBER($E155))),AND($F155&lt;&gt;"",NOT(ISNUMBER($F155)))),"Fecha no válida"&amp;" · ","")&amp;IF(AND(ISNUMBER($E155),ISNUMBER($F155),$E155&gt;$F155),"Inicio posterior a fecha límite"&amp;" · ","")&amp;IF(AND($S155="Macro",$G155=""),"Peso vacío"&amp;" · ","")&amp;IF(AND($S155="Macro",$G155&lt;&gt;"",OR(NOT(ISNUMBER($G155)),$G155&lt;=0,$G155&gt;1)),"Peso fuera de rango"&amp;" · ","")&amp;IF(AND($S155="Sub",$G155&lt;&gt;""),"Las subactividades no llevan peso"&amp;" · ","")&amp;IF(AND($S155="Macro",ABS(SUMIFS($G$5:$G$1000,$P$5:$P$1000,$P155,$S$5:$S$1000,"Macro")-1)&gt;0.0001),"Pesos del mes suman "&amp;TEXT(SUMIFS($G$5:$G$1000,$P$5:$P$1000,$P155,$S$5:$S$1000,"Macro"),"0%")&amp;" · ","")&amp;IF(AND(N($T155)&gt;0,COUNT($H155:$K155)&gt;0),"Con subactividades: deje vacías las semanas (se calculan solas)"&amp;" · ","")&amp;IF((COUNTIF($H155:$K155,"&gt;1")+COUNTIF($H155:$K155,"&lt;0")+COUNTA($H155:$K155)-COUNT($H155:$K155))&gt;0,"Avance fuera de rango 0-100%"&amp;" · ","")&amp;IF(OR(AND($I155&lt;&gt;"",$I155&lt;$H155),AND($J155&lt;&gt;"",$J155&lt;MAX($H155:$I155)),AND($K155&lt;&gt;"",$K155&lt;MAX($H155:$J155))),"Avance semanal decreciente"&amp;" · ","")&amp;IF(AND(ISNUMBER($F155),$F155&lt;FechaRef,N($L155)&lt;1),"Vencida"&amp;" · ","")&amp;IF(AND(ObsObligatoria="Sí",ISNUMBER($F155),$F155&lt;FechaRef,N($L155)&lt;1,$N155=""),"Vencida sin observación"&amp;" · ",""))-3)))</f>
        <v/>
      </c>
      <c r="P155" s="69">
        <f>IF(NOT((COUNTA($B155:$K155)+COUNTA($N155))&gt;0),"",IF(AND($S155="Sub",N($R155)&gt;0),IF(ISNUMBER(INDEX($E$5:$E$1000,$R155-4)),DATE(YEAR(INDEX($E$5:$E$1000,$R155-4)),MONTH(INDEX($E$5:$E$1000,$R155-4)),1),IF(ISNUMBER(INDEX($F$5:$F$1000,$R155-4)),DATE(YEAR(INDEX($F$5:$F$1000,$R155-4)),MONTH(INDEX($F$5:$F$1000,$R155-4)),1),MesCiclo)),IF(ISNUMBER($E155),DATE(YEAR($E155),MONTH($E155),1),IF(ISNUMBER($F155),DATE(YEAR($F155),MONTH($F155),1),MesCiclo))))</f>
        <v/>
      </c>
      <c r="Q155" s="70">
        <f>IF(OR($P155="",$P155&lt;&gt;MesCiclo),"",COUNTIF($P$5:$P155,MesCiclo))</f>
        <v/>
      </c>
      <c r="R155" s="70">
        <f>IF($S155="","",IF($S155="Macro",ROW(),IFERROR(LOOKUP(2,1/($S$5:$S155="Macro"),ROW($S$5:$S155)),0)))</f>
        <v/>
      </c>
      <c r="S155" s="70">
        <f>IF(NOT((COUNTA($B155:$K155)+COUNTA($N155))&gt;0),"",IF($B155&lt;&gt;"","Macro",IF($C155&lt;&gt;"","Sub","Macro")))</f>
        <v/>
      </c>
      <c r="T155" s="70">
        <f>IF($S155="Macro",COUNTIFS($R$5:$R$1000,ROW(),$S$5:$S$1000,"Sub"),"")</f>
        <v/>
      </c>
      <c r="U155" s="70">
        <f>IF($S155="","",IF(ISNUMBER($H155),$H155,0))</f>
        <v/>
      </c>
      <c r="V155" s="70">
        <f>IF($S155="","",IF(ISNUMBER($I155),$I155,$U155))</f>
        <v/>
      </c>
      <c r="W155" s="70">
        <f>IF($S155="","",IF(ISNUMBER($J155),$J155,$V155))</f>
        <v/>
      </c>
      <c r="X155" s="70">
        <f>IF($S155="","",IF(ISNUMBER($K155),$K155,$W155))</f>
        <v/>
      </c>
      <c r="Y155" s="70">
        <f>IF($S155="","",IF(N($T155)&gt;0,AVERAGEIFS($U$5:$U$1000,$R$5:$R$1000,ROW(),$S$5:$S$1000,"Sub"),$U155))</f>
        <v/>
      </c>
      <c r="Z155" s="70">
        <f>IF($S155="","",IF(N($T155)&gt;0,AVERAGEIFS($V$5:$V$1000,$R$5:$R$1000,ROW(),$S$5:$S$1000,"Sub"),$V155))</f>
        <v/>
      </c>
      <c r="AA155" s="70">
        <f>IF($S155="","",IF(N($T155)&gt;0,AVERAGEIFS($W$5:$W$1000,$R$5:$R$1000,ROW(),$S$5:$S$1000,"Sub"),$W155))</f>
        <v/>
      </c>
      <c r="AB155" s="70">
        <f>IF($S155="","",IF(N($T155)&gt;0,AVERAGEIFS($X$5:$X$1000,$R$5:$R$1000,ROW(),$S$5:$S$1000,"Sub"),$X155))</f>
        <v/>
      </c>
    </row>
    <row r="156">
      <c r="A156" s="61">
        <f>IF(NOT((COUNTA($B156:$K156)+COUNTA($N156))&gt;0),"",IF($S156="Macro",COUNTIFS($S$5:$S156,"Macro",$P$5:$P156,$P156),IF(N($R156)=0,"?",COUNTIFS(INDEX($S$5:$S$1000,1):INDEX($S$5:$S$1000,$R156-4),"Macro",INDEX($P$5:$P$1000,1):INDEX($P$5:$P$1000,$R156-4),INDEX($P$5:$P$1000,$R156-4))&amp;"."&amp;COUNTIFS($R$5:$R156,$R156,$S$5:$S156,"Sub"))))</f>
        <v/>
      </c>
      <c r="B156" s="62" t="n"/>
      <c r="C156" s="63" t="n"/>
      <c r="D156" s="62" t="n"/>
      <c r="E156" s="64" t="n"/>
      <c r="F156" s="64" t="n"/>
      <c r="G156" s="65" t="n"/>
      <c r="H156" s="66" t="n"/>
      <c r="I156" s="66" t="n"/>
      <c r="J156" s="66" t="n"/>
      <c r="K156" s="66" t="n"/>
      <c r="L156" s="67">
        <f>IF(NOT((COUNTA($B156:$K156)+COUNTA($N156))&gt;0),"",IF(N($T156)&gt;0,$AB156,IFERROR(LOOKUP(2,1/(H156:K156&lt;&gt;""),H156:K156),0)))</f>
        <v/>
      </c>
      <c r="M156" s="61">
        <f>IF(L156="","",IF(L156&gt;=1,"Completado",IF(L156&gt;0,"En curso","Pendiente")))</f>
        <v/>
      </c>
      <c r="N156" s="62" t="n"/>
      <c r="O156" s="68">
        <f>IF(NOT((COUNTA($B156:$K156)+COUNTA($N156))&gt;0),"",IF((IF(AND($S156="Macro",$B156=""),"Macroactividad vacía"&amp;" · ","")&amp;IF(AND($B156&lt;&gt;"",$C156&lt;&gt;""),"Escriba la subactividad en otra fila, debajo de su macroactividad"&amp;" · ","")&amp;IF(AND($S156="Sub",N($R156)=0),"Subactividad sin macroactividad arriba"&amp;" · ","")&amp;IF($D156="","Sin responsable"&amp;" · ","")&amp;IF($E156="","Sin fecha de inicio"&amp;" · ","")&amp;IF($F156="","Sin fecha límite"&amp;" · ","")&amp;IF(OR(AND($E156&lt;&gt;"",NOT(ISNUMBER($E156))),AND($F156&lt;&gt;"",NOT(ISNUMBER($F156)))),"Fecha no válida"&amp;" · ","")&amp;IF(AND(ISNUMBER($E156),ISNUMBER($F156),$E156&gt;$F156),"Inicio posterior a fecha límite"&amp;" · ","")&amp;IF(AND($S156="Macro",$G156=""),"Peso vacío"&amp;" · ","")&amp;IF(AND($S156="Macro",$G156&lt;&gt;"",OR(NOT(ISNUMBER($G156)),$G156&lt;=0,$G156&gt;1)),"Peso fuera de rango"&amp;" · ","")&amp;IF(AND($S156="Sub",$G156&lt;&gt;""),"Las subactividades no llevan peso"&amp;" · ","")&amp;IF(AND($S156="Macro",ABS(SUMIFS($G$5:$G$1000,$P$5:$P$1000,$P156,$S$5:$S$1000,"Macro")-1)&gt;0.0001),"Pesos del mes suman "&amp;TEXT(SUMIFS($G$5:$G$1000,$P$5:$P$1000,$P156,$S$5:$S$1000,"Macro"),"0%")&amp;" · ","")&amp;IF(AND(N($T156)&gt;0,COUNT($H156:$K156)&gt;0),"Con subactividades: deje vacías las semanas (se calculan solas)"&amp;" · ","")&amp;IF((COUNTIF($H156:$K156,"&gt;1")+COUNTIF($H156:$K156,"&lt;0")+COUNTA($H156:$K156)-COUNT($H156:$K156))&gt;0,"Avance fuera de rango 0-100%"&amp;" · ","")&amp;IF(OR(AND($I156&lt;&gt;"",$I156&lt;$H156),AND($J156&lt;&gt;"",$J156&lt;MAX($H156:$I156)),AND($K156&lt;&gt;"",$K156&lt;MAX($H156:$J156))),"Avance semanal decreciente"&amp;" · ","")&amp;IF(AND(ISNUMBER($F156),$F156&lt;FechaRef,N($L156)&lt;1),"Vencida"&amp;" · ","")&amp;IF(AND(ObsObligatoria="Sí",ISNUMBER($F156),$F156&lt;FechaRef,N($L156)&lt;1,$N156=""),"Vencida sin observación"&amp;" · ",""))="","✔ OK","⚠ "&amp;LEFT(IF(AND($S156="Macro",$B156=""),"Macroactividad vacía"&amp;" · ","")&amp;IF(AND($B156&lt;&gt;"",$C156&lt;&gt;""),"Escriba la subactividad en otra fila, debajo de su macroactividad"&amp;" · ","")&amp;IF(AND($S156="Sub",N($R156)=0),"Subactividad sin macroactividad arriba"&amp;" · ","")&amp;IF($D156="","Sin responsable"&amp;" · ","")&amp;IF($E156="","Sin fecha de inicio"&amp;" · ","")&amp;IF($F156="","Sin fecha límite"&amp;" · ","")&amp;IF(OR(AND($E156&lt;&gt;"",NOT(ISNUMBER($E156))),AND($F156&lt;&gt;"",NOT(ISNUMBER($F156)))),"Fecha no válida"&amp;" · ","")&amp;IF(AND(ISNUMBER($E156),ISNUMBER($F156),$E156&gt;$F156),"Inicio posterior a fecha límite"&amp;" · ","")&amp;IF(AND($S156="Macro",$G156=""),"Peso vacío"&amp;" · ","")&amp;IF(AND($S156="Macro",$G156&lt;&gt;"",OR(NOT(ISNUMBER($G156)),$G156&lt;=0,$G156&gt;1)),"Peso fuera de rango"&amp;" · ","")&amp;IF(AND($S156="Sub",$G156&lt;&gt;""),"Las subactividades no llevan peso"&amp;" · ","")&amp;IF(AND($S156="Macro",ABS(SUMIFS($G$5:$G$1000,$P$5:$P$1000,$P156,$S$5:$S$1000,"Macro")-1)&gt;0.0001),"Pesos del mes suman "&amp;TEXT(SUMIFS($G$5:$G$1000,$P$5:$P$1000,$P156,$S$5:$S$1000,"Macro"),"0%")&amp;" · ","")&amp;IF(AND(N($T156)&gt;0,COUNT($H156:$K156)&gt;0),"Con subactividades: deje vacías las semanas (se calculan solas)"&amp;" · ","")&amp;IF((COUNTIF($H156:$K156,"&gt;1")+COUNTIF($H156:$K156,"&lt;0")+COUNTA($H156:$K156)-COUNT($H156:$K156))&gt;0,"Avance fuera de rango 0-100%"&amp;" · ","")&amp;IF(OR(AND($I156&lt;&gt;"",$I156&lt;$H156),AND($J156&lt;&gt;"",$J156&lt;MAX($H156:$I156)),AND($K156&lt;&gt;"",$K156&lt;MAX($H156:$J156))),"Avance semanal decreciente"&amp;" · ","")&amp;IF(AND(ISNUMBER($F156),$F156&lt;FechaRef,N($L156)&lt;1),"Vencida"&amp;" · ","")&amp;IF(AND(ObsObligatoria="Sí",ISNUMBER($F156),$F156&lt;FechaRef,N($L156)&lt;1,$N156=""),"Vencida sin observación"&amp;" · ",""),LEN(IF(AND($S156="Macro",$B156=""),"Macroactividad vacía"&amp;" · ","")&amp;IF(AND($B156&lt;&gt;"",$C156&lt;&gt;""),"Escriba la subactividad en otra fila, debajo de su macroactividad"&amp;" · ","")&amp;IF(AND($S156="Sub",N($R156)=0),"Subactividad sin macroactividad arriba"&amp;" · ","")&amp;IF($D156="","Sin responsable"&amp;" · ","")&amp;IF($E156="","Sin fecha de inicio"&amp;" · ","")&amp;IF($F156="","Sin fecha límite"&amp;" · ","")&amp;IF(OR(AND($E156&lt;&gt;"",NOT(ISNUMBER($E156))),AND($F156&lt;&gt;"",NOT(ISNUMBER($F156)))),"Fecha no válida"&amp;" · ","")&amp;IF(AND(ISNUMBER($E156),ISNUMBER($F156),$E156&gt;$F156),"Inicio posterior a fecha límite"&amp;" · ","")&amp;IF(AND($S156="Macro",$G156=""),"Peso vacío"&amp;" · ","")&amp;IF(AND($S156="Macro",$G156&lt;&gt;"",OR(NOT(ISNUMBER($G156)),$G156&lt;=0,$G156&gt;1)),"Peso fuera de rango"&amp;" · ","")&amp;IF(AND($S156="Sub",$G156&lt;&gt;""),"Las subactividades no llevan peso"&amp;" · ","")&amp;IF(AND($S156="Macro",ABS(SUMIFS($G$5:$G$1000,$P$5:$P$1000,$P156,$S$5:$S$1000,"Macro")-1)&gt;0.0001),"Pesos del mes suman "&amp;TEXT(SUMIFS($G$5:$G$1000,$P$5:$P$1000,$P156,$S$5:$S$1000,"Macro"),"0%")&amp;" · ","")&amp;IF(AND(N($T156)&gt;0,COUNT($H156:$K156)&gt;0),"Con subactividades: deje vacías las semanas (se calculan solas)"&amp;" · ","")&amp;IF((COUNTIF($H156:$K156,"&gt;1")+COUNTIF($H156:$K156,"&lt;0")+COUNTA($H156:$K156)-COUNT($H156:$K156))&gt;0,"Avance fuera de rango 0-100%"&amp;" · ","")&amp;IF(OR(AND($I156&lt;&gt;"",$I156&lt;$H156),AND($J156&lt;&gt;"",$J156&lt;MAX($H156:$I156)),AND($K156&lt;&gt;"",$K156&lt;MAX($H156:$J156))),"Avance semanal decreciente"&amp;" · ","")&amp;IF(AND(ISNUMBER($F156),$F156&lt;FechaRef,N($L156)&lt;1),"Vencida"&amp;" · ","")&amp;IF(AND(ObsObligatoria="Sí",ISNUMBER($F156),$F156&lt;FechaRef,N($L156)&lt;1,$N156=""),"Vencida sin observación"&amp;" · ",""))-3)))</f>
        <v/>
      </c>
      <c r="P156" s="69">
        <f>IF(NOT((COUNTA($B156:$K156)+COUNTA($N156))&gt;0),"",IF(AND($S156="Sub",N($R156)&gt;0),IF(ISNUMBER(INDEX($E$5:$E$1000,$R156-4)),DATE(YEAR(INDEX($E$5:$E$1000,$R156-4)),MONTH(INDEX($E$5:$E$1000,$R156-4)),1),IF(ISNUMBER(INDEX($F$5:$F$1000,$R156-4)),DATE(YEAR(INDEX($F$5:$F$1000,$R156-4)),MONTH(INDEX($F$5:$F$1000,$R156-4)),1),MesCiclo)),IF(ISNUMBER($E156),DATE(YEAR($E156),MONTH($E156),1),IF(ISNUMBER($F156),DATE(YEAR($F156),MONTH($F156),1),MesCiclo))))</f>
        <v/>
      </c>
      <c r="Q156" s="70">
        <f>IF(OR($P156="",$P156&lt;&gt;MesCiclo),"",COUNTIF($P$5:$P156,MesCiclo))</f>
        <v/>
      </c>
      <c r="R156" s="70">
        <f>IF($S156="","",IF($S156="Macro",ROW(),IFERROR(LOOKUP(2,1/($S$5:$S156="Macro"),ROW($S$5:$S156)),0)))</f>
        <v/>
      </c>
      <c r="S156" s="70">
        <f>IF(NOT((COUNTA($B156:$K156)+COUNTA($N156))&gt;0),"",IF($B156&lt;&gt;"","Macro",IF($C156&lt;&gt;"","Sub","Macro")))</f>
        <v/>
      </c>
      <c r="T156" s="70">
        <f>IF($S156="Macro",COUNTIFS($R$5:$R$1000,ROW(),$S$5:$S$1000,"Sub"),"")</f>
        <v/>
      </c>
      <c r="U156" s="70">
        <f>IF($S156="","",IF(ISNUMBER($H156),$H156,0))</f>
        <v/>
      </c>
      <c r="V156" s="70">
        <f>IF($S156="","",IF(ISNUMBER($I156),$I156,$U156))</f>
        <v/>
      </c>
      <c r="W156" s="70">
        <f>IF($S156="","",IF(ISNUMBER($J156),$J156,$V156))</f>
        <v/>
      </c>
      <c r="X156" s="70">
        <f>IF($S156="","",IF(ISNUMBER($K156),$K156,$W156))</f>
        <v/>
      </c>
      <c r="Y156" s="70">
        <f>IF($S156="","",IF(N($T156)&gt;0,AVERAGEIFS($U$5:$U$1000,$R$5:$R$1000,ROW(),$S$5:$S$1000,"Sub"),$U156))</f>
        <v/>
      </c>
      <c r="Z156" s="70">
        <f>IF($S156="","",IF(N($T156)&gt;0,AVERAGEIFS($V$5:$V$1000,$R$5:$R$1000,ROW(),$S$5:$S$1000,"Sub"),$V156))</f>
        <v/>
      </c>
      <c r="AA156" s="70">
        <f>IF($S156="","",IF(N($T156)&gt;0,AVERAGEIFS($W$5:$W$1000,$R$5:$R$1000,ROW(),$S$5:$S$1000,"Sub"),$W156))</f>
        <v/>
      </c>
      <c r="AB156" s="70">
        <f>IF($S156="","",IF(N($T156)&gt;0,AVERAGEIFS($X$5:$X$1000,$R$5:$R$1000,ROW(),$S$5:$S$1000,"Sub"),$X156))</f>
        <v/>
      </c>
    </row>
    <row r="157">
      <c r="A157" s="61">
        <f>IF(NOT((COUNTA($B157:$K157)+COUNTA($N157))&gt;0),"",IF($S157="Macro",COUNTIFS($S$5:$S157,"Macro",$P$5:$P157,$P157),IF(N($R157)=0,"?",COUNTIFS(INDEX($S$5:$S$1000,1):INDEX($S$5:$S$1000,$R157-4),"Macro",INDEX($P$5:$P$1000,1):INDEX($P$5:$P$1000,$R157-4),INDEX($P$5:$P$1000,$R157-4))&amp;"."&amp;COUNTIFS($R$5:$R157,$R157,$S$5:$S157,"Sub"))))</f>
        <v/>
      </c>
      <c r="B157" s="62" t="n"/>
      <c r="C157" s="63" t="n"/>
      <c r="D157" s="62" t="n"/>
      <c r="E157" s="64" t="n"/>
      <c r="F157" s="64" t="n"/>
      <c r="G157" s="65" t="n"/>
      <c r="H157" s="66" t="n"/>
      <c r="I157" s="66" t="n"/>
      <c r="J157" s="66" t="n"/>
      <c r="K157" s="66" t="n"/>
      <c r="L157" s="67">
        <f>IF(NOT((COUNTA($B157:$K157)+COUNTA($N157))&gt;0),"",IF(N($T157)&gt;0,$AB157,IFERROR(LOOKUP(2,1/(H157:K157&lt;&gt;""),H157:K157),0)))</f>
        <v/>
      </c>
      <c r="M157" s="61">
        <f>IF(L157="","",IF(L157&gt;=1,"Completado",IF(L157&gt;0,"En curso","Pendiente")))</f>
        <v/>
      </c>
      <c r="N157" s="62" t="n"/>
      <c r="O157" s="68">
        <f>IF(NOT((COUNTA($B157:$K157)+COUNTA($N157))&gt;0),"",IF((IF(AND($S157="Macro",$B157=""),"Macroactividad vacía"&amp;" · ","")&amp;IF(AND($B157&lt;&gt;"",$C157&lt;&gt;""),"Escriba la subactividad en otra fila, debajo de su macroactividad"&amp;" · ","")&amp;IF(AND($S157="Sub",N($R157)=0),"Subactividad sin macroactividad arriba"&amp;" · ","")&amp;IF($D157="","Sin responsable"&amp;" · ","")&amp;IF($E157="","Sin fecha de inicio"&amp;" · ","")&amp;IF($F157="","Sin fecha límite"&amp;" · ","")&amp;IF(OR(AND($E157&lt;&gt;"",NOT(ISNUMBER($E157))),AND($F157&lt;&gt;"",NOT(ISNUMBER($F157)))),"Fecha no válida"&amp;" · ","")&amp;IF(AND(ISNUMBER($E157),ISNUMBER($F157),$E157&gt;$F157),"Inicio posterior a fecha límite"&amp;" · ","")&amp;IF(AND($S157="Macro",$G157=""),"Peso vacío"&amp;" · ","")&amp;IF(AND($S157="Macro",$G157&lt;&gt;"",OR(NOT(ISNUMBER($G157)),$G157&lt;=0,$G157&gt;1)),"Peso fuera de rango"&amp;" · ","")&amp;IF(AND($S157="Sub",$G157&lt;&gt;""),"Las subactividades no llevan peso"&amp;" · ","")&amp;IF(AND($S157="Macro",ABS(SUMIFS($G$5:$G$1000,$P$5:$P$1000,$P157,$S$5:$S$1000,"Macro")-1)&gt;0.0001),"Pesos del mes suman "&amp;TEXT(SUMIFS($G$5:$G$1000,$P$5:$P$1000,$P157,$S$5:$S$1000,"Macro"),"0%")&amp;" · ","")&amp;IF(AND(N($T157)&gt;0,COUNT($H157:$K157)&gt;0),"Con subactividades: deje vacías las semanas (se calculan solas)"&amp;" · ","")&amp;IF((COUNTIF($H157:$K157,"&gt;1")+COUNTIF($H157:$K157,"&lt;0")+COUNTA($H157:$K157)-COUNT($H157:$K157))&gt;0,"Avance fuera de rango 0-100%"&amp;" · ","")&amp;IF(OR(AND($I157&lt;&gt;"",$I157&lt;$H157),AND($J157&lt;&gt;"",$J157&lt;MAX($H157:$I157)),AND($K157&lt;&gt;"",$K157&lt;MAX($H157:$J157))),"Avance semanal decreciente"&amp;" · ","")&amp;IF(AND(ISNUMBER($F157),$F157&lt;FechaRef,N($L157)&lt;1),"Vencida"&amp;" · ","")&amp;IF(AND(ObsObligatoria="Sí",ISNUMBER($F157),$F157&lt;FechaRef,N($L157)&lt;1,$N157=""),"Vencida sin observación"&amp;" · ",""))="","✔ OK","⚠ "&amp;LEFT(IF(AND($S157="Macro",$B157=""),"Macroactividad vacía"&amp;" · ","")&amp;IF(AND($B157&lt;&gt;"",$C157&lt;&gt;""),"Escriba la subactividad en otra fila, debajo de su macroactividad"&amp;" · ","")&amp;IF(AND($S157="Sub",N($R157)=0),"Subactividad sin macroactividad arriba"&amp;" · ","")&amp;IF($D157="","Sin responsable"&amp;" · ","")&amp;IF($E157="","Sin fecha de inicio"&amp;" · ","")&amp;IF($F157="","Sin fecha límite"&amp;" · ","")&amp;IF(OR(AND($E157&lt;&gt;"",NOT(ISNUMBER($E157))),AND($F157&lt;&gt;"",NOT(ISNUMBER($F157)))),"Fecha no válida"&amp;" · ","")&amp;IF(AND(ISNUMBER($E157),ISNUMBER($F157),$E157&gt;$F157),"Inicio posterior a fecha límite"&amp;" · ","")&amp;IF(AND($S157="Macro",$G157=""),"Peso vacío"&amp;" · ","")&amp;IF(AND($S157="Macro",$G157&lt;&gt;"",OR(NOT(ISNUMBER($G157)),$G157&lt;=0,$G157&gt;1)),"Peso fuera de rango"&amp;" · ","")&amp;IF(AND($S157="Sub",$G157&lt;&gt;""),"Las subactividades no llevan peso"&amp;" · ","")&amp;IF(AND($S157="Macro",ABS(SUMIFS($G$5:$G$1000,$P$5:$P$1000,$P157,$S$5:$S$1000,"Macro")-1)&gt;0.0001),"Pesos del mes suman "&amp;TEXT(SUMIFS($G$5:$G$1000,$P$5:$P$1000,$P157,$S$5:$S$1000,"Macro"),"0%")&amp;" · ","")&amp;IF(AND(N($T157)&gt;0,COUNT($H157:$K157)&gt;0),"Con subactividades: deje vacías las semanas (se calculan solas)"&amp;" · ","")&amp;IF((COUNTIF($H157:$K157,"&gt;1")+COUNTIF($H157:$K157,"&lt;0")+COUNTA($H157:$K157)-COUNT($H157:$K157))&gt;0,"Avance fuera de rango 0-100%"&amp;" · ","")&amp;IF(OR(AND($I157&lt;&gt;"",$I157&lt;$H157),AND($J157&lt;&gt;"",$J157&lt;MAX($H157:$I157)),AND($K157&lt;&gt;"",$K157&lt;MAX($H157:$J157))),"Avance semanal decreciente"&amp;" · ","")&amp;IF(AND(ISNUMBER($F157),$F157&lt;FechaRef,N($L157)&lt;1),"Vencida"&amp;" · ","")&amp;IF(AND(ObsObligatoria="Sí",ISNUMBER($F157),$F157&lt;FechaRef,N($L157)&lt;1,$N157=""),"Vencida sin observación"&amp;" · ",""),LEN(IF(AND($S157="Macro",$B157=""),"Macroactividad vacía"&amp;" · ","")&amp;IF(AND($B157&lt;&gt;"",$C157&lt;&gt;""),"Escriba la subactividad en otra fila, debajo de su macroactividad"&amp;" · ","")&amp;IF(AND($S157="Sub",N($R157)=0),"Subactividad sin macroactividad arriba"&amp;" · ","")&amp;IF($D157="","Sin responsable"&amp;" · ","")&amp;IF($E157="","Sin fecha de inicio"&amp;" · ","")&amp;IF($F157="","Sin fecha límite"&amp;" · ","")&amp;IF(OR(AND($E157&lt;&gt;"",NOT(ISNUMBER($E157))),AND($F157&lt;&gt;"",NOT(ISNUMBER($F157)))),"Fecha no válida"&amp;" · ","")&amp;IF(AND(ISNUMBER($E157),ISNUMBER($F157),$E157&gt;$F157),"Inicio posterior a fecha límite"&amp;" · ","")&amp;IF(AND($S157="Macro",$G157=""),"Peso vacío"&amp;" · ","")&amp;IF(AND($S157="Macro",$G157&lt;&gt;"",OR(NOT(ISNUMBER($G157)),$G157&lt;=0,$G157&gt;1)),"Peso fuera de rango"&amp;" · ","")&amp;IF(AND($S157="Sub",$G157&lt;&gt;""),"Las subactividades no llevan peso"&amp;" · ","")&amp;IF(AND($S157="Macro",ABS(SUMIFS($G$5:$G$1000,$P$5:$P$1000,$P157,$S$5:$S$1000,"Macro")-1)&gt;0.0001),"Pesos del mes suman "&amp;TEXT(SUMIFS($G$5:$G$1000,$P$5:$P$1000,$P157,$S$5:$S$1000,"Macro"),"0%")&amp;" · ","")&amp;IF(AND(N($T157)&gt;0,COUNT($H157:$K157)&gt;0),"Con subactividades: deje vacías las semanas (se calculan solas)"&amp;" · ","")&amp;IF((COUNTIF($H157:$K157,"&gt;1")+COUNTIF($H157:$K157,"&lt;0")+COUNTA($H157:$K157)-COUNT($H157:$K157))&gt;0,"Avance fuera de rango 0-100%"&amp;" · ","")&amp;IF(OR(AND($I157&lt;&gt;"",$I157&lt;$H157),AND($J157&lt;&gt;"",$J157&lt;MAX($H157:$I157)),AND($K157&lt;&gt;"",$K157&lt;MAX($H157:$J157))),"Avance semanal decreciente"&amp;" · ","")&amp;IF(AND(ISNUMBER($F157),$F157&lt;FechaRef,N($L157)&lt;1),"Vencida"&amp;" · ","")&amp;IF(AND(ObsObligatoria="Sí",ISNUMBER($F157),$F157&lt;FechaRef,N($L157)&lt;1,$N157=""),"Vencida sin observación"&amp;" · ",""))-3)))</f>
        <v/>
      </c>
      <c r="P157" s="69">
        <f>IF(NOT((COUNTA($B157:$K157)+COUNTA($N157))&gt;0),"",IF(AND($S157="Sub",N($R157)&gt;0),IF(ISNUMBER(INDEX($E$5:$E$1000,$R157-4)),DATE(YEAR(INDEX($E$5:$E$1000,$R157-4)),MONTH(INDEX($E$5:$E$1000,$R157-4)),1),IF(ISNUMBER(INDEX($F$5:$F$1000,$R157-4)),DATE(YEAR(INDEX($F$5:$F$1000,$R157-4)),MONTH(INDEX($F$5:$F$1000,$R157-4)),1),MesCiclo)),IF(ISNUMBER($E157),DATE(YEAR($E157),MONTH($E157),1),IF(ISNUMBER($F157),DATE(YEAR($F157),MONTH($F157),1),MesCiclo))))</f>
        <v/>
      </c>
      <c r="Q157" s="70">
        <f>IF(OR($P157="",$P157&lt;&gt;MesCiclo),"",COUNTIF($P$5:$P157,MesCiclo))</f>
        <v/>
      </c>
      <c r="R157" s="70">
        <f>IF($S157="","",IF($S157="Macro",ROW(),IFERROR(LOOKUP(2,1/($S$5:$S157="Macro"),ROW($S$5:$S157)),0)))</f>
        <v/>
      </c>
      <c r="S157" s="70">
        <f>IF(NOT((COUNTA($B157:$K157)+COUNTA($N157))&gt;0),"",IF($B157&lt;&gt;"","Macro",IF($C157&lt;&gt;"","Sub","Macro")))</f>
        <v/>
      </c>
      <c r="T157" s="70">
        <f>IF($S157="Macro",COUNTIFS($R$5:$R$1000,ROW(),$S$5:$S$1000,"Sub"),"")</f>
        <v/>
      </c>
      <c r="U157" s="70">
        <f>IF($S157="","",IF(ISNUMBER($H157),$H157,0))</f>
        <v/>
      </c>
      <c r="V157" s="70">
        <f>IF($S157="","",IF(ISNUMBER($I157),$I157,$U157))</f>
        <v/>
      </c>
      <c r="W157" s="70">
        <f>IF($S157="","",IF(ISNUMBER($J157),$J157,$V157))</f>
        <v/>
      </c>
      <c r="X157" s="70">
        <f>IF($S157="","",IF(ISNUMBER($K157),$K157,$W157))</f>
        <v/>
      </c>
      <c r="Y157" s="70">
        <f>IF($S157="","",IF(N($T157)&gt;0,AVERAGEIFS($U$5:$U$1000,$R$5:$R$1000,ROW(),$S$5:$S$1000,"Sub"),$U157))</f>
        <v/>
      </c>
      <c r="Z157" s="70">
        <f>IF($S157="","",IF(N($T157)&gt;0,AVERAGEIFS($V$5:$V$1000,$R$5:$R$1000,ROW(),$S$5:$S$1000,"Sub"),$V157))</f>
        <v/>
      </c>
      <c r="AA157" s="70">
        <f>IF($S157="","",IF(N($T157)&gt;0,AVERAGEIFS($W$5:$W$1000,$R$5:$R$1000,ROW(),$S$5:$S$1000,"Sub"),$W157))</f>
        <v/>
      </c>
      <c r="AB157" s="70">
        <f>IF($S157="","",IF(N($T157)&gt;0,AVERAGEIFS($X$5:$X$1000,$R$5:$R$1000,ROW(),$S$5:$S$1000,"Sub"),$X157))</f>
        <v/>
      </c>
    </row>
    <row r="158">
      <c r="A158" s="61">
        <f>IF(NOT((COUNTA($B158:$K158)+COUNTA($N158))&gt;0),"",IF($S158="Macro",COUNTIFS($S$5:$S158,"Macro",$P$5:$P158,$P158),IF(N($R158)=0,"?",COUNTIFS(INDEX($S$5:$S$1000,1):INDEX($S$5:$S$1000,$R158-4),"Macro",INDEX($P$5:$P$1000,1):INDEX($P$5:$P$1000,$R158-4),INDEX($P$5:$P$1000,$R158-4))&amp;"."&amp;COUNTIFS($R$5:$R158,$R158,$S$5:$S158,"Sub"))))</f>
        <v/>
      </c>
      <c r="B158" s="62" t="n"/>
      <c r="C158" s="63" t="n"/>
      <c r="D158" s="62" t="n"/>
      <c r="E158" s="64" t="n"/>
      <c r="F158" s="64" t="n"/>
      <c r="G158" s="65" t="n"/>
      <c r="H158" s="66" t="n"/>
      <c r="I158" s="66" t="n"/>
      <c r="J158" s="66" t="n"/>
      <c r="K158" s="66" t="n"/>
      <c r="L158" s="67">
        <f>IF(NOT((COUNTA($B158:$K158)+COUNTA($N158))&gt;0),"",IF(N($T158)&gt;0,$AB158,IFERROR(LOOKUP(2,1/(H158:K158&lt;&gt;""),H158:K158),0)))</f>
        <v/>
      </c>
      <c r="M158" s="61">
        <f>IF(L158="","",IF(L158&gt;=1,"Completado",IF(L158&gt;0,"En curso","Pendiente")))</f>
        <v/>
      </c>
      <c r="N158" s="62" t="n"/>
      <c r="O158" s="68">
        <f>IF(NOT((COUNTA($B158:$K158)+COUNTA($N158))&gt;0),"",IF((IF(AND($S158="Macro",$B158=""),"Macroactividad vacía"&amp;" · ","")&amp;IF(AND($B158&lt;&gt;"",$C158&lt;&gt;""),"Escriba la subactividad en otra fila, debajo de su macroactividad"&amp;" · ","")&amp;IF(AND($S158="Sub",N($R158)=0),"Subactividad sin macroactividad arriba"&amp;" · ","")&amp;IF($D158="","Sin responsable"&amp;" · ","")&amp;IF($E158="","Sin fecha de inicio"&amp;" · ","")&amp;IF($F158="","Sin fecha límite"&amp;" · ","")&amp;IF(OR(AND($E158&lt;&gt;"",NOT(ISNUMBER($E158))),AND($F158&lt;&gt;"",NOT(ISNUMBER($F158)))),"Fecha no válida"&amp;" · ","")&amp;IF(AND(ISNUMBER($E158),ISNUMBER($F158),$E158&gt;$F158),"Inicio posterior a fecha límite"&amp;" · ","")&amp;IF(AND($S158="Macro",$G158=""),"Peso vacío"&amp;" · ","")&amp;IF(AND($S158="Macro",$G158&lt;&gt;"",OR(NOT(ISNUMBER($G158)),$G158&lt;=0,$G158&gt;1)),"Peso fuera de rango"&amp;" · ","")&amp;IF(AND($S158="Sub",$G158&lt;&gt;""),"Las subactividades no llevan peso"&amp;" · ","")&amp;IF(AND($S158="Macro",ABS(SUMIFS($G$5:$G$1000,$P$5:$P$1000,$P158,$S$5:$S$1000,"Macro")-1)&gt;0.0001),"Pesos del mes suman "&amp;TEXT(SUMIFS($G$5:$G$1000,$P$5:$P$1000,$P158,$S$5:$S$1000,"Macro"),"0%")&amp;" · ","")&amp;IF(AND(N($T158)&gt;0,COUNT($H158:$K158)&gt;0),"Con subactividades: deje vacías las semanas (se calculan solas)"&amp;" · ","")&amp;IF((COUNTIF($H158:$K158,"&gt;1")+COUNTIF($H158:$K158,"&lt;0")+COUNTA($H158:$K158)-COUNT($H158:$K158))&gt;0,"Avance fuera de rango 0-100%"&amp;" · ","")&amp;IF(OR(AND($I158&lt;&gt;"",$I158&lt;$H158),AND($J158&lt;&gt;"",$J158&lt;MAX($H158:$I158)),AND($K158&lt;&gt;"",$K158&lt;MAX($H158:$J158))),"Avance semanal decreciente"&amp;" · ","")&amp;IF(AND(ISNUMBER($F158),$F158&lt;FechaRef,N($L158)&lt;1),"Vencida"&amp;" · ","")&amp;IF(AND(ObsObligatoria="Sí",ISNUMBER($F158),$F158&lt;FechaRef,N($L158)&lt;1,$N158=""),"Vencida sin observación"&amp;" · ",""))="","✔ OK","⚠ "&amp;LEFT(IF(AND($S158="Macro",$B158=""),"Macroactividad vacía"&amp;" · ","")&amp;IF(AND($B158&lt;&gt;"",$C158&lt;&gt;""),"Escriba la subactividad en otra fila, debajo de su macroactividad"&amp;" · ","")&amp;IF(AND($S158="Sub",N($R158)=0),"Subactividad sin macroactividad arriba"&amp;" · ","")&amp;IF($D158="","Sin responsable"&amp;" · ","")&amp;IF($E158="","Sin fecha de inicio"&amp;" · ","")&amp;IF($F158="","Sin fecha límite"&amp;" · ","")&amp;IF(OR(AND($E158&lt;&gt;"",NOT(ISNUMBER($E158))),AND($F158&lt;&gt;"",NOT(ISNUMBER($F158)))),"Fecha no válida"&amp;" · ","")&amp;IF(AND(ISNUMBER($E158),ISNUMBER($F158),$E158&gt;$F158),"Inicio posterior a fecha límite"&amp;" · ","")&amp;IF(AND($S158="Macro",$G158=""),"Peso vacío"&amp;" · ","")&amp;IF(AND($S158="Macro",$G158&lt;&gt;"",OR(NOT(ISNUMBER($G158)),$G158&lt;=0,$G158&gt;1)),"Peso fuera de rango"&amp;" · ","")&amp;IF(AND($S158="Sub",$G158&lt;&gt;""),"Las subactividades no llevan peso"&amp;" · ","")&amp;IF(AND($S158="Macro",ABS(SUMIFS($G$5:$G$1000,$P$5:$P$1000,$P158,$S$5:$S$1000,"Macro")-1)&gt;0.0001),"Pesos del mes suman "&amp;TEXT(SUMIFS($G$5:$G$1000,$P$5:$P$1000,$P158,$S$5:$S$1000,"Macro"),"0%")&amp;" · ","")&amp;IF(AND(N($T158)&gt;0,COUNT($H158:$K158)&gt;0),"Con subactividades: deje vacías las semanas (se calculan solas)"&amp;" · ","")&amp;IF((COUNTIF($H158:$K158,"&gt;1")+COUNTIF($H158:$K158,"&lt;0")+COUNTA($H158:$K158)-COUNT($H158:$K158))&gt;0,"Avance fuera de rango 0-100%"&amp;" · ","")&amp;IF(OR(AND($I158&lt;&gt;"",$I158&lt;$H158),AND($J158&lt;&gt;"",$J158&lt;MAX($H158:$I158)),AND($K158&lt;&gt;"",$K158&lt;MAX($H158:$J158))),"Avance semanal decreciente"&amp;" · ","")&amp;IF(AND(ISNUMBER($F158),$F158&lt;FechaRef,N($L158)&lt;1),"Vencida"&amp;" · ","")&amp;IF(AND(ObsObligatoria="Sí",ISNUMBER($F158),$F158&lt;FechaRef,N($L158)&lt;1,$N158=""),"Vencida sin observación"&amp;" · ",""),LEN(IF(AND($S158="Macro",$B158=""),"Macroactividad vacía"&amp;" · ","")&amp;IF(AND($B158&lt;&gt;"",$C158&lt;&gt;""),"Escriba la subactividad en otra fila, debajo de su macroactividad"&amp;" · ","")&amp;IF(AND($S158="Sub",N($R158)=0),"Subactividad sin macroactividad arriba"&amp;" · ","")&amp;IF($D158="","Sin responsable"&amp;" · ","")&amp;IF($E158="","Sin fecha de inicio"&amp;" · ","")&amp;IF($F158="","Sin fecha límite"&amp;" · ","")&amp;IF(OR(AND($E158&lt;&gt;"",NOT(ISNUMBER($E158))),AND($F158&lt;&gt;"",NOT(ISNUMBER($F158)))),"Fecha no válida"&amp;" · ","")&amp;IF(AND(ISNUMBER($E158),ISNUMBER($F158),$E158&gt;$F158),"Inicio posterior a fecha límite"&amp;" · ","")&amp;IF(AND($S158="Macro",$G158=""),"Peso vacío"&amp;" · ","")&amp;IF(AND($S158="Macro",$G158&lt;&gt;"",OR(NOT(ISNUMBER($G158)),$G158&lt;=0,$G158&gt;1)),"Peso fuera de rango"&amp;" · ","")&amp;IF(AND($S158="Sub",$G158&lt;&gt;""),"Las subactividades no llevan peso"&amp;" · ","")&amp;IF(AND($S158="Macro",ABS(SUMIFS($G$5:$G$1000,$P$5:$P$1000,$P158,$S$5:$S$1000,"Macro")-1)&gt;0.0001),"Pesos del mes suman "&amp;TEXT(SUMIFS($G$5:$G$1000,$P$5:$P$1000,$P158,$S$5:$S$1000,"Macro"),"0%")&amp;" · ","")&amp;IF(AND(N($T158)&gt;0,COUNT($H158:$K158)&gt;0),"Con subactividades: deje vacías las semanas (se calculan solas)"&amp;" · ","")&amp;IF((COUNTIF($H158:$K158,"&gt;1")+COUNTIF($H158:$K158,"&lt;0")+COUNTA($H158:$K158)-COUNT($H158:$K158))&gt;0,"Avance fuera de rango 0-100%"&amp;" · ","")&amp;IF(OR(AND($I158&lt;&gt;"",$I158&lt;$H158),AND($J158&lt;&gt;"",$J158&lt;MAX($H158:$I158)),AND($K158&lt;&gt;"",$K158&lt;MAX($H158:$J158))),"Avance semanal decreciente"&amp;" · ","")&amp;IF(AND(ISNUMBER($F158),$F158&lt;FechaRef,N($L158)&lt;1),"Vencida"&amp;" · ","")&amp;IF(AND(ObsObligatoria="Sí",ISNUMBER($F158),$F158&lt;FechaRef,N($L158)&lt;1,$N158=""),"Vencida sin observación"&amp;" · ",""))-3)))</f>
        <v/>
      </c>
      <c r="P158" s="69">
        <f>IF(NOT((COUNTA($B158:$K158)+COUNTA($N158))&gt;0),"",IF(AND($S158="Sub",N($R158)&gt;0),IF(ISNUMBER(INDEX($E$5:$E$1000,$R158-4)),DATE(YEAR(INDEX($E$5:$E$1000,$R158-4)),MONTH(INDEX($E$5:$E$1000,$R158-4)),1),IF(ISNUMBER(INDEX($F$5:$F$1000,$R158-4)),DATE(YEAR(INDEX($F$5:$F$1000,$R158-4)),MONTH(INDEX($F$5:$F$1000,$R158-4)),1),MesCiclo)),IF(ISNUMBER($E158),DATE(YEAR($E158),MONTH($E158),1),IF(ISNUMBER($F158),DATE(YEAR($F158),MONTH($F158),1),MesCiclo))))</f>
        <v/>
      </c>
      <c r="Q158" s="70">
        <f>IF(OR($P158="",$P158&lt;&gt;MesCiclo),"",COUNTIF($P$5:$P158,MesCiclo))</f>
        <v/>
      </c>
      <c r="R158" s="70">
        <f>IF($S158="","",IF($S158="Macro",ROW(),IFERROR(LOOKUP(2,1/($S$5:$S158="Macro"),ROW($S$5:$S158)),0)))</f>
        <v/>
      </c>
      <c r="S158" s="70">
        <f>IF(NOT((COUNTA($B158:$K158)+COUNTA($N158))&gt;0),"",IF($B158&lt;&gt;"","Macro",IF($C158&lt;&gt;"","Sub","Macro")))</f>
        <v/>
      </c>
      <c r="T158" s="70">
        <f>IF($S158="Macro",COUNTIFS($R$5:$R$1000,ROW(),$S$5:$S$1000,"Sub"),"")</f>
        <v/>
      </c>
      <c r="U158" s="70">
        <f>IF($S158="","",IF(ISNUMBER($H158),$H158,0))</f>
        <v/>
      </c>
      <c r="V158" s="70">
        <f>IF($S158="","",IF(ISNUMBER($I158),$I158,$U158))</f>
        <v/>
      </c>
      <c r="W158" s="70">
        <f>IF($S158="","",IF(ISNUMBER($J158),$J158,$V158))</f>
        <v/>
      </c>
      <c r="X158" s="70">
        <f>IF($S158="","",IF(ISNUMBER($K158),$K158,$W158))</f>
        <v/>
      </c>
      <c r="Y158" s="70">
        <f>IF($S158="","",IF(N($T158)&gt;0,AVERAGEIFS($U$5:$U$1000,$R$5:$R$1000,ROW(),$S$5:$S$1000,"Sub"),$U158))</f>
        <v/>
      </c>
      <c r="Z158" s="70">
        <f>IF($S158="","",IF(N($T158)&gt;0,AVERAGEIFS($V$5:$V$1000,$R$5:$R$1000,ROW(),$S$5:$S$1000,"Sub"),$V158))</f>
        <v/>
      </c>
      <c r="AA158" s="70">
        <f>IF($S158="","",IF(N($T158)&gt;0,AVERAGEIFS($W$5:$W$1000,$R$5:$R$1000,ROW(),$S$5:$S$1000,"Sub"),$W158))</f>
        <v/>
      </c>
      <c r="AB158" s="70">
        <f>IF($S158="","",IF(N($T158)&gt;0,AVERAGEIFS($X$5:$X$1000,$R$5:$R$1000,ROW(),$S$5:$S$1000,"Sub"),$X158))</f>
        <v/>
      </c>
    </row>
    <row r="159">
      <c r="A159" s="61">
        <f>IF(NOT((COUNTA($B159:$K159)+COUNTA($N159))&gt;0),"",IF($S159="Macro",COUNTIFS($S$5:$S159,"Macro",$P$5:$P159,$P159),IF(N($R159)=0,"?",COUNTIFS(INDEX($S$5:$S$1000,1):INDEX($S$5:$S$1000,$R159-4),"Macro",INDEX($P$5:$P$1000,1):INDEX($P$5:$P$1000,$R159-4),INDEX($P$5:$P$1000,$R159-4))&amp;"."&amp;COUNTIFS($R$5:$R159,$R159,$S$5:$S159,"Sub"))))</f>
        <v/>
      </c>
      <c r="B159" s="62" t="n"/>
      <c r="C159" s="63" t="n"/>
      <c r="D159" s="62" t="n"/>
      <c r="E159" s="64" t="n"/>
      <c r="F159" s="64" t="n"/>
      <c r="G159" s="65" t="n"/>
      <c r="H159" s="66" t="n"/>
      <c r="I159" s="66" t="n"/>
      <c r="J159" s="66" t="n"/>
      <c r="K159" s="66" t="n"/>
      <c r="L159" s="67">
        <f>IF(NOT((COUNTA($B159:$K159)+COUNTA($N159))&gt;0),"",IF(N($T159)&gt;0,$AB159,IFERROR(LOOKUP(2,1/(H159:K159&lt;&gt;""),H159:K159),0)))</f>
        <v/>
      </c>
      <c r="M159" s="61">
        <f>IF(L159="","",IF(L159&gt;=1,"Completado",IF(L159&gt;0,"En curso","Pendiente")))</f>
        <v/>
      </c>
      <c r="N159" s="62" t="n"/>
      <c r="O159" s="68">
        <f>IF(NOT((COUNTA($B159:$K159)+COUNTA($N159))&gt;0),"",IF((IF(AND($S159="Macro",$B159=""),"Macroactividad vacía"&amp;" · ","")&amp;IF(AND($B159&lt;&gt;"",$C159&lt;&gt;""),"Escriba la subactividad en otra fila, debajo de su macroactividad"&amp;" · ","")&amp;IF(AND($S159="Sub",N($R159)=0),"Subactividad sin macroactividad arriba"&amp;" · ","")&amp;IF($D159="","Sin responsable"&amp;" · ","")&amp;IF($E159="","Sin fecha de inicio"&amp;" · ","")&amp;IF($F159="","Sin fecha límite"&amp;" · ","")&amp;IF(OR(AND($E159&lt;&gt;"",NOT(ISNUMBER($E159))),AND($F159&lt;&gt;"",NOT(ISNUMBER($F159)))),"Fecha no válida"&amp;" · ","")&amp;IF(AND(ISNUMBER($E159),ISNUMBER($F159),$E159&gt;$F159),"Inicio posterior a fecha límite"&amp;" · ","")&amp;IF(AND($S159="Macro",$G159=""),"Peso vacío"&amp;" · ","")&amp;IF(AND($S159="Macro",$G159&lt;&gt;"",OR(NOT(ISNUMBER($G159)),$G159&lt;=0,$G159&gt;1)),"Peso fuera de rango"&amp;" · ","")&amp;IF(AND($S159="Sub",$G159&lt;&gt;""),"Las subactividades no llevan peso"&amp;" · ","")&amp;IF(AND($S159="Macro",ABS(SUMIFS($G$5:$G$1000,$P$5:$P$1000,$P159,$S$5:$S$1000,"Macro")-1)&gt;0.0001),"Pesos del mes suman "&amp;TEXT(SUMIFS($G$5:$G$1000,$P$5:$P$1000,$P159,$S$5:$S$1000,"Macro"),"0%")&amp;" · ","")&amp;IF(AND(N($T159)&gt;0,COUNT($H159:$K159)&gt;0),"Con subactividades: deje vacías las semanas (se calculan solas)"&amp;" · ","")&amp;IF((COUNTIF($H159:$K159,"&gt;1")+COUNTIF($H159:$K159,"&lt;0")+COUNTA($H159:$K159)-COUNT($H159:$K159))&gt;0,"Avance fuera de rango 0-100%"&amp;" · ","")&amp;IF(OR(AND($I159&lt;&gt;"",$I159&lt;$H159),AND($J159&lt;&gt;"",$J159&lt;MAX($H159:$I159)),AND($K159&lt;&gt;"",$K159&lt;MAX($H159:$J159))),"Avance semanal decreciente"&amp;" · ","")&amp;IF(AND(ISNUMBER($F159),$F159&lt;FechaRef,N($L159)&lt;1),"Vencida"&amp;" · ","")&amp;IF(AND(ObsObligatoria="Sí",ISNUMBER($F159),$F159&lt;FechaRef,N($L159)&lt;1,$N159=""),"Vencida sin observación"&amp;" · ",""))="","✔ OK","⚠ "&amp;LEFT(IF(AND($S159="Macro",$B159=""),"Macroactividad vacía"&amp;" · ","")&amp;IF(AND($B159&lt;&gt;"",$C159&lt;&gt;""),"Escriba la subactividad en otra fila, debajo de su macroactividad"&amp;" · ","")&amp;IF(AND($S159="Sub",N($R159)=0),"Subactividad sin macroactividad arriba"&amp;" · ","")&amp;IF($D159="","Sin responsable"&amp;" · ","")&amp;IF($E159="","Sin fecha de inicio"&amp;" · ","")&amp;IF($F159="","Sin fecha límite"&amp;" · ","")&amp;IF(OR(AND($E159&lt;&gt;"",NOT(ISNUMBER($E159))),AND($F159&lt;&gt;"",NOT(ISNUMBER($F159)))),"Fecha no válida"&amp;" · ","")&amp;IF(AND(ISNUMBER($E159),ISNUMBER($F159),$E159&gt;$F159),"Inicio posterior a fecha límite"&amp;" · ","")&amp;IF(AND($S159="Macro",$G159=""),"Peso vacío"&amp;" · ","")&amp;IF(AND($S159="Macro",$G159&lt;&gt;"",OR(NOT(ISNUMBER($G159)),$G159&lt;=0,$G159&gt;1)),"Peso fuera de rango"&amp;" · ","")&amp;IF(AND($S159="Sub",$G159&lt;&gt;""),"Las subactividades no llevan peso"&amp;" · ","")&amp;IF(AND($S159="Macro",ABS(SUMIFS($G$5:$G$1000,$P$5:$P$1000,$P159,$S$5:$S$1000,"Macro")-1)&gt;0.0001),"Pesos del mes suman "&amp;TEXT(SUMIFS($G$5:$G$1000,$P$5:$P$1000,$P159,$S$5:$S$1000,"Macro"),"0%")&amp;" · ","")&amp;IF(AND(N($T159)&gt;0,COUNT($H159:$K159)&gt;0),"Con subactividades: deje vacías las semanas (se calculan solas)"&amp;" · ","")&amp;IF((COUNTIF($H159:$K159,"&gt;1")+COUNTIF($H159:$K159,"&lt;0")+COUNTA($H159:$K159)-COUNT($H159:$K159))&gt;0,"Avance fuera de rango 0-100%"&amp;" · ","")&amp;IF(OR(AND($I159&lt;&gt;"",$I159&lt;$H159),AND($J159&lt;&gt;"",$J159&lt;MAX($H159:$I159)),AND($K159&lt;&gt;"",$K159&lt;MAX($H159:$J159))),"Avance semanal decreciente"&amp;" · ","")&amp;IF(AND(ISNUMBER($F159),$F159&lt;FechaRef,N($L159)&lt;1),"Vencida"&amp;" · ","")&amp;IF(AND(ObsObligatoria="Sí",ISNUMBER($F159),$F159&lt;FechaRef,N($L159)&lt;1,$N159=""),"Vencida sin observación"&amp;" · ",""),LEN(IF(AND($S159="Macro",$B159=""),"Macroactividad vacía"&amp;" · ","")&amp;IF(AND($B159&lt;&gt;"",$C159&lt;&gt;""),"Escriba la subactividad en otra fila, debajo de su macroactividad"&amp;" · ","")&amp;IF(AND($S159="Sub",N($R159)=0),"Subactividad sin macroactividad arriba"&amp;" · ","")&amp;IF($D159="","Sin responsable"&amp;" · ","")&amp;IF($E159="","Sin fecha de inicio"&amp;" · ","")&amp;IF($F159="","Sin fecha límite"&amp;" · ","")&amp;IF(OR(AND($E159&lt;&gt;"",NOT(ISNUMBER($E159))),AND($F159&lt;&gt;"",NOT(ISNUMBER($F159)))),"Fecha no válida"&amp;" · ","")&amp;IF(AND(ISNUMBER($E159),ISNUMBER($F159),$E159&gt;$F159),"Inicio posterior a fecha límite"&amp;" · ","")&amp;IF(AND($S159="Macro",$G159=""),"Peso vacío"&amp;" · ","")&amp;IF(AND($S159="Macro",$G159&lt;&gt;"",OR(NOT(ISNUMBER($G159)),$G159&lt;=0,$G159&gt;1)),"Peso fuera de rango"&amp;" · ","")&amp;IF(AND($S159="Sub",$G159&lt;&gt;""),"Las subactividades no llevan peso"&amp;" · ","")&amp;IF(AND($S159="Macro",ABS(SUMIFS($G$5:$G$1000,$P$5:$P$1000,$P159,$S$5:$S$1000,"Macro")-1)&gt;0.0001),"Pesos del mes suman "&amp;TEXT(SUMIFS($G$5:$G$1000,$P$5:$P$1000,$P159,$S$5:$S$1000,"Macro"),"0%")&amp;" · ","")&amp;IF(AND(N($T159)&gt;0,COUNT($H159:$K159)&gt;0),"Con subactividades: deje vacías las semanas (se calculan solas)"&amp;" · ","")&amp;IF((COUNTIF($H159:$K159,"&gt;1")+COUNTIF($H159:$K159,"&lt;0")+COUNTA($H159:$K159)-COUNT($H159:$K159))&gt;0,"Avance fuera de rango 0-100%"&amp;" · ","")&amp;IF(OR(AND($I159&lt;&gt;"",$I159&lt;$H159),AND($J159&lt;&gt;"",$J159&lt;MAX($H159:$I159)),AND($K159&lt;&gt;"",$K159&lt;MAX($H159:$J159))),"Avance semanal decreciente"&amp;" · ","")&amp;IF(AND(ISNUMBER($F159),$F159&lt;FechaRef,N($L159)&lt;1),"Vencida"&amp;" · ","")&amp;IF(AND(ObsObligatoria="Sí",ISNUMBER($F159),$F159&lt;FechaRef,N($L159)&lt;1,$N159=""),"Vencida sin observación"&amp;" · ",""))-3)))</f>
        <v/>
      </c>
      <c r="P159" s="69">
        <f>IF(NOT((COUNTA($B159:$K159)+COUNTA($N159))&gt;0),"",IF(AND($S159="Sub",N($R159)&gt;0),IF(ISNUMBER(INDEX($E$5:$E$1000,$R159-4)),DATE(YEAR(INDEX($E$5:$E$1000,$R159-4)),MONTH(INDEX($E$5:$E$1000,$R159-4)),1),IF(ISNUMBER(INDEX($F$5:$F$1000,$R159-4)),DATE(YEAR(INDEX($F$5:$F$1000,$R159-4)),MONTH(INDEX($F$5:$F$1000,$R159-4)),1),MesCiclo)),IF(ISNUMBER($E159),DATE(YEAR($E159),MONTH($E159),1),IF(ISNUMBER($F159),DATE(YEAR($F159),MONTH($F159),1),MesCiclo))))</f>
        <v/>
      </c>
      <c r="Q159" s="70">
        <f>IF(OR($P159="",$P159&lt;&gt;MesCiclo),"",COUNTIF($P$5:$P159,MesCiclo))</f>
        <v/>
      </c>
      <c r="R159" s="70">
        <f>IF($S159="","",IF($S159="Macro",ROW(),IFERROR(LOOKUP(2,1/($S$5:$S159="Macro"),ROW($S$5:$S159)),0)))</f>
        <v/>
      </c>
      <c r="S159" s="70">
        <f>IF(NOT((COUNTA($B159:$K159)+COUNTA($N159))&gt;0),"",IF($B159&lt;&gt;"","Macro",IF($C159&lt;&gt;"","Sub","Macro")))</f>
        <v/>
      </c>
      <c r="T159" s="70">
        <f>IF($S159="Macro",COUNTIFS($R$5:$R$1000,ROW(),$S$5:$S$1000,"Sub"),"")</f>
        <v/>
      </c>
      <c r="U159" s="70">
        <f>IF($S159="","",IF(ISNUMBER($H159),$H159,0))</f>
        <v/>
      </c>
      <c r="V159" s="70">
        <f>IF($S159="","",IF(ISNUMBER($I159),$I159,$U159))</f>
        <v/>
      </c>
      <c r="W159" s="70">
        <f>IF($S159="","",IF(ISNUMBER($J159),$J159,$V159))</f>
        <v/>
      </c>
      <c r="X159" s="70">
        <f>IF($S159="","",IF(ISNUMBER($K159),$K159,$W159))</f>
        <v/>
      </c>
      <c r="Y159" s="70">
        <f>IF($S159="","",IF(N($T159)&gt;0,AVERAGEIFS($U$5:$U$1000,$R$5:$R$1000,ROW(),$S$5:$S$1000,"Sub"),$U159))</f>
        <v/>
      </c>
      <c r="Z159" s="70">
        <f>IF($S159="","",IF(N($T159)&gt;0,AVERAGEIFS($V$5:$V$1000,$R$5:$R$1000,ROW(),$S$5:$S$1000,"Sub"),$V159))</f>
        <v/>
      </c>
      <c r="AA159" s="70">
        <f>IF($S159="","",IF(N($T159)&gt;0,AVERAGEIFS($W$5:$W$1000,$R$5:$R$1000,ROW(),$S$5:$S$1000,"Sub"),$W159))</f>
        <v/>
      </c>
      <c r="AB159" s="70">
        <f>IF($S159="","",IF(N($T159)&gt;0,AVERAGEIFS($X$5:$X$1000,$R$5:$R$1000,ROW(),$S$5:$S$1000,"Sub"),$X159))</f>
        <v/>
      </c>
    </row>
    <row r="160">
      <c r="A160" s="61">
        <f>IF(NOT((COUNTA($B160:$K160)+COUNTA($N160))&gt;0),"",IF($S160="Macro",COUNTIFS($S$5:$S160,"Macro",$P$5:$P160,$P160),IF(N($R160)=0,"?",COUNTIFS(INDEX($S$5:$S$1000,1):INDEX($S$5:$S$1000,$R160-4),"Macro",INDEX($P$5:$P$1000,1):INDEX($P$5:$P$1000,$R160-4),INDEX($P$5:$P$1000,$R160-4))&amp;"."&amp;COUNTIFS($R$5:$R160,$R160,$S$5:$S160,"Sub"))))</f>
        <v/>
      </c>
      <c r="B160" s="62" t="n"/>
      <c r="C160" s="63" t="n"/>
      <c r="D160" s="62" t="n"/>
      <c r="E160" s="64" t="n"/>
      <c r="F160" s="64" t="n"/>
      <c r="G160" s="65" t="n"/>
      <c r="H160" s="66" t="n"/>
      <c r="I160" s="66" t="n"/>
      <c r="J160" s="66" t="n"/>
      <c r="K160" s="66" t="n"/>
      <c r="L160" s="67">
        <f>IF(NOT((COUNTA($B160:$K160)+COUNTA($N160))&gt;0),"",IF(N($T160)&gt;0,$AB160,IFERROR(LOOKUP(2,1/(H160:K160&lt;&gt;""),H160:K160),0)))</f>
        <v/>
      </c>
      <c r="M160" s="61">
        <f>IF(L160="","",IF(L160&gt;=1,"Completado",IF(L160&gt;0,"En curso","Pendiente")))</f>
        <v/>
      </c>
      <c r="N160" s="62" t="n"/>
      <c r="O160" s="68">
        <f>IF(NOT((COUNTA($B160:$K160)+COUNTA($N160))&gt;0),"",IF((IF(AND($S160="Macro",$B160=""),"Macroactividad vacía"&amp;" · ","")&amp;IF(AND($B160&lt;&gt;"",$C160&lt;&gt;""),"Escriba la subactividad en otra fila, debajo de su macroactividad"&amp;" · ","")&amp;IF(AND($S160="Sub",N($R160)=0),"Subactividad sin macroactividad arriba"&amp;" · ","")&amp;IF($D160="","Sin responsable"&amp;" · ","")&amp;IF($E160="","Sin fecha de inicio"&amp;" · ","")&amp;IF($F160="","Sin fecha límite"&amp;" · ","")&amp;IF(OR(AND($E160&lt;&gt;"",NOT(ISNUMBER($E160))),AND($F160&lt;&gt;"",NOT(ISNUMBER($F160)))),"Fecha no válida"&amp;" · ","")&amp;IF(AND(ISNUMBER($E160),ISNUMBER($F160),$E160&gt;$F160),"Inicio posterior a fecha límite"&amp;" · ","")&amp;IF(AND($S160="Macro",$G160=""),"Peso vacío"&amp;" · ","")&amp;IF(AND($S160="Macro",$G160&lt;&gt;"",OR(NOT(ISNUMBER($G160)),$G160&lt;=0,$G160&gt;1)),"Peso fuera de rango"&amp;" · ","")&amp;IF(AND($S160="Sub",$G160&lt;&gt;""),"Las subactividades no llevan peso"&amp;" · ","")&amp;IF(AND($S160="Macro",ABS(SUMIFS($G$5:$G$1000,$P$5:$P$1000,$P160,$S$5:$S$1000,"Macro")-1)&gt;0.0001),"Pesos del mes suman "&amp;TEXT(SUMIFS($G$5:$G$1000,$P$5:$P$1000,$P160,$S$5:$S$1000,"Macro"),"0%")&amp;" · ","")&amp;IF(AND(N($T160)&gt;0,COUNT($H160:$K160)&gt;0),"Con subactividades: deje vacías las semanas (se calculan solas)"&amp;" · ","")&amp;IF((COUNTIF($H160:$K160,"&gt;1")+COUNTIF($H160:$K160,"&lt;0")+COUNTA($H160:$K160)-COUNT($H160:$K160))&gt;0,"Avance fuera de rango 0-100%"&amp;" · ","")&amp;IF(OR(AND($I160&lt;&gt;"",$I160&lt;$H160),AND($J160&lt;&gt;"",$J160&lt;MAX($H160:$I160)),AND($K160&lt;&gt;"",$K160&lt;MAX($H160:$J160))),"Avance semanal decreciente"&amp;" · ","")&amp;IF(AND(ISNUMBER($F160),$F160&lt;FechaRef,N($L160)&lt;1),"Vencida"&amp;" · ","")&amp;IF(AND(ObsObligatoria="Sí",ISNUMBER($F160),$F160&lt;FechaRef,N($L160)&lt;1,$N160=""),"Vencida sin observación"&amp;" · ",""))="","✔ OK","⚠ "&amp;LEFT(IF(AND($S160="Macro",$B160=""),"Macroactividad vacía"&amp;" · ","")&amp;IF(AND($B160&lt;&gt;"",$C160&lt;&gt;""),"Escriba la subactividad en otra fila, debajo de su macroactividad"&amp;" · ","")&amp;IF(AND($S160="Sub",N($R160)=0),"Subactividad sin macroactividad arriba"&amp;" · ","")&amp;IF($D160="","Sin responsable"&amp;" · ","")&amp;IF($E160="","Sin fecha de inicio"&amp;" · ","")&amp;IF($F160="","Sin fecha límite"&amp;" · ","")&amp;IF(OR(AND($E160&lt;&gt;"",NOT(ISNUMBER($E160))),AND($F160&lt;&gt;"",NOT(ISNUMBER($F160)))),"Fecha no válida"&amp;" · ","")&amp;IF(AND(ISNUMBER($E160),ISNUMBER($F160),$E160&gt;$F160),"Inicio posterior a fecha límite"&amp;" · ","")&amp;IF(AND($S160="Macro",$G160=""),"Peso vacío"&amp;" · ","")&amp;IF(AND($S160="Macro",$G160&lt;&gt;"",OR(NOT(ISNUMBER($G160)),$G160&lt;=0,$G160&gt;1)),"Peso fuera de rango"&amp;" · ","")&amp;IF(AND($S160="Sub",$G160&lt;&gt;""),"Las subactividades no llevan peso"&amp;" · ","")&amp;IF(AND($S160="Macro",ABS(SUMIFS($G$5:$G$1000,$P$5:$P$1000,$P160,$S$5:$S$1000,"Macro")-1)&gt;0.0001),"Pesos del mes suman "&amp;TEXT(SUMIFS($G$5:$G$1000,$P$5:$P$1000,$P160,$S$5:$S$1000,"Macro"),"0%")&amp;" · ","")&amp;IF(AND(N($T160)&gt;0,COUNT($H160:$K160)&gt;0),"Con subactividades: deje vacías las semanas (se calculan solas)"&amp;" · ","")&amp;IF((COUNTIF($H160:$K160,"&gt;1")+COUNTIF($H160:$K160,"&lt;0")+COUNTA($H160:$K160)-COUNT($H160:$K160))&gt;0,"Avance fuera de rango 0-100%"&amp;" · ","")&amp;IF(OR(AND($I160&lt;&gt;"",$I160&lt;$H160),AND($J160&lt;&gt;"",$J160&lt;MAX($H160:$I160)),AND($K160&lt;&gt;"",$K160&lt;MAX($H160:$J160))),"Avance semanal decreciente"&amp;" · ","")&amp;IF(AND(ISNUMBER($F160),$F160&lt;FechaRef,N($L160)&lt;1),"Vencida"&amp;" · ","")&amp;IF(AND(ObsObligatoria="Sí",ISNUMBER($F160),$F160&lt;FechaRef,N($L160)&lt;1,$N160=""),"Vencida sin observación"&amp;" · ",""),LEN(IF(AND($S160="Macro",$B160=""),"Macroactividad vacía"&amp;" · ","")&amp;IF(AND($B160&lt;&gt;"",$C160&lt;&gt;""),"Escriba la subactividad en otra fila, debajo de su macroactividad"&amp;" · ","")&amp;IF(AND($S160="Sub",N($R160)=0),"Subactividad sin macroactividad arriba"&amp;" · ","")&amp;IF($D160="","Sin responsable"&amp;" · ","")&amp;IF($E160="","Sin fecha de inicio"&amp;" · ","")&amp;IF($F160="","Sin fecha límite"&amp;" · ","")&amp;IF(OR(AND($E160&lt;&gt;"",NOT(ISNUMBER($E160))),AND($F160&lt;&gt;"",NOT(ISNUMBER($F160)))),"Fecha no válida"&amp;" · ","")&amp;IF(AND(ISNUMBER($E160),ISNUMBER($F160),$E160&gt;$F160),"Inicio posterior a fecha límite"&amp;" · ","")&amp;IF(AND($S160="Macro",$G160=""),"Peso vacío"&amp;" · ","")&amp;IF(AND($S160="Macro",$G160&lt;&gt;"",OR(NOT(ISNUMBER($G160)),$G160&lt;=0,$G160&gt;1)),"Peso fuera de rango"&amp;" · ","")&amp;IF(AND($S160="Sub",$G160&lt;&gt;""),"Las subactividades no llevan peso"&amp;" · ","")&amp;IF(AND($S160="Macro",ABS(SUMIFS($G$5:$G$1000,$P$5:$P$1000,$P160,$S$5:$S$1000,"Macro")-1)&gt;0.0001),"Pesos del mes suman "&amp;TEXT(SUMIFS($G$5:$G$1000,$P$5:$P$1000,$P160,$S$5:$S$1000,"Macro"),"0%")&amp;" · ","")&amp;IF(AND(N($T160)&gt;0,COUNT($H160:$K160)&gt;0),"Con subactividades: deje vacías las semanas (se calculan solas)"&amp;" · ","")&amp;IF((COUNTIF($H160:$K160,"&gt;1")+COUNTIF($H160:$K160,"&lt;0")+COUNTA($H160:$K160)-COUNT($H160:$K160))&gt;0,"Avance fuera de rango 0-100%"&amp;" · ","")&amp;IF(OR(AND($I160&lt;&gt;"",$I160&lt;$H160),AND($J160&lt;&gt;"",$J160&lt;MAX($H160:$I160)),AND($K160&lt;&gt;"",$K160&lt;MAX($H160:$J160))),"Avance semanal decreciente"&amp;" · ","")&amp;IF(AND(ISNUMBER($F160),$F160&lt;FechaRef,N($L160)&lt;1),"Vencida"&amp;" · ","")&amp;IF(AND(ObsObligatoria="Sí",ISNUMBER($F160),$F160&lt;FechaRef,N($L160)&lt;1,$N160=""),"Vencida sin observación"&amp;" · ",""))-3)))</f>
        <v/>
      </c>
      <c r="P160" s="69">
        <f>IF(NOT((COUNTA($B160:$K160)+COUNTA($N160))&gt;0),"",IF(AND($S160="Sub",N($R160)&gt;0),IF(ISNUMBER(INDEX($E$5:$E$1000,$R160-4)),DATE(YEAR(INDEX($E$5:$E$1000,$R160-4)),MONTH(INDEX($E$5:$E$1000,$R160-4)),1),IF(ISNUMBER(INDEX($F$5:$F$1000,$R160-4)),DATE(YEAR(INDEX($F$5:$F$1000,$R160-4)),MONTH(INDEX($F$5:$F$1000,$R160-4)),1),MesCiclo)),IF(ISNUMBER($E160),DATE(YEAR($E160),MONTH($E160),1),IF(ISNUMBER($F160),DATE(YEAR($F160),MONTH($F160),1),MesCiclo))))</f>
        <v/>
      </c>
      <c r="Q160" s="70">
        <f>IF(OR($P160="",$P160&lt;&gt;MesCiclo),"",COUNTIF($P$5:$P160,MesCiclo))</f>
        <v/>
      </c>
      <c r="R160" s="70">
        <f>IF($S160="","",IF($S160="Macro",ROW(),IFERROR(LOOKUP(2,1/($S$5:$S160="Macro"),ROW($S$5:$S160)),0)))</f>
        <v/>
      </c>
      <c r="S160" s="70">
        <f>IF(NOT((COUNTA($B160:$K160)+COUNTA($N160))&gt;0),"",IF($B160&lt;&gt;"","Macro",IF($C160&lt;&gt;"","Sub","Macro")))</f>
        <v/>
      </c>
      <c r="T160" s="70">
        <f>IF($S160="Macro",COUNTIFS($R$5:$R$1000,ROW(),$S$5:$S$1000,"Sub"),"")</f>
        <v/>
      </c>
      <c r="U160" s="70">
        <f>IF($S160="","",IF(ISNUMBER($H160),$H160,0))</f>
        <v/>
      </c>
      <c r="V160" s="70">
        <f>IF($S160="","",IF(ISNUMBER($I160),$I160,$U160))</f>
        <v/>
      </c>
      <c r="W160" s="70">
        <f>IF($S160="","",IF(ISNUMBER($J160),$J160,$V160))</f>
        <v/>
      </c>
      <c r="X160" s="70">
        <f>IF($S160="","",IF(ISNUMBER($K160),$K160,$W160))</f>
        <v/>
      </c>
      <c r="Y160" s="70">
        <f>IF($S160="","",IF(N($T160)&gt;0,AVERAGEIFS($U$5:$U$1000,$R$5:$R$1000,ROW(),$S$5:$S$1000,"Sub"),$U160))</f>
        <v/>
      </c>
      <c r="Z160" s="70">
        <f>IF($S160="","",IF(N($T160)&gt;0,AVERAGEIFS($V$5:$V$1000,$R$5:$R$1000,ROW(),$S$5:$S$1000,"Sub"),$V160))</f>
        <v/>
      </c>
      <c r="AA160" s="70">
        <f>IF($S160="","",IF(N($T160)&gt;0,AVERAGEIFS($W$5:$W$1000,$R$5:$R$1000,ROW(),$S$5:$S$1000,"Sub"),$W160))</f>
        <v/>
      </c>
      <c r="AB160" s="70">
        <f>IF($S160="","",IF(N($T160)&gt;0,AVERAGEIFS($X$5:$X$1000,$R$5:$R$1000,ROW(),$S$5:$S$1000,"Sub"),$X160))</f>
        <v/>
      </c>
    </row>
    <row r="161">
      <c r="A161" s="61">
        <f>IF(NOT((COUNTA($B161:$K161)+COUNTA($N161))&gt;0),"",IF($S161="Macro",COUNTIFS($S$5:$S161,"Macro",$P$5:$P161,$P161),IF(N($R161)=0,"?",COUNTIFS(INDEX($S$5:$S$1000,1):INDEX($S$5:$S$1000,$R161-4),"Macro",INDEX($P$5:$P$1000,1):INDEX($P$5:$P$1000,$R161-4),INDEX($P$5:$P$1000,$R161-4))&amp;"."&amp;COUNTIFS($R$5:$R161,$R161,$S$5:$S161,"Sub"))))</f>
        <v/>
      </c>
      <c r="B161" s="62" t="n"/>
      <c r="C161" s="63" t="n"/>
      <c r="D161" s="62" t="n"/>
      <c r="E161" s="64" t="n"/>
      <c r="F161" s="64" t="n"/>
      <c r="G161" s="65" t="n"/>
      <c r="H161" s="66" t="n"/>
      <c r="I161" s="66" t="n"/>
      <c r="J161" s="66" t="n"/>
      <c r="K161" s="66" t="n"/>
      <c r="L161" s="67">
        <f>IF(NOT((COUNTA($B161:$K161)+COUNTA($N161))&gt;0),"",IF(N($T161)&gt;0,$AB161,IFERROR(LOOKUP(2,1/(H161:K161&lt;&gt;""),H161:K161),0)))</f>
        <v/>
      </c>
      <c r="M161" s="61">
        <f>IF(L161="","",IF(L161&gt;=1,"Completado",IF(L161&gt;0,"En curso","Pendiente")))</f>
        <v/>
      </c>
      <c r="N161" s="62" t="n"/>
      <c r="O161" s="68">
        <f>IF(NOT((COUNTA($B161:$K161)+COUNTA($N161))&gt;0),"",IF((IF(AND($S161="Macro",$B161=""),"Macroactividad vacía"&amp;" · ","")&amp;IF(AND($B161&lt;&gt;"",$C161&lt;&gt;""),"Escriba la subactividad en otra fila, debajo de su macroactividad"&amp;" · ","")&amp;IF(AND($S161="Sub",N($R161)=0),"Subactividad sin macroactividad arriba"&amp;" · ","")&amp;IF($D161="","Sin responsable"&amp;" · ","")&amp;IF($E161="","Sin fecha de inicio"&amp;" · ","")&amp;IF($F161="","Sin fecha límite"&amp;" · ","")&amp;IF(OR(AND($E161&lt;&gt;"",NOT(ISNUMBER($E161))),AND($F161&lt;&gt;"",NOT(ISNUMBER($F161)))),"Fecha no válida"&amp;" · ","")&amp;IF(AND(ISNUMBER($E161),ISNUMBER($F161),$E161&gt;$F161),"Inicio posterior a fecha límite"&amp;" · ","")&amp;IF(AND($S161="Macro",$G161=""),"Peso vacío"&amp;" · ","")&amp;IF(AND($S161="Macro",$G161&lt;&gt;"",OR(NOT(ISNUMBER($G161)),$G161&lt;=0,$G161&gt;1)),"Peso fuera de rango"&amp;" · ","")&amp;IF(AND($S161="Sub",$G161&lt;&gt;""),"Las subactividades no llevan peso"&amp;" · ","")&amp;IF(AND($S161="Macro",ABS(SUMIFS($G$5:$G$1000,$P$5:$P$1000,$P161,$S$5:$S$1000,"Macro")-1)&gt;0.0001),"Pesos del mes suman "&amp;TEXT(SUMIFS($G$5:$G$1000,$P$5:$P$1000,$P161,$S$5:$S$1000,"Macro"),"0%")&amp;" · ","")&amp;IF(AND(N($T161)&gt;0,COUNT($H161:$K161)&gt;0),"Con subactividades: deje vacías las semanas (se calculan solas)"&amp;" · ","")&amp;IF((COUNTIF($H161:$K161,"&gt;1")+COUNTIF($H161:$K161,"&lt;0")+COUNTA($H161:$K161)-COUNT($H161:$K161))&gt;0,"Avance fuera de rango 0-100%"&amp;" · ","")&amp;IF(OR(AND($I161&lt;&gt;"",$I161&lt;$H161),AND($J161&lt;&gt;"",$J161&lt;MAX($H161:$I161)),AND($K161&lt;&gt;"",$K161&lt;MAX($H161:$J161))),"Avance semanal decreciente"&amp;" · ","")&amp;IF(AND(ISNUMBER($F161),$F161&lt;FechaRef,N($L161)&lt;1),"Vencida"&amp;" · ","")&amp;IF(AND(ObsObligatoria="Sí",ISNUMBER($F161),$F161&lt;FechaRef,N($L161)&lt;1,$N161=""),"Vencida sin observación"&amp;" · ",""))="","✔ OK","⚠ "&amp;LEFT(IF(AND($S161="Macro",$B161=""),"Macroactividad vacía"&amp;" · ","")&amp;IF(AND($B161&lt;&gt;"",$C161&lt;&gt;""),"Escriba la subactividad en otra fila, debajo de su macroactividad"&amp;" · ","")&amp;IF(AND($S161="Sub",N($R161)=0),"Subactividad sin macroactividad arriba"&amp;" · ","")&amp;IF($D161="","Sin responsable"&amp;" · ","")&amp;IF($E161="","Sin fecha de inicio"&amp;" · ","")&amp;IF($F161="","Sin fecha límite"&amp;" · ","")&amp;IF(OR(AND($E161&lt;&gt;"",NOT(ISNUMBER($E161))),AND($F161&lt;&gt;"",NOT(ISNUMBER($F161)))),"Fecha no válida"&amp;" · ","")&amp;IF(AND(ISNUMBER($E161),ISNUMBER($F161),$E161&gt;$F161),"Inicio posterior a fecha límite"&amp;" · ","")&amp;IF(AND($S161="Macro",$G161=""),"Peso vacío"&amp;" · ","")&amp;IF(AND($S161="Macro",$G161&lt;&gt;"",OR(NOT(ISNUMBER($G161)),$G161&lt;=0,$G161&gt;1)),"Peso fuera de rango"&amp;" · ","")&amp;IF(AND($S161="Sub",$G161&lt;&gt;""),"Las subactividades no llevan peso"&amp;" · ","")&amp;IF(AND($S161="Macro",ABS(SUMIFS($G$5:$G$1000,$P$5:$P$1000,$P161,$S$5:$S$1000,"Macro")-1)&gt;0.0001),"Pesos del mes suman "&amp;TEXT(SUMIFS($G$5:$G$1000,$P$5:$P$1000,$P161,$S$5:$S$1000,"Macro"),"0%")&amp;" · ","")&amp;IF(AND(N($T161)&gt;0,COUNT($H161:$K161)&gt;0),"Con subactividades: deje vacías las semanas (se calculan solas)"&amp;" · ","")&amp;IF((COUNTIF($H161:$K161,"&gt;1")+COUNTIF($H161:$K161,"&lt;0")+COUNTA($H161:$K161)-COUNT($H161:$K161))&gt;0,"Avance fuera de rango 0-100%"&amp;" · ","")&amp;IF(OR(AND($I161&lt;&gt;"",$I161&lt;$H161),AND($J161&lt;&gt;"",$J161&lt;MAX($H161:$I161)),AND($K161&lt;&gt;"",$K161&lt;MAX($H161:$J161))),"Avance semanal decreciente"&amp;" · ","")&amp;IF(AND(ISNUMBER($F161),$F161&lt;FechaRef,N($L161)&lt;1),"Vencida"&amp;" · ","")&amp;IF(AND(ObsObligatoria="Sí",ISNUMBER($F161),$F161&lt;FechaRef,N($L161)&lt;1,$N161=""),"Vencida sin observación"&amp;" · ",""),LEN(IF(AND($S161="Macro",$B161=""),"Macroactividad vacía"&amp;" · ","")&amp;IF(AND($B161&lt;&gt;"",$C161&lt;&gt;""),"Escriba la subactividad en otra fila, debajo de su macroactividad"&amp;" · ","")&amp;IF(AND($S161="Sub",N($R161)=0),"Subactividad sin macroactividad arriba"&amp;" · ","")&amp;IF($D161="","Sin responsable"&amp;" · ","")&amp;IF($E161="","Sin fecha de inicio"&amp;" · ","")&amp;IF($F161="","Sin fecha límite"&amp;" · ","")&amp;IF(OR(AND($E161&lt;&gt;"",NOT(ISNUMBER($E161))),AND($F161&lt;&gt;"",NOT(ISNUMBER($F161)))),"Fecha no válida"&amp;" · ","")&amp;IF(AND(ISNUMBER($E161),ISNUMBER($F161),$E161&gt;$F161),"Inicio posterior a fecha límite"&amp;" · ","")&amp;IF(AND($S161="Macro",$G161=""),"Peso vacío"&amp;" · ","")&amp;IF(AND($S161="Macro",$G161&lt;&gt;"",OR(NOT(ISNUMBER($G161)),$G161&lt;=0,$G161&gt;1)),"Peso fuera de rango"&amp;" · ","")&amp;IF(AND($S161="Sub",$G161&lt;&gt;""),"Las subactividades no llevan peso"&amp;" · ","")&amp;IF(AND($S161="Macro",ABS(SUMIFS($G$5:$G$1000,$P$5:$P$1000,$P161,$S$5:$S$1000,"Macro")-1)&gt;0.0001),"Pesos del mes suman "&amp;TEXT(SUMIFS($G$5:$G$1000,$P$5:$P$1000,$P161,$S$5:$S$1000,"Macro"),"0%")&amp;" · ","")&amp;IF(AND(N($T161)&gt;0,COUNT($H161:$K161)&gt;0),"Con subactividades: deje vacías las semanas (se calculan solas)"&amp;" · ","")&amp;IF((COUNTIF($H161:$K161,"&gt;1")+COUNTIF($H161:$K161,"&lt;0")+COUNTA($H161:$K161)-COUNT($H161:$K161))&gt;0,"Avance fuera de rango 0-100%"&amp;" · ","")&amp;IF(OR(AND($I161&lt;&gt;"",$I161&lt;$H161),AND($J161&lt;&gt;"",$J161&lt;MAX($H161:$I161)),AND($K161&lt;&gt;"",$K161&lt;MAX($H161:$J161))),"Avance semanal decreciente"&amp;" · ","")&amp;IF(AND(ISNUMBER($F161),$F161&lt;FechaRef,N($L161)&lt;1),"Vencida"&amp;" · ","")&amp;IF(AND(ObsObligatoria="Sí",ISNUMBER($F161),$F161&lt;FechaRef,N($L161)&lt;1,$N161=""),"Vencida sin observación"&amp;" · ",""))-3)))</f>
        <v/>
      </c>
      <c r="P161" s="69">
        <f>IF(NOT((COUNTA($B161:$K161)+COUNTA($N161))&gt;0),"",IF(AND($S161="Sub",N($R161)&gt;0),IF(ISNUMBER(INDEX($E$5:$E$1000,$R161-4)),DATE(YEAR(INDEX($E$5:$E$1000,$R161-4)),MONTH(INDEX($E$5:$E$1000,$R161-4)),1),IF(ISNUMBER(INDEX($F$5:$F$1000,$R161-4)),DATE(YEAR(INDEX($F$5:$F$1000,$R161-4)),MONTH(INDEX($F$5:$F$1000,$R161-4)),1),MesCiclo)),IF(ISNUMBER($E161),DATE(YEAR($E161),MONTH($E161),1),IF(ISNUMBER($F161),DATE(YEAR($F161),MONTH($F161),1),MesCiclo))))</f>
        <v/>
      </c>
      <c r="Q161" s="70">
        <f>IF(OR($P161="",$P161&lt;&gt;MesCiclo),"",COUNTIF($P$5:$P161,MesCiclo))</f>
        <v/>
      </c>
      <c r="R161" s="70">
        <f>IF($S161="","",IF($S161="Macro",ROW(),IFERROR(LOOKUP(2,1/($S$5:$S161="Macro"),ROW($S$5:$S161)),0)))</f>
        <v/>
      </c>
      <c r="S161" s="70">
        <f>IF(NOT((COUNTA($B161:$K161)+COUNTA($N161))&gt;0),"",IF($B161&lt;&gt;"","Macro",IF($C161&lt;&gt;"","Sub","Macro")))</f>
        <v/>
      </c>
      <c r="T161" s="70">
        <f>IF($S161="Macro",COUNTIFS($R$5:$R$1000,ROW(),$S$5:$S$1000,"Sub"),"")</f>
        <v/>
      </c>
      <c r="U161" s="70">
        <f>IF($S161="","",IF(ISNUMBER($H161),$H161,0))</f>
        <v/>
      </c>
      <c r="V161" s="70">
        <f>IF($S161="","",IF(ISNUMBER($I161),$I161,$U161))</f>
        <v/>
      </c>
      <c r="W161" s="70">
        <f>IF($S161="","",IF(ISNUMBER($J161),$J161,$V161))</f>
        <v/>
      </c>
      <c r="X161" s="70">
        <f>IF($S161="","",IF(ISNUMBER($K161),$K161,$W161))</f>
        <v/>
      </c>
      <c r="Y161" s="70">
        <f>IF($S161="","",IF(N($T161)&gt;0,AVERAGEIFS($U$5:$U$1000,$R$5:$R$1000,ROW(),$S$5:$S$1000,"Sub"),$U161))</f>
        <v/>
      </c>
      <c r="Z161" s="70">
        <f>IF($S161="","",IF(N($T161)&gt;0,AVERAGEIFS($V$5:$V$1000,$R$5:$R$1000,ROW(),$S$5:$S$1000,"Sub"),$V161))</f>
        <v/>
      </c>
      <c r="AA161" s="70">
        <f>IF($S161="","",IF(N($T161)&gt;0,AVERAGEIFS($W$5:$W$1000,$R$5:$R$1000,ROW(),$S$5:$S$1000,"Sub"),$W161))</f>
        <v/>
      </c>
      <c r="AB161" s="70">
        <f>IF($S161="","",IF(N($T161)&gt;0,AVERAGEIFS($X$5:$X$1000,$R$5:$R$1000,ROW(),$S$5:$S$1000,"Sub"),$X161))</f>
        <v/>
      </c>
    </row>
    <row r="162">
      <c r="A162" s="61">
        <f>IF(NOT((COUNTA($B162:$K162)+COUNTA($N162))&gt;0),"",IF($S162="Macro",COUNTIFS($S$5:$S162,"Macro",$P$5:$P162,$P162),IF(N($R162)=0,"?",COUNTIFS(INDEX($S$5:$S$1000,1):INDEX($S$5:$S$1000,$R162-4),"Macro",INDEX($P$5:$P$1000,1):INDEX($P$5:$P$1000,$R162-4),INDEX($P$5:$P$1000,$R162-4))&amp;"."&amp;COUNTIFS($R$5:$R162,$R162,$S$5:$S162,"Sub"))))</f>
        <v/>
      </c>
      <c r="B162" s="62" t="n"/>
      <c r="C162" s="63" t="n"/>
      <c r="D162" s="62" t="n"/>
      <c r="E162" s="64" t="n"/>
      <c r="F162" s="64" t="n"/>
      <c r="G162" s="65" t="n"/>
      <c r="H162" s="66" t="n"/>
      <c r="I162" s="66" t="n"/>
      <c r="J162" s="66" t="n"/>
      <c r="K162" s="66" t="n"/>
      <c r="L162" s="67">
        <f>IF(NOT((COUNTA($B162:$K162)+COUNTA($N162))&gt;0),"",IF(N($T162)&gt;0,$AB162,IFERROR(LOOKUP(2,1/(H162:K162&lt;&gt;""),H162:K162),0)))</f>
        <v/>
      </c>
      <c r="M162" s="61">
        <f>IF(L162="","",IF(L162&gt;=1,"Completado",IF(L162&gt;0,"En curso","Pendiente")))</f>
        <v/>
      </c>
      <c r="N162" s="62" t="n"/>
      <c r="O162" s="68">
        <f>IF(NOT((COUNTA($B162:$K162)+COUNTA($N162))&gt;0),"",IF((IF(AND($S162="Macro",$B162=""),"Macroactividad vacía"&amp;" · ","")&amp;IF(AND($B162&lt;&gt;"",$C162&lt;&gt;""),"Escriba la subactividad en otra fila, debajo de su macroactividad"&amp;" · ","")&amp;IF(AND($S162="Sub",N($R162)=0),"Subactividad sin macroactividad arriba"&amp;" · ","")&amp;IF($D162="","Sin responsable"&amp;" · ","")&amp;IF($E162="","Sin fecha de inicio"&amp;" · ","")&amp;IF($F162="","Sin fecha límite"&amp;" · ","")&amp;IF(OR(AND($E162&lt;&gt;"",NOT(ISNUMBER($E162))),AND($F162&lt;&gt;"",NOT(ISNUMBER($F162)))),"Fecha no válida"&amp;" · ","")&amp;IF(AND(ISNUMBER($E162),ISNUMBER($F162),$E162&gt;$F162),"Inicio posterior a fecha límite"&amp;" · ","")&amp;IF(AND($S162="Macro",$G162=""),"Peso vacío"&amp;" · ","")&amp;IF(AND($S162="Macro",$G162&lt;&gt;"",OR(NOT(ISNUMBER($G162)),$G162&lt;=0,$G162&gt;1)),"Peso fuera de rango"&amp;" · ","")&amp;IF(AND($S162="Sub",$G162&lt;&gt;""),"Las subactividades no llevan peso"&amp;" · ","")&amp;IF(AND($S162="Macro",ABS(SUMIFS($G$5:$G$1000,$P$5:$P$1000,$P162,$S$5:$S$1000,"Macro")-1)&gt;0.0001),"Pesos del mes suman "&amp;TEXT(SUMIFS($G$5:$G$1000,$P$5:$P$1000,$P162,$S$5:$S$1000,"Macro"),"0%")&amp;" · ","")&amp;IF(AND(N($T162)&gt;0,COUNT($H162:$K162)&gt;0),"Con subactividades: deje vacías las semanas (se calculan solas)"&amp;" · ","")&amp;IF((COUNTIF($H162:$K162,"&gt;1")+COUNTIF($H162:$K162,"&lt;0")+COUNTA($H162:$K162)-COUNT($H162:$K162))&gt;0,"Avance fuera de rango 0-100%"&amp;" · ","")&amp;IF(OR(AND($I162&lt;&gt;"",$I162&lt;$H162),AND($J162&lt;&gt;"",$J162&lt;MAX($H162:$I162)),AND($K162&lt;&gt;"",$K162&lt;MAX($H162:$J162))),"Avance semanal decreciente"&amp;" · ","")&amp;IF(AND(ISNUMBER($F162),$F162&lt;FechaRef,N($L162)&lt;1),"Vencida"&amp;" · ","")&amp;IF(AND(ObsObligatoria="Sí",ISNUMBER($F162),$F162&lt;FechaRef,N($L162)&lt;1,$N162=""),"Vencida sin observación"&amp;" · ",""))="","✔ OK","⚠ "&amp;LEFT(IF(AND($S162="Macro",$B162=""),"Macroactividad vacía"&amp;" · ","")&amp;IF(AND($B162&lt;&gt;"",$C162&lt;&gt;""),"Escriba la subactividad en otra fila, debajo de su macroactividad"&amp;" · ","")&amp;IF(AND($S162="Sub",N($R162)=0),"Subactividad sin macroactividad arriba"&amp;" · ","")&amp;IF($D162="","Sin responsable"&amp;" · ","")&amp;IF($E162="","Sin fecha de inicio"&amp;" · ","")&amp;IF($F162="","Sin fecha límite"&amp;" · ","")&amp;IF(OR(AND($E162&lt;&gt;"",NOT(ISNUMBER($E162))),AND($F162&lt;&gt;"",NOT(ISNUMBER($F162)))),"Fecha no válida"&amp;" · ","")&amp;IF(AND(ISNUMBER($E162),ISNUMBER($F162),$E162&gt;$F162),"Inicio posterior a fecha límite"&amp;" · ","")&amp;IF(AND($S162="Macro",$G162=""),"Peso vacío"&amp;" · ","")&amp;IF(AND($S162="Macro",$G162&lt;&gt;"",OR(NOT(ISNUMBER($G162)),$G162&lt;=0,$G162&gt;1)),"Peso fuera de rango"&amp;" · ","")&amp;IF(AND($S162="Sub",$G162&lt;&gt;""),"Las subactividades no llevan peso"&amp;" · ","")&amp;IF(AND($S162="Macro",ABS(SUMIFS($G$5:$G$1000,$P$5:$P$1000,$P162,$S$5:$S$1000,"Macro")-1)&gt;0.0001),"Pesos del mes suman "&amp;TEXT(SUMIFS($G$5:$G$1000,$P$5:$P$1000,$P162,$S$5:$S$1000,"Macro"),"0%")&amp;" · ","")&amp;IF(AND(N($T162)&gt;0,COUNT($H162:$K162)&gt;0),"Con subactividades: deje vacías las semanas (se calculan solas)"&amp;" · ","")&amp;IF((COUNTIF($H162:$K162,"&gt;1")+COUNTIF($H162:$K162,"&lt;0")+COUNTA($H162:$K162)-COUNT($H162:$K162))&gt;0,"Avance fuera de rango 0-100%"&amp;" · ","")&amp;IF(OR(AND($I162&lt;&gt;"",$I162&lt;$H162),AND($J162&lt;&gt;"",$J162&lt;MAX($H162:$I162)),AND($K162&lt;&gt;"",$K162&lt;MAX($H162:$J162))),"Avance semanal decreciente"&amp;" · ","")&amp;IF(AND(ISNUMBER($F162),$F162&lt;FechaRef,N($L162)&lt;1),"Vencida"&amp;" · ","")&amp;IF(AND(ObsObligatoria="Sí",ISNUMBER($F162),$F162&lt;FechaRef,N($L162)&lt;1,$N162=""),"Vencida sin observación"&amp;" · ",""),LEN(IF(AND($S162="Macro",$B162=""),"Macroactividad vacía"&amp;" · ","")&amp;IF(AND($B162&lt;&gt;"",$C162&lt;&gt;""),"Escriba la subactividad en otra fila, debajo de su macroactividad"&amp;" · ","")&amp;IF(AND($S162="Sub",N($R162)=0),"Subactividad sin macroactividad arriba"&amp;" · ","")&amp;IF($D162="","Sin responsable"&amp;" · ","")&amp;IF($E162="","Sin fecha de inicio"&amp;" · ","")&amp;IF($F162="","Sin fecha límite"&amp;" · ","")&amp;IF(OR(AND($E162&lt;&gt;"",NOT(ISNUMBER($E162))),AND($F162&lt;&gt;"",NOT(ISNUMBER($F162)))),"Fecha no válida"&amp;" · ","")&amp;IF(AND(ISNUMBER($E162),ISNUMBER($F162),$E162&gt;$F162),"Inicio posterior a fecha límite"&amp;" · ","")&amp;IF(AND($S162="Macro",$G162=""),"Peso vacío"&amp;" · ","")&amp;IF(AND($S162="Macro",$G162&lt;&gt;"",OR(NOT(ISNUMBER($G162)),$G162&lt;=0,$G162&gt;1)),"Peso fuera de rango"&amp;" · ","")&amp;IF(AND($S162="Sub",$G162&lt;&gt;""),"Las subactividades no llevan peso"&amp;" · ","")&amp;IF(AND($S162="Macro",ABS(SUMIFS($G$5:$G$1000,$P$5:$P$1000,$P162,$S$5:$S$1000,"Macro")-1)&gt;0.0001),"Pesos del mes suman "&amp;TEXT(SUMIFS($G$5:$G$1000,$P$5:$P$1000,$P162,$S$5:$S$1000,"Macro"),"0%")&amp;" · ","")&amp;IF(AND(N($T162)&gt;0,COUNT($H162:$K162)&gt;0),"Con subactividades: deje vacías las semanas (se calculan solas)"&amp;" · ","")&amp;IF((COUNTIF($H162:$K162,"&gt;1")+COUNTIF($H162:$K162,"&lt;0")+COUNTA($H162:$K162)-COUNT($H162:$K162))&gt;0,"Avance fuera de rango 0-100%"&amp;" · ","")&amp;IF(OR(AND($I162&lt;&gt;"",$I162&lt;$H162),AND($J162&lt;&gt;"",$J162&lt;MAX($H162:$I162)),AND($K162&lt;&gt;"",$K162&lt;MAX($H162:$J162))),"Avance semanal decreciente"&amp;" · ","")&amp;IF(AND(ISNUMBER($F162),$F162&lt;FechaRef,N($L162)&lt;1),"Vencida"&amp;" · ","")&amp;IF(AND(ObsObligatoria="Sí",ISNUMBER($F162),$F162&lt;FechaRef,N($L162)&lt;1,$N162=""),"Vencida sin observación"&amp;" · ",""))-3)))</f>
        <v/>
      </c>
      <c r="P162" s="69">
        <f>IF(NOT((COUNTA($B162:$K162)+COUNTA($N162))&gt;0),"",IF(AND($S162="Sub",N($R162)&gt;0),IF(ISNUMBER(INDEX($E$5:$E$1000,$R162-4)),DATE(YEAR(INDEX($E$5:$E$1000,$R162-4)),MONTH(INDEX($E$5:$E$1000,$R162-4)),1),IF(ISNUMBER(INDEX($F$5:$F$1000,$R162-4)),DATE(YEAR(INDEX($F$5:$F$1000,$R162-4)),MONTH(INDEX($F$5:$F$1000,$R162-4)),1),MesCiclo)),IF(ISNUMBER($E162),DATE(YEAR($E162),MONTH($E162),1),IF(ISNUMBER($F162),DATE(YEAR($F162),MONTH($F162),1),MesCiclo))))</f>
        <v/>
      </c>
      <c r="Q162" s="70">
        <f>IF(OR($P162="",$P162&lt;&gt;MesCiclo),"",COUNTIF($P$5:$P162,MesCiclo))</f>
        <v/>
      </c>
      <c r="R162" s="70">
        <f>IF($S162="","",IF($S162="Macro",ROW(),IFERROR(LOOKUP(2,1/($S$5:$S162="Macro"),ROW($S$5:$S162)),0)))</f>
        <v/>
      </c>
      <c r="S162" s="70">
        <f>IF(NOT((COUNTA($B162:$K162)+COUNTA($N162))&gt;0),"",IF($B162&lt;&gt;"","Macro",IF($C162&lt;&gt;"","Sub","Macro")))</f>
        <v/>
      </c>
      <c r="T162" s="70">
        <f>IF($S162="Macro",COUNTIFS($R$5:$R$1000,ROW(),$S$5:$S$1000,"Sub"),"")</f>
        <v/>
      </c>
      <c r="U162" s="70">
        <f>IF($S162="","",IF(ISNUMBER($H162),$H162,0))</f>
        <v/>
      </c>
      <c r="V162" s="70">
        <f>IF($S162="","",IF(ISNUMBER($I162),$I162,$U162))</f>
        <v/>
      </c>
      <c r="W162" s="70">
        <f>IF($S162="","",IF(ISNUMBER($J162),$J162,$V162))</f>
        <v/>
      </c>
      <c r="X162" s="70">
        <f>IF($S162="","",IF(ISNUMBER($K162),$K162,$W162))</f>
        <v/>
      </c>
      <c r="Y162" s="70">
        <f>IF($S162="","",IF(N($T162)&gt;0,AVERAGEIFS($U$5:$U$1000,$R$5:$R$1000,ROW(),$S$5:$S$1000,"Sub"),$U162))</f>
        <v/>
      </c>
      <c r="Z162" s="70">
        <f>IF($S162="","",IF(N($T162)&gt;0,AVERAGEIFS($V$5:$V$1000,$R$5:$R$1000,ROW(),$S$5:$S$1000,"Sub"),$V162))</f>
        <v/>
      </c>
      <c r="AA162" s="70">
        <f>IF($S162="","",IF(N($T162)&gt;0,AVERAGEIFS($W$5:$W$1000,$R$5:$R$1000,ROW(),$S$5:$S$1000,"Sub"),$W162))</f>
        <v/>
      </c>
      <c r="AB162" s="70">
        <f>IF($S162="","",IF(N($T162)&gt;0,AVERAGEIFS($X$5:$X$1000,$R$5:$R$1000,ROW(),$S$5:$S$1000,"Sub"),$X162))</f>
        <v/>
      </c>
    </row>
    <row r="163">
      <c r="A163" s="61">
        <f>IF(NOT((COUNTA($B163:$K163)+COUNTA($N163))&gt;0),"",IF($S163="Macro",COUNTIFS($S$5:$S163,"Macro",$P$5:$P163,$P163),IF(N($R163)=0,"?",COUNTIFS(INDEX($S$5:$S$1000,1):INDEX($S$5:$S$1000,$R163-4),"Macro",INDEX($P$5:$P$1000,1):INDEX($P$5:$P$1000,$R163-4),INDEX($P$5:$P$1000,$R163-4))&amp;"."&amp;COUNTIFS($R$5:$R163,$R163,$S$5:$S163,"Sub"))))</f>
        <v/>
      </c>
      <c r="B163" s="62" t="n"/>
      <c r="C163" s="63" t="n"/>
      <c r="D163" s="62" t="n"/>
      <c r="E163" s="64" t="n"/>
      <c r="F163" s="64" t="n"/>
      <c r="G163" s="65" t="n"/>
      <c r="H163" s="66" t="n"/>
      <c r="I163" s="66" t="n"/>
      <c r="J163" s="66" t="n"/>
      <c r="K163" s="66" t="n"/>
      <c r="L163" s="67">
        <f>IF(NOT((COUNTA($B163:$K163)+COUNTA($N163))&gt;0),"",IF(N($T163)&gt;0,$AB163,IFERROR(LOOKUP(2,1/(H163:K163&lt;&gt;""),H163:K163),0)))</f>
        <v/>
      </c>
      <c r="M163" s="61">
        <f>IF(L163="","",IF(L163&gt;=1,"Completado",IF(L163&gt;0,"En curso","Pendiente")))</f>
        <v/>
      </c>
      <c r="N163" s="62" t="n"/>
      <c r="O163" s="68">
        <f>IF(NOT((COUNTA($B163:$K163)+COUNTA($N163))&gt;0),"",IF((IF(AND($S163="Macro",$B163=""),"Macroactividad vacía"&amp;" · ","")&amp;IF(AND($B163&lt;&gt;"",$C163&lt;&gt;""),"Escriba la subactividad en otra fila, debajo de su macroactividad"&amp;" · ","")&amp;IF(AND($S163="Sub",N($R163)=0),"Subactividad sin macroactividad arriba"&amp;" · ","")&amp;IF($D163="","Sin responsable"&amp;" · ","")&amp;IF($E163="","Sin fecha de inicio"&amp;" · ","")&amp;IF($F163="","Sin fecha límite"&amp;" · ","")&amp;IF(OR(AND($E163&lt;&gt;"",NOT(ISNUMBER($E163))),AND($F163&lt;&gt;"",NOT(ISNUMBER($F163)))),"Fecha no válida"&amp;" · ","")&amp;IF(AND(ISNUMBER($E163),ISNUMBER($F163),$E163&gt;$F163),"Inicio posterior a fecha límite"&amp;" · ","")&amp;IF(AND($S163="Macro",$G163=""),"Peso vacío"&amp;" · ","")&amp;IF(AND($S163="Macro",$G163&lt;&gt;"",OR(NOT(ISNUMBER($G163)),$G163&lt;=0,$G163&gt;1)),"Peso fuera de rango"&amp;" · ","")&amp;IF(AND($S163="Sub",$G163&lt;&gt;""),"Las subactividades no llevan peso"&amp;" · ","")&amp;IF(AND($S163="Macro",ABS(SUMIFS($G$5:$G$1000,$P$5:$P$1000,$P163,$S$5:$S$1000,"Macro")-1)&gt;0.0001),"Pesos del mes suman "&amp;TEXT(SUMIFS($G$5:$G$1000,$P$5:$P$1000,$P163,$S$5:$S$1000,"Macro"),"0%")&amp;" · ","")&amp;IF(AND(N($T163)&gt;0,COUNT($H163:$K163)&gt;0),"Con subactividades: deje vacías las semanas (se calculan solas)"&amp;" · ","")&amp;IF((COUNTIF($H163:$K163,"&gt;1")+COUNTIF($H163:$K163,"&lt;0")+COUNTA($H163:$K163)-COUNT($H163:$K163))&gt;0,"Avance fuera de rango 0-100%"&amp;" · ","")&amp;IF(OR(AND($I163&lt;&gt;"",$I163&lt;$H163),AND($J163&lt;&gt;"",$J163&lt;MAX($H163:$I163)),AND($K163&lt;&gt;"",$K163&lt;MAX($H163:$J163))),"Avance semanal decreciente"&amp;" · ","")&amp;IF(AND(ISNUMBER($F163),$F163&lt;FechaRef,N($L163)&lt;1),"Vencida"&amp;" · ","")&amp;IF(AND(ObsObligatoria="Sí",ISNUMBER($F163),$F163&lt;FechaRef,N($L163)&lt;1,$N163=""),"Vencida sin observación"&amp;" · ",""))="","✔ OK","⚠ "&amp;LEFT(IF(AND($S163="Macro",$B163=""),"Macroactividad vacía"&amp;" · ","")&amp;IF(AND($B163&lt;&gt;"",$C163&lt;&gt;""),"Escriba la subactividad en otra fila, debajo de su macroactividad"&amp;" · ","")&amp;IF(AND($S163="Sub",N($R163)=0),"Subactividad sin macroactividad arriba"&amp;" · ","")&amp;IF($D163="","Sin responsable"&amp;" · ","")&amp;IF($E163="","Sin fecha de inicio"&amp;" · ","")&amp;IF($F163="","Sin fecha límite"&amp;" · ","")&amp;IF(OR(AND($E163&lt;&gt;"",NOT(ISNUMBER($E163))),AND($F163&lt;&gt;"",NOT(ISNUMBER($F163)))),"Fecha no válida"&amp;" · ","")&amp;IF(AND(ISNUMBER($E163),ISNUMBER($F163),$E163&gt;$F163),"Inicio posterior a fecha límite"&amp;" · ","")&amp;IF(AND($S163="Macro",$G163=""),"Peso vacío"&amp;" · ","")&amp;IF(AND($S163="Macro",$G163&lt;&gt;"",OR(NOT(ISNUMBER($G163)),$G163&lt;=0,$G163&gt;1)),"Peso fuera de rango"&amp;" · ","")&amp;IF(AND($S163="Sub",$G163&lt;&gt;""),"Las subactividades no llevan peso"&amp;" · ","")&amp;IF(AND($S163="Macro",ABS(SUMIFS($G$5:$G$1000,$P$5:$P$1000,$P163,$S$5:$S$1000,"Macro")-1)&gt;0.0001),"Pesos del mes suman "&amp;TEXT(SUMIFS($G$5:$G$1000,$P$5:$P$1000,$P163,$S$5:$S$1000,"Macro"),"0%")&amp;" · ","")&amp;IF(AND(N($T163)&gt;0,COUNT($H163:$K163)&gt;0),"Con subactividades: deje vacías las semanas (se calculan solas)"&amp;" · ","")&amp;IF((COUNTIF($H163:$K163,"&gt;1")+COUNTIF($H163:$K163,"&lt;0")+COUNTA($H163:$K163)-COUNT($H163:$K163))&gt;0,"Avance fuera de rango 0-100%"&amp;" · ","")&amp;IF(OR(AND($I163&lt;&gt;"",$I163&lt;$H163),AND($J163&lt;&gt;"",$J163&lt;MAX($H163:$I163)),AND($K163&lt;&gt;"",$K163&lt;MAX($H163:$J163))),"Avance semanal decreciente"&amp;" · ","")&amp;IF(AND(ISNUMBER($F163),$F163&lt;FechaRef,N($L163)&lt;1),"Vencida"&amp;" · ","")&amp;IF(AND(ObsObligatoria="Sí",ISNUMBER($F163),$F163&lt;FechaRef,N($L163)&lt;1,$N163=""),"Vencida sin observación"&amp;" · ",""),LEN(IF(AND($S163="Macro",$B163=""),"Macroactividad vacía"&amp;" · ","")&amp;IF(AND($B163&lt;&gt;"",$C163&lt;&gt;""),"Escriba la subactividad en otra fila, debajo de su macroactividad"&amp;" · ","")&amp;IF(AND($S163="Sub",N($R163)=0),"Subactividad sin macroactividad arriba"&amp;" · ","")&amp;IF($D163="","Sin responsable"&amp;" · ","")&amp;IF($E163="","Sin fecha de inicio"&amp;" · ","")&amp;IF($F163="","Sin fecha límite"&amp;" · ","")&amp;IF(OR(AND($E163&lt;&gt;"",NOT(ISNUMBER($E163))),AND($F163&lt;&gt;"",NOT(ISNUMBER($F163)))),"Fecha no válida"&amp;" · ","")&amp;IF(AND(ISNUMBER($E163),ISNUMBER($F163),$E163&gt;$F163),"Inicio posterior a fecha límite"&amp;" · ","")&amp;IF(AND($S163="Macro",$G163=""),"Peso vacío"&amp;" · ","")&amp;IF(AND($S163="Macro",$G163&lt;&gt;"",OR(NOT(ISNUMBER($G163)),$G163&lt;=0,$G163&gt;1)),"Peso fuera de rango"&amp;" · ","")&amp;IF(AND($S163="Sub",$G163&lt;&gt;""),"Las subactividades no llevan peso"&amp;" · ","")&amp;IF(AND($S163="Macro",ABS(SUMIFS($G$5:$G$1000,$P$5:$P$1000,$P163,$S$5:$S$1000,"Macro")-1)&gt;0.0001),"Pesos del mes suman "&amp;TEXT(SUMIFS($G$5:$G$1000,$P$5:$P$1000,$P163,$S$5:$S$1000,"Macro"),"0%")&amp;" · ","")&amp;IF(AND(N($T163)&gt;0,COUNT($H163:$K163)&gt;0),"Con subactividades: deje vacías las semanas (se calculan solas)"&amp;" · ","")&amp;IF((COUNTIF($H163:$K163,"&gt;1")+COUNTIF($H163:$K163,"&lt;0")+COUNTA($H163:$K163)-COUNT($H163:$K163))&gt;0,"Avance fuera de rango 0-100%"&amp;" · ","")&amp;IF(OR(AND($I163&lt;&gt;"",$I163&lt;$H163),AND($J163&lt;&gt;"",$J163&lt;MAX($H163:$I163)),AND($K163&lt;&gt;"",$K163&lt;MAX($H163:$J163))),"Avance semanal decreciente"&amp;" · ","")&amp;IF(AND(ISNUMBER($F163),$F163&lt;FechaRef,N($L163)&lt;1),"Vencida"&amp;" · ","")&amp;IF(AND(ObsObligatoria="Sí",ISNUMBER($F163),$F163&lt;FechaRef,N($L163)&lt;1,$N163=""),"Vencida sin observación"&amp;" · ",""))-3)))</f>
        <v/>
      </c>
      <c r="P163" s="69">
        <f>IF(NOT((COUNTA($B163:$K163)+COUNTA($N163))&gt;0),"",IF(AND($S163="Sub",N($R163)&gt;0),IF(ISNUMBER(INDEX($E$5:$E$1000,$R163-4)),DATE(YEAR(INDEX($E$5:$E$1000,$R163-4)),MONTH(INDEX($E$5:$E$1000,$R163-4)),1),IF(ISNUMBER(INDEX($F$5:$F$1000,$R163-4)),DATE(YEAR(INDEX($F$5:$F$1000,$R163-4)),MONTH(INDEX($F$5:$F$1000,$R163-4)),1),MesCiclo)),IF(ISNUMBER($E163),DATE(YEAR($E163),MONTH($E163),1),IF(ISNUMBER($F163),DATE(YEAR($F163),MONTH($F163),1),MesCiclo))))</f>
        <v/>
      </c>
      <c r="Q163" s="70">
        <f>IF(OR($P163="",$P163&lt;&gt;MesCiclo),"",COUNTIF($P$5:$P163,MesCiclo))</f>
        <v/>
      </c>
      <c r="R163" s="70">
        <f>IF($S163="","",IF($S163="Macro",ROW(),IFERROR(LOOKUP(2,1/($S$5:$S163="Macro"),ROW($S$5:$S163)),0)))</f>
        <v/>
      </c>
      <c r="S163" s="70">
        <f>IF(NOT((COUNTA($B163:$K163)+COUNTA($N163))&gt;0),"",IF($B163&lt;&gt;"","Macro",IF($C163&lt;&gt;"","Sub","Macro")))</f>
        <v/>
      </c>
      <c r="T163" s="70">
        <f>IF($S163="Macro",COUNTIFS($R$5:$R$1000,ROW(),$S$5:$S$1000,"Sub"),"")</f>
        <v/>
      </c>
      <c r="U163" s="70">
        <f>IF($S163="","",IF(ISNUMBER($H163),$H163,0))</f>
        <v/>
      </c>
      <c r="V163" s="70">
        <f>IF($S163="","",IF(ISNUMBER($I163),$I163,$U163))</f>
        <v/>
      </c>
      <c r="W163" s="70">
        <f>IF($S163="","",IF(ISNUMBER($J163),$J163,$V163))</f>
        <v/>
      </c>
      <c r="X163" s="70">
        <f>IF($S163="","",IF(ISNUMBER($K163),$K163,$W163))</f>
        <v/>
      </c>
      <c r="Y163" s="70">
        <f>IF($S163="","",IF(N($T163)&gt;0,AVERAGEIFS($U$5:$U$1000,$R$5:$R$1000,ROW(),$S$5:$S$1000,"Sub"),$U163))</f>
        <v/>
      </c>
      <c r="Z163" s="70">
        <f>IF($S163="","",IF(N($T163)&gt;0,AVERAGEIFS($V$5:$V$1000,$R$5:$R$1000,ROW(),$S$5:$S$1000,"Sub"),$V163))</f>
        <v/>
      </c>
      <c r="AA163" s="70">
        <f>IF($S163="","",IF(N($T163)&gt;0,AVERAGEIFS($W$5:$W$1000,$R$5:$R$1000,ROW(),$S$5:$S$1000,"Sub"),$W163))</f>
        <v/>
      </c>
      <c r="AB163" s="70">
        <f>IF($S163="","",IF(N($T163)&gt;0,AVERAGEIFS($X$5:$X$1000,$R$5:$R$1000,ROW(),$S$5:$S$1000,"Sub"),$X163))</f>
        <v/>
      </c>
    </row>
    <row r="164">
      <c r="A164" s="61">
        <f>IF(NOT((COUNTA($B164:$K164)+COUNTA($N164))&gt;0),"",IF($S164="Macro",COUNTIFS($S$5:$S164,"Macro",$P$5:$P164,$P164),IF(N($R164)=0,"?",COUNTIFS(INDEX($S$5:$S$1000,1):INDEX($S$5:$S$1000,$R164-4),"Macro",INDEX($P$5:$P$1000,1):INDEX($P$5:$P$1000,$R164-4),INDEX($P$5:$P$1000,$R164-4))&amp;"."&amp;COUNTIFS($R$5:$R164,$R164,$S$5:$S164,"Sub"))))</f>
        <v/>
      </c>
      <c r="B164" s="62" t="n"/>
      <c r="C164" s="63" t="n"/>
      <c r="D164" s="62" t="n"/>
      <c r="E164" s="64" t="n"/>
      <c r="F164" s="64" t="n"/>
      <c r="G164" s="65" t="n"/>
      <c r="H164" s="66" t="n"/>
      <c r="I164" s="66" t="n"/>
      <c r="J164" s="66" t="n"/>
      <c r="K164" s="66" t="n"/>
      <c r="L164" s="67">
        <f>IF(NOT((COUNTA($B164:$K164)+COUNTA($N164))&gt;0),"",IF(N($T164)&gt;0,$AB164,IFERROR(LOOKUP(2,1/(H164:K164&lt;&gt;""),H164:K164),0)))</f>
        <v/>
      </c>
      <c r="M164" s="61">
        <f>IF(L164="","",IF(L164&gt;=1,"Completado",IF(L164&gt;0,"En curso","Pendiente")))</f>
        <v/>
      </c>
      <c r="N164" s="62" t="n"/>
      <c r="O164" s="68">
        <f>IF(NOT((COUNTA($B164:$K164)+COUNTA($N164))&gt;0),"",IF((IF(AND($S164="Macro",$B164=""),"Macroactividad vacía"&amp;" · ","")&amp;IF(AND($B164&lt;&gt;"",$C164&lt;&gt;""),"Escriba la subactividad en otra fila, debajo de su macroactividad"&amp;" · ","")&amp;IF(AND($S164="Sub",N($R164)=0),"Subactividad sin macroactividad arriba"&amp;" · ","")&amp;IF($D164="","Sin responsable"&amp;" · ","")&amp;IF($E164="","Sin fecha de inicio"&amp;" · ","")&amp;IF($F164="","Sin fecha límite"&amp;" · ","")&amp;IF(OR(AND($E164&lt;&gt;"",NOT(ISNUMBER($E164))),AND($F164&lt;&gt;"",NOT(ISNUMBER($F164)))),"Fecha no válida"&amp;" · ","")&amp;IF(AND(ISNUMBER($E164),ISNUMBER($F164),$E164&gt;$F164),"Inicio posterior a fecha límite"&amp;" · ","")&amp;IF(AND($S164="Macro",$G164=""),"Peso vacío"&amp;" · ","")&amp;IF(AND($S164="Macro",$G164&lt;&gt;"",OR(NOT(ISNUMBER($G164)),$G164&lt;=0,$G164&gt;1)),"Peso fuera de rango"&amp;" · ","")&amp;IF(AND($S164="Sub",$G164&lt;&gt;""),"Las subactividades no llevan peso"&amp;" · ","")&amp;IF(AND($S164="Macro",ABS(SUMIFS($G$5:$G$1000,$P$5:$P$1000,$P164,$S$5:$S$1000,"Macro")-1)&gt;0.0001),"Pesos del mes suman "&amp;TEXT(SUMIFS($G$5:$G$1000,$P$5:$P$1000,$P164,$S$5:$S$1000,"Macro"),"0%")&amp;" · ","")&amp;IF(AND(N($T164)&gt;0,COUNT($H164:$K164)&gt;0),"Con subactividades: deje vacías las semanas (se calculan solas)"&amp;" · ","")&amp;IF((COUNTIF($H164:$K164,"&gt;1")+COUNTIF($H164:$K164,"&lt;0")+COUNTA($H164:$K164)-COUNT($H164:$K164))&gt;0,"Avance fuera de rango 0-100%"&amp;" · ","")&amp;IF(OR(AND($I164&lt;&gt;"",$I164&lt;$H164),AND($J164&lt;&gt;"",$J164&lt;MAX($H164:$I164)),AND($K164&lt;&gt;"",$K164&lt;MAX($H164:$J164))),"Avance semanal decreciente"&amp;" · ","")&amp;IF(AND(ISNUMBER($F164),$F164&lt;FechaRef,N($L164)&lt;1),"Vencida"&amp;" · ","")&amp;IF(AND(ObsObligatoria="Sí",ISNUMBER($F164),$F164&lt;FechaRef,N($L164)&lt;1,$N164=""),"Vencida sin observación"&amp;" · ",""))="","✔ OK","⚠ "&amp;LEFT(IF(AND($S164="Macro",$B164=""),"Macroactividad vacía"&amp;" · ","")&amp;IF(AND($B164&lt;&gt;"",$C164&lt;&gt;""),"Escriba la subactividad en otra fila, debajo de su macroactividad"&amp;" · ","")&amp;IF(AND($S164="Sub",N($R164)=0),"Subactividad sin macroactividad arriba"&amp;" · ","")&amp;IF($D164="","Sin responsable"&amp;" · ","")&amp;IF($E164="","Sin fecha de inicio"&amp;" · ","")&amp;IF($F164="","Sin fecha límite"&amp;" · ","")&amp;IF(OR(AND($E164&lt;&gt;"",NOT(ISNUMBER($E164))),AND($F164&lt;&gt;"",NOT(ISNUMBER($F164)))),"Fecha no válida"&amp;" · ","")&amp;IF(AND(ISNUMBER($E164),ISNUMBER($F164),$E164&gt;$F164),"Inicio posterior a fecha límite"&amp;" · ","")&amp;IF(AND($S164="Macro",$G164=""),"Peso vacío"&amp;" · ","")&amp;IF(AND($S164="Macro",$G164&lt;&gt;"",OR(NOT(ISNUMBER($G164)),$G164&lt;=0,$G164&gt;1)),"Peso fuera de rango"&amp;" · ","")&amp;IF(AND($S164="Sub",$G164&lt;&gt;""),"Las subactividades no llevan peso"&amp;" · ","")&amp;IF(AND($S164="Macro",ABS(SUMIFS($G$5:$G$1000,$P$5:$P$1000,$P164,$S$5:$S$1000,"Macro")-1)&gt;0.0001),"Pesos del mes suman "&amp;TEXT(SUMIFS($G$5:$G$1000,$P$5:$P$1000,$P164,$S$5:$S$1000,"Macro"),"0%")&amp;" · ","")&amp;IF(AND(N($T164)&gt;0,COUNT($H164:$K164)&gt;0),"Con subactividades: deje vacías las semanas (se calculan solas)"&amp;" · ","")&amp;IF((COUNTIF($H164:$K164,"&gt;1")+COUNTIF($H164:$K164,"&lt;0")+COUNTA($H164:$K164)-COUNT($H164:$K164))&gt;0,"Avance fuera de rango 0-100%"&amp;" · ","")&amp;IF(OR(AND($I164&lt;&gt;"",$I164&lt;$H164),AND($J164&lt;&gt;"",$J164&lt;MAX($H164:$I164)),AND($K164&lt;&gt;"",$K164&lt;MAX($H164:$J164))),"Avance semanal decreciente"&amp;" · ","")&amp;IF(AND(ISNUMBER($F164),$F164&lt;FechaRef,N($L164)&lt;1),"Vencida"&amp;" · ","")&amp;IF(AND(ObsObligatoria="Sí",ISNUMBER($F164),$F164&lt;FechaRef,N($L164)&lt;1,$N164=""),"Vencida sin observación"&amp;" · ",""),LEN(IF(AND($S164="Macro",$B164=""),"Macroactividad vacía"&amp;" · ","")&amp;IF(AND($B164&lt;&gt;"",$C164&lt;&gt;""),"Escriba la subactividad en otra fila, debajo de su macroactividad"&amp;" · ","")&amp;IF(AND($S164="Sub",N($R164)=0),"Subactividad sin macroactividad arriba"&amp;" · ","")&amp;IF($D164="","Sin responsable"&amp;" · ","")&amp;IF($E164="","Sin fecha de inicio"&amp;" · ","")&amp;IF($F164="","Sin fecha límite"&amp;" · ","")&amp;IF(OR(AND($E164&lt;&gt;"",NOT(ISNUMBER($E164))),AND($F164&lt;&gt;"",NOT(ISNUMBER($F164)))),"Fecha no válida"&amp;" · ","")&amp;IF(AND(ISNUMBER($E164),ISNUMBER($F164),$E164&gt;$F164),"Inicio posterior a fecha límite"&amp;" · ","")&amp;IF(AND($S164="Macro",$G164=""),"Peso vacío"&amp;" · ","")&amp;IF(AND($S164="Macro",$G164&lt;&gt;"",OR(NOT(ISNUMBER($G164)),$G164&lt;=0,$G164&gt;1)),"Peso fuera de rango"&amp;" · ","")&amp;IF(AND($S164="Sub",$G164&lt;&gt;""),"Las subactividades no llevan peso"&amp;" · ","")&amp;IF(AND($S164="Macro",ABS(SUMIFS($G$5:$G$1000,$P$5:$P$1000,$P164,$S$5:$S$1000,"Macro")-1)&gt;0.0001),"Pesos del mes suman "&amp;TEXT(SUMIFS($G$5:$G$1000,$P$5:$P$1000,$P164,$S$5:$S$1000,"Macro"),"0%")&amp;" · ","")&amp;IF(AND(N($T164)&gt;0,COUNT($H164:$K164)&gt;0),"Con subactividades: deje vacías las semanas (se calculan solas)"&amp;" · ","")&amp;IF((COUNTIF($H164:$K164,"&gt;1")+COUNTIF($H164:$K164,"&lt;0")+COUNTA($H164:$K164)-COUNT($H164:$K164))&gt;0,"Avance fuera de rango 0-100%"&amp;" · ","")&amp;IF(OR(AND($I164&lt;&gt;"",$I164&lt;$H164),AND($J164&lt;&gt;"",$J164&lt;MAX($H164:$I164)),AND($K164&lt;&gt;"",$K164&lt;MAX($H164:$J164))),"Avance semanal decreciente"&amp;" · ","")&amp;IF(AND(ISNUMBER($F164),$F164&lt;FechaRef,N($L164)&lt;1),"Vencida"&amp;" · ","")&amp;IF(AND(ObsObligatoria="Sí",ISNUMBER($F164),$F164&lt;FechaRef,N($L164)&lt;1,$N164=""),"Vencida sin observación"&amp;" · ",""))-3)))</f>
        <v/>
      </c>
      <c r="P164" s="69">
        <f>IF(NOT((COUNTA($B164:$K164)+COUNTA($N164))&gt;0),"",IF(AND($S164="Sub",N($R164)&gt;0),IF(ISNUMBER(INDEX($E$5:$E$1000,$R164-4)),DATE(YEAR(INDEX($E$5:$E$1000,$R164-4)),MONTH(INDEX($E$5:$E$1000,$R164-4)),1),IF(ISNUMBER(INDEX($F$5:$F$1000,$R164-4)),DATE(YEAR(INDEX($F$5:$F$1000,$R164-4)),MONTH(INDEX($F$5:$F$1000,$R164-4)),1),MesCiclo)),IF(ISNUMBER($E164),DATE(YEAR($E164),MONTH($E164),1),IF(ISNUMBER($F164),DATE(YEAR($F164),MONTH($F164),1),MesCiclo))))</f>
        <v/>
      </c>
      <c r="Q164" s="70">
        <f>IF(OR($P164="",$P164&lt;&gt;MesCiclo),"",COUNTIF($P$5:$P164,MesCiclo))</f>
        <v/>
      </c>
      <c r="R164" s="70">
        <f>IF($S164="","",IF($S164="Macro",ROW(),IFERROR(LOOKUP(2,1/($S$5:$S164="Macro"),ROW($S$5:$S164)),0)))</f>
        <v/>
      </c>
      <c r="S164" s="70">
        <f>IF(NOT((COUNTA($B164:$K164)+COUNTA($N164))&gt;0),"",IF($B164&lt;&gt;"","Macro",IF($C164&lt;&gt;"","Sub","Macro")))</f>
        <v/>
      </c>
      <c r="T164" s="70">
        <f>IF($S164="Macro",COUNTIFS($R$5:$R$1000,ROW(),$S$5:$S$1000,"Sub"),"")</f>
        <v/>
      </c>
      <c r="U164" s="70">
        <f>IF($S164="","",IF(ISNUMBER($H164),$H164,0))</f>
        <v/>
      </c>
      <c r="V164" s="70">
        <f>IF($S164="","",IF(ISNUMBER($I164),$I164,$U164))</f>
        <v/>
      </c>
      <c r="W164" s="70">
        <f>IF($S164="","",IF(ISNUMBER($J164),$J164,$V164))</f>
        <v/>
      </c>
      <c r="X164" s="70">
        <f>IF($S164="","",IF(ISNUMBER($K164),$K164,$W164))</f>
        <v/>
      </c>
      <c r="Y164" s="70">
        <f>IF($S164="","",IF(N($T164)&gt;0,AVERAGEIFS($U$5:$U$1000,$R$5:$R$1000,ROW(),$S$5:$S$1000,"Sub"),$U164))</f>
        <v/>
      </c>
      <c r="Z164" s="70">
        <f>IF($S164="","",IF(N($T164)&gt;0,AVERAGEIFS($V$5:$V$1000,$R$5:$R$1000,ROW(),$S$5:$S$1000,"Sub"),$V164))</f>
        <v/>
      </c>
      <c r="AA164" s="70">
        <f>IF($S164="","",IF(N($T164)&gt;0,AVERAGEIFS($W$5:$W$1000,$R$5:$R$1000,ROW(),$S$5:$S$1000,"Sub"),$W164))</f>
        <v/>
      </c>
      <c r="AB164" s="70">
        <f>IF($S164="","",IF(N($T164)&gt;0,AVERAGEIFS($X$5:$X$1000,$R$5:$R$1000,ROW(),$S$5:$S$1000,"Sub"),$X164))</f>
        <v/>
      </c>
    </row>
    <row r="165">
      <c r="A165" s="61">
        <f>IF(NOT((COUNTA($B165:$K165)+COUNTA($N165))&gt;0),"",IF($S165="Macro",COUNTIFS($S$5:$S165,"Macro",$P$5:$P165,$P165),IF(N($R165)=0,"?",COUNTIFS(INDEX($S$5:$S$1000,1):INDEX($S$5:$S$1000,$R165-4),"Macro",INDEX($P$5:$P$1000,1):INDEX($P$5:$P$1000,$R165-4),INDEX($P$5:$P$1000,$R165-4))&amp;"."&amp;COUNTIFS($R$5:$R165,$R165,$S$5:$S165,"Sub"))))</f>
        <v/>
      </c>
      <c r="B165" s="62" t="n"/>
      <c r="C165" s="63" t="n"/>
      <c r="D165" s="62" t="n"/>
      <c r="E165" s="64" t="n"/>
      <c r="F165" s="64" t="n"/>
      <c r="G165" s="65" t="n"/>
      <c r="H165" s="66" t="n"/>
      <c r="I165" s="66" t="n"/>
      <c r="J165" s="66" t="n"/>
      <c r="K165" s="66" t="n"/>
      <c r="L165" s="67">
        <f>IF(NOT((COUNTA($B165:$K165)+COUNTA($N165))&gt;0),"",IF(N($T165)&gt;0,$AB165,IFERROR(LOOKUP(2,1/(H165:K165&lt;&gt;""),H165:K165),0)))</f>
        <v/>
      </c>
      <c r="M165" s="61">
        <f>IF(L165="","",IF(L165&gt;=1,"Completado",IF(L165&gt;0,"En curso","Pendiente")))</f>
        <v/>
      </c>
      <c r="N165" s="62" t="n"/>
      <c r="O165" s="68">
        <f>IF(NOT((COUNTA($B165:$K165)+COUNTA($N165))&gt;0),"",IF((IF(AND($S165="Macro",$B165=""),"Macroactividad vacía"&amp;" · ","")&amp;IF(AND($B165&lt;&gt;"",$C165&lt;&gt;""),"Escriba la subactividad en otra fila, debajo de su macroactividad"&amp;" · ","")&amp;IF(AND($S165="Sub",N($R165)=0),"Subactividad sin macroactividad arriba"&amp;" · ","")&amp;IF($D165="","Sin responsable"&amp;" · ","")&amp;IF($E165="","Sin fecha de inicio"&amp;" · ","")&amp;IF($F165="","Sin fecha límite"&amp;" · ","")&amp;IF(OR(AND($E165&lt;&gt;"",NOT(ISNUMBER($E165))),AND($F165&lt;&gt;"",NOT(ISNUMBER($F165)))),"Fecha no válida"&amp;" · ","")&amp;IF(AND(ISNUMBER($E165),ISNUMBER($F165),$E165&gt;$F165),"Inicio posterior a fecha límite"&amp;" · ","")&amp;IF(AND($S165="Macro",$G165=""),"Peso vacío"&amp;" · ","")&amp;IF(AND($S165="Macro",$G165&lt;&gt;"",OR(NOT(ISNUMBER($G165)),$G165&lt;=0,$G165&gt;1)),"Peso fuera de rango"&amp;" · ","")&amp;IF(AND($S165="Sub",$G165&lt;&gt;""),"Las subactividades no llevan peso"&amp;" · ","")&amp;IF(AND($S165="Macro",ABS(SUMIFS($G$5:$G$1000,$P$5:$P$1000,$P165,$S$5:$S$1000,"Macro")-1)&gt;0.0001),"Pesos del mes suman "&amp;TEXT(SUMIFS($G$5:$G$1000,$P$5:$P$1000,$P165,$S$5:$S$1000,"Macro"),"0%")&amp;" · ","")&amp;IF(AND(N($T165)&gt;0,COUNT($H165:$K165)&gt;0),"Con subactividades: deje vacías las semanas (se calculan solas)"&amp;" · ","")&amp;IF((COUNTIF($H165:$K165,"&gt;1")+COUNTIF($H165:$K165,"&lt;0")+COUNTA($H165:$K165)-COUNT($H165:$K165))&gt;0,"Avance fuera de rango 0-100%"&amp;" · ","")&amp;IF(OR(AND($I165&lt;&gt;"",$I165&lt;$H165),AND($J165&lt;&gt;"",$J165&lt;MAX($H165:$I165)),AND($K165&lt;&gt;"",$K165&lt;MAX($H165:$J165))),"Avance semanal decreciente"&amp;" · ","")&amp;IF(AND(ISNUMBER($F165),$F165&lt;FechaRef,N($L165)&lt;1),"Vencida"&amp;" · ","")&amp;IF(AND(ObsObligatoria="Sí",ISNUMBER($F165),$F165&lt;FechaRef,N($L165)&lt;1,$N165=""),"Vencida sin observación"&amp;" · ",""))="","✔ OK","⚠ "&amp;LEFT(IF(AND($S165="Macro",$B165=""),"Macroactividad vacía"&amp;" · ","")&amp;IF(AND($B165&lt;&gt;"",$C165&lt;&gt;""),"Escriba la subactividad en otra fila, debajo de su macroactividad"&amp;" · ","")&amp;IF(AND($S165="Sub",N($R165)=0),"Subactividad sin macroactividad arriba"&amp;" · ","")&amp;IF($D165="","Sin responsable"&amp;" · ","")&amp;IF($E165="","Sin fecha de inicio"&amp;" · ","")&amp;IF($F165="","Sin fecha límite"&amp;" · ","")&amp;IF(OR(AND($E165&lt;&gt;"",NOT(ISNUMBER($E165))),AND($F165&lt;&gt;"",NOT(ISNUMBER($F165)))),"Fecha no válida"&amp;" · ","")&amp;IF(AND(ISNUMBER($E165),ISNUMBER($F165),$E165&gt;$F165),"Inicio posterior a fecha límite"&amp;" · ","")&amp;IF(AND($S165="Macro",$G165=""),"Peso vacío"&amp;" · ","")&amp;IF(AND($S165="Macro",$G165&lt;&gt;"",OR(NOT(ISNUMBER($G165)),$G165&lt;=0,$G165&gt;1)),"Peso fuera de rango"&amp;" · ","")&amp;IF(AND($S165="Sub",$G165&lt;&gt;""),"Las subactividades no llevan peso"&amp;" · ","")&amp;IF(AND($S165="Macro",ABS(SUMIFS($G$5:$G$1000,$P$5:$P$1000,$P165,$S$5:$S$1000,"Macro")-1)&gt;0.0001),"Pesos del mes suman "&amp;TEXT(SUMIFS($G$5:$G$1000,$P$5:$P$1000,$P165,$S$5:$S$1000,"Macro"),"0%")&amp;" · ","")&amp;IF(AND(N($T165)&gt;0,COUNT($H165:$K165)&gt;0),"Con subactividades: deje vacías las semanas (se calculan solas)"&amp;" · ","")&amp;IF((COUNTIF($H165:$K165,"&gt;1")+COUNTIF($H165:$K165,"&lt;0")+COUNTA($H165:$K165)-COUNT($H165:$K165))&gt;0,"Avance fuera de rango 0-100%"&amp;" · ","")&amp;IF(OR(AND($I165&lt;&gt;"",$I165&lt;$H165),AND($J165&lt;&gt;"",$J165&lt;MAX($H165:$I165)),AND($K165&lt;&gt;"",$K165&lt;MAX($H165:$J165))),"Avance semanal decreciente"&amp;" · ","")&amp;IF(AND(ISNUMBER($F165),$F165&lt;FechaRef,N($L165)&lt;1),"Vencida"&amp;" · ","")&amp;IF(AND(ObsObligatoria="Sí",ISNUMBER($F165),$F165&lt;FechaRef,N($L165)&lt;1,$N165=""),"Vencida sin observación"&amp;" · ",""),LEN(IF(AND($S165="Macro",$B165=""),"Macroactividad vacía"&amp;" · ","")&amp;IF(AND($B165&lt;&gt;"",$C165&lt;&gt;""),"Escriba la subactividad en otra fila, debajo de su macroactividad"&amp;" · ","")&amp;IF(AND($S165="Sub",N($R165)=0),"Subactividad sin macroactividad arriba"&amp;" · ","")&amp;IF($D165="","Sin responsable"&amp;" · ","")&amp;IF($E165="","Sin fecha de inicio"&amp;" · ","")&amp;IF($F165="","Sin fecha límite"&amp;" · ","")&amp;IF(OR(AND($E165&lt;&gt;"",NOT(ISNUMBER($E165))),AND($F165&lt;&gt;"",NOT(ISNUMBER($F165)))),"Fecha no válida"&amp;" · ","")&amp;IF(AND(ISNUMBER($E165),ISNUMBER($F165),$E165&gt;$F165),"Inicio posterior a fecha límite"&amp;" · ","")&amp;IF(AND($S165="Macro",$G165=""),"Peso vacío"&amp;" · ","")&amp;IF(AND($S165="Macro",$G165&lt;&gt;"",OR(NOT(ISNUMBER($G165)),$G165&lt;=0,$G165&gt;1)),"Peso fuera de rango"&amp;" · ","")&amp;IF(AND($S165="Sub",$G165&lt;&gt;""),"Las subactividades no llevan peso"&amp;" · ","")&amp;IF(AND($S165="Macro",ABS(SUMIFS($G$5:$G$1000,$P$5:$P$1000,$P165,$S$5:$S$1000,"Macro")-1)&gt;0.0001),"Pesos del mes suman "&amp;TEXT(SUMIFS($G$5:$G$1000,$P$5:$P$1000,$P165,$S$5:$S$1000,"Macro"),"0%")&amp;" · ","")&amp;IF(AND(N($T165)&gt;0,COUNT($H165:$K165)&gt;0),"Con subactividades: deje vacías las semanas (se calculan solas)"&amp;" · ","")&amp;IF((COUNTIF($H165:$K165,"&gt;1")+COUNTIF($H165:$K165,"&lt;0")+COUNTA($H165:$K165)-COUNT($H165:$K165))&gt;0,"Avance fuera de rango 0-100%"&amp;" · ","")&amp;IF(OR(AND($I165&lt;&gt;"",$I165&lt;$H165),AND($J165&lt;&gt;"",$J165&lt;MAX($H165:$I165)),AND($K165&lt;&gt;"",$K165&lt;MAX($H165:$J165))),"Avance semanal decreciente"&amp;" · ","")&amp;IF(AND(ISNUMBER($F165),$F165&lt;FechaRef,N($L165)&lt;1),"Vencida"&amp;" · ","")&amp;IF(AND(ObsObligatoria="Sí",ISNUMBER($F165),$F165&lt;FechaRef,N($L165)&lt;1,$N165=""),"Vencida sin observación"&amp;" · ",""))-3)))</f>
        <v/>
      </c>
      <c r="P165" s="69">
        <f>IF(NOT((COUNTA($B165:$K165)+COUNTA($N165))&gt;0),"",IF(AND($S165="Sub",N($R165)&gt;0),IF(ISNUMBER(INDEX($E$5:$E$1000,$R165-4)),DATE(YEAR(INDEX($E$5:$E$1000,$R165-4)),MONTH(INDEX($E$5:$E$1000,$R165-4)),1),IF(ISNUMBER(INDEX($F$5:$F$1000,$R165-4)),DATE(YEAR(INDEX($F$5:$F$1000,$R165-4)),MONTH(INDEX($F$5:$F$1000,$R165-4)),1),MesCiclo)),IF(ISNUMBER($E165),DATE(YEAR($E165),MONTH($E165),1),IF(ISNUMBER($F165),DATE(YEAR($F165),MONTH($F165),1),MesCiclo))))</f>
        <v/>
      </c>
      <c r="Q165" s="70">
        <f>IF(OR($P165="",$P165&lt;&gt;MesCiclo),"",COUNTIF($P$5:$P165,MesCiclo))</f>
        <v/>
      </c>
      <c r="R165" s="70">
        <f>IF($S165="","",IF($S165="Macro",ROW(),IFERROR(LOOKUP(2,1/($S$5:$S165="Macro"),ROW($S$5:$S165)),0)))</f>
        <v/>
      </c>
      <c r="S165" s="70">
        <f>IF(NOT((COUNTA($B165:$K165)+COUNTA($N165))&gt;0),"",IF($B165&lt;&gt;"","Macro",IF($C165&lt;&gt;"","Sub","Macro")))</f>
        <v/>
      </c>
      <c r="T165" s="70">
        <f>IF($S165="Macro",COUNTIFS($R$5:$R$1000,ROW(),$S$5:$S$1000,"Sub"),"")</f>
        <v/>
      </c>
      <c r="U165" s="70">
        <f>IF($S165="","",IF(ISNUMBER($H165),$H165,0))</f>
        <v/>
      </c>
      <c r="V165" s="70">
        <f>IF($S165="","",IF(ISNUMBER($I165),$I165,$U165))</f>
        <v/>
      </c>
      <c r="W165" s="70">
        <f>IF($S165="","",IF(ISNUMBER($J165),$J165,$V165))</f>
        <v/>
      </c>
      <c r="X165" s="70">
        <f>IF($S165="","",IF(ISNUMBER($K165),$K165,$W165))</f>
        <v/>
      </c>
      <c r="Y165" s="70">
        <f>IF($S165="","",IF(N($T165)&gt;0,AVERAGEIFS($U$5:$U$1000,$R$5:$R$1000,ROW(),$S$5:$S$1000,"Sub"),$U165))</f>
        <v/>
      </c>
      <c r="Z165" s="70">
        <f>IF($S165="","",IF(N($T165)&gt;0,AVERAGEIFS($V$5:$V$1000,$R$5:$R$1000,ROW(),$S$5:$S$1000,"Sub"),$V165))</f>
        <v/>
      </c>
      <c r="AA165" s="70">
        <f>IF($S165="","",IF(N($T165)&gt;0,AVERAGEIFS($W$5:$W$1000,$R$5:$R$1000,ROW(),$S$5:$S$1000,"Sub"),$W165))</f>
        <v/>
      </c>
      <c r="AB165" s="70">
        <f>IF($S165="","",IF(N($T165)&gt;0,AVERAGEIFS($X$5:$X$1000,$R$5:$R$1000,ROW(),$S$5:$S$1000,"Sub"),$X165))</f>
        <v/>
      </c>
    </row>
    <row r="166">
      <c r="A166" s="61">
        <f>IF(NOT((COUNTA($B166:$K166)+COUNTA($N166))&gt;0),"",IF($S166="Macro",COUNTIFS($S$5:$S166,"Macro",$P$5:$P166,$P166),IF(N($R166)=0,"?",COUNTIFS(INDEX($S$5:$S$1000,1):INDEX($S$5:$S$1000,$R166-4),"Macro",INDEX($P$5:$P$1000,1):INDEX($P$5:$P$1000,$R166-4),INDEX($P$5:$P$1000,$R166-4))&amp;"."&amp;COUNTIFS($R$5:$R166,$R166,$S$5:$S166,"Sub"))))</f>
        <v/>
      </c>
      <c r="B166" s="62" t="n"/>
      <c r="C166" s="63" t="n"/>
      <c r="D166" s="62" t="n"/>
      <c r="E166" s="64" t="n"/>
      <c r="F166" s="64" t="n"/>
      <c r="G166" s="65" t="n"/>
      <c r="H166" s="66" t="n"/>
      <c r="I166" s="66" t="n"/>
      <c r="J166" s="66" t="n"/>
      <c r="K166" s="66" t="n"/>
      <c r="L166" s="67">
        <f>IF(NOT((COUNTA($B166:$K166)+COUNTA($N166))&gt;0),"",IF(N($T166)&gt;0,$AB166,IFERROR(LOOKUP(2,1/(H166:K166&lt;&gt;""),H166:K166),0)))</f>
        <v/>
      </c>
      <c r="M166" s="61">
        <f>IF(L166="","",IF(L166&gt;=1,"Completado",IF(L166&gt;0,"En curso","Pendiente")))</f>
        <v/>
      </c>
      <c r="N166" s="62" t="n"/>
      <c r="O166" s="68">
        <f>IF(NOT((COUNTA($B166:$K166)+COUNTA($N166))&gt;0),"",IF((IF(AND($S166="Macro",$B166=""),"Macroactividad vacía"&amp;" · ","")&amp;IF(AND($B166&lt;&gt;"",$C166&lt;&gt;""),"Escriba la subactividad en otra fila, debajo de su macroactividad"&amp;" · ","")&amp;IF(AND($S166="Sub",N($R166)=0),"Subactividad sin macroactividad arriba"&amp;" · ","")&amp;IF($D166="","Sin responsable"&amp;" · ","")&amp;IF($E166="","Sin fecha de inicio"&amp;" · ","")&amp;IF($F166="","Sin fecha límite"&amp;" · ","")&amp;IF(OR(AND($E166&lt;&gt;"",NOT(ISNUMBER($E166))),AND($F166&lt;&gt;"",NOT(ISNUMBER($F166)))),"Fecha no válida"&amp;" · ","")&amp;IF(AND(ISNUMBER($E166),ISNUMBER($F166),$E166&gt;$F166),"Inicio posterior a fecha límite"&amp;" · ","")&amp;IF(AND($S166="Macro",$G166=""),"Peso vacío"&amp;" · ","")&amp;IF(AND($S166="Macro",$G166&lt;&gt;"",OR(NOT(ISNUMBER($G166)),$G166&lt;=0,$G166&gt;1)),"Peso fuera de rango"&amp;" · ","")&amp;IF(AND($S166="Sub",$G166&lt;&gt;""),"Las subactividades no llevan peso"&amp;" · ","")&amp;IF(AND($S166="Macro",ABS(SUMIFS($G$5:$G$1000,$P$5:$P$1000,$P166,$S$5:$S$1000,"Macro")-1)&gt;0.0001),"Pesos del mes suman "&amp;TEXT(SUMIFS($G$5:$G$1000,$P$5:$P$1000,$P166,$S$5:$S$1000,"Macro"),"0%")&amp;" · ","")&amp;IF(AND(N($T166)&gt;0,COUNT($H166:$K166)&gt;0),"Con subactividades: deje vacías las semanas (se calculan solas)"&amp;" · ","")&amp;IF((COUNTIF($H166:$K166,"&gt;1")+COUNTIF($H166:$K166,"&lt;0")+COUNTA($H166:$K166)-COUNT($H166:$K166))&gt;0,"Avance fuera de rango 0-100%"&amp;" · ","")&amp;IF(OR(AND($I166&lt;&gt;"",$I166&lt;$H166),AND($J166&lt;&gt;"",$J166&lt;MAX($H166:$I166)),AND($K166&lt;&gt;"",$K166&lt;MAX($H166:$J166))),"Avance semanal decreciente"&amp;" · ","")&amp;IF(AND(ISNUMBER($F166),$F166&lt;FechaRef,N($L166)&lt;1),"Vencida"&amp;" · ","")&amp;IF(AND(ObsObligatoria="Sí",ISNUMBER($F166),$F166&lt;FechaRef,N($L166)&lt;1,$N166=""),"Vencida sin observación"&amp;" · ",""))="","✔ OK","⚠ "&amp;LEFT(IF(AND($S166="Macro",$B166=""),"Macroactividad vacía"&amp;" · ","")&amp;IF(AND($B166&lt;&gt;"",$C166&lt;&gt;""),"Escriba la subactividad en otra fila, debajo de su macroactividad"&amp;" · ","")&amp;IF(AND($S166="Sub",N($R166)=0),"Subactividad sin macroactividad arriba"&amp;" · ","")&amp;IF($D166="","Sin responsable"&amp;" · ","")&amp;IF($E166="","Sin fecha de inicio"&amp;" · ","")&amp;IF($F166="","Sin fecha límite"&amp;" · ","")&amp;IF(OR(AND($E166&lt;&gt;"",NOT(ISNUMBER($E166))),AND($F166&lt;&gt;"",NOT(ISNUMBER($F166)))),"Fecha no válida"&amp;" · ","")&amp;IF(AND(ISNUMBER($E166),ISNUMBER($F166),$E166&gt;$F166),"Inicio posterior a fecha límite"&amp;" · ","")&amp;IF(AND($S166="Macro",$G166=""),"Peso vacío"&amp;" · ","")&amp;IF(AND($S166="Macro",$G166&lt;&gt;"",OR(NOT(ISNUMBER($G166)),$G166&lt;=0,$G166&gt;1)),"Peso fuera de rango"&amp;" · ","")&amp;IF(AND($S166="Sub",$G166&lt;&gt;""),"Las subactividades no llevan peso"&amp;" · ","")&amp;IF(AND($S166="Macro",ABS(SUMIFS($G$5:$G$1000,$P$5:$P$1000,$P166,$S$5:$S$1000,"Macro")-1)&gt;0.0001),"Pesos del mes suman "&amp;TEXT(SUMIFS($G$5:$G$1000,$P$5:$P$1000,$P166,$S$5:$S$1000,"Macro"),"0%")&amp;" · ","")&amp;IF(AND(N($T166)&gt;0,COUNT($H166:$K166)&gt;0),"Con subactividades: deje vacías las semanas (se calculan solas)"&amp;" · ","")&amp;IF((COUNTIF($H166:$K166,"&gt;1")+COUNTIF($H166:$K166,"&lt;0")+COUNTA($H166:$K166)-COUNT($H166:$K166))&gt;0,"Avance fuera de rango 0-100%"&amp;" · ","")&amp;IF(OR(AND($I166&lt;&gt;"",$I166&lt;$H166),AND($J166&lt;&gt;"",$J166&lt;MAX($H166:$I166)),AND($K166&lt;&gt;"",$K166&lt;MAX($H166:$J166))),"Avance semanal decreciente"&amp;" · ","")&amp;IF(AND(ISNUMBER($F166),$F166&lt;FechaRef,N($L166)&lt;1),"Vencida"&amp;" · ","")&amp;IF(AND(ObsObligatoria="Sí",ISNUMBER($F166),$F166&lt;FechaRef,N($L166)&lt;1,$N166=""),"Vencida sin observación"&amp;" · ",""),LEN(IF(AND($S166="Macro",$B166=""),"Macroactividad vacía"&amp;" · ","")&amp;IF(AND($B166&lt;&gt;"",$C166&lt;&gt;""),"Escriba la subactividad en otra fila, debajo de su macroactividad"&amp;" · ","")&amp;IF(AND($S166="Sub",N($R166)=0),"Subactividad sin macroactividad arriba"&amp;" · ","")&amp;IF($D166="","Sin responsable"&amp;" · ","")&amp;IF($E166="","Sin fecha de inicio"&amp;" · ","")&amp;IF($F166="","Sin fecha límite"&amp;" · ","")&amp;IF(OR(AND($E166&lt;&gt;"",NOT(ISNUMBER($E166))),AND($F166&lt;&gt;"",NOT(ISNUMBER($F166)))),"Fecha no válida"&amp;" · ","")&amp;IF(AND(ISNUMBER($E166),ISNUMBER($F166),$E166&gt;$F166),"Inicio posterior a fecha límite"&amp;" · ","")&amp;IF(AND($S166="Macro",$G166=""),"Peso vacío"&amp;" · ","")&amp;IF(AND($S166="Macro",$G166&lt;&gt;"",OR(NOT(ISNUMBER($G166)),$G166&lt;=0,$G166&gt;1)),"Peso fuera de rango"&amp;" · ","")&amp;IF(AND($S166="Sub",$G166&lt;&gt;""),"Las subactividades no llevan peso"&amp;" · ","")&amp;IF(AND($S166="Macro",ABS(SUMIFS($G$5:$G$1000,$P$5:$P$1000,$P166,$S$5:$S$1000,"Macro")-1)&gt;0.0001),"Pesos del mes suman "&amp;TEXT(SUMIFS($G$5:$G$1000,$P$5:$P$1000,$P166,$S$5:$S$1000,"Macro"),"0%")&amp;" · ","")&amp;IF(AND(N($T166)&gt;0,COUNT($H166:$K166)&gt;0),"Con subactividades: deje vacías las semanas (se calculan solas)"&amp;" · ","")&amp;IF((COUNTIF($H166:$K166,"&gt;1")+COUNTIF($H166:$K166,"&lt;0")+COUNTA($H166:$K166)-COUNT($H166:$K166))&gt;0,"Avance fuera de rango 0-100%"&amp;" · ","")&amp;IF(OR(AND($I166&lt;&gt;"",$I166&lt;$H166),AND($J166&lt;&gt;"",$J166&lt;MAX($H166:$I166)),AND($K166&lt;&gt;"",$K166&lt;MAX($H166:$J166))),"Avance semanal decreciente"&amp;" · ","")&amp;IF(AND(ISNUMBER($F166),$F166&lt;FechaRef,N($L166)&lt;1),"Vencida"&amp;" · ","")&amp;IF(AND(ObsObligatoria="Sí",ISNUMBER($F166),$F166&lt;FechaRef,N($L166)&lt;1,$N166=""),"Vencida sin observación"&amp;" · ",""))-3)))</f>
        <v/>
      </c>
      <c r="P166" s="69">
        <f>IF(NOT((COUNTA($B166:$K166)+COUNTA($N166))&gt;0),"",IF(AND($S166="Sub",N($R166)&gt;0),IF(ISNUMBER(INDEX($E$5:$E$1000,$R166-4)),DATE(YEAR(INDEX($E$5:$E$1000,$R166-4)),MONTH(INDEX($E$5:$E$1000,$R166-4)),1),IF(ISNUMBER(INDEX($F$5:$F$1000,$R166-4)),DATE(YEAR(INDEX($F$5:$F$1000,$R166-4)),MONTH(INDEX($F$5:$F$1000,$R166-4)),1),MesCiclo)),IF(ISNUMBER($E166),DATE(YEAR($E166),MONTH($E166),1),IF(ISNUMBER($F166),DATE(YEAR($F166),MONTH($F166),1),MesCiclo))))</f>
        <v/>
      </c>
      <c r="Q166" s="70">
        <f>IF(OR($P166="",$P166&lt;&gt;MesCiclo),"",COUNTIF($P$5:$P166,MesCiclo))</f>
        <v/>
      </c>
      <c r="R166" s="70">
        <f>IF($S166="","",IF($S166="Macro",ROW(),IFERROR(LOOKUP(2,1/($S$5:$S166="Macro"),ROW($S$5:$S166)),0)))</f>
        <v/>
      </c>
      <c r="S166" s="70">
        <f>IF(NOT((COUNTA($B166:$K166)+COUNTA($N166))&gt;0),"",IF($B166&lt;&gt;"","Macro",IF($C166&lt;&gt;"","Sub","Macro")))</f>
        <v/>
      </c>
      <c r="T166" s="70">
        <f>IF($S166="Macro",COUNTIFS($R$5:$R$1000,ROW(),$S$5:$S$1000,"Sub"),"")</f>
        <v/>
      </c>
      <c r="U166" s="70">
        <f>IF($S166="","",IF(ISNUMBER($H166),$H166,0))</f>
        <v/>
      </c>
      <c r="V166" s="70">
        <f>IF($S166="","",IF(ISNUMBER($I166),$I166,$U166))</f>
        <v/>
      </c>
      <c r="W166" s="70">
        <f>IF($S166="","",IF(ISNUMBER($J166),$J166,$V166))</f>
        <v/>
      </c>
      <c r="X166" s="70">
        <f>IF($S166="","",IF(ISNUMBER($K166),$K166,$W166))</f>
        <v/>
      </c>
      <c r="Y166" s="70">
        <f>IF($S166="","",IF(N($T166)&gt;0,AVERAGEIFS($U$5:$U$1000,$R$5:$R$1000,ROW(),$S$5:$S$1000,"Sub"),$U166))</f>
        <v/>
      </c>
      <c r="Z166" s="70">
        <f>IF($S166="","",IF(N($T166)&gt;0,AVERAGEIFS($V$5:$V$1000,$R$5:$R$1000,ROW(),$S$5:$S$1000,"Sub"),$V166))</f>
        <v/>
      </c>
      <c r="AA166" s="70">
        <f>IF($S166="","",IF(N($T166)&gt;0,AVERAGEIFS($W$5:$W$1000,$R$5:$R$1000,ROW(),$S$5:$S$1000,"Sub"),$W166))</f>
        <v/>
      </c>
      <c r="AB166" s="70">
        <f>IF($S166="","",IF(N($T166)&gt;0,AVERAGEIFS($X$5:$X$1000,$R$5:$R$1000,ROW(),$S$5:$S$1000,"Sub"),$X166))</f>
        <v/>
      </c>
    </row>
    <row r="167">
      <c r="A167" s="61">
        <f>IF(NOT((COUNTA($B167:$K167)+COUNTA($N167))&gt;0),"",IF($S167="Macro",COUNTIFS($S$5:$S167,"Macro",$P$5:$P167,$P167),IF(N($R167)=0,"?",COUNTIFS(INDEX($S$5:$S$1000,1):INDEX($S$5:$S$1000,$R167-4),"Macro",INDEX($P$5:$P$1000,1):INDEX($P$5:$P$1000,$R167-4),INDEX($P$5:$P$1000,$R167-4))&amp;"."&amp;COUNTIFS($R$5:$R167,$R167,$S$5:$S167,"Sub"))))</f>
        <v/>
      </c>
      <c r="B167" s="62" t="n"/>
      <c r="C167" s="63" t="n"/>
      <c r="D167" s="62" t="n"/>
      <c r="E167" s="64" t="n"/>
      <c r="F167" s="64" t="n"/>
      <c r="G167" s="65" t="n"/>
      <c r="H167" s="66" t="n"/>
      <c r="I167" s="66" t="n"/>
      <c r="J167" s="66" t="n"/>
      <c r="K167" s="66" t="n"/>
      <c r="L167" s="67">
        <f>IF(NOT((COUNTA($B167:$K167)+COUNTA($N167))&gt;0),"",IF(N($T167)&gt;0,$AB167,IFERROR(LOOKUP(2,1/(H167:K167&lt;&gt;""),H167:K167),0)))</f>
        <v/>
      </c>
      <c r="M167" s="61">
        <f>IF(L167="","",IF(L167&gt;=1,"Completado",IF(L167&gt;0,"En curso","Pendiente")))</f>
        <v/>
      </c>
      <c r="N167" s="62" t="n"/>
      <c r="O167" s="68">
        <f>IF(NOT((COUNTA($B167:$K167)+COUNTA($N167))&gt;0),"",IF((IF(AND($S167="Macro",$B167=""),"Macroactividad vacía"&amp;" · ","")&amp;IF(AND($B167&lt;&gt;"",$C167&lt;&gt;""),"Escriba la subactividad en otra fila, debajo de su macroactividad"&amp;" · ","")&amp;IF(AND($S167="Sub",N($R167)=0),"Subactividad sin macroactividad arriba"&amp;" · ","")&amp;IF($D167="","Sin responsable"&amp;" · ","")&amp;IF($E167="","Sin fecha de inicio"&amp;" · ","")&amp;IF($F167="","Sin fecha límite"&amp;" · ","")&amp;IF(OR(AND($E167&lt;&gt;"",NOT(ISNUMBER($E167))),AND($F167&lt;&gt;"",NOT(ISNUMBER($F167)))),"Fecha no válida"&amp;" · ","")&amp;IF(AND(ISNUMBER($E167),ISNUMBER($F167),$E167&gt;$F167),"Inicio posterior a fecha límite"&amp;" · ","")&amp;IF(AND($S167="Macro",$G167=""),"Peso vacío"&amp;" · ","")&amp;IF(AND($S167="Macro",$G167&lt;&gt;"",OR(NOT(ISNUMBER($G167)),$G167&lt;=0,$G167&gt;1)),"Peso fuera de rango"&amp;" · ","")&amp;IF(AND($S167="Sub",$G167&lt;&gt;""),"Las subactividades no llevan peso"&amp;" · ","")&amp;IF(AND($S167="Macro",ABS(SUMIFS($G$5:$G$1000,$P$5:$P$1000,$P167,$S$5:$S$1000,"Macro")-1)&gt;0.0001),"Pesos del mes suman "&amp;TEXT(SUMIFS($G$5:$G$1000,$P$5:$P$1000,$P167,$S$5:$S$1000,"Macro"),"0%")&amp;" · ","")&amp;IF(AND(N($T167)&gt;0,COUNT($H167:$K167)&gt;0),"Con subactividades: deje vacías las semanas (se calculan solas)"&amp;" · ","")&amp;IF((COUNTIF($H167:$K167,"&gt;1")+COUNTIF($H167:$K167,"&lt;0")+COUNTA($H167:$K167)-COUNT($H167:$K167))&gt;0,"Avance fuera de rango 0-100%"&amp;" · ","")&amp;IF(OR(AND($I167&lt;&gt;"",$I167&lt;$H167),AND($J167&lt;&gt;"",$J167&lt;MAX($H167:$I167)),AND($K167&lt;&gt;"",$K167&lt;MAX($H167:$J167))),"Avance semanal decreciente"&amp;" · ","")&amp;IF(AND(ISNUMBER($F167),$F167&lt;FechaRef,N($L167)&lt;1),"Vencida"&amp;" · ","")&amp;IF(AND(ObsObligatoria="Sí",ISNUMBER($F167),$F167&lt;FechaRef,N($L167)&lt;1,$N167=""),"Vencida sin observación"&amp;" · ",""))="","✔ OK","⚠ "&amp;LEFT(IF(AND($S167="Macro",$B167=""),"Macroactividad vacía"&amp;" · ","")&amp;IF(AND($B167&lt;&gt;"",$C167&lt;&gt;""),"Escriba la subactividad en otra fila, debajo de su macroactividad"&amp;" · ","")&amp;IF(AND($S167="Sub",N($R167)=0),"Subactividad sin macroactividad arriba"&amp;" · ","")&amp;IF($D167="","Sin responsable"&amp;" · ","")&amp;IF($E167="","Sin fecha de inicio"&amp;" · ","")&amp;IF($F167="","Sin fecha límite"&amp;" · ","")&amp;IF(OR(AND($E167&lt;&gt;"",NOT(ISNUMBER($E167))),AND($F167&lt;&gt;"",NOT(ISNUMBER($F167)))),"Fecha no válida"&amp;" · ","")&amp;IF(AND(ISNUMBER($E167),ISNUMBER($F167),$E167&gt;$F167),"Inicio posterior a fecha límite"&amp;" · ","")&amp;IF(AND($S167="Macro",$G167=""),"Peso vacío"&amp;" · ","")&amp;IF(AND($S167="Macro",$G167&lt;&gt;"",OR(NOT(ISNUMBER($G167)),$G167&lt;=0,$G167&gt;1)),"Peso fuera de rango"&amp;" · ","")&amp;IF(AND($S167="Sub",$G167&lt;&gt;""),"Las subactividades no llevan peso"&amp;" · ","")&amp;IF(AND($S167="Macro",ABS(SUMIFS($G$5:$G$1000,$P$5:$P$1000,$P167,$S$5:$S$1000,"Macro")-1)&gt;0.0001),"Pesos del mes suman "&amp;TEXT(SUMIFS($G$5:$G$1000,$P$5:$P$1000,$P167,$S$5:$S$1000,"Macro"),"0%")&amp;" · ","")&amp;IF(AND(N($T167)&gt;0,COUNT($H167:$K167)&gt;0),"Con subactividades: deje vacías las semanas (se calculan solas)"&amp;" · ","")&amp;IF((COUNTIF($H167:$K167,"&gt;1")+COUNTIF($H167:$K167,"&lt;0")+COUNTA($H167:$K167)-COUNT($H167:$K167))&gt;0,"Avance fuera de rango 0-100%"&amp;" · ","")&amp;IF(OR(AND($I167&lt;&gt;"",$I167&lt;$H167),AND($J167&lt;&gt;"",$J167&lt;MAX($H167:$I167)),AND($K167&lt;&gt;"",$K167&lt;MAX($H167:$J167))),"Avance semanal decreciente"&amp;" · ","")&amp;IF(AND(ISNUMBER($F167),$F167&lt;FechaRef,N($L167)&lt;1),"Vencida"&amp;" · ","")&amp;IF(AND(ObsObligatoria="Sí",ISNUMBER($F167),$F167&lt;FechaRef,N($L167)&lt;1,$N167=""),"Vencida sin observación"&amp;" · ",""),LEN(IF(AND($S167="Macro",$B167=""),"Macroactividad vacía"&amp;" · ","")&amp;IF(AND($B167&lt;&gt;"",$C167&lt;&gt;""),"Escriba la subactividad en otra fila, debajo de su macroactividad"&amp;" · ","")&amp;IF(AND($S167="Sub",N($R167)=0),"Subactividad sin macroactividad arriba"&amp;" · ","")&amp;IF($D167="","Sin responsable"&amp;" · ","")&amp;IF($E167="","Sin fecha de inicio"&amp;" · ","")&amp;IF($F167="","Sin fecha límite"&amp;" · ","")&amp;IF(OR(AND($E167&lt;&gt;"",NOT(ISNUMBER($E167))),AND($F167&lt;&gt;"",NOT(ISNUMBER($F167)))),"Fecha no válida"&amp;" · ","")&amp;IF(AND(ISNUMBER($E167),ISNUMBER($F167),$E167&gt;$F167),"Inicio posterior a fecha límite"&amp;" · ","")&amp;IF(AND($S167="Macro",$G167=""),"Peso vacío"&amp;" · ","")&amp;IF(AND($S167="Macro",$G167&lt;&gt;"",OR(NOT(ISNUMBER($G167)),$G167&lt;=0,$G167&gt;1)),"Peso fuera de rango"&amp;" · ","")&amp;IF(AND($S167="Sub",$G167&lt;&gt;""),"Las subactividades no llevan peso"&amp;" · ","")&amp;IF(AND($S167="Macro",ABS(SUMIFS($G$5:$G$1000,$P$5:$P$1000,$P167,$S$5:$S$1000,"Macro")-1)&gt;0.0001),"Pesos del mes suman "&amp;TEXT(SUMIFS($G$5:$G$1000,$P$5:$P$1000,$P167,$S$5:$S$1000,"Macro"),"0%")&amp;" · ","")&amp;IF(AND(N($T167)&gt;0,COUNT($H167:$K167)&gt;0),"Con subactividades: deje vacías las semanas (se calculan solas)"&amp;" · ","")&amp;IF((COUNTIF($H167:$K167,"&gt;1")+COUNTIF($H167:$K167,"&lt;0")+COUNTA($H167:$K167)-COUNT($H167:$K167))&gt;0,"Avance fuera de rango 0-100%"&amp;" · ","")&amp;IF(OR(AND($I167&lt;&gt;"",$I167&lt;$H167),AND($J167&lt;&gt;"",$J167&lt;MAX($H167:$I167)),AND($K167&lt;&gt;"",$K167&lt;MAX($H167:$J167))),"Avance semanal decreciente"&amp;" · ","")&amp;IF(AND(ISNUMBER($F167),$F167&lt;FechaRef,N($L167)&lt;1),"Vencida"&amp;" · ","")&amp;IF(AND(ObsObligatoria="Sí",ISNUMBER($F167),$F167&lt;FechaRef,N($L167)&lt;1,$N167=""),"Vencida sin observación"&amp;" · ",""))-3)))</f>
        <v/>
      </c>
      <c r="P167" s="69">
        <f>IF(NOT((COUNTA($B167:$K167)+COUNTA($N167))&gt;0),"",IF(AND($S167="Sub",N($R167)&gt;0),IF(ISNUMBER(INDEX($E$5:$E$1000,$R167-4)),DATE(YEAR(INDEX($E$5:$E$1000,$R167-4)),MONTH(INDEX($E$5:$E$1000,$R167-4)),1),IF(ISNUMBER(INDEX($F$5:$F$1000,$R167-4)),DATE(YEAR(INDEX($F$5:$F$1000,$R167-4)),MONTH(INDEX($F$5:$F$1000,$R167-4)),1),MesCiclo)),IF(ISNUMBER($E167),DATE(YEAR($E167),MONTH($E167),1),IF(ISNUMBER($F167),DATE(YEAR($F167),MONTH($F167),1),MesCiclo))))</f>
        <v/>
      </c>
      <c r="Q167" s="70">
        <f>IF(OR($P167="",$P167&lt;&gt;MesCiclo),"",COUNTIF($P$5:$P167,MesCiclo))</f>
        <v/>
      </c>
      <c r="R167" s="70">
        <f>IF($S167="","",IF($S167="Macro",ROW(),IFERROR(LOOKUP(2,1/($S$5:$S167="Macro"),ROW($S$5:$S167)),0)))</f>
        <v/>
      </c>
      <c r="S167" s="70">
        <f>IF(NOT((COUNTA($B167:$K167)+COUNTA($N167))&gt;0),"",IF($B167&lt;&gt;"","Macro",IF($C167&lt;&gt;"","Sub","Macro")))</f>
        <v/>
      </c>
      <c r="T167" s="70">
        <f>IF($S167="Macro",COUNTIFS($R$5:$R$1000,ROW(),$S$5:$S$1000,"Sub"),"")</f>
        <v/>
      </c>
      <c r="U167" s="70">
        <f>IF($S167="","",IF(ISNUMBER($H167),$H167,0))</f>
        <v/>
      </c>
      <c r="V167" s="70">
        <f>IF($S167="","",IF(ISNUMBER($I167),$I167,$U167))</f>
        <v/>
      </c>
      <c r="W167" s="70">
        <f>IF($S167="","",IF(ISNUMBER($J167),$J167,$V167))</f>
        <v/>
      </c>
      <c r="X167" s="70">
        <f>IF($S167="","",IF(ISNUMBER($K167),$K167,$W167))</f>
        <v/>
      </c>
      <c r="Y167" s="70">
        <f>IF($S167="","",IF(N($T167)&gt;0,AVERAGEIFS($U$5:$U$1000,$R$5:$R$1000,ROW(),$S$5:$S$1000,"Sub"),$U167))</f>
        <v/>
      </c>
      <c r="Z167" s="70">
        <f>IF($S167="","",IF(N($T167)&gt;0,AVERAGEIFS($V$5:$V$1000,$R$5:$R$1000,ROW(),$S$5:$S$1000,"Sub"),$V167))</f>
        <v/>
      </c>
      <c r="AA167" s="70">
        <f>IF($S167="","",IF(N($T167)&gt;0,AVERAGEIFS($W$5:$W$1000,$R$5:$R$1000,ROW(),$S$5:$S$1000,"Sub"),$W167))</f>
        <v/>
      </c>
      <c r="AB167" s="70">
        <f>IF($S167="","",IF(N($T167)&gt;0,AVERAGEIFS($X$5:$X$1000,$R$5:$R$1000,ROW(),$S$5:$S$1000,"Sub"),$X167))</f>
        <v/>
      </c>
    </row>
    <row r="168">
      <c r="A168" s="61">
        <f>IF(NOT((COUNTA($B168:$K168)+COUNTA($N168))&gt;0),"",IF($S168="Macro",COUNTIFS($S$5:$S168,"Macro",$P$5:$P168,$P168),IF(N($R168)=0,"?",COUNTIFS(INDEX($S$5:$S$1000,1):INDEX($S$5:$S$1000,$R168-4),"Macro",INDEX($P$5:$P$1000,1):INDEX($P$5:$P$1000,$R168-4),INDEX($P$5:$P$1000,$R168-4))&amp;"."&amp;COUNTIFS($R$5:$R168,$R168,$S$5:$S168,"Sub"))))</f>
        <v/>
      </c>
      <c r="B168" s="62" t="n"/>
      <c r="C168" s="63" t="n"/>
      <c r="D168" s="62" t="n"/>
      <c r="E168" s="64" t="n"/>
      <c r="F168" s="64" t="n"/>
      <c r="G168" s="65" t="n"/>
      <c r="H168" s="66" t="n"/>
      <c r="I168" s="66" t="n"/>
      <c r="J168" s="66" t="n"/>
      <c r="K168" s="66" t="n"/>
      <c r="L168" s="67">
        <f>IF(NOT((COUNTA($B168:$K168)+COUNTA($N168))&gt;0),"",IF(N($T168)&gt;0,$AB168,IFERROR(LOOKUP(2,1/(H168:K168&lt;&gt;""),H168:K168),0)))</f>
        <v/>
      </c>
      <c r="M168" s="61">
        <f>IF(L168="","",IF(L168&gt;=1,"Completado",IF(L168&gt;0,"En curso","Pendiente")))</f>
        <v/>
      </c>
      <c r="N168" s="62" t="n"/>
      <c r="O168" s="68">
        <f>IF(NOT((COUNTA($B168:$K168)+COUNTA($N168))&gt;0),"",IF((IF(AND($S168="Macro",$B168=""),"Macroactividad vacía"&amp;" · ","")&amp;IF(AND($B168&lt;&gt;"",$C168&lt;&gt;""),"Escriba la subactividad en otra fila, debajo de su macroactividad"&amp;" · ","")&amp;IF(AND($S168="Sub",N($R168)=0),"Subactividad sin macroactividad arriba"&amp;" · ","")&amp;IF($D168="","Sin responsable"&amp;" · ","")&amp;IF($E168="","Sin fecha de inicio"&amp;" · ","")&amp;IF($F168="","Sin fecha límite"&amp;" · ","")&amp;IF(OR(AND($E168&lt;&gt;"",NOT(ISNUMBER($E168))),AND($F168&lt;&gt;"",NOT(ISNUMBER($F168)))),"Fecha no válida"&amp;" · ","")&amp;IF(AND(ISNUMBER($E168),ISNUMBER($F168),$E168&gt;$F168),"Inicio posterior a fecha límite"&amp;" · ","")&amp;IF(AND($S168="Macro",$G168=""),"Peso vacío"&amp;" · ","")&amp;IF(AND($S168="Macro",$G168&lt;&gt;"",OR(NOT(ISNUMBER($G168)),$G168&lt;=0,$G168&gt;1)),"Peso fuera de rango"&amp;" · ","")&amp;IF(AND($S168="Sub",$G168&lt;&gt;""),"Las subactividades no llevan peso"&amp;" · ","")&amp;IF(AND($S168="Macro",ABS(SUMIFS($G$5:$G$1000,$P$5:$P$1000,$P168,$S$5:$S$1000,"Macro")-1)&gt;0.0001),"Pesos del mes suman "&amp;TEXT(SUMIFS($G$5:$G$1000,$P$5:$P$1000,$P168,$S$5:$S$1000,"Macro"),"0%")&amp;" · ","")&amp;IF(AND(N($T168)&gt;0,COUNT($H168:$K168)&gt;0),"Con subactividades: deje vacías las semanas (se calculan solas)"&amp;" · ","")&amp;IF((COUNTIF($H168:$K168,"&gt;1")+COUNTIF($H168:$K168,"&lt;0")+COUNTA($H168:$K168)-COUNT($H168:$K168))&gt;0,"Avance fuera de rango 0-100%"&amp;" · ","")&amp;IF(OR(AND($I168&lt;&gt;"",$I168&lt;$H168),AND($J168&lt;&gt;"",$J168&lt;MAX($H168:$I168)),AND($K168&lt;&gt;"",$K168&lt;MAX($H168:$J168))),"Avance semanal decreciente"&amp;" · ","")&amp;IF(AND(ISNUMBER($F168),$F168&lt;FechaRef,N($L168)&lt;1),"Vencida"&amp;" · ","")&amp;IF(AND(ObsObligatoria="Sí",ISNUMBER($F168),$F168&lt;FechaRef,N($L168)&lt;1,$N168=""),"Vencida sin observación"&amp;" · ",""))="","✔ OK","⚠ "&amp;LEFT(IF(AND($S168="Macro",$B168=""),"Macroactividad vacía"&amp;" · ","")&amp;IF(AND($B168&lt;&gt;"",$C168&lt;&gt;""),"Escriba la subactividad en otra fila, debajo de su macroactividad"&amp;" · ","")&amp;IF(AND($S168="Sub",N($R168)=0),"Subactividad sin macroactividad arriba"&amp;" · ","")&amp;IF($D168="","Sin responsable"&amp;" · ","")&amp;IF($E168="","Sin fecha de inicio"&amp;" · ","")&amp;IF($F168="","Sin fecha límite"&amp;" · ","")&amp;IF(OR(AND($E168&lt;&gt;"",NOT(ISNUMBER($E168))),AND($F168&lt;&gt;"",NOT(ISNUMBER($F168)))),"Fecha no válida"&amp;" · ","")&amp;IF(AND(ISNUMBER($E168),ISNUMBER($F168),$E168&gt;$F168),"Inicio posterior a fecha límite"&amp;" · ","")&amp;IF(AND($S168="Macro",$G168=""),"Peso vacío"&amp;" · ","")&amp;IF(AND($S168="Macro",$G168&lt;&gt;"",OR(NOT(ISNUMBER($G168)),$G168&lt;=0,$G168&gt;1)),"Peso fuera de rango"&amp;" · ","")&amp;IF(AND($S168="Sub",$G168&lt;&gt;""),"Las subactividades no llevan peso"&amp;" · ","")&amp;IF(AND($S168="Macro",ABS(SUMIFS($G$5:$G$1000,$P$5:$P$1000,$P168,$S$5:$S$1000,"Macro")-1)&gt;0.0001),"Pesos del mes suman "&amp;TEXT(SUMIFS($G$5:$G$1000,$P$5:$P$1000,$P168,$S$5:$S$1000,"Macro"),"0%")&amp;" · ","")&amp;IF(AND(N($T168)&gt;0,COUNT($H168:$K168)&gt;0),"Con subactividades: deje vacías las semanas (se calculan solas)"&amp;" · ","")&amp;IF((COUNTIF($H168:$K168,"&gt;1")+COUNTIF($H168:$K168,"&lt;0")+COUNTA($H168:$K168)-COUNT($H168:$K168))&gt;0,"Avance fuera de rango 0-100%"&amp;" · ","")&amp;IF(OR(AND($I168&lt;&gt;"",$I168&lt;$H168),AND($J168&lt;&gt;"",$J168&lt;MAX($H168:$I168)),AND($K168&lt;&gt;"",$K168&lt;MAX($H168:$J168))),"Avance semanal decreciente"&amp;" · ","")&amp;IF(AND(ISNUMBER($F168),$F168&lt;FechaRef,N($L168)&lt;1),"Vencida"&amp;" · ","")&amp;IF(AND(ObsObligatoria="Sí",ISNUMBER($F168),$F168&lt;FechaRef,N($L168)&lt;1,$N168=""),"Vencida sin observación"&amp;" · ",""),LEN(IF(AND($S168="Macro",$B168=""),"Macroactividad vacía"&amp;" · ","")&amp;IF(AND($B168&lt;&gt;"",$C168&lt;&gt;""),"Escriba la subactividad en otra fila, debajo de su macroactividad"&amp;" · ","")&amp;IF(AND($S168="Sub",N($R168)=0),"Subactividad sin macroactividad arriba"&amp;" · ","")&amp;IF($D168="","Sin responsable"&amp;" · ","")&amp;IF($E168="","Sin fecha de inicio"&amp;" · ","")&amp;IF($F168="","Sin fecha límite"&amp;" · ","")&amp;IF(OR(AND($E168&lt;&gt;"",NOT(ISNUMBER($E168))),AND($F168&lt;&gt;"",NOT(ISNUMBER($F168)))),"Fecha no válida"&amp;" · ","")&amp;IF(AND(ISNUMBER($E168),ISNUMBER($F168),$E168&gt;$F168),"Inicio posterior a fecha límite"&amp;" · ","")&amp;IF(AND($S168="Macro",$G168=""),"Peso vacío"&amp;" · ","")&amp;IF(AND($S168="Macro",$G168&lt;&gt;"",OR(NOT(ISNUMBER($G168)),$G168&lt;=0,$G168&gt;1)),"Peso fuera de rango"&amp;" · ","")&amp;IF(AND($S168="Sub",$G168&lt;&gt;""),"Las subactividades no llevan peso"&amp;" · ","")&amp;IF(AND($S168="Macro",ABS(SUMIFS($G$5:$G$1000,$P$5:$P$1000,$P168,$S$5:$S$1000,"Macro")-1)&gt;0.0001),"Pesos del mes suman "&amp;TEXT(SUMIFS($G$5:$G$1000,$P$5:$P$1000,$P168,$S$5:$S$1000,"Macro"),"0%")&amp;" · ","")&amp;IF(AND(N($T168)&gt;0,COUNT($H168:$K168)&gt;0),"Con subactividades: deje vacías las semanas (se calculan solas)"&amp;" · ","")&amp;IF((COUNTIF($H168:$K168,"&gt;1")+COUNTIF($H168:$K168,"&lt;0")+COUNTA($H168:$K168)-COUNT($H168:$K168))&gt;0,"Avance fuera de rango 0-100%"&amp;" · ","")&amp;IF(OR(AND($I168&lt;&gt;"",$I168&lt;$H168),AND($J168&lt;&gt;"",$J168&lt;MAX($H168:$I168)),AND($K168&lt;&gt;"",$K168&lt;MAX($H168:$J168))),"Avance semanal decreciente"&amp;" · ","")&amp;IF(AND(ISNUMBER($F168),$F168&lt;FechaRef,N($L168)&lt;1),"Vencida"&amp;" · ","")&amp;IF(AND(ObsObligatoria="Sí",ISNUMBER($F168),$F168&lt;FechaRef,N($L168)&lt;1,$N168=""),"Vencida sin observación"&amp;" · ",""))-3)))</f>
        <v/>
      </c>
      <c r="P168" s="69">
        <f>IF(NOT((COUNTA($B168:$K168)+COUNTA($N168))&gt;0),"",IF(AND($S168="Sub",N($R168)&gt;0),IF(ISNUMBER(INDEX($E$5:$E$1000,$R168-4)),DATE(YEAR(INDEX($E$5:$E$1000,$R168-4)),MONTH(INDEX($E$5:$E$1000,$R168-4)),1),IF(ISNUMBER(INDEX($F$5:$F$1000,$R168-4)),DATE(YEAR(INDEX($F$5:$F$1000,$R168-4)),MONTH(INDEX($F$5:$F$1000,$R168-4)),1),MesCiclo)),IF(ISNUMBER($E168),DATE(YEAR($E168),MONTH($E168),1),IF(ISNUMBER($F168),DATE(YEAR($F168),MONTH($F168),1),MesCiclo))))</f>
        <v/>
      </c>
      <c r="Q168" s="70">
        <f>IF(OR($P168="",$P168&lt;&gt;MesCiclo),"",COUNTIF($P$5:$P168,MesCiclo))</f>
        <v/>
      </c>
      <c r="R168" s="70">
        <f>IF($S168="","",IF($S168="Macro",ROW(),IFERROR(LOOKUP(2,1/($S$5:$S168="Macro"),ROW($S$5:$S168)),0)))</f>
        <v/>
      </c>
      <c r="S168" s="70">
        <f>IF(NOT((COUNTA($B168:$K168)+COUNTA($N168))&gt;0),"",IF($B168&lt;&gt;"","Macro",IF($C168&lt;&gt;"","Sub","Macro")))</f>
        <v/>
      </c>
      <c r="T168" s="70">
        <f>IF($S168="Macro",COUNTIFS($R$5:$R$1000,ROW(),$S$5:$S$1000,"Sub"),"")</f>
        <v/>
      </c>
      <c r="U168" s="70">
        <f>IF($S168="","",IF(ISNUMBER($H168),$H168,0))</f>
        <v/>
      </c>
      <c r="V168" s="70">
        <f>IF($S168="","",IF(ISNUMBER($I168),$I168,$U168))</f>
        <v/>
      </c>
      <c r="W168" s="70">
        <f>IF($S168="","",IF(ISNUMBER($J168),$J168,$V168))</f>
        <v/>
      </c>
      <c r="X168" s="70">
        <f>IF($S168="","",IF(ISNUMBER($K168),$K168,$W168))</f>
        <v/>
      </c>
      <c r="Y168" s="70">
        <f>IF($S168="","",IF(N($T168)&gt;0,AVERAGEIFS($U$5:$U$1000,$R$5:$R$1000,ROW(),$S$5:$S$1000,"Sub"),$U168))</f>
        <v/>
      </c>
      <c r="Z168" s="70">
        <f>IF($S168="","",IF(N($T168)&gt;0,AVERAGEIFS($V$5:$V$1000,$R$5:$R$1000,ROW(),$S$5:$S$1000,"Sub"),$V168))</f>
        <v/>
      </c>
      <c r="AA168" s="70">
        <f>IF($S168="","",IF(N($T168)&gt;0,AVERAGEIFS($W$5:$W$1000,$R$5:$R$1000,ROW(),$S$5:$S$1000,"Sub"),$W168))</f>
        <v/>
      </c>
      <c r="AB168" s="70">
        <f>IF($S168="","",IF(N($T168)&gt;0,AVERAGEIFS($X$5:$X$1000,$R$5:$R$1000,ROW(),$S$5:$S$1000,"Sub"),$X168))</f>
        <v/>
      </c>
    </row>
    <row r="169">
      <c r="A169" s="61">
        <f>IF(NOT((COUNTA($B169:$K169)+COUNTA($N169))&gt;0),"",IF($S169="Macro",COUNTIFS($S$5:$S169,"Macro",$P$5:$P169,$P169),IF(N($R169)=0,"?",COUNTIFS(INDEX($S$5:$S$1000,1):INDEX($S$5:$S$1000,$R169-4),"Macro",INDEX($P$5:$P$1000,1):INDEX($P$5:$P$1000,$R169-4),INDEX($P$5:$P$1000,$R169-4))&amp;"."&amp;COUNTIFS($R$5:$R169,$R169,$S$5:$S169,"Sub"))))</f>
        <v/>
      </c>
      <c r="B169" s="62" t="n"/>
      <c r="C169" s="63" t="n"/>
      <c r="D169" s="62" t="n"/>
      <c r="E169" s="64" t="n"/>
      <c r="F169" s="64" t="n"/>
      <c r="G169" s="65" t="n"/>
      <c r="H169" s="66" t="n"/>
      <c r="I169" s="66" t="n"/>
      <c r="J169" s="66" t="n"/>
      <c r="K169" s="66" t="n"/>
      <c r="L169" s="67">
        <f>IF(NOT((COUNTA($B169:$K169)+COUNTA($N169))&gt;0),"",IF(N($T169)&gt;0,$AB169,IFERROR(LOOKUP(2,1/(H169:K169&lt;&gt;""),H169:K169),0)))</f>
        <v/>
      </c>
      <c r="M169" s="61">
        <f>IF(L169="","",IF(L169&gt;=1,"Completado",IF(L169&gt;0,"En curso","Pendiente")))</f>
        <v/>
      </c>
      <c r="N169" s="62" t="n"/>
      <c r="O169" s="68">
        <f>IF(NOT((COUNTA($B169:$K169)+COUNTA($N169))&gt;0),"",IF((IF(AND($S169="Macro",$B169=""),"Macroactividad vacía"&amp;" · ","")&amp;IF(AND($B169&lt;&gt;"",$C169&lt;&gt;""),"Escriba la subactividad en otra fila, debajo de su macroactividad"&amp;" · ","")&amp;IF(AND($S169="Sub",N($R169)=0),"Subactividad sin macroactividad arriba"&amp;" · ","")&amp;IF($D169="","Sin responsable"&amp;" · ","")&amp;IF($E169="","Sin fecha de inicio"&amp;" · ","")&amp;IF($F169="","Sin fecha límite"&amp;" · ","")&amp;IF(OR(AND($E169&lt;&gt;"",NOT(ISNUMBER($E169))),AND($F169&lt;&gt;"",NOT(ISNUMBER($F169)))),"Fecha no válida"&amp;" · ","")&amp;IF(AND(ISNUMBER($E169),ISNUMBER($F169),$E169&gt;$F169),"Inicio posterior a fecha límite"&amp;" · ","")&amp;IF(AND($S169="Macro",$G169=""),"Peso vacío"&amp;" · ","")&amp;IF(AND($S169="Macro",$G169&lt;&gt;"",OR(NOT(ISNUMBER($G169)),$G169&lt;=0,$G169&gt;1)),"Peso fuera de rango"&amp;" · ","")&amp;IF(AND($S169="Sub",$G169&lt;&gt;""),"Las subactividades no llevan peso"&amp;" · ","")&amp;IF(AND($S169="Macro",ABS(SUMIFS($G$5:$G$1000,$P$5:$P$1000,$P169,$S$5:$S$1000,"Macro")-1)&gt;0.0001),"Pesos del mes suman "&amp;TEXT(SUMIFS($G$5:$G$1000,$P$5:$P$1000,$P169,$S$5:$S$1000,"Macro"),"0%")&amp;" · ","")&amp;IF(AND(N($T169)&gt;0,COUNT($H169:$K169)&gt;0),"Con subactividades: deje vacías las semanas (se calculan solas)"&amp;" · ","")&amp;IF((COUNTIF($H169:$K169,"&gt;1")+COUNTIF($H169:$K169,"&lt;0")+COUNTA($H169:$K169)-COUNT($H169:$K169))&gt;0,"Avance fuera de rango 0-100%"&amp;" · ","")&amp;IF(OR(AND($I169&lt;&gt;"",$I169&lt;$H169),AND($J169&lt;&gt;"",$J169&lt;MAX($H169:$I169)),AND($K169&lt;&gt;"",$K169&lt;MAX($H169:$J169))),"Avance semanal decreciente"&amp;" · ","")&amp;IF(AND(ISNUMBER($F169),$F169&lt;FechaRef,N($L169)&lt;1),"Vencida"&amp;" · ","")&amp;IF(AND(ObsObligatoria="Sí",ISNUMBER($F169),$F169&lt;FechaRef,N($L169)&lt;1,$N169=""),"Vencida sin observación"&amp;" · ",""))="","✔ OK","⚠ "&amp;LEFT(IF(AND($S169="Macro",$B169=""),"Macroactividad vacía"&amp;" · ","")&amp;IF(AND($B169&lt;&gt;"",$C169&lt;&gt;""),"Escriba la subactividad en otra fila, debajo de su macroactividad"&amp;" · ","")&amp;IF(AND($S169="Sub",N($R169)=0),"Subactividad sin macroactividad arriba"&amp;" · ","")&amp;IF($D169="","Sin responsable"&amp;" · ","")&amp;IF($E169="","Sin fecha de inicio"&amp;" · ","")&amp;IF($F169="","Sin fecha límite"&amp;" · ","")&amp;IF(OR(AND($E169&lt;&gt;"",NOT(ISNUMBER($E169))),AND($F169&lt;&gt;"",NOT(ISNUMBER($F169)))),"Fecha no válida"&amp;" · ","")&amp;IF(AND(ISNUMBER($E169),ISNUMBER($F169),$E169&gt;$F169),"Inicio posterior a fecha límite"&amp;" · ","")&amp;IF(AND($S169="Macro",$G169=""),"Peso vacío"&amp;" · ","")&amp;IF(AND($S169="Macro",$G169&lt;&gt;"",OR(NOT(ISNUMBER($G169)),$G169&lt;=0,$G169&gt;1)),"Peso fuera de rango"&amp;" · ","")&amp;IF(AND($S169="Sub",$G169&lt;&gt;""),"Las subactividades no llevan peso"&amp;" · ","")&amp;IF(AND($S169="Macro",ABS(SUMIFS($G$5:$G$1000,$P$5:$P$1000,$P169,$S$5:$S$1000,"Macro")-1)&gt;0.0001),"Pesos del mes suman "&amp;TEXT(SUMIFS($G$5:$G$1000,$P$5:$P$1000,$P169,$S$5:$S$1000,"Macro"),"0%")&amp;" · ","")&amp;IF(AND(N($T169)&gt;0,COUNT($H169:$K169)&gt;0),"Con subactividades: deje vacías las semanas (se calculan solas)"&amp;" · ","")&amp;IF((COUNTIF($H169:$K169,"&gt;1")+COUNTIF($H169:$K169,"&lt;0")+COUNTA($H169:$K169)-COUNT($H169:$K169))&gt;0,"Avance fuera de rango 0-100%"&amp;" · ","")&amp;IF(OR(AND($I169&lt;&gt;"",$I169&lt;$H169),AND($J169&lt;&gt;"",$J169&lt;MAX($H169:$I169)),AND($K169&lt;&gt;"",$K169&lt;MAX($H169:$J169))),"Avance semanal decreciente"&amp;" · ","")&amp;IF(AND(ISNUMBER($F169),$F169&lt;FechaRef,N($L169)&lt;1),"Vencida"&amp;" · ","")&amp;IF(AND(ObsObligatoria="Sí",ISNUMBER($F169),$F169&lt;FechaRef,N($L169)&lt;1,$N169=""),"Vencida sin observación"&amp;" · ",""),LEN(IF(AND($S169="Macro",$B169=""),"Macroactividad vacía"&amp;" · ","")&amp;IF(AND($B169&lt;&gt;"",$C169&lt;&gt;""),"Escriba la subactividad en otra fila, debajo de su macroactividad"&amp;" · ","")&amp;IF(AND($S169="Sub",N($R169)=0),"Subactividad sin macroactividad arriba"&amp;" · ","")&amp;IF($D169="","Sin responsable"&amp;" · ","")&amp;IF($E169="","Sin fecha de inicio"&amp;" · ","")&amp;IF($F169="","Sin fecha límite"&amp;" · ","")&amp;IF(OR(AND($E169&lt;&gt;"",NOT(ISNUMBER($E169))),AND($F169&lt;&gt;"",NOT(ISNUMBER($F169)))),"Fecha no válida"&amp;" · ","")&amp;IF(AND(ISNUMBER($E169),ISNUMBER($F169),$E169&gt;$F169),"Inicio posterior a fecha límite"&amp;" · ","")&amp;IF(AND($S169="Macro",$G169=""),"Peso vacío"&amp;" · ","")&amp;IF(AND($S169="Macro",$G169&lt;&gt;"",OR(NOT(ISNUMBER($G169)),$G169&lt;=0,$G169&gt;1)),"Peso fuera de rango"&amp;" · ","")&amp;IF(AND($S169="Sub",$G169&lt;&gt;""),"Las subactividades no llevan peso"&amp;" · ","")&amp;IF(AND($S169="Macro",ABS(SUMIFS($G$5:$G$1000,$P$5:$P$1000,$P169,$S$5:$S$1000,"Macro")-1)&gt;0.0001),"Pesos del mes suman "&amp;TEXT(SUMIFS($G$5:$G$1000,$P$5:$P$1000,$P169,$S$5:$S$1000,"Macro"),"0%")&amp;" · ","")&amp;IF(AND(N($T169)&gt;0,COUNT($H169:$K169)&gt;0),"Con subactividades: deje vacías las semanas (se calculan solas)"&amp;" · ","")&amp;IF((COUNTIF($H169:$K169,"&gt;1")+COUNTIF($H169:$K169,"&lt;0")+COUNTA($H169:$K169)-COUNT($H169:$K169))&gt;0,"Avance fuera de rango 0-100%"&amp;" · ","")&amp;IF(OR(AND($I169&lt;&gt;"",$I169&lt;$H169),AND($J169&lt;&gt;"",$J169&lt;MAX($H169:$I169)),AND($K169&lt;&gt;"",$K169&lt;MAX($H169:$J169))),"Avance semanal decreciente"&amp;" · ","")&amp;IF(AND(ISNUMBER($F169),$F169&lt;FechaRef,N($L169)&lt;1),"Vencida"&amp;" · ","")&amp;IF(AND(ObsObligatoria="Sí",ISNUMBER($F169),$F169&lt;FechaRef,N($L169)&lt;1,$N169=""),"Vencida sin observación"&amp;" · ",""))-3)))</f>
        <v/>
      </c>
      <c r="P169" s="69">
        <f>IF(NOT((COUNTA($B169:$K169)+COUNTA($N169))&gt;0),"",IF(AND($S169="Sub",N($R169)&gt;0),IF(ISNUMBER(INDEX($E$5:$E$1000,$R169-4)),DATE(YEAR(INDEX($E$5:$E$1000,$R169-4)),MONTH(INDEX($E$5:$E$1000,$R169-4)),1),IF(ISNUMBER(INDEX($F$5:$F$1000,$R169-4)),DATE(YEAR(INDEX($F$5:$F$1000,$R169-4)),MONTH(INDEX($F$5:$F$1000,$R169-4)),1),MesCiclo)),IF(ISNUMBER($E169),DATE(YEAR($E169),MONTH($E169),1),IF(ISNUMBER($F169),DATE(YEAR($F169),MONTH($F169),1),MesCiclo))))</f>
        <v/>
      </c>
      <c r="Q169" s="70">
        <f>IF(OR($P169="",$P169&lt;&gt;MesCiclo),"",COUNTIF($P$5:$P169,MesCiclo))</f>
        <v/>
      </c>
      <c r="R169" s="70">
        <f>IF($S169="","",IF($S169="Macro",ROW(),IFERROR(LOOKUP(2,1/($S$5:$S169="Macro"),ROW($S$5:$S169)),0)))</f>
        <v/>
      </c>
      <c r="S169" s="70">
        <f>IF(NOT((COUNTA($B169:$K169)+COUNTA($N169))&gt;0),"",IF($B169&lt;&gt;"","Macro",IF($C169&lt;&gt;"","Sub","Macro")))</f>
        <v/>
      </c>
      <c r="T169" s="70">
        <f>IF($S169="Macro",COUNTIFS($R$5:$R$1000,ROW(),$S$5:$S$1000,"Sub"),"")</f>
        <v/>
      </c>
      <c r="U169" s="70">
        <f>IF($S169="","",IF(ISNUMBER($H169),$H169,0))</f>
        <v/>
      </c>
      <c r="V169" s="70">
        <f>IF($S169="","",IF(ISNUMBER($I169),$I169,$U169))</f>
        <v/>
      </c>
      <c r="W169" s="70">
        <f>IF($S169="","",IF(ISNUMBER($J169),$J169,$V169))</f>
        <v/>
      </c>
      <c r="X169" s="70">
        <f>IF($S169="","",IF(ISNUMBER($K169),$K169,$W169))</f>
        <v/>
      </c>
      <c r="Y169" s="70">
        <f>IF($S169="","",IF(N($T169)&gt;0,AVERAGEIFS($U$5:$U$1000,$R$5:$R$1000,ROW(),$S$5:$S$1000,"Sub"),$U169))</f>
        <v/>
      </c>
      <c r="Z169" s="70">
        <f>IF($S169="","",IF(N($T169)&gt;0,AVERAGEIFS($V$5:$V$1000,$R$5:$R$1000,ROW(),$S$5:$S$1000,"Sub"),$V169))</f>
        <v/>
      </c>
      <c r="AA169" s="70">
        <f>IF($S169="","",IF(N($T169)&gt;0,AVERAGEIFS($W$5:$W$1000,$R$5:$R$1000,ROW(),$S$5:$S$1000,"Sub"),$W169))</f>
        <v/>
      </c>
      <c r="AB169" s="70">
        <f>IF($S169="","",IF(N($T169)&gt;0,AVERAGEIFS($X$5:$X$1000,$R$5:$R$1000,ROW(),$S$5:$S$1000,"Sub"),$X169))</f>
        <v/>
      </c>
    </row>
    <row r="170">
      <c r="A170" s="61">
        <f>IF(NOT((COUNTA($B170:$K170)+COUNTA($N170))&gt;0),"",IF($S170="Macro",COUNTIFS($S$5:$S170,"Macro",$P$5:$P170,$P170),IF(N($R170)=0,"?",COUNTIFS(INDEX($S$5:$S$1000,1):INDEX($S$5:$S$1000,$R170-4),"Macro",INDEX($P$5:$P$1000,1):INDEX($P$5:$P$1000,$R170-4),INDEX($P$5:$P$1000,$R170-4))&amp;"."&amp;COUNTIFS($R$5:$R170,$R170,$S$5:$S170,"Sub"))))</f>
        <v/>
      </c>
      <c r="B170" s="62" t="n"/>
      <c r="C170" s="63" t="n"/>
      <c r="D170" s="62" t="n"/>
      <c r="E170" s="64" t="n"/>
      <c r="F170" s="64" t="n"/>
      <c r="G170" s="65" t="n"/>
      <c r="H170" s="66" t="n"/>
      <c r="I170" s="66" t="n"/>
      <c r="J170" s="66" t="n"/>
      <c r="K170" s="66" t="n"/>
      <c r="L170" s="67">
        <f>IF(NOT((COUNTA($B170:$K170)+COUNTA($N170))&gt;0),"",IF(N($T170)&gt;0,$AB170,IFERROR(LOOKUP(2,1/(H170:K170&lt;&gt;""),H170:K170),0)))</f>
        <v/>
      </c>
      <c r="M170" s="61">
        <f>IF(L170="","",IF(L170&gt;=1,"Completado",IF(L170&gt;0,"En curso","Pendiente")))</f>
        <v/>
      </c>
      <c r="N170" s="62" t="n"/>
      <c r="O170" s="68">
        <f>IF(NOT((COUNTA($B170:$K170)+COUNTA($N170))&gt;0),"",IF((IF(AND($S170="Macro",$B170=""),"Macroactividad vacía"&amp;" · ","")&amp;IF(AND($B170&lt;&gt;"",$C170&lt;&gt;""),"Escriba la subactividad en otra fila, debajo de su macroactividad"&amp;" · ","")&amp;IF(AND($S170="Sub",N($R170)=0),"Subactividad sin macroactividad arriba"&amp;" · ","")&amp;IF($D170="","Sin responsable"&amp;" · ","")&amp;IF($E170="","Sin fecha de inicio"&amp;" · ","")&amp;IF($F170="","Sin fecha límite"&amp;" · ","")&amp;IF(OR(AND($E170&lt;&gt;"",NOT(ISNUMBER($E170))),AND($F170&lt;&gt;"",NOT(ISNUMBER($F170)))),"Fecha no válida"&amp;" · ","")&amp;IF(AND(ISNUMBER($E170),ISNUMBER($F170),$E170&gt;$F170),"Inicio posterior a fecha límite"&amp;" · ","")&amp;IF(AND($S170="Macro",$G170=""),"Peso vacío"&amp;" · ","")&amp;IF(AND($S170="Macro",$G170&lt;&gt;"",OR(NOT(ISNUMBER($G170)),$G170&lt;=0,$G170&gt;1)),"Peso fuera de rango"&amp;" · ","")&amp;IF(AND($S170="Sub",$G170&lt;&gt;""),"Las subactividades no llevan peso"&amp;" · ","")&amp;IF(AND($S170="Macro",ABS(SUMIFS($G$5:$G$1000,$P$5:$P$1000,$P170,$S$5:$S$1000,"Macro")-1)&gt;0.0001),"Pesos del mes suman "&amp;TEXT(SUMIFS($G$5:$G$1000,$P$5:$P$1000,$P170,$S$5:$S$1000,"Macro"),"0%")&amp;" · ","")&amp;IF(AND(N($T170)&gt;0,COUNT($H170:$K170)&gt;0),"Con subactividades: deje vacías las semanas (se calculan solas)"&amp;" · ","")&amp;IF((COUNTIF($H170:$K170,"&gt;1")+COUNTIF($H170:$K170,"&lt;0")+COUNTA($H170:$K170)-COUNT($H170:$K170))&gt;0,"Avance fuera de rango 0-100%"&amp;" · ","")&amp;IF(OR(AND($I170&lt;&gt;"",$I170&lt;$H170),AND($J170&lt;&gt;"",$J170&lt;MAX($H170:$I170)),AND($K170&lt;&gt;"",$K170&lt;MAX($H170:$J170))),"Avance semanal decreciente"&amp;" · ","")&amp;IF(AND(ISNUMBER($F170),$F170&lt;FechaRef,N($L170)&lt;1),"Vencida"&amp;" · ","")&amp;IF(AND(ObsObligatoria="Sí",ISNUMBER($F170),$F170&lt;FechaRef,N($L170)&lt;1,$N170=""),"Vencida sin observación"&amp;" · ",""))="","✔ OK","⚠ "&amp;LEFT(IF(AND($S170="Macro",$B170=""),"Macroactividad vacía"&amp;" · ","")&amp;IF(AND($B170&lt;&gt;"",$C170&lt;&gt;""),"Escriba la subactividad en otra fila, debajo de su macroactividad"&amp;" · ","")&amp;IF(AND($S170="Sub",N($R170)=0),"Subactividad sin macroactividad arriba"&amp;" · ","")&amp;IF($D170="","Sin responsable"&amp;" · ","")&amp;IF($E170="","Sin fecha de inicio"&amp;" · ","")&amp;IF($F170="","Sin fecha límite"&amp;" · ","")&amp;IF(OR(AND($E170&lt;&gt;"",NOT(ISNUMBER($E170))),AND($F170&lt;&gt;"",NOT(ISNUMBER($F170)))),"Fecha no válida"&amp;" · ","")&amp;IF(AND(ISNUMBER($E170),ISNUMBER($F170),$E170&gt;$F170),"Inicio posterior a fecha límite"&amp;" · ","")&amp;IF(AND($S170="Macro",$G170=""),"Peso vacío"&amp;" · ","")&amp;IF(AND($S170="Macro",$G170&lt;&gt;"",OR(NOT(ISNUMBER($G170)),$G170&lt;=0,$G170&gt;1)),"Peso fuera de rango"&amp;" · ","")&amp;IF(AND($S170="Sub",$G170&lt;&gt;""),"Las subactividades no llevan peso"&amp;" · ","")&amp;IF(AND($S170="Macro",ABS(SUMIFS($G$5:$G$1000,$P$5:$P$1000,$P170,$S$5:$S$1000,"Macro")-1)&gt;0.0001),"Pesos del mes suman "&amp;TEXT(SUMIFS($G$5:$G$1000,$P$5:$P$1000,$P170,$S$5:$S$1000,"Macro"),"0%")&amp;" · ","")&amp;IF(AND(N($T170)&gt;0,COUNT($H170:$K170)&gt;0),"Con subactividades: deje vacías las semanas (se calculan solas)"&amp;" · ","")&amp;IF((COUNTIF($H170:$K170,"&gt;1")+COUNTIF($H170:$K170,"&lt;0")+COUNTA($H170:$K170)-COUNT($H170:$K170))&gt;0,"Avance fuera de rango 0-100%"&amp;" · ","")&amp;IF(OR(AND($I170&lt;&gt;"",$I170&lt;$H170),AND($J170&lt;&gt;"",$J170&lt;MAX($H170:$I170)),AND($K170&lt;&gt;"",$K170&lt;MAX($H170:$J170))),"Avance semanal decreciente"&amp;" · ","")&amp;IF(AND(ISNUMBER($F170),$F170&lt;FechaRef,N($L170)&lt;1),"Vencida"&amp;" · ","")&amp;IF(AND(ObsObligatoria="Sí",ISNUMBER($F170),$F170&lt;FechaRef,N($L170)&lt;1,$N170=""),"Vencida sin observación"&amp;" · ",""),LEN(IF(AND($S170="Macro",$B170=""),"Macroactividad vacía"&amp;" · ","")&amp;IF(AND($B170&lt;&gt;"",$C170&lt;&gt;""),"Escriba la subactividad en otra fila, debajo de su macroactividad"&amp;" · ","")&amp;IF(AND($S170="Sub",N($R170)=0),"Subactividad sin macroactividad arriba"&amp;" · ","")&amp;IF($D170="","Sin responsable"&amp;" · ","")&amp;IF($E170="","Sin fecha de inicio"&amp;" · ","")&amp;IF($F170="","Sin fecha límite"&amp;" · ","")&amp;IF(OR(AND($E170&lt;&gt;"",NOT(ISNUMBER($E170))),AND($F170&lt;&gt;"",NOT(ISNUMBER($F170)))),"Fecha no válida"&amp;" · ","")&amp;IF(AND(ISNUMBER($E170),ISNUMBER($F170),$E170&gt;$F170),"Inicio posterior a fecha límite"&amp;" · ","")&amp;IF(AND($S170="Macro",$G170=""),"Peso vacío"&amp;" · ","")&amp;IF(AND($S170="Macro",$G170&lt;&gt;"",OR(NOT(ISNUMBER($G170)),$G170&lt;=0,$G170&gt;1)),"Peso fuera de rango"&amp;" · ","")&amp;IF(AND($S170="Sub",$G170&lt;&gt;""),"Las subactividades no llevan peso"&amp;" · ","")&amp;IF(AND($S170="Macro",ABS(SUMIFS($G$5:$G$1000,$P$5:$P$1000,$P170,$S$5:$S$1000,"Macro")-1)&gt;0.0001),"Pesos del mes suman "&amp;TEXT(SUMIFS($G$5:$G$1000,$P$5:$P$1000,$P170,$S$5:$S$1000,"Macro"),"0%")&amp;" · ","")&amp;IF(AND(N($T170)&gt;0,COUNT($H170:$K170)&gt;0),"Con subactividades: deje vacías las semanas (se calculan solas)"&amp;" · ","")&amp;IF((COUNTIF($H170:$K170,"&gt;1")+COUNTIF($H170:$K170,"&lt;0")+COUNTA($H170:$K170)-COUNT($H170:$K170))&gt;0,"Avance fuera de rango 0-100%"&amp;" · ","")&amp;IF(OR(AND($I170&lt;&gt;"",$I170&lt;$H170),AND($J170&lt;&gt;"",$J170&lt;MAX($H170:$I170)),AND($K170&lt;&gt;"",$K170&lt;MAX($H170:$J170))),"Avance semanal decreciente"&amp;" · ","")&amp;IF(AND(ISNUMBER($F170),$F170&lt;FechaRef,N($L170)&lt;1),"Vencida"&amp;" · ","")&amp;IF(AND(ObsObligatoria="Sí",ISNUMBER($F170),$F170&lt;FechaRef,N($L170)&lt;1,$N170=""),"Vencida sin observación"&amp;" · ",""))-3)))</f>
        <v/>
      </c>
      <c r="P170" s="69">
        <f>IF(NOT((COUNTA($B170:$K170)+COUNTA($N170))&gt;0),"",IF(AND($S170="Sub",N($R170)&gt;0),IF(ISNUMBER(INDEX($E$5:$E$1000,$R170-4)),DATE(YEAR(INDEX($E$5:$E$1000,$R170-4)),MONTH(INDEX($E$5:$E$1000,$R170-4)),1),IF(ISNUMBER(INDEX($F$5:$F$1000,$R170-4)),DATE(YEAR(INDEX($F$5:$F$1000,$R170-4)),MONTH(INDEX($F$5:$F$1000,$R170-4)),1),MesCiclo)),IF(ISNUMBER($E170),DATE(YEAR($E170),MONTH($E170),1),IF(ISNUMBER($F170),DATE(YEAR($F170),MONTH($F170),1),MesCiclo))))</f>
        <v/>
      </c>
      <c r="Q170" s="70">
        <f>IF(OR($P170="",$P170&lt;&gt;MesCiclo),"",COUNTIF($P$5:$P170,MesCiclo))</f>
        <v/>
      </c>
      <c r="R170" s="70">
        <f>IF($S170="","",IF($S170="Macro",ROW(),IFERROR(LOOKUP(2,1/($S$5:$S170="Macro"),ROW($S$5:$S170)),0)))</f>
        <v/>
      </c>
      <c r="S170" s="70">
        <f>IF(NOT((COUNTA($B170:$K170)+COUNTA($N170))&gt;0),"",IF($B170&lt;&gt;"","Macro",IF($C170&lt;&gt;"","Sub","Macro")))</f>
        <v/>
      </c>
      <c r="T170" s="70">
        <f>IF($S170="Macro",COUNTIFS($R$5:$R$1000,ROW(),$S$5:$S$1000,"Sub"),"")</f>
        <v/>
      </c>
      <c r="U170" s="70">
        <f>IF($S170="","",IF(ISNUMBER($H170),$H170,0))</f>
        <v/>
      </c>
      <c r="V170" s="70">
        <f>IF($S170="","",IF(ISNUMBER($I170),$I170,$U170))</f>
        <v/>
      </c>
      <c r="W170" s="70">
        <f>IF($S170="","",IF(ISNUMBER($J170),$J170,$V170))</f>
        <v/>
      </c>
      <c r="X170" s="70">
        <f>IF($S170="","",IF(ISNUMBER($K170),$K170,$W170))</f>
        <v/>
      </c>
      <c r="Y170" s="70">
        <f>IF($S170="","",IF(N($T170)&gt;0,AVERAGEIFS($U$5:$U$1000,$R$5:$R$1000,ROW(),$S$5:$S$1000,"Sub"),$U170))</f>
        <v/>
      </c>
      <c r="Z170" s="70">
        <f>IF($S170="","",IF(N($T170)&gt;0,AVERAGEIFS($V$5:$V$1000,$R$5:$R$1000,ROW(),$S$5:$S$1000,"Sub"),$V170))</f>
        <v/>
      </c>
      <c r="AA170" s="70">
        <f>IF($S170="","",IF(N($T170)&gt;0,AVERAGEIFS($W$5:$W$1000,$R$5:$R$1000,ROW(),$S$5:$S$1000,"Sub"),$W170))</f>
        <v/>
      </c>
      <c r="AB170" s="70">
        <f>IF($S170="","",IF(N($T170)&gt;0,AVERAGEIFS($X$5:$X$1000,$R$5:$R$1000,ROW(),$S$5:$S$1000,"Sub"),$X170))</f>
        <v/>
      </c>
    </row>
    <row r="171">
      <c r="A171" s="61">
        <f>IF(NOT((COUNTA($B171:$K171)+COUNTA($N171))&gt;0),"",IF($S171="Macro",COUNTIFS($S$5:$S171,"Macro",$P$5:$P171,$P171),IF(N($R171)=0,"?",COUNTIFS(INDEX($S$5:$S$1000,1):INDEX($S$5:$S$1000,$R171-4),"Macro",INDEX($P$5:$P$1000,1):INDEX($P$5:$P$1000,$R171-4),INDEX($P$5:$P$1000,$R171-4))&amp;"."&amp;COUNTIFS($R$5:$R171,$R171,$S$5:$S171,"Sub"))))</f>
        <v/>
      </c>
      <c r="B171" s="62" t="n"/>
      <c r="C171" s="63" t="n"/>
      <c r="D171" s="62" t="n"/>
      <c r="E171" s="64" t="n"/>
      <c r="F171" s="64" t="n"/>
      <c r="G171" s="65" t="n"/>
      <c r="H171" s="66" t="n"/>
      <c r="I171" s="66" t="n"/>
      <c r="J171" s="66" t="n"/>
      <c r="K171" s="66" t="n"/>
      <c r="L171" s="67">
        <f>IF(NOT((COUNTA($B171:$K171)+COUNTA($N171))&gt;0),"",IF(N($T171)&gt;0,$AB171,IFERROR(LOOKUP(2,1/(H171:K171&lt;&gt;""),H171:K171),0)))</f>
        <v/>
      </c>
      <c r="M171" s="61">
        <f>IF(L171="","",IF(L171&gt;=1,"Completado",IF(L171&gt;0,"En curso","Pendiente")))</f>
        <v/>
      </c>
      <c r="N171" s="62" t="n"/>
      <c r="O171" s="68">
        <f>IF(NOT((COUNTA($B171:$K171)+COUNTA($N171))&gt;0),"",IF((IF(AND($S171="Macro",$B171=""),"Macroactividad vacía"&amp;" · ","")&amp;IF(AND($B171&lt;&gt;"",$C171&lt;&gt;""),"Escriba la subactividad en otra fila, debajo de su macroactividad"&amp;" · ","")&amp;IF(AND($S171="Sub",N($R171)=0),"Subactividad sin macroactividad arriba"&amp;" · ","")&amp;IF($D171="","Sin responsable"&amp;" · ","")&amp;IF($E171="","Sin fecha de inicio"&amp;" · ","")&amp;IF($F171="","Sin fecha límite"&amp;" · ","")&amp;IF(OR(AND($E171&lt;&gt;"",NOT(ISNUMBER($E171))),AND($F171&lt;&gt;"",NOT(ISNUMBER($F171)))),"Fecha no válida"&amp;" · ","")&amp;IF(AND(ISNUMBER($E171),ISNUMBER($F171),$E171&gt;$F171),"Inicio posterior a fecha límite"&amp;" · ","")&amp;IF(AND($S171="Macro",$G171=""),"Peso vacío"&amp;" · ","")&amp;IF(AND($S171="Macro",$G171&lt;&gt;"",OR(NOT(ISNUMBER($G171)),$G171&lt;=0,$G171&gt;1)),"Peso fuera de rango"&amp;" · ","")&amp;IF(AND($S171="Sub",$G171&lt;&gt;""),"Las subactividades no llevan peso"&amp;" · ","")&amp;IF(AND($S171="Macro",ABS(SUMIFS($G$5:$G$1000,$P$5:$P$1000,$P171,$S$5:$S$1000,"Macro")-1)&gt;0.0001),"Pesos del mes suman "&amp;TEXT(SUMIFS($G$5:$G$1000,$P$5:$P$1000,$P171,$S$5:$S$1000,"Macro"),"0%")&amp;" · ","")&amp;IF(AND(N($T171)&gt;0,COUNT($H171:$K171)&gt;0),"Con subactividades: deje vacías las semanas (se calculan solas)"&amp;" · ","")&amp;IF((COUNTIF($H171:$K171,"&gt;1")+COUNTIF($H171:$K171,"&lt;0")+COUNTA($H171:$K171)-COUNT($H171:$K171))&gt;0,"Avance fuera de rango 0-100%"&amp;" · ","")&amp;IF(OR(AND($I171&lt;&gt;"",$I171&lt;$H171),AND($J171&lt;&gt;"",$J171&lt;MAX($H171:$I171)),AND($K171&lt;&gt;"",$K171&lt;MAX($H171:$J171))),"Avance semanal decreciente"&amp;" · ","")&amp;IF(AND(ISNUMBER($F171),$F171&lt;FechaRef,N($L171)&lt;1),"Vencida"&amp;" · ","")&amp;IF(AND(ObsObligatoria="Sí",ISNUMBER($F171),$F171&lt;FechaRef,N($L171)&lt;1,$N171=""),"Vencida sin observación"&amp;" · ",""))="","✔ OK","⚠ "&amp;LEFT(IF(AND($S171="Macro",$B171=""),"Macroactividad vacía"&amp;" · ","")&amp;IF(AND($B171&lt;&gt;"",$C171&lt;&gt;""),"Escriba la subactividad en otra fila, debajo de su macroactividad"&amp;" · ","")&amp;IF(AND($S171="Sub",N($R171)=0),"Subactividad sin macroactividad arriba"&amp;" · ","")&amp;IF($D171="","Sin responsable"&amp;" · ","")&amp;IF($E171="","Sin fecha de inicio"&amp;" · ","")&amp;IF($F171="","Sin fecha límite"&amp;" · ","")&amp;IF(OR(AND($E171&lt;&gt;"",NOT(ISNUMBER($E171))),AND($F171&lt;&gt;"",NOT(ISNUMBER($F171)))),"Fecha no válida"&amp;" · ","")&amp;IF(AND(ISNUMBER($E171),ISNUMBER($F171),$E171&gt;$F171),"Inicio posterior a fecha límite"&amp;" · ","")&amp;IF(AND($S171="Macro",$G171=""),"Peso vacío"&amp;" · ","")&amp;IF(AND($S171="Macro",$G171&lt;&gt;"",OR(NOT(ISNUMBER($G171)),$G171&lt;=0,$G171&gt;1)),"Peso fuera de rango"&amp;" · ","")&amp;IF(AND($S171="Sub",$G171&lt;&gt;""),"Las subactividades no llevan peso"&amp;" · ","")&amp;IF(AND($S171="Macro",ABS(SUMIFS($G$5:$G$1000,$P$5:$P$1000,$P171,$S$5:$S$1000,"Macro")-1)&gt;0.0001),"Pesos del mes suman "&amp;TEXT(SUMIFS($G$5:$G$1000,$P$5:$P$1000,$P171,$S$5:$S$1000,"Macro"),"0%")&amp;" · ","")&amp;IF(AND(N($T171)&gt;0,COUNT($H171:$K171)&gt;0),"Con subactividades: deje vacías las semanas (se calculan solas)"&amp;" · ","")&amp;IF((COUNTIF($H171:$K171,"&gt;1")+COUNTIF($H171:$K171,"&lt;0")+COUNTA($H171:$K171)-COUNT($H171:$K171))&gt;0,"Avance fuera de rango 0-100%"&amp;" · ","")&amp;IF(OR(AND($I171&lt;&gt;"",$I171&lt;$H171),AND($J171&lt;&gt;"",$J171&lt;MAX($H171:$I171)),AND($K171&lt;&gt;"",$K171&lt;MAX($H171:$J171))),"Avance semanal decreciente"&amp;" · ","")&amp;IF(AND(ISNUMBER($F171),$F171&lt;FechaRef,N($L171)&lt;1),"Vencida"&amp;" · ","")&amp;IF(AND(ObsObligatoria="Sí",ISNUMBER($F171),$F171&lt;FechaRef,N($L171)&lt;1,$N171=""),"Vencida sin observación"&amp;" · ",""),LEN(IF(AND($S171="Macro",$B171=""),"Macroactividad vacía"&amp;" · ","")&amp;IF(AND($B171&lt;&gt;"",$C171&lt;&gt;""),"Escriba la subactividad en otra fila, debajo de su macroactividad"&amp;" · ","")&amp;IF(AND($S171="Sub",N($R171)=0),"Subactividad sin macroactividad arriba"&amp;" · ","")&amp;IF($D171="","Sin responsable"&amp;" · ","")&amp;IF($E171="","Sin fecha de inicio"&amp;" · ","")&amp;IF($F171="","Sin fecha límite"&amp;" · ","")&amp;IF(OR(AND($E171&lt;&gt;"",NOT(ISNUMBER($E171))),AND($F171&lt;&gt;"",NOT(ISNUMBER($F171)))),"Fecha no válida"&amp;" · ","")&amp;IF(AND(ISNUMBER($E171),ISNUMBER($F171),$E171&gt;$F171),"Inicio posterior a fecha límite"&amp;" · ","")&amp;IF(AND($S171="Macro",$G171=""),"Peso vacío"&amp;" · ","")&amp;IF(AND($S171="Macro",$G171&lt;&gt;"",OR(NOT(ISNUMBER($G171)),$G171&lt;=0,$G171&gt;1)),"Peso fuera de rango"&amp;" · ","")&amp;IF(AND($S171="Sub",$G171&lt;&gt;""),"Las subactividades no llevan peso"&amp;" · ","")&amp;IF(AND($S171="Macro",ABS(SUMIFS($G$5:$G$1000,$P$5:$P$1000,$P171,$S$5:$S$1000,"Macro")-1)&gt;0.0001),"Pesos del mes suman "&amp;TEXT(SUMIFS($G$5:$G$1000,$P$5:$P$1000,$P171,$S$5:$S$1000,"Macro"),"0%")&amp;" · ","")&amp;IF(AND(N($T171)&gt;0,COUNT($H171:$K171)&gt;0),"Con subactividades: deje vacías las semanas (se calculan solas)"&amp;" · ","")&amp;IF((COUNTIF($H171:$K171,"&gt;1")+COUNTIF($H171:$K171,"&lt;0")+COUNTA($H171:$K171)-COUNT($H171:$K171))&gt;0,"Avance fuera de rango 0-100%"&amp;" · ","")&amp;IF(OR(AND($I171&lt;&gt;"",$I171&lt;$H171),AND($J171&lt;&gt;"",$J171&lt;MAX($H171:$I171)),AND($K171&lt;&gt;"",$K171&lt;MAX($H171:$J171))),"Avance semanal decreciente"&amp;" · ","")&amp;IF(AND(ISNUMBER($F171),$F171&lt;FechaRef,N($L171)&lt;1),"Vencida"&amp;" · ","")&amp;IF(AND(ObsObligatoria="Sí",ISNUMBER($F171),$F171&lt;FechaRef,N($L171)&lt;1,$N171=""),"Vencida sin observación"&amp;" · ",""))-3)))</f>
        <v/>
      </c>
      <c r="P171" s="69">
        <f>IF(NOT((COUNTA($B171:$K171)+COUNTA($N171))&gt;0),"",IF(AND($S171="Sub",N($R171)&gt;0),IF(ISNUMBER(INDEX($E$5:$E$1000,$R171-4)),DATE(YEAR(INDEX($E$5:$E$1000,$R171-4)),MONTH(INDEX($E$5:$E$1000,$R171-4)),1),IF(ISNUMBER(INDEX($F$5:$F$1000,$R171-4)),DATE(YEAR(INDEX($F$5:$F$1000,$R171-4)),MONTH(INDEX($F$5:$F$1000,$R171-4)),1),MesCiclo)),IF(ISNUMBER($E171),DATE(YEAR($E171),MONTH($E171),1),IF(ISNUMBER($F171),DATE(YEAR($F171),MONTH($F171),1),MesCiclo))))</f>
        <v/>
      </c>
      <c r="Q171" s="70">
        <f>IF(OR($P171="",$P171&lt;&gt;MesCiclo),"",COUNTIF($P$5:$P171,MesCiclo))</f>
        <v/>
      </c>
      <c r="R171" s="70">
        <f>IF($S171="","",IF($S171="Macro",ROW(),IFERROR(LOOKUP(2,1/($S$5:$S171="Macro"),ROW($S$5:$S171)),0)))</f>
        <v/>
      </c>
      <c r="S171" s="70">
        <f>IF(NOT((COUNTA($B171:$K171)+COUNTA($N171))&gt;0),"",IF($B171&lt;&gt;"","Macro",IF($C171&lt;&gt;"","Sub","Macro")))</f>
        <v/>
      </c>
      <c r="T171" s="70">
        <f>IF($S171="Macro",COUNTIFS($R$5:$R$1000,ROW(),$S$5:$S$1000,"Sub"),"")</f>
        <v/>
      </c>
      <c r="U171" s="70">
        <f>IF($S171="","",IF(ISNUMBER($H171),$H171,0))</f>
        <v/>
      </c>
      <c r="V171" s="70">
        <f>IF($S171="","",IF(ISNUMBER($I171),$I171,$U171))</f>
        <v/>
      </c>
      <c r="W171" s="70">
        <f>IF($S171="","",IF(ISNUMBER($J171),$J171,$V171))</f>
        <v/>
      </c>
      <c r="X171" s="70">
        <f>IF($S171="","",IF(ISNUMBER($K171),$K171,$W171))</f>
        <v/>
      </c>
      <c r="Y171" s="70">
        <f>IF($S171="","",IF(N($T171)&gt;0,AVERAGEIFS($U$5:$U$1000,$R$5:$R$1000,ROW(),$S$5:$S$1000,"Sub"),$U171))</f>
        <v/>
      </c>
      <c r="Z171" s="70">
        <f>IF($S171="","",IF(N($T171)&gt;0,AVERAGEIFS($V$5:$V$1000,$R$5:$R$1000,ROW(),$S$5:$S$1000,"Sub"),$V171))</f>
        <v/>
      </c>
      <c r="AA171" s="70">
        <f>IF($S171="","",IF(N($T171)&gt;0,AVERAGEIFS($W$5:$W$1000,$R$5:$R$1000,ROW(),$S$5:$S$1000,"Sub"),$W171))</f>
        <v/>
      </c>
      <c r="AB171" s="70">
        <f>IF($S171="","",IF(N($T171)&gt;0,AVERAGEIFS($X$5:$X$1000,$R$5:$R$1000,ROW(),$S$5:$S$1000,"Sub"),$X171))</f>
        <v/>
      </c>
    </row>
    <row r="172">
      <c r="A172" s="61">
        <f>IF(NOT((COUNTA($B172:$K172)+COUNTA($N172))&gt;0),"",IF($S172="Macro",COUNTIFS($S$5:$S172,"Macro",$P$5:$P172,$P172),IF(N($R172)=0,"?",COUNTIFS(INDEX($S$5:$S$1000,1):INDEX($S$5:$S$1000,$R172-4),"Macro",INDEX($P$5:$P$1000,1):INDEX($P$5:$P$1000,$R172-4),INDEX($P$5:$P$1000,$R172-4))&amp;"."&amp;COUNTIFS($R$5:$R172,$R172,$S$5:$S172,"Sub"))))</f>
        <v/>
      </c>
      <c r="B172" s="62" t="n"/>
      <c r="C172" s="63" t="n"/>
      <c r="D172" s="62" t="n"/>
      <c r="E172" s="64" t="n"/>
      <c r="F172" s="64" t="n"/>
      <c r="G172" s="65" t="n"/>
      <c r="H172" s="66" t="n"/>
      <c r="I172" s="66" t="n"/>
      <c r="J172" s="66" t="n"/>
      <c r="K172" s="66" t="n"/>
      <c r="L172" s="67">
        <f>IF(NOT((COUNTA($B172:$K172)+COUNTA($N172))&gt;0),"",IF(N($T172)&gt;0,$AB172,IFERROR(LOOKUP(2,1/(H172:K172&lt;&gt;""),H172:K172),0)))</f>
        <v/>
      </c>
      <c r="M172" s="61">
        <f>IF(L172="","",IF(L172&gt;=1,"Completado",IF(L172&gt;0,"En curso","Pendiente")))</f>
        <v/>
      </c>
      <c r="N172" s="62" t="n"/>
      <c r="O172" s="68">
        <f>IF(NOT((COUNTA($B172:$K172)+COUNTA($N172))&gt;0),"",IF((IF(AND($S172="Macro",$B172=""),"Macroactividad vacía"&amp;" · ","")&amp;IF(AND($B172&lt;&gt;"",$C172&lt;&gt;""),"Escriba la subactividad en otra fila, debajo de su macroactividad"&amp;" · ","")&amp;IF(AND($S172="Sub",N($R172)=0),"Subactividad sin macroactividad arriba"&amp;" · ","")&amp;IF($D172="","Sin responsable"&amp;" · ","")&amp;IF($E172="","Sin fecha de inicio"&amp;" · ","")&amp;IF($F172="","Sin fecha límite"&amp;" · ","")&amp;IF(OR(AND($E172&lt;&gt;"",NOT(ISNUMBER($E172))),AND($F172&lt;&gt;"",NOT(ISNUMBER($F172)))),"Fecha no válida"&amp;" · ","")&amp;IF(AND(ISNUMBER($E172),ISNUMBER($F172),$E172&gt;$F172),"Inicio posterior a fecha límite"&amp;" · ","")&amp;IF(AND($S172="Macro",$G172=""),"Peso vacío"&amp;" · ","")&amp;IF(AND($S172="Macro",$G172&lt;&gt;"",OR(NOT(ISNUMBER($G172)),$G172&lt;=0,$G172&gt;1)),"Peso fuera de rango"&amp;" · ","")&amp;IF(AND($S172="Sub",$G172&lt;&gt;""),"Las subactividades no llevan peso"&amp;" · ","")&amp;IF(AND($S172="Macro",ABS(SUMIFS($G$5:$G$1000,$P$5:$P$1000,$P172,$S$5:$S$1000,"Macro")-1)&gt;0.0001),"Pesos del mes suman "&amp;TEXT(SUMIFS($G$5:$G$1000,$P$5:$P$1000,$P172,$S$5:$S$1000,"Macro"),"0%")&amp;" · ","")&amp;IF(AND(N($T172)&gt;0,COUNT($H172:$K172)&gt;0),"Con subactividades: deje vacías las semanas (se calculan solas)"&amp;" · ","")&amp;IF((COUNTIF($H172:$K172,"&gt;1")+COUNTIF($H172:$K172,"&lt;0")+COUNTA($H172:$K172)-COUNT($H172:$K172))&gt;0,"Avance fuera de rango 0-100%"&amp;" · ","")&amp;IF(OR(AND($I172&lt;&gt;"",$I172&lt;$H172),AND($J172&lt;&gt;"",$J172&lt;MAX($H172:$I172)),AND($K172&lt;&gt;"",$K172&lt;MAX($H172:$J172))),"Avance semanal decreciente"&amp;" · ","")&amp;IF(AND(ISNUMBER($F172),$F172&lt;FechaRef,N($L172)&lt;1),"Vencida"&amp;" · ","")&amp;IF(AND(ObsObligatoria="Sí",ISNUMBER($F172),$F172&lt;FechaRef,N($L172)&lt;1,$N172=""),"Vencida sin observación"&amp;" · ",""))="","✔ OK","⚠ "&amp;LEFT(IF(AND($S172="Macro",$B172=""),"Macroactividad vacía"&amp;" · ","")&amp;IF(AND($B172&lt;&gt;"",$C172&lt;&gt;""),"Escriba la subactividad en otra fila, debajo de su macroactividad"&amp;" · ","")&amp;IF(AND($S172="Sub",N($R172)=0),"Subactividad sin macroactividad arriba"&amp;" · ","")&amp;IF($D172="","Sin responsable"&amp;" · ","")&amp;IF($E172="","Sin fecha de inicio"&amp;" · ","")&amp;IF($F172="","Sin fecha límite"&amp;" · ","")&amp;IF(OR(AND($E172&lt;&gt;"",NOT(ISNUMBER($E172))),AND($F172&lt;&gt;"",NOT(ISNUMBER($F172)))),"Fecha no válida"&amp;" · ","")&amp;IF(AND(ISNUMBER($E172),ISNUMBER($F172),$E172&gt;$F172),"Inicio posterior a fecha límite"&amp;" · ","")&amp;IF(AND($S172="Macro",$G172=""),"Peso vacío"&amp;" · ","")&amp;IF(AND($S172="Macro",$G172&lt;&gt;"",OR(NOT(ISNUMBER($G172)),$G172&lt;=0,$G172&gt;1)),"Peso fuera de rango"&amp;" · ","")&amp;IF(AND($S172="Sub",$G172&lt;&gt;""),"Las subactividades no llevan peso"&amp;" · ","")&amp;IF(AND($S172="Macro",ABS(SUMIFS($G$5:$G$1000,$P$5:$P$1000,$P172,$S$5:$S$1000,"Macro")-1)&gt;0.0001),"Pesos del mes suman "&amp;TEXT(SUMIFS($G$5:$G$1000,$P$5:$P$1000,$P172,$S$5:$S$1000,"Macro"),"0%")&amp;" · ","")&amp;IF(AND(N($T172)&gt;0,COUNT($H172:$K172)&gt;0),"Con subactividades: deje vacías las semanas (se calculan solas)"&amp;" · ","")&amp;IF((COUNTIF($H172:$K172,"&gt;1")+COUNTIF($H172:$K172,"&lt;0")+COUNTA($H172:$K172)-COUNT($H172:$K172))&gt;0,"Avance fuera de rango 0-100%"&amp;" · ","")&amp;IF(OR(AND($I172&lt;&gt;"",$I172&lt;$H172),AND($J172&lt;&gt;"",$J172&lt;MAX($H172:$I172)),AND($K172&lt;&gt;"",$K172&lt;MAX($H172:$J172))),"Avance semanal decreciente"&amp;" · ","")&amp;IF(AND(ISNUMBER($F172),$F172&lt;FechaRef,N($L172)&lt;1),"Vencida"&amp;" · ","")&amp;IF(AND(ObsObligatoria="Sí",ISNUMBER($F172),$F172&lt;FechaRef,N($L172)&lt;1,$N172=""),"Vencida sin observación"&amp;" · ",""),LEN(IF(AND($S172="Macro",$B172=""),"Macroactividad vacía"&amp;" · ","")&amp;IF(AND($B172&lt;&gt;"",$C172&lt;&gt;""),"Escriba la subactividad en otra fila, debajo de su macroactividad"&amp;" · ","")&amp;IF(AND($S172="Sub",N($R172)=0),"Subactividad sin macroactividad arriba"&amp;" · ","")&amp;IF($D172="","Sin responsable"&amp;" · ","")&amp;IF($E172="","Sin fecha de inicio"&amp;" · ","")&amp;IF($F172="","Sin fecha límite"&amp;" · ","")&amp;IF(OR(AND($E172&lt;&gt;"",NOT(ISNUMBER($E172))),AND($F172&lt;&gt;"",NOT(ISNUMBER($F172)))),"Fecha no válida"&amp;" · ","")&amp;IF(AND(ISNUMBER($E172),ISNUMBER($F172),$E172&gt;$F172),"Inicio posterior a fecha límite"&amp;" · ","")&amp;IF(AND($S172="Macro",$G172=""),"Peso vacío"&amp;" · ","")&amp;IF(AND($S172="Macro",$G172&lt;&gt;"",OR(NOT(ISNUMBER($G172)),$G172&lt;=0,$G172&gt;1)),"Peso fuera de rango"&amp;" · ","")&amp;IF(AND($S172="Sub",$G172&lt;&gt;""),"Las subactividades no llevan peso"&amp;" · ","")&amp;IF(AND($S172="Macro",ABS(SUMIFS($G$5:$G$1000,$P$5:$P$1000,$P172,$S$5:$S$1000,"Macro")-1)&gt;0.0001),"Pesos del mes suman "&amp;TEXT(SUMIFS($G$5:$G$1000,$P$5:$P$1000,$P172,$S$5:$S$1000,"Macro"),"0%")&amp;" · ","")&amp;IF(AND(N($T172)&gt;0,COUNT($H172:$K172)&gt;0),"Con subactividades: deje vacías las semanas (se calculan solas)"&amp;" · ","")&amp;IF((COUNTIF($H172:$K172,"&gt;1")+COUNTIF($H172:$K172,"&lt;0")+COUNTA($H172:$K172)-COUNT($H172:$K172))&gt;0,"Avance fuera de rango 0-100%"&amp;" · ","")&amp;IF(OR(AND($I172&lt;&gt;"",$I172&lt;$H172),AND($J172&lt;&gt;"",$J172&lt;MAX($H172:$I172)),AND($K172&lt;&gt;"",$K172&lt;MAX($H172:$J172))),"Avance semanal decreciente"&amp;" · ","")&amp;IF(AND(ISNUMBER($F172),$F172&lt;FechaRef,N($L172)&lt;1),"Vencida"&amp;" · ","")&amp;IF(AND(ObsObligatoria="Sí",ISNUMBER($F172),$F172&lt;FechaRef,N($L172)&lt;1,$N172=""),"Vencida sin observación"&amp;" · ",""))-3)))</f>
        <v/>
      </c>
      <c r="P172" s="69">
        <f>IF(NOT((COUNTA($B172:$K172)+COUNTA($N172))&gt;0),"",IF(AND($S172="Sub",N($R172)&gt;0),IF(ISNUMBER(INDEX($E$5:$E$1000,$R172-4)),DATE(YEAR(INDEX($E$5:$E$1000,$R172-4)),MONTH(INDEX($E$5:$E$1000,$R172-4)),1),IF(ISNUMBER(INDEX($F$5:$F$1000,$R172-4)),DATE(YEAR(INDEX($F$5:$F$1000,$R172-4)),MONTH(INDEX($F$5:$F$1000,$R172-4)),1),MesCiclo)),IF(ISNUMBER($E172),DATE(YEAR($E172),MONTH($E172),1),IF(ISNUMBER($F172),DATE(YEAR($F172),MONTH($F172),1),MesCiclo))))</f>
        <v/>
      </c>
      <c r="Q172" s="70">
        <f>IF(OR($P172="",$P172&lt;&gt;MesCiclo),"",COUNTIF($P$5:$P172,MesCiclo))</f>
        <v/>
      </c>
      <c r="R172" s="70">
        <f>IF($S172="","",IF($S172="Macro",ROW(),IFERROR(LOOKUP(2,1/($S$5:$S172="Macro"),ROW($S$5:$S172)),0)))</f>
        <v/>
      </c>
      <c r="S172" s="70">
        <f>IF(NOT((COUNTA($B172:$K172)+COUNTA($N172))&gt;0),"",IF($B172&lt;&gt;"","Macro",IF($C172&lt;&gt;"","Sub","Macro")))</f>
        <v/>
      </c>
      <c r="T172" s="70">
        <f>IF($S172="Macro",COUNTIFS($R$5:$R$1000,ROW(),$S$5:$S$1000,"Sub"),"")</f>
        <v/>
      </c>
      <c r="U172" s="70">
        <f>IF($S172="","",IF(ISNUMBER($H172),$H172,0))</f>
        <v/>
      </c>
      <c r="V172" s="70">
        <f>IF($S172="","",IF(ISNUMBER($I172),$I172,$U172))</f>
        <v/>
      </c>
      <c r="W172" s="70">
        <f>IF($S172="","",IF(ISNUMBER($J172),$J172,$V172))</f>
        <v/>
      </c>
      <c r="X172" s="70">
        <f>IF($S172="","",IF(ISNUMBER($K172),$K172,$W172))</f>
        <v/>
      </c>
      <c r="Y172" s="70">
        <f>IF($S172="","",IF(N($T172)&gt;0,AVERAGEIFS($U$5:$U$1000,$R$5:$R$1000,ROW(),$S$5:$S$1000,"Sub"),$U172))</f>
        <v/>
      </c>
      <c r="Z172" s="70">
        <f>IF($S172="","",IF(N($T172)&gt;0,AVERAGEIFS($V$5:$V$1000,$R$5:$R$1000,ROW(),$S$5:$S$1000,"Sub"),$V172))</f>
        <v/>
      </c>
      <c r="AA172" s="70">
        <f>IF($S172="","",IF(N($T172)&gt;0,AVERAGEIFS($W$5:$W$1000,$R$5:$R$1000,ROW(),$S$5:$S$1000,"Sub"),$W172))</f>
        <v/>
      </c>
      <c r="AB172" s="70">
        <f>IF($S172="","",IF(N($T172)&gt;0,AVERAGEIFS($X$5:$X$1000,$R$5:$R$1000,ROW(),$S$5:$S$1000,"Sub"),$X172))</f>
        <v/>
      </c>
    </row>
    <row r="173">
      <c r="A173" s="61">
        <f>IF(NOT((COUNTA($B173:$K173)+COUNTA($N173))&gt;0),"",IF($S173="Macro",COUNTIFS($S$5:$S173,"Macro",$P$5:$P173,$P173),IF(N($R173)=0,"?",COUNTIFS(INDEX($S$5:$S$1000,1):INDEX($S$5:$S$1000,$R173-4),"Macro",INDEX($P$5:$P$1000,1):INDEX($P$5:$P$1000,$R173-4),INDEX($P$5:$P$1000,$R173-4))&amp;"."&amp;COUNTIFS($R$5:$R173,$R173,$S$5:$S173,"Sub"))))</f>
        <v/>
      </c>
      <c r="B173" s="62" t="n"/>
      <c r="C173" s="63" t="n"/>
      <c r="D173" s="62" t="n"/>
      <c r="E173" s="64" t="n"/>
      <c r="F173" s="64" t="n"/>
      <c r="G173" s="65" t="n"/>
      <c r="H173" s="66" t="n"/>
      <c r="I173" s="66" t="n"/>
      <c r="J173" s="66" t="n"/>
      <c r="K173" s="66" t="n"/>
      <c r="L173" s="67">
        <f>IF(NOT((COUNTA($B173:$K173)+COUNTA($N173))&gt;0),"",IF(N($T173)&gt;0,$AB173,IFERROR(LOOKUP(2,1/(H173:K173&lt;&gt;""),H173:K173),0)))</f>
        <v/>
      </c>
      <c r="M173" s="61">
        <f>IF(L173="","",IF(L173&gt;=1,"Completado",IF(L173&gt;0,"En curso","Pendiente")))</f>
        <v/>
      </c>
      <c r="N173" s="62" t="n"/>
      <c r="O173" s="68">
        <f>IF(NOT((COUNTA($B173:$K173)+COUNTA($N173))&gt;0),"",IF((IF(AND($S173="Macro",$B173=""),"Macroactividad vacía"&amp;" · ","")&amp;IF(AND($B173&lt;&gt;"",$C173&lt;&gt;""),"Escriba la subactividad en otra fila, debajo de su macroactividad"&amp;" · ","")&amp;IF(AND($S173="Sub",N($R173)=0),"Subactividad sin macroactividad arriba"&amp;" · ","")&amp;IF($D173="","Sin responsable"&amp;" · ","")&amp;IF($E173="","Sin fecha de inicio"&amp;" · ","")&amp;IF($F173="","Sin fecha límite"&amp;" · ","")&amp;IF(OR(AND($E173&lt;&gt;"",NOT(ISNUMBER($E173))),AND($F173&lt;&gt;"",NOT(ISNUMBER($F173)))),"Fecha no válida"&amp;" · ","")&amp;IF(AND(ISNUMBER($E173),ISNUMBER($F173),$E173&gt;$F173),"Inicio posterior a fecha límite"&amp;" · ","")&amp;IF(AND($S173="Macro",$G173=""),"Peso vacío"&amp;" · ","")&amp;IF(AND($S173="Macro",$G173&lt;&gt;"",OR(NOT(ISNUMBER($G173)),$G173&lt;=0,$G173&gt;1)),"Peso fuera de rango"&amp;" · ","")&amp;IF(AND($S173="Sub",$G173&lt;&gt;""),"Las subactividades no llevan peso"&amp;" · ","")&amp;IF(AND($S173="Macro",ABS(SUMIFS($G$5:$G$1000,$P$5:$P$1000,$P173,$S$5:$S$1000,"Macro")-1)&gt;0.0001),"Pesos del mes suman "&amp;TEXT(SUMIFS($G$5:$G$1000,$P$5:$P$1000,$P173,$S$5:$S$1000,"Macro"),"0%")&amp;" · ","")&amp;IF(AND(N($T173)&gt;0,COUNT($H173:$K173)&gt;0),"Con subactividades: deje vacías las semanas (se calculan solas)"&amp;" · ","")&amp;IF((COUNTIF($H173:$K173,"&gt;1")+COUNTIF($H173:$K173,"&lt;0")+COUNTA($H173:$K173)-COUNT($H173:$K173))&gt;0,"Avance fuera de rango 0-100%"&amp;" · ","")&amp;IF(OR(AND($I173&lt;&gt;"",$I173&lt;$H173),AND($J173&lt;&gt;"",$J173&lt;MAX($H173:$I173)),AND($K173&lt;&gt;"",$K173&lt;MAX($H173:$J173))),"Avance semanal decreciente"&amp;" · ","")&amp;IF(AND(ISNUMBER($F173),$F173&lt;FechaRef,N($L173)&lt;1),"Vencida"&amp;" · ","")&amp;IF(AND(ObsObligatoria="Sí",ISNUMBER($F173),$F173&lt;FechaRef,N($L173)&lt;1,$N173=""),"Vencida sin observación"&amp;" · ",""))="","✔ OK","⚠ "&amp;LEFT(IF(AND($S173="Macro",$B173=""),"Macroactividad vacía"&amp;" · ","")&amp;IF(AND($B173&lt;&gt;"",$C173&lt;&gt;""),"Escriba la subactividad en otra fila, debajo de su macroactividad"&amp;" · ","")&amp;IF(AND($S173="Sub",N($R173)=0),"Subactividad sin macroactividad arriba"&amp;" · ","")&amp;IF($D173="","Sin responsable"&amp;" · ","")&amp;IF($E173="","Sin fecha de inicio"&amp;" · ","")&amp;IF($F173="","Sin fecha límite"&amp;" · ","")&amp;IF(OR(AND($E173&lt;&gt;"",NOT(ISNUMBER($E173))),AND($F173&lt;&gt;"",NOT(ISNUMBER($F173)))),"Fecha no válida"&amp;" · ","")&amp;IF(AND(ISNUMBER($E173),ISNUMBER($F173),$E173&gt;$F173),"Inicio posterior a fecha límite"&amp;" · ","")&amp;IF(AND($S173="Macro",$G173=""),"Peso vacío"&amp;" · ","")&amp;IF(AND($S173="Macro",$G173&lt;&gt;"",OR(NOT(ISNUMBER($G173)),$G173&lt;=0,$G173&gt;1)),"Peso fuera de rango"&amp;" · ","")&amp;IF(AND($S173="Sub",$G173&lt;&gt;""),"Las subactividades no llevan peso"&amp;" · ","")&amp;IF(AND($S173="Macro",ABS(SUMIFS($G$5:$G$1000,$P$5:$P$1000,$P173,$S$5:$S$1000,"Macro")-1)&gt;0.0001),"Pesos del mes suman "&amp;TEXT(SUMIFS($G$5:$G$1000,$P$5:$P$1000,$P173,$S$5:$S$1000,"Macro"),"0%")&amp;" · ","")&amp;IF(AND(N($T173)&gt;0,COUNT($H173:$K173)&gt;0),"Con subactividades: deje vacías las semanas (se calculan solas)"&amp;" · ","")&amp;IF((COUNTIF($H173:$K173,"&gt;1")+COUNTIF($H173:$K173,"&lt;0")+COUNTA($H173:$K173)-COUNT($H173:$K173))&gt;0,"Avance fuera de rango 0-100%"&amp;" · ","")&amp;IF(OR(AND($I173&lt;&gt;"",$I173&lt;$H173),AND($J173&lt;&gt;"",$J173&lt;MAX($H173:$I173)),AND($K173&lt;&gt;"",$K173&lt;MAX($H173:$J173))),"Avance semanal decreciente"&amp;" · ","")&amp;IF(AND(ISNUMBER($F173),$F173&lt;FechaRef,N($L173)&lt;1),"Vencida"&amp;" · ","")&amp;IF(AND(ObsObligatoria="Sí",ISNUMBER($F173),$F173&lt;FechaRef,N($L173)&lt;1,$N173=""),"Vencida sin observación"&amp;" · ",""),LEN(IF(AND($S173="Macro",$B173=""),"Macroactividad vacía"&amp;" · ","")&amp;IF(AND($B173&lt;&gt;"",$C173&lt;&gt;""),"Escriba la subactividad en otra fila, debajo de su macroactividad"&amp;" · ","")&amp;IF(AND($S173="Sub",N($R173)=0),"Subactividad sin macroactividad arriba"&amp;" · ","")&amp;IF($D173="","Sin responsable"&amp;" · ","")&amp;IF($E173="","Sin fecha de inicio"&amp;" · ","")&amp;IF($F173="","Sin fecha límite"&amp;" · ","")&amp;IF(OR(AND($E173&lt;&gt;"",NOT(ISNUMBER($E173))),AND($F173&lt;&gt;"",NOT(ISNUMBER($F173)))),"Fecha no válida"&amp;" · ","")&amp;IF(AND(ISNUMBER($E173),ISNUMBER($F173),$E173&gt;$F173),"Inicio posterior a fecha límite"&amp;" · ","")&amp;IF(AND($S173="Macro",$G173=""),"Peso vacío"&amp;" · ","")&amp;IF(AND($S173="Macro",$G173&lt;&gt;"",OR(NOT(ISNUMBER($G173)),$G173&lt;=0,$G173&gt;1)),"Peso fuera de rango"&amp;" · ","")&amp;IF(AND($S173="Sub",$G173&lt;&gt;""),"Las subactividades no llevan peso"&amp;" · ","")&amp;IF(AND($S173="Macro",ABS(SUMIFS($G$5:$G$1000,$P$5:$P$1000,$P173,$S$5:$S$1000,"Macro")-1)&gt;0.0001),"Pesos del mes suman "&amp;TEXT(SUMIFS($G$5:$G$1000,$P$5:$P$1000,$P173,$S$5:$S$1000,"Macro"),"0%")&amp;" · ","")&amp;IF(AND(N($T173)&gt;0,COUNT($H173:$K173)&gt;0),"Con subactividades: deje vacías las semanas (se calculan solas)"&amp;" · ","")&amp;IF((COUNTIF($H173:$K173,"&gt;1")+COUNTIF($H173:$K173,"&lt;0")+COUNTA($H173:$K173)-COUNT($H173:$K173))&gt;0,"Avance fuera de rango 0-100%"&amp;" · ","")&amp;IF(OR(AND($I173&lt;&gt;"",$I173&lt;$H173),AND($J173&lt;&gt;"",$J173&lt;MAX($H173:$I173)),AND($K173&lt;&gt;"",$K173&lt;MAX($H173:$J173))),"Avance semanal decreciente"&amp;" · ","")&amp;IF(AND(ISNUMBER($F173),$F173&lt;FechaRef,N($L173)&lt;1),"Vencida"&amp;" · ","")&amp;IF(AND(ObsObligatoria="Sí",ISNUMBER($F173),$F173&lt;FechaRef,N($L173)&lt;1,$N173=""),"Vencida sin observación"&amp;" · ",""))-3)))</f>
        <v/>
      </c>
      <c r="P173" s="69">
        <f>IF(NOT((COUNTA($B173:$K173)+COUNTA($N173))&gt;0),"",IF(AND($S173="Sub",N($R173)&gt;0),IF(ISNUMBER(INDEX($E$5:$E$1000,$R173-4)),DATE(YEAR(INDEX($E$5:$E$1000,$R173-4)),MONTH(INDEX($E$5:$E$1000,$R173-4)),1),IF(ISNUMBER(INDEX($F$5:$F$1000,$R173-4)),DATE(YEAR(INDEX($F$5:$F$1000,$R173-4)),MONTH(INDEX($F$5:$F$1000,$R173-4)),1),MesCiclo)),IF(ISNUMBER($E173),DATE(YEAR($E173),MONTH($E173),1),IF(ISNUMBER($F173),DATE(YEAR($F173),MONTH($F173),1),MesCiclo))))</f>
        <v/>
      </c>
      <c r="Q173" s="70">
        <f>IF(OR($P173="",$P173&lt;&gt;MesCiclo),"",COUNTIF($P$5:$P173,MesCiclo))</f>
        <v/>
      </c>
      <c r="R173" s="70">
        <f>IF($S173="","",IF($S173="Macro",ROW(),IFERROR(LOOKUP(2,1/($S$5:$S173="Macro"),ROW($S$5:$S173)),0)))</f>
        <v/>
      </c>
      <c r="S173" s="70">
        <f>IF(NOT((COUNTA($B173:$K173)+COUNTA($N173))&gt;0),"",IF($B173&lt;&gt;"","Macro",IF($C173&lt;&gt;"","Sub","Macro")))</f>
        <v/>
      </c>
      <c r="T173" s="70">
        <f>IF($S173="Macro",COUNTIFS($R$5:$R$1000,ROW(),$S$5:$S$1000,"Sub"),"")</f>
        <v/>
      </c>
      <c r="U173" s="70">
        <f>IF($S173="","",IF(ISNUMBER($H173),$H173,0))</f>
        <v/>
      </c>
      <c r="V173" s="70">
        <f>IF($S173="","",IF(ISNUMBER($I173),$I173,$U173))</f>
        <v/>
      </c>
      <c r="W173" s="70">
        <f>IF($S173="","",IF(ISNUMBER($J173),$J173,$V173))</f>
        <v/>
      </c>
      <c r="X173" s="70">
        <f>IF($S173="","",IF(ISNUMBER($K173),$K173,$W173))</f>
        <v/>
      </c>
      <c r="Y173" s="70">
        <f>IF($S173="","",IF(N($T173)&gt;0,AVERAGEIFS($U$5:$U$1000,$R$5:$R$1000,ROW(),$S$5:$S$1000,"Sub"),$U173))</f>
        <v/>
      </c>
      <c r="Z173" s="70">
        <f>IF($S173="","",IF(N($T173)&gt;0,AVERAGEIFS($V$5:$V$1000,$R$5:$R$1000,ROW(),$S$5:$S$1000,"Sub"),$V173))</f>
        <v/>
      </c>
      <c r="AA173" s="70">
        <f>IF($S173="","",IF(N($T173)&gt;0,AVERAGEIFS($W$5:$W$1000,$R$5:$R$1000,ROW(),$S$5:$S$1000,"Sub"),$W173))</f>
        <v/>
      </c>
      <c r="AB173" s="70">
        <f>IF($S173="","",IF(N($T173)&gt;0,AVERAGEIFS($X$5:$X$1000,$R$5:$R$1000,ROW(),$S$5:$S$1000,"Sub"),$X173))</f>
        <v/>
      </c>
    </row>
    <row r="174">
      <c r="A174" s="61">
        <f>IF(NOT((COUNTA($B174:$K174)+COUNTA($N174))&gt;0),"",IF($S174="Macro",COUNTIFS($S$5:$S174,"Macro",$P$5:$P174,$P174),IF(N($R174)=0,"?",COUNTIFS(INDEX($S$5:$S$1000,1):INDEX($S$5:$S$1000,$R174-4),"Macro",INDEX($P$5:$P$1000,1):INDEX($P$5:$P$1000,$R174-4),INDEX($P$5:$P$1000,$R174-4))&amp;"."&amp;COUNTIFS($R$5:$R174,$R174,$S$5:$S174,"Sub"))))</f>
        <v/>
      </c>
      <c r="B174" s="62" t="n"/>
      <c r="C174" s="63" t="n"/>
      <c r="D174" s="62" t="n"/>
      <c r="E174" s="64" t="n"/>
      <c r="F174" s="64" t="n"/>
      <c r="G174" s="65" t="n"/>
      <c r="H174" s="66" t="n"/>
      <c r="I174" s="66" t="n"/>
      <c r="J174" s="66" t="n"/>
      <c r="K174" s="66" t="n"/>
      <c r="L174" s="67">
        <f>IF(NOT((COUNTA($B174:$K174)+COUNTA($N174))&gt;0),"",IF(N($T174)&gt;0,$AB174,IFERROR(LOOKUP(2,1/(H174:K174&lt;&gt;""),H174:K174),0)))</f>
        <v/>
      </c>
      <c r="M174" s="61">
        <f>IF(L174="","",IF(L174&gt;=1,"Completado",IF(L174&gt;0,"En curso","Pendiente")))</f>
        <v/>
      </c>
      <c r="N174" s="62" t="n"/>
      <c r="O174" s="68">
        <f>IF(NOT((COUNTA($B174:$K174)+COUNTA($N174))&gt;0),"",IF((IF(AND($S174="Macro",$B174=""),"Macroactividad vacía"&amp;" · ","")&amp;IF(AND($B174&lt;&gt;"",$C174&lt;&gt;""),"Escriba la subactividad en otra fila, debajo de su macroactividad"&amp;" · ","")&amp;IF(AND($S174="Sub",N($R174)=0),"Subactividad sin macroactividad arriba"&amp;" · ","")&amp;IF($D174="","Sin responsable"&amp;" · ","")&amp;IF($E174="","Sin fecha de inicio"&amp;" · ","")&amp;IF($F174="","Sin fecha límite"&amp;" · ","")&amp;IF(OR(AND($E174&lt;&gt;"",NOT(ISNUMBER($E174))),AND($F174&lt;&gt;"",NOT(ISNUMBER($F174)))),"Fecha no válida"&amp;" · ","")&amp;IF(AND(ISNUMBER($E174),ISNUMBER($F174),$E174&gt;$F174),"Inicio posterior a fecha límite"&amp;" · ","")&amp;IF(AND($S174="Macro",$G174=""),"Peso vacío"&amp;" · ","")&amp;IF(AND($S174="Macro",$G174&lt;&gt;"",OR(NOT(ISNUMBER($G174)),$G174&lt;=0,$G174&gt;1)),"Peso fuera de rango"&amp;" · ","")&amp;IF(AND($S174="Sub",$G174&lt;&gt;""),"Las subactividades no llevan peso"&amp;" · ","")&amp;IF(AND($S174="Macro",ABS(SUMIFS($G$5:$G$1000,$P$5:$P$1000,$P174,$S$5:$S$1000,"Macro")-1)&gt;0.0001),"Pesos del mes suman "&amp;TEXT(SUMIFS($G$5:$G$1000,$P$5:$P$1000,$P174,$S$5:$S$1000,"Macro"),"0%")&amp;" · ","")&amp;IF(AND(N($T174)&gt;0,COUNT($H174:$K174)&gt;0),"Con subactividades: deje vacías las semanas (se calculan solas)"&amp;" · ","")&amp;IF((COUNTIF($H174:$K174,"&gt;1")+COUNTIF($H174:$K174,"&lt;0")+COUNTA($H174:$K174)-COUNT($H174:$K174))&gt;0,"Avance fuera de rango 0-100%"&amp;" · ","")&amp;IF(OR(AND($I174&lt;&gt;"",$I174&lt;$H174),AND($J174&lt;&gt;"",$J174&lt;MAX($H174:$I174)),AND($K174&lt;&gt;"",$K174&lt;MAX($H174:$J174))),"Avance semanal decreciente"&amp;" · ","")&amp;IF(AND(ISNUMBER($F174),$F174&lt;FechaRef,N($L174)&lt;1),"Vencida"&amp;" · ","")&amp;IF(AND(ObsObligatoria="Sí",ISNUMBER($F174),$F174&lt;FechaRef,N($L174)&lt;1,$N174=""),"Vencida sin observación"&amp;" · ",""))="","✔ OK","⚠ "&amp;LEFT(IF(AND($S174="Macro",$B174=""),"Macroactividad vacía"&amp;" · ","")&amp;IF(AND($B174&lt;&gt;"",$C174&lt;&gt;""),"Escriba la subactividad en otra fila, debajo de su macroactividad"&amp;" · ","")&amp;IF(AND($S174="Sub",N($R174)=0),"Subactividad sin macroactividad arriba"&amp;" · ","")&amp;IF($D174="","Sin responsable"&amp;" · ","")&amp;IF($E174="","Sin fecha de inicio"&amp;" · ","")&amp;IF($F174="","Sin fecha límite"&amp;" · ","")&amp;IF(OR(AND($E174&lt;&gt;"",NOT(ISNUMBER($E174))),AND($F174&lt;&gt;"",NOT(ISNUMBER($F174)))),"Fecha no válida"&amp;" · ","")&amp;IF(AND(ISNUMBER($E174),ISNUMBER($F174),$E174&gt;$F174),"Inicio posterior a fecha límite"&amp;" · ","")&amp;IF(AND($S174="Macro",$G174=""),"Peso vacío"&amp;" · ","")&amp;IF(AND($S174="Macro",$G174&lt;&gt;"",OR(NOT(ISNUMBER($G174)),$G174&lt;=0,$G174&gt;1)),"Peso fuera de rango"&amp;" · ","")&amp;IF(AND($S174="Sub",$G174&lt;&gt;""),"Las subactividades no llevan peso"&amp;" · ","")&amp;IF(AND($S174="Macro",ABS(SUMIFS($G$5:$G$1000,$P$5:$P$1000,$P174,$S$5:$S$1000,"Macro")-1)&gt;0.0001),"Pesos del mes suman "&amp;TEXT(SUMIFS($G$5:$G$1000,$P$5:$P$1000,$P174,$S$5:$S$1000,"Macro"),"0%")&amp;" · ","")&amp;IF(AND(N($T174)&gt;0,COUNT($H174:$K174)&gt;0),"Con subactividades: deje vacías las semanas (se calculan solas)"&amp;" · ","")&amp;IF((COUNTIF($H174:$K174,"&gt;1")+COUNTIF($H174:$K174,"&lt;0")+COUNTA($H174:$K174)-COUNT($H174:$K174))&gt;0,"Avance fuera de rango 0-100%"&amp;" · ","")&amp;IF(OR(AND($I174&lt;&gt;"",$I174&lt;$H174),AND($J174&lt;&gt;"",$J174&lt;MAX($H174:$I174)),AND($K174&lt;&gt;"",$K174&lt;MAX($H174:$J174))),"Avance semanal decreciente"&amp;" · ","")&amp;IF(AND(ISNUMBER($F174),$F174&lt;FechaRef,N($L174)&lt;1),"Vencida"&amp;" · ","")&amp;IF(AND(ObsObligatoria="Sí",ISNUMBER($F174),$F174&lt;FechaRef,N($L174)&lt;1,$N174=""),"Vencida sin observación"&amp;" · ",""),LEN(IF(AND($S174="Macro",$B174=""),"Macroactividad vacía"&amp;" · ","")&amp;IF(AND($B174&lt;&gt;"",$C174&lt;&gt;""),"Escriba la subactividad en otra fila, debajo de su macroactividad"&amp;" · ","")&amp;IF(AND($S174="Sub",N($R174)=0),"Subactividad sin macroactividad arriba"&amp;" · ","")&amp;IF($D174="","Sin responsable"&amp;" · ","")&amp;IF($E174="","Sin fecha de inicio"&amp;" · ","")&amp;IF($F174="","Sin fecha límite"&amp;" · ","")&amp;IF(OR(AND($E174&lt;&gt;"",NOT(ISNUMBER($E174))),AND($F174&lt;&gt;"",NOT(ISNUMBER($F174)))),"Fecha no válida"&amp;" · ","")&amp;IF(AND(ISNUMBER($E174),ISNUMBER($F174),$E174&gt;$F174),"Inicio posterior a fecha límite"&amp;" · ","")&amp;IF(AND($S174="Macro",$G174=""),"Peso vacío"&amp;" · ","")&amp;IF(AND($S174="Macro",$G174&lt;&gt;"",OR(NOT(ISNUMBER($G174)),$G174&lt;=0,$G174&gt;1)),"Peso fuera de rango"&amp;" · ","")&amp;IF(AND($S174="Sub",$G174&lt;&gt;""),"Las subactividades no llevan peso"&amp;" · ","")&amp;IF(AND($S174="Macro",ABS(SUMIFS($G$5:$G$1000,$P$5:$P$1000,$P174,$S$5:$S$1000,"Macro")-1)&gt;0.0001),"Pesos del mes suman "&amp;TEXT(SUMIFS($G$5:$G$1000,$P$5:$P$1000,$P174,$S$5:$S$1000,"Macro"),"0%")&amp;" · ","")&amp;IF(AND(N($T174)&gt;0,COUNT($H174:$K174)&gt;0),"Con subactividades: deje vacías las semanas (se calculan solas)"&amp;" · ","")&amp;IF((COUNTIF($H174:$K174,"&gt;1")+COUNTIF($H174:$K174,"&lt;0")+COUNTA($H174:$K174)-COUNT($H174:$K174))&gt;0,"Avance fuera de rango 0-100%"&amp;" · ","")&amp;IF(OR(AND($I174&lt;&gt;"",$I174&lt;$H174),AND($J174&lt;&gt;"",$J174&lt;MAX($H174:$I174)),AND($K174&lt;&gt;"",$K174&lt;MAX($H174:$J174))),"Avance semanal decreciente"&amp;" · ","")&amp;IF(AND(ISNUMBER($F174),$F174&lt;FechaRef,N($L174)&lt;1),"Vencida"&amp;" · ","")&amp;IF(AND(ObsObligatoria="Sí",ISNUMBER($F174),$F174&lt;FechaRef,N($L174)&lt;1,$N174=""),"Vencida sin observación"&amp;" · ",""))-3)))</f>
        <v/>
      </c>
      <c r="P174" s="69">
        <f>IF(NOT((COUNTA($B174:$K174)+COUNTA($N174))&gt;0),"",IF(AND($S174="Sub",N($R174)&gt;0),IF(ISNUMBER(INDEX($E$5:$E$1000,$R174-4)),DATE(YEAR(INDEX($E$5:$E$1000,$R174-4)),MONTH(INDEX($E$5:$E$1000,$R174-4)),1),IF(ISNUMBER(INDEX($F$5:$F$1000,$R174-4)),DATE(YEAR(INDEX($F$5:$F$1000,$R174-4)),MONTH(INDEX($F$5:$F$1000,$R174-4)),1),MesCiclo)),IF(ISNUMBER($E174),DATE(YEAR($E174),MONTH($E174),1),IF(ISNUMBER($F174),DATE(YEAR($F174),MONTH($F174),1),MesCiclo))))</f>
        <v/>
      </c>
      <c r="Q174" s="70">
        <f>IF(OR($P174="",$P174&lt;&gt;MesCiclo),"",COUNTIF($P$5:$P174,MesCiclo))</f>
        <v/>
      </c>
      <c r="R174" s="70">
        <f>IF($S174="","",IF($S174="Macro",ROW(),IFERROR(LOOKUP(2,1/($S$5:$S174="Macro"),ROW($S$5:$S174)),0)))</f>
        <v/>
      </c>
      <c r="S174" s="70">
        <f>IF(NOT((COUNTA($B174:$K174)+COUNTA($N174))&gt;0),"",IF($B174&lt;&gt;"","Macro",IF($C174&lt;&gt;"","Sub","Macro")))</f>
        <v/>
      </c>
      <c r="T174" s="70">
        <f>IF($S174="Macro",COUNTIFS($R$5:$R$1000,ROW(),$S$5:$S$1000,"Sub"),"")</f>
        <v/>
      </c>
      <c r="U174" s="70">
        <f>IF($S174="","",IF(ISNUMBER($H174),$H174,0))</f>
        <v/>
      </c>
      <c r="V174" s="70">
        <f>IF($S174="","",IF(ISNUMBER($I174),$I174,$U174))</f>
        <v/>
      </c>
      <c r="W174" s="70">
        <f>IF($S174="","",IF(ISNUMBER($J174),$J174,$V174))</f>
        <v/>
      </c>
      <c r="X174" s="70">
        <f>IF($S174="","",IF(ISNUMBER($K174),$K174,$W174))</f>
        <v/>
      </c>
      <c r="Y174" s="70">
        <f>IF($S174="","",IF(N($T174)&gt;0,AVERAGEIFS($U$5:$U$1000,$R$5:$R$1000,ROW(),$S$5:$S$1000,"Sub"),$U174))</f>
        <v/>
      </c>
      <c r="Z174" s="70">
        <f>IF($S174="","",IF(N($T174)&gt;0,AVERAGEIFS($V$5:$V$1000,$R$5:$R$1000,ROW(),$S$5:$S$1000,"Sub"),$V174))</f>
        <v/>
      </c>
      <c r="AA174" s="70">
        <f>IF($S174="","",IF(N($T174)&gt;0,AVERAGEIFS($W$5:$W$1000,$R$5:$R$1000,ROW(),$S$5:$S$1000,"Sub"),$W174))</f>
        <v/>
      </c>
      <c r="AB174" s="70">
        <f>IF($S174="","",IF(N($T174)&gt;0,AVERAGEIFS($X$5:$X$1000,$R$5:$R$1000,ROW(),$S$5:$S$1000,"Sub"),$X174))</f>
        <v/>
      </c>
    </row>
    <row r="175">
      <c r="A175" s="61">
        <f>IF(NOT((COUNTA($B175:$K175)+COUNTA($N175))&gt;0),"",IF($S175="Macro",COUNTIFS($S$5:$S175,"Macro",$P$5:$P175,$P175),IF(N($R175)=0,"?",COUNTIFS(INDEX($S$5:$S$1000,1):INDEX($S$5:$S$1000,$R175-4),"Macro",INDEX($P$5:$P$1000,1):INDEX($P$5:$P$1000,$R175-4),INDEX($P$5:$P$1000,$R175-4))&amp;"."&amp;COUNTIFS($R$5:$R175,$R175,$S$5:$S175,"Sub"))))</f>
        <v/>
      </c>
      <c r="B175" s="62" t="n"/>
      <c r="C175" s="63" t="n"/>
      <c r="D175" s="62" t="n"/>
      <c r="E175" s="64" t="n"/>
      <c r="F175" s="64" t="n"/>
      <c r="G175" s="65" t="n"/>
      <c r="H175" s="66" t="n"/>
      <c r="I175" s="66" t="n"/>
      <c r="J175" s="66" t="n"/>
      <c r="K175" s="66" t="n"/>
      <c r="L175" s="67">
        <f>IF(NOT((COUNTA($B175:$K175)+COUNTA($N175))&gt;0),"",IF(N($T175)&gt;0,$AB175,IFERROR(LOOKUP(2,1/(H175:K175&lt;&gt;""),H175:K175),0)))</f>
        <v/>
      </c>
      <c r="M175" s="61">
        <f>IF(L175="","",IF(L175&gt;=1,"Completado",IF(L175&gt;0,"En curso","Pendiente")))</f>
        <v/>
      </c>
      <c r="N175" s="62" t="n"/>
      <c r="O175" s="68">
        <f>IF(NOT((COUNTA($B175:$K175)+COUNTA($N175))&gt;0),"",IF((IF(AND($S175="Macro",$B175=""),"Macroactividad vacía"&amp;" · ","")&amp;IF(AND($B175&lt;&gt;"",$C175&lt;&gt;""),"Escriba la subactividad en otra fila, debajo de su macroactividad"&amp;" · ","")&amp;IF(AND($S175="Sub",N($R175)=0),"Subactividad sin macroactividad arriba"&amp;" · ","")&amp;IF($D175="","Sin responsable"&amp;" · ","")&amp;IF($E175="","Sin fecha de inicio"&amp;" · ","")&amp;IF($F175="","Sin fecha límite"&amp;" · ","")&amp;IF(OR(AND($E175&lt;&gt;"",NOT(ISNUMBER($E175))),AND($F175&lt;&gt;"",NOT(ISNUMBER($F175)))),"Fecha no válida"&amp;" · ","")&amp;IF(AND(ISNUMBER($E175),ISNUMBER($F175),$E175&gt;$F175),"Inicio posterior a fecha límite"&amp;" · ","")&amp;IF(AND($S175="Macro",$G175=""),"Peso vacío"&amp;" · ","")&amp;IF(AND($S175="Macro",$G175&lt;&gt;"",OR(NOT(ISNUMBER($G175)),$G175&lt;=0,$G175&gt;1)),"Peso fuera de rango"&amp;" · ","")&amp;IF(AND($S175="Sub",$G175&lt;&gt;""),"Las subactividades no llevan peso"&amp;" · ","")&amp;IF(AND($S175="Macro",ABS(SUMIFS($G$5:$G$1000,$P$5:$P$1000,$P175,$S$5:$S$1000,"Macro")-1)&gt;0.0001),"Pesos del mes suman "&amp;TEXT(SUMIFS($G$5:$G$1000,$P$5:$P$1000,$P175,$S$5:$S$1000,"Macro"),"0%")&amp;" · ","")&amp;IF(AND(N($T175)&gt;0,COUNT($H175:$K175)&gt;0),"Con subactividades: deje vacías las semanas (se calculan solas)"&amp;" · ","")&amp;IF((COUNTIF($H175:$K175,"&gt;1")+COUNTIF($H175:$K175,"&lt;0")+COUNTA($H175:$K175)-COUNT($H175:$K175))&gt;0,"Avance fuera de rango 0-100%"&amp;" · ","")&amp;IF(OR(AND($I175&lt;&gt;"",$I175&lt;$H175),AND($J175&lt;&gt;"",$J175&lt;MAX($H175:$I175)),AND($K175&lt;&gt;"",$K175&lt;MAX($H175:$J175))),"Avance semanal decreciente"&amp;" · ","")&amp;IF(AND(ISNUMBER($F175),$F175&lt;FechaRef,N($L175)&lt;1),"Vencida"&amp;" · ","")&amp;IF(AND(ObsObligatoria="Sí",ISNUMBER($F175),$F175&lt;FechaRef,N($L175)&lt;1,$N175=""),"Vencida sin observación"&amp;" · ",""))="","✔ OK","⚠ "&amp;LEFT(IF(AND($S175="Macro",$B175=""),"Macroactividad vacía"&amp;" · ","")&amp;IF(AND($B175&lt;&gt;"",$C175&lt;&gt;""),"Escriba la subactividad en otra fila, debajo de su macroactividad"&amp;" · ","")&amp;IF(AND($S175="Sub",N($R175)=0),"Subactividad sin macroactividad arriba"&amp;" · ","")&amp;IF($D175="","Sin responsable"&amp;" · ","")&amp;IF($E175="","Sin fecha de inicio"&amp;" · ","")&amp;IF($F175="","Sin fecha límite"&amp;" · ","")&amp;IF(OR(AND($E175&lt;&gt;"",NOT(ISNUMBER($E175))),AND($F175&lt;&gt;"",NOT(ISNUMBER($F175)))),"Fecha no válida"&amp;" · ","")&amp;IF(AND(ISNUMBER($E175),ISNUMBER($F175),$E175&gt;$F175),"Inicio posterior a fecha límite"&amp;" · ","")&amp;IF(AND($S175="Macro",$G175=""),"Peso vacío"&amp;" · ","")&amp;IF(AND($S175="Macro",$G175&lt;&gt;"",OR(NOT(ISNUMBER($G175)),$G175&lt;=0,$G175&gt;1)),"Peso fuera de rango"&amp;" · ","")&amp;IF(AND($S175="Sub",$G175&lt;&gt;""),"Las subactividades no llevan peso"&amp;" · ","")&amp;IF(AND($S175="Macro",ABS(SUMIFS($G$5:$G$1000,$P$5:$P$1000,$P175,$S$5:$S$1000,"Macro")-1)&gt;0.0001),"Pesos del mes suman "&amp;TEXT(SUMIFS($G$5:$G$1000,$P$5:$P$1000,$P175,$S$5:$S$1000,"Macro"),"0%")&amp;" · ","")&amp;IF(AND(N($T175)&gt;0,COUNT($H175:$K175)&gt;0),"Con subactividades: deje vacías las semanas (se calculan solas)"&amp;" · ","")&amp;IF((COUNTIF($H175:$K175,"&gt;1")+COUNTIF($H175:$K175,"&lt;0")+COUNTA($H175:$K175)-COUNT($H175:$K175))&gt;0,"Avance fuera de rango 0-100%"&amp;" · ","")&amp;IF(OR(AND($I175&lt;&gt;"",$I175&lt;$H175),AND($J175&lt;&gt;"",$J175&lt;MAX($H175:$I175)),AND($K175&lt;&gt;"",$K175&lt;MAX($H175:$J175))),"Avance semanal decreciente"&amp;" · ","")&amp;IF(AND(ISNUMBER($F175),$F175&lt;FechaRef,N($L175)&lt;1),"Vencida"&amp;" · ","")&amp;IF(AND(ObsObligatoria="Sí",ISNUMBER($F175),$F175&lt;FechaRef,N($L175)&lt;1,$N175=""),"Vencida sin observación"&amp;" · ",""),LEN(IF(AND($S175="Macro",$B175=""),"Macroactividad vacía"&amp;" · ","")&amp;IF(AND($B175&lt;&gt;"",$C175&lt;&gt;""),"Escriba la subactividad en otra fila, debajo de su macroactividad"&amp;" · ","")&amp;IF(AND($S175="Sub",N($R175)=0),"Subactividad sin macroactividad arriba"&amp;" · ","")&amp;IF($D175="","Sin responsable"&amp;" · ","")&amp;IF($E175="","Sin fecha de inicio"&amp;" · ","")&amp;IF($F175="","Sin fecha límite"&amp;" · ","")&amp;IF(OR(AND($E175&lt;&gt;"",NOT(ISNUMBER($E175))),AND($F175&lt;&gt;"",NOT(ISNUMBER($F175)))),"Fecha no válida"&amp;" · ","")&amp;IF(AND(ISNUMBER($E175),ISNUMBER($F175),$E175&gt;$F175),"Inicio posterior a fecha límite"&amp;" · ","")&amp;IF(AND($S175="Macro",$G175=""),"Peso vacío"&amp;" · ","")&amp;IF(AND($S175="Macro",$G175&lt;&gt;"",OR(NOT(ISNUMBER($G175)),$G175&lt;=0,$G175&gt;1)),"Peso fuera de rango"&amp;" · ","")&amp;IF(AND($S175="Sub",$G175&lt;&gt;""),"Las subactividades no llevan peso"&amp;" · ","")&amp;IF(AND($S175="Macro",ABS(SUMIFS($G$5:$G$1000,$P$5:$P$1000,$P175,$S$5:$S$1000,"Macro")-1)&gt;0.0001),"Pesos del mes suman "&amp;TEXT(SUMIFS($G$5:$G$1000,$P$5:$P$1000,$P175,$S$5:$S$1000,"Macro"),"0%")&amp;" · ","")&amp;IF(AND(N($T175)&gt;0,COUNT($H175:$K175)&gt;0),"Con subactividades: deje vacías las semanas (se calculan solas)"&amp;" · ","")&amp;IF((COUNTIF($H175:$K175,"&gt;1")+COUNTIF($H175:$K175,"&lt;0")+COUNTA($H175:$K175)-COUNT($H175:$K175))&gt;0,"Avance fuera de rango 0-100%"&amp;" · ","")&amp;IF(OR(AND($I175&lt;&gt;"",$I175&lt;$H175),AND($J175&lt;&gt;"",$J175&lt;MAX($H175:$I175)),AND($K175&lt;&gt;"",$K175&lt;MAX($H175:$J175))),"Avance semanal decreciente"&amp;" · ","")&amp;IF(AND(ISNUMBER($F175),$F175&lt;FechaRef,N($L175)&lt;1),"Vencida"&amp;" · ","")&amp;IF(AND(ObsObligatoria="Sí",ISNUMBER($F175),$F175&lt;FechaRef,N($L175)&lt;1,$N175=""),"Vencida sin observación"&amp;" · ",""))-3)))</f>
        <v/>
      </c>
      <c r="P175" s="69">
        <f>IF(NOT((COUNTA($B175:$K175)+COUNTA($N175))&gt;0),"",IF(AND($S175="Sub",N($R175)&gt;0),IF(ISNUMBER(INDEX($E$5:$E$1000,$R175-4)),DATE(YEAR(INDEX($E$5:$E$1000,$R175-4)),MONTH(INDEX($E$5:$E$1000,$R175-4)),1),IF(ISNUMBER(INDEX($F$5:$F$1000,$R175-4)),DATE(YEAR(INDEX($F$5:$F$1000,$R175-4)),MONTH(INDEX($F$5:$F$1000,$R175-4)),1),MesCiclo)),IF(ISNUMBER($E175),DATE(YEAR($E175),MONTH($E175),1),IF(ISNUMBER($F175),DATE(YEAR($F175),MONTH($F175),1),MesCiclo))))</f>
        <v/>
      </c>
      <c r="Q175" s="70">
        <f>IF(OR($P175="",$P175&lt;&gt;MesCiclo),"",COUNTIF($P$5:$P175,MesCiclo))</f>
        <v/>
      </c>
      <c r="R175" s="70">
        <f>IF($S175="","",IF($S175="Macro",ROW(),IFERROR(LOOKUP(2,1/($S$5:$S175="Macro"),ROW($S$5:$S175)),0)))</f>
        <v/>
      </c>
      <c r="S175" s="70">
        <f>IF(NOT((COUNTA($B175:$K175)+COUNTA($N175))&gt;0),"",IF($B175&lt;&gt;"","Macro",IF($C175&lt;&gt;"","Sub","Macro")))</f>
        <v/>
      </c>
      <c r="T175" s="70">
        <f>IF($S175="Macro",COUNTIFS($R$5:$R$1000,ROW(),$S$5:$S$1000,"Sub"),"")</f>
        <v/>
      </c>
      <c r="U175" s="70">
        <f>IF($S175="","",IF(ISNUMBER($H175),$H175,0))</f>
        <v/>
      </c>
      <c r="V175" s="70">
        <f>IF($S175="","",IF(ISNUMBER($I175),$I175,$U175))</f>
        <v/>
      </c>
      <c r="W175" s="70">
        <f>IF($S175="","",IF(ISNUMBER($J175),$J175,$V175))</f>
        <v/>
      </c>
      <c r="X175" s="70">
        <f>IF($S175="","",IF(ISNUMBER($K175),$K175,$W175))</f>
        <v/>
      </c>
      <c r="Y175" s="70">
        <f>IF($S175="","",IF(N($T175)&gt;0,AVERAGEIFS($U$5:$U$1000,$R$5:$R$1000,ROW(),$S$5:$S$1000,"Sub"),$U175))</f>
        <v/>
      </c>
      <c r="Z175" s="70">
        <f>IF($S175="","",IF(N($T175)&gt;0,AVERAGEIFS($V$5:$V$1000,$R$5:$R$1000,ROW(),$S$5:$S$1000,"Sub"),$V175))</f>
        <v/>
      </c>
      <c r="AA175" s="70">
        <f>IF($S175="","",IF(N($T175)&gt;0,AVERAGEIFS($W$5:$W$1000,$R$5:$R$1000,ROW(),$S$5:$S$1000,"Sub"),$W175))</f>
        <v/>
      </c>
      <c r="AB175" s="70">
        <f>IF($S175="","",IF(N($T175)&gt;0,AVERAGEIFS($X$5:$X$1000,$R$5:$R$1000,ROW(),$S$5:$S$1000,"Sub"),$X175))</f>
        <v/>
      </c>
    </row>
    <row r="176">
      <c r="A176" s="61">
        <f>IF(NOT((COUNTA($B176:$K176)+COUNTA($N176))&gt;0),"",IF($S176="Macro",COUNTIFS($S$5:$S176,"Macro",$P$5:$P176,$P176),IF(N($R176)=0,"?",COUNTIFS(INDEX($S$5:$S$1000,1):INDEX($S$5:$S$1000,$R176-4),"Macro",INDEX($P$5:$P$1000,1):INDEX($P$5:$P$1000,$R176-4),INDEX($P$5:$P$1000,$R176-4))&amp;"."&amp;COUNTIFS($R$5:$R176,$R176,$S$5:$S176,"Sub"))))</f>
        <v/>
      </c>
      <c r="B176" s="62" t="n"/>
      <c r="C176" s="63" t="n"/>
      <c r="D176" s="62" t="n"/>
      <c r="E176" s="64" t="n"/>
      <c r="F176" s="64" t="n"/>
      <c r="G176" s="65" t="n"/>
      <c r="H176" s="66" t="n"/>
      <c r="I176" s="66" t="n"/>
      <c r="J176" s="66" t="n"/>
      <c r="K176" s="66" t="n"/>
      <c r="L176" s="67">
        <f>IF(NOT((COUNTA($B176:$K176)+COUNTA($N176))&gt;0),"",IF(N($T176)&gt;0,$AB176,IFERROR(LOOKUP(2,1/(H176:K176&lt;&gt;""),H176:K176),0)))</f>
        <v/>
      </c>
      <c r="M176" s="61">
        <f>IF(L176="","",IF(L176&gt;=1,"Completado",IF(L176&gt;0,"En curso","Pendiente")))</f>
        <v/>
      </c>
      <c r="N176" s="62" t="n"/>
      <c r="O176" s="68">
        <f>IF(NOT((COUNTA($B176:$K176)+COUNTA($N176))&gt;0),"",IF((IF(AND($S176="Macro",$B176=""),"Macroactividad vacía"&amp;" · ","")&amp;IF(AND($B176&lt;&gt;"",$C176&lt;&gt;""),"Escriba la subactividad en otra fila, debajo de su macroactividad"&amp;" · ","")&amp;IF(AND($S176="Sub",N($R176)=0),"Subactividad sin macroactividad arriba"&amp;" · ","")&amp;IF($D176="","Sin responsable"&amp;" · ","")&amp;IF($E176="","Sin fecha de inicio"&amp;" · ","")&amp;IF($F176="","Sin fecha límite"&amp;" · ","")&amp;IF(OR(AND($E176&lt;&gt;"",NOT(ISNUMBER($E176))),AND($F176&lt;&gt;"",NOT(ISNUMBER($F176)))),"Fecha no válida"&amp;" · ","")&amp;IF(AND(ISNUMBER($E176),ISNUMBER($F176),$E176&gt;$F176),"Inicio posterior a fecha límite"&amp;" · ","")&amp;IF(AND($S176="Macro",$G176=""),"Peso vacío"&amp;" · ","")&amp;IF(AND($S176="Macro",$G176&lt;&gt;"",OR(NOT(ISNUMBER($G176)),$G176&lt;=0,$G176&gt;1)),"Peso fuera de rango"&amp;" · ","")&amp;IF(AND($S176="Sub",$G176&lt;&gt;""),"Las subactividades no llevan peso"&amp;" · ","")&amp;IF(AND($S176="Macro",ABS(SUMIFS($G$5:$G$1000,$P$5:$P$1000,$P176,$S$5:$S$1000,"Macro")-1)&gt;0.0001),"Pesos del mes suman "&amp;TEXT(SUMIFS($G$5:$G$1000,$P$5:$P$1000,$P176,$S$5:$S$1000,"Macro"),"0%")&amp;" · ","")&amp;IF(AND(N($T176)&gt;0,COUNT($H176:$K176)&gt;0),"Con subactividades: deje vacías las semanas (se calculan solas)"&amp;" · ","")&amp;IF((COUNTIF($H176:$K176,"&gt;1")+COUNTIF($H176:$K176,"&lt;0")+COUNTA($H176:$K176)-COUNT($H176:$K176))&gt;0,"Avance fuera de rango 0-100%"&amp;" · ","")&amp;IF(OR(AND($I176&lt;&gt;"",$I176&lt;$H176),AND($J176&lt;&gt;"",$J176&lt;MAX($H176:$I176)),AND($K176&lt;&gt;"",$K176&lt;MAX($H176:$J176))),"Avance semanal decreciente"&amp;" · ","")&amp;IF(AND(ISNUMBER($F176),$F176&lt;FechaRef,N($L176)&lt;1),"Vencida"&amp;" · ","")&amp;IF(AND(ObsObligatoria="Sí",ISNUMBER($F176),$F176&lt;FechaRef,N($L176)&lt;1,$N176=""),"Vencida sin observación"&amp;" · ",""))="","✔ OK","⚠ "&amp;LEFT(IF(AND($S176="Macro",$B176=""),"Macroactividad vacía"&amp;" · ","")&amp;IF(AND($B176&lt;&gt;"",$C176&lt;&gt;""),"Escriba la subactividad en otra fila, debajo de su macroactividad"&amp;" · ","")&amp;IF(AND($S176="Sub",N($R176)=0),"Subactividad sin macroactividad arriba"&amp;" · ","")&amp;IF($D176="","Sin responsable"&amp;" · ","")&amp;IF($E176="","Sin fecha de inicio"&amp;" · ","")&amp;IF($F176="","Sin fecha límite"&amp;" · ","")&amp;IF(OR(AND($E176&lt;&gt;"",NOT(ISNUMBER($E176))),AND($F176&lt;&gt;"",NOT(ISNUMBER($F176)))),"Fecha no válida"&amp;" · ","")&amp;IF(AND(ISNUMBER($E176),ISNUMBER($F176),$E176&gt;$F176),"Inicio posterior a fecha límite"&amp;" · ","")&amp;IF(AND($S176="Macro",$G176=""),"Peso vacío"&amp;" · ","")&amp;IF(AND($S176="Macro",$G176&lt;&gt;"",OR(NOT(ISNUMBER($G176)),$G176&lt;=0,$G176&gt;1)),"Peso fuera de rango"&amp;" · ","")&amp;IF(AND($S176="Sub",$G176&lt;&gt;""),"Las subactividades no llevan peso"&amp;" · ","")&amp;IF(AND($S176="Macro",ABS(SUMIFS($G$5:$G$1000,$P$5:$P$1000,$P176,$S$5:$S$1000,"Macro")-1)&gt;0.0001),"Pesos del mes suman "&amp;TEXT(SUMIFS($G$5:$G$1000,$P$5:$P$1000,$P176,$S$5:$S$1000,"Macro"),"0%")&amp;" · ","")&amp;IF(AND(N($T176)&gt;0,COUNT($H176:$K176)&gt;0),"Con subactividades: deje vacías las semanas (se calculan solas)"&amp;" · ","")&amp;IF((COUNTIF($H176:$K176,"&gt;1")+COUNTIF($H176:$K176,"&lt;0")+COUNTA($H176:$K176)-COUNT($H176:$K176))&gt;0,"Avance fuera de rango 0-100%"&amp;" · ","")&amp;IF(OR(AND($I176&lt;&gt;"",$I176&lt;$H176),AND($J176&lt;&gt;"",$J176&lt;MAX($H176:$I176)),AND($K176&lt;&gt;"",$K176&lt;MAX($H176:$J176))),"Avance semanal decreciente"&amp;" · ","")&amp;IF(AND(ISNUMBER($F176),$F176&lt;FechaRef,N($L176)&lt;1),"Vencida"&amp;" · ","")&amp;IF(AND(ObsObligatoria="Sí",ISNUMBER($F176),$F176&lt;FechaRef,N($L176)&lt;1,$N176=""),"Vencida sin observación"&amp;" · ",""),LEN(IF(AND($S176="Macro",$B176=""),"Macroactividad vacía"&amp;" · ","")&amp;IF(AND($B176&lt;&gt;"",$C176&lt;&gt;""),"Escriba la subactividad en otra fila, debajo de su macroactividad"&amp;" · ","")&amp;IF(AND($S176="Sub",N($R176)=0),"Subactividad sin macroactividad arriba"&amp;" · ","")&amp;IF($D176="","Sin responsable"&amp;" · ","")&amp;IF($E176="","Sin fecha de inicio"&amp;" · ","")&amp;IF($F176="","Sin fecha límite"&amp;" · ","")&amp;IF(OR(AND($E176&lt;&gt;"",NOT(ISNUMBER($E176))),AND($F176&lt;&gt;"",NOT(ISNUMBER($F176)))),"Fecha no válida"&amp;" · ","")&amp;IF(AND(ISNUMBER($E176),ISNUMBER($F176),$E176&gt;$F176),"Inicio posterior a fecha límite"&amp;" · ","")&amp;IF(AND($S176="Macro",$G176=""),"Peso vacío"&amp;" · ","")&amp;IF(AND($S176="Macro",$G176&lt;&gt;"",OR(NOT(ISNUMBER($G176)),$G176&lt;=0,$G176&gt;1)),"Peso fuera de rango"&amp;" · ","")&amp;IF(AND($S176="Sub",$G176&lt;&gt;""),"Las subactividades no llevan peso"&amp;" · ","")&amp;IF(AND($S176="Macro",ABS(SUMIFS($G$5:$G$1000,$P$5:$P$1000,$P176,$S$5:$S$1000,"Macro")-1)&gt;0.0001),"Pesos del mes suman "&amp;TEXT(SUMIFS($G$5:$G$1000,$P$5:$P$1000,$P176,$S$5:$S$1000,"Macro"),"0%")&amp;" · ","")&amp;IF(AND(N($T176)&gt;0,COUNT($H176:$K176)&gt;0),"Con subactividades: deje vacías las semanas (se calculan solas)"&amp;" · ","")&amp;IF((COUNTIF($H176:$K176,"&gt;1")+COUNTIF($H176:$K176,"&lt;0")+COUNTA($H176:$K176)-COUNT($H176:$K176))&gt;0,"Avance fuera de rango 0-100%"&amp;" · ","")&amp;IF(OR(AND($I176&lt;&gt;"",$I176&lt;$H176),AND($J176&lt;&gt;"",$J176&lt;MAX($H176:$I176)),AND($K176&lt;&gt;"",$K176&lt;MAX($H176:$J176))),"Avance semanal decreciente"&amp;" · ","")&amp;IF(AND(ISNUMBER($F176),$F176&lt;FechaRef,N($L176)&lt;1),"Vencida"&amp;" · ","")&amp;IF(AND(ObsObligatoria="Sí",ISNUMBER($F176),$F176&lt;FechaRef,N($L176)&lt;1,$N176=""),"Vencida sin observación"&amp;" · ",""))-3)))</f>
        <v/>
      </c>
      <c r="P176" s="69">
        <f>IF(NOT((COUNTA($B176:$K176)+COUNTA($N176))&gt;0),"",IF(AND($S176="Sub",N($R176)&gt;0),IF(ISNUMBER(INDEX($E$5:$E$1000,$R176-4)),DATE(YEAR(INDEX($E$5:$E$1000,$R176-4)),MONTH(INDEX($E$5:$E$1000,$R176-4)),1),IF(ISNUMBER(INDEX($F$5:$F$1000,$R176-4)),DATE(YEAR(INDEX($F$5:$F$1000,$R176-4)),MONTH(INDEX($F$5:$F$1000,$R176-4)),1),MesCiclo)),IF(ISNUMBER($E176),DATE(YEAR($E176),MONTH($E176),1),IF(ISNUMBER($F176),DATE(YEAR($F176),MONTH($F176),1),MesCiclo))))</f>
        <v/>
      </c>
      <c r="Q176" s="70">
        <f>IF(OR($P176="",$P176&lt;&gt;MesCiclo),"",COUNTIF($P$5:$P176,MesCiclo))</f>
        <v/>
      </c>
      <c r="R176" s="70">
        <f>IF($S176="","",IF($S176="Macro",ROW(),IFERROR(LOOKUP(2,1/($S$5:$S176="Macro"),ROW($S$5:$S176)),0)))</f>
        <v/>
      </c>
      <c r="S176" s="70">
        <f>IF(NOT((COUNTA($B176:$K176)+COUNTA($N176))&gt;0),"",IF($B176&lt;&gt;"","Macro",IF($C176&lt;&gt;"","Sub","Macro")))</f>
        <v/>
      </c>
      <c r="T176" s="70">
        <f>IF($S176="Macro",COUNTIFS($R$5:$R$1000,ROW(),$S$5:$S$1000,"Sub"),"")</f>
        <v/>
      </c>
      <c r="U176" s="70">
        <f>IF($S176="","",IF(ISNUMBER($H176),$H176,0))</f>
        <v/>
      </c>
      <c r="V176" s="70">
        <f>IF($S176="","",IF(ISNUMBER($I176),$I176,$U176))</f>
        <v/>
      </c>
      <c r="W176" s="70">
        <f>IF($S176="","",IF(ISNUMBER($J176),$J176,$V176))</f>
        <v/>
      </c>
      <c r="X176" s="70">
        <f>IF($S176="","",IF(ISNUMBER($K176),$K176,$W176))</f>
        <v/>
      </c>
      <c r="Y176" s="70">
        <f>IF($S176="","",IF(N($T176)&gt;0,AVERAGEIFS($U$5:$U$1000,$R$5:$R$1000,ROW(),$S$5:$S$1000,"Sub"),$U176))</f>
        <v/>
      </c>
      <c r="Z176" s="70">
        <f>IF($S176="","",IF(N($T176)&gt;0,AVERAGEIFS($V$5:$V$1000,$R$5:$R$1000,ROW(),$S$5:$S$1000,"Sub"),$V176))</f>
        <v/>
      </c>
      <c r="AA176" s="70">
        <f>IF($S176="","",IF(N($T176)&gt;0,AVERAGEIFS($W$5:$W$1000,$R$5:$R$1000,ROW(),$S$5:$S$1000,"Sub"),$W176))</f>
        <v/>
      </c>
      <c r="AB176" s="70">
        <f>IF($S176="","",IF(N($T176)&gt;0,AVERAGEIFS($X$5:$X$1000,$R$5:$R$1000,ROW(),$S$5:$S$1000,"Sub"),$X176))</f>
        <v/>
      </c>
    </row>
    <row r="177">
      <c r="A177" s="61">
        <f>IF(NOT((COUNTA($B177:$K177)+COUNTA($N177))&gt;0),"",IF($S177="Macro",COUNTIFS($S$5:$S177,"Macro",$P$5:$P177,$P177),IF(N($R177)=0,"?",COUNTIFS(INDEX($S$5:$S$1000,1):INDEX($S$5:$S$1000,$R177-4),"Macro",INDEX($P$5:$P$1000,1):INDEX($P$5:$P$1000,$R177-4),INDEX($P$5:$P$1000,$R177-4))&amp;"."&amp;COUNTIFS($R$5:$R177,$R177,$S$5:$S177,"Sub"))))</f>
        <v/>
      </c>
      <c r="B177" s="62" t="n"/>
      <c r="C177" s="63" t="n"/>
      <c r="D177" s="62" t="n"/>
      <c r="E177" s="64" t="n"/>
      <c r="F177" s="64" t="n"/>
      <c r="G177" s="65" t="n"/>
      <c r="H177" s="66" t="n"/>
      <c r="I177" s="66" t="n"/>
      <c r="J177" s="66" t="n"/>
      <c r="K177" s="66" t="n"/>
      <c r="L177" s="67">
        <f>IF(NOT((COUNTA($B177:$K177)+COUNTA($N177))&gt;0),"",IF(N($T177)&gt;0,$AB177,IFERROR(LOOKUP(2,1/(H177:K177&lt;&gt;""),H177:K177),0)))</f>
        <v/>
      </c>
      <c r="M177" s="61">
        <f>IF(L177="","",IF(L177&gt;=1,"Completado",IF(L177&gt;0,"En curso","Pendiente")))</f>
        <v/>
      </c>
      <c r="N177" s="62" t="n"/>
      <c r="O177" s="68">
        <f>IF(NOT((COUNTA($B177:$K177)+COUNTA($N177))&gt;0),"",IF((IF(AND($S177="Macro",$B177=""),"Macroactividad vacía"&amp;" · ","")&amp;IF(AND($B177&lt;&gt;"",$C177&lt;&gt;""),"Escriba la subactividad en otra fila, debajo de su macroactividad"&amp;" · ","")&amp;IF(AND($S177="Sub",N($R177)=0),"Subactividad sin macroactividad arriba"&amp;" · ","")&amp;IF($D177="","Sin responsable"&amp;" · ","")&amp;IF($E177="","Sin fecha de inicio"&amp;" · ","")&amp;IF($F177="","Sin fecha límite"&amp;" · ","")&amp;IF(OR(AND($E177&lt;&gt;"",NOT(ISNUMBER($E177))),AND($F177&lt;&gt;"",NOT(ISNUMBER($F177)))),"Fecha no válida"&amp;" · ","")&amp;IF(AND(ISNUMBER($E177),ISNUMBER($F177),$E177&gt;$F177),"Inicio posterior a fecha límite"&amp;" · ","")&amp;IF(AND($S177="Macro",$G177=""),"Peso vacío"&amp;" · ","")&amp;IF(AND($S177="Macro",$G177&lt;&gt;"",OR(NOT(ISNUMBER($G177)),$G177&lt;=0,$G177&gt;1)),"Peso fuera de rango"&amp;" · ","")&amp;IF(AND($S177="Sub",$G177&lt;&gt;""),"Las subactividades no llevan peso"&amp;" · ","")&amp;IF(AND($S177="Macro",ABS(SUMIFS($G$5:$G$1000,$P$5:$P$1000,$P177,$S$5:$S$1000,"Macro")-1)&gt;0.0001),"Pesos del mes suman "&amp;TEXT(SUMIFS($G$5:$G$1000,$P$5:$P$1000,$P177,$S$5:$S$1000,"Macro"),"0%")&amp;" · ","")&amp;IF(AND(N($T177)&gt;0,COUNT($H177:$K177)&gt;0),"Con subactividades: deje vacías las semanas (se calculan solas)"&amp;" · ","")&amp;IF((COUNTIF($H177:$K177,"&gt;1")+COUNTIF($H177:$K177,"&lt;0")+COUNTA($H177:$K177)-COUNT($H177:$K177))&gt;0,"Avance fuera de rango 0-100%"&amp;" · ","")&amp;IF(OR(AND($I177&lt;&gt;"",$I177&lt;$H177),AND($J177&lt;&gt;"",$J177&lt;MAX($H177:$I177)),AND($K177&lt;&gt;"",$K177&lt;MAX($H177:$J177))),"Avance semanal decreciente"&amp;" · ","")&amp;IF(AND(ISNUMBER($F177),$F177&lt;FechaRef,N($L177)&lt;1),"Vencida"&amp;" · ","")&amp;IF(AND(ObsObligatoria="Sí",ISNUMBER($F177),$F177&lt;FechaRef,N($L177)&lt;1,$N177=""),"Vencida sin observación"&amp;" · ",""))="","✔ OK","⚠ "&amp;LEFT(IF(AND($S177="Macro",$B177=""),"Macroactividad vacía"&amp;" · ","")&amp;IF(AND($B177&lt;&gt;"",$C177&lt;&gt;""),"Escriba la subactividad en otra fila, debajo de su macroactividad"&amp;" · ","")&amp;IF(AND($S177="Sub",N($R177)=0),"Subactividad sin macroactividad arriba"&amp;" · ","")&amp;IF($D177="","Sin responsable"&amp;" · ","")&amp;IF($E177="","Sin fecha de inicio"&amp;" · ","")&amp;IF($F177="","Sin fecha límite"&amp;" · ","")&amp;IF(OR(AND($E177&lt;&gt;"",NOT(ISNUMBER($E177))),AND($F177&lt;&gt;"",NOT(ISNUMBER($F177)))),"Fecha no válida"&amp;" · ","")&amp;IF(AND(ISNUMBER($E177),ISNUMBER($F177),$E177&gt;$F177),"Inicio posterior a fecha límite"&amp;" · ","")&amp;IF(AND($S177="Macro",$G177=""),"Peso vacío"&amp;" · ","")&amp;IF(AND($S177="Macro",$G177&lt;&gt;"",OR(NOT(ISNUMBER($G177)),$G177&lt;=0,$G177&gt;1)),"Peso fuera de rango"&amp;" · ","")&amp;IF(AND($S177="Sub",$G177&lt;&gt;""),"Las subactividades no llevan peso"&amp;" · ","")&amp;IF(AND($S177="Macro",ABS(SUMIFS($G$5:$G$1000,$P$5:$P$1000,$P177,$S$5:$S$1000,"Macro")-1)&gt;0.0001),"Pesos del mes suman "&amp;TEXT(SUMIFS($G$5:$G$1000,$P$5:$P$1000,$P177,$S$5:$S$1000,"Macro"),"0%")&amp;" · ","")&amp;IF(AND(N($T177)&gt;0,COUNT($H177:$K177)&gt;0),"Con subactividades: deje vacías las semanas (se calculan solas)"&amp;" · ","")&amp;IF((COUNTIF($H177:$K177,"&gt;1")+COUNTIF($H177:$K177,"&lt;0")+COUNTA($H177:$K177)-COUNT($H177:$K177))&gt;0,"Avance fuera de rango 0-100%"&amp;" · ","")&amp;IF(OR(AND($I177&lt;&gt;"",$I177&lt;$H177),AND($J177&lt;&gt;"",$J177&lt;MAX($H177:$I177)),AND($K177&lt;&gt;"",$K177&lt;MAX($H177:$J177))),"Avance semanal decreciente"&amp;" · ","")&amp;IF(AND(ISNUMBER($F177),$F177&lt;FechaRef,N($L177)&lt;1),"Vencida"&amp;" · ","")&amp;IF(AND(ObsObligatoria="Sí",ISNUMBER($F177),$F177&lt;FechaRef,N($L177)&lt;1,$N177=""),"Vencida sin observación"&amp;" · ",""),LEN(IF(AND($S177="Macro",$B177=""),"Macroactividad vacía"&amp;" · ","")&amp;IF(AND($B177&lt;&gt;"",$C177&lt;&gt;""),"Escriba la subactividad en otra fila, debajo de su macroactividad"&amp;" · ","")&amp;IF(AND($S177="Sub",N($R177)=0),"Subactividad sin macroactividad arriba"&amp;" · ","")&amp;IF($D177="","Sin responsable"&amp;" · ","")&amp;IF($E177="","Sin fecha de inicio"&amp;" · ","")&amp;IF($F177="","Sin fecha límite"&amp;" · ","")&amp;IF(OR(AND($E177&lt;&gt;"",NOT(ISNUMBER($E177))),AND($F177&lt;&gt;"",NOT(ISNUMBER($F177)))),"Fecha no válida"&amp;" · ","")&amp;IF(AND(ISNUMBER($E177),ISNUMBER($F177),$E177&gt;$F177),"Inicio posterior a fecha límite"&amp;" · ","")&amp;IF(AND($S177="Macro",$G177=""),"Peso vacío"&amp;" · ","")&amp;IF(AND($S177="Macro",$G177&lt;&gt;"",OR(NOT(ISNUMBER($G177)),$G177&lt;=0,$G177&gt;1)),"Peso fuera de rango"&amp;" · ","")&amp;IF(AND($S177="Sub",$G177&lt;&gt;""),"Las subactividades no llevan peso"&amp;" · ","")&amp;IF(AND($S177="Macro",ABS(SUMIFS($G$5:$G$1000,$P$5:$P$1000,$P177,$S$5:$S$1000,"Macro")-1)&gt;0.0001),"Pesos del mes suman "&amp;TEXT(SUMIFS($G$5:$G$1000,$P$5:$P$1000,$P177,$S$5:$S$1000,"Macro"),"0%")&amp;" · ","")&amp;IF(AND(N($T177)&gt;0,COUNT($H177:$K177)&gt;0),"Con subactividades: deje vacías las semanas (se calculan solas)"&amp;" · ","")&amp;IF((COUNTIF($H177:$K177,"&gt;1")+COUNTIF($H177:$K177,"&lt;0")+COUNTA($H177:$K177)-COUNT($H177:$K177))&gt;0,"Avance fuera de rango 0-100%"&amp;" · ","")&amp;IF(OR(AND($I177&lt;&gt;"",$I177&lt;$H177),AND($J177&lt;&gt;"",$J177&lt;MAX($H177:$I177)),AND($K177&lt;&gt;"",$K177&lt;MAX($H177:$J177))),"Avance semanal decreciente"&amp;" · ","")&amp;IF(AND(ISNUMBER($F177),$F177&lt;FechaRef,N($L177)&lt;1),"Vencida"&amp;" · ","")&amp;IF(AND(ObsObligatoria="Sí",ISNUMBER($F177),$F177&lt;FechaRef,N($L177)&lt;1,$N177=""),"Vencida sin observación"&amp;" · ",""))-3)))</f>
        <v/>
      </c>
      <c r="P177" s="69">
        <f>IF(NOT((COUNTA($B177:$K177)+COUNTA($N177))&gt;0),"",IF(AND($S177="Sub",N($R177)&gt;0),IF(ISNUMBER(INDEX($E$5:$E$1000,$R177-4)),DATE(YEAR(INDEX($E$5:$E$1000,$R177-4)),MONTH(INDEX($E$5:$E$1000,$R177-4)),1),IF(ISNUMBER(INDEX($F$5:$F$1000,$R177-4)),DATE(YEAR(INDEX($F$5:$F$1000,$R177-4)),MONTH(INDEX($F$5:$F$1000,$R177-4)),1),MesCiclo)),IF(ISNUMBER($E177),DATE(YEAR($E177),MONTH($E177),1),IF(ISNUMBER($F177),DATE(YEAR($F177),MONTH($F177),1),MesCiclo))))</f>
        <v/>
      </c>
      <c r="Q177" s="70">
        <f>IF(OR($P177="",$P177&lt;&gt;MesCiclo),"",COUNTIF($P$5:$P177,MesCiclo))</f>
        <v/>
      </c>
      <c r="R177" s="70">
        <f>IF($S177="","",IF($S177="Macro",ROW(),IFERROR(LOOKUP(2,1/($S$5:$S177="Macro"),ROW($S$5:$S177)),0)))</f>
        <v/>
      </c>
      <c r="S177" s="70">
        <f>IF(NOT((COUNTA($B177:$K177)+COUNTA($N177))&gt;0),"",IF($B177&lt;&gt;"","Macro",IF($C177&lt;&gt;"","Sub","Macro")))</f>
        <v/>
      </c>
      <c r="T177" s="70">
        <f>IF($S177="Macro",COUNTIFS($R$5:$R$1000,ROW(),$S$5:$S$1000,"Sub"),"")</f>
        <v/>
      </c>
      <c r="U177" s="70">
        <f>IF($S177="","",IF(ISNUMBER($H177),$H177,0))</f>
        <v/>
      </c>
      <c r="V177" s="70">
        <f>IF($S177="","",IF(ISNUMBER($I177),$I177,$U177))</f>
        <v/>
      </c>
      <c r="W177" s="70">
        <f>IF($S177="","",IF(ISNUMBER($J177),$J177,$V177))</f>
        <v/>
      </c>
      <c r="X177" s="70">
        <f>IF($S177="","",IF(ISNUMBER($K177),$K177,$W177))</f>
        <v/>
      </c>
      <c r="Y177" s="70">
        <f>IF($S177="","",IF(N($T177)&gt;0,AVERAGEIFS($U$5:$U$1000,$R$5:$R$1000,ROW(),$S$5:$S$1000,"Sub"),$U177))</f>
        <v/>
      </c>
      <c r="Z177" s="70">
        <f>IF($S177="","",IF(N($T177)&gt;0,AVERAGEIFS($V$5:$V$1000,$R$5:$R$1000,ROW(),$S$5:$S$1000,"Sub"),$V177))</f>
        <v/>
      </c>
      <c r="AA177" s="70">
        <f>IF($S177="","",IF(N($T177)&gt;0,AVERAGEIFS($W$5:$W$1000,$R$5:$R$1000,ROW(),$S$5:$S$1000,"Sub"),$W177))</f>
        <v/>
      </c>
      <c r="AB177" s="70">
        <f>IF($S177="","",IF(N($T177)&gt;0,AVERAGEIFS($X$5:$X$1000,$R$5:$R$1000,ROW(),$S$5:$S$1000,"Sub"),$X177))</f>
        <v/>
      </c>
    </row>
    <row r="178">
      <c r="A178" s="61">
        <f>IF(NOT((COUNTA($B178:$K178)+COUNTA($N178))&gt;0),"",IF($S178="Macro",COUNTIFS($S$5:$S178,"Macro",$P$5:$P178,$P178),IF(N($R178)=0,"?",COUNTIFS(INDEX($S$5:$S$1000,1):INDEX($S$5:$S$1000,$R178-4),"Macro",INDEX($P$5:$P$1000,1):INDEX($P$5:$P$1000,$R178-4),INDEX($P$5:$P$1000,$R178-4))&amp;"."&amp;COUNTIFS($R$5:$R178,$R178,$S$5:$S178,"Sub"))))</f>
        <v/>
      </c>
      <c r="B178" s="62" t="n"/>
      <c r="C178" s="63" t="n"/>
      <c r="D178" s="62" t="n"/>
      <c r="E178" s="64" t="n"/>
      <c r="F178" s="64" t="n"/>
      <c r="G178" s="65" t="n"/>
      <c r="H178" s="66" t="n"/>
      <c r="I178" s="66" t="n"/>
      <c r="J178" s="66" t="n"/>
      <c r="K178" s="66" t="n"/>
      <c r="L178" s="67">
        <f>IF(NOT((COUNTA($B178:$K178)+COUNTA($N178))&gt;0),"",IF(N($T178)&gt;0,$AB178,IFERROR(LOOKUP(2,1/(H178:K178&lt;&gt;""),H178:K178),0)))</f>
        <v/>
      </c>
      <c r="M178" s="61">
        <f>IF(L178="","",IF(L178&gt;=1,"Completado",IF(L178&gt;0,"En curso","Pendiente")))</f>
        <v/>
      </c>
      <c r="N178" s="62" t="n"/>
      <c r="O178" s="68">
        <f>IF(NOT((COUNTA($B178:$K178)+COUNTA($N178))&gt;0),"",IF((IF(AND($S178="Macro",$B178=""),"Macroactividad vacía"&amp;" · ","")&amp;IF(AND($B178&lt;&gt;"",$C178&lt;&gt;""),"Escriba la subactividad en otra fila, debajo de su macroactividad"&amp;" · ","")&amp;IF(AND($S178="Sub",N($R178)=0),"Subactividad sin macroactividad arriba"&amp;" · ","")&amp;IF($D178="","Sin responsable"&amp;" · ","")&amp;IF($E178="","Sin fecha de inicio"&amp;" · ","")&amp;IF($F178="","Sin fecha límite"&amp;" · ","")&amp;IF(OR(AND($E178&lt;&gt;"",NOT(ISNUMBER($E178))),AND($F178&lt;&gt;"",NOT(ISNUMBER($F178)))),"Fecha no válida"&amp;" · ","")&amp;IF(AND(ISNUMBER($E178),ISNUMBER($F178),$E178&gt;$F178),"Inicio posterior a fecha límite"&amp;" · ","")&amp;IF(AND($S178="Macro",$G178=""),"Peso vacío"&amp;" · ","")&amp;IF(AND($S178="Macro",$G178&lt;&gt;"",OR(NOT(ISNUMBER($G178)),$G178&lt;=0,$G178&gt;1)),"Peso fuera de rango"&amp;" · ","")&amp;IF(AND($S178="Sub",$G178&lt;&gt;""),"Las subactividades no llevan peso"&amp;" · ","")&amp;IF(AND($S178="Macro",ABS(SUMIFS($G$5:$G$1000,$P$5:$P$1000,$P178,$S$5:$S$1000,"Macro")-1)&gt;0.0001),"Pesos del mes suman "&amp;TEXT(SUMIFS($G$5:$G$1000,$P$5:$P$1000,$P178,$S$5:$S$1000,"Macro"),"0%")&amp;" · ","")&amp;IF(AND(N($T178)&gt;0,COUNT($H178:$K178)&gt;0),"Con subactividades: deje vacías las semanas (se calculan solas)"&amp;" · ","")&amp;IF((COUNTIF($H178:$K178,"&gt;1")+COUNTIF($H178:$K178,"&lt;0")+COUNTA($H178:$K178)-COUNT($H178:$K178))&gt;0,"Avance fuera de rango 0-100%"&amp;" · ","")&amp;IF(OR(AND($I178&lt;&gt;"",$I178&lt;$H178),AND($J178&lt;&gt;"",$J178&lt;MAX($H178:$I178)),AND($K178&lt;&gt;"",$K178&lt;MAX($H178:$J178))),"Avance semanal decreciente"&amp;" · ","")&amp;IF(AND(ISNUMBER($F178),$F178&lt;FechaRef,N($L178)&lt;1),"Vencida"&amp;" · ","")&amp;IF(AND(ObsObligatoria="Sí",ISNUMBER($F178),$F178&lt;FechaRef,N($L178)&lt;1,$N178=""),"Vencida sin observación"&amp;" · ",""))="","✔ OK","⚠ "&amp;LEFT(IF(AND($S178="Macro",$B178=""),"Macroactividad vacía"&amp;" · ","")&amp;IF(AND($B178&lt;&gt;"",$C178&lt;&gt;""),"Escriba la subactividad en otra fila, debajo de su macroactividad"&amp;" · ","")&amp;IF(AND($S178="Sub",N($R178)=0),"Subactividad sin macroactividad arriba"&amp;" · ","")&amp;IF($D178="","Sin responsable"&amp;" · ","")&amp;IF($E178="","Sin fecha de inicio"&amp;" · ","")&amp;IF($F178="","Sin fecha límite"&amp;" · ","")&amp;IF(OR(AND($E178&lt;&gt;"",NOT(ISNUMBER($E178))),AND($F178&lt;&gt;"",NOT(ISNUMBER($F178)))),"Fecha no válida"&amp;" · ","")&amp;IF(AND(ISNUMBER($E178),ISNUMBER($F178),$E178&gt;$F178),"Inicio posterior a fecha límite"&amp;" · ","")&amp;IF(AND($S178="Macro",$G178=""),"Peso vacío"&amp;" · ","")&amp;IF(AND($S178="Macro",$G178&lt;&gt;"",OR(NOT(ISNUMBER($G178)),$G178&lt;=0,$G178&gt;1)),"Peso fuera de rango"&amp;" · ","")&amp;IF(AND($S178="Sub",$G178&lt;&gt;""),"Las subactividades no llevan peso"&amp;" · ","")&amp;IF(AND($S178="Macro",ABS(SUMIFS($G$5:$G$1000,$P$5:$P$1000,$P178,$S$5:$S$1000,"Macro")-1)&gt;0.0001),"Pesos del mes suman "&amp;TEXT(SUMIFS($G$5:$G$1000,$P$5:$P$1000,$P178,$S$5:$S$1000,"Macro"),"0%")&amp;" · ","")&amp;IF(AND(N($T178)&gt;0,COUNT($H178:$K178)&gt;0),"Con subactividades: deje vacías las semanas (se calculan solas)"&amp;" · ","")&amp;IF((COUNTIF($H178:$K178,"&gt;1")+COUNTIF($H178:$K178,"&lt;0")+COUNTA($H178:$K178)-COUNT($H178:$K178))&gt;0,"Avance fuera de rango 0-100%"&amp;" · ","")&amp;IF(OR(AND($I178&lt;&gt;"",$I178&lt;$H178),AND($J178&lt;&gt;"",$J178&lt;MAX($H178:$I178)),AND($K178&lt;&gt;"",$K178&lt;MAX($H178:$J178))),"Avance semanal decreciente"&amp;" · ","")&amp;IF(AND(ISNUMBER($F178),$F178&lt;FechaRef,N($L178)&lt;1),"Vencida"&amp;" · ","")&amp;IF(AND(ObsObligatoria="Sí",ISNUMBER($F178),$F178&lt;FechaRef,N($L178)&lt;1,$N178=""),"Vencida sin observación"&amp;" · ",""),LEN(IF(AND($S178="Macro",$B178=""),"Macroactividad vacía"&amp;" · ","")&amp;IF(AND($B178&lt;&gt;"",$C178&lt;&gt;""),"Escriba la subactividad en otra fila, debajo de su macroactividad"&amp;" · ","")&amp;IF(AND($S178="Sub",N($R178)=0),"Subactividad sin macroactividad arriba"&amp;" · ","")&amp;IF($D178="","Sin responsable"&amp;" · ","")&amp;IF($E178="","Sin fecha de inicio"&amp;" · ","")&amp;IF($F178="","Sin fecha límite"&amp;" · ","")&amp;IF(OR(AND($E178&lt;&gt;"",NOT(ISNUMBER($E178))),AND($F178&lt;&gt;"",NOT(ISNUMBER($F178)))),"Fecha no válida"&amp;" · ","")&amp;IF(AND(ISNUMBER($E178),ISNUMBER($F178),$E178&gt;$F178),"Inicio posterior a fecha límite"&amp;" · ","")&amp;IF(AND($S178="Macro",$G178=""),"Peso vacío"&amp;" · ","")&amp;IF(AND($S178="Macro",$G178&lt;&gt;"",OR(NOT(ISNUMBER($G178)),$G178&lt;=0,$G178&gt;1)),"Peso fuera de rango"&amp;" · ","")&amp;IF(AND($S178="Sub",$G178&lt;&gt;""),"Las subactividades no llevan peso"&amp;" · ","")&amp;IF(AND($S178="Macro",ABS(SUMIFS($G$5:$G$1000,$P$5:$P$1000,$P178,$S$5:$S$1000,"Macro")-1)&gt;0.0001),"Pesos del mes suman "&amp;TEXT(SUMIFS($G$5:$G$1000,$P$5:$P$1000,$P178,$S$5:$S$1000,"Macro"),"0%")&amp;" · ","")&amp;IF(AND(N($T178)&gt;0,COUNT($H178:$K178)&gt;0),"Con subactividades: deje vacías las semanas (se calculan solas)"&amp;" · ","")&amp;IF((COUNTIF($H178:$K178,"&gt;1")+COUNTIF($H178:$K178,"&lt;0")+COUNTA($H178:$K178)-COUNT($H178:$K178))&gt;0,"Avance fuera de rango 0-100%"&amp;" · ","")&amp;IF(OR(AND($I178&lt;&gt;"",$I178&lt;$H178),AND($J178&lt;&gt;"",$J178&lt;MAX($H178:$I178)),AND($K178&lt;&gt;"",$K178&lt;MAX($H178:$J178))),"Avance semanal decreciente"&amp;" · ","")&amp;IF(AND(ISNUMBER($F178),$F178&lt;FechaRef,N($L178)&lt;1),"Vencida"&amp;" · ","")&amp;IF(AND(ObsObligatoria="Sí",ISNUMBER($F178),$F178&lt;FechaRef,N($L178)&lt;1,$N178=""),"Vencida sin observación"&amp;" · ",""))-3)))</f>
        <v/>
      </c>
      <c r="P178" s="69">
        <f>IF(NOT((COUNTA($B178:$K178)+COUNTA($N178))&gt;0),"",IF(AND($S178="Sub",N($R178)&gt;0),IF(ISNUMBER(INDEX($E$5:$E$1000,$R178-4)),DATE(YEAR(INDEX($E$5:$E$1000,$R178-4)),MONTH(INDEX($E$5:$E$1000,$R178-4)),1),IF(ISNUMBER(INDEX($F$5:$F$1000,$R178-4)),DATE(YEAR(INDEX($F$5:$F$1000,$R178-4)),MONTH(INDEX($F$5:$F$1000,$R178-4)),1),MesCiclo)),IF(ISNUMBER($E178),DATE(YEAR($E178),MONTH($E178),1),IF(ISNUMBER($F178),DATE(YEAR($F178),MONTH($F178),1),MesCiclo))))</f>
        <v/>
      </c>
      <c r="Q178" s="70">
        <f>IF(OR($P178="",$P178&lt;&gt;MesCiclo),"",COUNTIF($P$5:$P178,MesCiclo))</f>
        <v/>
      </c>
      <c r="R178" s="70">
        <f>IF($S178="","",IF($S178="Macro",ROW(),IFERROR(LOOKUP(2,1/($S$5:$S178="Macro"),ROW($S$5:$S178)),0)))</f>
        <v/>
      </c>
      <c r="S178" s="70">
        <f>IF(NOT((COUNTA($B178:$K178)+COUNTA($N178))&gt;0),"",IF($B178&lt;&gt;"","Macro",IF($C178&lt;&gt;"","Sub","Macro")))</f>
        <v/>
      </c>
      <c r="T178" s="70">
        <f>IF($S178="Macro",COUNTIFS($R$5:$R$1000,ROW(),$S$5:$S$1000,"Sub"),"")</f>
        <v/>
      </c>
      <c r="U178" s="70">
        <f>IF($S178="","",IF(ISNUMBER($H178),$H178,0))</f>
        <v/>
      </c>
      <c r="V178" s="70">
        <f>IF($S178="","",IF(ISNUMBER($I178),$I178,$U178))</f>
        <v/>
      </c>
      <c r="W178" s="70">
        <f>IF($S178="","",IF(ISNUMBER($J178),$J178,$V178))</f>
        <v/>
      </c>
      <c r="X178" s="70">
        <f>IF($S178="","",IF(ISNUMBER($K178),$K178,$W178))</f>
        <v/>
      </c>
      <c r="Y178" s="70">
        <f>IF($S178="","",IF(N($T178)&gt;0,AVERAGEIFS($U$5:$U$1000,$R$5:$R$1000,ROW(),$S$5:$S$1000,"Sub"),$U178))</f>
        <v/>
      </c>
      <c r="Z178" s="70">
        <f>IF($S178="","",IF(N($T178)&gt;0,AVERAGEIFS($V$5:$V$1000,$R$5:$R$1000,ROW(),$S$5:$S$1000,"Sub"),$V178))</f>
        <v/>
      </c>
      <c r="AA178" s="70">
        <f>IF($S178="","",IF(N($T178)&gt;0,AVERAGEIFS($W$5:$W$1000,$R$5:$R$1000,ROW(),$S$5:$S$1000,"Sub"),$W178))</f>
        <v/>
      </c>
      <c r="AB178" s="70">
        <f>IF($S178="","",IF(N($T178)&gt;0,AVERAGEIFS($X$5:$X$1000,$R$5:$R$1000,ROW(),$S$5:$S$1000,"Sub"),$X178))</f>
        <v/>
      </c>
    </row>
    <row r="179">
      <c r="A179" s="61">
        <f>IF(NOT((COUNTA($B179:$K179)+COUNTA($N179))&gt;0),"",IF($S179="Macro",COUNTIFS($S$5:$S179,"Macro",$P$5:$P179,$P179),IF(N($R179)=0,"?",COUNTIFS(INDEX($S$5:$S$1000,1):INDEX($S$5:$S$1000,$R179-4),"Macro",INDEX($P$5:$P$1000,1):INDEX($P$5:$P$1000,$R179-4),INDEX($P$5:$P$1000,$R179-4))&amp;"."&amp;COUNTIFS($R$5:$R179,$R179,$S$5:$S179,"Sub"))))</f>
        <v/>
      </c>
      <c r="B179" s="62" t="n"/>
      <c r="C179" s="63" t="n"/>
      <c r="D179" s="62" t="n"/>
      <c r="E179" s="64" t="n"/>
      <c r="F179" s="64" t="n"/>
      <c r="G179" s="65" t="n"/>
      <c r="H179" s="66" t="n"/>
      <c r="I179" s="66" t="n"/>
      <c r="J179" s="66" t="n"/>
      <c r="K179" s="66" t="n"/>
      <c r="L179" s="67">
        <f>IF(NOT((COUNTA($B179:$K179)+COUNTA($N179))&gt;0),"",IF(N($T179)&gt;0,$AB179,IFERROR(LOOKUP(2,1/(H179:K179&lt;&gt;""),H179:K179),0)))</f>
        <v/>
      </c>
      <c r="M179" s="61">
        <f>IF(L179="","",IF(L179&gt;=1,"Completado",IF(L179&gt;0,"En curso","Pendiente")))</f>
        <v/>
      </c>
      <c r="N179" s="62" t="n"/>
      <c r="O179" s="68">
        <f>IF(NOT((COUNTA($B179:$K179)+COUNTA($N179))&gt;0),"",IF((IF(AND($S179="Macro",$B179=""),"Macroactividad vacía"&amp;" · ","")&amp;IF(AND($B179&lt;&gt;"",$C179&lt;&gt;""),"Escriba la subactividad en otra fila, debajo de su macroactividad"&amp;" · ","")&amp;IF(AND($S179="Sub",N($R179)=0),"Subactividad sin macroactividad arriba"&amp;" · ","")&amp;IF($D179="","Sin responsable"&amp;" · ","")&amp;IF($E179="","Sin fecha de inicio"&amp;" · ","")&amp;IF($F179="","Sin fecha límite"&amp;" · ","")&amp;IF(OR(AND($E179&lt;&gt;"",NOT(ISNUMBER($E179))),AND($F179&lt;&gt;"",NOT(ISNUMBER($F179)))),"Fecha no válida"&amp;" · ","")&amp;IF(AND(ISNUMBER($E179),ISNUMBER($F179),$E179&gt;$F179),"Inicio posterior a fecha límite"&amp;" · ","")&amp;IF(AND($S179="Macro",$G179=""),"Peso vacío"&amp;" · ","")&amp;IF(AND($S179="Macro",$G179&lt;&gt;"",OR(NOT(ISNUMBER($G179)),$G179&lt;=0,$G179&gt;1)),"Peso fuera de rango"&amp;" · ","")&amp;IF(AND($S179="Sub",$G179&lt;&gt;""),"Las subactividades no llevan peso"&amp;" · ","")&amp;IF(AND($S179="Macro",ABS(SUMIFS($G$5:$G$1000,$P$5:$P$1000,$P179,$S$5:$S$1000,"Macro")-1)&gt;0.0001),"Pesos del mes suman "&amp;TEXT(SUMIFS($G$5:$G$1000,$P$5:$P$1000,$P179,$S$5:$S$1000,"Macro"),"0%")&amp;" · ","")&amp;IF(AND(N($T179)&gt;0,COUNT($H179:$K179)&gt;0),"Con subactividades: deje vacías las semanas (se calculan solas)"&amp;" · ","")&amp;IF((COUNTIF($H179:$K179,"&gt;1")+COUNTIF($H179:$K179,"&lt;0")+COUNTA($H179:$K179)-COUNT($H179:$K179))&gt;0,"Avance fuera de rango 0-100%"&amp;" · ","")&amp;IF(OR(AND($I179&lt;&gt;"",$I179&lt;$H179),AND($J179&lt;&gt;"",$J179&lt;MAX($H179:$I179)),AND($K179&lt;&gt;"",$K179&lt;MAX($H179:$J179))),"Avance semanal decreciente"&amp;" · ","")&amp;IF(AND(ISNUMBER($F179),$F179&lt;FechaRef,N($L179)&lt;1),"Vencida"&amp;" · ","")&amp;IF(AND(ObsObligatoria="Sí",ISNUMBER($F179),$F179&lt;FechaRef,N($L179)&lt;1,$N179=""),"Vencida sin observación"&amp;" · ",""))="","✔ OK","⚠ "&amp;LEFT(IF(AND($S179="Macro",$B179=""),"Macroactividad vacía"&amp;" · ","")&amp;IF(AND($B179&lt;&gt;"",$C179&lt;&gt;""),"Escriba la subactividad en otra fila, debajo de su macroactividad"&amp;" · ","")&amp;IF(AND($S179="Sub",N($R179)=0),"Subactividad sin macroactividad arriba"&amp;" · ","")&amp;IF($D179="","Sin responsable"&amp;" · ","")&amp;IF($E179="","Sin fecha de inicio"&amp;" · ","")&amp;IF($F179="","Sin fecha límite"&amp;" · ","")&amp;IF(OR(AND($E179&lt;&gt;"",NOT(ISNUMBER($E179))),AND($F179&lt;&gt;"",NOT(ISNUMBER($F179)))),"Fecha no válida"&amp;" · ","")&amp;IF(AND(ISNUMBER($E179),ISNUMBER($F179),$E179&gt;$F179),"Inicio posterior a fecha límite"&amp;" · ","")&amp;IF(AND($S179="Macro",$G179=""),"Peso vacío"&amp;" · ","")&amp;IF(AND($S179="Macro",$G179&lt;&gt;"",OR(NOT(ISNUMBER($G179)),$G179&lt;=0,$G179&gt;1)),"Peso fuera de rango"&amp;" · ","")&amp;IF(AND($S179="Sub",$G179&lt;&gt;""),"Las subactividades no llevan peso"&amp;" · ","")&amp;IF(AND($S179="Macro",ABS(SUMIFS($G$5:$G$1000,$P$5:$P$1000,$P179,$S$5:$S$1000,"Macro")-1)&gt;0.0001),"Pesos del mes suman "&amp;TEXT(SUMIFS($G$5:$G$1000,$P$5:$P$1000,$P179,$S$5:$S$1000,"Macro"),"0%")&amp;" · ","")&amp;IF(AND(N($T179)&gt;0,COUNT($H179:$K179)&gt;0),"Con subactividades: deje vacías las semanas (se calculan solas)"&amp;" · ","")&amp;IF((COUNTIF($H179:$K179,"&gt;1")+COUNTIF($H179:$K179,"&lt;0")+COUNTA($H179:$K179)-COUNT($H179:$K179))&gt;0,"Avance fuera de rango 0-100%"&amp;" · ","")&amp;IF(OR(AND($I179&lt;&gt;"",$I179&lt;$H179),AND($J179&lt;&gt;"",$J179&lt;MAX($H179:$I179)),AND($K179&lt;&gt;"",$K179&lt;MAX($H179:$J179))),"Avance semanal decreciente"&amp;" · ","")&amp;IF(AND(ISNUMBER($F179),$F179&lt;FechaRef,N($L179)&lt;1),"Vencida"&amp;" · ","")&amp;IF(AND(ObsObligatoria="Sí",ISNUMBER($F179),$F179&lt;FechaRef,N($L179)&lt;1,$N179=""),"Vencida sin observación"&amp;" · ",""),LEN(IF(AND($S179="Macro",$B179=""),"Macroactividad vacía"&amp;" · ","")&amp;IF(AND($B179&lt;&gt;"",$C179&lt;&gt;""),"Escriba la subactividad en otra fila, debajo de su macroactividad"&amp;" · ","")&amp;IF(AND($S179="Sub",N($R179)=0),"Subactividad sin macroactividad arriba"&amp;" · ","")&amp;IF($D179="","Sin responsable"&amp;" · ","")&amp;IF($E179="","Sin fecha de inicio"&amp;" · ","")&amp;IF($F179="","Sin fecha límite"&amp;" · ","")&amp;IF(OR(AND($E179&lt;&gt;"",NOT(ISNUMBER($E179))),AND($F179&lt;&gt;"",NOT(ISNUMBER($F179)))),"Fecha no válida"&amp;" · ","")&amp;IF(AND(ISNUMBER($E179),ISNUMBER($F179),$E179&gt;$F179),"Inicio posterior a fecha límite"&amp;" · ","")&amp;IF(AND($S179="Macro",$G179=""),"Peso vacío"&amp;" · ","")&amp;IF(AND($S179="Macro",$G179&lt;&gt;"",OR(NOT(ISNUMBER($G179)),$G179&lt;=0,$G179&gt;1)),"Peso fuera de rango"&amp;" · ","")&amp;IF(AND($S179="Sub",$G179&lt;&gt;""),"Las subactividades no llevan peso"&amp;" · ","")&amp;IF(AND($S179="Macro",ABS(SUMIFS($G$5:$G$1000,$P$5:$P$1000,$P179,$S$5:$S$1000,"Macro")-1)&gt;0.0001),"Pesos del mes suman "&amp;TEXT(SUMIFS($G$5:$G$1000,$P$5:$P$1000,$P179,$S$5:$S$1000,"Macro"),"0%")&amp;" · ","")&amp;IF(AND(N($T179)&gt;0,COUNT($H179:$K179)&gt;0),"Con subactividades: deje vacías las semanas (se calculan solas)"&amp;" · ","")&amp;IF((COUNTIF($H179:$K179,"&gt;1")+COUNTIF($H179:$K179,"&lt;0")+COUNTA($H179:$K179)-COUNT($H179:$K179))&gt;0,"Avance fuera de rango 0-100%"&amp;" · ","")&amp;IF(OR(AND($I179&lt;&gt;"",$I179&lt;$H179),AND($J179&lt;&gt;"",$J179&lt;MAX($H179:$I179)),AND($K179&lt;&gt;"",$K179&lt;MAX($H179:$J179))),"Avance semanal decreciente"&amp;" · ","")&amp;IF(AND(ISNUMBER($F179),$F179&lt;FechaRef,N($L179)&lt;1),"Vencida"&amp;" · ","")&amp;IF(AND(ObsObligatoria="Sí",ISNUMBER($F179),$F179&lt;FechaRef,N($L179)&lt;1,$N179=""),"Vencida sin observación"&amp;" · ",""))-3)))</f>
        <v/>
      </c>
      <c r="P179" s="69">
        <f>IF(NOT((COUNTA($B179:$K179)+COUNTA($N179))&gt;0),"",IF(AND($S179="Sub",N($R179)&gt;0),IF(ISNUMBER(INDEX($E$5:$E$1000,$R179-4)),DATE(YEAR(INDEX($E$5:$E$1000,$R179-4)),MONTH(INDEX($E$5:$E$1000,$R179-4)),1),IF(ISNUMBER(INDEX($F$5:$F$1000,$R179-4)),DATE(YEAR(INDEX($F$5:$F$1000,$R179-4)),MONTH(INDEX($F$5:$F$1000,$R179-4)),1),MesCiclo)),IF(ISNUMBER($E179),DATE(YEAR($E179),MONTH($E179),1),IF(ISNUMBER($F179),DATE(YEAR($F179),MONTH($F179),1),MesCiclo))))</f>
        <v/>
      </c>
      <c r="Q179" s="70">
        <f>IF(OR($P179="",$P179&lt;&gt;MesCiclo),"",COUNTIF($P$5:$P179,MesCiclo))</f>
        <v/>
      </c>
      <c r="R179" s="70">
        <f>IF($S179="","",IF($S179="Macro",ROW(),IFERROR(LOOKUP(2,1/($S$5:$S179="Macro"),ROW($S$5:$S179)),0)))</f>
        <v/>
      </c>
      <c r="S179" s="70">
        <f>IF(NOT((COUNTA($B179:$K179)+COUNTA($N179))&gt;0),"",IF($B179&lt;&gt;"","Macro",IF($C179&lt;&gt;"","Sub","Macro")))</f>
        <v/>
      </c>
      <c r="T179" s="70">
        <f>IF($S179="Macro",COUNTIFS($R$5:$R$1000,ROW(),$S$5:$S$1000,"Sub"),"")</f>
        <v/>
      </c>
      <c r="U179" s="70">
        <f>IF($S179="","",IF(ISNUMBER($H179),$H179,0))</f>
        <v/>
      </c>
      <c r="V179" s="70">
        <f>IF($S179="","",IF(ISNUMBER($I179),$I179,$U179))</f>
        <v/>
      </c>
      <c r="W179" s="70">
        <f>IF($S179="","",IF(ISNUMBER($J179),$J179,$V179))</f>
        <v/>
      </c>
      <c r="X179" s="70">
        <f>IF($S179="","",IF(ISNUMBER($K179),$K179,$W179))</f>
        <v/>
      </c>
      <c r="Y179" s="70">
        <f>IF($S179="","",IF(N($T179)&gt;0,AVERAGEIFS($U$5:$U$1000,$R$5:$R$1000,ROW(),$S$5:$S$1000,"Sub"),$U179))</f>
        <v/>
      </c>
      <c r="Z179" s="70">
        <f>IF($S179="","",IF(N($T179)&gt;0,AVERAGEIFS($V$5:$V$1000,$R$5:$R$1000,ROW(),$S$5:$S$1000,"Sub"),$V179))</f>
        <v/>
      </c>
      <c r="AA179" s="70">
        <f>IF($S179="","",IF(N($T179)&gt;0,AVERAGEIFS($W$5:$W$1000,$R$5:$R$1000,ROW(),$S$5:$S$1000,"Sub"),$W179))</f>
        <v/>
      </c>
      <c r="AB179" s="70">
        <f>IF($S179="","",IF(N($T179)&gt;0,AVERAGEIFS($X$5:$X$1000,$R$5:$R$1000,ROW(),$S$5:$S$1000,"Sub"),$X179))</f>
        <v/>
      </c>
    </row>
    <row r="180">
      <c r="A180" s="61">
        <f>IF(NOT((COUNTA($B180:$K180)+COUNTA($N180))&gt;0),"",IF($S180="Macro",COUNTIFS($S$5:$S180,"Macro",$P$5:$P180,$P180),IF(N($R180)=0,"?",COUNTIFS(INDEX($S$5:$S$1000,1):INDEX($S$5:$S$1000,$R180-4),"Macro",INDEX($P$5:$P$1000,1):INDEX($P$5:$P$1000,$R180-4),INDEX($P$5:$P$1000,$R180-4))&amp;"."&amp;COUNTIFS($R$5:$R180,$R180,$S$5:$S180,"Sub"))))</f>
        <v/>
      </c>
      <c r="B180" s="62" t="n"/>
      <c r="C180" s="63" t="n"/>
      <c r="D180" s="62" t="n"/>
      <c r="E180" s="64" t="n"/>
      <c r="F180" s="64" t="n"/>
      <c r="G180" s="65" t="n"/>
      <c r="H180" s="66" t="n"/>
      <c r="I180" s="66" t="n"/>
      <c r="J180" s="66" t="n"/>
      <c r="K180" s="66" t="n"/>
      <c r="L180" s="67">
        <f>IF(NOT((COUNTA($B180:$K180)+COUNTA($N180))&gt;0),"",IF(N($T180)&gt;0,$AB180,IFERROR(LOOKUP(2,1/(H180:K180&lt;&gt;""),H180:K180),0)))</f>
        <v/>
      </c>
      <c r="M180" s="61">
        <f>IF(L180="","",IF(L180&gt;=1,"Completado",IF(L180&gt;0,"En curso","Pendiente")))</f>
        <v/>
      </c>
      <c r="N180" s="62" t="n"/>
      <c r="O180" s="68">
        <f>IF(NOT((COUNTA($B180:$K180)+COUNTA($N180))&gt;0),"",IF((IF(AND($S180="Macro",$B180=""),"Macroactividad vacía"&amp;" · ","")&amp;IF(AND($B180&lt;&gt;"",$C180&lt;&gt;""),"Escriba la subactividad en otra fila, debajo de su macroactividad"&amp;" · ","")&amp;IF(AND($S180="Sub",N($R180)=0),"Subactividad sin macroactividad arriba"&amp;" · ","")&amp;IF($D180="","Sin responsable"&amp;" · ","")&amp;IF($E180="","Sin fecha de inicio"&amp;" · ","")&amp;IF($F180="","Sin fecha límite"&amp;" · ","")&amp;IF(OR(AND($E180&lt;&gt;"",NOT(ISNUMBER($E180))),AND($F180&lt;&gt;"",NOT(ISNUMBER($F180)))),"Fecha no válida"&amp;" · ","")&amp;IF(AND(ISNUMBER($E180),ISNUMBER($F180),$E180&gt;$F180),"Inicio posterior a fecha límite"&amp;" · ","")&amp;IF(AND($S180="Macro",$G180=""),"Peso vacío"&amp;" · ","")&amp;IF(AND($S180="Macro",$G180&lt;&gt;"",OR(NOT(ISNUMBER($G180)),$G180&lt;=0,$G180&gt;1)),"Peso fuera de rango"&amp;" · ","")&amp;IF(AND($S180="Sub",$G180&lt;&gt;""),"Las subactividades no llevan peso"&amp;" · ","")&amp;IF(AND($S180="Macro",ABS(SUMIFS($G$5:$G$1000,$P$5:$P$1000,$P180,$S$5:$S$1000,"Macro")-1)&gt;0.0001),"Pesos del mes suman "&amp;TEXT(SUMIFS($G$5:$G$1000,$P$5:$P$1000,$P180,$S$5:$S$1000,"Macro"),"0%")&amp;" · ","")&amp;IF(AND(N($T180)&gt;0,COUNT($H180:$K180)&gt;0),"Con subactividades: deje vacías las semanas (se calculan solas)"&amp;" · ","")&amp;IF((COUNTIF($H180:$K180,"&gt;1")+COUNTIF($H180:$K180,"&lt;0")+COUNTA($H180:$K180)-COUNT($H180:$K180))&gt;0,"Avance fuera de rango 0-100%"&amp;" · ","")&amp;IF(OR(AND($I180&lt;&gt;"",$I180&lt;$H180),AND($J180&lt;&gt;"",$J180&lt;MAX($H180:$I180)),AND($K180&lt;&gt;"",$K180&lt;MAX($H180:$J180))),"Avance semanal decreciente"&amp;" · ","")&amp;IF(AND(ISNUMBER($F180),$F180&lt;FechaRef,N($L180)&lt;1),"Vencida"&amp;" · ","")&amp;IF(AND(ObsObligatoria="Sí",ISNUMBER($F180),$F180&lt;FechaRef,N($L180)&lt;1,$N180=""),"Vencida sin observación"&amp;" · ",""))="","✔ OK","⚠ "&amp;LEFT(IF(AND($S180="Macro",$B180=""),"Macroactividad vacía"&amp;" · ","")&amp;IF(AND($B180&lt;&gt;"",$C180&lt;&gt;""),"Escriba la subactividad en otra fila, debajo de su macroactividad"&amp;" · ","")&amp;IF(AND($S180="Sub",N($R180)=0),"Subactividad sin macroactividad arriba"&amp;" · ","")&amp;IF($D180="","Sin responsable"&amp;" · ","")&amp;IF($E180="","Sin fecha de inicio"&amp;" · ","")&amp;IF($F180="","Sin fecha límite"&amp;" · ","")&amp;IF(OR(AND($E180&lt;&gt;"",NOT(ISNUMBER($E180))),AND($F180&lt;&gt;"",NOT(ISNUMBER($F180)))),"Fecha no válida"&amp;" · ","")&amp;IF(AND(ISNUMBER($E180),ISNUMBER($F180),$E180&gt;$F180),"Inicio posterior a fecha límite"&amp;" · ","")&amp;IF(AND($S180="Macro",$G180=""),"Peso vacío"&amp;" · ","")&amp;IF(AND($S180="Macro",$G180&lt;&gt;"",OR(NOT(ISNUMBER($G180)),$G180&lt;=0,$G180&gt;1)),"Peso fuera de rango"&amp;" · ","")&amp;IF(AND($S180="Sub",$G180&lt;&gt;""),"Las subactividades no llevan peso"&amp;" · ","")&amp;IF(AND($S180="Macro",ABS(SUMIFS($G$5:$G$1000,$P$5:$P$1000,$P180,$S$5:$S$1000,"Macro")-1)&gt;0.0001),"Pesos del mes suman "&amp;TEXT(SUMIFS($G$5:$G$1000,$P$5:$P$1000,$P180,$S$5:$S$1000,"Macro"),"0%")&amp;" · ","")&amp;IF(AND(N($T180)&gt;0,COUNT($H180:$K180)&gt;0),"Con subactividades: deje vacías las semanas (se calculan solas)"&amp;" · ","")&amp;IF((COUNTIF($H180:$K180,"&gt;1")+COUNTIF($H180:$K180,"&lt;0")+COUNTA($H180:$K180)-COUNT($H180:$K180))&gt;0,"Avance fuera de rango 0-100%"&amp;" · ","")&amp;IF(OR(AND($I180&lt;&gt;"",$I180&lt;$H180),AND($J180&lt;&gt;"",$J180&lt;MAX($H180:$I180)),AND($K180&lt;&gt;"",$K180&lt;MAX($H180:$J180))),"Avance semanal decreciente"&amp;" · ","")&amp;IF(AND(ISNUMBER($F180),$F180&lt;FechaRef,N($L180)&lt;1),"Vencida"&amp;" · ","")&amp;IF(AND(ObsObligatoria="Sí",ISNUMBER($F180),$F180&lt;FechaRef,N($L180)&lt;1,$N180=""),"Vencida sin observación"&amp;" · ",""),LEN(IF(AND($S180="Macro",$B180=""),"Macroactividad vacía"&amp;" · ","")&amp;IF(AND($B180&lt;&gt;"",$C180&lt;&gt;""),"Escriba la subactividad en otra fila, debajo de su macroactividad"&amp;" · ","")&amp;IF(AND($S180="Sub",N($R180)=0),"Subactividad sin macroactividad arriba"&amp;" · ","")&amp;IF($D180="","Sin responsable"&amp;" · ","")&amp;IF($E180="","Sin fecha de inicio"&amp;" · ","")&amp;IF($F180="","Sin fecha límite"&amp;" · ","")&amp;IF(OR(AND($E180&lt;&gt;"",NOT(ISNUMBER($E180))),AND($F180&lt;&gt;"",NOT(ISNUMBER($F180)))),"Fecha no válida"&amp;" · ","")&amp;IF(AND(ISNUMBER($E180),ISNUMBER($F180),$E180&gt;$F180),"Inicio posterior a fecha límite"&amp;" · ","")&amp;IF(AND($S180="Macro",$G180=""),"Peso vacío"&amp;" · ","")&amp;IF(AND($S180="Macro",$G180&lt;&gt;"",OR(NOT(ISNUMBER($G180)),$G180&lt;=0,$G180&gt;1)),"Peso fuera de rango"&amp;" · ","")&amp;IF(AND($S180="Sub",$G180&lt;&gt;""),"Las subactividades no llevan peso"&amp;" · ","")&amp;IF(AND($S180="Macro",ABS(SUMIFS($G$5:$G$1000,$P$5:$P$1000,$P180,$S$5:$S$1000,"Macro")-1)&gt;0.0001),"Pesos del mes suman "&amp;TEXT(SUMIFS($G$5:$G$1000,$P$5:$P$1000,$P180,$S$5:$S$1000,"Macro"),"0%")&amp;" · ","")&amp;IF(AND(N($T180)&gt;0,COUNT($H180:$K180)&gt;0),"Con subactividades: deje vacías las semanas (se calculan solas)"&amp;" · ","")&amp;IF((COUNTIF($H180:$K180,"&gt;1")+COUNTIF($H180:$K180,"&lt;0")+COUNTA($H180:$K180)-COUNT($H180:$K180))&gt;0,"Avance fuera de rango 0-100%"&amp;" · ","")&amp;IF(OR(AND($I180&lt;&gt;"",$I180&lt;$H180),AND($J180&lt;&gt;"",$J180&lt;MAX($H180:$I180)),AND($K180&lt;&gt;"",$K180&lt;MAX($H180:$J180))),"Avance semanal decreciente"&amp;" · ","")&amp;IF(AND(ISNUMBER($F180),$F180&lt;FechaRef,N($L180)&lt;1),"Vencida"&amp;" · ","")&amp;IF(AND(ObsObligatoria="Sí",ISNUMBER($F180),$F180&lt;FechaRef,N($L180)&lt;1,$N180=""),"Vencida sin observación"&amp;" · ",""))-3)))</f>
        <v/>
      </c>
      <c r="P180" s="69">
        <f>IF(NOT((COUNTA($B180:$K180)+COUNTA($N180))&gt;0),"",IF(AND($S180="Sub",N($R180)&gt;0),IF(ISNUMBER(INDEX($E$5:$E$1000,$R180-4)),DATE(YEAR(INDEX($E$5:$E$1000,$R180-4)),MONTH(INDEX($E$5:$E$1000,$R180-4)),1),IF(ISNUMBER(INDEX($F$5:$F$1000,$R180-4)),DATE(YEAR(INDEX($F$5:$F$1000,$R180-4)),MONTH(INDEX($F$5:$F$1000,$R180-4)),1),MesCiclo)),IF(ISNUMBER($E180),DATE(YEAR($E180),MONTH($E180),1),IF(ISNUMBER($F180),DATE(YEAR($F180),MONTH($F180),1),MesCiclo))))</f>
        <v/>
      </c>
      <c r="Q180" s="70">
        <f>IF(OR($P180="",$P180&lt;&gt;MesCiclo),"",COUNTIF($P$5:$P180,MesCiclo))</f>
        <v/>
      </c>
      <c r="R180" s="70">
        <f>IF($S180="","",IF($S180="Macro",ROW(),IFERROR(LOOKUP(2,1/($S$5:$S180="Macro"),ROW($S$5:$S180)),0)))</f>
        <v/>
      </c>
      <c r="S180" s="70">
        <f>IF(NOT((COUNTA($B180:$K180)+COUNTA($N180))&gt;0),"",IF($B180&lt;&gt;"","Macro",IF($C180&lt;&gt;"","Sub","Macro")))</f>
        <v/>
      </c>
      <c r="T180" s="70">
        <f>IF($S180="Macro",COUNTIFS($R$5:$R$1000,ROW(),$S$5:$S$1000,"Sub"),"")</f>
        <v/>
      </c>
      <c r="U180" s="70">
        <f>IF($S180="","",IF(ISNUMBER($H180),$H180,0))</f>
        <v/>
      </c>
      <c r="V180" s="70">
        <f>IF($S180="","",IF(ISNUMBER($I180),$I180,$U180))</f>
        <v/>
      </c>
      <c r="W180" s="70">
        <f>IF($S180="","",IF(ISNUMBER($J180),$J180,$V180))</f>
        <v/>
      </c>
      <c r="X180" s="70">
        <f>IF($S180="","",IF(ISNUMBER($K180),$K180,$W180))</f>
        <v/>
      </c>
      <c r="Y180" s="70">
        <f>IF($S180="","",IF(N($T180)&gt;0,AVERAGEIFS($U$5:$U$1000,$R$5:$R$1000,ROW(),$S$5:$S$1000,"Sub"),$U180))</f>
        <v/>
      </c>
      <c r="Z180" s="70">
        <f>IF($S180="","",IF(N($T180)&gt;0,AVERAGEIFS($V$5:$V$1000,$R$5:$R$1000,ROW(),$S$5:$S$1000,"Sub"),$V180))</f>
        <v/>
      </c>
      <c r="AA180" s="70">
        <f>IF($S180="","",IF(N($T180)&gt;0,AVERAGEIFS($W$5:$W$1000,$R$5:$R$1000,ROW(),$S$5:$S$1000,"Sub"),$W180))</f>
        <v/>
      </c>
      <c r="AB180" s="70">
        <f>IF($S180="","",IF(N($T180)&gt;0,AVERAGEIFS($X$5:$X$1000,$R$5:$R$1000,ROW(),$S$5:$S$1000,"Sub"),$X180))</f>
        <v/>
      </c>
    </row>
    <row r="181">
      <c r="A181" s="61">
        <f>IF(NOT((COUNTA($B181:$K181)+COUNTA($N181))&gt;0),"",IF($S181="Macro",COUNTIFS($S$5:$S181,"Macro",$P$5:$P181,$P181),IF(N($R181)=0,"?",COUNTIFS(INDEX($S$5:$S$1000,1):INDEX($S$5:$S$1000,$R181-4),"Macro",INDEX($P$5:$P$1000,1):INDEX($P$5:$P$1000,$R181-4),INDEX($P$5:$P$1000,$R181-4))&amp;"."&amp;COUNTIFS($R$5:$R181,$R181,$S$5:$S181,"Sub"))))</f>
        <v/>
      </c>
      <c r="B181" s="62" t="n"/>
      <c r="C181" s="63" t="n"/>
      <c r="D181" s="62" t="n"/>
      <c r="E181" s="64" t="n"/>
      <c r="F181" s="64" t="n"/>
      <c r="G181" s="65" t="n"/>
      <c r="H181" s="66" t="n"/>
      <c r="I181" s="66" t="n"/>
      <c r="J181" s="66" t="n"/>
      <c r="K181" s="66" t="n"/>
      <c r="L181" s="67">
        <f>IF(NOT((COUNTA($B181:$K181)+COUNTA($N181))&gt;0),"",IF(N($T181)&gt;0,$AB181,IFERROR(LOOKUP(2,1/(H181:K181&lt;&gt;""),H181:K181),0)))</f>
        <v/>
      </c>
      <c r="M181" s="61">
        <f>IF(L181="","",IF(L181&gt;=1,"Completado",IF(L181&gt;0,"En curso","Pendiente")))</f>
        <v/>
      </c>
      <c r="N181" s="62" t="n"/>
      <c r="O181" s="68">
        <f>IF(NOT((COUNTA($B181:$K181)+COUNTA($N181))&gt;0),"",IF((IF(AND($S181="Macro",$B181=""),"Macroactividad vacía"&amp;" · ","")&amp;IF(AND($B181&lt;&gt;"",$C181&lt;&gt;""),"Escriba la subactividad en otra fila, debajo de su macroactividad"&amp;" · ","")&amp;IF(AND($S181="Sub",N($R181)=0),"Subactividad sin macroactividad arriba"&amp;" · ","")&amp;IF($D181="","Sin responsable"&amp;" · ","")&amp;IF($E181="","Sin fecha de inicio"&amp;" · ","")&amp;IF($F181="","Sin fecha límite"&amp;" · ","")&amp;IF(OR(AND($E181&lt;&gt;"",NOT(ISNUMBER($E181))),AND($F181&lt;&gt;"",NOT(ISNUMBER($F181)))),"Fecha no válida"&amp;" · ","")&amp;IF(AND(ISNUMBER($E181),ISNUMBER($F181),$E181&gt;$F181),"Inicio posterior a fecha límite"&amp;" · ","")&amp;IF(AND($S181="Macro",$G181=""),"Peso vacío"&amp;" · ","")&amp;IF(AND($S181="Macro",$G181&lt;&gt;"",OR(NOT(ISNUMBER($G181)),$G181&lt;=0,$G181&gt;1)),"Peso fuera de rango"&amp;" · ","")&amp;IF(AND($S181="Sub",$G181&lt;&gt;""),"Las subactividades no llevan peso"&amp;" · ","")&amp;IF(AND($S181="Macro",ABS(SUMIFS($G$5:$G$1000,$P$5:$P$1000,$P181,$S$5:$S$1000,"Macro")-1)&gt;0.0001),"Pesos del mes suman "&amp;TEXT(SUMIFS($G$5:$G$1000,$P$5:$P$1000,$P181,$S$5:$S$1000,"Macro"),"0%")&amp;" · ","")&amp;IF(AND(N($T181)&gt;0,COUNT($H181:$K181)&gt;0),"Con subactividades: deje vacías las semanas (se calculan solas)"&amp;" · ","")&amp;IF((COUNTIF($H181:$K181,"&gt;1")+COUNTIF($H181:$K181,"&lt;0")+COUNTA($H181:$K181)-COUNT($H181:$K181))&gt;0,"Avance fuera de rango 0-100%"&amp;" · ","")&amp;IF(OR(AND($I181&lt;&gt;"",$I181&lt;$H181),AND($J181&lt;&gt;"",$J181&lt;MAX($H181:$I181)),AND($K181&lt;&gt;"",$K181&lt;MAX($H181:$J181))),"Avance semanal decreciente"&amp;" · ","")&amp;IF(AND(ISNUMBER($F181),$F181&lt;FechaRef,N($L181)&lt;1),"Vencida"&amp;" · ","")&amp;IF(AND(ObsObligatoria="Sí",ISNUMBER($F181),$F181&lt;FechaRef,N($L181)&lt;1,$N181=""),"Vencida sin observación"&amp;" · ",""))="","✔ OK","⚠ "&amp;LEFT(IF(AND($S181="Macro",$B181=""),"Macroactividad vacía"&amp;" · ","")&amp;IF(AND($B181&lt;&gt;"",$C181&lt;&gt;""),"Escriba la subactividad en otra fila, debajo de su macroactividad"&amp;" · ","")&amp;IF(AND($S181="Sub",N($R181)=0),"Subactividad sin macroactividad arriba"&amp;" · ","")&amp;IF($D181="","Sin responsable"&amp;" · ","")&amp;IF($E181="","Sin fecha de inicio"&amp;" · ","")&amp;IF($F181="","Sin fecha límite"&amp;" · ","")&amp;IF(OR(AND($E181&lt;&gt;"",NOT(ISNUMBER($E181))),AND($F181&lt;&gt;"",NOT(ISNUMBER($F181)))),"Fecha no válida"&amp;" · ","")&amp;IF(AND(ISNUMBER($E181),ISNUMBER($F181),$E181&gt;$F181),"Inicio posterior a fecha límite"&amp;" · ","")&amp;IF(AND($S181="Macro",$G181=""),"Peso vacío"&amp;" · ","")&amp;IF(AND($S181="Macro",$G181&lt;&gt;"",OR(NOT(ISNUMBER($G181)),$G181&lt;=0,$G181&gt;1)),"Peso fuera de rango"&amp;" · ","")&amp;IF(AND($S181="Sub",$G181&lt;&gt;""),"Las subactividades no llevan peso"&amp;" · ","")&amp;IF(AND($S181="Macro",ABS(SUMIFS($G$5:$G$1000,$P$5:$P$1000,$P181,$S$5:$S$1000,"Macro")-1)&gt;0.0001),"Pesos del mes suman "&amp;TEXT(SUMIFS($G$5:$G$1000,$P$5:$P$1000,$P181,$S$5:$S$1000,"Macro"),"0%")&amp;" · ","")&amp;IF(AND(N($T181)&gt;0,COUNT($H181:$K181)&gt;0),"Con subactividades: deje vacías las semanas (se calculan solas)"&amp;" · ","")&amp;IF((COUNTIF($H181:$K181,"&gt;1")+COUNTIF($H181:$K181,"&lt;0")+COUNTA($H181:$K181)-COUNT($H181:$K181))&gt;0,"Avance fuera de rango 0-100%"&amp;" · ","")&amp;IF(OR(AND($I181&lt;&gt;"",$I181&lt;$H181),AND($J181&lt;&gt;"",$J181&lt;MAX($H181:$I181)),AND($K181&lt;&gt;"",$K181&lt;MAX($H181:$J181))),"Avance semanal decreciente"&amp;" · ","")&amp;IF(AND(ISNUMBER($F181),$F181&lt;FechaRef,N($L181)&lt;1),"Vencida"&amp;" · ","")&amp;IF(AND(ObsObligatoria="Sí",ISNUMBER($F181),$F181&lt;FechaRef,N($L181)&lt;1,$N181=""),"Vencida sin observación"&amp;" · ",""),LEN(IF(AND($S181="Macro",$B181=""),"Macroactividad vacía"&amp;" · ","")&amp;IF(AND($B181&lt;&gt;"",$C181&lt;&gt;""),"Escriba la subactividad en otra fila, debajo de su macroactividad"&amp;" · ","")&amp;IF(AND($S181="Sub",N($R181)=0),"Subactividad sin macroactividad arriba"&amp;" · ","")&amp;IF($D181="","Sin responsable"&amp;" · ","")&amp;IF($E181="","Sin fecha de inicio"&amp;" · ","")&amp;IF($F181="","Sin fecha límite"&amp;" · ","")&amp;IF(OR(AND($E181&lt;&gt;"",NOT(ISNUMBER($E181))),AND($F181&lt;&gt;"",NOT(ISNUMBER($F181)))),"Fecha no válida"&amp;" · ","")&amp;IF(AND(ISNUMBER($E181),ISNUMBER($F181),$E181&gt;$F181),"Inicio posterior a fecha límite"&amp;" · ","")&amp;IF(AND($S181="Macro",$G181=""),"Peso vacío"&amp;" · ","")&amp;IF(AND($S181="Macro",$G181&lt;&gt;"",OR(NOT(ISNUMBER($G181)),$G181&lt;=0,$G181&gt;1)),"Peso fuera de rango"&amp;" · ","")&amp;IF(AND($S181="Sub",$G181&lt;&gt;""),"Las subactividades no llevan peso"&amp;" · ","")&amp;IF(AND($S181="Macro",ABS(SUMIFS($G$5:$G$1000,$P$5:$P$1000,$P181,$S$5:$S$1000,"Macro")-1)&gt;0.0001),"Pesos del mes suman "&amp;TEXT(SUMIFS($G$5:$G$1000,$P$5:$P$1000,$P181,$S$5:$S$1000,"Macro"),"0%")&amp;" · ","")&amp;IF(AND(N($T181)&gt;0,COUNT($H181:$K181)&gt;0),"Con subactividades: deje vacías las semanas (se calculan solas)"&amp;" · ","")&amp;IF((COUNTIF($H181:$K181,"&gt;1")+COUNTIF($H181:$K181,"&lt;0")+COUNTA($H181:$K181)-COUNT($H181:$K181))&gt;0,"Avance fuera de rango 0-100%"&amp;" · ","")&amp;IF(OR(AND($I181&lt;&gt;"",$I181&lt;$H181),AND($J181&lt;&gt;"",$J181&lt;MAX($H181:$I181)),AND($K181&lt;&gt;"",$K181&lt;MAX($H181:$J181))),"Avance semanal decreciente"&amp;" · ","")&amp;IF(AND(ISNUMBER($F181),$F181&lt;FechaRef,N($L181)&lt;1),"Vencida"&amp;" · ","")&amp;IF(AND(ObsObligatoria="Sí",ISNUMBER($F181),$F181&lt;FechaRef,N($L181)&lt;1,$N181=""),"Vencida sin observación"&amp;" · ",""))-3)))</f>
        <v/>
      </c>
      <c r="P181" s="69">
        <f>IF(NOT((COUNTA($B181:$K181)+COUNTA($N181))&gt;0),"",IF(AND($S181="Sub",N($R181)&gt;0),IF(ISNUMBER(INDEX($E$5:$E$1000,$R181-4)),DATE(YEAR(INDEX($E$5:$E$1000,$R181-4)),MONTH(INDEX($E$5:$E$1000,$R181-4)),1),IF(ISNUMBER(INDEX($F$5:$F$1000,$R181-4)),DATE(YEAR(INDEX($F$5:$F$1000,$R181-4)),MONTH(INDEX($F$5:$F$1000,$R181-4)),1),MesCiclo)),IF(ISNUMBER($E181),DATE(YEAR($E181),MONTH($E181),1),IF(ISNUMBER($F181),DATE(YEAR($F181),MONTH($F181),1),MesCiclo))))</f>
        <v/>
      </c>
      <c r="Q181" s="70">
        <f>IF(OR($P181="",$P181&lt;&gt;MesCiclo),"",COUNTIF($P$5:$P181,MesCiclo))</f>
        <v/>
      </c>
      <c r="R181" s="70">
        <f>IF($S181="","",IF($S181="Macro",ROW(),IFERROR(LOOKUP(2,1/($S$5:$S181="Macro"),ROW($S$5:$S181)),0)))</f>
        <v/>
      </c>
      <c r="S181" s="70">
        <f>IF(NOT((COUNTA($B181:$K181)+COUNTA($N181))&gt;0),"",IF($B181&lt;&gt;"","Macro",IF($C181&lt;&gt;"","Sub","Macro")))</f>
        <v/>
      </c>
      <c r="T181" s="70">
        <f>IF($S181="Macro",COUNTIFS($R$5:$R$1000,ROW(),$S$5:$S$1000,"Sub"),"")</f>
        <v/>
      </c>
      <c r="U181" s="70">
        <f>IF($S181="","",IF(ISNUMBER($H181),$H181,0))</f>
        <v/>
      </c>
      <c r="V181" s="70">
        <f>IF($S181="","",IF(ISNUMBER($I181),$I181,$U181))</f>
        <v/>
      </c>
      <c r="W181" s="70">
        <f>IF($S181="","",IF(ISNUMBER($J181),$J181,$V181))</f>
        <v/>
      </c>
      <c r="X181" s="70">
        <f>IF($S181="","",IF(ISNUMBER($K181),$K181,$W181))</f>
        <v/>
      </c>
      <c r="Y181" s="70">
        <f>IF($S181="","",IF(N($T181)&gt;0,AVERAGEIFS($U$5:$U$1000,$R$5:$R$1000,ROW(),$S$5:$S$1000,"Sub"),$U181))</f>
        <v/>
      </c>
      <c r="Z181" s="70">
        <f>IF($S181="","",IF(N($T181)&gt;0,AVERAGEIFS($V$5:$V$1000,$R$5:$R$1000,ROW(),$S$5:$S$1000,"Sub"),$V181))</f>
        <v/>
      </c>
      <c r="AA181" s="70">
        <f>IF($S181="","",IF(N($T181)&gt;0,AVERAGEIFS($W$5:$W$1000,$R$5:$R$1000,ROW(),$S$5:$S$1000,"Sub"),$W181))</f>
        <v/>
      </c>
      <c r="AB181" s="70">
        <f>IF($S181="","",IF(N($T181)&gt;0,AVERAGEIFS($X$5:$X$1000,$R$5:$R$1000,ROW(),$S$5:$S$1000,"Sub"),$X181))</f>
        <v/>
      </c>
    </row>
    <row r="182">
      <c r="A182" s="61">
        <f>IF(NOT((COUNTA($B182:$K182)+COUNTA($N182))&gt;0),"",IF($S182="Macro",COUNTIFS($S$5:$S182,"Macro",$P$5:$P182,$P182),IF(N($R182)=0,"?",COUNTIFS(INDEX($S$5:$S$1000,1):INDEX($S$5:$S$1000,$R182-4),"Macro",INDEX($P$5:$P$1000,1):INDEX($P$5:$P$1000,$R182-4),INDEX($P$5:$P$1000,$R182-4))&amp;"."&amp;COUNTIFS($R$5:$R182,$R182,$S$5:$S182,"Sub"))))</f>
        <v/>
      </c>
      <c r="B182" s="62" t="n"/>
      <c r="C182" s="63" t="n"/>
      <c r="D182" s="62" t="n"/>
      <c r="E182" s="64" t="n"/>
      <c r="F182" s="64" t="n"/>
      <c r="G182" s="65" t="n"/>
      <c r="H182" s="66" t="n"/>
      <c r="I182" s="66" t="n"/>
      <c r="J182" s="66" t="n"/>
      <c r="K182" s="66" t="n"/>
      <c r="L182" s="67">
        <f>IF(NOT((COUNTA($B182:$K182)+COUNTA($N182))&gt;0),"",IF(N($T182)&gt;0,$AB182,IFERROR(LOOKUP(2,1/(H182:K182&lt;&gt;""),H182:K182),0)))</f>
        <v/>
      </c>
      <c r="M182" s="61">
        <f>IF(L182="","",IF(L182&gt;=1,"Completado",IF(L182&gt;0,"En curso","Pendiente")))</f>
        <v/>
      </c>
      <c r="N182" s="62" t="n"/>
      <c r="O182" s="68">
        <f>IF(NOT((COUNTA($B182:$K182)+COUNTA($N182))&gt;0),"",IF((IF(AND($S182="Macro",$B182=""),"Macroactividad vacía"&amp;" · ","")&amp;IF(AND($B182&lt;&gt;"",$C182&lt;&gt;""),"Escriba la subactividad en otra fila, debajo de su macroactividad"&amp;" · ","")&amp;IF(AND($S182="Sub",N($R182)=0),"Subactividad sin macroactividad arriba"&amp;" · ","")&amp;IF($D182="","Sin responsable"&amp;" · ","")&amp;IF($E182="","Sin fecha de inicio"&amp;" · ","")&amp;IF($F182="","Sin fecha límite"&amp;" · ","")&amp;IF(OR(AND($E182&lt;&gt;"",NOT(ISNUMBER($E182))),AND($F182&lt;&gt;"",NOT(ISNUMBER($F182)))),"Fecha no válida"&amp;" · ","")&amp;IF(AND(ISNUMBER($E182),ISNUMBER($F182),$E182&gt;$F182),"Inicio posterior a fecha límite"&amp;" · ","")&amp;IF(AND($S182="Macro",$G182=""),"Peso vacío"&amp;" · ","")&amp;IF(AND($S182="Macro",$G182&lt;&gt;"",OR(NOT(ISNUMBER($G182)),$G182&lt;=0,$G182&gt;1)),"Peso fuera de rango"&amp;" · ","")&amp;IF(AND($S182="Sub",$G182&lt;&gt;""),"Las subactividades no llevan peso"&amp;" · ","")&amp;IF(AND($S182="Macro",ABS(SUMIFS($G$5:$G$1000,$P$5:$P$1000,$P182,$S$5:$S$1000,"Macro")-1)&gt;0.0001),"Pesos del mes suman "&amp;TEXT(SUMIFS($G$5:$G$1000,$P$5:$P$1000,$P182,$S$5:$S$1000,"Macro"),"0%")&amp;" · ","")&amp;IF(AND(N($T182)&gt;0,COUNT($H182:$K182)&gt;0),"Con subactividades: deje vacías las semanas (se calculan solas)"&amp;" · ","")&amp;IF((COUNTIF($H182:$K182,"&gt;1")+COUNTIF($H182:$K182,"&lt;0")+COUNTA($H182:$K182)-COUNT($H182:$K182))&gt;0,"Avance fuera de rango 0-100%"&amp;" · ","")&amp;IF(OR(AND($I182&lt;&gt;"",$I182&lt;$H182),AND($J182&lt;&gt;"",$J182&lt;MAX($H182:$I182)),AND($K182&lt;&gt;"",$K182&lt;MAX($H182:$J182))),"Avance semanal decreciente"&amp;" · ","")&amp;IF(AND(ISNUMBER($F182),$F182&lt;FechaRef,N($L182)&lt;1),"Vencida"&amp;" · ","")&amp;IF(AND(ObsObligatoria="Sí",ISNUMBER($F182),$F182&lt;FechaRef,N($L182)&lt;1,$N182=""),"Vencida sin observación"&amp;" · ",""))="","✔ OK","⚠ "&amp;LEFT(IF(AND($S182="Macro",$B182=""),"Macroactividad vacía"&amp;" · ","")&amp;IF(AND($B182&lt;&gt;"",$C182&lt;&gt;""),"Escriba la subactividad en otra fila, debajo de su macroactividad"&amp;" · ","")&amp;IF(AND($S182="Sub",N($R182)=0),"Subactividad sin macroactividad arriba"&amp;" · ","")&amp;IF($D182="","Sin responsable"&amp;" · ","")&amp;IF($E182="","Sin fecha de inicio"&amp;" · ","")&amp;IF($F182="","Sin fecha límite"&amp;" · ","")&amp;IF(OR(AND($E182&lt;&gt;"",NOT(ISNUMBER($E182))),AND($F182&lt;&gt;"",NOT(ISNUMBER($F182)))),"Fecha no válida"&amp;" · ","")&amp;IF(AND(ISNUMBER($E182),ISNUMBER($F182),$E182&gt;$F182),"Inicio posterior a fecha límite"&amp;" · ","")&amp;IF(AND($S182="Macro",$G182=""),"Peso vacío"&amp;" · ","")&amp;IF(AND($S182="Macro",$G182&lt;&gt;"",OR(NOT(ISNUMBER($G182)),$G182&lt;=0,$G182&gt;1)),"Peso fuera de rango"&amp;" · ","")&amp;IF(AND($S182="Sub",$G182&lt;&gt;""),"Las subactividades no llevan peso"&amp;" · ","")&amp;IF(AND($S182="Macro",ABS(SUMIFS($G$5:$G$1000,$P$5:$P$1000,$P182,$S$5:$S$1000,"Macro")-1)&gt;0.0001),"Pesos del mes suman "&amp;TEXT(SUMIFS($G$5:$G$1000,$P$5:$P$1000,$P182,$S$5:$S$1000,"Macro"),"0%")&amp;" · ","")&amp;IF(AND(N($T182)&gt;0,COUNT($H182:$K182)&gt;0),"Con subactividades: deje vacías las semanas (se calculan solas)"&amp;" · ","")&amp;IF((COUNTIF($H182:$K182,"&gt;1")+COUNTIF($H182:$K182,"&lt;0")+COUNTA($H182:$K182)-COUNT($H182:$K182))&gt;0,"Avance fuera de rango 0-100%"&amp;" · ","")&amp;IF(OR(AND($I182&lt;&gt;"",$I182&lt;$H182),AND($J182&lt;&gt;"",$J182&lt;MAX($H182:$I182)),AND($K182&lt;&gt;"",$K182&lt;MAX($H182:$J182))),"Avance semanal decreciente"&amp;" · ","")&amp;IF(AND(ISNUMBER($F182),$F182&lt;FechaRef,N($L182)&lt;1),"Vencida"&amp;" · ","")&amp;IF(AND(ObsObligatoria="Sí",ISNUMBER($F182),$F182&lt;FechaRef,N($L182)&lt;1,$N182=""),"Vencida sin observación"&amp;" · ",""),LEN(IF(AND($S182="Macro",$B182=""),"Macroactividad vacía"&amp;" · ","")&amp;IF(AND($B182&lt;&gt;"",$C182&lt;&gt;""),"Escriba la subactividad en otra fila, debajo de su macroactividad"&amp;" · ","")&amp;IF(AND($S182="Sub",N($R182)=0),"Subactividad sin macroactividad arriba"&amp;" · ","")&amp;IF($D182="","Sin responsable"&amp;" · ","")&amp;IF($E182="","Sin fecha de inicio"&amp;" · ","")&amp;IF($F182="","Sin fecha límite"&amp;" · ","")&amp;IF(OR(AND($E182&lt;&gt;"",NOT(ISNUMBER($E182))),AND($F182&lt;&gt;"",NOT(ISNUMBER($F182)))),"Fecha no válida"&amp;" · ","")&amp;IF(AND(ISNUMBER($E182),ISNUMBER($F182),$E182&gt;$F182),"Inicio posterior a fecha límite"&amp;" · ","")&amp;IF(AND($S182="Macro",$G182=""),"Peso vacío"&amp;" · ","")&amp;IF(AND($S182="Macro",$G182&lt;&gt;"",OR(NOT(ISNUMBER($G182)),$G182&lt;=0,$G182&gt;1)),"Peso fuera de rango"&amp;" · ","")&amp;IF(AND($S182="Sub",$G182&lt;&gt;""),"Las subactividades no llevan peso"&amp;" · ","")&amp;IF(AND($S182="Macro",ABS(SUMIFS($G$5:$G$1000,$P$5:$P$1000,$P182,$S$5:$S$1000,"Macro")-1)&gt;0.0001),"Pesos del mes suman "&amp;TEXT(SUMIFS($G$5:$G$1000,$P$5:$P$1000,$P182,$S$5:$S$1000,"Macro"),"0%")&amp;" · ","")&amp;IF(AND(N($T182)&gt;0,COUNT($H182:$K182)&gt;0),"Con subactividades: deje vacías las semanas (se calculan solas)"&amp;" · ","")&amp;IF((COUNTIF($H182:$K182,"&gt;1")+COUNTIF($H182:$K182,"&lt;0")+COUNTA($H182:$K182)-COUNT($H182:$K182))&gt;0,"Avance fuera de rango 0-100%"&amp;" · ","")&amp;IF(OR(AND($I182&lt;&gt;"",$I182&lt;$H182),AND($J182&lt;&gt;"",$J182&lt;MAX($H182:$I182)),AND($K182&lt;&gt;"",$K182&lt;MAX($H182:$J182))),"Avance semanal decreciente"&amp;" · ","")&amp;IF(AND(ISNUMBER($F182),$F182&lt;FechaRef,N($L182)&lt;1),"Vencida"&amp;" · ","")&amp;IF(AND(ObsObligatoria="Sí",ISNUMBER($F182),$F182&lt;FechaRef,N($L182)&lt;1,$N182=""),"Vencida sin observación"&amp;" · ",""))-3)))</f>
        <v/>
      </c>
      <c r="P182" s="69">
        <f>IF(NOT((COUNTA($B182:$K182)+COUNTA($N182))&gt;0),"",IF(AND($S182="Sub",N($R182)&gt;0),IF(ISNUMBER(INDEX($E$5:$E$1000,$R182-4)),DATE(YEAR(INDEX($E$5:$E$1000,$R182-4)),MONTH(INDEX($E$5:$E$1000,$R182-4)),1),IF(ISNUMBER(INDEX($F$5:$F$1000,$R182-4)),DATE(YEAR(INDEX($F$5:$F$1000,$R182-4)),MONTH(INDEX($F$5:$F$1000,$R182-4)),1),MesCiclo)),IF(ISNUMBER($E182),DATE(YEAR($E182),MONTH($E182),1),IF(ISNUMBER($F182),DATE(YEAR($F182),MONTH($F182),1),MesCiclo))))</f>
        <v/>
      </c>
      <c r="Q182" s="70">
        <f>IF(OR($P182="",$P182&lt;&gt;MesCiclo),"",COUNTIF($P$5:$P182,MesCiclo))</f>
        <v/>
      </c>
      <c r="R182" s="70">
        <f>IF($S182="","",IF($S182="Macro",ROW(),IFERROR(LOOKUP(2,1/($S$5:$S182="Macro"),ROW($S$5:$S182)),0)))</f>
        <v/>
      </c>
      <c r="S182" s="70">
        <f>IF(NOT((COUNTA($B182:$K182)+COUNTA($N182))&gt;0),"",IF($B182&lt;&gt;"","Macro",IF($C182&lt;&gt;"","Sub","Macro")))</f>
        <v/>
      </c>
      <c r="T182" s="70">
        <f>IF($S182="Macro",COUNTIFS($R$5:$R$1000,ROW(),$S$5:$S$1000,"Sub"),"")</f>
        <v/>
      </c>
      <c r="U182" s="70">
        <f>IF($S182="","",IF(ISNUMBER($H182),$H182,0))</f>
        <v/>
      </c>
      <c r="V182" s="70">
        <f>IF($S182="","",IF(ISNUMBER($I182),$I182,$U182))</f>
        <v/>
      </c>
      <c r="W182" s="70">
        <f>IF($S182="","",IF(ISNUMBER($J182),$J182,$V182))</f>
        <v/>
      </c>
      <c r="X182" s="70">
        <f>IF($S182="","",IF(ISNUMBER($K182),$K182,$W182))</f>
        <v/>
      </c>
      <c r="Y182" s="70">
        <f>IF($S182="","",IF(N($T182)&gt;0,AVERAGEIFS($U$5:$U$1000,$R$5:$R$1000,ROW(),$S$5:$S$1000,"Sub"),$U182))</f>
        <v/>
      </c>
      <c r="Z182" s="70">
        <f>IF($S182="","",IF(N($T182)&gt;0,AVERAGEIFS($V$5:$V$1000,$R$5:$R$1000,ROW(),$S$5:$S$1000,"Sub"),$V182))</f>
        <v/>
      </c>
      <c r="AA182" s="70">
        <f>IF($S182="","",IF(N($T182)&gt;0,AVERAGEIFS($W$5:$W$1000,$R$5:$R$1000,ROW(),$S$5:$S$1000,"Sub"),$W182))</f>
        <v/>
      </c>
      <c r="AB182" s="70">
        <f>IF($S182="","",IF(N($T182)&gt;0,AVERAGEIFS($X$5:$X$1000,$R$5:$R$1000,ROW(),$S$5:$S$1000,"Sub"),$X182))</f>
        <v/>
      </c>
    </row>
    <row r="183">
      <c r="A183" s="61">
        <f>IF(NOT((COUNTA($B183:$K183)+COUNTA($N183))&gt;0),"",IF($S183="Macro",COUNTIFS($S$5:$S183,"Macro",$P$5:$P183,$P183),IF(N($R183)=0,"?",COUNTIFS(INDEX($S$5:$S$1000,1):INDEX($S$5:$S$1000,$R183-4),"Macro",INDEX($P$5:$P$1000,1):INDEX($P$5:$P$1000,$R183-4),INDEX($P$5:$P$1000,$R183-4))&amp;"."&amp;COUNTIFS($R$5:$R183,$R183,$S$5:$S183,"Sub"))))</f>
        <v/>
      </c>
      <c r="B183" s="62" t="n"/>
      <c r="C183" s="63" t="n"/>
      <c r="D183" s="62" t="n"/>
      <c r="E183" s="64" t="n"/>
      <c r="F183" s="64" t="n"/>
      <c r="G183" s="65" t="n"/>
      <c r="H183" s="66" t="n"/>
      <c r="I183" s="66" t="n"/>
      <c r="J183" s="66" t="n"/>
      <c r="K183" s="66" t="n"/>
      <c r="L183" s="67">
        <f>IF(NOT((COUNTA($B183:$K183)+COUNTA($N183))&gt;0),"",IF(N($T183)&gt;0,$AB183,IFERROR(LOOKUP(2,1/(H183:K183&lt;&gt;""),H183:K183),0)))</f>
        <v/>
      </c>
      <c r="M183" s="61">
        <f>IF(L183="","",IF(L183&gt;=1,"Completado",IF(L183&gt;0,"En curso","Pendiente")))</f>
        <v/>
      </c>
      <c r="N183" s="62" t="n"/>
      <c r="O183" s="68">
        <f>IF(NOT((COUNTA($B183:$K183)+COUNTA($N183))&gt;0),"",IF((IF(AND($S183="Macro",$B183=""),"Macroactividad vacía"&amp;" · ","")&amp;IF(AND($B183&lt;&gt;"",$C183&lt;&gt;""),"Escriba la subactividad en otra fila, debajo de su macroactividad"&amp;" · ","")&amp;IF(AND($S183="Sub",N($R183)=0),"Subactividad sin macroactividad arriba"&amp;" · ","")&amp;IF($D183="","Sin responsable"&amp;" · ","")&amp;IF($E183="","Sin fecha de inicio"&amp;" · ","")&amp;IF($F183="","Sin fecha límite"&amp;" · ","")&amp;IF(OR(AND($E183&lt;&gt;"",NOT(ISNUMBER($E183))),AND($F183&lt;&gt;"",NOT(ISNUMBER($F183)))),"Fecha no válida"&amp;" · ","")&amp;IF(AND(ISNUMBER($E183),ISNUMBER($F183),$E183&gt;$F183),"Inicio posterior a fecha límite"&amp;" · ","")&amp;IF(AND($S183="Macro",$G183=""),"Peso vacío"&amp;" · ","")&amp;IF(AND($S183="Macro",$G183&lt;&gt;"",OR(NOT(ISNUMBER($G183)),$G183&lt;=0,$G183&gt;1)),"Peso fuera de rango"&amp;" · ","")&amp;IF(AND($S183="Sub",$G183&lt;&gt;""),"Las subactividades no llevan peso"&amp;" · ","")&amp;IF(AND($S183="Macro",ABS(SUMIFS($G$5:$G$1000,$P$5:$P$1000,$P183,$S$5:$S$1000,"Macro")-1)&gt;0.0001),"Pesos del mes suman "&amp;TEXT(SUMIFS($G$5:$G$1000,$P$5:$P$1000,$P183,$S$5:$S$1000,"Macro"),"0%")&amp;" · ","")&amp;IF(AND(N($T183)&gt;0,COUNT($H183:$K183)&gt;0),"Con subactividades: deje vacías las semanas (se calculan solas)"&amp;" · ","")&amp;IF((COUNTIF($H183:$K183,"&gt;1")+COUNTIF($H183:$K183,"&lt;0")+COUNTA($H183:$K183)-COUNT($H183:$K183))&gt;0,"Avance fuera de rango 0-100%"&amp;" · ","")&amp;IF(OR(AND($I183&lt;&gt;"",$I183&lt;$H183),AND($J183&lt;&gt;"",$J183&lt;MAX($H183:$I183)),AND($K183&lt;&gt;"",$K183&lt;MAX($H183:$J183))),"Avance semanal decreciente"&amp;" · ","")&amp;IF(AND(ISNUMBER($F183),$F183&lt;FechaRef,N($L183)&lt;1),"Vencida"&amp;" · ","")&amp;IF(AND(ObsObligatoria="Sí",ISNUMBER($F183),$F183&lt;FechaRef,N($L183)&lt;1,$N183=""),"Vencida sin observación"&amp;" · ",""))="","✔ OK","⚠ "&amp;LEFT(IF(AND($S183="Macro",$B183=""),"Macroactividad vacía"&amp;" · ","")&amp;IF(AND($B183&lt;&gt;"",$C183&lt;&gt;""),"Escriba la subactividad en otra fila, debajo de su macroactividad"&amp;" · ","")&amp;IF(AND($S183="Sub",N($R183)=0),"Subactividad sin macroactividad arriba"&amp;" · ","")&amp;IF($D183="","Sin responsable"&amp;" · ","")&amp;IF($E183="","Sin fecha de inicio"&amp;" · ","")&amp;IF($F183="","Sin fecha límite"&amp;" · ","")&amp;IF(OR(AND($E183&lt;&gt;"",NOT(ISNUMBER($E183))),AND($F183&lt;&gt;"",NOT(ISNUMBER($F183)))),"Fecha no válida"&amp;" · ","")&amp;IF(AND(ISNUMBER($E183),ISNUMBER($F183),$E183&gt;$F183),"Inicio posterior a fecha límite"&amp;" · ","")&amp;IF(AND($S183="Macro",$G183=""),"Peso vacío"&amp;" · ","")&amp;IF(AND($S183="Macro",$G183&lt;&gt;"",OR(NOT(ISNUMBER($G183)),$G183&lt;=0,$G183&gt;1)),"Peso fuera de rango"&amp;" · ","")&amp;IF(AND($S183="Sub",$G183&lt;&gt;""),"Las subactividades no llevan peso"&amp;" · ","")&amp;IF(AND($S183="Macro",ABS(SUMIFS($G$5:$G$1000,$P$5:$P$1000,$P183,$S$5:$S$1000,"Macro")-1)&gt;0.0001),"Pesos del mes suman "&amp;TEXT(SUMIFS($G$5:$G$1000,$P$5:$P$1000,$P183,$S$5:$S$1000,"Macro"),"0%")&amp;" · ","")&amp;IF(AND(N($T183)&gt;0,COUNT($H183:$K183)&gt;0),"Con subactividades: deje vacías las semanas (se calculan solas)"&amp;" · ","")&amp;IF((COUNTIF($H183:$K183,"&gt;1")+COUNTIF($H183:$K183,"&lt;0")+COUNTA($H183:$K183)-COUNT($H183:$K183))&gt;0,"Avance fuera de rango 0-100%"&amp;" · ","")&amp;IF(OR(AND($I183&lt;&gt;"",$I183&lt;$H183),AND($J183&lt;&gt;"",$J183&lt;MAX($H183:$I183)),AND($K183&lt;&gt;"",$K183&lt;MAX($H183:$J183))),"Avance semanal decreciente"&amp;" · ","")&amp;IF(AND(ISNUMBER($F183),$F183&lt;FechaRef,N($L183)&lt;1),"Vencida"&amp;" · ","")&amp;IF(AND(ObsObligatoria="Sí",ISNUMBER($F183),$F183&lt;FechaRef,N($L183)&lt;1,$N183=""),"Vencida sin observación"&amp;" · ",""),LEN(IF(AND($S183="Macro",$B183=""),"Macroactividad vacía"&amp;" · ","")&amp;IF(AND($B183&lt;&gt;"",$C183&lt;&gt;""),"Escriba la subactividad en otra fila, debajo de su macroactividad"&amp;" · ","")&amp;IF(AND($S183="Sub",N($R183)=0),"Subactividad sin macroactividad arriba"&amp;" · ","")&amp;IF($D183="","Sin responsable"&amp;" · ","")&amp;IF($E183="","Sin fecha de inicio"&amp;" · ","")&amp;IF($F183="","Sin fecha límite"&amp;" · ","")&amp;IF(OR(AND($E183&lt;&gt;"",NOT(ISNUMBER($E183))),AND($F183&lt;&gt;"",NOT(ISNUMBER($F183)))),"Fecha no válida"&amp;" · ","")&amp;IF(AND(ISNUMBER($E183),ISNUMBER($F183),$E183&gt;$F183),"Inicio posterior a fecha límite"&amp;" · ","")&amp;IF(AND($S183="Macro",$G183=""),"Peso vacío"&amp;" · ","")&amp;IF(AND($S183="Macro",$G183&lt;&gt;"",OR(NOT(ISNUMBER($G183)),$G183&lt;=0,$G183&gt;1)),"Peso fuera de rango"&amp;" · ","")&amp;IF(AND($S183="Sub",$G183&lt;&gt;""),"Las subactividades no llevan peso"&amp;" · ","")&amp;IF(AND($S183="Macro",ABS(SUMIFS($G$5:$G$1000,$P$5:$P$1000,$P183,$S$5:$S$1000,"Macro")-1)&gt;0.0001),"Pesos del mes suman "&amp;TEXT(SUMIFS($G$5:$G$1000,$P$5:$P$1000,$P183,$S$5:$S$1000,"Macro"),"0%")&amp;" · ","")&amp;IF(AND(N($T183)&gt;0,COUNT($H183:$K183)&gt;0),"Con subactividades: deje vacías las semanas (se calculan solas)"&amp;" · ","")&amp;IF((COUNTIF($H183:$K183,"&gt;1")+COUNTIF($H183:$K183,"&lt;0")+COUNTA($H183:$K183)-COUNT($H183:$K183))&gt;0,"Avance fuera de rango 0-100%"&amp;" · ","")&amp;IF(OR(AND($I183&lt;&gt;"",$I183&lt;$H183),AND($J183&lt;&gt;"",$J183&lt;MAX($H183:$I183)),AND($K183&lt;&gt;"",$K183&lt;MAX($H183:$J183))),"Avance semanal decreciente"&amp;" · ","")&amp;IF(AND(ISNUMBER($F183),$F183&lt;FechaRef,N($L183)&lt;1),"Vencida"&amp;" · ","")&amp;IF(AND(ObsObligatoria="Sí",ISNUMBER($F183),$F183&lt;FechaRef,N($L183)&lt;1,$N183=""),"Vencida sin observación"&amp;" · ",""))-3)))</f>
        <v/>
      </c>
      <c r="P183" s="69">
        <f>IF(NOT((COUNTA($B183:$K183)+COUNTA($N183))&gt;0),"",IF(AND($S183="Sub",N($R183)&gt;0),IF(ISNUMBER(INDEX($E$5:$E$1000,$R183-4)),DATE(YEAR(INDEX($E$5:$E$1000,$R183-4)),MONTH(INDEX($E$5:$E$1000,$R183-4)),1),IF(ISNUMBER(INDEX($F$5:$F$1000,$R183-4)),DATE(YEAR(INDEX($F$5:$F$1000,$R183-4)),MONTH(INDEX($F$5:$F$1000,$R183-4)),1),MesCiclo)),IF(ISNUMBER($E183),DATE(YEAR($E183),MONTH($E183),1),IF(ISNUMBER($F183),DATE(YEAR($F183),MONTH($F183),1),MesCiclo))))</f>
        <v/>
      </c>
      <c r="Q183" s="70">
        <f>IF(OR($P183="",$P183&lt;&gt;MesCiclo),"",COUNTIF($P$5:$P183,MesCiclo))</f>
        <v/>
      </c>
      <c r="R183" s="70">
        <f>IF($S183="","",IF($S183="Macro",ROW(),IFERROR(LOOKUP(2,1/($S$5:$S183="Macro"),ROW($S$5:$S183)),0)))</f>
        <v/>
      </c>
      <c r="S183" s="70">
        <f>IF(NOT((COUNTA($B183:$K183)+COUNTA($N183))&gt;0),"",IF($B183&lt;&gt;"","Macro",IF($C183&lt;&gt;"","Sub","Macro")))</f>
        <v/>
      </c>
      <c r="T183" s="70">
        <f>IF($S183="Macro",COUNTIFS($R$5:$R$1000,ROW(),$S$5:$S$1000,"Sub"),"")</f>
        <v/>
      </c>
      <c r="U183" s="70">
        <f>IF($S183="","",IF(ISNUMBER($H183),$H183,0))</f>
        <v/>
      </c>
      <c r="V183" s="70">
        <f>IF($S183="","",IF(ISNUMBER($I183),$I183,$U183))</f>
        <v/>
      </c>
      <c r="W183" s="70">
        <f>IF($S183="","",IF(ISNUMBER($J183),$J183,$V183))</f>
        <v/>
      </c>
      <c r="X183" s="70">
        <f>IF($S183="","",IF(ISNUMBER($K183),$K183,$W183))</f>
        <v/>
      </c>
      <c r="Y183" s="70">
        <f>IF($S183="","",IF(N($T183)&gt;0,AVERAGEIFS($U$5:$U$1000,$R$5:$R$1000,ROW(),$S$5:$S$1000,"Sub"),$U183))</f>
        <v/>
      </c>
      <c r="Z183" s="70">
        <f>IF($S183="","",IF(N($T183)&gt;0,AVERAGEIFS($V$5:$V$1000,$R$5:$R$1000,ROW(),$S$5:$S$1000,"Sub"),$V183))</f>
        <v/>
      </c>
      <c r="AA183" s="70">
        <f>IF($S183="","",IF(N($T183)&gt;0,AVERAGEIFS($W$5:$W$1000,$R$5:$R$1000,ROW(),$S$5:$S$1000,"Sub"),$W183))</f>
        <v/>
      </c>
      <c r="AB183" s="70">
        <f>IF($S183="","",IF(N($T183)&gt;0,AVERAGEIFS($X$5:$X$1000,$R$5:$R$1000,ROW(),$S$5:$S$1000,"Sub"),$X183))</f>
        <v/>
      </c>
    </row>
    <row r="184">
      <c r="A184" s="61">
        <f>IF(NOT((COUNTA($B184:$K184)+COUNTA($N184))&gt;0),"",IF($S184="Macro",COUNTIFS($S$5:$S184,"Macro",$P$5:$P184,$P184),IF(N($R184)=0,"?",COUNTIFS(INDEX($S$5:$S$1000,1):INDEX($S$5:$S$1000,$R184-4),"Macro",INDEX($P$5:$P$1000,1):INDEX($P$5:$P$1000,$R184-4),INDEX($P$5:$P$1000,$R184-4))&amp;"."&amp;COUNTIFS($R$5:$R184,$R184,$S$5:$S184,"Sub"))))</f>
        <v/>
      </c>
      <c r="B184" s="62" t="n"/>
      <c r="C184" s="63" t="n"/>
      <c r="D184" s="62" t="n"/>
      <c r="E184" s="64" t="n"/>
      <c r="F184" s="64" t="n"/>
      <c r="G184" s="65" t="n"/>
      <c r="H184" s="66" t="n"/>
      <c r="I184" s="66" t="n"/>
      <c r="J184" s="66" t="n"/>
      <c r="K184" s="66" t="n"/>
      <c r="L184" s="67">
        <f>IF(NOT((COUNTA($B184:$K184)+COUNTA($N184))&gt;0),"",IF(N($T184)&gt;0,$AB184,IFERROR(LOOKUP(2,1/(H184:K184&lt;&gt;""),H184:K184),0)))</f>
        <v/>
      </c>
      <c r="M184" s="61">
        <f>IF(L184="","",IF(L184&gt;=1,"Completado",IF(L184&gt;0,"En curso","Pendiente")))</f>
        <v/>
      </c>
      <c r="N184" s="62" t="n"/>
      <c r="O184" s="68">
        <f>IF(NOT((COUNTA($B184:$K184)+COUNTA($N184))&gt;0),"",IF((IF(AND($S184="Macro",$B184=""),"Macroactividad vacía"&amp;" · ","")&amp;IF(AND($B184&lt;&gt;"",$C184&lt;&gt;""),"Escriba la subactividad en otra fila, debajo de su macroactividad"&amp;" · ","")&amp;IF(AND($S184="Sub",N($R184)=0),"Subactividad sin macroactividad arriba"&amp;" · ","")&amp;IF($D184="","Sin responsable"&amp;" · ","")&amp;IF($E184="","Sin fecha de inicio"&amp;" · ","")&amp;IF($F184="","Sin fecha límite"&amp;" · ","")&amp;IF(OR(AND($E184&lt;&gt;"",NOT(ISNUMBER($E184))),AND($F184&lt;&gt;"",NOT(ISNUMBER($F184)))),"Fecha no válida"&amp;" · ","")&amp;IF(AND(ISNUMBER($E184),ISNUMBER($F184),$E184&gt;$F184),"Inicio posterior a fecha límite"&amp;" · ","")&amp;IF(AND($S184="Macro",$G184=""),"Peso vacío"&amp;" · ","")&amp;IF(AND($S184="Macro",$G184&lt;&gt;"",OR(NOT(ISNUMBER($G184)),$G184&lt;=0,$G184&gt;1)),"Peso fuera de rango"&amp;" · ","")&amp;IF(AND($S184="Sub",$G184&lt;&gt;""),"Las subactividades no llevan peso"&amp;" · ","")&amp;IF(AND($S184="Macro",ABS(SUMIFS($G$5:$G$1000,$P$5:$P$1000,$P184,$S$5:$S$1000,"Macro")-1)&gt;0.0001),"Pesos del mes suman "&amp;TEXT(SUMIFS($G$5:$G$1000,$P$5:$P$1000,$P184,$S$5:$S$1000,"Macro"),"0%")&amp;" · ","")&amp;IF(AND(N($T184)&gt;0,COUNT($H184:$K184)&gt;0),"Con subactividades: deje vacías las semanas (se calculan solas)"&amp;" · ","")&amp;IF((COUNTIF($H184:$K184,"&gt;1")+COUNTIF($H184:$K184,"&lt;0")+COUNTA($H184:$K184)-COUNT($H184:$K184))&gt;0,"Avance fuera de rango 0-100%"&amp;" · ","")&amp;IF(OR(AND($I184&lt;&gt;"",$I184&lt;$H184),AND($J184&lt;&gt;"",$J184&lt;MAX($H184:$I184)),AND($K184&lt;&gt;"",$K184&lt;MAX($H184:$J184))),"Avance semanal decreciente"&amp;" · ","")&amp;IF(AND(ISNUMBER($F184),$F184&lt;FechaRef,N($L184)&lt;1),"Vencida"&amp;" · ","")&amp;IF(AND(ObsObligatoria="Sí",ISNUMBER($F184),$F184&lt;FechaRef,N($L184)&lt;1,$N184=""),"Vencida sin observación"&amp;" · ",""))="","✔ OK","⚠ "&amp;LEFT(IF(AND($S184="Macro",$B184=""),"Macroactividad vacía"&amp;" · ","")&amp;IF(AND($B184&lt;&gt;"",$C184&lt;&gt;""),"Escriba la subactividad en otra fila, debajo de su macroactividad"&amp;" · ","")&amp;IF(AND($S184="Sub",N($R184)=0),"Subactividad sin macroactividad arriba"&amp;" · ","")&amp;IF($D184="","Sin responsable"&amp;" · ","")&amp;IF($E184="","Sin fecha de inicio"&amp;" · ","")&amp;IF($F184="","Sin fecha límite"&amp;" · ","")&amp;IF(OR(AND($E184&lt;&gt;"",NOT(ISNUMBER($E184))),AND($F184&lt;&gt;"",NOT(ISNUMBER($F184)))),"Fecha no válida"&amp;" · ","")&amp;IF(AND(ISNUMBER($E184),ISNUMBER($F184),$E184&gt;$F184),"Inicio posterior a fecha límite"&amp;" · ","")&amp;IF(AND($S184="Macro",$G184=""),"Peso vacío"&amp;" · ","")&amp;IF(AND($S184="Macro",$G184&lt;&gt;"",OR(NOT(ISNUMBER($G184)),$G184&lt;=0,$G184&gt;1)),"Peso fuera de rango"&amp;" · ","")&amp;IF(AND($S184="Sub",$G184&lt;&gt;""),"Las subactividades no llevan peso"&amp;" · ","")&amp;IF(AND($S184="Macro",ABS(SUMIFS($G$5:$G$1000,$P$5:$P$1000,$P184,$S$5:$S$1000,"Macro")-1)&gt;0.0001),"Pesos del mes suman "&amp;TEXT(SUMIFS($G$5:$G$1000,$P$5:$P$1000,$P184,$S$5:$S$1000,"Macro"),"0%")&amp;" · ","")&amp;IF(AND(N($T184)&gt;0,COUNT($H184:$K184)&gt;0),"Con subactividades: deje vacías las semanas (se calculan solas)"&amp;" · ","")&amp;IF((COUNTIF($H184:$K184,"&gt;1")+COUNTIF($H184:$K184,"&lt;0")+COUNTA($H184:$K184)-COUNT($H184:$K184))&gt;0,"Avance fuera de rango 0-100%"&amp;" · ","")&amp;IF(OR(AND($I184&lt;&gt;"",$I184&lt;$H184),AND($J184&lt;&gt;"",$J184&lt;MAX($H184:$I184)),AND($K184&lt;&gt;"",$K184&lt;MAX($H184:$J184))),"Avance semanal decreciente"&amp;" · ","")&amp;IF(AND(ISNUMBER($F184),$F184&lt;FechaRef,N($L184)&lt;1),"Vencida"&amp;" · ","")&amp;IF(AND(ObsObligatoria="Sí",ISNUMBER($F184),$F184&lt;FechaRef,N($L184)&lt;1,$N184=""),"Vencida sin observación"&amp;" · ",""),LEN(IF(AND($S184="Macro",$B184=""),"Macroactividad vacía"&amp;" · ","")&amp;IF(AND($B184&lt;&gt;"",$C184&lt;&gt;""),"Escriba la subactividad en otra fila, debajo de su macroactividad"&amp;" · ","")&amp;IF(AND($S184="Sub",N($R184)=0),"Subactividad sin macroactividad arriba"&amp;" · ","")&amp;IF($D184="","Sin responsable"&amp;" · ","")&amp;IF($E184="","Sin fecha de inicio"&amp;" · ","")&amp;IF($F184="","Sin fecha límite"&amp;" · ","")&amp;IF(OR(AND($E184&lt;&gt;"",NOT(ISNUMBER($E184))),AND($F184&lt;&gt;"",NOT(ISNUMBER($F184)))),"Fecha no válida"&amp;" · ","")&amp;IF(AND(ISNUMBER($E184),ISNUMBER($F184),$E184&gt;$F184),"Inicio posterior a fecha límite"&amp;" · ","")&amp;IF(AND($S184="Macro",$G184=""),"Peso vacío"&amp;" · ","")&amp;IF(AND($S184="Macro",$G184&lt;&gt;"",OR(NOT(ISNUMBER($G184)),$G184&lt;=0,$G184&gt;1)),"Peso fuera de rango"&amp;" · ","")&amp;IF(AND($S184="Sub",$G184&lt;&gt;""),"Las subactividades no llevan peso"&amp;" · ","")&amp;IF(AND($S184="Macro",ABS(SUMIFS($G$5:$G$1000,$P$5:$P$1000,$P184,$S$5:$S$1000,"Macro")-1)&gt;0.0001),"Pesos del mes suman "&amp;TEXT(SUMIFS($G$5:$G$1000,$P$5:$P$1000,$P184,$S$5:$S$1000,"Macro"),"0%")&amp;" · ","")&amp;IF(AND(N($T184)&gt;0,COUNT($H184:$K184)&gt;0),"Con subactividades: deje vacías las semanas (se calculan solas)"&amp;" · ","")&amp;IF((COUNTIF($H184:$K184,"&gt;1")+COUNTIF($H184:$K184,"&lt;0")+COUNTA($H184:$K184)-COUNT($H184:$K184))&gt;0,"Avance fuera de rango 0-100%"&amp;" · ","")&amp;IF(OR(AND($I184&lt;&gt;"",$I184&lt;$H184),AND($J184&lt;&gt;"",$J184&lt;MAX($H184:$I184)),AND($K184&lt;&gt;"",$K184&lt;MAX($H184:$J184))),"Avance semanal decreciente"&amp;" · ","")&amp;IF(AND(ISNUMBER($F184),$F184&lt;FechaRef,N($L184)&lt;1),"Vencida"&amp;" · ","")&amp;IF(AND(ObsObligatoria="Sí",ISNUMBER($F184),$F184&lt;FechaRef,N($L184)&lt;1,$N184=""),"Vencida sin observación"&amp;" · ",""))-3)))</f>
        <v/>
      </c>
      <c r="P184" s="69">
        <f>IF(NOT((COUNTA($B184:$K184)+COUNTA($N184))&gt;0),"",IF(AND($S184="Sub",N($R184)&gt;0),IF(ISNUMBER(INDEX($E$5:$E$1000,$R184-4)),DATE(YEAR(INDEX($E$5:$E$1000,$R184-4)),MONTH(INDEX($E$5:$E$1000,$R184-4)),1),IF(ISNUMBER(INDEX($F$5:$F$1000,$R184-4)),DATE(YEAR(INDEX($F$5:$F$1000,$R184-4)),MONTH(INDEX($F$5:$F$1000,$R184-4)),1),MesCiclo)),IF(ISNUMBER($E184),DATE(YEAR($E184),MONTH($E184),1),IF(ISNUMBER($F184),DATE(YEAR($F184),MONTH($F184),1),MesCiclo))))</f>
        <v/>
      </c>
      <c r="Q184" s="70">
        <f>IF(OR($P184="",$P184&lt;&gt;MesCiclo),"",COUNTIF($P$5:$P184,MesCiclo))</f>
        <v/>
      </c>
      <c r="R184" s="70">
        <f>IF($S184="","",IF($S184="Macro",ROW(),IFERROR(LOOKUP(2,1/($S$5:$S184="Macro"),ROW($S$5:$S184)),0)))</f>
        <v/>
      </c>
      <c r="S184" s="70">
        <f>IF(NOT((COUNTA($B184:$K184)+COUNTA($N184))&gt;0),"",IF($B184&lt;&gt;"","Macro",IF($C184&lt;&gt;"","Sub","Macro")))</f>
        <v/>
      </c>
      <c r="T184" s="70">
        <f>IF($S184="Macro",COUNTIFS($R$5:$R$1000,ROW(),$S$5:$S$1000,"Sub"),"")</f>
        <v/>
      </c>
      <c r="U184" s="70">
        <f>IF($S184="","",IF(ISNUMBER($H184),$H184,0))</f>
        <v/>
      </c>
      <c r="V184" s="70">
        <f>IF($S184="","",IF(ISNUMBER($I184),$I184,$U184))</f>
        <v/>
      </c>
      <c r="W184" s="70">
        <f>IF($S184="","",IF(ISNUMBER($J184),$J184,$V184))</f>
        <v/>
      </c>
      <c r="X184" s="70">
        <f>IF($S184="","",IF(ISNUMBER($K184),$K184,$W184))</f>
        <v/>
      </c>
      <c r="Y184" s="70">
        <f>IF($S184="","",IF(N($T184)&gt;0,AVERAGEIFS($U$5:$U$1000,$R$5:$R$1000,ROW(),$S$5:$S$1000,"Sub"),$U184))</f>
        <v/>
      </c>
      <c r="Z184" s="70">
        <f>IF($S184="","",IF(N($T184)&gt;0,AVERAGEIFS($V$5:$V$1000,$R$5:$R$1000,ROW(),$S$5:$S$1000,"Sub"),$V184))</f>
        <v/>
      </c>
      <c r="AA184" s="70">
        <f>IF($S184="","",IF(N($T184)&gt;0,AVERAGEIFS($W$5:$W$1000,$R$5:$R$1000,ROW(),$S$5:$S$1000,"Sub"),$W184))</f>
        <v/>
      </c>
      <c r="AB184" s="70">
        <f>IF($S184="","",IF(N($T184)&gt;0,AVERAGEIFS($X$5:$X$1000,$R$5:$R$1000,ROW(),$S$5:$S$1000,"Sub"),$X184))</f>
        <v/>
      </c>
    </row>
    <row r="185">
      <c r="A185" s="61">
        <f>IF(NOT((COUNTA($B185:$K185)+COUNTA($N185))&gt;0),"",IF($S185="Macro",COUNTIFS($S$5:$S185,"Macro",$P$5:$P185,$P185),IF(N($R185)=0,"?",COUNTIFS(INDEX($S$5:$S$1000,1):INDEX($S$5:$S$1000,$R185-4),"Macro",INDEX($P$5:$P$1000,1):INDEX($P$5:$P$1000,$R185-4),INDEX($P$5:$P$1000,$R185-4))&amp;"."&amp;COUNTIFS($R$5:$R185,$R185,$S$5:$S185,"Sub"))))</f>
        <v/>
      </c>
      <c r="B185" s="62" t="n"/>
      <c r="C185" s="63" t="n"/>
      <c r="D185" s="62" t="n"/>
      <c r="E185" s="64" t="n"/>
      <c r="F185" s="64" t="n"/>
      <c r="G185" s="65" t="n"/>
      <c r="H185" s="66" t="n"/>
      <c r="I185" s="66" t="n"/>
      <c r="J185" s="66" t="n"/>
      <c r="K185" s="66" t="n"/>
      <c r="L185" s="67">
        <f>IF(NOT((COUNTA($B185:$K185)+COUNTA($N185))&gt;0),"",IF(N($T185)&gt;0,$AB185,IFERROR(LOOKUP(2,1/(H185:K185&lt;&gt;""),H185:K185),0)))</f>
        <v/>
      </c>
      <c r="M185" s="61">
        <f>IF(L185="","",IF(L185&gt;=1,"Completado",IF(L185&gt;0,"En curso","Pendiente")))</f>
        <v/>
      </c>
      <c r="N185" s="62" t="n"/>
      <c r="O185" s="68">
        <f>IF(NOT((COUNTA($B185:$K185)+COUNTA($N185))&gt;0),"",IF((IF(AND($S185="Macro",$B185=""),"Macroactividad vacía"&amp;" · ","")&amp;IF(AND($B185&lt;&gt;"",$C185&lt;&gt;""),"Escriba la subactividad en otra fila, debajo de su macroactividad"&amp;" · ","")&amp;IF(AND($S185="Sub",N($R185)=0),"Subactividad sin macroactividad arriba"&amp;" · ","")&amp;IF($D185="","Sin responsable"&amp;" · ","")&amp;IF($E185="","Sin fecha de inicio"&amp;" · ","")&amp;IF($F185="","Sin fecha límite"&amp;" · ","")&amp;IF(OR(AND($E185&lt;&gt;"",NOT(ISNUMBER($E185))),AND($F185&lt;&gt;"",NOT(ISNUMBER($F185)))),"Fecha no válida"&amp;" · ","")&amp;IF(AND(ISNUMBER($E185),ISNUMBER($F185),$E185&gt;$F185),"Inicio posterior a fecha límite"&amp;" · ","")&amp;IF(AND($S185="Macro",$G185=""),"Peso vacío"&amp;" · ","")&amp;IF(AND($S185="Macro",$G185&lt;&gt;"",OR(NOT(ISNUMBER($G185)),$G185&lt;=0,$G185&gt;1)),"Peso fuera de rango"&amp;" · ","")&amp;IF(AND($S185="Sub",$G185&lt;&gt;""),"Las subactividades no llevan peso"&amp;" · ","")&amp;IF(AND($S185="Macro",ABS(SUMIFS($G$5:$G$1000,$P$5:$P$1000,$P185,$S$5:$S$1000,"Macro")-1)&gt;0.0001),"Pesos del mes suman "&amp;TEXT(SUMIFS($G$5:$G$1000,$P$5:$P$1000,$P185,$S$5:$S$1000,"Macro"),"0%")&amp;" · ","")&amp;IF(AND(N($T185)&gt;0,COUNT($H185:$K185)&gt;0),"Con subactividades: deje vacías las semanas (se calculan solas)"&amp;" · ","")&amp;IF((COUNTIF($H185:$K185,"&gt;1")+COUNTIF($H185:$K185,"&lt;0")+COUNTA($H185:$K185)-COUNT($H185:$K185))&gt;0,"Avance fuera de rango 0-100%"&amp;" · ","")&amp;IF(OR(AND($I185&lt;&gt;"",$I185&lt;$H185),AND($J185&lt;&gt;"",$J185&lt;MAX($H185:$I185)),AND($K185&lt;&gt;"",$K185&lt;MAX($H185:$J185))),"Avance semanal decreciente"&amp;" · ","")&amp;IF(AND(ISNUMBER($F185),$F185&lt;FechaRef,N($L185)&lt;1),"Vencida"&amp;" · ","")&amp;IF(AND(ObsObligatoria="Sí",ISNUMBER($F185),$F185&lt;FechaRef,N($L185)&lt;1,$N185=""),"Vencida sin observación"&amp;" · ",""))="","✔ OK","⚠ "&amp;LEFT(IF(AND($S185="Macro",$B185=""),"Macroactividad vacía"&amp;" · ","")&amp;IF(AND($B185&lt;&gt;"",$C185&lt;&gt;""),"Escriba la subactividad en otra fila, debajo de su macroactividad"&amp;" · ","")&amp;IF(AND($S185="Sub",N($R185)=0),"Subactividad sin macroactividad arriba"&amp;" · ","")&amp;IF($D185="","Sin responsable"&amp;" · ","")&amp;IF($E185="","Sin fecha de inicio"&amp;" · ","")&amp;IF($F185="","Sin fecha límite"&amp;" · ","")&amp;IF(OR(AND($E185&lt;&gt;"",NOT(ISNUMBER($E185))),AND($F185&lt;&gt;"",NOT(ISNUMBER($F185)))),"Fecha no válida"&amp;" · ","")&amp;IF(AND(ISNUMBER($E185),ISNUMBER($F185),$E185&gt;$F185),"Inicio posterior a fecha límite"&amp;" · ","")&amp;IF(AND($S185="Macro",$G185=""),"Peso vacío"&amp;" · ","")&amp;IF(AND($S185="Macro",$G185&lt;&gt;"",OR(NOT(ISNUMBER($G185)),$G185&lt;=0,$G185&gt;1)),"Peso fuera de rango"&amp;" · ","")&amp;IF(AND($S185="Sub",$G185&lt;&gt;""),"Las subactividades no llevan peso"&amp;" · ","")&amp;IF(AND($S185="Macro",ABS(SUMIFS($G$5:$G$1000,$P$5:$P$1000,$P185,$S$5:$S$1000,"Macro")-1)&gt;0.0001),"Pesos del mes suman "&amp;TEXT(SUMIFS($G$5:$G$1000,$P$5:$P$1000,$P185,$S$5:$S$1000,"Macro"),"0%")&amp;" · ","")&amp;IF(AND(N($T185)&gt;0,COUNT($H185:$K185)&gt;0),"Con subactividades: deje vacías las semanas (se calculan solas)"&amp;" · ","")&amp;IF((COUNTIF($H185:$K185,"&gt;1")+COUNTIF($H185:$K185,"&lt;0")+COUNTA($H185:$K185)-COUNT($H185:$K185))&gt;0,"Avance fuera de rango 0-100%"&amp;" · ","")&amp;IF(OR(AND($I185&lt;&gt;"",$I185&lt;$H185),AND($J185&lt;&gt;"",$J185&lt;MAX($H185:$I185)),AND($K185&lt;&gt;"",$K185&lt;MAX($H185:$J185))),"Avance semanal decreciente"&amp;" · ","")&amp;IF(AND(ISNUMBER($F185),$F185&lt;FechaRef,N($L185)&lt;1),"Vencida"&amp;" · ","")&amp;IF(AND(ObsObligatoria="Sí",ISNUMBER($F185),$F185&lt;FechaRef,N($L185)&lt;1,$N185=""),"Vencida sin observación"&amp;" · ",""),LEN(IF(AND($S185="Macro",$B185=""),"Macroactividad vacía"&amp;" · ","")&amp;IF(AND($B185&lt;&gt;"",$C185&lt;&gt;""),"Escriba la subactividad en otra fila, debajo de su macroactividad"&amp;" · ","")&amp;IF(AND($S185="Sub",N($R185)=0),"Subactividad sin macroactividad arriba"&amp;" · ","")&amp;IF($D185="","Sin responsable"&amp;" · ","")&amp;IF($E185="","Sin fecha de inicio"&amp;" · ","")&amp;IF($F185="","Sin fecha límite"&amp;" · ","")&amp;IF(OR(AND($E185&lt;&gt;"",NOT(ISNUMBER($E185))),AND($F185&lt;&gt;"",NOT(ISNUMBER($F185)))),"Fecha no válida"&amp;" · ","")&amp;IF(AND(ISNUMBER($E185),ISNUMBER($F185),$E185&gt;$F185),"Inicio posterior a fecha límite"&amp;" · ","")&amp;IF(AND($S185="Macro",$G185=""),"Peso vacío"&amp;" · ","")&amp;IF(AND($S185="Macro",$G185&lt;&gt;"",OR(NOT(ISNUMBER($G185)),$G185&lt;=0,$G185&gt;1)),"Peso fuera de rango"&amp;" · ","")&amp;IF(AND($S185="Sub",$G185&lt;&gt;""),"Las subactividades no llevan peso"&amp;" · ","")&amp;IF(AND($S185="Macro",ABS(SUMIFS($G$5:$G$1000,$P$5:$P$1000,$P185,$S$5:$S$1000,"Macro")-1)&gt;0.0001),"Pesos del mes suman "&amp;TEXT(SUMIFS($G$5:$G$1000,$P$5:$P$1000,$P185,$S$5:$S$1000,"Macro"),"0%")&amp;" · ","")&amp;IF(AND(N($T185)&gt;0,COUNT($H185:$K185)&gt;0),"Con subactividades: deje vacías las semanas (se calculan solas)"&amp;" · ","")&amp;IF((COUNTIF($H185:$K185,"&gt;1")+COUNTIF($H185:$K185,"&lt;0")+COUNTA($H185:$K185)-COUNT($H185:$K185))&gt;0,"Avance fuera de rango 0-100%"&amp;" · ","")&amp;IF(OR(AND($I185&lt;&gt;"",$I185&lt;$H185),AND($J185&lt;&gt;"",$J185&lt;MAX($H185:$I185)),AND($K185&lt;&gt;"",$K185&lt;MAX($H185:$J185))),"Avance semanal decreciente"&amp;" · ","")&amp;IF(AND(ISNUMBER($F185),$F185&lt;FechaRef,N($L185)&lt;1),"Vencida"&amp;" · ","")&amp;IF(AND(ObsObligatoria="Sí",ISNUMBER($F185),$F185&lt;FechaRef,N($L185)&lt;1,$N185=""),"Vencida sin observación"&amp;" · ",""))-3)))</f>
        <v/>
      </c>
      <c r="P185" s="69">
        <f>IF(NOT((COUNTA($B185:$K185)+COUNTA($N185))&gt;0),"",IF(AND($S185="Sub",N($R185)&gt;0),IF(ISNUMBER(INDEX($E$5:$E$1000,$R185-4)),DATE(YEAR(INDEX($E$5:$E$1000,$R185-4)),MONTH(INDEX($E$5:$E$1000,$R185-4)),1),IF(ISNUMBER(INDEX($F$5:$F$1000,$R185-4)),DATE(YEAR(INDEX($F$5:$F$1000,$R185-4)),MONTH(INDEX($F$5:$F$1000,$R185-4)),1),MesCiclo)),IF(ISNUMBER($E185),DATE(YEAR($E185),MONTH($E185),1),IF(ISNUMBER($F185),DATE(YEAR($F185),MONTH($F185),1),MesCiclo))))</f>
        <v/>
      </c>
      <c r="Q185" s="70">
        <f>IF(OR($P185="",$P185&lt;&gt;MesCiclo),"",COUNTIF($P$5:$P185,MesCiclo))</f>
        <v/>
      </c>
      <c r="R185" s="70">
        <f>IF($S185="","",IF($S185="Macro",ROW(),IFERROR(LOOKUP(2,1/($S$5:$S185="Macro"),ROW($S$5:$S185)),0)))</f>
        <v/>
      </c>
      <c r="S185" s="70">
        <f>IF(NOT((COUNTA($B185:$K185)+COUNTA($N185))&gt;0),"",IF($B185&lt;&gt;"","Macro",IF($C185&lt;&gt;"","Sub","Macro")))</f>
        <v/>
      </c>
      <c r="T185" s="70">
        <f>IF($S185="Macro",COUNTIFS($R$5:$R$1000,ROW(),$S$5:$S$1000,"Sub"),"")</f>
        <v/>
      </c>
      <c r="U185" s="70">
        <f>IF($S185="","",IF(ISNUMBER($H185),$H185,0))</f>
        <v/>
      </c>
      <c r="V185" s="70">
        <f>IF($S185="","",IF(ISNUMBER($I185),$I185,$U185))</f>
        <v/>
      </c>
      <c r="W185" s="70">
        <f>IF($S185="","",IF(ISNUMBER($J185),$J185,$V185))</f>
        <v/>
      </c>
      <c r="X185" s="70">
        <f>IF($S185="","",IF(ISNUMBER($K185),$K185,$W185))</f>
        <v/>
      </c>
      <c r="Y185" s="70">
        <f>IF($S185="","",IF(N($T185)&gt;0,AVERAGEIFS($U$5:$U$1000,$R$5:$R$1000,ROW(),$S$5:$S$1000,"Sub"),$U185))</f>
        <v/>
      </c>
      <c r="Z185" s="70">
        <f>IF($S185="","",IF(N($T185)&gt;0,AVERAGEIFS($V$5:$V$1000,$R$5:$R$1000,ROW(),$S$5:$S$1000,"Sub"),$V185))</f>
        <v/>
      </c>
      <c r="AA185" s="70">
        <f>IF($S185="","",IF(N($T185)&gt;0,AVERAGEIFS($W$5:$W$1000,$R$5:$R$1000,ROW(),$S$5:$S$1000,"Sub"),$W185))</f>
        <v/>
      </c>
      <c r="AB185" s="70">
        <f>IF($S185="","",IF(N($T185)&gt;0,AVERAGEIFS($X$5:$X$1000,$R$5:$R$1000,ROW(),$S$5:$S$1000,"Sub"),$X185))</f>
        <v/>
      </c>
    </row>
    <row r="186">
      <c r="A186" s="61">
        <f>IF(NOT((COUNTA($B186:$K186)+COUNTA($N186))&gt;0),"",IF($S186="Macro",COUNTIFS($S$5:$S186,"Macro",$P$5:$P186,$P186),IF(N($R186)=0,"?",COUNTIFS(INDEX($S$5:$S$1000,1):INDEX($S$5:$S$1000,$R186-4),"Macro",INDEX($P$5:$P$1000,1):INDEX($P$5:$P$1000,$R186-4),INDEX($P$5:$P$1000,$R186-4))&amp;"."&amp;COUNTIFS($R$5:$R186,$R186,$S$5:$S186,"Sub"))))</f>
        <v/>
      </c>
      <c r="B186" s="62" t="n"/>
      <c r="C186" s="63" t="n"/>
      <c r="D186" s="62" t="n"/>
      <c r="E186" s="64" t="n"/>
      <c r="F186" s="64" t="n"/>
      <c r="G186" s="65" t="n"/>
      <c r="H186" s="66" t="n"/>
      <c r="I186" s="66" t="n"/>
      <c r="J186" s="66" t="n"/>
      <c r="K186" s="66" t="n"/>
      <c r="L186" s="67">
        <f>IF(NOT((COUNTA($B186:$K186)+COUNTA($N186))&gt;0),"",IF(N($T186)&gt;0,$AB186,IFERROR(LOOKUP(2,1/(H186:K186&lt;&gt;""),H186:K186),0)))</f>
        <v/>
      </c>
      <c r="M186" s="61">
        <f>IF(L186="","",IF(L186&gt;=1,"Completado",IF(L186&gt;0,"En curso","Pendiente")))</f>
        <v/>
      </c>
      <c r="N186" s="62" t="n"/>
      <c r="O186" s="68">
        <f>IF(NOT((COUNTA($B186:$K186)+COUNTA($N186))&gt;0),"",IF((IF(AND($S186="Macro",$B186=""),"Macroactividad vacía"&amp;" · ","")&amp;IF(AND($B186&lt;&gt;"",$C186&lt;&gt;""),"Escriba la subactividad en otra fila, debajo de su macroactividad"&amp;" · ","")&amp;IF(AND($S186="Sub",N($R186)=0),"Subactividad sin macroactividad arriba"&amp;" · ","")&amp;IF($D186="","Sin responsable"&amp;" · ","")&amp;IF($E186="","Sin fecha de inicio"&amp;" · ","")&amp;IF($F186="","Sin fecha límite"&amp;" · ","")&amp;IF(OR(AND($E186&lt;&gt;"",NOT(ISNUMBER($E186))),AND($F186&lt;&gt;"",NOT(ISNUMBER($F186)))),"Fecha no válida"&amp;" · ","")&amp;IF(AND(ISNUMBER($E186),ISNUMBER($F186),$E186&gt;$F186),"Inicio posterior a fecha límite"&amp;" · ","")&amp;IF(AND($S186="Macro",$G186=""),"Peso vacío"&amp;" · ","")&amp;IF(AND($S186="Macro",$G186&lt;&gt;"",OR(NOT(ISNUMBER($G186)),$G186&lt;=0,$G186&gt;1)),"Peso fuera de rango"&amp;" · ","")&amp;IF(AND($S186="Sub",$G186&lt;&gt;""),"Las subactividades no llevan peso"&amp;" · ","")&amp;IF(AND($S186="Macro",ABS(SUMIFS($G$5:$G$1000,$P$5:$P$1000,$P186,$S$5:$S$1000,"Macro")-1)&gt;0.0001),"Pesos del mes suman "&amp;TEXT(SUMIFS($G$5:$G$1000,$P$5:$P$1000,$P186,$S$5:$S$1000,"Macro"),"0%")&amp;" · ","")&amp;IF(AND(N($T186)&gt;0,COUNT($H186:$K186)&gt;0),"Con subactividades: deje vacías las semanas (se calculan solas)"&amp;" · ","")&amp;IF((COUNTIF($H186:$K186,"&gt;1")+COUNTIF($H186:$K186,"&lt;0")+COUNTA($H186:$K186)-COUNT($H186:$K186))&gt;0,"Avance fuera de rango 0-100%"&amp;" · ","")&amp;IF(OR(AND($I186&lt;&gt;"",$I186&lt;$H186),AND($J186&lt;&gt;"",$J186&lt;MAX($H186:$I186)),AND($K186&lt;&gt;"",$K186&lt;MAX($H186:$J186))),"Avance semanal decreciente"&amp;" · ","")&amp;IF(AND(ISNUMBER($F186),$F186&lt;FechaRef,N($L186)&lt;1),"Vencida"&amp;" · ","")&amp;IF(AND(ObsObligatoria="Sí",ISNUMBER($F186),$F186&lt;FechaRef,N($L186)&lt;1,$N186=""),"Vencida sin observación"&amp;" · ",""))="","✔ OK","⚠ "&amp;LEFT(IF(AND($S186="Macro",$B186=""),"Macroactividad vacía"&amp;" · ","")&amp;IF(AND($B186&lt;&gt;"",$C186&lt;&gt;""),"Escriba la subactividad en otra fila, debajo de su macroactividad"&amp;" · ","")&amp;IF(AND($S186="Sub",N($R186)=0),"Subactividad sin macroactividad arriba"&amp;" · ","")&amp;IF($D186="","Sin responsable"&amp;" · ","")&amp;IF($E186="","Sin fecha de inicio"&amp;" · ","")&amp;IF($F186="","Sin fecha límite"&amp;" · ","")&amp;IF(OR(AND($E186&lt;&gt;"",NOT(ISNUMBER($E186))),AND($F186&lt;&gt;"",NOT(ISNUMBER($F186)))),"Fecha no válida"&amp;" · ","")&amp;IF(AND(ISNUMBER($E186),ISNUMBER($F186),$E186&gt;$F186),"Inicio posterior a fecha límite"&amp;" · ","")&amp;IF(AND($S186="Macro",$G186=""),"Peso vacío"&amp;" · ","")&amp;IF(AND($S186="Macro",$G186&lt;&gt;"",OR(NOT(ISNUMBER($G186)),$G186&lt;=0,$G186&gt;1)),"Peso fuera de rango"&amp;" · ","")&amp;IF(AND($S186="Sub",$G186&lt;&gt;""),"Las subactividades no llevan peso"&amp;" · ","")&amp;IF(AND($S186="Macro",ABS(SUMIFS($G$5:$G$1000,$P$5:$P$1000,$P186,$S$5:$S$1000,"Macro")-1)&gt;0.0001),"Pesos del mes suman "&amp;TEXT(SUMIFS($G$5:$G$1000,$P$5:$P$1000,$P186,$S$5:$S$1000,"Macro"),"0%")&amp;" · ","")&amp;IF(AND(N($T186)&gt;0,COUNT($H186:$K186)&gt;0),"Con subactividades: deje vacías las semanas (se calculan solas)"&amp;" · ","")&amp;IF((COUNTIF($H186:$K186,"&gt;1")+COUNTIF($H186:$K186,"&lt;0")+COUNTA($H186:$K186)-COUNT($H186:$K186))&gt;0,"Avance fuera de rango 0-100%"&amp;" · ","")&amp;IF(OR(AND($I186&lt;&gt;"",$I186&lt;$H186),AND($J186&lt;&gt;"",$J186&lt;MAX($H186:$I186)),AND($K186&lt;&gt;"",$K186&lt;MAX($H186:$J186))),"Avance semanal decreciente"&amp;" · ","")&amp;IF(AND(ISNUMBER($F186),$F186&lt;FechaRef,N($L186)&lt;1),"Vencida"&amp;" · ","")&amp;IF(AND(ObsObligatoria="Sí",ISNUMBER($F186),$F186&lt;FechaRef,N($L186)&lt;1,$N186=""),"Vencida sin observación"&amp;" · ",""),LEN(IF(AND($S186="Macro",$B186=""),"Macroactividad vacía"&amp;" · ","")&amp;IF(AND($B186&lt;&gt;"",$C186&lt;&gt;""),"Escriba la subactividad en otra fila, debajo de su macroactividad"&amp;" · ","")&amp;IF(AND($S186="Sub",N($R186)=0),"Subactividad sin macroactividad arriba"&amp;" · ","")&amp;IF($D186="","Sin responsable"&amp;" · ","")&amp;IF($E186="","Sin fecha de inicio"&amp;" · ","")&amp;IF($F186="","Sin fecha límite"&amp;" · ","")&amp;IF(OR(AND($E186&lt;&gt;"",NOT(ISNUMBER($E186))),AND($F186&lt;&gt;"",NOT(ISNUMBER($F186)))),"Fecha no válida"&amp;" · ","")&amp;IF(AND(ISNUMBER($E186),ISNUMBER($F186),$E186&gt;$F186),"Inicio posterior a fecha límite"&amp;" · ","")&amp;IF(AND($S186="Macro",$G186=""),"Peso vacío"&amp;" · ","")&amp;IF(AND($S186="Macro",$G186&lt;&gt;"",OR(NOT(ISNUMBER($G186)),$G186&lt;=0,$G186&gt;1)),"Peso fuera de rango"&amp;" · ","")&amp;IF(AND($S186="Sub",$G186&lt;&gt;""),"Las subactividades no llevan peso"&amp;" · ","")&amp;IF(AND($S186="Macro",ABS(SUMIFS($G$5:$G$1000,$P$5:$P$1000,$P186,$S$5:$S$1000,"Macro")-1)&gt;0.0001),"Pesos del mes suman "&amp;TEXT(SUMIFS($G$5:$G$1000,$P$5:$P$1000,$P186,$S$5:$S$1000,"Macro"),"0%")&amp;" · ","")&amp;IF(AND(N($T186)&gt;0,COUNT($H186:$K186)&gt;0),"Con subactividades: deje vacías las semanas (se calculan solas)"&amp;" · ","")&amp;IF((COUNTIF($H186:$K186,"&gt;1")+COUNTIF($H186:$K186,"&lt;0")+COUNTA($H186:$K186)-COUNT($H186:$K186))&gt;0,"Avance fuera de rango 0-100%"&amp;" · ","")&amp;IF(OR(AND($I186&lt;&gt;"",$I186&lt;$H186),AND($J186&lt;&gt;"",$J186&lt;MAX($H186:$I186)),AND($K186&lt;&gt;"",$K186&lt;MAX($H186:$J186))),"Avance semanal decreciente"&amp;" · ","")&amp;IF(AND(ISNUMBER($F186),$F186&lt;FechaRef,N($L186)&lt;1),"Vencida"&amp;" · ","")&amp;IF(AND(ObsObligatoria="Sí",ISNUMBER($F186),$F186&lt;FechaRef,N($L186)&lt;1,$N186=""),"Vencida sin observación"&amp;" · ",""))-3)))</f>
        <v/>
      </c>
      <c r="P186" s="69">
        <f>IF(NOT((COUNTA($B186:$K186)+COUNTA($N186))&gt;0),"",IF(AND($S186="Sub",N($R186)&gt;0),IF(ISNUMBER(INDEX($E$5:$E$1000,$R186-4)),DATE(YEAR(INDEX($E$5:$E$1000,$R186-4)),MONTH(INDEX($E$5:$E$1000,$R186-4)),1),IF(ISNUMBER(INDEX($F$5:$F$1000,$R186-4)),DATE(YEAR(INDEX($F$5:$F$1000,$R186-4)),MONTH(INDEX($F$5:$F$1000,$R186-4)),1),MesCiclo)),IF(ISNUMBER($E186),DATE(YEAR($E186),MONTH($E186),1),IF(ISNUMBER($F186),DATE(YEAR($F186),MONTH($F186),1),MesCiclo))))</f>
        <v/>
      </c>
      <c r="Q186" s="70">
        <f>IF(OR($P186="",$P186&lt;&gt;MesCiclo),"",COUNTIF($P$5:$P186,MesCiclo))</f>
        <v/>
      </c>
      <c r="R186" s="70">
        <f>IF($S186="","",IF($S186="Macro",ROW(),IFERROR(LOOKUP(2,1/($S$5:$S186="Macro"),ROW($S$5:$S186)),0)))</f>
        <v/>
      </c>
      <c r="S186" s="70">
        <f>IF(NOT((COUNTA($B186:$K186)+COUNTA($N186))&gt;0),"",IF($B186&lt;&gt;"","Macro",IF($C186&lt;&gt;"","Sub","Macro")))</f>
        <v/>
      </c>
      <c r="T186" s="70">
        <f>IF($S186="Macro",COUNTIFS($R$5:$R$1000,ROW(),$S$5:$S$1000,"Sub"),"")</f>
        <v/>
      </c>
      <c r="U186" s="70">
        <f>IF($S186="","",IF(ISNUMBER($H186),$H186,0))</f>
        <v/>
      </c>
      <c r="V186" s="70">
        <f>IF($S186="","",IF(ISNUMBER($I186),$I186,$U186))</f>
        <v/>
      </c>
      <c r="W186" s="70">
        <f>IF($S186="","",IF(ISNUMBER($J186),$J186,$V186))</f>
        <v/>
      </c>
      <c r="X186" s="70">
        <f>IF($S186="","",IF(ISNUMBER($K186),$K186,$W186))</f>
        <v/>
      </c>
      <c r="Y186" s="70">
        <f>IF($S186="","",IF(N($T186)&gt;0,AVERAGEIFS($U$5:$U$1000,$R$5:$R$1000,ROW(),$S$5:$S$1000,"Sub"),$U186))</f>
        <v/>
      </c>
      <c r="Z186" s="70">
        <f>IF($S186="","",IF(N($T186)&gt;0,AVERAGEIFS($V$5:$V$1000,$R$5:$R$1000,ROW(),$S$5:$S$1000,"Sub"),$V186))</f>
        <v/>
      </c>
      <c r="AA186" s="70">
        <f>IF($S186="","",IF(N($T186)&gt;0,AVERAGEIFS($W$5:$W$1000,$R$5:$R$1000,ROW(),$S$5:$S$1000,"Sub"),$W186))</f>
        <v/>
      </c>
      <c r="AB186" s="70">
        <f>IF($S186="","",IF(N($T186)&gt;0,AVERAGEIFS($X$5:$X$1000,$R$5:$R$1000,ROW(),$S$5:$S$1000,"Sub"),$X186))</f>
        <v/>
      </c>
    </row>
    <row r="187">
      <c r="A187" s="61">
        <f>IF(NOT((COUNTA($B187:$K187)+COUNTA($N187))&gt;0),"",IF($S187="Macro",COUNTIFS($S$5:$S187,"Macro",$P$5:$P187,$P187),IF(N($R187)=0,"?",COUNTIFS(INDEX($S$5:$S$1000,1):INDEX($S$5:$S$1000,$R187-4),"Macro",INDEX($P$5:$P$1000,1):INDEX($P$5:$P$1000,$R187-4),INDEX($P$5:$P$1000,$R187-4))&amp;"."&amp;COUNTIFS($R$5:$R187,$R187,$S$5:$S187,"Sub"))))</f>
        <v/>
      </c>
      <c r="B187" s="62" t="n"/>
      <c r="C187" s="63" t="n"/>
      <c r="D187" s="62" t="n"/>
      <c r="E187" s="64" t="n"/>
      <c r="F187" s="64" t="n"/>
      <c r="G187" s="65" t="n"/>
      <c r="H187" s="66" t="n"/>
      <c r="I187" s="66" t="n"/>
      <c r="J187" s="66" t="n"/>
      <c r="K187" s="66" t="n"/>
      <c r="L187" s="67">
        <f>IF(NOT((COUNTA($B187:$K187)+COUNTA($N187))&gt;0),"",IF(N($T187)&gt;0,$AB187,IFERROR(LOOKUP(2,1/(H187:K187&lt;&gt;""),H187:K187),0)))</f>
        <v/>
      </c>
      <c r="M187" s="61">
        <f>IF(L187="","",IF(L187&gt;=1,"Completado",IF(L187&gt;0,"En curso","Pendiente")))</f>
        <v/>
      </c>
      <c r="N187" s="62" t="n"/>
      <c r="O187" s="68">
        <f>IF(NOT((COUNTA($B187:$K187)+COUNTA($N187))&gt;0),"",IF((IF(AND($S187="Macro",$B187=""),"Macroactividad vacía"&amp;" · ","")&amp;IF(AND($B187&lt;&gt;"",$C187&lt;&gt;""),"Escriba la subactividad en otra fila, debajo de su macroactividad"&amp;" · ","")&amp;IF(AND($S187="Sub",N($R187)=0),"Subactividad sin macroactividad arriba"&amp;" · ","")&amp;IF($D187="","Sin responsable"&amp;" · ","")&amp;IF($E187="","Sin fecha de inicio"&amp;" · ","")&amp;IF($F187="","Sin fecha límite"&amp;" · ","")&amp;IF(OR(AND($E187&lt;&gt;"",NOT(ISNUMBER($E187))),AND($F187&lt;&gt;"",NOT(ISNUMBER($F187)))),"Fecha no válida"&amp;" · ","")&amp;IF(AND(ISNUMBER($E187),ISNUMBER($F187),$E187&gt;$F187),"Inicio posterior a fecha límite"&amp;" · ","")&amp;IF(AND($S187="Macro",$G187=""),"Peso vacío"&amp;" · ","")&amp;IF(AND($S187="Macro",$G187&lt;&gt;"",OR(NOT(ISNUMBER($G187)),$G187&lt;=0,$G187&gt;1)),"Peso fuera de rango"&amp;" · ","")&amp;IF(AND($S187="Sub",$G187&lt;&gt;""),"Las subactividades no llevan peso"&amp;" · ","")&amp;IF(AND($S187="Macro",ABS(SUMIFS($G$5:$G$1000,$P$5:$P$1000,$P187,$S$5:$S$1000,"Macro")-1)&gt;0.0001),"Pesos del mes suman "&amp;TEXT(SUMIFS($G$5:$G$1000,$P$5:$P$1000,$P187,$S$5:$S$1000,"Macro"),"0%")&amp;" · ","")&amp;IF(AND(N($T187)&gt;0,COUNT($H187:$K187)&gt;0),"Con subactividades: deje vacías las semanas (se calculan solas)"&amp;" · ","")&amp;IF((COUNTIF($H187:$K187,"&gt;1")+COUNTIF($H187:$K187,"&lt;0")+COUNTA($H187:$K187)-COUNT($H187:$K187))&gt;0,"Avance fuera de rango 0-100%"&amp;" · ","")&amp;IF(OR(AND($I187&lt;&gt;"",$I187&lt;$H187),AND($J187&lt;&gt;"",$J187&lt;MAX($H187:$I187)),AND($K187&lt;&gt;"",$K187&lt;MAX($H187:$J187))),"Avance semanal decreciente"&amp;" · ","")&amp;IF(AND(ISNUMBER($F187),$F187&lt;FechaRef,N($L187)&lt;1),"Vencida"&amp;" · ","")&amp;IF(AND(ObsObligatoria="Sí",ISNUMBER($F187),$F187&lt;FechaRef,N($L187)&lt;1,$N187=""),"Vencida sin observación"&amp;" · ",""))="","✔ OK","⚠ "&amp;LEFT(IF(AND($S187="Macro",$B187=""),"Macroactividad vacía"&amp;" · ","")&amp;IF(AND($B187&lt;&gt;"",$C187&lt;&gt;""),"Escriba la subactividad en otra fila, debajo de su macroactividad"&amp;" · ","")&amp;IF(AND($S187="Sub",N($R187)=0),"Subactividad sin macroactividad arriba"&amp;" · ","")&amp;IF($D187="","Sin responsable"&amp;" · ","")&amp;IF($E187="","Sin fecha de inicio"&amp;" · ","")&amp;IF($F187="","Sin fecha límite"&amp;" · ","")&amp;IF(OR(AND($E187&lt;&gt;"",NOT(ISNUMBER($E187))),AND($F187&lt;&gt;"",NOT(ISNUMBER($F187)))),"Fecha no válida"&amp;" · ","")&amp;IF(AND(ISNUMBER($E187),ISNUMBER($F187),$E187&gt;$F187),"Inicio posterior a fecha límite"&amp;" · ","")&amp;IF(AND($S187="Macro",$G187=""),"Peso vacío"&amp;" · ","")&amp;IF(AND($S187="Macro",$G187&lt;&gt;"",OR(NOT(ISNUMBER($G187)),$G187&lt;=0,$G187&gt;1)),"Peso fuera de rango"&amp;" · ","")&amp;IF(AND($S187="Sub",$G187&lt;&gt;""),"Las subactividades no llevan peso"&amp;" · ","")&amp;IF(AND($S187="Macro",ABS(SUMIFS($G$5:$G$1000,$P$5:$P$1000,$P187,$S$5:$S$1000,"Macro")-1)&gt;0.0001),"Pesos del mes suman "&amp;TEXT(SUMIFS($G$5:$G$1000,$P$5:$P$1000,$P187,$S$5:$S$1000,"Macro"),"0%")&amp;" · ","")&amp;IF(AND(N($T187)&gt;0,COUNT($H187:$K187)&gt;0),"Con subactividades: deje vacías las semanas (se calculan solas)"&amp;" · ","")&amp;IF((COUNTIF($H187:$K187,"&gt;1")+COUNTIF($H187:$K187,"&lt;0")+COUNTA($H187:$K187)-COUNT($H187:$K187))&gt;0,"Avance fuera de rango 0-100%"&amp;" · ","")&amp;IF(OR(AND($I187&lt;&gt;"",$I187&lt;$H187),AND($J187&lt;&gt;"",$J187&lt;MAX($H187:$I187)),AND($K187&lt;&gt;"",$K187&lt;MAX($H187:$J187))),"Avance semanal decreciente"&amp;" · ","")&amp;IF(AND(ISNUMBER($F187),$F187&lt;FechaRef,N($L187)&lt;1),"Vencida"&amp;" · ","")&amp;IF(AND(ObsObligatoria="Sí",ISNUMBER($F187),$F187&lt;FechaRef,N($L187)&lt;1,$N187=""),"Vencida sin observación"&amp;" · ",""),LEN(IF(AND($S187="Macro",$B187=""),"Macroactividad vacía"&amp;" · ","")&amp;IF(AND($B187&lt;&gt;"",$C187&lt;&gt;""),"Escriba la subactividad en otra fila, debajo de su macroactividad"&amp;" · ","")&amp;IF(AND($S187="Sub",N($R187)=0),"Subactividad sin macroactividad arriba"&amp;" · ","")&amp;IF($D187="","Sin responsable"&amp;" · ","")&amp;IF($E187="","Sin fecha de inicio"&amp;" · ","")&amp;IF($F187="","Sin fecha límite"&amp;" · ","")&amp;IF(OR(AND($E187&lt;&gt;"",NOT(ISNUMBER($E187))),AND($F187&lt;&gt;"",NOT(ISNUMBER($F187)))),"Fecha no válida"&amp;" · ","")&amp;IF(AND(ISNUMBER($E187),ISNUMBER($F187),$E187&gt;$F187),"Inicio posterior a fecha límite"&amp;" · ","")&amp;IF(AND($S187="Macro",$G187=""),"Peso vacío"&amp;" · ","")&amp;IF(AND($S187="Macro",$G187&lt;&gt;"",OR(NOT(ISNUMBER($G187)),$G187&lt;=0,$G187&gt;1)),"Peso fuera de rango"&amp;" · ","")&amp;IF(AND($S187="Sub",$G187&lt;&gt;""),"Las subactividades no llevan peso"&amp;" · ","")&amp;IF(AND($S187="Macro",ABS(SUMIFS($G$5:$G$1000,$P$5:$P$1000,$P187,$S$5:$S$1000,"Macro")-1)&gt;0.0001),"Pesos del mes suman "&amp;TEXT(SUMIFS($G$5:$G$1000,$P$5:$P$1000,$P187,$S$5:$S$1000,"Macro"),"0%")&amp;" · ","")&amp;IF(AND(N($T187)&gt;0,COUNT($H187:$K187)&gt;0),"Con subactividades: deje vacías las semanas (se calculan solas)"&amp;" · ","")&amp;IF((COUNTIF($H187:$K187,"&gt;1")+COUNTIF($H187:$K187,"&lt;0")+COUNTA($H187:$K187)-COUNT($H187:$K187))&gt;0,"Avance fuera de rango 0-100%"&amp;" · ","")&amp;IF(OR(AND($I187&lt;&gt;"",$I187&lt;$H187),AND($J187&lt;&gt;"",$J187&lt;MAX($H187:$I187)),AND($K187&lt;&gt;"",$K187&lt;MAX($H187:$J187))),"Avance semanal decreciente"&amp;" · ","")&amp;IF(AND(ISNUMBER($F187),$F187&lt;FechaRef,N($L187)&lt;1),"Vencida"&amp;" · ","")&amp;IF(AND(ObsObligatoria="Sí",ISNUMBER($F187),$F187&lt;FechaRef,N($L187)&lt;1,$N187=""),"Vencida sin observación"&amp;" · ",""))-3)))</f>
        <v/>
      </c>
      <c r="P187" s="69">
        <f>IF(NOT((COUNTA($B187:$K187)+COUNTA($N187))&gt;0),"",IF(AND($S187="Sub",N($R187)&gt;0),IF(ISNUMBER(INDEX($E$5:$E$1000,$R187-4)),DATE(YEAR(INDEX($E$5:$E$1000,$R187-4)),MONTH(INDEX($E$5:$E$1000,$R187-4)),1),IF(ISNUMBER(INDEX($F$5:$F$1000,$R187-4)),DATE(YEAR(INDEX($F$5:$F$1000,$R187-4)),MONTH(INDEX($F$5:$F$1000,$R187-4)),1),MesCiclo)),IF(ISNUMBER($E187),DATE(YEAR($E187),MONTH($E187),1),IF(ISNUMBER($F187),DATE(YEAR($F187),MONTH($F187),1),MesCiclo))))</f>
        <v/>
      </c>
      <c r="Q187" s="70">
        <f>IF(OR($P187="",$P187&lt;&gt;MesCiclo),"",COUNTIF($P$5:$P187,MesCiclo))</f>
        <v/>
      </c>
      <c r="R187" s="70">
        <f>IF($S187="","",IF($S187="Macro",ROW(),IFERROR(LOOKUP(2,1/($S$5:$S187="Macro"),ROW($S$5:$S187)),0)))</f>
        <v/>
      </c>
      <c r="S187" s="70">
        <f>IF(NOT((COUNTA($B187:$K187)+COUNTA($N187))&gt;0),"",IF($B187&lt;&gt;"","Macro",IF($C187&lt;&gt;"","Sub","Macro")))</f>
        <v/>
      </c>
      <c r="T187" s="70">
        <f>IF($S187="Macro",COUNTIFS($R$5:$R$1000,ROW(),$S$5:$S$1000,"Sub"),"")</f>
        <v/>
      </c>
      <c r="U187" s="70">
        <f>IF($S187="","",IF(ISNUMBER($H187),$H187,0))</f>
        <v/>
      </c>
      <c r="V187" s="70">
        <f>IF($S187="","",IF(ISNUMBER($I187),$I187,$U187))</f>
        <v/>
      </c>
      <c r="W187" s="70">
        <f>IF($S187="","",IF(ISNUMBER($J187),$J187,$V187))</f>
        <v/>
      </c>
      <c r="X187" s="70">
        <f>IF($S187="","",IF(ISNUMBER($K187),$K187,$W187))</f>
        <v/>
      </c>
      <c r="Y187" s="70">
        <f>IF($S187="","",IF(N($T187)&gt;0,AVERAGEIFS($U$5:$U$1000,$R$5:$R$1000,ROW(),$S$5:$S$1000,"Sub"),$U187))</f>
        <v/>
      </c>
      <c r="Z187" s="70">
        <f>IF($S187="","",IF(N($T187)&gt;0,AVERAGEIFS($V$5:$V$1000,$R$5:$R$1000,ROW(),$S$5:$S$1000,"Sub"),$V187))</f>
        <v/>
      </c>
      <c r="AA187" s="70">
        <f>IF($S187="","",IF(N($T187)&gt;0,AVERAGEIFS($W$5:$W$1000,$R$5:$R$1000,ROW(),$S$5:$S$1000,"Sub"),$W187))</f>
        <v/>
      </c>
      <c r="AB187" s="70">
        <f>IF($S187="","",IF(N($T187)&gt;0,AVERAGEIFS($X$5:$X$1000,$R$5:$R$1000,ROW(),$S$5:$S$1000,"Sub"),$X187))</f>
        <v/>
      </c>
    </row>
    <row r="188">
      <c r="A188" s="61">
        <f>IF(NOT((COUNTA($B188:$K188)+COUNTA($N188))&gt;0),"",IF($S188="Macro",COUNTIFS($S$5:$S188,"Macro",$P$5:$P188,$P188),IF(N($R188)=0,"?",COUNTIFS(INDEX($S$5:$S$1000,1):INDEX($S$5:$S$1000,$R188-4),"Macro",INDEX($P$5:$P$1000,1):INDEX($P$5:$P$1000,$R188-4),INDEX($P$5:$P$1000,$R188-4))&amp;"."&amp;COUNTIFS($R$5:$R188,$R188,$S$5:$S188,"Sub"))))</f>
        <v/>
      </c>
      <c r="B188" s="62" t="n"/>
      <c r="C188" s="63" t="n"/>
      <c r="D188" s="62" t="n"/>
      <c r="E188" s="64" t="n"/>
      <c r="F188" s="64" t="n"/>
      <c r="G188" s="65" t="n"/>
      <c r="H188" s="66" t="n"/>
      <c r="I188" s="66" t="n"/>
      <c r="J188" s="66" t="n"/>
      <c r="K188" s="66" t="n"/>
      <c r="L188" s="67">
        <f>IF(NOT((COUNTA($B188:$K188)+COUNTA($N188))&gt;0),"",IF(N($T188)&gt;0,$AB188,IFERROR(LOOKUP(2,1/(H188:K188&lt;&gt;""),H188:K188),0)))</f>
        <v/>
      </c>
      <c r="M188" s="61">
        <f>IF(L188="","",IF(L188&gt;=1,"Completado",IF(L188&gt;0,"En curso","Pendiente")))</f>
        <v/>
      </c>
      <c r="N188" s="62" t="n"/>
      <c r="O188" s="68">
        <f>IF(NOT((COUNTA($B188:$K188)+COUNTA($N188))&gt;0),"",IF((IF(AND($S188="Macro",$B188=""),"Macroactividad vacía"&amp;" · ","")&amp;IF(AND($B188&lt;&gt;"",$C188&lt;&gt;""),"Escriba la subactividad en otra fila, debajo de su macroactividad"&amp;" · ","")&amp;IF(AND($S188="Sub",N($R188)=0),"Subactividad sin macroactividad arriba"&amp;" · ","")&amp;IF($D188="","Sin responsable"&amp;" · ","")&amp;IF($E188="","Sin fecha de inicio"&amp;" · ","")&amp;IF($F188="","Sin fecha límite"&amp;" · ","")&amp;IF(OR(AND($E188&lt;&gt;"",NOT(ISNUMBER($E188))),AND($F188&lt;&gt;"",NOT(ISNUMBER($F188)))),"Fecha no válida"&amp;" · ","")&amp;IF(AND(ISNUMBER($E188),ISNUMBER($F188),$E188&gt;$F188),"Inicio posterior a fecha límite"&amp;" · ","")&amp;IF(AND($S188="Macro",$G188=""),"Peso vacío"&amp;" · ","")&amp;IF(AND($S188="Macro",$G188&lt;&gt;"",OR(NOT(ISNUMBER($G188)),$G188&lt;=0,$G188&gt;1)),"Peso fuera de rango"&amp;" · ","")&amp;IF(AND($S188="Sub",$G188&lt;&gt;""),"Las subactividades no llevan peso"&amp;" · ","")&amp;IF(AND($S188="Macro",ABS(SUMIFS($G$5:$G$1000,$P$5:$P$1000,$P188,$S$5:$S$1000,"Macro")-1)&gt;0.0001),"Pesos del mes suman "&amp;TEXT(SUMIFS($G$5:$G$1000,$P$5:$P$1000,$P188,$S$5:$S$1000,"Macro"),"0%")&amp;" · ","")&amp;IF(AND(N($T188)&gt;0,COUNT($H188:$K188)&gt;0),"Con subactividades: deje vacías las semanas (se calculan solas)"&amp;" · ","")&amp;IF((COUNTIF($H188:$K188,"&gt;1")+COUNTIF($H188:$K188,"&lt;0")+COUNTA($H188:$K188)-COUNT($H188:$K188))&gt;0,"Avance fuera de rango 0-100%"&amp;" · ","")&amp;IF(OR(AND($I188&lt;&gt;"",$I188&lt;$H188),AND($J188&lt;&gt;"",$J188&lt;MAX($H188:$I188)),AND($K188&lt;&gt;"",$K188&lt;MAX($H188:$J188))),"Avance semanal decreciente"&amp;" · ","")&amp;IF(AND(ISNUMBER($F188),$F188&lt;FechaRef,N($L188)&lt;1),"Vencida"&amp;" · ","")&amp;IF(AND(ObsObligatoria="Sí",ISNUMBER($F188),$F188&lt;FechaRef,N($L188)&lt;1,$N188=""),"Vencida sin observación"&amp;" · ",""))="","✔ OK","⚠ "&amp;LEFT(IF(AND($S188="Macro",$B188=""),"Macroactividad vacía"&amp;" · ","")&amp;IF(AND($B188&lt;&gt;"",$C188&lt;&gt;""),"Escriba la subactividad en otra fila, debajo de su macroactividad"&amp;" · ","")&amp;IF(AND($S188="Sub",N($R188)=0),"Subactividad sin macroactividad arriba"&amp;" · ","")&amp;IF($D188="","Sin responsable"&amp;" · ","")&amp;IF($E188="","Sin fecha de inicio"&amp;" · ","")&amp;IF($F188="","Sin fecha límite"&amp;" · ","")&amp;IF(OR(AND($E188&lt;&gt;"",NOT(ISNUMBER($E188))),AND($F188&lt;&gt;"",NOT(ISNUMBER($F188)))),"Fecha no válida"&amp;" · ","")&amp;IF(AND(ISNUMBER($E188),ISNUMBER($F188),$E188&gt;$F188),"Inicio posterior a fecha límite"&amp;" · ","")&amp;IF(AND($S188="Macro",$G188=""),"Peso vacío"&amp;" · ","")&amp;IF(AND($S188="Macro",$G188&lt;&gt;"",OR(NOT(ISNUMBER($G188)),$G188&lt;=0,$G188&gt;1)),"Peso fuera de rango"&amp;" · ","")&amp;IF(AND($S188="Sub",$G188&lt;&gt;""),"Las subactividades no llevan peso"&amp;" · ","")&amp;IF(AND($S188="Macro",ABS(SUMIFS($G$5:$G$1000,$P$5:$P$1000,$P188,$S$5:$S$1000,"Macro")-1)&gt;0.0001),"Pesos del mes suman "&amp;TEXT(SUMIFS($G$5:$G$1000,$P$5:$P$1000,$P188,$S$5:$S$1000,"Macro"),"0%")&amp;" · ","")&amp;IF(AND(N($T188)&gt;0,COUNT($H188:$K188)&gt;0),"Con subactividades: deje vacías las semanas (se calculan solas)"&amp;" · ","")&amp;IF((COUNTIF($H188:$K188,"&gt;1")+COUNTIF($H188:$K188,"&lt;0")+COUNTA($H188:$K188)-COUNT($H188:$K188))&gt;0,"Avance fuera de rango 0-100%"&amp;" · ","")&amp;IF(OR(AND($I188&lt;&gt;"",$I188&lt;$H188),AND($J188&lt;&gt;"",$J188&lt;MAX($H188:$I188)),AND($K188&lt;&gt;"",$K188&lt;MAX($H188:$J188))),"Avance semanal decreciente"&amp;" · ","")&amp;IF(AND(ISNUMBER($F188),$F188&lt;FechaRef,N($L188)&lt;1),"Vencida"&amp;" · ","")&amp;IF(AND(ObsObligatoria="Sí",ISNUMBER($F188),$F188&lt;FechaRef,N($L188)&lt;1,$N188=""),"Vencida sin observación"&amp;" · ",""),LEN(IF(AND($S188="Macro",$B188=""),"Macroactividad vacía"&amp;" · ","")&amp;IF(AND($B188&lt;&gt;"",$C188&lt;&gt;""),"Escriba la subactividad en otra fila, debajo de su macroactividad"&amp;" · ","")&amp;IF(AND($S188="Sub",N($R188)=0),"Subactividad sin macroactividad arriba"&amp;" · ","")&amp;IF($D188="","Sin responsable"&amp;" · ","")&amp;IF($E188="","Sin fecha de inicio"&amp;" · ","")&amp;IF($F188="","Sin fecha límite"&amp;" · ","")&amp;IF(OR(AND($E188&lt;&gt;"",NOT(ISNUMBER($E188))),AND($F188&lt;&gt;"",NOT(ISNUMBER($F188)))),"Fecha no válida"&amp;" · ","")&amp;IF(AND(ISNUMBER($E188),ISNUMBER($F188),$E188&gt;$F188),"Inicio posterior a fecha límite"&amp;" · ","")&amp;IF(AND($S188="Macro",$G188=""),"Peso vacío"&amp;" · ","")&amp;IF(AND($S188="Macro",$G188&lt;&gt;"",OR(NOT(ISNUMBER($G188)),$G188&lt;=0,$G188&gt;1)),"Peso fuera de rango"&amp;" · ","")&amp;IF(AND($S188="Sub",$G188&lt;&gt;""),"Las subactividades no llevan peso"&amp;" · ","")&amp;IF(AND($S188="Macro",ABS(SUMIFS($G$5:$G$1000,$P$5:$P$1000,$P188,$S$5:$S$1000,"Macro")-1)&gt;0.0001),"Pesos del mes suman "&amp;TEXT(SUMIFS($G$5:$G$1000,$P$5:$P$1000,$P188,$S$5:$S$1000,"Macro"),"0%")&amp;" · ","")&amp;IF(AND(N($T188)&gt;0,COUNT($H188:$K188)&gt;0),"Con subactividades: deje vacías las semanas (se calculan solas)"&amp;" · ","")&amp;IF((COUNTIF($H188:$K188,"&gt;1")+COUNTIF($H188:$K188,"&lt;0")+COUNTA($H188:$K188)-COUNT($H188:$K188))&gt;0,"Avance fuera de rango 0-100%"&amp;" · ","")&amp;IF(OR(AND($I188&lt;&gt;"",$I188&lt;$H188),AND($J188&lt;&gt;"",$J188&lt;MAX($H188:$I188)),AND($K188&lt;&gt;"",$K188&lt;MAX($H188:$J188))),"Avance semanal decreciente"&amp;" · ","")&amp;IF(AND(ISNUMBER($F188),$F188&lt;FechaRef,N($L188)&lt;1),"Vencida"&amp;" · ","")&amp;IF(AND(ObsObligatoria="Sí",ISNUMBER($F188),$F188&lt;FechaRef,N($L188)&lt;1,$N188=""),"Vencida sin observación"&amp;" · ",""))-3)))</f>
        <v/>
      </c>
      <c r="P188" s="69">
        <f>IF(NOT((COUNTA($B188:$K188)+COUNTA($N188))&gt;0),"",IF(AND($S188="Sub",N($R188)&gt;0),IF(ISNUMBER(INDEX($E$5:$E$1000,$R188-4)),DATE(YEAR(INDEX($E$5:$E$1000,$R188-4)),MONTH(INDEX($E$5:$E$1000,$R188-4)),1),IF(ISNUMBER(INDEX($F$5:$F$1000,$R188-4)),DATE(YEAR(INDEX($F$5:$F$1000,$R188-4)),MONTH(INDEX($F$5:$F$1000,$R188-4)),1),MesCiclo)),IF(ISNUMBER($E188),DATE(YEAR($E188),MONTH($E188),1),IF(ISNUMBER($F188),DATE(YEAR($F188),MONTH($F188),1),MesCiclo))))</f>
        <v/>
      </c>
      <c r="Q188" s="70">
        <f>IF(OR($P188="",$P188&lt;&gt;MesCiclo),"",COUNTIF($P$5:$P188,MesCiclo))</f>
        <v/>
      </c>
      <c r="R188" s="70">
        <f>IF($S188="","",IF($S188="Macro",ROW(),IFERROR(LOOKUP(2,1/($S$5:$S188="Macro"),ROW($S$5:$S188)),0)))</f>
        <v/>
      </c>
      <c r="S188" s="70">
        <f>IF(NOT((COUNTA($B188:$K188)+COUNTA($N188))&gt;0),"",IF($B188&lt;&gt;"","Macro",IF($C188&lt;&gt;"","Sub","Macro")))</f>
        <v/>
      </c>
      <c r="T188" s="70">
        <f>IF($S188="Macro",COUNTIFS($R$5:$R$1000,ROW(),$S$5:$S$1000,"Sub"),"")</f>
        <v/>
      </c>
      <c r="U188" s="70">
        <f>IF($S188="","",IF(ISNUMBER($H188),$H188,0))</f>
        <v/>
      </c>
      <c r="V188" s="70">
        <f>IF($S188="","",IF(ISNUMBER($I188),$I188,$U188))</f>
        <v/>
      </c>
      <c r="W188" s="70">
        <f>IF($S188="","",IF(ISNUMBER($J188),$J188,$V188))</f>
        <v/>
      </c>
      <c r="X188" s="70">
        <f>IF($S188="","",IF(ISNUMBER($K188),$K188,$W188))</f>
        <v/>
      </c>
      <c r="Y188" s="70">
        <f>IF($S188="","",IF(N($T188)&gt;0,AVERAGEIFS($U$5:$U$1000,$R$5:$R$1000,ROW(),$S$5:$S$1000,"Sub"),$U188))</f>
        <v/>
      </c>
      <c r="Z188" s="70">
        <f>IF($S188="","",IF(N($T188)&gt;0,AVERAGEIFS($V$5:$V$1000,$R$5:$R$1000,ROW(),$S$5:$S$1000,"Sub"),$V188))</f>
        <v/>
      </c>
      <c r="AA188" s="70">
        <f>IF($S188="","",IF(N($T188)&gt;0,AVERAGEIFS($W$5:$W$1000,$R$5:$R$1000,ROW(),$S$5:$S$1000,"Sub"),$W188))</f>
        <v/>
      </c>
      <c r="AB188" s="70">
        <f>IF($S188="","",IF(N($T188)&gt;0,AVERAGEIFS($X$5:$X$1000,$R$5:$R$1000,ROW(),$S$5:$S$1000,"Sub"),$X188))</f>
        <v/>
      </c>
    </row>
    <row r="189">
      <c r="A189" s="61">
        <f>IF(NOT((COUNTA($B189:$K189)+COUNTA($N189))&gt;0),"",IF($S189="Macro",COUNTIFS($S$5:$S189,"Macro",$P$5:$P189,$P189),IF(N($R189)=0,"?",COUNTIFS(INDEX($S$5:$S$1000,1):INDEX($S$5:$S$1000,$R189-4),"Macro",INDEX($P$5:$P$1000,1):INDEX($P$5:$P$1000,$R189-4),INDEX($P$5:$P$1000,$R189-4))&amp;"."&amp;COUNTIFS($R$5:$R189,$R189,$S$5:$S189,"Sub"))))</f>
        <v/>
      </c>
      <c r="B189" s="62" t="n"/>
      <c r="C189" s="63" t="n"/>
      <c r="D189" s="62" t="n"/>
      <c r="E189" s="64" t="n"/>
      <c r="F189" s="64" t="n"/>
      <c r="G189" s="65" t="n"/>
      <c r="H189" s="66" t="n"/>
      <c r="I189" s="66" t="n"/>
      <c r="J189" s="66" t="n"/>
      <c r="K189" s="66" t="n"/>
      <c r="L189" s="67">
        <f>IF(NOT((COUNTA($B189:$K189)+COUNTA($N189))&gt;0),"",IF(N($T189)&gt;0,$AB189,IFERROR(LOOKUP(2,1/(H189:K189&lt;&gt;""),H189:K189),0)))</f>
        <v/>
      </c>
      <c r="M189" s="61">
        <f>IF(L189="","",IF(L189&gt;=1,"Completado",IF(L189&gt;0,"En curso","Pendiente")))</f>
        <v/>
      </c>
      <c r="N189" s="62" t="n"/>
      <c r="O189" s="68">
        <f>IF(NOT((COUNTA($B189:$K189)+COUNTA($N189))&gt;0),"",IF((IF(AND($S189="Macro",$B189=""),"Macroactividad vacía"&amp;" · ","")&amp;IF(AND($B189&lt;&gt;"",$C189&lt;&gt;""),"Escriba la subactividad en otra fila, debajo de su macroactividad"&amp;" · ","")&amp;IF(AND($S189="Sub",N($R189)=0),"Subactividad sin macroactividad arriba"&amp;" · ","")&amp;IF($D189="","Sin responsable"&amp;" · ","")&amp;IF($E189="","Sin fecha de inicio"&amp;" · ","")&amp;IF($F189="","Sin fecha límite"&amp;" · ","")&amp;IF(OR(AND($E189&lt;&gt;"",NOT(ISNUMBER($E189))),AND($F189&lt;&gt;"",NOT(ISNUMBER($F189)))),"Fecha no válida"&amp;" · ","")&amp;IF(AND(ISNUMBER($E189),ISNUMBER($F189),$E189&gt;$F189),"Inicio posterior a fecha límite"&amp;" · ","")&amp;IF(AND($S189="Macro",$G189=""),"Peso vacío"&amp;" · ","")&amp;IF(AND($S189="Macro",$G189&lt;&gt;"",OR(NOT(ISNUMBER($G189)),$G189&lt;=0,$G189&gt;1)),"Peso fuera de rango"&amp;" · ","")&amp;IF(AND($S189="Sub",$G189&lt;&gt;""),"Las subactividades no llevan peso"&amp;" · ","")&amp;IF(AND($S189="Macro",ABS(SUMIFS($G$5:$G$1000,$P$5:$P$1000,$P189,$S$5:$S$1000,"Macro")-1)&gt;0.0001),"Pesos del mes suman "&amp;TEXT(SUMIFS($G$5:$G$1000,$P$5:$P$1000,$P189,$S$5:$S$1000,"Macro"),"0%")&amp;" · ","")&amp;IF(AND(N($T189)&gt;0,COUNT($H189:$K189)&gt;0),"Con subactividades: deje vacías las semanas (se calculan solas)"&amp;" · ","")&amp;IF((COUNTIF($H189:$K189,"&gt;1")+COUNTIF($H189:$K189,"&lt;0")+COUNTA($H189:$K189)-COUNT($H189:$K189))&gt;0,"Avance fuera de rango 0-100%"&amp;" · ","")&amp;IF(OR(AND($I189&lt;&gt;"",$I189&lt;$H189),AND($J189&lt;&gt;"",$J189&lt;MAX($H189:$I189)),AND($K189&lt;&gt;"",$K189&lt;MAX($H189:$J189))),"Avance semanal decreciente"&amp;" · ","")&amp;IF(AND(ISNUMBER($F189),$F189&lt;FechaRef,N($L189)&lt;1),"Vencida"&amp;" · ","")&amp;IF(AND(ObsObligatoria="Sí",ISNUMBER($F189),$F189&lt;FechaRef,N($L189)&lt;1,$N189=""),"Vencida sin observación"&amp;" · ",""))="","✔ OK","⚠ "&amp;LEFT(IF(AND($S189="Macro",$B189=""),"Macroactividad vacía"&amp;" · ","")&amp;IF(AND($B189&lt;&gt;"",$C189&lt;&gt;""),"Escriba la subactividad en otra fila, debajo de su macroactividad"&amp;" · ","")&amp;IF(AND($S189="Sub",N($R189)=0),"Subactividad sin macroactividad arriba"&amp;" · ","")&amp;IF($D189="","Sin responsable"&amp;" · ","")&amp;IF($E189="","Sin fecha de inicio"&amp;" · ","")&amp;IF($F189="","Sin fecha límite"&amp;" · ","")&amp;IF(OR(AND($E189&lt;&gt;"",NOT(ISNUMBER($E189))),AND($F189&lt;&gt;"",NOT(ISNUMBER($F189)))),"Fecha no válida"&amp;" · ","")&amp;IF(AND(ISNUMBER($E189),ISNUMBER($F189),$E189&gt;$F189),"Inicio posterior a fecha límite"&amp;" · ","")&amp;IF(AND($S189="Macro",$G189=""),"Peso vacío"&amp;" · ","")&amp;IF(AND($S189="Macro",$G189&lt;&gt;"",OR(NOT(ISNUMBER($G189)),$G189&lt;=0,$G189&gt;1)),"Peso fuera de rango"&amp;" · ","")&amp;IF(AND($S189="Sub",$G189&lt;&gt;""),"Las subactividades no llevan peso"&amp;" · ","")&amp;IF(AND($S189="Macro",ABS(SUMIFS($G$5:$G$1000,$P$5:$P$1000,$P189,$S$5:$S$1000,"Macro")-1)&gt;0.0001),"Pesos del mes suman "&amp;TEXT(SUMIFS($G$5:$G$1000,$P$5:$P$1000,$P189,$S$5:$S$1000,"Macro"),"0%")&amp;" · ","")&amp;IF(AND(N($T189)&gt;0,COUNT($H189:$K189)&gt;0),"Con subactividades: deje vacías las semanas (se calculan solas)"&amp;" · ","")&amp;IF((COUNTIF($H189:$K189,"&gt;1")+COUNTIF($H189:$K189,"&lt;0")+COUNTA($H189:$K189)-COUNT($H189:$K189))&gt;0,"Avance fuera de rango 0-100%"&amp;" · ","")&amp;IF(OR(AND($I189&lt;&gt;"",$I189&lt;$H189),AND($J189&lt;&gt;"",$J189&lt;MAX($H189:$I189)),AND($K189&lt;&gt;"",$K189&lt;MAX($H189:$J189))),"Avance semanal decreciente"&amp;" · ","")&amp;IF(AND(ISNUMBER($F189),$F189&lt;FechaRef,N($L189)&lt;1),"Vencida"&amp;" · ","")&amp;IF(AND(ObsObligatoria="Sí",ISNUMBER($F189),$F189&lt;FechaRef,N($L189)&lt;1,$N189=""),"Vencida sin observación"&amp;" · ",""),LEN(IF(AND($S189="Macro",$B189=""),"Macroactividad vacía"&amp;" · ","")&amp;IF(AND($B189&lt;&gt;"",$C189&lt;&gt;""),"Escriba la subactividad en otra fila, debajo de su macroactividad"&amp;" · ","")&amp;IF(AND($S189="Sub",N($R189)=0),"Subactividad sin macroactividad arriba"&amp;" · ","")&amp;IF($D189="","Sin responsable"&amp;" · ","")&amp;IF($E189="","Sin fecha de inicio"&amp;" · ","")&amp;IF($F189="","Sin fecha límite"&amp;" · ","")&amp;IF(OR(AND($E189&lt;&gt;"",NOT(ISNUMBER($E189))),AND($F189&lt;&gt;"",NOT(ISNUMBER($F189)))),"Fecha no válida"&amp;" · ","")&amp;IF(AND(ISNUMBER($E189),ISNUMBER($F189),$E189&gt;$F189),"Inicio posterior a fecha límite"&amp;" · ","")&amp;IF(AND($S189="Macro",$G189=""),"Peso vacío"&amp;" · ","")&amp;IF(AND($S189="Macro",$G189&lt;&gt;"",OR(NOT(ISNUMBER($G189)),$G189&lt;=0,$G189&gt;1)),"Peso fuera de rango"&amp;" · ","")&amp;IF(AND($S189="Sub",$G189&lt;&gt;""),"Las subactividades no llevan peso"&amp;" · ","")&amp;IF(AND($S189="Macro",ABS(SUMIFS($G$5:$G$1000,$P$5:$P$1000,$P189,$S$5:$S$1000,"Macro")-1)&gt;0.0001),"Pesos del mes suman "&amp;TEXT(SUMIFS($G$5:$G$1000,$P$5:$P$1000,$P189,$S$5:$S$1000,"Macro"),"0%")&amp;" · ","")&amp;IF(AND(N($T189)&gt;0,COUNT($H189:$K189)&gt;0),"Con subactividades: deje vacías las semanas (se calculan solas)"&amp;" · ","")&amp;IF((COUNTIF($H189:$K189,"&gt;1")+COUNTIF($H189:$K189,"&lt;0")+COUNTA($H189:$K189)-COUNT($H189:$K189))&gt;0,"Avance fuera de rango 0-100%"&amp;" · ","")&amp;IF(OR(AND($I189&lt;&gt;"",$I189&lt;$H189),AND($J189&lt;&gt;"",$J189&lt;MAX($H189:$I189)),AND($K189&lt;&gt;"",$K189&lt;MAX($H189:$J189))),"Avance semanal decreciente"&amp;" · ","")&amp;IF(AND(ISNUMBER($F189),$F189&lt;FechaRef,N($L189)&lt;1),"Vencida"&amp;" · ","")&amp;IF(AND(ObsObligatoria="Sí",ISNUMBER($F189),$F189&lt;FechaRef,N($L189)&lt;1,$N189=""),"Vencida sin observación"&amp;" · ",""))-3)))</f>
        <v/>
      </c>
      <c r="P189" s="69">
        <f>IF(NOT((COUNTA($B189:$K189)+COUNTA($N189))&gt;0),"",IF(AND($S189="Sub",N($R189)&gt;0),IF(ISNUMBER(INDEX($E$5:$E$1000,$R189-4)),DATE(YEAR(INDEX($E$5:$E$1000,$R189-4)),MONTH(INDEX($E$5:$E$1000,$R189-4)),1),IF(ISNUMBER(INDEX($F$5:$F$1000,$R189-4)),DATE(YEAR(INDEX($F$5:$F$1000,$R189-4)),MONTH(INDEX($F$5:$F$1000,$R189-4)),1),MesCiclo)),IF(ISNUMBER($E189),DATE(YEAR($E189),MONTH($E189),1),IF(ISNUMBER($F189),DATE(YEAR($F189),MONTH($F189),1),MesCiclo))))</f>
        <v/>
      </c>
      <c r="Q189" s="70">
        <f>IF(OR($P189="",$P189&lt;&gt;MesCiclo),"",COUNTIF($P$5:$P189,MesCiclo))</f>
        <v/>
      </c>
      <c r="R189" s="70">
        <f>IF($S189="","",IF($S189="Macro",ROW(),IFERROR(LOOKUP(2,1/($S$5:$S189="Macro"),ROW($S$5:$S189)),0)))</f>
        <v/>
      </c>
      <c r="S189" s="70">
        <f>IF(NOT((COUNTA($B189:$K189)+COUNTA($N189))&gt;0),"",IF($B189&lt;&gt;"","Macro",IF($C189&lt;&gt;"","Sub","Macro")))</f>
        <v/>
      </c>
      <c r="T189" s="70">
        <f>IF($S189="Macro",COUNTIFS($R$5:$R$1000,ROW(),$S$5:$S$1000,"Sub"),"")</f>
        <v/>
      </c>
      <c r="U189" s="70">
        <f>IF($S189="","",IF(ISNUMBER($H189),$H189,0))</f>
        <v/>
      </c>
      <c r="V189" s="70">
        <f>IF($S189="","",IF(ISNUMBER($I189),$I189,$U189))</f>
        <v/>
      </c>
      <c r="W189" s="70">
        <f>IF($S189="","",IF(ISNUMBER($J189),$J189,$V189))</f>
        <v/>
      </c>
      <c r="X189" s="70">
        <f>IF($S189="","",IF(ISNUMBER($K189),$K189,$W189))</f>
        <v/>
      </c>
      <c r="Y189" s="70">
        <f>IF($S189="","",IF(N($T189)&gt;0,AVERAGEIFS($U$5:$U$1000,$R$5:$R$1000,ROW(),$S$5:$S$1000,"Sub"),$U189))</f>
        <v/>
      </c>
      <c r="Z189" s="70">
        <f>IF($S189="","",IF(N($T189)&gt;0,AVERAGEIFS($V$5:$V$1000,$R$5:$R$1000,ROW(),$S$5:$S$1000,"Sub"),$V189))</f>
        <v/>
      </c>
      <c r="AA189" s="70">
        <f>IF($S189="","",IF(N($T189)&gt;0,AVERAGEIFS($W$5:$W$1000,$R$5:$R$1000,ROW(),$S$5:$S$1000,"Sub"),$W189))</f>
        <v/>
      </c>
      <c r="AB189" s="70">
        <f>IF($S189="","",IF(N($T189)&gt;0,AVERAGEIFS($X$5:$X$1000,$R$5:$R$1000,ROW(),$S$5:$S$1000,"Sub"),$X189))</f>
        <v/>
      </c>
    </row>
    <row r="190">
      <c r="A190" s="61">
        <f>IF(NOT((COUNTA($B190:$K190)+COUNTA($N190))&gt;0),"",IF($S190="Macro",COUNTIFS($S$5:$S190,"Macro",$P$5:$P190,$P190),IF(N($R190)=0,"?",COUNTIFS(INDEX($S$5:$S$1000,1):INDEX($S$5:$S$1000,$R190-4),"Macro",INDEX($P$5:$P$1000,1):INDEX($P$5:$P$1000,$R190-4),INDEX($P$5:$P$1000,$R190-4))&amp;"."&amp;COUNTIFS($R$5:$R190,$R190,$S$5:$S190,"Sub"))))</f>
        <v/>
      </c>
      <c r="B190" s="62" t="n"/>
      <c r="C190" s="63" t="n"/>
      <c r="D190" s="62" t="n"/>
      <c r="E190" s="64" t="n"/>
      <c r="F190" s="64" t="n"/>
      <c r="G190" s="65" t="n"/>
      <c r="H190" s="66" t="n"/>
      <c r="I190" s="66" t="n"/>
      <c r="J190" s="66" t="n"/>
      <c r="K190" s="66" t="n"/>
      <c r="L190" s="67">
        <f>IF(NOT((COUNTA($B190:$K190)+COUNTA($N190))&gt;0),"",IF(N($T190)&gt;0,$AB190,IFERROR(LOOKUP(2,1/(H190:K190&lt;&gt;""),H190:K190),0)))</f>
        <v/>
      </c>
      <c r="M190" s="61">
        <f>IF(L190="","",IF(L190&gt;=1,"Completado",IF(L190&gt;0,"En curso","Pendiente")))</f>
        <v/>
      </c>
      <c r="N190" s="62" t="n"/>
      <c r="O190" s="68">
        <f>IF(NOT((COUNTA($B190:$K190)+COUNTA($N190))&gt;0),"",IF((IF(AND($S190="Macro",$B190=""),"Macroactividad vacía"&amp;" · ","")&amp;IF(AND($B190&lt;&gt;"",$C190&lt;&gt;""),"Escriba la subactividad en otra fila, debajo de su macroactividad"&amp;" · ","")&amp;IF(AND($S190="Sub",N($R190)=0),"Subactividad sin macroactividad arriba"&amp;" · ","")&amp;IF($D190="","Sin responsable"&amp;" · ","")&amp;IF($E190="","Sin fecha de inicio"&amp;" · ","")&amp;IF($F190="","Sin fecha límite"&amp;" · ","")&amp;IF(OR(AND($E190&lt;&gt;"",NOT(ISNUMBER($E190))),AND($F190&lt;&gt;"",NOT(ISNUMBER($F190)))),"Fecha no válida"&amp;" · ","")&amp;IF(AND(ISNUMBER($E190),ISNUMBER($F190),$E190&gt;$F190),"Inicio posterior a fecha límite"&amp;" · ","")&amp;IF(AND($S190="Macro",$G190=""),"Peso vacío"&amp;" · ","")&amp;IF(AND($S190="Macro",$G190&lt;&gt;"",OR(NOT(ISNUMBER($G190)),$G190&lt;=0,$G190&gt;1)),"Peso fuera de rango"&amp;" · ","")&amp;IF(AND($S190="Sub",$G190&lt;&gt;""),"Las subactividades no llevan peso"&amp;" · ","")&amp;IF(AND($S190="Macro",ABS(SUMIFS($G$5:$G$1000,$P$5:$P$1000,$P190,$S$5:$S$1000,"Macro")-1)&gt;0.0001),"Pesos del mes suman "&amp;TEXT(SUMIFS($G$5:$G$1000,$P$5:$P$1000,$P190,$S$5:$S$1000,"Macro"),"0%")&amp;" · ","")&amp;IF(AND(N($T190)&gt;0,COUNT($H190:$K190)&gt;0),"Con subactividades: deje vacías las semanas (se calculan solas)"&amp;" · ","")&amp;IF((COUNTIF($H190:$K190,"&gt;1")+COUNTIF($H190:$K190,"&lt;0")+COUNTA($H190:$K190)-COUNT($H190:$K190))&gt;0,"Avance fuera de rango 0-100%"&amp;" · ","")&amp;IF(OR(AND($I190&lt;&gt;"",$I190&lt;$H190),AND($J190&lt;&gt;"",$J190&lt;MAX($H190:$I190)),AND($K190&lt;&gt;"",$K190&lt;MAX($H190:$J190))),"Avance semanal decreciente"&amp;" · ","")&amp;IF(AND(ISNUMBER($F190),$F190&lt;FechaRef,N($L190)&lt;1),"Vencida"&amp;" · ","")&amp;IF(AND(ObsObligatoria="Sí",ISNUMBER($F190),$F190&lt;FechaRef,N($L190)&lt;1,$N190=""),"Vencida sin observación"&amp;" · ",""))="","✔ OK","⚠ "&amp;LEFT(IF(AND($S190="Macro",$B190=""),"Macroactividad vacía"&amp;" · ","")&amp;IF(AND($B190&lt;&gt;"",$C190&lt;&gt;""),"Escriba la subactividad en otra fila, debajo de su macroactividad"&amp;" · ","")&amp;IF(AND($S190="Sub",N($R190)=0),"Subactividad sin macroactividad arriba"&amp;" · ","")&amp;IF($D190="","Sin responsable"&amp;" · ","")&amp;IF($E190="","Sin fecha de inicio"&amp;" · ","")&amp;IF($F190="","Sin fecha límite"&amp;" · ","")&amp;IF(OR(AND($E190&lt;&gt;"",NOT(ISNUMBER($E190))),AND($F190&lt;&gt;"",NOT(ISNUMBER($F190)))),"Fecha no válida"&amp;" · ","")&amp;IF(AND(ISNUMBER($E190),ISNUMBER($F190),$E190&gt;$F190),"Inicio posterior a fecha límite"&amp;" · ","")&amp;IF(AND($S190="Macro",$G190=""),"Peso vacío"&amp;" · ","")&amp;IF(AND($S190="Macro",$G190&lt;&gt;"",OR(NOT(ISNUMBER($G190)),$G190&lt;=0,$G190&gt;1)),"Peso fuera de rango"&amp;" · ","")&amp;IF(AND($S190="Sub",$G190&lt;&gt;""),"Las subactividades no llevan peso"&amp;" · ","")&amp;IF(AND($S190="Macro",ABS(SUMIFS($G$5:$G$1000,$P$5:$P$1000,$P190,$S$5:$S$1000,"Macro")-1)&gt;0.0001),"Pesos del mes suman "&amp;TEXT(SUMIFS($G$5:$G$1000,$P$5:$P$1000,$P190,$S$5:$S$1000,"Macro"),"0%")&amp;" · ","")&amp;IF(AND(N($T190)&gt;0,COUNT($H190:$K190)&gt;0),"Con subactividades: deje vacías las semanas (se calculan solas)"&amp;" · ","")&amp;IF((COUNTIF($H190:$K190,"&gt;1")+COUNTIF($H190:$K190,"&lt;0")+COUNTA($H190:$K190)-COUNT($H190:$K190))&gt;0,"Avance fuera de rango 0-100%"&amp;" · ","")&amp;IF(OR(AND($I190&lt;&gt;"",$I190&lt;$H190),AND($J190&lt;&gt;"",$J190&lt;MAX($H190:$I190)),AND($K190&lt;&gt;"",$K190&lt;MAX($H190:$J190))),"Avance semanal decreciente"&amp;" · ","")&amp;IF(AND(ISNUMBER($F190),$F190&lt;FechaRef,N($L190)&lt;1),"Vencida"&amp;" · ","")&amp;IF(AND(ObsObligatoria="Sí",ISNUMBER($F190),$F190&lt;FechaRef,N($L190)&lt;1,$N190=""),"Vencida sin observación"&amp;" · ",""),LEN(IF(AND($S190="Macro",$B190=""),"Macroactividad vacía"&amp;" · ","")&amp;IF(AND($B190&lt;&gt;"",$C190&lt;&gt;""),"Escriba la subactividad en otra fila, debajo de su macroactividad"&amp;" · ","")&amp;IF(AND($S190="Sub",N($R190)=0),"Subactividad sin macroactividad arriba"&amp;" · ","")&amp;IF($D190="","Sin responsable"&amp;" · ","")&amp;IF($E190="","Sin fecha de inicio"&amp;" · ","")&amp;IF($F190="","Sin fecha límite"&amp;" · ","")&amp;IF(OR(AND($E190&lt;&gt;"",NOT(ISNUMBER($E190))),AND($F190&lt;&gt;"",NOT(ISNUMBER($F190)))),"Fecha no válida"&amp;" · ","")&amp;IF(AND(ISNUMBER($E190),ISNUMBER($F190),$E190&gt;$F190),"Inicio posterior a fecha límite"&amp;" · ","")&amp;IF(AND($S190="Macro",$G190=""),"Peso vacío"&amp;" · ","")&amp;IF(AND($S190="Macro",$G190&lt;&gt;"",OR(NOT(ISNUMBER($G190)),$G190&lt;=0,$G190&gt;1)),"Peso fuera de rango"&amp;" · ","")&amp;IF(AND($S190="Sub",$G190&lt;&gt;""),"Las subactividades no llevan peso"&amp;" · ","")&amp;IF(AND($S190="Macro",ABS(SUMIFS($G$5:$G$1000,$P$5:$P$1000,$P190,$S$5:$S$1000,"Macro")-1)&gt;0.0001),"Pesos del mes suman "&amp;TEXT(SUMIFS($G$5:$G$1000,$P$5:$P$1000,$P190,$S$5:$S$1000,"Macro"),"0%")&amp;" · ","")&amp;IF(AND(N($T190)&gt;0,COUNT($H190:$K190)&gt;0),"Con subactividades: deje vacías las semanas (se calculan solas)"&amp;" · ","")&amp;IF((COUNTIF($H190:$K190,"&gt;1")+COUNTIF($H190:$K190,"&lt;0")+COUNTA($H190:$K190)-COUNT($H190:$K190))&gt;0,"Avance fuera de rango 0-100%"&amp;" · ","")&amp;IF(OR(AND($I190&lt;&gt;"",$I190&lt;$H190),AND($J190&lt;&gt;"",$J190&lt;MAX($H190:$I190)),AND($K190&lt;&gt;"",$K190&lt;MAX($H190:$J190))),"Avance semanal decreciente"&amp;" · ","")&amp;IF(AND(ISNUMBER($F190),$F190&lt;FechaRef,N($L190)&lt;1),"Vencida"&amp;" · ","")&amp;IF(AND(ObsObligatoria="Sí",ISNUMBER($F190),$F190&lt;FechaRef,N($L190)&lt;1,$N190=""),"Vencida sin observación"&amp;" · ",""))-3)))</f>
        <v/>
      </c>
      <c r="P190" s="69">
        <f>IF(NOT((COUNTA($B190:$K190)+COUNTA($N190))&gt;0),"",IF(AND($S190="Sub",N($R190)&gt;0),IF(ISNUMBER(INDEX($E$5:$E$1000,$R190-4)),DATE(YEAR(INDEX($E$5:$E$1000,$R190-4)),MONTH(INDEX($E$5:$E$1000,$R190-4)),1),IF(ISNUMBER(INDEX($F$5:$F$1000,$R190-4)),DATE(YEAR(INDEX($F$5:$F$1000,$R190-4)),MONTH(INDEX($F$5:$F$1000,$R190-4)),1),MesCiclo)),IF(ISNUMBER($E190),DATE(YEAR($E190),MONTH($E190),1),IF(ISNUMBER($F190),DATE(YEAR($F190),MONTH($F190),1),MesCiclo))))</f>
        <v/>
      </c>
      <c r="Q190" s="70">
        <f>IF(OR($P190="",$P190&lt;&gt;MesCiclo),"",COUNTIF($P$5:$P190,MesCiclo))</f>
        <v/>
      </c>
      <c r="R190" s="70">
        <f>IF($S190="","",IF($S190="Macro",ROW(),IFERROR(LOOKUP(2,1/($S$5:$S190="Macro"),ROW($S$5:$S190)),0)))</f>
        <v/>
      </c>
      <c r="S190" s="70">
        <f>IF(NOT((COUNTA($B190:$K190)+COUNTA($N190))&gt;0),"",IF($B190&lt;&gt;"","Macro",IF($C190&lt;&gt;"","Sub","Macro")))</f>
        <v/>
      </c>
      <c r="T190" s="70">
        <f>IF($S190="Macro",COUNTIFS($R$5:$R$1000,ROW(),$S$5:$S$1000,"Sub"),"")</f>
        <v/>
      </c>
      <c r="U190" s="70">
        <f>IF($S190="","",IF(ISNUMBER($H190),$H190,0))</f>
        <v/>
      </c>
      <c r="V190" s="70">
        <f>IF($S190="","",IF(ISNUMBER($I190),$I190,$U190))</f>
        <v/>
      </c>
      <c r="W190" s="70">
        <f>IF($S190="","",IF(ISNUMBER($J190),$J190,$V190))</f>
        <v/>
      </c>
      <c r="X190" s="70">
        <f>IF($S190="","",IF(ISNUMBER($K190),$K190,$W190))</f>
        <v/>
      </c>
      <c r="Y190" s="70">
        <f>IF($S190="","",IF(N($T190)&gt;0,AVERAGEIFS($U$5:$U$1000,$R$5:$R$1000,ROW(),$S$5:$S$1000,"Sub"),$U190))</f>
        <v/>
      </c>
      <c r="Z190" s="70">
        <f>IF($S190="","",IF(N($T190)&gt;0,AVERAGEIFS($V$5:$V$1000,$R$5:$R$1000,ROW(),$S$5:$S$1000,"Sub"),$V190))</f>
        <v/>
      </c>
      <c r="AA190" s="70">
        <f>IF($S190="","",IF(N($T190)&gt;0,AVERAGEIFS($W$5:$W$1000,$R$5:$R$1000,ROW(),$S$5:$S$1000,"Sub"),$W190))</f>
        <v/>
      </c>
      <c r="AB190" s="70">
        <f>IF($S190="","",IF(N($T190)&gt;0,AVERAGEIFS($X$5:$X$1000,$R$5:$R$1000,ROW(),$S$5:$S$1000,"Sub"),$X190))</f>
        <v/>
      </c>
    </row>
    <row r="191">
      <c r="A191" s="61">
        <f>IF(NOT((COUNTA($B191:$K191)+COUNTA($N191))&gt;0),"",IF($S191="Macro",COUNTIFS($S$5:$S191,"Macro",$P$5:$P191,$P191),IF(N($R191)=0,"?",COUNTIFS(INDEX($S$5:$S$1000,1):INDEX($S$5:$S$1000,$R191-4),"Macro",INDEX($P$5:$P$1000,1):INDEX($P$5:$P$1000,$R191-4),INDEX($P$5:$P$1000,$R191-4))&amp;"."&amp;COUNTIFS($R$5:$R191,$R191,$S$5:$S191,"Sub"))))</f>
        <v/>
      </c>
      <c r="B191" s="62" t="n"/>
      <c r="C191" s="63" t="n"/>
      <c r="D191" s="62" t="n"/>
      <c r="E191" s="64" t="n"/>
      <c r="F191" s="64" t="n"/>
      <c r="G191" s="65" t="n"/>
      <c r="H191" s="66" t="n"/>
      <c r="I191" s="66" t="n"/>
      <c r="J191" s="66" t="n"/>
      <c r="K191" s="66" t="n"/>
      <c r="L191" s="67">
        <f>IF(NOT((COUNTA($B191:$K191)+COUNTA($N191))&gt;0),"",IF(N($T191)&gt;0,$AB191,IFERROR(LOOKUP(2,1/(H191:K191&lt;&gt;""),H191:K191),0)))</f>
        <v/>
      </c>
      <c r="M191" s="61">
        <f>IF(L191="","",IF(L191&gt;=1,"Completado",IF(L191&gt;0,"En curso","Pendiente")))</f>
        <v/>
      </c>
      <c r="N191" s="62" t="n"/>
      <c r="O191" s="68">
        <f>IF(NOT((COUNTA($B191:$K191)+COUNTA($N191))&gt;0),"",IF((IF(AND($S191="Macro",$B191=""),"Macroactividad vacía"&amp;" · ","")&amp;IF(AND($B191&lt;&gt;"",$C191&lt;&gt;""),"Escriba la subactividad en otra fila, debajo de su macroactividad"&amp;" · ","")&amp;IF(AND($S191="Sub",N($R191)=0),"Subactividad sin macroactividad arriba"&amp;" · ","")&amp;IF($D191="","Sin responsable"&amp;" · ","")&amp;IF($E191="","Sin fecha de inicio"&amp;" · ","")&amp;IF($F191="","Sin fecha límite"&amp;" · ","")&amp;IF(OR(AND($E191&lt;&gt;"",NOT(ISNUMBER($E191))),AND($F191&lt;&gt;"",NOT(ISNUMBER($F191)))),"Fecha no válida"&amp;" · ","")&amp;IF(AND(ISNUMBER($E191),ISNUMBER($F191),$E191&gt;$F191),"Inicio posterior a fecha límite"&amp;" · ","")&amp;IF(AND($S191="Macro",$G191=""),"Peso vacío"&amp;" · ","")&amp;IF(AND($S191="Macro",$G191&lt;&gt;"",OR(NOT(ISNUMBER($G191)),$G191&lt;=0,$G191&gt;1)),"Peso fuera de rango"&amp;" · ","")&amp;IF(AND($S191="Sub",$G191&lt;&gt;""),"Las subactividades no llevan peso"&amp;" · ","")&amp;IF(AND($S191="Macro",ABS(SUMIFS($G$5:$G$1000,$P$5:$P$1000,$P191,$S$5:$S$1000,"Macro")-1)&gt;0.0001),"Pesos del mes suman "&amp;TEXT(SUMIFS($G$5:$G$1000,$P$5:$P$1000,$P191,$S$5:$S$1000,"Macro"),"0%")&amp;" · ","")&amp;IF(AND(N($T191)&gt;0,COUNT($H191:$K191)&gt;0),"Con subactividades: deje vacías las semanas (se calculan solas)"&amp;" · ","")&amp;IF((COUNTIF($H191:$K191,"&gt;1")+COUNTIF($H191:$K191,"&lt;0")+COUNTA($H191:$K191)-COUNT($H191:$K191))&gt;0,"Avance fuera de rango 0-100%"&amp;" · ","")&amp;IF(OR(AND($I191&lt;&gt;"",$I191&lt;$H191),AND($J191&lt;&gt;"",$J191&lt;MAX($H191:$I191)),AND($K191&lt;&gt;"",$K191&lt;MAX($H191:$J191))),"Avance semanal decreciente"&amp;" · ","")&amp;IF(AND(ISNUMBER($F191),$F191&lt;FechaRef,N($L191)&lt;1),"Vencida"&amp;" · ","")&amp;IF(AND(ObsObligatoria="Sí",ISNUMBER($F191),$F191&lt;FechaRef,N($L191)&lt;1,$N191=""),"Vencida sin observación"&amp;" · ",""))="","✔ OK","⚠ "&amp;LEFT(IF(AND($S191="Macro",$B191=""),"Macroactividad vacía"&amp;" · ","")&amp;IF(AND($B191&lt;&gt;"",$C191&lt;&gt;""),"Escriba la subactividad en otra fila, debajo de su macroactividad"&amp;" · ","")&amp;IF(AND($S191="Sub",N($R191)=0),"Subactividad sin macroactividad arriba"&amp;" · ","")&amp;IF($D191="","Sin responsable"&amp;" · ","")&amp;IF($E191="","Sin fecha de inicio"&amp;" · ","")&amp;IF($F191="","Sin fecha límite"&amp;" · ","")&amp;IF(OR(AND($E191&lt;&gt;"",NOT(ISNUMBER($E191))),AND($F191&lt;&gt;"",NOT(ISNUMBER($F191)))),"Fecha no válida"&amp;" · ","")&amp;IF(AND(ISNUMBER($E191),ISNUMBER($F191),$E191&gt;$F191),"Inicio posterior a fecha límite"&amp;" · ","")&amp;IF(AND($S191="Macro",$G191=""),"Peso vacío"&amp;" · ","")&amp;IF(AND($S191="Macro",$G191&lt;&gt;"",OR(NOT(ISNUMBER($G191)),$G191&lt;=0,$G191&gt;1)),"Peso fuera de rango"&amp;" · ","")&amp;IF(AND($S191="Sub",$G191&lt;&gt;""),"Las subactividades no llevan peso"&amp;" · ","")&amp;IF(AND($S191="Macro",ABS(SUMIFS($G$5:$G$1000,$P$5:$P$1000,$P191,$S$5:$S$1000,"Macro")-1)&gt;0.0001),"Pesos del mes suman "&amp;TEXT(SUMIFS($G$5:$G$1000,$P$5:$P$1000,$P191,$S$5:$S$1000,"Macro"),"0%")&amp;" · ","")&amp;IF(AND(N($T191)&gt;0,COUNT($H191:$K191)&gt;0),"Con subactividades: deje vacías las semanas (se calculan solas)"&amp;" · ","")&amp;IF((COUNTIF($H191:$K191,"&gt;1")+COUNTIF($H191:$K191,"&lt;0")+COUNTA($H191:$K191)-COUNT($H191:$K191))&gt;0,"Avance fuera de rango 0-100%"&amp;" · ","")&amp;IF(OR(AND($I191&lt;&gt;"",$I191&lt;$H191),AND($J191&lt;&gt;"",$J191&lt;MAX($H191:$I191)),AND($K191&lt;&gt;"",$K191&lt;MAX($H191:$J191))),"Avance semanal decreciente"&amp;" · ","")&amp;IF(AND(ISNUMBER($F191),$F191&lt;FechaRef,N($L191)&lt;1),"Vencida"&amp;" · ","")&amp;IF(AND(ObsObligatoria="Sí",ISNUMBER($F191),$F191&lt;FechaRef,N($L191)&lt;1,$N191=""),"Vencida sin observación"&amp;" · ",""),LEN(IF(AND($S191="Macro",$B191=""),"Macroactividad vacía"&amp;" · ","")&amp;IF(AND($B191&lt;&gt;"",$C191&lt;&gt;""),"Escriba la subactividad en otra fila, debajo de su macroactividad"&amp;" · ","")&amp;IF(AND($S191="Sub",N($R191)=0),"Subactividad sin macroactividad arriba"&amp;" · ","")&amp;IF($D191="","Sin responsable"&amp;" · ","")&amp;IF($E191="","Sin fecha de inicio"&amp;" · ","")&amp;IF($F191="","Sin fecha límite"&amp;" · ","")&amp;IF(OR(AND($E191&lt;&gt;"",NOT(ISNUMBER($E191))),AND($F191&lt;&gt;"",NOT(ISNUMBER($F191)))),"Fecha no válida"&amp;" · ","")&amp;IF(AND(ISNUMBER($E191),ISNUMBER($F191),$E191&gt;$F191),"Inicio posterior a fecha límite"&amp;" · ","")&amp;IF(AND($S191="Macro",$G191=""),"Peso vacío"&amp;" · ","")&amp;IF(AND($S191="Macro",$G191&lt;&gt;"",OR(NOT(ISNUMBER($G191)),$G191&lt;=0,$G191&gt;1)),"Peso fuera de rango"&amp;" · ","")&amp;IF(AND($S191="Sub",$G191&lt;&gt;""),"Las subactividades no llevan peso"&amp;" · ","")&amp;IF(AND($S191="Macro",ABS(SUMIFS($G$5:$G$1000,$P$5:$P$1000,$P191,$S$5:$S$1000,"Macro")-1)&gt;0.0001),"Pesos del mes suman "&amp;TEXT(SUMIFS($G$5:$G$1000,$P$5:$P$1000,$P191,$S$5:$S$1000,"Macro"),"0%")&amp;" · ","")&amp;IF(AND(N($T191)&gt;0,COUNT($H191:$K191)&gt;0),"Con subactividades: deje vacías las semanas (se calculan solas)"&amp;" · ","")&amp;IF((COUNTIF($H191:$K191,"&gt;1")+COUNTIF($H191:$K191,"&lt;0")+COUNTA($H191:$K191)-COUNT($H191:$K191))&gt;0,"Avance fuera de rango 0-100%"&amp;" · ","")&amp;IF(OR(AND($I191&lt;&gt;"",$I191&lt;$H191),AND($J191&lt;&gt;"",$J191&lt;MAX($H191:$I191)),AND($K191&lt;&gt;"",$K191&lt;MAX($H191:$J191))),"Avance semanal decreciente"&amp;" · ","")&amp;IF(AND(ISNUMBER($F191),$F191&lt;FechaRef,N($L191)&lt;1),"Vencida"&amp;" · ","")&amp;IF(AND(ObsObligatoria="Sí",ISNUMBER($F191),$F191&lt;FechaRef,N($L191)&lt;1,$N191=""),"Vencida sin observación"&amp;" · ",""))-3)))</f>
        <v/>
      </c>
      <c r="P191" s="69">
        <f>IF(NOT((COUNTA($B191:$K191)+COUNTA($N191))&gt;0),"",IF(AND($S191="Sub",N($R191)&gt;0),IF(ISNUMBER(INDEX($E$5:$E$1000,$R191-4)),DATE(YEAR(INDEX($E$5:$E$1000,$R191-4)),MONTH(INDEX($E$5:$E$1000,$R191-4)),1),IF(ISNUMBER(INDEX($F$5:$F$1000,$R191-4)),DATE(YEAR(INDEX($F$5:$F$1000,$R191-4)),MONTH(INDEX($F$5:$F$1000,$R191-4)),1),MesCiclo)),IF(ISNUMBER($E191),DATE(YEAR($E191),MONTH($E191),1),IF(ISNUMBER($F191),DATE(YEAR($F191),MONTH($F191),1),MesCiclo))))</f>
        <v/>
      </c>
      <c r="Q191" s="70">
        <f>IF(OR($P191="",$P191&lt;&gt;MesCiclo),"",COUNTIF($P$5:$P191,MesCiclo))</f>
        <v/>
      </c>
      <c r="R191" s="70">
        <f>IF($S191="","",IF($S191="Macro",ROW(),IFERROR(LOOKUP(2,1/($S$5:$S191="Macro"),ROW($S$5:$S191)),0)))</f>
        <v/>
      </c>
      <c r="S191" s="70">
        <f>IF(NOT((COUNTA($B191:$K191)+COUNTA($N191))&gt;0),"",IF($B191&lt;&gt;"","Macro",IF($C191&lt;&gt;"","Sub","Macro")))</f>
        <v/>
      </c>
      <c r="T191" s="70">
        <f>IF($S191="Macro",COUNTIFS($R$5:$R$1000,ROW(),$S$5:$S$1000,"Sub"),"")</f>
        <v/>
      </c>
      <c r="U191" s="70">
        <f>IF($S191="","",IF(ISNUMBER($H191),$H191,0))</f>
        <v/>
      </c>
      <c r="V191" s="70">
        <f>IF($S191="","",IF(ISNUMBER($I191),$I191,$U191))</f>
        <v/>
      </c>
      <c r="W191" s="70">
        <f>IF($S191="","",IF(ISNUMBER($J191),$J191,$V191))</f>
        <v/>
      </c>
      <c r="X191" s="70">
        <f>IF($S191="","",IF(ISNUMBER($K191),$K191,$W191))</f>
        <v/>
      </c>
      <c r="Y191" s="70">
        <f>IF($S191="","",IF(N($T191)&gt;0,AVERAGEIFS($U$5:$U$1000,$R$5:$R$1000,ROW(),$S$5:$S$1000,"Sub"),$U191))</f>
        <v/>
      </c>
      <c r="Z191" s="70">
        <f>IF($S191="","",IF(N($T191)&gt;0,AVERAGEIFS($V$5:$V$1000,$R$5:$R$1000,ROW(),$S$5:$S$1000,"Sub"),$V191))</f>
        <v/>
      </c>
      <c r="AA191" s="70">
        <f>IF($S191="","",IF(N($T191)&gt;0,AVERAGEIFS($W$5:$W$1000,$R$5:$R$1000,ROW(),$S$5:$S$1000,"Sub"),$W191))</f>
        <v/>
      </c>
      <c r="AB191" s="70">
        <f>IF($S191="","",IF(N($T191)&gt;0,AVERAGEIFS($X$5:$X$1000,$R$5:$R$1000,ROW(),$S$5:$S$1000,"Sub"),$X191))</f>
        <v/>
      </c>
    </row>
    <row r="192">
      <c r="A192" s="61">
        <f>IF(NOT((COUNTA($B192:$K192)+COUNTA($N192))&gt;0),"",IF($S192="Macro",COUNTIFS($S$5:$S192,"Macro",$P$5:$P192,$P192),IF(N($R192)=0,"?",COUNTIFS(INDEX($S$5:$S$1000,1):INDEX($S$5:$S$1000,$R192-4),"Macro",INDEX($P$5:$P$1000,1):INDEX($P$5:$P$1000,$R192-4),INDEX($P$5:$P$1000,$R192-4))&amp;"."&amp;COUNTIFS($R$5:$R192,$R192,$S$5:$S192,"Sub"))))</f>
        <v/>
      </c>
      <c r="B192" s="62" t="n"/>
      <c r="C192" s="63" t="n"/>
      <c r="D192" s="62" t="n"/>
      <c r="E192" s="64" t="n"/>
      <c r="F192" s="64" t="n"/>
      <c r="G192" s="65" t="n"/>
      <c r="H192" s="66" t="n"/>
      <c r="I192" s="66" t="n"/>
      <c r="J192" s="66" t="n"/>
      <c r="K192" s="66" t="n"/>
      <c r="L192" s="67">
        <f>IF(NOT((COUNTA($B192:$K192)+COUNTA($N192))&gt;0),"",IF(N($T192)&gt;0,$AB192,IFERROR(LOOKUP(2,1/(H192:K192&lt;&gt;""),H192:K192),0)))</f>
        <v/>
      </c>
      <c r="M192" s="61">
        <f>IF(L192="","",IF(L192&gt;=1,"Completado",IF(L192&gt;0,"En curso","Pendiente")))</f>
        <v/>
      </c>
      <c r="N192" s="62" t="n"/>
      <c r="O192" s="68">
        <f>IF(NOT((COUNTA($B192:$K192)+COUNTA($N192))&gt;0),"",IF((IF(AND($S192="Macro",$B192=""),"Macroactividad vacía"&amp;" · ","")&amp;IF(AND($B192&lt;&gt;"",$C192&lt;&gt;""),"Escriba la subactividad en otra fila, debajo de su macroactividad"&amp;" · ","")&amp;IF(AND($S192="Sub",N($R192)=0),"Subactividad sin macroactividad arriba"&amp;" · ","")&amp;IF($D192="","Sin responsable"&amp;" · ","")&amp;IF($E192="","Sin fecha de inicio"&amp;" · ","")&amp;IF($F192="","Sin fecha límite"&amp;" · ","")&amp;IF(OR(AND($E192&lt;&gt;"",NOT(ISNUMBER($E192))),AND($F192&lt;&gt;"",NOT(ISNUMBER($F192)))),"Fecha no válida"&amp;" · ","")&amp;IF(AND(ISNUMBER($E192),ISNUMBER($F192),$E192&gt;$F192),"Inicio posterior a fecha límite"&amp;" · ","")&amp;IF(AND($S192="Macro",$G192=""),"Peso vacío"&amp;" · ","")&amp;IF(AND($S192="Macro",$G192&lt;&gt;"",OR(NOT(ISNUMBER($G192)),$G192&lt;=0,$G192&gt;1)),"Peso fuera de rango"&amp;" · ","")&amp;IF(AND($S192="Sub",$G192&lt;&gt;""),"Las subactividades no llevan peso"&amp;" · ","")&amp;IF(AND($S192="Macro",ABS(SUMIFS($G$5:$G$1000,$P$5:$P$1000,$P192,$S$5:$S$1000,"Macro")-1)&gt;0.0001),"Pesos del mes suman "&amp;TEXT(SUMIFS($G$5:$G$1000,$P$5:$P$1000,$P192,$S$5:$S$1000,"Macro"),"0%")&amp;" · ","")&amp;IF(AND(N($T192)&gt;0,COUNT($H192:$K192)&gt;0),"Con subactividades: deje vacías las semanas (se calculan solas)"&amp;" · ","")&amp;IF((COUNTIF($H192:$K192,"&gt;1")+COUNTIF($H192:$K192,"&lt;0")+COUNTA($H192:$K192)-COUNT($H192:$K192))&gt;0,"Avance fuera de rango 0-100%"&amp;" · ","")&amp;IF(OR(AND($I192&lt;&gt;"",$I192&lt;$H192),AND($J192&lt;&gt;"",$J192&lt;MAX($H192:$I192)),AND($K192&lt;&gt;"",$K192&lt;MAX($H192:$J192))),"Avance semanal decreciente"&amp;" · ","")&amp;IF(AND(ISNUMBER($F192),$F192&lt;FechaRef,N($L192)&lt;1),"Vencida"&amp;" · ","")&amp;IF(AND(ObsObligatoria="Sí",ISNUMBER($F192),$F192&lt;FechaRef,N($L192)&lt;1,$N192=""),"Vencida sin observación"&amp;" · ",""))="","✔ OK","⚠ "&amp;LEFT(IF(AND($S192="Macro",$B192=""),"Macroactividad vacía"&amp;" · ","")&amp;IF(AND($B192&lt;&gt;"",$C192&lt;&gt;""),"Escriba la subactividad en otra fila, debajo de su macroactividad"&amp;" · ","")&amp;IF(AND($S192="Sub",N($R192)=0),"Subactividad sin macroactividad arriba"&amp;" · ","")&amp;IF($D192="","Sin responsable"&amp;" · ","")&amp;IF($E192="","Sin fecha de inicio"&amp;" · ","")&amp;IF($F192="","Sin fecha límite"&amp;" · ","")&amp;IF(OR(AND($E192&lt;&gt;"",NOT(ISNUMBER($E192))),AND($F192&lt;&gt;"",NOT(ISNUMBER($F192)))),"Fecha no válida"&amp;" · ","")&amp;IF(AND(ISNUMBER($E192),ISNUMBER($F192),$E192&gt;$F192),"Inicio posterior a fecha límite"&amp;" · ","")&amp;IF(AND($S192="Macro",$G192=""),"Peso vacío"&amp;" · ","")&amp;IF(AND($S192="Macro",$G192&lt;&gt;"",OR(NOT(ISNUMBER($G192)),$G192&lt;=0,$G192&gt;1)),"Peso fuera de rango"&amp;" · ","")&amp;IF(AND($S192="Sub",$G192&lt;&gt;""),"Las subactividades no llevan peso"&amp;" · ","")&amp;IF(AND($S192="Macro",ABS(SUMIFS($G$5:$G$1000,$P$5:$P$1000,$P192,$S$5:$S$1000,"Macro")-1)&gt;0.0001),"Pesos del mes suman "&amp;TEXT(SUMIFS($G$5:$G$1000,$P$5:$P$1000,$P192,$S$5:$S$1000,"Macro"),"0%")&amp;" · ","")&amp;IF(AND(N($T192)&gt;0,COUNT($H192:$K192)&gt;0),"Con subactividades: deje vacías las semanas (se calculan solas)"&amp;" · ","")&amp;IF((COUNTIF($H192:$K192,"&gt;1")+COUNTIF($H192:$K192,"&lt;0")+COUNTA($H192:$K192)-COUNT($H192:$K192))&gt;0,"Avance fuera de rango 0-100%"&amp;" · ","")&amp;IF(OR(AND($I192&lt;&gt;"",$I192&lt;$H192),AND($J192&lt;&gt;"",$J192&lt;MAX($H192:$I192)),AND($K192&lt;&gt;"",$K192&lt;MAX($H192:$J192))),"Avance semanal decreciente"&amp;" · ","")&amp;IF(AND(ISNUMBER($F192),$F192&lt;FechaRef,N($L192)&lt;1),"Vencida"&amp;" · ","")&amp;IF(AND(ObsObligatoria="Sí",ISNUMBER($F192),$F192&lt;FechaRef,N($L192)&lt;1,$N192=""),"Vencida sin observación"&amp;" · ",""),LEN(IF(AND($S192="Macro",$B192=""),"Macroactividad vacía"&amp;" · ","")&amp;IF(AND($B192&lt;&gt;"",$C192&lt;&gt;""),"Escriba la subactividad en otra fila, debajo de su macroactividad"&amp;" · ","")&amp;IF(AND($S192="Sub",N($R192)=0),"Subactividad sin macroactividad arriba"&amp;" · ","")&amp;IF($D192="","Sin responsable"&amp;" · ","")&amp;IF($E192="","Sin fecha de inicio"&amp;" · ","")&amp;IF($F192="","Sin fecha límite"&amp;" · ","")&amp;IF(OR(AND($E192&lt;&gt;"",NOT(ISNUMBER($E192))),AND($F192&lt;&gt;"",NOT(ISNUMBER($F192)))),"Fecha no válida"&amp;" · ","")&amp;IF(AND(ISNUMBER($E192),ISNUMBER($F192),$E192&gt;$F192),"Inicio posterior a fecha límite"&amp;" · ","")&amp;IF(AND($S192="Macro",$G192=""),"Peso vacío"&amp;" · ","")&amp;IF(AND($S192="Macro",$G192&lt;&gt;"",OR(NOT(ISNUMBER($G192)),$G192&lt;=0,$G192&gt;1)),"Peso fuera de rango"&amp;" · ","")&amp;IF(AND($S192="Sub",$G192&lt;&gt;""),"Las subactividades no llevan peso"&amp;" · ","")&amp;IF(AND($S192="Macro",ABS(SUMIFS($G$5:$G$1000,$P$5:$P$1000,$P192,$S$5:$S$1000,"Macro")-1)&gt;0.0001),"Pesos del mes suman "&amp;TEXT(SUMIFS($G$5:$G$1000,$P$5:$P$1000,$P192,$S$5:$S$1000,"Macro"),"0%")&amp;" · ","")&amp;IF(AND(N($T192)&gt;0,COUNT($H192:$K192)&gt;0),"Con subactividades: deje vacías las semanas (se calculan solas)"&amp;" · ","")&amp;IF((COUNTIF($H192:$K192,"&gt;1")+COUNTIF($H192:$K192,"&lt;0")+COUNTA($H192:$K192)-COUNT($H192:$K192))&gt;0,"Avance fuera de rango 0-100%"&amp;" · ","")&amp;IF(OR(AND($I192&lt;&gt;"",$I192&lt;$H192),AND($J192&lt;&gt;"",$J192&lt;MAX($H192:$I192)),AND($K192&lt;&gt;"",$K192&lt;MAX($H192:$J192))),"Avance semanal decreciente"&amp;" · ","")&amp;IF(AND(ISNUMBER($F192),$F192&lt;FechaRef,N($L192)&lt;1),"Vencida"&amp;" · ","")&amp;IF(AND(ObsObligatoria="Sí",ISNUMBER($F192),$F192&lt;FechaRef,N($L192)&lt;1,$N192=""),"Vencida sin observación"&amp;" · ",""))-3)))</f>
        <v/>
      </c>
      <c r="P192" s="69">
        <f>IF(NOT((COUNTA($B192:$K192)+COUNTA($N192))&gt;0),"",IF(AND($S192="Sub",N($R192)&gt;0),IF(ISNUMBER(INDEX($E$5:$E$1000,$R192-4)),DATE(YEAR(INDEX($E$5:$E$1000,$R192-4)),MONTH(INDEX($E$5:$E$1000,$R192-4)),1),IF(ISNUMBER(INDEX($F$5:$F$1000,$R192-4)),DATE(YEAR(INDEX($F$5:$F$1000,$R192-4)),MONTH(INDEX($F$5:$F$1000,$R192-4)),1),MesCiclo)),IF(ISNUMBER($E192),DATE(YEAR($E192),MONTH($E192),1),IF(ISNUMBER($F192),DATE(YEAR($F192),MONTH($F192),1),MesCiclo))))</f>
        <v/>
      </c>
      <c r="Q192" s="70">
        <f>IF(OR($P192="",$P192&lt;&gt;MesCiclo),"",COUNTIF($P$5:$P192,MesCiclo))</f>
        <v/>
      </c>
      <c r="R192" s="70">
        <f>IF($S192="","",IF($S192="Macro",ROW(),IFERROR(LOOKUP(2,1/($S$5:$S192="Macro"),ROW($S$5:$S192)),0)))</f>
        <v/>
      </c>
      <c r="S192" s="70">
        <f>IF(NOT((COUNTA($B192:$K192)+COUNTA($N192))&gt;0),"",IF($B192&lt;&gt;"","Macro",IF($C192&lt;&gt;"","Sub","Macro")))</f>
        <v/>
      </c>
      <c r="T192" s="70">
        <f>IF($S192="Macro",COUNTIFS($R$5:$R$1000,ROW(),$S$5:$S$1000,"Sub"),"")</f>
        <v/>
      </c>
      <c r="U192" s="70">
        <f>IF($S192="","",IF(ISNUMBER($H192),$H192,0))</f>
        <v/>
      </c>
      <c r="V192" s="70">
        <f>IF($S192="","",IF(ISNUMBER($I192),$I192,$U192))</f>
        <v/>
      </c>
      <c r="W192" s="70">
        <f>IF($S192="","",IF(ISNUMBER($J192),$J192,$V192))</f>
        <v/>
      </c>
      <c r="X192" s="70">
        <f>IF($S192="","",IF(ISNUMBER($K192),$K192,$W192))</f>
        <v/>
      </c>
      <c r="Y192" s="70">
        <f>IF($S192="","",IF(N($T192)&gt;0,AVERAGEIFS($U$5:$U$1000,$R$5:$R$1000,ROW(),$S$5:$S$1000,"Sub"),$U192))</f>
        <v/>
      </c>
      <c r="Z192" s="70">
        <f>IF($S192="","",IF(N($T192)&gt;0,AVERAGEIFS($V$5:$V$1000,$R$5:$R$1000,ROW(),$S$5:$S$1000,"Sub"),$V192))</f>
        <v/>
      </c>
      <c r="AA192" s="70">
        <f>IF($S192="","",IF(N($T192)&gt;0,AVERAGEIFS($W$5:$W$1000,$R$5:$R$1000,ROW(),$S$5:$S$1000,"Sub"),$W192))</f>
        <v/>
      </c>
      <c r="AB192" s="70">
        <f>IF($S192="","",IF(N($T192)&gt;0,AVERAGEIFS($X$5:$X$1000,$R$5:$R$1000,ROW(),$S$5:$S$1000,"Sub"),$X192))</f>
        <v/>
      </c>
    </row>
    <row r="193">
      <c r="A193" s="61">
        <f>IF(NOT((COUNTA($B193:$K193)+COUNTA($N193))&gt;0),"",IF($S193="Macro",COUNTIFS($S$5:$S193,"Macro",$P$5:$P193,$P193),IF(N($R193)=0,"?",COUNTIFS(INDEX($S$5:$S$1000,1):INDEX($S$5:$S$1000,$R193-4),"Macro",INDEX($P$5:$P$1000,1):INDEX($P$5:$P$1000,$R193-4),INDEX($P$5:$P$1000,$R193-4))&amp;"."&amp;COUNTIFS($R$5:$R193,$R193,$S$5:$S193,"Sub"))))</f>
        <v/>
      </c>
      <c r="B193" s="62" t="n"/>
      <c r="C193" s="63" t="n"/>
      <c r="D193" s="62" t="n"/>
      <c r="E193" s="64" t="n"/>
      <c r="F193" s="64" t="n"/>
      <c r="G193" s="65" t="n"/>
      <c r="H193" s="66" t="n"/>
      <c r="I193" s="66" t="n"/>
      <c r="J193" s="66" t="n"/>
      <c r="K193" s="66" t="n"/>
      <c r="L193" s="67">
        <f>IF(NOT((COUNTA($B193:$K193)+COUNTA($N193))&gt;0),"",IF(N($T193)&gt;0,$AB193,IFERROR(LOOKUP(2,1/(H193:K193&lt;&gt;""),H193:K193),0)))</f>
        <v/>
      </c>
      <c r="M193" s="61">
        <f>IF(L193="","",IF(L193&gt;=1,"Completado",IF(L193&gt;0,"En curso","Pendiente")))</f>
        <v/>
      </c>
      <c r="N193" s="62" t="n"/>
      <c r="O193" s="68">
        <f>IF(NOT((COUNTA($B193:$K193)+COUNTA($N193))&gt;0),"",IF((IF(AND($S193="Macro",$B193=""),"Macroactividad vacía"&amp;" · ","")&amp;IF(AND($B193&lt;&gt;"",$C193&lt;&gt;""),"Escriba la subactividad en otra fila, debajo de su macroactividad"&amp;" · ","")&amp;IF(AND($S193="Sub",N($R193)=0),"Subactividad sin macroactividad arriba"&amp;" · ","")&amp;IF($D193="","Sin responsable"&amp;" · ","")&amp;IF($E193="","Sin fecha de inicio"&amp;" · ","")&amp;IF($F193="","Sin fecha límite"&amp;" · ","")&amp;IF(OR(AND($E193&lt;&gt;"",NOT(ISNUMBER($E193))),AND($F193&lt;&gt;"",NOT(ISNUMBER($F193)))),"Fecha no válida"&amp;" · ","")&amp;IF(AND(ISNUMBER($E193),ISNUMBER($F193),$E193&gt;$F193),"Inicio posterior a fecha límite"&amp;" · ","")&amp;IF(AND($S193="Macro",$G193=""),"Peso vacío"&amp;" · ","")&amp;IF(AND($S193="Macro",$G193&lt;&gt;"",OR(NOT(ISNUMBER($G193)),$G193&lt;=0,$G193&gt;1)),"Peso fuera de rango"&amp;" · ","")&amp;IF(AND($S193="Sub",$G193&lt;&gt;""),"Las subactividades no llevan peso"&amp;" · ","")&amp;IF(AND($S193="Macro",ABS(SUMIFS($G$5:$G$1000,$P$5:$P$1000,$P193,$S$5:$S$1000,"Macro")-1)&gt;0.0001),"Pesos del mes suman "&amp;TEXT(SUMIFS($G$5:$G$1000,$P$5:$P$1000,$P193,$S$5:$S$1000,"Macro"),"0%")&amp;" · ","")&amp;IF(AND(N($T193)&gt;0,COUNT($H193:$K193)&gt;0),"Con subactividades: deje vacías las semanas (se calculan solas)"&amp;" · ","")&amp;IF((COUNTIF($H193:$K193,"&gt;1")+COUNTIF($H193:$K193,"&lt;0")+COUNTA($H193:$K193)-COUNT($H193:$K193))&gt;0,"Avance fuera de rango 0-100%"&amp;" · ","")&amp;IF(OR(AND($I193&lt;&gt;"",$I193&lt;$H193),AND($J193&lt;&gt;"",$J193&lt;MAX($H193:$I193)),AND($K193&lt;&gt;"",$K193&lt;MAX($H193:$J193))),"Avance semanal decreciente"&amp;" · ","")&amp;IF(AND(ISNUMBER($F193),$F193&lt;FechaRef,N($L193)&lt;1),"Vencida"&amp;" · ","")&amp;IF(AND(ObsObligatoria="Sí",ISNUMBER($F193),$F193&lt;FechaRef,N($L193)&lt;1,$N193=""),"Vencida sin observación"&amp;" · ",""))="","✔ OK","⚠ "&amp;LEFT(IF(AND($S193="Macro",$B193=""),"Macroactividad vacía"&amp;" · ","")&amp;IF(AND($B193&lt;&gt;"",$C193&lt;&gt;""),"Escriba la subactividad en otra fila, debajo de su macroactividad"&amp;" · ","")&amp;IF(AND($S193="Sub",N($R193)=0),"Subactividad sin macroactividad arriba"&amp;" · ","")&amp;IF($D193="","Sin responsable"&amp;" · ","")&amp;IF($E193="","Sin fecha de inicio"&amp;" · ","")&amp;IF($F193="","Sin fecha límite"&amp;" · ","")&amp;IF(OR(AND($E193&lt;&gt;"",NOT(ISNUMBER($E193))),AND($F193&lt;&gt;"",NOT(ISNUMBER($F193)))),"Fecha no válida"&amp;" · ","")&amp;IF(AND(ISNUMBER($E193),ISNUMBER($F193),$E193&gt;$F193),"Inicio posterior a fecha límite"&amp;" · ","")&amp;IF(AND($S193="Macro",$G193=""),"Peso vacío"&amp;" · ","")&amp;IF(AND($S193="Macro",$G193&lt;&gt;"",OR(NOT(ISNUMBER($G193)),$G193&lt;=0,$G193&gt;1)),"Peso fuera de rango"&amp;" · ","")&amp;IF(AND($S193="Sub",$G193&lt;&gt;""),"Las subactividades no llevan peso"&amp;" · ","")&amp;IF(AND($S193="Macro",ABS(SUMIFS($G$5:$G$1000,$P$5:$P$1000,$P193,$S$5:$S$1000,"Macro")-1)&gt;0.0001),"Pesos del mes suman "&amp;TEXT(SUMIFS($G$5:$G$1000,$P$5:$P$1000,$P193,$S$5:$S$1000,"Macro"),"0%")&amp;" · ","")&amp;IF(AND(N($T193)&gt;0,COUNT($H193:$K193)&gt;0),"Con subactividades: deje vacías las semanas (se calculan solas)"&amp;" · ","")&amp;IF((COUNTIF($H193:$K193,"&gt;1")+COUNTIF($H193:$K193,"&lt;0")+COUNTA($H193:$K193)-COUNT($H193:$K193))&gt;0,"Avance fuera de rango 0-100%"&amp;" · ","")&amp;IF(OR(AND($I193&lt;&gt;"",$I193&lt;$H193),AND($J193&lt;&gt;"",$J193&lt;MAX($H193:$I193)),AND($K193&lt;&gt;"",$K193&lt;MAX($H193:$J193))),"Avance semanal decreciente"&amp;" · ","")&amp;IF(AND(ISNUMBER($F193),$F193&lt;FechaRef,N($L193)&lt;1),"Vencida"&amp;" · ","")&amp;IF(AND(ObsObligatoria="Sí",ISNUMBER($F193),$F193&lt;FechaRef,N($L193)&lt;1,$N193=""),"Vencida sin observación"&amp;" · ",""),LEN(IF(AND($S193="Macro",$B193=""),"Macroactividad vacía"&amp;" · ","")&amp;IF(AND($B193&lt;&gt;"",$C193&lt;&gt;""),"Escriba la subactividad en otra fila, debajo de su macroactividad"&amp;" · ","")&amp;IF(AND($S193="Sub",N($R193)=0),"Subactividad sin macroactividad arriba"&amp;" · ","")&amp;IF($D193="","Sin responsable"&amp;" · ","")&amp;IF($E193="","Sin fecha de inicio"&amp;" · ","")&amp;IF($F193="","Sin fecha límite"&amp;" · ","")&amp;IF(OR(AND($E193&lt;&gt;"",NOT(ISNUMBER($E193))),AND($F193&lt;&gt;"",NOT(ISNUMBER($F193)))),"Fecha no válida"&amp;" · ","")&amp;IF(AND(ISNUMBER($E193),ISNUMBER($F193),$E193&gt;$F193),"Inicio posterior a fecha límite"&amp;" · ","")&amp;IF(AND($S193="Macro",$G193=""),"Peso vacío"&amp;" · ","")&amp;IF(AND($S193="Macro",$G193&lt;&gt;"",OR(NOT(ISNUMBER($G193)),$G193&lt;=0,$G193&gt;1)),"Peso fuera de rango"&amp;" · ","")&amp;IF(AND($S193="Sub",$G193&lt;&gt;""),"Las subactividades no llevan peso"&amp;" · ","")&amp;IF(AND($S193="Macro",ABS(SUMIFS($G$5:$G$1000,$P$5:$P$1000,$P193,$S$5:$S$1000,"Macro")-1)&gt;0.0001),"Pesos del mes suman "&amp;TEXT(SUMIFS($G$5:$G$1000,$P$5:$P$1000,$P193,$S$5:$S$1000,"Macro"),"0%")&amp;" · ","")&amp;IF(AND(N($T193)&gt;0,COUNT($H193:$K193)&gt;0),"Con subactividades: deje vacías las semanas (se calculan solas)"&amp;" · ","")&amp;IF((COUNTIF($H193:$K193,"&gt;1")+COUNTIF($H193:$K193,"&lt;0")+COUNTA($H193:$K193)-COUNT($H193:$K193))&gt;0,"Avance fuera de rango 0-100%"&amp;" · ","")&amp;IF(OR(AND($I193&lt;&gt;"",$I193&lt;$H193),AND($J193&lt;&gt;"",$J193&lt;MAX($H193:$I193)),AND($K193&lt;&gt;"",$K193&lt;MAX($H193:$J193))),"Avance semanal decreciente"&amp;" · ","")&amp;IF(AND(ISNUMBER($F193),$F193&lt;FechaRef,N($L193)&lt;1),"Vencida"&amp;" · ","")&amp;IF(AND(ObsObligatoria="Sí",ISNUMBER($F193),$F193&lt;FechaRef,N($L193)&lt;1,$N193=""),"Vencida sin observación"&amp;" · ",""))-3)))</f>
        <v/>
      </c>
      <c r="P193" s="69">
        <f>IF(NOT((COUNTA($B193:$K193)+COUNTA($N193))&gt;0),"",IF(AND($S193="Sub",N($R193)&gt;0),IF(ISNUMBER(INDEX($E$5:$E$1000,$R193-4)),DATE(YEAR(INDEX($E$5:$E$1000,$R193-4)),MONTH(INDEX($E$5:$E$1000,$R193-4)),1),IF(ISNUMBER(INDEX($F$5:$F$1000,$R193-4)),DATE(YEAR(INDEX($F$5:$F$1000,$R193-4)),MONTH(INDEX($F$5:$F$1000,$R193-4)),1),MesCiclo)),IF(ISNUMBER($E193),DATE(YEAR($E193),MONTH($E193),1),IF(ISNUMBER($F193),DATE(YEAR($F193),MONTH($F193),1),MesCiclo))))</f>
        <v/>
      </c>
      <c r="Q193" s="70">
        <f>IF(OR($P193="",$P193&lt;&gt;MesCiclo),"",COUNTIF($P$5:$P193,MesCiclo))</f>
        <v/>
      </c>
      <c r="R193" s="70">
        <f>IF($S193="","",IF($S193="Macro",ROW(),IFERROR(LOOKUP(2,1/($S$5:$S193="Macro"),ROW($S$5:$S193)),0)))</f>
        <v/>
      </c>
      <c r="S193" s="70">
        <f>IF(NOT((COUNTA($B193:$K193)+COUNTA($N193))&gt;0),"",IF($B193&lt;&gt;"","Macro",IF($C193&lt;&gt;"","Sub","Macro")))</f>
        <v/>
      </c>
      <c r="T193" s="70">
        <f>IF($S193="Macro",COUNTIFS($R$5:$R$1000,ROW(),$S$5:$S$1000,"Sub"),"")</f>
        <v/>
      </c>
      <c r="U193" s="70">
        <f>IF($S193="","",IF(ISNUMBER($H193),$H193,0))</f>
        <v/>
      </c>
      <c r="V193" s="70">
        <f>IF($S193="","",IF(ISNUMBER($I193),$I193,$U193))</f>
        <v/>
      </c>
      <c r="W193" s="70">
        <f>IF($S193="","",IF(ISNUMBER($J193),$J193,$V193))</f>
        <v/>
      </c>
      <c r="X193" s="70">
        <f>IF($S193="","",IF(ISNUMBER($K193),$K193,$W193))</f>
        <v/>
      </c>
      <c r="Y193" s="70">
        <f>IF($S193="","",IF(N($T193)&gt;0,AVERAGEIFS($U$5:$U$1000,$R$5:$R$1000,ROW(),$S$5:$S$1000,"Sub"),$U193))</f>
        <v/>
      </c>
      <c r="Z193" s="70">
        <f>IF($S193="","",IF(N($T193)&gt;0,AVERAGEIFS($V$5:$V$1000,$R$5:$R$1000,ROW(),$S$5:$S$1000,"Sub"),$V193))</f>
        <v/>
      </c>
      <c r="AA193" s="70">
        <f>IF($S193="","",IF(N($T193)&gt;0,AVERAGEIFS($W$5:$W$1000,$R$5:$R$1000,ROW(),$S$5:$S$1000,"Sub"),$W193))</f>
        <v/>
      </c>
      <c r="AB193" s="70">
        <f>IF($S193="","",IF(N($T193)&gt;0,AVERAGEIFS($X$5:$X$1000,$R$5:$R$1000,ROW(),$S$5:$S$1000,"Sub"),$X193))</f>
        <v/>
      </c>
    </row>
    <row r="194">
      <c r="A194" s="61">
        <f>IF(NOT((COUNTA($B194:$K194)+COUNTA($N194))&gt;0),"",IF($S194="Macro",COUNTIFS($S$5:$S194,"Macro",$P$5:$P194,$P194),IF(N($R194)=0,"?",COUNTIFS(INDEX($S$5:$S$1000,1):INDEX($S$5:$S$1000,$R194-4),"Macro",INDEX($P$5:$P$1000,1):INDEX($P$5:$P$1000,$R194-4),INDEX($P$5:$P$1000,$R194-4))&amp;"."&amp;COUNTIFS($R$5:$R194,$R194,$S$5:$S194,"Sub"))))</f>
        <v/>
      </c>
      <c r="B194" s="62" t="n"/>
      <c r="C194" s="63" t="n"/>
      <c r="D194" s="62" t="n"/>
      <c r="E194" s="64" t="n"/>
      <c r="F194" s="64" t="n"/>
      <c r="G194" s="65" t="n"/>
      <c r="H194" s="66" t="n"/>
      <c r="I194" s="66" t="n"/>
      <c r="J194" s="66" t="n"/>
      <c r="K194" s="66" t="n"/>
      <c r="L194" s="67">
        <f>IF(NOT((COUNTA($B194:$K194)+COUNTA($N194))&gt;0),"",IF(N($T194)&gt;0,$AB194,IFERROR(LOOKUP(2,1/(H194:K194&lt;&gt;""),H194:K194),0)))</f>
        <v/>
      </c>
      <c r="M194" s="61">
        <f>IF(L194="","",IF(L194&gt;=1,"Completado",IF(L194&gt;0,"En curso","Pendiente")))</f>
        <v/>
      </c>
      <c r="N194" s="62" t="n"/>
      <c r="O194" s="68">
        <f>IF(NOT((COUNTA($B194:$K194)+COUNTA($N194))&gt;0),"",IF((IF(AND($S194="Macro",$B194=""),"Macroactividad vacía"&amp;" · ","")&amp;IF(AND($B194&lt;&gt;"",$C194&lt;&gt;""),"Escriba la subactividad en otra fila, debajo de su macroactividad"&amp;" · ","")&amp;IF(AND($S194="Sub",N($R194)=0),"Subactividad sin macroactividad arriba"&amp;" · ","")&amp;IF($D194="","Sin responsable"&amp;" · ","")&amp;IF($E194="","Sin fecha de inicio"&amp;" · ","")&amp;IF($F194="","Sin fecha límite"&amp;" · ","")&amp;IF(OR(AND($E194&lt;&gt;"",NOT(ISNUMBER($E194))),AND($F194&lt;&gt;"",NOT(ISNUMBER($F194)))),"Fecha no válida"&amp;" · ","")&amp;IF(AND(ISNUMBER($E194),ISNUMBER($F194),$E194&gt;$F194),"Inicio posterior a fecha límite"&amp;" · ","")&amp;IF(AND($S194="Macro",$G194=""),"Peso vacío"&amp;" · ","")&amp;IF(AND($S194="Macro",$G194&lt;&gt;"",OR(NOT(ISNUMBER($G194)),$G194&lt;=0,$G194&gt;1)),"Peso fuera de rango"&amp;" · ","")&amp;IF(AND($S194="Sub",$G194&lt;&gt;""),"Las subactividades no llevan peso"&amp;" · ","")&amp;IF(AND($S194="Macro",ABS(SUMIFS($G$5:$G$1000,$P$5:$P$1000,$P194,$S$5:$S$1000,"Macro")-1)&gt;0.0001),"Pesos del mes suman "&amp;TEXT(SUMIFS($G$5:$G$1000,$P$5:$P$1000,$P194,$S$5:$S$1000,"Macro"),"0%")&amp;" · ","")&amp;IF(AND(N($T194)&gt;0,COUNT($H194:$K194)&gt;0),"Con subactividades: deje vacías las semanas (se calculan solas)"&amp;" · ","")&amp;IF((COUNTIF($H194:$K194,"&gt;1")+COUNTIF($H194:$K194,"&lt;0")+COUNTA($H194:$K194)-COUNT($H194:$K194))&gt;0,"Avance fuera de rango 0-100%"&amp;" · ","")&amp;IF(OR(AND($I194&lt;&gt;"",$I194&lt;$H194),AND($J194&lt;&gt;"",$J194&lt;MAX($H194:$I194)),AND($K194&lt;&gt;"",$K194&lt;MAX($H194:$J194))),"Avance semanal decreciente"&amp;" · ","")&amp;IF(AND(ISNUMBER($F194),$F194&lt;FechaRef,N($L194)&lt;1),"Vencida"&amp;" · ","")&amp;IF(AND(ObsObligatoria="Sí",ISNUMBER($F194),$F194&lt;FechaRef,N($L194)&lt;1,$N194=""),"Vencida sin observación"&amp;" · ",""))="","✔ OK","⚠ "&amp;LEFT(IF(AND($S194="Macro",$B194=""),"Macroactividad vacía"&amp;" · ","")&amp;IF(AND($B194&lt;&gt;"",$C194&lt;&gt;""),"Escriba la subactividad en otra fila, debajo de su macroactividad"&amp;" · ","")&amp;IF(AND($S194="Sub",N($R194)=0),"Subactividad sin macroactividad arriba"&amp;" · ","")&amp;IF($D194="","Sin responsable"&amp;" · ","")&amp;IF($E194="","Sin fecha de inicio"&amp;" · ","")&amp;IF($F194="","Sin fecha límite"&amp;" · ","")&amp;IF(OR(AND($E194&lt;&gt;"",NOT(ISNUMBER($E194))),AND($F194&lt;&gt;"",NOT(ISNUMBER($F194)))),"Fecha no válida"&amp;" · ","")&amp;IF(AND(ISNUMBER($E194),ISNUMBER($F194),$E194&gt;$F194),"Inicio posterior a fecha límite"&amp;" · ","")&amp;IF(AND($S194="Macro",$G194=""),"Peso vacío"&amp;" · ","")&amp;IF(AND($S194="Macro",$G194&lt;&gt;"",OR(NOT(ISNUMBER($G194)),$G194&lt;=0,$G194&gt;1)),"Peso fuera de rango"&amp;" · ","")&amp;IF(AND($S194="Sub",$G194&lt;&gt;""),"Las subactividades no llevan peso"&amp;" · ","")&amp;IF(AND($S194="Macro",ABS(SUMIFS($G$5:$G$1000,$P$5:$P$1000,$P194,$S$5:$S$1000,"Macro")-1)&gt;0.0001),"Pesos del mes suman "&amp;TEXT(SUMIFS($G$5:$G$1000,$P$5:$P$1000,$P194,$S$5:$S$1000,"Macro"),"0%")&amp;" · ","")&amp;IF(AND(N($T194)&gt;0,COUNT($H194:$K194)&gt;0),"Con subactividades: deje vacías las semanas (se calculan solas)"&amp;" · ","")&amp;IF((COUNTIF($H194:$K194,"&gt;1")+COUNTIF($H194:$K194,"&lt;0")+COUNTA($H194:$K194)-COUNT($H194:$K194))&gt;0,"Avance fuera de rango 0-100%"&amp;" · ","")&amp;IF(OR(AND($I194&lt;&gt;"",$I194&lt;$H194),AND($J194&lt;&gt;"",$J194&lt;MAX($H194:$I194)),AND($K194&lt;&gt;"",$K194&lt;MAX($H194:$J194))),"Avance semanal decreciente"&amp;" · ","")&amp;IF(AND(ISNUMBER($F194),$F194&lt;FechaRef,N($L194)&lt;1),"Vencida"&amp;" · ","")&amp;IF(AND(ObsObligatoria="Sí",ISNUMBER($F194),$F194&lt;FechaRef,N($L194)&lt;1,$N194=""),"Vencida sin observación"&amp;" · ",""),LEN(IF(AND($S194="Macro",$B194=""),"Macroactividad vacía"&amp;" · ","")&amp;IF(AND($B194&lt;&gt;"",$C194&lt;&gt;""),"Escriba la subactividad en otra fila, debajo de su macroactividad"&amp;" · ","")&amp;IF(AND($S194="Sub",N($R194)=0),"Subactividad sin macroactividad arriba"&amp;" · ","")&amp;IF($D194="","Sin responsable"&amp;" · ","")&amp;IF($E194="","Sin fecha de inicio"&amp;" · ","")&amp;IF($F194="","Sin fecha límite"&amp;" · ","")&amp;IF(OR(AND($E194&lt;&gt;"",NOT(ISNUMBER($E194))),AND($F194&lt;&gt;"",NOT(ISNUMBER($F194)))),"Fecha no válida"&amp;" · ","")&amp;IF(AND(ISNUMBER($E194),ISNUMBER($F194),$E194&gt;$F194),"Inicio posterior a fecha límite"&amp;" · ","")&amp;IF(AND($S194="Macro",$G194=""),"Peso vacío"&amp;" · ","")&amp;IF(AND($S194="Macro",$G194&lt;&gt;"",OR(NOT(ISNUMBER($G194)),$G194&lt;=0,$G194&gt;1)),"Peso fuera de rango"&amp;" · ","")&amp;IF(AND($S194="Sub",$G194&lt;&gt;""),"Las subactividades no llevan peso"&amp;" · ","")&amp;IF(AND($S194="Macro",ABS(SUMIFS($G$5:$G$1000,$P$5:$P$1000,$P194,$S$5:$S$1000,"Macro")-1)&gt;0.0001),"Pesos del mes suman "&amp;TEXT(SUMIFS($G$5:$G$1000,$P$5:$P$1000,$P194,$S$5:$S$1000,"Macro"),"0%")&amp;" · ","")&amp;IF(AND(N($T194)&gt;0,COUNT($H194:$K194)&gt;0),"Con subactividades: deje vacías las semanas (se calculan solas)"&amp;" · ","")&amp;IF((COUNTIF($H194:$K194,"&gt;1")+COUNTIF($H194:$K194,"&lt;0")+COUNTA($H194:$K194)-COUNT($H194:$K194))&gt;0,"Avance fuera de rango 0-100%"&amp;" · ","")&amp;IF(OR(AND($I194&lt;&gt;"",$I194&lt;$H194),AND($J194&lt;&gt;"",$J194&lt;MAX($H194:$I194)),AND($K194&lt;&gt;"",$K194&lt;MAX($H194:$J194))),"Avance semanal decreciente"&amp;" · ","")&amp;IF(AND(ISNUMBER($F194),$F194&lt;FechaRef,N($L194)&lt;1),"Vencida"&amp;" · ","")&amp;IF(AND(ObsObligatoria="Sí",ISNUMBER($F194),$F194&lt;FechaRef,N($L194)&lt;1,$N194=""),"Vencida sin observación"&amp;" · ",""))-3)))</f>
        <v/>
      </c>
      <c r="P194" s="69">
        <f>IF(NOT((COUNTA($B194:$K194)+COUNTA($N194))&gt;0),"",IF(AND($S194="Sub",N($R194)&gt;0),IF(ISNUMBER(INDEX($E$5:$E$1000,$R194-4)),DATE(YEAR(INDEX($E$5:$E$1000,$R194-4)),MONTH(INDEX($E$5:$E$1000,$R194-4)),1),IF(ISNUMBER(INDEX($F$5:$F$1000,$R194-4)),DATE(YEAR(INDEX($F$5:$F$1000,$R194-4)),MONTH(INDEX($F$5:$F$1000,$R194-4)),1),MesCiclo)),IF(ISNUMBER($E194),DATE(YEAR($E194),MONTH($E194),1),IF(ISNUMBER($F194),DATE(YEAR($F194),MONTH($F194),1),MesCiclo))))</f>
        <v/>
      </c>
      <c r="Q194" s="70">
        <f>IF(OR($P194="",$P194&lt;&gt;MesCiclo),"",COUNTIF($P$5:$P194,MesCiclo))</f>
        <v/>
      </c>
      <c r="R194" s="70">
        <f>IF($S194="","",IF($S194="Macro",ROW(),IFERROR(LOOKUP(2,1/($S$5:$S194="Macro"),ROW($S$5:$S194)),0)))</f>
        <v/>
      </c>
      <c r="S194" s="70">
        <f>IF(NOT((COUNTA($B194:$K194)+COUNTA($N194))&gt;0),"",IF($B194&lt;&gt;"","Macro",IF($C194&lt;&gt;"","Sub","Macro")))</f>
        <v/>
      </c>
      <c r="T194" s="70">
        <f>IF($S194="Macro",COUNTIFS($R$5:$R$1000,ROW(),$S$5:$S$1000,"Sub"),"")</f>
        <v/>
      </c>
      <c r="U194" s="70">
        <f>IF($S194="","",IF(ISNUMBER($H194),$H194,0))</f>
        <v/>
      </c>
      <c r="V194" s="70">
        <f>IF($S194="","",IF(ISNUMBER($I194),$I194,$U194))</f>
        <v/>
      </c>
      <c r="W194" s="70">
        <f>IF($S194="","",IF(ISNUMBER($J194),$J194,$V194))</f>
        <v/>
      </c>
      <c r="X194" s="70">
        <f>IF($S194="","",IF(ISNUMBER($K194),$K194,$W194))</f>
        <v/>
      </c>
      <c r="Y194" s="70">
        <f>IF($S194="","",IF(N($T194)&gt;0,AVERAGEIFS($U$5:$U$1000,$R$5:$R$1000,ROW(),$S$5:$S$1000,"Sub"),$U194))</f>
        <v/>
      </c>
      <c r="Z194" s="70">
        <f>IF($S194="","",IF(N($T194)&gt;0,AVERAGEIFS($V$5:$V$1000,$R$5:$R$1000,ROW(),$S$5:$S$1000,"Sub"),$V194))</f>
        <v/>
      </c>
      <c r="AA194" s="70">
        <f>IF($S194="","",IF(N($T194)&gt;0,AVERAGEIFS($W$5:$W$1000,$R$5:$R$1000,ROW(),$S$5:$S$1000,"Sub"),$W194))</f>
        <v/>
      </c>
      <c r="AB194" s="70">
        <f>IF($S194="","",IF(N($T194)&gt;0,AVERAGEIFS($X$5:$X$1000,$R$5:$R$1000,ROW(),$S$5:$S$1000,"Sub"),$X194))</f>
        <v/>
      </c>
    </row>
    <row r="195">
      <c r="A195" s="61">
        <f>IF(NOT((COUNTA($B195:$K195)+COUNTA($N195))&gt;0),"",IF($S195="Macro",COUNTIFS($S$5:$S195,"Macro",$P$5:$P195,$P195),IF(N($R195)=0,"?",COUNTIFS(INDEX($S$5:$S$1000,1):INDEX($S$5:$S$1000,$R195-4),"Macro",INDEX($P$5:$P$1000,1):INDEX($P$5:$P$1000,$R195-4),INDEX($P$5:$P$1000,$R195-4))&amp;"."&amp;COUNTIFS($R$5:$R195,$R195,$S$5:$S195,"Sub"))))</f>
        <v/>
      </c>
      <c r="B195" s="62" t="n"/>
      <c r="C195" s="63" t="n"/>
      <c r="D195" s="62" t="n"/>
      <c r="E195" s="64" t="n"/>
      <c r="F195" s="64" t="n"/>
      <c r="G195" s="65" t="n"/>
      <c r="H195" s="66" t="n"/>
      <c r="I195" s="66" t="n"/>
      <c r="J195" s="66" t="n"/>
      <c r="K195" s="66" t="n"/>
      <c r="L195" s="67">
        <f>IF(NOT((COUNTA($B195:$K195)+COUNTA($N195))&gt;0),"",IF(N($T195)&gt;0,$AB195,IFERROR(LOOKUP(2,1/(H195:K195&lt;&gt;""),H195:K195),0)))</f>
        <v/>
      </c>
      <c r="M195" s="61">
        <f>IF(L195="","",IF(L195&gt;=1,"Completado",IF(L195&gt;0,"En curso","Pendiente")))</f>
        <v/>
      </c>
      <c r="N195" s="62" t="n"/>
      <c r="O195" s="68">
        <f>IF(NOT((COUNTA($B195:$K195)+COUNTA($N195))&gt;0),"",IF((IF(AND($S195="Macro",$B195=""),"Macroactividad vacía"&amp;" · ","")&amp;IF(AND($B195&lt;&gt;"",$C195&lt;&gt;""),"Escriba la subactividad en otra fila, debajo de su macroactividad"&amp;" · ","")&amp;IF(AND($S195="Sub",N($R195)=0),"Subactividad sin macroactividad arriba"&amp;" · ","")&amp;IF($D195="","Sin responsable"&amp;" · ","")&amp;IF($E195="","Sin fecha de inicio"&amp;" · ","")&amp;IF($F195="","Sin fecha límite"&amp;" · ","")&amp;IF(OR(AND($E195&lt;&gt;"",NOT(ISNUMBER($E195))),AND($F195&lt;&gt;"",NOT(ISNUMBER($F195)))),"Fecha no válida"&amp;" · ","")&amp;IF(AND(ISNUMBER($E195),ISNUMBER($F195),$E195&gt;$F195),"Inicio posterior a fecha límite"&amp;" · ","")&amp;IF(AND($S195="Macro",$G195=""),"Peso vacío"&amp;" · ","")&amp;IF(AND($S195="Macro",$G195&lt;&gt;"",OR(NOT(ISNUMBER($G195)),$G195&lt;=0,$G195&gt;1)),"Peso fuera de rango"&amp;" · ","")&amp;IF(AND($S195="Sub",$G195&lt;&gt;""),"Las subactividades no llevan peso"&amp;" · ","")&amp;IF(AND($S195="Macro",ABS(SUMIFS($G$5:$G$1000,$P$5:$P$1000,$P195,$S$5:$S$1000,"Macro")-1)&gt;0.0001),"Pesos del mes suman "&amp;TEXT(SUMIFS($G$5:$G$1000,$P$5:$P$1000,$P195,$S$5:$S$1000,"Macro"),"0%")&amp;" · ","")&amp;IF(AND(N($T195)&gt;0,COUNT($H195:$K195)&gt;0),"Con subactividades: deje vacías las semanas (se calculan solas)"&amp;" · ","")&amp;IF((COUNTIF($H195:$K195,"&gt;1")+COUNTIF($H195:$K195,"&lt;0")+COUNTA($H195:$K195)-COUNT($H195:$K195))&gt;0,"Avance fuera de rango 0-100%"&amp;" · ","")&amp;IF(OR(AND($I195&lt;&gt;"",$I195&lt;$H195),AND($J195&lt;&gt;"",$J195&lt;MAX($H195:$I195)),AND($K195&lt;&gt;"",$K195&lt;MAX($H195:$J195))),"Avance semanal decreciente"&amp;" · ","")&amp;IF(AND(ISNUMBER($F195),$F195&lt;FechaRef,N($L195)&lt;1),"Vencida"&amp;" · ","")&amp;IF(AND(ObsObligatoria="Sí",ISNUMBER($F195),$F195&lt;FechaRef,N($L195)&lt;1,$N195=""),"Vencida sin observación"&amp;" · ",""))="","✔ OK","⚠ "&amp;LEFT(IF(AND($S195="Macro",$B195=""),"Macroactividad vacía"&amp;" · ","")&amp;IF(AND($B195&lt;&gt;"",$C195&lt;&gt;""),"Escriba la subactividad en otra fila, debajo de su macroactividad"&amp;" · ","")&amp;IF(AND($S195="Sub",N($R195)=0),"Subactividad sin macroactividad arriba"&amp;" · ","")&amp;IF($D195="","Sin responsable"&amp;" · ","")&amp;IF($E195="","Sin fecha de inicio"&amp;" · ","")&amp;IF($F195="","Sin fecha límite"&amp;" · ","")&amp;IF(OR(AND($E195&lt;&gt;"",NOT(ISNUMBER($E195))),AND($F195&lt;&gt;"",NOT(ISNUMBER($F195)))),"Fecha no válida"&amp;" · ","")&amp;IF(AND(ISNUMBER($E195),ISNUMBER($F195),$E195&gt;$F195),"Inicio posterior a fecha límite"&amp;" · ","")&amp;IF(AND($S195="Macro",$G195=""),"Peso vacío"&amp;" · ","")&amp;IF(AND($S195="Macro",$G195&lt;&gt;"",OR(NOT(ISNUMBER($G195)),$G195&lt;=0,$G195&gt;1)),"Peso fuera de rango"&amp;" · ","")&amp;IF(AND($S195="Sub",$G195&lt;&gt;""),"Las subactividades no llevan peso"&amp;" · ","")&amp;IF(AND($S195="Macro",ABS(SUMIFS($G$5:$G$1000,$P$5:$P$1000,$P195,$S$5:$S$1000,"Macro")-1)&gt;0.0001),"Pesos del mes suman "&amp;TEXT(SUMIFS($G$5:$G$1000,$P$5:$P$1000,$P195,$S$5:$S$1000,"Macro"),"0%")&amp;" · ","")&amp;IF(AND(N($T195)&gt;0,COUNT($H195:$K195)&gt;0),"Con subactividades: deje vacías las semanas (se calculan solas)"&amp;" · ","")&amp;IF((COUNTIF($H195:$K195,"&gt;1")+COUNTIF($H195:$K195,"&lt;0")+COUNTA($H195:$K195)-COUNT($H195:$K195))&gt;0,"Avance fuera de rango 0-100%"&amp;" · ","")&amp;IF(OR(AND($I195&lt;&gt;"",$I195&lt;$H195),AND($J195&lt;&gt;"",$J195&lt;MAX($H195:$I195)),AND($K195&lt;&gt;"",$K195&lt;MAX($H195:$J195))),"Avance semanal decreciente"&amp;" · ","")&amp;IF(AND(ISNUMBER($F195),$F195&lt;FechaRef,N($L195)&lt;1),"Vencida"&amp;" · ","")&amp;IF(AND(ObsObligatoria="Sí",ISNUMBER($F195),$F195&lt;FechaRef,N($L195)&lt;1,$N195=""),"Vencida sin observación"&amp;" · ",""),LEN(IF(AND($S195="Macro",$B195=""),"Macroactividad vacía"&amp;" · ","")&amp;IF(AND($B195&lt;&gt;"",$C195&lt;&gt;""),"Escriba la subactividad en otra fila, debajo de su macroactividad"&amp;" · ","")&amp;IF(AND($S195="Sub",N($R195)=0),"Subactividad sin macroactividad arriba"&amp;" · ","")&amp;IF($D195="","Sin responsable"&amp;" · ","")&amp;IF($E195="","Sin fecha de inicio"&amp;" · ","")&amp;IF($F195="","Sin fecha límite"&amp;" · ","")&amp;IF(OR(AND($E195&lt;&gt;"",NOT(ISNUMBER($E195))),AND($F195&lt;&gt;"",NOT(ISNUMBER($F195)))),"Fecha no válida"&amp;" · ","")&amp;IF(AND(ISNUMBER($E195),ISNUMBER($F195),$E195&gt;$F195),"Inicio posterior a fecha límite"&amp;" · ","")&amp;IF(AND($S195="Macro",$G195=""),"Peso vacío"&amp;" · ","")&amp;IF(AND($S195="Macro",$G195&lt;&gt;"",OR(NOT(ISNUMBER($G195)),$G195&lt;=0,$G195&gt;1)),"Peso fuera de rango"&amp;" · ","")&amp;IF(AND($S195="Sub",$G195&lt;&gt;""),"Las subactividades no llevan peso"&amp;" · ","")&amp;IF(AND($S195="Macro",ABS(SUMIFS($G$5:$G$1000,$P$5:$P$1000,$P195,$S$5:$S$1000,"Macro")-1)&gt;0.0001),"Pesos del mes suman "&amp;TEXT(SUMIFS($G$5:$G$1000,$P$5:$P$1000,$P195,$S$5:$S$1000,"Macro"),"0%")&amp;" · ","")&amp;IF(AND(N($T195)&gt;0,COUNT($H195:$K195)&gt;0),"Con subactividades: deje vacías las semanas (se calculan solas)"&amp;" · ","")&amp;IF((COUNTIF($H195:$K195,"&gt;1")+COUNTIF($H195:$K195,"&lt;0")+COUNTA($H195:$K195)-COUNT($H195:$K195))&gt;0,"Avance fuera de rango 0-100%"&amp;" · ","")&amp;IF(OR(AND($I195&lt;&gt;"",$I195&lt;$H195),AND($J195&lt;&gt;"",$J195&lt;MAX($H195:$I195)),AND($K195&lt;&gt;"",$K195&lt;MAX($H195:$J195))),"Avance semanal decreciente"&amp;" · ","")&amp;IF(AND(ISNUMBER($F195),$F195&lt;FechaRef,N($L195)&lt;1),"Vencida"&amp;" · ","")&amp;IF(AND(ObsObligatoria="Sí",ISNUMBER($F195),$F195&lt;FechaRef,N($L195)&lt;1,$N195=""),"Vencida sin observación"&amp;" · ",""))-3)))</f>
        <v/>
      </c>
      <c r="P195" s="69">
        <f>IF(NOT((COUNTA($B195:$K195)+COUNTA($N195))&gt;0),"",IF(AND($S195="Sub",N($R195)&gt;0),IF(ISNUMBER(INDEX($E$5:$E$1000,$R195-4)),DATE(YEAR(INDEX($E$5:$E$1000,$R195-4)),MONTH(INDEX($E$5:$E$1000,$R195-4)),1),IF(ISNUMBER(INDEX($F$5:$F$1000,$R195-4)),DATE(YEAR(INDEX($F$5:$F$1000,$R195-4)),MONTH(INDEX($F$5:$F$1000,$R195-4)),1),MesCiclo)),IF(ISNUMBER($E195),DATE(YEAR($E195),MONTH($E195),1),IF(ISNUMBER($F195),DATE(YEAR($F195),MONTH($F195),1),MesCiclo))))</f>
        <v/>
      </c>
      <c r="Q195" s="70">
        <f>IF(OR($P195="",$P195&lt;&gt;MesCiclo),"",COUNTIF($P$5:$P195,MesCiclo))</f>
        <v/>
      </c>
      <c r="R195" s="70">
        <f>IF($S195="","",IF($S195="Macro",ROW(),IFERROR(LOOKUP(2,1/($S$5:$S195="Macro"),ROW($S$5:$S195)),0)))</f>
        <v/>
      </c>
      <c r="S195" s="70">
        <f>IF(NOT((COUNTA($B195:$K195)+COUNTA($N195))&gt;0),"",IF($B195&lt;&gt;"","Macro",IF($C195&lt;&gt;"","Sub","Macro")))</f>
        <v/>
      </c>
      <c r="T195" s="70">
        <f>IF($S195="Macro",COUNTIFS($R$5:$R$1000,ROW(),$S$5:$S$1000,"Sub"),"")</f>
        <v/>
      </c>
      <c r="U195" s="70">
        <f>IF($S195="","",IF(ISNUMBER($H195),$H195,0))</f>
        <v/>
      </c>
      <c r="V195" s="70">
        <f>IF($S195="","",IF(ISNUMBER($I195),$I195,$U195))</f>
        <v/>
      </c>
      <c r="W195" s="70">
        <f>IF($S195="","",IF(ISNUMBER($J195),$J195,$V195))</f>
        <v/>
      </c>
      <c r="X195" s="70">
        <f>IF($S195="","",IF(ISNUMBER($K195),$K195,$W195))</f>
        <v/>
      </c>
      <c r="Y195" s="70">
        <f>IF($S195="","",IF(N($T195)&gt;0,AVERAGEIFS($U$5:$U$1000,$R$5:$R$1000,ROW(),$S$5:$S$1000,"Sub"),$U195))</f>
        <v/>
      </c>
      <c r="Z195" s="70">
        <f>IF($S195="","",IF(N($T195)&gt;0,AVERAGEIFS($V$5:$V$1000,$R$5:$R$1000,ROW(),$S$5:$S$1000,"Sub"),$V195))</f>
        <v/>
      </c>
      <c r="AA195" s="70">
        <f>IF($S195="","",IF(N($T195)&gt;0,AVERAGEIFS($W$5:$W$1000,$R$5:$R$1000,ROW(),$S$5:$S$1000,"Sub"),$W195))</f>
        <v/>
      </c>
      <c r="AB195" s="70">
        <f>IF($S195="","",IF(N($T195)&gt;0,AVERAGEIFS($X$5:$X$1000,$R$5:$R$1000,ROW(),$S$5:$S$1000,"Sub"),$X195))</f>
        <v/>
      </c>
    </row>
    <row r="196">
      <c r="A196" s="61">
        <f>IF(NOT((COUNTA($B196:$K196)+COUNTA($N196))&gt;0),"",IF($S196="Macro",COUNTIFS($S$5:$S196,"Macro",$P$5:$P196,$P196),IF(N($R196)=0,"?",COUNTIFS(INDEX($S$5:$S$1000,1):INDEX($S$5:$S$1000,$R196-4),"Macro",INDEX($P$5:$P$1000,1):INDEX($P$5:$P$1000,$R196-4),INDEX($P$5:$P$1000,$R196-4))&amp;"."&amp;COUNTIFS($R$5:$R196,$R196,$S$5:$S196,"Sub"))))</f>
        <v/>
      </c>
      <c r="B196" s="62" t="n"/>
      <c r="C196" s="63" t="n"/>
      <c r="D196" s="62" t="n"/>
      <c r="E196" s="64" t="n"/>
      <c r="F196" s="64" t="n"/>
      <c r="G196" s="65" t="n"/>
      <c r="H196" s="66" t="n"/>
      <c r="I196" s="66" t="n"/>
      <c r="J196" s="66" t="n"/>
      <c r="K196" s="66" t="n"/>
      <c r="L196" s="67">
        <f>IF(NOT((COUNTA($B196:$K196)+COUNTA($N196))&gt;0),"",IF(N($T196)&gt;0,$AB196,IFERROR(LOOKUP(2,1/(H196:K196&lt;&gt;""),H196:K196),0)))</f>
        <v/>
      </c>
      <c r="M196" s="61">
        <f>IF(L196="","",IF(L196&gt;=1,"Completado",IF(L196&gt;0,"En curso","Pendiente")))</f>
        <v/>
      </c>
      <c r="N196" s="62" t="n"/>
      <c r="O196" s="68">
        <f>IF(NOT((COUNTA($B196:$K196)+COUNTA($N196))&gt;0),"",IF((IF(AND($S196="Macro",$B196=""),"Macroactividad vacía"&amp;" · ","")&amp;IF(AND($B196&lt;&gt;"",$C196&lt;&gt;""),"Escriba la subactividad en otra fila, debajo de su macroactividad"&amp;" · ","")&amp;IF(AND($S196="Sub",N($R196)=0),"Subactividad sin macroactividad arriba"&amp;" · ","")&amp;IF($D196="","Sin responsable"&amp;" · ","")&amp;IF($E196="","Sin fecha de inicio"&amp;" · ","")&amp;IF($F196="","Sin fecha límite"&amp;" · ","")&amp;IF(OR(AND($E196&lt;&gt;"",NOT(ISNUMBER($E196))),AND($F196&lt;&gt;"",NOT(ISNUMBER($F196)))),"Fecha no válida"&amp;" · ","")&amp;IF(AND(ISNUMBER($E196),ISNUMBER($F196),$E196&gt;$F196),"Inicio posterior a fecha límite"&amp;" · ","")&amp;IF(AND($S196="Macro",$G196=""),"Peso vacío"&amp;" · ","")&amp;IF(AND($S196="Macro",$G196&lt;&gt;"",OR(NOT(ISNUMBER($G196)),$G196&lt;=0,$G196&gt;1)),"Peso fuera de rango"&amp;" · ","")&amp;IF(AND($S196="Sub",$G196&lt;&gt;""),"Las subactividades no llevan peso"&amp;" · ","")&amp;IF(AND($S196="Macro",ABS(SUMIFS($G$5:$G$1000,$P$5:$P$1000,$P196,$S$5:$S$1000,"Macro")-1)&gt;0.0001),"Pesos del mes suman "&amp;TEXT(SUMIFS($G$5:$G$1000,$P$5:$P$1000,$P196,$S$5:$S$1000,"Macro"),"0%")&amp;" · ","")&amp;IF(AND(N($T196)&gt;0,COUNT($H196:$K196)&gt;0),"Con subactividades: deje vacías las semanas (se calculan solas)"&amp;" · ","")&amp;IF((COUNTIF($H196:$K196,"&gt;1")+COUNTIF($H196:$K196,"&lt;0")+COUNTA($H196:$K196)-COUNT($H196:$K196))&gt;0,"Avance fuera de rango 0-100%"&amp;" · ","")&amp;IF(OR(AND($I196&lt;&gt;"",$I196&lt;$H196),AND($J196&lt;&gt;"",$J196&lt;MAX($H196:$I196)),AND($K196&lt;&gt;"",$K196&lt;MAX($H196:$J196))),"Avance semanal decreciente"&amp;" · ","")&amp;IF(AND(ISNUMBER($F196),$F196&lt;FechaRef,N($L196)&lt;1),"Vencida"&amp;" · ","")&amp;IF(AND(ObsObligatoria="Sí",ISNUMBER($F196),$F196&lt;FechaRef,N($L196)&lt;1,$N196=""),"Vencida sin observación"&amp;" · ",""))="","✔ OK","⚠ "&amp;LEFT(IF(AND($S196="Macro",$B196=""),"Macroactividad vacía"&amp;" · ","")&amp;IF(AND($B196&lt;&gt;"",$C196&lt;&gt;""),"Escriba la subactividad en otra fila, debajo de su macroactividad"&amp;" · ","")&amp;IF(AND($S196="Sub",N($R196)=0),"Subactividad sin macroactividad arriba"&amp;" · ","")&amp;IF($D196="","Sin responsable"&amp;" · ","")&amp;IF($E196="","Sin fecha de inicio"&amp;" · ","")&amp;IF($F196="","Sin fecha límite"&amp;" · ","")&amp;IF(OR(AND($E196&lt;&gt;"",NOT(ISNUMBER($E196))),AND($F196&lt;&gt;"",NOT(ISNUMBER($F196)))),"Fecha no válida"&amp;" · ","")&amp;IF(AND(ISNUMBER($E196),ISNUMBER($F196),$E196&gt;$F196),"Inicio posterior a fecha límite"&amp;" · ","")&amp;IF(AND($S196="Macro",$G196=""),"Peso vacío"&amp;" · ","")&amp;IF(AND($S196="Macro",$G196&lt;&gt;"",OR(NOT(ISNUMBER($G196)),$G196&lt;=0,$G196&gt;1)),"Peso fuera de rango"&amp;" · ","")&amp;IF(AND($S196="Sub",$G196&lt;&gt;""),"Las subactividades no llevan peso"&amp;" · ","")&amp;IF(AND($S196="Macro",ABS(SUMIFS($G$5:$G$1000,$P$5:$P$1000,$P196,$S$5:$S$1000,"Macro")-1)&gt;0.0001),"Pesos del mes suman "&amp;TEXT(SUMIFS($G$5:$G$1000,$P$5:$P$1000,$P196,$S$5:$S$1000,"Macro"),"0%")&amp;" · ","")&amp;IF(AND(N($T196)&gt;0,COUNT($H196:$K196)&gt;0),"Con subactividades: deje vacías las semanas (se calculan solas)"&amp;" · ","")&amp;IF((COUNTIF($H196:$K196,"&gt;1")+COUNTIF($H196:$K196,"&lt;0")+COUNTA($H196:$K196)-COUNT($H196:$K196))&gt;0,"Avance fuera de rango 0-100%"&amp;" · ","")&amp;IF(OR(AND($I196&lt;&gt;"",$I196&lt;$H196),AND($J196&lt;&gt;"",$J196&lt;MAX($H196:$I196)),AND($K196&lt;&gt;"",$K196&lt;MAX($H196:$J196))),"Avance semanal decreciente"&amp;" · ","")&amp;IF(AND(ISNUMBER($F196),$F196&lt;FechaRef,N($L196)&lt;1),"Vencida"&amp;" · ","")&amp;IF(AND(ObsObligatoria="Sí",ISNUMBER($F196),$F196&lt;FechaRef,N($L196)&lt;1,$N196=""),"Vencida sin observación"&amp;" · ",""),LEN(IF(AND($S196="Macro",$B196=""),"Macroactividad vacía"&amp;" · ","")&amp;IF(AND($B196&lt;&gt;"",$C196&lt;&gt;""),"Escriba la subactividad en otra fila, debajo de su macroactividad"&amp;" · ","")&amp;IF(AND($S196="Sub",N($R196)=0),"Subactividad sin macroactividad arriba"&amp;" · ","")&amp;IF($D196="","Sin responsable"&amp;" · ","")&amp;IF($E196="","Sin fecha de inicio"&amp;" · ","")&amp;IF($F196="","Sin fecha límite"&amp;" · ","")&amp;IF(OR(AND($E196&lt;&gt;"",NOT(ISNUMBER($E196))),AND($F196&lt;&gt;"",NOT(ISNUMBER($F196)))),"Fecha no válida"&amp;" · ","")&amp;IF(AND(ISNUMBER($E196),ISNUMBER($F196),$E196&gt;$F196),"Inicio posterior a fecha límite"&amp;" · ","")&amp;IF(AND($S196="Macro",$G196=""),"Peso vacío"&amp;" · ","")&amp;IF(AND($S196="Macro",$G196&lt;&gt;"",OR(NOT(ISNUMBER($G196)),$G196&lt;=0,$G196&gt;1)),"Peso fuera de rango"&amp;" · ","")&amp;IF(AND($S196="Sub",$G196&lt;&gt;""),"Las subactividades no llevan peso"&amp;" · ","")&amp;IF(AND($S196="Macro",ABS(SUMIFS($G$5:$G$1000,$P$5:$P$1000,$P196,$S$5:$S$1000,"Macro")-1)&gt;0.0001),"Pesos del mes suman "&amp;TEXT(SUMIFS($G$5:$G$1000,$P$5:$P$1000,$P196,$S$5:$S$1000,"Macro"),"0%")&amp;" · ","")&amp;IF(AND(N($T196)&gt;0,COUNT($H196:$K196)&gt;0),"Con subactividades: deje vacías las semanas (se calculan solas)"&amp;" · ","")&amp;IF((COUNTIF($H196:$K196,"&gt;1")+COUNTIF($H196:$K196,"&lt;0")+COUNTA($H196:$K196)-COUNT($H196:$K196))&gt;0,"Avance fuera de rango 0-100%"&amp;" · ","")&amp;IF(OR(AND($I196&lt;&gt;"",$I196&lt;$H196),AND($J196&lt;&gt;"",$J196&lt;MAX($H196:$I196)),AND($K196&lt;&gt;"",$K196&lt;MAX($H196:$J196))),"Avance semanal decreciente"&amp;" · ","")&amp;IF(AND(ISNUMBER($F196),$F196&lt;FechaRef,N($L196)&lt;1),"Vencida"&amp;" · ","")&amp;IF(AND(ObsObligatoria="Sí",ISNUMBER($F196),$F196&lt;FechaRef,N($L196)&lt;1,$N196=""),"Vencida sin observación"&amp;" · ",""))-3)))</f>
        <v/>
      </c>
      <c r="P196" s="69">
        <f>IF(NOT((COUNTA($B196:$K196)+COUNTA($N196))&gt;0),"",IF(AND($S196="Sub",N($R196)&gt;0),IF(ISNUMBER(INDEX($E$5:$E$1000,$R196-4)),DATE(YEAR(INDEX($E$5:$E$1000,$R196-4)),MONTH(INDEX($E$5:$E$1000,$R196-4)),1),IF(ISNUMBER(INDEX($F$5:$F$1000,$R196-4)),DATE(YEAR(INDEX($F$5:$F$1000,$R196-4)),MONTH(INDEX($F$5:$F$1000,$R196-4)),1),MesCiclo)),IF(ISNUMBER($E196),DATE(YEAR($E196),MONTH($E196),1),IF(ISNUMBER($F196),DATE(YEAR($F196),MONTH($F196),1),MesCiclo))))</f>
        <v/>
      </c>
      <c r="Q196" s="70">
        <f>IF(OR($P196="",$P196&lt;&gt;MesCiclo),"",COUNTIF($P$5:$P196,MesCiclo))</f>
        <v/>
      </c>
      <c r="R196" s="70">
        <f>IF($S196="","",IF($S196="Macro",ROW(),IFERROR(LOOKUP(2,1/($S$5:$S196="Macro"),ROW($S$5:$S196)),0)))</f>
        <v/>
      </c>
      <c r="S196" s="70">
        <f>IF(NOT((COUNTA($B196:$K196)+COUNTA($N196))&gt;0),"",IF($B196&lt;&gt;"","Macro",IF($C196&lt;&gt;"","Sub","Macro")))</f>
        <v/>
      </c>
      <c r="T196" s="70">
        <f>IF($S196="Macro",COUNTIFS($R$5:$R$1000,ROW(),$S$5:$S$1000,"Sub"),"")</f>
        <v/>
      </c>
      <c r="U196" s="70">
        <f>IF($S196="","",IF(ISNUMBER($H196),$H196,0))</f>
        <v/>
      </c>
      <c r="V196" s="70">
        <f>IF($S196="","",IF(ISNUMBER($I196),$I196,$U196))</f>
        <v/>
      </c>
      <c r="W196" s="70">
        <f>IF($S196="","",IF(ISNUMBER($J196),$J196,$V196))</f>
        <v/>
      </c>
      <c r="X196" s="70">
        <f>IF($S196="","",IF(ISNUMBER($K196),$K196,$W196))</f>
        <v/>
      </c>
      <c r="Y196" s="70">
        <f>IF($S196="","",IF(N($T196)&gt;0,AVERAGEIFS($U$5:$U$1000,$R$5:$R$1000,ROW(),$S$5:$S$1000,"Sub"),$U196))</f>
        <v/>
      </c>
      <c r="Z196" s="70">
        <f>IF($S196="","",IF(N($T196)&gt;0,AVERAGEIFS($V$5:$V$1000,$R$5:$R$1000,ROW(),$S$5:$S$1000,"Sub"),$V196))</f>
        <v/>
      </c>
      <c r="AA196" s="70">
        <f>IF($S196="","",IF(N($T196)&gt;0,AVERAGEIFS($W$5:$W$1000,$R$5:$R$1000,ROW(),$S$5:$S$1000,"Sub"),$W196))</f>
        <v/>
      </c>
      <c r="AB196" s="70">
        <f>IF($S196="","",IF(N($T196)&gt;0,AVERAGEIFS($X$5:$X$1000,$R$5:$R$1000,ROW(),$S$5:$S$1000,"Sub"),$X196))</f>
        <v/>
      </c>
    </row>
    <row r="197">
      <c r="A197" s="61">
        <f>IF(NOT((COUNTA($B197:$K197)+COUNTA($N197))&gt;0),"",IF($S197="Macro",COUNTIFS($S$5:$S197,"Macro",$P$5:$P197,$P197),IF(N($R197)=0,"?",COUNTIFS(INDEX($S$5:$S$1000,1):INDEX($S$5:$S$1000,$R197-4),"Macro",INDEX($P$5:$P$1000,1):INDEX($P$5:$P$1000,$R197-4),INDEX($P$5:$P$1000,$R197-4))&amp;"."&amp;COUNTIFS($R$5:$R197,$R197,$S$5:$S197,"Sub"))))</f>
        <v/>
      </c>
      <c r="B197" s="62" t="n"/>
      <c r="C197" s="63" t="n"/>
      <c r="D197" s="62" t="n"/>
      <c r="E197" s="64" t="n"/>
      <c r="F197" s="64" t="n"/>
      <c r="G197" s="65" t="n"/>
      <c r="H197" s="66" t="n"/>
      <c r="I197" s="66" t="n"/>
      <c r="J197" s="66" t="n"/>
      <c r="K197" s="66" t="n"/>
      <c r="L197" s="67">
        <f>IF(NOT((COUNTA($B197:$K197)+COUNTA($N197))&gt;0),"",IF(N($T197)&gt;0,$AB197,IFERROR(LOOKUP(2,1/(H197:K197&lt;&gt;""),H197:K197),0)))</f>
        <v/>
      </c>
      <c r="M197" s="61">
        <f>IF(L197="","",IF(L197&gt;=1,"Completado",IF(L197&gt;0,"En curso","Pendiente")))</f>
        <v/>
      </c>
      <c r="N197" s="62" t="n"/>
      <c r="O197" s="68">
        <f>IF(NOT((COUNTA($B197:$K197)+COUNTA($N197))&gt;0),"",IF((IF(AND($S197="Macro",$B197=""),"Macroactividad vacía"&amp;" · ","")&amp;IF(AND($B197&lt;&gt;"",$C197&lt;&gt;""),"Escriba la subactividad en otra fila, debajo de su macroactividad"&amp;" · ","")&amp;IF(AND($S197="Sub",N($R197)=0),"Subactividad sin macroactividad arriba"&amp;" · ","")&amp;IF($D197="","Sin responsable"&amp;" · ","")&amp;IF($E197="","Sin fecha de inicio"&amp;" · ","")&amp;IF($F197="","Sin fecha límite"&amp;" · ","")&amp;IF(OR(AND($E197&lt;&gt;"",NOT(ISNUMBER($E197))),AND($F197&lt;&gt;"",NOT(ISNUMBER($F197)))),"Fecha no válida"&amp;" · ","")&amp;IF(AND(ISNUMBER($E197),ISNUMBER($F197),$E197&gt;$F197),"Inicio posterior a fecha límite"&amp;" · ","")&amp;IF(AND($S197="Macro",$G197=""),"Peso vacío"&amp;" · ","")&amp;IF(AND($S197="Macro",$G197&lt;&gt;"",OR(NOT(ISNUMBER($G197)),$G197&lt;=0,$G197&gt;1)),"Peso fuera de rango"&amp;" · ","")&amp;IF(AND($S197="Sub",$G197&lt;&gt;""),"Las subactividades no llevan peso"&amp;" · ","")&amp;IF(AND($S197="Macro",ABS(SUMIFS($G$5:$G$1000,$P$5:$P$1000,$P197,$S$5:$S$1000,"Macro")-1)&gt;0.0001),"Pesos del mes suman "&amp;TEXT(SUMIFS($G$5:$G$1000,$P$5:$P$1000,$P197,$S$5:$S$1000,"Macro"),"0%")&amp;" · ","")&amp;IF(AND(N($T197)&gt;0,COUNT($H197:$K197)&gt;0),"Con subactividades: deje vacías las semanas (se calculan solas)"&amp;" · ","")&amp;IF((COUNTIF($H197:$K197,"&gt;1")+COUNTIF($H197:$K197,"&lt;0")+COUNTA($H197:$K197)-COUNT($H197:$K197))&gt;0,"Avance fuera de rango 0-100%"&amp;" · ","")&amp;IF(OR(AND($I197&lt;&gt;"",$I197&lt;$H197),AND($J197&lt;&gt;"",$J197&lt;MAX($H197:$I197)),AND($K197&lt;&gt;"",$K197&lt;MAX($H197:$J197))),"Avance semanal decreciente"&amp;" · ","")&amp;IF(AND(ISNUMBER($F197),$F197&lt;FechaRef,N($L197)&lt;1),"Vencida"&amp;" · ","")&amp;IF(AND(ObsObligatoria="Sí",ISNUMBER($F197),$F197&lt;FechaRef,N($L197)&lt;1,$N197=""),"Vencida sin observación"&amp;" · ",""))="","✔ OK","⚠ "&amp;LEFT(IF(AND($S197="Macro",$B197=""),"Macroactividad vacía"&amp;" · ","")&amp;IF(AND($B197&lt;&gt;"",$C197&lt;&gt;""),"Escriba la subactividad en otra fila, debajo de su macroactividad"&amp;" · ","")&amp;IF(AND($S197="Sub",N($R197)=0),"Subactividad sin macroactividad arriba"&amp;" · ","")&amp;IF($D197="","Sin responsable"&amp;" · ","")&amp;IF($E197="","Sin fecha de inicio"&amp;" · ","")&amp;IF($F197="","Sin fecha límite"&amp;" · ","")&amp;IF(OR(AND($E197&lt;&gt;"",NOT(ISNUMBER($E197))),AND($F197&lt;&gt;"",NOT(ISNUMBER($F197)))),"Fecha no válida"&amp;" · ","")&amp;IF(AND(ISNUMBER($E197),ISNUMBER($F197),$E197&gt;$F197),"Inicio posterior a fecha límite"&amp;" · ","")&amp;IF(AND($S197="Macro",$G197=""),"Peso vacío"&amp;" · ","")&amp;IF(AND($S197="Macro",$G197&lt;&gt;"",OR(NOT(ISNUMBER($G197)),$G197&lt;=0,$G197&gt;1)),"Peso fuera de rango"&amp;" · ","")&amp;IF(AND($S197="Sub",$G197&lt;&gt;""),"Las subactividades no llevan peso"&amp;" · ","")&amp;IF(AND($S197="Macro",ABS(SUMIFS($G$5:$G$1000,$P$5:$P$1000,$P197,$S$5:$S$1000,"Macro")-1)&gt;0.0001),"Pesos del mes suman "&amp;TEXT(SUMIFS($G$5:$G$1000,$P$5:$P$1000,$P197,$S$5:$S$1000,"Macro"),"0%")&amp;" · ","")&amp;IF(AND(N($T197)&gt;0,COUNT($H197:$K197)&gt;0),"Con subactividades: deje vacías las semanas (se calculan solas)"&amp;" · ","")&amp;IF((COUNTIF($H197:$K197,"&gt;1")+COUNTIF($H197:$K197,"&lt;0")+COUNTA($H197:$K197)-COUNT($H197:$K197))&gt;0,"Avance fuera de rango 0-100%"&amp;" · ","")&amp;IF(OR(AND($I197&lt;&gt;"",$I197&lt;$H197),AND($J197&lt;&gt;"",$J197&lt;MAX($H197:$I197)),AND($K197&lt;&gt;"",$K197&lt;MAX($H197:$J197))),"Avance semanal decreciente"&amp;" · ","")&amp;IF(AND(ISNUMBER($F197),$F197&lt;FechaRef,N($L197)&lt;1),"Vencida"&amp;" · ","")&amp;IF(AND(ObsObligatoria="Sí",ISNUMBER($F197),$F197&lt;FechaRef,N($L197)&lt;1,$N197=""),"Vencida sin observación"&amp;" · ",""),LEN(IF(AND($S197="Macro",$B197=""),"Macroactividad vacía"&amp;" · ","")&amp;IF(AND($B197&lt;&gt;"",$C197&lt;&gt;""),"Escriba la subactividad en otra fila, debajo de su macroactividad"&amp;" · ","")&amp;IF(AND($S197="Sub",N($R197)=0),"Subactividad sin macroactividad arriba"&amp;" · ","")&amp;IF($D197="","Sin responsable"&amp;" · ","")&amp;IF($E197="","Sin fecha de inicio"&amp;" · ","")&amp;IF($F197="","Sin fecha límite"&amp;" · ","")&amp;IF(OR(AND($E197&lt;&gt;"",NOT(ISNUMBER($E197))),AND($F197&lt;&gt;"",NOT(ISNUMBER($F197)))),"Fecha no válida"&amp;" · ","")&amp;IF(AND(ISNUMBER($E197),ISNUMBER($F197),$E197&gt;$F197),"Inicio posterior a fecha límite"&amp;" · ","")&amp;IF(AND($S197="Macro",$G197=""),"Peso vacío"&amp;" · ","")&amp;IF(AND($S197="Macro",$G197&lt;&gt;"",OR(NOT(ISNUMBER($G197)),$G197&lt;=0,$G197&gt;1)),"Peso fuera de rango"&amp;" · ","")&amp;IF(AND($S197="Sub",$G197&lt;&gt;""),"Las subactividades no llevan peso"&amp;" · ","")&amp;IF(AND($S197="Macro",ABS(SUMIFS($G$5:$G$1000,$P$5:$P$1000,$P197,$S$5:$S$1000,"Macro")-1)&gt;0.0001),"Pesos del mes suman "&amp;TEXT(SUMIFS($G$5:$G$1000,$P$5:$P$1000,$P197,$S$5:$S$1000,"Macro"),"0%")&amp;" · ","")&amp;IF(AND(N($T197)&gt;0,COUNT($H197:$K197)&gt;0),"Con subactividades: deje vacías las semanas (se calculan solas)"&amp;" · ","")&amp;IF((COUNTIF($H197:$K197,"&gt;1")+COUNTIF($H197:$K197,"&lt;0")+COUNTA($H197:$K197)-COUNT($H197:$K197))&gt;0,"Avance fuera de rango 0-100%"&amp;" · ","")&amp;IF(OR(AND($I197&lt;&gt;"",$I197&lt;$H197),AND($J197&lt;&gt;"",$J197&lt;MAX($H197:$I197)),AND($K197&lt;&gt;"",$K197&lt;MAX($H197:$J197))),"Avance semanal decreciente"&amp;" · ","")&amp;IF(AND(ISNUMBER($F197),$F197&lt;FechaRef,N($L197)&lt;1),"Vencida"&amp;" · ","")&amp;IF(AND(ObsObligatoria="Sí",ISNUMBER($F197),$F197&lt;FechaRef,N($L197)&lt;1,$N197=""),"Vencida sin observación"&amp;" · ",""))-3)))</f>
        <v/>
      </c>
      <c r="P197" s="69">
        <f>IF(NOT((COUNTA($B197:$K197)+COUNTA($N197))&gt;0),"",IF(AND($S197="Sub",N($R197)&gt;0),IF(ISNUMBER(INDEX($E$5:$E$1000,$R197-4)),DATE(YEAR(INDEX($E$5:$E$1000,$R197-4)),MONTH(INDEX($E$5:$E$1000,$R197-4)),1),IF(ISNUMBER(INDEX($F$5:$F$1000,$R197-4)),DATE(YEAR(INDEX($F$5:$F$1000,$R197-4)),MONTH(INDEX($F$5:$F$1000,$R197-4)),1),MesCiclo)),IF(ISNUMBER($E197),DATE(YEAR($E197),MONTH($E197),1),IF(ISNUMBER($F197),DATE(YEAR($F197),MONTH($F197),1),MesCiclo))))</f>
        <v/>
      </c>
      <c r="Q197" s="70">
        <f>IF(OR($P197="",$P197&lt;&gt;MesCiclo),"",COUNTIF($P$5:$P197,MesCiclo))</f>
        <v/>
      </c>
      <c r="R197" s="70">
        <f>IF($S197="","",IF($S197="Macro",ROW(),IFERROR(LOOKUP(2,1/($S$5:$S197="Macro"),ROW($S$5:$S197)),0)))</f>
        <v/>
      </c>
      <c r="S197" s="70">
        <f>IF(NOT((COUNTA($B197:$K197)+COUNTA($N197))&gt;0),"",IF($B197&lt;&gt;"","Macro",IF($C197&lt;&gt;"","Sub","Macro")))</f>
        <v/>
      </c>
      <c r="T197" s="70">
        <f>IF($S197="Macro",COUNTIFS($R$5:$R$1000,ROW(),$S$5:$S$1000,"Sub"),"")</f>
        <v/>
      </c>
      <c r="U197" s="70">
        <f>IF($S197="","",IF(ISNUMBER($H197),$H197,0))</f>
        <v/>
      </c>
      <c r="V197" s="70">
        <f>IF($S197="","",IF(ISNUMBER($I197),$I197,$U197))</f>
        <v/>
      </c>
      <c r="W197" s="70">
        <f>IF($S197="","",IF(ISNUMBER($J197),$J197,$V197))</f>
        <v/>
      </c>
      <c r="X197" s="70">
        <f>IF($S197="","",IF(ISNUMBER($K197),$K197,$W197))</f>
        <v/>
      </c>
      <c r="Y197" s="70">
        <f>IF($S197="","",IF(N($T197)&gt;0,AVERAGEIFS($U$5:$U$1000,$R$5:$R$1000,ROW(),$S$5:$S$1000,"Sub"),$U197))</f>
        <v/>
      </c>
      <c r="Z197" s="70">
        <f>IF($S197="","",IF(N($T197)&gt;0,AVERAGEIFS($V$5:$V$1000,$R$5:$R$1000,ROW(),$S$5:$S$1000,"Sub"),$V197))</f>
        <v/>
      </c>
      <c r="AA197" s="70">
        <f>IF($S197="","",IF(N($T197)&gt;0,AVERAGEIFS($W$5:$W$1000,$R$5:$R$1000,ROW(),$S$5:$S$1000,"Sub"),$W197))</f>
        <v/>
      </c>
      <c r="AB197" s="70">
        <f>IF($S197="","",IF(N($T197)&gt;0,AVERAGEIFS($X$5:$X$1000,$R$5:$R$1000,ROW(),$S$5:$S$1000,"Sub"),$X197))</f>
        <v/>
      </c>
    </row>
    <row r="198">
      <c r="A198" s="61">
        <f>IF(NOT((COUNTA($B198:$K198)+COUNTA($N198))&gt;0),"",IF($S198="Macro",COUNTIFS($S$5:$S198,"Macro",$P$5:$P198,$P198),IF(N($R198)=0,"?",COUNTIFS(INDEX($S$5:$S$1000,1):INDEX($S$5:$S$1000,$R198-4),"Macro",INDEX($P$5:$P$1000,1):INDEX($P$5:$P$1000,$R198-4),INDEX($P$5:$P$1000,$R198-4))&amp;"."&amp;COUNTIFS($R$5:$R198,$R198,$S$5:$S198,"Sub"))))</f>
        <v/>
      </c>
      <c r="B198" s="62" t="n"/>
      <c r="C198" s="63" t="n"/>
      <c r="D198" s="62" t="n"/>
      <c r="E198" s="64" t="n"/>
      <c r="F198" s="64" t="n"/>
      <c r="G198" s="65" t="n"/>
      <c r="H198" s="66" t="n"/>
      <c r="I198" s="66" t="n"/>
      <c r="J198" s="66" t="n"/>
      <c r="K198" s="66" t="n"/>
      <c r="L198" s="67">
        <f>IF(NOT((COUNTA($B198:$K198)+COUNTA($N198))&gt;0),"",IF(N($T198)&gt;0,$AB198,IFERROR(LOOKUP(2,1/(H198:K198&lt;&gt;""),H198:K198),0)))</f>
        <v/>
      </c>
      <c r="M198" s="61">
        <f>IF(L198="","",IF(L198&gt;=1,"Completado",IF(L198&gt;0,"En curso","Pendiente")))</f>
        <v/>
      </c>
      <c r="N198" s="62" t="n"/>
      <c r="O198" s="68">
        <f>IF(NOT((COUNTA($B198:$K198)+COUNTA($N198))&gt;0),"",IF((IF(AND($S198="Macro",$B198=""),"Macroactividad vacía"&amp;" · ","")&amp;IF(AND($B198&lt;&gt;"",$C198&lt;&gt;""),"Escriba la subactividad en otra fila, debajo de su macroactividad"&amp;" · ","")&amp;IF(AND($S198="Sub",N($R198)=0),"Subactividad sin macroactividad arriba"&amp;" · ","")&amp;IF($D198="","Sin responsable"&amp;" · ","")&amp;IF($E198="","Sin fecha de inicio"&amp;" · ","")&amp;IF($F198="","Sin fecha límite"&amp;" · ","")&amp;IF(OR(AND($E198&lt;&gt;"",NOT(ISNUMBER($E198))),AND($F198&lt;&gt;"",NOT(ISNUMBER($F198)))),"Fecha no válida"&amp;" · ","")&amp;IF(AND(ISNUMBER($E198),ISNUMBER($F198),$E198&gt;$F198),"Inicio posterior a fecha límite"&amp;" · ","")&amp;IF(AND($S198="Macro",$G198=""),"Peso vacío"&amp;" · ","")&amp;IF(AND($S198="Macro",$G198&lt;&gt;"",OR(NOT(ISNUMBER($G198)),$G198&lt;=0,$G198&gt;1)),"Peso fuera de rango"&amp;" · ","")&amp;IF(AND($S198="Sub",$G198&lt;&gt;""),"Las subactividades no llevan peso"&amp;" · ","")&amp;IF(AND($S198="Macro",ABS(SUMIFS($G$5:$G$1000,$P$5:$P$1000,$P198,$S$5:$S$1000,"Macro")-1)&gt;0.0001),"Pesos del mes suman "&amp;TEXT(SUMIFS($G$5:$G$1000,$P$5:$P$1000,$P198,$S$5:$S$1000,"Macro"),"0%")&amp;" · ","")&amp;IF(AND(N($T198)&gt;0,COUNT($H198:$K198)&gt;0),"Con subactividades: deje vacías las semanas (se calculan solas)"&amp;" · ","")&amp;IF((COUNTIF($H198:$K198,"&gt;1")+COUNTIF($H198:$K198,"&lt;0")+COUNTA($H198:$K198)-COUNT($H198:$K198))&gt;0,"Avance fuera de rango 0-100%"&amp;" · ","")&amp;IF(OR(AND($I198&lt;&gt;"",$I198&lt;$H198),AND($J198&lt;&gt;"",$J198&lt;MAX($H198:$I198)),AND($K198&lt;&gt;"",$K198&lt;MAX($H198:$J198))),"Avance semanal decreciente"&amp;" · ","")&amp;IF(AND(ISNUMBER($F198),$F198&lt;FechaRef,N($L198)&lt;1),"Vencida"&amp;" · ","")&amp;IF(AND(ObsObligatoria="Sí",ISNUMBER($F198),$F198&lt;FechaRef,N($L198)&lt;1,$N198=""),"Vencida sin observación"&amp;" · ",""))="","✔ OK","⚠ "&amp;LEFT(IF(AND($S198="Macro",$B198=""),"Macroactividad vacía"&amp;" · ","")&amp;IF(AND($B198&lt;&gt;"",$C198&lt;&gt;""),"Escriba la subactividad en otra fila, debajo de su macroactividad"&amp;" · ","")&amp;IF(AND($S198="Sub",N($R198)=0),"Subactividad sin macroactividad arriba"&amp;" · ","")&amp;IF($D198="","Sin responsable"&amp;" · ","")&amp;IF($E198="","Sin fecha de inicio"&amp;" · ","")&amp;IF($F198="","Sin fecha límite"&amp;" · ","")&amp;IF(OR(AND($E198&lt;&gt;"",NOT(ISNUMBER($E198))),AND($F198&lt;&gt;"",NOT(ISNUMBER($F198)))),"Fecha no válida"&amp;" · ","")&amp;IF(AND(ISNUMBER($E198),ISNUMBER($F198),$E198&gt;$F198),"Inicio posterior a fecha límite"&amp;" · ","")&amp;IF(AND($S198="Macro",$G198=""),"Peso vacío"&amp;" · ","")&amp;IF(AND($S198="Macro",$G198&lt;&gt;"",OR(NOT(ISNUMBER($G198)),$G198&lt;=0,$G198&gt;1)),"Peso fuera de rango"&amp;" · ","")&amp;IF(AND($S198="Sub",$G198&lt;&gt;""),"Las subactividades no llevan peso"&amp;" · ","")&amp;IF(AND($S198="Macro",ABS(SUMIFS($G$5:$G$1000,$P$5:$P$1000,$P198,$S$5:$S$1000,"Macro")-1)&gt;0.0001),"Pesos del mes suman "&amp;TEXT(SUMIFS($G$5:$G$1000,$P$5:$P$1000,$P198,$S$5:$S$1000,"Macro"),"0%")&amp;" · ","")&amp;IF(AND(N($T198)&gt;0,COUNT($H198:$K198)&gt;0),"Con subactividades: deje vacías las semanas (se calculan solas)"&amp;" · ","")&amp;IF((COUNTIF($H198:$K198,"&gt;1")+COUNTIF($H198:$K198,"&lt;0")+COUNTA($H198:$K198)-COUNT($H198:$K198))&gt;0,"Avance fuera de rango 0-100%"&amp;" · ","")&amp;IF(OR(AND($I198&lt;&gt;"",$I198&lt;$H198),AND($J198&lt;&gt;"",$J198&lt;MAX($H198:$I198)),AND($K198&lt;&gt;"",$K198&lt;MAX($H198:$J198))),"Avance semanal decreciente"&amp;" · ","")&amp;IF(AND(ISNUMBER($F198),$F198&lt;FechaRef,N($L198)&lt;1),"Vencida"&amp;" · ","")&amp;IF(AND(ObsObligatoria="Sí",ISNUMBER($F198),$F198&lt;FechaRef,N($L198)&lt;1,$N198=""),"Vencida sin observación"&amp;" · ",""),LEN(IF(AND($S198="Macro",$B198=""),"Macroactividad vacía"&amp;" · ","")&amp;IF(AND($B198&lt;&gt;"",$C198&lt;&gt;""),"Escriba la subactividad en otra fila, debajo de su macroactividad"&amp;" · ","")&amp;IF(AND($S198="Sub",N($R198)=0),"Subactividad sin macroactividad arriba"&amp;" · ","")&amp;IF($D198="","Sin responsable"&amp;" · ","")&amp;IF($E198="","Sin fecha de inicio"&amp;" · ","")&amp;IF($F198="","Sin fecha límite"&amp;" · ","")&amp;IF(OR(AND($E198&lt;&gt;"",NOT(ISNUMBER($E198))),AND($F198&lt;&gt;"",NOT(ISNUMBER($F198)))),"Fecha no válida"&amp;" · ","")&amp;IF(AND(ISNUMBER($E198),ISNUMBER($F198),$E198&gt;$F198),"Inicio posterior a fecha límite"&amp;" · ","")&amp;IF(AND($S198="Macro",$G198=""),"Peso vacío"&amp;" · ","")&amp;IF(AND($S198="Macro",$G198&lt;&gt;"",OR(NOT(ISNUMBER($G198)),$G198&lt;=0,$G198&gt;1)),"Peso fuera de rango"&amp;" · ","")&amp;IF(AND($S198="Sub",$G198&lt;&gt;""),"Las subactividades no llevan peso"&amp;" · ","")&amp;IF(AND($S198="Macro",ABS(SUMIFS($G$5:$G$1000,$P$5:$P$1000,$P198,$S$5:$S$1000,"Macro")-1)&gt;0.0001),"Pesos del mes suman "&amp;TEXT(SUMIFS($G$5:$G$1000,$P$5:$P$1000,$P198,$S$5:$S$1000,"Macro"),"0%")&amp;" · ","")&amp;IF(AND(N($T198)&gt;0,COUNT($H198:$K198)&gt;0),"Con subactividades: deje vacías las semanas (se calculan solas)"&amp;" · ","")&amp;IF((COUNTIF($H198:$K198,"&gt;1")+COUNTIF($H198:$K198,"&lt;0")+COUNTA($H198:$K198)-COUNT($H198:$K198))&gt;0,"Avance fuera de rango 0-100%"&amp;" · ","")&amp;IF(OR(AND($I198&lt;&gt;"",$I198&lt;$H198),AND($J198&lt;&gt;"",$J198&lt;MAX($H198:$I198)),AND($K198&lt;&gt;"",$K198&lt;MAX($H198:$J198))),"Avance semanal decreciente"&amp;" · ","")&amp;IF(AND(ISNUMBER($F198),$F198&lt;FechaRef,N($L198)&lt;1),"Vencida"&amp;" · ","")&amp;IF(AND(ObsObligatoria="Sí",ISNUMBER($F198),$F198&lt;FechaRef,N($L198)&lt;1,$N198=""),"Vencida sin observación"&amp;" · ",""))-3)))</f>
        <v/>
      </c>
      <c r="P198" s="69">
        <f>IF(NOT((COUNTA($B198:$K198)+COUNTA($N198))&gt;0),"",IF(AND($S198="Sub",N($R198)&gt;0),IF(ISNUMBER(INDEX($E$5:$E$1000,$R198-4)),DATE(YEAR(INDEX($E$5:$E$1000,$R198-4)),MONTH(INDEX($E$5:$E$1000,$R198-4)),1),IF(ISNUMBER(INDEX($F$5:$F$1000,$R198-4)),DATE(YEAR(INDEX($F$5:$F$1000,$R198-4)),MONTH(INDEX($F$5:$F$1000,$R198-4)),1),MesCiclo)),IF(ISNUMBER($E198),DATE(YEAR($E198),MONTH($E198),1),IF(ISNUMBER($F198),DATE(YEAR($F198),MONTH($F198),1),MesCiclo))))</f>
        <v/>
      </c>
      <c r="Q198" s="70">
        <f>IF(OR($P198="",$P198&lt;&gt;MesCiclo),"",COUNTIF($P$5:$P198,MesCiclo))</f>
        <v/>
      </c>
      <c r="R198" s="70">
        <f>IF($S198="","",IF($S198="Macro",ROW(),IFERROR(LOOKUP(2,1/($S$5:$S198="Macro"),ROW($S$5:$S198)),0)))</f>
        <v/>
      </c>
      <c r="S198" s="70">
        <f>IF(NOT((COUNTA($B198:$K198)+COUNTA($N198))&gt;0),"",IF($B198&lt;&gt;"","Macro",IF($C198&lt;&gt;"","Sub","Macro")))</f>
        <v/>
      </c>
      <c r="T198" s="70">
        <f>IF($S198="Macro",COUNTIFS($R$5:$R$1000,ROW(),$S$5:$S$1000,"Sub"),"")</f>
        <v/>
      </c>
      <c r="U198" s="70">
        <f>IF($S198="","",IF(ISNUMBER($H198),$H198,0))</f>
        <v/>
      </c>
      <c r="V198" s="70">
        <f>IF($S198="","",IF(ISNUMBER($I198),$I198,$U198))</f>
        <v/>
      </c>
      <c r="W198" s="70">
        <f>IF($S198="","",IF(ISNUMBER($J198),$J198,$V198))</f>
        <v/>
      </c>
      <c r="X198" s="70">
        <f>IF($S198="","",IF(ISNUMBER($K198),$K198,$W198))</f>
        <v/>
      </c>
      <c r="Y198" s="70">
        <f>IF($S198="","",IF(N($T198)&gt;0,AVERAGEIFS($U$5:$U$1000,$R$5:$R$1000,ROW(),$S$5:$S$1000,"Sub"),$U198))</f>
        <v/>
      </c>
      <c r="Z198" s="70">
        <f>IF($S198="","",IF(N($T198)&gt;0,AVERAGEIFS($V$5:$V$1000,$R$5:$R$1000,ROW(),$S$5:$S$1000,"Sub"),$V198))</f>
        <v/>
      </c>
      <c r="AA198" s="70">
        <f>IF($S198="","",IF(N($T198)&gt;0,AVERAGEIFS($W$5:$W$1000,$R$5:$R$1000,ROW(),$S$5:$S$1000,"Sub"),$W198))</f>
        <v/>
      </c>
      <c r="AB198" s="70">
        <f>IF($S198="","",IF(N($T198)&gt;0,AVERAGEIFS($X$5:$X$1000,$R$5:$R$1000,ROW(),$S$5:$S$1000,"Sub"),$X198))</f>
        <v/>
      </c>
    </row>
    <row r="199">
      <c r="A199" s="61">
        <f>IF(NOT((COUNTA($B199:$K199)+COUNTA($N199))&gt;0),"",IF($S199="Macro",COUNTIFS($S$5:$S199,"Macro",$P$5:$P199,$P199),IF(N($R199)=0,"?",COUNTIFS(INDEX($S$5:$S$1000,1):INDEX($S$5:$S$1000,$R199-4),"Macro",INDEX($P$5:$P$1000,1):INDEX($P$5:$P$1000,$R199-4),INDEX($P$5:$P$1000,$R199-4))&amp;"."&amp;COUNTIFS($R$5:$R199,$R199,$S$5:$S199,"Sub"))))</f>
        <v/>
      </c>
      <c r="B199" s="62" t="n"/>
      <c r="C199" s="63" t="n"/>
      <c r="D199" s="62" t="n"/>
      <c r="E199" s="64" t="n"/>
      <c r="F199" s="64" t="n"/>
      <c r="G199" s="65" t="n"/>
      <c r="H199" s="66" t="n"/>
      <c r="I199" s="66" t="n"/>
      <c r="J199" s="66" t="n"/>
      <c r="K199" s="66" t="n"/>
      <c r="L199" s="67">
        <f>IF(NOT((COUNTA($B199:$K199)+COUNTA($N199))&gt;0),"",IF(N($T199)&gt;0,$AB199,IFERROR(LOOKUP(2,1/(H199:K199&lt;&gt;""),H199:K199),0)))</f>
        <v/>
      </c>
      <c r="M199" s="61">
        <f>IF(L199="","",IF(L199&gt;=1,"Completado",IF(L199&gt;0,"En curso","Pendiente")))</f>
        <v/>
      </c>
      <c r="N199" s="62" t="n"/>
      <c r="O199" s="68">
        <f>IF(NOT((COUNTA($B199:$K199)+COUNTA($N199))&gt;0),"",IF((IF(AND($S199="Macro",$B199=""),"Macroactividad vacía"&amp;" · ","")&amp;IF(AND($B199&lt;&gt;"",$C199&lt;&gt;""),"Escriba la subactividad en otra fila, debajo de su macroactividad"&amp;" · ","")&amp;IF(AND($S199="Sub",N($R199)=0),"Subactividad sin macroactividad arriba"&amp;" · ","")&amp;IF($D199="","Sin responsable"&amp;" · ","")&amp;IF($E199="","Sin fecha de inicio"&amp;" · ","")&amp;IF($F199="","Sin fecha límite"&amp;" · ","")&amp;IF(OR(AND($E199&lt;&gt;"",NOT(ISNUMBER($E199))),AND($F199&lt;&gt;"",NOT(ISNUMBER($F199)))),"Fecha no válida"&amp;" · ","")&amp;IF(AND(ISNUMBER($E199),ISNUMBER($F199),$E199&gt;$F199),"Inicio posterior a fecha límite"&amp;" · ","")&amp;IF(AND($S199="Macro",$G199=""),"Peso vacío"&amp;" · ","")&amp;IF(AND($S199="Macro",$G199&lt;&gt;"",OR(NOT(ISNUMBER($G199)),$G199&lt;=0,$G199&gt;1)),"Peso fuera de rango"&amp;" · ","")&amp;IF(AND($S199="Sub",$G199&lt;&gt;""),"Las subactividades no llevan peso"&amp;" · ","")&amp;IF(AND($S199="Macro",ABS(SUMIFS($G$5:$G$1000,$P$5:$P$1000,$P199,$S$5:$S$1000,"Macro")-1)&gt;0.0001),"Pesos del mes suman "&amp;TEXT(SUMIFS($G$5:$G$1000,$P$5:$P$1000,$P199,$S$5:$S$1000,"Macro"),"0%")&amp;" · ","")&amp;IF(AND(N($T199)&gt;0,COUNT($H199:$K199)&gt;0),"Con subactividades: deje vacías las semanas (se calculan solas)"&amp;" · ","")&amp;IF((COUNTIF($H199:$K199,"&gt;1")+COUNTIF($H199:$K199,"&lt;0")+COUNTA($H199:$K199)-COUNT($H199:$K199))&gt;0,"Avance fuera de rango 0-100%"&amp;" · ","")&amp;IF(OR(AND($I199&lt;&gt;"",$I199&lt;$H199),AND($J199&lt;&gt;"",$J199&lt;MAX($H199:$I199)),AND($K199&lt;&gt;"",$K199&lt;MAX($H199:$J199))),"Avance semanal decreciente"&amp;" · ","")&amp;IF(AND(ISNUMBER($F199),$F199&lt;FechaRef,N($L199)&lt;1),"Vencida"&amp;" · ","")&amp;IF(AND(ObsObligatoria="Sí",ISNUMBER($F199),$F199&lt;FechaRef,N($L199)&lt;1,$N199=""),"Vencida sin observación"&amp;" · ",""))="","✔ OK","⚠ "&amp;LEFT(IF(AND($S199="Macro",$B199=""),"Macroactividad vacía"&amp;" · ","")&amp;IF(AND($B199&lt;&gt;"",$C199&lt;&gt;""),"Escriba la subactividad en otra fila, debajo de su macroactividad"&amp;" · ","")&amp;IF(AND($S199="Sub",N($R199)=0),"Subactividad sin macroactividad arriba"&amp;" · ","")&amp;IF($D199="","Sin responsable"&amp;" · ","")&amp;IF($E199="","Sin fecha de inicio"&amp;" · ","")&amp;IF($F199="","Sin fecha límite"&amp;" · ","")&amp;IF(OR(AND($E199&lt;&gt;"",NOT(ISNUMBER($E199))),AND($F199&lt;&gt;"",NOT(ISNUMBER($F199)))),"Fecha no válida"&amp;" · ","")&amp;IF(AND(ISNUMBER($E199),ISNUMBER($F199),$E199&gt;$F199),"Inicio posterior a fecha límite"&amp;" · ","")&amp;IF(AND($S199="Macro",$G199=""),"Peso vacío"&amp;" · ","")&amp;IF(AND($S199="Macro",$G199&lt;&gt;"",OR(NOT(ISNUMBER($G199)),$G199&lt;=0,$G199&gt;1)),"Peso fuera de rango"&amp;" · ","")&amp;IF(AND($S199="Sub",$G199&lt;&gt;""),"Las subactividades no llevan peso"&amp;" · ","")&amp;IF(AND($S199="Macro",ABS(SUMIFS($G$5:$G$1000,$P$5:$P$1000,$P199,$S$5:$S$1000,"Macro")-1)&gt;0.0001),"Pesos del mes suman "&amp;TEXT(SUMIFS($G$5:$G$1000,$P$5:$P$1000,$P199,$S$5:$S$1000,"Macro"),"0%")&amp;" · ","")&amp;IF(AND(N($T199)&gt;0,COUNT($H199:$K199)&gt;0),"Con subactividades: deje vacías las semanas (se calculan solas)"&amp;" · ","")&amp;IF((COUNTIF($H199:$K199,"&gt;1")+COUNTIF($H199:$K199,"&lt;0")+COUNTA($H199:$K199)-COUNT($H199:$K199))&gt;0,"Avance fuera de rango 0-100%"&amp;" · ","")&amp;IF(OR(AND($I199&lt;&gt;"",$I199&lt;$H199),AND($J199&lt;&gt;"",$J199&lt;MAX($H199:$I199)),AND($K199&lt;&gt;"",$K199&lt;MAX($H199:$J199))),"Avance semanal decreciente"&amp;" · ","")&amp;IF(AND(ISNUMBER($F199),$F199&lt;FechaRef,N($L199)&lt;1),"Vencida"&amp;" · ","")&amp;IF(AND(ObsObligatoria="Sí",ISNUMBER($F199),$F199&lt;FechaRef,N($L199)&lt;1,$N199=""),"Vencida sin observación"&amp;" · ",""),LEN(IF(AND($S199="Macro",$B199=""),"Macroactividad vacía"&amp;" · ","")&amp;IF(AND($B199&lt;&gt;"",$C199&lt;&gt;""),"Escriba la subactividad en otra fila, debajo de su macroactividad"&amp;" · ","")&amp;IF(AND($S199="Sub",N($R199)=0),"Subactividad sin macroactividad arriba"&amp;" · ","")&amp;IF($D199="","Sin responsable"&amp;" · ","")&amp;IF($E199="","Sin fecha de inicio"&amp;" · ","")&amp;IF($F199="","Sin fecha límite"&amp;" · ","")&amp;IF(OR(AND($E199&lt;&gt;"",NOT(ISNUMBER($E199))),AND($F199&lt;&gt;"",NOT(ISNUMBER($F199)))),"Fecha no válida"&amp;" · ","")&amp;IF(AND(ISNUMBER($E199),ISNUMBER($F199),$E199&gt;$F199),"Inicio posterior a fecha límite"&amp;" · ","")&amp;IF(AND($S199="Macro",$G199=""),"Peso vacío"&amp;" · ","")&amp;IF(AND($S199="Macro",$G199&lt;&gt;"",OR(NOT(ISNUMBER($G199)),$G199&lt;=0,$G199&gt;1)),"Peso fuera de rango"&amp;" · ","")&amp;IF(AND($S199="Sub",$G199&lt;&gt;""),"Las subactividades no llevan peso"&amp;" · ","")&amp;IF(AND($S199="Macro",ABS(SUMIFS($G$5:$G$1000,$P$5:$P$1000,$P199,$S$5:$S$1000,"Macro")-1)&gt;0.0001),"Pesos del mes suman "&amp;TEXT(SUMIFS($G$5:$G$1000,$P$5:$P$1000,$P199,$S$5:$S$1000,"Macro"),"0%")&amp;" · ","")&amp;IF(AND(N($T199)&gt;0,COUNT($H199:$K199)&gt;0),"Con subactividades: deje vacías las semanas (se calculan solas)"&amp;" · ","")&amp;IF((COUNTIF($H199:$K199,"&gt;1")+COUNTIF($H199:$K199,"&lt;0")+COUNTA($H199:$K199)-COUNT($H199:$K199))&gt;0,"Avance fuera de rango 0-100%"&amp;" · ","")&amp;IF(OR(AND($I199&lt;&gt;"",$I199&lt;$H199),AND($J199&lt;&gt;"",$J199&lt;MAX($H199:$I199)),AND($K199&lt;&gt;"",$K199&lt;MAX($H199:$J199))),"Avance semanal decreciente"&amp;" · ","")&amp;IF(AND(ISNUMBER($F199),$F199&lt;FechaRef,N($L199)&lt;1),"Vencida"&amp;" · ","")&amp;IF(AND(ObsObligatoria="Sí",ISNUMBER($F199),$F199&lt;FechaRef,N($L199)&lt;1,$N199=""),"Vencida sin observación"&amp;" · ",""))-3)))</f>
        <v/>
      </c>
      <c r="P199" s="69">
        <f>IF(NOT((COUNTA($B199:$K199)+COUNTA($N199))&gt;0),"",IF(AND($S199="Sub",N($R199)&gt;0),IF(ISNUMBER(INDEX($E$5:$E$1000,$R199-4)),DATE(YEAR(INDEX($E$5:$E$1000,$R199-4)),MONTH(INDEX($E$5:$E$1000,$R199-4)),1),IF(ISNUMBER(INDEX($F$5:$F$1000,$R199-4)),DATE(YEAR(INDEX($F$5:$F$1000,$R199-4)),MONTH(INDEX($F$5:$F$1000,$R199-4)),1),MesCiclo)),IF(ISNUMBER($E199),DATE(YEAR($E199),MONTH($E199),1),IF(ISNUMBER($F199),DATE(YEAR($F199),MONTH($F199),1),MesCiclo))))</f>
        <v/>
      </c>
      <c r="Q199" s="70">
        <f>IF(OR($P199="",$P199&lt;&gt;MesCiclo),"",COUNTIF($P$5:$P199,MesCiclo))</f>
        <v/>
      </c>
      <c r="R199" s="70">
        <f>IF($S199="","",IF($S199="Macro",ROW(),IFERROR(LOOKUP(2,1/($S$5:$S199="Macro"),ROW($S$5:$S199)),0)))</f>
        <v/>
      </c>
      <c r="S199" s="70">
        <f>IF(NOT((COUNTA($B199:$K199)+COUNTA($N199))&gt;0),"",IF($B199&lt;&gt;"","Macro",IF($C199&lt;&gt;"","Sub","Macro")))</f>
        <v/>
      </c>
      <c r="T199" s="70">
        <f>IF($S199="Macro",COUNTIFS($R$5:$R$1000,ROW(),$S$5:$S$1000,"Sub"),"")</f>
        <v/>
      </c>
      <c r="U199" s="70">
        <f>IF($S199="","",IF(ISNUMBER($H199),$H199,0))</f>
        <v/>
      </c>
      <c r="V199" s="70">
        <f>IF($S199="","",IF(ISNUMBER($I199),$I199,$U199))</f>
        <v/>
      </c>
      <c r="W199" s="70">
        <f>IF($S199="","",IF(ISNUMBER($J199),$J199,$V199))</f>
        <v/>
      </c>
      <c r="X199" s="70">
        <f>IF($S199="","",IF(ISNUMBER($K199),$K199,$W199))</f>
        <v/>
      </c>
      <c r="Y199" s="70">
        <f>IF($S199="","",IF(N($T199)&gt;0,AVERAGEIFS($U$5:$U$1000,$R$5:$R$1000,ROW(),$S$5:$S$1000,"Sub"),$U199))</f>
        <v/>
      </c>
      <c r="Z199" s="70">
        <f>IF($S199="","",IF(N($T199)&gt;0,AVERAGEIFS($V$5:$V$1000,$R$5:$R$1000,ROW(),$S$5:$S$1000,"Sub"),$V199))</f>
        <v/>
      </c>
      <c r="AA199" s="70">
        <f>IF($S199="","",IF(N($T199)&gt;0,AVERAGEIFS($W$5:$W$1000,$R$5:$R$1000,ROW(),$S$5:$S$1000,"Sub"),$W199))</f>
        <v/>
      </c>
      <c r="AB199" s="70">
        <f>IF($S199="","",IF(N($T199)&gt;0,AVERAGEIFS($X$5:$X$1000,$R$5:$R$1000,ROW(),$S$5:$S$1000,"Sub"),$X199))</f>
        <v/>
      </c>
    </row>
    <row r="200">
      <c r="A200" s="61">
        <f>IF(NOT((COUNTA($B200:$K200)+COUNTA($N200))&gt;0),"",IF($S200="Macro",COUNTIFS($S$5:$S200,"Macro",$P$5:$P200,$P200),IF(N($R200)=0,"?",COUNTIFS(INDEX($S$5:$S$1000,1):INDEX($S$5:$S$1000,$R200-4),"Macro",INDEX($P$5:$P$1000,1):INDEX($P$5:$P$1000,$R200-4),INDEX($P$5:$P$1000,$R200-4))&amp;"."&amp;COUNTIFS($R$5:$R200,$R200,$S$5:$S200,"Sub"))))</f>
        <v/>
      </c>
      <c r="B200" s="62" t="n"/>
      <c r="C200" s="63" t="n"/>
      <c r="D200" s="62" t="n"/>
      <c r="E200" s="64" t="n"/>
      <c r="F200" s="64" t="n"/>
      <c r="G200" s="65" t="n"/>
      <c r="H200" s="66" t="n"/>
      <c r="I200" s="66" t="n"/>
      <c r="J200" s="66" t="n"/>
      <c r="K200" s="66" t="n"/>
      <c r="L200" s="67">
        <f>IF(NOT((COUNTA($B200:$K200)+COUNTA($N200))&gt;0),"",IF(N($T200)&gt;0,$AB200,IFERROR(LOOKUP(2,1/(H200:K200&lt;&gt;""),H200:K200),0)))</f>
        <v/>
      </c>
      <c r="M200" s="61">
        <f>IF(L200="","",IF(L200&gt;=1,"Completado",IF(L200&gt;0,"En curso","Pendiente")))</f>
        <v/>
      </c>
      <c r="N200" s="62" t="n"/>
      <c r="O200" s="68">
        <f>IF(NOT((COUNTA($B200:$K200)+COUNTA($N200))&gt;0),"",IF((IF(AND($S200="Macro",$B200=""),"Macroactividad vacía"&amp;" · ","")&amp;IF(AND($B200&lt;&gt;"",$C200&lt;&gt;""),"Escriba la subactividad en otra fila, debajo de su macroactividad"&amp;" · ","")&amp;IF(AND($S200="Sub",N($R200)=0),"Subactividad sin macroactividad arriba"&amp;" · ","")&amp;IF($D200="","Sin responsable"&amp;" · ","")&amp;IF($E200="","Sin fecha de inicio"&amp;" · ","")&amp;IF($F200="","Sin fecha límite"&amp;" · ","")&amp;IF(OR(AND($E200&lt;&gt;"",NOT(ISNUMBER($E200))),AND($F200&lt;&gt;"",NOT(ISNUMBER($F200)))),"Fecha no válida"&amp;" · ","")&amp;IF(AND(ISNUMBER($E200),ISNUMBER($F200),$E200&gt;$F200),"Inicio posterior a fecha límite"&amp;" · ","")&amp;IF(AND($S200="Macro",$G200=""),"Peso vacío"&amp;" · ","")&amp;IF(AND($S200="Macro",$G200&lt;&gt;"",OR(NOT(ISNUMBER($G200)),$G200&lt;=0,$G200&gt;1)),"Peso fuera de rango"&amp;" · ","")&amp;IF(AND($S200="Sub",$G200&lt;&gt;""),"Las subactividades no llevan peso"&amp;" · ","")&amp;IF(AND($S200="Macro",ABS(SUMIFS($G$5:$G$1000,$P$5:$P$1000,$P200,$S$5:$S$1000,"Macro")-1)&gt;0.0001),"Pesos del mes suman "&amp;TEXT(SUMIFS($G$5:$G$1000,$P$5:$P$1000,$P200,$S$5:$S$1000,"Macro"),"0%")&amp;" · ","")&amp;IF(AND(N($T200)&gt;0,COUNT($H200:$K200)&gt;0),"Con subactividades: deje vacías las semanas (se calculan solas)"&amp;" · ","")&amp;IF((COUNTIF($H200:$K200,"&gt;1")+COUNTIF($H200:$K200,"&lt;0")+COUNTA($H200:$K200)-COUNT($H200:$K200))&gt;0,"Avance fuera de rango 0-100%"&amp;" · ","")&amp;IF(OR(AND($I200&lt;&gt;"",$I200&lt;$H200),AND($J200&lt;&gt;"",$J200&lt;MAX($H200:$I200)),AND($K200&lt;&gt;"",$K200&lt;MAX($H200:$J200))),"Avance semanal decreciente"&amp;" · ","")&amp;IF(AND(ISNUMBER($F200),$F200&lt;FechaRef,N($L200)&lt;1),"Vencida"&amp;" · ","")&amp;IF(AND(ObsObligatoria="Sí",ISNUMBER($F200),$F200&lt;FechaRef,N($L200)&lt;1,$N200=""),"Vencida sin observación"&amp;" · ",""))="","✔ OK","⚠ "&amp;LEFT(IF(AND($S200="Macro",$B200=""),"Macroactividad vacía"&amp;" · ","")&amp;IF(AND($B200&lt;&gt;"",$C200&lt;&gt;""),"Escriba la subactividad en otra fila, debajo de su macroactividad"&amp;" · ","")&amp;IF(AND($S200="Sub",N($R200)=0),"Subactividad sin macroactividad arriba"&amp;" · ","")&amp;IF($D200="","Sin responsable"&amp;" · ","")&amp;IF($E200="","Sin fecha de inicio"&amp;" · ","")&amp;IF($F200="","Sin fecha límite"&amp;" · ","")&amp;IF(OR(AND($E200&lt;&gt;"",NOT(ISNUMBER($E200))),AND($F200&lt;&gt;"",NOT(ISNUMBER($F200)))),"Fecha no válida"&amp;" · ","")&amp;IF(AND(ISNUMBER($E200),ISNUMBER($F200),$E200&gt;$F200),"Inicio posterior a fecha límite"&amp;" · ","")&amp;IF(AND($S200="Macro",$G200=""),"Peso vacío"&amp;" · ","")&amp;IF(AND($S200="Macro",$G200&lt;&gt;"",OR(NOT(ISNUMBER($G200)),$G200&lt;=0,$G200&gt;1)),"Peso fuera de rango"&amp;" · ","")&amp;IF(AND($S200="Sub",$G200&lt;&gt;""),"Las subactividades no llevan peso"&amp;" · ","")&amp;IF(AND($S200="Macro",ABS(SUMIFS($G$5:$G$1000,$P$5:$P$1000,$P200,$S$5:$S$1000,"Macro")-1)&gt;0.0001),"Pesos del mes suman "&amp;TEXT(SUMIFS($G$5:$G$1000,$P$5:$P$1000,$P200,$S$5:$S$1000,"Macro"),"0%")&amp;" · ","")&amp;IF(AND(N($T200)&gt;0,COUNT($H200:$K200)&gt;0),"Con subactividades: deje vacías las semanas (se calculan solas)"&amp;" · ","")&amp;IF((COUNTIF($H200:$K200,"&gt;1")+COUNTIF($H200:$K200,"&lt;0")+COUNTA($H200:$K200)-COUNT($H200:$K200))&gt;0,"Avance fuera de rango 0-100%"&amp;" · ","")&amp;IF(OR(AND($I200&lt;&gt;"",$I200&lt;$H200),AND($J200&lt;&gt;"",$J200&lt;MAX($H200:$I200)),AND($K200&lt;&gt;"",$K200&lt;MAX($H200:$J200))),"Avance semanal decreciente"&amp;" · ","")&amp;IF(AND(ISNUMBER($F200),$F200&lt;FechaRef,N($L200)&lt;1),"Vencida"&amp;" · ","")&amp;IF(AND(ObsObligatoria="Sí",ISNUMBER($F200),$F200&lt;FechaRef,N($L200)&lt;1,$N200=""),"Vencida sin observación"&amp;" · ",""),LEN(IF(AND($S200="Macro",$B200=""),"Macroactividad vacía"&amp;" · ","")&amp;IF(AND($B200&lt;&gt;"",$C200&lt;&gt;""),"Escriba la subactividad en otra fila, debajo de su macroactividad"&amp;" · ","")&amp;IF(AND($S200="Sub",N($R200)=0),"Subactividad sin macroactividad arriba"&amp;" · ","")&amp;IF($D200="","Sin responsable"&amp;" · ","")&amp;IF($E200="","Sin fecha de inicio"&amp;" · ","")&amp;IF($F200="","Sin fecha límite"&amp;" · ","")&amp;IF(OR(AND($E200&lt;&gt;"",NOT(ISNUMBER($E200))),AND($F200&lt;&gt;"",NOT(ISNUMBER($F200)))),"Fecha no válida"&amp;" · ","")&amp;IF(AND(ISNUMBER($E200),ISNUMBER($F200),$E200&gt;$F200),"Inicio posterior a fecha límite"&amp;" · ","")&amp;IF(AND($S200="Macro",$G200=""),"Peso vacío"&amp;" · ","")&amp;IF(AND($S200="Macro",$G200&lt;&gt;"",OR(NOT(ISNUMBER($G200)),$G200&lt;=0,$G200&gt;1)),"Peso fuera de rango"&amp;" · ","")&amp;IF(AND($S200="Sub",$G200&lt;&gt;""),"Las subactividades no llevan peso"&amp;" · ","")&amp;IF(AND($S200="Macro",ABS(SUMIFS($G$5:$G$1000,$P$5:$P$1000,$P200,$S$5:$S$1000,"Macro")-1)&gt;0.0001),"Pesos del mes suman "&amp;TEXT(SUMIFS($G$5:$G$1000,$P$5:$P$1000,$P200,$S$5:$S$1000,"Macro"),"0%")&amp;" · ","")&amp;IF(AND(N($T200)&gt;0,COUNT($H200:$K200)&gt;0),"Con subactividades: deje vacías las semanas (se calculan solas)"&amp;" · ","")&amp;IF((COUNTIF($H200:$K200,"&gt;1")+COUNTIF($H200:$K200,"&lt;0")+COUNTA($H200:$K200)-COUNT($H200:$K200))&gt;0,"Avance fuera de rango 0-100%"&amp;" · ","")&amp;IF(OR(AND($I200&lt;&gt;"",$I200&lt;$H200),AND($J200&lt;&gt;"",$J200&lt;MAX($H200:$I200)),AND($K200&lt;&gt;"",$K200&lt;MAX($H200:$J200))),"Avance semanal decreciente"&amp;" · ","")&amp;IF(AND(ISNUMBER($F200),$F200&lt;FechaRef,N($L200)&lt;1),"Vencida"&amp;" · ","")&amp;IF(AND(ObsObligatoria="Sí",ISNUMBER($F200),$F200&lt;FechaRef,N($L200)&lt;1,$N200=""),"Vencida sin observación"&amp;" · ",""))-3)))</f>
        <v/>
      </c>
      <c r="P200" s="69">
        <f>IF(NOT((COUNTA($B200:$K200)+COUNTA($N200))&gt;0),"",IF(AND($S200="Sub",N($R200)&gt;0),IF(ISNUMBER(INDEX($E$5:$E$1000,$R200-4)),DATE(YEAR(INDEX($E$5:$E$1000,$R200-4)),MONTH(INDEX($E$5:$E$1000,$R200-4)),1),IF(ISNUMBER(INDEX($F$5:$F$1000,$R200-4)),DATE(YEAR(INDEX($F$5:$F$1000,$R200-4)),MONTH(INDEX($F$5:$F$1000,$R200-4)),1),MesCiclo)),IF(ISNUMBER($E200),DATE(YEAR($E200),MONTH($E200),1),IF(ISNUMBER($F200),DATE(YEAR($F200),MONTH($F200),1),MesCiclo))))</f>
        <v/>
      </c>
      <c r="Q200" s="70">
        <f>IF(OR($P200="",$P200&lt;&gt;MesCiclo),"",COUNTIF($P$5:$P200,MesCiclo))</f>
        <v/>
      </c>
      <c r="R200" s="70">
        <f>IF($S200="","",IF($S200="Macro",ROW(),IFERROR(LOOKUP(2,1/($S$5:$S200="Macro"),ROW($S$5:$S200)),0)))</f>
        <v/>
      </c>
      <c r="S200" s="70">
        <f>IF(NOT((COUNTA($B200:$K200)+COUNTA($N200))&gt;0),"",IF($B200&lt;&gt;"","Macro",IF($C200&lt;&gt;"","Sub","Macro")))</f>
        <v/>
      </c>
      <c r="T200" s="70">
        <f>IF($S200="Macro",COUNTIFS($R$5:$R$1000,ROW(),$S$5:$S$1000,"Sub"),"")</f>
        <v/>
      </c>
      <c r="U200" s="70">
        <f>IF($S200="","",IF(ISNUMBER($H200),$H200,0))</f>
        <v/>
      </c>
      <c r="V200" s="70">
        <f>IF($S200="","",IF(ISNUMBER($I200),$I200,$U200))</f>
        <v/>
      </c>
      <c r="W200" s="70">
        <f>IF($S200="","",IF(ISNUMBER($J200),$J200,$V200))</f>
        <v/>
      </c>
      <c r="X200" s="70">
        <f>IF($S200="","",IF(ISNUMBER($K200),$K200,$W200))</f>
        <v/>
      </c>
      <c r="Y200" s="70">
        <f>IF($S200="","",IF(N($T200)&gt;0,AVERAGEIFS($U$5:$U$1000,$R$5:$R$1000,ROW(),$S$5:$S$1000,"Sub"),$U200))</f>
        <v/>
      </c>
      <c r="Z200" s="70">
        <f>IF($S200="","",IF(N($T200)&gt;0,AVERAGEIFS($V$5:$V$1000,$R$5:$R$1000,ROW(),$S$5:$S$1000,"Sub"),$V200))</f>
        <v/>
      </c>
      <c r="AA200" s="70">
        <f>IF($S200="","",IF(N($T200)&gt;0,AVERAGEIFS($W$5:$W$1000,$R$5:$R$1000,ROW(),$S$5:$S$1000,"Sub"),$W200))</f>
        <v/>
      </c>
      <c r="AB200" s="70">
        <f>IF($S200="","",IF(N($T200)&gt;0,AVERAGEIFS($X$5:$X$1000,$R$5:$R$1000,ROW(),$S$5:$S$1000,"Sub"),$X200))</f>
        <v/>
      </c>
    </row>
    <row r="201">
      <c r="A201" s="61">
        <f>IF(NOT((COUNTA($B201:$K201)+COUNTA($N201))&gt;0),"",IF($S201="Macro",COUNTIFS($S$5:$S201,"Macro",$P$5:$P201,$P201),IF(N($R201)=0,"?",COUNTIFS(INDEX($S$5:$S$1000,1):INDEX($S$5:$S$1000,$R201-4),"Macro",INDEX($P$5:$P$1000,1):INDEX($P$5:$P$1000,$R201-4),INDEX($P$5:$P$1000,$R201-4))&amp;"."&amp;COUNTIFS($R$5:$R201,$R201,$S$5:$S201,"Sub"))))</f>
        <v/>
      </c>
      <c r="B201" s="62" t="n"/>
      <c r="C201" s="63" t="n"/>
      <c r="D201" s="62" t="n"/>
      <c r="E201" s="64" t="n"/>
      <c r="F201" s="64" t="n"/>
      <c r="G201" s="65" t="n"/>
      <c r="H201" s="66" t="n"/>
      <c r="I201" s="66" t="n"/>
      <c r="J201" s="66" t="n"/>
      <c r="K201" s="66" t="n"/>
      <c r="L201" s="67">
        <f>IF(NOT((COUNTA($B201:$K201)+COUNTA($N201))&gt;0),"",IF(N($T201)&gt;0,$AB201,IFERROR(LOOKUP(2,1/(H201:K201&lt;&gt;""),H201:K201),0)))</f>
        <v/>
      </c>
      <c r="M201" s="61">
        <f>IF(L201="","",IF(L201&gt;=1,"Completado",IF(L201&gt;0,"En curso","Pendiente")))</f>
        <v/>
      </c>
      <c r="N201" s="62" t="n"/>
      <c r="O201" s="68">
        <f>IF(NOT((COUNTA($B201:$K201)+COUNTA($N201))&gt;0),"",IF((IF(AND($S201="Macro",$B201=""),"Macroactividad vacía"&amp;" · ","")&amp;IF(AND($B201&lt;&gt;"",$C201&lt;&gt;""),"Escriba la subactividad en otra fila, debajo de su macroactividad"&amp;" · ","")&amp;IF(AND($S201="Sub",N($R201)=0),"Subactividad sin macroactividad arriba"&amp;" · ","")&amp;IF($D201="","Sin responsable"&amp;" · ","")&amp;IF($E201="","Sin fecha de inicio"&amp;" · ","")&amp;IF($F201="","Sin fecha límite"&amp;" · ","")&amp;IF(OR(AND($E201&lt;&gt;"",NOT(ISNUMBER($E201))),AND($F201&lt;&gt;"",NOT(ISNUMBER($F201)))),"Fecha no válida"&amp;" · ","")&amp;IF(AND(ISNUMBER($E201),ISNUMBER($F201),$E201&gt;$F201),"Inicio posterior a fecha límite"&amp;" · ","")&amp;IF(AND($S201="Macro",$G201=""),"Peso vacío"&amp;" · ","")&amp;IF(AND($S201="Macro",$G201&lt;&gt;"",OR(NOT(ISNUMBER($G201)),$G201&lt;=0,$G201&gt;1)),"Peso fuera de rango"&amp;" · ","")&amp;IF(AND($S201="Sub",$G201&lt;&gt;""),"Las subactividades no llevan peso"&amp;" · ","")&amp;IF(AND($S201="Macro",ABS(SUMIFS($G$5:$G$1000,$P$5:$P$1000,$P201,$S$5:$S$1000,"Macro")-1)&gt;0.0001),"Pesos del mes suman "&amp;TEXT(SUMIFS($G$5:$G$1000,$P$5:$P$1000,$P201,$S$5:$S$1000,"Macro"),"0%")&amp;" · ","")&amp;IF(AND(N($T201)&gt;0,COUNT($H201:$K201)&gt;0),"Con subactividades: deje vacías las semanas (se calculan solas)"&amp;" · ","")&amp;IF((COUNTIF($H201:$K201,"&gt;1")+COUNTIF($H201:$K201,"&lt;0")+COUNTA($H201:$K201)-COUNT($H201:$K201))&gt;0,"Avance fuera de rango 0-100%"&amp;" · ","")&amp;IF(OR(AND($I201&lt;&gt;"",$I201&lt;$H201),AND($J201&lt;&gt;"",$J201&lt;MAX($H201:$I201)),AND($K201&lt;&gt;"",$K201&lt;MAX($H201:$J201))),"Avance semanal decreciente"&amp;" · ","")&amp;IF(AND(ISNUMBER($F201),$F201&lt;FechaRef,N($L201)&lt;1),"Vencida"&amp;" · ","")&amp;IF(AND(ObsObligatoria="Sí",ISNUMBER($F201),$F201&lt;FechaRef,N($L201)&lt;1,$N201=""),"Vencida sin observación"&amp;" · ",""))="","✔ OK","⚠ "&amp;LEFT(IF(AND($S201="Macro",$B201=""),"Macroactividad vacía"&amp;" · ","")&amp;IF(AND($B201&lt;&gt;"",$C201&lt;&gt;""),"Escriba la subactividad en otra fila, debajo de su macroactividad"&amp;" · ","")&amp;IF(AND($S201="Sub",N($R201)=0),"Subactividad sin macroactividad arriba"&amp;" · ","")&amp;IF($D201="","Sin responsable"&amp;" · ","")&amp;IF($E201="","Sin fecha de inicio"&amp;" · ","")&amp;IF($F201="","Sin fecha límite"&amp;" · ","")&amp;IF(OR(AND($E201&lt;&gt;"",NOT(ISNUMBER($E201))),AND($F201&lt;&gt;"",NOT(ISNUMBER($F201)))),"Fecha no válida"&amp;" · ","")&amp;IF(AND(ISNUMBER($E201),ISNUMBER($F201),$E201&gt;$F201),"Inicio posterior a fecha límite"&amp;" · ","")&amp;IF(AND($S201="Macro",$G201=""),"Peso vacío"&amp;" · ","")&amp;IF(AND($S201="Macro",$G201&lt;&gt;"",OR(NOT(ISNUMBER($G201)),$G201&lt;=0,$G201&gt;1)),"Peso fuera de rango"&amp;" · ","")&amp;IF(AND($S201="Sub",$G201&lt;&gt;""),"Las subactividades no llevan peso"&amp;" · ","")&amp;IF(AND($S201="Macro",ABS(SUMIFS($G$5:$G$1000,$P$5:$P$1000,$P201,$S$5:$S$1000,"Macro")-1)&gt;0.0001),"Pesos del mes suman "&amp;TEXT(SUMIFS($G$5:$G$1000,$P$5:$P$1000,$P201,$S$5:$S$1000,"Macro"),"0%")&amp;" · ","")&amp;IF(AND(N($T201)&gt;0,COUNT($H201:$K201)&gt;0),"Con subactividades: deje vacías las semanas (se calculan solas)"&amp;" · ","")&amp;IF((COUNTIF($H201:$K201,"&gt;1")+COUNTIF($H201:$K201,"&lt;0")+COUNTA($H201:$K201)-COUNT($H201:$K201))&gt;0,"Avance fuera de rango 0-100%"&amp;" · ","")&amp;IF(OR(AND($I201&lt;&gt;"",$I201&lt;$H201),AND($J201&lt;&gt;"",$J201&lt;MAX($H201:$I201)),AND($K201&lt;&gt;"",$K201&lt;MAX($H201:$J201))),"Avance semanal decreciente"&amp;" · ","")&amp;IF(AND(ISNUMBER($F201),$F201&lt;FechaRef,N($L201)&lt;1),"Vencida"&amp;" · ","")&amp;IF(AND(ObsObligatoria="Sí",ISNUMBER($F201),$F201&lt;FechaRef,N($L201)&lt;1,$N201=""),"Vencida sin observación"&amp;" · ",""),LEN(IF(AND($S201="Macro",$B201=""),"Macroactividad vacía"&amp;" · ","")&amp;IF(AND($B201&lt;&gt;"",$C201&lt;&gt;""),"Escriba la subactividad en otra fila, debajo de su macroactividad"&amp;" · ","")&amp;IF(AND($S201="Sub",N($R201)=0),"Subactividad sin macroactividad arriba"&amp;" · ","")&amp;IF($D201="","Sin responsable"&amp;" · ","")&amp;IF($E201="","Sin fecha de inicio"&amp;" · ","")&amp;IF($F201="","Sin fecha límite"&amp;" · ","")&amp;IF(OR(AND($E201&lt;&gt;"",NOT(ISNUMBER($E201))),AND($F201&lt;&gt;"",NOT(ISNUMBER($F201)))),"Fecha no válida"&amp;" · ","")&amp;IF(AND(ISNUMBER($E201),ISNUMBER($F201),$E201&gt;$F201),"Inicio posterior a fecha límite"&amp;" · ","")&amp;IF(AND($S201="Macro",$G201=""),"Peso vacío"&amp;" · ","")&amp;IF(AND($S201="Macro",$G201&lt;&gt;"",OR(NOT(ISNUMBER($G201)),$G201&lt;=0,$G201&gt;1)),"Peso fuera de rango"&amp;" · ","")&amp;IF(AND($S201="Sub",$G201&lt;&gt;""),"Las subactividades no llevan peso"&amp;" · ","")&amp;IF(AND($S201="Macro",ABS(SUMIFS($G$5:$G$1000,$P$5:$P$1000,$P201,$S$5:$S$1000,"Macro")-1)&gt;0.0001),"Pesos del mes suman "&amp;TEXT(SUMIFS($G$5:$G$1000,$P$5:$P$1000,$P201,$S$5:$S$1000,"Macro"),"0%")&amp;" · ","")&amp;IF(AND(N($T201)&gt;0,COUNT($H201:$K201)&gt;0),"Con subactividades: deje vacías las semanas (se calculan solas)"&amp;" · ","")&amp;IF((COUNTIF($H201:$K201,"&gt;1")+COUNTIF($H201:$K201,"&lt;0")+COUNTA($H201:$K201)-COUNT($H201:$K201))&gt;0,"Avance fuera de rango 0-100%"&amp;" · ","")&amp;IF(OR(AND($I201&lt;&gt;"",$I201&lt;$H201),AND($J201&lt;&gt;"",$J201&lt;MAX($H201:$I201)),AND($K201&lt;&gt;"",$K201&lt;MAX($H201:$J201))),"Avance semanal decreciente"&amp;" · ","")&amp;IF(AND(ISNUMBER($F201),$F201&lt;FechaRef,N($L201)&lt;1),"Vencida"&amp;" · ","")&amp;IF(AND(ObsObligatoria="Sí",ISNUMBER($F201),$F201&lt;FechaRef,N($L201)&lt;1,$N201=""),"Vencida sin observación"&amp;" · ",""))-3)))</f>
        <v/>
      </c>
      <c r="P201" s="69">
        <f>IF(NOT((COUNTA($B201:$K201)+COUNTA($N201))&gt;0),"",IF(AND($S201="Sub",N($R201)&gt;0),IF(ISNUMBER(INDEX($E$5:$E$1000,$R201-4)),DATE(YEAR(INDEX($E$5:$E$1000,$R201-4)),MONTH(INDEX($E$5:$E$1000,$R201-4)),1),IF(ISNUMBER(INDEX($F$5:$F$1000,$R201-4)),DATE(YEAR(INDEX($F$5:$F$1000,$R201-4)),MONTH(INDEX($F$5:$F$1000,$R201-4)),1),MesCiclo)),IF(ISNUMBER($E201),DATE(YEAR($E201),MONTH($E201),1),IF(ISNUMBER($F201),DATE(YEAR($F201),MONTH($F201),1),MesCiclo))))</f>
        <v/>
      </c>
      <c r="Q201" s="70">
        <f>IF(OR($P201="",$P201&lt;&gt;MesCiclo),"",COUNTIF($P$5:$P201,MesCiclo))</f>
        <v/>
      </c>
      <c r="R201" s="70">
        <f>IF($S201="","",IF($S201="Macro",ROW(),IFERROR(LOOKUP(2,1/($S$5:$S201="Macro"),ROW($S$5:$S201)),0)))</f>
        <v/>
      </c>
      <c r="S201" s="70">
        <f>IF(NOT((COUNTA($B201:$K201)+COUNTA($N201))&gt;0),"",IF($B201&lt;&gt;"","Macro",IF($C201&lt;&gt;"","Sub","Macro")))</f>
        <v/>
      </c>
      <c r="T201" s="70">
        <f>IF($S201="Macro",COUNTIFS($R$5:$R$1000,ROW(),$S$5:$S$1000,"Sub"),"")</f>
        <v/>
      </c>
      <c r="U201" s="70">
        <f>IF($S201="","",IF(ISNUMBER($H201),$H201,0))</f>
        <v/>
      </c>
      <c r="V201" s="70">
        <f>IF($S201="","",IF(ISNUMBER($I201),$I201,$U201))</f>
        <v/>
      </c>
      <c r="W201" s="70">
        <f>IF($S201="","",IF(ISNUMBER($J201),$J201,$V201))</f>
        <v/>
      </c>
      <c r="X201" s="70">
        <f>IF($S201="","",IF(ISNUMBER($K201),$K201,$W201))</f>
        <v/>
      </c>
      <c r="Y201" s="70">
        <f>IF($S201="","",IF(N($T201)&gt;0,AVERAGEIFS($U$5:$U$1000,$R$5:$R$1000,ROW(),$S$5:$S$1000,"Sub"),$U201))</f>
        <v/>
      </c>
      <c r="Z201" s="70">
        <f>IF($S201="","",IF(N($T201)&gt;0,AVERAGEIFS($V$5:$V$1000,$R$5:$R$1000,ROW(),$S$5:$S$1000,"Sub"),$V201))</f>
        <v/>
      </c>
      <c r="AA201" s="70">
        <f>IF($S201="","",IF(N($T201)&gt;0,AVERAGEIFS($W$5:$W$1000,$R$5:$R$1000,ROW(),$S$5:$S$1000,"Sub"),$W201))</f>
        <v/>
      </c>
      <c r="AB201" s="70">
        <f>IF($S201="","",IF(N($T201)&gt;0,AVERAGEIFS($X$5:$X$1000,$R$5:$R$1000,ROW(),$S$5:$S$1000,"Sub"),$X201))</f>
        <v/>
      </c>
    </row>
    <row r="202">
      <c r="A202" s="61">
        <f>IF(NOT((COUNTA($B202:$K202)+COUNTA($N202))&gt;0),"",IF($S202="Macro",COUNTIFS($S$5:$S202,"Macro",$P$5:$P202,$P202),IF(N($R202)=0,"?",COUNTIFS(INDEX($S$5:$S$1000,1):INDEX($S$5:$S$1000,$R202-4),"Macro",INDEX($P$5:$P$1000,1):INDEX($P$5:$P$1000,$R202-4),INDEX($P$5:$P$1000,$R202-4))&amp;"."&amp;COUNTIFS($R$5:$R202,$R202,$S$5:$S202,"Sub"))))</f>
        <v/>
      </c>
      <c r="B202" s="62" t="n"/>
      <c r="C202" s="63" t="n"/>
      <c r="D202" s="62" t="n"/>
      <c r="E202" s="64" t="n"/>
      <c r="F202" s="64" t="n"/>
      <c r="G202" s="65" t="n"/>
      <c r="H202" s="66" t="n"/>
      <c r="I202" s="66" t="n"/>
      <c r="J202" s="66" t="n"/>
      <c r="K202" s="66" t="n"/>
      <c r="L202" s="67">
        <f>IF(NOT((COUNTA($B202:$K202)+COUNTA($N202))&gt;0),"",IF(N($T202)&gt;0,$AB202,IFERROR(LOOKUP(2,1/(H202:K202&lt;&gt;""),H202:K202),0)))</f>
        <v/>
      </c>
      <c r="M202" s="61">
        <f>IF(L202="","",IF(L202&gt;=1,"Completado",IF(L202&gt;0,"En curso","Pendiente")))</f>
        <v/>
      </c>
      <c r="N202" s="62" t="n"/>
      <c r="O202" s="68">
        <f>IF(NOT((COUNTA($B202:$K202)+COUNTA($N202))&gt;0),"",IF((IF(AND($S202="Macro",$B202=""),"Macroactividad vacía"&amp;" · ","")&amp;IF(AND($B202&lt;&gt;"",$C202&lt;&gt;""),"Escriba la subactividad en otra fila, debajo de su macroactividad"&amp;" · ","")&amp;IF(AND($S202="Sub",N($R202)=0),"Subactividad sin macroactividad arriba"&amp;" · ","")&amp;IF($D202="","Sin responsable"&amp;" · ","")&amp;IF($E202="","Sin fecha de inicio"&amp;" · ","")&amp;IF($F202="","Sin fecha límite"&amp;" · ","")&amp;IF(OR(AND($E202&lt;&gt;"",NOT(ISNUMBER($E202))),AND($F202&lt;&gt;"",NOT(ISNUMBER($F202)))),"Fecha no válida"&amp;" · ","")&amp;IF(AND(ISNUMBER($E202),ISNUMBER($F202),$E202&gt;$F202),"Inicio posterior a fecha límite"&amp;" · ","")&amp;IF(AND($S202="Macro",$G202=""),"Peso vacío"&amp;" · ","")&amp;IF(AND($S202="Macro",$G202&lt;&gt;"",OR(NOT(ISNUMBER($G202)),$G202&lt;=0,$G202&gt;1)),"Peso fuera de rango"&amp;" · ","")&amp;IF(AND($S202="Sub",$G202&lt;&gt;""),"Las subactividades no llevan peso"&amp;" · ","")&amp;IF(AND($S202="Macro",ABS(SUMIFS($G$5:$G$1000,$P$5:$P$1000,$P202,$S$5:$S$1000,"Macro")-1)&gt;0.0001),"Pesos del mes suman "&amp;TEXT(SUMIFS($G$5:$G$1000,$P$5:$P$1000,$P202,$S$5:$S$1000,"Macro"),"0%")&amp;" · ","")&amp;IF(AND(N($T202)&gt;0,COUNT($H202:$K202)&gt;0),"Con subactividades: deje vacías las semanas (se calculan solas)"&amp;" · ","")&amp;IF((COUNTIF($H202:$K202,"&gt;1")+COUNTIF($H202:$K202,"&lt;0")+COUNTA($H202:$K202)-COUNT($H202:$K202))&gt;0,"Avance fuera de rango 0-100%"&amp;" · ","")&amp;IF(OR(AND($I202&lt;&gt;"",$I202&lt;$H202),AND($J202&lt;&gt;"",$J202&lt;MAX($H202:$I202)),AND($K202&lt;&gt;"",$K202&lt;MAX($H202:$J202))),"Avance semanal decreciente"&amp;" · ","")&amp;IF(AND(ISNUMBER($F202),$F202&lt;FechaRef,N($L202)&lt;1),"Vencida"&amp;" · ","")&amp;IF(AND(ObsObligatoria="Sí",ISNUMBER($F202),$F202&lt;FechaRef,N($L202)&lt;1,$N202=""),"Vencida sin observación"&amp;" · ",""))="","✔ OK","⚠ "&amp;LEFT(IF(AND($S202="Macro",$B202=""),"Macroactividad vacía"&amp;" · ","")&amp;IF(AND($B202&lt;&gt;"",$C202&lt;&gt;""),"Escriba la subactividad en otra fila, debajo de su macroactividad"&amp;" · ","")&amp;IF(AND($S202="Sub",N($R202)=0),"Subactividad sin macroactividad arriba"&amp;" · ","")&amp;IF($D202="","Sin responsable"&amp;" · ","")&amp;IF($E202="","Sin fecha de inicio"&amp;" · ","")&amp;IF($F202="","Sin fecha límite"&amp;" · ","")&amp;IF(OR(AND($E202&lt;&gt;"",NOT(ISNUMBER($E202))),AND($F202&lt;&gt;"",NOT(ISNUMBER($F202)))),"Fecha no válida"&amp;" · ","")&amp;IF(AND(ISNUMBER($E202),ISNUMBER($F202),$E202&gt;$F202),"Inicio posterior a fecha límite"&amp;" · ","")&amp;IF(AND($S202="Macro",$G202=""),"Peso vacío"&amp;" · ","")&amp;IF(AND($S202="Macro",$G202&lt;&gt;"",OR(NOT(ISNUMBER($G202)),$G202&lt;=0,$G202&gt;1)),"Peso fuera de rango"&amp;" · ","")&amp;IF(AND($S202="Sub",$G202&lt;&gt;""),"Las subactividades no llevan peso"&amp;" · ","")&amp;IF(AND($S202="Macro",ABS(SUMIFS($G$5:$G$1000,$P$5:$P$1000,$P202,$S$5:$S$1000,"Macro")-1)&gt;0.0001),"Pesos del mes suman "&amp;TEXT(SUMIFS($G$5:$G$1000,$P$5:$P$1000,$P202,$S$5:$S$1000,"Macro"),"0%")&amp;" · ","")&amp;IF(AND(N($T202)&gt;0,COUNT($H202:$K202)&gt;0),"Con subactividades: deje vacías las semanas (se calculan solas)"&amp;" · ","")&amp;IF((COUNTIF($H202:$K202,"&gt;1")+COUNTIF($H202:$K202,"&lt;0")+COUNTA($H202:$K202)-COUNT($H202:$K202))&gt;0,"Avance fuera de rango 0-100%"&amp;" · ","")&amp;IF(OR(AND($I202&lt;&gt;"",$I202&lt;$H202),AND($J202&lt;&gt;"",$J202&lt;MAX($H202:$I202)),AND($K202&lt;&gt;"",$K202&lt;MAX($H202:$J202))),"Avance semanal decreciente"&amp;" · ","")&amp;IF(AND(ISNUMBER($F202),$F202&lt;FechaRef,N($L202)&lt;1),"Vencida"&amp;" · ","")&amp;IF(AND(ObsObligatoria="Sí",ISNUMBER($F202),$F202&lt;FechaRef,N($L202)&lt;1,$N202=""),"Vencida sin observación"&amp;" · ",""),LEN(IF(AND($S202="Macro",$B202=""),"Macroactividad vacía"&amp;" · ","")&amp;IF(AND($B202&lt;&gt;"",$C202&lt;&gt;""),"Escriba la subactividad en otra fila, debajo de su macroactividad"&amp;" · ","")&amp;IF(AND($S202="Sub",N($R202)=0),"Subactividad sin macroactividad arriba"&amp;" · ","")&amp;IF($D202="","Sin responsable"&amp;" · ","")&amp;IF($E202="","Sin fecha de inicio"&amp;" · ","")&amp;IF($F202="","Sin fecha límite"&amp;" · ","")&amp;IF(OR(AND($E202&lt;&gt;"",NOT(ISNUMBER($E202))),AND($F202&lt;&gt;"",NOT(ISNUMBER($F202)))),"Fecha no válida"&amp;" · ","")&amp;IF(AND(ISNUMBER($E202),ISNUMBER($F202),$E202&gt;$F202),"Inicio posterior a fecha límite"&amp;" · ","")&amp;IF(AND($S202="Macro",$G202=""),"Peso vacío"&amp;" · ","")&amp;IF(AND($S202="Macro",$G202&lt;&gt;"",OR(NOT(ISNUMBER($G202)),$G202&lt;=0,$G202&gt;1)),"Peso fuera de rango"&amp;" · ","")&amp;IF(AND($S202="Sub",$G202&lt;&gt;""),"Las subactividades no llevan peso"&amp;" · ","")&amp;IF(AND($S202="Macro",ABS(SUMIFS($G$5:$G$1000,$P$5:$P$1000,$P202,$S$5:$S$1000,"Macro")-1)&gt;0.0001),"Pesos del mes suman "&amp;TEXT(SUMIFS($G$5:$G$1000,$P$5:$P$1000,$P202,$S$5:$S$1000,"Macro"),"0%")&amp;" · ","")&amp;IF(AND(N($T202)&gt;0,COUNT($H202:$K202)&gt;0),"Con subactividades: deje vacías las semanas (se calculan solas)"&amp;" · ","")&amp;IF((COUNTIF($H202:$K202,"&gt;1")+COUNTIF($H202:$K202,"&lt;0")+COUNTA($H202:$K202)-COUNT($H202:$K202))&gt;0,"Avance fuera de rango 0-100%"&amp;" · ","")&amp;IF(OR(AND($I202&lt;&gt;"",$I202&lt;$H202),AND($J202&lt;&gt;"",$J202&lt;MAX($H202:$I202)),AND($K202&lt;&gt;"",$K202&lt;MAX($H202:$J202))),"Avance semanal decreciente"&amp;" · ","")&amp;IF(AND(ISNUMBER($F202),$F202&lt;FechaRef,N($L202)&lt;1),"Vencida"&amp;" · ","")&amp;IF(AND(ObsObligatoria="Sí",ISNUMBER($F202),$F202&lt;FechaRef,N($L202)&lt;1,$N202=""),"Vencida sin observación"&amp;" · ",""))-3)))</f>
        <v/>
      </c>
      <c r="P202" s="69">
        <f>IF(NOT((COUNTA($B202:$K202)+COUNTA($N202))&gt;0),"",IF(AND($S202="Sub",N($R202)&gt;0),IF(ISNUMBER(INDEX($E$5:$E$1000,$R202-4)),DATE(YEAR(INDEX($E$5:$E$1000,$R202-4)),MONTH(INDEX($E$5:$E$1000,$R202-4)),1),IF(ISNUMBER(INDEX($F$5:$F$1000,$R202-4)),DATE(YEAR(INDEX($F$5:$F$1000,$R202-4)),MONTH(INDEX($F$5:$F$1000,$R202-4)),1),MesCiclo)),IF(ISNUMBER($E202),DATE(YEAR($E202),MONTH($E202),1),IF(ISNUMBER($F202),DATE(YEAR($F202),MONTH($F202),1),MesCiclo))))</f>
        <v/>
      </c>
      <c r="Q202" s="70">
        <f>IF(OR($P202="",$P202&lt;&gt;MesCiclo),"",COUNTIF($P$5:$P202,MesCiclo))</f>
        <v/>
      </c>
      <c r="R202" s="70">
        <f>IF($S202="","",IF($S202="Macro",ROW(),IFERROR(LOOKUP(2,1/($S$5:$S202="Macro"),ROW($S$5:$S202)),0)))</f>
        <v/>
      </c>
      <c r="S202" s="70">
        <f>IF(NOT((COUNTA($B202:$K202)+COUNTA($N202))&gt;0),"",IF($B202&lt;&gt;"","Macro",IF($C202&lt;&gt;"","Sub","Macro")))</f>
        <v/>
      </c>
      <c r="T202" s="70">
        <f>IF($S202="Macro",COUNTIFS($R$5:$R$1000,ROW(),$S$5:$S$1000,"Sub"),"")</f>
        <v/>
      </c>
      <c r="U202" s="70">
        <f>IF($S202="","",IF(ISNUMBER($H202),$H202,0))</f>
        <v/>
      </c>
      <c r="V202" s="70">
        <f>IF($S202="","",IF(ISNUMBER($I202),$I202,$U202))</f>
        <v/>
      </c>
      <c r="W202" s="70">
        <f>IF($S202="","",IF(ISNUMBER($J202),$J202,$V202))</f>
        <v/>
      </c>
      <c r="X202" s="70">
        <f>IF($S202="","",IF(ISNUMBER($K202),$K202,$W202))</f>
        <v/>
      </c>
      <c r="Y202" s="70">
        <f>IF($S202="","",IF(N($T202)&gt;0,AVERAGEIFS($U$5:$U$1000,$R$5:$R$1000,ROW(),$S$5:$S$1000,"Sub"),$U202))</f>
        <v/>
      </c>
      <c r="Z202" s="70">
        <f>IF($S202="","",IF(N($T202)&gt;0,AVERAGEIFS($V$5:$V$1000,$R$5:$R$1000,ROW(),$S$5:$S$1000,"Sub"),$V202))</f>
        <v/>
      </c>
      <c r="AA202" s="70">
        <f>IF($S202="","",IF(N($T202)&gt;0,AVERAGEIFS($W$5:$W$1000,$R$5:$R$1000,ROW(),$S$5:$S$1000,"Sub"),$W202))</f>
        <v/>
      </c>
      <c r="AB202" s="70">
        <f>IF($S202="","",IF(N($T202)&gt;0,AVERAGEIFS($X$5:$X$1000,$R$5:$R$1000,ROW(),$S$5:$S$1000,"Sub"),$X202))</f>
        <v/>
      </c>
    </row>
    <row r="203">
      <c r="A203" s="61">
        <f>IF(NOT((COUNTA($B203:$K203)+COUNTA($N203))&gt;0),"",IF($S203="Macro",COUNTIFS($S$5:$S203,"Macro",$P$5:$P203,$P203),IF(N($R203)=0,"?",COUNTIFS(INDEX($S$5:$S$1000,1):INDEX($S$5:$S$1000,$R203-4),"Macro",INDEX($P$5:$P$1000,1):INDEX($P$5:$P$1000,$R203-4),INDEX($P$5:$P$1000,$R203-4))&amp;"."&amp;COUNTIFS($R$5:$R203,$R203,$S$5:$S203,"Sub"))))</f>
        <v/>
      </c>
      <c r="B203" s="62" t="n"/>
      <c r="C203" s="63" t="n"/>
      <c r="D203" s="62" t="n"/>
      <c r="E203" s="64" t="n"/>
      <c r="F203" s="64" t="n"/>
      <c r="G203" s="65" t="n"/>
      <c r="H203" s="66" t="n"/>
      <c r="I203" s="66" t="n"/>
      <c r="J203" s="66" t="n"/>
      <c r="K203" s="66" t="n"/>
      <c r="L203" s="67">
        <f>IF(NOT((COUNTA($B203:$K203)+COUNTA($N203))&gt;0),"",IF(N($T203)&gt;0,$AB203,IFERROR(LOOKUP(2,1/(H203:K203&lt;&gt;""),H203:K203),0)))</f>
        <v/>
      </c>
      <c r="M203" s="61">
        <f>IF(L203="","",IF(L203&gt;=1,"Completado",IF(L203&gt;0,"En curso","Pendiente")))</f>
        <v/>
      </c>
      <c r="N203" s="62" t="n"/>
      <c r="O203" s="68">
        <f>IF(NOT((COUNTA($B203:$K203)+COUNTA($N203))&gt;0),"",IF((IF(AND($S203="Macro",$B203=""),"Macroactividad vacía"&amp;" · ","")&amp;IF(AND($B203&lt;&gt;"",$C203&lt;&gt;""),"Escriba la subactividad en otra fila, debajo de su macroactividad"&amp;" · ","")&amp;IF(AND($S203="Sub",N($R203)=0),"Subactividad sin macroactividad arriba"&amp;" · ","")&amp;IF($D203="","Sin responsable"&amp;" · ","")&amp;IF($E203="","Sin fecha de inicio"&amp;" · ","")&amp;IF($F203="","Sin fecha límite"&amp;" · ","")&amp;IF(OR(AND($E203&lt;&gt;"",NOT(ISNUMBER($E203))),AND($F203&lt;&gt;"",NOT(ISNUMBER($F203)))),"Fecha no válida"&amp;" · ","")&amp;IF(AND(ISNUMBER($E203),ISNUMBER($F203),$E203&gt;$F203),"Inicio posterior a fecha límite"&amp;" · ","")&amp;IF(AND($S203="Macro",$G203=""),"Peso vacío"&amp;" · ","")&amp;IF(AND($S203="Macro",$G203&lt;&gt;"",OR(NOT(ISNUMBER($G203)),$G203&lt;=0,$G203&gt;1)),"Peso fuera de rango"&amp;" · ","")&amp;IF(AND($S203="Sub",$G203&lt;&gt;""),"Las subactividades no llevan peso"&amp;" · ","")&amp;IF(AND($S203="Macro",ABS(SUMIFS($G$5:$G$1000,$P$5:$P$1000,$P203,$S$5:$S$1000,"Macro")-1)&gt;0.0001),"Pesos del mes suman "&amp;TEXT(SUMIFS($G$5:$G$1000,$P$5:$P$1000,$P203,$S$5:$S$1000,"Macro"),"0%")&amp;" · ","")&amp;IF(AND(N($T203)&gt;0,COUNT($H203:$K203)&gt;0),"Con subactividades: deje vacías las semanas (se calculan solas)"&amp;" · ","")&amp;IF((COUNTIF($H203:$K203,"&gt;1")+COUNTIF($H203:$K203,"&lt;0")+COUNTA($H203:$K203)-COUNT($H203:$K203))&gt;0,"Avance fuera de rango 0-100%"&amp;" · ","")&amp;IF(OR(AND($I203&lt;&gt;"",$I203&lt;$H203),AND($J203&lt;&gt;"",$J203&lt;MAX($H203:$I203)),AND($K203&lt;&gt;"",$K203&lt;MAX($H203:$J203))),"Avance semanal decreciente"&amp;" · ","")&amp;IF(AND(ISNUMBER($F203),$F203&lt;FechaRef,N($L203)&lt;1),"Vencida"&amp;" · ","")&amp;IF(AND(ObsObligatoria="Sí",ISNUMBER($F203),$F203&lt;FechaRef,N($L203)&lt;1,$N203=""),"Vencida sin observación"&amp;" · ",""))="","✔ OK","⚠ "&amp;LEFT(IF(AND($S203="Macro",$B203=""),"Macroactividad vacía"&amp;" · ","")&amp;IF(AND($B203&lt;&gt;"",$C203&lt;&gt;""),"Escriba la subactividad en otra fila, debajo de su macroactividad"&amp;" · ","")&amp;IF(AND($S203="Sub",N($R203)=0),"Subactividad sin macroactividad arriba"&amp;" · ","")&amp;IF($D203="","Sin responsable"&amp;" · ","")&amp;IF($E203="","Sin fecha de inicio"&amp;" · ","")&amp;IF($F203="","Sin fecha límite"&amp;" · ","")&amp;IF(OR(AND($E203&lt;&gt;"",NOT(ISNUMBER($E203))),AND($F203&lt;&gt;"",NOT(ISNUMBER($F203)))),"Fecha no válida"&amp;" · ","")&amp;IF(AND(ISNUMBER($E203),ISNUMBER($F203),$E203&gt;$F203),"Inicio posterior a fecha límite"&amp;" · ","")&amp;IF(AND($S203="Macro",$G203=""),"Peso vacío"&amp;" · ","")&amp;IF(AND($S203="Macro",$G203&lt;&gt;"",OR(NOT(ISNUMBER($G203)),$G203&lt;=0,$G203&gt;1)),"Peso fuera de rango"&amp;" · ","")&amp;IF(AND($S203="Sub",$G203&lt;&gt;""),"Las subactividades no llevan peso"&amp;" · ","")&amp;IF(AND($S203="Macro",ABS(SUMIFS($G$5:$G$1000,$P$5:$P$1000,$P203,$S$5:$S$1000,"Macro")-1)&gt;0.0001),"Pesos del mes suman "&amp;TEXT(SUMIFS($G$5:$G$1000,$P$5:$P$1000,$P203,$S$5:$S$1000,"Macro"),"0%")&amp;" · ","")&amp;IF(AND(N($T203)&gt;0,COUNT($H203:$K203)&gt;0),"Con subactividades: deje vacías las semanas (se calculan solas)"&amp;" · ","")&amp;IF((COUNTIF($H203:$K203,"&gt;1")+COUNTIF($H203:$K203,"&lt;0")+COUNTA($H203:$K203)-COUNT($H203:$K203))&gt;0,"Avance fuera de rango 0-100%"&amp;" · ","")&amp;IF(OR(AND($I203&lt;&gt;"",$I203&lt;$H203),AND($J203&lt;&gt;"",$J203&lt;MAX($H203:$I203)),AND($K203&lt;&gt;"",$K203&lt;MAX($H203:$J203))),"Avance semanal decreciente"&amp;" · ","")&amp;IF(AND(ISNUMBER($F203),$F203&lt;FechaRef,N($L203)&lt;1),"Vencida"&amp;" · ","")&amp;IF(AND(ObsObligatoria="Sí",ISNUMBER($F203),$F203&lt;FechaRef,N($L203)&lt;1,$N203=""),"Vencida sin observación"&amp;" · ",""),LEN(IF(AND($S203="Macro",$B203=""),"Macroactividad vacía"&amp;" · ","")&amp;IF(AND($B203&lt;&gt;"",$C203&lt;&gt;""),"Escriba la subactividad en otra fila, debajo de su macroactividad"&amp;" · ","")&amp;IF(AND($S203="Sub",N($R203)=0),"Subactividad sin macroactividad arriba"&amp;" · ","")&amp;IF($D203="","Sin responsable"&amp;" · ","")&amp;IF($E203="","Sin fecha de inicio"&amp;" · ","")&amp;IF($F203="","Sin fecha límite"&amp;" · ","")&amp;IF(OR(AND($E203&lt;&gt;"",NOT(ISNUMBER($E203))),AND($F203&lt;&gt;"",NOT(ISNUMBER($F203)))),"Fecha no válida"&amp;" · ","")&amp;IF(AND(ISNUMBER($E203),ISNUMBER($F203),$E203&gt;$F203),"Inicio posterior a fecha límite"&amp;" · ","")&amp;IF(AND($S203="Macro",$G203=""),"Peso vacío"&amp;" · ","")&amp;IF(AND($S203="Macro",$G203&lt;&gt;"",OR(NOT(ISNUMBER($G203)),$G203&lt;=0,$G203&gt;1)),"Peso fuera de rango"&amp;" · ","")&amp;IF(AND($S203="Sub",$G203&lt;&gt;""),"Las subactividades no llevan peso"&amp;" · ","")&amp;IF(AND($S203="Macro",ABS(SUMIFS($G$5:$G$1000,$P$5:$P$1000,$P203,$S$5:$S$1000,"Macro")-1)&gt;0.0001),"Pesos del mes suman "&amp;TEXT(SUMIFS($G$5:$G$1000,$P$5:$P$1000,$P203,$S$5:$S$1000,"Macro"),"0%")&amp;" · ","")&amp;IF(AND(N($T203)&gt;0,COUNT($H203:$K203)&gt;0),"Con subactividades: deje vacías las semanas (se calculan solas)"&amp;" · ","")&amp;IF((COUNTIF($H203:$K203,"&gt;1")+COUNTIF($H203:$K203,"&lt;0")+COUNTA($H203:$K203)-COUNT($H203:$K203))&gt;0,"Avance fuera de rango 0-100%"&amp;" · ","")&amp;IF(OR(AND($I203&lt;&gt;"",$I203&lt;$H203),AND($J203&lt;&gt;"",$J203&lt;MAX($H203:$I203)),AND($K203&lt;&gt;"",$K203&lt;MAX($H203:$J203))),"Avance semanal decreciente"&amp;" · ","")&amp;IF(AND(ISNUMBER($F203),$F203&lt;FechaRef,N($L203)&lt;1),"Vencida"&amp;" · ","")&amp;IF(AND(ObsObligatoria="Sí",ISNUMBER($F203),$F203&lt;FechaRef,N($L203)&lt;1,$N203=""),"Vencida sin observación"&amp;" · ",""))-3)))</f>
        <v/>
      </c>
      <c r="P203" s="69">
        <f>IF(NOT((COUNTA($B203:$K203)+COUNTA($N203))&gt;0),"",IF(AND($S203="Sub",N($R203)&gt;0),IF(ISNUMBER(INDEX($E$5:$E$1000,$R203-4)),DATE(YEAR(INDEX($E$5:$E$1000,$R203-4)),MONTH(INDEX($E$5:$E$1000,$R203-4)),1),IF(ISNUMBER(INDEX($F$5:$F$1000,$R203-4)),DATE(YEAR(INDEX($F$5:$F$1000,$R203-4)),MONTH(INDEX($F$5:$F$1000,$R203-4)),1),MesCiclo)),IF(ISNUMBER($E203),DATE(YEAR($E203),MONTH($E203),1),IF(ISNUMBER($F203),DATE(YEAR($F203),MONTH($F203),1),MesCiclo))))</f>
        <v/>
      </c>
      <c r="Q203" s="70">
        <f>IF(OR($P203="",$P203&lt;&gt;MesCiclo),"",COUNTIF($P$5:$P203,MesCiclo))</f>
        <v/>
      </c>
      <c r="R203" s="70">
        <f>IF($S203="","",IF($S203="Macro",ROW(),IFERROR(LOOKUP(2,1/($S$5:$S203="Macro"),ROW($S$5:$S203)),0)))</f>
        <v/>
      </c>
      <c r="S203" s="70">
        <f>IF(NOT((COUNTA($B203:$K203)+COUNTA($N203))&gt;0),"",IF($B203&lt;&gt;"","Macro",IF($C203&lt;&gt;"","Sub","Macro")))</f>
        <v/>
      </c>
      <c r="T203" s="70">
        <f>IF($S203="Macro",COUNTIFS($R$5:$R$1000,ROW(),$S$5:$S$1000,"Sub"),"")</f>
        <v/>
      </c>
      <c r="U203" s="70">
        <f>IF($S203="","",IF(ISNUMBER($H203),$H203,0))</f>
        <v/>
      </c>
      <c r="V203" s="70">
        <f>IF($S203="","",IF(ISNUMBER($I203),$I203,$U203))</f>
        <v/>
      </c>
      <c r="W203" s="70">
        <f>IF($S203="","",IF(ISNUMBER($J203),$J203,$V203))</f>
        <v/>
      </c>
      <c r="X203" s="70">
        <f>IF($S203="","",IF(ISNUMBER($K203),$K203,$W203))</f>
        <v/>
      </c>
      <c r="Y203" s="70">
        <f>IF($S203="","",IF(N($T203)&gt;0,AVERAGEIFS($U$5:$U$1000,$R$5:$R$1000,ROW(),$S$5:$S$1000,"Sub"),$U203))</f>
        <v/>
      </c>
      <c r="Z203" s="70">
        <f>IF($S203="","",IF(N($T203)&gt;0,AVERAGEIFS($V$5:$V$1000,$R$5:$R$1000,ROW(),$S$5:$S$1000,"Sub"),$V203))</f>
        <v/>
      </c>
      <c r="AA203" s="70">
        <f>IF($S203="","",IF(N($T203)&gt;0,AVERAGEIFS($W$5:$W$1000,$R$5:$R$1000,ROW(),$S$5:$S$1000,"Sub"),$W203))</f>
        <v/>
      </c>
      <c r="AB203" s="70">
        <f>IF($S203="","",IF(N($T203)&gt;0,AVERAGEIFS($X$5:$X$1000,$R$5:$R$1000,ROW(),$S$5:$S$1000,"Sub"),$X203))</f>
        <v/>
      </c>
    </row>
    <row r="204">
      <c r="A204" s="61">
        <f>IF(NOT((COUNTA($B204:$K204)+COUNTA($N204))&gt;0),"",IF($S204="Macro",COUNTIFS($S$5:$S204,"Macro",$P$5:$P204,$P204),IF(N($R204)=0,"?",COUNTIFS(INDEX($S$5:$S$1000,1):INDEX($S$5:$S$1000,$R204-4),"Macro",INDEX($P$5:$P$1000,1):INDEX($P$5:$P$1000,$R204-4),INDEX($P$5:$P$1000,$R204-4))&amp;"."&amp;COUNTIFS($R$5:$R204,$R204,$S$5:$S204,"Sub"))))</f>
        <v/>
      </c>
      <c r="B204" s="62" t="n"/>
      <c r="C204" s="63" t="n"/>
      <c r="D204" s="62" t="n"/>
      <c r="E204" s="64" t="n"/>
      <c r="F204" s="64" t="n"/>
      <c r="G204" s="65" t="n"/>
      <c r="H204" s="66" t="n"/>
      <c r="I204" s="66" t="n"/>
      <c r="J204" s="66" t="n"/>
      <c r="K204" s="66" t="n"/>
      <c r="L204" s="67">
        <f>IF(NOT((COUNTA($B204:$K204)+COUNTA($N204))&gt;0),"",IF(N($T204)&gt;0,$AB204,IFERROR(LOOKUP(2,1/(H204:K204&lt;&gt;""),H204:K204),0)))</f>
        <v/>
      </c>
      <c r="M204" s="61">
        <f>IF(L204="","",IF(L204&gt;=1,"Completado",IF(L204&gt;0,"En curso","Pendiente")))</f>
        <v/>
      </c>
      <c r="N204" s="62" t="n"/>
      <c r="O204" s="68">
        <f>IF(NOT((COUNTA($B204:$K204)+COUNTA($N204))&gt;0),"",IF((IF(AND($S204="Macro",$B204=""),"Macroactividad vacía"&amp;" · ","")&amp;IF(AND($B204&lt;&gt;"",$C204&lt;&gt;""),"Escriba la subactividad en otra fila, debajo de su macroactividad"&amp;" · ","")&amp;IF(AND($S204="Sub",N($R204)=0),"Subactividad sin macroactividad arriba"&amp;" · ","")&amp;IF($D204="","Sin responsable"&amp;" · ","")&amp;IF($E204="","Sin fecha de inicio"&amp;" · ","")&amp;IF($F204="","Sin fecha límite"&amp;" · ","")&amp;IF(OR(AND($E204&lt;&gt;"",NOT(ISNUMBER($E204))),AND($F204&lt;&gt;"",NOT(ISNUMBER($F204)))),"Fecha no válida"&amp;" · ","")&amp;IF(AND(ISNUMBER($E204),ISNUMBER($F204),$E204&gt;$F204),"Inicio posterior a fecha límite"&amp;" · ","")&amp;IF(AND($S204="Macro",$G204=""),"Peso vacío"&amp;" · ","")&amp;IF(AND($S204="Macro",$G204&lt;&gt;"",OR(NOT(ISNUMBER($G204)),$G204&lt;=0,$G204&gt;1)),"Peso fuera de rango"&amp;" · ","")&amp;IF(AND($S204="Sub",$G204&lt;&gt;""),"Las subactividades no llevan peso"&amp;" · ","")&amp;IF(AND($S204="Macro",ABS(SUMIFS($G$5:$G$1000,$P$5:$P$1000,$P204,$S$5:$S$1000,"Macro")-1)&gt;0.0001),"Pesos del mes suman "&amp;TEXT(SUMIFS($G$5:$G$1000,$P$5:$P$1000,$P204,$S$5:$S$1000,"Macro"),"0%")&amp;" · ","")&amp;IF(AND(N($T204)&gt;0,COUNT($H204:$K204)&gt;0),"Con subactividades: deje vacías las semanas (se calculan solas)"&amp;" · ","")&amp;IF((COUNTIF($H204:$K204,"&gt;1")+COUNTIF($H204:$K204,"&lt;0")+COUNTA($H204:$K204)-COUNT($H204:$K204))&gt;0,"Avance fuera de rango 0-100%"&amp;" · ","")&amp;IF(OR(AND($I204&lt;&gt;"",$I204&lt;$H204),AND($J204&lt;&gt;"",$J204&lt;MAX($H204:$I204)),AND($K204&lt;&gt;"",$K204&lt;MAX($H204:$J204))),"Avance semanal decreciente"&amp;" · ","")&amp;IF(AND(ISNUMBER($F204),$F204&lt;FechaRef,N($L204)&lt;1),"Vencida"&amp;" · ","")&amp;IF(AND(ObsObligatoria="Sí",ISNUMBER($F204),$F204&lt;FechaRef,N($L204)&lt;1,$N204=""),"Vencida sin observación"&amp;" · ",""))="","✔ OK","⚠ "&amp;LEFT(IF(AND($S204="Macro",$B204=""),"Macroactividad vacía"&amp;" · ","")&amp;IF(AND($B204&lt;&gt;"",$C204&lt;&gt;""),"Escriba la subactividad en otra fila, debajo de su macroactividad"&amp;" · ","")&amp;IF(AND($S204="Sub",N($R204)=0),"Subactividad sin macroactividad arriba"&amp;" · ","")&amp;IF($D204="","Sin responsable"&amp;" · ","")&amp;IF($E204="","Sin fecha de inicio"&amp;" · ","")&amp;IF($F204="","Sin fecha límite"&amp;" · ","")&amp;IF(OR(AND($E204&lt;&gt;"",NOT(ISNUMBER($E204))),AND($F204&lt;&gt;"",NOT(ISNUMBER($F204)))),"Fecha no válida"&amp;" · ","")&amp;IF(AND(ISNUMBER($E204),ISNUMBER($F204),$E204&gt;$F204),"Inicio posterior a fecha límite"&amp;" · ","")&amp;IF(AND($S204="Macro",$G204=""),"Peso vacío"&amp;" · ","")&amp;IF(AND($S204="Macro",$G204&lt;&gt;"",OR(NOT(ISNUMBER($G204)),$G204&lt;=0,$G204&gt;1)),"Peso fuera de rango"&amp;" · ","")&amp;IF(AND($S204="Sub",$G204&lt;&gt;""),"Las subactividades no llevan peso"&amp;" · ","")&amp;IF(AND($S204="Macro",ABS(SUMIFS($G$5:$G$1000,$P$5:$P$1000,$P204,$S$5:$S$1000,"Macro")-1)&gt;0.0001),"Pesos del mes suman "&amp;TEXT(SUMIFS($G$5:$G$1000,$P$5:$P$1000,$P204,$S$5:$S$1000,"Macro"),"0%")&amp;" · ","")&amp;IF(AND(N($T204)&gt;0,COUNT($H204:$K204)&gt;0),"Con subactividades: deje vacías las semanas (se calculan solas)"&amp;" · ","")&amp;IF((COUNTIF($H204:$K204,"&gt;1")+COUNTIF($H204:$K204,"&lt;0")+COUNTA($H204:$K204)-COUNT($H204:$K204))&gt;0,"Avance fuera de rango 0-100%"&amp;" · ","")&amp;IF(OR(AND($I204&lt;&gt;"",$I204&lt;$H204),AND($J204&lt;&gt;"",$J204&lt;MAX($H204:$I204)),AND($K204&lt;&gt;"",$K204&lt;MAX($H204:$J204))),"Avance semanal decreciente"&amp;" · ","")&amp;IF(AND(ISNUMBER($F204),$F204&lt;FechaRef,N($L204)&lt;1),"Vencida"&amp;" · ","")&amp;IF(AND(ObsObligatoria="Sí",ISNUMBER($F204),$F204&lt;FechaRef,N($L204)&lt;1,$N204=""),"Vencida sin observación"&amp;" · ",""),LEN(IF(AND($S204="Macro",$B204=""),"Macroactividad vacía"&amp;" · ","")&amp;IF(AND($B204&lt;&gt;"",$C204&lt;&gt;""),"Escriba la subactividad en otra fila, debajo de su macroactividad"&amp;" · ","")&amp;IF(AND($S204="Sub",N($R204)=0),"Subactividad sin macroactividad arriba"&amp;" · ","")&amp;IF($D204="","Sin responsable"&amp;" · ","")&amp;IF($E204="","Sin fecha de inicio"&amp;" · ","")&amp;IF($F204="","Sin fecha límite"&amp;" · ","")&amp;IF(OR(AND($E204&lt;&gt;"",NOT(ISNUMBER($E204))),AND($F204&lt;&gt;"",NOT(ISNUMBER($F204)))),"Fecha no válida"&amp;" · ","")&amp;IF(AND(ISNUMBER($E204),ISNUMBER($F204),$E204&gt;$F204),"Inicio posterior a fecha límite"&amp;" · ","")&amp;IF(AND($S204="Macro",$G204=""),"Peso vacío"&amp;" · ","")&amp;IF(AND($S204="Macro",$G204&lt;&gt;"",OR(NOT(ISNUMBER($G204)),$G204&lt;=0,$G204&gt;1)),"Peso fuera de rango"&amp;" · ","")&amp;IF(AND($S204="Sub",$G204&lt;&gt;""),"Las subactividades no llevan peso"&amp;" · ","")&amp;IF(AND($S204="Macro",ABS(SUMIFS($G$5:$G$1000,$P$5:$P$1000,$P204,$S$5:$S$1000,"Macro")-1)&gt;0.0001),"Pesos del mes suman "&amp;TEXT(SUMIFS($G$5:$G$1000,$P$5:$P$1000,$P204,$S$5:$S$1000,"Macro"),"0%")&amp;" · ","")&amp;IF(AND(N($T204)&gt;0,COUNT($H204:$K204)&gt;0),"Con subactividades: deje vacías las semanas (se calculan solas)"&amp;" · ","")&amp;IF((COUNTIF($H204:$K204,"&gt;1")+COUNTIF($H204:$K204,"&lt;0")+COUNTA($H204:$K204)-COUNT($H204:$K204))&gt;0,"Avance fuera de rango 0-100%"&amp;" · ","")&amp;IF(OR(AND($I204&lt;&gt;"",$I204&lt;$H204),AND($J204&lt;&gt;"",$J204&lt;MAX($H204:$I204)),AND($K204&lt;&gt;"",$K204&lt;MAX($H204:$J204))),"Avance semanal decreciente"&amp;" · ","")&amp;IF(AND(ISNUMBER($F204),$F204&lt;FechaRef,N($L204)&lt;1),"Vencida"&amp;" · ","")&amp;IF(AND(ObsObligatoria="Sí",ISNUMBER($F204),$F204&lt;FechaRef,N($L204)&lt;1,$N204=""),"Vencida sin observación"&amp;" · ",""))-3)))</f>
        <v/>
      </c>
      <c r="P204" s="69">
        <f>IF(NOT((COUNTA($B204:$K204)+COUNTA($N204))&gt;0),"",IF(AND($S204="Sub",N($R204)&gt;0),IF(ISNUMBER(INDEX($E$5:$E$1000,$R204-4)),DATE(YEAR(INDEX($E$5:$E$1000,$R204-4)),MONTH(INDEX($E$5:$E$1000,$R204-4)),1),IF(ISNUMBER(INDEX($F$5:$F$1000,$R204-4)),DATE(YEAR(INDEX($F$5:$F$1000,$R204-4)),MONTH(INDEX($F$5:$F$1000,$R204-4)),1),MesCiclo)),IF(ISNUMBER($E204),DATE(YEAR($E204),MONTH($E204),1),IF(ISNUMBER($F204),DATE(YEAR($F204),MONTH($F204),1),MesCiclo))))</f>
        <v/>
      </c>
      <c r="Q204" s="70">
        <f>IF(OR($P204="",$P204&lt;&gt;MesCiclo),"",COUNTIF($P$5:$P204,MesCiclo))</f>
        <v/>
      </c>
      <c r="R204" s="70">
        <f>IF($S204="","",IF($S204="Macro",ROW(),IFERROR(LOOKUP(2,1/($S$5:$S204="Macro"),ROW($S$5:$S204)),0)))</f>
        <v/>
      </c>
      <c r="S204" s="70">
        <f>IF(NOT((COUNTA($B204:$K204)+COUNTA($N204))&gt;0),"",IF($B204&lt;&gt;"","Macro",IF($C204&lt;&gt;"","Sub","Macro")))</f>
        <v/>
      </c>
      <c r="T204" s="70">
        <f>IF($S204="Macro",COUNTIFS($R$5:$R$1000,ROW(),$S$5:$S$1000,"Sub"),"")</f>
        <v/>
      </c>
      <c r="U204" s="70">
        <f>IF($S204="","",IF(ISNUMBER($H204),$H204,0))</f>
        <v/>
      </c>
      <c r="V204" s="70">
        <f>IF($S204="","",IF(ISNUMBER($I204),$I204,$U204))</f>
        <v/>
      </c>
      <c r="W204" s="70">
        <f>IF($S204="","",IF(ISNUMBER($J204),$J204,$V204))</f>
        <v/>
      </c>
      <c r="X204" s="70">
        <f>IF($S204="","",IF(ISNUMBER($K204),$K204,$W204))</f>
        <v/>
      </c>
      <c r="Y204" s="70">
        <f>IF($S204="","",IF(N($T204)&gt;0,AVERAGEIFS($U$5:$U$1000,$R$5:$R$1000,ROW(),$S$5:$S$1000,"Sub"),$U204))</f>
        <v/>
      </c>
      <c r="Z204" s="70">
        <f>IF($S204="","",IF(N($T204)&gt;0,AVERAGEIFS($V$5:$V$1000,$R$5:$R$1000,ROW(),$S$5:$S$1000,"Sub"),$V204))</f>
        <v/>
      </c>
      <c r="AA204" s="70">
        <f>IF($S204="","",IF(N($T204)&gt;0,AVERAGEIFS($W$5:$W$1000,$R$5:$R$1000,ROW(),$S$5:$S$1000,"Sub"),$W204))</f>
        <v/>
      </c>
      <c r="AB204" s="70">
        <f>IF($S204="","",IF(N($T204)&gt;0,AVERAGEIFS($X$5:$X$1000,$R$5:$R$1000,ROW(),$S$5:$S$1000,"Sub"),$X204))</f>
        <v/>
      </c>
    </row>
    <row r="205">
      <c r="A205" s="61">
        <f>IF(NOT((COUNTA($B205:$K205)+COUNTA($N205))&gt;0),"",IF($S205="Macro",COUNTIFS($S$5:$S205,"Macro",$P$5:$P205,$P205),IF(N($R205)=0,"?",COUNTIFS(INDEX($S$5:$S$1000,1):INDEX($S$5:$S$1000,$R205-4),"Macro",INDEX($P$5:$P$1000,1):INDEX($P$5:$P$1000,$R205-4),INDEX($P$5:$P$1000,$R205-4))&amp;"."&amp;COUNTIFS($R$5:$R205,$R205,$S$5:$S205,"Sub"))))</f>
        <v/>
      </c>
      <c r="B205" s="62" t="n"/>
      <c r="C205" s="63" t="n"/>
      <c r="D205" s="62" t="n"/>
      <c r="E205" s="64" t="n"/>
      <c r="F205" s="64" t="n"/>
      <c r="G205" s="65" t="n"/>
      <c r="H205" s="66" t="n"/>
      <c r="I205" s="66" t="n"/>
      <c r="J205" s="66" t="n"/>
      <c r="K205" s="66" t="n"/>
      <c r="L205" s="67">
        <f>IF(NOT((COUNTA($B205:$K205)+COUNTA($N205))&gt;0),"",IF(N($T205)&gt;0,$AB205,IFERROR(LOOKUP(2,1/(H205:K205&lt;&gt;""),H205:K205),0)))</f>
        <v/>
      </c>
      <c r="M205" s="61">
        <f>IF(L205="","",IF(L205&gt;=1,"Completado",IF(L205&gt;0,"En curso","Pendiente")))</f>
        <v/>
      </c>
      <c r="N205" s="62" t="n"/>
      <c r="O205" s="68">
        <f>IF(NOT((COUNTA($B205:$K205)+COUNTA($N205))&gt;0),"",IF((IF(AND($S205="Macro",$B205=""),"Macroactividad vacía"&amp;" · ","")&amp;IF(AND($B205&lt;&gt;"",$C205&lt;&gt;""),"Escriba la subactividad en otra fila, debajo de su macroactividad"&amp;" · ","")&amp;IF(AND($S205="Sub",N($R205)=0),"Subactividad sin macroactividad arriba"&amp;" · ","")&amp;IF($D205="","Sin responsable"&amp;" · ","")&amp;IF($E205="","Sin fecha de inicio"&amp;" · ","")&amp;IF($F205="","Sin fecha límite"&amp;" · ","")&amp;IF(OR(AND($E205&lt;&gt;"",NOT(ISNUMBER($E205))),AND($F205&lt;&gt;"",NOT(ISNUMBER($F205)))),"Fecha no válida"&amp;" · ","")&amp;IF(AND(ISNUMBER($E205),ISNUMBER($F205),$E205&gt;$F205),"Inicio posterior a fecha límite"&amp;" · ","")&amp;IF(AND($S205="Macro",$G205=""),"Peso vacío"&amp;" · ","")&amp;IF(AND($S205="Macro",$G205&lt;&gt;"",OR(NOT(ISNUMBER($G205)),$G205&lt;=0,$G205&gt;1)),"Peso fuera de rango"&amp;" · ","")&amp;IF(AND($S205="Sub",$G205&lt;&gt;""),"Las subactividades no llevan peso"&amp;" · ","")&amp;IF(AND($S205="Macro",ABS(SUMIFS($G$5:$G$1000,$P$5:$P$1000,$P205,$S$5:$S$1000,"Macro")-1)&gt;0.0001),"Pesos del mes suman "&amp;TEXT(SUMIFS($G$5:$G$1000,$P$5:$P$1000,$P205,$S$5:$S$1000,"Macro"),"0%")&amp;" · ","")&amp;IF(AND(N($T205)&gt;0,COUNT($H205:$K205)&gt;0),"Con subactividades: deje vacías las semanas (se calculan solas)"&amp;" · ","")&amp;IF((COUNTIF($H205:$K205,"&gt;1")+COUNTIF($H205:$K205,"&lt;0")+COUNTA($H205:$K205)-COUNT($H205:$K205))&gt;0,"Avance fuera de rango 0-100%"&amp;" · ","")&amp;IF(OR(AND($I205&lt;&gt;"",$I205&lt;$H205),AND($J205&lt;&gt;"",$J205&lt;MAX($H205:$I205)),AND($K205&lt;&gt;"",$K205&lt;MAX($H205:$J205))),"Avance semanal decreciente"&amp;" · ","")&amp;IF(AND(ISNUMBER($F205),$F205&lt;FechaRef,N($L205)&lt;1),"Vencida"&amp;" · ","")&amp;IF(AND(ObsObligatoria="Sí",ISNUMBER($F205),$F205&lt;FechaRef,N($L205)&lt;1,$N205=""),"Vencida sin observación"&amp;" · ",""))="","✔ OK","⚠ "&amp;LEFT(IF(AND($S205="Macro",$B205=""),"Macroactividad vacía"&amp;" · ","")&amp;IF(AND($B205&lt;&gt;"",$C205&lt;&gt;""),"Escriba la subactividad en otra fila, debajo de su macroactividad"&amp;" · ","")&amp;IF(AND($S205="Sub",N($R205)=0),"Subactividad sin macroactividad arriba"&amp;" · ","")&amp;IF($D205="","Sin responsable"&amp;" · ","")&amp;IF($E205="","Sin fecha de inicio"&amp;" · ","")&amp;IF($F205="","Sin fecha límite"&amp;" · ","")&amp;IF(OR(AND($E205&lt;&gt;"",NOT(ISNUMBER($E205))),AND($F205&lt;&gt;"",NOT(ISNUMBER($F205)))),"Fecha no válida"&amp;" · ","")&amp;IF(AND(ISNUMBER($E205),ISNUMBER($F205),$E205&gt;$F205),"Inicio posterior a fecha límite"&amp;" · ","")&amp;IF(AND($S205="Macro",$G205=""),"Peso vacío"&amp;" · ","")&amp;IF(AND($S205="Macro",$G205&lt;&gt;"",OR(NOT(ISNUMBER($G205)),$G205&lt;=0,$G205&gt;1)),"Peso fuera de rango"&amp;" · ","")&amp;IF(AND($S205="Sub",$G205&lt;&gt;""),"Las subactividades no llevan peso"&amp;" · ","")&amp;IF(AND($S205="Macro",ABS(SUMIFS($G$5:$G$1000,$P$5:$P$1000,$P205,$S$5:$S$1000,"Macro")-1)&gt;0.0001),"Pesos del mes suman "&amp;TEXT(SUMIFS($G$5:$G$1000,$P$5:$P$1000,$P205,$S$5:$S$1000,"Macro"),"0%")&amp;" · ","")&amp;IF(AND(N($T205)&gt;0,COUNT($H205:$K205)&gt;0),"Con subactividades: deje vacías las semanas (se calculan solas)"&amp;" · ","")&amp;IF((COUNTIF($H205:$K205,"&gt;1")+COUNTIF($H205:$K205,"&lt;0")+COUNTA($H205:$K205)-COUNT($H205:$K205))&gt;0,"Avance fuera de rango 0-100%"&amp;" · ","")&amp;IF(OR(AND($I205&lt;&gt;"",$I205&lt;$H205),AND($J205&lt;&gt;"",$J205&lt;MAX($H205:$I205)),AND($K205&lt;&gt;"",$K205&lt;MAX($H205:$J205))),"Avance semanal decreciente"&amp;" · ","")&amp;IF(AND(ISNUMBER($F205),$F205&lt;FechaRef,N($L205)&lt;1),"Vencida"&amp;" · ","")&amp;IF(AND(ObsObligatoria="Sí",ISNUMBER($F205),$F205&lt;FechaRef,N($L205)&lt;1,$N205=""),"Vencida sin observación"&amp;" · ",""),LEN(IF(AND($S205="Macro",$B205=""),"Macroactividad vacía"&amp;" · ","")&amp;IF(AND($B205&lt;&gt;"",$C205&lt;&gt;""),"Escriba la subactividad en otra fila, debajo de su macroactividad"&amp;" · ","")&amp;IF(AND($S205="Sub",N($R205)=0),"Subactividad sin macroactividad arriba"&amp;" · ","")&amp;IF($D205="","Sin responsable"&amp;" · ","")&amp;IF($E205="","Sin fecha de inicio"&amp;" · ","")&amp;IF($F205="","Sin fecha límite"&amp;" · ","")&amp;IF(OR(AND($E205&lt;&gt;"",NOT(ISNUMBER($E205))),AND($F205&lt;&gt;"",NOT(ISNUMBER($F205)))),"Fecha no válida"&amp;" · ","")&amp;IF(AND(ISNUMBER($E205),ISNUMBER($F205),$E205&gt;$F205),"Inicio posterior a fecha límite"&amp;" · ","")&amp;IF(AND($S205="Macro",$G205=""),"Peso vacío"&amp;" · ","")&amp;IF(AND($S205="Macro",$G205&lt;&gt;"",OR(NOT(ISNUMBER($G205)),$G205&lt;=0,$G205&gt;1)),"Peso fuera de rango"&amp;" · ","")&amp;IF(AND($S205="Sub",$G205&lt;&gt;""),"Las subactividades no llevan peso"&amp;" · ","")&amp;IF(AND($S205="Macro",ABS(SUMIFS($G$5:$G$1000,$P$5:$P$1000,$P205,$S$5:$S$1000,"Macro")-1)&gt;0.0001),"Pesos del mes suman "&amp;TEXT(SUMIFS($G$5:$G$1000,$P$5:$P$1000,$P205,$S$5:$S$1000,"Macro"),"0%")&amp;" · ","")&amp;IF(AND(N($T205)&gt;0,COUNT($H205:$K205)&gt;0),"Con subactividades: deje vacías las semanas (se calculan solas)"&amp;" · ","")&amp;IF((COUNTIF($H205:$K205,"&gt;1")+COUNTIF($H205:$K205,"&lt;0")+COUNTA($H205:$K205)-COUNT($H205:$K205))&gt;0,"Avance fuera de rango 0-100%"&amp;" · ","")&amp;IF(OR(AND($I205&lt;&gt;"",$I205&lt;$H205),AND($J205&lt;&gt;"",$J205&lt;MAX($H205:$I205)),AND($K205&lt;&gt;"",$K205&lt;MAX($H205:$J205))),"Avance semanal decreciente"&amp;" · ","")&amp;IF(AND(ISNUMBER($F205),$F205&lt;FechaRef,N($L205)&lt;1),"Vencida"&amp;" · ","")&amp;IF(AND(ObsObligatoria="Sí",ISNUMBER($F205),$F205&lt;FechaRef,N($L205)&lt;1,$N205=""),"Vencida sin observación"&amp;" · ",""))-3)))</f>
        <v/>
      </c>
      <c r="P205" s="69">
        <f>IF(NOT((COUNTA($B205:$K205)+COUNTA($N205))&gt;0),"",IF(AND($S205="Sub",N($R205)&gt;0),IF(ISNUMBER(INDEX($E$5:$E$1000,$R205-4)),DATE(YEAR(INDEX($E$5:$E$1000,$R205-4)),MONTH(INDEX($E$5:$E$1000,$R205-4)),1),IF(ISNUMBER(INDEX($F$5:$F$1000,$R205-4)),DATE(YEAR(INDEX($F$5:$F$1000,$R205-4)),MONTH(INDEX($F$5:$F$1000,$R205-4)),1),MesCiclo)),IF(ISNUMBER($E205),DATE(YEAR($E205),MONTH($E205),1),IF(ISNUMBER($F205),DATE(YEAR($F205),MONTH($F205),1),MesCiclo))))</f>
        <v/>
      </c>
      <c r="Q205" s="70">
        <f>IF(OR($P205="",$P205&lt;&gt;MesCiclo),"",COUNTIF($P$5:$P205,MesCiclo))</f>
        <v/>
      </c>
      <c r="R205" s="70">
        <f>IF($S205="","",IF($S205="Macro",ROW(),IFERROR(LOOKUP(2,1/($S$5:$S205="Macro"),ROW($S$5:$S205)),0)))</f>
        <v/>
      </c>
      <c r="S205" s="70">
        <f>IF(NOT((COUNTA($B205:$K205)+COUNTA($N205))&gt;0),"",IF($B205&lt;&gt;"","Macro",IF($C205&lt;&gt;"","Sub","Macro")))</f>
        <v/>
      </c>
      <c r="T205" s="70">
        <f>IF($S205="Macro",COUNTIFS($R$5:$R$1000,ROW(),$S$5:$S$1000,"Sub"),"")</f>
        <v/>
      </c>
      <c r="U205" s="70">
        <f>IF($S205="","",IF(ISNUMBER($H205),$H205,0))</f>
        <v/>
      </c>
      <c r="V205" s="70">
        <f>IF($S205="","",IF(ISNUMBER($I205),$I205,$U205))</f>
        <v/>
      </c>
      <c r="W205" s="70">
        <f>IF($S205="","",IF(ISNUMBER($J205),$J205,$V205))</f>
        <v/>
      </c>
      <c r="X205" s="70">
        <f>IF($S205="","",IF(ISNUMBER($K205),$K205,$W205))</f>
        <v/>
      </c>
      <c r="Y205" s="70">
        <f>IF($S205="","",IF(N($T205)&gt;0,AVERAGEIFS($U$5:$U$1000,$R$5:$R$1000,ROW(),$S$5:$S$1000,"Sub"),$U205))</f>
        <v/>
      </c>
      <c r="Z205" s="70">
        <f>IF($S205="","",IF(N($T205)&gt;0,AVERAGEIFS($V$5:$V$1000,$R$5:$R$1000,ROW(),$S$5:$S$1000,"Sub"),$V205))</f>
        <v/>
      </c>
      <c r="AA205" s="70">
        <f>IF($S205="","",IF(N($T205)&gt;0,AVERAGEIFS($W$5:$W$1000,$R$5:$R$1000,ROW(),$S$5:$S$1000,"Sub"),$W205))</f>
        <v/>
      </c>
      <c r="AB205" s="70">
        <f>IF($S205="","",IF(N($T205)&gt;0,AVERAGEIFS($X$5:$X$1000,$R$5:$R$1000,ROW(),$S$5:$S$1000,"Sub"),$X205))</f>
        <v/>
      </c>
    </row>
    <row r="206">
      <c r="A206" s="61">
        <f>IF(NOT((COUNTA($B206:$K206)+COUNTA($N206))&gt;0),"",IF($S206="Macro",COUNTIFS($S$5:$S206,"Macro",$P$5:$P206,$P206),IF(N($R206)=0,"?",COUNTIFS(INDEX($S$5:$S$1000,1):INDEX($S$5:$S$1000,$R206-4),"Macro",INDEX($P$5:$P$1000,1):INDEX($P$5:$P$1000,$R206-4),INDEX($P$5:$P$1000,$R206-4))&amp;"."&amp;COUNTIFS($R$5:$R206,$R206,$S$5:$S206,"Sub"))))</f>
        <v/>
      </c>
      <c r="B206" s="62" t="n"/>
      <c r="C206" s="63" t="n"/>
      <c r="D206" s="62" t="n"/>
      <c r="E206" s="64" t="n"/>
      <c r="F206" s="64" t="n"/>
      <c r="G206" s="65" t="n"/>
      <c r="H206" s="66" t="n"/>
      <c r="I206" s="66" t="n"/>
      <c r="J206" s="66" t="n"/>
      <c r="K206" s="66" t="n"/>
      <c r="L206" s="67">
        <f>IF(NOT((COUNTA($B206:$K206)+COUNTA($N206))&gt;0),"",IF(N($T206)&gt;0,$AB206,IFERROR(LOOKUP(2,1/(H206:K206&lt;&gt;""),H206:K206),0)))</f>
        <v/>
      </c>
      <c r="M206" s="61">
        <f>IF(L206="","",IF(L206&gt;=1,"Completado",IF(L206&gt;0,"En curso","Pendiente")))</f>
        <v/>
      </c>
      <c r="N206" s="62" t="n"/>
      <c r="O206" s="68">
        <f>IF(NOT((COUNTA($B206:$K206)+COUNTA($N206))&gt;0),"",IF((IF(AND($S206="Macro",$B206=""),"Macroactividad vacía"&amp;" · ","")&amp;IF(AND($B206&lt;&gt;"",$C206&lt;&gt;""),"Escriba la subactividad en otra fila, debajo de su macroactividad"&amp;" · ","")&amp;IF(AND($S206="Sub",N($R206)=0),"Subactividad sin macroactividad arriba"&amp;" · ","")&amp;IF($D206="","Sin responsable"&amp;" · ","")&amp;IF($E206="","Sin fecha de inicio"&amp;" · ","")&amp;IF($F206="","Sin fecha límite"&amp;" · ","")&amp;IF(OR(AND($E206&lt;&gt;"",NOT(ISNUMBER($E206))),AND($F206&lt;&gt;"",NOT(ISNUMBER($F206)))),"Fecha no válida"&amp;" · ","")&amp;IF(AND(ISNUMBER($E206),ISNUMBER($F206),$E206&gt;$F206),"Inicio posterior a fecha límite"&amp;" · ","")&amp;IF(AND($S206="Macro",$G206=""),"Peso vacío"&amp;" · ","")&amp;IF(AND($S206="Macro",$G206&lt;&gt;"",OR(NOT(ISNUMBER($G206)),$G206&lt;=0,$G206&gt;1)),"Peso fuera de rango"&amp;" · ","")&amp;IF(AND($S206="Sub",$G206&lt;&gt;""),"Las subactividades no llevan peso"&amp;" · ","")&amp;IF(AND($S206="Macro",ABS(SUMIFS($G$5:$G$1000,$P$5:$P$1000,$P206,$S$5:$S$1000,"Macro")-1)&gt;0.0001),"Pesos del mes suman "&amp;TEXT(SUMIFS($G$5:$G$1000,$P$5:$P$1000,$P206,$S$5:$S$1000,"Macro"),"0%")&amp;" · ","")&amp;IF(AND(N($T206)&gt;0,COUNT($H206:$K206)&gt;0),"Con subactividades: deje vacías las semanas (se calculan solas)"&amp;" · ","")&amp;IF((COUNTIF($H206:$K206,"&gt;1")+COUNTIF($H206:$K206,"&lt;0")+COUNTA($H206:$K206)-COUNT($H206:$K206))&gt;0,"Avance fuera de rango 0-100%"&amp;" · ","")&amp;IF(OR(AND($I206&lt;&gt;"",$I206&lt;$H206),AND($J206&lt;&gt;"",$J206&lt;MAX($H206:$I206)),AND($K206&lt;&gt;"",$K206&lt;MAX($H206:$J206))),"Avance semanal decreciente"&amp;" · ","")&amp;IF(AND(ISNUMBER($F206),$F206&lt;FechaRef,N($L206)&lt;1),"Vencida"&amp;" · ","")&amp;IF(AND(ObsObligatoria="Sí",ISNUMBER($F206),$F206&lt;FechaRef,N($L206)&lt;1,$N206=""),"Vencida sin observación"&amp;" · ",""))="","✔ OK","⚠ "&amp;LEFT(IF(AND($S206="Macro",$B206=""),"Macroactividad vacía"&amp;" · ","")&amp;IF(AND($B206&lt;&gt;"",$C206&lt;&gt;""),"Escriba la subactividad en otra fila, debajo de su macroactividad"&amp;" · ","")&amp;IF(AND($S206="Sub",N($R206)=0),"Subactividad sin macroactividad arriba"&amp;" · ","")&amp;IF($D206="","Sin responsable"&amp;" · ","")&amp;IF($E206="","Sin fecha de inicio"&amp;" · ","")&amp;IF($F206="","Sin fecha límite"&amp;" · ","")&amp;IF(OR(AND($E206&lt;&gt;"",NOT(ISNUMBER($E206))),AND($F206&lt;&gt;"",NOT(ISNUMBER($F206)))),"Fecha no válida"&amp;" · ","")&amp;IF(AND(ISNUMBER($E206),ISNUMBER($F206),$E206&gt;$F206),"Inicio posterior a fecha límite"&amp;" · ","")&amp;IF(AND($S206="Macro",$G206=""),"Peso vacío"&amp;" · ","")&amp;IF(AND($S206="Macro",$G206&lt;&gt;"",OR(NOT(ISNUMBER($G206)),$G206&lt;=0,$G206&gt;1)),"Peso fuera de rango"&amp;" · ","")&amp;IF(AND($S206="Sub",$G206&lt;&gt;""),"Las subactividades no llevan peso"&amp;" · ","")&amp;IF(AND($S206="Macro",ABS(SUMIFS($G$5:$G$1000,$P$5:$P$1000,$P206,$S$5:$S$1000,"Macro")-1)&gt;0.0001),"Pesos del mes suman "&amp;TEXT(SUMIFS($G$5:$G$1000,$P$5:$P$1000,$P206,$S$5:$S$1000,"Macro"),"0%")&amp;" · ","")&amp;IF(AND(N($T206)&gt;0,COUNT($H206:$K206)&gt;0),"Con subactividades: deje vacías las semanas (se calculan solas)"&amp;" · ","")&amp;IF((COUNTIF($H206:$K206,"&gt;1")+COUNTIF($H206:$K206,"&lt;0")+COUNTA($H206:$K206)-COUNT($H206:$K206))&gt;0,"Avance fuera de rango 0-100%"&amp;" · ","")&amp;IF(OR(AND($I206&lt;&gt;"",$I206&lt;$H206),AND($J206&lt;&gt;"",$J206&lt;MAX($H206:$I206)),AND($K206&lt;&gt;"",$K206&lt;MAX($H206:$J206))),"Avance semanal decreciente"&amp;" · ","")&amp;IF(AND(ISNUMBER($F206),$F206&lt;FechaRef,N($L206)&lt;1),"Vencida"&amp;" · ","")&amp;IF(AND(ObsObligatoria="Sí",ISNUMBER($F206),$F206&lt;FechaRef,N($L206)&lt;1,$N206=""),"Vencida sin observación"&amp;" · ",""),LEN(IF(AND($S206="Macro",$B206=""),"Macroactividad vacía"&amp;" · ","")&amp;IF(AND($B206&lt;&gt;"",$C206&lt;&gt;""),"Escriba la subactividad en otra fila, debajo de su macroactividad"&amp;" · ","")&amp;IF(AND($S206="Sub",N($R206)=0),"Subactividad sin macroactividad arriba"&amp;" · ","")&amp;IF($D206="","Sin responsable"&amp;" · ","")&amp;IF($E206="","Sin fecha de inicio"&amp;" · ","")&amp;IF($F206="","Sin fecha límite"&amp;" · ","")&amp;IF(OR(AND($E206&lt;&gt;"",NOT(ISNUMBER($E206))),AND($F206&lt;&gt;"",NOT(ISNUMBER($F206)))),"Fecha no válida"&amp;" · ","")&amp;IF(AND(ISNUMBER($E206),ISNUMBER($F206),$E206&gt;$F206),"Inicio posterior a fecha límite"&amp;" · ","")&amp;IF(AND($S206="Macro",$G206=""),"Peso vacío"&amp;" · ","")&amp;IF(AND($S206="Macro",$G206&lt;&gt;"",OR(NOT(ISNUMBER($G206)),$G206&lt;=0,$G206&gt;1)),"Peso fuera de rango"&amp;" · ","")&amp;IF(AND($S206="Sub",$G206&lt;&gt;""),"Las subactividades no llevan peso"&amp;" · ","")&amp;IF(AND($S206="Macro",ABS(SUMIFS($G$5:$G$1000,$P$5:$P$1000,$P206,$S$5:$S$1000,"Macro")-1)&gt;0.0001),"Pesos del mes suman "&amp;TEXT(SUMIFS($G$5:$G$1000,$P$5:$P$1000,$P206,$S$5:$S$1000,"Macro"),"0%")&amp;" · ","")&amp;IF(AND(N($T206)&gt;0,COUNT($H206:$K206)&gt;0),"Con subactividades: deje vacías las semanas (se calculan solas)"&amp;" · ","")&amp;IF((COUNTIF($H206:$K206,"&gt;1")+COUNTIF($H206:$K206,"&lt;0")+COUNTA($H206:$K206)-COUNT($H206:$K206))&gt;0,"Avance fuera de rango 0-100%"&amp;" · ","")&amp;IF(OR(AND($I206&lt;&gt;"",$I206&lt;$H206),AND($J206&lt;&gt;"",$J206&lt;MAX($H206:$I206)),AND($K206&lt;&gt;"",$K206&lt;MAX($H206:$J206))),"Avance semanal decreciente"&amp;" · ","")&amp;IF(AND(ISNUMBER($F206),$F206&lt;FechaRef,N($L206)&lt;1),"Vencida"&amp;" · ","")&amp;IF(AND(ObsObligatoria="Sí",ISNUMBER($F206),$F206&lt;FechaRef,N($L206)&lt;1,$N206=""),"Vencida sin observación"&amp;" · ",""))-3)))</f>
        <v/>
      </c>
      <c r="P206" s="69">
        <f>IF(NOT((COUNTA($B206:$K206)+COUNTA($N206))&gt;0),"",IF(AND($S206="Sub",N($R206)&gt;0),IF(ISNUMBER(INDEX($E$5:$E$1000,$R206-4)),DATE(YEAR(INDEX($E$5:$E$1000,$R206-4)),MONTH(INDEX($E$5:$E$1000,$R206-4)),1),IF(ISNUMBER(INDEX($F$5:$F$1000,$R206-4)),DATE(YEAR(INDEX($F$5:$F$1000,$R206-4)),MONTH(INDEX($F$5:$F$1000,$R206-4)),1),MesCiclo)),IF(ISNUMBER($E206),DATE(YEAR($E206),MONTH($E206),1),IF(ISNUMBER($F206),DATE(YEAR($F206),MONTH($F206),1),MesCiclo))))</f>
        <v/>
      </c>
      <c r="Q206" s="70">
        <f>IF(OR($P206="",$P206&lt;&gt;MesCiclo),"",COUNTIF($P$5:$P206,MesCiclo))</f>
        <v/>
      </c>
      <c r="R206" s="70">
        <f>IF($S206="","",IF($S206="Macro",ROW(),IFERROR(LOOKUP(2,1/($S$5:$S206="Macro"),ROW($S$5:$S206)),0)))</f>
        <v/>
      </c>
      <c r="S206" s="70">
        <f>IF(NOT((COUNTA($B206:$K206)+COUNTA($N206))&gt;0),"",IF($B206&lt;&gt;"","Macro",IF($C206&lt;&gt;"","Sub","Macro")))</f>
        <v/>
      </c>
      <c r="T206" s="70">
        <f>IF($S206="Macro",COUNTIFS($R$5:$R$1000,ROW(),$S$5:$S$1000,"Sub"),"")</f>
        <v/>
      </c>
      <c r="U206" s="70">
        <f>IF($S206="","",IF(ISNUMBER($H206),$H206,0))</f>
        <v/>
      </c>
      <c r="V206" s="70">
        <f>IF($S206="","",IF(ISNUMBER($I206),$I206,$U206))</f>
        <v/>
      </c>
      <c r="W206" s="70">
        <f>IF($S206="","",IF(ISNUMBER($J206),$J206,$V206))</f>
        <v/>
      </c>
      <c r="X206" s="70">
        <f>IF($S206="","",IF(ISNUMBER($K206),$K206,$W206))</f>
        <v/>
      </c>
      <c r="Y206" s="70">
        <f>IF($S206="","",IF(N($T206)&gt;0,AVERAGEIFS($U$5:$U$1000,$R$5:$R$1000,ROW(),$S$5:$S$1000,"Sub"),$U206))</f>
        <v/>
      </c>
      <c r="Z206" s="70">
        <f>IF($S206="","",IF(N($T206)&gt;0,AVERAGEIFS($V$5:$V$1000,$R$5:$R$1000,ROW(),$S$5:$S$1000,"Sub"),$V206))</f>
        <v/>
      </c>
      <c r="AA206" s="70">
        <f>IF($S206="","",IF(N($T206)&gt;0,AVERAGEIFS($W$5:$W$1000,$R$5:$R$1000,ROW(),$S$5:$S$1000,"Sub"),$W206))</f>
        <v/>
      </c>
      <c r="AB206" s="70">
        <f>IF($S206="","",IF(N($T206)&gt;0,AVERAGEIFS($X$5:$X$1000,$R$5:$R$1000,ROW(),$S$5:$S$1000,"Sub"),$X206))</f>
        <v/>
      </c>
    </row>
    <row r="207">
      <c r="A207" s="61">
        <f>IF(NOT((COUNTA($B207:$K207)+COUNTA($N207))&gt;0),"",IF($S207="Macro",COUNTIFS($S$5:$S207,"Macro",$P$5:$P207,$P207),IF(N($R207)=0,"?",COUNTIFS(INDEX($S$5:$S$1000,1):INDEX($S$5:$S$1000,$R207-4),"Macro",INDEX($P$5:$P$1000,1):INDEX($P$5:$P$1000,$R207-4),INDEX($P$5:$P$1000,$R207-4))&amp;"."&amp;COUNTIFS($R$5:$R207,$R207,$S$5:$S207,"Sub"))))</f>
        <v/>
      </c>
      <c r="B207" s="62" t="n"/>
      <c r="C207" s="63" t="n"/>
      <c r="D207" s="62" t="n"/>
      <c r="E207" s="64" t="n"/>
      <c r="F207" s="64" t="n"/>
      <c r="G207" s="65" t="n"/>
      <c r="H207" s="66" t="n"/>
      <c r="I207" s="66" t="n"/>
      <c r="J207" s="66" t="n"/>
      <c r="K207" s="66" t="n"/>
      <c r="L207" s="67">
        <f>IF(NOT((COUNTA($B207:$K207)+COUNTA($N207))&gt;0),"",IF(N($T207)&gt;0,$AB207,IFERROR(LOOKUP(2,1/(H207:K207&lt;&gt;""),H207:K207),0)))</f>
        <v/>
      </c>
      <c r="M207" s="61">
        <f>IF(L207="","",IF(L207&gt;=1,"Completado",IF(L207&gt;0,"En curso","Pendiente")))</f>
        <v/>
      </c>
      <c r="N207" s="62" t="n"/>
      <c r="O207" s="68">
        <f>IF(NOT((COUNTA($B207:$K207)+COUNTA($N207))&gt;0),"",IF((IF(AND($S207="Macro",$B207=""),"Macroactividad vacía"&amp;" · ","")&amp;IF(AND($B207&lt;&gt;"",$C207&lt;&gt;""),"Escriba la subactividad en otra fila, debajo de su macroactividad"&amp;" · ","")&amp;IF(AND($S207="Sub",N($R207)=0),"Subactividad sin macroactividad arriba"&amp;" · ","")&amp;IF($D207="","Sin responsable"&amp;" · ","")&amp;IF($E207="","Sin fecha de inicio"&amp;" · ","")&amp;IF($F207="","Sin fecha límite"&amp;" · ","")&amp;IF(OR(AND($E207&lt;&gt;"",NOT(ISNUMBER($E207))),AND($F207&lt;&gt;"",NOT(ISNUMBER($F207)))),"Fecha no válida"&amp;" · ","")&amp;IF(AND(ISNUMBER($E207),ISNUMBER($F207),$E207&gt;$F207),"Inicio posterior a fecha límite"&amp;" · ","")&amp;IF(AND($S207="Macro",$G207=""),"Peso vacío"&amp;" · ","")&amp;IF(AND($S207="Macro",$G207&lt;&gt;"",OR(NOT(ISNUMBER($G207)),$G207&lt;=0,$G207&gt;1)),"Peso fuera de rango"&amp;" · ","")&amp;IF(AND($S207="Sub",$G207&lt;&gt;""),"Las subactividades no llevan peso"&amp;" · ","")&amp;IF(AND($S207="Macro",ABS(SUMIFS($G$5:$G$1000,$P$5:$P$1000,$P207,$S$5:$S$1000,"Macro")-1)&gt;0.0001),"Pesos del mes suman "&amp;TEXT(SUMIFS($G$5:$G$1000,$P$5:$P$1000,$P207,$S$5:$S$1000,"Macro"),"0%")&amp;" · ","")&amp;IF(AND(N($T207)&gt;0,COUNT($H207:$K207)&gt;0),"Con subactividades: deje vacías las semanas (se calculan solas)"&amp;" · ","")&amp;IF((COUNTIF($H207:$K207,"&gt;1")+COUNTIF($H207:$K207,"&lt;0")+COUNTA($H207:$K207)-COUNT($H207:$K207))&gt;0,"Avance fuera de rango 0-100%"&amp;" · ","")&amp;IF(OR(AND($I207&lt;&gt;"",$I207&lt;$H207),AND($J207&lt;&gt;"",$J207&lt;MAX($H207:$I207)),AND($K207&lt;&gt;"",$K207&lt;MAX($H207:$J207))),"Avance semanal decreciente"&amp;" · ","")&amp;IF(AND(ISNUMBER($F207),$F207&lt;FechaRef,N($L207)&lt;1),"Vencida"&amp;" · ","")&amp;IF(AND(ObsObligatoria="Sí",ISNUMBER($F207),$F207&lt;FechaRef,N($L207)&lt;1,$N207=""),"Vencida sin observación"&amp;" · ",""))="","✔ OK","⚠ "&amp;LEFT(IF(AND($S207="Macro",$B207=""),"Macroactividad vacía"&amp;" · ","")&amp;IF(AND($B207&lt;&gt;"",$C207&lt;&gt;""),"Escriba la subactividad en otra fila, debajo de su macroactividad"&amp;" · ","")&amp;IF(AND($S207="Sub",N($R207)=0),"Subactividad sin macroactividad arriba"&amp;" · ","")&amp;IF($D207="","Sin responsable"&amp;" · ","")&amp;IF($E207="","Sin fecha de inicio"&amp;" · ","")&amp;IF($F207="","Sin fecha límite"&amp;" · ","")&amp;IF(OR(AND($E207&lt;&gt;"",NOT(ISNUMBER($E207))),AND($F207&lt;&gt;"",NOT(ISNUMBER($F207)))),"Fecha no válida"&amp;" · ","")&amp;IF(AND(ISNUMBER($E207),ISNUMBER($F207),$E207&gt;$F207),"Inicio posterior a fecha límite"&amp;" · ","")&amp;IF(AND($S207="Macro",$G207=""),"Peso vacío"&amp;" · ","")&amp;IF(AND($S207="Macro",$G207&lt;&gt;"",OR(NOT(ISNUMBER($G207)),$G207&lt;=0,$G207&gt;1)),"Peso fuera de rango"&amp;" · ","")&amp;IF(AND($S207="Sub",$G207&lt;&gt;""),"Las subactividades no llevan peso"&amp;" · ","")&amp;IF(AND($S207="Macro",ABS(SUMIFS($G$5:$G$1000,$P$5:$P$1000,$P207,$S$5:$S$1000,"Macro")-1)&gt;0.0001),"Pesos del mes suman "&amp;TEXT(SUMIFS($G$5:$G$1000,$P$5:$P$1000,$P207,$S$5:$S$1000,"Macro"),"0%")&amp;" · ","")&amp;IF(AND(N($T207)&gt;0,COUNT($H207:$K207)&gt;0),"Con subactividades: deje vacías las semanas (se calculan solas)"&amp;" · ","")&amp;IF((COUNTIF($H207:$K207,"&gt;1")+COUNTIF($H207:$K207,"&lt;0")+COUNTA($H207:$K207)-COUNT($H207:$K207))&gt;0,"Avance fuera de rango 0-100%"&amp;" · ","")&amp;IF(OR(AND($I207&lt;&gt;"",$I207&lt;$H207),AND($J207&lt;&gt;"",$J207&lt;MAX($H207:$I207)),AND($K207&lt;&gt;"",$K207&lt;MAX($H207:$J207))),"Avance semanal decreciente"&amp;" · ","")&amp;IF(AND(ISNUMBER($F207),$F207&lt;FechaRef,N($L207)&lt;1),"Vencida"&amp;" · ","")&amp;IF(AND(ObsObligatoria="Sí",ISNUMBER($F207),$F207&lt;FechaRef,N($L207)&lt;1,$N207=""),"Vencida sin observación"&amp;" · ",""),LEN(IF(AND($S207="Macro",$B207=""),"Macroactividad vacía"&amp;" · ","")&amp;IF(AND($B207&lt;&gt;"",$C207&lt;&gt;""),"Escriba la subactividad en otra fila, debajo de su macroactividad"&amp;" · ","")&amp;IF(AND($S207="Sub",N($R207)=0),"Subactividad sin macroactividad arriba"&amp;" · ","")&amp;IF($D207="","Sin responsable"&amp;" · ","")&amp;IF($E207="","Sin fecha de inicio"&amp;" · ","")&amp;IF($F207="","Sin fecha límite"&amp;" · ","")&amp;IF(OR(AND($E207&lt;&gt;"",NOT(ISNUMBER($E207))),AND($F207&lt;&gt;"",NOT(ISNUMBER($F207)))),"Fecha no válida"&amp;" · ","")&amp;IF(AND(ISNUMBER($E207),ISNUMBER($F207),$E207&gt;$F207),"Inicio posterior a fecha límite"&amp;" · ","")&amp;IF(AND($S207="Macro",$G207=""),"Peso vacío"&amp;" · ","")&amp;IF(AND($S207="Macro",$G207&lt;&gt;"",OR(NOT(ISNUMBER($G207)),$G207&lt;=0,$G207&gt;1)),"Peso fuera de rango"&amp;" · ","")&amp;IF(AND($S207="Sub",$G207&lt;&gt;""),"Las subactividades no llevan peso"&amp;" · ","")&amp;IF(AND($S207="Macro",ABS(SUMIFS($G$5:$G$1000,$P$5:$P$1000,$P207,$S$5:$S$1000,"Macro")-1)&gt;0.0001),"Pesos del mes suman "&amp;TEXT(SUMIFS($G$5:$G$1000,$P$5:$P$1000,$P207,$S$5:$S$1000,"Macro"),"0%")&amp;" · ","")&amp;IF(AND(N($T207)&gt;0,COUNT($H207:$K207)&gt;0),"Con subactividades: deje vacías las semanas (se calculan solas)"&amp;" · ","")&amp;IF((COUNTIF($H207:$K207,"&gt;1")+COUNTIF($H207:$K207,"&lt;0")+COUNTA($H207:$K207)-COUNT($H207:$K207))&gt;0,"Avance fuera de rango 0-100%"&amp;" · ","")&amp;IF(OR(AND($I207&lt;&gt;"",$I207&lt;$H207),AND($J207&lt;&gt;"",$J207&lt;MAX($H207:$I207)),AND($K207&lt;&gt;"",$K207&lt;MAX($H207:$J207))),"Avance semanal decreciente"&amp;" · ","")&amp;IF(AND(ISNUMBER($F207),$F207&lt;FechaRef,N($L207)&lt;1),"Vencida"&amp;" · ","")&amp;IF(AND(ObsObligatoria="Sí",ISNUMBER($F207),$F207&lt;FechaRef,N($L207)&lt;1,$N207=""),"Vencida sin observación"&amp;" · ",""))-3)))</f>
        <v/>
      </c>
      <c r="P207" s="69">
        <f>IF(NOT((COUNTA($B207:$K207)+COUNTA($N207))&gt;0),"",IF(AND($S207="Sub",N($R207)&gt;0),IF(ISNUMBER(INDEX($E$5:$E$1000,$R207-4)),DATE(YEAR(INDEX($E$5:$E$1000,$R207-4)),MONTH(INDEX($E$5:$E$1000,$R207-4)),1),IF(ISNUMBER(INDEX($F$5:$F$1000,$R207-4)),DATE(YEAR(INDEX($F$5:$F$1000,$R207-4)),MONTH(INDEX($F$5:$F$1000,$R207-4)),1),MesCiclo)),IF(ISNUMBER($E207),DATE(YEAR($E207),MONTH($E207),1),IF(ISNUMBER($F207),DATE(YEAR($F207),MONTH($F207),1),MesCiclo))))</f>
        <v/>
      </c>
      <c r="Q207" s="70">
        <f>IF(OR($P207="",$P207&lt;&gt;MesCiclo),"",COUNTIF($P$5:$P207,MesCiclo))</f>
        <v/>
      </c>
      <c r="R207" s="70">
        <f>IF($S207="","",IF($S207="Macro",ROW(),IFERROR(LOOKUP(2,1/($S$5:$S207="Macro"),ROW($S$5:$S207)),0)))</f>
        <v/>
      </c>
      <c r="S207" s="70">
        <f>IF(NOT((COUNTA($B207:$K207)+COUNTA($N207))&gt;0),"",IF($B207&lt;&gt;"","Macro",IF($C207&lt;&gt;"","Sub","Macro")))</f>
        <v/>
      </c>
      <c r="T207" s="70">
        <f>IF($S207="Macro",COUNTIFS($R$5:$R$1000,ROW(),$S$5:$S$1000,"Sub"),"")</f>
        <v/>
      </c>
      <c r="U207" s="70">
        <f>IF($S207="","",IF(ISNUMBER($H207),$H207,0))</f>
        <v/>
      </c>
      <c r="V207" s="70">
        <f>IF($S207="","",IF(ISNUMBER($I207),$I207,$U207))</f>
        <v/>
      </c>
      <c r="W207" s="70">
        <f>IF($S207="","",IF(ISNUMBER($J207),$J207,$V207))</f>
        <v/>
      </c>
      <c r="X207" s="70">
        <f>IF($S207="","",IF(ISNUMBER($K207),$K207,$W207))</f>
        <v/>
      </c>
      <c r="Y207" s="70">
        <f>IF($S207="","",IF(N($T207)&gt;0,AVERAGEIFS($U$5:$U$1000,$R$5:$R$1000,ROW(),$S$5:$S$1000,"Sub"),$U207))</f>
        <v/>
      </c>
      <c r="Z207" s="70">
        <f>IF($S207="","",IF(N($T207)&gt;0,AVERAGEIFS($V$5:$V$1000,$R$5:$R$1000,ROW(),$S$5:$S$1000,"Sub"),$V207))</f>
        <v/>
      </c>
      <c r="AA207" s="70">
        <f>IF($S207="","",IF(N($T207)&gt;0,AVERAGEIFS($W$5:$W$1000,$R$5:$R$1000,ROW(),$S$5:$S$1000,"Sub"),$W207))</f>
        <v/>
      </c>
      <c r="AB207" s="70">
        <f>IF($S207="","",IF(N($T207)&gt;0,AVERAGEIFS($X$5:$X$1000,$R$5:$R$1000,ROW(),$S$5:$S$1000,"Sub"),$X207))</f>
        <v/>
      </c>
    </row>
    <row r="208">
      <c r="A208" s="61">
        <f>IF(NOT((COUNTA($B208:$K208)+COUNTA($N208))&gt;0),"",IF($S208="Macro",COUNTIFS($S$5:$S208,"Macro",$P$5:$P208,$P208),IF(N($R208)=0,"?",COUNTIFS(INDEX($S$5:$S$1000,1):INDEX($S$5:$S$1000,$R208-4),"Macro",INDEX($P$5:$P$1000,1):INDEX($P$5:$P$1000,$R208-4),INDEX($P$5:$P$1000,$R208-4))&amp;"."&amp;COUNTIFS($R$5:$R208,$R208,$S$5:$S208,"Sub"))))</f>
        <v/>
      </c>
      <c r="B208" s="62" t="n"/>
      <c r="C208" s="63" t="n"/>
      <c r="D208" s="62" t="n"/>
      <c r="E208" s="64" t="n"/>
      <c r="F208" s="64" t="n"/>
      <c r="G208" s="65" t="n"/>
      <c r="H208" s="66" t="n"/>
      <c r="I208" s="66" t="n"/>
      <c r="J208" s="66" t="n"/>
      <c r="K208" s="66" t="n"/>
      <c r="L208" s="67">
        <f>IF(NOT((COUNTA($B208:$K208)+COUNTA($N208))&gt;0),"",IF(N($T208)&gt;0,$AB208,IFERROR(LOOKUP(2,1/(H208:K208&lt;&gt;""),H208:K208),0)))</f>
        <v/>
      </c>
      <c r="M208" s="61">
        <f>IF(L208="","",IF(L208&gt;=1,"Completado",IF(L208&gt;0,"En curso","Pendiente")))</f>
        <v/>
      </c>
      <c r="N208" s="62" t="n"/>
      <c r="O208" s="68">
        <f>IF(NOT((COUNTA($B208:$K208)+COUNTA($N208))&gt;0),"",IF((IF(AND($S208="Macro",$B208=""),"Macroactividad vacía"&amp;" · ","")&amp;IF(AND($B208&lt;&gt;"",$C208&lt;&gt;""),"Escriba la subactividad en otra fila, debajo de su macroactividad"&amp;" · ","")&amp;IF(AND($S208="Sub",N($R208)=0),"Subactividad sin macroactividad arriba"&amp;" · ","")&amp;IF($D208="","Sin responsable"&amp;" · ","")&amp;IF($E208="","Sin fecha de inicio"&amp;" · ","")&amp;IF($F208="","Sin fecha límite"&amp;" · ","")&amp;IF(OR(AND($E208&lt;&gt;"",NOT(ISNUMBER($E208))),AND($F208&lt;&gt;"",NOT(ISNUMBER($F208)))),"Fecha no válida"&amp;" · ","")&amp;IF(AND(ISNUMBER($E208),ISNUMBER($F208),$E208&gt;$F208),"Inicio posterior a fecha límite"&amp;" · ","")&amp;IF(AND($S208="Macro",$G208=""),"Peso vacío"&amp;" · ","")&amp;IF(AND($S208="Macro",$G208&lt;&gt;"",OR(NOT(ISNUMBER($G208)),$G208&lt;=0,$G208&gt;1)),"Peso fuera de rango"&amp;" · ","")&amp;IF(AND($S208="Sub",$G208&lt;&gt;""),"Las subactividades no llevan peso"&amp;" · ","")&amp;IF(AND($S208="Macro",ABS(SUMIFS($G$5:$G$1000,$P$5:$P$1000,$P208,$S$5:$S$1000,"Macro")-1)&gt;0.0001),"Pesos del mes suman "&amp;TEXT(SUMIFS($G$5:$G$1000,$P$5:$P$1000,$P208,$S$5:$S$1000,"Macro"),"0%")&amp;" · ","")&amp;IF(AND(N($T208)&gt;0,COUNT($H208:$K208)&gt;0),"Con subactividades: deje vacías las semanas (se calculan solas)"&amp;" · ","")&amp;IF((COUNTIF($H208:$K208,"&gt;1")+COUNTIF($H208:$K208,"&lt;0")+COUNTA($H208:$K208)-COUNT($H208:$K208))&gt;0,"Avance fuera de rango 0-100%"&amp;" · ","")&amp;IF(OR(AND($I208&lt;&gt;"",$I208&lt;$H208),AND($J208&lt;&gt;"",$J208&lt;MAX($H208:$I208)),AND($K208&lt;&gt;"",$K208&lt;MAX($H208:$J208))),"Avance semanal decreciente"&amp;" · ","")&amp;IF(AND(ISNUMBER($F208),$F208&lt;FechaRef,N($L208)&lt;1),"Vencida"&amp;" · ","")&amp;IF(AND(ObsObligatoria="Sí",ISNUMBER($F208),$F208&lt;FechaRef,N($L208)&lt;1,$N208=""),"Vencida sin observación"&amp;" · ",""))="","✔ OK","⚠ "&amp;LEFT(IF(AND($S208="Macro",$B208=""),"Macroactividad vacía"&amp;" · ","")&amp;IF(AND($B208&lt;&gt;"",$C208&lt;&gt;""),"Escriba la subactividad en otra fila, debajo de su macroactividad"&amp;" · ","")&amp;IF(AND($S208="Sub",N($R208)=0),"Subactividad sin macroactividad arriba"&amp;" · ","")&amp;IF($D208="","Sin responsable"&amp;" · ","")&amp;IF($E208="","Sin fecha de inicio"&amp;" · ","")&amp;IF($F208="","Sin fecha límite"&amp;" · ","")&amp;IF(OR(AND($E208&lt;&gt;"",NOT(ISNUMBER($E208))),AND($F208&lt;&gt;"",NOT(ISNUMBER($F208)))),"Fecha no válida"&amp;" · ","")&amp;IF(AND(ISNUMBER($E208),ISNUMBER($F208),$E208&gt;$F208),"Inicio posterior a fecha límite"&amp;" · ","")&amp;IF(AND($S208="Macro",$G208=""),"Peso vacío"&amp;" · ","")&amp;IF(AND($S208="Macro",$G208&lt;&gt;"",OR(NOT(ISNUMBER($G208)),$G208&lt;=0,$G208&gt;1)),"Peso fuera de rango"&amp;" · ","")&amp;IF(AND($S208="Sub",$G208&lt;&gt;""),"Las subactividades no llevan peso"&amp;" · ","")&amp;IF(AND($S208="Macro",ABS(SUMIFS($G$5:$G$1000,$P$5:$P$1000,$P208,$S$5:$S$1000,"Macro")-1)&gt;0.0001),"Pesos del mes suman "&amp;TEXT(SUMIFS($G$5:$G$1000,$P$5:$P$1000,$P208,$S$5:$S$1000,"Macro"),"0%")&amp;" · ","")&amp;IF(AND(N($T208)&gt;0,COUNT($H208:$K208)&gt;0),"Con subactividades: deje vacías las semanas (se calculan solas)"&amp;" · ","")&amp;IF((COUNTIF($H208:$K208,"&gt;1")+COUNTIF($H208:$K208,"&lt;0")+COUNTA($H208:$K208)-COUNT($H208:$K208))&gt;0,"Avance fuera de rango 0-100%"&amp;" · ","")&amp;IF(OR(AND($I208&lt;&gt;"",$I208&lt;$H208),AND($J208&lt;&gt;"",$J208&lt;MAX($H208:$I208)),AND($K208&lt;&gt;"",$K208&lt;MAX($H208:$J208))),"Avance semanal decreciente"&amp;" · ","")&amp;IF(AND(ISNUMBER($F208),$F208&lt;FechaRef,N($L208)&lt;1),"Vencida"&amp;" · ","")&amp;IF(AND(ObsObligatoria="Sí",ISNUMBER($F208),$F208&lt;FechaRef,N($L208)&lt;1,$N208=""),"Vencida sin observación"&amp;" · ",""),LEN(IF(AND($S208="Macro",$B208=""),"Macroactividad vacía"&amp;" · ","")&amp;IF(AND($B208&lt;&gt;"",$C208&lt;&gt;""),"Escriba la subactividad en otra fila, debajo de su macroactividad"&amp;" · ","")&amp;IF(AND($S208="Sub",N($R208)=0),"Subactividad sin macroactividad arriba"&amp;" · ","")&amp;IF($D208="","Sin responsable"&amp;" · ","")&amp;IF($E208="","Sin fecha de inicio"&amp;" · ","")&amp;IF($F208="","Sin fecha límite"&amp;" · ","")&amp;IF(OR(AND($E208&lt;&gt;"",NOT(ISNUMBER($E208))),AND($F208&lt;&gt;"",NOT(ISNUMBER($F208)))),"Fecha no válida"&amp;" · ","")&amp;IF(AND(ISNUMBER($E208),ISNUMBER($F208),$E208&gt;$F208),"Inicio posterior a fecha límite"&amp;" · ","")&amp;IF(AND($S208="Macro",$G208=""),"Peso vacío"&amp;" · ","")&amp;IF(AND($S208="Macro",$G208&lt;&gt;"",OR(NOT(ISNUMBER($G208)),$G208&lt;=0,$G208&gt;1)),"Peso fuera de rango"&amp;" · ","")&amp;IF(AND($S208="Sub",$G208&lt;&gt;""),"Las subactividades no llevan peso"&amp;" · ","")&amp;IF(AND($S208="Macro",ABS(SUMIFS($G$5:$G$1000,$P$5:$P$1000,$P208,$S$5:$S$1000,"Macro")-1)&gt;0.0001),"Pesos del mes suman "&amp;TEXT(SUMIFS($G$5:$G$1000,$P$5:$P$1000,$P208,$S$5:$S$1000,"Macro"),"0%")&amp;" · ","")&amp;IF(AND(N($T208)&gt;0,COUNT($H208:$K208)&gt;0),"Con subactividades: deje vacías las semanas (se calculan solas)"&amp;" · ","")&amp;IF((COUNTIF($H208:$K208,"&gt;1")+COUNTIF($H208:$K208,"&lt;0")+COUNTA($H208:$K208)-COUNT($H208:$K208))&gt;0,"Avance fuera de rango 0-100%"&amp;" · ","")&amp;IF(OR(AND($I208&lt;&gt;"",$I208&lt;$H208),AND($J208&lt;&gt;"",$J208&lt;MAX($H208:$I208)),AND($K208&lt;&gt;"",$K208&lt;MAX($H208:$J208))),"Avance semanal decreciente"&amp;" · ","")&amp;IF(AND(ISNUMBER($F208),$F208&lt;FechaRef,N($L208)&lt;1),"Vencida"&amp;" · ","")&amp;IF(AND(ObsObligatoria="Sí",ISNUMBER($F208),$F208&lt;FechaRef,N($L208)&lt;1,$N208=""),"Vencida sin observación"&amp;" · ",""))-3)))</f>
        <v/>
      </c>
      <c r="P208" s="69">
        <f>IF(NOT((COUNTA($B208:$K208)+COUNTA($N208))&gt;0),"",IF(AND($S208="Sub",N($R208)&gt;0),IF(ISNUMBER(INDEX($E$5:$E$1000,$R208-4)),DATE(YEAR(INDEX($E$5:$E$1000,$R208-4)),MONTH(INDEX($E$5:$E$1000,$R208-4)),1),IF(ISNUMBER(INDEX($F$5:$F$1000,$R208-4)),DATE(YEAR(INDEX($F$5:$F$1000,$R208-4)),MONTH(INDEX($F$5:$F$1000,$R208-4)),1),MesCiclo)),IF(ISNUMBER($E208),DATE(YEAR($E208),MONTH($E208),1),IF(ISNUMBER($F208),DATE(YEAR($F208),MONTH($F208),1),MesCiclo))))</f>
        <v/>
      </c>
      <c r="Q208" s="70">
        <f>IF(OR($P208="",$P208&lt;&gt;MesCiclo),"",COUNTIF($P$5:$P208,MesCiclo))</f>
        <v/>
      </c>
      <c r="R208" s="70">
        <f>IF($S208="","",IF($S208="Macro",ROW(),IFERROR(LOOKUP(2,1/($S$5:$S208="Macro"),ROW($S$5:$S208)),0)))</f>
        <v/>
      </c>
      <c r="S208" s="70">
        <f>IF(NOT((COUNTA($B208:$K208)+COUNTA($N208))&gt;0),"",IF($B208&lt;&gt;"","Macro",IF($C208&lt;&gt;"","Sub","Macro")))</f>
        <v/>
      </c>
      <c r="T208" s="70">
        <f>IF($S208="Macro",COUNTIFS($R$5:$R$1000,ROW(),$S$5:$S$1000,"Sub"),"")</f>
        <v/>
      </c>
      <c r="U208" s="70">
        <f>IF($S208="","",IF(ISNUMBER($H208),$H208,0))</f>
        <v/>
      </c>
      <c r="V208" s="70">
        <f>IF($S208="","",IF(ISNUMBER($I208),$I208,$U208))</f>
        <v/>
      </c>
      <c r="W208" s="70">
        <f>IF($S208="","",IF(ISNUMBER($J208),$J208,$V208))</f>
        <v/>
      </c>
      <c r="X208" s="70">
        <f>IF($S208="","",IF(ISNUMBER($K208),$K208,$W208))</f>
        <v/>
      </c>
      <c r="Y208" s="70">
        <f>IF($S208="","",IF(N($T208)&gt;0,AVERAGEIFS($U$5:$U$1000,$R$5:$R$1000,ROW(),$S$5:$S$1000,"Sub"),$U208))</f>
        <v/>
      </c>
      <c r="Z208" s="70">
        <f>IF($S208="","",IF(N($T208)&gt;0,AVERAGEIFS($V$5:$V$1000,$R$5:$R$1000,ROW(),$S$5:$S$1000,"Sub"),$V208))</f>
        <v/>
      </c>
      <c r="AA208" s="70">
        <f>IF($S208="","",IF(N($T208)&gt;0,AVERAGEIFS($W$5:$W$1000,$R$5:$R$1000,ROW(),$S$5:$S$1000,"Sub"),$W208))</f>
        <v/>
      </c>
      <c r="AB208" s="70">
        <f>IF($S208="","",IF(N($T208)&gt;0,AVERAGEIFS($X$5:$X$1000,$R$5:$R$1000,ROW(),$S$5:$S$1000,"Sub"),$X208))</f>
        <v/>
      </c>
    </row>
    <row r="209">
      <c r="A209" s="61">
        <f>IF(NOT((COUNTA($B209:$K209)+COUNTA($N209))&gt;0),"",IF($S209="Macro",COUNTIFS($S$5:$S209,"Macro",$P$5:$P209,$P209),IF(N($R209)=0,"?",COUNTIFS(INDEX($S$5:$S$1000,1):INDEX($S$5:$S$1000,$R209-4),"Macro",INDEX($P$5:$P$1000,1):INDEX($P$5:$P$1000,$R209-4),INDEX($P$5:$P$1000,$R209-4))&amp;"."&amp;COUNTIFS($R$5:$R209,$R209,$S$5:$S209,"Sub"))))</f>
        <v/>
      </c>
      <c r="B209" s="62" t="n"/>
      <c r="C209" s="63" t="n"/>
      <c r="D209" s="62" t="n"/>
      <c r="E209" s="64" t="n"/>
      <c r="F209" s="64" t="n"/>
      <c r="G209" s="65" t="n"/>
      <c r="H209" s="66" t="n"/>
      <c r="I209" s="66" t="n"/>
      <c r="J209" s="66" t="n"/>
      <c r="K209" s="66" t="n"/>
      <c r="L209" s="67">
        <f>IF(NOT((COUNTA($B209:$K209)+COUNTA($N209))&gt;0),"",IF(N($T209)&gt;0,$AB209,IFERROR(LOOKUP(2,1/(H209:K209&lt;&gt;""),H209:K209),0)))</f>
        <v/>
      </c>
      <c r="M209" s="61">
        <f>IF(L209="","",IF(L209&gt;=1,"Completado",IF(L209&gt;0,"En curso","Pendiente")))</f>
        <v/>
      </c>
      <c r="N209" s="62" t="n"/>
      <c r="O209" s="68">
        <f>IF(NOT((COUNTA($B209:$K209)+COUNTA($N209))&gt;0),"",IF((IF(AND($S209="Macro",$B209=""),"Macroactividad vacía"&amp;" · ","")&amp;IF(AND($B209&lt;&gt;"",$C209&lt;&gt;""),"Escriba la subactividad en otra fila, debajo de su macroactividad"&amp;" · ","")&amp;IF(AND($S209="Sub",N($R209)=0),"Subactividad sin macroactividad arriba"&amp;" · ","")&amp;IF($D209="","Sin responsable"&amp;" · ","")&amp;IF($E209="","Sin fecha de inicio"&amp;" · ","")&amp;IF($F209="","Sin fecha límite"&amp;" · ","")&amp;IF(OR(AND($E209&lt;&gt;"",NOT(ISNUMBER($E209))),AND($F209&lt;&gt;"",NOT(ISNUMBER($F209)))),"Fecha no válida"&amp;" · ","")&amp;IF(AND(ISNUMBER($E209),ISNUMBER($F209),$E209&gt;$F209),"Inicio posterior a fecha límite"&amp;" · ","")&amp;IF(AND($S209="Macro",$G209=""),"Peso vacío"&amp;" · ","")&amp;IF(AND($S209="Macro",$G209&lt;&gt;"",OR(NOT(ISNUMBER($G209)),$G209&lt;=0,$G209&gt;1)),"Peso fuera de rango"&amp;" · ","")&amp;IF(AND($S209="Sub",$G209&lt;&gt;""),"Las subactividades no llevan peso"&amp;" · ","")&amp;IF(AND($S209="Macro",ABS(SUMIFS($G$5:$G$1000,$P$5:$P$1000,$P209,$S$5:$S$1000,"Macro")-1)&gt;0.0001),"Pesos del mes suman "&amp;TEXT(SUMIFS($G$5:$G$1000,$P$5:$P$1000,$P209,$S$5:$S$1000,"Macro"),"0%")&amp;" · ","")&amp;IF(AND(N($T209)&gt;0,COUNT($H209:$K209)&gt;0),"Con subactividades: deje vacías las semanas (se calculan solas)"&amp;" · ","")&amp;IF((COUNTIF($H209:$K209,"&gt;1")+COUNTIF($H209:$K209,"&lt;0")+COUNTA($H209:$K209)-COUNT($H209:$K209))&gt;0,"Avance fuera de rango 0-100%"&amp;" · ","")&amp;IF(OR(AND($I209&lt;&gt;"",$I209&lt;$H209),AND($J209&lt;&gt;"",$J209&lt;MAX($H209:$I209)),AND($K209&lt;&gt;"",$K209&lt;MAX($H209:$J209))),"Avance semanal decreciente"&amp;" · ","")&amp;IF(AND(ISNUMBER($F209),$F209&lt;FechaRef,N($L209)&lt;1),"Vencida"&amp;" · ","")&amp;IF(AND(ObsObligatoria="Sí",ISNUMBER($F209),$F209&lt;FechaRef,N($L209)&lt;1,$N209=""),"Vencida sin observación"&amp;" · ",""))="","✔ OK","⚠ "&amp;LEFT(IF(AND($S209="Macro",$B209=""),"Macroactividad vacía"&amp;" · ","")&amp;IF(AND($B209&lt;&gt;"",$C209&lt;&gt;""),"Escriba la subactividad en otra fila, debajo de su macroactividad"&amp;" · ","")&amp;IF(AND($S209="Sub",N($R209)=0),"Subactividad sin macroactividad arriba"&amp;" · ","")&amp;IF($D209="","Sin responsable"&amp;" · ","")&amp;IF($E209="","Sin fecha de inicio"&amp;" · ","")&amp;IF($F209="","Sin fecha límite"&amp;" · ","")&amp;IF(OR(AND($E209&lt;&gt;"",NOT(ISNUMBER($E209))),AND($F209&lt;&gt;"",NOT(ISNUMBER($F209)))),"Fecha no válida"&amp;" · ","")&amp;IF(AND(ISNUMBER($E209),ISNUMBER($F209),$E209&gt;$F209),"Inicio posterior a fecha límite"&amp;" · ","")&amp;IF(AND($S209="Macro",$G209=""),"Peso vacío"&amp;" · ","")&amp;IF(AND($S209="Macro",$G209&lt;&gt;"",OR(NOT(ISNUMBER($G209)),$G209&lt;=0,$G209&gt;1)),"Peso fuera de rango"&amp;" · ","")&amp;IF(AND($S209="Sub",$G209&lt;&gt;""),"Las subactividades no llevan peso"&amp;" · ","")&amp;IF(AND($S209="Macro",ABS(SUMIFS($G$5:$G$1000,$P$5:$P$1000,$P209,$S$5:$S$1000,"Macro")-1)&gt;0.0001),"Pesos del mes suman "&amp;TEXT(SUMIFS($G$5:$G$1000,$P$5:$P$1000,$P209,$S$5:$S$1000,"Macro"),"0%")&amp;" · ","")&amp;IF(AND(N($T209)&gt;0,COUNT($H209:$K209)&gt;0),"Con subactividades: deje vacías las semanas (se calculan solas)"&amp;" · ","")&amp;IF((COUNTIF($H209:$K209,"&gt;1")+COUNTIF($H209:$K209,"&lt;0")+COUNTA($H209:$K209)-COUNT($H209:$K209))&gt;0,"Avance fuera de rango 0-100%"&amp;" · ","")&amp;IF(OR(AND($I209&lt;&gt;"",$I209&lt;$H209),AND($J209&lt;&gt;"",$J209&lt;MAX($H209:$I209)),AND($K209&lt;&gt;"",$K209&lt;MAX($H209:$J209))),"Avance semanal decreciente"&amp;" · ","")&amp;IF(AND(ISNUMBER($F209),$F209&lt;FechaRef,N($L209)&lt;1),"Vencida"&amp;" · ","")&amp;IF(AND(ObsObligatoria="Sí",ISNUMBER($F209),$F209&lt;FechaRef,N($L209)&lt;1,$N209=""),"Vencida sin observación"&amp;" · ",""),LEN(IF(AND($S209="Macro",$B209=""),"Macroactividad vacía"&amp;" · ","")&amp;IF(AND($B209&lt;&gt;"",$C209&lt;&gt;""),"Escriba la subactividad en otra fila, debajo de su macroactividad"&amp;" · ","")&amp;IF(AND($S209="Sub",N($R209)=0),"Subactividad sin macroactividad arriba"&amp;" · ","")&amp;IF($D209="","Sin responsable"&amp;" · ","")&amp;IF($E209="","Sin fecha de inicio"&amp;" · ","")&amp;IF($F209="","Sin fecha límite"&amp;" · ","")&amp;IF(OR(AND($E209&lt;&gt;"",NOT(ISNUMBER($E209))),AND($F209&lt;&gt;"",NOT(ISNUMBER($F209)))),"Fecha no válida"&amp;" · ","")&amp;IF(AND(ISNUMBER($E209),ISNUMBER($F209),$E209&gt;$F209),"Inicio posterior a fecha límite"&amp;" · ","")&amp;IF(AND($S209="Macro",$G209=""),"Peso vacío"&amp;" · ","")&amp;IF(AND($S209="Macro",$G209&lt;&gt;"",OR(NOT(ISNUMBER($G209)),$G209&lt;=0,$G209&gt;1)),"Peso fuera de rango"&amp;" · ","")&amp;IF(AND($S209="Sub",$G209&lt;&gt;""),"Las subactividades no llevan peso"&amp;" · ","")&amp;IF(AND($S209="Macro",ABS(SUMIFS($G$5:$G$1000,$P$5:$P$1000,$P209,$S$5:$S$1000,"Macro")-1)&gt;0.0001),"Pesos del mes suman "&amp;TEXT(SUMIFS($G$5:$G$1000,$P$5:$P$1000,$P209,$S$5:$S$1000,"Macro"),"0%")&amp;" · ","")&amp;IF(AND(N($T209)&gt;0,COUNT($H209:$K209)&gt;0),"Con subactividades: deje vacías las semanas (se calculan solas)"&amp;" · ","")&amp;IF((COUNTIF($H209:$K209,"&gt;1")+COUNTIF($H209:$K209,"&lt;0")+COUNTA($H209:$K209)-COUNT($H209:$K209))&gt;0,"Avance fuera de rango 0-100%"&amp;" · ","")&amp;IF(OR(AND($I209&lt;&gt;"",$I209&lt;$H209),AND($J209&lt;&gt;"",$J209&lt;MAX($H209:$I209)),AND($K209&lt;&gt;"",$K209&lt;MAX($H209:$J209))),"Avance semanal decreciente"&amp;" · ","")&amp;IF(AND(ISNUMBER($F209),$F209&lt;FechaRef,N($L209)&lt;1),"Vencida"&amp;" · ","")&amp;IF(AND(ObsObligatoria="Sí",ISNUMBER($F209),$F209&lt;FechaRef,N($L209)&lt;1,$N209=""),"Vencida sin observación"&amp;" · ",""))-3)))</f>
        <v/>
      </c>
      <c r="P209" s="69">
        <f>IF(NOT((COUNTA($B209:$K209)+COUNTA($N209))&gt;0),"",IF(AND($S209="Sub",N($R209)&gt;0),IF(ISNUMBER(INDEX($E$5:$E$1000,$R209-4)),DATE(YEAR(INDEX($E$5:$E$1000,$R209-4)),MONTH(INDEX($E$5:$E$1000,$R209-4)),1),IF(ISNUMBER(INDEX($F$5:$F$1000,$R209-4)),DATE(YEAR(INDEX($F$5:$F$1000,$R209-4)),MONTH(INDEX($F$5:$F$1000,$R209-4)),1),MesCiclo)),IF(ISNUMBER($E209),DATE(YEAR($E209),MONTH($E209),1),IF(ISNUMBER($F209),DATE(YEAR($F209),MONTH($F209),1),MesCiclo))))</f>
        <v/>
      </c>
      <c r="Q209" s="70">
        <f>IF(OR($P209="",$P209&lt;&gt;MesCiclo),"",COUNTIF($P$5:$P209,MesCiclo))</f>
        <v/>
      </c>
      <c r="R209" s="70">
        <f>IF($S209="","",IF($S209="Macro",ROW(),IFERROR(LOOKUP(2,1/($S$5:$S209="Macro"),ROW($S$5:$S209)),0)))</f>
        <v/>
      </c>
      <c r="S209" s="70">
        <f>IF(NOT((COUNTA($B209:$K209)+COUNTA($N209))&gt;0),"",IF($B209&lt;&gt;"","Macro",IF($C209&lt;&gt;"","Sub","Macro")))</f>
        <v/>
      </c>
      <c r="T209" s="70">
        <f>IF($S209="Macro",COUNTIFS($R$5:$R$1000,ROW(),$S$5:$S$1000,"Sub"),"")</f>
        <v/>
      </c>
      <c r="U209" s="70">
        <f>IF($S209="","",IF(ISNUMBER($H209),$H209,0))</f>
        <v/>
      </c>
      <c r="V209" s="70">
        <f>IF($S209="","",IF(ISNUMBER($I209),$I209,$U209))</f>
        <v/>
      </c>
      <c r="W209" s="70">
        <f>IF($S209="","",IF(ISNUMBER($J209),$J209,$V209))</f>
        <v/>
      </c>
      <c r="X209" s="70">
        <f>IF($S209="","",IF(ISNUMBER($K209),$K209,$W209))</f>
        <v/>
      </c>
      <c r="Y209" s="70">
        <f>IF($S209="","",IF(N($T209)&gt;0,AVERAGEIFS($U$5:$U$1000,$R$5:$R$1000,ROW(),$S$5:$S$1000,"Sub"),$U209))</f>
        <v/>
      </c>
      <c r="Z209" s="70">
        <f>IF($S209="","",IF(N($T209)&gt;0,AVERAGEIFS($V$5:$V$1000,$R$5:$R$1000,ROW(),$S$5:$S$1000,"Sub"),$V209))</f>
        <v/>
      </c>
      <c r="AA209" s="70">
        <f>IF($S209="","",IF(N($T209)&gt;0,AVERAGEIFS($W$5:$W$1000,$R$5:$R$1000,ROW(),$S$5:$S$1000,"Sub"),$W209))</f>
        <v/>
      </c>
      <c r="AB209" s="70">
        <f>IF($S209="","",IF(N($T209)&gt;0,AVERAGEIFS($X$5:$X$1000,$R$5:$R$1000,ROW(),$S$5:$S$1000,"Sub"),$X209))</f>
        <v/>
      </c>
    </row>
    <row r="210">
      <c r="A210" s="61">
        <f>IF(NOT((COUNTA($B210:$K210)+COUNTA($N210))&gt;0),"",IF($S210="Macro",COUNTIFS($S$5:$S210,"Macro",$P$5:$P210,$P210),IF(N($R210)=0,"?",COUNTIFS(INDEX($S$5:$S$1000,1):INDEX($S$5:$S$1000,$R210-4),"Macro",INDEX($P$5:$P$1000,1):INDEX($P$5:$P$1000,$R210-4),INDEX($P$5:$P$1000,$R210-4))&amp;"."&amp;COUNTIFS($R$5:$R210,$R210,$S$5:$S210,"Sub"))))</f>
        <v/>
      </c>
      <c r="B210" s="62" t="n"/>
      <c r="C210" s="63" t="n"/>
      <c r="D210" s="62" t="n"/>
      <c r="E210" s="64" t="n"/>
      <c r="F210" s="64" t="n"/>
      <c r="G210" s="65" t="n"/>
      <c r="H210" s="66" t="n"/>
      <c r="I210" s="66" t="n"/>
      <c r="J210" s="66" t="n"/>
      <c r="K210" s="66" t="n"/>
      <c r="L210" s="67">
        <f>IF(NOT((COUNTA($B210:$K210)+COUNTA($N210))&gt;0),"",IF(N($T210)&gt;0,$AB210,IFERROR(LOOKUP(2,1/(H210:K210&lt;&gt;""),H210:K210),0)))</f>
        <v/>
      </c>
      <c r="M210" s="61">
        <f>IF(L210="","",IF(L210&gt;=1,"Completado",IF(L210&gt;0,"En curso","Pendiente")))</f>
        <v/>
      </c>
      <c r="N210" s="62" t="n"/>
      <c r="O210" s="68">
        <f>IF(NOT((COUNTA($B210:$K210)+COUNTA($N210))&gt;0),"",IF((IF(AND($S210="Macro",$B210=""),"Macroactividad vacía"&amp;" · ","")&amp;IF(AND($B210&lt;&gt;"",$C210&lt;&gt;""),"Escriba la subactividad en otra fila, debajo de su macroactividad"&amp;" · ","")&amp;IF(AND($S210="Sub",N($R210)=0),"Subactividad sin macroactividad arriba"&amp;" · ","")&amp;IF($D210="","Sin responsable"&amp;" · ","")&amp;IF($E210="","Sin fecha de inicio"&amp;" · ","")&amp;IF($F210="","Sin fecha límite"&amp;" · ","")&amp;IF(OR(AND($E210&lt;&gt;"",NOT(ISNUMBER($E210))),AND($F210&lt;&gt;"",NOT(ISNUMBER($F210)))),"Fecha no válida"&amp;" · ","")&amp;IF(AND(ISNUMBER($E210),ISNUMBER($F210),$E210&gt;$F210),"Inicio posterior a fecha límite"&amp;" · ","")&amp;IF(AND($S210="Macro",$G210=""),"Peso vacío"&amp;" · ","")&amp;IF(AND($S210="Macro",$G210&lt;&gt;"",OR(NOT(ISNUMBER($G210)),$G210&lt;=0,$G210&gt;1)),"Peso fuera de rango"&amp;" · ","")&amp;IF(AND($S210="Sub",$G210&lt;&gt;""),"Las subactividades no llevan peso"&amp;" · ","")&amp;IF(AND($S210="Macro",ABS(SUMIFS($G$5:$G$1000,$P$5:$P$1000,$P210,$S$5:$S$1000,"Macro")-1)&gt;0.0001),"Pesos del mes suman "&amp;TEXT(SUMIFS($G$5:$G$1000,$P$5:$P$1000,$P210,$S$5:$S$1000,"Macro"),"0%")&amp;" · ","")&amp;IF(AND(N($T210)&gt;0,COUNT($H210:$K210)&gt;0),"Con subactividades: deje vacías las semanas (se calculan solas)"&amp;" · ","")&amp;IF((COUNTIF($H210:$K210,"&gt;1")+COUNTIF($H210:$K210,"&lt;0")+COUNTA($H210:$K210)-COUNT($H210:$K210))&gt;0,"Avance fuera de rango 0-100%"&amp;" · ","")&amp;IF(OR(AND($I210&lt;&gt;"",$I210&lt;$H210),AND($J210&lt;&gt;"",$J210&lt;MAX($H210:$I210)),AND($K210&lt;&gt;"",$K210&lt;MAX($H210:$J210))),"Avance semanal decreciente"&amp;" · ","")&amp;IF(AND(ISNUMBER($F210),$F210&lt;FechaRef,N($L210)&lt;1),"Vencida"&amp;" · ","")&amp;IF(AND(ObsObligatoria="Sí",ISNUMBER($F210),$F210&lt;FechaRef,N($L210)&lt;1,$N210=""),"Vencida sin observación"&amp;" · ",""))="","✔ OK","⚠ "&amp;LEFT(IF(AND($S210="Macro",$B210=""),"Macroactividad vacía"&amp;" · ","")&amp;IF(AND($B210&lt;&gt;"",$C210&lt;&gt;""),"Escriba la subactividad en otra fila, debajo de su macroactividad"&amp;" · ","")&amp;IF(AND($S210="Sub",N($R210)=0),"Subactividad sin macroactividad arriba"&amp;" · ","")&amp;IF($D210="","Sin responsable"&amp;" · ","")&amp;IF($E210="","Sin fecha de inicio"&amp;" · ","")&amp;IF($F210="","Sin fecha límite"&amp;" · ","")&amp;IF(OR(AND($E210&lt;&gt;"",NOT(ISNUMBER($E210))),AND($F210&lt;&gt;"",NOT(ISNUMBER($F210)))),"Fecha no válida"&amp;" · ","")&amp;IF(AND(ISNUMBER($E210),ISNUMBER($F210),$E210&gt;$F210),"Inicio posterior a fecha límite"&amp;" · ","")&amp;IF(AND($S210="Macro",$G210=""),"Peso vacío"&amp;" · ","")&amp;IF(AND($S210="Macro",$G210&lt;&gt;"",OR(NOT(ISNUMBER($G210)),$G210&lt;=0,$G210&gt;1)),"Peso fuera de rango"&amp;" · ","")&amp;IF(AND($S210="Sub",$G210&lt;&gt;""),"Las subactividades no llevan peso"&amp;" · ","")&amp;IF(AND($S210="Macro",ABS(SUMIFS($G$5:$G$1000,$P$5:$P$1000,$P210,$S$5:$S$1000,"Macro")-1)&gt;0.0001),"Pesos del mes suman "&amp;TEXT(SUMIFS($G$5:$G$1000,$P$5:$P$1000,$P210,$S$5:$S$1000,"Macro"),"0%")&amp;" · ","")&amp;IF(AND(N($T210)&gt;0,COUNT($H210:$K210)&gt;0),"Con subactividades: deje vacías las semanas (se calculan solas)"&amp;" · ","")&amp;IF((COUNTIF($H210:$K210,"&gt;1")+COUNTIF($H210:$K210,"&lt;0")+COUNTA($H210:$K210)-COUNT($H210:$K210))&gt;0,"Avance fuera de rango 0-100%"&amp;" · ","")&amp;IF(OR(AND($I210&lt;&gt;"",$I210&lt;$H210),AND($J210&lt;&gt;"",$J210&lt;MAX($H210:$I210)),AND($K210&lt;&gt;"",$K210&lt;MAX($H210:$J210))),"Avance semanal decreciente"&amp;" · ","")&amp;IF(AND(ISNUMBER($F210),$F210&lt;FechaRef,N($L210)&lt;1),"Vencida"&amp;" · ","")&amp;IF(AND(ObsObligatoria="Sí",ISNUMBER($F210),$F210&lt;FechaRef,N($L210)&lt;1,$N210=""),"Vencida sin observación"&amp;" · ",""),LEN(IF(AND($S210="Macro",$B210=""),"Macroactividad vacía"&amp;" · ","")&amp;IF(AND($B210&lt;&gt;"",$C210&lt;&gt;""),"Escriba la subactividad en otra fila, debajo de su macroactividad"&amp;" · ","")&amp;IF(AND($S210="Sub",N($R210)=0),"Subactividad sin macroactividad arriba"&amp;" · ","")&amp;IF($D210="","Sin responsable"&amp;" · ","")&amp;IF($E210="","Sin fecha de inicio"&amp;" · ","")&amp;IF($F210="","Sin fecha límite"&amp;" · ","")&amp;IF(OR(AND($E210&lt;&gt;"",NOT(ISNUMBER($E210))),AND($F210&lt;&gt;"",NOT(ISNUMBER($F210)))),"Fecha no válida"&amp;" · ","")&amp;IF(AND(ISNUMBER($E210),ISNUMBER($F210),$E210&gt;$F210),"Inicio posterior a fecha límite"&amp;" · ","")&amp;IF(AND($S210="Macro",$G210=""),"Peso vacío"&amp;" · ","")&amp;IF(AND($S210="Macro",$G210&lt;&gt;"",OR(NOT(ISNUMBER($G210)),$G210&lt;=0,$G210&gt;1)),"Peso fuera de rango"&amp;" · ","")&amp;IF(AND($S210="Sub",$G210&lt;&gt;""),"Las subactividades no llevan peso"&amp;" · ","")&amp;IF(AND($S210="Macro",ABS(SUMIFS($G$5:$G$1000,$P$5:$P$1000,$P210,$S$5:$S$1000,"Macro")-1)&gt;0.0001),"Pesos del mes suman "&amp;TEXT(SUMIFS($G$5:$G$1000,$P$5:$P$1000,$P210,$S$5:$S$1000,"Macro"),"0%")&amp;" · ","")&amp;IF(AND(N($T210)&gt;0,COUNT($H210:$K210)&gt;0),"Con subactividades: deje vacías las semanas (se calculan solas)"&amp;" · ","")&amp;IF((COUNTIF($H210:$K210,"&gt;1")+COUNTIF($H210:$K210,"&lt;0")+COUNTA($H210:$K210)-COUNT($H210:$K210))&gt;0,"Avance fuera de rango 0-100%"&amp;" · ","")&amp;IF(OR(AND($I210&lt;&gt;"",$I210&lt;$H210),AND($J210&lt;&gt;"",$J210&lt;MAX($H210:$I210)),AND($K210&lt;&gt;"",$K210&lt;MAX($H210:$J210))),"Avance semanal decreciente"&amp;" · ","")&amp;IF(AND(ISNUMBER($F210),$F210&lt;FechaRef,N($L210)&lt;1),"Vencida"&amp;" · ","")&amp;IF(AND(ObsObligatoria="Sí",ISNUMBER($F210),$F210&lt;FechaRef,N($L210)&lt;1,$N210=""),"Vencida sin observación"&amp;" · ",""))-3)))</f>
        <v/>
      </c>
      <c r="P210" s="69">
        <f>IF(NOT((COUNTA($B210:$K210)+COUNTA($N210))&gt;0),"",IF(AND($S210="Sub",N($R210)&gt;0),IF(ISNUMBER(INDEX($E$5:$E$1000,$R210-4)),DATE(YEAR(INDEX($E$5:$E$1000,$R210-4)),MONTH(INDEX($E$5:$E$1000,$R210-4)),1),IF(ISNUMBER(INDEX($F$5:$F$1000,$R210-4)),DATE(YEAR(INDEX($F$5:$F$1000,$R210-4)),MONTH(INDEX($F$5:$F$1000,$R210-4)),1),MesCiclo)),IF(ISNUMBER($E210),DATE(YEAR($E210),MONTH($E210),1),IF(ISNUMBER($F210),DATE(YEAR($F210),MONTH($F210),1),MesCiclo))))</f>
        <v/>
      </c>
      <c r="Q210" s="70">
        <f>IF(OR($P210="",$P210&lt;&gt;MesCiclo),"",COUNTIF($P$5:$P210,MesCiclo))</f>
        <v/>
      </c>
      <c r="R210" s="70">
        <f>IF($S210="","",IF($S210="Macro",ROW(),IFERROR(LOOKUP(2,1/($S$5:$S210="Macro"),ROW($S$5:$S210)),0)))</f>
        <v/>
      </c>
      <c r="S210" s="70">
        <f>IF(NOT((COUNTA($B210:$K210)+COUNTA($N210))&gt;0),"",IF($B210&lt;&gt;"","Macro",IF($C210&lt;&gt;"","Sub","Macro")))</f>
        <v/>
      </c>
      <c r="T210" s="70">
        <f>IF($S210="Macro",COUNTIFS($R$5:$R$1000,ROW(),$S$5:$S$1000,"Sub"),"")</f>
        <v/>
      </c>
      <c r="U210" s="70">
        <f>IF($S210="","",IF(ISNUMBER($H210),$H210,0))</f>
        <v/>
      </c>
      <c r="V210" s="70">
        <f>IF($S210="","",IF(ISNUMBER($I210),$I210,$U210))</f>
        <v/>
      </c>
      <c r="W210" s="70">
        <f>IF($S210="","",IF(ISNUMBER($J210),$J210,$V210))</f>
        <v/>
      </c>
      <c r="X210" s="70">
        <f>IF($S210="","",IF(ISNUMBER($K210),$K210,$W210))</f>
        <v/>
      </c>
      <c r="Y210" s="70">
        <f>IF($S210="","",IF(N($T210)&gt;0,AVERAGEIFS($U$5:$U$1000,$R$5:$R$1000,ROW(),$S$5:$S$1000,"Sub"),$U210))</f>
        <v/>
      </c>
      <c r="Z210" s="70">
        <f>IF($S210="","",IF(N($T210)&gt;0,AVERAGEIFS($V$5:$V$1000,$R$5:$R$1000,ROW(),$S$5:$S$1000,"Sub"),$V210))</f>
        <v/>
      </c>
      <c r="AA210" s="70">
        <f>IF($S210="","",IF(N($T210)&gt;0,AVERAGEIFS($W$5:$W$1000,$R$5:$R$1000,ROW(),$S$5:$S$1000,"Sub"),$W210))</f>
        <v/>
      </c>
      <c r="AB210" s="70">
        <f>IF($S210="","",IF(N($T210)&gt;0,AVERAGEIFS($X$5:$X$1000,$R$5:$R$1000,ROW(),$S$5:$S$1000,"Sub"),$X210))</f>
        <v/>
      </c>
    </row>
    <row r="211">
      <c r="A211" s="61">
        <f>IF(NOT((COUNTA($B211:$K211)+COUNTA($N211))&gt;0),"",IF($S211="Macro",COUNTIFS($S$5:$S211,"Macro",$P$5:$P211,$P211),IF(N($R211)=0,"?",COUNTIFS(INDEX($S$5:$S$1000,1):INDEX($S$5:$S$1000,$R211-4),"Macro",INDEX($P$5:$P$1000,1):INDEX($P$5:$P$1000,$R211-4),INDEX($P$5:$P$1000,$R211-4))&amp;"."&amp;COUNTIFS($R$5:$R211,$R211,$S$5:$S211,"Sub"))))</f>
        <v/>
      </c>
      <c r="B211" s="62" t="n"/>
      <c r="C211" s="63" t="n"/>
      <c r="D211" s="62" t="n"/>
      <c r="E211" s="64" t="n"/>
      <c r="F211" s="64" t="n"/>
      <c r="G211" s="65" t="n"/>
      <c r="H211" s="66" t="n"/>
      <c r="I211" s="66" t="n"/>
      <c r="J211" s="66" t="n"/>
      <c r="K211" s="66" t="n"/>
      <c r="L211" s="67">
        <f>IF(NOT((COUNTA($B211:$K211)+COUNTA($N211))&gt;0),"",IF(N($T211)&gt;0,$AB211,IFERROR(LOOKUP(2,1/(H211:K211&lt;&gt;""),H211:K211),0)))</f>
        <v/>
      </c>
      <c r="M211" s="61">
        <f>IF(L211="","",IF(L211&gt;=1,"Completado",IF(L211&gt;0,"En curso","Pendiente")))</f>
        <v/>
      </c>
      <c r="N211" s="62" t="n"/>
      <c r="O211" s="68">
        <f>IF(NOT((COUNTA($B211:$K211)+COUNTA($N211))&gt;0),"",IF((IF(AND($S211="Macro",$B211=""),"Macroactividad vacía"&amp;" · ","")&amp;IF(AND($B211&lt;&gt;"",$C211&lt;&gt;""),"Escriba la subactividad en otra fila, debajo de su macroactividad"&amp;" · ","")&amp;IF(AND($S211="Sub",N($R211)=0),"Subactividad sin macroactividad arriba"&amp;" · ","")&amp;IF($D211="","Sin responsable"&amp;" · ","")&amp;IF($E211="","Sin fecha de inicio"&amp;" · ","")&amp;IF($F211="","Sin fecha límite"&amp;" · ","")&amp;IF(OR(AND($E211&lt;&gt;"",NOT(ISNUMBER($E211))),AND($F211&lt;&gt;"",NOT(ISNUMBER($F211)))),"Fecha no válida"&amp;" · ","")&amp;IF(AND(ISNUMBER($E211),ISNUMBER($F211),$E211&gt;$F211),"Inicio posterior a fecha límite"&amp;" · ","")&amp;IF(AND($S211="Macro",$G211=""),"Peso vacío"&amp;" · ","")&amp;IF(AND($S211="Macro",$G211&lt;&gt;"",OR(NOT(ISNUMBER($G211)),$G211&lt;=0,$G211&gt;1)),"Peso fuera de rango"&amp;" · ","")&amp;IF(AND($S211="Sub",$G211&lt;&gt;""),"Las subactividades no llevan peso"&amp;" · ","")&amp;IF(AND($S211="Macro",ABS(SUMIFS($G$5:$G$1000,$P$5:$P$1000,$P211,$S$5:$S$1000,"Macro")-1)&gt;0.0001),"Pesos del mes suman "&amp;TEXT(SUMIFS($G$5:$G$1000,$P$5:$P$1000,$P211,$S$5:$S$1000,"Macro"),"0%")&amp;" · ","")&amp;IF(AND(N($T211)&gt;0,COUNT($H211:$K211)&gt;0),"Con subactividades: deje vacías las semanas (se calculan solas)"&amp;" · ","")&amp;IF((COUNTIF($H211:$K211,"&gt;1")+COUNTIF($H211:$K211,"&lt;0")+COUNTA($H211:$K211)-COUNT($H211:$K211))&gt;0,"Avance fuera de rango 0-100%"&amp;" · ","")&amp;IF(OR(AND($I211&lt;&gt;"",$I211&lt;$H211),AND($J211&lt;&gt;"",$J211&lt;MAX($H211:$I211)),AND($K211&lt;&gt;"",$K211&lt;MAX($H211:$J211))),"Avance semanal decreciente"&amp;" · ","")&amp;IF(AND(ISNUMBER($F211),$F211&lt;FechaRef,N($L211)&lt;1),"Vencida"&amp;" · ","")&amp;IF(AND(ObsObligatoria="Sí",ISNUMBER($F211),$F211&lt;FechaRef,N($L211)&lt;1,$N211=""),"Vencida sin observación"&amp;" · ",""))="","✔ OK","⚠ "&amp;LEFT(IF(AND($S211="Macro",$B211=""),"Macroactividad vacía"&amp;" · ","")&amp;IF(AND($B211&lt;&gt;"",$C211&lt;&gt;""),"Escriba la subactividad en otra fila, debajo de su macroactividad"&amp;" · ","")&amp;IF(AND($S211="Sub",N($R211)=0),"Subactividad sin macroactividad arriba"&amp;" · ","")&amp;IF($D211="","Sin responsable"&amp;" · ","")&amp;IF($E211="","Sin fecha de inicio"&amp;" · ","")&amp;IF($F211="","Sin fecha límite"&amp;" · ","")&amp;IF(OR(AND($E211&lt;&gt;"",NOT(ISNUMBER($E211))),AND($F211&lt;&gt;"",NOT(ISNUMBER($F211)))),"Fecha no válida"&amp;" · ","")&amp;IF(AND(ISNUMBER($E211),ISNUMBER($F211),$E211&gt;$F211),"Inicio posterior a fecha límite"&amp;" · ","")&amp;IF(AND($S211="Macro",$G211=""),"Peso vacío"&amp;" · ","")&amp;IF(AND($S211="Macro",$G211&lt;&gt;"",OR(NOT(ISNUMBER($G211)),$G211&lt;=0,$G211&gt;1)),"Peso fuera de rango"&amp;" · ","")&amp;IF(AND($S211="Sub",$G211&lt;&gt;""),"Las subactividades no llevan peso"&amp;" · ","")&amp;IF(AND($S211="Macro",ABS(SUMIFS($G$5:$G$1000,$P$5:$P$1000,$P211,$S$5:$S$1000,"Macro")-1)&gt;0.0001),"Pesos del mes suman "&amp;TEXT(SUMIFS($G$5:$G$1000,$P$5:$P$1000,$P211,$S$5:$S$1000,"Macro"),"0%")&amp;" · ","")&amp;IF(AND(N($T211)&gt;0,COUNT($H211:$K211)&gt;0),"Con subactividades: deje vacías las semanas (se calculan solas)"&amp;" · ","")&amp;IF((COUNTIF($H211:$K211,"&gt;1")+COUNTIF($H211:$K211,"&lt;0")+COUNTA($H211:$K211)-COUNT($H211:$K211))&gt;0,"Avance fuera de rango 0-100%"&amp;" · ","")&amp;IF(OR(AND($I211&lt;&gt;"",$I211&lt;$H211),AND($J211&lt;&gt;"",$J211&lt;MAX($H211:$I211)),AND($K211&lt;&gt;"",$K211&lt;MAX($H211:$J211))),"Avance semanal decreciente"&amp;" · ","")&amp;IF(AND(ISNUMBER($F211),$F211&lt;FechaRef,N($L211)&lt;1),"Vencida"&amp;" · ","")&amp;IF(AND(ObsObligatoria="Sí",ISNUMBER($F211),$F211&lt;FechaRef,N($L211)&lt;1,$N211=""),"Vencida sin observación"&amp;" · ",""),LEN(IF(AND($S211="Macro",$B211=""),"Macroactividad vacía"&amp;" · ","")&amp;IF(AND($B211&lt;&gt;"",$C211&lt;&gt;""),"Escriba la subactividad en otra fila, debajo de su macroactividad"&amp;" · ","")&amp;IF(AND($S211="Sub",N($R211)=0),"Subactividad sin macroactividad arriba"&amp;" · ","")&amp;IF($D211="","Sin responsable"&amp;" · ","")&amp;IF($E211="","Sin fecha de inicio"&amp;" · ","")&amp;IF($F211="","Sin fecha límite"&amp;" · ","")&amp;IF(OR(AND($E211&lt;&gt;"",NOT(ISNUMBER($E211))),AND($F211&lt;&gt;"",NOT(ISNUMBER($F211)))),"Fecha no válida"&amp;" · ","")&amp;IF(AND(ISNUMBER($E211),ISNUMBER($F211),$E211&gt;$F211),"Inicio posterior a fecha límite"&amp;" · ","")&amp;IF(AND($S211="Macro",$G211=""),"Peso vacío"&amp;" · ","")&amp;IF(AND($S211="Macro",$G211&lt;&gt;"",OR(NOT(ISNUMBER($G211)),$G211&lt;=0,$G211&gt;1)),"Peso fuera de rango"&amp;" · ","")&amp;IF(AND($S211="Sub",$G211&lt;&gt;""),"Las subactividades no llevan peso"&amp;" · ","")&amp;IF(AND($S211="Macro",ABS(SUMIFS($G$5:$G$1000,$P$5:$P$1000,$P211,$S$5:$S$1000,"Macro")-1)&gt;0.0001),"Pesos del mes suman "&amp;TEXT(SUMIFS($G$5:$G$1000,$P$5:$P$1000,$P211,$S$5:$S$1000,"Macro"),"0%")&amp;" · ","")&amp;IF(AND(N($T211)&gt;0,COUNT($H211:$K211)&gt;0),"Con subactividades: deje vacías las semanas (se calculan solas)"&amp;" · ","")&amp;IF((COUNTIF($H211:$K211,"&gt;1")+COUNTIF($H211:$K211,"&lt;0")+COUNTA($H211:$K211)-COUNT($H211:$K211))&gt;0,"Avance fuera de rango 0-100%"&amp;" · ","")&amp;IF(OR(AND($I211&lt;&gt;"",$I211&lt;$H211),AND($J211&lt;&gt;"",$J211&lt;MAX($H211:$I211)),AND($K211&lt;&gt;"",$K211&lt;MAX($H211:$J211))),"Avance semanal decreciente"&amp;" · ","")&amp;IF(AND(ISNUMBER($F211),$F211&lt;FechaRef,N($L211)&lt;1),"Vencida"&amp;" · ","")&amp;IF(AND(ObsObligatoria="Sí",ISNUMBER($F211),$F211&lt;FechaRef,N($L211)&lt;1,$N211=""),"Vencida sin observación"&amp;" · ",""))-3)))</f>
        <v/>
      </c>
      <c r="P211" s="69">
        <f>IF(NOT((COUNTA($B211:$K211)+COUNTA($N211))&gt;0),"",IF(AND($S211="Sub",N($R211)&gt;0),IF(ISNUMBER(INDEX($E$5:$E$1000,$R211-4)),DATE(YEAR(INDEX($E$5:$E$1000,$R211-4)),MONTH(INDEX($E$5:$E$1000,$R211-4)),1),IF(ISNUMBER(INDEX($F$5:$F$1000,$R211-4)),DATE(YEAR(INDEX($F$5:$F$1000,$R211-4)),MONTH(INDEX($F$5:$F$1000,$R211-4)),1),MesCiclo)),IF(ISNUMBER($E211),DATE(YEAR($E211),MONTH($E211),1),IF(ISNUMBER($F211),DATE(YEAR($F211),MONTH($F211),1),MesCiclo))))</f>
        <v/>
      </c>
      <c r="Q211" s="70">
        <f>IF(OR($P211="",$P211&lt;&gt;MesCiclo),"",COUNTIF($P$5:$P211,MesCiclo))</f>
        <v/>
      </c>
      <c r="R211" s="70">
        <f>IF($S211="","",IF($S211="Macro",ROW(),IFERROR(LOOKUP(2,1/($S$5:$S211="Macro"),ROW($S$5:$S211)),0)))</f>
        <v/>
      </c>
      <c r="S211" s="70">
        <f>IF(NOT((COUNTA($B211:$K211)+COUNTA($N211))&gt;0),"",IF($B211&lt;&gt;"","Macro",IF($C211&lt;&gt;"","Sub","Macro")))</f>
        <v/>
      </c>
      <c r="T211" s="70">
        <f>IF($S211="Macro",COUNTIFS($R$5:$R$1000,ROW(),$S$5:$S$1000,"Sub"),"")</f>
        <v/>
      </c>
      <c r="U211" s="70">
        <f>IF($S211="","",IF(ISNUMBER($H211),$H211,0))</f>
        <v/>
      </c>
      <c r="V211" s="70">
        <f>IF($S211="","",IF(ISNUMBER($I211),$I211,$U211))</f>
        <v/>
      </c>
      <c r="W211" s="70">
        <f>IF($S211="","",IF(ISNUMBER($J211),$J211,$V211))</f>
        <v/>
      </c>
      <c r="X211" s="70">
        <f>IF($S211="","",IF(ISNUMBER($K211),$K211,$W211))</f>
        <v/>
      </c>
      <c r="Y211" s="70">
        <f>IF($S211="","",IF(N($T211)&gt;0,AVERAGEIFS($U$5:$U$1000,$R$5:$R$1000,ROW(),$S$5:$S$1000,"Sub"),$U211))</f>
        <v/>
      </c>
      <c r="Z211" s="70">
        <f>IF($S211="","",IF(N($T211)&gt;0,AVERAGEIFS($V$5:$V$1000,$R$5:$R$1000,ROW(),$S$5:$S$1000,"Sub"),$V211))</f>
        <v/>
      </c>
      <c r="AA211" s="70">
        <f>IF($S211="","",IF(N($T211)&gt;0,AVERAGEIFS($W$5:$W$1000,$R$5:$R$1000,ROW(),$S$5:$S$1000,"Sub"),$W211))</f>
        <v/>
      </c>
      <c r="AB211" s="70">
        <f>IF($S211="","",IF(N($T211)&gt;0,AVERAGEIFS($X$5:$X$1000,$R$5:$R$1000,ROW(),$S$5:$S$1000,"Sub"),$X211))</f>
        <v/>
      </c>
    </row>
    <row r="212">
      <c r="A212" s="61">
        <f>IF(NOT((COUNTA($B212:$K212)+COUNTA($N212))&gt;0),"",IF($S212="Macro",COUNTIFS($S$5:$S212,"Macro",$P$5:$P212,$P212),IF(N($R212)=0,"?",COUNTIFS(INDEX($S$5:$S$1000,1):INDEX($S$5:$S$1000,$R212-4),"Macro",INDEX($P$5:$P$1000,1):INDEX($P$5:$P$1000,$R212-4),INDEX($P$5:$P$1000,$R212-4))&amp;"."&amp;COUNTIFS($R$5:$R212,$R212,$S$5:$S212,"Sub"))))</f>
        <v/>
      </c>
      <c r="B212" s="62" t="n"/>
      <c r="C212" s="63" t="n"/>
      <c r="D212" s="62" t="n"/>
      <c r="E212" s="64" t="n"/>
      <c r="F212" s="64" t="n"/>
      <c r="G212" s="65" t="n"/>
      <c r="H212" s="66" t="n"/>
      <c r="I212" s="66" t="n"/>
      <c r="J212" s="66" t="n"/>
      <c r="K212" s="66" t="n"/>
      <c r="L212" s="67">
        <f>IF(NOT((COUNTA($B212:$K212)+COUNTA($N212))&gt;0),"",IF(N($T212)&gt;0,$AB212,IFERROR(LOOKUP(2,1/(H212:K212&lt;&gt;""),H212:K212),0)))</f>
        <v/>
      </c>
      <c r="M212" s="61">
        <f>IF(L212="","",IF(L212&gt;=1,"Completado",IF(L212&gt;0,"En curso","Pendiente")))</f>
        <v/>
      </c>
      <c r="N212" s="62" t="n"/>
      <c r="O212" s="68">
        <f>IF(NOT((COUNTA($B212:$K212)+COUNTA($N212))&gt;0),"",IF((IF(AND($S212="Macro",$B212=""),"Macroactividad vacía"&amp;" · ","")&amp;IF(AND($B212&lt;&gt;"",$C212&lt;&gt;""),"Escriba la subactividad en otra fila, debajo de su macroactividad"&amp;" · ","")&amp;IF(AND($S212="Sub",N($R212)=0),"Subactividad sin macroactividad arriba"&amp;" · ","")&amp;IF($D212="","Sin responsable"&amp;" · ","")&amp;IF($E212="","Sin fecha de inicio"&amp;" · ","")&amp;IF($F212="","Sin fecha límite"&amp;" · ","")&amp;IF(OR(AND($E212&lt;&gt;"",NOT(ISNUMBER($E212))),AND($F212&lt;&gt;"",NOT(ISNUMBER($F212)))),"Fecha no válida"&amp;" · ","")&amp;IF(AND(ISNUMBER($E212),ISNUMBER($F212),$E212&gt;$F212),"Inicio posterior a fecha límite"&amp;" · ","")&amp;IF(AND($S212="Macro",$G212=""),"Peso vacío"&amp;" · ","")&amp;IF(AND($S212="Macro",$G212&lt;&gt;"",OR(NOT(ISNUMBER($G212)),$G212&lt;=0,$G212&gt;1)),"Peso fuera de rango"&amp;" · ","")&amp;IF(AND($S212="Sub",$G212&lt;&gt;""),"Las subactividades no llevan peso"&amp;" · ","")&amp;IF(AND($S212="Macro",ABS(SUMIFS($G$5:$G$1000,$P$5:$P$1000,$P212,$S$5:$S$1000,"Macro")-1)&gt;0.0001),"Pesos del mes suman "&amp;TEXT(SUMIFS($G$5:$G$1000,$P$5:$P$1000,$P212,$S$5:$S$1000,"Macro"),"0%")&amp;" · ","")&amp;IF(AND(N($T212)&gt;0,COUNT($H212:$K212)&gt;0),"Con subactividades: deje vacías las semanas (se calculan solas)"&amp;" · ","")&amp;IF((COUNTIF($H212:$K212,"&gt;1")+COUNTIF($H212:$K212,"&lt;0")+COUNTA($H212:$K212)-COUNT($H212:$K212))&gt;0,"Avance fuera de rango 0-100%"&amp;" · ","")&amp;IF(OR(AND($I212&lt;&gt;"",$I212&lt;$H212),AND($J212&lt;&gt;"",$J212&lt;MAX($H212:$I212)),AND($K212&lt;&gt;"",$K212&lt;MAX($H212:$J212))),"Avance semanal decreciente"&amp;" · ","")&amp;IF(AND(ISNUMBER($F212),$F212&lt;FechaRef,N($L212)&lt;1),"Vencida"&amp;" · ","")&amp;IF(AND(ObsObligatoria="Sí",ISNUMBER($F212),$F212&lt;FechaRef,N($L212)&lt;1,$N212=""),"Vencida sin observación"&amp;" · ",""))="","✔ OK","⚠ "&amp;LEFT(IF(AND($S212="Macro",$B212=""),"Macroactividad vacía"&amp;" · ","")&amp;IF(AND($B212&lt;&gt;"",$C212&lt;&gt;""),"Escriba la subactividad en otra fila, debajo de su macroactividad"&amp;" · ","")&amp;IF(AND($S212="Sub",N($R212)=0),"Subactividad sin macroactividad arriba"&amp;" · ","")&amp;IF($D212="","Sin responsable"&amp;" · ","")&amp;IF($E212="","Sin fecha de inicio"&amp;" · ","")&amp;IF($F212="","Sin fecha límite"&amp;" · ","")&amp;IF(OR(AND($E212&lt;&gt;"",NOT(ISNUMBER($E212))),AND($F212&lt;&gt;"",NOT(ISNUMBER($F212)))),"Fecha no válida"&amp;" · ","")&amp;IF(AND(ISNUMBER($E212),ISNUMBER($F212),$E212&gt;$F212),"Inicio posterior a fecha límite"&amp;" · ","")&amp;IF(AND($S212="Macro",$G212=""),"Peso vacío"&amp;" · ","")&amp;IF(AND($S212="Macro",$G212&lt;&gt;"",OR(NOT(ISNUMBER($G212)),$G212&lt;=0,$G212&gt;1)),"Peso fuera de rango"&amp;" · ","")&amp;IF(AND($S212="Sub",$G212&lt;&gt;""),"Las subactividades no llevan peso"&amp;" · ","")&amp;IF(AND($S212="Macro",ABS(SUMIFS($G$5:$G$1000,$P$5:$P$1000,$P212,$S$5:$S$1000,"Macro")-1)&gt;0.0001),"Pesos del mes suman "&amp;TEXT(SUMIFS($G$5:$G$1000,$P$5:$P$1000,$P212,$S$5:$S$1000,"Macro"),"0%")&amp;" · ","")&amp;IF(AND(N($T212)&gt;0,COUNT($H212:$K212)&gt;0),"Con subactividades: deje vacías las semanas (se calculan solas)"&amp;" · ","")&amp;IF((COUNTIF($H212:$K212,"&gt;1")+COUNTIF($H212:$K212,"&lt;0")+COUNTA($H212:$K212)-COUNT($H212:$K212))&gt;0,"Avance fuera de rango 0-100%"&amp;" · ","")&amp;IF(OR(AND($I212&lt;&gt;"",$I212&lt;$H212),AND($J212&lt;&gt;"",$J212&lt;MAX($H212:$I212)),AND($K212&lt;&gt;"",$K212&lt;MAX($H212:$J212))),"Avance semanal decreciente"&amp;" · ","")&amp;IF(AND(ISNUMBER($F212),$F212&lt;FechaRef,N($L212)&lt;1),"Vencida"&amp;" · ","")&amp;IF(AND(ObsObligatoria="Sí",ISNUMBER($F212),$F212&lt;FechaRef,N($L212)&lt;1,$N212=""),"Vencida sin observación"&amp;" · ",""),LEN(IF(AND($S212="Macro",$B212=""),"Macroactividad vacía"&amp;" · ","")&amp;IF(AND($B212&lt;&gt;"",$C212&lt;&gt;""),"Escriba la subactividad en otra fila, debajo de su macroactividad"&amp;" · ","")&amp;IF(AND($S212="Sub",N($R212)=0),"Subactividad sin macroactividad arriba"&amp;" · ","")&amp;IF($D212="","Sin responsable"&amp;" · ","")&amp;IF($E212="","Sin fecha de inicio"&amp;" · ","")&amp;IF($F212="","Sin fecha límite"&amp;" · ","")&amp;IF(OR(AND($E212&lt;&gt;"",NOT(ISNUMBER($E212))),AND($F212&lt;&gt;"",NOT(ISNUMBER($F212)))),"Fecha no válida"&amp;" · ","")&amp;IF(AND(ISNUMBER($E212),ISNUMBER($F212),$E212&gt;$F212),"Inicio posterior a fecha límite"&amp;" · ","")&amp;IF(AND($S212="Macro",$G212=""),"Peso vacío"&amp;" · ","")&amp;IF(AND($S212="Macro",$G212&lt;&gt;"",OR(NOT(ISNUMBER($G212)),$G212&lt;=0,$G212&gt;1)),"Peso fuera de rango"&amp;" · ","")&amp;IF(AND($S212="Sub",$G212&lt;&gt;""),"Las subactividades no llevan peso"&amp;" · ","")&amp;IF(AND($S212="Macro",ABS(SUMIFS($G$5:$G$1000,$P$5:$P$1000,$P212,$S$5:$S$1000,"Macro")-1)&gt;0.0001),"Pesos del mes suman "&amp;TEXT(SUMIFS($G$5:$G$1000,$P$5:$P$1000,$P212,$S$5:$S$1000,"Macro"),"0%")&amp;" · ","")&amp;IF(AND(N($T212)&gt;0,COUNT($H212:$K212)&gt;0),"Con subactividades: deje vacías las semanas (se calculan solas)"&amp;" · ","")&amp;IF((COUNTIF($H212:$K212,"&gt;1")+COUNTIF($H212:$K212,"&lt;0")+COUNTA($H212:$K212)-COUNT($H212:$K212))&gt;0,"Avance fuera de rango 0-100%"&amp;" · ","")&amp;IF(OR(AND($I212&lt;&gt;"",$I212&lt;$H212),AND($J212&lt;&gt;"",$J212&lt;MAX($H212:$I212)),AND($K212&lt;&gt;"",$K212&lt;MAX($H212:$J212))),"Avance semanal decreciente"&amp;" · ","")&amp;IF(AND(ISNUMBER($F212),$F212&lt;FechaRef,N($L212)&lt;1),"Vencida"&amp;" · ","")&amp;IF(AND(ObsObligatoria="Sí",ISNUMBER($F212),$F212&lt;FechaRef,N($L212)&lt;1,$N212=""),"Vencida sin observación"&amp;" · ",""))-3)))</f>
        <v/>
      </c>
      <c r="P212" s="69">
        <f>IF(NOT((COUNTA($B212:$K212)+COUNTA($N212))&gt;0),"",IF(AND($S212="Sub",N($R212)&gt;0),IF(ISNUMBER(INDEX($E$5:$E$1000,$R212-4)),DATE(YEAR(INDEX($E$5:$E$1000,$R212-4)),MONTH(INDEX($E$5:$E$1000,$R212-4)),1),IF(ISNUMBER(INDEX($F$5:$F$1000,$R212-4)),DATE(YEAR(INDEX($F$5:$F$1000,$R212-4)),MONTH(INDEX($F$5:$F$1000,$R212-4)),1),MesCiclo)),IF(ISNUMBER($E212),DATE(YEAR($E212),MONTH($E212),1),IF(ISNUMBER($F212),DATE(YEAR($F212),MONTH($F212),1),MesCiclo))))</f>
        <v/>
      </c>
      <c r="Q212" s="70">
        <f>IF(OR($P212="",$P212&lt;&gt;MesCiclo),"",COUNTIF($P$5:$P212,MesCiclo))</f>
        <v/>
      </c>
      <c r="R212" s="70">
        <f>IF($S212="","",IF($S212="Macro",ROW(),IFERROR(LOOKUP(2,1/($S$5:$S212="Macro"),ROW($S$5:$S212)),0)))</f>
        <v/>
      </c>
      <c r="S212" s="70">
        <f>IF(NOT((COUNTA($B212:$K212)+COUNTA($N212))&gt;0),"",IF($B212&lt;&gt;"","Macro",IF($C212&lt;&gt;"","Sub","Macro")))</f>
        <v/>
      </c>
      <c r="T212" s="70">
        <f>IF($S212="Macro",COUNTIFS($R$5:$R$1000,ROW(),$S$5:$S$1000,"Sub"),"")</f>
        <v/>
      </c>
      <c r="U212" s="70">
        <f>IF($S212="","",IF(ISNUMBER($H212),$H212,0))</f>
        <v/>
      </c>
      <c r="V212" s="70">
        <f>IF($S212="","",IF(ISNUMBER($I212),$I212,$U212))</f>
        <v/>
      </c>
      <c r="W212" s="70">
        <f>IF($S212="","",IF(ISNUMBER($J212),$J212,$V212))</f>
        <v/>
      </c>
      <c r="X212" s="70">
        <f>IF($S212="","",IF(ISNUMBER($K212),$K212,$W212))</f>
        <v/>
      </c>
      <c r="Y212" s="70">
        <f>IF($S212="","",IF(N($T212)&gt;0,AVERAGEIFS($U$5:$U$1000,$R$5:$R$1000,ROW(),$S$5:$S$1000,"Sub"),$U212))</f>
        <v/>
      </c>
      <c r="Z212" s="70">
        <f>IF($S212="","",IF(N($T212)&gt;0,AVERAGEIFS($V$5:$V$1000,$R$5:$R$1000,ROW(),$S$5:$S$1000,"Sub"),$V212))</f>
        <v/>
      </c>
      <c r="AA212" s="70">
        <f>IF($S212="","",IF(N($T212)&gt;0,AVERAGEIFS($W$5:$W$1000,$R$5:$R$1000,ROW(),$S$5:$S$1000,"Sub"),$W212))</f>
        <v/>
      </c>
      <c r="AB212" s="70">
        <f>IF($S212="","",IF(N($T212)&gt;0,AVERAGEIFS($X$5:$X$1000,$R$5:$R$1000,ROW(),$S$5:$S$1000,"Sub"),$X212))</f>
        <v/>
      </c>
    </row>
    <row r="213">
      <c r="A213" s="61">
        <f>IF(NOT((COUNTA($B213:$K213)+COUNTA($N213))&gt;0),"",IF($S213="Macro",COUNTIFS($S$5:$S213,"Macro",$P$5:$P213,$P213),IF(N($R213)=0,"?",COUNTIFS(INDEX($S$5:$S$1000,1):INDEX($S$5:$S$1000,$R213-4),"Macro",INDEX($P$5:$P$1000,1):INDEX($P$5:$P$1000,$R213-4),INDEX($P$5:$P$1000,$R213-4))&amp;"."&amp;COUNTIFS($R$5:$R213,$R213,$S$5:$S213,"Sub"))))</f>
        <v/>
      </c>
      <c r="B213" s="62" t="n"/>
      <c r="C213" s="63" t="n"/>
      <c r="D213" s="62" t="n"/>
      <c r="E213" s="64" t="n"/>
      <c r="F213" s="64" t="n"/>
      <c r="G213" s="65" t="n"/>
      <c r="H213" s="66" t="n"/>
      <c r="I213" s="66" t="n"/>
      <c r="J213" s="66" t="n"/>
      <c r="K213" s="66" t="n"/>
      <c r="L213" s="67">
        <f>IF(NOT((COUNTA($B213:$K213)+COUNTA($N213))&gt;0),"",IF(N($T213)&gt;0,$AB213,IFERROR(LOOKUP(2,1/(H213:K213&lt;&gt;""),H213:K213),0)))</f>
        <v/>
      </c>
      <c r="M213" s="61">
        <f>IF(L213="","",IF(L213&gt;=1,"Completado",IF(L213&gt;0,"En curso","Pendiente")))</f>
        <v/>
      </c>
      <c r="N213" s="62" t="n"/>
      <c r="O213" s="68">
        <f>IF(NOT((COUNTA($B213:$K213)+COUNTA($N213))&gt;0),"",IF((IF(AND($S213="Macro",$B213=""),"Macroactividad vacía"&amp;" · ","")&amp;IF(AND($B213&lt;&gt;"",$C213&lt;&gt;""),"Escriba la subactividad en otra fila, debajo de su macroactividad"&amp;" · ","")&amp;IF(AND($S213="Sub",N($R213)=0),"Subactividad sin macroactividad arriba"&amp;" · ","")&amp;IF($D213="","Sin responsable"&amp;" · ","")&amp;IF($E213="","Sin fecha de inicio"&amp;" · ","")&amp;IF($F213="","Sin fecha límite"&amp;" · ","")&amp;IF(OR(AND($E213&lt;&gt;"",NOT(ISNUMBER($E213))),AND($F213&lt;&gt;"",NOT(ISNUMBER($F213)))),"Fecha no válida"&amp;" · ","")&amp;IF(AND(ISNUMBER($E213),ISNUMBER($F213),$E213&gt;$F213),"Inicio posterior a fecha límite"&amp;" · ","")&amp;IF(AND($S213="Macro",$G213=""),"Peso vacío"&amp;" · ","")&amp;IF(AND($S213="Macro",$G213&lt;&gt;"",OR(NOT(ISNUMBER($G213)),$G213&lt;=0,$G213&gt;1)),"Peso fuera de rango"&amp;" · ","")&amp;IF(AND($S213="Sub",$G213&lt;&gt;""),"Las subactividades no llevan peso"&amp;" · ","")&amp;IF(AND($S213="Macro",ABS(SUMIFS($G$5:$G$1000,$P$5:$P$1000,$P213,$S$5:$S$1000,"Macro")-1)&gt;0.0001),"Pesos del mes suman "&amp;TEXT(SUMIFS($G$5:$G$1000,$P$5:$P$1000,$P213,$S$5:$S$1000,"Macro"),"0%")&amp;" · ","")&amp;IF(AND(N($T213)&gt;0,COUNT($H213:$K213)&gt;0),"Con subactividades: deje vacías las semanas (se calculan solas)"&amp;" · ","")&amp;IF((COUNTIF($H213:$K213,"&gt;1")+COUNTIF($H213:$K213,"&lt;0")+COUNTA($H213:$K213)-COUNT($H213:$K213))&gt;0,"Avance fuera de rango 0-100%"&amp;" · ","")&amp;IF(OR(AND($I213&lt;&gt;"",$I213&lt;$H213),AND($J213&lt;&gt;"",$J213&lt;MAX($H213:$I213)),AND($K213&lt;&gt;"",$K213&lt;MAX($H213:$J213))),"Avance semanal decreciente"&amp;" · ","")&amp;IF(AND(ISNUMBER($F213),$F213&lt;FechaRef,N($L213)&lt;1),"Vencida"&amp;" · ","")&amp;IF(AND(ObsObligatoria="Sí",ISNUMBER($F213),$F213&lt;FechaRef,N($L213)&lt;1,$N213=""),"Vencida sin observación"&amp;" · ",""))="","✔ OK","⚠ "&amp;LEFT(IF(AND($S213="Macro",$B213=""),"Macroactividad vacía"&amp;" · ","")&amp;IF(AND($B213&lt;&gt;"",$C213&lt;&gt;""),"Escriba la subactividad en otra fila, debajo de su macroactividad"&amp;" · ","")&amp;IF(AND($S213="Sub",N($R213)=0),"Subactividad sin macroactividad arriba"&amp;" · ","")&amp;IF($D213="","Sin responsable"&amp;" · ","")&amp;IF($E213="","Sin fecha de inicio"&amp;" · ","")&amp;IF($F213="","Sin fecha límite"&amp;" · ","")&amp;IF(OR(AND($E213&lt;&gt;"",NOT(ISNUMBER($E213))),AND($F213&lt;&gt;"",NOT(ISNUMBER($F213)))),"Fecha no válida"&amp;" · ","")&amp;IF(AND(ISNUMBER($E213),ISNUMBER($F213),$E213&gt;$F213),"Inicio posterior a fecha límite"&amp;" · ","")&amp;IF(AND($S213="Macro",$G213=""),"Peso vacío"&amp;" · ","")&amp;IF(AND($S213="Macro",$G213&lt;&gt;"",OR(NOT(ISNUMBER($G213)),$G213&lt;=0,$G213&gt;1)),"Peso fuera de rango"&amp;" · ","")&amp;IF(AND($S213="Sub",$G213&lt;&gt;""),"Las subactividades no llevan peso"&amp;" · ","")&amp;IF(AND($S213="Macro",ABS(SUMIFS($G$5:$G$1000,$P$5:$P$1000,$P213,$S$5:$S$1000,"Macro")-1)&gt;0.0001),"Pesos del mes suman "&amp;TEXT(SUMIFS($G$5:$G$1000,$P$5:$P$1000,$P213,$S$5:$S$1000,"Macro"),"0%")&amp;" · ","")&amp;IF(AND(N($T213)&gt;0,COUNT($H213:$K213)&gt;0),"Con subactividades: deje vacías las semanas (se calculan solas)"&amp;" · ","")&amp;IF((COUNTIF($H213:$K213,"&gt;1")+COUNTIF($H213:$K213,"&lt;0")+COUNTA($H213:$K213)-COUNT($H213:$K213))&gt;0,"Avance fuera de rango 0-100%"&amp;" · ","")&amp;IF(OR(AND($I213&lt;&gt;"",$I213&lt;$H213),AND($J213&lt;&gt;"",$J213&lt;MAX($H213:$I213)),AND($K213&lt;&gt;"",$K213&lt;MAX($H213:$J213))),"Avance semanal decreciente"&amp;" · ","")&amp;IF(AND(ISNUMBER($F213),$F213&lt;FechaRef,N($L213)&lt;1),"Vencida"&amp;" · ","")&amp;IF(AND(ObsObligatoria="Sí",ISNUMBER($F213),$F213&lt;FechaRef,N($L213)&lt;1,$N213=""),"Vencida sin observación"&amp;" · ",""),LEN(IF(AND($S213="Macro",$B213=""),"Macroactividad vacía"&amp;" · ","")&amp;IF(AND($B213&lt;&gt;"",$C213&lt;&gt;""),"Escriba la subactividad en otra fila, debajo de su macroactividad"&amp;" · ","")&amp;IF(AND($S213="Sub",N($R213)=0),"Subactividad sin macroactividad arriba"&amp;" · ","")&amp;IF($D213="","Sin responsable"&amp;" · ","")&amp;IF($E213="","Sin fecha de inicio"&amp;" · ","")&amp;IF($F213="","Sin fecha límite"&amp;" · ","")&amp;IF(OR(AND($E213&lt;&gt;"",NOT(ISNUMBER($E213))),AND($F213&lt;&gt;"",NOT(ISNUMBER($F213)))),"Fecha no válida"&amp;" · ","")&amp;IF(AND(ISNUMBER($E213),ISNUMBER($F213),$E213&gt;$F213),"Inicio posterior a fecha límite"&amp;" · ","")&amp;IF(AND($S213="Macro",$G213=""),"Peso vacío"&amp;" · ","")&amp;IF(AND($S213="Macro",$G213&lt;&gt;"",OR(NOT(ISNUMBER($G213)),$G213&lt;=0,$G213&gt;1)),"Peso fuera de rango"&amp;" · ","")&amp;IF(AND($S213="Sub",$G213&lt;&gt;""),"Las subactividades no llevan peso"&amp;" · ","")&amp;IF(AND($S213="Macro",ABS(SUMIFS($G$5:$G$1000,$P$5:$P$1000,$P213,$S$5:$S$1000,"Macro")-1)&gt;0.0001),"Pesos del mes suman "&amp;TEXT(SUMIFS($G$5:$G$1000,$P$5:$P$1000,$P213,$S$5:$S$1000,"Macro"),"0%")&amp;" · ","")&amp;IF(AND(N($T213)&gt;0,COUNT($H213:$K213)&gt;0),"Con subactividades: deje vacías las semanas (se calculan solas)"&amp;" · ","")&amp;IF((COUNTIF($H213:$K213,"&gt;1")+COUNTIF($H213:$K213,"&lt;0")+COUNTA($H213:$K213)-COUNT($H213:$K213))&gt;0,"Avance fuera de rango 0-100%"&amp;" · ","")&amp;IF(OR(AND($I213&lt;&gt;"",$I213&lt;$H213),AND($J213&lt;&gt;"",$J213&lt;MAX($H213:$I213)),AND($K213&lt;&gt;"",$K213&lt;MAX($H213:$J213))),"Avance semanal decreciente"&amp;" · ","")&amp;IF(AND(ISNUMBER($F213),$F213&lt;FechaRef,N($L213)&lt;1),"Vencida"&amp;" · ","")&amp;IF(AND(ObsObligatoria="Sí",ISNUMBER($F213),$F213&lt;FechaRef,N($L213)&lt;1,$N213=""),"Vencida sin observación"&amp;" · ",""))-3)))</f>
        <v/>
      </c>
      <c r="P213" s="69">
        <f>IF(NOT((COUNTA($B213:$K213)+COUNTA($N213))&gt;0),"",IF(AND($S213="Sub",N($R213)&gt;0),IF(ISNUMBER(INDEX($E$5:$E$1000,$R213-4)),DATE(YEAR(INDEX($E$5:$E$1000,$R213-4)),MONTH(INDEX($E$5:$E$1000,$R213-4)),1),IF(ISNUMBER(INDEX($F$5:$F$1000,$R213-4)),DATE(YEAR(INDEX($F$5:$F$1000,$R213-4)),MONTH(INDEX($F$5:$F$1000,$R213-4)),1),MesCiclo)),IF(ISNUMBER($E213),DATE(YEAR($E213),MONTH($E213),1),IF(ISNUMBER($F213),DATE(YEAR($F213),MONTH($F213),1),MesCiclo))))</f>
        <v/>
      </c>
      <c r="Q213" s="70">
        <f>IF(OR($P213="",$P213&lt;&gt;MesCiclo),"",COUNTIF($P$5:$P213,MesCiclo))</f>
        <v/>
      </c>
      <c r="R213" s="70">
        <f>IF($S213="","",IF($S213="Macro",ROW(),IFERROR(LOOKUP(2,1/($S$5:$S213="Macro"),ROW($S$5:$S213)),0)))</f>
        <v/>
      </c>
      <c r="S213" s="70">
        <f>IF(NOT((COUNTA($B213:$K213)+COUNTA($N213))&gt;0),"",IF($B213&lt;&gt;"","Macro",IF($C213&lt;&gt;"","Sub","Macro")))</f>
        <v/>
      </c>
      <c r="T213" s="70">
        <f>IF($S213="Macro",COUNTIFS($R$5:$R$1000,ROW(),$S$5:$S$1000,"Sub"),"")</f>
        <v/>
      </c>
      <c r="U213" s="70">
        <f>IF($S213="","",IF(ISNUMBER($H213),$H213,0))</f>
        <v/>
      </c>
      <c r="V213" s="70">
        <f>IF($S213="","",IF(ISNUMBER($I213),$I213,$U213))</f>
        <v/>
      </c>
      <c r="W213" s="70">
        <f>IF($S213="","",IF(ISNUMBER($J213),$J213,$V213))</f>
        <v/>
      </c>
      <c r="X213" s="70">
        <f>IF($S213="","",IF(ISNUMBER($K213),$K213,$W213))</f>
        <v/>
      </c>
      <c r="Y213" s="70">
        <f>IF($S213="","",IF(N($T213)&gt;0,AVERAGEIFS($U$5:$U$1000,$R$5:$R$1000,ROW(),$S$5:$S$1000,"Sub"),$U213))</f>
        <v/>
      </c>
      <c r="Z213" s="70">
        <f>IF($S213="","",IF(N($T213)&gt;0,AVERAGEIFS($V$5:$V$1000,$R$5:$R$1000,ROW(),$S$5:$S$1000,"Sub"),$V213))</f>
        <v/>
      </c>
      <c r="AA213" s="70">
        <f>IF($S213="","",IF(N($T213)&gt;0,AVERAGEIFS($W$5:$W$1000,$R$5:$R$1000,ROW(),$S$5:$S$1000,"Sub"),$W213))</f>
        <v/>
      </c>
      <c r="AB213" s="70">
        <f>IF($S213="","",IF(N($T213)&gt;0,AVERAGEIFS($X$5:$X$1000,$R$5:$R$1000,ROW(),$S$5:$S$1000,"Sub"),$X213))</f>
        <v/>
      </c>
    </row>
    <row r="214">
      <c r="A214" s="61">
        <f>IF(NOT((COUNTA($B214:$K214)+COUNTA($N214))&gt;0),"",IF($S214="Macro",COUNTIFS($S$5:$S214,"Macro",$P$5:$P214,$P214),IF(N($R214)=0,"?",COUNTIFS(INDEX($S$5:$S$1000,1):INDEX($S$5:$S$1000,$R214-4),"Macro",INDEX($P$5:$P$1000,1):INDEX($P$5:$P$1000,$R214-4),INDEX($P$5:$P$1000,$R214-4))&amp;"."&amp;COUNTIFS($R$5:$R214,$R214,$S$5:$S214,"Sub"))))</f>
        <v/>
      </c>
      <c r="B214" s="62" t="n"/>
      <c r="C214" s="63" t="n"/>
      <c r="D214" s="62" t="n"/>
      <c r="E214" s="64" t="n"/>
      <c r="F214" s="64" t="n"/>
      <c r="G214" s="65" t="n"/>
      <c r="H214" s="66" t="n"/>
      <c r="I214" s="66" t="n"/>
      <c r="J214" s="66" t="n"/>
      <c r="K214" s="66" t="n"/>
      <c r="L214" s="67">
        <f>IF(NOT((COUNTA($B214:$K214)+COUNTA($N214))&gt;0),"",IF(N($T214)&gt;0,$AB214,IFERROR(LOOKUP(2,1/(H214:K214&lt;&gt;""),H214:K214),0)))</f>
        <v/>
      </c>
      <c r="M214" s="61">
        <f>IF(L214="","",IF(L214&gt;=1,"Completado",IF(L214&gt;0,"En curso","Pendiente")))</f>
        <v/>
      </c>
      <c r="N214" s="62" t="n"/>
      <c r="O214" s="68">
        <f>IF(NOT((COUNTA($B214:$K214)+COUNTA($N214))&gt;0),"",IF((IF(AND($S214="Macro",$B214=""),"Macroactividad vacía"&amp;" · ","")&amp;IF(AND($B214&lt;&gt;"",$C214&lt;&gt;""),"Escriba la subactividad en otra fila, debajo de su macroactividad"&amp;" · ","")&amp;IF(AND($S214="Sub",N($R214)=0),"Subactividad sin macroactividad arriba"&amp;" · ","")&amp;IF($D214="","Sin responsable"&amp;" · ","")&amp;IF($E214="","Sin fecha de inicio"&amp;" · ","")&amp;IF($F214="","Sin fecha límite"&amp;" · ","")&amp;IF(OR(AND($E214&lt;&gt;"",NOT(ISNUMBER($E214))),AND($F214&lt;&gt;"",NOT(ISNUMBER($F214)))),"Fecha no válida"&amp;" · ","")&amp;IF(AND(ISNUMBER($E214),ISNUMBER($F214),$E214&gt;$F214),"Inicio posterior a fecha límite"&amp;" · ","")&amp;IF(AND($S214="Macro",$G214=""),"Peso vacío"&amp;" · ","")&amp;IF(AND($S214="Macro",$G214&lt;&gt;"",OR(NOT(ISNUMBER($G214)),$G214&lt;=0,$G214&gt;1)),"Peso fuera de rango"&amp;" · ","")&amp;IF(AND($S214="Sub",$G214&lt;&gt;""),"Las subactividades no llevan peso"&amp;" · ","")&amp;IF(AND($S214="Macro",ABS(SUMIFS($G$5:$G$1000,$P$5:$P$1000,$P214,$S$5:$S$1000,"Macro")-1)&gt;0.0001),"Pesos del mes suman "&amp;TEXT(SUMIFS($G$5:$G$1000,$P$5:$P$1000,$P214,$S$5:$S$1000,"Macro"),"0%")&amp;" · ","")&amp;IF(AND(N($T214)&gt;0,COUNT($H214:$K214)&gt;0),"Con subactividades: deje vacías las semanas (se calculan solas)"&amp;" · ","")&amp;IF((COUNTIF($H214:$K214,"&gt;1")+COUNTIF($H214:$K214,"&lt;0")+COUNTA($H214:$K214)-COUNT($H214:$K214))&gt;0,"Avance fuera de rango 0-100%"&amp;" · ","")&amp;IF(OR(AND($I214&lt;&gt;"",$I214&lt;$H214),AND($J214&lt;&gt;"",$J214&lt;MAX($H214:$I214)),AND($K214&lt;&gt;"",$K214&lt;MAX($H214:$J214))),"Avance semanal decreciente"&amp;" · ","")&amp;IF(AND(ISNUMBER($F214),$F214&lt;FechaRef,N($L214)&lt;1),"Vencida"&amp;" · ","")&amp;IF(AND(ObsObligatoria="Sí",ISNUMBER($F214),$F214&lt;FechaRef,N($L214)&lt;1,$N214=""),"Vencida sin observación"&amp;" · ",""))="","✔ OK","⚠ "&amp;LEFT(IF(AND($S214="Macro",$B214=""),"Macroactividad vacía"&amp;" · ","")&amp;IF(AND($B214&lt;&gt;"",$C214&lt;&gt;""),"Escriba la subactividad en otra fila, debajo de su macroactividad"&amp;" · ","")&amp;IF(AND($S214="Sub",N($R214)=0),"Subactividad sin macroactividad arriba"&amp;" · ","")&amp;IF($D214="","Sin responsable"&amp;" · ","")&amp;IF($E214="","Sin fecha de inicio"&amp;" · ","")&amp;IF($F214="","Sin fecha límite"&amp;" · ","")&amp;IF(OR(AND($E214&lt;&gt;"",NOT(ISNUMBER($E214))),AND($F214&lt;&gt;"",NOT(ISNUMBER($F214)))),"Fecha no válida"&amp;" · ","")&amp;IF(AND(ISNUMBER($E214),ISNUMBER($F214),$E214&gt;$F214),"Inicio posterior a fecha límite"&amp;" · ","")&amp;IF(AND($S214="Macro",$G214=""),"Peso vacío"&amp;" · ","")&amp;IF(AND($S214="Macro",$G214&lt;&gt;"",OR(NOT(ISNUMBER($G214)),$G214&lt;=0,$G214&gt;1)),"Peso fuera de rango"&amp;" · ","")&amp;IF(AND($S214="Sub",$G214&lt;&gt;""),"Las subactividades no llevan peso"&amp;" · ","")&amp;IF(AND($S214="Macro",ABS(SUMIFS($G$5:$G$1000,$P$5:$P$1000,$P214,$S$5:$S$1000,"Macro")-1)&gt;0.0001),"Pesos del mes suman "&amp;TEXT(SUMIFS($G$5:$G$1000,$P$5:$P$1000,$P214,$S$5:$S$1000,"Macro"),"0%")&amp;" · ","")&amp;IF(AND(N($T214)&gt;0,COUNT($H214:$K214)&gt;0),"Con subactividades: deje vacías las semanas (se calculan solas)"&amp;" · ","")&amp;IF((COUNTIF($H214:$K214,"&gt;1")+COUNTIF($H214:$K214,"&lt;0")+COUNTA($H214:$K214)-COUNT($H214:$K214))&gt;0,"Avance fuera de rango 0-100%"&amp;" · ","")&amp;IF(OR(AND($I214&lt;&gt;"",$I214&lt;$H214),AND($J214&lt;&gt;"",$J214&lt;MAX($H214:$I214)),AND($K214&lt;&gt;"",$K214&lt;MAX($H214:$J214))),"Avance semanal decreciente"&amp;" · ","")&amp;IF(AND(ISNUMBER($F214),$F214&lt;FechaRef,N($L214)&lt;1),"Vencida"&amp;" · ","")&amp;IF(AND(ObsObligatoria="Sí",ISNUMBER($F214),$F214&lt;FechaRef,N($L214)&lt;1,$N214=""),"Vencida sin observación"&amp;" · ",""),LEN(IF(AND($S214="Macro",$B214=""),"Macroactividad vacía"&amp;" · ","")&amp;IF(AND($B214&lt;&gt;"",$C214&lt;&gt;""),"Escriba la subactividad en otra fila, debajo de su macroactividad"&amp;" · ","")&amp;IF(AND($S214="Sub",N($R214)=0),"Subactividad sin macroactividad arriba"&amp;" · ","")&amp;IF($D214="","Sin responsable"&amp;" · ","")&amp;IF($E214="","Sin fecha de inicio"&amp;" · ","")&amp;IF($F214="","Sin fecha límite"&amp;" · ","")&amp;IF(OR(AND($E214&lt;&gt;"",NOT(ISNUMBER($E214))),AND($F214&lt;&gt;"",NOT(ISNUMBER($F214)))),"Fecha no válida"&amp;" · ","")&amp;IF(AND(ISNUMBER($E214),ISNUMBER($F214),$E214&gt;$F214),"Inicio posterior a fecha límite"&amp;" · ","")&amp;IF(AND($S214="Macro",$G214=""),"Peso vacío"&amp;" · ","")&amp;IF(AND($S214="Macro",$G214&lt;&gt;"",OR(NOT(ISNUMBER($G214)),$G214&lt;=0,$G214&gt;1)),"Peso fuera de rango"&amp;" · ","")&amp;IF(AND($S214="Sub",$G214&lt;&gt;""),"Las subactividades no llevan peso"&amp;" · ","")&amp;IF(AND($S214="Macro",ABS(SUMIFS($G$5:$G$1000,$P$5:$P$1000,$P214,$S$5:$S$1000,"Macro")-1)&gt;0.0001),"Pesos del mes suman "&amp;TEXT(SUMIFS($G$5:$G$1000,$P$5:$P$1000,$P214,$S$5:$S$1000,"Macro"),"0%")&amp;" · ","")&amp;IF(AND(N($T214)&gt;0,COUNT($H214:$K214)&gt;0),"Con subactividades: deje vacías las semanas (se calculan solas)"&amp;" · ","")&amp;IF((COUNTIF($H214:$K214,"&gt;1")+COUNTIF($H214:$K214,"&lt;0")+COUNTA($H214:$K214)-COUNT($H214:$K214))&gt;0,"Avance fuera de rango 0-100%"&amp;" · ","")&amp;IF(OR(AND($I214&lt;&gt;"",$I214&lt;$H214),AND($J214&lt;&gt;"",$J214&lt;MAX($H214:$I214)),AND($K214&lt;&gt;"",$K214&lt;MAX($H214:$J214))),"Avance semanal decreciente"&amp;" · ","")&amp;IF(AND(ISNUMBER($F214),$F214&lt;FechaRef,N($L214)&lt;1),"Vencida"&amp;" · ","")&amp;IF(AND(ObsObligatoria="Sí",ISNUMBER($F214),$F214&lt;FechaRef,N($L214)&lt;1,$N214=""),"Vencida sin observación"&amp;" · ",""))-3)))</f>
        <v/>
      </c>
      <c r="P214" s="69">
        <f>IF(NOT((COUNTA($B214:$K214)+COUNTA($N214))&gt;0),"",IF(AND($S214="Sub",N($R214)&gt;0),IF(ISNUMBER(INDEX($E$5:$E$1000,$R214-4)),DATE(YEAR(INDEX($E$5:$E$1000,$R214-4)),MONTH(INDEX($E$5:$E$1000,$R214-4)),1),IF(ISNUMBER(INDEX($F$5:$F$1000,$R214-4)),DATE(YEAR(INDEX($F$5:$F$1000,$R214-4)),MONTH(INDEX($F$5:$F$1000,$R214-4)),1),MesCiclo)),IF(ISNUMBER($E214),DATE(YEAR($E214),MONTH($E214),1),IF(ISNUMBER($F214),DATE(YEAR($F214),MONTH($F214),1),MesCiclo))))</f>
        <v/>
      </c>
      <c r="Q214" s="70">
        <f>IF(OR($P214="",$P214&lt;&gt;MesCiclo),"",COUNTIF($P$5:$P214,MesCiclo))</f>
        <v/>
      </c>
      <c r="R214" s="70">
        <f>IF($S214="","",IF($S214="Macro",ROW(),IFERROR(LOOKUP(2,1/($S$5:$S214="Macro"),ROW($S$5:$S214)),0)))</f>
        <v/>
      </c>
      <c r="S214" s="70">
        <f>IF(NOT((COUNTA($B214:$K214)+COUNTA($N214))&gt;0),"",IF($B214&lt;&gt;"","Macro",IF($C214&lt;&gt;"","Sub","Macro")))</f>
        <v/>
      </c>
      <c r="T214" s="70">
        <f>IF($S214="Macro",COUNTIFS($R$5:$R$1000,ROW(),$S$5:$S$1000,"Sub"),"")</f>
        <v/>
      </c>
      <c r="U214" s="70">
        <f>IF($S214="","",IF(ISNUMBER($H214),$H214,0))</f>
        <v/>
      </c>
      <c r="V214" s="70">
        <f>IF($S214="","",IF(ISNUMBER($I214),$I214,$U214))</f>
        <v/>
      </c>
      <c r="W214" s="70">
        <f>IF($S214="","",IF(ISNUMBER($J214),$J214,$V214))</f>
        <v/>
      </c>
      <c r="X214" s="70">
        <f>IF($S214="","",IF(ISNUMBER($K214),$K214,$W214))</f>
        <v/>
      </c>
      <c r="Y214" s="70">
        <f>IF($S214="","",IF(N($T214)&gt;0,AVERAGEIFS($U$5:$U$1000,$R$5:$R$1000,ROW(),$S$5:$S$1000,"Sub"),$U214))</f>
        <v/>
      </c>
      <c r="Z214" s="70">
        <f>IF($S214="","",IF(N($T214)&gt;0,AVERAGEIFS($V$5:$V$1000,$R$5:$R$1000,ROW(),$S$5:$S$1000,"Sub"),$V214))</f>
        <v/>
      </c>
      <c r="AA214" s="70">
        <f>IF($S214="","",IF(N($T214)&gt;0,AVERAGEIFS($W$5:$W$1000,$R$5:$R$1000,ROW(),$S$5:$S$1000,"Sub"),$W214))</f>
        <v/>
      </c>
      <c r="AB214" s="70">
        <f>IF($S214="","",IF(N($T214)&gt;0,AVERAGEIFS($X$5:$X$1000,$R$5:$R$1000,ROW(),$S$5:$S$1000,"Sub"),$X214))</f>
        <v/>
      </c>
    </row>
    <row r="215">
      <c r="A215" s="61">
        <f>IF(NOT((COUNTA($B215:$K215)+COUNTA($N215))&gt;0),"",IF($S215="Macro",COUNTIFS($S$5:$S215,"Macro",$P$5:$P215,$P215),IF(N($R215)=0,"?",COUNTIFS(INDEX($S$5:$S$1000,1):INDEX($S$5:$S$1000,$R215-4),"Macro",INDEX($P$5:$P$1000,1):INDEX($P$5:$P$1000,$R215-4),INDEX($P$5:$P$1000,$R215-4))&amp;"."&amp;COUNTIFS($R$5:$R215,$R215,$S$5:$S215,"Sub"))))</f>
        <v/>
      </c>
      <c r="B215" s="62" t="n"/>
      <c r="C215" s="63" t="n"/>
      <c r="D215" s="62" t="n"/>
      <c r="E215" s="64" t="n"/>
      <c r="F215" s="64" t="n"/>
      <c r="G215" s="65" t="n"/>
      <c r="H215" s="66" t="n"/>
      <c r="I215" s="66" t="n"/>
      <c r="J215" s="66" t="n"/>
      <c r="K215" s="66" t="n"/>
      <c r="L215" s="67">
        <f>IF(NOT((COUNTA($B215:$K215)+COUNTA($N215))&gt;0),"",IF(N($T215)&gt;0,$AB215,IFERROR(LOOKUP(2,1/(H215:K215&lt;&gt;""),H215:K215),0)))</f>
        <v/>
      </c>
      <c r="M215" s="61">
        <f>IF(L215="","",IF(L215&gt;=1,"Completado",IF(L215&gt;0,"En curso","Pendiente")))</f>
        <v/>
      </c>
      <c r="N215" s="62" t="n"/>
      <c r="O215" s="68">
        <f>IF(NOT((COUNTA($B215:$K215)+COUNTA($N215))&gt;0),"",IF((IF(AND($S215="Macro",$B215=""),"Macroactividad vacía"&amp;" · ","")&amp;IF(AND($B215&lt;&gt;"",$C215&lt;&gt;""),"Escriba la subactividad en otra fila, debajo de su macroactividad"&amp;" · ","")&amp;IF(AND($S215="Sub",N($R215)=0),"Subactividad sin macroactividad arriba"&amp;" · ","")&amp;IF($D215="","Sin responsable"&amp;" · ","")&amp;IF($E215="","Sin fecha de inicio"&amp;" · ","")&amp;IF($F215="","Sin fecha límite"&amp;" · ","")&amp;IF(OR(AND($E215&lt;&gt;"",NOT(ISNUMBER($E215))),AND($F215&lt;&gt;"",NOT(ISNUMBER($F215)))),"Fecha no válida"&amp;" · ","")&amp;IF(AND(ISNUMBER($E215),ISNUMBER($F215),$E215&gt;$F215),"Inicio posterior a fecha límite"&amp;" · ","")&amp;IF(AND($S215="Macro",$G215=""),"Peso vacío"&amp;" · ","")&amp;IF(AND($S215="Macro",$G215&lt;&gt;"",OR(NOT(ISNUMBER($G215)),$G215&lt;=0,$G215&gt;1)),"Peso fuera de rango"&amp;" · ","")&amp;IF(AND($S215="Sub",$G215&lt;&gt;""),"Las subactividades no llevan peso"&amp;" · ","")&amp;IF(AND($S215="Macro",ABS(SUMIFS($G$5:$G$1000,$P$5:$P$1000,$P215,$S$5:$S$1000,"Macro")-1)&gt;0.0001),"Pesos del mes suman "&amp;TEXT(SUMIFS($G$5:$G$1000,$P$5:$P$1000,$P215,$S$5:$S$1000,"Macro"),"0%")&amp;" · ","")&amp;IF(AND(N($T215)&gt;0,COUNT($H215:$K215)&gt;0),"Con subactividades: deje vacías las semanas (se calculan solas)"&amp;" · ","")&amp;IF((COUNTIF($H215:$K215,"&gt;1")+COUNTIF($H215:$K215,"&lt;0")+COUNTA($H215:$K215)-COUNT($H215:$K215))&gt;0,"Avance fuera de rango 0-100%"&amp;" · ","")&amp;IF(OR(AND($I215&lt;&gt;"",$I215&lt;$H215),AND($J215&lt;&gt;"",$J215&lt;MAX($H215:$I215)),AND($K215&lt;&gt;"",$K215&lt;MAX($H215:$J215))),"Avance semanal decreciente"&amp;" · ","")&amp;IF(AND(ISNUMBER($F215),$F215&lt;FechaRef,N($L215)&lt;1),"Vencida"&amp;" · ","")&amp;IF(AND(ObsObligatoria="Sí",ISNUMBER($F215),$F215&lt;FechaRef,N($L215)&lt;1,$N215=""),"Vencida sin observación"&amp;" · ",""))="","✔ OK","⚠ "&amp;LEFT(IF(AND($S215="Macro",$B215=""),"Macroactividad vacía"&amp;" · ","")&amp;IF(AND($B215&lt;&gt;"",$C215&lt;&gt;""),"Escriba la subactividad en otra fila, debajo de su macroactividad"&amp;" · ","")&amp;IF(AND($S215="Sub",N($R215)=0),"Subactividad sin macroactividad arriba"&amp;" · ","")&amp;IF($D215="","Sin responsable"&amp;" · ","")&amp;IF($E215="","Sin fecha de inicio"&amp;" · ","")&amp;IF($F215="","Sin fecha límite"&amp;" · ","")&amp;IF(OR(AND($E215&lt;&gt;"",NOT(ISNUMBER($E215))),AND($F215&lt;&gt;"",NOT(ISNUMBER($F215)))),"Fecha no válida"&amp;" · ","")&amp;IF(AND(ISNUMBER($E215),ISNUMBER($F215),$E215&gt;$F215),"Inicio posterior a fecha límite"&amp;" · ","")&amp;IF(AND($S215="Macro",$G215=""),"Peso vacío"&amp;" · ","")&amp;IF(AND($S215="Macro",$G215&lt;&gt;"",OR(NOT(ISNUMBER($G215)),$G215&lt;=0,$G215&gt;1)),"Peso fuera de rango"&amp;" · ","")&amp;IF(AND($S215="Sub",$G215&lt;&gt;""),"Las subactividades no llevan peso"&amp;" · ","")&amp;IF(AND($S215="Macro",ABS(SUMIFS($G$5:$G$1000,$P$5:$P$1000,$P215,$S$5:$S$1000,"Macro")-1)&gt;0.0001),"Pesos del mes suman "&amp;TEXT(SUMIFS($G$5:$G$1000,$P$5:$P$1000,$P215,$S$5:$S$1000,"Macro"),"0%")&amp;" · ","")&amp;IF(AND(N($T215)&gt;0,COUNT($H215:$K215)&gt;0),"Con subactividades: deje vacías las semanas (se calculan solas)"&amp;" · ","")&amp;IF((COUNTIF($H215:$K215,"&gt;1")+COUNTIF($H215:$K215,"&lt;0")+COUNTA($H215:$K215)-COUNT($H215:$K215))&gt;0,"Avance fuera de rango 0-100%"&amp;" · ","")&amp;IF(OR(AND($I215&lt;&gt;"",$I215&lt;$H215),AND($J215&lt;&gt;"",$J215&lt;MAX($H215:$I215)),AND($K215&lt;&gt;"",$K215&lt;MAX($H215:$J215))),"Avance semanal decreciente"&amp;" · ","")&amp;IF(AND(ISNUMBER($F215),$F215&lt;FechaRef,N($L215)&lt;1),"Vencida"&amp;" · ","")&amp;IF(AND(ObsObligatoria="Sí",ISNUMBER($F215),$F215&lt;FechaRef,N($L215)&lt;1,$N215=""),"Vencida sin observación"&amp;" · ",""),LEN(IF(AND($S215="Macro",$B215=""),"Macroactividad vacía"&amp;" · ","")&amp;IF(AND($B215&lt;&gt;"",$C215&lt;&gt;""),"Escriba la subactividad en otra fila, debajo de su macroactividad"&amp;" · ","")&amp;IF(AND($S215="Sub",N($R215)=0),"Subactividad sin macroactividad arriba"&amp;" · ","")&amp;IF($D215="","Sin responsable"&amp;" · ","")&amp;IF($E215="","Sin fecha de inicio"&amp;" · ","")&amp;IF($F215="","Sin fecha límite"&amp;" · ","")&amp;IF(OR(AND($E215&lt;&gt;"",NOT(ISNUMBER($E215))),AND($F215&lt;&gt;"",NOT(ISNUMBER($F215)))),"Fecha no válida"&amp;" · ","")&amp;IF(AND(ISNUMBER($E215),ISNUMBER($F215),$E215&gt;$F215),"Inicio posterior a fecha límite"&amp;" · ","")&amp;IF(AND($S215="Macro",$G215=""),"Peso vacío"&amp;" · ","")&amp;IF(AND($S215="Macro",$G215&lt;&gt;"",OR(NOT(ISNUMBER($G215)),$G215&lt;=0,$G215&gt;1)),"Peso fuera de rango"&amp;" · ","")&amp;IF(AND($S215="Sub",$G215&lt;&gt;""),"Las subactividades no llevan peso"&amp;" · ","")&amp;IF(AND($S215="Macro",ABS(SUMIFS($G$5:$G$1000,$P$5:$P$1000,$P215,$S$5:$S$1000,"Macro")-1)&gt;0.0001),"Pesos del mes suman "&amp;TEXT(SUMIFS($G$5:$G$1000,$P$5:$P$1000,$P215,$S$5:$S$1000,"Macro"),"0%")&amp;" · ","")&amp;IF(AND(N($T215)&gt;0,COUNT($H215:$K215)&gt;0),"Con subactividades: deje vacías las semanas (se calculan solas)"&amp;" · ","")&amp;IF((COUNTIF($H215:$K215,"&gt;1")+COUNTIF($H215:$K215,"&lt;0")+COUNTA($H215:$K215)-COUNT($H215:$K215))&gt;0,"Avance fuera de rango 0-100%"&amp;" · ","")&amp;IF(OR(AND($I215&lt;&gt;"",$I215&lt;$H215),AND($J215&lt;&gt;"",$J215&lt;MAX($H215:$I215)),AND($K215&lt;&gt;"",$K215&lt;MAX($H215:$J215))),"Avance semanal decreciente"&amp;" · ","")&amp;IF(AND(ISNUMBER($F215),$F215&lt;FechaRef,N($L215)&lt;1),"Vencida"&amp;" · ","")&amp;IF(AND(ObsObligatoria="Sí",ISNUMBER($F215),$F215&lt;FechaRef,N($L215)&lt;1,$N215=""),"Vencida sin observación"&amp;" · ",""))-3)))</f>
        <v/>
      </c>
      <c r="P215" s="69">
        <f>IF(NOT((COUNTA($B215:$K215)+COUNTA($N215))&gt;0),"",IF(AND($S215="Sub",N($R215)&gt;0),IF(ISNUMBER(INDEX($E$5:$E$1000,$R215-4)),DATE(YEAR(INDEX($E$5:$E$1000,$R215-4)),MONTH(INDEX($E$5:$E$1000,$R215-4)),1),IF(ISNUMBER(INDEX($F$5:$F$1000,$R215-4)),DATE(YEAR(INDEX($F$5:$F$1000,$R215-4)),MONTH(INDEX($F$5:$F$1000,$R215-4)),1),MesCiclo)),IF(ISNUMBER($E215),DATE(YEAR($E215),MONTH($E215),1),IF(ISNUMBER($F215),DATE(YEAR($F215),MONTH($F215),1),MesCiclo))))</f>
        <v/>
      </c>
      <c r="Q215" s="70">
        <f>IF(OR($P215="",$P215&lt;&gt;MesCiclo),"",COUNTIF($P$5:$P215,MesCiclo))</f>
        <v/>
      </c>
      <c r="R215" s="70">
        <f>IF($S215="","",IF($S215="Macro",ROW(),IFERROR(LOOKUP(2,1/($S$5:$S215="Macro"),ROW($S$5:$S215)),0)))</f>
        <v/>
      </c>
      <c r="S215" s="70">
        <f>IF(NOT((COUNTA($B215:$K215)+COUNTA($N215))&gt;0),"",IF($B215&lt;&gt;"","Macro",IF($C215&lt;&gt;"","Sub","Macro")))</f>
        <v/>
      </c>
      <c r="T215" s="70">
        <f>IF($S215="Macro",COUNTIFS($R$5:$R$1000,ROW(),$S$5:$S$1000,"Sub"),"")</f>
        <v/>
      </c>
      <c r="U215" s="70">
        <f>IF($S215="","",IF(ISNUMBER($H215),$H215,0))</f>
        <v/>
      </c>
      <c r="V215" s="70">
        <f>IF($S215="","",IF(ISNUMBER($I215),$I215,$U215))</f>
        <v/>
      </c>
      <c r="W215" s="70">
        <f>IF($S215="","",IF(ISNUMBER($J215),$J215,$V215))</f>
        <v/>
      </c>
      <c r="X215" s="70">
        <f>IF($S215="","",IF(ISNUMBER($K215),$K215,$W215))</f>
        <v/>
      </c>
      <c r="Y215" s="70">
        <f>IF($S215="","",IF(N($T215)&gt;0,AVERAGEIFS($U$5:$U$1000,$R$5:$R$1000,ROW(),$S$5:$S$1000,"Sub"),$U215))</f>
        <v/>
      </c>
      <c r="Z215" s="70">
        <f>IF($S215="","",IF(N($T215)&gt;0,AVERAGEIFS($V$5:$V$1000,$R$5:$R$1000,ROW(),$S$5:$S$1000,"Sub"),$V215))</f>
        <v/>
      </c>
      <c r="AA215" s="70">
        <f>IF($S215="","",IF(N($T215)&gt;0,AVERAGEIFS($W$5:$W$1000,$R$5:$R$1000,ROW(),$S$5:$S$1000,"Sub"),$W215))</f>
        <v/>
      </c>
      <c r="AB215" s="70">
        <f>IF($S215="","",IF(N($T215)&gt;0,AVERAGEIFS($X$5:$X$1000,$R$5:$R$1000,ROW(),$S$5:$S$1000,"Sub"),$X215))</f>
        <v/>
      </c>
    </row>
    <row r="216">
      <c r="A216" s="61">
        <f>IF(NOT((COUNTA($B216:$K216)+COUNTA($N216))&gt;0),"",IF($S216="Macro",COUNTIFS($S$5:$S216,"Macro",$P$5:$P216,$P216),IF(N($R216)=0,"?",COUNTIFS(INDEX($S$5:$S$1000,1):INDEX($S$5:$S$1000,$R216-4),"Macro",INDEX($P$5:$P$1000,1):INDEX($P$5:$P$1000,$R216-4),INDEX($P$5:$P$1000,$R216-4))&amp;"."&amp;COUNTIFS($R$5:$R216,$R216,$S$5:$S216,"Sub"))))</f>
        <v/>
      </c>
      <c r="B216" s="62" t="n"/>
      <c r="C216" s="63" t="n"/>
      <c r="D216" s="62" t="n"/>
      <c r="E216" s="64" t="n"/>
      <c r="F216" s="64" t="n"/>
      <c r="G216" s="65" t="n"/>
      <c r="H216" s="66" t="n"/>
      <c r="I216" s="66" t="n"/>
      <c r="J216" s="66" t="n"/>
      <c r="K216" s="66" t="n"/>
      <c r="L216" s="67">
        <f>IF(NOT((COUNTA($B216:$K216)+COUNTA($N216))&gt;0),"",IF(N($T216)&gt;0,$AB216,IFERROR(LOOKUP(2,1/(H216:K216&lt;&gt;""),H216:K216),0)))</f>
        <v/>
      </c>
      <c r="M216" s="61">
        <f>IF(L216="","",IF(L216&gt;=1,"Completado",IF(L216&gt;0,"En curso","Pendiente")))</f>
        <v/>
      </c>
      <c r="N216" s="62" t="n"/>
      <c r="O216" s="68">
        <f>IF(NOT((COUNTA($B216:$K216)+COUNTA($N216))&gt;0),"",IF((IF(AND($S216="Macro",$B216=""),"Macroactividad vacía"&amp;" · ","")&amp;IF(AND($B216&lt;&gt;"",$C216&lt;&gt;""),"Escriba la subactividad en otra fila, debajo de su macroactividad"&amp;" · ","")&amp;IF(AND($S216="Sub",N($R216)=0),"Subactividad sin macroactividad arriba"&amp;" · ","")&amp;IF($D216="","Sin responsable"&amp;" · ","")&amp;IF($E216="","Sin fecha de inicio"&amp;" · ","")&amp;IF($F216="","Sin fecha límite"&amp;" · ","")&amp;IF(OR(AND($E216&lt;&gt;"",NOT(ISNUMBER($E216))),AND($F216&lt;&gt;"",NOT(ISNUMBER($F216)))),"Fecha no válida"&amp;" · ","")&amp;IF(AND(ISNUMBER($E216),ISNUMBER($F216),$E216&gt;$F216),"Inicio posterior a fecha límite"&amp;" · ","")&amp;IF(AND($S216="Macro",$G216=""),"Peso vacío"&amp;" · ","")&amp;IF(AND($S216="Macro",$G216&lt;&gt;"",OR(NOT(ISNUMBER($G216)),$G216&lt;=0,$G216&gt;1)),"Peso fuera de rango"&amp;" · ","")&amp;IF(AND($S216="Sub",$G216&lt;&gt;""),"Las subactividades no llevan peso"&amp;" · ","")&amp;IF(AND($S216="Macro",ABS(SUMIFS($G$5:$G$1000,$P$5:$P$1000,$P216,$S$5:$S$1000,"Macro")-1)&gt;0.0001),"Pesos del mes suman "&amp;TEXT(SUMIFS($G$5:$G$1000,$P$5:$P$1000,$P216,$S$5:$S$1000,"Macro"),"0%")&amp;" · ","")&amp;IF(AND(N($T216)&gt;0,COUNT($H216:$K216)&gt;0),"Con subactividades: deje vacías las semanas (se calculan solas)"&amp;" · ","")&amp;IF((COUNTIF($H216:$K216,"&gt;1")+COUNTIF($H216:$K216,"&lt;0")+COUNTA($H216:$K216)-COUNT($H216:$K216))&gt;0,"Avance fuera de rango 0-100%"&amp;" · ","")&amp;IF(OR(AND($I216&lt;&gt;"",$I216&lt;$H216),AND($J216&lt;&gt;"",$J216&lt;MAX($H216:$I216)),AND($K216&lt;&gt;"",$K216&lt;MAX($H216:$J216))),"Avance semanal decreciente"&amp;" · ","")&amp;IF(AND(ISNUMBER($F216),$F216&lt;FechaRef,N($L216)&lt;1),"Vencida"&amp;" · ","")&amp;IF(AND(ObsObligatoria="Sí",ISNUMBER($F216),$F216&lt;FechaRef,N($L216)&lt;1,$N216=""),"Vencida sin observación"&amp;" · ",""))="","✔ OK","⚠ "&amp;LEFT(IF(AND($S216="Macro",$B216=""),"Macroactividad vacía"&amp;" · ","")&amp;IF(AND($B216&lt;&gt;"",$C216&lt;&gt;""),"Escriba la subactividad en otra fila, debajo de su macroactividad"&amp;" · ","")&amp;IF(AND($S216="Sub",N($R216)=0),"Subactividad sin macroactividad arriba"&amp;" · ","")&amp;IF($D216="","Sin responsable"&amp;" · ","")&amp;IF($E216="","Sin fecha de inicio"&amp;" · ","")&amp;IF($F216="","Sin fecha límite"&amp;" · ","")&amp;IF(OR(AND($E216&lt;&gt;"",NOT(ISNUMBER($E216))),AND($F216&lt;&gt;"",NOT(ISNUMBER($F216)))),"Fecha no válida"&amp;" · ","")&amp;IF(AND(ISNUMBER($E216),ISNUMBER($F216),$E216&gt;$F216),"Inicio posterior a fecha límite"&amp;" · ","")&amp;IF(AND($S216="Macro",$G216=""),"Peso vacío"&amp;" · ","")&amp;IF(AND($S216="Macro",$G216&lt;&gt;"",OR(NOT(ISNUMBER($G216)),$G216&lt;=0,$G216&gt;1)),"Peso fuera de rango"&amp;" · ","")&amp;IF(AND($S216="Sub",$G216&lt;&gt;""),"Las subactividades no llevan peso"&amp;" · ","")&amp;IF(AND($S216="Macro",ABS(SUMIFS($G$5:$G$1000,$P$5:$P$1000,$P216,$S$5:$S$1000,"Macro")-1)&gt;0.0001),"Pesos del mes suman "&amp;TEXT(SUMIFS($G$5:$G$1000,$P$5:$P$1000,$P216,$S$5:$S$1000,"Macro"),"0%")&amp;" · ","")&amp;IF(AND(N($T216)&gt;0,COUNT($H216:$K216)&gt;0),"Con subactividades: deje vacías las semanas (se calculan solas)"&amp;" · ","")&amp;IF((COUNTIF($H216:$K216,"&gt;1")+COUNTIF($H216:$K216,"&lt;0")+COUNTA($H216:$K216)-COUNT($H216:$K216))&gt;0,"Avance fuera de rango 0-100%"&amp;" · ","")&amp;IF(OR(AND($I216&lt;&gt;"",$I216&lt;$H216),AND($J216&lt;&gt;"",$J216&lt;MAX($H216:$I216)),AND($K216&lt;&gt;"",$K216&lt;MAX($H216:$J216))),"Avance semanal decreciente"&amp;" · ","")&amp;IF(AND(ISNUMBER($F216),$F216&lt;FechaRef,N($L216)&lt;1),"Vencida"&amp;" · ","")&amp;IF(AND(ObsObligatoria="Sí",ISNUMBER($F216),$F216&lt;FechaRef,N($L216)&lt;1,$N216=""),"Vencida sin observación"&amp;" · ",""),LEN(IF(AND($S216="Macro",$B216=""),"Macroactividad vacía"&amp;" · ","")&amp;IF(AND($B216&lt;&gt;"",$C216&lt;&gt;""),"Escriba la subactividad en otra fila, debajo de su macroactividad"&amp;" · ","")&amp;IF(AND($S216="Sub",N($R216)=0),"Subactividad sin macroactividad arriba"&amp;" · ","")&amp;IF($D216="","Sin responsable"&amp;" · ","")&amp;IF($E216="","Sin fecha de inicio"&amp;" · ","")&amp;IF($F216="","Sin fecha límite"&amp;" · ","")&amp;IF(OR(AND($E216&lt;&gt;"",NOT(ISNUMBER($E216))),AND($F216&lt;&gt;"",NOT(ISNUMBER($F216)))),"Fecha no válida"&amp;" · ","")&amp;IF(AND(ISNUMBER($E216),ISNUMBER($F216),$E216&gt;$F216),"Inicio posterior a fecha límite"&amp;" · ","")&amp;IF(AND($S216="Macro",$G216=""),"Peso vacío"&amp;" · ","")&amp;IF(AND($S216="Macro",$G216&lt;&gt;"",OR(NOT(ISNUMBER($G216)),$G216&lt;=0,$G216&gt;1)),"Peso fuera de rango"&amp;" · ","")&amp;IF(AND($S216="Sub",$G216&lt;&gt;""),"Las subactividades no llevan peso"&amp;" · ","")&amp;IF(AND($S216="Macro",ABS(SUMIFS($G$5:$G$1000,$P$5:$P$1000,$P216,$S$5:$S$1000,"Macro")-1)&gt;0.0001),"Pesos del mes suman "&amp;TEXT(SUMIFS($G$5:$G$1000,$P$5:$P$1000,$P216,$S$5:$S$1000,"Macro"),"0%")&amp;" · ","")&amp;IF(AND(N($T216)&gt;0,COUNT($H216:$K216)&gt;0),"Con subactividades: deje vacías las semanas (se calculan solas)"&amp;" · ","")&amp;IF((COUNTIF($H216:$K216,"&gt;1")+COUNTIF($H216:$K216,"&lt;0")+COUNTA($H216:$K216)-COUNT($H216:$K216))&gt;0,"Avance fuera de rango 0-100%"&amp;" · ","")&amp;IF(OR(AND($I216&lt;&gt;"",$I216&lt;$H216),AND($J216&lt;&gt;"",$J216&lt;MAX($H216:$I216)),AND($K216&lt;&gt;"",$K216&lt;MAX($H216:$J216))),"Avance semanal decreciente"&amp;" · ","")&amp;IF(AND(ISNUMBER($F216),$F216&lt;FechaRef,N($L216)&lt;1),"Vencida"&amp;" · ","")&amp;IF(AND(ObsObligatoria="Sí",ISNUMBER($F216),$F216&lt;FechaRef,N($L216)&lt;1,$N216=""),"Vencida sin observación"&amp;" · ",""))-3)))</f>
        <v/>
      </c>
      <c r="P216" s="69">
        <f>IF(NOT((COUNTA($B216:$K216)+COUNTA($N216))&gt;0),"",IF(AND($S216="Sub",N($R216)&gt;0),IF(ISNUMBER(INDEX($E$5:$E$1000,$R216-4)),DATE(YEAR(INDEX($E$5:$E$1000,$R216-4)),MONTH(INDEX($E$5:$E$1000,$R216-4)),1),IF(ISNUMBER(INDEX($F$5:$F$1000,$R216-4)),DATE(YEAR(INDEX($F$5:$F$1000,$R216-4)),MONTH(INDEX($F$5:$F$1000,$R216-4)),1),MesCiclo)),IF(ISNUMBER($E216),DATE(YEAR($E216),MONTH($E216),1),IF(ISNUMBER($F216),DATE(YEAR($F216),MONTH($F216),1),MesCiclo))))</f>
        <v/>
      </c>
      <c r="Q216" s="70">
        <f>IF(OR($P216="",$P216&lt;&gt;MesCiclo),"",COUNTIF($P$5:$P216,MesCiclo))</f>
        <v/>
      </c>
      <c r="R216" s="70">
        <f>IF($S216="","",IF($S216="Macro",ROW(),IFERROR(LOOKUP(2,1/($S$5:$S216="Macro"),ROW($S$5:$S216)),0)))</f>
        <v/>
      </c>
      <c r="S216" s="70">
        <f>IF(NOT((COUNTA($B216:$K216)+COUNTA($N216))&gt;0),"",IF($B216&lt;&gt;"","Macro",IF($C216&lt;&gt;"","Sub","Macro")))</f>
        <v/>
      </c>
      <c r="T216" s="70">
        <f>IF($S216="Macro",COUNTIFS($R$5:$R$1000,ROW(),$S$5:$S$1000,"Sub"),"")</f>
        <v/>
      </c>
      <c r="U216" s="70">
        <f>IF($S216="","",IF(ISNUMBER($H216),$H216,0))</f>
        <v/>
      </c>
      <c r="V216" s="70">
        <f>IF($S216="","",IF(ISNUMBER($I216),$I216,$U216))</f>
        <v/>
      </c>
      <c r="W216" s="70">
        <f>IF($S216="","",IF(ISNUMBER($J216),$J216,$V216))</f>
        <v/>
      </c>
      <c r="X216" s="70">
        <f>IF($S216="","",IF(ISNUMBER($K216),$K216,$W216))</f>
        <v/>
      </c>
      <c r="Y216" s="70">
        <f>IF($S216="","",IF(N($T216)&gt;0,AVERAGEIFS($U$5:$U$1000,$R$5:$R$1000,ROW(),$S$5:$S$1000,"Sub"),$U216))</f>
        <v/>
      </c>
      <c r="Z216" s="70">
        <f>IF($S216="","",IF(N($T216)&gt;0,AVERAGEIFS($V$5:$V$1000,$R$5:$R$1000,ROW(),$S$5:$S$1000,"Sub"),$V216))</f>
        <v/>
      </c>
      <c r="AA216" s="70">
        <f>IF($S216="","",IF(N($T216)&gt;0,AVERAGEIFS($W$5:$W$1000,$R$5:$R$1000,ROW(),$S$5:$S$1000,"Sub"),$W216))</f>
        <v/>
      </c>
      <c r="AB216" s="70">
        <f>IF($S216="","",IF(N($T216)&gt;0,AVERAGEIFS($X$5:$X$1000,$R$5:$R$1000,ROW(),$S$5:$S$1000,"Sub"),$X216))</f>
        <v/>
      </c>
    </row>
    <row r="217">
      <c r="A217" s="61">
        <f>IF(NOT((COUNTA($B217:$K217)+COUNTA($N217))&gt;0),"",IF($S217="Macro",COUNTIFS($S$5:$S217,"Macro",$P$5:$P217,$P217),IF(N($R217)=0,"?",COUNTIFS(INDEX($S$5:$S$1000,1):INDEX($S$5:$S$1000,$R217-4),"Macro",INDEX($P$5:$P$1000,1):INDEX($P$5:$P$1000,$R217-4),INDEX($P$5:$P$1000,$R217-4))&amp;"."&amp;COUNTIFS($R$5:$R217,$R217,$S$5:$S217,"Sub"))))</f>
        <v/>
      </c>
      <c r="B217" s="62" t="n"/>
      <c r="C217" s="63" t="n"/>
      <c r="D217" s="62" t="n"/>
      <c r="E217" s="64" t="n"/>
      <c r="F217" s="64" t="n"/>
      <c r="G217" s="65" t="n"/>
      <c r="H217" s="66" t="n"/>
      <c r="I217" s="66" t="n"/>
      <c r="J217" s="66" t="n"/>
      <c r="K217" s="66" t="n"/>
      <c r="L217" s="67">
        <f>IF(NOT((COUNTA($B217:$K217)+COUNTA($N217))&gt;0),"",IF(N($T217)&gt;0,$AB217,IFERROR(LOOKUP(2,1/(H217:K217&lt;&gt;""),H217:K217),0)))</f>
        <v/>
      </c>
      <c r="M217" s="61">
        <f>IF(L217="","",IF(L217&gt;=1,"Completado",IF(L217&gt;0,"En curso","Pendiente")))</f>
        <v/>
      </c>
      <c r="N217" s="62" t="n"/>
      <c r="O217" s="68">
        <f>IF(NOT((COUNTA($B217:$K217)+COUNTA($N217))&gt;0),"",IF((IF(AND($S217="Macro",$B217=""),"Macroactividad vacía"&amp;" · ","")&amp;IF(AND($B217&lt;&gt;"",$C217&lt;&gt;""),"Escriba la subactividad en otra fila, debajo de su macroactividad"&amp;" · ","")&amp;IF(AND($S217="Sub",N($R217)=0),"Subactividad sin macroactividad arriba"&amp;" · ","")&amp;IF($D217="","Sin responsable"&amp;" · ","")&amp;IF($E217="","Sin fecha de inicio"&amp;" · ","")&amp;IF($F217="","Sin fecha límite"&amp;" · ","")&amp;IF(OR(AND($E217&lt;&gt;"",NOT(ISNUMBER($E217))),AND($F217&lt;&gt;"",NOT(ISNUMBER($F217)))),"Fecha no válida"&amp;" · ","")&amp;IF(AND(ISNUMBER($E217),ISNUMBER($F217),$E217&gt;$F217),"Inicio posterior a fecha límite"&amp;" · ","")&amp;IF(AND($S217="Macro",$G217=""),"Peso vacío"&amp;" · ","")&amp;IF(AND($S217="Macro",$G217&lt;&gt;"",OR(NOT(ISNUMBER($G217)),$G217&lt;=0,$G217&gt;1)),"Peso fuera de rango"&amp;" · ","")&amp;IF(AND($S217="Sub",$G217&lt;&gt;""),"Las subactividades no llevan peso"&amp;" · ","")&amp;IF(AND($S217="Macro",ABS(SUMIFS($G$5:$G$1000,$P$5:$P$1000,$P217,$S$5:$S$1000,"Macro")-1)&gt;0.0001),"Pesos del mes suman "&amp;TEXT(SUMIFS($G$5:$G$1000,$P$5:$P$1000,$P217,$S$5:$S$1000,"Macro"),"0%")&amp;" · ","")&amp;IF(AND(N($T217)&gt;0,COUNT($H217:$K217)&gt;0),"Con subactividades: deje vacías las semanas (se calculan solas)"&amp;" · ","")&amp;IF((COUNTIF($H217:$K217,"&gt;1")+COUNTIF($H217:$K217,"&lt;0")+COUNTA($H217:$K217)-COUNT($H217:$K217))&gt;0,"Avance fuera de rango 0-100%"&amp;" · ","")&amp;IF(OR(AND($I217&lt;&gt;"",$I217&lt;$H217),AND($J217&lt;&gt;"",$J217&lt;MAX($H217:$I217)),AND($K217&lt;&gt;"",$K217&lt;MAX($H217:$J217))),"Avance semanal decreciente"&amp;" · ","")&amp;IF(AND(ISNUMBER($F217),$F217&lt;FechaRef,N($L217)&lt;1),"Vencida"&amp;" · ","")&amp;IF(AND(ObsObligatoria="Sí",ISNUMBER($F217),$F217&lt;FechaRef,N($L217)&lt;1,$N217=""),"Vencida sin observación"&amp;" · ",""))="","✔ OK","⚠ "&amp;LEFT(IF(AND($S217="Macro",$B217=""),"Macroactividad vacía"&amp;" · ","")&amp;IF(AND($B217&lt;&gt;"",$C217&lt;&gt;""),"Escriba la subactividad en otra fila, debajo de su macroactividad"&amp;" · ","")&amp;IF(AND($S217="Sub",N($R217)=0),"Subactividad sin macroactividad arriba"&amp;" · ","")&amp;IF($D217="","Sin responsable"&amp;" · ","")&amp;IF($E217="","Sin fecha de inicio"&amp;" · ","")&amp;IF($F217="","Sin fecha límite"&amp;" · ","")&amp;IF(OR(AND($E217&lt;&gt;"",NOT(ISNUMBER($E217))),AND($F217&lt;&gt;"",NOT(ISNUMBER($F217)))),"Fecha no válida"&amp;" · ","")&amp;IF(AND(ISNUMBER($E217),ISNUMBER($F217),$E217&gt;$F217),"Inicio posterior a fecha límite"&amp;" · ","")&amp;IF(AND($S217="Macro",$G217=""),"Peso vacío"&amp;" · ","")&amp;IF(AND($S217="Macro",$G217&lt;&gt;"",OR(NOT(ISNUMBER($G217)),$G217&lt;=0,$G217&gt;1)),"Peso fuera de rango"&amp;" · ","")&amp;IF(AND($S217="Sub",$G217&lt;&gt;""),"Las subactividades no llevan peso"&amp;" · ","")&amp;IF(AND($S217="Macro",ABS(SUMIFS($G$5:$G$1000,$P$5:$P$1000,$P217,$S$5:$S$1000,"Macro")-1)&gt;0.0001),"Pesos del mes suman "&amp;TEXT(SUMIFS($G$5:$G$1000,$P$5:$P$1000,$P217,$S$5:$S$1000,"Macro"),"0%")&amp;" · ","")&amp;IF(AND(N($T217)&gt;0,COUNT($H217:$K217)&gt;0),"Con subactividades: deje vacías las semanas (se calculan solas)"&amp;" · ","")&amp;IF((COUNTIF($H217:$K217,"&gt;1")+COUNTIF($H217:$K217,"&lt;0")+COUNTA($H217:$K217)-COUNT($H217:$K217))&gt;0,"Avance fuera de rango 0-100%"&amp;" · ","")&amp;IF(OR(AND($I217&lt;&gt;"",$I217&lt;$H217),AND($J217&lt;&gt;"",$J217&lt;MAX($H217:$I217)),AND($K217&lt;&gt;"",$K217&lt;MAX($H217:$J217))),"Avance semanal decreciente"&amp;" · ","")&amp;IF(AND(ISNUMBER($F217),$F217&lt;FechaRef,N($L217)&lt;1),"Vencida"&amp;" · ","")&amp;IF(AND(ObsObligatoria="Sí",ISNUMBER($F217),$F217&lt;FechaRef,N($L217)&lt;1,$N217=""),"Vencida sin observación"&amp;" · ",""),LEN(IF(AND($S217="Macro",$B217=""),"Macroactividad vacía"&amp;" · ","")&amp;IF(AND($B217&lt;&gt;"",$C217&lt;&gt;""),"Escriba la subactividad en otra fila, debajo de su macroactividad"&amp;" · ","")&amp;IF(AND($S217="Sub",N($R217)=0),"Subactividad sin macroactividad arriba"&amp;" · ","")&amp;IF($D217="","Sin responsable"&amp;" · ","")&amp;IF($E217="","Sin fecha de inicio"&amp;" · ","")&amp;IF($F217="","Sin fecha límite"&amp;" · ","")&amp;IF(OR(AND($E217&lt;&gt;"",NOT(ISNUMBER($E217))),AND($F217&lt;&gt;"",NOT(ISNUMBER($F217)))),"Fecha no válida"&amp;" · ","")&amp;IF(AND(ISNUMBER($E217),ISNUMBER($F217),$E217&gt;$F217),"Inicio posterior a fecha límite"&amp;" · ","")&amp;IF(AND($S217="Macro",$G217=""),"Peso vacío"&amp;" · ","")&amp;IF(AND($S217="Macro",$G217&lt;&gt;"",OR(NOT(ISNUMBER($G217)),$G217&lt;=0,$G217&gt;1)),"Peso fuera de rango"&amp;" · ","")&amp;IF(AND($S217="Sub",$G217&lt;&gt;""),"Las subactividades no llevan peso"&amp;" · ","")&amp;IF(AND($S217="Macro",ABS(SUMIFS($G$5:$G$1000,$P$5:$P$1000,$P217,$S$5:$S$1000,"Macro")-1)&gt;0.0001),"Pesos del mes suman "&amp;TEXT(SUMIFS($G$5:$G$1000,$P$5:$P$1000,$P217,$S$5:$S$1000,"Macro"),"0%")&amp;" · ","")&amp;IF(AND(N($T217)&gt;0,COUNT($H217:$K217)&gt;0),"Con subactividades: deje vacías las semanas (se calculan solas)"&amp;" · ","")&amp;IF((COUNTIF($H217:$K217,"&gt;1")+COUNTIF($H217:$K217,"&lt;0")+COUNTA($H217:$K217)-COUNT($H217:$K217))&gt;0,"Avance fuera de rango 0-100%"&amp;" · ","")&amp;IF(OR(AND($I217&lt;&gt;"",$I217&lt;$H217),AND($J217&lt;&gt;"",$J217&lt;MAX($H217:$I217)),AND($K217&lt;&gt;"",$K217&lt;MAX($H217:$J217))),"Avance semanal decreciente"&amp;" · ","")&amp;IF(AND(ISNUMBER($F217),$F217&lt;FechaRef,N($L217)&lt;1),"Vencida"&amp;" · ","")&amp;IF(AND(ObsObligatoria="Sí",ISNUMBER($F217),$F217&lt;FechaRef,N($L217)&lt;1,$N217=""),"Vencida sin observación"&amp;" · ",""))-3)))</f>
        <v/>
      </c>
      <c r="P217" s="69">
        <f>IF(NOT((COUNTA($B217:$K217)+COUNTA($N217))&gt;0),"",IF(AND($S217="Sub",N($R217)&gt;0),IF(ISNUMBER(INDEX($E$5:$E$1000,$R217-4)),DATE(YEAR(INDEX($E$5:$E$1000,$R217-4)),MONTH(INDEX($E$5:$E$1000,$R217-4)),1),IF(ISNUMBER(INDEX($F$5:$F$1000,$R217-4)),DATE(YEAR(INDEX($F$5:$F$1000,$R217-4)),MONTH(INDEX($F$5:$F$1000,$R217-4)),1),MesCiclo)),IF(ISNUMBER($E217),DATE(YEAR($E217),MONTH($E217),1),IF(ISNUMBER($F217),DATE(YEAR($F217),MONTH($F217),1),MesCiclo))))</f>
        <v/>
      </c>
      <c r="Q217" s="70">
        <f>IF(OR($P217="",$P217&lt;&gt;MesCiclo),"",COUNTIF($P$5:$P217,MesCiclo))</f>
        <v/>
      </c>
      <c r="R217" s="70">
        <f>IF($S217="","",IF($S217="Macro",ROW(),IFERROR(LOOKUP(2,1/($S$5:$S217="Macro"),ROW($S$5:$S217)),0)))</f>
        <v/>
      </c>
      <c r="S217" s="70">
        <f>IF(NOT((COUNTA($B217:$K217)+COUNTA($N217))&gt;0),"",IF($B217&lt;&gt;"","Macro",IF($C217&lt;&gt;"","Sub","Macro")))</f>
        <v/>
      </c>
      <c r="T217" s="70">
        <f>IF($S217="Macro",COUNTIFS($R$5:$R$1000,ROW(),$S$5:$S$1000,"Sub"),"")</f>
        <v/>
      </c>
      <c r="U217" s="70">
        <f>IF($S217="","",IF(ISNUMBER($H217),$H217,0))</f>
        <v/>
      </c>
      <c r="V217" s="70">
        <f>IF($S217="","",IF(ISNUMBER($I217),$I217,$U217))</f>
        <v/>
      </c>
      <c r="W217" s="70">
        <f>IF($S217="","",IF(ISNUMBER($J217),$J217,$V217))</f>
        <v/>
      </c>
      <c r="X217" s="70">
        <f>IF($S217="","",IF(ISNUMBER($K217),$K217,$W217))</f>
        <v/>
      </c>
      <c r="Y217" s="70">
        <f>IF($S217="","",IF(N($T217)&gt;0,AVERAGEIFS($U$5:$U$1000,$R$5:$R$1000,ROW(),$S$5:$S$1000,"Sub"),$U217))</f>
        <v/>
      </c>
      <c r="Z217" s="70">
        <f>IF($S217="","",IF(N($T217)&gt;0,AVERAGEIFS($V$5:$V$1000,$R$5:$R$1000,ROW(),$S$5:$S$1000,"Sub"),$V217))</f>
        <v/>
      </c>
      <c r="AA217" s="70">
        <f>IF($S217="","",IF(N($T217)&gt;0,AVERAGEIFS($W$5:$W$1000,$R$5:$R$1000,ROW(),$S$5:$S$1000,"Sub"),$W217))</f>
        <v/>
      </c>
      <c r="AB217" s="70">
        <f>IF($S217="","",IF(N($T217)&gt;0,AVERAGEIFS($X$5:$X$1000,$R$5:$R$1000,ROW(),$S$5:$S$1000,"Sub"),$X217))</f>
        <v/>
      </c>
    </row>
    <row r="218">
      <c r="A218" s="61">
        <f>IF(NOT((COUNTA($B218:$K218)+COUNTA($N218))&gt;0),"",IF($S218="Macro",COUNTIFS($S$5:$S218,"Macro",$P$5:$P218,$P218),IF(N($R218)=0,"?",COUNTIFS(INDEX($S$5:$S$1000,1):INDEX($S$5:$S$1000,$R218-4),"Macro",INDEX($P$5:$P$1000,1):INDEX($P$5:$P$1000,$R218-4),INDEX($P$5:$P$1000,$R218-4))&amp;"."&amp;COUNTIFS($R$5:$R218,$R218,$S$5:$S218,"Sub"))))</f>
        <v/>
      </c>
      <c r="B218" s="62" t="n"/>
      <c r="C218" s="63" t="n"/>
      <c r="D218" s="62" t="n"/>
      <c r="E218" s="64" t="n"/>
      <c r="F218" s="64" t="n"/>
      <c r="G218" s="65" t="n"/>
      <c r="H218" s="66" t="n"/>
      <c r="I218" s="66" t="n"/>
      <c r="J218" s="66" t="n"/>
      <c r="K218" s="66" t="n"/>
      <c r="L218" s="67">
        <f>IF(NOT((COUNTA($B218:$K218)+COUNTA($N218))&gt;0),"",IF(N($T218)&gt;0,$AB218,IFERROR(LOOKUP(2,1/(H218:K218&lt;&gt;""),H218:K218),0)))</f>
        <v/>
      </c>
      <c r="M218" s="61">
        <f>IF(L218="","",IF(L218&gt;=1,"Completado",IF(L218&gt;0,"En curso","Pendiente")))</f>
        <v/>
      </c>
      <c r="N218" s="62" t="n"/>
      <c r="O218" s="68">
        <f>IF(NOT((COUNTA($B218:$K218)+COUNTA($N218))&gt;0),"",IF((IF(AND($S218="Macro",$B218=""),"Macroactividad vacía"&amp;" · ","")&amp;IF(AND($B218&lt;&gt;"",$C218&lt;&gt;""),"Escriba la subactividad en otra fila, debajo de su macroactividad"&amp;" · ","")&amp;IF(AND($S218="Sub",N($R218)=0),"Subactividad sin macroactividad arriba"&amp;" · ","")&amp;IF($D218="","Sin responsable"&amp;" · ","")&amp;IF($E218="","Sin fecha de inicio"&amp;" · ","")&amp;IF($F218="","Sin fecha límite"&amp;" · ","")&amp;IF(OR(AND($E218&lt;&gt;"",NOT(ISNUMBER($E218))),AND($F218&lt;&gt;"",NOT(ISNUMBER($F218)))),"Fecha no válida"&amp;" · ","")&amp;IF(AND(ISNUMBER($E218),ISNUMBER($F218),$E218&gt;$F218),"Inicio posterior a fecha límite"&amp;" · ","")&amp;IF(AND($S218="Macro",$G218=""),"Peso vacío"&amp;" · ","")&amp;IF(AND($S218="Macro",$G218&lt;&gt;"",OR(NOT(ISNUMBER($G218)),$G218&lt;=0,$G218&gt;1)),"Peso fuera de rango"&amp;" · ","")&amp;IF(AND($S218="Sub",$G218&lt;&gt;""),"Las subactividades no llevan peso"&amp;" · ","")&amp;IF(AND($S218="Macro",ABS(SUMIFS($G$5:$G$1000,$P$5:$P$1000,$P218,$S$5:$S$1000,"Macro")-1)&gt;0.0001),"Pesos del mes suman "&amp;TEXT(SUMIFS($G$5:$G$1000,$P$5:$P$1000,$P218,$S$5:$S$1000,"Macro"),"0%")&amp;" · ","")&amp;IF(AND(N($T218)&gt;0,COUNT($H218:$K218)&gt;0),"Con subactividades: deje vacías las semanas (se calculan solas)"&amp;" · ","")&amp;IF((COUNTIF($H218:$K218,"&gt;1")+COUNTIF($H218:$K218,"&lt;0")+COUNTA($H218:$K218)-COUNT($H218:$K218))&gt;0,"Avance fuera de rango 0-100%"&amp;" · ","")&amp;IF(OR(AND($I218&lt;&gt;"",$I218&lt;$H218),AND($J218&lt;&gt;"",$J218&lt;MAX($H218:$I218)),AND($K218&lt;&gt;"",$K218&lt;MAX($H218:$J218))),"Avance semanal decreciente"&amp;" · ","")&amp;IF(AND(ISNUMBER($F218),$F218&lt;FechaRef,N($L218)&lt;1),"Vencida"&amp;" · ","")&amp;IF(AND(ObsObligatoria="Sí",ISNUMBER($F218),$F218&lt;FechaRef,N($L218)&lt;1,$N218=""),"Vencida sin observación"&amp;" · ",""))="","✔ OK","⚠ "&amp;LEFT(IF(AND($S218="Macro",$B218=""),"Macroactividad vacía"&amp;" · ","")&amp;IF(AND($B218&lt;&gt;"",$C218&lt;&gt;""),"Escriba la subactividad en otra fila, debajo de su macroactividad"&amp;" · ","")&amp;IF(AND($S218="Sub",N($R218)=0),"Subactividad sin macroactividad arriba"&amp;" · ","")&amp;IF($D218="","Sin responsable"&amp;" · ","")&amp;IF($E218="","Sin fecha de inicio"&amp;" · ","")&amp;IF($F218="","Sin fecha límite"&amp;" · ","")&amp;IF(OR(AND($E218&lt;&gt;"",NOT(ISNUMBER($E218))),AND($F218&lt;&gt;"",NOT(ISNUMBER($F218)))),"Fecha no válida"&amp;" · ","")&amp;IF(AND(ISNUMBER($E218),ISNUMBER($F218),$E218&gt;$F218),"Inicio posterior a fecha límite"&amp;" · ","")&amp;IF(AND($S218="Macro",$G218=""),"Peso vacío"&amp;" · ","")&amp;IF(AND($S218="Macro",$G218&lt;&gt;"",OR(NOT(ISNUMBER($G218)),$G218&lt;=0,$G218&gt;1)),"Peso fuera de rango"&amp;" · ","")&amp;IF(AND($S218="Sub",$G218&lt;&gt;""),"Las subactividades no llevan peso"&amp;" · ","")&amp;IF(AND($S218="Macro",ABS(SUMIFS($G$5:$G$1000,$P$5:$P$1000,$P218,$S$5:$S$1000,"Macro")-1)&gt;0.0001),"Pesos del mes suman "&amp;TEXT(SUMIFS($G$5:$G$1000,$P$5:$P$1000,$P218,$S$5:$S$1000,"Macro"),"0%")&amp;" · ","")&amp;IF(AND(N($T218)&gt;0,COUNT($H218:$K218)&gt;0),"Con subactividades: deje vacías las semanas (se calculan solas)"&amp;" · ","")&amp;IF((COUNTIF($H218:$K218,"&gt;1")+COUNTIF($H218:$K218,"&lt;0")+COUNTA($H218:$K218)-COUNT($H218:$K218))&gt;0,"Avance fuera de rango 0-100%"&amp;" · ","")&amp;IF(OR(AND($I218&lt;&gt;"",$I218&lt;$H218),AND($J218&lt;&gt;"",$J218&lt;MAX($H218:$I218)),AND($K218&lt;&gt;"",$K218&lt;MAX($H218:$J218))),"Avance semanal decreciente"&amp;" · ","")&amp;IF(AND(ISNUMBER($F218),$F218&lt;FechaRef,N($L218)&lt;1),"Vencida"&amp;" · ","")&amp;IF(AND(ObsObligatoria="Sí",ISNUMBER($F218),$F218&lt;FechaRef,N($L218)&lt;1,$N218=""),"Vencida sin observación"&amp;" · ",""),LEN(IF(AND($S218="Macro",$B218=""),"Macroactividad vacía"&amp;" · ","")&amp;IF(AND($B218&lt;&gt;"",$C218&lt;&gt;""),"Escriba la subactividad en otra fila, debajo de su macroactividad"&amp;" · ","")&amp;IF(AND($S218="Sub",N($R218)=0),"Subactividad sin macroactividad arriba"&amp;" · ","")&amp;IF($D218="","Sin responsable"&amp;" · ","")&amp;IF($E218="","Sin fecha de inicio"&amp;" · ","")&amp;IF($F218="","Sin fecha límite"&amp;" · ","")&amp;IF(OR(AND($E218&lt;&gt;"",NOT(ISNUMBER($E218))),AND($F218&lt;&gt;"",NOT(ISNUMBER($F218)))),"Fecha no válida"&amp;" · ","")&amp;IF(AND(ISNUMBER($E218),ISNUMBER($F218),$E218&gt;$F218),"Inicio posterior a fecha límite"&amp;" · ","")&amp;IF(AND($S218="Macro",$G218=""),"Peso vacío"&amp;" · ","")&amp;IF(AND($S218="Macro",$G218&lt;&gt;"",OR(NOT(ISNUMBER($G218)),$G218&lt;=0,$G218&gt;1)),"Peso fuera de rango"&amp;" · ","")&amp;IF(AND($S218="Sub",$G218&lt;&gt;""),"Las subactividades no llevan peso"&amp;" · ","")&amp;IF(AND($S218="Macro",ABS(SUMIFS($G$5:$G$1000,$P$5:$P$1000,$P218,$S$5:$S$1000,"Macro")-1)&gt;0.0001),"Pesos del mes suman "&amp;TEXT(SUMIFS($G$5:$G$1000,$P$5:$P$1000,$P218,$S$5:$S$1000,"Macro"),"0%")&amp;" · ","")&amp;IF(AND(N($T218)&gt;0,COUNT($H218:$K218)&gt;0),"Con subactividades: deje vacías las semanas (se calculan solas)"&amp;" · ","")&amp;IF((COUNTIF($H218:$K218,"&gt;1")+COUNTIF($H218:$K218,"&lt;0")+COUNTA($H218:$K218)-COUNT($H218:$K218))&gt;0,"Avance fuera de rango 0-100%"&amp;" · ","")&amp;IF(OR(AND($I218&lt;&gt;"",$I218&lt;$H218),AND($J218&lt;&gt;"",$J218&lt;MAX($H218:$I218)),AND($K218&lt;&gt;"",$K218&lt;MAX($H218:$J218))),"Avance semanal decreciente"&amp;" · ","")&amp;IF(AND(ISNUMBER($F218),$F218&lt;FechaRef,N($L218)&lt;1),"Vencida"&amp;" · ","")&amp;IF(AND(ObsObligatoria="Sí",ISNUMBER($F218),$F218&lt;FechaRef,N($L218)&lt;1,$N218=""),"Vencida sin observación"&amp;" · ",""))-3)))</f>
        <v/>
      </c>
      <c r="P218" s="69">
        <f>IF(NOT((COUNTA($B218:$K218)+COUNTA($N218))&gt;0),"",IF(AND($S218="Sub",N($R218)&gt;0),IF(ISNUMBER(INDEX($E$5:$E$1000,$R218-4)),DATE(YEAR(INDEX($E$5:$E$1000,$R218-4)),MONTH(INDEX($E$5:$E$1000,$R218-4)),1),IF(ISNUMBER(INDEX($F$5:$F$1000,$R218-4)),DATE(YEAR(INDEX($F$5:$F$1000,$R218-4)),MONTH(INDEX($F$5:$F$1000,$R218-4)),1),MesCiclo)),IF(ISNUMBER($E218),DATE(YEAR($E218),MONTH($E218),1),IF(ISNUMBER($F218),DATE(YEAR($F218),MONTH($F218),1),MesCiclo))))</f>
        <v/>
      </c>
      <c r="Q218" s="70">
        <f>IF(OR($P218="",$P218&lt;&gt;MesCiclo),"",COUNTIF($P$5:$P218,MesCiclo))</f>
        <v/>
      </c>
      <c r="R218" s="70">
        <f>IF($S218="","",IF($S218="Macro",ROW(),IFERROR(LOOKUP(2,1/($S$5:$S218="Macro"),ROW($S$5:$S218)),0)))</f>
        <v/>
      </c>
      <c r="S218" s="70">
        <f>IF(NOT((COUNTA($B218:$K218)+COUNTA($N218))&gt;0),"",IF($B218&lt;&gt;"","Macro",IF($C218&lt;&gt;"","Sub","Macro")))</f>
        <v/>
      </c>
      <c r="T218" s="70">
        <f>IF($S218="Macro",COUNTIFS($R$5:$R$1000,ROW(),$S$5:$S$1000,"Sub"),"")</f>
        <v/>
      </c>
      <c r="U218" s="70">
        <f>IF($S218="","",IF(ISNUMBER($H218),$H218,0))</f>
        <v/>
      </c>
      <c r="V218" s="70">
        <f>IF($S218="","",IF(ISNUMBER($I218),$I218,$U218))</f>
        <v/>
      </c>
      <c r="W218" s="70">
        <f>IF($S218="","",IF(ISNUMBER($J218),$J218,$V218))</f>
        <v/>
      </c>
      <c r="X218" s="70">
        <f>IF($S218="","",IF(ISNUMBER($K218),$K218,$W218))</f>
        <v/>
      </c>
      <c r="Y218" s="70">
        <f>IF($S218="","",IF(N($T218)&gt;0,AVERAGEIFS($U$5:$U$1000,$R$5:$R$1000,ROW(),$S$5:$S$1000,"Sub"),$U218))</f>
        <v/>
      </c>
      <c r="Z218" s="70">
        <f>IF($S218="","",IF(N($T218)&gt;0,AVERAGEIFS($V$5:$V$1000,$R$5:$R$1000,ROW(),$S$5:$S$1000,"Sub"),$V218))</f>
        <v/>
      </c>
      <c r="AA218" s="70">
        <f>IF($S218="","",IF(N($T218)&gt;0,AVERAGEIFS($W$5:$W$1000,$R$5:$R$1000,ROW(),$S$5:$S$1000,"Sub"),$W218))</f>
        <v/>
      </c>
      <c r="AB218" s="70">
        <f>IF($S218="","",IF(N($T218)&gt;0,AVERAGEIFS($X$5:$X$1000,$R$5:$R$1000,ROW(),$S$5:$S$1000,"Sub"),$X218))</f>
        <v/>
      </c>
    </row>
    <row r="219">
      <c r="A219" s="61">
        <f>IF(NOT((COUNTA($B219:$K219)+COUNTA($N219))&gt;0),"",IF($S219="Macro",COUNTIFS($S$5:$S219,"Macro",$P$5:$P219,$P219),IF(N($R219)=0,"?",COUNTIFS(INDEX($S$5:$S$1000,1):INDEX($S$5:$S$1000,$R219-4),"Macro",INDEX($P$5:$P$1000,1):INDEX($P$5:$P$1000,$R219-4),INDEX($P$5:$P$1000,$R219-4))&amp;"."&amp;COUNTIFS($R$5:$R219,$R219,$S$5:$S219,"Sub"))))</f>
        <v/>
      </c>
      <c r="B219" s="62" t="n"/>
      <c r="C219" s="63" t="n"/>
      <c r="D219" s="62" t="n"/>
      <c r="E219" s="64" t="n"/>
      <c r="F219" s="64" t="n"/>
      <c r="G219" s="65" t="n"/>
      <c r="H219" s="66" t="n"/>
      <c r="I219" s="66" t="n"/>
      <c r="J219" s="66" t="n"/>
      <c r="K219" s="66" t="n"/>
      <c r="L219" s="67">
        <f>IF(NOT((COUNTA($B219:$K219)+COUNTA($N219))&gt;0),"",IF(N($T219)&gt;0,$AB219,IFERROR(LOOKUP(2,1/(H219:K219&lt;&gt;""),H219:K219),0)))</f>
        <v/>
      </c>
      <c r="M219" s="61">
        <f>IF(L219="","",IF(L219&gt;=1,"Completado",IF(L219&gt;0,"En curso","Pendiente")))</f>
        <v/>
      </c>
      <c r="N219" s="62" t="n"/>
      <c r="O219" s="68">
        <f>IF(NOT((COUNTA($B219:$K219)+COUNTA($N219))&gt;0),"",IF((IF(AND($S219="Macro",$B219=""),"Macroactividad vacía"&amp;" · ","")&amp;IF(AND($B219&lt;&gt;"",$C219&lt;&gt;""),"Escriba la subactividad en otra fila, debajo de su macroactividad"&amp;" · ","")&amp;IF(AND($S219="Sub",N($R219)=0),"Subactividad sin macroactividad arriba"&amp;" · ","")&amp;IF($D219="","Sin responsable"&amp;" · ","")&amp;IF($E219="","Sin fecha de inicio"&amp;" · ","")&amp;IF($F219="","Sin fecha límite"&amp;" · ","")&amp;IF(OR(AND($E219&lt;&gt;"",NOT(ISNUMBER($E219))),AND($F219&lt;&gt;"",NOT(ISNUMBER($F219)))),"Fecha no válida"&amp;" · ","")&amp;IF(AND(ISNUMBER($E219),ISNUMBER($F219),$E219&gt;$F219),"Inicio posterior a fecha límite"&amp;" · ","")&amp;IF(AND($S219="Macro",$G219=""),"Peso vacío"&amp;" · ","")&amp;IF(AND($S219="Macro",$G219&lt;&gt;"",OR(NOT(ISNUMBER($G219)),$G219&lt;=0,$G219&gt;1)),"Peso fuera de rango"&amp;" · ","")&amp;IF(AND($S219="Sub",$G219&lt;&gt;""),"Las subactividades no llevan peso"&amp;" · ","")&amp;IF(AND($S219="Macro",ABS(SUMIFS($G$5:$G$1000,$P$5:$P$1000,$P219,$S$5:$S$1000,"Macro")-1)&gt;0.0001),"Pesos del mes suman "&amp;TEXT(SUMIFS($G$5:$G$1000,$P$5:$P$1000,$P219,$S$5:$S$1000,"Macro"),"0%")&amp;" · ","")&amp;IF(AND(N($T219)&gt;0,COUNT($H219:$K219)&gt;0),"Con subactividades: deje vacías las semanas (se calculan solas)"&amp;" · ","")&amp;IF((COUNTIF($H219:$K219,"&gt;1")+COUNTIF($H219:$K219,"&lt;0")+COUNTA($H219:$K219)-COUNT($H219:$K219))&gt;0,"Avance fuera de rango 0-100%"&amp;" · ","")&amp;IF(OR(AND($I219&lt;&gt;"",$I219&lt;$H219),AND($J219&lt;&gt;"",$J219&lt;MAX($H219:$I219)),AND($K219&lt;&gt;"",$K219&lt;MAX($H219:$J219))),"Avance semanal decreciente"&amp;" · ","")&amp;IF(AND(ISNUMBER($F219),$F219&lt;FechaRef,N($L219)&lt;1),"Vencida"&amp;" · ","")&amp;IF(AND(ObsObligatoria="Sí",ISNUMBER($F219),$F219&lt;FechaRef,N($L219)&lt;1,$N219=""),"Vencida sin observación"&amp;" · ",""))="","✔ OK","⚠ "&amp;LEFT(IF(AND($S219="Macro",$B219=""),"Macroactividad vacía"&amp;" · ","")&amp;IF(AND($B219&lt;&gt;"",$C219&lt;&gt;""),"Escriba la subactividad en otra fila, debajo de su macroactividad"&amp;" · ","")&amp;IF(AND($S219="Sub",N($R219)=0),"Subactividad sin macroactividad arriba"&amp;" · ","")&amp;IF($D219="","Sin responsable"&amp;" · ","")&amp;IF($E219="","Sin fecha de inicio"&amp;" · ","")&amp;IF($F219="","Sin fecha límite"&amp;" · ","")&amp;IF(OR(AND($E219&lt;&gt;"",NOT(ISNUMBER($E219))),AND($F219&lt;&gt;"",NOT(ISNUMBER($F219)))),"Fecha no válida"&amp;" · ","")&amp;IF(AND(ISNUMBER($E219),ISNUMBER($F219),$E219&gt;$F219),"Inicio posterior a fecha límite"&amp;" · ","")&amp;IF(AND($S219="Macro",$G219=""),"Peso vacío"&amp;" · ","")&amp;IF(AND($S219="Macro",$G219&lt;&gt;"",OR(NOT(ISNUMBER($G219)),$G219&lt;=0,$G219&gt;1)),"Peso fuera de rango"&amp;" · ","")&amp;IF(AND($S219="Sub",$G219&lt;&gt;""),"Las subactividades no llevan peso"&amp;" · ","")&amp;IF(AND($S219="Macro",ABS(SUMIFS($G$5:$G$1000,$P$5:$P$1000,$P219,$S$5:$S$1000,"Macro")-1)&gt;0.0001),"Pesos del mes suman "&amp;TEXT(SUMIFS($G$5:$G$1000,$P$5:$P$1000,$P219,$S$5:$S$1000,"Macro"),"0%")&amp;" · ","")&amp;IF(AND(N($T219)&gt;0,COUNT($H219:$K219)&gt;0),"Con subactividades: deje vacías las semanas (se calculan solas)"&amp;" · ","")&amp;IF((COUNTIF($H219:$K219,"&gt;1")+COUNTIF($H219:$K219,"&lt;0")+COUNTA($H219:$K219)-COUNT($H219:$K219))&gt;0,"Avance fuera de rango 0-100%"&amp;" · ","")&amp;IF(OR(AND($I219&lt;&gt;"",$I219&lt;$H219),AND($J219&lt;&gt;"",$J219&lt;MAX($H219:$I219)),AND($K219&lt;&gt;"",$K219&lt;MAX($H219:$J219))),"Avance semanal decreciente"&amp;" · ","")&amp;IF(AND(ISNUMBER($F219),$F219&lt;FechaRef,N($L219)&lt;1),"Vencida"&amp;" · ","")&amp;IF(AND(ObsObligatoria="Sí",ISNUMBER($F219),$F219&lt;FechaRef,N($L219)&lt;1,$N219=""),"Vencida sin observación"&amp;" · ",""),LEN(IF(AND($S219="Macro",$B219=""),"Macroactividad vacía"&amp;" · ","")&amp;IF(AND($B219&lt;&gt;"",$C219&lt;&gt;""),"Escriba la subactividad en otra fila, debajo de su macroactividad"&amp;" · ","")&amp;IF(AND($S219="Sub",N($R219)=0),"Subactividad sin macroactividad arriba"&amp;" · ","")&amp;IF($D219="","Sin responsable"&amp;" · ","")&amp;IF($E219="","Sin fecha de inicio"&amp;" · ","")&amp;IF($F219="","Sin fecha límite"&amp;" · ","")&amp;IF(OR(AND($E219&lt;&gt;"",NOT(ISNUMBER($E219))),AND($F219&lt;&gt;"",NOT(ISNUMBER($F219)))),"Fecha no válida"&amp;" · ","")&amp;IF(AND(ISNUMBER($E219),ISNUMBER($F219),$E219&gt;$F219),"Inicio posterior a fecha límite"&amp;" · ","")&amp;IF(AND($S219="Macro",$G219=""),"Peso vacío"&amp;" · ","")&amp;IF(AND($S219="Macro",$G219&lt;&gt;"",OR(NOT(ISNUMBER($G219)),$G219&lt;=0,$G219&gt;1)),"Peso fuera de rango"&amp;" · ","")&amp;IF(AND($S219="Sub",$G219&lt;&gt;""),"Las subactividades no llevan peso"&amp;" · ","")&amp;IF(AND($S219="Macro",ABS(SUMIFS($G$5:$G$1000,$P$5:$P$1000,$P219,$S$5:$S$1000,"Macro")-1)&gt;0.0001),"Pesos del mes suman "&amp;TEXT(SUMIFS($G$5:$G$1000,$P$5:$P$1000,$P219,$S$5:$S$1000,"Macro"),"0%")&amp;" · ","")&amp;IF(AND(N($T219)&gt;0,COUNT($H219:$K219)&gt;0),"Con subactividades: deje vacías las semanas (se calculan solas)"&amp;" · ","")&amp;IF((COUNTIF($H219:$K219,"&gt;1")+COUNTIF($H219:$K219,"&lt;0")+COUNTA($H219:$K219)-COUNT($H219:$K219))&gt;0,"Avance fuera de rango 0-100%"&amp;" · ","")&amp;IF(OR(AND($I219&lt;&gt;"",$I219&lt;$H219),AND($J219&lt;&gt;"",$J219&lt;MAX($H219:$I219)),AND($K219&lt;&gt;"",$K219&lt;MAX($H219:$J219))),"Avance semanal decreciente"&amp;" · ","")&amp;IF(AND(ISNUMBER($F219),$F219&lt;FechaRef,N($L219)&lt;1),"Vencida"&amp;" · ","")&amp;IF(AND(ObsObligatoria="Sí",ISNUMBER($F219),$F219&lt;FechaRef,N($L219)&lt;1,$N219=""),"Vencida sin observación"&amp;" · ",""))-3)))</f>
        <v/>
      </c>
      <c r="P219" s="69">
        <f>IF(NOT((COUNTA($B219:$K219)+COUNTA($N219))&gt;0),"",IF(AND($S219="Sub",N($R219)&gt;0),IF(ISNUMBER(INDEX($E$5:$E$1000,$R219-4)),DATE(YEAR(INDEX($E$5:$E$1000,$R219-4)),MONTH(INDEX($E$5:$E$1000,$R219-4)),1),IF(ISNUMBER(INDEX($F$5:$F$1000,$R219-4)),DATE(YEAR(INDEX($F$5:$F$1000,$R219-4)),MONTH(INDEX($F$5:$F$1000,$R219-4)),1),MesCiclo)),IF(ISNUMBER($E219),DATE(YEAR($E219),MONTH($E219),1),IF(ISNUMBER($F219),DATE(YEAR($F219),MONTH($F219),1),MesCiclo))))</f>
        <v/>
      </c>
      <c r="Q219" s="70">
        <f>IF(OR($P219="",$P219&lt;&gt;MesCiclo),"",COUNTIF($P$5:$P219,MesCiclo))</f>
        <v/>
      </c>
      <c r="R219" s="70">
        <f>IF($S219="","",IF($S219="Macro",ROW(),IFERROR(LOOKUP(2,1/($S$5:$S219="Macro"),ROW($S$5:$S219)),0)))</f>
        <v/>
      </c>
      <c r="S219" s="70">
        <f>IF(NOT((COUNTA($B219:$K219)+COUNTA($N219))&gt;0),"",IF($B219&lt;&gt;"","Macro",IF($C219&lt;&gt;"","Sub","Macro")))</f>
        <v/>
      </c>
      <c r="T219" s="70">
        <f>IF($S219="Macro",COUNTIFS($R$5:$R$1000,ROW(),$S$5:$S$1000,"Sub"),"")</f>
        <v/>
      </c>
      <c r="U219" s="70">
        <f>IF($S219="","",IF(ISNUMBER($H219),$H219,0))</f>
        <v/>
      </c>
      <c r="V219" s="70">
        <f>IF($S219="","",IF(ISNUMBER($I219),$I219,$U219))</f>
        <v/>
      </c>
      <c r="W219" s="70">
        <f>IF($S219="","",IF(ISNUMBER($J219),$J219,$V219))</f>
        <v/>
      </c>
      <c r="X219" s="70">
        <f>IF($S219="","",IF(ISNUMBER($K219),$K219,$W219))</f>
        <v/>
      </c>
      <c r="Y219" s="70">
        <f>IF($S219="","",IF(N($T219)&gt;0,AVERAGEIFS($U$5:$U$1000,$R$5:$R$1000,ROW(),$S$5:$S$1000,"Sub"),$U219))</f>
        <v/>
      </c>
      <c r="Z219" s="70">
        <f>IF($S219="","",IF(N($T219)&gt;0,AVERAGEIFS($V$5:$V$1000,$R$5:$R$1000,ROW(),$S$5:$S$1000,"Sub"),$V219))</f>
        <v/>
      </c>
      <c r="AA219" s="70">
        <f>IF($S219="","",IF(N($T219)&gt;0,AVERAGEIFS($W$5:$W$1000,$R$5:$R$1000,ROW(),$S$5:$S$1000,"Sub"),$W219))</f>
        <v/>
      </c>
      <c r="AB219" s="70">
        <f>IF($S219="","",IF(N($T219)&gt;0,AVERAGEIFS($X$5:$X$1000,$R$5:$R$1000,ROW(),$S$5:$S$1000,"Sub"),$X219))</f>
        <v/>
      </c>
    </row>
    <row r="220">
      <c r="A220" s="61">
        <f>IF(NOT((COUNTA($B220:$K220)+COUNTA($N220))&gt;0),"",IF($S220="Macro",COUNTIFS($S$5:$S220,"Macro",$P$5:$P220,$P220),IF(N($R220)=0,"?",COUNTIFS(INDEX($S$5:$S$1000,1):INDEX($S$5:$S$1000,$R220-4),"Macro",INDEX($P$5:$P$1000,1):INDEX($P$5:$P$1000,$R220-4),INDEX($P$5:$P$1000,$R220-4))&amp;"."&amp;COUNTIFS($R$5:$R220,$R220,$S$5:$S220,"Sub"))))</f>
        <v/>
      </c>
      <c r="B220" s="62" t="n"/>
      <c r="C220" s="63" t="n"/>
      <c r="D220" s="62" t="n"/>
      <c r="E220" s="64" t="n"/>
      <c r="F220" s="64" t="n"/>
      <c r="G220" s="65" t="n"/>
      <c r="H220" s="66" t="n"/>
      <c r="I220" s="66" t="n"/>
      <c r="J220" s="66" t="n"/>
      <c r="K220" s="66" t="n"/>
      <c r="L220" s="67">
        <f>IF(NOT((COUNTA($B220:$K220)+COUNTA($N220))&gt;0),"",IF(N($T220)&gt;0,$AB220,IFERROR(LOOKUP(2,1/(H220:K220&lt;&gt;""),H220:K220),0)))</f>
        <v/>
      </c>
      <c r="M220" s="61">
        <f>IF(L220="","",IF(L220&gt;=1,"Completado",IF(L220&gt;0,"En curso","Pendiente")))</f>
        <v/>
      </c>
      <c r="N220" s="62" t="n"/>
      <c r="O220" s="68">
        <f>IF(NOT((COUNTA($B220:$K220)+COUNTA($N220))&gt;0),"",IF((IF(AND($S220="Macro",$B220=""),"Macroactividad vacía"&amp;" · ","")&amp;IF(AND($B220&lt;&gt;"",$C220&lt;&gt;""),"Escriba la subactividad en otra fila, debajo de su macroactividad"&amp;" · ","")&amp;IF(AND($S220="Sub",N($R220)=0),"Subactividad sin macroactividad arriba"&amp;" · ","")&amp;IF($D220="","Sin responsable"&amp;" · ","")&amp;IF($E220="","Sin fecha de inicio"&amp;" · ","")&amp;IF($F220="","Sin fecha límite"&amp;" · ","")&amp;IF(OR(AND($E220&lt;&gt;"",NOT(ISNUMBER($E220))),AND($F220&lt;&gt;"",NOT(ISNUMBER($F220)))),"Fecha no válida"&amp;" · ","")&amp;IF(AND(ISNUMBER($E220),ISNUMBER($F220),$E220&gt;$F220),"Inicio posterior a fecha límite"&amp;" · ","")&amp;IF(AND($S220="Macro",$G220=""),"Peso vacío"&amp;" · ","")&amp;IF(AND($S220="Macro",$G220&lt;&gt;"",OR(NOT(ISNUMBER($G220)),$G220&lt;=0,$G220&gt;1)),"Peso fuera de rango"&amp;" · ","")&amp;IF(AND($S220="Sub",$G220&lt;&gt;""),"Las subactividades no llevan peso"&amp;" · ","")&amp;IF(AND($S220="Macro",ABS(SUMIFS($G$5:$G$1000,$P$5:$P$1000,$P220,$S$5:$S$1000,"Macro")-1)&gt;0.0001),"Pesos del mes suman "&amp;TEXT(SUMIFS($G$5:$G$1000,$P$5:$P$1000,$P220,$S$5:$S$1000,"Macro"),"0%")&amp;" · ","")&amp;IF(AND(N($T220)&gt;0,COUNT($H220:$K220)&gt;0),"Con subactividades: deje vacías las semanas (se calculan solas)"&amp;" · ","")&amp;IF((COUNTIF($H220:$K220,"&gt;1")+COUNTIF($H220:$K220,"&lt;0")+COUNTA($H220:$K220)-COUNT($H220:$K220))&gt;0,"Avance fuera de rango 0-100%"&amp;" · ","")&amp;IF(OR(AND($I220&lt;&gt;"",$I220&lt;$H220),AND($J220&lt;&gt;"",$J220&lt;MAX($H220:$I220)),AND($K220&lt;&gt;"",$K220&lt;MAX($H220:$J220))),"Avance semanal decreciente"&amp;" · ","")&amp;IF(AND(ISNUMBER($F220),$F220&lt;FechaRef,N($L220)&lt;1),"Vencida"&amp;" · ","")&amp;IF(AND(ObsObligatoria="Sí",ISNUMBER($F220),$F220&lt;FechaRef,N($L220)&lt;1,$N220=""),"Vencida sin observación"&amp;" · ",""))="","✔ OK","⚠ "&amp;LEFT(IF(AND($S220="Macro",$B220=""),"Macroactividad vacía"&amp;" · ","")&amp;IF(AND($B220&lt;&gt;"",$C220&lt;&gt;""),"Escriba la subactividad en otra fila, debajo de su macroactividad"&amp;" · ","")&amp;IF(AND($S220="Sub",N($R220)=0),"Subactividad sin macroactividad arriba"&amp;" · ","")&amp;IF($D220="","Sin responsable"&amp;" · ","")&amp;IF($E220="","Sin fecha de inicio"&amp;" · ","")&amp;IF($F220="","Sin fecha límite"&amp;" · ","")&amp;IF(OR(AND($E220&lt;&gt;"",NOT(ISNUMBER($E220))),AND($F220&lt;&gt;"",NOT(ISNUMBER($F220)))),"Fecha no válida"&amp;" · ","")&amp;IF(AND(ISNUMBER($E220),ISNUMBER($F220),$E220&gt;$F220),"Inicio posterior a fecha límite"&amp;" · ","")&amp;IF(AND($S220="Macro",$G220=""),"Peso vacío"&amp;" · ","")&amp;IF(AND($S220="Macro",$G220&lt;&gt;"",OR(NOT(ISNUMBER($G220)),$G220&lt;=0,$G220&gt;1)),"Peso fuera de rango"&amp;" · ","")&amp;IF(AND($S220="Sub",$G220&lt;&gt;""),"Las subactividades no llevan peso"&amp;" · ","")&amp;IF(AND($S220="Macro",ABS(SUMIFS($G$5:$G$1000,$P$5:$P$1000,$P220,$S$5:$S$1000,"Macro")-1)&gt;0.0001),"Pesos del mes suman "&amp;TEXT(SUMIFS($G$5:$G$1000,$P$5:$P$1000,$P220,$S$5:$S$1000,"Macro"),"0%")&amp;" · ","")&amp;IF(AND(N($T220)&gt;0,COUNT($H220:$K220)&gt;0),"Con subactividades: deje vacías las semanas (se calculan solas)"&amp;" · ","")&amp;IF((COUNTIF($H220:$K220,"&gt;1")+COUNTIF($H220:$K220,"&lt;0")+COUNTA($H220:$K220)-COUNT($H220:$K220))&gt;0,"Avance fuera de rango 0-100%"&amp;" · ","")&amp;IF(OR(AND($I220&lt;&gt;"",$I220&lt;$H220),AND($J220&lt;&gt;"",$J220&lt;MAX($H220:$I220)),AND($K220&lt;&gt;"",$K220&lt;MAX($H220:$J220))),"Avance semanal decreciente"&amp;" · ","")&amp;IF(AND(ISNUMBER($F220),$F220&lt;FechaRef,N($L220)&lt;1),"Vencida"&amp;" · ","")&amp;IF(AND(ObsObligatoria="Sí",ISNUMBER($F220),$F220&lt;FechaRef,N($L220)&lt;1,$N220=""),"Vencida sin observación"&amp;" · ",""),LEN(IF(AND($S220="Macro",$B220=""),"Macroactividad vacía"&amp;" · ","")&amp;IF(AND($B220&lt;&gt;"",$C220&lt;&gt;""),"Escriba la subactividad en otra fila, debajo de su macroactividad"&amp;" · ","")&amp;IF(AND($S220="Sub",N($R220)=0),"Subactividad sin macroactividad arriba"&amp;" · ","")&amp;IF($D220="","Sin responsable"&amp;" · ","")&amp;IF($E220="","Sin fecha de inicio"&amp;" · ","")&amp;IF($F220="","Sin fecha límite"&amp;" · ","")&amp;IF(OR(AND($E220&lt;&gt;"",NOT(ISNUMBER($E220))),AND($F220&lt;&gt;"",NOT(ISNUMBER($F220)))),"Fecha no válida"&amp;" · ","")&amp;IF(AND(ISNUMBER($E220),ISNUMBER($F220),$E220&gt;$F220),"Inicio posterior a fecha límite"&amp;" · ","")&amp;IF(AND($S220="Macro",$G220=""),"Peso vacío"&amp;" · ","")&amp;IF(AND($S220="Macro",$G220&lt;&gt;"",OR(NOT(ISNUMBER($G220)),$G220&lt;=0,$G220&gt;1)),"Peso fuera de rango"&amp;" · ","")&amp;IF(AND($S220="Sub",$G220&lt;&gt;""),"Las subactividades no llevan peso"&amp;" · ","")&amp;IF(AND($S220="Macro",ABS(SUMIFS($G$5:$G$1000,$P$5:$P$1000,$P220,$S$5:$S$1000,"Macro")-1)&gt;0.0001),"Pesos del mes suman "&amp;TEXT(SUMIFS($G$5:$G$1000,$P$5:$P$1000,$P220,$S$5:$S$1000,"Macro"),"0%")&amp;" · ","")&amp;IF(AND(N($T220)&gt;0,COUNT($H220:$K220)&gt;0),"Con subactividades: deje vacías las semanas (se calculan solas)"&amp;" · ","")&amp;IF((COUNTIF($H220:$K220,"&gt;1")+COUNTIF($H220:$K220,"&lt;0")+COUNTA($H220:$K220)-COUNT($H220:$K220))&gt;0,"Avance fuera de rango 0-100%"&amp;" · ","")&amp;IF(OR(AND($I220&lt;&gt;"",$I220&lt;$H220),AND($J220&lt;&gt;"",$J220&lt;MAX($H220:$I220)),AND($K220&lt;&gt;"",$K220&lt;MAX($H220:$J220))),"Avance semanal decreciente"&amp;" · ","")&amp;IF(AND(ISNUMBER($F220),$F220&lt;FechaRef,N($L220)&lt;1),"Vencida"&amp;" · ","")&amp;IF(AND(ObsObligatoria="Sí",ISNUMBER($F220),$F220&lt;FechaRef,N($L220)&lt;1,$N220=""),"Vencida sin observación"&amp;" · ",""))-3)))</f>
        <v/>
      </c>
      <c r="P220" s="69">
        <f>IF(NOT((COUNTA($B220:$K220)+COUNTA($N220))&gt;0),"",IF(AND($S220="Sub",N($R220)&gt;0),IF(ISNUMBER(INDEX($E$5:$E$1000,$R220-4)),DATE(YEAR(INDEX($E$5:$E$1000,$R220-4)),MONTH(INDEX($E$5:$E$1000,$R220-4)),1),IF(ISNUMBER(INDEX($F$5:$F$1000,$R220-4)),DATE(YEAR(INDEX($F$5:$F$1000,$R220-4)),MONTH(INDEX($F$5:$F$1000,$R220-4)),1),MesCiclo)),IF(ISNUMBER($E220),DATE(YEAR($E220),MONTH($E220),1),IF(ISNUMBER($F220),DATE(YEAR($F220),MONTH($F220),1),MesCiclo))))</f>
        <v/>
      </c>
      <c r="Q220" s="70">
        <f>IF(OR($P220="",$P220&lt;&gt;MesCiclo),"",COUNTIF($P$5:$P220,MesCiclo))</f>
        <v/>
      </c>
      <c r="R220" s="70">
        <f>IF($S220="","",IF($S220="Macro",ROW(),IFERROR(LOOKUP(2,1/($S$5:$S220="Macro"),ROW($S$5:$S220)),0)))</f>
        <v/>
      </c>
      <c r="S220" s="70">
        <f>IF(NOT((COUNTA($B220:$K220)+COUNTA($N220))&gt;0),"",IF($B220&lt;&gt;"","Macro",IF($C220&lt;&gt;"","Sub","Macro")))</f>
        <v/>
      </c>
      <c r="T220" s="70">
        <f>IF($S220="Macro",COUNTIFS($R$5:$R$1000,ROW(),$S$5:$S$1000,"Sub"),"")</f>
        <v/>
      </c>
      <c r="U220" s="70">
        <f>IF($S220="","",IF(ISNUMBER($H220),$H220,0))</f>
        <v/>
      </c>
      <c r="V220" s="70">
        <f>IF($S220="","",IF(ISNUMBER($I220),$I220,$U220))</f>
        <v/>
      </c>
      <c r="W220" s="70">
        <f>IF($S220="","",IF(ISNUMBER($J220),$J220,$V220))</f>
        <v/>
      </c>
      <c r="X220" s="70">
        <f>IF($S220="","",IF(ISNUMBER($K220),$K220,$W220))</f>
        <v/>
      </c>
      <c r="Y220" s="70">
        <f>IF($S220="","",IF(N($T220)&gt;0,AVERAGEIFS($U$5:$U$1000,$R$5:$R$1000,ROW(),$S$5:$S$1000,"Sub"),$U220))</f>
        <v/>
      </c>
      <c r="Z220" s="70">
        <f>IF($S220="","",IF(N($T220)&gt;0,AVERAGEIFS($V$5:$V$1000,$R$5:$R$1000,ROW(),$S$5:$S$1000,"Sub"),$V220))</f>
        <v/>
      </c>
      <c r="AA220" s="70">
        <f>IF($S220="","",IF(N($T220)&gt;0,AVERAGEIFS($W$5:$W$1000,$R$5:$R$1000,ROW(),$S$5:$S$1000,"Sub"),$W220))</f>
        <v/>
      </c>
      <c r="AB220" s="70">
        <f>IF($S220="","",IF(N($T220)&gt;0,AVERAGEIFS($X$5:$X$1000,$R$5:$R$1000,ROW(),$S$5:$S$1000,"Sub"),$X220))</f>
        <v/>
      </c>
    </row>
    <row r="221">
      <c r="A221" s="61">
        <f>IF(NOT((COUNTA($B221:$K221)+COUNTA($N221))&gt;0),"",IF($S221="Macro",COUNTIFS($S$5:$S221,"Macro",$P$5:$P221,$P221),IF(N($R221)=0,"?",COUNTIFS(INDEX($S$5:$S$1000,1):INDEX($S$5:$S$1000,$R221-4),"Macro",INDEX($P$5:$P$1000,1):INDEX($P$5:$P$1000,$R221-4),INDEX($P$5:$P$1000,$R221-4))&amp;"."&amp;COUNTIFS($R$5:$R221,$R221,$S$5:$S221,"Sub"))))</f>
        <v/>
      </c>
      <c r="B221" s="62" t="n"/>
      <c r="C221" s="63" t="n"/>
      <c r="D221" s="62" t="n"/>
      <c r="E221" s="64" t="n"/>
      <c r="F221" s="64" t="n"/>
      <c r="G221" s="65" t="n"/>
      <c r="H221" s="66" t="n"/>
      <c r="I221" s="66" t="n"/>
      <c r="J221" s="66" t="n"/>
      <c r="K221" s="66" t="n"/>
      <c r="L221" s="67">
        <f>IF(NOT((COUNTA($B221:$K221)+COUNTA($N221))&gt;0),"",IF(N($T221)&gt;0,$AB221,IFERROR(LOOKUP(2,1/(H221:K221&lt;&gt;""),H221:K221),0)))</f>
        <v/>
      </c>
      <c r="M221" s="61">
        <f>IF(L221="","",IF(L221&gt;=1,"Completado",IF(L221&gt;0,"En curso","Pendiente")))</f>
        <v/>
      </c>
      <c r="N221" s="62" t="n"/>
      <c r="O221" s="68">
        <f>IF(NOT((COUNTA($B221:$K221)+COUNTA($N221))&gt;0),"",IF((IF(AND($S221="Macro",$B221=""),"Macroactividad vacía"&amp;" · ","")&amp;IF(AND($B221&lt;&gt;"",$C221&lt;&gt;""),"Escriba la subactividad en otra fila, debajo de su macroactividad"&amp;" · ","")&amp;IF(AND($S221="Sub",N($R221)=0),"Subactividad sin macroactividad arriba"&amp;" · ","")&amp;IF($D221="","Sin responsable"&amp;" · ","")&amp;IF($E221="","Sin fecha de inicio"&amp;" · ","")&amp;IF($F221="","Sin fecha límite"&amp;" · ","")&amp;IF(OR(AND($E221&lt;&gt;"",NOT(ISNUMBER($E221))),AND($F221&lt;&gt;"",NOT(ISNUMBER($F221)))),"Fecha no válida"&amp;" · ","")&amp;IF(AND(ISNUMBER($E221),ISNUMBER($F221),$E221&gt;$F221),"Inicio posterior a fecha límite"&amp;" · ","")&amp;IF(AND($S221="Macro",$G221=""),"Peso vacío"&amp;" · ","")&amp;IF(AND($S221="Macro",$G221&lt;&gt;"",OR(NOT(ISNUMBER($G221)),$G221&lt;=0,$G221&gt;1)),"Peso fuera de rango"&amp;" · ","")&amp;IF(AND($S221="Sub",$G221&lt;&gt;""),"Las subactividades no llevan peso"&amp;" · ","")&amp;IF(AND($S221="Macro",ABS(SUMIFS($G$5:$G$1000,$P$5:$P$1000,$P221,$S$5:$S$1000,"Macro")-1)&gt;0.0001),"Pesos del mes suman "&amp;TEXT(SUMIFS($G$5:$G$1000,$P$5:$P$1000,$P221,$S$5:$S$1000,"Macro"),"0%")&amp;" · ","")&amp;IF(AND(N($T221)&gt;0,COUNT($H221:$K221)&gt;0),"Con subactividades: deje vacías las semanas (se calculan solas)"&amp;" · ","")&amp;IF((COUNTIF($H221:$K221,"&gt;1")+COUNTIF($H221:$K221,"&lt;0")+COUNTA($H221:$K221)-COUNT($H221:$K221))&gt;0,"Avance fuera de rango 0-100%"&amp;" · ","")&amp;IF(OR(AND($I221&lt;&gt;"",$I221&lt;$H221),AND($J221&lt;&gt;"",$J221&lt;MAX($H221:$I221)),AND($K221&lt;&gt;"",$K221&lt;MAX($H221:$J221))),"Avance semanal decreciente"&amp;" · ","")&amp;IF(AND(ISNUMBER($F221),$F221&lt;FechaRef,N($L221)&lt;1),"Vencida"&amp;" · ","")&amp;IF(AND(ObsObligatoria="Sí",ISNUMBER($F221),$F221&lt;FechaRef,N($L221)&lt;1,$N221=""),"Vencida sin observación"&amp;" · ",""))="","✔ OK","⚠ "&amp;LEFT(IF(AND($S221="Macro",$B221=""),"Macroactividad vacía"&amp;" · ","")&amp;IF(AND($B221&lt;&gt;"",$C221&lt;&gt;""),"Escriba la subactividad en otra fila, debajo de su macroactividad"&amp;" · ","")&amp;IF(AND($S221="Sub",N($R221)=0),"Subactividad sin macroactividad arriba"&amp;" · ","")&amp;IF($D221="","Sin responsable"&amp;" · ","")&amp;IF($E221="","Sin fecha de inicio"&amp;" · ","")&amp;IF($F221="","Sin fecha límite"&amp;" · ","")&amp;IF(OR(AND($E221&lt;&gt;"",NOT(ISNUMBER($E221))),AND($F221&lt;&gt;"",NOT(ISNUMBER($F221)))),"Fecha no válida"&amp;" · ","")&amp;IF(AND(ISNUMBER($E221),ISNUMBER($F221),$E221&gt;$F221),"Inicio posterior a fecha límite"&amp;" · ","")&amp;IF(AND($S221="Macro",$G221=""),"Peso vacío"&amp;" · ","")&amp;IF(AND($S221="Macro",$G221&lt;&gt;"",OR(NOT(ISNUMBER($G221)),$G221&lt;=0,$G221&gt;1)),"Peso fuera de rango"&amp;" · ","")&amp;IF(AND($S221="Sub",$G221&lt;&gt;""),"Las subactividades no llevan peso"&amp;" · ","")&amp;IF(AND($S221="Macro",ABS(SUMIFS($G$5:$G$1000,$P$5:$P$1000,$P221,$S$5:$S$1000,"Macro")-1)&gt;0.0001),"Pesos del mes suman "&amp;TEXT(SUMIFS($G$5:$G$1000,$P$5:$P$1000,$P221,$S$5:$S$1000,"Macro"),"0%")&amp;" · ","")&amp;IF(AND(N($T221)&gt;0,COUNT($H221:$K221)&gt;0),"Con subactividades: deje vacías las semanas (se calculan solas)"&amp;" · ","")&amp;IF((COUNTIF($H221:$K221,"&gt;1")+COUNTIF($H221:$K221,"&lt;0")+COUNTA($H221:$K221)-COUNT($H221:$K221))&gt;0,"Avance fuera de rango 0-100%"&amp;" · ","")&amp;IF(OR(AND($I221&lt;&gt;"",$I221&lt;$H221),AND($J221&lt;&gt;"",$J221&lt;MAX($H221:$I221)),AND($K221&lt;&gt;"",$K221&lt;MAX($H221:$J221))),"Avance semanal decreciente"&amp;" · ","")&amp;IF(AND(ISNUMBER($F221),$F221&lt;FechaRef,N($L221)&lt;1),"Vencida"&amp;" · ","")&amp;IF(AND(ObsObligatoria="Sí",ISNUMBER($F221),$F221&lt;FechaRef,N($L221)&lt;1,$N221=""),"Vencida sin observación"&amp;" · ",""),LEN(IF(AND($S221="Macro",$B221=""),"Macroactividad vacía"&amp;" · ","")&amp;IF(AND($B221&lt;&gt;"",$C221&lt;&gt;""),"Escriba la subactividad en otra fila, debajo de su macroactividad"&amp;" · ","")&amp;IF(AND($S221="Sub",N($R221)=0),"Subactividad sin macroactividad arriba"&amp;" · ","")&amp;IF($D221="","Sin responsable"&amp;" · ","")&amp;IF($E221="","Sin fecha de inicio"&amp;" · ","")&amp;IF($F221="","Sin fecha límite"&amp;" · ","")&amp;IF(OR(AND($E221&lt;&gt;"",NOT(ISNUMBER($E221))),AND($F221&lt;&gt;"",NOT(ISNUMBER($F221)))),"Fecha no válida"&amp;" · ","")&amp;IF(AND(ISNUMBER($E221),ISNUMBER($F221),$E221&gt;$F221),"Inicio posterior a fecha límite"&amp;" · ","")&amp;IF(AND($S221="Macro",$G221=""),"Peso vacío"&amp;" · ","")&amp;IF(AND($S221="Macro",$G221&lt;&gt;"",OR(NOT(ISNUMBER($G221)),$G221&lt;=0,$G221&gt;1)),"Peso fuera de rango"&amp;" · ","")&amp;IF(AND($S221="Sub",$G221&lt;&gt;""),"Las subactividades no llevan peso"&amp;" · ","")&amp;IF(AND($S221="Macro",ABS(SUMIFS($G$5:$G$1000,$P$5:$P$1000,$P221,$S$5:$S$1000,"Macro")-1)&gt;0.0001),"Pesos del mes suman "&amp;TEXT(SUMIFS($G$5:$G$1000,$P$5:$P$1000,$P221,$S$5:$S$1000,"Macro"),"0%")&amp;" · ","")&amp;IF(AND(N($T221)&gt;0,COUNT($H221:$K221)&gt;0),"Con subactividades: deje vacías las semanas (se calculan solas)"&amp;" · ","")&amp;IF((COUNTIF($H221:$K221,"&gt;1")+COUNTIF($H221:$K221,"&lt;0")+COUNTA($H221:$K221)-COUNT($H221:$K221))&gt;0,"Avance fuera de rango 0-100%"&amp;" · ","")&amp;IF(OR(AND($I221&lt;&gt;"",$I221&lt;$H221),AND($J221&lt;&gt;"",$J221&lt;MAX($H221:$I221)),AND($K221&lt;&gt;"",$K221&lt;MAX($H221:$J221))),"Avance semanal decreciente"&amp;" · ","")&amp;IF(AND(ISNUMBER($F221),$F221&lt;FechaRef,N($L221)&lt;1),"Vencida"&amp;" · ","")&amp;IF(AND(ObsObligatoria="Sí",ISNUMBER($F221),$F221&lt;FechaRef,N($L221)&lt;1,$N221=""),"Vencida sin observación"&amp;" · ",""))-3)))</f>
        <v/>
      </c>
      <c r="P221" s="69">
        <f>IF(NOT((COUNTA($B221:$K221)+COUNTA($N221))&gt;0),"",IF(AND($S221="Sub",N($R221)&gt;0),IF(ISNUMBER(INDEX($E$5:$E$1000,$R221-4)),DATE(YEAR(INDEX($E$5:$E$1000,$R221-4)),MONTH(INDEX($E$5:$E$1000,$R221-4)),1),IF(ISNUMBER(INDEX($F$5:$F$1000,$R221-4)),DATE(YEAR(INDEX($F$5:$F$1000,$R221-4)),MONTH(INDEX($F$5:$F$1000,$R221-4)),1),MesCiclo)),IF(ISNUMBER($E221),DATE(YEAR($E221),MONTH($E221),1),IF(ISNUMBER($F221),DATE(YEAR($F221),MONTH($F221),1),MesCiclo))))</f>
        <v/>
      </c>
      <c r="Q221" s="70">
        <f>IF(OR($P221="",$P221&lt;&gt;MesCiclo),"",COUNTIF($P$5:$P221,MesCiclo))</f>
        <v/>
      </c>
      <c r="R221" s="70">
        <f>IF($S221="","",IF($S221="Macro",ROW(),IFERROR(LOOKUP(2,1/($S$5:$S221="Macro"),ROW($S$5:$S221)),0)))</f>
        <v/>
      </c>
      <c r="S221" s="70">
        <f>IF(NOT((COUNTA($B221:$K221)+COUNTA($N221))&gt;0),"",IF($B221&lt;&gt;"","Macro",IF($C221&lt;&gt;"","Sub","Macro")))</f>
        <v/>
      </c>
      <c r="T221" s="70">
        <f>IF($S221="Macro",COUNTIFS($R$5:$R$1000,ROW(),$S$5:$S$1000,"Sub"),"")</f>
        <v/>
      </c>
      <c r="U221" s="70">
        <f>IF($S221="","",IF(ISNUMBER($H221),$H221,0))</f>
        <v/>
      </c>
      <c r="V221" s="70">
        <f>IF($S221="","",IF(ISNUMBER($I221),$I221,$U221))</f>
        <v/>
      </c>
      <c r="W221" s="70">
        <f>IF($S221="","",IF(ISNUMBER($J221),$J221,$V221))</f>
        <v/>
      </c>
      <c r="X221" s="70">
        <f>IF($S221="","",IF(ISNUMBER($K221),$K221,$W221))</f>
        <v/>
      </c>
      <c r="Y221" s="70">
        <f>IF($S221="","",IF(N($T221)&gt;0,AVERAGEIFS($U$5:$U$1000,$R$5:$R$1000,ROW(),$S$5:$S$1000,"Sub"),$U221))</f>
        <v/>
      </c>
      <c r="Z221" s="70">
        <f>IF($S221="","",IF(N($T221)&gt;0,AVERAGEIFS($V$5:$V$1000,$R$5:$R$1000,ROW(),$S$5:$S$1000,"Sub"),$V221))</f>
        <v/>
      </c>
      <c r="AA221" s="70">
        <f>IF($S221="","",IF(N($T221)&gt;0,AVERAGEIFS($W$5:$W$1000,$R$5:$R$1000,ROW(),$S$5:$S$1000,"Sub"),$W221))</f>
        <v/>
      </c>
      <c r="AB221" s="70">
        <f>IF($S221="","",IF(N($T221)&gt;0,AVERAGEIFS($X$5:$X$1000,$R$5:$R$1000,ROW(),$S$5:$S$1000,"Sub"),$X221))</f>
        <v/>
      </c>
    </row>
    <row r="222">
      <c r="A222" s="61">
        <f>IF(NOT((COUNTA($B222:$K222)+COUNTA($N222))&gt;0),"",IF($S222="Macro",COUNTIFS($S$5:$S222,"Macro",$P$5:$P222,$P222),IF(N($R222)=0,"?",COUNTIFS(INDEX($S$5:$S$1000,1):INDEX($S$5:$S$1000,$R222-4),"Macro",INDEX($P$5:$P$1000,1):INDEX($P$5:$P$1000,$R222-4),INDEX($P$5:$P$1000,$R222-4))&amp;"."&amp;COUNTIFS($R$5:$R222,$R222,$S$5:$S222,"Sub"))))</f>
        <v/>
      </c>
      <c r="B222" s="62" t="n"/>
      <c r="C222" s="63" t="n"/>
      <c r="D222" s="62" t="n"/>
      <c r="E222" s="64" t="n"/>
      <c r="F222" s="64" t="n"/>
      <c r="G222" s="65" t="n"/>
      <c r="H222" s="66" t="n"/>
      <c r="I222" s="66" t="n"/>
      <c r="J222" s="66" t="n"/>
      <c r="K222" s="66" t="n"/>
      <c r="L222" s="67">
        <f>IF(NOT((COUNTA($B222:$K222)+COUNTA($N222))&gt;0),"",IF(N($T222)&gt;0,$AB222,IFERROR(LOOKUP(2,1/(H222:K222&lt;&gt;""),H222:K222),0)))</f>
        <v/>
      </c>
      <c r="M222" s="61">
        <f>IF(L222="","",IF(L222&gt;=1,"Completado",IF(L222&gt;0,"En curso","Pendiente")))</f>
        <v/>
      </c>
      <c r="N222" s="62" t="n"/>
      <c r="O222" s="68">
        <f>IF(NOT((COUNTA($B222:$K222)+COUNTA($N222))&gt;0),"",IF((IF(AND($S222="Macro",$B222=""),"Macroactividad vacía"&amp;" · ","")&amp;IF(AND($B222&lt;&gt;"",$C222&lt;&gt;""),"Escriba la subactividad en otra fila, debajo de su macroactividad"&amp;" · ","")&amp;IF(AND($S222="Sub",N($R222)=0),"Subactividad sin macroactividad arriba"&amp;" · ","")&amp;IF($D222="","Sin responsable"&amp;" · ","")&amp;IF($E222="","Sin fecha de inicio"&amp;" · ","")&amp;IF($F222="","Sin fecha límite"&amp;" · ","")&amp;IF(OR(AND($E222&lt;&gt;"",NOT(ISNUMBER($E222))),AND($F222&lt;&gt;"",NOT(ISNUMBER($F222)))),"Fecha no válida"&amp;" · ","")&amp;IF(AND(ISNUMBER($E222),ISNUMBER($F222),$E222&gt;$F222),"Inicio posterior a fecha límite"&amp;" · ","")&amp;IF(AND($S222="Macro",$G222=""),"Peso vacío"&amp;" · ","")&amp;IF(AND($S222="Macro",$G222&lt;&gt;"",OR(NOT(ISNUMBER($G222)),$G222&lt;=0,$G222&gt;1)),"Peso fuera de rango"&amp;" · ","")&amp;IF(AND($S222="Sub",$G222&lt;&gt;""),"Las subactividades no llevan peso"&amp;" · ","")&amp;IF(AND($S222="Macro",ABS(SUMIFS($G$5:$G$1000,$P$5:$P$1000,$P222,$S$5:$S$1000,"Macro")-1)&gt;0.0001),"Pesos del mes suman "&amp;TEXT(SUMIFS($G$5:$G$1000,$P$5:$P$1000,$P222,$S$5:$S$1000,"Macro"),"0%")&amp;" · ","")&amp;IF(AND(N($T222)&gt;0,COUNT($H222:$K222)&gt;0),"Con subactividades: deje vacías las semanas (se calculan solas)"&amp;" · ","")&amp;IF((COUNTIF($H222:$K222,"&gt;1")+COUNTIF($H222:$K222,"&lt;0")+COUNTA($H222:$K222)-COUNT($H222:$K222))&gt;0,"Avance fuera de rango 0-100%"&amp;" · ","")&amp;IF(OR(AND($I222&lt;&gt;"",$I222&lt;$H222),AND($J222&lt;&gt;"",$J222&lt;MAX($H222:$I222)),AND($K222&lt;&gt;"",$K222&lt;MAX($H222:$J222))),"Avance semanal decreciente"&amp;" · ","")&amp;IF(AND(ISNUMBER($F222),$F222&lt;FechaRef,N($L222)&lt;1),"Vencida"&amp;" · ","")&amp;IF(AND(ObsObligatoria="Sí",ISNUMBER($F222),$F222&lt;FechaRef,N($L222)&lt;1,$N222=""),"Vencida sin observación"&amp;" · ",""))="","✔ OK","⚠ "&amp;LEFT(IF(AND($S222="Macro",$B222=""),"Macroactividad vacía"&amp;" · ","")&amp;IF(AND($B222&lt;&gt;"",$C222&lt;&gt;""),"Escriba la subactividad en otra fila, debajo de su macroactividad"&amp;" · ","")&amp;IF(AND($S222="Sub",N($R222)=0),"Subactividad sin macroactividad arriba"&amp;" · ","")&amp;IF($D222="","Sin responsable"&amp;" · ","")&amp;IF($E222="","Sin fecha de inicio"&amp;" · ","")&amp;IF($F222="","Sin fecha límite"&amp;" · ","")&amp;IF(OR(AND($E222&lt;&gt;"",NOT(ISNUMBER($E222))),AND($F222&lt;&gt;"",NOT(ISNUMBER($F222)))),"Fecha no válida"&amp;" · ","")&amp;IF(AND(ISNUMBER($E222),ISNUMBER($F222),$E222&gt;$F222),"Inicio posterior a fecha límite"&amp;" · ","")&amp;IF(AND($S222="Macro",$G222=""),"Peso vacío"&amp;" · ","")&amp;IF(AND($S222="Macro",$G222&lt;&gt;"",OR(NOT(ISNUMBER($G222)),$G222&lt;=0,$G222&gt;1)),"Peso fuera de rango"&amp;" · ","")&amp;IF(AND($S222="Sub",$G222&lt;&gt;""),"Las subactividades no llevan peso"&amp;" · ","")&amp;IF(AND($S222="Macro",ABS(SUMIFS($G$5:$G$1000,$P$5:$P$1000,$P222,$S$5:$S$1000,"Macro")-1)&gt;0.0001),"Pesos del mes suman "&amp;TEXT(SUMIFS($G$5:$G$1000,$P$5:$P$1000,$P222,$S$5:$S$1000,"Macro"),"0%")&amp;" · ","")&amp;IF(AND(N($T222)&gt;0,COUNT($H222:$K222)&gt;0),"Con subactividades: deje vacías las semanas (se calculan solas)"&amp;" · ","")&amp;IF((COUNTIF($H222:$K222,"&gt;1")+COUNTIF($H222:$K222,"&lt;0")+COUNTA($H222:$K222)-COUNT($H222:$K222))&gt;0,"Avance fuera de rango 0-100%"&amp;" · ","")&amp;IF(OR(AND($I222&lt;&gt;"",$I222&lt;$H222),AND($J222&lt;&gt;"",$J222&lt;MAX($H222:$I222)),AND($K222&lt;&gt;"",$K222&lt;MAX($H222:$J222))),"Avance semanal decreciente"&amp;" · ","")&amp;IF(AND(ISNUMBER($F222),$F222&lt;FechaRef,N($L222)&lt;1),"Vencida"&amp;" · ","")&amp;IF(AND(ObsObligatoria="Sí",ISNUMBER($F222),$F222&lt;FechaRef,N($L222)&lt;1,$N222=""),"Vencida sin observación"&amp;" · ",""),LEN(IF(AND($S222="Macro",$B222=""),"Macroactividad vacía"&amp;" · ","")&amp;IF(AND($B222&lt;&gt;"",$C222&lt;&gt;""),"Escriba la subactividad en otra fila, debajo de su macroactividad"&amp;" · ","")&amp;IF(AND($S222="Sub",N($R222)=0),"Subactividad sin macroactividad arriba"&amp;" · ","")&amp;IF($D222="","Sin responsable"&amp;" · ","")&amp;IF($E222="","Sin fecha de inicio"&amp;" · ","")&amp;IF($F222="","Sin fecha límite"&amp;" · ","")&amp;IF(OR(AND($E222&lt;&gt;"",NOT(ISNUMBER($E222))),AND($F222&lt;&gt;"",NOT(ISNUMBER($F222)))),"Fecha no válida"&amp;" · ","")&amp;IF(AND(ISNUMBER($E222),ISNUMBER($F222),$E222&gt;$F222),"Inicio posterior a fecha límite"&amp;" · ","")&amp;IF(AND($S222="Macro",$G222=""),"Peso vacío"&amp;" · ","")&amp;IF(AND($S222="Macro",$G222&lt;&gt;"",OR(NOT(ISNUMBER($G222)),$G222&lt;=0,$G222&gt;1)),"Peso fuera de rango"&amp;" · ","")&amp;IF(AND($S222="Sub",$G222&lt;&gt;""),"Las subactividades no llevan peso"&amp;" · ","")&amp;IF(AND($S222="Macro",ABS(SUMIFS($G$5:$G$1000,$P$5:$P$1000,$P222,$S$5:$S$1000,"Macro")-1)&gt;0.0001),"Pesos del mes suman "&amp;TEXT(SUMIFS($G$5:$G$1000,$P$5:$P$1000,$P222,$S$5:$S$1000,"Macro"),"0%")&amp;" · ","")&amp;IF(AND(N($T222)&gt;0,COUNT($H222:$K222)&gt;0),"Con subactividades: deje vacías las semanas (se calculan solas)"&amp;" · ","")&amp;IF((COUNTIF($H222:$K222,"&gt;1")+COUNTIF($H222:$K222,"&lt;0")+COUNTA($H222:$K222)-COUNT($H222:$K222))&gt;0,"Avance fuera de rango 0-100%"&amp;" · ","")&amp;IF(OR(AND($I222&lt;&gt;"",$I222&lt;$H222),AND($J222&lt;&gt;"",$J222&lt;MAX($H222:$I222)),AND($K222&lt;&gt;"",$K222&lt;MAX($H222:$J222))),"Avance semanal decreciente"&amp;" · ","")&amp;IF(AND(ISNUMBER($F222),$F222&lt;FechaRef,N($L222)&lt;1),"Vencida"&amp;" · ","")&amp;IF(AND(ObsObligatoria="Sí",ISNUMBER($F222),$F222&lt;FechaRef,N($L222)&lt;1,$N222=""),"Vencida sin observación"&amp;" · ",""))-3)))</f>
        <v/>
      </c>
      <c r="P222" s="69">
        <f>IF(NOT((COUNTA($B222:$K222)+COUNTA($N222))&gt;0),"",IF(AND($S222="Sub",N($R222)&gt;0),IF(ISNUMBER(INDEX($E$5:$E$1000,$R222-4)),DATE(YEAR(INDEX($E$5:$E$1000,$R222-4)),MONTH(INDEX($E$5:$E$1000,$R222-4)),1),IF(ISNUMBER(INDEX($F$5:$F$1000,$R222-4)),DATE(YEAR(INDEX($F$5:$F$1000,$R222-4)),MONTH(INDEX($F$5:$F$1000,$R222-4)),1),MesCiclo)),IF(ISNUMBER($E222),DATE(YEAR($E222),MONTH($E222),1),IF(ISNUMBER($F222),DATE(YEAR($F222),MONTH($F222),1),MesCiclo))))</f>
        <v/>
      </c>
      <c r="Q222" s="70">
        <f>IF(OR($P222="",$P222&lt;&gt;MesCiclo),"",COUNTIF($P$5:$P222,MesCiclo))</f>
        <v/>
      </c>
      <c r="R222" s="70">
        <f>IF($S222="","",IF($S222="Macro",ROW(),IFERROR(LOOKUP(2,1/($S$5:$S222="Macro"),ROW($S$5:$S222)),0)))</f>
        <v/>
      </c>
      <c r="S222" s="70">
        <f>IF(NOT((COUNTA($B222:$K222)+COUNTA($N222))&gt;0),"",IF($B222&lt;&gt;"","Macro",IF($C222&lt;&gt;"","Sub","Macro")))</f>
        <v/>
      </c>
      <c r="T222" s="70">
        <f>IF($S222="Macro",COUNTIFS($R$5:$R$1000,ROW(),$S$5:$S$1000,"Sub"),"")</f>
        <v/>
      </c>
      <c r="U222" s="70">
        <f>IF($S222="","",IF(ISNUMBER($H222),$H222,0))</f>
        <v/>
      </c>
      <c r="V222" s="70">
        <f>IF($S222="","",IF(ISNUMBER($I222),$I222,$U222))</f>
        <v/>
      </c>
      <c r="W222" s="70">
        <f>IF($S222="","",IF(ISNUMBER($J222),$J222,$V222))</f>
        <v/>
      </c>
      <c r="X222" s="70">
        <f>IF($S222="","",IF(ISNUMBER($K222),$K222,$W222))</f>
        <v/>
      </c>
      <c r="Y222" s="70">
        <f>IF($S222="","",IF(N($T222)&gt;0,AVERAGEIFS($U$5:$U$1000,$R$5:$R$1000,ROW(),$S$5:$S$1000,"Sub"),$U222))</f>
        <v/>
      </c>
      <c r="Z222" s="70">
        <f>IF($S222="","",IF(N($T222)&gt;0,AVERAGEIFS($V$5:$V$1000,$R$5:$R$1000,ROW(),$S$5:$S$1000,"Sub"),$V222))</f>
        <v/>
      </c>
      <c r="AA222" s="70">
        <f>IF($S222="","",IF(N($T222)&gt;0,AVERAGEIFS($W$5:$W$1000,$R$5:$R$1000,ROW(),$S$5:$S$1000,"Sub"),$W222))</f>
        <v/>
      </c>
      <c r="AB222" s="70">
        <f>IF($S222="","",IF(N($T222)&gt;0,AVERAGEIFS($X$5:$X$1000,$R$5:$R$1000,ROW(),$S$5:$S$1000,"Sub"),$X222))</f>
        <v/>
      </c>
    </row>
    <row r="223">
      <c r="A223" s="61">
        <f>IF(NOT((COUNTA($B223:$K223)+COUNTA($N223))&gt;0),"",IF($S223="Macro",COUNTIFS($S$5:$S223,"Macro",$P$5:$P223,$P223),IF(N($R223)=0,"?",COUNTIFS(INDEX($S$5:$S$1000,1):INDEX($S$5:$S$1000,$R223-4),"Macro",INDEX($P$5:$P$1000,1):INDEX($P$5:$P$1000,$R223-4),INDEX($P$5:$P$1000,$R223-4))&amp;"."&amp;COUNTIFS($R$5:$R223,$R223,$S$5:$S223,"Sub"))))</f>
        <v/>
      </c>
      <c r="B223" s="62" t="n"/>
      <c r="C223" s="63" t="n"/>
      <c r="D223" s="62" t="n"/>
      <c r="E223" s="64" t="n"/>
      <c r="F223" s="64" t="n"/>
      <c r="G223" s="65" t="n"/>
      <c r="H223" s="66" t="n"/>
      <c r="I223" s="66" t="n"/>
      <c r="J223" s="66" t="n"/>
      <c r="K223" s="66" t="n"/>
      <c r="L223" s="67">
        <f>IF(NOT((COUNTA($B223:$K223)+COUNTA($N223))&gt;0),"",IF(N($T223)&gt;0,$AB223,IFERROR(LOOKUP(2,1/(H223:K223&lt;&gt;""),H223:K223),0)))</f>
        <v/>
      </c>
      <c r="M223" s="61">
        <f>IF(L223="","",IF(L223&gt;=1,"Completado",IF(L223&gt;0,"En curso","Pendiente")))</f>
        <v/>
      </c>
      <c r="N223" s="62" t="n"/>
      <c r="O223" s="68">
        <f>IF(NOT((COUNTA($B223:$K223)+COUNTA($N223))&gt;0),"",IF((IF(AND($S223="Macro",$B223=""),"Macroactividad vacía"&amp;" · ","")&amp;IF(AND($B223&lt;&gt;"",$C223&lt;&gt;""),"Escriba la subactividad en otra fila, debajo de su macroactividad"&amp;" · ","")&amp;IF(AND($S223="Sub",N($R223)=0),"Subactividad sin macroactividad arriba"&amp;" · ","")&amp;IF($D223="","Sin responsable"&amp;" · ","")&amp;IF($E223="","Sin fecha de inicio"&amp;" · ","")&amp;IF($F223="","Sin fecha límite"&amp;" · ","")&amp;IF(OR(AND($E223&lt;&gt;"",NOT(ISNUMBER($E223))),AND($F223&lt;&gt;"",NOT(ISNUMBER($F223)))),"Fecha no válida"&amp;" · ","")&amp;IF(AND(ISNUMBER($E223),ISNUMBER($F223),$E223&gt;$F223),"Inicio posterior a fecha límite"&amp;" · ","")&amp;IF(AND($S223="Macro",$G223=""),"Peso vacío"&amp;" · ","")&amp;IF(AND($S223="Macro",$G223&lt;&gt;"",OR(NOT(ISNUMBER($G223)),$G223&lt;=0,$G223&gt;1)),"Peso fuera de rango"&amp;" · ","")&amp;IF(AND($S223="Sub",$G223&lt;&gt;""),"Las subactividades no llevan peso"&amp;" · ","")&amp;IF(AND($S223="Macro",ABS(SUMIFS($G$5:$G$1000,$P$5:$P$1000,$P223,$S$5:$S$1000,"Macro")-1)&gt;0.0001),"Pesos del mes suman "&amp;TEXT(SUMIFS($G$5:$G$1000,$P$5:$P$1000,$P223,$S$5:$S$1000,"Macro"),"0%")&amp;" · ","")&amp;IF(AND(N($T223)&gt;0,COUNT($H223:$K223)&gt;0),"Con subactividades: deje vacías las semanas (se calculan solas)"&amp;" · ","")&amp;IF((COUNTIF($H223:$K223,"&gt;1")+COUNTIF($H223:$K223,"&lt;0")+COUNTA($H223:$K223)-COUNT($H223:$K223))&gt;0,"Avance fuera de rango 0-100%"&amp;" · ","")&amp;IF(OR(AND($I223&lt;&gt;"",$I223&lt;$H223),AND($J223&lt;&gt;"",$J223&lt;MAX($H223:$I223)),AND($K223&lt;&gt;"",$K223&lt;MAX($H223:$J223))),"Avance semanal decreciente"&amp;" · ","")&amp;IF(AND(ISNUMBER($F223),$F223&lt;FechaRef,N($L223)&lt;1),"Vencida"&amp;" · ","")&amp;IF(AND(ObsObligatoria="Sí",ISNUMBER($F223),$F223&lt;FechaRef,N($L223)&lt;1,$N223=""),"Vencida sin observación"&amp;" · ",""))="","✔ OK","⚠ "&amp;LEFT(IF(AND($S223="Macro",$B223=""),"Macroactividad vacía"&amp;" · ","")&amp;IF(AND($B223&lt;&gt;"",$C223&lt;&gt;""),"Escriba la subactividad en otra fila, debajo de su macroactividad"&amp;" · ","")&amp;IF(AND($S223="Sub",N($R223)=0),"Subactividad sin macroactividad arriba"&amp;" · ","")&amp;IF($D223="","Sin responsable"&amp;" · ","")&amp;IF($E223="","Sin fecha de inicio"&amp;" · ","")&amp;IF($F223="","Sin fecha límite"&amp;" · ","")&amp;IF(OR(AND($E223&lt;&gt;"",NOT(ISNUMBER($E223))),AND($F223&lt;&gt;"",NOT(ISNUMBER($F223)))),"Fecha no válida"&amp;" · ","")&amp;IF(AND(ISNUMBER($E223),ISNUMBER($F223),$E223&gt;$F223),"Inicio posterior a fecha límite"&amp;" · ","")&amp;IF(AND($S223="Macro",$G223=""),"Peso vacío"&amp;" · ","")&amp;IF(AND($S223="Macro",$G223&lt;&gt;"",OR(NOT(ISNUMBER($G223)),$G223&lt;=0,$G223&gt;1)),"Peso fuera de rango"&amp;" · ","")&amp;IF(AND($S223="Sub",$G223&lt;&gt;""),"Las subactividades no llevan peso"&amp;" · ","")&amp;IF(AND($S223="Macro",ABS(SUMIFS($G$5:$G$1000,$P$5:$P$1000,$P223,$S$5:$S$1000,"Macro")-1)&gt;0.0001),"Pesos del mes suman "&amp;TEXT(SUMIFS($G$5:$G$1000,$P$5:$P$1000,$P223,$S$5:$S$1000,"Macro"),"0%")&amp;" · ","")&amp;IF(AND(N($T223)&gt;0,COUNT($H223:$K223)&gt;0),"Con subactividades: deje vacías las semanas (se calculan solas)"&amp;" · ","")&amp;IF((COUNTIF($H223:$K223,"&gt;1")+COUNTIF($H223:$K223,"&lt;0")+COUNTA($H223:$K223)-COUNT($H223:$K223))&gt;0,"Avance fuera de rango 0-100%"&amp;" · ","")&amp;IF(OR(AND($I223&lt;&gt;"",$I223&lt;$H223),AND($J223&lt;&gt;"",$J223&lt;MAX($H223:$I223)),AND($K223&lt;&gt;"",$K223&lt;MAX($H223:$J223))),"Avance semanal decreciente"&amp;" · ","")&amp;IF(AND(ISNUMBER($F223),$F223&lt;FechaRef,N($L223)&lt;1),"Vencida"&amp;" · ","")&amp;IF(AND(ObsObligatoria="Sí",ISNUMBER($F223),$F223&lt;FechaRef,N($L223)&lt;1,$N223=""),"Vencida sin observación"&amp;" · ",""),LEN(IF(AND($S223="Macro",$B223=""),"Macroactividad vacía"&amp;" · ","")&amp;IF(AND($B223&lt;&gt;"",$C223&lt;&gt;""),"Escriba la subactividad en otra fila, debajo de su macroactividad"&amp;" · ","")&amp;IF(AND($S223="Sub",N($R223)=0),"Subactividad sin macroactividad arriba"&amp;" · ","")&amp;IF($D223="","Sin responsable"&amp;" · ","")&amp;IF($E223="","Sin fecha de inicio"&amp;" · ","")&amp;IF($F223="","Sin fecha límite"&amp;" · ","")&amp;IF(OR(AND($E223&lt;&gt;"",NOT(ISNUMBER($E223))),AND($F223&lt;&gt;"",NOT(ISNUMBER($F223)))),"Fecha no válida"&amp;" · ","")&amp;IF(AND(ISNUMBER($E223),ISNUMBER($F223),$E223&gt;$F223),"Inicio posterior a fecha límite"&amp;" · ","")&amp;IF(AND($S223="Macro",$G223=""),"Peso vacío"&amp;" · ","")&amp;IF(AND($S223="Macro",$G223&lt;&gt;"",OR(NOT(ISNUMBER($G223)),$G223&lt;=0,$G223&gt;1)),"Peso fuera de rango"&amp;" · ","")&amp;IF(AND($S223="Sub",$G223&lt;&gt;""),"Las subactividades no llevan peso"&amp;" · ","")&amp;IF(AND($S223="Macro",ABS(SUMIFS($G$5:$G$1000,$P$5:$P$1000,$P223,$S$5:$S$1000,"Macro")-1)&gt;0.0001),"Pesos del mes suman "&amp;TEXT(SUMIFS($G$5:$G$1000,$P$5:$P$1000,$P223,$S$5:$S$1000,"Macro"),"0%")&amp;" · ","")&amp;IF(AND(N($T223)&gt;0,COUNT($H223:$K223)&gt;0),"Con subactividades: deje vacías las semanas (se calculan solas)"&amp;" · ","")&amp;IF((COUNTIF($H223:$K223,"&gt;1")+COUNTIF($H223:$K223,"&lt;0")+COUNTA($H223:$K223)-COUNT($H223:$K223))&gt;0,"Avance fuera de rango 0-100%"&amp;" · ","")&amp;IF(OR(AND($I223&lt;&gt;"",$I223&lt;$H223),AND($J223&lt;&gt;"",$J223&lt;MAX($H223:$I223)),AND($K223&lt;&gt;"",$K223&lt;MAX($H223:$J223))),"Avance semanal decreciente"&amp;" · ","")&amp;IF(AND(ISNUMBER($F223),$F223&lt;FechaRef,N($L223)&lt;1),"Vencida"&amp;" · ","")&amp;IF(AND(ObsObligatoria="Sí",ISNUMBER($F223),$F223&lt;FechaRef,N($L223)&lt;1,$N223=""),"Vencida sin observación"&amp;" · ",""))-3)))</f>
        <v/>
      </c>
      <c r="P223" s="69">
        <f>IF(NOT((COUNTA($B223:$K223)+COUNTA($N223))&gt;0),"",IF(AND($S223="Sub",N($R223)&gt;0),IF(ISNUMBER(INDEX($E$5:$E$1000,$R223-4)),DATE(YEAR(INDEX($E$5:$E$1000,$R223-4)),MONTH(INDEX($E$5:$E$1000,$R223-4)),1),IF(ISNUMBER(INDEX($F$5:$F$1000,$R223-4)),DATE(YEAR(INDEX($F$5:$F$1000,$R223-4)),MONTH(INDEX($F$5:$F$1000,$R223-4)),1),MesCiclo)),IF(ISNUMBER($E223),DATE(YEAR($E223),MONTH($E223),1),IF(ISNUMBER($F223),DATE(YEAR($F223),MONTH($F223),1),MesCiclo))))</f>
        <v/>
      </c>
      <c r="Q223" s="70">
        <f>IF(OR($P223="",$P223&lt;&gt;MesCiclo),"",COUNTIF($P$5:$P223,MesCiclo))</f>
        <v/>
      </c>
      <c r="R223" s="70">
        <f>IF($S223="","",IF($S223="Macro",ROW(),IFERROR(LOOKUP(2,1/($S$5:$S223="Macro"),ROW($S$5:$S223)),0)))</f>
        <v/>
      </c>
      <c r="S223" s="70">
        <f>IF(NOT((COUNTA($B223:$K223)+COUNTA($N223))&gt;0),"",IF($B223&lt;&gt;"","Macro",IF($C223&lt;&gt;"","Sub","Macro")))</f>
        <v/>
      </c>
      <c r="T223" s="70">
        <f>IF($S223="Macro",COUNTIFS($R$5:$R$1000,ROW(),$S$5:$S$1000,"Sub"),"")</f>
        <v/>
      </c>
      <c r="U223" s="70">
        <f>IF($S223="","",IF(ISNUMBER($H223),$H223,0))</f>
        <v/>
      </c>
      <c r="V223" s="70">
        <f>IF($S223="","",IF(ISNUMBER($I223),$I223,$U223))</f>
        <v/>
      </c>
      <c r="W223" s="70">
        <f>IF($S223="","",IF(ISNUMBER($J223),$J223,$V223))</f>
        <v/>
      </c>
      <c r="X223" s="70">
        <f>IF($S223="","",IF(ISNUMBER($K223),$K223,$W223))</f>
        <v/>
      </c>
      <c r="Y223" s="70">
        <f>IF($S223="","",IF(N($T223)&gt;0,AVERAGEIFS($U$5:$U$1000,$R$5:$R$1000,ROW(),$S$5:$S$1000,"Sub"),$U223))</f>
        <v/>
      </c>
      <c r="Z223" s="70">
        <f>IF($S223="","",IF(N($T223)&gt;0,AVERAGEIFS($V$5:$V$1000,$R$5:$R$1000,ROW(),$S$5:$S$1000,"Sub"),$V223))</f>
        <v/>
      </c>
      <c r="AA223" s="70">
        <f>IF($S223="","",IF(N($T223)&gt;0,AVERAGEIFS($W$5:$W$1000,$R$5:$R$1000,ROW(),$S$5:$S$1000,"Sub"),$W223))</f>
        <v/>
      </c>
      <c r="AB223" s="70">
        <f>IF($S223="","",IF(N($T223)&gt;0,AVERAGEIFS($X$5:$X$1000,$R$5:$R$1000,ROW(),$S$5:$S$1000,"Sub"),$X223))</f>
        <v/>
      </c>
    </row>
    <row r="224">
      <c r="A224" s="61">
        <f>IF(NOT((COUNTA($B224:$K224)+COUNTA($N224))&gt;0),"",IF($S224="Macro",COUNTIFS($S$5:$S224,"Macro",$P$5:$P224,$P224),IF(N($R224)=0,"?",COUNTIFS(INDEX($S$5:$S$1000,1):INDEX($S$5:$S$1000,$R224-4),"Macro",INDEX($P$5:$P$1000,1):INDEX($P$5:$P$1000,$R224-4),INDEX($P$5:$P$1000,$R224-4))&amp;"."&amp;COUNTIFS($R$5:$R224,$R224,$S$5:$S224,"Sub"))))</f>
        <v/>
      </c>
      <c r="B224" s="62" t="n"/>
      <c r="C224" s="63" t="n"/>
      <c r="D224" s="62" t="n"/>
      <c r="E224" s="64" t="n"/>
      <c r="F224" s="64" t="n"/>
      <c r="G224" s="65" t="n"/>
      <c r="H224" s="66" t="n"/>
      <c r="I224" s="66" t="n"/>
      <c r="J224" s="66" t="n"/>
      <c r="K224" s="66" t="n"/>
      <c r="L224" s="67">
        <f>IF(NOT((COUNTA($B224:$K224)+COUNTA($N224))&gt;0),"",IF(N($T224)&gt;0,$AB224,IFERROR(LOOKUP(2,1/(H224:K224&lt;&gt;""),H224:K224),0)))</f>
        <v/>
      </c>
      <c r="M224" s="61">
        <f>IF(L224="","",IF(L224&gt;=1,"Completado",IF(L224&gt;0,"En curso","Pendiente")))</f>
        <v/>
      </c>
      <c r="N224" s="62" t="n"/>
      <c r="O224" s="68">
        <f>IF(NOT((COUNTA($B224:$K224)+COUNTA($N224))&gt;0),"",IF((IF(AND($S224="Macro",$B224=""),"Macroactividad vacía"&amp;" · ","")&amp;IF(AND($B224&lt;&gt;"",$C224&lt;&gt;""),"Escriba la subactividad en otra fila, debajo de su macroactividad"&amp;" · ","")&amp;IF(AND($S224="Sub",N($R224)=0),"Subactividad sin macroactividad arriba"&amp;" · ","")&amp;IF($D224="","Sin responsable"&amp;" · ","")&amp;IF($E224="","Sin fecha de inicio"&amp;" · ","")&amp;IF($F224="","Sin fecha límite"&amp;" · ","")&amp;IF(OR(AND($E224&lt;&gt;"",NOT(ISNUMBER($E224))),AND($F224&lt;&gt;"",NOT(ISNUMBER($F224)))),"Fecha no válida"&amp;" · ","")&amp;IF(AND(ISNUMBER($E224),ISNUMBER($F224),$E224&gt;$F224),"Inicio posterior a fecha límite"&amp;" · ","")&amp;IF(AND($S224="Macro",$G224=""),"Peso vacío"&amp;" · ","")&amp;IF(AND($S224="Macro",$G224&lt;&gt;"",OR(NOT(ISNUMBER($G224)),$G224&lt;=0,$G224&gt;1)),"Peso fuera de rango"&amp;" · ","")&amp;IF(AND($S224="Sub",$G224&lt;&gt;""),"Las subactividades no llevan peso"&amp;" · ","")&amp;IF(AND($S224="Macro",ABS(SUMIFS($G$5:$G$1000,$P$5:$P$1000,$P224,$S$5:$S$1000,"Macro")-1)&gt;0.0001),"Pesos del mes suman "&amp;TEXT(SUMIFS($G$5:$G$1000,$P$5:$P$1000,$P224,$S$5:$S$1000,"Macro"),"0%")&amp;" · ","")&amp;IF(AND(N($T224)&gt;0,COUNT($H224:$K224)&gt;0),"Con subactividades: deje vacías las semanas (se calculan solas)"&amp;" · ","")&amp;IF((COUNTIF($H224:$K224,"&gt;1")+COUNTIF($H224:$K224,"&lt;0")+COUNTA($H224:$K224)-COUNT($H224:$K224))&gt;0,"Avance fuera de rango 0-100%"&amp;" · ","")&amp;IF(OR(AND($I224&lt;&gt;"",$I224&lt;$H224),AND($J224&lt;&gt;"",$J224&lt;MAX($H224:$I224)),AND($K224&lt;&gt;"",$K224&lt;MAX($H224:$J224))),"Avance semanal decreciente"&amp;" · ","")&amp;IF(AND(ISNUMBER($F224),$F224&lt;FechaRef,N($L224)&lt;1),"Vencida"&amp;" · ","")&amp;IF(AND(ObsObligatoria="Sí",ISNUMBER($F224),$F224&lt;FechaRef,N($L224)&lt;1,$N224=""),"Vencida sin observación"&amp;" · ",""))="","✔ OK","⚠ "&amp;LEFT(IF(AND($S224="Macro",$B224=""),"Macroactividad vacía"&amp;" · ","")&amp;IF(AND($B224&lt;&gt;"",$C224&lt;&gt;""),"Escriba la subactividad en otra fila, debajo de su macroactividad"&amp;" · ","")&amp;IF(AND($S224="Sub",N($R224)=0),"Subactividad sin macroactividad arriba"&amp;" · ","")&amp;IF($D224="","Sin responsable"&amp;" · ","")&amp;IF($E224="","Sin fecha de inicio"&amp;" · ","")&amp;IF($F224="","Sin fecha límite"&amp;" · ","")&amp;IF(OR(AND($E224&lt;&gt;"",NOT(ISNUMBER($E224))),AND($F224&lt;&gt;"",NOT(ISNUMBER($F224)))),"Fecha no válida"&amp;" · ","")&amp;IF(AND(ISNUMBER($E224),ISNUMBER($F224),$E224&gt;$F224),"Inicio posterior a fecha límite"&amp;" · ","")&amp;IF(AND($S224="Macro",$G224=""),"Peso vacío"&amp;" · ","")&amp;IF(AND($S224="Macro",$G224&lt;&gt;"",OR(NOT(ISNUMBER($G224)),$G224&lt;=0,$G224&gt;1)),"Peso fuera de rango"&amp;" · ","")&amp;IF(AND($S224="Sub",$G224&lt;&gt;""),"Las subactividades no llevan peso"&amp;" · ","")&amp;IF(AND($S224="Macro",ABS(SUMIFS($G$5:$G$1000,$P$5:$P$1000,$P224,$S$5:$S$1000,"Macro")-1)&gt;0.0001),"Pesos del mes suman "&amp;TEXT(SUMIFS($G$5:$G$1000,$P$5:$P$1000,$P224,$S$5:$S$1000,"Macro"),"0%")&amp;" · ","")&amp;IF(AND(N($T224)&gt;0,COUNT($H224:$K224)&gt;0),"Con subactividades: deje vacías las semanas (se calculan solas)"&amp;" · ","")&amp;IF((COUNTIF($H224:$K224,"&gt;1")+COUNTIF($H224:$K224,"&lt;0")+COUNTA($H224:$K224)-COUNT($H224:$K224))&gt;0,"Avance fuera de rango 0-100%"&amp;" · ","")&amp;IF(OR(AND($I224&lt;&gt;"",$I224&lt;$H224),AND($J224&lt;&gt;"",$J224&lt;MAX($H224:$I224)),AND($K224&lt;&gt;"",$K224&lt;MAX($H224:$J224))),"Avance semanal decreciente"&amp;" · ","")&amp;IF(AND(ISNUMBER($F224),$F224&lt;FechaRef,N($L224)&lt;1),"Vencida"&amp;" · ","")&amp;IF(AND(ObsObligatoria="Sí",ISNUMBER($F224),$F224&lt;FechaRef,N($L224)&lt;1,$N224=""),"Vencida sin observación"&amp;" · ",""),LEN(IF(AND($S224="Macro",$B224=""),"Macroactividad vacía"&amp;" · ","")&amp;IF(AND($B224&lt;&gt;"",$C224&lt;&gt;""),"Escriba la subactividad en otra fila, debajo de su macroactividad"&amp;" · ","")&amp;IF(AND($S224="Sub",N($R224)=0),"Subactividad sin macroactividad arriba"&amp;" · ","")&amp;IF($D224="","Sin responsable"&amp;" · ","")&amp;IF($E224="","Sin fecha de inicio"&amp;" · ","")&amp;IF($F224="","Sin fecha límite"&amp;" · ","")&amp;IF(OR(AND($E224&lt;&gt;"",NOT(ISNUMBER($E224))),AND($F224&lt;&gt;"",NOT(ISNUMBER($F224)))),"Fecha no válida"&amp;" · ","")&amp;IF(AND(ISNUMBER($E224),ISNUMBER($F224),$E224&gt;$F224),"Inicio posterior a fecha límite"&amp;" · ","")&amp;IF(AND($S224="Macro",$G224=""),"Peso vacío"&amp;" · ","")&amp;IF(AND($S224="Macro",$G224&lt;&gt;"",OR(NOT(ISNUMBER($G224)),$G224&lt;=0,$G224&gt;1)),"Peso fuera de rango"&amp;" · ","")&amp;IF(AND($S224="Sub",$G224&lt;&gt;""),"Las subactividades no llevan peso"&amp;" · ","")&amp;IF(AND($S224="Macro",ABS(SUMIFS($G$5:$G$1000,$P$5:$P$1000,$P224,$S$5:$S$1000,"Macro")-1)&gt;0.0001),"Pesos del mes suman "&amp;TEXT(SUMIFS($G$5:$G$1000,$P$5:$P$1000,$P224,$S$5:$S$1000,"Macro"),"0%")&amp;" · ","")&amp;IF(AND(N($T224)&gt;0,COUNT($H224:$K224)&gt;0),"Con subactividades: deje vacías las semanas (se calculan solas)"&amp;" · ","")&amp;IF((COUNTIF($H224:$K224,"&gt;1")+COUNTIF($H224:$K224,"&lt;0")+COUNTA($H224:$K224)-COUNT($H224:$K224))&gt;0,"Avance fuera de rango 0-100%"&amp;" · ","")&amp;IF(OR(AND($I224&lt;&gt;"",$I224&lt;$H224),AND($J224&lt;&gt;"",$J224&lt;MAX($H224:$I224)),AND($K224&lt;&gt;"",$K224&lt;MAX($H224:$J224))),"Avance semanal decreciente"&amp;" · ","")&amp;IF(AND(ISNUMBER($F224),$F224&lt;FechaRef,N($L224)&lt;1),"Vencida"&amp;" · ","")&amp;IF(AND(ObsObligatoria="Sí",ISNUMBER($F224),$F224&lt;FechaRef,N($L224)&lt;1,$N224=""),"Vencida sin observación"&amp;" · ",""))-3)))</f>
        <v/>
      </c>
      <c r="P224" s="69">
        <f>IF(NOT((COUNTA($B224:$K224)+COUNTA($N224))&gt;0),"",IF(AND($S224="Sub",N($R224)&gt;0),IF(ISNUMBER(INDEX($E$5:$E$1000,$R224-4)),DATE(YEAR(INDEX($E$5:$E$1000,$R224-4)),MONTH(INDEX($E$5:$E$1000,$R224-4)),1),IF(ISNUMBER(INDEX($F$5:$F$1000,$R224-4)),DATE(YEAR(INDEX($F$5:$F$1000,$R224-4)),MONTH(INDEX($F$5:$F$1000,$R224-4)),1),MesCiclo)),IF(ISNUMBER($E224),DATE(YEAR($E224),MONTH($E224),1),IF(ISNUMBER($F224),DATE(YEAR($F224),MONTH($F224),1),MesCiclo))))</f>
        <v/>
      </c>
      <c r="Q224" s="70">
        <f>IF(OR($P224="",$P224&lt;&gt;MesCiclo),"",COUNTIF($P$5:$P224,MesCiclo))</f>
        <v/>
      </c>
      <c r="R224" s="70">
        <f>IF($S224="","",IF($S224="Macro",ROW(),IFERROR(LOOKUP(2,1/($S$5:$S224="Macro"),ROW($S$5:$S224)),0)))</f>
        <v/>
      </c>
      <c r="S224" s="70">
        <f>IF(NOT((COUNTA($B224:$K224)+COUNTA($N224))&gt;0),"",IF($B224&lt;&gt;"","Macro",IF($C224&lt;&gt;"","Sub","Macro")))</f>
        <v/>
      </c>
      <c r="T224" s="70">
        <f>IF($S224="Macro",COUNTIFS($R$5:$R$1000,ROW(),$S$5:$S$1000,"Sub"),"")</f>
        <v/>
      </c>
      <c r="U224" s="70">
        <f>IF($S224="","",IF(ISNUMBER($H224),$H224,0))</f>
        <v/>
      </c>
      <c r="V224" s="70">
        <f>IF($S224="","",IF(ISNUMBER($I224),$I224,$U224))</f>
        <v/>
      </c>
      <c r="W224" s="70">
        <f>IF($S224="","",IF(ISNUMBER($J224),$J224,$V224))</f>
        <v/>
      </c>
      <c r="X224" s="70">
        <f>IF($S224="","",IF(ISNUMBER($K224),$K224,$W224))</f>
        <v/>
      </c>
      <c r="Y224" s="70">
        <f>IF($S224="","",IF(N($T224)&gt;0,AVERAGEIFS($U$5:$U$1000,$R$5:$R$1000,ROW(),$S$5:$S$1000,"Sub"),$U224))</f>
        <v/>
      </c>
      <c r="Z224" s="70">
        <f>IF($S224="","",IF(N($T224)&gt;0,AVERAGEIFS($V$5:$V$1000,$R$5:$R$1000,ROW(),$S$5:$S$1000,"Sub"),$V224))</f>
        <v/>
      </c>
      <c r="AA224" s="70">
        <f>IF($S224="","",IF(N($T224)&gt;0,AVERAGEIFS($W$5:$W$1000,$R$5:$R$1000,ROW(),$S$5:$S$1000,"Sub"),$W224))</f>
        <v/>
      </c>
      <c r="AB224" s="70">
        <f>IF($S224="","",IF(N($T224)&gt;0,AVERAGEIFS($X$5:$X$1000,$R$5:$R$1000,ROW(),$S$5:$S$1000,"Sub"),$X224))</f>
        <v/>
      </c>
    </row>
    <row r="225">
      <c r="A225" s="61">
        <f>IF(NOT((COUNTA($B225:$K225)+COUNTA($N225))&gt;0),"",IF($S225="Macro",COUNTIFS($S$5:$S225,"Macro",$P$5:$P225,$P225),IF(N($R225)=0,"?",COUNTIFS(INDEX($S$5:$S$1000,1):INDEX($S$5:$S$1000,$R225-4),"Macro",INDEX($P$5:$P$1000,1):INDEX($P$5:$P$1000,$R225-4),INDEX($P$5:$P$1000,$R225-4))&amp;"."&amp;COUNTIFS($R$5:$R225,$R225,$S$5:$S225,"Sub"))))</f>
        <v/>
      </c>
      <c r="B225" s="62" t="n"/>
      <c r="C225" s="63" t="n"/>
      <c r="D225" s="62" t="n"/>
      <c r="E225" s="64" t="n"/>
      <c r="F225" s="64" t="n"/>
      <c r="G225" s="65" t="n"/>
      <c r="H225" s="66" t="n"/>
      <c r="I225" s="66" t="n"/>
      <c r="J225" s="66" t="n"/>
      <c r="K225" s="66" t="n"/>
      <c r="L225" s="67">
        <f>IF(NOT((COUNTA($B225:$K225)+COUNTA($N225))&gt;0),"",IF(N($T225)&gt;0,$AB225,IFERROR(LOOKUP(2,1/(H225:K225&lt;&gt;""),H225:K225),0)))</f>
        <v/>
      </c>
      <c r="M225" s="61">
        <f>IF(L225="","",IF(L225&gt;=1,"Completado",IF(L225&gt;0,"En curso","Pendiente")))</f>
        <v/>
      </c>
      <c r="N225" s="62" t="n"/>
      <c r="O225" s="68">
        <f>IF(NOT((COUNTA($B225:$K225)+COUNTA($N225))&gt;0),"",IF((IF(AND($S225="Macro",$B225=""),"Macroactividad vacía"&amp;" · ","")&amp;IF(AND($B225&lt;&gt;"",$C225&lt;&gt;""),"Escriba la subactividad en otra fila, debajo de su macroactividad"&amp;" · ","")&amp;IF(AND($S225="Sub",N($R225)=0),"Subactividad sin macroactividad arriba"&amp;" · ","")&amp;IF($D225="","Sin responsable"&amp;" · ","")&amp;IF($E225="","Sin fecha de inicio"&amp;" · ","")&amp;IF($F225="","Sin fecha límite"&amp;" · ","")&amp;IF(OR(AND($E225&lt;&gt;"",NOT(ISNUMBER($E225))),AND($F225&lt;&gt;"",NOT(ISNUMBER($F225)))),"Fecha no válida"&amp;" · ","")&amp;IF(AND(ISNUMBER($E225),ISNUMBER($F225),$E225&gt;$F225),"Inicio posterior a fecha límite"&amp;" · ","")&amp;IF(AND($S225="Macro",$G225=""),"Peso vacío"&amp;" · ","")&amp;IF(AND($S225="Macro",$G225&lt;&gt;"",OR(NOT(ISNUMBER($G225)),$G225&lt;=0,$G225&gt;1)),"Peso fuera de rango"&amp;" · ","")&amp;IF(AND($S225="Sub",$G225&lt;&gt;""),"Las subactividades no llevan peso"&amp;" · ","")&amp;IF(AND($S225="Macro",ABS(SUMIFS($G$5:$G$1000,$P$5:$P$1000,$P225,$S$5:$S$1000,"Macro")-1)&gt;0.0001),"Pesos del mes suman "&amp;TEXT(SUMIFS($G$5:$G$1000,$P$5:$P$1000,$P225,$S$5:$S$1000,"Macro"),"0%")&amp;" · ","")&amp;IF(AND(N($T225)&gt;0,COUNT($H225:$K225)&gt;0),"Con subactividades: deje vacías las semanas (se calculan solas)"&amp;" · ","")&amp;IF((COUNTIF($H225:$K225,"&gt;1")+COUNTIF($H225:$K225,"&lt;0")+COUNTA($H225:$K225)-COUNT($H225:$K225))&gt;0,"Avance fuera de rango 0-100%"&amp;" · ","")&amp;IF(OR(AND($I225&lt;&gt;"",$I225&lt;$H225),AND($J225&lt;&gt;"",$J225&lt;MAX($H225:$I225)),AND($K225&lt;&gt;"",$K225&lt;MAX($H225:$J225))),"Avance semanal decreciente"&amp;" · ","")&amp;IF(AND(ISNUMBER($F225),$F225&lt;FechaRef,N($L225)&lt;1),"Vencida"&amp;" · ","")&amp;IF(AND(ObsObligatoria="Sí",ISNUMBER($F225),$F225&lt;FechaRef,N($L225)&lt;1,$N225=""),"Vencida sin observación"&amp;" · ",""))="","✔ OK","⚠ "&amp;LEFT(IF(AND($S225="Macro",$B225=""),"Macroactividad vacía"&amp;" · ","")&amp;IF(AND($B225&lt;&gt;"",$C225&lt;&gt;""),"Escriba la subactividad en otra fila, debajo de su macroactividad"&amp;" · ","")&amp;IF(AND($S225="Sub",N($R225)=0),"Subactividad sin macroactividad arriba"&amp;" · ","")&amp;IF($D225="","Sin responsable"&amp;" · ","")&amp;IF($E225="","Sin fecha de inicio"&amp;" · ","")&amp;IF($F225="","Sin fecha límite"&amp;" · ","")&amp;IF(OR(AND($E225&lt;&gt;"",NOT(ISNUMBER($E225))),AND($F225&lt;&gt;"",NOT(ISNUMBER($F225)))),"Fecha no válida"&amp;" · ","")&amp;IF(AND(ISNUMBER($E225),ISNUMBER($F225),$E225&gt;$F225),"Inicio posterior a fecha límite"&amp;" · ","")&amp;IF(AND($S225="Macro",$G225=""),"Peso vacío"&amp;" · ","")&amp;IF(AND($S225="Macro",$G225&lt;&gt;"",OR(NOT(ISNUMBER($G225)),$G225&lt;=0,$G225&gt;1)),"Peso fuera de rango"&amp;" · ","")&amp;IF(AND($S225="Sub",$G225&lt;&gt;""),"Las subactividades no llevan peso"&amp;" · ","")&amp;IF(AND($S225="Macro",ABS(SUMIFS($G$5:$G$1000,$P$5:$P$1000,$P225,$S$5:$S$1000,"Macro")-1)&gt;0.0001),"Pesos del mes suman "&amp;TEXT(SUMIFS($G$5:$G$1000,$P$5:$P$1000,$P225,$S$5:$S$1000,"Macro"),"0%")&amp;" · ","")&amp;IF(AND(N($T225)&gt;0,COUNT($H225:$K225)&gt;0),"Con subactividades: deje vacías las semanas (se calculan solas)"&amp;" · ","")&amp;IF((COUNTIF($H225:$K225,"&gt;1")+COUNTIF($H225:$K225,"&lt;0")+COUNTA($H225:$K225)-COUNT($H225:$K225))&gt;0,"Avance fuera de rango 0-100%"&amp;" · ","")&amp;IF(OR(AND($I225&lt;&gt;"",$I225&lt;$H225),AND($J225&lt;&gt;"",$J225&lt;MAX($H225:$I225)),AND($K225&lt;&gt;"",$K225&lt;MAX($H225:$J225))),"Avance semanal decreciente"&amp;" · ","")&amp;IF(AND(ISNUMBER($F225),$F225&lt;FechaRef,N($L225)&lt;1),"Vencida"&amp;" · ","")&amp;IF(AND(ObsObligatoria="Sí",ISNUMBER($F225),$F225&lt;FechaRef,N($L225)&lt;1,$N225=""),"Vencida sin observación"&amp;" · ",""),LEN(IF(AND($S225="Macro",$B225=""),"Macroactividad vacía"&amp;" · ","")&amp;IF(AND($B225&lt;&gt;"",$C225&lt;&gt;""),"Escriba la subactividad en otra fila, debajo de su macroactividad"&amp;" · ","")&amp;IF(AND($S225="Sub",N($R225)=0),"Subactividad sin macroactividad arriba"&amp;" · ","")&amp;IF($D225="","Sin responsable"&amp;" · ","")&amp;IF($E225="","Sin fecha de inicio"&amp;" · ","")&amp;IF($F225="","Sin fecha límite"&amp;" · ","")&amp;IF(OR(AND($E225&lt;&gt;"",NOT(ISNUMBER($E225))),AND($F225&lt;&gt;"",NOT(ISNUMBER($F225)))),"Fecha no válida"&amp;" · ","")&amp;IF(AND(ISNUMBER($E225),ISNUMBER($F225),$E225&gt;$F225),"Inicio posterior a fecha límite"&amp;" · ","")&amp;IF(AND($S225="Macro",$G225=""),"Peso vacío"&amp;" · ","")&amp;IF(AND($S225="Macro",$G225&lt;&gt;"",OR(NOT(ISNUMBER($G225)),$G225&lt;=0,$G225&gt;1)),"Peso fuera de rango"&amp;" · ","")&amp;IF(AND($S225="Sub",$G225&lt;&gt;""),"Las subactividades no llevan peso"&amp;" · ","")&amp;IF(AND($S225="Macro",ABS(SUMIFS($G$5:$G$1000,$P$5:$P$1000,$P225,$S$5:$S$1000,"Macro")-1)&gt;0.0001),"Pesos del mes suman "&amp;TEXT(SUMIFS($G$5:$G$1000,$P$5:$P$1000,$P225,$S$5:$S$1000,"Macro"),"0%")&amp;" · ","")&amp;IF(AND(N($T225)&gt;0,COUNT($H225:$K225)&gt;0),"Con subactividades: deje vacías las semanas (se calculan solas)"&amp;" · ","")&amp;IF((COUNTIF($H225:$K225,"&gt;1")+COUNTIF($H225:$K225,"&lt;0")+COUNTA($H225:$K225)-COUNT($H225:$K225))&gt;0,"Avance fuera de rango 0-100%"&amp;" · ","")&amp;IF(OR(AND($I225&lt;&gt;"",$I225&lt;$H225),AND($J225&lt;&gt;"",$J225&lt;MAX($H225:$I225)),AND($K225&lt;&gt;"",$K225&lt;MAX($H225:$J225))),"Avance semanal decreciente"&amp;" · ","")&amp;IF(AND(ISNUMBER($F225),$F225&lt;FechaRef,N($L225)&lt;1),"Vencida"&amp;" · ","")&amp;IF(AND(ObsObligatoria="Sí",ISNUMBER($F225),$F225&lt;FechaRef,N($L225)&lt;1,$N225=""),"Vencida sin observación"&amp;" · ",""))-3)))</f>
        <v/>
      </c>
      <c r="P225" s="69">
        <f>IF(NOT((COUNTA($B225:$K225)+COUNTA($N225))&gt;0),"",IF(AND($S225="Sub",N($R225)&gt;0),IF(ISNUMBER(INDEX($E$5:$E$1000,$R225-4)),DATE(YEAR(INDEX($E$5:$E$1000,$R225-4)),MONTH(INDEX($E$5:$E$1000,$R225-4)),1),IF(ISNUMBER(INDEX($F$5:$F$1000,$R225-4)),DATE(YEAR(INDEX($F$5:$F$1000,$R225-4)),MONTH(INDEX($F$5:$F$1000,$R225-4)),1),MesCiclo)),IF(ISNUMBER($E225),DATE(YEAR($E225),MONTH($E225),1),IF(ISNUMBER($F225),DATE(YEAR($F225),MONTH($F225),1),MesCiclo))))</f>
        <v/>
      </c>
      <c r="Q225" s="70">
        <f>IF(OR($P225="",$P225&lt;&gt;MesCiclo),"",COUNTIF($P$5:$P225,MesCiclo))</f>
        <v/>
      </c>
      <c r="R225" s="70">
        <f>IF($S225="","",IF($S225="Macro",ROW(),IFERROR(LOOKUP(2,1/($S$5:$S225="Macro"),ROW($S$5:$S225)),0)))</f>
        <v/>
      </c>
      <c r="S225" s="70">
        <f>IF(NOT((COUNTA($B225:$K225)+COUNTA($N225))&gt;0),"",IF($B225&lt;&gt;"","Macro",IF($C225&lt;&gt;"","Sub","Macro")))</f>
        <v/>
      </c>
      <c r="T225" s="70">
        <f>IF($S225="Macro",COUNTIFS($R$5:$R$1000,ROW(),$S$5:$S$1000,"Sub"),"")</f>
        <v/>
      </c>
      <c r="U225" s="70">
        <f>IF($S225="","",IF(ISNUMBER($H225),$H225,0))</f>
        <v/>
      </c>
      <c r="V225" s="70">
        <f>IF($S225="","",IF(ISNUMBER($I225),$I225,$U225))</f>
        <v/>
      </c>
      <c r="W225" s="70">
        <f>IF($S225="","",IF(ISNUMBER($J225),$J225,$V225))</f>
        <v/>
      </c>
      <c r="X225" s="70">
        <f>IF($S225="","",IF(ISNUMBER($K225),$K225,$W225))</f>
        <v/>
      </c>
      <c r="Y225" s="70">
        <f>IF($S225="","",IF(N($T225)&gt;0,AVERAGEIFS($U$5:$U$1000,$R$5:$R$1000,ROW(),$S$5:$S$1000,"Sub"),$U225))</f>
        <v/>
      </c>
      <c r="Z225" s="70">
        <f>IF($S225="","",IF(N($T225)&gt;0,AVERAGEIFS($V$5:$V$1000,$R$5:$R$1000,ROW(),$S$5:$S$1000,"Sub"),$V225))</f>
        <v/>
      </c>
      <c r="AA225" s="70">
        <f>IF($S225="","",IF(N($T225)&gt;0,AVERAGEIFS($W$5:$W$1000,$R$5:$R$1000,ROW(),$S$5:$S$1000,"Sub"),$W225))</f>
        <v/>
      </c>
      <c r="AB225" s="70">
        <f>IF($S225="","",IF(N($T225)&gt;0,AVERAGEIFS($X$5:$X$1000,$R$5:$R$1000,ROW(),$S$5:$S$1000,"Sub"),$X225))</f>
        <v/>
      </c>
    </row>
    <row r="226">
      <c r="A226" s="61">
        <f>IF(NOT((COUNTA($B226:$K226)+COUNTA($N226))&gt;0),"",IF($S226="Macro",COUNTIFS($S$5:$S226,"Macro",$P$5:$P226,$P226),IF(N($R226)=0,"?",COUNTIFS(INDEX($S$5:$S$1000,1):INDEX($S$5:$S$1000,$R226-4),"Macro",INDEX($P$5:$P$1000,1):INDEX($P$5:$P$1000,$R226-4),INDEX($P$5:$P$1000,$R226-4))&amp;"."&amp;COUNTIFS($R$5:$R226,$R226,$S$5:$S226,"Sub"))))</f>
        <v/>
      </c>
      <c r="B226" s="62" t="n"/>
      <c r="C226" s="63" t="n"/>
      <c r="D226" s="62" t="n"/>
      <c r="E226" s="64" t="n"/>
      <c r="F226" s="64" t="n"/>
      <c r="G226" s="65" t="n"/>
      <c r="H226" s="66" t="n"/>
      <c r="I226" s="66" t="n"/>
      <c r="J226" s="66" t="n"/>
      <c r="K226" s="66" t="n"/>
      <c r="L226" s="67">
        <f>IF(NOT((COUNTA($B226:$K226)+COUNTA($N226))&gt;0),"",IF(N($T226)&gt;0,$AB226,IFERROR(LOOKUP(2,1/(H226:K226&lt;&gt;""),H226:K226),0)))</f>
        <v/>
      </c>
      <c r="M226" s="61">
        <f>IF(L226="","",IF(L226&gt;=1,"Completado",IF(L226&gt;0,"En curso","Pendiente")))</f>
        <v/>
      </c>
      <c r="N226" s="62" t="n"/>
      <c r="O226" s="68">
        <f>IF(NOT((COUNTA($B226:$K226)+COUNTA($N226))&gt;0),"",IF((IF(AND($S226="Macro",$B226=""),"Macroactividad vacía"&amp;" · ","")&amp;IF(AND($B226&lt;&gt;"",$C226&lt;&gt;""),"Escriba la subactividad en otra fila, debajo de su macroactividad"&amp;" · ","")&amp;IF(AND($S226="Sub",N($R226)=0),"Subactividad sin macroactividad arriba"&amp;" · ","")&amp;IF($D226="","Sin responsable"&amp;" · ","")&amp;IF($E226="","Sin fecha de inicio"&amp;" · ","")&amp;IF($F226="","Sin fecha límite"&amp;" · ","")&amp;IF(OR(AND($E226&lt;&gt;"",NOT(ISNUMBER($E226))),AND($F226&lt;&gt;"",NOT(ISNUMBER($F226)))),"Fecha no válida"&amp;" · ","")&amp;IF(AND(ISNUMBER($E226),ISNUMBER($F226),$E226&gt;$F226),"Inicio posterior a fecha límite"&amp;" · ","")&amp;IF(AND($S226="Macro",$G226=""),"Peso vacío"&amp;" · ","")&amp;IF(AND($S226="Macro",$G226&lt;&gt;"",OR(NOT(ISNUMBER($G226)),$G226&lt;=0,$G226&gt;1)),"Peso fuera de rango"&amp;" · ","")&amp;IF(AND($S226="Sub",$G226&lt;&gt;""),"Las subactividades no llevan peso"&amp;" · ","")&amp;IF(AND($S226="Macro",ABS(SUMIFS($G$5:$G$1000,$P$5:$P$1000,$P226,$S$5:$S$1000,"Macro")-1)&gt;0.0001),"Pesos del mes suman "&amp;TEXT(SUMIFS($G$5:$G$1000,$P$5:$P$1000,$P226,$S$5:$S$1000,"Macro"),"0%")&amp;" · ","")&amp;IF(AND(N($T226)&gt;0,COUNT($H226:$K226)&gt;0),"Con subactividades: deje vacías las semanas (se calculan solas)"&amp;" · ","")&amp;IF((COUNTIF($H226:$K226,"&gt;1")+COUNTIF($H226:$K226,"&lt;0")+COUNTA($H226:$K226)-COUNT($H226:$K226))&gt;0,"Avance fuera de rango 0-100%"&amp;" · ","")&amp;IF(OR(AND($I226&lt;&gt;"",$I226&lt;$H226),AND($J226&lt;&gt;"",$J226&lt;MAX($H226:$I226)),AND($K226&lt;&gt;"",$K226&lt;MAX($H226:$J226))),"Avance semanal decreciente"&amp;" · ","")&amp;IF(AND(ISNUMBER($F226),$F226&lt;FechaRef,N($L226)&lt;1),"Vencida"&amp;" · ","")&amp;IF(AND(ObsObligatoria="Sí",ISNUMBER($F226),$F226&lt;FechaRef,N($L226)&lt;1,$N226=""),"Vencida sin observación"&amp;" · ",""))="","✔ OK","⚠ "&amp;LEFT(IF(AND($S226="Macro",$B226=""),"Macroactividad vacía"&amp;" · ","")&amp;IF(AND($B226&lt;&gt;"",$C226&lt;&gt;""),"Escriba la subactividad en otra fila, debajo de su macroactividad"&amp;" · ","")&amp;IF(AND($S226="Sub",N($R226)=0),"Subactividad sin macroactividad arriba"&amp;" · ","")&amp;IF($D226="","Sin responsable"&amp;" · ","")&amp;IF($E226="","Sin fecha de inicio"&amp;" · ","")&amp;IF($F226="","Sin fecha límite"&amp;" · ","")&amp;IF(OR(AND($E226&lt;&gt;"",NOT(ISNUMBER($E226))),AND($F226&lt;&gt;"",NOT(ISNUMBER($F226)))),"Fecha no válida"&amp;" · ","")&amp;IF(AND(ISNUMBER($E226),ISNUMBER($F226),$E226&gt;$F226),"Inicio posterior a fecha límite"&amp;" · ","")&amp;IF(AND($S226="Macro",$G226=""),"Peso vacío"&amp;" · ","")&amp;IF(AND($S226="Macro",$G226&lt;&gt;"",OR(NOT(ISNUMBER($G226)),$G226&lt;=0,$G226&gt;1)),"Peso fuera de rango"&amp;" · ","")&amp;IF(AND($S226="Sub",$G226&lt;&gt;""),"Las subactividades no llevan peso"&amp;" · ","")&amp;IF(AND($S226="Macro",ABS(SUMIFS($G$5:$G$1000,$P$5:$P$1000,$P226,$S$5:$S$1000,"Macro")-1)&gt;0.0001),"Pesos del mes suman "&amp;TEXT(SUMIFS($G$5:$G$1000,$P$5:$P$1000,$P226,$S$5:$S$1000,"Macro"),"0%")&amp;" · ","")&amp;IF(AND(N($T226)&gt;0,COUNT($H226:$K226)&gt;0),"Con subactividades: deje vacías las semanas (se calculan solas)"&amp;" · ","")&amp;IF((COUNTIF($H226:$K226,"&gt;1")+COUNTIF($H226:$K226,"&lt;0")+COUNTA($H226:$K226)-COUNT($H226:$K226))&gt;0,"Avance fuera de rango 0-100%"&amp;" · ","")&amp;IF(OR(AND($I226&lt;&gt;"",$I226&lt;$H226),AND($J226&lt;&gt;"",$J226&lt;MAX($H226:$I226)),AND($K226&lt;&gt;"",$K226&lt;MAX($H226:$J226))),"Avance semanal decreciente"&amp;" · ","")&amp;IF(AND(ISNUMBER($F226),$F226&lt;FechaRef,N($L226)&lt;1),"Vencida"&amp;" · ","")&amp;IF(AND(ObsObligatoria="Sí",ISNUMBER($F226),$F226&lt;FechaRef,N($L226)&lt;1,$N226=""),"Vencida sin observación"&amp;" · ",""),LEN(IF(AND($S226="Macro",$B226=""),"Macroactividad vacía"&amp;" · ","")&amp;IF(AND($B226&lt;&gt;"",$C226&lt;&gt;""),"Escriba la subactividad en otra fila, debajo de su macroactividad"&amp;" · ","")&amp;IF(AND($S226="Sub",N($R226)=0),"Subactividad sin macroactividad arriba"&amp;" · ","")&amp;IF($D226="","Sin responsable"&amp;" · ","")&amp;IF($E226="","Sin fecha de inicio"&amp;" · ","")&amp;IF($F226="","Sin fecha límite"&amp;" · ","")&amp;IF(OR(AND($E226&lt;&gt;"",NOT(ISNUMBER($E226))),AND($F226&lt;&gt;"",NOT(ISNUMBER($F226)))),"Fecha no válida"&amp;" · ","")&amp;IF(AND(ISNUMBER($E226),ISNUMBER($F226),$E226&gt;$F226),"Inicio posterior a fecha límite"&amp;" · ","")&amp;IF(AND($S226="Macro",$G226=""),"Peso vacío"&amp;" · ","")&amp;IF(AND($S226="Macro",$G226&lt;&gt;"",OR(NOT(ISNUMBER($G226)),$G226&lt;=0,$G226&gt;1)),"Peso fuera de rango"&amp;" · ","")&amp;IF(AND($S226="Sub",$G226&lt;&gt;""),"Las subactividades no llevan peso"&amp;" · ","")&amp;IF(AND($S226="Macro",ABS(SUMIFS($G$5:$G$1000,$P$5:$P$1000,$P226,$S$5:$S$1000,"Macro")-1)&gt;0.0001),"Pesos del mes suman "&amp;TEXT(SUMIFS($G$5:$G$1000,$P$5:$P$1000,$P226,$S$5:$S$1000,"Macro"),"0%")&amp;" · ","")&amp;IF(AND(N($T226)&gt;0,COUNT($H226:$K226)&gt;0),"Con subactividades: deje vacías las semanas (se calculan solas)"&amp;" · ","")&amp;IF((COUNTIF($H226:$K226,"&gt;1")+COUNTIF($H226:$K226,"&lt;0")+COUNTA($H226:$K226)-COUNT($H226:$K226))&gt;0,"Avance fuera de rango 0-100%"&amp;" · ","")&amp;IF(OR(AND($I226&lt;&gt;"",$I226&lt;$H226),AND($J226&lt;&gt;"",$J226&lt;MAX($H226:$I226)),AND($K226&lt;&gt;"",$K226&lt;MAX($H226:$J226))),"Avance semanal decreciente"&amp;" · ","")&amp;IF(AND(ISNUMBER($F226),$F226&lt;FechaRef,N($L226)&lt;1),"Vencida"&amp;" · ","")&amp;IF(AND(ObsObligatoria="Sí",ISNUMBER($F226),$F226&lt;FechaRef,N($L226)&lt;1,$N226=""),"Vencida sin observación"&amp;" · ",""))-3)))</f>
        <v/>
      </c>
      <c r="P226" s="69">
        <f>IF(NOT((COUNTA($B226:$K226)+COUNTA($N226))&gt;0),"",IF(AND($S226="Sub",N($R226)&gt;0),IF(ISNUMBER(INDEX($E$5:$E$1000,$R226-4)),DATE(YEAR(INDEX($E$5:$E$1000,$R226-4)),MONTH(INDEX($E$5:$E$1000,$R226-4)),1),IF(ISNUMBER(INDEX($F$5:$F$1000,$R226-4)),DATE(YEAR(INDEX($F$5:$F$1000,$R226-4)),MONTH(INDEX($F$5:$F$1000,$R226-4)),1),MesCiclo)),IF(ISNUMBER($E226),DATE(YEAR($E226),MONTH($E226),1),IF(ISNUMBER($F226),DATE(YEAR($F226),MONTH($F226),1),MesCiclo))))</f>
        <v/>
      </c>
      <c r="Q226" s="70">
        <f>IF(OR($P226="",$P226&lt;&gt;MesCiclo),"",COUNTIF($P$5:$P226,MesCiclo))</f>
        <v/>
      </c>
      <c r="R226" s="70">
        <f>IF($S226="","",IF($S226="Macro",ROW(),IFERROR(LOOKUP(2,1/($S$5:$S226="Macro"),ROW($S$5:$S226)),0)))</f>
        <v/>
      </c>
      <c r="S226" s="70">
        <f>IF(NOT((COUNTA($B226:$K226)+COUNTA($N226))&gt;0),"",IF($B226&lt;&gt;"","Macro",IF($C226&lt;&gt;"","Sub","Macro")))</f>
        <v/>
      </c>
      <c r="T226" s="70">
        <f>IF($S226="Macro",COUNTIFS($R$5:$R$1000,ROW(),$S$5:$S$1000,"Sub"),"")</f>
        <v/>
      </c>
      <c r="U226" s="70">
        <f>IF($S226="","",IF(ISNUMBER($H226),$H226,0))</f>
        <v/>
      </c>
      <c r="V226" s="70">
        <f>IF($S226="","",IF(ISNUMBER($I226),$I226,$U226))</f>
        <v/>
      </c>
      <c r="W226" s="70">
        <f>IF($S226="","",IF(ISNUMBER($J226),$J226,$V226))</f>
        <v/>
      </c>
      <c r="X226" s="70">
        <f>IF($S226="","",IF(ISNUMBER($K226),$K226,$W226))</f>
        <v/>
      </c>
      <c r="Y226" s="70">
        <f>IF($S226="","",IF(N($T226)&gt;0,AVERAGEIFS($U$5:$U$1000,$R$5:$R$1000,ROW(),$S$5:$S$1000,"Sub"),$U226))</f>
        <v/>
      </c>
      <c r="Z226" s="70">
        <f>IF($S226="","",IF(N($T226)&gt;0,AVERAGEIFS($V$5:$V$1000,$R$5:$R$1000,ROW(),$S$5:$S$1000,"Sub"),$V226))</f>
        <v/>
      </c>
      <c r="AA226" s="70">
        <f>IF($S226="","",IF(N($T226)&gt;0,AVERAGEIFS($W$5:$W$1000,$R$5:$R$1000,ROW(),$S$5:$S$1000,"Sub"),$W226))</f>
        <v/>
      </c>
      <c r="AB226" s="70">
        <f>IF($S226="","",IF(N($T226)&gt;0,AVERAGEIFS($X$5:$X$1000,$R$5:$R$1000,ROW(),$S$5:$S$1000,"Sub"),$X226))</f>
        <v/>
      </c>
    </row>
    <row r="227">
      <c r="A227" s="61">
        <f>IF(NOT((COUNTA($B227:$K227)+COUNTA($N227))&gt;0),"",IF($S227="Macro",COUNTIFS($S$5:$S227,"Macro",$P$5:$P227,$P227),IF(N($R227)=0,"?",COUNTIFS(INDEX($S$5:$S$1000,1):INDEX($S$5:$S$1000,$R227-4),"Macro",INDEX($P$5:$P$1000,1):INDEX($P$5:$P$1000,$R227-4),INDEX($P$5:$P$1000,$R227-4))&amp;"."&amp;COUNTIFS($R$5:$R227,$R227,$S$5:$S227,"Sub"))))</f>
        <v/>
      </c>
      <c r="B227" s="62" t="n"/>
      <c r="C227" s="63" t="n"/>
      <c r="D227" s="62" t="n"/>
      <c r="E227" s="64" t="n"/>
      <c r="F227" s="64" t="n"/>
      <c r="G227" s="65" t="n"/>
      <c r="H227" s="66" t="n"/>
      <c r="I227" s="66" t="n"/>
      <c r="J227" s="66" t="n"/>
      <c r="K227" s="66" t="n"/>
      <c r="L227" s="67">
        <f>IF(NOT((COUNTA($B227:$K227)+COUNTA($N227))&gt;0),"",IF(N($T227)&gt;0,$AB227,IFERROR(LOOKUP(2,1/(H227:K227&lt;&gt;""),H227:K227),0)))</f>
        <v/>
      </c>
      <c r="M227" s="61">
        <f>IF(L227="","",IF(L227&gt;=1,"Completado",IF(L227&gt;0,"En curso","Pendiente")))</f>
        <v/>
      </c>
      <c r="N227" s="62" t="n"/>
      <c r="O227" s="68">
        <f>IF(NOT((COUNTA($B227:$K227)+COUNTA($N227))&gt;0),"",IF((IF(AND($S227="Macro",$B227=""),"Macroactividad vacía"&amp;" · ","")&amp;IF(AND($B227&lt;&gt;"",$C227&lt;&gt;""),"Escriba la subactividad en otra fila, debajo de su macroactividad"&amp;" · ","")&amp;IF(AND($S227="Sub",N($R227)=0),"Subactividad sin macroactividad arriba"&amp;" · ","")&amp;IF($D227="","Sin responsable"&amp;" · ","")&amp;IF($E227="","Sin fecha de inicio"&amp;" · ","")&amp;IF($F227="","Sin fecha límite"&amp;" · ","")&amp;IF(OR(AND($E227&lt;&gt;"",NOT(ISNUMBER($E227))),AND($F227&lt;&gt;"",NOT(ISNUMBER($F227)))),"Fecha no válida"&amp;" · ","")&amp;IF(AND(ISNUMBER($E227),ISNUMBER($F227),$E227&gt;$F227),"Inicio posterior a fecha límite"&amp;" · ","")&amp;IF(AND($S227="Macro",$G227=""),"Peso vacío"&amp;" · ","")&amp;IF(AND($S227="Macro",$G227&lt;&gt;"",OR(NOT(ISNUMBER($G227)),$G227&lt;=0,$G227&gt;1)),"Peso fuera de rango"&amp;" · ","")&amp;IF(AND($S227="Sub",$G227&lt;&gt;""),"Las subactividades no llevan peso"&amp;" · ","")&amp;IF(AND($S227="Macro",ABS(SUMIFS($G$5:$G$1000,$P$5:$P$1000,$P227,$S$5:$S$1000,"Macro")-1)&gt;0.0001),"Pesos del mes suman "&amp;TEXT(SUMIFS($G$5:$G$1000,$P$5:$P$1000,$P227,$S$5:$S$1000,"Macro"),"0%")&amp;" · ","")&amp;IF(AND(N($T227)&gt;0,COUNT($H227:$K227)&gt;0),"Con subactividades: deje vacías las semanas (se calculan solas)"&amp;" · ","")&amp;IF((COUNTIF($H227:$K227,"&gt;1")+COUNTIF($H227:$K227,"&lt;0")+COUNTA($H227:$K227)-COUNT($H227:$K227))&gt;0,"Avance fuera de rango 0-100%"&amp;" · ","")&amp;IF(OR(AND($I227&lt;&gt;"",$I227&lt;$H227),AND($J227&lt;&gt;"",$J227&lt;MAX($H227:$I227)),AND($K227&lt;&gt;"",$K227&lt;MAX($H227:$J227))),"Avance semanal decreciente"&amp;" · ","")&amp;IF(AND(ISNUMBER($F227),$F227&lt;FechaRef,N($L227)&lt;1),"Vencida"&amp;" · ","")&amp;IF(AND(ObsObligatoria="Sí",ISNUMBER($F227),$F227&lt;FechaRef,N($L227)&lt;1,$N227=""),"Vencida sin observación"&amp;" · ",""))="","✔ OK","⚠ "&amp;LEFT(IF(AND($S227="Macro",$B227=""),"Macroactividad vacía"&amp;" · ","")&amp;IF(AND($B227&lt;&gt;"",$C227&lt;&gt;""),"Escriba la subactividad en otra fila, debajo de su macroactividad"&amp;" · ","")&amp;IF(AND($S227="Sub",N($R227)=0),"Subactividad sin macroactividad arriba"&amp;" · ","")&amp;IF($D227="","Sin responsable"&amp;" · ","")&amp;IF($E227="","Sin fecha de inicio"&amp;" · ","")&amp;IF($F227="","Sin fecha límite"&amp;" · ","")&amp;IF(OR(AND($E227&lt;&gt;"",NOT(ISNUMBER($E227))),AND($F227&lt;&gt;"",NOT(ISNUMBER($F227)))),"Fecha no válida"&amp;" · ","")&amp;IF(AND(ISNUMBER($E227),ISNUMBER($F227),$E227&gt;$F227),"Inicio posterior a fecha límite"&amp;" · ","")&amp;IF(AND($S227="Macro",$G227=""),"Peso vacío"&amp;" · ","")&amp;IF(AND($S227="Macro",$G227&lt;&gt;"",OR(NOT(ISNUMBER($G227)),$G227&lt;=0,$G227&gt;1)),"Peso fuera de rango"&amp;" · ","")&amp;IF(AND($S227="Sub",$G227&lt;&gt;""),"Las subactividades no llevan peso"&amp;" · ","")&amp;IF(AND($S227="Macro",ABS(SUMIFS($G$5:$G$1000,$P$5:$P$1000,$P227,$S$5:$S$1000,"Macro")-1)&gt;0.0001),"Pesos del mes suman "&amp;TEXT(SUMIFS($G$5:$G$1000,$P$5:$P$1000,$P227,$S$5:$S$1000,"Macro"),"0%")&amp;" · ","")&amp;IF(AND(N($T227)&gt;0,COUNT($H227:$K227)&gt;0),"Con subactividades: deje vacías las semanas (se calculan solas)"&amp;" · ","")&amp;IF((COUNTIF($H227:$K227,"&gt;1")+COUNTIF($H227:$K227,"&lt;0")+COUNTA($H227:$K227)-COUNT($H227:$K227))&gt;0,"Avance fuera de rango 0-100%"&amp;" · ","")&amp;IF(OR(AND($I227&lt;&gt;"",$I227&lt;$H227),AND($J227&lt;&gt;"",$J227&lt;MAX($H227:$I227)),AND($K227&lt;&gt;"",$K227&lt;MAX($H227:$J227))),"Avance semanal decreciente"&amp;" · ","")&amp;IF(AND(ISNUMBER($F227),$F227&lt;FechaRef,N($L227)&lt;1),"Vencida"&amp;" · ","")&amp;IF(AND(ObsObligatoria="Sí",ISNUMBER($F227),$F227&lt;FechaRef,N($L227)&lt;1,$N227=""),"Vencida sin observación"&amp;" · ",""),LEN(IF(AND($S227="Macro",$B227=""),"Macroactividad vacía"&amp;" · ","")&amp;IF(AND($B227&lt;&gt;"",$C227&lt;&gt;""),"Escriba la subactividad en otra fila, debajo de su macroactividad"&amp;" · ","")&amp;IF(AND($S227="Sub",N($R227)=0),"Subactividad sin macroactividad arriba"&amp;" · ","")&amp;IF($D227="","Sin responsable"&amp;" · ","")&amp;IF($E227="","Sin fecha de inicio"&amp;" · ","")&amp;IF($F227="","Sin fecha límite"&amp;" · ","")&amp;IF(OR(AND($E227&lt;&gt;"",NOT(ISNUMBER($E227))),AND($F227&lt;&gt;"",NOT(ISNUMBER($F227)))),"Fecha no válida"&amp;" · ","")&amp;IF(AND(ISNUMBER($E227),ISNUMBER($F227),$E227&gt;$F227),"Inicio posterior a fecha límite"&amp;" · ","")&amp;IF(AND($S227="Macro",$G227=""),"Peso vacío"&amp;" · ","")&amp;IF(AND($S227="Macro",$G227&lt;&gt;"",OR(NOT(ISNUMBER($G227)),$G227&lt;=0,$G227&gt;1)),"Peso fuera de rango"&amp;" · ","")&amp;IF(AND($S227="Sub",$G227&lt;&gt;""),"Las subactividades no llevan peso"&amp;" · ","")&amp;IF(AND($S227="Macro",ABS(SUMIFS($G$5:$G$1000,$P$5:$P$1000,$P227,$S$5:$S$1000,"Macro")-1)&gt;0.0001),"Pesos del mes suman "&amp;TEXT(SUMIFS($G$5:$G$1000,$P$5:$P$1000,$P227,$S$5:$S$1000,"Macro"),"0%")&amp;" · ","")&amp;IF(AND(N($T227)&gt;0,COUNT($H227:$K227)&gt;0),"Con subactividades: deje vacías las semanas (se calculan solas)"&amp;" · ","")&amp;IF((COUNTIF($H227:$K227,"&gt;1")+COUNTIF($H227:$K227,"&lt;0")+COUNTA($H227:$K227)-COUNT($H227:$K227))&gt;0,"Avance fuera de rango 0-100%"&amp;" · ","")&amp;IF(OR(AND($I227&lt;&gt;"",$I227&lt;$H227),AND($J227&lt;&gt;"",$J227&lt;MAX($H227:$I227)),AND($K227&lt;&gt;"",$K227&lt;MAX($H227:$J227))),"Avance semanal decreciente"&amp;" · ","")&amp;IF(AND(ISNUMBER($F227),$F227&lt;FechaRef,N($L227)&lt;1),"Vencida"&amp;" · ","")&amp;IF(AND(ObsObligatoria="Sí",ISNUMBER($F227),$F227&lt;FechaRef,N($L227)&lt;1,$N227=""),"Vencida sin observación"&amp;" · ",""))-3)))</f>
        <v/>
      </c>
      <c r="P227" s="69">
        <f>IF(NOT((COUNTA($B227:$K227)+COUNTA($N227))&gt;0),"",IF(AND($S227="Sub",N($R227)&gt;0),IF(ISNUMBER(INDEX($E$5:$E$1000,$R227-4)),DATE(YEAR(INDEX($E$5:$E$1000,$R227-4)),MONTH(INDEX($E$5:$E$1000,$R227-4)),1),IF(ISNUMBER(INDEX($F$5:$F$1000,$R227-4)),DATE(YEAR(INDEX($F$5:$F$1000,$R227-4)),MONTH(INDEX($F$5:$F$1000,$R227-4)),1),MesCiclo)),IF(ISNUMBER($E227),DATE(YEAR($E227),MONTH($E227),1),IF(ISNUMBER($F227),DATE(YEAR($F227),MONTH($F227),1),MesCiclo))))</f>
        <v/>
      </c>
      <c r="Q227" s="70">
        <f>IF(OR($P227="",$P227&lt;&gt;MesCiclo),"",COUNTIF($P$5:$P227,MesCiclo))</f>
        <v/>
      </c>
      <c r="R227" s="70">
        <f>IF($S227="","",IF($S227="Macro",ROW(),IFERROR(LOOKUP(2,1/($S$5:$S227="Macro"),ROW($S$5:$S227)),0)))</f>
        <v/>
      </c>
      <c r="S227" s="70">
        <f>IF(NOT((COUNTA($B227:$K227)+COUNTA($N227))&gt;0),"",IF($B227&lt;&gt;"","Macro",IF($C227&lt;&gt;"","Sub","Macro")))</f>
        <v/>
      </c>
      <c r="T227" s="70">
        <f>IF($S227="Macro",COUNTIFS($R$5:$R$1000,ROW(),$S$5:$S$1000,"Sub"),"")</f>
        <v/>
      </c>
      <c r="U227" s="70">
        <f>IF($S227="","",IF(ISNUMBER($H227),$H227,0))</f>
        <v/>
      </c>
      <c r="V227" s="70">
        <f>IF($S227="","",IF(ISNUMBER($I227),$I227,$U227))</f>
        <v/>
      </c>
      <c r="W227" s="70">
        <f>IF($S227="","",IF(ISNUMBER($J227),$J227,$V227))</f>
        <v/>
      </c>
      <c r="X227" s="70">
        <f>IF($S227="","",IF(ISNUMBER($K227),$K227,$W227))</f>
        <v/>
      </c>
      <c r="Y227" s="70">
        <f>IF($S227="","",IF(N($T227)&gt;0,AVERAGEIFS($U$5:$U$1000,$R$5:$R$1000,ROW(),$S$5:$S$1000,"Sub"),$U227))</f>
        <v/>
      </c>
      <c r="Z227" s="70">
        <f>IF($S227="","",IF(N($T227)&gt;0,AVERAGEIFS($V$5:$V$1000,$R$5:$R$1000,ROW(),$S$5:$S$1000,"Sub"),$V227))</f>
        <v/>
      </c>
      <c r="AA227" s="70">
        <f>IF($S227="","",IF(N($T227)&gt;0,AVERAGEIFS($W$5:$W$1000,$R$5:$R$1000,ROW(),$S$5:$S$1000,"Sub"),$W227))</f>
        <v/>
      </c>
      <c r="AB227" s="70">
        <f>IF($S227="","",IF(N($T227)&gt;0,AVERAGEIFS($X$5:$X$1000,$R$5:$R$1000,ROW(),$S$5:$S$1000,"Sub"),$X227))</f>
        <v/>
      </c>
    </row>
    <row r="228">
      <c r="A228" s="61">
        <f>IF(NOT((COUNTA($B228:$K228)+COUNTA($N228))&gt;0),"",IF($S228="Macro",COUNTIFS($S$5:$S228,"Macro",$P$5:$P228,$P228),IF(N($R228)=0,"?",COUNTIFS(INDEX($S$5:$S$1000,1):INDEX($S$5:$S$1000,$R228-4),"Macro",INDEX($P$5:$P$1000,1):INDEX($P$5:$P$1000,$R228-4),INDEX($P$5:$P$1000,$R228-4))&amp;"."&amp;COUNTIFS($R$5:$R228,$R228,$S$5:$S228,"Sub"))))</f>
        <v/>
      </c>
      <c r="B228" s="62" t="n"/>
      <c r="C228" s="63" t="n"/>
      <c r="D228" s="62" t="n"/>
      <c r="E228" s="64" t="n"/>
      <c r="F228" s="64" t="n"/>
      <c r="G228" s="65" t="n"/>
      <c r="H228" s="66" t="n"/>
      <c r="I228" s="66" t="n"/>
      <c r="J228" s="66" t="n"/>
      <c r="K228" s="66" t="n"/>
      <c r="L228" s="67">
        <f>IF(NOT((COUNTA($B228:$K228)+COUNTA($N228))&gt;0),"",IF(N($T228)&gt;0,$AB228,IFERROR(LOOKUP(2,1/(H228:K228&lt;&gt;""),H228:K228),0)))</f>
        <v/>
      </c>
      <c r="M228" s="61">
        <f>IF(L228="","",IF(L228&gt;=1,"Completado",IF(L228&gt;0,"En curso","Pendiente")))</f>
        <v/>
      </c>
      <c r="N228" s="62" t="n"/>
      <c r="O228" s="68">
        <f>IF(NOT((COUNTA($B228:$K228)+COUNTA($N228))&gt;0),"",IF((IF(AND($S228="Macro",$B228=""),"Macroactividad vacía"&amp;" · ","")&amp;IF(AND($B228&lt;&gt;"",$C228&lt;&gt;""),"Escriba la subactividad en otra fila, debajo de su macroactividad"&amp;" · ","")&amp;IF(AND($S228="Sub",N($R228)=0),"Subactividad sin macroactividad arriba"&amp;" · ","")&amp;IF($D228="","Sin responsable"&amp;" · ","")&amp;IF($E228="","Sin fecha de inicio"&amp;" · ","")&amp;IF($F228="","Sin fecha límite"&amp;" · ","")&amp;IF(OR(AND($E228&lt;&gt;"",NOT(ISNUMBER($E228))),AND($F228&lt;&gt;"",NOT(ISNUMBER($F228)))),"Fecha no válida"&amp;" · ","")&amp;IF(AND(ISNUMBER($E228),ISNUMBER($F228),$E228&gt;$F228),"Inicio posterior a fecha límite"&amp;" · ","")&amp;IF(AND($S228="Macro",$G228=""),"Peso vacío"&amp;" · ","")&amp;IF(AND($S228="Macro",$G228&lt;&gt;"",OR(NOT(ISNUMBER($G228)),$G228&lt;=0,$G228&gt;1)),"Peso fuera de rango"&amp;" · ","")&amp;IF(AND($S228="Sub",$G228&lt;&gt;""),"Las subactividades no llevan peso"&amp;" · ","")&amp;IF(AND($S228="Macro",ABS(SUMIFS($G$5:$G$1000,$P$5:$P$1000,$P228,$S$5:$S$1000,"Macro")-1)&gt;0.0001),"Pesos del mes suman "&amp;TEXT(SUMIFS($G$5:$G$1000,$P$5:$P$1000,$P228,$S$5:$S$1000,"Macro"),"0%")&amp;" · ","")&amp;IF(AND(N($T228)&gt;0,COUNT($H228:$K228)&gt;0),"Con subactividades: deje vacías las semanas (se calculan solas)"&amp;" · ","")&amp;IF((COUNTIF($H228:$K228,"&gt;1")+COUNTIF($H228:$K228,"&lt;0")+COUNTA($H228:$K228)-COUNT($H228:$K228))&gt;0,"Avance fuera de rango 0-100%"&amp;" · ","")&amp;IF(OR(AND($I228&lt;&gt;"",$I228&lt;$H228),AND($J228&lt;&gt;"",$J228&lt;MAX($H228:$I228)),AND($K228&lt;&gt;"",$K228&lt;MAX($H228:$J228))),"Avance semanal decreciente"&amp;" · ","")&amp;IF(AND(ISNUMBER($F228),$F228&lt;FechaRef,N($L228)&lt;1),"Vencida"&amp;" · ","")&amp;IF(AND(ObsObligatoria="Sí",ISNUMBER($F228),$F228&lt;FechaRef,N($L228)&lt;1,$N228=""),"Vencida sin observación"&amp;" · ",""))="","✔ OK","⚠ "&amp;LEFT(IF(AND($S228="Macro",$B228=""),"Macroactividad vacía"&amp;" · ","")&amp;IF(AND($B228&lt;&gt;"",$C228&lt;&gt;""),"Escriba la subactividad en otra fila, debajo de su macroactividad"&amp;" · ","")&amp;IF(AND($S228="Sub",N($R228)=0),"Subactividad sin macroactividad arriba"&amp;" · ","")&amp;IF($D228="","Sin responsable"&amp;" · ","")&amp;IF($E228="","Sin fecha de inicio"&amp;" · ","")&amp;IF($F228="","Sin fecha límite"&amp;" · ","")&amp;IF(OR(AND($E228&lt;&gt;"",NOT(ISNUMBER($E228))),AND($F228&lt;&gt;"",NOT(ISNUMBER($F228)))),"Fecha no válida"&amp;" · ","")&amp;IF(AND(ISNUMBER($E228),ISNUMBER($F228),$E228&gt;$F228),"Inicio posterior a fecha límite"&amp;" · ","")&amp;IF(AND($S228="Macro",$G228=""),"Peso vacío"&amp;" · ","")&amp;IF(AND($S228="Macro",$G228&lt;&gt;"",OR(NOT(ISNUMBER($G228)),$G228&lt;=0,$G228&gt;1)),"Peso fuera de rango"&amp;" · ","")&amp;IF(AND($S228="Sub",$G228&lt;&gt;""),"Las subactividades no llevan peso"&amp;" · ","")&amp;IF(AND($S228="Macro",ABS(SUMIFS($G$5:$G$1000,$P$5:$P$1000,$P228,$S$5:$S$1000,"Macro")-1)&gt;0.0001),"Pesos del mes suman "&amp;TEXT(SUMIFS($G$5:$G$1000,$P$5:$P$1000,$P228,$S$5:$S$1000,"Macro"),"0%")&amp;" · ","")&amp;IF(AND(N($T228)&gt;0,COUNT($H228:$K228)&gt;0),"Con subactividades: deje vacías las semanas (se calculan solas)"&amp;" · ","")&amp;IF((COUNTIF($H228:$K228,"&gt;1")+COUNTIF($H228:$K228,"&lt;0")+COUNTA($H228:$K228)-COUNT($H228:$K228))&gt;0,"Avance fuera de rango 0-100%"&amp;" · ","")&amp;IF(OR(AND($I228&lt;&gt;"",$I228&lt;$H228),AND($J228&lt;&gt;"",$J228&lt;MAX($H228:$I228)),AND($K228&lt;&gt;"",$K228&lt;MAX($H228:$J228))),"Avance semanal decreciente"&amp;" · ","")&amp;IF(AND(ISNUMBER($F228),$F228&lt;FechaRef,N($L228)&lt;1),"Vencida"&amp;" · ","")&amp;IF(AND(ObsObligatoria="Sí",ISNUMBER($F228),$F228&lt;FechaRef,N($L228)&lt;1,$N228=""),"Vencida sin observación"&amp;" · ",""),LEN(IF(AND($S228="Macro",$B228=""),"Macroactividad vacía"&amp;" · ","")&amp;IF(AND($B228&lt;&gt;"",$C228&lt;&gt;""),"Escriba la subactividad en otra fila, debajo de su macroactividad"&amp;" · ","")&amp;IF(AND($S228="Sub",N($R228)=0),"Subactividad sin macroactividad arriba"&amp;" · ","")&amp;IF($D228="","Sin responsable"&amp;" · ","")&amp;IF($E228="","Sin fecha de inicio"&amp;" · ","")&amp;IF($F228="","Sin fecha límite"&amp;" · ","")&amp;IF(OR(AND($E228&lt;&gt;"",NOT(ISNUMBER($E228))),AND($F228&lt;&gt;"",NOT(ISNUMBER($F228)))),"Fecha no válida"&amp;" · ","")&amp;IF(AND(ISNUMBER($E228),ISNUMBER($F228),$E228&gt;$F228),"Inicio posterior a fecha límite"&amp;" · ","")&amp;IF(AND($S228="Macro",$G228=""),"Peso vacío"&amp;" · ","")&amp;IF(AND($S228="Macro",$G228&lt;&gt;"",OR(NOT(ISNUMBER($G228)),$G228&lt;=0,$G228&gt;1)),"Peso fuera de rango"&amp;" · ","")&amp;IF(AND($S228="Sub",$G228&lt;&gt;""),"Las subactividades no llevan peso"&amp;" · ","")&amp;IF(AND($S228="Macro",ABS(SUMIFS($G$5:$G$1000,$P$5:$P$1000,$P228,$S$5:$S$1000,"Macro")-1)&gt;0.0001),"Pesos del mes suman "&amp;TEXT(SUMIFS($G$5:$G$1000,$P$5:$P$1000,$P228,$S$5:$S$1000,"Macro"),"0%")&amp;" · ","")&amp;IF(AND(N($T228)&gt;0,COUNT($H228:$K228)&gt;0),"Con subactividades: deje vacías las semanas (se calculan solas)"&amp;" · ","")&amp;IF((COUNTIF($H228:$K228,"&gt;1")+COUNTIF($H228:$K228,"&lt;0")+COUNTA($H228:$K228)-COUNT($H228:$K228))&gt;0,"Avance fuera de rango 0-100%"&amp;" · ","")&amp;IF(OR(AND($I228&lt;&gt;"",$I228&lt;$H228),AND($J228&lt;&gt;"",$J228&lt;MAX($H228:$I228)),AND($K228&lt;&gt;"",$K228&lt;MAX($H228:$J228))),"Avance semanal decreciente"&amp;" · ","")&amp;IF(AND(ISNUMBER($F228),$F228&lt;FechaRef,N($L228)&lt;1),"Vencida"&amp;" · ","")&amp;IF(AND(ObsObligatoria="Sí",ISNUMBER($F228),$F228&lt;FechaRef,N($L228)&lt;1,$N228=""),"Vencida sin observación"&amp;" · ",""))-3)))</f>
        <v/>
      </c>
      <c r="P228" s="69">
        <f>IF(NOT((COUNTA($B228:$K228)+COUNTA($N228))&gt;0),"",IF(AND($S228="Sub",N($R228)&gt;0),IF(ISNUMBER(INDEX($E$5:$E$1000,$R228-4)),DATE(YEAR(INDEX($E$5:$E$1000,$R228-4)),MONTH(INDEX($E$5:$E$1000,$R228-4)),1),IF(ISNUMBER(INDEX($F$5:$F$1000,$R228-4)),DATE(YEAR(INDEX($F$5:$F$1000,$R228-4)),MONTH(INDEX($F$5:$F$1000,$R228-4)),1),MesCiclo)),IF(ISNUMBER($E228),DATE(YEAR($E228),MONTH($E228),1),IF(ISNUMBER($F228),DATE(YEAR($F228),MONTH($F228),1),MesCiclo))))</f>
        <v/>
      </c>
      <c r="Q228" s="70">
        <f>IF(OR($P228="",$P228&lt;&gt;MesCiclo),"",COUNTIF($P$5:$P228,MesCiclo))</f>
        <v/>
      </c>
      <c r="R228" s="70">
        <f>IF($S228="","",IF($S228="Macro",ROW(),IFERROR(LOOKUP(2,1/($S$5:$S228="Macro"),ROW($S$5:$S228)),0)))</f>
        <v/>
      </c>
      <c r="S228" s="70">
        <f>IF(NOT((COUNTA($B228:$K228)+COUNTA($N228))&gt;0),"",IF($B228&lt;&gt;"","Macro",IF($C228&lt;&gt;"","Sub","Macro")))</f>
        <v/>
      </c>
      <c r="T228" s="70">
        <f>IF($S228="Macro",COUNTIFS($R$5:$R$1000,ROW(),$S$5:$S$1000,"Sub"),"")</f>
        <v/>
      </c>
      <c r="U228" s="70">
        <f>IF($S228="","",IF(ISNUMBER($H228),$H228,0))</f>
        <v/>
      </c>
      <c r="V228" s="70">
        <f>IF($S228="","",IF(ISNUMBER($I228),$I228,$U228))</f>
        <v/>
      </c>
      <c r="W228" s="70">
        <f>IF($S228="","",IF(ISNUMBER($J228),$J228,$V228))</f>
        <v/>
      </c>
      <c r="X228" s="70">
        <f>IF($S228="","",IF(ISNUMBER($K228),$K228,$W228))</f>
        <v/>
      </c>
      <c r="Y228" s="70">
        <f>IF($S228="","",IF(N($T228)&gt;0,AVERAGEIFS($U$5:$U$1000,$R$5:$R$1000,ROW(),$S$5:$S$1000,"Sub"),$U228))</f>
        <v/>
      </c>
      <c r="Z228" s="70">
        <f>IF($S228="","",IF(N($T228)&gt;0,AVERAGEIFS($V$5:$V$1000,$R$5:$R$1000,ROW(),$S$5:$S$1000,"Sub"),$V228))</f>
        <v/>
      </c>
      <c r="AA228" s="70">
        <f>IF($S228="","",IF(N($T228)&gt;0,AVERAGEIFS($W$5:$W$1000,$R$5:$R$1000,ROW(),$S$5:$S$1000,"Sub"),$W228))</f>
        <v/>
      </c>
      <c r="AB228" s="70">
        <f>IF($S228="","",IF(N($T228)&gt;0,AVERAGEIFS($X$5:$X$1000,$R$5:$R$1000,ROW(),$S$5:$S$1000,"Sub"),$X228))</f>
        <v/>
      </c>
    </row>
    <row r="229">
      <c r="A229" s="61">
        <f>IF(NOT((COUNTA($B229:$K229)+COUNTA($N229))&gt;0),"",IF($S229="Macro",COUNTIFS($S$5:$S229,"Macro",$P$5:$P229,$P229),IF(N($R229)=0,"?",COUNTIFS(INDEX($S$5:$S$1000,1):INDEX($S$5:$S$1000,$R229-4),"Macro",INDEX($P$5:$P$1000,1):INDEX($P$5:$P$1000,$R229-4),INDEX($P$5:$P$1000,$R229-4))&amp;"."&amp;COUNTIFS($R$5:$R229,$R229,$S$5:$S229,"Sub"))))</f>
        <v/>
      </c>
      <c r="B229" s="62" t="n"/>
      <c r="C229" s="63" t="n"/>
      <c r="D229" s="62" t="n"/>
      <c r="E229" s="64" t="n"/>
      <c r="F229" s="64" t="n"/>
      <c r="G229" s="65" t="n"/>
      <c r="H229" s="66" t="n"/>
      <c r="I229" s="66" t="n"/>
      <c r="J229" s="66" t="n"/>
      <c r="K229" s="66" t="n"/>
      <c r="L229" s="67">
        <f>IF(NOT((COUNTA($B229:$K229)+COUNTA($N229))&gt;0),"",IF(N($T229)&gt;0,$AB229,IFERROR(LOOKUP(2,1/(H229:K229&lt;&gt;""),H229:K229),0)))</f>
        <v/>
      </c>
      <c r="M229" s="61">
        <f>IF(L229="","",IF(L229&gt;=1,"Completado",IF(L229&gt;0,"En curso","Pendiente")))</f>
        <v/>
      </c>
      <c r="N229" s="62" t="n"/>
      <c r="O229" s="68">
        <f>IF(NOT((COUNTA($B229:$K229)+COUNTA($N229))&gt;0),"",IF((IF(AND($S229="Macro",$B229=""),"Macroactividad vacía"&amp;" · ","")&amp;IF(AND($B229&lt;&gt;"",$C229&lt;&gt;""),"Escriba la subactividad en otra fila, debajo de su macroactividad"&amp;" · ","")&amp;IF(AND($S229="Sub",N($R229)=0),"Subactividad sin macroactividad arriba"&amp;" · ","")&amp;IF($D229="","Sin responsable"&amp;" · ","")&amp;IF($E229="","Sin fecha de inicio"&amp;" · ","")&amp;IF($F229="","Sin fecha límite"&amp;" · ","")&amp;IF(OR(AND($E229&lt;&gt;"",NOT(ISNUMBER($E229))),AND($F229&lt;&gt;"",NOT(ISNUMBER($F229)))),"Fecha no válida"&amp;" · ","")&amp;IF(AND(ISNUMBER($E229),ISNUMBER($F229),$E229&gt;$F229),"Inicio posterior a fecha límite"&amp;" · ","")&amp;IF(AND($S229="Macro",$G229=""),"Peso vacío"&amp;" · ","")&amp;IF(AND($S229="Macro",$G229&lt;&gt;"",OR(NOT(ISNUMBER($G229)),$G229&lt;=0,$G229&gt;1)),"Peso fuera de rango"&amp;" · ","")&amp;IF(AND($S229="Sub",$G229&lt;&gt;""),"Las subactividades no llevan peso"&amp;" · ","")&amp;IF(AND($S229="Macro",ABS(SUMIFS($G$5:$G$1000,$P$5:$P$1000,$P229,$S$5:$S$1000,"Macro")-1)&gt;0.0001),"Pesos del mes suman "&amp;TEXT(SUMIFS($G$5:$G$1000,$P$5:$P$1000,$P229,$S$5:$S$1000,"Macro"),"0%")&amp;" · ","")&amp;IF(AND(N($T229)&gt;0,COUNT($H229:$K229)&gt;0),"Con subactividades: deje vacías las semanas (se calculan solas)"&amp;" · ","")&amp;IF((COUNTIF($H229:$K229,"&gt;1")+COUNTIF($H229:$K229,"&lt;0")+COUNTA($H229:$K229)-COUNT($H229:$K229))&gt;0,"Avance fuera de rango 0-100%"&amp;" · ","")&amp;IF(OR(AND($I229&lt;&gt;"",$I229&lt;$H229),AND($J229&lt;&gt;"",$J229&lt;MAX($H229:$I229)),AND($K229&lt;&gt;"",$K229&lt;MAX($H229:$J229))),"Avance semanal decreciente"&amp;" · ","")&amp;IF(AND(ISNUMBER($F229),$F229&lt;FechaRef,N($L229)&lt;1),"Vencida"&amp;" · ","")&amp;IF(AND(ObsObligatoria="Sí",ISNUMBER($F229),$F229&lt;FechaRef,N($L229)&lt;1,$N229=""),"Vencida sin observación"&amp;" · ",""))="","✔ OK","⚠ "&amp;LEFT(IF(AND($S229="Macro",$B229=""),"Macroactividad vacía"&amp;" · ","")&amp;IF(AND($B229&lt;&gt;"",$C229&lt;&gt;""),"Escriba la subactividad en otra fila, debajo de su macroactividad"&amp;" · ","")&amp;IF(AND($S229="Sub",N($R229)=0),"Subactividad sin macroactividad arriba"&amp;" · ","")&amp;IF($D229="","Sin responsable"&amp;" · ","")&amp;IF($E229="","Sin fecha de inicio"&amp;" · ","")&amp;IF($F229="","Sin fecha límite"&amp;" · ","")&amp;IF(OR(AND($E229&lt;&gt;"",NOT(ISNUMBER($E229))),AND($F229&lt;&gt;"",NOT(ISNUMBER($F229)))),"Fecha no válida"&amp;" · ","")&amp;IF(AND(ISNUMBER($E229),ISNUMBER($F229),$E229&gt;$F229),"Inicio posterior a fecha límite"&amp;" · ","")&amp;IF(AND($S229="Macro",$G229=""),"Peso vacío"&amp;" · ","")&amp;IF(AND($S229="Macro",$G229&lt;&gt;"",OR(NOT(ISNUMBER($G229)),$G229&lt;=0,$G229&gt;1)),"Peso fuera de rango"&amp;" · ","")&amp;IF(AND($S229="Sub",$G229&lt;&gt;""),"Las subactividades no llevan peso"&amp;" · ","")&amp;IF(AND($S229="Macro",ABS(SUMIFS($G$5:$G$1000,$P$5:$P$1000,$P229,$S$5:$S$1000,"Macro")-1)&gt;0.0001),"Pesos del mes suman "&amp;TEXT(SUMIFS($G$5:$G$1000,$P$5:$P$1000,$P229,$S$5:$S$1000,"Macro"),"0%")&amp;" · ","")&amp;IF(AND(N($T229)&gt;0,COUNT($H229:$K229)&gt;0),"Con subactividades: deje vacías las semanas (se calculan solas)"&amp;" · ","")&amp;IF((COUNTIF($H229:$K229,"&gt;1")+COUNTIF($H229:$K229,"&lt;0")+COUNTA($H229:$K229)-COUNT($H229:$K229))&gt;0,"Avance fuera de rango 0-100%"&amp;" · ","")&amp;IF(OR(AND($I229&lt;&gt;"",$I229&lt;$H229),AND($J229&lt;&gt;"",$J229&lt;MAX($H229:$I229)),AND($K229&lt;&gt;"",$K229&lt;MAX($H229:$J229))),"Avance semanal decreciente"&amp;" · ","")&amp;IF(AND(ISNUMBER($F229),$F229&lt;FechaRef,N($L229)&lt;1),"Vencida"&amp;" · ","")&amp;IF(AND(ObsObligatoria="Sí",ISNUMBER($F229),$F229&lt;FechaRef,N($L229)&lt;1,$N229=""),"Vencida sin observación"&amp;" · ",""),LEN(IF(AND($S229="Macro",$B229=""),"Macroactividad vacía"&amp;" · ","")&amp;IF(AND($B229&lt;&gt;"",$C229&lt;&gt;""),"Escriba la subactividad en otra fila, debajo de su macroactividad"&amp;" · ","")&amp;IF(AND($S229="Sub",N($R229)=0),"Subactividad sin macroactividad arriba"&amp;" · ","")&amp;IF($D229="","Sin responsable"&amp;" · ","")&amp;IF($E229="","Sin fecha de inicio"&amp;" · ","")&amp;IF($F229="","Sin fecha límite"&amp;" · ","")&amp;IF(OR(AND($E229&lt;&gt;"",NOT(ISNUMBER($E229))),AND($F229&lt;&gt;"",NOT(ISNUMBER($F229)))),"Fecha no válida"&amp;" · ","")&amp;IF(AND(ISNUMBER($E229),ISNUMBER($F229),$E229&gt;$F229),"Inicio posterior a fecha límite"&amp;" · ","")&amp;IF(AND($S229="Macro",$G229=""),"Peso vacío"&amp;" · ","")&amp;IF(AND($S229="Macro",$G229&lt;&gt;"",OR(NOT(ISNUMBER($G229)),$G229&lt;=0,$G229&gt;1)),"Peso fuera de rango"&amp;" · ","")&amp;IF(AND($S229="Sub",$G229&lt;&gt;""),"Las subactividades no llevan peso"&amp;" · ","")&amp;IF(AND($S229="Macro",ABS(SUMIFS($G$5:$G$1000,$P$5:$P$1000,$P229,$S$5:$S$1000,"Macro")-1)&gt;0.0001),"Pesos del mes suman "&amp;TEXT(SUMIFS($G$5:$G$1000,$P$5:$P$1000,$P229,$S$5:$S$1000,"Macro"),"0%")&amp;" · ","")&amp;IF(AND(N($T229)&gt;0,COUNT($H229:$K229)&gt;0),"Con subactividades: deje vacías las semanas (se calculan solas)"&amp;" · ","")&amp;IF((COUNTIF($H229:$K229,"&gt;1")+COUNTIF($H229:$K229,"&lt;0")+COUNTA($H229:$K229)-COUNT($H229:$K229))&gt;0,"Avance fuera de rango 0-100%"&amp;" · ","")&amp;IF(OR(AND($I229&lt;&gt;"",$I229&lt;$H229),AND($J229&lt;&gt;"",$J229&lt;MAX($H229:$I229)),AND($K229&lt;&gt;"",$K229&lt;MAX($H229:$J229))),"Avance semanal decreciente"&amp;" · ","")&amp;IF(AND(ISNUMBER($F229),$F229&lt;FechaRef,N($L229)&lt;1),"Vencida"&amp;" · ","")&amp;IF(AND(ObsObligatoria="Sí",ISNUMBER($F229),$F229&lt;FechaRef,N($L229)&lt;1,$N229=""),"Vencida sin observación"&amp;" · ",""))-3)))</f>
        <v/>
      </c>
      <c r="P229" s="69">
        <f>IF(NOT((COUNTA($B229:$K229)+COUNTA($N229))&gt;0),"",IF(AND($S229="Sub",N($R229)&gt;0),IF(ISNUMBER(INDEX($E$5:$E$1000,$R229-4)),DATE(YEAR(INDEX($E$5:$E$1000,$R229-4)),MONTH(INDEX($E$5:$E$1000,$R229-4)),1),IF(ISNUMBER(INDEX($F$5:$F$1000,$R229-4)),DATE(YEAR(INDEX($F$5:$F$1000,$R229-4)),MONTH(INDEX($F$5:$F$1000,$R229-4)),1),MesCiclo)),IF(ISNUMBER($E229),DATE(YEAR($E229),MONTH($E229),1),IF(ISNUMBER($F229),DATE(YEAR($F229),MONTH($F229),1),MesCiclo))))</f>
        <v/>
      </c>
      <c r="Q229" s="70">
        <f>IF(OR($P229="",$P229&lt;&gt;MesCiclo),"",COUNTIF($P$5:$P229,MesCiclo))</f>
        <v/>
      </c>
      <c r="R229" s="70">
        <f>IF($S229="","",IF($S229="Macro",ROW(),IFERROR(LOOKUP(2,1/($S$5:$S229="Macro"),ROW($S$5:$S229)),0)))</f>
        <v/>
      </c>
      <c r="S229" s="70">
        <f>IF(NOT((COUNTA($B229:$K229)+COUNTA($N229))&gt;0),"",IF($B229&lt;&gt;"","Macro",IF($C229&lt;&gt;"","Sub","Macro")))</f>
        <v/>
      </c>
      <c r="T229" s="70">
        <f>IF($S229="Macro",COUNTIFS($R$5:$R$1000,ROW(),$S$5:$S$1000,"Sub"),"")</f>
        <v/>
      </c>
      <c r="U229" s="70">
        <f>IF($S229="","",IF(ISNUMBER($H229),$H229,0))</f>
        <v/>
      </c>
      <c r="V229" s="70">
        <f>IF($S229="","",IF(ISNUMBER($I229),$I229,$U229))</f>
        <v/>
      </c>
      <c r="W229" s="70">
        <f>IF($S229="","",IF(ISNUMBER($J229),$J229,$V229))</f>
        <v/>
      </c>
      <c r="X229" s="70">
        <f>IF($S229="","",IF(ISNUMBER($K229),$K229,$W229))</f>
        <v/>
      </c>
      <c r="Y229" s="70">
        <f>IF($S229="","",IF(N($T229)&gt;0,AVERAGEIFS($U$5:$U$1000,$R$5:$R$1000,ROW(),$S$5:$S$1000,"Sub"),$U229))</f>
        <v/>
      </c>
      <c r="Z229" s="70">
        <f>IF($S229="","",IF(N($T229)&gt;0,AVERAGEIFS($V$5:$V$1000,$R$5:$R$1000,ROW(),$S$5:$S$1000,"Sub"),$V229))</f>
        <v/>
      </c>
      <c r="AA229" s="70">
        <f>IF($S229="","",IF(N($T229)&gt;0,AVERAGEIFS($W$5:$W$1000,$R$5:$R$1000,ROW(),$S$5:$S$1000,"Sub"),$W229))</f>
        <v/>
      </c>
      <c r="AB229" s="70">
        <f>IF($S229="","",IF(N($T229)&gt;0,AVERAGEIFS($X$5:$X$1000,$R$5:$R$1000,ROW(),$S$5:$S$1000,"Sub"),$X229))</f>
        <v/>
      </c>
    </row>
    <row r="230">
      <c r="A230" s="61">
        <f>IF(NOT((COUNTA($B230:$K230)+COUNTA($N230))&gt;0),"",IF($S230="Macro",COUNTIFS($S$5:$S230,"Macro",$P$5:$P230,$P230),IF(N($R230)=0,"?",COUNTIFS(INDEX($S$5:$S$1000,1):INDEX($S$5:$S$1000,$R230-4),"Macro",INDEX($P$5:$P$1000,1):INDEX($P$5:$P$1000,$R230-4),INDEX($P$5:$P$1000,$R230-4))&amp;"."&amp;COUNTIFS($R$5:$R230,$R230,$S$5:$S230,"Sub"))))</f>
        <v/>
      </c>
      <c r="B230" s="62" t="n"/>
      <c r="C230" s="63" t="n"/>
      <c r="D230" s="62" t="n"/>
      <c r="E230" s="64" t="n"/>
      <c r="F230" s="64" t="n"/>
      <c r="G230" s="65" t="n"/>
      <c r="H230" s="66" t="n"/>
      <c r="I230" s="66" t="n"/>
      <c r="J230" s="66" t="n"/>
      <c r="K230" s="66" t="n"/>
      <c r="L230" s="67">
        <f>IF(NOT((COUNTA($B230:$K230)+COUNTA($N230))&gt;0),"",IF(N($T230)&gt;0,$AB230,IFERROR(LOOKUP(2,1/(H230:K230&lt;&gt;""),H230:K230),0)))</f>
        <v/>
      </c>
      <c r="M230" s="61">
        <f>IF(L230="","",IF(L230&gt;=1,"Completado",IF(L230&gt;0,"En curso","Pendiente")))</f>
        <v/>
      </c>
      <c r="N230" s="62" t="n"/>
      <c r="O230" s="68">
        <f>IF(NOT((COUNTA($B230:$K230)+COUNTA($N230))&gt;0),"",IF((IF(AND($S230="Macro",$B230=""),"Macroactividad vacía"&amp;" · ","")&amp;IF(AND($B230&lt;&gt;"",$C230&lt;&gt;""),"Escriba la subactividad en otra fila, debajo de su macroactividad"&amp;" · ","")&amp;IF(AND($S230="Sub",N($R230)=0),"Subactividad sin macroactividad arriba"&amp;" · ","")&amp;IF($D230="","Sin responsable"&amp;" · ","")&amp;IF($E230="","Sin fecha de inicio"&amp;" · ","")&amp;IF($F230="","Sin fecha límite"&amp;" · ","")&amp;IF(OR(AND($E230&lt;&gt;"",NOT(ISNUMBER($E230))),AND($F230&lt;&gt;"",NOT(ISNUMBER($F230)))),"Fecha no válida"&amp;" · ","")&amp;IF(AND(ISNUMBER($E230),ISNUMBER($F230),$E230&gt;$F230),"Inicio posterior a fecha límite"&amp;" · ","")&amp;IF(AND($S230="Macro",$G230=""),"Peso vacío"&amp;" · ","")&amp;IF(AND($S230="Macro",$G230&lt;&gt;"",OR(NOT(ISNUMBER($G230)),$G230&lt;=0,$G230&gt;1)),"Peso fuera de rango"&amp;" · ","")&amp;IF(AND($S230="Sub",$G230&lt;&gt;""),"Las subactividades no llevan peso"&amp;" · ","")&amp;IF(AND($S230="Macro",ABS(SUMIFS($G$5:$G$1000,$P$5:$P$1000,$P230,$S$5:$S$1000,"Macro")-1)&gt;0.0001),"Pesos del mes suman "&amp;TEXT(SUMIFS($G$5:$G$1000,$P$5:$P$1000,$P230,$S$5:$S$1000,"Macro"),"0%")&amp;" · ","")&amp;IF(AND(N($T230)&gt;0,COUNT($H230:$K230)&gt;0),"Con subactividades: deje vacías las semanas (se calculan solas)"&amp;" · ","")&amp;IF((COUNTIF($H230:$K230,"&gt;1")+COUNTIF($H230:$K230,"&lt;0")+COUNTA($H230:$K230)-COUNT($H230:$K230))&gt;0,"Avance fuera de rango 0-100%"&amp;" · ","")&amp;IF(OR(AND($I230&lt;&gt;"",$I230&lt;$H230),AND($J230&lt;&gt;"",$J230&lt;MAX($H230:$I230)),AND($K230&lt;&gt;"",$K230&lt;MAX($H230:$J230))),"Avance semanal decreciente"&amp;" · ","")&amp;IF(AND(ISNUMBER($F230),$F230&lt;FechaRef,N($L230)&lt;1),"Vencida"&amp;" · ","")&amp;IF(AND(ObsObligatoria="Sí",ISNUMBER($F230),$F230&lt;FechaRef,N($L230)&lt;1,$N230=""),"Vencida sin observación"&amp;" · ",""))="","✔ OK","⚠ "&amp;LEFT(IF(AND($S230="Macro",$B230=""),"Macroactividad vacía"&amp;" · ","")&amp;IF(AND($B230&lt;&gt;"",$C230&lt;&gt;""),"Escriba la subactividad en otra fila, debajo de su macroactividad"&amp;" · ","")&amp;IF(AND($S230="Sub",N($R230)=0),"Subactividad sin macroactividad arriba"&amp;" · ","")&amp;IF($D230="","Sin responsable"&amp;" · ","")&amp;IF($E230="","Sin fecha de inicio"&amp;" · ","")&amp;IF($F230="","Sin fecha límite"&amp;" · ","")&amp;IF(OR(AND($E230&lt;&gt;"",NOT(ISNUMBER($E230))),AND($F230&lt;&gt;"",NOT(ISNUMBER($F230)))),"Fecha no válida"&amp;" · ","")&amp;IF(AND(ISNUMBER($E230),ISNUMBER($F230),$E230&gt;$F230),"Inicio posterior a fecha límite"&amp;" · ","")&amp;IF(AND($S230="Macro",$G230=""),"Peso vacío"&amp;" · ","")&amp;IF(AND($S230="Macro",$G230&lt;&gt;"",OR(NOT(ISNUMBER($G230)),$G230&lt;=0,$G230&gt;1)),"Peso fuera de rango"&amp;" · ","")&amp;IF(AND($S230="Sub",$G230&lt;&gt;""),"Las subactividades no llevan peso"&amp;" · ","")&amp;IF(AND($S230="Macro",ABS(SUMIFS($G$5:$G$1000,$P$5:$P$1000,$P230,$S$5:$S$1000,"Macro")-1)&gt;0.0001),"Pesos del mes suman "&amp;TEXT(SUMIFS($G$5:$G$1000,$P$5:$P$1000,$P230,$S$5:$S$1000,"Macro"),"0%")&amp;" · ","")&amp;IF(AND(N($T230)&gt;0,COUNT($H230:$K230)&gt;0),"Con subactividades: deje vacías las semanas (se calculan solas)"&amp;" · ","")&amp;IF((COUNTIF($H230:$K230,"&gt;1")+COUNTIF($H230:$K230,"&lt;0")+COUNTA($H230:$K230)-COUNT($H230:$K230))&gt;0,"Avance fuera de rango 0-100%"&amp;" · ","")&amp;IF(OR(AND($I230&lt;&gt;"",$I230&lt;$H230),AND($J230&lt;&gt;"",$J230&lt;MAX($H230:$I230)),AND($K230&lt;&gt;"",$K230&lt;MAX($H230:$J230))),"Avance semanal decreciente"&amp;" · ","")&amp;IF(AND(ISNUMBER($F230),$F230&lt;FechaRef,N($L230)&lt;1),"Vencida"&amp;" · ","")&amp;IF(AND(ObsObligatoria="Sí",ISNUMBER($F230),$F230&lt;FechaRef,N($L230)&lt;1,$N230=""),"Vencida sin observación"&amp;" · ",""),LEN(IF(AND($S230="Macro",$B230=""),"Macroactividad vacía"&amp;" · ","")&amp;IF(AND($B230&lt;&gt;"",$C230&lt;&gt;""),"Escriba la subactividad en otra fila, debajo de su macroactividad"&amp;" · ","")&amp;IF(AND($S230="Sub",N($R230)=0),"Subactividad sin macroactividad arriba"&amp;" · ","")&amp;IF($D230="","Sin responsable"&amp;" · ","")&amp;IF($E230="","Sin fecha de inicio"&amp;" · ","")&amp;IF($F230="","Sin fecha límite"&amp;" · ","")&amp;IF(OR(AND($E230&lt;&gt;"",NOT(ISNUMBER($E230))),AND($F230&lt;&gt;"",NOT(ISNUMBER($F230)))),"Fecha no válida"&amp;" · ","")&amp;IF(AND(ISNUMBER($E230),ISNUMBER($F230),$E230&gt;$F230),"Inicio posterior a fecha límite"&amp;" · ","")&amp;IF(AND($S230="Macro",$G230=""),"Peso vacío"&amp;" · ","")&amp;IF(AND($S230="Macro",$G230&lt;&gt;"",OR(NOT(ISNUMBER($G230)),$G230&lt;=0,$G230&gt;1)),"Peso fuera de rango"&amp;" · ","")&amp;IF(AND($S230="Sub",$G230&lt;&gt;""),"Las subactividades no llevan peso"&amp;" · ","")&amp;IF(AND($S230="Macro",ABS(SUMIFS($G$5:$G$1000,$P$5:$P$1000,$P230,$S$5:$S$1000,"Macro")-1)&gt;0.0001),"Pesos del mes suman "&amp;TEXT(SUMIFS($G$5:$G$1000,$P$5:$P$1000,$P230,$S$5:$S$1000,"Macro"),"0%")&amp;" · ","")&amp;IF(AND(N($T230)&gt;0,COUNT($H230:$K230)&gt;0),"Con subactividades: deje vacías las semanas (se calculan solas)"&amp;" · ","")&amp;IF((COUNTIF($H230:$K230,"&gt;1")+COUNTIF($H230:$K230,"&lt;0")+COUNTA($H230:$K230)-COUNT($H230:$K230))&gt;0,"Avance fuera de rango 0-100%"&amp;" · ","")&amp;IF(OR(AND($I230&lt;&gt;"",$I230&lt;$H230),AND($J230&lt;&gt;"",$J230&lt;MAX($H230:$I230)),AND($K230&lt;&gt;"",$K230&lt;MAX($H230:$J230))),"Avance semanal decreciente"&amp;" · ","")&amp;IF(AND(ISNUMBER($F230),$F230&lt;FechaRef,N($L230)&lt;1),"Vencida"&amp;" · ","")&amp;IF(AND(ObsObligatoria="Sí",ISNUMBER($F230),$F230&lt;FechaRef,N($L230)&lt;1,$N230=""),"Vencida sin observación"&amp;" · ",""))-3)))</f>
        <v/>
      </c>
      <c r="P230" s="69">
        <f>IF(NOT((COUNTA($B230:$K230)+COUNTA($N230))&gt;0),"",IF(AND($S230="Sub",N($R230)&gt;0),IF(ISNUMBER(INDEX($E$5:$E$1000,$R230-4)),DATE(YEAR(INDEX($E$5:$E$1000,$R230-4)),MONTH(INDEX($E$5:$E$1000,$R230-4)),1),IF(ISNUMBER(INDEX($F$5:$F$1000,$R230-4)),DATE(YEAR(INDEX($F$5:$F$1000,$R230-4)),MONTH(INDEX($F$5:$F$1000,$R230-4)),1),MesCiclo)),IF(ISNUMBER($E230),DATE(YEAR($E230),MONTH($E230),1),IF(ISNUMBER($F230),DATE(YEAR($F230),MONTH($F230),1),MesCiclo))))</f>
        <v/>
      </c>
      <c r="Q230" s="70">
        <f>IF(OR($P230="",$P230&lt;&gt;MesCiclo),"",COUNTIF($P$5:$P230,MesCiclo))</f>
        <v/>
      </c>
      <c r="R230" s="70">
        <f>IF($S230="","",IF($S230="Macro",ROW(),IFERROR(LOOKUP(2,1/($S$5:$S230="Macro"),ROW($S$5:$S230)),0)))</f>
        <v/>
      </c>
      <c r="S230" s="70">
        <f>IF(NOT((COUNTA($B230:$K230)+COUNTA($N230))&gt;0),"",IF($B230&lt;&gt;"","Macro",IF($C230&lt;&gt;"","Sub","Macro")))</f>
        <v/>
      </c>
      <c r="T230" s="70">
        <f>IF($S230="Macro",COUNTIFS($R$5:$R$1000,ROW(),$S$5:$S$1000,"Sub"),"")</f>
        <v/>
      </c>
      <c r="U230" s="70">
        <f>IF($S230="","",IF(ISNUMBER($H230),$H230,0))</f>
        <v/>
      </c>
      <c r="V230" s="70">
        <f>IF($S230="","",IF(ISNUMBER($I230),$I230,$U230))</f>
        <v/>
      </c>
      <c r="W230" s="70">
        <f>IF($S230="","",IF(ISNUMBER($J230),$J230,$V230))</f>
        <v/>
      </c>
      <c r="X230" s="70">
        <f>IF($S230="","",IF(ISNUMBER($K230),$K230,$W230))</f>
        <v/>
      </c>
      <c r="Y230" s="70">
        <f>IF($S230="","",IF(N($T230)&gt;0,AVERAGEIFS($U$5:$U$1000,$R$5:$R$1000,ROW(),$S$5:$S$1000,"Sub"),$U230))</f>
        <v/>
      </c>
      <c r="Z230" s="70">
        <f>IF($S230="","",IF(N($T230)&gt;0,AVERAGEIFS($V$5:$V$1000,$R$5:$R$1000,ROW(),$S$5:$S$1000,"Sub"),$V230))</f>
        <v/>
      </c>
      <c r="AA230" s="70">
        <f>IF($S230="","",IF(N($T230)&gt;0,AVERAGEIFS($W$5:$W$1000,$R$5:$R$1000,ROW(),$S$5:$S$1000,"Sub"),$W230))</f>
        <v/>
      </c>
      <c r="AB230" s="70">
        <f>IF($S230="","",IF(N($T230)&gt;0,AVERAGEIFS($X$5:$X$1000,$R$5:$R$1000,ROW(),$S$5:$S$1000,"Sub"),$X230))</f>
        <v/>
      </c>
    </row>
    <row r="231">
      <c r="A231" s="61">
        <f>IF(NOT((COUNTA($B231:$K231)+COUNTA($N231))&gt;0),"",IF($S231="Macro",COUNTIFS($S$5:$S231,"Macro",$P$5:$P231,$P231),IF(N($R231)=0,"?",COUNTIFS(INDEX($S$5:$S$1000,1):INDEX($S$5:$S$1000,$R231-4),"Macro",INDEX($P$5:$P$1000,1):INDEX($P$5:$P$1000,$R231-4),INDEX($P$5:$P$1000,$R231-4))&amp;"."&amp;COUNTIFS($R$5:$R231,$R231,$S$5:$S231,"Sub"))))</f>
        <v/>
      </c>
      <c r="B231" s="62" t="n"/>
      <c r="C231" s="63" t="n"/>
      <c r="D231" s="62" t="n"/>
      <c r="E231" s="64" t="n"/>
      <c r="F231" s="64" t="n"/>
      <c r="G231" s="65" t="n"/>
      <c r="H231" s="66" t="n"/>
      <c r="I231" s="66" t="n"/>
      <c r="J231" s="66" t="n"/>
      <c r="K231" s="66" t="n"/>
      <c r="L231" s="67">
        <f>IF(NOT((COUNTA($B231:$K231)+COUNTA($N231))&gt;0),"",IF(N($T231)&gt;0,$AB231,IFERROR(LOOKUP(2,1/(H231:K231&lt;&gt;""),H231:K231),0)))</f>
        <v/>
      </c>
      <c r="M231" s="61">
        <f>IF(L231="","",IF(L231&gt;=1,"Completado",IF(L231&gt;0,"En curso","Pendiente")))</f>
        <v/>
      </c>
      <c r="N231" s="62" t="n"/>
      <c r="O231" s="68">
        <f>IF(NOT((COUNTA($B231:$K231)+COUNTA($N231))&gt;0),"",IF((IF(AND($S231="Macro",$B231=""),"Macroactividad vacía"&amp;" · ","")&amp;IF(AND($B231&lt;&gt;"",$C231&lt;&gt;""),"Escriba la subactividad en otra fila, debajo de su macroactividad"&amp;" · ","")&amp;IF(AND($S231="Sub",N($R231)=0),"Subactividad sin macroactividad arriba"&amp;" · ","")&amp;IF($D231="","Sin responsable"&amp;" · ","")&amp;IF($E231="","Sin fecha de inicio"&amp;" · ","")&amp;IF($F231="","Sin fecha límite"&amp;" · ","")&amp;IF(OR(AND($E231&lt;&gt;"",NOT(ISNUMBER($E231))),AND($F231&lt;&gt;"",NOT(ISNUMBER($F231)))),"Fecha no válida"&amp;" · ","")&amp;IF(AND(ISNUMBER($E231),ISNUMBER($F231),$E231&gt;$F231),"Inicio posterior a fecha límite"&amp;" · ","")&amp;IF(AND($S231="Macro",$G231=""),"Peso vacío"&amp;" · ","")&amp;IF(AND($S231="Macro",$G231&lt;&gt;"",OR(NOT(ISNUMBER($G231)),$G231&lt;=0,$G231&gt;1)),"Peso fuera de rango"&amp;" · ","")&amp;IF(AND($S231="Sub",$G231&lt;&gt;""),"Las subactividades no llevan peso"&amp;" · ","")&amp;IF(AND($S231="Macro",ABS(SUMIFS($G$5:$G$1000,$P$5:$P$1000,$P231,$S$5:$S$1000,"Macro")-1)&gt;0.0001),"Pesos del mes suman "&amp;TEXT(SUMIFS($G$5:$G$1000,$P$5:$P$1000,$P231,$S$5:$S$1000,"Macro"),"0%")&amp;" · ","")&amp;IF(AND(N($T231)&gt;0,COUNT($H231:$K231)&gt;0),"Con subactividades: deje vacías las semanas (se calculan solas)"&amp;" · ","")&amp;IF((COUNTIF($H231:$K231,"&gt;1")+COUNTIF($H231:$K231,"&lt;0")+COUNTA($H231:$K231)-COUNT($H231:$K231))&gt;0,"Avance fuera de rango 0-100%"&amp;" · ","")&amp;IF(OR(AND($I231&lt;&gt;"",$I231&lt;$H231),AND($J231&lt;&gt;"",$J231&lt;MAX($H231:$I231)),AND($K231&lt;&gt;"",$K231&lt;MAX($H231:$J231))),"Avance semanal decreciente"&amp;" · ","")&amp;IF(AND(ISNUMBER($F231),$F231&lt;FechaRef,N($L231)&lt;1),"Vencida"&amp;" · ","")&amp;IF(AND(ObsObligatoria="Sí",ISNUMBER($F231),$F231&lt;FechaRef,N($L231)&lt;1,$N231=""),"Vencida sin observación"&amp;" · ",""))="","✔ OK","⚠ "&amp;LEFT(IF(AND($S231="Macro",$B231=""),"Macroactividad vacía"&amp;" · ","")&amp;IF(AND($B231&lt;&gt;"",$C231&lt;&gt;""),"Escriba la subactividad en otra fila, debajo de su macroactividad"&amp;" · ","")&amp;IF(AND($S231="Sub",N($R231)=0),"Subactividad sin macroactividad arriba"&amp;" · ","")&amp;IF($D231="","Sin responsable"&amp;" · ","")&amp;IF($E231="","Sin fecha de inicio"&amp;" · ","")&amp;IF($F231="","Sin fecha límite"&amp;" · ","")&amp;IF(OR(AND($E231&lt;&gt;"",NOT(ISNUMBER($E231))),AND($F231&lt;&gt;"",NOT(ISNUMBER($F231)))),"Fecha no válida"&amp;" · ","")&amp;IF(AND(ISNUMBER($E231),ISNUMBER($F231),$E231&gt;$F231),"Inicio posterior a fecha límite"&amp;" · ","")&amp;IF(AND($S231="Macro",$G231=""),"Peso vacío"&amp;" · ","")&amp;IF(AND($S231="Macro",$G231&lt;&gt;"",OR(NOT(ISNUMBER($G231)),$G231&lt;=0,$G231&gt;1)),"Peso fuera de rango"&amp;" · ","")&amp;IF(AND($S231="Sub",$G231&lt;&gt;""),"Las subactividades no llevan peso"&amp;" · ","")&amp;IF(AND($S231="Macro",ABS(SUMIFS($G$5:$G$1000,$P$5:$P$1000,$P231,$S$5:$S$1000,"Macro")-1)&gt;0.0001),"Pesos del mes suman "&amp;TEXT(SUMIFS($G$5:$G$1000,$P$5:$P$1000,$P231,$S$5:$S$1000,"Macro"),"0%")&amp;" · ","")&amp;IF(AND(N($T231)&gt;0,COUNT($H231:$K231)&gt;0),"Con subactividades: deje vacías las semanas (se calculan solas)"&amp;" · ","")&amp;IF((COUNTIF($H231:$K231,"&gt;1")+COUNTIF($H231:$K231,"&lt;0")+COUNTA($H231:$K231)-COUNT($H231:$K231))&gt;0,"Avance fuera de rango 0-100%"&amp;" · ","")&amp;IF(OR(AND($I231&lt;&gt;"",$I231&lt;$H231),AND($J231&lt;&gt;"",$J231&lt;MAX($H231:$I231)),AND($K231&lt;&gt;"",$K231&lt;MAX($H231:$J231))),"Avance semanal decreciente"&amp;" · ","")&amp;IF(AND(ISNUMBER($F231),$F231&lt;FechaRef,N($L231)&lt;1),"Vencida"&amp;" · ","")&amp;IF(AND(ObsObligatoria="Sí",ISNUMBER($F231),$F231&lt;FechaRef,N($L231)&lt;1,$N231=""),"Vencida sin observación"&amp;" · ",""),LEN(IF(AND($S231="Macro",$B231=""),"Macroactividad vacía"&amp;" · ","")&amp;IF(AND($B231&lt;&gt;"",$C231&lt;&gt;""),"Escriba la subactividad en otra fila, debajo de su macroactividad"&amp;" · ","")&amp;IF(AND($S231="Sub",N($R231)=0),"Subactividad sin macroactividad arriba"&amp;" · ","")&amp;IF($D231="","Sin responsable"&amp;" · ","")&amp;IF($E231="","Sin fecha de inicio"&amp;" · ","")&amp;IF($F231="","Sin fecha límite"&amp;" · ","")&amp;IF(OR(AND($E231&lt;&gt;"",NOT(ISNUMBER($E231))),AND($F231&lt;&gt;"",NOT(ISNUMBER($F231)))),"Fecha no válida"&amp;" · ","")&amp;IF(AND(ISNUMBER($E231),ISNUMBER($F231),$E231&gt;$F231),"Inicio posterior a fecha límite"&amp;" · ","")&amp;IF(AND($S231="Macro",$G231=""),"Peso vacío"&amp;" · ","")&amp;IF(AND($S231="Macro",$G231&lt;&gt;"",OR(NOT(ISNUMBER($G231)),$G231&lt;=0,$G231&gt;1)),"Peso fuera de rango"&amp;" · ","")&amp;IF(AND($S231="Sub",$G231&lt;&gt;""),"Las subactividades no llevan peso"&amp;" · ","")&amp;IF(AND($S231="Macro",ABS(SUMIFS($G$5:$G$1000,$P$5:$P$1000,$P231,$S$5:$S$1000,"Macro")-1)&gt;0.0001),"Pesos del mes suman "&amp;TEXT(SUMIFS($G$5:$G$1000,$P$5:$P$1000,$P231,$S$5:$S$1000,"Macro"),"0%")&amp;" · ","")&amp;IF(AND(N($T231)&gt;0,COUNT($H231:$K231)&gt;0),"Con subactividades: deje vacías las semanas (se calculan solas)"&amp;" · ","")&amp;IF((COUNTIF($H231:$K231,"&gt;1")+COUNTIF($H231:$K231,"&lt;0")+COUNTA($H231:$K231)-COUNT($H231:$K231))&gt;0,"Avance fuera de rango 0-100%"&amp;" · ","")&amp;IF(OR(AND($I231&lt;&gt;"",$I231&lt;$H231),AND($J231&lt;&gt;"",$J231&lt;MAX($H231:$I231)),AND($K231&lt;&gt;"",$K231&lt;MAX($H231:$J231))),"Avance semanal decreciente"&amp;" · ","")&amp;IF(AND(ISNUMBER($F231),$F231&lt;FechaRef,N($L231)&lt;1),"Vencida"&amp;" · ","")&amp;IF(AND(ObsObligatoria="Sí",ISNUMBER($F231),$F231&lt;FechaRef,N($L231)&lt;1,$N231=""),"Vencida sin observación"&amp;" · ",""))-3)))</f>
        <v/>
      </c>
      <c r="P231" s="69">
        <f>IF(NOT((COUNTA($B231:$K231)+COUNTA($N231))&gt;0),"",IF(AND($S231="Sub",N($R231)&gt;0),IF(ISNUMBER(INDEX($E$5:$E$1000,$R231-4)),DATE(YEAR(INDEX($E$5:$E$1000,$R231-4)),MONTH(INDEX($E$5:$E$1000,$R231-4)),1),IF(ISNUMBER(INDEX($F$5:$F$1000,$R231-4)),DATE(YEAR(INDEX($F$5:$F$1000,$R231-4)),MONTH(INDEX($F$5:$F$1000,$R231-4)),1),MesCiclo)),IF(ISNUMBER($E231),DATE(YEAR($E231),MONTH($E231),1),IF(ISNUMBER($F231),DATE(YEAR($F231),MONTH($F231),1),MesCiclo))))</f>
        <v/>
      </c>
      <c r="Q231" s="70">
        <f>IF(OR($P231="",$P231&lt;&gt;MesCiclo),"",COUNTIF($P$5:$P231,MesCiclo))</f>
        <v/>
      </c>
      <c r="R231" s="70">
        <f>IF($S231="","",IF($S231="Macro",ROW(),IFERROR(LOOKUP(2,1/($S$5:$S231="Macro"),ROW($S$5:$S231)),0)))</f>
        <v/>
      </c>
      <c r="S231" s="70">
        <f>IF(NOT((COUNTA($B231:$K231)+COUNTA($N231))&gt;0),"",IF($B231&lt;&gt;"","Macro",IF($C231&lt;&gt;"","Sub","Macro")))</f>
        <v/>
      </c>
      <c r="T231" s="70">
        <f>IF($S231="Macro",COUNTIFS($R$5:$R$1000,ROW(),$S$5:$S$1000,"Sub"),"")</f>
        <v/>
      </c>
      <c r="U231" s="70">
        <f>IF($S231="","",IF(ISNUMBER($H231),$H231,0))</f>
        <v/>
      </c>
      <c r="V231" s="70">
        <f>IF($S231="","",IF(ISNUMBER($I231),$I231,$U231))</f>
        <v/>
      </c>
      <c r="W231" s="70">
        <f>IF($S231="","",IF(ISNUMBER($J231),$J231,$V231))</f>
        <v/>
      </c>
      <c r="X231" s="70">
        <f>IF($S231="","",IF(ISNUMBER($K231),$K231,$W231))</f>
        <v/>
      </c>
      <c r="Y231" s="70">
        <f>IF($S231="","",IF(N($T231)&gt;0,AVERAGEIFS($U$5:$U$1000,$R$5:$R$1000,ROW(),$S$5:$S$1000,"Sub"),$U231))</f>
        <v/>
      </c>
      <c r="Z231" s="70">
        <f>IF($S231="","",IF(N($T231)&gt;0,AVERAGEIFS($V$5:$V$1000,$R$5:$R$1000,ROW(),$S$5:$S$1000,"Sub"),$V231))</f>
        <v/>
      </c>
      <c r="AA231" s="70">
        <f>IF($S231="","",IF(N($T231)&gt;0,AVERAGEIFS($W$5:$W$1000,$R$5:$R$1000,ROW(),$S$5:$S$1000,"Sub"),$W231))</f>
        <v/>
      </c>
      <c r="AB231" s="70">
        <f>IF($S231="","",IF(N($T231)&gt;0,AVERAGEIFS($X$5:$X$1000,$R$5:$R$1000,ROW(),$S$5:$S$1000,"Sub"),$X231))</f>
        <v/>
      </c>
    </row>
    <row r="232">
      <c r="A232" s="61">
        <f>IF(NOT((COUNTA($B232:$K232)+COUNTA($N232))&gt;0),"",IF($S232="Macro",COUNTIFS($S$5:$S232,"Macro",$P$5:$P232,$P232),IF(N($R232)=0,"?",COUNTIFS(INDEX($S$5:$S$1000,1):INDEX($S$5:$S$1000,$R232-4),"Macro",INDEX($P$5:$P$1000,1):INDEX($P$5:$P$1000,$R232-4),INDEX($P$5:$P$1000,$R232-4))&amp;"."&amp;COUNTIFS($R$5:$R232,$R232,$S$5:$S232,"Sub"))))</f>
        <v/>
      </c>
      <c r="B232" s="62" t="n"/>
      <c r="C232" s="63" t="n"/>
      <c r="D232" s="62" t="n"/>
      <c r="E232" s="64" t="n"/>
      <c r="F232" s="64" t="n"/>
      <c r="G232" s="65" t="n"/>
      <c r="H232" s="66" t="n"/>
      <c r="I232" s="66" t="n"/>
      <c r="J232" s="66" t="n"/>
      <c r="K232" s="66" t="n"/>
      <c r="L232" s="67">
        <f>IF(NOT((COUNTA($B232:$K232)+COUNTA($N232))&gt;0),"",IF(N($T232)&gt;0,$AB232,IFERROR(LOOKUP(2,1/(H232:K232&lt;&gt;""),H232:K232),0)))</f>
        <v/>
      </c>
      <c r="M232" s="61">
        <f>IF(L232="","",IF(L232&gt;=1,"Completado",IF(L232&gt;0,"En curso","Pendiente")))</f>
        <v/>
      </c>
      <c r="N232" s="62" t="n"/>
      <c r="O232" s="68">
        <f>IF(NOT((COUNTA($B232:$K232)+COUNTA($N232))&gt;0),"",IF((IF(AND($S232="Macro",$B232=""),"Macroactividad vacía"&amp;" · ","")&amp;IF(AND($B232&lt;&gt;"",$C232&lt;&gt;""),"Escriba la subactividad en otra fila, debajo de su macroactividad"&amp;" · ","")&amp;IF(AND($S232="Sub",N($R232)=0),"Subactividad sin macroactividad arriba"&amp;" · ","")&amp;IF($D232="","Sin responsable"&amp;" · ","")&amp;IF($E232="","Sin fecha de inicio"&amp;" · ","")&amp;IF($F232="","Sin fecha límite"&amp;" · ","")&amp;IF(OR(AND($E232&lt;&gt;"",NOT(ISNUMBER($E232))),AND($F232&lt;&gt;"",NOT(ISNUMBER($F232)))),"Fecha no válida"&amp;" · ","")&amp;IF(AND(ISNUMBER($E232),ISNUMBER($F232),$E232&gt;$F232),"Inicio posterior a fecha límite"&amp;" · ","")&amp;IF(AND($S232="Macro",$G232=""),"Peso vacío"&amp;" · ","")&amp;IF(AND($S232="Macro",$G232&lt;&gt;"",OR(NOT(ISNUMBER($G232)),$G232&lt;=0,$G232&gt;1)),"Peso fuera de rango"&amp;" · ","")&amp;IF(AND($S232="Sub",$G232&lt;&gt;""),"Las subactividades no llevan peso"&amp;" · ","")&amp;IF(AND($S232="Macro",ABS(SUMIFS($G$5:$G$1000,$P$5:$P$1000,$P232,$S$5:$S$1000,"Macro")-1)&gt;0.0001),"Pesos del mes suman "&amp;TEXT(SUMIFS($G$5:$G$1000,$P$5:$P$1000,$P232,$S$5:$S$1000,"Macro"),"0%")&amp;" · ","")&amp;IF(AND(N($T232)&gt;0,COUNT($H232:$K232)&gt;0),"Con subactividades: deje vacías las semanas (se calculan solas)"&amp;" · ","")&amp;IF((COUNTIF($H232:$K232,"&gt;1")+COUNTIF($H232:$K232,"&lt;0")+COUNTA($H232:$K232)-COUNT($H232:$K232))&gt;0,"Avance fuera de rango 0-100%"&amp;" · ","")&amp;IF(OR(AND($I232&lt;&gt;"",$I232&lt;$H232),AND($J232&lt;&gt;"",$J232&lt;MAX($H232:$I232)),AND($K232&lt;&gt;"",$K232&lt;MAX($H232:$J232))),"Avance semanal decreciente"&amp;" · ","")&amp;IF(AND(ISNUMBER($F232),$F232&lt;FechaRef,N($L232)&lt;1),"Vencida"&amp;" · ","")&amp;IF(AND(ObsObligatoria="Sí",ISNUMBER($F232),$F232&lt;FechaRef,N($L232)&lt;1,$N232=""),"Vencida sin observación"&amp;" · ",""))="","✔ OK","⚠ "&amp;LEFT(IF(AND($S232="Macro",$B232=""),"Macroactividad vacía"&amp;" · ","")&amp;IF(AND($B232&lt;&gt;"",$C232&lt;&gt;""),"Escriba la subactividad en otra fila, debajo de su macroactividad"&amp;" · ","")&amp;IF(AND($S232="Sub",N($R232)=0),"Subactividad sin macroactividad arriba"&amp;" · ","")&amp;IF($D232="","Sin responsable"&amp;" · ","")&amp;IF($E232="","Sin fecha de inicio"&amp;" · ","")&amp;IF($F232="","Sin fecha límite"&amp;" · ","")&amp;IF(OR(AND($E232&lt;&gt;"",NOT(ISNUMBER($E232))),AND($F232&lt;&gt;"",NOT(ISNUMBER($F232)))),"Fecha no válida"&amp;" · ","")&amp;IF(AND(ISNUMBER($E232),ISNUMBER($F232),$E232&gt;$F232),"Inicio posterior a fecha límite"&amp;" · ","")&amp;IF(AND($S232="Macro",$G232=""),"Peso vacío"&amp;" · ","")&amp;IF(AND($S232="Macro",$G232&lt;&gt;"",OR(NOT(ISNUMBER($G232)),$G232&lt;=0,$G232&gt;1)),"Peso fuera de rango"&amp;" · ","")&amp;IF(AND($S232="Sub",$G232&lt;&gt;""),"Las subactividades no llevan peso"&amp;" · ","")&amp;IF(AND($S232="Macro",ABS(SUMIFS($G$5:$G$1000,$P$5:$P$1000,$P232,$S$5:$S$1000,"Macro")-1)&gt;0.0001),"Pesos del mes suman "&amp;TEXT(SUMIFS($G$5:$G$1000,$P$5:$P$1000,$P232,$S$5:$S$1000,"Macro"),"0%")&amp;" · ","")&amp;IF(AND(N($T232)&gt;0,COUNT($H232:$K232)&gt;0),"Con subactividades: deje vacías las semanas (se calculan solas)"&amp;" · ","")&amp;IF((COUNTIF($H232:$K232,"&gt;1")+COUNTIF($H232:$K232,"&lt;0")+COUNTA($H232:$K232)-COUNT($H232:$K232))&gt;0,"Avance fuera de rango 0-100%"&amp;" · ","")&amp;IF(OR(AND($I232&lt;&gt;"",$I232&lt;$H232),AND($J232&lt;&gt;"",$J232&lt;MAX($H232:$I232)),AND($K232&lt;&gt;"",$K232&lt;MAX($H232:$J232))),"Avance semanal decreciente"&amp;" · ","")&amp;IF(AND(ISNUMBER($F232),$F232&lt;FechaRef,N($L232)&lt;1),"Vencida"&amp;" · ","")&amp;IF(AND(ObsObligatoria="Sí",ISNUMBER($F232),$F232&lt;FechaRef,N($L232)&lt;1,$N232=""),"Vencida sin observación"&amp;" · ",""),LEN(IF(AND($S232="Macro",$B232=""),"Macroactividad vacía"&amp;" · ","")&amp;IF(AND($B232&lt;&gt;"",$C232&lt;&gt;""),"Escriba la subactividad en otra fila, debajo de su macroactividad"&amp;" · ","")&amp;IF(AND($S232="Sub",N($R232)=0),"Subactividad sin macroactividad arriba"&amp;" · ","")&amp;IF($D232="","Sin responsable"&amp;" · ","")&amp;IF($E232="","Sin fecha de inicio"&amp;" · ","")&amp;IF($F232="","Sin fecha límite"&amp;" · ","")&amp;IF(OR(AND($E232&lt;&gt;"",NOT(ISNUMBER($E232))),AND($F232&lt;&gt;"",NOT(ISNUMBER($F232)))),"Fecha no válida"&amp;" · ","")&amp;IF(AND(ISNUMBER($E232),ISNUMBER($F232),$E232&gt;$F232),"Inicio posterior a fecha límite"&amp;" · ","")&amp;IF(AND($S232="Macro",$G232=""),"Peso vacío"&amp;" · ","")&amp;IF(AND($S232="Macro",$G232&lt;&gt;"",OR(NOT(ISNUMBER($G232)),$G232&lt;=0,$G232&gt;1)),"Peso fuera de rango"&amp;" · ","")&amp;IF(AND($S232="Sub",$G232&lt;&gt;""),"Las subactividades no llevan peso"&amp;" · ","")&amp;IF(AND($S232="Macro",ABS(SUMIFS($G$5:$G$1000,$P$5:$P$1000,$P232,$S$5:$S$1000,"Macro")-1)&gt;0.0001),"Pesos del mes suman "&amp;TEXT(SUMIFS($G$5:$G$1000,$P$5:$P$1000,$P232,$S$5:$S$1000,"Macro"),"0%")&amp;" · ","")&amp;IF(AND(N($T232)&gt;0,COUNT($H232:$K232)&gt;0),"Con subactividades: deje vacías las semanas (se calculan solas)"&amp;" · ","")&amp;IF((COUNTIF($H232:$K232,"&gt;1")+COUNTIF($H232:$K232,"&lt;0")+COUNTA($H232:$K232)-COUNT($H232:$K232))&gt;0,"Avance fuera de rango 0-100%"&amp;" · ","")&amp;IF(OR(AND($I232&lt;&gt;"",$I232&lt;$H232),AND($J232&lt;&gt;"",$J232&lt;MAX($H232:$I232)),AND($K232&lt;&gt;"",$K232&lt;MAX($H232:$J232))),"Avance semanal decreciente"&amp;" · ","")&amp;IF(AND(ISNUMBER($F232),$F232&lt;FechaRef,N($L232)&lt;1),"Vencida"&amp;" · ","")&amp;IF(AND(ObsObligatoria="Sí",ISNUMBER($F232),$F232&lt;FechaRef,N($L232)&lt;1,$N232=""),"Vencida sin observación"&amp;" · ",""))-3)))</f>
        <v/>
      </c>
      <c r="P232" s="69">
        <f>IF(NOT((COUNTA($B232:$K232)+COUNTA($N232))&gt;0),"",IF(AND($S232="Sub",N($R232)&gt;0),IF(ISNUMBER(INDEX($E$5:$E$1000,$R232-4)),DATE(YEAR(INDEX($E$5:$E$1000,$R232-4)),MONTH(INDEX($E$5:$E$1000,$R232-4)),1),IF(ISNUMBER(INDEX($F$5:$F$1000,$R232-4)),DATE(YEAR(INDEX($F$5:$F$1000,$R232-4)),MONTH(INDEX($F$5:$F$1000,$R232-4)),1),MesCiclo)),IF(ISNUMBER($E232),DATE(YEAR($E232),MONTH($E232),1),IF(ISNUMBER($F232),DATE(YEAR($F232),MONTH($F232),1),MesCiclo))))</f>
        <v/>
      </c>
      <c r="Q232" s="70">
        <f>IF(OR($P232="",$P232&lt;&gt;MesCiclo),"",COUNTIF($P$5:$P232,MesCiclo))</f>
        <v/>
      </c>
      <c r="R232" s="70">
        <f>IF($S232="","",IF($S232="Macro",ROW(),IFERROR(LOOKUP(2,1/($S$5:$S232="Macro"),ROW($S$5:$S232)),0)))</f>
        <v/>
      </c>
      <c r="S232" s="70">
        <f>IF(NOT((COUNTA($B232:$K232)+COUNTA($N232))&gt;0),"",IF($B232&lt;&gt;"","Macro",IF($C232&lt;&gt;"","Sub","Macro")))</f>
        <v/>
      </c>
      <c r="T232" s="70">
        <f>IF($S232="Macro",COUNTIFS($R$5:$R$1000,ROW(),$S$5:$S$1000,"Sub"),"")</f>
        <v/>
      </c>
      <c r="U232" s="70">
        <f>IF($S232="","",IF(ISNUMBER($H232),$H232,0))</f>
        <v/>
      </c>
      <c r="V232" s="70">
        <f>IF($S232="","",IF(ISNUMBER($I232),$I232,$U232))</f>
        <v/>
      </c>
      <c r="W232" s="70">
        <f>IF($S232="","",IF(ISNUMBER($J232),$J232,$V232))</f>
        <v/>
      </c>
      <c r="X232" s="70">
        <f>IF($S232="","",IF(ISNUMBER($K232),$K232,$W232))</f>
        <v/>
      </c>
      <c r="Y232" s="70">
        <f>IF($S232="","",IF(N($T232)&gt;0,AVERAGEIFS($U$5:$U$1000,$R$5:$R$1000,ROW(),$S$5:$S$1000,"Sub"),$U232))</f>
        <v/>
      </c>
      <c r="Z232" s="70">
        <f>IF($S232="","",IF(N($T232)&gt;0,AVERAGEIFS($V$5:$V$1000,$R$5:$R$1000,ROW(),$S$5:$S$1000,"Sub"),$V232))</f>
        <v/>
      </c>
      <c r="AA232" s="70">
        <f>IF($S232="","",IF(N($T232)&gt;0,AVERAGEIFS($W$5:$W$1000,$R$5:$R$1000,ROW(),$S$5:$S$1000,"Sub"),$W232))</f>
        <v/>
      </c>
      <c r="AB232" s="70">
        <f>IF($S232="","",IF(N($T232)&gt;0,AVERAGEIFS($X$5:$X$1000,$R$5:$R$1000,ROW(),$S$5:$S$1000,"Sub"),$X232))</f>
        <v/>
      </c>
    </row>
    <row r="233">
      <c r="A233" s="61">
        <f>IF(NOT((COUNTA($B233:$K233)+COUNTA($N233))&gt;0),"",IF($S233="Macro",COUNTIFS($S$5:$S233,"Macro",$P$5:$P233,$P233),IF(N($R233)=0,"?",COUNTIFS(INDEX($S$5:$S$1000,1):INDEX($S$5:$S$1000,$R233-4),"Macro",INDEX($P$5:$P$1000,1):INDEX($P$5:$P$1000,$R233-4),INDEX($P$5:$P$1000,$R233-4))&amp;"."&amp;COUNTIFS($R$5:$R233,$R233,$S$5:$S233,"Sub"))))</f>
        <v/>
      </c>
      <c r="B233" s="62" t="n"/>
      <c r="C233" s="63" t="n"/>
      <c r="D233" s="62" t="n"/>
      <c r="E233" s="64" t="n"/>
      <c r="F233" s="64" t="n"/>
      <c r="G233" s="65" t="n"/>
      <c r="H233" s="66" t="n"/>
      <c r="I233" s="66" t="n"/>
      <c r="J233" s="66" t="n"/>
      <c r="K233" s="66" t="n"/>
      <c r="L233" s="67">
        <f>IF(NOT((COUNTA($B233:$K233)+COUNTA($N233))&gt;0),"",IF(N($T233)&gt;0,$AB233,IFERROR(LOOKUP(2,1/(H233:K233&lt;&gt;""),H233:K233),0)))</f>
        <v/>
      </c>
      <c r="M233" s="61">
        <f>IF(L233="","",IF(L233&gt;=1,"Completado",IF(L233&gt;0,"En curso","Pendiente")))</f>
        <v/>
      </c>
      <c r="N233" s="62" t="n"/>
      <c r="O233" s="68">
        <f>IF(NOT((COUNTA($B233:$K233)+COUNTA($N233))&gt;0),"",IF((IF(AND($S233="Macro",$B233=""),"Macroactividad vacía"&amp;" · ","")&amp;IF(AND($B233&lt;&gt;"",$C233&lt;&gt;""),"Escriba la subactividad en otra fila, debajo de su macroactividad"&amp;" · ","")&amp;IF(AND($S233="Sub",N($R233)=0),"Subactividad sin macroactividad arriba"&amp;" · ","")&amp;IF($D233="","Sin responsable"&amp;" · ","")&amp;IF($E233="","Sin fecha de inicio"&amp;" · ","")&amp;IF($F233="","Sin fecha límite"&amp;" · ","")&amp;IF(OR(AND($E233&lt;&gt;"",NOT(ISNUMBER($E233))),AND($F233&lt;&gt;"",NOT(ISNUMBER($F233)))),"Fecha no válida"&amp;" · ","")&amp;IF(AND(ISNUMBER($E233),ISNUMBER($F233),$E233&gt;$F233),"Inicio posterior a fecha límite"&amp;" · ","")&amp;IF(AND($S233="Macro",$G233=""),"Peso vacío"&amp;" · ","")&amp;IF(AND($S233="Macro",$G233&lt;&gt;"",OR(NOT(ISNUMBER($G233)),$G233&lt;=0,$G233&gt;1)),"Peso fuera de rango"&amp;" · ","")&amp;IF(AND($S233="Sub",$G233&lt;&gt;""),"Las subactividades no llevan peso"&amp;" · ","")&amp;IF(AND($S233="Macro",ABS(SUMIFS($G$5:$G$1000,$P$5:$P$1000,$P233,$S$5:$S$1000,"Macro")-1)&gt;0.0001),"Pesos del mes suman "&amp;TEXT(SUMIFS($G$5:$G$1000,$P$5:$P$1000,$P233,$S$5:$S$1000,"Macro"),"0%")&amp;" · ","")&amp;IF(AND(N($T233)&gt;0,COUNT($H233:$K233)&gt;0),"Con subactividades: deje vacías las semanas (se calculan solas)"&amp;" · ","")&amp;IF((COUNTIF($H233:$K233,"&gt;1")+COUNTIF($H233:$K233,"&lt;0")+COUNTA($H233:$K233)-COUNT($H233:$K233))&gt;0,"Avance fuera de rango 0-100%"&amp;" · ","")&amp;IF(OR(AND($I233&lt;&gt;"",$I233&lt;$H233),AND($J233&lt;&gt;"",$J233&lt;MAX($H233:$I233)),AND($K233&lt;&gt;"",$K233&lt;MAX($H233:$J233))),"Avance semanal decreciente"&amp;" · ","")&amp;IF(AND(ISNUMBER($F233),$F233&lt;FechaRef,N($L233)&lt;1),"Vencida"&amp;" · ","")&amp;IF(AND(ObsObligatoria="Sí",ISNUMBER($F233),$F233&lt;FechaRef,N($L233)&lt;1,$N233=""),"Vencida sin observación"&amp;" · ",""))="","✔ OK","⚠ "&amp;LEFT(IF(AND($S233="Macro",$B233=""),"Macroactividad vacía"&amp;" · ","")&amp;IF(AND($B233&lt;&gt;"",$C233&lt;&gt;""),"Escriba la subactividad en otra fila, debajo de su macroactividad"&amp;" · ","")&amp;IF(AND($S233="Sub",N($R233)=0),"Subactividad sin macroactividad arriba"&amp;" · ","")&amp;IF($D233="","Sin responsable"&amp;" · ","")&amp;IF($E233="","Sin fecha de inicio"&amp;" · ","")&amp;IF($F233="","Sin fecha límite"&amp;" · ","")&amp;IF(OR(AND($E233&lt;&gt;"",NOT(ISNUMBER($E233))),AND($F233&lt;&gt;"",NOT(ISNUMBER($F233)))),"Fecha no válida"&amp;" · ","")&amp;IF(AND(ISNUMBER($E233),ISNUMBER($F233),$E233&gt;$F233),"Inicio posterior a fecha límite"&amp;" · ","")&amp;IF(AND($S233="Macro",$G233=""),"Peso vacío"&amp;" · ","")&amp;IF(AND($S233="Macro",$G233&lt;&gt;"",OR(NOT(ISNUMBER($G233)),$G233&lt;=0,$G233&gt;1)),"Peso fuera de rango"&amp;" · ","")&amp;IF(AND($S233="Sub",$G233&lt;&gt;""),"Las subactividades no llevan peso"&amp;" · ","")&amp;IF(AND($S233="Macro",ABS(SUMIFS($G$5:$G$1000,$P$5:$P$1000,$P233,$S$5:$S$1000,"Macro")-1)&gt;0.0001),"Pesos del mes suman "&amp;TEXT(SUMIFS($G$5:$G$1000,$P$5:$P$1000,$P233,$S$5:$S$1000,"Macro"),"0%")&amp;" · ","")&amp;IF(AND(N($T233)&gt;0,COUNT($H233:$K233)&gt;0),"Con subactividades: deje vacías las semanas (se calculan solas)"&amp;" · ","")&amp;IF((COUNTIF($H233:$K233,"&gt;1")+COUNTIF($H233:$K233,"&lt;0")+COUNTA($H233:$K233)-COUNT($H233:$K233))&gt;0,"Avance fuera de rango 0-100%"&amp;" · ","")&amp;IF(OR(AND($I233&lt;&gt;"",$I233&lt;$H233),AND($J233&lt;&gt;"",$J233&lt;MAX($H233:$I233)),AND($K233&lt;&gt;"",$K233&lt;MAX($H233:$J233))),"Avance semanal decreciente"&amp;" · ","")&amp;IF(AND(ISNUMBER($F233),$F233&lt;FechaRef,N($L233)&lt;1),"Vencida"&amp;" · ","")&amp;IF(AND(ObsObligatoria="Sí",ISNUMBER($F233),$F233&lt;FechaRef,N($L233)&lt;1,$N233=""),"Vencida sin observación"&amp;" · ",""),LEN(IF(AND($S233="Macro",$B233=""),"Macroactividad vacía"&amp;" · ","")&amp;IF(AND($B233&lt;&gt;"",$C233&lt;&gt;""),"Escriba la subactividad en otra fila, debajo de su macroactividad"&amp;" · ","")&amp;IF(AND($S233="Sub",N($R233)=0),"Subactividad sin macroactividad arriba"&amp;" · ","")&amp;IF($D233="","Sin responsable"&amp;" · ","")&amp;IF($E233="","Sin fecha de inicio"&amp;" · ","")&amp;IF($F233="","Sin fecha límite"&amp;" · ","")&amp;IF(OR(AND($E233&lt;&gt;"",NOT(ISNUMBER($E233))),AND($F233&lt;&gt;"",NOT(ISNUMBER($F233)))),"Fecha no válida"&amp;" · ","")&amp;IF(AND(ISNUMBER($E233),ISNUMBER($F233),$E233&gt;$F233),"Inicio posterior a fecha límite"&amp;" · ","")&amp;IF(AND($S233="Macro",$G233=""),"Peso vacío"&amp;" · ","")&amp;IF(AND($S233="Macro",$G233&lt;&gt;"",OR(NOT(ISNUMBER($G233)),$G233&lt;=0,$G233&gt;1)),"Peso fuera de rango"&amp;" · ","")&amp;IF(AND($S233="Sub",$G233&lt;&gt;""),"Las subactividades no llevan peso"&amp;" · ","")&amp;IF(AND($S233="Macro",ABS(SUMIFS($G$5:$G$1000,$P$5:$P$1000,$P233,$S$5:$S$1000,"Macro")-1)&gt;0.0001),"Pesos del mes suman "&amp;TEXT(SUMIFS($G$5:$G$1000,$P$5:$P$1000,$P233,$S$5:$S$1000,"Macro"),"0%")&amp;" · ","")&amp;IF(AND(N($T233)&gt;0,COUNT($H233:$K233)&gt;0),"Con subactividades: deje vacías las semanas (se calculan solas)"&amp;" · ","")&amp;IF((COUNTIF($H233:$K233,"&gt;1")+COUNTIF($H233:$K233,"&lt;0")+COUNTA($H233:$K233)-COUNT($H233:$K233))&gt;0,"Avance fuera de rango 0-100%"&amp;" · ","")&amp;IF(OR(AND($I233&lt;&gt;"",$I233&lt;$H233),AND($J233&lt;&gt;"",$J233&lt;MAX($H233:$I233)),AND($K233&lt;&gt;"",$K233&lt;MAX($H233:$J233))),"Avance semanal decreciente"&amp;" · ","")&amp;IF(AND(ISNUMBER($F233),$F233&lt;FechaRef,N($L233)&lt;1),"Vencida"&amp;" · ","")&amp;IF(AND(ObsObligatoria="Sí",ISNUMBER($F233),$F233&lt;FechaRef,N($L233)&lt;1,$N233=""),"Vencida sin observación"&amp;" · ",""))-3)))</f>
        <v/>
      </c>
      <c r="P233" s="69">
        <f>IF(NOT((COUNTA($B233:$K233)+COUNTA($N233))&gt;0),"",IF(AND($S233="Sub",N($R233)&gt;0),IF(ISNUMBER(INDEX($E$5:$E$1000,$R233-4)),DATE(YEAR(INDEX($E$5:$E$1000,$R233-4)),MONTH(INDEX($E$5:$E$1000,$R233-4)),1),IF(ISNUMBER(INDEX($F$5:$F$1000,$R233-4)),DATE(YEAR(INDEX($F$5:$F$1000,$R233-4)),MONTH(INDEX($F$5:$F$1000,$R233-4)),1),MesCiclo)),IF(ISNUMBER($E233),DATE(YEAR($E233),MONTH($E233),1),IF(ISNUMBER($F233),DATE(YEAR($F233),MONTH($F233),1),MesCiclo))))</f>
        <v/>
      </c>
      <c r="Q233" s="70">
        <f>IF(OR($P233="",$P233&lt;&gt;MesCiclo),"",COUNTIF($P$5:$P233,MesCiclo))</f>
        <v/>
      </c>
      <c r="R233" s="70">
        <f>IF($S233="","",IF($S233="Macro",ROW(),IFERROR(LOOKUP(2,1/($S$5:$S233="Macro"),ROW($S$5:$S233)),0)))</f>
        <v/>
      </c>
      <c r="S233" s="70">
        <f>IF(NOT((COUNTA($B233:$K233)+COUNTA($N233))&gt;0),"",IF($B233&lt;&gt;"","Macro",IF($C233&lt;&gt;"","Sub","Macro")))</f>
        <v/>
      </c>
      <c r="T233" s="70">
        <f>IF($S233="Macro",COUNTIFS($R$5:$R$1000,ROW(),$S$5:$S$1000,"Sub"),"")</f>
        <v/>
      </c>
      <c r="U233" s="70">
        <f>IF($S233="","",IF(ISNUMBER($H233),$H233,0))</f>
        <v/>
      </c>
      <c r="V233" s="70">
        <f>IF($S233="","",IF(ISNUMBER($I233),$I233,$U233))</f>
        <v/>
      </c>
      <c r="W233" s="70">
        <f>IF($S233="","",IF(ISNUMBER($J233),$J233,$V233))</f>
        <v/>
      </c>
      <c r="X233" s="70">
        <f>IF($S233="","",IF(ISNUMBER($K233),$K233,$W233))</f>
        <v/>
      </c>
      <c r="Y233" s="70">
        <f>IF($S233="","",IF(N($T233)&gt;0,AVERAGEIFS($U$5:$U$1000,$R$5:$R$1000,ROW(),$S$5:$S$1000,"Sub"),$U233))</f>
        <v/>
      </c>
      <c r="Z233" s="70">
        <f>IF($S233="","",IF(N($T233)&gt;0,AVERAGEIFS($V$5:$V$1000,$R$5:$R$1000,ROW(),$S$5:$S$1000,"Sub"),$V233))</f>
        <v/>
      </c>
      <c r="AA233" s="70">
        <f>IF($S233="","",IF(N($T233)&gt;0,AVERAGEIFS($W$5:$W$1000,$R$5:$R$1000,ROW(),$S$5:$S$1000,"Sub"),$W233))</f>
        <v/>
      </c>
      <c r="AB233" s="70">
        <f>IF($S233="","",IF(N($T233)&gt;0,AVERAGEIFS($X$5:$X$1000,$R$5:$R$1000,ROW(),$S$5:$S$1000,"Sub"),$X233))</f>
        <v/>
      </c>
    </row>
    <row r="234">
      <c r="A234" s="61">
        <f>IF(NOT((COUNTA($B234:$K234)+COUNTA($N234))&gt;0),"",IF($S234="Macro",COUNTIFS($S$5:$S234,"Macro",$P$5:$P234,$P234),IF(N($R234)=0,"?",COUNTIFS(INDEX($S$5:$S$1000,1):INDEX($S$5:$S$1000,$R234-4),"Macro",INDEX($P$5:$P$1000,1):INDEX($P$5:$P$1000,$R234-4),INDEX($P$5:$P$1000,$R234-4))&amp;"."&amp;COUNTIFS($R$5:$R234,$R234,$S$5:$S234,"Sub"))))</f>
        <v/>
      </c>
      <c r="B234" s="62" t="n"/>
      <c r="C234" s="63" t="n"/>
      <c r="D234" s="62" t="n"/>
      <c r="E234" s="64" t="n"/>
      <c r="F234" s="64" t="n"/>
      <c r="G234" s="65" t="n"/>
      <c r="H234" s="66" t="n"/>
      <c r="I234" s="66" t="n"/>
      <c r="J234" s="66" t="n"/>
      <c r="K234" s="66" t="n"/>
      <c r="L234" s="67">
        <f>IF(NOT((COUNTA($B234:$K234)+COUNTA($N234))&gt;0),"",IF(N($T234)&gt;0,$AB234,IFERROR(LOOKUP(2,1/(H234:K234&lt;&gt;""),H234:K234),0)))</f>
        <v/>
      </c>
      <c r="M234" s="61">
        <f>IF(L234="","",IF(L234&gt;=1,"Completado",IF(L234&gt;0,"En curso","Pendiente")))</f>
        <v/>
      </c>
      <c r="N234" s="62" t="n"/>
      <c r="O234" s="68">
        <f>IF(NOT((COUNTA($B234:$K234)+COUNTA($N234))&gt;0),"",IF((IF(AND($S234="Macro",$B234=""),"Macroactividad vacía"&amp;" · ","")&amp;IF(AND($B234&lt;&gt;"",$C234&lt;&gt;""),"Escriba la subactividad en otra fila, debajo de su macroactividad"&amp;" · ","")&amp;IF(AND($S234="Sub",N($R234)=0),"Subactividad sin macroactividad arriba"&amp;" · ","")&amp;IF($D234="","Sin responsable"&amp;" · ","")&amp;IF($E234="","Sin fecha de inicio"&amp;" · ","")&amp;IF($F234="","Sin fecha límite"&amp;" · ","")&amp;IF(OR(AND($E234&lt;&gt;"",NOT(ISNUMBER($E234))),AND($F234&lt;&gt;"",NOT(ISNUMBER($F234)))),"Fecha no válida"&amp;" · ","")&amp;IF(AND(ISNUMBER($E234),ISNUMBER($F234),$E234&gt;$F234),"Inicio posterior a fecha límite"&amp;" · ","")&amp;IF(AND($S234="Macro",$G234=""),"Peso vacío"&amp;" · ","")&amp;IF(AND($S234="Macro",$G234&lt;&gt;"",OR(NOT(ISNUMBER($G234)),$G234&lt;=0,$G234&gt;1)),"Peso fuera de rango"&amp;" · ","")&amp;IF(AND($S234="Sub",$G234&lt;&gt;""),"Las subactividades no llevan peso"&amp;" · ","")&amp;IF(AND($S234="Macro",ABS(SUMIFS($G$5:$G$1000,$P$5:$P$1000,$P234,$S$5:$S$1000,"Macro")-1)&gt;0.0001),"Pesos del mes suman "&amp;TEXT(SUMIFS($G$5:$G$1000,$P$5:$P$1000,$P234,$S$5:$S$1000,"Macro"),"0%")&amp;" · ","")&amp;IF(AND(N($T234)&gt;0,COUNT($H234:$K234)&gt;0),"Con subactividades: deje vacías las semanas (se calculan solas)"&amp;" · ","")&amp;IF((COUNTIF($H234:$K234,"&gt;1")+COUNTIF($H234:$K234,"&lt;0")+COUNTA($H234:$K234)-COUNT($H234:$K234))&gt;0,"Avance fuera de rango 0-100%"&amp;" · ","")&amp;IF(OR(AND($I234&lt;&gt;"",$I234&lt;$H234),AND($J234&lt;&gt;"",$J234&lt;MAX($H234:$I234)),AND($K234&lt;&gt;"",$K234&lt;MAX($H234:$J234))),"Avance semanal decreciente"&amp;" · ","")&amp;IF(AND(ISNUMBER($F234),$F234&lt;FechaRef,N($L234)&lt;1),"Vencida"&amp;" · ","")&amp;IF(AND(ObsObligatoria="Sí",ISNUMBER($F234),$F234&lt;FechaRef,N($L234)&lt;1,$N234=""),"Vencida sin observación"&amp;" · ",""))="","✔ OK","⚠ "&amp;LEFT(IF(AND($S234="Macro",$B234=""),"Macroactividad vacía"&amp;" · ","")&amp;IF(AND($B234&lt;&gt;"",$C234&lt;&gt;""),"Escriba la subactividad en otra fila, debajo de su macroactividad"&amp;" · ","")&amp;IF(AND($S234="Sub",N($R234)=0),"Subactividad sin macroactividad arriba"&amp;" · ","")&amp;IF($D234="","Sin responsable"&amp;" · ","")&amp;IF($E234="","Sin fecha de inicio"&amp;" · ","")&amp;IF($F234="","Sin fecha límite"&amp;" · ","")&amp;IF(OR(AND($E234&lt;&gt;"",NOT(ISNUMBER($E234))),AND($F234&lt;&gt;"",NOT(ISNUMBER($F234)))),"Fecha no válida"&amp;" · ","")&amp;IF(AND(ISNUMBER($E234),ISNUMBER($F234),$E234&gt;$F234),"Inicio posterior a fecha límite"&amp;" · ","")&amp;IF(AND($S234="Macro",$G234=""),"Peso vacío"&amp;" · ","")&amp;IF(AND($S234="Macro",$G234&lt;&gt;"",OR(NOT(ISNUMBER($G234)),$G234&lt;=0,$G234&gt;1)),"Peso fuera de rango"&amp;" · ","")&amp;IF(AND($S234="Sub",$G234&lt;&gt;""),"Las subactividades no llevan peso"&amp;" · ","")&amp;IF(AND($S234="Macro",ABS(SUMIFS($G$5:$G$1000,$P$5:$P$1000,$P234,$S$5:$S$1000,"Macro")-1)&gt;0.0001),"Pesos del mes suman "&amp;TEXT(SUMIFS($G$5:$G$1000,$P$5:$P$1000,$P234,$S$5:$S$1000,"Macro"),"0%")&amp;" · ","")&amp;IF(AND(N($T234)&gt;0,COUNT($H234:$K234)&gt;0),"Con subactividades: deje vacías las semanas (se calculan solas)"&amp;" · ","")&amp;IF((COUNTIF($H234:$K234,"&gt;1")+COUNTIF($H234:$K234,"&lt;0")+COUNTA($H234:$K234)-COUNT($H234:$K234))&gt;0,"Avance fuera de rango 0-100%"&amp;" · ","")&amp;IF(OR(AND($I234&lt;&gt;"",$I234&lt;$H234),AND($J234&lt;&gt;"",$J234&lt;MAX($H234:$I234)),AND($K234&lt;&gt;"",$K234&lt;MAX($H234:$J234))),"Avance semanal decreciente"&amp;" · ","")&amp;IF(AND(ISNUMBER($F234),$F234&lt;FechaRef,N($L234)&lt;1),"Vencida"&amp;" · ","")&amp;IF(AND(ObsObligatoria="Sí",ISNUMBER($F234),$F234&lt;FechaRef,N($L234)&lt;1,$N234=""),"Vencida sin observación"&amp;" · ",""),LEN(IF(AND($S234="Macro",$B234=""),"Macroactividad vacía"&amp;" · ","")&amp;IF(AND($B234&lt;&gt;"",$C234&lt;&gt;""),"Escriba la subactividad en otra fila, debajo de su macroactividad"&amp;" · ","")&amp;IF(AND($S234="Sub",N($R234)=0),"Subactividad sin macroactividad arriba"&amp;" · ","")&amp;IF($D234="","Sin responsable"&amp;" · ","")&amp;IF($E234="","Sin fecha de inicio"&amp;" · ","")&amp;IF($F234="","Sin fecha límite"&amp;" · ","")&amp;IF(OR(AND($E234&lt;&gt;"",NOT(ISNUMBER($E234))),AND($F234&lt;&gt;"",NOT(ISNUMBER($F234)))),"Fecha no válida"&amp;" · ","")&amp;IF(AND(ISNUMBER($E234),ISNUMBER($F234),$E234&gt;$F234),"Inicio posterior a fecha límite"&amp;" · ","")&amp;IF(AND($S234="Macro",$G234=""),"Peso vacío"&amp;" · ","")&amp;IF(AND($S234="Macro",$G234&lt;&gt;"",OR(NOT(ISNUMBER($G234)),$G234&lt;=0,$G234&gt;1)),"Peso fuera de rango"&amp;" · ","")&amp;IF(AND($S234="Sub",$G234&lt;&gt;""),"Las subactividades no llevan peso"&amp;" · ","")&amp;IF(AND($S234="Macro",ABS(SUMIFS($G$5:$G$1000,$P$5:$P$1000,$P234,$S$5:$S$1000,"Macro")-1)&gt;0.0001),"Pesos del mes suman "&amp;TEXT(SUMIFS($G$5:$G$1000,$P$5:$P$1000,$P234,$S$5:$S$1000,"Macro"),"0%")&amp;" · ","")&amp;IF(AND(N($T234)&gt;0,COUNT($H234:$K234)&gt;0),"Con subactividades: deje vacías las semanas (se calculan solas)"&amp;" · ","")&amp;IF((COUNTIF($H234:$K234,"&gt;1")+COUNTIF($H234:$K234,"&lt;0")+COUNTA($H234:$K234)-COUNT($H234:$K234))&gt;0,"Avance fuera de rango 0-100%"&amp;" · ","")&amp;IF(OR(AND($I234&lt;&gt;"",$I234&lt;$H234),AND($J234&lt;&gt;"",$J234&lt;MAX($H234:$I234)),AND($K234&lt;&gt;"",$K234&lt;MAX($H234:$J234))),"Avance semanal decreciente"&amp;" · ","")&amp;IF(AND(ISNUMBER($F234),$F234&lt;FechaRef,N($L234)&lt;1),"Vencida"&amp;" · ","")&amp;IF(AND(ObsObligatoria="Sí",ISNUMBER($F234),$F234&lt;FechaRef,N($L234)&lt;1,$N234=""),"Vencida sin observación"&amp;" · ",""))-3)))</f>
        <v/>
      </c>
      <c r="P234" s="69">
        <f>IF(NOT((COUNTA($B234:$K234)+COUNTA($N234))&gt;0),"",IF(AND($S234="Sub",N($R234)&gt;0),IF(ISNUMBER(INDEX($E$5:$E$1000,$R234-4)),DATE(YEAR(INDEX($E$5:$E$1000,$R234-4)),MONTH(INDEX($E$5:$E$1000,$R234-4)),1),IF(ISNUMBER(INDEX($F$5:$F$1000,$R234-4)),DATE(YEAR(INDEX($F$5:$F$1000,$R234-4)),MONTH(INDEX($F$5:$F$1000,$R234-4)),1),MesCiclo)),IF(ISNUMBER($E234),DATE(YEAR($E234),MONTH($E234),1),IF(ISNUMBER($F234),DATE(YEAR($F234),MONTH($F234),1),MesCiclo))))</f>
        <v/>
      </c>
      <c r="Q234" s="70">
        <f>IF(OR($P234="",$P234&lt;&gt;MesCiclo),"",COUNTIF($P$5:$P234,MesCiclo))</f>
        <v/>
      </c>
      <c r="R234" s="70">
        <f>IF($S234="","",IF($S234="Macro",ROW(),IFERROR(LOOKUP(2,1/($S$5:$S234="Macro"),ROW($S$5:$S234)),0)))</f>
        <v/>
      </c>
      <c r="S234" s="70">
        <f>IF(NOT((COUNTA($B234:$K234)+COUNTA($N234))&gt;0),"",IF($B234&lt;&gt;"","Macro",IF($C234&lt;&gt;"","Sub","Macro")))</f>
        <v/>
      </c>
      <c r="T234" s="70">
        <f>IF($S234="Macro",COUNTIFS($R$5:$R$1000,ROW(),$S$5:$S$1000,"Sub"),"")</f>
        <v/>
      </c>
      <c r="U234" s="70">
        <f>IF($S234="","",IF(ISNUMBER($H234),$H234,0))</f>
        <v/>
      </c>
      <c r="V234" s="70">
        <f>IF($S234="","",IF(ISNUMBER($I234),$I234,$U234))</f>
        <v/>
      </c>
      <c r="W234" s="70">
        <f>IF($S234="","",IF(ISNUMBER($J234),$J234,$V234))</f>
        <v/>
      </c>
      <c r="X234" s="70">
        <f>IF($S234="","",IF(ISNUMBER($K234),$K234,$W234))</f>
        <v/>
      </c>
      <c r="Y234" s="70">
        <f>IF($S234="","",IF(N($T234)&gt;0,AVERAGEIFS($U$5:$U$1000,$R$5:$R$1000,ROW(),$S$5:$S$1000,"Sub"),$U234))</f>
        <v/>
      </c>
      <c r="Z234" s="70">
        <f>IF($S234="","",IF(N($T234)&gt;0,AVERAGEIFS($V$5:$V$1000,$R$5:$R$1000,ROW(),$S$5:$S$1000,"Sub"),$V234))</f>
        <v/>
      </c>
      <c r="AA234" s="70">
        <f>IF($S234="","",IF(N($T234)&gt;0,AVERAGEIFS($W$5:$W$1000,$R$5:$R$1000,ROW(),$S$5:$S$1000,"Sub"),$W234))</f>
        <v/>
      </c>
      <c r="AB234" s="70">
        <f>IF($S234="","",IF(N($T234)&gt;0,AVERAGEIFS($X$5:$X$1000,$R$5:$R$1000,ROW(),$S$5:$S$1000,"Sub"),$X234))</f>
        <v/>
      </c>
    </row>
    <row r="235">
      <c r="A235" s="61">
        <f>IF(NOT((COUNTA($B235:$K235)+COUNTA($N235))&gt;0),"",IF($S235="Macro",COUNTIFS($S$5:$S235,"Macro",$P$5:$P235,$P235),IF(N($R235)=0,"?",COUNTIFS(INDEX($S$5:$S$1000,1):INDEX($S$5:$S$1000,$R235-4),"Macro",INDEX($P$5:$P$1000,1):INDEX($P$5:$P$1000,$R235-4),INDEX($P$5:$P$1000,$R235-4))&amp;"."&amp;COUNTIFS($R$5:$R235,$R235,$S$5:$S235,"Sub"))))</f>
        <v/>
      </c>
      <c r="B235" s="62" t="n"/>
      <c r="C235" s="63" t="n"/>
      <c r="D235" s="62" t="n"/>
      <c r="E235" s="64" t="n"/>
      <c r="F235" s="64" t="n"/>
      <c r="G235" s="65" t="n"/>
      <c r="H235" s="66" t="n"/>
      <c r="I235" s="66" t="n"/>
      <c r="J235" s="66" t="n"/>
      <c r="K235" s="66" t="n"/>
      <c r="L235" s="67">
        <f>IF(NOT((COUNTA($B235:$K235)+COUNTA($N235))&gt;0),"",IF(N($T235)&gt;0,$AB235,IFERROR(LOOKUP(2,1/(H235:K235&lt;&gt;""),H235:K235),0)))</f>
        <v/>
      </c>
      <c r="M235" s="61">
        <f>IF(L235="","",IF(L235&gt;=1,"Completado",IF(L235&gt;0,"En curso","Pendiente")))</f>
        <v/>
      </c>
      <c r="N235" s="62" t="n"/>
      <c r="O235" s="68">
        <f>IF(NOT((COUNTA($B235:$K235)+COUNTA($N235))&gt;0),"",IF((IF(AND($S235="Macro",$B235=""),"Macroactividad vacía"&amp;" · ","")&amp;IF(AND($B235&lt;&gt;"",$C235&lt;&gt;""),"Escriba la subactividad en otra fila, debajo de su macroactividad"&amp;" · ","")&amp;IF(AND($S235="Sub",N($R235)=0),"Subactividad sin macroactividad arriba"&amp;" · ","")&amp;IF($D235="","Sin responsable"&amp;" · ","")&amp;IF($E235="","Sin fecha de inicio"&amp;" · ","")&amp;IF($F235="","Sin fecha límite"&amp;" · ","")&amp;IF(OR(AND($E235&lt;&gt;"",NOT(ISNUMBER($E235))),AND($F235&lt;&gt;"",NOT(ISNUMBER($F235)))),"Fecha no válida"&amp;" · ","")&amp;IF(AND(ISNUMBER($E235),ISNUMBER($F235),$E235&gt;$F235),"Inicio posterior a fecha límite"&amp;" · ","")&amp;IF(AND($S235="Macro",$G235=""),"Peso vacío"&amp;" · ","")&amp;IF(AND($S235="Macro",$G235&lt;&gt;"",OR(NOT(ISNUMBER($G235)),$G235&lt;=0,$G235&gt;1)),"Peso fuera de rango"&amp;" · ","")&amp;IF(AND($S235="Sub",$G235&lt;&gt;""),"Las subactividades no llevan peso"&amp;" · ","")&amp;IF(AND($S235="Macro",ABS(SUMIFS($G$5:$G$1000,$P$5:$P$1000,$P235,$S$5:$S$1000,"Macro")-1)&gt;0.0001),"Pesos del mes suman "&amp;TEXT(SUMIFS($G$5:$G$1000,$P$5:$P$1000,$P235,$S$5:$S$1000,"Macro"),"0%")&amp;" · ","")&amp;IF(AND(N($T235)&gt;0,COUNT($H235:$K235)&gt;0),"Con subactividades: deje vacías las semanas (se calculan solas)"&amp;" · ","")&amp;IF((COUNTIF($H235:$K235,"&gt;1")+COUNTIF($H235:$K235,"&lt;0")+COUNTA($H235:$K235)-COUNT($H235:$K235))&gt;0,"Avance fuera de rango 0-100%"&amp;" · ","")&amp;IF(OR(AND($I235&lt;&gt;"",$I235&lt;$H235),AND($J235&lt;&gt;"",$J235&lt;MAX($H235:$I235)),AND($K235&lt;&gt;"",$K235&lt;MAX($H235:$J235))),"Avance semanal decreciente"&amp;" · ","")&amp;IF(AND(ISNUMBER($F235),$F235&lt;FechaRef,N($L235)&lt;1),"Vencida"&amp;" · ","")&amp;IF(AND(ObsObligatoria="Sí",ISNUMBER($F235),$F235&lt;FechaRef,N($L235)&lt;1,$N235=""),"Vencida sin observación"&amp;" · ",""))="","✔ OK","⚠ "&amp;LEFT(IF(AND($S235="Macro",$B235=""),"Macroactividad vacía"&amp;" · ","")&amp;IF(AND($B235&lt;&gt;"",$C235&lt;&gt;""),"Escriba la subactividad en otra fila, debajo de su macroactividad"&amp;" · ","")&amp;IF(AND($S235="Sub",N($R235)=0),"Subactividad sin macroactividad arriba"&amp;" · ","")&amp;IF($D235="","Sin responsable"&amp;" · ","")&amp;IF($E235="","Sin fecha de inicio"&amp;" · ","")&amp;IF($F235="","Sin fecha límite"&amp;" · ","")&amp;IF(OR(AND($E235&lt;&gt;"",NOT(ISNUMBER($E235))),AND($F235&lt;&gt;"",NOT(ISNUMBER($F235)))),"Fecha no válida"&amp;" · ","")&amp;IF(AND(ISNUMBER($E235),ISNUMBER($F235),$E235&gt;$F235),"Inicio posterior a fecha límite"&amp;" · ","")&amp;IF(AND($S235="Macro",$G235=""),"Peso vacío"&amp;" · ","")&amp;IF(AND($S235="Macro",$G235&lt;&gt;"",OR(NOT(ISNUMBER($G235)),$G235&lt;=0,$G235&gt;1)),"Peso fuera de rango"&amp;" · ","")&amp;IF(AND($S235="Sub",$G235&lt;&gt;""),"Las subactividades no llevan peso"&amp;" · ","")&amp;IF(AND($S235="Macro",ABS(SUMIFS($G$5:$G$1000,$P$5:$P$1000,$P235,$S$5:$S$1000,"Macro")-1)&gt;0.0001),"Pesos del mes suman "&amp;TEXT(SUMIFS($G$5:$G$1000,$P$5:$P$1000,$P235,$S$5:$S$1000,"Macro"),"0%")&amp;" · ","")&amp;IF(AND(N($T235)&gt;0,COUNT($H235:$K235)&gt;0),"Con subactividades: deje vacías las semanas (se calculan solas)"&amp;" · ","")&amp;IF((COUNTIF($H235:$K235,"&gt;1")+COUNTIF($H235:$K235,"&lt;0")+COUNTA($H235:$K235)-COUNT($H235:$K235))&gt;0,"Avance fuera de rango 0-100%"&amp;" · ","")&amp;IF(OR(AND($I235&lt;&gt;"",$I235&lt;$H235),AND($J235&lt;&gt;"",$J235&lt;MAX($H235:$I235)),AND($K235&lt;&gt;"",$K235&lt;MAX($H235:$J235))),"Avance semanal decreciente"&amp;" · ","")&amp;IF(AND(ISNUMBER($F235),$F235&lt;FechaRef,N($L235)&lt;1),"Vencida"&amp;" · ","")&amp;IF(AND(ObsObligatoria="Sí",ISNUMBER($F235),$F235&lt;FechaRef,N($L235)&lt;1,$N235=""),"Vencida sin observación"&amp;" · ",""),LEN(IF(AND($S235="Macro",$B235=""),"Macroactividad vacía"&amp;" · ","")&amp;IF(AND($B235&lt;&gt;"",$C235&lt;&gt;""),"Escriba la subactividad en otra fila, debajo de su macroactividad"&amp;" · ","")&amp;IF(AND($S235="Sub",N($R235)=0),"Subactividad sin macroactividad arriba"&amp;" · ","")&amp;IF($D235="","Sin responsable"&amp;" · ","")&amp;IF($E235="","Sin fecha de inicio"&amp;" · ","")&amp;IF($F235="","Sin fecha límite"&amp;" · ","")&amp;IF(OR(AND($E235&lt;&gt;"",NOT(ISNUMBER($E235))),AND($F235&lt;&gt;"",NOT(ISNUMBER($F235)))),"Fecha no válida"&amp;" · ","")&amp;IF(AND(ISNUMBER($E235),ISNUMBER($F235),$E235&gt;$F235),"Inicio posterior a fecha límite"&amp;" · ","")&amp;IF(AND($S235="Macro",$G235=""),"Peso vacío"&amp;" · ","")&amp;IF(AND($S235="Macro",$G235&lt;&gt;"",OR(NOT(ISNUMBER($G235)),$G235&lt;=0,$G235&gt;1)),"Peso fuera de rango"&amp;" · ","")&amp;IF(AND($S235="Sub",$G235&lt;&gt;""),"Las subactividades no llevan peso"&amp;" · ","")&amp;IF(AND($S235="Macro",ABS(SUMIFS($G$5:$G$1000,$P$5:$P$1000,$P235,$S$5:$S$1000,"Macro")-1)&gt;0.0001),"Pesos del mes suman "&amp;TEXT(SUMIFS($G$5:$G$1000,$P$5:$P$1000,$P235,$S$5:$S$1000,"Macro"),"0%")&amp;" · ","")&amp;IF(AND(N($T235)&gt;0,COUNT($H235:$K235)&gt;0),"Con subactividades: deje vacías las semanas (se calculan solas)"&amp;" · ","")&amp;IF((COUNTIF($H235:$K235,"&gt;1")+COUNTIF($H235:$K235,"&lt;0")+COUNTA($H235:$K235)-COUNT($H235:$K235))&gt;0,"Avance fuera de rango 0-100%"&amp;" · ","")&amp;IF(OR(AND($I235&lt;&gt;"",$I235&lt;$H235),AND($J235&lt;&gt;"",$J235&lt;MAX($H235:$I235)),AND($K235&lt;&gt;"",$K235&lt;MAX($H235:$J235))),"Avance semanal decreciente"&amp;" · ","")&amp;IF(AND(ISNUMBER($F235),$F235&lt;FechaRef,N($L235)&lt;1),"Vencida"&amp;" · ","")&amp;IF(AND(ObsObligatoria="Sí",ISNUMBER($F235),$F235&lt;FechaRef,N($L235)&lt;1,$N235=""),"Vencida sin observación"&amp;" · ",""))-3)))</f>
        <v/>
      </c>
      <c r="P235" s="69">
        <f>IF(NOT((COUNTA($B235:$K235)+COUNTA($N235))&gt;0),"",IF(AND($S235="Sub",N($R235)&gt;0),IF(ISNUMBER(INDEX($E$5:$E$1000,$R235-4)),DATE(YEAR(INDEX($E$5:$E$1000,$R235-4)),MONTH(INDEX($E$5:$E$1000,$R235-4)),1),IF(ISNUMBER(INDEX($F$5:$F$1000,$R235-4)),DATE(YEAR(INDEX($F$5:$F$1000,$R235-4)),MONTH(INDEX($F$5:$F$1000,$R235-4)),1),MesCiclo)),IF(ISNUMBER($E235),DATE(YEAR($E235),MONTH($E235),1),IF(ISNUMBER($F235),DATE(YEAR($F235),MONTH($F235),1),MesCiclo))))</f>
        <v/>
      </c>
      <c r="Q235" s="70">
        <f>IF(OR($P235="",$P235&lt;&gt;MesCiclo),"",COUNTIF($P$5:$P235,MesCiclo))</f>
        <v/>
      </c>
      <c r="R235" s="70">
        <f>IF($S235="","",IF($S235="Macro",ROW(),IFERROR(LOOKUP(2,1/($S$5:$S235="Macro"),ROW($S$5:$S235)),0)))</f>
        <v/>
      </c>
      <c r="S235" s="70">
        <f>IF(NOT((COUNTA($B235:$K235)+COUNTA($N235))&gt;0),"",IF($B235&lt;&gt;"","Macro",IF($C235&lt;&gt;"","Sub","Macro")))</f>
        <v/>
      </c>
      <c r="T235" s="70">
        <f>IF($S235="Macro",COUNTIFS($R$5:$R$1000,ROW(),$S$5:$S$1000,"Sub"),"")</f>
        <v/>
      </c>
      <c r="U235" s="70">
        <f>IF($S235="","",IF(ISNUMBER($H235),$H235,0))</f>
        <v/>
      </c>
      <c r="V235" s="70">
        <f>IF($S235="","",IF(ISNUMBER($I235),$I235,$U235))</f>
        <v/>
      </c>
      <c r="W235" s="70">
        <f>IF($S235="","",IF(ISNUMBER($J235),$J235,$V235))</f>
        <v/>
      </c>
      <c r="X235" s="70">
        <f>IF($S235="","",IF(ISNUMBER($K235),$K235,$W235))</f>
        <v/>
      </c>
      <c r="Y235" s="70">
        <f>IF($S235="","",IF(N($T235)&gt;0,AVERAGEIFS($U$5:$U$1000,$R$5:$R$1000,ROW(),$S$5:$S$1000,"Sub"),$U235))</f>
        <v/>
      </c>
      <c r="Z235" s="70">
        <f>IF($S235="","",IF(N($T235)&gt;0,AVERAGEIFS($V$5:$V$1000,$R$5:$R$1000,ROW(),$S$5:$S$1000,"Sub"),$V235))</f>
        <v/>
      </c>
      <c r="AA235" s="70">
        <f>IF($S235="","",IF(N($T235)&gt;0,AVERAGEIFS($W$5:$W$1000,$R$5:$R$1000,ROW(),$S$5:$S$1000,"Sub"),$W235))</f>
        <v/>
      </c>
      <c r="AB235" s="70">
        <f>IF($S235="","",IF(N($T235)&gt;0,AVERAGEIFS($X$5:$X$1000,$R$5:$R$1000,ROW(),$S$5:$S$1000,"Sub"),$X235))</f>
        <v/>
      </c>
    </row>
    <row r="236">
      <c r="A236" s="61">
        <f>IF(NOT((COUNTA($B236:$K236)+COUNTA($N236))&gt;0),"",IF($S236="Macro",COUNTIFS($S$5:$S236,"Macro",$P$5:$P236,$P236),IF(N($R236)=0,"?",COUNTIFS(INDEX($S$5:$S$1000,1):INDEX($S$5:$S$1000,$R236-4),"Macro",INDEX($P$5:$P$1000,1):INDEX($P$5:$P$1000,$R236-4),INDEX($P$5:$P$1000,$R236-4))&amp;"."&amp;COUNTIFS($R$5:$R236,$R236,$S$5:$S236,"Sub"))))</f>
        <v/>
      </c>
      <c r="B236" s="62" t="n"/>
      <c r="C236" s="63" t="n"/>
      <c r="D236" s="62" t="n"/>
      <c r="E236" s="64" t="n"/>
      <c r="F236" s="64" t="n"/>
      <c r="G236" s="65" t="n"/>
      <c r="H236" s="66" t="n"/>
      <c r="I236" s="66" t="n"/>
      <c r="J236" s="66" t="n"/>
      <c r="K236" s="66" t="n"/>
      <c r="L236" s="67">
        <f>IF(NOT((COUNTA($B236:$K236)+COUNTA($N236))&gt;0),"",IF(N($T236)&gt;0,$AB236,IFERROR(LOOKUP(2,1/(H236:K236&lt;&gt;""),H236:K236),0)))</f>
        <v/>
      </c>
      <c r="M236" s="61">
        <f>IF(L236="","",IF(L236&gt;=1,"Completado",IF(L236&gt;0,"En curso","Pendiente")))</f>
        <v/>
      </c>
      <c r="N236" s="62" t="n"/>
      <c r="O236" s="68">
        <f>IF(NOT((COUNTA($B236:$K236)+COUNTA($N236))&gt;0),"",IF((IF(AND($S236="Macro",$B236=""),"Macroactividad vacía"&amp;" · ","")&amp;IF(AND($B236&lt;&gt;"",$C236&lt;&gt;""),"Escriba la subactividad en otra fila, debajo de su macroactividad"&amp;" · ","")&amp;IF(AND($S236="Sub",N($R236)=0),"Subactividad sin macroactividad arriba"&amp;" · ","")&amp;IF($D236="","Sin responsable"&amp;" · ","")&amp;IF($E236="","Sin fecha de inicio"&amp;" · ","")&amp;IF($F236="","Sin fecha límite"&amp;" · ","")&amp;IF(OR(AND($E236&lt;&gt;"",NOT(ISNUMBER($E236))),AND($F236&lt;&gt;"",NOT(ISNUMBER($F236)))),"Fecha no válida"&amp;" · ","")&amp;IF(AND(ISNUMBER($E236),ISNUMBER($F236),$E236&gt;$F236),"Inicio posterior a fecha límite"&amp;" · ","")&amp;IF(AND($S236="Macro",$G236=""),"Peso vacío"&amp;" · ","")&amp;IF(AND($S236="Macro",$G236&lt;&gt;"",OR(NOT(ISNUMBER($G236)),$G236&lt;=0,$G236&gt;1)),"Peso fuera de rango"&amp;" · ","")&amp;IF(AND($S236="Sub",$G236&lt;&gt;""),"Las subactividades no llevan peso"&amp;" · ","")&amp;IF(AND($S236="Macro",ABS(SUMIFS($G$5:$G$1000,$P$5:$P$1000,$P236,$S$5:$S$1000,"Macro")-1)&gt;0.0001),"Pesos del mes suman "&amp;TEXT(SUMIFS($G$5:$G$1000,$P$5:$P$1000,$P236,$S$5:$S$1000,"Macro"),"0%")&amp;" · ","")&amp;IF(AND(N($T236)&gt;0,COUNT($H236:$K236)&gt;0),"Con subactividades: deje vacías las semanas (se calculan solas)"&amp;" · ","")&amp;IF((COUNTIF($H236:$K236,"&gt;1")+COUNTIF($H236:$K236,"&lt;0")+COUNTA($H236:$K236)-COUNT($H236:$K236))&gt;0,"Avance fuera de rango 0-100%"&amp;" · ","")&amp;IF(OR(AND($I236&lt;&gt;"",$I236&lt;$H236),AND($J236&lt;&gt;"",$J236&lt;MAX($H236:$I236)),AND($K236&lt;&gt;"",$K236&lt;MAX($H236:$J236))),"Avance semanal decreciente"&amp;" · ","")&amp;IF(AND(ISNUMBER($F236),$F236&lt;FechaRef,N($L236)&lt;1),"Vencida"&amp;" · ","")&amp;IF(AND(ObsObligatoria="Sí",ISNUMBER($F236),$F236&lt;FechaRef,N($L236)&lt;1,$N236=""),"Vencida sin observación"&amp;" · ",""))="","✔ OK","⚠ "&amp;LEFT(IF(AND($S236="Macro",$B236=""),"Macroactividad vacía"&amp;" · ","")&amp;IF(AND($B236&lt;&gt;"",$C236&lt;&gt;""),"Escriba la subactividad en otra fila, debajo de su macroactividad"&amp;" · ","")&amp;IF(AND($S236="Sub",N($R236)=0),"Subactividad sin macroactividad arriba"&amp;" · ","")&amp;IF($D236="","Sin responsable"&amp;" · ","")&amp;IF($E236="","Sin fecha de inicio"&amp;" · ","")&amp;IF($F236="","Sin fecha límite"&amp;" · ","")&amp;IF(OR(AND($E236&lt;&gt;"",NOT(ISNUMBER($E236))),AND($F236&lt;&gt;"",NOT(ISNUMBER($F236)))),"Fecha no válida"&amp;" · ","")&amp;IF(AND(ISNUMBER($E236),ISNUMBER($F236),$E236&gt;$F236),"Inicio posterior a fecha límite"&amp;" · ","")&amp;IF(AND($S236="Macro",$G236=""),"Peso vacío"&amp;" · ","")&amp;IF(AND($S236="Macro",$G236&lt;&gt;"",OR(NOT(ISNUMBER($G236)),$G236&lt;=0,$G236&gt;1)),"Peso fuera de rango"&amp;" · ","")&amp;IF(AND($S236="Sub",$G236&lt;&gt;""),"Las subactividades no llevan peso"&amp;" · ","")&amp;IF(AND($S236="Macro",ABS(SUMIFS($G$5:$G$1000,$P$5:$P$1000,$P236,$S$5:$S$1000,"Macro")-1)&gt;0.0001),"Pesos del mes suman "&amp;TEXT(SUMIFS($G$5:$G$1000,$P$5:$P$1000,$P236,$S$5:$S$1000,"Macro"),"0%")&amp;" · ","")&amp;IF(AND(N($T236)&gt;0,COUNT($H236:$K236)&gt;0),"Con subactividades: deje vacías las semanas (se calculan solas)"&amp;" · ","")&amp;IF((COUNTIF($H236:$K236,"&gt;1")+COUNTIF($H236:$K236,"&lt;0")+COUNTA($H236:$K236)-COUNT($H236:$K236))&gt;0,"Avance fuera de rango 0-100%"&amp;" · ","")&amp;IF(OR(AND($I236&lt;&gt;"",$I236&lt;$H236),AND($J236&lt;&gt;"",$J236&lt;MAX($H236:$I236)),AND($K236&lt;&gt;"",$K236&lt;MAX($H236:$J236))),"Avance semanal decreciente"&amp;" · ","")&amp;IF(AND(ISNUMBER($F236),$F236&lt;FechaRef,N($L236)&lt;1),"Vencida"&amp;" · ","")&amp;IF(AND(ObsObligatoria="Sí",ISNUMBER($F236),$F236&lt;FechaRef,N($L236)&lt;1,$N236=""),"Vencida sin observación"&amp;" · ",""),LEN(IF(AND($S236="Macro",$B236=""),"Macroactividad vacía"&amp;" · ","")&amp;IF(AND($B236&lt;&gt;"",$C236&lt;&gt;""),"Escriba la subactividad en otra fila, debajo de su macroactividad"&amp;" · ","")&amp;IF(AND($S236="Sub",N($R236)=0),"Subactividad sin macroactividad arriba"&amp;" · ","")&amp;IF($D236="","Sin responsable"&amp;" · ","")&amp;IF($E236="","Sin fecha de inicio"&amp;" · ","")&amp;IF($F236="","Sin fecha límite"&amp;" · ","")&amp;IF(OR(AND($E236&lt;&gt;"",NOT(ISNUMBER($E236))),AND($F236&lt;&gt;"",NOT(ISNUMBER($F236)))),"Fecha no válida"&amp;" · ","")&amp;IF(AND(ISNUMBER($E236),ISNUMBER($F236),$E236&gt;$F236),"Inicio posterior a fecha límite"&amp;" · ","")&amp;IF(AND($S236="Macro",$G236=""),"Peso vacío"&amp;" · ","")&amp;IF(AND($S236="Macro",$G236&lt;&gt;"",OR(NOT(ISNUMBER($G236)),$G236&lt;=0,$G236&gt;1)),"Peso fuera de rango"&amp;" · ","")&amp;IF(AND($S236="Sub",$G236&lt;&gt;""),"Las subactividades no llevan peso"&amp;" · ","")&amp;IF(AND($S236="Macro",ABS(SUMIFS($G$5:$G$1000,$P$5:$P$1000,$P236,$S$5:$S$1000,"Macro")-1)&gt;0.0001),"Pesos del mes suman "&amp;TEXT(SUMIFS($G$5:$G$1000,$P$5:$P$1000,$P236,$S$5:$S$1000,"Macro"),"0%")&amp;" · ","")&amp;IF(AND(N($T236)&gt;0,COUNT($H236:$K236)&gt;0),"Con subactividades: deje vacías las semanas (se calculan solas)"&amp;" · ","")&amp;IF((COUNTIF($H236:$K236,"&gt;1")+COUNTIF($H236:$K236,"&lt;0")+COUNTA($H236:$K236)-COUNT($H236:$K236))&gt;0,"Avance fuera de rango 0-100%"&amp;" · ","")&amp;IF(OR(AND($I236&lt;&gt;"",$I236&lt;$H236),AND($J236&lt;&gt;"",$J236&lt;MAX($H236:$I236)),AND($K236&lt;&gt;"",$K236&lt;MAX($H236:$J236))),"Avance semanal decreciente"&amp;" · ","")&amp;IF(AND(ISNUMBER($F236),$F236&lt;FechaRef,N($L236)&lt;1),"Vencida"&amp;" · ","")&amp;IF(AND(ObsObligatoria="Sí",ISNUMBER($F236),$F236&lt;FechaRef,N($L236)&lt;1,$N236=""),"Vencida sin observación"&amp;" · ",""))-3)))</f>
        <v/>
      </c>
      <c r="P236" s="69">
        <f>IF(NOT((COUNTA($B236:$K236)+COUNTA($N236))&gt;0),"",IF(AND($S236="Sub",N($R236)&gt;0),IF(ISNUMBER(INDEX($E$5:$E$1000,$R236-4)),DATE(YEAR(INDEX($E$5:$E$1000,$R236-4)),MONTH(INDEX($E$5:$E$1000,$R236-4)),1),IF(ISNUMBER(INDEX($F$5:$F$1000,$R236-4)),DATE(YEAR(INDEX($F$5:$F$1000,$R236-4)),MONTH(INDEX($F$5:$F$1000,$R236-4)),1),MesCiclo)),IF(ISNUMBER($E236),DATE(YEAR($E236),MONTH($E236),1),IF(ISNUMBER($F236),DATE(YEAR($F236),MONTH($F236),1),MesCiclo))))</f>
        <v/>
      </c>
      <c r="Q236" s="70">
        <f>IF(OR($P236="",$P236&lt;&gt;MesCiclo),"",COUNTIF($P$5:$P236,MesCiclo))</f>
        <v/>
      </c>
      <c r="R236" s="70">
        <f>IF($S236="","",IF($S236="Macro",ROW(),IFERROR(LOOKUP(2,1/($S$5:$S236="Macro"),ROW($S$5:$S236)),0)))</f>
        <v/>
      </c>
      <c r="S236" s="70">
        <f>IF(NOT((COUNTA($B236:$K236)+COUNTA($N236))&gt;0),"",IF($B236&lt;&gt;"","Macro",IF($C236&lt;&gt;"","Sub","Macro")))</f>
        <v/>
      </c>
      <c r="T236" s="70">
        <f>IF($S236="Macro",COUNTIFS($R$5:$R$1000,ROW(),$S$5:$S$1000,"Sub"),"")</f>
        <v/>
      </c>
      <c r="U236" s="70">
        <f>IF($S236="","",IF(ISNUMBER($H236),$H236,0))</f>
        <v/>
      </c>
      <c r="V236" s="70">
        <f>IF($S236="","",IF(ISNUMBER($I236),$I236,$U236))</f>
        <v/>
      </c>
      <c r="W236" s="70">
        <f>IF($S236="","",IF(ISNUMBER($J236),$J236,$V236))</f>
        <v/>
      </c>
      <c r="X236" s="70">
        <f>IF($S236="","",IF(ISNUMBER($K236),$K236,$W236))</f>
        <v/>
      </c>
      <c r="Y236" s="70">
        <f>IF($S236="","",IF(N($T236)&gt;0,AVERAGEIFS($U$5:$U$1000,$R$5:$R$1000,ROW(),$S$5:$S$1000,"Sub"),$U236))</f>
        <v/>
      </c>
      <c r="Z236" s="70">
        <f>IF($S236="","",IF(N($T236)&gt;0,AVERAGEIFS($V$5:$V$1000,$R$5:$R$1000,ROW(),$S$5:$S$1000,"Sub"),$V236))</f>
        <v/>
      </c>
      <c r="AA236" s="70">
        <f>IF($S236="","",IF(N($T236)&gt;0,AVERAGEIFS($W$5:$W$1000,$R$5:$R$1000,ROW(),$S$5:$S$1000,"Sub"),$W236))</f>
        <v/>
      </c>
      <c r="AB236" s="70">
        <f>IF($S236="","",IF(N($T236)&gt;0,AVERAGEIFS($X$5:$X$1000,$R$5:$R$1000,ROW(),$S$5:$S$1000,"Sub"),$X236))</f>
        <v/>
      </c>
    </row>
    <row r="237">
      <c r="A237" s="61">
        <f>IF(NOT((COUNTA($B237:$K237)+COUNTA($N237))&gt;0),"",IF($S237="Macro",COUNTIFS($S$5:$S237,"Macro",$P$5:$P237,$P237),IF(N($R237)=0,"?",COUNTIFS(INDEX($S$5:$S$1000,1):INDEX($S$5:$S$1000,$R237-4),"Macro",INDEX($P$5:$P$1000,1):INDEX($P$5:$P$1000,$R237-4),INDEX($P$5:$P$1000,$R237-4))&amp;"."&amp;COUNTIFS($R$5:$R237,$R237,$S$5:$S237,"Sub"))))</f>
        <v/>
      </c>
      <c r="B237" s="62" t="n"/>
      <c r="C237" s="63" t="n"/>
      <c r="D237" s="62" t="n"/>
      <c r="E237" s="64" t="n"/>
      <c r="F237" s="64" t="n"/>
      <c r="G237" s="65" t="n"/>
      <c r="H237" s="66" t="n"/>
      <c r="I237" s="66" t="n"/>
      <c r="J237" s="66" t="n"/>
      <c r="K237" s="66" t="n"/>
      <c r="L237" s="67">
        <f>IF(NOT((COUNTA($B237:$K237)+COUNTA($N237))&gt;0),"",IF(N($T237)&gt;0,$AB237,IFERROR(LOOKUP(2,1/(H237:K237&lt;&gt;""),H237:K237),0)))</f>
        <v/>
      </c>
      <c r="M237" s="61">
        <f>IF(L237="","",IF(L237&gt;=1,"Completado",IF(L237&gt;0,"En curso","Pendiente")))</f>
        <v/>
      </c>
      <c r="N237" s="62" t="n"/>
      <c r="O237" s="68">
        <f>IF(NOT((COUNTA($B237:$K237)+COUNTA($N237))&gt;0),"",IF((IF(AND($S237="Macro",$B237=""),"Macroactividad vacía"&amp;" · ","")&amp;IF(AND($B237&lt;&gt;"",$C237&lt;&gt;""),"Escriba la subactividad en otra fila, debajo de su macroactividad"&amp;" · ","")&amp;IF(AND($S237="Sub",N($R237)=0),"Subactividad sin macroactividad arriba"&amp;" · ","")&amp;IF($D237="","Sin responsable"&amp;" · ","")&amp;IF($E237="","Sin fecha de inicio"&amp;" · ","")&amp;IF($F237="","Sin fecha límite"&amp;" · ","")&amp;IF(OR(AND($E237&lt;&gt;"",NOT(ISNUMBER($E237))),AND($F237&lt;&gt;"",NOT(ISNUMBER($F237)))),"Fecha no válida"&amp;" · ","")&amp;IF(AND(ISNUMBER($E237),ISNUMBER($F237),$E237&gt;$F237),"Inicio posterior a fecha límite"&amp;" · ","")&amp;IF(AND($S237="Macro",$G237=""),"Peso vacío"&amp;" · ","")&amp;IF(AND($S237="Macro",$G237&lt;&gt;"",OR(NOT(ISNUMBER($G237)),$G237&lt;=0,$G237&gt;1)),"Peso fuera de rango"&amp;" · ","")&amp;IF(AND($S237="Sub",$G237&lt;&gt;""),"Las subactividades no llevan peso"&amp;" · ","")&amp;IF(AND($S237="Macro",ABS(SUMIFS($G$5:$G$1000,$P$5:$P$1000,$P237,$S$5:$S$1000,"Macro")-1)&gt;0.0001),"Pesos del mes suman "&amp;TEXT(SUMIFS($G$5:$G$1000,$P$5:$P$1000,$P237,$S$5:$S$1000,"Macro"),"0%")&amp;" · ","")&amp;IF(AND(N($T237)&gt;0,COUNT($H237:$K237)&gt;0),"Con subactividades: deje vacías las semanas (se calculan solas)"&amp;" · ","")&amp;IF((COUNTIF($H237:$K237,"&gt;1")+COUNTIF($H237:$K237,"&lt;0")+COUNTA($H237:$K237)-COUNT($H237:$K237))&gt;0,"Avance fuera de rango 0-100%"&amp;" · ","")&amp;IF(OR(AND($I237&lt;&gt;"",$I237&lt;$H237),AND($J237&lt;&gt;"",$J237&lt;MAX($H237:$I237)),AND($K237&lt;&gt;"",$K237&lt;MAX($H237:$J237))),"Avance semanal decreciente"&amp;" · ","")&amp;IF(AND(ISNUMBER($F237),$F237&lt;FechaRef,N($L237)&lt;1),"Vencida"&amp;" · ","")&amp;IF(AND(ObsObligatoria="Sí",ISNUMBER($F237),$F237&lt;FechaRef,N($L237)&lt;1,$N237=""),"Vencida sin observación"&amp;" · ",""))="","✔ OK","⚠ "&amp;LEFT(IF(AND($S237="Macro",$B237=""),"Macroactividad vacía"&amp;" · ","")&amp;IF(AND($B237&lt;&gt;"",$C237&lt;&gt;""),"Escriba la subactividad en otra fila, debajo de su macroactividad"&amp;" · ","")&amp;IF(AND($S237="Sub",N($R237)=0),"Subactividad sin macroactividad arriba"&amp;" · ","")&amp;IF($D237="","Sin responsable"&amp;" · ","")&amp;IF($E237="","Sin fecha de inicio"&amp;" · ","")&amp;IF($F237="","Sin fecha límite"&amp;" · ","")&amp;IF(OR(AND($E237&lt;&gt;"",NOT(ISNUMBER($E237))),AND($F237&lt;&gt;"",NOT(ISNUMBER($F237)))),"Fecha no válida"&amp;" · ","")&amp;IF(AND(ISNUMBER($E237),ISNUMBER($F237),$E237&gt;$F237),"Inicio posterior a fecha límite"&amp;" · ","")&amp;IF(AND($S237="Macro",$G237=""),"Peso vacío"&amp;" · ","")&amp;IF(AND($S237="Macro",$G237&lt;&gt;"",OR(NOT(ISNUMBER($G237)),$G237&lt;=0,$G237&gt;1)),"Peso fuera de rango"&amp;" · ","")&amp;IF(AND($S237="Sub",$G237&lt;&gt;""),"Las subactividades no llevan peso"&amp;" · ","")&amp;IF(AND($S237="Macro",ABS(SUMIFS($G$5:$G$1000,$P$5:$P$1000,$P237,$S$5:$S$1000,"Macro")-1)&gt;0.0001),"Pesos del mes suman "&amp;TEXT(SUMIFS($G$5:$G$1000,$P$5:$P$1000,$P237,$S$5:$S$1000,"Macro"),"0%")&amp;" · ","")&amp;IF(AND(N($T237)&gt;0,COUNT($H237:$K237)&gt;0),"Con subactividades: deje vacías las semanas (se calculan solas)"&amp;" · ","")&amp;IF((COUNTIF($H237:$K237,"&gt;1")+COUNTIF($H237:$K237,"&lt;0")+COUNTA($H237:$K237)-COUNT($H237:$K237))&gt;0,"Avance fuera de rango 0-100%"&amp;" · ","")&amp;IF(OR(AND($I237&lt;&gt;"",$I237&lt;$H237),AND($J237&lt;&gt;"",$J237&lt;MAX($H237:$I237)),AND($K237&lt;&gt;"",$K237&lt;MAX($H237:$J237))),"Avance semanal decreciente"&amp;" · ","")&amp;IF(AND(ISNUMBER($F237),$F237&lt;FechaRef,N($L237)&lt;1),"Vencida"&amp;" · ","")&amp;IF(AND(ObsObligatoria="Sí",ISNUMBER($F237),$F237&lt;FechaRef,N($L237)&lt;1,$N237=""),"Vencida sin observación"&amp;" · ",""),LEN(IF(AND($S237="Macro",$B237=""),"Macroactividad vacía"&amp;" · ","")&amp;IF(AND($B237&lt;&gt;"",$C237&lt;&gt;""),"Escriba la subactividad en otra fila, debajo de su macroactividad"&amp;" · ","")&amp;IF(AND($S237="Sub",N($R237)=0),"Subactividad sin macroactividad arriba"&amp;" · ","")&amp;IF($D237="","Sin responsable"&amp;" · ","")&amp;IF($E237="","Sin fecha de inicio"&amp;" · ","")&amp;IF($F237="","Sin fecha límite"&amp;" · ","")&amp;IF(OR(AND($E237&lt;&gt;"",NOT(ISNUMBER($E237))),AND($F237&lt;&gt;"",NOT(ISNUMBER($F237)))),"Fecha no válida"&amp;" · ","")&amp;IF(AND(ISNUMBER($E237),ISNUMBER($F237),$E237&gt;$F237),"Inicio posterior a fecha límite"&amp;" · ","")&amp;IF(AND($S237="Macro",$G237=""),"Peso vacío"&amp;" · ","")&amp;IF(AND($S237="Macro",$G237&lt;&gt;"",OR(NOT(ISNUMBER($G237)),$G237&lt;=0,$G237&gt;1)),"Peso fuera de rango"&amp;" · ","")&amp;IF(AND($S237="Sub",$G237&lt;&gt;""),"Las subactividades no llevan peso"&amp;" · ","")&amp;IF(AND($S237="Macro",ABS(SUMIFS($G$5:$G$1000,$P$5:$P$1000,$P237,$S$5:$S$1000,"Macro")-1)&gt;0.0001),"Pesos del mes suman "&amp;TEXT(SUMIFS($G$5:$G$1000,$P$5:$P$1000,$P237,$S$5:$S$1000,"Macro"),"0%")&amp;" · ","")&amp;IF(AND(N($T237)&gt;0,COUNT($H237:$K237)&gt;0),"Con subactividades: deje vacías las semanas (se calculan solas)"&amp;" · ","")&amp;IF((COUNTIF($H237:$K237,"&gt;1")+COUNTIF($H237:$K237,"&lt;0")+COUNTA($H237:$K237)-COUNT($H237:$K237))&gt;0,"Avance fuera de rango 0-100%"&amp;" · ","")&amp;IF(OR(AND($I237&lt;&gt;"",$I237&lt;$H237),AND($J237&lt;&gt;"",$J237&lt;MAX($H237:$I237)),AND($K237&lt;&gt;"",$K237&lt;MAX($H237:$J237))),"Avance semanal decreciente"&amp;" · ","")&amp;IF(AND(ISNUMBER($F237),$F237&lt;FechaRef,N($L237)&lt;1),"Vencida"&amp;" · ","")&amp;IF(AND(ObsObligatoria="Sí",ISNUMBER($F237),$F237&lt;FechaRef,N($L237)&lt;1,$N237=""),"Vencida sin observación"&amp;" · ",""))-3)))</f>
        <v/>
      </c>
      <c r="P237" s="69">
        <f>IF(NOT((COUNTA($B237:$K237)+COUNTA($N237))&gt;0),"",IF(AND($S237="Sub",N($R237)&gt;0),IF(ISNUMBER(INDEX($E$5:$E$1000,$R237-4)),DATE(YEAR(INDEX($E$5:$E$1000,$R237-4)),MONTH(INDEX($E$5:$E$1000,$R237-4)),1),IF(ISNUMBER(INDEX($F$5:$F$1000,$R237-4)),DATE(YEAR(INDEX($F$5:$F$1000,$R237-4)),MONTH(INDEX($F$5:$F$1000,$R237-4)),1),MesCiclo)),IF(ISNUMBER($E237),DATE(YEAR($E237),MONTH($E237),1),IF(ISNUMBER($F237),DATE(YEAR($F237),MONTH($F237),1),MesCiclo))))</f>
        <v/>
      </c>
      <c r="Q237" s="70">
        <f>IF(OR($P237="",$P237&lt;&gt;MesCiclo),"",COUNTIF($P$5:$P237,MesCiclo))</f>
        <v/>
      </c>
      <c r="R237" s="70">
        <f>IF($S237="","",IF($S237="Macro",ROW(),IFERROR(LOOKUP(2,1/($S$5:$S237="Macro"),ROW($S$5:$S237)),0)))</f>
        <v/>
      </c>
      <c r="S237" s="70">
        <f>IF(NOT((COUNTA($B237:$K237)+COUNTA($N237))&gt;0),"",IF($B237&lt;&gt;"","Macro",IF($C237&lt;&gt;"","Sub","Macro")))</f>
        <v/>
      </c>
      <c r="T237" s="70">
        <f>IF($S237="Macro",COUNTIFS($R$5:$R$1000,ROW(),$S$5:$S$1000,"Sub"),"")</f>
        <v/>
      </c>
      <c r="U237" s="70">
        <f>IF($S237="","",IF(ISNUMBER($H237),$H237,0))</f>
        <v/>
      </c>
      <c r="V237" s="70">
        <f>IF($S237="","",IF(ISNUMBER($I237),$I237,$U237))</f>
        <v/>
      </c>
      <c r="W237" s="70">
        <f>IF($S237="","",IF(ISNUMBER($J237),$J237,$V237))</f>
        <v/>
      </c>
      <c r="X237" s="70">
        <f>IF($S237="","",IF(ISNUMBER($K237),$K237,$W237))</f>
        <v/>
      </c>
      <c r="Y237" s="70">
        <f>IF($S237="","",IF(N($T237)&gt;0,AVERAGEIFS($U$5:$U$1000,$R$5:$R$1000,ROW(),$S$5:$S$1000,"Sub"),$U237))</f>
        <v/>
      </c>
      <c r="Z237" s="70">
        <f>IF($S237="","",IF(N($T237)&gt;0,AVERAGEIFS($V$5:$V$1000,$R$5:$R$1000,ROW(),$S$5:$S$1000,"Sub"),$V237))</f>
        <v/>
      </c>
      <c r="AA237" s="70">
        <f>IF($S237="","",IF(N($T237)&gt;0,AVERAGEIFS($W$5:$W$1000,$R$5:$R$1000,ROW(),$S$5:$S$1000,"Sub"),$W237))</f>
        <v/>
      </c>
      <c r="AB237" s="70">
        <f>IF($S237="","",IF(N($T237)&gt;0,AVERAGEIFS($X$5:$X$1000,$R$5:$R$1000,ROW(),$S$5:$S$1000,"Sub"),$X237))</f>
        <v/>
      </c>
    </row>
    <row r="238">
      <c r="A238" s="61">
        <f>IF(NOT((COUNTA($B238:$K238)+COUNTA($N238))&gt;0),"",IF($S238="Macro",COUNTIFS($S$5:$S238,"Macro",$P$5:$P238,$P238),IF(N($R238)=0,"?",COUNTIFS(INDEX($S$5:$S$1000,1):INDEX($S$5:$S$1000,$R238-4),"Macro",INDEX($P$5:$P$1000,1):INDEX($P$5:$P$1000,$R238-4),INDEX($P$5:$P$1000,$R238-4))&amp;"."&amp;COUNTIFS($R$5:$R238,$R238,$S$5:$S238,"Sub"))))</f>
        <v/>
      </c>
      <c r="B238" s="62" t="n"/>
      <c r="C238" s="63" t="n"/>
      <c r="D238" s="62" t="n"/>
      <c r="E238" s="64" t="n"/>
      <c r="F238" s="64" t="n"/>
      <c r="G238" s="65" t="n"/>
      <c r="H238" s="66" t="n"/>
      <c r="I238" s="66" t="n"/>
      <c r="J238" s="66" t="n"/>
      <c r="K238" s="66" t="n"/>
      <c r="L238" s="67">
        <f>IF(NOT((COUNTA($B238:$K238)+COUNTA($N238))&gt;0),"",IF(N($T238)&gt;0,$AB238,IFERROR(LOOKUP(2,1/(H238:K238&lt;&gt;""),H238:K238),0)))</f>
        <v/>
      </c>
      <c r="M238" s="61">
        <f>IF(L238="","",IF(L238&gt;=1,"Completado",IF(L238&gt;0,"En curso","Pendiente")))</f>
        <v/>
      </c>
      <c r="N238" s="62" t="n"/>
      <c r="O238" s="68">
        <f>IF(NOT((COUNTA($B238:$K238)+COUNTA($N238))&gt;0),"",IF((IF(AND($S238="Macro",$B238=""),"Macroactividad vacía"&amp;" · ","")&amp;IF(AND($B238&lt;&gt;"",$C238&lt;&gt;""),"Escriba la subactividad en otra fila, debajo de su macroactividad"&amp;" · ","")&amp;IF(AND($S238="Sub",N($R238)=0),"Subactividad sin macroactividad arriba"&amp;" · ","")&amp;IF($D238="","Sin responsable"&amp;" · ","")&amp;IF($E238="","Sin fecha de inicio"&amp;" · ","")&amp;IF($F238="","Sin fecha límite"&amp;" · ","")&amp;IF(OR(AND($E238&lt;&gt;"",NOT(ISNUMBER($E238))),AND($F238&lt;&gt;"",NOT(ISNUMBER($F238)))),"Fecha no válida"&amp;" · ","")&amp;IF(AND(ISNUMBER($E238),ISNUMBER($F238),$E238&gt;$F238),"Inicio posterior a fecha límite"&amp;" · ","")&amp;IF(AND($S238="Macro",$G238=""),"Peso vacío"&amp;" · ","")&amp;IF(AND($S238="Macro",$G238&lt;&gt;"",OR(NOT(ISNUMBER($G238)),$G238&lt;=0,$G238&gt;1)),"Peso fuera de rango"&amp;" · ","")&amp;IF(AND($S238="Sub",$G238&lt;&gt;""),"Las subactividades no llevan peso"&amp;" · ","")&amp;IF(AND($S238="Macro",ABS(SUMIFS($G$5:$G$1000,$P$5:$P$1000,$P238,$S$5:$S$1000,"Macro")-1)&gt;0.0001),"Pesos del mes suman "&amp;TEXT(SUMIFS($G$5:$G$1000,$P$5:$P$1000,$P238,$S$5:$S$1000,"Macro"),"0%")&amp;" · ","")&amp;IF(AND(N($T238)&gt;0,COUNT($H238:$K238)&gt;0),"Con subactividades: deje vacías las semanas (se calculan solas)"&amp;" · ","")&amp;IF((COUNTIF($H238:$K238,"&gt;1")+COUNTIF($H238:$K238,"&lt;0")+COUNTA($H238:$K238)-COUNT($H238:$K238))&gt;0,"Avance fuera de rango 0-100%"&amp;" · ","")&amp;IF(OR(AND($I238&lt;&gt;"",$I238&lt;$H238),AND($J238&lt;&gt;"",$J238&lt;MAX($H238:$I238)),AND($K238&lt;&gt;"",$K238&lt;MAX($H238:$J238))),"Avance semanal decreciente"&amp;" · ","")&amp;IF(AND(ISNUMBER($F238),$F238&lt;FechaRef,N($L238)&lt;1),"Vencida"&amp;" · ","")&amp;IF(AND(ObsObligatoria="Sí",ISNUMBER($F238),$F238&lt;FechaRef,N($L238)&lt;1,$N238=""),"Vencida sin observación"&amp;" · ",""))="","✔ OK","⚠ "&amp;LEFT(IF(AND($S238="Macro",$B238=""),"Macroactividad vacía"&amp;" · ","")&amp;IF(AND($B238&lt;&gt;"",$C238&lt;&gt;""),"Escriba la subactividad en otra fila, debajo de su macroactividad"&amp;" · ","")&amp;IF(AND($S238="Sub",N($R238)=0),"Subactividad sin macroactividad arriba"&amp;" · ","")&amp;IF($D238="","Sin responsable"&amp;" · ","")&amp;IF($E238="","Sin fecha de inicio"&amp;" · ","")&amp;IF($F238="","Sin fecha límite"&amp;" · ","")&amp;IF(OR(AND($E238&lt;&gt;"",NOT(ISNUMBER($E238))),AND($F238&lt;&gt;"",NOT(ISNUMBER($F238)))),"Fecha no válida"&amp;" · ","")&amp;IF(AND(ISNUMBER($E238),ISNUMBER($F238),$E238&gt;$F238),"Inicio posterior a fecha límite"&amp;" · ","")&amp;IF(AND($S238="Macro",$G238=""),"Peso vacío"&amp;" · ","")&amp;IF(AND($S238="Macro",$G238&lt;&gt;"",OR(NOT(ISNUMBER($G238)),$G238&lt;=0,$G238&gt;1)),"Peso fuera de rango"&amp;" · ","")&amp;IF(AND($S238="Sub",$G238&lt;&gt;""),"Las subactividades no llevan peso"&amp;" · ","")&amp;IF(AND($S238="Macro",ABS(SUMIFS($G$5:$G$1000,$P$5:$P$1000,$P238,$S$5:$S$1000,"Macro")-1)&gt;0.0001),"Pesos del mes suman "&amp;TEXT(SUMIFS($G$5:$G$1000,$P$5:$P$1000,$P238,$S$5:$S$1000,"Macro"),"0%")&amp;" · ","")&amp;IF(AND(N($T238)&gt;0,COUNT($H238:$K238)&gt;0),"Con subactividades: deje vacías las semanas (se calculan solas)"&amp;" · ","")&amp;IF((COUNTIF($H238:$K238,"&gt;1")+COUNTIF($H238:$K238,"&lt;0")+COUNTA($H238:$K238)-COUNT($H238:$K238))&gt;0,"Avance fuera de rango 0-100%"&amp;" · ","")&amp;IF(OR(AND($I238&lt;&gt;"",$I238&lt;$H238),AND($J238&lt;&gt;"",$J238&lt;MAX($H238:$I238)),AND($K238&lt;&gt;"",$K238&lt;MAX($H238:$J238))),"Avance semanal decreciente"&amp;" · ","")&amp;IF(AND(ISNUMBER($F238),$F238&lt;FechaRef,N($L238)&lt;1),"Vencida"&amp;" · ","")&amp;IF(AND(ObsObligatoria="Sí",ISNUMBER($F238),$F238&lt;FechaRef,N($L238)&lt;1,$N238=""),"Vencida sin observación"&amp;" · ",""),LEN(IF(AND($S238="Macro",$B238=""),"Macroactividad vacía"&amp;" · ","")&amp;IF(AND($B238&lt;&gt;"",$C238&lt;&gt;""),"Escriba la subactividad en otra fila, debajo de su macroactividad"&amp;" · ","")&amp;IF(AND($S238="Sub",N($R238)=0),"Subactividad sin macroactividad arriba"&amp;" · ","")&amp;IF($D238="","Sin responsable"&amp;" · ","")&amp;IF($E238="","Sin fecha de inicio"&amp;" · ","")&amp;IF($F238="","Sin fecha límite"&amp;" · ","")&amp;IF(OR(AND($E238&lt;&gt;"",NOT(ISNUMBER($E238))),AND($F238&lt;&gt;"",NOT(ISNUMBER($F238)))),"Fecha no válida"&amp;" · ","")&amp;IF(AND(ISNUMBER($E238),ISNUMBER($F238),$E238&gt;$F238),"Inicio posterior a fecha límite"&amp;" · ","")&amp;IF(AND($S238="Macro",$G238=""),"Peso vacío"&amp;" · ","")&amp;IF(AND($S238="Macro",$G238&lt;&gt;"",OR(NOT(ISNUMBER($G238)),$G238&lt;=0,$G238&gt;1)),"Peso fuera de rango"&amp;" · ","")&amp;IF(AND($S238="Sub",$G238&lt;&gt;""),"Las subactividades no llevan peso"&amp;" · ","")&amp;IF(AND($S238="Macro",ABS(SUMIFS($G$5:$G$1000,$P$5:$P$1000,$P238,$S$5:$S$1000,"Macro")-1)&gt;0.0001),"Pesos del mes suman "&amp;TEXT(SUMIFS($G$5:$G$1000,$P$5:$P$1000,$P238,$S$5:$S$1000,"Macro"),"0%")&amp;" · ","")&amp;IF(AND(N($T238)&gt;0,COUNT($H238:$K238)&gt;0),"Con subactividades: deje vacías las semanas (se calculan solas)"&amp;" · ","")&amp;IF((COUNTIF($H238:$K238,"&gt;1")+COUNTIF($H238:$K238,"&lt;0")+COUNTA($H238:$K238)-COUNT($H238:$K238))&gt;0,"Avance fuera de rango 0-100%"&amp;" · ","")&amp;IF(OR(AND($I238&lt;&gt;"",$I238&lt;$H238),AND($J238&lt;&gt;"",$J238&lt;MAX($H238:$I238)),AND($K238&lt;&gt;"",$K238&lt;MAX($H238:$J238))),"Avance semanal decreciente"&amp;" · ","")&amp;IF(AND(ISNUMBER($F238),$F238&lt;FechaRef,N($L238)&lt;1),"Vencida"&amp;" · ","")&amp;IF(AND(ObsObligatoria="Sí",ISNUMBER($F238),$F238&lt;FechaRef,N($L238)&lt;1,$N238=""),"Vencida sin observación"&amp;" · ",""))-3)))</f>
        <v/>
      </c>
      <c r="P238" s="69">
        <f>IF(NOT((COUNTA($B238:$K238)+COUNTA($N238))&gt;0),"",IF(AND($S238="Sub",N($R238)&gt;0),IF(ISNUMBER(INDEX($E$5:$E$1000,$R238-4)),DATE(YEAR(INDEX($E$5:$E$1000,$R238-4)),MONTH(INDEX($E$5:$E$1000,$R238-4)),1),IF(ISNUMBER(INDEX($F$5:$F$1000,$R238-4)),DATE(YEAR(INDEX($F$5:$F$1000,$R238-4)),MONTH(INDEX($F$5:$F$1000,$R238-4)),1),MesCiclo)),IF(ISNUMBER($E238),DATE(YEAR($E238),MONTH($E238),1),IF(ISNUMBER($F238),DATE(YEAR($F238),MONTH($F238),1),MesCiclo))))</f>
        <v/>
      </c>
      <c r="Q238" s="70">
        <f>IF(OR($P238="",$P238&lt;&gt;MesCiclo),"",COUNTIF($P$5:$P238,MesCiclo))</f>
        <v/>
      </c>
      <c r="R238" s="70">
        <f>IF($S238="","",IF($S238="Macro",ROW(),IFERROR(LOOKUP(2,1/($S$5:$S238="Macro"),ROW($S$5:$S238)),0)))</f>
        <v/>
      </c>
      <c r="S238" s="70">
        <f>IF(NOT((COUNTA($B238:$K238)+COUNTA($N238))&gt;0),"",IF($B238&lt;&gt;"","Macro",IF($C238&lt;&gt;"","Sub","Macro")))</f>
        <v/>
      </c>
      <c r="T238" s="70">
        <f>IF($S238="Macro",COUNTIFS($R$5:$R$1000,ROW(),$S$5:$S$1000,"Sub"),"")</f>
        <v/>
      </c>
      <c r="U238" s="70">
        <f>IF($S238="","",IF(ISNUMBER($H238),$H238,0))</f>
        <v/>
      </c>
      <c r="V238" s="70">
        <f>IF($S238="","",IF(ISNUMBER($I238),$I238,$U238))</f>
        <v/>
      </c>
      <c r="W238" s="70">
        <f>IF($S238="","",IF(ISNUMBER($J238),$J238,$V238))</f>
        <v/>
      </c>
      <c r="X238" s="70">
        <f>IF($S238="","",IF(ISNUMBER($K238),$K238,$W238))</f>
        <v/>
      </c>
      <c r="Y238" s="70">
        <f>IF($S238="","",IF(N($T238)&gt;0,AVERAGEIFS($U$5:$U$1000,$R$5:$R$1000,ROW(),$S$5:$S$1000,"Sub"),$U238))</f>
        <v/>
      </c>
      <c r="Z238" s="70">
        <f>IF($S238="","",IF(N($T238)&gt;0,AVERAGEIFS($V$5:$V$1000,$R$5:$R$1000,ROW(),$S$5:$S$1000,"Sub"),$V238))</f>
        <v/>
      </c>
      <c r="AA238" s="70">
        <f>IF($S238="","",IF(N($T238)&gt;0,AVERAGEIFS($W$5:$W$1000,$R$5:$R$1000,ROW(),$S$5:$S$1000,"Sub"),$W238))</f>
        <v/>
      </c>
      <c r="AB238" s="70">
        <f>IF($S238="","",IF(N($T238)&gt;0,AVERAGEIFS($X$5:$X$1000,$R$5:$R$1000,ROW(),$S$5:$S$1000,"Sub"),$X238))</f>
        <v/>
      </c>
    </row>
    <row r="239">
      <c r="A239" s="61">
        <f>IF(NOT((COUNTA($B239:$K239)+COUNTA($N239))&gt;0),"",IF($S239="Macro",COUNTIFS($S$5:$S239,"Macro",$P$5:$P239,$P239),IF(N($R239)=0,"?",COUNTIFS(INDEX($S$5:$S$1000,1):INDEX($S$5:$S$1000,$R239-4),"Macro",INDEX($P$5:$P$1000,1):INDEX($P$5:$P$1000,$R239-4),INDEX($P$5:$P$1000,$R239-4))&amp;"."&amp;COUNTIFS($R$5:$R239,$R239,$S$5:$S239,"Sub"))))</f>
        <v/>
      </c>
      <c r="B239" s="62" t="n"/>
      <c r="C239" s="63" t="n"/>
      <c r="D239" s="62" t="n"/>
      <c r="E239" s="64" t="n"/>
      <c r="F239" s="64" t="n"/>
      <c r="G239" s="65" t="n"/>
      <c r="H239" s="66" t="n"/>
      <c r="I239" s="66" t="n"/>
      <c r="J239" s="66" t="n"/>
      <c r="K239" s="66" t="n"/>
      <c r="L239" s="67">
        <f>IF(NOT((COUNTA($B239:$K239)+COUNTA($N239))&gt;0),"",IF(N($T239)&gt;0,$AB239,IFERROR(LOOKUP(2,1/(H239:K239&lt;&gt;""),H239:K239),0)))</f>
        <v/>
      </c>
      <c r="M239" s="61">
        <f>IF(L239="","",IF(L239&gt;=1,"Completado",IF(L239&gt;0,"En curso","Pendiente")))</f>
        <v/>
      </c>
      <c r="N239" s="62" t="n"/>
      <c r="O239" s="68">
        <f>IF(NOT((COUNTA($B239:$K239)+COUNTA($N239))&gt;0),"",IF((IF(AND($S239="Macro",$B239=""),"Macroactividad vacía"&amp;" · ","")&amp;IF(AND($B239&lt;&gt;"",$C239&lt;&gt;""),"Escriba la subactividad en otra fila, debajo de su macroactividad"&amp;" · ","")&amp;IF(AND($S239="Sub",N($R239)=0),"Subactividad sin macroactividad arriba"&amp;" · ","")&amp;IF($D239="","Sin responsable"&amp;" · ","")&amp;IF($E239="","Sin fecha de inicio"&amp;" · ","")&amp;IF($F239="","Sin fecha límite"&amp;" · ","")&amp;IF(OR(AND($E239&lt;&gt;"",NOT(ISNUMBER($E239))),AND($F239&lt;&gt;"",NOT(ISNUMBER($F239)))),"Fecha no válida"&amp;" · ","")&amp;IF(AND(ISNUMBER($E239),ISNUMBER($F239),$E239&gt;$F239),"Inicio posterior a fecha límite"&amp;" · ","")&amp;IF(AND($S239="Macro",$G239=""),"Peso vacío"&amp;" · ","")&amp;IF(AND($S239="Macro",$G239&lt;&gt;"",OR(NOT(ISNUMBER($G239)),$G239&lt;=0,$G239&gt;1)),"Peso fuera de rango"&amp;" · ","")&amp;IF(AND($S239="Sub",$G239&lt;&gt;""),"Las subactividades no llevan peso"&amp;" · ","")&amp;IF(AND($S239="Macro",ABS(SUMIFS($G$5:$G$1000,$P$5:$P$1000,$P239,$S$5:$S$1000,"Macro")-1)&gt;0.0001),"Pesos del mes suman "&amp;TEXT(SUMIFS($G$5:$G$1000,$P$5:$P$1000,$P239,$S$5:$S$1000,"Macro"),"0%")&amp;" · ","")&amp;IF(AND(N($T239)&gt;0,COUNT($H239:$K239)&gt;0),"Con subactividades: deje vacías las semanas (se calculan solas)"&amp;" · ","")&amp;IF((COUNTIF($H239:$K239,"&gt;1")+COUNTIF($H239:$K239,"&lt;0")+COUNTA($H239:$K239)-COUNT($H239:$K239))&gt;0,"Avance fuera de rango 0-100%"&amp;" · ","")&amp;IF(OR(AND($I239&lt;&gt;"",$I239&lt;$H239),AND($J239&lt;&gt;"",$J239&lt;MAX($H239:$I239)),AND($K239&lt;&gt;"",$K239&lt;MAX($H239:$J239))),"Avance semanal decreciente"&amp;" · ","")&amp;IF(AND(ISNUMBER($F239),$F239&lt;FechaRef,N($L239)&lt;1),"Vencida"&amp;" · ","")&amp;IF(AND(ObsObligatoria="Sí",ISNUMBER($F239),$F239&lt;FechaRef,N($L239)&lt;1,$N239=""),"Vencida sin observación"&amp;" · ",""))="","✔ OK","⚠ "&amp;LEFT(IF(AND($S239="Macro",$B239=""),"Macroactividad vacía"&amp;" · ","")&amp;IF(AND($B239&lt;&gt;"",$C239&lt;&gt;""),"Escriba la subactividad en otra fila, debajo de su macroactividad"&amp;" · ","")&amp;IF(AND($S239="Sub",N($R239)=0),"Subactividad sin macroactividad arriba"&amp;" · ","")&amp;IF($D239="","Sin responsable"&amp;" · ","")&amp;IF($E239="","Sin fecha de inicio"&amp;" · ","")&amp;IF($F239="","Sin fecha límite"&amp;" · ","")&amp;IF(OR(AND($E239&lt;&gt;"",NOT(ISNUMBER($E239))),AND($F239&lt;&gt;"",NOT(ISNUMBER($F239)))),"Fecha no válida"&amp;" · ","")&amp;IF(AND(ISNUMBER($E239),ISNUMBER($F239),$E239&gt;$F239),"Inicio posterior a fecha límite"&amp;" · ","")&amp;IF(AND($S239="Macro",$G239=""),"Peso vacío"&amp;" · ","")&amp;IF(AND($S239="Macro",$G239&lt;&gt;"",OR(NOT(ISNUMBER($G239)),$G239&lt;=0,$G239&gt;1)),"Peso fuera de rango"&amp;" · ","")&amp;IF(AND($S239="Sub",$G239&lt;&gt;""),"Las subactividades no llevan peso"&amp;" · ","")&amp;IF(AND($S239="Macro",ABS(SUMIFS($G$5:$G$1000,$P$5:$P$1000,$P239,$S$5:$S$1000,"Macro")-1)&gt;0.0001),"Pesos del mes suman "&amp;TEXT(SUMIFS($G$5:$G$1000,$P$5:$P$1000,$P239,$S$5:$S$1000,"Macro"),"0%")&amp;" · ","")&amp;IF(AND(N($T239)&gt;0,COUNT($H239:$K239)&gt;0),"Con subactividades: deje vacías las semanas (se calculan solas)"&amp;" · ","")&amp;IF((COUNTIF($H239:$K239,"&gt;1")+COUNTIF($H239:$K239,"&lt;0")+COUNTA($H239:$K239)-COUNT($H239:$K239))&gt;0,"Avance fuera de rango 0-100%"&amp;" · ","")&amp;IF(OR(AND($I239&lt;&gt;"",$I239&lt;$H239),AND($J239&lt;&gt;"",$J239&lt;MAX($H239:$I239)),AND($K239&lt;&gt;"",$K239&lt;MAX($H239:$J239))),"Avance semanal decreciente"&amp;" · ","")&amp;IF(AND(ISNUMBER($F239),$F239&lt;FechaRef,N($L239)&lt;1),"Vencida"&amp;" · ","")&amp;IF(AND(ObsObligatoria="Sí",ISNUMBER($F239),$F239&lt;FechaRef,N($L239)&lt;1,$N239=""),"Vencida sin observación"&amp;" · ",""),LEN(IF(AND($S239="Macro",$B239=""),"Macroactividad vacía"&amp;" · ","")&amp;IF(AND($B239&lt;&gt;"",$C239&lt;&gt;""),"Escriba la subactividad en otra fila, debajo de su macroactividad"&amp;" · ","")&amp;IF(AND($S239="Sub",N($R239)=0),"Subactividad sin macroactividad arriba"&amp;" · ","")&amp;IF($D239="","Sin responsable"&amp;" · ","")&amp;IF($E239="","Sin fecha de inicio"&amp;" · ","")&amp;IF($F239="","Sin fecha límite"&amp;" · ","")&amp;IF(OR(AND($E239&lt;&gt;"",NOT(ISNUMBER($E239))),AND($F239&lt;&gt;"",NOT(ISNUMBER($F239)))),"Fecha no válida"&amp;" · ","")&amp;IF(AND(ISNUMBER($E239),ISNUMBER($F239),$E239&gt;$F239),"Inicio posterior a fecha límite"&amp;" · ","")&amp;IF(AND($S239="Macro",$G239=""),"Peso vacío"&amp;" · ","")&amp;IF(AND($S239="Macro",$G239&lt;&gt;"",OR(NOT(ISNUMBER($G239)),$G239&lt;=0,$G239&gt;1)),"Peso fuera de rango"&amp;" · ","")&amp;IF(AND($S239="Sub",$G239&lt;&gt;""),"Las subactividades no llevan peso"&amp;" · ","")&amp;IF(AND($S239="Macro",ABS(SUMIFS($G$5:$G$1000,$P$5:$P$1000,$P239,$S$5:$S$1000,"Macro")-1)&gt;0.0001),"Pesos del mes suman "&amp;TEXT(SUMIFS($G$5:$G$1000,$P$5:$P$1000,$P239,$S$5:$S$1000,"Macro"),"0%")&amp;" · ","")&amp;IF(AND(N($T239)&gt;0,COUNT($H239:$K239)&gt;0),"Con subactividades: deje vacías las semanas (se calculan solas)"&amp;" · ","")&amp;IF((COUNTIF($H239:$K239,"&gt;1")+COUNTIF($H239:$K239,"&lt;0")+COUNTA($H239:$K239)-COUNT($H239:$K239))&gt;0,"Avance fuera de rango 0-100%"&amp;" · ","")&amp;IF(OR(AND($I239&lt;&gt;"",$I239&lt;$H239),AND($J239&lt;&gt;"",$J239&lt;MAX($H239:$I239)),AND($K239&lt;&gt;"",$K239&lt;MAX($H239:$J239))),"Avance semanal decreciente"&amp;" · ","")&amp;IF(AND(ISNUMBER($F239),$F239&lt;FechaRef,N($L239)&lt;1),"Vencida"&amp;" · ","")&amp;IF(AND(ObsObligatoria="Sí",ISNUMBER($F239),$F239&lt;FechaRef,N($L239)&lt;1,$N239=""),"Vencida sin observación"&amp;" · ",""))-3)))</f>
        <v/>
      </c>
      <c r="P239" s="69">
        <f>IF(NOT((COUNTA($B239:$K239)+COUNTA($N239))&gt;0),"",IF(AND($S239="Sub",N($R239)&gt;0),IF(ISNUMBER(INDEX($E$5:$E$1000,$R239-4)),DATE(YEAR(INDEX($E$5:$E$1000,$R239-4)),MONTH(INDEX($E$5:$E$1000,$R239-4)),1),IF(ISNUMBER(INDEX($F$5:$F$1000,$R239-4)),DATE(YEAR(INDEX($F$5:$F$1000,$R239-4)),MONTH(INDEX($F$5:$F$1000,$R239-4)),1),MesCiclo)),IF(ISNUMBER($E239),DATE(YEAR($E239),MONTH($E239),1),IF(ISNUMBER($F239),DATE(YEAR($F239),MONTH($F239),1),MesCiclo))))</f>
        <v/>
      </c>
      <c r="Q239" s="70">
        <f>IF(OR($P239="",$P239&lt;&gt;MesCiclo),"",COUNTIF($P$5:$P239,MesCiclo))</f>
        <v/>
      </c>
      <c r="R239" s="70">
        <f>IF($S239="","",IF($S239="Macro",ROW(),IFERROR(LOOKUP(2,1/($S$5:$S239="Macro"),ROW($S$5:$S239)),0)))</f>
        <v/>
      </c>
      <c r="S239" s="70">
        <f>IF(NOT((COUNTA($B239:$K239)+COUNTA($N239))&gt;0),"",IF($B239&lt;&gt;"","Macro",IF($C239&lt;&gt;"","Sub","Macro")))</f>
        <v/>
      </c>
      <c r="T239" s="70">
        <f>IF($S239="Macro",COUNTIFS($R$5:$R$1000,ROW(),$S$5:$S$1000,"Sub"),"")</f>
        <v/>
      </c>
      <c r="U239" s="70">
        <f>IF($S239="","",IF(ISNUMBER($H239),$H239,0))</f>
        <v/>
      </c>
      <c r="V239" s="70">
        <f>IF($S239="","",IF(ISNUMBER($I239),$I239,$U239))</f>
        <v/>
      </c>
      <c r="W239" s="70">
        <f>IF($S239="","",IF(ISNUMBER($J239),$J239,$V239))</f>
        <v/>
      </c>
      <c r="X239" s="70">
        <f>IF($S239="","",IF(ISNUMBER($K239),$K239,$W239))</f>
        <v/>
      </c>
      <c r="Y239" s="70">
        <f>IF($S239="","",IF(N($T239)&gt;0,AVERAGEIFS($U$5:$U$1000,$R$5:$R$1000,ROW(),$S$5:$S$1000,"Sub"),$U239))</f>
        <v/>
      </c>
      <c r="Z239" s="70">
        <f>IF($S239="","",IF(N($T239)&gt;0,AVERAGEIFS($V$5:$V$1000,$R$5:$R$1000,ROW(),$S$5:$S$1000,"Sub"),$V239))</f>
        <v/>
      </c>
      <c r="AA239" s="70">
        <f>IF($S239="","",IF(N($T239)&gt;0,AVERAGEIFS($W$5:$W$1000,$R$5:$R$1000,ROW(),$S$5:$S$1000,"Sub"),$W239))</f>
        <v/>
      </c>
      <c r="AB239" s="70">
        <f>IF($S239="","",IF(N($T239)&gt;0,AVERAGEIFS($X$5:$X$1000,$R$5:$R$1000,ROW(),$S$5:$S$1000,"Sub"),$X239))</f>
        <v/>
      </c>
    </row>
    <row r="240">
      <c r="A240" s="61">
        <f>IF(NOT((COUNTA($B240:$K240)+COUNTA($N240))&gt;0),"",IF($S240="Macro",COUNTIFS($S$5:$S240,"Macro",$P$5:$P240,$P240),IF(N($R240)=0,"?",COUNTIFS(INDEX($S$5:$S$1000,1):INDEX($S$5:$S$1000,$R240-4),"Macro",INDEX($P$5:$P$1000,1):INDEX($P$5:$P$1000,$R240-4),INDEX($P$5:$P$1000,$R240-4))&amp;"."&amp;COUNTIFS($R$5:$R240,$R240,$S$5:$S240,"Sub"))))</f>
        <v/>
      </c>
      <c r="B240" s="62" t="n"/>
      <c r="C240" s="63" t="n"/>
      <c r="D240" s="62" t="n"/>
      <c r="E240" s="64" t="n"/>
      <c r="F240" s="64" t="n"/>
      <c r="G240" s="65" t="n"/>
      <c r="H240" s="66" t="n"/>
      <c r="I240" s="66" t="n"/>
      <c r="J240" s="66" t="n"/>
      <c r="K240" s="66" t="n"/>
      <c r="L240" s="67">
        <f>IF(NOT((COUNTA($B240:$K240)+COUNTA($N240))&gt;0),"",IF(N($T240)&gt;0,$AB240,IFERROR(LOOKUP(2,1/(H240:K240&lt;&gt;""),H240:K240),0)))</f>
        <v/>
      </c>
      <c r="M240" s="61">
        <f>IF(L240="","",IF(L240&gt;=1,"Completado",IF(L240&gt;0,"En curso","Pendiente")))</f>
        <v/>
      </c>
      <c r="N240" s="62" t="n"/>
      <c r="O240" s="68">
        <f>IF(NOT((COUNTA($B240:$K240)+COUNTA($N240))&gt;0),"",IF((IF(AND($S240="Macro",$B240=""),"Macroactividad vacía"&amp;" · ","")&amp;IF(AND($B240&lt;&gt;"",$C240&lt;&gt;""),"Escriba la subactividad en otra fila, debajo de su macroactividad"&amp;" · ","")&amp;IF(AND($S240="Sub",N($R240)=0),"Subactividad sin macroactividad arriba"&amp;" · ","")&amp;IF($D240="","Sin responsable"&amp;" · ","")&amp;IF($E240="","Sin fecha de inicio"&amp;" · ","")&amp;IF($F240="","Sin fecha límite"&amp;" · ","")&amp;IF(OR(AND($E240&lt;&gt;"",NOT(ISNUMBER($E240))),AND($F240&lt;&gt;"",NOT(ISNUMBER($F240)))),"Fecha no válida"&amp;" · ","")&amp;IF(AND(ISNUMBER($E240),ISNUMBER($F240),$E240&gt;$F240),"Inicio posterior a fecha límite"&amp;" · ","")&amp;IF(AND($S240="Macro",$G240=""),"Peso vacío"&amp;" · ","")&amp;IF(AND($S240="Macro",$G240&lt;&gt;"",OR(NOT(ISNUMBER($G240)),$G240&lt;=0,$G240&gt;1)),"Peso fuera de rango"&amp;" · ","")&amp;IF(AND($S240="Sub",$G240&lt;&gt;""),"Las subactividades no llevan peso"&amp;" · ","")&amp;IF(AND($S240="Macro",ABS(SUMIFS($G$5:$G$1000,$P$5:$P$1000,$P240,$S$5:$S$1000,"Macro")-1)&gt;0.0001),"Pesos del mes suman "&amp;TEXT(SUMIFS($G$5:$G$1000,$P$5:$P$1000,$P240,$S$5:$S$1000,"Macro"),"0%")&amp;" · ","")&amp;IF(AND(N($T240)&gt;0,COUNT($H240:$K240)&gt;0),"Con subactividades: deje vacías las semanas (se calculan solas)"&amp;" · ","")&amp;IF((COUNTIF($H240:$K240,"&gt;1")+COUNTIF($H240:$K240,"&lt;0")+COUNTA($H240:$K240)-COUNT($H240:$K240))&gt;0,"Avance fuera de rango 0-100%"&amp;" · ","")&amp;IF(OR(AND($I240&lt;&gt;"",$I240&lt;$H240),AND($J240&lt;&gt;"",$J240&lt;MAX($H240:$I240)),AND($K240&lt;&gt;"",$K240&lt;MAX($H240:$J240))),"Avance semanal decreciente"&amp;" · ","")&amp;IF(AND(ISNUMBER($F240),$F240&lt;FechaRef,N($L240)&lt;1),"Vencida"&amp;" · ","")&amp;IF(AND(ObsObligatoria="Sí",ISNUMBER($F240),$F240&lt;FechaRef,N($L240)&lt;1,$N240=""),"Vencida sin observación"&amp;" · ",""))="","✔ OK","⚠ "&amp;LEFT(IF(AND($S240="Macro",$B240=""),"Macroactividad vacía"&amp;" · ","")&amp;IF(AND($B240&lt;&gt;"",$C240&lt;&gt;""),"Escriba la subactividad en otra fila, debajo de su macroactividad"&amp;" · ","")&amp;IF(AND($S240="Sub",N($R240)=0),"Subactividad sin macroactividad arriba"&amp;" · ","")&amp;IF($D240="","Sin responsable"&amp;" · ","")&amp;IF($E240="","Sin fecha de inicio"&amp;" · ","")&amp;IF($F240="","Sin fecha límite"&amp;" · ","")&amp;IF(OR(AND($E240&lt;&gt;"",NOT(ISNUMBER($E240))),AND($F240&lt;&gt;"",NOT(ISNUMBER($F240)))),"Fecha no válida"&amp;" · ","")&amp;IF(AND(ISNUMBER($E240),ISNUMBER($F240),$E240&gt;$F240),"Inicio posterior a fecha límite"&amp;" · ","")&amp;IF(AND($S240="Macro",$G240=""),"Peso vacío"&amp;" · ","")&amp;IF(AND($S240="Macro",$G240&lt;&gt;"",OR(NOT(ISNUMBER($G240)),$G240&lt;=0,$G240&gt;1)),"Peso fuera de rango"&amp;" · ","")&amp;IF(AND($S240="Sub",$G240&lt;&gt;""),"Las subactividades no llevan peso"&amp;" · ","")&amp;IF(AND($S240="Macro",ABS(SUMIFS($G$5:$G$1000,$P$5:$P$1000,$P240,$S$5:$S$1000,"Macro")-1)&gt;0.0001),"Pesos del mes suman "&amp;TEXT(SUMIFS($G$5:$G$1000,$P$5:$P$1000,$P240,$S$5:$S$1000,"Macro"),"0%")&amp;" · ","")&amp;IF(AND(N($T240)&gt;0,COUNT($H240:$K240)&gt;0),"Con subactividades: deje vacías las semanas (se calculan solas)"&amp;" · ","")&amp;IF((COUNTIF($H240:$K240,"&gt;1")+COUNTIF($H240:$K240,"&lt;0")+COUNTA($H240:$K240)-COUNT($H240:$K240))&gt;0,"Avance fuera de rango 0-100%"&amp;" · ","")&amp;IF(OR(AND($I240&lt;&gt;"",$I240&lt;$H240),AND($J240&lt;&gt;"",$J240&lt;MAX($H240:$I240)),AND($K240&lt;&gt;"",$K240&lt;MAX($H240:$J240))),"Avance semanal decreciente"&amp;" · ","")&amp;IF(AND(ISNUMBER($F240),$F240&lt;FechaRef,N($L240)&lt;1),"Vencida"&amp;" · ","")&amp;IF(AND(ObsObligatoria="Sí",ISNUMBER($F240),$F240&lt;FechaRef,N($L240)&lt;1,$N240=""),"Vencida sin observación"&amp;" · ",""),LEN(IF(AND($S240="Macro",$B240=""),"Macroactividad vacía"&amp;" · ","")&amp;IF(AND($B240&lt;&gt;"",$C240&lt;&gt;""),"Escriba la subactividad en otra fila, debajo de su macroactividad"&amp;" · ","")&amp;IF(AND($S240="Sub",N($R240)=0),"Subactividad sin macroactividad arriba"&amp;" · ","")&amp;IF($D240="","Sin responsable"&amp;" · ","")&amp;IF($E240="","Sin fecha de inicio"&amp;" · ","")&amp;IF($F240="","Sin fecha límite"&amp;" · ","")&amp;IF(OR(AND($E240&lt;&gt;"",NOT(ISNUMBER($E240))),AND($F240&lt;&gt;"",NOT(ISNUMBER($F240)))),"Fecha no válida"&amp;" · ","")&amp;IF(AND(ISNUMBER($E240),ISNUMBER($F240),$E240&gt;$F240),"Inicio posterior a fecha límite"&amp;" · ","")&amp;IF(AND($S240="Macro",$G240=""),"Peso vacío"&amp;" · ","")&amp;IF(AND($S240="Macro",$G240&lt;&gt;"",OR(NOT(ISNUMBER($G240)),$G240&lt;=0,$G240&gt;1)),"Peso fuera de rango"&amp;" · ","")&amp;IF(AND($S240="Sub",$G240&lt;&gt;""),"Las subactividades no llevan peso"&amp;" · ","")&amp;IF(AND($S240="Macro",ABS(SUMIFS($G$5:$G$1000,$P$5:$P$1000,$P240,$S$5:$S$1000,"Macro")-1)&gt;0.0001),"Pesos del mes suman "&amp;TEXT(SUMIFS($G$5:$G$1000,$P$5:$P$1000,$P240,$S$5:$S$1000,"Macro"),"0%")&amp;" · ","")&amp;IF(AND(N($T240)&gt;0,COUNT($H240:$K240)&gt;0),"Con subactividades: deje vacías las semanas (se calculan solas)"&amp;" · ","")&amp;IF((COUNTIF($H240:$K240,"&gt;1")+COUNTIF($H240:$K240,"&lt;0")+COUNTA($H240:$K240)-COUNT($H240:$K240))&gt;0,"Avance fuera de rango 0-100%"&amp;" · ","")&amp;IF(OR(AND($I240&lt;&gt;"",$I240&lt;$H240),AND($J240&lt;&gt;"",$J240&lt;MAX($H240:$I240)),AND($K240&lt;&gt;"",$K240&lt;MAX($H240:$J240))),"Avance semanal decreciente"&amp;" · ","")&amp;IF(AND(ISNUMBER($F240),$F240&lt;FechaRef,N($L240)&lt;1),"Vencida"&amp;" · ","")&amp;IF(AND(ObsObligatoria="Sí",ISNUMBER($F240),$F240&lt;FechaRef,N($L240)&lt;1,$N240=""),"Vencida sin observación"&amp;" · ",""))-3)))</f>
        <v/>
      </c>
      <c r="P240" s="69">
        <f>IF(NOT((COUNTA($B240:$K240)+COUNTA($N240))&gt;0),"",IF(AND($S240="Sub",N($R240)&gt;0),IF(ISNUMBER(INDEX($E$5:$E$1000,$R240-4)),DATE(YEAR(INDEX($E$5:$E$1000,$R240-4)),MONTH(INDEX($E$5:$E$1000,$R240-4)),1),IF(ISNUMBER(INDEX($F$5:$F$1000,$R240-4)),DATE(YEAR(INDEX($F$5:$F$1000,$R240-4)),MONTH(INDEX($F$5:$F$1000,$R240-4)),1),MesCiclo)),IF(ISNUMBER($E240),DATE(YEAR($E240),MONTH($E240),1),IF(ISNUMBER($F240),DATE(YEAR($F240),MONTH($F240),1),MesCiclo))))</f>
        <v/>
      </c>
      <c r="Q240" s="70">
        <f>IF(OR($P240="",$P240&lt;&gt;MesCiclo),"",COUNTIF($P$5:$P240,MesCiclo))</f>
        <v/>
      </c>
      <c r="R240" s="70">
        <f>IF($S240="","",IF($S240="Macro",ROW(),IFERROR(LOOKUP(2,1/($S$5:$S240="Macro"),ROW($S$5:$S240)),0)))</f>
        <v/>
      </c>
      <c r="S240" s="70">
        <f>IF(NOT((COUNTA($B240:$K240)+COUNTA($N240))&gt;0),"",IF($B240&lt;&gt;"","Macro",IF($C240&lt;&gt;"","Sub","Macro")))</f>
        <v/>
      </c>
      <c r="T240" s="70">
        <f>IF($S240="Macro",COUNTIFS($R$5:$R$1000,ROW(),$S$5:$S$1000,"Sub"),"")</f>
        <v/>
      </c>
      <c r="U240" s="70">
        <f>IF($S240="","",IF(ISNUMBER($H240),$H240,0))</f>
        <v/>
      </c>
      <c r="V240" s="70">
        <f>IF($S240="","",IF(ISNUMBER($I240),$I240,$U240))</f>
        <v/>
      </c>
      <c r="W240" s="70">
        <f>IF($S240="","",IF(ISNUMBER($J240),$J240,$V240))</f>
        <v/>
      </c>
      <c r="X240" s="70">
        <f>IF($S240="","",IF(ISNUMBER($K240),$K240,$W240))</f>
        <v/>
      </c>
      <c r="Y240" s="70">
        <f>IF($S240="","",IF(N($T240)&gt;0,AVERAGEIFS($U$5:$U$1000,$R$5:$R$1000,ROW(),$S$5:$S$1000,"Sub"),$U240))</f>
        <v/>
      </c>
      <c r="Z240" s="70">
        <f>IF($S240="","",IF(N($T240)&gt;0,AVERAGEIFS($V$5:$V$1000,$R$5:$R$1000,ROW(),$S$5:$S$1000,"Sub"),$V240))</f>
        <v/>
      </c>
      <c r="AA240" s="70">
        <f>IF($S240="","",IF(N($T240)&gt;0,AVERAGEIFS($W$5:$W$1000,$R$5:$R$1000,ROW(),$S$5:$S$1000,"Sub"),$W240))</f>
        <v/>
      </c>
      <c r="AB240" s="70">
        <f>IF($S240="","",IF(N($T240)&gt;0,AVERAGEIFS($X$5:$X$1000,$R$5:$R$1000,ROW(),$S$5:$S$1000,"Sub"),$X240))</f>
        <v/>
      </c>
    </row>
    <row r="241">
      <c r="A241" s="61">
        <f>IF(NOT((COUNTA($B241:$K241)+COUNTA($N241))&gt;0),"",IF($S241="Macro",COUNTIFS($S$5:$S241,"Macro",$P$5:$P241,$P241),IF(N($R241)=0,"?",COUNTIFS(INDEX($S$5:$S$1000,1):INDEX($S$5:$S$1000,$R241-4),"Macro",INDEX($P$5:$P$1000,1):INDEX($P$5:$P$1000,$R241-4),INDEX($P$5:$P$1000,$R241-4))&amp;"."&amp;COUNTIFS($R$5:$R241,$R241,$S$5:$S241,"Sub"))))</f>
        <v/>
      </c>
      <c r="B241" s="62" t="n"/>
      <c r="C241" s="63" t="n"/>
      <c r="D241" s="62" t="n"/>
      <c r="E241" s="64" t="n"/>
      <c r="F241" s="64" t="n"/>
      <c r="G241" s="65" t="n"/>
      <c r="H241" s="66" t="n"/>
      <c r="I241" s="66" t="n"/>
      <c r="J241" s="66" t="n"/>
      <c r="K241" s="66" t="n"/>
      <c r="L241" s="67">
        <f>IF(NOT((COUNTA($B241:$K241)+COUNTA($N241))&gt;0),"",IF(N($T241)&gt;0,$AB241,IFERROR(LOOKUP(2,1/(H241:K241&lt;&gt;""),H241:K241),0)))</f>
        <v/>
      </c>
      <c r="M241" s="61">
        <f>IF(L241="","",IF(L241&gt;=1,"Completado",IF(L241&gt;0,"En curso","Pendiente")))</f>
        <v/>
      </c>
      <c r="N241" s="62" t="n"/>
      <c r="O241" s="68">
        <f>IF(NOT((COUNTA($B241:$K241)+COUNTA($N241))&gt;0),"",IF((IF(AND($S241="Macro",$B241=""),"Macroactividad vacía"&amp;" · ","")&amp;IF(AND($B241&lt;&gt;"",$C241&lt;&gt;""),"Escriba la subactividad en otra fila, debajo de su macroactividad"&amp;" · ","")&amp;IF(AND($S241="Sub",N($R241)=0),"Subactividad sin macroactividad arriba"&amp;" · ","")&amp;IF($D241="","Sin responsable"&amp;" · ","")&amp;IF($E241="","Sin fecha de inicio"&amp;" · ","")&amp;IF($F241="","Sin fecha límite"&amp;" · ","")&amp;IF(OR(AND($E241&lt;&gt;"",NOT(ISNUMBER($E241))),AND($F241&lt;&gt;"",NOT(ISNUMBER($F241)))),"Fecha no válida"&amp;" · ","")&amp;IF(AND(ISNUMBER($E241),ISNUMBER($F241),$E241&gt;$F241),"Inicio posterior a fecha límite"&amp;" · ","")&amp;IF(AND($S241="Macro",$G241=""),"Peso vacío"&amp;" · ","")&amp;IF(AND($S241="Macro",$G241&lt;&gt;"",OR(NOT(ISNUMBER($G241)),$G241&lt;=0,$G241&gt;1)),"Peso fuera de rango"&amp;" · ","")&amp;IF(AND($S241="Sub",$G241&lt;&gt;""),"Las subactividades no llevan peso"&amp;" · ","")&amp;IF(AND($S241="Macro",ABS(SUMIFS($G$5:$G$1000,$P$5:$P$1000,$P241,$S$5:$S$1000,"Macro")-1)&gt;0.0001),"Pesos del mes suman "&amp;TEXT(SUMIFS($G$5:$G$1000,$P$5:$P$1000,$P241,$S$5:$S$1000,"Macro"),"0%")&amp;" · ","")&amp;IF(AND(N($T241)&gt;0,COUNT($H241:$K241)&gt;0),"Con subactividades: deje vacías las semanas (se calculan solas)"&amp;" · ","")&amp;IF((COUNTIF($H241:$K241,"&gt;1")+COUNTIF($H241:$K241,"&lt;0")+COUNTA($H241:$K241)-COUNT($H241:$K241))&gt;0,"Avance fuera de rango 0-100%"&amp;" · ","")&amp;IF(OR(AND($I241&lt;&gt;"",$I241&lt;$H241),AND($J241&lt;&gt;"",$J241&lt;MAX($H241:$I241)),AND($K241&lt;&gt;"",$K241&lt;MAX($H241:$J241))),"Avance semanal decreciente"&amp;" · ","")&amp;IF(AND(ISNUMBER($F241),$F241&lt;FechaRef,N($L241)&lt;1),"Vencida"&amp;" · ","")&amp;IF(AND(ObsObligatoria="Sí",ISNUMBER($F241),$F241&lt;FechaRef,N($L241)&lt;1,$N241=""),"Vencida sin observación"&amp;" · ",""))="","✔ OK","⚠ "&amp;LEFT(IF(AND($S241="Macro",$B241=""),"Macroactividad vacía"&amp;" · ","")&amp;IF(AND($B241&lt;&gt;"",$C241&lt;&gt;""),"Escriba la subactividad en otra fila, debajo de su macroactividad"&amp;" · ","")&amp;IF(AND($S241="Sub",N($R241)=0),"Subactividad sin macroactividad arriba"&amp;" · ","")&amp;IF($D241="","Sin responsable"&amp;" · ","")&amp;IF($E241="","Sin fecha de inicio"&amp;" · ","")&amp;IF($F241="","Sin fecha límite"&amp;" · ","")&amp;IF(OR(AND($E241&lt;&gt;"",NOT(ISNUMBER($E241))),AND($F241&lt;&gt;"",NOT(ISNUMBER($F241)))),"Fecha no válida"&amp;" · ","")&amp;IF(AND(ISNUMBER($E241),ISNUMBER($F241),$E241&gt;$F241),"Inicio posterior a fecha límite"&amp;" · ","")&amp;IF(AND($S241="Macro",$G241=""),"Peso vacío"&amp;" · ","")&amp;IF(AND($S241="Macro",$G241&lt;&gt;"",OR(NOT(ISNUMBER($G241)),$G241&lt;=0,$G241&gt;1)),"Peso fuera de rango"&amp;" · ","")&amp;IF(AND($S241="Sub",$G241&lt;&gt;""),"Las subactividades no llevan peso"&amp;" · ","")&amp;IF(AND($S241="Macro",ABS(SUMIFS($G$5:$G$1000,$P$5:$P$1000,$P241,$S$5:$S$1000,"Macro")-1)&gt;0.0001),"Pesos del mes suman "&amp;TEXT(SUMIFS($G$5:$G$1000,$P$5:$P$1000,$P241,$S$5:$S$1000,"Macro"),"0%")&amp;" · ","")&amp;IF(AND(N($T241)&gt;0,COUNT($H241:$K241)&gt;0),"Con subactividades: deje vacías las semanas (se calculan solas)"&amp;" · ","")&amp;IF((COUNTIF($H241:$K241,"&gt;1")+COUNTIF($H241:$K241,"&lt;0")+COUNTA($H241:$K241)-COUNT($H241:$K241))&gt;0,"Avance fuera de rango 0-100%"&amp;" · ","")&amp;IF(OR(AND($I241&lt;&gt;"",$I241&lt;$H241),AND($J241&lt;&gt;"",$J241&lt;MAX($H241:$I241)),AND($K241&lt;&gt;"",$K241&lt;MAX($H241:$J241))),"Avance semanal decreciente"&amp;" · ","")&amp;IF(AND(ISNUMBER($F241),$F241&lt;FechaRef,N($L241)&lt;1),"Vencida"&amp;" · ","")&amp;IF(AND(ObsObligatoria="Sí",ISNUMBER($F241),$F241&lt;FechaRef,N($L241)&lt;1,$N241=""),"Vencida sin observación"&amp;" · ",""),LEN(IF(AND($S241="Macro",$B241=""),"Macroactividad vacía"&amp;" · ","")&amp;IF(AND($B241&lt;&gt;"",$C241&lt;&gt;""),"Escriba la subactividad en otra fila, debajo de su macroactividad"&amp;" · ","")&amp;IF(AND($S241="Sub",N($R241)=0),"Subactividad sin macroactividad arriba"&amp;" · ","")&amp;IF($D241="","Sin responsable"&amp;" · ","")&amp;IF($E241="","Sin fecha de inicio"&amp;" · ","")&amp;IF($F241="","Sin fecha límite"&amp;" · ","")&amp;IF(OR(AND($E241&lt;&gt;"",NOT(ISNUMBER($E241))),AND($F241&lt;&gt;"",NOT(ISNUMBER($F241)))),"Fecha no válida"&amp;" · ","")&amp;IF(AND(ISNUMBER($E241),ISNUMBER($F241),$E241&gt;$F241),"Inicio posterior a fecha límite"&amp;" · ","")&amp;IF(AND($S241="Macro",$G241=""),"Peso vacío"&amp;" · ","")&amp;IF(AND($S241="Macro",$G241&lt;&gt;"",OR(NOT(ISNUMBER($G241)),$G241&lt;=0,$G241&gt;1)),"Peso fuera de rango"&amp;" · ","")&amp;IF(AND($S241="Sub",$G241&lt;&gt;""),"Las subactividades no llevan peso"&amp;" · ","")&amp;IF(AND($S241="Macro",ABS(SUMIFS($G$5:$G$1000,$P$5:$P$1000,$P241,$S$5:$S$1000,"Macro")-1)&gt;0.0001),"Pesos del mes suman "&amp;TEXT(SUMIFS($G$5:$G$1000,$P$5:$P$1000,$P241,$S$5:$S$1000,"Macro"),"0%")&amp;" · ","")&amp;IF(AND(N($T241)&gt;0,COUNT($H241:$K241)&gt;0),"Con subactividades: deje vacías las semanas (se calculan solas)"&amp;" · ","")&amp;IF((COUNTIF($H241:$K241,"&gt;1")+COUNTIF($H241:$K241,"&lt;0")+COUNTA($H241:$K241)-COUNT($H241:$K241))&gt;0,"Avance fuera de rango 0-100%"&amp;" · ","")&amp;IF(OR(AND($I241&lt;&gt;"",$I241&lt;$H241),AND($J241&lt;&gt;"",$J241&lt;MAX($H241:$I241)),AND($K241&lt;&gt;"",$K241&lt;MAX($H241:$J241))),"Avance semanal decreciente"&amp;" · ","")&amp;IF(AND(ISNUMBER($F241),$F241&lt;FechaRef,N($L241)&lt;1),"Vencida"&amp;" · ","")&amp;IF(AND(ObsObligatoria="Sí",ISNUMBER($F241),$F241&lt;FechaRef,N($L241)&lt;1,$N241=""),"Vencida sin observación"&amp;" · ",""))-3)))</f>
        <v/>
      </c>
      <c r="P241" s="69">
        <f>IF(NOT((COUNTA($B241:$K241)+COUNTA($N241))&gt;0),"",IF(AND($S241="Sub",N($R241)&gt;0),IF(ISNUMBER(INDEX($E$5:$E$1000,$R241-4)),DATE(YEAR(INDEX($E$5:$E$1000,$R241-4)),MONTH(INDEX($E$5:$E$1000,$R241-4)),1),IF(ISNUMBER(INDEX($F$5:$F$1000,$R241-4)),DATE(YEAR(INDEX($F$5:$F$1000,$R241-4)),MONTH(INDEX($F$5:$F$1000,$R241-4)),1),MesCiclo)),IF(ISNUMBER($E241),DATE(YEAR($E241),MONTH($E241),1),IF(ISNUMBER($F241),DATE(YEAR($F241),MONTH($F241),1),MesCiclo))))</f>
        <v/>
      </c>
      <c r="Q241" s="70">
        <f>IF(OR($P241="",$P241&lt;&gt;MesCiclo),"",COUNTIF($P$5:$P241,MesCiclo))</f>
        <v/>
      </c>
      <c r="R241" s="70">
        <f>IF($S241="","",IF($S241="Macro",ROW(),IFERROR(LOOKUP(2,1/($S$5:$S241="Macro"),ROW($S$5:$S241)),0)))</f>
        <v/>
      </c>
      <c r="S241" s="70">
        <f>IF(NOT((COUNTA($B241:$K241)+COUNTA($N241))&gt;0),"",IF($B241&lt;&gt;"","Macro",IF($C241&lt;&gt;"","Sub","Macro")))</f>
        <v/>
      </c>
      <c r="T241" s="70">
        <f>IF($S241="Macro",COUNTIFS($R$5:$R$1000,ROW(),$S$5:$S$1000,"Sub"),"")</f>
        <v/>
      </c>
      <c r="U241" s="70">
        <f>IF($S241="","",IF(ISNUMBER($H241),$H241,0))</f>
        <v/>
      </c>
      <c r="V241" s="70">
        <f>IF($S241="","",IF(ISNUMBER($I241),$I241,$U241))</f>
        <v/>
      </c>
      <c r="W241" s="70">
        <f>IF($S241="","",IF(ISNUMBER($J241),$J241,$V241))</f>
        <v/>
      </c>
      <c r="X241" s="70">
        <f>IF($S241="","",IF(ISNUMBER($K241),$K241,$W241))</f>
        <v/>
      </c>
      <c r="Y241" s="70">
        <f>IF($S241="","",IF(N($T241)&gt;0,AVERAGEIFS($U$5:$U$1000,$R$5:$R$1000,ROW(),$S$5:$S$1000,"Sub"),$U241))</f>
        <v/>
      </c>
      <c r="Z241" s="70">
        <f>IF($S241="","",IF(N($T241)&gt;0,AVERAGEIFS($V$5:$V$1000,$R$5:$R$1000,ROW(),$S$5:$S$1000,"Sub"),$V241))</f>
        <v/>
      </c>
      <c r="AA241" s="70">
        <f>IF($S241="","",IF(N($T241)&gt;0,AVERAGEIFS($W$5:$W$1000,$R$5:$R$1000,ROW(),$S$5:$S$1000,"Sub"),$W241))</f>
        <v/>
      </c>
      <c r="AB241" s="70">
        <f>IF($S241="","",IF(N($T241)&gt;0,AVERAGEIFS($X$5:$X$1000,$R$5:$R$1000,ROW(),$S$5:$S$1000,"Sub"),$X241))</f>
        <v/>
      </c>
    </row>
    <row r="242">
      <c r="A242" s="61">
        <f>IF(NOT((COUNTA($B242:$K242)+COUNTA($N242))&gt;0),"",IF($S242="Macro",COUNTIFS($S$5:$S242,"Macro",$P$5:$P242,$P242),IF(N($R242)=0,"?",COUNTIFS(INDEX($S$5:$S$1000,1):INDEX($S$5:$S$1000,$R242-4),"Macro",INDEX($P$5:$P$1000,1):INDEX($P$5:$P$1000,$R242-4),INDEX($P$5:$P$1000,$R242-4))&amp;"."&amp;COUNTIFS($R$5:$R242,$R242,$S$5:$S242,"Sub"))))</f>
        <v/>
      </c>
      <c r="B242" s="62" t="n"/>
      <c r="C242" s="63" t="n"/>
      <c r="D242" s="62" t="n"/>
      <c r="E242" s="64" t="n"/>
      <c r="F242" s="64" t="n"/>
      <c r="G242" s="65" t="n"/>
      <c r="H242" s="66" t="n"/>
      <c r="I242" s="66" t="n"/>
      <c r="J242" s="66" t="n"/>
      <c r="K242" s="66" t="n"/>
      <c r="L242" s="67">
        <f>IF(NOT((COUNTA($B242:$K242)+COUNTA($N242))&gt;0),"",IF(N($T242)&gt;0,$AB242,IFERROR(LOOKUP(2,1/(H242:K242&lt;&gt;""),H242:K242),0)))</f>
        <v/>
      </c>
      <c r="M242" s="61">
        <f>IF(L242="","",IF(L242&gt;=1,"Completado",IF(L242&gt;0,"En curso","Pendiente")))</f>
        <v/>
      </c>
      <c r="N242" s="62" t="n"/>
      <c r="O242" s="68">
        <f>IF(NOT((COUNTA($B242:$K242)+COUNTA($N242))&gt;0),"",IF((IF(AND($S242="Macro",$B242=""),"Macroactividad vacía"&amp;" · ","")&amp;IF(AND($B242&lt;&gt;"",$C242&lt;&gt;""),"Escriba la subactividad en otra fila, debajo de su macroactividad"&amp;" · ","")&amp;IF(AND($S242="Sub",N($R242)=0),"Subactividad sin macroactividad arriba"&amp;" · ","")&amp;IF($D242="","Sin responsable"&amp;" · ","")&amp;IF($E242="","Sin fecha de inicio"&amp;" · ","")&amp;IF($F242="","Sin fecha límite"&amp;" · ","")&amp;IF(OR(AND($E242&lt;&gt;"",NOT(ISNUMBER($E242))),AND($F242&lt;&gt;"",NOT(ISNUMBER($F242)))),"Fecha no válida"&amp;" · ","")&amp;IF(AND(ISNUMBER($E242),ISNUMBER($F242),$E242&gt;$F242),"Inicio posterior a fecha límite"&amp;" · ","")&amp;IF(AND($S242="Macro",$G242=""),"Peso vacío"&amp;" · ","")&amp;IF(AND($S242="Macro",$G242&lt;&gt;"",OR(NOT(ISNUMBER($G242)),$G242&lt;=0,$G242&gt;1)),"Peso fuera de rango"&amp;" · ","")&amp;IF(AND($S242="Sub",$G242&lt;&gt;""),"Las subactividades no llevan peso"&amp;" · ","")&amp;IF(AND($S242="Macro",ABS(SUMIFS($G$5:$G$1000,$P$5:$P$1000,$P242,$S$5:$S$1000,"Macro")-1)&gt;0.0001),"Pesos del mes suman "&amp;TEXT(SUMIFS($G$5:$G$1000,$P$5:$P$1000,$P242,$S$5:$S$1000,"Macro"),"0%")&amp;" · ","")&amp;IF(AND(N($T242)&gt;0,COUNT($H242:$K242)&gt;0),"Con subactividades: deje vacías las semanas (se calculan solas)"&amp;" · ","")&amp;IF((COUNTIF($H242:$K242,"&gt;1")+COUNTIF($H242:$K242,"&lt;0")+COUNTA($H242:$K242)-COUNT($H242:$K242))&gt;0,"Avance fuera de rango 0-100%"&amp;" · ","")&amp;IF(OR(AND($I242&lt;&gt;"",$I242&lt;$H242),AND($J242&lt;&gt;"",$J242&lt;MAX($H242:$I242)),AND($K242&lt;&gt;"",$K242&lt;MAX($H242:$J242))),"Avance semanal decreciente"&amp;" · ","")&amp;IF(AND(ISNUMBER($F242),$F242&lt;FechaRef,N($L242)&lt;1),"Vencida"&amp;" · ","")&amp;IF(AND(ObsObligatoria="Sí",ISNUMBER($F242),$F242&lt;FechaRef,N($L242)&lt;1,$N242=""),"Vencida sin observación"&amp;" · ",""))="","✔ OK","⚠ "&amp;LEFT(IF(AND($S242="Macro",$B242=""),"Macroactividad vacía"&amp;" · ","")&amp;IF(AND($B242&lt;&gt;"",$C242&lt;&gt;""),"Escriba la subactividad en otra fila, debajo de su macroactividad"&amp;" · ","")&amp;IF(AND($S242="Sub",N($R242)=0),"Subactividad sin macroactividad arriba"&amp;" · ","")&amp;IF($D242="","Sin responsable"&amp;" · ","")&amp;IF($E242="","Sin fecha de inicio"&amp;" · ","")&amp;IF($F242="","Sin fecha límite"&amp;" · ","")&amp;IF(OR(AND($E242&lt;&gt;"",NOT(ISNUMBER($E242))),AND($F242&lt;&gt;"",NOT(ISNUMBER($F242)))),"Fecha no válida"&amp;" · ","")&amp;IF(AND(ISNUMBER($E242),ISNUMBER($F242),$E242&gt;$F242),"Inicio posterior a fecha límite"&amp;" · ","")&amp;IF(AND($S242="Macro",$G242=""),"Peso vacío"&amp;" · ","")&amp;IF(AND($S242="Macro",$G242&lt;&gt;"",OR(NOT(ISNUMBER($G242)),$G242&lt;=0,$G242&gt;1)),"Peso fuera de rango"&amp;" · ","")&amp;IF(AND($S242="Sub",$G242&lt;&gt;""),"Las subactividades no llevan peso"&amp;" · ","")&amp;IF(AND($S242="Macro",ABS(SUMIFS($G$5:$G$1000,$P$5:$P$1000,$P242,$S$5:$S$1000,"Macro")-1)&gt;0.0001),"Pesos del mes suman "&amp;TEXT(SUMIFS($G$5:$G$1000,$P$5:$P$1000,$P242,$S$5:$S$1000,"Macro"),"0%")&amp;" · ","")&amp;IF(AND(N($T242)&gt;0,COUNT($H242:$K242)&gt;0),"Con subactividades: deje vacías las semanas (se calculan solas)"&amp;" · ","")&amp;IF((COUNTIF($H242:$K242,"&gt;1")+COUNTIF($H242:$K242,"&lt;0")+COUNTA($H242:$K242)-COUNT($H242:$K242))&gt;0,"Avance fuera de rango 0-100%"&amp;" · ","")&amp;IF(OR(AND($I242&lt;&gt;"",$I242&lt;$H242),AND($J242&lt;&gt;"",$J242&lt;MAX($H242:$I242)),AND($K242&lt;&gt;"",$K242&lt;MAX($H242:$J242))),"Avance semanal decreciente"&amp;" · ","")&amp;IF(AND(ISNUMBER($F242),$F242&lt;FechaRef,N($L242)&lt;1),"Vencida"&amp;" · ","")&amp;IF(AND(ObsObligatoria="Sí",ISNUMBER($F242),$F242&lt;FechaRef,N($L242)&lt;1,$N242=""),"Vencida sin observación"&amp;" · ",""),LEN(IF(AND($S242="Macro",$B242=""),"Macroactividad vacía"&amp;" · ","")&amp;IF(AND($B242&lt;&gt;"",$C242&lt;&gt;""),"Escriba la subactividad en otra fila, debajo de su macroactividad"&amp;" · ","")&amp;IF(AND($S242="Sub",N($R242)=0),"Subactividad sin macroactividad arriba"&amp;" · ","")&amp;IF($D242="","Sin responsable"&amp;" · ","")&amp;IF($E242="","Sin fecha de inicio"&amp;" · ","")&amp;IF($F242="","Sin fecha límite"&amp;" · ","")&amp;IF(OR(AND($E242&lt;&gt;"",NOT(ISNUMBER($E242))),AND($F242&lt;&gt;"",NOT(ISNUMBER($F242)))),"Fecha no válida"&amp;" · ","")&amp;IF(AND(ISNUMBER($E242),ISNUMBER($F242),$E242&gt;$F242),"Inicio posterior a fecha límite"&amp;" · ","")&amp;IF(AND($S242="Macro",$G242=""),"Peso vacío"&amp;" · ","")&amp;IF(AND($S242="Macro",$G242&lt;&gt;"",OR(NOT(ISNUMBER($G242)),$G242&lt;=0,$G242&gt;1)),"Peso fuera de rango"&amp;" · ","")&amp;IF(AND($S242="Sub",$G242&lt;&gt;""),"Las subactividades no llevan peso"&amp;" · ","")&amp;IF(AND($S242="Macro",ABS(SUMIFS($G$5:$G$1000,$P$5:$P$1000,$P242,$S$5:$S$1000,"Macro")-1)&gt;0.0001),"Pesos del mes suman "&amp;TEXT(SUMIFS($G$5:$G$1000,$P$5:$P$1000,$P242,$S$5:$S$1000,"Macro"),"0%")&amp;" · ","")&amp;IF(AND(N($T242)&gt;0,COUNT($H242:$K242)&gt;0),"Con subactividades: deje vacías las semanas (se calculan solas)"&amp;" · ","")&amp;IF((COUNTIF($H242:$K242,"&gt;1")+COUNTIF($H242:$K242,"&lt;0")+COUNTA($H242:$K242)-COUNT($H242:$K242))&gt;0,"Avance fuera de rango 0-100%"&amp;" · ","")&amp;IF(OR(AND($I242&lt;&gt;"",$I242&lt;$H242),AND($J242&lt;&gt;"",$J242&lt;MAX($H242:$I242)),AND($K242&lt;&gt;"",$K242&lt;MAX($H242:$J242))),"Avance semanal decreciente"&amp;" · ","")&amp;IF(AND(ISNUMBER($F242),$F242&lt;FechaRef,N($L242)&lt;1),"Vencida"&amp;" · ","")&amp;IF(AND(ObsObligatoria="Sí",ISNUMBER($F242),$F242&lt;FechaRef,N($L242)&lt;1,$N242=""),"Vencida sin observación"&amp;" · ",""))-3)))</f>
        <v/>
      </c>
      <c r="P242" s="69">
        <f>IF(NOT((COUNTA($B242:$K242)+COUNTA($N242))&gt;0),"",IF(AND($S242="Sub",N($R242)&gt;0),IF(ISNUMBER(INDEX($E$5:$E$1000,$R242-4)),DATE(YEAR(INDEX($E$5:$E$1000,$R242-4)),MONTH(INDEX($E$5:$E$1000,$R242-4)),1),IF(ISNUMBER(INDEX($F$5:$F$1000,$R242-4)),DATE(YEAR(INDEX($F$5:$F$1000,$R242-4)),MONTH(INDEX($F$5:$F$1000,$R242-4)),1),MesCiclo)),IF(ISNUMBER($E242),DATE(YEAR($E242),MONTH($E242),1),IF(ISNUMBER($F242),DATE(YEAR($F242),MONTH($F242),1),MesCiclo))))</f>
        <v/>
      </c>
      <c r="Q242" s="70">
        <f>IF(OR($P242="",$P242&lt;&gt;MesCiclo),"",COUNTIF($P$5:$P242,MesCiclo))</f>
        <v/>
      </c>
      <c r="R242" s="70">
        <f>IF($S242="","",IF($S242="Macro",ROW(),IFERROR(LOOKUP(2,1/($S$5:$S242="Macro"),ROW($S$5:$S242)),0)))</f>
        <v/>
      </c>
      <c r="S242" s="70">
        <f>IF(NOT((COUNTA($B242:$K242)+COUNTA($N242))&gt;0),"",IF($B242&lt;&gt;"","Macro",IF($C242&lt;&gt;"","Sub","Macro")))</f>
        <v/>
      </c>
      <c r="T242" s="70">
        <f>IF($S242="Macro",COUNTIFS($R$5:$R$1000,ROW(),$S$5:$S$1000,"Sub"),"")</f>
        <v/>
      </c>
      <c r="U242" s="70">
        <f>IF($S242="","",IF(ISNUMBER($H242),$H242,0))</f>
        <v/>
      </c>
      <c r="V242" s="70">
        <f>IF($S242="","",IF(ISNUMBER($I242),$I242,$U242))</f>
        <v/>
      </c>
      <c r="W242" s="70">
        <f>IF($S242="","",IF(ISNUMBER($J242),$J242,$V242))</f>
        <v/>
      </c>
      <c r="X242" s="70">
        <f>IF($S242="","",IF(ISNUMBER($K242),$K242,$W242))</f>
        <v/>
      </c>
      <c r="Y242" s="70">
        <f>IF($S242="","",IF(N($T242)&gt;0,AVERAGEIFS($U$5:$U$1000,$R$5:$R$1000,ROW(),$S$5:$S$1000,"Sub"),$U242))</f>
        <v/>
      </c>
      <c r="Z242" s="70">
        <f>IF($S242="","",IF(N($T242)&gt;0,AVERAGEIFS($V$5:$V$1000,$R$5:$R$1000,ROW(),$S$5:$S$1000,"Sub"),$V242))</f>
        <v/>
      </c>
      <c r="AA242" s="70">
        <f>IF($S242="","",IF(N($T242)&gt;0,AVERAGEIFS($W$5:$W$1000,$R$5:$R$1000,ROW(),$S$5:$S$1000,"Sub"),$W242))</f>
        <v/>
      </c>
      <c r="AB242" s="70">
        <f>IF($S242="","",IF(N($T242)&gt;0,AVERAGEIFS($X$5:$X$1000,$R$5:$R$1000,ROW(),$S$5:$S$1000,"Sub"),$X242))</f>
        <v/>
      </c>
    </row>
    <row r="243">
      <c r="A243" s="61">
        <f>IF(NOT((COUNTA($B243:$K243)+COUNTA($N243))&gt;0),"",IF($S243="Macro",COUNTIFS($S$5:$S243,"Macro",$P$5:$P243,$P243),IF(N($R243)=0,"?",COUNTIFS(INDEX($S$5:$S$1000,1):INDEX($S$5:$S$1000,$R243-4),"Macro",INDEX($P$5:$P$1000,1):INDEX($P$5:$P$1000,$R243-4),INDEX($P$5:$P$1000,$R243-4))&amp;"."&amp;COUNTIFS($R$5:$R243,$R243,$S$5:$S243,"Sub"))))</f>
        <v/>
      </c>
      <c r="B243" s="62" t="n"/>
      <c r="C243" s="63" t="n"/>
      <c r="D243" s="62" t="n"/>
      <c r="E243" s="64" t="n"/>
      <c r="F243" s="64" t="n"/>
      <c r="G243" s="65" t="n"/>
      <c r="H243" s="66" t="n"/>
      <c r="I243" s="66" t="n"/>
      <c r="J243" s="66" t="n"/>
      <c r="K243" s="66" t="n"/>
      <c r="L243" s="67">
        <f>IF(NOT((COUNTA($B243:$K243)+COUNTA($N243))&gt;0),"",IF(N($T243)&gt;0,$AB243,IFERROR(LOOKUP(2,1/(H243:K243&lt;&gt;""),H243:K243),0)))</f>
        <v/>
      </c>
      <c r="M243" s="61">
        <f>IF(L243="","",IF(L243&gt;=1,"Completado",IF(L243&gt;0,"En curso","Pendiente")))</f>
        <v/>
      </c>
      <c r="N243" s="62" t="n"/>
      <c r="O243" s="68">
        <f>IF(NOT((COUNTA($B243:$K243)+COUNTA($N243))&gt;0),"",IF((IF(AND($S243="Macro",$B243=""),"Macroactividad vacía"&amp;" · ","")&amp;IF(AND($B243&lt;&gt;"",$C243&lt;&gt;""),"Escriba la subactividad en otra fila, debajo de su macroactividad"&amp;" · ","")&amp;IF(AND($S243="Sub",N($R243)=0),"Subactividad sin macroactividad arriba"&amp;" · ","")&amp;IF($D243="","Sin responsable"&amp;" · ","")&amp;IF($E243="","Sin fecha de inicio"&amp;" · ","")&amp;IF($F243="","Sin fecha límite"&amp;" · ","")&amp;IF(OR(AND($E243&lt;&gt;"",NOT(ISNUMBER($E243))),AND($F243&lt;&gt;"",NOT(ISNUMBER($F243)))),"Fecha no válida"&amp;" · ","")&amp;IF(AND(ISNUMBER($E243),ISNUMBER($F243),$E243&gt;$F243),"Inicio posterior a fecha límite"&amp;" · ","")&amp;IF(AND($S243="Macro",$G243=""),"Peso vacío"&amp;" · ","")&amp;IF(AND($S243="Macro",$G243&lt;&gt;"",OR(NOT(ISNUMBER($G243)),$G243&lt;=0,$G243&gt;1)),"Peso fuera de rango"&amp;" · ","")&amp;IF(AND($S243="Sub",$G243&lt;&gt;""),"Las subactividades no llevan peso"&amp;" · ","")&amp;IF(AND($S243="Macro",ABS(SUMIFS($G$5:$G$1000,$P$5:$P$1000,$P243,$S$5:$S$1000,"Macro")-1)&gt;0.0001),"Pesos del mes suman "&amp;TEXT(SUMIFS($G$5:$G$1000,$P$5:$P$1000,$P243,$S$5:$S$1000,"Macro"),"0%")&amp;" · ","")&amp;IF(AND(N($T243)&gt;0,COUNT($H243:$K243)&gt;0),"Con subactividades: deje vacías las semanas (se calculan solas)"&amp;" · ","")&amp;IF((COUNTIF($H243:$K243,"&gt;1")+COUNTIF($H243:$K243,"&lt;0")+COUNTA($H243:$K243)-COUNT($H243:$K243))&gt;0,"Avance fuera de rango 0-100%"&amp;" · ","")&amp;IF(OR(AND($I243&lt;&gt;"",$I243&lt;$H243),AND($J243&lt;&gt;"",$J243&lt;MAX($H243:$I243)),AND($K243&lt;&gt;"",$K243&lt;MAX($H243:$J243))),"Avance semanal decreciente"&amp;" · ","")&amp;IF(AND(ISNUMBER($F243),$F243&lt;FechaRef,N($L243)&lt;1),"Vencida"&amp;" · ","")&amp;IF(AND(ObsObligatoria="Sí",ISNUMBER($F243),$F243&lt;FechaRef,N($L243)&lt;1,$N243=""),"Vencida sin observación"&amp;" · ",""))="","✔ OK","⚠ "&amp;LEFT(IF(AND($S243="Macro",$B243=""),"Macroactividad vacía"&amp;" · ","")&amp;IF(AND($B243&lt;&gt;"",$C243&lt;&gt;""),"Escriba la subactividad en otra fila, debajo de su macroactividad"&amp;" · ","")&amp;IF(AND($S243="Sub",N($R243)=0),"Subactividad sin macroactividad arriba"&amp;" · ","")&amp;IF($D243="","Sin responsable"&amp;" · ","")&amp;IF($E243="","Sin fecha de inicio"&amp;" · ","")&amp;IF($F243="","Sin fecha límite"&amp;" · ","")&amp;IF(OR(AND($E243&lt;&gt;"",NOT(ISNUMBER($E243))),AND($F243&lt;&gt;"",NOT(ISNUMBER($F243)))),"Fecha no válida"&amp;" · ","")&amp;IF(AND(ISNUMBER($E243),ISNUMBER($F243),$E243&gt;$F243),"Inicio posterior a fecha límite"&amp;" · ","")&amp;IF(AND($S243="Macro",$G243=""),"Peso vacío"&amp;" · ","")&amp;IF(AND($S243="Macro",$G243&lt;&gt;"",OR(NOT(ISNUMBER($G243)),$G243&lt;=0,$G243&gt;1)),"Peso fuera de rango"&amp;" · ","")&amp;IF(AND($S243="Sub",$G243&lt;&gt;""),"Las subactividades no llevan peso"&amp;" · ","")&amp;IF(AND($S243="Macro",ABS(SUMIFS($G$5:$G$1000,$P$5:$P$1000,$P243,$S$5:$S$1000,"Macro")-1)&gt;0.0001),"Pesos del mes suman "&amp;TEXT(SUMIFS($G$5:$G$1000,$P$5:$P$1000,$P243,$S$5:$S$1000,"Macro"),"0%")&amp;" · ","")&amp;IF(AND(N($T243)&gt;0,COUNT($H243:$K243)&gt;0),"Con subactividades: deje vacías las semanas (se calculan solas)"&amp;" · ","")&amp;IF((COUNTIF($H243:$K243,"&gt;1")+COUNTIF($H243:$K243,"&lt;0")+COUNTA($H243:$K243)-COUNT($H243:$K243))&gt;0,"Avance fuera de rango 0-100%"&amp;" · ","")&amp;IF(OR(AND($I243&lt;&gt;"",$I243&lt;$H243),AND($J243&lt;&gt;"",$J243&lt;MAX($H243:$I243)),AND($K243&lt;&gt;"",$K243&lt;MAX($H243:$J243))),"Avance semanal decreciente"&amp;" · ","")&amp;IF(AND(ISNUMBER($F243),$F243&lt;FechaRef,N($L243)&lt;1),"Vencida"&amp;" · ","")&amp;IF(AND(ObsObligatoria="Sí",ISNUMBER($F243),$F243&lt;FechaRef,N($L243)&lt;1,$N243=""),"Vencida sin observación"&amp;" · ",""),LEN(IF(AND($S243="Macro",$B243=""),"Macroactividad vacía"&amp;" · ","")&amp;IF(AND($B243&lt;&gt;"",$C243&lt;&gt;""),"Escriba la subactividad en otra fila, debajo de su macroactividad"&amp;" · ","")&amp;IF(AND($S243="Sub",N($R243)=0),"Subactividad sin macroactividad arriba"&amp;" · ","")&amp;IF($D243="","Sin responsable"&amp;" · ","")&amp;IF($E243="","Sin fecha de inicio"&amp;" · ","")&amp;IF($F243="","Sin fecha límite"&amp;" · ","")&amp;IF(OR(AND($E243&lt;&gt;"",NOT(ISNUMBER($E243))),AND($F243&lt;&gt;"",NOT(ISNUMBER($F243)))),"Fecha no válida"&amp;" · ","")&amp;IF(AND(ISNUMBER($E243),ISNUMBER($F243),$E243&gt;$F243),"Inicio posterior a fecha límite"&amp;" · ","")&amp;IF(AND($S243="Macro",$G243=""),"Peso vacío"&amp;" · ","")&amp;IF(AND($S243="Macro",$G243&lt;&gt;"",OR(NOT(ISNUMBER($G243)),$G243&lt;=0,$G243&gt;1)),"Peso fuera de rango"&amp;" · ","")&amp;IF(AND($S243="Sub",$G243&lt;&gt;""),"Las subactividades no llevan peso"&amp;" · ","")&amp;IF(AND($S243="Macro",ABS(SUMIFS($G$5:$G$1000,$P$5:$P$1000,$P243,$S$5:$S$1000,"Macro")-1)&gt;0.0001),"Pesos del mes suman "&amp;TEXT(SUMIFS($G$5:$G$1000,$P$5:$P$1000,$P243,$S$5:$S$1000,"Macro"),"0%")&amp;" · ","")&amp;IF(AND(N($T243)&gt;0,COUNT($H243:$K243)&gt;0),"Con subactividades: deje vacías las semanas (se calculan solas)"&amp;" · ","")&amp;IF((COUNTIF($H243:$K243,"&gt;1")+COUNTIF($H243:$K243,"&lt;0")+COUNTA($H243:$K243)-COUNT($H243:$K243))&gt;0,"Avance fuera de rango 0-100%"&amp;" · ","")&amp;IF(OR(AND($I243&lt;&gt;"",$I243&lt;$H243),AND($J243&lt;&gt;"",$J243&lt;MAX($H243:$I243)),AND($K243&lt;&gt;"",$K243&lt;MAX($H243:$J243))),"Avance semanal decreciente"&amp;" · ","")&amp;IF(AND(ISNUMBER($F243),$F243&lt;FechaRef,N($L243)&lt;1),"Vencida"&amp;" · ","")&amp;IF(AND(ObsObligatoria="Sí",ISNUMBER($F243),$F243&lt;FechaRef,N($L243)&lt;1,$N243=""),"Vencida sin observación"&amp;" · ",""))-3)))</f>
        <v/>
      </c>
      <c r="P243" s="69">
        <f>IF(NOT((COUNTA($B243:$K243)+COUNTA($N243))&gt;0),"",IF(AND($S243="Sub",N($R243)&gt;0),IF(ISNUMBER(INDEX($E$5:$E$1000,$R243-4)),DATE(YEAR(INDEX($E$5:$E$1000,$R243-4)),MONTH(INDEX($E$5:$E$1000,$R243-4)),1),IF(ISNUMBER(INDEX($F$5:$F$1000,$R243-4)),DATE(YEAR(INDEX($F$5:$F$1000,$R243-4)),MONTH(INDEX($F$5:$F$1000,$R243-4)),1),MesCiclo)),IF(ISNUMBER($E243),DATE(YEAR($E243),MONTH($E243),1),IF(ISNUMBER($F243),DATE(YEAR($F243),MONTH($F243),1),MesCiclo))))</f>
        <v/>
      </c>
      <c r="Q243" s="70">
        <f>IF(OR($P243="",$P243&lt;&gt;MesCiclo),"",COUNTIF($P$5:$P243,MesCiclo))</f>
        <v/>
      </c>
      <c r="R243" s="70">
        <f>IF($S243="","",IF($S243="Macro",ROW(),IFERROR(LOOKUP(2,1/($S$5:$S243="Macro"),ROW($S$5:$S243)),0)))</f>
        <v/>
      </c>
      <c r="S243" s="70">
        <f>IF(NOT((COUNTA($B243:$K243)+COUNTA($N243))&gt;0),"",IF($B243&lt;&gt;"","Macro",IF($C243&lt;&gt;"","Sub","Macro")))</f>
        <v/>
      </c>
      <c r="T243" s="70">
        <f>IF($S243="Macro",COUNTIFS($R$5:$R$1000,ROW(),$S$5:$S$1000,"Sub"),"")</f>
        <v/>
      </c>
      <c r="U243" s="70">
        <f>IF($S243="","",IF(ISNUMBER($H243),$H243,0))</f>
        <v/>
      </c>
      <c r="V243" s="70">
        <f>IF($S243="","",IF(ISNUMBER($I243),$I243,$U243))</f>
        <v/>
      </c>
      <c r="W243" s="70">
        <f>IF($S243="","",IF(ISNUMBER($J243),$J243,$V243))</f>
        <v/>
      </c>
      <c r="X243" s="70">
        <f>IF($S243="","",IF(ISNUMBER($K243),$K243,$W243))</f>
        <v/>
      </c>
      <c r="Y243" s="70">
        <f>IF($S243="","",IF(N($T243)&gt;0,AVERAGEIFS($U$5:$U$1000,$R$5:$R$1000,ROW(),$S$5:$S$1000,"Sub"),$U243))</f>
        <v/>
      </c>
      <c r="Z243" s="70">
        <f>IF($S243="","",IF(N($T243)&gt;0,AVERAGEIFS($V$5:$V$1000,$R$5:$R$1000,ROW(),$S$5:$S$1000,"Sub"),$V243))</f>
        <v/>
      </c>
      <c r="AA243" s="70">
        <f>IF($S243="","",IF(N($T243)&gt;0,AVERAGEIFS($W$5:$W$1000,$R$5:$R$1000,ROW(),$S$5:$S$1000,"Sub"),$W243))</f>
        <v/>
      </c>
      <c r="AB243" s="70">
        <f>IF($S243="","",IF(N($T243)&gt;0,AVERAGEIFS($X$5:$X$1000,$R$5:$R$1000,ROW(),$S$5:$S$1000,"Sub"),$X243))</f>
        <v/>
      </c>
    </row>
    <row r="244">
      <c r="A244" s="61">
        <f>IF(NOT((COUNTA($B244:$K244)+COUNTA($N244))&gt;0),"",IF($S244="Macro",COUNTIFS($S$5:$S244,"Macro",$P$5:$P244,$P244),IF(N($R244)=0,"?",COUNTIFS(INDEX($S$5:$S$1000,1):INDEX($S$5:$S$1000,$R244-4),"Macro",INDEX($P$5:$P$1000,1):INDEX($P$5:$P$1000,$R244-4),INDEX($P$5:$P$1000,$R244-4))&amp;"."&amp;COUNTIFS($R$5:$R244,$R244,$S$5:$S244,"Sub"))))</f>
        <v/>
      </c>
      <c r="B244" s="62" t="n"/>
      <c r="C244" s="63" t="n"/>
      <c r="D244" s="62" t="n"/>
      <c r="E244" s="64" t="n"/>
      <c r="F244" s="64" t="n"/>
      <c r="G244" s="65" t="n"/>
      <c r="H244" s="66" t="n"/>
      <c r="I244" s="66" t="n"/>
      <c r="J244" s="66" t="n"/>
      <c r="K244" s="66" t="n"/>
      <c r="L244" s="67">
        <f>IF(NOT((COUNTA($B244:$K244)+COUNTA($N244))&gt;0),"",IF(N($T244)&gt;0,$AB244,IFERROR(LOOKUP(2,1/(H244:K244&lt;&gt;""),H244:K244),0)))</f>
        <v/>
      </c>
      <c r="M244" s="61">
        <f>IF(L244="","",IF(L244&gt;=1,"Completado",IF(L244&gt;0,"En curso","Pendiente")))</f>
        <v/>
      </c>
      <c r="N244" s="62" t="n"/>
      <c r="O244" s="68">
        <f>IF(NOT((COUNTA($B244:$K244)+COUNTA($N244))&gt;0),"",IF((IF(AND($S244="Macro",$B244=""),"Macroactividad vacía"&amp;" · ","")&amp;IF(AND($B244&lt;&gt;"",$C244&lt;&gt;""),"Escriba la subactividad en otra fila, debajo de su macroactividad"&amp;" · ","")&amp;IF(AND($S244="Sub",N($R244)=0),"Subactividad sin macroactividad arriba"&amp;" · ","")&amp;IF($D244="","Sin responsable"&amp;" · ","")&amp;IF($E244="","Sin fecha de inicio"&amp;" · ","")&amp;IF($F244="","Sin fecha límite"&amp;" · ","")&amp;IF(OR(AND($E244&lt;&gt;"",NOT(ISNUMBER($E244))),AND($F244&lt;&gt;"",NOT(ISNUMBER($F244)))),"Fecha no válida"&amp;" · ","")&amp;IF(AND(ISNUMBER($E244),ISNUMBER($F244),$E244&gt;$F244),"Inicio posterior a fecha límite"&amp;" · ","")&amp;IF(AND($S244="Macro",$G244=""),"Peso vacío"&amp;" · ","")&amp;IF(AND($S244="Macro",$G244&lt;&gt;"",OR(NOT(ISNUMBER($G244)),$G244&lt;=0,$G244&gt;1)),"Peso fuera de rango"&amp;" · ","")&amp;IF(AND($S244="Sub",$G244&lt;&gt;""),"Las subactividades no llevan peso"&amp;" · ","")&amp;IF(AND($S244="Macro",ABS(SUMIFS($G$5:$G$1000,$P$5:$P$1000,$P244,$S$5:$S$1000,"Macro")-1)&gt;0.0001),"Pesos del mes suman "&amp;TEXT(SUMIFS($G$5:$G$1000,$P$5:$P$1000,$P244,$S$5:$S$1000,"Macro"),"0%")&amp;" · ","")&amp;IF(AND(N($T244)&gt;0,COUNT($H244:$K244)&gt;0),"Con subactividades: deje vacías las semanas (se calculan solas)"&amp;" · ","")&amp;IF((COUNTIF($H244:$K244,"&gt;1")+COUNTIF($H244:$K244,"&lt;0")+COUNTA($H244:$K244)-COUNT($H244:$K244))&gt;0,"Avance fuera de rango 0-100%"&amp;" · ","")&amp;IF(OR(AND($I244&lt;&gt;"",$I244&lt;$H244),AND($J244&lt;&gt;"",$J244&lt;MAX($H244:$I244)),AND($K244&lt;&gt;"",$K244&lt;MAX($H244:$J244))),"Avance semanal decreciente"&amp;" · ","")&amp;IF(AND(ISNUMBER($F244),$F244&lt;FechaRef,N($L244)&lt;1),"Vencida"&amp;" · ","")&amp;IF(AND(ObsObligatoria="Sí",ISNUMBER($F244),$F244&lt;FechaRef,N($L244)&lt;1,$N244=""),"Vencida sin observación"&amp;" · ",""))="","✔ OK","⚠ "&amp;LEFT(IF(AND($S244="Macro",$B244=""),"Macroactividad vacía"&amp;" · ","")&amp;IF(AND($B244&lt;&gt;"",$C244&lt;&gt;""),"Escriba la subactividad en otra fila, debajo de su macroactividad"&amp;" · ","")&amp;IF(AND($S244="Sub",N($R244)=0),"Subactividad sin macroactividad arriba"&amp;" · ","")&amp;IF($D244="","Sin responsable"&amp;" · ","")&amp;IF($E244="","Sin fecha de inicio"&amp;" · ","")&amp;IF($F244="","Sin fecha límite"&amp;" · ","")&amp;IF(OR(AND($E244&lt;&gt;"",NOT(ISNUMBER($E244))),AND($F244&lt;&gt;"",NOT(ISNUMBER($F244)))),"Fecha no válida"&amp;" · ","")&amp;IF(AND(ISNUMBER($E244),ISNUMBER($F244),$E244&gt;$F244),"Inicio posterior a fecha límite"&amp;" · ","")&amp;IF(AND($S244="Macro",$G244=""),"Peso vacío"&amp;" · ","")&amp;IF(AND($S244="Macro",$G244&lt;&gt;"",OR(NOT(ISNUMBER($G244)),$G244&lt;=0,$G244&gt;1)),"Peso fuera de rango"&amp;" · ","")&amp;IF(AND($S244="Sub",$G244&lt;&gt;""),"Las subactividades no llevan peso"&amp;" · ","")&amp;IF(AND($S244="Macro",ABS(SUMIFS($G$5:$G$1000,$P$5:$P$1000,$P244,$S$5:$S$1000,"Macro")-1)&gt;0.0001),"Pesos del mes suman "&amp;TEXT(SUMIFS($G$5:$G$1000,$P$5:$P$1000,$P244,$S$5:$S$1000,"Macro"),"0%")&amp;" · ","")&amp;IF(AND(N($T244)&gt;0,COUNT($H244:$K244)&gt;0),"Con subactividades: deje vacías las semanas (se calculan solas)"&amp;" · ","")&amp;IF((COUNTIF($H244:$K244,"&gt;1")+COUNTIF($H244:$K244,"&lt;0")+COUNTA($H244:$K244)-COUNT($H244:$K244))&gt;0,"Avance fuera de rango 0-100%"&amp;" · ","")&amp;IF(OR(AND($I244&lt;&gt;"",$I244&lt;$H244),AND($J244&lt;&gt;"",$J244&lt;MAX($H244:$I244)),AND($K244&lt;&gt;"",$K244&lt;MAX($H244:$J244))),"Avance semanal decreciente"&amp;" · ","")&amp;IF(AND(ISNUMBER($F244),$F244&lt;FechaRef,N($L244)&lt;1),"Vencida"&amp;" · ","")&amp;IF(AND(ObsObligatoria="Sí",ISNUMBER($F244),$F244&lt;FechaRef,N($L244)&lt;1,$N244=""),"Vencida sin observación"&amp;" · ",""),LEN(IF(AND($S244="Macro",$B244=""),"Macroactividad vacía"&amp;" · ","")&amp;IF(AND($B244&lt;&gt;"",$C244&lt;&gt;""),"Escriba la subactividad en otra fila, debajo de su macroactividad"&amp;" · ","")&amp;IF(AND($S244="Sub",N($R244)=0),"Subactividad sin macroactividad arriba"&amp;" · ","")&amp;IF($D244="","Sin responsable"&amp;" · ","")&amp;IF($E244="","Sin fecha de inicio"&amp;" · ","")&amp;IF($F244="","Sin fecha límite"&amp;" · ","")&amp;IF(OR(AND($E244&lt;&gt;"",NOT(ISNUMBER($E244))),AND($F244&lt;&gt;"",NOT(ISNUMBER($F244)))),"Fecha no válida"&amp;" · ","")&amp;IF(AND(ISNUMBER($E244),ISNUMBER($F244),$E244&gt;$F244),"Inicio posterior a fecha límite"&amp;" · ","")&amp;IF(AND($S244="Macro",$G244=""),"Peso vacío"&amp;" · ","")&amp;IF(AND($S244="Macro",$G244&lt;&gt;"",OR(NOT(ISNUMBER($G244)),$G244&lt;=0,$G244&gt;1)),"Peso fuera de rango"&amp;" · ","")&amp;IF(AND($S244="Sub",$G244&lt;&gt;""),"Las subactividades no llevan peso"&amp;" · ","")&amp;IF(AND($S244="Macro",ABS(SUMIFS($G$5:$G$1000,$P$5:$P$1000,$P244,$S$5:$S$1000,"Macro")-1)&gt;0.0001),"Pesos del mes suman "&amp;TEXT(SUMIFS($G$5:$G$1000,$P$5:$P$1000,$P244,$S$5:$S$1000,"Macro"),"0%")&amp;" · ","")&amp;IF(AND(N($T244)&gt;0,COUNT($H244:$K244)&gt;0),"Con subactividades: deje vacías las semanas (se calculan solas)"&amp;" · ","")&amp;IF((COUNTIF($H244:$K244,"&gt;1")+COUNTIF($H244:$K244,"&lt;0")+COUNTA($H244:$K244)-COUNT($H244:$K244))&gt;0,"Avance fuera de rango 0-100%"&amp;" · ","")&amp;IF(OR(AND($I244&lt;&gt;"",$I244&lt;$H244),AND($J244&lt;&gt;"",$J244&lt;MAX($H244:$I244)),AND($K244&lt;&gt;"",$K244&lt;MAX($H244:$J244))),"Avance semanal decreciente"&amp;" · ","")&amp;IF(AND(ISNUMBER($F244),$F244&lt;FechaRef,N($L244)&lt;1),"Vencida"&amp;" · ","")&amp;IF(AND(ObsObligatoria="Sí",ISNUMBER($F244),$F244&lt;FechaRef,N($L244)&lt;1,$N244=""),"Vencida sin observación"&amp;" · ",""))-3)))</f>
        <v/>
      </c>
      <c r="P244" s="69">
        <f>IF(NOT((COUNTA($B244:$K244)+COUNTA($N244))&gt;0),"",IF(AND($S244="Sub",N($R244)&gt;0),IF(ISNUMBER(INDEX($E$5:$E$1000,$R244-4)),DATE(YEAR(INDEX($E$5:$E$1000,$R244-4)),MONTH(INDEX($E$5:$E$1000,$R244-4)),1),IF(ISNUMBER(INDEX($F$5:$F$1000,$R244-4)),DATE(YEAR(INDEX($F$5:$F$1000,$R244-4)),MONTH(INDEX($F$5:$F$1000,$R244-4)),1),MesCiclo)),IF(ISNUMBER($E244),DATE(YEAR($E244),MONTH($E244),1),IF(ISNUMBER($F244),DATE(YEAR($F244),MONTH($F244),1),MesCiclo))))</f>
        <v/>
      </c>
      <c r="Q244" s="70">
        <f>IF(OR($P244="",$P244&lt;&gt;MesCiclo),"",COUNTIF($P$5:$P244,MesCiclo))</f>
        <v/>
      </c>
      <c r="R244" s="70">
        <f>IF($S244="","",IF($S244="Macro",ROW(),IFERROR(LOOKUP(2,1/($S$5:$S244="Macro"),ROW($S$5:$S244)),0)))</f>
        <v/>
      </c>
      <c r="S244" s="70">
        <f>IF(NOT((COUNTA($B244:$K244)+COUNTA($N244))&gt;0),"",IF($B244&lt;&gt;"","Macro",IF($C244&lt;&gt;"","Sub","Macro")))</f>
        <v/>
      </c>
      <c r="T244" s="70">
        <f>IF($S244="Macro",COUNTIFS($R$5:$R$1000,ROW(),$S$5:$S$1000,"Sub"),"")</f>
        <v/>
      </c>
      <c r="U244" s="70">
        <f>IF($S244="","",IF(ISNUMBER($H244),$H244,0))</f>
        <v/>
      </c>
      <c r="V244" s="70">
        <f>IF($S244="","",IF(ISNUMBER($I244),$I244,$U244))</f>
        <v/>
      </c>
      <c r="W244" s="70">
        <f>IF($S244="","",IF(ISNUMBER($J244),$J244,$V244))</f>
        <v/>
      </c>
      <c r="X244" s="70">
        <f>IF($S244="","",IF(ISNUMBER($K244),$K244,$W244))</f>
        <v/>
      </c>
      <c r="Y244" s="70">
        <f>IF($S244="","",IF(N($T244)&gt;0,AVERAGEIFS($U$5:$U$1000,$R$5:$R$1000,ROW(),$S$5:$S$1000,"Sub"),$U244))</f>
        <v/>
      </c>
      <c r="Z244" s="70">
        <f>IF($S244="","",IF(N($T244)&gt;0,AVERAGEIFS($V$5:$V$1000,$R$5:$R$1000,ROW(),$S$5:$S$1000,"Sub"),$V244))</f>
        <v/>
      </c>
      <c r="AA244" s="70">
        <f>IF($S244="","",IF(N($T244)&gt;0,AVERAGEIFS($W$5:$W$1000,$R$5:$R$1000,ROW(),$S$5:$S$1000,"Sub"),$W244))</f>
        <v/>
      </c>
      <c r="AB244" s="70">
        <f>IF($S244="","",IF(N($T244)&gt;0,AVERAGEIFS($X$5:$X$1000,$R$5:$R$1000,ROW(),$S$5:$S$1000,"Sub"),$X244))</f>
        <v/>
      </c>
    </row>
    <row r="245">
      <c r="A245" s="61">
        <f>IF(NOT((COUNTA($B245:$K245)+COUNTA($N245))&gt;0),"",IF($S245="Macro",COUNTIFS($S$5:$S245,"Macro",$P$5:$P245,$P245),IF(N($R245)=0,"?",COUNTIFS(INDEX($S$5:$S$1000,1):INDEX($S$5:$S$1000,$R245-4),"Macro",INDEX($P$5:$P$1000,1):INDEX($P$5:$P$1000,$R245-4),INDEX($P$5:$P$1000,$R245-4))&amp;"."&amp;COUNTIFS($R$5:$R245,$R245,$S$5:$S245,"Sub"))))</f>
        <v/>
      </c>
      <c r="B245" s="62" t="n"/>
      <c r="C245" s="63" t="n"/>
      <c r="D245" s="62" t="n"/>
      <c r="E245" s="64" t="n"/>
      <c r="F245" s="64" t="n"/>
      <c r="G245" s="65" t="n"/>
      <c r="H245" s="66" t="n"/>
      <c r="I245" s="66" t="n"/>
      <c r="J245" s="66" t="n"/>
      <c r="K245" s="66" t="n"/>
      <c r="L245" s="67">
        <f>IF(NOT((COUNTA($B245:$K245)+COUNTA($N245))&gt;0),"",IF(N($T245)&gt;0,$AB245,IFERROR(LOOKUP(2,1/(H245:K245&lt;&gt;""),H245:K245),0)))</f>
        <v/>
      </c>
      <c r="M245" s="61">
        <f>IF(L245="","",IF(L245&gt;=1,"Completado",IF(L245&gt;0,"En curso","Pendiente")))</f>
        <v/>
      </c>
      <c r="N245" s="62" t="n"/>
      <c r="O245" s="68">
        <f>IF(NOT((COUNTA($B245:$K245)+COUNTA($N245))&gt;0),"",IF((IF(AND($S245="Macro",$B245=""),"Macroactividad vacía"&amp;" · ","")&amp;IF(AND($B245&lt;&gt;"",$C245&lt;&gt;""),"Escriba la subactividad en otra fila, debajo de su macroactividad"&amp;" · ","")&amp;IF(AND($S245="Sub",N($R245)=0),"Subactividad sin macroactividad arriba"&amp;" · ","")&amp;IF($D245="","Sin responsable"&amp;" · ","")&amp;IF($E245="","Sin fecha de inicio"&amp;" · ","")&amp;IF($F245="","Sin fecha límite"&amp;" · ","")&amp;IF(OR(AND($E245&lt;&gt;"",NOT(ISNUMBER($E245))),AND($F245&lt;&gt;"",NOT(ISNUMBER($F245)))),"Fecha no válida"&amp;" · ","")&amp;IF(AND(ISNUMBER($E245),ISNUMBER($F245),$E245&gt;$F245),"Inicio posterior a fecha límite"&amp;" · ","")&amp;IF(AND($S245="Macro",$G245=""),"Peso vacío"&amp;" · ","")&amp;IF(AND($S245="Macro",$G245&lt;&gt;"",OR(NOT(ISNUMBER($G245)),$G245&lt;=0,$G245&gt;1)),"Peso fuera de rango"&amp;" · ","")&amp;IF(AND($S245="Sub",$G245&lt;&gt;""),"Las subactividades no llevan peso"&amp;" · ","")&amp;IF(AND($S245="Macro",ABS(SUMIFS($G$5:$G$1000,$P$5:$P$1000,$P245,$S$5:$S$1000,"Macro")-1)&gt;0.0001),"Pesos del mes suman "&amp;TEXT(SUMIFS($G$5:$G$1000,$P$5:$P$1000,$P245,$S$5:$S$1000,"Macro"),"0%")&amp;" · ","")&amp;IF(AND(N($T245)&gt;0,COUNT($H245:$K245)&gt;0),"Con subactividades: deje vacías las semanas (se calculan solas)"&amp;" · ","")&amp;IF((COUNTIF($H245:$K245,"&gt;1")+COUNTIF($H245:$K245,"&lt;0")+COUNTA($H245:$K245)-COUNT($H245:$K245))&gt;0,"Avance fuera de rango 0-100%"&amp;" · ","")&amp;IF(OR(AND($I245&lt;&gt;"",$I245&lt;$H245),AND($J245&lt;&gt;"",$J245&lt;MAX($H245:$I245)),AND($K245&lt;&gt;"",$K245&lt;MAX($H245:$J245))),"Avance semanal decreciente"&amp;" · ","")&amp;IF(AND(ISNUMBER($F245),$F245&lt;FechaRef,N($L245)&lt;1),"Vencida"&amp;" · ","")&amp;IF(AND(ObsObligatoria="Sí",ISNUMBER($F245),$F245&lt;FechaRef,N($L245)&lt;1,$N245=""),"Vencida sin observación"&amp;" · ",""))="","✔ OK","⚠ "&amp;LEFT(IF(AND($S245="Macro",$B245=""),"Macroactividad vacía"&amp;" · ","")&amp;IF(AND($B245&lt;&gt;"",$C245&lt;&gt;""),"Escriba la subactividad en otra fila, debajo de su macroactividad"&amp;" · ","")&amp;IF(AND($S245="Sub",N($R245)=0),"Subactividad sin macroactividad arriba"&amp;" · ","")&amp;IF($D245="","Sin responsable"&amp;" · ","")&amp;IF($E245="","Sin fecha de inicio"&amp;" · ","")&amp;IF($F245="","Sin fecha límite"&amp;" · ","")&amp;IF(OR(AND($E245&lt;&gt;"",NOT(ISNUMBER($E245))),AND($F245&lt;&gt;"",NOT(ISNUMBER($F245)))),"Fecha no válida"&amp;" · ","")&amp;IF(AND(ISNUMBER($E245),ISNUMBER($F245),$E245&gt;$F245),"Inicio posterior a fecha límite"&amp;" · ","")&amp;IF(AND($S245="Macro",$G245=""),"Peso vacío"&amp;" · ","")&amp;IF(AND($S245="Macro",$G245&lt;&gt;"",OR(NOT(ISNUMBER($G245)),$G245&lt;=0,$G245&gt;1)),"Peso fuera de rango"&amp;" · ","")&amp;IF(AND($S245="Sub",$G245&lt;&gt;""),"Las subactividades no llevan peso"&amp;" · ","")&amp;IF(AND($S245="Macro",ABS(SUMIFS($G$5:$G$1000,$P$5:$P$1000,$P245,$S$5:$S$1000,"Macro")-1)&gt;0.0001),"Pesos del mes suman "&amp;TEXT(SUMIFS($G$5:$G$1000,$P$5:$P$1000,$P245,$S$5:$S$1000,"Macro"),"0%")&amp;" · ","")&amp;IF(AND(N($T245)&gt;0,COUNT($H245:$K245)&gt;0),"Con subactividades: deje vacías las semanas (se calculan solas)"&amp;" · ","")&amp;IF((COUNTIF($H245:$K245,"&gt;1")+COUNTIF($H245:$K245,"&lt;0")+COUNTA($H245:$K245)-COUNT($H245:$K245))&gt;0,"Avance fuera de rango 0-100%"&amp;" · ","")&amp;IF(OR(AND($I245&lt;&gt;"",$I245&lt;$H245),AND($J245&lt;&gt;"",$J245&lt;MAX($H245:$I245)),AND($K245&lt;&gt;"",$K245&lt;MAX($H245:$J245))),"Avance semanal decreciente"&amp;" · ","")&amp;IF(AND(ISNUMBER($F245),$F245&lt;FechaRef,N($L245)&lt;1),"Vencida"&amp;" · ","")&amp;IF(AND(ObsObligatoria="Sí",ISNUMBER($F245),$F245&lt;FechaRef,N($L245)&lt;1,$N245=""),"Vencida sin observación"&amp;" · ",""),LEN(IF(AND($S245="Macro",$B245=""),"Macroactividad vacía"&amp;" · ","")&amp;IF(AND($B245&lt;&gt;"",$C245&lt;&gt;""),"Escriba la subactividad en otra fila, debajo de su macroactividad"&amp;" · ","")&amp;IF(AND($S245="Sub",N($R245)=0),"Subactividad sin macroactividad arriba"&amp;" · ","")&amp;IF($D245="","Sin responsable"&amp;" · ","")&amp;IF($E245="","Sin fecha de inicio"&amp;" · ","")&amp;IF($F245="","Sin fecha límite"&amp;" · ","")&amp;IF(OR(AND($E245&lt;&gt;"",NOT(ISNUMBER($E245))),AND($F245&lt;&gt;"",NOT(ISNUMBER($F245)))),"Fecha no válida"&amp;" · ","")&amp;IF(AND(ISNUMBER($E245),ISNUMBER($F245),$E245&gt;$F245),"Inicio posterior a fecha límite"&amp;" · ","")&amp;IF(AND($S245="Macro",$G245=""),"Peso vacío"&amp;" · ","")&amp;IF(AND($S245="Macro",$G245&lt;&gt;"",OR(NOT(ISNUMBER($G245)),$G245&lt;=0,$G245&gt;1)),"Peso fuera de rango"&amp;" · ","")&amp;IF(AND($S245="Sub",$G245&lt;&gt;""),"Las subactividades no llevan peso"&amp;" · ","")&amp;IF(AND($S245="Macro",ABS(SUMIFS($G$5:$G$1000,$P$5:$P$1000,$P245,$S$5:$S$1000,"Macro")-1)&gt;0.0001),"Pesos del mes suman "&amp;TEXT(SUMIFS($G$5:$G$1000,$P$5:$P$1000,$P245,$S$5:$S$1000,"Macro"),"0%")&amp;" · ","")&amp;IF(AND(N($T245)&gt;0,COUNT($H245:$K245)&gt;0),"Con subactividades: deje vacías las semanas (se calculan solas)"&amp;" · ","")&amp;IF((COUNTIF($H245:$K245,"&gt;1")+COUNTIF($H245:$K245,"&lt;0")+COUNTA($H245:$K245)-COUNT($H245:$K245))&gt;0,"Avance fuera de rango 0-100%"&amp;" · ","")&amp;IF(OR(AND($I245&lt;&gt;"",$I245&lt;$H245),AND($J245&lt;&gt;"",$J245&lt;MAX($H245:$I245)),AND($K245&lt;&gt;"",$K245&lt;MAX($H245:$J245))),"Avance semanal decreciente"&amp;" · ","")&amp;IF(AND(ISNUMBER($F245),$F245&lt;FechaRef,N($L245)&lt;1),"Vencida"&amp;" · ","")&amp;IF(AND(ObsObligatoria="Sí",ISNUMBER($F245),$F245&lt;FechaRef,N($L245)&lt;1,$N245=""),"Vencida sin observación"&amp;" · ",""))-3)))</f>
        <v/>
      </c>
      <c r="P245" s="69">
        <f>IF(NOT((COUNTA($B245:$K245)+COUNTA($N245))&gt;0),"",IF(AND($S245="Sub",N($R245)&gt;0),IF(ISNUMBER(INDEX($E$5:$E$1000,$R245-4)),DATE(YEAR(INDEX($E$5:$E$1000,$R245-4)),MONTH(INDEX($E$5:$E$1000,$R245-4)),1),IF(ISNUMBER(INDEX($F$5:$F$1000,$R245-4)),DATE(YEAR(INDEX($F$5:$F$1000,$R245-4)),MONTH(INDEX($F$5:$F$1000,$R245-4)),1),MesCiclo)),IF(ISNUMBER($E245),DATE(YEAR($E245),MONTH($E245),1),IF(ISNUMBER($F245),DATE(YEAR($F245),MONTH($F245),1),MesCiclo))))</f>
        <v/>
      </c>
      <c r="Q245" s="70">
        <f>IF(OR($P245="",$P245&lt;&gt;MesCiclo),"",COUNTIF($P$5:$P245,MesCiclo))</f>
        <v/>
      </c>
      <c r="R245" s="70">
        <f>IF($S245="","",IF($S245="Macro",ROW(),IFERROR(LOOKUP(2,1/($S$5:$S245="Macro"),ROW($S$5:$S245)),0)))</f>
        <v/>
      </c>
      <c r="S245" s="70">
        <f>IF(NOT((COUNTA($B245:$K245)+COUNTA($N245))&gt;0),"",IF($B245&lt;&gt;"","Macro",IF($C245&lt;&gt;"","Sub","Macro")))</f>
        <v/>
      </c>
      <c r="T245" s="70">
        <f>IF($S245="Macro",COUNTIFS($R$5:$R$1000,ROW(),$S$5:$S$1000,"Sub"),"")</f>
        <v/>
      </c>
      <c r="U245" s="70">
        <f>IF($S245="","",IF(ISNUMBER($H245),$H245,0))</f>
        <v/>
      </c>
      <c r="V245" s="70">
        <f>IF($S245="","",IF(ISNUMBER($I245),$I245,$U245))</f>
        <v/>
      </c>
      <c r="W245" s="70">
        <f>IF($S245="","",IF(ISNUMBER($J245),$J245,$V245))</f>
        <v/>
      </c>
      <c r="X245" s="70">
        <f>IF($S245="","",IF(ISNUMBER($K245),$K245,$W245))</f>
        <v/>
      </c>
      <c r="Y245" s="70">
        <f>IF($S245="","",IF(N($T245)&gt;0,AVERAGEIFS($U$5:$U$1000,$R$5:$R$1000,ROW(),$S$5:$S$1000,"Sub"),$U245))</f>
        <v/>
      </c>
      <c r="Z245" s="70">
        <f>IF($S245="","",IF(N($T245)&gt;0,AVERAGEIFS($V$5:$V$1000,$R$5:$R$1000,ROW(),$S$5:$S$1000,"Sub"),$V245))</f>
        <v/>
      </c>
      <c r="AA245" s="70">
        <f>IF($S245="","",IF(N($T245)&gt;0,AVERAGEIFS($W$5:$W$1000,$R$5:$R$1000,ROW(),$S$5:$S$1000,"Sub"),$W245))</f>
        <v/>
      </c>
      <c r="AB245" s="70">
        <f>IF($S245="","",IF(N($T245)&gt;0,AVERAGEIFS($X$5:$X$1000,$R$5:$R$1000,ROW(),$S$5:$S$1000,"Sub"),$X245))</f>
        <v/>
      </c>
    </row>
    <row r="246">
      <c r="A246" s="61">
        <f>IF(NOT((COUNTA($B246:$K246)+COUNTA($N246))&gt;0),"",IF($S246="Macro",COUNTIFS($S$5:$S246,"Macro",$P$5:$P246,$P246),IF(N($R246)=0,"?",COUNTIFS(INDEX($S$5:$S$1000,1):INDEX($S$5:$S$1000,$R246-4),"Macro",INDEX($P$5:$P$1000,1):INDEX($P$5:$P$1000,$R246-4),INDEX($P$5:$P$1000,$R246-4))&amp;"."&amp;COUNTIFS($R$5:$R246,$R246,$S$5:$S246,"Sub"))))</f>
        <v/>
      </c>
      <c r="B246" s="62" t="n"/>
      <c r="C246" s="63" t="n"/>
      <c r="D246" s="62" t="n"/>
      <c r="E246" s="64" t="n"/>
      <c r="F246" s="64" t="n"/>
      <c r="G246" s="65" t="n"/>
      <c r="H246" s="66" t="n"/>
      <c r="I246" s="66" t="n"/>
      <c r="J246" s="66" t="n"/>
      <c r="K246" s="66" t="n"/>
      <c r="L246" s="67">
        <f>IF(NOT((COUNTA($B246:$K246)+COUNTA($N246))&gt;0),"",IF(N($T246)&gt;0,$AB246,IFERROR(LOOKUP(2,1/(H246:K246&lt;&gt;""),H246:K246),0)))</f>
        <v/>
      </c>
      <c r="M246" s="61">
        <f>IF(L246="","",IF(L246&gt;=1,"Completado",IF(L246&gt;0,"En curso","Pendiente")))</f>
        <v/>
      </c>
      <c r="N246" s="62" t="n"/>
      <c r="O246" s="68">
        <f>IF(NOT((COUNTA($B246:$K246)+COUNTA($N246))&gt;0),"",IF((IF(AND($S246="Macro",$B246=""),"Macroactividad vacía"&amp;" · ","")&amp;IF(AND($B246&lt;&gt;"",$C246&lt;&gt;""),"Escriba la subactividad en otra fila, debajo de su macroactividad"&amp;" · ","")&amp;IF(AND($S246="Sub",N($R246)=0),"Subactividad sin macroactividad arriba"&amp;" · ","")&amp;IF($D246="","Sin responsable"&amp;" · ","")&amp;IF($E246="","Sin fecha de inicio"&amp;" · ","")&amp;IF($F246="","Sin fecha límite"&amp;" · ","")&amp;IF(OR(AND($E246&lt;&gt;"",NOT(ISNUMBER($E246))),AND($F246&lt;&gt;"",NOT(ISNUMBER($F246)))),"Fecha no válida"&amp;" · ","")&amp;IF(AND(ISNUMBER($E246),ISNUMBER($F246),$E246&gt;$F246),"Inicio posterior a fecha límite"&amp;" · ","")&amp;IF(AND($S246="Macro",$G246=""),"Peso vacío"&amp;" · ","")&amp;IF(AND($S246="Macro",$G246&lt;&gt;"",OR(NOT(ISNUMBER($G246)),$G246&lt;=0,$G246&gt;1)),"Peso fuera de rango"&amp;" · ","")&amp;IF(AND($S246="Sub",$G246&lt;&gt;""),"Las subactividades no llevan peso"&amp;" · ","")&amp;IF(AND($S246="Macro",ABS(SUMIFS($G$5:$G$1000,$P$5:$P$1000,$P246,$S$5:$S$1000,"Macro")-1)&gt;0.0001),"Pesos del mes suman "&amp;TEXT(SUMIFS($G$5:$G$1000,$P$5:$P$1000,$P246,$S$5:$S$1000,"Macro"),"0%")&amp;" · ","")&amp;IF(AND(N($T246)&gt;0,COUNT($H246:$K246)&gt;0),"Con subactividades: deje vacías las semanas (se calculan solas)"&amp;" · ","")&amp;IF((COUNTIF($H246:$K246,"&gt;1")+COUNTIF($H246:$K246,"&lt;0")+COUNTA($H246:$K246)-COUNT($H246:$K246))&gt;0,"Avance fuera de rango 0-100%"&amp;" · ","")&amp;IF(OR(AND($I246&lt;&gt;"",$I246&lt;$H246),AND($J246&lt;&gt;"",$J246&lt;MAX($H246:$I246)),AND($K246&lt;&gt;"",$K246&lt;MAX($H246:$J246))),"Avance semanal decreciente"&amp;" · ","")&amp;IF(AND(ISNUMBER($F246),$F246&lt;FechaRef,N($L246)&lt;1),"Vencida"&amp;" · ","")&amp;IF(AND(ObsObligatoria="Sí",ISNUMBER($F246),$F246&lt;FechaRef,N($L246)&lt;1,$N246=""),"Vencida sin observación"&amp;" · ",""))="","✔ OK","⚠ "&amp;LEFT(IF(AND($S246="Macro",$B246=""),"Macroactividad vacía"&amp;" · ","")&amp;IF(AND($B246&lt;&gt;"",$C246&lt;&gt;""),"Escriba la subactividad en otra fila, debajo de su macroactividad"&amp;" · ","")&amp;IF(AND($S246="Sub",N($R246)=0),"Subactividad sin macroactividad arriba"&amp;" · ","")&amp;IF($D246="","Sin responsable"&amp;" · ","")&amp;IF($E246="","Sin fecha de inicio"&amp;" · ","")&amp;IF($F246="","Sin fecha límite"&amp;" · ","")&amp;IF(OR(AND($E246&lt;&gt;"",NOT(ISNUMBER($E246))),AND($F246&lt;&gt;"",NOT(ISNUMBER($F246)))),"Fecha no válida"&amp;" · ","")&amp;IF(AND(ISNUMBER($E246),ISNUMBER($F246),$E246&gt;$F246),"Inicio posterior a fecha límite"&amp;" · ","")&amp;IF(AND($S246="Macro",$G246=""),"Peso vacío"&amp;" · ","")&amp;IF(AND($S246="Macro",$G246&lt;&gt;"",OR(NOT(ISNUMBER($G246)),$G246&lt;=0,$G246&gt;1)),"Peso fuera de rango"&amp;" · ","")&amp;IF(AND($S246="Sub",$G246&lt;&gt;""),"Las subactividades no llevan peso"&amp;" · ","")&amp;IF(AND($S246="Macro",ABS(SUMIFS($G$5:$G$1000,$P$5:$P$1000,$P246,$S$5:$S$1000,"Macro")-1)&gt;0.0001),"Pesos del mes suman "&amp;TEXT(SUMIFS($G$5:$G$1000,$P$5:$P$1000,$P246,$S$5:$S$1000,"Macro"),"0%")&amp;" · ","")&amp;IF(AND(N($T246)&gt;0,COUNT($H246:$K246)&gt;0),"Con subactividades: deje vacías las semanas (se calculan solas)"&amp;" · ","")&amp;IF((COUNTIF($H246:$K246,"&gt;1")+COUNTIF($H246:$K246,"&lt;0")+COUNTA($H246:$K246)-COUNT($H246:$K246))&gt;0,"Avance fuera de rango 0-100%"&amp;" · ","")&amp;IF(OR(AND($I246&lt;&gt;"",$I246&lt;$H246),AND($J246&lt;&gt;"",$J246&lt;MAX($H246:$I246)),AND($K246&lt;&gt;"",$K246&lt;MAX($H246:$J246))),"Avance semanal decreciente"&amp;" · ","")&amp;IF(AND(ISNUMBER($F246),$F246&lt;FechaRef,N($L246)&lt;1),"Vencida"&amp;" · ","")&amp;IF(AND(ObsObligatoria="Sí",ISNUMBER($F246),$F246&lt;FechaRef,N($L246)&lt;1,$N246=""),"Vencida sin observación"&amp;" · ",""),LEN(IF(AND($S246="Macro",$B246=""),"Macroactividad vacía"&amp;" · ","")&amp;IF(AND($B246&lt;&gt;"",$C246&lt;&gt;""),"Escriba la subactividad en otra fila, debajo de su macroactividad"&amp;" · ","")&amp;IF(AND($S246="Sub",N($R246)=0),"Subactividad sin macroactividad arriba"&amp;" · ","")&amp;IF($D246="","Sin responsable"&amp;" · ","")&amp;IF($E246="","Sin fecha de inicio"&amp;" · ","")&amp;IF($F246="","Sin fecha límite"&amp;" · ","")&amp;IF(OR(AND($E246&lt;&gt;"",NOT(ISNUMBER($E246))),AND($F246&lt;&gt;"",NOT(ISNUMBER($F246)))),"Fecha no válida"&amp;" · ","")&amp;IF(AND(ISNUMBER($E246),ISNUMBER($F246),$E246&gt;$F246),"Inicio posterior a fecha límite"&amp;" · ","")&amp;IF(AND($S246="Macro",$G246=""),"Peso vacío"&amp;" · ","")&amp;IF(AND($S246="Macro",$G246&lt;&gt;"",OR(NOT(ISNUMBER($G246)),$G246&lt;=0,$G246&gt;1)),"Peso fuera de rango"&amp;" · ","")&amp;IF(AND($S246="Sub",$G246&lt;&gt;""),"Las subactividades no llevan peso"&amp;" · ","")&amp;IF(AND($S246="Macro",ABS(SUMIFS($G$5:$G$1000,$P$5:$P$1000,$P246,$S$5:$S$1000,"Macro")-1)&gt;0.0001),"Pesos del mes suman "&amp;TEXT(SUMIFS($G$5:$G$1000,$P$5:$P$1000,$P246,$S$5:$S$1000,"Macro"),"0%")&amp;" · ","")&amp;IF(AND(N($T246)&gt;0,COUNT($H246:$K246)&gt;0),"Con subactividades: deje vacías las semanas (se calculan solas)"&amp;" · ","")&amp;IF((COUNTIF($H246:$K246,"&gt;1")+COUNTIF($H246:$K246,"&lt;0")+COUNTA($H246:$K246)-COUNT($H246:$K246))&gt;0,"Avance fuera de rango 0-100%"&amp;" · ","")&amp;IF(OR(AND($I246&lt;&gt;"",$I246&lt;$H246),AND($J246&lt;&gt;"",$J246&lt;MAX($H246:$I246)),AND($K246&lt;&gt;"",$K246&lt;MAX($H246:$J246))),"Avance semanal decreciente"&amp;" · ","")&amp;IF(AND(ISNUMBER($F246),$F246&lt;FechaRef,N($L246)&lt;1),"Vencida"&amp;" · ","")&amp;IF(AND(ObsObligatoria="Sí",ISNUMBER($F246),$F246&lt;FechaRef,N($L246)&lt;1,$N246=""),"Vencida sin observación"&amp;" · ",""))-3)))</f>
        <v/>
      </c>
      <c r="P246" s="69">
        <f>IF(NOT((COUNTA($B246:$K246)+COUNTA($N246))&gt;0),"",IF(AND($S246="Sub",N($R246)&gt;0),IF(ISNUMBER(INDEX($E$5:$E$1000,$R246-4)),DATE(YEAR(INDEX($E$5:$E$1000,$R246-4)),MONTH(INDEX($E$5:$E$1000,$R246-4)),1),IF(ISNUMBER(INDEX($F$5:$F$1000,$R246-4)),DATE(YEAR(INDEX($F$5:$F$1000,$R246-4)),MONTH(INDEX($F$5:$F$1000,$R246-4)),1),MesCiclo)),IF(ISNUMBER($E246),DATE(YEAR($E246),MONTH($E246),1),IF(ISNUMBER($F246),DATE(YEAR($F246),MONTH($F246),1),MesCiclo))))</f>
        <v/>
      </c>
      <c r="Q246" s="70">
        <f>IF(OR($P246="",$P246&lt;&gt;MesCiclo),"",COUNTIF($P$5:$P246,MesCiclo))</f>
        <v/>
      </c>
      <c r="R246" s="70">
        <f>IF($S246="","",IF($S246="Macro",ROW(),IFERROR(LOOKUP(2,1/($S$5:$S246="Macro"),ROW($S$5:$S246)),0)))</f>
        <v/>
      </c>
      <c r="S246" s="70">
        <f>IF(NOT((COUNTA($B246:$K246)+COUNTA($N246))&gt;0),"",IF($B246&lt;&gt;"","Macro",IF($C246&lt;&gt;"","Sub","Macro")))</f>
        <v/>
      </c>
      <c r="T246" s="70">
        <f>IF($S246="Macro",COUNTIFS($R$5:$R$1000,ROW(),$S$5:$S$1000,"Sub"),"")</f>
        <v/>
      </c>
      <c r="U246" s="70">
        <f>IF($S246="","",IF(ISNUMBER($H246),$H246,0))</f>
        <v/>
      </c>
      <c r="V246" s="70">
        <f>IF($S246="","",IF(ISNUMBER($I246),$I246,$U246))</f>
        <v/>
      </c>
      <c r="W246" s="70">
        <f>IF($S246="","",IF(ISNUMBER($J246),$J246,$V246))</f>
        <v/>
      </c>
      <c r="X246" s="70">
        <f>IF($S246="","",IF(ISNUMBER($K246),$K246,$W246))</f>
        <v/>
      </c>
      <c r="Y246" s="70">
        <f>IF($S246="","",IF(N($T246)&gt;0,AVERAGEIFS($U$5:$U$1000,$R$5:$R$1000,ROW(),$S$5:$S$1000,"Sub"),$U246))</f>
        <v/>
      </c>
      <c r="Z246" s="70">
        <f>IF($S246="","",IF(N($T246)&gt;0,AVERAGEIFS($V$5:$V$1000,$R$5:$R$1000,ROW(),$S$5:$S$1000,"Sub"),$V246))</f>
        <v/>
      </c>
      <c r="AA246" s="70">
        <f>IF($S246="","",IF(N($T246)&gt;0,AVERAGEIFS($W$5:$W$1000,$R$5:$R$1000,ROW(),$S$5:$S$1000,"Sub"),$W246))</f>
        <v/>
      </c>
      <c r="AB246" s="70">
        <f>IF($S246="","",IF(N($T246)&gt;0,AVERAGEIFS($X$5:$X$1000,$R$5:$R$1000,ROW(),$S$5:$S$1000,"Sub"),$X246))</f>
        <v/>
      </c>
    </row>
    <row r="247">
      <c r="A247" s="61">
        <f>IF(NOT((COUNTA($B247:$K247)+COUNTA($N247))&gt;0),"",IF($S247="Macro",COUNTIFS($S$5:$S247,"Macro",$P$5:$P247,$P247),IF(N($R247)=0,"?",COUNTIFS(INDEX($S$5:$S$1000,1):INDEX($S$5:$S$1000,$R247-4),"Macro",INDEX($P$5:$P$1000,1):INDEX($P$5:$P$1000,$R247-4),INDEX($P$5:$P$1000,$R247-4))&amp;"."&amp;COUNTIFS($R$5:$R247,$R247,$S$5:$S247,"Sub"))))</f>
        <v/>
      </c>
      <c r="B247" s="62" t="n"/>
      <c r="C247" s="63" t="n"/>
      <c r="D247" s="62" t="n"/>
      <c r="E247" s="64" t="n"/>
      <c r="F247" s="64" t="n"/>
      <c r="G247" s="65" t="n"/>
      <c r="H247" s="66" t="n"/>
      <c r="I247" s="66" t="n"/>
      <c r="J247" s="66" t="n"/>
      <c r="K247" s="66" t="n"/>
      <c r="L247" s="67">
        <f>IF(NOT((COUNTA($B247:$K247)+COUNTA($N247))&gt;0),"",IF(N($T247)&gt;0,$AB247,IFERROR(LOOKUP(2,1/(H247:K247&lt;&gt;""),H247:K247),0)))</f>
        <v/>
      </c>
      <c r="M247" s="61">
        <f>IF(L247="","",IF(L247&gt;=1,"Completado",IF(L247&gt;0,"En curso","Pendiente")))</f>
        <v/>
      </c>
      <c r="N247" s="62" t="n"/>
      <c r="O247" s="68">
        <f>IF(NOT((COUNTA($B247:$K247)+COUNTA($N247))&gt;0),"",IF((IF(AND($S247="Macro",$B247=""),"Macroactividad vacía"&amp;" · ","")&amp;IF(AND($B247&lt;&gt;"",$C247&lt;&gt;""),"Escriba la subactividad en otra fila, debajo de su macroactividad"&amp;" · ","")&amp;IF(AND($S247="Sub",N($R247)=0),"Subactividad sin macroactividad arriba"&amp;" · ","")&amp;IF($D247="","Sin responsable"&amp;" · ","")&amp;IF($E247="","Sin fecha de inicio"&amp;" · ","")&amp;IF($F247="","Sin fecha límite"&amp;" · ","")&amp;IF(OR(AND($E247&lt;&gt;"",NOT(ISNUMBER($E247))),AND($F247&lt;&gt;"",NOT(ISNUMBER($F247)))),"Fecha no válida"&amp;" · ","")&amp;IF(AND(ISNUMBER($E247),ISNUMBER($F247),$E247&gt;$F247),"Inicio posterior a fecha límite"&amp;" · ","")&amp;IF(AND($S247="Macro",$G247=""),"Peso vacío"&amp;" · ","")&amp;IF(AND($S247="Macro",$G247&lt;&gt;"",OR(NOT(ISNUMBER($G247)),$G247&lt;=0,$G247&gt;1)),"Peso fuera de rango"&amp;" · ","")&amp;IF(AND($S247="Sub",$G247&lt;&gt;""),"Las subactividades no llevan peso"&amp;" · ","")&amp;IF(AND($S247="Macro",ABS(SUMIFS($G$5:$G$1000,$P$5:$P$1000,$P247,$S$5:$S$1000,"Macro")-1)&gt;0.0001),"Pesos del mes suman "&amp;TEXT(SUMIFS($G$5:$G$1000,$P$5:$P$1000,$P247,$S$5:$S$1000,"Macro"),"0%")&amp;" · ","")&amp;IF(AND(N($T247)&gt;0,COUNT($H247:$K247)&gt;0),"Con subactividades: deje vacías las semanas (se calculan solas)"&amp;" · ","")&amp;IF((COUNTIF($H247:$K247,"&gt;1")+COUNTIF($H247:$K247,"&lt;0")+COUNTA($H247:$K247)-COUNT($H247:$K247))&gt;0,"Avance fuera de rango 0-100%"&amp;" · ","")&amp;IF(OR(AND($I247&lt;&gt;"",$I247&lt;$H247),AND($J247&lt;&gt;"",$J247&lt;MAX($H247:$I247)),AND($K247&lt;&gt;"",$K247&lt;MAX($H247:$J247))),"Avance semanal decreciente"&amp;" · ","")&amp;IF(AND(ISNUMBER($F247),$F247&lt;FechaRef,N($L247)&lt;1),"Vencida"&amp;" · ","")&amp;IF(AND(ObsObligatoria="Sí",ISNUMBER($F247),$F247&lt;FechaRef,N($L247)&lt;1,$N247=""),"Vencida sin observación"&amp;" · ",""))="","✔ OK","⚠ "&amp;LEFT(IF(AND($S247="Macro",$B247=""),"Macroactividad vacía"&amp;" · ","")&amp;IF(AND($B247&lt;&gt;"",$C247&lt;&gt;""),"Escriba la subactividad en otra fila, debajo de su macroactividad"&amp;" · ","")&amp;IF(AND($S247="Sub",N($R247)=0),"Subactividad sin macroactividad arriba"&amp;" · ","")&amp;IF($D247="","Sin responsable"&amp;" · ","")&amp;IF($E247="","Sin fecha de inicio"&amp;" · ","")&amp;IF($F247="","Sin fecha límite"&amp;" · ","")&amp;IF(OR(AND($E247&lt;&gt;"",NOT(ISNUMBER($E247))),AND($F247&lt;&gt;"",NOT(ISNUMBER($F247)))),"Fecha no válida"&amp;" · ","")&amp;IF(AND(ISNUMBER($E247),ISNUMBER($F247),$E247&gt;$F247),"Inicio posterior a fecha límite"&amp;" · ","")&amp;IF(AND($S247="Macro",$G247=""),"Peso vacío"&amp;" · ","")&amp;IF(AND($S247="Macro",$G247&lt;&gt;"",OR(NOT(ISNUMBER($G247)),$G247&lt;=0,$G247&gt;1)),"Peso fuera de rango"&amp;" · ","")&amp;IF(AND($S247="Sub",$G247&lt;&gt;""),"Las subactividades no llevan peso"&amp;" · ","")&amp;IF(AND($S247="Macro",ABS(SUMIFS($G$5:$G$1000,$P$5:$P$1000,$P247,$S$5:$S$1000,"Macro")-1)&gt;0.0001),"Pesos del mes suman "&amp;TEXT(SUMIFS($G$5:$G$1000,$P$5:$P$1000,$P247,$S$5:$S$1000,"Macro"),"0%")&amp;" · ","")&amp;IF(AND(N($T247)&gt;0,COUNT($H247:$K247)&gt;0),"Con subactividades: deje vacías las semanas (se calculan solas)"&amp;" · ","")&amp;IF((COUNTIF($H247:$K247,"&gt;1")+COUNTIF($H247:$K247,"&lt;0")+COUNTA($H247:$K247)-COUNT($H247:$K247))&gt;0,"Avance fuera de rango 0-100%"&amp;" · ","")&amp;IF(OR(AND($I247&lt;&gt;"",$I247&lt;$H247),AND($J247&lt;&gt;"",$J247&lt;MAX($H247:$I247)),AND($K247&lt;&gt;"",$K247&lt;MAX($H247:$J247))),"Avance semanal decreciente"&amp;" · ","")&amp;IF(AND(ISNUMBER($F247),$F247&lt;FechaRef,N($L247)&lt;1),"Vencida"&amp;" · ","")&amp;IF(AND(ObsObligatoria="Sí",ISNUMBER($F247),$F247&lt;FechaRef,N($L247)&lt;1,$N247=""),"Vencida sin observación"&amp;" · ",""),LEN(IF(AND($S247="Macro",$B247=""),"Macroactividad vacía"&amp;" · ","")&amp;IF(AND($B247&lt;&gt;"",$C247&lt;&gt;""),"Escriba la subactividad en otra fila, debajo de su macroactividad"&amp;" · ","")&amp;IF(AND($S247="Sub",N($R247)=0),"Subactividad sin macroactividad arriba"&amp;" · ","")&amp;IF($D247="","Sin responsable"&amp;" · ","")&amp;IF($E247="","Sin fecha de inicio"&amp;" · ","")&amp;IF($F247="","Sin fecha límite"&amp;" · ","")&amp;IF(OR(AND($E247&lt;&gt;"",NOT(ISNUMBER($E247))),AND($F247&lt;&gt;"",NOT(ISNUMBER($F247)))),"Fecha no válida"&amp;" · ","")&amp;IF(AND(ISNUMBER($E247),ISNUMBER($F247),$E247&gt;$F247),"Inicio posterior a fecha límite"&amp;" · ","")&amp;IF(AND($S247="Macro",$G247=""),"Peso vacío"&amp;" · ","")&amp;IF(AND($S247="Macro",$G247&lt;&gt;"",OR(NOT(ISNUMBER($G247)),$G247&lt;=0,$G247&gt;1)),"Peso fuera de rango"&amp;" · ","")&amp;IF(AND($S247="Sub",$G247&lt;&gt;""),"Las subactividades no llevan peso"&amp;" · ","")&amp;IF(AND($S247="Macro",ABS(SUMIFS($G$5:$G$1000,$P$5:$P$1000,$P247,$S$5:$S$1000,"Macro")-1)&gt;0.0001),"Pesos del mes suman "&amp;TEXT(SUMIFS($G$5:$G$1000,$P$5:$P$1000,$P247,$S$5:$S$1000,"Macro"),"0%")&amp;" · ","")&amp;IF(AND(N($T247)&gt;0,COUNT($H247:$K247)&gt;0),"Con subactividades: deje vacías las semanas (se calculan solas)"&amp;" · ","")&amp;IF((COUNTIF($H247:$K247,"&gt;1")+COUNTIF($H247:$K247,"&lt;0")+COUNTA($H247:$K247)-COUNT($H247:$K247))&gt;0,"Avance fuera de rango 0-100%"&amp;" · ","")&amp;IF(OR(AND($I247&lt;&gt;"",$I247&lt;$H247),AND($J247&lt;&gt;"",$J247&lt;MAX($H247:$I247)),AND($K247&lt;&gt;"",$K247&lt;MAX($H247:$J247))),"Avance semanal decreciente"&amp;" · ","")&amp;IF(AND(ISNUMBER($F247),$F247&lt;FechaRef,N($L247)&lt;1),"Vencida"&amp;" · ","")&amp;IF(AND(ObsObligatoria="Sí",ISNUMBER($F247),$F247&lt;FechaRef,N($L247)&lt;1,$N247=""),"Vencida sin observación"&amp;" · ",""))-3)))</f>
        <v/>
      </c>
      <c r="P247" s="69">
        <f>IF(NOT((COUNTA($B247:$K247)+COUNTA($N247))&gt;0),"",IF(AND($S247="Sub",N($R247)&gt;0),IF(ISNUMBER(INDEX($E$5:$E$1000,$R247-4)),DATE(YEAR(INDEX($E$5:$E$1000,$R247-4)),MONTH(INDEX($E$5:$E$1000,$R247-4)),1),IF(ISNUMBER(INDEX($F$5:$F$1000,$R247-4)),DATE(YEAR(INDEX($F$5:$F$1000,$R247-4)),MONTH(INDEX($F$5:$F$1000,$R247-4)),1),MesCiclo)),IF(ISNUMBER($E247),DATE(YEAR($E247),MONTH($E247),1),IF(ISNUMBER($F247),DATE(YEAR($F247),MONTH($F247),1),MesCiclo))))</f>
        <v/>
      </c>
      <c r="Q247" s="70">
        <f>IF(OR($P247="",$P247&lt;&gt;MesCiclo),"",COUNTIF($P$5:$P247,MesCiclo))</f>
        <v/>
      </c>
      <c r="R247" s="70">
        <f>IF($S247="","",IF($S247="Macro",ROW(),IFERROR(LOOKUP(2,1/($S$5:$S247="Macro"),ROW($S$5:$S247)),0)))</f>
        <v/>
      </c>
      <c r="S247" s="70">
        <f>IF(NOT((COUNTA($B247:$K247)+COUNTA($N247))&gt;0),"",IF($B247&lt;&gt;"","Macro",IF($C247&lt;&gt;"","Sub","Macro")))</f>
        <v/>
      </c>
      <c r="T247" s="70">
        <f>IF($S247="Macro",COUNTIFS($R$5:$R$1000,ROW(),$S$5:$S$1000,"Sub"),"")</f>
        <v/>
      </c>
      <c r="U247" s="70">
        <f>IF($S247="","",IF(ISNUMBER($H247),$H247,0))</f>
        <v/>
      </c>
      <c r="V247" s="70">
        <f>IF($S247="","",IF(ISNUMBER($I247),$I247,$U247))</f>
        <v/>
      </c>
      <c r="W247" s="70">
        <f>IF($S247="","",IF(ISNUMBER($J247),$J247,$V247))</f>
        <v/>
      </c>
      <c r="X247" s="70">
        <f>IF($S247="","",IF(ISNUMBER($K247),$K247,$W247))</f>
        <v/>
      </c>
      <c r="Y247" s="70">
        <f>IF($S247="","",IF(N($T247)&gt;0,AVERAGEIFS($U$5:$U$1000,$R$5:$R$1000,ROW(),$S$5:$S$1000,"Sub"),$U247))</f>
        <v/>
      </c>
      <c r="Z247" s="70">
        <f>IF($S247="","",IF(N($T247)&gt;0,AVERAGEIFS($V$5:$V$1000,$R$5:$R$1000,ROW(),$S$5:$S$1000,"Sub"),$V247))</f>
        <v/>
      </c>
      <c r="AA247" s="70">
        <f>IF($S247="","",IF(N($T247)&gt;0,AVERAGEIFS($W$5:$W$1000,$R$5:$R$1000,ROW(),$S$5:$S$1000,"Sub"),$W247))</f>
        <v/>
      </c>
      <c r="AB247" s="70">
        <f>IF($S247="","",IF(N($T247)&gt;0,AVERAGEIFS($X$5:$X$1000,$R$5:$R$1000,ROW(),$S$5:$S$1000,"Sub"),$X247))</f>
        <v/>
      </c>
    </row>
    <row r="248">
      <c r="A248" s="61">
        <f>IF(NOT((COUNTA($B248:$K248)+COUNTA($N248))&gt;0),"",IF($S248="Macro",COUNTIFS($S$5:$S248,"Macro",$P$5:$P248,$P248),IF(N($R248)=0,"?",COUNTIFS(INDEX($S$5:$S$1000,1):INDEX($S$5:$S$1000,$R248-4),"Macro",INDEX($P$5:$P$1000,1):INDEX($P$5:$P$1000,$R248-4),INDEX($P$5:$P$1000,$R248-4))&amp;"."&amp;COUNTIFS($R$5:$R248,$R248,$S$5:$S248,"Sub"))))</f>
        <v/>
      </c>
      <c r="B248" s="62" t="n"/>
      <c r="C248" s="63" t="n"/>
      <c r="D248" s="62" t="n"/>
      <c r="E248" s="64" t="n"/>
      <c r="F248" s="64" t="n"/>
      <c r="G248" s="65" t="n"/>
      <c r="H248" s="66" t="n"/>
      <c r="I248" s="66" t="n"/>
      <c r="J248" s="66" t="n"/>
      <c r="K248" s="66" t="n"/>
      <c r="L248" s="67">
        <f>IF(NOT((COUNTA($B248:$K248)+COUNTA($N248))&gt;0),"",IF(N($T248)&gt;0,$AB248,IFERROR(LOOKUP(2,1/(H248:K248&lt;&gt;""),H248:K248),0)))</f>
        <v/>
      </c>
      <c r="M248" s="61">
        <f>IF(L248="","",IF(L248&gt;=1,"Completado",IF(L248&gt;0,"En curso","Pendiente")))</f>
        <v/>
      </c>
      <c r="N248" s="62" t="n"/>
      <c r="O248" s="68">
        <f>IF(NOT((COUNTA($B248:$K248)+COUNTA($N248))&gt;0),"",IF((IF(AND($S248="Macro",$B248=""),"Macroactividad vacía"&amp;" · ","")&amp;IF(AND($B248&lt;&gt;"",$C248&lt;&gt;""),"Escriba la subactividad en otra fila, debajo de su macroactividad"&amp;" · ","")&amp;IF(AND($S248="Sub",N($R248)=0),"Subactividad sin macroactividad arriba"&amp;" · ","")&amp;IF($D248="","Sin responsable"&amp;" · ","")&amp;IF($E248="","Sin fecha de inicio"&amp;" · ","")&amp;IF($F248="","Sin fecha límite"&amp;" · ","")&amp;IF(OR(AND($E248&lt;&gt;"",NOT(ISNUMBER($E248))),AND($F248&lt;&gt;"",NOT(ISNUMBER($F248)))),"Fecha no válida"&amp;" · ","")&amp;IF(AND(ISNUMBER($E248),ISNUMBER($F248),$E248&gt;$F248),"Inicio posterior a fecha límite"&amp;" · ","")&amp;IF(AND($S248="Macro",$G248=""),"Peso vacío"&amp;" · ","")&amp;IF(AND($S248="Macro",$G248&lt;&gt;"",OR(NOT(ISNUMBER($G248)),$G248&lt;=0,$G248&gt;1)),"Peso fuera de rango"&amp;" · ","")&amp;IF(AND($S248="Sub",$G248&lt;&gt;""),"Las subactividades no llevan peso"&amp;" · ","")&amp;IF(AND($S248="Macro",ABS(SUMIFS($G$5:$G$1000,$P$5:$P$1000,$P248,$S$5:$S$1000,"Macro")-1)&gt;0.0001),"Pesos del mes suman "&amp;TEXT(SUMIFS($G$5:$G$1000,$P$5:$P$1000,$P248,$S$5:$S$1000,"Macro"),"0%")&amp;" · ","")&amp;IF(AND(N($T248)&gt;0,COUNT($H248:$K248)&gt;0),"Con subactividades: deje vacías las semanas (se calculan solas)"&amp;" · ","")&amp;IF((COUNTIF($H248:$K248,"&gt;1")+COUNTIF($H248:$K248,"&lt;0")+COUNTA($H248:$K248)-COUNT($H248:$K248))&gt;0,"Avance fuera de rango 0-100%"&amp;" · ","")&amp;IF(OR(AND($I248&lt;&gt;"",$I248&lt;$H248),AND($J248&lt;&gt;"",$J248&lt;MAX($H248:$I248)),AND($K248&lt;&gt;"",$K248&lt;MAX($H248:$J248))),"Avance semanal decreciente"&amp;" · ","")&amp;IF(AND(ISNUMBER($F248),$F248&lt;FechaRef,N($L248)&lt;1),"Vencida"&amp;" · ","")&amp;IF(AND(ObsObligatoria="Sí",ISNUMBER($F248),$F248&lt;FechaRef,N($L248)&lt;1,$N248=""),"Vencida sin observación"&amp;" · ",""))="","✔ OK","⚠ "&amp;LEFT(IF(AND($S248="Macro",$B248=""),"Macroactividad vacía"&amp;" · ","")&amp;IF(AND($B248&lt;&gt;"",$C248&lt;&gt;""),"Escriba la subactividad en otra fila, debajo de su macroactividad"&amp;" · ","")&amp;IF(AND($S248="Sub",N($R248)=0),"Subactividad sin macroactividad arriba"&amp;" · ","")&amp;IF($D248="","Sin responsable"&amp;" · ","")&amp;IF($E248="","Sin fecha de inicio"&amp;" · ","")&amp;IF($F248="","Sin fecha límite"&amp;" · ","")&amp;IF(OR(AND($E248&lt;&gt;"",NOT(ISNUMBER($E248))),AND($F248&lt;&gt;"",NOT(ISNUMBER($F248)))),"Fecha no válida"&amp;" · ","")&amp;IF(AND(ISNUMBER($E248),ISNUMBER($F248),$E248&gt;$F248),"Inicio posterior a fecha límite"&amp;" · ","")&amp;IF(AND($S248="Macro",$G248=""),"Peso vacío"&amp;" · ","")&amp;IF(AND($S248="Macro",$G248&lt;&gt;"",OR(NOT(ISNUMBER($G248)),$G248&lt;=0,$G248&gt;1)),"Peso fuera de rango"&amp;" · ","")&amp;IF(AND($S248="Sub",$G248&lt;&gt;""),"Las subactividades no llevan peso"&amp;" · ","")&amp;IF(AND($S248="Macro",ABS(SUMIFS($G$5:$G$1000,$P$5:$P$1000,$P248,$S$5:$S$1000,"Macro")-1)&gt;0.0001),"Pesos del mes suman "&amp;TEXT(SUMIFS($G$5:$G$1000,$P$5:$P$1000,$P248,$S$5:$S$1000,"Macro"),"0%")&amp;" · ","")&amp;IF(AND(N($T248)&gt;0,COUNT($H248:$K248)&gt;0),"Con subactividades: deje vacías las semanas (se calculan solas)"&amp;" · ","")&amp;IF((COUNTIF($H248:$K248,"&gt;1")+COUNTIF($H248:$K248,"&lt;0")+COUNTA($H248:$K248)-COUNT($H248:$K248))&gt;0,"Avance fuera de rango 0-100%"&amp;" · ","")&amp;IF(OR(AND($I248&lt;&gt;"",$I248&lt;$H248),AND($J248&lt;&gt;"",$J248&lt;MAX($H248:$I248)),AND($K248&lt;&gt;"",$K248&lt;MAX($H248:$J248))),"Avance semanal decreciente"&amp;" · ","")&amp;IF(AND(ISNUMBER($F248),$F248&lt;FechaRef,N($L248)&lt;1),"Vencida"&amp;" · ","")&amp;IF(AND(ObsObligatoria="Sí",ISNUMBER($F248),$F248&lt;FechaRef,N($L248)&lt;1,$N248=""),"Vencida sin observación"&amp;" · ",""),LEN(IF(AND($S248="Macro",$B248=""),"Macroactividad vacía"&amp;" · ","")&amp;IF(AND($B248&lt;&gt;"",$C248&lt;&gt;""),"Escriba la subactividad en otra fila, debajo de su macroactividad"&amp;" · ","")&amp;IF(AND($S248="Sub",N($R248)=0),"Subactividad sin macroactividad arriba"&amp;" · ","")&amp;IF($D248="","Sin responsable"&amp;" · ","")&amp;IF($E248="","Sin fecha de inicio"&amp;" · ","")&amp;IF($F248="","Sin fecha límite"&amp;" · ","")&amp;IF(OR(AND($E248&lt;&gt;"",NOT(ISNUMBER($E248))),AND($F248&lt;&gt;"",NOT(ISNUMBER($F248)))),"Fecha no válida"&amp;" · ","")&amp;IF(AND(ISNUMBER($E248),ISNUMBER($F248),$E248&gt;$F248),"Inicio posterior a fecha límite"&amp;" · ","")&amp;IF(AND($S248="Macro",$G248=""),"Peso vacío"&amp;" · ","")&amp;IF(AND($S248="Macro",$G248&lt;&gt;"",OR(NOT(ISNUMBER($G248)),$G248&lt;=0,$G248&gt;1)),"Peso fuera de rango"&amp;" · ","")&amp;IF(AND($S248="Sub",$G248&lt;&gt;""),"Las subactividades no llevan peso"&amp;" · ","")&amp;IF(AND($S248="Macro",ABS(SUMIFS($G$5:$G$1000,$P$5:$P$1000,$P248,$S$5:$S$1000,"Macro")-1)&gt;0.0001),"Pesos del mes suman "&amp;TEXT(SUMIFS($G$5:$G$1000,$P$5:$P$1000,$P248,$S$5:$S$1000,"Macro"),"0%")&amp;" · ","")&amp;IF(AND(N($T248)&gt;0,COUNT($H248:$K248)&gt;0),"Con subactividades: deje vacías las semanas (se calculan solas)"&amp;" · ","")&amp;IF((COUNTIF($H248:$K248,"&gt;1")+COUNTIF($H248:$K248,"&lt;0")+COUNTA($H248:$K248)-COUNT($H248:$K248))&gt;0,"Avance fuera de rango 0-100%"&amp;" · ","")&amp;IF(OR(AND($I248&lt;&gt;"",$I248&lt;$H248),AND($J248&lt;&gt;"",$J248&lt;MAX($H248:$I248)),AND($K248&lt;&gt;"",$K248&lt;MAX($H248:$J248))),"Avance semanal decreciente"&amp;" · ","")&amp;IF(AND(ISNUMBER($F248),$F248&lt;FechaRef,N($L248)&lt;1),"Vencida"&amp;" · ","")&amp;IF(AND(ObsObligatoria="Sí",ISNUMBER($F248),$F248&lt;FechaRef,N($L248)&lt;1,$N248=""),"Vencida sin observación"&amp;" · ",""))-3)))</f>
        <v/>
      </c>
      <c r="P248" s="69">
        <f>IF(NOT((COUNTA($B248:$K248)+COUNTA($N248))&gt;0),"",IF(AND($S248="Sub",N($R248)&gt;0),IF(ISNUMBER(INDEX($E$5:$E$1000,$R248-4)),DATE(YEAR(INDEX($E$5:$E$1000,$R248-4)),MONTH(INDEX($E$5:$E$1000,$R248-4)),1),IF(ISNUMBER(INDEX($F$5:$F$1000,$R248-4)),DATE(YEAR(INDEX($F$5:$F$1000,$R248-4)),MONTH(INDEX($F$5:$F$1000,$R248-4)),1),MesCiclo)),IF(ISNUMBER($E248),DATE(YEAR($E248),MONTH($E248),1),IF(ISNUMBER($F248),DATE(YEAR($F248),MONTH($F248),1),MesCiclo))))</f>
        <v/>
      </c>
      <c r="Q248" s="70">
        <f>IF(OR($P248="",$P248&lt;&gt;MesCiclo),"",COUNTIF($P$5:$P248,MesCiclo))</f>
        <v/>
      </c>
      <c r="R248" s="70">
        <f>IF($S248="","",IF($S248="Macro",ROW(),IFERROR(LOOKUP(2,1/($S$5:$S248="Macro"),ROW($S$5:$S248)),0)))</f>
        <v/>
      </c>
      <c r="S248" s="70">
        <f>IF(NOT((COUNTA($B248:$K248)+COUNTA($N248))&gt;0),"",IF($B248&lt;&gt;"","Macro",IF($C248&lt;&gt;"","Sub","Macro")))</f>
        <v/>
      </c>
      <c r="T248" s="70">
        <f>IF($S248="Macro",COUNTIFS($R$5:$R$1000,ROW(),$S$5:$S$1000,"Sub"),"")</f>
        <v/>
      </c>
      <c r="U248" s="70">
        <f>IF($S248="","",IF(ISNUMBER($H248),$H248,0))</f>
        <v/>
      </c>
      <c r="V248" s="70">
        <f>IF($S248="","",IF(ISNUMBER($I248),$I248,$U248))</f>
        <v/>
      </c>
      <c r="W248" s="70">
        <f>IF($S248="","",IF(ISNUMBER($J248),$J248,$V248))</f>
        <v/>
      </c>
      <c r="X248" s="70">
        <f>IF($S248="","",IF(ISNUMBER($K248),$K248,$W248))</f>
        <v/>
      </c>
      <c r="Y248" s="70">
        <f>IF($S248="","",IF(N($T248)&gt;0,AVERAGEIFS($U$5:$U$1000,$R$5:$R$1000,ROW(),$S$5:$S$1000,"Sub"),$U248))</f>
        <v/>
      </c>
      <c r="Z248" s="70">
        <f>IF($S248="","",IF(N($T248)&gt;0,AVERAGEIFS($V$5:$V$1000,$R$5:$R$1000,ROW(),$S$5:$S$1000,"Sub"),$V248))</f>
        <v/>
      </c>
      <c r="AA248" s="70">
        <f>IF($S248="","",IF(N($T248)&gt;0,AVERAGEIFS($W$5:$W$1000,$R$5:$R$1000,ROW(),$S$5:$S$1000,"Sub"),$W248))</f>
        <v/>
      </c>
      <c r="AB248" s="70">
        <f>IF($S248="","",IF(N($T248)&gt;0,AVERAGEIFS($X$5:$X$1000,$R$5:$R$1000,ROW(),$S$5:$S$1000,"Sub"),$X248))</f>
        <v/>
      </c>
    </row>
    <row r="249">
      <c r="A249" s="61">
        <f>IF(NOT((COUNTA($B249:$K249)+COUNTA($N249))&gt;0),"",IF($S249="Macro",COUNTIFS($S$5:$S249,"Macro",$P$5:$P249,$P249),IF(N($R249)=0,"?",COUNTIFS(INDEX($S$5:$S$1000,1):INDEX($S$5:$S$1000,$R249-4),"Macro",INDEX($P$5:$P$1000,1):INDEX($P$5:$P$1000,$R249-4),INDEX($P$5:$P$1000,$R249-4))&amp;"."&amp;COUNTIFS($R$5:$R249,$R249,$S$5:$S249,"Sub"))))</f>
        <v/>
      </c>
      <c r="B249" s="62" t="n"/>
      <c r="C249" s="63" t="n"/>
      <c r="D249" s="62" t="n"/>
      <c r="E249" s="64" t="n"/>
      <c r="F249" s="64" t="n"/>
      <c r="G249" s="65" t="n"/>
      <c r="H249" s="66" t="n"/>
      <c r="I249" s="66" t="n"/>
      <c r="J249" s="66" t="n"/>
      <c r="K249" s="66" t="n"/>
      <c r="L249" s="67">
        <f>IF(NOT((COUNTA($B249:$K249)+COUNTA($N249))&gt;0),"",IF(N($T249)&gt;0,$AB249,IFERROR(LOOKUP(2,1/(H249:K249&lt;&gt;""),H249:K249),0)))</f>
        <v/>
      </c>
      <c r="M249" s="61">
        <f>IF(L249="","",IF(L249&gt;=1,"Completado",IF(L249&gt;0,"En curso","Pendiente")))</f>
        <v/>
      </c>
      <c r="N249" s="62" t="n"/>
      <c r="O249" s="68">
        <f>IF(NOT((COUNTA($B249:$K249)+COUNTA($N249))&gt;0),"",IF((IF(AND($S249="Macro",$B249=""),"Macroactividad vacía"&amp;" · ","")&amp;IF(AND($B249&lt;&gt;"",$C249&lt;&gt;""),"Escriba la subactividad en otra fila, debajo de su macroactividad"&amp;" · ","")&amp;IF(AND($S249="Sub",N($R249)=0),"Subactividad sin macroactividad arriba"&amp;" · ","")&amp;IF($D249="","Sin responsable"&amp;" · ","")&amp;IF($E249="","Sin fecha de inicio"&amp;" · ","")&amp;IF($F249="","Sin fecha límite"&amp;" · ","")&amp;IF(OR(AND($E249&lt;&gt;"",NOT(ISNUMBER($E249))),AND($F249&lt;&gt;"",NOT(ISNUMBER($F249)))),"Fecha no válida"&amp;" · ","")&amp;IF(AND(ISNUMBER($E249),ISNUMBER($F249),$E249&gt;$F249),"Inicio posterior a fecha límite"&amp;" · ","")&amp;IF(AND($S249="Macro",$G249=""),"Peso vacío"&amp;" · ","")&amp;IF(AND($S249="Macro",$G249&lt;&gt;"",OR(NOT(ISNUMBER($G249)),$G249&lt;=0,$G249&gt;1)),"Peso fuera de rango"&amp;" · ","")&amp;IF(AND($S249="Sub",$G249&lt;&gt;""),"Las subactividades no llevan peso"&amp;" · ","")&amp;IF(AND($S249="Macro",ABS(SUMIFS($G$5:$G$1000,$P$5:$P$1000,$P249,$S$5:$S$1000,"Macro")-1)&gt;0.0001),"Pesos del mes suman "&amp;TEXT(SUMIFS($G$5:$G$1000,$P$5:$P$1000,$P249,$S$5:$S$1000,"Macro"),"0%")&amp;" · ","")&amp;IF(AND(N($T249)&gt;0,COUNT($H249:$K249)&gt;0),"Con subactividades: deje vacías las semanas (se calculan solas)"&amp;" · ","")&amp;IF((COUNTIF($H249:$K249,"&gt;1")+COUNTIF($H249:$K249,"&lt;0")+COUNTA($H249:$K249)-COUNT($H249:$K249))&gt;0,"Avance fuera de rango 0-100%"&amp;" · ","")&amp;IF(OR(AND($I249&lt;&gt;"",$I249&lt;$H249),AND($J249&lt;&gt;"",$J249&lt;MAX($H249:$I249)),AND($K249&lt;&gt;"",$K249&lt;MAX($H249:$J249))),"Avance semanal decreciente"&amp;" · ","")&amp;IF(AND(ISNUMBER($F249),$F249&lt;FechaRef,N($L249)&lt;1),"Vencida"&amp;" · ","")&amp;IF(AND(ObsObligatoria="Sí",ISNUMBER($F249),$F249&lt;FechaRef,N($L249)&lt;1,$N249=""),"Vencida sin observación"&amp;" · ",""))="","✔ OK","⚠ "&amp;LEFT(IF(AND($S249="Macro",$B249=""),"Macroactividad vacía"&amp;" · ","")&amp;IF(AND($B249&lt;&gt;"",$C249&lt;&gt;""),"Escriba la subactividad en otra fila, debajo de su macroactividad"&amp;" · ","")&amp;IF(AND($S249="Sub",N($R249)=0),"Subactividad sin macroactividad arriba"&amp;" · ","")&amp;IF($D249="","Sin responsable"&amp;" · ","")&amp;IF($E249="","Sin fecha de inicio"&amp;" · ","")&amp;IF($F249="","Sin fecha límite"&amp;" · ","")&amp;IF(OR(AND($E249&lt;&gt;"",NOT(ISNUMBER($E249))),AND($F249&lt;&gt;"",NOT(ISNUMBER($F249)))),"Fecha no válida"&amp;" · ","")&amp;IF(AND(ISNUMBER($E249),ISNUMBER($F249),$E249&gt;$F249),"Inicio posterior a fecha límite"&amp;" · ","")&amp;IF(AND($S249="Macro",$G249=""),"Peso vacío"&amp;" · ","")&amp;IF(AND($S249="Macro",$G249&lt;&gt;"",OR(NOT(ISNUMBER($G249)),$G249&lt;=0,$G249&gt;1)),"Peso fuera de rango"&amp;" · ","")&amp;IF(AND($S249="Sub",$G249&lt;&gt;""),"Las subactividades no llevan peso"&amp;" · ","")&amp;IF(AND($S249="Macro",ABS(SUMIFS($G$5:$G$1000,$P$5:$P$1000,$P249,$S$5:$S$1000,"Macro")-1)&gt;0.0001),"Pesos del mes suman "&amp;TEXT(SUMIFS($G$5:$G$1000,$P$5:$P$1000,$P249,$S$5:$S$1000,"Macro"),"0%")&amp;" · ","")&amp;IF(AND(N($T249)&gt;0,COUNT($H249:$K249)&gt;0),"Con subactividades: deje vacías las semanas (se calculan solas)"&amp;" · ","")&amp;IF((COUNTIF($H249:$K249,"&gt;1")+COUNTIF($H249:$K249,"&lt;0")+COUNTA($H249:$K249)-COUNT($H249:$K249))&gt;0,"Avance fuera de rango 0-100%"&amp;" · ","")&amp;IF(OR(AND($I249&lt;&gt;"",$I249&lt;$H249),AND($J249&lt;&gt;"",$J249&lt;MAX($H249:$I249)),AND($K249&lt;&gt;"",$K249&lt;MAX($H249:$J249))),"Avance semanal decreciente"&amp;" · ","")&amp;IF(AND(ISNUMBER($F249),$F249&lt;FechaRef,N($L249)&lt;1),"Vencida"&amp;" · ","")&amp;IF(AND(ObsObligatoria="Sí",ISNUMBER($F249),$F249&lt;FechaRef,N($L249)&lt;1,$N249=""),"Vencida sin observación"&amp;" · ",""),LEN(IF(AND($S249="Macro",$B249=""),"Macroactividad vacía"&amp;" · ","")&amp;IF(AND($B249&lt;&gt;"",$C249&lt;&gt;""),"Escriba la subactividad en otra fila, debajo de su macroactividad"&amp;" · ","")&amp;IF(AND($S249="Sub",N($R249)=0),"Subactividad sin macroactividad arriba"&amp;" · ","")&amp;IF($D249="","Sin responsable"&amp;" · ","")&amp;IF($E249="","Sin fecha de inicio"&amp;" · ","")&amp;IF($F249="","Sin fecha límite"&amp;" · ","")&amp;IF(OR(AND($E249&lt;&gt;"",NOT(ISNUMBER($E249))),AND($F249&lt;&gt;"",NOT(ISNUMBER($F249)))),"Fecha no válida"&amp;" · ","")&amp;IF(AND(ISNUMBER($E249),ISNUMBER($F249),$E249&gt;$F249),"Inicio posterior a fecha límite"&amp;" · ","")&amp;IF(AND($S249="Macro",$G249=""),"Peso vacío"&amp;" · ","")&amp;IF(AND($S249="Macro",$G249&lt;&gt;"",OR(NOT(ISNUMBER($G249)),$G249&lt;=0,$G249&gt;1)),"Peso fuera de rango"&amp;" · ","")&amp;IF(AND($S249="Sub",$G249&lt;&gt;""),"Las subactividades no llevan peso"&amp;" · ","")&amp;IF(AND($S249="Macro",ABS(SUMIFS($G$5:$G$1000,$P$5:$P$1000,$P249,$S$5:$S$1000,"Macro")-1)&gt;0.0001),"Pesos del mes suman "&amp;TEXT(SUMIFS($G$5:$G$1000,$P$5:$P$1000,$P249,$S$5:$S$1000,"Macro"),"0%")&amp;" · ","")&amp;IF(AND(N($T249)&gt;0,COUNT($H249:$K249)&gt;0),"Con subactividades: deje vacías las semanas (se calculan solas)"&amp;" · ","")&amp;IF((COUNTIF($H249:$K249,"&gt;1")+COUNTIF($H249:$K249,"&lt;0")+COUNTA($H249:$K249)-COUNT($H249:$K249))&gt;0,"Avance fuera de rango 0-100%"&amp;" · ","")&amp;IF(OR(AND($I249&lt;&gt;"",$I249&lt;$H249),AND($J249&lt;&gt;"",$J249&lt;MAX($H249:$I249)),AND($K249&lt;&gt;"",$K249&lt;MAX($H249:$J249))),"Avance semanal decreciente"&amp;" · ","")&amp;IF(AND(ISNUMBER($F249),$F249&lt;FechaRef,N($L249)&lt;1),"Vencida"&amp;" · ","")&amp;IF(AND(ObsObligatoria="Sí",ISNUMBER($F249),$F249&lt;FechaRef,N($L249)&lt;1,$N249=""),"Vencida sin observación"&amp;" · ",""))-3)))</f>
        <v/>
      </c>
      <c r="P249" s="69">
        <f>IF(NOT((COUNTA($B249:$K249)+COUNTA($N249))&gt;0),"",IF(AND($S249="Sub",N($R249)&gt;0),IF(ISNUMBER(INDEX($E$5:$E$1000,$R249-4)),DATE(YEAR(INDEX($E$5:$E$1000,$R249-4)),MONTH(INDEX($E$5:$E$1000,$R249-4)),1),IF(ISNUMBER(INDEX($F$5:$F$1000,$R249-4)),DATE(YEAR(INDEX($F$5:$F$1000,$R249-4)),MONTH(INDEX($F$5:$F$1000,$R249-4)),1),MesCiclo)),IF(ISNUMBER($E249),DATE(YEAR($E249),MONTH($E249),1),IF(ISNUMBER($F249),DATE(YEAR($F249),MONTH($F249),1),MesCiclo))))</f>
        <v/>
      </c>
      <c r="Q249" s="70">
        <f>IF(OR($P249="",$P249&lt;&gt;MesCiclo),"",COUNTIF($P$5:$P249,MesCiclo))</f>
        <v/>
      </c>
      <c r="R249" s="70">
        <f>IF($S249="","",IF($S249="Macro",ROW(),IFERROR(LOOKUP(2,1/($S$5:$S249="Macro"),ROW($S$5:$S249)),0)))</f>
        <v/>
      </c>
      <c r="S249" s="70">
        <f>IF(NOT((COUNTA($B249:$K249)+COUNTA($N249))&gt;0),"",IF($B249&lt;&gt;"","Macro",IF($C249&lt;&gt;"","Sub","Macro")))</f>
        <v/>
      </c>
      <c r="T249" s="70">
        <f>IF($S249="Macro",COUNTIFS($R$5:$R$1000,ROW(),$S$5:$S$1000,"Sub"),"")</f>
        <v/>
      </c>
      <c r="U249" s="70">
        <f>IF($S249="","",IF(ISNUMBER($H249),$H249,0))</f>
        <v/>
      </c>
      <c r="V249" s="70">
        <f>IF($S249="","",IF(ISNUMBER($I249),$I249,$U249))</f>
        <v/>
      </c>
      <c r="W249" s="70">
        <f>IF($S249="","",IF(ISNUMBER($J249),$J249,$V249))</f>
        <v/>
      </c>
      <c r="X249" s="70">
        <f>IF($S249="","",IF(ISNUMBER($K249),$K249,$W249))</f>
        <v/>
      </c>
      <c r="Y249" s="70">
        <f>IF($S249="","",IF(N($T249)&gt;0,AVERAGEIFS($U$5:$U$1000,$R$5:$R$1000,ROW(),$S$5:$S$1000,"Sub"),$U249))</f>
        <v/>
      </c>
      <c r="Z249" s="70">
        <f>IF($S249="","",IF(N($T249)&gt;0,AVERAGEIFS($V$5:$V$1000,$R$5:$R$1000,ROW(),$S$5:$S$1000,"Sub"),$V249))</f>
        <v/>
      </c>
      <c r="AA249" s="70">
        <f>IF($S249="","",IF(N($T249)&gt;0,AVERAGEIFS($W$5:$W$1000,$R$5:$R$1000,ROW(),$S$5:$S$1000,"Sub"),$W249))</f>
        <v/>
      </c>
      <c r="AB249" s="70">
        <f>IF($S249="","",IF(N($T249)&gt;0,AVERAGEIFS($X$5:$X$1000,$R$5:$R$1000,ROW(),$S$5:$S$1000,"Sub"),$X249))</f>
        <v/>
      </c>
    </row>
    <row r="250">
      <c r="A250" s="61">
        <f>IF(NOT((COUNTA($B250:$K250)+COUNTA($N250))&gt;0),"",IF($S250="Macro",COUNTIFS($S$5:$S250,"Macro",$P$5:$P250,$P250),IF(N($R250)=0,"?",COUNTIFS(INDEX($S$5:$S$1000,1):INDEX($S$5:$S$1000,$R250-4),"Macro",INDEX($P$5:$P$1000,1):INDEX($P$5:$P$1000,$R250-4),INDEX($P$5:$P$1000,$R250-4))&amp;"."&amp;COUNTIFS($R$5:$R250,$R250,$S$5:$S250,"Sub"))))</f>
        <v/>
      </c>
      <c r="B250" s="62" t="n"/>
      <c r="C250" s="63" t="n"/>
      <c r="D250" s="62" t="n"/>
      <c r="E250" s="64" t="n"/>
      <c r="F250" s="64" t="n"/>
      <c r="G250" s="65" t="n"/>
      <c r="H250" s="66" t="n"/>
      <c r="I250" s="66" t="n"/>
      <c r="J250" s="66" t="n"/>
      <c r="K250" s="66" t="n"/>
      <c r="L250" s="67">
        <f>IF(NOT((COUNTA($B250:$K250)+COUNTA($N250))&gt;0),"",IF(N($T250)&gt;0,$AB250,IFERROR(LOOKUP(2,1/(H250:K250&lt;&gt;""),H250:K250),0)))</f>
        <v/>
      </c>
      <c r="M250" s="61">
        <f>IF(L250="","",IF(L250&gt;=1,"Completado",IF(L250&gt;0,"En curso","Pendiente")))</f>
        <v/>
      </c>
      <c r="N250" s="62" t="n"/>
      <c r="O250" s="68">
        <f>IF(NOT((COUNTA($B250:$K250)+COUNTA($N250))&gt;0),"",IF((IF(AND($S250="Macro",$B250=""),"Macroactividad vacía"&amp;" · ","")&amp;IF(AND($B250&lt;&gt;"",$C250&lt;&gt;""),"Escriba la subactividad en otra fila, debajo de su macroactividad"&amp;" · ","")&amp;IF(AND($S250="Sub",N($R250)=0),"Subactividad sin macroactividad arriba"&amp;" · ","")&amp;IF($D250="","Sin responsable"&amp;" · ","")&amp;IF($E250="","Sin fecha de inicio"&amp;" · ","")&amp;IF($F250="","Sin fecha límite"&amp;" · ","")&amp;IF(OR(AND($E250&lt;&gt;"",NOT(ISNUMBER($E250))),AND($F250&lt;&gt;"",NOT(ISNUMBER($F250)))),"Fecha no válida"&amp;" · ","")&amp;IF(AND(ISNUMBER($E250),ISNUMBER($F250),$E250&gt;$F250),"Inicio posterior a fecha límite"&amp;" · ","")&amp;IF(AND($S250="Macro",$G250=""),"Peso vacío"&amp;" · ","")&amp;IF(AND($S250="Macro",$G250&lt;&gt;"",OR(NOT(ISNUMBER($G250)),$G250&lt;=0,$G250&gt;1)),"Peso fuera de rango"&amp;" · ","")&amp;IF(AND($S250="Sub",$G250&lt;&gt;""),"Las subactividades no llevan peso"&amp;" · ","")&amp;IF(AND($S250="Macro",ABS(SUMIFS($G$5:$G$1000,$P$5:$P$1000,$P250,$S$5:$S$1000,"Macro")-1)&gt;0.0001),"Pesos del mes suman "&amp;TEXT(SUMIFS($G$5:$G$1000,$P$5:$P$1000,$P250,$S$5:$S$1000,"Macro"),"0%")&amp;" · ","")&amp;IF(AND(N($T250)&gt;0,COUNT($H250:$K250)&gt;0),"Con subactividades: deje vacías las semanas (se calculan solas)"&amp;" · ","")&amp;IF((COUNTIF($H250:$K250,"&gt;1")+COUNTIF($H250:$K250,"&lt;0")+COUNTA($H250:$K250)-COUNT($H250:$K250))&gt;0,"Avance fuera de rango 0-100%"&amp;" · ","")&amp;IF(OR(AND($I250&lt;&gt;"",$I250&lt;$H250),AND($J250&lt;&gt;"",$J250&lt;MAX($H250:$I250)),AND($K250&lt;&gt;"",$K250&lt;MAX($H250:$J250))),"Avance semanal decreciente"&amp;" · ","")&amp;IF(AND(ISNUMBER($F250),$F250&lt;FechaRef,N($L250)&lt;1),"Vencida"&amp;" · ","")&amp;IF(AND(ObsObligatoria="Sí",ISNUMBER($F250),$F250&lt;FechaRef,N($L250)&lt;1,$N250=""),"Vencida sin observación"&amp;" · ",""))="","✔ OK","⚠ "&amp;LEFT(IF(AND($S250="Macro",$B250=""),"Macroactividad vacía"&amp;" · ","")&amp;IF(AND($B250&lt;&gt;"",$C250&lt;&gt;""),"Escriba la subactividad en otra fila, debajo de su macroactividad"&amp;" · ","")&amp;IF(AND($S250="Sub",N($R250)=0),"Subactividad sin macroactividad arriba"&amp;" · ","")&amp;IF($D250="","Sin responsable"&amp;" · ","")&amp;IF($E250="","Sin fecha de inicio"&amp;" · ","")&amp;IF($F250="","Sin fecha límite"&amp;" · ","")&amp;IF(OR(AND($E250&lt;&gt;"",NOT(ISNUMBER($E250))),AND($F250&lt;&gt;"",NOT(ISNUMBER($F250)))),"Fecha no válida"&amp;" · ","")&amp;IF(AND(ISNUMBER($E250),ISNUMBER($F250),$E250&gt;$F250),"Inicio posterior a fecha límite"&amp;" · ","")&amp;IF(AND($S250="Macro",$G250=""),"Peso vacío"&amp;" · ","")&amp;IF(AND($S250="Macro",$G250&lt;&gt;"",OR(NOT(ISNUMBER($G250)),$G250&lt;=0,$G250&gt;1)),"Peso fuera de rango"&amp;" · ","")&amp;IF(AND($S250="Sub",$G250&lt;&gt;""),"Las subactividades no llevan peso"&amp;" · ","")&amp;IF(AND($S250="Macro",ABS(SUMIFS($G$5:$G$1000,$P$5:$P$1000,$P250,$S$5:$S$1000,"Macro")-1)&gt;0.0001),"Pesos del mes suman "&amp;TEXT(SUMIFS($G$5:$G$1000,$P$5:$P$1000,$P250,$S$5:$S$1000,"Macro"),"0%")&amp;" · ","")&amp;IF(AND(N($T250)&gt;0,COUNT($H250:$K250)&gt;0),"Con subactividades: deje vacías las semanas (se calculan solas)"&amp;" · ","")&amp;IF((COUNTIF($H250:$K250,"&gt;1")+COUNTIF($H250:$K250,"&lt;0")+COUNTA($H250:$K250)-COUNT($H250:$K250))&gt;0,"Avance fuera de rango 0-100%"&amp;" · ","")&amp;IF(OR(AND($I250&lt;&gt;"",$I250&lt;$H250),AND($J250&lt;&gt;"",$J250&lt;MAX($H250:$I250)),AND($K250&lt;&gt;"",$K250&lt;MAX($H250:$J250))),"Avance semanal decreciente"&amp;" · ","")&amp;IF(AND(ISNUMBER($F250),$F250&lt;FechaRef,N($L250)&lt;1),"Vencida"&amp;" · ","")&amp;IF(AND(ObsObligatoria="Sí",ISNUMBER($F250),$F250&lt;FechaRef,N($L250)&lt;1,$N250=""),"Vencida sin observación"&amp;" · ",""),LEN(IF(AND($S250="Macro",$B250=""),"Macroactividad vacía"&amp;" · ","")&amp;IF(AND($B250&lt;&gt;"",$C250&lt;&gt;""),"Escriba la subactividad en otra fila, debajo de su macroactividad"&amp;" · ","")&amp;IF(AND($S250="Sub",N($R250)=0),"Subactividad sin macroactividad arriba"&amp;" · ","")&amp;IF($D250="","Sin responsable"&amp;" · ","")&amp;IF($E250="","Sin fecha de inicio"&amp;" · ","")&amp;IF($F250="","Sin fecha límite"&amp;" · ","")&amp;IF(OR(AND($E250&lt;&gt;"",NOT(ISNUMBER($E250))),AND($F250&lt;&gt;"",NOT(ISNUMBER($F250)))),"Fecha no válida"&amp;" · ","")&amp;IF(AND(ISNUMBER($E250),ISNUMBER($F250),$E250&gt;$F250),"Inicio posterior a fecha límite"&amp;" · ","")&amp;IF(AND($S250="Macro",$G250=""),"Peso vacío"&amp;" · ","")&amp;IF(AND($S250="Macro",$G250&lt;&gt;"",OR(NOT(ISNUMBER($G250)),$G250&lt;=0,$G250&gt;1)),"Peso fuera de rango"&amp;" · ","")&amp;IF(AND($S250="Sub",$G250&lt;&gt;""),"Las subactividades no llevan peso"&amp;" · ","")&amp;IF(AND($S250="Macro",ABS(SUMIFS($G$5:$G$1000,$P$5:$P$1000,$P250,$S$5:$S$1000,"Macro")-1)&gt;0.0001),"Pesos del mes suman "&amp;TEXT(SUMIFS($G$5:$G$1000,$P$5:$P$1000,$P250,$S$5:$S$1000,"Macro"),"0%")&amp;" · ","")&amp;IF(AND(N($T250)&gt;0,COUNT($H250:$K250)&gt;0),"Con subactividades: deje vacías las semanas (se calculan solas)"&amp;" · ","")&amp;IF((COUNTIF($H250:$K250,"&gt;1")+COUNTIF($H250:$K250,"&lt;0")+COUNTA($H250:$K250)-COUNT($H250:$K250))&gt;0,"Avance fuera de rango 0-100%"&amp;" · ","")&amp;IF(OR(AND($I250&lt;&gt;"",$I250&lt;$H250),AND($J250&lt;&gt;"",$J250&lt;MAX($H250:$I250)),AND($K250&lt;&gt;"",$K250&lt;MAX($H250:$J250))),"Avance semanal decreciente"&amp;" · ","")&amp;IF(AND(ISNUMBER($F250),$F250&lt;FechaRef,N($L250)&lt;1),"Vencida"&amp;" · ","")&amp;IF(AND(ObsObligatoria="Sí",ISNUMBER($F250),$F250&lt;FechaRef,N($L250)&lt;1,$N250=""),"Vencida sin observación"&amp;" · ",""))-3)))</f>
        <v/>
      </c>
      <c r="P250" s="69">
        <f>IF(NOT((COUNTA($B250:$K250)+COUNTA($N250))&gt;0),"",IF(AND($S250="Sub",N($R250)&gt;0),IF(ISNUMBER(INDEX($E$5:$E$1000,$R250-4)),DATE(YEAR(INDEX($E$5:$E$1000,$R250-4)),MONTH(INDEX($E$5:$E$1000,$R250-4)),1),IF(ISNUMBER(INDEX($F$5:$F$1000,$R250-4)),DATE(YEAR(INDEX($F$5:$F$1000,$R250-4)),MONTH(INDEX($F$5:$F$1000,$R250-4)),1),MesCiclo)),IF(ISNUMBER($E250),DATE(YEAR($E250),MONTH($E250),1),IF(ISNUMBER($F250),DATE(YEAR($F250),MONTH($F250),1),MesCiclo))))</f>
        <v/>
      </c>
      <c r="Q250" s="70">
        <f>IF(OR($P250="",$P250&lt;&gt;MesCiclo),"",COUNTIF($P$5:$P250,MesCiclo))</f>
        <v/>
      </c>
      <c r="R250" s="70">
        <f>IF($S250="","",IF($S250="Macro",ROW(),IFERROR(LOOKUP(2,1/($S$5:$S250="Macro"),ROW($S$5:$S250)),0)))</f>
        <v/>
      </c>
      <c r="S250" s="70">
        <f>IF(NOT((COUNTA($B250:$K250)+COUNTA($N250))&gt;0),"",IF($B250&lt;&gt;"","Macro",IF($C250&lt;&gt;"","Sub","Macro")))</f>
        <v/>
      </c>
      <c r="T250" s="70">
        <f>IF($S250="Macro",COUNTIFS($R$5:$R$1000,ROW(),$S$5:$S$1000,"Sub"),"")</f>
        <v/>
      </c>
      <c r="U250" s="70">
        <f>IF($S250="","",IF(ISNUMBER($H250),$H250,0))</f>
        <v/>
      </c>
      <c r="V250" s="70">
        <f>IF($S250="","",IF(ISNUMBER($I250),$I250,$U250))</f>
        <v/>
      </c>
      <c r="W250" s="70">
        <f>IF($S250="","",IF(ISNUMBER($J250),$J250,$V250))</f>
        <v/>
      </c>
      <c r="X250" s="70">
        <f>IF($S250="","",IF(ISNUMBER($K250),$K250,$W250))</f>
        <v/>
      </c>
      <c r="Y250" s="70">
        <f>IF($S250="","",IF(N($T250)&gt;0,AVERAGEIFS($U$5:$U$1000,$R$5:$R$1000,ROW(),$S$5:$S$1000,"Sub"),$U250))</f>
        <v/>
      </c>
      <c r="Z250" s="70">
        <f>IF($S250="","",IF(N($T250)&gt;0,AVERAGEIFS($V$5:$V$1000,$R$5:$R$1000,ROW(),$S$5:$S$1000,"Sub"),$V250))</f>
        <v/>
      </c>
      <c r="AA250" s="70">
        <f>IF($S250="","",IF(N($T250)&gt;0,AVERAGEIFS($W$5:$W$1000,$R$5:$R$1000,ROW(),$S$5:$S$1000,"Sub"),$W250))</f>
        <v/>
      </c>
      <c r="AB250" s="70">
        <f>IF($S250="","",IF(N($T250)&gt;0,AVERAGEIFS($X$5:$X$1000,$R$5:$R$1000,ROW(),$S$5:$S$1000,"Sub"),$X250))</f>
        <v/>
      </c>
    </row>
    <row r="251">
      <c r="A251" s="61">
        <f>IF(NOT((COUNTA($B251:$K251)+COUNTA($N251))&gt;0),"",IF($S251="Macro",COUNTIFS($S$5:$S251,"Macro",$P$5:$P251,$P251),IF(N($R251)=0,"?",COUNTIFS(INDEX($S$5:$S$1000,1):INDEX($S$5:$S$1000,$R251-4),"Macro",INDEX($P$5:$P$1000,1):INDEX($P$5:$P$1000,$R251-4),INDEX($P$5:$P$1000,$R251-4))&amp;"."&amp;COUNTIFS($R$5:$R251,$R251,$S$5:$S251,"Sub"))))</f>
        <v/>
      </c>
      <c r="B251" s="62" t="n"/>
      <c r="C251" s="63" t="n"/>
      <c r="D251" s="62" t="n"/>
      <c r="E251" s="64" t="n"/>
      <c r="F251" s="64" t="n"/>
      <c r="G251" s="65" t="n"/>
      <c r="H251" s="66" t="n"/>
      <c r="I251" s="66" t="n"/>
      <c r="J251" s="66" t="n"/>
      <c r="K251" s="66" t="n"/>
      <c r="L251" s="67">
        <f>IF(NOT((COUNTA($B251:$K251)+COUNTA($N251))&gt;0),"",IF(N($T251)&gt;0,$AB251,IFERROR(LOOKUP(2,1/(H251:K251&lt;&gt;""),H251:K251),0)))</f>
        <v/>
      </c>
      <c r="M251" s="61">
        <f>IF(L251="","",IF(L251&gt;=1,"Completado",IF(L251&gt;0,"En curso","Pendiente")))</f>
        <v/>
      </c>
      <c r="N251" s="62" t="n"/>
      <c r="O251" s="68">
        <f>IF(NOT((COUNTA($B251:$K251)+COUNTA($N251))&gt;0),"",IF((IF(AND($S251="Macro",$B251=""),"Macroactividad vacía"&amp;" · ","")&amp;IF(AND($B251&lt;&gt;"",$C251&lt;&gt;""),"Escriba la subactividad en otra fila, debajo de su macroactividad"&amp;" · ","")&amp;IF(AND($S251="Sub",N($R251)=0),"Subactividad sin macroactividad arriba"&amp;" · ","")&amp;IF($D251="","Sin responsable"&amp;" · ","")&amp;IF($E251="","Sin fecha de inicio"&amp;" · ","")&amp;IF($F251="","Sin fecha límite"&amp;" · ","")&amp;IF(OR(AND($E251&lt;&gt;"",NOT(ISNUMBER($E251))),AND($F251&lt;&gt;"",NOT(ISNUMBER($F251)))),"Fecha no válida"&amp;" · ","")&amp;IF(AND(ISNUMBER($E251),ISNUMBER($F251),$E251&gt;$F251),"Inicio posterior a fecha límite"&amp;" · ","")&amp;IF(AND($S251="Macro",$G251=""),"Peso vacío"&amp;" · ","")&amp;IF(AND($S251="Macro",$G251&lt;&gt;"",OR(NOT(ISNUMBER($G251)),$G251&lt;=0,$G251&gt;1)),"Peso fuera de rango"&amp;" · ","")&amp;IF(AND($S251="Sub",$G251&lt;&gt;""),"Las subactividades no llevan peso"&amp;" · ","")&amp;IF(AND($S251="Macro",ABS(SUMIFS($G$5:$G$1000,$P$5:$P$1000,$P251,$S$5:$S$1000,"Macro")-1)&gt;0.0001),"Pesos del mes suman "&amp;TEXT(SUMIFS($G$5:$G$1000,$P$5:$P$1000,$P251,$S$5:$S$1000,"Macro"),"0%")&amp;" · ","")&amp;IF(AND(N($T251)&gt;0,COUNT($H251:$K251)&gt;0),"Con subactividades: deje vacías las semanas (se calculan solas)"&amp;" · ","")&amp;IF((COUNTIF($H251:$K251,"&gt;1")+COUNTIF($H251:$K251,"&lt;0")+COUNTA($H251:$K251)-COUNT($H251:$K251))&gt;0,"Avance fuera de rango 0-100%"&amp;" · ","")&amp;IF(OR(AND($I251&lt;&gt;"",$I251&lt;$H251),AND($J251&lt;&gt;"",$J251&lt;MAX($H251:$I251)),AND($K251&lt;&gt;"",$K251&lt;MAX($H251:$J251))),"Avance semanal decreciente"&amp;" · ","")&amp;IF(AND(ISNUMBER($F251),$F251&lt;FechaRef,N($L251)&lt;1),"Vencida"&amp;" · ","")&amp;IF(AND(ObsObligatoria="Sí",ISNUMBER($F251),$F251&lt;FechaRef,N($L251)&lt;1,$N251=""),"Vencida sin observación"&amp;" · ",""))="","✔ OK","⚠ "&amp;LEFT(IF(AND($S251="Macro",$B251=""),"Macroactividad vacía"&amp;" · ","")&amp;IF(AND($B251&lt;&gt;"",$C251&lt;&gt;""),"Escriba la subactividad en otra fila, debajo de su macroactividad"&amp;" · ","")&amp;IF(AND($S251="Sub",N($R251)=0),"Subactividad sin macroactividad arriba"&amp;" · ","")&amp;IF($D251="","Sin responsable"&amp;" · ","")&amp;IF($E251="","Sin fecha de inicio"&amp;" · ","")&amp;IF($F251="","Sin fecha límite"&amp;" · ","")&amp;IF(OR(AND($E251&lt;&gt;"",NOT(ISNUMBER($E251))),AND($F251&lt;&gt;"",NOT(ISNUMBER($F251)))),"Fecha no válida"&amp;" · ","")&amp;IF(AND(ISNUMBER($E251),ISNUMBER($F251),$E251&gt;$F251),"Inicio posterior a fecha límite"&amp;" · ","")&amp;IF(AND($S251="Macro",$G251=""),"Peso vacío"&amp;" · ","")&amp;IF(AND($S251="Macro",$G251&lt;&gt;"",OR(NOT(ISNUMBER($G251)),$G251&lt;=0,$G251&gt;1)),"Peso fuera de rango"&amp;" · ","")&amp;IF(AND($S251="Sub",$G251&lt;&gt;""),"Las subactividades no llevan peso"&amp;" · ","")&amp;IF(AND($S251="Macro",ABS(SUMIFS($G$5:$G$1000,$P$5:$P$1000,$P251,$S$5:$S$1000,"Macro")-1)&gt;0.0001),"Pesos del mes suman "&amp;TEXT(SUMIFS($G$5:$G$1000,$P$5:$P$1000,$P251,$S$5:$S$1000,"Macro"),"0%")&amp;" · ","")&amp;IF(AND(N($T251)&gt;0,COUNT($H251:$K251)&gt;0),"Con subactividades: deje vacías las semanas (se calculan solas)"&amp;" · ","")&amp;IF((COUNTIF($H251:$K251,"&gt;1")+COUNTIF($H251:$K251,"&lt;0")+COUNTA($H251:$K251)-COUNT($H251:$K251))&gt;0,"Avance fuera de rango 0-100%"&amp;" · ","")&amp;IF(OR(AND($I251&lt;&gt;"",$I251&lt;$H251),AND($J251&lt;&gt;"",$J251&lt;MAX($H251:$I251)),AND($K251&lt;&gt;"",$K251&lt;MAX($H251:$J251))),"Avance semanal decreciente"&amp;" · ","")&amp;IF(AND(ISNUMBER($F251),$F251&lt;FechaRef,N($L251)&lt;1),"Vencida"&amp;" · ","")&amp;IF(AND(ObsObligatoria="Sí",ISNUMBER($F251),$F251&lt;FechaRef,N($L251)&lt;1,$N251=""),"Vencida sin observación"&amp;" · ",""),LEN(IF(AND($S251="Macro",$B251=""),"Macroactividad vacía"&amp;" · ","")&amp;IF(AND($B251&lt;&gt;"",$C251&lt;&gt;""),"Escriba la subactividad en otra fila, debajo de su macroactividad"&amp;" · ","")&amp;IF(AND($S251="Sub",N($R251)=0),"Subactividad sin macroactividad arriba"&amp;" · ","")&amp;IF($D251="","Sin responsable"&amp;" · ","")&amp;IF($E251="","Sin fecha de inicio"&amp;" · ","")&amp;IF($F251="","Sin fecha límite"&amp;" · ","")&amp;IF(OR(AND($E251&lt;&gt;"",NOT(ISNUMBER($E251))),AND($F251&lt;&gt;"",NOT(ISNUMBER($F251)))),"Fecha no válida"&amp;" · ","")&amp;IF(AND(ISNUMBER($E251),ISNUMBER($F251),$E251&gt;$F251),"Inicio posterior a fecha límite"&amp;" · ","")&amp;IF(AND($S251="Macro",$G251=""),"Peso vacío"&amp;" · ","")&amp;IF(AND($S251="Macro",$G251&lt;&gt;"",OR(NOT(ISNUMBER($G251)),$G251&lt;=0,$G251&gt;1)),"Peso fuera de rango"&amp;" · ","")&amp;IF(AND($S251="Sub",$G251&lt;&gt;""),"Las subactividades no llevan peso"&amp;" · ","")&amp;IF(AND($S251="Macro",ABS(SUMIFS($G$5:$G$1000,$P$5:$P$1000,$P251,$S$5:$S$1000,"Macro")-1)&gt;0.0001),"Pesos del mes suman "&amp;TEXT(SUMIFS($G$5:$G$1000,$P$5:$P$1000,$P251,$S$5:$S$1000,"Macro"),"0%")&amp;" · ","")&amp;IF(AND(N($T251)&gt;0,COUNT($H251:$K251)&gt;0),"Con subactividades: deje vacías las semanas (se calculan solas)"&amp;" · ","")&amp;IF((COUNTIF($H251:$K251,"&gt;1")+COUNTIF($H251:$K251,"&lt;0")+COUNTA($H251:$K251)-COUNT($H251:$K251))&gt;0,"Avance fuera de rango 0-100%"&amp;" · ","")&amp;IF(OR(AND($I251&lt;&gt;"",$I251&lt;$H251),AND($J251&lt;&gt;"",$J251&lt;MAX($H251:$I251)),AND($K251&lt;&gt;"",$K251&lt;MAX($H251:$J251))),"Avance semanal decreciente"&amp;" · ","")&amp;IF(AND(ISNUMBER($F251),$F251&lt;FechaRef,N($L251)&lt;1),"Vencida"&amp;" · ","")&amp;IF(AND(ObsObligatoria="Sí",ISNUMBER($F251),$F251&lt;FechaRef,N($L251)&lt;1,$N251=""),"Vencida sin observación"&amp;" · ",""))-3)))</f>
        <v/>
      </c>
      <c r="P251" s="69">
        <f>IF(NOT((COUNTA($B251:$K251)+COUNTA($N251))&gt;0),"",IF(AND($S251="Sub",N($R251)&gt;0),IF(ISNUMBER(INDEX($E$5:$E$1000,$R251-4)),DATE(YEAR(INDEX($E$5:$E$1000,$R251-4)),MONTH(INDEX($E$5:$E$1000,$R251-4)),1),IF(ISNUMBER(INDEX($F$5:$F$1000,$R251-4)),DATE(YEAR(INDEX($F$5:$F$1000,$R251-4)),MONTH(INDEX($F$5:$F$1000,$R251-4)),1),MesCiclo)),IF(ISNUMBER($E251),DATE(YEAR($E251),MONTH($E251),1),IF(ISNUMBER($F251),DATE(YEAR($F251),MONTH($F251),1),MesCiclo))))</f>
        <v/>
      </c>
      <c r="Q251" s="70">
        <f>IF(OR($P251="",$P251&lt;&gt;MesCiclo),"",COUNTIF($P$5:$P251,MesCiclo))</f>
        <v/>
      </c>
      <c r="R251" s="70">
        <f>IF($S251="","",IF($S251="Macro",ROW(),IFERROR(LOOKUP(2,1/($S$5:$S251="Macro"),ROW($S$5:$S251)),0)))</f>
        <v/>
      </c>
      <c r="S251" s="70">
        <f>IF(NOT((COUNTA($B251:$K251)+COUNTA($N251))&gt;0),"",IF($B251&lt;&gt;"","Macro",IF($C251&lt;&gt;"","Sub","Macro")))</f>
        <v/>
      </c>
      <c r="T251" s="70">
        <f>IF($S251="Macro",COUNTIFS($R$5:$R$1000,ROW(),$S$5:$S$1000,"Sub"),"")</f>
        <v/>
      </c>
      <c r="U251" s="70">
        <f>IF($S251="","",IF(ISNUMBER($H251),$H251,0))</f>
        <v/>
      </c>
      <c r="V251" s="70">
        <f>IF($S251="","",IF(ISNUMBER($I251),$I251,$U251))</f>
        <v/>
      </c>
      <c r="W251" s="70">
        <f>IF($S251="","",IF(ISNUMBER($J251),$J251,$V251))</f>
        <v/>
      </c>
      <c r="X251" s="70">
        <f>IF($S251="","",IF(ISNUMBER($K251),$K251,$W251))</f>
        <v/>
      </c>
      <c r="Y251" s="70">
        <f>IF($S251="","",IF(N($T251)&gt;0,AVERAGEIFS($U$5:$U$1000,$R$5:$R$1000,ROW(),$S$5:$S$1000,"Sub"),$U251))</f>
        <v/>
      </c>
      <c r="Z251" s="70">
        <f>IF($S251="","",IF(N($T251)&gt;0,AVERAGEIFS($V$5:$V$1000,$R$5:$R$1000,ROW(),$S$5:$S$1000,"Sub"),$V251))</f>
        <v/>
      </c>
      <c r="AA251" s="70">
        <f>IF($S251="","",IF(N($T251)&gt;0,AVERAGEIFS($W$5:$W$1000,$R$5:$R$1000,ROW(),$S$5:$S$1000,"Sub"),$W251))</f>
        <v/>
      </c>
      <c r="AB251" s="70">
        <f>IF($S251="","",IF(N($T251)&gt;0,AVERAGEIFS($X$5:$X$1000,$R$5:$R$1000,ROW(),$S$5:$S$1000,"Sub"),$X251))</f>
        <v/>
      </c>
    </row>
    <row r="252">
      <c r="A252" s="61">
        <f>IF(NOT((COUNTA($B252:$K252)+COUNTA($N252))&gt;0),"",IF($S252="Macro",COUNTIFS($S$5:$S252,"Macro",$P$5:$P252,$P252),IF(N($R252)=0,"?",COUNTIFS(INDEX($S$5:$S$1000,1):INDEX($S$5:$S$1000,$R252-4),"Macro",INDEX($P$5:$P$1000,1):INDEX($P$5:$P$1000,$R252-4),INDEX($P$5:$P$1000,$R252-4))&amp;"."&amp;COUNTIFS($R$5:$R252,$R252,$S$5:$S252,"Sub"))))</f>
        <v/>
      </c>
      <c r="B252" s="62" t="n"/>
      <c r="C252" s="63" t="n"/>
      <c r="D252" s="62" t="n"/>
      <c r="E252" s="64" t="n"/>
      <c r="F252" s="64" t="n"/>
      <c r="G252" s="65" t="n"/>
      <c r="H252" s="66" t="n"/>
      <c r="I252" s="66" t="n"/>
      <c r="J252" s="66" t="n"/>
      <c r="K252" s="66" t="n"/>
      <c r="L252" s="67">
        <f>IF(NOT((COUNTA($B252:$K252)+COUNTA($N252))&gt;0),"",IF(N($T252)&gt;0,$AB252,IFERROR(LOOKUP(2,1/(H252:K252&lt;&gt;""),H252:K252),0)))</f>
        <v/>
      </c>
      <c r="M252" s="61">
        <f>IF(L252="","",IF(L252&gt;=1,"Completado",IF(L252&gt;0,"En curso","Pendiente")))</f>
        <v/>
      </c>
      <c r="N252" s="62" t="n"/>
      <c r="O252" s="68">
        <f>IF(NOT((COUNTA($B252:$K252)+COUNTA($N252))&gt;0),"",IF((IF(AND($S252="Macro",$B252=""),"Macroactividad vacía"&amp;" · ","")&amp;IF(AND($B252&lt;&gt;"",$C252&lt;&gt;""),"Escriba la subactividad en otra fila, debajo de su macroactividad"&amp;" · ","")&amp;IF(AND($S252="Sub",N($R252)=0),"Subactividad sin macroactividad arriba"&amp;" · ","")&amp;IF($D252="","Sin responsable"&amp;" · ","")&amp;IF($E252="","Sin fecha de inicio"&amp;" · ","")&amp;IF($F252="","Sin fecha límite"&amp;" · ","")&amp;IF(OR(AND($E252&lt;&gt;"",NOT(ISNUMBER($E252))),AND($F252&lt;&gt;"",NOT(ISNUMBER($F252)))),"Fecha no válida"&amp;" · ","")&amp;IF(AND(ISNUMBER($E252),ISNUMBER($F252),$E252&gt;$F252),"Inicio posterior a fecha límite"&amp;" · ","")&amp;IF(AND($S252="Macro",$G252=""),"Peso vacío"&amp;" · ","")&amp;IF(AND($S252="Macro",$G252&lt;&gt;"",OR(NOT(ISNUMBER($G252)),$G252&lt;=0,$G252&gt;1)),"Peso fuera de rango"&amp;" · ","")&amp;IF(AND($S252="Sub",$G252&lt;&gt;""),"Las subactividades no llevan peso"&amp;" · ","")&amp;IF(AND($S252="Macro",ABS(SUMIFS($G$5:$G$1000,$P$5:$P$1000,$P252,$S$5:$S$1000,"Macro")-1)&gt;0.0001),"Pesos del mes suman "&amp;TEXT(SUMIFS($G$5:$G$1000,$P$5:$P$1000,$P252,$S$5:$S$1000,"Macro"),"0%")&amp;" · ","")&amp;IF(AND(N($T252)&gt;0,COUNT($H252:$K252)&gt;0),"Con subactividades: deje vacías las semanas (se calculan solas)"&amp;" · ","")&amp;IF((COUNTIF($H252:$K252,"&gt;1")+COUNTIF($H252:$K252,"&lt;0")+COUNTA($H252:$K252)-COUNT($H252:$K252))&gt;0,"Avance fuera de rango 0-100%"&amp;" · ","")&amp;IF(OR(AND($I252&lt;&gt;"",$I252&lt;$H252),AND($J252&lt;&gt;"",$J252&lt;MAX($H252:$I252)),AND($K252&lt;&gt;"",$K252&lt;MAX($H252:$J252))),"Avance semanal decreciente"&amp;" · ","")&amp;IF(AND(ISNUMBER($F252),$F252&lt;FechaRef,N($L252)&lt;1),"Vencida"&amp;" · ","")&amp;IF(AND(ObsObligatoria="Sí",ISNUMBER($F252),$F252&lt;FechaRef,N($L252)&lt;1,$N252=""),"Vencida sin observación"&amp;" · ",""))="","✔ OK","⚠ "&amp;LEFT(IF(AND($S252="Macro",$B252=""),"Macroactividad vacía"&amp;" · ","")&amp;IF(AND($B252&lt;&gt;"",$C252&lt;&gt;""),"Escriba la subactividad en otra fila, debajo de su macroactividad"&amp;" · ","")&amp;IF(AND($S252="Sub",N($R252)=0),"Subactividad sin macroactividad arriba"&amp;" · ","")&amp;IF($D252="","Sin responsable"&amp;" · ","")&amp;IF($E252="","Sin fecha de inicio"&amp;" · ","")&amp;IF($F252="","Sin fecha límite"&amp;" · ","")&amp;IF(OR(AND($E252&lt;&gt;"",NOT(ISNUMBER($E252))),AND($F252&lt;&gt;"",NOT(ISNUMBER($F252)))),"Fecha no válida"&amp;" · ","")&amp;IF(AND(ISNUMBER($E252),ISNUMBER($F252),$E252&gt;$F252),"Inicio posterior a fecha límite"&amp;" · ","")&amp;IF(AND($S252="Macro",$G252=""),"Peso vacío"&amp;" · ","")&amp;IF(AND($S252="Macro",$G252&lt;&gt;"",OR(NOT(ISNUMBER($G252)),$G252&lt;=0,$G252&gt;1)),"Peso fuera de rango"&amp;" · ","")&amp;IF(AND($S252="Sub",$G252&lt;&gt;""),"Las subactividades no llevan peso"&amp;" · ","")&amp;IF(AND($S252="Macro",ABS(SUMIFS($G$5:$G$1000,$P$5:$P$1000,$P252,$S$5:$S$1000,"Macro")-1)&gt;0.0001),"Pesos del mes suman "&amp;TEXT(SUMIFS($G$5:$G$1000,$P$5:$P$1000,$P252,$S$5:$S$1000,"Macro"),"0%")&amp;" · ","")&amp;IF(AND(N($T252)&gt;0,COUNT($H252:$K252)&gt;0),"Con subactividades: deje vacías las semanas (se calculan solas)"&amp;" · ","")&amp;IF((COUNTIF($H252:$K252,"&gt;1")+COUNTIF($H252:$K252,"&lt;0")+COUNTA($H252:$K252)-COUNT($H252:$K252))&gt;0,"Avance fuera de rango 0-100%"&amp;" · ","")&amp;IF(OR(AND($I252&lt;&gt;"",$I252&lt;$H252),AND($J252&lt;&gt;"",$J252&lt;MAX($H252:$I252)),AND($K252&lt;&gt;"",$K252&lt;MAX($H252:$J252))),"Avance semanal decreciente"&amp;" · ","")&amp;IF(AND(ISNUMBER($F252),$F252&lt;FechaRef,N($L252)&lt;1),"Vencida"&amp;" · ","")&amp;IF(AND(ObsObligatoria="Sí",ISNUMBER($F252),$F252&lt;FechaRef,N($L252)&lt;1,$N252=""),"Vencida sin observación"&amp;" · ",""),LEN(IF(AND($S252="Macro",$B252=""),"Macroactividad vacía"&amp;" · ","")&amp;IF(AND($B252&lt;&gt;"",$C252&lt;&gt;""),"Escriba la subactividad en otra fila, debajo de su macroactividad"&amp;" · ","")&amp;IF(AND($S252="Sub",N($R252)=0),"Subactividad sin macroactividad arriba"&amp;" · ","")&amp;IF($D252="","Sin responsable"&amp;" · ","")&amp;IF($E252="","Sin fecha de inicio"&amp;" · ","")&amp;IF($F252="","Sin fecha límite"&amp;" · ","")&amp;IF(OR(AND($E252&lt;&gt;"",NOT(ISNUMBER($E252))),AND($F252&lt;&gt;"",NOT(ISNUMBER($F252)))),"Fecha no válida"&amp;" · ","")&amp;IF(AND(ISNUMBER($E252),ISNUMBER($F252),$E252&gt;$F252),"Inicio posterior a fecha límite"&amp;" · ","")&amp;IF(AND($S252="Macro",$G252=""),"Peso vacío"&amp;" · ","")&amp;IF(AND($S252="Macro",$G252&lt;&gt;"",OR(NOT(ISNUMBER($G252)),$G252&lt;=0,$G252&gt;1)),"Peso fuera de rango"&amp;" · ","")&amp;IF(AND($S252="Sub",$G252&lt;&gt;""),"Las subactividades no llevan peso"&amp;" · ","")&amp;IF(AND($S252="Macro",ABS(SUMIFS($G$5:$G$1000,$P$5:$P$1000,$P252,$S$5:$S$1000,"Macro")-1)&gt;0.0001),"Pesos del mes suman "&amp;TEXT(SUMIFS($G$5:$G$1000,$P$5:$P$1000,$P252,$S$5:$S$1000,"Macro"),"0%")&amp;" · ","")&amp;IF(AND(N($T252)&gt;0,COUNT($H252:$K252)&gt;0),"Con subactividades: deje vacías las semanas (se calculan solas)"&amp;" · ","")&amp;IF((COUNTIF($H252:$K252,"&gt;1")+COUNTIF($H252:$K252,"&lt;0")+COUNTA($H252:$K252)-COUNT($H252:$K252))&gt;0,"Avance fuera de rango 0-100%"&amp;" · ","")&amp;IF(OR(AND($I252&lt;&gt;"",$I252&lt;$H252),AND($J252&lt;&gt;"",$J252&lt;MAX($H252:$I252)),AND($K252&lt;&gt;"",$K252&lt;MAX($H252:$J252))),"Avance semanal decreciente"&amp;" · ","")&amp;IF(AND(ISNUMBER($F252),$F252&lt;FechaRef,N($L252)&lt;1),"Vencida"&amp;" · ","")&amp;IF(AND(ObsObligatoria="Sí",ISNUMBER($F252),$F252&lt;FechaRef,N($L252)&lt;1,$N252=""),"Vencida sin observación"&amp;" · ",""))-3)))</f>
        <v/>
      </c>
      <c r="P252" s="69">
        <f>IF(NOT((COUNTA($B252:$K252)+COUNTA($N252))&gt;0),"",IF(AND($S252="Sub",N($R252)&gt;0),IF(ISNUMBER(INDEX($E$5:$E$1000,$R252-4)),DATE(YEAR(INDEX($E$5:$E$1000,$R252-4)),MONTH(INDEX($E$5:$E$1000,$R252-4)),1),IF(ISNUMBER(INDEX($F$5:$F$1000,$R252-4)),DATE(YEAR(INDEX($F$5:$F$1000,$R252-4)),MONTH(INDEX($F$5:$F$1000,$R252-4)),1),MesCiclo)),IF(ISNUMBER($E252),DATE(YEAR($E252),MONTH($E252),1),IF(ISNUMBER($F252),DATE(YEAR($F252),MONTH($F252),1),MesCiclo))))</f>
        <v/>
      </c>
      <c r="Q252" s="70">
        <f>IF(OR($P252="",$P252&lt;&gt;MesCiclo),"",COUNTIF($P$5:$P252,MesCiclo))</f>
        <v/>
      </c>
      <c r="R252" s="70">
        <f>IF($S252="","",IF($S252="Macro",ROW(),IFERROR(LOOKUP(2,1/($S$5:$S252="Macro"),ROW($S$5:$S252)),0)))</f>
        <v/>
      </c>
      <c r="S252" s="70">
        <f>IF(NOT((COUNTA($B252:$K252)+COUNTA($N252))&gt;0),"",IF($B252&lt;&gt;"","Macro",IF($C252&lt;&gt;"","Sub","Macro")))</f>
        <v/>
      </c>
      <c r="T252" s="70">
        <f>IF($S252="Macro",COUNTIFS($R$5:$R$1000,ROW(),$S$5:$S$1000,"Sub"),"")</f>
        <v/>
      </c>
      <c r="U252" s="70">
        <f>IF($S252="","",IF(ISNUMBER($H252),$H252,0))</f>
        <v/>
      </c>
      <c r="V252" s="70">
        <f>IF($S252="","",IF(ISNUMBER($I252),$I252,$U252))</f>
        <v/>
      </c>
      <c r="W252" s="70">
        <f>IF($S252="","",IF(ISNUMBER($J252),$J252,$V252))</f>
        <v/>
      </c>
      <c r="X252" s="70">
        <f>IF($S252="","",IF(ISNUMBER($K252),$K252,$W252))</f>
        <v/>
      </c>
      <c r="Y252" s="70">
        <f>IF($S252="","",IF(N($T252)&gt;0,AVERAGEIFS($U$5:$U$1000,$R$5:$R$1000,ROW(),$S$5:$S$1000,"Sub"),$U252))</f>
        <v/>
      </c>
      <c r="Z252" s="70">
        <f>IF($S252="","",IF(N($T252)&gt;0,AVERAGEIFS($V$5:$V$1000,$R$5:$R$1000,ROW(),$S$5:$S$1000,"Sub"),$V252))</f>
        <v/>
      </c>
      <c r="AA252" s="70">
        <f>IF($S252="","",IF(N($T252)&gt;0,AVERAGEIFS($W$5:$W$1000,$R$5:$R$1000,ROW(),$S$5:$S$1000,"Sub"),$W252))</f>
        <v/>
      </c>
      <c r="AB252" s="70">
        <f>IF($S252="","",IF(N($T252)&gt;0,AVERAGEIFS($X$5:$X$1000,$R$5:$R$1000,ROW(),$S$5:$S$1000,"Sub"),$X252))</f>
        <v/>
      </c>
    </row>
    <row r="253">
      <c r="A253" s="61">
        <f>IF(NOT((COUNTA($B253:$K253)+COUNTA($N253))&gt;0),"",IF($S253="Macro",COUNTIFS($S$5:$S253,"Macro",$P$5:$P253,$P253),IF(N($R253)=0,"?",COUNTIFS(INDEX($S$5:$S$1000,1):INDEX($S$5:$S$1000,$R253-4),"Macro",INDEX($P$5:$P$1000,1):INDEX($P$5:$P$1000,$R253-4),INDEX($P$5:$P$1000,$R253-4))&amp;"."&amp;COUNTIFS($R$5:$R253,$R253,$S$5:$S253,"Sub"))))</f>
        <v/>
      </c>
      <c r="B253" s="62" t="n"/>
      <c r="C253" s="63" t="n"/>
      <c r="D253" s="62" t="n"/>
      <c r="E253" s="64" t="n"/>
      <c r="F253" s="64" t="n"/>
      <c r="G253" s="65" t="n"/>
      <c r="H253" s="66" t="n"/>
      <c r="I253" s="66" t="n"/>
      <c r="J253" s="66" t="n"/>
      <c r="K253" s="66" t="n"/>
      <c r="L253" s="67">
        <f>IF(NOT((COUNTA($B253:$K253)+COUNTA($N253))&gt;0),"",IF(N($T253)&gt;0,$AB253,IFERROR(LOOKUP(2,1/(H253:K253&lt;&gt;""),H253:K253),0)))</f>
        <v/>
      </c>
      <c r="M253" s="61">
        <f>IF(L253="","",IF(L253&gt;=1,"Completado",IF(L253&gt;0,"En curso","Pendiente")))</f>
        <v/>
      </c>
      <c r="N253" s="62" t="n"/>
      <c r="O253" s="68">
        <f>IF(NOT((COUNTA($B253:$K253)+COUNTA($N253))&gt;0),"",IF((IF(AND($S253="Macro",$B253=""),"Macroactividad vacía"&amp;" · ","")&amp;IF(AND($B253&lt;&gt;"",$C253&lt;&gt;""),"Escriba la subactividad en otra fila, debajo de su macroactividad"&amp;" · ","")&amp;IF(AND($S253="Sub",N($R253)=0),"Subactividad sin macroactividad arriba"&amp;" · ","")&amp;IF($D253="","Sin responsable"&amp;" · ","")&amp;IF($E253="","Sin fecha de inicio"&amp;" · ","")&amp;IF($F253="","Sin fecha límite"&amp;" · ","")&amp;IF(OR(AND($E253&lt;&gt;"",NOT(ISNUMBER($E253))),AND($F253&lt;&gt;"",NOT(ISNUMBER($F253)))),"Fecha no válida"&amp;" · ","")&amp;IF(AND(ISNUMBER($E253),ISNUMBER($F253),$E253&gt;$F253),"Inicio posterior a fecha límite"&amp;" · ","")&amp;IF(AND($S253="Macro",$G253=""),"Peso vacío"&amp;" · ","")&amp;IF(AND($S253="Macro",$G253&lt;&gt;"",OR(NOT(ISNUMBER($G253)),$G253&lt;=0,$G253&gt;1)),"Peso fuera de rango"&amp;" · ","")&amp;IF(AND($S253="Sub",$G253&lt;&gt;""),"Las subactividades no llevan peso"&amp;" · ","")&amp;IF(AND($S253="Macro",ABS(SUMIFS($G$5:$G$1000,$P$5:$P$1000,$P253,$S$5:$S$1000,"Macro")-1)&gt;0.0001),"Pesos del mes suman "&amp;TEXT(SUMIFS($G$5:$G$1000,$P$5:$P$1000,$P253,$S$5:$S$1000,"Macro"),"0%")&amp;" · ","")&amp;IF(AND(N($T253)&gt;0,COUNT($H253:$K253)&gt;0),"Con subactividades: deje vacías las semanas (se calculan solas)"&amp;" · ","")&amp;IF((COUNTIF($H253:$K253,"&gt;1")+COUNTIF($H253:$K253,"&lt;0")+COUNTA($H253:$K253)-COUNT($H253:$K253))&gt;0,"Avance fuera de rango 0-100%"&amp;" · ","")&amp;IF(OR(AND($I253&lt;&gt;"",$I253&lt;$H253),AND($J253&lt;&gt;"",$J253&lt;MAX($H253:$I253)),AND($K253&lt;&gt;"",$K253&lt;MAX($H253:$J253))),"Avance semanal decreciente"&amp;" · ","")&amp;IF(AND(ISNUMBER($F253),$F253&lt;FechaRef,N($L253)&lt;1),"Vencida"&amp;" · ","")&amp;IF(AND(ObsObligatoria="Sí",ISNUMBER($F253),$F253&lt;FechaRef,N($L253)&lt;1,$N253=""),"Vencida sin observación"&amp;" · ",""))="","✔ OK","⚠ "&amp;LEFT(IF(AND($S253="Macro",$B253=""),"Macroactividad vacía"&amp;" · ","")&amp;IF(AND($B253&lt;&gt;"",$C253&lt;&gt;""),"Escriba la subactividad en otra fila, debajo de su macroactividad"&amp;" · ","")&amp;IF(AND($S253="Sub",N($R253)=0),"Subactividad sin macroactividad arriba"&amp;" · ","")&amp;IF($D253="","Sin responsable"&amp;" · ","")&amp;IF($E253="","Sin fecha de inicio"&amp;" · ","")&amp;IF($F253="","Sin fecha límite"&amp;" · ","")&amp;IF(OR(AND($E253&lt;&gt;"",NOT(ISNUMBER($E253))),AND($F253&lt;&gt;"",NOT(ISNUMBER($F253)))),"Fecha no válida"&amp;" · ","")&amp;IF(AND(ISNUMBER($E253),ISNUMBER($F253),$E253&gt;$F253),"Inicio posterior a fecha límite"&amp;" · ","")&amp;IF(AND($S253="Macro",$G253=""),"Peso vacío"&amp;" · ","")&amp;IF(AND($S253="Macro",$G253&lt;&gt;"",OR(NOT(ISNUMBER($G253)),$G253&lt;=0,$G253&gt;1)),"Peso fuera de rango"&amp;" · ","")&amp;IF(AND($S253="Sub",$G253&lt;&gt;""),"Las subactividades no llevan peso"&amp;" · ","")&amp;IF(AND($S253="Macro",ABS(SUMIFS($G$5:$G$1000,$P$5:$P$1000,$P253,$S$5:$S$1000,"Macro")-1)&gt;0.0001),"Pesos del mes suman "&amp;TEXT(SUMIFS($G$5:$G$1000,$P$5:$P$1000,$P253,$S$5:$S$1000,"Macro"),"0%")&amp;" · ","")&amp;IF(AND(N($T253)&gt;0,COUNT($H253:$K253)&gt;0),"Con subactividades: deje vacías las semanas (se calculan solas)"&amp;" · ","")&amp;IF((COUNTIF($H253:$K253,"&gt;1")+COUNTIF($H253:$K253,"&lt;0")+COUNTA($H253:$K253)-COUNT($H253:$K253))&gt;0,"Avance fuera de rango 0-100%"&amp;" · ","")&amp;IF(OR(AND($I253&lt;&gt;"",$I253&lt;$H253),AND($J253&lt;&gt;"",$J253&lt;MAX($H253:$I253)),AND($K253&lt;&gt;"",$K253&lt;MAX($H253:$J253))),"Avance semanal decreciente"&amp;" · ","")&amp;IF(AND(ISNUMBER($F253),$F253&lt;FechaRef,N($L253)&lt;1),"Vencida"&amp;" · ","")&amp;IF(AND(ObsObligatoria="Sí",ISNUMBER($F253),$F253&lt;FechaRef,N($L253)&lt;1,$N253=""),"Vencida sin observación"&amp;" · ",""),LEN(IF(AND($S253="Macro",$B253=""),"Macroactividad vacía"&amp;" · ","")&amp;IF(AND($B253&lt;&gt;"",$C253&lt;&gt;""),"Escriba la subactividad en otra fila, debajo de su macroactividad"&amp;" · ","")&amp;IF(AND($S253="Sub",N($R253)=0),"Subactividad sin macroactividad arriba"&amp;" · ","")&amp;IF($D253="","Sin responsable"&amp;" · ","")&amp;IF($E253="","Sin fecha de inicio"&amp;" · ","")&amp;IF($F253="","Sin fecha límite"&amp;" · ","")&amp;IF(OR(AND($E253&lt;&gt;"",NOT(ISNUMBER($E253))),AND($F253&lt;&gt;"",NOT(ISNUMBER($F253)))),"Fecha no válida"&amp;" · ","")&amp;IF(AND(ISNUMBER($E253),ISNUMBER($F253),$E253&gt;$F253),"Inicio posterior a fecha límite"&amp;" · ","")&amp;IF(AND($S253="Macro",$G253=""),"Peso vacío"&amp;" · ","")&amp;IF(AND($S253="Macro",$G253&lt;&gt;"",OR(NOT(ISNUMBER($G253)),$G253&lt;=0,$G253&gt;1)),"Peso fuera de rango"&amp;" · ","")&amp;IF(AND($S253="Sub",$G253&lt;&gt;""),"Las subactividades no llevan peso"&amp;" · ","")&amp;IF(AND($S253="Macro",ABS(SUMIFS($G$5:$G$1000,$P$5:$P$1000,$P253,$S$5:$S$1000,"Macro")-1)&gt;0.0001),"Pesos del mes suman "&amp;TEXT(SUMIFS($G$5:$G$1000,$P$5:$P$1000,$P253,$S$5:$S$1000,"Macro"),"0%")&amp;" · ","")&amp;IF(AND(N($T253)&gt;0,COUNT($H253:$K253)&gt;0),"Con subactividades: deje vacías las semanas (se calculan solas)"&amp;" · ","")&amp;IF((COUNTIF($H253:$K253,"&gt;1")+COUNTIF($H253:$K253,"&lt;0")+COUNTA($H253:$K253)-COUNT($H253:$K253))&gt;0,"Avance fuera de rango 0-100%"&amp;" · ","")&amp;IF(OR(AND($I253&lt;&gt;"",$I253&lt;$H253),AND($J253&lt;&gt;"",$J253&lt;MAX($H253:$I253)),AND($K253&lt;&gt;"",$K253&lt;MAX($H253:$J253))),"Avance semanal decreciente"&amp;" · ","")&amp;IF(AND(ISNUMBER($F253),$F253&lt;FechaRef,N($L253)&lt;1),"Vencida"&amp;" · ","")&amp;IF(AND(ObsObligatoria="Sí",ISNUMBER($F253),$F253&lt;FechaRef,N($L253)&lt;1,$N253=""),"Vencida sin observación"&amp;" · ",""))-3)))</f>
        <v/>
      </c>
      <c r="P253" s="69">
        <f>IF(NOT((COUNTA($B253:$K253)+COUNTA($N253))&gt;0),"",IF(AND($S253="Sub",N($R253)&gt;0),IF(ISNUMBER(INDEX($E$5:$E$1000,$R253-4)),DATE(YEAR(INDEX($E$5:$E$1000,$R253-4)),MONTH(INDEX($E$5:$E$1000,$R253-4)),1),IF(ISNUMBER(INDEX($F$5:$F$1000,$R253-4)),DATE(YEAR(INDEX($F$5:$F$1000,$R253-4)),MONTH(INDEX($F$5:$F$1000,$R253-4)),1),MesCiclo)),IF(ISNUMBER($E253),DATE(YEAR($E253),MONTH($E253),1),IF(ISNUMBER($F253),DATE(YEAR($F253),MONTH($F253),1),MesCiclo))))</f>
        <v/>
      </c>
      <c r="Q253" s="70">
        <f>IF(OR($P253="",$P253&lt;&gt;MesCiclo),"",COUNTIF($P$5:$P253,MesCiclo))</f>
        <v/>
      </c>
      <c r="R253" s="70">
        <f>IF($S253="","",IF($S253="Macro",ROW(),IFERROR(LOOKUP(2,1/($S$5:$S253="Macro"),ROW($S$5:$S253)),0)))</f>
        <v/>
      </c>
      <c r="S253" s="70">
        <f>IF(NOT((COUNTA($B253:$K253)+COUNTA($N253))&gt;0),"",IF($B253&lt;&gt;"","Macro",IF($C253&lt;&gt;"","Sub","Macro")))</f>
        <v/>
      </c>
      <c r="T253" s="70">
        <f>IF($S253="Macro",COUNTIFS($R$5:$R$1000,ROW(),$S$5:$S$1000,"Sub"),"")</f>
        <v/>
      </c>
      <c r="U253" s="70">
        <f>IF($S253="","",IF(ISNUMBER($H253),$H253,0))</f>
        <v/>
      </c>
      <c r="V253" s="70">
        <f>IF($S253="","",IF(ISNUMBER($I253),$I253,$U253))</f>
        <v/>
      </c>
      <c r="W253" s="70">
        <f>IF($S253="","",IF(ISNUMBER($J253),$J253,$V253))</f>
        <v/>
      </c>
      <c r="X253" s="70">
        <f>IF($S253="","",IF(ISNUMBER($K253),$K253,$W253))</f>
        <v/>
      </c>
      <c r="Y253" s="70">
        <f>IF($S253="","",IF(N($T253)&gt;0,AVERAGEIFS($U$5:$U$1000,$R$5:$R$1000,ROW(),$S$5:$S$1000,"Sub"),$U253))</f>
        <v/>
      </c>
      <c r="Z253" s="70">
        <f>IF($S253="","",IF(N($T253)&gt;0,AVERAGEIFS($V$5:$V$1000,$R$5:$R$1000,ROW(),$S$5:$S$1000,"Sub"),$V253))</f>
        <v/>
      </c>
      <c r="AA253" s="70">
        <f>IF($S253="","",IF(N($T253)&gt;0,AVERAGEIFS($W$5:$W$1000,$R$5:$R$1000,ROW(),$S$5:$S$1000,"Sub"),$W253))</f>
        <v/>
      </c>
      <c r="AB253" s="70">
        <f>IF($S253="","",IF(N($T253)&gt;0,AVERAGEIFS($X$5:$X$1000,$R$5:$R$1000,ROW(),$S$5:$S$1000,"Sub"),$X253))</f>
        <v/>
      </c>
    </row>
    <row r="254">
      <c r="A254" s="61">
        <f>IF(NOT((COUNTA($B254:$K254)+COUNTA($N254))&gt;0),"",IF($S254="Macro",COUNTIFS($S$5:$S254,"Macro",$P$5:$P254,$P254),IF(N($R254)=0,"?",COUNTIFS(INDEX($S$5:$S$1000,1):INDEX($S$5:$S$1000,$R254-4),"Macro",INDEX($P$5:$P$1000,1):INDEX($P$5:$P$1000,$R254-4),INDEX($P$5:$P$1000,$R254-4))&amp;"."&amp;COUNTIFS($R$5:$R254,$R254,$S$5:$S254,"Sub"))))</f>
        <v/>
      </c>
      <c r="B254" s="62" t="n"/>
      <c r="C254" s="63" t="n"/>
      <c r="D254" s="62" t="n"/>
      <c r="E254" s="64" t="n"/>
      <c r="F254" s="64" t="n"/>
      <c r="G254" s="65" t="n"/>
      <c r="H254" s="66" t="n"/>
      <c r="I254" s="66" t="n"/>
      <c r="J254" s="66" t="n"/>
      <c r="K254" s="66" t="n"/>
      <c r="L254" s="67">
        <f>IF(NOT((COUNTA($B254:$K254)+COUNTA($N254))&gt;0),"",IF(N($T254)&gt;0,$AB254,IFERROR(LOOKUP(2,1/(H254:K254&lt;&gt;""),H254:K254),0)))</f>
        <v/>
      </c>
      <c r="M254" s="61">
        <f>IF(L254="","",IF(L254&gt;=1,"Completado",IF(L254&gt;0,"En curso","Pendiente")))</f>
        <v/>
      </c>
      <c r="N254" s="62" t="n"/>
      <c r="O254" s="68">
        <f>IF(NOT((COUNTA($B254:$K254)+COUNTA($N254))&gt;0),"",IF((IF(AND($S254="Macro",$B254=""),"Macroactividad vacía"&amp;" · ","")&amp;IF(AND($B254&lt;&gt;"",$C254&lt;&gt;""),"Escriba la subactividad en otra fila, debajo de su macroactividad"&amp;" · ","")&amp;IF(AND($S254="Sub",N($R254)=0),"Subactividad sin macroactividad arriba"&amp;" · ","")&amp;IF($D254="","Sin responsable"&amp;" · ","")&amp;IF($E254="","Sin fecha de inicio"&amp;" · ","")&amp;IF($F254="","Sin fecha límite"&amp;" · ","")&amp;IF(OR(AND($E254&lt;&gt;"",NOT(ISNUMBER($E254))),AND($F254&lt;&gt;"",NOT(ISNUMBER($F254)))),"Fecha no válida"&amp;" · ","")&amp;IF(AND(ISNUMBER($E254),ISNUMBER($F254),$E254&gt;$F254),"Inicio posterior a fecha límite"&amp;" · ","")&amp;IF(AND($S254="Macro",$G254=""),"Peso vacío"&amp;" · ","")&amp;IF(AND($S254="Macro",$G254&lt;&gt;"",OR(NOT(ISNUMBER($G254)),$G254&lt;=0,$G254&gt;1)),"Peso fuera de rango"&amp;" · ","")&amp;IF(AND($S254="Sub",$G254&lt;&gt;""),"Las subactividades no llevan peso"&amp;" · ","")&amp;IF(AND($S254="Macro",ABS(SUMIFS($G$5:$G$1000,$P$5:$P$1000,$P254,$S$5:$S$1000,"Macro")-1)&gt;0.0001),"Pesos del mes suman "&amp;TEXT(SUMIFS($G$5:$G$1000,$P$5:$P$1000,$P254,$S$5:$S$1000,"Macro"),"0%")&amp;" · ","")&amp;IF(AND(N($T254)&gt;0,COUNT($H254:$K254)&gt;0),"Con subactividades: deje vacías las semanas (se calculan solas)"&amp;" · ","")&amp;IF((COUNTIF($H254:$K254,"&gt;1")+COUNTIF($H254:$K254,"&lt;0")+COUNTA($H254:$K254)-COUNT($H254:$K254))&gt;0,"Avance fuera de rango 0-100%"&amp;" · ","")&amp;IF(OR(AND($I254&lt;&gt;"",$I254&lt;$H254),AND($J254&lt;&gt;"",$J254&lt;MAX($H254:$I254)),AND($K254&lt;&gt;"",$K254&lt;MAX($H254:$J254))),"Avance semanal decreciente"&amp;" · ","")&amp;IF(AND(ISNUMBER($F254),$F254&lt;FechaRef,N($L254)&lt;1),"Vencida"&amp;" · ","")&amp;IF(AND(ObsObligatoria="Sí",ISNUMBER($F254),$F254&lt;FechaRef,N($L254)&lt;1,$N254=""),"Vencida sin observación"&amp;" · ",""))="","✔ OK","⚠ "&amp;LEFT(IF(AND($S254="Macro",$B254=""),"Macroactividad vacía"&amp;" · ","")&amp;IF(AND($B254&lt;&gt;"",$C254&lt;&gt;""),"Escriba la subactividad en otra fila, debajo de su macroactividad"&amp;" · ","")&amp;IF(AND($S254="Sub",N($R254)=0),"Subactividad sin macroactividad arriba"&amp;" · ","")&amp;IF($D254="","Sin responsable"&amp;" · ","")&amp;IF($E254="","Sin fecha de inicio"&amp;" · ","")&amp;IF($F254="","Sin fecha límite"&amp;" · ","")&amp;IF(OR(AND($E254&lt;&gt;"",NOT(ISNUMBER($E254))),AND($F254&lt;&gt;"",NOT(ISNUMBER($F254)))),"Fecha no válida"&amp;" · ","")&amp;IF(AND(ISNUMBER($E254),ISNUMBER($F254),$E254&gt;$F254),"Inicio posterior a fecha límite"&amp;" · ","")&amp;IF(AND($S254="Macro",$G254=""),"Peso vacío"&amp;" · ","")&amp;IF(AND($S254="Macro",$G254&lt;&gt;"",OR(NOT(ISNUMBER($G254)),$G254&lt;=0,$G254&gt;1)),"Peso fuera de rango"&amp;" · ","")&amp;IF(AND($S254="Sub",$G254&lt;&gt;""),"Las subactividades no llevan peso"&amp;" · ","")&amp;IF(AND($S254="Macro",ABS(SUMIFS($G$5:$G$1000,$P$5:$P$1000,$P254,$S$5:$S$1000,"Macro")-1)&gt;0.0001),"Pesos del mes suman "&amp;TEXT(SUMIFS($G$5:$G$1000,$P$5:$P$1000,$P254,$S$5:$S$1000,"Macro"),"0%")&amp;" · ","")&amp;IF(AND(N($T254)&gt;0,COUNT($H254:$K254)&gt;0),"Con subactividades: deje vacías las semanas (se calculan solas)"&amp;" · ","")&amp;IF((COUNTIF($H254:$K254,"&gt;1")+COUNTIF($H254:$K254,"&lt;0")+COUNTA($H254:$K254)-COUNT($H254:$K254))&gt;0,"Avance fuera de rango 0-100%"&amp;" · ","")&amp;IF(OR(AND($I254&lt;&gt;"",$I254&lt;$H254),AND($J254&lt;&gt;"",$J254&lt;MAX($H254:$I254)),AND($K254&lt;&gt;"",$K254&lt;MAX($H254:$J254))),"Avance semanal decreciente"&amp;" · ","")&amp;IF(AND(ISNUMBER($F254),$F254&lt;FechaRef,N($L254)&lt;1),"Vencida"&amp;" · ","")&amp;IF(AND(ObsObligatoria="Sí",ISNUMBER($F254),$F254&lt;FechaRef,N($L254)&lt;1,$N254=""),"Vencida sin observación"&amp;" · ",""),LEN(IF(AND($S254="Macro",$B254=""),"Macroactividad vacía"&amp;" · ","")&amp;IF(AND($B254&lt;&gt;"",$C254&lt;&gt;""),"Escriba la subactividad en otra fila, debajo de su macroactividad"&amp;" · ","")&amp;IF(AND($S254="Sub",N($R254)=0),"Subactividad sin macroactividad arriba"&amp;" · ","")&amp;IF($D254="","Sin responsable"&amp;" · ","")&amp;IF($E254="","Sin fecha de inicio"&amp;" · ","")&amp;IF($F254="","Sin fecha límite"&amp;" · ","")&amp;IF(OR(AND($E254&lt;&gt;"",NOT(ISNUMBER($E254))),AND($F254&lt;&gt;"",NOT(ISNUMBER($F254)))),"Fecha no válida"&amp;" · ","")&amp;IF(AND(ISNUMBER($E254),ISNUMBER($F254),$E254&gt;$F254),"Inicio posterior a fecha límite"&amp;" · ","")&amp;IF(AND($S254="Macro",$G254=""),"Peso vacío"&amp;" · ","")&amp;IF(AND($S254="Macro",$G254&lt;&gt;"",OR(NOT(ISNUMBER($G254)),$G254&lt;=0,$G254&gt;1)),"Peso fuera de rango"&amp;" · ","")&amp;IF(AND($S254="Sub",$G254&lt;&gt;""),"Las subactividades no llevan peso"&amp;" · ","")&amp;IF(AND($S254="Macro",ABS(SUMIFS($G$5:$G$1000,$P$5:$P$1000,$P254,$S$5:$S$1000,"Macro")-1)&gt;0.0001),"Pesos del mes suman "&amp;TEXT(SUMIFS($G$5:$G$1000,$P$5:$P$1000,$P254,$S$5:$S$1000,"Macro"),"0%")&amp;" · ","")&amp;IF(AND(N($T254)&gt;0,COUNT($H254:$K254)&gt;0),"Con subactividades: deje vacías las semanas (se calculan solas)"&amp;" · ","")&amp;IF((COUNTIF($H254:$K254,"&gt;1")+COUNTIF($H254:$K254,"&lt;0")+COUNTA($H254:$K254)-COUNT($H254:$K254))&gt;0,"Avance fuera de rango 0-100%"&amp;" · ","")&amp;IF(OR(AND($I254&lt;&gt;"",$I254&lt;$H254),AND($J254&lt;&gt;"",$J254&lt;MAX($H254:$I254)),AND($K254&lt;&gt;"",$K254&lt;MAX($H254:$J254))),"Avance semanal decreciente"&amp;" · ","")&amp;IF(AND(ISNUMBER($F254),$F254&lt;FechaRef,N($L254)&lt;1),"Vencida"&amp;" · ","")&amp;IF(AND(ObsObligatoria="Sí",ISNUMBER($F254),$F254&lt;FechaRef,N($L254)&lt;1,$N254=""),"Vencida sin observación"&amp;" · ",""))-3)))</f>
        <v/>
      </c>
      <c r="P254" s="69">
        <f>IF(NOT((COUNTA($B254:$K254)+COUNTA($N254))&gt;0),"",IF(AND($S254="Sub",N($R254)&gt;0),IF(ISNUMBER(INDEX($E$5:$E$1000,$R254-4)),DATE(YEAR(INDEX($E$5:$E$1000,$R254-4)),MONTH(INDEX($E$5:$E$1000,$R254-4)),1),IF(ISNUMBER(INDEX($F$5:$F$1000,$R254-4)),DATE(YEAR(INDEX($F$5:$F$1000,$R254-4)),MONTH(INDEX($F$5:$F$1000,$R254-4)),1),MesCiclo)),IF(ISNUMBER($E254),DATE(YEAR($E254),MONTH($E254),1),IF(ISNUMBER($F254),DATE(YEAR($F254),MONTH($F254),1),MesCiclo))))</f>
        <v/>
      </c>
      <c r="Q254" s="70">
        <f>IF(OR($P254="",$P254&lt;&gt;MesCiclo),"",COUNTIF($P$5:$P254,MesCiclo))</f>
        <v/>
      </c>
      <c r="R254" s="70">
        <f>IF($S254="","",IF($S254="Macro",ROW(),IFERROR(LOOKUP(2,1/($S$5:$S254="Macro"),ROW($S$5:$S254)),0)))</f>
        <v/>
      </c>
      <c r="S254" s="70">
        <f>IF(NOT((COUNTA($B254:$K254)+COUNTA($N254))&gt;0),"",IF($B254&lt;&gt;"","Macro",IF($C254&lt;&gt;"","Sub","Macro")))</f>
        <v/>
      </c>
      <c r="T254" s="70">
        <f>IF($S254="Macro",COUNTIFS($R$5:$R$1000,ROW(),$S$5:$S$1000,"Sub"),"")</f>
        <v/>
      </c>
      <c r="U254" s="70">
        <f>IF($S254="","",IF(ISNUMBER($H254),$H254,0))</f>
        <v/>
      </c>
      <c r="V254" s="70">
        <f>IF($S254="","",IF(ISNUMBER($I254),$I254,$U254))</f>
        <v/>
      </c>
      <c r="W254" s="70">
        <f>IF($S254="","",IF(ISNUMBER($J254),$J254,$V254))</f>
        <v/>
      </c>
      <c r="X254" s="70">
        <f>IF($S254="","",IF(ISNUMBER($K254),$K254,$W254))</f>
        <v/>
      </c>
      <c r="Y254" s="70">
        <f>IF($S254="","",IF(N($T254)&gt;0,AVERAGEIFS($U$5:$U$1000,$R$5:$R$1000,ROW(),$S$5:$S$1000,"Sub"),$U254))</f>
        <v/>
      </c>
      <c r="Z254" s="70">
        <f>IF($S254="","",IF(N($T254)&gt;0,AVERAGEIFS($V$5:$V$1000,$R$5:$R$1000,ROW(),$S$5:$S$1000,"Sub"),$V254))</f>
        <v/>
      </c>
      <c r="AA254" s="70">
        <f>IF($S254="","",IF(N($T254)&gt;0,AVERAGEIFS($W$5:$W$1000,$R$5:$R$1000,ROW(),$S$5:$S$1000,"Sub"),$W254))</f>
        <v/>
      </c>
      <c r="AB254" s="70">
        <f>IF($S254="","",IF(N($T254)&gt;0,AVERAGEIFS($X$5:$X$1000,$R$5:$R$1000,ROW(),$S$5:$S$1000,"Sub"),$X254))</f>
        <v/>
      </c>
    </row>
    <row r="255">
      <c r="A255" s="61">
        <f>IF(NOT((COUNTA($B255:$K255)+COUNTA($N255))&gt;0),"",IF($S255="Macro",COUNTIFS($S$5:$S255,"Macro",$P$5:$P255,$P255),IF(N($R255)=0,"?",COUNTIFS(INDEX($S$5:$S$1000,1):INDEX($S$5:$S$1000,$R255-4),"Macro",INDEX($P$5:$P$1000,1):INDEX($P$5:$P$1000,$R255-4),INDEX($P$5:$P$1000,$R255-4))&amp;"."&amp;COUNTIFS($R$5:$R255,$R255,$S$5:$S255,"Sub"))))</f>
        <v/>
      </c>
      <c r="B255" s="62" t="n"/>
      <c r="C255" s="63" t="n"/>
      <c r="D255" s="62" t="n"/>
      <c r="E255" s="64" t="n"/>
      <c r="F255" s="64" t="n"/>
      <c r="G255" s="65" t="n"/>
      <c r="H255" s="66" t="n"/>
      <c r="I255" s="66" t="n"/>
      <c r="J255" s="66" t="n"/>
      <c r="K255" s="66" t="n"/>
      <c r="L255" s="67">
        <f>IF(NOT((COUNTA($B255:$K255)+COUNTA($N255))&gt;0),"",IF(N($T255)&gt;0,$AB255,IFERROR(LOOKUP(2,1/(H255:K255&lt;&gt;""),H255:K255),0)))</f>
        <v/>
      </c>
      <c r="M255" s="61">
        <f>IF(L255="","",IF(L255&gt;=1,"Completado",IF(L255&gt;0,"En curso","Pendiente")))</f>
        <v/>
      </c>
      <c r="N255" s="62" t="n"/>
      <c r="O255" s="68">
        <f>IF(NOT((COUNTA($B255:$K255)+COUNTA($N255))&gt;0),"",IF((IF(AND($S255="Macro",$B255=""),"Macroactividad vacía"&amp;" · ","")&amp;IF(AND($B255&lt;&gt;"",$C255&lt;&gt;""),"Escriba la subactividad en otra fila, debajo de su macroactividad"&amp;" · ","")&amp;IF(AND($S255="Sub",N($R255)=0),"Subactividad sin macroactividad arriba"&amp;" · ","")&amp;IF($D255="","Sin responsable"&amp;" · ","")&amp;IF($E255="","Sin fecha de inicio"&amp;" · ","")&amp;IF($F255="","Sin fecha límite"&amp;" · ","")&amp;IF(OR(AND($E255&lt;&gt;"",NOT(ISNUMBER($E255))),AND($F255&lt;&gt;"",NOT(ISNUMBER($F255)))),"Fecha no válida"&amp;" · ","")&amp;IF(AND(ISNUMBER($E255),ISNUMBER($F255),$E255&gt;$F255),"Inicio posterior a fecha límite"&amp;" · ","")&amp;IF(AND($S255="Macro",$G255=""),"Peso vacío"&amp;" · ","")&amp;IF(AND($S255="Macro",$G255&lt;&gt;"",OR(NOT(ISNUMBER($G255)),$G255&lt;=0,$G255&gt;1)),"Peso fuera de rango"&amp;" · ","")&amp;IF(AND($S255="Sub",$G255&lt;&gt;""),"Las subactividades no llevan peso"&amp;" · ","")&amp;IF(AND($S255="Macro",ABS(SUMIFS($G$5:$G$1000,$P$5:$P$1000,$P255,$S$5:$S$1000,"Macro")-1)&gt;0.0001),"Pesos del mes suman "&amp;TEXT(SUMIFS($G$5:$G$1000,$P$5:$P$1000,$P255,$S$5:$S$1000,"Macro"),"0%")&amp;" · ","")&amp;IF(AND(N($T255)&gt;0,COUNT($H255:$K255)&gt;0),"Con subactividades: deje vacías las semanas (se calculan solas)"&amp;" · ","")&amp;IF((COUNTIF($H255:$K255,"&gt;1")+COUNTIF($H255:$K255,"&lt;0")+COUNTA($H255:$K255)-COUNT($H255:$K255))&gt;0,"Avance fuera de rango 0-100%"&amp;" · ","")&amp;IF(OR(AND($I255&lt;&gt;"",$I255&lt;$H255),AND($J255&lt;&gt;"",$J255&lt;MAX($H255:$I255)),AND($K255&lt;&gt;"",$K255&lt;MAX($H255:$J255))),"Avance semanal decreciente"&amp;" · ","")&amp;IF(AND(ISNUMBER($F255),$F255&lt;FechaRef,N($L255)&lt;1),"Vencida"&amp;" · ","")&amp;IF(AND(ObsObligatoria="Sí",ISNUMBER($F255),$F255&lt;FechaRef,N($L255)&lt;1,$N255=""),"Vencida sin observación"&amp;" · ",""))="","✔ OK","⚠ "&amp;LEFT(IF(AND($S255="Macro",$B255=""),"Macroactividad vacía"&amp;" · ","")&amp;IF(AND($B255&lt;&gt;"",$C255&lt;&gt;""),"Escriba la subactividad en otra fila, debajo de su macroactividad"&amp;" · ","")&amp;IF(AND($S255="Sub",N($R255)=0),"Subactividad sin macroactividad arriba"&amp;" · ","")&amp;IF($D255="","Sin responsable"&amp;" · ","")&amp;IF($E255="","Sin fecha de inicio"&amp;" · ","")&amp;IF($F255="","Sin fecha límite"&amp;" · ","")&amp;IF(OR(AND($E255&lt;&gt;"",NOT(ISNUMBER($E255))),AND($F255&lt;&gt;"",NOT(ISNUMBER($F255)))),"Fecha no válida"&amp;" · ","")&amp;IF(AND(ISNUMBER($E255),ISNUMBER($F255),$E255&gt;$F255),"Inicio posterior a fecha límite"&amp;" · ","")&amp;IF(AND($S255="Macro",$G255=""),"Peso vacío"&amp;" · ","")&amp;IF(AND($S255="Macro",$G255&lt;&gt;"",OR(NOT(ISNUMBER($G255)),$G255&lt;=0,$G255&gt;1)),"Peso fuera de rango"&amp;" · ","")&amp;IF(AND($S255="Sub",$G255&lt;&gt;""),"Las subactividades no llevan peso"&amp;" · ","")&amp;IF(AND($S255="Macro",ABS(SUMIFS($G$5:$G$1000,$P$5:$P$1000,$P255,$S$5:$S$1000,"Macro")-1)&gt;0.0001),"Pesos del mes suman "&amp;TEXT(SUMIFS($G$5:$G$1000,$P$5:$P$1000,$P255,$S$5:$S$1000,"Macro"),"0%")&amp;" · ","")&amp;IF(AND(N($T255)&gt;0,COUNT($H255:$K255)&gt;0),"Con subactividades: deje vacías las semanas (se calculan solas)"&amp;" · ","")&amp;IF((COUNTIF($H255:$K255,"&gt;1")+COUNTIF($H255:$K255,"&lt;0")+COUNTA($H255:$K255)-COUNT($H255:$K255))&gt;0,"Avance fuera de rango 0-100%"&amp;" · ","")&amp;IF(OR(AND($I255&lt;&gt;"",$I255&lt;$H255),AND($J255&lt;&gt;"",$J255&lt;MAX($H255:$I255)),AND($K255&lt;&gt;"",$K255&lt;MAX($H255:$J255))),"Avance semanal decreciente"&amp;" · ","")&amp;IF(AND(ISNUMBER($F255),$F255&lt;FechaRef,N($L255)&lt;1),"Vencida"&amp;" · ","")&amp;IF(AND(ObsObligatoria="Sí",ISNUMBER($F255),$F255&lt;FechaRef,N($L255)&lt;1,$N255=""),"Vencida sin observación"&amp;" · ",""),LEN(IF(AND($S255="Macro",$B255=""),"Macroactividad vacía"&amp;" · ","")&amp;IF(AND($B255&lt;&gt;"",$C255&lt;&gt;""),"Escriba la subactividad en otra fila, debajo de su macroactividad"&amp;" · ","")&amp;IF(AND($S255="Sub",N($R255)=0),"Subactividad sin macroactividad arriba"&amp;" · ","")&amp;IF($D255="","Sin responsable"&amp;" · ","")&amp;IF($E255="","Sin fecha de inicio"&amp;" · ","")&amp;IF($F255="","Sin fecha límite"&amp;" · ","")&amp;IF(OR(AND($E255&lt;&gt;"",NOT(ISNUMBER($E255))),AND($F255&lt;&gt;"",NOT(ISNUMBER($F255)))),"Fecha no válida"&amp;" · ","")&amp;IF(AND(ISNUMBER($E255),ISNUMBER($F255),$E255&gt;$F255),"Inicio posterior a fecha límite"&amp;" · ","")&amp;IF(AND($S255="Macro",$G255=""),"Peso vacío"&amp;" · ","")&amp;IF(AND($S255="Macro",$G255&lt;&gt;"",OR(NOT(ISNUMBER($G255)),$G255&lt;=0,$G255&gt;1)),"Peso fuera de rango"&amp;" · ","")&amp;IF(AND($S255="Sub",$G255&lt;&gt;""),"Las subactividades no llevan peso"&amp;" · ","")&amp;IF(AND($S255="Macro",ABS(SUMIFS($G$5:$G$1000,$P$5:$P$1000,$P255,$S$5:$S$1000,"Macro")-1)&gt;0.0001),"Pesos del mes suman "&amp;TEXT(SUMIFS($G$5:$G$1000,$P$5:$P$1000,$P255,$S$5:$S$1000,"Macro"),"0%")&amp;" · ","")&amp;IF(AND(N($T255)&gt;0,COUNT($H255:$K255)&gt;0),"Con subactividades: deje vacías las semanas (se calculan solas)"&amp;" · ","")&amp;IF((COUNTIF($H255:$K255,"&gt;1")+COUNTIF($H255:$K255,"&lt;0")+COUNTA($H255:$K255)-COUNT($H255:$K255))&gt;0,"Avance fuera de rango 0-100%"&amp;" · ","")&amp;IF(OR(AND($I255&lt;&gt;"",$I255&lt;$H255),AND($J255&lt;&gt;"",$J255&lt;MAX($H255:$I255)),AND($K255&lt;&gt;"",$K255&lt;MAX($H255:$J255))),"Avance semanal decreciente"&amp;" · ","")&amp;IF(AND(ISNUMBER($F255),$F255&lt;FechaRef,N($L255)&lt;1),"Vencida"&amp;" · ","")&amp;IF(AND(ObsObligatoria="Sí",ISNUMBER($F255),$F255&lt;FechaRef,N($L255)&lt;1,$N255=""),"Vencida sin observación"&amp;" · ",""))-3)))</f>
        <v/>
      </c>
      <c r="P255" s="69">
        <f>IF(NOT((COUNTA($B255:$K255)+COUNTA($N255))&gt;0),"",IF(AND($S255="Sub",N($R255)&gt;0),IF(ISNUMBER(INDEX($E$5:$E$1000,$R255-4)),DATE(YEAR(INDEX($E$5:$E$1000,$R255-4)),MONTH(INDEX($E$5:$E$1000,$R255-4)),1),IF(ISNUMBER(INDEX($F$5:$F$1000,$R255-4)),DATE(YEAR(INDEX($F$5:$F$1000,$R255-4)),MONTH(INDEX($F$5:$F$1000,$R255-4)),1),MesCiclo)),IF(ISNUMBER($E255),DATE(YEAR($E255),MONTH($E255),1),IF(ISNUMBER($F255),DATE(YEAR($F255),MONTH($F255),1),MesCiclo))))</f>
        <v/>
      </c>
      <c r="Q255" s="70">
        <f>IF(OR($P255="",$P255&lt;&gt;MesCiclo),"",COUNTIF($P$5:$P255,MesCiclo))</f>
        <v/>
      </c>
      <c r="R255" s="70">
        <f>IF($S255="","",IF($S255="Macro",ROW(),IFERROR(LOOKUP(2,1/($S$5:$S255="Macro"),ROW($S$5:$S255)),0)))</f>
        <v/>
      </c>
      <c r="S255" s="70">
        <f>IF(NOT((COUNTA($B255:$K255)+COUNTA($N255))&gt;0),"",IF($B255&lt;&gt;"","Macro",IF($C255&lt;&gt;"","Sub","Macro")))</f>
        <v/>
      </c>
      <c r="T255" s="70">
        <f>IF($S255="Macro",COUNTIFS($R$5:$R$1000,ROW(),$S$5:$S$1000,"Sub"),"")</f>
        <v/>
      </c>
      <c r="U255" s="70">
        <f>IF($S255="","",IF(ISNUMBER($H255),$H255,0))</f>
        <v/>
      </c>
      <c r="V255" s="70">
        <f>IF($S255="","",IF(ISNUMBER($I255),$I255,$U255))</f>
        <v/>
      </c>
      <c r="W255" s="70">
        <f>IF($S255="","",IF(ISNUMBER($J255),$J255,$V255))</f>
        <v/>
      </c>
      <c r="X255" s="70">
        <f>IF($S255="","",IF(ISNUMBER($K255),$K255,$W255))</f>
        <v/>
      </c>
      <c r="Y255" s="70">
        <f>IF($S255="","",IF(N($T255)&gt;0,AVERAGEIFS($U$5:$U$1000,$R$5:$R$1000,ROW(),$S$5:$S$1000,"Sub"),$U255))</f>
        <v/>
      </c>
      <c r="Z255" s="70">
        <f>IF($S255="","",IF(N($T255)&gt;0,AVERAGEIFS($V$5:$V$1000,$R$5:$R$1000,ROW(),$S$5:$S$1000,"Sub"),$V255))</f>
        <v/>
      </c>
      <c r="AA255" s="70">
        <f>IF($S255="","",IF(N($T255)&gt;0,AVERAGEIFS($W$5:$W$1000,$R$5:$R$1000,ROW(),$S$5:$S$1000,"Sub"),$W255))</f>
        <v/>
      </c>
      <c r="AB255" s="70">
        <f>IF($S255="","",IF(N($T255)&gt;0,AVERAGEIFS($X$5:$X$1000,$R$5:$R$1000,ROW(),$S$5:$S$1000,"Sub"),$X255))</f>
        <v/>
      </c>
    </row>
    <row r="256">
      <c r="A256" s="61">
        <f>IF(NOT((COUNTA($B256:$K256)+COUNTA($N256))&gt;0),"",IF($S256="Macro",COUNTIFS($S$5:$S256,"Macro",$P$5:$P256,$P256),IF(N($R256)=0,"?",COUNTIFS(INDEX($S$5:$S$1000,1):INDEX($S$5:$S$1000,$R256-4),"Macro",INDEX($P$5:$P$1000,1):INDEX($P$5:$P$1000,$R256-4),INDEX($P$5:$P$1000,$R256-4))&amp;"."&amp;COUNTIFS($R$5:$R256,$R256,$S$5:$S256,"Sub"))))</f>
        <v/>
      </c>
      <c r="B256" s="62" t="n"/>
      <c r="C256" s="63" t="n"/>
      <c r="D256" s="62" t="n"/>
      <c r="E256" s="64" t="n"/>
      <c r="F256" s="64" t="n"/>
      <c r="G256" s="65" t="n"/>
      <c r="H256" s="66" t="n"/>
      <c r="I256" s="66" t="n"/>
      <c r="J256" s="66" t="n"/>
      <c r="K256" s="66" t="n"/>
      <c r="L256" s="67">
        <f>IF(NOT((COUNTA($B256:$K256)+COUNTA($N256))&gt;0),"",IF(N($T256)&gt;0,$AB256,IFERROR(LOOKUP(2,1/(H256:K256&lt;&gt;""),H256:K256),0)))</f>
        <v/>
      </c>
      <c r="M256" s="61">
        <f>IF(L256="","",IF(L256&gt;=1,"Completado",IF(L256&gt;0,"En curso","Pendiente")))</f>
        <v/>
      </c>
      <c r="N256" s="62" t="n"/>
      <c r="O256" s="68">
        <f>IF(NOT((COUNTA($B256:$K256)+COUNTA($N256))&gt;0),"",IF((IF(AND($S256="Macro",$B256=""),"Macroactividad vacía"&amp;" · ","")&amp;IF(AND($B256&lt;&gt;"",$C256&lt;&gt;""),"Escriba la subactividad en otra fila, debajo de su macroactividad"&amp;" · ","")&amp;IF(AND($S256="Sub",N($R256)=0),"Subactividad sin macroactividad arriba"&amp;" · ","")&amp;IF($D256="","Sin responsable"&amp;" · ","")&amp;IF($E256="","Sin fecha de inicio"&amp;" · ","")&amp;IF($F256="","Sin fecha límite"&amp;" · ","")&amp;IF(OR(AND($E256&lt;&gt;"",NOT(ISNUMBER($E256))),AND($F256&lt;&gt;"",NOT(ISNUMBER($F256)))),"Fecha no válida"&amp;" · ","")&amp;IF(AND(ISNUMBER($E256),ISNUMBER($F256),$E256&gt;$F256),"Inicio posterior a fecha límite"&amp;" · ","")&amp;IF(AND($S256="Macro",$G256=""),"Peso vacío"&amp;" · ","")&amp;IF(AND($S256="Macro",$G256&lt;&gt;"",OR(NOT(ISNUMBER($G256)),$G256&lt;=0,$G256&gt;1)),"Peso fuera de rango"&amp;" · ","")&amp;IF(AND($S256="Sub",$G256&lt;&gt;""),"Las subactividades no llevan peso"&amp;" · ","")&amp;IF(AND($S256="Macro",ABS(SUMIFS($G$5:$G$1000,$P$5:$P$1000,$P256,$S$5:$S$1000,"Macro")-1)&gt;0.0001),"Pesos del mes suman "&amp;TEXT(SUMIFS($G$5:$G$1000,$P$5:$P$1000,$P256,$S$5:$S$1000,"Macro"),"0%")&amp;" · ","")&amp;IF(AND(N($T256)&gt;0,COUNT($H256:$K256)&gt;0),"Con subactividades: deje vacías las semanas (se calculan solas)"&amp;" · ","")&amp;IF((COUNTIF($H256:$K256,"&gt;1")+COUNTIF($H256:$K256,"&lt;0")+COUNTA($H256:$K256)-COUNT($H256:$K256))&gt;0,"Avance fuera de rango 0-100%"&amp;" · ","")&amp;IF(OR(AND($I256&lt;&gt;"",$I256&lt;$H256),AND($J256&lt;&gt;"",$J256&lt;MAX($H256:$I256)),AND($K256&lt;&gt;"",$K256&lt;MAX($H256:$J256))),"Avance semanal decreciente"&amp;" · ","")&amp;IF(AND(ISNUMBER($F256),$F256&lt;FechaRef,N($L256)&lt;1),"Vencida"&amp;" · ","")&amp;IF(AND(ObsObligatoria="Sí",ISNUMBER($F256),$F256&lt;FechaRef,N($L256)&lt;1,$N256=""),"Vencida sin observación"&amp;" · ",""))="","✔ OK","⚠ "&amp;LEFT(IF(AND($S256="Macro",$B256=""),"Macroactividad vacía"&amp;" · ","")&amp;IF(AND($B256&lt;&gt;"",$C256&lt;&gt;""),"Escriba la subactividad en otra fila, debajo de su macroactividad"&amp;" · ","")&amp;IF(AND($S256="Sub",N($R256)=0),"Subactividad sin macroactividad arriba"&amp;" · ","")&amp;IF($D256="","Sin responsable"&amp;" · ","")&amp;IF($E256="","Sin fecha de inicio"&amp;" · ","")&amp;IF($F256="","Sin fecha límite"&amp;" · ","")&amp;IF(OR(AND($E256&lt;&gt;"",NOT(ISNUMBER($E256))),AND($F256&lt;&gt;"",NOT(ISNUMBER($F256)))),"Fecha no válida"&amp;" · ","")&amp;IF(AND(ISNUMBER($E256),ISNUMBER($F256),$E256&gt;$F256),"Inicio posterior a fecha límite"&amp;" · ","")&amp;IF(AND($S256="Macro",$G256=""),"Peso vacío"&amp;" · ","")&amp;IF(AND($S256="Macro",$G256&lt;&gt;"",OR(NOT(ISNUMBER($G256)),$G256&lt;=0,$G256&gt;1)),"Peso fuera de rango"&amp;" · ","")&amp;IF(AND($S256="Sub",$G256&lt;&gt;""),"Las subactividades no llevan peso"&amp;" · ","")&amp;IF(AND($S256="Macro",ABS(SUMIFS($G$5:$G$1000,$P$5:$P$1000,$P256,$S$5:$S$1000,"Macro")-1)&gt;0.0001),"Pesos del mes suman "&amp;TEXT(SUMIFS($G$5:$G$1000,$P$5:$P$1000,$P256,$S$5:$S$1000,"Macro"),"0%")&amp;" · ","")&amp;IF(AND(N($T256)&gt;0,COUNT($H256:$K256)&gt;0),"Con subactividades: deje vacías las semanas (se calculan solas)"&amp;" · ","")&amp;IF((COUNTIF($H256:$K256,"&gt;1")+COUNTIF($H256:$K256,"&lt;0")+COUNTA($H256:$K256)-COUNT($H256:$K256))&gt;0,"Avance fuera de rango 0-100%"&amp;" · ","")&amp;IF(OR(AND($I256&lt;&gt;"",$I256&lt;$H256),AND($J256&lt;&gt;"",$J256&lt;MAX($H256:$I256)),AND($K256&lt;&gt;"",$K256&lt;MAX($H256:$J256))),"Avance semanal decreciente"&amp;" · ","")&amp;IF(AND(ISNUMBER($F256),$F256&lt;FechaRef,N($L256)&lt;1),"Vencida"&amp;" · ","")&amp;IF(AND(ObsObligatoria="Sí",ISNUMBER($F256),$F256&lt;FechaRef,N($L256)&lt;1,$N256=""),"Vencida sin observación"&amp;" · ",""),LEN(IF(AND($S256="Macro",$B256=""),"Macroactividad vacía"&amp;" · ","")&amp;IF(AND($B256&lt;&gt;"",$C256&lt;&gt;""),"Escriba la subactividad en otra fila, debajo de su macroactividad"&amp;" · ","")&amp;IF(AND($S256="Sub",N($R256)=0),"Subactividad sin macroactividad arriba"&amp;" · ","")&amp;IF($D256="","Sin responsable"&amp;" · ","")&amp;IF($E256="","Sin fecha de inicio"&amp;" · ","")&amp;IF($F256="","Sin fecha límite"&amp;" · ","")&amp;IF(OR(AND($E256&lt;&gt;"",NOT(ISNUMBER($E256))),AND($F256&lt;&gt;"",NOT(ISNUMBER($F256)))),"Fecha no válida"&amp;" · ","")&amp;IF(AND(ISNUMBER($E256),ISNUMBER($F256),$E256&gt;$F256),"Inicio posterior a fecha límite"&amp;" · ","")&amp;IF(AND($S256="Macro",$G256=""),"Peso vacío"&amp;" · ","")&amp;IF(AND($S256="Macro",$G256&lt;&gt;"",OR(NOT(ISNUMBER($G256)),$G256&lt;=0,$G256&gt;1)),"Peso fuera de rango"&amp;" · ","")&amp;IF(AND($S256="Sub",$G256&lt;&gt;""),"Las subactividades no llevan peso"&amp;" · ","")&amp;IF(AND($S256="Macro",ABS(SUMIFS($G$5:$G$1000,$P$5:$P$1000,$P256,$S$5:$S$1000,"Macro")-1)&gt;0.0001),"Pesos del mes suman "&amp;TEXT(SUMIFS($G$5:$G$1000,$P$5:$P$1000,$P256,$S$5:$S$1000,"Macro"),"0%")&amp;" · ","")&amp;IF(AND(N($T256)&gt;0,COUNT($H256:$K256)&gt;0),"Con subactividades: deje vacías las semanas (se calculan solas)"&amp;" · ","")&amp;IF((COUNTIF($H256:$K256,"&gt;1")+COUNTIF($H256:$K256,"&lt;0")+COUNTA($H256:$K256)-COUNT($H256:$K256))&gt;0,"Avance fuera de rango 0-100%"&amp;" · ","")&amp;IF(OR(AND($I256&lt;&gt;"",$I256&lt;$H256),AND($J256&lt;&gt;"",$J256&lt;MAX($H256:$I256)),AND($K256&lt;&gt;"",$K256&lt;MAX($H256:$J256))),"Avance semanal decreciente"&amp;" · ","")&amp;IF(AND(ISNUMBER($F256),$F256&lt;FechaRef,N($L256)&lt;1),"Vencida"&amp;" · ","")&amp;IF(AND(ObsObligatoria="Sí",ISNUMBER($F256),$F256&lt;FechaRef,N($L256)&lt;1,$N256=""),"Vencida sin observación"&amp;" · ",""))-3)))</f>
        <v/>
      </c>
      <c r="P256" s="69">
        <f>IF(NOT((COUNTA($B256:$K256)+COUNTA($N256))&gt;0),"",IF(AND($S256="Sub",N($R256)&gt;0),IF(ISNUMBER(INDEX($E$5:$E$1000,$R256-4)),DATE(YEAR(INDEX($E$5:$E$1000,$R256-4)),MONTH(INDEX($E$5:$E$1000,$R256-4)),1),IF(ISNUMBER(INDEX($F$5:$F$1000,$R256-4)),DATE(YEAR(INDEX($F$5:$F$1000,$R256-4)),MONTH(INDEX($F$5:$F$1000,$R256-4)),1),MesCiclo)),IF(ISNUMBER($E256),DATE(YEAR($E256),MONTH($E256),1),IF(ISNUMBER($F256),DATE(YEAR($F256),MONTH($F256),1),MesCiclo))))</f>
        <v/>
      </c>
      <c r="Q256" s="70">
        <f>IF(OR($P256="",$P256&lt;&gt;MesCiclo),"",COUNTIF($P$5:$P256,MesCiclo))</f>
        <v/>
      </c>
      <c r="R256" s="70">
        <f>IF($S256="","",IF($S256="Macro",ROW(),IFERROR(LOOKUP(2,1/($S$5:$S256="Macro"),ROW($S$5:$S256)),0)))</f>
        <v/>
      </c>
      <c r="S256" s="70">
        <f>IF(NOT((COUNTA($B256:$K256)+COUNTA($N256))&gt;0),"",IF($B256&lt;&gt;"","Macro",IF($C256&lt;&gt;"","Sub","Macro")))</f>
        <v/>
      </c>
      <c r="T256" s="70">
        <f>IF($S256="Macro",COUNTIFS($R$5:$R$1000,ROW(),$S$5:$S$1000,"Sub"),"")</f>
        <v/>
      </c>
      <c r="U256" s="70">
        <f>IF($S256="","",IF(ISNUMBER($H256),$H256,0))</f>
        <v/>
      </c>
      <c r="V256" s="70">
        <f>IF($S256="","",IF(ISNUMBER($I256),$I256,$U256))</f>
        <v/>
      </c>
      <c r="W256" s="70">
        <f>IF($S256="","",IF(ISNUMBER($J256),$J256,$V256))</f>
        <v/>
      </c>
      <c r="X256" s="70">
        <f>IF($S256="","",IF(ISNUMBER($K256),$K256,$W256))</f>
        <v/>
      </c>
      <c r="Y256" s="70">
        <f>IF($S256="","",IF(N($T256)&gt;0,AVERAGEIFS($U$5:$U$1000,$R$5:$R$1000,ROW(),$S$5:$S$1000,"Sub"),$U256))</f>
        <v/>
      </c>
      <c r="Z256" s="70">
        <f>IF($S256="","",IF(N($T256)&gt;0,AVERAGEIFS($V$5:$V$1000,$R$5:$R$1000,ROW(),$S$5:$S$1000,"Sub"),$V256))</f>
        <v/>
      </c>
      <c r="AA256" s="70">
        <f>IF($S256="","",IF(N($T256)&gt;0,AVERAGEIFS($W$5:$W$1000,$R$5:$R$1000,ROW(),$S$5:$S$1000,"Sub"),$W256))</f>
        <v/>
      </c>
      <c r="AB256" s="70">
        <f>IF($S256="","",IF(N($T256)&gt;0,AVERAGEIFS($X$5:$X$1000,$R$5:$R$1000,ROW(),$S$5:$S$1000,"Sub"),$X256))</f>
        <v/>
      </c>
    </row>
    <row r="257">
      <c r="A257" s="61">
        <f>IF(NOT((COUNTA($B257:$K257)+COUNTA($N257))&gt;0),"",IF($S257="Macro",COUNTIFS($S$5:$S257,"Macro",$P$5:$P257,$P257),IF(N($R257)=0,"?",COUNTIFS(INDEX($S$5:$S$1000,1):INDEX($S$5:$S$1000,$R257-4),"Macro",INDEX($P$5:$P$1000,1):INDEX($P$5:$P$1000,$R257-4),INDEX($P$5:$P$1000,$R257-4))&amp;"."&amp;COUNTIFS($R$5:$R257,$R257,$S$5:$S257,"Sub"))))</f>
        <v/>
      </c>
      <c r="B257" s="62" t="n"/>
      <c r="C257" s="63" t="n"/>
      <c r="D257" s="62" t="n"/>
      <c r="E257" s="64" t="n"/>
      <c r="F257" s="64" t="n"/>
      <c r="G257" s="65" t="n"/>
      <c r="H257" s="66" t="n"/>
      <c r="I257" s="66" t="n"/>
      <c r="J257" s="66" t="n"/>
      <c r="K257" s="66" t="n"/>
      <c r="L257" s="67">
        <f>IF(NOT((COUNTA($B257:$K257)+COUNTA($N257))&gt;0),"",IF(N($T257)&gt;0,$AB257,IFERROR(LOOKUP(2,1/(H257:K257&lt;&gt;""),H257:K257),0)))</f>
        <v/>
      </c>
      <c r="M257" s="61">
        <f>IF(L257="","",IF(L257&gt;=1,"Completado",IF(L257&gt;0,"En curso","Pendiente")))</f>
        <v/>
      </c>
      <c r="N257" s="62" t="n"/>
      <c r="O257" s="68">
        <f>IF(NOT((COUNTA($B257:$K257)+COUNTA($N257))&gt;0),"",IF((IF(AND($S257="Macro",$B257=""),"Macroactividad vacía"&amp;" · ","")&amp;IF(AND($B257&lt;&gt;"",$C257&lt;&gt;""),"Escriba la subactividad en otra fila, debajo de su macroactividad"&amp;" · ","")&amp;IF(AND($S257="Sub",N($R257)=0),"Subactividad sin macroactividad arriba"&amp;" · ","")&amp;IF($D257="","Sin responsable"&amp;" · ","")&amp;IF($E257="","Sin fecha de inicio"&amp;" · ","")&amp;IF($F257="","Sin fecha límite"&amp;" · ","")&amp;IF(OR(AND($E257&lt;&gt;"",NOT(ISNUMBER($E257))),AND($F257&lt;&gt;"",NOT(ISNUMBER($F257)))),"Fecha no válida"&amp;" · ","")&amp;IF(AND(ISNUMBER($E257),ISNUMBER($F257),$E257&gt;$F257),"Inicio posterior a fecha límite"&amp;" · ","")&amp;IF(AND($S257="Macro",$G257=""),"Peso vacío"&amp;" · ","")&amp;IF(AND($S257="Macro",$G257&lt;&gt;"",OR(NOT(ISNUMBER($G257)),$G257&lt;=0,$G257&gt;1)),"Peso fuera de rango"&amp;" · ","")&amp;IF(AND($S257="Sub",$G257&lt;&gt;""),"Las subactividades no llevan peso"&amp;" · ","")&amp;IF(AND($S257="Macro",ABS(SUMIFS($G$5:$G$1000,$P$5:$P$1000,$P257,$S$5:$S$1000,"Macro")-1)&gt;0.0001),"Pesos del mes suman "&amp;TEXT(SUMIFS($G$5:$G$1000,$P$5:$P$1000,$P257,$S$5:$S$1000,"Macro"),"0%")&amp;" · ","")&amp;IF(AND(N($T257)&gt;0,COUNT($H257:$K257)&gt;0),"Con subactividades: deje vacías las semanas (se calculan solas)"&amp;" · ","")&amp;IF((COUNTIF($H257:$K257,"&gt;1")+COUNTIF($H257:$K257,"&lt;0")+COUNTA($H257:$K257)-COUNT($H257:$K257))&gt;0,"Avance fuera de rango 0-100%"&amp;" · ","")&amp;IF(OR(AND($I257&lt;&gt;"",$I257&lt;$H257),AND($J257&lt;&gt;"",$J257&lt;MAX($H257:$I257)),AND($K257&lt;&gt;"",$K257&lt;MAX($H257:$J257))),"Avance semanal decreciente"&amp;" · ","")&amp;IF(AND(ISNUMBER($F257),$F257&lt;FechaRef,N($L257)&lt;1),"Vencida"&amp;" · ","")&amp;IF(AND(ObsObligatoria="Sí",ISNUMBER($F257),$F257&lt;FechaRef,N($L257)&lt;1,$N257=""),"Vencida sin observación"&amp;" · ",""))="","✔ OK","⚠ "&amp;LEFT(IF(AND($S257="Macro",$B257=""),"Macroactividad vacía"&amp;" · ","")&amp;IF(AND($B257&lt;&gt;"",$C257&lt;&gt;""),"Escriba la subactividad en otra fila, debajo de su macroactividad"&amp;" · ","")&amp;IF(AND($S257="Sub",N($R257)=0),"Subactividad sin macroactividad arriba"&amp;" · ","")&amp;IF($D257="","Sin responsable"&amp;" · ","")&amp;IF($E257="","Sin fecha de inicio"&amp;" · ","")&amp;IF($F257="","Sin fecha límite"&amp;" · ","")&amp;IF(OR(AND($E257&lt;&gt;"",NOT(ISNUMBER($E257))),AND($F257&lt;&gt;"",NOT(ISNUMBER($F257)))),"Fecha no válida"&amp;" · ","")&amp;IF(AND(ISNUMBER($E257),ISNUMBER($F257),$E257&gt;$F257),"Inicio posterior a fecha límite"&amp;" · ","")&amp;IF(AND($S257="Macro",$G257=""),"Peso vacío"&amp;" · ","")&amp;IF(AND($S257="Macro",$G257&lt;&gt;"",OR(NOT(ISNUMBER($G257)),$G257&lt;=0,$G257&gt;1)),"Peso fuera de rango"&amp;" · ","")&amp;IF(AND($S257="Sub",$G257&lt;&gt;""),"Las subactividades no llevan peso"&amp;" · ","")&amp;IF(AND($S257="Macro",ABS(SUMIFS($G$5:$G$1000,$P$5:$P$1000,$P257,$S$5:$S$1000,"Macro")-1)&gt;0.0001),"Pesos del mes suman "&amp;TEXT(SUMIFS($G$5:$G$1000,$P$5:$P$1000,$P257,$S$5:$S$1000,"Macro"),"0%")&amp;" · ","")&amp;IF(AND(N($T257)&gt;0,COUNT($H257:$K257)&gt;0),"Con subactividades: deje vacías las semanas (se calculan solas)"&amp;" · ","")&amp;IF((COUNTIF($H257:$K257,"&gt;1")+COUNTIF($H257:$K257,"&lt;0")+COUNTA($H257:$K257)-COUNT($H257:$K257))&gt;0,"Avance fuera de rango 0-100%"&amp;" · ","")&amp;IF(OR(AND($I257&lt;&gt;"",$I257&lt;$H257),AND($J257&lt;&gt;"",$J257&lt;MAX($H257:$I257)),AND($K257&lt;&gt;"",$K257&lt;MAX($H257:$J257))),"Avance semanal decreciente"&amp;" · ","")&amp;IF(AND(ISNUMBER($F257),$F257&lt;FechaRef,N($L257)&lt;1),"Vencida"&amp;" · ","")&amp;IF(AND(ObsObligatoria="Sí",ISNUMBER($F257),$F257&lt;FechaRef,N($L257)&lt;1,$N257=""),"Vencida sin observación"&amp;" · ",""),LEN(IF(AND($S257="Macro",$B257=""),"Macroactividad vacía"&amp;" · ","")&amp;IF(AND($B257&lt;&gt;"",$C257&lt;&gt;""),"Escriba la subactividad en otra fila, debajo de su macroactividad"&amp;" · ","")&amp;IF(AND($S257="Sub",N($R257)=0),"Subactividad sin macroactividad arriba"&amp;" · ","")&amp;IF($D257="","Sin responsable"&amp;" · ","")&amp;IF($E257="","Sin fecha de inicio"&amp;" · ","")&amp;IF($F257="","Sin fecha límite"&amp;" · ","")&amp;IF(OR(AND($E257&lt;&gt;"",NOT(ISNUMBER($E257))),AND($F257&lt;&gt;"",NOT(ISNUMBER($F257)))),"Fecha no válida"&amp;" · ","")&amp;IF(AND(ISNUMBER($E257),ISNUMBER($F257),$E257&gt;$F257),"Inicio posterior a fecha límite"&amp;" · ","")&amp;IF(AND($S257="Macro",$G257=""),"Peso vacío"&amp;" · ","")&amp;IF(AND($S257="Macro",$G257&lt;&gt;"",OR(NOT(ISNUMBER($G257)),$G257&lt;=0,$G257&gt;1)),"Peso fuera de rango"&amp;" · ","")&amp;IF(AND($S257="Sub",$G257&lt;&gt;""),"Las subactividades no llevan peso"&amp;" · ","")&amp;IF(AND($S257="Macro",ABS(SUMIFS($G$5:$G$1000,$P$5:$P$1000,$P257,$S$5:$S$1000,"Macro")-1)&gt;0.0001),"Pesos del mes suman "&amp;TEXT(SUMIFS($G$5:$G$1000,$P$5:$P$1000,$P257,$S$5:$S$1000,"Macro"),"0%")&amp;" · ","")&amp;IF(AND(N($T257)&gt;0,COUNT($H257:$K257)&gt;0),"Con subactividades: deje vacías las semanas (se calculan solas)"&amp;" · ","")&amp;IF((COUNTIF($H257:$K257,"&gt;1")+COUNTIF($H257:$K257,"&lt;0")+COUNTA($H257:$K257)-COUNT($H257:$K257))&gt;0,"Avance fuera de rango 0-100%"&amp;" · ","")&amp;IF(OR(AND($I257&lt;&gt;"",$I257&lt;$H257),AND($J257&lt;&gt;"",$J257&lt;MAX($H257:$I257)),AND($K257&lt;&gt;"",$K257&lt;MAX($H257:$J257))),"Avance semanal decreciente"&amp;" · ","")&amp;IF(AND(ISNUMBER($F257),$F257&lt;FechaRef,N($L257)&lt;1),"Vencida"&amp;" · ","")&amp;IF(AND(ObsObligatoria="Sí",ISNUMBER($F257),$F257&lt;FechaRef,N($L257)&lt;1,$N257=""),"Vencida sin observación"&amp;" · ",""))-3)))</f>
        <v/>
      </c>
      <c r="P257" s="69">
        <f>IF(NOT((COUNTA($B257:$K257)+COUNTA($N257))&gt;0),"",IF(AND($S257="Sub",N($R257)&gt;0),IF(ISNUMBER(INDEX($E$5:$E$1000,$R257-4)),DATE(YEAR(INDEX($E$5:$E$1000,$R257-4)),MONTH(INDEX($E$5:$E$1000,$R257-4)),1),IF(ISNUMBER(INDEX($F$5:$F$1000,$R257-4)),DATE(YEAR(INDEX($F$5:$F$1000,$R257-4)),MONTH(INDEX($F$5:$F$1000,$R257-4)),1),MesCiclo)),IF(ISNUMBER($E257),DATE(YEAR($E257),MONTH($E257),1),IF(ISNUMBER($F257),DATE(YEAR($F257),MONTH($F257),1),MesCiclo))))</f>
        <v/>
      </c>
      <c r="Q257" s="70">
        <f>IF(OR($P257="",$P257&lt;&gt;MesCiclo),"",COUNTIF($P$5:$P257,MesCiclo))</f>
        <v/>
      </c>
      <c r="R257" s="70">
        <f>IF($S257="","",IF($S257="Macro",ROW(),IFERROR(LOOKUP(2,1/($S$5:$S257="Macro"),ROW($S$5:$S257)),0)))</f>
        <v/>
      </c>
      <c r="S257" s="70">
        <f>IF(NOT((COUNTA($B257:$K257)+COUNTA($N257))&gt;0),"",IF($B257&lt;&gt;"","Macro",IF($C257&lt;&gt;"","Sub","Macro")))</f>
        <v/>
      </c>
      <c r="T257" s="70">
        <f>IF($S257="Macro",COUNTIFS($R$5:$R$1000,ROW(),$S$5:$S$1000,"Sub"),"")</f>
        <v/>
      </c>
      <c r="U257" s="70">
        <f>IF($S257="","",IF(ISNUMBER($H257),$H257,0))</f>
        <v/>
      </c>
      <c r="V257" s="70">
        <f>IF($S257="","",IF(ISNUMBER($I257),$I257,$U257))</f>
        <v/>
      </c>
      <c r="W257" s="70">
        <f>IF($S257="","",IF(ISNUMBER($J257),$J257,$V257))</f>
        <v/>
      </c>
      <c r="X257" s="70">
        <f>IF($S257="","",IF(ISNUMBER($K257),$K257,$W257))</f>
        <v/>
      </c>
      <c r="Y257" s="70">
        <f>IF($S257="","",IF(N($T257)&gt;0,AVERAGEIFS($U$5:$U$1000,$R$5:$R$1000,ROW(),$S$5:$S$1000,"Sub"),$U257))</f>
        <v/>
      </c>
      <c r="Z257" s="70">
        <f>IF($S257="","",IF(N($T257)&gt;0,AVERAGEIFS($V$5:$V$1000,$R$5:$R$1000,ROW(),$S$5:$S$1000,"Sub"),$V257))</f>
        <v/>
      </c>
      <c r="AA257" s="70">
        <f>IF($S257="","",IF(N($T257)&gt;0,AVERAGEIFS($W$5:$W$1000,$R$5:$R$1000,ROW(),$S$5:$S$1000,"Sub"),$W257))</f>
        <v/>
      </c>
      <c r="AB257" s="70">
        <f>IF($S257="","",IF(N($T257)&gt;0,AVERAGEIFS($X$5:$X$1000,$R$5:$R$1000,ROW(),$S$5:$S$1000,"Sub"),$X257))</f>
        <v/>
      </c>
    </row>
    <row r="258">
      <c r="A258" s="61">
        <f>IF(NOT((COUNTA($B258:$K258)+COUNTA($N258))&gt;0),"",IF($S258="Macro",COUNTIFS($S$5:$S258,"Macro",$P$5:$P258,$P258),IF(N($R258)=0,"?",COUNTIFS(INDEX($S$5:$S$1000,1):INDEX($S$5:$S$1000,$R258-4),"Macro",INDEX($P$5:$P$1000,1):INDEX($P$5:$P$1000,$R258-4),INDEX($P$5:$P$1000,$R258-4))&amp;"."&amp;COUNTIFS($R$5:$R258,$R258,$S$5:$S258,"Sub"))))</f>
        <v/>
      </c>
      <c r="B258" s="62" t="n"/>
      <c r="C258" s="63" t="n"/>
      <c r="D258" s="62" t="n"/>
      <c r="E258" s="64" t="n"/>
      <c r="F258" s="64" t="n"/>
      <c r="G258" s="65" t="n"/>
      <c r="H258" s="66" t="n"/>
      <c r="I258" s="66" t="n"/>
      <c r="J258" s="66" t="n"/>
      <c r="K258" s="66" t="n"/>
      <c r="L258" s="67">
        <f>IF(NOT((COUNTA($B258:$K258)+COUNTA($N258))&gt;0),"",IF(N($T258)&gt;0,$AB258,IFERROR(LOOKUP(2,1/(H258:K258&lt;&gt;""),H258:K258),0)))</f>
        <v/>
      </c>
      <c r="M258" s="61">
        <f>IF(L258="","",IF(L258&gt;=1,"Completado",IF(L258&gt;0,"En curso","Pendiente")))</f>
        <v/>
      </c>
      <c r="N258" s="62" t="n"/>
      <c r="O258" s="68">
        <f>IF(NOT((COUNTA($B258:$K258)+COUNTA($N258))&gt;0),"",IF((IF(AND($S258="Macro",$B258=""),"Macroactividad vacía"&amp;" · ","")&amp;IF(AND($B258&lt;&gt;"",$C258&lt;&gt;""),"Escriba la subactividad en otra fila, debajo de su macroactividad"&amp;" · ","")&amp;IF(AND($S258="Sub",N($R258)=0),"Subactividad sin macroactividad arriba"&amp;" · ","")&amp;IF($D258="","Sin responsable"&amp;" · ","")&amp;IF($E258="","Sin fecha de inicio"&amp;" · ","")&amp;IF($F258="","Sin fecha límite"&amp;" · ","")&amp;IF(OR(AND($E258&lt;&gt;"",NOT(ISNUMBER($E258))),AND($F258&lt;&gt;"",NOT(ISNUMBER($F258)))),"Fecha no válida"&amp;" · ","")&amp;IF(AND(ISNUMBER($E258),ISNUMBER($F258),$E258&gt;$F258),"Inicio posterior a fecha límite"&amp;" · ","")&amp;IF(AND($S258="Macro",$G258=""),"Peso vacío"&amp;" · ","")&amp;IF(AND($S258="Macro",$G258&lt;&gt;"",OR(NOT(ISNUMBER($G258)),$G258&lt;=0,$G258&gt;1)),"Peso fuera de rango"&amp;" · ","")&amp;IF(AND($S258="Sub",$G258&lt;&gt;""),"Las subactividades no llevan peso"&amp;" · ","")&amp;IF(AND($S258="Macro",ABS(SUMIFS($G$5:$G$1000,$P$5:$P$1000,$P258,$S$5:$S$1000,"Macro")-1)&gt;0.0001),"Pesos del mes suman "&amp;TEXT(SUMIFS($G$5:$G$1000,$P$5:$P$1000,$P258,$S$5:$S$1000,"Macro"),"0%")&amp;" · ","")&amp;IF(AND(N($T258)&gt;0,COUNT($H258:$K258)&gt;0),"Con subactividades: deje vacías las semanas (se calculan solas)"&amp;" · ","")&amp;IF((COUNTIF($H258:$K258,"&gt;1")+COUNTIF($H258:$K258,"&lt;0")+COUNTA($H258:$K258)-COUNT($H258:$K258))&gt;0,"Avance fuera de rango 0-100%"&amp;" · ","")&amp;IF(OR(AND($I258&lt;&gt;"",$I258&lt;$H258),AND($J258&lt;&gt;"",$J258&lt;MAX($H258:$I258)),AND($K258&lt;&gt;"",$K258&lt;MAX($H258:$J258))),"Avance semanal decreciente"&amp;" · ","")&amp;IF(AND(ISNUMBER($F258),$F258&lt;FechaRef,N($L258)&lt;1),"Vencida"&amp;" · ","")&amp;IF(AND(ObsObligatoria="Sí",ISNUMBER($F258),$F258&lt;FechaRef,N($L258)&lt;1,$N258=""),"Vencida sin observación"&amp;" · ",""))="","✔ OK","⚠ "&amp;LEFT(IF(AND($S258="Macro",$B258=""),"Macroactividad vacía"&amp;" · ","")&amp;IF(AND($B258&lt;&gt;"",$C258&lt;&gt;""),"Escriba la subactividad en otra fila, debajo de su macroactividad"&amp;" · ","")&amp;IF(AND($S258="Sub",N($R258)=0),"Subactividad sin macroactividad arriba"&amp;" · ","")&amp;IF($D258="","Sin responsable"&amp;" · ","")&amp;IF($E258="","Sin fecha de inicio"&amp;" · ","")&amp;IF($F258="","Sin fecha límite"&amp;" · ","")&amp;IF(OR(AND($E258&lt;&gt;"",NOT(ISNUMBER($E258))),AND($F258&lt;&gt;"",NOT(ISNUMBER($F258)))),"Fecha no válida"&amp;" · ","")&amp;IF(AND(ISNUMBER($E258),ISNUMBER($F258),$E258&gt;$F258),"Inicio posterior a fecha límite"&amp;" · ","")&amp;IF(AND($S258="Macro",$G258=""),"Peso vacío"&amp;" · ","")&amp;IF(AND($S258="Macro",$G258&lt;&gt;"",OR(NOT(ISNUMBER($G258)),$G258&lt;=0,$G258&gt;1)),"Peso fuera de rango"&amp;" · ","")&amp;IF(AND($S258="Sub",$G258&lt;&gt;""),"Las subactividades no llevan peso"&amp;" · ","")&amp;IF(AND($S258="Macro",ABS(SUMIFS($G$5:$G$1000,$P$5:$P$1000,$P258,$S$5:$S$1000,"Macro")-1)&gt;0.0001),"Pesos del mes suman "&amp;TEXT(SUMIFS($G$5:$G$1000,$P$5:$P$1000,$P258,$S$5:$S$1000,"Macro"),"0%")&amp;" · ","")&amp;IF(AND(N($T258)&gt;0,COUNT($H258:$K258)&gt;0),"Con subactividades: deje vacías las semanas (se calculan solas)"&amp;" · ","")&amp;IF((COUNTIF($H258:$K258,"&gt;1")+COUNTIF($H258:$K258,"&lt;0")+COUNTA($H258:$K258)-COUNT($H258:$K258))&gt;0,"Avance fuera de rango 0-100%"&amp;" · ","")&amp;IF(OR(AND($I258&lt;&gt;"",$I258&lt;$H258),AND($J258&lt;&gt;"",$J258&lt;MAX($H258:$I258)),AND($K258&lt;&gt;"",$K258&lt;MAX($H258:$J258))),"Avance semanal decreciente"&amp;" · ","")&amp;IF(AND(ISNUMBER($F258),$F258&lt;FechaRef,N($L258)&lt;1),"Vencida"&amp;" · ","")&amp;IF(AND(ObsObligatoria="Sí",ISNUMBER($F258),$F258&lt;FechaRef,N($L258)&lt;1,$N258=""),"Vencida sin observación"&amp;" · ",""),LEN(IF(AND($S258="Macro",$B258=""),"Macroactividad vacía"&amp;" · ","")&amp;IF(AND($B258&lt;&gt;"",$C258&lt;&gt;""),"Escriba la subactividad en otra fila, debajo de su macroactividad"&amp;" · ","")&amp;IF(AND($S258="Sub",N($R258)=0),"Subactividad sin macroactividad arriba"&amp;" · ","")&amp;IF($D258="","Sin responsable"&amp;" · ","")&amp;IF($E258="","Sin fecha de inicio"&amp;" · ","")&amp;IF($F258="","Sin fecha límite"&amp;" · ","")&amp;IF(OR(AND($E258&lt;&gt;"",NOT(ISNUMBER($E258))),AND($F258&lt;&gt;"",NOT(ISNUMBER($F258)))),"Fecha no válida"&amp;" · ","")&amp;IF(AND(ISNUMBER($E258),ISNUMBER($F258),$E258&gt;$F258),"Inicio posterior a fecha límite"&amp;" · ","")&amp;IF(AND($S258="Macro",$G258=""),"Peso vacío"&amp;" · ","")&amp;IF(AND($S258="Macro",$G258&lt;&gt;"",OR(NOT(ISNUMBER($G258)),$G258&lt;=0,$G258&gt;1)),"Peso fuera de rango"&amp;" · ","")&amp;IF(AND($S258="Sub",$G258&lt;&gt;""),"Las subactividades no llevan peso"&amp;" · ","")&amp;IF(AND($S258="Macro",ABS(SUMIFS($G$5:$G$1000,$P$5:$P$1000,$P258,$S$5:$S$1000,"Macro")-1)&gt;0.0001),"Pesos del mes suman "&amp;TEXT(SUMIFS($G$5:$G$1000,$P$5:$P$1000,$P258,$S$5:$S$1000,"Macro"),"0%")&amp;" · ","")&amp;IF(AND(N($T258)&gt;0,COUNT($H258:$K258)&gt;0),"Con subactividades: deje vacías las semanas (se calculan solas)"&amp;" · ","")&amp;IF((COUNTIF($H258:$K258,"&gt;1")+COUNTIF($H258:$K258,"&lt;0")+COUNTA($H258:$K258)-COUNT($H258:$K258))&gt;0,"Avance fuera de rango 0-100%"&amp;" · ","")&amp;IF(OR(AND($I258&lt;&gt;"",$I258&lt;$H258),AND($J258&lt;&gt;"",$J258&lt;MAX($H258:$I258)),AND($K258&lt;&gt;"",$K258&lt;MAX($H258:$J258))),"Avance semanal decreciente"&amp;" · ","")&amp;IF(AND(ISNUMBER($F258),$F258&lt;FechaRef,N($L258)&lt;1),"Vencida"&amp;" · ","")&amp;IF(AND(ObsObligatoria="Sí",ISNUMBER($F258),$F258&lt;FechaRef,N($L258)&lt;1,$N258=""),"Vencida sin observación"&amp;" · ",""))-3)))</f>
        <v/>
      </c>
      <c r="P258" s="69">
        <f>IF(NOT((COUNTA($B258:$K258)+COUNTA($N258))&gt;0),"",IF(AND($S258="Sub",N($R258)&gt;0),IF(ISNUMBER(INDEX($E$5:$E$1000,$R258-4)),DATE(YEAR(INDEX($E$5:$E$1000,$R258-4)),MONTH(INDEX($E$5:$E$1000,$R258-4)),1),IF(ISNUMBER(INDEX($F$5:$F$1000,$R258-4)),DATE(YEAR(INDEX($F$5:$F$1000,$R258-4)),MONTH(INDEX($F$5:$F$1000,$R258-4)),1),MesCiclo)),IF(ISNUMBER($E258),DATE(YEAR($E258),MONTH($E258),1),IF(ISNUMBER($F258),DATE(YEAR($F258),MONTH($F258),1),MesCiclo))))</f>
        <v/>
      </c>
      <c r="Q258" s="70">
        <f>IF(OR($P258="",$P258&lt;&gt;MesCiclo),"",COUNTIF($P$5:$P258,MesCiclo))</f>
        <v/>
      </c>
      <c r="R258" s="70">
        <f>IF($S258="","",IF($S258="Macro",ROW(),IFERROR(LOOKUP(2,1/($S$5:$S258="Macro"),ROW($S$5:$S258)),0)))</f>
        <v/>
      </c>
      <c r="S258" s="70">
        <f>IF(NOT((COUNTA($B258:$K258)+COUNTA($N258))&gt;0),"",IF($B258&lt;&gt;"","Macro",IF($C258&lt;&gt;"","Sub","Macro")))</f>
        <v/>
      </c>
      <c r="T258" s="70">
        <f>IF($S258="Macro",COUNTIFS($R$5:$R$1000,ROW(),$S$5:$S$1000,"Sub"),"")</f>
        <v/>
      </c>
      <c r="U258" s="70">
        <f>IF($S258="","",IF(ISNUMBER($H258),$H258,0))</f>
        <v/>
      </c>
      <c r="V258" s="70">
        <f>IF($S258="","",IF(ISNUMBER($I258),$I258,$U258))</f>
        <v/>
      </c>
      <c r="W258" s="70">
        <f>IF($S258="","",IF(ISNUMBER($J258),$J258,$V258))</f>
        <v/>
      </c>
      <c r="X258" s="70">
        <f>IF($S258="","",IF(ISNUMBER($K258),$K258,$W258))</f>
        <v/>
      </c>
      <c r="Y258" s="70">
        <f>IF($S258="","",IF(N($T258)&gt;0,AVERAGEIFS($U$5:$U$1000,$R$5:$R$1000,ROW(),$S$5:$S$1000,"Sub"),$U258))</f>
        <v/>
      </c>
      <c r="Z258" s="70">
        <f>IF($S258="","",IF(N($T258)&gt;0,AVERAGEIFS($V$5:$V$1000,$R$5:$R$1000,ROW(),$S$5:$S$1000,"Sub"),$V258))</f>
        <v/>
      </c>
      <c r="AA258" s="70">
        <f>IF($S258="","",IF(N($T258)&gt;0,AVERAGEIFS($W$5:$W$1000,$R$5:$R$1000,ROW(),$S$5:$S$1000,"Sub"),$W258))</f>
        <v/>
      </c>
      <c r="AB258" s="70">
        <f>IF($S258="","",IF(N($T258)&gt;0,AVERAGEIFS($X$5:$X$1000,$R$5:$R$1000,ROW(),$S$5:$S$1000,"Sub"),$X258))</f>
        <v/>
      </c>
    </row>
    <row r="259">
      <c r="A259" s="61">
        <f>IF(NOT((COUNTA($B259:$K259)+COUNTA($N259))&gt;0),"",IF($S259="Macro",COUNTIFS($S$5:$S259,"Macro",$P$5:$P259,$P259),IF(N($R259)=0,"?",COUNTIFS(INDEX($S$5:$S$1000,1):INDEX($S$5:$S$1000,$R259-4),"Macro",INDEX($P$5:$P$1000,1):INDEX($P$5:$P$1000,$R259-4),INDEX($P$5:$P$1000,$R259-4))&amp;"."&amp;COUNTIFS($R$5:$R259,$R259,$S$5:$S259,"Sub"))))</f>
        <v/>
      </c>
      <c r="B259" s="62" t="n"/>
      <c r="C259" s="63" t="n"/>
      <c r="D259" s="62" t="n"/>
      <c r="E259" s="64" t="n"/>
      <c r="F259" s="64" t="n"/>
      <c r="G259" s="65" t="n"/>
      <c r="H259" s="66" t="n"/>
      <c r="I259" s="66" t="n"/>
      <c r="J259" s="66" t="n"/>
      <c r="K259" s="66" t="n"/>
      <c r="L259" s="67">
        <f>IF(NOT((COUNTA($B259:$K259)+COUNTA($N259))&gt;0),"",IF(N($T259)&gt;0,$AB259,IFERROR(LOOKUP(2,1/(H259:K259&lt;&gt;""),H259:K259),0)))</f>
        <v/>
      </c>
      <c r="M259" s="61">
        <f>IF(L259="","",IF(L259&gt;=1,"Completado",IF(L259&gt;0,"En curso","Pendiente")))</f>
        <v/>
      </c>
      <c r="N259" s="62" t="n"/>
      <c r="O259" s="68">
        <f>IF(NOT((COUNTA($B259:$K259)+COUNTA($N259))&gt;0),"",IF((IF(AND($S259="Macro",$B259=""),"Macroactividad vacía"&amp;" · ","")&amp;IF(AND($B259&lt;&gt;"",$C259&lt;&gt;""),"Escriba la subactividad en otra fila, debajo de su macroactividad"&amp;" · ","")&amp;IF(AND($S259="Sub",N($R259)=0),"Subactividad sin macroactividad arriba"&amp;" · ","")&amp;IF($D259="","Sin responsable"&amp;" · ","")&amp;IF($E259="","Sin fecha de inicio"&amp;" · ","")&amp;IF($F259="","Sin fecha límite"&amp;" · ","")&amp;IF(OR(AND($E259&lt;&gt;"",NOT(ISNUMBER($E259))),AND($F259&lt;&gt;"",NOT(ISNUMBER($F259)))),"Fecha no válida"&amp;" · ","")&amp;IF(AND(ISNUMBER($E259),ISNUMBER($F259),$E259&gt;$F259),"Inicio posterior a fecha límite"&amp;" · ","")&amp;IF(AND($S259="Macro",$G259=""),"Peso vacío"&amp;" · ","")&amp;IF(AND($S259="Macro",$G259&lt;&gt;"",OR(NOT(ISNUMBER($G259)),$G259&lt;=0,$G259&gt;1)),"Peso fuera de rango"&amp;" · ","")&amp;IF(AND($S259="Sub",$G259&lt;&gt;""),"Las subactividades no llevan peso"&amp;" · ","")&amp;IF(AND($S259="Macro",ABS(SUMIFS($G$5:$G$1000,$P$5:$P$1000,$P259,$S$5:$S$1000,"Macro")-1)&gt;0.0001),"Pesos del mes suman "&amp;TEXT(SUMIFS($G$5:$G$1000,$P$5:$P$1000,$P259,$S$5:$S$1000,"Macro"),"0%")&amp;" · ","")&amp;IF(AND(N($T259)&gt;0,COUNT($H259:$K259)&gt;0),"Con subactividades: deje vacías las semanas (se calculan solas)"&amp;" · ","")&amp;IF((COUNTIF($H259:$K259,"&gt;1")+COUNTIF($H259:$K259,"&lt;0")+COUNTA($H259:$K259)-COUNT($H259:$K259))&gt;0,"Avance fuera de rango 0-100%"&amp;" · ","")&amp;IF(OR(AND($I259&lt;&gt;"",$I259&lt;$H259),AND($J259&lt;&gt;"",$J259&lt;MAX($H259:$I259)),AND($K259&lt;&gt;"",$K259&lt;MAX($H259:$J259))),"Avance semanal decreciente"&amp;" · ","")&amp;IF(AND(ISNUMBER($F259),$F259&lt;FechaRef,N($L259)&lt;1),"Vencida"&amp;" · ","")&amp;IF(AND(ObsObligatoria="Sí",ISNUMBER($F259),$F259&lt;FechaRef,N($L259)&lt;1,$N259=""),"Vencida sin observación"&amp;" · ",""))="","✔ OK","⚠ "&amp;LEFT(IF(AND($S259="Macro",$B259=""),"Macroactividad vacía"&amp;" · ","")&amp;IF(AND($B259&lt;&gt;"",$C259&lt;&gt;""),"Escriba la subactividad en otra fila, debajo de su macroactividad"&amp;" · ","")&amp;IF(AND($S259="Sub",N($R259)=0),"Subactividad sin macroactividad arriba"&amp;" · ","")&amp;IF($D259="","Sin responsable"&amp;" · ","")&amp;IF($E259="","Sin fecha de inicio"&amp;" · ","")&amp;IF($F259="","Sin fecha límite"&amp;" · ","")&amp;IF(OR(AND($E259&lt;&gt;"",NOT(ISNUMBER($E259))),AND($F259&lt;&gt;"",NOT(ISNUMBER($F259)))),"Fecha no válida"&amp;" · ","")&amp;IF(AND(ISNUMBER($E259),ISNUMBER($F259),$E259&gt;$F259),"Inicio posterior a fecha límite"&amp;" · ","")&amp;IF(AND($S259="Macro",$G259=""),"Peso vacío"&amp;" · ","")&amp;IF(AND($S259="Macro",$G259&lt;&gt;"",OR(NOT(ISNUMBER($G259)),$G259&lt;=0,$G259&gt;1)),"Peso fuera de rango"&amp;" · ","")&amp;IF(AND($S259="Sub",$G259&lt;&gt;""),"Las subactividades no llevan peso"&amp;" · ","")&amp;IF(AND($S259="Macro",ABS(SUMIFS($G$5:$G$1000,$P$5:$P$1000,$P259,$S$5:$S$1000,"Macro")-1)&gt;0.0001),"Pesos del mes suman "&amp;TEXT(SUMIFS($G$5:$G$1000,$P$5:$P$1000,$P259,$S$5:$S$1000,"Macro"),"0%")&amp;" · ","")&amp;IF(AND(N($T259)&gt;0,COUNT($H259:$K259)&gt;0),"Con subactividades: deje vacías las semanas (se calculan solas)"&amp;" · ","")&amp;IF((COUNTIF($H259:$K259,"&gt;1")+COUNTIF($H259:$K259,"&lt;0")+COUNTA($H259:$K259)-COUNT($H259:$K259))&gt;0,"Avance fuera de rango 0-100%"&amp;" · ","")&amp;IF(OR(AND($I259&lt;&gt;"",$I259&lt;$H259),AND($J259&lt;&gt;"",$J259&lt;MAX($H259:$I259)),AND($K259&lt;&gt;"",$K259&lt;MAX($H259:$J259))),"Avance semanal decreciente"&amp;" · ","")&amp;IF(AND(ISNUMBER($F259),$F259&lt;FechaRef,N($L259)&lt;1),"Vencida"&amp;" · ","")&amp;IF(AND(ObsObligatoria="Sí",ISNUMBER($F259),$F259&lt;FechaRef,N($L259)&lt;1,$N259=""),"Vencida sin observación"&amp;" · ",""),LEN(IF(AND($S259="Macro",$B259=""),"Macroactividad vacía"&amp;" · ","")&amp;IF(AND($B259&lt;&gt;"",$C259&lt;&gt;""),"Escriba la subactividad en otra fila, debajo de su macroactividad"&amp;" · ","")&amp;IF(AND($S259="Sub",N($R259)=0),"Subactividad sin macroactividad arriba"&amp;" · ","")&amp;IF($D259="","Sin responsable"&amp;" · ","")&amp;IF($E259="","Sin fecha de inicio"&amp;" · ","")&amp;IF($F259="","Sin fecha límite"&amp;" · ","")&amp;IF(OR(AND($E259&lt;&gt;"",NOT(ISNUMBER($E259))),AND($F259&lt;&gt;"",NOT(ISNUMBER($F259)))),"Fecha no válida"&amp;" · ","")&amp;IF(AND(ISNUMBER($E259),ISNUMBER($F259),$E259&gt;$F259),"Inicio posterior a fecha límite"&amp;" · ","")&amp;IF(AND($S259="Macro",$G259=""),"Peso vacío"&amp;" · ","")&amp;IF(AND($S259="Macro",$G259&lt;&gt;"",OR(NOT(ISNUMBER($G259)),$G259&lt;=0,$G259&gt;1)),"Peso fuera de rango"&amp;" · ","")&amp;IF(AND($S259="Sub",$G259&lt;&gt;""),"Las subactividades no llevan peso"&amp;" · ","")&amp;IF(AND($S259="Macro",ABS(SUMIFS($G$5:$G$1000,$P$5:$P$1000,$P259,$S$5:$S$1000,"Macro")-1)&gt;0.0001),"Pesos del mes suman "&amp;TEXT(SUMIFS($G$5:$G$1000,$P$5:$P$1000,$P259,$S$5:$S$1000,"Macro"),"0%")&amp;" · ","")&amp;IF(AND(N($T259)&gt;0,COUNT($H259:$K259)&gt;0),"Con subactividades: deje vacías las semanas (se calculan solas)"&amp;" · ","")&amp;IF((COUNTIF($H259:$K259,"&gt;1")+COUNTIF($H259:$K259,"&lt;0")+COUNTA($H259:$K259)-COUNT($H259:$K259))&gt;0,"Avance fuera de rango 0-100%"&amp;" · ","")&amp;IF(OR(AND($I259&lt;&gt;"",$I259&lt;$H259),AND($J259&lt;&gt;"",$J259&lt;MAX($H259:$I259)),AND($K259&lt;&gt;"",$K259&lt;MAX($H259:$J259))),"Avance semanal decreciente"&amp;" · ","")&amp;IF(AND(ISNUMBER($F259),$F259&lt;FechaRef,N($L259)&lt;1),"Vencida"&amp;" · ","")&amp;IF(AND(ObsObligatoria="Sí",ISNUMBER($F259),$F259&lt;FechaRef,N($L259)&lt;1,$N259=""),"Vencida sin observación"&amp;" · ",""))-3)))</f>
        <v/>
      </c>
      <c r="P259" s="69">
        <f>IF(NOT((COUNTA($B259:$K259)+COUNTA($N259))&gt;0),"",IF(AND($S259="Sub",N($R259)&gt;0),IF(ISNUMBER(INDEX($E$5:$E$1000,$R259-4)),DATE(YEAR(INDEX($E$5:$E$1000,$R259-4)),MONTH(INDEX($E$5:$E$1000,$R259-4)),1),IF(ISNUMBER(INDEX($F$5:$F$1000,$R259-4)),DATE(YEAR(INDEX($F$5:$F$1000,$R259-4)),MONTH(INDEX($F$5:$F$1000,$R259-4)),1),MesCiclo)),IF(ISNUMBER($E259),DATE(YEAR($E259),MONTH($E259),1),IF(ISNUMBER($F259),DATE(YEAR($F259),MONTH($F259),1),MesCiclo))))</f>
        <v/>
      </c>
      <c r="Q259" s="70">
        <f>IF(OR($P259="",$P259&lt;&gt;MesCiclo),"",COUNTIF($P$5:$P259,MesCiclo))</f>
        <v/>
      </c>
      <c r="R259" s="70">
        <f>IF($S259="","",IF($S259="Macro",ROW(),IFERROR(LOOKUP(2,1/($S$5:$S259="Macro"),ROW($S$5:$S259)),0)))</f>
        <v/>
      </c>
      <c r="S259" s="70">
        <f>IF(NOT((COUNTA($B259:$K259)+COUNTA($N259))&gt;0),"",IF($B259&lt;&gt;"","Macro",IF($C259&lt;&gt;"","Sub","Macro")))</f>
        <v/>
      </c>
      <c r="T259" s="70">
        <f>IF($S259="Macro",COUNTIFS($R$5:$R$1000,ROW(),$S$5:$S$1000,"Sub"),"")</f>
        <v/>
      </c>
      <c r="U259" s="70">
        <f>IF($S259="","",IF(ISNUMBER($H259),$H259,0))</f>
        <v/>
      </c>
      <c r="V259" s="70">
        <f>IF($S259="","",IF(ISNUMBER($I259),$I259,$U259))</f>
        <v/>
      </c>
      <c r="W259" s="70">
        <f>IF($S259="","",IF(ISNUMBER($J259),$J259,$V259))</f>
        <v/>
      </c>
      <c r="X259" s="70">
        <f>IF($S259="","",IF(ISNUMBER($K259),$K259,$W259))</f>
        <v/>
      </c>
      <c r="Y259" s="70">
        <f>IF($S259="","",IF(N($T259)&gt;0,AVERAGEIFS($U$5:$U$1000,$R$5:$R$1000,ROW(),$S$5:$S$1000,"Sub"),$U259))</f>
        <v/>
      </c>
      <c r="Z259" s="70">
        <f>IF($S259="","",IF(N($T259)&gt;0,AVERAGEIFS($V$5:$V$1000,$R$5:$R$1000,ROW(),$S$5:$S$1000,"Sub"),$V259))</f>
        <v/>
      </c>
      <c r="AA259" s="70">
        <f>IF($S259="","",IF(N($T259)&gt;0,AVERAGEIFS($W$5:$W$1000,$R$5:$R$1000,ROW(),$S$5:$S$1000,"Sub"),$W259))</f>
        <v/>
      </c>
      <c r="AB259" s="70">
        <f>IF($S259="","",IF(N($T259)&gt;0,AVERAGEIFS($X$5:$X$1000,$R$5:$R$1000,ROW(),$S$5:$S$1000,"Sub"),$X259))</f>
        <v/>
      </c>
    </row>
    <row r="260">
      <c r="A260" s="61">
        <f>IF(NOT((COUNTA($B260:$K260)+COUNTA($N260))&gt;0),"",IF($S260="Macro",COUNTIFS($S$5:$S260,"Macro",$P$5:$P260,$P260),IF(N($R260)=0,"?",COUNTIFS(INDEX($S$5:$S$1000,1):INDEX($S$5:$S$1000,$R260-4),"Macro",INDEX($P$5:$P$1000,1):INDEX($P$5:$P$1000,$R260-4),INDEX($P$5:$P$1000,$R260-4))&amp;"."&amp;COUNTIFS($R$5:$R260,$R260,$S$5:$S260,"Sub"))))</f>
        <v/>
      </c>
      <c r="B260" s="62" t="n"/>
      <c r="C260" s="63" t="n"/>
      <c r="D260" s="62" t="n"/>
      <c r="E260" s="64" t="n"/>
      <c r="F260" s="64" t="n"/>
      <c r="G260" s="65" t="n"/>
      <c r="H260" s="66" t="n"/>
      <c r="I260" s="66" t="n"/>
      <c r="J260" s="66" t="n"/>
      <c r="K260" s="66" t="n"/>
      <c r="L260" s="67">
        <f>IF(NOT((COUNTA($B260:$K260)+COUNTA($N260))&gt;0),"",IF(N($T260)&gt;0,$AB260,IFERROR(LOOKUP(2,1/(H260:K260&lt;&gt;""),H260:K260),0)))</f>
        <v/>
      </c>
      <c r="M260" s="61">
        <f>IF(L260="","",IF(L260&gt;=1,"Completado",IF(L260&gt;0,"En curso","Pendiente")))</f>
        <v/>
      </c>
      <c r="N260" s="62" t="n"/>
      <c r="O260" s="68">
        <f>IF(NOT((COUNTA($B260:$K260)+COUNTA($N260))&gt;0),"",IF((IF(AND($S260="Macro",$B260=""),"Macroactividad vacía"&amp;" · ","")&amp;IF(AND($B260&lt;&gt;"",$C260&lt;&gt;""),"Escriba la subactividad en otra fila, debajo de su macroactividad"&amp;" · ","")&amp;IF(AND($S260="Sub",N($R260)=0),"Subactividad sin macroactividad arriba"&amp;" · ","")&amp;IF($D260="","Sin responsable"&amp;" · ","")&amp;IF($E260="","Sin fecha de inicio"&amp;" · ","")&amp;IF($F260="","Sin fecha límite"&amp;" · ","")&amp;IF(OR(AND($E260&lt;&gt;"",NOT(ISNUMBER($E260))),AND($F260&lt;&gt;"",NOT(ISNUMBER($F260)))),"Fecha no válida"&amp;" · ","")&amp;IF(AND(ISNUMBER($E260),ISNUMBER($F260),$E260&gt;$F260),"Inicio posterior a fecha límite"&amp;" · ","")&amp;IF(AND($S260="Macro",$G260=""),"Peso vacío"&amp;" · ","")&amp;IF(AND($S260="Macro",$G260&lt;&gt;"",OR(NOT(ISNUMBER($G260)),$G260&lt;=0,$G260&gt;1)),"Peso fuera de rango"&amp;" · ","")&amp;IF(AND($S260="Sub",$G260&lt;&gt;""),"Las subactividades no llevan peso"&amp;" · ","")&amp;IF(AND($S260="Macro",ABS(SUMIFS($G$5:$G$1000,$P$5:$P$1000,$P260,$S$5:$S$1000,"Macro")-1)&gt;0.0001),"Pesos del mes suman "&amp;TEXT(SUMIFS($G$5:$G$1000,$P$5:$P$1000,$P260,$S$5:$S$1000,"Macro"),"0%")&amp;" · ","")&amp;IF(AND(N($T260)&gt;0,COUNT($H260:$K260)&gt;0),"Con subactividades: deje vacías las semanas (se calculan solas)"&amp;" · ","")&amp;IF((COUNTIF($H260:$K260,"&gt;1")+COUNTIF($H260:$K260,"&lt;0")+COUNTA($H260:$K260)-COUNT($H260:$K260))&gt;0,"Avance fuera de rango 0-100%"&amp;" · ","")&amp;IF(OR(AND($I260&lt;&gt;"",$I260&lt;$H260),AND($J260&lt;&gt;"",$J260&lt;MAX($H260:$I260)),AND($K260&lt;&gt;"",$K260&lt;MAX($H260:$J260))),"Avance semanal decreciente"&amp;" · ","")&amp;IF(AND(ISNUMBER($F260),$F260&lt;FechaRef,N($L260)&lt;1),"Vencida"&amp;" · ","")&amp;IF(AND(ObsObligatoria="Sí",ISNUMBER($F260),$F260&lt;FechaRef,N($L260)&lt;1,$N260=""),"Vencida sin observación"&amp;" · ",""))="","✔ OK","⚠ "&amp;LEFT(IF(AND($S260="Macro",$B260=""),"Macroactividad vacía"&amp;" · ","")&amp;IF(AND($B260&lt;&gt;"",$C260&lt;&gt;""),"Escriba la subactividad en otra fila, debajo de su macroactividad"&amp;" · ","")&amp;IF(AND($S260="Sub",N($R260)=0),"Subactividad sin macroactividad arriba"&amp;" · ","")&amp;IF($D260="","Sin responsable"&amp;" · ","")&amp;IF($E260="","Sin fecha de inicio"&amp;" · ","")&amp;IF($F260="","Sin fecha límite"&amp;" · ","")&amp;IF(OR(AND($E260&lt;&gt;"",NOT(ISNUMBER($E260))),AND($F260&lt;&gt;"",NOT(ISNUMBER($F260)))),"Fecha no válida"&amp;" · ","")&amp;IF(AND(ISNUMBER($E260),ISNUMBER($F260),$E260&gt;$F260),"Inicio posterior a fecha límite"&amp;" · ","")&amp;IF(AND($S260="Macro",$G260=""),"Peso vacío"&amp;" · ","")&amp;IF(AND($S260="Macro",$G260&lt;&gt;"",OR(NOT(ISNUMBER($G260)),$G260&lt;=0,$G260&gt;1)),"Peso fuera de rango"&amp;" · ","")&amp;IF(AND($S260="Sub",$G260&lt;&gt;""),"Las subactividades no llevan peso"&amp;" · ","")&amp;IF(AND($S260="Macro",ABS(SUMIFS($G$5:$G$1000,$P$5:$P$1000,$P260,$S$5:$S$1000,"Macro")-1)&gt;0.0001),"Pesos del mes suman "&amp;TEXT(SUMIFS($G$5:$G$1000,$P$5:$P$1000,$P260,$S$5:$S$1000,"Macro"),"0%")&amp;" · ","")&amp;IF(AND(N($T260)&gt;0,COUNT($H260:$K260)&gt;0),"Con subactividades: deje vacías las semanas (se calculan solas)"&amp;" · ","")&amp;IF((COUNTIF($H260:$K260,"&gt;1")+COUNTIF($H260:$K260,"&lt;0")+COUNTA($H260:$K260)-COUNT($H260:$K260))&gt;0,"Avance fuera de rango 0-100%"&amp;" · ","")&amp;IF(OR(AND($I260&lt;&gt;"",$I260&lt;$H260),AND($J260&lt;&gt;"",$J260&lt;MAX($H260:$I260)),AND($K260&lt;&gt;"",$K260&lt;MAX($H260:$J260))),"Avance semanal decreciente"&amp;" · ","")&amp;IF(AND(ISNUMBER($F260),$F260&lt;FechaRef,N($L260)&lt;1),"Vencida"&amp;" · ","")&amp;IF(AND(ObsObligatoria="Sí",ISNUMBER($F260),$F260&lt;FechaRef,N($L260)&lt;1,$N260=""),"Vencida sin observación"&amp;" · ",""),LEN(IF(AND($S260="Macro",$B260=""),"Macroactividad vacía"&amp;" · ","")&amp;IF(AND($B260&lt;&gt;"",$C260&lt;&gt;""),"Escriba la subactividad en otra fila, debajo de su macroactividad"&amp;" · ","")&amp;IF(AND($S260="Sub",N($R260)=0),"Subactividad sin macroactividad arriba"&amp;" · ","")&amp;IF($D260="","Sin responsable"&amp;" · ","")&amp;IF($E260="","Sin fecha de inicio"&amp;" · ","")&amp;IF($F260="","Sin fecha límite"&amp;" · ","")&amp;IF(OR(AND($E260&lt;&gt;"",NOT(ISNUMBER($E260))),AND($F260&lt;&gt;"",NOT(ISNUMBER($F260)))),"Fecha no válida"&amp;" · ","")&amp;IF(AND(ISNUMBER($E260),ISNUMBER($F260),$E260&gt;$F260),"Inicio posterior a fecha límite"&amp;" · ","")&amp;IF(AND($S260="Macro",$G260=""),"Peso vacío"&amp;" · ","")&amp;IF(AND($S260="Macro",$G260&lt;&gt;"",OR(NOT(ISNUMBER($G260)),$G260&lt;=0,$G260&gt;1)),"Peso fuera de rango"&amp;" · ","")&amp;IF(AND($S260="Sub",$G260&lt;&gt;""),"Las subactividades no llevan peso"&amp;" · ","")&amp;IF(AND($S260="Macro",ABS(SUMIFS($G$5:$G$1000,$P$5:$P$1000,$P260,$S$5:$S$1000,"Macro")-1)&gt;0.0001),"Pesos del mes suman "&amp;TEXT(SUMIFS($G$5:$G$1000,$P$5:$P$1000,$P260,$S$5:$S$1000,"Macro"),"0%")&amp;" · ","")&amp;IF(AND(N($T260)&gt;0,COUNT($H260:$K260)&gt;0),"Con subactividades: deje vacías las semanas (se calculan solas)"&amp;" · ","")&amp;IF((COUNTIF($H260:$K260,"&gt;1")+COUNTIF($H260:$K260,"&lt;0")+COUNTA($H260:$K260)-COUNT($H260:$K260))&gt;0,"Avance fuera de rango 0-100%"&amp;" · ","")&amp;IF(OR(AND($I260&lt;&gt;"",$I260&lt;$H260),AND($J260&lt;&gt;"",$J260&lt;MAX($H260:$I260)),AND($K260&lt;&gt;"",$K260&lt;MAX($H260:$J260))),"Avance semanal decreciente"&amp;" · ","")&amp;IF(AND(ISNUMBER($F260),$F260&lt;FechaRef,N($L260)&lt;1),"Vencida"&amp;" · ","")&amp;IF(AND(ObsObligatoria="Sí",ISNUMBER($F260),$F260&lt;FechaRef,N($L260)&lt;1,$N260=""),"Vencida sin observación"&amp;" · ",""))-3)))</f>
        <v/>
      </c>
      <c r="P260" s="69">
        <f>IF(NOT((COUNTA($B260:$K260)+COUNTA($N260))&gt;0),"",IF(AND($S260="Sub",N($R260)&gt;0),IF(ISNUMBER(INDEX($E$5:$E$1000,$R260-4)),DATE(YEAR(INDEX($E$5:$E$1000,$R260-4)),MONTH(INDEX($E$5:$E$1000,$R260-4)),1),IF(ISNUMBER(INDEX($F$5:$F$1000,$R260-4)),DATE(YEAR(INDEX($F$5:$F$1000,$R260-4)),MONTH(INDEX($F$5:$F$1000,$R260-4)),1),MesCiclo)),IF(ISNUMBER($E260),DATE(YEAR($E260),MONTH($E260),1),IF(ISNUMBER($F260),DATE(YEAR($F260),MONTH($F260),1),MesCiclo))))</f>
        <v/>
      </c>
      <c r="Q260" s="70">
        <f>IF(OR($P260="",$P260&lt;&gt;MesCiclo),"",COUNTIF($P$5:$P260,MesCiclo))</f>
        <v/>
      </c>
      <c r="R260" s="70">
        <f>IF($S260="","",IF($S260="Macro",ROW(),IFERROR(LOOKUP(2,1/($S$5:$S260="Macro"),ROW($S$5:$S260)),0)))</f>
        <v/>
      </c>
      <c r="S260" s="70">
        <f>IF(NOT((COUNTA($B260:$K260)+COUNTA($N260))&gt;0),"",IF($B260&lt;&gt;"","Macro",IF($C260&lt;&gt;"","Sub","Macro")))</f>
        <v/>
      </c>
      <c r="T260" s="70">
        <f>IF($S260="Macro",COUNTIFS($R$5:$R$1000,ROW(),$S$5:$S$1000,"Sub"),"")</f>
        <v/>
      </c>
      <c r="U260" s="70">
        <f>IF($S260="","",IF(ISNUMBER($H260),$H260,0))</f>
        <v/>
      </c>
      <c r="V260" s="70">
        <f>IF($S260="","",IF(ISNUMBER($I260),$I260,$U260))</f>
        <v/>
      </c>
      <c r="W260" s="70">
        <f>IF($S260="","",IF(ISNUMBER($J260),$J260,$V260))</f>
        <v/>
      </c>
      <c r="X260" s="70">
        <f>IF($S260="","",IF(ISNUMBER($K260),$K260,$W260))</f>
        <v/>
      </c>
      <c r="Y260" s="70">
        <f>IF($S260="","",IF(N($T260)&gt;0,AVERAGEIFS($U$5:$U$1000,$R$5:$R$1000,ROW(),$S$5:$S$1000,"Sub"),$U260))</f>
        <v/>
      </c>
      <c r="Z260" s="70">
        <f>IF($S260="","",IF(N($T260)&gt;0,AVERAGEIFS($V$5:$V$1000,$R$5:$R$1000,ROW(),$S$5:$S$1000,"Sub"),$V260))</f>
        <v/>
      </c>
      <c r="AA260" s="70">
        <f>IF($S260="","",IF(N($T260)&gt;0,AVERAGEIFS($W$5:$W$1000,$R$5:$R$1000,ROW(),$S$5:$S$1000,"Sub"),$W260))</f>
        <v/>
      </c>
      <c r="AB260" s="70">
        <f>IF($S260="","",IF(N($T260)&gt;0,AVERAGEIFS($X$5:$X$1000,$R$5:$R$1000,ROW(),$S$5:$S$1000,"Sub"),$X260))</f>
        <v/>
      </c>
    </row>
    <row r="261">
      <c r="A261" s="61">
        <f>IF(NOT((COUNTA($B261:$K261)+COUNTA($N261))&gt;0),"",IF($S261="Macro",COUNTIFS($S$5:$S261,"Macro",$P$5:$P261,$P261),IF(N($R261)=0,"?",COUNTIFS(INDEX($S$5:$S$1000,1):INDEX($S$5:$S$1000,$R261-4),"Macro",INDEX($P$5:$P$1000,1):INDEX($P$5:$P$1000,$R261-4),INDEX($P$5:$P$1000,$R261-4))&amp;"."&amp;COUNTIFS($R$5:$R261,$R261,$S$5:$S261,"Sub"))))</f>
        <v/>
      </c>
      <c r="B261" s="62" t="n"/>
      <c r="C261" s="63" t="n"/>
      <c r="D261" s="62" t="n"/>
      <c r="E261" s="64" t="n"/>
      <c r="F261" s="64" t="n"/>
      <c r="G261" s="65" t="n"/>
      <c r="H261" s="66" t="n"/>
      <c r="I261" s="66" t="n"/>
      <c r="J261" s="66" t="n"/>
      <c r="K261" s="66" t="n"/>
      <c r="L261" s="67">
        <f>IF(NOT((COUNTA($B261:$K261)+COUNTA($N261))&gt;0),"",IF(N($T261)&gt;0,$AB261,IFERROR(LOOKUP(2,1/(H261:K261&lt;&gt;""),H261:K261),0)))</f>
        <v/>
      </c>
      <c r="M261" s="61">
        <f>IF(L261="","",IF(L261&gt;=1,"Completado",IF(L261&gt;0,"En curso","Pendiente")))</f>
        <v/>
      </c>
      <c r="N261" s="62" t="n"/>
      <c r="O261" s="68">
        <f>IF(NOT((COUNTA($B261:$K261)+COUNTA($N261))&gt;0),"",IF((IF(AND($S261="Macro",$B261=""),"Macroactividad vacía"&amp;" · ","")&amp;IF(AND($B261&lt;&gt;"",$C261&lt;&gt;""),"Escriba la subactividad en otra fila, debajo de su macroactividad"&amp;" · ","")&amp;IF(AND($S261="Sub",N($R261)=0),"Subactividad sin macroactividad arriba"&amp;" · ","")&amp;IF($D261="","Sin responsable"&amp;" · ","")&amp;IF($E261="","Sin fecha de inicio"&amp;" · ","")&amp;IF($F261="","Sin fecha límite"&amp;" · ","")&amp;IF(OR(AND($E261&lt;&gt;"",NOT(ISNUMBER($E261))),AND($F261&lt;&gt;"",NOT(ISNUMBER($F261)))),"Fecha no válida"&amp;" · ","")&amp;IF(AND(ISNUMBER($E261),ISNUMBER($F261),$E261&gt;$F261),"Inicio posterior a fecha límite"&amp;" · ","")&amp;IF(AND($S261="Macro",$G261=""),"Peso vacío"&amp;" · ","")&amp;IF(AND($S261="Macro",$G261&lt;&gt;"",OR(NOT(ISNUMBER($G261)),$G261&lt;=0,$G261&gt;1)),"Peso fuera de rango"&amp;" · ","")&amp;IF(AND($S261="Sub",$G261&lt;&gt;""),"Las subactividades no llevan peso"&amp;" · ","")&amp;IF(AND($S261="Macro",ABS(SUMIFS($G$5:$G$1000,$P$5:$P$1000,$P261,$S$5:$S$1000,"Macro")-1)&gt;0.0001),"Pesos del mes suman "&amp;TEXT(SUMIFS($G$5:$G$1000,$P$5:$P$1000,$P261,$S$5:$S$1000,"Macro"),"0%")&amp;" · ","")&amp;IF(AND(N($T261)&gt;0,COUNT($H261:$K261)&gt;0),"Con subactividades: deje vacías las semanas (se calculan solas)"&amp;" · ","")&amp;IF((COUNTIF($H261:$K261,"&gt;1")+COUNTIF($H261:$K261,"&lt;0")+COUNTA($H261:$K261)-COUNT($H261:$K261))&gt;0,"Avance fuera de rango 0-100%"&amp;" · ","")&amp;IF(OR(AND($I261&lt;&gt;"",$I261&lt;$H261),AND($J261&lt;&gt;"",$J261&lt;MAX($H261:$I261)),AND($K261&lt;&gt;"",$K261&lt;MAX($H261:$J261))),"Avance semanal decreciente"&amp;" · ","")&amp;IF(AND(ISNUMBER($F261),$F261&lt;FechaRef,N($L261)&lt;1),"Vencida"&amp;" · ","")&amp;IF(AND(ObsObligatoria="Sí",ISNUMBER($F261),$F261&lt;FechaRef,N($L261)&lt;1,$N261=""),"Vencida sin observación"&amp;" · ",""))="","✔ OK","⚠ "&amp;LEFT(IF(AND($S261="Macro",$B261=""),"Macroactividad vacía"&amp;" · ","")&amp;IF(AND($B261&lt;&gt;"",$C261&lt;&gt;""),"Escriba la subactividad en otra fila, debajo de su macroactividad"&amp;" · ","")&amp;IF(AND($S261="Sub",N($R261)=0),"Subactividad sin macroactividad arriba"&amp;" · ","")&amp;IF($D261="","Sin responsable"&amp;" · ","")&amp;IF($E261="","Sin fecha de inicio"&amp;" · ","")&amp;IF($F261="","Sin fecha límite"&amp;" · ","")&amp;IF(OR(AND($E261&lt;&gt;"",NOT(ISNUMBER($E261))),AND($F261&lt;&gt;"",NOT(ISNUMBER($F261)))),"Fecha no válida"&amp;" · ","")&amp;IF(AND(ISNUMBER($E261),ISNUMBER($F261),$E261&gt;$F261),"Inicio posterior a fecha límite"&amp;" · ","")&amp;IF(AND($S261="Macro",$G261=""),"Peso vacío"&amp;" · ","")&amp;IF(AND($S261="Macro",$G261&lt;&gt;"",OR(NOT(ISNUMBER($G261)),$G261&lt;=0,$G261&gt;1)),"Peso fuera de rango"&amp;" · ","")&amp;IF(AND($S261="Sub",$G261&lt;&gt;""),"Las subactividades no llevan peso"&amp;" · ","")&amp;IF(AND($S261="Macro",ABS(SUMIFS($G$5:$G$1000,$P$5:$P$1000,$P261,$S$5:$S$1000,"Macro")-1)&gt;0.0001),"Pesos del mes suman "&amp;TEXT(SUMIFS($G$5:$G$1000,$P$5:$P$1000,$P261,$S$5:$S$1000,"Macro"),"0%")&amp;" · ","")&amp;IF(AND(N($T261)&gt;0,COUNT($H261:$K261)&gt;0),"Con subactividades: deje vacías las semanas (se calculan solas)"&amp;" · ","")&amp;IF((COUNTIF($H261:$K261,"&gt;1")+COUNTIF($H261:$K261,"&lt;0")+COUNTA($H261:$K261)-COUNT($H261:$K261))&gt;0,"Avance fuera de rango 0-100%"&amp;" · ","")&amp;IF(OR(AND($I261&lt;&gt;"",$I261&lt;$H261),AND($J261&lt;&gt;"",$J261&lt;MAX($H261:$I261)),AND($K261&lt;&gt;"",$K261&lt;MAX($H261:$J261))),"Avance semanal decreciente"&amp;" · ","")&amp;IF(AND(ISNUMBER($F261),$F261&lt;FechaRef,N($L261)&lt;1),"Vencida"&amp;" · ","")&amp;IF(AND(ObsObligatoria="Sí",ISNUMBER($F261),$F261&lt;FechaRef,N($L261)&lt;1,$N261=""),"Vencida sin observación"&amp;" · ",""),LEN(IF(AND($S261="Macro",$B261=""),"Macroactividad vacía"&amp;" · ","")&amp;IF(AND($B261&lt;&gt;"",$C261&lt;&gt;""),"Escriba la subactividad en otra fila, debajo de su macroactividad"&amp;" · ","")&amp;IF(AND($S261="Sub",N($R261)=0),"Subactividad sin macroactividad arriba"&amp;" · ","")&amp;IF($D261="","Sin responsable"&amp;" · ","")&amp;IF($E261="","Sin fecha de inicio"&amp;" · ","")&amp;IF($F261="","Sin fecha límite"&amp;" · ","")&amp;IF(OR(AND($E261&lt;&gt;"",NOT(ISNUMBER($E261))),AND($F261&lt;&gt;"",NOT(ISNUMBER($F261)))),"Fecha no válida"&amp;" · ","")&amp;IF(AND(ISNUMBER($E261),ISNUMBER($F261),$E261&gt;$F261),"Inicio posterior a fecha límite"&amp;" · ","")&amp;IF(AND($S261="Macro",$G261=""),"Peso vacío"&amp;" · ","")&amp;IF(AND($S261="Macro",$G261&lt;&gt;"",OR(NOT(ISNUMBER($G261)),$G261&lt;=0,$G261&gt;1)),"Peso fuera de rango"&amp;" · ","")&amp;IF(AND($S261="Sub",$G261&lt;&gt;""),"Las subactividades no llevan peso"&amp;" · ","")&amp;IF(AND($S261="Macro",ABS(SUMIFS($G$5:$G$1000,$P$5:$P$1000,$P261,$S$5:$S$1000,"Macro")-1)&gt;0.0001),"Pesos del mes suman "&amp;TEXT(SUMIFS($G$5:$G$1000,$P$5:$P$1000,$P261,$S$5:$S$1000,"Macro"),"0%")&amp;" · ","")&amp;IF(AND(N($T261)&gt;0,COUNT($H261:$K261)&gt;0),"Con subactividades: deje vacías las semanas (se calculan solas)"&amp;" · ","")&amp;IF((COUNTIF($H261:$K261,"&gt;1")+COUNTIF($H261:$K261,"&lt;0")+COUNTA($H261:$K261)-COUNT($H261:$K261))&gt;0,"Avance fuera de rango 0-100%"&amp;" · ","")&amp;IF(OR(AND($I261&lt;&gt;"",$I261&lt;$H261),AND($J261&lt;&gt;"",$J261&lt;MAX($H261:$I261)),AND($K261&lt;&gt;"",$K261&lt;MAX($H261:$J261))),"Avance semanal decreciente"&amp;" · ","")&amp;IF(AND(ISNUMBER($F261),$F261&lt;FechaRef,N($L261)&lt;1),"Vencida"&amp;" · ","")&amp;IF(AND(ObsObligatoria="Sí",ISNUMBER($F261),$F261&lt;FechaRef,N($L261)&lt;1,$N261=""),"Vencida sin observación"&amp;" · ",""))-3)))</f>
        <v/>
      </c>
      <c r="P261" s="69">
        <f>IF(NOT((COUNTA($B261:$K261)+COUNTA($N261))&gt;0),"",IF(AND($S261="Sub",N($R261)&gt;0),IF(ISNUMBER(INDEX($E$5:$E$1000,$R261-4)),DATE(YEAR(INDEX($E$5:$E$1000,$R261-4)),MONTH(INDEX($E$5:$E$1000,$R261-4)),1),IF(ISNUMBER(INDEX($F$5:$F$1000,$R261-4)),DATE(YEAR(INDEX($F$5:$F$1000,$R261-4)),MONTH(INDEX($F$5:$F$1000,$R261-4)),1),MesCiclo)),IF(ISNUMBER($E261),DATE(YEAR($E261),MONTH($E261),1),IF(ISNUMBER($F261),DATE(YEAR($F261),MONTH($F261),1),MesCiclo))))</f>
        <v/>
      </c>
      <c r="Q261" s="70">
        <f>IF(OR($P261="",$P261&lt;&gt;MesCiclo),"",COUNTIF($P$5:$P261,MesCiclo))</f>
        <v/>
      </c>
      <c r="R261" s="70">
        <f>IF($S261="","",IF($S261="Macro",ROW(),IFERROR(LOOKUP(2,1/($S$5:$S261="Macro"),ROW($S$5:$S261)),0)))</f>
        <v/>
      </c>
      <c r="S261" s="70">
        <f>IF(NOT((COUNTA($B261:$K261)+COUNTA($N261))&gt;0),"",IF($B261&lt;&gt;"","Macro",IF($C261&lt;&gt;"","Sub","Macro")))</f>
        <v/>
      </c>
      <c r="T261" s="70">
        <f>IF($S261="Macro",COUNTIFS($R$5:$R$1000,ROW(),$S$5:$S$1000,"Sub"),"")</f>
        <v/>
      </c>
      <c r="U261" s="70">
        <f>IF($S261="","",IF(ISNUMBER($H261),$H261,0))</f>
        <v/>
      </c>
      <c r="V261" s="70">
        <f>IF($S261="","",IF(ISNUMBER($I261),$I261,$U261))</f>
        <v/>
      </c>
      <c r="W261" s="70">
        <f>IF($S261="","",IF(ISNUMBER($J261),$J261,$V261))</f>
        <v/>
      </c>
      <c r="X261" s="70">
        <f>IF($S261="","",IF(ISNUMBER($K261),$K261,$W261))</f>
        <v/>
      </c>
      <c r="Y261" s="70">
        <f>IF($S261="","",IF(N($T261)&gt;0,AVERAGEIFS($U$5:$U$1000,$R$5:$R$1000,ROW(),$S$5:$S$1000,"Sub"),$U261))</f>
        <v/>
      </c>
      <c r="Z261" s="70">
        <f>IF($S261="","",IF(N($T261)&gt;0,AVERAGEIFS($V$5:$V$1000,$R$5:$R$1000,ROW(),$S$5:$S$1000,"Sub"),$V261))</f>
        <v/>
      </c>
      <c r="AA261" s="70">
        <f>IF($S261="","",IF(N($T261)&gt;0,AVERAGEIFS($W$5:$W$1000,$R$5:$R$1000,ROW(),$S$5:$S$1000,"Sub"),$W261))</f>
        <v/>
      </c>
      <c r="AB261" s="70">
        <f>IF($S261="","",IF(N($T261)&gt;0,AVERAGEIFS($X$5:$X$1000,$R$5:$R$1000,ROW(),$S$5:$S$1000,"Sub"),$X261))</f>
        <v/>
      </c>
    </row>
    <row r="262">
      <c r="A262" s="61">
        <f>IF(NOT((COUNTA($B262:$K262)+COUNTA($N262))&gt;0),"",IF($S262="Macro",COUNTIFS($S$5:$S262,"Macro",$P$5:$P262,$P262),IF(N($R262)=0,"?",COUNTIFS(INDEX($S$5:$S$1000,1):INDEX($S$5:$S$1000,$R262-4),"Macro",INDEX($P$5:$P$1000,1):INDEX($P$5:$P$1000,$R262-4),INDEX($P$5:$P$1000,$R262-4))&amp;"."&amp;COUNTIFS($R$5:$R262,$R262,$S$5:$S262,"Sub"))))</f>
        <v/>
      </c>
      <c r="B262" s="62" t="n"/>
      <c r="C262" s="63" t="n"/>
      <c r="D262" s="62" t="n"/>
      <c r="E262" s="64" t="n"/>
      <c r="F262" s="64" t="n"/>
      <c r="G262" s="65" t="n"/>
      <c r="H262" s="66" t="n"/>
      <c r="I262" s="66" t="n"/>
      <c r="J262" s="66" t="n"/>
      <c r="K262" s="66" t="n"/>
      <c r="L262" s="67">
        <f>IF(NOT((COUNTA($B262:$K262)+COUNTA($N262))&gt;0),"",IF(N($T262)&gt;0,$AB262,IFERROR(LOOKUP(2,1/(H262:K262&lt;&gt;""),H262:K262),0)))</f>
        <v/>
      </c>
      <c r="M262" s="61">
        <f>IF(L262="","",IF(L262&gt;=1,"Completado",IF(L262&gt;0,"En curso","Pendiente")))</f>
        <v/>
      </c>
      <c r="N262" s="62" t="n"/>
      <c r="O262" s="68">
        <f>IF(NOT((COUNTA($B262:$K262)+COUNTA($N262))&gt;0),"",IF((IF(AND($S262="Macro",$B262=""),"Macroactividad vacía"&amp;" · ","")&amp;IF(AND($B262&lt;&gt;"",$C262&lt;&gt;""),"Escriba la subactividad en otra fila, debajo de su macroactividad"&amp;" · ","")&amp;IF(AND($S262="Sub",N($R262)=0),"Subactividad sin macroactividad arriba"&amp;" · ","")&amp;IF($D262="","Sin responsable"&amp;" · ","")&amp;IF($E262="","Sin fecha de inicio"&amp;" · ","")&amp;IF($F262="","Sin fecha límite"&amp;" · ","")&amp;IF(OR(AND($E262&lt;&gt;"",NOT(ISNUMBER($E262))),AND($F262&lt;&gt;"",NOT(ISNUMBER($F262)))),"Fecha no válida"&amp;" · ","")&amp;IF(AND(ISNUMBER($E262),ISNUMBER($F262),$E262&gt;$F262),"Inicio posterior a fecha límite"&amp;" · ","")&amp;IF(AND($S262="Macro",$G262=""),"Peso vacío"&amp;" · ","")&amp;IF(AND($S262="Macro",$G262&lt;&gt;"",OR(NOT(ISNUMBER($G262)),$G262&lt;=0,$G262&gt;1)),"Peso fuera de rango"&amp;" · ","")&amp;IF(AND($S262="Sub",$G262&lt;&gt;""),"Las subactividades no llevan peso"&amp;" · ","")&amp;IF(AND($S262="Macro",ABS(SUMIFS($G$5:$G$1000,$P$5:$P$1000,$P262,$S$5:$S$1000,"Macro")-1)&gt;0.0001),"Pesos del mes suman "&amp;TEXT(SUMIFS($G$5:$G$1000,$P$5:$P$1000,$P262,$S$5:$S$1000,"Macro"),"0%")&amp;" · ","")&amp;IF(AND(N($T262)&gt;0,COUNT($H262:$K262)&gt;0),"Con subactividades: deje vacías las semanas (se calculan solas)"&amp;" · ","")&amp;IF((COUNTIF($H262:$K262,"&gt;1")+COUNTIF($H262:$K262,"&lt;0")+COUNTA($H262:$K262)-COUNT($H262:$K262))&gt;0,"Avance fuera de rango 0-100%"&amp;" · ","")&amp;IF(OR(AND($I262&lt;&gt;"",$I262&lt;$H262),AND($J262&lt;&gt;"",$J262&lt;MAX($H262:$I262)),AND($K262&lt;&gt;"",$K262&lt;MAX($H262:$J262))),"Avance semanal decreciente"&amp;" · ","")&amp;IF(AND(ISNUMBER($F262),$F262&lt;FechaRef,N($L262)&lt;1),"Vencida"&amp;" · ","")&amp;IF(AND(ObsObligatoria="Sí",ISNUMBER($F262),$F262&lt;FechaRef,N($L262)&lt;1,$N262=""),"Vencida sin observación"&amp;" · ",""))="","✔ OK","⚠ "&amp;LEFT(IF(AND($S262="Macro",$B262=""),"Macroactividad vacía"&amp;" · ","")&amp;IF(AND($B262&lt;&gt;"",$C262&lt;&gt;""),"Escriba la subactividad en otra fila, debajo de su macroactividad"&amp;" · ","")&amp;IF(AND($S262="Sub",N($R262)=0),"Subactividad sin macroactividad arriba"&amp;" · ","")&amp;IF($D262="","Sin responsable"&amp;" · ","")&amp;IF($E262="","Sin fecha de inicio"&amp;" · ","")&amp;IF($F262="","Sin fecha límite"&amp;" · ","")&amp;IF(OR(AND($E262&lt;&gt;"",NOT(ISNUMBER($E262))),AND($F262&lt;&gt;"",NOT(ISNUMBER($F262)))),"Fecha no válida"&amp;" · ","")&amp;IF(AND(ISNUMBER($E262),ISNUMBER($F262),$E262&gt;$F262),"Inicio posterior a fecha límite"&amp;" · ","")&amp;IF(AND($S262="Macro",$G262=""),"Peso vacío"&amp;" · ","")&amp;IF(AND($S262="Macro",$G262&lt;&gt;"",OR(NOT(ISNUMBER($G262)),$G262&lt;=0,$G262&gt;1)),"Peso fuera de rango"&amp;" · ","")&amp;IF(AND($S262="Sub",$G262&lt;&gt;""),"Las subactividades no llevan peso"&amp;" · ","")&amp;IF(AND($S262="Macro",ABS(SUMIFS($G$5:$G$1000,$P$5:$P$1000,$P262,$S$5:$S$1000,"Macro")-1)&gt;0.0001),"Pesos del mes suman "&amp;TEXT(SUMIFS($G$5:$G$1000,$P$5:$P$1000,$P262,$S$5:$S$1000,"Macro"),"0%")&amp;" · ","")&amp;IF(AND(N($T262)&gt;0,COUNT($H262:$K262)&gt;0),"Con subactividades: deje vacías las semanas (se calculan solas)"&amp;" · ","")&amp;IF((COUNTIF($H262:$K262,"&gt;1")+COUNTIF($H262:$K262,"&lt;0")+COUNTA($H262:$K262)-COUNT($H262:$K262))&gt;0,"Avance fuera de rango 0-100%"&amp;" · ","")&amp;IF(OR(AND($I262&lt;&gt;"",$I262&lt;$H262),AND($J262&lt;&gt;"",$J262&lt;MAX($H262:$I262)),AND($K262&lt;&gt;"",$K262&lt;MAX($H262:$J262))),"Avance semanal decreciente"&amp;" · ","")&amp;IF(AND(ISNUMBER($F262),$F262&lt;FechaRef,N($L262)&lt;1),"Vencida"&amp;" · ","")&amp;IF(AND(ObsObligatoria="Sí",ISNUMBER($F262),$F262&lt;FechaRef,N($L262)&lt;1,$N262=""),"Vencida sin observación"&amp;" · ",""),LEN(IF(AND($S262="Macro",$B262=""),"Macroactividad vacía"&amp;" · ","")&amp;IF(AND($B262&lt;&gt;"",$C262&lt;&gt;""),"Escriba la subactividad en otra fila, debajo de su macroactividad"&amp;" · ","")&amp;IF(AND($S262="Sub",N($R262)=0),"Subactividad sin macroactividad arriba"&amp;" · ","")&amp;IF($D262="","Sin responsable"&amp;" · ","")&amp;IF($E262="","Sin fecha de inicio"&amp;" · ","")&amp;IF($F262="","Sin fecha límite"&amp;" · ","")&amp;IF(OR(AND($E262&lt;&gt;"",NOT(ISNUMBER($E262))),AND($F262&lt;&gt;"",NOT(ISNUMBER($F262)))),"Fecha no válida"&amp;" · ","")&amp;IF(AND(ISNUMBER($E262),ISNUMBER($F262),$E262&gt;$F262),"Inicio posterior a fecha límite"&amp;" · ","")&amp;IF(AND($S262="Macro",$G262=""),"Peso vacío"&amp;" · ","")&amp;IF(AND($S262="Macro",$G262&lt;&gt;"",OR(NOT(ISNUMBER($G262)),$G262&lt;=0,$G262&gt;1)),"Peso fuera de rango"&amp;" · ","")&amp;IF(AND($S262="Sub",$G262&lt;&gt;""),"Las subactividades no llevan peso"&amp;" · ","")&amp;IF(AND($S262="Macro",ABS(SUMIFS($G$5:$G$1000,$P$5:$P$1000,$P262,$S$5:$S$1000,"Macro")-1)&gt;0.0001),"Pesos del mes suman "&amp;TEXT(SUMIFS($G$5:$G$1000,$P$5:$P$1000,$P262,$S$5:$S$1000,"Macro"),"0%")&amp;" · ","")&amp;IF(AND(N($T262)&gt;0,COUNT($H262:$K262)&gt;0),"Con subactividades: deje vacías las semanas (se calculan solas)"&amp;" · ","")&amp;IF((COUNTIF($H262:$K262,"&gt;1")+COUNTIF($H262:$K262,"&lt;0")+COUNTA($H262:$K262)-COUNT($H262:$K262))&gt;0,"Avance fuera de rango 0-100%"&amp;" · ","")&amp;IF(OR(AND($I262&lt;&gt;"",$I262&lt;$H262),AND($J262&lt;&gt;"",$J262&lt;MAX($H262:$I262)),AND($K262&lt;&gt;"",$K262&lt;MAX($H262:$J262))),"Avance semanal decreciente"&amp;" · ","")&amp;IF(AND(ISNUMBER($F262),$F262&lt;FechaRef,N($L262)&lt;1),"Vencida"&amp;" · ","")&amp;IF(AND(ObsObligatoria="Sí",ISNUMBER($F262),$F262&lt;FechaRef,N($L262)&lt;1,$N262=""),"Vencida sin observación"&amp;" · ",""))-3)))</f>
        <v/>
      </c>
      <c r="P262" s="69">
        <f>IF(NOT((COUNTA($B262:$K262)+COUNTA($N262))&gt;0),"",IF(AND($S262="Sub",N($R262)&gt;0),IF(ISNUMBER(INDEX($E$5:$E$1000,$R262-4)),DATE(YEAR(INDEX($E$5:$E$1000,$R262-4)),MONTH(INDEX($E$5:$E$1000,$R262-4)),1),IF(ISNUMBER(INDEX($F$5:$F$1000,$R262-4)),DATE(YEAR(INDEX($F$5:$F$1000,$R262-4)),MONTH(INDEX($F$5:$F$1000,$R262-4)),1),MesCiclo)),IF(ISNUMBER($E262),DATE(YEAR($E262),MONTH($E262),1),IF(ISNUMBER($F262),DATE(YEAR($F262),MONTH($F262),1),MesCiclo))))</f>
        <v/>
      </c>
      <c r="Q262" s="70">
        <f>IF(OR($P262="",$P262&lt;&gt;MesCiclo),"",COUNTIF($P$5:$P262,MesCiclo))</f>
        <v/>
      </c>
      <c r="R262" s="70">
        <f>IF($S262="","",IF($S262="Macro",ROW(),IFERROR(LOOKUP(2,1/($S$5:$S262="Macro"),ROW($S$5:$S262)),0)))</f>
        <v/>
      </c>
      <c r="S262" s="70">
        <f>IF(NOT((COUNTA($B262:$K262)+COUNTA($N262))&gt;0),"",IF($B262&lt;&gt;"","Macro",IF($C262&lt;&gt;"","Sub","Macro")))</f>
        <v/>
      </c>
      <c r="T262" s="70">
        <f>IF($S262="Macro",COUNTIFS($R$5:$R$1000,ROW(),$S$5:$S$1000,"Sub"),"")</f>
        <v/>
      </c>
      <c r="U262" s="70">
        <f>IF($S262="","",IF(ISNUMBER($H262),$H262,0))</f>
        <v/>
      </c>
      <c r="V262" s="70">
        <f>IF($S262="","",IF(ISNUMBER($I262),$I262,$U262))</f>
        <v/>
      </c>
      <c r="W262" s="70">
        <f>IF($S262="","",IF(ISNUMBER($J262),$J262,$V262))</f>
        <v/>
      </c>
      <c r="X262" s="70">
        <f>IF($S262="","",IF(ISNUMBER($K262),$K262,$W262))</f>
        <v/>
      </c>
      <c r="Y262" s="70">
        <f>IF($S262="","",IF(N($T262)&gt;0,AVERAGEIFS($U$5:$U$1000,$R$5:$R$1000,ROW(),$S$5:$S$1000,"Sub"),$U262))</f>
        <v/>
      </c>
      <c r="Z262" s="70">
        <f>IF($S262="","",IF(N($T262)&gt;0,AVERAGEIFS($V$5:$V$1000,$R$5:$R$1000,ROW(),$S$5:$S$1000,"Sub"),$V262))</f>
        <v/>
      </c>
      <c r="AA262" s="70">
        <f>IF($S262="","",IF(N($T262)&gt;0,AVERAGEIFS($W$5:$W$1000,$R$5:$R$1000,ROW(),$S$5:$S$1000,"Sub"),$W262))</f>
        <v/>
      </c>
      <c r="AB262" s="70">
        <f>IF($S262="","",IF(N($T262)&gt;0,AVERAGEIFS($X$5:$X$1000,$R$5:$R$1000,ROW(),$S$5:$S$1000,"Sub"),$X262))</f>
        <v/>
      </c>
    </row>
    <row r="263">
      <c r="A263" s="61">
        <f>IF(NOT((COUNTA($B263:$K263)+COUNTA($N263))&gt;0),"",IF($S263="Macro",COUNTIFS($S$5:$S263,"Macro",$P$5:$P263,$P263),IF(N($R263)=0,"?",COUNTIFS(INDEX($S$5:$S$1000,1):INDEX($S$5:$S$1000,$R263-4),"Macro",INDEX($P$5:$P$1000,1):INDEX($P$5:$P$1000,$R263-4),INDEX($P$5:$P$1000,$R263-4))&amp;"."&amp;COUNTIFS($R$5:$R263,$R263,$S$5:$S263,"Sub"))))</f>
        <v/>
      </c>
      <c r="B263" s="62" t="n"/>
      <c r="C263" s="63" t="n"/>
      <c r="D263" s="62" t="n"/>
      <c r="E263" s="64" t="n"/>
      <c r="F263" s="64" t="n"/>
      <c r="G263" s="65" t="n"/>
      <c r="H263" s="66" t="n"/>
      <c r="I263" s="66" t="n"/>
      <c r="J263" s="66" t="n"/>
      <c r="K263" s="66" t="n"/>
      <c r="L263" s="67">
        <f>IF(NOT((COUNTA($B263:$K263)+COUNTA($N263))&gt;0),"",IF(N($T263)&gt;0,$AB263,IFERROR(LOOKUP(2,1/(H263:K263&lt;&gt;""),H263:K263),0)))</f>
        <v/>
      </c>
      <c r="M263" s="61">
        <f>IF(L263="","",IF(L263&gt;=1,"Completado",IF(L263&gt;0,"En curso","Pendiente")))</f>
        <v/>
      </c>
      <c r="N263" s="62" t="n"/>
      <c r="O263" s="68">
        <f>IF(NOT((COUNTA($B263:$K263)+COUNTA($N263))&gt;0),"",IF((IF(AND($S263="Macro",$B263=""),"Macroactividad vacía"&amp;" · ","")&amp;IF(AND($B263&lt;&gt;"",$C263&lt;&gt;""),"Escriba la subactividad en otra fila, debajo de su macroactividad"&amp;" · ","")&amp;IF(AND($S263="Sub",N($R263)=0),"Subactividad sin macroactividad arriba"&amp;" · ","")&amp;IF($D263="","Sin responsable"&amp;" · ","")&amp;IF($E263="","Sin fecha de inicio"&amp;" · ","")&amp;IF($F263="","Sin fecha límite"&amp;" · ","")&amp;IF(OR(AND($E263&lt;&gt;"",NOT(ISNUMBER($E263))),AND($F263&lt;&gt;"",NOT(ISNUMBER($F263)))),"Fecha no válida"&amp;" · ","")&amp;IF(AND(ISNUMBER($E263),ISNUMBER($F263),$E263&gt;$F263),"Inicio posterior a fecha límite"&amp;" · ","")&amp;IF(AND($S263="Macro",$G263=""),"Peso vacío"&amp;" · ","")&amp;IF(AND($S263="Macro",$G263&lt;&gt;"",OR(NOT(ISNUMBER($G263)),$G263&lt;=0,$G263&gt;1)),"Peso fuera de rango"&amp;" · ","")&amp;IF(AND($S263="Sub",$G263&lt;&gt;""),"Las subactividades no llevan peso"&amp;" · ","")&amp;IF(AND($S263="Macro",ABS(SUMIFS($G$5:$G$1000,$P$5:$P$1000,$P263,$S$5:$S$1000,"Macro")-1)&gt;0.0001),"Pesos del mes suman "&amp;TEXT(SUMIFS($G$5:$G$1000,$P$5:$P$1000,$P263,$S$5:$S$1000,"Macro"),"0%")&amp;" · ","")&amp;IF(AND(N($T263)&gt;0,COUNT($H263:$K263)&gt;0),"Con subactividades: deje vacías las semanas (se calculan solas)"&amp;" · ","")&amp;IF((COUNTIF($H263:$K263,"&gt;1")+COUNTIF($H263:$K263,"&lt;0")+COUNTA($H263:$K263)-COUNT($H263:$K263))&gt;0,"Avance fuera de rango 0-100%"&amp;" · ","")&amp;IF(OR(AND($I263&lt;&gt;"",$I263&lt;$H263),AND($J263&lt;&gt;"",$J263&lt;MAX($H263:$I263)),AND($K263&lt;&gt;"",$K263&lt;MAX($H263:$J263))),"Avance semanal decreciente"&amp;" · ","")&amp;IF(AND(ISNUMBER($F263),$F263&lt;FechaRef,N($L263)&lt;1),"Vencida"&amp;" · ","")&amp;IF(AND(ObsObligatoria="Sí",ISNUMBER($F263),$F263&lt;FechaRef,N($L263)&lt;1,$N263=""),"Vencida sin observación"&amp;" · ",""))="","✔ OK","⚠ "&amp;LEFT(IF(AND($S263="Macro",$B263=""),"Macroactividad vacía"&amp;" · ","")&amp;IF(AND($B263&lt;&gt;"",$C263&lt;&gt;""),"Escriba la subactividad en otra fila, debajo de su macroactividad"&amp;" · ","")&amp;IF(AND($S263="Sub",N($R263)=0),"Subactividad sin macroactividad arriba"&amp;" · ","")&amp;IF($D263="","Sin responsable"&amp;" · ","")&amp;IF($E263="","Sin fecha de inicio"&amp;" · ","")&amp;IF($F263="","Sin fecha límite"&amp;" · ","")&amp;IF(OR(AND($E263&lt;&gt;"",NOT(ISNUMBER($E263))),AND($F263&lt;&gt;"",NOT(ISNUMBER($F263)))),"Fecha no válida"&amp;" · ","")&amp;IF(AND(ISNUMBER($E263),ISNUMBER($F263),$E263&gt;$F263),"Inicio posterior a fecha límite"&amp;" · ","")&amp;IF(AND($S263="Macro",$G263=""),"Peso vacío"&amp;" · ","")&amp;IF(AND($S263="Macro",$G263&lt;&gt;"",OR(NOT(ISNUMBER($G263)),$G263&lt;=0,$G263&gt;1)),"Peso fuera de rango"&amp;" · ","")&amp;IF(AND($S263="Sub",$G263&lt;&gt;""),"Las subactividades no llevan peso"&amp;" · ","")&amp;IF(AND($S263="Macro",ABS(SUMIFS($G$5:$G$1000,$P$5:$P$1000,$P263,$S$5:$S$1000,"Macro")-1)&gt;0.0001),"Pesos del mes suman "&amp;TEXT(SUMIFS($G$5:$G$1000,$P$5:$P$1000,$P263,$S$5:$S$1000,"Macro"),"0%")&amp;" · ","")&amp;IF(AND(N($T263)&gt;0,COUNT($H263:$K263)&gt;0),"Con subactividades: deje vacías las semanas (se calculan solas)"&amp;" · ","")&amp;IF((COUNTIF($H263:$K263,"&gt;1")+COUNTIF($H263:$K263,"&lt;0")+COUNTA($H263:$K263)-COUNT($H263:$K263))&gt;0,"Avance fuera de rango 0-100%"&amp;" · ","")&amp;IF(OR(AND($I263&lt;&gt;"",$I263&lt;$H263),AND($J263&lt;&gt;"",$J263&lt;MAX($H263:$I263)),AND($K263&lt;&gt;"",$K263&lt;MAX($H263:$J263))),"Avance semanal decreciente"&amp;" · ","")&amp;IF(AND(ISNUMBER($F263),$F263&lt;FechaRef,N($L263)&lt;1),"Vencida"&amp;" · ","")&amp;IF(AND(ObsObligatoria="Sí",ISNUMBER($F263),$F263&lt;FechaRef,N($L263)&lt;1,$N263=""),"Vencida sin observación"&amp;" · ",""),LEN(IF(AND($S263="Macro",$B263=""),"Macroactividad vacía"&amp;" · ","")&amp;IF(AND($B263&lt;&gt;"",$C263&lt;&gt;""),"Escriba la subactividad en otra fila, debajo de su macroactividad"&amp;" · ","")&amp;IF(AND($S263="Sub",N($R263)=0),"Subactividad sin macroactividad arriba"&amp;" · ","")&amp;IF($D263="","Sin responsable"&amp;" · ","")&amp;IF($E263="","Sin fecha de inicio"&amp;" · ","")&amp;IF($F263="","Sin fecha límite"&amp;" · ","")&amp;IF(OR(AND($E263&lt;&gt;"",NOT(ISNUMBER($E263))),AND($F263&lt;&gt;"",NOT(ISNUMBER($F263)))),"Fecha no válida"&amp;" · ","")&amp;IF(AND(ISNUMBER($E263),ISNUMBER($F263),$E263&gt;$F263),"Inicio posterior a fecha límite"&amp;" · ","")&amp;IF(AND($S263="Macro",$G263=""),"Peso vacío"&amp;" · ","")&amp;IF(AND($S263="Macro",$G263&lt;&gt;"",OR(NOT(ISNUMBER($G263)),$G263&lt;=0,$G263&gt;1)),"Peso fuera de rango"&amp;" · ","")&amp;IF(AND($S263="Sub",$G263&lt;&gt;""),"Las subactividades no llevan peso"&amp;" · ","")&amp;IF(AND($S263="Macro",ABS(SUMIFS($G$5:$G$1000,$P$5:$P$1000,$P263,$S$5:$S$1000,"Macro")-1)&gt;0.0001),"Pesos del mes suman "&amp;TEXT(SUMIFS($G$5:$G$1000,$P$5:$P$1000,$P263,$S$5:$S$1000,"Macro"),"0%")&amp;" · ","")&amp;IF(AND(N($T263)&gt;0,COUNT($H263:$K263)&gt;0),"Con subactividades: deje vacías las semanas (se calculan solas)"&amp;" · ","")&amp;IF((COUNTIF($H263:$K263,"&gt;1")+COUNTIF($H263:$K263,"&lt;0")+COUNTA($H263:$K263)-COUNT($H263:$K263))&gt;0,"Avance fuera de rango 0-100%"&amp;" · ","")&amp;IF(OR(AND($I263&lt;&gt;"",$I263&lt;$H263),AND($J263&lt;&gt;"",$J263&lt;MAX($H263:$I263)),AND($K263&lt;&gt;"",$K263&lt;MAX($H263:$J263))),"Avance semanal decreciente"&amp;" · ","")&amp;IF(AND(ISNUMBER($F263),$F263&lt;FechaRef,N($L263)&lt;1),"Vencida"&amp;" · ","")&amp;IF(AND(ObsObligatoria="Sí",ISNUMBER($F263),$F263&lt;FechaRef,N($L263)&lt;1,$N263=""),"Vencida sin observación"&amp;" · ",""))-3)))</f>
        <v/>
      </c>
      <c r="P263" s="69">
        <f>IF(NOT((COUNTA($B263:$K263)+COUNTA($N263))&gt;0),"",IF(AND($S263="Sub",N($R263)&gt;0),IF(ISNUMBER(INDEX($E$5:$E$1000,$R263-4)),DATE(YEAR(INDEX($E$5:$E$1000,$R263-4)),MONTH(INDEX($E$5:$E$1000,$R263-4)),1),IF(ISNUMBER(INDEX($F$5:$F$1000,$R263-4)),DATE(YEAR(INDEX($F$5:$F$1000,$R263-4)),MONTH(INDEX($F$5:$F$1000,$R263-4)),1),MesCiclo)),IF(ISNUMBER($E263),DATE(YEAR($E263),MONTH($E263),1),IF(ISNUMBER($F263),DATE(YEAR($F263),MONTH($F263),1),MesCiclo))))</f>
        <v/>
      </c>
      <c r="Q263" s="70">
        <f>IF(OR($P263="",$P263&lt;&gt;MesCiclo),"",COUNTIF($P$5:$P263,MesCiclo))</f>
        <v/>
      </c>
      <c r="R263" s="70">
        <f>IF($S263="","",IF($S263="Macro",ROW(),IFERROR(LOOKUP(2,1/($S$5:$S263="Macro"),ROW($S$5:$S263)),0)))</f>
        <v/>
      </c>
      <c r="S263" s="70">
        <f>IF(NOT((COUNTA($B263:$K263)+COUNTA($N263))&gt;0),"",IF($B263&lt;&gt;"","Macro",IF($C263&lt;&gt;"","Sub","Macro")))</f>
        <v/>
      </c>
      <c r="T263" s="70">
        <f>IF($S263="Macro",COUNTIFS($R$5:$R$1000,ROW(),$S$5:$S$1000,"Sub"),"")</f>
        <v/>
      </c>
      <c r="U263" s="70">
        <f>IF($S263="","",IF(ISNUMBER($H263),$H263,0))</f>
        <v/>
      </c>
      <c r="V263" s="70">
        <f>IF($S263="","",IF(ISNUMBER($I263),$I263,$U263))</f>
        <v/>
      </c>
      <c r="W263" s="70">
        <f>IF($S263="","",IF(ISNUMBER($J263),$J263,$V263))</f>
        <v/>
      </c>
      <c r="X263" s="70">
        <f>IF($S263="","",IF(ISNUMBER($K263),$K263,$W263))</f>
        <v/>
      </c>
      <c r="Y263" s="70">
        <f>IF($S263="","",IF(N($T263)&gt;0,AVERAGEIFS($U$5:$U$1000,$R$5:$R$1000,ROW(),$S$5:$S$1000,"Sub"),$U263))</f>
        <v/>
      </c>
      <c r="Z263" s="70">
        <f>IF($S263="","",IF(N($T263)&gt;0,AVERAGEIFS($V$5:$V$1000,$R$5:$R$1000,ROW(),$S$5:$S$1000,"Sub"),$V263))</f>
        <v/>
      </c>
      <c r="AA263" s="70">
        <f>IF($S263="","",IF(N($T263)&gt;0,AVERAGEIFS($W$5:$W$1000,$R$5:$R$1000,ROW(),$S$5:$S$1000,"Sub"),$W263))</f>
        <v/>
      </c>
      <c r="AB263" s="70">
        <f>IF($S263="","",IF(N($T263)&gt;0,AVERAGEIFS($X$5:$X$1000,$R$5:$R$1000,ROW(),$S$5:$S$1000,"Sub"),$X263))</f>
        <v/>
      </c>
    </row>
    <row r="264">
      <c r="A264" s="61">
        <f>IF(NOT((COUNTA($B264:$K264)+COUNTA($N264))&gt;0),"",IF($S264="Macro",COUNTIFS($S$5:$S264,"Macro",$P$5:$P264,$P264),IF(N($R264)=0,"?",COUNTIFS(INDEX($S$5:$S$1000,1):INDEX($S$5:$S$1000,$R264-4),"Macro",INDEX($P$5:$P$1000,1):INDEX($P$5:$P$1000,$R264-4),INDEX($P$5:$P$1000,$R264-4))&amp;"."&amp;COUNTIFS($R$5:$R264,$R264,$S$5:$S264,"Sub"))))</f>
        <v/>
      </c>
      <c r="B264" s="62" t="n"/>
      <c r="C264" s="63" t="n"/>
      <c r="D264" s="62" t="n"/>
      <c r="E264" s="64" t="n"/>
      <c r="F264" s="64" t="n"/>
      <c r="G264" s="65" t="n"/>
      <c r="H264" s="66" t="n"/>
      <c r="I264" s="66" t="n"/>
      <c r="J264" s="66" t="n"/>
      <c r="K264" s="66" t="n"/>
      <c r="L264" s="67">
        <f>IF(NOT((COUNTA($B264:$K264)+COUNTA($N264))&gt;0),"",IF(N($T264)&gt;0,$AB264,IFERROR(LOOKUP(2,1/(H264:K264&lt;&gt;""),H264:K264),0)))</f>
        <v/>
      </c>
      <c r="M264" s="61">
        <f>IF(L264="","",IF(L264&gt;=1,"Completado",IF(L264&gt;0,"En curso","Pendiente")))</f>
        <v/>
      </c>
      <c r="N264" s="62" t="n"/>
      <c r="O264" s="68">
        <f>IF(NOT((COUNTA($B264:$K264)+COUNTA($N264))&gt;0),"",IF((IF(AND($S264="Macro",$B264=""),"Macroactividad vacía"&amp;" · ","")&amp;IF(AND($B264&lt;&gt;"",$C264&lt;&gt;""),"Escriba la subactividad en otra fila, debajo de su macroactividad"&amp;" · ","")&amp;IF(AND($S264="Sub",N($R264)=0),"Subactividad sin macroactividad arriba"&amp;" · ","")&amp;IF($D264="","Sin responsable"&amp;" · ","")&amp;IF($E264="","Sin fecha de inicio"&amp;" · ","")&amp;IF($F264="","Sin fecha límite"&amp;" · ","")&amp;IF(OR(AND($E264&lt;&gt;"",NOT(ISNUMBER($E264))),AND($F264&lt;&gt;"",NOT(ISNUMBER($F264)))),"Fecha no válida"&amp;" · ","")&amp;IF(AND(ISNUMBER($E264),ISNUMBER($F264),$E264&gt;$F264),"Inicio posterior a fecha límite"&amp;" · ","")&amp;IF(AND($S264="Macro",$G264=""),"Peso vacío"&amp;" · ","")&amp;IF(AND($S264="Macro",$G264&lt;&gt;"",OR(NOT(ISNUMBER($G264)),$G264&lt;=0,$G264&gt;1)),"Peso fuera de rango"&amp;" · ","")&amp;IF(AND($S264="Sub",$G264&lt;&gt;""),"Las subactividades no llevan peso"&amp;" · ","")&amp;IF(AND($S264="Macro",ABS(SUMIFS($G$5:$G$1000,$P$5:$P$1000,$P264,$S$5:$S$1000,"Macro")-1)&gt;0.0001),"Pesos del mes suman "&amp;TEXT(SUMIFS($G$5:$G$1000,$P$5:$P$1000,$P264,$S$5:$S$1000,"Macro"),"0%")&amp;" · ","")&amp;IF(AND(N($T264)&gt;0,COUNT($H264:$K264)&gt;0),"Con subactividades: deje vacías las semanas (se calculan solas)"&amp;" · ","")&amp;IF((COUNTIF($H264:$K264,"&gt;1")+COUNTIF($H264:$K264,"&lt;0")+COUNTA($H264:$K264)-COUNT($H264:$K264))&gt;0,"Avance fuera de rango 0-100%"&amp;" · ","")&amp;IF(OR(AND($I264&lt;&gt;"",$I264&lt;$H264),AND($J264&lt;&gt;"",$J264&lt;MAX($H264:$I264)),AND($K264&lt;&gt;"",$K264&lt;MAX($H264:$J264))),"Avance semanal decreciente"&amp;" · ","")&amp;IF(AND(ISNUMBER($F264),$F264&lt;FechaRef,N($L264)&lt;1),"Vencida"&amp;" · ","")&amp;IF(AND(ObsObligatoria="Sí",ISNUMBER($F264),$F264&lt;FechaRef,N($L264)&lt;1,$N264=""),"Vencida sin observación"&amp;" · ",""))="","✔ OK","⚠ "&amp;LEFT(IF(AND($S264="Macro",$B264=""),"Macroactividad vacía"&amp;" · ","")&amp;IF(AND($B264&lt;&gt;"",$C264&lt;&gt;""),"Escriba la subactividad en otra fila, debajo de su macroactividad"&amp;" · ","")&amp;IF(AND($S264="Sub",N($R264)=0),"Subactividad sin macroactividad arriba"&amp;" · ","")&amp;IF($D264="","Sin responsable"&amp;" · ","")&amp;IF($E264="","Sin fecha de inicio"&amp;" · ","")&amp;IF($F264="","Sin fecha límite"&amp;" · ","")&amp;IF(OR(AND($E264&lt;&gt;"",NOT(ISNUMBER($E264))),AND($F264&lt;&gt;"",NOT(ISNUMBER($F264)))),"Fecha no válida"&amp;" · ","")&amp;IF(AND(ISNUMBER($E264),ISNUMBER($F264),$E264&gt;$F264),"Inicio posterior a fecha límite"&amp;" · ","")&amp;IF(AND($S264="Macro",$G264=""),"Peso vacío"&amp;" · ","")&amp;IF(AND($S264="Macro",$G264&lt;&gt;"",OR(NOT(ISNUMBER($G264)),$G264&lt;=0,$G264&gt;1)),"Peso fuera de rango"&amp;" · ","")&amp;IF(AND($S264="Sub",$G264&lt;&gt;""),"Las subactividades no llevan peso"&amp;" · ","")&amp;IF(AND($S264="Macro",ABS(SUMIFS($G$5:$G$1000,$P$5:$P$1000,$P264,$S$5:$S$1000,"Macro")-1)&gt;0.0001),"Pesos del mes suman "&amp;TEXT(SUMIFS($G$5:$G$1000,$P$5:$P$1000,$P264,$S$5:$S$1000,"Macro"),"0%")&amp;" · ","")&amp;IF(AND(N($T264)&gt;0,COUNT($H264:$K264)&gt;0),"Con subactividades: deje vacías las semanas (se calculan solas)"&amp;" · ","")&amp;IF((COUNTIF($H264:$K264,"&gt;1")+COUNTIF($H264:$K264,"&lt;0")+COUNTA($H264:$K264)-COUNT($H264:$K264))&gt;0,"Avance fuera de rango 0-100%"&amp;" · ","")&amp;IF(OR(AND($I264&lt;&gt;"",$I264&lt;$H264),AND($J264&lt;&gt;"",$J264&lt;MAX($H264:$I264)),AND($K264&lt;&gt;"",$K264&lt;MAX($H264:$J264))),"Avance semanal decreciente"&amp;" · ","")&amp;IF(AND(ISNUMBER($F264),$F264&lt;FechaRef,N($L264)&lt;1),"Vencida"&amp;" · ","")&amp;IF(AND(ObsObligatoria="Sí",ISNUMBER($F264),$F264&lt;FechaRef,N($L264)&lt;1,$N264=""),"Vencida sin observación"&amp;" · ",""),LEN(IF(AND($S264="Macro",$B264=""),"Macroactividad vacía"&amp;" · ","")&amp;IF(AND($B264&lt;&gt;"",$C264&lt;&gt;""),"Escriba la subactividad en otra fila, debajo de su macroactividad"&amp;" · ","")&amp;IF(AND($S264="Sub",N($R264)=0),"Subactividad sin macroactividad arriba"&amp;" · ","")&amp;IF($D264="","Sin responsable"&amp;" · ","")&amp;IF($E264="","Sin fecha de inicio"&amp;" · ","")&amp;IF($F264="","Sin fecha límite"&amp;" · ","")&amp;IF(OR(AND($E264&lt;&gt;"",NOT(ISNUMBER($E264))),AND($F264&lt;&gt;"",NOT(ISNUMBER($F264)))),"Fecha no válida"&amp;" · ","")&amp;IF(AND(ISNUMBER($E264),ISNUMBER($F264),$E264&gt;$F264),"Inicio posterior a fecha límite"&amp;" · ","")&amp;IF(AND($S264="Macro",$G264=""),"Peso vacío"&amp;" · ","")&amp;IF(AND($S264="Macro",$G264&lt;&gt;"",OR(NOT(ISNUMBER($G264)),$G264&lt;=0,$G264&gt;1)),"Peso fuera de rango"&amp;" · ","")&amp;IF(AND($S264="Sub",$G264&lt;&gt;""),"Las subactividades no llevan peso"&amp;" · ","")&amp;IF(AND($S264="Macro",ABS(SUMIFS($G$5:$G$1000,$P$5:$P$1000,$P264,$S$5:$S$1000,"Macro")-1)&gt;0.0001),"Pesos del mes suman "&amp;TEXT(SUMIFS($G$5:$G$1000,$P$5:$P$1000,$P264,$S$5:$S$1000,"Macro"),"0%")&amp;" · ","")&amp;IF(AND(N($T264)&gt;0,COUNT($H264:$K264)&gt;0),"Con subactividades: deje vacías las semanas (se calculan solas)"&amp;" · ","")&amp;IF((COUNTIF($H264:$K264,"&gt;1")+COUNTIF($H264:$K264,"&lt;0")+COUNTA($H264:$K264)-COUNT($H264:$K264))&gt;0,"Avance fuera de rango 0-100%"&amp;" · ","")&amp;IF(OR(AND($I264&lt;&gt;"",$I264&lt;$H264),AND($J264&lt;&gt;"",$J264&lt;MAX($H264:$I264)),AND($K264&lt;&gt;"",$K264&lt;MAX($H264:$J264))),"Avance semanal decreciente"&amp;" · ","")&amp;IF(AND(ISNUMBER($F264),$F264&lt;FechaRef,N($L264)&lt;1),"Vencida"&amp;" · ","")&amp;IF(AND(ObsObligatoria="Sí",ISNUMBER($F264),$F264&lt;FechaRef,N($L264)&lt;1,$N264=""),"Vencida sin observación"&amp;" · ",""))-3)))</f>
        <v/>
      </c>
      <c r="P264" s="69">
        <f>IF(NOT((COUNTA($B264:$K264)+COUNTA($N264))&gt;0),"",IF(AND($S264="Sub",N($R264)&gt;0),IF(ISNUMBER(INDEX($E$5:$E$1000,$R264-4)),DATE(YEAR(INDEX($E$5:$E$1000,$R264-4)),MONTH(INDEX($E$5:$E$1000,$R264-4)),1),IF(ISNUMBER(INDEX($F$5:$F$1000,$R264-4)),DATE(YEAR(INDEX($F$5:$F$1000,$R264-4)),MONTH(INDEX($F$5:$F$1000,$R264-4)),1),MesCiclo)),IF(ISNUMBER($E264),DATE(YEAR($E264),MONTH($E264),1),IF(ISNUMBER($F264),DATE(YEAR($F264),MONTH($F264),1),MesCiclo))))</f>
        <v/>
      </c>
      <c r="Q264" s="70">
        <f>IF(OR($P264="",$P264&lt;&gt;MesCiclo),"",COUNTIF($P$5:$P264,MesCiclo))</f>
        <v/>
      </c>
      <c r="R264" s="70">
        <f>IF($S264="","",IF($S264="Macro",ROW(),IFERROR(LOOKUP(2,1/($S$5:$S264="Macro"),ROW($S$5:$S264)),0)))</f>
        <v/>
      </c>
      <c r="S264" s="70">
        <f>IF(NOT((COUNTA($B264:$K264)+COUNTA($N264))&gt;0),"",IF($B264&lt;&gt;"","Macro",IF($C264&lt;&gt;"","Sub","Macro")))</f>
        <v/>
      </c>
      <c r="T264" s="70">
        <f>IF($S264="Macro",COUNTIFS($R$5:$R$1000,ROW(),$S$5:$S$1000,"Sub"),"")</f>
        <v/>
      </c>
      <c r="U264" s="70">
        <f>IF($S264="","",IF(ISNUMBER($H264),$H264,0))</f>
        <v/>
      </c>
      <c r="V264" s="70">
        <f>IF($S264="","",IF(ISNUMBER($I264),$I264,$U264))</f>
        <v/>
      </c>
      <c r="W264" s="70">
        <f>IF($S264="","",IF(ISNUMBER($J264),$J264,$V264))</f>
        <v/>
      </c>
      <c r="X264" s="70">
        <f>IF($S264="","",IF(ISNUMBER($K264),$K264,$W264))</f>
        <v/>
      </c>
      <c r="Y264" s="70">
        <f>IF($S264="","",IF(N($T264)&gt;0,AVERAGEIFS($U$5:$U$1000,$R$5:$R$1000,ROW(),$S$5:$S$1000,"Sub"),$U264))</f>
        <v/>
      </c>
      <c r="Z264" s="70">
        <f>IF($S264="","",IF(N($T264)&gt;0,AVERAGEIFS($V$5:$V$1000,$R$5:$R$1000,ROW(),$S$5:$S$1000,"Sub"),$V264))</f>
        <v/>
      </c>
      <c r="AA264" s="70">
        <f>IF($S264="","",IF(N($T264)&gt;0,AVERAGEIFS($W$5:$W$1000,$R$5:$R$1000,ROW(),$S$5:$S$1000,"Sub"),$W264))</f>
        <v/>
      </c>
      <c r="AB264" s="70">
        <f>IF($S264="","",IF(N($T264)&gt;0,AVERAGEIFS($X$5:$X$1000,$R$5:$R$1000,ROW(),$S$5:$S$1000,"Sub"),$X264))</f>
        <v/>
      </c>
    </row>
    <row r="265">
      <c r="A265" s="61">
        <f>IF(NOT((COUNTA($B265:$K265)+COUNTA($N265))&gt;0),"",IF($S265="Macro",COUNTIFS($S$5:$S265,"Macro",$P$5:$P265,$P265),IF(N($R265)=0,"?",COUNTIFS(INDEX($S$5:$S$1000,1):INDEX($S$5:$S$1000,$R265-4),"Macro",INDEX($P$5:$P$1000,1):INDEX($P$5:$P$1000,$R265-4),INDEX($P$5:$P$1000,$R265-4))&amp;"."&amp;COUNTIFS($R$5:$R265,$R265,$S$5:$S265,"Sub"))))</f>
        <v/>
      </c>
      <c r="B265" s="62" t="n"/>
      <c r="C265" s="63" t="n"/>
      <c r="D265" s="62" t="n"/>
      <c r="E265" s="64" t="n"/>
      <c r="F265" s="64" t="n"/>
      <c r="G265" s="65" t="n"/>
      <c r="H265" s="66" t="n"/>
      <c r="I265" s="66" t="n"/>
      <c r="J265" s="66" t="n"/>
      <c r="K265" s="66" t="n"/>
      <c r="L265" s="67">
        <f>IF(NOT((COUNTA($B265:$K265)+COUNTA($N265))&gt;0),"",IF(N($T265)&gt;0,$AB265,IFERROR(LOOKUP(2,1/(H265:K265&lt;&gt;""),H265:K265),0)))</f>
        <v/>
      </c>
      <c r="M265" s="61">
        <f>IF(L265="","",IF(L265&gt;=1,"Completado",IF(L265&gt;0,"En curso","Pendiente")))</f>
        <v/>
      </c>
      <c r="N265" s="62" t="n"/>
      <c r="O265" s="68">
        <f>IF(NOT((COUNTA($B265:$K265)+COUNTA($N265))&gt;0),"",IF((IF(AND($S265="Macro",$B265=""),"Macroactividad vacía"&amp;" · ","")&amp;IF(AND($B265&lt;&gt;"",$C265&lt;&gt;""),"Escriba la subactividad en otra fila, debajo de su macroactividad"&amp;" · ","")&amp;IF(AND($S265="Sub",N($R265)=0),"Subactividad sin macroactividad arriba"&amp;" · ","")&amp;IF($D265="","Sin responsable"&amp;" · ","")&amp;IF($E265="","Sin fecha de inicio"&amp;" · ","")&amp;IF($F265="","Sin fecha límite"&amp;" · ","")&amp;IF(OR(AND($E265&lt;&gt;"",NOT(ISNUMBER($E265))),AND($F265&lt;&gt;"",NOT(ISNUMBER($F265)))),"Fecha no válida"&amp;" · ","")&amp;IF(AND(ISNUMBER($E265),ISNUMBER($F265),$E265&gt;$F265),"Inicio posterior a fecha límite"&amp;" · ","")&amp;IF(AND($S265="Macro",$G265=""),"Peso vacío"&amp;" · ","")&amp;IF(AND($S265="Macro",$G265&lt;&gt;"",OR(NOT(ISNUMBER($G265)),$G265&lt;=0,$G265&gt;1)),"Peso fuera de rango"&amp;" · ","")&amp;IF(AND($S265="Sub",$G265&lt;&gt;""),"Las subactividades no llevan peso"&amp;" · ","")&amp;IF(AND($S265="Macro",ABS(SUMIFS($G$5:$G$1000,$P$5:$P$1000,$P265,$S$5:$S$1000,"Macro")-1)&gt;0.0001),"Pesos del mes suman "&amp;TEXT(SUMIFS($G$5:$G$1000,$P$5:$P$1000,$P265,$S$5:$S$1000,"Macro"),"0%")&amp;" · ","")&amp;IF(AND(N($T265)&gt;0,COUNT($H265:$K265)&gt;0),"Con subactividades: deje vacías las semanas (se calculan solas)"&amp;" · ","")&amp;IF((COUNTIF($H265:$K265,"&gt;1")+COUNTIF($H265:$K265,"&lt;0")+COUNTA($H265:$K265)-COUNT($H265:$K265))&gt;0,"Avance fuera de rango 0-100%"&amp;" · ","")&amp;IF(OR(AND($I265&lt;&gt;"",$I265&lt;$H265),AND($J265&lt;&gt;"",$J265&lt;MAX($H265:$I265)),AND($K265&lt;&gt;"",$K265&lt;MAX($H265:$J265))),"Avance semanal decreciente"&amp;" · ","")&amp;IF(AND(ISNUMBER($F265),$F265&lt;FechaRef,N($L265)&lt;1),"Vencida"&amp;" · ","")&amp;IF(AND(ObsObligatoria="Sí",ISNUMBER($F265),$F265&lt;FechaRef,N($L265)&lt;1,$N265=""),"Vencida sin observación"&amp;" · ",""))="","✔ OK","⚠ "&amp;LEFT(IF(AND($S265="Macro",$B265=""),"Macroactividad vacía"&amp;" · ","")&amp;IF(AND($B265&lt;&gt;"",$C265&lt;&gt;""),"Escriba la subactividad en otra fila, debajo de su macroactividad"&amp;" · ","")&amp;IF(AND($S265="Sub",N($R265)=0),"Subactividad sin macroactividad arriba"&amp;" · ","")&amp;IF($D265="","Sin responsable"&amp;" · ","")&amp;IF($E265="","Sin fecha de inicio"&amp;" · ","")&amp;IF($F265="","Sin fecha límite"&amp;" · ","")&amp;IF(OR(AND($E265&lt;&gt;"",NOT(ISNUMBER($E265))),AND($F265&lt;&gt;"",NOT(ISNUMBER($F265)))),"Fecha no válida"&amp;" · ","")&amp;IF(AND(ISNUMBER($E265),ISNUMBER($F265),$E265&gt;$F265),"Inicio posterior a fecha límite"&amp;" · ","")&amp;IF(AND($S265="Macro",$G265=""),"Peso vacío"&amp;" · ","")&amp;IF(AND($S265="Macro",$G265&lt;&gt;"",OR(NOT(ISNUMBER($G265)),$G265&lt;=0,$G265&gt;1)),"Peso fuera de rango"&amp;" · ","")&amp;IF(AND($S265="Sub",$G265&lt;&gt;""),"Las subactividades no llevan peso"&amp;" · ","")&amp;IF(AND($S265="Macro",ABS(SUMIFS($G$5:$G$1000,$P$5:$P$1000,$P265,$S$5:$S$1000,"Macro")-1)&gt;0.0001),"Pesos del mes suman "&amp;TEXT(SUMIFS($G$5:$G$1000,$P$5:$P$1000,$P265,$S$5:$S$1000,"Macro"),"0%")&amp;" · ","")&amp;IF(AND(N($T265)&gt;0,COUNT($H265:$K265)&gt;0),"Con subactividades: deje vacías las semanas (se calculan solas)"&amp;" · ","")&amp;IF((COUNTIF($H265:$K265,"&gt;1")+COUNTIF($H265:$K265,"&lt;0")+COUNTA($H265:$K265)-COUNT($H265:$K265))&gt;0,"Avance fuera de rango 0-100%"&amp;" · ","")&amp;IF(OR(AND($I265&lt;&gt;"",$I265&lt;$H265),AND($J265&lt;&gt;"",$J265&lt;MAX($H265:$I265)),AND($K265&lt;&gt;"",$K265&lt;MAX($H265:$J265))),"Avance semanal decreciente"&amp;" · ","")&amp;IF(AND(ISNUMBER($F265),$F265&lt;FechaRef,N($L265)&lt;1),"Vencida"&amp;" · ","")&amp;IF(AND(ObsObligatoria="Sí",ISNUMBER($F265),$F265&lt;FechaRef,N($L265)&lt;1,$N265=""),"Vencida sin observación"&amp;" · ",""),LEN(IF(AND($S265="Macro",$B265=""),"Macroactividad vacía"&amp;" · ","")&amp;IF(AND($B265&lt;&gt;"",$C265&lt;&gt;""),"Escriba la subactividad en otra fila, debajo de su macroactividad"&amp;" · ","")&amp;IF(AND($S265="Sub",N($R265)=0),"Subactividad sin macroactividad arriba"&amp;" · ","")&amp;IF($D265="","Sin responsable"&amp;" · ","")&amp;IF($E265="","Sin fecha de inicio"&amp;" · ","")&amp;IF($F265="","Sin fecha límite"&amp;" · ","")&amp;IF(OR(AND($E265&lt;&gt;"",NOT(ISNUMBER($E265))),AND($F265&lt;&gt;"",NOT(ISNUMBER($F265)))),"Fecha no válida"&amp;" · ","")&amp;IF(AND(ISNUMBER($E265),ISNUMBER($F265),$E265&gt;$F265),"Inicio posterior a fecha límite"&amp;" · ","")&amp;IF(AND($S265="Macro",$G265=""),"Peso vacío"&amp;" · ","")&amp;IF(AND($S265="Macro",$G265&lt;&gt;"",OR(NOT(ISNUMBER($G265)),$G265&lt;=0,$G265&gt;1)),"Peso fuera de rango"&amp;" · ","")&amp;IF(AND($S265="Sub",$G265&lt;&gt;""),"Las subactividades no llevan peso"&amp;" · ","")&amp;IF(AND($S265="Macro",ABS(SUMIFS($G$5:$G$1000,$P$5:$P$1000,$P265,$S$5:$S$1000,"Macro")-1)&gt;0.0001),"Pesos del mes suman "&amp;TEXT(SUMIFS($G$5:$G$1000,$P$5:$P$1000,$P265,$S$5:$S$1000,"Macro"),"0%")&amp;" · ","")&amp;IF(AND(N($T265)&gt;0,COUNT($H265:$K265)&gt;0),"Con subactividades: deje vacías las semanas (se calculan solas)"&amp;" · ","")&amp;IF((COUNTIF($H265:$K265,"&gt;1")+COUNTIF($H265:$K265,"&lt;0")+COUNTA($H265:$K265)-COUNT($H265:$K265))&gt;0,"Avance fuera de rango 0-100%"&amp;" · ","")&amp;IF(OR(AND($I265&lt;&gt;"",$I265&lt;$H265),AND($J265&lt;&gt;"",$J265&lt;MAX($H265:$I265)),AND($K265&lt;&gt;"",$K265&lt;MAX($H265:$J265))),"Avance semanal decreciente"&amp;" · ","")&amp;IF(AND(ISNUMBER($F265),$F265&lt;FechaRef,N($L265)&lt;1),"Vencida"&amp;" · ","")&amp;IF(AND(ObsObligatoria="Sí",ISNUMBER($F265),$F265&lt;FechaRef,N($L265)&lt;1,$N265=""),"Vencida sin observación"&amp;" · ",""))-3)))</f>
        <v/>
      </c>
      <c r="P265" s="69">
        <f>IF(NOT((COUNTA($B265:$K265)+COUNTA($N265))&gt;0),"",IF(AND($S265="Sub",N($R265)&gt;0),IF(ISNUMBER(INDEX($E$5:$E$1000,$R265-4)),DATE(YEAR(INDEX($E$5:$E$1000,$R265-4)),MONTH(INDEX($E$5:$E$1000,$R265-4)),1),IF(ISNUMBER(INDEX($F$5:$F$1000,$R265-4)),DATE(YEAR(INDEX($F$5:$F$1000,$R265-4)),MONTH(INDEX($F$5:$F$1000,$R265-4)),1),MesCiclo)),IF(ISNUMBER($E265),DATE(YEAR($E265),MONTH($E265),1),IF(ISNUMBER($F265),DATE(YEAR($F265),MONTH($F265),1),MesCiclo))))</f>
        <v/>
      </c>
      <c r="Q265" s="70">
        <f>IF(OR($P265="",$P265&lt;&gt;MesCiclo),"",COUNTIF($P$5:$P265,MesCiclo))</f>
        <v/>
      </c>
      <c r="R265" s="70">
        <f>IF($S265="","",IF($S265="Macro",ROW(),IFERROR(LOOKUP(2,1/($S$5:$S265="Macro"),ROW($S$5:$S265)),0)))</f>
        <v/>
      </c>
      <c r="S265" s="70">
        <f>IF(NOT((COUNTA($B265:$K265)+COUNTA($N265))&gt;0),"",IF($B265&lt;&gt;"","Macro",IF($C265&lt;&gt;"","Sub","Macro")))</f>
        <v/>
      </c>
      <c r="T265" s="70">
        <f>IF($S265="Macro",COUNTIFS($R$5:$R$1000,ROW(),$S$5:$S$1000,"Sub"),"")</f>
        <v/>
      </c>
      <c r="U265" s="70">
        <f>IF($S265="","",IF(ISNUMBER($H265),$H265,0))</f>
        <v/>
      </c>
      <c r="V265" s="70">
        <f>IF($S265="","",IF(ISNUMBER($I265),$I265,$U265))</f>
        <v/>
      </c>
      <c r="W265" s="70">
        <f>IF($S265="","",IF(ISNUMBER($J265),$J265,$V265))</f>
        <v/>
      </c>
      <c r="X265" s="70">
        <f>IF($S265="","",IF(ISNUMBER($K265),$K265,$W265))</f>
        <v/>
      </c>
      <c r="Y265" s="70">
        <f>IF($S265="","",IF(N($T265)&gt;0,AVERAGEIFS($U$5:$U$1000,$R$5:$R$1000,ROW(),$S$5:$S$1000,"Sub"),$U265))</f>
        <v/>
      </c>
      <c r="Z265" s="70">
        <f>IF($S265="","",IF(N($T265)&gt;0,AVERAGEIFS($V$5:$V$1000,$R$5:$R$1000,ROW(),$S$5:$S$1000,"Sub"),$V265))</f>
        <v/>
      </c>
      <c r="AA265" s="70">
        <f>IF($S265="","",IF(N($T265)&gt;0,AVERAGEIFS($W$5:$W$1000,$R$5:$R$1000,ROW(),$S$5:$S$1000,"Sub"),$W265))</f>
        <v/>
      </c>
      <c r="AB265" s="70">
        <f>IF($S265="","",IF(N($T265)&gt;0,AVERAGEIFS($X$5:$X$1000,$R$5:$R$1000,ROW(),$S$5:$S$1000,"Sub"),$X265))</f>
        <v/>
      </c>
    </row>
    <row r="266">
      <c r="A266" s="61">
        <f>IF(NOT((COUNTA($B266:$K266)+COUNTA($N266))&gt;0),"",IF($S266="Macro",COUNTIFS($S$5:$S266,"Macro",$P$5:$P266,$P266),IF(N($R266)=0,"?",COUNTIFS(INDEX($S$5:$S$1000,1):INDEX($S$5:$S$1000,$R266-4),"Macro",INDEX($P$5:$P$1000,1):INDEX($P$5:$P$1000,$R266-4),INDEX($P$5:$P$1000,$R266-4))&amp;"."&amp;COUNTIFS($R$5:$R266,$R266,$S$5:$S266,"Sub"))))</f>
        <v/>
      </c>
      <c r="B266" s="62" t="n"/>
      <c r="C266" s="63" t="n"/>
      <c r="D266" s="62" t="n"/>
      <c r="E266" s="64" t="n"/>
      <c r="F266" s="64" t="n"/>
      <c r="G266" s="65" t="n"/>
      <c r="H266" s="66" t="n"/>
      <c r="I266" s="66" t="n"/>
      <c r="J266" s="66" t="n"/>
      <c r="K266" s="66" t="n"/>
      <c r="L266" s="67">
        <f>IF(NOT((COUNTA($B266:$K266)+COUNTA($N266))&gt;0),"",IF(N($T266)&gt;0,$AB266,IFERROR(LOOKUP(2,1/(H266:K266&lt;&gt;""),H266:K266),0)))</f>
        <v/>
      </c>
      <c r="M266" s="61">
        <f>IF(L266="","",IF(L266&gt;=1,"Completado",IF(L266&gt;0,"En curso","Pendiente")))</f>
        <v/>
      </c>
      <c r="N266" s="62" t="n"/>
      <c r="O266" s="68">
        <f>IF(NOT((COUNTA($B266:$K266)+COUNTA($N266))&gt;0),"",IF((IF(AND($S266="Macro",$B266=""),"Macroactividad vacía"&amp;" · ","")&amp;IF(AND($B266&lt;&gt;"",$C266&lt;&gt;""),"Escriba la subactividad en otra fila, debajo de su macroactividad"&amp;" · ","")&amp;IF(AND($S266="Sub",N($R266)=0),"Subactividad sin macroactividad arriba"&amp;" · ","")&amp;IF($D266="","Sin responsable"&amp;" · ","")&amp;IF($E266="","Sin fecha de inicio"&amp;" · ","")&amp;IF($F266="","Sin fecha límite"&amp;" · ","")&amp;IF(OR(AND($E266&lt;&gt;"",NOT(ISNUMBER($E266))),AND($F266&lt;&gt;"",NOT(ISNUMBER($F266)))),"Fecha no válida"&amp;" · ","")&amp;IF(AND(ISNUMBER($E266),ISNUMBER($F266),$E266&gt;$F266),"Inicio posterior a fecha límite"&amp;" · ","")&amp;IF(AND($S266="Macro",$G266=""),"Peso vacío"&amp;" · ","")&amp;IF(AND($S266="Macro",$G266&lt;&gt;"",OR(NOT(ISNUMBER($G266)),$G266&lt;=0,$G266&gt;1)),"Peso fuera de rango"&amp;" · ","")&amp;IF(AND($S266="Sub",$G266&lt;&gt;""),"Las subactividades no llevan peso"&amp;" · ","")&amp;IF(AND($S266="Macro",ABS(SUMIFS($G$5:$G$1000,$P$5:$P$1000,$P266,$S$5:$S$1000,"Macro")-1)&gt;0.0001),"Pesos del mes suman "&amp;TEXT(SUMIFS($G$5:$G$1000,$P$5:$P$1000,$P266,$S$5:$S$1000,"Macro"),"0%")&amp;" · ","")&amp;IF(AND(N($T266)&gt;0,COUNT($H266:$K266)&gt;0),"Con subactividades: deje vacías las semanas (se calculan solas)"&amp;" · ","")&amp;IF((COUNTIF($H266:$K266,"&gt;1")+COUNTIF($H266:$K266,"&lt;0")+COUNTA($H266:$K266)-COUNT($H266:$K266))&gt;0,"Avance fuera de rango 0-100%"&amp;" · ","")&amp;IF(OR(AND($I266&lt;&gt;"",$I266&lt;$H266),AND($J266&lt;&gt;"",$J266&lt;MAX($H266:$I266)),AND($K266&lt;&gt;"",$K266&lt;MAX($H266:$J266))),"Avance semanal decreciente"&amp;" · ","")&amp;IF(AND(ISNUMBER($F266),$F266&lt;FechaRef,N($L266)&lt;1),"Vencida"&amp;" · ","")&amp;IF(AND(ObsObligatoria="Sí",ISNUMBER($F266),$F266&lt;FechaRef,N($L266)&lt;1,$N266=""),"Vencida sin observación"&amp;" · ",""))="","✔ OK","⚠ "&amp;LEFT(IF(AND($S266="Macro",$B266=""),"Macroactividad vacía"&amp;" · ","")&amp;IF(AND($B266&lt;&gt;"",$C266&lt;&gt;""),"Escriba la subactividad en otra fila, debajo de su macroactividad"&amp;" · ","")&amp;IF(AND($S266="Sub",N($R266)=0),"Subactividad sin macroactividad arriba"&amp;" · ","")&amp;IF($D266="","Sin responsable"&amp;" · ","")&amp;IF($E266="","Sin fecha de inicio"&amp;" · ","")&amp;IF($F266="","Sin fecha límite"&amp;" · ","")&amp;IF(OR(AND($E266&lt;&gt;"",NOT(ISNUMBER($E266))),AND($F266&lt;&gt;"",NOT(ISNUMBER($F266)))),"Fecha no válida"&amp;" · ","")&amp;IF(AND(ISNUMBER($E266),ISNUMBER($F266),$E266&gt;$F266),"Inicio posterior a fecha límite"&amp;" · ","")&amp;IF(AND($S266="Macro",$G266=""),"Peso vacío"&amp;" · ","")&amp;IF(AND($S266="Macro",$G266&lt;&gt;"",OR(NOT(ISNUMBER($G266)),$G266&lt;=0,$G266&gt;1)),"Peso fuera de rango"&amp;" · ","")&amp;IF(AND($S266="Sub",$G266&lt;&gt;""),"Las subactividades no llevan peso"&amp;" · ","")&amp;IF(AND($S266="Macro",ABS(SUMIFS($G$5:$G$1000,$P$5:$P$1000,$P266,$S$5:$S$1000,"Macro")-1)&gt;0.0001),"Pesos del mes suman "&amp;TEXT(SUMIFS($G$5:$G$1000,$P$5:$P$1000,$P266,$S$5:$S$1000,"Macro"),"0%")&amp;" · ","")&amp;IF(AND(N($T266)&gt;0,COUNT($H266:$K266)&gt;0),"Con subactividades: deje vacías las semanas (se calculan solas)"&amp;" · ","")&amp;IF((COUNTIF($H266:$K266,"&gt;1")+COUNTIF($H266:$K266,"&lt;0")+COUNTA($H266:$K266)-COUNT($H266:$K266))&gt;0,"Avance fuera de rango 0-100%"&amp;" · ","")&amp;IF(OR(AND($I266&lt;&gt;"",$I266&lt;$H266),AND($J266&lt;&gt;"",$J266&lt;MAX($H266:$I266)),AND($K266&lt;&gt;"",$K266&lt;MAX($H266:$J266))),"Avance semanal decreciente"&amp;" · ","")&amp;IF(AND(ISNUMBER($F266),$F266&lt;FechaRef,N($L266)&lt;1),"Vencida"&amp;" · ","")&amp;IF(AND(ObsObligatoria="Sí",ISNUMBER($F266),$F266&lt;FechaRef,N($L266)&lt;1,$N266=""),"Vencida sin observación"&amp;" · ",""),LEN(IF(AND($S266="Macro",$B266=""),"Macroactividad vacía"&amp;" · ","")&amp;IF(AND($B266&lt;&gt;"",$C266&lt;&gt;""),"Escriba la subactividad en otra fila, debajo de su macroactividad"&amp;" · ","")&amp;IF(AND($S266="Sub",N($R266)=0),"Subactividad sin macroactividad arriba"&amp;" · ","")&amp;IF($D266="","Sin responsable"&amp;" · ","")&amp;IF($E266="","Sin fecha de inicio"&amp;" · ","")&amp;IF($F266="","Sin fecha límite"&amp;" · ","")&amp;IF(OR(AND($E266&lt;&gt;"",NOT(ISNUMBER($E266))),AND($F266&lt;&gt;"",NOT(ISNUMBER($F266)))),"Fecha no válida"&amp;" · ","")&amp;IF(AND(ISNUMBER($E266),ISNUMBER($F266),$E266&gt;$F266),"Inicio posterior a fecha límite"&amp;" · ","")&amp;IF(AND($S266="Macro",$G266=""),"Peso vacío"&amp;" · ","")&amp;IF(AND($S266="Macro",$G266&lt;&gt;"",OR(NOT(ISNUMBER($G266)),$G266&lt;=0,$G266&gt;1)),"Peso fuera de rango"&amp;" · ","")&amp;IF(AND($S266="Sub",$G266&lt;&gt;""),"Las subactividades no llevan peso"&amp;" · ","")&amp;IF(AND($S266="Macro",ABS(SUMIFS($G$5:$G$1000,$P$5:$P$1000,$P266,$S$5:$S$1000,"Macro")-1)&gt;0.0001),"Pesos del mes suman "&amp;TEXT(SUMIFS($G$5:$G$1000,$P$5:$P$1000,$P266,$S$5:$S$1000,"Macro"),"0%")&amp;" · ","")&amp;IF(AND(N($T266)&gt;0,COUNT($H266:$K266)&gt;0),"Con subactividades: deje vacías las semanas (se calculan solas)"&amp;" · ","")&amp;IF((COUNTIF($H266:$K266,"&gt;1")+COUNTIF($H266:$K266,"&lt;0")+COUNTA($H266:$K266)-COUNT($H266:$K266))&gt;0,"Avance fuera de rango 0-100%"&amp;" · ","")&amp;IF(OR(AND($I266&lt;&gt;"",$I266&lt;$H266),AND($J266&lt;&gt;"",$J266&lt;MAX($H266:$I266)),AND($K266&lt;&gt;"",$K266&lt;MAX($H266:$J266))),"Avance semanal decreciente"&amp;" · ","")&amp;IF(AND(ISNUMBER($F266),$F266&lt;FechaRef,N($L266)&lt;1),"Vencida"&amp;" · ","")&amp;IF(AND(ObsObligatoria="Sí",ISNUMBER($F266),$F266&lt;FechaRef,N($L266)&lt;1,$N266=""),"Vencida sin observación"&amp;" · ",""))-3)))</f>
        <v/>
      </c>
      <c r="P266" s="69">
        <f>IF(NOT((COUNTA($B266:$K266)+COUNTA($N266))&gt;0),"",IF(AND($S266="Sub",N($R266)&gt;0),IF(ISNUMBER(INDEX($E$5:$E$1000,$R266-4)),DATE(YEAR(INDEX($E$5:$E$1000,$R266-4)),MONTH(INDEX($E$5:$E$1000,$R266-4)),1),IF(ISNUMBER(INDEX($F$5:$F$1000,$R266-4)),DATE(YEAR(INDEX($F$5:$F$1000,$R266-4)),MONTH(INDEX($F$5:$F$1000,$R266-4)),1),MesCiclo)),IF(ISNUMBER($E266),DATE(YEAR($E266),MONTH($E266),1),IF(ISNUMBER($F266),DATE(YEAR($F266),MONTH($F266),1),MesCiclo))))</f>
        <v/>
      </c>
      <c r="Q266" s="70">
        <f>IF(OR($P266="",$P266&lt;&gt;MesCiclo),"",COUNTIF($P$5:$P266,MesCiclo))</f>
        <v/>
      </c>
      <c r="R266" s="70">
        <f>IF($S266="","",IF($S266="Macro",ROW(),IFERROR(LOOKUP(2,1/($S$5:$S266="Macro"),ROW($S$5:$S266)),0)))</f>
        <v/>
      </c>
      <c r="S266" s="70">
        <f>IF(NOT((COUNTA($B266:$K266)+COUNTA($N266))&gt;0),"",IF($B266&lt;&gt;"","Macro",IF($C266&lt;&gt;"","Sub","Macro")))</f>
        <v/>
      </c>
      <c r="T266" s="70">
        <f>IF($S266="Macro",COUNTIFS($R$5:$R$1000,ROW(),$S$5:$S$1000,"Sub"),"")</f>
        <v/>
      </c>
      <c r="U266" s="70">
        <f>IF($S266="","",IF(ISNUMBER($H266),$H266,0))</f>
        <v/>
      </c>
      <c r="V266" s="70">
        <f>IF($S266="","",IF(ISNUMBER($I266),$I266,$U266))</f>
        <v/>
      </c>
      <c r="W266" s="70">
        <f>IF($S266="","",IF(ISNUMBER($J266),$J266,$V266))</f>
        <v/>
      </c>
      <c r="X266" s="70">
        <f>IF($S266="","",IF(ISNUMBER($K266),$K266,$W266))</f>
        <v/>
      </c>
      <c r="Y266" s="70">
        <f>IF($S266="","",IF(N($T266)&gt;0,AVERAGEIFS($U$5:$U$1000,$R$5:$R$1000,ROW(),$S$5:$S$1000,"Sub"),$U266))</f>
        <v/>
      </c>
      <c r="Z266" s="70">
        <f>IF($S266="","",IF(N($T266)&gt;0,AVERAGEIFS($V$5:$V$1000,$R$5:$R$1000,ROW(),$S$5:$S$1000,"Sub"),$V266))</f>
        <v/>
      </c>
      <c r="AA266" s="70">
        <f>IF($S266="","",IF(N($T266)&gt;0,AVERAGEIFS($W$5:$W$1000,$R$5:$R$1000,ROW(),$S$5:$S$1000,"Sub"),$W266))</f>
        <v/>
      </c>
      <c r="AB266" s="70">
        <f>IF($S266="","",IF(N($T266)&gt;0,AVERAGEIFS($X$5:$X$1000,$R$5:$R$1000,ROW(),$S$5:$S$1000,"Sub"),$X266))</f>
        <v/>
      </c>
    </row>
    <row r="267">
      <c r="A267" s="61">
        <f>IF(NOT((COUNTA($B267:$K267)+COUNTA($N267))&gt;0),"",IF($S267="Macro",COUNTIFS($S$5:$S267,"Macro",$P$5:$P267,$P267),IF(N($R267)=0,"?",COUNTIFS(INDEX($S$5:$S$1000,1):INDEX($S$5:$S$1000,$R267-4),"Macro",INDEX($P$5:$P$1000,1):INDEX($P$5:$P$1000,$R267-4),INDEX($P$5:$P$1000,$R267-4))&amp;"."&amp;COUNTIFS($R$5:$R267,$R267,$S$5:$S267,"Sub"))))</f>
        <v/>
      </c>
      <c r="B267" s="62" t="n"/>
      <c r="C267" s="63" t="n"/>
      <c r="D267" s="62" t="n"/>
      <c r="E267" s="64" t="n"/>
      <c r="F267" s="64" t="n"/>
      <c r="G267" s="65" t="n"/>
      <c r="H267" s="66" t="n"/>
      <c r="I267" s="66" t="n"/>
      <c r="J267" s="66" t="n"/>
      <c r="K267" s="66" t="n"/>
      <c r="L267" s="67">
        <f>IF(NOT((COUNTA($B267:$K267)+COUNTA($N267))&gt;0),"",IF(N($T267)&gt;0,$AB267,IFERROR(LOOKUP(2,1/(H267:K267&lt;&gt;""),H267:K267),0)))</f>
        <v/>
      </c>
      <c r="M267" s="61">
        <f>IF(L267="","",IF(L267&gt;=1,"Completado",IF(L267&gt;0,"En curso","Pendiente")))</f>
        <v/>
      </c>
      <c r="N267" s="62" t="n"/>
      <c r="O267" s="68">
        <f>IF(NOT((COUNTA($B267:$K267)+COUNTA($N267))&gt;0),"",IF((IF(AND($S267="Macro",$B267=""),"Macroactividad vacía"&amp;" · ","")&amp;IF(AND($B267&lt;&gt;"",$C267&lt;&gt;""),"Escriba la subactividad en otra fila, debajo de su macroactividad"&amp;" · ","")&amp;IF(AND($S267="Sub",N($R267)=0),"Subactividad sin macroactividad arriba"&amp;" · ","")&amp;IF($D267="","Sin responsable"&amp;" · ","")&amp;IF($E267="","Sin fecha de inicio"&amp;" · ","")&amp;IF($F267="","Sin fecha límite"&amp;" · ","")&amp;IF(OR(AND($E267&lt;&gt;"",NOT(ISNUMBER($E267))),AND($F267&lt;&gt;"",NOT(ISNUMBER($F267)))),"Fecha no válida"&amp;" · ","")&amp;IF(AND(ISNUMBER($E267),ISNUMBER($F267),$E267&gt;$F267),"Inicio posterior a fecha límite"&amp;" · ","")&amp;IF(AND($S267="Macro",$G267=""),"Peso vacío"&amp;" · ","")&amp;IF(AND($S267="Macro",$G267&lt;&gt;"",OR(NOT(ISNUMBER($G267)),$G267&lt;=0,$G267&gt;1)),"Peso fuera de rango"&amp;" · ","")&amp;IF(AND($S267="Sub",$G267&lt;&gt;""),"Las subactividades no llevan peso"&amp;" · ","")&amp;IF(AND($S267="Macro",ABS(SUMIFS($G$5:$G$1000,$P$5:$P$1000,$P267,$S$5:$S$1000,"Macro")-1)&gt;0.0001),"Pesos del mes suman "&amp;TEXT(SUMIFS($G$5:$G$1000,$P$5:$P$1000,$P267,$S$5:$S$1000,"Macro"),"0%")&amp;" · ","")&amp;IF(AND(N($T267)&gt;0,COUNT($H267:$K267)&gt;0),"Con subactividades: deje vacías las semanas (se calculan solas)"&amp;" · ","")&amp;IF((COUNTIF($H267:$K267,"&gt;1")+COUNTIF($H267:$K267,"&lt;0")+COUNTA($H267:$K267)-COUNT($H267:$K267))&gt;0,"Avance fuera de rango 0-100%"&amp;" · ","")&amp;IF(OR(AND($I267&lt;&gt;"",$I267&lt;$H267),AND($J267&lt;&gt;"",$J267&lt;MAX($H267:$I267)),AND($K267&lt;&gt;"",$K267&lt;MAX($H267:$J267))),"Avance semanal decreciente"&amp;" · ","")&amp;IF(AND(ISNUMBER($F267),$F267&lt;FechaRef,N($L267)&lt;1),"Vencida"&amp;" · ","")&amp;IF(AND(ObsObligatoria="Sí",ISNUMBER($F267),$F267&lt;FechaRef,N($L267)&lt;1,$N267=""),"Vencida sin observación"&amp;" · ",""))="","✔ OK","⚠ "&amp;LEFT(IF(AND($S267="Macro",$B267=""),"Macroactividad vacía"&amp;" · ","")&amp;IF(AND($B267&lt;&gt;"",$C267&lt;&gt;""),"Escriba la subactividad en otra fila, debajo de su macroactividad"&amp;" · ","")&amp;IF(AND($S267="Sub",N($R267)=0),"Subactividad sin macroactividad arriba"&amp;" · ","")&amp;IF($D267="","Sin responsable"&amp;" · ","")&amp;IF($E267="","Sin fecha de inicio"&amp;" · ","")&amp;IF($F267="","Sin fecha límite"&amp;" · ","")&amp;IF(OR(AND($E267&lt;&gt;"",NOT(ISNUMBER($E267))),AND($F267&lt;&gt;"",NOT(ISNUMBER($F267)))),"Fecha no válida"&amp;" · ","")&amp;IF(AND(ISNUMBER($E267),ISNUMBER($F267),$E267&gt;$F267),"Inicio posterior a fecha límite"&amp;" · ","")&amp;IF(AND($S267="Macro",$G267=""),"Peso vacío"&amp;" · ","")&amp;IF(AND($S267="Macro",$G267&lt;&gt;"",OR(NOT(ISNUMBER($G267)),$G267&lt;=0,$G267&gt;1)),"Peso fuera de rango"&amp;" · ","")&amp;IF(AND($S267="Sub",$G267&lt;&gt;""),"Las subactividades no llevan peso"&amp;" · ","")&amp;IF(AND($S267="Macro",ABS(SUMIFS($G$5:$G$1000,$P$5:$P$1000,$P267,$S$5:$S$1000,"Macro")-1)&gt;0.0001),"Pesos del mes suman "&amp;TEXT(SUMIFS($G$5:$G$1000,$P$5:$P$1000,$P267,$S$5:$S$1000,"Macro"),"0%")&amp;" · ","")&amp;IF(AND(N($T267)&gt;0,COUNT($H267:$K267)&gt;0),"Con subactividades: deje vacías las semanas (se calculan solas)"&amp;" · ","")&amp;IF((COUNTIF($H267:$K267,"&gt;1")+COUNTIF($H267:$K267,"&lt;0")+COUNTA($H267:$K267)-COUNT($H267:$K267))&gt;0,"Avance fuera de rango 0-100%"&amp;" · ","")&amp;IF(OR(AND($I267&lt;&gt;"",$I267&lt;$H267),AND($J267&lt;&gt;"",$J267&lt;MAX($H267:$I267)),AND($K267&lt;&gt;"",$K267&lt;MAX($H267:$J267))),"Avance semanal decreciente"&amp;" · ","")&amp;IF(AND(ISNUMBER($F267),$F267&lt;FechaRef,N($L267)&lt;1),"Vencida"&amp;" · ","")&amp;IF(AND(ObsObligatoria="Sí",ISNUMBER($F267),$F267&lt;FechaRef,N($L267)&lt;1,$N267=""),"Vencida sin observación"&amp;" · ",""),LEN(IF(AND($S267="Macro",$B267=""),"Macroactividad vacía"&amp;" · ","")&amp;IF(AND($B267&lt;&gt;"",$C267&lt;&gt;""),"Escriba la subactividad en otra fila, debajo de su macroactividad"&amp;" · ","")&amp;IF(AND($S267="Sub",N($R267)=0),"Subactividad sin macroactividad arriba"&amp;" · ","")&amp;IF($D267="","Sin responsable"&amp;" · ","")&amp;IF($E267="","Sin fecha de inicio"&amp;" · ","")&amp;IF($F267="","Sin fecha límite"&amp;" · ","")&amp;IF(OR(AND($E267&lt;&gt;"",NOT(ISNUMBER($E267))),AND($F267&lt;&gt;"",NOT(ISNUMBER($F267)))),"Fecha no válida"&amp;" · ","")&amp;IF(AND(ISNUMBER($E267),ISNUMBER($F267),$E267&gt;$F267),"Inicio posterior a fecha límite"&amp;" · ","")&amp;IF(AND($S267="Macro",$G267=""),"Peso vacío"&amp;" · ","")&amp;IF(AND($S267="Macro",$G267&lt;&gt;"",OR(NOT(ISNUMBER($G267)),$G267&lt;=0,$G267&gt;1)),"Peso fuera de rango"&amp;" · ","")&amp;IF(AND($S267="Sub",$G267&lt;&gt;""),"Las subactividades no llevan peso"&amp;" · ","")&amp;IF(AND($S267="Macro",ABS(SUMIFS($G$5:$G$1000,$P$5:$P$1000,$P267,$S$5:$S$1000,"Macro")-1)&gt;0.0001),"Pesos del mes suman "&amp;TEXT(SUMIFS($G$5:$G$1000,$P$5:$P$1000,$P267,$S$5:$S$1000,"Macro"),"0%")&amp;" · ","")&amp;IF(AND(N($T267)&gt;0,COUNT($H267:$K267)&gt;0),"Con subactividades: deje vacías las semanas (se calculan solas)"&amp;" · ","")&amp;IF((COUNTIF($H267:$K267,"&gt;1")+COUNTIF($H267:$K267,"&lt;0")+COUNTA($H267:$K267)-COUNT($H267:$K267))&gt;0,"Avance fuera de rango 0-100%"&amp;" · ","")&amp;IF(OR(AND($I267&lt;&gt;"",$I267&lt;$H267),AND($J267&lt;&gt;"",$J267&lt;MAX($H267:$I267)),AND($K267&lt;&gt;"",$K267&lt;MAX($H267:$J267))),"Avance semanal decreciente"&amp;" · ","")&amp;IF(AND(ISNUMBER($F267),$F267&lt;FechaRef,N($L267)&lt;1),"Vencida"&amp;" · ","")&amp;IF(AND(ObsObligatoria="Sí",ISNUMBER($F267),$F267&lt;FechaRef,N($L267)&lt;1,$N267=""),"Vencida sin observación"&amp;" · ",""))-3)))</f>
        <v/>
      </c>
      <c r="P267" s="69">
        <f>IF(NOT((COUNTA($B267:$K267)+COUNTA($N267))&gt;0),"",IF(AND($S267="Sub",N($R267)&gt;0),IF(ISNUMBER(INDEX($E$5:$E$1000,$R267-4)),DATE(YEAR(INDEX($E$5:$E$1000,$R267-4)),MONTH(INDEX($E$5:$E$1000,$R267-4)),1),IF(ISNUMBER(INDEX($F$5:$F$1000,$R267-4)),DATE(YEAR(INDEX($F$5:$F$1000,$R267-4)),MONTH(INDEX($F$5:$F$1000,$R267-4)),1),MesCiclo)),IF(ISNUMBER($E267),DATE(YEAR($E267),MONTH($E267),1),IF(ISNUMBER($F267),DATE(YEAR($F267),MONTH($F267),1),MesCiclo))))</f>
        <v/>
      </c>
      <c r="Q267" s="70">
        <f>IF(OR($P267="",$P267&lt;&gt;MesCiclo),"",COUNTIF($P$5:$P267,MesCiclo))</f>
        <v/>
      </c>
      <c r="R267" s="70">
        <f>IF($S267="","",IF($S267="Macro",ROW(),IFERROR(LOOKUP(2,1/($S$5:$S267="Macro"),ROW($S$5:$S267)),0)))</f>
        <v/>
      </c>
      <c r="S267" s="70">
        <f>IF(NOT((COUNTA($B267:$K267)+COUNTA($N267))&gt;0),"",IF($B267&lt;&gt;"","Macro",IF($C267&lt;&gt;"","Sub","Macro")))</f>
        <v/>
      </c>
      <c r="T267" s="70">
        <f>IF($S267="Macro",COUNTIFS($R$5:$R$1000,ROW(),$S$5:$S$1000,"Sub"),"")</f>
        <v/>
      </c>
      <c r="U267" s="70">
        <f>IF($S267="","",IF(ISNUMBER($H267),$H267,0))</f>
        <v/>
      </c>
      <c r="V267" s="70">
        <f>IF($S267="","",IF(ISNUMBER($I267),$I267,$U267))</f>
        <v/>
      </c>
      <c r="W267" s="70">
        <f>IF($S267="","",IF(ISNUMBER($J267),$J267,$V267))</f>
        <v/>
      </c>
      <c r="X267" s="70">
        <f>IF($S267="","",IF(ISNUMBER($K267),$K267,$W267))</f>
        <v/>
      </c>
      <c r="Y267" s="70">
        <f>IF($S267="","",IF(N($T267)&gt;0,AVERAGEIFS($U$5:$U$1000,$R$5:$R$1000,ROW(),$S$5:$S$1000,"Sub"),$U267))</f>
        <v/>
      </c>
      <c r="Z267" s="70">
        <f>IF($S267="","",IF(N($T267)&gt;0,AVERAGEIFS($V$5:$V$1000,$R$5:$R$1000,ROW(),$S$5:$S$1000,"Sub"),$V267))</f>
        <v/>
      </c>
      <c r="AA267" s="70">
        <f>IF($S267="","",IF(N($T267)&gt;0,AVERAGEIFS($W$5:$W$1000,$R$5:$R$1000,ROW(),$S$5:$S$1000,"Sub"),$W267))</f>
        <v/>
      </c>
      <c r="AB267" s="70">
        <f>IF($S267="","",IF(N($T267)&gt;0,AVERAGEIFS($X$5:$X$1000,$R$5:$R$1000,ROW(),$S$5:$S$1000,"Sub"),$X267))</f>
        <v/>
      </c>
    </row>
    <row r="268">
      <c r="A268" s="61">
        <f>IF(NOT((COUNTA($B268:$K268)+COUNTA($N268))&gt;0),"",IF($S268="Macro",COUNTIFS($S$5:$S268,"Macro",$P$5:$P268,$P268),IF(N($R268)=0,"?",COUNTIFS(INDEX($S$5:$S$1000,1):INDEX($S$5:$S$1000,$R268-4),"Macro",INDEX($P$5:$P$1000,1):INDEX($P$5:$P$1000,$R268-4),INDEX($P$5:$P$1000,$R268-4))&amp;"."&amp;COUNTIFS($R$5:$R268,$R268,$S$5:$S268,"Sub"))))</f>
        <v/>
      </c>
      <c r="B268" s="62" t="n"/>
      <c r="C268" s="63" t="n"/>
      <c r="D268" s="62" t="n"/>
      <c r="E268" s="64" t="n"/>
      <c r="F268" s="64" t="n"/>
      <c r="G268" s="65" t="n"/>
      <c r="H268" s="66" t="n"/>
      <c r="I268" s="66" t="n"/>
      <c r="J268" s="66" t="n"/>
      <c r="K268" s="66" t="n"/>
      <c r="L268" s="67">
        <f>IF(NOT((COUNTA($B268:$K268)+COUNTA($N268))&gt;0),"",IF(N($T268)&gt;0,$AB268,IFERROR(LOOKUP(2,1/(H268:K268&lt;&gt;""),H268:K268),0)))</f>
        <v/>
      </c>
      <c r="M268" s="61">
        <f>IF(L268="","",IF(L268&gt;=1,"Completado",IF(L268&gt;0,"En curso","Pendiente")))</f>
        <v/>
      </c>
      <c r="N268" s="62" t="n"/>
      <c r="O268" s="68">
        <f>IF(NOT((COUNTA($B268:$K268)+COUNTA($N268))&gt;0),"",IF((IF(AND($S268="Macro",$B268=""),"Macroactividad vacía"&amp;" · ","")&amp;IF(AND($B268&lt;&gt;"",$C268&lt;&gt;""),"Escriba la subactividad en otra fila, debajo de su macroactividad"&amp;" · ","")&amp;IF(AND($S268="Sub",N($R268)=0),"Subactividad sin macroactividad arriba"&amp;" · ","")&amp;IF($D268="","Sin responsable"&amp;" · ","")&amp;IF($E268="","Sin fecha de inicio"&amp;" · ","")&amp;IF($F268="","Sin fecha límite"&amp;" · ","")&amp;IF(OR(AND($E268&lt;&gt;"",NOT(ISNUMBER($E268))),AND($F268&lt;&gt;"",NOT(ISNUMBER($F268)))),"Fecha no válida"&amp;" · ","")&amp;IF(AND(ISNUMBER($E268),ISNUMBER($F268),$E268&gt;$F268),"Inicio posterior a fecha límite"&amp;" · ","")&amp;IF(AND($S268="Macro",$G268=""),"Peso vacío"&amp;" · ","")&amp;IF(AND($S268="Macro",$G268&lt;&gt;"",OR(NOT(ISNUMBER($G268)),$G268&lt;=0,$G268&gt;1)),"Peso fuera de rango"&amp;" · ","")&amp;IF(AND($S268="Sub",$G268&lt;&gt;""),"Las subactividades no llevan peso"&amp;" · ","")&amp;IF(AND($S268="Macro",ABS(SUMIFS($G$5:$G$1000,$P$5:$P$1000,$P268,$S$5:$S$1000,"Macro")-1)&gt;0.0001),"Pesos del mes suman "&amp;TEXT(SUMIFS($G$5:$G$1000,$P$5:$P$1000,$P268,$S$5:$S$1000,"Macro"),"0%")&amp;" · ","")&amp;IF(AND(N($T268)&gt;0,COUNT($H268:$K268)&gt;0),"Con subactividades: deje vacías las semanas (se calculan solas)"&amp;" · ","")&amp;IF((COUNTIF($H268:$K268,"&gt;1")+COUNTIF($H268:$K268,"&lt;0")+COUNTA($H268:$K268)-COUNT($H268:$K268))&gt;0,"Avance fuera de rango 0-100%"&amp;" · ","")&amp;IF(OR(AND($I268&lt;&gt;"",$I268&lt;$H268),AND($J268&lt;&gt;"",$J268&lt;MAX($H268:$I268)),AND($K268&lt;&gt;"",$K268&lt;MAX($H268:$J268))),"Avance semanal decreciente"&amp;" · ","")&amp;IF(AND(ISNUMBER($F268),$F268&lt;FechaRef,N($L268)&lt;1),"Vencida"&amp;" · ","")&amp;IF(AND(ObsObligatoria="Sí",ISNUMBER($F268),$F268&lt;FechaRef,N($L268)&lt;1,$N268=""),"Vencida sin observación"&amp;" · ",""))="","✔ OK","⚠ "&amp;LEFT(IF(AND($S268="Macro",$B268=""),"Macroactividad vacía"&amp;" · ","")&amp;IF(AND($B268&lt;&gt;"",$C268&lt;&gt;""),"Escriba la subactividad en otra fila, debajo de su macroactividad"&amp;" · ","")&amp;IF(AND($S268="Sub",N($R268)=0),"Subactividad sin macroactividad arriba"&amp;" · ","")&amp;IF($D268="","Sin responsable"&amp;" · ","")&amp;IF($E268="","Sin fecha de inicio"&amp;" · ","")&amp;IF($F268="","Sin fecha límite"&amp;" · ","")&amp;IF(OR(AND($E268&lt;&gt;"",NOT(ISNUMBER($E268))),AND($F268&lt;&gt;"",NOT(ISNUMBER($F268)))),"Fecha no válida"&amp;" · ","")&amp;IF(AND(ISNUMBER($E268),ISNUMBER($F268),$E268&gt;$F268),"Inicio posterior a fecha límite"&amp;" · ","")&amp;IF(AND($S268="Macro",$G268=""),"Peso vacío"&amp;" · ","")&amp;IF(AND($S268="Macro",$G268&lt;&gt;"",OR(NOT(ISNUMBER($G268)),$G268&lt;=0,$G268&gt;1)),"Peso fuera de rango"&amp;" · ","")&amp;IF(AND($S268="Sub",$G268&lt;&gt;""),"Las subactividades no llevan peso"&amp;" · ","")&amp;IF(AND($S268="Macro",ABS(SUMIFS($G$5:$G$1000,$P$5:$P$1000,$P268,$S$5:$S$1000,"Macro")-1)&gt;0.0001),"Pesos del mes suman "&amp;TEXT(SUMIFS($G$5:$G$1000,$P$5:$P$1000,$P268,$S$5:$S$1000,"Macro"),"0%")&amp;" · ","")&amp;IF(AND(N($T268)&gt;0,COUNT($H268:$K268)&gt;0),"Con subactividades: deje vacías las semanas (se calculan solas)"&amp;" · ","")&amp;IF((COUNTIF($H268:$K268,"&gt;1")+COUNTIF($H268:$K268,"&lt;0")+COUNTA($H268:$K268)-COUNT($H268:$K268))&gt;0,"Avance fuera de rango 0-100%"&amp;" · ","")&amp;IF(OR(AND($I268&lt;&gt;"",$I268&lt;$H268),AND($J268&lt;&gt;"",$J268&lt;MAX($H268:$I268)),AND($K268&lt;&gt;"",$K268&lt;MAX($H268:$J268))),"Avance semanal decreciente"&amp;" · ","")&amp;IF(AND(ISNUMBER($F268),$F268&lt;FechaRef,N($L268)&lt;1),"Vencida"&amp;" · ","")&amp;IF(AND(ObsObligatoria="Sí",ISNUMBER($F268),$F268&lt;FechaRef,N($L268)&lt;1,$N268=""),"Vencida sin observación"&amp;" · ",""),LEN(IF(AND($S268="Macro",$B268=""),"Macroactividad vacía"&amp;" · ","")&amp;IF(AND($B268&lt;&gt;"",$C268&lt;&gt;""),"Escriba la subactividad en otra fila, debajo de su macroactividad"&amp;" · ","")&amp;IF(AND($S268="Sub",N($R268)=0),"Subactividad sin macroactividad arriba"&amp;" · ","")&amp;IF($D268="","Sin responsable"&amp;" · ","")&amp;IF($E268="","Sin fecha de inicio"&amp;" · ","")&amp;IF($F268="","Sin fecha límite"&amp;" · ","")&amp;IF(OR(AND($E268&lt;&gt;"",NOT(ISNUMBER($E268))),AND($F268&lt;&gt;"",NOT(ISNUMBER($F268)))),"Fecha no válida"&amp;" · ","")&amp;IF(AND(ISNUMBER($E268),ISNUMBER($F268),$E268&gt;$F268),"Inicio posterior a fecha límite"&amp;" · ","")&amp;IF(AND($S268="Macro",$G268=""),"Peso vacío"&amp;" · ","")&amp;IF(AND($S268="Macro",$G268&lt;&gt;"",OR(NOT(ISNUMBER($G268)),$G268&lt;=0,$G268&gt;1)),"Peso fuera de rango"&amp;" · ","")&amp;IF(AND($S268="Sub",$G268&lt;&gt;""),"Las subactividades no llevan peso"&amp;" · ","")&amp;IF(AND($S268="Macro",ABS(SUMIFS($G$5:$G$1000,$P$5:$P$1000,$P268,$S$5:$S$1000,"Macro")-1)&gt;0.0001),"Pesos del mes suman "&amp;TEXT(SUMIFS($G$5:$G$1000,$P$5:$P$1000,$P268,$S$5:$S$1000,"Macro"),"0%")&amp;" · ","")&amp;IF(AND(N($T268)&gt;0,COUNT($H268:$K268)&gt;0),"Con subactividades: deje vacías las semanas (se calculan solas)"&amp;" · ","")&amp;IF((COUNTIF($H268:$K268,"&gt;1")+COUNTIF($H268:$K268,"&lt;0")+COUNTA($H268:$K268)-COUNT($H268:$K268))&gt;0,"Avance fuera de rango 0-100%"&amp;" · ","")&amp;IF(OR(AND($I268&lt;&gt;"",$I268&lt;$H268),AND($J268&lt;&gt;"",$J268&lt;MAX($H268:$I268)),AND($K268&lt;&gt;"",$K268&lt;MAX($H268:$J268))),"Avance semanal decreciente"&amp;" · ","")&amp;IF(AND(ISNUMBER($F268),$F268&lt;FechaRef,N($L268)&lt;1),"Vencida"&amp;" · ","")&amp;IF(AND(ObsObligatoria="Sí",ISNUMBER($F268),$F268&lt;FechaRef,N($L268)&lt;1,$N268=""),"Vencida sin observación"&amp;" · ",""))-3)))</f>
        <v/>
      </c>
      <c r="P268" s="69">
        <f>IF(NOT((COUNTA($B268:$K268)+COUNTA($N268))&gt;0),"",IF(AND($S268="Sub",N($R268)&gt;0),IF(ISNUMBER(INDEX($E$5:$E$1000,$R268-4)),DATE(YEAR(INDEX($E$5:$E$1000,$R268-4)),MONTH(INDEX($E$5:$E$1000,$R268-4)),1),IF(ISNUMBER(INDEX($F$5:$F$1000,$R268-4)),DATE(YEAR(INDEX($F$5:$F$1000,$R268-4)),MONTH(INDEX($F$5:$F$1000,$R268-4)),1),MesCiclo)),IF(ISNUMBER($E268),DATE(YEAR($E268),MONTH($E268),1),IF(ISNUMBER($F268),DATE(YEAR($F268),MONTH($F268),1),MesCiclo))))</f>
        <v/>
      </c>
      <c r="Q268" s="70">
        <f>IF(OR($P268="",$P268&lt;&gt;MesCiclo),"",COUNTIF($P$5:$P268,MesCiclo))</f>
        <v/>
      </c>
      <c r="R268" s="70">
        <f>IF($S268="","",IF($S268="Macro",ROW(),IFERROR(LOOKUP(2,1/($S$5:$S268="Macro"),ROW($S$5:$S268)),0)))</f>
        <v/>
      </c>
      <c r="S268" s="70">
        <f>IF(NOT((COUNTA($B268:$K268)+COUNTA($N268))&gt;0),"",IF($B268&lt;&gt;"","Macro",IF($C268&lt;&gt;"","Sub","Macro")))</f>
        <v/>
      </c>
      <c r="T268" s="70">
        <f>IF($S268="Macro",COUNTIFS($R$5:$R$1000,ROW(),$S$5:$S$1000,"Sub"),"")</f>
        <v/>
      </c>
      <c r="U268" s="70">
        <f>IF($S268="","",IF(ISNUMBER($H268),$H268,0))</f>
        <v/>
      </c>
      <c r="V268" s="70">
        <f>IF($S268="","",IF(ISNUMBER($I268),$I268,$U268))</f>
        <v/>
      </c>
      <c r="W268" s="70">
        <f>IF($S268="","",IF(ISNUMBER($J268),$J268,$V268))</f>
        <v/>
      </c>
      <c r="X268" s="70">
        <f>IF($S268="","",IF(ISNUMBER($K268),$K268,$W268))</f>
        <v/>
      </c>
      <c r="Y268" s="70">
        <f>IF($S268="","",IF(N($T268)&gt;0,AVERAGEIFS($U$5:$U$1000,$R$5:$R$1000,ROW(),$S$5:$S$1000,"Sub"),$U268))</f>
        <v/>
      </c>
      <c r="Z268" s="70">
        <f>IF($S268="","",IF(N($T268)&gt;0,AVERAGEIFS($V$5:$V$1000,$R$5:$R$1000,ROW(),$S$5:$S$1000,"Sub"),$V268))</f>
        <v/>
      </c>
      <c r="AA268" s="70">
        <f>IF($S268="","",IF(N($T268)&gt;0,AVERAGEIFS($W$5:$W$1000,$R$5:$R$1000,ROW(),$S$5:$S$1000,"Sub"),$W268))</f>
        <v/>
      </c>
      <c r="AB268" s="70">
        <f>IF($S268="","",IF(N($T268)&gt;0,AVERAGEIFS($X$5:$X$1000,$R$5:$R$1000,ROW(),$S$5:$S$1000,"Sub"),$X268))</f>
        <v/>
      </c>
    </row>
    <row r="269">
      <c r="A269" s="61">
        <f>IF(NOT((COUNTA($B269:$K269)+COUNTA($N269))&gt;0),"",IF($S269="Macro",COUNTIFS($S$5:$S269,"Macro",$P$5:$P269,$P269),IF(N($R269)=0,"?",COUNTIFS(INDEX($S$5:$S$1000,1):INDEX($S$5:$S$1000,$R269-4),"Macro",INDEX($P$5:$P$1000,1):INDEX($P$5:$P$1000,$R269-4),INDEX($P$5:$P$1000,$R269-4))&amp;"."&amp;COUNTIFS($R$5:$R269,$R269,$S$5:$S269,"Sub"))))</f>
        <v/>
      </c>
      <c r="B269" s="62" t="n"/>
      <c r="C269" s="63" t="n"/>
      <c r="D269" s="62" t="n"/>
      <c r="E269" s="64" t="n"/>
      <c r="F269" s="64" t="n"/>
      <c r="G269" s="65" t="n"/>
      <c r="H269" s="66" t="n"/>
      <c r="I269" s="66" t="n"/>
      <c r="J269" s="66" t="n"/>
      <c r="K269" s="66" t="n"/>
      <c r="L269" s="67">
        <f>IF(NOT((COUNTA($B269:$K269)+COUNTA($N269))&gt;0),"",IF(N($T269)&gt;0,$AB269,IFERROR(LOOKUP(2,1/(H269:K269&lt;&gt;""),H269:K269),0)))</f>
        <v/>
      </c>
      <c r="M269" s="61">
        <f>IF(L269="","",IF(L269&gt;=1,"Completado",IF(L269&gt;0,"En curso","Pendiente")))</f>
        <v/>
      </c>
      <c r="N269" s="62" t="n"/>
      <c r="O269" s="68">
        <f>IF(NOT((COUNTA($B269:$K269)+COUNTA($N269))&gt;0),"",IF((IF(AND($S269="Macro",$B269=""),"Macroactividad vacía"&amp;" · ","")&amp;IF(AND($B269&lt;&gt;"",$C269&lt;&gt;""),"Escriba la subactividad en otra fila, debajo de su macroactividad"&amp;" · ","")&amp;IF(AND($S269="Sub",N($R269)=0),"Subactividad sin macroactividad arriba"&amp;" · ","")&amp;IF($D269="","Sin responsable"&amp;" · ","")&amp;IF($E269="","Sin fecha de inicio"&amp;" · ","")&amp;IF($F269="","Sin fecha límite"&amp;" · ","")&amp;IF(OR(AND($E269&lt;&gt;"",NOT(ISNUMBER($E269))),AND($F269&lt;&gt;"",NOT(ISNUMBER($F269)))),"Fecha no válida"&amp;" · ","")&amp;IF(AND(ISNUMBER($E269),ISNUMBER($F269),$E269&gt;$F269),"Inicio posterior a fecha límite"&amp;" · ","")&amp;IF(AND($S269="Macro",$G269=""),"Peso vacío"&amp;" · ","")&amp;IF(AND($S269="Macro",$G269&lt;&gt;"",OR(NOT(ISNUMBER($G269)),$G269&lt;=0,$G269&gt;1)),"Peso fuera de rango"&amp;" · ","")&amp;IF(AND($S269="Sub",$G269&lt;&gt;""),"Las subactividades no llevan peso"&amp;" · ","")&amp;IF(AND($S269="Macro",ABS(SUMIFS($G$5:$G$1000,$P$5:$P$1000,$P269,$S$5:$S$1000,"Macro")-1)&gt;0.0001),"Pesos del mes suman "&amp;TEXT(SUMIFS($G$5:$G$1000,$P$5:$P$1000,$P269,$S$5:$S$1000,"Macro"),"0%")&amp;" · ","")&amp;IF(AND(N($T269)&gt;0,COUNT($H269:$K269)&gt;0),"Con subactividades: deje vacías las semanas (se calculan solas)"&amp;" · ","")&amp;IF((COUNTIF($H269:$K269,"&gt;1")+COUNTIF($H269:$K269,"&lt;0")+COUNTA($H269:$K269)-COUNT($H269:$K269))&gt;0,"Avance fuera de rango 0-100%"&amp;" · ","")&amp;IF(OR(AND($I269&lt;&gt;"",$I269&lt;$H269),AND($J269&lt;&gt;"",$J269&lt;MAX($H269:$I269)),AND($K269&lt;&gt;"",$K269&lt;MAX($H269:$J269))),"Avance semanal decreciente"&amp;" · ","")&amp;IF(AND(ISNUMBER($F269),$F269&lt;FechaRef,N($L269)&lt;1),"Vencida"&amp;" · ","")&amp;IF(AND(ObsObligatoria="Sí",ISNUMBER($F269),$F269&lt;FechaRef,N($L269)&lt;1,$N269=""),"Vencida sin observación"&amp;" · ",""))="","✔ OK","⚠ "&amp;LEFT(IF(AND($S269="Macro",$B269=""),"Macroactividad vacía"&amp;" · ","")&amp;IF(AND($B269&lt;&gt;"",$C269&lt;&gt;""),"Escriba la subactividad en otra fila, debajo de su macroactividad"&amp;" · ","")&amp;IF(AND($S269="Sub",N($R269)=0),"Subactividad sin macroactividad arriba"&amp;" · ","")&amp;IF($D269="","Sin responsable"&amp;" · ","")&amp;IF($E269="","Sin fecha de inicio"&amp;" · ","")&amp;IF($F269="","Sin fecha límite"&amp;" · ","")&amp;IF(OR(AND($E269&lt;&gt;"",NOT(ISNUMBER($E269))),AND($F269&lt;&gt;"",NOT(ISNUMBER($F269)))),"Fecha no válida"&amp;" · ","")&amp;IF(AND(ISNUMBER($E269),ISNUMBER($F269),$E269&gt;$F269),"Inicio posterior a fecha límite"&amp;" · ","")&amp;IF(AND($S269="Macro",$G269=""),"Peso vacío"&amp;" · ","")&amp;IF(AND($S269="Macro",$G269&lt;&gt;"",OR(NOT(ISNUMBER($G269)),$G269&lt;=0,$G269&gt;1)),"Peso fuera de rango"&amp;" · ","")&amp;IF(AND($S269="Sub",$G269&lt;&gt;""),"Las subactividades no llevan peso"&amp;" · ","")&amp;IF(AND($S269="Macro",ABS(SUMIFS($G$5:$G$1000,$P$5:$P$1000,$P269,$S$5:$S$1000,"Macro")-1)&gt;0.0001),"Pesos del mes suman "&amp;TEXT(SUMIFS($G$5:$G$1000,$P$5:$P$1000,$P269,$S$5:$S$1000,"Macro"),"0%")&amp;" · ","")&amp;IF(AND(N($T269)&gt;0,COUNT($H269:$K269)&gt;0),"Con subactividades: deje vacías las semanas (se calculan solas)"&amp;" · ","")&amp;IF((COUNTIF($H269:$K269,"&gt;1")+COUNTIF($H269:$K269,"&lt;0")+COUNTA($H269:$K269)-COUNT($H269:$K269))&gt;0,"Avance fuera de rango 0-100%"&amp;" · ","")&amp;IF(OR(AND($I269&lt;&gt;"",$I269&lt;$H269),AND($J269&lt;&gt;"",$J269&lt;MAX($H269:$I269)),AND($K269&lt;&gt;"",$K269&lt;MAX($H269:$J269))),"Avance semanal decreciente"&amp;" · ","")&amp;IF(AND(ISNUMBER($F269),$F269&lt;FechaRef,N($L269)&lt;1),"Vencida"&amp;" · ","")&amp;IF(AND(ObsObligatoria="Sí",ISNUMBER($F269),$F269&lt;FechaRef,N($L269)&lt;1,$N269=""),"Vencida sin observación"&amp;" · ",""),LEN(IF(AND($S269="Macro",$B269=""),"Macroactividad vacía"&amp;" · ","")&amp;IF(AND($B269&lt;&gt;"",$C269&lt;&gt;""),"Escriba la subactividad en otra fila, debajo de su macroactividad"&amp;" · ","")&amp;IF(AND($S269="Sub",N($R269)=0),"Subactividad sin macroactividad arriba"&amp;" · ","")&amp;IF($D269="","Sin responsable"&amp;" · ","")&amp;IF($E269="","Sin fecha de inicio"&amp;" · ","")&amp;IF($F269="","Sin fecha límite"&amp;" · ","")&amp;IF(OR(AND($E269&lt;&gt;"",NOT(ISNUMBER($E269))),AND($F269&lt;&gt;"",NOT(ISNUMBER($F269)))),"Fecha no válida"&amp;" · ","")&amp;IF(AND(ISNUMBER($E269),ISNUMBER($F269),$E269&gt;$F269),"Inicio posterior a fecha límite"&amp;" · ","")&amp;IF(AND($S269="Macro",$G269=""),"Peso vacío"&amp;" · ","")&amp;IF(AND($S269="Macro",$G269&lt;&gt;"",OR(NOT(ISNUMBER($G269)),$G269&lt;=0,$G269&gt;1)),"Peso fuera de rango"&amp;" · ","")&amp;IF(AND($S269="Sub",$G269&lt;&gt;""),"Las subactividades no llevan peso"&amp;" · ","")&amp;IF(AND($S269="Macro",ABS(SUMIFS($G$5:$G$1000,$P$5:$P$1000,$P269,$S$5:$S$1000,"Macro")-1)&gt;0.0001),"Pesos del mes suman "&amp;TEXT(SUMIFS($G$5:$G$1000,$P$5:$P$1000,$P269,$S$5:$S$1000,"Macro"),"0%")&amp;" · ","")&amp;IF(AND(N($T269)&gt;0,COUNT($H269:$K269)&gt;0),"Con subactividades: deje vacías las semanas (se calculan solas)"&amp;" · ","")&amp;IF((COUNTIF($H269:$K269,"&gt;1")+COUNTIF($H269:$K269,"&lt;0")+COUNTA($H269:$K269)-COUNT($H269:$K269))&gt;0,"Avance fuera de rango 0-100%"&amp;" · ","")&amp;IF(OR(AND($I269&lt;&gt;"",$I269&lt;$H269),AND($J269&lt;&gt;"",$J269&lt;MAX($H269:$I269)),AND($K269&lt;&gt;"",$K269&lt;MAX($H269:$J269))),"Avance semanal decreciente"&amp;" · ","")&amp;IF(AND(ISNUMBER($F269),$F269&lt;FechaRef,N($L269)&lt;1),"Vencida"&amp;" · ","")&amp;IF(AND(ObsObligatoria="Sí",ISNUMBER($F269),$F269&lt;FechaRef,N($L269)&lt;1,$N269=""),"Vencida sin observación"&amp;" · ",""))-3)))</f>
        <v/>
      </c>
      <c r="P269" s="69">
        <f>IF(NOT((COUNTA($B269:$K269)+COUNTA($N269))&gt;0),"",IF(AND($S269="Sub",N($R269)&gt;0),IF(ISNUMBER(INDEX($E$5:$E$1000,$R269-4)),DATE(YEAR(INDEX($E$5:$E$1000,$R269-4)),MONTH(INDEX($E$5:$E$1000,$R269-4)),1),IF(ISNUMBER(INDEX($F$5:$F$1000,$R269-4)),DATE(YEAR(INDEX($F$5:$F$1000,$R269-4)),MONTH(INDEX($F$5:$F$1000,$R269-4)),1),MesCiclo)),IF(ISNUMBER($E269),DATE(YEAR($E269),MONTH($E269),1),IF(ISNUMBER($F269),DATE(YEAR($F269),MONTH($F269),1),MesCiclo))))</f>
        <v/>
      </c>
      <c r="Q269" s="70">
        <f>IF(OR($P269="",$P269&lt;&gt;MesCiclo),"",COUNTIF($P$5:$P269,MesCiclo))</f>
        <v/>
      </c>
      <c r="R269" s="70">
        <f>IF($S269="","",IF($S269="Macro",ROW(),IFERROR(LOOKUP(2,1/($S$5:$S269="Macro"),ROW($S$5:$S269)),0)))</f>
        <v/>
      </c>
      <c r="S269" s="70">
        <f>IF(NOT((COUNTA($B269:$K269)+COUNTA($N269))&gt;0),"",IF($B269&lt;&gt;"","Macro",IF($C269&lt;&gt;"","Sub","Macro")))</f>
        <v/>
      </c>
      <c r="T269" s="70">
        <f>IF($S269="Macro",COUNTIFS($R$5:$R$1000,ROW(),$S$5:$S$1000,"Sub"),"")</f>
        <v/>
      </c>
      <c r="U269" s="70">
        <f>IF($S269="","",IF(ISNUMBER($H269),$H269,0))</f>
        <v/>
      </c>
      <c r="V269" s="70">
        <f>IF($S269="","",IF(ISNUMBER($I269),$I269,$U269))</f>
        <v/>
      </c>
      <c r="W269" s="70">
        <f>IF($S269="","",IF(ISNUMBER($J269),$J269,$V269))</f>
        <v/>
      </c>
      <c r="X269" s="70">
        <f>IF($S269="","",IF(ISNUMBER($K269),$K269,$W269))</f>
        <v/>
      </c>
      <c r="Y269" s="70">
        <f>IF($S269="","",IF(N($T269)&gt;0,AVERAGEIFS($U$5:$U$1000,$R$5:$R$1000,ROW(),$S$5:$S$1000,"Sub"),$U269))</f>
        <v/>
      </c>
      <c r="Z269" s="70">
        <f>IF($S269="","",IF(N($T269)&gt;0,AVERAGEIFS($V$5:$V$1000,$R$5:$R$1000,ROW(),$S$5:$S$1000,"Sub"),$V269))</f>
        <v/>
      </c>
      <c r="AA269" s="70">
        <f>IF($S269="","",IF(N($T269)&gt;0,AVERAGEIFS($W$5:$W$1000,$R$5:$R$1000,ROW(),$S$5:$S$1000,"Sub"),$W269))</f>
        <v/>
      </c>
      <c r="AB269" s="70">
        <f>IF($S269="","",IF(N($T269)&gt;0,AVERAGEIFS($X$5:$X$1000,$R$5:$R$1000,ROW(),$S$5:$S$1000,"Sub"),$X269))</f>
        <v/>
      </c>
    </row>
    <row r="270">
      <c r="A270" s="61">
        <f>IF(NOT((COUNTA($B270:$K270)+COUNTA($N270))&gt;0),"",IF($S270="Macro",COUNTIFS($S$5:$S270,"Macro",$P$5:$P270,$P270),IF(N($R270)=0,"?",COUNTIFS(INDEX($S$5:$S$1000,1):INDEX($S$5:$S$1000,$R270-4),"Macro",INDEX($P$5:$P$1000,1):INDEX($P$5:$P$1000,$R270-4),INDEX($P$5:$P$1000,$R270-4))&amp;"."&amp;COUNTIFS($R$5:$R270,$R270,$S$5:$S270,"Sub"))))</f>
        <v/>
      </c>
      <c r="B270" s="62" t="n"/>
      <c r="C270" s="63" t="n"/>
      <c r="D270" s="62" t="n"/>
      <c r="E270" s="64" t="n"/>
      <c r="F270" s="64" t="n"/>
      <c r="G270" s="65" t="n"/>
      <c r="H270" s="66" t="n"/>
      <c r="I270" s="66" t="n"/>
      <c r="J270" s="66" t="n"/>
      <c r="K270" s="66" t="n"/>
      <c r="L270" s="67">
        <f>IF(NOT((COUNTA($B270:$K270)+COUNTA($N270))&gt;0),"",IF(N($T270)&gt;0,$AB270,IFERROR(LOOKUP(2,1/(H270:K270&lt;&gt;""),H270:K270),0)))</f>
        <v/>
      </c>
      <c r="M270" s="61">
        <f>IF(L270="","",IF(L270&gt;=1,"Completado",IF(L270&gt;0,"En curso","Pendiente")))</f>
        <v/>
      </c>
      <c r="N270" s="62" t="n"/>
      <c r="O270" s="68">
        <f>IF(NOT((COUNTA($B270:$K270)+COUNTA($N270))&gt;0),"",IF((IF(AND($S270="Macro",$B270=""),"Macroactividad vacía"&amp;" · ","")&amp;IF(AND($B270&lt;&gt;"",$C270&lt;&gt;""),"Escriba la subactividad en otra fila, debajo de su macroactividad"&amp;" · ","")&amp;IF(AND($S270="Sub",N($R270)=0),"Subactividad sin macroactividad arriba"&amp;" · ","")&amp;IF($D270="","Sin responsable"&amp;" · ","")&amp;IF($E270="","Sin fecha de inicio"&amp;" · ","")&amp;IF($F270="","Sin fecha límite"&amp;" · ","")&amp;IF(OR(AND($E270&lt;&gt;"",NOT(ISNUMBER($E270))),AND($F270&lt;&gt;"",NOT(ISNUMBER($F270)))),"Fecha no válida"&amp;" · ","")&amp;IF(AND(ISNUMBER($E270),ISNUMBER($F270),$E270&gt;$F270),"Inicio posterior a fecha límite"&amp;" · ","")&amp;IF(AND($S270="Macro",$G270=""),"Peso vacío"&amp;" · ","")&amp;IF(AND($S270="Macro",$G270&lt;&gt;"",OR(NOT(ISNUMBER($G270)),$G270&lt;=0,$G270&gt;1)),"Peso fuera de rango"&amp;" · ","")&amp;IF(AND($S270="Sub",$G270&lt;&gt;""),"Las subactividades no llevan peso"&amp;" · ","")&amp;IF(AND($S270="Macro",ABS(SUMIFS($G$5:$G$1000,$P$5:$P$1000,$P270,$S$5:$S$1000,"Macro")-1)&gt;0.0001),"Pesos del mes suman "&amp;TEXT(SUMIFS($G$5:$G$1000,$P$5:$P$1000,$P270,$S$5:$S$1000,"Macro"),"0%")&amp;" · ","")&amp;IF(AND(N($T270)&gt;0,COUNT($H270:$K270)&gt;0),"Con subactividades: deje vacías las semanas (se calculan solas)"&amp;" · ","")&amp;IF((COUNTIF($H270:$K270,"&gt;1")+COUNTIF($H270:$K270,"&lt;0")+COUNTA($H270:$K270)-COUNT($H270:$K270))&gt;0,"Avance fuera de rango 0-100%"&amp;" · ","")&amp;IF(OR(AND($I270&lt;&gt;"",$I270&lt;$H270),AND($J270&lt;&gt;"",$J270&lt;MAX($H270:$I270)),AND($K270&lt;&gt;"",$K270&lt;MAX($H270:$J270))),"Avance semanal decreciente"&amp;" · ","")&amp;IF(AND(ISNUMBER($F270),$F270&lt;FechaRef,N($L270)&lt;1),"Vencida"&amp;" · ","")&amp;IF(AND(ObsObligatoria="Sí",ISNUMBER($F270),$F270&lt;FechaRef,N($L270)&lt;1,$N270=""),"Vencida sin observación"&amp;" · ",""))="","✔ OK","⚠ "&amp;LEFT(IF(AND($S270="Macro",$B270=""),"Macroactividad vacía"&amp;" · ","")&amp;IF(AND($B270&lt;&gt;"",$C270&lt;&gt;""),"Escriba la subactividad en otra fila, debajo de su macroactividad"&amp;" · ","")&amp;IF(AND($S270="Sub",N($R270)=0),"Subactividad sin macroactividad arriba"&amp;" · ","")&amp;IF($D270="","Sin responsable"&amp;" · ","")&amp;IF($E270="","Sin fecha de inicio"&amp;" · ","")&amp;IF($F270="","Sin fecha límite"&amp;" · ","")&amp;IF(OR(AND($E270&lt;&gt;"",NOT(ISNUMBER($E270))),AND($F270&lt;&gt;"",NOT(ISNUMBER($F270)))),"Fecha no válida"&amp;" · ","")&amp;IF(AND(ISNUMBER($E270),ISNUMBER($F270),$E270&gt;$F270),"Inicio posterior a fecha límite"&amp;" · ","")&amp;IF(AND($S270="Macro",$G270=""),"Peso vacío"&amp;" · ","")&amp;IF(AND($S270="Macro",$G270&lt;&gt;"",OR(NOT(ISNUMBER($G270)),$G270&lt;=0,$G270&gt;1)),"Peso fuera de rango"&amp;" · ","")&amp;IF(AND($S270="Sub",$G270&lt;&gt;""),"Las subactividades no llevan peso"&amp;" · ","")&amp;IF(AND($S270="Macro",ABS(SUMIFS($G$5:$G$1000,$P$5:$P$1000,$P270,$S$5:$S$1000,"Macro")-1)&gt;0.0001),"Pesos del mes suman "&amp;TEXT(SUMIFS($G$5:$G$1000,$P$5:$P$1000,$P270,$S$5:$S$1000,"Macro"),"0%")&amp;" · ","")&amp;IF(AND(N($T270)&gt;0,COUNT($H270:$K270)&gt;0),"Con subactividades: deje vacías las semanas (se calculan solas)"&amp;" · ","")&amp;IF((COUNTIF($H270:$K270,"&gt;1")+COUNTIF($H270:$K270,"&lt;0")+COUNTA($H270:$K270)-COUNT($H270:$K270))&gt;0,"Avance fuera de rango 0-100%"&amp;" · ","")&amp;IF(OR(AND($I270&lt;&gt;"",$I270&lt;$H270),AND($J270&lt;&gt;"",$J270&lt;MAX($H270:$I270)),AND($K270&lt;&gt;"",$K270&lt;MAX($H270:$J270))),"Avance semanal decreciente"&amp;" · ","")&amp;IF(AND(ISNUMBER($F270),$F270&lt;FechaRef,N($L270)&lt;1),"Vencida"&amp;" · ","")&amp;IF(AND(ObsObligatoria="Sí",ISNUMBER($F270),$F270&lt;FechaRef,N($L270)&lt;1,$N270=""),"Vencida sin observación"&amp;" · ",""),LEN(IF(AND($S270="Macro",$B270=""),"Macroactividad vacía"&amp;" · ","")&amp;IF(AND($B270&lt;&gt;"",$C270&lt;&gt;""),"Escriba la subactividad en otra fila, debajo de su macroactividad"&amp;" · ","")&amp;IF(AND($S270="Sub",N($R270)=0),"Subactividad sin macroactividad arriba"&amp;" · ","")&amp;IF($D270="","Sin responsable"&amp;" · ","")&amp;IF($E270="","Sin fecha de inicio"&amp;" · ","")&amp;IF($F270="","Sin fecha límite"&amp;" · ","")&amp;IF(OR(AND($E270&lt;&gt;"",NOT(ISNUMBER($E270))),AND($F270&lt;&gt;"",NOT(ISNUMBER($F270)))),"Fecha no válida"&amp;" · ","")&amp;IF(AND(ISNUMBER($E270),ISNUMBER($F270),$E270&gt;$F270),"Inicio posterior a fecha límite"&amp;" · ","")&amp;IF(AND($S270="Macro",$G270=""),"Peso vacío"&amp;" · ","")&amp;IF(AND($S270="Macro",$G270&lt;&gt;"",OR(NOT(ISNUMBER($G270)),$G270&lt;=0,$G270&gt;1)),"Peso fuera de rango"&amp;" · ","")&amp;IF(AND($S270="Sub",$G270&lt;&gt;""),"Las subactividades no llevan peso"&amp;" · ","")&amp;IF(AND($S270="Macro",ABS(SUMIFS($G$5:$G$1000,$P$5:$P$1000,$P270,$S$5:$S$1000,"Macro")-1)&gt;0.0001),"Pesos del mes suman "&amp;TEXT(SUMIFS($G$5:$G$1000,$P$5:$P$1000,$P270,$S$5:$S$1000,"Macro"),"0%")&amp;" · ","")&amp;IF(AND(N($T270)&gt;0,COUNT($H270:$K270)&gt;0),"Con subactividades: deje vacías las semanas (se calculan solas)"&amp;" · ","")&amp;IF((COUNTIF($H270:$K270,"&gt;1")+COUNTIF($H270:$K270,"&lt;0")+COUNTA($H270:$K270)-COUNT($H270:$K270))&gt;0,"Avance fuera de rango 0-100%"&amp;" · ","")&amp;IF(OR(AND($I270&lt;&gt;"",$I270&lt;$H270),AND($J270&lt;&gt;"",$J270&lt;MAX($H270:$I270)),AND($K270&lt;&gt;"",$K270&lt;MAX($H270:$J270))),"Avance semanal decreciente"&amp;" · ","")&amp;IF(AND(ISNUMBER($F270),$F270&lt;FechaRef,N($L270)&lt;1),"Vencida"&amp;" · ","")&amp;IF(AND(ObsObligatoria="Sí",ISNUMBER($F270),$F270&lt;FechaRef,N($L270)&lt;1,$N270=""),"Vencida sin observación"&amp;" · ",""))-3)))</f>
        <v/>
      </c>
      <c r="P270" s="69">
        <f>IF(NOT((COUNTA($B270:$K270)+COUNTA($N270))&gt;0),"",IF(AND($S270="Sub",N($R270)&gt;0),IF(ISNUMBER(INDEX($E$5:$E$1000,$R270-4)),DATE(YEAR(INDEX($E$5:$E$1000,$R270-4)),MONTH(INDEX($E$5:$E$1000,$R270-4)),1),IF(ISNUMBER(INDEX($F$5:$F$1000,$R270-4)),DATE(YEAR(INDEX($F$5:$F$1000,$R270-4)),MONTH(INDEX($F$5:$F$1000,$R270-4)),1),MesCiclo)),IF(ISNUMBER($E270),DATE(YEAR($E270),MONTH($E270),1),IF(ISNUMBER($F270),DATE(YEAR($F270),MONTH($F270),1),MesCiclo))))</f>
        <v/>
      </c>
      <c r="Q270" s="70">
        <f>IF(OR($P270="",$P270&lt;&gt;MesCiclo),"",COUNTIF($P$5:$P270,MesCiclo))</f>
        <v/>
      </c>
      <c r="R270" s="70">
        <f>IF($S270="","",IF($S270="Macro",ROW(),IFERROR(LOOKUP(2,1/($S$5:$S270="Macro"),ROW($S$5:$S270)),0)))</f>
        <v/>
      </c>
      <c r="S270" s="70">
        <f>IF(NOT((COUNTA($B270:$K270)+COUNTA($N270))&gt;0),"",IF($B270&lt;&gt;"","Macro",IF($C270&lt;&gt;"","Sub","Macro")))</f>
        <v/>
      </c>
      <c r="T270" s="70">
        <f>IF($S270="Macro",COUNTIFS($R$5:$R$1000,ROW(),$S$5:$S$1000,"Sub"),"")</f>
        <v/>
      </c>
      <c r="U270" s="70">
        <f>IF($S270="","",IF(ISNUMBER($H270),$H270,0))</f>
        <v/>
      </c>
      <c r="V270" s="70">
        <f>IF($S270="","",IF(ISNUMBER($I270),$I270,$U270))</f>
        <v/>
      </c>
      <c r="W270" s="70">
        <f>IF($S270="","",IF(ISNUMBER($J270),$J270,$V270))</f>
        <v/>
      </c>
      <c r="X270" s="70">
        <f>IF($S270="","",IF(ISNUMBER($K270),$K270,$W270))</f>
        <v/>
      </c>
      <c r="Y270" s="70">
        <f>IF($S270="","",IF(N($T270)&gt;0,AVERAGEIFS($U$5:$U$1000,$R$5:$R$1000,ROW(),$S$5:$S$1000,"Sub"),$U270))</f>
        <v/>
      </c>
      <c r="Z270" s="70">
        <f>IF($S270="","",IF(N($T270)&gt;0,AVERAGEIFS($V$5:$V$1000,$R$5:$R$1000,ROW(),$S$5:$S$1000,"Sub"),$V270))</f>
        <v/>
      </c>
      <c r="AA270" s="70">
        <f>IF($S270="","",IF(N($T270)&gt;0,AVERAGEIFS($W$5:$W$1000,$R$5:$R$1000,ROW(),$S$5:$S$1000,"Sub"),$W270))</f>
        <v/>
      </c>
      <c r="AB270" s="70">
        <f>IF($S270="","",IF(N($T270)&gt;0,AVERAGEIFS($X$5:$X$1000,$R$5:$R$1000,ROW(),$S$5:$S$1000,"Sub"),$X270))</f>
        <v/>
      </c>
    </row>
    <row r="271">
      <c r="A271" s="61">
        <f>IF(NOT((COUNTA($B271:$K271)+COUNTA($N271))&gt;0),"",IF($S271="Macro",COUNTIFS($S$5:$S271,"Macro",$P$5:$P271,$P271),IF(N($R271)=0,"?",COUNTIFS(INDEX($S$5:$S$1000,1):INDEX($S$5:$S$1000,$R271-4),"Macro",INDEX($P$5:$P$1000,1):INDEX($P$5:$P$1000,$R271-4),INDEX($P$5:$P$1000,$R271-4))&amp;"."&amp;COUNTIFS($R$5:$R271,$R271,$S$5:$S271,"Sub"))))</f>
        <v/>
      </c>
      <c r="B271" s="62" t="n"/>
      <c r="C271" s="63" t="n"/>
      <c r="D271" s="62" t="n"/>
      <c r="E271" s="64" t="n"/>
      <c r="F271" s="64" t="n"/>
      <c r="G271" s="65" t="n"/>
      <c r="H271" s="66" t="n"/>
      <c r="I271" s="66" t="n"/>
      <c r="J271" s="66" t="n"/>
      <c r="K271" s="66" t="n"/>
      <c r="L271" s="67">
        <f>IF(NOT((COUNTA($B271:$K271)+COUNTA($N271))&gt;0),"",IF(N($T271)&gt;0,$AB271,IFERROR(LOOKUP(2,1/(H271:K271&lt;&gt;""),H271:K271),0)))</f>
        <v/>
      </c>
      <c r="M271" s="61">
        <f>IF(L271="","",IF(L271&gt;=1,"Completado",IF(L271&gt;0,"En curso","Pendiente")))</f>
        <v/>
      </c>
      <c r="N271" s="62" t="n"/>
      <c r="O271" s="68">
        <f>IF(NOT((COUNTA($B271:$K271)+COUNTA($N271))&gt;0),"",IF((IF(AND($S271="Macro",$B271=""),"Macroactividad vacía"&amp;" · ","")&amp;IF(AND($B271&lt;&gt;"",$C271&lt;&gt;""),"Escriba la subactividad en otra fila, debajo de su macroactividad"&amp;" · ","")&amp;IF(AND($S271="Sub",N($R271)=0),"Subactividad sin macroactividad arriba"&amp;" · ","")&amp;IF($D271="","Sin responsable"&amp;" · ","")&amp;IF($E271="","Sin fecha de inicio"&amp;" · ","")&amp;IF($F271="","Sin fecha límite"&amp;" · ","")&amp;IF(OR(AND($E271&lt;&gt;"",NOT(ISNUMBER($E271))),AND($F271&lt;&gt;"",NOT(ISNUMBER($F271)))),"Fecha no válida"&amp;" · ","")&amp;IF(AND(ISNUMBER($E271),ISNUMBER($F271),$E271&gt;$F271),"Inicio posterior a fecha límite"&amp;" · ","")&amp;IF(AND($S271="Macro",$G271=""),"Peso vacío"&amp;" · ","")&amp;IF(AND($S271="Macro",$G271&lt;&gt;"",OR(NOT(ISNUMBER($G271)),$G271&lt;=0,$G271&gt;1)),"Peso fuera de rango"&amp;" · ","")&amp;IF(AND($S271="Sub",$G271&lt;&gt;""),"Las subactividades no llevan peso"&amp;" · ","")&amp;IF(AND($S271="Macro",ABS(SUMIFS($G$5:$G$1000,$P$5:$P$1000,$P271,$S$5:$S$1000,"Macro")-1)&gt;0.0001),"Pesos del mes suman "&amp;TEXT(SUMIFS($G$5:$G$1000,$P$5:$P$1000,$P271,$S$5:$S$1000,"Macro"),"0%")&amp;" · ","")&amp;IF(AND(N($T271)&gt;0,COUNT($H271:$K271)&gt;0),"Con subactividades: deje vacías las semanas (se calculan solas)"&amp;" · ","")&amp;IF((COUNTIF($H271:$K271,"&gt;1")+COUNTIF($H271:$K271,"&lt;0")+COUNTA($H271:$K271)-COUNT($H271:$K271))&gt;0,"Avance fuera de rango 0-100%"&amp;" · ","")&amp;IF(OR(AND($I271&lt;&gt;"",$I271&lt;$H271),AND($J271&lt;&gt;"",$J271&lt;MAX($H271:$I271)),AND($K271&lt;&gt;"",$K271&lt;MAX($H271:$J271))),"Avance semanal decreciente"&amp;" · ","")&amp;IF(AND(ISNUMBER($F271),$F271&lt;FechaRef,N($L271)&lt;1),"Vencida"&amp;" · ","")&amp;IF(AND(ObsObligatoria="Sí",ISNUMBER($F271),$F271&lt;FechaRef,N($L271)&lt;1,$N271=""),"Vencida sin observación"&amp;" · ",""))="","✔ OK","⚠ "&amp;LEFT(IF(AND($S271="Macro",$B271=""),"Macroactividad vacía"&amp;" · ","")&amp;IF(AND($B271&lt;&gt;"",$C271&lt;&gt;""),"Escriba la subactividad en otra fila, debajo de su macroactividad"&amp;" · ","")&amp;IF(AND($S271="Sub",N($R271)=0),"Subactividad sin macroactividad arriba"&amp;" · ","")&amp;IF($D271="","Sin responsable"&amp;" · ","")&amp;IF($E271="","Sin fecha de inicio"&amp;" · ","")&amp;IF($F271="","Sin fecha límite"&amp;" · ","")&amp;IF(OR(AND($E271&lt;&gt;"",NOT(ISNUMBER($E271))),AND($F271&lt;&gt;"",NOT(ISNUMBER($F271)))),"Fecha no válida"&amp;" · ","")&amp;IF(AND(ISNUMBER($E271),ISNUMBER($F271),$E271&gt;$F271),"Inicio posterior a fecha límite"&amp;" · ","")&amp;IF(AND($S271="Macro",$G271=""),"Peso vacío"&amp;" · ","")&amp;IF(AND($S271="Macro",$G271&lt;&gt;"",OR(NOT(ISNUMBER($G271)),$G271&lt;=0,$G271&gt;1)),"Peso fuera de rango"&amp;" · ","")&amp;IF(AND($S271="Sub",$G271&lt;&gt;""),"Las subactividades no llevan peso"&amp;" · ","")&amp;IF(AND($S271="Macro",ABS(SUMIFS($G$5:$G$1000,$P$5:$P$1000,$P271,$S$5:$S$1000,"Macro")-1)&gt;0.0001),"Pesos del mes suman "&amp;TEXT(SUMIFS($G$5:$G$1000,$P$5:$P$1000,$P271,$S$5:$S$1000,"Macro"),"0%")&amp;" · ","")&amp;IF(AND(N($T271)&gt;0,COUNT($H271:$K271)&gt;0),"Con subactividades: deje vacías las semanas (se calculan solas)"&amp;" · ","")&amp;IF((COUNTIF($H271:$K271,"&gt;1")+COUNTIF($H271:$K271,"&lt;0")+COUNTA($H271:$K271)-COUNT($H271:$K271))&gt;0,"Avance fuera de rango 0-100%"&amp;" · ","")&amp;IF(OR(AND($I271&lt;&gt;"",$I271&lt;$H271),AND($J271&lt;&gt;"",$J271&lt;MAX($H271:$I271)),AND($K271&lt;&gt;"",$K271&lt;MAX($H271:$J271))),"Avance semanal decreciente"&amp;" · ","")&amp;IF(AND(ISNUMBER($F271),$F271&lt;FechaRef,N($L271)&lt;1),"Vencida"&amp;" · ","")&amp;IF(AND(ObsObligatoria="Sí",ISNUMBER($F271),$F271&lt;FechaRef,N($L271)&lt;1,$N271=""),"Vencida sin observación"&amp;" · ",""),LEN(IF(AND($S271="Macro",$B271=""),"Macroactividad vacía"&amp;" · ","")&amp;IF(AND($B271&lt;&gt;"",$C271&lt;&gt;""),"Escriba la subactividad en otra fila, debajo de su macroactividad"&amp;" · ","")&amp;IF(AND($S271="Sub",N($R271)=0),"Subactividad sin macroactividad arriba"&amp;" · ","")&amp;IF($D271="","Sin responsable"&amp;" · ","")&amp;IF($E271="","Sin fecha de inicio"&amp;" · ","")&amp;IF($F271="","Sin fecha límite"&amp;" · ","")&amp;IF(OR(AND($E271&lt;&gt;"",NOT(ISNUMBER($E271))),AND($F271&lt;&gt;"",NOT(ISNUMBER($F271)))),"Fecha no válida"&amp;" · ","")&amp;IF(AND(ISNUMBER($E271),ISNUMBER($F271),$E271&gt;$F271),"Inicio posterior a fecha límite"&amp;" · ","")&amp;IF(AND($S271="Macro",$G271=""),"Peso vacío"&amp;" · ","")&amp;IF(AND($S271="Macro",$G271&lt;&gt;"",OR(NOT(ISNUMBER($G271)),$G271&lt;=0,$G271&gt;1)),"Peso fuera de rango"&amp;" · ","")&amp;IF(AND($S271="Sub",$G271&lt;&gt;""),"Las subactividades no llevan peso"&amp;" · ","")&amp;IF(AND($S271="Macro",ABS(SUMIFS($G$5:$G$1000,$P$5:$P$1000,$P271,$S$5:$S$1000,"Macro")-1)&gt;0.0001),"Pesos del mes suman "&amp;TEXT(SUMIFS($G$5:$G$1000,$P$5:$P$1000,$P271,$S$5:$S$1000,"Macro"),"0%")&amp;" · ","")&amp;IF(AND(N($T271)&gt;0,COUNT($H271:$K271)&gt;0),"Con subactividades: deje vacías las semanas (se calculan solas)"&amp;" · ","")&amp;IF((COUNTIF($H271:$K271,"&gt;1")+COUNTIF($H271:$K271,"&lt;0")+COUNTA($H271:$K271)-COUNT($H271:$K271))&gt;0,"Avance fuera de rango 0-100%"&amp;" · ","")&amp;IF(OR(AND($I271&lt;&gt;"",$I271&lt;$H271),AND($J271&lt;&gt;"",$J271&lt;MAX($H271:$I271)),AND($K271&lt;&gt;"",$K271&lt;MAX($H271:$J271))),"Avance semanal decreciente"&amp;" · ","")&amp;IF(AND(ISNUMBER($F271),$F271&lt;FechaRef,N($L271)&lt;1),"Vencida"&amp;" · ","")&amp;IF(AND(ObsObligatoria="Sí",ISNUMBER($F271),$F271&lt;FechaRef,N($L271)&lt;1,$N271=""),"Vencida sin observación"&amp;" · ",""))-3)))</f>
        <v/>
      </c>
      <c r="P271" s="69">
        <f>IF(NOT((COUNTA($B271:$K271)+COUNTA($N271))&gt;0),"",IF(AND($S271="Sub",N($R271)&gt;0),IF(ISNUMBER(INDEX($E$5:$E$1000,$R271-4)),DATE(YEAR(INDEX($E$5:$E$1000,$R271-4)),MONTH(INDEX($E$5:$E$1000,$R271-4)),1),IF(ISNUMBER(INDEX($F$5:$F$1000,$R271-4)),DATE(YEAR(INDEX($F$5:$F$1000,$R271-4)),MONTH(INDEX($F$5:$F$1000,$R271-4)),1),MesCiclo)),IF(ISNUMBER($E271),DATE(YEAR($E271),MONTH($E271),1),IF(ISNUMBER($F271),DATE(YEAR($F271),MONTH($F271),1),MesCiclo))))</f>
        <v/>
      </c>
      <c r="Q271" s="70">
        <f>IF(OR($P271="",$P271&lt;&gt;MesCiclo),"",COUNTIF($P$5:$P271,MesCiclo))</f>
        <v/>
      </c>
      <c r="R271" s="70">
        <f>IF($S271="","",IF($S271="Macro",ROW(),IFERROR(LOOKUP(2,1/($S$5:$S271="Macro"),ROW($S$5:$S271)),0)))</f>
        <v/>
      </c>
      <c r="S271" s="70">
        <f>IF(NOT((COUNTA($B271:$K271)+COUNTA($N271))&gt;0),"",IF($B271&lt;&gt;"","Macro",IF($C271&lt;&gt;"","Sub","Macro")))</f>
        <v/>
      </c>
      <c r="T271" s="70">
        <f>IF($S271="Macro",COUNTIFS($R$5:$R$1000,ROW(),$S$5:$S$1000,"Sub"),"")</f>
        <v/>
      </c>
      <c r="U271" s="70">
        <f>IF($S271="","",IF(ISNUMBER($H271),$H271,0))</f>
        <v/>
      </c>
      <c r="V271" s="70">
        <f>IF($S271="","",IF(ISNUMBER($I271),$I271,$U271))</f>
        <v/>
      </c>
      <c r="W271" s="70">
        <f>IF($S271="","",IF(ISNUMBER($J271),$J271,$V271))</f>
        <v/>
      </c>
      <c r="X271" s="70">
        <f>IF($S271="","",IF(ISNUMBER($K271),$K271,$W271))</f>
        <v/>
      </c>
      <c r="Y271" s="70">
        <f>IF($S271="","",IF(N($T271)&gt;0,AVERAGEIFS($U$5:$U$1000,$R$5:$R$1000,ROW(),$S$5:$S$1000,"Sub"),$U271))</f>
        <v/>
      </c>
      <c r="Z271" s="70">
        <f>IF($S271="","",IF(N($T271)&gt;0,AVERAGEIFS($V$5:$V$1000,$R$5:$R$1000,ROW(),$S$5:$S$1000,"Sub"),$V271))</f>
        <v/>
      </c>
      <c r="AA271" s="70">
        <f>IF($S271="","",IF(N($T271)&gt;0,AVERAGEIFS($W$5:$W$1000,$R$5:$R$1000,ROW(),$S$5:$S$1000,"Sub"),$W271))</f>
        <v/>
      </c>
      <c r="AB271" s="70">
        <f>IF($S271="","",IF(N($T271)&gt;0,AVERAGEIFS($X$5:$X$1000,$R$5:$R$1000,ROW(),$S$5:$S$1000,"Sub"),$X271))</f>
        <v/>
      </c>
    </row>
    <row r="272">
      <c r="A272" s="61">
        <f>IF(NOT((COUNTA($B272:$K272)+COUNTA($N272))&gt;0),"",IF($S272="Macro",COUNTIFS($S$5:$S272,"Macro",$P$5:$P272,$P272),IF(N($R272)=0,"?",COUNTIFS(INDEX($S$5:$S$1000,1):INDEX($S$5:$S$1000,$R272-4),"Macro",INDEX($P$5:$P$1000,1):INDEX($P$5:$P$1000,$R272-4),INDEX($P$5:$P$1000,$R272-4))&amp;"."&amp;COUNTIFS($R$5:$R272,$R272,$S$5:$S272,"Sub"))))</f>
        <v/>
      </c>
      <c r="B272" s="62" t="n"/>
      <c r="C272" s="63" t="n"/>
      <c r="D272" s="62" t="n"/>
      <c r="E272" s="64" t="n"/>
      <c r="F272" s="64" t="n"/>
      <c r="G272" s="65" t="n"/>
      <c r="H272" s="66" t="n"/>
      <c r="I272" s="66" t="n"/>
      <c r="J272" s="66" t="n"/>
      <c r="K272" s="66" t="n"/>
      <c r="L272" s="67">
        <f>IF(NOT((COUNTA($B272:$K272)+COUNTA($N272))&gt;0),"",IF(N($T272)&gt;0,$AB272,IFERROR(LOOKUP(2,1/(H272:K272&lt;&gt;""),H272:K272),0)))</f>
        <v/>
      </c>
      <c r="M272" s="61">
        <f>IF(L272="","",IF(L272&gt;=1,"Completado",IF(L272&gt;0,"En curso","Pendiente")))</f>
        <v/>
      </c>
      <c r="N272" s="62" t="n"/>
      <c r="O272" s="68">
        <f>IF(NOT((COUNTA($B272:$K272)+COUNTA($N272))&gt;0),"",IF((IF(AND($S272="Macro",$B272=""),"Macroactividad vacía"&amp;" · ","")&amp;IF(AND($B272&lt;&gt;"",$C272&lt;&gt;""),"Escriba la subactividad en otra fila, debajo de su macroactividad"&amp;" · ","")&amp;IF(AND($S272="Sub",N($R272)=0),"Subactividad sin macroactividad arriba"&amp;" · ","")&amp;IF($D272="","Sin responsable"&amp;" · ","")&amp;IF($E272="","Sin fecha de inicio"&amp;" · ","")&amp;IF($F272="","Sin fecha límite"&amp;" · ","")&amp;IF(OR(AND($E272&lt;&gt;"",NOT(ISNUMBER($E272))),AND($F272&lt;&gt;"",NOT(ISNUMBER($F272)))),"Fecha no válida"&amp;" · ","")&amp;IF(AND(ISNUMBER($E272),ISNUMBER($F272),$E272&gt;$F272),"Inicio posterior a fecha límite"&amp;" · ","")&amp;IF(AND($S272="Macro",$G272=""),"Peso vacío"&amp;" · ","")&amp;IF(AND($S272="Macro",$G272&lt;&gt;"",OR(NOT(ISNUMBER($G272)),$G272&lt;=0,$G272&gt;1)),"Peso fuera de rango"&amp;" · ","")&amp;IF(AND($S272="Sub",$G272&lt;&gt;""),"Las subactividades no llevan peso"&amp;" · ","")&amp;IF(AND($S272="Macro",ABS(SUMIFS($G$5:$G$1000,$P$5:$P$1000,$P272,$S$5:$S$1000,"Macro")-1)&gt;0.0001),"Pesos del mes suman "&amp;TEXT(SUMIFS($G$5:$G$1000,$P$5:$P$1000,$P272,$S$5:$S$1000,"Macro"),"0%")&amp;" · ","")&amp;IF(AND(N($T272)&gt;0,COUNT($H272:$K272)&gt;0),"Con subactividades: deje vacías las semanas (se calculan solas)"&amp;" · ","")&amp;IF((COUNTIF($H272:$K272,"&gt;1")+COUNTIF($H272:$K272,"&lt;0")+COUNTA($H272:$K272)-COUNT($H272:$K272))&gt;0,"Avance fuera de rango 0-100%"&amp;" · ","")&amp;IF(OR(AND($I272&lt;&gt;"",$I272&lt;$H272),AND($J272&lt;&gt;"",$J272&lt;MAX($H272:$I272)),AND($K272&lt;&gt;"",$K272&lt;MAX($H272:$J272))),"Avance semanal decreciente"&amp;" · ","")&amp;IF(AND(ISNUMBER($F272),$F272&lt;FechaRef,N($L272)&lt;1),"Vencida"&amp;" · ","")&amp;IF(AND(ObsObligatoria="Sí",ISNUMBER($F272),$F272&lt;FechaRef,N($L272)&lt;1,$N272=""),"Vencida sin observación"&amp;" · ",""))="","✔ OK","⚠ "&amp;LEFT(IF(AND($S272="Macro",$B272=""),"Macroactividad vacía"&amp;" · ","")&amp;IF(AND($B272&lt;&gt;"",$C272&lt;&gt;""),"Escriba la subactividad en otra fila, debajo de su macroactividad"&amp;" · ","")&amp;IF(AND($S272="Sub",N($R272)=0),"Subactividad sin macroactividad arriba"&amp;" · ","")&amp;IF($D272="","Sin responsable"&amp;" · ","")&amp;IF($E272="","Sin fecha de inicio"&amp;" · ","")&amp;IF($F272="","Sin fecha límite"&amp;" · ","")&amp;IF(OR(AND($E272&lt;&gt;"",NOT(ISNUMBER($E272))),AND($F272&lt;&gt;"",NOT(ISNUMBER($F272)))),"Fecha no válida"&amp;" · ","")&amp;IF(AND(ISNUMBER($E272),ISNUMBER($F272),$E272&gt;$F272),"Inicio posterior a fecha límite"&amp;" · ","")&amp;IF(AND($S272="Macro",$G272=""),"Peso vacío"&amp;" · ","")&amp;IF(AND($S272="Macro",$G272&lt;&gt;"",OR(NOT(ISNUMBER($G272)),$G272&lt;=0,$G272&gt;1)),"Peso fuera de rango"&amp;" · ","")&amp;IF(AND($S272="Sub",$G272&lt;&gt;""),"Las subactividades no llevan peso"&amp;" · ","")&amp;IF(AND($S272="Macro",ABS(SUMIFS($G$5:$G$1000,$P$5:$P$1000,$P272,$S$5:$S$1000,"Macro")-1)&gt;0.0001),"Pesos del mes suman "&amp;TEXT(SUMIFS($G$5:$G$1000,$P$5:$P$1000,$P272,$S$5:$S$1000,"Macro"),"0%")&amp;" · ","")&amp;IF(AND(N($T272)&gt;0,COUNT($H272:$K272)&gt;0),"Con subactividades: deje vacías las semanas (se calculan solas)"&amp;" · ","")&amp;IF((COUNTIF($H272:$K272,"&gt;1")+COUNTIF($H272:$K272,"&lt;0")+COUNTA($H272:$K272)-COUNT($H272:$K272))&gt;0,"Avance fuera de rango 0-100%"&amp;" · ","")&amp;IF(OR(AND($I272&lt;&gt;"",$I272&lt;$H272),AND($J272&lt;&gt;"",$J272&lt;MAX($H272:$I272)),AND($K272&lt;&gt;"",$K272&lt;MAX($H272:$J272))),"Avance semanal decreciente"&amp;" · ","")&amp;IF(AND(ISNUMBER($F272),$F272&lt;FechaRef,N($L272)&lt;1),"Vencida"&amp;" · ","")&amp;IF(AND(ObsObligatoria="Sí",ISNUMBER($F272),$F272&lt;FechaRef,N($L272)&lt;1,$N272=""),"Vencida sin observación"&amp;" · ",""),LEN(IF(AND($S272="Macro",$B272=""),"Macroactividad vacía"&amp;" · ","")&amp;IF(AND($B272&lt;&gt;"",$C272&lt;&gt;""),"Escriba la subactividad en otra fila, debajo de su macroactividad"&amp;" · ","")&amp;IF(AND($S272="Sub",N($R272)=0),"Subactividad sin macroactividad arriba"&amp;" · ","")&amp;IF($D272="","Sin responsable"&amp;" · ","")&amp;IF($E272="","Sin fecha de inicio"&amp;" · ","")&amp;IF($F272="","Sin fecha límite"&amp;" · ","")&amp;IF(OR(AND($E272&lt;&gt;"",NOT(ISNUMBER($E272))),AND($F272&lt;&gt;"",NOT(ISNUMBER($F272)))),"Fecha no válida"&amp;" · ","")&amp;IF(AND(ISNUMBER($E272),ISNUMBER($F272),$E272&gt;$F272),"Inicio posterior a fecha límite"&amp;" · ","")&amp;IF(AND($S272="Macro",$G272=""),"Peso vacío"&amp;" · ","")&amp;IF(AND($S272="Macro",$G272&lt;&gt;"",OR(NOT(ISNUMBER($G272)),$G272&lt;=0,$G272&gt;1)),"Peso fuera de rango"&amp;" · ","")&amp;IF(AND($S272="Sub",$G272&lt;&gt;""),"Las subactividades no llevan peso"&amp;" · ","")&amp;IF(AND($S272="Macro",ABS(SUMIFS($G$5:$G$1000,$P$5:$P$1000,$P272,$S$5:$S$1000,"Macro")-1)&gt;0.0001),"Pesos del mes suman "&amp;TEXT(SUMIFS($G$5:$G$1000,$P$5:$P$1000,$P272,$S$5:$S$1000,"Macro"),"0%")&amp;" · ","")&amp;IF(AND(N($T272)&gt;0,COUNT($H272:$K272)&gt;0),"Con subactividades: deje vacías las semanas (se calculan solas)"&amp;" · ","")&amp;IF((COUNTIF($H272:$K272,"&gt;1")+COUNTIF($H272:$K272,"&lt;0")+COUNTA($H272:$K272)-COUNT($H272:$K272))&gt;0,"Avance fuera de rango 0-100%"&amp;" · ","")&amp;IF(OR(AND($I272&lt;&gt;"",$I272&lt;$H272),AND($J272&lt;&gt;"",$J272&lt;MAX($H272:$I272)),AND($K272&lt;&gt;"",$K272&lt;MAX($H272:$J272))),"Avance semanal decreciente"&amp;" · ","")&amp;IF(AND(ISNUMBER($F272),$F272&lt;FechaRef,N($L272)&lt;1),"Vencida"&amp;" · ","")&amp;IF(AND(ObsObligatoria="Sí",ISNUMBER($F272),$F272&lt;FechaRef,N($L272)&lt;1,$N272=""),"Vencida sin observación"&amp;" · ",""))-3)))</f>
        <v/>
      </c>
      <c r="P272" s="69">
        <f>IF(NOT((COUNTA($B272:$K272)+COUNTA($N272))&gt;0),"",IF(AND($S272="Sub",N($R272)&gt;0),IF(ISNUMBER(INDEX($E$5:$E$1000,$R272-4)),DATE(YEAR(INDEX($E$5:$E$1000,$R272-4)),MONTH(INDEX($E$5:$E$1000,$R272-4)),1),IF(ISNUMBER(INDEX($F$5:$F$1000,$R272-4)),DATE(YEAR(INDEX($F$5:$F$1000,$R272-4)),MONTH(INDEX($F$5:$F$1000,$R272-4)),1),MesCiclo)),IF(ISNUMBER($E272),DATE(YEAR($E272),MONTH($E272),1),IF(ISNUMBER($F272),DATE(YEAR($F272),MONTH($F272),1),MesCiclo))))</f>
        <v/>
      </c>
      <c r="Q272" s="70">
        <f>IF(OR($P272="",$P272&lt;&gt;MesCiclo),"",COUNTIF($P$5:$P272,MesCiclo))</f>
        <v/>
      </c>
      <c r="R272" s="70">
        <f>IF($S272="","",IF($S272="Macro",ROW(),IFERROR(LOOKUP(2,1/($S$5:$S272="Macro"),ROW($S$5:$S272)),0)))</f>
        <v/>
      </c>
      <c r="S272" s="70">
        <f>IF(NOT((COUNTA($B272:$K272)+COUNTA($N272))&gt;0),"",IF($B272&lt;&gt;"","Macro",IF($C272&lt;&gt;"","Sub","Macro")))</f>
        <v/>
      </c>
      <c r="T272" s="70">
        <f>IF($S272="Macro",COUNTIFS($R$5:$R$1000,ROW(),$S$5:$S$1000,"Sub"),"")</f>
        <v/>
      </c>
      <c r="U272" s="70">
        <f>IF($S272="","",IF(ISNUMBER($H272),$H272,0))</f>
        <v/>
      </c>
      <c r="V272" s="70">
        <f>IF($S272="","",IF(ISNUMBER($I272),$I272,$U272))</f>
        <v/>
      </c>
      <c r="W272" s="70">
        <f>IF($S272="","",IF(ISNUMBER($J272),$J272,$V272))</f>
        <v/>
      </c>
      <c r="X272" s="70">
        <f>IF($S272="","",IF(ISNUMBER($K272),$K272,$W272))</f>
        <v/>
      </c>
      <c r="Y272" s="70">
        <f>IF($S272="","",IF(N($T272)&gt;0,AVERAGEIFS($U$5:$U$1000,$R$5:$R$1000,ROW(),$S$5:$S$1000,"Sub"),$U272))</f>
        <v/>
      </c>
      <c r="Z272" s="70">
        <f>IF($S272="","",IF(N($T272)&gt;0,AVERAGEIFS($V$5:$V$1000,$R$5:$R$1000,ROW(),$S$5:$S$1000,"Sub"),$V272))</f>
        <v/>
      </c>
      <c r="AA272" s="70">
        <f>IF($S272="","",IF(N($T272)&gt;0,AVERAGEIFS($W$5:$W$1000,$R$5:$R$1000,ROW(),$S$5:$S$1000,"Sub"),$W272))</f>
        <v/>
      </c>
      <c r="AB272" s="70">
        <f>IF($S272="","",IF(N($T272)&gt;0,AVERAGEIFS($X$5:$X$1000,$R$5:$R$1000,ROW(),$S$5:$S$1000,"Sub"),$X272))</f>
        <v/>
      </c>
    </row>
    <row r="273">
      <c r="A273" s="61">
        <f>IF(NOT((COUNTA($B273:$K273)+COUNTA($N273))&gt;0),"",IF($S273="Macro",COUNTIFS($S$5:$S273,"Macro",$P$5:$P273,$P273),IF(N($R273)=0,"?",COUNTIFS(INDEX($S$5:$S$1000,1):INDEX($S$5:$S$1000,$R273-4),"Macro",INDEX($P$5:$P$1000,1):INDEX($P$5:$P$1000,$R273-4),INDEX($P$5:$P$1000,$R273-4))&amp;"."&amp;COUNTIFS($R$5:$R273,$R273,$S$5:$S273,"Sub"))))</f>
        <v/>
      </c>
      <c r="B273" s="62" t="n"/>
      <c r="C273" s="63" t="n"/>
      <c r="D273" s="62" t="n"/>
      <c r="E273" s="64" t="n"/>
      <c r="F273" s="64" t="n"/>
      <c r="G273" s="65" t="n"/>
      <c r="H273" s="66" t="n"/>
      <c r="I273" s="66" t="n"/>
      <c r="J273" s="66" t="n"/>
      <c r="K273" s="66" t="n"/>
      <c r="L273" s="67">
        <f>IF(NOT((COUNTA($B273:$K273)+COUNTA($N273))&gt;0),"",IF(N($T273)&gt;0,$AB273,IFERROR(LOOKUP(2,1/(H273:K273&lt;&gt;""),H273:K273),0)))</f>
        <v/>
      </c>
      <c r="M273" s="61">
        <f>IF(L273="","",IF(L273&gt;=1,"Completado",IF(L273&gt;0,"En curso","Pendiente")))</f>
        <v/>
      </c>
      <c r="N273" s="62" t="n"/>
      <c r="O273" s="68">
        <f>IF(NOT((COUNTA($B273:$K273)+COUNTA($N273))&gt;0),"",IF((IF(AND($S273="Macro",$B273=""),"Macroactividad vacía"&amp;" · ","")&amp;IF(AND($B273&lt;&gt;"",$C273&lt;&gt;""),"Escriba la subactividad en otra fila, debajo de su macroactividad"&amp;" · ","")&amp;IF(AND($S273="Sub",N($R273)=0),"Subactividad sin macroactividad arriba"&amp;" · ","")&amp;IF($D273="","Sin responsable"&amp;" · ","")&amp;IF($E273="","Sin fecha de inicio"&amp;" · ","")&amp;IF($F273="","Sin fecha límite"&amp;" · ","")&amp;IF(OR(AND($E273&lt;&gt;"",NOT(ISNUMBER($E273))),AND($F273&lt;&gt;"",NOT(ISNUMBER($F273)))),"Fecha no válida"&amp;" · ","")&amp;IF(AND(ISNUMBER($E273),ISNUMBER($F273),$E273&gt;$F273),"Inicio posterior a fecha límite"&amp;" · ","")&amp;IF(AND($S273="Macro",$G273=""),"Peso vacío"&amp;" · ","")&amp;IF(AND($S273="Macro",$G273&lt;&gt;"",OR(NOT(ISNUMBER($G273)),$G273&lt;=0,$G273&gt;1)),"Peso fuera de rango"&amp;" · ","")&amp;IF(AND($S273="Sub",$G273&lt;&gt;""),"Las subactividades no llevan peso"&amp;" · ","")&amp;IF(AND($S273="Macro",ABS(SUMIFS($G$5:$G$1000,$P$5:$P$1000,$P273,$S$5:$S$1000,"Macro")-1)&gt;0.0001),"Pesos del mes suman "&amp;TEXT(SUMIFS($G$5:$G$1000,$P$5:$P$1000,$P273,$S$5:$S$1000,"Macro"),"0%")&amp;" · ","")&amp;IF(AND(N($T273)&gt;0,COUNT($H273:$K273)&gt;0),"Con subactividades: deje vacías las semanas (se calculan solas)"&amp;" · ","")&amp;IF((COUNTIF($H273:$K273,"&gt;1")+COUNTIF($H273:$K273,"&lt;0")+COUNTA($H273:$K273)-COUNT($H273:$K273))&gt;0,"Avance fuera de rango 0-100%"&amp;" · ","")&amp;IF(OR(AND($I273&lt;&gt;"",$I273&lt;$H273),AND($J273&lt;&gt;"",$J273&lt;MAX($H273:$I273)),AND($K273&lt;&gt;"",$K273&lt;MAX($H273:$J273))),"Avance semanal decreciente"&amp;" · ","")&amp;IF(AND(ISNUMBER($F273),$F273&lt;FechaRef,N($L273)&lt;1),"Vencida"&amp;" · ","")&amp;IF(AND(ObsObligatoria="Sí",ISNUMBER($F273),$F273&lt;FechaRef,N($L273)&lt;1,$N273=""),"Vencida sin observación"&amp;" · ",""))="","✔ OK","⚠ "&amp;LEFT(IF(AND($S273="Macro",$B273=""),"Macroactividad vacía"&amp;" · ","")&amp;IF(AND($B273&lt;&gt;"",$C273&lt;&gt;""),"Escriba la subactividad en otra fila, debajo de su macroactividad"&amp;" · ","")&amp;IF(AND($S273="Sub",N($R273)=0),"Subactividad sin macroactividad arriba"&amp;" · ","")&amp;IF($D273="","Sin responsable"&amp;" · ","")&amp;IF($E273="","Sin fecha de inicio"&amp;" · ","")&amp;IF($F273="","Sin fecha límite"&amp;" · ","")&amp;IF(OR(AND($E273&lt;&gt;"",NOT(ISNUMBER($E273))),AND($F273&lt;&gt;"",NOT(ISNUMBER($F273)))),"Fecha no válida"&amp;" · ","")&amp;IF(AND(ISNUMBER($E273),ISNUMBER($F273),$E273&gt;$F273),"Inicio posterior a fecha límite"&amp;" · ","")&amp;IF(AND($S273="Macro",$G273=""),"Peso vacío"&amp;" · ","")&amp;IF(AND($S273="Macro",$G273&lt;&gt;"",OR(NOT(ISNUMBER($G273)),$G273&lt;=0,$G273&gt;1)),"Peso fuera de rango"&amp;" · ","")&amp;IF(AND($S273="Sub",$G273&lt;&gt;""),"Las subactividades no llevan peso"&amp;" · ","")&amp;IF(AND($S273="Macro",ABS(SUMIFS($G$5:$G$1000,$P$5:$P$1000,$P273,$S$5:$S$1000,"Macro")-1)&gt;0.0001),"Pesos del mes suman "&amp;TEXT(SUMIFS($G$5:$G$1000,$P$5:$P$1000,$P273,$S$5:$S$1000,"Macro"),"0%")&amp;" · ","")&amp;IF(AND(N($T273)&gt;0,COUNT($H273:$K273)&gt;0),"Con subactividades: deje vacías las semanas (se calculan solas)"&amp;" · ","")&amp;IF((COUNTIF($H273:$K273,"&gt;1")+COUNTIF($H273:$K273,"&lt;0")+COUNTA($H273:$K273)-COUNT($H273:$K273))&gt;0,"Avance fuera de rango 0-100%"&amp;" · ","")&amp;IF(OR(AND($I273&lt;&gt;"",$I273&lt;$H273),AND($J273&lt;&gt;"",$J273&lt;MAX($H273:$I273)),AND($K273&lt;&gt;"",$K273&lt;MAX($H273:$J273))),"Avance semanal decreciente"&amp;" · ","")&amp;IF(AND(ISNUMBER($F273),$F273&lt;FechaRef,N($L273)&lt;1),"Vencida"&amp;" · ","")&amp;IF(AND(ObsObligatoria="Sí",ISNUMBER($F273),$F273&lt;FechaRef,N($L273)&lt;1,$N273=""),"Vencida sin observación"&amp;" · ",""),LEN(IF(AND($S273="Macro",$B273=""),"Macroactividad vacía"&amp;" · ","")&amp;IF(AND($B273&lt;&gt;"",$C273&lt;&gt;""),"Escriba la subactividad en otra fila, debajo de su macroactividad"&amp;" · ","")&amp;IF(AND($S273="Sub",N($R273)=0),"Subactividad sin macroactividad arriba"&amp;" · ","")&amp;IF($D273="","Sin responsable"&amp;" · ","")&amp;IF($E273="","Sin fecha de inicio"&amp;" · ","")&amp;IF($F273="","Sin fecha límite"&amp;" · ","")&amp;IF(OR(AND($E273&lt;&gt;"",NOT(ISNUMBER($E273))),AND($F273&lt;&gt;"",NOT(ISNUMBER($F273)))),"Fecha no válida"&amp;" · ","")&amp;IF(AND(ISNUMBER($E273),ISNUMBER($F273),$E273&gt;$F273),"Inicio posterior a fecha límite"&amp;" · ","")&amp;IF(AND($S273="Macro",$G273=""),"Peso vacío"&amp;" · ","")&amp;IF(AND($S273="Macro",$G273&lt;&gt;"",OR(NOT(ISNUMBER($G273)),$G273&lt;=0,$G273&gt;1)),"Peso fuera de rango"&amp;" · ","")&amp;IF(AND($S273="Sub",$G273&lt;&gt;""),"Las subactividades no llevan peso"&amp;" · ","")&amp;IF(AND($S273="Macro",ABS(SUMIFS($G$5:$G$1000,$P$5:$P$1000,$P273,$S$5:$S$1000,"Macro")-1)&gt;0.0001),"Pesos del mes suman "&amp;TEXT(SUMIFS($G$5:$G$1000,$P$5:$P$1000,$P273,$S$5:$S$1000,"Macro"),"0%")&amp;" · ","")&amp;IF(AND(N($T273)&gt;0,COUNT($H273:$K273)&gt;0),"Con subactividades: deje vacías las semanas (se calculan solas)"&amp;" · ","")&amp;IF((COUNTIF($H273:$K273,"&gt;1")+COUNTIF($H273:$K273,"&lt;0")+COUNTA($H273:$K273)-COUNT($H273:$K273))&gt;0,"Avance fuera de rango 0-100%"&amp;" · ","")&amp;IF(OR(AND($I273&lt;&gt;"",$I273&lt;$H273),AND($J273&lt;&gt;"",$J273&lt;MAX($H273:$I273)),AND($K273&lt;&gt;"",$K273&lt;MAX($H273:$J273))),"Avance semanal decreciente"&amp;" · ","")&amp;IF(AND(ISNUMBER($F273),$F273&lt;FechaRef,N($L273)&lt;1),"Vencida"&amp;" · ","")&amp;IF(AND(ObsObligatoria="Sí",ISNUMBER($F273),$F273&lt;FechaRef,N($L273)&lt;1,$N273=""),"Vencida sin observación"&amp;" · ",""))-3)))</f>
        <v/>
      </c>
      <c r="P273" s="69">
        <f>IF(NOT((COUNTA($B273:$K273)+COUNTA($N273))&gt;0),"",IF(AND($S273="Sub",N($R273)&gt;0),IF(ISNUMBER(INDEX($E$5:$E$1000,$R273-4)),DATE(YEAR(INDEX($E$5:$E$1000,$R273-4)),MONTH(INDEX($E$5:$E$1000,$R273-4)),1),IF(ISNUMBER(INDEX($F$5:$F$1000,$R273-4)),DATE(YEAR(INDEX($F$5:$F$1000,$R273-4)),MONTH(INDEX($F$5:$F$1000,$R273-4)),1),MesCiclo)),IF(ISNUMBER($E273),DATE(YEAR($E273),MONTH($E273),1),IF(ISNUMBER($F273),DATE(YEAR($F273),MONTH($F273),1),MesCiclo))))</f>
        <v/>
      </c>
      <c r="Q273" s="70">
        <f>IF(OR($P273="",$P273&lt;&gt;MesCiclo),"",COUNTIF($P$5:$P273,MesCiclo))</f>
        <v/>
      </c>
      <c r="R273" s="70">
        <f>IF($S273="","",IF($S273="Macro",ROW(),IFERROR(LOOKUP(2,1/($S$5:$S273="Macro"),ROW($S$5:$S273)),0)))</f>
        <v/>
      </c>
      <c r="S273" s="70">
        <f>IF(NOT((COUNTA($B273:$K273)+COUNTA($N273))&gt;0),"",IF($B273&lt;&gt;"","Macro",IF($C273&lt;&gt;"","Sub","Macro")))</f>
        <v/>
      </c>
      <c r="T273" s="70">
        <f>IF($S273="Macro",COUNTIFS($R$5:$R$1000,ROW(),$S$5:$S$1000,"Sub"),"")</f>
        <v/>
      </c>
      <c r="U273" s="70">
        <f>IF($S273="","",IF(ISNUMBER($H273),$H273,0))</f>
        <v/>
      </c>
      <c r="V273" s="70">
        <f>IF($S273="","",IF(ISNUMBER($I273),$I273,$U273))</f>
        <v/>
      </c>
      <c r="W273" s="70">
        <f>IF($S273="","",IF(ISNUMBER($J273),$J273,$V273))</f>
        <v/>
      </c>
      <c r="X273" s="70">
        <f>IF($S273="","",IF(ISNUMBER($K273),$K273,$W273))</f>
        <v/>
      </c>
      <c r="Y273" s="70">
        <f>IF($S273="","",IF(N($T273)&gt;0,AVERAGEIFS($U$5:$U$1000,$R$5:$R$1000,ROW(),$S$5:$S$1000,"Sub"),$U273))</f>
        <v/>
      </c>
      <c r="Z273" s="70">
        <f>IF($S273="","",IF(N($T273)&gt;0,AVERAGEIFS($V$5:$V$1000,$R$5:$R$1000,ROW(),$S$5:$S$1000,"Sub"),$V273))</f>
        <v/>
      </c>
      <c r="AA273" s="70">
        <f>IF($S273="","",IF(N($T273)&gt;0,AVERAGEIFS($W$5:$W$1000,$R$5:$R$1000,ROW(),$S$5:$S$1000,"Sub"),$W273))</f>
        <v/>
      </c>
      <c r="AB273" s="70">
        <f>IF($S273="","",IF(N($T273)&gt;0,AVERAGEIFS($X$5:$X$1000,$R$5:$R$1000,ROW(),$S$5:$S$1000,"Sub"),$X273))</f>
        <v/>
      </c>
    </row>
    <row r="274">
      <c r="A274" s="61">
        <f>IF(NOT((COUNTA($B274:$K274)+COUNTA($N274))&gt;0),"",IF($S274="Macro",COUNTIFS($S$5:$S274,"Macro",$P$5:$P274,$P274),IF(N($R274)=0,"?",COUNTIFS(INDEX($S$5:$S$1000,1):INDEX($S$5:$S$1000,$R274-4),"Macro",INDEX($P$5:$P$1000,1):INDEX($P$5:$P$1000,$R274-4),INDEX($P$5:$P$1000,$R274-4))&amp;"."&amp;COUNTIFS($R$5:$R274,$R274,$S$5:$S274,"Sub"))))</f>
        <v/>
      </c>
      <c r="B274" s="62" t="n"/>
      <c r="C274" s="63" t="n"/>
      <c r="D274" s="62" t="n"/>
      <c r="E274" s="64" t="n"/>
      <c r="F274" s="64" t="n"/>
      <c r="G274" s="65" t="n"/>
      <c r="H274" s="66" t="n"/>
      <c r="I274" s="66" t="n"/>
      <c r="J274" s="66" t="n"/>
      <c r="K274" s="66" t="n"/>
      <c r="L274" s="67">
        <f>IF(NOT((COUNTA($B274:$K274)+COUNTA($N274))&gt;0),"",IF(N($T274)&gt;0,$AB274,IFERROR(LOOKUP(2,1/(H274:K274&lt;&gt;""),H274:K274),0)))</f>
        <v/>
      </c>
      <c r="M274" s="61">
        <f>IF(L274="","",IF(L274&gt;=1,"Completado",IF(L274&gt;0,"En curso","Pendiente")))</f>
        <v/>
      </c>
      <c r="N274" s="62" t="n"/>
      <c r="O274" s="68">
        <f>IF(NOT((COUNTA($B274:$K274)+COUNTA($N274))&gt;0),"",IF((IF(AND($S274="Macro",$B274=""),"Macroactividad vacía"&amp;" · ","")&amp;IF(AND($B274&lt;&gt;"",$C274&lt;&gt;""),"Escriba la subactividad en otra fila, debajo de su macroactividad"&amp;" · ","")&amp;IF(AND($S274="Sub",N($R274)=0),"Subactividad sin macroactividad arriba"&amp;" · ","")&amp;IF($D274="","Sin responsable"&amp;" · ","")&amp;IF($E274="","Sin fecha de inicio"&amp;" · ","")&amp;IF($F274="","Sin fecha límite"&amp;" · ","")&amp;IF(OR(AND($E274&lt;&gt;"",NOT(ISNUMBER($E274))),AND($F274&lt;&gt;"",NOT(ISNUMBER($F274)))),"Fecha no válida"&amp;" · ","")&amp;IF(AND(ISNUMBER($E274),ISNUMBER($F274),$E274&gt;$F274),"Inicio posterior a fecha límite"&amp;" · ","")&amp;IF(AND($S274="Macro",$G274=""),"Peso vacío"&amp;" · ","")&amp;IF(AND($S274="Macro",$G274&lt;&gt;"",OR(NOT(ISNUMBER($G274)),$G274&lt;=0,$G274&gt;1)),"Peso fuera de rango"&amp;" · ","")&amp;IF(AND($S274="Sub",$G274&lt;&gt;""),"Las subactividades no llevan peso"&amp;" · ","")&amp;IF(AND($S274="Macro",ABS(SUMIFS($G$5:$G$1000,$P$5:$P$1000,$P274,$S$5:$S$1000,"Macro")-1)&gt;0.0001),"Pesos del mes suman "&amp;TEXT(SUMIFS($G$5:$G$1000,$P$5:$P$1000,$P274,$S$5:$S$1000,"Macro"),"0%")&amp;" · ","")&amp;IF(AND(N($T274)&gt;0,COUNT($H274:$K274)&gt;0),"Con subactividades: deje vacías las semanas (se calculan solas)"&amp;" · ","")&amp;IF((COUNTIF($H274:$K274,"&gt;1")+COUNTIF($H274:$K274,"&lt;0")+COUNTA($H274:$K274)-COUNT($H274:$K274))&gt;0,"Avance fuera de rango 0-100%"&amp;" · ","")&amp;IF(OR(AND($I274&lt;&gt;"",$I274&lt;$H274),AND($J274&lt;&gt;"",$J274&lt;MAX($H274:$I274)),AND($K274&lt;&gt;"",$K274&lt;MAX($H274:$J274))),"Avance semanal decreciente"&amp;" · ","")&amp;IF(AND(ISNUMBER($F274),$F274&lt;FechaRef,N($L274)&lt;1),"Vencida"&amp;" · ","")&amp;IF(AND(ObsObligatoria="Sí",ISNUMBER($F274),$F274&lt;FechaRef,N($L274)&lt;1,$N274=""),"Vencida sin observación"&amp;" · ",""))="","✔ OK","⚠ "&amp;LEFT(IF(AND($S274="Macro",$B274=""),"Macroactividad vacía"&amp;" · ","")&amp;IF(AND($B274&lt;&gt;"",$C274&lt;&gt;""),"Escriba la subactividad en otra fila, debajo de su macroactividad"&amp;" · ","")&amp;IF(AND($S274="Sub",N($R274)=0),"Subactividad sin macroactividad arriba"&amp;" · ","")&amp;IF($D274="","Sin responsable"&amp;" · ","")&amp;IF($E274="","Sin fecha de inicio"&amp;" · ","")&amp;IF($F274="","Sin fecha límite"&amp;" · ","")&amp;IF(OR(AND($E274&lt;&gt;"",NOT(ISNUMBER($E274))),AND($F274&lt;&gt;"",NOT(ISNUMBER($F274)))),"Fecha no válida"&amp;" · ","")&amp;IF(AND(ISNUMBER($E274),ISNUMBER($F274),$E274&gt;$F274),"Inicio posterior a fecha límite"&amp;" · ","")&amp;IF(AND($S274="Macro",$G274=""),"Peso vacío"&amp;" · ","")&amp;IF(AND($S274="Macro",$G274&lt;&gt;"",OR(NOT(ISNUMBER($G274)),$G274&lt;=0,$G274&gt;1)),"Peso fuera de rango"&amp;" · ","")&amp;IF(AND($S274="Sub",$G274&lt;&gt;""),"Las subactividades no llevan peso"&amp;" · ","")&amp;IF(AND($S274="Macro",ABS(SUMIFS($G$5:$G$1000,$P$5:$P$1000,$P274,$S$5:$S$1000,"Macro")-1)&gt;0.0001),"Pesos del mes suman "&amp;TEXT(SUMIFS($G$5:$G$1000,$P$5:$P$1000,$P274,$S$5:$S$1000,"Macro"),"0%")&amp;" · ","")&amp;IF(AND(N($T274)&gt;0,COUNT($H274:$K274)&gt;0),"Con subactividades: deje vacías las semanas (se calculan solas)"&amp;" · ","")&amp;IF((COUNTIF($H274:$K274,"&gt;1")+COUNTIF($H274:$K274,"&lt;0")+COUNTA($H274:$K274)-COUNT($H274:$K274))&gt;0,"Avance fuera de rango 0-100%"&amp;" · ","")&amp;IF(OR(AND($I274&lt;&gt;"",$I274&lt;$H274),AND($J274&lt;&gt;"",$J274&lt;MAX($H274:$I274)),AND($K274&lt;&gt;"",$K274&lt;MAX($H274:$J274))),"Avance semanal decreciente"&amp;" · ","")&amp;IF(AND(ISNUMBER($F274),$F274&lt;FechaRef,N($L274)&lt;1),"Vencida"&amp;" · ","")&amp;IF(AND(ObsObligatoria="Sí",ISNUMBER($F274),$F274&lt;FechaRef,N($L274)&lt;1,$N274=""),"Vencida sin observación"&amp;" · ",""),LEN(IF(AND($S274="Macro",$B274=""),"Macroactividad vacía"&amp;" · ","")&amp;IF(AND($B274&lt;&gt;"",$C274&lt;&gt;""),"Escriba la subactividad en otra fila, debajo de su macroactividad"&amp;" · ","")&amp;IF(AND($S274="Sub",N($R274)=0),"Subactividad sin macroactividad arriba"&amp;" · ","")&amp;IF($D274="","Sin responsable"&amp;" · ","")&amp;IF($E274="","Sin fecha de inicio"&amp;" · ","")&amp;IF($F274="","Sin fecha límite"&amp;" · ","")&amp;IF(OR(AND($E274&lt;&gt;"",NOT(ISNUMBER($E274))),AND($F274&lt;&gt;"",NOT(ISNUMBER($F274)))),"Fecha no válida"&amp;" · ","")&amp;IF(AND(ISNUMBER($E274),ISNUMBER($F274),$E274&gt;$F274),"Inicio posterior a fecha límite"&amp;" · ","")&amp;IF(AND($S274="Macro",$G274=""),"Peso vacío"&amp;" · ","")&amp;IF(AND($S274="Macro",$G274&lt;&gt;"",OR(NOT(ISNUMBER($G274)),$G274&lt;=0,$G274&gt;1)),"Peso fuera de rango"&amp;" · ","")&amp;IF(AND($S274="Sub",$G274&lt;&gt;""),"Las subactividades no llevan peso"&amp;" · ","")&amp;IF(AND($S274="Macro",ABS(SUMIFS($G$5:$G$1000,$P$5:$P$1000,$P274,$S$5:$S$1000,"Macro")-1)&gt;0.0001),"Pesos del mes suman "&amp;TEXT(SUMIFS($G$5:$G$1000,$P$5:$P$1000,$P274,$S$5:$S$1000,"Macro"),"0%")&amp;" · ","")&amp;IF(AND(N($T274)&gt;0,COUNT($H274:$K274)&gt;0),"Con subactividades: deje vacías las semanas (se calculan solas)"&amp;" · ","")&amp;IF((COUNTIF($H274:$K274,"&gt;1")+COUNTIF($H274:$K274,"&lt;0")+COUNTA($H274:$K274)-COUNT($H274:$K274))&gt;0,"Avance fuera de rango 0-100%"&amp;" · ","")&amp;IF(OR(AND($I274&lt;&gt;"",$I274&lt;$H274),AND($J274&lt;&gt;"",$J274&lt;MAX($H274:$I274)),AND($K274&lt;&gt;"",$K274&lt;MAX($H274:$J274))),"Avance semanal decreciente"&amp;" · ","")&amp;IF(AND(ISNUMBER($F274),$F274&lt;FechaRef,N($L274)&lt;1),"Vencida"&amp;" · ","")&amp;IF(AND(ObsObligatoria="Sí",ISNUMBER($F274),$F274&lt;FechaRef,N($L274)&lt;1,$N274=""),"Vencida sin observación"&amp;" · ",""))-3)))</f>
        <v/>
      </c>
      <c r="P274" s="69">
        <f>IF(NOT((COUNTA($B274:$K274)+COUNTA($N274))&gt;0),"",IF(AND($S274="Sub",N($R274)&gt;0),IF(ISNUMBER(INDEX($E$5:$E$1000,$R274-4)),DATE(YEAR(INDEX($E$5:$E$1000,$R274-4)),MONTH(INDEX($E$5:$E$1000,$R274-4)),1),IF(ISNUMBER(INDEX($F$5:$F$1000,$R274-4)),DATE(YEAR(INDEX($F$5:$F$1000,$R274-4)),MONTH(INDEX($F$5:$F$1000,$R274-4)),1),MesCiclo)),IF(ISNUMBER($E274),DATE(YEAR($E274),MONTH($E274),1),IF(ISNUMBER($F274),DATE(YEAR($F274),MONTH($F274),1),MesCiclo))))</f>
        <v/>
      </c>
      <c r="Q274" s="70">
        <f>IF(OR($P274="",$P274&lt;&gt;MesCiclo),"",COUNTIF($P$5:$P274,MesCiclo))</f>
        <v/>
      </c>
      <c r="R274" s="70">
        <f>IF($S274="","",IF($S274="Macro",ROW(),IFERROR(LOOKUP(2,1/($S$5:$S274="Macro"),ROW($S$5:$S274)),0)))</f>
        <v/>
      </c>
      <c r="S274" s="70">
        <f>IF(NOT((COUNTA($B274:$K274)+COUNTA($N274))&gt;0),"",IF($B274&lt;&gt;"","Macro",IF($C274&lt;&gt;"","Sub","Macro")))</f>
        <v/>
      </c>
      <c r="T274" s="70">
        <f>IF($S274="Macro",COUNTIFS($R$5:$R$1000,ROW(),$S$5:$S$1000,"Sub"),"")</f>
        <v/>
      </c>
      <c r="U274" s="70">
        <f>IF($S274="","",IF(ISNUMBER($H274),$H274,0))</f>
        <v/>
      </c>
      <c r="V274" s="70">
        <f>IF($S274="","",IF(ISNUMBER($I274),$I274,$U274))</f>
        <v/>
      </c>
      <c r="W274" s="70">
        <f>IF($S274="","",IF(ISNUMBER($J274),$J274,$V274))</f>
        <v/>
      </c>
      <c r="X274" s="70">
        <f>IF($S274="","",IF(ISNUMBER($K274),$K274,$W274))</f>
        <v/>
      </c>
      <c r="Y274" s="70">
        <f>IF($S274="","",IF(N($T274)&gt;0,AVERAGEIFS($U$5:$U$1000,$R$5:$R$1000,ROW(),$S$5:$S$1000,"Sub"),$U274))</f>
        <v/>
      </c>
      <c r="Z274" s="70">
        <f>IF($S274="","",IF(N($T274)&gt;0,AVERAGEIFS($V$5:$V$1000,$R$5:$R$1000,ROW(),$S$5:$S$1000,"Sub"),$V274))</f>
        <v/>
      </c>
      <c r="AA274" s="70">
        <f>IF($S274="","",IF(N($T274)&gt;0,AVERAGEIFS($W$5:$W$1000,$R$5:$R$1000,ROW(),$S$5:$S$1000,"Sub"),$W274))</f>
        <v/>
      </c>
      <c r="AB274" s="70">
        <f>IF($S274="","",IF(N($T274)&gt;0,AVERAGEIFS($X$5:$X$1000,$R$5:$R$1000,ROW(),$S$5:$S$1000,"Sub"),$X274))</f>
        <v/>
      </c>
    </row>
    <row r="275">
      <c r="A275" s="61">
        <f>IF(NOT((COUNTA($B275:$K275)+COUNTA($N275))&gt;0),"",IF($S275="Macro",COUNTIFS($S$5:$S275,"Macro",$P$5:$P275,$P275),IF(N($R275)=0,"?",COUNTIFS(INDEX($S$5:$S$1000,1):INDEX($S$5:$S$1000,$R275-4),"Macro",INDEX($P$5:$P$1000,1):INDEX($P$5:$P$1000,$R275-4),INDEX($P$5:$P$1000,$R275-4))&amp;"."&amp;COUNTIFS($R$5:$R275,$R275,$S$5:$S275,"Sub"))))</f>
        <v/>
      </c>
      <c r="B275" s="62" t="n"/>
      <c r="C275" s="63" t="n"/>
      <c r="D275" s="62" t="n"/>
      <c r="E275" s="64" t="n"/>
      <c r="F275" s="64" t="n"/>
      <c r="G275" s="65" t="n"/>
      <c r="H275" s="66" t="n"/>
      <c r="I275" s="66" t="n"/>
      <c r="J275" s="66" t="n"/>
      <c r="K275" s="66" t="n"/>
      <c r="L275" s="67">
        <f>IF(NOT((COUNTA($B275:$K275)+COUNTA($N275))&gt;0),"",IF(N($T275)&gt;0,$AB275,IFERROR(LOOKUP(2,1/(H275:K275&lt;&gt;""),H275:K275),0)))</f>
        <v/>
      </c>
      <c r="M275" s="61">
        <f>IF(L275="","",IF(L275&gt;=1,"Completado",IF(L275&gt;0,"En curso","Pendiente")))</f>
        <v/>
      </c>
      <c r="N275" s="62" t="n"/>
      <c r="O275" s="68">
        <f>IF(NOT((COUNTA($B275:$K275)+COUNTA($N275))&gt;0),"",IF((IF(AND($S275="Macro",$B275=""),"Macroactividad vacía"&amp;" · ","")&amp;IF(AND($B275&lt;&gt;"",$C275&lt;&gt;""),"Escriba la subactividad en otra fila, debajo de su macroactividad"&amp;" · ","")&amp;IF(AND($S275="Sub",N($R275)=0),"Subactividad sin macroactividad arriba"&amp;" · ","")&amp;IF($D275="","Sin responsable"&amp;" · ","")&amp;IF($E275="","Sin fecha de inicio"&amp;" · ","")&amp;IF($F275="","Sin fecha límite"&amp;" · ","")&amp;IF(OR(AND($E275&lt;&gt;"",NOT(ISNUMBER($E275))),AND($F275&lt;&gt;"",NOT(ISNUMBER($F275)))),"Fecha no válida"&amp;" · ","")&amp;IF(AND(ISNUMBER($E275),ISNUMBER($F275),$E275&gt;$F275),"Inicio posterior a fecha límite"&amp;" · ","")&amp;IF(AND($S275="Macro",$G275=""),"Peso vacío"&amp;" · ","")&amp;IF(AND($S275="Macro",$G275&lt;&gt;"",OR(NOT(ISNUMBER($G275)),$G275&lt;=0,$G275&gt;1)),"Peso fuera de rango"&amp;" · ","")&amp;IF(AND($S275="Sub",$G275&lt;&gt;""),"Las subactividades no llevan peso"&amp;" · ","")&amp;IF(AND($S275="Macro",ABS(SUMIFS($G$5:$G$1000,$P$5:$P$1000,$P275,$S$5:$S$1000,"Macro")-1)&gt;0.0001),"Pesos del mes suman "&amp;TEXT(SUMIFS($G$5:$G$1000,$P$5:$P$1000,$P275,$S$5:$S$1000,"Macro"),"0%")&amp;" · ","")&amp;IF(AND(N($T275)&gt;0,COUNT($H275:$K275)&gt;0),"Con subactividades: deje vacías las semanas (se calculan solas)"&amp;" · ","")&amp;IF((COUNTIF($H275:$K275,"&gt;1")+COUNTIF($H275:$K275,"&lt;0")+COUNTA($H275:$K275)-COUNT($H275:$K275))&gt;0,"Avance fuera de rango 0-100%"&amp;" · ","")&amp;IF(OR(AND($I275&lt;&gt;"",$I275&lt;$H275),AND($J275&lt;&gt;"",$J275&lt;MAX($H275:$I275)),AND($K275&lt;&gt;"",$K275&lt;MAX($H275:$J275))),"Avance semanal decreciente"&amp;" · ","")&amp;IF(AND(ISNUMBER($F275),$F275&lt;FechaRef,N($L275)&lt;1),"Vencida"&amp;" · ","")&amp;IF(AND(ObsObligatoria="Sí",ISNUMBER($F275),$F275&lt;FechaRef,N($L275)&lt;1,$N275=""),"Vencida sin observación"&amp;" · ",""))="","✔ OK","⚠ "&amp;LEFT(IF(AND($S275="Macro",$B275=""),"Macroactividad vacía"&amp;" · ","")&amp;IF(AND($B275&lt;&gt;"",$C275&lt;&gt;""),"Escriba la subactividad en otra fila, debajo de su macroactividad"&amp;" · ","")&amp;IF(AND($S275="Sub",N($R275)=0),"Subactividad sin macroactividad arriba"&amp;" · ","")&amp;IF($D275="","Sin responsable"&amp;" · ","")&amp;IF($E275="","Sin fecha de inicio"&amp;" · ","")&amp;IF($F275="","Sin fecha límite"&amp;" · ","")&amp;IF(OR(AND($E275&lt;&gt;"",NOT(ISNUMBER($E275))),AND($F275&lt;&gt;"",NOT(ISNUMBER($F275)))),"Fecha no válida"&amp;" · ","")&amp;IF(AND(ISNUMBER($E275),ISNUMBER($F275),$E275&gt;$F275),"Inicio posterior a fecha límite"&amp;" · ","")&amp;IF(AND($S275="Macro",$G275=""),"Peso vacío"&amp;" · ","")&amp;IF(AND($S275="Macro",$G275&lt;&gt;"",OR(NOT(ISNUMBER($G275)),$G275&lt;=0,$G275&gt;1)),"Peso fuera de rango"&amp;" · ","")&amp;IF(AND($S275="Sub",$G275&lt;&gt;""),"Las subactividades no llevan peso"&amp;" · ","")&amp;IF(AND($S275="Macro",ABS(SUMIFS($G$5:$G$1000,$P$5:$P$1000,$P275,$S$5:$S$1000,"Macro")-1)&gt;0.0001),"Pesos del mes suman "&amp;TEXT(SUMIFS($G$5:$G$1000,$P$5:$P$1000,$P275,$S$5:$S$1000,"Macro"),"0%")&amp;" · ","")&amp;IF(AND(N($T275)&gt;0,COUNT($H275:$K275)&gt;0),"Con subactividades: deje vacías las semanas (se calculan solas)"&amp;" · ","")&amp;IF((COUNTIF($H275:$K275,"&gt;1")+COUNTIF($H275:$K275,"&lt;0")+COUNTA($H275:$K275)-COUNT($H275:$K275))&gt;0,"Avance fuera de rango 0-100%"&amp;" · ","")&amp;IF(OR(AND($I275&lt;&gt;"",$I275&lt;$H275),AND($J275&lt;&gt;"",$J275&lt;MAX($H275:$I275)),AND($K275&lt;&gt;"",$K275&lt;MAX($H275:$J275))),"Avance semanal decreciente"&amp;" · ","")&amp;IF(AND(ISNUMBER($F275),$F275&lt;FechaRef,N($L275)&lt;1),"Vencida"&amp;" · ","")&amp;IF(AND(ObsObligatoria="Sí",ISNUMBER($F275),$F275&lt;FechaRef,N($L275)&lt;1,$N275=""),"Vencida sin observación"&amp;" · ",""),LEN(IF(AND($S275="Macro",$B275=""),"Macroactividad vacía"&amp;" · ","")&amp;IF(AND($B275&lt;&gt;"",$C275&lt;&gt;""),"Escriba la subactividad en otra fila, debajo de su macroactividad"&amp;" · ","")&amp;IF(AND($S275="Sub",N($R275)=0),"Subactividad sin macroactividad arriba"&amp;" · ","")&amp;IF($D275="","Sin responsable"&amp;" · ","")&amp;IF($E275="","Sin fecha de inicio"&amp;" · ","")&amp;IF($F275="","Sin fecha límite"&amp;" · ","")&amp;IF(OR(AND($E275&lt;&gt;"",NOT(ISNUMBER($E275))),AND($F275&lt;&gt;"",NOT(ISNUMBER($F275)))),"Fecha no válida"&amp;" · ","")&amp;IF(AND(ISNUMBER($E275),ISNUMBER($F275),$E275&gt;$F275),"Inicio posterior a fecha límite"&amp;" · ","")&amp;IF(AND($S275="Macro",$G275=""),"Peso vacío"&amp;" · ","")&amp;IF(AND($S275="Macro",$G275&lt;&gt;"",OR(NOT(ISNUMBER($G275)),$G275&lt;=0,$G275&gt;1)),"Peso fuera de rango"&amp;" · ","")&amp;IF(AND($S275="Sub",$G275&lt;&gt;""),"Las subactividades no llevan peso"&amp;" · ","")&amp;IF(AND($S275="Macro",ABS(SUMIFS($G$5:$G$1000,$P$5:$P$1000,$P275,$S$5:$S$1000,"Macro")-1)&gt;0.0001),"Pesos del mes suman "&amp;TEXT(SUMIFS($G$5:$G$1000,$P$5:$P$1000,$P275,$S$5:$S$1000,"Macro"),"0%")&amp;" · ","")&amp;IF(AND(N($T275)&gt;0,COUNT($H275:$K275)&gt;0),"Con subactividades: deje vacías las semanas (se calculan solas)"&amp;" · ","")&amp;IF((COUNTIF($H275:$K275,"&gt;1")+COUNTIF($H275:$K275,"&lt;0")+COUNTA($H275:$K275)-COUNT($H275:$K275))&gt;0,"Avance fuera de rango 0-100%"&amp;" · ","")&amp;IF(OR(AND($I275&lt;&gt;"",$I275&lt;$H275),AND($J275&lt;&gt;"",$J275&lt;MAX($H275:$I275)),AND($K275&lt;&gt;"",$K275&lt;MAX($H275:$J275))),"Avance semanal decreciente"&amp;" · ","")&amp;IF(AND(ISNUMBER($F275),$F275&lt;FechaRef,N($L275)&lt;1),"Vencida"&amp;" · ","")&amp;IF(AND(ObsObligatoria="Sí",ISNUMBER($F275),$F275&lt;FechaRef,N($L275)&lt;1,$N275=""),"Vencida sin observación"&amp;" · ",""))-3)))</f>
        <v/>
      </c>
      <c r="P275" s="69">
        <f>IF(NOT((COUNTA($B275:$K275)+COUNTA($N275))&gt;0),"",IF(AND($S275="Sub",N($R275)&gt;0),IF(ISNUMBER(INDEX($E$5:$E$1000,$R275-4)),DATE(YEAR(INDEX($E$5:$E$1000,$R275-4)),MONTH(INDEX($E$5:$E$1000,$R275-4)),1),IF(ISNUMBER(INDEX($F$5:$F$1000,$R275-4)),DATE(YEAR(INDEX($F$5:$F$1000,$R275-4)),MONTH(INDEX($F$5:$F$1000,$R275-4)),1),MesCiclo)),IF(ISNUMBER($E275),DATE(YEAR($E275),MONTH($E275),1),IF(ISNUMBER($F275),DATE(YEAR($F275),MONTH($F275),1),MesCiclo))))</f>
        <v/>
      </c>
      <c r="Q275" s="70">
        <f>IF(OR($P275="",$P275&lt;&gt;MesCiclo),"",COUNTIF($P$5:$P275,MesCiclo))</f>
        <v/>
      </c>
      <c r="R275" s="70">
        <f>IF($S275="","",IF($S275="Macro",ROW(),IFERROR(LOOKUP(2,1/($S$5:$S275="Macro"),ROW($S$5:$S275)),0)))</f>
        <v/>
      </c>
      <c r="S275" s="70">
        <f>IF(NOT((COUNTA($B275:$K275)+COUNTA($N275))&gt;0),"",IF($B275&lt;&gt;"","Macro",IF($C275&lt;&gt;"","Sub","Macro")))</f>
        <v/>
      </c>
      <c r="T275" s="70">
        <f>IF($S275="Macro",COUNTIFS($R$5:$R$1000,ROW(),$S$5:$S$1000,"Sub"),"")</f>
        <v/>
      </c>
      <c r="U275" s="70">
        <f>IF($S275="","",IF(ISNUMBER($H275),$H275,0))</f>
        <v/>
      </c>
      <c r="V275" s="70">
        <f>IF($S275="","",IF(ISNUMBER($I275),$I275,$U275))</f>
        <v/>
      </c>
      <c r="W275" s="70">
        <f>IF($S275="","",IF(ISNUMBER($J275),$J275,$V275))</f>
        <v/>
      </c>
      <c r="X275" s="70">
        <f>IF($S275="","",IF(ISNUMBER($K275),$K275,$W275))</f>
        <v/>
      </c>
      <c r="Y275" s="70">
        <f>IF($S275="","",IF(N($T275)&gt;0,AVERAGEIFS($U$5:$U$1000,$R$5:$R$1000,ROW(),$S$5:$S$1000,"Sub"),$U275))</f>
        <v/>
      </c>
      <c r="Z275" s="70">
        <f>IF($S275="","",IF(N($T275)&gt;0,AVERAGEIFS($V$5:$V$1000,$R$5:$R$1000,ROW(),$S$5:$S$1000,"Sub"),$V275))</f>
        <v/>
      </c>
      <c r="AA275" s="70">
        <f>IF($S275="","",IF(N($T275)&gt;0,AVERAGEIFS($W$5:$W$1000,$R$5:$R$1000,ROW(),$S$5:$S$1000,"Sub"),$W275))</f>
        <v/>
      </c>
      <c r="AB275" s="70">
        <f>IF($S275="","",IF(N($T275)&gt;0,AVERAGEIFS($X$5:$X$1000,$R$5:$R$1000,ROW(),$S$5:$S$1000,"Sub"),$X275))</f>
        <v/>
      </c>
    </row>
    <row r="276">
      <c r="A276" s="61">
        <f>IF(NOT((COUNTA($B276:$K276)+COUNTA($N276))&gt;0),"",IF($S276="Macro",COUNTIFS($S$5:$S276,"Macro",$P$5:$P276,$P276),IF(N($R276)=0,"?",COUNTIFS(INDEX($S$5:$S$1000,1):INDEX($S$5:$S$1000,$R276-4),"Macro",INDEX($P$5:$P$1000,1):INDEX($P$5:$P$1000,$R276-4),INDEX($P$5:$P$1000,$R276-4))&amp;"."&amp;COUNTIFS($R$5:$R276,$R276,$S$5:$S276,"Sub"))))</f>
        <v/>
      </c>
      <c r="B276" s="62" t="n"/>
      <c r="C276" s="63" t="n"/>
      <c r="D276" s="62" t="n"/>
      <c r="E276" s="64" t="n"/>
      <c r="F276" s="64" t="n"/>
      <c r="G276" s="65" t="n"/>
      <c r="H276" s="66" t="n"/>
      <c r="I276" s="66" t="n"/>
      <c r="J276" s="66" t="n"/>
      <c r="K276" s="66" t="n"/>
      <c r="L276" s="67">
        <f>IF(NOT((COUNTA($B276:$K276)+COUNTA($N276))&gt;0),"",IF(N($T276)&gt;0,$AB276,IFERROR(LOOKUP(2,1/(H276:K276&lt;&gt;""),H276:K276),0)))</f>
        <v/>
      </c>
      <c r="M276" s="61">
        <f>IF(L276="","",IF(L276&gt;=1,"Completado",IF(L276&gt;0,"En curso","Pendiente")))</f>
        <v/>
      </c>
      <c r="N276" s="62" t="n"/>
      <c r="O276" s="68">
        <f>IF(NOT((COUNTA($B276:$K276)+COUNTA($N276))&gt;0),"",IF((IF(AND($S276="Macro",$B276=""),"Macroactividad vacía"&amp;" · ","")&amp;IF(AND($B276&lt;&gt;"",$C276&lt;&gt;""),"Escriba la subactividad en otra fila, debajo de su macroactividad"&amp;" · ","")&amp;IF(AND($S276="Sub",N($R276)=0),"Subactividad sin macroactividad arriba"&amp;" · ","")&amp;IF($D276="","Sin responsable"&amp;" · ","")&amp;IF($E276="","Sin fecha de inicio"&amp;" · ","")&amp;IF($F276="","Sin fecha límite"&amp;" · ","")&amp;IF(OR(AND($E276&lt;&gt;"",NOT(ISNUMBER($E276))),AND($F276&lt;&gt;"",NOT(ISNUMBER($F276)))),"Fecha no válida"&amp;" · ","")&amp;IF(AND(ISNUMBER($E276),ISNUMBER($F276),$E276&gt;$F276),"Inicio posterior a fecha límite"&amp;" · ","")&amp;IF(AND($S276="Macro",$G276=""),"Peso vacío"&amp;" · ","")&amp;IF(AND($S276="Macro",$G276&lt;&gt;"",OR(NOT(ISNUMBER($G276)),$G276&lt;=0,$G276&gt;1)),"Peso fuera de rango"&amp;" · ","")&amp;IF(AND($S276="Sub",$G276&lt;&gt;""),"Las subactividades no llevan peso"&amp;" · ","")&amp;IF(AND($S276="Macro",ABS(SUMIFS($G$5:$G$1000,$P$5:$P$1000,$P276,$S$5:$S$1000,"Macro")-1)&gt;0.0001),"Pesos del mes suman "&amp;TEXT(SUMIFS($G$5:$G$1000,$P$5:$P$1000,$P276,$S$5:$S$1000,"Macro"),"0%")&amp;" · ","")&amp;IF(AND(N($T276)&gt;0,COUNT($H276:$K276)&gt;0),"Con subactividades: deje vacías las semanas (se calculan solas)"&amp;" · ","")&amp;IF((COUNTIF($H276:$K276,"&gt;1")+COUNTIF($H276:$K276,"&lt;0")+COUNTA($H276:$K276)-COUNT($H276:$K276))&gt;0,"Avance fuera de rango 0-100%"&amp;" · ","")&amp;IF(OR(AND($I276&lt;&gt;"",$I276&lt;$H276),AND($J276&lt;&gt;"",$J276&lt;MAX($H276:$I276)),AND($K276&lt;&gt;"",$K276&lt;MAX($H276:$J276))),"Avance semanal decreciente"&amp;" · ","")&amp;IF(AND(ISNUMBER($F276),$F276&lt;FechaRef,N($L276)&lt;1),"Vencida"&amp;" · ","")&amp;IF(AND(ObsObligatoria="Sí",ISNUMBER($F276),$F276&lt;FechaRef,N($L276)&lt;1,$N276=""),"Vencida sin observación"&amp;" · ",""))="","✔ OK","⚠ "&amp;LEFT(IF(AND($S276="Macro",$B276=""),"Macroactividad vacía"&amp;" · ","")&amp;IF(AND($B276&lt;&gt;"",$C276&lt;&gt;""),"Escriba la subactividad en otra fila, debajo de su macroactividad"&amp;" · ","")&amp;IF(AND($S276="Sub",N($R276)=0),"Subactividad sin macroactividad arriba"&amp;" · ","")&amp;IF($D276="","Sin responsable"&amp;" · ","")&amp;IF($E276="","Sin fecha de inicio"&amp;" · ","")&amp;IF($F276="","Sin fecha límite"&amp;" · ","")&amp;IF(OR(AND($E276&lt;&gt;"",NOT(ISNUMBER($E276))),AND($F276&lt;&gt;"",NOT(ISNUMBER($F276)))),"Fecha no válida"&amp;" · ","")&amp;IF(AND(ISNUMBER($E276),ISNUMBER($F276),$E276&gt;$F276),"Inicio posterior a fecha límite"&amp;" · ","")&amp;IF(AND($S276="Macro",$G276=""),"Peso vacío"&amp;" · ","")&amp;IF(AND($S276="Macro",$G276&lt;&gt;"",OR(NOT(ISNUMBER($G276)),$G276&lt;=0,$G276&gt;1)),"Peso fuera de rango"&amp;" · ","")&amp;IF(AND($S276="Sub",$G276&lt;&gt;""),"Las subactividades no llevan peso"&amp;" · ","")&amp;IF(AND($S276="Macro",ABS(SUMIFS($G$5:$G$1000,$P$5:$P$1000,$P276,$S$5:$S$1000,"Macro")-1)&gt;0.0001),"Pesos del mes suman "&amp;TEXT(SUMIFS($G$5:$G$1000,$P$5:$P$1000,$P276,$S$5:$S$1000,"Macro"),"0%")&amp;" · ","")&amp;IF(AND(N($T276)&gt;0,COUNT($H276:$K276)&gt;0),"Con subactividades: deje vacías las semanas (se calculan solas)"&amp;" · ","")&amp;IF((COUNTIF($H276:$K276,"&gt;1")+COUNTIF($H276:$K276,"&lt;0")+COUNTA($H276:$K276)-COUNT($H276:$K276))&gt;0,"Avance fuera de rango 0-100%"&amp;" · ","")&amp;IF(OR(AND($I276&lt;&gt;"",$I276&lt;$H276),AND($J276&lt;&gt;"",$J276&lt;MAX($H276:$I276)),AND($K276&lt;&gt;"",$K276&lt;MAX($H276:$J276))),"Avance semanal decreciente"&amp;" · ","")&amp;IF(AND(ISNUMBER($F276),$F276&lt;FechaRef,N($L276)&lt;1),"Vencida"&amp;" · ","")&amp;IF(AND(ObsObligatoria="Sí",ISNUMBER($F276),$F276&lt;FechaRef,N($L276)&lt;1,$N276=""),"Vencida sin observación"&amp;" · ",""),LEN(IF(AND($S276="Macro",$B276=""),"Macroactividad vacía"&amp;" · ","")&amp;IF(AND($B276&lt;&gt;"",$C276&lt;&gt;""),"Escriba la subactividad en otra fila, debajo de su macroactividad"&amp;" · ","")&amp;IF(AND($S276="Sub",N($R276)=0),"Subactividad sin macroactividad arriba"&amp;" · ","")&amp;IF($D276="","Sin responsable"&amp;" · ","")&amp;IF($E276="","Sin fecha de inicio"&amp;" · ","")&amp;IF($F276="","Sin fecha límite"&amp;" · ","")&amp;IF(OR(AND($E276&lt;&gt;"",NOT(ISNUMBER($E276))),AND($F276&lt;&gt;"",NOT(ISNUMBER($F276)))),"Fecha no válida"&amp;" · ","")&amp;IF(AND(ISNUMBER($E276),ISNUMBER($F276),$E276&gt;$F276),"Inicio posterior a fecha límite"&amp;" · ","")&amp;IF(AND($S276="Macro",$G276=""),"Peso vacío"&amp;" · ","")&amp;IF(AND($S276="Macro",$G276&lt;&gt;"",OR(NOT(ISNUMBER($G276)),$G276&lt;=0,$G276&gt;1)),"Peso fuera de rango"&amp;" · ","")&amp;IF(AND($S276="Sub",$G276&lt;&gt;""),"Las subactividades no llevan peso"&amp;" · ","")&amp;IF(AND($S276="Macro",ABS(SUMIFS($G$5:$G$1000,$P$5:$P$1000,$P276,$S$5:$S$1000,"Macro")-1)&gt;0.0001),"Pesos del mes suman "&amp;TEXT(SUMIFS($G$5:$G$1000,$P$5:$P$1000,$P276,$S$5:$S$1000,"Macro"),"0%")&amp;" · ","")&amp;IF(AND(N($T276)&gt;0,COUNT($H276:$K276)&gt;0),"Con subactividades: deje vacías las semanas (se calculan solas)"&amp;" · ","")&amp;IF((COUNTIF($H276:$K276,"&gt;1")+COUNTIF($H276:$K276,"&lt;0")+COUNTA($H276:$K276)-COUNT($H276:$K276))&gt;0,"Avance fuera de rango 0-100%"&amp;" · ","")&amp;IF(OR(AND($I276&lt;&gt;"",$I276&lt;$H276),AND($J276&lt;&gt;"",$J276&lt;MAX($H276:$I276)),AND($K276&lt;&gt;"",$K276&lt;MAX($H276:$J276))),"Avance semanal decreciente"&amp;" · ","")&amp;IF(AND(ISNUMBER($F276),$F276&lt;FechaRef,N($L276)&lt;1),"Vencida"&amp;" · ","")&amp;IF(AND(ObsObligatoria="Sí",ISNUMBER($F276),$F276&lt;FechaRef,N($L276)&lt;1,$N276=""),"Vencida sin observación"&amp;" · ",""))-3)))</f>
        <v/>
      </c>
      <c r="P276" s="69">
        <f>IF(NOT((COUNTA($B276:$K276)+COUNTA($N276))&gt;0),"",IF(AND($S276="Sub",N($R276)&gt;0),IF(ISNUMBER(INDEX($E$5:$E$1000,$R276-4)),DATE(YEAR(INDEX($E$5:$E$1000,$R276-4)),MONTH(INDEX($E$5:$E$1000,$R276-4)),1),IF(ISNUMBER(INDEX($F$5:$F$1000,$R276-4)),DATE(YEAR(INDEX($F$5:$F$1000,$R276-4)),MONTH(INDEX($F$5:$F$1000,$R276-4)),1),MesCiclo)),IF(ISNUMBER($E276),DATE(YEAR($E276),MONTH($E276),1),IF(ISNUMBER($F276),DATE(YEAR($F276),MONTH($F276),1),MesCiclo))))</f>
        <v/>
      </c>
      <c r="Q276" s="70">
        <f>IF(OR($P276="",$P276&lt;&gt;MesCiclo),"",COUNTIF($P$5:$P276,MesCiclo))</f>
        <v/>
      </c>
      <c r="R276" s="70">
        <f>IF($S276="","",IF($S276="Macro",ROW(),IFERROR(LOOKUP(2,1/($S$5:$S276="Macro"),ROW($S$5:$S276)),0)))</f>
        <v/>
      </c>
      <c r="S276" s="70">
        <f>IF(NOT((COUNTA($B276:$K276)+COUNTA($N276))&gt;0),"",IF($B276&lt;&gt;"","Macro",IF($C276&lt;&gt;"","Sub","Macro")))</f>
        <v/>
      </c>
      <c r="T276" s="70">
        <f>IF($S276="Macro",COUNTIFS($R$5:$R$1000,ROW(),$S$5:$S$1000,"Sub"),"")</f>
        <v/>
      </c>
      <c r="U276" s="70">
        <f>IF($S276="","",IF(ISNUMBER($H276),$H276,0))</f>
        <v/>
      </c>
      <c r="V276" s="70">
        <f>IF($S276="","",IF(ISNUMBER($I276),$I276,$U276))</f>
        <v/>
      </c>
      <c r="W276" s="70">
        <f>IF($S276="","",IF(ISNUMBER($J276),$J276,$V276))</f>
        <v/>
      </c>
      <c r="X276" s="70">
        <f>IF($S276="","",IF(ISNUMBER($K276),$K276,$W276))</f>
        <v/>
      </c>
      <c r="Y276" s="70">
        <f>IF($S276="","",IF(N($T276)&gt;0,AVERAGEIFS($U$5:$U$1000,$R$5:$R$1000,ROW(),$S$5:$S$1000,"Sub"),$U276))</f>
        <v/>
      </c>
      <c r="Z276" s="70">
        <f>IF($S276="","",IF(N($T276)&gt;0,AVERAGEIFS($V$5:$V$1000,$R$5:$R$1000,ROW(),$S$5:$S$1000,"Sub"),$V276))</f>
        <v/>
      </c>
      <c r="AA276" s="70">
        <f>IF($S276="","",IF(N($T276)&gt;0,AVERAGEIFS($W$5:$W$1000,$R$5:$R$1000,ROW(),$S$5:$S$1000,"Sub"),$W276))</f>
        <v/>
      </c>
      <c r="AB276" s="70">
        <f>IF($S276="","",IF(N($T276)&gt;0,AVERAGEIFS($X$5:$X$1000,$R$5:$R$1000,ROW(),$S$5:$S$1000,"Sub"),$X276))</f>
        <v/>
      </c>
    </row>
    <row r="277">
      <c r="A277" s="61">
        <f>IF(NOT((COUNTA($B277:$K277)+COUNTA($N277))&gt;0),"",IF($S277="Macro",COUNTIFS($S$5:$S277,"Macro",$P$5:$P277,$P277),IF(N($R277)=0,"?",COUNTIFS(INDEX($S$5:$S$1000,1):INDEX($S$5:$S$1000,$R277-4),"Macro",INDEX($P$5:$P$1000,1):INDEX($P$5:$P$1000,$R277-4),INDEX($P$5:$P$1000,$R277-4))&amp;"."&amp;COUNTIFS($R$5:$R277,$R277,$S$5:$S277,"Sub"))))</f>
        <v/>
      </c>
      <c r="B277" s="62" t="n"/>
      <c r="C277" s="63" t="n"/>
      <c r="D277" s="62" t="n"/>
      <c r="E277" s="64" t="n"/>
      <c r="F277" s="64" t="n"/>
      <c r="G277" s="65" t="n"/>
      <c r="H277" s="66" t="n"/>
      <c r="I277" s="66" t="n"/>
      <c r="J277" s="66" t="n"/>
      <c r="K277" s="66" t="n"/>
      <c r="L277" s="67">
        <f>IF(NOT((COUNTA($B277:$K277)+COUNTA($N277))&gt;0),"",IF(N($T277)&gt;0,$AB277,IFERROR(LOOKUP(2,1/(H277:K277&lt;&gt;""),H277:K277),0)))</f>
        <v/>
      </c>
      <c r="M277" s="61">
        <f>IF(L277="","",IF(L277&gt;=1,"Completado",IF(L277&gt;0,"En curso","Pendiente")))</f>
        <v/>
      </c>
      <c r="N277" s="62" t="n"/>
      <c r="O277" s="68">
        <f>IF(NOT((COUNTA($B277:$K277)+COUNTA($N277))&gt;0),"",IF((IF(AND($S277="Macro",$B277=""),"Macroactividad vacía"&amp;" · ","")&amp;IF(AND($B277&lt;&gt;"",$C277&lt;&gt;""),"Escriba la subactividad en otra fila, debajo de su macroactividad"&amp;" · ","")&amp;IF(AND($S277="Sub",N($R277)=0),"Subactividad sin macroactividad arriba"&amp;" · ","")&amp;IF($D277="","Sin responsable"&amp;" · ","")&amp;IF($E277="","Sin fecha de inicio"&amp;" · ","")&amp;IF($F277="","Sin fecha límite"&amp;" · ","")&amp;IF(OR(AND($E277&lt;&gt;"",NOT(ISNUMBER($E277))),AND($F277&lt;&gt;"",NOT(ISNUMBER($F277)))),"Fecha no válida"&amp;" · ","")&amp;IF(AND(ISNUMBER($E277),ISNUMBER($F277),$E277&gt;$F277),"Inicio posterior a fecha límite"&amp;" · ","")&amp;IF(AND($S277="Macro",$G277=""),"Peso vacío"&amp;" · ","")&amp;IF(AND($S277="Macro",$G277&lt;&gt;"",OR(NOT(ISNUMBER($G277)),$G277&lt;=0,$G277&gt;1)),"Peso fuera de rango"&amp;" · ","")&amp;IF(AND($S277="Sub",$G277&lt;&gt;""),"Las subactividades no llevan peso"&amp;" · ","")&amp;IF(AND($S277="Macro",ABS(SUMIFS($G$5:$G$1000,$P$5:$P$1000,$P277,$S$5:$S$1000,"Macro")-1)&gt;0.0001),"Pesos del mes suman "&amp;TEXT(SUMIFS($G$5:$G$1000,$P$5:$P$1000,$P277,$S$5:$S$1000,"Macro"),"0%")&amp;" · ","")&amp;IF(AND(N($T277)&gt;0,COUNT($H277:$K277)&gt;0),"Con subactividades: deje vacías las semanas (se calculan solas)"&amp;" · ","")&amp;IF((COUNTIF($H277:$K277,"&gt;1")+COUNTIF($H277:$K277,"&lt;0")+COUNTA($H277:$K277)-COUNT($H277:$K277))&gt;0,"Avance fuera de rango 0-100%"&amp;" · ","")&amp;IF(OR(AND($I277&lt;&gt;"",$I277&lt;$H277),AND($J277&lt;&gt;"",$J277&lt;MAX($H277:$I277)),AND($K277&lt;&gt;"",$K277&lt;MAX($H277:$J277))),"Avance semanal decreciente"&amp;" · ","")&amp;IF(AND(ISNUMBER($F277),$F277&lt;FechaRef,N($L277)&lt;1),"Vencida"&amp;" · ","")&amp;IF(AND(ObsObligatoria="Sí",ISNUMBER($F277),$F277&lt;FechaRef,N($L277)&lt;1,$N277=""),"Vencida sin observación"&amp;" · ",""))="","✔ OK","⚠ "&amp;LEFT(IF(AND($S277="Macro",$B277=""),"Macroactividad vacía"&amp;" · ","")&amp;IF(AND($B277&lt;&gt;"",$C277&lt;&gt;""),"Escriba la subactividad en otra fila, debajo de su macroactividad"&amp;" · ","")&amp;IF(AND($S277="Sub",N($R277)=0),"Subactividad sin macroactividad arriba"&amp;" · ","")&amp;IF($D277="","Sin responsable"&amp;" · ","")&amp;IF($E277="","Sin fecha de inicio"&amp;" · ","")&amp;IF($F277="","Sin fecha límite"&amp;" · ","")&amp;IF(OR(AND($E277&lt;&gt;"",NOT(ISNUMBER($E277))),AND($F277&lt;&gt;"",NOT(ISNUMBER($F277)))),"Fecha no válida"&amp;" · ","")&amp;IF(AND(ISNUMBER($E277),ISNUMBER($F277),$E277&gt;$F277),"Inicio posterior a fecha límite"&amp;" · ","")&amp;IF(AND($S277="Macro",$G277=""),"Peso vacío"&amp;" · ","")&amp;IF(AND($S277="Macro",$G277&lt;&gt;"",OR(NOT(ISNUMBER($G277)),$G277&lt;=0,$G277&gt;1)),"Peso fuera de rango"&amp;" · ","")&amp;IF(AND($S277="Sub",$G277&lt;&gt;""),"Las subactividades no llevan peso"&amp;" · ","")&amp;IF(AND($S277="Macro",ABS(SUMIFS($G$5:$G$1000,$P$5:$P$1000,$P277,$S$5:$S$1000,"Macro")-1)&gt;0.0001),"Pesos del mes suman "&amp;TEXT(SUMIFS($G$5:$G$1000,$P$5:$P$1000,$P277,$S$5:$S$1000,"Macro"),"0%")&amp;" · ","")&amp;IF(AND(N($T277)&gt;0,COUNT($H277:$K277)&gt;0),"Con subactividades: deje vacías las semanas (se calculan solas)"&amp;" · ","")&amp;IF((COUNTIF($H277:$K277,"&gt;1")+COUNTIF($H277:$K277,"&lt;0")+COUNTA($H277:$K277)-COUNT($H277:$K277))&gt;0,"Avance fuera de rango 0-100%"&amp;" · ","")&amp;IF(OR(AND($I277&lt;&gt;"",$I277&lt;$H277),AND($J277&lt;&gt;"",$J277&lt;MAX($H277:$I277)),AND($K277&lt;&gt;"",$K277&lt;MAX($H277:$J277))),"Avance semanal decreciente"&amp;" · ","")&amp;IF(AND(ISNUMBER($F277),$F277&lt;FechaRef,N($L277)&lt;1),"Vencida"&amp;" · ","")&amp;IF(AND(ObsObligatoria="Sí",ISNUMBER($F277),$F277&lt;FechaRef,N($L277)&lt;1,$N277=""),"Vencida sin observación"&amp;" · ",""),LEN(IF(AND($S277="Macro",$B277=""),"Macroactividad vacía"&amp;" · ","")&amp;IF(AND($B277&lt;&gt;"",$C277&lt;&gt;""),"Escriba la subactividad en otra fila, debajo de su macroactividad"&amp;" · ","")&amp;IF(AND($S277="Sub",N($R277)=0),"Subactividad sin macroactividad arriba"&amp;" · ","")&amp;IF($D277="","Sin responsable"&amp;" · ","")&amp;IF($E277="","Sin fecha de inicio"&amp;" · ","")&amp;IF($F277="","Sin fecha límite"&amp;" · ","")&amp;IF(OR(AND($E277&lt;&gt;"",NOT(ISNUMBER($E277))),AND($F277&lt;&gt;"",NOT(ISNUMBER($F277)))),"Fecha no válida"&amp;" · ","")&amp;IF(AND(ISNUMBER($E277),ISNUMBER($F277),$E277&gt;$F277),"Inicio posterior a fecha límite"&amp;" · ","")&amp;IF(AND($S277="Macro",$G277=""),"Peso vacío"&amp;" · ","")&amp;IF(AND($S277="Macro",$G277&lt;&gt;"",OR(NOT(ISNUMBER($G277)),$G277&lt;=0,$G277&gt;1)),"Peso fuera de rango"&amp;" · ","")&amp;IF(AND($S277="Sub",$G277&lt;&gt;""),"Las subactividades no llevan peso"&amp;" · ","")&amp;IF(AND($S277="Macro",ABS(SUMIFS($G$5:$G$1000,$P$5:$P$1000,$P277,$S$5:$S$1000,"Macro")-1)&gt;0.0001),"Pesos del mes suman "&amp;TEXT(SUMIFS($G$5:$G$1000,$P$5:$P$1000,$P277,$S$5:$S$1000,"Macro"),"0%")&amp;" · ","")&amp;IF(AND(N($T277)&gt;0,COUNT($H277:$K277)&gt;0),"Con subactividades: deje vacías las semanas (se calculan solas)"&amp;" · ","")&amp;IF((COUNTIF($H277:$K277,"&gt;1")+COUNTIF($H277:$K277,"&lt;0")+COUNTA($H277:$K277)-COUNT($H277:$K277))&gt;0,"Avance fuera de rango 0-100%"&amp;" · ","")&amp;IF(OR(AND($I277&lt;&gt;"",$I277&lt;$H277),AND($J277&lt;&gt;"",$J277&lt;MAX($H277:$I277)),AND($K277&lt;&gt;"",$K277&lt;MAX($H277:$J277))),"Avance semanal decreciente"&amp;" · ","")&amp;IF(AND(ISNUMBER($F277),$F277&lt;FechaRef,N($L277)&lt;1),"Vencida"&amp;" · ","")&amp;IF(AND(ObsObligatoria="Sí",ISNUMBER($F277),$F277&lt;FechaRef,N($L277)&lt;1,$N277=""),"Vencida sin observación"&amp;" · ",""))-3)))</f>
        <v/>
      </c>
      <c r="P277" s="69">
        <f>IF(NOT((COUNTA($B277:$K277)+COUNTA($N277))&gt;0),"",IF(AND($S277="Sub",N($R277)&gt;0),IF(ISNUMBER(INDEX($E$5:$E$1000,$R277-4)),DATE(YEAR(INDEX($E$5:$E$1000,$R277-4)),MONTH(INDEX($E$5:$E$1000,$R277-4)),1),IF(ISNUMBER(INDEX($F$5:$F$1000,$R277-4)),DATE(YEAR(INDEX($F$5:$F$1000,$R277-4)),MONTH(INDEX($F$5:$F$1000,$R277-4)),1),MesCiclo)),IF(ISNUMBER($E277),DATE(YEAR($E277),MONTH($E277),1),IF(ISNUMBER($F277),DATE(YEAR($F277),MONTH($F277),1),MesCiclo))))</f>
        <v/>
      </c>
      <c r="Q277" s="70">
        <f>IF(OR($P277="",$P277&lt;&gt;MesCiclo),"",COUNTIF($P$5:$P277,MesCiclo))</f>
        <v/>
      </c>
      <c r="R277" s="70">
        <f>IF($S277="","",IF($S277="Macro",ROW(),IFERROR(LOOKUP(2,1/($S$5:$S277="Macro"),ROW($S$5:$S277)),0)))</f>
        <v/>
      </c>
      <c r="S277" s="70">
        <f>IF(NOT((COUNTA($B277:$K277)+COUNTA($N277))&gt;0),"",IF($B277&lt;&gt;"","Macro",IF($C277&lt;&gt;"","Sub","Macro")))</f>
        <v/>
      </c>
      <c r="T277" s="70">
        <f>IF($S277="Macro",COUNTIFS($R$5:$R$1000,ROW(),$S$5:$S$1000,"Sub"),"")</f>
        <v/>
      </c>
      <c r="U277" s="70">
        <f>IF($S277="","",IF(ISNUMBER($H277),$H277,0))</f>
        <v/>
      </c>
      <c r="V277" s="70">
        <f>IF($S277="","",IF(ISNUMBER($I277),$I277,$U277))</f>
        <v/>
      </c>
      <c r="W277" s="70">
        <f>IF($S277="","",IF(ISNUMBER($J277),$J277,$V277))</f>
        <v/>
      </c>
      <c r="X277" s="70">
        <f>IF($S277="","",IF(ISNUMBER($K277),$K277,$W277))</f>
        <v/>
      </c>
      <c r="Y277" s="70">
        <f>IF($S277="","",IF(N($T277)&gt;0,AVERAGEIFS($U$5:$U$1000,$R$5:$R$1000,ROW(),$S$5:$S$1000,"Sub"),$U277))</f>
        <v/>
      </c>
      <c r="Z277" s="70">
        <f>IF($S277="","",IF(N($T277)&gt;0,AVERAGEIFS($V$5:$V$1000,$R$5:$R$1000,ROW(),$S$5:$S$1000,"Sub"),$V277))</f>
        <v/>
      </c>
      <c r="AA277" s="70">
        <f>IF($S277="","",IF(N($T277)&gt;0,AVERAGEIFS($W$5:$W$1000,$R$5:$R$1000,ROW(),$S$5:$S$1000,"Sub"),$W277))</f>
        <v/>
      </c>
      <c r="AB277" s="70">
        <f>IF($S277="","",IF(N($T277)&gt;0,AVERAGEIFS($X$5:$X$1000,$R$5:$R$1000,ROW(),$S$5:$S$1000,"Sub"),$X277))</f>
        <v/>
      </c>
    </row>
    <row r="278">
      <c r="A278" s="61">
        <f>IF(NOT((COUNTA($B278:$K278)+COUNTA($N278))&gt;0),"",IF($S278="Macro",COUNTIFS($S$5:$S278,"Macro",$P$5:$P278,$P278),IF(N($R278)=0,"?",COUNTIFS(INDEX($S$5:$S$1000,1):INDEX($S$5:$S$1000,$R278-4),"Macro",INDEX($P$5:$P$1000,1):INDEX($P$5:$P$1000,$R278-4),INDEX($P$5:$P$1000,$R278-4))&amp;"."&amp;COUNTIFS($R$5:$R278,$R278,$S$5:$S278,"Sub"))))</f>
        <v/>
      </c>
      <c r="B278" s="62" t="n"/>
      <c r="C278" s="63" t="n"/>
      <c r="D278" s="62" t="n"/>
      <c r="E278" s="64" t="n"/>
      <c r="F278" s="64" t="n"/>
      <c r="G278" s="65" t="n"/>
      <c r="H278" s="66" t="n"/>
      <c r="I278" s="66" t="n"/>
      <c r="J278" s="66" t="n"/>
      <c r="K278" s="66" t="n"/>
      <c r="L278" s="67">
        <f>IF(NOT((COUNTA($B278:$K278)+COUNTA($N278))&gt;0),"",IF(N($T278)&gt;0,$AB278,IFERROR(LOOKUP(2,1/(H278:K278&lt;&gt;""),H278:K278),0)))</f>
        <v/>
      </c>
      <c r="M278" s="61">
        <f>IF(L278="","",IF(L278&gt;=1,"Completado",IF(L278&gt;0,"En curso","Pendiente")))</f>
        <v/>
      </c>
      <c r="N278" s="62" t="n"/>
      <c r="O278" s="68">
        <f>IF(NOT((COUNTA($B278:$K278)+COUNTA($N278))&gt;0),"",IF((IF(AND($S278="Macro",$B278=""),"Macroactividad vacía"&amp;" · ","")&amp;IF(AND($B278&lt;&gt;"",$C278&lt;&gt;""),"Escriba la subactividad en otra fila, debajo de su macroactividad"&amp;" · ","")&amp;IF(AND($S278="Sub",N($R278)=0),"Subactividad sin macroactividad arriba"&amp;" · ","")&amp;IF($D278="","Sin responsable"&amp;" · ","")&amp;IF($E278="","Sin fecha de inicio"&amp;" · ","")&amp;IF($F278="","Sin fecha límite"&amp;" · ","")&amp;IF(OR(AND($E278&lt;&gt;"",NOT(ISNUMBER($E278))),AND($F278&lt;&gt;"",NOT(ISNUMBER($F278)))),"Fecha no válida"&amp;" · ","")&amp;IF(AND(ISNUMBER($E278),ISNUMBER($F278),$E278&gt;$F278),"Inicio posterior a fecha límite"&amp;" · ","")&amp;IF(AND($S278="Macro",$G278=""),"Peso vacío"&amp;" · ","")&amp;IF(AND($S278="Macro",$G278&lt;&gt;"",OR(NOT(ISNUMBER($G278)),$G278&lt;=0,$G278&gt;1)),"Peso fuera de rango"&amp;" · ","")&amp;IF(AND($S278="Sub",$G278&lt;&gt;""),"Las subactividades no llevan peso"&amp;" · ","")&amp;IF(AND($S278="Macro",ABS(SUMIFS($G$5:$G$1000,$P$5:$P$1000,$P278,$S$5:$S$1000,"Macro")-1)&gt;0.0001),"Pesos del mes suman "&amp;TEXT(SUMIFS($G$5:$G$1000,$P$5:$P$1000,$P278,$S$5:$S$1000,"Macro"),"0%")&amp;" · ","")&amp;IF(AND(N($T278)&gt;0,COUNT($H278:$K278)&gt;0),"Con subactividades: deje vacías las semanas (se calculan solas)"&amp;" · ","")&amp;IF((COUNTIF($H278:$K278,"&gt;1")+COUNTIF($H278:$K278,"&lt;0")+COUNTA($H278:$K278)-COUNT($H278:$K278))&gt;0,"Avance fuera de rango 0-100%"&amp;" · ","")&amp;IF(OR(AND($I278&lt;&gt;"",$I278&lt;$H278),AND($J278&lt;&gt;"",$J278&lt;MAX($H278:$I278)),AND($K278&lt;&gt;"",$K278&lt;MAX($H278:$J278))),"Avance semanal decreciente"&amp;" · ","")&amp;IF(AND(ISNUMBER($F278),$F278&lt;FechaRef,N($L278)&lt;1),"Vencida"&amp;" · ","")&amp;IF(AND(ObsObligatoria="Sí",ISNUMBER($F278),$F278&lt;FechaRef,N($L278)&lt;1,$N278=""),"Vencida sin observación"&amp;" · ",""))="","✔ OK","⚠ "&amp;LEFT(IF(AND($S278="Macro",$B278=""),"Macroactividad vacía"&amp;" · ","")&amp;IF(AND($B278&lt;&gt;"",$C278&lt;&gt;""),"Escriba la subactividad en otra fila, debajo de su macroactividad"&amp;" · ","")&amp;IF(AND($S278="Sub",N($R278)=0),"Subactividad sin macroactividad arriba"&amp;" · ","")&amp;IF($D278="","Sin responsable"&amp;" · ","")&amp;IF($E278="","Sin fecha de inicio"&amp;" · ","")&amp;IF($F278="","Sin fecha límite"&amp;" · ","")&amp;IF(OR(AND($E278&lt;&gt;"",NOT(ISNUMBER($E278))),AND($F278&lt;&gt;"",NOT(ISNUMBER($F278)))),"Fecha no válida"&amp;" · ","")&amp;IF(AND(ISNUMBER($E278),ISNUMBER($F278),$E278&gt;$F278),"Inicio posterior a fecha límite"&amp;" · ","")&amp;IF(AND($S278="Macro",$G278=""),"Peso vacío"&amp;" · ","")&amp;IF(AND($S278="Macro",$G278&lt;&gt;"",OR(NOT(ISNUMBER($G278)),$G278&lt;=0,$G278&gt;1)),"Peso fuera de rango"&amp;" · ","")&amp;IF(AND($S278="Sub",$G278&lt;&gt;""),"Las subactividades no llevan peso"&amp;" · ","")&amp;IF(AND($S278="Macro",ABS(SUMIFS($G$5:$G$1000,$P$5:$P$1000,$P278,$S$5:$S$1000,"Macro")-1)&gt;0.0001),"Pesos del mes suman "&amp;TEXT(SUMIFS($G$5:$G$1000,$P$5:$P$1000,$P278,$S$5:$S$1000,"Macro"),"0%")&amp;" · ","")&amp;IF(AND(N($T278)&gt;0,COUNT($H278:$K278)&gt;0),"Con subactividades: deje vacías las semanas (se calculan solas)"&amp;" · ","")&amp;IF((COUNTIF($H278:$K278,"&gt;1")+COUNTIF($H278:$K278,"&lt;0")+COUNTA($H278:$K278)-COUNT($H278:$K278))&gt;0,"Avance fuera de rango 0-100%"&amp;" · ","")&amp;IF(OR(AND($I278&lt;&gt;"",$I278&lt;$H278),AND($J278&lt;&gt;"",$J278&lt;MAX($H278:$I278)),AND($K278&lt;&gt;"",$K278&lt;MAX($H278:$J278))),"Avance semanal decreciente"&amp;" · ","")&amp;IF(AND(ISNUMBER($F278),$F278&lt;FechaRef,N($L278)&lt;1),"Vencida"&amp;" · ","")&amp;IF(AND(ObsObligatoria="Sí",ISNUMBER($F278),$F278&lt;FechaRef,N($L278)&lt;1,$N278=""),"Vencida sin observación"&amp;" · ",""),LEN(IF(AND($S278="Macro",$B278=""),"Macroactividad vacía"&amp;" · ","")&amp;IF(AND($B278&lt;&gt;"",$C278&lt;&gt;""),"Escriba la subactividad en otra fila, debajo de su macroactividad"&amp;" · ","")&amp;IF(AND($S278="Sub",N($R278)=0),"Subactividad sin macroactividad arriba"&amp;" · ","")&amp;IF($D278="","Sin responsable"&amp;" · ","")&amp;IF($E278="","Sin fecha de inicio"&amp;" · ","")&amp;IF($F278="","Sin fecha límite"&amp;" · ","")&amp;IF(OR(AND($E278&lt;&gt;"",NOT(ISNUMBER($E278))),AND($F278&lt;&gt;"",NOT(ISNUMBER($F278)))),"Fecha no válida"&amp;" · ","")&amp;IF(AND(ISNUMBER($E278),ISNUMBER($F278),$E278&gt;$F278),"Inicio posterior a fecha límite"&amp;" · ","")&amp;IF(AND($S278="Macro",$G278=""),"Peso vacío"&amp;" · ","")&amp;IF(AND($S278="Macro",$G278&lt;&gt;"",OR(NOT(ISNUMBER($G278)),$G278&lt;=0,$G278&gt;1)),"Peso fuera de rango"&amp;" · ","")&amp;IF(AND($S278="Sub",$G278&lt;&gt;""),"Las subactividades no llevan peso"&amp;" · ","")&amp;IF(AND($S278="Macro",ABS(SUMIFS($G$5:$G$1000,$P$5:$P$1000,$P278,$S$5:$S$1000,"Macro")-1)&gt;0.0001),"Pesos del mes suman "&amp;TEXT(SUMIFS($G$5:$G$1000,$P$5:$P$1000,$P278,$S$5:$S$1000,"Macro"),"0%")&amp;" · ","")&amp;IF(AND(N($T278)&gt;0,COUNT($H278:$K278)&gt;0),"Con subactividades: deje vacías las semanas (se calculan solas)"&amp;" · ","")&amp;IF((COUNTIF($H278:$K278,"&gt;1")+COUNTIF($H278:$K278,"&lt;0")+COUNTA($H278:$K278)-COUNT($H278:$K278))&gt;0,"Avance fuera de rango 0-100%"&amp;" · ","")&amp;IF(OR(AND($I278&lt;&gt;"",$I278&lt;$H278),AND($J278&lt;&gt;"",$J278&lt;MAX($H278:$I278)),AND($K278&lt;&gt;"",$K278&lt;MAX($H278:$J278))),"Avance semanal decreciente"&amp;" · ","")&amp;IF(AND(ISNUMBER($F278),$F278&lt;FechaRef,N($L278)&lt;1),"Vencida"&amp;" · ","")&amp;IF(AND(ObsObligatoria="Sí",ISNUMBER($F278),$F278&lt;FechaRef,N($L278)&lt;1,$N278=""),"Vencida sin observación"&amp;" · ",""))-3)))</f>
        <v/>
      </c>
      <c r="P278" s="69">
        <f>IF(NOT((COUNTA($B278:$K278)+COUNTA($N278))&gt;0),"",IF(AND($S278="Sub",N($R278)&gt;0),IF(ISNUMBER(INDEX($E$5:$E$1000,$R278-4)),DATE(YEAR(INDEX($E$5:$E$1000,$R278-4)),MONTH(INDEX($E$5:$E$1000,$R278-4)),1),IF(ISNUMBER(INDEX($F$5:$F$1000,$R278-4)),DATE(YEAR(INDEX($F$5:$F$1000,$R278-4)),MONTH(INDEX($F$5:$F$1000,$R278-4)),1),MesCiclo)),IF(ISNUMBER($E278),DATE(YEAR($E278),MONTH($E278),1),IF(ISNUMBER($F278),DATE(YEAR($F278),MONTH($F278),1),MesCiclo))))</f>
        <v/>
      </c>
      <c r="Q278" s="70">
        <f>IF(OR($P278="",$P278&lt;&gt;MesCiclo),"",COUNTIF($P$5:$P278,MesCiclo))</f>
        <v/>
      </c>
      <c r="R278" s="70">
        <f>IF($S278="","",IF($S278="Macro",ROW(),IFERROR(LOOKUP(2,1/($S$5:$S278="Macro"),ROW($S$5:$S278)),0)))</f>
        <v/>
      </c>
      <c r="S278" s="70">
        <f>IF(NOT((COUNTA($B278:$K278)+COUNTA($N278))&gt;0),"",IF($B278&lt;&gt;"","Macro",IF($C278&lt;&gt;"","Sub","Macro")))</f>
        <v/>
      </c>
      <c r="T278" s="70">
        <f>IF($S278="Macro",COUNTIFS($R$5:$R$1000,ROW(),$S$5:$S$1000,"Sub"),"")</f>
        <v/>
      </c>
      <c r="U278" s="70">
        <f>IF($S278="","",IF(ISNUMBER($H278),$H278,0))</f>
        <v/>
      </c>
      <c r="V278" s="70">
        <f>IF($S278="","",IF(ISNUMBER($I278),$I278,$U278))</f>
        <v/>
      </c>
      <c r="W278" s="70">
        <f>IF($S278="","",IF(ISNUMBER($J278),$J278,$V278))</f>
        <v/>
      </c>
      <c r="X278" s="70">
        <f>IF($S278="","",IF(ISNUMBER($K278),$K278,$W278))</f>
        <v/>
      </c>
      <c r="Y278" s="70">
        <f>IF($S278="","",IF(N($T278)&gt;0,AVERAGEIFS($U$5:$U$1000,$R$5:$R$1000,ROW(),$S$5:$S$1000,"Sub"),$U278))</f>
        <v/>
      </c>
      <c r="Z278" s="70">
        <f>IF($S278="","",IF(N($T278)&gt;0,AVERAGEIFS($V$5:$V$1000,$R$5:$R$1000,ROW(),$S$5:$S$1000,"Sub"),$V278))</f>
        <v/>
      </c>
      <c r="AA278" s="70">
        <f>IF($S278="","",IF(N($T278)&gt;0,AVERAGEIFS($W$5:$W$1000,$R$5:$R$1000,ROW(),$S$5:$S$1000,"Sub"),$W278))</f>
        <v/>
      </c>
      <c r="AB278" s="70">
        <f>IF($S278="","",IF(N($T278)&gt;0,AVERAGEIFS($X$5:$X$1000,$R$5:$R$1000,ROW(),$S$5:$S$1000,"Sub"),$X278))</f>
        <v/>
      </c>
    </row>
    <row r="279">
      <c r="A279" s="61">
        <f>IF(NOT((COUNTA($B279:$K279)+COUNTA($N279))&gt;0),"",IF($S279="Macro",COUNTIFS($S$5:$S279,"Macro",$P$5:$P279,$P279),IF(N($R279)=0,"?",COUNTIFS(INDEX($S$5:$S$1000,1):INDEX($S$5:$S$1000,$R279-4),"Macro",INDEX($P$5:$P$1000,1):INDEX($P$5:$P$1000,$R279-4),INDEX($P$5:$P$1000,$R279-4))&amp;"."&amp;COUNTIFS($R$5:$R279,$R279,$S$5:$S279,"Sub"))))</f>
        <v/>
      </c>
      <c r="B279" s="62" t="n"/>
      <c r="C279" s="63" t="n"/>
      <c r="D279" s="62" t="n"/>
      <c r="E279" s="64" t="n"/>
      <c r="F279" s="64" t="n"/>
      <c r="G279" s="65" t="n"/>
      <c r="H279" s="66" t="n"/>
      <c r="I279" s="66" t="n"/>
      <c r="J279" s="66" t="n"/>
      <c r="K279" s="66" t="n"/>
      <c r="L279" s="67">
        <f>IF(NOT((COUNTA($B279:$K279)+COUNTA($N279))&gt;0),"",IF(N($T279)&gt;0,$AB279,IFERROR(LOOKUP(2,1/(H279:K279&lt;&gt;""),H279:K279),0)))</f>
        <v/>
      </c>
      <c r="M279" s="61">
        <f>IF(L279="","",IF(L279&gt;=1,"Completado",IF(L279&gt;0,"En curso","Pendiente")))</f>
        <v/>
      </c>
      <c r="N279" s="62" t="n"/>
      <c r="O279" s="68">
        <f>IF(NOT((COUNTA($B279:$K279)+COUNTA($N279))&gt;0),"",IF((IF(AND($S279="Macro",$B279=""),"Macroactividad vacía"&amp;" · ","")&amp;IF(AND($B279&lt;&gt;"",$C279&lt;&gt;""),"Escriba la subactividad en otra fila, debajo de su macroactividad"&amp;" · ","")&amp;IF(AND($S279="Sub",N($R279)=0),"Subactividad sin macroactividad arriba"&amp;" · ","")&amp;IF($D279="","Sin responsable"&amp;" · ","")&amp;IF($E279="","Sin fecha de inicio"&amp;" · ","")&amp;IF($F279="","Sin fecha límite"&amp;" · ","")&amp;IF(OR(AND($E279&lt;&gt;"",NOT(ISNUMBER($E279))),AND($F279&lt;&gt;"",NOT(ISNUMBER($F279)))),"Fecha no válida"&amp;" · ","")&amp;IF(AND(ISNUMBER($E279),ISNUMBER($F279),$E279&gt;$F279),"Inicio posterior a fecha límite"&amp;" · ","")&amp;IF(AND($S279="Macro",$G279=""),"Peso vacío"&amp;" · ","")&amp;IF(AND($S279="Macro",$G279&lt;&gt;"",OR(NOT(ISNUMBER($G279)),$G279&lt;=0,$G279&gt;1)),"Peso fuera de rango"&amp;" · ","")&amp;IF(AND($S279="Sub",$G279&lt;&gt;""),"Las subactividades no llevan peso"&amp;" · ","")&amp;IF(AND($S279="Macro",ABS(SUMIFS($G$5:$G$1000,$P$5:$P$1000,$P279,$S$5:$S$1000,"Macro")-1)&gt;0.0001),"Pesos del mes suman "&amp;TEXT(SUMIFS($G$5:$G$1000,$P$5:$P$1000,$P279,$S$5:$S$1000,"Macro"),"0%")&amp;" · ","")&amp;IF(AND(N($T279)&gt;0,COUNT($H279:$K279)&gt;0),"Con subactividades: deje vacías las semanas (se calculan solas)"&amp;" · ","")&amp;IF((COUNTIF($H279:$K279,"&gt;1")+COUNTIF($H279:$K279,"&lt;0")+COUNTA($H279:$K279)-COUNT($H279:$K279))&gt;0,"Avance fuera de rango 0-100%"&amp;" · ","")&amp;IF(OR(AND($I279&lt;&gt;"",$I279&lt;$H279),AND($J279&lt;&gt;"",$J279&lt;MAX($H279:$I279)),AND($K279&lt;&gt;"",$K279&lt;MAX($H279:$J279))),"Avance semanal decreciente"&amp;" · ","")&amp;IF(AND(ISNUMBER($F279),$F279&lt;FechaRef,N($L279)&lt;1),"Vencida"&amp;" · ","")&amp;IF(AND(ObsObligatoria="Sí",ISNUMBER($F279),$F279&lt;FechaRef,N($L279)&lt;1,$N279=""),"Vencida sin observación"&amp;" · ",""))="","✔ OK","⚠ "&amp;LEFT(IF(AND($S279="Macro",$B279=""),"Macroactividad vacía"&amp;" · ","")&amp;IF(AND($B279&lt;&gt;"",$C279&lt;&gt;""),"Escriba la subactividad en otra fila, debajo de su macroactividad"&amp;" · ","")&amp;IF(AND($S279="Sub",N($R279)=0),"Subactividad sin macroactividad arriba"&amp;" · ","")&amp;IF($D279="","Sin responsable"&amp;" · ","")&amp;IF($E279="","Sin fecha de inicio"&amp;" · ","")&amp;IF($F279="","Sin fecha límite"&amp;" · ","")&amp;IF(OR(AND($E279&lt;&gt;"",NOT(ISNUMBER($E279))),AND($F279&lt;&gt;"",NOT(ISNUMBER($F279)))),"Fecha no válida"&amp;" · ","")&amp;IF(AND(ISNUMBER($E279),ISNUMBER($F279),$E279&gt;$F279),"Inicio posterior a fecha límite"&amp;" · ","")&amp;IF(AND($S279="Macro",$G279=""),"Peso vacío"&amp;" · ","")&amp;IF(AND($S279="Macro",$G279&lt;&gt;"",OR(NOT(ISNUMBER($G279)),$G279&lt;=0,$G279&gt;1)),"Peso fuera de rango"&amp;" · ","")&amp;IF(AND($S279="Sub",$G279&lt;&gt;""),"Las subactividades no llevan peso"&amp;" · ","")&amp;IF(AND($S279="Macro",ABS(SUMIFS($G$5:$G$1000,$P$5:$P$1000,$P279,$S$5:$S$1000,"Macro")-1)&gt;0.0001),"Pesos del mes suman "&amp;TEXT(SUMIFS($G$5:$G$1000,$P$5:$P$1000,$P279,$S$5:$S$1000,"Macro"),"0%")&amp;" · ","")&amp;IF(AND(N($T279)&gt;0,COUNT($H279:$K279)&gt;0),"Con subactividades: deje vacías las semanas (se calculan solas)"&amp;" · ","")&amp;IF((COUNTIF($H279:$K279,"&gt;1")+COUNTIF($H279:$K279,"&lt;0")+COUNTA($H279:$K279)-COUNT($H279:$K279))&gt;0,"Avance fuera de rango 0-100%"&amp;" · ","")&amp;IF(OR(AND($I279&lt;&gt;"",$I279&lt;$H279),AND($J279&lt;&gt;"",$J279&lt;MAX($H279:$I279)),AND($K279&lt;&gt;"",$K279&lt;MAX($H279:$J279))),"Avance semanal decreciente"&amp;" · ","")&amp;IF(AND(ISNUMBER($F279),$F279&lt;FechaRef,N($L279)&lt;1),"Vencida"&amp;" · ","")&amp;IF(AND(ObsObligatoria="Sí",ISNUMBER($F279),$F279&lt;FechaRef,N($L279)&lt;1,$N279=""),"Vencida sin observación"&amp;" · ",""),LEN(IF(AND($S279="Macro",$B279=""),"Macroactividad vacía"&amp;" · ","")&amp;IF(AND($B279&lt;&gt;"",$C279&lt;&gt;""),"Escriba la subactividad en otra fila, debajo de su macroactividad"&amp;" · ","")&amp;IF(AND($S279="Sub",N($R279)=0),"Subactividad sin macroactividad arriba"&amp;" · ","")&amp;IF($D279="","Sin responsable"&amp;" · ","")&amp;IF($E279="","Sin fecha de inicio"&amp;" · ","")&amp;IF($F279="","Sin fecha límite"&amp;" · ","")&amp;IF(OR(AND($E279&lt;&gt;"",NOT(ISNUMBER($E279))),AND($F279&lt;&gt;"",NOT(ISNUMBER($F279)))),"Fecha no válida"&amp;" · ","")&amp;IF(AND(ISNUMBER($E279),ISNUMBER($F279),$E279&gt;$F279),"Inicio posterior a fecha límite"&amp;" · ","")&amp;IF(AND($S279="Macro",$G279=""),"Peso vacío"&amp;" · ","")&amp;IF(AND($S279="Macro",$G279&lt;&gt;"",OR(NOT(ISNUMBER($G279)),$G279&lt;=0,$G279&gt;1)),"Peso fuera de rango"&amp;" · ","")&amp;IF(AND($S279="Sub",$G279&lt;&gt;""),"Las subactividades no llevan peso"&amp;" · ","")&amp;IF(AND($S279="Macro",ABS(SUMIFS($G$5:$G$1000,$P$5:$P$1000,$P279,$S$5:$S$1000,"Macro")-1)&gt;0.0001),"Pesos del mes suman "&amp;TEXT(SUMIFS($G$5:$G$1000,$P$5:$P$1000,$P279,$S$5:$S$1000,"Macro"),"0%")&amp;" · ","")&amp;IF(AND(N($T279)&gt;0,COUNT($H279:$K279)&gt;0),"Con subactividades: deje vacías las semanas (se calculan solas)"&amp;" · ","")&amp;IF((COUNTIF($H279:$K279,"&gt;1")+COUNTIF($H279:$K279,"&lt;0")+COUNTA($H279:$K279)-COUNT($H279:$K279))&gt;0,"Avance fuera de rango 0-100%"&amp;" · ","")&amp;IF(OR(AND($I279&lt;&gt;"",$I279&lt;$H279),AND($J279&lt;&gt;"",$J279&lt;MAX($H279:$I279)),AND($K279&lt;&gt;"",$K279&lt;MAX($H279:$J279))),"Avance semanal decreciente"&amp;" · ","")&amp;IF(AND(ISNUMBER($F279),$F279&lt;FechaRef,N($L279)&lt;1),"Vencida"&amp;" · ","")&amp;IF(AND(ObsObligatoria="Sí",ISNUMBER($F279),$F279&lt;FechaRef,N($L279)&lt;1,$N279=""),"Vencida sin observación"&amp;" · ",""))-3)))</f>
        <v/>
      </c>
      <c r="P279" s="69">
        <f>IF(NOT((COUNTA($B279:$K279)+COUNTA($N279))&gt;0),"",IF(AND($S279="Sub",N($R279)&gt;0),IF(ISNUMBER(INDEX($E$5:$E$1000,$R279-4)),DATE(YEAR(INDEX($E$5:$E$1000,$R279-4)),MONTH(INDEX($E$5:$E$1000,$R279-4)),1),IF(ISNUMBER(INDEX($F$5:$F$1000,$R279-4)),DATE(YEAR(INDEX($F$5:$F$1000,$R279-4)),MONTH(INDEX($F$5:$F$1000,$R279-4)),1),MesCiclo)),IF(ISNUMBER($E279),DATE(YEAR($E279),MONTH($E279),1),IF(ISNUMBER($F279),DATE(YEAR($F279),MONTH($F279),1),MesCiclo))))</f>
        <v/>
      </c>
      <c r="Q279" s="70">
        <f>IF(OR($P279="",$P279&lt;&gt;MesCiclo),"",COUNTIF($P$5:$P279,MesCiclo))</f>
        <v/>
      </c>
      <c r="R279" s="70">
        <f>IF($S279="","",IF($S279="Macro",ROW(),IFERROR(LOOKUP(2,1/($S$5:$S279="Macro"),ROW($S$5:$S279)),0)))</f>
        <v/>
      </c>
      <c r="S279" s="70">
        <f>IF(NOT((COUNTA($B279:$K279)+COUNTA($N279))&gt;0),"",IF($B279&lt;&gt;"","Macro",IF($C279&lt;&gt;"","Sub","Macro")))</f>
        <v/>
      </c>
      <c r="T279" s="70">
        <f>IF($S279="Macro",COUNTIFS($R$5:$R$1000,ROW(),$S$5:$S$1000,"Sub"),"")</f>
        <v/>
      </c>
      <c r="U279" s="70">
        <f>IF($S279="","",IF(ISNUMBER($H279),$H279,0))</f>
        <v/>
      </c>
      <c r="V279" s="70">
        <f>IF($S279="","",IF(ISNUMBER($I279),$I279,$U279))</f>
        <v/>
      </c>
      <c r="W279" s="70">
        <f>IF($S279="","",IF(ISNUMBER($J279),$J279,$V279))</f>
        <v/>
      </c>
      <c r="X279" s="70">
        <f>IF($S279="","",IF(ISNUMBER($K279),$K279,$W279))</f>
        <v/>
      </c>
      <c r="Y279" s="70">
        <f>IF($S279="","",IF(N($T279)&gt;0,AVERAGEIFS($U$5:$U$1000,$R$5:$R$1000,ROW(),$S$5:$S$1000,"Sub"),$U279))</f>
        <v/>
      </c>
      <c r="Z279" s="70">
        <f>IF($S279="","",IF(N($T279)&gt;0,AVERAGEIFS($V$5:$V$1000,$R$5:$R$1000,ROW(),$S$5:$S$1000,"Sub"),$V279))</f>
        <v/>
      </c>
      <c r="AA279" s="70">
        <f>IF($S279="","",IF(N($T279)&gt;0,AVERAGEIFS($W$5:$W$1000,$R$5:$R$1000,ROW(),$S$5:$S$1000,"Sub"),$W279))</f>
        <v/>
      </c>
      <c r="AB279" s="70">
        <f>IF($S279="","",IF(N($T279)&gt;0,AVERAGEIFS($X$5:$X$1000,$R$5:$R$1000,ROW(),$S$5:$S$1000,"Sub"),$X279))</f>
        <v/>
      </c>
    </row>
    <row r="280">
      <c r="A280" s="61">
        <f>IF(NOT((COUNTA($B280:$K280)+COUNTA($N280))&gt;0),"",IF($S280="Macro",COUNTIFS($S$5:$S280,"Macro",$P$5:$P280,$P280),IF(N($R280)=0,"?",COUNTIFS(INDEX($S$5:$S$1000,1):INDEX($S$5:$S$1000,$R280-4),"Macro",INDEX($P$5:$P$1000,1):INDEX($P$5:$P$1000,$R280-4),INDEX($P$5:$P$1000,$R280-4))&amp;"."&amp;COUNTIFS($R$5:$R280,$R280,$S$5:$S280,"Sub"))))</f>
        <v/>
      </c>
      <c r="B280" s="62" t="n"/>
      <c r="C280" s="63" t="n"/>
      <c r="D280" s="62" t="n"/>
      <c r="E280" s="64" t="n"/>
      <c r="F280" s="64" t="n"/>
      <c r="G280" s="65" t="n"/>
      <c r="H280" s="66" t="n"/>
      <c r="I280" s="66" t="n"/>
      <c r="J280" s="66" t="n"/>
      <c r="K280" s="66" t="n"/>
      <c r="L280" s="67">
        <f>IF(NOT((COUNTA($B280:$K280)+COUNTA($N280))&gt;0),"",IF(N($T280)&gt;0,$AB280,IFERROR(LOOKUP(2,1/(H280:K280&lt;&gt;""),H280:K280),0)))</f>
        <v/>
      </c>
      <c r="M280" s="61">
        <f>IF(L280="","",IF(L280&gt;=1,"Completado",IF(L280&gt;0,"En curso","Pendiente")))</f>
        <v/>
      </c>
      <c r="N280" s="62" t="n"/>
      <c r="O280" s="68">
        <f>IF(NOT((COUNTA($B280:$K280)+COUNTA($N280))&gt;0),"",IF((IF(AND($S280="Macro",$B280=""),"Macroactividad vacía"&amp;" · ","")&amp;IF(AND($B280&lt;&gt;"",$C280&lt;&gt;""),"Escriba la subactividad en otra fila, debajo de su macroactividad"&amp;" · ","")&amp;IF(AND($S280="Sub",N($R280)=0),"Subactividad sin macroactividad arriba"&amp;" · ","")&amp;IF($D280="","Sin responsable"&amp;" · ","")&amp;IF($E280="","Sin fecha de inicio"&amp;" · ","")&amp;IF($F280="","Sin fecha límite"&amp;" · ","")&amp;IF(OR(AND($E280&lt;&gt;"",NOT(ISNUMBER($E280))),AND($F280&lt;&gt;"",NOT(ISNUMBER($F280)))),"Fecha no válida"&amp;" · ","")&amp;IF(AND(ISNUMBER($E280),ISNUMBER($F280),$E280&gt;$F280),"Inicio posterior a fecha límite"&amp;" · ","")&amp;IF(AND($S280="Macro",$G280=""),"Peso vacío"&amp;" · ","")&amp;IF(AND($S280="Macro",$G280&lt;&gt;"",OR(NOT(ISNUMBER($G280)),$G280&lt;=0,$G280&gt;1)),"Peso fuera de rango"&amp;" · ","")&amp;IF(AND($S280="Sub",$G280&lt;&gt;""),"Las subactividades no llevan peso"&amp;" · ","")&amp;IF(AND($S280="Macro",ABS(SUMIFS($G$5:$G$1000,$P$5:$P$1000,$P280,$S$5:$S$1000,"Macro")-1)&gt;0.0001),"Pesos del mes suman "&amp;TEXT(SUMIFS($G$5:$G$1000,$P$5:$P$1000,$P280,$S$5:$S$1000,"Macro"),"0%")&amp;" · ","")&amp;IF(AND(N($T280)&gt;0,COUNT($H280:$K280)&gt;0),"Con subactividades: deje vacías las semanas (se calculan solas)"&amp;" · ","")&amp;IF((COUNTIF($H280:$K280,"&gt;1")+COUNTIF($H280:$K280,"&lt;0")+COUNTA($H280:$K280)-COUNT($H280:$K280))&gt;0,"Avance fuera de rango 0-100%"&amp;" · ","")&amp;IF(OR(AND($I280&lt;&gt;"",$I280&lt;$H280),AND($J280&lt;&gt;"",$J280&lt;MAX($H280:$I280)),AND($K280&lt;&gt;"",$K280&lt;MAX($H280:$J280))),"Avance semanal decreciente"&amp;" · ","")&amp;IF(AND(ISNUMBER($F280),$F280&lt;FechaRef,N($L280)&lt;1),"Vencida"&amp;" · ","")&amp;IF(AND(ObsObligatoria="Sí",ISNUMBER($F280),$F280&lt;FechaRef,N($L280)&lt;1,$N280=""),"Vencida sin observación"&amp;" · ",""))="","✔ OK","⚠ "&amp;LEFT(IF(AND($S280="Macro",$B280=""),"Macroactividad vacía"&amp;" · ","")&amp;IF(AND($B280&lt;&gt;"",$C280&lt;&gt;""),"Escriba la subactividad en otra fila, debajo de su macroactividad"&amp;" · ","")&amp;IF(AND($S280="Sub",N($R280)=0),"Subactividad sin macroactividad arriba"&amp;" · ","")&amp;IF($D280="","Sin responsable"&amp;" · ","")&amp;IF($E280="","Sin fecha de inicio"&amp;" · ","")&amp;IF($F280="","Sin fecha límite"&amp;" · ","")&amp;IF(OR(AND($E280&lt;&gt;"",NOT(ISNUMBER($E280))),AND($F280&lt;&gt;"",NOT(ISNUMBER($F280)))),"Fecha no válida"&amp;" · ","")&amp;IF(AND(ISNUMBER($E280),ISNUMBER($F280),$E280&gt;$F280),"Inicio posterior a fecha límite"&amp;" · ","")&amp;IF(AND($S280="Macro",$G280=""),"Peso vacío"&amp;" · ","")&amp;IF(AND($S280="Macro",$G280&lt;&gt;"",OR(NOT(ISNUMBER($G280)),$G280&lt;=0,$G280&gt;1)),"Peso fuera de rango"&amp;" · ","")&amp;IF(AND($S280="Sub",$G280&lt;&gt;""),"Las subactividades no llevan peso"&amp;" · ","")&amp;IF(AND($S280="Macro",ABS(SUMIFS($G$5:$G$1000,$P$5:$P$1000,$P280,$S$5:$S$1000,"Macro")-1)&gt;0.0001),"Pesos del mes suman "&amp;TEXT(SUMIFS($G$5:$G$1000,$P$5:$P$1000,$P280,$S$5:$S$1000,"Macro"),"0%")&amp;" · ","")&amp;IF(AND(N($T280)&gt;0,COUNT($H280:$K280)&gt;0),"Con subactividades: deje vacías las semanas (se calculan solas)"&amp;" · ","")&amp;IF((COUNTIF($H280:$K280,"&gt;1")+COUNTIF($H280:$K280,"&lt;0")+COUNTA($H280:$K280)-COUNT($H280:$K280))&gt;0,"Avance fuera de rango 0-100%"&amp;" · ","")&amp;IF(OR(AND($I280&lt;&gt;"",$I280&lt;$H280),AND($J280&lt;&gt;"",$J280&lt;MAX($H280:$I280)),AND($K280&lt;&gt;"",$K280&lt;MAX($H280:$J280))),"Avance semanal decreciente"&amp;" · ","")&amp;IF(AND(ISNUMBER($F280),$F280&lt;FechaRef,N($L280)&lt;1),"Vencida"&amp;" · ","")&amp;IF(AND(ObsObligatoria="Sí",ISNUMBER($F280),$F280&lt;FechaRef,N($L280)&lt;1,$N280=""),"Vencida sin observación"&amp;" · ",""),LEN(IF(AND($S280="Macro",$B280=""),"Macroactividad vacía"&amp;" · ","")&amp;IF(AND($B280&lt;&gt;"",$C280&lt;&gt;""),"Escriba la subactividad en otra fila, debajo de su macroactividad"&amp;" · ","")&amp;IF(AND($S280="Sub",N($R280)=0),"Subactividad sin macroactividad arriba"&amp;" · ","")&amp;IF($D280="","Sin responsable"&amp;" · ","")&amp;IF($E280="","Sin fecha de inicio"&amp;" · ","")&amp;IF($F280="","Sin fecha límite"&amp;" · ","")&amp;IF(OR(AND($E280&lt;&gt;"",NOT(ISNUMBER($E280))),AND($F280&lt;&gt;"",NOT(ISNUMBER($F280)))),"Fecha no válida"&amp;" · ","")&amp;IF(AND(ISNUMBER($E280),ISNUMBER($F280),$E280&gt;$F280),"Inicio posterior a fecha límite"&amp;" · ","")&amp;IF(AND($S280="Macro",$G280=""),"Peso vacío"&amp;" · ","")&amp;IF(AND($S280="Macro",$G280&lt;&gt;"",OR(NOT(ISNUMBER($G280)),$G280&lt;=0,$G280&gt;1)),"Peso fuera de rango"&amp;" · ","")&amp;IF(AND($S280="Sub",$G280&lt;&gt;""),"Las subactividades no llevan peso"&amp;" · ","")&amp;IF(AND($S280="Macro",ABS(SUMIFS($G$5:$G$1000,$P$5:$P$1000,$P280,$S$5:$S$1000,"Macro")-1)&gt;0.0001),"Pesos del mes suman "&amp;TEXT(SUMIFS($G$5:$G$1000,$P$5:$P$1000,$P280,$S$5:$S$1000,"Macro"),"0%")&amp;" · ","")&amp;IF(AND(N($T280)&gt;0,COUNT($H280:$K280)&gt;0),"Con subactividades: deje vacías las semanas (se calculan solas)"&amp;" · ","")&amp;IF((COUNTIF($H280:$K280,"&gt;1")+COUNTIF($H280:$K280,"&lt;0")+COUNTA($H280:$K280)-COUNT($H280:$K280))&gt;0,"Avance fuera de rango 0-100%"&amp;" · ","")&amp;IF(OR(AND($I280&lt;&gt;"",$I280&lt;$H280),AND($J280&lt;&gt;"",$J280&lt;MAX($H280:$I280)),AND($K280&lt;&gt;"",$K280&lt;MAX($H280:$J280))),"Avance semanal decreciente"&amp;" · ","")&amp;IF(AND(ISNUMBER($F280),$F280&lt;FechaRef,N($L280)&lt;1),"Vencida"&amp;" · ","")&amp;IF(AND(ObsObligatoria="Sí",ISNUMBER($F280),$F280&lt;FechaRef,N($L280)&lt;1,$N280=""),"Vencida sin observación"&amp;" · ",""))-3)))</f>
        <v/>
      </c>
      <c r="P280" s="69">
        <f>IF(NOT((COUNTA($B280:$K280)+COUNTA($N280))&gt;0),"",IF(AND($S280="Sub",N($R280)&gt;0),IF(ISNUMBER(INDEX($E$5:$E$1000,$R280-4)),DATE(YEAR(INDEX($E$5:$E$1000,$R280-4)),MONTH(INDEX($E$5:$E$1000,$R280-4)),1),IF(ISNUMBER(INDEX($F$5:$F$1000,$R280-4)),DATE(YEAR(INDEX($F$5:$F$1000,$R280-4)),MONTH(INDEX($F$5:$F$1000,$R280-4)),1),MesCiclo)),IF(ISNUMBER($E280),DATE(YEAR($E280),MONTH($E280),1),IF(ISNUMBER($F280),DATE(YEAR($F280),MONTH($F280),1),MesCiclo))))</f>
        <v/>
      </c>
      <c r="Q280" s="70">
        <f>IF(OR($P280="",$P280&lt;&gt;MesCiclo),"",COUNTIF($P$5:$P280,MesCiclo))</f>
        <v/>
      </c>
      <c r="R280" s="70">
        <f>IF($S280="","",IF($S280="Macro",ROW(),IFERROR(LOOKUP(2,1/($S$5:$S280="Macro"),ROW($S$5:$S280)),0)))</f>
        <v/>
      </c>
      <c r="S280" s="70">
        <f>IF(NOT((COUNTA($B280:$K280)+COUNTA($N280))&gt;0),"",IF($B280&lt;&gt;"","Macro",IF($C280&lt;&gt;"","Sub","Macro")))</f>
        <v/>
      </c>
      <c r="T280" s="70">
        <f>IF($S280="Macro",COUNTIFS($R$5:$R$1000,ROW(),$S$5:$S$1000,"Sub"),"")</f>
        <v/>
      </c>
      <c r="U280" s="70">
        <f>IF($S280="","",IF(ISNUMBER($H280),$H280,0))</f>
        <v/>
      </c>
      <c r="V280" s="70">
        <f>IF($S280="","",IF(ISNUMBER($I280),$I280,$U280))</f>
        <v/>
      </c>
      <c r="W280" s="70">
        <f>IF($S280="","",IF(ISNUMBER($J280),$J280,$V280))</f>
        <v/>
      </c>
      <c r="X280" s="70">
        <f>IF($S280="","",IF(ISNUMBER($K280),$K280,$W280))</f>
        <v/>
      </c>
      <c r="Y280" s="70">
        <f>IF($S280="","",IF(N($T280)&gt;0,AVERAGEIFS($U$5:$U$1000,$R$5:$R$1000,ROW(),$S$5:$S$1000,"Sub"),$U280))</f>
        <v/>
      </c>
      <c r="Z280" s="70">
        <f>IF($S280="","",IF(N($T280)&gt;0,AVERAGEIFS($V$5:$V$1000,$R$5:$R$1000,ROW(),$S$5:$S$1000,"Sub"),$V280))</f>
        <v/>
      </c>
      <c r="AA280" s="70">
        <f>IF($S280="","",IF(N($T280)&gt;0,AVERAGEIFS($W$5:$W$1000,$R$5:$R$1000,ROW(),$S$5:$S$1000,"Sub"),$W280))</f>
        <v/>
      </c>
      <c r="AB280" s="70">
        <f>IF($S280="","",IF(N($T280)&gt;0,AVERAGEIFS($X$5:$X$1000,$R$5:$R$1000,ROW(),$S$5:$S$1000,"Sub"),$X280))</f>
        <v/>
      </c>
    </row>
    <row r="281">
      <c r="A281" s="61">
        <f>IF(NOT((COUNTA($B281:$K281)+COUNTA($N281))&gt;0),"",IF($S281="Macro",COUNTIFS($S$5:$S281,"Macro",$P$5:$P281,$P281),IF(N($R281)=0,"?",COUNTIFS(INDEX($S$5:$S$1000,1):INDEX($S$5:$S$1000,$R281-4),"Macro",INDEX($P$5:$P$1000,1):INDEX($P$5:$P$1000,$R281-4),INDEX($P$5:$P$1000,$R281-4))&amp;"."&amp;COUNTIFS($R$5:$R281,$R281,$S$5:$S281,"Sub"))))</f>
        <v/>
      </c>
      <c r="B281" s="62" t="n"/>
      <c r="C281" s="63" t="n"/>
      <c r="D281" s="62" t="n"/>
      <c r="E281" s="64" t="n"/>
      <c r="F281" s="64" t="n"/>
      <c r="G281" s="65" t="n"/>
      <c r="H281" s="66" t="n"/>
      <c r="I281" s="66" t="n"/>
      <c r="J281" s="66" t="n"/>
      <c r="K281" s="66" t="n"/>
      <c r="L281" s="67">
        <f>IF(NOT((COUNTA($B281:$K281)+COUNTA($N281))&gt;0),"",IF(N($T281)&gt;0,$AB281,IFERROR(LOOKUP(2,1/(H281:K281&lt;&gt;""),H281:K281),0)))</f>
        <v/>
      </c>
      <c r="M281" s="61">
        <f>IF(L281="","",IF(L281&gt;=1,"Completado",IF(L281&gt;0,"En curso","Pendiente")))</f>
        <v/>
      </c>
      <c r="N281" s="62" t="n"/>
      <c r="O281" s="68">
        <f>IF(NOT((COUNTA($B281:$K281)+COUNTA($N281))&gt;0),"",IF((IF(AND($S281="Macro",$B281=""),"Macroactividad vacía"&amp;" · ","")&amp;IF(AND($B281&lt;&gt;"",$C281&lt;&gt;""),"Escriba la subactividad en otra fila, debajo de su macroactividad"&amp;" · ","")&amp;IF(AND($S281="Sub",N($R281)=0),"Subactividad sin macroactividad arriba"&amp;" · ","")&amp;IF($D281="","Sin responsable"&amp;" · ","")&amp;IF($E281="","Sin fecha de inicio"&amp;" · ","")&amp;IF($F281="","Sin fecha límite"&amp;" · ","")&amp;IF(OR(AND($E281&lt;&gt;"",NOT(ISNUMBER($E281))),AND($F281&lt;&gt;"",NOT(ISNUMBER($F281)))),"Fecha no válida"&amp;" · ","")&amp;IF(AND(ISNUMBER($E281),ISNUMBER($F281),$E281&gt;$F281),"Inicio posterior a fecha límite"&amp;" · ","")&amp;IF(AND($S281="Macro",$G281=""),"Peso vacío"&amp;" · ","")&amp;IF(AND($S281="Macro",$G281&lt;&gt;"",OR(NOT(ISNUMBER($G281)),$G281&lt;=0,$G281&gt;1)),"Peso fuera de rango"&amp;" · ","")&amp;IF(AND($S281="Sub",$G281&lt;&gt;""),"Las subactividades no llevan peso"&amp;" · ","")&amp;IF(AND($S281="Macro",ABS(SUMIFS($G$5:$G$1000,$P$5:$P$1000,$P281,$S$5:$S$1000,"Macro")-1)&gt;0.0001),"Pesos del mes suman "&amp;TEXT(SUMIFS($G$5:$G$1000,$P$5:$P$1000,$P281,$S$5:$S$1000,"Macro"),"0%")&amp;" · ","")&amp;IF(AND(N($T281)&gt;0,COUNT($H281:$K281)&gt;0),"Con subactividades: deje vacías las semanas (se calculan solas)"&amp;" · ","")&amp;IF((COUNTIF($H281:$K281,"&gt;1")+COUNTIF($H281:$K281,"&lt;0")+COUNTA($H281:$K281)-COUNT($H281:$K281))&gt;0,"Avance fuera de rango 0-100%"&amp;" · ","")&amp;IF(OR(AND($I281&lt;&gt;"",$I281&lt;$H281),AND($J281&lt;&gt;"",$J281&lt;MAX($H281:$I281)),AND($K281&lt;&gt;"",$K281&lt;MAX($H281:$J281))),"Avance semanal decreciente"&amp;" · ","")&amp;IF(AND(ISNUMBER($F281),$F281&lt;FechaRef,N($L281)&lt;1),"Vencida"&amp;" · ","")&amp;IF(AND(ObsObligatoria="Sí",ISNUMBER($F281),$F281&lt;FechaRef,N($L281)&lt;1,$N281=""),"Vencida sin observación"&amp;" · ",""))="","✔ OK","⚠ "&amp;LEFT(IF(AND($S281="Macro",$B281=""),"Macroactividad vacía"&amp;" · ","")&amp;IF(AND($B281&lt;&gt;"",$C281&lt;&gt;""),"Escriba la subactividad en otra fila, debajo de su macroactividad"&amp;" · ","")&amp;IF(AND($S281="Sub",N($R281)=0),"Subactividad sin macroactividad arriba"&amp;" · ","")&amp;IF($D281="","Sin responsable"&amp;" · ","")&amp;IF($E281="","Sin fecha de inicio"&amp;" · ","")&amp;IF($F281="","Sin fecha límite"&amp;" · ","")&amp;IF(OR(AND($E281&lt;&gt;"",NOT(ISNUMBER($E281))),AND($F281&lt;&gt;"",NOT(ISNUMBER($F281)))),"Fecha no válida"&amp;" · ","")&amp;IF(AND(ISNUMBER($E281),ISNUMBER($F281),$E281&gt;$F281),"Inicio posterior a fecha límite"&amp;" · ","")&amp;IF(AND($S281="Macro",$G281=""),"Peso vacío"&amp;" · ","")&amp;IF(AND($S281="Macro",$G281&lt;&gt;"",OR(NOT(ISNUMBER($G281)),$G281&lt;=0,$G281&gt;1)),"Peso fuera de rango"&amp;" · ","")&amp;IF(AND($S281="Sub",$G281&lt;&gt;""),"Las subactividades no llevan peso"&amp;" · ","")&amp;IF(AND($S281="Macro",ABS(SUMIFS($G$5:$G$1000,$P$5:$P$1000,$P281,$S$5:$S$1000,"Macro")-1)&gt;0.0001),"Pesos del mes suman "&amp;TEXT(SUMIFS($G$5:$G$1000,$P$5:$P$1000,$P281,$S$5:$S$1000,"Macro"),"0%")&amp;" · ","")&amp;IF(AND(N($T281)&gt;0,COUNT($H281:$K281)&gt;0),"Con subactividades: deje vacías las semanas (se calculan solas)"&amp;" · ","")&amp;IF((COUNTIF($H281:$K281,"&gt;1")+COUNTIF($H281:$K281,"&lt;0")+COUNTA($H281:$K281)-COUNT($H281:$K281))&gt;0,"Avance fuera de rango 0-100%"&amp;" · ","")&amp;IF(OR(AND($I281&lt;&gt;"",$I281&lt;$H281),AND($J281&lt;&gt;"",$J281&lt;MAX($H281:$I281)),AND($K281&lt;&gt;"",$K281&lt;MAX($H281:$J281))),"Avance semanal decreciente"&amp;" · ","")&amp;IF(AND(ISNUMBER($F281),$F281&lt;FechaRef,N($L281)&lt;1),"Vencida"&amp;" · ","")&amp;IF(AND(ObsObligatoria="Sí",ISNUMBER($F281),$F281&lt;FechaRef,N($L281)&lt;1,$N281=""),"Vencida sin observación"&amp;" · ",""),LEN(IF(AND($S281="Macro",$B281=""),"Macroactividad vacía"&amp;" · ","")&amp;IF(AND($B281&lt;&gt;"",$C281&lt;&gt;""),"Escriba la subactividad en otra fila, debajo de su macroactividad"&amp;" · ","")&amp;IF(AND($S281="Sub",N($R281)=0),"Subactividad sin macroactividad arriba"&amp;" · ","")&amp;IF($D281="","Sin responsable"&amp;" · ","")&amp;IF($E281="","Sin fecha de inicio"&amp;" · ","")&amp;IF($F281="","Sin fecha límite"&amp;" · ","")&amp;IF(OR(AND($E281&lt;&gt;"",NOT(ISNUMBER($E281))),AND($F281&lt;&gt;"",NOT(ISNUMBER($F281)))),"Fecha no válida"&amp;" · ","")&amp;IF(AND(ISNUMBER($E281),ISNUMBER($F281),$E281&gt;$F281),"Inicio posterior a fecha límite"&amp;" · ","")&amp;IF(AND($S281="Macro",$G281=""),"Peso vacío"&amp;" · ","")&amp;IF(AND($S281="Macro",$G281&lt;&gt;"",OR(NOT(ISNUMBER($G281)),$G281&lt;=0,$G281&gt;1)),"Peso fuera de rango"&amp;" · ","")&amp;IF(AND($S281="Sub",$G281&lt;&gt;""),"Las subactividades no llevan peso"&amp;" · ","")&amp;IF(AND($S281="Macro",ABS(SUMIFS($G$5:$G$1000,$P$5:$P$1000,$P281,$S$5:$S$1000,"Macro")-1)&gt;0.0001),"Pesos del mes suman "&amp;TEXT(SUMIFS($G$5:$G$1000,$P$5:$P$1000,$P281,$S$5:$S$1000,"Macro"),"0%")&amp;" · ","")&amp;IF(AND(N($T281)&gt;0,COUNT($H281:$K281)&gt;0),"Con subactividades: deje vacías las semanas (se calculan solas)"&amp;" · ","")&amp;IF((COUNTIF($H281:$K281,"&gt;1")+COUNTIF($H281:$K281,"&lt;0")+COUNTA($H281:$K281)-COUNT($H281:$K281))&gt;0,"Avance fuera de rango 0-100%"&amp;" · ","")&amp;IF(OR(AND($I281&lt;&gt;"",$I281&lt;$H281),AND($J281&lt;&gt;"",$J281&lt;MAX($H281:$I281)),AND($K281&lt;&gt;"",$K281&lt;MAX($H281:$J281))),"Avance semanal decreciente"&amp;" · ","")&amp;IF(AND(ISNUMBER($F281),$F281&lt;FechaRef,N($L281)&lt;1),"Vencida"&amp;" · ","")&amp;IF(AND(ObsObligatoria="Sí",ISNUMBER($F281),$F281&lt;FechaRef,N($L281)&lt;1,$N281=""),"Vencida sin observación"&amp;" · ",""))-3)))</f>
        <v/>
      </c>
      <c r="P281" s="69">
        <f>IF(NOT((COUNTA($B281:$K281)+COUNTA($N281))&gt;0),"",IF(AND($S281="Sub",N($R281)&gt;0),IF(ISNUMBER(INDEX($E$5:$E$1000,$R281-4)),DATE(YEAR(INDEX($E$5:$E$1000,$R281-4)),MONTH(INDEX($E$5:$E$1000,$R281-4)),1),IF(ISNUMBER(INDEX($F$5:$F$1000,$R281-4)),DATE(YEAR(INDEX($F$5:$F$1000,$R281-4)),MONTH(INDEX($F$5:$F$1000,$R281-4)),1),MesCiclo)),IF(ISNUMBER($E281),DATE(YEAR($E281),MONTH($E281),1),IF(ISNUMBER($F281),DATE(YEAR($F281),MONTH($F281),1),MesCiclo))))</f>
        <v/>
      </c>
      <c r="Q281" s="70">
        <f>IF(OR($P281="",$P281&lt;&gt;MesCiclo),"",COUNTIF($P$5:$P281,MesCiclo))</f>
        <v/>
      </c>
      <c r="R281" s="70">
        <f>IF($S281="","",IF($S281="Macro",ROW(),IFERROR(LOOKUP(2,1/($S$5:$S281="Macro"),ROW($S$5:$S281)),0)))</f>
        <v/>
      </c>
      <c r="S281" s="70">
        <f>IF(NOT((COUNTA($B281:$K281)+COUNTA($N281))&gt;0),"",IF($B281&lt;&gt;"","Macro",IF($C281&lt;&gt;"","Sub","Macro")))</f>
        <v/>
      </c>
      <c r="T281" s="70">
        <f>IF($S281="Macro",COUNTIFS($R$5:$R$1000,ROW(),$S$5:$S$1000,"Sub"),"")</f>
        <v/>
      </c>
      <c r="U281" s="70">
        <f>IF($S281="","",IF(ISNUMBER($H281),$H281,0))</f>
        <v/>
      </c>
      <c r="V281" s="70">
        <f>IF($S281="","",IF(ISNUMBER($I281),$I281,$U281))</f>
        <v/>
      </c>
      <c r="W281" s="70">
        <f>IF($S281="","",IF(ISNUMBER($J281),$J281,$V281))</f>
        <v/>
      </c>
      <c r="X281" s="70">
        <f>IF($S281="","",IF(ISNUMBER($K281),$K281,$W281))</f>
        <v/>
      </c>
      <c r="Y281" s="70">
        <f>IF($S281="","",IF(N($T281)&gt;0,AVERAGEIFS($U$5:$U$1000,$R$5:$R$1000,ROW(),$S$5:$S$1000,"Sub"),$U281))</f>
        <v/>
      </c>
      <c r="Z281" s="70">
        <f>IF($S281="","",IF(N($T281)&gt;0,AVERAGEIFS($V$5:$V$1000,$R$5:$R$1000,ROW(),$S$5:$S$1000,"Sub"),$V281))</f>
        <v/>
      </c>
      <c r="AA281" s="70">
        <f>IF($S281="","",IF(N($T281)&gt;0,AVERAGEIFS($W$5:$W$1000,$R$5:$R$1000,ROW(),$S$5:$S$1000,"Sub"),$W281))</f>
        <v/>
      </c>
      <c r="AB281" s="70">
        <f>IF($S281="","",IF(N($T281)&gt;0,AVERAGEIFS($X$5:$X$1000,$R$5:$R$1000,ROW(),$S$5:$S$1000,"Sub"),$X281))</f>
        <v/>
      </c>
    </row>
    <row r="282">
      <c r="A282" s="61">
        <f>IF(NOT((COUNTA($B282:$K282)+COUNTA($N282))&gt;0),"",IF($S282="Macro",COUNTIFS($S$5:$S282,"Macro",$P$5:$P282,$P282),IF(N($R282)=0,"?",COUNTIFS(INDEX($S$5:$S$1000,1):INDEX($S$5:$S$1000,$R282-4),"Macro",INDEX($P$5:$P$1000,1):INDEX($P$5:$P$1000,$R282-4),INDEX($P$5:$P$1000,$R282-4))&amp;"."&amp;COUNTIFS($R$5:$R282,$R282,$S$5:$S282,"Sub"))))</f>
        <v/>
      </c>
      <c r="B282" s="62" t="n"/>
      <c r="C282" s="63" t="n"/>
      <c r="D282" s="62" t="n"/>
      <c r="E282" s="64" t="n"/>
      <c r="F282" s="64" t="n"/>
      <c r="G282" s="65" t="n"/>
      <c r="H282" s="66" t="n"/>
      <c r="I282" s="66" t="n"/>
      <c r="J282" s="66" t="n"/>
      <c r="K282" s="66" t="n"/>
      <c r="L282" s="67">
        <f>IF(NOT((COUNTA($B282:$K282)+COUNTA($N282))&gt;0),"",IF(N($T282)&gt;0,$AB282,IFERROR(LOOKUP(2,1/(H282:K282&lt;&gt;""),H282:K282),0)))</f>
        <v/>
      </c>
      <c r="M282" s="61">
        <f>IF(L282="","",IF(L282&gt;=1,"Completado",IF(L282&gt;0,"En curso","Pendiente")))</f>
        <v/>
      </c>
      <c r="N282" s="62" t="n"/>
      <c r="O282" s="68">
        <f>IF(NOT((COUNTA($B282:$K282)+COUNTA($N282))&gt;0),"",IF((IF(AND($S282="Macro",$B282=""),"Macroactividad vacía"&amp;" · ","")&amp;IF(AND($B282&lt;&gt;"",$C282&lt;&gt;""),"Escriba la subactividad en otra fila, debajo de su macroactividad"&amp;" · ","")&amp;IF(AND($S282="Sub",N($R282)=0),"Subactividad sin macroactividad arriba"&amp;" · ","")&amp;IF($D282="","Sin responsable"&amp;" · ","")&amp;IF($E282="","Sin fecha de inicio"&amp;" · ","")&amp;IF($F282="","Sin fecha límite"&amp;" · ","")&amp;IF(OR(AND($E282&lt;&gt;"",NOT(ISNUMBER($E282))),AND($F282&lt;&gt;"",NOT(ISNUMBER($F282)))),"Fecha no válida"&amp;" · ","")&amp;IF(AND(ISNUMBER($E282),ISNUMBER($F282),$E282&gt;$F282),"Inicio posterior a fecha límite"&amp;" · ","")&amp;IF(AND($S282="Macro",$G282=""),"Peso vacío"&amp;" · ","")&amp;IF(AND($S282="Macro",$G282&lt;&gt;"",OR(NOT(ISNUMBER($G282)),$G282&lt;=0,$G282&gt;1)),"Peso fuera de rango"&amp;" · ","")&amp;IF(AND($S282="Sub",$G282&lt;&gt;""),"Las subactividades no llevan peso"&amp;" · ","")&amp;IF(AND($S282="Macro",ABS(SUMIFS($G$5:$G$1000,$P$5:$P$1000,$P282,$S$5:$S$1000,"Macro")-1)&gt;0.0001),"Pesos del mes suman "&amp;TEXT(SUMIFS($G$5:$G$1000,$P$5:$P$1000,$P282,$S$5:$S$1000,"Macro"),"0%")&amp;" · ","")&amp;IF(AND(N($T282)&gt;0,COUNT($H282:$K282)&gt;0),"Con subactividades: deje vacías las semanas (se calculan solas)"&amp;" · ","")&amp;IF((COUNTIF($H282:$K282,"&gt;1")+COUNTIF($H282:$K282,"&lt;0")+COUNTA($H282:$K282)-COUNT($H282:$K282))&gt;0,"Avance fuera de rango 0-100%"&amp;" · ","")&amp;IF(OR(AND($I282&lt;&gt;"",$I282&lt;$H282),AND($J282&lt;&gt;"",$J282&lt;MAX($H282:$I282)),AND($K282&lt;&gt;"",$K282&lt;MAX($H282:$J282))),"Avance semanal decreciente"&amp;" · ","")&amp;IF(AND(ISNUMBER($F282),$F282&lt;FechaRef,N($L282)&lt;1),"Vencida"&amp;" · ","")&amp;IF(AND(ObsObligatoria="Sí",ISNUMBER($F282),$F282&lt;FechaRef,N($L282)&lt;1,$N282=""),"Vencida sin observación"&amp;" · ",""))="","✔ OK","⚠ "&amp;LEFT(IF(AND($S282="Macro",$B282=""),"Macroactividad vacía"&amp;" · ","")&amp;IF(AND($B282&lt;&gt;"",$C282&lt;&gt;""),"Escriba la subactividad en otra fila, debajo de su macroactividad"&amp;" · ","")&amp;IF(AND($S282="Sub",N($R282)=0),"Subactividad sin macroactividad arriba"&amp;" · ","")&amp;IF($D282="","Sin responsable"&amp;" · ","")&amp;IF($E282="","Sin fecha de inicio"&amp;" · ","")&amp;IF($F282="","Sin fecha límite"&amp;" · ","")&amp;IF(OR(AND($E282&lt;&gt;"",NOT(ISNUMBER($E282))),AND($F282&lt;&gt;"",NOT(ISNUMBER($F282)))),"Fecha no válida"&amp;" · ","")&amp;IF(AND(ISNUMBER($E282),ISNUMBER($F282),$E282&gt;$F282),"Inicio posterior a fecha límite"&amp;" · ","")&amp;IF(AND($S282="Macro",$G282=""),"Peso vacío"&amp;" · ","")&amp;IF(AND($S282="Macro",$G282&lt;&gt;"",OR(NOT(ISNUMBER($G282)),$G282&lt;=0,$G282&gt;1)),"Peso fuera de rango"&amp;" · ","")&amp;IF(AND($S282="Sub",$G282&lt;&gt;""),"Las subactividades no llevan peso"&amp;" · ","")&amp;IF(AND($S282="Macro",ABS(SUMIFS($G$5:$G$1000,$P$5:$P$1000,$P282,$S$5:$S$1000,"Macro")-1)&gt;0.0001),"Pesos del mes suman "&amp;TEXT(SUMIFS($G$5:$G$1000,$P$5:$P$1000,$P282,$S$5:$S$1000,"Macro"),"0%")&amp;" · ","")&amp;IF(AND(N($T282)&gt;0,COUNT($H282:$K282)&gt;0),"Con subactividades: deje vacías las semanas (se calculan solas)"&amp;" · ","")&amp;IF((COUNTIF($H282:$K282,"&gt;1")+COUNTIF($H282:$K282,"&lt;0")+COUNTA($H282:$K282)-COUNT($H282:$K282))&gt;0,"Avance fuera de rango 0-100%"&amp;" · ","")&amp;IF(OR(AND($I282&lt;&gt;"",$I282&lt;$H282),AND($J282&lt;&gt;"",$J282&lt;MAX($H282:$I282)),AND($K282&lt;&gt;"",$K282&lt;MAX($H282:$J282))),"Avance semanal decreciente"&amp;" · ","")&amp;IF(AND(ISNUMBER($F282),$F282&lt;FechaRef,N($L282)&lt;1),"Vencida"&amp;" · ","")&amp;IF(AND(ObsObligatoria="Sí",ISNUMBER($F282),$F282&lt;FechaRef,N($L282)&lt;1,$N282=""),"Vencida sin observación"&amp;" · ",""),LEN(IF(AND($S282="Macro",$B282=""),"Macroactividad vacía"&amp;" · ","")&amp;IF(AND($B282&lt;&gt;"",$C282&lt;&gt;""),"Escriba la subactividad en otra fila, debajo de su macroactividad"&amp;" · ","")&amp;IF(AND($S282="Sub",N($R282)=0),"Subactividad sin macroactividad arriba"&amp;" · ","")&amp;IF($D282="","Sin responsable"&amp;" · ","")&amp;IF($E282="","Sin fecha de inicio"&amp;" · ","")&amp;IF($F282="","Sin fecha límite"&amp;" · ","")&amp;IF(OR(AND($E282&lt;&gt;"",NOT(ISNUMBER($E282))),AND($F282&lt;&gt;"",NOT(ISNUMBER($F282)))),"Fecha no válida"&amp;" · ","")&amp;IF(AND(ISNUMBER($E282),ISNUMBER($F282),$E282&gt;$F282),"Inicio posterior a fecha límite"&amp;" · ","")&amp;IF(AND($S282="Macro",$G282=""),"Peso vacío"&amp;" · ","")&amp;IF(AND($S282="Macro",$G282&lt;&gt;"",OR(NOT(ISNUMBER($G282)),$G282&lt;=0,$G282&gt;1)),"Peso fuera de rango"&amp;" · ","")&amp;IF(AND($S282="Sub",$G282&lt;&gt;""),"Las subactividades no llevan peso"&amp;" · ","")&amp;IF(AND($S282="Macro",ABS(SUMIFS($G$5:$G$1000,$P$5:$P$1000,$P282,$S$5:$S$1000,"Macro")-1)&gt;0.0001),"Pesos del mes suman "&amp;TEXT(SUMIFS($G$5:$G$1000,$P$5:$P$1000,$P282,$S$5:$S$1000,"Macro"),"0%")&amp;" · ","")&amp;IF(AND(N($T282)&gt;0,COUNT($H282:$K282)&gt;0),"Con subactividades: deje vacías las semanas (se calculan solas)"&amp;" · ","")&amp;IF((COUNTIF($H282:$K282,"&gt;1")+COUNTIF($H282:$K282,"&lt;0")+COUNTA($H282:$K282)-COUNT($H282:$K282))&gt;0,"Avance fuera de rango 0-100%"&amp;" · ","")&amp;IF(OR(AND($I282&lt;&gt;"",$I282&lt;$H282),AND($J282&lt;&gt;"",$J282&lt;MAX($H282:$I282)),AND($K282&lt;&gt;"",$K282&lt;MAX($H282:$J282))),"Avance semanal decreciente"&amp;" · ","")&amp;IF(AND(ISNUMBER($F282),$F282&lt;FechaRef,N($L282)&lt;1),"Vencida"&amp;" · ","")&amp;IF(AND(ObsObligatoria="Sí",ISNUMBER($F282),$F282&lt;FechaRef,N($L282)&lt;1,$N282=""),"Vencida sin observación"&amp;" · ",""))-3)))</f>
        <v/>
      </c>
      <c r="P282" s="69">
        <f>IF(NOT((COUNTA($B282:$K282)+COUNTA($N282))&gt;0),"",IF(AND($S282="Sub",N($R282)&gt;0),IF(ISNUMBER(INDEX($E$5:$E$1000,$R282-4)),DATE(YEAR(INDEX($E$5:$E$1000,$R282-4)),MONTH(INDEX($E$5:$E$1000,$R282-4)),1),IF(ISNUMBER(INDEX($F$5:$F$1000,$R282-4)),DATE(YEAR(INDEX($F$5:$F$1000,$R282-4)),MONTH(INDEX($F$5:$F$1000,$R282-4)),1),MesCiclo)),IF(ISNUMBER($E282),DATE(YEAR($E282),MONTH($E282),1),IF(ISNUMBER($F282),DATE(YEAR($F282),MONTH($F282),1),MesCiclo))))</f>
        <v/>
      </c>
      <c r="Q282" s="70">
        <f>IF(OR($P282="",$P282&lt;&gt;MesCiclo),"",COUNTIF($P$5:$P282,MesCiclo))</f>
        <v/>
      </c>
      <c r="R282" s="70">
        <f>IF($S282="","",IF($S282="Macro",ROW(),IFERROR(LOOKUP(2,1/($S$5:$S282="Macro"),ROW($S$5:$S282)),0)))</f>
        <v/>
      </c>
      <c r="S282" s="70">
        <f>IF(NOT((COUNTA($B282:$K282)+COUNTA($N282))&gt;0),"",IF($B282&lt;&gt;"","Macro",IF($C282&lt;&gt;"","Sub","Macro")))</f>
        <v/>
      </c>
      <c r="T282" s="70">
        <f>IF($S282="Macro",COUNTIFS($R$5:$R$1000,ROW(),$S$5:$S$1000,"Sub"),"")</f>
        <v/>
      </c>
      <c r="U282" s="70">
        <f>IF($S282="","",IF(ISNUMBER($H282),$H282,0))</f>
        <v/>
      </c>
      <c r="V282" s="70">
        <f>IF($S282="","",IF(ISNUMBER($I282),$I282,$U282))</f>
        <v/>
      </c>
      <c r="W282" s="70">
        <f>IF($S282="","",IF(ISNUMBER($J282),$J282,$V282))</f>
        <v/>
      </c>
      <c r="X282" s="70">
        <f>IF($S282="","",IF(ISNUMBER($K282),$K282,$W282))</f>
        <v/>
      </c>
      <c r="Y282" s="70">
        <f>IF($S282="","",IF(N($T282)&gt;0,AVERAGEIFS($U$5:$U$1000,$R$5:$R$1000,ROW(),$S$5:$S$1000,"Sub"),$U282))</f>
        <v/>
      </c>
      <c r="Z282" s="70">
        <f>IF($S282="","",IF(N($T282)&gt;0,AVERAGEIFS($V$5:$V$1000,$R$5:$R$1000,ROW(),$S$5:$S$1000,"Sub"),$V282))</f>
        <v/>
      </c>
      <c r="AA282" s="70">
        <f>IF($S282="","",IF(N($T282)&gt;0,AVERAGEIFS($W$5:$W$1000,$R$5:$R$1000,ROW(),$S$5:$S$1000,"Sub"),$W282))</f>
        <v/>
      </c>
      <c r="AB282" s="70">
        <f>IF($S282="","",IF(N($T282)&gt;0,AVERAGEIFS($X$5:$X$1000,$R$5:$R$1000,ROW(),$S$5:$S$1000,"Sub"),$X282))</f>
        <v/>
      </c>
    </row>
    <row r="283">
      <c r="A283" s="61">
        <f>IF(NOT((COUNTA($B283:$K283)+COUNTA($N283))&gt;0),"",IF($S283="Macro",COUNTIFS($S$5:$S283,"Macro",$P$5:$P283,$P283),IF(N($R283)=0,"?",COUNTIFS(INDEX($S$5:$S$1000,1):INDEX($S$5:$S$1000,$R283-4),"Macro",INDEX($P$5:$P$1000,1):INDEX($P$5:$P$1000,$R283-4),INDEX($P$5:$P$1000,$R283-4))&amp;"."&amp;COUNTIFS($R$5:$R283,$R283,$S$5:$S283,"Sub"))))</f>
        <v/>
      </c>
      <c r="B283" s="62" t="n"/>
      <c r="C283" s="63" t="n"/>
      <c r="D283" s="62" t="n"/>
      <c r="E283" s="64" t="n"/>
      <c r="F283" s="64" t="n"/>
      <c r="G283" s="65" t="n"/>
      <c r="H283" s="66" t="n"/>
      <c r="I283" s="66" t="n"/>
      <c r="J283" s="66" t="n"/>
      <c r="K283" s="66" t="n"/>
      <c r="L283" s="67">
        <f>IF(NOT((COUNTA($B283:$K283)+COUNTA($N283))&gt;0),"",IF(N($T283)&gt;0,$AB283,IFERROR(LOOKUP(2,1/(H283:K283&lt;&gt;""),H283:K283),0)))</f>
        <v/>
      </c>
      <c r="M283" s="61">
        <f>IF(L283="","",IF(L283&gt;=1,"Completado",IF(L283&gt;0,"En curso","Pendiente")))</f>
        <v/>
      </c>
      <c r="N283" s="62" t="n"/>
      <c r="O283" s="68">
        <f>IF(NOT((COUNTA($B283:$K283)+COUNTA($N283))&gt;0),"",IF((IF(AND($S283="Macro",$B283=""),"Macroactividad vacía"&amp;" · ","")&amp;IF(AND($B283&lt;&gt;"",$C283&lt;&gt;""),"Escriba la subactividad en otra fila, debajo de su macroactividad"&amp;" · ","")&amp;IF(AND($S283="Sub",N($R283)=0),"Subactividad sin macroactividad arriba"&amp;" · ","")&amp;IF($D283="","Sin responsable"&amp;" · ","")&amp;IF($E283="","Sin fecha de inicio"&amp;" · ","")&amp;IF($F283="","Sin fecha límite"&amp;" · ","")&amp;IF(OR(AND($E283&lt;&gt;"",NOT(ISNUMBER($E283))),AND($F283&lt;&gt;"",NOT(ISNUMBER($F283)))),"Fecha no válida"&amp;" · ","")&amp;IF(AND(ISNUMBER($E283),ISNUMBER($F283),$E283&gt;$F283),"Inicio posterior a fecha límite"&amp;" · ","")&amp;IF(AND($S283="Macro",$G283=""),"Peso vacío"&amp;" · ","")&amp;IF(AND($S283="Macro",$G283&lt;&gt;"",OR(NOT(ISNUMBER($G283)),$G283&lt;=0,$G283&gt;1)),"Peso fuera de rango"&amp;" · ","")&amp;IF(AND($S283="Sub",$G283&lt;&gt;""),"Las subactividades no llevan peso"&amp;" · ","")&amp;IF(AND($S283="Macro",ABS(SUMIFS($G$5:$G$1000,$P$5:$P$1000,$P283,$S$5:$S$1000,"Macro")-1)&gt;0.0001),"Pesos del mes suman "&amp;TEXT(SUMIFS($G$5:$G$1000,$P$5:$P$1000,$P283,$S$5:$S$1000,"Macro"),"0%")&amp;" · ","")&amp;IF(AND(N($T283)&gt;0,COUNT($H283:$K283)&gt;0),"Con subactividades: deje vacías las semanas (se calculan solas)"&amp;" · ","")&amp;IF((COUNTIF($H283:$K283,"&gt;1")+COUNTIF($H283:$K283,"&lt;0")+COUNTA($H283:$K283)-COUNT($H283:$K283))&gt;0,"Avance fuera de rango 0-100%"&amp;" · ","")&amp;IF(OR(AND($I283&lt;&gt;"",$I283&lt;$H283),AND($J283&lt;&gt;"",$J283&lt;MAX($H283:$I283)),AND($K283&lt;&gt;"",$K283&lt;MAX($H283:$J283))),"Avance semanal decreciente"&amp;" · ","")&amp;IF(AND(ISNUMBER($F283),$F283&lt;FechaRef,N($L283)&lt;1),"Vencida"&amp;" · ","")&amp;IF(AND(ObsObligatoria="Sí",ISNUMBER($F283),$F283&lt;FechaRef,N($L283)&lt;1,$N283=""),"Vencida sin observación"&amp;" · ",""))="","✔ OK","⚠ "&amp;LEFT(IF(AND($S283="Macro",$B283=""),"Macroactividad vacía"&amp;" · ","")&amp;IF(AND($B283&lt;&gt;"",$C283&lt;&gt;""),"Escriba la subactividad en otra fila, debajo de su macroactividad"&amp;" · ","")&amp;IF(AND($S283="Sub",N($R283)=0),"Subactividad sin macroactividad arriba"&amp;" · ","")&amp;IF($D283="","Sin responsable"&amp;" · ","")&amp;IF($E283="","Sin fecha de inicio"&amp;" · ","")&amp;IF($F283="","Sin fecha límite"&amp;" · ","")&amp;IF(OR(AND($E283&lt;&gt;"",NOT(ISNUMBER($E283))),AND($F283&lt;&gt;"",NOT(ISNUMBER($F283)))),"Fecha no válida"&amp;" · ","")&amp;IF(AND(ISNUMBER($E283),ISNUMBER($F283),$E283&gt;$F283),"Inicio posterior a fecha límite"&amp;" · ","")&amp;IF(AND($S283="Macro",$G283=""),"Peso vacío"&amp;" · ","")&amp;IF(AND($S283="Macro",$G283&lt;&gt;"",OR(NOT(ISNUMBER($G283)),$G283&lt;=0,$G283&gt;1)),"Peso fuera de rango"&amp;" · ","")&amp;IF(AND($S283="Sub",$G283&lt;&gt;""),"Las subactividades no llevan peso"&amp;" · ","")&amp;IF(AND($S283="Macro",ABS(SUMIFS($G$5:$G$1000,$P$5:$P$1000,$P283,$S$5:$S$1000,"Macro")-1)&gt;0.0001),"Pesos del mes suman "&amp;TEXT(SUMIFS($G$5:$G$1000,$P$5:$P$1000,$P283,$S$5:$S$1000,"Macro"),"0%")&amp;" · ","")&amp;IF(AND(N($T283)&gt;0,COUNT($H283:$K283)&gt;0),"Con subactividades: deje vacías las semanas (se calculan solas)"&amp;" · ","")&amp;IF((COUNTIF($H283:$K283,"&gt;1")+COUNTIF($H283:$K283,"&lt;0")+COUNTA($H283:$K283)-COUNT($H283:$K283))&gt;0,"Avance fuera de rango 0-100%"&amp;" · ","")&amp;IF(OR(AND($I283&lt;&gt;"",$I283&lt;$H283),AND($J283&lt;&gt;"",$J283&lt;MAX($H283:$I283)),AND($K283&lt;&gt;"",$K283&lt;MAX($H283:$J283))),"Avance semanal decreciente"&amp;" · ","")&amp;IF(AND(ISNUMBER($F283),$F283&lt;FechaRef,N($L283)&lt;1),"Vencida"&amp;" · ","")&amp;IF(AND(ObsObligatoria="Sí",ISNUMBER($F283),$F283&lt;FechaRef,N($L283)&lt;1,$N283=""),"Vencida sin observación"&amp;" · ",""),LEN(IF(AND($S283="Macro",$B283=""),"Macroactividad vacía"&amp;" · ","")&amp;IF(AND($B283&lt;&gt;"",$C283&lt;&gt;""),"Escriba la subactividad en otra fila, debajo de su macroactividad"&amp;" · ","")&amp;IF(AND($S283="Sub",N($R283)=0),"Subactividad sin macroactividad arriba"&amp;" · ","")&amp;IF($D283="","Sin responsable"&amp;" · ","")&amp;IF($E283="","Sin fecha de inicio"&amp;" · ","")&amp;IF($F283="","Sin fecha límite"&amp;" · ","")&amp;IF(OR(AND($E283&lt;&gt;"",NOT(ISNUMBER($E283))),AND($F283&lt;&gt;"",NOT(ISNUMBER($F283)))),"Fecha no válida"&amp;" · ","")&amp;IF(AND(ISNUMBER($E283),ISNUMBER($F283),$E283&gt;$F283),"Inicio posterior a fecha límite"&amp;" · ","")&amp;IF(AND($S283="Macro",$G283=""),"Peso vacío"&amp;" · ","")&amp;IF(AND($S283="Macro",$G283&lt;&gt;"",OR(NOT(ISNUMBER($G283)),$G283&lt;=0,$G283&gt;1)),"Peso fuera de rango"&amp;" · ","")&amp;IF(AND($S283="Sub",$G283&lt;&gt;""),"Las subactividades no llevan peso"&amp;" · ","")&amp;IF(AND($S283="Macro",ABS(SUMIFS($G$5:$G$1000,$P$5:$P$1000,$P283,$S$5:$S$1000,"Macro")-1)&gt;0.0001),"Pesos del mes suman "&amp;TEXT(SUMIFS($G$5:$G$1000,$P$5:$P$1000,$P283,$S$5:$S$1000,"Macro"),"0%")&amp;" · ","")&amp;IF(AND(N($T283)&gt;0,COUNT($H283:$K283)&gt;0),"Con subactividades: deje vacías las semanas (se calculan solas)"&amp;" · ","")&amp;IF((COUNTIF($H283:$K283,"&gt;1")+COUNTIF($H283:$K283,"&lt;0")+COUNTA($H283:$K283)-COUNT($H283:$K283))&gt;0,"Avance fuera de rango 0-100%"&amp;" · ","")&amp;IF(OR(AND($I283&lt;&gt;"",$I283&lt;$H283),AND($J283&lt;&gt;"",$J283&lt;MAX($H283:$I283)),AND($K283&lt;&gt;"",$K283&lt;MAX($H283:$J283))),"Avance semanal decreciente"&amp;" · ","")&amp;IF(AND(ISNUMBER($F283),$F283&lt;FechaRef,N($L283)&lt;1),"Vencida"&amp;" · ","")&amp;IF(AND(ObsObligatoria="Sí",ISNUMBER($F283),$F283&lt;FechaRef,N($L283)&lt;1,$N283=""),"Vencida sin observación"&amp;" · ",""))-3)))</f>
        <v/>
      </c>
      <c r="P283" s="69">
        <f>IF(NOT((COUNTA($B283:$K283)+COUNTA($N283))&gt;0),"",IF(AND($S283="Sub",N($R283)&gt;0),IF(ISNUMBER(INDEX($E$5:$E$1000,$R283-4)),DATE(YEAR(INDEX($E$5:$E$1000,$R283-4)),MONTH(INDEX($E$5:$E$1000,$R283-4)),1),IF(ISNUMBER(INDEX($F$5:$F$1000,$R283-4)),DATE(YEAR(INDEX($F$5:$F$1000,$R283-4)),MONTH(INDEX($F$5:$F$1000,$R283-4)),1),MesCiclo)),IF(ISNUMBER($E283),DATE(YEAR($E283),MONTH($E283),1),IF(ISNUMBER($F283),DATE(YEAR($F283),MONTH($F283),1),MesCiclo))))</f>
        <v/>
      </c>
      <c r="Q283" s="70">
        <f>IF(OR($P283="",$P283&lt;&gt;MesCiclo),"",COUNTIF($P$5:$P283,MesCiclo))</f>
        <v/>
      </c>
      <c r="R283" s="70">
        <f>IF($S283="","",IF($S283="Macro",ROW(),IFERROR(LOOKUP(2,1/($S$5:$S283="Macro"),ROW($S$5:$S283)),0)))</f>
        <v/>
      </c>
      <c r="S283" s="70">
        <f>IF(NOT((COUNTA($B283:$K283)+COUNTA($N283))&gt;0),"",IF($B283&lt;&gt;"","Macro",IF($C283&lt;&gt;"","Sub","Macro")))</f>
        <v/>
      </c>
      <c r="T283" s="70">
        <f>IF($S283="Macro",COUNTIFS($R$5:$R$1000,ROW(),$S$5:$S$1000,"Sub"),"")</f>
        <v/>
      </c>
      <c r="U283" s="70">
        <f>IF($S283="","",IF(ISNUMBER($H283),$H283,0))</f>
        <v/>
      </c>
      <c r="V283" s="70">
        <f>IF($S283="","",IF(ISNUMBER($I283),$I283,$U283))</f>
        <v/>
      </c>
      <c r="W283" s="70">
        <f>IF($S283="","",IF(ISNUMBER($J283),$J283,$V283))</f>
        <v/>
      </c>
      <c r="X283" s="70">
        <f>IF($S283="","",IF(ISNUMBER($K283),$K283,$W283))</f>
        <v/>
      </c>
      <c r="Y283" s="70">
        <f>IF($S283="","",IF(N($T283)&gt;0,AVERAGEIFS($U$5:$U$1000,$R$5:$R$1000,ROW(),$S$5:$S$1000,"Sub"),$U283))</f>
        <v/>
      </c>
      <c r="Z283" s="70">
        <f>IF($S283="","",IF(N($T283)&gt;0,AVERAGEIFS($V$5:$V$1000,$R$5:$R$1000,ROW(),$S$5:$S$1000,"Sub"),$V283))</f>
        <v/>
      </c>
      <c r="AA283" s="70">
        <f>IF($S283="","",IF(N($T283)&gt;0,AVERAGEIFS($W$5:$W$1000,$R$5:$R$1000,ROW(),$S$5:$S$1000,"Sub"),$W283))</f>
        <v/>
      </c>
      <c r="AB283" s="70">
        <f>IF($S283="","",IF(N($T283)&gt;0,AVERAGEIFS($X$5:$X$1000,$R$5:$R$1000,ROW(),$S$5:$S$1000,"Sub"),$X283))</f>
        <v/>
      </c>
    </row>
    <row r="284">
      <c r="A284" s="61">
        <f>IF(NOT((COUNTA($B284:$K284)+COUNTA($N284))&gt;0),"",IF($S284="Macro",COUNTIFS($S$5:$S284,"Macro",$P$5:$P284,$P284),IF(N($R284)=0,"?",COUNTIFS(INDEX($S$5:$S$1000,1):INDEX($S$5:$S$1000,$R284-4),"Macro",INDEX($P$5:$P$1000,1):INDEX($P$5:$P$1000,$R284-4),INDEX($P$5:$P$1000,$R284-4))&amp;"."&amp;COUNTIFS($R$5:$R284,$R284,$S$5:$S284,"Sub"))))</f>
        <v/>
      </c>
      <c r="B284" s="62" t="n"/>
      <c r="C284" s="63" t="n"/>
      <c r="D284" s="62" t="n"/>
      <c r="E284" s="64" t="n"/>
      <c r="F284" s="64" t="n"/>
      <c r="G284" s="65" t="n"/>
      <c r="H284" s="66" t="n"/>
      <c r="I284" s="66" t="n"/>
      <c r="J284" s="66" t="n"/>
      <c r="K284" s="66" t="n"/>
      <c r="L284" s="67">
        <f>IF(NOT((COUNTA($B284:$K284)+COUNTA($N284))&gt;0),"",IF(N($T284)&gt;0,$AB284,IFERROR(LOOKUP(2,1/(H284:K284&lt;&gt;""),H284:K284),0)))</f>
        <v/>
      </c>
      <c r="M284" s="61">
        <f>IF(L284="","",IF(L284&gt;=1,"Completado",IF(L284&gt;0,"En curso","Pendiente")))</f>
        <v/>
      </c>
      <c r="N284" s="62" t="n"/>
      <c r="O284" s="68">
        <f>IF(NOT((COUNTA($B284:$K284)+COUNTA($N284))&gt;0),"",IF((IF(AND($S284="Macro",$B284=""),"Macroactividad vacía"&amp;" · ","")&amp;IF(AND($B284&lt;&gt;"",$C284&lt;&gt;""),"Escriba la subactividad en otra fila, debajo de su macroactividad"&amp;" · ","")&amp;IF(AND($S284="Sub",N($R284)=0),"Subactividad sin macroactividad arriba"&amp;" · ","")&amp;IF($D284="","Sin responsable"&amp;" · ","")&amp;IF($E284="","Sin fecha de inicio"&amp;" · ","")&amp;IF($F284="","Sin fecha límite"&amp;" · ","")&amp;IF(OR(AND($E284&lt;&gt;"",NOT(ISNUMBER($E284))),AND($F284&lt;&gt;"",NOT(ISNUMBER($F284)))),"Fecha no válida"&amp;" · ","")&amp;IF(AND(ISNUMBER($E284),ISNUMBER($F284),$E284&gt;$F284),"Inicio posterior a fecha límite"&amp;" · ","")&amp;IF(AND($S284="Macro",$G284=""),"Peso vacío"&amp;" · ","")&amp;IF(AND($S284="Macro",$G284&lt;&gt;"",OR(NOT(ISNUMBER($G284)),$G284&lt;=0,$G284&gt;1)),"Peso fuera de rango"&amp;" · ","")&amp;IF(AND($S284="Sub",$G284&lt;&gt;""),"Las subactividades no llevan peso"&amp;" · ","")&amp;IF(AND($S284="Macro",ABS(SUMIFS($G$5:$G$1000,$P$5:$P$1000,$P284,$S$5:$S$1000,"Macro")-1)&gt;0.0001),"Pesos del mes suman "&amp;TEXT(SUMIFS($G$5:$G$1000,$P$5:$P$1000,$P284,$S$5:$S$1000,"Macro"),"0%")&amp;" · ","")&amp;IF(AND(N($T284)&gt;0,COUNT($H284:$K284)&gt;0),"Con subactividades: deje vacías las semanas (se calculan solas)"&amp;" · ","")&amp;IF((COUNTIF($H284:$K284,"&gt;1")+COUNTIF($H284:$K284,"&lt;0")+COUNTA($H284:$K284)-COUNT($H284:$K284))&gt;0,"Avance fuera de rango 0-100%"&amp;" · ","")&amp;IF(OR(AND($I284&lt;&gt;"",$I284&lt;$H284),AND($J284&lt;&gt;"",$J284&lt;MAX($H284:$I284)),AND($K284&lt;&gt;"",$K284&lt;MAX($H284:$J284))),"Avance semanal decreciente"&amp;" · ","")&amp;IF(AND(ISNUMBER($F284),$F284&lt;FechaRef,N($L284)&lt;1),"Vencida"&amp;" · ","")&amp;IF(AND(ObsObligatoria="Sí",ISNUMBER($F284),$F284&lt;FechaRef,N($L284)&lt;1,$N284=""),"Vencida sin observación"&amp;" · ",""))="","✔ OK","⚠ "&amp;LEFT(IF(AND($S284="Macro",$B284=""),"Macroactividad vacía"&amp;" · ","")&amp;IF(AND($B284&lt;&gt;"",$C284&lt;&gt;""),"Escriba la subactividad en otra fila, debajo de su macroactividad"&amp;" · ","")&amp;IF(AND($S284="Sub",N($R284)=0),"Subactividad sin macroactividad arriba"&amp;" · ","")&amp;IF($D284="","Sin responsable"&amp;" · ","")&amp;IF($E284="","Sin fecha de inicio"&amp;" · ","")&amp;IF($F284="","Sin fecha límite"&amp;" · ","")&amp;IF(OR(AND($E284&lt;&gt;"",NOT(ISNUMBER($E284))),AND($F284&lt;&gt;"",NOT(ISNUMBER($F284)))),"Fecha no válida"&amp;" · ","")&amp;IF(AND(ISNUMBER($E284),ISNUMBER($F284),$E284&gt;$F284),"Inicio posterior a fecha límite"&amp;" · ","")&amp;IF(AND($S284="Macro",$G284=""),"Peso vacío"&amp;" · ","")&amp;IF(AND($S284="Macro",$G284&lt;&gt;"",OR(NOT(ISNUMBER($G284)),$G284&lt;=0,$G284&gt;1)),"Peso fuera de rango"&amp;" · ","")&amp;IF(AND($S284="Sub",$G284&lt;&gt;""),"Las subactividades no llevan peso"&amp;" · ","")&amp;IF(AND($S284="Macro",ABS(SUMIFS($G$5:$G$1000,$P$5:$P$1000,$P284,$S$5:$S$1000,"Macro")-1)&gt;0.0001),"Pesos del mes suman "&amp;TEXT(SUMIFS($G$5:$G$1000,$P$5:$P$1000,$P284,$S$5:$S$1000,"Macro"),"0%")&amp;" · ","")&amp;IF(AND(N($T284)&gt;0,COUNT($H284:$K284)&gt;0),"Con subactividades: deje vacías las semanas (se calculan solas)"&amp;" · ","")&amp;IF((COUNTIF($H284:$K284,"&gt;1")+COUNTIF($H284:$K284,"&lt;0")+COUNTA($H284:$K284)-COUNT($H284:$K284))&gt;0,"Avance fuera de rango 0-100%"&amp;" · ","")&amp;IF(OR(AND($I284&lt;&gt;"",$I284&lt;$H284),AND($J284&lt;&gt;"",$J284&lt;MAX($H284:$I284)),AND($K284&lt;&gt;"",$K284&lt;MAX($H284:$J284))),"Avance semanal decreciente"&amp;" · ","")&amp;IF(AND(ISNUMBER($F284),$F284&lt;FechaRef,N($L284)&lt;1),"Vencida"&amp;" · ","")&amp;IF(AND(ObsObligatoria="Sí",ISNUMBER($F284),$F284&lt;FechaRef,N($L284)&lt;1,$N284=""),"Vencida sin observación"&amp;" · ",""),LEN(IF(AND($S284="Macro",$B284=""),"Macroactividad vacía"&amp;" · ","")&amp;IF(AND($B284&lt;&gt;"",$C284&lt;&gt;""),"Escriba la subactividad en otra fila, debajo de su macroactividad"&amp;" · ","")&amp;IF(AND($S284="Sub",N($R284)=0),"Subactividad sin macroactividad arriba"&amp;" · ","")&amp;IF($D284="","Sin responsable"&amp;" · ","")&amp;IF($E284="","Sin fecha de inicio"&amp;" · ","")&amp;IF($F284="","Sin fecha límite"&amp;" · ","")&amp;IF(OR(AND($E284&lt;&gt;"",NOT(ISNUMBER($E284))),AND($F284&lt;&gt;"",NOT(ISNUMBER($F284)))),"Fecha no válida"&amp;" · ","")&amp;IF(AND(ISNUMBER($E284),ISNUMBER($F284),$E284&gt;$F284),"Inicio posterior a fecha límite"&amp;" · ","")&amp;IF(AND($S284="Macro",$G284=""),"Peso vacío"&amp;" · ","")&amp;IF(AND($S284="Macro",$G284&lt;&gt;"",OR(NOT(ISNUMBER($G284)),$G284&lt;=0,$G284&gt;1)),"Peso fuera de rango"&amp;" · ","")&amp;IF(AND($S284="Sub",$G284&lt;&gt;""),"Las subactividades no llevan peso"&amp;" · ","")&amp;IF(AND($S284="Macro",ABS(SUMIFS($G$5:$G$1000,$P$5:$P$1000,$P284,$S$5:$S$1000,"Macro")-1)&gt;0.0001),"Pesos del mes suman "&amp;TEXT(SUMIFS($G$5:$G$1000,$P$5:$P$1000,$P284,$S$5:$S$1000,"Macro"),"0%")&amp;" · ","")&amp;IF(AND(N($T284)&gt;0,COUNT($H284:$K284)&gt;0),"Con subactividades: deje vacías las semanas (se calculan solas)"&amp;" · ","")&amp;IF((COUNTIF($H284:$K284,"&gt;1")+COUNTIF($H284:$K284,"&lt;0")+COUNTA($H284:$K284)-COUNT($H284:$K284))&gt;0,"Avance fuera de rango 0-100%"&amp;" · ","")&amp;IF(OR(AND($I284&lt;&gt;"",$I284&lt;$H284),AND($J284&lt;&gt;"",$J284&lt;MAX($H284:$I284)),AND($K284&lt;&gt;"",$K284&lt;MAX($H284:$J284))),"Avance semanal decreciente"&amp;" · ","")&amp;IF(AND(ISNUMBER($F284),$F284&lt;FechaRef,N($L284)&lt;1),"Vencida"&amp;" · ","")&amp;IF(AND(ObsObligatoria="Sí",ISNUMBER($F284),$F284&lt;FechaRef,N($L284)&lt;1,$N284=""),"Vencida sin observación"&amp;" · ",""))-3)))</f>
        <v/>
      </c>
      <c r="P284" s="69">
        <f>IF(NOT((COUNTA($B284:$K284)+COUNTA($N284))&gt;0),"",IF(AND($S284="Sub",N($R284)&gt;0),IF(ISNUMBER(INDEX($E$5:$E$1000,$R284-4)),DATE(YEAR(INDEX($E$5:$E$1000,$R284-4)),MONTH(INDEX($E$5:$E$1000,$R284-4)),1),IF(ISNUMBER(INDEX($F$5:$F$1000,$R284-4)),DATE(YEAR(INDEX($F$5:$F$1000,$R284-4)),MONTH(INDEX($F$5:$F$1000,$R284-4)),1),MesCiclo)),IF(ISNUMBER($E284),DATE(YEAR($E284),MONTH($E284),1),IF(ISNUMBER($F284),DATE(YEAR($F284),MONTH($F284),1),MesCiclo))))</f>
        <v/>
      </c>
      <c r="Q284" s="70">
        <f>IF(OR($P284="",$P284&lt;&gt;MesCiclo),"",COUNTIF($P$5:$P284,MesCiclo))</f>
        <v/>
      </c>
      <c r="R284" s="70">
        <f>IF($S284="","",IF($S284="Macro",ROW(),IFERROR(LOOKUP(2,1/($S$5:$S284="Macro"),ROW($S$5:$S284)),0)))</f>
        <v/>
      </c>
      <c r="S284" s="70">
        <f>IF(NOT((COUNTA($B284:$K284)+COUNTA($N284))&gt;0),"",IF($B284&lt;&gt;"","Macro",IF($C284&lt;&gt;"","Sub","Macro")))</f>
        <v/>
      </c>
      <c r="T284" s="70">
        <f>IF($S284="Macro",COUNTIFS($R$5:$R$1000,ROW(),$S$5:$S$1000,"Sub"),"")</f>
        <v/>
      </c>
      <c r="U284" s="70">
        <f>IF($S284="","",IF(ISNUMBER($H284),$H284,0))</f>
        <v/>
      </c>
      <c r="V284" s="70">
        <f>IF($S284="","",IF(ISNUMBER($I284),$I284,$U284))</f>
        <v/>
      </c>
      <c r="W284" s="70">
        <f>IF($S284="","",IF(ISNUMBER($J284),$J284,$V284))</f>
        <v/>
      </c>
      <c r="X284" s="70">
        <f>IF($S284="","",IF(ISNUMBER($K284),$K284,$W284))</f>
        <v/>
      </c>
      <c r="Y284" s="70">
        <f>IF($S284="","",IF(N($T284)&gt;0,AVERAGEIFS($U$5:$U$1000,$R$5:$R$1000,ROW(),$S$5:$S$1000,"Sub"),$U284))</f>
        <v/>
      </c>
      <c r="Z284" s="70">
        <f>IF($S284="","",IF(N($T284)&gt;0,AVERAGEIFS($V$5:$V$1000,$R$5:$R$1000,ROW(),$S$5:$S$1000,"Sub"),$V284))</f>
        <v/>
      </c>
      <c r="AA284" s="70">
        <f>IF($S284="","",IF(N($T284)&gt;0,AVERAGEIFS($W$5:$W$1000,$R$5:$R$1000,ROW(),$S$5:$S$1000,"Sub"),$W284))</f>
        <v/>
      </c>
      <c r="AB284" s="70">
        <f>IF($S284="","",IF(N($T284)&gt;0,AVERAGEIFS($X$5:$X$1000,$R$5:$R$1000,ROW(),$S$5:$S$1000,"Sub"),$X284))</f>
        <v/>
      </c>
    </row>
    <row r="285">
      <c r="A285" s="61">
        <f>IF(NOT((COUNTA($B285:$K285)+COUNTA($N285))&gt;0),"",IF($S285="Macro",COUNTIFS($S$5:$S285,"Macro",$P$5:$P285,$P285),IF(N($R285)=0,"?",COUNTIFS(INDEX($S$5:$S$1000,1):INDEX($S$5:$S$1000,$R285-4),"Macro",INDEX($P$5:$P$1000,1):INDEX($P$5:$P$1000,$R285-4),INDEX($P$5:$P$1000,$R285-4))&amp;"."&amp;COUNTIFS($R$5:$R285,$R285,$S$5:$S285,"Sub"))))</f>
        <v/>
      </c>
      <c r="B285" s="62" t="n"/>
      <c r="C285" s="63" t="n"/>
      <c r="D285" s="62" t="n"/>
      <c r="E285" s="64" t="n"/>
      <c r="F285" s="64" t="n"/>
      <c r="G285" s="65" t="n"/>
      <c r="H285" s="66" t="n"/>
      <c r="I285" s="66" t="n"/>
      <c r="J285" s="66" t="n"/>
      <c r="K285" s="66" t="n"/>
      <c r="L285" s="67">
        <f>IF(NOT((COUNTA($B285:$K285)+COUNTA($N285))&gt;0),"",IF(N($T285)&gt;0,$AB285,IFERROR(LOOKUP(2,1/(H285:K285&lt;&gt;""),H285:K285),0)))</f>
        <v/>
      </c>
      <c r="M285" s="61">
        <f>IF(L285="","",IF(L285&gt;=1,"Completado",IF(L285&gt;0,"En curso","Pendiente")))</f>
        <v/>
      </c>
      <c r="N285" s="62" t="n"/>
      <c r="O285" s="68">
        <f>IF(NOT((COUNTA($B285:$K285)+COUNTA($N285))&gt;0),"",IF((IF(AND($S285="Macro",$B285=""),"Macroactividad vacía"&amp;" · ","")&amp;IF(AND($B285&lt;&gt;"",$C285&lt;&gt;""),"Escriba la subactividad en otra fila, debajo de su macroactividad"&amp;" · ","")&amp;IF(AND($S285="Sub",N($R285)=0),"Subactividad sin macroactividad arriba"&amp;" · ","")&amp;IF($D285="","Sin responsable"&amp;" · ","")&amp;IF($E285="","Sin fecha de inicio"&amp;" · ","")&amp;IF($F285="","Sin fecha límite"&amp;" · ","")&amp;IF(OR(AND($E285&lt;&gt;"",NOT(ISNUMBER($E285))),AND($F285&lt;&gt;"",NOT(ISNUMBER($F285)))),"Fecha no válida"&amp;" · ","")&amp;IF(AND(ISNUMBER($E285),ISNUMBER($F285),$E285&gt;$F285),"Inicio posterior a fecha límite"&amp;" · ","")&amp;IF(AND($S285="Macro",$G285=""),"Peso vacío"&amp;" · ","")&amp;IF(AND($S285="Macro",$G285&lt;&gt;"",OR(NOT(ISNUMBER($G285)),$G285&lt;=0,$G285&gt;1)),"Peso fuera de rango"&amp;" · ","")&amp;IF(AND($S285="Sub",$G285&lt;&gt;""),"Las subactividades no llevan peso"&amp;" · ","")&amp;IF(AND($S285="Macro",ABS(SUMIFS($G$5:$G$1000,$P$5:$P$1000,$P285,$S$5:$S$1000,"Macro")-1)&gt;0.0001),"Pesos del mes suman "&amp;TEXT(SUMIFS($G$5:$G$1000,$P$5:$P$1000,$P285,$S$5:$S$1000,"Macro"),"0%")&amp;" · ","")&amp;IF(AND(N($T285)&gt;0,COUNT($H285:$K285)&gt;0),"Con subactividades: deje vacías las semanas (se calculan solas)"&amp;" · ","")&amp;IF((COUNTIF($H285:$K285,"&gt;1")+COUNTIF($H285:$K285,"&lt;0")+COUNTA($H285:$K285)-COUNT($H285:$K285))&gt;0,"Avance fuera de rango 0-100%"&amp;" · ","")&amp;IF(OR(AND($I285&lt;&gt;"",$I285&lt;$H285),AND($J285&lt;&gt;"",$J285&lt;MAX($H285:$I285)),AND($K285&lt;&gt;"",$K285&lt;MAX($H285:$J285))),"Avance semanal decreciente"&amp;" · ","")&amp;IF(AND(ISNUMBER($F285),$F285&lt;FechaRef,N($L285)&lt;1),"Vencida"&amp;" · ","")&amp;IF(AND(ObsObligatoria="Sí",ISNUMBER($F285),$F285&lt;FechaRef,N($L285)&lt;1,$N285=""),"Vencida sin observación"&amp;" · ",""))="","✔ OK","⚠ "&amp;LEFT(IF(AND($S285="Macro",$B285=""),"Macroactividad vacía"&amp;" · ","")&amp;IF(AND($B285&lt;&gt;"",$C285&lt;&gt;""),"Escriba la subactividad en otra fila, debajo de su macroactividad"&amp;" · ","")&amp;IF(AND($S285="Sub",N($R285)=0),"Subactividad sin macroactividad arriba"&amp;" · ","")&amp;IF($D285="","Sin responsable"&amp;" · ","")&amp;IF($E285="","Sin fecha de inicio"&amp;" · ","")&amp;IF($F285="","Sin fecha límite"&amp;" · ","")&amp;IF(OR(AND($E285&lt;&gt;"",NOT(ISNUMBER($E285))),AND($F285&lt;&gt;"",NOT(ISNUMBER($F285)))),"Fecha no válida"&amp;" · ","")&amp;IF(AND(ISNUMBER($E285),ISNUMBER($F285),$E285&gt;$F285),"Inicio posterior a fecha límite"&amp;" · ","")&amp;IF(AND($S285="Macro",$G285=""),"Peso vacío"&amp;" · ","")&amp;IF(AND($S285="Macro",$G285&lt;&gt;"",OR(NOT(ISNUMBER($G285)),$G285&lt;=0,$G285&gt;1)),"Peso fuera de rango"&amp;" · ","")&amp;IF(AND($S285="Sub",$G285&lt;&gt;""),"Las subactividades no llevan peso"&amp;" · ","")&amp;IF(AND($S285="Macro",ABS(SUMIFS($G$5:$G$1000,$P$5:$P$1000,$P285,$S$5:$S$1000,"Macro")-1)&gt;0.0001),"Pesos del mes suman "&amp;TEXT(SUMIFS($G$5:$G$1000,$P$5:$P$1000,$P285,$S$5:$S$1000,"Macro"),"0%")&amp;" · ","")&amp;IF(AND(N($T285)&gt;0,COUNT($H285:$K285)&gt;0),"Con subactividades: deje vacías las semanas (se calculan solas)"&amp;" · ","")&amp;IF((COUNTIF($H285:$K285,"&gt;1")+COUNTIF($H285:$K285,"&lt;0")+COUNTA($H285:$K285)-COUNT($H285:$K285))&gt;0,"Avance fuera de rango 0-100%"&amp;" · ","")&amp;IF(OR(AND($I285&lt;&gt;"",$I285&lt;$H285),AND($J285&lt;&gt;"",$J285&lt;MAX($H285:$I285)),AND($K285&lt;&gt;"",$K285&lt;MAX($H285:$J285))),"Avance semanal decreciente"&amp;" · ","")&amp;IF(AND(ISNUMBER($F285),$F285&lt;FechaRef,N($L285)&lt;1),"Vencida"&amp;" · ","")&amp;IF(AND(ObsObligatoria="Sí",ISNUMBER($F285),$F285&lt;FechaRef,N($L285)&lt;1,$N285=""),"Vencida sin observación"&amp;" · ",""),LEN(IF(AND($S285="Macro",$B285=""),"Macroactividad vacía"&amp;" · ","")&amp;IF(AND($B285&lt;&gt;"",$C285&lt;&gt;""),"Escriba la subactividad en otra fila, debajo de su macroactividad"&amp;" · ","")&amp;IF(AND($S285="Sub",N($R285)=0),"Subactividad sin macroactividad arriba"&amp;" · ","")&amp;IF($D285="","Sin responsable"&amp;" · ","")&amp;IF($E285="","Sin fecha de inicio"&amp;" · ","")&amp;IF($F285="","Sin fecha límite"&amp;" · ","")&amp;IF(OR(AND($E285&lt;&gt;"",NOT(ISNUMBER($E285))),AND($F285&lt;&gt;"",NOT(ISNUMBER($F285)))),"Fecha no válida"&amp;" · ","")&amp;IF(AND(ISNUMBER($E285),ISNUMBER($F285),$E285&gt;$F285),"Inicio posterior a fecha límite"&amp;" · ","")&amp;IF(AND($S285="Macro",$G285=""),"Peso vacío"&amp;" · ","")&amp;IF(AND($S285="Macro",$G285&lt;&gt;"",OR(NOT(ISNUMBER($G285)),$G285&lt;=0,$G285&gt;1)),"Peso fuera de rango"&amp;" · ","")&amp;IF(AND($S285="Sub",$G285&lt;&gt;""),"Las subactividades no llevan peso"&amp;" · ","")&amp;IF(AND($S285="Macro",ABS(SUMIFS($G$5:$G$1000,$P$5:$P$1000,$P285,$S$5:$S$1000,"Macro")-1)&gt;0.0001),"Pesos del mes suman "&amp;TEXT(SUMIFS($G$5:$G$1000,$P$5:$P$1000,$P285,$S$5:$S$1000,"Macro"),"0%")&amp;" · ","")&amp;IF(AND(N($T285)&gt;0,COUNT($H285:$K285)&gt;0),"Con subactividades: deje vacías las semanas (se calculan solas)"&amp;" · ","")&amp;IF((COUNTIF($H285:$K285,"&gt;1")+COUNTIF($H285:$K285,"&lt;0")+COUNTA($H285:$K285)-COUNT($H285:$K285))&gt;0,"Avance fuera de rango 0-100%"&amp;" · ","")&amp;IF(OR(AND($I285&lt;&gt;"",$I285&lt;$H285),AND($J285&lt;&gt;"",$J285&lt;MAX($H285:$I285)),AND($K285&lt;&gt;"",$K285&lt;MAX($H285:$J285))),"Avance semanal decreciente"&amp;" · ","")&amp;IF(AND(ISNUMBER($F285),$F285&lt;FechaRef,N($L285)&lt;1),"Vencida"&amp;" · ","")&amp;IF(AND(ObsObligatoria="Sí",ISNUMBER($F285),$F285&lt;FechaRef,N($L285)&lt;1,$N285=""),"Vencida sin observación"&amp;" · ",""))-3)))</f>
        <v/>
      </c>
      <c r="P285" s="69">
        <f>IF(NOT((COUNTA($B285:$K285)+COUNTA($N285))&gt;0),"",IF(AND($S285="Sub",N($R285)&gt;0),IF(ISNUMBER(INDEX($E$5:$E$1000,$R285-4)),DATE(YEAR(INDEX($E$5:$E$1000,$R285-4)),MONTH(INDEX($E$5:$E$1000,$R285-4)),1),IF(ISNUMBER(INDEX($F$5:$F$1000,$R285-4)),DATE(YEAR(INDEX($F$5:$F$1000,$R285-4)),MONTH(INDEX($F$5:$F$1000,$R285-4)),1),MesCiclo)),IF(ISNUMBER($E285),DATE(YEAR($E285),MONTH($E285),1),IF(ISNUMBER($F285),DATE(YEAR($F285),MONTH($F285),1),MesCiclo))))</f>
        <v/>
      </c>
      <c r="Q285" s="70">
        <f>IF(OR($P285="",$P285&lt;&gt;MesCiclo),"",COUNTIF($P$5:$P285,MesCiclo))</f>
        <v/>
      </c>
      <c r="R285" s="70">
        <f>IF($S285="","",IF($S285="Macro",ROW(),IFERROR(LOOKUP(2,1/($S$5:$S285="Macro"),ROW($S$5:$S285)),0)))</f>
        <v/>
      </c>
      <c r="S285" s="70">
        <f>IF(NOT((COUNTA($B285:$K285)+COUNTA($N285))&gt;0),"",IF($B285&lt;&gt;"","Macro",IF($C285&lt;&gt;"","Sub","Macro")))</f>
        <v/>
      </c>
      <c r="T285" s="70">
        <f>IF($S285="Macro",COUNTIFS($R$5:$R$1000,ROW(),$S$5:$S$1000,"Sub"),"")</f>
        <v/>
      </c>
      <c r="U285" s="70">
        <f>IF($S285="","",IF(ISNUMBER($H285),$H285,0))</f>
        <v/>
      </c>
      <c r="V285" s="70">
        <f>IF($S285="","",IF(ISNUMBER($I285),$I285,$U285))</f>
        <v/>
      </c>
      <c r="W285" s="70">
        <f>IF($S285="","",IF(ISNUMBER($J285),$J285,$V285))</f>
        <v/>
      </c>
      <c r="X285" s="70">
        <f>IF($S285="","",IF(ISNUMBER($K285),$K285,$W285))</f>
        <v/>
      </c>
      <c r="Y285" s="70">
        <f>IF($S285="","",IF(N($T285)&gt;0,AVERAGEIFS($U$5:$U$1000,$R$5:$R$1000,ROW(),$S$5:$S$1000,"Sub"),$U285))</f>
        <v/>
      </c>
      <c r="Z285" s="70">
        <f>IF($S285="","",IF(N($T285)&gt;0,AVERAGEIFS($V$5:$V$1000,$R$5:$R$1000,ROW(),$S$5:$S$1000,"Sub"),$V285))</f>
        <v/>
      </c>
      <c r="AA285" s="70">
        <f>IF($S285="","",IF(N($T285)&gt;0,AVERAGEIFS($W$5:$W$1000,$R$5:$R$1000,ROW(),$S$5:$S$1000,"Sub"),$W285))</f>
        <v/>
      </c>
      <c r="AB285" s="70">
        <f>IF($S285="","",IF(N($T285)&gt;0,AVERAGEIFS($X$5:$X$1000,$R$5:$R$1000,ROW(),$S$5:$S$1000,"Sub"),$X285))</f>
        <v/>
      </c>
    </row>
    <row r="286">
      <c r="A286" s="61">
        <f>IF(NOT((COUNTA($B286:$K286)+COUNTA($N286))&gt;0),"",IF($S286="Macro",COUNTIFS($S$5:$S286,"Macro",$P$5:$P286,$P286),IF(N($R286)=0,"?",COUNTIFS(INDEX($S$5:$S$1000,1):INDEX($S$5:$S$1000,$R286-4),"Macro",INDEX($P$5:$P$1000,1):INDEX($P$5:$P$1000,$R286-4),INDEX($P$5:$P$1000,$R286-4))&amp;"."&amp;COUNTIFS($R$5:$R286,$R286,$S$5:$S286,"Sub"))))</f>
        <v/>
      </c>
      <c r="B286" s="62" t="n"/>
      <c r="C286" s="63" t="n"/>
      <c r="D286" s="62" t="n"/>
      <c r="E286" s="64" t="n"/>
      <c r="F286" s="64" t="n"/>
      <c r="G286" s="65" t="n"/>
      <c r="H286" s="66" t="n"/>
      <c r="I286" s="66" t="n"/>
      <c r="J286" s="66" t="n"/>
      <c r="K286" s="66" t="n"/>
      <c r="L286" s="67">
        <f>IF(NOT((COUNTA($B286:$K286)+COUNTA($N286))&gt;0),"",IF(N($T286)&gt;0,$AB286,IFERROR(LOOKUP(2,1/(H286:K286&lt;&gt;""),H286:K286),0)))</f>
        <v/>
      </c>
      <c r="M286" s="61">
        <f>IF(L286="","",IF(L286&gt;=1,"Completado",IF(L286&gt;0,"En curso","Pendiente")))</f>
        <v/>
      </c>
      <c r="N286" s="62" t="n"/>
      <c r="O286" s="68">
        <f>IF(NOT((COUNTA($B286:$K286)+COUNTA($N286))&gt;0),"",IF((IF(AND($S286="Macro",$B286=""),"Macroactividad vacía"&amp;" · ","")&amp;IF(AND($B286&lt;&gt;"",$C286&lt;&gt;""),"Escriba la subactividad en otra fila, debajo de su macroactividad"&amp;" · ","")&amp;IF(AND($S286="Sub",N($R286)=0),"Subactividad sin macroactividad arriba"&amp;" · ","")&amp;IF($D286="","Sin responsable"&amp;" · ","")&amp;IF($E286="","Sin fecha de inicio"&amp;" · ","")&amp;IF($F286="","Sin fecha límite"&amp;" · ","")&amp;IF(OR(AND($E286&lt;&gt;"",NOT(ISNUMBER($E286))),AND($F286&lt;&gt;"",NOT(ISNUMBER($F286)))),"Fecha no válida"&amp;" · ","")&amp;IF(AND(ISNUMBER($E286),ISNUMBER($F286),$E286&gt;$F286),"Inicio posterior a fecha límite"&amp;" · ","")&amp;IF(AND($S286="Macro",$G286=""),"Peso vacío"&amp;" · ","")&amp;IF(AND($S286="Macro",$G286&lt;&gt;"",OR(NOT(ISNUMBER($G286)),$G286&lt;=0,$G286&gt;1)),"Peso fuera de rango"&amp;" · ","")&amp;IF(AND($S286="Sub",$G286&lt;&gt;""),"Las subactividades no llevan peso"&amp;" · ","")&amp;IF(AND($S286="Macro",ABS(SUMIFS($G$5:$G$1000,$P$5:$P$1000,$P286,$S$5:$S$1000,"Macro")-1)&gt;0.0001),"Pesos del mes suman "&amp;TEXT(SUMIFS($G$5:$G$1000,$P$5:$P$1000,$P286,$S$5:$S$1000,"Macro"),"0%")&amp;" · ","")&amp;IF(AND(N($T286)&gt;0,COUNT($H286:$K286)&gt;0),"Con subactividades: deje vacías las semanas (se calculan solas)"&amp;" · ","")&amp;IF((COUNTIF($H286:$K286,"&gt;1")+COUNTIF($H286:$K286,"&lt;0")+COUNTA($H286:$K286)-COUNT($H286:$K286))&gt;0,"Avance fuera de rango 0-100%"&amp;" · ","")&amp;IF(OR(AND($I286&lt;&gt;"",$I286&lt;$H286),AND($J286&lt;&gt;"",$J286&lt;MAX($H286:$I286)),AND($K286&lt;&gt;"",$K286&lt;MAX($H286:$J286))),"Avance semanal decreciente"&amp;" · ","")&amp;IF(AND(ISNUMBER($F286),$F286&lt;FechaRef,N($L286)&lt;1),"Vencida"&amp;" · ","")&amp;IF(AND(ObsObligatoria="Sí",ISNUMBER($F286),$F286&lt;FechaRef,N($L286)&lt;1,$N286=""),"Vencida sin observación"&amp;" · ",""))="","✔ OK","⚠ "&amp;LEFT(IF(AND($S286="Macro",$B286=""),"Macroactividad vacía"&amp;" · ","")&amp;IF(AND($B286&lt;&gt;"",$C286&lt;&gt;""),"Escriba la subactividad en otra fila, debajo de su macroactividad"&amp;" · ","")&amp;IF(AND($S286="Sub",N($R286)=0),"Subactividad sin macroactividad arriba"&amp;" · ","")&amp;IF($D286="","Sin responsable"&amp;" · ","")&amp;IF($E286="","Sin fecha de inicio"&amp;" · ","")&amp;IF($F286="","Sin fecha límite"&amp;" · ","")&amp;IF(OR(AND($E286&lt;&gt;"",NOT(ISNUMBER($E286))),AND($F286&lt;&gt;"",NOT(ISNUMBER($F286)))),"Fecha no válida"&amp;" · ","")&amp;IF(AND(ISNUMBER($E286),ISNUMBER($F286),$E286&gt;$F286),"Inicio posterior a fecha límite"&amp;" · ","")&amp;IF(AND($S286="Macro",$G286=""),"Peso vacío"&amp;" · ","")&amp;IF(AND($S286="Macro",$G286&lt;&gt;"",OR(NOT(ISNUMBER($G286)),$G286&lt;=0,$G286&gt;1)),"Peso fuera de rango"&amp;" · ","")&amp;IF(AND($S286="Sub",$G286&lt;&gt;""),"Las subactividades no llevan peso"&amp;" · ","")&amp;IF(AND($S286="Macro",ABS(SUMIFS($G$5:$G$1000,$P$5:$P$1000,$P286,$S$5:$S$1000,"Macro")-1)&gt;0.0001),"Pesos del mes suman "&amp;TEXT(SUMIFS($G$5:$G$1000,$P$5:$P$1000,$P286,$S$5:$S$1000,"Macro"),"0%")&amp;" · ","")&amp;IF(AND(N($T286)&gt;0,COUNT($H286:$K286)&gt;0),"Con subactividades: deje vacías las semanas (se calculan solas)"&amp;" · ","")&amp;IF((COUNTIF($H286:$K286,"&gt;1")+COUNTIF($H286:$K286,"&lt;0")+COUNTA($H286:$K286)-COUNT($H286:$K286))&gt;0,"Avance fuera de rango 0-100%"&amp;" · ","")&amp;IF(OR(AND($I286&lt;&gt;"",$I286&lt;$H286),AND($J286&lt;&gt;"",$J286&lt;MAX($H286:$I286)),AND($K286&lt;&gt;"",$K286&lt;MAX($H286:$J286))),"Avance semanal decreciente"&amp;" · ","")&amp;IF(AND(ISNUMBER($F286),$F286&lt;FechaRef,N($L286)&lt;1),"Vencida"&amp;" · ","")&amp;IF(AND(ObsObligatoria="Sí",ISNUMBER($F286),$F286&lt;FechaRef,N($L286)&lt;1,$N286=""),"Vencida sin observación"&amp;" · ",""),LEN(IF(AND($S286="Macro",$B286=""),"Macroactividad vacía"&amp;" · ","")&amp;IF(AND($B286&lt;&gt;"",$C286&lt;&gt;""),"Escriba la subactividad en otra fila, debajo de su macroactividad"&amp;" · ","")&amp;IF(AND($S286="Sub",N($R286)=0),"Subactividad sin macroactividad arriba"&amp;" · ","")&amp;IF($D286="","Sin responsable"&amp;" · ","")&amp;IF($E286="","Sin fecha de inicio"&amp;" · ","")&amp;IF($F286="","Sin fecha límite"&amp;" · ","")&amp;IF(OR(AND($E286&lt;&gt;"",NOT(ISNUMBER($E286))),AND($F286&lt;&gt;"",NOT(ISNUMBER($F286)))),"Fecha no válida"&amp;" · ","")&amp;IF(AND(ISNUMBER($E286),ISNUMBER($F286),$E286&gt;$F286),"Inicio posterior a fecha límite"&amp;" · ","")&amp;IF(AND($S286="Macro",$G286=""),"Peso vacío"&amp;" · ","")&amp;IF(AND($S286="Macro",$G286&lt;&gt;"",OR(NOT(ISNUMBER($G286)),$G286&lt;=0,$G286&gt;1)),"Peso fuera de rango"&amp;" · ","")&amp;IF(AND($S286="Sub",$G286&lt;&gt;""),"Las subactividades no llevan peso"&amp;" · ","")&amp;IF(AND($S286="Macro",ABS(SUMIFS($G$5:$G$1000,$P$5:$P$1000,$P286,$S$5:$S$1000,"Macro")-1)&gt;0.0001),"Pesos del mes suman "&amp;TEXT(SUMIFS($G$5:$G$1000,$P$5:$P$1000,$P286,$S$5:$S$1000,"Macro"),"0%")&amp;" · ","")&amp;IF(AND(N($T286)&gt;0,COUNT($H286:$K286)&gt;0),"Con subactividades: deje vacías las semanas (se calculan solas)"&amp;" · ","")&amp;IF((COUNTIF($H286:$K286,"&gt;1")+COUNTIF($H286:$K286,"&lt;0")+COUNTA($H286:$K286)-COUNT($H286:$K286))&gt;0,"Avance fuera de rango 0-100%"&amp;" · ","")&amp;IF(OR(AND($I286&lt;&gt;"",$I286&lt;$H286),AND($J286&lt;&gt;"",$J286&lt;MAX($H286:$I286)),AND($K286&lt;&gt;"",$K286&lt;MAX($H286:$J286))),"Avance semanal decreciente"&amp;" · ","")&amp;IF(AND(ISNUMBER($F286),$F286&lt;FechaRef,N($L286)&lt;1),"Vencida"&amp;" · ","")&amp;IF(AND(ObsObligatoria="Sí",ISNUMBER($F286),$F286&lt;FechaRef,N($L286)&lt;1,$N286=""),"Vencida sin observación"&amp;" · ",""))-3)))</f>
        <v/>
      </c>
      <c r="P286" s="69">
        <f>IF(NOT((COUNTA($B286:$K286)+COUNTA($N286))&gt;0),"",IF(AND($S286="Sub",N($R286)&gt;0),IF(ISNUMBER(INDEX($E$5:$E$1000,$R286-4)),DATE(YEAR(INDEX($E$5:$E$1000,$R286-4)),MONTH(INDEX($E$5:$E$1000,$R286-4)),1),IF(ISNUMBER(INDEX($F$5:$F$1000,$R286-4)),DATE(YEAR(INDEX($F$5:$F$1000,$R286-4)),MONTH(INDEX($F$5:$F$1000,$R286-4)),1),MesCiclo)),IF(ISNUMBER($E286),DATE(YEAR($E286),MONTH($E286),1),IF(ISNUMBER($F286),DATE(YEAR($F286),MONTH($F286),1),MesCiclo))))</f>
        <v/>
      </c>
      <c r="Q286" s="70">
        <f>IF(OR($P286="",$P286&lt;&gt;MesCiclo),"",COUNTIF($P$5:$P286,MesCiclo))</f>
        <v/>
      </c>
      <c r="R286" s="70">
        <f>IF($S286="","",IF($S286="Macro",ROW(),IFERROR(LOOKUP(2,1/($S$5:$S286="Macro"),ROW($S$5:$S286)),0)))</f>
        <v/>
      </c>
      <c r="S286" s="70">
        <f>IF(NOT((COUNTA($B286:$K286)+COUNTA($N286))&gt;0),"",IF($B286&lt;&gt;"","Macro",IF($C286&lt;&gt;"","Sub","Macro")))</f>
        <v/>
      </c>
      <c r="T286" s="70">
        <f>IF($S286="Macro",COUNTIFS($R$5:$R$1000,ROW(),$S$5:$S$1000,"Sub"),"")</f>
        <v/>
      </c>
      <c r="U286" s="70">
        <f>IF($S286="","",IF(ISNUMBER($H286),$H286,0))</f>
        <v/>
      </c>
      <c r="V286" s="70">
        <f>IF($S286="","",IF(ISNUMBER($I286),$I286,$U286))</f>
        <v/>
      </c>
      <c r="W286" s="70">
        <f>IF($S286="","",IF(ISNUMBER($J286),$J286,$V286))</f>
        <v/>
      </c>
      <c r="X286" s="70">
        <f>IF($S286="","",IF(ISNUMBER($K286),$K286,$W286))</f>
        <v/>
      </c>
      <c r="Y286" s="70">
        <f>IF($S286="","",IF(N($T286)&gt;0,AVERAGEIFS($U$5:$U$1000,$R$5:$R$1000,ROW(),$S$5:$S$1000,"Sub"),$U286))</f>
        <v/>
      </c>
      <c r="Z286" s="70">
        <f>IF($S286="","",IF(N($T286)&gt;0,AVERAGEIFS($V$5:$V$1000,$R$5:$R$1000,ROW(),$S$5:$S$1000,"Sub"),$V286))</f>
        <v/>
      </c>
      <c r="AA286" s="70">
        <f>IF($S286="","",IF(N($T286)&gt;0,AVERAGEIFS($W$5:$W$1000,$R$5:$R$1000,ROW(),$S$5:$S$1000,"Sub"),$W286))</f>
        <v/>
      </c>
      <c r="AB286" s="70">
        <f>IF($S286="","",IF(N($T286)&gt;0,AVERAGEIFS($X$5:$X$1000,$R$5:$R$1000,ROW(),$S$5:$S$1000,"Sub"),$X286))</f>
        <v/>
      </c>
    </row>
    <row r="287">
      <c r="A287" s="61">
        <f>IF(NOT((COUNTA($B287:$K287)+COUNTA($N287))&gt;0),"",IF($S287="Macro",COUNTIFS($S$5:$S287,"Macro",$P$5:$P287,$P287),IF(N($R287)=0,"?",COUNTIFS(INDEX($S$5:$S$1000,1):INDEX($S$5:$S$1000,$R287-4),"Macro",INDEX($P$5:$P$1000,1):INDEX($P$5:$P$1000,$R287-4),INDEX($P$5:$P$1000,$R287-4))&amp;"."&amp;COUNTIFS($R$5:$R287,$R287,$S$5:$S287,"Sub"))))</f>
        <v/>
      </c>
      <c r="B287" s="62" t="n"/>
      <c r="C287" s="63" t="n"/>
      <c r="D287" s="62" t="n"/>
      <c r="E287" s="64" t="n"/>
      <c r="F287" s="64" t="n"/>
      <c r="G287" s="65" t="n"/>
      <c r="H287" s="66" t="n"/>
      <c r="I287" s="66" t="n"/>
      <c r="J287" s="66" t="n"/>
      <c r="K287" s="66" t="n"/>
      <c r="L287" s="67">
        <f>IF(NOT((COUNTA($B287:$K287)+COUNTA($N287))&gt;0),"",IF(N($T287)&gt;0,$AB287,IFERROR(LOOKUP(2,1/(H287:K287&lt;&gt;""),H287:K287),0)))</f>
        <v/>
      </c>
      <c r="M287" s="61">
        <f>IF(L287="","",IF(L287&gt;=1,"Completado",IF(L287&gt;0,"En curso","Pendiente")))</f>
        <v/>
      </c>
      <c r="N287" s="62" t="n"/>
      <c r="O287" s="68">
        <f>IF(NOT((COUNTA($B287:$K287)+COUNTA($N287))&gt;0),"",IF((IF(AND($S287="Macro",$B287=""),"Macroactividad vacía"&amp;" · ","")&amp;IF(AND($B287&lt;&gt;"",$C287&lt;&gt;""),"Escriba la subactividad en otra fila, debajo de su macroactividad"&amp;" · ","")&amp;IF(AND($S287="Sub",N($R287)=0),"Subactividad sin macroactividad arriba"&amp;" · ","")&amp;IF($D287="","Sin responsable"&amp;" · ","")&amp;IF($E287="","Sin fecha de inicio"&amp;" · ","")&amp;IF($F287="","Sin fecha límite"&amp;" · ","")&amp;IF(OR(AND($E287&lt;&gt;"",NOT(ISNUMBER($E287))),AND($F287&lt;&gt;"",NOT(ISNUMBER($F287)))),"Fecha no válida"&amp;" · ","")&amp;IF(AND(ISNUMBER($E287),ISNUMBER($F287),$E287&gt;$F287),"Inicio posterior a fecha límite"&amp;" · ","")&amp;IF(AND($S287="Macro",$G287=""),"Peso vacío"&amp;" · ","")&amp;IF(AND($S287="Macro",$G287&lt;&gt;"",OR(NOT(ISNUMBER($G287)),$G287&lt;=0,$G287&gt;1)),"Peso fuera de rango"&amp;" · ","")&amp;IF(AND($S287="Sub",$G287&lt;&gt;""),"Las subactividades no llevan peso"&amp;" · ","")&amp;IF(AND($S287="Macro",ABS(SUMIFS($G$5:$G$1000,$P$5:$P$1000,$P287,$S$5:$S$1000,"Macro")-1)&gt;0.0001),"Pesos del mes suman "&amp;TEXT(SUMIFS($G$5:$G$1000,$P$5:$P$1000,$P287,$S$5:$S$1000,"Macro"),"0%")&amp;" · ","")&amp;IF(AND(N($T287)&gt;0,COUNT($H287:$K287)&gt;0),"Con subactividades: deje vacías las semanas (se calculan solas)"&amp;" · ","")&amp;IF((COUNTIF($H287:$K287,"&gt;1")+COUNTIF($H287:$K287,"&lt;0")+COUNTA($H287:$K287)-COUNT($H287:$K287))&gt;0,"Avance fuera de rango 0-100%"&amp;" · ","")&amp;IF(OR(AND($I287&lt;&gt;"",$I287&lt;$H287),AND($J287&lt;&gt;"",$J287&lt;MAX($H287:$I287)),AND($K287&lt;&gt;"",$K287&lt;MAX($H287:$J287))),"Avance semanal decreciente"&amp;" · ","")&amp;IF(AND(ISNUMBER($F287),$F287&lt;FechaRef,N($L287)&lt;1),"Vencida"&amp;" · ","")&amp;IF(AND(ObsObligatoria="Sí",ISNUMBER($F287),$F287&lt;FechaRef,N($L287)&lt;1,$N287=""),"Vencida sin observación"&amp;" · ",""))="","✔ OK","⚠ "&amp;LEFT(IF(AND($S287="Macro",$B287=""),"Macroactividad vacía"&amp;" · ","")&amp;IF(AND($B287&lt;&gt;"",$C287&lt;&gt;""),"Escriba la subactividad en otra fila, debajo de su macroactividad"&amp;" · ","")&amp;IF(AND($S287="Sub",N($R287)=0),"Subactividad sin macroactividad arriba"&amp;" · ","")&amp;IF($D287="","Sin responsable"&amp;" · ","")&amp;IF($E287="","Sin fecha de inicio"&amp;" · ","")&amp;IF($F287="","Sin fecha límite"&amp;" · ","")&amp;IF(OR(AND($E287&lt;&gt;"",NOT(ISNUMBER($E287))),AND($F287&lt;&gt;"",NOT(ISNUMBER($F287)))),"Fecha no válida"&amp;" · ","")&amp;IF(AND(ISNUMBER($E287),ISNUMBER($F287),$E287&gt;$F287),"Inicio posterior a fecha límite"&amp;" · ","")&amp;IF(AND($S287="Macro",$G287=""),"Peso vacío"&amp;" · ","")&amp;IF(AND($S287="Macro",$G287&lt;&gt;"",OR(NOT(ISNUMBER($G287)),$G287&lt;=0,$G287&gt;1)),"Peso fuera de rango"&amp;" · ","")&amp;IF(AND($S287="Sub",$G287&lt;&gt;""),"Las subactividades no llevan peso"&amp;" · ","")&amp;IF(AND($S287="Macro",ABS(SUMIFS($G$5:$G$1000,$P$5:$P$1000,$P287,$S$5:$S$1000,"Macro")-1)&gt;0.0001),"Pesos del mes suman "&amp;TEXT(SUMIFS($G$5:$G$1000,$P$5:$P$1000,$P287,$S$5:$S$1000,"Macro"),"0%")&amp;" · ","")&amp;IF(AND(N($T287)&gt;0,COUNT($H287:$K287)&gt;0),"Con subactividades: deje vacías las semanas (se calculan solas)"&amp;" · ","")&amp;IF((COUNTIF($H287:$K287,"&gt;1")+COUNTIF($H287:$K287,"&lt;0")+COUNTA($H287:$K287)-COUNT($H287:$K287))&gt;0,"Avance fuera de rango 0-100%"&amp;" · ","")&amp;IF(OR(AND($I287&lt;&gt;"",$I287&lt;$H287),AND($J287&lt;&gt;"",$J287&lt;MAX($H287:$I287)),AND($K287&lt;&gt;"",$K287&lt;MAX($H287:$J287))),"Avance semanal decreciente"&amp;" · ","")&amp;IF(AND(ISNUMBER($F287),$F287&lt;FechaRef,N($L287)&lt;1),"Vencida"&amp;" · ","")&amp;IF(AND(ObsObligatoria="Sí",ISNUMBER($F287),$F287&lt;FechaRef,N($L287)&lt;1,$N287=""),"Vencida sin observación"&amp;" · ",""),LEN(IF(AND($S287="Macro",$B287=""),"Macroactividad vacía"&amp;" · ","")&amp;IF(AND($B287&lt;&gt;"",$C287&lt;&gt;""),"Escriba la subactividad en otra fila, debajo de su macroactividad"&amp;" · ","")&amp;IF(AND($S287="Sub",N($R287)=0),"Subactividad sin macroactividad arriba"&amp;" · ","")&amp;IF($D287="","Sin responsable"&amp;" · ","")&amp;IF($E287="","Sin fecha de inicio"&amp;" · ","")&amp;IF($F287="","Sin fecha límite"&amp;" · ","")&amp;IF(OR(AND($E287&lt;&gt;"",NOT(ISNUMBER($E287))),AND($F287&lt;&gt;"",NOT(ISNUMBER($F287)))),"Fecha no válida"&amp;" · ","")&amp;IF(AND(ISNUMBER($E287),ISNUMBER($F287),$E287&gt;$F287),"Inicio posterior a fecha límite"&amp;" · ","")&amp;IF(AND($S287="Macro",$G287=""),"Peso vacío"&amp;" · ","")&amp;IF(AND($S287="Macro",$G287&lt;&gt;"",OR(NOT(ISNUMBER($G287)),$G287&lt;=0,$G287&gt;1)),"Peso fuera de rango"&amp;" · ","")&amp;IF(AND($S287="Sub",$G287&lt;&gt;""),"Las subactividades no llevan peso"&amp;" · ","")&amp;IF(AND($S287="Macro",ABS(SUMIFS($G$5:$G$1000,$P$5:$P$1000,$P287,$S$5:$S$1000,"Macro")-1)&gt;0.0001),"Pesos del mes suman "&amp;TEXT(SUMIFS($G$5:$G$1000,$P$5:$P$1000,$P287,$S$5:$S$1000,"Macro"),"0%")&amp;" · ","")&amp;IF(AND(N($T287)&gt;0,COUNT($H287:$K287)&gt;0),"Con subactividades: deje vacías las semanas (se calculan solas)"&amp;" · ","")&amp;IF((COUNTIF($H287:$K287,"&gt;1")+COUNTIF($H287:$K287,"&lt;0")+COUNTA($H287:$K287)-COUNT($H287:$K287))&gt;0,"Avance fuera de rango 0-100%"&amp;" · ","")&amp;IF(OR(AND($I287&lt;&gt;"",$I287&lt;$H287),AND($J287&lt;&gt;"",$J287&lt;MAX($H287:$I287)),AND($K287&lt;&gt;"",$K287&lt;MAX($H287:$J287))),"Avance semanal decreciente"&amp;" · ","")&amp;IF(AND(ISNUMBER($F287),$F287&lt;FechaRef,N($L287)&lt;1),"Vencida"&amp;" · ","")&amp;IF(AND(ObsObligatoria="Sí",ISNUMBER($F287),$F287&lt;FechaRef,N($L287)&lt;1,$N287=""),"Vencida sin observación"&amp;" · ",""))-3)))</f>
        <v/>
      </c>
      <c r="P287" s="69">
        <f>IF(NOT((COUNTA($B287:$K287)+COUNTA($N287))&gt;0),"",IF(AND($S287="Sub",N($R287)&gt;0),IF(ISNUMBER(INDEX($E$5:$E$1000,$R287-4)),DATE(YEAR(INDEX($E$5:$E$1000,$R287-4)),MONTH(INDEX($E$5:$E$1000,$R287-4)),1),IF(ISNUMBER(INDEX($F$5:$F$1000,$R287-4)),DATE(YEAR(INDEX($F$5:$F$1000,$R287-4)),MONTH(INDEX($F$5:$F$1000,$R287-4)),1),MesCiclo)),IF(ISNUMBER($E287),DATE(YEAR($E287),MONTH($E287),1),IF(ISNUMBER($F287),DATE(YEAR($F287),MONTH($F287),1),MesCiclo))))</f>
        <v/>
      </c>
      <c r="Q287" s="70">
        <f>IF(OR($P287="",$P287&lt;&gt;MesCiclo),"",COUNTIF($P$5:$P287,MesCiclo))</f>
        <v/>
      </c>
      <c r="R287" s="70">
        <f>IF($S287="","",IF($S287="Macro",ROW(),IFERROR(LOOKUP(2,1/($S$5:$S287="Macro"),ROW($S$5:$S287)),0)))</f>
        <v/>
      </c>
      <c r="S287" s="70">
        <f>IF(NOT((COUNTA($B287:$K287)+COUNTA($N287))&gt;0),"",IF($B287&lt;&gt;"","Macro",IF($C287&lt;&gt;"","Sub","Macro")))</f>
        <v/>
      </c>
      <c r="T287" s="70">
        <f>IF($S287="Macro",COUNTIFS($R$5:$R$1000,ROW(),$S$5:$S$1000,"Sub"),"")</f>
        <v/>
      </c>
      <c r="U287" s="70">
        <f>IF($S287="","",IF(ISNUMBER($H287),$H287,0))</f>
        <v/>
      </c>
      <c r="V287" s="70">
        <f>IF($S287="","",IF(ISNUMBER($I287),$I287,$U287))</f>
        <v/>
      </c>
      <c r="W287" s="70">
        <f>IF($S287="","",IF(ISNUMBER($J287),$J287,$V287))</f>
        <v/>
      </c>
      <c r="X287" s="70">
        <f>IF($S287="","",IF(ISNUMBER($K287),$K287,$W287))</f>
        <v/>
      </c>
      <c r="Y287" s="70">
        <f>IF($S287="","",IF(N($T287)&gt;0,AVERAGEIFS($U$5:$U$1000,$R$5:$R$1000,ROW(),$S$5:$S$1000,"Sub"),$U287))</f>
        <v/>
      </c>
      <c r="Z287" s="70">
        <f>IF($S287="","",IF(N($T287)&gt;0,AVERAGEIFS($V$5:$V$1000,$R$5:$R$1000,ROW(),$S$5:$S$1000,"Sub"),$V287))</f>
        <v/>
      </c>
      <c r="AA287" s="70">
        <f>IF($S287="","",IF(N($T287)&gt;0,AVERAGEIFS($W$5:$W$1000,$R$5:$R$1000,ROW(),$S$5:$S$1000,"Sub"),$W287))</f>
        <v/>
      </c>
      <c r="AB287" s="70">
        <f>IF($S287="","",IF(N($T287)&gt;0,AVERAGEIFS($X$5:$X$1000,$R$5:$R$1000,ROW(),$S$5:$S$1000,"Sub"),$X287))</f>
        <v/>
      </c>
    </row>
    <row r="288">
      <c r="A288" s="61">
        <f>IF(NOT((COUNTA($B288:$K288)+COUNTA($N288))&gt;0),"",IF($S288="Macro",COUNTIFS($S$5:$S288,"Macro",$P$5:$P288,$P288),IF(N($R288)=0,"?",COUNTIFS(INDEX($S$5:$S$1000,1):INDEX($S$5:$S$1000,$R288-4),"Macro",INDEX($P$5:$P$1000,1):INDEX($P$5:$P$1000,$R288-4),INDEX($P$5:$P$1000,$R288-4))&amp;"."&amp;COUNTIFS($R$5:$R288,$R288,$S$5:$S288,"Sub"))))</f>
        <v/>
      </c>
      <c r="B288" s="62" t="n"/>
      <c r="C288" s="63" t="n"/>
      <c r="D288" s="62" t="n"/>
      <c r="E288" s="64" t="n"/>
      <c r="F288" s="64" t="n"/>
      <c r="G288" s="65" t="n"/>
      <c r="H288" s="66" t="n"/>
      <c r="I288" s="66" t="n"/>
      <c r="J288" s="66" t="n"/>
      <c r="K288" s="66" t="n"/>
      <c r="L288" s="67">
        <f>IF(NOT((COUNTA($B288:$K288)+COUNTA($N288))&gt;0),"",IF(N($T288)&gt;0,$AB288,IFERROR(LOOKUP(2,1/(H288:K288&lt;&gt;""),H288:K288),0)))</f>
        <v/>
      </c>
      <c r="M288" s="61">
        <f>IF(L288="","",IF(L288&gt;=1,"Completado",IF(L288&gt;0,"En curso","Pendiente")))</f>
        <v/>
      </c>
      <c r="N288" s="62" t="n"/>
      <c r="O288" s="68">
        <f>IF(NOT((COUNTA($B288:$K288)+COUNTA($N288))&gt;0),"",IF((IF(AND($S288="Macro",$B288=""),"Macroactividad vacía"&amp;" · ","")&amp;IF(AND($B288&lt;&gt;"",$C288&lt;&gt;""),"Escriba la subactividad en otra fila, debajo de su macroactividad"&amp;" · ","")&amp;IF(AND($S288="Sub",N($R288)=0),"Subactividad sin macroactividad arriba"&amp;" · ","")&amp;IF($D288="","Sin responsable"&amp;" · ","")&amp;IF($E288="","Sin fecha de inicio"&amp;" · ","")&amp;IF($F288="","Sin fecha límite"&amp;" · ","")&amp;IF(OR(AND($E288&lt;&gt;"",NOT(ISNUMBER($E288))),AND($F288&lt;&gt;"",NOT(ISNUMBER($F288)))),"Fecha no válida"&amp;" · ","")&amp;IF(AND(ISNUMBER($E288),ISNUMBER($F288),$E288&gt;$F288),"Inicio posterior a fecha límite"&amp;" · ","")&amp;IF(AND($S288="Macro",$G288=""),"Peso vacío"&amp;" · ","")&amp;IF(AND($S288="Macro",$G288&lt;&gt;"",OR(NOT(ISNUMBER($G288)),$G288&lt;=0,$G288&gt;1)),"Peso fuera de rango"&amp;" · ","")&amp;IF(AND($S288="Sub",$G288&lt;&gt;""),"Las subactividades no llevan peso"&amp;" · ","")&amp;IF(AND($S288="Macro",ABS(SUMIFS($G$5:$G$1000,$P$5:$P$1000,$P288,$S$5:$S$1000,"Macro")-1)&gt;0.0001),"Pesos del mes suman "&amp;TEXT(SUMIFS($G$5:$G$1000,$P$5:$P$1000,$P288,$S$5:$S$1000,"Macro"),"0%")&amp;" · ","")&amp;IF(AND(N($T288)&gt;0,COUNT($H288:$K288)&gt;0),"Con subactividades: deje vacías las semanas (se calculan solas)"&amp;" · ","")&amp;IF((COUNTIF($H288:$K288,"&gt;1")+COUNTIF($H288:$K288,"&lt;0")+COUNTA($H288:$K288)-COUNT($H288:$K288))&gt;0,"Avance fuera de rango 0-100%"&amp;" · ","")&amp;IF(OR(AND($I288&lt;&gt;"",$I288&lt;$H288),AND($J288&lt;&gt;"",$J288&lt;MAX($H288:$I288)),AND($K288&lt;&gt;"",$K288&lt;MAX($H288:$J288))),"Avance semanal decreciente"&amp;" · ","")&amp;IF(AND(ISNUMBER($F288),$F288&lt;FechaRef,N($L288)&lt;1),"Vencida"&amp;" · ","")&amp;IF(AND(ObsObligatoria="Sí",ISNUMBER($F288),$F288&lt;FechaRef,N($L288)&lt;1,$N288=""),"Vencida sin observación"&amp;" · ",""))="","✔ OK","⚠ "&amp;LEFT(IF(AND($S288="Macro",$B288=""),"Macroactividad vacía"&amp;" · ","")&amp;IF(AND($B288&lt;&gt;"",$C288&lt;&gt;""),"Escriba la subactividad en otra fila, debajo de su macroactividad"&amp;" · ","")&amp;IF(AND($S288="Sub",N($R288)=0),"Subactividad sin macroactividad arriba"&amp;" · ","")&amp;IF($D288="","Sin responsable"&amp;" · ","")&amp;IF($E288="","Sin fecha de inicio"&amp;" · ","")&amp;IF($F288="","Sin fecha límite"&amp;" · ","")&amp;IF(OR(AND($E288&lt;&gt;"",NOT(ISNUMBER($E288))),AND($F288&lt;&gt;"",NOT(ISNUMBER($F288)))),"Fecha no válida"&amp;" · ","")&amp;IF(AND(ISNUMBER($E288),ISNUMBER($F288),$E288&gt;$F288),"Inicio posterior a fecha límite"&amp;" · ","")&amp;IF(AND($S288="Macro",$G288=""),"Peso vacío"&amp;" · ","")&amp;IF(AND($S288="Macro",$G288&lt;&gt;"",OR(NOT(ISNUMBER($G288)),$G288&lt;=0,$G288&gt;1)),"Peso fuera de rango"&amp;" · ","")&amp;IF(AND($S288="Sub",$G288&lt;&gt;""),"Las subactividades no llevan peso"&amp;" · ","")&amp;IF(AND($S288="Macro",ABS(SUMIFS($G$5:$G$1000,$P$5:$P$1000,$P288,$S$5:$S$1000,"Macro")-1)&gt;0.0001),"Pesos del mes suman "&amp;TEXT(SUMIFS($G$5:$G$1000,$P$5:$P$1000,$P288,$S$5:$S$1000,"Macro"),"0%")&amp;" · ","")&amp;IF(AND(N($T288)&gt;0,COUNT($H288:$K288)&gt;0),"Con subactividades: deje vacías las semanas (se calculan solas)"&amp;" · ","")&amp;IF((COUNTIF($H288:$K288,"&gt;1")+COUNTIF($H288:$K288,"&lt;0")+COUNTA($H288:$K288)-COUNT($H288:$K288))&gt;0,"Avance fuera de rango 0-100%"&amp;" · ","")&amp;IF(OR(AND($I288&lt;&gt;"",$I288&lt;$H288),AND($J288&lt;&gt;"",$J288&lt;MAX($H288:$I288)),AND($K288&lt;&gt;"",$K288&lt;MAX($H288:$J288))),"Avance semanal decreciente"&amp;" · ","")&amp;IF(AND(ISNUMBER($F288),$F288&lt;FechaRef,N($L288)&lt;1),"Vencida"&amp;" · ","")&amp;IF(AND(ObsObligatoria="Sí",ISNUMBER($F288),$F288&lt;FechaRef,N($L288)&lt;1,$N288=""),"Vencida sin observación"&amp;" · ",""),LEN(IF(AND($S288="Macro",$B288=""),"Macroactividad vacía"&amp;" · ","")&amp;IF(AND($B288&lt;&gt;"",$C288&lt;&gt;""),"Escriba la subactividad en otra fila, debajo de su macroactividad"&amp;" · ","")&amp;IF(AND($S288="Sub",N($R288)=0),"Subactividad sin macroactividad arriba"&amp;" · ","")&amp;IF($D288="","Sin responsable"&amp;" · ","")&amp;IF($E288="","Sin fecha de inicio"&amp;" · ","")&amp;IF($F288="","Sin fecha límite"&amp;" · ","")&amp;IF(OR(AND($E288&lt;&gt;"",NOT(ISNUMBER($E288))),AND($F288&lt;&gt;"",NOT(ISNUMBER($F288)))),"Fecha no válida"&amp;" · ","")&amp;IF(AND(ISNUMBER($E288),ISNUMBER($F288),$E288&gt;$F288),"Inicio posterior a fecha límite"&amp;" · ","")&amp;IF(AND($S288="Macro",$G288=""),"Peso vacío"&amp;" · ","")&amp;IF(AND($S288="Macro",$G288&lt;&gt;"",OR(NOT(ISNUMBER($G288)),$G288&lt;=0,$G288&gt;1)),"Peso fuera de rango"&amp;" · ","")&amp;IF(AND($S288="Sub",$G288&lt;&gt;""),"Las subactividades no llevan peso"&amp;" · ","")&amp;IF(AND($S288="Macro",ABS(SUMIFS($G$5:$G$1000,$P$5:$P$1000,$P288,$S$5:$S$1000,"Macro")-1)&gt;0.0001),"Pesos del mes suman "&amp;TEXT(SUMIFS($G$5:$G$1000,$P$5:$P$1000,$P288,$S$5:$S$1000,"Macro"),"0%")&amp;" · ","")&amp;IF(AND(N($T288)&gt;0,COUNT($H288:$K288)&gt;0),"Con subactividades: deje vacías las semanas (se calculan solas)"&amp;" · ","")&amp;IF((COUNTIF($H288:$K288,"&gt;1")+COUNTIF($H288:$K288,"&lt;0")+COUNTA($H288:$K288)-COUNT($H288:$K288))&gt;0,"Avance fuera de rango 0-100%"&amp;" · ","")&amp;IF(OR(AND($I288&lt;&gt;"",$I288&lt;$H288),AND($J288&lt;&gt;"",$J288&lt;MAX($H288:$I288)),AND($K288&lt;&gt;"",$K288&lt;MAX($H288:$J288))),"Avance semanal decreciente"&amp;" · ","")&amp;IF(AND(ISNUMBER($F288),$F288&lt;FechaRef,N($L288)&lt;1),"Vencida"&amp;" · ","")&amp;IF(AND(ObsObligatoria="Sí",ISNUMBER($F288),$F288&lt;FechaRef,N($L288)&lt;1,$N288=""),"Vencida sin observación"&amp;" · ",""))-3)))</f>
        <v/>
      </c>
      <c r="P288" s="69">
        <f>IF(NOT((COUNTA($B288:$K288)+COUNTA($N288))&gt;0),"",IF(AND($S288="Sub",N($R288)&gt;0),IF(ISNUMBER(INDEX($E$5:$E$1000,$R288-4)),DATE(YEAR(INDEX($E$5:$E$1000,$R288-4)),MONTH(INDEX($E$5:$E$1000,$R288-4)),1),IF(ISNUMBER(INDEX($F$5:$F$1000,$R288-4)),DATE(YEAR(INDEX($F$5:$F$1000,$R288-4)),MONTH(INDEX($F$5:$F$1000,$R288-4)),1),MesCiclo)),IF(ISNUMBER($E288),DATE(YEAR($E288),MONTH($E288),1),IF(ISNUMBER($F288),DATE(YEAR($F288),MONTH($F288),1),MesCiclo))))</f>
        <v/>
      </c>
      <c r="Q288" s="70">
        <f>IF(OR($P288="",$P288&lt;&gt;MesCiclo),"",COUNTIF($P$5:$P288,MesCiclo))</f>
        <v/>
      </c>
      <c r="R288" s="70">
        <f>IF($S288="","",IF($S288="Macro",ROW(),IFERROR(LOOKUP(2,1/($S$5:$S288="Macro"),ROW($S$5:$S288)),0)))</f>
        <v/>
      </c>
      <c r="S288" s="70">
        <f>IF(NOT((COUNTA($B288:$K288)+COUNTA($N288))&gt;0),"",IF($B288&lt;&gt;"","Macro",IF($C288&lt;&gt;"","Sub","Macro")))</f>
        <v/>
      </c>
      <c r="T288" s="70">
        <f>IF($S288="Macro",COUNTIFS($R$5:$R$1000,ROW(),$S$5:$S$1000,"Sub"),"")</f>
        <v/>
      </c>
      <c r="U288" s="70">
        <f>IF($S288="","",IF(ISNUMBER($H288),$H288,0))</f>
        <v/>
      </c>
      <c r="V288" s="70">
        <f>IF($S288="","",IF(ISNUMBER($I288),$I288,$U288))</f>
        <v/>
      </c>
      <c r="W288" s="70">
        <f>IF($S288="","",IF(ISNUMBER($J288),$J288,$V288))</f>
        <v/>
      </c>
      <c r="X288" s="70">
        <f>IF($S288="","",IF(ISNUMBER($K288),$K288,$W288))</f>
        <v/>
      </c>
      <c r="Y288" s="70">
        <f>IF($S288="","",IF(N($T288)&gt;0,AVERAGEIFS($U$5:$U$1000,$R$5:$R$1000,ROW(),$S$5:$S$1000,"Sub"),$U288))</f>
        <v/>
      </c>
      <c r="Z288" s="70">
        <f>IF($S288="","",IF(N($T288)&gt;0,AVERAGEIFS($V$5:$V$1000,$R$5:$R$1000,ROW(),$S$5:$S$1000,"Sub"),$V288))</f>
        <v/>
      </c>
      <c r="AA288" s="70">
        <f>IF($S288="","",IF(N($T288)&gt;0,AVERAGEIFS($W$5:$W$1000,$R$5:$R$1000,ROW(),$S$5:$S$1000,"Sub"),$W288))</f>
        <v/>
      </c>
      <c r="AB288" s="70">
        <f>IF($S288="","",IF(N($T288)&gt;0,AVERAGEIFS($X$5:$X$1000,$R$5:$R$1000,ROW(),$S$5:$S$1000,"Sub"),$X288))</f>
        <v/>
      </c>
    </row>
    <row r="289">
      <c r="A289" s="61">
        <f>IF(NOT((COUNTA($B289:$K289)+COUNTA($N289))&gt;0),"",IF($S289="Macro",COUNTIFS($S$5:$S289,"Macro",$P$5:$P289,$P289),IF(N($R289)=0,"?",COUNTIFS(INDEX($S$5:$S$1000,1):INDEX($S$5:$S$1000,$R289-4),"Macro",INDEX($P$5:$P$1000,1):INDEX($P$5:$P$1000,$R289-4),INDEX($P$5:$P$1000,$R289-4))&amp;"."&amp;COUNTIFS($R$5:$R289,$R289,$S$5:$S289,"Sub"))))</f>
        <v/>
      </c>
      <c r="B289" s="62" t="n"/>
      <c r="C289" s="63" t="n"/>
      <c r="D289" s="62" t="n"/>
      <c r="E289" s="64" t="n"/>
      <c r="F289" s="64" t="n"/>
      <c r="G289" s="65" t="n"/>
      <c r="H289" s="66" t="n"/>
      <c r="I289" s="66" t="n"/>
      <c r="J289" s="66" t="n"/>
      <c r="K289" s="66" t="n"/>
      <c r="L289" s="67">
        <f>IF(NOT((COUNTA($B289:$K289)+COUNTA($N289))&gt;0),"",IF(N($T289)&gt;0,$AB289,IFERROR(LOOKUP(2,1/(H289:K289&lt;&gt;""),H289:K289),0)))</f>
        <v/>
      </c>
      <c r="M289" s="61">
        <f>IF(L289="","",IF(L289&gt;=1,"Completado",IF(L289&gt;0,"En curso","Pendiente")))</f>
        <v/>
      </c>
      <c r="N289" s="62" t="n"/>
      <c r="O289" s="68">
        <f>IF(NOT((COUNTA($B289:$K289)+COUNTA($N289))&gt;0),"",IF((IF(AND($S289="Macro",$B289=""),"Macroactividad vacía"&amp;" · ","")&amp;IF(AND($B289&lt;&gt;"",$C289&lt;&gt;""),"Escriba la subactividad en otra fila, debajo de su macroactividad"&amp;" · ","")&amp;IF(AND($S289="Sub",N($R289)=0),"Subactividad sin macroactividad arriba"&amp;" · ","")&amp;IF($D289="","Sin responsable"&amp;" · ","")&amp;IF($E289="","Sin fecha de inicio"&amp;" · ","")&amp;IF($F289="","Sin fecha límite"&amp;" · ","")&amp;IF(OR(AND($E289&lt;&gt;"",NOT(ISNUMBER($E289))),AND($F289&lt;&gt;"",NOT(ISNUMBER($F289)))),"Fecha no válida"&amp;" · ","")&amp;IF(AND(ISNUMBER($E289),ISNUMBER($F289),$E289&gt;$F289),"Inicio posterior a fecha límite"&amp;" · ","")&amp;IF(AND($S289="Macro",$G289=""),"Peso vacío"&amp;" · ","")&amp;IF(AND($S289="Macro",$G289&lt;&gt;"",OR(NOT(ISNUMBER($G289)),$G289&lt;=0,$G289&gt;1)),"Peso fuera de rango"&amp;" · ","")&amp;IF(AND($S289="Sub",$G289&lt;&gt;""),"Las subactividades no llevan peso"&amp;" · ","")&amp;IF(AND($S289="Macro",ABS(SUMIFS($G$5:$G$1000,$P$5:$P$1000,$P289,$S$5:$S$1000,"Macro")-1)&gt;0.0001),"Pesos del mes suman "&amp;TEXT(SUMIFS($G$5:$G$1000,$P$5:$P$1000,$P289,$S$5:$S$1000,"Macro"),"0%")&amp;" · ","")&amp;IF(AND(N($T289)&gt;0,COUNT($H289:$K289)&gt;0),"Con subactividades: deje vacías las semanas (se calculan solas)"&amp;" · ","")&amp;IF((COUNTIF($H289:$K289,"&gt;1")+COUNTIF($H289:$K289,"&lt;0")+COUNTA($H289:$K289)-COUNT($H289:$K289))&gt;0,"Avance fuera de rango 0-100%"&amp;" · ","")&amp;IF(OR(AND($I289&lt;&gt;"",$I289&lt;$H289),AND($J289&lt;&gt;"",$J289&lt;MAX($H289:$I289)),AND($K289&lt;&gt;"",$K289&lt;MAX($H289:$J289))),"Avance semanal decreciente"&amp;" · ","")&amp;IF(AND(ISNUMBER($F289),$F289&lt;FechaRef,N($L289)&lt;1),"Vencida"&amp;" · ","")&amp;IF(AND(ObsObligatoria="Sí",ISNUMBER($F289),$F289&lt;FechaRef,N($L289)&lt;1,$N289=""),"Vencida sin observación"&amp;" · ",""))="","✔ OK","⚠ "&amp;LEFT(IF(AND($S289="Macro",$B289=""),"Macroactividad vacía"&amp;" · ","")&amp;IF(AND($B289&lt;&gt;"",$C289&lt;&gt;""),"Escriba la subactividad en otra fila, debajo de su macroactividad"&amp;" · ","")&amp;IF(AND($S289="Sub",N($R289)=0),"Subactividad sin macroactividad arriba"&amp;" · ","")&amp;IF($D289="","Sin responsable"&amp;" · ","")&amp;IF($E289="","Sin fecha de inicio"&amp;" · ","")&amp;IF($F289="","Sin fecha límite"&amp;" · ","")&amp;IF(OR(AND($E289&lt;&gt;"",NOT(ISNUMBER($E289))),AND($F289&lt;&gt;"",NOT(ISNUMBER($F289)))),"Fecha no válida"&amp;" · ","")&amp;IF(AND(ISNUMBER($E289),ISNUMBER($F289),$E289&gt;$F289),"Inicio posterior a fecha límite"&amp;" · ","")&amp;IF(AND($S289="Macro",$G289=""),"Peso vacío"&amp;" · ","")&amp;IF(AND($S289="Macro",$G289&lt;&gt;"",OR(NOT(ISNUMBER($G289)),$G289&lt;=0,$G289&gt;1)),"Peso fuera de rango"&amp;" · ","")&amp;IF(AND($S289="Sub",$G289&lt;&gt;""),"Las subactividades no llevan peso"&amp;" · ","")&amp;IF(AND($S289="Macro",ABS(SUMIFS($G$5:$G$1000,$P$5:$P$1000,$P289,$S$5:$S$1000,"Macro")-1)&gt;0.0001),"Pesos del mes suman "&amp;TEXT(SUMIFS($G$5:$G$1000,$P$5:$P$1000,$P289,$S$5:$S$1000,"Macro"),"0%")&amp;" · ","")&amp;IF(AND(N($T289)&gt;0,COUNT($H289:$K289)&gt;0),"Con subactividades: deje vacías las semanas (se calculan solas)"&amp;" · ","")&amp;IF((COUNTIF($H289:$K289,"&gt;1")+COUNTIF($H289:$K289,"&lt;0")+COUNTA($H289:$K289)-COUNT($H289:$K289))&gt;0,"Avance fuera de rango 0-100%"&amp;" · ","")&amp;IF(OR(AND($I289&lt;&gt;"",$I289&lt;$H289),AND($J289&lt;&gt;"",$J289&lt;MAX($H289:$I289)),AND($K289&lt;&gt;"",$K289&lt;MAX($H289:$J289))),"Avance semanal decreciente"&amp;" · ","")&amp;IF(AND(ISNUMBER($F289),$F289&lt;FechaRef,N($L289)&lt;1),"Vencida"&amp;" · ","")&amp;IF(AND(ObsObligatoria="Sí",ISNUMBER($F289),$F289&lt;FechaRef,N($L289)&lt;1,$N289=""),"Vencida sin observación"&amp;" · ",""),LEN(IF(AND($S289="Macro",$B289=""),"Macroactividad vacía"&amp;" · ","")&amp;IF(AND($B289&lt;&gt;"",$C289&lt;&gt;""),"Escriba la subactividad en otra fila, debajo de su macroactividad"&amp;" · ","")&amp;IF(AND($S289="Sub",N($R289)=0),"Subactividad sin macroactividad arriba"&amp;" · ","")&amp;IF($D289="","Sin responsable"&amp;" · ","")&amp;IF($E289="","Sin fecha de inicio"&amp;" · ","")&amp;IF($F289="","Sin fecha límite"&amp;" · ","")&amp;IF(OR(AND($E289&lt;&gt;"",NOT(ISNUMBER($E289))),AND($F289&lt;&gt;"",NOT(ISNUMBER($F289)))),"Fecha no válida"&amp;" · ","")&amp;IF(AND(ISNUMBER($E289),ISNUMBER($F289),$E289&gt;$F289),"Inicio posterior a fecha límite"&amp;" · ","")&amp;IF(AND($S289="Macro",$G289=""),"Peso vacío"&amp;" · ","")&amp;IF(AND($S289="Macro",$G289&lt;&gt;"",OR(NOT(ISNUMBER($G289)),$G289&lt;=0,$G289&gt;1)),"Peso fuera de rango"&amp;" · ","")&amp;IF(AND($S289="Sub",$G289&lt;&gt;""),"Las subactividades no llevan peso"&amp;" · ","")&amp;IF(AND($S289="Macro",ABS(SUMIFS($G$5:$G$1000,$P$5:$P$1000,$P289,$S$5:$S$1000,"Macro")-1)&gt;0.0001),"Pesos del mes suman "&amp;TEXT(SUMIFS($G$5:$G$1000,$P$5:$P$1000,$P289,$S$5:$S$1000,"Macro"),"0%")&amp;" · ","")&amp;IF(AND(N($T289)&gt;0,COUNT($H289:$K289)&gt;0),"Con subactividades: deje vacías las semanas (se calculan solas)"&amp;" · ","")&amp;IF((COUNTIF($H289:$K289,"&gt;1")+COUNTIF($H289:$K289,"&lt;0")+COUNTA($H289:$K289)-COUNT($H289:$K289))&gt;0,"Avance fuera de rango 0-100%"&amp;" · ","")&amp;IF(OR(AND($I289&lt;&gt;"",$I289&lt;$H289),AND($J289&lt;&gt;"",$J289&lt;MAX($H289:$I289)),AND($K289&lt;&gt;"",$K289&lt;MAX($H289:$J289))),"Avance semanal decreciente"&amp;" · ","")&amp;IF(AND(ISNUMBER($F289),$F289&lt;FechaRef,N($L289)&lt;1),"Vencida"&amp;" · ","")&amp;IF(AND(ObsObligatoria="Sí",ISNUMBER($F289),$F289&lt;FechaRef,N($L289)&lt;1,$N289=""),"Vencida sin observación"&amp;" · ",""))-3)))</f>
        <v/>
      </c>
      <c r="P289" s="69">
        <f>IF(NOT((COUNTA($B289:$K289)+COUNTA($N289))&gt;0),"",IF(AND($S289="Sub",N($R289)&gt;0),IF(ISNUMBER(INDEX($E$5:$E$1000,$R289-4)),DATE(YEAR(INDEX($E$5:$E$1000,$R289-4)),MONTH(INDEX($E$5:$E$1000,$R289-4)),1),IF(ISNUMBER(INDEX($F$5:$F$1000,$R289-4)),DATE(YEAR(INDEX($F$5:$F$1000,$R289-4)),MONTH(INDEX($F$5:$F$1000,$R289-4)),1),MesCiclo)),IF(ISNUMBER($E289),DATE(YEAR($E289),MONTH($E289),1),IF(ISNUMBER($F289),DATE(YEAR($F289),MONTH($F289),1),MesCiclo))))</f>
        <v/>
      </c>
      <c r="Q289" s="70">
        <f>IF(OR($P289="",$P289&lt;&gt;MesCiclo),"",COUNTIF($P$5:$P289,MesCiclo))</f>
        <v/>
      </c>
      <c r="R289" s="70">
        <f>IF($S289="","",IF($S289="Macro",ROW(),IFERROR(LOOKUP(2,1/($S$5:$S289="Macro"),ROW($S$5:$S289)),0)))</f>
        <v/>
      </c>
      <c r="S289" s="70">
        <f>IF(NOT((COUNTA($B289:$K289)+COUNTA($N289))&gt;0),"",IF($B289&lt;&gt;"","Macro",IF($C289&lt;&gt;"","Sub","Macro")))</f>
        <v/>
      </c>
      <c r="T289" s="70">
        <f>IF($S289="Macro",COUNTIFS($R$5:$R$1000,ROW(),$S$5:$S$1000,"Sub"),"")</f>
        <v/>
      </c>
      <c r="U289" s="70">
        <f>IF($S289="","",IF(ISNUMBER($H289),$H289,0))</f>
        <v/>
      </c>
      <c r="V289" s="70">
        <f>IF($S289="","",IF(ISNUMBER($I289),$I289,$U289))</f>
        <v/>
      </c>
      <c r="W289" s="70">
        <f>IF($S289="","",IF(ISNUMBER($J289),$J289,$V289))</f>
        <v/>
      </c>
      <c r="X289" s="70">
        <f>IF($S289="","",IF(ISNUMBER($K289),$K289,$W289))</f>
        <v/>
      </c>
      <c r="Y289" s="70">
        <f>IF($S289="","",IF(N($T289)&gt;0,AVERAGEIFS($U$5:$U$1000,$R$5:$R$1000,ROW(),$S$5:$S$1000,"Sub"),$U289))</f>
        <v/>
      </c>
      <c r="Z289" s="70">
        <f>IF($S289="","",IF(N($T289)&gt;0,AVERAGEIFS($V$5:$V$1000,$R$5:$R$1000,ROW(),$S$5:$S$1000,"Sub"),$V289))</f>
        <v/>
      </c>
      <c r="AA289" s="70">
        <f>IF($S289="","",IF(N($T289)&gt;0,AVERAGEIFS($W$5:$W$1000,$R$5:$R$1000,ROW(),$S$5:$S$1000,"Sub"),$W289))</f>
        <v/>
      </c>
      <c r="AB289" s="70">
        <f>IF($S289="","",IF(N($T289)&gt;0,AVERAGEIFS($X$5:$X$1000,$R$5:$R$1000,ROW(),$S$5:$S$1000,"Sub"),$X289))</f>
        <v/>
      </c>
    </row>
    <row r="290">
      <c r="A290" s="61">
        <f>IF(NOT((COUNTA($B290:$K290)+COUNTA($N290))&gt;0),"",IF($S290="Macro",COUNTIFS($S$5:$S290,"Macro",$P$5:$P290,$P290),IF(N($R290)=0,"?",COUNTIFS(INDEX($S$5:$S$1000,1):INDEX($S$5:$S$1000,$R290-4),"Macro",INDEX($P$5:$P$1000,1):INDEX($P$5:$P$1000,$R290-4),INDEX($P$5:$P$1000,$R290-4))&amp;"."&amp;COUNTIFS($R$5:$R290,$R290,$S$5:$S290,"Sub"))))</f>
        <v/>
      </c>
      <c r="B290" s="62" t="n"/>
      <c r="C290" s="63" t="n"/>
      <c r="D290" s="62" t="n"/>
      <c r="E290" s="64" t="n"/>
      <c r="F290" s="64" t="n"/>
      <c r="G290" s="65" t="n"/>
      <c r="H290" s="66" t="n"/>
      <c r="I290" s="66" t="n"/>
      <c r="J290" s="66" t="n"/>
      <c r="K290" s="66" t="n"/>
      <c r="L290" s="67">
        <f>IF(NOT((COUNTA($B290:$K290)+COUNTA($N290))&gt;0),"",IF(N($T290)&gt;0,$AB290,IFERROR(LOOKUP(2,1/(H290:K290&lt;&gt;""),H290:K290),0)))</f>
        <v/>
      </c>
      <c r="M290" s="61">
        <f>IF(L290="","",IF(L290&gt;=1,"Completado",IF(L290&gt;0,"En curso","Pendiente")))</f>
        <v/>
      </c>
      <c r="N290" s="62" t="n"/>
      <c r="O290" s="68">
        <f>IF(NOT((COUNTA($B290:$K290)+COUNTA($N290))&gt;0),"",IF((IF(AND($S290="Macro",$B290=""),"Macroactividad vacía"&amp;" · ","")&amp;IF(AND($B290&lt;&gt;"",$C290&lt;&gt;""),"Escriba la subactividad en otra fila, debajo de su macroactividad"&amp;" · ","")&amp;IF(AND($S290="Sub",N($R290)=0),"Subactividad sin macroactividad arriba"&amp;" · ","")&amp;IF($D290="","Sin responsable"&amp;" · ","")&amp;IF($E290="","Sin fecha de inicio"&amp;" · ","")&amp;IF($F290="","Sin fecha límite"&amp;" · ","")&amp;IF(OR(AND($E290&lt;&gt;"",NOT(ISNUMBER($E290))),AND($F290&lt;&gt;"",NOT(ISNUMBER($F290)))),"Fecha no válida"&amp;" · ","")&amp;IF(AND(ISNUMBER($E290),ISNUMBER($F290),$E290&gt;$F290),"Inicio posterior a fecha límite"&amp;" · ","")&amp;IF(AND($S290="Macro",$G290=""),"Peso vacío"&amp;" · ","")&amp;IF(AND($S290="Macro",$G290&lt;&gt;"",OR(NOT(ISNUMBER($G290)),$G290&lt;=0,$G290&gt;1)),"Peso fuera de rango"&amp;" · ","")&amp;IF(AND($S290="Sub",$G290&lt;&gt;""),"Las subactividades no llevan peso"&amp;" · ","")&amp;IF(AND($S290="Macro",ABS(SUMIFS($G$5:$G$1000,$P$5:$P$1000,$P290,$S$5:$S$1000,"Macro")-1)&gt;0.0001),"Pesos del mes suman "&amp;TEXT(SUMIFS($G$5:$G$1000,$P$5:$P$1000,$P290,$S$5:$S$1000,"Macro"),"0%")&amp;" · ","")&amp;IF(AND(N($T290)&gt;0,COUNT($H290:$K290)&gt;0),"Con subactividades: deje vacías las semanas (se calculan solas)"&amp;" · ","")&amp;IF((COUNTIF($H290:$K290,"&gt;1")+COUNTIF($H290:$K290,"&lt;0")+COUNTA($H290:$K290)-COUNT($H290:$K290))&gt;0,"Avance fuera de rango 0-100%"&amp;" · ","")&amp;IF(OR(AND($I290&lt;&gt;"",$I290&lt;$H290),AND($J290&lt;&gt;"",$J290&lt;MAX($H290:$I290)),AND($K290&lt;&gt;"",$K290&lt;MAX($H290:$J290))),"Avance semanal decreciente"&amp;" · ","")&amp;IF(AND(ISNUMBER($F290),$F290&lt;FechaRef,N($L290)&lt;1),"Vencida"&amp;" · ","")&amp;IF(AND(ObsObligatoria="Sí",ISNUMBER($F290),$F290&lt;FechaRef,N($L290)&lt;1,$N290=""),"Vencida sin observación"&amp;" · ",""))="","✔ OK","⚠ "&amp;LEFT(IF(AND($S290="Macro",$B290=""),"Macroactividad vacía"&amp;" · ","")&amp;IF(AND($B290&lt;&gt;"",$C290&lt;&gt;""),"Escriba la subactividad en otra fila, debajo de su macroactividad"&amp;" · ","")&amp;IF(AND($S290="Sub",N($R290)=0),"Subactividad sin macroactividad arriba"&amp;" · ","")&amp;IF($D290="","Sin responsable"&amp;" · ","")&amp;IF($E290="","Sin fecha de inicio"&amp;" · ","")&amp;IF($F290="","Sin fecha límite"&amp;" · ","")&amp;IF(OR(AND($E290&lt;&gt;"",NOT(ISNUMBER($E290))),AND($F290&lt;&gt;"",NOT(ISNUMBER($F290)))),"Fecha no válida"&amp;" · ","")&amp;IF(AND(ISNUMBER($E290),ISNUMBER($F290),$E290&gt;$F290),"Inicio posterior a fecha límite"&amp;" · ","")&amp;IF(AND($S290="Macro",$G290=""),"Peso vacío"&amp;" · ","")&amp;IF(AND($S290="Macro",$G290&lt;&gt;"",OR(NOT(ISNUMBER($G290)),$G290&lt;=0,$G290&gt;1)),"Peso fuera de rango"&amp;" · ","")&amp;IF(AND($S290="Sub",$G290&lt;&gt;""),"Las subactividades no llevan peso"&amp;" · ","")&amp;IF(AND($S290="Macro",ABS(SUMIFS($G$5:$G$1000,$P$5:$P$1000,$P290,$S$5:$S$1000,"Macro")-1)&gt;0.0001),"Pesos del mes suman "&amp;TEXT(SUMIFS($G$5:$G$1000,$P$5:$P$1000,$P290,$S$5:$S$1000,"Macro"),"0%")&amp;" · ","")&amp;IF(AND(N($T290)&gt;0,COUNT($H290:$K290)&gt;0),"Con subactividades: deje vacías las semanas (se calculan solas)"&amp;" · ","")&amp;IF((COUNTIF($H290:$K290,"&gt;1")+COUNTIF($H290:$K290,"&lt;0")+COUNTA($H290:$K290)-COUNT($H290:$K290))&gt;0,"Avance fuera de rango 0-100%"&amp;" · ","")&amp;IF(OR(AND($I290&lt;&gt;"",$I290&lt;$H290),AND($J290&lt;&gt;"",$J290&lt;MAX($H290:$I290)),AND($K290&lt;&gt;"",$K290&lt;MAX($H290:$J290))),"Avance semanal decreciente"&amp;" · ","")&amp;IF(AND(ISNUMBER($F290),$F290&lt;FechaRef,N($L290)&lt;1),"Vencida"&amp;" · ","")&amp;IF(AND(ObsObligatoria="Sí",ISNUMBER($F290),$F290&lt;FechaRef,N($L290)&lt;1,$N290=""),"Vencida sin observación"&amp;" · ",""),LEN(IF(AND($S290="Macro",$B290=""),"Macroactividad vacía"&amp;" · ","")&amp;IF(AND($B290&lt;&gt;"",$C290&lt;&gt;""),"Escriba la subactividad en otra fila, debajo de su macroactividad"&amp;" · ","")&amp;IF(AND($S290="Sub",N($R290)=0),"Subactividad sin macroactividad arriba"&amp;" · ","")&amp;IF($D290="","Sin responsable"&amp;" · ","")&amp;IF($E290="","Sin fecha de inicio"&amp;" · ","")&amp;IF($F290="","Sin fecha límite"&amp;" · ","")&amp;IF(OR(AND($E290&lt;&gt;"",NOT(ISNUMBER($E290))),AND($F290&lt;&gt;"",NOT(ISNUMBER($F290)))),"Fecha no válida"&amp;" · ","")&amp;IF(AND(ISNUMBER($E290),ISNUMBER($F290),$E290&gt;$F290),"Inicio posterior a fecha límite"&amp;" · ","")&amp;IF(AND($S290="Macro",$G290=""),"Peso vacío"&amp;" · ","")&amp;IF(AND($S290="Macro",$G290&lt;&gt;"",OR(NOT(ISNUMBER($G290)),$G290&lt;=0,$G290&gt;1)),"Peso fuera de rango"&amp;" · ","")&amp;IF(AND($S290="Sub",$G290&lt;&gt;""),"Las subactividades no llevan peso"&amp;" · ","")&amp;IF(AND($S290="Macro",ABS(SUMIFS($G$5:$G$1000,$P$5:$P$1000,$P290,$S$5:$S$1000,"Macro")-1)&gt;0.0001),"Pesos del mes suman "&amp;TEXT(SUMIFS($G$5:$G$1000,$P$5:$P$1000,$P290,$S$5:$S$1000,"Macro"),"0%")&amp;" · ","")&amp;IF(AND(N($T290)&gt;0,COUNT($H290:$K290)&gt;0),"Con subactividades: deje vacías las semanas (se calculan solas)"&amp;" · ","")&amp;IF((COUNTIF($H290:$K290,"&gt;1")+COUNTIF($H290:$K290,"&lt;0")+COUNTA($H290:$K290)-COUNT($H290:$K290))&gt;0,"Avance fuera de rango 0-100%"&amp;" · ","")&amp;IF(OR(AND($I290&lt;&gt;"",$I290&lt;$H290),AND($J290&lt;&gt;"",$J290&lt;MAX($H290:$I290)),AND($K290&lt;&gt;"",$K290&lt;MAX($H290:$J290))),"Avance semanal decreciente"&amp;" · ","")&amp;IF(AND(ISNUMBER($F290),$F290&lt;FechaRef,N($L290)&lt;1),"Vencida"&amp;" · ","")&amp;IF(AND(ObsObligatoria="Sí",ISNUMBER($F290),$F290&lt;FechaRef,N($L290)&lt;1,$N290=""),"Vencida sin observación"&amp;" · ",""))-3)))</f>
        <v/>
      </c>
      <c r="P290" s="69">
        <f>IF(NOT((COUNTA($B290:$K290)+COUNTA($N290))&gt;0),"",IF(AND($S290="Sub",N($R290)&gt;0),IF(ISNUMBER(INDEX($E$5:$E$1000,$R290-4)),DATE(YEAR(INDEX($E$5:$E$1000,$R290-4)),MONTH(INDEX($E$5:$E$1000,$R290-4)),1),IF(ISNUMBER(INDEX($F$5:$F$1000,$R290-4)),DATE(YEAR(INDEX($F$5:$F$1000,$R290-4)),MONTH(INDEX($F$5:$F$1000,$R290-4)),1),MesCiclo)),IF(ISNUMBER($E290),DATE(YEAR($E290),MONTH($E290),1),IF(ISNUMBER($F290),DATE(YEAR($F290),MONTH($F290),1),MesCiclo))))</f>
        <v/>
      </c>
      <c r="Q290" s="70">
        <f>IF(OR($P290="",$P290&lt;&gt;MesCiclo),"",COUNTIF($P$5:$P290,MesCiclo))</f>
        <v/>
      </c>
      <c r="R290" s="70">
        <f>IF($S290="","",IF($S290="Macro",ROW(),IFERROR(LOOKUP(2,1/($S$5:$S290="Macro"),ROW($S$5:$S290)),0)))</f>
        <v/>
      </c>
      <c r="S290" s="70">
        <f>IF(NOT((COUNTA($B290:$K290)+COUNTA($N290))&gt;0),"",IF($B290&lt;&gt;"","Macro",IF($C290&lt;&gt;"","Sub","Macro")))</f>
        <v/>
      </c>
      <c r="T290" s="70">
        <f>IF($S290="Macro",COUNTIFS($R$5:$R$1000,ROW(),$S$5:$S$1000,"Sub"),"")</f>
        <v/>
      </c>
      <c r="U290" s="70">
        <f>IF($S290="","",IF(ISNUMBER($H290),$H290,0))</f>
        <v/>
      </c>
      <c r="V290" s="70">
        <f>IF($S290="","",IF(ISNUMBER($I290),$I290,$U290))</f>
        <v/>
      </c>
      <c r="W290" s="70">
        <f>IF($S290="","",IF(ISNUMBER($J290),$J290,$V290))</f>
        <v/>
      </c>
      <c r="X290" s="70">
        <f>IF($S290="","",IF(ISNUMBER($K290),$K290,$W290))</f>
        <v/>
      </c>
      <c r="Y290" s="70">
        <f>IF($S290="","",IF(N($T290)&gt;0,AVERAGEIFS($U$5:$U$1000,$R$5:$R$1000,ROW(),$S$5:$S$1000,"Sub"),$U290))</f>
        <v/>
      </c>
      <c r="Z290" s="70">
        <f>IF($S290="","",IF(N($T290)&gt;0,AVERAGEIFS($V$5:$V$1000,$R$5:$R$1000,ROW(),$S$5:$S$1000,"Sub"),$V290))</f>
        <v/>
      </c>
      <c r="AA290" s="70">
        <f>IF($S290="","",IF(N($T290)&gt;0,AVERAGEIFS($W$5:$W$1000,$R$5:$R$1000,ROW(),$S$5:$S$1000,"Sub"),$W290))</f>
        <v/>
      </c>
      <c r="AB290" s="70">
        <f>IF($S290="","",IF(N($T290)&gt;0,AVERAGEIFS($X$5:$X$1000,$R$5:$R$1000,ROW(),$S$5:$S$1000,"Sub"),$X290))</f>
        <v/>
      </c>
    </row>
    <row r="291">
      <c r="A291" s="61">
        <f>IF(NOT((COUNTA($B291:$K291)+COUNTA($N291))&gt;0),"",IF($S291="Macro",COUNTIFS($S$5:$S291,"Macro",$P$5:$P291,$P291),IF(N($R291)=0,"?",COUNTIFS(INDEX($S$5:$S$1000,1):INDEX($S$5:$S$1000,$R291-4),"Macro",INDEX($P$5:$P$1000,1):INDEX($P$5:$P$1000,$R291-4),INDEX($P$5:$P$1000,$R291-4))&amp;"."&amp;COUNTIFS($R$5:$R291,$R291,$S$5:$S291,"Sub"))))</f>
        <v/>
      </c>
      <c r="B291" s="62" t="n"/>
      <c r="C291" s="63" t="n"/>
      <c r="D291" s="62" t="n"/>
      <c r="E291" s="64" t="n"/>
      <c r="F291" s="64" t="n"/>
      <c r="G291" s="65" t="n"/>
      <c r="H291" s="66" t="n"/>
      <c r="I291" s="66" t="n"/>
      <c r="J291" s="66" t="n"/>
      <c r="K291" s="66" t="n"/>
      <c r="L291" s="67">
        <f>IF(NOT((COUNTA($B291:$K291)+COUNTA($N291))&gt;0),"",IF(N($T291)&gt;0,$AB291,IFERROR(LOOKUP(2,1/(H291:K291&lt;&gt;""),H291:K291),0)))</f>
        <v/>
      </c>
      <c r="M291" s="61">
        <f>IF(L291="","",IF(L291&gt;=1,"Completado",IF(L291&gt;0,"En curso","Pendiente")))</f>
        <v/>
      </c>
      <c r="N291" s="62" t="n"/>
      <c r="O291" s="68">
        <f>IF(NOT((COUNTA($B291:$K291)+COUNTA($N291))&gt;0),"",IF((IF(AND($S291="Macro",$B291=""),"Macroactividad vacía"&amp;" · ","")&amp;IF(AND($B291&lt;&gt;"",$C291&lt;&gt;""),"Escriba la subactividad en otra fila, debajo de su macroactividad"&amp;" · ","")&amp;IF(AND($S291="Sub",N($R291)=0),"Subactividad sin macroactividad arriba"&amp;" · ","")&amp;IF($D291="","Sin responsable"&amp;" · ","")&amp;IF($E291="","Sin fecha de inicio"&amp;" · ","")&amp;IF($F291="","Sin fecha límite"&amp;" · ","")&amp;IF(OR(AND($E291&lt;&gt;"",NOT(ISNUMBER($E291))),AND($F291&lt;&gt;"",NOT(ISNUMBER($F291)))),"Fecha no válida"&amp;" · ","")&amp;IF(AND(ISNUMBER($E291),ISNUMBER($F291),$E291&gt;$F291),"Inicio posterior a fecha límite"&amp;" · ","")&amp;IF(AND($S291="Macro",$G291=""),"Peso vacío"&amp;" · ","")&amp;IF(AND($S291="Macro",$G291&lt;&gt;"",OR(NOT(ISNUMBER($G291)),$G291&lt;=0,$G291&gt;1)),"Peso fuera de rango"&amp;" · ","")&amp;IF(AND($S291="Sub",$G291&lt;&gt;""),"Las subactividades no llevan peso"&amp;" · ","")&amp;IF(AND($S291="Macro",ABS(SUMIFS($G$5:$G$1000,$P$5:$P$1000,$P291,$S$5:$S$1000,"Macro")-1)&gt;0.0001),"Pesos del mes suman "&amp;TEXT(SUMIFS($G$5:$G$1000,$P$5:$P$1000,$P291,$S$5:$S$1000,"Macro"),"0%")&amp;" · ","")&amp;IF(AND(N($T291)&gt;0,COUNT($H291:$K291)&gt;0),"Con subactividades: deje vacías las semanas (se calculan solas)"&amp;" · ","")&amp;IF((COUNTIF($H291:$K291,"&gt;1")+COUNTIF($H291:$K291,"&lt;0")+COUNTA($H291:$K291)-COUNT($H291:$K291))&gt;0,"Avance fuera de rango 0-100%"&amp;" · ","")&amp;IF(OR(AND($I291&lt;&gt;"",$I291&lt;$H291),AND($J291&lt;&gt;"",$J291&lt;MAX($H291:$I291)),AND($K291&lt;&gt;"",$K291&lt;MAX($H291:$J291))),"Avance semanal decreciente"&amp;" · ","")&amp;IF(AND(ISNUMBER($F291),$F291&lt;FechaRef,N($L291)&lt;1),"Vencida"&amp;" · ","")&amp;IF(AND(ObsObligatoria="Sí",ISNUMBER($F291),$F291&lt;FechaRef,N($L291)&lt;1,$N291=""),"Vencida sin observación"&amp;" · ",""))="","✔ OK","⚠ "&amp;LEFT(IF(AND($S291="Macro",$B291=""),"Macroactividad vacía"&amp;" · ","")&amp;IF(AND($B291&lt;&gt;"",$C291&lt;&gt;""),"Escriba la subactividad en otra fila, debajo de su macroactividad"&amp;" · ","")&amp;IF(AND($S291="Sub",N($R291)=0),"Subactividad sin macroactividad arriba"&amp;" · ","")&amp;IF($D291="","Sin responsable"&amp;" · ","")&amp;IF($E291="","Sin fecha de inicio"&amp;" · ","")&amp;IF($F291="","Sin fecha límite"&amp;" · ","")&amp;IF(OR(AND($E291&lt;&gt;"",NOT(ISNUMBER($E291))),AND($F291&lt;&gt;"",NOT(ISNUMBER($F291)))),"Fecha no válida"&amp;" · ","")&amp;IF(AND(ISNUMBER($E291),ISNUMBER($F291),$E291&gt;$F291),"Inicio posterior a fecha límite"&amp;" · ","")&amp;IF(AND($S291="Macro",$G291=""),"Peso vacío"&amp;" · ","")&amp;IF(AND($S291="Macro",$G291&lt;&gt;"",OR(NOT(ISNUMBER($G291)),$G291&lt;=0,$G291&gt;1)),"Peso fuera de rango"&amp;" · ","")&amp;IF(AND($S291="Sub",$G291&lt;&gt;""),"Las subactividades no llevan peso"&amp;" · ","")&amp;IF(AND($S291="Macro",ABS(SUMIFS($G$5:$G$1000,$P$5:$P$1000,$P291,$S$5:$S$1000,"Macro")-1)&gt;0.0001),"Pesos del mes suman "&amp;TEXT(SUMIFS($G$5:$G$1000,$P$5:$P$1000,$P291,$S$5:$S$1000,"Macro"),"0%")&amp;" · ","")&amp;IF(AND(N($T291)&gt;0,COUNT($H291:$K291)&gt;0),"Con subactividades: deje vacías las semanas (se calculan solas)"&amp;" · ","")&amp;IF((COUNTIF($H291:$K291,"&gt;1")+COUNTIF($H291:$K291,"&lt;0")+COUNTA($H291:$K291)-COUNT($H291:$K291))&gt;0,"Avance fuera de rango 0-100%"&amp;" · ","")&amp;IF(OR(AND($I291&lt;&gt;"",$I291&lt;$H291),AND($J291&lt;&gt;"",$J291&lt;MAX($H291:$I291)),AND($K291&lt;&gt;"",$K291&lt;MAX($H291:$J291))),"Avance semanal decreciente"&amp;" · ","")&amp;IF(AND(ISNUMBER($F291),$F291&lt;FechaRef,N($L291)&lt;1),"Vencida"&amp;" · ","")&amp;IF(AND(ObsObligatoria="Sí",ISNUMBER($F291),$F291&lt;FechaRef,N($L291)&lt;1,$N291=""),"Vencida sin observación"&amp;" · ",""),LEN(IF(AND($S291="Macro",$B291=""),"Macroactividad vacía"&amp;" · ","")&amp;IF(AND($B291&lt;&gt;"",$C291&lt;&gt;""),"Escriba la subactividad en otra fila, debajo de su macroactividad"&amp;" · ","")&amp;IF(AND($S291="Sub",N($R291)=0),"Subactividad sin macroactividad arriba"&amp;" · ","")&amp;IF($D291="","Sin responsable"&amp;" · ","")&amp;IF($E291="","Sin fecha de inicio"&amp;" · ","")&amp;IF($F291="","Sin fecha límite"&amp;" · ","")&amp;IF(OR(AND($E291&lt;&gt;"",NOT(ISNUMBER($E291))),AND($F291&lt;&gt;"",NOT(ISNUMBER($F291)))),"Fecha no válida"&amp;" · ","")&amp;IF(AND(ISNUMBER($E291),ISNUMBER($F291),$E291&gt;$F291),"Inicio posterior a fecha límite"&amp;" · ","")&amp;IF(AND($S291="Macro",$G291=""),"Peso vacío"&amp;" · ","")&amp;IF(AND($S291="Macro",$G291&lt;&gt;"",OR(NOT(ISNUMBER($G291)),$G291&lt;=0,$G291&gt;1)),"Peso fuera de rango"&amp;" · ","")&amp;IF(AND($S291="Sub",$G291&lt;&gt;""),"Las subactividades no llevan peso"&amp;" · ","")&amp;IF(AND($S291="Macro",ABS(SUMIFS($G$5:$G$1000,$P$5:$P$1000,$P291,$S$5:$S$1000,"Macro")-1)&gt;0.0001),"Pesos del mes suman "&amp;TEXT(SUMIFS($G$5:$G$1000,$P$5:$P$1000,$P291,$S$5:$S$1000,"Macro"),"0%")&amp;" · ","")&amp;IF(AND(N($T291)&gt;0,COUNT($H291:$K291)&gt;0),"Con subactividades: deje vacías las semanas (se calculan solas)"&amp;" · ","")&amp;IF((COUNTIF($H291:$K291,"&gt;1")+COUNTIF($H291:$K291,"&lt;0")+COUNTA($H291:$K291)-COUNT($H291:$K291))&gt;0,"Avance fuera de rango 0-100%"&amp;" · ","")&amp;IF(OR(AND($I291&lt;&gt;"",$I291&lt;$H291),AND($J291&lt;&gt;"",$J291&lt;MAX($H291:$I291)),AND($K291&lt;&gt;"",$K291&lt;MAX($H291:$J291))),"Avance semanal decreciente"&amp;" · ","")&amp;IF(AND(ISNUMBER($F291),$F291&lt;FechaRef,N($L291)&lt;1),"Vencida"&amp;" · ","")&amp;IF(AND(ObsObligatoria="Sí",ISNUMBER($F291),$F291&lt;FechaRef,N($L291)&lt;1,$N291=""),"Vencida sin observación"&amp;" · ",""))-3)))</f>
        <v/>
      </c>
      <c r="P291" s="69">
        <f>IF(NOT((COUNTA($B291:$K291)+COUNTA($N291))&gt;0),"",IF(AND($S291="Sub",N($R291)&gt;0),IF(ISNUMBER(INDEX($E$5:$E$1000,$R291-4)),DATE(YEAR(INDEX($E$5:$E$1000,$R291-4)),MONTH(INDEX($E$5:$E$1000,$R291-4)),1),IF(ISNUMBER(INDEX($F$5:$F$1000,$R291-4)),DATE(YEAR(INDEX($F$5:$F$1000,$R291-4)),MONTH(INDEX($F$5:$F$1000,$R291-4)),1),MesCiclo)),IF(ISNUMBER($E291),DATE(YEAR($E291),MONTH($E291),1),IF(ISNUMBER($F291),DATE(YEAR($F291),MONTH($F291),1),MesCiclo))))</f>
        <v/>
      </c>
      <c r="Q291" s="70">
        <f>IF(OR($P291="",$P291&lt;&gt;MesCiclo),"",COUNTIF($P$5:$P291,MesCiclo))</f>
        <v/>
      </c>
      <c r="R291" s="70">
        <f>IF($S291="","",IF($S291="Macro",ROW(),IFERROR(LOOKUP(2,1/($S$5:$S291="Macro"),ROW($S$5:$S291)),0)))</f>
        <v/>
      </c>
      <c r="S291" s="70">
        <f>IF(NOT((COUNTA($B291:$K291)+COUNTA($N291))&gt;0),"",IF($B291&lt;&gt;"","Macro",IF($C291&lt;&gt;"","Sub","Macro")))</f>
        <v/>
      </c>
      <c r="T291" s="70">
        <f>IF($S291="Macro",COUNTIFS($R$5:$R$1000,ROW(),$S$5:$S$1000,"Sub"),"")</f>
        <v/>
      </c>
      <c r="U291" s="70">
        <f>IF($S291="","",IF(ISNUMBER($H291),$H291,0))</f>
        <v/>
      </c>
      <c r="V291" s="70">
        <f>IF($S291="","",IF(ISNUMBER($I291),$I291,$U291))</f>
        <v/>
      </c>
      <c r="W291" s="70">
        <f>IF($S291="","",IF(ISNUMBER($J291),$J291,$V291))</f>
        <v/>
      </c>
      <c r="X291" s="70">
        <f>IF($S291="","",IF(ISNUMBER($K291),$K291,$W291))</f>
        <v/>
      </c>
      <c r="Y291" s="70">
        <f>IF($S291="","",IF(N($T291)&gt;0,AVERAGEIFS($U$5:$U$1000,$R$5:$R$1000,ROW(),$S$5:$S$1000,"Sub"),$U291))</f>
        <v/>
      </c>
      <c r="Z291" s="70">
        <f>IF($S291="","",IF(N($T291)&gt;0,AVERAGEIFS($V$5:$V$1000,$R$5:$R$1000,ROW(),$S$5:$S$1000,"Sub"),$V291))</f>
        <v/>
      </c>
      <c r="AA291" s="70">
        <f>IF($S291="","",IF(N($T291)&gt;0,AVERAGEIFS($W$5:$W$1000,$R$5:$R$1000,ROW(),$S$5:$S$1000,"Sub"),$W291))</f>
        <v/>
      </c>
      <c r="AB291" s="70">
        <f>IF($S291="","",IF(N($T291)&gt;0,AVERAGEIFS($X$5:$X$1000,$R$5:$R$1000,ROW(),$S$5:$S$1000,"Sub"),$X291))</f>
        <v/>
      </c>
    </row>
    <row r="292">
      <c r="A292" s="61">
        <f>IF(NOT((COUNTA($B292:$K292)+COUNTA($N292))&gt;0),"",IF($S292="Macro",COUNTIFS($S$5:$S292,"Macro",$P$5:$P292,$P292),IF(N($R292)=0,"?",COUNTIFS(INDEX($S$5:$S$1000,1):INDEX($S$5:$S$1000,$R292-4),"Macro",INDEX($P$5:$P$1000,1):INDEX($P$5:$P$1000,$R292-4),INDEX($P$5:$P$1000,$R292-4))&amp;"."&amp;COUNTIFS($R$5:$R292,$R292,$S$5:$S292,"Sub"))))</f>
        <v/>
      </c>
      <c r="B292" s="62" t="n"/>
      <c r="C292" s="63" t="n"/>
      <c r="D292" s="62" t="n"/>
      <c r="E292" s="64" t="n"/>
      <c r="F292" s="64" t="n"/>
      <c r="G292" s="65" t="n"/>
      <c r="H292" s="66" t="n"/>
      <c r="I292" s="66" t="n"/>
      <c r="J292" s="66" t="n"/>
      <c r="K292" s="66" t="n"/>
      <c r="L292" s="67">
        <f>IF(NOT((COUNTA($B292:$K292)+COUNTA($N292))&gt;0),"",IF(N($T292)&gt;0,$AB292,IFERROR(LOOKUP(2,1/(H292:K292&lt;&gt;""),H292:K292),0)))</f>
        <v/>
      </c>
      <c r="M292" s="61">
        <f>IF(L292="","",IF(L292&gt;=1,"Completado",IF(L292&gt;0,"En curso","Pendiente")))</f>
        <v/>
      </c>
      <c r="N292" s="62" t="n"/>
      <c r="O292" s="68">
        <f>IF(NOT((COUNTA($B292:$K292)+COUNTA($N292))&gt;0),"",IF((IF(AND($S292="Macro",$B292=""),"Macroactividad vacía"&amp;" · ","")&amp;IF(AND($B292&lt;&gt;"",$C292&lt;&gt;""),"Escriba la subactividad en otra fila, debajo de su macroactividad"&amp;" · ","")&amp;IF(AND($S292="Sub",N($R292)=0),"Subactividad sin macroactividad arriba"&amp;" · ","")&amp;IF($D292="","Sin responsable"&amp;" · ","")&amp;IF($E292="","Sin fecha de inicio"&amp;" · ","")&amp;IF($F292="","Sin fecha límite"&amp;" · ","")&amp;IF(OR(AND($E292&lt;&gt;"",NOT(ISNUMBER($E292))),AND($F292&lt;&gt;"",NOT(ISNUMBER($F292)))),"Fecha no válida"&amp;" · ","")&amp;IF(AND(ISNUMBER($E292),ISNUMBER($F292),$E292&gt;$F292),"Inicio posterior a fecha límite"&amp;" · ","")&amp;IF(AND($S292="Macro",$G292=""),"Peso vacío"&amp;" · ","")&amp;IF(AND($S292="Macro",$G292&lt;&gt;"",OR(NOT(ISNUMBER($G292)),$G292&lt;=0,$G292&gt;1)),"Peso fuera de rango"&amp;" · ","")&amp;IF(AND($S292="Sub",$G292&lt;&gt;""),"Las subactividades no llevan peso"&amp;" · ","")&amp;IF(AND($S292="Macro",ABS(SUMIFS($G$5:$G$1000,$P$5:$P$1000,$P292,$S$5:$S$1000,"Macro")-1)&gt;0.0001),"Pesos del mes suman "&amp;TEXT(SUMIFS($G$5:$G$1000,$P$5:$P$1000,$P292,$S$5:$S$1000,"Macro"),"0%")&amp;" · ","")&amp;IF(AND(N($T292)&gt;0,COUNT($H292:$K292)&gt;0),"Con subactividades: deje vacías las semanas (se calculan solas)"&amp;" · ","")&amp;IF((COUNTIF($H292:$K292,"&gt;1")+COUNTIF($H292:$K292,"&lt;0")+COUNTA($H292:$K292)-COUNT($H292:$K292))&gt;0,"Avance fuera de rango 0-100%"&amp;" · ","")&amp;IF(OR(AND($I292&lt;&gt;"",$I292&lt;$H292),AND($J292&lt;&gt;"",$J292&lt;MAX($H292:$I292)),AND($K292&lt;&gt;"",$K292&lt;MAX($H292:$J292))),"Avance semanal decreciente"&amp;" · ","")&amp;IF(AND(ISNUMBER($F292),$F292&lt;FechaRef,N($L292)&lt;1),"Vencida"&amp;" · ","")&amp;IF(AND(ObsObligatoria="Sí",ISNUMBER($F292),$F292&lt;FechaRef,N($L292)&lt;1,$N292=""),"Vencida sin observación"&amp;" · ",""))="","✔ OK","⚠ "&amp;LEFT(IF(AND($S292="Macro",$B292=""),"Macroactividad vacía"&amp;" · ","")&amp;IF(AND($B292&lt;&gt;"",$C292&lt;&gt;""),"Escriba la subactividad en otra fila, debajo de su macroactividad"&amp;" · ","")&amp;IF(AND($S292="Sub",N($R292)=0),"Subactividad sin macroactividad arriba"&amp;" · ","")&amp;IF($D292="","Sin responsable"&amp;" · ","")&amp;IF($E292="","Sin fecha de inicio"&amp;" · ","")&amp;IF($F292="","Sin fecha límite"&amp;" · ","")&amp;IF(OR(AND($E292&lt;&gt;"",NOT(ISNUMBER($E292))),AND($F292&lt;&gt;"",NOT(ISNUMBER($F292)))),"Fecha no válida"&amp;" · ","")&amp;IF(AND(ISNUMBER($E292),ISNUMBER($F292),$E292&gt;$F292),"Inicio posterior a fecha límite"&amp;" · ","")&amp;IF(AND($S292="Macro",$G292=""),"Peso vacío"&amp;" · ","")&amp;IF(AND($S292="Macro",$G292&lt;&gt;"",OR(NOT(ISNUMBER($G292)),$G292&lt;=0,$G292&gt;1)),"Peso fuera de rango"&amp;" · ","")&amp;IF(AND($S292="Sub",$G292&lt;&gt;""),"Las subactividades no llevan peso"&amp;" · ","")&amp;IF(AND($S292="Macro",ABS(SUMIFS($G$5:$G$1000,$P$5:$P$1000,$P292,$S$5:$S$1000,"Macro")-1)&gt;0.0001),"Pesos del mes suman "&amp;TEXT(SUMIFS($G$5:$G$1000,$P$5:$P$1000,$P292,$S$5:$S$1000,"Macro"),"0%")&amp;" · ","")&amp;IF(AND(N($T292)&gt;0,COUNT($H292:$K292)&gt;0),"Con subactividades: deje vacías las semanas (se calculan solas)"&amp;" · ","")&amp;IF((COUNTIF($H292:$K292,"&gt;1")+COUNTIF($H292:$K292,"&lt;0")+COUNTA($H292:$K292)-COUNT($H292:$K292))&gt;0,"Avance fuera de rango 0-100%"&amp;" · ","")&amp;IF(OR(AND($I292&lt;&gt;"",$I292&lt;$H292),AND($J292&lt;&gt;"",$J292&lt;MAX($H292:$I292)),AND($K292&lt;&gt;"",$K292&lt;MAX($H292:$J292))),"Avance semanal decreciente"&amp;" · ","")&amp;IF(AND(ISNUMBER($F292),$F292&lt;FechaRef,N($L292)&lt;1),"Vencida"&amp;" · ","")&amp;IF(AND(ObsObligatoria="Sí",ISNUMBER($F292),$F292&lt;FechaRef,N($L292)&lt;1,$N292=""),"Vencida sin observación"&amp;" · ",""),LEN(IF(AND($S292="Macro",$B292=""),"Macroactividad vacía"&amp;" · ","")&amp;IF(AND($B292&lt;&gt;"",$C292&lt;&gt;""),"Escriba la subactividad en otra fila, debajo de su macroactividad"&amp;" · ","")&amp;IF(AND($S292="Sub",N($R292)=0),"Subactividad sin macroactividad arriba"&amp;" · ","")&amp;IF($D292="","Sin responsable"&amp;" · ","")&amp;IF($E292="","Sin fecha de inicio"&amp;" · ","")&amp;IF($F292="","Sin fecha límite"&amp;" · ","")&amp;IF(OR(AND($E292&lt;&gt;"",NOT(ISNUMBER($E292))),AND($F292&lt;&gt;"",NOT(ISNUMBER($F292)))),"Fecha no válida"&amp;" · ","")&amp;IF(AND(ISNUMBER($E292),ISNUMBER($F292),$E292&gt;$F292),"Inicio posterior a fecha límite"&amp;" · ","")&amp;IF(AND($S292="Macro",$G292=""),"Peso vacío"&amp;" · ","")&amp;IF(AND($S292="Macro",$G292&lt;&gt;"",OR(NOT(ISNUMBER($G292)),$G292&lt;=0,$G292&gt;1)),"Peso fuera de rango"&amp;" · ","")&amp;IF(AND($S292="Sub",$G292&lt;&gt;""),"Las subactividades no llevan peso"&amp;" · ","")&amp;IF(AND($S292="Macro",ABS(SUMIFS($G$5:$G$1000,$P$5:$P$1000,$P292,$S$5:$S$1000,"Macro")-1)&gt;0.0001),"Pesos del mes suman "&amp;TEXT(SUMIFS($G$5:$G$1000,$P$5:$P$1000,$P292,$S$5:$S$1000,"Macro"),"0%")&amp;" · ","")&amp;IF(AND(N($T292)&gt;0,COUNT($H292:$K292)&gt;0),"Con subactividades: deje vacías las semanas (se calculan solas)"&amp;" · ","")&amp;IF((COUNTIF($H292:$K292,"&gt;1")+COUNTIF($H292:$K292,"&lt;0")+COUNTA($H292:$K292)-COUNT($H292:$K292))&gt;0,"Avance fuera de rango 0-100%"&amp;" · ","")&amp;IF(OR(AND($I292&lt;&gt;"",$I292&lt;$H292),AND($J292&lt;&gt;"",$J292&lt;MAX($H292:$I292)),AND($K292&lt;&gt;"",$K292&lt;MAX($H292:$J292))),"Avance semanal decreciente"&amp;" · ","")&amp;IF(AND(ISNUMBER($F292),$F292&lt;FechaRef,N($L292)&lt;1),"Vencida"&amp;" · ","")&amp;IF(AND(ObsObligatoria="Sí",ISNUMBER($F292),$F292&lt;FechaRef,N($L292)&lt;1,$N292=""),"Vencida sin observación"&amp;" · ",""))-3)))</f>
        <v/>
      </c>
      <c r="P292" s="69">
        <f>IF(NOT((COUNTA($B292:$K292)+COUNTA($N292))&gt;0),"",IF(AND($S292="Sub",N($R292)&gt;0),IF(ISNUMBER(INDEX($E$5:$E$1000,$R292-4)),DATE(YEAR(INDEX($E$5:$E$1000,$R292-4)),MONTH(INDEX($E$5:$E$1000,$R292-4)),1),IF(ISNUMBER(INDEX($F$5:$F$1000,$R292-4)),DATE(YEAR(INDEX($F$5:$F$1000,$R292-4)),MONTH(INDEX($F$5:$F$1000,$R292-4)),1),MesCiclo)),IF(ISNUMBER($E292),DATE(YEAR($E292),MONTH($E292),1),IF(ISNUMBER($F292),DATE(YEAR($F292),MONTH($F292),1),MesCiclo))))</f>
        <v/>
      </c>
      <c r="Q292" s="70">
        <f>IF(OR($P292="",$P292&lt;&gt;MesCiclo),"",COUNTIF($P$5:$P292,MesCiclo))</f>
        <v/>
      </c>
      <c r="R292" s="70">
        <f>IF($S292="","",IF($S292="Macro",ROW(),IFERROR(LOOKUP(2,1/($S$5:$S292="Macro"),ROW($S$5:$S292)),0)))</f>
        <v/>
      </c>
      <c r="S292" s="70">
        <f>IF(NOT((COUNTA($B292:$K292)+COUNTA($N292))&gt;0),"",IF($B292&lt;&gt;"","Macro",IF($C292&lt;&gt;"","Sub","Macro")))</f>
        <v/>
      </c>
      <c r="T292" s="70">
        <f>IF($S292="Macro",COUNTIFS($R$5:$R$1000,ROW(),$S$5:$S$1000,"Sub"),"")</f>
        <v/>
      </c>
      <c r="U292" s="70">
        <f>IF($S292="","",IF(ISNUMBER($H292),$H292,0))</f>
        <v/>
      </c>
      <c r="V292" s="70">
        <f>IF($S292="","",IF(ISNUMBER($I292),$I292,$U292))</f>
        <v/>
      </c>
      <c r="W292" s="70">
        <f>IF($S292="","",IF(ISNUMBER($J292),$J292,$V292))</f>
        <v/>
      </c>
      <c r="X292" s="70">
        <f>IF($S292="","",IF(ISNUMBER($K292),$K292,$W292))</f>
        <v/>
      </c>
      <c r="Y292" s="70">
        <f>IF($S292="","",IF(N($T292)&gt;0,AVERAGEIFS($U$5:$U$1000,$R$5:$R$1000,ROW(),$S$5:$S$1000,"Sub"),$U292))</f>
        <v/>
      </c>
      <c r="Z292" s="70">
        <f>IF($S292="","",IF(N($T292)&gt;0,AVERAGEIFS($V$5:$V$1000,$R$5:$R$1000,ROW(),$S$5:$S$1000,"Sub"),$V292))</f>
        <v/>
      </c>
      <c r="AA292" s="70">
        <f>IF($S292="","",IF(N($T292)&gt;0,AVERAGEIFS($W$5:$W$1000,$R$5:$R$1000,ROW(),$S$5:$S$1000,"Sub"),$W292))</f>
        <v/>
      </c>
      <c r="AB292" s="70">
        <f>IF($S292="","",IF(N($T292)&gt;0,AVERAGEIFS($X$5:$X$1000,$R$5:$R$1000,ROW(),$S$5:$S$1000,"Sub"),$X292))</f>
        <v/>
      </c>
    </row>
    <row r="293">
      <c r="A293" s="61">
        <f>IF(NOT((COUNTA($B293:$K293)+COUNTA($N293))&gt;0),"",IF($S293="Macro",COUNTIFS($S$5:$S293,"Macro",$P$5:$P293,$P293),IF(N($R293)=0,"?",COUNTIFS(INDEX($S$5:$S$1000,1):INDEX($S$5:$S$1000,$R293-4),"Macro",INDEX($P$5:$P$1000,1):INDEX($P$5:$P$1000,$R293-4),INDEX($P$5:$P$1000,$R293-4))&amp;"."&amp;COUNTIFS($R$5:$R293,$R293,$S$5:$S293,"Sub"))))</f>
        <v/>
      </c>
      <c r="B293" s="62" t="n"/>
      <c r="C293" s="63" t="n"/>
      <c r="D293" s="62" t="n"/>
      <c r="E293" s="64" t="n"/>
      <c r="F293" s="64" t="n"/>
      <c r="G293" s="65" t="n"/>
      <c r="H293" s="66" t="n"/>
      <c r="I293" s="66" t="n"/>
      <c r="J293" s="66" t="n"/>
      <c r="K293" s="66" t="n"/>
      <c r="L293" s="67">
        <f>IF(NOT((COUNTA($B293:$K293)+COUNTA($N293))&gt;0),"",IF(N($T293)&gt;0,$AB293,IFERROR(LOOKUP(2,1/(H293:K293&lt;&gt;""),H293:K293),0)))</f>
        <v/>
      </c>
      <c r="M293" s="61">
        <f>IF(L293="","",IF(L293&gt;=1,"Completado",IF(L293&gt;0,"En curso","Pendiente")))</f>
        <v/>
      </c>
      <c r="N293" s="62" t="n"/>
      <c r="O293" s="68">
        <f>IF(NOT((COUNTA($B293:$K293)+COUNTA($N293))&gt;0),"",IF((IF(AND($S293="Macro",$B293=""),"Macroactividad vacía"&amp;" · ","")&amp;IF(AND($B293&lt;&gt;"",$C293&lt;&gt;""),"Escriba la subactividad en otra fila, debajo de su macroactividad"&amp;" · ","")&amp;IF(AND($S293="Sub",N($R293)=0),"Subactividad sin macroactividad arriba"&amp;" · ","")&amp;IF($D293="","Sin responsable"&amp;" · ","")&amp;IF($E293="","Sin fecha de inicio"&amp;" · ","")&amp;IF($F293="","Sin fecha límite"&amp;" · ","")&amp;IF(OR(AND($E293&lt;&gt;"",NOT(ISNUMBER($E293))),AND($F293&lt;&gt;"",NOT(ISNUMBER($F293)))),"Fecha no válida"&amp;" · ","")&amp;IF(AND(ISNUMBER($E293),ISNUMBER($F293),$E293&gt;$F293),"Inicio posterior a fecha límite"&amp;" · ","")&amp;IF(AND($S293="Macro",$G293=""),"Peso vacío"&amp;" · ","")&amp;IF(AND($S293="Macro",$G293&lt;&gt;"",OR(NOT(ISNUMBER($G293)),$G293&lt;=0,$G293&gt;1)),"Peso fuera de rango"&amp;" · ","")&amp;IF(AND($S293="Sub",$G293&lt;&gt;""),"Las subactividades no llevan peso"&amp;" · ","")&amp;IF(AND($S293="Macro",ABS(SUMIFS($G$5:$G$1000,$P$5:$P$1000,$P293,$S$5:$S$1000,"Macro")-1)&gt;0.0001),"Pesos del mes suman "&amp;TEXT(SUMIFS($G$5:$G$1000,$P$5:$P$1000,$P293,$S$5:$S$1000,"Macro"),"0%")&amp;" · ","")&amp;IF(AND(N($T293)&gt;0,COUNT($H293:$K293)&gt;0),"Con subactividades: deje vacías las semanas (se calculan solas)"&amp;" · ","")&amp;IF((COUNTIF($H293:$K293,"&gt;1")+COUNTIF($H293:$K293,"&lt;0")+COUNTA($H293:$K293)-COUNT($H293:$K293))&gt;0,"Avance fuera de rango 0-100%"&amp;" · ","")&amp;IF(OR(AND($I293&lt;&gt;"",$I293&lt;$H293),AND($J293&lt;&gt;"",$J293&lt;MAX($H293:$I293)),AND($K293&lt;&gt;"",$K293&lt;MAX($H293:$J293))),"Avance semanal decreciente"&amp;" · ","")&amp;IF(AND(ISNUMBER($F293),$F293&lt;FechaRef,N($L293)&lt;1),"Vencida"&amp;" · ","")&amp;IF(AND(ObsObligatoria="Sí",ISNUMBER($F293),$F293&lt;FechaRef,N($L293)&lt;1,$N293=""),"Vencida sin observación"&amp;" · ",""))="","✔ OK","⚠ "&amp;LEFT(IF(AND($S293="Macro",$B293=""),"Macroactividad vacía"&amp;" · ","")&amp;IF(AND($B293&lt;&gt;"",$C293&lt;&gt;""),"Escriba la subactividad en otra fila, debajo de su macroactividad"&amp;" · ","")&amp;IF(AND($S293="Sub",N($R293)=0),"Subactividad sin macroactividad arriba"&amp;" · ","")&amp;IF($D293="","Sin responsable"&amp;" · ","")&amp;IF($E293="","Sin fecha de inicio"&amp;" · ","")&amp;IF($F293="","Sin fecha límite"&amp;" · ","")&amp;IF(OR(AND($E293&lt;&gt;"",NOT(ISNUMBER($E293))),AND($F293&lt;&gt;"",NOT(ISNUMBER($F293)))),"Fecha no válida"&amp;" · ","")&amp;IF(AND(ISNUMBER($E293),ISNUMBER($F293),$E293&gt;$F293),"Inicio posterior a fecha límite"&amp;" · ","")&amp;IF(AND($S293="Macro",$G293=""),"Peso vacío"&amp;" · ","")&amp;IF(AND($S293="Macro",$G293&lt;&gt;"",OR(NOT(ISNUMBER($G293)),$G293&lt;=0,$G293&gt;1)),"Peso fuera de rango"&amp;" · ","")&amp;IF(AND($S293="Sub",$G293&lt;&gt;""),"Las subactividades no llevan peso"&amp;" · ","")&amp;IF(AND($S293="Macro",ABS(SUMIFS($G$5:$G$1000,$P$5:$P$1000,$P293,$S$5:$S$1000,"Macro")-1)&gt;0.0001),"Pesos del mes suman "&amp;TEXT(SUMIFS($G$5:$G$1000,$P$5:$P$1000,$P293,$S$5:$S$1000,"Macro"),"0%")&amp;" · ","")&amp;IF(AND(N($T293)&gt;0,COUNT($H293:$K293)&gt;0),"Con subactividades: deje vacías las semanas (se calculan solas)"&amp;" · ","")&amp;IF((COUNTIF($H293:$K293,"&gt;1")+COUNTIF($H293:$K293,"&lt;0")+COUNTA($H293:$K293)-COUNT($H293:$K293))&gt;0,"Avance fuera de rango 0-100%"&amp;" · ","")&amp;IF(OR(AND($I293&lt;&gt;"",$I293&lt;$H293),AND($J293&lt;&gt;"",$J293&lt;MAX($H293:$I293)),AND($K293&lt;&gt;"",$K293&lt;MAX($H293:$J293))),"Avance semanal decreciente"&amp;" · ","")&amp;IF(AND(ISNUMBER($F293),$F293&lt;FechaRef,N($L293)&lt;1),"Vencida"&amp;" · ","")&amp;IF(AND(ObsObligatoria="Sí",ISNUMBER($F293),$F293&lt;FechaRef,N($L293)&lt;1,$N293=""),"Vencida sin observación"&amp;" · ",""),LEN(IF(AND($S293="Macro",$B293=""),"Macroactividad vacía"&amp;" · ","")&amp;IF(AND($B293&lt;&gt;"",$C293&lt;&gt;""),"Escriba la subactividad en otra fila, debajo de su macroactividad"&amp;" · ","")&amp;IF(AND($S293="Sub",N($R293)=0),"Subactividad sin macroactividad arriba"&amp;" · ","")&amp;IF($D293="","Sin responsable"&amp;" · ","")&amp;IF($E293="","Sin fecha de inicio"&amp;" · ","")&amp;IF($F293="","Sin fecha límite"&amp;" · ","")&amp;IF(OR(AND($E293&lt;&gt;"",NOT(ISNUMBER($E293))),AND($F293&lt;&gt;"",NOT(ISNUMBER($F293)))),"Fecha no válida"&amp;" · ","")&amp;IF(AND(ISNUMBER($E293),ISNUMBER($F293),$E293&gt;$F293),"Inicio posterior a fecha límite"&amp;" · ","")&amp;IF(AND($S293="Macro",$G293=""),"Peso vacío"&amp;" · ","")&amp;IF(AND($S293="Macro",$G293&lt;&gt;"",OR(NOT(ISNUMBER($G293)),$G293&lt;=0,$G293&gt;1)),"Peso fuera de rango"&amp;" · ","")&amp;IF(AND($S293="Sub",$G293&lt;&gt;""),"Las subactividades no llevan peso"&amp;" · ","")&amp;IF(AND($S293="Macro",ABS(SUMIFS($G$5:$G$1000,$P$5:$P$1000,$P293,$S$5:$S$1000,"Macro")-1)&gt;0.0001),"Pesos del mes suman "&amp;TEXT(SUMIFS($G$5:$G$1000,$P$5:$P$1000,$P293,$S$5:$S$1000,"Macro"),"0%")&amp;" · ","")&amp;IF(AND(N($T293)&gt;0,COUNT($H293:$K293)&gt;0),"Con subactividades: deje vacías las semanas (se calculan solas)"&amp;" · ","")&amp;IF((COUNTIF($H293:$K293,"&gt;1")+COUNTIF($H293:$K293,"&lt;0")+COUNTA($H293:$K293)-COUNT($H293:$K293))&gt;0,"Avance fuera de rango 0-100%"&amp;" · ","")&amp;IF(OR(AND($I293&lt;&gt;"",$I293&lt;$H293),AND($J293&lt;&gt;"",$J293&lt;MAX($H293:$I293)),AND($K293&lt;&gt;"",$K293&lt;MAX($H293:$J293))),"Avance semanal decreciente"&amp;" · ","")&amp;IF(AND(ISNUMBER($F293),$F293&lt;FechaRef,N($L293)&lt;1),"Vencida"&amp;" · ","")&amp;IF(AND(ObsObligatoria="Sí",ISNUMBER($F293),$F293&lt;FechaRef,N($L293)&lt;1,$N293=""),"Vencida sin observación"&amp;" · ",""))-3)))</f>
        <v/>
      </c>
      <c r="P293" s="69">
        <f>IF(NOT((COUNTA($B293:$K293)+COUNTA($N293))&gt;0),"",IF(AND($S293="Sub",N($R293)&gt;0),IF(ISNUMBER(INDEX($E$5:$E$1000,$R293-4)),DATE(YEAR(INDEX($E$5:$E$1000,$R293-4)),MONTH(INDEX($E$5:$E$1000,$R293-4)),1),IF(ISNUMBER(INDEX($F$5:$F$1000,$R293-4)),DATE(YEAR(INDEX($F$5:$F$1000,$R293-4)),MONTH(INDEX($F$5:$F$1000,$R293-4)),1),MesCiclo)),IF(ISNUMBER($E293),DATE(YEAR($E293),MONTH($E293),1),IF(ISNUMBER($F293),DATE(YEAR($F293),MONTH($F293),1),MesCiclo))))</f>
        <v/>
      </c>
      <c r="Q293" s="70">
        <f>IF(OR($P293="",$P293&lt;&gt;MesCiclo),"",COUNTIF($P$5:$P293,MesCiclo))</f>
        <v/>
      </c>
      <c r="R293" s="70">
        <f>IF($S293="","",IF($S293="Macro",ROW(),IFERROR(LOOKUP(2,1/($S$5:$S293="Macro"),ROW($S$5:$S293)),0)))</f>
        <v/>
      </c>
      <c r="S293" s="70">
        <f>IF(NOT((COUNTA($B293:$K293)+COUNTA($N293))&gt;0),"",IF($B293&lt;&gt;"","Macro",IF($C293&lt;&gt;"","Sub","Macro")))</f>
        <v/>
      </c>
      <c r="T293" s="70">
        <f>IF($S293="Macro",COUNTIFS($R$5:$R$1000,ROW(),$S$5:$S$1000,"Sub"),"")</f>
        <v/>
      </c>
      <c r="U293" s="70">
        <f>IF($S293="","",IF(ISNUMBER($H293),$H293,0))</f>
        <v/>
      </c>
      <c r="V293" s="70">
        <f>IF($S293="","",IF(ISNUMBER($I293),$I293,$U293))</f>
        <v/>
      </c>
      <c r="W293" s="70">
        <f>IF($S293="","",IF(ISNUMBER($J293),$J293,$V293))</f>
        <v/>
      </c>
      <c r="X293" s="70">
        <f>IF($S293="","",IF(ISNUMBER($K293),$K293,$W293))</f>
        <v/>
      </c>
      <c r="Y293" s="70">
        <f>IF($S293="","",IF(N($T293)&gt;0,AVERAGEIFS($U$5:$U$1000,$R$5:$R$1000,ROW(),$S$5:$S$1000,"Sub"),$U293))</f>
        <v/>
      </c>
      <c r="Z293" s="70">
        <f>IF($S293="","",IF(N($T293)&gt;0,AVERAGEIFS($V$5:$V$1000,$R$5:$R$1000,ROW(),$S$5:$S$1000,"Sub"),$V293))</f>
        <v/>
      </c>
      <c r="AA293" s="70">
        <f>IF($S293="","",IF(N($T293)&gt;0,AVERAGEIFS($W$5:$W$1000,$R$5:$R$1000,ROW(),$S$5:$S$1000,"Sub"),$W293))</f>
        <v/>
      </c>
      <c r="AB293" s="70">
        <f>IF($S293="","",IF(N($T293)&gt;0,AVERAGEIFS($X$5:$X$1000,$R$5:$R$1000,ROW(),$S$5:$S$1000,"Sub"),$X293))</f>
        <v/>
      </c>
    </row>
    <row r="294">
      <c r="A294" s="61">
        <f>IF(NOT((COUNTA($B294:$K294)+COUNTA($N294))&gt;0),"",IF($S294="Macro",COUNTIFS($S$5:$S294,"Macro",$P$5:$P294,$P294),IF(N($R294)=0,"?",COUNTIFS(INDEX($S$5:$S$1000,1):INDEX($S$5:$S$1000,$R294-4),"Macro",INDEX($P$5:$P$1000,1):INDEX($P$5:$P$1000,$R294-4),INDEX($P$5:$P$1000,$R294-4))&amp;"."&amp;COUNTIFS($R$5:$R294,$R294,$S$5:$S294,"Sub"))))</f>
        <v/>
      </c>
      <c r="B294" s="62" t="n"/>
      <c r="C294" s="63" t="n"/>
      <c r="D294" s="62" t="n"/>
      <c r="E294" s="64" t="n"/>
      <c r="F294" s="64" t="n"/>
      <c r="G294" s="65" t="n"/>
      <c r="H294" s="66" t="n"/>
      <c r="I294" s="66" t="n"/>
      <c r="J294" s="66" t="n"/>
      <c r="K294" s="66" t="n"/>
      <c r="L294" s="67">
        <f>IF(NOT((COUNTA($B294:$K294)+COUNTA($N294))&gt;0),"",IF(N($T294)&gt;0,$AB294,IFERROR(LOOKUP(2,1/(H294:K294&lt;&gt;""),H294:K294),0)))</f>
        <v/>
      </c>
      <c r="M294" s="61">
        <f>IF(L294="","",IF(L294&gt;=1,"Completado",IF(L294&gt;0,"En curso","Pendiente")))</f>
        <v/>
      </c>
      <c r="N294" s="62" t="n"/>
      <c r="O294" s="68">
        <f>IF(NOT((COUNTA($B294:$K294)+COUNTA($N294))&gt;0),"",IF((IF(AND($S294="Macro",$B294=""),"Macroactividad vacía"&amp;" · ","")&amp;IF(AND($B294&lt;&gt;"",$C294&lt;&gt;""),"Escriba la subactividad en otra fila, debajo de su macroactividad"&amp;" · ","")&amp;IF(AND($S294="Sub",N($R294)=0),"Subactividad sin macroactividad arriba"&amp;" · ","")&amp;IF($D294="","Sin responsable"&amp;" · ","")&amp;IF($E294="","Sin fecha de inicio"&amp;" · ","")&amp;IF($F294="","Sin fecha límite"&amp;" · ","")&amp;IF(OR(AND($E294&lt;&gt;"",NOT(ISNUMBER($E294))),AND($F294&lt;&gt;"",NOT(ISNUMBER($F294)))),"Fecha no válida"&amp;" · ","")&amp;IF(AND(ISNUMBER($E294),ISNUMBER($F294),$E294&gt;$F294),"Inicio posterior a fecha límite"&amp;" · ","")&amp;IF(AND($S294="Macro",$G294=""),"Peso vacío"&amp;" · ","")&amp;IF(AND($S294="Macro",$G294&lt;&gt;"",OR(NOT(ISNUMBER($G294)),$G294&lt;=0,$G294&gt;1)),"Peso fuera de rango"&amp;" · ","")&amp;IF(AND($S294="Sub",$G294&lt;&gt;""),"Las subactividades no llevan peso"&amp;" · ","")&amp;IF(AND($S294="Macro",ABS(SUMIFS($G$5:$G$1000,$P$5:$P$1000,$P294,$S$5:$S$1000,"Macro")-1)&gt;0.0001),"Pesos del mes suman "&amp;TEXT(SUMIFS($G$5:$G$1000,$P$5:$P$1000,$P294,$S$5:$S$1000,"Macro"),"0%")&amp;" · ","")&amp;IF(AND(N($T294)&gt;0,COUNT($H294:$K294)&gt;0),"Con subactividades: deje vacías las semanas (se calculan solas)"&amp;" · ","")&amp;IF((COUNTIF($H294:$K294,"&gt;1")+COUNTIF($H294:$K294,"&lt;0")+COUNTA($H294:$K294)-COUNT($H294:$K294))&gt;0,"Avance fuera de rango 0-100%"&amp;" · ","")&amp;IF(OR(AND($I294&lt;&gt;"",$I294&lt;$H294),AND($J294&lt;&gt;"",$J294&lt;MAX($H294:$I294)),AND($K294&lt;&gt;"",$K294&lt;MAX($H294:$J294))),"Avance semanal decreciente"&amp;" · ","")&amp;IF(AND(ISNUMBER($F294),$F294&lt;FechaRef,N($L294)&lt;1),"Vencida"&amp;" · ","")&amp;IF(AND(ObsObligatoria="Sí",ISNUMBER($F294),$F294&lt;FechaRef,N($L294)&lt;1,$N294=""),"Vencida sin observación"&amp;" · ",""))="","✔ OK","⚠ "&amp;LEFT(IF(AND($S294="Macro",$B294=""),"Macroactividad vacía"&amp;" · ","")&amp;IF(AND($B294&lt;&gt;"",$C294&lt;&gt;""),"Escriba la subactividad en otra fila, debajo de su macroactividad"&amp;" · ","")&amp;IF(AND($S294="Sub",N($R294)=0),"Subactividad sin macroactividad arriba"&amp;" · ","")&amp;IF($D294="","Sin responsable"&amp;" · ","")&amp;IF($E294="","Sin fecha de inicio"&amp;" · ","")&amp;IF($F294="","Sin fecha límite"&amp;" · ","")&amp;IF(OR(AND($E294&lt;&gt;"",NOT(ISNUMBER($E294))),AND($F294&lt;&gt;"",NOT(ISNUMBER($F294)))),"Fecha no válida"&amp;" · ","")&amp;IF(AND(ISNUMBER($E294),ISNUMBER($F294),$E294&gt;$F294),"Inicio posterior a fecha límite"&amp;" · ","")&amp;IF(AND($S294="Macro",$G294=""),"Peso vacío"&amp;" · ","")&amp;IF(AND($S294="Macro",$G294&lt;&gt;"",OR(NOT(ISNUMBER($G294)),$G294&lt;=0,$G294&gt;1)),"Peso fuera de rango"&amp;" · ","")&amp;IF(AND($S294="Sub",$G294&lt;&gt;""),"Las subactividades no llevan peso"&amp;" · ","")&amp;IF(AND($S294="Macro",ABS(SUMIFS($G$5:$G$1000,$P$5:$P$1000,$P294,$S$5:$S$1000,"Macro")-1)&gt;0.0001),"Pesos del mes suman "&amp;TEXT(SUMIFS($G$5:$G$1000,$P$5:$P$1000,$P294,$S$5:$S$1000,"Macro"),"0%")&amp;" · ","")&amp;IF(AND(N($T294)&gt;0,COUNT($H294:$K294)&gt;0),"Con subactividades: deje vacías las semanas (se calculan solas)"&amp;" · ","")&amp;IF((COUNTIF($H294:$K294,"&gt;1")+COUNTIF($H294:$K294,"&lt;0")+COUNTA($H294:$K294)-COUNT($H294:$K294))&gt;0,"Avance fuera de rango 0-100%"&amp;" · ","")&amp;IF(OR(AND($I294&lt;&gt;"",$I294&lt;$H294),AND($J294&lt;&gt;"",$J294&lt;MAX($H294:$I294)),AND($K294&lt;&gt;"",$K294&lt;MAX($H294:$J294))),"Avance semanal decreciente"&amp;" · ","")&amp;IF(AND(ISNUMBER($F294),$F294&lt;FechaRef,N($L294)&lt;1),"Vencida"&amp;" · ","")&amp;IF(AND(ObsObligatoria="Sí",ISNUMBER($F294),$F294&lt;FechaRef,N($L294)&lt;1,$N294=""),"Vencida sin observación"&amp;" · ",""),LEN(IF(AND($S294="Macro",$B294=""),"Macroactividad vacía"&amp;" · ","")&amp;IF(AND($B294&lt;&gt;"",$C294&lt;&gt;""),"Escriba la subactividad en otra fila, debajo de su macroactividad"&amp;" · ","")&amp;IF(AND($S294="Sub",N($R294)=0),"Subactividad sin macroactividad arriba"&amp;" · ","")&amp;IF($D294="","Sin responsable"&amp;" · ","")&amp;IF($E294="","Sin fecha de inicio"&amp;" · ","")&amp;IF($F294="","Sin fecha límite"&amp;" · ","")&amp;IF(OR(AND($E294&lt;&gt;"",NOT(ISNUMBER($E294))),AND($F294&lt;&gt;"",NOT(ISNUMBER($F294)))),"Fecha no válida"&amp;" · ","")&amp;IF(AND(ISNUMBER($E294),ISNUMBER($F294),$E294&gt;$F294),"Inicio posterior a fecha límite"&amp;" · ","")&amp;IF(AND($S294="Macro",$G294=""),"Peso vacío"&amp;" · ","")&amp;IF(AND($S294="Macro",$G294&lt;&gt;"",OR(NOT(ISNUMBER($G294)),$G294&lt;=0,$G294&gt;1)),"Peso fuera de rango"&amp;" · ","")&amp;IF(AND($S294="Sub",$G294&lt;&gt;""),"Las subactividades no llevan peso"&amp;" · ","")&amp;IF(AND($S294="Macro",ABS(SUMIFS($G$5:$G$1000,$P$5:$P$1000,$P294,$S$5:$S$1000,"Macro")-1)&gt;0.0001),"Pesos del mes suman "&amp;TEXT(SUMIFS($G$5:$G$1000,$P$5:$P$1000,$P294,$S$5:$S$1000,"Macro"),"0%")&amp;" · ","")&amp;IF(AND(N($T294)&gt;0,COUNT($H294:$K294)&gt;0),"Con subactividades: deje vacías las semanas (se calculan solas)"&amp;" · ","")&amp;IF((COUNTIF($H294:$K294,"&gt;1")+COUNTIF($H294:$K294,"&lt;0")+COUNTA($H294:$K294)-COUNT($H294:$K294))&gt;0,"Avance fuera de rango 0-100%"&amp;" · ","")&amp;IF(OR(AND($I294&lt;&gt;"",$I294&lt;$H294),AND($J294&lt;&gt;"",$J294&lt;MAX($H294:$I294)),AND($K294&lt;&gt;"",$K294&lt;MAX($H294:$J294))),"Avance semanal decreciente"&amp;" · ","")&amp;IF(AND(ISNUMBER($F294),$F294&lt;FechaRef,N($L294)&lt;1),"Vencida"&amp;" · ","")&amp;IF(AND(ObsObligatoria="Sí",ISNUMBER($F294),$F294&lt;FechaRef,N($L294)&lt;1,$N294=""),"Vencida sin observación"&amp;" · ",""))-3)))</f>
        <v/>
      </c>
      <c r="P294" s="69">
        <f>IF(NOT((COUNTA($B294:$K294)+COUNTA($N294))&gt;0),"",IF(AND($S294="Sub",N($R294)&gt;0),IF(ISNUMBER(INDEX($E$5:$E$1000,$R294-4)),DATE(YEAR(INDEX($E$5:$E$1000,$R294-4)),MONTH(INDEX($E$5:$E$1000,$R294-4)),1),IF(ISNUMBER(INDEX($F$5:$F$1000,$R294-4)),DATE(YEAR(INDEX($F$5:$F$1000,$R294-4)),MONTH(INDEX($F$5:$F$1000,$R294-4)),1),MesCiclo)),IF(ISNUMBER($E294),DATE(YEAR($E294),MONTH($E294),1),IF(ISNUMBER($F294),DATE(YEAR($F294),MONTH($F294),1),MesCiclo))))</f>
        <v/>
      </c>
      <c r="Q294" s="70">
        <f>IF(OR($P294="",$P294&lt;&gt;MesCiclo),"",COUNTIF($P$5:$P294,MesCiclo))</f>
        <v/>
      </c>
      <c r="R294" s="70">
        <f>IF($S294="","",IF($S294="Macro",ROW(),IFERROR(LOOKUP(2,1/($S$5:$S294="Macro"),ROW($S$5:$S294)),0)))</f>
        <v/>
      </c>
      <c r="S294" s="70">
        <f>IF(NOT((COUNTA($B294:$K294)+COUNTA($N294))&gt;0),"",IF($B294&lt;&gt;"","Macro",IF($C294&lt;&gt;"","Sub","Macro")))</f>
        <v/>
      </c>
      <c r="T294" s="70">
        <f>IF($S294="Macro",COUNTIFS($R$5:$R$1000,ROW(),$S$5:$S$1000,"Sub"),"")</f>
        <v/>
      </c>
      <c r="U294" s="70">
        <f>IF($S294="","",IF(ISNUMBER($H294),$H294,0))</f>
        <v/>
      </c>
      <c r="V294" s="70">
        <f>IF($S294="","",IF(ISNUMBER($I294),$I294,$U294))</f>
        <v/>
      </c>
      <c r="W294" s="70">
        <f>IF($S294="","",IF(ISNUMBER($J294),$J294,$V294))</f>
        <v/>
      </c>
      <c r="X294" s="70">
        <f>IF($S294="","",IF(ISNUMBER($K294),$K294,$W294))</f>
        <v/>
      </c>
      <c r="Y294" s="70">
        <f>IF($S294="","",IF(N($T294)&gt;0,AVERAGEIFS($U$5:$U$1000,$R$5:$R$1000,ROW(),$S$5:$S$1000,"Sub"),$U294))</f>
        <v/>
      </c>
      <c r="Z294" s="70">
        <f>IF($S294="","",IF(N($T294)&gt;0,AVERAGEIFS($V$5:$V$1000,$R$5:$R$1000,ROW(),$S$5:$S$1000,"Sub"),$V294))</f>
        <v/>
      </c>
      <c r="AA294" s="70">
        <f>IF($S294="","",IF(N($T294)&gt;0,AVERAGEIFS($W$5:$W$1000,$R$5:$R$1000,ROW(),$S$5:$S$1000,"Sub"),$W294))</f>
        <v/>
      </c>
      <c r="AB294" s="70">
        <f>IF($S294="","",IF(N($T294)&gt;0,AVERAGEIFS($X$5:$X$1000,$R$5:$R$1000,ROW(),$S$5:$S$1000,"Sub"),$X294))</f>
        <v/>
      </c>
    </row>
    <row r="295">
      <c r="A295" s="61">
        <f>IF(NOT((COUNTA($B295:$K295)+COUNTA($N295))&gt;0),"",IF($S295="Macro",COUNTIFS($S$5:$S295,"Macro",$P$5:$P295,$P295),IF(N($R295)=0,"?",COUNTIFS(INDEX($S$5:$S$1000,1):INDEX($S$5:$S$1000,$R295-4),"Macro",INDEX($P$5:$P$1000,1):INDEX($P$5:$P$1000,$R295-4),INDEX($P$5:$P$1000,$R295-4))&amp;"."&amp;COUNTIFS($R$5:$R295,$R295,$S$5:$S295,"Sub"))))</f>
        <v/>
      </c>
      <c r="B295" s="62" t="n"/>
      <c r="C295" s="63" t="n"/>
      <c r="D295" s="62" t="n"/>
      <c r="E295" s="64" t="n"/>
      <c r="F295" s="64" t="n"/>
      <c r="G295" s="65" t="n"/>
      <c r="H295" s="66" t="n"/>
      <c r="I295" s="66" t="n"/>
      <c r="J295" s="66" t="n"/>
      <c r="K295" s="66" t="n"/>
      <c r="L295" s="67">
        <f>IF(NOT((COUNTA($B295:$K295)+COUNTA($N295))&gt;0),"",IF(N($T295)&gt;0,$AB295,IFERROR(LOOKUP(2,1/(H295:K295&lt;&gt;""),H295:K295),0)))</f>
        <v/>
      </c>
      <c r="M295" s="61">
        <f>IF(L295="","",IF(L295&gt;=1,"Completado",IF(L295&gt;0,"En curso","Pendiente")))</f>
        <v/>
      </c>
      <c r="N295" s="62" t="n"/>
      <c r="O295" s="68">
        <f>IF(NOT((COUNTA($B295:$K295)+COUNTA($N295))&gt;0),"",IF((IF(AND($S295="Macro",$B295=""),"Macroactividad vacía"&amp;" · ","")&amp;IF(AND($B295&lt;&gt;"",$C295&lt;&gt;""),"Escriba la subactividad en otra fila, debajo de su macroactividad"&amp;" · ","")&amp;IF(AND($S295="Sub",N($R295)=0),"Subactividad sin macroactividad arriba"&amp;" · ","")&amp;IF($D295="","Sin responsable"&amp;" · ","")&amp;IF($E295="","Sin fecha de inicio"&amp;" · ","")&amp;IF($F295="","Sin fecha límite"&amp;" · ","")&amp;IF(OR(AND($E295&lt;&gt;"",NOT(ISNUMBER($E295))),AND($F295&lt;&gt;"",NOT(ISNUMBER($F295)))),"Fecha no válida"&amp;" · ","")&amp;IF(AND(ISNUMBER($E295),ISNUMBER($F295),$E295&gt;$F295),"Inicio posterior a fecha límite"&amp;" · ","")&amp;IF(AND($S295="Macro",$G295=""),"Peso vacío"&amp;" · ","")&amp;IF(AND($S295="Macro",$G295&lt;&gt;"",OR(NOT(ISNUMBER($G295)),$G295&lt;=0,$G295&gt;1)),"Peso fuera de rango"&amp;" · ","")&amp;IF(AND($S295="Sub",$G295&lt;&gt;""),"Las subactividades no llevan peso"&amp;" · ","")&amp;IF(AND($S295="Macro",ABS(SUMIFS($G$5:$G$1000,$P$5:$P$1000,$P295,$S$5:$S$1000,"Macro")-1)&gt;0.0001),"Pesos del mes suman "&amp;TEXT(SUMIFS($G$5:$G$1000,$P$5:$P$1000,$P295,$S$5:$S$1000,"Macro"),"0%")&amp;" · ","")&amp;IF(AND(N($T295)&gt;0,COUNT($H295:$K295)&gt;0),"Con subactividades: deje vacías las semanas (se calculan solas)"&amp;" · ","")&amp;IF((COUNTIF($H295:$K295,"&gt;1")+COUNTIF($H295:$K295,"&lt;0")+COUNTA($H295:$K295)-COUNT($H295:$K295))&gt;0,"Avance fuera de rango 0-100%"&amp;" · ","")&amp;IF(OR(AND($I295&lt;&gt;"",$I295&lt;$H295),AND($J295&lt;&gt;"",$J295&lt;MAX($H295:$I295)),AND($K295&lt;&gt;"",$K295&lt;MAX($H295:$J295))),"Avance semanal decreciente"&amp;" · ","")&amp;IF(AND(ISNUMBER($F295),$F295&lt;FechaRef,N($L295)&lt;1),"Vencida"&amp;" · ","")&amp;IF(AND(ObsObligatoria="Sí",ISNUMBER($F295),$F295&lt;FechaRef,N($L295)&lt;1,$N295=""),"Vencida sin observación"&amp;" · ",""))="","✔ OK","⚠ "&amp;LEFT(IF(AND($S295="Macro",$B295=""),"Macroactividad vacía"&amp;" · ","")&amp;IF(AND($B295&lt;&gt;"",$C295&lt;&gt;""),"Escriba la subactividad en otra fila, debajo de su macroactividad"&amp;" · ","")&amp;IF(AND($S295="Sub",N($R295)=0),"Subactividad sin macroactividad arriba"&amp;" · ","")&amp;IF($D295="","Sin responsable"&amp;" · ","")&amp;IF($E295="","Sin fecha de inicio"&amp;" · ","")&amp;IF($F295="","Sin fecha límite"&amp;" · ","")&amp;IF(OR(AND($E295&lt;&gt;"",NOT(ISNUMBER($E295))),AND($F295&lt;&gt;"",NOT(ISNUMBER($F295)))),"Fecha no válida"&amp;" · ","")&amp;IF(AND(ISNUMBER($E295),ISNUMBER($F295),$E295&gt;$F295),"Inicio posterior a fecha límite"&amp;" · ","")&amp;IF(AND($S295="Macro",$G295=""),"Peso vacío"&amp;" · ","")&amp;IF(AND($S295="Macro",$G295&lt;&gt;"",OR(NOT(ISNUMBER($G295)),$G295&lt;=0,$G295&gt;1)),"Peso fuera de rango"&amp;" · ","")&amp;IF(AND($S295="Sub",$G295&lt;&gt;""),"Las subactividades no llevan peso"&amp;" · ","")&amp;IF(AND($S295="Macro",ABS(SUMIFS($G$5:$G$1000,$P$5:$P$1000,$P295,$S$5:$S$1000,"Macro")-1)&gt;0.0001),"Pesos del mes suman "&amp;TEXT(SUMIFS($G$5:$G$1000,$P$5:$P$1000,$P295,$S$5:$S$1000,"Macro"),"0%")&amp;" · ","")&amp;IF(AND(N($T295)&gt;0,COUNT($H295:$K295)&gt;0),"Con subactividades: deje vacías las semanas (se calculan solas)"&amp;" · ","")&amp;IF((COUNTIF($H295:$K295,"&gt;1")+COUNTIF($H295:$K295,"&lt;0")+COUNTA($H295:$K295)-COUNT($H295:$K295))&gt;0,"Avance fuera de rango 0-100%"&amp;" · ","")&amp;IF(OR(AND($I295&lt;&gt;"",$I295&lt;$H295),AND($J295&lt;&gt;"",$J295&lt;MAX($H295:$I295)),AND($K295&lt;&gt;"",$K295&lt;MAX($H295:$J295))),"Avance semanal decreciente"&amp;" · ","")&amp;IF(AND(ISNUMBER($F295),$F295&lt;FechaRef,N($L295)&lt;1),"Vencida"&amp;" · ","")&amp;IF(AND(ObsObligatoria="Sí",ISNUMBER($F295),$F295&lt;FechaRef,N($L295)&lt;1,$N295=""),"Vencida sin observación"&amp;" · ",""),LEN(IF(AND($S295="Macro",$B295=""),"Macroactividad vacía"&amp;" · ","")&amp;IF(AND($B295&lt;&gt;"",$C295&lt;&gt;""),"Escriba la subactividad en otra fila, debajo de su macroactividad"&amp;" · ","")&amp;IF(AND($S295="Sub",N($R295)=0),"Subactividad sin macroactividad arriba"&amp;" · ","")&amp;IF($D295="","Sin responsable"&amp;" · ","")&amp;IF($E295="","Sin fecha de inicio"&amp;" · ","")&amp;IF($F295="","Sin fecha límite"&amp;" · ","")&amp;IF(OR(AND($E295&lt;&gt;"",NOT(ISNUMBER($E295))),AND($F295&lt;&gt;"",NOT(ISNUMBER($F295)))),"Fecha no válida"&amp;" · ","")&amp;IF(AND(ISNUMBER($E295),ISNUMBER($F295),$E295&gt;$F295),"Inicio posterior a fecha límite"&amp;" · ","")&amp;IF(AND($S295="Macro",$G295=""),"Peso vacío"&amp;" · ","")&amp;IF(AND($S295="Macro",$G295&lt;&gt;"",OR(NOT(ISNUMBER($G295)),$G295&lt;=0,$G295&gt;1)),"Peso fuera de rango"&amp;" · ","")&amp;IF(AND($S295="Sub",$G295&lt;&gt;""),"Las subactividades no llevan peso"&amp;" · ","")&amp;IF(AND($S295="Macro",ABS(SUMIFS($G$5:$G$1000,$P$5:$P$1000,$P295,$S$5:$S$1000,"Macro")-1)&gt;0.0001),"Pesos del mes suman "&amp;TEXT(SUMIFS($G$5:$G$1000,$P$5:$P$1000,$P295,$S$5:$S$1000,"Macro"),"0%")&amp;" · ","")&amp;IF(AND(N($T295)&gt;0,COUNT($H295:$K295)&gt;0),"Con subactividades: deje vacías las semanas (se calculan solas)"&amp;" · ","")&amp;IF((COUNTIF($H295:$K295,"&gt;1")+COUNTIF($H295:$K295,"&lt;0")+COUNTA($H295:$K295)-COUNT($H295:$K295))&gt;0,"Avance fuera de rango 0-100%"&amp;" · ","")&amp;IF(OR(AND($I295&lt;&gt;"",$I295&lt;$H295),AND($J295&lt;&gt;"",$J295&lt;MAX($H295:$I295)),AND($K295&lt;&gt;"",$K295&lt;MAX($H295:$J295))),"Avance semanal decreciente"&amp;" · ","")&amp;IF(AND(ISNUMBER($F295),$F295&lt;FechaRef,N($L295)&lt;1),"Vencida"&amp;" · ","")&amp;IF(AND(ObsObligatoria="Sí",ISNUMBER($F295),$F295&lt;FechaRef,N($L295)&lt;1,$N295=""),"Vencida sin observación"&amp;" · ",""))-3)))</f>
        <v/>
      </c>
      <c r="P295" s="69">
        <f>IF(NOT((COUNTA($B295:$K295)+COUNTA($N295))&gt;0),"",IF(AND($S295="Sub",N($R295)&gt;0),IF(ISNUMBER(INDEX($E$5:$E$1000,$R295-4)),DATE(YEAR(INDEX($E$5:$E$1000,$R295-4)),MONTH(INDEX($E$5:$E$1000,$R295-4)),1),IF(ISNUMBER(INDEX($F$5:$F$1000,$R295-4)),DATE(YEAR(INDEX($F$5:$F$1000,$R295-4)),MONTH(INDEX($F$5:$F$1000,$R295-4)),1),MesCiclo)),IF(ISNUMBER($E295),DATE(YEAR($E295),MONTH($E295),1),IF(ISNUMBER($F295),DATE(YEAR($F295),MONTH($F295),1),MesCiclo))))</f>
        <v/>
      </c>
      <c r="Q295" s="70">
        <f>IF(OR($P295="",$P295&lt;&gt;MesCiclo),"",COUNTIF($P$5:$P295,MesCiclo))</f>
        <v/>
      </c>
      <c r="R295" s="70">
        <f>IF($S295="","",IF($S295="Macro",ROW(),IFERROR(LOOKUP(2,1/($S$5:$S295="Macro"),ROW($S$5:$S295)),0)))</f>
        <v/>
      </c>
      <c r="S295" s="70">
        <f>IF(NOT((COUNTA($B295:$K295)+COUNTA($N295))&gt;0),"",IF($B295&lt;&gt;"","Macro",IF($C295&lt;&gt;"","Sub","Macro")))</f>
        <v/>
      </c>
      <c r="T295" s="70">
        <f>IF($S295="Macro",COUNTIFS($R$5:$R$1000,ROW(),$S$5:$S$1000,"Sub"),"")</f>
        <v/>
      </c>
      <c r="U295" s="70">
        <f>IF($S295="","",IF(ISNUMBER($H295),$H295,0))</f>
        <v/>
      </c>
      <c r="V295" s="70">
        <f>IF($S295="","",IF(ISNUMBER($I295),$I295,$U295))</f>
        <v/>
      </c>
      <c r="W295" s="70">
        <f>IF($S295="","",IF(ISNUMBER($J295),$J295,$V295))</f>
        <v/>
      </c>
      <c r="X295" s="70">
        <f>IF($S295="","",IF(ISNUMBER($K295),$K295,$W295))</f>
        <v/>
      </c>
      <c r="Y295" s="70">
        <f>IF($S295="","",IF(N($T295)&gt;0,AVERAGEIFS($U$5:$U$1000,$R$5:$R$1000,ROW(),$S$5:$S$1000,"Sub"),$U295))</f>
        <v/>
      </c>
      <c r="Z295" s="70">
        <f>IF($S295="","",IF(N($T295)&gt;0,AVERAGEIFS($V$5:$V$1000,$R$5:$R$1000,ROW(),$S$5:$S$1000,"Sub"),$V295))</f>
        <v/>
      </c>
      <c r="AA295" s="70">
        <f>IF($S295="","",IF(N($T295)&gt;0,AVERAGEIFS($W$5:$W$1000,$R$5:$R$1000,ROW(),$S$5:$S$1000,"Sub"),$W295))</f>
        <v/>
      </c>
      <c r="AB295" s="70">
        <f>IF($S295="","",IF(N($T295)&gt;0,AVERAGEIFS($X$5:$X$1000,$R$5:$R$1000,ROW(),$S$5:$S$1000,"Sub"),$X295))</f>
        <v/>
      </c>
    </row>
    <row r="296">
      <c r="A296" s="61">
        <f>IF(NOT((COUNTA($B296:$K296)+COUNTA($N296))&gt;0),"",IF($S296="Macro",COUNTIFS($S$5:$S296,"Macro",$P$5:$P296,$P296),IF(N($R296)=0,"?",COUNTIFS(INDEX($S$5:$S$1000,1):INDEX($S$5:$S$1000,$R296-4),"Macro",INDEX($P$5:$P$1000,1):INDEX($P$5:$P$1000,$R296-4),INDEX($P$5:$P$1000,$R296-4))&amp;"."&amp;COUNTIFS($R$5:$R296,$R296,$S$5:$S296,"Sub"))))</f>
        <v/>
      </c>
      <c r="B296" s="62" t="n"/>
      <c r="C296" s="63" t="n"/>
      <c r="D296" s="62" t="n"/>
      <c r="E296" s="64" t="n"/>
      <c r="F296" s="64" t="n"/>
      <c r="G296" s="65" t="n"/>
      <c r="H296" s="66" t="n"/>
      <c r="I296" s="66" t="n"/>
      <c r="J296" s="66" t="n"/>
      <c r="K296" s="66" t="n"/>
      <c r="L296" s="67">
        <f>IF(NOT((COUNTA($B296:$K296)+COUNTA($N296))&gt;0),"",IF(N($T296)&gt;0,$AB296,IFERROR(LOOKUP(2,1/(H296:K296&lt;&gt;""),H296:K296),0)))</f>
        <v/>
      </c>
      <c r="M296" s="61">
        <f>IF(L296="","",IF(L296&gt;=1,"Completado",IF(L296&gt;0,"En curso","Pendiente")))</f>
        <v/>
      </c>
      <c r="N296" s="62" t="n"/>
      <c r="O296" s="68">
        <f>IF(NOT((COUNTA($B296:$K296)+COUNTA($N296))&gt;0),"",IF((IF(AND($S296="Macro",$B296=""),"Macroactividad vacía"&amp;" · ","")&amp;IF(AND($B296&lt;&gt;"",$C296&lt;&gt;""),"Escriba la subactividad en otra fila, debajo de su macroactividad"&amp;" · ","")&amp;IF(AND($S296="Sub",N($R296)=0),"Subactividad sin macroactividad arriba"&amp;" · ","")&amp;IF($D296="","Sin responsable"&amp;" · ","")&amp;IF($E296="","Sin fecha de inicio"&amp;" · ","")&amp;IF($F296="","Sin fecha límite"&amp;" · ","")&amp;IF(OR(AND($E296&lt;&gt;"",NOT(ISNUMBER($E296))),AND($F296&lt;&gt;"",NOT(ISNUMBER($F296)))),"Fecha no válida"&amp;" · ","")&amp;IF(AND(ISNUMBER($E296),ISNUMBER($F296),$E296&gt;$F296),"Inicio posterior a fecha límite"&amp;" · ","")&amp;IF(AND($S296="Macro",$G296=""),"Peso vacío"&amp;" · ","")&amp;IF(AND($S296="Macro",$G296&lt;&gt;"",OR(NOT(ISNUMBER($G296)),$G296&lt;=0,$G296&gt;1)),"Peso fuera de rango"&amp;" · ","")&amp;IF(AND($S296="Sub",$G296&lt;&gt;""),"Las subactividades no llevan peso"&amp;" · ","")&amp;IF(AND($S296="Macro",ABS(SUMIFS($G$5:$G$1000,$P$5:$P$1000,$P296,$S$5:$S$1000,"Macro")-1)&gt;0.0001),"Pesos del mes suman "&amp;TEXT(SUMIFS($G$5:$G$1000,$P$5:$P$1000,$P296,$S$5:$S$1000,"Macro"),"0%")&amp;" · ","")&amp;IF(AND(N($T296)&gt;0,COUNT($H296:$K296)&gt;0),"Con subactividades: deje vacías las semanas (se calculan solas)"&amp;" · ","")&amp;IF((COUNTIF($H296:$K296,"&gt;1")+COUNTIF($H296:$K296,"&lt;0")+COUNTA($H296:$K296)-COUNT($H296:$K296))&gt;0,"Avance fuera de rango 0-100%"&amp;" · ","")&amp;IF(OR(AND($I296&lt;&gt;"",$I296&lt;$H296),AND($J296&lt;&gt;"",$J296&lt;MAX($H296:$I296)),AND($K296&lt;&gt;"",$K296&lt;MAX($H296:$J296))),"Avance semanal decreciente"&amp;" · ","")&amp;IF(AND(ISNUMBER($F296),$F296&lt;FechaRef,N($L296)&lt;1),"Vencida"&amp;" · ","")&amp;IF(AND(ObsObligatoria="Sí",ISNUMBER($F296),$F296&lt;FechaRef,N($L296)&lt;1,$N296=""),"Vencida sin observación"&amp;" · ",""))="","✔ OK","⚠ "&amp;LEFT(IF(AND($S296="Macro",$B296=""),"Macroactividad vacía"&amp;" · ","")&amp;IF(AND($B296&lt;&gt;"",$C296&lt;&gt;""),"Escriba la subactividad en otra fila, debajo de su macroactividad"&amp;" · ","")&amp;IF(AND($S296="Sub",N($R296)=0),"Subactividad sin macroactividad arriba"&amp;" · ","")&amp;IF($D296="","Sin responsable"&amp;" · ","")&amp;IF($E296="","Sin fecha de inicio"&amp;" · ","")&amp;IF($F296="","Sin fecha límite"&amp;" · ","")&amp;IF(OR(AND($E296&lt;&gt;"",NOT(ISNUMBER($E296))),AND($F296&lt;&gt;"",NOT(ISNUMBER($F296)))),"Fecha no válida"&amp;" · ","")&amp;IF(AND(ISNUMBER($E296),ISNUMBER($F296),$E296&gt;$F296),"Inicio posterior a fecha límite"&amp;" · ","")&amp;IF(AND($S296="Macro",$G296=""),"Peso vacío"&amp;" · ","")&amp;IF(AND($S296="Macro",$G296&lt;&gt;"",OR(NOT(ISNUMBER($G296)),$G296&lt;=0,$G296&gt;1)),"Peso fuera de rango"&amp;" · ","")&amp;IF(AND($S296="Sub",$G296&lt;&gt;""),"Las subactividades no llevan peso"&amp;" · ","")&amp;IF(AND($S296="Macro",ABS(SUMIFS($G$5:$G$1000,$P$5:$P$1000,$P296,$S$5:$S$1000,"Macro")-1)&gt;0.0001),"Pesos del mes suman "&amp;TEXT(SUMIFS($G$5:$G$1000,$P$5:$P$1000,$P296,$S$5:$S$1000,"Macro"),"0%")&amp;" · ","")&amp;IF(AND(N($T296)&gt;0,COUNT($H296:$K296)&gt;0),"Con subactividades: deje vacías las semanas (se calculan solas)"&amp;" · ","")&amp;IF((COUNTIF($H296:$K296,"&gt;1")+COUNTIF($H296:$K296,"&lt;0")+COUNTA($H296:$K296)-COUNT($H296:$K296))&gt;0,"Avance fuera de rango 0-100%"&amp;" · ","")&amp;IF(OR(AND($I296&lt;&gt;"",$I296&lt;$H296),AND($J296&lt;&gt;"",$J296&lt;MAX($H296:$I296)),AND($K296&lt;&gt;"",$K296&lt;MAX($H296:$J296))),"Avance semanal decreciente"&amp;" · ","")&amp;IF(AND(ISNUMBER($F296),$F296&lt;FechaRef,N($L296)&lt;1),"Vencida"&amp;" · ","")&amp;IF(AND(ObsObligatoria="Sí",ISNUMBER($F296),$F296&lt;FechaRef,N($L296)&lt;1,$N296=""),"Vencida sin observación"&amp;" · ",""),LEN(IF(AND($S296="Macro",$B296=""),"Macroactividad vacía"&amp;" · ","")&amp;IF(AND($B296&lt;&gt;"",$C296&lt;&gt;""),"Escriba la subactividad en otra fila, debajo de su macroactividad"&amp;" · ","")&amp;IF(AND($S296="Sub",N($R296)=0),"Subactividad sin macroactividad arriba"&amp;" · ","")&amp;IF($D296="","Sin responsable"&amp;" · ","")&amp;IF($E296="","Sin fecha de inicio"&amp;" · ","")&amp;IF($F296="","Sin fecha límite"&amp;" · ","")&amp;IF(OR(AND($E296&lt;&gt;"",NOT(ISNUMBER($E296))),AND($F296&lt;&gt;"",NOT(ISNUMBER($F296)))),"Fecha no válida"&amp;" · ","")&amp;IF(AND(ISNUMBER($E296),ISNUMBER($F296),$E296&gt;$F296),"Inicio posterior a fecha límite"&amp;" · ","")&amp;IF(AND($S296="Macro",$G296=""),"Peso vacío"&amp;" · ","")&amp;IF(AND($S296="Macro",$G296&lt;&gt;"",OR(NOT(ISNUMBER($G296)),$G296&lt;=0,$G296&gt;1)),"Peso fuera de rango"&amp;" · ","")&amp;IF(AND($S296="Sub",$G296&lt;&gt;""),"Las subactividades no llevan peso"&amp;" · ","")&amp;IF(AND($S296="Macro",ABS(SUMIFS($G$5:$G$1000,$P$5:$P$1000,$P296,$S$5:$S$1000,"Macro")-1)&gt;0.0001),"Pesos del mes suman "&amp;TEXT(SUMIFS($G$5:$G$1000,$P$5:$P$1000,$P296,$S$5:$S$1000,"Macro"),"0%")&amp;" · ","")&amp;IF(AND(N($T296)&gt;0,COUNT($H296:$K296)&gt;0),"Con subactividades: deje vacías las semanas (se calculan solas)"&amp;" · ","")&amp;IF((COUNTIF($H296:$K296,"&gt;1")+COUNTIF($H296:$K296,"&lt;0")+COUNTA($H296:$K296)-COUNT($H296:$K296))&gt;0,"Avance fuera de rango 0-100%"&amp;" · ","")&amp;IF(OR(AND($I296&lt;&gt;"",$I296&lt;$H296),AND($J296&lt;&gt;"",$J296&lt;MAX($H296:$I296)),AND($K296&lt;&gt;"",$K296&lt;MAX($H296:$J296))),"Avance semanal decreciente"&amp;" · ","")&amp;IF(AND(ISNUMBER($F296),$F296&lt;FechaRef,N($L296)&lt;1),"Vencida"&amp;" · ","")&amp;IF(AND(ObsObligatoria="Sí",ISNUMBER($F296),$F296&lt;FechaRef,N($L296)&lt;1,$N296=""),"Vencida sin observación"&amp;" · ",""))-3)))</f>
        <v/>
      </c>
      <c r="P296" s="69">
        <f>IF(NOT((COUNTA($B296:$K296)+COUNTA($N296))&gt;0),"",IF(AND($S296="Sub",N($R296)&gt;0),IF(ISNUMBER(INDEX($E$5:$E$1000,$R296-4)),DATE(YEAR(INDEX($E$5:$E$1000,$R296-4)),MONTH(INDEX($E$5:$E$1000,$R296-4)),1),IF(ISNUMBER(INDEX($F$5:$F$1000,$R296-4)),DATE(YEAR(INDEX($F$5:$F$1000,$R296-4)),MONTH(INDEX($F$5:$F$1000,$R296-4)),1),MesCiclo)),IF(ISNUMBER($E296),DATE(YEAR($E296),MONTH($E296),1),IF(ISNUMBER($F296),DATE(YEAR($F296),MONTH($F296),1),MesCiclo))))</f>
        <v/>
      </c>
      <c r="Q296" s="70">
        <f>IF(OR($P296="",$P296&lt;&gt;MesCiclo),"",COUNTIF($P$5:$P296,MesCiclo))</f>
        <v/>
      </c>
      <c r="R296" s="70">
        <f>IF($S296="","",IF($S296="Macro",ROW(),IFERROR(LOOKUP(2,1/($S$5:$S296="Macro"),ROW($S$5:$S296)),0)))</f>
        <v/>
      </c>
      <c r="S296" s="70">
        <f>IF(NOT((COUNTA($B296:$K296)+COUNTA($N296))&gt;0),"",IF($B296&lt;&gt;"","Macro",IF($C296&lt;&gt;"","Sub","Macro")))</f>
        <v/>
      </c>
      <c r="T296" s="70">
        <f>IF($S296="Macro",COUNTIFS($R$5:$R$1000,ROW(),$S$5:$S$1000,"Sub"),"")</f>
        <v/>
      </c>
      <c r="U296" s="70">
        <f>IF($S296="","",IF(ISNUMBER($H296),$H296,0))</f>
        <v/>
      </c>
      <c r="V296" s="70">
        <f>IF($S296="","",IF(ISNUMBER($I296),$I296,$U296))</f>
        <v/>
      </c>
      <c r="W296" s="70">
        <f>IF($S296="","",IF(ISNUMBER($J296),$J296,$V296))</f>
        <v/>
      </c>
      <c r="X296" s="70">
        <f>IF($S296="","",IF(ISNUMBER($K296),$K296,$W296))</f>
        <v/>
      </c>
      <c r="Y296" s="70">
        <f>IF($S296="","",IF(N($T296)&gt;0,AVERAGEIFS($U$5:$U$1000,$R$5:$R$1000,ROW(),$S$5:$S$1000,"Sub"),$U296))</f>
        <v/>
      </c>
      <c r="Z296" s="70">
        <f>IF($S296="","",IF(N($T296)&gt;0,AVERAGEIFS($V$5:$V$1000,$R$5:$R$1000,ROW(),$S$5:$S$1000,"Sub"),$V296))</f>
        <v/>
      </c>
      <c r="AA296" s="70">
        <f>IF($S296="","",IF(N($T296)&gt;0,AVERAGEIFS($W$5:$W$1000,$R$5:$R$1000,ROW(),$S$5:$S$1000,"Sub"),$W296))</f>
        <v/>
      </c>
      <c r="AB296" s="70">
        <f>IF($S296="","",IF(N($T296)&gt;0,AVERAGEIFS($X$5:$X$1000,$R$5:$R$1000,ROW(),$S$5:$S$1000,"Sub"),$X296))</f>
        <v/>
      </c>
    </row>
    <row r="297">
      <c r="A297" s="61">
        <f>IF(NOT((COUNTA($B297:$K297)+COUNTA($N297))&gt;0),"",IF($S297="Macro",COUNTIFS($S$5:$S297,"Macro",$P$5:$P297,$P297),IF(N($R297)=0,"?",COUNTIFS(INDEX($S$5:$S$1000,1):INDEX($S$5:$S$1000,$R297-4),"Macro",INDEX($P$5:$P$1000,1):INDEX($P$5:$P$1000,$R297-4),INDEX($P$5:$P$1000,$R297-4))&amp;"."&amp;COUNTIFS($R$5:$R297,$R297,$S$5:$S297,"Sub"))))</f>
        <v/>
      </c>
      <c r="B297" s="62" t="n"/>
      <c r="C297" s="63" t="n"/>
      <c r="D297" s="62" t="n"/>
      <c r="E297" s="64" t="n"/>
      <c r="F297" s="64" t="n"/>
      <c r="G297" s="65" t="n"/>
      <c r="H297" s="66" t="n"/>
      <c r="I297" s="66" t="n"/>
      <c r="J297" s="66" t="n"/>
      <c r="K297" s="66" t="n"/>
      <c r="L297" s="67">
        <f>IF(NOT((COUNTA($B297:$K297)+COUNTA($N297))&gt;0),"",IF(N($T297)&gt;0,$AB297,IFERROR(LOOKUP(2,1/(H297:K297&lt;&gt;""),H297:K297),0)))</f>
        <v/>
      </c>
      <c r="M297" s="61">
        <f>IF(L297="","",IF(L297&gt;=1,"Completado",IF(L297&gt;0,"En curso","Pendiente")))</f>
        <v/>
      </c>
      <c r="N297" s="62" t="n"/>
      <c r="O297" s="68">
        <f>IF(NOT((COUNTA($B297:$K297)+COUNTA($N297))&gt;0),"",IF((IF(AND($S297="Macro",$B297=""),"Macroactividad vacía"&amp;" · ","")&amp;IF(AND($B297&lt;&gt;"",$C297&lt;&gt;""),"Escriba la subactividad en otra fila, debajo de su macroactividad"&amp;" · ","")&amp;IF(AND($S297="Sub",N($R297)=0),"Subactividad sin macroactividad arriba"&amp;" · ","")&amp;IF($D297="","Sin responsable"&amp;" · ","")&amp;IF($E297="","Sin fecha de inicio"&amp;" · ","")&amp;IF($F297="","Sin fecha límite"&amp;" · ","")&amp;IF(OR(AND($E297&lt;&gt;"",NOT(ISNUMBER($E297))),AND($F297&lt;&gt;"",NOT(ISNUMBER($F297)))),"Fecha no válida"&amp;" · ","")&amp;IF(AND(ISNUMBER($E297),ISNUMBER($F297),$E297&gt;$F297),"Inicio posterior a fecha límite"&amp;" · ","")&amp;IF(AND($S297="Macro",$G297=""),"Peso vacío"&amp;" · ","")&amp;IF(AND($S297="Macro",$G297&lt;&gt;"",OR(NOT(ISNUMBER($G297)),$G297&lt;=0,$G297&gt;1)),"Peso fuera de rango"&amp;" · ","")&amp;IF(AND($S297="Sub",$G297&lt;&gt;""),"Las subactividades no llevan peso"&amp;" · ","")&amp;IF(AND($S297="Macro",ABS(SUMIFS($G$5:$G$1000,$P$5:$P$1000,$P297,$S$5:$S$1000,"Macro")-1)&gt;0.0001),"Pesos del mes suman "&amp;TEXT(SUMIFS($G$5:$G$1000,$P$5:$P$1000,$P297,$S$5:$S$1000,"Macro"),"0%")&amp;" · ","")&amp;IF(AND(N($T297)&gt;0,COUNT($H297:$K297)&gt;0),"Con subactividades: deje vacías las semanas (se calculan solas)"&amp;" · ","")&amp;IF((COUNTIF($H297:$K297,"&gt;1")+COUNTIF($H297:$K297,"&lt;0")+COUNTA($H297:$K297)-COUNT($H297:$K297))&gt;0,"Avance fuera de rango 0-100%"&amp;" · ","")&amp;IF(OR(AND($I297&lt;&gt;"",$I297&lt;$H297),AND($J297&lt;&gt;"",$J297&lt;MAX($H297:$I297)),AND($K297&lt;&gt;"",$K297&lt;MAX($H297:$J297))),"Avance semanal decreciente"&amp;" · ","")&amp;IF(AND(ISNUMBER($F297),$F297&lt;FechaRef,N($L297)&lt;1),"Vencida"&amp;" · ","")&amp;IF(AND(ObsObligatoria="Sí",ISNUMBER($F297),$F297&lt;FechaRef,N($L297)&lt;1,$N297=""),"Vencida sin observación"&amp;" · ",""))="","✔ OK","⚠ "&amp;LEFT(IF(AND($S297="Macro",$B297=""),"Macroactividad vacía"&amp;" · ","")&amp;IF(AND($B297&lt;&gt;"",$C297&lt;&gt;""),"Escriba la subactividad en otra fila, debajo de su macroactividad"&amp;" · ","")&amp;IF(AND($S297="Sub",N($R297)=0),"Subactividad sin macroactividad arriba"&amp;" · ","")&amp;IF($D297="","Sin responsable"&amp;" · ","")&amp;IF($E297="","Sin fecha de inicio"&amp;" · ","")&amp;IF($F297="","Sin fecha límite"&amp;" · ","")&amp;IF(OR(AND($E297&lt;&gt;"",NOT(ISNUMBER($E297))),AND($F297&lt;&gt;"",NOT(ISNUMBER($F297)))),"Fecha no válida"&amp;" · ","")&amp;IF(AND(ISNUMBER($E297),ISNUMBER($F297),$E297&gt;$F297),"Inicio posterior a fecha límite"&amp;" · ","")&amp;IF(AND($S297="Macro",$G297=""),"Peso vacío"&amp;" · ","")&amp;IF(AND($S297="Macro",$G297&lt;&gt;"",OR(NOT(ISNUMBER($G297)),$G297&lt;=0,$G297&gt;1)),"Peso fuera de rango"&amp;" · ","")&amp;IF(AND($S297="Sub",$G297&lt;&gt;""),"Las subactividades no llevan peso"&amp;" · ","")&amp;IF(AND($S297="Macro",ABS(SUMIFS($G$5:$G$1000,$P$5:$P$1000,$P297,$S$5:$S$1000,"Macro")-1)&gt;0.0001),"Pesos del mes suman "&amp;TEXT(SUMIFS($G$5:$G$1000,$P$5:$P$1000,$P297,$S$5:$S$1000,"Macro"),"0%")&amp;" · ","")&amp;IF(AND(N($T297)&gt;0,COUNT($H297:$K297)&gt;0),"Con subactividades: deje vacías las semanas (se calculan solas)"&amp;" · ","")&amp;IF((COUNTIF($H297:$K297,"&gt;1")+COUNTIF($H297:$K297,"&lt;0")+COUNTA($H297:$K297)-COUNT($H297:$K297))&gt;0,"Avance fuera de rango 0-100%"&amp;" · ","")&amp;IF(OR(AND($I297&lt;&gt;"",$I297&lt;$H297),AND($J297&lt;&gt;"",$J297&lt;MAX($H297:$I297)),AND($K297&lt;&gt;"",$K297&lt;MAX($H297:$J297))),"Avance semanal decreciente"&amp;" · ","")&amp;IF(AND(ISNUMBER($F297),$F297&lt;FechaRef,N($L297)&lt;1),"Vencida"&amp;" · ","")&amp;IF(AND(ObsObligatoria="Sí",ISNUMBER($F297),$F297&lt;FechaRef,N($L297)&lt;1,$N297=""),"Vencida sin observación"&amp;" · ",""),LEN(IF(AND($S297="Macro",$B297=""),"Macroactividad vacía"&amp;" · ","")&amp;IF(AND($B297&lt;&gt;"",$C297&lt;&gt;""),"Escriba la subactividad en otra fila, debajo de su macroactividad"&amp;" · ","")&amp;IF(AND($S297="Sub",N($R297)=0),"Subactividad sin macroactividad arriba"&amp;" · ","")&amp;IF($D297="","Sin responsable"&amp;" · ","")&amp;IF($E297="","Sin fecha de inicio"&amp;" · ","")&amp;IF($F297="","Sin fecha límite"&amp;" · ","")&amp;IF(OR(AND($E297&lt;&gt;"",NOT(ISNUMBER($E297))),AND($F297&lt;&gt;"",NOT(ISNUMBER($F297)))),"Fecha no válida"&amp;" · ","")&amp;IF(AND(ISNUMBER($E297),ISNUMBER($F297),$E297&gt;$F297),"Inicio posterior a fecha límite"&amp;" · ","")&amp;IF(AND($S297="Macro",$G297=""),"Peso vacío"&amp;" · ","")&amp;IF(AND($S297="Macro",$G297&lt;&gt;"",OR(NOT(ISNUMBER($G297)),$G297&lt;=0,$G297&gt;1)),"Peso fuera de rango"&amp;" · ","")&amp;IF(AND($S297="Sub",$G297&lt;&gt;""),"Las subactividades no llevan peso"&amp;" · ","")&amp;IF(AND($S297="Macro",ABS(SUMIFS($G$5:$G$1000,$P$5:$P$1000,$P297,$S$5:$S$1000,"Macro")-1)&gt;0.0001),"Pesos del mes suman "&amp;TEXT(SUMIFS($G$5:$G$1000,$P$5:$P$1000,$P297,$S$5:$S$1000,"Macro"),"0%")&amp;" · ","")&amp;IF(AND(N($T297)&gt;0,COUNT($H297:$K297)&gt;0),"Con subactividades: deje vacías las semanas (se calculan solas)"&amp;" · ","")&amp;IF((COUNTIF($H297:$K297,"&gt;1")+COUNTIF($H297:$K297,"&lt;0")+COUNTA($H297:$K297)-COUNT($H297:$K297))&gt;0,"Avance fuera de rango 0-100%"&amp;" · ","")&amp;IF(OR(AND($I297&lt;&gt;"",$I297&lt;$H297),AND($J297&lt;&gt;"",$J297&lt;MAX($H297:$I297)),AND($K297&lt;&gt;"",$K297&lt;MAX($H297:$J297))),"Avance semanal decreciente"&amp;" · ","")&amp;IF(AND(ISNUMBER($F297),$F297&lt;FechaRef,N($L297)&lt;1),"Vencida"&amp;" · ","")&amp;IF(AND(ObsObligatoria="Sí",ISNUMBER($F297),$F297&lt;FechaRef,N($L297)&lt;1,$N297=""),"Vencida sin observación"&amp;" · ",""))-3)))</f>
        <v/>
      </c>
      <c r="P297" s="69">
        <f>IF(NOT((COUNTA($B297:$K297)+COUNTA($N297))&gt;0),"",IF(AND($S297="Sub",N($R297)&gt;0),IF(ISNUMBER(INDEX($E$5:$E$1000,$R297-4)),DATE(YEAR(INDEX($E$5:$E$1000,$R297-4)),MONTH(INDEX($E$5:$E$1000,$R297-4)),1),IF(ISNUMBER(INDEX($F$5:$F$1000,$R297-4)),DATE(YEAR(INDEX($F$5:$F$1000,$R297-4)),MONTH(INDEX($F$5:$F$1000,$R297-4)),1),MesCiclo)),IF(ISNUMBER($E297),DATE(YEAR($E297),MONTH($E297),1),IF(ISNUMBER($F297),DATE(YEAR($F297),MONTH($F297),1),MesCiclo))))</f>
        <v/>
      </c>
      <c r="Q297" s="70">
        <f>IF(OR($P297="",$P297&lt;&gt;MesCiclo),"",COUNTIF($P$5:$P297,MesCiclo))</f>
        <v/>
      </c>
      <c r="R297" s="70">
        <f>IF($S297="","",IF($S297="Macro",ROW(),IFERROR(LOOKUP(2,1/($S$5:$S297="Macro"),ROW($S$5:$S297)),0)))</f>
        <v/>
      </c>
      <c r="S297" s="70">
        <f>IF(NOT((COUNTA($B297:$K297)+COUNTA($N297))&gt;0),"",IF($B297&lt;&gt;"","Macro",IF($C297&lt;&gt;"","Sub","Macro")))</f>
        <v/>
      </c>
      <c r="T297" s="70">
        <f>IF($S297="Macro",COUNTIFS($R$5:$R$1000,ROW(),$S$5:$S$1000,"Sub"),"")</f>
        <v/>
      </c>
      <c r="U297" s="70">
        <f>IF($S297="","",IF(ISNUMBER($H297),$H297,0))</f>
        <v/>
      </c>
      <c r="V297" s="70">
        <f>IF($S297="","",IF(ISNUMBER($I297),$I297,$U297))</f>
        <v/>
      </c>
      <c r="W297" s="70">
        <f>IF($S297="","",IF(ISNUMBER($J297),$J297,$V297))</f>
        <v/>
      </c>
      <c r="X297" s="70">
        <f>IF($S297="","",IF(ISNUMBER($K297),$K297,$W297))</f>
        <v/>
      </c>
      <c r="Y297" s="70">
        <f>IF($S297="","",IF(N($T297)&gt;0,AVERAGEIFS($U$5:$U$1000,$R$5:$R$1000,ROW(),$S$5:$S$1000,"Sub"),$U297))</f>
        <v/>
      </c>
      <c r="Z297" s="70">
        <f>IF($S297="","",IF(N($T297)&gt;0,AVERAGEIFS($V$5:$V$1000,$R$5:$R$1000,ROW(),$S$5:$S$1000,"Sub"),$V297))</f>
        <v/>
      </c>
      <c r="AA297" s="70">
        <f>IF($S297="","",IF(N($T297)&gt;0,AVERAGEIFS($W$5:$W$1000,$R$5:$R$1000,ROW(),$S$5:$S$1000,"Sub"),$W297))</f>
        <v/>
      </c>
      <c r="AB297" s="70">
        <f>IF($S297="","",IF(N($T297)&gt;0,AVERAGEIFS($X$5:$X$1000,$R$5:$R$1000,ROW(),$S$5:$S$1000,"Sub"),$X297))</f>
        <v/>
      </c>
    </row>
    <row r="298">
      <c r="A298" s="61">
        <f>IF(NOT((COUNTA($B298:$K298)+COUNTA($N298))&gt;0),"",IF($S298="Macro",COUNTIFS($S$5:$S298,"Macro",$P$5:$P298,$P298),IF(N($R298)=0,"?",COUNTIFS(INDEX($S$5:$S$1000,1):INDEX($S$5:$S$1000,$R298-4),"Macro",INDEX($P$5:$P$1000,1):INDEX($P$5:$P$1000,$R298-4),INDEX($P$5:$P$1000,$R298-4))&amp;"."&amp;COUNTIFS($R$5:$R298,$R298,$S$5:$S298,"Sub"))))</f>
        <v/>
      </c>
      <c r="B298" s="62" t="n"/>
      <c r="C298" s="63" t="n"/>
      <c r="D298" s="62" t="n"/>
      <c r="E298" s="64" t="n"/>
      <c r="F298" s="64" t="n"/>
      <c r="G298" s="65" t="n"/>
      <c r="H298" s="66" t="n"/>
      <c r="I298" s="66" t="n"/>
      <c r="J298" s="66" t="n"/>
      <c r="K298" s="66" t="n"/>
      <c r="L298" s="67">
        <f>IF(NOT((COUNTA($B298:$K298)+COUNTA($N298))&gt;0),"",IF(N($T298)&gt;0,$AB298,IFERROR(LOOKUP(2,1/(H298:K298&lt;&gt;""),H298:K298),0)))</f>
        <v/>
      </c>
      <c r="M298" s="61">
        <f>IF(L298="","",IF(L298&gt;=1,"Completado",IF(L298&gt;0,"En curso","Pendiente")))</f>
        <v/>
      </c>
      <c r="N298" s="62" t="n"/>
      <c r="O298" s="68">
        <f>IF(NOT((COUNTA($B298:$K298)+COUNTA($N298))&gt;0),"",IF((IF(AND($S298="Macro",$B298=""),"Macroactividad vacía"&amp;" · ","")&amp;IF(AND($B298&lt;&gt;"",$C298&lt;&gt;""),"Escriba la subactividad en otra fila, debajo de su macroactividad"&amp;" · ","")&amp;IF(AND($S298="Sub",N($R298)=0),"Subactividad sin macroactividad arriba"&amp;" · ","")&amp;IF($D298="","Sin responsable"&amp;" · ","")&amp;IF($E298="","Sin fecha de inicio"&amp;" · ","")&amp;IF($F298="","Sin fecha límite"&amp;" · ","")&amp;IF(OR(AND($E298&lt;&gt;"",NOT(ISNUMBER($E298))),AND($F298&lt;&gt;"",NOT(ISNUMBER($F298)))),"Fecha no válida"&amp;" · ","")&amp;IF(AND(ISNUMBER($E298),ISNUMBER($F298),$E298&gt;$F298),"Inicio posterior a fecha límite"&amp;" · ","")&amp;IF(AND($S298="Macro",$G298=""),"Peso vacío"&amp;" · ","")&amp;IF(AND($S298="Macro",$G298&lt;&gt;"",OR(NOT(ISNUMBER($G298)),$G298&lt;=0,$G298&gt;1)),"Peso fuera de rango"&amp;" · ","")&amp;IF(AND($S298="Sub",$G298&lt;&gt;""),"Las subactividades no llevan peso"&amp;" · ","")&amp;IF(AND($S298="Macro",ABS(SUMIFS($G$5:$G$1000,$P$5:$P$1000,$P298,$S$5:$S$1000,"Macro")-1)&gt;0.0001),"Pesos del mes suman "&amp;TEXT(SUMIFS($G$5:$G$1000,$P$5:$P$1000,$P298,$S$5:$S$1000,"Macro"),"0%")&amp;" · ","")&amp;IF(AND(N($T298)&gt;0,COUNT($H298:$K298)&gt;0),"Con subactividades: deje vacías las semanas (se calculan solas)"&amp;" · ","")&amp;IF((COUNTIF($H298:$K298,"&gt;1")+COUNTIF($H298:$K298,"&lt;0")+COUNTA($H298:$K298)-COUNT($H298:$K298))&gt;0,"Avance fuera de rango 0-100%"&amp;" · ","")&amp;IF(OR(AND($I298&lt;&gt;"",$I298&lt;$H298),AND($J298&lt;&gt;"",$J298&lt;MAX($H298:$I298)),AND($K298&lt;&gt;"",$K298&lt;MAX($H298:$J298))),"Avance semanal decreciente"&amp;" · ","")&amp;IF(AND(ISNUMBER($F298),$F298&lt;FechaRef,N($L298)&lt;1),"Vencida"&amp;" · ","")&amp;IF(AND(ObsObligatoria="Sí",ISNUMBER($F298),$F298&lt;FechaRef,N($L298)&lt;1,$N298=""),"Vencida sin observación"&amp;" · ",""))="","✔ OK","⚠ "&amp;LEFT(IF(AND($S298="Macro",$B298=""),"Macroactividad vacía"&amp;" · ","")&amp;IF(AND($B298&lt;&gt;"",$C298&lt;&gt;""),"Escriba la subactividad en otra fila, debajo de su macroactividad"&amp;" · ","")&amp;IF(AND($S298="Sub",N($R298)=0),"Subactividad sin macroactividad arriba"&amp;" · ","")&amp;IF($D298="","Sin responsable"&amp;" · ","")&amp;IF($E298="","Sin fecha de inicio"&amp;" · ","")&amp;IF($F298="","Sin fecha límite"&amp;" · ","")&amp;IF(OR(AND($E298&lt;&gt;"",NOT(ISNUMBER($E298))),AND($F298&lt;&gt;"",NOT(ISNUMBER($F298)))),"Fecha no válida"&amp;" · ","")&amp;IF(AND(ISNUMBER($E298),ISNUMBER($F298),$E298&gt;$F298),"Inicio posterior a fecha límite"&amp;" · ","")&amp;IF(AND($S298="Macro",$G298=""),"Peso vacío"&amp;" · ","")&amp;IF(AND($S298="Macro",$G298&lt;&gt;"",OR(NOT(ISNUMBER($G298)),$G298&lt;=0,$G298&gt;1)),"Peso fuera de rango"&amp;" · ","")&amp;IF(AND($S298="Sub",$G298&lt;&gt;""),"Las subactividades no llevan peso"&amp;" · ","")&amp;IF(AND($S298="Macro",ABS(SUMIFS($G$5:$G$1000,$P$5:$P$1000,$P298,$S$5:$S$1000,"Macro")-1)&gt;0.0001),"Pesos del mes suman "&amp;TEXT(SUMIFS($G$5:$G$1000,$P$5:$P$1000,$P298,$S$5:$S$1000,"Macro"),"0%")&amp;" · ","")&amp;IF(AND(N($T298)&gt;0,COUNT($H298:$K298)&gt;0),"Con subactividades: deje vacías las semanas (se calculan solas)"&amp;" · ","")&amp;IF((COUNTIF($H298:$K298,"&gt;1")+COUNTIF($H298:$K298,"&lt;0")+COUNTA($H298:$K298)-COUNT($H298:$K298))&gt;0,"Avance fuera de rango 0-100%"&amp;" · ","")&amp;IF(OR(AND($I298&lt;&gt;"",$I298&lt;$H298),AND($J298&lt;&gt;"",$J298&lt;MAX($H298:$I298)),AND($K298&lt;&gt;"",$K298&lt;MAX($H298:$J298))),"Avance semanal decreciente"&amp;" · ","")&amp;IF(AND(ISNUMBER($F298),$F298&lt;FechaRef,N($L298)&lt;1),"Vencida"&amp;" · ","")&amp;IF(AND(ObsObligatoria="Sí",ISNUMBER($F298),$F298&lt;FechaRef,N($L298)&lt;1,$N298=""),"Vencida sin observación"&amp;" · ",""),LEN(IF(AND($S298="Macro",$B298=""),"Macroactividad vacía"&amp;" · ","")&amp;IF(AND($B298&lt;&gt;"",$C298&lt;&gt;""),"Escriba la subactividad en otra fila, debajo de su macroactividad"&amp;" · ","")&amp;IF(AND($S298="Sub",N($R298)=0),"Subactividad sin macroactividad arriba"&amp;" · ","")&amp;IF($D298="","Sin responsable"&amp;" · ","")&amp;IF($E298="","Sin fecha de inicio"&amp;" · ","")&amp;IF($F298="","Sin fecha límite"&amp;" · ","")&amp;IF(OR(AND($E298&lt;&gt;"",NOT(ISNUMBER($E298))),AND($F298&lt;&gt;"",NOT(ISNUMBER($F298)))),"Fecha no válida"&amp;" · ","")&amp;IF(AND(ISNUMBER($E298),ISNUMBER($F298),$E298&gt;$F298),"Inicio posterior a fecha límite"&amp;" · ","")&amp;IF(AND($S298="Macro",$G298=""),"Peso vacío"&amp;" · ","")&amp;IF(AND($S298="Macro",$G298&lt;&gt;"",OR(NOT(ISNUMBER($G298)),$G298&lt;=0,$G298&gt;1)),"Peso fuera de rango"&amp;" · ","")&amp;IF(AND($S298="Sub",$G298&lt;&gt;""),"Las subactividades no llevan peso"&amp;" · ","")&amp;IF(AND($S298="Macro",ABS(SUMIFS($G$5:$G$1000,$P$5:$P$1000,$P298,$S$5:$S$1000,"Macro")-1)&gt;0.0001),"Pesos del mes suman "&amp;TEXT(SUMIFS($G$5:$G$1000,$P$5:$P$1000,$P298,$S$5:$S$1000,"Macro"),"0%")&amp;" · ","")&amp;IF(AND(N($T298)&gt;0,COUNT($H298:$K298)&gt;0),"Con subactividades: deje vacías las semanas (se calculan solas)"&amp;" · ","")&amp;IF((COUNTIF($H298:$K298,"&gt;1")+COUNTIF($H298:$K298,"&lt;0")+COUNTA($H298:$K298)-COUNT($H298:$K298))&gt;0,"Avance fuera de rango 0-100%"&amp;" · ","")&amp;IF(OR(AND($I298&lt;&gt;"",$I298&lt;$H298),AND($J298&lt;&gt;"",$J298&lt;MAX($H298:$I298)),AND($K298&lt;&gt;"",$K298&lt;MAX($H298:$J298))),"Avance semanal decreciente"&amp;" · ","")&amp;IF(AND(ISNUMBER($F298),$F298&lt;FechaRef,N($L298)&lt;1),"Vencida"&amp;" · ","")&amp;IF(AND(ObsObligatoria="Sí",ISNUMBER($F298),$F298&lt;FechaRef,N($L298)&lt;1,$N298=""),"Vencida sin observación"&amp;" · ",""))-3)))</f>
        <v/>
      </c>
      <c r="P298" s="69">
        <f>IF(NOT((COUNTA($B298:$K298)+COUNTA($N298))&gt;0),"",IF(AND($S298="Sub",N($R298)&gt;0),IF(ISNUMBER(INDEX($E$5:$E$1000,$R298-4)),DATE(YEAR(INDEX($E$5:$E$1000,$R298-4)),MONTH(INDEX($E$5:$E$1000,$R298-4)),1),IF(ISNUMBER(INDEX($F$5:$F$1000,$R298-4)),DATE(YEAR(INDEX($F$5:$F$1000,$R298-4)),MONTH(INDEX($F$5:$F$1000,$R298-4)),1),MesCiclo)),IF(ISNUMBER($E298),DATE(YEAR($E298),MONTH($E298),1),IF(ISNUMBER($F298),DATE(YEAR($F298),MONTH($F298),1),MesCiclo))))</f>
        <v/>
      </c>
      <c r="Q298" s="70">
        <f>IF(OR($P298="",$P298&lt;&gt;MesCiclo),"",COUNTIF($P$5:$P298,MesCiclo))</f>
        <v/>
      </c>
      <c r="R298" s="70">
        <f>IF($S298="","",IF($S298="Macro",ROW(),IFERROR(LOOKUP(2,1/($S$5:$S298="Macro"),ROW($S$5:$S298)),0)))</f>
        <v/>
      </c>
      <c r="S298" s="70">
        <f>IF(NOT((COUNTA($B298:$K298)+COUNTA($N298))&gt;0),"",IF($B298&lt;&gt;"","Macro",IF($C298&lt;&gt;"","Sub","Macro")))</f>
        <v/>
      </c>
      <c r="T298" s="70">
        <f>IF($S298="Macro",COUNTIFS($R$5:$R$1000,ROW(),$S$5:$S$1000,"Sub"),"")</f>
        <v/>
      </c>
      <c r="U298" s="70">
        <f>IF($S298="","",IF(ISNUMBER($H298),$H298,0))</f>
        <v/>
      </c>
      <c r="V298" s="70">
        <f>IF($S298="","",IF(ISNUMBER($I298),$I298,$U298))</f>
        <v/>
      </c>
      <c r="W298" s="70">
        <f>IF($S298="","",IF(ISNUMBER($J298),$J298,$V298))</f>
        <v/>
      </c>
      <c r="X298" s="70">
        <f>IF($S298="","",IF(ISNUMBER($K298),$K298,$W298))</f>
        <v/>
      </c>
      <c r="Y298" s="70">
        <f>IF($S298="","",IF(N($T298)&gt;0,AVERAGEIFS($U$5:$U$1000,$R$5:$R$1000,ROW(),$S$5:$S$1000,"Sub"),$U298))</f>
        <v/>
      </c>
      <c r="Z298" s="70">
        <f>IF($S298="","",IF(N($T298)&gt;0,AVERAGEIFS($V$5:$V$1000,$R$5:$R$1000,ROW(),$S$5:$S$1000,"Sub"),$V298))</f>
        <v/>
      </c>
      <c r="AA298" s="70">
        <f>IF($S298="","",IF(N($T298)&gt;0,AVERAGEIFS($W$5:$W$1000,$R$5:$R$1000,ROW(),$S$5:$S$1000,"Sub"),$W298))</f>
        <v/>
      </c>
      <c r="AB298" s="70">
        <f>IF($S298="","",IF(N($T298)&gt;0,AVERAGEIFS($X$5:$X$1000,$R$5:$R$1000,ROW(),$S$5:$S$1000,"Sub"),$X298))</f>
        <v/>
      </c>
    </row>
    <row r="299">
      <c r="A299" s="61">
        <f>IF(NOT((COUNTA($B299:$K299)+COUNTA($N299))&gt;0),"",IF($S299="Macro",COUNTIFS($S$5:$S299,"Macro",$P$5:$P299,$P299),IF(N($R299)=0,"?",COUNTIFS(INDEX($S$5:$S$1000,1):INDEX($S$5:$S$1000,$R299-4),"Macro",INDEX($P$5:$P$1000,1):INDEX($P$5:$P$1000,$R299-4),INDEX($P$5:$P$1000,$R299-4))&amp;"."&amp;COUNTIFS($R$5:$R299,$R299,$S$5:$S299,"Sub"))))</f>
        <v/>
      </c>
      <c r="B299" s="62" t="n"/>
      <c r="C299" s="63" t="n"/>
      <c r="D299" s="62" t="n"/>
      <c r="E299" s="64" t="n"/>
      <c r="F299" s="64" t="n"/>
      <c r="G299" s="65" t="n"/>
      <c r="H299" s="66" t="n"/>
      <c r="I299" s="66" t="n"/>
      <c r="J299" s="66" t="n"/>
      <c r="K299" s="66" t="n"/>
      <c r="L299" s="67">
        <f>IF(NOT((COUNTA($B299:$K299)+COUNTA($N299))&gt;0),"",IF(N($T299)&gt;0,$AB299,IFERROR(LOOKUP(2,1/(H299:K299&lt;&gt;""),H299:K299),0)))</f>
        <v/>
      </c>
      <c r="M299" s="61">
        <f>IF(L299="","",IF(L299&gt;=1,"Completado",IF(L299&gt;0,"En curso","Pendiente")))</f>
        <v/>
      </c>
      <c r="N299" s="62" t="n"/>
      <c r="O299" s="68">
        <f>IF(NOT((COUNTA($B299:$K299)+COUNTA($N299))&gt;0),"",IF((IF(AND($S299="Macro",$B299=""),"Macroactividad vacía"&amp;" · ","")&amp;IF(AND($B299&lt;&gt;"",$C299&lt;&gt;""),"Escriba la subactividad en otra fila, debajo de su macroactividad"&amp;" · ","")&amp;IF(AND($S299="Sub",N($R299)=0),"Subactividad sin macroactividad arriba"&amp;" · ","")&amp;IF($D299="","Sin responsable"&amp;" · ","")&amp;IF($E299="","Sin fecha de inicio"&amp;" · ","")&amp;IF($F299="","Sin fecha límite"&amp;" · ","")&amp;IF(OR(AND($E299&lt;&gt;"",NOT(ISNUMBER($E299))),AND($F299&lt;&gt;"",NOT(ISNUMBER($F299)))),"Fecha no válida"&amp;" · ","")&amp;IF(AND(ISNUMBER($E299),ISNUMBER($F299),$E299&gt;$F299),"Inicio posterior a fecha límite"&amp;" · ","")&amp;IF(AND($S299="Macro",$G299=""),"Peso vacío"&amp;" · ","")&amp;IF(AND($S299="Macro",$G299&lt;&gt;"",OR(NOT(ISNUMBER($G299)),$G299&lt;=0,$G299&gt;1)),"Peso fuera de rango"&amp;" · ","")&amp;IF(AND($S299="Sub",$G299&lt;&gt;""),"Las subactividades no llevan peso"&amp;" · ","")&amp;IF(AND($S299="Macro",ABS(SUMIFS($G$5:$G$1000,$P$5:$P$1000,$P299,$S$5:$S$1000,"Macro")-1)&gt;0.0001),"Pesos del mes suman "&amp;TEXT(SUMIFS($G$5:$G$1000,$P$5:$P$1000,$P299,$S$5:$S$1000,"Macro"),"0%")&amp;" · ","")&amp;IF(AND(N($T299)&gt;0,COUNT($H299:$K299)&gt;0),"Con subactividades: deje vacías las semanas (se calculan solas)"&amp;" · ","")&amp;IF((COUNTIF($H299:$K299,"&gt;1")+COUNTIF($H299:$K299,"&lt;0")+COUNTA($H299:$K299)-COUNT($H299:$K299))&gt;0,"Avance fuera de rango 0-100%"&amp;" · ","")&amp;IF(OR(AND($I299&lt;&gt;"",$I299&lt;$H299),AND($J299&lt;&gt;"",$J299&lt;MAX($H299:$I299)),AND($K299&lt;&gt;"",$K299&lt;MAX($H299:$J299))),"Avance semanal decreciente"&amp;" · ","")&amp;IF(AND(ISNUMBER($F299),$F299&lt;FechaRef,N($L299)&lt;1),"Vencida"&amp;" · ","")&amp;IF(AND(ObsObligatoria="Sí",ISNUMBER($F299),$F299&lt;FechaRef,N($L299)&lt;1,$N299=""),"Vencida sin observación"&amp;" · ",""))="","✔ OK","⚠ "&amp;LEFT(IF(AND($S299="Macro",$B299=""),"Macroactividad vacía"&amp;" · ","")&amp;IF(AND($B299&lt;&gt;"",$C299&lt;&gt;""),"Escriba la subactividad en otra fila, debajo de su macroactividad"&amp;" · ","")&amp;IF(AND($S299="Sub",N($R299)=0),"Subactividad sin macroactividad arriba"&amp;" · ","")&amp;IF($D299="","Sin responsable"&amp;" · ","")&amp;IF($E299="","Sin fecha de inicio"&amp;" · ","")&amp;IF($F299="","Sin fecha límite"&amp;" · ","")&amp;IF(OR(AND($E299&lt;&gt;"",NOT(ISNUMBER($E299))),AND($F299&lt;&gt;"",NOT(ISNUMBER($F299)))),"Fecha no válida"&amp;" · ","")&amp;IF(AND(ISNUMBER($E299),ISNUMBER($F299),$E299&gt;$F299),"Inicio posterior a fecha límite"&amp;" · ","")&amp;IF(AND($S299="Macro",$G299=""),"Peso vacío"&amp;" · ","")&amp;IF(AND($S299="Macro",$G299&lt;&gt;"",OR(NOT(ISNUMBER($G299)),$G299&lt;=0,$G299&gt;1)),"Peso fuera de rango"&amp;" · ","")&amp;IF(AND($S299="Sub",$G299&lt;&gt;""),"Las subactividades no llevan peso"&amp;" · ","")&amp;IF(AND($S299="Macro",ABS(SUMIFS($G$5:$G$1000,$P$5:$P$1000,$P299,$S$5:$S$1000,"Macro")-1)&gt;0.0001),"Pesos del mes suman "&amp;TEXT(SUMIFS($G$5:$G$1000,$P$5:$P$1000,$P299,$S$5:$S$1000,"Macro"),"0%")&amp;" · ","")&amp;IF(AND(N($T299)&gt;0,COUNT($H299:$K299)&gt;0),"Con subactividades: deje vacías las semanas (se calculan solas)"&amp;" · ","")&amp;IF((COUNTIF($H299:$K299,"&gt;1")+COUNTIF($H299:$K299,"&lt;0")+COUNTA($H299:$K299)-COUNT($H299:$K299))&gt;0,"Avance fuera de rango 0-100%"&amp;" · ","")&amp;IF(OR(AND($I299&lt;&gt;"",$I299&lt;$H299),AND($J299&lt;&gt;"",$J299&lt;MAX($H299:$I299)),AND($K299&lt;&gt;"",$K299&lt;MAX($H299:$J299))),"Avance semanal decreciente"&amp;" · ","")&amp;IF(AND(ISNUMBER($F299),$F299&lt;FechaRef,N($L299)&lt;1),"Vencida"&amp;" · ","")&amp;IF(AND(ObsObligatoria="Sí",ISNUMBER($F299),$F299&lt;FechaRef,N($L299)&lt;1,$N299=""),"Vencida sin observación"&amp;" · ",""),LEN(IF(AND($S299="Macro",$B299=""),"Macroactividad vacía"&amp;" · ","")&amp;IF(AND($B299&lt;&gt;"",$C299&lt;&gt;""),"Escriba la subactividad en otra fila, debajo de su macroactividad"&amp;" · ","")&amp;IF(AND($S299="Sub",N($R299)=0),"Subactividad sin macroactividad arriba"&amp;" · ","")&amp;IF($D299="","Sin responsable"&amp;" · ","")&amp;IF($E299="","Sin fecha de inicio"&amp;" · ","")&amp;IF($F299="","Sin fecha límite"&amp;" · ","")&amp;IF(OR(AND($E299&lt;&gt;"",NOT(ISNUMBER($E299))),AND($F299&lt;&gt;"",NOT(ISNUMBER($F299)))),"Fecha no válida"&amp;" · ","")&amp;IF(AND(ISNUMBER($E299),ISNUMBER($F299),$E299&gt;$F299),"Inicio posterior a fecha límite"&amp;" · ","")&amp;IF(AND($S299="Macro",$G299=""),"Peso vacío"&amp;" · ","")&amp;IF(AND($S299="Macro",$G299&lt;&gt;"",OR(NOT(ISNUMBER($G299)),$G299&lt;=0,$G299&gt;1)),"Peso fuera de rango"&amp;" · ","")&amp;IF(AND($S299="Sub",$G299&lt;&gt;""),"Las subactividades no llevan peso"&amp;" · ","")&amp;IF(AND($S299="Macro",ABS(SUMIFS($G$5:$G$1000,$P$5:$P$1000,$P299,$S$5:$S$1000,"Macro")-1)&gt;0.0001),"Pesos del mes suman "&amp;TEXT(SUMIFS($G$5:$G$1000,$P$5:$P$1000,$P299,$S$5:$S$1000,"Macro"),"0%")&amp;" · ","")&amp;IF(AND(N($T299)&gt;0,COUNT($H299:$K299)&gt;0),"Con subactividades: deje vacías las semanas (se calculan solas)"&amp;" · ","")&amp;IF((COUNTIF($H299:$K299,"&gt;1")+COUNTIF($H299:$K299,"&lt;0")+COUNTA($H299:$K299)-COUNT($H299:$K299))&gt;0,"Avance fuera de rango 0-100%"&amp;" · ","")&amp;IF(OR(AND($I299&lt;&gt;"",$I299&lt;$H299),AND($J299&lt;&gt;"",$J299&lt;MAX($H299:$I299)),AND($K299&lt;&gt;"",$K299&lt;MAX($H299:$J299))),"Avance semanal decreciente"&amp;" · ","")&amp;IF(AND(ISNUMBER($F299),$F299&lt;FechaRef,N($L299)&lt;1),"Vencida"&amp;" · ","")&amp;IF(AND(ObsObligatoria="Sí",ISNUMBER($F299),$F299&lt;FechaRef,N($L299)&lt;1,$N299=""),"Vencida sin observación"&amp;" · ",""))-3)))</f>
        <v/>
      </c>
      <c r="P299" s="69">
        <f>IF(NOT((COUNTA($B299:$K299)+COUNTA($N299))&gt;0),"",IF(AND($S299="Sub",N($R299)&gt;0),IF(ISNUMBER(INDEX($E$5:$E$1000,$R299-4)),DATE(YEAR(INDEX($E$5:$E$1000,$R299-4)),MONTH(INDEX($E$5:$E$1000,$R299-4)),1),IF(ISNUMBER(INDEX($F$5:$F$1000,$R299-4)),DATE(YEAR(INDEX($F$5:$F$1000,$R299-4)),MONTH(INDEX($F$5:$F$1000,$R299-4)),1),MesCiclo)),IF(ISNUMBER($E299),DATE(YEAR($E299),MONTH($E299),1),IF(ISNUMBER($F299),DATE(YEAR($F299),MONTH($F299),1),MesCiclo))))</f>
        <v/>
      </c>
      <c r="Q299" s="70">
        <f>IF(OR($P299="",$P299&lt;&gt;MesCiclo),"",COUNTIF($P$5:$P299,MesCiclo))</f>
        <v/>
      </c>
      <c r="R299" s="70">
        <f>IF($S299="","",IF($S299="Macro",ROW(),IFERROR(LOOKUP(2,1/($S$5:$S299="Macro"),ROW($S$5:$S299)),0)))</f>
        <v/>
      </c>
      <c r="S299" s="70">
        <f>IF(NOT((COUNTA($B299:$K299)+COUNTA($N299))&gt;0),"",IF($B299&lt;&gt;"","Macro",IF($C299&lt;&gt;"","Sub","Macro")))</f>
        <v/>
      </c>
      <c r="T299" s="70">
        <f>IF($S299="Macro",COUNTIFS($R$5:$R$1000,ROW(),$S$5:$S$1000,"Sub"),"")</f>
        <v/>
      </c>
      <c r="U299" s="70">
        <f>IF($S299="","",IF(ISNUMBER($H299),$H299,0))</f>
        <v/>
      </c>
      <c r="V299" s="70">
        <f>IF($S299="","",IF(ISNUMBER($I299),$I299,$U299))</f>
        <v/>
      </c>
      <c r="W299" s="70">
        <f>IF($S299="","",IF(ISNUMBER($J299),$J299,$V299))</f>
        <v/>
      </c>
      <c r="X299" s="70">
        <f>IF($S299="","",IF(ISNUMBER($K299),$K299,$W299))</f>
        <v/>
      </c>
      <c r="Y299" s="70">
        <f>IF($S299="","",IF(N($T299)&gt;0,AVERAGEIFS($U$5:$U$1000,$R$5:$R$1000,ROW(),$S$5:$S$1000,"Sub"),$U299))</f>
        <v/>
      </c>
      <c r="Z299" s="70">
        <f>IF($S299="","",IF(N($T299)&gt;0,AVERAGEIFS($V$5:$V$1000,$R$5:$R$1000,ROW(),$S$5:$S$1000,"Sub"),$V299))</f>
        <v/>
      </c>
      <c r="AA299" s="70">
        <f>IF($S299="","",IF(N($T299)&gt;0,AVERAGEIFS($W$5:$W$1000,$R$5:$R$1000,ROW(),$S$5:$S$1000,"Sub"),$W299))</f>
        <v/>
      </c>
      <c r="AB299" s="70">
        <f>IF($S299="","",IF(N($T299)&gt;0,AVERAGEIFS($X$5:$X$1000,$R$5:$R$1000,ROW(),$S$5:$S$1000,"Sub"),$X299))</f>
        <v/>
      </c>
    </row>
    <row r="300">
      <c r="A300" s="61">
        <f>IF(NOT((COUNTA($B300:$K300)+COUNTA($N300))&gt;0),"",IF($S300="Macro",COUNTIFS($S$5:$S300,"Macro",$P$5:$P300,$P300),IF(N($R300)=0,"?",COUNTIFS(INDEX($S$5:$S$1000,1):INDEX($S$5:$S$1000,$R300-4),"Macro",INDEX($P$5:$P$1000,1):INDEX($P$5:$P$1000,$R300-4),INDEX($P$5:$P$1000,$R300-4))&amp;"."&amp;COUNTIFS($R$5:$R300,$R300,$S$5:$S300,"Sub"))))</f>
        <v/>
      </c>
      <c r="B300" s="62" t="n"/>
      <c r="C300" s="63" t="n"/>
      <c r="D300" s="62" t="n"/>
      <c r="E300" s="64" t="n"/>
      <c r="F300" s="64" t="n"/>
      <c r="G300" s="65" t="n"/>
      <c r="H300" s="66" t="n"/>
      <c r="I300" s="66" t="n"/>
      <c r="J300" s="66" t="n"/>
      <c r="K300" s="66" t="n"/>
      <c r="L300" s="67">
        <f>IF(NOT((COUNTA($B300:$K300)+COUNTA($N300))&gt;0),"",IF(N($T300)&gt;0,$AB300,IFERROR(LOOKUP(2,1/(H300:K300&lt;&gt;""),H300:K300),0)))</f>
        <v/>
      </c>
      <c r="M300" s="61">
        <f>IF(L300="","",IF(L300&gt;=1,"Completado",IF(L300&gt;0,"En curso","Pendiente")))</f>
        <v/>
      </c>
      <c r="N300" s="62" t="n"/>
      <c r="O300" s="68">
        <f>IF(NOT((COUNTA($B300:$K300)+COUNTA($N300))&gt;0),"",IF((IF(AND($S300="Macro",$B300=""),"Macroactividad vacía"&amp;" · ","")&amp;IF(AND($B300&lt;&gt;"",$C300&lt;&gt;""),"Escriba la subactividad en otra fila, debajo de su macroactividad"&amp;" · ","")&amp;IF(AND($S300="Sub",N($R300)=0),"Subactividad sin macroactividad arriba"&amp;" · ","")&amp;IF($D300="","Sin responsable"&amp;" · ","")&amp;IF($E300="","Sin fecha de inicio"&amp;" · ","")&amp;IF($F300="","Sin fecha límite"&amp;" · ","")&amp;IF(OR(AND($E300&lt;&gt;"",NOT(ISNUMBER($E300))),AND($F300&lt;&gt;"",NOT(ISNUMBER($F300)))),"Fecha no válida"&amp;" · ","")&amp;IF(AND(ISNUMBER($E300),ISNUMBER($F300),$E300&gt;$F300),"Inicio posterior a fecha límite"&amp;" · ","")&amp;IF(AND($S300="Macro",$G300=""),"Peso vacío"&amp;" · ","")&amp;IF(AND($S300="Macro",$G300&lt;&gt;"",OR(NOT(ISNUMBER($G300)),$G300&lt;=0,$G300&gt;1)),"Peso fuera de rango"&amp;" · ","")&amp;IF(AND($S300="Sub",$G300&lt;&gt;""),"Las subactividades no llevan peso"&amp;" · ","")&amp;IF(AND($S300="Macro",ABS(SUMIFS($G$5:$G$1000,$P$5:$P$1000,$P300,$S$5:$S$1000,"Macro")-1)&gt;0.0001),"Pesos del mes suman "&amp;TEXT(SUMIFS($G$5:$G$1000,$P$5:$P$1000,$P300,$S$5:$S$1000,"Macro"),"0%")&amp;" · ","")&amp;IF(AND(N($T300)&gt;0,COUNT($H300:$K300)&gt;0),"Con subactividades: deje vacías las semanas (se calculan solas)"&amp;" · ","")&amp;IF((COUNTIF($H300:$K300,"&gt;1")+COUNTIF($H300:$K300,"&lt;0")+COUNTA($H300:$K300)-COUNT($H300:$K300))&gt;0,"Avance fuera de rango 0-100%"&amp;" · ","")&amp;IF(OR(AND($I300&lt;&gt;"",$I300&lt;$H300),AND($J300&lt;&gt;"",$J300&lt;MAX($H300:$I300)),AND($K300&lt;&gt;"",$K300&lt;MAX($H300:$J300))),"Avance semanal decreciente"&amp;" · ","")&amp;IF(AND(ISNUMBER($F300),$F300&lt;FechaRef,N($L300)&lt;1),"Vencida"&amp;" · ","")&amp;IF(AND(ObsObligatoria="Sí",ISNUMBER($F300),$F300&lt;FechaRef,N($L300)&lt;1,$N300=""),"Vencida sin observación"&amp;" · ",""))="","✔ OK","⚠ "&amp;LEFT(IF(AND($S300="Macro",$B300=""),"Macroactividad vacía"&amp;" · ","")&amp;IF(AND($B300&lt;&gt;"",$C300&lt;&gt;""),"Escriba la subactividad en otra fila, debajo de su macroactividad"&amp;" · ","")&amp;IF(AND($S300="Sub",N($R300)=0),"Subactividad sin macroactividad arriba"&amp;" · ","")&amp;IF($D300="","Sin responsable"&amp;" · ","")&amp;IF($E300="","Sin fecha de inicio"&amp;" · ","")&amp;IF($F300="","Sin fecha límite"&amp;" · ","")&amp;IF(OR(AND($E300&lt;&gt;"",NOT(ISNUMBER($E300))),AND($F300&lt;&gt;"",NOT(ISNUMBER($F300)))),"Fecha no válida"&amp;" · ","")&amp;IF(AND(ISNUMBER($E300),ISNUMBER($F300),$E300&gt;$F300),"Inicio posterior a fecha límite"&amp;" · ","")&amp;IF(AND($S300="Macro",$G300=""),"Peso vacío"&amp;" · ","")&amp;IF(AND($S300="Macro",$G300&lt;&gt;"",OR(NOT(ISNUMBER($G300)),$G300&lt;=0,$G300&gt;1)),"Peso fuera de rango"&amp;" · ","")&amp;IF(AND($S300="Sub",$G300&lt;&gt;""),"Las subactividades no llevan peso"&amp;" · ","")&amp;IF(AND($S300="Macro",ABS(SUMIFS($G$5:$G$1000,$P$5:$P$1000,$P300,$S$5:$S$1000,"Macro")-1)&gt;0.0001),"Pesos del mes suman "&amp;TEXT(SUMIFS($G$5:$G$1000,$P$5:$P$1000,$P300,$S$5:$S$1000,"Macro"),"0%")&amp;" · ","")&amp;IF(AND(N($T300)&gt;0,COUNT($H300:$K300)&gt;0),"Con subactividades: deje vacías las semanas (se calculan solas)"&amp;" · ","")&amp;IF((COUNTIF($H300:$K300,"&gt;1")+COUNTIF($H300:$K300,"&lt;0")+COUNTA($H300:$K300)-COUNT($H300:$K300))&gt;0,"Avance fuera de rango 0-100%"&amp;" · ","")&amp;IF(OR(AND($I300&lt;&gt;"",$I300&lt;$H300),AND($J300&lt;&gt;"",$J300&lt;MAX($H300:$I300)),AND($K300&lt;&gt;"",$K300&lt;MAX($H300:$J300))),"Avance semanal decreciente"&amp;" · ","")&amp;IF(AND(ISNUMBER($F300),$F300&lt;FechaRef,N($L300)&lt;1),"Vencida"&amp;" · ","")&amp;IF(AND(ObsObligatoria="Sí",ISNUMBER($F300),$F300&lt;FechaRef,N($L300)&lt;1,$N300=""),"Vencida sin observación"&amp;" · ",""),LEN(IF(AND($S300="Macro",$B300=""),"Macroactividad vacía"&amp;" · ","")&amp;IF(AND($B300&lt;&gt;"",$C300&lt;&gt;""),"Escriba la subactividad en otra fila, debajo de su macroactividad"&amp;" · ","")&amp;IF(AND($S300="Sub",N($R300)=0),"Subactividad sin macroactividad arriba"&amp;" · ","")&amp;IF($D300="","Sin responsable"&amp;" · ","")&amp;IF($E300="","Sin fecha de inicio"&amp;" · ","")&amp;IF($F300="","Sin fecha límite"&amp;" · ","")&amp;IF(OR(AND($E300&lt;&gt;"",NOT(ISNUMBER($E300))),AND($F300&lt;&gt;"",NOT(ISNUMBER($F300)))),"Fecha no válida"&amp;" · ","")&amp;IF(AND(ISNUMBER($E300),ISNUMBER($F300),$E300&gt;$F300),"Inicio posterior a fecha límite"&amp;" · ","")&amp;IF(AND($S300="Macro",$G300=""),"Peso vacío"&amp;" · ","")&amp;IF(AND($S300="Macro",$G300&lt;&gt;"",OR(NOT(ISNUMBER($G300)),$G300&lt;=0,$G300&gt;1)),"Peso fuera de rango"&amp;" · ","")&amp;IF(AND($S300="Sub",$G300&lt;&gt;""),"Las subactividades no llevan peso"&amp;" · ","")&amp;IF(AND($S300="Macro",ABS(SUMIFS($G$5:$G$1000,$P$5:$P$1000,$P300,$S$5:$S$1000,"Macro")-1)&gt;0.0001),"Pesos del mes suman "&amp;TEXT(SUMIFS($G$5:$G$1000,$P$5:$P$1000,$P300,$S$5:$S$1000,"Macro"),"0%")&amp;" · ","")&amp;IF(AND(N($T300)&gt;0,COUNT($H300:$K300)&gt;0),"Con subactividades: deje vacías las semanas (se calculan solas)"&amp;" · ","")&amp;IF((COUNTIF($H300:$K300,"&gt;1")+COUNTIF($H300:$K300,"&lt;0")+COUNTA($H300:$K300)-COUNT($H300:$K300))&gt;0,"Avance fuera de rango 0-100%"&amp;" · ","")&amp;IF(OR(AND($I300&lt;&gt;"",$I300&lt;$H300),AND($J300&lt;&gt;"",$J300&lt;MAX($H300:$I300)),AND($K300&lt;&gt;"",$K300&lt;MAX($H300:$J300))),"Avance semanal decreciente"&amp;" · ","")&amp;IF(AND(ISNUMBER($F300),$F300&lt;FechaRef,N($L300)&lt;1),"Vencida"&amp;" · ","")&amp;IF(AND(ObsObligatoria="Sí",ISNUMBER($F300),$F300&lt;FechaRef,N($L300)&lt;1,$N300=""),"Vencida sin observación"&amp;" · ",""))-3)))</f>
        <v/>
      </c>
      <c r="P300" s="69">
        <f>IF(NOT((COUNTA($B300:$K300)+COUNTA($N300))&gt;0),"",IF(AND($S300="Sub",N($R300)&gt;0),IF(ISNUMBER(INDEX($E$5:$E$1000,$R300-4)),DATE(YEAR(INDEX($E$5:$E$1000,$R300-4)),MONTH(INDEX($E$5:$E$1000,$R300-4)),1),IF(ISNUMBER(INDEX($F$5:$F$1000,$R300-4)),DATE(YEAR(INDEX($F$5:$F$1000,$R300-4)),MONTH(INDEX($F$5:$F$1000,$R300-4)),1),MesCiclo)),IF(ISNUMBER($E300),DATE(YEAR($E300),MONTH($E300),1),IF(ISNUMBER($F300),DATE(YEAR($F300),MONTH($F300),1),MesCiclo))))</f>
        <v/>
      </c>
      <c r="Q300" s="70">
        <f>IF(OR($P300="",$P300&lt;&gt;MesCiclo),"",COUNTIF($P$5:$P300,MesCiclo))</f>
        <v/>
      </c>
      <c r="R300" s="70">
        <f>IF($S300="","",IF($S300="Macro",ROW(),IFERROR(LOOKUP(2,1/($S$5:$S300="Macro"),ROW($S$5:$S300)),0)))</f>
        <v/>
      </c>
      <c r="S300" s="70">
        <f>IF(NOT((COUNTA($B300:$K300)+COUNTA($N300))&gt;0),"",IF($B300&lt;&gt;"","Macro",IF($C300&lt;&gt;"","Sub","Macro")))</f>
        <v/>
      </c>
      <c r="T300" s="70">
        <f>IF($S300="Macro",COUNTIFS($R$5:$R$1000,ROW(),$S$5:$S$1000,"Sub"),"")</f>
        <v/>
      </c>
      <c r="U300" s="70">
        <f>IF($S300="","",IF(ISNUMBER($H300),$H300,0))</f>
        <v/>
      </c>
      <c r="V300" s="70">
        <f>IF($S300="","",IF(ISNUMBER($I300),$I300,$U300))</f>
        <v/>
      </c>
      <c r="W300" s="70">
        <f>IF($S300="","",IF(ISNUMBER($J300),$J300,$V300))</f>
        <v/>
      </c>
      <c r="X300" s="70">
        <f>IF($S300="","",IF(ISNUMBER($K300),$K300,$W300))</f>
        <v/>
      </c>
      <c r="Y300" s="70">
        <f>IF($S300="","",IF(N($T300)&gt;0,AVERAGEIFS($U$5:$U$1000,$R$5:$R$1000,ROW(),$S$5:$S$1000,"Sub"),$U300))</f>
        <v/>
      </c>
      <c r="Z300" s="70">
        <f>IF($S300="","",IF(N($T300)&gt;0,AVERAGEIFS($V$5:$V$1000,$R$5:$R$1000,ROW(),$S$5:$S$1000,"Sub"),$V300))</f>
        <v/>
      </c>
      <c r="AA300" s="70">
        <f>IF($S300="","",IF(N($T300)&gt;0,AVERAGEIFS($W$5:$W$1000,$R$5:$R$1000,ROW(),$S$5:$S$1000,"Sub"),$W300))</f>
        <v/>
      </c>
      <c r="AB300" s="70">
        <f>IF($S300="","",IF(N($T300)&gt;0,AVERAGEIFS($X$5:$X$1000,$R$5:$R$1000,ROW(),$S$5:$S$1000,"Sub"),$X300))</f>
        <v/>
      </c>
    </row>
    <row r="301">
      <c r="A301" s="61">
        <f>IF(NOT((COUNTA($B301:$K301)+COUNTA($N301))&gt;0),"",IF($S301="Macro",COUNTIFS($S$5:$S301,"Macro",$P$5:$P301,$P301),IF(N($R301)=0,"?",COUNTIFS(INDEX($S$5:$S$1000,1):INDEX($S$5:$S$1000,$R301-4),"Macro",INDEX($P$5:$P$1000,1):INDEX($P$5:$P$1000,$R301-4),INDEX($P$5:$P$1000,$R301-4))&amp;"."&amp;COUNTIFS($R$5:$R301,$R301,$S$5:$S301,"Sub"))))</f>
        <v/>
      </c>
      <c r="B301" s="62" t="n"/>
      <c r="C301" s="63" t="n"/>
      <c r="D301" s="62" t="n"/>
      <c r="E301" s="64" t="n"/>
      <c r="F301" s="64" t="n"/>
      <c r="G301" s="65" t="n"/>
      <c r="H301" s="66" t="n"/>
      <c r="I301" s="66" t="n"/>
      <c r="J301" s="66" t="n"/>
      <c r="K301" s="66" t="n"/>
      <c r="L301" s="67">
        <f>IF(NOT((COUNTA($B301:$K301)+COUNTA($N301))&gt;0),"",IF(N($T301)&gt;0,$AB301,IFERROR(LOOKUP(2,1/(H301:K301&lt;&gt;""),H301:K301),0)))</f>
        <v/>
      </c>
      <c r="M301" s="61">
        <f>IF(L301="","",IF(L301&gt;=1,"Completado",IF(L301&gt;0,"En curso","Pendiente")))</f>
        <v/>
      </c>
      <c r="N301" s="62" t="n"/>
      <c r="O301" s="68">
        <f>IF(NOT((COUNTA($B301:$K301)+COUNTA($N301))&gt;0),"",IF((IF(AND($S301="Macro",$B301=""),"Macroactividad vacía"&amp;" · ","")&amp;IF(AND($B301&lt;&gt;"",$C301&lt;&gt;""),"Escriba la subactividad en otra fila, debajo de su macroactividad"&amp;" · ","")&amp;IF(AND($S301="Sub",N($R301)=0),"Subactividad sin macroactividad arriba"&amp;" · ","")&amp;IF($D301="","Sin responsable"&amp;" · ","")&amp;IF($E301="","Sin fecha de inicio"&amp;" · ","")&amp;IF($F301="","Sin fecha límite"&amp;" · ","")&amp;IF(OR(AND($E301&lt;&gt;"",NOT(ISNUMBER($E301))),AND($F301&lt;&gt;"",NOT(ISNUMBER($F301)))),"Fecha no válida"&amp;" · ","")&amp;IF(AND(ISNUMBER($E301),ISNUMBER($F301),$E301&gt;$F301),"Inicio posterior a fecha límite"&amp;" · ","")&amp;IF(AND($S301="Macro",$G301=""),"Peso vacío"&amp;" · ","")&amp;IF(AND($S301="Macro",$G301&lt;&gt;"",OR(NOT(ISNUMBER($G301)),$G301&lt;=0,$G301&gt;1)),"Peso fuera de rango"&amp;" · ","")&amp;IF(AND($S301="Sub",$G301&lt;&gt;""),"Las subactividades no llevan peso"&amp;" · ","")&amp;IF(AND($S301="Macro",ABS(SUMIFS($G$5:$G$1000,$P$5:$P$1000,$P301,$S$5:$S$1000,"Macro")-1)&gt;0.0001),"Pesos del mes suman "&amp;TEXT(SUMIFS($G$5:$G$1000,$P$5:$P$1000,$P301,$S$5:$S$1000,"Macro"),"0%")&amp;" · ","")&amp;IF(AND(N($T301)&gt;0,COUNT($H301:$K301)&gt;0),"Con subactividades: deje vacías las semanas (se calculan solas)"&amp;" · ","")&amp;IF((COUNTIF($H301:$K301,"&gt;1")+COUNTIF($H301:$K301,"&lt;0")+COUNTA($H301:$K301)-COUNT($H301:$K301))&gt;0,"Avance fuera de rango 0-100%"&amp;" · ","")&amp;IF(OR(AND($I301&lt;&gt;"",$I301&lt;$H301),AND($J301&lt;&gt;"",$J301&lt;MAX($H301:$I301)),AND($K301&lt;&gt;"",$K301&lt;MAX($H301:$J301))),"Avance semanal decreciente"&amp;" · ","")&amp;IF(AND(ISNUMBER($F301),$F301&lt;FechaRef,N($L301)&lt;1),"Vencida"&amp;" · ","")&amp;IF(AND(ObsObligatoria="Sí",ISNUMBER($F301),$F301&lt;FechaRef,N($L301)&lt;1,$N301=""),"Vencida sin observación"&amp;" · ",""))="","✔ OK","⚠ "&amp;LEFT(IF(AND($S301="Macro",$B301=""),"Macroactividad vacía"&amp;" · ","")&amp;IF(AND($B301&lt;&gt;"",$C301&lt;&gt;""),"Escriba la subactividad en otra fila, debajo de su macroactividad"&amp;" · ","")&amp;IF(AND($S301="Sub",N($R301)=0),"Subactividad sin macroactividad arriba"&amp;" · ","")&amp;IF($D301="","Sin responsable"&amp;" · ","")&amp;IF($E301="","Sin fecha de inicio"&amp;" · ","")&amp;IF($F301="","Sin fecha límite"&amp;" · ","")&amp;IF(OR(AND($E301&lt;&gt;"",NOT(ISNUMBER($E301))),AND($F301&lt;&gt;"",NOT(ISNUMBER($F301)))),"Fecha no válida"&amp;" · ","")&amp;IF(AND(ISNUMBER($E301),ISNUMBER($F301),$E301&gt;$F301),"Inicio posterior a fecha límite"&amp;" · ","")&amp;IF(AND($S301="Macro",$G301=""),"Peso vacío"&amp;" · ","")&amp;IF(AND($S301="Macro",$G301&lt;&gt;"",OR(NOT(ISNUMBER($G301)),$G301&lt;=0,$G301&gt;1)),"Peso fuera de rango"&amp;" · ","")&amp;IF(AND($S301="Sub",$G301&lt;&gt;""),"Las subactividades no llevan peso"&amp;" · ","")&amp;IF(AND($S301="Macro",ABS(SUMIFS($G$5:$G$1000,$P$5:$P$1000,$P301,$S$5:$S$1000,"Macro")-1)&gt;0.0001),"Pesos del mes suman "&amp;TEXT(SUMIFS($G$5:$G$1000,$P$5:$P$1000,$P301,$S$5:$S$1000,"Macro"),"0%")&amp;" · ","")&amp;IF(AND(N($T301)&gt;0,COUNT($H301:$K301)&gt;0),"Con subactividades: deje vacías las semanas (se calculan solas)"&amp;" · ","")&amp;IF((COUNTIF($H301:$K301,"&gt;1")+COUNTIF($H301:$K301,"&lt;0")+COUNTA($H301:$K301)-COUNT($H301:$K301))&gt;0,"Avance fuera de rango 0-100%"&amp;" · ","")&amp;IF(OR(AND($I301&lt;&gt;"",$I301&lt;$H301),AND($J301&lt;&gt;"",$J301&lt;MAX($H301:$I301)),AND($K301&lt;&gt;"",$K301&lt;MAX($H301:$J301))),"Avance semanal decreciente"&amp;" · ","")&amp;IF(AND(ISNUMBER($F301),$F301&lt;FechaRef,N($L301)&lt;1),"Vencida"&amp;" · ","")&amp;IF(AND(ObsObligatoria="Sí",ISNUMBER($F301),$F301&lt;FechaRef,N($L301)&lt;1,$N301=""),"Vencida sin observación"&amp;" · ",""),LEN(IF(AND($S301="Macro",$B301=""),"Macroactividad vacía"&amp;" · ","")&amp;IF(AND($B301&lt;&gt;"",$C301&lt;&gt;""),"Escriba la subactividad en otra fila, debajo de su macroactividad"&amp;" · ","")&amp;IF(AND($S301="Sub",N($R301)=0),"Subactividad sin macroactividad arriba"&amp;" · ","")&amp;IF($D301="","Sin responsable"&amp;" · ","")&amp;IF($E301="","Sin fecha de inicio"&amp;" · ","")&amp;IF($F301="","Sin fecha límite"&amp;" · ","")&amp;IF(OR(AND($E301&lt;&gt;"",NOT(ISNUMBER($E301))),AND($F301&lt;&gt;"",NOT(ISNUMBER($F301)))),"Fecha no válida"&amp;" · ","")&amp;IF(AND(ISNUMBER($E301),ISNUMBER($F301),$E301&gt;$F301),"Inicio posterior a fecha límite"&amp;" · ","")&amp;IF(AND($S301="Macro",$G301=""),"Peso vacío"&amp;" · ","")&amp;IF(AND($S301="Macro",$G301&lt;&gt;"",OR(NOT(ISNUMBER($G301)),$G301&lt;=0,$G301&gt;1)),"Peso fuera de rango"&amp;" · ","")&amp;IF(AND($S301="Sub",$G301&lt;&gt;""),"Las subactividades no llevan peso"&amp;" · ","")&amp;IF(AND($S301="Macro",ABS(SUMIFS($G$5:$G$1000,$P$5:$P$1000,$P301,$S$5:$S$1000,"Macro")-1)&gt;0.0001),"Pesos del mes suman "&amp;TEXT(SUMIFS($G$5:$G$1000,$P$5:$P$1000,$P301,$S$5:$S$1000,"Macro"),"0%")&amp;" · ","")&amp;IF(AND(N($T301)&gt;0,COUNT($H301:$K301)&gt;0),"Con subactividades: deje vacías las semanas (se calculan solas)"&amp;" · ","")&amp;IF((COUNTIF($H301:$K301,"&gt;1")+COUNTIF($H301:$K301,"&lt;0")+COUNTA($H301:$K301)-COUNT($H301:$K301))&gt;0,"Avance fuera de rango 0-100%"&amp;" · ","")&amp;IF(OR(AND($I301&lt;&gt;"",$I301&lt;$H301),AND($J301&lt;&gt;"",$J301&lt;MAX($H301:$I301)),AND($K301&lt;&gt;"",$K301&lt;MAX($H301:$J301))),"Avance semanal decreciente"&amp;" · ","")&amp;IF(AND(ISNUMBER($F301),$F301&lt;FechaRef,N($L301)&lt;1),"Vencida"&amp;" · ","")&amp;IF(AND(ObsObligatoria="Sí",ISNUMBER($F301),$F301&lt;FechaRef,N($L301)&lt;1,$N301=""),"Vencida sin observación"&amp;" · ",""))-3)))</f>
        <v/>
      </c>
      <c r="P301" s="69">
        <f>IF(NOT((COUNTA($B301:$K301)+COUNTA($N301))&gt;0),"",IF(AND($S301="Sub",N($R301)&gt;0),IF(ISNUMBER(INDEX($E$5:$E$1000,$R301-4)),DATE(YEAR(INDEX($E$5:$E$1000,$R301-4)),MONTH(INDEX($E$5:$E$1000,$R301-4)),1),IF(ISNUMBER(INDEX($F$5:$F$1000,$R301-4)),DATE(YEAR(INDEX($F$5:$F$1000,$R301-4)),MONTH(INDEX($F$5:$F$1000,$R301-4)),1),MesCiclo)),IF(ISNUMBER($E301),DATE(YEAR($E301),MONTH($E301),1),IF(ISNUMBER($F301),DATE(YEAR($F301),MONTH($F301),1),MesCiclo))))</f>
        <v/>
      </c>
      <c r="Q301" s="70">
        <f>IF(OR($P301="",$P301&lt;&gt;MesCiclo),"",COUNTIF($P$5:$P301,MesCiclo))</f>
        <v/>
      </c>
      <c r="R301" s="70">
        <f>IF($S301="","",IF($S301="Macro",ROW(),IFERROR(LOOKUP(2,1/($S$5:$S301="Macro"),ROW($S$5:$S301)),0)))</f>
        <v/>
      </c>
      <c r="S301" s="70">
        <f>IF(NOT((COUNTA($B301:$K301)+COUNTA($N301))&gt;0),"",IF($B301&lt;&gt;"","Macro",IF($C301&lt;&gt;"","Sub","Macro")))</f>
        <v/>
      </c>
      <c r="T301" s="70">
        <f>IF($S301="Macro",COUNTIFS($R$5:$R$1000,ROW(),$S$5:$S$1000,"Sub"),"")</f>
        <v/>
      </c>
      <c r="U301" s="70">
        <f>IF($S301="","",IF(ISNUMBER($H301),$H301,0))</f>
        <v/>
      </c>
      <c r="V301" s="70">
        <f>IF($S301="","",IF(ISNUMBER($I301),$I301,$U301))</f>
        <v/>
      </c>
      <c r="W301" s="70">
        <f>IF($S301="","",IF(ISNUMBER($J301),$J301,$V301))</f>
        <v/>
      </c>
      <c r="X301" s="70">
        <f>IF($S301="","",IF(ISNUMBER($K301),$K301,$W301))</f>
        <v/>
      </c>
      <c r="Y301" s="70">
        <f>IF($S301="","",IF(N($T301)&gt;0,AVERAGEIFS($U$5:$U$1000,$R$5:$R$1000,ROW(),$S$5:$S$1000,"Sub"),$U301))</f>
        <v/>
      </c>
      <c r="Z301" s="70">
        <f>IF($S301="","",IF(N($T301)&gt;0,AVERAGEIFS($V$5:$V$1000,$R$5:$R$1000,ROW(),$S$5:$S$1000,"Sub"),$V301))</f>
        <v/>
      </c>
      <c r="AA301" s="70">
        <f>IF($S301="","",IF(N($T301)&gt;0,AVERAGEIFS($W$5:$W$1000,$R$5:$R$1000,ROW(),$S$5:$S$1000,"Sub"),$W301))</f>
        <v/>
      </c>
      <c r="AB301" s="70">
        <f>IF($S301="","",IF(N($T301)&gt;0,AVERAGEIFS($X$5:$X$1000,$R$5:$R$1000,ROW(),$S$5:$S$1000,"Sub"),$X301))</f>
        <v/>
      </c>
    </row>
    <row r="302">
      <c r="A302" s="61">
        <f>IF(NOT((COUNTA($B302:$K302)+COUNTA($N302))&gt;0),"",IF($S302="Macro",COUNTIFS($S$5:$S302,"Macro",$P$5:$P302,$P302),IF(N($R302)=0,"?",COUNTIFS(INDEX($S$5:$S$1000,1):INDEX($S$5:$S$1000,$R302-4),"Macro",INDEX($P$5:$P$1000,1):INDEX($P$5:$P$1000,$R302-4),INDEX($P$5:$P$1000,$R302-4))&amp;"."&amp;COUNTIFS($R$5:$R302,$R302,$S$5:$S302,"Sub"))))</f>
        <v/>
      </c>
      <c r="B302" s="62" t="n"/>
      <c r="C302" s="63" t="n"/>
      <c r="D302" s="62" t="n"/>
      <c r="E302" s="64" t="n"/>
      <c r="F302" s="64" t="n"/>
      <c r="G302" s="65" t="n"/>
      <c r="H302" s="66" t="n"/>
      <c r="I302" s="66" t="n"/>
      <c r="J302" s="66" t="n"/>
      <c r="K302" s="66" t="n"/>
      <c r="L302" s="67">
        <f>IF(NOT((COUNTA($B302:$K302)+COUNTA($N302))&gt;0),"",IF(N($T302)&gt;0,$AB302,IFERROR(LOOKUP(2,1/(H302:K302&lt;&gt;""),H302:K302),0)))</f>
        <v/>
      </c>
      <c r="M302" s="61">
        <f>IF(L302="","",IF(L302&gt;=1,"Completado",IF(L302&gt;0,"En curso","Pendiente")))</f>
        <v/>
      </c>
      <c r="N302" s="62" t="n"/>
      <c r="O302" s="68">
        <f>IF(NOT((COUNTA($B302:$K302)+COUNTA($N302))&gt;0),"",IF((IF(AND($S302="Macro",$B302=""),"Macroactividad vacía"&amp;" · ","")&amp;IF(AND($B302&lt;&gt;"",$C302&lt;&gt;""),"Escriba la subactividad en otra fila, debajo de su macroactividad"&amp;" · ","")&amp;IF(AND($S302="Sub",N($R302)=0),"Subactividad sin macroactividad arriba"&amp;" · ","")&amp;IF($D302="","Sin responsable"&amp;" · ","")&amp;IF($E302="","Sin fecha de inicio"&amp;" · ","")&amp;IF($F302="","Sin fecha límite"&amp;" · ","")&amp;IF(OR(AND($E302&lt;&gt;"",NOT(ISNUMBER($E302))),AND($F302&lt;&gt;"",NOT(ISNUMBER($F302)))),"Fecha no válida"&amp;" · ","")&amp;IF(AND(ISNUMBER($E302),ISNUMBER($F302),$E302&gt;$F302),"Inicio posterior a fecha límite"&amp;" · ","")&amp;IF(AND($S302="Macro",$G302=""),"Peso vacío"&amp;" · ","")&amp;IF(AND($S302="Macro",$G302&lt;&gt;"",OR(NOT(ISNUMBER($G302)),$G302&lt;=0,$G302&gt;1)),"Peso fuera de rango"&amp;" · ","")&amp;IF(AND($S302="Sub",$G302&lt;&gt;""),"Las subactividades no llevan peso"&amp;" · ","")&amp;IF(AND($S302="Macro",ABS(SUMIFS($G$5:$G$1000,$P$5:$P$1000,$P302,$S$5:$S$1000,"Macro")-1)&gt;0.0001),"Pesos del mes suman "&amp;TEXT(SUMIFS($G$5:$G$1000,$P$5:$P$1000,$P302,$S$5:$S$1000,"Macro"),"0%")&amp;" · ","")&amp;IF(AND(N($T302)&gt;0,COUNT($H302:$K302)&gt;0),"Con subactividades: deje vacías las semanas (se calculan solas)"&amp;" · ","")&amp;IF((COUNTIF($H302:$K302,"&gt;1")+COUNTIF($H302:$K302,"&lt;0")+COUNTA($H302:$K302)-COUNT($H302:$K302))&gt;0,"Avance fuera de rango 0-100%"&amp;" · ","")&amp;IF(OR(AND($I302&lt;&gt;"",$I302&lt;$H302),AND($J302&lt;&gt;"",$J302&lt;MAX($H302:$I302)),AND($K302&lt;&gt;"",$K302&lt;MAX($H302:$J302))),"Avance semanal decreciente"&amp;" · ","")&amp;IF(AND(ISNUMBER($F302),$F302&lt;FechaRef,N($L302)&lt;1),"Vencida"&amp;" · ","")&amp;IF(AND(ObsObligatoria="Sí",ISNUMBER($F302),$F302&lt;FechaRef,N($L302)&lt;1,$N302=""),"Vencida sin observación"&amp;" · ",""))="","✔ OK","⚠ "&amp;LEFT(IF(AND($S302="Macro",$B302=""),"Macroactividad vacía"&amp;" · ","")&amp;IF(AND($B302&lt;&gt;"",$C302&lt;&gt;""),"Escriba la subactividad en otra fila, debajo de su macroactividad"&amp;" · ","")&amp;IF(AND($S302="Sub",N($R302)=0),"Subactividad sin macroactividad arriba"&amp;" · ","")&amp;IF($D302="","Sin responsable"&amp;" · ","")&amp;IF($E302="","Sin fecha de inicio"&amp;" · ","")&amp;IF($F302="","Sin fecha límite"&amp;" · ","")&amp;IF(OR(AND($E302&lt;&gt;"",NOT(ISNUMBER($E302))),AND($F302&lt;&gt;"",NOT(ISNUMBER($F302)))),"Fecha no válida"&amp;" · ","")&amp;IF(AND(ISNUMBER($E302),ISNUMBER($F302),$E302&gt;$F302),"Inicio posterior a fecha límite"&amp;" · ","")&amp;IF(AND($S302="Macro",$G302=""),"Peso vacío"&amp;" · ","")&amp;IF(AND($S302="Macro",$G302&lt;&gt;"",OR(NOT(ISNUMBER($G302)),$G302&lt;=0,$G302&gt;1)),"Peso fuera de rango"&amp;" · ","")&amp;IF(AND($S302="Sub",$G302&lt;&gt;""),"Las subactividades no llevan peso"&amp;" · ","")&amp;IF(AND($S302="Macro",ABS(SUMIFS($G$5:$G$1000,$P$5:$P$1000,$P302,$S$5:$S$1000,"Macro")-1)&gt;0.0001),"Pesos del mes suman "&amp;TEXT(SUMIFS($G$5:$G$1000,$P$5:$P$1000,$P302,$S$5:$S$1000,"Macro"),"0%")&amp;" · ","")&amp;IF(AND(N($T302)&gt;0,COUNT($H302:$K302)&gt;0),"Con subactividades: deje vacías las semanas (se calculan solas)"&amp;" · ","")&amp;IF((COUNTIF($H302:$K302,"&gt;1")+COUNTIF($H302:$K302,"&lt;0")+COUNTA($H302:$K302)-COUNT($H302:$K302))&gt;0,"Avance fuera de rango 0-100%"&amp;" · ","")&amp;IF(OR(AND($I302&lt;&gt;"",$I302&lt;$H302),AND($J302&lt;&gt;"",$J302&lt;MAX($H302:$I302)),AND($K302&lt;&gt;"",$K302&lt;MAX($H302:$J302))),"Avance semanal decreciente"&amp;" · ","")&amp;IF(AND(ISNUMBER($F302),$F302&lt;FechaRef,N($L302)&lt;1),"Vencida"&amp;" · ","")&amp;IF(AND(ObsObligatoria="Sí",ISNUMBER($F302),$F302&lt;FechaRef,N($L302)&lt;1,$N302=""),"Vencida sin observación"&amp;" · ",""),LEN(IF(AND($S302="Macro",$B302=""),"Macroactividad vacía"&amp;" · ","")&amp;IF(AND($B302&lt;&gt;"",$C302&lt;&gt;""),"Escriba la subactividad en otra fila, debajo de su macroactividad"&amp;" · ","")&amp;IF(AND($S302="Sub",N($R302)=0),"Subactividad sin macroactividad arriba"&amp;" · ","")&amp;IF($D302="","Sin responsable"&amp;" · ","")&amp;IF($E302="","Sin fecha de inicio"&amp;" · ","")&amp;IF($F302="","Sin fecha límite"&amp;" · ","")&amp;IF(OR(AND($E302&lt;&gt;"",NOT(ISNUMBER($E302))),AND($F302&lt;&gt;"",NOT(ISNUMBER($F302)))),"Fecha no válida"&amp;" · ","")&amp;IF(AND(ISNUMBER($E302),ISNUMBER($F302),$E302&gt;$F302),"Inicio posterior a fecha límite"&amp;" · ","")&amp;IF(AND($S302="Macro",$G302=""),"Peso vacío"&amp;" · ","")&amp;IF(AND($S302="Macro",$G302&lt;&gt;"",OR(NOT(ISNUMBER($G302)),$G302&lt;=0,$G302&gt;1)),"Peso fuera de rango"&amp;" · ","")&amp;IF(AND($S302="Sub",$G302&lt;&gt;""),"Las subactividades no llevan peso"&amp;" · ","")&amp;IF(AND($S302="Macro",ABS(SUMIFS($G$5:$G$1000,$P$5:$P$1000,$P302,$S$5:$S$1000,"Macro")-1)&gt;0.0001),"Pesos del mes suman "&amp;TEXT(SUMIFS($G$5:$G$1000,$P$5:$P$1000,$P302,$S$5:$S$1000,"Macro"),"0%")&amp;" · ","")&amp;IF(AND(N($T302)&gt;0,COUNT($H302:$K302)&gt;0),"Con subactividades: deje vacías las semanas (se calculan solas)"&amp;" · ","")&amp;IF((COUNTIF($H302:$K302,"&gt;1")+COUNTIF($H302:$K302,"&lt;0")+COUNTA($H302:$K302)-COUNT($H302:$K302))&gt;0,"Avance fuera de rango 0-100%"&amp;" · ","")&amp;IF(OR(AND($I302&lt;&gt;"",$I302&lt;$H302),AND($J302&lt;&gt;"",$J302&lt;MAX($H302:$I302)),AND($K302&lt;&gt;"",$K302&lt;MAX($H302:$J302))),"Avance semanal decreciente"&amp;" · ","")&amp;IF(AND(ISNUMBER($F302),$F302&lt;FechaRef,N($L302)&lt;1),"Vencida"&amp;" · ","")&amp;IF(AND(ObsObligatoria="Sí",ISNUMBER($F302),$F302&lt;FechaRef,N($L302)&lt;1,$N302=""),"Vencida sin observación"&amp;" · ",""))-3)))</f>
        <v/>
      </c>
      <c r="P302" s="69">
        <f>IF(NOT((COUNTA($B302:$K302)+COUNTA($N302))&gt;0),"",IF(AND($S302="Sub",N($R302)&gt;0),IF(ISNUMBER(INDEX($E$5:$E$1000,$R302-4)),DATE(YEAR(INDEX($E$5:$E$1000,$R302-4)),MONTH(INDEX($E$5:$E$1000,$R302-4)),1),IF(ISNUMBER(INDEX($F$5:$F$1000,$R302-4)),DATE(YEAR(INDEX($F$5:$F$1000,$R302-4)),MONTH(INDEX($F$5:$F$1000,$R302-4)),1),MesCiclo)),IF(ISNUMBER($E302),DATE(YEAR($E302),MONTH($E302),1),IF(ISNUMBER($F302),DATE(YEAR($F302),MONTH($F302),1),MesCiclo))))</f>
        <v/>
      </c>
      <c r="Q302" s="70">
        <f>IF(OR($P302="",$P302&lt;&gt;MesCiclo),"",COUNTIF($P$5:$P302,MesCiclo))</f>
        <v/>
      </c>
      <c r="R302" s="70">
        <f>IF($S302="","",IF($S302="Macro",ROW(),IFERROR(LOOKUP(2,1/($S$5:$S302="Macro"),ROW($S$5:$S302)),0)))</f>
        <v/>
      </c>
      <c r="S302" s="70">
        <f>IF(NOT((COUNTA($B302:$K302)+COUNTA($N302))&gt;0),"",IF($B302&lt;&gt;"","Macro",IF($C302&lt;&gt;"","Sub","Macro")))</f>
        <v/>
      </c>
      <c r="T302" s="70">
        <f>IF($S302="Macro",COUNTIFS($R$5:$R$1000,ROW(),$S$5:$S$1000,"Sub"),"")</f>
        <v/>
      </c>
      <c r="U302" s="70">
        <f>IF($S302="","",IF(ISNUMBER($H302),$H302,0))</f>
        <v/>
      </c>
      <c r="V302" s="70">
        <f>IF($S302="","",IF(ISNUMBER($I302),$I302,$U302))</f>
        <v/>
      </c>
      <c r="W302" s="70">
        <f>IF($S302="","",IF(ISNUMBER($J302),$J302,$V302))</f>
        <v/>
      </c>
      <c r="X302" s="70">
        <f>IF($S302="","",IF(ISNUMBER($K302),$K302,$W302))</f>
        <v/>
      </c>
      <c r="Y302" s="70">
        <f>IF($S302="","",IF(N($T302)&gt;0,AVERAGEIFS($U$5:$U$1000,$R$5:$R$1000,ROW(),$S$5:$S$1000,"Sub"),$U302))</f>
        <v/>
      </c>
      <c r="Z302" s="70">
        <f>IF($S302="","",IF(N($T302)&gt;0,AVERAGEIFS($V$5:$V$1000,$R$5:$R$1000,ROW(),$S$5:$S$1000,"Sub"),$V302))</f>
        <v/>
      </c>
      <c r="AA302" s="70">
        <f>IF($S302="","",IF(N($T302)&gt;0,AVERAGEIFS($W$5:$W$1000,$R$5:$R$1000,ROW(),$S$5:$S$1000,"Sub"),$W302))</f>
        <v/>
      </c>
      <c r="AB302" s="70">
        <f>IF($S302="","",IF(N($T302)&gt;0,AVERAGEIFS($X$5:$X$1000,$R$5:$R$1000,ROW(),$S$5:$S$1000,"Sub"),$X302))</f>
        <v/>
      </c>
    </row>
    <row r="303">
      <c r="A303" s="61">
        <f>IF(NOT((COUNTA($B303:$K303)+COUNTA($N303))&gt;0),"",IF($S303="Macro",COUNTIFS($S$5:$S303,"Macro",$P$5:$P303,$P303),IF(N($R303)=0,"?",COUNTIFS(INDEX($S$5:$S$1000,1):INDEX($S$5:$S$1000,$R303-4),"Macro",INDEX($P$5:$P$1000,1):INDEX($P$5:$P$1000,$R303-4),INDEX($P$5:$P$1000,$R303-4))&amp;"."&amp;COUNTIFS($R$5:$R303,$R303,$S$5:$S303,"Sub"))))</f>
        <v/>
      </c>
      <c r="B303" s="62" t="n"/>
      <c r="C303" s="63" t="n"/>
      <c r="D303" s="62" t="n"/>
      <c r="E303" s="64" t="n"/>
      <c r="F303" s="64" t="n"/>
      <c r="G303" s="65" t="n"/>
      <c r="H303" s="66" t="n"/>
      <c r="I303" s="66" t="n"/>
      <c r="J303" s="66" t="n"/>
      <c r="K303" s="66" t="n"/>
      <c r="L303" s="67">
        <f>IF(NOT((COUNTA($B303:$K303)+COUNTA($N303))&gt;0),"",IF(N($T303)&gt;0,$AB303,IFERROR(LOOKUP(2,1/(H303:K303&lt;&gt;""),H303:K303),0)))</f>
        <v/>
      </c>
      <c r="M303" s="61">
        <f>IF(L303="","",IF(L303&gt;=1,"Completado",IF(L303&gt;0,"En curso","Pendiente")))</f>
        <v/>
      </c>
      <c r="N303" s="62" t="n"/>
      <c r="O303" s="68">
        <f>IF(NOT((COUNTA($B303:$K303)+COUNTA($N303))&gt;0),"",IF((IF(AND($S303="Macro",$B303=""),"Macroactividad vacía"&amp;" · ","")&amp;IF(AND($B303&lt;&gt;"",$C303&lt;&gt;""),"Escriba la subactividad en otra fila, debajo de su macroactividad"&amp;" · ","")&amp;IF(AND($S303="Sub",N($R303)=0),"Subactividad sin macroactividad arriba"&amp;" · ","")&amp;IF($D303="","Sin responsable"&amp;" · ","")&amp;IF($E303="","Sin fecha de inicio"&amp;" · ","")&amp;IF($F303="","Sin fecha límite"&amp;" · ","")&amp;IF(OR(AND($E303&lt;&gt;"",NOT(ISNUMBER($E303))),AND($F303&lt;&gt;"",NOT(ISNUMBER($F303)))),"Fecha no válida"&amp;" · ","")&amp;IF(AND(ISNUMBER($E303),ISNUMBER($F303),$E303&gt;$F303),"Inicio posterior a fecha límite"&amp;" · ","")&amp;IF(AND($S303="Macro",$G303=""),"Peso vacío"&amp;" · ","")&amp;IF(AND($S303="Macro",$G303&lt;&gt;"",OR(NOT(ISNUMBER($G303)),$G303&lt;=0,$G303&gt;1)),"Peso fuera de rango"&amp;" · ","")&amp;IF(AND($S303="Sub",$G303&lt;&gt;""),"Las subactividades no llevan peso"&amp;" · ","")&amp;IF(AND($S303="Macro",ABS(SUMIFS($G$5:$G$1000,$P$5:$P$1000,$P303,$S$5:$S$1000,"Macro")-1)&gt;0.0001),"Pesos del mes suman "&amp;TEXT(SUMIFS($G$5:$G$1000,$P$5:$P$1000,$P303,$S$5:$S$1000,"Macro"),"0%")&amp;" · ","")&amp;IF(AND(N($T303)&gt;0,COUNT($H303:$K303)&gt;0),"Con subactividades: deje vacías las semanas (se calculan solas)"&amp;" · ","")&amp;IF((COUNTIF($H303:$K303,"&gt;1")+COUNTIF($H303:$K303,"&lt;0")+COUNTA($H303:$K303)-COUNT($H303:$K303))&gt;0,"Avance fuera de rango 0-100%"&amp;" · ","")&amp;IF(OR(AND($I303&lt;&gt;"",$I303&lt;$H303),AND($J303&lt;&gt;"",$J303&lt;MAX($H303:$I303)),AND($K303&lt;&gt;"",$K303&lt;MAX($H303:$J303))),"Avance semanal decreciente"&amp;" · ","")&amp;IF(AND(ISNUMBER($F303),$F303&lt;FechaRef,N($L303)&lt;1),"Vencida"&amp;" · ","")&amp;IF(AND(ObsObligatoria="Sí",ISNUMBER($F303),$F303&lt;FechaRef,N($L303)&lt;1,$N303=""),"Vencida sin observación"&amp;" · ",""))="","✔ OK","⚠ "&amp;LEFT(IF(AND($S303="Macro",$B303=""),"Macroactividad vacía"&amp;" · ","")&amp;IF(AND($B303&lt;&gt;"",$C303&lt;&gt;""),"Escriba la subactividad en otra fila, debajo de su macroactividad"&amp;" · ","")&amp;IF(AND($S303="Sub",N($R303)=0),"Subactividad sin macroactividad arriba"&amp;" · ","")&amp;IF($D303="","Sin responsable"&amp;" · ","")&amp;IF($E303="","Sin fecha de inicio"&amp;" · ","")&amp;IF($F303="","Sin fecha límite"&amp;" · ","")&amp;IF(OR(AND($E303&lt;&gt;"",NOT(ISNUMBER($E303))),AND($F303&lt;&gt;"",NOT(ISNUMBER($F303)))),"Fecha no válida"&amp;" · ","")&amp;IF(AND(ISNUMBER($E303),ISNUMBER($F303),$E303&gt;$F303),"Inicio posterior a fecha límite"&amp;" · ","")&amp;IF(AND($S303="Macro",$G303=""),"Peso vacío"&amp;" · ","")&amp;IF(AND($S303="Macro",$G303&lt;&gt;"",OR(NOT(ISNUMBER($G303)),$G303&lt;=0,$G303&gt;1)),"Peso fuera de rango"&amp;" · ","")&amp;IF(AND($S303="Sub",$G303&lt;&gt;""),"Las subactividades no llevan peso"&amp;" · ","")&amp;IF(AND($S303="Macro",ABS(SUMIFS($G$5:$G$1000,$P$5:$P$1000,$P303,$S$5:$S$1000,"Macro")-1)&gt;0.0001),"Pesos del mes suman "&amp;TEXT(SUMIFS($G$5:$G$1000,$P$5:$P$1000,$P303,$S$5:$S$1000,"Macro"),"0%")&amp;" · ","")&amp;IF(AND(N($T303)&gt;0,COUNT($H303:$K303)&gt;0),"Con subactividades: deje vacías las semanas (se calculan solas)"&amp;" · ","")&amp;IF((COUNTIF($H303:$K303,"&gt;1")+COUNTIF($H303:$K303,"&lt;0")+COUNTA($H303:$K303)-COUNT($H303:$K303))&gt;0,"Avance fuera de rango 0-100%"&amp;" · ","")&amp;IF(OR(AND($I303&lt;&gt;"",$I303&lt;$H303),AND($J303&lt;&gt;"",$J303&lt;MAX($H303:$I303)),AND($K303&lt;&gt;"",$K303&lt;MAX($H303:$J303))),"Avance semanal decreciente"&amp;" · ","")&amp;IF(AND(ISNUMBER($F303),$F303&lt;FechaRef,N($L303)&lt;1),"Vencida"&amp;" · ","")&amp;IF(AND(ObsObligatoria="Sí",ISNUMBER($F303),$F303&lt;FechaRef,N($L303)&lt;1,$N303=""),"Vencida sin observación"&amp;" · ",""),LEN(IF(AND($S303="Macro",$B303=""),"Macroactividad vacía"&amp;" · ","")&amp;IF(AND($B303&lt;&gt;"",$C303&lt;&gt;""),"Escriba la subactividad en otra fila, debajo de su macroactividad"&amp;" · ","")&amp;IF(AND($S303="Sub",N($R303)=0),"Subactividad sin macroactividad arriba"&amp;" · ","")&amp;IF($D303="","Sin responsable"&amp;" · ","")&amp;IF($E303="","Sin fecha de inicio"&amp;" · ","")&amp;IF($F303="","Sin fecha límite"&amp;" · ","")&amp;IF(OR(AND($E303&lt;&gt;"",NOT(ISNUMBER($E303))),AND($F303&lt;&gt;"",NOT(ISNUMBER($F303)))),"Fecha no válida"&amp;" · ","")&amp;IF(AND(ISNUMBER($E303),ISNUMBER($F303),$E303&gt;$F303),"Inicio posterior a fecha límite"&amp;" · ","")&amp;IF(AND($S303="Macro",$G303=""),"Peso vacío"&amp;" · ","")&amp;IF(AND($S303="Macro",$G303&lt;&gt;"",OR(NOT(ISNUMBER($G303)),$G303&lt;=0,$G303&gt;1)),"Peso fuera de rango"&amp;" · ","")&amp;IF(AND($S303="Sub",$G303&lt;&gt;""),"Las subactividades no llevan peso"&amp;" · ","")&amp;IF(AND($S303="Macro",ABS(SUMIFS($G$5:$G$1000,$P$5:$P$1000,$P303,$S$5:$S$1000,"Macro")-1)&gt;0.0001),"Pesos del mes suman "&amp;TEXT(SUMIFS($G$5:$G$1000,$P$5:$P$1000,$P303,$S$5:$S$1000,"Macro"),"0%")&amp;" · ","")&amp;IF(AND(N($T303)&gt;0,COUNT($H303:$K303)&gt;0),"Con subactividades: deje vacías las semanas (se calculan solas)"&amp;" · ","")&amp;IF((COUNTIF($H303:$K303,"&gt;1")+COUNTIF($H303:$K303,"&lt;0")+COUNTA($H303:$K303)-COUNT($H303:$K303))&gt;0,"Avance fuera de rango 0-100%"&amp;" · ","")&amp;IF(OR(AND($I303&lt;&gt;"",$I303&lt;$H303),AND($J303&lt;&gt;"",$J303&lt;MAX($H303:$I303)),AND($K303&lt;&gt;"",$K303&lt;MAX($H303:$J303))),"Avance semanal decreciente"&amp;" · ","")&amp;IF(AND(ISNUMBER($F303),$F303&lt;FechaRef,N($L303)&lt;1),"Vencida"&amp;" · ","")&amp;IF(AND(ObsObligatoria="Sí",ISNUMBER($F303),$F303&lt;FechaRef,N($L303)&lt;1,$N303=""),"Vencida sin observación"&amp;" · ",""))-3)))</f>
        <v/>
      </c>
      <c r="P303" s="69">
        <f>IF(NOT((COUNTA($B303:$K303)+COUNTA($N303))&gt;0),"",IF(AND($S303="Sub",N($R303)&gt;0),IF(ISNUMBER(INDEX($E$5:$E$1000,$R303-4)),DATE(YEAR(INDEX($E$5:$E$1000,$R303-4)),MONTH(INDEX($E$5:$E$1000,$R303-4)),1),IF(ISNUMBER(INDEX($F$5:$F$1000,$R303-4)),DATE(YEAR(INDEX($F$5:$F$1000,$R303-4)),MONTH(INDEX($F$5:$F$1000,$R303-4)),1),MesCiclo)),IF(ISNUMBER($E303),DATE(YEAR($E303),MONTH($E303),1),IF(ISNUMBER($F303),DATE(YEAR($F303),MONTH($F303),1),MesCiclo))))</f>
        <v/>
      </c>
      <c r="Q303" s="70">
        <f>IF(OR($P303="",$P303&lt;&gt;MesCiclo),"",COUNTIF($P$5:$P303,MesCiclo))</f>
        <v/>
      </c>
      <c r="R303" s="70">
        <f>IF($S303="","",IF($S303="Macro",ROW(),IFERROR(LOOKUP(2,1/($S$5:$S303="Macro"),ROW($S$5:$S303)),0)))</f>
        <v/>
      </c>
      <c r="S303" s="70">
        <f>IF(NOT((COUNTA($B303:$K303)+COUNTA($N303))&gt;0),"",IF($B303&lt;&gt;"","Macro",IF($C303&lt;&gt;"","Sub","Macro")))</f>
        <v/>
      </c>
      <c r="T303" s="70">
        <f>IF($S303="Macro",COUNTIFS($R$5:$R$1000,ROW(),$S$5:$S$1000,"Sub"),"")</f>
        <v/>
      </c>
      <c r="U303" s="70">
        <f>IF($S303="","",IF(ISNUMBER($H303),$H303,0))</f>
        <v/>
      </c>
      <c r="V303" s="70">
        <f>IF($S303="","",IF(ISNUMBER($I303),$I303,$U303))</f>
        <v/>
      </c>
      <c r="W303" s="70">
        <f>IF($S303="","",IF(ISNUMBER($J303),$J303,$V303))</f>
        <v/>
      </c>
      <c r="X303" s="70">
        <f>IF($S303="","",IF(ISNUMBER($K303),$K303,$W303))</f>
        <v/>
      </c>
      <c r="Y303" s="70">
        <f>IF($S303="","",IF(N($T303)&gt;0,AVERAGEIFS($U$5:$U$1000,$R$5:$R$1000,ROW(),$S$5:$S$1000,"Sub"),$U303))</f>
        <v/>
      </c>
      <c r="Z303" s="70">
        <f>IF($S303="","",IF(N($T303)&gt;0,AVERAGEIFS($V$5:$V$1000,$R$5:$R$1000,ROW(),$S$5:$S$1000,"Sub"),$V303))</f>
        <v/>
      </c>
      <c r="AA303" s="70">
        <f>IF($S303="","",IF(N($T303)&gt;0,AVERAGEIFS($W$5:$W$1000,$R$5:$R$1000,ROW(),$S$5:$S$1000,"Sub"),$W303))</f>
        <v/>
      </c>
      <c r="AB303" s="70">
        <f>IF($S303="","",IF(N($T303)&gt;0,AVERAGEIFS($X$5:$X$1000,$R$5:$R$1000,ROW(),$S$5:$S$1000,"Sub"),$X303))</f>
        <v/>
      </c>
    </row>
    <row r="304">
      <c r="A304" s="61">
        <f>IF(NOT((COUNTA($B304:$K304)+COUNTA($N304))&gt;0),"",IF($S304="Macro",COUNTIFS($S$5:$S304,"Macro",$P$5:$P304,$P304),IF(N($R304)=0,"?",COUNTIFS(INDEX($S$5:$S$1000,1):INDEX($S$5:$S$1000,$R304-4),"Macro",INDEX($P$5:$P$1000,1):INDEX($P$5:$P$1000,$R304-4),INDEX($P$5:$P$1000,$R304-4))&amp;"."&amp;COUNTIFS($R$5:$R304,$R304,$S$5:$S304,"Sub"))))</f>
        <v/>
      </c>
      <c r="B304" s="62" t="n"/>
      <c r="C304" s="63" t="n"/>
      <c r="D304" s="62" t="n"/>
      <c r="E304" s="64" t="n"/>
      <c r="F304" s="64" t="n"/>
      <c r="G304" s="65" t="n"/>
      <c r="H304" s="66" t="n"/>
      <c r="I304" s="66" t="n"/>
      <c r="J304" s="66" t="n"/>
      <c r="K304" s="66" t="n"/>
      <c r="L304" s="67">
        <f>IF(NOT((COUNTA($B304:$K304)+COUNTA($N304))&gt;0),"",IF(N($T304)&gt;0,$AB304,IFERROR(LOOKUP(2,1/(H304:K304&lt;&gt;""),H304:K304),0)))</f>
        <v/>
      </c>
      <c r="M304" s="61">
        <f>IF(L304="","",IF(L304&gt;=1,"Completado",IF(L304&gt;0,"En curso","Pendiente")))</f>
        <v/>
      </c>
      <c r="N304" s="62" t="n"/>
      <c r="O304" s="68">
        <f>IF(NOT((COUNTA($B304:$K304)+COUNTA($N304))&gt;0),"",IF((IF(AND($S304="Macro",$B304=""),"Macroactividad vacía"&amp;" · ","")&amp;IF(AND($B304&lt;&gt;"",$C304&lt;&gt;""),"Escriba la subactividad en otra fila, debajo de su macroactividad"&amp;" · ","")&amp;IF(AND($S304="Sub",N($R304)=0),"Subactividad sin macroactividad arriba"&amp;" · ","")&amp;IF($D304="","Sin responsable"&amp;" · ","")&amp;IF($E304="","Sin fecha de inicio"&amp;" · ","")&amp;IF($F304="","Sin fecha límite"&amp;" · ","")&amp;IF(OR(AND($E304&lt;&gt;"",NOT(ISNUMBER($E304))),AND($F304&lt;&gt;"",NOT(ISNUMBER($F304)))),"Fecha no válida"&amp;" · ","")&amp;IF(AND(ISNUMBER($E304),ISNUMBER($F304),$E304&gt;$F304),"Inicio posterior a fecha límite"&amp;" · ","")&amp;IF(AND($S304="Macro",$G304=""),"Peso vacío"&amp;" · ","")&amp;IF(AND($S304="Macro",$G304&lt;&gt;"",OR(NOT(ISNUMBER($G304)),$G304&lt;=0,$G304&gt;1)),"Peso fuera de rango"&amp;" · ","")&amp;IF(AND($S304="Sub",$G304&lt;&gt;""),"Las subactividades no llevan peso"&amp;" · ","")&amp;IF(AND($S304="Macro",ABS(SUMIFS($G$5:$G$1000,$P$5:$P$1000,$P304,$S$5:$S$1000,"Macro")-1)&gt;0.0001),"Pesos del mes suman "&amp;TEXT(SUMIFS($G$5:$G$1000,$P$5:$P$1000,$P304,$S$5:$S$1000,"Macro"),"0%")&amp;" · ","")&amp;IF(AND(N($T304)&gt;0,COUNT($H304:$K304)&gt;0),"Con subactividades: deje vacías las semanas (se calculan solas)"&amp;" · ","")&amp;IF((COUNTIF($H304:$K304,"&gt;1")+COUNTIF($H304:$K304,"&lt;0")+COUNTA($H304:$K304)-COUNT($H304:$K304))&gt;0,"Avance fuera de rango 0-100%"&amp;" · ","")&amp;IF(OR(AND($I304&lt;&gt;"",$I304&lt;$H304),AND($J304&lt;&gt;"",$J304&lt;MAX($H304:$I304)),AND($K304&lt;&gt;"",$K304&lt;MAX($H304:$J304))),"Avance semanal decreciente"&amp;" · ","")&amp;IF(AND(ISNUMBER($F304),$F304&lt;FechaRef,N($L304)&lt;1),"Vencida"&amp;" · ","")&amp;IF(AND(ObsObligatoria="Sí",ISNUMBER($F304),$F304&lt;FechaRef,N($L304)&lt;1,$N304=""),"Vencida sin observación"&amp;" · ",""))="","✔ OK","⚠ "&amp;LEFT(IF(AND($S304="Macro",$B304=""),"Macroactividad vacía"&amp;" · ","")&amp;IF(AND($B304&lt;&gt;"",$C304&lt;&gt;""),"Escriba la subactividad en otra fila, debajo de su macroactividad"&amp;" · ","")&amp;IF(AND($S304="Sub",N($R304)=0),"Subactividad sin macroactividad arriba"&amp;" · ","")&amp;IF($D304="","Sin responsable"&amp;" · ","")&amp;IF($E304="","Sin fecha de inicio"&amp;" · ","")&amp;IF($F304="","Sin fecha límite"&amp;" · ","")&amp;IF(OR(AND($E304&lt;&gt;"",NOT(ISNUMBER($E304))),AND($F304&lt;&gt;"",NOT(ISNUMBER($F304)))),"Fecha no válida"&amp;" · ","")&amp;IF(AND(ISNUMBER($E304),ISNUMBER($F304),$E304&gt;$F304),"Inicio posterior a fecha límite"&amp;" · ","")&amp;IF(AND($S304="Macro",$G304=""),"Peso vacío"&amp;" · ","")&amp;IF(AND($S304="Macro",$G304&lt;&gt;"",OR(NOT(ISNUMBER($G304)),$G304&lt;=0,$G304&gt;1)),"Peso fuera de rango"&amp;" · ","")&amp;IF(AND($S304="Sub",$G304&lt;&gt;""),"Las subactividades no llevan peso"&amp;" · ","")&amp;IF(AND($S304="Macro",ABS(SUMIFS($G$5:$G$1000,$P$5:$P$1000,$P304,$S$5:$S$1000,"Macro")-1)&gt;0.0001),"Pesos del mes suman "&amp;TEXT(SUMIFS($G$5:$G$1000,$P$5:$P$1000,$P304,$S$5:$S$1000,"Macro"),"0%")&amp;" · ","")&amp;IF(AND(N($T304)&gt;0,COUNT($H304:$K304)&gt;0),"Con subactividades: deje vacías las semanas (se calculan solas)"&amp;" · ","")&amp;IF((COUNTIF($H304:$K304,"&gt;1")+COUNTIF($H304:$K304,"&lt;0")+COUNTA($H304:$K304)-COUNT($H304:$K304))&gt;0,"Avance fuera de rango 0-100%"&amp;" · ","")&amp;IF(OR(AND($I304&lt;&gt;"",$I304&lt;$H304),AND($J304&lt;&gt;"",$J304&lt;MAX($H304:$I304)),AND($K304&lt;&gt;"",$K304&lt;MAX($H304:$J304))),"Avance semanal decreciente"&amp;" · ","")&amp;IF(AND(ISNUMBER($F304),$F304&lt;FechaRef,N($L304)&lt;1),"Vencida"&amp;" · ","")&amp;IF(AND(ObsObligatoria="Sí",ISNUMBER($F304),$F304&lt;FechaRef,N($L304)&lt;1,$N304=""),"Vencida sin observación"&amp;" · ",""),LEN(IF(AND($S304="Macro",$B304=""),"Macroactividad vacía"&amp;" · ","")&amp;IF(AND($B304&lt;&gt;"",$C304&lt;&gt;""),"Escriba la subactividad en otra fila, debajo de su macroactividad"&amp;" · ","")&amp;IF(AND($S304="Sub",N($R304)=0),"Subactividad sin macroactividad arriba"&amp;" · ","")&amp;IF($D304="","Sin responsable"&amp;" · ","")&amp;IF($E304="","Sin fecha de inicio"&amp;" · ","")&amp;IF($F304="","Sin fecha límite"&amp;" · ","")&amp;IF(OR(AND($E304&lt;&gt;"",NOT(ISNUMBER($E304))),AND($F304&lt;&gt;"",NOT(ISNUMBER($F304)))),"Fecha no válida"&amp;" · ","")&amp;IF(AND(ISNUMBER($E304),ISNUMBER($F304),$E304&gt;$F304),"Inicio posterior a fecha límite"&amp;" · ","")&amp;IF(AND($S304="Macro",$G304=""),"Peso vacío"&amp;" · ","")&amp;IF(AND($S304="Macro",$G304&lt;&gt;"",OR(NOT(ISNUMBER($G304)),$G304&lt;=0,$G304&gt;1)),"Peso fuera de rango"&amp;" · ","")&amp;IF(AND($S304="Sub",$G304&lt;&gt;""),"Las subactividades no llevan peso"&amp;" · ","")&amp;IF(AND($S304="Macro",ABS(SUMIFS($G$5:$G$1000,$P$5:$P$1000,$P304,$S$5:$S$1000,"Macro")-1)&gt;0.0001),"Pesos del mes suman "&amp;TEXT(SUMIFS($G$5:$G$1000,$P$5:$P$1000,$P304,$S$5:$S$1000,"Macro"),"0%")&amp;" · ","")&amp;IF(AND(N($T304)&gt;0,COUNT($H304:$K304)&gt;0),"Con subactividades: deje vacías las semanas (se calculan solas)"&amp;" · ","")&amp;IF((COUNTIF($H304:$K304,"&gt;1")+COUNTIF($H304:$K304,"&lt;0")+COUNTA($H304:$K304)-COUNT($H304:$K304))&gt;0,"Avance fuera de rango 0-100%"&amp;" · ","")&amp;IF(OR(AND($I304&lt;&gt;"",$I304&lt;$H304),AND($J304&lt;&gt;"",$J304&lt;MAX($H304:$I304)),AND($K304&lt;&gt;"",$K304&lt;MAX($H304:$J304))),"Avance semanal decreciente"&amp;" · ","")&amp;IF(AND(ISNUMBER($F304),$F304&lt;FechaRef,N($L304)&lt;1),"Vencida"&amp;" · ","")&amp;IF(AND(ObsObligatoria="Sí",ISNUMBER($F304),$F304&lt;FechaRef,N($L304)&lt;1,$N304=""),"Vencida sin observación"&amp;" · ",""))-3)))</f>
        <v/>
      </c>
      <c r="P304" s="69">
        <f>IF(NOT((COUNTA($B304:$K304)+COUNTA($N304))&gt;0),"",IF(AND($S304="Sub",N($R304)&gt;0),IF(ISNUMBER(INDEX($E$5:$E$1000,$R304-4)),DATE(YEAR(INDEX($E$5:$E$1000,$R304-4)),MONTH(INDEX($E$5:$E$1000,$R304-4)),1),IF(ISNUMBER(INDEX($F$5:$F$1000,$R304-4)),DATE(YEAR(INDEX($F$5:$F$1000,$R304-4)),MONTH(INDEX($F$5:$F$1000,$R304-4)),1),MesCiclo)),IF(ISNUMBER($E304),DATE(YEAR($E304),MONTH($E304),1),IF(ISNUMBER($F304),DATE(YEAR($F304),MONTH($F304),1),MesCiclo))))</f>
        <v/>
      </c>
      <c r="Q304" s="70">
        <f>IF(OR($P304="",$P304&lt;&gt;MesCiclo),"",COUNTIF($P$5:$P304,MesCiclo))</f>
        <v/>
      </c>
      <c r="R304" s="70">
        <f>IF($S304="","",IF($S304="Macro",ROW(),IFERROR(LOOKUP(2,1/($S$5:$S304="Macro"),ROW($S$5:$S304)),0)))</f>
        <v/>
      </c>
      <c r="S304" s="70">
        <f>IF(NOT((COUNTA($B304:$K304)+COUNTA($N304))&gt;0),"",IF($B304&lt;&gt;"","Macro",IF($C304&lt;&gt;"","Sub","Macro")))</f>
        <v/>
      </c>
      <c r="T304" s="70">
        <f>IF($S304="Macro",COUNTIFS($R$5:$R$1000,ROW(),$S$5:$S$1000,"Sub"),"")</f>
        <v/>
      </c>
      <c r="U304" s="70">
        <f>IF($S304="","",IF(ISNUMBER($H304),$H304,0))</f>
        <v/>
      </c>
      <c r="V304" s="70">
        <f>IF($S304="","",IF(ISNUMBER($I304),$I304,$U304))</f>
        <v/>
      </c>
      <c r="W304" s="70">
        <f>IF($S304="","",IF(ISNUMBER($J304),$J304,$V304))</f>
        <v/>
      </c>
      <c r="X304" s="70">
        <f>IF($S304="","",IF(ISNUMBER($K304),$K304,$W304))</f>
        <v/>
      </c>
      <c r="Y304" s="70">
        <f>IF($S304="","",IF(N($T304)&gt;0,AVERAGEIFS($U$5:$U$1000,$R$5:$R$1000,ROW(),$S$5:$S$1000,"Sub"),$U304))</f>
        <v/>
      </c>
      <c r="Z304" s="70">
        <f>IF($S304="","",IF(N($T304)&gt;0,AVERAGEIFS($V$5:$V$1000,$R$5:$R$1000,ROW(),$S$5:$S$1000,"Sub"),$V304))</f>
        <v/>
      </c>
      <c r="AA304" s="70">
        <f>IF($S304="","",IF(N($T304)&gt;0,AVERAGEIFS($W$5:$W$1000,$R$5:$R$1000,ROW(),$S$5:$S$1000,"Sub"),$W304))</f>
        <v/>
      </c>
      <c r="AB304" s="70">
        <f>IF($S304="","",IF(N($T304)&gt;0,AVERAGEIFS($X$5:$X$1000,$R$5:$R$1000,ROW(),$S$5:$S$1000,"Sub"),$X304))</f>
        <v/>
      </c>
    </row>
  </sheetData>
  <sheetProtection selectLockedCells="0" selectUnlockedCells="0" sheet="1" objects="0" insertRows="1" insertHyperlinks="1" autoFilter="0" scenarios="0" formatColumns="0" deleteColumns="1" insertColumns="1" pivotTables="1" deleteRows="1" formatCells="1" formatRows="0" sort="0"/>
  <mergeCells count="3">
    <mergeCell ref="F3:G3"/>
    <mergeCell ref="A1:P1"/>
    <mergeCell ref="A2:P2"/>
  </mergeCells>
  <conditionalFormatting sqref="F3:G3">
    <cfRule type="expression" priority="1" dxfId="1">
      <formula>LEFT($F$3,1)="⚠"</formula>
    </cfRule>
    <cfRule type="expression" priority="2" dxfId="0">
      <formula>LEFT($F$3,1)="✔"</formula>
    </cfRule>
  </conditionalFormatting>
  <conditionalFormatting sqref="M5:M1000">
    <cfRule type="expression" priority="3" dxfId="0">
      <formula>$M5="Completado"</formula>
    </cfRule>
    <cfRule type="expression" priority="4" dxfId="4">
      <formula>$M5="En curso"</formula>
    </cfRule>
    <cfRule type="expression" priority="5" dxfId="5">
      <formula>$M5="Pendiente"</formula>
    </cfRule>
  </conditionalFormatting>
  <conditionalFormatting sqref="L5:L1000">
    <cfRule type="expression" priority="6" dxfId="0">
      <formula>AND(ISNUMBER($L5),$L5&gt;=1)</formula>
    </cfRule>
    <cfRule type="dataBar" priority="7">
      <dataBar showValue="1">
        <cfvo type="num" val="0"/>
        <cfvo type="num" val="1"/>
        <color rgb="005B9BD5"/>
      </dataBar>
    </cfRule>
  </conditionalFormatting>
  <conditionalFormatting sqref="F5:F1000">
    <cfRule type="expression" priority="8" dxfId="6" stopIfTrue="1">
      <formula>AND(ISNUMBER($F5),$F5&lt;FechaRef,N($L5)&lt;1)</formula>
    </cfRule>
    <cfRule type="expression" priority="9" dxfId="7">
      <formula>AND(ISNUMBER($F5),$F5&gt;=FechaRef,$F5-FechaRef&lt;=DiasAlerta,N($L5)&lt;1)</formula>
    </cfRule>
  </conditionalFormatting>
  <conditionalFormatting sqref="B5:B1000">
    <cfRule type="expression" priority="10" dxfId="5" stopIfTrue="1">
      <formula>AND($S5="Macro",$B5="")</formula>
    </cfRule>
    <cfRule type="expression" priority="11" dxfId="19">
      <formula>$S5="Macro"</formula>
    </cfRule>
  </conditionalFormatting>
  <conditionalFormatting sqref="C5:C1000">
    <cfRule type="expression" priority="12" dxfId="5">
      <formula>AND($B5&lt;&gt;"",$C5&lt;&gt;"")</formula>
    </cfRule>
  </conditionalFormatting>
  <conditionalFormatting sqref="D5:D1000">
    <cfRule type="expression" priority="13" dxfId="5">
      <formula>AND((COUNTA($B5:$K5)+COUNTA($N5))&gt;0,D5="")</formula>
    </cfRule>
  </conditionalFormatting>
  <conditionalFormatting sqref="E5:F1000">
    <cfRule type="expression" priority="14" dxfId="5" stopIfTrue="1">
      <formula>AND((COUNTA($B5:$K5)+COUNTA($N5))&gt;0,E5="")</formula>
    </cfRule>
    <cfRule type="expression" priority="15" dxfId="6">
      <formula>AND(ISNUMBER($E5),ISNUMBER($F5),$E5&gt;$F5)</formula>
    </cfRule>
  </conditionalFormatting>
  <conditionalFormatting sqref="G5:G1000">
    <cfRule type="expression" priority="16" dxfId="11" stopIfTrue="1">
      <formula>$S5="Sub"</formula>
    </cfRule>
    <cfRule type="expression" priority="17" dxfId="5" stopIfTrue="1">
      <formula>AND($S5="Macro",G5="")</formula>
    </cfRule>
    <cfRule type="expression" priority="18" dxfId="7">
      <formula>AND($S5="Macro",ABS(SUMIFS($G$5:$G$1000,$P$5:$P$1000,$P5,$S$5:$S$1000,"Macro")-1)&gt;0.0001)</formula>
    </cfRule>
  </conditionalFormatting>
  <conditionalFormatting sqref="H5:K1000">
    <cfRule type="expression" priority="19" dxfId="5" stopIfTrue="1">
      <formula>AND(N($T5)&gt;0,H5&lt;&gt;"")</formula>
    </cfRule>
    <cfRule type="expression" priority="20" dxfId="12" stopIfTrue="1">
      <formula>N($T5)&gt;0</formula>
    </cfRule>
    <cfRule type="expression" priority="21" dxfId="5" stopIfTrue="1">
      <formula>AND(H5&lt;&gt;"",OR(NOT(ISNUMBER(H5)),H5&gt;1,H5&lt;0))</formula>
    </cfRule>
  </conditionalFormatting>
  <conditionalFormatting sqref="I5:K1000">
    <cfRule type="expression" priority="22" dxfId="6">
      <formula>AND(I5&lt;&gt;"",I5&lt;MAX($H5:H5))</formula>
    </cfRule>
  </conditionalFormatting>
  <conditionalFormatting sqref="N5:N1000">
    <cfRule type="expression" priority="23" dxfId="5">
      <formula>AND(ObsObligatoria="Sí",ISNUMBER($F5),$F5&lt;FechaRef,N($L5)&lt;1,$N5="")</formula>
    </cfRule>
  </conditionalFormatting>
  <conditionalFormatting sqref="O5:O1000">
    <cfRule type="expression" priority="24" dxfId="5">
      <formula>LEFT($O5,1)="⚠"</formula>
    </cfRule>
    <cfRule type="expression" priority="25" dxfId="13">
      <formula>LEFT($O5,1)="✔"</formula>
    </cfRule>
  </conditionalFormatting>
  <conditionalFormatting sqref="P5:P1000">
    <cfRule type="expression" priority="26" dxfId="1">
      <formula>AND($P5&lt;&gt;"",$P5=MesCiclo)</formula>
    </cfRule>
  </conditionalFormatting>
  <conditionalFormatting sqref="A5:A1000">
    <cfRule type="expression" priority="27" dxfId="19">
      <formula>$S5="Macro"</formula>
    </cfRule>
  </conditionalFormatting>
  <dataValidations count="4">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Peso no válido" error="Ingrese un porcentaje entre 0% y 100% (por ejemplo 25%)." promptTitle="Peso (solo macroactividades)" prompt="Qué tanto vale la macroactividad en el mes. Las subactividades no llevan peso." type="decimal" operator="between">
      <formula1>0</formula1>
      <formula2>1</formula2>
    </dataValidation>
    <dataValidation sqref="H5:K1000" showDropDown="0" showInputMessage="1" showErrorMessage="1" allowBlank="1" errorTitle="Avance no válido" error="Ingrese un porcentaje entre 0% y 100%. Deje la celda vacía si la semana no ha llegado." promptTitle="Avance acumulado" prompt="% TOTAL logrado hasta esta semana. Si la macroactividad tiene subactividades, déjelo vacío: se calcula solo." type="decimal" operator="between">
      <formula1>0</formula1>
      <formula2>1</formula2>
    </dataValidation>
    <dataValidation sqref="C5:C1000" showDropDown="0" showInputMessage="1" showErrorMessage="0" allowBlank="1" promptTitle="Subactividad" prompt="Escríbala en la fila de abajo de su macroactividad, dejando vacía «Macro Actividad». Puede agregar todas las que necesite." type="textLength" operator="greaterThan">
      <formula1>0</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rgb="002E75B6"/>
    <outlinePr summaryBelow="1" summaryRight="1"/>
    <pageSetUpPr fitToPage="1"/>
  </sheetPr>
  <dimension ref="A1:P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22" customWidth="1" min="3" max="3"/>
    <col width="12" customWidth="1" min="4" max="4"/>
    <col width="12" customWidth="1" min="5" max="5"/>
    <col width="16" customWidth="1" min="6" max="6"/>
    <col width="11" customWidth="1" min="7" max="7"/>
    <col width="11" customWidth="1" min="8" max="8"/>
    <col width="11" customWidth="1" min="9" max="9"/>
    <col width="11" customWidth="1" min="10" max="10"/>
    <col width="12" customWidth="1" min="11" max="11"/>
    <col width="13" customWidth="1" min="12" max="12"/>
    <col width="46" customWidth="1" min="13" max="13"/>
    <col hidden="1" width="13" customWidth="1" min="14" max="14"/>
    <col hidden="1" width="13" customWidth="1" min="15" max="15"/>
    <col hidden="1" width="13" customWidth="1" min="16" max="16"/>
  </cols>
  <sheetData>
    <row r="1" ht="28" customHeight="1">
      <c r="A1" s="81" t="inlineStr">
        <is>
          <t>Actividades del mes por semana – Asistente Técnico de Riesgo</t>
        </is>
      </c>
      <c r="B1" s="81" t="n"/>
      <c r="C1" s="81" t="n"/>
      <c r="D1" s="81" t="n"/>
      <c r="E1" s="81" t="n"/>
      <c r="F1" s="81" t="n"/>
      <c r="G1" s="81" t="n"/>
      <c r="H1" s="81" t="n"/>
      <c r="I1" s="81" t="n"/>
      <c r="J1" s="81" t="n"/>
      <c r="K1" s="81" t="n"/>
      <c r="L1" s="81" t="n"/>
      <c r="M1" s="81" t="n"/>
    </row>
    <row r="2" ht="32" customHeight="1">
      <c r="A2" s="71" t="inlineStr">
        <is>
          <t>HOJA AUTOMÁTICA Y BLOQUEADA: muestra solo las actividades del mes indicado abajo, tomadas de «Cronograma Asistente Técnico». No hay que escribir nada aquí. La barra de color marca las semanas en que cada actividad está programada (de la fecha de inicio a la fecha límite) y dentro aparece el avance registrado en esa semana.</t>
        </is>
      </c>
      <c r="B2" s="71" t="n"/>
      <c r="C2" s="71" t="n"/>
      <c r="D2" s="71" t="n"/>
      <c r="E2" s="71" t="n"/>
      <c r="F2" s="71" t="n"/>
      <c r="G2" s="71" t="n"/>
      <c r="H2" s="71" t="n"/>
      <c r="I2" s="71" t="n"/>
      <c r="J2" s="71" t="n"/>
      <c r="K2" s="71" t="n"/>
      <c r="L2" s="71" t="n"/>
      <c r="M2" s="71" t="n"/>
    </row>
    <row r="3">
      <c r="A3" s="72" t="inlineStr">
        <is>
          <t>Mes:</t>
        </is>
      </c>
      <c r="B3" s="73">
        <f>MesCiclo</f>
        <v/>
      </c>
      <c r="F3" s="74" t="inlineStr">
        <is>
          <t>Semana del:</t>
        </is>
      </c>
      <c r="G3" s="75">
        <f>(InicioCiclo+0)</f>
        <v/>
      </c>
      <c r="H3" s="75">
        <f>(InicioCiclo+7)</f>
        <v/>
      </c>
      <c r="I3" s="75">
        <f>(InicioCiclo+14)</f>
        <v/>
      </c>
      <c r="J3" s="75">
        <f>(InicioCiclo+21)</f>
        <v/>
      </c>
    </row>
    <row r="4" ht="34" customHeight="1">
      <c r="A4" s="60" t="inlineStr">
        <is>
          <t>N°</t>
        </is>
      </c>
      <c r="B4" s="60" t="inlineStr">
        <is>
          <t>Macro Actividad / Subactividad</t>
        </is>
      </c>
      <c r="C4" s="60" t="inlineStr">
        <is>
          <t>Responsable</t>
        </is>
      </c>
      <c r="D4" s="60" t="inlineStr">
        <is>
          <t>Fecha de inicio</t>
        </is>
      </c>
      <c r="E4" s="60" t="inlineStr">
        <is>
          <t>Fecha límite</t>
        </is>
      </c>
      <c r="F4" s="60" t="inlineStr">
        <is>
          <t>Semana de entrega</t>
        </is>
      </c>
      <c r="G4" s="7" t="inlineStr">
        <is>
          <t>Semana 1</t>
        </is>
      </c>
      <c r="H4" s="7" t="inlineStr">
        <is>
          <t>Semana 2</t>
        </is>
      </c>
      <c r="I4" s="7" t="inlineStr">
        <is>
          <t>Semana 3</t>
        </is>
      </c>
      <c r="J4" s="7" t="inlineStr">
        <is>
          <t>Semana 4</t>
        </is>
      </c>
      <c r="K4" s="60" t="inlineStr">
        <is>
          <t>% Avance actual</t>
        </is>
      </c>
      <c r="L4" s="60" t="inlineStr">
        <is>
          <t>Estado</t>
        </is>
      </c>
      <c r="M4" s="60" t="inlineStr">
        <is>
          <t>Observaciones</t>
        </is>
      </c>
      <c r="N4" t="inlineStr">
        <is>
          <t>Fila origen (aux)</t>
        </is>
      </c>
      <c r="O4" t="inlineStr">
        <is>
          <t>Tipo (aux)</t>
        </is>
      </c>
      <c r="P4" t="inlineStr">
        <is>
          <t>N subactividades (aux)</t>
        </is>
      </c>
    </row>
    <row r="5">
      <c r="A5" s="61">
        <f>IF($N5="","",INDEX('Cronograma Asistente Técnico'!$A$5:$A$1000,$N5))</f>
        <v/>
      </c>
      <c r="B5" s="70">
        <f>IF($N5="","",IF($O5="Sub","     ↳ "&amp;INDEX('Cronograma Asistente Técnico'!$C$5:$C$1000,$N5),INDEX('Cronograma Asistente Técnico'!$B$5:$B$1000,$N5)&amp;""))</f>
        <v/>
      </c>
      <c r="C5" s="70">
        <f>IF($N5="","",INDEX('Cronograma Asistente Técnico'!$D$5:$D$1000,$N5)&amp;"")</f>
        <v/>
      </c>
      <c r="D5" s="76">
        <f>IF($N5="","",IF(INDEX('Cronograma Asistente Técnico'!$E$5:$E$1000,$N5)="","",INDEX('Cronograma Asistente Técnico'!$E$5:$E$1000,$N5)))</f>
        <v/>
      </c>
      <c r="E5" s="76">
        <f>IF($N5="","",IF(INDEX('Cronograma Asistente Técnico'!$F$5:$F$1000,$N5)="","",INDEX('Cronograma Asistente Técnico'!$F$5:$F$1000,$N5)))</f>
        <v/>
      </c>
      <c r="F5" s="61">
        <f>IF($N5="","",IF(NOT(ISNUMBER($E5)),"",IF($E5&lt;InicioCiclo,"Antes del ciclo",IF($E5&gt;=InicioCiclo+28,"Después del ciclo","Semana "&amp;(INT(($E5-InicioCiclo)/7)+1)))))</f>
        <v/>
      </c>
      <c r="G5" s="67">
        <f>IF($N5="","",IF($P5&gt;0,IF(1&lt;=SemanaActual,INDEX('Cronograma Asistente Técnico'!$Y$5:$Y$1000,$N5),""),IF(INDEX('Cronograma Asistente Técnico'!$H$5:$H$1000,$N5)="","",INDEX('Cronograma Asistente Técnico'!$H$5:$H$1000,$N5))))</f>
        <v/>
      </c>
      <c r="H5" s="67">
        <f>IF($N5="","",IF($P5&gt;0,IF(2&lt;=SemanaActual,INDEX('Cronograma Asistente Técnico'!$Z$5:$Z$1000,$N5),""),IF(INDEX('Cronograma Asistente Técnico'!$I$5:$I$1000,$N5)="","",INDEX('Cronograma Asistente Técnico'!$I$5:$I$1000,$N5))))</f>
        <v/>
      </c>
      <c r="I5" s="67">
        <f>IF($N5="","",IF($P5&gt;0,IF(3&lt;=SemanaActual,INDEX('Cronograma Asistente Técnico'!$AA$5:$AA$1000,$N5),""),IF(INDEX('Cronograma Asistente Técnico'!$J$5:$J$1000,$N5)="","",INDEX('Cronograma Asistente Técnico'!$J$5:$J$1000,$N5))))</f>
        <v/>
      </c>
      <c r="J5" s="67">
        <f>IF($N5="","",IF($P5&gt;0,IF(4&lt;=SemanaActual,INDEX('Cronograma Asistente Técnico'!$AB$5:$AB$1000,$N5),""),IF(INDEX('Cronograma Asistente Técnico'!$K$5:$K$1000,$N5)="","",INDEX('Cronograma Asistente Técnico'!$K$5:$K$1000,$N5))))</f>
        <v/>
      </c>
      <c r="K5" s="67">
        <f>IF($N5="","",INDEX('Cronograma Asistente Técnico'!$L$5:$L$1000,$N5))</f>
        <v/>
      </c>
      <c r="L5" s="61">
        <f>IF($N5="","",IF(N($K5)&gt;=1,"Completado",IF(AND(ISNUMBER($E5),$E5&lt;FechaRef),"Vencida",IF(N($K5)&gt;0,"En curso","Pendiente"))))</f>
        <v/>
      </c>
      <c r="M5" s="70">
        <f>IF($N5="","",INDEX('Cronograma Asistente Técnico'!$N$5:$N$1000,$N5)&amp;"")</f>
        <v/>
      </c>
      <c r="N5">
        <f>IFERROR(MATCH(ROW()-4,rOrden_ATR,0),"")</f>
        <v/>
      </c>
      <c r="O5">
        <f>IF($N5="","",INDEX('Cronograma Asistente Técnico'!$S$5:$S$1000,$N5))</f>
        <v/>
      </c>
      <c r="P5">
        <f>IF($N5="","",N(INDEX('Cronograma Asistente Técnico'!$T$5:$T$1000,$N5)))</f>
        <v/>
      </c>
    </row>
    <row r="6">
      <c r="A6" s="61">
        <f>IF($N6="","",INDEX('Cronograma Asistente Técnico'!$A$5:$A$1000,$N6))</f>
        <v/>
      </c>
      <c r="B6" s="70">
        <f>IF($N6="","",IF($O6="Sub","     ↳ "&amp;INDEX('Cronograma Asistente Técnico'!$C$5:$C$1000,$N6),INDEX('Cronograma Asistente Técnico'!$B$5:$B$1000,$N6)&amp;""))</f>
        <v/>
      </c>
      <c r="C6" s="70">
        <f>IF($N6="","",INDEX('Cronograma Asistente Técnico'!$D$5:$D$1000,$N6)&amp;"")</f>
        <v/>
      </c>
      <c r="D6" s="76">
        <f>IF($N6="","",IF(INDEX('Cronograma Asistente Técnico'!$E$5:$E$1000,$N6)="","",INDEX('Cronograma Asistente Técnico'!$E$5:$E$1000,$N6)))</f>
        <v/>
      </c>
      <c r="E6" s="76">
        <f>IF($N6="","",IF(INDEX('Cronograma Asistente Técnico'!$F$5:$F$1000,$N6)="","",INDEX('Cronograma Asistente Técnico'!$F$5:$F$1000,$N6)))</f>
        <v/>
      </c>
      <c r="F6" s="61">
        <f>IF($N6="","",IF(NOT(ISNUMBER($E6)),"",IF($E6&lt;InicioCiclo,"Antes del ciclo",IF($E6&gt;=InicioCiclo+28,"Después del ciclo","Semana "&amp;(INT(($E6-InicioCiclo)/7)+1)))))</f>
        <v/>
      </c>
      <c r="G6" s="67">
        <f>IF($N6="","",IF($P6&gt;0,IF(1&lt;=SemanaActual,INDEX('Cronograma Asistente Técnico'!$Y$5:$Y$1000,$N6),""),IF(INDEX('Cronograma Asistente Técnico'!$H$5:$H$1000,$N6)="","",INDEX('Cronograma Asistente Técnico'!$H$5:$H$1000,$N6))))</f>
        <v/>
      </c>
      <c r="H6" s="67">
        <f>IF($N6="","",IF($P6&gt;0,IF(2&lt;=SemanaActual,INDEX('Cronograma Asistente Técnico'!$Z$5:$Z$1000,$N6),""),IF(INDEX('Cronograma Asistente Técnico'!$I$5:$I$1000,$N6)="","",INDEX('Cronograma Asistente Técnico'!$I$5:$I$1000,$N6))))</f>
        <v/>
      </c>
      <c r="I6" s="67">
        <f>IF($N6="","",IF($P6&gt;0,IF(3&lt;=SemanaActual,INDEX('Cronograma Asistente Técnico'!$AA$5:$AA$1000,$N6),""),IF(INDEX('Cronograma Asistente Técnico'!$J$5:$J$1000,$N6)="","",INDEX('Cronograma Asistente Técnico'!$J$5:$J$1000,$N6))))</f>
        <v/>
      </c>
      <c r="J6" s="67">
        <f>IF($N6="","",IF($P6&gt;0,IF(4&lt;=SemanaActual,INDEX('Cronograma Asistente Técnico'!$AB$5:$AB$1000,$N6),""),IF(INDEX('Cronograma Asistente Técnico'!$K$5:$K$1000,$N6)="","",INDEX('Cronograma Asistente Técnico'!$K$5:$K$1000,$N6))))</f>
        <v/>
      </c>
      <c r="K6" s="67">
        <f>IF($N6="","",INDEX('Cronograma Asistente Técnico'!$L$5:$L$1000,$N6))</f>
        <v/>
      </c>
      <c r="L6" s="61">
        <f>IF($N6="","",IF(N($K6)&gt;=1,"Completado",IF(AND(ISNUMBER($E6),$E6&lt;FechaRef),"Vencida",IF(N($K6)&gt;0,"En curso","Pendiente"))))</f>
        <v/>
      </c>
      <c r="M6" s="70">
        <f>IF($N6="","",INDEX('Cronograma Asistente Técnico'!$N$5:$N$1000,$N6)&amp;"")</f>
        <v/>
      </c>
      <c r="N6">
        <f>IFERROR(MATCH(ROW()-4,rOrden_ATR,0),"")</f>
        <v/>
      </c>
      <c r="O6">
        <f>IF($N6="","",INDEX('Cronograma Asistente Técnico'!$S$5:$S$1000,$N6))</f>
        <v/>
      </c>
      <c r="P6">
        <f>IF($N6="","",N(INDEX('Cronograma Asistente Técnico'!$T$5:$T$1000,$N6)))</f>
        <v/>
      </c>
    </row>
    <row r="7">
      <c r="A7" s="61">
        <f>IF($N7="","",INDEX('Cronograma Asistente Técnico'!$A$5:$A$1000,$N7))</f>
        <v/>
      </c>
      <c r="B7" s="70">
        <f>IF($N7="","",IF($O7="Sub","     ↳ "&amp;INDEX('Cronograma Asistente Técnico'!$C$5:$C$1000,$N7),INDEX('Cronograma Asistente Técnico'!$B$5:$B$1000,$N7)&amp;""))</f>
        <v/>
      </c>
      <c r="C7" s="70">
        <f>IF($N7="","",INDEX('Cronograma Asistente Técnico'!$D$5:$D$1000,$N7)&amp;"")</f>
        <v/>
      </c>
      <c r="D7" s="76">
        <f>IF($N7="","",IF(INDEX('Cronograma Asistente Técnico'!$E$5:$E$1000,$N7)="","",INDEX('Cronograma Asistente Técnico'!$E$5:$E$1000,$N7)))</f>
        <v/>
      </c>
      <c r="E7" s="76">
        <f>IF($N7="","",IF(INDEX('Cronograma Asistente Técnico'!$F$5:$F$1000,$N7)="","",INDEX('Cronograma Asistente Técnico'!$F$5:$F$1000,$N7)))</f>
        <v/>
      </c>
      <c r="F7" s="61">
        <f>IF($N7="","",IF(NOT(ISNUMBER($E7)),"",IF($E7&lt;InicioCiclo,"Antes del ciclo",IF($E7&gt;=InicioCiclo+28,"Después del ciclo","Semana "&amp;(INT(($E7-InicioCiclo)/7)+1)))))</f>
        <v/>
      </c>
      <c r="G7" s="67">
        <f>IF($N7="","",IF($P7&gt;0,IF(1&lt;=SemanaActual,INDEX('Cronograma Asistente Técnico'!$Y$5:$Y$1000,$N7),""),IF(INDEX('Cronograma Asistente Técnico'!$H$5:$H$1000,$N7)="","",INDEX('Cronograma Asistente Técnico'!$H$5:$H$1000,$N7))))</f>
        <v/>
      </c>
      <c r="H7" s="67">
        <f>IF($N7="","",IF($P7&gt;0,IF(2&lt;=SemanaActual,INDEX('Cronograma Asistente Técnico'!$Z$5:$Z$1000,$N7),""),IF(INDEX('Cronograma Asistente Técnico'!$I$5:$I$1000,$N7)="","",INDEX('Cronograma Asistente Técnico'!$I$5:$I$1000,$N7))))</f>
        <v/>
      </c>
      <c r="I7" s="67">
        <f>IF($N7="","",IF($P7&gt;0,IF(3&lt;=SemanaActual,INDEX('Cronograma Asistente Técnico'!$AA$5:$AA$1000,$N7),""),IF(INDEX('Cronograma Asistente Técnico'!$J$5:$J$1000,$N7)="","",INDEX('Cronograma Asistente Técnico'!$J$5:$J$1000,$N7))))</f>
        <v/>
      </c>
      <c r="J7" s="67">
        <f>IF($N7="","",IF($P7&gt;0,IF(4&lt;=SemanaActual,INDEX('Cronograma Asistente Técnico'!$AB$5:$AB$1000,$N7),""),IF(INDEX('Cronograma Asistente Técnico'!$K$5:$K$1000,$N7)="","",INDEX('Cronograma Asistente Técnico'!$K$5:$K$1000,$N7))))</f>
        <v/>
      </c>
      <c r="K7" s="67">
        <f>IF($N7="","",INDEX('Cronograma Asistente Técnico'!$L$5:$L$1000,$N7))</f>
        <v/>
      </c>
      <c r="L7" s="61">
        <f>IF($N7="","",IF(N($K7)&gt;=1,"Completado",IF(AND(ISNUMBER($E7),$E7&lt;FechaRef),"Vencida",IF(N($K7)&gt;0,"En curso","Pendiente"))))</f>
        <v/>
      </c>
      <c r="M7" s="70">
        <f>IF($N7="","",INDEX('Cronograma Asistente Técnico'!$N$5:$N$1000,$N7)&amp;"")</f>
        <v/>
      </c>
      <c r="N7">
        <f>IFERROR(MATCH(ROW()-4,rOrden_ATR,0),"")</f>
        <v/>
      </c>
      <c r="O7">
        <f>IF($N7="","",INDEX('Cronograma Asistente Técnico'!$S$5:$S$1000,$N7))</f>
        <v/>
      </c>
      <c r="P7">
        <f>IF($N7="","",N(INDEX('Cronograma Asistente Técnico'!$T$5:$T$1000,$N7)))</f>
        <v/>
      </c>
    </row>
    <row r="8">
      <c r="A8" s="61">
        <f>IF($N8="","",INDEX('Cronograma Asistente Técnico'!$A$5:$A$1000,$N8))</f>
        <v/>
      </c>
      <c r="B8" s="70">
        <f>IF($N8="","",IF($O8="Sub","     ↳ "&amp;INDEX('Cronograma Asistente Técnico'!$C$5:$C$1000,$N8),INDEX('Cronograma Asistente Técnico'!$B$5:$B$1000,$N8)&amp;""))</f>
        <v/>
      </c>
      <c r="C8" s="70">
        <f>IF($N8="","",INDEX('Cronograma Asistente Técnico'!$D$5:$D$1000,$N8)&amp;"")</f>
        <v/>
      </c>
      <c r="D8" s="76">
        <f>IF($N8="","",IF(INDEX('Cronograma Asistente Técnico'!$E$5:$E$1000,$N8)="","",INDEX('Cronograma Asistente Técnico'!$E$5:$E$1000,$N8)))</f>
        <v/>
      </c>
      <c r="E8" s="76">
        <f>IF($N8="","",IF(INDEX('Cronograma Asistente Técnico'!$F$5:$F$1000,$N8)="","",INDEX('Cronograma Asistente Técnico'!$F$5:$F$1000,$N8)))</f>
        <v/>
      </c>
      <c r="F8" s="61">
        <f>IF($N8="","",IF(NOT(ISNUMBER($E8)),"",IF($E8&lt;InicioCiclo,"Antes del ciclo",IF($E8&gt;=InicioCiclo+28,"Después del ciclo","Semana "&amp;(INT(($E8-InicioCiclo)/7)+1)))))</f>
        <v/>
      </c>
      <c r="G8" s="67">
        <f>IF($N8="","",IF($P8&gt;0,IF(1&lt;=SemanaActual,INDEX('Cronograma Asistente Técnico'!$Y$5:$Y$1000,$N8),""),IF(INDEX('Cronograma Asistente Técnico'!$H$5:$H$1000,$N8)="","",INDEX('Cronograma Asistente Técnico'!$H$5:$H$1000,$N8))))</f>
        <v/>
      </c>
      <c r="H8" s="67">
        <f>IF($N8="","",IF($P8&gt;0,IF(2&lt;=SemanaActual,INDEX('Cronograma Asistente Técnico'!$Z$5:$Z$1000,$N8),""),IF(INDEX('Cronograma Asistente Técnico'!$I$5:$I$1000,$N8)="","",INDEX('Cronograma Asistente Técnico'!$I$5:$I$1000,$N8))))</f>
        <v/>
      </c>
      <c r="I8" s="67">
        <f>IF($N8="","",IF($P8&gt;0,IF(3&lt;=SemanaActual,INDEX('Cronograma Asistente Técnico'!$AA$5:$AA$1000,$N8),""),IF(INDEX('Cronograma Asistente Técnico'!$J$5:$J$1000,$N8)="","",INDEX('Cronograma Asistente Técnico'!$J$5:$J$1000,$N8))))</f>
        <v/>
      </c>
      <c r="J8" s="67">
        <f>IF($N8="","",IF($P8&gt;0,IF(4&lt;=SemanaActual,INDEX('Cronograma Asistente Técnico'!$AB$5:$AB$1000,$N8),""),IF(INDEX('Cronograma Asistente Técnico'!$K$5:$K$1000,$N8)="","",INDEX('Cronograma Asistente Técnico'!$K$5:$K$1000,$N8))))</f>
        <v/>
      </c>
      <c r="K8" s="67">
        <f>IF($N8="","",INDEX('Cronograma Asistente Técnico'!$L$5:$L$1000,$N8))</f>
        <v/>
      </c>
      <c r="L8" s="61">
        <f>IF($N8="","",IF(N($K8)&gt;=1,"Completado",IF(AND(ISNUMBER($E8),$E8&lt;FechaRef),"Vencida",IF(N($K8)&gt;0,"En curso","Pendiente"))))</f>
        <v/>
      </c>
      <c r="M8" s="70">
        <f>IF($N8="","",INDEX('Cronograma Asistente Técnico'!$N$5:$N$1000,$N8)&amp;"")</f>
        <v/>
      </c>
      <c r="N8">
        <f>IFERROR(MATCH(ROW()-4,rOrden_ATR,0),"")</f>
        <v/>
      </c>
      <c r="O8">
        <f>IF($N8="","",INDEX('Cronograma Asistente Técnico'!$S$5:$S$1000,$N8))</f>
        <v/>
      </c>
      <c r="P8">
        <f>IF($N8="","",N(INDEX('Cronograma Asistente Técnico'!$T$5:$T$1000,$N8)))</f>
        <v/>
      </c>
    </row>
    <row r="9">
      <c r="A9" s="61">
        <f>IF($N9="","",INDEX('Cronograma Asistente Técnico'!$A$5:$A$1000,$N9))</f>
        <v/>
      </c>
      <c r="B9" s="70">
        <f>IF($N9="","",IF($O9="Sub","     ↳ "&amp;INDEX('Cronograma Asistente Técnico'!$C$5:$C$1000,$N9),INDEX('Cronograma Asistente Técnico'!$B$5:$B$1000,$N9)&amp;""))</f>
        <v/>
      </c>
      <c r="C9" s="70">
        <f>IF($N9="","",INDEX('Cronograma Asistente Técnico'!$D$5:$D$1000,$N9)&amp;"")</f>
        <v/>
      </c>
      <c r="D9" s="76">
        <f>IF($N9="","",IF(INDEX('Cronograma Asistente Técnico'!$E$5:$E$1000,$N9)="","",INDEX('Cronograma Asistente Técnico'!$E$5:$E$1000,$N9)))</f>
        <v/>
      </c>
      <c r="E9" s="76">
        <f>IF($N9="","",IF(INDEX('Cronograma Asistente Técnico'!$F$5:$F$1000,$N9)="","",INDEX('Cronograma Asistente Técnico'!$F$5:$F$1000,$N9)))</f>
        <v/>
      </c>
      <c r="F9" s="61">
        <f>IF($N9="","",IF(NOT(ISNUMBER($E9)),"",IF($E9&lt;InicioCiclo,"Antes del ciclo",IF($E9&gt;=InicioCiclo+28,"Después del ciclo","Semana "&amp;(INT(($E9-InicioCiclo)/7)+1)))))</f>
        <v/>
      </c>
      <c r="G9" s="67">
        <f>IF($N9="","",IF($P9&gt;0,IF(1&lt;=SemanaActual,INDEX('Cronograma Asistente Técnico'!$Y$5:$Y$1000,$N9),""),IF(INDEX('Cronograma Asistente Técnico'!$H$5:$H$1000,$N9)="","",INDEX('Cronograma Asistente Técnico'!$H$5:$H$1000,$N9))))</f>
        <v/>
      </c>
      <c r="H9" s="67">
        <f>IF($N9="","",IF($P9&gt;0,IF(2&lt;=SemanaActual,INDEX('Cronograma Asistente Técnico'!$Z$5:$Z$1000,$N9),""),IF(INDEX('Cronograma Asistente Técnico'!$I$5:$I$1000,$N9)="","",INDEX('Cronograma Asistente Técnico'!$I$5:$I$1000,$N9))))</f>
        <v/>
      </c>
      <c r="I9" s="67">
        <f>IF($N9="","",IF($P9&gt;0,IF(3&lt;=SemanaActual,INDEX('Cronograma Asistente Técnico'!$AA$5:$AA$1000,$N9),""),IF(INDEX('Cronograma Asistente Técnico'!$J$5:$J$1000,$N9)="","",INDEX('Cronograma Asistente Técnico'!$J$5:$J$1000,$N9))))</f>
        <v/>
      </c>
      <c r="J9" s="67">
        <f>IF($N9="","",IF($P9&gt;0,IF(4&lt;=SemanaActual,INDEX('Cronograma Asistente Técnico'!$AB$5:$AB$1000,$N9),""),IF(INDEX('Cronograma Asistente Técnico'!$K$5:$K$1000,$N9)="","",INDEX('Cronograma Asistente Técnico'!$K$5:$K$1000,$N9))))</f>
        <v/>
      </c>
      <c r="K9" s="67">
        <f>IF($N9="","",INDEX('Cronograma Asistente Técnico'!$L$5:$L$1000,$N9))</f>
        <v/>
      </c>
      <c r="L9" s="61">
        <f>IF($N9="","",IF(N($K9)&gt;=1,"Completado",IF(AND(ISNUMBER($E9),$E9&lt;FechaRef),"Vencida",IF(N($K9)&gt;0,"En curso","Pendiente"))))</f>
        <v/>
      </c>
      <c r="M9" s="70">
        <f>IF($N9="","",INDEX('Cronograma Asistente Técnico'!$N$5:$N$1000,$N9)&amp;"")</f>
        <v/>
      </c>
      <c r="N9">
        <f>IFERROR(MATCH(ROW()-4,rOrden_ATR,0),"")</f>
        <v/>
      </c>
      <c r="O9">
        <f>IF($N9="","",INDEX('Cronograma Asistente Técnico'!$S$5:$S$1000,$N9))</f>
        <v/>
      </c>
      <c r="P9">
        <f>IF($N9="","",N(INDEX('Cronograma Asistente Técnico'!$T$5:$T$1000,$N9)))</f>
        <v/>
      </c>
    </row>
    <row r="10">
      <c r="A10" s="61">
        <f>IF($N10="","",INDEX('Cronograma Asistente Técnico'!$A$5:$A$1000,$N10))</f>
        <v/>
      </c>
      <c r="B10" s="70">
        <f>IF($N10="","",IF($O10="Sub","     ↳ "&amp;INDEX('Cronograma Asistente Técnico'!$C$5:$C$1000,$N10),INDEX('Cronograma Asistente Técnico'!$B$5:$B$1000,$N10)&amp;""))</f>
        <v/>
      </c>
      <c r="C10" s="70">
        <f>IF($N10="","",INDEX('Cronograma Asistente Técnico'!$D$5:$D$1000,$N10)&amp;"")</f>
        <v/>
      </c>
      <c r="D10" s="76">
        <f>IF($N10="","",IF(INDEX('Cronograma Asistente Técnico'!$E$5:$E$1000,$N10)="","",INDEX('Cronograma Asistente Técnico'!$E$5:$E$1000,$N10)))</f>
        <v/>
      </c>
      <c r="E10" s="76">
        <f>IF($N10="","",IF(INDEX('Cronograma Asistente Técnico'!$F$5:$F$1000,$N10)="","",INDEX('Cronograma Asistente Técnico'!$F$5:$F$1000,$N10)))</f>
        <v/>
      </c>
      <c r="F10" s="61">
        <f>IF($N10="","",IF(NOT(ISNUMBER($E10)),"",IF($E10&lt;InicioCiclo,"Antes del ciclo",IF($E10&gt;=InicioCiclo+28,"Después del ciclo","Semana "&amp;(INT(($E10-InicioCiclo)/7)+1)))))</f>
        <v/>
      </c>
      <c r="G10" s="67">
        <f>IF($N10="","",IF($P10&gt;0,IF(1&lt;=SemanaActual,INDEX('Cronograma Asistente Técnico'!$Y$5:$Y$1000,$N10),""),IF(INDEX('Cronograma Asistente Técnico'!$H$5:$H$1000,$N10)="","",INDEX('Cronograma Asistente Técnico'!$H$5:$H$1000,$N10))))</f>
        <v/>
      </c>
      <c r="H10" s="67">
        <f>IF($N10="","",IF($P10&gt;0,IF(2&lt;=SemanaActual,INDEX('Cronograma Asistente Técnico'!$Z$5:$Z$1000,$N10),""),IF(INDEX('Cronograma Asistente Técnico'!$I$5:$I$1000,$N10)="","",INDEX('Cronograma Asistente Técnico'!$I$5:$I$1000,$N10))))</f>
        <v/>
      </c>
      <c r="I10" s="67">
        <f>IF($N10="","",IF($P10&gt;0,IF(3&lt;=SemanaActual,INDEX('Cronograma Asistente Técnico'!$AA$5:$AA$1000,$N10),""),IF(INDEX('Cronograma Asistente Técnico'!$J$5:$J$1000,$N10)="","",INDEX('Cronograma Asistente Técnico'!$J$5:$J$1000,$N10))))</f>
        <v/>
      </c>
      <c r="J10" s="67">
        <f>IF($N10="","",IF($P10&gt;0,IF(4&lt;=SemanaActual,INDEX('Cronograma Asistente Técnico'!$AB$5:$AB$1000,$N10),""),IF(INDEX('Cronograma Asistente Técnico'!$K$5:$K$1000,$N10)="","",INDEX('Cronograma Asistente Técnico'!$K$5:$K$1000,$N10))))</f>
        <v/>
      </c>
      <c r="K10" s="67">
        <f>IF($N10="","",INDEX('Cronograma Asistente Técnico'!$L$5:$L$1000,$N10))</f>
        <v/>
      </c>
      <c r="L10" s="61">
        <f>IF($N10="","",IF(N($K10)&gt;=1,"Completado",IF(AND(ISNUMBER($E10),$E10&lt;FechaRef),"Vencida",IF(N($K10)&gt;0,"En curso","Pendiente"))))</f>
        <v/>
      </c>
      <c r="M10" s="70">
        <f>IF($N10="","",INDEX('Cronograma Asistente Técnico'!$N$5:$N$1000,$N10)&amp;"")</f>
        <v/>
      </c>
      <c r="N10">
        <f>IFERROR(MATCH(ROW()-4,rOrden_ATR,0),"")</f>
        <v/>
      </c>
      <c r="O10">
        <f>IF($N10="","",INDEX('Cronograma Asistente Técnico'!$S$5:$S$1000,$N10))</f>
        <v/>
      </c>
      <c r="P10">
        <f>IF($N10="","",N(INDEX('Cronograma Asistente Técnico'!$T$5:$T$1000,$N10)))</f>
        <v/>
      </c>
    </row>
    <row r="11">
      <c r="A11" s="61">
        <f>IF($N11="","",INDEX('Cronograma Asistente Técnico'!$A$5:$A$1000,$N11))</f>
        <v/>
      </c>
      <c r="B11" s="70">
        <f>IF($N11="","",IF($O11="Sub","     ↳ "&amp;INDEX('Cronograma Asistente Técnico'!$C$5:$C$1000,$N11),INDEX('Cronograma Asistente Técnico'!$B$5:$B$1000,$N11)&amp;""))</f>
        <v/>
      </c>
      <c r="C11" s="70">
        <f>IF($N11="","",INDEX('Cronograma Asistente Técnico'!$D$5:$D$1000,$N11)&amp;"")</f>
        <v/>
      </c>
      <c r="D11" s="76">
        <f>IF($N11="","",IF(INDEX('Cronograma Asistente Técnico'!$E$5:$E$1000,$N11)="","",INDEX('Cronograma Asistente Técnico'!$E$5:$E$1000,$N11)))</f>
        <v/>
      </c>
      <c r="E11" s="76">
        <f>IF($N11="","",IF(INDEX('Cronograma Asistente Técnico'!$F$5:$F$1000,$N11)="","",INDEX('Cronograma Asistente Técnico'!$F$5:$F$1000,$N11)))</f>
        <v/>
      </c>
      <c r="F11" s="61">
        <f>IF($N11="","",IF(NOT(ISNUMBER($E11)),"",IF($E11&lt;InicioCiclo,"Antes del ciclo",IF($E11&gt;=InicioCiclo+28,"Después del ciclo","Semana "&amp;(INT(($E11-InicioCiclo)/7)+1)))))</f>
        <v/>
      </c>
      <c r="G11" s="67">
        <f>IF($N11="","",IF($P11&gt;0,IF(1&lt;=SemanaActual,INDEX('Cronograma Asistente Técnico'!$Y$5:$Y$1000,$N11),""),IF(INDEX('Cronograma Asistente Técnico'!$H$5:$H$1000,$N11)="","",INDEX('Cronograma Asistente Técnico'!$H$5:$H$1000,$N11))))</f>
        <v/>
      </c>
      <c r="H11" s="67">
        <f>IF($N11="","",IF($P11&gt;0,IF(2&lt;=SemanaActual,INDEX('Cronograma Asistente Técnico'!$Z$5:$Z$1000,$N11),""),IF(INDEX('Cronograma Asistente Técnico'!$I$5:$I$1000,$N11)="","",INDEX('Cronograma Asistente Técnico'!$I$5:$I$1000,$N11))))</f>
        <v/>
      </c>
      <c r="I11" s="67">
        <f>IF($N11="","",IF($P11&gt;0,IF(3&lt;=SemanaActual,INDEX('Cronograma Asistente Técnico'!$AA$5:$AA$1000,$N11),""),IF(INDEX('Cronograma Asistente Técnico'!$J$5:$J$1000,$N11)="","",INDEX('Cronograma Asistente Técnico'!$J$5:$J$1000,$N11))))</f>
        <v/>
      </c>
      <c r="J11" s="67">
        <f>IF($N11="","",IF($P11&gt;0,IF(4&lt;=SemanaActual,INDEX('Cronograma Asistente Técnico'!$AB$5:$AB$1000,$N11),""),IF(INDEX('Cronograma Asistente Técnico'!$K$5:$K$1000,$N11)="","",INDEX('Cronograma Asistente Técnico'!$K$5:$K$1000,$N11))))</f>
        <v/>
      </c>
      <c r="K11" s="67">
        <f>IF($N11="","",INDEX('Cronograma Asistente Técnico'!$L$5:$L$1000,$N11))</f>
        <v/>
      </c>
      <c r="L11" s="61">
        <f>IF($N11="","",IF(N($K11)&gt;=1,"Completado",IF(AND(ISNUMBER($E11),$E11&lt;FechaRef),"Vencida",IF(N($K11)&gt;0,"En curso","Pendiente"))))</f>
        <v/>
      </c>
      <c r="M11" s="70">
        <f>IF($N11="","",INDEX('Cronograma Asistente Técnico'!$N$5:$N$1000,$N11)&amp;"")</f>
        <v/>
      </c>
      <c r="N11">
        <f>IFERROR(MATCH(ROW()-4,rOrden_ATR,0),"")</f>
        <v/>
      </c>
      <c r="O11">
        <f>IF($N11="","",INDEX('Cronograma Asistente Técnico'!$S$5:$S$1000,$N11))</f>
        <v/>
      </c>
      <c r="P11">
        <f>IF($N11="","",N(INDEX('Cronograma Asistente Técnico'!$T$5:$T$1000,$N11)))</f>
        <v/>
      </c>
    </row>
    <row r="12">
      <c r="A12" s="61">
        <f>IF($N12="","",INDEX('Cronograma Asistente Técnico'!$A$5:$A$1000,$N12))</f>
        <v/>
      </c>
      <c r="B12" s="70">
        <f>IF($N12="","",IF($O12="Sub","     ↳ "&amp;INDEX('Cronograma Asistente Técnico'!$C$5:$C$1000,$N12),INDEX('Cronograma Asistente Técnico'!$B$5:$B$1000,$N12)&amp;""))</f>
        <v/>
      </c>
      <c r="C12" s="70">
        <f>IF($N12="","",INDEX('Cronograma Asistente Técnico'!$D$5:$D$1000,$N12)&amp;"")</f>
        <v/>
      </c>
      <c r="D12" s="76">
        <f>IF($N12="","",IF(INDEX('Cronograma Asistente Técnico'!$E$5:$E$1000,$N12)="","",INDEX('Cronograma Asistente Técnico'!$E$5:$E$1000,$N12)))</f>
        <v/>
      </c>
      <c r="E12" s="76">
        <f>IF($N12="","",IF(INDEX('Cronograma Asistente Técnico'!$F$5:$F$1000,$N12)="","",INDEX('Cronograma Asistente Técnico'!$F$5:$F$1000,$N12)))</f>
        <v/>
      </c>
      <c r="F12" s="61">
        <f>IF($N12="","",IF(NOT(ISNUMBER($E12)),"",IF($E12&lt;InicioCiclo,"Antes del ciclo",IF($E12&gt;=InicioCiclo+28,"Después del ciclo","Semana "&amp;(INT(($E12-InicioCiclo)/7)+1)))))</f>
        <v/>
      </c>
      <c r="G12" s="67">
        <f>IF($N12="","",IF($P12&gt;0,IF(1&lt;=SemanaActual,INDEX('Cronograma Asistente Técnico'!$Y$5:$Y$1000,$N12),""),IF(INDEX('Cronograma Asistente Técnico'!$H$5:$H$1000,$N12)="","",INDEX('Cronograma Asistente Técnico'!$H$5:$H$1000,$N12))))</f>
        <v/>
      </c>
      <c r="H12" s="67">
        <f>IF($N12="","",IF($P12&gt;0,IF(2&lt;=SemanaActual,INDEX('Cronograma Asistente Técnico'!$Z$5:$Z$1000,$N12),""),IF(INDEX('Cronograma Asistente Técnico'!$I$5:$I$1000,$N12)="","",INDEX('Cronograma Asistente Técnico'!$I$5:$I$1000,$N12))))</f>
        <v/>
      </c>
      <c r="I12" s="67">
        <f>IF($N12="","",IF($P12&gt;0,IF(3&lt;=SemanaActual,INDEX('Cronograma Asistente Técnico'!$AA$5:$AA$1000,$N12),""),IF(INDEX('Cronograma Asistente Técnico'!$J$5:$J$1000,$N12)="","",INDEX('Cronograma Asistente Técnico'!$J$5:$J$1000,$N12))))</f>
        <v/>
      </c>
      <c r="J12" s="67">
        <f>IF($N12="","",IF($P12&gt;0,IF(4&lt;=SemanaActual,INDEX('Cronograma Asistente Técnico'!$AB$5:$AB$1000,$N12),""),IF(INDEX('Cronograma Asistente Técnico'!$K$5:$K$1000,$N12)="","",INDEX('Cronograma Asistente Técnico'!$K$5:$K$1000,$N12))))</f>
        <v/>
      </c>
      <c r="K12" s="67">
        <f>IF($N12="","",INDEX('Cronograma Asistente Técnico'!$L$5:$L$1000,$N12))</f>
        <v/>
      </c>
      <c r="L12" s="61">
        <f>IF($N12="","",IF(N($K12)&gt;=1,"Completado",IF(AND(ISNUMBER($E12),$E12&lt;FechaRef),"Vencida",IF(N($K12)&gt;0,"En curso","Pendiente"))))</f>
        <v/>
      </c>
      <c r="M12" s="70">
        <f>IF($N12="","",INDEX('Cronograma Asistente Técnico'!$N$5:$N$1000,$N12)&amp;"")</f>
        <v/>
      </c>
      <c r="N12">
        <f>IFERROR(MATCH(ROW()-4,rOrden_ATR,0),"")</f>
        <v/>
      </c>
      <c r="O12">
        <f>IF($N12="","",INDEX('Cronograma Asistente Técnico'!$S$5:$S$1000,$N12))</f>
        <v/>
      </c>
      <c r="P12">
        <f>IF($N12="","",N(INDEX('Cronograma Asistente Técnico'!$T$5:$T$1000,$N12)))</f>
        <v/>
      </c>
    </row>
    <row r="13">
      <c r="A13" s="61">
        <f>IF($N13="","",INDEX('Cronograma Asistente Técnico'!$A$5:$A$1000,$N13))</f>
        <v/>
      </c>
      <c r="B13" s="70">
        <f>IF($N13="","",IF($O13="Sub","     ↳ "&amp;INDEX('Cronograma Asistente Técnico'!$C$5:$C$1000,$N13),INDEX('Cronograma Asistente Técnico'!$B$5:$B$1000,$N13)&amp;""))</f>
        <v/>
      </c>
      <c r="C13" s="70">
        <f>IF($N13="","",INDEX('Cronograma Asistente Técnico'!$D$5:$D$1000,$N13)&amp;"")</f>
        <v/>
      </c>
      <c r="D13" s="76">
        <f>IF($N13="","",IF(INDEX('Cronograma Asistente Técnico'!$E$5:$E$1000,$N13)="","",INDEX('Cronograma Asistente Técnico'!$E$5:$E$1000,$N13)))</f>
        <v/>
      </c>
      <c r="E13" s="76">
        <f>IF($N13="","",IF(INDEX('Cronograma Asistente Técnico'!$F$5:$F$1000,$N13)="","",INDEX('Cronograma Asistente Técnico'!$F$5:$F$1000,$N13)))</f>
        <v/>
      </c>
      <c r="F13" s="61">
        <f>IF($N13="","",IF(NOT(ISNUMBER($E13)),"",IF($E13&lt;InicioCiclo,"Antes del ciclo",IF($E13&gt;=InicioCiclo+28,"Después del ciclo","Semana "&amp;(INT(($E13-InicioCiclo)/7)+1)))))</f>
        <v/>
      </c>
      <c r="G13" s="67">
        <f>IF($N13="","",IF($P13&gt;0,IF(1&lt;=SemanaActual,INDEX('Cronograma Asistente Técnico'!$Y$5:$Y$1000,$N13),""),IF(INDEX('Cronograma Asistente Técnico'!$H$5:$H$1000,$N13)="","",INDEX('Cronograma Asistente Técnico'!$H$5:$H$1000,$N13))))</f>
        <v/>
      </c>
      <c r="H13" s="67">
        <f>IF($N13="","",IF($P13&gt;0,IF(2&lt;=SemanaActual,INDEX('Cronograma Asistente Técnico'!$Z$5:$Z$1000,$N13),""),IF(INDEX('Cronograma Asistente Técnico'!$I$5:$I$1000,$N13)="","",INDEX('Cronograma Asistente Técnico'!$I$5:$I$1000,$N13))))</f>
        <v/>
      </c>
      <c r="I13" s="67">
        <f>IF($N13="","",IF($P13&gt;0,IF(3&lt;=SemanaActual,INDEX('Cronograma Asistente Técnico'!$AA$5:$AA$1000,$N13),""),IF(INDEX('Cronograma Asistente Técnico'!$J$5:$J$1000,$N13)="","",INDEX('Cronograma Asistente Técnico'!$J$5:$J$1000,$N13))))</f>
        <v/>
      </c>
      <c r="J13" s="67">
        <f>IF($N13="","",IF($P13&gt;0,IF(4&lt;=SemanaActual,INDEX('Cronograma Asistente Técnico'!$AB$5:$AB$1000,$N13),""),IF(INDEX('Cronograma Asistente Técnico'!$K$5:$K$1000,$N13)="","",INDEX('Cronograma Asistente Técnico'!$K$5:$K$1000,$N13))))</f>
        <v/>
      </c>
      <c r="K13" s="67">
        <f>IF($N13="","",INDEX('Cronograma Asistente Técnico'!$L$5:$L$1000,$N13))</f>
        <v/>
      </c>
      <c r="L13" s="61">
        <f>IF($N13="","",IF(N($K13)&gt;=1,"Completado",IF(AND(ISNUMBER($E13),$E13&lt;FechaRef),"Vencida",IF(N($K13)&gt;0,"En curso","Pendiente"))))</f>
        <v/>
      </c>
      <c r="M13" s="70">
        <f>IF($N13="","",INDEX('Cronograma Asistente Técnico'!$N$5:$N$1000,$N13)&amp;"")</f>
        <v/>
      </c>
      <c r="N13">
        <f>IFERROR(MATCH(ROW()-4,rOrden_ATR,0),"")</f>
        <v/>
      </c>
      <c r="O13">
        <f>IF($N13="","",INDEX('Cronograma Asistente Técnico'!$S$5:$S$1000,$N13))</f>
        <v/>
      </c>
      <c r="P13">
        <f>IF($N13="","",N(INDEX('Cronograma Asistente Técnico'!$T$5:$T$1000,$N13)))</f>
        <v/>
      </c>
    </row>
    <row r="14">
      <c r="A14" s="61">
        <f>IF($N14="","",INDEX('Cronograma Asistente Técnico'!$A$5:$A$1000,$N14))</f>
        <v/>
      </c>
      <c r="B14" s="70">
        <f>IF($N14="","",IF($O14="Sub","     ↳ "&amp;INDEX('Cronograma Asistente Técnico'!$C$5:$C$1000,$N14),INDEX('Cronograma Asistente Técnico'!$B$5:$B$1000,$N14)&amp;""))</f>
        <v/>
      </c>
      <c r="C14" s="70">
        <f>IF($N14="","",INDEX('Cronograma Asistente Técnico'!$D$5:$D$1000,$N14)&amp;"")</f>
        <v/>
      </c>
      <c r="D14" s="76">
        <f>IF($N14="","",IF(INDEX('Cronograma Asistente Técnico'!$E$5:$E$1000,$N14)="","",INDEX('Cronograma Asistente Técnico'!$E$5:$E$1000,$N14)))</f>
        <v/>
      </c>
      <c r="E14" s="76">
        <f>IF($N14="","",IF(INDEX('Cronograma Asistente Técnico'!$F$5:$F$1000,$N14)="","",INDEX('Cronograma Asistente Técnico'!$F$5:$F$1000,$N14)))</f>
        <v/>
      </c>
      <c r="F14" s="61">
        <f>IF($N14="","",IF(NOT(ISNUMBER($E14)),"",IF($E14&lt;InicioCiclo,"Antes del ciclo",IF($E14&gt;=InicioCiclo+28,"Después del ciclo","Semana "&amp;(INT(($E14-InicioCiclo)/7)+1)))))</f>
        <v/>
      </c>
      <c r="G14" s="67">
        <f>IF($N14="","",IF($P14&gt;0,IF(1&lt;=SemanaActual,INDEX('Cronograma Asistente Técnico'!$Y$5:$Y$1000,$N14),""),IF(INDEX('Cronograma Asistente Técnico'!$H$5:$H$1000,$N14)="","",INDEX('Cronograma Asistente Técnico'!$H$5:$H$1000,$N14))))</f>
        <v/>
      </c>
      <c r="H14" s="67">
        <f>IF($N14="","",IF($P14&gt;0,IF(2&lt;=SemanaActual,INDEX('Cronograma Asistente Técnico'!$Z$5:$Z$1000,$N14),""),IF(INDEX('Cronograma Asistente Técnico'!$I$5:$I$1000,$N14)="","",INDEX('Cronograma Asistente Técnico'!$I$5:$I$1000,$N14))))</f>
        <v/>
      </c>
      <c r="I14" s="67">
        <f>IF($N14="","",IF($P14&gt;0,IF(3&lt;=SemanaActual,INDEX('Cronograma Asistente Técnico'!$AA$5:$AA$1000,$N14),""),IF(INDEX('Cronograma Asistente Técnico'!$J$5:$J$1000,$N14)="","",INDEX('Cronograma Asistente Técnico'!$J$5:$J$1000,$N14))))</f>
        <v/>
      </c>
      <c r="J14" s="67">
        <f>IF($N14="","",IF($P14&gt;0,IF(4&lt;=SemanaActual,INDEX('Cronograma Asistente Técnico'!$AB$5:$AB$1000,$N14),""),IF(INDEX('Cronograma Asistente Técnico'!$K$5:$K$1000,$N14)="","",INDEX('Cronograma Asistente Técnico'!$K$5:$K$1000,$N14))))</f>
        <v/>
      </c>
      <c r="K14" s="67">
        <f>IF($N14="","",INDEX('Cronograma Asistente Técnico'!$L$5:$L$1000,$N14))</f>
        <v/>
      </c>
      <c r="L14" s="61">
        <f>IF($N14="","",IF(N($K14)&gt;=1,"Completado",IF(AND(ISNUMBER($E14),$E14&lt;FechaRef),"Vencida",IF(N($K14)&gt;0,"En curso","Pendiente"))))</f>
        <v/>
      </c>
      <c r="M14" s="70">
        <f>IF($N14="","",INDEX('Cronograma Asistente Técnico'!$N$5:$N$1000,$N14)&amp;"")</f>
        <v/>
      </c>
      <c r="N14">
        <f>IFERROR(MATCH(ROW()-4,rOrden_ATR,0),"")</f>
        <v/>
      </c>
      <c r="O14">
        <f>IF($N14="","",INDEX('Cronograma Asistente Técnico'!$S$5:$S$1000,$N14))</f>
        <v/>
      </c>
      <c r="P14">
        <f>IF($N14="","",N(INDEX('Cronograma Asistente Técnico'!$T$5:$T$1000,$N14)))</f>
        <v/>
      </c>
    </row>
    <row r="15">
      <c r="A15" s="61">
        <f>IF($N15="","",INDEX('Cronograma Asistente Técnico'!$A$5:$A$1000,$N15))</f>
        <v/>
      </c>
      <c r="B15" s="70">
        <f>IF($N15="","",IF($O15="Sub","     ↳ "&amp;INDEX('Cronograma Asistente Técnico'!$C$5:$C$1000,$N15),INDEX('Cronograma Asistente Técnico'!$B$5:$B$1000,$N15)&amp;""))</f>
        <v/>
      </c>
      <c r="C15" s="70">
        <f>IF($N15="","",INDEX('Cronograma Asistente Técnico'!$D$5:$D$1000,$N15)&amp;"")</f>
        <v/>
      </c>
      <c r="D15" s="76">
        <f>IF($N15="","",IF(INDEX('Cronograma Asistente Técnico'!$E$5:$E$1000,$N15)="","",INDEX('Cronograma Asistente Técnico'!$E$5:$E$1000,$N15)))</f>
        <v/>
      </c>
      <c r="E15" s="76">
        <f>IF($N15="","",IF(INDEX('Cronograma Asistente Técnico'!$F$5:$F$1000,$N15)="","",INDEX('Cronograma Asistente Técnico'!$F$5:$F$1000,$N15)))</f>
        <v/>
      </c>
      <c r="F15" s="61">
        <f>IF($N15="","",IF(NOT(ISNUMBER($E15)),"",IF($E15&lt;InicioCiclo,"Antes del ciclo",IF($E15&gt;=InicioCiclo+28,"Después del ciclo","Semana "&amp;(INT(($E15-InicioCiclo)/7)+1)))))</f>
        <v/>
      </c>
      <c r="G15" s="67">
        <f>IF($N15="","",IF($P15&gt;0,IF(1&lt;=SemanaActual,INDEX('Cronograma Asistente Técnico'!$Y$5:$Y$1000,$N15),""),IF(INDEX('Cronograma Asistente Técnico'!$H$5:$H$1000,$N15)="","",INDEX('Cronograma Asistente Técnico'!$H$5:$H$1000,$N15))))</f>
        <v/>
      </c>
      <c r="H15" s="67">
        <f>IF($N15="","",IF($P15&gt;0,IF(2&lt;=SemanaActual,INDEX('Cronograma Asistente Técnico'!$Z$5:$Z$1000,$N15),""),IF(INDEX('Cronograma Asistente Técnico'!$I$5:$I$1000,$N15)="","",INDEX('Cronograma Asistente Técnico'!$I$5:$I$1000,$N15))))</f>
        <v/>
      </c>
      <c r="I15" s="67">
        <f>IF($N15="","",IF($P15&gt;0,IF(3&lt;=SemanaActual,INDEX('Cronograma Asistente Técnico'!$AA$5:$AA$1000,$N15),""),IF(INDEX('Cronograma Asistente Técnico'!$J$5:$J$1000,$N15)="","",INDEX('Cronograma Asistente Técnico'!$J$5:$J$1000,$N15))))</f>
        <v/>
      </c>
      <c r="J15" s="67">
        <f>IF($N15="","",IF($P15&gt;0,IF(4&lt;=SemanaActual,INDEX('Cronograma Asistente Técnico'!$AB$5:$AB$1000,$N15),""),IF(INDEX('Cronograma Asistente Técnico'!$K$5:$K$1000,$N15)="","",INDEX('Cronograma Asistente Técnico'!$K$5:$K$1000,$N15))))</f>
        <v/>
      </c>
      <c r="K15" s="67">
        <f>IF($N15="","",INDEX('Cronograma Asistente Técnico'!$L$5:$L$1000,$N15))</f>
        <v/>
      </c>
      <c r="L15" s="61">
        <f>IF($N15="","",IF(N($K15)&gt;=1,"Completado",IF(AND(ISNUMBER($E15),$E15&lt;FechaRef),"Vencida",IF(N($K15)&gt;0,"En curso","Pendiente"))))</f>
        <v/>
      </c>
      <c r="M15" s="70">
        <f>IF($N15="","",INDEX('Cronograma Asistente Técnico'!$N$5:$N$1000,$N15)&amp;"")</f>
        <v/>
      </c>
      <c r="N15">
        <f>IFERROR(MATCH(ROW()-4,rOrden_ATR,0),"")</f>
        <v/>
      </c>
      <c r="O15">
        <f>IF($N15="","",INDEX('Cronograma Asistente Técnico'!$S$5:$S$1000,$N15))</f>
        <v/>
      </c>
      <c r="P15">
        <f>IF($N15="","",N(INDEX('Cronograma Asistente Técnico'!$T$5:$T$1000,$N15)))</f>
        <v/>
      </c>
    </row>
    <row r="16">
      <c r="A16" s="61">
        <f>IF($N16="","",INDEX('Cronograma Asistente Técnico'!$A$5:$A$1000,$N16))</f>
        <v/>
      </c>
      <c r="B16" s="70">
        <f>IF($N16="","",IF($O16="Sub","     ↳ "&amp;INDEX('Cronograma Asistente Técnico'!$C$5:$C$1000,$N16),INDEX('Cronograma Asistente Técnico'!$B$5:$B$1000,$N16)&amp;""))</f>
        <v/>
      </c>
      <c r="C16" s="70">
        <f>IF($N16="","",INDEX('Cronograma Asistente Técnico'!$D$5:$D$1000,$N16)&amp;"")</f>
        <v/>
      </c>
      <c r="D16" s="76">
        <f>IF($N16="","",IF(INDEX('Cronograma Asistente Técnico'!$E$5:$E$1000,$N16)="","",INDEX('Cronograma Asistente Técnico'!$E$5:$E$1000,$N16)))</f>
        <v/>
      </c>
      <c r="E16" s="76">
        <f>IF($N16="","",IF(INDEX('Cronograma Asistente Técnico'!$F$5:$F$1000,$N16)="","",INDEX('Cronograma Asistente Técnico'!$F$5:$F$1000,$N16)))</f>
        <v/>
      </c>
      <c r="F16" s="61">
        <f>IF($N16="","",IF(NOT(ISNUMBER($E16)),"",IF($E16&lt;InicioCiclo,"Antes del ciclo",IF($E16&gt;=InicioCiclo+28,"Después del ciclo","Semana "&amp;(INT(($E16-InicioCiclo)/7)+1)))))</f>
        <v/>
      </c>
      <c r="G16" s="67">
        <f>IF($N16="","",IF($P16&gt;0,IF(1&lt;=SemanaActual,INDEX('Cronograma Asistente Técnico'!$Y$5:$Y$1000,$N16),""),IF(INDEX('Cronograma Asistente Técnico'!$H$5:$H$1000,$N16)="","",INDEX('Cronograma Asistente Técnico'!$H$5:$H$1000,$N16))))</f>
        <v/>
      </c>
      <c r="H16" s="67">
        <f>IF($N16="","",IF($P16&gt;0,IF(2&lt;=SemanaActual,INDEX('Cronograma Asistente Técnico'!$Z$5:$Z$1000,$N16),""),IF(INDEX('Cronograma Asistente Técnico'!$I$5:$I$1000,$N16)="","",INDEX('Cronograma Asistente Técnico'!$I$5:$I$1000,$N16))))</f>
        <v/>
      </c>
      <c r="I16" s="67">
        <f>IF($N16="","",IF($P16&gt;0,IF(3&lt;=SemanaActual,INDEX('Cronograma Asistente Técnico'!$AA$5:$AA$1000,$N16),""),IF(INDEX('Cronograma Asistente Técnico'!$J$5:$J$1000,$N16)="","",INDEX('Cronograma Asistente Técnico'!$J$5:$J$1000,$N16))))</f>
        <v/>
      </c>
      <c r="J16" s="67">
        <f>IF($N16="","",IF($P16&gt;0,IF(4&lt;=SemanaActual,INDEX('Cronograma Asistente Técnico'!$AB$5:$AB$1000,$N16),""),IF(INDEX('Cronograma Asistente Técnico'!$K$5:$K$1000,$N16)="","",INDEX('Cronograma Asistente Técnico'!$K$5:$K$1000,$N16))))</f>
        <v/>
      </c>
      <c r="K16" s="67">
        <f>IF($N16="","",INDEX('Cronograma Asistente Técnico'!$L$5:$L$1000,$N16))</f>
        <v/>
      </c>
      <c r="L16" s="61">
        <f>IF($N16="","",IF(N($K16)&gt;=1,"Completado",IF(AND(ISNUMBER($E16),$E16&lt;FechaRef),"Vencida",IF(N($K16)&gt;0,"En curso","Pendiente"))))</f>
        <v/>
      </c>
      <c r="M16" s="70">
        <f>IF($N16="","",INDEX('Cronograma Asistente Técnico'!$N$5:$N$1000,$N16)&amp;"")</f>
        <v/>
      </c>
      <c r="N16">
        <f>IFERROR(MATCH(ROW()-4,rOrden_ATR,0),"")</f>
        <v/>
      </c>
      <c r="O16">
        <f>IF($N16="","",INDEX('Cronograma Asistente Técnico'!$S$5:$S$1000,$N16))</f>
        <v/>
      </c>
      <c r="P16">
        <f>IF($N16="","",N(INDEX('Cronograma Asistente Técnico'!$T$5:$T$1000,$N16)))</f>
        <v/>
      </c>
    </row>
    <row r="17">
      <c r="A17" s="61">
        <f>IF($N17="","",INDEX('Cronograma Asistente Técnico'!$A$5:$A$1000,$N17))</f>
        <v/>
      </c>
      <c r="B17" s="70">
        <f>IF($N17="","",IF($O17="Sub","     ↳ "&amp;INDEX('Cronograma Asistente Técnico'!$C$5:$C$1000,$N17),INDEX('Cronograma Asistente Técnico'!$B$5:$B$1000,$N17)&amp;""))</f>
        <v/>
      </c>
      <c r="C17" s="70">
        <f>IF($N17="","",INDEX('Cronograma Asistente Técnico'!$D$5:$D$1000,$N17)&amp;"")</f>
        <v/>
      </c>
      <c r="D17" s="76">
        <f>IF($N17="","",IF(INDEX('Cronograma Asistente Técnico'!$E$5:$E$1000,$N17)="","",INDEX('Cronograma Asistente Técnico'!$E$5:$E$1000,$N17)))</f>
        <v/>
      </c>
      <c r="E17" s="76">
        <f>IF($N17="","",IF(INDEX('Cronograma Asistente Técnico'!$F$5:$F$1000,$N17)="","",INDEX('Cronograma Asistente Técnico'!$F$5:$F$1000,$N17)))</f>
        <v/>
      </c>
      <c r="F17" s="61">
        <f>IF($N17="","",IF(NOT(ISNUMBER($E17)),"",IF($E17&lt;InicioCiclo,"Antes del ciclo",IF($E17&gt;=InicioCiclo+28,"Después del ciclo","Semana "&amp;(INT(($E17-InicioCiclo)/7)+1)))))</f>
        <v/>
      </c>
      <c r="G17" s="67">
        <f>IF($N17="","",IF($P17&gt;0,IF(1&lt;=SemanaActual,INDEX('Cronograma Asistente Técnico'!$Y$5:$Y$1000,$N17),""),IF(INDEX('Cronograma Asistente Técnico'!$H$5:$H$1000,$N17)="","",INDEX('Cronograma Asistente Técnico'!$H$5:$H$1000,$N17))))</f>
        <v/>
      </c>
      <c r="H17" s="67">
        <f>IF($N17="","",IF($P17&gt;0,IF(2&lt;=SemanaActual,INDEX('Cronograma Asistente Técnico'!$Z$5:$Z$1000,$N17),""),IF(INDEX('Cronograma Asistente Técnico'!$I$5:$I$1000,$N17)="","",INDEX('Cronograma Asistente Técnico'!$I$5:$I$1000,$N17))))</f>
        <v/>
      </c>
      <c r="I17" s="67">
        <f>IF($N17="","",IF($P17&gt;0,IF(3&lt;=SemanaActual,INDEX('Cronograma Asistente Técnico'!$AA$5:$AA$1000,$N17),""),IF(INDEX('Cronograma Asistente Técnico'!$J$5:$J$1000,$N17)="","",INDEX('Cronograma Asistente Técnico'!$J$5:$J$1000,$N17))))</f>
        <v/>
      </c>
      <c r="J17" s="67">
        <f>IF($N17="","",IF($P17&gt;0,IF(4&lt;=SemanaActual,INDEX('Cronograma Asistente Técnico'!$AB$5:$AB$1000,$N17),""),IF(INDEX('Cronograma Asistente Técnico'!$K$5:$K$1000,$N17)="","",INDEX('Cronograma Asistente Técnico'!$K$5:$K$1000,$N17))))</f>
        <v/>
      </c>
      <c r="K17" s="67">
        <f>IF($N17="","",INDEX('Cronograma Asistente Técnico'!$L$5:$L$1000,$N17))</f>
        <v/>
      </c>
      <c r="L17" s="61">
        <f>IF($N17="","",IF(N($K17)&gt;=1,"Completado",IF(AND(ISNUMBER($E17),$E17&lt;FechaRef),"Vencida",IF(N($K17)&gt;0,"En curso","Pendiente"))))</f>
        <v/>
      </c>
      <c r="M17" s="70">
        <f>IF($N17="","",INDEX('Cronograma Asistente Técnico'!$N$5:$N$1000,$N17)&amp;"")</f>
        <v/>
      </c>
      <c r="N17">
        <f>IFERROR(MATCH(ROW()-4,rOrden_ATR,0),"")</f>
        <v/>
      </c>
      <c r="O17">
        <f>IF($N17="","",INDEX('Cronograma Asistente Técnico'!$S$5:$S$1000,$N17))</f>
        <v/>
      </c>
      <c r="P17">
        <f>IF($N17="","",N(INDEX('Cronograma Asistente Técnico'!$T$5:$T$1000,$N17)))</f>
        <v/>
      </c>
    </row>
    <row r="18">
      <c r="A18" s="61">
        <f>IF($N18="","",INDEX('Cronograma Asistente Técnico'!$A$5:$A$1000,$N18))</f>
        <v/>
      </c>
      <c r="B18" s="70">
        <f>IF($N18="","",IF($O18="Sub","     ↳ "&amp;INDEX('Cronograma Asistente Técnico'!$C$5:$C$1000,$N18),INDEX('Cronograma Asistente Técnico'!$B$5:$B$1000,$N18)&amp;""))</f>
        <v/>
      </c>
      <c r="C18" s="70">
        <f>IF($N18="","",INDEX('Cronograma Asistente Técnico'!$D$5:$D$1000,$N18)&amp;"")</f>
        <v/>
      </c>
      <c r="D18" s="76">
        <f>IF($N18="","",IF(INDEX('Cronograma Asistente Técnico'!$E$5:$E$1000,$N18)="","",INDEX('Cronograma Asistente Técnico'!$E$5:$E$1000,$N18)))</f>
        <v/>
      </c>
      <c r="E18" s="76">
        <f>IF($N18="","",IF(INDEX('Cronograma Asistente Técnico'!$F$5:$F$1000,$N18)="","",INDEX('Cronograma Asistente Técnico'!$F$5:$F$1000,$N18)))</f>
        <v/>
      </c>
      <c r="F18" s="61">
        <f>IF($N18="","",IF(NOT(ISNUMBER($E18)),"",IF($E18&lt;InicioCiclo,"Antes del ciclo",IF($E18&gt;=InicioCiclo+28,"Después del ciclo","Semana "&amp;(INT(($E18-InicioCiclo)/7)+1)))))</f>
        <v/>
      </c>
      <c r="G18" s="67">
        <f>IF($N18="","",IF($P18&gt;0,IF(1&lt;=SemanaActual,INDEX('Cronograma Asistente Técnico'!$Y$5:$Y$1000,$N18),""),IF(INDEX('Cronograma Asistente Técnico'!$H$5:$H$1000,$N18)="","",INDEX('Cronograma Asistente Técnico'!$H$5:$H$1000,$N18))))</f>
        <v/>
      </c>
      <c r="H18" s="67">
        <f>IF($N18="","",IF($P18&gt;0,IF(2&lt;=SemanaActual,INDEX('Cronograma Asistente Técnico'!$Z$5:$Z$1000,$N18),""),IF(INDEX('Cronograma Asistente Técnico'!$I$5:$I$1000,$N18)="","",INDEX('Cronograma Asistente Técnico'!$I$5:$I$1000,$N18))))</f>
        <v/>
      </c>
      <c r="I18" s="67">
        <f>IF($N18="","",IF($P18&gt;0,IF(3&lt;=SemanaActual,INDEX('Cronograma Asistente Técnico'!$AA$5:$AA$1000,$N18),""),IF(INDEX('Cronograma Asistente Técnico'!$J$5:$J$1000,$N18)="","",INDEX('Cronograma Asistente Técnico'!$J$5:$J$1000,$N18))))</f>
        <v/>
      </c>
      <c r="J18" s="67">
        <f>IF($N18="","",IF($P18&gt;0,IF(4&lt;=SemanaActual,INDEX('Cronograma Asistente Técnico'!$AB$5:$AB$1000,$N18),""),IF(INDEX('Cronograma Asistente Técnico'!$K$5:$K$1000,$N18)="","",INDEX('Cronograma Asistente Técnico'!$K$5:$K$1000,$N18))))</f>
        <v/>
      </c>
      <c r="K18" s="67">
        <f>IF($N18="","",INDEX('Cronograma Asistente Técnico'!$L$5:$L$1000,$N18))</f>
        <v/>
      </c>
      <c r="L18" s="61">
        <f>IF($N18="","",IF(N($K18)&gt;=1,"Completado",IF(AND(ISNUMBER($E18),$E18&lt;FechaRef),"Vencida",IF(N($K18)&gt;0,"En curso","Pendiente"))))</f>
        <v/>
      </c>
      <c r="M18" s="70">
        <f>IF($N18="","",INDEX('Cronograma Asistente Técnico'!$N$5:$N$1000,$N18)&amp;"")</f>
        <v/>
      </c>
      <c r="N18">
        <f>IFERROR(MATCH(ROW()-4,rOrden_ATR,0),"")</f>
        <v/>
      </c>
      <c r="O18">
        <f>IF($N18="","",INDEX('Cronograma Asistente Técnico'!$S$5:$S$1000,$N18))</f>
        <v/>
      </c>
      <c r="P18">
        <f>IF($N18="","",N(INDEX('Cronograma Asistente Técnico'!$T$5:$T$1000,$N18)))</f>
        <v/>
      </c>
    </row>
    <row r="19">
      <c r="A19" s="61">
        <f>IF($N19="","",INDEX('Cronograma Asistente Técnico'!$A$5:$A$1000,$N19))</f>
        <v/>
      </c>
      <c r="B19" s="70">
        <f>IF($N19="","",IF($O19="Sub","     ↳ "&amp;INDEX('Cronograma Asistente Técnico'!$C$5:$C$1000,$N19),INDEX('Cronograma Asistente Técnico'!$B$5:$B$1000,$N19)&amp;""))</f>
        <v/>
      </c>
      <c r="C19" s="70">
        <f>IF($N19="","",INDEX('Cronograma Asistente Técnico'!$D$5:$D$1000,$N19)&amp;"")</f>
        <v/>
      </c>
      <c r="D19" s="76">
        <f>IF($N19="","",IF(INDEX('Cronograma Asistente Técnico'!$E$5:$E$1000,$N19)="","",INDEX('Cronograma Asistente Técnico'!$E$5:$E$1000,$N19)))</f>
        <v/>
      </c>
      <c r="E19" s="76">
        <f>IF($N19="","",IF(INDEX('Cronograma Asistente Técnico'!$F$5:$F$1000,$N19)="","",INDEX('Cronograma Asistente Técnico'!$F$5:$F$1000,$N19)))</f>
        <v/>
      </c>
      <c r="F19" s="61">
        <f>IF($N19="","",IF(NOT(ISNUMBER($E19)),"",IF($E19&lt;InicioCiclo,"Antes del ciclo",IF($E19&gt;=InicioCiclo+28,"Después del ciclo","Semana "&amp;(INT(($E19-InicioCiclo)/7)+1)))))</f>
        <v/>
      </c>
      <c r="G19" s="67">
        <f>IF($N19="","",IF($P19&gt;0,IF(1&lt;=SemanaActual,INDEX('Cronograma Asistente Técnico'!$Y$5:$Y$1000,$N19),""),IF(INDEX('Cronograma Asistente Técnico'!$H$5:$H$1000,$N19)="","",INDEX('Cronograma Asistente Técnico'!$H$5:$H$1000,$N19))))</f>
        <v/>
      </c>
      <c r="H19" s="67">
        <f>IF($N19="","",IF($P19&gt;0,IF(2&lt;=SemanaActual,INDEX('Cronograma Asistente Técnico'!$Z$5:$Z$1000,$N19),""),IF(INDEX('Cronograma Asistente Técnico'!$I$5:$I$1000,$N19)="","",INDEX('Cronograma Asistente Técnico'!$I$5:$I$1000,$N19))))</f>
        <v/>
      </c>
      <c r="I19" s="67">
        <f>IF($N19="","",IF($P19&gt;0,IF(3&lt;=SemanaActual,INDEX('Cronograma Asistente Técnico'!$AA$5:$AA$1000,$N19),""),IF(INDEX('Cronograma Asistente Técnico'!$J$5:$J$1000,$N19)="","",INDEX('Cronograma Asistente Técnico'!$J$5:$J$1000,$N19))))</f>
        <v/>
      </c>
      <c r="J19" s="67">
        <f>IF($N19="","",IF($P19&gt;0,IF(4&lt;=SemanaActual,INDEX('Cronograma Asistente Técnico'!$AB$5:$AB$1000,$N19),""),IF(INDEX('Cronograma Asistente Técnico'!$K$5:$K$1000,$N19)="","",INDEX('Cronograma Asistente Técnico'!$K$5:$K$1000,$N19))))</f>
        <v/>
      </c>
      <c r="K19" s="67">
        <f>IF($N19="","",INDEX('Cronograma Asistente Técnico'!$L$5:$L$1000,$N19))</f>
        <v/>
      </c>
      <c r="L19" s="61">
        <f>IF($N19="","",IF(N($K19)&gt;=1,"Completado",IF(AND(ISNUMBER($E19),$E19&lt;FechaRef),"Vencida",IF(N($K19)&gt;0,"En curso","Pendiente"))))</f>
        <v/>
      </c>
      <c r="M19" s="70">
        <f>IF($N19="","",INDEX('Cronograma Asistente Técnico'!$N$5:$N$1000,$N19)&amp;"")</f>
        <v/>
      </c>
      <c r="N19">
        <f>IFERROR(MATCH(ROW()-4,rOrden_ATR,0),"")</f>
        <v/>
      </c>
      <c r="O19">
        <f>IF($N19="","",INDEX('Cronograma Asistente Técnico'!$S$5:$S$1000,$N19))</f>
        <v/>
      </c>
      <c r="P19">
        <f>IF($N19="","",N(INDEX('Cronograma Asistente Técnico'!$T$5:$T$1000,$N19)))</f>
        <v/>
      </c>
    </row>
    <row r="20">
      <c r="A20" s="61">
        <f>IF($N20="","",INDEX('Cronograma Asistente Técnico'!$A$5:$A$1000,$N20))</f>
        <v/>
      </c>
      <c r="B20" s="70">
        <f>IF($N20="","",IF($O20="Sub","     ↳ "&amp;INDEX('Cronograma Asistente Técnico'!$C$5:$C$1000,$N20),INDEX('Cronograma Asistente Técnico'!$B$5:$B$1000,$N20)&amp;""))</f>
        <v/>
      </c>
      <c r="C20" s="70">
        <f>IF($N20="","",INDEX('Cronograma Asistente Técnico'!$D$5:$D$1000,$N20)&amp;"")</f>
        <v/>
      </c>
      <c r="D20" s="76">
        <f>IF($N20="","",IF(INDEX('Cronograma Asistente Técnico'!$E$5:$E$1000,$N20)="","",INDEX('Cronograma Asistente Técnico'!$E$5:$E$1000,$N20)))</f>
        <v/>
      </c>
      <c r="E20" s="76">
        <f>IF($N20="","",IF(INDEX('Cronograma Asistente Técnico'!$F$5:$F$1000,$N20)="","",INDEX('Cronograma Asistente Técnico'!$F$5:$F$1000,$N20)))</f>
        <v/>
      </c>
      <c r="F20" s="61">
        <f>IF($N20="","",IF(NOT(ISNUMBER($E20)),"",IF($E20&lt;InicioCiclo,"Antes del ciclo",IF($E20&gt;=InicioCiclo+28,"Después del ciclo","Semana "&amp;(INT(($E20-InicioCiclo)/7)+1)))))</f>
        <v/>
      </c>
      <c r="G20" s="67">
        <f>IF($N20="","",IF($P20&gt;0,IF(1&lt;=SemanaActual,INDEX('Cronograma Asistente Técnico'!$Y$5:$Y$1000,$N20),""),IF(INDEX('Cronograma Asistente Técnico'!$H$5:$H$1000,$N20)="","",INDEX('Cronograma Asistente Técnico'!$H$5:$H$1000,$N20))))</f>
        <v/>
      </c>
      <c r="H20" s="67">
        <f>IF($N20="","",IF($P20&gt;0,IF(2&lt;=SemanaActual,INDEX('Cronograma Asistente Técnico'!$Z$5:$Z$1000,$N20),""),IF(INDEX('Cronograma Asistente Técnico'!$I$5:$I$1000,$N20)="","",INDEX('Cronograma Asistente Técnico'!$I$5:$I$1000,$N20))))</f>
        <v/>
      </c>
      <c r="I20" s="67">
        <f>IF($N20="","",IF($P20&gt;0,IF(3&lt;=SemanaActual,INDEX('Cronograma Asistente Técnico'!$AA$5:$AA$1000,$N20),""),IF(INDEX('Cronograma Asistente Técnico'!$J$5:$J$1000,$N20)="","",INDEX('Cronograma Asistente Técnico'!$J$5:$J$1000,$N20))))</f>
        <v/>
      </c>
      <c r="J20" s="67">
        <f>IF($N20="","",IF($P20&gt;0,IF(4&lt;=SemanaActual,INDEX('Cronograma Asistente Técnico'!$AB$5:$AB$1000,$N20),""),IF(INDEX('Cronograma Asistente Técnico'!$K$5:$K$1000,$N20)="","",INDEX('Cronograma Asistente Técnico'!$K$5:$K$1000,$N20))))</f>
        <v/>
      </c>
      <c r="K20" s="67">
        <f>IF($N20="","",INDEX('Cronograma Asistente Técnico'!$L$5:$L$1000,$N20))</f>
        <v/>
      </c>
      <c r="L20" s="61">
        <f>IF($N20="","",IF(N($K20)&gt;=1,"Completado",IF(AND(ISNUMBER($E20),$E20&lt;FechaRef),"Vencida",IF(N($K20)&gt;0,"En curso","Pendiente"))))</f>
        <v/>
      </c>
      <c r="M20" s="70">
        <f>IF($N20="","",INDEX('Cronograma Asistente Técnico'!$N$5:$N$1000,$N20)&amp;"")</f>
        <v/>
      </c>
      <c r="N20">
        <f>IFERROR(MATCH(ROW()-4,rOrden_ATR,0),"")</f>
        <v/>
      </c>
      <c r="O20">
        <f>IF($N20="","",INDEX('Cronograma Asistente Técnico'!$S$5:$S$1000,$N20))</f>
        <v/>
      </c>
      <c r="P20">
        <f>IF($N20="","",N(INDEX('Cronograma Asistente Técnico'!$T$5:$T$1000,$N20)))</f>
        <v/>
      </c>
    </row>
    <row r="21">
      <c r="A21" s="61">
        <f>IF($N21="","",INDEX('Cronograma Asistente Técnico'!$A$5:$A$1000,$N21))</f>
        <v/>
      </c>
      <c r="B21" s="70">
        <f>IF($N21="","",IF($O21="Sub","     ↳ "&amp;INDEX('Cronograma Asistente Técnico'!$C$5:$C$1000,$N21),INDEX('Cronograma Asistente Técnico'!$B$5:$B$1000,$N21)&amp;""))</f>
        <v/>
      </c>
      <c r="C21" s="70">
        <f>IF($N21="","",INDEX('Cronograma Asistente Técnico'!$D$5:$D$1000,$N21)&amp;"")</f>
        <v/>
      </c>
      <c r="D21" s="76">
        <f>IF($N21="","",IF(INDEX('Cronograma Asistente Técnico'!$E$5:$E$1000,$N21)="","",INDEX('Cronograma Asistente Técnico'!$E$5:$E$1000,$N21)))</f>
        <v/>
      </c>
      <c r="E21" s="76">
        <f>IF($N21="","",IF(INDEX('Cronograma Asistente Técnico'!$F$5:$F$1000,$N21)="","",INDEX('Cronograma Asistente Técnico'!$F$5:$F$1000,$N21)))</f>
        <v/>
      </c>
      <c r="F21" s="61">
        <f>IF($N21="","",IF(NOT(ISNUMBER($E21)),"",IF($E21&lt;InicioCiclo,"Antes del ciclo",IF($E21&gt;=InicioCiclo+28,"Después del ciclo","Semana "&amp;(INT(($E21-InicioCiclo)/7)+1)))))</f>
        <v/>
      </c>
      <c r="G21" s="67">
        <f>IF($N21="","",IF($P21&gt;0,IF(1&lt;=SemanaActual,INDEX('Cronograma Asistente Técnico'!$Y$5:$Y$1000,$N21),""),IF(INDEX('Cronograma Asistente Técnico'!$H$5:$H$1000,$N21)="","",INDEX('Cronograma Asistente Técnico'!$H$5:$H$1000,$N21))))</f>
        <v/>
      </c>
      <c r="H21" s="67">
        <f>IF($N21="","",IF($P21&gt;0,IF(2&lt;=SemanaActual,INDEX('Cronograma Asistente Técnico'!$Z$5:$Z$1000,$N21),""),IF(INDEX('Cronograma Asistente Técnico'!$I$5:$I$1000,$N21)="","",INDEX('Cronograma Asistente Técnico'!$I$5:$I$1000,$N21))))</f>
        <v/>
      </c>
      <c r="I21" s="67">
        <f>IF($N21="","",IF($P21&gt;0,IF(3&lt;=SemanaActual,INDEX('Cronograma Asistente Técnico'!$AA$5:$AA$1000,$N21),""),IF(INDEX('Cronograma Asistente Técnico'!$J$5:$J$1000,$N21)="","",INDEX('Cronograma Asistente Técnico'!$J$5:$J$1000,$N21))))</f>
        <v/>
      </c>
      <c r="J21" s="67">
        <f>IF($N21="","",IF($P21&gt;0,IF(4&lt;=SemanaActual,INDEX('Cronograma Asistente Técnico'!$AB$5:$AB$1000,$N21),""),IF(INDEX('Cronograma Asistente Técnico'!$K$5:$K$1000,$N21)="","",INDEX('Cronograma Asistente Técnico'!$K$5:$K$1000,$N21))))</f>
        <v/>
      </c>
      <c r="K21" s="67">
        <f>IF($N21="","",INDEX('Cronograma Asistente Técnico'!$L$5:$L$1000,$N21))</f>
        <v/>
      </c>
      <c r="L21" s="61">
        <f>IF($N21="","",IF(N($K21)&gt;=1,"Completado",IF(AND(ISNUMBER($E21),$E21&lt;FechaRef),"Vencida",IF(N($K21)&gt;0,"En curso","Pendiente"))))</f>
        <v/>
      </c>
      <c r="M21" s="70">
        <f>IF($N21="","",INDEX('Cronograma Asistente Técnico'!$N$5:$N$1000,$N21)&amp;"")</f>
        <v/>
      </c>
      <c r="N21">
        <f>IFERROR(MATCH(ROW()-4,rOrden_ATR,0),"")</f>
        <v/>
      </c>
      <c r="O21">
        <f>IF($N21="","",INDEX('Cronograma Asistente Técnico'!$S$5:$S$1000,$N21))</f>
        <v/>
      </c>
      <c r="P21">
        <f>IF($N21="","",N(INDEX('Cronograma Asistente Técnico'!$T$5:$T$1000,$N21)))</f>
        <v/>
      </c>
    </row>
    <row r="22">
      <c r="A22" s="61">
        <f>IF($N22="","",INDEX('Cronograma Asistente Técnico'!$A$5:$A$1000,$N22))</f>
        <v/>
      </c>
      <c r="B22" s="70">
        <f>IF($N22="","",IF($O22="Sub","     ↳ "&amp;INDEX('Cronograma Asistente Técnico'!$C$5:$C$1000,$N22),INDEX('Cronograma Asistente Técnico'!$B$5:$B$1000,$N22)&amp;""))</f>
        <v/>
      </c>
      <c r="C22" s="70">
        <f>IF($N22="","",INDEX('Cronograma Asistente Técnico'!$D$5:$D$1000,$N22)&amp;"")</f>
        <v/>
      </c>
      <c r="D22" s="76">
        <f>IF($N22="","",IF(INDEX('Cronograma Asistente Técnico'!$E$5:$E$1000,$N22)="","",INDEX('Cronograma Asistente Técnico'!$E$5:$E$1000,$N22)))</f>
        <v/>
      </c>
      <c r="E22" s="76">
        <f>IF($N22="","",IF(INDEX('Cronograma Asistente Técnico'!$F$5:$F$1000,$N22)="","",INDEX('Cronograma Asistente Técnico'!$F$5:$F$1000,$N22)))</f>
        <v/>
      </c>
      <c r="F22" s="61">
        <f>IF($N22="","",IF(NOT(ISNUMBER($E22)),"",IF($E22&lt;InicioCiclo,"Antes del ciclo",IF($E22&gt;=InicioCiclo+28,"Después del ciclo","Semana "&amp;(INT(($E22-InicioCiclo)/7)+1)))))</f>
        <v/>
      </c>
      <c r="G22" s="67">
        <f>IF($N22="","",IF($P22&gt;0,IF(1&lt;=SemanaActual,INDEX('Cronograma Asistente Técnico'!$Y$5:$Y$1000,$N22),""),IF(INDEX('Cronograma Asistente Técnico'!$H$5:$H$1000,$N22)="","",INDEX('Cronograma Asistente Técnico'!$H$5:$H$1000,$N22))))</f>
        <v/>
      </c>
      <c r="H22" s="67">
        <f>IF($N22="","",IF($P22&gt;0,IF(2&lt;=SemanaActual,INDEX('Cronograma Asistente Técnico'!$Z$5:$Z$1000,$N22),""),IF(INDEX('Cronograma Asistente Técnico'!$I$5:$I$1000,$N22)="","",INDEX('Cronograma Asistente Técnico'!$I$5:$I$1000,$N22))))</f>
        <v/>
      </c>
      <c r="I22" s="67">
        <f>IF($N22="","",IF($P22&gt;0,IF(3&lt;=SemanaActual,INDEX('Cronograma Asistente Técnico'!$AA$5:$AA$1000,$N22),""),IF(INDEX('Cronograma Asistente Técnico'!$J$5:$J$1000,$N22)="","",INDEX('Cronograma Asistente Técnico'!$J$5:$J$1000,$N22))))</f>
        <v/>
      </c>
      <c r="J22" s="67">
        <f>IF($N22="","",IF($P22&gt;0,IF(4&lt;=SemanaActual,INDEX('Cronograma Asistente Técnico'!$AB$5:$AB$1000,$N22),""),IF(INDEX('Cronograma Asistente Técnico'!$K$5:$K$1000,$N22)="","",INDEX('Cronograma Asistente Técnico'!$K$5:$K$1000,$N22))))</f>
        <v/>
      </c>
      <c r="K22" s="67">
        <f>IF($N22="","",INDEX('Cronograma Asistente Técnico'!$L$5:$L$1000,$N22))</f>
        <v/>
      </c>
      <c r="L22" s="61">
        <f>IF($N22="","",IF(N($K22)&gt;=1,"Completado",IF(AND(ISNUMBER($E22),$E22&lt;FechaRef),"Vencida",IF(N($K22)&gt;0,"En curso","Pendiente"))))</f>
        <v/>
      </c>
      <c r="M22" s="70">
        <f>IF($N22="","",INDEX('Cronograma Asistente Técnico'!$N$5:$N$1000,$N22)&amp;"")</f>
        <v/>
      </c>
      <c r="N22">
        <f>IFERROR(MATCH(ROW()-4,rOrden_ATR,0),"")</f>
        <v/>
      </c>
      <c r="O22">
        <f>IF($N22="","",INDEX('Cronograma Asistente Técnico'!$S$5:$S$1000,$N22))</f>
        <v/>
      </c>
      <c r="P22">
        <f>IF($N22="","",N(INDEX('Cronograma Asistente Técnico'!$T$5:$T$1000,$N22)))</f>
        <v/>
      </c>
    </row>
    <row r="23">
      <c r="A23" s="61">
        <f>IF($N23="","",INDEX('Cronograma Asistente Técnico'!$A$5:$A$1000,$N23))</f>
        <v/>
      </c>
      <c r="B23" s="70">
        <f>IF($N23="","",IF($O23="Sub","     ↳ "&amp;INDEX('Cronograma Asistente Técnico'!$C$5:$C$1000,$N23),INDEX('Cronograma Asistente Técnico'!$B$5:$B$1000,$N23)&amp;""))</f>
        <v/>
      </c>
      <c r="C23" s="70">
        <f>IF($N23="","",INDEX('Cronograma Asistente Técnico'!$D$5:$D$1000,$N23)&amp;"")</f>
        <v/>
      </c>
      <c r="D23" s="76">
        <f>IF($N23="","",IF(INDEX('Cronograma Asistente Técnico'!$E$5:$E$1000,$N23)="","",INDEX('Cronograma Asistente Técnico'!$E$5:$E$1000,$N23)))</f>
        <v/>
      </c>
      <c r="E23" s="76">
        <f>IF($N23="","",IF(INDEX('Cronograma Asistente Técnico'!$F$5:$F$1000,$N23)="","",INDEX('Cronograma Asistente Técnico'!$F$5:$F$1000,$N23)))</f>
        <v/>
      </c>
      <c r="F23" s="61">
        <f>IF($N23="","",IF(NOT(ISNUMBER($E23)),"",IF($E23&lt;InicioCiclo,"Antes del ciclo",IF($E23&gt;=InicioCiclo+28,"Después del ciclo","Semana "&amp;(INT(($E23-InicioCiclo)/7)+1)))))</f>
        <v/>
      </c>
      <c r="G23" s="67">
        <f>IF($N23="","",IF($P23&gt;0,IF(1&lt;=SemanaActual,INDEX('Cronograma Asistente Técnico'!$Y$5:$Y$1000,$N23),""),IF(INDEX('Cronograma Asistente Técnico'!$H$5:$H$1000,$N23)="","",INDEX('Cronograma Asistente Técnico'!$H$5:$H$1000,$N23))))</f>
        <v/>
      </c>
      <c r="H23" s="67">
        <f>IF($N23="","",IF($P23&gt;0,IF(2&lt;=SemanaActual,INDEX('Cronograma Asistente Técnico'!$Z$5:$Z$1000,$N23),""),IF(INDEX('Cronograma Asistente Técnico'!$I$5:$I$1000,$N23)="","",INDEX('Cronograma Asistente Técnico'!$I$5:$I$1000,$N23))))</f>
        <v/>
      </c>
      <c r="I23" s="67">
        <f>IF($N23="","",IF($P23&gt;0,IF(3&lt;=SemanaActual,INDEX('Cronograma Asistente Técnico'!$AA$5:$AA$1000,$N23),""),IF(INDEX('Cronograma Asistente Técnico'!$J$5:$J$1000,$N23)="","",INDEX('Cronograma Asistente Técnico'!$J$5:$J$1000,$N23))))</f>
        <v/>
      </c>
      <c r="J23" s="67">
        <f>IF($N23="","",IF($P23&gt;0,IF(4&lt;=SemanaActual,INDEX('Cronograma Asistente Técnico'!$AB$5:$AB$1000,$N23),""),IF(INDEX('Cronograma Asistente Técnico'!$K$5:$K$1000,$N23)="","",INDEX('Cronograma Asistente Técnico'!$K$5:$K$1000,$N23))))</f>
        <v/>
      </c>
      <c r="K23" s="67">
        <f>IF($N23="","",INDEX('Cronograma Asistente Técnico'!$L$5:$L$1000,$N23))</f>
        <v/>
      </c>
      <c r="L23" s="61">
        <f>IF($N23="","",IF(N($K23)&gt;=1,"Completado",IF(AND(ISNUMBER($E23),$E23&lt;FechaRef),"Vencida",IF(N($K23)&gt;0,"En curso","Pendiente"))))</f>
        <v/>
      </c>
      <c r="M23" s="70">
        <f>IF($N23="","",INDEX('Cronograma Asistente Técnico'!$N$5:$N$1000,$N23)&amp;"")</f>
        <v/>
      </c>
      <c r="N23">
        <f>IFERROR(MATCH(ROW()-4,rOrden_ATR,0),"")</f>
        <v/>
      </c>
      <c r="O23">
        <f>IF($N23="","",INDEX('Cronograma Asistente Técnico'!$S$5:$S$1000,$N23))</f>
        <v/>
      </c>
      <c r="P23">
        <f>IF($N23="","",N(INDEX('Cronograma Asistente Técnico'!$T$5:$T$1000,$N23)))</f>
        <v/>
      </c>
    </row>
    <row r="24">
      <c r="A24" s="61">
        <f>IF($N24="","",INDEX('Cronograma Asistente Técnico'!$A$5:$A$1000,$N24))</f>
        <v/>
      </c>
      <c r="B24" s="70">
        <f>IF($N24="","",IF($O24="Sub","     ↳ "&amp;INDEX('Cronograma Asistente Técnico'!$C$5:$C$1000,$N24),INDEX('Cronograma Asistente Técnico'!$B$5:$B$1000,$N24)&amp;""))</f>
        <v/>
      </c>
      <c r="C24" s="70">
        <f>IF($N24="","",INDEX('Cronograma Asistente Técnico'!$D$5:$D$1000,$N24)&amp;"")</f>
        <v/>
      </c>
      <c r="D24" s="76">
        <f>IF($N24="","",IF(INDEX('Cronograma Asistente Técnico'!$E$5:$E$1000,$N24)="","",INDEX('Cronograma Asistente Técnico'!$E$5:$E$1000,$N24)))</f>
        <v/>
      </c>
      <c r="E24" s="76">
        <f>IF($N24="","",IF(INDEX('Cronograma Asistente Técnico'!$F$5:$F$1000,$N24)="","",INDEX('Cronograma Asistente Técnico'!$F$5:$F$1000,$N24)))</f>
        <v/>
      </c>
      <c r="F24" s="61">
        <f>IF($N24="","",IF(NOT(ISNUMBER($E24)),"",IF($E24&lt;InicioCiclo,"Antes del ciclo",IF($E24&gt;=InicioCiclo+28,"Después del ciclo","Semana "&amp;(INT(($E24-InicioCiclo)/7)+1)))))</f>
        <v/>
      </c>
      <c r="G24" s="67">
        <f>IF($N24="","",IF($P24&gt;0,IF(1&lt;=SemanaActual,INDEX('Cronograma Asistente Técnico'!$Y$5:$Y$1000,$N24),""),IF(INDEX('Cronograma Asistente Técnico'!$H$5:$H$1000,$N24)="","",INDEX('Cronograma Asistente Técnico'!$H$5:$H$1000,$N24))))</f>
        <v/>
      </c>
      <c r="H24" s="67">
        <f>IF($N24="","",IF($P24&gt;0,IF(2&lt;=SemanaActual,INDEX('Cronograma Asistente Técnico'!$Z$5:$Z$1000,$N24),""),IF(INDEX('Cronograma Asistente Técnico'!$I$5:$I$1000,$N24)="","",INDEX('Cronograma Asistente Técnico'!$I$5:$I$1000,$N24))))</f>
        <v/>
      </c>
      <c r="I24" s="67">
        <f>IF($N24="","",IF($P24&gt;0,IF(3&lt;=SemanaActual,INDEX('Cronograma Asistente Técnico'!$AA$5:$AA$1000,$N24),""),IF(INDEX('Cronograma Asistente Técnico'!$J$5:$J$1000,$N24)="","",INDEX('Cronograma Asistente Técnico'!$J$5:$J$1000,$N24))))</f>
        <v/>
      </c>
      <c r="J24" s="67">
        <f>IF($N24="","",IF($P24&gt;0,IF(4&lt;=SemanaActual,INDEX('Cronograma Asistente Técnico'!$AB$5:$AB$1000,$N24),""),IF(INDEX('Cronograma Asistente Técnico'!$K$5:$K$1000,$N24)="","",INDEX('Cronograma Asistente Técnico'!$K$5:$K$1000,$N24))))</f>
        <v/>
      </c>
      <c r="K24" s="67">
        <f>IF($N24="","",INDEX('Cronograma Asistente Técnico'!$L$5:$L$1000,$N24))</f>
        <v/>
      </c>
      <c r="L24" s="61">
        <f>IF($N24="","",IF(N($K24)&gt;=1,"Completado",IF(AND(ISNUMBER($E24),$E24&lt;FechaRef),"Vencida",IF(N($K24)&gt;0,"En curso","Pendiente"))))</f>
        <v/>
      </c>
      <c r="M24" s="70">
        <f>IF($N24="","",INDEX('Cronograma Asistente Técnico'!$N$5:$N$1000,$N24)&amp;"")</f>
        <v/>
      </c>
      <c r="N24">
        <f>IFERROR(MATCH(ROW()-4,rOrden_ATR,0),"")</f>
        <v/>
      </c>
      <c r="O24">
        <f>IF($N24="","",INDEX('Cronograma Asistente Técnico'!$S$5:$S$1000,$N24))</f>
        <v/>
      </c>
      <c r="P24">
        <f>IF($N24="","",N(INDEX('Cronograma Asistente Técnico'!$T$5:$T$1000,$N24)))</f>
        <v/>
      </c>
    </row>
    <row r="25">
      <c r="A25" s="61">
        <f>IF($N25="","",INDEX('Cronograma Asistente Técnico'!$A$5:$A$1000,$N25))</f>
        <v/>
      </c>
      <c r="B25" s="70">
        <f>IF($N25="","",IF($O25="Sub","     ↳ "&amp;INDEX('Cronograma Asistente Técnico'!$C$5:$C$1000,$N25),INDEX('Cronograma Asistente Técnico'!$B$5:$B$1000,$N25)&amp;""))</f>
        <v/>
      </c>
      <c r="C25" s="70">
        <f>IF($N25="","",INDEX('Cronograma Asistente Técnico'!$D$5:$D$1000,$N25)&amp;"")</f>
        <v/>
      </c>
      <c r="D25" s="76">
        <f>IF($N25="","",IF(INDEX('Cronograma Asistente Técnico'!$E$5:$E$1000,$N25)="","",INDEX('Cronograma Asistente Técnico'!$E$5:$E$1000,$N25)))</f>
        <v/>
      </c>
      <c r="E25" s="76">
        <f>IF($N25="","",IF(INDEX('Cronograma Asistente Técnico'!$F$5:$F$1000,$N25)="","",INDEX('Cronograma Asistente Técnico'!$F$5:$F$1000,$N25)))</f>
        <v/>
      </c>
      <c r="F25" s="61">
        <f>IF($N25="","",IF(NOT(ISNUMBER($E25)),"",IF($E25&lt;InicioCiclo,"Antes del ciclo",IF($E25&gt;=InicioCiclo+28,"Después del ciclo","Semana "&amp;(INT(($E25-InicioCiclo)/7)+1)))))</f>
        <v/>
      </c>
      <c r="G25" s="67">
        <f>IF($N25="","",IF($P25&gt;0,IF(1&lt;=SemanaActual,INDEX('Cronograma Asistente Técnico'!$Y$5:$Y$1000,$N25),""),IF(INDEX('Cronograma Asistente Técnico'!$H$5:$H$1000,$N25)="","",INDEX('Cronograma Asistente Técnico'!$H$5:$H$1000,$N25))))</f>
        <v/>
      </c>
      <c r="H25" s="67">
        <f>IF($N25="","",IF($P25&gt;0,IF(2&lt;=SemanaActual,INDEX('Cronograma Asistente Técnico'!$Z$5:$Z$1000,$N25),""),IF(INDEX('Cronograma Asistente Técnico'!$I$5:$I$1000,$N25)="","",INDEX('Cronograma Asistente Técnico'!$I$5:$I$1000,$N25))))</f>
        <v/>
      </c>
      <c r="I25" s="67">
        <f>IF($N25="","",IF($P25&gt;0,IF(3&lt;=SemanaActual,INDEX('Cronograma Asistente Técnico'!$AA$5:$AA$1000,$N25),""),IF(INDEX('Cronograma Asistente Técnico'!$J$5:$J$1000,$N25)="","",INDEX('Cronograma Asistente Técnico'!$J$5:$J$1000,$N25))))</f>
        <v/>
      </c>
      <c r="J25" s="67">
        <f>IF($N25="","",IF($P25&gt;0,IF(4&lt;=SemanaActual,INDEX('Cronograma Asistente Técnico'!$AB$5:$AB$1000,$N25),""),IF(INDEX('Cronograma Asistente Técnico'!$K$5:$K$1000,$N25)="","",INDEX('Cronograma Asistente Técnico'!$K$5:$K$1000,$N25))))</f>
        <v/>
      </c>
      <c r="K25" s="67">
        <f>IF($N25="","",INDEX('Cronograma Asistente Técnico'!$L$5:$L$1000,$N25))</f>
        <v/>
      </c>
      <c r="L25" s="61">
        <f>IF($N25="","",IF(N($K25)&gt;=1,"Completado",IF(AND(ISNUMBER($E25),$E25&lt;FechaRef),"Vencida",IF(N($K25)&gt;0,"En curso","Pendiente"))))</f>
        <v/>
      </c>
      <c r="M25" s="70">
        <f>IF($N25="","",INDEX('Cronograma Asistente Técnico'!$N$5:$N$1000,$N25)&amp;"")</f>
        <v/>
      </c>
      <c r="N25">
        <f>IFERROR(MATCH(ROW()-4,rOrden_ATR,0),"")</f>
        <v/>
      </c>
      <c r="O25">
        <f>IF($N25="","",INDEX('Cronograma Asistente Técnico'!$S$5:$S$1000,$N25))</f>
        <v/>
      </c>
      <c r="P25">
        <f>IF($N25="","",N(INDEX('Cronograma Asistente Técnico'!$T$5:$T$1000,$N25)))</f>
        <v/>
      </c>
    </row>
    <row r="26">
      <c r="A26" s="61">
        <f>IF($N26="","",INDEX('Cronograma Asistente Técnico'!$A$5:$A$1000,$N26))</f>
        <v/>
      </c>
      <c r="B26" s="70">
        <f>IF($N26="","",IF($O26="Sub","     ↳ "&amp;INDEX('Cronograma Asistente Técnico'!$C$5:$C$1000,$N26),INDEX('Cronograma Asistente Técnico'!$B$5:$B$1000,$N26)&amp;""))</f>
        <v/>
      </c>
      <c r="C26" s="70">
        <f>IF($N26="","",INDEX('Cronograma Asistente Técnico'!$D$5:$D$1000,$N26)&amp;"")</f>
        <v/>
      </c>
      <c r="D26" s="76">
        <f>IF($N26="","",IF(INDEX('Cronograma Asistente Técnico'!$E$5:$E$1000,$N26)="","",INDEX('Cronograma Asistente Técnico'!$E$5:$E$1000,$N26)))</f>
        <v/>
      </c>
      <c r="E26" s="76">
        <f>IF($N26="","",IF(INDEX('Cronograma Asistente Técnico'!$F$5:$F$1000,$N26)="","",INDEX('Cronograma Asistente Técnico'!$F$5:$F$1000,$N26)))</f>
        <v/>
      </c>
      <c r="F26" s="61">
        <f>IF($N26="","",IF(NOT(ISNUMBER($E26)),"",IF($E26&lt;InicioCiclo,"Antes del ciclo",IF($E26&gt;=InicioCiclo+28,"Después del ciclo","Semana "&amp;(INT(($E26-InicioCiclo)/7)+1)))))</f>
        <v/>
      </c>
      <c r="G26" s="67">
        <f>IF($N26="","",IF($P26&gt;0,IF(1&lt;=SemanaActual,INDEX('Cronograma Asistente Técnico'!$Y$5:$Y$1000,$N26),""),IF(INDEX('Cronograma Asistente Técnico'!$H$5:$H$1000,$N26)="","",INDEX('Cronograma Asistente Técnico'!$H$5:$H$1000,$N26))))</f>
        <v/>
      </c>
      <c r="H26" s="67">
        <f>IF($N26="","",IF($P26&gt;0,IF(2&lt;=SemanaActual,INDEX('Cronograma Asistente Técnico'!$Z$5:$Z$1000,$N26),""),IF(INDEX('Cronograma Asistente Técnico'!$I$5:$I$1000,$N26)="","",INDEX('Cronograma Asistente Técnico'!$I$5:$I$1000,$N26))))</f>
        <v/>
      </c>
      <c r="I26" s="67">
        <f>IF($N26="","",IF($P26&gt;0,IF(3&lt;=SemanaActual,INDEX('Cronograma Asistente Técnico'!$AA$5:$AA$1000,$N26),""),IF(INDEX('Cronograma Asistente Técnico'!$J$5:$J$1000,$N26)="","",INDEX('Cronograma Asistente Técnico'!$J$5:$J$1000,$N26))))</f>
        <v/>
      </c>
      <c r="J26" s="67">
        <f>IF($N26="","",IF($P26&gt;0,IF(4&lt;=SemanaActual,INDEX('Cronograma Asistente Técnico'!$AB$5:$AB$1000,$N26),""),IF(INDEX('Cronograma Asistente Técnico'!$K$5:$K$1000,$N26)="","",INDEX('Cronograma Asistente Técnico'!$K$5:$K$1000,$N26))))</f>
        <v/>
      </c>
      <c r="K26" s="67">
        <f>IF($N26="","",INDEX('Cronograma Asistente Técnico'!$L$5:$L$1000,$N26))</f>
        <v/>
      </c>
      <c r="L26" s="61">
        <f>IF($N26="","",IF(N($K26)&gt;=1,"Completado",IF(AND(ISNUMBER($E26),$E26&lt;FechaRef),"Vencida",IF(N($K26)&gt;0,"En curso","Pendiente"))))</f>
        <v/>
      </c>
      <c r="M26" s="70">
        <f>IF($N26="","",INDEX('Cronograma Asistente Técnico'!$N$5:$N$1000,$N26)&amp;"")</f>
        <v/>
      </c>
      <c r="N26">
        <f>IFERROR(MATCH(ROW()-4,rOrden_ATR,0),"")</f>
        <v/>
      </c>
      <c r="O26">
        <f>IF($N26="","",INDEX('Cronograma Asistente Técnico'!$S$5:$S$1000,$N26))</f>
        <v/>
      </c>
      <c r="P26">
        <f>IF($N26="","",N(INDEX('Cronograma Asistente Técnico'!$T$5:$T$1000,$N26)))</f>
        <v/>
      </c>
    </row>
    <row r="27">
      <c r="A27" s="61">
        <f>IF($N27="","",INDEX('Cronograma Asistente Técnico'!$A$5:$A$1000,$N27))</f>
        <v/>
      </c>
      <c r="B27" s="70">
        <f>IF($N27="","",IF($O27="Sub","     ↳ "&amp;INDEX('Cronograma Asistente Técnico'!$C$5:$C$1000,$N27),INDEX('Cronograma Asistente Técnico'!$B$5:$B$1000,$N27)&amp;""))</f>
        <v/>
      </c>
      <c r="C27" s="70">
        <f>IF($N27="","",INDEX('Cronograma Asistente Técnico'!$D$5:$D$1000,$N27)&amp;"")</f>
        <v/>
      </c>
      <c r="D27" s="76">
        <f>IF($N27="","",IF(INDEX('Cronograma Asistente Técnico'!$E$5:$E$1000,$N27)="","",INDEX('Cronograma Asistente Técnico'!$E$5:$E$1000,$N27)))</f>
        <v/>
      </c>
      <c r="E27" s="76">
        <f>IF($N27="","",IF(INDEX('Cronograma Asistente Técnico'!$F$5:$F$1000,$N27)="","",INDEX('Cronograma Asistente Técnico'!$F$5:$F$1000,$N27)))</f>
        <v/>
      </c>
      <c r="F27" s="61">
        <f>IF($N27="","",IF(NOT(ISNUMBER($E27)),"",IF($E27&lt;InicioCiclo,"Antes del ciclo",IF($E27&gt;=InicioCiclo+28,"Después del ciclo","Semana "&amp;(INT(($E27-InicioCiclo)/7)+1)))))</f>
        <v/>
      </c>
      <c r="G27" s="67">
        <f>IF($N27="","",IF($P27&gt;0,IF(1&lt;=SemanaActual,INDEX('Cronograma Asistente Técnico'!$Y$5:$Y$1000,$N27),""),IF(INDEX('Cronograma Asistente Técnico'!$H$5:$H$1000,$N27)="","",INDEX('Cronograma Asistente Técnico'!$H$5:$H$1000,$N27))))</f>
        <v/>
      </c>
      <c r="H27" s="67">
        <f>IF($N27="","",IF($P27&gt;0,IF(2&lt;=SemanaActual,INDEX('Cronograma Asistente Técnico'!$Z$5:$Z$1000,$N27),""),IF(INDEX('Cronograma Asistente Técnico'!$I$5:$I$1000,$N27)="","",INDEX('Cronograma Asistente Técnico'!$I$5:$I$1000,$N27))))</f>
        <v/>
      </c>
      <c r="I27" s="67">
        <f>IF($N27="","",IF($P27&gt;0,IF(3&lt;=SemanaActual,INDEX('Cronograma Asistente Técnico'!$AA$5:$AA$1000,$N27),""),IF(INDEX('Cronograma Asistente Técnico'!$J$5:$J$1000,$N27)="","",INDEX('Cronograma Asistente Técnico'!$J$5:$J$1000,$N27))))</f>
        <v/>
      </c>
      <c r="J27" s="67">
        <f>IF($N27="","",IF($P27&gt;0,IF(4&lt;=SemanaActual,INDEX('Cronograma Asistente Técnico'!$AB$5:$AB$1000,$N27),""),IF(INDEX('Cronograma Asistente Técnico'!$K$5:$K$1000,$N27)="","",INDEX('Cronograma Asistente Técnico'!$K$5:$K$1000,$N27))))</f>
        <v/>
      </c>
      <c r="K27" s="67">
        <f>IF($N27="","",INDEX('Cronograma Asistente Técnico'!$L$5:$L$1000,$N27))</f>
        <v/>
      </c>
      <c r="L27" s="61">
        <f>IF($N27="","",IF(N($K27)&gt;=1,"Completado",IF(AND(ISNUMBER($E27),$E27&lt;FechaRef),"Vencida",IF(N($K27)&gt;0,"En curso","Pendiente"))))</f>
        <v/>
      </c>
      <c r="M27" s="70">
        <f>IF($N27="","",INDEX('Cronograma Asistente Técnico'!$N$5:$N$1000,$N27)&amp;"")</f>
        <v/>
      </c>
      <c r="N27">
        <f>IFERROR(MATCH(ROW()-4,rOrden_ATR,0),"")</f>
        <v/>
      </c>
      <c r="O27">
        <f>IF($N27="","",INDEX('Cronograma Asistente Técnico'!$S$5:$S$1000,$N27))</f>
        <v/>
      </c>
      <c r="P27">
        <f>IF($N27="","",N(INDEX('Cronograma Asistente Técnico'!$T$5:$T$1000,$N27)))</f>
        <v/>
      </c>
    </row>
    <row r="28">
      <c r="A28" s="61">
        <f>IF($N28="","",INDEX('Cronograma Asistente Técnico'!$A$5:$A$1000,$N28))</f>
        <v/>
      </c>
      <c r="B28" s="70">
        <f>IF($N28="","",IF($O28="Sub","     ↳ "&amp;INDEX('Cronograma Asistente Técnico'!$C$5:$C$1000,$N28),INDEX('Cronograma Asistente Técnico'!$B$5:$B$1000,$N28)&amp;""))</f>
        <v/>
      </c>
      <c r="C28" s="70">
        <f>IF($N28="","",INDEX('Cronograma Asistente Técnico'!$D$5:$D$1000,$N28)&amp;"")</f>
        <v/>
      </c>
      <c r="D28" s="76">
        <f>IF($N28="","",IF(INDEX('Cronograma Asistente Técnico'!$E$5:$E$1000,$N28)="","",INDEX('Cronograma Asistente Técnico'!$E$5:$E$1000,$N28)))</f>
        <v/>
      </c>
      <c r="E28" s="76">
        <f>IF($N28="","",IF(INDEX('Cronograma Asistente Técnico'!$F$5:$F$1000,$N28)="","",INDEX('Cronograma Asistente Técnico'!$F$5:$F$1000,$N28)))</f>
        <v/>
      </c>
      <c r="F28" s="61">
        <f>IF($N28="","",IF(NOT(ISNUMBER($E28)),"",IF($E28&lt;InicioCiclo,"Antes del ciclo",IF($E28&gt;=InicioCiclo+28,"Después del ciclo","Semana "&amp;(INT(($E28-InicioCiclo)/7)+1)))))</f>
        <v/>
      </c>
      <c r="G28" s="67">
        <f>IF($N28="","",IF($P28&gt;0,IF(1&lt;=SemanaActual,INDEX('Cronograma Asistente Técnico'!$Y$5:$Y$1000,$N28),""),IF(INDEX('Cronograma Asistente Técnico'!$H$5:$H$1000,$N28)="","",INDEX('Cronograma Asistente Técnico'!$H$5:$H$1000,$N28))))</f>
        <v/>
      </c>
      <c r="H28" s="67">
        <f>IF($N28="","",IF($P28&gt;0,IF(2&lt;=SemanaActual,INDEX('Cronograma Asistente Técnico'!$Z$5:$Z$1000,$N28),""),IF(INDEX('Cronograma Asistente Técnico'!$I$5:$I$1000,$N28)="","",INDEX('Cronograma Asistente Técnico'!$I$5:$I$1000,$N28))))</f>
        <v/>
      </c>
      <c r="I28" s="67">
        <f>IF($N28="","",IF($P28&gt;0,IF(3&lt;=SemanaActual,INDEX('Cronograma Asistente Técnico'!$AA$5:$AA$1000,$N28),""),IF(INDEX('Cronograma Asistente Técnico'!$J$5:$J$1000,$N28)="","",INDEX('Cronograma Asistente Técnico'!$J$5:$J$1000,$N28))))</f>
        <v/>
      </c>
      <c r="J28" s="67">
        <f>IF($N28="","",IF($P28&gt;0,IF(4&lt;=SemanaActual,INDEX('Cronograma Asistente Técnico'!$AB$5:$AB$1000,$N28),""),IF(INDEX('Cronograma Asistente Técnico'!$K$5:$K$1000,$N28)="","",INDEX('Cronograma Asistente Técnico'!$K$5:$K$1000,$N28))))</f>
        <v/>
      </c>
      <c r="K28" s="67">
        <f>IF($N28="","",INDEX('Cronograma Asistente Técnico'!$L$5:$L$1000,$N28))</f>
        <v/>
      </c>
      <c r="L28" s="61">
        <f>IF($N28="","",IF(N($K28)&gt;=1,"Completado",IF(AND(ISNUMBER($E28),$E28&lt;FechaRef),"Vencida",IF(N($K28)&gt;0,"En curso","Pendiente"))))</f>
        <v/>
      </c>
      <c r="M28" s="70">
        <f>IF($N28="","",INDEX('Cronograma Asistente Técnico'!$N$5:$N$1000,$N28)&amp;"")</f>
        <v/>
      </c>
      <c r="N28">
        <f>IFERROR(MATCH(ROW()-4,rOrden_ATR,0),"")</f>
        <v/>
      </c>
      <c r="O28">
        <f>IF($N28="","",INDEX('Cronograma Asistente Técnico'!$S$5:$S$1000,$N28))</f>
        <v/>
      </c>
      <c r="P28">
        <f>IF($N28="","",N(INDEX('Cronograma Asistente Técnico'!$T$5:$T$1000,$N28)))</f>
        <v/>
      </c>
    </row>
    <row r="29">
      <c r="A29" s="61">
        <f>IF($N29="","",INDEX('Cronograma Asistente Técnico'!$A$5:$A$1000,$N29))</f>
        <v/>
      </c>
      <c r="B29" s="70">
        <f>IF($N29="","",IF($O29="Sub","     ↳ "&amp;INDEX('Cronograma Asistente Técnico'!$C$5:$C$1000,$N29),INDEX('Cronograma Asistente Técnico'!$B$5:$B$1000,$N29)&amp;""))</f>
        <v/>
      </c>
      <c r="C29" s="70">
        <f>IF($N29="","",INDEX('Cronograma Asistente Técnico'!$D$5:$D$1000,$N29)&amp;"")</f>
        <v/>
      </c>
      <c r="D29" s="76">
        <f>IF($N29="","",IF(INDEX('Cronograma Asistente Técnico'!$E$5:$E$1000,$N29)="","",INDEX('Cronograma Asistente Técnico'!$E$5:$E$1000,$N29)))</f>
        <v/>
      </c>
      <c r="E29" s="76">
        <f>IF($N29="","",IF(INDEX('Cronograma Asistente Técnico'!$F$5:$F$1000,$N29)="","",INDEX('Cronograma Asistente Técnico'!$F$5:$F$1000,$N29)))</f>
        <v/>
      </c>
      <c r="F29" s="61">
        <f>IF($N29="","",IF(NOT(ISNUMBER($E29)),"",IF($E29&lt;InicioCiclo,"Antes del ciclo",IF($E29&gt;=InicioCiclo+28,"Después del ciclo","Semana "&amp;(INT(($E29-InicioCiclo)/7)+1)))))</f>
        <v/>
      </c>
      <c r="G29" s="67">
        <f>IF($N29="","",IF($P29&gt;0,IF(1&lt;=SemanaActual,INDEX('Cronograma Asistente Técnico'!$Y$5:$Y$1000,$N29),""),IF(INDEX('Cronograma Asistente Técnico'!$H$5:$H$1000,$N29)="","",INDEX('Cronograma Asistente Técnico'!$H$5:$H$1000,$N29))))</f>
        <v/>
      </c>
      <c r="H29" s="67">
        <f>IF($N29="","",IF($P29&gt;0,IF(2&lt;=SemanaActual,INDEX('Cronograma Asistente Técnico'!$Z$5:$Z$1000,$N29),""),IF(INDEX('Cronograma Asistente Técnico'!$I$5:$I$1000,$N29)="","",INDEX('Cronograma Asistente Técnico'!$I$5:$I$1000,$N29))))</f>
        <v/>
      </c>
      <c r="I29" s="67">
        <f>IF($N29="","",IF($P29&gt;0,IF(3&lt;=SemanaActual,INDEX('Cronograma Asistente Técnico'!$AA$5:$AA$1000,$N29),""),IF(INDEX('Cronograma Asistente Técnico'!$J$5:$J$1000,$N29)="","",INDEX('Cronograma Asistente Técnico'!$J$5:$J$1000,$N29))))</f>
        <v/>
      </c>
      <c r="J29" s="67">
        <f>IF($N29="","",IF($P29&gt;0,IF(4&lt;=SemanaActual,INDEX('Cronograma Asistente Técnico'!$AB$5:$AB$1000,$N29),""),IF(INDEX('Cronograma Asistente Técnico'!$K$5:$K$1000,$N29)="","",INDEX('Cronograma Asistente Técnico'!$K$5:$K$1000,$N29))))</f>
        <v/>
      </c>
      <c r="K29" s="67">
        <f>IF($N29="","",INDEX('Cronograma Asistente Técnico'!$L$5:$L$1000,$N29))</f>
        <v/>
      </c>
      <c r="L29" s="61">
        <f>IF($N29="","",IF(N($K29)&gt;=1,"Completado",IF(AND(ISNUMBER($E29),$E29&lt;FechaRef),"Vencida",IF(N($K29)&gt;0,"En curso","Pendiente"))))</f>
        <v/>
      </c>
      <c r="M29" s="70">
        <f>IF($N29="","",INDEX('Cronograma Asistente Técnico'!$N$5:$N$1000,$N29)&amp;"")</f>
        <v/>
      </c>
      <c r="N29">
        <f>IFERROR(MATCH(ROW()-4,rOrden_ATR,0),"")</f>
        <v/>
      </c>
      <c r="O29">
        <f>IF($N29="","",INDEX('Cronograma Asistente Técnico'!$S$5:$S$1000,$N29))</f>
        <v/>
      </c>
      <c r="P29">
        <f>IF($N29="","",N(INDEX('Cronograma Asistente Técnico'!$T$5:$T$1000,$N29)))</f>
        <v/>
      </c>
    </row>
    <row r="30">
      <c r="A30" s="61">
        <f>IF($N30="","",INDEX('Cronograma Asistente Técnico'!$A$5:$A$1000,$N30))</f>
        <v/>
      </c>
      <c r="B30" s="70">
        <f>IF($N30="","",IF($O30="Sub","     ↳ "&amp;INDEX('Cronograma Asistente Técnico'!$C$5:$C$1000,$N30),INDEX('Cronograma Asistente Técnico'!$B$5:$B$1000,$N30)&amp;""))</f>
        <v/>
      </c>
      <c r="C30" s="70">
        <f>IF($N30="","",INDEX('Cronograma Asistente Técnico'!$D$5:$D$1000,$N30)&amp;"")</f>
        <v/>
      </c>
      <c r="D30" s="76">
        <f>IF($N30="","",IF(INDEX('Cronograma Asistente Técnico'!$E$5:$E$1000,$N30)="","",INDEX('Cronograma Asistente Técnico'!$E$5:$E$1000,$N30)))</f>
        <v/>
      </c>
      <c r="E30" s="76">
        <f>IF($N30="","",IF(INDEX('Cronograma Asistente Técnico'!$F$5:$F$1000,$N30)="","",INDEX('Cronograma Asistente Técnico'!$F$5:$F$1000,$N30)))</f>
        <v/>
      </c>
      <c r="F30" s="61">
        <f>IF($N30="","",IF(NOT(ISNUMBER($E30)),"",IF($E30&lt;InicioCiclo,"Antes del ciclo",IF($E30&gt;=InicioCiclo+28,"Después del ciclo","Semana "&amp;(INT(($E30-InicioCiclo)/7)+1)))))</f>
        <v/>
      </c>
      <c r="G30" s="67">
        <f>IF($N30="","",IF($P30&gt;0,IF(1&lt;=SemanaActual,INDEX('Cronograma Asistente Técnico'!$Y$5:$Y$1000,$N30),""),IF(INDEX('Cronograma Asistente Técnico'!$H$5:$H$1000,$N30)="","",INDEX('Cronograma Asistente Técnico'!$H$5:$H$1000,$N30))))</f>
        <v/>
      </c>
      <c r="H30" s="67">
        <f>IF($N30="","",IF($P30&gt;0,IF(2&lt;=SemanaActual,INDEX('Cronograma Asistente Técnico'!$Z$5:$Z$1000,$N30),""),IF(INDEX('Cronograma Asistente Técnico'!$I$5:$I$1000,$N30)="","",INDEX('Cronograma Asistente Técnico'!$I$5:$I$1000,$N30))))</f>
        <v/>
      </c>
      <c r="I30" s="67">
        <f>IF($N30="","",IF($P30&gt;0,IF(3&lt;=SemanaActual,INDEX('Cronograma Asistente Técnico'!$AA$5:$AA$1000,$N30),""),IF(INDEX('Cronograma Asistente Técnico'!$J$5:$J$1000,$N30)="","",INDEX('Cronograma Asistente Técnico'!$J$5:$J$1000,$N30))))</f>
        <v/>
      </c>
      <c r="J30" s="67">
        <f>IF($N30="","",IF($P30&gt;0,IF(4&lt;=SemanaActual,INDEX('Cronograma Asistente Técnico'!$AB$5:$AB$1000,$N30),""),IF(INDEX('Cronograma Asistente Técnico'!$K$5:$K$1000,$N30)="","",INDEX('Cronograma Asistente Técnico'!$K$5:$K$1000,$N30))))</f>
        <v/>
      </c>
      <c r="K30" s="67">
        <f>IF($N30="","",INDEX('Cronograma Asistente Técnico'!$L$5:$L$1000,$N30))</f>
        <v/>
      </c>
      <c r="L30" s="61">
        <f>IF($N30="","",IF(N($K30)&gt;=1,"Completado",IF(AND(ISNUMBER($E30),$E30&lt;FechaRef),"Vencida",IF(N($K30)&gt;0,"En curso","Pendiente"))))</f>
        <v/>
      </c>
      <c r="M30" s="70">
        <f>IF($N30="","",INDEX('Cronograma Asistente Técnico'!$N$5:$N$1000,$N30)&amp;"")</f>
        <v/>
      </c>
      <c r="N30">
        <f>IFERROR(MATCH(ROW()-4,rOrden_ATR,0),"")</f>
        <v/>
      </c>
      <c r="O30">
        <f>IF($N30="","",INDEX('Cronograma Asistente Técnico'!$S$5:$S$1000,$N30))</f>
        <v/>
      </c>
      <c r="P30">
        <f>IF($N30="","",N(INDEX('Cronograma Asistente Técnico'!$T$5:$T$1000,$N30)))</f>
        <v/>
      </c>
    </row>
    <row r="31">
      <c r="A31" s="61">
        <f>IF($N31="","",INDEX('Cronograma Asistente Técnico'!$A$5:$A$1000,$N31))</f>
        <v/>
      </c>
      <c r="B31" s="70">
        <f>IF($N31="","",IF($O31="Sub","     ↳ "&amp;INDEX('Cronograma Asistente Técnico'!$C$5:$C$1000,$N31),INDEX('Cronograma Asistente Técnico'!$B$5:$B$1000,$N31)&amp;""))</f>
        <v/>
      </c>
      <c r="C31" s="70">
        <f>IF($N31="","",INDEX('Cronograma Asistente Técnico'!$D$5:$D$1000,$N31)&amp;"")</f>
        <v/>
      </c>
      <c r="D31" s="76">
        <f>IF($N31="","",IF(INDEX('Cronograma Asistente Técnico'!$E$5:$E$1000,$N31)="","",INDEX('Cronograma Asistente Técnico'!$E$5:$E$1000,$N31)))</f>
        <v/>
      </c>
      <c r="E31" s="76">
        <f>IF($N31="","",IF(INDEX('Cronograma Asistente Técnico'!$F$5:$F$1000,$N31)="","",INDEX('Cronograma Asistente Técnico'!$F$5:$F$1000,$N31)))</f>
        <v/>
      </c>
      <c r="F31" s="61">
        <f>IF($N31="","",IF(NOT(ISNUMBER($E31)),"",IF($E31&lt;InicioCiclo,"Antes del ciclo",IF($E31&gt;=InicioCiclo+28,"Después del ciclo","Semana "&amp;(INT(($E31-InicioCiclo)/7)+1)))))</f>
        <v/>
      </c>
      <c r="G31" s="67">
        <f>IF($N31="","",IF($P31&gt;0,IF(1&lt;=SemanaActual,INDEX('Cronograma Asistente Técnico'!$Y$5:$Y$1000,$N31),""),IF(INDEX('Cronograma Asistente Técnico'!$H$5:$H$1000,$N31)="","",INDEX('Cronograma Asistente Técnico'!$H$5:$H$1000,$N31))))</f>
        <v/>
      </c>
      <c r="H31" s="67">
        <f>IF($N31="","",IF($P31&gt;0,IF(2&lt;=SemanaActual,INDEX('Cronograma Asistente Técnico'!$Z$5:$Z$1000,$N31),""),IF(INDEX('Cronograma Asistente Técnico'!$I$5:$I$1000,$N31)="","",INDEX('Cronograma Asistente Técnico'!$I$5:$I$1000,$N31))))</f>
        <v/>
      </c>
      <c r="I31" s="67">
        <f>IF($N31="","",IF($P31&gt;0,IF(3&lt;=SemanaActual,INDEX('Cronograma Asistente Técnico'!$AA$5:$AA$1000,$N31),""),IF(INDEX('Cronograma Asistente Técnico'!$J$5:$J$1000,$N31)="","",INDEX('Cronograma Asistente Técnico'!$J$5:$J$1000,$N31))))</f>
        <v/>
      </c>
      <c r="J31" s="67">
        <f>IF($N31="","",IF($P31&gt;0,IF(4&lt;=SemanaActual,INDEX('Cronograma Asistente Técnico'!$AB$5:$AB$1000,$N31),""),IF(INDEX('Cronograma Asistente Técnico'!$K$5:$K$1000,$N31)="","",INDEX('Cronograma Asistente Técnico'!$K$5:$K$1000,$N31))))</f>
        <v/>
      </c>
      <c r="K31" s="67">
        <f>IF($N31="","",INDEX('Cronograma Asistente Técnico'!$L$5:$L$1000,$N31))</f>
        <v/>
      </c>
      <c r="L31" s="61">
        <f>IF($N31="","",IF(N($K31)&gt;=1,"Completado",IF(AND(ISNUMBER($E31),$E31&lt;FechaRef),"Vencida",IF(N($K31)&gt;0,"En curso","Pendiente"))))</f>
        <v/>
      </c>
      <c r="M31" s="70">
        <f>IF($N31="","",INDEX('Cronograma Asistente Técnico'!$N$5:$N$1000,$N31)&amp;"")</f>
        <v/>
      </c>
      <c r="N31">
        <f>IFERROR(MATCH(ROW()-4,rOrden_ATR,0),"")</f>
        <v/>
      </c>
      <c r="O31">
        <f>IF($N31="","",INDEX('Cronograma Asistente Técnico'!$S$5:$S$1000,$N31))</f>
        <v/>
      </c>
      <c r="P31">
        <f>IF($N31="","",N(INDEX('Cronograma Asistente Técnico'!$T$5:$T$1000,$N31)))</f>
        <v/>
      </c>
    </row>
    <row r="32">
      <c r="A32" s="61">
        <f>IF($N32="","",INDEX('Cronograma Asistente Técnico'!$A$5:$A$1000,$N32))</f>
        <v/>
      </c>
      <c r="B32" s="70">
        <f>IF($N32="","",IF($O32="Sub","     ↳ "&amp;INDEX('Cronograma Asistente Técnico'!$C$5:$C$1000,$N32),INDEX('Cronograma Asistente Técnico'!$B$5:$B$1000,$N32)&amp;""))</f>
        <v/>
      </c>
      <c r="C32" s="70">
        <f>IF($N32="","",INDEX('Cronograma Asistente Técnico'!$D$5:$D$1000,$N32)&amp;"")</f>
        <v/>
      </c>
      <c r="D32" s="76">
        <f>IF($N32="","",IF(INDEX('Cronograma Asistente Técnico'!$E$5:$E$1000,$N32)="","",INDEX('Cronograma Asistente Técnico'!$E$5:$E$1000,$N32)))</f>
        <v/>
      </c>
      <c r="E32" s="76">
        <f>IF($N32="","",IF(INDEX('Cronograma Asistente Técnico'!$F$5:$F$1000,$N32)="","",INDEX('Cronograma Asistente Técnico'!$F$5:$F$1000,$N32)))</f>
        <v/>
      </c>
      <c r="F32" s="61">
        <f>IF($N32="","",IF(NOT(ISNUMBER($E32)),"",IF($E32&lt;InicioCiclo,"Antes del ciclo",IF($E32&gt;=InicioCiclo+28,"Después del ciclo","Semana "&amp;(INT(($E32-InicioCiclo)/7)+1)))))</f>
        <v/>
      </c>
      <c r="G32" s="67">
        <f>IF($N32="","",IF($P32&gt;0,IF(1&lt;=SemanaActual,INDEX('Cronograma Asistente Técnico'!$Y$5:$Y$1000,$N32),""),IF(INDEX('Cronograma Asistente Técnico'!$H$5:$H$1000,$N32)="","",INDEX('Cronograma Asistente Técnico'!$H$5:$H$1000,$N32))))</f>
        <v/>
      </c>
      <c r="H32" s="67">
        <f>IF($N32="","",IF($P32&gt;0,IF(2&lt;=SemanaActual,INDEX('Cronograma Asistente Técnico'!$Z$5:$Z$1000,$N32),""),IF(INDEX('Cronograma Asistente Técnico'!$I$5:$I$1000,$N32)="","",INDEX('Cronograma Asistente Técnico'!$I$5:$I$1000,$N32))))</f>
        <v/>
      </c>
      <c r="I32" s="67">
        <f>IF($N32="","",IF($P32&gt;0,IF(3&lt;=SemanaActual,INDEX('Cronograma Asistente Técnico'!$AA$5:$AA$1000,$N32),""),IF(INDEX('Cronograma Asistente Técnico'!$J$5:$J$1000,$N32)="","",INDEX('Cronograma Asistente Técnico'!$J$5:$J$1000,$N32))))</f>
        <v/>
      </c>
      <c r="J32" s="67">
        <f>IF($N32="","",IF($P32&gt;0,IF(4&lt;=SemanaActual,INDEX('Cronograma Asistente Técnico'!$AB$5:$AB$1000,$N32),""),IF(INDEX('Cronograma Asistente Técnico'!$K$5:$K$1000,$N32)="","",INDEX('Cronograma Asistente Técnico'!$K$5:$K$1000,$N32))))</f>
        <v/>
      </c>
      <c r="K32" s="67">
        <f>IF($N32="","",INDEX('Cronograma Asistente Técnico'!$L$5:$L$1000,$N32))</f>
        <v/>
      </c>
      <c r="L32" s="61">
        <f>IF($N32="","",IF(N($K32)&gt;=1,"Completado",IF(AND(ISNUMBER($E32),$E32&lt;FechaRef),"Vencida",IF(N($K32)&gt;0,"En curso","Pendiente"))))</f>
        <v/>
      </c>
      <c r="M32" s="70">
        <f>IF($N32="","",INDEX('Cronograma Asistente Técnico'!$N$5:$N$1000,$N32)&amp;"")</f>
        <v/>
      </c>
      <c r="N32">
        <f>IFERROR(MATCH(ROW()-4,rOrden_ATR,0),"")</f>
        <v/>
      </c>
      <c r="O32">
        <f>IF($N32="","",INDEX('Cronograma Asistente Técnico'!$S$5:$S$1000,$N32))</f>
        <v/>
      </c>
      <c r="P32">
        <f>IF($N32="","",N(INDEX('Cronograma Asistente Técnico'!$T$5:$T$1000,$N32)))</f>
        <v/>
      </c>
    </row>
    <row r="33">
      <c r="A33" s="61">
        <f>IF($N33="","",INDEX('Cronograma Asistente Técnico'!$A$5:$A$1000,$N33))</f>
        <v/>
      </c>
      <c r="B33" s="70">
        <f>IF($N33="","",IF($O33="Sub","     ↳ "&amp;INDEX('Cronograma Asistente Técnico'!$C$5:$C$1000,$N33),INDEX('Cronograma Asistente Técnico'!$B$5:$B$1000,$N33)&amp;""))</f>
        <v/>
      </c>
      <c r="C33" s="70">
        <f>IF($N33="","",INDEX('Cronograma Asistente Técnico'!$D$5:$D$1000,$N33)&amp;"")</f>
        <v/>
      </c>
      <c r="D33" s="76">
        <f>IF($N33="","",IF(INDEX('Cronograma Asistente Técnico'!$E$5:$E$1000,$N33)="","",INDEX('Cronograma Asistente Técnico'!$E$5:$E$1000,$N33)))</f>
        <v/>
      </c>
      <c r="E33" s="76">
        <f>IF($N33="","",IF(INDEX('Cronograma Asistente Técnico'!$F$5:$F$1000,$N33)="","",INDEX('Cronograma Asistente Técnico'!$F$5:$F$1000,$N33)))</f>
        <v/>
      </c>
      <c r="F33" s="61">
        <f>IF($N33="","",IF(NOT(ISNUMBER($E33)),"",IF($E33&lt;InicioCiclo,"Antes del ciclo",IF($E33&gt;=InicioCiclo+28,"Después del ciclo","Semana "&amp;(INT(($E33-InicioCiclo)/7)+1)))))</f>
        <v/>
      </c>
      <c r="G33" s="67">
        <f>IF($N33="","",IF($P33&gt;0,IF(1&lt;=SemanaActual,INDEX('Cronograma Asistente Técnico'!$Y$5:$Y$1000,$N33),""),IF(INDEX('Cronograma Asistente Técnico'!$H$5:$H$1000,$N33)="","",INDEX('Cronograma Asistente Técnico'!$H$5:$H$1000,$N33))))</f>
        <v/>
      </c>
      <c r="H33" s="67">
        <f>IF($N33="","",IF($P33&gt;0,IF(2&lt;=SemanaActual,INDEX('Cronograma Asistente Técnico'!$Z$5:$Z$1000,$N33),""),IF(INDEX('Cronograma Asistente Técnico'!$I$5:$I$1000,$N33)="","",INDEX('Cronograma Asistente Técnico'!$I$5:$I$1000,$N33))))</f>
        <v/>
      </c>
      <c r="I33" s="67">
        <f>IF($N33="","",IF($P33&gt;0,IF(3&lt;=SemanaActual,INDEX('Cronograma Asistente Técnico'!$AA$5:$AA$1000,$N33),""),IF(INDEX('Cronograma Asistente Técnico'!$J$5:$J$1000,$N33)="","",INDEX('Cronograma Asistente Técnico'!$J$5:$J$1000,$N33))))</f>
        <v/>
      </c>
      <c r="J33" s="67">
        <f>IF($N33="","",IF($P33&gt;0,IF(4&lt;=SemanaActual,INDEX('Cronograma Asistente Técnico'!$AB$5:$AB$1000,$N33),""),IF(INDEX('Cronograma Asistente Técnico'!$K$5:$K$1000,$N33)="","",INDEX('Cronograma Asistente Técnico'!$K$5:$K$1000,$N33))))</f>
        <v/>
      </c>
      <c r="K33" s="67">
        <f>IF($N33="","",INDEX('Cronograma Asistente Técnico'!$L$5:$L$1000,$N33))</f>
        <v/>
      </c>
      <c r="L33" s="61">
        <f>IF($N33="","",IF(N($K33)&gt;=1,"Completado",IF(AND(ISNUMBER($E33),$E33&lt;FechaRef),"Vencida",IF(N($K33)&gt;0,"En curso","Pendiente"))))</f>
        <v/>
      </c>
      <c r="M33" s="70">
        <f>IF($N33="","",INDEX('Cronograma Asistente Técnico'!$N$5:$N$1000,$N33)&amp;"")</f>
        <v/>
      </c>
      <c r="N33">
        <f>IFERROR(MATCH(ROW()-4,rOrden_ATR,0),"")</f>
        <v/>
      </c>
      <c r="O33">
        <f>IF($N33="","",INDEX('Cronograma Asistente Técnico'!$S$5:$S$1000,$N33))</f>
        <v/>
      </c>
      <c r="P33">
        <f>IF($N33="","",N(INDEX('Cronograma Asistente Técnico'!$T$5:$T$1000,$N33)))</f>
        <v/>
      </c>
    </row>
    <row r="34">
      <c r="A34" s="61">
        <f>IF($N34="","",INDEX('Cronograma Asistente Técnico'!$A$5:$A$1000,$N34))</f>
        <v/>
      </c>
      <c r="B34" s="70">
        <f>IF($N34="","",IF($O34="Sub","     ↳ "&amp;INDEX('Cronograma Asistente Técnico'!$C$5:$C$1000,$N34),INDEX('Cronograma Asistente Técnico'!$B$5:$B$1000,$N34)&amp;""))</f>
        <v/>
      </c>
      <c r="C34" s="70">
        <f>IF($N34="","",INDEX('Cronograma Asistente Técnico'!$D$5:$D$1000,$N34)&amp;"")</f>
        <v/>
      </c>
      <c r="D34" s="76">
        <f>IF($N34="","",IF(INDEX('Cronograma Asistente Técnico'!$E$5:$E$1000,$N34)="","",INDEX('Cronograma Asistente Técnico'!$E$5:$E$1000,$N34)))</f>
        <v/>
      </c>
      <c r="E34" s="76">
        <f>IF($N34="","",IF(INDEX('Cronograma Asistente Técnico'!$F$5:$F$1000,$N34)="","",INDEX('Cronograma Asistente Técnico'!$F$5:$F$1000,$N34)))</f>
        <v/>
      </c>
      <c r="F34" s="61">
        <f>IF($N34="","",IF(NOT(ISNUMBER($E34)),"",IF($E34&lt;InicioCiclo,"Antes del ciclo",IF($E34&gt;=InicioCiclo+28,"Después del ciclo","Semana "&amp;(INT(($E34-InicioCiclo)/7)+1)))))</f>
        <v/>
      </c>
      <c r="G34" s="67">
        <f>IF($N34="","",IF($P34&gt;0,IF(1&lt;=SemanaActual,INDEX('Cronograma Asistente Técnico'!$Y$5:$Y$1000,$N34),""),IF(INDEX('Cronograma Asistente Técnico'!$H$5:$H$1000,$N34)="","",INDEX('Cronograma Asistente Técnico'!$H$5:$H$1000,$N34))))</f>
        <v/>
      </c>
      <c r="H34" s="67">
        <f>IF($N34="","",IF($P34&gt;0,IF(2&lt;=SemanaActual,INDEX('Cronograma Asistente Técnico'!$Z$5:$Z$1000,$N34),""),IF(INDEX('Cronograma Asistente Técnico'!$I$5:$I$1000,$N34)="","",INDEX('Cronograma Asistente Técnico'!$I$5:$I$1000,$N34))))</f>
        <v/>
      </c>
      <c r="I34" s="67">
        <f>IF($N34="","",IF($P34&gt;0,IF(3&lt;=SemanaActual,INDEX('Cronograma Asistente Técnico'!$AA$5:$AA$1000,$N34),""),IF(INDEX('Cronograma Asistente Técnico'!$J$5:$J$1000,$N34)="","",INDEX('Cronograma Asistente Técnico'!$J$5:$J$1000,$N34))))</f>
        <v/>
      </c>
      <c r="J34" s="67">
        <f>IF($N34="","",IF($P34&gt;0,IF(4&lt;=SemanaActual,INDEX('Cronograma Asistente Técnico'!$AB$5:$AB$1000,$N34),""),IF(INDEX('Cronograma Asistente Técnico'!$K$5:$K$1000,$N34)="","",INDEX('Cronograma Asistente Técnico'!$K$5:$K$1000,$N34))))</f>
        <v/>
      </c>
      <c r="K34" s="67">
        <f>IF($N34="","",INDEX('Cronograma Asistente Técnico'!$L$5:$L$1000,$N34))</f>
        <v/>
      </c>
      <c r="L34" s="61">
        <f>IF($N34="","",IF(N($K34)&gt;=1,"Completado",IF(AND(ISNUMBER($E34),$E34&lt;FechaRef),"Vencida",IF(N($K34)&gt;0,"En curso","Pendiente"))))</f>
        <v/>
      </c>
      <c r="M34" s="70">
        <f>IF($N34="","",INDEX('Cronograma Asistente Técnico'!$N$5:$N$1000,$N34)&amp;"")</f>
        <v/>
      </c>
      <c r="N34">
        <f>IFERROR(MATCH(ROW()-4,rOrden_ATR,0),"")</f>
        <v/>
      </c>
      <c r="O34">
        <f>IF($N34="","",INDEX('Cronograma Asistente Técnico'!$S$5:$S$1000,$N34))</f>
        <v/>
      </c>
      <c r="P34">
        <f>IF($N34="","",N(INDEX('Cronograma Asistente Técnico'!$T$5:$T$1000,$N34)))</f>
        <v/>
      </c>
    </row>
    <row r="35">
      <c r="A35" s="61">
        <f>IF($N35="","",INDEX('Cronograma Asistente Técnico'!$A$5:$A$1000,$N35))</f>
        <v/>
      </c>
      <c r="B35" s="70">
        <f>IF($N35="","",IF($O35="Sub","     ↳ "&amp;INDEX('Cronograma Asistente Técnico'!$C$5:$C$1000,$N35),INDEX('Cronograma Asistente Técnico'!$B$5:$B$1000,$N35)&amp;""))</f>
        <v/>
      </c>
      <c r="C35" s="70">
        <f>IF($N35="","",INDEX('Cronograma Asistente Técnico'!$D$5:$D$1000,$N35)&amp;"")</f>
        <v/>
      </c>
      <c r="D35" s="76">
        <f>IF($N35="","",IF(INDEX('Cronograma Asistente Técnico'!$E$5:$E$1000,$N35)="","",INDEX('Cronograma Asistente Técnico'!$E$5:$E$1000,$N35)))</f>
        <v/>
      </c>
      <c r="E35" s="76">
        <f>IF($N35="","",IF(INDEX('Cronograma Asistente Técnico'!$F$5:$F$1000,$N35)="","",INDEX('Cronograma Asistente Técnico'!$F$5:$F$1000,$N35)))</f>
        <v/>
      </c>
      <c r="F35" s="61">
        <f>IF($N35="","",IF(NOT(ISNUMBER($E35)),"",IF($E35&lt;InicioCiclo,"Antes del ciclo",IF($E35&gt;=InicioCiclo+28,"Después del ciclo","Semana "&amp;(INT(($E35-InicioCiclo)/7)+1)))))</f>
        <v/>
      </c>
      <c r="G35" s="67">
        <f>IF($N35="","",IF($P35&gt;0,IF(1&lt;=SemanaActual,INDEX('Cronograma Asistente Técnico'!$Y$5:$Y$1000,$N35),""),IF(INDEX('Cronograma Asistente Técnico'!$H$5:$H$1000,$N35)="","",INDEX('Cronograma Asistente Técnico'!$H$5:$H$1000,$N35))))</f>
        <v/>
      </c>
      <c r="H35" s="67">
        <f>IF($N35="","",IF($P35&gt;0,IF(2&lt;=SemanaActual,INDEX('Cronograma Asistente Técnico'!$Z$5:$Z$1000,$N35),""),IF(INDEX('Cronograma Asistente Técnico'!$I$5:$I$1000,$N35)="","",INDEX('Cronograma Asistente Técnico'!$I$5:$I$1000,$N35))))</f>
        <v/>
      </c>
      <c r="I35" s="67">
        <f>IF($N35="","",IF($P35&gt;0,IF(3&lt;=SemanaActual,INDEX('Cronograma Asistente Técnico'!$AA$5:$AA$1000,$N35),""),IF(INDEX('Cronograma Asistente Técnico'!$J$5:$J$1000,$N35)="","",INDEX('Cronograma Asistente Técnico'!$J$5:$J$1000,$N35))))</f>
        <v/>
      </c>
      <c r="J35" s="67">
        <f>IF($N35="","",IF($P35&gt;0,IF(4&lt;=SemanaActual,INDEX('Cronograma Asistente Técnico'!$AB$5:$AB$1000,$N35),""),IF(INDEX('Cronograma Asistente Técnico'!$K$5:$K$1000,$N35)="","",INDEX('Cronograma Asistente Técnico'!$K$5:$K$1000,$N35))))</f>
        <v/>
      </c>
      <c r="K35" s="67">
        <f>IF($N35="","",INDEX('Cronograma Asistente Técnico'!$L$5:$L$1000,$N35))</f>
        <v/>
      </c>
      <c r="L35" s="61">
        <f>IF($N35="","",IF(N($K35)&gt;=1,"Completado",IF(AND(ISNUMBER($E35),$E35&lt;FechaRef),"Vencida",IF(N($K35)&gt;0,"En curso","Pendiente"))))</f>
        <v/>
      </c>
      <c r="M35" s="70">
        <f>IF($N35="","",INDEX('Cronograma Asistente Técnico'!$N$5:$N$1000,$N35)&amp;"")</f>
        <v/>
      </c>
      <c r="N35">
        <f>IFERROR(MATCH(ROW()-4,rOrden_ATR,0),"")</f>
        <v/>
      </c>
      <c r="O35">
        <f>IF($N35="","",INDEX('Cronograma Asistente Técnico'!$S$5:$S$1000,$N35))</f>
        <v/>
      </c>
      <c r="P35">
        <f>IF($N35="","",N(INDEX('Cronograma Asistente Técnico'!$T$5:$T$1000,$N35)))</f>
        <v/>
      </c>
    </row>
    <row r="36">
      <c r="A36" s="61">
        <f>IF($N36="","",INDEX('Cronograma Asistente Técnico'!$A$5:$A$1000,$N36))</f>
        <v/>
      </c>
      <c r="B36" s="70">
        <f>IF($N36="","",IF($O36="Sub","     ↳ "&amp;INDEX('Cronograma Asistente Técnico'!$C$5:$C$1000,$N36),INDEX('Cronograma Asistente Técnico'!$B$5:$B$1000,$N36)&amp;""))</f>
        <v/>
      </c>
      <c r="C36" s="70">
        <f>IF($N36="","",INDEX('Cronograma Asistente Técnico'!$D$5:$D$1000,$N36)&amp;"")</f>
        <v/>
      </c>
      <c r="D36" s="76">
        <f>IF($N36="","",IF(INDEX('Cronograma Asistente Técnico'!$E$5:$E$1000,$N36)="","",INDEX('Cronograma Asistente Técnico'!$E$5:$E$1000,$N36)))</f>
        <v/>
      </c>
      <c r="E36" s="76">
        <f>IF($N36="","",IF(INDEX('Cronograma Asistente Técnico'!$F$5:$F$1000,$N36)="","",INDEX('Cronograma Asistente Técnico'!$F$5:$F$1000,$N36)))</f>
        <v/>
      </c>
      <c r="F36" s="61">
        <f>IF($N36="","",IF(NOT(ISNUMBER($E36)),"",IF($E36&lt;InicioCiclo,"Antes del ciclo",IF($E36&gt;=InicioCiclo+28,"Después del ciclo","Semana "&amp;(INT(($E36-InicioCiclo)/7)+1)))))</f>
        <v/>
      </c>
      <c r="G36" s="67">
        <f>IF($N36="","",IF($P36&gt;0,IF(1&lt;=SemanaActual,INDEX('Cronograma Asistente Técnico'!$Y$5:$Y$1000,$N36),""),IF(INDEX('Cronograma Asistente Técnico'!$H$5:$H$1000,$N36)="","",INDEX('Cronograma Asistente Técnico'!$H$5:$H$1000,$N36))))</f>
        <v/>
      </c>
      <c r="H36" s="67">
        <f>IF($N36="","",IF($P36&gt;0,IF(2&lt;=SemanaActual,INDEX('Cronograma Asistente Técnico'!$Z$5:$Z$1000,$N36),""),IF(INDEX('Cronograma Asistente Técnico'!$I$5:$I$1000,$N36)="","",INDEX('Cronograma Asistente Técnico'!$I$5:$I$1000,$N36))))</f>
        <v/>
      </c>
      <c r="I36" s="67">
        <f>IF($N36="","",IF($P36&gt;0,IF(3&lt;=SemanaActual,INDEX('Cronograma Asistente Técnico'!$AA$5:$AA$1000,$N36),""),IF(INDEX('Cronograma Asistente Técnico'!$J$5:$J$1000,$N36)="","",INDEX('Cronograma Asistente Técnico'!$J$5:$J$1000,$N36))))</f>
        <v/>
      </c>
      <c r="J36" s="67">
        <f>IF($N36="","",IF($P36&gt;0,IF(4&lt;=SemanaActual,INDEX('Cronograma Asistente Técnico'!$AB$5:$AB$1000,$N36),""),IF(INDEX('Cronograma Asistente Técnico'!$K$5:$K$1000,$N36)="","",INDEX('Cronograma Asistente Técnico'!$K$5:$K$1000,$N36))))</f>
        <v/>
      </c>
      <c r="K36" s="67">
        <f>IF($N36="","",INDEX('Cronograma Asistente Técnico'!$L$5:$L$1000,$N36))</f>
        <v/>
      </c>
      <c r="L36" s="61">
        <f>IF($N36="","",IF(N($K36)&gt;=1,"Completado",IF(AND(ISNUMBER($E36),$E36&lt;FechaRef),"Vencida",IF(N($K36)&gt;0,"En curso","Pendiente"))))</f>
        <v/>
      </c>
      <c r="M36" s="70">
        <f>IF($N36="","",INDEX('Cronograma Asistente Técnico'!$N$5:$N$1000,$N36)&amp;"")</f>
        <v/>
      </c>
      <c r="N36">
        <f>IFERROR(MATCH(ROW()-4,rOrden_ATR,0),"")</f>
        <v/>
      </c>
      <c r="O36">
        <f>IF($N36="","",INDEX('Cronograma Asistente Técnico'!$S$5:$S$1000,$N36))</f>
        <v/>
      </c>
      <c r="P36">
        <f>IF($N36="","",N(INDEX('Cronograma Asistente Técnico'!$T$5:$T$1000,$N36)))</f>
        <v/>
      </c>
    </row>
    <row r="37">
      <c r="A37" s="61">
        <f>IF($N37="","",INDEX('Cronograma Asistente Técnico'!$A$5:$A$1000,$N37))</f>
        <v/>
      </c>
      <c r="B37" s="70">
        <f>IF($N37="","",IF($O37="Sub","     ↳ "&amp;INDEX('Cronograma Asistente Técnico'!$C$5:$C$1000,$N37),INDEX('Cronograma Asistente Técnico'!$B$5:$B$1000,$N37)&amp;""))</f>
        <v/>
      </c>
      <c r="C37" s="70">
        <f>IF($N37="","",INDEX('Cronograma Asistente Técnico'!$D$5:$D$1000,$N37)&amp;"")</f>
        <v/>
      </c>
      <c r="D37" s="76">
        <f>IF($N37="","",IF(INDEX('Cronograma Asistente Técnico'!$E$5:$E$1000,$N37)="","",INDEX('Cronograma Asistente Técnico'!$E$5:$E$1000,$N37)))</f>
        <v/>
      </c>
      <c r="E37" s="76">
        <f>IF($N37="","",IF(INDEX('Cronograma Asistente Técnico'!$F$5:$F$1000,$N37)="","",INDEX('Cronograma Asistente Técnico'!$F$5:$F$1000,$N37)))</f>
        <v/>
      </c>
      <c r="F37" s="61">
        <f>IF($N37="","",IF(NOT(ISNUMBER($E37)),"",IF($E37&lt;InicioCiclo,"Antes del ciclo",IF($E37&gt;=InicioCiclo+28,"Después del ciclo","Semana "&amp;(INT(($E37-InicioCiclo)/7)+1)))))</f>
        <v/>
      </c>
      <c r="G37" s="67">
        <f>IF($N37="","",IF($P37&gt;0,IF(1&lt;=SemanaActual,INDEX('Cronograma Asistente Técnico'!$Y$5:$Y$1000,$N37),""),IF(INDEX('Cronograma Asistente Técnico'!$H$5:$H$1000,$N37)="","",INDEX('Cronograma Asistente Técnico'!$H$5:$H$1000,$N37))))</f>
        <v/>
      </c>
      <c r="H37" s="67">
        <f>IF($N37="","",IF($P37&gt;0,IF(2&lt;=SemanaActual,INDEX('Cronograma Asistente Técnico'!$Z$5:$Z$1000,$N37),""),IF(INDEX('Cronograma Asistente Técnico'!$I$5:$I$1000,$N37)="","",INDEX('Cronograma Asistente Técnico'!$I$5:$I$1000,$N37))))</f>
        <v/>
      </c>
      <c r="I37" s="67">
        <f>IF($N37="","",IF($P37&gt;0,IF(3&lt;=SemanaActual,INDEX('Cronograma Asistente Técnico'!$AA$5:$AA$1000,$N37),""),IF(INDEX('Cronograma Asistente Técnico'!$J$5:$J$1000,$N37)="","",INDEX('Cronograma Asistente Técnico'!$J$5:$J$1000,$N37))))</f>
        <v/>
      </c>
      <c r="J37" s="67">
        <f>IF($N37="","",IF($P37&gt;0,IF(4&lt;=SemanaActual,INDEX('Cronograma Asistente Técnico'!$AB$5:$AB$1000,$N37),""),IF(INDEX('Cronograma Asistente Técnico'!$K$5:$K$1000,$N37)="","",INDEX('Cronograma Asistente Técnico'!$K$5:$K$1000,$N37))))</f>
        <v/>
      </c>
      <c r="K37" s="67">
        <f>IF($N37="","",INDEX('Cronograma Asistente Técnico'!$L$5:$L$1000,$N37))</f>
        <v/>
      </c>
      <c r="L37" s="61">
        <f>IF($N37="","",IF(N($K37)&gt;=1,"Completado",IF(AND(ISNUMBER($E37),$E37&lt;FechaRef),"Vencida",IF(N($K37)&gt;0,"En curso","Pendiente"))))</f>
        <v/>
      </c>
      <c r="M37" s="70">
        <f>IF($N37="","",INDEX('Cronograma Asistente Técnico'!$N$5:$N$1000,$N37)&amp;"")</f>
        <v/>
      </c>
      <c r="N37">
        <f>IFERROR(MATCH(ROW()-4,rOrden_ATR,0),"")</f>
        <v/>
      </c>
      <c r="O37">
        <f>IF($N37="","",INDEX('Cronograma Asistente Técnico'!$S$5:$S$1000,$N37))</f>
        <v/>
      </c>
      <c r="P37">
        <f>IF($N37="","",N(INDEX('Cronograma Asistente Técnico'!$T$5:$T$1000,$N37)))</f>
        <v/>
      </c>
    </row>
    <row r="38">
      <c r="A38" s="61">
        <f>IF($N38="","",INDEX('Cronograma Asistente Técnico'!$A$5:$A$1000,$N38))</f>
        <v/>
      </c>
      <c r="B38" s="70">
        <f>IF($N38="","",IF($O38="Sub","     ↳ "&amp;INDEX('Cronograma Asistente Técnico'!$C$5:$C$1000,$N38),INDEX('Cronograma Asistente Técnico'!$B$5:$B$1000,$N38)&amp;""))</f>
        <v/>
      </c>
      <c r="C38" s="70">
        <f>IF($N38="","",INDEX('Cronograma Asistente Técnico'!$D$5:$D$1000,$N38)&amp;"")</f>
        <v/>
      </c>
      <c r="D38" s="76">
        <f>IF($N38="","",IF(INDEX('Cronograma Asistente Técnico'!$E$5:$E$1000,$N38)="","",INDEX('Cronograma Asistente Técnico'!$E$5:$E$1000,$N38)))</f>
        <v/>
      </c>
      <c r="E38" s="76">
        <f>IF($N38="","",IF(INDEX('Cronograma Asistente Técnico'!$F$5:$F$1000,$N38)="","",INDEX('Cronograma Asistente Técnico'!$F$5:$F$1000,$N38)))</f>
        <v/>
      </c>
      <c r="F38" s="61">
        <f>IF($N38="","",IF(NOT(ISNUMBER($E38)),"",IF($E38&lt;InicioCiclo,"Antes del ciclo",IF($E38&gt;=InicioCiclo+28,"Después del ciclo","Semana "&amp;(INT(($E38-InicioCiclo)/7)+1)))))</f>
        <v/>
      </c>
      <c r="G38" s="67">
        <f>IF($N38="","",IF($P38&gt;0,IF(1&lt;=SemanaActual,INDEX('Cronograma Asistente Técnico'!$Y$5:$Y$1000,$N38),""),IF(INDEX('Cronograma Asistente Técnico'!$H$5:$H$1000,$N38)="","",INDEX('Cronograma Asistente Técnico'!$H$5:$H$1000,$N38))))</f>
        <v/>
      </c>
      <c r="H38" s="67">
        <f>IF($N38="","",IF($P38&gt;0,IF(2&lt;=SemanaActual,INDEX('Cronograma Asistente Técnico'!$Z$5:$Z$1000,$N38),""),IF(INDEX('Cronograma Asistente Técnico'!$I$5:$I$1000,$N38)="","",INDEX('Cronograma Asistente Técnico'!$I$5:$I$1000,$N38))))</f>
        <v/>
      </c>
      <c r="I38" s="67">
        <f>IF($N38="","",IF($P38&gt;0,IF(3&lt;=SemanaActual,INDEX('Cronograma Asistente Técnico'!$AA$5:$AA$1000,$N38),""),IF(INDEX('Cronograma Asistente Técnico'!$J$5:$J$1000,$N38)="","",INDEX('Cronograma Asistente Técnico'!$J$5:$J$1000,$N38))))</f>
        <v/>
      </c>
      <c r="J38" s="67">
        <f>IF($N38="","",IF($P38&gt;0,IF(4&lt;=SemanaActual,INDEX('Cronograma Asistente Técnico'!$AB$5:$AB$1000,$N38),""),IF(INDEX('Cronograma Asistente Técnico'!$K$5:$K$1000,$N38)="","",INDEX('Cronograma Asistente Técnico'!$K$5:$K$1000,$N38))))</f>
        <v/>
      </c>
      <c r="K38" s="67">
        <f>IF($N38="","",INDEX('Cronograma Asistente Técnico'!$L$5:$L$1000,$N38))</f>
        <v/>
      </c>
      <c r="L38" s="61">
        <f>IF($N38="","",IF(N($K38)&gt;=1,"Completado",IF(AND(ISNUMBER($E38),$E38&lt;FechaRef),"Vencida",IF(N($K38)&gt;0,"En curso","Pendiente"))))</f>
        <v/>
      </c>
      <c r="M38" s="70">
        <f>IF($N38="","",INDEX('Cronograma Asistente Técnico'!$N$5:$N$1000,$N38)&amp;"")</f>
        <v/>
      </c>
      <c r="N38">
        <f>IFERROR(MATCH(ROW()-4,rOrden_ATR,0),"")</f>
        <v/>
      </c>
      <c r="O38">
        <f>IF($N38="","",INDEX('Cronograma Asistente Técnico'!$S$5:$S$1000,$N38))</f>
        <v/>
      </c>
      <c r="P38">
        <f>IF($N38="","",N(INDEX('Cronograma Asistente Técnico'!$T$5:$T$1000,$N38)))</f>
        <v/>
      </c>
    </row>
    <row r="39">
      <c r="A39" s="61">
        <f>IF($N39="","",INDEX('Cronograma Asistente Técnico'!$A$5:$A$1000,$N39))</f>
        <v/>
      </c>
      <c r="B39" s="70">
        <f>IF($N39="","",IF($O39="Sub","     ↳ "&amp;INDEX('Cronograma Asistente Técnico'!$C$5:$C$1000,$N39),INDEX('Cronograma Asistente Técnico'!$B$5:$B$1000,$N39)&amp;""))</f>
        <v/>
      </c>
      <c r="C39" s="70">
        <f>IF($N39="","",INDEX('Cronograma Asistente Técnico'!$D$5:$D$1000,$N39)&amp;"")</f>
        <v/>
      </c>
      <c r="D39" s="76">
        <f>IF($N39="","",IF(INDEX('Cronograma Asistente Técnico'!$E$5:$E$1000,$N39)="","",INDEX('Cronograma Asistente Técnico'!$E$5:$E$1000,$N39)))</f>
        <v/>
      </c>
      <c r="E39" s="76">
        <f>IF($N39="","",IF(INDEX('Cronograma Asistente Técnico'!$F$5:$F$1000,$N39)="","",INDEX('Cronograma Asistente Técnico'!$F$5:$F$1000,$N39)))</f>
        <v/>
      </c>
      <c r="F39" s="61">
        <f>IF($N39="","",IF(NOT(ISNUMBER($E39)),"",IF($E39&lt;InicioCiclo,"Antes del ciclo",IF($E39&gt;=InicioCiclo+28,"Después del ciclo","Semana "&amp;(INT(($E39-InicioCiclo)/7)+1)))))</f>
        <v/>
      </c>
      <c r="G39" s="67">
        <f>IF($N39="","",IF($P39&gt;0,IF(1&lt;=SemanaActual,INDEX('Cronograma Asistente Técnico'!$Y$5:$Y$1000,$N39),""),IF(INDEX('Cronograma Asistente Técnico'!$H$5:$H$1000,$N39)="","",INDEX('Cronograma Asistente Técnico'!$H$5:$H$1000,$N39))))</f>
        <v/>
      </c>
      <c r="H39" s="67">
        <f>IF($N39="","",IF($P39&gt;0,IF(2&lt;=SemanaActual,INDEX('Cronograma Asistente Técnico'!$Z$5:$Z$1000,$N39),""),IF(INDEX('Cronograma Asistente Técnico'!$I$5:$I$1000,$N39)="","",INDEX('Cronograma Asistente Técnico'!$I$5:$I$1000,$N39))))</f>
        <v/>
      </c>
      <c r="I39" s="67">
        <f>IF($N39="","",IF($P39&gt;0,IF(3&lt;=SemanaActual,INDEX('Cronograma Asistente Técnico'!$AA$5:$AA$1000,$N39),""),IF(INDEX('Cronograma Asistente Técnico'!$J$5:$J$1000,$N39)="","",INDEX('Cronograma Asistente Técnico'!$J$5:$J$1000,$N39))))</f>
        <v/>
      </c>
      <c r="J39" s="67">
        <f>IF($N39="","",IF($P39&gt;0,IF(4&lt;=SemanaActual,INDEX('Cronograma Asistente Técnico'!$AB$5:$AB$1000,$N39),""),IF(INDEX('Cronograma Asistente Técnico'!$K$5:$K$1000,$N39)="","",INDEX('Cronograma Asistente Técnico'!$K$5:$K$1000,$N39))))</f>
        <v/>
      </c>
      <c r="K39" s="67">
        <f>IF($N39="","",INDEX('Cronograma Asistente Técnico'!$L$5:$L$1000,$N39))</f>
        <v/>
      </c>
      <c r="L39" s="61">
        <f>IF($N39="","",IF(N($K39)&gt;=1,"Completado",IF(AND(ISNUMBER($E39),$E39&lt;FechaRef),"Vencida",IF(N($K39)&gt;0,"En curso","Pendiente"))))</f>
        <v/>
      </c>
      <c r="M39" s="70">
        <f>IF($N39="","",INDEX('Cronograma Asistente Técnico'!$N$5:$N$1000,$N39)&amp;"")</f>
        <v/>
      </c>
      <c r="N39">
        <f>IFERROR(MATCH(ROW()-4,rOrden_ATR,0),"")</f>
        <v/>
      </c>
      <c r="O39">
        <f>IF($N39="","",INDEX('Cronograma Asistente Técnico'!$S$5:$S$1000,$N39))</f>
        <v/>
      </c>
      <c r="P39">
        <f>IF($N39="","",N(INDEX('Cronograma Asistente Técnico'!$T$5:$T$1000,$N39)))</f>
        <v/>
      </c>
    </row>
    <row r="40">
      <c r="A40" s="61">
        <f>IF($N40="","",INDEX('Cronograma Asistente Técnico'!$A$5:$A$1000,$N40))</f>
        <v/>
      </c>
      <c r="B40" s="70">
        <f>IF($N40="","",IF($O40="Sub","     ↳ "&amp;INDEX('Cronograma Asistente Técnico'!$C$5:$C$1000,$N40),INDEX('Cronograma Asistente Técnico'!$B$5:$B$1000,$N40)&amp;""))</f>
        <v/>
      </c>
      <c r="C40" s="70">
        <f>IF($N40="","",INDEX('Cronograma Asistente Técnico'!$D$5:$D$1000,$N40)&amp;"")</f>
        <v/>
      </c>
      <c r="D40" s="76">
        <f>IF($N40="","",IF(INDEX('Cronograma Asistente Técnico'!$E$5:$E$1000,$N40)="","",INDEX('Cronograma Asistente Técnico'!$E$5:$E$1000,$N40)))</f>
        <v/>
      </c>
      <c r="E40" s="76">
        <f>IF($N40="","",IF(INDEX('Cronograma Asistente Técnico'!$F$5:$F$1000,$N40)="","",INDEX('Cronograma Asistente Técnico'!$F$5:$F$1000,$N40)))</f>
        <v/>
      </c>
      <c r="F40" s="61">
        <f>IF($N40="","",IF(NOT(ISNUMBER($E40)),"",IF($E40&lt;InicioCiclo,"Antes del ciclo",IF($E40&gt;=InicioCiclo+28,"Después del ciclo","Semana "&amp;(INT(($E40-InicioCiclo)/7)+1)))))</f>
        <v/>
      </c>
      <c r="G40" s="67">
        <f>IF($N40="","",IF($P40&gt;0,IF(1&lt;=SemanaActual,INDEX('Cronograma Asistente Técnico'!$Y$5:$Y$1000,$N40),""),IF(INDEX('Cronograma Asistente Técnico'!$H$5:$H$1000,$N40)="","",INDEX('Cronograma Asistente Técnico'!$H$5:$H$1000,$N40))))</f>
        <v/>
      </c>
      <c r="H40" s="67">
        <f>IF($N40="","",IF($P40&gt;0,IF(2&lt;=SemanaActual,INDEX('Cronograma Asistente Técnico'!$Z$5:$Z$1000,$N40),""),IF(INDEX('Cronograma Asistente Técnico'!$I$5:$I$1000,$N40)="","",INDEX('Cronograma Asistente Técnico'!$I$5:$I$1000,$N40))))</f>
        <v/>
      </c>
      <c r="I40" s="67">
        <f>IF($N40="","",IF($P40&gt;0,IF(3&lt;=SemanaActual,INDEX('Cronograma Asistente Técnico'!$AA$5:$AA$1000,$N40),""),IF(INDEX('Cronograma Asistente Técnico'!$J$5:$J$1000,$N40)="","",INDEX('Cronograma Asistente Técnico'!$J$5:$J$1000,$N40))))</f>
        <v/>
      </c>
      <c r="J40" s="67">
        <f>IF($N40="","",IF($P40&gt;0,IF(4&lt;=SemanaActual,INDEX('Cronograma Asistente Técnico'!$AB$5:$AB$1000,$N40),""),IF(INDEX('Cronograma Asistente Técnico'!$K$5:$K$1000,$N40)="","",INDEX('Cronograma Asistente Técnico'!$K$5:$K$1000,$N40))))</f>
        <v/>
      </c>
      <c r="K40" s="67">
        <f>IF($N40="","",INDEX('Cronograma Asistente Técnico'!$L$5:$L$1000,$N40))</f>
        <v/>
      </c>
      <c r="L40" s="61">
        <f>IF($N40="","",IF(N($K40)&gt;=1,"Completado",IF(AND(ISNUMBER($E40),$E40&lt;FechaRef),"Vencida",IF(N($K40)&gt;0,"En curso","Pendiente"))))</f>
        <v/>
      </c>
      <c r="M40" s="70">
        <f>IF($N40="","",INDEX('Cronograma Asistente Técnico'!$N$5:$N$1000,$N40)&amp;"")</f>
        <v/>
      </c>
      <c r="N40">
        <f>IFERROR(MATCH(ROW()-4,rOrden_ATR,0),"")</f>
        <v/>
      </c>
      <c r="O40">
        <f>IF($N40="","",INDEX('Cronograma Asistente Técnico'!$S$5:$S$1000,$N40))</f>
        <v/>
      </c>
      <c r="P40">
        <f>IF($N40="","",N(INDEX('Cronograma Asistente Técnico'!$T$5:$T$1000,$N40)))</f>
        <v/>
      </c>
    </row>
    <row r="41">
      <c r="A41" s="61">
        <f>IF($N41="","",INDEX('Cronograma Asistente Técnico'!$A$5:$A$1000,$N41))</f>
        <v/>
      </c>
      <c r="B41" s="70">
        <f>IF($N41="","",IF($O41="Sub","     ↳ "&amp;INDEX('Cronograma Asistente Técnico'!$C$5:$C$1000,$N41),INDEX('Cronograma Asistente Técnico'!$B$5:$B$1000,$N41)&amp;""))</f>
        <v/>
      </c>
      <c r="C41" s="70">
        <f>IF($N41="","",INDEX('Cronograma Asistente Técnico'!$D$5:$D$1000,$N41)&amp;"")</f>
        <v/>
      </c>
      <c r="D41" s="76">
        <f>IF($N41="","",IF(INDEX('Cronograma Asistente Técnico'!$E$5:$E$1000,$N41)="","",INDEX('Cronograma Asistente Técnico'!$E$5:$E$1000,$N41)))</f>
        <v/>
      </c>
      <c r="E41" s="76">
        <f>IF($N41="","",IF(INDEX('Cronograma Asistente Técnico'!$F$5:$F$1000,$N41)="","",INDEX('Cronograma Asistente Técnico'!$F$5:$F$1000,$N41)))</f>
        <v/>
      </c>
      <c r="F41" s="61">
        <f>IF($N41="","",IF(NOT(ISNUMBER($E41)),"",IF($E41&lt;InicioCiclo,"Antes del ciclo",IF($E41&gt;=InicioCiclo+28,"Después del ciclo","Semana "&amp;(INT(($E41-InicioCiclo)/7)+1)))))</f>
        <v/>
      </c>
      <c r="G41" s="67">
        <f>IF($N41="","",IF($P41&gt;0,IF(1&lt;=SemanaActual,INDEX('Cronograma Asistente Técnico'!$Y$5:$Y$1000,$N41),""),IF(INDEX('Cronograma Asistente Técnico'!$H$5:$H$1000,$N41)="","",INDEX('Cronograma Asistente Técnico'!$H$5:$H$1000,$N41))))</f>
        <v/>
      </c>
      <c r="H41" s="67">
        <f>IF($N41="","",IF($P41&gt;0,IF(2&lt;=SemanaActual,INDEX('Cronograma Asistente Técnico'!$Z$5:$Z$1000,$N41),""),IF(INDEX('Cronograma Asistente Técnico'!$I$5:$I$1000,$N41)="","",INDEX('Cronograma Asistente Técnico'!$I$5:$I$1000,$N41))))</f>
        <v/>
      </c>
      <c r="I41" s="67">
        <f>IF($N41="","",IF($P41&gt;0,IF(3&lt;=SemanaActual,INDEX('Cronograma Asistente Técnico'!$AA$5:$AA$1000,$N41),""),IF(INDEX('Cronograma Asistente Técnico'!$J$5:$J$1000,$N41)="","",INDEX('Cronograma Asistente Técnico'!$J$5:$J$1000,$N41))))</f>
        <v/>
      </c>
      <c r="J41" s="67">
        <f>IF($N41="","",IF($P41&gt;0,IF(4&lt;=SemanaActual,INDEX('Cronograma Asistente Técnico'!$AB$5:$AB$1000,$N41),""),IF(INDEX('Cronograma Asistente Técnico'!$K$5:$K$1000,$N41)="","",INDEX('Cronograma Asistente Técnico'!$K$5:$K$1000,$N41))))</f>
        <v/>
      </c>
      <c r="K41" s="67">
        <f>IF($N41="","",INDEX('Cronograma Asistente Técnico'!$L$5:$L$1000,$N41))</f>
        <v/>
      </c>
      <c r="L41" s="61">
        <f>IF($N41="","",IF(N($K41)&gt;=1,"Completado",IF(AND(ISNUMBER($E41),$E41&lt;FechaRef),"Vencida",IF(N($K41)&gt;0,"En curso","Pendiente"))))</f>
        <v/>
      </c>
      <c r="M41" s="70">
        <f>IF($N41="","",INDEX('Cronograma Asistente Técnico'!$N$5:$N$1000,$N41)&amp;"")</f>
        <v/>
      </c>
      <c r="N41">
        <f>IFERROR(MATCH(ROW()-4,rOrden_ATR,0),"")</f>
        <v/>
      </c>
      <c r="O41">
        <f>IF($N41="","",INDEX('Cronograma Asistente Técnico'!$S$5:$S$1000,$N41))</f>
        <v/>
      </c>
      <c r="P41">
        <f>IF($N41="","",N(INDEX('Cronograma Asistente Técnico'!$T$5:$T$1000,$N41)))</f>
        <v/>
      </c>
    </row>
    <row r="42">
      <c r="A42" s="61">
        <f>IF($N42="","",INDEX('Cronograma Asistente Técnico'!$A$5:$A$1000,$N42))</f>
        <v/>
      </c>
      <c r="B42" s="70">
        <f>IF($N42="","",IF($O42="Sub","     ↳ "&amp;INDEX('Cronograma Asistente Técnico'!$C$5:$C$1000,$N42),INDEX('Cronograma Asistente Técnico'!$B$5:$B$1000,$N42)&amp;""))</f>
        <v/>
      </c>
      <c r="C42" s="70">
        <f>IF($N42="","",INDEX('Cronograma Asistente Técnico'!$D$5:$D$1000,$N42)&amp;"")</f>
        <v/>
      </c>
      <c r="D42" s="76">
        <f>IF($N42="","",IF(INDEX('Cronograma Asistente Técnico'!$E$5:$E$1000,$N42)="","",INDEX('Cronograma Asistente Técnico'!$E$5:$E$1000,$N42)))</f>
        <v/>
      </c>
      <c r="E42" s="76">
        <f>IF($N42="","",IF(INDEX('Cronograma Asistente Técnico'!$F$5:$F$1000,$N42)="","",INDEX('Cronograma Asistente Técnico'!$F$5:$F$1000,$N42)))</f>
        <v/>
      </c>
      <c r="F42" s="61">
        <f>IF($N42="","",IF(NOT(ISNUMBER($E42)),"",IF($E42&lt;InicioCiclo,"Antes del ciclo",IF($E42&gt;=InicioCiclo+28,"Después del ciclo","Semana "&amp;(INT(($E42-InicioCiclo)/7)+1)))))</f>
        <v/>
      </c>
      <c r="G42" s="67">
        <f>IF($N42="","",IF($P42&gt;0,IF(1&lt;=SemanaActual,INDEX('Cronograma Asistente Técnico'!$Y$5:$Y$1000,$N42),""),IF(INDEX('Cronograma Asistente Técnico'!$H$5:$H$1000,$N42)="","",INDEX('Cronograma Asistente Técnico'!$H$5:$H$1000,$N42))))</f>
        <v/>
      </c>
      <c r="H42" s="67">
        <f>IF($N42="","",IF($P42&gt;0,IF(2&lt;=SemanaActual,INDEX('Cronograma Asistente Técnico'!$Z$5:$Z$1000,$N42),""),IF(INDEX('Cronograma Asistente Técnico'!$I$5:$I$1000,$N42)="","",INDEX('Cronograma Asistente Técnico'!$I$5:$I$1000,$N42))))</f>
        <v/>
      </c>
      <c r="I42" s="67">
        <f>IF($N42="","",IF($P42&gt;0,IF(3&lt;=SemanaActual,INDEX('Cronograma Asistente Técnico'!$AA$5:$AA$1000,$N42),""),IF(INDEX('Cronograma Asistente Técnico'!$J$5:$J$1000,$N42)="","",INDEX('Cronograma Asistente Técnico'!$J$5:$J$1000,$N42))))</f>
        <v/>
      </c>
      <c r="J42" s="67">
        <f>IF($N42="","",IF($P42&gt;0,IF(4&lt;=SemanaActual,INDEX('Cronograma Asistente Técnico'!$AB$5:$AB$1000,$N42),""),IF(INDEX('Cronograma Asistente Técnico'!$K$5:$K$1000,$N42)="","",INDEX('Cronograma Asistente Técnico'!$K$5:$K$1000,$N42))))</f>
        <v/>
      </c>
      <c r="K42" s="67">
        <f>IF($N42="","",INDEX('Cronograma Asistente Técnico'!$L$5:$L$1000,$N42))</f>
        <v/>
      </c>
      <c r="L42" s="61">
        <f>IF($N42="","",IF(N($K42)&gt;=1,"Completado",IF(AND(ISNUMBER($E42),$E42&lt;FechaRef),"Vencida",IF(N($K42)&gt;0,"En curso","Pendiente"))))</f>
        <v/>
      </c>
      <c r="M42" s="70">
        <f>IF($N42="","",INDEX('Cronograma Asistente Técnico'!$N$5:$N$1000,$N42)&amp;"")</f>
        <v/>
      </c>
      <c r="N42">
        <f>IFERROR(MATCH(ROW()-4,rOrden_ATR,0),"")</f>
        <v/>
      </c>
      <c r="O42">
        <f>IF($N42="","",INDEX('Cronograma Asistente Técnico'!$S$5:$S$1000,$N42))</f>
        <v/>
      </c>
      <c r="P42">
        <f>IF($N42="","",N(INDEX('Cronograma Asistente Técnico'!$T$5:$T$1000,$N42)))</f>
        <v/>
      </c>
    </row>
    <row r="43">
      <c r="A43" s="61">
        <f>IF($N43="","",INDEX('Cronograma Asistente Técnico'!$A$5:$A$1000,$N43))</f>
        <v/>
      </c>
      <c r="B43" s="70">
        <f>IF($N43="","",IF($O43="Sub","     ↳ "&amp;INDEX('Cronograma Asistente Técnico'!$C$5:$C$1000,$N43),INDEX('Cronograma Asistente Técnico'!$B$5:$B$1000,$N43)&amp;""))</f>
        <v/>
      </c>
      <c r="C43" s="70">
        <f>IF($N43="","",INDEX('Cronograma Asistente Técnico'!$D$5:$D$1000,$N43)&amp;"")</f>
        <v/>
      </c>
      <c r="D43" s="76">
        <f>IF($N43="","",IF(INDEX('Cronograma Asistente Técnico'!$E$5:$E$1000,$N43)="","",INDEX('Cronograma Asistente Técnico'!$E$5:$E$1000,$N43)))</f>
        <v/>
      </c>
      <c r="E43" s="76">
        <f>IF($N43="","",IF(INDEX('Cronograma Asistente Técnico'!$F$5:$F$1000,$N43)="","",INDEX('Cronograma Asistente Técnico'!$F$5:$F$1000,$N43)))</f>
        <v/>
      </c>
      <c r="F43" s="61">
        <f>IF($N43="","",IF(NOT(ISNUMBER($E43)),"",IF($E43&lt;InicioCiclo,"Antes del ciclo",IF($E43&gt;=InicioCiclo+28,"Después del ciclo","Semana "&amp;(INT(($E43-InicioCiclo)/7)+1)))))</f>
        <v/>
      </c>
      <c r="G43" s="67">
        <f>IF($N43="","",IF($P43&gt;0,IF(1&lt;=SemanaActual,INDEX('Cronograma Asistente Técnico'!$Y$5:$Y$1000,$N43),""),IF(INDEX('Cronograma Asistente Técnico'!$H$5:$H$1000,$N43)="","",INDEX('Cronograma Asistente Técnico'!$H$5:$H$1000,$N43))))</f>
        <v/>
      </c>
      <c r="H43" s="67">
        <f>IF($N43="","",IF($P43&gt;0,IF(2&lt;=SemanaActual,INDEX('Cronograma Asistente Técnico'!$Z$5:$Z$1000,$N43),""),IF(INDEX('Cronograma Asistente Técnico'!$I$5:$I$1000,$N43)="","",INDEX('Cronograma Asistente Técnico'!$I$5:$I$1000,$N43))))</f>
        <v/>
      </c>
      <c r="I43" s="67">
        <f>IF($N43="","",IF($P43&gt;0,IF(3&lt;=SemanaActual,INDEX('Cronograma Asistente Técnico'!$AA$5:$AA$1000,$N43),""),IF(INDEX('Cronograma Asistente Técnico'!$J$5:$J$1000,$N43)="","",INDEX('Cronograma Asistente Técnico'!$J$5:$J$1000,$N43))))</f>
        <v/>
      </c>
      <c r="J43" s="67">
        <f>IF($N43="","",IF($P43&gt;0,IF(4&lt;=SemanaActual,INDEX('Cronograma Asistente Técnico'!$AB$5:$AB$1000,$N43),""),IF(INDEX('Cronograma Asistente Técnico'!$K$5:$K$1000,$N43)="","",INDEX('Cronograma Asistente Técnico'!$K$5:$K$1000,$N43))))</f>
        <v/>
      </c>
      <c r="K43" s="67">
        <f>IF($N43="","",INDEX('Cronograma Asistente Técnico'!$L$5:$L$1000,$N43))</f>
        <v/>
      </c>
      <c r="L43" s="61">
        <f>IF($N43="","",IF(N($K43)&gt;=1,"Completado",IF(AND(ISNUMBER($E43),$E43&lt;FechaRef),"Vencida",IF(N($K43)&gt;0,"En curso","Pendiente"))))</f>
        <v/>
      </c>
      <c r="M43" s="70">
        <f>IF($N43="","",INDEX('Cronograma Asistente Técnico'!$N$5:$N$1000,$N43)&amp;"")</f>
        <v/>
      </c>
      <c r="N43">
        <f>IFERROR(MATCH(ROW()-4,rOrden_ATR,0),"")</f>
        <v/>
      </c>
      <c r="O43">
        <f>IF($N43="","",INDEX('Cronograma Asistente Técnico'!$S$5:$S$1000,$N43))</f>
        <v/>
      </c>
      <c r="P43">
        <f>IF($N43="","",N(INDEX('Cronograma Asistente Técnico'!$T$5:$T$1000,$N43)))</f>
        <v/>
      </c>
    </row>
    <row r="44">
      <c r="A44" s="61">
        <f>IF($N44="","",INDEX('Cronograma Asistente Técnico'!$A$5:$A$1000,$N44))</f>
        <v/>
      </c>
      <c r="B44" s="70">
        <f>IF($N44="","",IF($O44="Sub","     ↳ "&amp;INDEX('Cronograma Asistente Técnico'!$C$5:$C$1000,$N44),INDEX('Cronograma Asistente Técnico'!$B$5:$B$1000,$N44)&amp;""))</f>
        <v/>
      </c>
      <c r="C44" s="70">
        <f>IF($N44="","",INDEX('Cronograma Asistente Técnico'!$D$5:$D$1000,$N44)&amp;"")</f>
        <v/>
      </c>
      <c r="D44" s="76">
        <f>IF($N44="","",IF(INDEX('Cronograma Asistente Técnico'!$E$5:$E$1000,$N44)="","",INDEX('Cronograma Asistente Técnico'!$E$5:$E$1000,$N44)))</f>
        <v/>
      </c>
      <c r="E44" s="76">
        <f>IF($N44="","",IF(INDEX('Cronograma Asistente Técnico'!$F$5:$F$1000,$N44)="","",INDEX('Cronograma Asistente Técnico'!$F$5:$F$1000,$N44)))</f>
        <v/>
      </c>
      <c r="F44" s="61">
        <f>IF($N44="","",IF(NOT(ISNUMBER($E44)),"",IF($E44&lt;InicioCiclo,"Antes del ciclo",IF($E44&gt;=InicioCiclo+28,"Después del ciclo","Semana "&amp;(INT(($E44-InicioCiclo)/7)+1)))))</f>
        <v/>
      </c>
      <c r="G44" s="67">
        <f>IF($N44="","",IF($P44&gt;0,IF(1&lt;=SemanaActual,INDEX('Cronograma Asistente Técnico'!$Y$5:$Y$1000,$N44),""),IF(INDEX('Cronograma Asistente Técnico'!$H$5:$H$1000,$N44)="","",INDEX('Cronograma Asistente Técnico'!$H$5:$H$1000,$N44))))</f>
        <v/>
      </c>
      <c r="H44" s="67">
        <f>IF($N44="","",IF($P44&gt;0,IF(2&lt;=SemanaActual,INDEX('Cronograma Asistente Técnico'!$Z$5:$Z$1000,$N44),""),IF(INDEX('Cronograma Asistente Técnico'!$I$5:$I$1000,$N44)="","",INDEX('Cronograma Asistente Técnico'!$I$5:$I$1000,$N44))))</f>
        <v/>
      </c>
      <c r="I44" s="67">
        <f>IF($N44="","",IF($P44&gt;0,IF(3&lt;=SemanaActual,INDEX('Cronograma Asistente Técnico'!$AA$5:$AA$1000,$N44),""),IF(INDEX('Cronograma Asistente Técnico'!$J$5:$J$1000,$N44)="","",INDEX('Cronograma Asistente Técnico'!$J$5:$J$1000,$N44))))</f>
        <v/>
      </c>
      <c r="J44" s="67">
        <f>IF($N44="","",IF($P44&gt;0,IF(4&lt;=SemanaActual,INDEX('Cronograma Asistente Técnico'!$AB$5:$AB$1000,$N44),""),IF(INDEX('Cronograma Asistente Técnico'!$K$5:$K$1000,$N44)="","",INDEX('Cronograma Asistente Técnico'!$K$5:$K$1000,$N44))))</f>
        <v/>
      </c>
      <c r="K44" s="67">
        <f>IF($N44="","",INDEX('Cronograma Asistente Técnico'!$L$5:$L$1000,$N44))</f>
        <v/>
      </c>
      <c r="L44" s="61">
        <f>IF($N44="","",IF(N($K44)&gt;=1,"Completado",IF(AND(ISNUMBER($E44),$E44&lt;FechaRef),"Vencida",IF(N($K44)&gt;0,"En curso","Pendiente"))))</f>
        <v/>
      </c>
      <c r="M44" s="70">
        <f>IF($N44="","",INDEX('Cronograma Asistente Técnico'!$N$5:$N$1000,$N44)&amp;"")</f>
        <v/>
      </c>
      <c r="N44">
        <f>IFERROR(MATCH(ROW()-4,rOrden_ATR,0),"")</f>
        <v/>
      </c>
      <c r="O44">
        <f>IF($N44="","",INDEX('Cronograma Asistente Técnico'!$S$5:$S$1000,$N44))</f>
        <v/>
      </c>
      <c r="P44">
        <f>IF($N44="","",N(INDEX('Cronograma Asistente Técnico'!$T$5:$T$1000,$N44)))</f>
        <v/>
      </c>
    </row>
    <row r="45">
      <c r="A45" s="61">
        <f>IF($N45="","",INDEX('Cronograma Asistente Técnico'!$A$5:$A$1000,$N45))</f>
        <v/>
      </c>
      <c r="B45" s="70">
        <f>IF($N45="","",IF($O45="Sub","     ↳ "&amp;INDEX('Cronograma Asistente Técnico'!$C$5:$C$1000,$N45),INDEX('Cronograma Asistente Técnico'!$B$5:$B$1000,$N45)&amp;""))</f>
        <v/>
      </c>
      <c r="C45" s="70">
        <f>IF($N45="","",INDEX('Cronograma Asistente Técnico'!$D$5:$D$1000,$N45)&amp;"")</f>
        <v/>
      </c>
      <c r="D45" s="76">
        <f>IF($N45="","",IF(INDEX('Cronograma Asistente Técnico'!$E$5:$E$1000,$N45)="","",INDEX('Cronograma Asistente Técnico'!$E$5:$E$1000,$N45)))</f>
        <v/>
      </c>
      <c r="E45" s="76">
        <f>IF($N45="","",IF(INDEX('Cronograma Asistente Técnico'!$F$5:$F$1000,$N45)="","",INDEX('Cronograma Asistente Técnico'!$F$5:$F$1000,$N45)))</f>
        <v/>
      </c>
      <c r="F45" s="61">
        <f>IF($N45="","",IF(NOT(ISNUMBER($E45)),"",IF($E45&lt;InicioCiclo,"Antes del ciclo",IF($E45&gt;=InicioCiclo+28,"Después del ciclo","Semana "&amp;(INT(($E45-InicioCiclo)/7)+1)))))</f>
        <v/>
      </c>
      <c r="G45" s="67">
        <f>IF($N45="","",IF($P45&gt;0,IF(1&lt;=SemanaActual,INDEX('Cronograma Asistente Técnico'!$Y$5:$Y$1000,$N45),""),IF(INDEX('Cronograma Asistente Técnico'!$H$5:$H$1000,$N45)="","",INDEX('Cronograma Asistente Técnico'!$H$5:$H$1000,$N45))))</f>
        <v/>
      </c>
      <c r="H45" s="67">
        <f>IF($N45="","",IF($P45&gt;0,IF(2&lt;=SemanaActual,INDEX('Cronograma Asistente Técnico'!$Z$5:$Z$1000,$N45),""),IF(INDEX('Cronograma Asistente Técnico'!$I$5:$I$1000,$N45)="","",INDEX('Cronograma Asistente Técnico'!$I$5:$I$1000,$N45))))</f>
        <v/>
      </c>
      <c r="I45" s="67">
        <f>IF($N45="","",IF($P45&gt;0,IF(3&lt;=SemanaActual,INDEX('Cronograma Asistente Técnico'!$AA$5:$AA$1000,$N45),""),IF(INDEX('Cronograma Asistente Técnico'!$J$5:$J$1000,$N45)="","",INDEX('Cronograma Asistente Técnico'!$J$5:$J$1000,$N45))))</f>
        <v/>
      </c>
      <c r="J45" s="67">
        <f>IF($N45="","",IF($P45&gt;0,IF(4&lt;=SemanaActual,INDEX('Cronograma Asistente Técnico'!$AB$5:$AB$1000,$N45),""),IF(INDEX('Cronograma Asistente Técnico'!$K$5:$K$1000,$N45)="","",INDEX('Cronograma Asistente Técnico'!$K$5:$K$1000,$N45))))</f>
        <v/>
      </c>
      <c r="K45" s="67">
        <f>IF($N45="","",INDEX('Cronograma Asistente Técnico'!$L$5:$L$1000,$N45))</f>
        <v/>
      </c>
      <c r="L45" s="61">
        <f>IF($N45="","",IF(N($K45)&gt;=1,"Completado",IF(AND(ISNUMBER($E45),$E45&lt;FechaRef),"Vencida",IF(N($K45)&gt;0,"En curso","Pendiente"))))</f>
        <v/>
      </c>
      <c r="M45" s="70">
        <f>IF($N45="","",INDEX('Cronograma Asistente Técnico'!$N$5:$N$1000,$N45)&amp;"")</f>
        <v/>
      </c>
      <c r="N45">
        <f>IFERROR(MATCH(ROW()-4,rOrden_ATR,0),"")</f>
        <v/>
      </c>
      <c r="O45">
        <f>IF($N45="","",INDEX('Cronograma Asistente Técnico'!$S$5:$S$1000,$N45))</f>
        <v/>
      </c>
      <c r="P45">
        <f>IF($N45="","",N(INDEX('Cronograma Asistente Técnico'!$T$5:$T$1000,$N45)))</f>
        <v/>
      </c>
    </row>
    <row r="46">
      <c r="A46" s="61">
        <f>IF($N46="","",INDEX('Cronograma Asistente Técnico'!$A$5:$A$1000,$N46))</f>
        <v/>
      </c>
      <c r="B46" s="70">
        <f>IF($N46="","",IF($O46="Sub","     ↳ "&amp;INDEX('Cronograma Asistente Técnico'!$C$5:$C$1000,$N46),INDEX('Cronograma Asistente Técnico'!$B$5:$B$1000,$N46)&amp;""))</f>
        <v/>
      </c>
      <c r="C46" s="70">
        <f>IF($N46="","",INDEX('Cronograma Asistente Técnico'!$D$5:$D$1000,$N46)&amp;"")</f>
        <v/>
      </c>
      <c r="D46" s="76">
        <f>IF($N46="","",IF(INDEX('Cronograma Asistente Técnico'!$E$5:$E$1000,$N46)="","",INDEX('Cronograma Asistente Técnico'!$E$5:$E$1000,$N46)))</f>
        <v/>
      </c>
      <c r="E46" s="76">
        <f>IF($N46="","",IF(INDEX('Cronograma Asistente Técnico'!$F$5:$F$1000,$N46)="","",INDEX('Cronograma Asistente Técnico'!$F$5:$F$1000,$N46)))</f>
        <v/>
      </c>
      <c r="F46" s="61">
        <f>IF($N46="","",IF(NOT(ISNUMBER($E46)),"",IF($E46&lt;InicioCiclo,"Antes del ciclo",IF($E46&gt;=InicioCiclo+28,"Después del ciclo","Semana "&amp;(INT(($E46-InicioCiclo)/7)+1)))))</f>
        <v/>
      </c>
      <c r="G46" s="67">
        <f>IF($N46="","",IF($P46&gt;0,IF(1&lt;=SemanaActual,INDEX('Cronograma Asistente Técnico'!$Y$5:$Y$1000,$N46),""),IF(INDEX('Cronograma Asistente Técnico'!$H$5:$H$1000,$N46)="","",INDEX('Cronograma Asistente Técnico'!$H$5:$H$1000,$N46))))</f>
        <v/>
      </c>
      <c r="H46" s="67">
        <f>IF($N46="","",IF($P46&gt;0,IF(2&lt;=SemanaActual,INDEX('Cronograma Asistente Técnico'!$Z$5:$Z$1000,$N46),""),IF(INDEX('Cronograma Asistente Técnico'!$I$5:$I$1000,$N46)="","",INDEX('Cronograma Asistente Técnico'!$I$5:$I$1000,$N46))))</f>
        <v/>
      </c>
      <c r="I46" s="67">
        <f>IF($N46="","",IF($P46&gt;0,IF(3&lt;=SemanaActual,INDEX('Cronograma Asistente Técnico'!$AA$5:$AA$1000,$N46),""),IF(INDEX('Cronograma Asistente Técnico'!$J$5:$J$1000,$N46)="","",INDEX('Cronograma Asistente Técnico'!$J$5:$J$1000,$N46))))</f>
        <v/>
      </c>
      <c r="J46" s="67">
        <f>IF($N46="","",IF($P46&gt;0,IF(4&lt;=SemanaActual,INDEX('Cronograma Asistente Técnico'!$AB$5:$AB$1000,$N46),""),IF(INDEX('Cronograma Asistente Técnico'!$K$5:$K$1000,$N46)="","",INDEX('Cronograma Asistente Técnico'!$K$5:$K$1000,$N46))))</f>
        <v/>
      </c>
      <c r="K46" s="67">
        <f>IF($N46="","",INDEX('Cronograma Asistente Técnico'!$L$5:$L$1000,$N46))</f>
        <v/>
      </c>
      <c r="L46" s="61">
        <f>IF($N46="","",IF(N($K46)&gt;=1,"Completado",IF(AND(ISNUMBER($E46),$E46&lt;FechaRef),"Vencida",IF(N($K46)&gt;0,"En curso","Pendiente"))))</f>
        <v/>
      </c>
      <c r="M46" s="70">
        <f>IF($N46="","",INDEX('Cronograma Asistente Técnico'!$N$5:$N$1000,$N46)&amp;"")</f>
        <v/>
      </c>
      <c r="N46">
        <f>IFERROR(MATCH(ROW()-4,rOrden_ATR,0),"")</f>
        <v/>
      </c>
      <c r="O46">
        <f>IF($N46="","",INDEX('Cronograma Asistente Técnico'!$S$5:$S$1000,$N46))</f>
        <v/>
      </c>
      <c r="P46">
        <f>IF($N46="","",N(INDEX('Cronograma Asistente Técnico'!$T$5:$T$1000,$N46)))</f>
        <v/>
      </c>
    </row>
    <row r="47">
      <c r="A47" s="61">
        <f>IF($N47="","",INDEX('Cronograma Asistente Técnico'!$A$5:$A$1000,$N47))</f>
        <v/>
      </c>
      <c r="B47" s="70">
        <f>IF($N47="","",IF($O47="Sub","     ↳ "&amp;INDEX('Cronograma Asistente Técnico'!$C$5:$C$1000,$N47),INDEX('Cronograma Asistente Técnico'!$B$5:$B$1000,$N47)&amp;""))</f>
        <v/>
      </c>
      <c r="C47" s="70">
        <f>IF($N47="","",INDEX('Cronograma Asistente Técnico'!$D$5:$D$1000,$N47)&amp;"")</f>
        <v/>
      </c>
      <c r="D47" s="76">
        <f>IF($N47="","",IF(INDEX('Cronograma Asistente Técnico'!$E$5:$E$1000,$N47)="","",INDEX('Cronograma Asistente Técnico'!$E$5:$E$1000,$N47)))</f>
        <v/>
      </c>
      <c r="E47" s="76">
        <f>IF($N47="","",IF(INDEX('Cronograma Asistente Técnico'!$F$5:$F$1000,$N47)="","",INDEX('Cronograma Asistente Técnico'!$F$5:$F$1000,$N47)))</f>
        <v/>
      </c>
      <c r="F47" s="61">
        <f>IF($N47="","",IF(NOT(ISNUMBER($E47)),"",IF($E47&lt;InicioCiclo,"Antes del ciclo",IF($E47&gt;=InicioCiclo+28,"Después del ciclo","Semana "&amp;(INT(($E47-InicioCiclo)/7)+1)))))</f>
        <v/>
      </c>
      <c r="G47" s="67">
        <f>IF($N47="","",IF($P47&gt;0,IF(1&lt;=SemanaActual,INDEX('Cronograma Asistente Técnico'!$Y$5:$Y$1000,$N47),""),IF(INDEX('Cronograma Asistente Técnico'!$H$5:$H$1000,$N47)="","",INDEX('Cronograma Asistente Técnico'!$H$5:$H$1000,$N47))))</f>
        <v/>
      </c>
      <c r="H47" s="67">
        <f>IF($N47="","",IF($P47&gt;0,IF(2&lt;=SemanaActual,INDEX('Cronograma Asistente Técnico'!$Z$5:$Z$1000,$N47),""),IF(INDEX('Cronograma Asistente Técnico'!$I$5:$I$1000,$N47)="","",INDEX('Cronograma Asistente Técnico'!$I$5:$I$1000,$N47))))</f>
        <v/>
      </c>
      <c r="I47" s="67">
        <f>IF($N47="","",IF($P47&gt;0,IF(3&lt;=SemanaActual,INDEX('Cronograma Asistente Técnico'!$AA$5:$AA$1000,$N47),""),IF(INDEX('Cronograma Asistente Técnico'!$J$5:$J$1000,$N47)="","",INDEX('Cronograma Asistente Técnico'!$J$5:$J$1000,$N47))))</f>
        <v/>
      </c>
      <c r="J47" s="67">
        <f>IF($N47="","",IF($P47&gt;0,IF(4&lt;=SemanaActual,INDEX('Cronograma Asistente Técnico'!$AB$5:$AB$1000,$N47),""),IF(INDEX('Cronograma Asistente Técnico'!$K$5:$K$1000,$N47)="","",INDEX('Cronograma Asistente Técnico'!$K$5:$K$1000,$N47))))</f>
        <v/>
      </c>
      <c r="K47" s="67">
        <f>IF($N47="","",INDEX('Cronograma Asistente Técnico'!$L$5:$L$1000,$N47))</f>
        <v/>
      </c>
      <c r="L47" s="61">
        <f>IF($N47="","",IF(N($K47)&gt;=1,"Completado",IF(AND(ISNUMBER($E47),$E47&lt;FechaRef),"Vencida",IF(N($K47)&gt;0,"En curso","Pendiente"))))</f>
        <v/>
      </c>
      <c r="M47" s="70">
        <f>IF($N47="","",INDEX('Cronograma Asistente Técnico'!$N$5:$N$1000,$N47)&amp;"")</f>
        <v/>
      </c>
      <c r="N47">
        <f>IFERROR(MATCH(ROW()-4,rOrden_ATR,0),"")</f>
        <v/>
      </c>
      <c r="O47">
        <f>IF($N47="","",INDEX('Cronograma Asistente Técnico'!$S$5:$S$1000,$N47))</f>
        <v/>
      </c>
      <c r="P47">
        <f>IF($N47="","",N(INDEX('Cronograma Asistente Técnico'!$T$5:$T$1000,$N47)))</f>
        <v/>
      </c>
    </row>
    <row r="48">
      <c r="A48" s="61">
        <f>IF($N48="","",INDEX('Cronograma Asistente Técnico'!$A$5:$A$1000,$N48))</f>
        <v/>
      </c>
      <c r="B48" s="70">
        <f>IF($N48="","",IF($O48="Sub","     ↳ "&amp;INDEX('Cronograma Asistente Técnico'!$C$5:$C$1000,$N48),INDEX('Cronograma Asistente Técnico'!$B$5:$B$1000,$N48)&amp;""))</f>
        <v/>
      </c>
      <c r="C48" s="70">
        <f>IF($N48="","",INDEX('Cronograma Asistente Técnico'!$D$5:$D$1000,$N48)&amp;"")</f>
        <v/>
      </c>
      <c r="D48" s="76">
        <f>IF($N48="","",IF(INDEX('Cronograma Asistente Técnico'!$E$5:$E$1000,$N48)="","",INDEX('Cronograma Asistente Técnico'!$E$5:$E$1000,$N48)))</f>
        <v/>
      </c>
      <c r="E48" s="76">
        <f>IF($N48="","",IF(INDEX('Cronograma Asistente Técnico'!$F$5:$F$1000,$N48)="","",INDEX('Cronograma Asistente Técnico'!$F$5:$F$1000,$N48)))</f>
        <v/>
      </c>
      <c r="F48" s="61">
        <f>IF($N48="","",IF(NOT(ISNUMBER($E48)),"",IF($E48&lt;InicioCiclo,"Antes del ciclo",IF($E48&gt;=InicioCiclo+28,"Después del ciclo","Semana "&amp;(INT(($E48-InicioCiclo)/7)+1)))))</f>
        <v/>
      </c>
      <c r="G48" s="67">
        <f>IF($N48="","",IF($P48&gt;0,IF(1&lt;=SemanaActual,INDEX('Cronograma Asistente Técnico'!$Y$5:$Y$1000,$N48),""),IF(INDEX('Cronograma Asistente Técnico'!$H$5:$H$1000,$N48)="","",INDEX('Cronograma Asistente Técnico'!$H$5:$H$1000,$N48))))</f>
        <v/>
      </c>
      <c r="H48" s="67">
        <f>IF($N48="","",IF($P48&gt;0,IF(2&lt;=SemanaActual,INDEX('Cronograma Asistente Técnico'!$Z$5:$Z$1000,$N48),""),IF(INDEX('Cronograma Asistente Técnico'!$I$5:$I$1000,$N48)="","",INDEX('Cronograma Asistente Técnico'!$I$5:$I$1000,$N48))))</f>
        <v/>
      </c>
      <c r="I48" s="67">
        <f>IF($N48="","",IF($P48&gt;0,IF(3&lt;=SemanaActual,INDEX('Cronograma Asistente Técnico'!$AA$5:$AA$1000,$N48),""),IF(INDEX('Cronograma Asistente Técnico'!$J$5:$J$1000,$N48)="","",INDEX('Cronograma Asistente Técnico'!$J$5:$J$1000,$N48))))</f>
        <v/>
      </c>
      <c r="J48" s="67">
        <f>IF($N48="","",IF($P48&gt;0,IF(4&lt;=SemanaActual,INDEX('Cronograma Asistente Técnico'!$AB$5:$AB$1000,$N48),""),IF(INDEX('Cronograma Asistente Técnico'!$K$5:$K$1000,$N48)="","",INDEX('Cronograma Asistente Técnico'!$K$5:$K$1000,$N48))))</f>
        <v/>
      </c>
      <c r="K48" s="67">
        <f>IF($N48="","",INDEX('Cronograma Asistente Técnico'!$L$5:$L$1000,$N48))</f>
        <v/>
      </c>
      <c r="L48" s="61">
        <f>IF($N48="","",IF(N($K48)&gt;=1,"Completado",IF(AND(ISNUMBER($E48),$E48&lt;FechaRef),"Vencida",IF(N($K48)&gt;0,"En curso","Pendiente"))))</f>
        <v/>
      </c>
      <c r="M48" s="70">
        <f>IF($N48="","",INDEX('Cronograma Asistente Técnico'!$N$5:$N$1000,$N48)&amp;"")</f>
        <v/>
      </c>
      <c r="N48">
        <f>IFERROR(MATCH(ROW()-4,rOrden_ATR,0),"")</f>
        <v/>
      </c>
      <c r="O48">
        <f>IF($N48="","",INDEX('Cronograma Asistente Técnico'!$S$5:$S$1000,$N48))</f>
        <v/>
      </c>
      <c r="P48">
        <f>IF($N48="","",N(INDEX('Cronograma Asistente Técnico'!$T$5:$T$1000,$N48)))</f>
        <v/>
      </c>
    </row>
    <row r="49">
      <c r="A49" s="61">
        <f>IF($N49="","",INDEX('Cronograma Asistente Técnico'!$A$5:$A$1000,$N49))</f>
        <v/>
      </c>
      <c r="B49" s="70">
        <f>IF($N49="","",IF($O49="Sub","     ↳ "&amp;INDEX('Cronograma Asistente Técnico'!$C$5:$C$1000,$N49),INDEX('Cronograma Asistente Técnico'!$B$5:$B$1000,$N49)&amp;""))</f>
        <v/>
      </c>
      <c r="C49" s="70">
        <f>IF($N49="","",INDEX('Cronograma Asistente Técnico'!$D$5:$D$1000,$N49)&amp;"")</f>
        <v/>
      </c>
      <c r="D49" s="76">
        <f>IF($N49="","",IF(INDEX('Cronograma Asistente Técnico'!$E$5:$E$1000,$N49)="","",INDEX('Cronograma Asistente Técnico'!$E$5:$E$1000,$N49)))</f>
        <v/>
      </c>
      <c r="E49" s="76">
        <f>IF($N49="","",IF(INDEX('Cronograma Asistente Técnico'!$F$5:$F$1000,$N49)="","",INDEX('Cronograma Asistente Técnico'!$F$5:$F$1000,$N49)))</f>
        <v/>
      </c>
      <c r="F49" s="61">
        <f>IF($N49="","",IF(NOT(ISNUMBER($E49)),"",IF($E49&lt;InicioCiclo,"Antes del ciclo",IF($E49&gt;=InicioCiclo+28,"Después del ciclo","Semana "&amp;(INT(($E49-InicioCiclo)/7)+1)))))</f>
        <v/>
      </c>
      <c r="G49" s="67">
        <f>IF($N49="","",IF($P49&gt;0,IF(1&lt;=SemanaActual,INDEX('Cronograma Asistente Técnico'!$Y$5:$Y$1000,$N49),""),IF(INDEX('Cronograma Asistente Técnico'!$H$5:$H$1000,$N49)="","",INDEX('Cronograma Asistente Técnico'!$H$5:$H$1000,$N49))))</f>
        <v/>
      </c>
      <c r="H49" s="67">
        <f>IF($N49="","",IF($P49&gt;0,IF(2&lt;=SemanaActual,INDEX('Cronograma Asistente Técnico'!$Z$5:$Z$1000,$N49),""),IF(INDEX('Cronograma Asistente Técnico'!$I$5:$I$1000,$N49)="","",INDEX('Cronograma Asistente Técnico'!$I$5:$I$1000,$N49))))</f>
        <v/>
      </c>
      <c r="I49" s="67">
        <f>IF($N49="","",IF($P49&gt;0,IF(3&lt;=SemanaActual,INDEX('Cronograma Asistente Técnico'!$AA$5:$AA$1000,$N49),""),IF(INDEX('Cronograma Asistente Técnico'!$J$5:$J$1000,$N49)="","",INDEX('Cronograma Asistente Técnico'!$J$5:$J$1000,$N49))))</f>
        <v/>
      </c>
      <c r="J49" s="67">
        <f>IF($N49="","",IF($P49&gt;0,IF(4&lt;=SemanaActual,INDEX('Cronograma Asistente Técnico'!$AB$5:$AB$1000,$N49),""),IF(INDEX('Cronograma Asistente Técnico'!$K$5:$K$1000,$N49)="","",INDEX('Cronograma Asistente Técnico'!$K$5:$K$1000,$N49))))</f>
        <v/>
      </c>
      <c r="K49" s="67">
        <f>IF($N49="","",INDEX('Cronograma Asistente Técnico'!$L$5:$L$1000,$N49))</f>
        <v/>
      </c>
      <c r="L49" s="61">
        <f>IF($N49="","",IF(N($K49)&gt;=1,"Completado",IF(AND(ISNUMBER($E49),$E49&lt;FechaRef),"Vencida",IF(N($K49)&gt;0,"En curso","Pendiente"))))</f>
        <v/>
      </c>
      <c r="M49" s="70">
        <f>IF($N49="","",INDEX('Cronograma Asistente Técnico'!$N$5:$N$1000,$N49)&amp;"")</f>
        <v/>
      </c>
      <c r="N49">
        <f>IFERROR(MATCH(ROW()-4,rOrden_ATR,0),"")</f>
        <v/>
      </c>
      <c r="O49">
        <f>IF($N49="","",INDEX('Cronograma Asistente Técnico'!$S$5:$S$1000,$N49))</f>
        <v/>
      </c>
      <c r="P49">
        <f>IF($N49="","",N(INDEX('Cronograma Asistente Técnico'!$T$5:$T$1000,$N49)))</f>
        <v/>
      </c>
    </row>
    <row r="50">
      <c r="A50" s="61">
        <f>IF($N50="","",INDEX('Cronograma Asistente Técnico'!$A$5:$A$1000,$N50))</f>
        <v/>
      </c>
      <c r="B50" s="70">
        <f>IF($N50="","",IF($O50="Sub","     ↳ "&amp;INDEX('Cronograma Asistente Técnico'!$C$5:$C$1000,$N50),INDEX('Cronograma Asistente Técnico'!$B$5:$B$1000,$N50)&amp;""))</f>
        <v/>
      </c>
      <c r="C50" s="70">
        <f>IF($N50="","",INDEX('Cronograma Asistente Técnico'!$D$5:$D$1000,$N50)&amp;"")</f>
        <v/>
      </c>
      <c r="D50" s="76">
        <f>IF($N50="","",IF(INDEX('Cronograma Asistente Técnico'!$E$5:$E$1000,$N50)="","",INDEX('Cronograma Asistente Técnico'!$E$5:$E$1000,$N50)))</f>
        <v/>
      </c>
      <c r="E50" s="76">
        <f>IF($N50="","",IF(INDEX('Cronograma Asistente Técnico'!$F$5:$F$1000,$N50)="","",INDEX('Cronograma Asistente Técnico'!$F$5:$F$1000,$N50)))</f>
        <v/>
      </c>
      <c r="F50" s="61">
        <f>IF($N50="","",IF(NOT(ISNUMBER($E50)),"",IF($E50&lt;InicioCiclo,"Antes del ciclo",IF($E50&gt;=InicioCiclo+28,"Después del ciclo","Semana "&amp;(INT(($E50-InicioCiclo)/7)+1)))))</f>
        <v/>
      </c>
      <c r="G50" s="67">
        <f>IF($N50="","",IF($P50&gt;0,IF(1&lt;=SemanaActual,INDEX('Cronograma Asistente Técnico'!$Y$5:$Y$1000,$N50),""),IF(INDEX('Cronograma Asistente Técnico'!$H$5:$H$1000,$N50)="","",INDEX('Cronograma Asistente Técnico'!$H$5:$H$1000,$N50))))</f>
        <v/>
      </c>
      <c r="H50" s="67">
        <f>IF($N50="","",IF($P50&gt;0,IF(2&lt;=SemanaActual,INDEX('Cronograma Asistente Técnico'!$Z$5:$Z$1000,$N50),""),IF(INDEX('Cronograma Asistente Técnico'!$I$5:$I$1000,$N50)="","",INDEX('Cronograma Asistente Técnico'!$I$5:$I$1000,$N50))))</f>
        <v/>
      </c>
      <c r="I50" s="67">
        <f>IF($N50="","",IF($P50&gt;0,IF(3&lt;=SemanaActual,INDEX('Cronograma Asistente Técnico'!$AA$5:$AA$1000,$N50),""),IF(INDEX('Cronograma Asistente Técnico'!$J$5:$J$1000,$N50)="","",INDEX('Cronograma Asistente Técnico'!$J$5:$J$1000,$N50))))</f>
        <v/>
      </c>
      <c r="J50" s="67">
        <f>IF($N50="","",IF($P50&gt;0,IF(4&lt;=SemanaActual,INDEX('Cronograma Asistente Técnico'!$AB$5:$AB$1000,$N50),""),IF(INDEX('Cronograma Asistente Técnico'!$K$5:$K$1000,$N50)="","",INDEX('Cronograma Asistente Técnico'!$K$5:$K$1000,$N50))))</f>
        <v/>
      </c>
      <c r="K50" s="67">
        <f>IF($N50="","",INDEX('Cronograma Asistente Técnico'!$L$5:$L$1000,$N50))</f>
        <v/>
      </c>
      <c r="L50" s="61">
        <f>IF($N50="","",IF(N($K50)&gt;=1,"Completado",IF(AND(ISNUMBER($E50),$E50&lt;FechaRef),"Vencida",IF(N($K50)&gt;0,"En curso","Pendiente"))))</f>
        <v/>
      </c>
      <c r="M50" s="70">
        <f>IF($N50="","",INDEX('Cronograma Asistente Técnico'!$N$5:$N$1000,$N50)&amp;"")</f>
        <v/>
      </c>
      <c r="N50">
        <f>IFERROR(MATCH(ROW()-4,rOrden_ATR,0),"")</f>
        <v/>
      </c>
      <c r="O50">
        <f>IF($N50="","",INDEX('Cronograma Asistente Técnico'!$S$5:$S$1000,$N50))</f>
        <v/>
      </c>
      <c r="P50">
        <f>IF($N50="","",N(INDEX('Cronograma Asistente Técnico'!$T$5:$T$1000,$N50)))</f>
        <v/>
      </c>
    </row>
    <row r="51">
      <c r="A51" s="61">
        <f>IF($N51="","",INDEX('Cronograma Asistente Técnico'!$A$5:$A$1000,$N51))</f>
        <v/>
      </c>
      <c r="B51" s="70">
        <f>IF($N51="","",IF($O51="Sub","     ↳ "&amp;INDEX('Cronograma Asistente Técnico'!$C$5:$C$1000,$N51),INDEX('Cronograma Asistente Técnico'!$B$5:$B$1000,$N51)&amp;""))</f>
        <v/>
      </c>
      <c r="C51" s="70">
        <f>IF($N51="","",INDEX('Cronograma Asistente Técnico'!$D$5:$D$1000,$N51)&amp;"")</f>
        <v/>
      </c>
      <c r="D51" s="76">
        <f>IF($N51="","",IF(INDEX('Cronograma Asistente Técnico'!$E$5:$E$1000,$N51)="","",INDEX('Cronograma Asistente Técnico'!$E$5:$E$1000,$N51)))</f>
        <v/>
      </c>
      <c r="E51" s="76">
        <f>IF($N51="","",IF(INDEX('Cronograma Asistente Técnico'!$F$5:$F$1000,$N51)="","",INDEX('Cronograma Asistente Técnico'!$F$5:$F$1000,$N51)))</f>
        <v/>
      </c>
      <c r="F51" s="61">
        <f>IF($N51="","",IF(NOT(ISNUMBER($E51)),"",IF($E51&lt;InicioCiclo,"Antes del ciclo",IF($E51&gt;=InicioCiclo+28,"Después del ciclo","Semana "&amp;(INT(($E51-InicioCiclo)/7)+1)))))</f>
        <v/>
      </c>
      <c r="G51" s="67">
        <f>IF($N51="","",IF($P51&gt;0,IF(1&lt;=SemanaActual,INDEX('Cronograma Asistente Técnico'!$Y$5:$Y$1000,$N51),""),IF(INDEX('Cronograma Asistente Técnico'!$H$5:$H$1000,$N51)="","",INDEX('Cronograma Asistente Técnico'!$H$5:$H$1000,$N51))))</f>
        <v/>
      </c>
      <c r="H51" s="67">
        <f>IF($N51="","",IF($P51&gt;0,IF(2&lt;=SemanaActual,INDEX('Cronograma Asistente Técnico'!$Z$5:$Z$1000,$N51),""),IF(INDEX('Cronograma Asistente Técnico'!$I$5:$I$1000,$N51)="","",INDEX('Cronograma Asistente Técnico'!$I$5:$I$1000,$N51))))</f>
        <v/>
      </c>
      <c r="I51" s="67">
        <f>IF($N51="","",IF($P51&gt;0,IF(3&lt;=SemanaActual,INDEX('Cronograma Asistente Técnico'!$AA$5:$AA$1000,$N51),""),IF(INDEX('Cronograma Asistente Técnico'!$J$5:$J$1000,$N51)="","",INDEX('Cronograma Asistente Técnico'!$J$5:$J$1000,$N51))))</f>
        <v/>
      </c>
      <c r="J51" s="67">
        <f>IF($N51="","",IF($P51&gt;0,IF(4&lt;=SemanaActual,INDEX('Cronograma Asistente Técnico'!$AB$5:$AB$1000,$N51),""),IF(INDEX('Cronograma Asistente Técnico'!$K$5:$K$1000,$N51)="","",INDEX('Cronograma Asistente Técnico'!$K$5:$K$1000,$N51))))</f>
        <v/>
      </c>
      <c r="K51" s="67">
        <f>IF($N51="","",INDEX('Cronograma Asistente Técnico'!$L$5:$L$1000,$N51))</f>
        <v/>
      </c>
      <c r="L51" s="61">
        <f>IF($N51="","",IF(N($K51)&gt;=1,"Completado",IF(AND(ISNUMBER($E51),$E51&lt;FechaRef),"Vencida",IF(N($K51)&gt;0,"En curso","Pendiente"))))</f>
        <v/>
      </c>
      <c r="M51" s="70">
        <f>IF($N51="","",INDEX('Cronograma Asistente Técnico'!$N$5:$N$1000,$N51)&amp;"")</f>
        <v/>
      </c>
      <c r="N51">
        <f>IFERROR(MATCH(ROW()-4,rOrden_ATR,0),"")</f>
        <v/>
      </c>
      <c r="O51">
        <f>IF($N51="","",INDEX('Cronograma Asistente Técnico'!$S$5:$S$1000,$N51))</f>
        <v/>
      </c>
      <c r="P51">
        <f>IF($N51="","",N(INDEX('Cronograma Asistente Técnico'!$T$5:$T$1000,$N51)))</f>
        <v/>
      </c>
    </row>
    <row r="52">
      <c r="A52" s="61">
        <f>IF($N52="","",INDEX('Cronograma Asistente Técnico'!$A$5:$A$1000,$N52))</f>
        <v/>
      </c>
      <c r="B52" s="70">
        <f>IF($N52="","",IF($O52="Sub","     ↳ "&amp;INDEX('Cronograma Asistente Técnico'!$C$5:$C$1000,$N52),INDEX('Cronograma Asistente Técnico'!$B$5:$B$1000,$N52)&amp;""))</f>
        <v/>
      </c>
      <c r="C52" s="70">
        <f>IF($N52="","",INDEX('Cronograma Asistente Técnico'!$D$5:$D$1000,$N52)&amp;"")</f>
        <v/>
      </c>
      <c r="D52" s="76">
        <f>IF($N52="","",IF(INDEX('Cronograma Asistente Técnico'!$E$5:$E$1000,$N52)="","",INDEX('Cronograma Asistente Técnico'!$E$5:$E$1000,$N52)))</f>
        <v/>
      </c>
      <c r="E52" s="76">
        <f>IF($N52="","",IF(INDEX('Cronograma Asistente Técnico'!$F$5:$F$1000,$N52)="","",INDEX('Cronograma Asistente Técnico'!$F$5:$F$1000,$N52)))</f>
        <v/>
      </c>
      <c r="F52" s="61">
        <f>IF($N52="","",IF(NOT(ISNUMBER($E52)),"",IF($E52&lt;InicioCiclo,"Antes del ciclo",IF($E52&gt;=InicioCiclo+28,"Después del ciclo","Semana "&amp;(INT(($E52-InicioCiclo)/7)+1)))))</f>
        <v/>
      </c>
      <c r="G52" s="67">
        <f>IF($N52="","",IF($P52&gt;0,IF(1&lt;=SemanaActual,INDEX('Cronograma Asistente Técnico'!$Y$5:$Y$1000,$N52),""),IF(INDEX('Cronograma Asistente Técnico'!$H$5:$H$1000,$N52)="","",INDEX('Cronograma Asistente Técnico'!$H$5:$H$1000,$N52))))</f>
        <v/>
      </c>
      <c r="H52" s="67">
        <f>IF($N52="","",IF($P52&gt;0,IF(2&lt;=SemanaActual,INDEX('Cronograma Asistente Técnico'!$Z$5:$Z$1000,$N52),""),IF(INDEX('Cronograma Asistente Técnico'!$I$5:$I$1000,$N52)="","",INDEX('Cronograma Asistente Técnico'!$I$5:$I$1000,$N52))))</f>
        <v/>
      </c>
      <c r="I52" s="67">
        <f>IF($N52="","",IF($P52&gt;0,IF(3&lt;=SemanaActual,INDEX('Cronograma Asistente Técnico'!$AA$5:$AA$1000,$N52),""),IF(INDEX('Cronograma Asistente Técnico'!$J$5:$J$1000,$N52)="","",INDEX('Cronograma Asistente Técnico'!$J$5:$J$1000,$N52))))</f>
        <v/>
      </c>
      <c r="J52" s="67">
        <f>IF($N52="","",IF($P52&gt;0,IF(4&lt;=SemanaActual,INDEX('Cronograma Asistente Técnico'!$AB$5:$AB$1000,$N52),""),IF(INDEX('Cronograma Asistente Técnico'!$K$5:$K$1000,$N52)="","",INDEX('Cronograma Asistente Técnico'!$K$5:$K$1000,$N52))))</f>
        <v/>
      </c>
      <c r="K52" s="67">
        <f>IF($N52="","",INDEX('Cronograma Asistente Técnico'!$L$5:$L$1000,$N52))</f>
        <v/>
      </c>
      <c r="L52" s="61">
        <f>IF($N52="","",IF(N($K52)&gt;=1,"Completado",IF(AND(ISNUMBER($E52),$E52&lt;FechaRef),"Vencida",IF(N($K52)&gt;0,"En curso","Pendiente"))))</f>
        <v/>
      </c>
      <c r="M52" s="70">
        <f>IF($N52="","",INDEX('Cronograma Asistente Técnico'!$N$5:$N$1000,$N52)&amp;"")</f>
        <v/>
      </c>
      <c r="N52">
        <f>IFERROR(MATCH(ROW()-4,rOrden_ATR,0),"")</f>
        <v/>
      </c>
      <c r="O52">
        <f>IF($N52="","",INDEX('Cronograma Asistente Técnico'!$S$5:$S$1000,$N52))</f>
        <v/>
      </c>
      <c r="P52">
        <f>IF($N52="","",N(INDEX('Cronograma Asistente Técnico'!$T$5:$T$1000,$N52)))</f>
        <v/>
      </c>
    </row>
    <row r="53">
      <c r="A53" s="61">
        <f>IF($N53="","",INDEX('Cronograma Asistente Técnico'!$A$5:$A$1000,$N53))</f>
        <v/>
      </c>
      <c r="B53" s="70">
        <f>IF($N53="","",IF($O53="Sub","     ↳ "&amp;INDEX('Cronograma Asistente Técnico'!$C$5:$C$1000,$N53),INDEX('Cronograma Asistente Técnico'!$B$5:$B$1000,$N53)&amp;""))</f>
        <v/>
      </c>
      <c r="C53" s="70">
        <f>IF($N53="","",INDEX('Cronograma Asistente Técnico'!$D$5:$D$1000,$N53)&amp;"")</f>
        <v/>
      </c>
      <c r="D53" s="76">
        <f>IF($N53="","",IF(INDEX('Cronograma Asistente Técnico'!$E$5:$E$1000,$N53)="","",INDEX('Cronograma Asistente Técnico'!$E$5:$E$1000,$N53)))</f>
        <v/>
      </c>
      <c r="E53" s="76">
        <f>IF($N53="","",IF(INDEX('Cronograma Asistente Técnico'!$F$5:$F$1000,$N53)="","",INDEX('Cronograma Asistente Técnico'!$F$5:$F$1000,$N53)))</f>
        <v/>
      </c>
      <c r="F53" s="61">
        <f>IF($N53="","",IF(NOT(ISNUMBER($E53)),"",IF($E53&lt;InicioCiclo,"Antes del ciclo",IF($E53&gt;=InicioCiclo+28,"Después del ciclo","Semana "&amp;(INT(($E53-InicioCiclo)/7)+1)))))</f>
        <v/>
      </c>
      <c r="G53" s="67">
        <f>IF($N53="","",IF($P53&gt;0,IF(1&lt;=SemanaActual,INDEX('Cronograma Asistente Técnico'!$Y$5:$Y$1000,$N53),""),IF(INDEX('Cronograma Asistente Técnico'!$H$5:$H$1000,$N53)="","",INDEX('Cronograma Asistente Técnico'!$H$5:$H$1000,$N53))))</f>
        <v/>
      </c>
      <c r="H53" s="67">
        <f>IF($N53="","",IF($P53&gt;0,IF(2&lt;=SemanaActual,INDEX('Cronograma Asistente Técnico'!$Z$5:$Z$1000,$N53),""),IF(INDEX('Cronograma Asistente Técnico'!$I$5:$I$1000,$N53)="","",INDEX('Cronograma Asistente Técnico'!$I$5:$I$1000,$N53))))</f>
        <v/>
      </c>
      <c r="I53" s="67">
        <f>IF($N53="","",IF($P53&gt;0,IF(3&lt;=SemanaActual,INDEX('Cronograma Asistente Técnico'!$AA$5:$AA$1000,$N53),""),IF(INDEX('Cronograma Asistente Técnico'!$J$5:$J$1000,$N53)="","",INDEX('Cronograma Asistente Técnico'!$J$5:$J$1000,$N53))))</f>
        <v/>
      </c>
      <c r="J53" s="67">
        <f>IF($N53="","",IF($P53&gt;0,IF(4&lt;=SemanaActual,INDEX('Cronograma Asistente Técnico'!$AB$5:$AB$1000,$N53),""),IF(INDEX('Cronograma Asistente Técnico'!$K$5:$K$1000,$N53)="","",INDEX('Cronograma Asistente Técnico'!$K$5:$K$1000,$N53))))</f>
        <v/>
      </c>
      <c r="K53" s="67">
        <f>IF($N53="","",INDEX('Cronograma Asistente Técnico'!$L$5:$L$1000,$N53))</f>
        <v/>
      </c>
      <c r="L53" s="61">
        <f>IF($N53="","",IF(N($K53)&gt;=1,"Completado",IF(AND(ISNUMBER($E53),$E53&lt;FechaRef),"Vencida",IF(N($K53)&gt;0,"En curso","Pendiente"))))</f>
        <v/>
      </c>
      <c r="M53" s="70">
        <f>IF($N53="","",INDEX('Cronograma Asistente Técnico'!$N$5:$N$1000,$N53)&amp;"")</f>
        <v/>
      </c>
      <c r="N53">
        <f>IFERROR(MATCH(ROW()-4,rOrden_ATR,0),"")</f>
        <v/>
      </c>
      <c r="O53">
        <f>IF($N53="","",INDEX('Cronograma Asistente Técnico'!$S$5:$S$1000,$N53))</f>
        <v/>
      </c>
      <c r="P53">
        <f>IF($N53="","",N(INDEX('Cronograma Asistente Técnico'!$T$5:$T$1000,$N53)))</f>
        <v/>
      </c>
    </row>
    <row r="54">
      <c r="A54" s="61">
        <f>IF($N54="","",INDEX('Cronograma Asistente Técnico'!$A$5:$A$1000,$N54))</f>
        <v/>
      </c>
      <c r="B54" s="70">
        <f>IF($N54="","",IF($O54="Sub","     ↳ "&amp;INDEX('Cronograma Asistente Técnico'!$C$5:$C$1000,$N54),INDEX('Cronograma Asistente Técnico'!$B$5:$B$1000,$N54)&amp;""))</f>
        <v/>
      </c>
      <c r="C54" s="70">
        <f>IF($N54="","",INDEX('Cronograma Asistente Técnico'!$D$5:$D$1000,$N54)&amp;"")</f>
        <v/>
      </c>
      <c r="D54" s="76">
        <f>IF($N54="","",IF(INDEX('Cronograma Asistente Técnico'!$E$5:$E$1000,$N54)="","",INDEX('Cronograma Asistente Técnico'!$E$5:$E$1000,$N54)))</f>
        <v/>
      </c>
      <c r="E54" s="76">
        <f>IF($N54="","",IF(INDEX('Cronograma Asistente Técnico'!$F$5:$F$1000,$N54)="","",INDEX('Cronograma Asistente Técnico'!$F$5:$F$1000,$N54)))</f>
        <v/>
      </c>
      <c r="F54" s="61">
        <f>IF($N54="","",IF(NOT(ISNUMBER($E54)),"",IF($E54&lt;InicioCiclo,"Antes del ciclo",IF($E54&gt;=InicioCiclo+28,"Después del ciclo","Semana "&amp;(INT(($E54-InicioCiclo)/7)+1)))))</f>
        <v/>
      </c>
      <c r="G54" s="67">
        <f>IF($N54="","",IF($P54&gt;0,IF(1&lt;=SemanaActual,INDEX('Cronograma Asistente Técnico'!$Y$5:$Y$1000,$N54),""),IF(INDEX('Cronograma Asistente Técnico'!$H$5:$H$1000,$N54)="","",INDEX('Cronograma Asistente Técnico'!$H$5:$H$1000,$N54))))</f>
        <v/>
      </c>
      <c r="H54" s="67">
        <f>IF($N54="","",IF($P54&gt;0,IF(2&lt;=SemanaActual,INDEX('Cronograma Asistente Técnico'!$Z$5:$Z$1000,$N54),""),IF(INDEX('Cronograma Asistente Técnico'!$I$5:$I$1000,$N54)="","",INDEX('Cronograma Asistente Técnico'!$I$5:$I$1000,$N54))))</f>
        <v/>
      </c>
      <c r="I54" s="67">
        <f>IF($N54="","",IF($P54&gt;0,IF(3&lt;=SemanaActual,INDEX('Cronograma Asistente Técnico'!$AA$5:$AA$1000,$N54),""),IF(INDEX('Cronograma Asistente Técnico'!$J$5:$J$1000,$N54)="","",INDEX('Cronograma Asistente Técnico'!$J$5:$J$1000,$N54))))</f>
        <v/>
      </c>
      <c r="J54" s="67">
        <f>IF($N54="","",IF($P54&gt;0,IF(4&lt;=SemanaActual,INDEX('Cronograma Asistente Técnico'!$AB$5:$AB$1000,$N54),""),IF(INDEX('Cronograma Asistente Técnico'!$K$5:$K$1000,$N54)="","",INDEX('Cronograma Asistente Técnico'!$K$5:$K$1000,$N54))))</f>
        <v/>
      </c>
      <c r="K54" s="67">
        <f>IF($N54="","",INDEX('Cronograma Asistente Técnico'!$L$5:$L$1000,$N54))</f>
        <v/>
      </c>
      <c r="L54" s="61">
        <f>IF($N54="","",IF(N($K54)&gt;=1,"Completado",IF(AND(ISNUMBER($E54),$E54&lt;FechaRef),"Vencida",IF(N($K54)&gt;0,"En curso","Pendiente"))))</f>
        <v/>
      </c>
      <c r="M54" s="70">
        <f>IF($N54="","",INDEX('Cronograma Asistente Técnico'!$N$5:$N$1000,$N54)&amp;"")</f>
        <v/>
      </c>
      <c r="N54">
        <f>IFERROR(MATCH(ROW()-4,rOrden_ATR,0),"")</f>
        <v/>
      </c>
      <c r="O54">
        <f>IF($N54="","",INDEX('Cronograma Asistente Técnico'!$S$5:$S$1000,$N54))</f>
        <v/>
      </c>
      <c r="P54">
        <f>IF($N54="","",N(INDEX('Cronograma Asistente Técnico'!$T$5:$T$1000,$N54)))</f>
        <v/>
      </c>
    </row>
    <row r="55">
      <c r="A55" s="61">
        <f>IF($N55="","",INDEX('Cronograma Asistente Técnico'!$A$5:$A$1000,$N55))</f>
        <v/>
      </c>
      <c r="B55" s="70">
        <f>IF($N55="","",IF($O55="Sub","     ↳ "&amp;INDEX('Cronograma Asistente Técnico'!$C$5:$C$1000,$N55),INDEX('Cronograma Asistente Técnico'!$B$5:$B$1000,$N55)&amp;""))</f>
        <v/>
      </c>
      <c r="C55" s="70">
        <f>IF($N55="","",INDEX('Cronograma Asistente Técnico'!$D$5:$D$1000,$N55)&amp;"")</f>
        <v/>
      </c>
      <c r="D55" s="76">
        <f>IF($N55="","",IF(INDEX('Cronograma Asistente Técnico'!$E$5:$E$1000,$N55)="","",INDEX('Cronograma Asistente Técnico'!$E$5:$E$1000,$N55)))</f>
        <v/>
      </c>
      <c r="E55" s="76">
        <f>IF($N55="","",IF(INDEX('Cronograma Asistente Técnico'!$F$5:$F$1000,$N55)="","",INDEX('Cronograma Asistente Técnico'!$F$5:$F$1000,$N55)))</f>
        <v/>
      </c>
      <c r="F55" s="61">
        <f>IF($N55="","",IF(NOT(ISNUMBER($E55)),"",IF($E55&lt;InicioCiclo,"Antes del ciclo",IF($E55&gt;=InicioCiclo+28,"Después del ciclo","Semana "&amp;(INT(($E55-InicioCiclo)/7)+1)))))</f>
        <v/>
      </c>
      <c r="G55" s="67">
        <f>IF($N55="","",IF($P55&gt;0,IF(1&lt;=SemanaActual,INDEX('Cronograma Asistente Técnico'!$Y$5:$Y$1000,$N55),""),IF(INDEX('Cronograma Asistente Técnico'!$H$5:$H$1000,$N55)="","",INDEX('Cronograma Asistente Técnico'!$H$5:$H$1000,$N55))))</f>
        <v/>
      </c>
      <c r="H55" s="67">
        <f>IF($N55="","",IF($P55&gt;0,IF(2&lt;=SemanaActual,INDEX('Cronograma Asistente Técnico'!$Z$5:$Z$1000,$N55),""),IF(INDEX('Cronograma Asistente Técnico'!$I$5:$I$1000,$N55)="","",INDEX('Cronograma Asistente Técnico'!$I$5:$I$1000,$N55))))</f>
        <v/>
      </c>
      <c r="I55" s="67">
        <f>IF($N55="","",IF($P55&gt;0,IF(3&lt;=SemanaActual,INDEX('Cronograma Asistente Técnico'!$AA$5:$AA$1000,$N55),""),IF(INDEX('Cronograma Asistente Técnico'!$J$5:$J$1000,$N55)="","",INDEX('Cronograma Asistente Técnico'!$J$5:$J$1000,$N55))))</f>
        <v/>
      </c>
      <c r="J55" s="67">
        <f>IF($N55="","",IF($P55&gt;0,IF(4&lt;=SemanaActual,INDEX('Cronograma Asistente Técnico'!$AB$5:$AB$1000,$N55),""),IF(INDEX('Cronograma Asistente Técnico'!$K$5:$K$1000,$N55)="","",INDEX('Cronograma Asistente Técnico'!$K$5:$K$1000,$N55))))</f>
        <v/>
      </c>
      <c r="K55" s="67">
        <f>IF($N55="","",INDEX('Cronograma Asistente Técnico'!$L$5:$L$1000,$N55))</f>
        <v/>
      </c>
      <c r="L55" s="61">
        <f>IF($N55="","",IF(N($K55)&gt;=1,"Completado",IF(AND(ISNUMBER($E55),$E55&lt;FechaRef),"Vencida",IF(N($K55)&gt;0,"En curso","Pendiente"))))</f>
        <v/>
      </c>
      <c r="M55" s="70">
        <f>IF($N55="","",INDEX('Cronograma Asistente Técnico'!$N$5:$N$1000,$N55)&amp;"")</f>
        <v/>
      </c>
      <c r="N55">
        <f>IFERROR(MATCH(ROW()-4,rOrden_ATR,0),"")</f>
        <v/>
      </c>
      <c r="O55">
        <f>IF($N55="","",INDEX('Cronograma Asistente Técnico'!$S$5:$S$1000,$N55))</f>
        <v/>
      </c>
      <c r="P55">
        <f>IF($N55="","",N(INDEX('Cronograma Asistente Técnico'!$T$5:$T$1000,$N55)))</f>
        <v/>
      </c>
    </row>
    <row r="56">
      <c r="A56" s="61">
        <f>IF($N56="","",INDEX('Cronograma Asistente Técnico'!$A$5:$A$1000,$N56))</f>
        <v/>
      </c>
      <c r="B56" s="70">
        <f>IF($N56="","",IF($O56="Sub","     ↳ "&amp;INDEX('Cronograma Asistente Técnico'!$C$5:$C$1000,$N56),INDEX('Cronograma Asistente Técnico'!$B$5:$B$1000,$N56)&amp;""))</f>
        <v/>
      </c>
      <c r="C56" s="70">
        <f>IF($N56="","",INDEX('Cronograma Asistente Técnico'!$D$5:$D$1000,$N56)&amp;"")</f>
        <v/>
      </c>
      <c r="D56" s="76">
        <f>IF($N56="","",IF(INDEX('Cronograma Asistente Técnico'!$E$5:$E$1000,$N56)="","",INDEX('Cronograma Asistente Técnico'!$E$5:$E$1000,$N56)))</f>
        <v/>
      </c>
      <c r="E56" s="76">
        <f>IF($N56="","",IF(INDEX('Cronograma Asistente Técnico'!$F$5:$F$1000,$N56)="","",INDEX('Cronograma Asistente Técnico'!$F$5:$F$1000,$N56)))</f>
        <v/>
      </c>
      <c r="F56" s="61">
        <f>IF($N56="","",IF(NOT(ISNUMBER($E56)),"",IF($E56&lt;InicioCiclo,"Antes del ciclo",IF($E56&gt;=InicioCiclo+28,"Después del ciclo","Semana "&amp;(INT(($E56-InicioCiclo)/7)+1)))))</f>
        <v/>
      </c>
      <c r="G56" s="67">
        <f>IF($N56="","",IF($P56&gt;0,IF(1&lt;=SemanaActual,INDEX('Cronograma Asistente Técnico'!$Y$5:$Y$1000,$N56),""),IF(INDEX('Cronograma Asistente Técnico'!$H$5:$H$1000,$N56)="","",INDEX('Cronograma Asistente Técnico'!$H$5:$H$1000,$N56))))</f>
        <v/>
      </c>
      <c r="H56" s="67">
        <f>IF($N56="","",IF($P56&gt;0,IF(2&lt;=SemanaActual,INDEX('Cronograma Asistente Técnico'!$Z$5:$Z$1000,$N56),""),IF(INDEX('Cronograma Asistente Técnico'!$I$5:$I$1000,$N56)="","",INDEX('Cronograma Asistente Técnico'!$I$5:$I$1000,$N56))))</f>
        <v/>
      </c>
      <c r="I56" s="67">
        <f>IF($N56="","",IF($P56&gt;0,IF(3&lt;=SemanaActual,INDEX('Cronograma Asistente Técnico'!$AA$5:$AA$1000,$N56),""),IF(INDEX('Cronograma Asistente Técnico'!$J$5:$J$1000,$N56)="","",INDEX('Cronograma Asistente Técnico'!$J$5:$J$1000,$N56))))</f>
        <v/>
      </c>
      <c r="J56" s="67">
        <f>IF($N56="","",IF($P56&gt;0,IF(4&lt;=SemanaActual,INDEX('Cronograma Asistente Técnico'!$AB$5:$AB$1000,$N56),""),IF(INDEX('Cronograma Asistente Técnico'!$K$5:$K$1000,$N56)="","",INDEX('Cronograma Asistente Técnico'!$K$5:$K$1000,$N56))))</f>
        <v/>
      </c>
      <c r="K56" s="67">
        <f>IF($N56="","",INDEX('Cronograma Asistente Técnico'!$L$5:$L$1000,$N56))</f>
        <v/>
      </c>
      <c r="L56" s="61">
        <f>IF($N56="","",IF(N($K56)&gt;=1,"Completado",IF(AND(ISNUMBER($E56),$E56&lt;FechaRef),"Vencida",IF(N($K56)&gt;0,"En curso","Pendiente"))))</f>
        <v/>
      </c>
      <c r="M56" s="70">
        <f>IF($N56="","",INDEX('Cronograma Asistente Técnico'!$N$5:$N$1000,$N56)&amp;"")</f>
        <v/>
      </c>
      <c r="N56">
        <f>IFERROR(MATCH(ROW()-4,rOrden_ATR,0),"")</f>
        <v/>
      </c>
      <c r="O56">
        <f>IF($N56="","",INDEX('Cronograma Asistente Técnico'!$S$5:$S$1000,$N56))</f>
        <v/>
      </c>
      <c r="P56">
        <f>IF($N56="","",N(INDEX('Cronograma Asistente Técnico'!$T$5:$T$1000,$N56)))</f>
        <v/>
      </c>
    </row>
    <row r="57">
      <c r="A57" s="61">
        <f>IF($N57="","",INDEX('Cronograma Asistente Técnico'!$A$5:$A$1000,$N57))</f>
        <v/>
      </c>
      <c r="B57" s="70">
        <f>IF($N57="","",IF($O57="Sub","     ↳ "&amp;INDEX('Cronograma Asistente Técnico'!$C$5:$C$1000,$N57),INDEX('Cronograma Asistente Técnico'!$B$5:$B$1000,$N57)&amp;""))</f>
        <v/>
      </c>
      <c r="C57" s="70">
        <f>IF($N57="","",INDEX('Cronograma Asistente Técnico'!$D$5:$D$1000,$N57)&amp;"")</f>
        <v/>
      </c>
      <c r="D57" s="76">
        <f>IF($N57="","",IF(INDEX('Cronograma Asistente Técnico'!$E$5:$E$1000,$N57)="","",INDEX('Cronograma Asistente Técnico'!$E$5:$E$1000,$N57)))</f>
        <v/>
      </c>
      <c r="E57" s="76">
        <f>IF($N57="","",IF(INDEX('Cronograma Asistente Técnico'!$F$5:$F$1000,$N57)="","",INDEX('Cronograma Asistente Técnico'!$F$5:$F$1000,$N57)))</f>
        <v/>
      </c>
      <c r="F57" s="61">
        <f>IF($N57="","",IF(NOT(ISNUMBER($E57)),"",IF($E57&lt;InicioCiclo,"Antes del ciclo",IF($E57&gt;=InicioCiclo+28,"Después del ciclo","Semana "&amp;(INT(($E57-InicioCiclo)/7)+1)))))</f>
        <v/>
      </c>
      <c r="G57" s="67">
        <f>IF($N57="","",IF($P57&gt;0,IF(1&lt;=SemanaActual,INDEX('Cronograma Asistente Técnico'!$Y$5:$Y$1000,$N57),""),IF(INDEX('Cronograma Asistente Técnico'!$H$5:$H$1000,$N57)="","",INDEX('Cronograma Asistente Técnico'!$H$5:$H$1000,$N57))))</f>
        <v/>
      </c>
      <c r="H57" s="67">
        <f>IF($N57="","",IF($P57&gt;0,IF(2&lt;=SemanaActual,INDEX('Cronograma Asistente Técnico'!$Z$5:$Z$1000,$N57),""),IF(INDEX('Cronograma Asistente Técnico'!$I$5:$I$1000,$N57)="","",INDEX('Cronograma Asistente Técnico'!$I$5:$I$1000,$N57))))</f>
        <v/>
      </c>
      <c r="I57" s="67">
        <f>IF($N57="","",IF($P57&gt;0,IF(3&lt;=SemanaActual,INDEX('Cronograma Asistente Técnico'!$AA$5:$AA$1000,$N57),""),IF(INDEX('Cronograma Asistente Técnico'!$J$5:$J$1000,$N57)="","",INDEX('Cronograma Asistente Técnico'!$J$5:$J$1000,$N57))))</f>
        <v/>
      </c>
      <c r="J57" s="67">
        <f>IF($N57="","",IF($P57&gt;0,IF(4&lt;=SemanaActual,INDEX('Cronograma Asistente Técnico'!$AB$5:$AB$1000,$N57),""),IF(INDEX('Cronograma Asistente Técnico'!$K$5:$K$1000,$N57)="","",INDEX('Cronograma Asistente Técnico'!$K$5:$K$1000,$N57))))</f>
        <v/>
      </c>
      <c r="K57" s="67">
        <f>IF($N57="","",INDEX('Cronograma Asistente Técnico'!$L$5:$L$1000,$N57))</f>
        <v/>
      </c>
      <c r="L57" s="61">
        <f>IF($N57="","",IF(N($K57)&gt;=1,"Completado",IF(AND(ISNUMBER($E57),$E57&lt;FechaRef),"Vencida",IF(N($K57)&gt;0,"En curso","Pendiente"))))</f>
        <v/>
      </c>
      <c r="M57" s="70">
        <f>IF($N57="","",INDEX('Cronograma Asistente Técnico'!$N$5:$N$1000,$N57)&amp;"")</f>
        <v/>
      </c>
      <c r="N57">
        <f>IFERROR(MATCH(ROW()-4,rOrden_ATR,0),"")</f>
        <v/>
      </c>
      <c r="O57">
        <f>IF($N57="","",INDEX('Cronograma Asistente Técnico'!$S$5:$S$1000,$N57))</f>
        <v/>
      </c>
      <c r="P57">
        <f>IF($N57="","",N(INDEX('Cronograma Asistente Técnico'!$T$5:$T$1000,$N57)))</f>
        <v/>
      </c>
    </row>
    <row r="58">
      <c r="A58" s="61">
        <f>IF($N58="","",INDEX('Cronograma Asistente Técnico'!$A$5:$A$1000,$N58))</f>
        <v/>
      </c>
      <c r="B58" s="70">
        <f>IF($N58="","",IF($O58="Sub","     ↳ "&amp;INDEX('Cronograma Asistente Técnico'!$C$5:$C$1000,$N58),INDEX('Cronograma Asistente Técnico'!$B$5:$B$1000,$N58)&amp;""))</f>
        <v/>
      </c>
      <c r="C58" s="70">
        <f>IF($N58="","",INDEX('Cronograma Asistente Técnico'!$D$5:$D$1000,$N58)&amp;"")</f>
        <v/>
      </c>
      <c r="D58" s="76">
        <f>IF($N58="","",IF(INDEX('Cronograma Asistente Técnico'!$E$5:$E$1000,$N58)="","",INDEX('Cronograma Asistente Técnico'!$E$5:$E$1000,$N58)))</f>
        <v/>
      </c>
      <c r="E58" s="76">
        <f>IF($N58="","",IF(INDEX('Cronograma Asistente Técnico'!$F$5:$F$1000,$N58)="","",INDEX('Cronograma Asistente Técnico'!$F$5:$F$1000,$N58)))</f>
        <v/>
      </c>
      <c r="F58" s="61">
        <f>IF($N58="","",IF(NOT(ISNUMBER($E58)),"",IF($E58&lt;InicioCiclo,"Antes del ciclo",IF($E58&gt;=InicioCiclo+28,"Después del ciclo","Semana "&amp;(INT(($E58-InicioCiclo)/7)+1)))))</f>
        <v/>
      </c>
      <c r="G58" s="67">
        <f>IF($N58="","",IF($P58&gt;0,IF(1&lt;=SemanaActual,INDEX('Cronograma Asistente Técnico'!$Y$5:$Y$1000,$N58),""),IF(INDEX('Cronograma Asistente Técnico'!$H$5:$H$1000,$N58)="","",INDEX('Cronograma Asistente Técnico'!$H$5:$H$1000,$N58))))</f>
        <v/>
      </c>
      <c r="H58" s="67">
        <f>IF($N58="","",IF($P58&gt;0,IF(2&lt;=SemanaActual,INDEX('Cronograma Asistente Técnico'!$Z$5:$Z$1000,$N58),""),IF(INDEX('Cronograma Asistente Técnico'!$I$5:$I$1000,$N58)="","",INDEX('Cronograma Asistente Técnico'!$I$5:$I$1000,$N58))))</f>
        <v/>
      </c>
      <c r="I58" s="67">
        <f>IF($N58="","",IF($P58&gt;0,IF(3&lt;=SemanaActual,INDEX('Cronograma Asistente Técnico'!$AA$5:$AA$1000,$N58),""),IF(INDEX('Cronograma Asistente Técnico'!$J$5:$J$1000,$N58)="","",INDEX('Cronograma Asistente Técnico'!$J$5:$J$1000,$N58))))</f>
        <v/>
      </c>
      <c r="J58" s="67">
        <f>IF($N58="","",IF($P58&gt;0,IF(4&lt;=SemanaActual,INDEX('Cronograma Asistente Técnico'!$AB$5:$AB$1000,$N58),""),IF(INDEX('Cronograma Asistente Técnico'!$K$5:$K$1000,$N58)="","",INDEX('Cronograma Asistente Técnico'!$K$5:$K$1000,$N58))))</f>
        <v/>
      </c>
      <c r="K58" s="67">
        <f>IF($N58="","",INDEX('Cronograma Asistente Técnico'!$L$5:$L$1000,$N58))</f>
        <v/>
      </c>
      <c r="L58" s="61">
        <f>IF($N58="","",IF(N($K58)&gt;=1,"Completado",IF(AND(ISNUMBER($E58),$E58&lt;FechaRef),"Vencida",IF(N($K58)&gt;0,"En curso","Pendiente"))))</f>
        <v/>
      </c>
      <c r="M58" s="70">
        <f>IF($N58="","",INDEX('Cronograma Asistente Técnico'!$N$5:$N$1000,$N58)&amp;"")</f>
        <v/>
      </c>
      <c r="N58">
        <f>IFERROR(MATCH(ROW()-4,rOrden_ATR,0),"")</f>
        <v/>
      </c>
      <c r="O58">
        <f>IF($N58="","",INDEX('Cronograma Asistente Técnico'!$S$5:$S$1000,$N58))</f>
        <v/>
      </c>
      <c r="P58">
        <f>IF($N58="","",N(INDEX('Cronograma Asistente Técnico'!$T$5:$T$1000,$N58)))</f>
        <v/>
      </c>
    </row>
    <row r="59">
      <c r="A59" s="61">
        <f>IF($N59="","",INDEX('Cronograma Asistente Técnico'!$A$5:$A$1000,$N59))</f>
        <v/>
      </c>
      <c r="B59" s="70">
        <f>IF($N59="","",IF($O59="Sub","     ↳ "&amp;INDEX('Cronograma Asistente Técnico'!$C$5:$C$1000,$N59),INDEX('Cronograma Asistente Técnico'!$B$5:$B$1000,$N59)&amp;""))</f>
        <v/>
      </c>
      <c r="C59" s="70">
        <f>IF($N59="","",INDEX('Cronograma Asistente Técnico'!$D$5:$D$1000,$N59)&amp;"")</f>
        <v/>
      </c>
      <c r="D59" s="76">
        <f>IF($N59="","",IF(INDEX('Cronograma Asistente Técnico'!$E$5:$E$1000,$N59)="","",INDEX('Cronograma Asistente Técnico'!$E$5:$E$1000,$N59)))</f>
        <v/>
      </c>
      <c r="E59" s="76">
        <f>IF($N59="","",IF(INDEX('Cronograma Asistente Técnico'!$F$5:$F$1000,$N59)="","",INDEX('Cronograma Asistente Técnico'!$F$5:$F$1000,$N59)))</f>
        <v/>
      </c>
      <c r="F59" s="61">
        <f>IF($N59="","",IF(NOT(ISNUMBER($E59)),"",IF($E59&lt;InicioCiclo,"Antes del ciclo",IF($E59&gt;=InicioCiclo+28,"Después del ciclo","Semana "&amp;(INT(($E59-InicioCiclo)/7)+1)))))</f>
        <v/>
      </c>
      <c r="G59" s="67">
        <f>IF($N59="","",IF($P59&gt;0,IF(1&lt;=SemanaActual,INDEX('Cronograma Asistente Técnico'!$Y$5:$Y$1000,$N59),""),IF(INDEX('Cronograma Asistente Técnico'!$H$5:$H$1000,$N59)="","",INDEX('Cronograma Asistente Técnico'!$H$5:$H$1000,$N59))))</f>
        <v/>
      </c>
      <c r="H59" s="67">
        <f>IF($N59="","",IF($P59&gt;0,IF(2&lt;=SemanaActual,INDEX('Cronograma Asistente Técnico'!$Z$5:$Z$1000,$N59),""),IF(INDEX('Cronograma Asistente Técnico'!$I$5:$I$1000,$N59)="","",INDEX('Cronograma Asistente Técnico'!$I$5:$I$1000,$N59))))</f>
        <v/>
      </c>
      <c r="I59" s="67">
        <f>IF($N59="","",IF($P59&gt;0,IF(3&lt;=SemanaActual,INDEX('Cronograma Asistente Técnico'!$AA$5:$AA$1000,$N59),""),IF(INDEX('Cronograma Asistente Técnico'!$J$5:$J$1000,$N59)="","",INDEX('Cronograma Asistente Técnico'!$J$5:$J$1000,$N59))))</f>
        <v/>
      </c>
      <c r="J59" s="67">
        <f>IF($N59="","",IF($P59&gt;0,IF(4&lt;=SemanaActual,INDEX('Cronograma Asistente Técnico'!$AB$5:$AB$1000,$N59),""),IF(INDEX('Cronograma Asistente Técnico'!$K$5:$K$1000,$N59)="","",INDEX('Cronograma Asistente Técnico'!$K$5:$K$1000,$N59))))</f>
        <v/>
      </c>
      <c r="K59" s="67">
        <f>IF($N59="","",INDEX('Cronograma Asistente Técnico'!$L$5:$L$1000,$N59))</f>
        <v/>
      </c>
      <c r="L59" s="61">
        <f>IF($N59="","",IF(N($K59)&gt;=1,"Completado",IF(AND(ISNUMBER($E59),$E59&lt;FechaRef),"Vencida",IF(N($K59)&gt;0,"En curso","Pendiente"))))</f>
        <v/>
      </c>
      <c r="M59" s="70">
        <f>IF($N59="","",INDEX('Cronograma Asistente Técnico'!$N$5:$N$1000,$N59)&amp;"")</f>
        <v/>
      </c>
      <c r="N59">
        <f>IFERROR(MATCH(ROW()-4,rOrden_ATR,0),"")</f>
        <v/>
      </c>
      <c r="O59">
        <f>IF($N59="","",INDEX('Cronograma Asistente Técnico'!$S$5:$S$1000,$N59))</f>
        <v/>
      </c>
      <c r="P59">
        <f>IF($N59="","",N(INDEX('Cronograma Asistente Técnico'!$T$5:$T$1000,$N59)))</f>
        <v/>
      </c>
    </row>
    <row r="60">
      <c r="A60" s="61">
        <f>IF($N60="","",INDEX('Cronograma Asistente Técnico'!$A$5:$A$1000,$N60))</f>
        <v/>
      </c>
      <c r="B60" s="70">
        <f>IF($N60="","",IF($O60="Sub","     ↳ "&amp;INDEX('Cronograma Asistente Técnico'!$C$5:$C$1000,$N60),INDEX('Cronograma Asistente Técnico'!$B$5:$B$1000,$N60)&amp;""))</f>
        <v/>
      </c>
      <c r="C60" s="70">
        <f>IF($N60="","",INDEX('Cronograma Asistente Técnico'!$D$5:$D$1000,$N60)&amp;"")</f>
        <v/>
      </c>
      <c r="D60" s="76">
        <f>IF($N60="","",IF(INDEX('Cronograma Asistente Técnico'!$E$5:$E$1000,$N60)="","",INDEX('Cronograma Asistente Técnico'!$E$5:$E$1000,$N60)))</f>
        <v/>
      </c>
      <c r="E60" s="76">
        <f>IF($N60="","",IF(INDEX('Cronograma Asistente Técnico'!$F$5:$F$1000,$N60)="","",INDEX('Cronograma Asistente Técnico'!$F$5:$F$1000,$N60)))</f>
        <v/>
      </c>
      <c r="F60" s="61">
        <f>IF($N60="","",IF(NOT(ISNUMBER($E60)),"",IF($E60&lt;InicioCiclo,"Antes del ciclo",IF($E60&gt;=InicioCiclo+28,"Después del ciclo","Semana "&amp;(INT(($E60-InicioCiclo)/7)+1)))))</f>
        <v/>
      </c>
      <c r="G60" s="67">
        <f>IF($N60="","",IF($P60&gt;0,IF(1&lt;=SemanaActual,INDEX('Cronograma Asistente Técnico'!$Y$5:$Y$1000,$N60),""),IF(INDEX('Cronograma Asistente Técnico'!$H$5:$H$1000,$N60)="","",INDEX('Cronograma Asistente Técnico'!$H$5:$H$1000,$N60))))</f>
        <v/>
      </c>
      <c r="H60" s="67">
        <f>IF($N60="","",IF($P60&gt;0,IF(2&lt;=SemanaActual,INDEX('Cronograma Asistente Técnico'!$Z$5:$Z$1000,$N60),""),IF(INDEX('Cronograma Asistente Técnico'!$I$5:$I$1000,$N60)="","",INDEX('Cronograma Asistente Técnico'!$I$5:$I$1000,$N60))))</f>
        <v/>
      </c>
      <c r="I60" s="67">
        <f>IF($N60="","",IF($P60&gt;0,IF(3&lt;=SemanaActual,INDEX('Cronograma Asistente Técnico'!$AA$5:$AA$1000,$N60),""),IF(INDEX('Cronograma Asistente Técnico'!$J$5:$J$1000,$N60)="","",INDEX('Cronograma Asistente Técnico'!$J$5:$J$1000,$N60))))</f>
        <v/>
      </c>
      <c r="J60" s="67">
        <f>IF($N60="","",IF($P60&gt;0,IF(4&lt;=SemanaActual,INDEX('Cronograma Asistente Técnico'!$AB$5:$AB$1000,$N60),""),IF(INDEX('Cronograma Asistente Técnico'!$K$5:$K$1000,$N60)="","",INDEX('Cronograma Asistente Técnico'!$K$5:$K$1000,$N60))))</f>
        <v/>
      </c>
      <c r="K60" s="67">
        <f>IF($N60="","",INDEX('Cronograma Asistente Técnico'!$L$5:$L$1000,$N60))</f>
        <v/>
      </c>
      <c r="L60" s="61">
        <f>IF($N60="","",IF(N($K60)&gt;=1,"Completado",IF(AND(ISNUMBER($E60),$E60&lt;FechaRef),"Vencida",IF(N($K60)&gt;0,"En curso","Pendiente"))))</f>
        <v/>
      </c>
      <c r="M60" s="70">
        <f>IF($N60="","",INDEX('Cronograma Asistente Técnico'!$N$5:$N$1000,$N60)&amp;"")</f>
        <v/>
      </c>
      <c r="N60">
        <f>IFERROR(MATCH(ROW()-4,rOrden_ATR,0),"")</f>
        <v/>
      </c>
      <c r="O60">
        <f>IF($N60="","",INDEX('Cronograma Asistente Técnico'!$S$5:$S$1000,$N60))</f>
        <v/>
      </c>
      <c r="P60">
        <f>IF($N60="","",N(INDEX('Cronograma Asistente Técnico'!$T$5:$T$1000,$N60)))</f>
        <v/>
      </c>
    </row>
    <row r="61">
      <c r="A61" s="61">
        <f>IF($N61="","",INDEX('Cronograma Asistente Técnico'!$A$5:$A$1000,$N61))</f>
        <v/>
      </c>
      <c r="B61" s="70">
        <f>IF($N61="","",IF($O61="Sub","     ↳ "&amp;INDEX('Cronograma Asistente Técnico'!$C$5:$C$1000,$N61),INDEX('Cronograma Asistente Técnico'!$B$5:$B$1000,$N61)&amp;""))</f>
        <v/>
      </c>
      <c r="C61" s="70">
        <f>IF($N61="","",INDEX('Cronograma Asistente Técnico'!$D$5:$D$1000,$N61)&amp;"")</f>
        <v/>
      </c>
      <c r="D61" s="76">
        <f>IF($N61="","",IF(INDEX('Cronograma Asistente Técnico'!$E$5:$E$1000,$N61)="","",INDEX('Cronograma Asistente Técnico'!$E$5:$E$1000,$N61)))</f>
        <v/>
      </c>
      <c r="E61" s="76">
        <f>IF($N61="","",IF(INDEX('Cronograma Asistente Técnico'!$F$5:$F$1000,$N61)="","",INDEX('Cronograma Asistente Técnico'!$F$5:$F$1000,$N61)))</f>
        <v/>
      </c>
      <c r="F61" s="61">
        <f>IF($N61="","",IF(NOT(ISNUMBER($E61)),"",IF($E61&lt;InicioCiclo,"Antes del ciclo",IF($E61&gt;=InicioCiclo+28,"Después del ciclo","Semana "&amp;(INT(($E61-InicioCiclo)/7)+1)))))</f>
        <v/>
      </c>
      <c r="G61" s="67">
        <f>IF($N61="","",IF($P61&gt;0,IF(1&lt;=SemanaActual,INDEX('Cronograma Asistente Técnico'!$Y$5:$Y$1000,$N61),""),IF(INDEX('Cronograma Asistente Técnico'!$H$5:$H$1000,$N61)="","",INDEX('Cronograma Asistente Técnico'!$H$5:$H$1000,$N61))))</f>
        <v/>
      </c>
      <c r="H61" s="67">
        <f>IF($N61="","",IF($P61&gt;0,IF(2&lt;=SemanaActual,INDEX('Cronograma Asistente Técnico'!$Z$5:$Z$1000,$N61),""),IF(INDEX('Cronograma Asistente Técnico'!$I$5:$I$1000,$N61)="","",INDEX('Cronograma Asistente Técnico'!$I$5:$I$1000,$N61))))</f>
        <v/>
      </c>
      <c r="I61" s="67">
        <f>IF($N61="","",IF($P61&gt;0,IF(3&lt;=SemanaActual,INDEX('Cronograma Asistente Técnico'!$AA$5:$AA$1000,$N61),""),IF(INDEX('Cronograma Asistente Técnico'!$J$5:$J$1000,$N61)="","",INDEX('Cronograma Asistente Técnico'!$J$5:$J$1000,$N61))))</f>
        <v/>
      </c>
      <c r="J61" s="67">
        <f>IF($N61="","",IF($P61&gt;0,IF(4&lt;=SemanaActual,INDEX('Cronograma Asistente Técnico'!$AB$5:$AB$1000,$N61),""),IF(INDEX('Cronograma Asistente Técnico'!$K$5:$K$1000,$N61)="","",INDEX('Cronograma Asistente Técnico'!$K$5:$K$1000,$N61))))</f>
        <v/>
      </c>
      <c r="K61" s="67">
        <f>IF($N61="","",INDEX('Cronograma Asistente Técnico'!$L$5:$L$1000,$N61))</f>
        <v/>
      </c>
      <c r="L61" s="61">
        <f>IF($N61="","",IF(N($K61)&gt;=1,"Completado",IF(AND(ISNUMBER($E61),$E61&lt;FechaRef),"Vencida",IF(N($K61)&gt;0,"En curso","Pendiente"))))</f>
        <v/>
      </c>
      <c r="M61" s="70">
        <f>IF($N61="","",INDEX('Cronograma Asistente Técnico'!$N$5:$N$1000,$N61)&amp;"")</f>
        <v/>
      </c>
      <c r="N61">
        <f>IFERROR(MATCH(ROW()-4,rOrden_ATR,0),"")</f>
        <v/>
      </c>
      <c r="O61">
        <f>IF($N61="","",INDEX('Cronograma Asistente Técnico'!$S$5:$S$1000,$N61))</f>
        <v/>
      </c>
      <c r="P61">
        <f>IF($N61="","",N(INDEX('Cronograma Asistente Técnico'!$T$5:$T$1000,$N61)))</f>
        <v/>
      </c>
    </row>
    <row r="62">
      <c r="A62" s="61">
        <f>IF($N62="","",INDEX('Cronograma Asistente Técnico'!$A$5:$A$1000,$N62))</f>
        <v/>
      </c>
      <c r="B62" s="70">
        <f>IF($N62="","",IF($O62="Sub","     ↳ "&amp;INDEX('Cronograma Asistente Técnico'!$C$5:$C$1000,$N62),INDEX('Cronograma Asistente Técnico'!$B$5:$B$1000,$N62)&amp;""))</f>
        <v/>
      </c>
      <c r="C62" s="70">
        <f>IF($N62="","",INDEX('Cronograma Asistente Técnico'!$D$5:$D$1000,$N62)&amp;"")</f>
        <v/>
      </c>
      <c r="D62" s="76">
        <f>IF($N62="","",IF(INDEX('Cronograma Asistente Técnico'!$E$5:$E$1000,$N62)="","",INDEX('Cronograma Asistente Técnico'!$E$5:$E$1000,$N62)))</f>
        <v/>
      </c>
      <c r="E62" s="76">
        <f>IF($N62="","",IF(INDEX('Cronograma Asistente Técnico'!$F$5:$F$1000,$N62)="","",INDEX('Cronograma Asistente Técnico'!$F$5:$F$1000,$N62)))</f>
        <v/>
      </c>
      <c r="F62" s="61">
        <f>IF($N62="","",IF(NOT(ISNUMBER($E62)),"",IF($E62&lt;InicioCiclo,"Antes del ciclo",IF($E62&gt;=InicioCiclo+28,"Después del ciclo","Semana "&amp;(INT(($E62-InicioCiclo)/7)+1)))))</f>
        <v/>
      </c>
      <c r="G62" s="67">
        <f>IF($N62="","",IF($P62&gt;0,IF(1&lt;=SemanaActual,INDEX('Cronograma Asistente Técnico'!$Y$5:$Y$1000,$N62),""),IF(INDEX('Cronograma Asistente Técnico'!$H$5:$H$1000,$N62)="","",INDEX('Cronograma Asistente Técnico'!$H$5:$H$1000,$N62))))</f>
        <v/>
      </c>
      <c r="H62" s="67">
        <f>IF($N62="","",IF($P62&gt;0,IF(2&lt;=SemanaActual,INDEX('Cronograma Asistente Técnico'!$Z$5:$Z$1000,$N62),""),IF(INDEX('Cronograma Asistente Técnico'!$I$5:$I$1000,$N62)="","",INDEX('Cronograma Asistente Técnico'!$I$5:$I$1000,$N62))))</f>
        <v/>
      </c>
      <c r="I62" s="67">
        <f>IF($N62="","",IF($P62&gt;0,IF(3&lt;=SemanaActual,INDEX('Cronograma Asistente Técnico'!$AA$5:$AA$1000,$N62),""),IF(INDEX('Cronograma Asistente Técnico'!$J$5:$J$1000,$N62)="","",INDEX('Cronograma Asistente Técnico'!$J$5:$J$1000,$N62))))</f>
        <v/>
      </c>
      <c r="J62" s="67">
        <f>IF($N62="","",IF($P62&gt;0,IF(4&lt;=SemanaActual,INDEX('Cronograma Asistente Técnico'!$AB$5:$AB$1000,$N62),""),IF(INDEX('Cronograma Asistente Técnico'!$K$5:$K$1000,$N62)="","",INDEX('Cronograma Asistente Técnico'!$K$5:$K$1000,$N62))))</f>
        <v/>
      </c>
      <c r="K62" s="67">
        <f>IF($N62="","",INDEX('Cronograma Asistente Técnico'!$L$5:$L$1000,$N62))</f>
        <v/>
      </c>
      <c r="L62" s="61">
        <f>IF($N62="","",IF(N($K62)&gt;=1,"Completado",IF(AND(ISNUMBER($E62),$E62&lt;FechaRef),"Vencida",IF(N($K62)&gt;0,"En curso","Pendiente"))))</f>
        <v/>
      </c>
      <c r="M62" s="70">
        <f>IF($N62="","",INDEX('Cronograma Asistente Técnico'!$N$5:$N$1000,$N62)&amp;"")</f>
        <v/>
      </c>
      <c r="N62">
        <f>IFERROR(MATCH(ROW()-4,rOrden_ATR,0),"")</f>
        <v/>
      </c>
      <c r="O62">
        <f>IF($N62="","",INDEX('Cronograma Asistente Técnico'!$S$5:$S$1000,$N62))</f>
        <v/>
      </c>
      <c r="P62">
        <f>IF($N62="","",N(INDEX('Cronograma Asistente Técnico'!$T$5:$T$1000,$N62)))</f>
        <v/>
      </c>
    </row>
    <row r="63">
      <c r="A63" s="61">
        <f>IF($N63="","",INDEX('Cronograma Asistente Técnico'!$A$5:$A$1000,$N63))</f>
        <v/>
      </c>
      <c r="B63" s="70">
        <f>IF($N63="","",IF($O63="Sub","     ↳ "&amp;INDEX('Cronograma Asistente Técnico'!$C$5:$C$1000,$N63),INDEX('Cronograma Asistente Técnico'!$B$5:$B$1000,$N63)&amp;""))</f>
        <v/>
      </c>
      <c r="C63" s="70">
        <f>IF($N63="","",INDEX('Cronograma Asistente Técnico'!$D$5:$D$1000,$N63)&amp;"")</f>
        <v/>
      </c>
      <c r="D63" s="76">
        <f>IF($N63="","",IF(INDEX('Cronograma Asistente Técnico'!$E$5:$E$1000,$N63)="","",INDEX('Cronograma Asistente Técnico'!$E$5:$E$1000,$N63)))</f>
        <v/>
      </c>
      <c r="E63" s="76">
        <f>IF($N63="","",IF(INDEX('Cronograma Asistente Técnico'!$F$5:$F$1000,$N63)="","",INDEX('Cronograma Asistente Técnico'!$F$5:$F$1000,$N63)))</f>
        <v/>
      </c>
      <c r="F63" s="61">
        <f>IF($N63="","",IF(NOT(ISNUMBER($E63)),"",IF($E63&lt;InicioCiclo,"Antes del ciclo",IF($E63&gt;=InicioCiclo+28,"Después del ciclo","Semana "&amp;(INT(($E63-InicioCiclo)/7)+1)))))</f>
        <v/>
      </c>
      <c r="G63" s="67">
        <f>IF($N63="","",IF($P63&gt;0,IF(1&lt;=SemanaActual,INDEX('Cronograma Asistente Técnico'!$Y$5:$Y$1000,$N63),""),IF(INDEX('Cronograma Asistente Técnico'!$H$5:$H$1000,$N63)="","",INDEX('Cronograma Asistente Técnico'!$H$5:$H$1000,$N63))))</f>
        <v/>
      </c>
      <c r="H63" s="67">
        <f>IF($N63="","",IF($P63&gt;0,IF(2&lt;=SemanaActual,INDEX('Cronograma Asistente Técnico'!$Z$5:$Z$1000,$N63),""),IF(INDEX('Cronograma Asistente Técnico'!$I$5:$I$1000,$N63)="","",INDEX('Cronograma Asistente Técnico'!$I$5:$I$1000,$N63))))</f>
        <v/>
      </c>
      <c r="I63" s="67">
        <f>IF($N63="","",IF($P63&gt;0,IF(3&lt;=SemanaActual,INDEX('Cronograma Asistente Técnico'!$AA$5:$AA$1000,$N63),""),IF(INDEX('Cronograma Asistente Técnico'!$J$5:$J$1000,$N63)="","",INDEX('Cronograma Asistente Técnico'!$J$5:$J$1000,$N63))))</f>
        <v/>
      </c>
      <c r="J63" s="67">
        <f>IF($N63="","",IF($P63&gt;0,IF(4&lt;=SemanaActual,INDEX('Cronograma Asistente Técnico'!$AB$5:$AB$1000,$N63),""),IF(INDEX('Cronograma Asistente Técnico'!$K$5:$K$1000,$N63)="","",INDEX('Cronograma Asistente Técnico'!$K$5:$K$1000,$N63))))</f>
        <v/>
      </c>
      <c r="K63" s="67">
        <f>IF($N63="","",INDEX('Cronograma Asistente Técnico'!$L$5:$L$1000,$N63))</f>
        <v/>
      </c>
      <c r="L63" s="61">
        <f>IF($N63="","",IF(N($K63)&gt;=1,"Completado",IF(AND(ISNUMBER($E63),$E63&lt;FechaRef),"Vencida",IF(N($K63)&gt;0,"En curso","Pendiente"))))</f>
        <v/>
      </c>
      <c r="M63" s="70">
        <f>IF($N63="","",INDEX('Cronograma Asistente Técnico'!$N$5:$N$1000,$N63)&amp;"")</f>
        <v/>
      </c>
      <c r="N63">
        <f>IFERROR(MATCH(ROW()-4,rOrden_ATR,0),"")</f>
        <v/>
      </c>
      <c r="O63">
        <f>IF($N63="","",INDEX('Cronograma Asistente Técnico'!$S$5:$S$1000,$N63))</f>
        <v/>
      </c>
      <c r="P63">
        <f>IF($N63="","",N(INDEX('Cronograma Asistente Técnico'!$T$5:$T$1000,$N63)))</f>
        <v/>
      </c>
    </row>
    <row r="64">
      <c r="A64" s="61">
        <f>IF($N64="","",INDEX('Cronograma Asistente Técnico'!$A$5:$A$1000,$N64))</f>
        <v/>
      </c>
      <c r="B64" s="70">
        <f>IF($N64="","",IF($O64="Sub","     ↳ "&amp;INDEX('Cronograma Asistente Técnico'!$C$5:$C$1000,$N64),INDEX('Cronograma Asistente Técnico'!$B$5:$B$1000,$N64)&amp;""))</f>
        <v/>
      </c>
      <c r="C64" s="70">
        <f>IF($N64="","",INDEX('Cronograma Asistente Técnico'!$D$5:$D$1000,$N64)&amp;"")</f>
        <v/>
      </c>
      <c r="D64" s="76">
        <f>IF($N64="","",IF(INDEX('Cronograma Asistente Técnico'!$E$5:$E$1000,$N64)="","",INDEX('Cronograma Asistente Técnico'!$E$5:$E$1000,$N64)))</f>
        <v/>
      </c>
      <c r="E64" s="76">
        <f>IF($N64="","",IF(INDEX('Cronograma Asistente Técnico'!$F$5:$F$1000,$N64)="","",INDEX('Cronograma Asistente Técnico'!$F$5:$F$1000,$N64)))</f>
        <v/>
      </c>
      <c r="F64" s="61">
        <f>IF($N64="","",IF(NOT(ISNUMBER($E64)),"",IF($E64&lt;InicioCiclo,"Antes del ciclo",IF($E64&gt;=InicioCiclo+28,"Después del ciclo","Semana "&amp;(INT(($E64-InicioCiclo)/7)+1)))))</f>
        <v/>
      </c>
      <c r="G64" s="67">
        <f>IF($N64="","",IF($P64&gt;0,IF(1&lt;=SemanaActual,INDEX('Cronograma Asistente Técnico'!$Y$5:$Y$1000,$N64),""),IF(INDEX('Cronograma Asistente Técnico'!$H$5:$H$1000,$N64)="","",INDEX('Cronograma Asistente Técnico'!$H$5:$H$1000,$N64))))</f>
        <v/>
      </c>
      <c r="H64" s="67">
        <f>IF($N64="","",IF($P64&gt;0,IF(2&lt;=SemanaActual,INDEX('Cronograma Asistente Técnico'!$Z$5:$Z$1000,$N64),""),IF(INDEX('Cronograma Asistente Técnico'!$I$5:$I$1000,$N64)="","",INDEX('Cronograma Asistente Técnico'!$I$5:$I$1000,$N64))))</f>
        <v/>
      </c>
      <c r="I64" s="67">
        <f>IF($N64="","",IF($P64&gt;0,IF(3&lt;=SemanaActual,INDEX('Cronograma Asistente Técnico'!$AA$5:$AA$1000,$N64),""),IF(INDEX('Cronograma Asistente Técnico'!$J$5:$J$1000,$N64)="","",INDEX('Cronograma Asistente Técnico'!$J$5:$J$1000,$N64))))</f>
        <v/>
      </c>
      <c r="J64" s="67">
        <f>IF($N64="","",IF($P64&gt;0,IF(4&lt;=SemanaActual,INDEX('Cronograma Asistente Técnico'!$AB$5:$AB$1000,$N64),""),IF(INDEX('Cronograma Asistente Técnico'!$K$5:$K$1000,$N64)="","",INDEX('Cronograma Asistente Técnico'!$K$5:$K$1000,$N64))))</f>
        <v/>
      </c>
      <c r="K64" s="67">
        <f>IF($N64="","",INDEX('Cronograma Asistente Técnico'!$L$5:$L$1000,$N64))</f>
        <v/>
      </c>
      <c r="L64" s="61">
        <f>IF($N64="","",IF(N($K64)&gt;=1,"Completado",IF(AND(ISNUMBER($E64),$E64&lt;FechaRef),"Vencida",IF(N($K64)&gt;0,"En curso","Pendiente"))))</f>
        <v/>
      </c>
      <c r="M64" s="70">
        <f>IF($N64="","",INDEX('Cronograma Asistente Técnico'!$N$5:$N$1000,$N64)&amp;"")</f>
        <v/>
      </c>
      <c r="N64">
        <f>IFERROR(MATCH(ROW()-4,rOrden_ATR,0),"")</f>
        <v/>
      </c>
      <c r="O64">
        <f>IF($N64="","",INDEX('Cronograma Asistente Técnico'!$S$5:$S$1000,$N64))</f>
        <v/>
      </c>
      <c r="P64">
        <f>IF($N64="","",N(INDEX('Cronograma Asistente Técnico'!$T$5:$T$1000,$N64)))</f>
        <v/>
      </c>
    </row>
    <row r="65">
      <c r="A65" s="61">
        <f>IF($N65="","",INDEX('Cronograma Asistente Técnico'!$A$5:$A$1000,$N65))</f>
        <v/>
      </c>
      <c r="B65" s="70">
        <f>IF($N65="","",IF($O65="Sub","     ↳ "&amp;INDEX('Cronograma Asistente Técnico'!$C$5:$C$1000,$N65),INDEX('Cronograma Asistente Técnico'!$B$5:$B$1000,$N65)&amp;""))</f>
        <v/>
      </c>
      <c r="C65" s="70">
        <f>IF($N65="","",INDEX('Cronograma Asistente Técnico'!$D$5:$D$1000,$N65)&amp;"")</f>
        <v/>
      </c>
      <c r="D65" s="76">
        <f>IF($N65="","",IF(INDEX('Cronograma Asistente Técnico'!$E$5:$E$1000,$N65)="","",INDEX('Cronograma Asistente Técnico'!$E$5:$E$1000,$N65)))</f>
        <v/>
      </c>
      <c r="E65" s="76">
        <f>IF($N65="","",IF(INDEX('Cronograma Asistente Técnico'!$F$5:$F$1000,$N65)="","",INDEX('Cronograma Asistente Técnico'!$F$5:$F$1000,$N65)))</f>
        <v/>
      </c>
      <c r="F65" s="61">
        <f>IF($N65="","",IF(NOT(ISNUMBER($E65)),"",IF($E65&lt;InicioCiclo,"Antes del ciclo",IF($E65&gt;=InicioCiclo+28,"Después del ciclo","Semana "&amp;(INT(($E65-InicioCiclo)/7)+1)))))</f>
        <v/>
      </c>
      <c r="G65" s="67">
        <f>IF($N65="","",IF($P65&gt;0,IF(1&lt;=SemanaActual,INDEX('Cronograma Asistente Técnico'!$Y$5:$Y$1000,$N65),""),IF(INDEX('Cronograma Asistente Técnico'!$H$5:$H$1000,$N65)="","",INDEX('Cronograma Asistente Técnico'!$H$5:$H$1000,$N65))))</f>
        <v/>
      </c>
      <c r="H65" s="67">
        <f>IF($N65="","",IF($P65&gt;0,IF(2&lt;=SemanaActual,INDEX('Cronograma Asistente Técnico'!$Z$5:$Z$1000,$N65),""),IF(INDEX('Cronograma Asistente Técnico'!$I$5:$I$1000,$N65)="","",INDEX('Cronograma Asistente Técnico'!$I$5:$I$1000,$N65))))</f>
        <v/>
      </c>
      <c r="I65" s="67">
        <f>IF($N65="","",IF($P65&gt;0,IF(3&lt;=SemanaActual,INDEX('Cronograma Asistente Técnico'!$AA$5:$AA$1000,$N65),""),IF(INDEX('Cronograma Asistente Técnico'!$J$5:$J$1000,$N65)="","",INDEX('Cronograma Asistente Técnico'!$J$5:$J$1000,$N65))))</f>
        <v/>
      </c>
      <c r="J65" s="67">
        <f>IF($N65="","",IF($P65&gt;0,IF(4&lt;=SemanaActual,INDEX('Cronograma Asistente Técnico'!$AB$5:$AB$1000,$N65),""),IF(INDEX('Cronograma Asistente Técnico'!$K$5:$K$1000,$N65)="","",INDEX('Cronograma Asistente Técnico'!$K$5:$K$1000,$N65))))</f>
        <v/>
      </c>
      <c r="K65" s="67">
        <f>IF($N65="","",INDEX('Cronograma Asistente Técnico'!$L$5:$L$1000,$N65))</f>
        <v/>
      </c>
      <c r="L65" s="61">
        <f>IF($N65="","",IF(N($K65)&gt;=1,"Completado",IF(AND(ISNUMBER($E65),$E65&lt;FechaRef),"Vencida",IF(N($K65)&gt;0,"En curso","Pendiente"))))</f>
        <v/>
      </c>
      <c r="M65" s="70">
        <f>IF($N65="","",INDEX('Cronograma Asistente Técnico'!$N$5:$N$1000,$N65)&amp;"")</f>
        <v/>
      </c>
      <c r="N65">
        <f>IFERROR(MATCH(ROW()-4,rOrden_ATR,0),"")</f>
        <v/>
      </c>
      <c r="O65">
        <f>IF($N65="","",INDEX('Cronograma Asistente Técnico'!$S$5:$S$1000,$N65))</f>
        <v/>
      </c>
      <c r="P65">
        <f>IF($N65="","",N(INDEX('Cronograma Asistente Técnico'!$T$5:$T$1000,$N65)))</f>
        <v/>
      </c>
    </row>
    <row r="66">
      <c r="A66" s="61">
        <f>IF($N66="","",INDEX('Cronograma Asistente Técnico'!$A$5:$A$1000,$N66))</f>
        <v/>
      </c>
      <c r="B66" s="70">
        <f>IF($N66="","",IF($O66="Sub","     ↳ "&amp;INDEX('Cronograma Asistente Técnico'!$C$5:$C$1000,$N66),INDEX('Cronograma Asistente Técnico'!$B$5:$B$1000,$N66)&amp;""))</f>
        <v/>
      </c>
      <c r="C66" s="70">
        <f>IF($N66="","",INDEX('Cronograma Asistente Técnico'!$D$5:$D$1000,$N66)&amp;"")</f>
        <v/>
      </c>
      <c r="D66" s="76">
        <f>IF($N66="","",IF(INDEX('Cronograma Asistente Técnico'!$E$5:$E$1000,$N66)="","",INDEX('Cronograma Asistente Técnico'!$E$5:$E$1000,$N66)))</f>
        <v/>
      </c>
      <c r="E66" s="76">
        <f>IF($N66="","",IF(INDEX('Cronograma Asistente Técnico'!$F$5:$F$1000,$N66)="","",INDEX('Cronograma Asistente Técnico'!$F$5:$F$1000,$N66)))</f>
        <v/>
      </c>
      <c r="F66" s="61">
        <f>IF($N66="","",IF(NOT(ISNUMBER($E66)),"",IF($E66&lt;InicioCiclo,"Antes del ciclo",IF($E66&gt;=InicioCiclo+28,"Después del ciclo","Semana "&amp;(INT(($E66-InicioCiclo)/7)+1)))))</f>
        <v/>
      </c>
      <c r="G66" s="67">
        <f>IF($N66="","",IF($P66&gt;0,IF(1&lt;=SemanaActual,INDEX('Cronograma Asistente Técnico'!$Y$5:$Y$1000,$N66),""),IF(INDEX('Cronograma Asistente Técnico'!$H$5:$H$1000,$N66)="","",INDEX('Cronograma Asistente Técnico'!$H$5:$H$1000,$N66))))</f>
        <v/>
      </c>
      <c r="H66" s="67">
        <f>IF($N66="","",IF($P66&gt;0,IF(2&lt;=SemanaActual,INDEX('Cronograma Asistente Técnico'!$Z$5:$Z$1000,$N66),""),IF(INDEX('Cronograma Asistente Técnico'!$I$5:$I$1000,$N66)="","",INDEX('Cronograma Asistente Técnico'!$I$5:$I$1000,$N66))))</f>
        <v/>
      </c>
      <c r="I66" s="67">
        <f>IF($N66="","",IF($P66&gt;0,IF(3&lt;=SemanaActual,INDEX('Cronograma Asistente Técnico'!$AA$5:$AA$1000,$N66),""),IF(INDEX('Cronograma Asistente Técnico'!$J$5:$J$1000,$N66)="","",INDEX('Cronograma Asistente Técnico'!$J$5:$J$1000,$N66))))</f>
        <v/>
      </c>
      <c r="J66" s="67">
        <f>IF($N66="","",IF($P66&gt;0,IF(4&lt;=SemanaActual,INDEX('Cronograma Asistente Técnico'!$AB$5:$AB$1000,$N66),""),IF(INDEX('Cronograma Asistente Técnico'!$K$5:$K$1000,$N66)="","",INDEX('Cronograma Asistente Técnico'!$K$5:$K$1000,$N66))))</f>
        <v/>
      </c>
      <c r="K66" s="67">
        <f>IF($N66="","",INDEX('Cronograma Asistente Técnico'!$L$5:$L$1000,$N66))</f>
        <v/>
      </c>
      <c r="L66" s="61">
        <f>IF($N66="","",IF(N($K66)&gt;=1,"Completado",IF(AND(ISNUMBER($E66),$E66&lt;FechaRef),"Vencida",IF(N($K66)&gt;0,"En curso","Pendiente"))))</f>
        <v/>
      </c>
      <c r="M66" s="70">
        <f>IF($N66="","",INDEX('Cronograma Asistente Técnico'!$N$5:$N$1000,$N66)&amp;"")</f>
        <v/>
      </c>
      <c r="N66">
        <f>IFERROR(MATCH(ROW()-4,rOrden_ATR,0),"")</f>
        <v/>
      </c>
      <c r="O66">
        <f>IF($N66="","",INDEX('Cronograma Asistente Técnico'!$S$5:$S$1000,$N66))</f>
        <v/>
      </c>
      <c r="P66">
        <f>IF($N66="","",N(INDEX('Cronograma Asistente Técnico'!$T$5:$T$1000,$N66)))</f>
        <v/>
      </c>
    </row>
    <row r="67">
      <c r="A67" s="61">
        <f>IF($N67="","",INDEX('Cronograma Asistente Técnico'!$A$5:$A$1000,$N67))</f>
        <v/>
      </c>
      <c r="B67" s="70">
        <f>IF($N67="","",IF($O67="Sub","     ↳ "&amp;INDEX('Cronograma Asistente Técnico'!$C$5:$C$1000,$N67),INDEX('Cronograma Asistente Técnico'!$B$5:$B$1000,$N67)&amp;""))</f>
        <v/>
      </c>
      <c r="C67" s="70">
        <f>IF($N67="","",INDEX('Cronograma Asistente Técnico'!$D$5:$D$1000,$N67)&amp;"")</f>
        <v/>
      </c>
      <c r="D67" s="76">
        <f>IF($N67="","",IF(INDEX('Cronograma Asistente Técnico'!$E$5:$E$1000,$N67)="","",INDEX('Cronograma Asistente Técnico'!$E$5:$E$1000,$N67)))</f>
        <v/>
      </c>
      <c r="E67" s="76">
        <f>IF($N67="","",IF(INDEX('Cronograma Asistente Técnico'!$F$5:$F$1000,$N67)="","",INDEX('Cronograma Asistente Técnico'!$F$5:$F$1000,$N67)))</f>
        <v/>
      </c>
      <c r="F67" s="61">
        <f>IF($N67="","",IF(NOT(ISNUMBER($E67)),"",IF($E67&lt;InicioCiclo,"Antes del ciclo",IF($E67&gt;=InicioCiclo+28,"Después del ciclo","Semana "&amp;(INT(($E67-InicioCiclo)/7)+1)))))</f>
        <v/>
      </c>
      <c r="G67" s="67">
        <f>IF($N67="","",IF($P67&gt;0,IF(1&lt;=SemanaActual,INDEX('Cronograma Asistente Técnico'!$Y$5:$Y$1000,$N67),""),IF(INDEX('Cronograma Asistente Técnico'!$H$5:$H$1000,$N67)="","",INDEX('Cronograma Asistente Técnico'!$H$5:$H$1000,$N67))))</f>
        <v/>
      </c>
      <c r="H67" s="67">
        <f>IF($N67="","",IF($P67&gt;0,IF(2&lt;=SemanaActual,INDEX('Cronograma Asistente Técnico'!$Z$5:$Z$1000,$N67),""),IF(INDEX('Cronograma Asistente Técnico'!$I$5:$I$1000,$N67)="","",INDEX('Cronograma Asistente Técnico'!$I$5:$I$1000,$N67))))</f>
        <v/>
      </c>
      <c r="I67" s="67">
        <f>IF($N67="","",IF($P67&gt;0,IF(3&lt;=SemanaActual,INDEX('Cronograma Asistente Técnico'!$AA$5:$AA$1000,$N67),""),IF(INDEX('Cronograma Asistente Técnico'!$J$5:$J$1000,$N67)="","",INDEX('Cronograma Asistente Técnico'!$J$5:$J$1000,$N67))))</f>
        <v/>
      </c>
      <c r="J67" s="67">
        <f>IF($N67="","",IF($P67&gt;0,IF(4&lt;=SemanaActual,INDEX('Cronograma Asistente Técnico'!$AB$5:$AB$1000,$N67),""),IF(INDEX('Cronograma Asistente Técnico'!$K$5:$K$1000,$N67)="","",INDEX('Cronograma Asistente Técnico'!$K$5:$K$1000,$N67))))</f>
        <v/>
      </c>
      <c r="K67" s="67">
        <f>IF($N67="","",INDEX('Cronograma Asistente Técnico'!$L$5:$L$1000,$N67))</f>
        <v/>
      </c>
      <c r="L67" s="61">
        <f>IF($N67="","",IF(N($K67)&gt;=1,"Completado",IF(AND(ISNUMBER($E67),$E67&lt;FechaRef),"Vencida",IF(N($K67)&gt;0,"En curso","Pendiente"))))</f>
        <v/>
      </c>
      <c r="M67" s="70">
        <f>IF($N67="","",INDEX('Cronograma Asistente Técnico'!$N$5:$N$1000,$N67)&amp;"")</f>
        <v/>
      </c>
      <c r="N67">
        <f>IFERROR(MATCH(ROW()-4,rOrden_ATR,0),"")</f>
        <v/>
      </c>
      <c r="O67">
        <f>IF($N67="","",INDEX('Cronograma Asistente Técnico'!$S$5:$S$1000,$N67))</f>
        <v/>
      </c>
      <c r="P67">
        <f>IF($N67="","",N(INDEX('Cronograma Asistente Técnico'!$T$5:$T$1000,$N67)))</f>
        <v/>
      </c>
    </row>
    <row r="68">
      <c r="A68" s="61">
        <f>IF($N68="","",INDEX('Cronograma Asistente Técnico'!$A$5:$A$1000,$N68))</f>
        <v/>
      </c>
      <c r="B68" s="70">
        <f>IF($N68="","",IF($O68="Sub","     ↳ "&amp;INDEX('Cronograma Asistente Técnico'!$C$5:$C$1000,$N68),INDEX('Cronograma Asistente Técnico'!$B$5:$B$1000,$N68)&amp;""))</f>
        <v/>
      </c>
      <c r="C68" s="70">
        <f>IF($N68="","",INDEX('Cronograma Asistente Técnico'!$D$5:$D$1000,$N68)&amp;"")</f>
        <v/>
      </c>
      <c r="D68" s="76">
        <f>IF($N68="","",IF(INDEX('Cronograma Asistente Técnico'!$E$5:$E$1000,$N68)="","",INDEX('Cronograma Asistente Técnico'!$E$5:$E$1000,$N68)))</f>
        <v/>
      </c>
      <c r="E68" s="76">
        <f>IF($N68="","",IF(INDEX('Cronograma Asistente Técnico'!$F$5:$F$1000,$N68)="","",INDEX('Cronograma Asistente Técnico'!$F$5:$F$1000,$N68)))</f>
        <v/>
      </c>
      <c r="F68" s="61">
        <f>IF($N68="","",IF(NOT(ISNUMBER($E68)),"",IF($E68&lt;InicioCiclo,"Antes del ciclo",IF($E68&gt;=InicioCiclo+28,"Después del ciclo","Semana "&amp;(INT(($E68-InicioCiclo)/7)+1)))))</f>
        <v/>
      </c>
      <c r="G68" s="67">
        <f>IF($N68="","",IF($P68&gt;0,IF(1&lt;=SemanaActual,INDEX('Cronograma Asistente Técnico'!$Y$5:$Y$1000,$N68),""),IF(INDEX('Cronograma Asistente Técnico'!$H$5:$H$1000,$N68)="","",INDEX('Cronograma Asistente Técnico'!$H$5:$H$1000,$N68))))</f>
        <v/>
      </c>
      <c r="H68" s="67">
        <f>IF($N68="","",IF($P68&gt;0,IF(2&lt;=SemanaActual,INDEX('Cronograma Asistente Técnico'!$Z$5:$Z$1000,$N68),""),IF(INDEX('Cronograma Asistente Técnico'!$I$5:$I$1000,$N68)="","",INDEX('Cronograma Asistente Técnico'!$I$5:$I$1000,$N68))))</f>
        <v/>
      </c>
      <c r="I68" s="67">
        <f>IF($N68="","",IF($P68&gt;0,IF(3&lt;=SemanaActual,INDEX('Cronograma Asistente Técnico'!$AA$5:$AA$1000,$N68),""),IF(INDEX('Cronograma Asistente Técnico'!$J$5:$J$1000,$N68)="","",INDEX('Cronograma Asistente Técnico'!$J$5:$J$1000,$N68))))</f>
        <v/>
      </c>
      <c r="J68" s="67">
        <f>IF($N68="","",IF($P68&gt;0,IF(4&lt;=SemanaActual,INDEX('Cronograma Asistente Técnico'!$AB$5:$AB$1000,$N68),""),IF(INDEX('Cronograma Asistente Técnico'!$K$5:$K$1000,$N68)="","",INDEX('Cronograma Asistente Técnico'!$K$5:$K$1000,$N68))))</f>
        <v/>
      </c>
      <c r="K68" s="67">
        <f>IF($N68="","",INDEX('Cronograma Asistente Técnico'!$L$5:$L$1000,$N68))</f>
        <v/>
      </c>
      <c r="L68" s="61">
        <f>IF($N68="","",IF(N($K68)&gt;=1,"Completado",IF(AND(ISNUMBER($E68),$E68&lt;FechaRef),"Vencida",IF(N($K68)&gt;0,"En curso","Pendiente"))))</f>
        <v/>
      </c>
      <c r="M68" s="70">
        <f>IF($N68="","",INDEX('Cronograma Asistente Técnico'!$N$5:$N$1000,$N68)&amp;"")</f>
        <v/>
      </c>
      <c r="N68">
        <f>IFERROR(MATCH(ROW()-4,rOrden_ATR,0),"")</f>
        <v/>
      </c>
      <c r="O68">
        <f>IF($N68="","",INDEX('Cronograma Asistente Técnico'!$S$5:$S$1000,$N68))</f>
        <v/>
      </c>
      <c r="P68">
        <f>IF($N68="","",N(INDEX('Cronograma Asistente Técnico'!$T$5:$T$1000,$N68)))</f>
        <v/>
      </c>
    </row>
    <row r="69">
      <c r="A69" s="61">
        <f>IF($N69="","",INDEX('Cronograma Asistente Técnico'!$A$5:$A$1000,$N69))</f>
        <v/>
      </c>
      <c r="B69" s="70">
        <f>IF($N69="","",IF($O69="Sub","     ↳ "&amp;INDEX('Cronograma Asistente Técnico'!$C$5:$C$1000,$N69),INDEX('Cronograma Asistente Técnico'!$B$5:$B$1000,$N69)&amp;""))</f>
        <v/>
      </c>
      <c r="C69" s="70">
        <f>IF($N69="","",INDEX('Cronograma Asistente Técnico'!$D$5:$D$1000,$N69)&amp;"")</f>
        <v/>
      </c>
      <c r="D69" s="76">
        <f>IF($N69="","",IF(INDEX('Cronograma Asistente Técnico'!$E$5:$E$1000,$N69)="","",INDEX('Cronograma Asistente Técnico'!$E$5:$E$1000,$N69)))</f>
        <v/>
      </c>
      <c r="E69" s="76">
        <f>IF($N69="","",IF(INDEX('Cronograma Asistente Técnico'!$F$5:$F$1000,$N69)="","",INDEX('Cronograma Asistente Técnico'!$F$5:$F$1000,$N69)))</f>
        <v/>
      </c>
      <c r="F69" s="61">
        <f>IF($N69="","",IF(NOT(ISNUMBER($E69)),"",IF($E69&lt;InicioCiclo,"Antes del ciclo",IF($E69&gt;=InicioCiclo+28,"Después del ciclo","Semana "&amp;(INT(($E69-InicioCiclo)/7)+1)))))</f>
        <v/>
      </c>
      <c r="G69" s="67">
        <f>IF($N69="","",IF($P69&gt;0,IF(1&lt;=SemanaActual,INDEX('Cronograma Asistente Técnico'!$Y$5:$Y$1000,$N69),""),IF(INDEX('Cronograma Asistente Técnico'!$H$5:$H$1000,$N69)="","",INDEX('Cronograma Asistente Técnico'!$H$5:$H$1000,$N69))))</f>
        <v/>
      </c>
      <c r="H69" s="67">
        <f>IF($N69="","",IF($P69&gt;0,IF(2&lt;=SemanaActual,INDEX('Cronograma Asistente Técnico'!$Z$5:$Z$1000,$N69),""),IF(INDEX('Cronograma Asistente Técnico'!$I$5:$I$1000,$N69)="","",INDEX('Cronograma Asistente Técnico'!$I$5:$I$1000,$N69))))</f>
        <v/>
      </c>
      <c r="I69" s="67">
        <f>IF($N69="","",IF($P69&gt;0,IF(3&lt;=SemanaActual,INDEX('Cronograma Asistente Técnico'!$AA$5:$AA$1000,$N69),""),IF(INDEX('Cronograma Asistente Técnico'!$J$5:$J$1000,$N69)="","",INDEX('Cronograma Asistente Técnico'!$J$5:$J$1000,$N69))))</f>
        <v/>
      </c>
      <c r="J69" s="67">
        <f>IF($N69="","",IF($P69&gt;0,IF(4&lt;=SemanaActual,INDEX('Cronograma Asistente Técnico'!$AB$5:$AB$1000,$N69),""),IF(INDEX('Cronograma Asistente Técnico'!$K$5:$K$1000,$N69)="","",INDEX('Cronograma Asistente Técnico'!$K$5:$K$1000,$N69))))</f>
        <v/>
      </c>
      <c r="K69" s="67">
        <f>IF($N69="","",INDEX('Cronograma Asistente Técnico'!$L$5:$L$1000,$N69))</f>
        <v/>
      </c>
      <c r="L69" s="61">
        <f>IF($N69="","",IF(N($K69)&gt;=1,"Completado",IF(AND(ISNUMBER($E69),$E69&lt;FechaRef),"Vencida",IF(N($K69)&gt;0,"En curso","Pendiente"))))</f>
        <v/>
      </c>
      <c r="M69" s="70">
        <f>IF($N69="","",INDEX('Cronograma Asistente Técnico'!$N$5:$N$1000,$N69)&amp;"")</f>
        <v/>
      </c>
      <c r="N69">
        <f>IFERROR(MATCH(ROW()-4,rOrden_ATR,0),"")</f>
        <v/>
      </c>
      <c r="O69">
        <f>IF($N69="","",INDEX('Cronograma Asistente Técnico'!$S$5:$S$1000,$N69))</f>
        <v/>
      </c>
      <c r="P69">
        <f>IF($N69="","",N(INDEX('Cronograma Asistente Técnico'!$T$5:$T$1000,$N69)))</f>
        <v/>
      </c>
    </row>
    <row r="70">
      <c r="A70" s="61">
        <f>IF($N70="","",INDEX('Cronograma Asistente Técnico'!$A$5:$A$1000,$N70))</f>
        <v/>
      </c>
      <c r="B70" s="70">
        <f>IF($N70="","",IF($O70="Sub","     ↳ "&amp;INDEX('Cronograma Asistente Técnico'!$C$5:$C$1000,$N70),INDEX('Cronograma Asistente Técnico'!$B$5:$B$1000,$N70)&amp;""))</f>
        <v/>
      </c>
      <c r="C70" s="70">
        <f>IF($N70="","",INDEX('Cronograma Asistente Técnico'!$D$5:$D$1000,$N70)&amp;"")</f>
        <v/>
      </c>
      <c r="D70" s="76">
        <f>IF($N70="","",IF(INDEX('Cronograma Asistente Técnico'!$E$5:$E$1000,$N70)="","",INDEX('Cronograma Asistente Técnico'!$E$5:$E$1000,$N70)))</f>
        <v/>
      </c>
      <c r="E70" s="76">
        <f>IF($N70="","",IF(INDEX('Cronograma Asistente Técnico'!$F$5:$F$1000,$N70)="","",INDEX('Cronograma Asistente Técnico'!$F$5:$F$1000,$N70)))</f>
        <v/>
      </c>
      <c r="F70" s="61">
        <f>IF($N70="","",IF(NOT(ISNUMBER($E70)),"",IF($E70&lt;InicioCiclo,"Antes del ciclo",IF($E70&gt;=InicioCiclo+28,"Después del ciclo","Semana "&amp;(INT(($E70-InicioCiclo)/7)+1)))))</f>
        <v/>
      </c>
      <c r="G70" s="67">
        <f>IF($N70="","",IF($P70&gt;0,IF(1&lt;=SemanaActual,INDEX('Cronograma Asistente Técnico'!$Y$5:$Y$1000,$N70),""),IF(INDEX('Cronograma Asistente Técnico'!$H$5:$H$1000,$N70)="","",INDEX('Cronograma Asistente Técnico'!$H$5:$H$1000,$N70))))</f>
        <v/>
      </c>
      <c r="H70" s="67">
        <f>IF($N70="","",IF($P70&gt;0,IF(2&lt;=SemanaActual,INDEX('Cronograma Asistente Técnico'!$Z$5:$Z$1000,$N70),""),IF(INDEX('Cronograma Asistente Técnico'!$I$5:$I$1000,$N70)="","",INDEX('Cronograma Asistente Técnico'!$I$5:$I$1000,$N70))))</f>
        <v/>
      </c>
      <c r="I70" s="67">
        <f>IF($N70="","",IF($P70&gt;0,IF(3&lt;=SemanaActual,INDEX('Cronograma Asistente Técnico'!$AA$5:$AA$1000,$N70),""),IF(INDEX('Cronograma Asistente Técnico'!$J$5:$J$1000,$N70)="","",INDEX('Cronograma Asistente Técnico'!$J$5:$J$1000,$N70))))</f>
        <v/>
      </c>
      <c r="J70" s="67">
        <f>IF($N70="","",IF($P70&gt;0,IF(4&lt;=SemanaActual,INDEX('Cronograma Asistente Técnico'!$AB$5:$AB$1000,$N70),""),IF(INDEX('Cronograma Asistente Técnico'!$K$5:$K$1000,$N70)="","",INDEX('Cronograma Asistente Técnico'!$K$5:$K$1000,$N70))))</f>
        <v/>
      </c>
      <c r="K70" s="67">
        <f>IF($N70="","",INDEX('Cronograma Asistente Técnico'!$L$5:$L$1000,$N70))</f>
        <v/>
      </c>
      <c r="L70" s="61">
        <f>IF($N70="","",IF(N($K70)&gt;=1,"Completado",IF(AND(ISNUMBER($E70),$E70&lt;FechaRef),"Vencida",IF(N($K70)&gt;0,"En curso","Pendiente"))))</f>
        <v/>
      </c>
      <c r="M70" s="70">
        <f>IF($N70="","",INDEX('Cronograma Asistente Técnico'!$N$5:$N$1000,$N70)&amp;"")</f>
        <v/>
      </c>
      <c r="N70">
        <f>IFERROR(MATCH(ROW()-4,rOrden_ATR,0),"")</f>
        <v/>
      </c>
      <c r="O70">
        <f>IF($N70="","",INDEX('Cronograma Asistente Técnico'!$S$5:$S$1000,$N70))</f>
        <v/>
      </c>
      <c r="P70">
        <f>IF($N70="","",N(INDEX('Cronograma Asistente Técnico'!$T$5:$T$1000,$N70)))</f>
        <v/>
      </c>
    </row>
    <row r="71">
      <c r="A71" s="61">
        <f>IF($N71="","",INDEX('Cronograma Asistente Técnico'!$A$5:$A$1000,$N71))</f>
        <v/>
      </c>
      <c r="B71" s="70">
        <f>IF($N71="","",IF($O71="Sub","     ↳ "&amp;INDEX('Cronograma Asistente Técnico'!$C$5:$C$1000,$N71),INDEX('Cronograma Asistente Técnico'!$B$5:$B$1000,$N71)&amp;""))</f>
        <v/>
      </c>
      <c r="C71" s="70">
        <f>IF($N71="","",INDEX('Cronograma Asistente Técnico'!$D$5:$D$1000,$N71)&amp;"")</f>
        <v/>
      </c>
      <c r="D71" s="76">
        <f>IF($N71="","",IF(INDEX('Cronograma Asistente Técnico'!$E$5:$E$1000,$N71)="","",INDEX('Cronograma Asistente Técnico'!$E$5:$E$1000,$N71)))</f>
        <v/>
      </c>
      <c r="E71" s="76">
        <f>IF($N71="","",IF(INDEX('Cronograma Asistente Técnico'!$F$5:$F$1000,$N71)="","",INDEX('Cronograma Asistente Técnico'!$F$5:$F$1000,$N71)))</f>
        <v/>
      </c>
      <c r="F71" s="61">
        <f>IF($N71="","",IF(NOT(ISNUMBER($E71)),"",IF($E71&lt;InicioCiclo,"Antes del ciclo",IF($E71&gt;=InicioCiclo+28,"Después del ciclo","Semana "&amp;(INT(($E71-InicioCiclo)/7)+1)))))</f>
        <v/>
      </c>
      <c r="G71" s="67">
        <f>IF($N71="","",IF($P71&gt;0,IF(1&lt;=SemanaActual,INDEX('Cronograma Asistente Técnico'!$Y$5:$Y$1000,$N71),""),IF(INDEX('Cronograma Asistente Técnico'!$H$5:$H$1000,$N71)="","",INDEX('Cronograma Asistente Técnico'!$H$5:$H$1000,$N71))))</f>
        <v/>
      </c>
      <c r="H71" s="67">
        <f>IF($N71="","",IF($P71&gt;0,IF(2&lt;=SemanaActual,INDEX('Cronograma Asistente Técnico'!$Z$5:$Z$1000,$N71),""),IF(INDEX('Cronograma Asistente Técnico'!$I$5:$I$1000,$N71)="","",INDEX('Cronograma Asistente Técnico'!$I$5:$I$1000,$N71))))</f>
        <v/>
      </c>
      <c r="I71" s="67">
        <f>IF($N71="","",IF($P71&gt;0,IF(3&lt;=SemanaActual,INDEX('Cronograma Asistente Técnico'!$AA$5:$AA$1000,$N71),""),IF(INDEX('Cronograma Asistente Técnico'!$J$5:$J$1000,$N71)="","",INDEX('Cronograma Asistente Técnico'!$J$5:$J$1000,$N71))))</f>
        <v/>
      </c>
      <c r="J71" s="67">
        <f>IF($N71="","",IF($P71&gt;0,IF(4&lt;=SemanaActual,INDEX('Cronograma Asistente Técnico'!$AB$5:$AB$1000,$N71),""),IF(INDEX('Cronograma Asistente Técnico'!$K$5:$K$1000,$N71)="","",INDEX('Cronograma Asistente Técnico'!$K$5:$K$1000,$N71))))</f>
        <v/>
      </c>
      <c r="K71" s="67">
        <f>IF($N71="","",INDEX('Cronograma Asistente Técnico'!$L$5:$L$1000,$N71))</f>
        <v/>
      </c>
      <c r="L71" s="61">
        <f>IF($N71="","",IF(N($K71)&gt;=1,"Completado",IF(AND(ISNUMBER($E71),$E71&lt;FechaRef),"Vencida",IF(N($K71)&gt;0,"En curso","Pendiente"))))</f>
        <v/>
      </c>
      <c r="M71" s="70">
        <f>IF($N71="","",INDEX('Cronograma Asistente Técnico'!$N$5:$N$1000,$N71)&amp;"")</f>
        <v/>
      </c>
      <c r="N71">
        <f>IFERROR(MATCH(ROW()-4,rOrden_ATR,0),"")</f>
        <v/>
      </c>
      <c r="O71">
        <f>IF($N71="","",INDEX('Cronograma Asistente Técnico'!$S$5:$S$1000,$N71))</f>
        <v/>
      </c>
      <c r="P71">
        <f>IF($N71="","",N(INDEX('Cronograma Asistente Técnico'!$T$5:$T$1000,$N71)))</f>
        <v/>
      </c>
    </row>
    <row r="72">
      <c r="A72" s="61">
        <f>IF($N72="","",INDEX('Cronograma Asistente Técnico'!$A$5:$A$1000,$N72))</f>
        <v/>
      </c>
      <c r="B72" s="70">
        <f>IF($N72="","",IF($O72="Sub","     ↳ "&amp;INDEX('Cronograma Asistente Técnico'!$C$5:$C$1000,$N72),INDEX('Cronograma Asistente Técnico'!$B$5:$B$1000,$N72)&amp;""))</f>
        <v/>
      </c>
      <c r="C72" s="70">
        <f>IF($N72="","",INDEX('Cronograma Asistente Técnico'!$D$5:$D$1000,$N72)&amp;"")</f>
        <v/>
      </c>
      <c r="D72" s="76">
        <f>IF($N72="","",IF(INDEX('Cronograma Asistente Técnico'!$E$5:$E$1000,$N72)="","",INDEX('Cronograma Asistente Técnico'!$E$5:$E$1000,$N72)))</f>
        <v/>
      </c>
      <c r="E72" s="76">
        <f>IF($N72="","",IF(INDEX('Cronograma Asistente Técnico'!$F$5:$F$1000,$N72)="","",INDEX('Cronograma Asistente Técnico'!$F$5:$F$1000,$N72)))</f>
        <v/>
      </c>
      <c r="F72" s="61">
        <f>IF($N72="","",IF(NOT(ISNUMBER($E72)),"",IF($E72&lt;InicioCiclo,"Antes del ciclo",IF($E72&gt;=InicioCiclo+28,"Después del ciclo","Semana "&amp;(INT(($E72-InicioCiclo)/7)+1)))))</f>
        <v/>
      </c>
      <c r="G72" s="67">
        <f>IF($N72="","",IF($P72&gt;0,IF(1&lt;=SemanaActual,INDEX('Cronograma Asistente Técnico'!$Y$5:$Y$1000,$N72),""),IF(INDEX('Cronograma Asistente Técnico'!$H$5:$H$1000,$N72)="","",INDEX('Cronograma Asistente Técnico'!$H$5:$H$1000,$N72))))</f>
        <v/>
      </c>
      <c r="H72" s="67">
        <f>IF($N72="","",IF($P72&gt;0,IF(2&lt;=SemanaActual,INDEX('Cronograma Asistente Técnico'!$Z$5:$Z$1000,$N72),""),IF(INDEX('Cronograma Asistente Técnico'!$I$5:$I$1000,$N72)="","",INDEX('Cronograma Asistente Técnico'!$I$5:$I$1000,$N72))))</f>
        <v/>
      </c>
      <c r="I72" s="67">
        <f>IF($N72="","",IF($P72&gt;0,IF(3&lt;=SemanaActual,INDEX('Cronograma Asistente Técnico'!$AA$5:$AA$1000,$N72),""),IF(INDEX('Cronograma Asistente Técnico'!$J$5:$J$1000,$N72)="","",INDEX('Cronograma Asistente Técnico'!$J$5:$J$1000,$N72))))</f>
        <v/>
      </c>
      <c r="J72" s="67">
        <f>IF($N72="","",IF($P72&gt;0,IF(4&lt;=SemanaActual,INDEX('Cronograma Asistente Técnico'!$AB$5:$AB$1000,$N72),""),IF(INDEX('Cronograma Asistente Técnico'!$K$5:$K$1000,$N72)="","",INDEX('Cronograma Asistente Técnico'!$K$5:$K$1000,$N72))))</f>
        <v/>
      </c>
      <c r="K72" s="67">
        <f>IF($N72="","",INDEX('Cronograma Asistente Técnico'!$L$5:$L$1000,$N72))</f>
        <v/>
      </c>
      <c r="L72" s="61">
        <f>IF($N72="","",IF(N($K72)&gt;=1,"Completado",IF(AND(ISNUMBER($E72),$E72&lt;FechaRef),"Vencida",IF(N($K72)&gt;0,"En curso","Pendiente"))))</f>
        <v/>
      </c>
      <c r="M72" s="70">
        <f>IF($N72="","",INDEX('Cronograma Asistente Técnico'!$N$5:$N$1000,$N72)&amp;"")</f>
        <v/>
      </c>
      <c r="N72">
        <f>IFERROR(MATCH(ROW()-4,rOrden_ATR,0),"")</f>
        <v/>
      </c>
      <c r="O72">
        <f>IF($N72="","",INDEX('Cronograma Asistente Técnico'!$S$5:$S$1000,$N72))</f>
        <v/>
      </c>
      <c r="P72">
        <f>IF($N72="","",N(INDEX('Cronograma Asistente Técnico'!$T$5:$T$1000,$N72)))</f>
        <v/>
      </c>
    </row>
    <row r="73">
      <c r="A73" s="61">
        <f>IF($N73="","",INDEX('Cronograma Asistente Técnico'!$A$5:$A$1000,$N73))</f>
        <v/>
      </c>
      <c r="B73" s="70">
        <f>IF($N73="","",IF($O73="Sub","     ↳ "&amp;INDEX('Cronograma Asistente Técnico'!$C$5:$C$1000,$N73),INDEX('Cronograma Asistente Técnico'!$B$5:$B$1000,$N73)&amp;""))</f>
        <v/>
      </c>
      <c r="C73" s="70">
        <f>IF($N73="","",INDEX('Cronograma Asistente Técnico'!$D$5:$D$1000,$N73)&amp;"")</f>
        <v/>
      </c>
      <c r="D73" s="76">
        <f>IF($N73="","",IF(INDEX('Cronograma Asistente Técnico'!$E$5:$E$1000,$N73)="","",INDEX('Cronograma Asistente Técnico'!$E$5:$E$1000,$N73)))</f>
        <v/>
      </c>
      <c r="E73" s="76">
        <f>IF($N73="","",IF(INDEX('Cronograma Asistente Técnico'!$F$5:$F$1000,$N73)="","",INDEX('Cronograma Asistente Técnico'!$F$5:$F$1000,$N73)))</f>
        <v/>
      </c>
      <c r="F73" s="61">
        <f>IF($N73="","",IF(NOT(ISNUMBER($E73)),"",IF($E73&lt;InicioCiclo,"Antes del ciclo",IF($E73&gt;=InicioCiclo+28,"Después del ciclo","Semana "&amp;(INT(($E73-InicioCiclo)/7)+1)))))</f>
        <v/>
      </c>
      <c r="G73" s="67">
        <f>IF($N73="","",IF($P73&gt;0,IF(1&lt;=SemanaActual,INDEX('Cronograma Asistente Técnico'!$Y$5:$Y$1000,$N73),""),IF(INDEX('Cronograma Asistente Técnico'!$H$5:$H$1000,$N73)="","",INDEX('Cronograma Asistente Técnico'!$H$5:$H$1000,$N73))))</f>
        <v/>
      </c>
      <c r="H73" s="67">
        <f>IF($N73="","",IF($P73&gt;0,IF(2&lt;=SemanaActual,INDEX('Cronograma Asistente Técnico'!$Z$5:$Z$1000,$N73),""),IF(INDEX('Cronograma Asistente Técnico'!$I$5:$I$1000,$N73)="","",INDEX('Cronograma Asistente Técnico'!$I$5:$I$1000,$N73))))</f>
        <v/>
      </c>
      <c r="I73" s="67">
        <f>IF($N73="","",IF($P73&gt;0,IF(3&lt;=SemanaActual,INDEX('Cronograma Asistente Técnico'!$AA$5:$AA$1000,$N73),""),IF(INDEX('Cronograma Asistente Técnico'!$J$5:$J$1000,$N73)="","",INDEX('Cronograma Asistente Técnico'!$J$5:$J$1000,$N73))))</f>
        <v/>
      </c>
      <c r="J73" s="67">
        <f>IF($N73="","",IF($P73&gt;0,IF(4&lt;=SemanaActual,INDEX('Cronograma Asistente Técnico'!$AB$5:$AB$1000,$N73),""),IF(INDEX('Cronograma Asistente Técnico'!$K$5:$K$1000,$N73)="","",INDEX('Cronograma Asistente Técnico'!$K$5:$K$1000,$N73))))</f>
        <v/>
      </c>
      <c r="K73" s="67">
        <f>IF($N73="","",INDEX('Cronograma Asistente Técnico'!$L$5:$L$1000,$N73))</f>
        <v/>
      </c>
      <c r="L73" s="61">
        <f>IF($N73="","",IF(N($K73)&gt;=1,"Completado",IF(AND(ISNUMBER($E73),$E73&lt;FechaRef),"Vencida",IF(N($K73)&gt;0,"En curso","Pendiente"))))</f>
        <v/>
      </c>
      <c r="M73" s="70">
        <f>IF($N73="","",INDEX('Cronograma Asistente Técnico'!$N$5:$N$1000,$N73)&amp;"")</f>
        <v/>
      </c>
      <c r="N73">
        <f>IFERROR(MATCH(ROW()-4,rOrden_ATR,0),"")</f>
        <v/>
      </c>
      <c r="O73">
        <f>IF($N73="","",INDEX('Cronograma Asistente Técnico'!$S$5:$S$1000,$N73))</f>
        <v/>
      </c>
      <c r="P73">
        <f>IF($N73="","",N(INDEX('Cronograma Asistente Técnico'!$T$5:$T$1000,$N73)))</f>
        <v/>
      </c>
    </row>
    <row r="74">
      <c r="A74" s="61">
        <f>IF($N74="","",INDEX('Cronograma Asistente Técnico'!$A$5:$A$1000,$N74))</f>
        <v/>
      </c>
      <c r="B74" s="70">
        <f>IF($N74="","",IF($O74="Sub","     ↳ "&amp;INDEX('Cronograma Asistente Técnico'!$C$5:$C$1000,$N74),INDEX('Cronograma Asistente Técnico'!$B$5:$B$1000,$N74)&amp;""))</f>
        <v/>
      </c>
      <c r="C74" s="70">
        <f>IF($N74="","",INDEX('Cronograma Asistente Técnico'!$D$5:$D$1000,$N74)&amp;"")</f>
        <v/>
      </c>
      <c r="D74" s="76">
        <f>IF($N74="","",IF(INDEX('Cronograma Asistente Técnico'!$E$5:$E$1000,$N74)="","",INDEX('Cronograma Asistente Técnico'!$E$5:$E$1000,$N74)))</f>
        <v/>
      </c>
      <c r="E74" s="76">
        <f>IF($N74="","",IF(INDEX('Cronograma Asistente Técnico'!$F$5:$F$1000,$N74)="","",INDEX('Cronograma Asistente Técnico'!$F$5:$F$1000,$N74)))</f>
        <v/>
      </c>
      <c r="F74" s="61">
        <f>IF($N74="","",IF(NOT(ISNUMBER($E74)),"",IF($E74&lt;InicioCiclo,"Antes del ciclo",IF($E74&gt;=InicioCiclo+28,"Después del ciclo","Semana "&amp;(INT(($E74-InicioCiclo)/7)+1)))))</f>
        <v/>
      </c>
      <c r="G74" s="67">
        <f>IF($N74="","",IF($P74&gt;0,IF(1&lt;=SemanaActual,INDEX('Cronograma Asistente Técnico'!$Y$5:$Y$1000,$N74),""),IF(INDEX('Cronograma Asistente Técnico'!$H$5:$H$1000,$N74)="","",INDEX('Cronograma Asistente Técnico'!$H$5:$H$1000,$N74))))</f>
        <v/>
      </c>
      <c r="H74" s="67">
        <f>IF($N74="","",IF($P74&gt;0,IF(2&lt;=SemanaActual,INDEX('Cronograma Asistente Técnico'!$Z$5:$Z$1000,$N74),""),IF(INDEX('Cronograma Asistente Técnico'!$I$5:$I$1000,$N74)="","",INDEX('Cronograma Asistente Técnico'!$I$5:$I$1000,$N74))))</f>
        <v/>
      </c>
      <c r="I74" s="67">
        <f>IF($N74="","",IF($P74&gt;0,IF(3&lt;=SemanaActual,INDEX('Cronograma Asistente Técnico'!$AA$5:$AA$1000,$N74),""),IF(INDEX('Cronograma Asistente Técnico'!$J$5:$J$1000,$N74)="","",INDEX('Cronograma Asistente Técnico'!$J$5:$J$1000,$N74))))</f>
        <v/>
      </c>
      <c r="J74" s="67">
        <f>IF($N74="","",IF($P74&gt;0,IF(4&lt;=SemanaActual,INDEX('Cronograma Asistente Técnico'!$AB$5:$AB$1000,$N74),""),IF(INDEX('Cronograma Asistente Técnico'!$K$5:$K$1000,$N74)="","",INDEX('Cronograma Asistente Técnico'!$K$5:$K$1000,$N74))))</f>
        <v/>
      </c>
      <c r="K74" s="67">
        <f>IF($N74="","",INDEX('Cronograma Asistente Técnico'!$L$5:$L$1000,$N74))</f>
        <v/>
      </c>
      <c r="L74" s="61">
        <f>IF($N74="","",IF(N($K74)&gt;=1,"Completado",IF(AND(ISNUMBER($E74),$E74&lt;FechaRef),"Vencida",IF(N($K74)&gt;0,"En curso","Pendiente"))))</f>
        <v/>
      </c>
      <c r="M74" s="70">
        <f>IF($N74="","",INDEX('Cronograma Asistente Técnico'!$N$5:$N$1000,$N74)&amp;"")</f>
        <v/>
      </c>
      <c r="N74">
        <f>IFERROR(MATCH(ROW()-4,rOrden_ATR,0),"")</f>
        <v/>
      </c>
      <c r="O74">
        <f>IF($N74="","",INDEX('Cronograma Asistente Técnico'!$S$5:$S$1000,$N74))</f>
        <v/>
      </c>
      <c r="P74">
        <f>IF($N74="","",N(INDEX('Cronograma Asistente Técnico'!$T$5:$T$1000,$N74)))</f>
        <v/>
      </c>
    </row>
    <row r="75">
      <c r="A75" s="61">
        <f>IF($N75="","",INDEX('Cronograma Asistente Técnico'!$A$5:$A$1000,$N75))</f>
        <v/>
      </c>
      <c r="B75" s="70">
        <f>IF($N75="","",IF($O75="Sub","     ↳ "&amp;INDEX('Cronograma Asistente Técnico'!$C$5:$C$1000,$N75),INDEX('Cronograma Asistente Técnico'!$B$5:$B$1000,$N75)&amp;""))</f>
        <v/>
      </c>
      <c r="C75" s="70">
        <f>IF($N75="","",INDEX('Cronograma Asistente Técnico'!$D$5:$D$1000,$N75)&amp;"")</f>
        <v/>
      </c>
      <c r="D75" s="76">
        <f>IF($N75="","",IF(INDEX('Cronograma Asistente Técnico'!$E$5:$E$1000,$N75)="","",INDEX('Cronograma Asistente Técnico'!$E$5:$E$1000,$N75)))</f>
        <v/>
      </c>
      <c r="E75" s="76">
        <f>IF($N75="","",IF(INDEX('Cronograma Asistente Técnico'!$F$5:$F$1000,$N75)="","",INDEX('Cronograma Asistente Técnico'!$F$5:$F$1000,$N75)))</f>
        <v/>
      </c>
      <c r="F75" s="61">
        <f>IF($N75="","",IF(NOT(ISNUMBER($E75)),"",IF($E75&lt;InicioCiclo,"Antes del ciclo",IF($E75&gt;=InicioCiclo+28,"Después del ciclo","Semana "&amp;(INT(($E75-InicioCiclo)/7)+1)))))</f>
        <v/>
      </c>
      <c r="G75" s="67">
        <f>IF($N75="","",IF($P75&gt;0,IF(1&lt;=SemanaActual,INDEX('Cronograma Asistente Técnico'!$Y$5:$Y$1000,$N75),""),IF(INDEX('Cronograma Asistente Técnico'!$H$5:$H$1000,$N75)="","",INDEX('Cronograma Asistente Técnico'!$H$5:$H$1000,$N75))))</f>
        <v/>
      </c>
      <c r="H75" s="67">
        <f>IF($N75="","",IF($P75&gt;0,IF(2&lt;=SemanaActual,INDEX('Cronograma Asistente Técnico'!$Z$5:$Z$1000,$N75),""),IF(INDEX('Cronograma Asistente Técnico'!$I$5:$I$1000,$N75)="","",INDEX('Cronograma Asistente Técnico'!$I$5:$I$1000,$N75))))</f>
        <v/>
      </c>
      <c r="I75" s="67">
        <f>IF($N75="","",IF($P75&gt;0,IF(3&lt;=SemanaActual,INDEX('Cronograma Asistente Técnico'!$AA$5:$AA$1000,$N75),""),IF(INDEX('Cronograma Asistente Técnico'!$J$5:$J$1000,$N75)="","",INDEX('Cronograma Asistente Técnico'!$J$5:$J$1000,$N75))))</f>
        <v/>
      </c>
      <c r="J75" s="67">
        <f>IF($N75="","",IF($P75&gt;0,IF(4&lt;=SemanaActual,INDEX('Cronograma Asistente Técnico'!$AB$5:$AB$1000,$N75),""),IF(INDEX('Cronograma Asistente Técnico'!$K$5:$K$1000,$N75)="","",INDEX('Cronograma Asistente Técnico'!$K$5:$K$1000,$N75))))</f>
        <v/>
      </c>
      <c r="K75" s="67">
        <f>IF($N75="","",INDEX('Cronograma Asistente Técnico'!$L$5:$L$1000,$N75))</f>
        <v/>
      </c>
      <c r="L75" s="61">
        <f>IF($N75="","",IF(N($K75)&gt;=1,"Completado",IF(AND(ISNUMBER($E75),$E75&lt;FechaRef),"Vencida",IF(N($K75)&gt;0,"En curso","Pendiente"))))</f>
        <v/>
      </c>
      <c r="M75" s="70">
        <f>IF($N75="","",INDEX('Cronograma Asistente Técnico'!$N$5:$N$1000,$N75)&amp;"")</f>
        <v/>
      </c>
      <c r="N75">
        <f>IFERROR(MATCH(ROW()-4,rOrden_ATR,0),"")</f>
        <v/>
      </c>
      <c r="O75">
        <f>IF($N75="","",INDEX('Cronograma Asistente Técnico'!$S$5:$S$1000,$N75))</f>
        <v/>
      </c>
      <c r="P75">
        <f>IF($N75="","",N(INDEX('Cronograma Asistente Técnico'!$T$5:$T$1000,$N75)))</f>
        <v/>
      </c>
    </row>
    <row r="76">
      <c r="A76" s="61">
        <f>IF($N76="","",INDEX('Cronograma Asistente Técnico'!$A$5:$A$1000,$N76))</f>
        <v/>
      </c>
      <c r="B76" s="70">
        <f>IF($N76="","",IF($O76="Sub","     ↳ "&amp;INDEX('Cronograma Asistente Técnico'!$C$5:$C$1000,$N76),INDEX('Cronograma Asistente Técnico'!$B$5:$B$1000,$N76)&amp;""))</f>
        <v/>
      </c>
      <c r="C76" s="70">
        <f>IF($N76="","",INDEX('Cronograma Asistente Técnico'!$D$5:$D$1000,$N76)&amp;"")</f>
        <v/>
      </c>
      <c r="D76" s="76">
        <f>IF($N76="","",IF(INDEX('Cronograma Asistente Técnico'!$E$5:$E$1000,$N76)="","",INDEX('Cronograma Asistente Técnico'!$E$5:$E$1000,$N76)))</f>
        <v/>
      </c>
      <c r="E76" s="76">
        <f>IF($N76="","",IF(INDEX('Cronograma Asistente Técnico'!$F$5:$F$1000,$N76)="","",INDEX('Cronograma Asistente Técnico'!$F$5:$F$1000,$N76)))</f>
        <v/>
      </c>
      <c r="F76" s="61">
        <f>IF($N76="","",IF(NOT(ISNUMBER($E76)),"",IF($E76&lt;InicioCiclo,"Antes del ciclo",IF($E76&gt;=InicioCiclo+28,"Después del ciclo","Semana "&amp;(INT(($E76-InicioCiclo)/7)+1)))))</f>
        <v/>
      </c>
      <c r="G76" s="67">
        <f>IF($N76="","",IF($P76&gt;0,IF(1&lt;=SemanaActual,INDEX('Cronograma Asistente Técnico'!$Y$5:$Y$1000,$N76),""),IF(INDEX('Cronograma Asistente Técnico'!$H$5:$H$1000,$N76)="","",INDEX('Cronograma Asistente Técnico'!$H$5:$H$1000,$N76))))</f>
        <v/>
      </c>
      <c r="H76" s="67">
        <f>IF($N76="","",IF($P76&gt;0,IF(2&lt;=SemanaActual,INDEX('Cronograma Asistente Técnico'!$Z$5:$Z$1000,$N76),""),IF(INDEX('Cronograma Asistente Técnico'!$I$5:$I$1000,$N76)="","",INDEX('Cronograma Asistente Técnico'!$I$5:$I$1000,$N76))))</f>
        <v/>
      </c>
      <c r="I76" s="67">
        <f>IF($N76="","",IF($P76&gt;0,IF(3&lt;=SemanaActual,INDEX('Cronograma Asistente Técnico'!$AA$5:$AA$1000,$N76),""),IF(INDEX('Cronograma Asistente Técnico'!$J$5:$J$1000,$N76)="","",INDEX('Cronograma Asistente Técnico'!$J$5:$J$1000,$N76))))</f>
        <v/>
      </c>
      <c r="J76" s="67">
        <f>IF($N76="","",IF($P76&gt;0,IF(4&lt;=SemanaActual,INDEX('Cronograma Asistente Técnico'!$AB$5:$AB$1000,$N76),""),IF(INDEX('Cronograma Asistente Técnico'!$K$5:$K$1000,$N76)="","",INDEX('Cronograma Asistente Técnico'!$K$5:$K$1000,$N76))))</f>
        <v/>
      </c>
      <c r="K76" s="67">
        <f>IF($N76="","",INDEX('Cronograma Asistente Técnico'!$L$5:$L$1000,$N76))</f>
        <v/>
      </c>
      <c r="L76" s="61">
        <f>IF($N76="","",IF(N($K76)&gt;=1,"Completado",IF(AND(ISNUMBER($E76),$E76&lt;FechaRef),"Vencida",IF(N($K76)&gt;0,"En curso","Pendiente"))))</f>
        <v/>
      </c>
      <c r="M76" s="70">
        <f>IF($N76="","",INDEX('Cronograma Asistente Técnico'!$N$5:$N$1000,$N76)&amp;"")</f>
        <v/>
      </c>
      <c r="N76">
        <f>IFERROR(MATCH(ROW()-4,rOrden_ATR,0),"")</f>
        <v/>
      </c>
      <c r="O76">
        <f>IF($N76="","",INDEX('Cronograma Asistente Técnico'!$S$5:$S$1000,$N76))</f>
        <v/>
      </c>
      <c r="P76">
        <f>IF($N76="","",N(INDEX('Cronograma Asistente Técnico'!$T$5:$T$1000,$N76)))</f>
        <v/>
      </c>
    </row>
    <row r="77">
      <c r="A77" s="61">
        <f>IF($N77="","",INDEX('Cronograma Asistente Técnico'!$A$5:$A$1000,$N77))</f>
        <v/>
      </c>
      <c r="B77" s="70">
        <f>IF($N77="","",IF($O77="Sub","     ↳ "&amp;INDEX('Cronograma Asistente Técnico'!$C$5:$C$1000,$N77),INDEX('Cronograma Asistente Técnico'!$B$5:$B$1000,$N77)&amp;""))</f>
        <v/>
      </c>
      <c r="C77" s="70">
        <f>IF($N77="","",INDEX('Cronograma Asistente Técnico'!$D$5:$D$1000,$N77)&amp;"")</f>
        <v/>
      </c>
      <c r="D77" s="76">
        <f>IF($N77="","",IF(INDEX('Cronograma Asistente Técnico'!$E$5:$E$1000,$N77)="","",INDEX('Cronograma Asistente Técnico'!$E$5:$E$1000,$N77)))</f>
        <v/>
      </c>
      <c r="E77" s="76">
        <f>IF($N77="","",IF(INDEX('Cronograma Asistente Técnico'!$F$5:$F$1000,$N77)="","",INDEX('Cronograma Asistente Técnico'!$F$5:$F$1000,$N77)))</f>
        <v/>
      </c>
      <c r="F77" s="61">
        <f>IF($N77="","",IF(NOT(ISNUMBER($E77)),"",IF($E77&lt;InicioCiclo,"Antes del ciclo",IF($E77&gt;=InicioCiclo+28,"Después del ciclo","Semana "&amp;(INT(($E77-InicioCiclo)/7)+1)))))</f>
        <v/>
      </c>
      <c r="G77" s="67">
        <f>IF($N77="","",IF($P77&gt;0,IF(1&lt;=SemanaActual,INDEX('Cronograma Asistente Técnico'!$Y$5:$Y$1000,$N77),""),IF(INDEX('Cronograma Asistente Técnico'!$H$5:$H$1000,$N77)="","",INDEX('Cronograma Asistente Técnico'!$H$5:$H$1000,$N77))))</f>
        <v/>
      </c>
      <c r="H77" s="67">
        <f>IF($N77="","",IF($P77&gt;0,IF(2&lt;=SemanaActual,INDEX('Cronograma Asistente Técnico'!$Z$5:$Z$1000,$N77),""),IF(INDEX('Cronograma Asistente Técnico'!$I$5:$I$1000,$N77)="","",INDEX('Cronograma Asistente Técnico'!$I$5:$I$1000,$N77))))</f>
        <v/>
      </c>
      <c r="I77" s="67">
        <f>IF($N77="","",IF($P77&gt;0,IF(3&lt;=SemanaActual,INDEX('Cronograma Asistente Técnico'!$AA$5:$AA$1000,$N77),""),IF(INDEX('Cronograma Asistente Técnico'!$J$5:$J$1000,$N77)="","",INDEX('Cronograma Asistente Técnico'!$J$5:$J$1000,$N77))))</f>
        <v/>
      </c>
      <c r="J77" s="67">
        <f>IF($N77="","",IF($P77&gt;0,IF(4&lt;=SemanaActual,INDEX('Cronograma Asistente Técnico'!$AB$5:$AB$1000,$N77),""),IF(INDEX('Cronograma Asistente Técnico'!$K$5:$K$1000,$N77)="","",INDEX('Cronograma Asistente Técnico'!$K$5:$K$1000,$N77))))</f>
        <v/>
      </c>
      <c r="K77" s="67">
        <f>IF($N77="","",INDEX('Cronograma Asistente Técnico'!$L$5:$L$1000,$N77))</f>
        <v/>
      </c>
      <c r="L77" s="61">
        <f>IF($N77="","",IF(N($K77)&gt;=1,"Completado",IF(AND(ISNUMBER($E77),$E77&lt;FechaRef),"Vencida",IF(N($K77)&gt;0,"En curso","Pendiente"))))</f>
        <v/>
      </c>
      <c r="M77" s="70">
        <f>IF($N77="","",INDEX('Cronograma Asistente Técnico'!$N$5:$N$1000,$N77)&amp;"")</f>
        <v/>
      </c>
      <c r="N77">
        <f>IFERROR(MATCH(ROW()-4,rOrden_ATR,0),"")</f>
        <v/>
      </c>
      <c r="O77">
        <f>IF($N77="","",INDEX('Cronograma Asistente Técnico'!$S$5:$S$1000,$N77))</f>
        <v/>
      </c>
      <c r="P77">
        <f>IF($N77="","",N(INDEX('Cronograma Asistente Técnico'!$T$5:$T$1000,$N77)))</f>
        <v/>
      </c>
    </row>
    <row r="78">
      <c r="A78" s="61">
        <f>IF($N78="","",INDEX('Cronograma Asistente Técnico'!$A$5:$A$1000,$N78))</f>
        <v/>
      </c>
      <c r="B78" s="70">
        <f>IF($N78="","",IF($O78="Sub","     ↳ "&amp;INDEX('Cronograma Asistente Técnico'!$C$5:$C$1000,$N78),INDEX('Cronograma Asistente Técnico'!$B$5:$B$1000,$N78)&amp;""))</f>
        <v/>
      </c>
      <c r="C78" s="70">
        <f>IF($N78="","",INDEX('Cronograma Asistente Técnico'!$D$5:$D$1000,$N78)&amp;"")</f>
        <v/>
      </c>
      <c r="D78" s="76">
        <f>IF($N78="","",IF(INDEX('Cronograma Asistente Técnico'!$E$5:$E$1000,$N78)="","",INDEX('Cronograma Asistente Técnico'!$E$5:$E$1000,$N78)))</f>
        <v/>
      </c>
      <c r="E78" s="76">
        <f>IF($N78="","",IF(INDEX('Cronograma Asistente Técnico'!$F$5:$F$1000,$N78)="","",INDEX('Cronograma Asistente Técnico'!$F$5:$F$1000,$N78)))</f>
        <v/>
      </c>
      <c r="F78" s="61">
        <f>IF($N78="","",IF(NOT(ISNUMBER($E78)),"",IF($E78&lt;InicioCiclo,"Antes del ciclo",IF($E78&gt;=InicioCiclo+28,"Después del ciclo","Semana "&amp;(INT(($E78-InicioCiclo)/7)+1)))))</f>
        <v/>
      </c>
      <c r="G78" s="67">
        <f>IF($N78="","",IF($P78&gt;0,IF(1&lt;=SemanaActual,INDEX('Cronograma Asistente Técnico'!$Y$5:$Y$1000,$N78),""),IF(INDEX('Cronograma Asistente Técnico'!$H$5:$H$1000,$N78)="","",INDEX('Cronograma Asistente Técnico'!$H$5:$H$1000,$N78))))</f>
        <v/>
      </c>
      <c r="H78" s="67">
        <f>IF($N78="","",IF($P78&gt;0,IF(2&lt;=SemanaActual,INDEX('Cronograma Asistente Técnico'!$Z$5:$Z$1000,$N78),""),IF(INDEX('Cronograma Asistente Técnico'!$I$5:$I$1000,$N78)="","",INDEX('Cronograma Asistente Técnico'!$I$5:$I$1000,$N78))))</f>
        <v/>
      </c>
      <c r="I78" s="67">
        <f>IF($N78="","",IF($P78&gt;0,IF(3&lt;=SemanaActual,INDEX('Cronograma Asistente Técnico'!$AA$5:$AA$1000,$N78),""),IF(INDEX('Cronograma Asistente Técnico'!$J$5:$J$1000,$N78)="","",INDEX('Cronograma Asistente Técnico'!$J$5:$J$1000,$N78))))</f>
        <v/>
      </c>
      <c r="J78" s="67">
        <f>IF($N78="","",IF($P78&gt;0,IF(4&lt;=SemanaActual,INDEX('Cronograma Asistente Técnico'!$AB$5:$AB$1000,$N78),""),IF(INDEX('Cronograma Asistente Técnico'!$K$5:$K$1000,$N78)="","",INDEX('Cronograma Asistente Técnico'!$K$5:$K$1000,$N78))))</f>
        <v/>
      </c>
      <c r="K78" s="67">
        <f>IF($N78="","",INDEX('Cronograma Asistente Técnico'!$L$5:$L$1000,$N78))</f>
        <v/>
      </c>
      <c r="L78" s="61">
        <f>IF($N78="","",IF(N($K78)&gt;=1,"Completado",IF(AND(ISNUMBER($E78),$E78&lt;FechaRef),"Vencida",IF(N($K78)&gt;0,"En curso","Pendiente"))))</f>
        <v/>
      </c>
      <c r="M78" s="70">
        <f>IF($N78="","",INDEX('Cronograma Asistente Técnico'!$N$5:$N$1000,$N78)&amp;"")</f>
        <v/>
      </c>
      <c r="N78">
        <f>IFERROR(MATCH(ROW()-4,rOrden_ATR,0),"")</f>
        <v/>
      </c>
      <c r="O78">
        <f>IF($N78="","",INDEX('Cronograma Asistente Técnico'!$S$5:$S$1000,$N78))</f>
        <v/>
      </c>
      <c r="P78">
        <f>IF($N78="","",N(INDEX('Cronograma Asistente Técnico'!$T$5:$T$1000,$N78)))</f>
        <v/>
      </c>
    </row>
    <row r="79">
      <c r="A79" s="61">
        <f>IF($N79="","",INDEX('Cronograma Asistente Técnico'!$A$5:$A$1000,$N79))</f>
        <v/>
      </c>
      <c r="B79" s="70">
        <f>IF($N79="","",IF($O79="Sub","     ↳ "&amp;INDEX('Cronograma Asistente Técnico'!$C$5:$C$1000,$N79),INDEX('Cronograma Asistente Técnico'!$B$5:$B$1000,$N79)&amp;""))</f>
        <v/>
      </c>
      <c r="C79" s="70">
        <f>IF($N79="","",INDEX('Cronograma Asistente Técnico'!$D$5:$D$1000,$N79)&amp;"")</f>
        <v/>
      </c>
      <c r="D79" s="76">
        <f>IF($N79="","",IF(INDEX('Cronograma Asistente Técnico'!$E$5:$E$1000,$N79)="","",INDEX('Cronograma Asistente Técnico'!$E$5:$E$1000,$N79)))</f>
        <v/>
      </c>
      <c r="E79" s="76">
        <f>IF($N79="","",IF(INDEX('Cronograma Asistente Técnico'!$F$5:$F$1000,$N79)="","",INDEX('Cronograma Asistente Técnico'!$F$5:$F$1000,$N79)))</f>
        <v/>
      </c>
      <c r="F79" s="61">
        <f>IF($N79="","",IF(NOT(ISNUMBER($E79)),"",IF($E79&lt;InicioCiclo,"Antes del ciclo",IF($E79&gt;=InicioCiclo+28,"Después del ciclo","Semana "&amp;(INT(($E79-InicioCiclo)/7)+1)))))</f>
        <v/>
      </c>
      <c r="G79" s="67">
        <f>IF($N79="","",IF($P79&gt;0,IF(1&lt;=SemanaActual,INDEX('Cronograma Asistente Técnico'!$Y$5:$Y$1000,$N79),""),IF(INDEX('Cronograma Asistente Técnico'!$H$5:$H$1000,$N79)="","",INDEX('Cronograma Asistente Técnico'!$H$5:$H$1000,$N79))))</f>
        <v/>
      </c>
      <c r="H79" s="67">
        <f>IF($N79="","",IF($P79&gt;0,IF(2&lt;=SemanaActual,INDEX('Cronograma Asistente Técnico'!$Z$5:$Z$1000,$N79),""),IF(INDEX('Cronograma Asistente Técnico'!$I$5:$I$1000,$N79)="","",INDEX('Cronograma Asistente Técnico'!$I$5:$I$1000,$N79))))</f>
        <v/>
      </c>
      <c r="I79" s="67">
        <f>IF($N79="","",IF($P79&gt;0,IF(3&lt;=SemanaActual,INDEX('Cronograma Asistente Técnico'!$AA$5:$AA$1000,$N79),""),IF(INDEX('Cronograma Asistente Técnico'!$J$5:$J$1000,$N79)="","",INDEX('Cronograma Asistente Técnico'!$J$5:$J$1000,$N79))))</f>
        <v/>
      </c>
      <c r="J79" s="67">
        <f>IF($N79="","",IF($P79&gt;0,IF(4&lt;=SemanaActual,INDEX('Cronograma Asistente Técnico'!$AB$5:$AB$1000,$N79),""),IF(INDEX('Cronograma Asistente Técnico'!$K$5:$K$1000,$N79)="","",INDEX('Cronograma Asistente Técnico'!$K$5:$K$1000,$N79))))</f>
        <v/>
      </c>
      <c r="K79" s="67">
        <f>IF($N79="","",INDEX('Cronograma Asistente Técnico'!$L$5:$L$1000,$N79))</f>
        <v/>
      </c>
      <c r="L79" s="61">
        <f>IF($N79="","",IF(N($K79)&gt;=1,"Completado",IF(AND(ISNUMBER($E79),$E79&lt;FechaRef),"Vencida",IF(N($K79)&gt;0,"En curso","Pendiente"))))</f>
        <v/>
      </c>
      <c r="M79" s="70">
        <f>IF($N79="","",INDEX('Cronograma Asistente Técnico'!$N$5:$N$1000,$N79)&amp;"")</f>
        <v/>
      </c>
      <c r="N79">
        <f>IFERROR(MATCH(ROW()-4,rOrden_ATR,0),"")</f>
        <v/>
      </c>
      <c r="O79">
        <f>IF($N79="","",INDEX('Cronograma Asistente Técnico'!$S$5:$S$1000,$N79))</f>
        <v/>
      </c>
      <c r="P79">
        <f>IF($N79="","",N(INDEX('Cronograma Asistente Técnico'!$T$5:$T$1000,$N79)))</f>
        <v/>
      </c>
    </row>
    <row r="80">
      <c r="A80" s="61">
        <f>IF($N80="","",INDEX('Cronograma Asistente Técnico'!$A$5:$A$1000,$N80))</f>
        <v/>
      </c>
      <c r="B80" s="70">
        <f>IF($N80="","",IF($O80="Sub","     ↳ "&amp;INDEX('Cronograma Asistente Técnico'!$C$5:$C$1000,$N80),INDEX('Cronograma Asistente Técnico'!$B$5:$B$1000,$N80)&amp;""))</f>
        <v/>
      </c>
      <c r="C80" s="70">
        <f>IF($N80="","",INDEX('Cronograma Asistente Técnico'!$D$5:$D$1000,$N80)&amp;"")</f>
        <v/>
      </c>
      <c r="D80" s="76">
        <f>IF($N80="","",IF(INDEX('Cronograma Asistente Técnico'!$E$5:$E$1000,$N80)="","",INDEX('Cronograma Asistente Técnico'!$E$5:$E$1000,$N80)))</f>
        <v/>
      </c>
      <c r="E80" s="76">
        <f>IF($N80="","",IF(INDEX('Cronograma Asistente Técnico'!$F$5:$F$1000,$N80)="","",INDEX('Cronograma Asistente Técnico'!$F$5:$F$1000,$N80)))</f>
        <v/>
      </c>
      <c r="F80" s="61">
        <f>IF($N80="","",IF(NOT(ISNUMBER($E80)),"",IF($E80&lt;InicioCiclo,"Antes del ciclo",IF($E80&gt;=InicioCiclo+28,"Después del ciclo","Semana "&amp;(INT(($E80-InicioCiclo)/7)+1)))))</f>
        <v/>
      </c>
      <c r="G80" s="67">
        <f>IF($N80="","",IF($P80&gt;0,IF(1&lt;=SemanaActual,INDEX('Cronograma Asistente Técnico'!$Y$5:$Y$1000,$N80),""),IF(INDEX('Cronograma Asistente Técnico'!$H$5:$H$1000,$N80)="","",INDEX('Cronograma Asistente Técnico'!$H$5:$H$1000,$N80))))</f>
        <v/>
      </c>
      <c r="H80" s="67">
        <f>IF($N80="","",IF($P80&gt;0,IF(2&lt;=SemanaActual,INDEX('Cronograma Asistente Técnico'!$Z$5:$Z$1000,$N80),""),IF(INDEX('Cronograma Asistente Técnico'!$I$5:$I$1000,$N80)="","",INDEX('Cronograma Asistente Técnico'!$I$5:$I$1000,$N80))))</f>
        <v/>
      </c>
      <c r="I80" s="67">
        <f>IF($N80="","",IF($P80&gt;0,IF(3&lt;=SemanaActual,INDEX('Cronograma Asistente Técnico'!$AA$5:$AA$1000,$N80),""),IF(INDEX('Cronograma Asistente Técnico'!$J$5:$J$1000,$N80)="","",INDEX('Cronograma Asistente Técnico'!$J$5:$J$1000,$N80))))</f>
        <v/>
      </c>
      <c r="J80" s="67">
        <f>IF($N80="","",IF($P80&gt;0,IF(4&lt;=SemanaActual,INDEX('Cronograma Asistente Técnico'!$AB$5:$AB$1000,$N80),""),IF(INDEX('Cronograma Asistente Técnico'!$K$5:$K$1000,$N80)="","",INDEX('Cronograma Asistente Técnico'!$K$5:$K$1000,$N80))))</f>
        <v/>
      </c>
      <c r="K80" s="67">
        <f>IF($N80="","",INDEX('Cronograma Asistente Técnico'!$L$5:$L$1000,$N80))</f>
        <v/>
      </c>
      <c r="L80" s="61">
        <f>IF($N80="","",IF(N($K80)&gt;=1,"Completado",IF(AND(ISNUMBER($E80),$E80&lt;FechaRef),"Vencida",IF(N($K80)&gt;0,"En curso","Pendiente"))))</f>
        <v/>
      </c>
      <c r="M80" s="70">
        <f>IF($N80="","",INDEX('Cronograma Asistente Técnico'!$N$5:$N$1000,$N80)&amp;"")</f>
        <v/>
      </c>
      <c r="N80">
        <f>IFERROR(MATCH(ROW()-4,rOrden_ATR,0),"")</f>
        <v/>
      </c>
      <c r="O80">
        <f>IF($N80="","",INDEX('Cronograma Asistente Técnico'!$S$5:$S$1000,$N80))</f>
        <v/>
      </c>
      <c r="P80">
        <f>IF($N80="","",N(INDEX('Cronograma Asistente Técnico'!$T$5:$T$1000,$N80)))</f>
        <v/>
      </c>
    </row>
    <row r="81">
      <c r="A81" s="61">
        <f>IF($N81="","",INDEX('Cronograma Asistente Técnico'!$A$5:$A$1000,$N81))</f>
        <v/>
      </c>
      <c r="B81" s="70">
        <f>IF($N81="","",IF($O81="Sub","     ↳ "&amp;INDEX('Cronograma Asistente Técnico'!$C$5:$C$1000,$N81),INDEX('Cronograma Asistente Técnico'!$B$5:$B$1000,$N81)&amp;""))</f>
        <v/>
      </c>
      <c r="C81" s="70">
        <f>IF($N81="","",INDEX('Cronograma Asistente Técnico'!$D$5:$D$1000,$N81)&amp;"")</f>
        <v/>
      </c>
      <c r="D81" s="76">
        <f>IF($N81="","",IF(INDEX('Cronograma Asistente Técnico'!$E$5:$E$1000,$N81)="","",INDEX('Cronograma Asistente Técnico'!$E$5:$E$1000,$N81)))</f>
        <v/>
      </c>
      <c r="E81" s="76">
        <f>IF($N81="","",IF(INDEX('Cronograma Asistente Técnico'!$F$5:$F$1000,$N81)="","",INDEX('Cronograma Asistente Técnico'!$F$5:$F$1000,$N81)))</f>
        <v/>
      </c>
      <c r="F81" s="61">
        <f>IF($N81="","",IF(NOT(ISNUMBER($E81)),"",IF($E81&lt;InicioCiclo,"Antes del ciclo",IF($E81&gt;=InicioCiclo+28,"Después del ciclo","Semana "&amp;(INT(($E81-InicioCiclo)/7)+1)))))</f>
        <v/>
      </c>
      <c r="G81" s="67">
        <f>IF($N81="","",IF($P81&gt;0,IF(1&lt;=SemanaActual,INDEX('Cronograma Asistente Técnico'!$Y$5:$Y$1000,$N81),""),IF(INDEX('Cronograma Asistente Técnico'!$H$5:$H$1000,$N81)="","",INDEX('Cronograma Asistente Técnico'!$H$5:$H$1000,$N81))))</f>
        <v/>
      </c>
      <c r="H81" s="67">
        <f>IF($N81="","",IF($P81&gt;0,IF(2&lt;=SemanaActual,INDEX('Cronograma Asistente Técnico'!$Z$5:$Z$1000,$N81),""),IF(INDEX('Cronograma Asistente Técnico'!$I$5:$I$1000,$N81)="","",INDEX('Cronograma Asistente Técnico'!$I$5:$I$1000,$N81))))</f>
        <v/>
      </c>
      <c r="I81" s="67">
        <f>IF($N81="","",IF($P81&gt;0,IF(3&lt;=SemanaActual,INDEX('Cronograma Asistente Técnico'!$AA$5:$AA$1000,$N81),""),IF(INDEX('Cronograma Asistente Técnico'!$J$5:$J$1000,$N81)="","",INDEX('Cronograma Asistente Técnico'!$J$5:$J$1000,$N81))))</f>
        <v/>
      </c>
      <c r="J81" s="67">
        <f>IF($N81="","",IF($P81&gt;0,IF(4&lt;=SemanaActual,INDEX('Cronograma Asistente Técnico'!$AB$5:$AB$1000,$N81),""),IF(INDEX('Cronograma Asistente Técnico'!$K$5:$K$1000,$N81)="","",INDEX('Cronograma Asistente Técnico'!$K$5:$K$1000,$N81))))</f>
        <v/>
      </c>
      <c r="K81" s="67">
        <f>IF($N81="","",INDEX('Cronograma Asistente Técnico'!$L$5:$L$1000,$N81))</f>
        <v/>
      </c>
      <c r="L81" s="61">
        <f>IF($N81="","",IF(N($K81)&gt;=1,"Completado",IF(AND(ISNUMBER($E81),$E81&lt;FechaRef),"Vencida",IF(N($K81)&gt;0,"En curso","Pendiente"))))</f>
        <v/>
      </c>
      <c r="M81" s="70">
        <f>IF($N81="","",INDEX('Cronograma Asistente Técnico'!$N$5:$N$1000,$N81)&amp;"")</f>
        <v/>
      </c>
      <c r="N81">
        <f>IFERROR(MATCH(ROW()-4,rOrden_ATR,0),"")</f>
        <v/>
      </c>
      <c r="O81">
        <f>IF($N81="","",INDEX('Cronograma Asistente Técnico'!$S$5:$S$1000,$N81))</f>
        <v/>
      </c>
      <c r="P81">
        <f>IF($N81="","",N(INDEX('Cronograma Asistente Técnico'!$T$5:$T$1000,$N81)))</f>
        <v/>
      </c>
    </row>
    <row r="82">
      <c r="A82" s="61">
        <f>IF($N82="","",INDEX('Cronograma Asistente Técnico'!$A$5:$A$1000,$N82))</f>
        <v/>
      </c>
      <c r="B82" s="70">
        <f>IF($N82="","",IF($O82="Sub","     ↳ "&amp;INDEX('Cronograma Asistente Técnico'!$C$5:$C$1000,$N82),INDEX('Cronograma Asistente Técnico'!$B$5:$B$1000,$N82)&amp;""))</f>
        <v/>
      </c>
      <c r="C82" s="70">
        <f>IF($N82="","",INDEX('Cronograma Asistente Técnico'!$D$5:$D$1000,$N82)&amp;"")</f>
        <v/>
      </c>
      <c r="D82" s="76">
        <f>IF($N82="","",IF(INDEX('Cronograma Asistente Técnico'!$E$5:$E$1000,$N82)="","",INDEX('Cronograma Asistente Técnico'!$E$5:$E$1000,$N82)))</f>
        <v/>
      </c>
      <c r="E82" s="76">
        <f>IF($N82="","",IF(INDEX('Cronograma Asistente Técnico'!$F$5:$F$1000,$N82)="","",INDEX('Cronograma Asistente Técnico'!$F$5:$F$1000,$N82)))</f>
        <v/>
      </c>
      <c r="F82" s="61">
        <f>IF($N82="","",IF(NOT(ISNUMBER($E82)),"",IF($E82&lt;InicioCiclo,"Antes del ciclo",IF($E82&gt;=InicioCiclo+28,"Después del ciclo","Semana "&amp;(INT(($E82-InicioCiclo)/7)+1)))))</f>
        <v/>
      </c>
      <c r="G82" s="67">
        <f>IF($N82="","",IF($P82&gt;0,IF(1&lt;=SemanaActual,INDEX('Cronograma Asistente Técnico'!$Y$5:$Y$1000,$N82),""),IF(INDEX('Cronograma Asistente Técnico'!$H$5:$H$1000,$N82)="","",INDEX('Cronograma Asistente Técnico'!$H$5:$H$1000,$N82))))</f>
        <v/>
      </c>
      <c r="H82" s="67">
        <f>IF($N82="","",IF($P82&gt;0,IF(2&lt;=SemanaActual,INDEX('Cronograma Asistente Técnico'!$Z$5:$Z$1000,$N82),""),IF(INDEX('Cronograma Asistente Técnico'!$I$5:$I$1000,$N82)="","",INDEX('Cronograma Asistente Técnico'!$I$5:$I$1000,$N82))))</f>
        <v/>
      </c>
      <c r="I82" s="67">
        <f>IF($N82="","",IF($P82&gt;0,IF(3&lt;=SemanaActual,INDEX('Cronograma Asistente Técnico'!$AA$5:$AA$1000,$N82),""),IF(INDEX('Cronograma Asistente Técnico'!$J$5:$J$1000,$N82)="","",INDEX('Cronograma Asistente Técnico'!$J$5:$J$1000,$N82))))</f>
        <v/>
      </c>
      <c r="J82" s="67">
        <f>IF($N82="","",IF($P82&gt;0,IF(4&lt;=SemanaActual,INDEX('Cronograma Asistente Técnico'!$AB$5:$AB$1000,$N82),""),IF(INDEX('Cronograma Asistente Técnico'!$K$5:$K$1000,$N82)="","",INDEX('Cronograma Asistente Técnico'!$K$5:$K$1000,$N82))))</f>
        <v/>
      </c>
      <c r="K82" s="67">
        <f>IF($N82="","",INDEX('Cronograma Asistente Técnico'!$L$5:$L$1000,$N82))</f>
        <v/>
      </c>
      <c r="L82" s="61">
        <f>IF($N82="","",IF(N($K82)&gt;=1,"Completado",IF(AND(ISNUMBER($E82),$E82&lt;FechaRef),"Vencida",IF(N($K82)&gt;0,"En curso","Pendiente"))))</f>
        <v/>
      </c>
      <c r="M82" s="70">
        <f>IF($N82="","",INDEX('Cronograma Asistente Técnico'!$N$5:$N$1000,$N82)&amp;"")</f>
        <v/>
      </c>
      <c r="N82">
        <f>IFERROR(MATCH(ROW()-4,rOrden_ATR,0),"")</f>
        <v/>
      </c>
      <c r="O82">
        <f>IF($N82="","",INDEX('Cronograma Asistente Técnico'!$S$5:$S$1000,$N82))</f>
        <v/>
      </c>
      <c r="P82">
        <f>IF($N82="","",N(INDEX('Cronograma Asistente Técnico'!$T$5:$T$1000,$N82)))</f>
        <v/>
      </c>
    </row>
    <row r="83">
      <c r="A83" s="61">
        <f>IF($N83="","",INDEX('Cronograma Asistente Técnico'!$A$5:$A$1000,$N83))</f>
        <v/>
      </c>
      <c r="B83" s="70">
        <f>IF($N83="","",IF($O83="Sub","     ↳ "&amp;INDEX('Cronograma Asistente Técnico'!$C$5:$C$1000,$N83),INDEX('Cronograma Asistente Técnico'!$B$5:$B$1000,$N83)&amp;""))</f>
        <v/>
      </c>
      <c r="C83" s="70">
        <f>IF($N83="","",INDEX('Cronograma Asistente Técnico'!$D$5:$D$1000,$N83)&amp;"")</f>
        <v/>
      </c>
      <c r="D83" s="76">
        <f>IF($N83="","",IF(INDEX('Cronograma Asistente Técnico'!$E$5:$E$1000,$N83)="","",INDEX('Cronograma Asistente Técnico'!$E$5:$E$1000,$N83)))</f>
        <v/>
      </c>
      <c r="E83" s="76">
        <f>IF($N83="","",IF(INDEX('Cronograma Asistente Técnico'!$F$5:$F$1000,$N83)="","",INDEX('Cronograma Asistente Técnico'!$F$5:$F$1000,$N83)))</f>
        <v/>
      </c>
      <c r="F83" s="61">
        <f>IF($N83="","",IF(NOT(ISNUMBER($E83)),"",IF($E83&lt;InicioCiclo,"Antes del ciclo",IF($E83&gt;=InicioCiclo+28,"Después del ciclo","Semana "&amp;(INT(($E83-InicioCiclo)/7)+1)))))</f>
        <v/>
      </c>
      <c r="G83" s="67">
        <f>IF($N83="","",IF($P83&gt;0,IF(1&lt;=SemanaActual,INDEX('Cronograma Asistente Técnico'!$Y$5:$Y$1000,$N83),""),IF(INDEX('Cronograma Asistente Técnico'!$H$5:$H$1000,$N83)="","",INDEX('Cronograma Asistente Técnico'!$H$5:$H$1000,$N83))))</f>
        <v/>
      </c>
      <c r="H83" s="67">
        <f>IF($N83="","",IF($P83&gt;0,IF(2&lt;=SemanaActual,INDEX('Cronograma Asistente Técnico'!$Z$5:$Z$1000,$N83),""),IF(INDEX('Cronograma Asistente Técnico'!$I$5:$I$1000,$N83)="","",INDEX('Cronograma Asistente Técnico'!$I$5:$I$1000,$N83))))</f>
        <v/>
      </c>
      <c r="I83" s="67">
        <f>IF($N83="","",IF($P83&gt;0,IF(3&lt;=SemanaActual,INDEX('Cronograma Asistente Técnico'!$AA$5:$AA$1000,$N83),""),IF(INDEX('Cronograma Asistente Técnico'!$J$5:$J$1000,$N83)="","",INDEX('Cronograma Asistente Técnico'!$J$5:$J$1000,$N83))))</f>
        <v/>
      </c>
      <c r="J83" s="67">
        <f>IF($N83="","",IF($P83&gt;0,IF(4&lt;=SemanaActual,INDEX('Cronograma Asistente Técnico'!$AB$5:$AB$1000,$N83),""),IF(INDEX('Cronograma Asistente Técnico'!$K$5:$K$1000,$N83)="","",INDEX('Cronograma Asistente Técnico'!$K$5:$K$1000,$N83))))</f>
        <v/>
      </c>
      <c r="K83" s="67">
        <f>IF($N83="","",INDEX('Cronograma Asistente Técnico'!$L$5:$L$1000,$N83))</f>
        <v/>
      </c>
      <c r="L83" s="61">
        <f>IF($N83="","",IF(N($K83)&gt;=1,"Completado",IF(AND(ISNUMBER($E83),$E83&lt;FechaRef),"Vencida",IF(N($K83)&gt;0,"En curso","Pendiente"))))</f>
        <v/>
      </c>
      <c r="M83" s="70">
        <f>IF($N83="","",INDEX('Cronograma Asistente Técnico'!$N$5:$N$1000,$N83)&amp;"")</f>
        <v/>
      </c>
      <c r="N83">
        <f>IFERROR(MATCH(ROW()-4,rOrden_ATR,0),"")</f>
        <v/>
      </c>
      <c r="O83">
        <f>IF($N83="","",INDEX('Cronograma Asistente Técnico'!$S$5:$S$1000,$N83))</f>
        <v/>
      </c>
      <c r="P83">
        <f>IF($N83="","",N(INDEX('Cronograma Asistente Técnico'!$T$5:$T$1000,$N83)))</f>
        <v/>
      </c>
    </row>
    <row r="84">
      <c r="A84" s="61">
        <f>IF($N84="","",INDEX('Cronograma Asistente Técnico'!$A$5:$A$1000,$N84))</f>
        <v/>
      </c>
      <c r="B84" s="70">
        <f>IF($N84="","",IF($O84="Sub","     ↳ "&amp;INDEX('Cronograma Asistente Técnico'!$C$5:$C$1000,$N84),INDEX('Cronograma Asistente Técnico'!$B$5:$B$1000,$N84)&amp;""))</f>
        <v/>
      </c>
      <c r="C84" s="70">
        <f>IF($N84="","",INDEX('Cronograma Asistente Técnico'!$D$5:$D$1000,$N84)&amp;"")</f>
        <v/>
      </c>
      <c r="D84" s="76">
        <f>IF($N84="","",IF(INDEX('Cronograma Asistente Técnico'!$E$5:$E$1000,$N84)="","",INDEX('Cronograma Asistente Técnico'!$E$5:$E$1000,$N84)))</f>
        <v/>
      </c>
      <c r="E84" s="76">
        <f>IF($N84="","",IF(INDEX('Cronograma Asistente Técnico'!$F$5:$F$1000,$N84)="","",INDEX('Cronograma Asistente Técnico'!$F$5:$F$1000,$N84)))</f>
        <v/>
      </c>
      <c r="F84" s="61">
        <f>IF($N84="","",IF(NOT(ISNUMBER($E84)),"",IF($E84&lt;InicioCiclo,"Antes del ciclo",IF($E84&gt;=InicioCiclo+28,"Después del ciclo","Semana "&amp;(INT(($E84-InicioCiclo)/7)+1)))))</f>
        <v/>
      </c>
      <c r="G84" s="67">
        <f>IF($N84="","",IF($P84&gt;0,IF(1&lt;=SemanaActual,INDEX('Cronograma Asistente Técnico'!$Y$5:$Y$1000,$N84),""),IF(INDEX('Cronograma Asistente Técnico'!$H$5:$H$1000,$N84)="","",INDEX('Cronograma Asistente Técnico'!$H$5:$H$1000,$N84))))</f>
        <v/>
      </c>
      <c r="H84" s="67">
        <f>IF($N84="","",IF($P84&gt;0,IF(2&lt;=SemanaActual,INDEX('Cronograma Asistente Técnico'!$Z$5:$Z$1000,$N84),""),IF(INDEX('Cronograma Asistente Técnico'!$I$5:$I$1000,$N84)="","",INDEX('Cronograma Asistente Técnico'!$I$5:$I$1000,$N84))))</f>
        <v/>
      </c>
      <c r="I84" s="67">
        <f>IF($N84="","",IF($P84&gt;0,IF(3&lt;=SemanaActual,INDEX('Cronograma Asistente Técnico'!$AA$5:$AA$1000,$N84),""),IF(INDEX('Cronograma Asistente Técnico'!$J$5:$J$1000,$N84)="","",INDEX('Cronograma Asistente Técnico'!$J$5:$J$1000,$N84))))</f>
        <v/>
      </c>
      <c r="J84" s="67">
        <f>IF($N84="","",IF($P84&gt;0,IF(4&lt;=SemanaActual,INDEX('Cronograma Asistente Técnico'!$AB$5:$AB$1000,$N84),""),IF(INDEX('Cronograma Asistente Técnico'!$K$5:$K$1000,$N84)="","",INDEX('Cronograma Asistente Técnico'!$K$5:$K$1000,$N84))))</f>
        <v/>
      </c>
      <c r="K84" s="67">
        <f>IF($N84="","",INDEX('Cronograma Asistente Técnico'!$L$5:$L$1000,$N84))</f>
        <v/>
      </c>
      <c r="L84" s="61">
        <f>IF($N84="","",IF(N($K84)&gt;=1,"Completado",IF(AND(ISNUMBER($E84),$E84&lt;FechaRef),"Vencida",IF(N($K84)&gt;0,"En curso","Pendiente"))))</f>
        <v/>
      </c>
      <c r="M84" s="70">
        <f>IF($N84="","",INDEX('Cronograma Asistente Técnico'!$N$5:$N$1000,$N84)&amp;"")</f>
        <v/>
      </c>
      <c r="N84">
        <f>IFERROR(MATCH(ROW()-4,rOrden_ATR,0),"")</f>
        <v/>
      </c>
      <c r="O84">
        <f>IF($N84="","",INDEX('Cronograma Asistente Técnico'!$S$5:$S$1000,$N84))</f>
        <v/>
      </c>
      <c r="P84">
        <f>IF($N84="","",N(INDEX('Cronograma Asistente Técnico'!$T$5:$T$1000,$N84)))</f>
        <v/>
      </c>
    </row>
    <row r="85">
      <c r="A85" s="61">
        <f>IF($N85="","",INDEX('Cronograma Asistente Técnico'!$A$5:$A$1000,$N85))</f>
        <v/>
      </c>
      <c r="B85" s="70">
        <f>IF($N85="","",IF($O85="Sub","     ↳ "&amp;INDEX('Cronograma Asistente Técnico'!$C$5:$C$1000,$N85),INDEX('Cronograma Asistente Técnico'!$B$5:$B$1000,$N85)&amp;""))</f>
        <v/>
      </c>
      <c r="C85" s="70">
        <f>IF($N85="","",INDEX('Cronograma Asistente Técnico'!$D$5:$D$1000,$N85)&amp;"")</f>
        <v/>
      </c>
      <c r="D85" s="76">
        <f>IF($N85="","",IF(INDEX('Cronograma Asistente Técnico'!$E$5:$E$1000,$N85)="","",INDEX('Cronograma Asistente Técnico'!$E$5:$E$1000,$N85)))</f>
        <v/>
      </c>
      <c r="E85" s="76">
        <f>IF($N85="","",IF(INDEX('Cronograma Asistente Técnico'!$F$5:$F$1000,$N85)="","",INDEX('Cronograma Asistente Técnico'!$F$5:$F$1000,$N85)))</f>
        <v/>
      </c>
      <c r="F85" s="61">
        <f>IF($N85="","",IF(NOT(ISNUMBER($E85)),"",IF($E85&lt;InicioCiclo,"Antes del ciclo",IF($E85&gt;=InicioCiclo+28,"Después del ciclo","Semana "&amp;(INT(($E85-InicioCiclo)/7)+1)))))</f>
        <v/>
      </c>
      <c r="G85" s="67">
        <f>IF($N85="","",IF($P85&gt;0,IF(1&lt;=SemanaActual,INDEX('Cronograma Asistente Técnico'!$Y$5:$Y$1000,$N85),""),IF(INDEX('Cronograma Asistente Técnico'!$H$5:$H$1000,$N85)="","",INDEX('Cronograma Asistente Técnico'!$H$5:$H$1000,$N85))))</f>
        <v/>
      </c>
      <c r="H85" s="67">
        <f>IF($N85="","",IF($P85&gt;0,IF(2&lt;=SemanaActual,INDEX('Cronograma Asistente Técnico'!$Z$5:$Z$1000,$N85),""),IF(INDEX('Cronograma Asistente Técnico'!$I$5:$I$1000,$N85)="","",INDEX('Cronograma Asistente Técnico'!$I$5:$I$1000,$N85))))</f>
        <v/>
      </c>
      <c r="I85" s="67">
        <f>IF($N85="","",IF($P85&gt;0,IF(3&lt;=SemanaActual,INDEX('Cronograma Asistente Técnico'!$AA$5:$AA$1000,$N85),""),IF(INDEX('Cronograma Asistente Técnico'!$J$5:$J$1000,$N85)="","",INDEX('Cronograma Asistente Técnico'!$J$5:$J$1000,$N85))))</f>
        <v/>
      </c>
      <c r="J85" s="67">
        <f>IF($N85="","",IF($P85&gt;0,IF(4&lt;=SemanaActual,INDEX('Cronograma Asistente Técnico'!$AB$5:$AB$1000,$N85),""),IF(INDEX('Cronograma Asistente Técnico'!$K$5:$K$1000,$N85)="","",INDEX('Cronograma Asistente Técnico'!$K$5:$K$1000,$N85))))</f>
        <v/>
      </c>
      <c r="K85" s="67">
        <f>IF($N85="","",INDEX('Cronograma Asistente Técnico'!$L$5:$L$1000,$N85))</f>
        <v/>
      </c>
      <c r="L85" s="61">
        <f>IF($N85="","",IF(N($K85)&gt;=1,"Completado",IF(AND(ISNUMBER($E85),$E85&lt;FechaRef),"Vencida",IF(N($K85)&gt;0,"En curso","Pendiente"))))</f>
        <v/>
      </c>
      <c r="M85" s="70">
        <f>IF($N85="","",INDEX('Cronograma Asistente Técnico'!$N$5:$N$1000,$N85)&amp;"")</f>
        <v/>
      </c>
      <c r="N85">
        <f>IFERROR(MATCH(ROW()-4,rOrden_ATR,0),"")</f>
        <v/>
      </c>
      <c r="O85">
        <f>IF($N85="","",INDEX('Cronograma Asistente Técnico'!$S$5:$S$1000,$N85))</f>
        <v/>
      </c>
      <c r="P85">
        <f>IF($N85="","",N(INDEX('Cronograma Asistente Técnico'!$T$5:$T$1000,$N85)))</f>
        <v/>
      </c>
    </row>
    <row r="86">
      <c r="A86" s="61">
        <f>IF($N86="","",INDEX('Cronograma Asistente Técnico'!$A$5:$A$1000,$N86))</f>
        <v/>
      </c>
      <c r="B86" s="70">
        <f>IF($N86="","",IF($O86="Sub","     ↳ "&amp;INDEX('Cronograma Asistente Técnico'!$C$5:$C$1000,$N86),INDEX('Cronograma Asistente Técnico'!$B$5:$B$1000,$N86)&amp;""))</f>
        <v/>
      </c>
      <c r="C86" s="70">
        <f>IF($N86="","",INDEX('Cronograma Asistente Técnico'!$D$5:$D$1000,$N86)&amp;"")</f>
        <v/>
      </c>
      <c r="D86" s="76">
        <f>IF($N86="","",IF(INDEX('Cronograma Asistente Técnico'!$E$5:$E$1000,$N86)="","",INDEX('Cronograma Asistente Técnico'!$E$5:$E$1000,$N86)))</f>
        <v/>
      </c>
      <c r="E86" s="76">
        <f>IF($N86="","",IF(INDEX('Cronograma Asistente Técnico'!$F$5:$F$1000,$N86)="","",INDEX('Cronograma Asistente Técnico'!$F$5:$F$1000,$N86)))</f>
        <v/>
      </c>
      <c r="F86" s="61">
        <f>IF($N86="","",IF(NOT(ISNUMBER($E86)),"",IF($E86&lt;InicioCiclo,"Antes del ciclo",IF($E86&gt;=InicioCiclo+28,"Después del ciclo","Semana "&amp;(INT(($E86-InicioCiclo)/7)+1)))))</f>
        <v/>
      </c>
      <c r="G86" s="67">
        <f>IF($N86="","",IF($P86&gt;0,IF(1&lt;=SemanaActual,INDEX('Cronograma Asistente Técnico'!$Y$5:$Y$1000,$N86),""),IF(INDEX('Cronograma Asistente Técnico'!$H$5:$H$1000,$N86)="","",INDEX('Cronograma Asistente Técnico'!$H$5:$H$1000,$N86))))</f>
        <v/>
      </c>
      <c r="H86" s="67">
        <f>IF($N86="","",IF($P86&gt;0,IF(2&lt;=SemanaActual,INDEX('Cronograma Asistente Técnico'!$Z$5:$Z$1000,$N86),""),IF(INDEX('Cronograma Asistente Técnico'!$I$5:$I$1000,$N86)="","",INDEX('Cronograma Asistente Técnico'!$I$5:$I$1000,$N86))))</f>
        <v/>
      </c>
      <c r="I86" s="67">
        <f>IF($N86="","",IF($P86&gt;0,IF(3&lt;=SemanaActual,INDEX('Cronograma Asistente Técnico'!$AA$5:$AA$1000,$N86),""),IF(INDEX('Cronograma Asistente Técnico'!$J$5:$J$1000,$N86)="","",INDEX('Cronograma Asistente Técnico'!$J$5:$J$1000,$N86))))</f>
        <v/>
      </c>
      <c r="J86" s="67">
        <f>IF($N86="","",IF($P86&gt;0,IF(4&lt;=SemanaActual,INDEX('Cronograma Asistente Técnico'!$AB$5:$AB$1000,$N86),""),IF(INDEX('Cronograma Asistente Técnico'!$K$5:$K$1000,$N86)="","",INDEX('Cronograma Asistente Técnico'!$K$5:$K$1000,$N86))))</f>
        <v/>
      </c>
      <c r="K86" s="67">
        <f>IF($N86="","",INDEX('Cronograma Asistente Técnico'!$L$5:$L$1000,$N86))</f>
        <v/>
      </c>
      <c r="L86" s="61">
        <f>IF($N86="","",IF(N($K86)&gt;=1,"Completado",IF(AND(ISNUMBER($E86),$E86&lt;FechaRef),"Vencida",IF(N($K86)&gt;0,"En curso","Pendiente"))))</f>
        <v/>
      </c>
      <c r="M86" s="70">
        <f>IF($N86="","",INDEX('Cronograma Asistente Técnico'!$N$5:$N$1000,$N86)&amp;"")</f>
        <v/>
      </c>
      <c r="N86">
        <f>IFERROR(MATCH(ROW()-4,rOrden_ATR,0),"")</f>
        <v/>
      </c>
      <c r="O86">
        <f>IF($N86="","",INDEX('Cronograma Asistente Técnico'!$S$5:$S$1000,$N86))</f>
        <v/>
      </c>
      <c r="P86">
        <f>IF($N86="","",N(INDEX('Cronograma Asistente Técnico'!$T$5:$T$1000,$N86)))</f>
        <v/>
      </c>
    </row>
    <row r="87">
      <c r="A87" s="61">
        <f>IF($N87="","",INDEX('Cronograma Asistente Técnico'!$A$5:$A$1000,$N87))</f>
        <v/>
      </c>
      <c r="B87" s="70">
        <f>IF($N87="","",IF($O87="Sub","     ↳ "&amp;INDEX('Cronograma Asistente Técnico'!$C$5:$C$1000,$N87),INDEX('Cronograma Asistente Técnico'!$B$5:$B$1000,$N87)&amp;""))</f>
        <v/>
      </c>
      <c r="C87" s="70">
        <f>IF($N87="","",INDEX('Cronograma Asistente Técnico'!$D$5:$D$1000,$N87)&amp;"")</f>
        <v/>
      </c>
      <c r="D87" s="76">
        <f>IF($N87="","",IF(INDEX('Cronograma Asistente Técnico'!$E$5:$E$1000,$N87)="","",INDEX('Cronograma Asistente Técnico'!$E$5:$E$1000,$N87)))</f>
        <v/>
      </c>
      <c r="E87" s="76">
        <f>IF($N87="","",IF(INDEX('Cronograma Asistente Técnico'!$F$5:$F$1000,$N87)="","",INDEX('Cronograma Asistente Técnico'!$F$5:$F$1000,$N87)))</f>
        <v/>
      </c>
      <c r="F87" s="61">
        <f>IF($N87="","",IF(NOT(ISNUMBER($E87)),"",IF($E87&lt;InicioCiclo,"Antes del ciclo",IF($E87&gt;=InicioCiclo+28,"Después del ciclo","Semana "&amp;(INT(($E87-InicioCiclo)/7)+1)))))</f>
        <v/>
      </c>
      <c r="G87" s="67">
        <f>IF($N87="","",IF($P87&gt;0,IF(1&lt;=SemanaActual,INDEX('Cronograma Asistente Técnico'!$Y$5:$Y$1000,$N87),""),IF(INDEX('Cronograma Asistente Técnico'!$H$5:$H$1000,$N87)="","",INDEX('Cronograma Asistente Técnico'!$H$5:$H$1000,$N87))))</f>
        <v/>
      </c>
      <c r="H87" s="67">
        <f>IF($N87="","",IF($P87&gt;0,IF(2&lt;=SemanaActual,INDEX('Cronograma Asistente Técnico'!$Z$5:$Z$1000,$N87),""),IF(INDEX('Cronograma Asistente Técnico'!$I$5:$I$1000,$N87)="","",INDEX('Cronograma Asistente Técnico'!$I$5:$I$1000,$N87))))</f>
        <v/>
      </c>
      <c r="I87" s="67">
        <f>IF($N87="","",IF($P87&gt;0,IF(3&lt;=SemanaActual,INDEX('Cronograma Asistente Técnico'!$AA$5:$AA$1000,$N87),""),IF(INDEX('Cronograma Asistente Técnico'!$J$5:$J$1000,$N87)="","",INDEX('Cronograma Asistente Técnico'!$J$5:$J$1000,$N87))))</f>
        <v/>
      </c>
      <c r="J87" s="67">
        <f>IF($N87="","",IF($P87&gt;0,IF(4&lt;=SemanaActual,INDEX('Cronograma Asistente Técnico'!$AB$5:$AB$1000,$N87),""),IF(INDEX('Cronograma Asistente Técnico'!$K$5:$K$1000,$N87)="","",INDEX('Cronograma Asistente Técnico'!$K$5:$K$1000,$N87))))</f>
        <v/>
      </c>
      <c r="K87" s="67">
        <f>IF($N87="","",INDEX('Cronograma Asistente Técnico'!$L$5:$L$1000,$N87))</f>
        <v/>
      </c>
      <c r="L87" s="61">
        <f>IF($N87="","",IF(N($K87)&gt;=1,"Completado",IF(AND(ISNUMBER($E87),$E87&lt;FechaRef),"Vencida",IF(N($K87)&gt;0,"En curso","Pendiente"))))</f>
        <v/>
      </c>
      <c r="M87" s="70">
        <f>IF($N87="","",INDEX('Cronograma Asistente Técnico'!$N$5:$N$1000,$N87)&amp;"")</f>
        <v/>
      </c>
      <c r="N87">
        <f>IFERROR(MATCH(ROW()-4,rOrden_ATR,0),"")</f>
        <v/>
      </c>
      <c r="O87">
        <f>IF($N87="","",INDEX('Cronograma Asistente Técnico'!$S$5:$S$1000,$N87))</f>
        <v/>
      </c>
      <c r="P87">
        <f>IF($N87="","",N(INDEX('Cronograma Asistente Técnico'!$T$5:$T$1000,$N87)))</f>
        <v/>
      </c>
    </row>
    <row r="88">
      <c r="A88" s="61">
        <f>IF($N88="","",INDEX('Cronograma Asistente Técnico'!$A$5:$A$1000,$N88))</f>
        <v/>
      </c>
      <c r="B88" s="70">
        <f>IF($N88="","",IF($O88="Sub","     ↳ "&amp;INDEX('Cronograma Asistente Técnico'!$C$5:$C$1000,$N88),INDEX('Cronograma Asistente Técnico'!$B$5:$B$1000,$N88)&amp;""))</f>
        <v/>
      </c>
      <c r="C88" s="70">
        <f>IF($N88="","",INDEX('Cronograma Asistente Técnico'!$D$5:$D$1000,$N88)&amp;"")</f>
        <v/>
      </c>
      <c r="D88" s="76">
        <f>IF($N88="","",IF(INDEX('Cronograma Asistente Técnico'!$E$5:$E$1000,$N88)="","",INDEX('Cronograma Asistente Técnico'!$E$5:$E$1000,$N88)))</f>
        <v/>
      </c>
      <c r="E88" s="76">
        <f>IF($N88="","",IF(INDEX('Cronograma Asistente Técnico'!$F$5:$F$1000,$N88)="","",INDEX('Cronograma Asistente Técnico'!$F$5:$F$1000,$N88)))</f>
        <v/>
      </c>
      <c r="F88" s="61">
        <f>IF($N88="","",IF(NOT(ISNUMBER($E88)),"",IF($E88&lt;InicioCiclo,"Antes del ciclo",IF($E88&gt;=InicioCiclo+28,"Después del ciclo","Semana "&amp;(INT(($E88-InicioCiclo)/7)+1)))))</f>
        <v/>
      </c>
      <c r="G88" s="67">
        <f>IF($N88="","",IF($P88&gt;0,IF(1&lt;=SemanaActual,INDEX('Cronograma Asistente Técnico'!$Y$5:$Y$1000,$N88),""),IF(INDEX('Cronograma Asistente Técnico'!$H$5:$H$1000,$N88)="","",INDEX('Cronograma Asistente Técnico'!$H$5:$H$1000,$N88))))</f>
        <v/>
      </c>
      <c r="H88" s="67">
        <f>IF($N88="","",IF($P88&gt;0,IF(2&lt;=SemanaActual,INDEX('Cronograma Asistente Técnico'!$Z$5:$Z$1000,$N88),""),IF(INDEX('Cronograma Asistente Técnico'!$I$5:$I$1000,$N88)="","",INDEX('Cronograma Asistente Técnico'!$I$5:$I$1000,$N88))))</f>
        <v/>
      </c>
      <c r="I88" s="67">
        <f>IF($N88="","",IF($P88&gt;0,IF(3&lt;=SemanaActual,INDEX('Cronograma Asistente Técnico'!$AA$5:$AA$1000,$N88),""),IF(INDEX('Cronograma Asistente Técnico'!$J$5:$J$1000,$N88)="","",INDEX('Cronograma Asistente Técnico'!$J$5:$J$1000,$N88))))</f>
        <v/>
      </c>
      <c r="J88" s="67">
        <f>IF($N88="","",IF($P88&gt;0,IF(4&lt;=SemanaActual,INDEX('Cronograma Asistente Técnico'!$AB$5:$AB$1000,$N88),""),IF(INDEX('Cronograma Asistente Técnico'!$K$5:$K$1000,$N88)="","",INDEX('Cronograma Asistente Técnico'!$K$5:$K$1000,$N88))))</f>
        <v/>
      </c>
      <c r="K88" s="67">
        <f>IF($N88="","",INDEX('Cronograma Asistente Técnico'!$L$5:$L$1000,$N88))</f>
        <v/>
      </c>
      <c r="L88" s="61">
        <f>IF($N88="","",IF(N($K88)&gt;=1,"Completado",IF(AND(ISNUMBER($E88),$E88&lt;FechaRef),"Vencida",IF(N($K88)&gt;0,"En curso","Pendiente"))))</f>
        <v/>
      </c>
      <c r="M88" s="70">
        <f>IF($N88="","",INDEX('Cronograma Asistente Técnico'!$N$5:$N$1000,$N88)&amp;"")</f>
        <v/>
      </c>
      <c r="N88">
        <f>IFERROR(MATCH(ROW()-4,rOrden_ATR,0),"")</f>
        <v/>
      </c>
      <c r="O88">
        <f>IF($N88="","",INDEX('Cronograma Asistente Técnico'!$S$5:$S$1000,$N88))</f>
        <v/>
      </c>
      <c r="P88">
        <f>IF($N88="","",N(INDEX('Cronograma Asistente Técnico'!$T$5:$T$1000,$N88)))</f>
        <v/>
      </c>
    </row>
    <row r="89">
      <c r="A89" s="61">
        <f>IF($N89="","",INDEX('Cronograma Asistente Técnico'!$A$5:$A$1000,$N89))</f>
        <v/>
      </c>
      <c r="B89" s="70">
        <f>IF($N89="","",IF($O89="Sub","     ↳ "&amp;INDEX('Cronograma Asistente Técnico'!$C$5:$C$1000,$N89),INDEX('Cronograma Asistente Técnico'!$B$5:$B$1000,$N89)&amp;""))</f>
        <v/>
      </c>
      <c r="C89" s="70">
        <f>IF($N89="","",INDEX('Cronograma Asistente Técnico'!$D$5:$D$1000,$N89)&amp;"")</f>
        <v/>
      </c>
      <c r="D89" s="76">
        <f>IF($N89="","",IF(INDEX('Cronograma Asistente Técnico'!$E$5:$E$1000,$N89)="","",INDEX('Cronograma Asistente Técnico'!$E$5:$E$1000,$N89)))</f>
        <v/>
      </c>
      <c r="E89" s="76">
        <f>IF($N89="","",IF(INDEX('Cronograma Asistente Técnico'!$F$5:$F$1000,$N89)="","",INDEX('Cronograma Asistente Técnico'!$F$5:$F$1000,$N89)))</f>
        <v/>
      </c>
      <c r="F89" s="61">
        <f>IF($N89="","",IF(NOT(ISNUMBER($E89)),"",IF($E89&lt;InicioCiclo,"Antes del ciclo",IF($E89&gt;=InicioCiclo+28,"Después del ciclo","Semana "&amp;(INT(($E89-InicioCiclo)/7)+1)))))</f>
        <v/>
      </c>
      <c r="G89" s="67">
        <f>IF($N89="","",IF($P89&gt;0,IF(1&lt;=SemanaActual,INDEX('Cronograma Asistente Técnico'!$Y$5:$Y$1000,$N89),""),IF(INDEX('Cronograma Asistente Técnico'!$H$5:$H$1000,$N89)="","",INDEX('Cronograma Asistente Técnico'!$H$5:$H$1000,$N89))))</f>
        <v/>
      </c>
      <c r="H89" s="67">
        <f>IF($N89="","",IF($P89&gt;0,IF(2&lt;=SemanaActual,INDEX('Cronograma Asistente Técnico'!$Z$5:$Z$1000,$N89),""),IF(INDEX('Cronograma Asistente Técnico'!$I$5:$I$1000,$N89)="","",INDEX('Cronograma Asistente Técnico'!$I$5:$I$1000,$N89))))</f>
        <v/>
      </c>
      <c r="I89" s="67">
        <f>IF($N89="","",IF($P89&gt;0,IF(3&lt;=SemanaActual,INDEX('Cronograma Asistente Técnico'!$AA$5:$AA$1000,$N89),""),IF(INDEX('Cronograma Asistente Técnico'!$J$5:$J$1000,$N89)="","",INDEX('Cronograma Asistente Técnico'!$J$5:$J$1000,$N89))))</f>
        <v/>
      </c>
      <c r="J89" s="67">
        <f>IF($N89="","",IF($P89&gt;0,IF(4&lt;=SemanaActual,INDEX('Cronograma Asistente Técnico'!$AB$5:$AB$1000,$N89),""),IF(INDEX('Cronograma Asistente Técnico'!$K$5:$K$1000,$N89)="","",INDEX('Cronograma Asistente Técnico'!$K$5:$K$1000,$N89))))</f>
        <v/>
      </c>
      <c r="K89" s="67">
        <f>IF($N89="","",INDEX('Cronograma Asistente Técnico'!$L$5:$L$1000,$N89))</f>
        <v/>
      </c>
      <c r="L89" s="61">
        <f>IF($N89="","",IF(N($K89)&gt;=1,"Completado",IF(AND(ISNUMBER($E89),$E89&lt;FechaRef),"Vencida",IF(N($K89)&gt;0,"En curso","Pendiente"))))</f>
        <v/>
      </c>
      <c r="M89" s="70">
        <f>IF($N89="","",INDEX('Cronograma Asistente Técnico'!$N$5:$N$1000,$N89)&amp;"")</f>
        <v/>
      </c>
      <c r="N89">
        <f>IFERROR(MATCH(ROW()-4,rOrden_ATR,0),"")</f>
        <v/>
      </c>
      <c r="O89">
        <f>IF($N89="","",INDEX('Cronograma Asistente Técnico'!$S$5:$S$1000,$N89))</f>
        <v/>
      </c>
      <c r="P89">
        <f>IF($N89="","",N(INDEX('Cronograma Asistente Técnico'!$T$5:$T$1000,$N89)))</f>
        <v/>
      </c>
    </row>
    <row r="90">
      <c r="A90" s="61">
        <f>IF($N90="","",INDEX('Cronograma Asistente Técnico'!$A$5:$A$1000,$N90))</f>
        <v/>
      </c>
      <c r="B90" s="70">
        <f>IF($N90="","",IF($O90="Sub","     ↳ "&amp;INDEX('Cronograma Asistente Técnico'!$C$5:$C$1000,$N90),INDEX('Cronograma Asistente Técnico'!$B$5:$B$1000,$N90)&amp;""))</f>
        <v/>
      </c>
      <c r="C90" s="70">
        <f>IF($N90="","",INDEX('Cronograma Asistente Técnico'!$D$5:$D$1000,$N90)&amp;"")</f>
        <v/>
      </c>
      <c r="D90" s="76">
        <f>IF($N90="","",IF(INDEX('Cronograma Asistente Técnico'!$E$5:$E$1000,$N90)="","",INDEX('Cronograma Asistente Técnico'!$E$5:$E$1000,$N90)))</f>
        <v/>
      </c>
      <c r="E90" s="76">
        <f>IF($N90="","",IF(INDEX('Cronograma Asistente Técnico'!$F$5:$F$1000,$N90)="","",INDEX('Cronograma Asistente Técnico'!$F$5:$F$1000,$N90)))</f>
        <v/>
      </c>
      <c r="F90" s="61">
        <f>IF($N90="","",IF(NOT(ISNUMBER($E90)),"",IF($E90&lt;InicioCiclo,"Antes del ciclo",IF($E90&gt;=InicioCiclo+28,"Después del ciclo","Semana "&amp;(INT(($E90-InicioCiclo)/7)+1)))))</f>
        <v/>
      </c>
      <c r="G90" s="67">
        <f>IF($N90="","",IF($P90&gt;0,IF(1&lt;=SemanaActual,INDEX('Cronograma Asistente Técnico'!$Y$5:$Y$1000,$N90),""),IF(INDEX('Cronograma Asistente Técnico'!$H$5:$H$1000,$N90)="","",INDEX('Cronograma Asistente Técnico'!$H$5:$H$1000,$N90))))</f>
        <v/>
      </c>
      <c r="H90" s="67">
        <f>IF($N90="","",IF($P90&gt;0,IF(2&lt;=SemanaActual,INDEX('Cronograma Asistente Técnico'!$Z$5:$Z$1000,$N90),""),IF(INDEX('Cronograma Asistente Técnico'!$I$5:$I$1000,$N90)="","",INDEX('Cronograma Asistente Técnico'!$I$5:$I$1000,$N90))))</f>
        <v/>
      </c>
      <c r="I90" s="67">
        <f>IF($N90="","",IF($P90&gt;0,IF(3&lt;=SemanaActual,INDEX('Cronograma Asistente Técnico'!$AA$5:$AA$1000,$N90),""),IF(INDEX('Cronograma Asistente Técnico'!$J$5:$J$1000,$N90)="","",INDEX('Cronograma Asistente Técnico'!$J$5:$J$1000,$N90))))</f>
        <v/>
      </c>
      <c r="J90" s="67">
        <f>IF($N90="","",IF($P90&gt;0,IF(4&lt;=SemanaActual,INDEX('Cronograma Asistente Técnico'!$AB$5:$AB$1000,$N90),""),IF(INDEX('Cronograma Asistente Técnico'!$K$5:$K$1000,$N90)="","",INDEX('Cronograma Asistente Técnico'!$K$5:$K$1000,$N90))))</f>
        <v/>
      </c>
      <c r="K90" s="67">
        <f>IF($N90="","",INDEX('Cronograma Asistente Técnico'!$L$5:$L$1000,$N90))</f>
        <v/>
      </c>
      <c r="L90" s="61">
        <f>IF($N90="","",IF(N($K90)&gt;=1,"Completado",IF(AND(ISNUMBER($E90),$E90&lt;FechaRef),"Vencida",IF(N($K90)&gt;0,"En curso","Pendiente"))))</f>
        <v/>
      </c>
      <c r="M90" s="70">
        <f>IF($N90="","",INDEX('Cronograma Asistente Técnico'!$N$5:$N$1000,$N90)&amp;"")</f>
        <v/>
      </c>
      <c r="N90">
        <f>IFERROR(MATCH(ROW()-4,rOrden_ATR,0),"")</f>
        <v/>
      </c>
      <c r="O90">
        <f>IF($N90="","",INDEX('Cronograma Asistente Técnico'!$S$5:$S$1000,$N90))</f>
        <v/>
      </c>
      <c r="P90">
        <f>IF($N90="","",N(INDEX('Cronograma Asistente Técnico'!$T$5:$T$1000,$N90)))</f>
        <v/>
      </c>
    </row>
    <row r="91">
      <c r="A91" s="61">
        <f>IF($N91="","",INDEX('Cronograma Asistente Técnico'!$A$5:$A$1000,$N91))</f>
        <v/>
      </c>
      <c r="B91" s="70">
        <f>IF($N91="","",IF($O91="Sub","     ↳ "&amp;INDEX('Cronograma Asistente Técnico'!$C$5:$C$1000,$N91),INDEX('Cronograma Asistente Técnico'!$B$5:$B$1000,$N91)&amp;""))</f>
        <v/>
      </c>
      <c r="C91" s="70">
        <f>IF($N91="","",INDEX('Cronograma Asistente Técnico'!$D$5:$D$1000,$N91)&amp;"")</f>
        <v/>
      </c>
      <c r="D91" s="76">
        <f>IF($N91="","",IF(INDEX('Cronograma Asistente Técnico'!$E$5:$E$1000,$N91)="","",INDEX('Cronograma Asistente Técnico'!$E$5:$E$1000,$N91)))</f>
        <v/>
      </c>
      <c r="E91" s="76">
        <f>IF($N91="","",IF(INDEX('Cronograma Asistente Técnico'!$F$5:$F$1000,$N91)="","",INDEX('Cronograma Asistente Técnico'!$F$5:$F$1000,$N91)))</f>
        <v/>
      </c>
      <c r="F91" s="61">
        <f>IF($N91="","",IF(NOT(ISNUMBER($E91)),"",IF($E91&lt;InicioCiclo,"Antes del ciclo",IF($E91&gt;=InicioCiclo+28,"Después del ciclo","Semana "&amp;(INT(($E91-InicioCiclo)/7)+1)))))</f>
        <v/>
      </c>
      <c r="G91" s="67">
        <f>IF($N91="","",IF($P91&gt;0,IF(1&lt;=SemanaActual,INDEX('Cronograma Asistente Técnico'!$Y$5:$Y$1000,$N91),""),IF(INDEX('Cronograma Asistente Técnico'!$H$5:$H$1000,$N91)="","",INDEX('Cronograma Asistente Técnico'!$H$5:$H$1000,$N91))))</f>
        <v/>
      </c>
      <c r="H91" s="67">
        <f>IF($N91="","",IF($P91&gt;0,IF(2&lt;=SemanaActual,INDEX('Cronograma Asistente Técnico'!$Z$5:$Z$1000,$N91),""),IF(INDEX('Cronograma Asistente Técnico'!$I$5:$I$1000,$N91)="","",INDEX('Cronograma Asistente Técnico'!$I$5:$I$1000,$N91))))</f>
        <v/>
      </c>
      <c r="I91" s="67">
        <f>IF($N91="","",IF($P91&gt;0,IF(3&lt;=SemanaActual,INDEX('Cronograma Asistente Técnico'!$AA$5:$AA$1000,$N91),""),IF(INDEX('Cronograma Asistente Técnico'!$J$5:$J$1000,$N91)="","",INDEX('Cronograma Asistente Técnico'!$J$5:$J$1000,$N91))))</f>
        <v/>
      </c>
      <c r="J91" s="67">
        <f>IF($N91="","",IF($P91&gt;0,IF(4&lt;=SemanaActual,INDEX('Cronograma Asistente Técnico'!$AB$5:$AB$1000,$N91),""),IF(INDEX('Cronograma Asistente Técnico'!$K$5:$K$1000,$N91)="","",INDEX('Cronograma Asistente Técnico'!$K$5:$K$1000,$N91))))</f>
        <v/>
      </c>
      <c r="K91" s="67">
        <f>IF($N91="","",INDEX('Cronograma Asistente Técnico'!$L$5:$L$1000,$N91))</f>
        <v/>
      </c>
      <c r="L91" s="61">
        <f>IF($N91="","",IF(N($K91)&gt;=1,"Completado",IF(AND(ISNUMBER($E91),$E91&lt;FechaRef),"Vencida",IF(N($K91)&gt;0,"En curso","Pendiente"))))</f>
        <v/>
      </c>
      <c r="M91" s="70">
        <f>IF($N91="","",INDEX('Cronograma Asistente Técnico'!$N$5:$N$1000,$N91)&amp;"")</f>
        <v/>
      </c>
      <c r="N91">
        <f>IFERROR(MATCH(ROW()-4,rOrden_ATR,0),"")</f>
        <v/>
      </c>
      <c r="O91">
        <f>IF($N91="","",INDEX('Cronograma Asistente Técnico'!$S$5:$S$1000,$N91))</f>
        <v/>
      </c>
      <c r="P91">
        <f>IF($N91="","",N(INDEX('Cronograma Asistente Técnico'!$T$5:$T$1000,$N91)))</f>
        <v/>
      </c>
    </row>
    <row r="92">
      <c r="A92" s="61">
        <f>IF($N92="","",INDEX('Cronograma Asistente Técnico'!$A$5:$A$1000,$N92))</f>
        <v/>
      </c>
      <c r="B92" s="70">
        <f>IF($N92="","",IF($O92="Sub","     ↳ "&amp;INDEX('Cronograma Asistente Técnico'!$C$5:$C$1000,$N92),INDEX('Cronograma Asistente Técnico'!$B$5:$B$1000,$N92)&amp;""))</f>
        <v/>
      </c>
      <c r="C92" s="70">
        <f>IF($N92="","",INDEX('Cronograma Asistente Técnico'!$D$5:$D$1000,$N92)&amp;"")</f>
        <v/>
      </c>
      <c r="D92" s="76">
        <f>IF($N92="","",IF(INDEX('Cronograma Asistente Técnico'!$E$5:$E$1000,$N92)="","",INDEX('Cronograma Asistente Técnico'!$E$5:$E$1000,$N92)))</f>
        <v/>
      </c>
      <c r="E92" s="76">
        <f>IF($N92="","",IF(INDEX('Cronograma Asistente Técnico'!$F$5:$F$1000,$N92)="","",INDEX('Cronograma Asistente Técnico'!$F$5:$F$1000,$N92)))</f>
        <v/>
      </c>
      <c r="F92" s="61">
        <f>IF($N92="","",IF(NOT(ISNUMBER($E92)),"",IF($E92&lt;InicioCiclo,"Antes del ciclo",IF($E92&gt;=InicioCiclo+28,"Después del ciclo","Semana "&amp;(INT(($E92-InicioCiclo)/7)+1)))))</f>
        <v/>
      </c>
      <c r="G92" s="67">
        <f>IF($N92="","",IF($P92&gt;0,IF(1&lt;=SemanaActual,INDEX('Cronograma Asistente Técnico'!$Y$5:$Y$1000,$N92),""),IF(INDEX('Cronograma Asistente Técnico'!$H$5:$H$1000,$N92)="","",INDEX('Cronograma Asistente Técnico'!$H$5:$H$1000,$N92))))</f>
        <v/>
      </c>
      <c r="H92" s="67">
        <f>IF($N92="","",IF($P92&gt;0,IF(2&lt;=SemanaActual,INDEX('Cronograma Asistente Técnico'!$Z$5:$Z$1000,$N92),""),IF(INDEX('Cronograma Asistente Técnico'!$I$5:$I$1000,$N92)="","",INDEX('Cronograma Asistente Técnico'!$I$5:$I$1000,$N92))))</f>
        <v/>
      </c>
      <c r="I92" s="67">
        <f>IF($N92="","",IF($P92&gt;0,IF(3&lt;=SemanaActual,INDEX('Cronograma Asistente Técnico'!$AA$5:$AA$1000,$N92),""),IF(INDEX('Cronograma Asistente Técnico'!$J$5:$J$1000,$N92)="","",INDEX('Cronograma Asistente Técnico'!$J$5:$J$1000,$N92))))</f>
        <v/>
      </c>
      <c r="J92" s="67">
        <f>IF($N92="","",IF($P92&gt;0,IF(4&lt;=SemanaActual,INDEX('Cronograma Asistente Técnico'!$AB$5:$AB$1000,$N92),""),IF(INDEX('Cronograma Asistente Técnico'!$K$5:$K$1000,$N92)="","",INDEX('Cronograma Asistente Técnico'!$K$5:$K$1000,$N92))))</f>
        <v/>
      </c>
      <c r="K92" s="67">
        <f>IF($N92="","",INDEX('Cronograma Asistente Técnico'!$L$5:$L$1000,$N92))</f>
        <v/>
      </c>
      <c r="L92" s="61">
        <f>IF($N92="","",IF(N($K92)&gt;=1,"Completado",IF(AND(ISNUMBER($E92),$E92&lt;FechaRef),"Vencida",IF(N($K92)&gt;0,"En curso","Pendiente"))))</f>
        <v/>
      </c>
      <c r="M92" s="70">
        <f>IF($N92="","",INDEX('Cronograma Asistente Técnico'!$N$5:$N$1000,$N92)&amp;"")</f>
        <v/>
      </c>
      <c r="N92">
        <f>IFERROR(MATCH(ROW()-4,rOrden_ATR,0),"")</f>
        <v/>
      </c>
      <c r="O92">
        <f>IF($N92="","",INDEX('Cronograma Asistente Técnico'!$S$5:$S$1000,$N92))</f>
        <v/>
      </c>
      <c r="P92">
        <f>IF($N92="","",N(INDEX('Cronograma Asistente Técnico'!$T$5:$T$1000,$N92)))</f>
        <v/>
      </c>
    </row>
    <row r="93">
      <c r="A93" s="61">
        <f>IF($N93="","",INDEX('Cronograma Asistente Técnico'!$A$5:$A$1000,$N93))</f>
        <v/>
      </c>
      <c r="B93" s="70">
        <f>IF($N93="","",IF($O93="Sub","     ↳ "&amp;INDEX('Cronograma Asistente Técnico'!$C$5:$C$1000,$N93),INDEX('Cronograma Asistente Técnico'!$B$5:$B$1000,$N93)&amp;""))</f>
        <v/>
      </c>
      <c r="C93" s="70">
        <f>IF($N93="","",INDEX('Cronograma Asistente Técnico'!$D$5:$D$1000,$N93)&amp;"")</f>
        <v/>
      </c>
      <c r="D93" s="76">
        <f>IF($N93="","",IF(INDEX('Cronograma Asistente Técnico'!$E$5:$E$1000,$N93)="","",INDEX('Cronograma Asistente Técnico'!$E$5:$E$1000,$N93)))</f>
        <v/>
      </c>
      <c r="E93" s="76">
        <f>IF($N93="","",IF(INDEX('Cronograma Asistente Técnico'!$F$5:$F$1000,$N93)="","",INDEX('Cronograma Asistente Técnico'!$F$5:$F$1000,$N93)))</f>
        <v/>
      </c>
      <c r="F93" s="61">
        <f>IF($N93="","",IF(NOT(ISNUMBER($E93)),"",IF($E93&lt;InicioCiclo,"Antes del ciclo",IF($E93&gt;=InicioCiclo+28,"Después del ciclo","Semana "&amp;(INT(($E93-InicioCiclo)/7)+1)))))</f>
        <v/>
      </c>
      <c r="G93" s="67">
        <f>IF($N93="","",IF($P93&gt;0,IF(1&lt;=SemanaActual,INDEX('Cronograma Asistente Técnico'!$Y$5:$Y$1000,$N93),""),IF(INDEX('Cronograma Asistente Técnico'!$H$5:$H$1000,$N93)="","",INDEX('Cronograma Asistente Técnico'!$H$5:$H$1000,$N93))))</f>
        <v/>
      </c>
      <c r="H93" s="67">
        <f>IF($N93="","",IF($P93&gt;0,IF(2&lt;=SemanaActual,INDEX('Cronograma Asistente Técnico'!$Z$5:$Z$1000,$N93),""),IF(INDEX('Cronograma Asistente Técnico'!$I$5:$I$1000,$N93)="","",INDEX('Cronograma Asistente Técnico'!$I$5:$I$1000,$N93))))</f>
        <v/>
      </c>
      <c r="I93" s="67">
        <f>IF($N93="","",IF($P93&gt;0,IF(3&lt;=SemanaActual,INDEX('Cronograma Asistente Técnico'!$AA$5:$AA$1000,$N93),""),IF(INDEX('Cronograma Asistente Técnico'!$J$5:$J$1000,$N93)="","",INDEX('Cronograma Asistente Técnico'!$J$5:$J$1000,$N93))))</f>
        <v/>
      </c>
      <c r="J93" s="67">
        <f>IF($N93="","",IF($P93&gt;0,IF(4&lt;=SemanaActual,INDEX('Cronograma Asistente Técnico'!$AB$5:$AB$1000,$N93),""),IF(INDEX('Cronograma Asistente Técnico'!$K$5:$K$1000,$N93)="","",INDEX('Cronograma Asistente Técnico'!$K$5:$K$1000,$N93))))</f>
        <v/>
      </c>
      <c r="K93" s="67">
        <f>IF($N93="","",INDEX('Cronograma Asistente Técnico'!$L$5:$L$1000,$N93))</f>
        <v/>
      </c>
      <c r="L93" s="61">
        <f>IF($N93="","",IF(N($K93)&gt;=1,"Completado",IF(AND(ISNUMBER($E93),$E93&lt;FechaRef),"Vencida",IF(N($K93)&gt;0,"En curso","Pendiente"))))</f>
        <v/>
      </c>
      <c r="M93" s="70">
        <f>IF($N93="","",INDEX('Cronograma Asistente Técnico'!$N$5:$N$1000,$N93)&amp;"")</f>
        <v/>
      </c>
      <c r="N93">
        <f>IFERROR(MATCH(ROW()-4,rOrden_ATR,0),"")</f>
        <v/>
      </c>
      <c r="O93">
        <f>IF($N93="","",INDEX('Cronograma Asistente Técnico'!$S$5:$S$1000,$N93))</f>
        <v/>
      </c>
      <c r="P93">
        <f>IF($N93="","",N(INDEX('Cronograma Asistente Técnico'!$T$5:$T$1000,$N93)))</f>
        <v/>
      </c>
    </row>
    <row r="94">
      <c r="A94" s="61">
        <f>IF($N94="","",INDEX('Cronograma Asistente Técnico'!$A$5:$A$1000,$N94))</f>
        <v/>
      </c>
      <c r="B94" s="70">
        <f>IF($N94="","",IF($O94="Sub","     ↳ "&amp;INDEX('Cronograma Asistente Técnico'!$C$5:$C$1000,$N94),INDEX('Cronograma Asistente Técnico'!$B$5:$B$1000,$N94)&amp;""))</f>
        <v/>
      </c>
      <c r="C94" s="70">
        <f>IF($N94="","",INDEX('Cronograma Asistente Técnico'!$D$5:$D$1000,$N94)&amp;"")</f>
        <v/>
      </c>
      <c r="D94" s="76">
        <f>IF($N94="","",IF(INDEX('Cronograma Asistente Técnico'!$E$5:$E$1000,$N94)="","",INDEX('Cronograma Asistente Técnico'!$E$5:$E$1000,$N94)))</f>
        <v/>
      </c>
      <c r="E94" s="76">
        <f>IF($N94="","",IF(INDEX('Cronograma Asistente Técnico'!$F$5:$F$1000,$N94)="","",INDEX('Cronograma Asistente Técnico'!$F$5:$F$1000,$N94)))</f>
        <v/>
      </c>
      <c r="F94" s="61">
        <f>IF($N94="","",IF(NOT(ISNUMBER($E94)),"",IF($E94&lt;InicioCiclo,"Antes del ciclo",IF($E94&gt;=InicioCiclo+28,"Después del ciclo","Semana "&amp;(INT(($E94-InicioCiclo)/7)+1)))))</f>
        <v/>
      </c>
      <c r="G94" s="67">
        <f>IF($N94="","",IF($P94&gt;0,IF(1&lt;=SemanaActual,INDEX('Cronograma Asistente Técnico'!$Y$5:$Y$1000,$N94),""),IF(INDEX('Cronograma Asistente Técnico'!$H$5:$H$1000,$N94)="","",INDEX('Cronograma Asistente Técnico'!$H$5:$H$1000,$N94))))</f>
        <v/>
      </c>
      <c r="H94" s="67">
        <f>IF($N94="","",IF($P94&gt;0,IF(2&lt;=SemanaActual,INDEX('Cronograma Asistente Técnico'!$Z$5:$Z$1000,$N94),""),IF(INDEX('Cronograma Asistente Técnico'!$I$5:$I$1000,$N94)="","",INDEX('Cronograma Asistente Técnico'!$I$5:$I$1000,$N94))))</f>
        <v/>
      </c>
      <c r="I94" s="67">
        <f>IF($N94="","",IF($P94&gt;0,IF(3&lt;=SemanaActual,INDEX('Cronograma Asistente Técnico'!$AA$5:$AA$1000,$N94),""),IF(INDEX('Cronograma Asistente Técnico'!$J$5:$J$1000,$N94)="","",INDEX('Cronograma Asistente Técnico'!$J$5:$J$1000,$N94))))</f>
        <v/>
      </c>
      <c r="J94" s="67">
        <f>IF($N94="","",IF($P94&gt;0,IF(4&lt;=SemanaActual,INDEX('Cronograma Asistente Técnico'!$AB$5:$AB$1000,$N94),""),IF(INDEX('Cronograma Asistente Técnico'!$K$5:$K$1000,$N94)="","",INDEX('Cronograma Asistente Técnico'!$K$5:$K$1000,$N94))))</f>
        <v/>
      </c>
      <c r="K94" s="67">
        <f>IF($N94="","",INDEX('Cronograma Asistente Técnico'!$L$5:$L$1000,$N94))</f>
        <v/>
      </c>
      <c r="L94" s="61">
        <f>IF($N94="","",IF(N($K94)&gt;=1,"Completado",IF(AND(ISNUMBER($E94),$E94&lt;FechaRef),"Vencida",IF(N($K94)&gt;0,"En curso","Pendiente"))))</f>
        <v/>
      </c>
      <c r="M94" s="70">
        <f>IF($N94="","",INDEX('Cronograma Asistente Técnico'!$N$5:$N$1000,$N94)&amp;"")</f>
        <v/>
      </c>
      <c r="N94">
        <f>IFERROR(MATCH(ROW()-4,rOrden_ATR,0),"")</f>
        <v/>
      </c>
      <c r="O94">
        <f>IF($N94="","",INDEX('Cronograma Asistente Técnico'!$S$5:$S$1000,$N94))</f>
        <v/>
      </c>
      <c r="P94">
        <f>IF($N94="","",N(INDEX('Cronograma Asistente Técnico'!$T$5:$T$1000,$N94)))</f>
        <v/>
      </c>
    </row>
    <row r="95">
      <c r="A95" s="61">
        <f>IF($N95="","",INDEX('Cronograma Asistente Técnico'!$A$5:$A$1000,$N95))</f>
        <v/>
      </c>
      <c r="B95" s="70">
        <f>IF($N95="","",IF($O95="Sub","     ↳ "&amp;INDEX('Cronograma Asistente Técnico'!$C$5:$C$1000,$N95),INDEX('Cronograma Asistente Técnico'!$B$5:$B$1000,$N95)&amp;""))</f>
        <v/>
      </c>
      <c r="C95" s="70">
        <f>IF($N95="","",INDEX('Cronograma Asistente Técnico'!$D$5:$D$1000,$N95)&amp;"")</f>
        <v/>
      </c>
      <c r="D95" s="76">
        <f>IF($N95="","",IF(INDEX('Cronograma Asistente Técnico'!$E$5:$E$1000,$N95)="","",INDEX('Cronograma Asistente Técnico'!$E$5:$E$1000,$N95)))</f>
        <v/>
      </c>
      <c r="E95" s="76">
        <f>IF($N95="","",IF(INDEX('Cronograma Asistente Técnico'!$F$5:$F$1000,$N95)="","",INDEX('Cronograma Asistente Técnico'!$F$5:$F$1000,$N95)))</f>
        <v/>
      </c>
      <c r="F95" s="61">
        <f>IF($N95="","",IF(NOT(ISNUMBER($E95)),"",IF($E95&lt;InicioCiclo,"Antes del ciclo",IF($E95&gt;=InicioCiclo+28,"Después del ciclo","Semana "&amp;(INT(($E95-InicioCiclo)/7)+1)))))</f>
        <v/>
      </c>
      <c r="G95" s="67">
        <f>IF($N95="","",IF($P95&gt;0,IF(1&lt;=SemanaActual,INDEX('Cronograma Asistente Técnico'!$Y$5:$Y$1000,$N95),""),IF(INDEX('Cronograma Asistente Técnico'!$H$5:$H$1000,$N95)="","",INDEX('Cronograma Asistente Técnico'!$H$5:$H$1000,$N95))))</f>
        <v/>
      </c>
      <c r="H95" s="67">
        <f>IF($N95="","",IF($P95&gt;0,IF(2&lt;=SemanaActual,INDEX('Cronograma Asistente Técnico'!$Z$5:$Z$1000,$N95),""),IF(INDEX('Cronograma Asistente Técnico'!$I$5:$I$1000,$N95)="","",INDEX('Cronograma Asistente Técnico'!$I$5:$I$1000,$N95))))</f>
        <v/>
      </c>
      <c r="I95" s="67">
        <f>IF($N95="","",IF($P95&gt;0,IF(3&lt;=SemanaActual,INDEX('Cronograma Asistente Técnico'!$AA$5:$AA$1000,$N95),""),IF(INDEX('Cronograma Asistente Técnico'!$J$5:$J$1000,$N95)="","",INDEX('Cronograma Asistente Técnico'!$J$5:$J$1000,$N95))))</f>
        <v/>
      </c>
      <c r="J95" s="67">
        <f>IF($N95="","",IF($P95&gt;0,IF(4&lt;=SemanaActual,INDEX('Cronograma Asistente Técnico'!$AB$5:$AB$1000,$N95),""),IF(INDEX('Cronograma Asistente Técnico'!$K$5:$K$1000,$N95)="","",INDEX('Cronograma Asistente Técnico'!$K$5:$K$1000,$N95))))</f>
        <v/>
      </c>
      <c r="K95" s="67">
        <f>IF($N95="","",INDEX('Cronograma Asistente Técnico'!$L$5:$L$1000,$N95))</f>
        <v/>
      </c>
      <c r="L95" s="61">
        <f>IF($N95="","",IF(N($K95)&gt;=1,"Completado",IF(AND(ISNUMBER($E95),$E95&lt;FechaRef),"Vencida",IF(N($K95)&gt;0,"En curso","Pendiente"))))</f>
        <v/>
      </c>
      <c r="M95" s="70">
        <f>IF($N95="","",INDEX('Cronograma Asistente Técnico'!$N$5:$N$1000,$N95)&amp;"")</f>
        <v/>
      </c>
      <c r="N95">
        <f>IFERROR(MATCH(ROW()-4,rOrden_ATR,0),"")</f>
        <v/>
      </c>
      <c r="O95">
        <f>IF($N95="","",INDEX('Cronograma Asistente Técnico'!$S$5:$S$1000,$N95))</f>
        <v/>
      </c>
      <c r="P95">
        <f>IF($N95="","",N(INDEX('Cronograma Asistente Técnico'!$T$5:$T$1000,$N95)))</f>
        <v/>
      </c>
    </row>
    <row r="96">
      <c r="A96" s="61">
        <f>IF($N96="","",INDEX('Cronograma Asistente Técnico'!$A$5:$A$1000,$N96))</f>
        <v/>
      </c>
      <c r="B96" s="70">
        <f>IF($N96="","",IF($O96="Sub","     ↳ "&amp;INDEX('Cronograma Asistente Técnico'!$C$5:$C$1000,$N96),INDEX('Cronograma Asistente Técnico'!$B$5:$B$1000,$N96)&amp;""))</f>
        <v/>
      </c>
      <c r="C96" s="70">
        <f>IF($N96="","",INDEX('Cronograma Asistente Técnico'!$D$5:$D$1000,$N96)&amp;"")</f>
        <v/>
      </c>
      <c r="D96" s="76">
        <f>IF($N96="","",IF(INDEX('Cronograma Asistente Técnico'!$E$5:$E$1000,$N96)="","",INDEX('Cronograma Asistente Técnico'!$E$5:$E$1000,$N96)))</f>
        <v/>
      </c>
      <c r="E96" s="76">
        <f>IF($N96="","",IF(INDEX('Cronograma Asistente Técnico'!$F$5:$F$1000,$N96)="","",INDEX('Cronograma Asistente Técnico'!$F$5:$F$1000,$N96)))</f>
        <v/>
      </c>
      <c r="F96" s="61">
        <f>IF($N96="","",IF(NOT(ISNUMBER($E96)),"",IF($E96&lt;InicioCiclo,"Antes del ciclo",IF($E96&gt;=InicioCiclo+28,"Después del ciclo","Semana "&amp;(INT(($E96-InicioCiclo)/7)+1)))))</f>
        <v/>
      </c>
      <c r="G96" s="67">
        <f>IF($N96="","",IF($P96&gt;0,IF(1&lt;=SemanaActual,INDEX('Cronograma Asistente Técnico'!$Y$5:$Y$1000,$N96),""),IF(INDEX('Cronograma Asistente Técnico'!$H$5:$H$1000,$N96)="","",INDEX('Cronograma Asistente Técnico'!$H$5:$H$1000,$N96))))</f>
        <v/>
      </c>
      <c r="H96" s="67">
        <f>IF($N96="","",IF($P96&gt;0,IF(2&lt;=SemanaActual,INDEX('Cronograma Asistente Técnico'!$Z$5:$Z$1000,$N96),""),IF(INDEX('Cronograma Asistente Técnico'!$I$5:$I$1000,$N96)="","",INDEX('Cronograma Asistente Técnico'!$I$5:$I$1000,$N96))))</f>
        <v/>
      </c>
      <c r="I96" s="67">
        <f>IF($N96="","",IF($P96&gt;0,IF(3&lt;=SemanaActual,INDEX('Cronograma Asistente Técnico'!$AA$5:$AA$1000,$N96),""),IF(INDEX('Cronograma Asistente Técnico'!$J$5:$J$1000,$N96)="","",INDEX('Cronograma Asistente Técnico'!$J$5:$J$1000,$N96))))</f>
        <v/>
      </c>
      <c r="J96" s="67">
        <f>IF($N96="","",IF($P96&gt;0,IF(4&lt;=SemanaActual,INDEX('Cronograma Asistente Técnico'!$AB$5:$AB$1000,$N96),""),IF(INDEX('Cronograma Asistente Técnico'!$K$5:$K$1000,$N96)="","",INDEX('Cronograma Asistente Técnico'!$K$5:$K$1000,$N96))))</f>
        <v/>
      </c>
      <c r="K96" s="67">
        <f>IF($N96="","",INDEX('Cronograma Asistente Técnico'!$L$5:$L$1000,$N96))</f>
        <v/>
      </c>
      <c r="L96" s="61">
        <f>IF($N96="","",IF(N($K96)&gt;=1,"Completado",IF(AND(ISNUMBER($E96),$E96&lt;FechaRef),"Vencida",IF(N($K96)&gt;0,"En curso","Pendiente"))))</f>
        <v/>
      </c>
      <c r="M96" s="70">
        <f>IF($N96="","",INDEX('Cronograma Asistente Técnico'!$N$5:$N$1000,$N96)&amp;"")</f>
        <v/>
      </c>
      <c r="N96">
        <f>IFERROR(MATCH(ROW()-4,rOrden_ATR,0),"")</f>
        <v/>
      </c>
      <c r="O96">
        <f>IF($N96="","",INDEX('Cronograma Asistente Técnico'!$S$5:$S$1000,$N96))</f>
        <v/>
      </c>
      <c r="P96">
        <f>IF($N96="","",N(INDEX('Cronograma Asistente Técnico'!$T$5:$T$1000,$N96)))</f>
        <v/>
      </c>
    </row>
    <row r="97">
      <c r="A97" s="61">
        <f>IF($N97="","",INDEX('Cronograma Asistente Técnico'!$A$5:$A$1000,$N97))</f>
        <v/>
      </c>
      <c r="B97" s="70">
        <f>IF($N97="","",IF($O97="Sub","     ↳ "&amp;INDEX('Cronograma Asistente Técnico'!$C$5:$C$1000,$N97),INDEX('Cronograma Asistente Técnico'!$B$5:$B$1000,$N97)&amp;""))</f>
        <v/>
      </c>
      <c r="C97" s="70">
        <f>IF($N97="","",INDEX('Cronograma Asistente Técnico'!$D$5:$D$1000,$N97)&amp;"")</f>
        <v/>
      </c>
      <c r="D97" s="76">
        <f>IF($N97="","",IF(INDEX('Cronograma Asistente Técnico'!$E$5:$E$1000,$N97)="","",INDEX('Cronograma Asistente Técnico'!$E$5:$E$1000,$N97)))</f>
        <v/>
      </c>
      <c r="E97" s="76">
        <f>IF($N97="","",IF(INDEX('Cronograma Asistente Técnico'!$F$5:$F$1000,$N97)="","",INDEX('Cronograma Asistente Técnico'!$F$5:$F$1000,$N97)))</f>
        <v/>
      </c>
      <c r="F97" s="61">
        <f>IF($N97="","",IF(NOT(ISNUMBER($E97)),"",IF($E97&lt;InicioCiclo,"Antes del ciclo",IF($E97&gt;=InicioCiclo+28,"Después del ciclo","Semana "&amp;(INT(($E97-InicioCiclo)/7)+1)))))</f>
        <v/>
      </c>
      <c r="G97" s="67">
        <f>IF($N97="","",IF($P97&gt;0,IF(1&lt;=SemanaActual,INDEX('Cronograma Asistente Técnico'!$Y$5:$Y$1000,$N97),""),IF(INDEX('Cronograma Asistente Técnico'!$H$5:$H$1000,$N97)="","",INDEX('Cronograma Asistente Técnico'!$H$5:$H$1000,$N97))))</f>
        <v/>
      </c>
      <c r="H97" s="67">
        <f>IF($N97="","",IF($P97&gt;0,IF(2&lt;=SemanaActual,INDEX('Cronograma Asistente Técnico'!$Z$5:$Z$1000,$N97),""),IF(INDEX('Cronograma Asistente Técnico'!$I$5:$I$1000,$N97)="","",INDEX('Cronograma Asistente Técnico'!$I$5:$I$1000,$N97))))</f>
        <v/>
      </c>
      <c r="I97" s="67">
        <f>IF($N97="","",IF($P97&gt;0,IF(3&lt;=SemanaActual,INDEX('Cronograma Asistente Técnico'!$AA$5:$AA$1000,$N97),""),IF(INDEX('Cronograma Asistente Técnico'!$J$5:$J$1000,$N97)="","",INDEX('Cronograma Asistente Técnico'!$J$5:$J$1000,$N97))))</f>
        <v/>
      </c>
      <c r="J97" s="67">
        <f>IF($N97="","",IF($P97&gt;0,IF(4&lt;=SemanaActual,INDEX('Cronograma Asistente Técnico'!$AB$5:$AB$1000,$N97),""),IF(INDEX('Cronograma Asistente Técnico'!$K$5:$K$1000,$N97)="","",INDEX('Cronograma Asistente Técnico'!$K$5:$K$1000,$N97))))</f>
        <v/>
      </c>
      <c r="K97" s="67">
        <f>IF($N97="","",INDEX('Cronograma Asistente Técnico'!$L$5:$L$1000,$N97))</f>
        <v/>
      </c>
      <c r="L97" s="61">
        <f>IF($N97="","",IF(N($K97)&gt;=1,"Completado",IF(AND(ISNUMBER($E97),$E97&lt;FechaRef),"Vencida",IF(N($K97)&gt;0,"En curso","Pendiente"))))</f>
        <v/>
      </c>
      <c r="M97" s="70">
        <f>IF($N97="","",INDEX('Cronograma Asistente Técnico'!$N$5:$N$1000,$N97)&amp;"")</f>
        <v/>
      </c>
      <c r="N97">
        <f>IFERROR(MATCH(ROW()-4,rOrden_ATR,0),"")</f>
        <v/>
      </c>
      <c r="O97">
        <f>IF($N97="","",INDEX('Cronograma Asistente Técnico'!$S$5:$S$1000,$N97))</f>
        <v/>
      </c>
      <c r="P97">
        <f>IF($N97="","",N(INDEX('Cronograma Asistente Técnico'!$T$5:$T$1000,$N97)))</f>
        <v/>
      </c>
    </row>
    <row r="98">
      <c r="A98" s="61">
        <f>IF($N98="","",INDEX('Cronograma Asistente Técnico'!$A$5:$A$1000,$N98))</f>
        <v/>
      </c>
      <c r="B98" s="70">
        <f>IF($N98="","",IF($O98="Sub","     ↳ "&amp;INDEX('Cronograma Asistente Técnico'!$C$5:$C$1000,$N98),INDEX('Cronograma Asistente Técnico'!$B$5:$B$1000,$N98)&amp;""))</f>
        <v/>
      </c>
      <c r="C98" s="70">
        <f>IF($N98="","",INDEX('Cronograma Asistente Técnico'!$D$5:$D$1000,$N98)&amp;"")</f>
        <v/>
      </c>
      <c r="D98" s="76">
        <f>IF($N98="","",IF(INDEX('Cronograma Asistente Técnico'!$E$5:$E$1000,$N98)="","",INDEX('Cronograma Asistente Técnico'!$E$5:$E$1000,$N98)))</f>
        <v/>
      </c>
      <c r="E98" s="76">
        <f>IF($N98="","",IF(INDEX('Cronograma Asistente Técnico'!$F$5:$F$1000,$N98)="","",INDEX('Cronograma Asistente Técnico'!$F$5:$F$1000,$N98)))</f>
        <v/>
      </c>
      <c r="F98" s="61">
        <f>IF($N98="","",IF(NOT(ISNUMBER($E98)),"",IF($E98&lt;InicioCiclo,"Antes del ciclo",IF($E98&gt;=InicioCiclo+28,"Después del ciclo","Semana "&amp;(INT(($E98-InicioCiclo)/7)+1)))))</f>
        <v/>
      </c>
      <c r="G98" s="67">
        <f>IF($N98="","",IF($P98&gt;0,IF(1&lt;=SemanaActual,INDEX('Cronograma Asistente Técnico'!$Y$5:$Y$1000,$N98),""),IF(INDEX('Cronograma Asistente Técnico'!$H$5:$H$1000,$N98)="","",INDEX('Cronograma Asistente Técnico'!$H$5:$H$1000,$N98))))</f>
        <v/>
      </c>
      <c r="H98" s="67">
        <f>IF($N98="","",IF($P98&gt;0,IF(2&lt;=SemanaActual,INDEX('Cronograma Asistente Técnico'!$Z$5:$Z$1000,$N98),""),IF(INDEX('Cronograma Asistente Técnico'!$I$5:$I$1000,$N98)="","",INDEX('Cronograma Asistente Técnico'!$I$5:$I$1000,$N98))))</f>
        <v/>
      </c>
      <c r="I98" s="67">
        <f>IF($N98="","",IF($P98&gt;0,IF(3&lt;=SemanaActual,INDEX('Cronograma Asistente Técnico'!$AA$5:$AA$1000,$N98),""),IF(INDEX('Cronograma Asistente Técnico'!$J$5:$J$1000,$N98)="","",INDEX('Cronograma Asistente Técnico'!$J$5:$J$1000,$N98))))</f>
        <v/>
      </c>
      <c r="J98" s="67">
        <f>IF($N98="","",IF($P98&gt;0,IF(4&lt;=SemanaActual,INDEX('Cronograma Asistente Técnico'!$AB$5:$AB$1000,$N98),""),IF(INDEX('Cronograma Asistente Técnico'!$K$5:$K$1000,$N98)="","",INDEX('Cronograma Asistente Técnico'!$K$5:$K$1000,$N98))))</f>
        <v/>
      </c>
      <c r="K98" s="67">
        <f>IF($N98="","",INDEX('Cronograma Asistente Técnico'!$L$5:$L$1000,$N98))</f>
        <v/>
      </c>
      <c r="L98" s="61">
        <f>IF($N98="","",IF(N($K98)&gt;=1,"Completado",IF(AND(ISNUMBER($E98),$E98&lt;FechaRef),"Vencida",IF(N($K98)&gt;0,"En curso","Pendiente"))))</f>
        <v/>
      </c>
      <c r="M98" s="70">
        <f>IF($N98="","",INDEX('Cronograma Asistente Técnico'!$N$5:$N$1000,$N98)&amp;"")</f>
        <v/>
      </c>
      <c r="N98">
        <f>IFERROR(MATCH(ROW()-4,rOrden_ATR,0),"")</f>
        <v/>
      </c>
      <c r="O98">
        <f>IF($N98="","",INDEX('Cronograma Asistente Técnico'!$S$5:$S$1000,$N98))</f>
        <v/>
      </c>
      <c r="P98">
        <f>IF($N98="","",N(INDEX('Cronograma Asistente Técnico'!$T$5:$T$1000,$N98)))</f>
        <v/>
      </c>
    </row>
    <row r="99">
      <c r="A99" s="61">
        <f>IF($N99="","",INDEX('Cronograma Asistente Técnico'!$A$5:$A$1000,$N99))</f>
        <v/>
      </c>
      <c r="B99" s="70">
        <f>IF($N99="","",IF($O99="Sub","     ↳ "&amp;INDEX('Cronograma Asistente Técnico'!$C$5:$C$1000,$N99),INDEX('Cronograma Asistente Técnico'!$B$5:$B$1000,$N99)&amp;""))</f>
        <v/>
      </c>
      <c r="C99" s="70">
        <f>IF($N99="","",INDEX('Cronograma Asistente Técnico'!$D$5:$D$1000,$N99)&amp;"")</f>
        <v/>
      </c>
      <c r="D99" s="76">
        <f>IF($N99="","",IF(INDEX('Cronograma Asistente Técnico'!$E$5:$E$1000,$N99)="","",INDEX('Cronograma Asistente Técnico'!$E$5:$E$1000,$N99)))</f>
        <v/>
      </c>
      <c r="E99" s="76">
        <f>IF($N99="","",IF(INDEX('Cronograma Asistente Técnico'!$F$5:$F$1000,$N99)="","",INDEX('Cronograma Asistente Técnico'!$F$5:$F$1000,$N99)))</f>
        <v/>
      </c>
      <c r="F99" s="61">
        <f>IF($N99="","",IF(NOT(ISNUMBER($E99)),"",IF($E99&lt;InicioCiclo,"Antes del ciclo",IF($E99&gt;=InicioCiclo+28,"Después del ciclo","Semana "&amp;(INT(($E99-InicioCiclo)/7)+1)))))</f>
        <v/>
      </c>
      <c r="G99" s="67">
        <f>IF($N99="","",IF($P99&gt;0,IF(1&lt;=SemanaActual,INDEX('Cronograma Asistente Técnico'!$Y$5:$Y$1000,$N99),""),IF(INDEX('Cronograma Asistente Técnico'!$H$5:$H$1000,$N99)="","",INDEX('Cronograma Asistente Técnico'!$H$5:$H$1000,$N99))))</f>
        <v/>
      </c>
      <c r="H99" s="67">
        <f>IF($N99="","",IF($P99&gt;0,IF(2&lt;=SemanaActual,INDEX('Cronograma Asistente Técnico'!$Z$5:$Z$1000,$N99),""),IF(INDEX('Cronograma Asistente Técnico'!$I$5:$I$1000,$N99)="","",INDEX('Cronograma Asistente Técnico'!$I$5:$I$1000,$N99))))</f>
        <v/>
      </c>
      <c r="I99" s="67">
        <f>IF($N99="","",IF($P99&gt;0,IF(3&lt;=SemanaActual,INDEX('Cronograma Asistente Técnico'!$AA$5:$AA$1000,$N99),""),IF(INDEX('Cronograma Asistente Técnico'!$J$5:$J$1000,$N99)="","",INDEX('Cronograma Asistente Técnico'!$J$5:$J$1000,$N99))))</f>
        <v/>
      </c>
      <c r="J99" s="67">
        <f>IF($N99="","",IF($P99&gt;0,IF(4&lt;=SemanaActual,INDEX('Cronograma Asistente Técnico'!$AB$5:$AB$1000,$N99),""),IF(INDEX('Cronograma Asistente Técnico'!$K$5:$K$1000,$N99)="","",INDEX('Cronograma Asistente Técnico'!$K$5:$K$1000,$N99))))</f>
        <v/>
      </c>
      <c r="K99" s="67">
        <f>IF($N99="","",INDEX('Cronograma Asistente Técnico'!$L$5:$L$1000,$N99))</f>
        <v/>
      </c>
      <c r="L99" s="61">
        <f>IF($N99="","",IF(N($K99)&gt;=1,"Completado",IF(AND(ISNUMBER($E99),$E99&lt;FechaRef),"Vencida",IF(N($K99)&gt;0,"En curso","Pendiente"))))</f>
        <v/>
      </c>
      <c r="M99" s="70">
        <f>IF($N99="","",INDEX('Cronograma Asistente Técnico'!$N$5:$N$1000,$N99)&amp;"")</f>
        <v/>
      </c>
      <c r="N99">
        <f>IFERROR(MATCH(ROW()-4,rOrden_ATR,0),"")</f>
        <v/>
      </c>
      <c r="O99">
        <f>IF($N99="","",INDEX('Cronograma Asistente Técnico'!$S$5:$S$1000,$N99))</f>
        <v/>
      </c>
      <c r="P99">
        <f>IF($N99="","",N(INDEX('Cronograma Asistente Técnico'!$T$5:$T$1000,$N99)))</f>
        <v/>
      </c>
    </row>
    <row r="100">
      <c r="A100" s="61">
        <f>IF($N100="","",INDEX('Cronograma Asistente Técnico'!$A$5:$A$1000,$N100))</f>
        <v/>
      </c>
      <c r="B100" s="70">
        <f>IF($N100="","",IF($O100="Sub","     ↳ "&amp;INDEX('Cronograma Asistente Técnico'!$C$5:$C$1000,$N100),INDEX('Cronograma Asistente Técnico'!$B$5:$B$1000,$N100)&amp;""))</f>
        <v/>
      </c>
      <c r="C100" s="70">
        <f>IF($N100="","",INDEX('Cronograma Asistente Técnico'!$D$5:$D$1000,$N100)&amp;"")</f>
        <v/>
      </c>
      <c r="D100" s="76">
        <f>IF($N100="","",IF(INDEX('Cronograma Asistente Técnico'!$E$5:$E$1000,$N100)="","",INDEX('Cronograma Asistente Técnico'!$E$5:$E$1000,$N100)))</f>
        <v/>
      </c>
      <c r="E100" s="76">
        <f>IF($N100="","",IF(INDEX('Cronograma Asistente Técnico'!$F$5:$F$1000,$N100)="","",INDEX('Cronograma Asistente Técnico'!$F$5:$F$1000,$N100)))</f>
        <v/>
      </c>
      <c r="F100" s="61">
        <f>IF($N100="","",IF(NOT(ISNUMBER($E100)),"",IF($E100&lt;InicioCiclo,"Antes del ciclo",IF($E100&gt;=InicioCiclo+28,"Después del ciclo","Semana "&amp;(INT(($E100-InicioCiclo)/7)+1)))))</f>
        <v/>
      </c>
      <c r="G100" s="67">
        <f>IF($N100="","",IF($P100&gt;0,IF(1&lt;=SemanaActual,INDEX('Cronograma Asistente Técnico'!$Y$5:$Y$1000,$N100),""),IF(INDEX('Cronograma Asistente Técnico'!$H$5:$H$1000,$N100)="","",INDEX('Cronograma Asistente Técnico'!$H$5:$H$1000,$N100))))</f>
        <v/>
      </c>
      <c r="H100" s="67">
        <f>IF($N100="","",IF($P100&gt;0,IF(2&lt;=SemanaActual,INDEX('Cronograma Asistente Técnico'!$Z$5:$Z$1000,$N100),""),IF(INDEX('Cronograma Asistente Técnico'!$I$5:$I$1000,$N100)="","",INDEX('Cronograma Asistente Técnico'!$I$5:$I$1000,$N100))))</f>
        <v/>
      </c>
      <c r="I100" s="67">
        <f>IF($N100="","",IF($P100&gt;0,IF(3&lt;=SemanaActual,INDEX('Cronograma Asistente Técnico'!$AA$5:$AA$1000,$N100),""),IF(INDEX('Cronograma Asistente Técnico'!$J$5:$J$1000,$N100)="","",INDEX('Cronograma Asistente Técnico'!$J$5:$J$1000,$N100))))</f>
        <v/>
      </c>
      <c r="J100" s="67">
        <f>IF($N100="","",IF($P100&gt;0,IF(4&lt;=SemanaActual,INDEX('Cronograma Asistente Técnico'!$AB$5:$AB$1000,$N100),""),IF(INDEX('Cronograma Asistente Técnico'!$K$5:$K$1000,$N100)="","",INDEX('Cronograma Asistente Técnico'!$K$5:$K$1000,$N100))))</f>
        <v/>
      </c>
      <c r="K100" s="67">
        <f>IF($N100="","",INDEX('Cronograma Asistente Técnico'!$L$5:$L$1000,$N100))</f>
        <v/>
      </c>
      <c r="L100" s="61">
        <f>IF($N100="","",IF(N($K100)&gt;=1,"Completado",IF(AND(ISNUMBER($E100),$E100&lt;FechaRef),"Vencida",IF(N($K100)&gt;0,"En curso","Pendiente"))))</f>
        <v/>
      </c>
      <c r="M100" s="70">
        <f>IF($N100="","",INDEX('Cronograma Asistente Técnico'!$N$5:$N$1000,$N100)&amp;"")</f>
        <v/>
      </c>
      <c r="N100">
        <f>IFERROR(MATCH(ROW()-4,rOrden_ATR,0),"")</f>
        <v/>
      </c>
      <c r="O100">
        <f>IF($N100="","",INDEX('Cronograma Asistente Técnico'!$S$5:$S$1000,$N100))</f>
        <v/>
      </c>
      <c r="P100">
        <f>IF($N100="","",N(INDEX('Cronograma Asistente Técnico'!$T$5:$T$1000,$N100)))</f>
        <v/>
      </c>
    </row>
    <row r="101">
      <c r="A101" s="61">
        <f>IF($N101="","",INDEX('Cronograma Asistente Técnico'!$A$5:$A$1000,$N101))</f>
        <v/>
      </c>
      <c r="B101" s="70">
        <f>IF($N101="","",IF($O101="Sub","     ↳ "&amp;INDEX('Cronograma Asistente Técnico'!$C$5:$C$1000,$N101),INDEX('Cronograma Asistente Técnico'!$B$5:$B$1000,$N101)&amp;""))</f>
        <v/>
      </c>
      <c r="C101" s="70">
        <f>IF($N101="","",INDEX('Cronograma Asistente Técnico'!$D$5:$D$1000,$N101)&amp;"")</f>
        <v/>
      </c>
      <c r="D101" s="76">
        <f>IF($N101="","",IF(INDEX('Cronograma Asistente Técnico'!$E$5:$E$1000,$N101)="","",INDEX('Cronograma Asistente Técnico'!$E$5:$E$1000,$N101)))</f>
        <v/>
      </c>
      <c r="E101" s="76">
        <f>IF($N101="","",IF(INDEX('Cronograma Asistente Técnico'!$F$5:$F$1000,$N101)="","",INDEX('Cronograma Asistente Técnico'!$F$5:$F$1000,$N101)))</f>
        <v/>
      </c>
      <c r="F101" s="61">
        <f>IF($N101="","",IF(NOT(ISNUMBER($E101)),"",IF($E101&lt;InicioCiclo,"Antes del ciclo",IF($E101&gt;=InicioCiclo+28,"Después del ciclo","Semana "&amp;(INT(($E101-InicioCiclo)/7)+1)))))</f>
        <v/>
      </c>
      <c r="G101" s="67">
        <f>IF($N101="","",IF($P101&gt;0,IF(1&lt;=SemanaActual,INDEX('Cronograma Asistente Técnico'!$Y$5:$Y$1000,$N101),""),IF(INDEX('Cronograma Asistente Técnico'!$H$5:$H$1000,$N101)="","",INDEX('Cronograma Asistente Técnico'!$H$5:$H$1000,$N101))))</f>
        <v/>
      </c>
      <c r="H101" s="67">
        <f>IF($N101="","",IF($P101&gt;0,IF(2&lt;=SemanaActual,INDEX('Cronograma Asistente Técnico'!$Z$5:$Z$1000,$N101),""),IF(INDEX('Cronograma Asistente Técnico'!$I$5:$I$1000,$N101)="","",INDEX('Cronograma Asistente Técnico'!$I$5:$I$1000,$N101))))</f>
        <v/>
      </c>
      <c r="I101" s="67">
        <f>IF($N101="","",IF($P101&gt;0,IF(3&lt;=SemanaActual,INDEX('Cronograma Asistente Técnico'!$AA$5:$AA$1000,$N101),""),IF(INDEX('Cronograma Asistente Técnico'!$J$5:$J$1000,$N101)="","",INDEX('Cronograma Asistente Técnico'!$J$5:$J$1000,$N101))))</f>
        <v/>
      </c>
      <c r="J101" s="67">
        <f>IF($N101="","",IF($P101&gt;0,IF(4&lt;=SemanaActual,INDEX('Cronograma Asistente Técnico'!$AB$5:$AB$1000,$N101),""),IF(INDEX('Cronograma Asistente Técnico'!$K$5:$K$1000,$N101)="","",INDEX('Cronograma Asistente Técnico'!$K$5:$K$1000,$N101))))</f>
        <v/>
      </c>
      <c r="K101" s="67">
        <f>IF($N101="","",INDEX('Cronograma Asistente Técnico'!$L$5:$L$1000,$N101))</f>
        <v/>
      </c>
      <c r="L101" s="61">
        <f>IF($N101="","",IF(N($K101)&gt;=1,"Completado",IF(AND(ISNUMBER($E101),$E101&lt;FechaRef),"Vencida",IF(N($K101)&gt;0,"En curso","Pendiente"))))</f>
        <v/>
      </c>
      <c r="M101" s="70">
        <f>IF($N101="","",INDEX('Cronograma Asistente Técnico'!$N$5:$N$1000,$N101)&amp;"")</f>
        <v/>
      </c>
      <c r="N101">
        <f>IFERROR(MATCH(ROW()-4,rOrden_ATR,0),"")</f>
        <v/>
      </c>
      <c r="O101">
        <f>IF($N101="","",INDEX('Cronograma Asistente Técnico'!$S$5:$S$1000,$N101))</f>
        <v/>
      </c>
      <c r="P101">
        <f>IF($N101="","",N(INDEX('Cronograma Asistente Técnico'!$T$5:$T$1000,$N101)))</f>
        <v/>
      </c>
    </row>
    <row r="102">
      <c r="A102" s="61">
        <f>IF($N102="","",INDEX('Cronograma Asistente Técnico'!$A$5:$A$1000,$N102))</f>
        <v/>
      </c>
      <c r="B102" s="70">
        <f>IF($N102="","",IF($O102="Sub","     ↳ "&amp;INDEX('Cronograma Asistente Técnico'!$C$5:$C$1000,$N102),INDEX('Cronograma Asistente Técnico'!$B$5:$B$1000,$N102)&amp;""))</f>
        <v/>
      </c>
      <c r="C102" s="70">
        <f>IF($N102="","",INDEX('Cronograma Asistente Técnico'!$D$5:$D$1000,$N102)&amp;"")</f>
        <v/>
      </c>
      <c r="D102" s="76">
        <f>IF($N102="","",IF(INDEX('Cronograma Asistente Técnico'!$E$5:$E$1000,$N102)="","",INDEX('Cronograma Asistente Técnico'!$E$5:$E$1000,$N102)))</f>
        <v/>
      </c>
      <c r="E102" s="76">
        <f>IF($N102="","",IF(INDEX('Cronograma Asistente Técnico'!$F$5:$F$1000,$N102)="","",INDEX('Cronograma Asistente Técnico'!$F$5:$F$1000,$N102)))</f>
        <v/>
      </c>
      <c r="F102" s="61">
        <f>IF($N102="","",IF(NOT(ISNUMBER($E102)),"",IF($E102&lt;InicioCiclo,"Antes del ciclo",IF($E102&gt;=InicioCiclo+28,"Después del ciclo","Semana "&amp;(INT(($E102-InicioCiclo)/7)+1)))))</f>
        <v/>
      </c>
      <c r="G102" s="67">
        <f>IF($N102="","",IF($P102&gt;0,IF(1&lt;=SemanaActual,INDEX('Cronograma Asistente Técnico'!$Y$5:$Y$1000,$N102),""),IF(INDEX('Cronograma Asistente Técnico'!$H$5:$H$1000,$N102)="","",INDEX('Cronograma Asistente Técnico'!$H$5:$H$1000,$N102))))</f>
        <v/>
      </c>
      <c r="H102" s="67">
        <f>IF($N102="","",IF($P102&gt;0,IF(2&lt;=SemanaActual,INDEX('Cronograma Asistente Técnico'!$Z$5:$Z$1000,$N102),""),IF(INDEX('Cronograma Asistente Técnico'!$I$5:$I$1000,$N102)="","",INDEX('Cronograma Asistente Técnico'!$I$5:$I$1000,$N102))))</f>
        <v/>
      </c>
      <c r="I102" s="67">
        <f>IF($N102="","",IF($P102&gt;0,IF(3&lt;=SemanaActual,INDEX('Cronograma Asistente Técnico'!$AA$5:$AA$1000,$N102),""),IF(INDEX('Cronograma Asistente Técnico'!$J$5:$J$1000,$N102)="","",INDEX('Cronograma Asistente Técnico'!$J$5:$J$1000,$N102))))</f>
        <v/>
      </c>
      <c r="J102" s="67">
        <f>IF($N102="","",IF($P102&gt;0,IF(4&lt;=SemanaActual,INDEX('Cronograma Asistente Técnico'!$AB$5:$AB$1000,$N102),""),IF(INDEX('Cronograma Asistente Técnico'!$K$5:$K$1000,$N102)="","",INDEX('Cronograma Asistente Técnico'!$K$5:$K$1000,$N102))))</f>
        <v/>
      </c>
      <c r="K102" s="67">
        <f>IF($N102="","",INDEX('Cronograma Asistente Técnico'!$L$5:$L$1000,$N102))</f>
        <v/>
      </c>
      <c r="L102" s="61">
        <f>IF($N102="","",IF(N($K102)&gt;=1,"Completado",IF(AND(ISNUMBER($E102),$E102&lt;FechaRef),"Vencida",IF(N($K102)&gt;0,"En curso","Pendiente"))))</f>
        <v/>
      </c>
      <c r="M102" s="70">
        <f>IF($N102="","",INDEX('Cronograma Asistente Técnico'!$N$5:$N$1000,$N102)&amp;"")</f>
        <v/>
      </c>
      <c r="N102">
        <f>IFERROR(MATCH(ROW()-4,rOrden_ATR,0),"")</f>
        <v/>
      </c>
      <c r="O102">
        <f>IF($N102="","",INDEX('Cronograma Asistente Técnico'!$S$5:$S$1000,$N102))</f>
        <v/>
      </c>
      <c r="P102">
        <f>IF($N102="","",N(INDEX('Cronograma Asistente Técnico'!$T$5:$T$1000,$N102)))</f>
        <v/>
      </c>
    </row>
    <row r="103">
      <c r="A103" s="61">
        <f>IF($N103="","",INDEX('Cronograma Asistente Técnico'!$A$5:$A$1000,$N103))</f>
        <v/>
      </c>
      <c r="B103" s="70">
        <f>IF($N103="","",IF($O103="Sub","     ↳ "&amp;INDEX('Cronograma Asistente Técnico'!$C$5:$C$1000,$N103),INDEX('Cronograma Asistente Técnico'!$B$5:$B$1000,$N103)&amp;""))</f>
        <v/>
      </c>
      <c r="C103" s="70">
        <f>IF($N103="","",INDEX('Cronograma Asistente Técnico'!$D$5:$D$1000,$N103)&amp;"")</f>
        <v/>
      </c>
      <c r="D103" s="76">
        <f>IF($N103="","",IF(INDEX('Cronograma Asistente Técnico'!$E$5:$E$1000,$N103)="","",INDEX('Cronograma Asistente Técnico'!$E$5:$E$1000,$N103)))</f>
        <v/>
      </c>
      <c r="E103" s="76">
        <f>IF($N103="","",IF(INDEX('Cronograma Asistente Técnico'!$F$5:$F$1000,$N103)="","",INDEX('Cronograma Asistente Técnico'!$F$5:$F$1000,$N103)))</f>
        <v/>
      </c>
      <c r="F103" s="61">
        <f>IF($N103="","",IF(NOT(ISNUMBER($E103)),"",IF($E103&lt;InicioCiclo,"Antes del ciclo",IF($E103&gt;=InicioCiclo+28,"Después del ciclo","Semana "&amp;(INT(($E103-InicioCiclo)/7)+1)))))</f>
        <v/>
      </c>
      <c r="G103" s="67">
        <f>IF($N103="","",IF($P103&gt;0,IF(1&lt;=SemanaActual,INDEX('Cronograma Asistente Técnico'!$Y$5:$Y$1000,$N103),""),IF(INDEX('Cronograma Asistente Técnico'!$H$5:$H$1000,$N103)="","",INDEX('Cronograma Asistente Técnico'!$H$5:$H$1000,$N103))))</f>
        <v/>
      </c>
      <c r="H103" s="67">
        <f>IF($N103="","",IF($P103&gt;0,IF(2&lt;=SemanaActual,INDEX('Cronograma Asistente Técnico'!$Z$5:$Z$1000,$N103),""),IF(INDEX('Cronograma Asistente Técnico'!$I$5:$I$1000,$N103)="","",INDEX('Cronograma Asistente Técnico'!$I$5:$I$1000,$N103))))</f>
        <v/>
      </c>
      <c r="I103" s="67">
        <f>IF($N103="","",IF($P103&gt;0,IF(3&lt;=SemanaActual,INDEX('Cronograma Asistente Técnico'!$AA$5:$AA$1000,$N103),""),IF(INDEX('Cronograma Asistente Técnico'!$J$5:$J$1000,$N103)="","",INDEX('Cronograma Asistente Técnico'!$J$5:$J$1000,$N103))))</f>
        <v/>
      </c>
      <c r="J103" s="67">
        <f>IF($N103="","",IF($P103&gt;0,IF(4&lt;=SemanaActual,INDEX('Cronograma Asistente Técnico'!$AB$5:$AB$1000,$N103),""),IF(INDEX('Cronograma Asistente Técnico'!$K$5:$K$1000,$N103)="","",INDEX('Cronograma Asistente Técnico'!$K$5:$K$1000,$N103))))</f>
        <v/>
      </c>
      <c r="K103" s="67">
        <f>IF($N103="","",INDEX('Cronograma Asistente Técnico'!$L$5:$L$1000,$N103))</f>
        <v/>
      </c>
      <c r="L103" s="61">
        <f>IF($N103="","",IF(N($K103)&gt;=1,"Completado",IF(AND(ISNUMBER($E103),$E103&lt;FechaRef),"Vencida",IF(N($K103)&gt;0,"En curso","Pendiente"))))</f>
        <v/>
      </c>
      <c r="M103" s="70">
        <f>IF($N103="","",INDEX('Cronograma Asistente Técnico'!$N$5:$N$1000,$N103)&amp;"")</f>
        <v/>
      </c>
      <c r="N103">
        <f>IFERROR(MATCH(ROW()-4,rOrden_ATR,0),"")</f>
        <v/>
      </c>
      <c r="O103">
        <f>IF($N103="","",INDEX('Cronograma Asistente Técnico'!$S$5:$S$1000,$N103))</f>
        <v/>
      </c>
      <c r="P103">
        <f>IF($N103="","",N(INDEX('Cronograma Asistente Técnico'!$T$5:$T$1000,$N103)))</f>
        <v/>
      </c>
    </row>
    <row r="104">
      <c r="A104" s="61">
        <f>IF($N104="","",INDEX('Cronograma Asistente Técnico'!$A$5:$A$1000,$N104))</f>
        <v/>
      </c>
      <c r="B104" s="70">
        <f>IF($N104="","",IF($O104="Sub","     ↳ "&amp;INDEX('Cronograma Asistente Técnico'!$C$5:$C$1000,$N104),INDEX('Cronograma Asistente Técnico'!$B$5:$B$1000,$N104)&amp;""))</f>
        <v/>
      </c>
      <c r="C104" s="70">
        <f>IF($N104="","",INDEX('Cronograma Asistente Técnico'!$D$5:$D$1000,$N104)&amp;"")</f>
        <v/>
      </c>
      <c r="D104" s="76">
        <f>IF($N104="","",IF(INDEX('Cronograma Asistente Técnico'!$E$5:$E$1000,$N104)="","",INDEX('Cronograma Asistente Técnico'!$E$5:$E$1000,$N104)))</f>
        <v/>
      </c>
      <c r="E104" s="76">
        <f>IF($N104="","",IF(INDEX('Cronograma Asistente Técnico'!$F$5:$F$1000,$N104)="","",INDEX('Cronograma Asistente Técnico'!$F$5:$F$1000,$N104)))</f>
        <v/>
      </c>
      <c r="F104" s="61">
        <f>IF($N104="","",IF(NOT(ISNUMBER($E104)),"",IF($E104&lt;InicioCiclo,"Antes del ciclo",IF($E104&gt;=InicioCiclo+28,"Después del ciclo","Semana "&amp;(INT(($E104-InicioCiclo)/7)+1)))))</f>
        <v/>
      </c>
      <c r="G104" s="67">
        <f>IF($N104="","",IF($P104&gt;0,IF(1&lt;=SemanaActual,INDEX('Cronograma Asistente Técnico'!$Y$5:$Y$1000,$N104),""),IF(INDEX('Cronograma Asistente Técnico'!$H$5:$H$1000,$N104)="","",INDEX('Cronograma Asistente Técnico'!$H$5:$H$1000,$N104))))</f>
        <v/>
      </c>
      <c r="H104" s="67">
        <f>IF($N104="","",IF($P104&gt;0,IF(2&lt;=SemanaActual,INDEX('Cronograma Asistente Técnico'!$Z$5:$Z$1000,$N104),""),IF(INDEX('Cronograma Asistente Técnico'!$I$5:$I$1000,$N104)="","",INDEX('Cronograma Asistente Técnico'!$I$5:$I$1000,$N104))))</f>
        <v/>
      </c>
      <c r="I104" s="67">
        <f>IF($N104="","",IF($P104&gt;0,IF(3&lt;=SemanaActual,INDEX('Cronograma Asistente Técnico'!$AA$5:$AA$1000,$N104),""),IF(INDEX('Cronograma Asistente Técnico'!$J$5:$J$1000,$N104)="","",INDEX('Cronograma Asistente Técnico'!$J$5:$J$1000,$N104))))</f>
        <v/>
      </c>
      <c r="J104" s="67">
        <f>IF($N104="","",IF($P104&gt;0,IF(4&lt;=SemanaActual,INDEX('Cronograma Asistente Técnico'!$AB$5:$AB$1000,$N104),""),IF(INDEX('Cronograma Asistente Técnico'!$K$5:$K$1000,$N104)="","",INDEX('Cronograma Asistente Técnico'!$K$5:$K$1000,$N104))))</f>
        <v/>
      </c>
      <c r="K104" s="67">
        <f>IF($N104="","",INDEX('Cronograma Asistente Técnico'!$L$5:$L$1000,$N104))</f>
        <v/>
      </c>
      <c r="L104" s="61">
        <f>IF($N104="","",IF(N($K104)&gt;=1,"Completado",IF(AND(ISNUMBER($E104),$E104&lt;FechaRef),"Vencida",IF(N($K104)&gt;0,"En curso","Pendiente"))))</f>
        <v/>
      </c>
      <c r="M104" s="70">
        <f>IF($N104="","",INDEX('Cronograma Asistente Técnico'!$N$5:$N$1000,$N104)&amp;"")</f>
        <v/>
      </c>
      <c r="N104">
        <f>IFERROR(MATCH(ROW()-4,rOrden_ATR,0),"")</f>
        <v/>
      </c>
      <c r="O104">
        <f>IF($N104="","",INDEX('Cronograma Asistente Técnico'!$S$5:$S$1000,$N104))</f>
        <v/>
      </c>
      <c r="P104">
        <f>IF($N104="","",N(INDEX('Cronograma Asistente Técnico'!$T$5:$T$1000,$N104)))</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G5:J104">
    <cfRule type="expression" priority="1" dxfId="6" stopIfTrue="1">
      <formula>AND(AND(ISNUMBER($D5),ISNUMBER($E5),$D5&lt;=InicioCiclo+7*(COLUMN(G5)-7)+6,$E5&gt;=InicioCiclo+7*(COLUMN(G5)-7)),$L5="Vencida")</formula>
    </cfRule>
    <cfRule type="expression" priority="2" dxfId="20">
      <formula>AND(ISNUMBER($D5),ISNUMBER($E5),$D5&lt;=InicioCiclo+7*(COLUMN(G5)-7)+6,$E5&gt;=InicioCiclo+7*(COLUMN(G5)-7))</formula>
    </cfRule>
  </conditionalFormatting>
  <conditionalFormatting sqref="A5:B104">
    <cfRule type="expression" priority="3" dxfId="19">
      <formula>$O5="Macro"</formula>
    </cfRule>
  </conditionalFormatting>
  <conditionalFormatting sqref="L5:L104">
    <cfRule type="expression" priority="4" dxfId="0">
      <formula>$L5="Completado"</formula>
    </cfRule>
    <cfRule type="expression" priority="5" dxfId="6">
      <formula>$L5="Vencida"</formula>
    </cfRule>
    <cfRule type="expression" priority="6" dxfId="4">
      <formula>$L5="En curso"</formula>
    </cfRule>
    <cfRule type="expression" priority="7" dxfId="5">
      <formula>$L5="Pendiente"</formula>
    </cfRule>
  </conditionalFormatting>
  <conditionalFormatting sqref="F5:F104">
    <cfRule type="expression" priority="8" dxfId="1">
      <formula>$F5="Semana "&amp;SemanaActual</formula>
    </cfRule>
  </conditionalFormatting>
  <conditionalFormatting sqref="K5:K104">
    <cfRule type="dataBar" priority="9">
      <dataBar showValue="1">
        <cfvo type="num" val="0"/>
        <cfvo type="num" val="1"/>
        <color rgb="005B9BD5"/>
      </dataBar>
    </cfRule>
  </conditionalFormatting>
  <conditionalFormatting sqref="G4:J4">
    <cfRule type="expression" priority="10" dxfId="1">
      <formula>COLUMN(G4)-6=SemanaActual</formula>
    </cfRule>
  </conditionalFormatting>
  <conditionalFormatting sqref="G3:J3">
    <cfRule type="expression" priority="11" dxfId="1">
      <formula>COLUMN(G3)-6=SemanaActual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fitToPage="1"/>
  </sheetPr>
  <dimension ref="B1:B79"/>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45" t="inlineStr">
        <is>
          <t>Instrucciones – cómo usar este archivo</t>
        </is>
      </c>
    </row>
    <row r="3" ht="20" customHeight="1">
      <c r="B3" s="83" t="inlineStr">
        <is>
          <t>¿Para qué sirve este archivo?</t>
        </is>
      </c>
    </row>
    <row r="4" ht="45" customHeight="1">
      <c r="B4" s="84" t="inlineStr">
        <is>
          <t>Sirve para planificar y medir, MES A MES, las actividades de los cuatro puestos del área: Riesgo Operacional, Riesgo Normativo, Riesgo Financiero y Asistente Técnico de Riesgo. Cada mes se divide en 4 semanas y la meta es que las actividades lleguen al 100% al terminar la Semana 4. Todo lo de meses anteriores queda guardado como historial.</t>
        </is>
      </c>
    </row>
    <row r="6" ht="20" customHeight="1">
      <c r="B6" s="83" t="inlineStr">
        <is>
          <t>Colores: qué se llena y qué no</t>
        </is>
      </c>
    </row>
    <row r="7" ht="15" customHeight="1">
      <c r="B7" s="84" t="inlineStr">
        <is>
          <t>• GRIS SUAVE = celda que usted llena (desbloqueada).</t>
        </is>
      </c>
    </row>
    <row r="8" ht="15" customHeight="1">
      <c r="B8" s="84" t="inlineStr">
        <is>
          <t>• AZUL MUY CLARO = celda automática (bloqueada: no se puede escribir en ella).</t>
        </is>
      </c>
    </row>
    <row r="9" ht="30" customHeight="1">
      <c r="B9" s="84" t="inlineStr">
        <is>
          <t>• Cada puesto tiene su color: NARANJA = Riesgo Operacional · MORADO = Riesgo Normativo · VERDE = Riesgo Financiero · AZUL = Asistente Técnico de Riesgo.</t>
        </is>
      </c>
    </row>
    <row r="10" ht="30" customHeight="1">
      <c r="B10" s="84" t="inlineStr">
        <is>
          <t>• Colores de avisos: verde = completado · azul claro = en curso · rojo suave = pendiente o dato faltante · ámbar = por vencer o mes actual · naranja = vencida.</t>
        </is>
      </c>
    </row>
    <row r="12" ht="20" customHeight="1">
      <c r="B12" s="83" t="inlineStr">
        <is>
          <t>Las hojas del archivo</t>
        </is>
      </c>
    </row>
    <row r="13" ht="15" customHeight="1">
      <c r="B13" s="84" t="inlineStr">
        <is>
          <t>• Dashboard - Consolidado: resumen del MES ACTUAL. Se actualiza solo; no se llena.</t>
        </is>
      </c>
    </row>
    <row r="14" ht="15" customHeight="1">
      <c r="B14" s="84" t="inlineStr">
        <is>
          <t>• Historial mensual: avance de cada puesto mes a mes desde octubre 2026. Se actualiza solo.</t>
        </is>
      </c>
    </row>
    <row r="15" ht="30" customHeight="1">
      <c r="B15" s="84" t="inlineStr">
        <is>
          <t>• Cronograma (una por puesto): la ÚNICA hoja donde cada responsable escribe sus actividades, pesos, avances y observaciones.</t>
        </is>
      </c>
    </row>
    <row r="16" ht="30" customHeight="1">
      <c r="B16" s="84" t="inlineStr">
        <is>
          <t>• Actividades (una por puesto, al lado de su cronograma): muestra sola las actividades del mes, semana por semana. Está bloqueada; no se escribe nada.</t>
        </is>
      </c>
    </row>
    <row r="17" ht="15" customHeight="1">
      <c r="B17" s="84" t="inlineStr">
        <is>
          <t>• Configuración: mes, semana y fecha de corte. Todo se calcula solo con la fecha de hoy.</t>
        </is>
      </c>
    </row>
    <row r="19" ht="20" customHeight="1">
      <c r="B19" s="83" t="inlineStr">
        <is>
          <t>Cómo llenar su hoja «Cronograma» (paso a paso)</t>
        </is>
      </c>
    </row>
    <row r="20" ht="15" customHeight="1">
      <c r="B20" s="84" t="inlineStr">
        <is>
          <t>1) Abra la pestaña «Cronograma» de SU puesto y escriba en la primera fila vacía (celdas gris suave).</t>
        </is>
      </c>
    </row>
    <row r="21" ht="30" customHeight="1">
      <c r="B21" s="84" t="inlineStr">
        <is>
          <t>2) Escriba: nombre de la actividad (Macro Actividad), Responsable, Fecha de inicio y Fecha límite. El N° (1, 2, 3… por mes) y el Mes se llenan solos.</t>
        </is>
      </c>
    </row>
    <row r="22" ht="15" customHeight="1">
      <c r="B22" s="84" t="inlineStr">
        <is>
          <t xml:space="preserve">   (Si la actividad tiene subactividades, vea la sección «Subactividades» más abajo.)</t>
        </is>
      </c>
    </row>
    <row r="23" ht="45" customHeight="1">
      <c r="B23" s="84" t="inlineStr">
        <is>
          <t>3) Peso (%): qué tanto vale esa actividad dentro de su puesto EN ESE MES. Las actividades del mes deben sumar 100%. Ejemplo: Actividad 1 = 40%, Actividad 2 = 35%, Actividad 3 = 25%. Arriba de la tabla verá si las del mes actual ya suman 100%.</t>
        </is>
      </c>
    </row>
    <row r="24" ht="45" customHeight="1">
      <c r="B24" s="84" t="inlineStr">
        <is>
          <t>4) Cada viernes escriba en la columna de esa semana el avance TOTAL logrado hasta ese día (no lo que avanzó solo esa semana). Ejemplo: Semana 1 = 20%, Semana 2 = 45%, Semana 3 = 75%, Semana 4 = 100%. Deje en blanco las semanas que aún no llegan.</t>
        </is>
      </c>
    </row>
    <row r="25" ht="15" customHeight="1">
      <c r="B25" s="84" t="inlineStr">
        <is>
          <t>5) El «% de Avance Total Actual» y el «Estado» (Pendiente, En curso, Completado) se calculan solos.</t>
        </is>
      </c>
    </row>
    <row r="26" ht="30" customHeight="1">
      <c r="B26" s="84" t="inlineStr">
        <is>
          <t>6) Observaciones: si una actividad se atrasa o no se cumplió, escriba aquí el motivo y la nueva fecha. Si vence sin cumplirse y sin observación, el archivo se lo recuerda.</t>
        </is>
      </c>
    </row>
    <row r="28" ht="20" customHeight="1">
      <c r="B28" s="83" t="inlineStr">
        <is>
          <t>Subactividades (puede agregar todas las que necesite)</t>
        </is>
      </c>
    </row>
    <row r="29" ht="15" customHeight="1">
      <c r="B29" s="84" t="inlineStr">
        <is>
          <t>1) Escriba la macroactividad como siempre: nombre en «Macro Actividad», responsable, fechas y PESO.</t>
        </is>
      </c>
    </row>
    <row r="30" ht="30" customHeight="1">
      <c r="B30" s="84" t="inlineStr">
        <is>
          <t>2) En las filas de ABAJO escriba cada subactividad en la columna «Subactividad», dejando vacía «Macro Actividad». Ponga su responsable y fechas. Las subactividades NO llevan peso.</t>
        </is>
      </c>
    </row>
    <row r="31" ht="15" customHeight="1">
      <c r="B31" s="84" t="inlineStr">
        <is>
          <t>3) El N° se pone solo: 1, 2, 3… para las macroactividades y 1.1, 1.2, 1.3… para sus subactividades.</t>
        </is>
      </c>
    </row>
    <row r="32" ht="30" customHeight="1">
      <c r="B32" s="84" t="inlineStr">
        <is>
          <t>4) Cada viernes escriba el avance de CADA SUBACTIVIDAD en la columna de esa semana (ej. 100% si ya terminó, 50% si va a la mitad).</t>
        </is>
      </c>
    </row>
    <row r="33" ht="60" customHeight="1">
      <c r="B33" s="84" t="inlineStr">
        <is>
          <t>5) El avance de la macroactividad se calcula SOLO, semana por semana, como el promedio de sus subactividades. Ejemplo con 4 subactividades: si en la Semana 1 una llega a 100% y las demás están en 0%, la macroactividad queda en 25%; si en la Semana 2 ya van dos al 100%, queda en 50%. Por eso, en la fila de la macroactividad deje VACÍAS las semanas (se muestran en azul claro).</t>
        </is>
      </c>
    </row>
    <row r="34" ht="45" customHeight="1">
      <c r="B34" s="84" t="inlineStr">
        <is>
          <t>6) Para agregar otra subactividad más adelante, escríbala justo debajo de la última subactividad de su macroactividad (si no hay fila libre ahí, puede ponerla en otra fila: siempre pertenece a la macroactividad que esté más arriba).</t>
        </is>
      </c>
    </row>
    <row r="35" ht="15" customHeight="1">
      <c r="B35" s="84" t="inlineStr">
        <is>
          <t>7) Si una macroactividad no tiene subactividades, se escribe su avance directamente, como siempre.</t>
        </is>
      </c>
    </row>
    <row r="37" ht="20" customHeight="1">
      <c r="B37" s="83" t="inlineStr">
        <is>
          <t>¿Qué es la columna «Revisión automática (alertas)»?</t>
        </is>
      </c>
    </row>
    <row r="38" ht="60" customHeight="1">
      <c r="B38" s="84" t="inlineStr">
        <is>
          <t>Es un revisor automático: revisa cada fila y avisa si algo falta o está mal. «✔ OK» = todo bien. «⚠» = hay algo que corregir y dice qué es, por ejemplo: «Sin responsable», «Sin fecha límite», «Pesos del mes suman 90%», «Avance semanal decreciente» (escribió un % menor que la semana anterior) o «Vencida» (pasó la fecha límite y no llegó al 100%).</t>
        </is>
      </c>
    </row>
    <row r="39" ht="15" customHeight="1">
      <c r="B39" s="84" t="inlineStr">
        <is>
          <t>No hay que escribir nada en esa columna. Corrija lo que indica y el aviso desaparece.</t>
        </is>
      </c>
    </row>
    <row r="41" ht="20" customHeight="1">
      <c r="B41" s="83" t="inlineStr">
        <is>
          <t>La hoja «Actividades» (automática y bloqueada)</t>
        </is>
      </c>
    </row>
    <row r="42" ht="30" customHeight="1">
      <c r="B42" s="84" t="inlineStr">
        <is>
          <t>1) Muestra solo las actividades del mes actual de su Cronograma, en orden: cada macroactividad (resaltada) seguida de sus subactividades (con «↳»). No se escribe nada en ella.</t>
        </is>
      </c>
    </row>
    <row r="43" ht="15" customHeight="1">
      <c r="B43" s="84" t="inlineStr">
        <is>
          <t>2) «Semana de entrega» indica en qué semana del mes cae la fecha límite (la semana actual se resalta en amarillo).</t>
        </is>
      </c>
    </row>
    <row r="44" ht="45" customHeight="1">
      <c r="B44" s="84" t="inlineStr">
        <is>
          <t>3) Las columnas Semana 1 a 4 muestran una barra del color del puesto en las semanas en que la actividad está programada (de la fecha de inicio a la fecha límite) y, dentro, el avance anotado esa semana. Si la actividad está vencida, la barra se pone naranja.</t>
        </is>
      </c>
    </row>
    <row r="45" ht="15" customHeight="1">
      <c r="B45" s="84" t="inlineStr">
        <is>
          <t>4) Para cambiar algo, corríjalo en el Cronograma: esta hoja se actualiza al instante.</t>
        </is>
      </c>
    </row>
    <row r="47" ht="20" customHeight="1">
      <c r="B47" s="83" t="inlineStr">
        <is>
          <t>Cada mes nuevo: NO se borra nada</t>
        </is>
      </c>
    </row>
    <row r="48" ht="30" customHeight="1">
      <c r="B48" s="84" t="inlineStr">
        <is>
          <t>1) Al empezar el mes, cada responsable escribe las actividades del nuevo mes en las filas vacías de su Cronograma, DEBAJO de las del mes anterior. No borre nada: los meses pasados quedan como historial.</t>
        </is>
      </c>
    </row>
    <row r="49" ht="30" customHeight="1">
      <c r="B49" s="84" t="inlineStr">
        <is>
          <t>2) El mes de cada actividad se asigna solo según su fecha de inicio. El Dashboard y las hojas Actividades muestran automáticamente el mes actual, con su Semana 1 a 4.</t>
        </is>
      </c>
    </row>
    <row r="50" ht="30" customHeight="1">
      <c r="B50" s="84" t="inlineStr">
        <is>
          <t>3) Si una actividad se repite cada mes, cópiela en una fila nueva y cambie sus fechas al nuevo mes (y borre los avances de la copia).</t>
        </is>
      </c>
    </row>
    <row r="51" ht="45" customHeight="1">
      <c r="B51" s="84" t="inlineStr">
        <is>
          <t>4) Para revisar un mes anterior: en Configuración, en «Mes que se muestra», escriba cualquier fecha de ese mes (ej. 01/09/2026). Dashboard y Actividades mostrarán ese mes. Para volver al mes actual escriba =FECHA(AÑO(HOY());MES(HOY());1).</t>
        </is>
      </c>
    </row>
    <row r="52" ht="15" customHeight="1">
      <c r="B52" s="84" t="inlineStr">
        <is>
          <t>5) La hoja «Historial mensual» muestra el avance de cada puesto mes a mes, desde octubre 2026 (24 meses).</t>
        </is>
      </c>
    </row>
    <row r="53" ht="30" customHeight="1">
      <c r="B53" s="84" t="inlineStr">
        <is>
          <t>6) Cada Cronograma tiene 300 filas (por ejemplo, 25 actividades al mes durante un año). Si se llena, vea «Necesito más filas» o guarde una copia anual del archivo (Archivo &gt; Guardar una copia).</t>
        </is>
      </c>
    </row>
    <row r="55" ht="20" customHeight="1">
      <c r="B55" s="83" t="inlineStr">
        <is>
          <t>El Dashboard (resumen automático del mes)</t>
        </is>
      </c>
    </row>
    <row r="56" ht="30" customHeight="1">
      <c r="B56" s="84" t="inlineStr">
        <is>
          <t>• Muestra el avance de cada puesto y el general, cuántas actividades están completadas, en curso, pendientes o vencidas, y el avance de cada semana del mes.</t>
        </is>
      </c>
    </row>
    <row r="57" ht="30" customHeight="1">
      <c r="B57" s="84" t="inlineStr">
        <is>
          <t>• Avance del puesto = suma de (peso × avance) de sus actividades del mes. Avance general = promedio de los 4 puestos (todos valen igual).</t>
        </is>
      </c>
    </row>
    <row r="58" ht="30" customHeight="1">
      <c r="B58" s="84" t="inlineStr">
        <is>
          <t>• Si un puesto llega al 100% antes de la Semana 4 aparece «¡Enhorabuena, completado anticipadamente!». Si llega en la Semana 4: «Completado».</t>
        </is>
      </c>
    </row>
    <row r="59" ht="30" customHeight="1">
      <c r="B59" s="84" t="inlineStr">
        <is>
          <t>• Si un puesto no tiene actividades en el mes o sus pesos no suman 100%, el avance general aparece como «No definitivo» hasta que se corrija.</t>
        </is>
      </c>
    </row>
    <row r="60" ht="15" customHeight="1">
      <c r="B60" s="84" t="inlineStr">
        <is>
          <t>• Haga clic en el nombre de un puesto para ir a su hoja.</t>
        </is>
      </c>
    </row>
    <row r="62" ht="20" customHeight="1">
      <c r="B62" s="83" t="inlineStr">
        <is>
          <t>Compartir el archivo con el equipo</t>
        </is>
      </c>
    </row>
    <row r="63" ht="15" customHeight="1">
      <c r="B63" s="84" t="inlineStr">
        <is>
          <t>1) Suba el archivo a OneDrive o SharePoint del área.</t>
        </is>
      </c>
    </row>
    <row r="64" ht="30" customHeight="1">
      <c r="B64" s="84" t="inlineStr">
        <is>
          <t>2) Botón Compartir &gt; invite a los cuatro responsables con permiso de edición, y a la jefatura con permiso de solo lectura.</t>
        </is>
      </c>
    </row>
    <row r="65" ht="30" customHeight="1">
      <c r="B65" s="84" t="inlineStr">
        <is>
          <t>3) Todos pueden trabajar al mismo tiempo, cada quien en su Cronograma (Excel en la Web o Microsoft 365, con Autoguardado activado).</t>
        </is>
      </c>
    </row>
    <row r="66" ht="30" customHeight="1">
      <c r="B66" s="84" t="inlineStr">
        <is>
          <t>4) Si alguien borra algo por error: Archivo &gt; Información &gt; Historial de versiones permite recuperar una versión anterior y ver quién cambió qué.</t>
        </is>
      </c>
    </row>
    <row r="68" ht="20" customHeight="1">
      <c r="B68" s="83" t="inlineStr">
        <is>
          <t>Protección</t>
        </is>
      </c>
    </row>
    <row r="69" ht="45" customHeight="1">
      <c r="B69" s="84" t="inlineStr">
        <is>
          <t>Las celdas automáticas (azul muy claro) están bloqueadas y las de llenar (gris suave) desbloqueadas. Las hojas Dashboard, Actividades, Historial y Configuración (salvo sus celdas gris suave) están completamente bloqueadas. La protección no tiene contraseña.</t>
        </is>
      </c>
    </row>
    <row r="70" ht="30" customHeight="1">
      <c r="B70" s="84" t="inlineStr">
        <is>
          <t>Para poner contraseña: Revisar &gt; Desproteger hoja y luego Revisar &gt; Proteger hoja; marque «Seleccionar celdas desbloqueadas», «Usar Autofiltro» y «Ordenar», y escriba la contraseña.</t>
        </is>
      </c>
    </row>
    <row r="71" ht="60" customHeight="1">
      <c r="B71" s="84" t="inlineStr">
        <is>
          <t>Importante: en un archivo compartido, cualquier persona con permiso de edición podría escribir en el Cronograma de otro puesto. Si se necesita impedirlo por completo, se usan cuatro archivos (uno por puesto) y este archivo los une con Power Query (Datos &gt; Obtener datos &gt; Desde SharePoint/carpeta, una consulta por tabla tblAct_XX, con «Actualizar al abrir»).</t>
        </is>
      </c>
    </row>
    <row r="73" ht="20" customHeight="1">
      <c r="B73" s="83" t="inlineStr">
        <is>
          <t>Necesito más filas</t>
        </is>
      </c>
    </row>
    <row r="74" ht="30" customHeight="1">
      <c r="B74" s="84" t="inlineStr">
        <is>
          <t>Revisar &gt; Desproteger hoja, colóquese en la última celda de la tabla del Cronograma y presione Tab; las fórmulas se copian solas. Luego vuelva a proteger la hoja. El Dashboard lee hasta la fila 1000.</t>
        </is>
      </c>
    </row>
    <row r="76" ht="20" customHeight="1">
      <c r="B76" s="83" t="inlineStr">
        <is>
          <t>Notas técnicas</t>
        </is>
      </c>
    </row>
    <row r="77" ht="30" customHeight="1">
      <c r="B77" s="84" t="inlineStr">
        <is>
          <t>• Archivo .xlsx sin macros, para Microsoft 365 en español (escritorio y Web). Las fórmulas se ven en español (BUSCAR, SI.ERROR, SUMAPRODUCTO, HOY…).</t>
        </is>
      </c>
    </row>
    <row r="78" ht="15" customHeight="1">
      <c r="B78" s="84" t="inlineStr">
        <is>
          <t>• Fórmula del avance actual: =SI.ERROR(BUSCAR(2;1/(G5:J5&lt;&gt;"");G5:J5);0) → toma el último avance semanal escrito.</t>
        </is>
      </c>
    </row>
    <row r="79" ht="30" customHeight="1">
      <c r="B79" s="84" t="inlineStr">
        <is>
          <t>• Mes de la actividad = mes de la fecha de inicio (si no hay, de la fecha límite). Semana actual = ENTERO((fecha de corte − primer lunes del mes) / 7) + 1, entre 1 y 4. Puede forzarse con «Semana manual» en Configuración.</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2.xml><?xml version="1.0" encoding="utf-8"?>
<worksheet xmlns="http://schemas.openxmlformats.org/spreadsheetml/2006/main">
  <sheetPr>
    <outlinePr summaryBelow="1" summaryRight="1"/>
    <pageSetUpPr fitToPage="1"/>
  </sheetPr>
  <dimension ref="B1:D55"/>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45" t="inlineStr">
        <is>
          <t>Configuración del ciclo mensual</t>
        </is>
      </c>
      <c r="C1" s="45" t="n"/>
      <c r="D1" s="45" t="n"/>
    </row>
    <row r="2">
      <c r="B2" s="85" t="inlineStr">
        <is>
          <t>Todo se calcula solo a partir de la fecha de hoy. Celdas GRIS SUAVE = puede escribir encima si necesita fijar otro valor; celdas AZUL CLARO = automáticas y bloqueadas.</t>
        </is>
      </c>
    </row>
    <row r="3">
      <c r="B3" s="7" t="inlineStr">
        <is>
          <t>Parámetro</t>
        </is>
      </c>
      <c r="C3" s="7" t="inlineStr">
        <is>
          <t>Valor</t>
        </is>
      </c>
      <c r="D3" s="7" t="inlineStr">
        <is>
          <t>Uso / nota</t>
        </is>
      </c>
    </row>
    <row r="4" ht="30" customHeight="1">
      <c r="B4" s="86" t="inlineStr">
        <is>
          <t>Mes que se muestra</t>
        </is>
      </c>
      <c r="C4" s="87">
        <f>DATE(YEAR(TODAY()),MONTH(TODAY()),1)</f>
        <v/>
      </c>
      <c r="D4" s="44" t="inlineStr">
        <is>
          <t>AUTOMÁTICO: mes actual. Para revisar un mes anterior (historial) escriba cualquier fecha de ese mes (ej. 01/09/2026); para volver al mes actual escriba =FECHA(AÑO(HOY());MES(HOY());1).</t>
        </is>
      </c>
    </row>
    <row r="5" ht="30" customHeight="1">
      <c r="B5" s="86" t="inlineStr">
        <is>
          <t>Fecha de inicio del ciclo (lunes de la Semana 1)</t>
        </is>
      </c>
      <c r="C5" s="88">
        <f>MesCiclo+MOD(2-WEEKDAY(MesCiclo),7)</f>
        <v/>
      </c>
      <c r="D5" s="44" t="inlineStr">
        <is>
          <t>AUTOMÁTICO: primer lunes del mes. Puede escribir otra fecha. Define en qué semana cae cada actividad en las hojas «Actividades».</t>
        </is>
      </c>
    </row>
    <row r="6" ht="30" customHeight="1">
      <c r="B6" s="86" t="inlineStr">
        <is>
          <t>Fecha de corte</t>
        </is>
      </c>
      <c r="C6" s="88">
        <f>TODAY()</f>
        <v/>
      </c>
      <c r="D6" s="44" t="inlineStr">
        <is>
          <t>AUTOMÁTICO: hoy. Puede escribir una fecha fija para emitir un reporte de corte. Determina actividades vencidas.</t>
        </is>
      </c>
    </row>
    <row r="7" ht="30" customHeight="1">
      <c r="B7" s="86" t="inlineStr">
        <is>
          <t>Semana actual del ciclo (1 a 4)</t>
        </is>
      </c>
      <c r="C7" s="89">
        <f>IF(SemanaManual&lt;&gt;"",SemanaManual,MIN(4,MAX(1,INT((FechaRef-InicioCiclo)/7)+1)))</f>
        <v/>
      </c>
      <c r="D7" s="44" t="inlineStr">
        <is>
          <t>AUTOMÁTICA: se calcula con la fecha de inicio y la fecha de corte. Controla los mensajes de finalización anticipada.</t>
        </is>
      </c>
    </row>
    <row r="8" ht="30" customHeight="1">
      <c r="B8" s="86" t="inlineStr">
        <is>
          <t>Semana manual (opcional)</t>
        </is>
      </c>
      <c r="C8" s="90" t="n"/>
      <c r="D8" s="44" t="inlineStr">
        <is>
          <t>Déjela VACÍA para usar la semana automática. Escriba 1–4 solo si necesita forzar otra semana.</t>
        </is>
      </c>
    </row>
    <row r="9" ht="30" customHeight="1">
      <c r="B9" s="86" t="inlineStr">
        <is>
          <t>Días de anticipación para alerta «próxima a vencer»</t>
        </is>
      </c>
      <c r="C9" s="90" t="n">
        <v>3</v>
      </c>
      <c r="D9" s="44" t="inlineStr">
        <is>
          <t>Actividades no completadas cuya fecha límite cae dentro de este número de días se señalan en ámbar.</t>
        </is>
      </c>
    </row>
    <row r="10" ht="30" customHeight="1">
      <c r="B10" s="86" t="inlineStr">
        <is>
          <t>¿Observación obligatoria si una actividad vence sin cumplirse?</t>
        </is>
      </c>
      <c r="C10" s="91" t="inlineStr">
        <is>
          <t>Sí</t>
        </is>
      </c>
      <c r="D10" s="44" t="inlineStr">
        <is>
          <t>Si es «Sí», una actividad vencida sin texto en Observaciones genera alerta (explicar por qué no se cumplió).</t>
        </is>
      </c>
    </row>
    <row r="11" ht="30" customHeight="1">
      <c r="B11" s="86" t="inlineStr">
        <is>
          <t>Meta mensual</t>
        </is>
      </c>
      <c r="C11" s="92" t="n">
        <v>1</v>
      </c>
      <c r="D11" s="44" t="inlineStr">
        <is>
          <t>Meta de cumplimiento de las actividades al cierre de la Semana 4 de cada mes.</t>
        </is>
      </c>
    </row>
    <row r="12" ht="30" customHeight="1">
      <c r="B12" s="86" t="inlineStr">
        <is>
          <t>Primer mes del historial</t>
        </is>
      </c>
      <c r="C12" s="87" t="n">
        <v>46296</v>
      </c>
      <c r="D12" s="44" t="inlineStr">
        <is>
          <t>El Historial mensual empieza en este mes (octubre 2026) y muestra 24 meses seguidos.</t>
        </is>
      </c>
    </row>
    <row r="14">
      <c r="B14" s="93" t="inlineStr">
        <is>
          <t>Plan de referencia (avance esperado acumulado por semana) – supuesto editable</t>
        </is>
      </c>
      <c r="C14" s="93" t="n"/>
      <c r="D14" s="93" t="n"/>
    </row>
    <row r="15">
      <c r="B15" s="94" t="inlineStr">
        <is>
          <t>Semana 1</t>
        </is>
      </c>
      <c r="C15" s="95" t="n">
        <v>0.25</v>
      </c>
      <c r="D15" s="96" t="inlineStr">
        <is>
          <t>Referencia lineal solo para comparación visual; no afecta el cálculo del avance real.</t>
        </is>
      </c>
    </row>
    <row r="16">
      <c r="B16" s="94" t="inlineStr">
        <is>
          <t>Semana 2</t>
        </is>
      </c>
      <c r="C16" s="95" t="n">
        <v>0.5</v>
      </c>
      <c r="D16" s="96" t="inlineStr">
        <is>
          <t>Referencia lineal solo para comparación visual; no afecta el cálculo del avance real.</t>
        </is>
      </c>
    </row>
    <row r="17">
      <c r="B17" s="94" t="inlineStr">
        <is>
          <t>Semana 3</t>
        </is>
      </c>
      <c r="C17" s="95" t="n">
        <v>0.75</v>
      </c>
      <c r="D17" s="96" t="inlineStr">
        <is>
          <t>Referencia lineal solo para comparación visual; no afecta el cálculo del avance real.</t>
        </is>
      </c>
    </row>
    <row r="18">
      <c r="B18" s="94" t="inlineStr">
        <is>
          <t>Semana 4</t>
        </is>
      </c>
      <c r="C18" s="95" t="n">
        <v>1</v>
      </c>
      <c r="D18" s="96" t="inlineStr">
        <is>
          <t>Referencia lineal solo para comparación visual; no afecta el cálculo del avance real.</t>
        </is>
      </c>
    </row>
    <row r="20">
      <c r="B20" s="97" t="inlineStr">
        <is>
          <t>Listas desplegables (no editar sin actualizar las fórmulas)</t>
        </is>
      </c>
      <c r="C20" s="97" t="n"/>
      <c r="D20" s="97" t="n"/>
    </row>
    <row r="21">
      <c r="B21" s="98" t="inlineStr">
        <is>
          <t>Áreas / Puestos</t>
        </is>
      </c>
    </row>
    <row r="22">
      <c r="B22" s="99" t="inlineStr">
        <is>
          <t>Riesgo Operacional</t>
        </is>
      </c>
    </row>
    <row r="23">
      <c r="B23" s="99" t="inlineStr">
        <is>
          <t>Riesgo Normativo</t>
        </is>
      </c>
    </row>
    <row r="24">
      <c r="B24" s="99" t="inlineStr">
        <is>
          <t>Riesgo Financiero</t>
        </is>
      </c>
    </row>
    <row r="25">
      <c r="B25" s="99" t="inlineStr">
        <is>
          <t>Asistente Técnico de Riesgo</t>
        </is>
      </c>
    </row>
    <row r="27">
      <c r="B27" s="98" t="inlineStr">
        <is>
          <t>Estados</t>
        </is>
      </c>
    </row>
    <row r="28">
      <c r="B28" s="99" t="inlineStr">
        <is>
          <t>Pendiente</t>
        </is>
      </c>
    </row>
    <row r="29">
      <c r="B29" s="99" t="inlineStr">
        <is>
          <t>En curso</t>
        </is>
      </c>
    </row>
    <row r="30">
      <c r="B30" s="99" t="inlineStr">
        <is>
          <t>Completado</t>
        </is>
      </c>
    </row>
    <row r="32">
      <c r="B32" s="98" t="inlineStr">
        <is>
          <t>Semanas</t>
        </is>
      </c>
    </row>
    <row r="33">
      <c r="B33" s="99" t="inlineStr">
        <is>
          <t>Semana 1</t>
        </is>
      </c>
    </row>
    <row r="34">
      <c r="B34" s="99" t="inlineStr">
        <is>
          <t>Semana 2</t>
        </is>
      </c>
    </row>
    <row r="35">
      <c r="B35" s="99" t="inlineStr">
        <is>
          <t>Semana 3</t>
        </is>
      </c>
    </row>
    <row r="36">
      <c r="B36" s="99" t="inlineStr">
        <is>
          <t>Semana 4</t>
        </is>
      </c>
    </row>
    <row r="38">
      <c r="B38" s="98" t="inlineStr">
        <is>
          <t>Sí / No</t>
        </is>
      </c>
    </row>
    <row r="39">
      <c r="B39" s="99" t="inlineStr">
        <is>
          <t>Sí</t>
        </is>
      </c>
    </row>
    <row r="40">
      <c r="B40" s="99" t="inlineStr">
        <is>
          <t>No</t>
        </is>
      </c>
    </row>
    <row r="43">
      <c r="B43" s="97" t="inlineStr">
        <is>
          <t>Metodología de cálculo (documentación)</t>
        </is>
      </c>
      <c r="C43" s="97" t="n"/>
      <c r="D43" s="97" t="n"/>
    </row>
    <row r="44" ht="30" customHeight="1">
      <c r="B44" s="100" t="inlineStr">
        <is>
          <t>1. Avance de una actividad = último avance semanal acumulado registrado (Semana 4 → 1), ignorando semanas vacías. Los avances semanales NO se suman.</t>
        </is>
      </c>
      <c r="C44" s="100" t="n"/>
      <c r="D44" s="100" t="n"/>
    </row>
    <row r="45" ht="30" customHeight="1">
      <c r="B45" s="100" t="inlineStr">
        <is>
          <t>2. Estado automático: 0% = Pendiente; &gt;0% y &lt;100% = En curso; 100% = Completado.</t>
        </is>
      </c>
      <c r="C45" s="100" t="n"/>
      <c r="D45" s="100" t="n"/>
    </row>
    <row r="46" ht="30" customHeight="1">
      <c r="B46" s="100" t="inlineStr">
        <is>
          <t>3. Avance ponderado del puesto = Σ (peso de la actividad × avance actual) de las actividades del mes. Solo es válido si el puesto tiene ≥1 actividad en el mes, ningún peso vacío o fuera de 0–100% y los pesos del mes suman 100% (tolerancia ±0,01%).</t>
        </is>
      </c>
      <c r="C46" s="100" t="n"/>
      <c r="D46" s="100" t="n"/>
    </row>
    <row r="47" ht="30" customHeight="1">
      <c r="B47" s="100" t="inlineStr">
        <is>
          <t>0. Cada actividad pertenece al mes de su fecha de inicio (columna «Mes» del Cronograma). Dashboard, hojas Actividades y cálculos usan solo el mes mostrado; los meses anteriores quedan en el Historial mensual.</t>
        </is>
      </c>
      <c r="C47" s="100" t="n"/>
      <c r="D47" s="100" t="n"/>
    </row>
    <row r="48" ht="30" customHeight="1">
      <c r="B48" s="100" t="inlineStr">
        <is>
          <t>0b. Subactividades: filas con «Subactividad» y sin «Macro Actividad» pertenecen a la macroactividad más cercana hacia arriba. Avance semanal de la macroactividad = promedio del avance (arrastrado) de sus subactividades; sólo las macroactividades llevan peso y se cuentan en el Dashboard y el Historial.</t>
        </is>
      </c>
      <c r="C48" s="100" t="n"/>
      <c r="D48" s="100" t="n"/>
    </row>
    <row r="49" ht="30" customHeight="1">
      <c r="B49" s="100" t="inlineStr">
        <is>
          <t>4. Avance general de las actividades = promedio simple de los 4 puestos (cada puesto pesa 25%, sin importar cuántas actividades tenga). Si algún puesto no es válido, el Dashboard muestra «No definitivo» y un valor provisional rotulado como tal.</t>
        </is>
      </c>
      <c r="C49" s="100" t="n"/>
      <c r="D49" s="100" t="n"/>
    </row>
    <row r="50" ht="30" customHeight="1">
      <c r="B50" s="100" t="inlineStr">
        <is>
          <t>5. Avance semanal acumulado (Semana n) = Σ peso × último avance registrado hasta la Semana n. Incremento semanal = acumulado Semana n − acumulado Semana n−1.</t>
        </is>
      </c>
      <c r="C50" s="100" t="n"/>
      <c r="D50" s="100" t="n"/>
    </row>
    <row r="51" ht="30" customHeight="1">
      <c r="B51" s="100" t="inlineStr">
        <is>
          <t>6. «¡Enhorabuena, completado anticipadamente!»: el puesto (o el total de actividades del mes) es válido, llega al 100% y la semana en que lo alcanzó (la menor entre la primera semana con 100% registrada y la Semana actual) es anterior a la Semana 4. Si lo alcanza en la Semana 4: «Completado». Si no: «En ejecución».</t>
        </is>
      </c>
      <c r="C51" s="100" t="n"/>
      <c r="D51" s="100" t="n"/>
    </row>
    <row r="52" ht="30" customHeight="1">
      <c r="B52" s="100" t="inlineStr">
        <is>
          <t>7. Una semana se muestra en el seguimiento si es ≤ Semana actual o si ya tiene algún avance registrado.</t>
        </is>
      </c>
      <c r="C52" s="100" t="n"/>
      <c r="D52" s="100" t="n"/>
    </row>
    <row r="53" ht="30" customHeight="1">
      <c r="B53" s="100" t="inlineStr">
        <is>
          <t>8. Cada puesto tiene su propia hoja «Cronograma» y su hoja «Actividades» semanales. El Dashboard consolida los cuatro cronogramas (filas 5 a 1000) y las cuatro hojas de actividades (filas 5 a 500).</t>
        </is>
      </c>
      <c r="C53" s="100" t="n"/>
      <c r="D53" s="100" t="n"/>
    </row>
    <row r="54" ht="30" customHeight="1">
      <c r="B54" s="100" t="inlineStr">
        <is>
          <t>9. Semana actual = ENTERO((fecha de corte − fecha de inicio) / 7) + 1, limitada entre 1 y 4, salvo que se escriba una semana manual.</t>
        </is>
      </c>
      <c r="C54" s="100" t="n"/>
      <c r="D54" s="100" t="n"/>
    </row>
    <row r="55" ht="30" customHeight="1">
      <c r="B55" s="100" t="inlineStr">
        <is>
          <t>10. Hojas «Actividades»: se llenan solas desde el Cronograma del puesto. Semana de entrega = semana en que cae la fecha límite. Estado: Completado (100%), Vencida (pasó la fecha límite sin llegar a 100%), En curso o Pendiente.</t>
        </is>
      </c>
      <c r="C55" s="100" t="n"/>
      <c r="D55" s="100" t="n"/>
    </row>
  </sheetData>
  <sheetProtection selectLockedCells="0" selectUnlockedCells="0" sheet="1" objects="0" insertRows="1" insertHyperlinks="1" autoFilter="1" scenarios="0" formatColumns="0" deleteColumns="1" insertColumns="1" pivotTables="1" deleteRows="1" formatCells="1" formatRows="1" sort="1"/>
  <mergeCells count="16">
    <mergeCell ref="B54:D54"/>
    <mergeCell ref="B14:D14"/>
    <mergeCell ref="B45:D45"/>
    <mergeCell ref="B46:D46"/>
    <mergeCell ref="B1:D1"/>
    <mergeCell ref="B49:D49"/>
    <mergeCell ref="B50:D50"/>
    <mergeCell ref="B52:D52"/>
    <mergeCell ref="B44:D44"/>
    <mergeCell ref="B53:D53"/>
    <mergeCell ref="B43:D43"/>
    <mergeCell ref="B55:D55"/>
    <mergeCell ref="B51:D51"/>
    <mergeCell ref="B47:D47"/>
    <mergeCell ref="B48:D48"/>
    <mergeCell ref="B20:D20"/>
  </mergeCells>
  <dataValidations count="4">
    <dataValidation sqref="C4 C5 C6 C12" showDropDown="0" showInputMessage="0" showErrorMessage="1" allowBlank="0" error="Ingrese una fecha válida (dd/mm/aaaa)." type="date" operator="greaterThan">
      <formula1>36526</formula1>
    </dataValidation>
    <dataValidation sqref="C8" showDropDown="0" showInputMessage="0" showErrorMessage="1" allowBlank="1" errorTitle="Semana no válida" error="Ingrese un número entero entre 1 y 4, o deje vacío para la semana automática." type="whole" operator="between">
      <formula1>1</formula1>
      <formula2>4</formula2>
    </dataValidation>
    <dataValidation sqref="C9" showDropDown="0" showInputMessage="0" showErrorMessage="1" allowBlank="0" error="Ingrese un número de días entre 0 y 30." type="whole" operator="between">
      <formula1>0</formula1>
      <formula2>30</formula2>
    </dataValidation>
    <dataValidation sqref="C10"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sheetPr>
  <dimension ref="A1:T15"/>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101" t="inlineStr">
        <is>
          <t>Hoja auxiliar OCULTA: cálculos intermedios por puesto (cada fila lee la hoja de cronograma de su puesto) que alimentan el Dashboard. No editar. Ver metodología en Configuración.</t>
        </is>
      </c>
    </row>
    <row r="3">
      <c r="A3" s="102" t="inlineStr">
        <is>
          <t>Puesto</t>
        </is>
      </c>
      <c r="B3" s="102" t="inlineStr">
        <is>
          <t>N° actividades</t>
        </is>
      </c>
      <c r="C3" s="102" t="inlineStr">
        <is>
          <t>Suma de pesos</t>
        </is>
      </c>
      <c r="D3" s="102" t="inlineStr">
        <is>
          <t>Pesos vacíos o inválidos</t>
        </is>
      </c>
      <c r="E3" s="102" t="inlineStr">
        <is>
          <t>Configuración válida</t>
        </is>
      </c>
      <c r="F3" s="102" t="inlineStr">
        <is>
          <t>Avance ponderado actual</t>
        </is>
      </c>
      <c r="G3" s="102" t="inlineStr">
        <is>
          <t>Acum. Semana 1</t>
        </is>
      </c>
      <c r="H3" s="102" t="inlineStr">
        <is>
          <t>Acum. Semana 2</t>
        </is>
      </c>
      <c r="I3" s="102" t="inlineStr">
        <is>
          <t>Acum. Semana 3</t>
        </is>
      </c>
      <c r="J3" s="102" t="inlineStr">
        <is>
          <t>Acum. Semana 4</t>
        </is>
      </c>
      <c r="K3" s="102" t="inlineStr">
        <is>
          <t>Primera semana con 100%</t>
        </is>
      </c>
      <c r="L3" s="102" t="inlineStr">
        <is>
          <t>Completado (100%)</t>
        </is>
      </c>
      <c r="M3" s="102" t="inlineStr">
        <is>
          <t>Completado anticipadamente</t>
        </is>
      </c>
      <c r="N3" s="102" t="inlineStr">
        <is>
          <t>Completadas</t>
        </is>
      </c>
      <c r="O3" s="102" t="inlineStr">
        <is>
          <t>En curso</t>
        </is>
      </c>
      <c r="P3" s="102" t="inlineStr">
        <is>
          <t>Pendientes</t>
        </is>
      </c>
      <c r="Q3" s="102" t="inlineStr">
        <is>
          <t>Vencidas</t>
        </is>
      </c>
      <c r="R3" s="102" t="inlineStr">
        <is>
          <t>Con alertas</t>
        </is>
      </c>
      <c r="S3" s="102" t="inlineStr">
        <is>
          <t>Próximas a vencer</t>
        </is>
      </c>
      <c r="T3" s="102" t="inlineStr">
        <is>
          <t>Hoja de cronograma</t>
        </is>
      </c>
    </row>
    <row r="4">
      <c r="A4">
        <f>INDEX(ListaPuestos,1)</f>
        <v/>
      </c>
      <c r="B4">
        <f>COUNTIFS(rValid_RO,"?*",rMes_RO,MesCiclo,rTipo_RO,"Macro")</f>
        <v/>
      </c>
      <c r="C4" s="103">
        <f>SUMIFS(rPeso_RO,rMes_RO,MesCiclo,rTipo_RO,"Macro")</f>
        <v/>
      </c>
      <c r="D4" s="103">
        <f>COUNTIFS(rValid_RO,"?*",rPeso_RO,"",rMes_RO,MesCiclo,rTipo_RO,"Macro")+COUNTIFS(rPeso_RO,"&lt;=0",rMes_RO,MesCiclo,rTipo_RO,"Macro")+COUNTIFS(rPeso_RO,"&gt;1",rMes_RO,MesCiclo,rTipo_RO,"Macro")</f>
        <v/>
      </c>
      <c r="E4">
        <f>AND(B4&gt;0,D4=0,ABS(C4-1)&lt;=0.0001)</f>
        <v/>
      </c>
      <c r="F4" s="103">
        <f>IFERROR(SUMPRODUCT(--((rMes_RO=MesCiclo)*(rTipo_RO="Macro")),rPeso_RO,rAvance_RO),0)</f>
        <v/>
      </c>
      <c r="G4" s="103">
        <f>IFERROR(SUMPRODUCT(--((rMes_RO=MesCiclo)*(rTipo_RO="Macro")),rPeso_RO,rEf1_RO),0)</f>
        <v/>
      </c>
      <c r="H4" s="103">
        <f>IFERROR(SUMPRODUCT(--((rMes_RO=MesCiclo)*(rTipo_RO="Macro")),rPeso_RO,rEf2_RO),0)</f>
        <v/>
      </c>
      <c r="I4" s="103">
        <f>IFERROR(SUMPRODUCT(--((rMes_RO=MesCiclo)*(rTipo_RO="Macro")),rPeso_RO,rEf3_RO),0)</f>
        <v/>
      </c>
      <c r="J4" s="103">
        <f>IFERROR(SUMPRODUCT(--((rMes_RO=MesCiclo)*(rTipo_RO="Macro")),rPeso_RO,rEf4_RO),0)</f>
        <v/>
      </c>
      <c r="K4">
        <f>IF(ROUND(G4,4)&gt;=1,1,IF(ROUND(H4,4)&gt;=1,2,IF(ROUND(I4,4)&gt;=1,3,IF(ROUND(J4,4)&gt;=1,4,""))))</f>
        <v/>
      </c>
      <c r="L4">
        <f>AND(E4,ROUND(F4,4)&gt;=1)</f>
        <v/>
      </c>
      <c r="M4">
        <f>AND(L4,MIN(IF(K4="",4,K4),SemanaActual)&lt;4)</f>
        <v/>
      </c>
      <c r="N4">
        <f>COUNTIFS(rEstado_RO,"Completado",rMes_RO,MesCiclo,rTipo_RO,"Macro")</f>
        <v/>
      </c>
      <c r="O4">
        <f>COUNTIFS(rEstado_RO,"En curso",rMes_RO,MesCiclo,rTipo_RO,"Macro")</f>
        <v/>
      </c>
      <c r="P4">
        <f>COUNTIFS(rEstado_RO,"Pendiente",rMes_RO,MesCiclo,rTipo_RO,"Macro")</f>
        <v/>
      </c>
      <c r="Q4">
        <f>SUMPRODUCT((rMes_RO=MesCiclo)*(rTipo_RO="Macro")*ISNUMBER(SEARCH("Vencida",rValid_RO)))</f>
        <v/>
      </c>
      <c r="R4">
        <f>SUMPRODUCT((rMes_RO=MesCiclo)*(LEFT(rValid_RO,1)="⚠"))</f>
        <v/>
      </c>
      <c r="S4">
        <f>COUNTIFS(rFLim_RO,"&gt;="&amp;FechaRef,rFLim_RO,"&lt;="&amp;(FechaRef+DiasAlerta),rAvance_RO,"&lt;1",rMes_RO,MesCiclo,rTipo_RO,"Macro")</f>
        <v/>
      </c>
      <c r="T4" t="inlineStr">
        <is>
          <t>Cronograma R. Operacional</t>
        </is>
      </c>
    </row>
    <row r="5">
      <c r="A5">
        <f>INDEX(ListaPuestos,2)</f>
        <v/>
      </c>
      <c r="B5">
        <f>COUNTIFS(rValid_RN,"?*",rMes_RN,MesCiclo,rTipo_RN,"Macro")</f>
        <v/>
      </c>
      <c r="C5" s="103">
        <f>SUMIFS(rPeso_RN,rMes_RN,MesCiclo,rTipo_RN,"Macro")</f>
        <v/>
      </c>
      <c r="D5" s="103">
        <f>COUNTIFS(rValid_RN,"?*",rPeso_RN,"",rMes_RN,MesCiclo,rTipo_RN,"Macro")+COUNTIFS(rPeso_RN,"&lt;=0",rMes_RN,MesCiclo,rTipo_RN,"Macro")+COUNTIFS(rPeso_RN,"&gt;1",rMes_RN,MesCiclo,rTipo_RN,"Macro")</f>
        <v/>
      </c>
      <c r="E5">
        <f>AND(B5&gt;0,D5=0,ABS(C5-1)&lt;=0.0001)</f>
        <v/>
      </c>
      <c r="F5" s="103">
        <f>IFERROR(SUMPRODUCT(--((rMes_RN=MesCiclo)*(rTipo_RN="Macro")),rPeso_RN,rAvance_RN),0)</f>
        <v/>
      </c>
      <c r="G5" s="103">
        <f>IFERROR(SUMPRODUCT(--((rMes_RN=MesCiclo)*(rTipo_RN="Macro")),rPeso_RN,rEf1_RN),0)</f>
        <v/>
      </c>
      <c r="H5" s="103">
        <f>IFERROR(SUMPRODUCT(--((rMes_RN=MesCiclo)*(rTipo_RN="Macro")),rPeso_RN,rEf2_RN),0)</f>
        <v/>
      </c>
      <c r="I5" s="103">
        <f>IFERROR(SUMPRODUCT(--((rMes_RN=MesCiclo)*(rTipo_RN="Macro")),rPeso_RN,rEf3_RN),0)</f>
        <v/>
      </c>
      <c r="J5" s="103">
        <f>IFERROR(SUMPRODUCT(--((rMes_RN=MesCiclo)*(rTipo_RN="Macro")),rPeso_RN,rEf4_RN),0)</f>
        <v/>
      </c>
      <c r="K5">
        <f>IF(ROUND(G5,4)&gt;=1,1,IF(ROUND(H5,4)&gt;=1,2,IF(ROUND(I5,4)&gt;=1,3,IF(ROUND(J5,4)&gt;=1,4,""))))</f>
        <v/>
      </c>
      <c r="L5">
        <f>AND(E5,ROUND(F5,4)&gt;=1)</f>
        <v/>
      </c>
      <c r="M5">
        <f>AND(L5,MIN(IF(K5="",4,K5),SemanaActual)&lt;4)</f>
        <v/>
      </c>
      <c r="N5">
        <f>COUNTIFS(rEstado_RN,"Completado",rMes_RN,MesCiclo,rTipo_RN,"Macro")</f>
        <v/>
      </c>
      <c r="O5">
        <f>COUNTIFS(rEstado_RN,"En curso",rMes_RN,MesCiclo,rTipo_RN,"Macro")</f>
        <v/>
      </c>
      <c r="P5">
        <f>COUNTIFS(rEstado_RN,"Pendiente",rMes_RN,MesCiclo,rTipo_RN,"Macro")</f>
        <v/>
      </c>
      <c r="Q5">
        <f>SUMPRODUCT((rMes_RN=MesCiclo)*(rTipo_RN="Macro")*ISNUMBER(SEARCH("Vencida",rValid_RN)))</f>
        <v/>
      </c>
      <c r="R5">
        <f>SUMPRODUCT((rMes_RN=MesCiclo)*(LEFT(rValid_RN,1)="⚠"))</f>
        <v/>
      </c>
      <c r="S5">
        <f>COUNTIFS(rFLim_RN,"&gt;="&amp;FechaRef,rFLim_RN,"&lt;="&amp;(FechaRef+DiasAlerta),rAvance_RN,"&lt;1",rMes_RN,MesCiclo,rTipo_RN,"Macro")</f>
        <v/>
      </c>
      <c r="T5" t="inlineStr">
        <is>
          <t>Cronograma R. Normativo</t>
        </is>
      </c>
    </row>
    <row r="6">
      <c r="A6">
        <f>INDEX(ListaPuestos,3)</f>
        <v/>
      </c>
      <c r="B6">
        <f>COUNTIFS(rValid_RF,"?*",rMes_RF,MesCiclo,rTipo_RF,"Macro")</f>
        <v/>
      </c>
      <c r="C6" s="103">
        <f>SUMIFS(rPeso_RF,rMes_RF,MesCiclo,rTipo_RF,"Macro")</f>
        <v/>
      </c>
      <c r="D6" s="103">
        <f>COUNTIFS(rValid_RF,"?*",rPeso_RF,"",rMes_RF,MesCiclo,rTipo_RF,"Macro")+COUNTIFS(rPeso_RF,"&lt;=0",rMes_RF,MesCiclo,rTipo_RF,"Macro")+COUNTIFS(rPeso_RF,"&gt;1",rMes_RF,MesCiclo,rTipo_RF,"Macro")</f>
        <v/>
      </c>
      <c r="E6">
        <f>AND(B6&gt;0,D6=0,ABS(C6-1)&lt;=0.0001)</f>
        <v/>
      </c>
      <c r="F6" s="103">
        <f>IFERROR(SUMPRODUCT(--((rMes_RF=MesCiclo)*(rTipo_RF="Macro")),rPeso_RF,rAvance_RF),0)</f>
        <v/>
      </c>
      <c r="G6" s="103">
        <f>IFERROR(SUMPRODUCT(--((rMes_RF=MesCiclo)*(rTipo_RF="Macro")),rPeso_RF,rEf1_RF),0)</f>
        <v/>
      </c>
      <c r="H6" s="103">
        <f>IFERROR(SUMPRODUCT(--((rMes_RF=MesCiclo)*(rTipo_RF="Macro")),rPeso_RF,rEf2_RF),0)</f>
        <v/>
      </c>
      <c r="I6" s="103">
        <f>IFERROR(SUMPRODUCT(--((rMes_RF=MesCiclo)*(rTipo_RF="Macro")),rPeso_RF,rEf3_RF),0)</f>
        <v/>
      </c>
      <c r="J6" s="103">
        <f>IFERROR(SUMPRODUCT(--((rMes_RF=MesCiclo)*(rTipo_RF="Macro")),rPeso_RF,rEf4_RF),0)</f>
        <v/>
      </c>
      <c r="K6">
        <f>IF(ROUND(G6,4)&gt;=1,1,IF(ROUND(H6,4)&gt;=1,2,IF(ROUND(I6,4)&gt;=1,3,IF(ROUND(J6,4)&gt;=1,4,""))))</f>
        <v/>
      </c>
      <c r="L6">
        <f>AND(E6,ROUND(F6,4)&gt;=1)</f>
        <v/>
      </c>
      <c r="M6">
        <f>AND(L6,MIN(IF(K6="",4,K6),SemanaActual)&lt;4)</f>
        <v/>
      </c>
      <c r="N6">
        <f>COUNTIFS(rEstado_RF,"Completado",rMes_RF,MesCiclo,rTipo_RF,"Macro")</f>
        <v/>
      </c>
      <c r="O6">
        <f>COUNTIFS(rEstado_RF,"En curso",rMes_RF,MesCiclo,rTipo_RF,"Macro")</f>
        <v/>
      </c>
      <c r="P6">
        <f>COUNTIFS(rEstado_RF,"Pendiente",rMes_RF,MesCiclo,rTipo_RF,"Macro")</f>
        <v/>
      </c>
      <c r="Q6">
        <f>SUMPRODUCT((rMes_RF=MesCiclo)*(rTipo_RF="Macro")*ISNUMBER(SEARCH("Vencida",rValid_RF)))</f>
        <v/>
      </c>
      <c r="R6">
        <f>SUMPRODUCT((rMes_RF=MesCiclo)*(LEFT(rValid_RF,1)="⚠"))</f>
        <v/>
      </c>
      <c r="S6">
        <f>COUNTIFS(rFLim_RF,"&gt;="&amp;FechaRef,rFLim_RF,"&lt;="&amp;(FechaRef+DiasAlerta),rAvance_RF,"&lt;1",rMes_RF,MesCiclo,rTipo_RF,"Macro")</f>
        <v/>
      </c>
      <c r="T6" t="inlineStr">
        <is>
          <t>Cronograma R. Financiero</t>
        </is>
      </c>
    </row>
    <row r="7">
      <c r="A7">
        <f>INDEX(ListaPuestos,4)</f>
        <v/>
      </c>
      <c r="B7">
        <f>COUNTIFS(rValid_ATR,"?*",rMes_ATR,MesCiclo,rTipo_ATR,"Macro")</f>
        <v/>
      </c>
      <c r="C7" s="103">
        <f>SUMIFS(rPeso_ATR,rMes_ATR,MesCiclo,rTipo_ATR,"Macro")</f>
        <v/>
      </c>
      <c r="D7" s="103">
        <f>COUNTIFS(rValid_ATR,"?*",rPeso_ATR,"",rMes_ATR,MesCiclo,rTipo_ATR,"Macro")+COUNTIFS(rPeso_ATR,"&lt;=0",rMes_ATR,MesCiclo,rTipo_ATR,"Macro")+COUNTIFS(rPeso_ATR,"&gt;1",rMes_ATR,MesCiclo,rTipo_ATR,"Macro")</f>
        <v/>
      </c>
      <c r="E7">
        <f>AND(B7&gt;0,D7=0,ABS(C7-1)&lt;=0.0001)</f>
        <v/>
      </c>
      <c r="F7" s="103">
        <f>IFERROR(SUMPRODUCT(--((rMes_ATR=MesCiclo)*(rTipo_ATR="Macro")),rPeso_ATR,rAvance_ATR),0)</f>
        <v/>
      </c>
      <c r="G7" s="103">
        <f>IFERROR(SUMPRODUCT(--((rMes_ATR=MesCiclo)*(rTipo_ATR="Macro")),rPeso_ATR,rEf1_ATR),0)</f>
        <v/>
      </c>
      <c r="H7" s="103">
        <f>IFERROR(SUMPRODUCT(--((rMes_ATR=MesCiclo)*(rTipo_ATR="Macro")),rPeso_ATR,rEf2_ATR),0)</f>
        <v/>
      </c>
      <c r="I7" s="103">
        <f>IFERROR(SUMPRODUCT(--((rMes_ATR=MesCiclo)*(rTipo_ATR="Macro")),rPeso_ATR,rEf3_ATR),0)</f>
        <v/>
      </c>
      <c r="J7" s="103">
        <f>IFERROR(SUMPRODUCT(--((rMes_ATR=MesCiclo)*(rTipo_ATR="Macro")),rPeso_ATR,rEf4_ATR),0)</f>
        <v/>
      </c>
      <c r="K7">
        <f>IF(ROUND(G7,4)&gt;=1,1,IF(ROUND(H7,4)&gt;=1,2,IF(ROUND(I7,4)&gt;=1,3,IF(ROUND(J7,4)&gt;=1,4,""))))</f>
        <v/>
      </c>
      <c r="L7">
        <f>AND(E7,ROUND(F7,4)&gt;=1)</f>
        <v/>
      </c>
      <c r="M7">
        <f>AND(L7,MIN(IF(K7="",4,K7),SemanaActual)&lt;4)</f>
        <v/>
      </c>
      <c r="N7">
        <f>COUNTIFS(rEstado_ATR,"Completado",rMes_ATR,MesCiclo,rTipo_ATR,"Macro")</f>
        <v/>
      </c>
      <c r="O7">
        <f>COUNTIFS(rEstado_ATR,"En curso",rMes_ATR,MesCiclo,rTipo_ATR,"Macro")</f>
        <v/>
      </c>
      <c r="P7">
        <f>COUNTIFS(rEstado_ATR,"Pendiente",rMes_ATR,MesCiclo,rTipo_ATR,"Macro")</f>
        <v/>
      </c>
      <c r="Q7">
        <f>SUMPRODUCT((rMes_ATR=MesCiclo)*(rTipo_ATR="Macro")*ISNUMBER(SEARCH("Vencida",rValid_ATR)))</f>
        <v/>
      </c>
      <c r="R7">
        <f>SUMPRODUCT((rMes_ATR=MesCiclo)*(LEFT(rValid_ATR,1)="⚠"))</f>
        <v/>
      </c>
      <c r="S7">
        <f>COUNTIFS(rFLim_ATR,"&gt;="&amp;FechaRef,rFLim_ATR,"&lt;="&amp;(FechaRef+DiasAlerta),rAvance_ATR,"&lt;1",rMes_ATR,MesCiclo,rTipo_ATR,"Macro")</f>
        <v/>
      </c>
      <c r="T7" t="inlineStr">
        <is>
          <t>Cronograma Asistente Técnico</t>
        </is>
      </c>
    </row>
    <row r="8">
      <c r="A8" t="inlineStr">
        <is>
          <t>Total actividades del mes (promedio de 4 puestos)</t>
        </is>
      </c>
      <c r="B8">
        <f>SUM(B4:B7)</f>
        <v/>
      </c>
      <c r="C8" s="104">
        <f>COUNTIF(E4:E7,TRUE)</f>
        <v/>
      </c>
      <c r="D8" s="103">
        <f>IF(C8&gt;0,SUMPRODUCT(F4:F7*(E4:E7=TRUE))/C8,"")</f>
        <v/>
      </c>
      <c r="E8">
        <f>AND(E4,E5,E6,E7)</f>
        <v/>
      </c>
      <c r="F8" s="103">
        <f>IF(E8,AVERAGE(F4:F7),"")</f>
        <v/>
      </c>
      <c r="G8" s="103">
        <f>IF($E$8,AVERAGE(G4:G7),"")</f>
        <v/>
      </c>
      <c r="H8" s="103">
        <f>IF($E$8,AVERAGE(H4:H7),"")</f>
        <v/>
      </c>
      <c r="I8" s="103">
        <f>IF($E$8,AVERAGE(I4:I7),"")</f>
        <v/>
      </c>
      <c r="J8" s="103">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row>
    <row r="9">
      <c r="A9" s="105" t="inlineStr">
        <is>
          <t>Fila 8: C = n° puestos válidos; D = avance provisional (promedio solo de puestos válidos).</t>
        </is>
      </c>
    </row>
    <row r="10">
      <c r="A10" t="inlineStr">
        <is>
          <t>Semana visible en seguimiento</t>
        </is>
      </c>
      <c r="G10">
        <f>OR(1&lt;=SemanaActual,(COUNTIFS(rMes_RO,MesCiclo,rS1_RO,"&lt;&gt;")+COUNTIFS(rMes_RN,MesCiclo,rS1_RN,"&lt;&gt;")+COUNTIFS(rMes_RF,MesCiclo,rS1_RF,"&lt;&gt;")+COUNTIFS(rMes_ATR,MesCiclo,rS1_ATR,"&lt;&gt;"))&gt;0)</f>
        <v/>
      </c>
      <c r="H10">
        <f>OR(2&lt;=SemanaActual,(COUNTIFS(rMes_RO,MesCiclo,rS2_RO,"&lt;&gt;")+COUNTIFS(rMes_RN,MesCiclo,rS2_RN,"&lt;&gt;")+COUNTIFS(rMes_RF,MesCiclo,rS2_RF,"&lt;&gt;")+COUNTIFS(rMes_ATR,MesCiclo,rS2_ATR,"&lt;&gt;"))&gt;0)</f>
        <v/>
      </c>
      <c r="I10">
        <f>OR(3&lt;=SemanaActual,(COUNTIFS(rMes_RO,MesCiclo,rS3_RO,"&lt;&gt;")+COUNTIFS(rMes_RN,MesCiclo,rS3_RN,"&lt;&gt;")+COUNTIFS(rMes_RF,MesCiclo,rS3_RF,"&lt;&gt;")+COUNTIFS(rMes_ATR,MesCiclo,rS3_ATR,"&lt;&gt;"))&gt;0)</f>
        <v/>
      </c>
      <c r="J10">
        <f>OR(4&lt;=SemanaActual,(COUNTIFS(rMes_RO,MesCiclo,rS4_RO,"&lt;&gt;")+COUNTIFS(rMes_RN,MesCiclo,rS4_RN,"&lt;&gt;")+COUNTIFS(rMes_RF,MesCiclo,rS4_RF,"&lt;&gt;")+COUNTIFS(rMes_ATR,MesCiclo,rS4_ATR,"&lt;&gt;"))&gt;0)</f>
        <v/>
      </c>
    </row>
    <row r="11">
      <c r="A11" t="inlineStr">
        <is>
          <t>Total registros</t>
        </is>
      </c>
      <c r="B11">
        <f>B8</f>
        <v/>
      </c>
    </row>
    <row r="12">
      <c r="A12" t="inlineStr">
        <is>
          <t>Puestos al 100%</t>
        </is>
      </c>
      <c r="B12">
        <f>COUNTIF(L4:L7,TRUE)</f>
        <v/>
      </c>
    </row>
    <row r="13">
      <c r="A13" t="inlineStr">
        <is>
          <t>Próximas a vencer</t>
        </is>
      </c>
      <c r="B13">
        <f>S8</f>
        <v/>
      </c>
    </row>
    <row r="15">
      <c r="A15" t="inlineStr">
        <is>
          <t>Mes mostrado (día 1)</t>
        </is>
      </c>
      <c r="B15" s="106">
        <f>DATE(YEAR(MesEntrada),MONTH(MesEntrada),1)</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2026-10-09T20:20:33Z</dcterms:created>
  <dcterms:modified xmlns:dcterms="http://purl.org/dc/terms/" xmlns:xsi="http://www.w3.org/2001/XMLSchema-instance" xsi:type="dcterms:W3CDTF">2026-10-09T20:20:37Z</dcterms:modified>
</cp:coreProperties>
</file>